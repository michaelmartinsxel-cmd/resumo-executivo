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Base" sheetId="2" state="hidden" r:id="rId2"/>
    <sheet name="DePara" sheetId="3" state="hidden" r:id="rId3"/>
    <sheet name="Parametros" sheetId="4" state="hidden" r:id="rId4"/>
    <sheet name="Aging por Categoria" sheetId="5" state="visible" r:id="rId5"/>
    <sheet name="Aging por Conta" sheetId="6" state="visible" r:id="rId6"/>
    <sheet name="Posição por Fornecedor" sheetId="7" state="visible" r:id="rId7"/>
    <sheet name="Detalhe" sheetId="8" state="hidden" r:id="rId8"/>
    <sheet name="Cadastro Fornecedores" sheetId="9" state="hidden" r:id="rId9"/>
    <sheet name="Pendências" sheetId="10" state="hidden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6"/>
    </font>
    <font>
      <name val="Calibri"/>
      <b val="1"/>
      <sz val="11"/>
    </font>
    <font>
      <name val="Calibri"/>
      <i val="1"/>
      <color rgb="00595959"/>
      <sz val="10"/>
    </font>
    <font>
      <name val="Calibri"/>
      <b val="1"/>
      <color rgb="001F3864"/>
      <sz val="18"/>
    </font>
    <font>
      <name val="Calibri"/>
      <color rgb="00595959"/>
      <sz val="10"/>
    </font>
    <font>
      <name val="Calibri"/>
      <i val="1"/>
      <color rgb="00A6A6A6"/>
      <sz val="9"/>
    </font>
    <font>
      <name val="Calibri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165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'Resumo Executivo'!$X$3</f>
          <strCache>
            <ptCount val="1"/>
            <pt idx="0">
              <v>0,6M
Total Terceiros</v>
            </pt>
          </strCache>
        </strRef>
      </tx>
      <overlay val="0"/>
      <txPr>
        <a:bodyPr/>
        <a:p>
          <a:pPr>
            <a:defRPr sz="1300" b="1">
              <a:solidFill>
                <a:srgbClr val="141414"/>
              </a:solidFill>
              <a:latin typeface="Arial"/>
            </a:defRPr>
          </a:pPr>
          <a:r>
            <a:t/>
          </a:r>
        </a:p>
      </txPr>
    </title>
    <plotArea>
      <doughnutChart>
        <varyColors val="1"/>
        <ser>
          <idx val="0"/>
          <order val="0"/>
          <tx>
            <strRef>
              <f>'Resumo Executivo'!U2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BCA1B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ACCBB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98EFED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F1E7B0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B5F3F0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D9D9D9"/>
              </a:solidFill>
              <a:ln w="19080">
                <a:solidFill>
                  <a:srgbClr val="FFFFFF"/>
                </a:solidFill>
                <a:prstDash val="solid"/>
              </a:ln>
            </spPr>
          </dPt>
          <cat>
            <numRef>
              <f>'Resumo Executivo'!$T$3:$T$8</f>
            </numRef>
          </cat>
          <val>
            <numRef>
              <f>'Resumo Executivo'!$U$3:$U$8</f>
            </numRef>
          </val>
        </ser>
        <dLbls>
          <txPr>
            <a:bodyPr/>
            <a:p>
              <a:pPr>
                <a:defRPr sz="1200" b="1">
                  <a:solidFill>
                    <a:srgbClr val="A67D0A"/>
                  </a:solidFill>
                  <a:latin typeface="Arial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  <showBubbleSize val="0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'Resumo Executivo'!$X$13</f>
          <strCache>
            <ptCount val="1"/>
            <pt idx="0">
              <v>385,5M
Saldo 2026</v>
            </pt>
          </strCache>
        </strRef>
      </tx>
      <overlay val="0"/>
      <txPr>
        <a:bodyPr/>
        <a:p>
          <a:pPr>
            <a:defRPr sz="1300" b="1">
              <a:solidFill>
                <a:srgbClr val="141414"/>
              </a:solidFill>
              <a:latin typeface="Arial"/>
            </a:defRPr>
          </a:pPr>
          <a:r>
            <a:t/>
          </a:r>
        </a:p>
      </txPr>
    </title>
    <plotArea>
      <barChart>
        <barDir val="col"/>
        <grouping val="clustered"/>
        <ser>
          <idx val="0"/>
          <order val="0"/>
          <tx>
            <strRef>
              <f>'Resumo Executivo'!U12</f>
            </strRef>
          </tx>
          <spPr>
            <a:solidFill>
              <a:srgbClr val="2ACCBB"/>
            </a:solidFill>
            <a:ln>
              <a:noFill/>
              <a:prstDash val="solid"/>
            </a:ln>
          </spPr>
          <cat>
            <numRef>
              <f>'Resumo Executivo'!$T$13:$T$19</f>
            </numRef>
          </cat>
          <val>
            <numRef>
              <f>'Resumo Executivo'!$U$13:$U$19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'Resumo Executivo'!V12</f>
            </strRef>
          </tx>
          <spPr>
            <a:ln w="19080" cap="rnd">
              <a:solidFill>
                <a:srgbClr val="14141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&quot;MÉDIA &quot;#,##0.0,,&quot;M&quot;"/>
            <txPr>
              <a:bodyPr/>
              <a:p>
                <a:pPr>
                  <a:defRPr sz="1200" b="1">
                    <a:solidFill>
                      <a:srgbClr val="A67D0A"/>
                    </a:solidFill>
                    <a:latin typeface="Arial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'Resumo Executivo'!$V$13:$V$19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000" b="1">
                <a:solidFill>
                  <a:srgbClr val="0B1F3A"/>
                </a:solidFill>
                <a:latin typeface="Calibri"/>
              </a:defRPr>
            </a:pPr>
            <a:r>
              <a:rPr sz="1000" b="1">
                <a:solidFill>
                  <a:srgbClr val="0B1F3A"/>
                </a:solidFill>
                <a:latin typeface="Calibri"/>
              </a:rPr>
              <a:t>Maiores fornecedores terceiros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'Resumo Executivo'!U22</f>
            </strRef>
          </tx>
          <spPr>
            <a:solidFill>
              <a:srgbClr val="0E7C7B"/>
            </a:solidFill>
            <a:ln>
              <a:noFill/>
              <a:prstDash val="solid"/>
            </a:ln>
          </spPr>
          <cat>
            <numRef>
              <f>'Resumo Executivo'!$T$23:$T$29</f>
            </numRef>
          </cat>
          <val>
            <numRef>
              <f>'Resumo Executivo'!$U$23:$U$29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28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" displayName="Base" ref="A1:P5129" headerRowCount="1">
  <autoFilter ref="A1:P5129"/>
  <tableColumns count="16">
    <tableColumn id="1" name="Conta"/>
    <tableColumn id="2" name="Fornecedor"/>
    <tableColumn id="3" name="Nome do fornecedor"/>
    <tableColumn id="4" name="Tipo doc"/>
    <tableColumn id="5" name="Documento"/>
    <tableColumn id="6" name="Referência"/>
    <tableColumn id="7" name="Moeda"/>
    <tableColumn id="8" name="Montante"/>
    <tableColumn id="9" name="Data documento"/>
    <tableColumn id="10" name="Data vencimento"/>
    <tableColumn id="11" name="Texto"/>
    <tableColumn id="12" name="Atribuição"/>
    <tableColumn id="13" name="Ano"/>
    <tableColumn id="14" name="Categoria"/>
    <tableColumn id="15" name="Dias atraso"/>
    <tableColumn id="16" name="Vencido"/>
  </tableColumns>
  <tableStyleInfo name="TableStyleMedium2" showRowStripes="1"/>
</table>
</file>

<file path=xl/tables/table2.xml><?xml version="1.0" encoding="utf-8"?>
<table xmlns="http://schemas.openxmlformats.org/spreadsheetml/2006/main" id="2" name="DePara" displayName="DePara" ref="A1:D1329" headerRowCount="1">
  <autoFilter ref="A1:D1329"/>
  <tableColumns count="4">
    <tableColumn id="1" name="Categoria"/>
    <tableColumn id="2" name="Nome do fornecedor"/>
    <tableColumn id="3" name="Fornecedor"/>
    <tableColumn id="4" name="Fornecedor_txt"/>
  </tableColumns>
  <tableStyleInfo name="TableStyleMedium2" showRowStripes="1"/>
</table>
</file>

<file path=xl/tables/table3.xml><?xml version="1.0" encoding="utf-8"?>
<table xmlns="http://schemas.openxmlformats.org/spreadsheetml/2006/main" id="3" name="PosicaoFornecedor" displayName="PosicaoFornecedor" ref="A4:K676" headerRowCount="1">
  <autoFilter ref="A4:K676"/>
  <tableColumns count="11">
    <tableColumn id="1" name="Fornecedor"/>
    <tableColumn id="2" name="Nome do fornecedor"/>
    <tableColumn id="3" name="Categoria"/>
    <tableColumn id="4" name="Até 2020"/>
    <tableColumn id="5" name="2021"/>
    <tableColumn id="6" name="2022"/>
    <tableColumn id="7" name="2023"/>
    <tableColumn id="8" name="2024"/>
    <tableColumn id="9" name="2025"/>
    <tableColumn id="10" name="2026"/>
    <tableColumn id="11" name="Total"/>
  </tableColumns>
  <tableStyleInfo name="TableStyleMedium2" showRowStripes="1"/>
</table>
</file>

<file path=xl/tables/table4.xml><?xml version="1.0" encoding="utf-8"?>
<table xmlns="http://schemas.openxmlformats.org/spreadsheetml/2006/main" id="4" name="Drilldown" displayName="Drilldown" ref="A5:K5133" headerRowCount="1">
  <autoFilter ref="A5:K5133"/>
  <tableColumns count="11">
    <tableColumn id="1" name="Fornecedor"/>
    <tableColumn id="2" name="Nome do fornecedor"/>
    <tableColumn id="3" name="Conta"/>
    <tableColumn id="4" name="Categoria"/>
    <tableColumn id="5" name="Documento"/>
    <tableColumn id="6" name="Referencia"/>
    <tableColumn id="7" name="Tipo doc"/>
    <tableColumn id="8" name="Montante"/>
    <tableColumn id="9" name="Data documento"/>
    <tableColumn id="10" name="Data vencimento"/>
    <tableColumn id="11" name="Texto"/>
  </tableColumns>
  <tableStyleInfo name="TableStyleMedium2" showRowStripes="1"/>
</table>
</file>

<file path=xl/tables/table5.xml><?xml version="1.0" encoding="utf-8"?>
<table xmlns="http://schemas.openxmlformats.org/spreadsheetml/2006/main" id="5" name="CadastroFornecedores" displayName="CadastroFornecedores" ref="A4:E676" headerRowCount="1">
  <autoFilter ref="A4:E676"/>
  <tableColumns count="5">
    <tableColumn id="1" name="Fornecedor"/>
    <tableColumn id="2" name="Nome do fornecedor"/>
    <tableColumn id="3" name="Categoria"/>
    <tableColumn id="4" name="Itens"/>
    <tableColumn id="5" name="Val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5" max="5"/>
    <col width="16" customWidth="1" min="9" max="9"/>
    <col width="16" customWidth="1" min="13" max="13"/>
  </cols>
  <sheetData>
    <row r="1">
      <c r="A1" s="1" t="inlineStr">
        <is>
          <t>RELATORIO GERENCIAL  ·  CONTAS A PAGAR</t>
        </is>
      </c>
    </row>
    <row r="2">
      <c r="A2" s="2" t="inlineStr">
        <is>
          <t>AP Aging — Agosto 2026</t>
        </is>
      </c>
      <c r="T2" s="3" t="inlineStr">
        <is>
          <t>cat</t>
        </is>
      </c>
      <c r="U2" s="3" t="inlineStr">
        <is>
          <t>val</t>
        </is>
      </c>
    </row>
    <row r="3">
      <c r="A3" s="4">
        <f>"Posicao em "&amp;TEXT(Parametros!$B$6,"DD/MM/YYYY")&amp;"   -   Fonte: SAP - Administrar itens fornecedor (partidas em aberto)"</f>
        <v/>
      </c>
      <c r="T3" s="5" t="inlineStr">
        <is>
          <t>Construction Services – Under Litigation</t>
        </is>
      </c>
      <c r="U3">
        <f>ABS(SUMIF('Aging por Categoria'!$A$5:$A$21,$T3,'Aging por Categoria'!$I$5:$I$21))</f>
        <v/>
      </c>
      <c r="X3" s="5">
        <f>TEXT(I8/1000000,"#,##0.0")&amp;"M"&amp;CHAR(10)&amp;"Total Terceiros"</f>
        <v/>
      </c>
    </row>
    <row r="4">
      <c r="T4" s="5" t="inlineStr">
        <is>
          <t>Operational Suppliers (Wind Farms)</t>
        </is>
      </c>
      <c r="U4">
        <f>ABS(SUMIF('Aging por Categoria'!$A$5:$A$21,$T4,'Aging por Categoria'!$I$5:$I$21))</f>
        <v/>
      </c>
    </row>
    <row r="5">
      <c r="T5" s="5" t="inlineStr">
        <is>
          <t>Customs Brokerage – Overall</t>
        </is>
      </c>
      <c r="U5">
        <f>ABS(SUMIF('Aging por Categoria'!$A$5:$A$21,$T5,'Aging por Categoria'!$I$5:$I$21))</f>
        <v/>
      </c>
    </row>
    <row r="6">
      <c r="T6" s="5" t="inlineStr">
        <is>
          <t>SINOMA</t>
        </is>
      </c>
      <c r="U6">
        <f>ABS(SUMIF('Aging por Categoria'!$A$5:$A$21,$T6,'Aging por Categoria'!$I$5:$I$21))</f>
        <v/>
      </c>
    </row>
    <row r="7">
      <c r="A7" s="6" t="inlineStr">
        <is>
          <t>EXPOSICAO TOTAL</t>
        </is>
      </c>
      <c r="E7" s="6" t="inlineStr">
        <is>
          <t>INTERCOMPANY</t>
        </is>
      </c>
      <c r="I7" s="6" t="inlineStr">
        <is>
          <t>TERCEIROS</t>
        </is>
      </c>
      <c r="M7" s="6" t="inlineStr">
        <is>
          <t>VENCIDO</t>
        </is>
      </c>
      <c r="T7" s="5" t="inlineStr">
        <is>
          <t>Other Suppliers</t>
        </is>
      </c>
      <c r="U7">
        <f>ABS(SUMIF('Aging por Categoria'!$A$5:$A$21,$T7,'Aging por Categoria'!$I$5:$I$21))</f>
        <v/>
      </c>
    </row>
    <row r="8">
      <c r="A8" s="7">
        <f>ABS('Aging por Categoria'!$I$22)</f>
        <v/>
      </c>
      <c r="E8" s="7">
        <f>ABS(SUMIF('Aging por Categoria'!$A$5:$A$21,"Intercompany",'Aging por Categoria'!$I$5:$I$21))</f>
        <v/>
      </c>
      <c r="I8" s="7">
        <f>ABS('Aging por Categoria'!$I$22-SUMIF('Aging por Categoria'!$A$5:$A$21,"Intercompany",'Aging por Categoria'!$I$5:$I$21))</f>
        <v/>
      </c>
      <c r="M8" s="7">
        <f>ABS(SUMIF(Base[Vencido],1,Base[Montante]))</f>
        <v/>
      </c>
      <c r="T8" s="5" t="inlineStr">
        <is>
          <t>Demais categorias</t>
        </is>
      </c>
      <c r="U8">
        <f>MAX(0,ABS('Aging por Categoria'!I22-SUMIF('Aging por Categoria'!$A$5:$A$21,"Intercompany",'Aging por Categoria'!$I$5:$I$21))-(U3+U4+U5+U6+U7))</f>
        <v/>
      </c>
    </row>
    <row r="9">
      <c r="A9" s="4" t="inlineStr">
        <is>
          <t>Saldo consolidado na data de corte</t>
        </is>
      </c>
      <c r="E9" s="4" t="inlineStr">
        <is>
          <t>Empresas do grupo Nordex</t>
        </is>
      </c>
      <c r="I9" s="4" t="inlineStr">
        <is>
          <t>Fornecedores externos</t>
        </is>
      </c>
      <c r="M9" s="4" t="inlineStr">
        <is>
          <t>Vencimento ja expirado</t>
        </is>
      </c>
    </row>
    <row r="12">
      <c r="T12" s="3" t="inlineStr">
        <is>
          <t>ano</t>
        </is>
      </c>
      <c r="U12" s="3" t="inlineStr">
        <is>
          <t>val</t>
        </is>
      </c>
    </row>
    <row r="13">
      <c r="T13" s="5" t="inlineStr">
        <is>
          <t>Até 2020</t>
        </is>
      </c>
      <c r="U13">
        <f>ABS('Aging por Categoria'!B22)</f>
        <v/>
      </c>
      <c r="V13">
        <f>AVERAGE($U$13:$U$19)</f>
        <v/>
      </c>
      <c r="X13" s="5">
        <f>TEXT(ABS('Aging por Categoria'!H22/1000000),"#,##0.0")&amp;"M"&amp;CHAR(10)&amp;"Saldo 2026"</f>
        <v/>
      </c>
    </row>
    <row r="14">
      <c r="T14" s="5" t="inlineStr">
        <is>
          <t>2021</t>
        </is>
      </c>
      <c r="U14">
        <f>ABS('Aging por Categoria'!C22)</f>
        <v/>
      </c>
      <c r="V14">
        <f>AVERAGE($U$13:$U$19)</f>
        <v/>
      </c>
    </row>
    <row r="15">
      <c r="T15" s="5" t="inlineStr">
        <is>
          <t>2022</t>
        </is>
      </c>
      <c r="U15">
        <f>ABS('Aging por Categoria'!D22)</f>
        <v/>
      </c>
      <c r="V15">
        <f>AVERAGE($U$13:$U$19)</f>
        <v/>
      </c>
    </row>
    <row r="16">
      <c r="T16" s="5" t="inlineStr">
        <is>
          <t>2023</t>
        </is>
      </c>
      <c r="U16">
        <f>ABS('Aging por Categoria'!E22)</f>
        <v/>
      </c>
      <c r="V16">
        <f>AVERAGE($U$13:$U$19)</f>
        <v/>
      </c>
    </row>
    <row r="17">
      <c r="T17" s="5" t="inlineStr">
        <is>
          <t>2024</t>
        </is>
      </c>
      <c r="U17">
        <f>ABS('Aging por Categoria'!F22)</f>
        <v/>
      </c>
      <c r="V17">
        <f>AVERAGE($U$13:$U$19)</f>
        <v/>
      </c>
    </row>
    <row r="18">
      <c r="T18" s="5" t="inlineStr">
        <is>
          <t>2025</t>
        </is>
      </c>
      <c r="U18">
        <f>ABS('Aging por Categoria'!G22)</f>
        <v/>
      </c>
      <c r="V18">
        <f>AVERAGE($U$13:$U$19)</f>
        <v/>
      </c>
    </row>
    <row r="19">
      <c r="T19" s="5" t="inlineStr">
        <is>
          <t>2026</t>
        </is>
      </c>
      <c r="U19">
        <f>ABS('Aging por Categoria'!H22)</f>
        <v/>
      </c>
      <c r="V19">
        <f>AVERAGE($U$13:$U$19)</f>
        <v/>
      </c>
    </row>
    <row r="22">
      <c r="T22" s="3" t="inlineStr">
        <is>
          <t>forn</t>
        </is>
      </c>
      <c r="U22" s="3" t="inlineStr">
        <is>
          <t>val</t>
        </is>
      </c>
    </row>
    <row r="23">
      <c r="T23" s="5" t="inlineStr">
        <is>
          <t>4U CONSTRUCOES LTDA EPP</t>
        </is>
      </c>
      <c r="U23">
        <f>ABS(SUMIF(Base[Fornecedor],"101963",Base[Montante]))</f>
        <v/>
      </c>
    </row>
    <row r="24">
      <c r="T24" s="5" t="inlineStr">
        <is>
          <t>SINOMA WIND POWER BLADE (BRAZIL) LT</t>
        </is>
      </c>
      <c r="U24">
        <f>ABS(SUMIF(Base[Fornecedor],"103849",Base[Montante]))</f>
        <v/>
      </c>
    </row>
    <row r="25">
      <c r="T25" s="5" t="inlineStr">
        <is>
          <t>3Z MOVIMENTACAO INTELIGENTE LTDA 94</t>
        </is>
      </c>
      <c r="U25">
        <f>ABS(SUMIF(Base[Fornecedor],"102113",Base[Montante]))</f>
        <v/>
      </c>
    </row>
    <row r="26">
      <c r="T26" s="5" t="inlineStr">
        <is>
          <t>TRADEWORKS SERVICOS DE COMERCIO EXT</t>
        </is>
      </c>
      <c r="U26">
        <f>ABS(SUMIF(Base[Fornecedor],"105984",Base[Montante]))</f>
        <v/>
      </c>
    </row>
    <row r="27">
      <c r="T27" s="5" t="inlineStr">
        <is>
          <t>CUSTOM COMERCIO INTERNACIONAL LTDA</t>
        </is>
      </c>
      <c r="U27">
        <f>ABS(SUMIF(Base[Fornecedor],"101071",Base[Montante]))</f>
        <v/>
      </c>
    </row>
    <row r="28">
      <c r="T28" s="5" t="inlineStr">
        <is>
          <t>DARCY PACHECO SOLUCOES DE PESO LTDA</t>
        </is>
      </c>
      <c r="U28">
        <f>ABS(SUMIF(Base[Fornecedor],"101801",Base[Montante]))</f>
        <v/>
      </c>
    </row>
    <row r="29">
      <c r="T29" s="5" t="inlineStr">
        <is>
          <t>ZURICH MINAS BRASIL SEGUROS S A</t>
        </is>
      </c>
      <c r="U29">
        <f>ABS(SUMIF(Base[Fornecedor],"101463",Base[Montante]))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9" customWidth="1" min="4" max="4"/>
    <col width="12" customWidth="1" min="5" max="5"/>
    <col width="14" customWidth="1" min="6" max="6"/>
    <col width="8" customWidth="1" min="7" max="7"/>
    <col width="14" customWidth="1" min="8" max="8"/>
    <col width="13" customWidth="1" min="9" max="9"/>
    <col width="13" customWidth="1" min="10" max="10"/>
    <col width="28" customWidth="1" min="11" max="11"/>
    <col width="16" customWidth="1" min="12" max="12"/>
    <col width="8" customWidth="1" min="13" max="13"/>
    <col width="26" customWidth="1" min="14" max="14"/>
    <col width="10" customWidth="1" min="15" max="15"/>
    <col width="8" customWidth="1" min="16" max="16"/>
  </cols>
  <sheetData>
    <row r="1">
      <c r="A1" s="8" t="inlineStr">
        <is>
          <t>Conta</t>
        </is>
      </c>
      <c r="B1" s="8" t="inlineStr">
        <is>
          <t>Fornecedor</t>
        </is>
      </c>
      <c r="C1" s="8" t="inlineStr">
        <is>
          <t>Nome do fornecedor</t>
        </is>
      </c>
      <c r="D1" s="8" t="inlineStr">
        <is>
          <t>Tipo doc</t>
        </is>
      </c>
      <c r="E1" s="8" t="inlineStr">
        <is>
          <t>Documento</t>
        </is>
      </c>
      <c r="F1" s="8" t="inlineStr">
        <is>
          <t>Referência</t>
        </is>
      </c>
      <c r="G1" s="8" t="inlineStr">
        <is>
          <t>Moeda</t>
        </is>
      </c>
      <c r="H1" s="8" t="inlineStr">
        <is>
          <t>Montante</t>
        </is>
      </c>
      <c r="I1" s="8" t="inlineStr">
        <is>
          <t>Data documento</t>
        </is>
      </c>
      <c r="J1" s="8" t="inlineStr">
        <is>
          <t>Data vencimento</t>
        </is>
      </c>
      <c r="K1" s="8" t="inlineStr">
        <is>
          <t>Texto</t>
        </is>
      </c>
      <c r="L1" s="8" t="inlineStr">
        <is>
          <t>Atribuição</t>
        </is>
      </c>
      <c r="M1" s="8" t="inlineStr">
        <is>
          <t>Ano</t>
        </is>
      </c>
      <c r="N1" s="8" t="inlineStr">
        <is>
          <t>Categoria</t>
        </is>
      </c>
      <c r="O1" s="8" t="inlineStr">
        <is>
          <t>Dias atraso</t>
        </is>
      </c>
      <c r="P1" s="8" t="inlineStr">
        <is>
          <t>Vencido</t>
        </is>
      </c>
    </row>
    <row r="2">
      <c r="A2" s="5" t="n">
        <v>2122100000</v>
      </c>
      <c r="B2" s="5" t="inlineStr">
        <is>
          <t>IC1000</t>
        </is>
      </c>
      <c r="C2" s="5" t="inlineStr">
        <is>
          <t>NORDEX ENERGY SE &amp; CO KG</t>
        </is>
      </c>
      <c r="D2" s="5" t="inlineStr">
        <is>
          <t>AB</t>
        </is>
      </c>
      <c r="E2" s="5" t="n">
        <v>1008418</v>
      </c>
      <c r="F2" s="5" t="n"/>
      <c r="G2" s="5" t="inlineStr">
        <is>
          <t>EUR</t>
        </is>
      </c>
      <c r="H2" s="9" t="n">
        <v>33462.83</v>
      </c>
      <c r="I2" s="16" t="n">
        <v>45227</v>
      </c>
      <c r="J2" s="16" t="n">
        <v>45227</v>
      </c>
      <c r="K2" s="5" t="inlineStr">
        <is>
          <t>Clearing document NORDEX ENERGY SE &amp; CO. KG</t>
        </is>
      </c>
      <c r="L2" s="5" t="inlineStr">
        <is>
          <t>403000.NORDENER</t>
        </is>
      </c>
      <c r="M2" s="5">
        <f>IF(YEAR(I2)&lt;=2020,"Até 2020",TEXT(YEAR(I2),"0"))</f>
        <v/>
      </c>
      <c r="N2" s="5">
        <f>IFERROR(INDEX(DePara!$A:$A,MATCH(TEXT(B2,"0"),DePara!$D:$D,0)),"(sem categoria)")</f>
        <v/>
      </c>
      <c r="O2" s="5">
        <f>IF(J2="","",Parametros!$B$6-J2)</f>
        <v/>
      </c>
      <c r="P2" s="5">
        <f>IF(O2="","",IF(O2&gt;0,1,0))</f>
        <v/>
      </c>
    </row>
    <row r="3">
      <c r="A3" s="5" t="n">
        <v>2122100000</v>
      </c>
      <c r="B3" s="5" t="inlineStr">
        <is>
          <t>IC4420</t>
        </is>
      </c>
      <c r="C3" s="5" t="inlineStr">
        <is>
          <t>NORDEX ENERGY SPAIN S A U</t>
        </is>
      </c>
      <c r="D3" s="5" t="inlineStr">
        <is>
          <t>AB</t>
        </is>
      </c>
      <c r="E3" s="5" t="n">
        <v>1008419</v>
      </c>
      <c r="F3" s="5" t="n"/>
      <c r="G3" s="5" t="inlineStr">
        <is>
          <t>EUR</t>
        </is>
      </c>
      <c r="H3" s="9" t="n">
        <v>93546.45</v>
      </c>
      <c r="I3" s="16" t="n">
        <v>45227</v>
      </c>
      <c r="J3" s="16" t="n">
        <v>45227</v>
      </c>
      <c r="K3" s="5" t="inlineStr">
        <is>
          <t>Clearing document NORDEX ENERGY SPAIN S.A.U.</t>
        </is>
      </c>
      <c r="L3" s="5" t="inlineStr">
        <is>
          <t>intercompany</t>
        </is>
      </c>
      <c r="M3" s="5">
        <f>IF(YEAR(I3)&lt;=2020,"Até 2020",TEXT(YEAR(I3),"0"))</f>
        <v/>
      </c>
      <c r="N3" s="5">
        <f>IFERROR(INDEX(DePara!$A:$A,MATCH(TEXT(B3,"0"),DePara!$D:$D,0)),"(sem categoria)")</f>
        <v/>
      </c>
      <c r="O3" s="5">
        <f>IF(J3="","",Parametros!$B$6-J3)</f>
        <v/>
      </c>
      <c r="P3" s="5">
        <f>IF(O3="","",IF(O3&gt;0,1,0))</f>
        <v/>
      </c>
    </row>
    <row r="4">
      <c r="A4" s="5" t="n">
        <v>2122100000</v>
      </c>
      <c r="B4" s="5" t="inlineStr">
        <is>
          <t>IC4420</t>
        </is>
      </c>
      <c r="C4" s="5" t="inlineStr">
        <is>
          <t>NORDEX ENERGY SPAIN S A U</t>
        </is>
      </c>
      <c r="D4" s="5" t="inlineStr">
        <is>
          <t>AB</t>
        </is>
      </c>
      <c r="E4" s="5" t="n">
        <v>1008419</v>
      </c>
      <c r="F4" s="5" t="n"/>
      <c r="G4" s="5" t="inlineStr">
        <is>
          <t>EUR</t>
        </is>
      </c>
      <c r="H4" s="9" t="n">
        <v>63508.45</v>
      </c>
      <c r="I4" s="16" t="n">
        <v>45227</v>
      </c>
      <c r="J4" s="16" t="n">
        <v>45227</v>
      </c>
      <c r="K4" s="5" t="inlineStr">
        <is>
          <t>Clearing document NORDEX ENERGY SPAIN S.A.U.</t>
        </is>
      </c>
      <c r="L4" s="5" t="inlineStr">
        <is>
          <t>intercompany</t>
        </is>
      </c>
      <c r="M4" s="5">
        <f>IF(YEAR(I4)&lt;=2020,"Até 2020",TEXT(YEAR(I4),"0"))</f>
        <v/>
      </c>
      <c r="N4" s="5">
        <f>IFERROR(INDEX(DePara!$A:$A,MATCH(TEXT(B4,"0"),DePara!$D:$D,0)),"(sem categoria)")</f>
        <v/>
      </c>
      <c r="O4" s="5">
        <f>IF(J4="","",Parametros!$B$6-J4)</f>
        <v/>
      </c>
      <c r="P4" s="5">
        <f>IF(O4="","",IF(O4&gt;0,1,0))</f>
        <v/>
      </c>
    </row>
    <row r="5">
      <c r="A5" s="5" t="n">
        <v>2122100000</v>
      </c>
      <c r="B5" s="5" t="inlineStr">
        <is>
          <t>IC4420</t>
        </is>
      </c>
      <c r="C5" s="5" t="inlineStr">
        <is>
          <t>NORDEX ENERGY SPAIN S A U</t>
        </is>
      </c>
      <c r="D5" s="5" t="inlineStr">
        <is>
          <t>RE</t>
        </is>
      </c>
      <c r="E5" s="5" t="n">
        <v>5000001</v>
      </c>
      <c r="F5" s="5" t="inlineStr">
        <is>
          <t>4025008482</t>
        </is>
      </c>
      <c r="G5" s="5" t="inlineStr">
        <is>
          <t>EUR</t>
        </is>
      </c>
      <c r="H5" s="9" t="n">
        <v>-181492.25</v>
      </c>
      <c r="I5" s="16" t="n">
        <v>45964</v>
      </c>
      <c r="J5" s="16" t="n">
        <v>45994</v>
      </c>
      <c r="K5" s="5" t="inlineStr">
        <is>
          <t>0846/25</t>
        </is>
      </c>
      <c r="L5" s="5" t="inlineStr">
        <is>
          <t>4025008482</t>
        </is>
      </c>
      <c r="M5" s="5">
        <f>IF(YEAR(I5)&lt;=2020,"Até 2020",TEXT(YEAR(I5),"0"))</f>
        <v/>
      </c>
      <c r="N5" s="5">
        <f>IFERROR(INDEX(DePara!$A:$A,MATCH(TEXT(B5,"0"),DePara!$D:$D,0)),"(sem categoria)")</f>
        <v/>
      </c>
      <c r="O5" s="5">
        <f>IF(J5="","",Parametros!$B$6-J5)</f>
        <v/>
      </c>
      <c r="P5" s="5">
        <f>IF(O5="","",IF(O5&gt;0,1,0))</f>
        <v/>
      </c>
    </row>
    <row r="6">
      <c r="A6" s="5" t="n">
        <v>2122100000</v>
      </c>
      <c r="B6" s="5" t="inlineStr">
        <is>
          <t>IC4420</t>
        </is>
      </c>
      <c r="C6" s="5" t="inlineStr">
        <is>
          <t>NORDEX ENERGY SPAIN S A U</t>
        </is>
      </c>
      <c r="D6" s="5" t="inlineStr">
        <is>
          <t>RE</t>
        </is>
      </c>
      <c r="E6" s="5" t="n">
        <v>5000003</v>
      </c>
      <c r="F6" s="5" t="inlineStr">
        <is>
          <t>4025008480</t>
        </is>
      </c>
      <c r="G6" s="5" t="inlineStr">
        <is>
          <t>EUR</t>
        </is>
      </c>
      <c r="H6" s="9" t="n">
        <v>-95934.74000000001</v>
      </c>
      <c r="I6" s="16" t="n">
        <v>45964</v>
      </c>
      <c r="J6" s="16" t="n">
        <v>45994</v>
      </c>
      <c r="K6" s="5" t="inlineStr">
        <is>
          <t>0842/25</t>
        </is>
      </c>
      <c r="L6" s="5" t="inlineStr">
        <is>
          <t>4025008480</t>
        </is>
      </c>
      <c r="M6" s="5">
        <f>IF(YEAR(I6)&lt;=2020,"Até 2020",TEXT(YEAR(I6),"0"))</f>
        <v/>
      </c>
      <c r="N6" s="5">
        <f>IFERROR(INDEX(DePara!$A:$A,MATCH(TEXT(B6,"0"),DePara!$D:$D,0)),"(sem categoria)")</f>
        <v/>
      </c>
      <c r="O6" s="5">
        <f>IF(J6="","",Parametros!$B$6-J6)</f>
        <v/>
      </c>
      <c r="P6" s="5">
        <f>IF(O6="","",IF(O6&gt;0,1,0))</f>
        <v/>
      </c>
    </row>
    <row r="7">
      <c r="A7" s="5" t="n">
        <v>2122100000</v>
      </c>
      <c r="B7" s="5" t="inlineStr">
        <is>
          <t>IC4420</t>
        </is>
      </c>
      <c r="C7" s="5" t="inlineStr">
        <is>
          <t>NORDEX ENERGY SPAIN S A U</t>
        </is>
      </c>
      <c r="D7" s="5" t="inlineStr">
        <is>
          <t>RE</t>
        </is>
      </c>
      <c r="E7" s="5" t="n">
        <v>5000005</v>
      </c>
      <c r="F7" s="5" t="inlineStr">
        <is>
          <t>4025008261</t>
        </is>
      </c>
      <c r="G7" s="5" t="inlineStr">
        <is>
          <t>EUR</t>
        </is>
      </c>
      <c r="H7" s="9" t="n">
        <v>-251289.79</v>
      </c>
      <c r="I7" s="16" t="n">
        <v>45957</v>
      </c>
      <c r="J7" s="16" t="n">
        <v>45987</v>
      </c>
      <c r="K7" s="5" t="inlineStr">
        <is>
          <t>0826/25</t>
        </is>
      </c>
      <c r="L7" s="5" t="inlineStr">
        <is>
          <t>4025008261</t>
        </is>
      </c>
      <c r="M7" s="5">
        <f>IF(YEAR(I7)&lt;=2020,"Até 2020",TEXT(YEAR(I7),"0"))</f>
        <v/>
      </c>
      <c r="N7" s="5">
        <f>IFERROR(INDEX(DePara!$A:$A,MATCH(TEXT(B7,"0"),DePara!$D:$D,0)),"(sem categoria)")</f>
        <v/>
      </c>
      <c r="O7" s="5">
        <f>IF(J7="","",Parametros!$B$6-J7)</f>
        <v/>
      </c>
      <c r="P7" s="5">
        <f>IF(O7="","",IF(O7&gt;0,1,0))</f>
        <v/>
      </c>
    </row>
    <row r="8">
      <c r="A8" s="5" t="n">
        <v>2122100000</v>
      </c>
      <c r="B8" s="5" t="inlineStr">
        <is>
          <t>IC4420</t>
        </is>
      </c>
      <c r="C8" s="5" t="inlineStr">
        <is>
          <t>NORDEX ENERGY SPAIN S A U</t>
        </is>
      </c>
      <c r="D8" s="5" t="inlineStr">
        <is>
          <t>RE</t>
        </is>
      </c>
      <c r="E8" s="5" t="n">
        <v>5000072</v>
      </c>
      <c r="F8" s="5" t="inlineStr">
        <is>
          <t>4025008229</t>
        </is>
      </c>
      <c r="G8" s="5" t="inlineStr">
        <is>
          <t>EUR</t>
        </is>
      </c>
      <c r="H8" s="9" t="n">
        <v>-3838623.15</v>
      </c>
      <c r="I8" s="16" t="n">
        <v>45954</v>
      </c>
      <c r="J8" s="16" t="n">
        <v>45984</v>
      </c>
      <c r="K8" s="5" t="inlineStr">
        <is>
          <t>0852/25</t>
        </is>
      </c>
      <c r="L8" s="5" t="inlineStr">
        <is>
          <t>4025008229</t>
        </is>
      </c>
      <c r="M8" s="5">
        <f>IF(YEAR(I8)&lt;=2020,"Até 2020",TEXT(YEAR(I8),"0"))</f>
        <v/>
      </c>
      <c r="N8" s="5">
        <f>IFERROR(INDEX(DePara!$A:$A,MATCH(TEXT(B8,"0"),DePara!$D:$D,0)),"(sem categoria)")</f>
        <v/>
      </c>
      <c r="O8" s="5">
        <f>IF(J8="","",Parametros!$B$6-J8)</f>
        <v/>
      </c>
      <c r="P8" s="5">
        <f>IF(O8="","",IF(O8&gt;0,1,0))</f>
        <v/>
      </c>
    </row>
    <row r="9">
      <c r="A9" s="5" t="n">
        <v>2122100000</v>
      </c>
      <c r="B9" s="5" t="inlineStr">
        <is>
          <t>IC4420</t>
        </is>
      </c>
      <c r="C9" s="5" t="inlineStr">
        <is>
          <t>NORDEX ENERGY SPAIN S A U</t>
        </is>
      </c>
      <c r="D9" s="5" t="inlineStr">
        <is>
          <t>RE</t>
        </is>
      </c>
      <c r="E9" s="5" t="n">
        <v>5000180</v>
      </c>
      <c r="F9" s="5" t="inlineStr">
        <is>
          <t>4025008478</t>
        </is>
      </c>
      <c r="G9" s="5" t="inlineStr">
        <is>
          <t>EUR</t>
        </is>
      </c>
      <c r="H9" s="9" t="n">
        <v>-1330.48</v>
      </c>
      <c r="I9" s="16" t="n">
        <v>45964</v>
      </c>
      <c r="J9" s="16" t="n">
        <v>45994</v>
      </c>
      <c r="K9" s="5" t="inlineStr">
        <is>
          <t>0844/25</t>
        </is>
      </c>
      <c r="L9" s="5" t="inlineStr">
        <is>
          <t>4025008478</t>
        </is>
      </c>
      <c r="M9" s="5">
        <f>IF(YEAR(I9)&lt;=2020,"Até 2020",TEXT(YEAR(I9),"0"))</f>
        <v/>
      </c>
      <c r="N9" s="5">
        <f>IFERROR(INDEX(DePara!$A:$A,MATCH(TEXT(B9,"0"),DePara!$D:$D,0)),"(sem categoria)")</f>
        <v/>
      </c>
      <c r="O9" s="5">
        <f>IF(J9="","",Parametros!$B$6-J9)</f>
        <v/>
      </c>
      <c r="P9" s="5">
        <f>IF(O9="","",IF(O9&gt;0,1,0))</f>
        <v/>
      </c>
    </row>
    <row r="10">
      <c r="A10" s="5" t="n">
        <v>2122100000</v>
      </c>
      <c r="B10" s="5" t="inlineStr">
        <is>
          <t>IC4420</t>
        </is>
      </c>
      <c r="C10" s="5" t="inlineStr">
        <is>
          <t>NORDEX ENERGY SPAIN S A U</t>
        </is>
      </c>
      <c r="D10" s="5" t="inlineStr">
        <is>
          <t>RE</t>
        </is>
      </c>
      <c r="E10" s="5" t="n">
        <v>5000181</v>
      </c>
      <c r="F10" s="5" t="inlineStr">
        <is>
          <t>4025008476</t>
        </is>
      </c>
      <c r="G10" s="5" t="inlineStr">
        <is>
          <t>EUR</t>
        </is>
      </c>
      <c r="H10" s="9" t="n">
        <v>-118914.41</v>
      </c>
      <c r="I10" s="16" t="n">
        <v>45964</v>
      </c>
      <c r="J10" s="16" t="n">
        <v>45994</v>
      </c>
      <c r="K10" s="5" t="inlineStr">
        <is>
          <t>0844/25</t>
        </is>
      </c>
      <c r="L10" s="5" t="inlineStr">
        <is>
          <t>4025008476</t>
        </is>
      </c>
      <c r="M10" s="5">
        <f>IF(YEAR(I10)&lt;=2020,"Até 2020",TEXT(YEAR(I10),"0"))</f>
        <v/>
      </c>
      <c r="N10" s="5">
        <f>IFERROR(INDEX(DePara!$A:$A,MATCH(TEXT(B10,"0"),DePara!$D:$D,0)),"(sem categoria)")</f>
        <v/>
      </c>
      <c r="O10" s="5">
        <f>IF(J10="","",Parametros!$B$6-J10)</f>
        <v/>
      </c>
      <c r="P10" s="5">
        <f>IF(O10="","",IF(O10&gt;0,1,0))</f>
        <v/>
      </c>
    </row>
    <row r="11">
      <c r="A11" s="5" t="n">
        <v>2122100000</v>
      </c>
      <c r="B11" s="5" t="inlineStr">
        <is>
          <t>IC4420</t>
        </is>
      </c>
      <c r="C11" s="5" t="inlineStr">
        <is>
          <t>NORDEX ENERGY SPAIN S A U</t>
        </is>
      </c>
      <c r="D11" s="5" t="inlineStr">
        <is>
          <t>RE</t>
        </is>
      </c>
      <c r="E11" s="5" t="n">
        <v>5000188</v>
      </c>
      <c r="F11" s="5" t="inlineStr">
        <is>
          <t>4025009533</t>
        </is>
      </c>
      <c r="G11" s="5" t="inlineStr">
        <is>
          <t>EUR</t>
        </is>
      </c>
      <c r="H11" s="9" t="n">
        <v>-2357</v>
      </c>
      <c r="I11" s="16" t="n">
        <v>46000</v>
      </c>
      <c r="J11" s="16" t="n">
        <v>46030</v>
      </c>
      <c r="K11" s="5" t="inlineStr">
        <is>
          <t>0926/25</t>
        </is>
      </c>
      <c r="L11" s="5" t="inlineStr">
        <is>
          <t>4025009533</t>
        </is>
      </c>
      <c r="M11" s="5">
        <f>IF(YEAR(I11)&lt;=2020,"Até 2020",TEXT(YEAR(I11),"0"))</f>
        <v/>
      </c>
      <c r="N11" s="5">
        <f>IFERROR(INDEX(DePara!$A:$A,MATCH(TEXT(B11,"0"),DePara!$D:$D,0)),"(sem categoria)")</f>
        <v/>
      </c>
      <c r="O11" s="5">
        <f>IF(J11="","",Parametros!$B$6-J11)</f>
        <v/>
      </c>
      <c r="P11" s="5">
        <f>IF(O11="","",IF(O11&gt;0,1,0))</f>
        <v/>
      </c>
    </row>
    <row r="12">
      <c r="A12" s="5" t="n">
        <v>2122100000</v>
      </c>
      <c r="B12" s="5" t="inlineStr">
        <is>
          <t>IC4420</t>
        </is>
      </c>
      <c r="C12" s="5" t="inlineStr">
        <is>
          <t>NORDEX ENERGY SPAIN S A U</t>
        </is>
      </c>
      <c r="D12" s="5" t="inlineStr">
        <is>
          <t>RE</t>
        </is>
      </c>
      <c r="E12" s="5" t="n">
        <v>5000190</v>
      </c>
      <c r="F12" s="5" t="inlineStr">
        <is>
          <t>4025009569</t>
        </is>
      </c>
      <c r="G12" s="5" t="inlineStr">
        <is>
          <t>EUR</t>
        </is>
      </c>
      <c r="H12" s="9" t="n">
        <v>-6504.31</v>
      </c>
      <c r="I12" s="16" t="n">
        <v>46001</v>
      </c>
      <c r="J12" s="16" t="n">
        <v>46031</v>
      </c>
      <c r="K12" s="5" t="inlineStr">
        <is>
          <t>0921/25</t>
        </is>
      </c>
      <c r="L12" s="5" t="inlineStr">
        <is>
          <t>4025009569</t>
        </is>
      </c>
      <c r="M12" s="5">
        <f>IF(YEAR(I12)&lt;=2020,"Até 2020",TEXT(YEAR(I12),"0"))</f>
        <v/>
      </c>
      <c r="N12" s="5">
        <f>IFERROR(INDEX(DePara!$A:$A,MATCH(TEXT(B12,"0"),DePara!$D:$D,0)),"(sem categoria)")</f>
        <v/>
      </c>
      <c r="O12" s="5">
        <f>IF(J12="","",Parametros!$B$6-J12)</f>
        <v/>
      </c>
      <c r="P12" s="5">
        <f>IF(O12="","",IF(O12&gt;0,1,0))</f>
        <v/>
      </c>
    </row>
    <row r="13">
      <c r="A13" s="5" t="n">
        <v>2122100000</v>
      </c>
      <c r="B13" s="5" t="inlineStr">
        <is>
          <t>IC4420</t>
        </is>
      </c>
      <c r="C13" s="5" t="inlineStr">
        <is>
          <t>NORDEX ENERGY SPAIN S A U</t>
        </is>
      </c>
      <c r="D13" s="5" t="inlineStr">
        <is>
          <t>RE</t>
        </is>
      </c>
      <c r="E13" s="5" t="n">
        <v>5000236</v>
      </c>
      <c r="F13" s="5" t="inlineStr">
        <is>
          <t>4025009111</t>
        </is>
      </c>
      <c r="G13" s="5" t="inlineStr">
        <is>
          <t>EUR</t>
        </is>
      </c>
      <c r="H13" s="9" t="n">
        <v>-826.41</v>
      </c>
      <c r="I13" s="16" t="n">
        <v>45987</v>
      </c>
      <c r="J13" s="16" t="n">
        <v>46017</v>
      </c>
      <c r="K13" s="5" t="inlineStr">
        <is>
          <t>0890/25</t>
        </is>
      </c>
      <c r="L13" s="5" t="inlineStr">
        <is>
          <t>4025009111</t>
        </is>
      </c>
      <c r="M13" s="5">
        <f>IF(YEAR(I13)&lt;=2020,"Até 2020",TEXT(YEAR(I13),"0"))</f>
        <v/>
      </c>
      <c r="N13" s="5">
        <f>IFERROR(INDEX(DePara!$A:$A,MATCH(TEXT(B13,"0"),DePara!$D:$D,0)),"(sem categoria)")</f>
        <v/>
      </c>
      <c r="O13" s="5">
        <f>IF(J13="","",Parametros!$B$6-J13)</f>
        <v/>
      </c>
      <c r="P13" s="5">
        <f>IF(O13="","",IF(O13&gt;0,1,0))</f>
        <v/>
      </c>
    </row>
    <row r="14">
      <c r="A14" s="5" t="n">
        <v>2122100000</v>
      </c>
      <c r="B14" s="5" t="inlineStr">
        <is>
          <t>IC4420</t>
        </is>
      </c>
      <c r="C14" s="5" t="inlineStr">
        <is>
          <t>NORDEX ENERGY SPAIN S A U</t>
        </is>
      </c>
      <c r="D14" s="5" t="inlineStr">
        <is>
          <t>RE</t>
        </is>
      </c>
      <c r="E14" s="5" t="n">
        <v>5000246</v>
      </c>
      <c r="F14" s="5" t="inlineStr">
        <is>
          <t>4025008477</t>
        </is>
      </c>
      <c r="G14" s="5" t="inlineStr">
        <is>
          <t>EUR</t>
        </is>
      </c>
      <c r="H14" s="9" t="n">
        <v>-9145.389999999999</v>
      </c>
      <c r="I14" s="16" t="n">
        <v>45964</v>
      </c>
      <c r="J14" s="16" t="n">
        <v>45994</v>
      </c>
      <c r="K14" s="5" t="inlineStr">
        <is>
          <t>0845/25</t>
        </is>
      </c>
      <c r="L14" s="5" t="inlineStr">
        <is>
          <t>4025008477</t>
        </is>
      </c>
      <c r="M14" s="5">
        <f>IF(YEAR(I14)&lt;=2020,"Até 2020",TEXT(YEAR(I14),"0"))</f>
        <v/>
      </c>
      <c r="N14" s="5">
        <f>IFERROR(INDEX(DePara!$A:$A,MATCH(TEXT(B14,"0"),DePara!$D:$D,0)),"(sem categoria)")</f>
        <v/>
      </c>
      <c r="O14" s="5">
        <f>IF(J14="","",Parametros!$B$6-J14)</f>
        <v/>
      </c>
      <c r="P14" s="5">
        <f>IF(O14="","",IF(O14&gt;0,1,0))</f>
        <v/>
      </c>
    </row>
    <row r="15">
      <c r="A15" s="5" t="n">
        <v>2122100000</v>
      </c>
      <c r="B15" s="5" t="inlineStr">
        <is>
          <t>IC4420</t>
        </is>
      </c>
      <c r="C15" s="5" t="inlineStr">
        <is>
          <t>NORDEX ENERGY SPAIN S A U</t>
        </is>
      </c>
      <c r="D15" s="5" t="inlineStr">
        <is>
          <t>RE</t>
        </is>
      </c>
      <c r="E15" s="5" t="n">
        <v>5000263</v>
      </c>
      <c r="F15" s="5" t="inlineStr">
        <is>
          <t>4025008479</t>
        </is>
      </c>
      <c r="G15" s="5" t="inlineStr">
        <is>
          <t>EUR</t>
        </is>
      </c>
      <c r="H15" s="9" t="n">
        <v>-193802.69</v>
      </c>
      <c r="I15" s="16" t="n">
        <v>45964</v>
      </c>
      <c r="J15" s="16" t="n">
        <v>45994</v>
      </c>
      <c r="K15" s="5" t="inlineStr">
        <is>
          <t>0843/25</t>
        </is>
      </c>
      <c r="L15" s="5" t="inlineStr">
        <is>
          <t>4025008479</t>
        </is>
      </c>
      <c r="M15" s="5">
        <f>IF(YEAR(I15)&lt;=2020,"Até 2020",TEXT(YEAR(I15),"0"))</f>
        <v/>
      </c>
      <c r="N15" s="5">
        <f>IFERROR(INDEX(DePara!$A:$A,MATCH(TEXT(B15,"0"),DePara!$D:$D,0)),"(sem categoria)")</f>
        <v/>
      </c>
      <c r="O15" s="5">
        <f>IF(J15="","",Parametros!$B$6-J15)</f>
        <v/>
      </c>
      <c r="P15" s="5">
        <f>IF(O15="","",IF(O15&gt;0,1,0))</f>
        <v/>
      </c>
    </row>
    <row r="16">
      <c r="A16" s="5" t="n">
        <v>2122100000</v>
      </c>
      <c r="B16" s="5" t="inlineStr">
        <is>
          <t>IC4420</t>
        </is>
      </c>
      <c r="C16" s="5" t="inlineStr">
        <is>
          <t>NORDEX ENERGY SPAIN S A U</t>
        </is>
      </c>
      <c r="D16" s="5" t="inlineStr">
        <is>
          <t>RE</t>
        </is>
      </c>
      <c r="E16" s="5" t="n">
        <v>5000284</v>
      </c>
      <c r="F16" s="5" t="inlineStr">
        <is>
          <t>4025009104</t>
        </is>
      </c>
      <c r="G16" s="5" t="inlineStr">
        <is>
          <t>EUR</t>
        </is>
      </c>
      <c r="H16" s="9" t="n">
        <v>-33691.24</v>
      </c>
      <c r="I16" s="16" t="n">
        <v>45987</v>
      </c>
      <c r="J16" s="16" t="n">
        <v>46017</v>
      </c>
      <c r="K16" s="5" t="inlineStr">
        <is>
          <t>0908/25</t>
        </is>
      </c>
      <c r="L16" s="5" t="inlineStr">
        <is>
          <t>4025009104</t>
        </is>
      </c>
      <c r="M16" s="5">
        <f>IF(YEAR(I16)&lt;=2020,"Até 2020",TEXT(YEAR(I16),"0"))</f>
        <v/>
      </c>
      <c r="N16" s="5">
        <f>IFERROR(INDEX(DePara!$A:$A,MATCH(TEXT(B16,"0"),DePara!$D:$D,0)),"(sem categoria)")</f>
        <v/>
      </c>
      <c r="O16" s="5">
        <f>IF(J16="","",Parametros!$B$6-J16)</f>
        <v/>
      </c>
      <c r="P16" s="5">
        <f>IF(O16="","",IF(O16&gt;0,1,0))</f>
        <v/>
      </c>
    </row>
    <row r="17">
      <c r="A17" s="5" t="n">
        <v>2122100000</v>
      </c>
      <c r="B17" s="5" t="inlineStr">
        <is>
          <t>IC4420</t>
        </is>
      </c>
      <c r="C17" s="5" t="inlineStr">
        <is>
          <t>NORDEX ENERGY SPAIN S A U</t>
        </is>
      </c>
      <c r="D17" s="5" t="inlineStr">
        <is>
          <t>RE</t>
        </is>
      </c>
      <c r="E17" s="5" t="n">
        <v>5000430</v>
      </c>
      <c r="F17" s="5" t="inlineStr">
        <is>
          <t>4025008481</t>
        </is>
      </c>
      <c r="G17" s="5" t="inlineStr">
        <is>
          <t>EUR</t>
        </is>
      </c>
      <c r="H17" s="9" t="n">
        <v>-2641.35</v>
      </c>
      <c r="I17" s="16" t="n">
        <v>45964</v>
      </c>
      <c r="J17" s="16" t="n">
        <v>45994</v>
      </c>
      <c r="K17" s="5" t="inlineStr">
        <is>
          <t>0847/25</t>
        </is>
      </c>
      <c r="L17" s="5" t="inlineStr">
        <is>
          <t>4025008481</t>
        </is>
      </c>
      <c r="M17" s="5">
        <f>IF(YEAR(I17)&lt;=2020,"Até 2020",TEXT(YEAR(I17),"0"))</f>
        <v/>
      </c>
      <c r="N17" s="5">
        <f>IFERROR(INDEX(DePara!$A:$A,MATCH(TEXT(B17,"0"),DePara!$D:$D,0)),"(sem categoria)")</f>
        <v/>
      </c>
      <c r="O17" s="5">
        <f>IF(J17="","",Parametros!$B$6-J17)</f>
        <v/>
      </c>
      <c r="P17" s="5">
        <f>IF(O17="","",IF(O17&gt;0,1,0))</f>
        <v/>
      </c>
    </row>
    <row r="18">
      <c r="A18" s="5" t="n">
        <v>2122100000</v>
      </c>
      <c r="B18" s="5" t="inlineStr">
        <is>
          <t>IC4420</t>
        </is>
      </c>
      <c r="C18" s="5" t="inlineStr">
        <is>
          <t>NORDEX ENERGY SPAIN S A U</t>
        </is>
      </c>
      <c r="D18" s="5" t="inlineStr">
        <is>
          <t>RE</t>
        </is>
      </c>
      <c r="E18" s="5" t="n">
        <v>5000453</v>
      </c>
      <c r="F18" s="5" t="inlineStr">
        <is>
          <t>4025009262</t>
        </is>
      </c>
      <c r="G18" s="5" t="inlineStr">
        <is>
          <t>EUR</t>
        </is>
      </c>
      <c r="H18" s="9" t="n">
        <v>-1450235.74</v>
      </c>
      <c r="I18" s="16" t="n">
        <v>45989</v>
      </c>
      <c r="J18" s="16" t="n">
        <v>46019</v>
      </c>
      <c r="K18" s="5" t="inlineStr">
        <is>
          <t>0856/25</t>
        </is>
      </c>
      <c r="L18" s="5" t="inlineStr">
        <is>
          <t>4025009262</t>
        </is>
      </c>
      <c r="M18" s="5">
        <f>IF(YEAR(I18)&lt;=2020,"Até 2020",TEXT(YEAR(I18),"0"))</f>
        <v/>
      </c>
      <c r="N18" s="5">
        <f>IFERROR(INDEX(DePara!$A:$A,MATCH(TEXT(B18,"0"),DePara!$D:$D,0)),"(sem categoria)")</f>
        <v/>
      </c>
      <c r="O18" s="5">
        <f>IF(J18="","",Parametros!$B$6-J18)</f>
        <v/>
      </c>
      <c r="P18" s="5">
        <f>IF(O18="","",IF(O18&gt;0,1,0))</f>
        <v/>
      </c>
    </row>
    <row r="19">
      <c r="A19" s="5" t="n">
        <v>2122100000</v>
      </c>
      <c r="B19" s="5" t="inlineStr">
        <is>
          <t>IC4420</t>
        </is>
      </c>
      <c r="C19" s="5" t="inlineStr">
        <is>
          <t>NORDEX ENERGY SPAIN S A U</t>
        </is>
      </c>
      <c r="D19" s="5" t="inlineStr">
        <is>
          <t>RE</t>
        </is>
      </c>
      <c r="E19" s="5" t="n">
        <v>5000455</v>
      </c>
      <c r="F19" s="5" t="inlineStr">
        <is>
          <t>4025007895</t>
        </is>
      </c>
      <c r="G19" s="5" t="inlineStr">
        <is>
          <t>EUR</t>
        </is>
      </c>
      <c r="H19" s="9" t="n">
        <v>-1569787.77</v>
      </c>
      <c r="I19" s="16" t="n">
        <v>45943</v>
      </c>
      <c r="J19" s="16" t="n">
        <v>45973</v>
      </c>
      <c r="K19" s="5" t="inlineStr">
        <is>
          <t>0762/25</t>
        </is>
      </c>
      <c r="L19" s="5" t="inlineStr">
        <is>
          <t>4025007895</t>
        </is>
      </c>
      <c r="M19" s="5">
        <f>IF(YEAR(I19)&lt;=2020,"Até 2020",TEXT(YEAR(I19),"0"))</f>
        <v/>
      </c>
      <c r="N19" s="5">
        <f>IFERROR(INDEX(DePara!$A:$A,MATCH(TEXT(B19,"0"),DePara!$D:$D,0)),"(sem categoria)")</f>
        <v/>
      </c>
      <c r="O19" s="5">
        <f>IF(J19="","",Parametros!$B$6-J19)</f>
        <v/>
      </c>
      <c r="P19" s="5">
        <f>IF(O19="","",IF(O19&gt;0,1,0))</f>
        <v/>
      </c>
    </row>
    <row r="20">
      <c r="A20" s="5" t="n">
        <v>2122100000</v>
      </c>
      <c r="B20" s="5" t="inlineStr">
        <is>
          <t>IC1000</t>
        </is>
      </c>
      <c r="C20" s="5" t="inlineStr">
        <is>
          <t>NORDEX ENERGY SE &amp; CO KG</t>
        </is>
      </c>
      <c r="D20" s="5" t="inlineStr">
        <is>
          <t>RE</t>
        </is>
      </c>
      <c r="E20" s="5" t="n">
        <v>5000457</v>
      </c>
      <c r="F20" s="5" t="inlineStr">
        <is>
          <t>RITM0566444</t>
        </is>
      </c>
      <c r="G20" s="5" t="inlineStr">
        <is>
          <t>EUR</t>
        </is>
      </c>
      <c r="H20" s="9" t="n">
        <v>-2355357.36</v>
      </c>
      <c r="I20" s="16" t="n">
        <v>45944</v>
      </c>
      <c r="J20" s="16" t="n">
        <v>45974</v>
      </c>
      <c r="K20" s="5" t="inlineStr">
        <is>
          <t>0827/25</t>
        </is>
      </c>
      <c r="L20" s="5" t="inlineStr">
        <is>
          <t>RITM0566444</t>
        </is>
      </c>
      <c r="M20" s="5">
        <f>IF(YEAR(I20)&lt;=2020,"Até 2020",TEXT(YEAR(I20),"0"))</f>
        <v/>
      </c>
      <c r="N20" s="5">
        <f>IFERROR(INDEX(DePara!$A:$A,MATCH(TEXT(B20,"0"),DePara!$D:$D,0)),"(sem categoria)")</f>
        <v/>
      </c>
      <c r="O20" s="5">
        <f>IF(J20="","",Parametros!$B$6-J20)</f>
        <v/>
      </c>
      <c r="P20" s="5">
        <f>IF(O20="","",IF(O20&gt;0,1,0))</f>
        <v/>
      </c>
    </row>
    <row r="21">
      <c r="A21" s="5" t="n">
        <v>2122100000</v>
      </c>
      <c r="B21" s="5" t="inlineStr">
        <is>
          <t>IC4420</t>
        </is>
      </c>
      <c r="C21" s="5" t="inlineStr">
        <is>
          <t>NORDEX ENERGY SPAIN S A U</t>
        </is>
      </c>
      <c r="D21" s="5" t="inlineStr">
        <is>
          <t>RE</t>
        </is>
      </c>
      <c r="E21" s="5" t="n">
        <v>5000459</v>
      </c>
      <c r="F21" s="5" t="inlineStr">
        <is>
          <t>4025008844</t>
        </is>
      </c>
      <c r="G21" s="5" t="inlineStr">
        <is>
          <t>EUR</t>
        </is>
      </c>
      <c r="H21" s="9" t="n">
        <v>-1179955.11</v>
      </c>
      <c r="I21" s="16" t="n">
        <v>45978</v>
      </c>
      <c r="J21" s="16" t="n">
        <v>46008</v>
      </c>
      <c r="K21" s="5" t="inlineStr">
        <is>
          <t>0867/25</t>
        </is>
      </c>
      <c r="L21" s="5" t="inlineStr">
        <is>
          <t>4025008844</t>
        </is>
      </c>
      <c r="M21" s="5">
        <f>IF(YEAR(I21)&lt;=2020,"Até 2020",TEXT(YEAR(I21),"0"))</f>
        <v/>
      </c>
      <c r="N21" s="5">
        <f>IFERROR(INDEX(DePara!$A:$A,MATCH(TEXT(B21,"0"),DePara!$D:$D,0)),"(sem categoria)")</f>
        <v/>
      </c>
      <c r="O21" s="5">
        <f>IF(J21="","",Parametros!$B$6-J21)</f>
        <v/>
      </c>
      <c r="P21" s="5">
        <f>IF(O21="","",IF(O21&gt;0,1,0))</f>
        <v/>
      </c>
    </row>
    <row r="22">
      <c r="A22" s="5" t="n">
        <v>2122100000</v>
      </c>
      <c r="B22" s="5" t="inlineStr">
        <is>
          <t>IC1000</t>
        </is>
      </c>
      <c r="C22" s="5" t="inlineStr">
        <is>
          <t>NORDEX ENERGY SE &amp; CO KG</t>
        </is>
      </c>
      <c r="D22" s="5" t="inlineStr">
        <is>
          <t>RE</t>
        </is>
      </c>
      <c r="E22" s="5" t="n">
        <v>5000610</v>
      </c>
      <c r="F22" s="5" t="inlineStr">
        <is>
          <t>373875</t>
        </is>
      </c>
      <c r="G22" s="5" t="inlineStr">
        <is>
          <t>EUR</t>
        </is>
      </c>
      <c r="H22" s="9" t="n">
        <v>-845718.51</v>
      </c>
      <c r="I22" s="16" t="n">
        <v>45995</v>
      </c>
      <c r="J22" s="16" t="n">
        <v>46025</v>
      </c>
      <c r="K22" s="5" t="inlineStr">
        <is>
          <t>0914/25</t>
        </is>
      </c>
      <c r="L22" s="5" t="inlineStr">
        <is>
          <t>373875</t>
        </is>
      </c>
      <c r="M22" s="5">
        <f>IF(YEAR(I22)&lt;=2020,"Até 2020",TEXT(YEAR(I22),"0"))</f>
        <v/>
      </c>
      <c r="N22" s="5">
        <f>IFERROR(INDEX(DePara!$A:$A,MATCH(TEXT(B22,"0"),DePara!$D:$D,0)),"(sem categoria)")</f>
        <v/>
      </c>
      <c r="O22" s="5">
        <f>IF(J22="","",Parametros!$B$6-J22)</f>
        <v/>
      </c>
      <c r="P22" s="5">
        <f>IF(O22="","",IF(O22&gt;0,1,0))</f>
        <v/>
      </c>
    </row>
    <row r="23">
      <c r="A23" s="5" t="n">
        <v>2122100000</v>
      </c>
      <c r="B23" s="5" t="inlineStr">
        <is>
          <t>IC4420</t>
        </is>
      </c>
      <c r="C23" s="5" t="inlineStr">
        <is>
          <t>NORDEX ENERGY SPAIN S A U</t>
        </is>
      </c>
      <c r="D23" s="5" t="inlineStr">
        <is>
          <t>RE</t>
        </is>
      </c>
      <c r="E23" s="5" t="n">
        <v>5000611</v>
      </c>
      <c r="F23" s="5" t="inlineStr">
        <is>
          <t>4025009639</t>
        </is>
      </c>
      <c r="G23" s="5" t="inlineStr">
        <is>
          <t>EUR</t>
        </is>
      </c>
      <c r="H23" s="9" t="n">
        <v>-240628.73</v>
      </c>
      <c r="I23" s="16" t="n">
        <v>46003</v>
      </c>
      <c r="J23" s="16" t="n">
        <v>46033</v>
      </c>
      <c r="K23" s="5" t="inlineStr">
        <is>
          <t>0919/25</t>
        </is>
      </c>
      <c r="L23" s="5" t="inlineStr">
        <is>
          <t>4025009639</t>
        </is>
      </c>
      <c r="M23" s="5">
        <f>IF(YEAR(I23)&lt;=2020,"Até 2020",TEXT(YEAR(I23),"0"))</f>
        <v/>
      </c>
      <c r="N23" s="5">
        <f>IFERROR(INDEX(DePara!$A:$A,MATCH(TEXT(B23,"0"),DePara!$D:$D,0)),"(sem categoria)")</f>
        <v/>
      </c>
      <c r="O23" s="5">
        <f>IF(J23="","",Parametros!$B$6-J23)</f>
        <v/>
      </c>
      <c r="P23" s="5">
        <f>IF(O23="","",IF(O23&gt;0,1,0))</f>
        <v/>
      </c>
    </row>
    <row r="24">
      <c r="A24" s="5" t="n">
        <v>2122100000</v>
      </c>
      <c r="B24" s="5" t="inlineStr">
        <is>
          <t>IC4420</t>
        </is>
      </c>
      <c r="C24" s="5" t="inlineStr">
        <is>
          <t>NORDEX ENERGY SPAIN S A U</t>
        </is>
      </c>
      <c r="D24" s="5" t="inlineStr">
        <is>
          <t>RE</t>
        </is>
      </c>
      <c r="E24" s="5" t="n">
        <v>5000618</v>
      </c>
      <c r="F24" s="5" t="inlineStr">
        <is>
          <t>4025009537</t>
        </is>
      </c>
      <c r="G24" s="5" t="inlineStr">
        <is>
          <t>EUR</t>
        </is>
      </c>
      <c r="H24" s="9" t="n">
        <v>-2790.6</v>
      </c>
      <c r="I24" s="16" t="n">
        <v>46000</v>
      </c>
      <c r="J24" s="16" t="n">
        <v>46030</v>
      </c>
      <c r="K24" s="5" t="inlineStr">
        <is>
          <t>0927/25</t>
        </is>
      </c>
      <c r="L24" s="5" t="inlineStr">
        <is>
          <t>4025009537</t>
        </is>
      </c>
      <c r="M24" s="5">
        <f>IF(YEAR(I24)&lt;=2020,"Até 2020",TEXT(YEAR(I24),"0"))</f>
        <v/>
      </c>
      <c r="N24" s="5">
        <f>IFERROR(INDEX(DePara!$A:$A,MATCH(TEXT(B24,"0"),DePara!$D:$D,0)),"(sem categoria)")</f>
        <v/>
      </c>
      <c r="O24" s="5">
        <f>IF(J24="","",Parametros!$B$6-J24)</f>
        <v/>
      </c>
      <c r="P24" s="5">
        <f>IF(O24="","",IF(O24&gt;0,1,0))</f>
        <v/>
      </c>
    </row>
    <row r="25">
      <c r="A25" s="5" t="n">
        <v>2122100000</v>
      </c>
      <c r="B25" s="5" t="inlineStr">
        <is>
          <t>IC4420</t>
        </is>
      </c>
      <c r="C25" s="5" t="inlineStr">
        <is>
          <t>NORDEX ENERGY SPAIN S A U</t>
        </is>
      </c>
      <c r="D25" s="5" t="inlineStr">
        <is>
          <t>RE</t>
        </is>
      </c>
      <c r="E25" s="5" t="n">
        <v>5000655</v>
      </c>
      <c r="F25" s="5" t="inlineStr">
        <is>
          <t>4025008329</t>
        </is>
      </c>
      <c r="G25" s="5" t="inlineStr">
        <is>
          <t>EUR</t>
        </is>
      </c>
      <c r="H25" s="9" t="n">
        <v>-259816.5</v>
      </c>
      <c r="I25" s="16" t="n">
        <v>45958</v>
      </c>
      <c r="J25" s="16" t="n">
        <v>45988</v>
      </c>
      <c r="K25" s="5" t="inlineStr">
        <is>
          <t>0841/25</t>
        </is>
      </c>
      <c r="L25" s="5" t="inlineStr">
        <is>
          <t>4025008329</t>
        </is>
      </c>
      <c r="M25" s="5">
        <f>IF(YEAR(I25)&lt;=2020,"Até 2020",TEXT(YEAR(I25),"0"))</f>
        <v/>
      </c>
      <c r="N25" s="5">
        <f>IFERROR(INDEX(DePara!$A:$A,MATCH(TEXT(B25,"0"),DePara!$D:$D,0)),"(sem categoria)")</f>
        <v/>
      </c>
      <c r="O25" s="5">
        <f>IF(J25="","",Parametros!$B$6-J25)</f>
        <v/>
      </c>
      <c r="P25" s="5">
        <f>IF(O25="","",IF(O25&gt;0,1,0))</f>
        <v/>
      </c>
    </row>
    <row r="26">
      <c r="A26" s="5" t="n">
        <v>2122100000</v>
      </c>
      <c r="B26" s="5" t="inlineStr">
        <is>
          <t>IC4420</t>
        </is>
      </c>
      <c r="C26" s="5" t="inlineStr">
        <is>
          <t>NORDEX ENERGY SPAIN S A U</t>
        </is>
      </c>
      <c r="D26" s="5" t="inlineStr">
        <is>
          <t>RE</t>
        </is>
      </c>
      <c r="E26" s="5" t="n">
        <v>5000730</v>
      </c>
      <c r="F26" s="5" t="inlineStr">
        <is>
          <t>4025009631</t>
        </is>
      </c>
      <c r="G26" s="5" t="inlineStr">
        <is>
          <t>EUR</t>
        </is>
      </c>
      <c r="H26" s="9" t="n">
        <v>-159412.48</v>
      </c>
      <c r="I26" s="16" t="n">
        <v>46002</v>
      </c>
      <c r="J26" s="16" t="n">
        <v>46032</v>
      </c>
      <c r="K26" s="5" t="inlineStr">
        <is>
          <t>0925/25</t>
        </is>
      </c>
      <c r="L26" s="5" t="inlineStr">
        <is>
          <t>4025009631</t>
        </is>
      </c>
      <c r="M26" s="5">
        <f>IF(YEAR(I26)&lt;=2020,"Até 2020",TEXT(YEAR(I26),"0"))</f>
        <v/>
      </c>
      <c r="N26" s="5">
        <f>IFERROR(INDEX(DePara!$A:$A,MATCH(TEXT(B26,"0"),DePara!$D:$D,0)),"(sem categoria)")</f>
        <v/>
      </c>
      <c r="O26" s="5">
        <f>IF(J26="","",Parametros!$B$6-J26)</f>
        <v/>
      </c>
      <c r="P26" s="5">
        <f>IF(O26="","",IF(O26&gt;0,1,0))</f>
        <v/>
      </c>
    </row>
    <row r="27">
      <c r="A27" s="5" t="n">
        <v>2122100000</v>
      </c>
      <c r="B27" s="5" t="inlineStr">
        <is>
          <t>IC1000</t>
        </is>
      </c>
      <c r="C27" s="5" t="inlineStr">
        <is>
          <t>NORDEX ENERGY SE &amp; CO KG</t>
        </is>
      </c>
      <c r="D27" s="5" t="inlineStr">
        <is>
          <t>RE</t>
        </is>
      </c>
      <c r="E27" s="5" t="n">
        <v>5000731</v>
      </c>
      <c r="F27" s="5" t="inlineStr">
        <is>
          <t>377202</t>
        </is>
      </c>
      <c r="G27" s="5" t="inlineStr">
        <is>
          <t>EUR</t>
        </is>
      </c>
      <c r="H27" s="9" t="n">
        <v>-55491.31</v>
      </c>
      <c r="I27" s="16" t="n">
        <v>46010</v>
      </c>
      <c r="J27" s="16" t="n">
        <v>46040</v>
      </c>
      <c r="K27" s="5" t="inlineStr">
        <is>
          <t>0951/25</t>
        </is>
      </c>
      <c r="L27" s="5" t="inlineStr">
        <is>
          <t>377202</t>
        </is>
      </c>
      <c r="M27" s="5">
        <f>IF(YEAR(I27)&lt;=2020,"Até 2020",TEXT(YEAR(I27),"0"))</f>
        <v/>
      </c>
      <c r="N27" s="5">
        <f>IFERROR(INDEX(DePara!$A:$A,MATCH(TEXT(B27,"0"),DePara!$D:$D,0)),"(sem categoria)")</f>
        <v/>
      </c>
      <c r="O27" s="5">
        <f>IF(J27="","",Parametros!$B$6-J27)</f>
        <v/>
      </c>
      <c r="P27" s="5">
        <f>IF(O27="","",IF(O27&gt;0,1,0))</f>
        <v/>
      </c>
    </row>
    <row r="28">
      <c r="A28" s="5" t="n">
        <v>2122100000</v>
      </c>
      <c r="B28" s="5" t="inlineStr">
        <is>
          <t>IC4420</t>
        </is>
      </c>
      <c r="C28" s="5" t="inlineStr">
        <is>
          <t>NORDEX ENERGY SPAIN S A U</t>
        </is>
      </c>
      <c r="D28" s="5" t="inlineStr">
        <is>
          <t>RE</t>
        </is>
      </c>
      <c r="E28" s="5" t="n">
        <v>5000873</v>
      </c>
      <c r="F28" s="5" t="inlineStr">
        <is>
          <t>4025007553</t>
        </is>
      </c>
      <c r="G28" s="5" t="inlineStr">
        <is>
          <t>EUR</t>
        </is>
      </c>
      <c r="H28" s="9" t="n">
        <v>-85605.21000000001</v>
      </c>
      <c r="I28" s="16" t="n">
        <v>45931</v>
      </c>
      <c r="J28" s="16" t="n">
        <v>45961</v>
      </c>
      <c r="K28" s="5" t="inlineStr">
        <is>
          <t>0771/25</t>
        </is>
      </c>
      <c r="L28" s="5" t="inlineStr">
        <is>
          <t>4025007553</t>
        </is>
      </c>
      <c r="M28" s="5">
        <f>IF(YEAR(I28)&lt;=2020,"Até 2020",TEXT(YEAR(I28),"0"))</f>
        <v/>
      </c>
      <c r="N28" s="5">
        <f>IFERROR(INDEX(DePara!$A:$A,MATCH(TEXT(B28,"0"),DePara!$D:$D,0)),"(sem categoria)")</f>
        <v/>
      </c>
      <c r="O28" s="5">
        <f>IF(J28="","",Parametros!$B$6-J28)</f>
        <v/>
      </c>
      <c r="P28" s="5">
        <f>IF(O28="","",IF(O28&gt;0,1,0))</f>
        <v/>
      </c>
    </row>
    <row r="29">
      <c r="A29" s="5" t="n">
        <v>2122100000</v>
      </c>
      <c r="B29" s="5" t="inlineStr">
        <is>
          <t>IC4420</t>
        </is>
      </c>
      <c r="C29" s="5" t="inlineStr">
        <is>
          <t>NORDEX ENERGY SPAIN S A U</t>
        </is>
      </c>
      <c r="D29" s="5" t="inlineStr">
        <is>
          <t>RE</t>
        </is>
      </c>
      <c r="E29" s="5" t="n">
        <v>5000897</v>
      </c>
      <c r="F29" s="5" t="inlineStr">
        <is>
          <t>4025007542</t>
        </is>
      </c>
      <c r="G29" s="5" t="inlineStr">
        <is>
          <t>EUR</t>
        </is>
      </c>
      <c r="H29" s="9" t="n">
        <v>-1197.95</v>
      </c>
      <c r="I29" s="16" t="n">
        <v>45931</v>
      </c>
      <c r="J29" s="16" t="n">
        <v>45961</v>
      </c>
      <c r="K29" s="5" t="inlineStr">
        <is>
          <t>0772/25</t>
        </is>
      </c>
      <c r="L29" s="5" t="inlineStr">
        <is>
          <t>4025007542</t>
        </is>
      </c>
      <c r="M29" s="5">
        <f>IF(YEAR(I29)&lt;=2020,"Até 2020",TEXT(YEAR(I29),"0"))</f>
        <v/>
      </c>
      <c r="N29" s="5">
        <f>IFERROR(INDEX(DePara!$A:$A,MATCH(TEXT(B29,"0"),DePara!$D:$D,0)),"(sem categoria)")</f>
        <v/>
      </c>
      <c r="O29" s="5">
        <f>IF(J29="","",Parametros!$B$6-J29)</f>
        <v/>
      </c>
      <c r="P29" s="5">
        <f>IF(O29="","",IF(O29&gt;0,1,0))</f>
        <v/>
      </c>
    </row>
    <row r="30">
      <c r="A30" s="5" t="n">
        <v>2122100000</v>
      </c>
      <c r="B30" s="5" t="inlineStr">
        <is>
          <t>IC4420</t>
        </is>
      </c>
      <c r="C30" s="5" t="inlineStr">
        <is>
          <t>NORDEX ENERGY SPAIN S A U</t>
        </is>
      </c>
      <c r="D30" s="5" t="inlineStr">
        <is>
          <t>RE</t>
        </is>
      </c>
      <c r="E30" s="5" t="n">
        <v>5000898</v>
      </c>
      <c r="F30" s="5" t="inlineStr">
        <is>
          <t>4025009628</t>
        </is>
      </c>
      <c r="G30" s="5" t="inlineStr">
        <is>
          <t>EUR</t>
        </is>
      </c>
      <c r="H30" s="9" t="n">
        <v>-25522.26</v>
      </c>
      <c r="I30" s="16" t="n">
        <v>46002</v>
      </c>
      <c r="J30" s="16" t="n">
        <v>46032</v>
      </c>
      <c r="K30" s="5" t="inlineStr">
        <is>
          <t>0922/25</t>
        </is>
      </c>
      <c r="L30" s="5" t="inlineStr">
        <is>
          <t>4025009628</t>
        </is>
      </c>
      <c r="M30" s="5">
        <f>IF(YEAR(I30)&lt;=2020,"Até 2020",TEXT(YEAR(I30),"0"))</f>
        <v/>
      </c>
      <c r="N30" s="5">
        <f>IFERROR(INDEX(DePara!$A:$A,MATCH(TEXT(B30,"0"),DePara!$D:$D,0)),"(sem categoria)")</f>
        <v/>
      </c>
      <c r="O30" s="5">
        <f>IF(J30="","",Parametros!$B$6-J30)</f>
        <v/>
      </c>
      <c r="P30" s="5">
        <f>IF(O30="","",IF(O30&gt;0,1,0))</f>
        <v/>
      </c>
    </row>
    <row r="31">
      <c r="A31" s="5" t="n">
        <v>2122100000</v>
      </c>
      <c r="B31" s="5" t="inlineStr">
        <is>
          <t>IC4420</t>
        </is>
      </c>
      <c r="C31" s="5" t="inlineStr">
        <is>
          <t>NORDEX ENERGY SPAIN S A U</t>
        </is>
      </c>
      <c r="D31" s="5" t="inlineStr">
        <is>
          <t>RE</t>
        </is>
      </c>
      <c r="E31" s="5" t="n">
        <v>5000909</v>
      </c>
      <c r="F31" s="5" t="inlineStr">
        <is>
          <t>4025009630</t>
        </is>
      </c>
      <c r="G31" s="5" t="inlineStr">
        <is>
          <t>EUR</t>
        </is>
      </c>
      <c r="H31" s="9" t="n">
        <v>-1784.9</v>
      </c>
      <c r="I31" s="16" t="n">
        <v>46002</v>
      </c>
      <c r="J31" s="16" t="n">
        <v>46032</v>
      </c>
      <c r="K31" s="5" t="inlineStr">
        <is>
          <t>0924/25</t>
        </is>
      </c>
      <c r="L31" s="5" t="inlineStr">
        <is>
          <t>4025009630</t>
        </is>
      </c>
      <c r="M31" s="5">
        <f>IF(YEAR(I31)&lt;=2020,"Até 2020",TEXT(YEAR(I31),"0"))</f>
        <v/>
      </c>
      <c r="N31" s="5">
        <f>IFERROR(INDEX(DePara!$A:$A,MATCH(TEXT(B31,"0"),DePara!$D:$D,0)),"(sem categoria)")</f>
        <v/>
      </c>
      <c r="O31" s="5">
        <f>IF(J31="","",Parametros!$B$6-J31)</f>
        <v/>
      </c>
      <c r="P31" s="5">
        <f>IF(O31="","",IF(O31&gt;0,1,0))</f>
        <v/>
      </c>
    </row>
    <row r="32">
      <c r="A32" s="5" t="n">
        <v>2122100000</v>
      </c>
      <c r="B32" s="5" t="inlineStr">
        <is>
          <t>IC4420</t>
        </is>
      </c>
      <c r="C32" s="5" t="inlineStr">
        <is>
          <t>NORDEX ENERGY SPAIN S A U</t>
        </is>
      </c>
      <c r="D32" s="5" t="inlineStr">
        <is>
          <t>RE</t>
        </is>
      </c>
      <c r="E32" s="5" t="n">
        <v>5000936</v>
      </c>
      <c r="F32" s="5" t="inlineStr">
        <is>
          <t>4025006825</t>
        </is>
      </c>
      <c r="G32" s="5" t="inlineStr">
        <is>
          <t>EUR</t>
        </is>
      </c>
      <c r="H32" s="9" t="n">
        <v>-21246.53</v>
      </c>
      <c r="I32" s="16" t="n">
        <v>45915</v>
      </c>
      <c r="J32" s="16" t="n">
        <v>45945</v>
      </c>
      <c r="K32" s="5" t="inlineStr">
        <is>
          <t>0761/25</t>
        </is>
      </c>
      <c r="L32" s="5" t="inlineStr">
        <is>
          <t>4025006825</t>
        </is>
      </c>
      <c r="M32" s="5">
        <f>IF(YEAR(I32)&lt;=2020,"Até 2020",TEXT(YEAR(I32),"0"))</f>
        <v/>
      </c>
      <c r="N32" s="5">
        <f>IFERROR(INDEX(DePara!$A:$A,MATCH(TEXT(B32,"0"),DePara!$D:$D,0)),"(sem categoria)")</f>
        <v/>
      </c>
      <c r="O32" s="5">
        <f>IF(J32="","",Parametros!$B$6-J32)</f>
        <v/>
      </c>
      <c r="P32" s="5">
        <f>IF(O32="","",IF(O32&gt;0,1,0))</f>
        <v/>
      </c>
    </row>
    <row r="33">
      <c r="A33" s="5" t="n">
        <v>2122100000</v>
      </c>
      <c r="B33" s="5" t="inlineStr">
        <is>
          <t>IC4420</t>
        </is>
      </c>
      <c r="C33" s="5" t="inlineStr">
        <is>
          <t>NORDEX ENERGY SPAIN S A U</t>
        </is>
      </c>
      <c r="D33" s="5" t="inlineStr">
        <is>
          <t>RE</t>
        </is>
      </c>
      <c r="E33" s="5" t="n">
        <v>5001039</v>
      </c>
      <c r="F33" s="5" t="inlineStr">
        <is>
          <t>4025009995</t>
        </is>
      </c>
      <c r="G33" s="5" t="inlineStr">
        <is>
          <t>EUR</t>
        </is>
      </c>
      <c r="H33" s="9" t="n">
        <v>-10622.48</v>
      </c>
      <c r="I33" s="16" t="n">
        <v>46020</v>
      </c>
      <c r="J33" s="16" t="n">
        <v>46050</v>
      </c>
      <c r="K33" s="5" t="inlineStr">
        <is>
          <t>0001/26</t>
        </is>
      </c>
      <c r="L33" s="5" t="inlineStr">
        <is>
          <t>4025009995</t>
        </is>
      </c>
      <c r="M33" s="5">
        <f>IF(YEAR(I33)&lt;=2020,"Até 2020",TEXT(YEAR(I33),"0"))</f>
        <v/>
      </c>
      <c r="N33" s="5">
        <f>IFERROR(INDEX(DePara!$A:$A,MATCH(TEXT(B33,"0"),DePara!$D:$D,0)),"(sem categoria)")</f>
        <v/>
      </c>
      <c r="O33" s="5">
        <f>IF(J33="","",Parametros!$B$6-J33)</f>
        <v/>
      </c>
      <c r="P33" s="5">
        <f>IF(O33="","",IF(O33&gt;0,1,0))</f>
        <v/>
      </c>
    </row>
    <row r="34">
      <c r="A34" s="5" t="n">
        <v>2122100000</v>
      </c>
      <c r="B34" s="5" t="inlineStr">
        <is>
          <t>IC4420</t>
        </is>
      </c>
      <c r="C34" s="5" t="inlineStr">
        <is>
          <t>NORDEX ENERGY SPAIN S A U</t>
        </is>
      </c>
      <c r="D34" s="5" t="inlineStr">
        <is>
          <t>RE</t>
        </is>
      </c>
      <c r="E34" s="5" t="n">
        <v>5001076</v>
      </c>
      <c r="F34" s="5" t="inlineStr">
        <is>
          <t>4026000017</t>
        </is>
      </c>
      <c r="G34" s="5" t="inlineStr">
        <is>
          <t>EUR</t>
        </is>
      </c>
      <c r="H34" s="9" t="n">
        <v>-26344.81</v>
      </c>
      <c r="I34" s="16" t="n">
        <v>46024</v>
      </c>
      <c r="J34" s="16" t="n">
        <v>46054</v>
      </c>
      <c r="K34" s="5" t="inlineStr">
        <is>
          <t>0007/26</t>
        </is>
      </c>
      <c r="L34" s="5" t="inlineStr">
        <is>
          <t>4026000017</t>
        </is>
      </c>
      <c r="M34" s="5">
        <f>IF(YEAR(I34)&lt;=2020,"Até 2020",TEXT(YEAR(I34),"0"))</f>
        <v/>
      </c>
      <c r="N34" s="5">
        <f>IFERROR(INDEX(DePara!$A:$A,MATCH(TEXT(B34,"0"),DePara!$D:$D,0)),"(sem categoria)")</f>
        <v/>
      </c>
      <c r="O34" s="5">
        <f>IF(J34="","",Parametros!$B$6-J34)</f>
        <v/>
      </c>
      <c r="P34" s="5">
        <f>IF(O34="","",IF(O34&gt;0,1,0))</f>
        <v/>
      </c>
    </row>
    <row r="35">
      <c r="A35" s="5" t="n">
        <v>2122100000</v>
      </c>
      <c r="B35" s="5" t="inlineStr">
        <is>
          <t>IC4420</t>
        </is>
      </c>
      <c r="C35" s="5" t="inlineStr">
        <is>
          <t>NORDEX ENERGY SPAIN S A U</t>
        </is>
      </c>
      <c r="D35" s="5" t="inlineStr">
        <is>
          <t>RE</t>
        </is>
      </c>
      <c r="E35" s="5" t="n">
        <v>5001077</v>
      </c>
      <c r="F35" s="5" t="inlineStr">
        <is>
          <t>4025009872</t>
        </is>
      </c>
      <c r="G35" s="5" t="inlineStr">
        <is>
          <t>EUR</t>
        </is>
      </c>
      <c r="H35" s="9" t="n">
        <v>-125034.74</v>
      </c>
      <c r="I35" s="16" t="n">
        <v>46013</v>
      </c>
      <c r="J35" s="16" t="n">
        <v>46043</v>
      </c>
      <c r="K35" s="5" t="inlineStr">
        <is>
          <t>0952/25</t>
        </is>
      </c>
      <c r="L35" s="5" t="inlineStr">
        <is>
          <t>4025009872</t>
        </is>
      </c>
      <c r="M35" s="5">
        <f>IF(YEAR(I35)&lt;=2020,"Até 2020",TEXT(YEAR(I35),"0"))</f>
        <v/>
      </c>
      <c r="N35" s="5">
        <f>IFERROR(INDEX(DePara!$A:$A,MATCH(TEXT(B35,"0"),DePara!$D:$D,0)),"(sem categoria)")</f>
        <v/>
      </c>
      <c r="O35" s="5">
        <f>IF(J35="","",Parametros!$B$6-J35)</f>
        <v/>
      </c>
      <c r="P35" s="5">
        <f>IF(O35="","",IF(O35&gt;0,1,0))</f>
        <v/>
      </c>
    </row>
    <row r="36">
      <c r="A36" s="5" t="n">
        <v>2122100000</v>
      </c>
      <c r="B36" s="5" t="inlineStr">
        <is>
          <t>IC4420</t>
        </is>
      </c>
      <c r="C36" s="5" t="inlineStr">
        <is>
          <t>NORDEX ENERGY SPAIN S A U</t>
        </is>
      </c>
      <c r="D36" s="5" t="inlineStr">
        <is>
          <t>RE</t>
        </is>
      </c>
      <c r="E36" s="5" t="n">
        <v>5001115</v>
      </c>
      <c r="F36" s="5" t="inlineStr">
        <is>
          <t>4025009624</t>
        </is>
      </c>
      <c r="G36" s="5" t="inlineStr">
        <is>
          <t>EUR</t>
        </is>
      </c>
      <c r="H36" s="9" t="n">
        <v>-26450.22</v>
      </c>
      <c r="I36" s="16" t="n">
        <v>46002</v>
      </c>
      <c r="J36" s="16" t="n">
        <v>46032</v>
      </c>
      <c r="K36" s="5" t="inlineStr">
        <is>
          <t>0915/25</t>
        </is>
      </c>
      <c r="L36" s="5" t="inlineStr">
        <is>
          <t>4025009624</t>
        </is>
      </c>
      <c r="M36" s="5">
        <f>IF(YEAR(I36)&lt;=2020,"Até 2020",TEXT(YEAR(I36),"0"))</f>
        <v/>
      </c>
      <c r="N36" s="5">
        <f>IFERROR(INDEX(DePara!$A:$A,MATCH(TEXT(B36,"0"),DePara!$D:$D,0)),"(sem categoria)")</f>
        <v/>
      </c>
      <c r="O36" s="5">
        <f>IF(J36="","",Parametros!$B$6-J36)</f>
        <v/>
      </c>
      <c r="P36" s="5">
        <f>IF(O36="","",IF(O36&gt;0,1,0))</f>
        <v/>
      </c>
    </row>
    <row r="37">
      <c r="A37" s="5" t="n">
        <v>2122100000</v>
      </c>
      <c r="B37" s="5" t="inlineStr">
        <is>
          <t>IC4420</t>
        </is>
      </c>
      <c r="C37" s="5" t="inlineStr">
        <is>
          <t>NORDEX ENERGY SPAIN S A U</t>
        </is>
      </c>
      <c r="D37" s="5" t="inlineStr">
        <is>
          <t>RE</t>
        </is>
      </c>
      <c r="E37" s="5" t="n">
        <v>5001116</v>
      </c>
      <c r="F37" s="5" t="inlineStr">
        <is>
          <t>4025009629</t>
        </is>
      </c>
      <c r="G37" s="5" t="inlineStr">
        <is>
          <t>EUR</t>
        </is>
      </c>
      <c r="H37" s="9" t="n">
        <v>-13191.72</v>
      </c>
      <c r="I37" s="16" t="n">
        <v>46002</v>
      </c>
      <c r="J37" s="16" t="n">
        <v>46032</v>
      </c>
      <c r="K37" s="5" t="inlineStr">
        <is>
          <t>0923/25</t>
        </is>
      </c>
      <c r="L37" s="5" t="inlineStr">
        <is>
          <t>4025009629</t>
        </is>
      </c>
      <c r="M37" s="5">
        <f>IF(YEAR(I37)&lt;=2020,"Até 2020",TEXT(YEAR(I37),"0"))</f>
        <v/>
      </c>
      <c r="N37" s="5">
        <f>IFERROR(INDEX(DePara!$A:$A,MATCH(TEXT(B37,"0"),DePara!$D:$D,0)),"(sem categoria)")</f>
        <v/>
      </c>
      <c r="O37" s="5">
        <f>IF(J37="","",Parametros!$B$6-J37)</f>
        <v/>
      </c>
      <c r="P37" s="5">
        <f>IF(O37="","",IF(O37&gt;0,1,0))</f>
        <v/>
      </c>
    </row>
    <row r="38">
      <c r="A38" s="5" t="n">
        <v>2122100000</v>
      </c>
      <c r="B38" s="5" t="inlineStr">
        <is>
          <t>IC4420</t>
        </is>
      </c>
      <c r="C38" s="5" t="inlineStr">
        <is>
          <t>NORDEX ENERGY SPAIN S A U</t>
        </is>
      </c>
      <c r="D38" s="5" t="inlineStr">
        <is>
          <t>RE</t>
        </is>
      </c>
      <c r="E38" s="5" t="n">
        <v>5001130</v>
      </c>
      <c r="F38" s="5" t="inlineStr">
        <is>
          <t>4025009626</t>
        </is>
      </c>
      <c r="G38" s="5" t="inlineStr">
        <is>
          <t>EUR</t>
        </is>
      </c>
      <c r="H38" s="9" t="n">
        <v>-2233.79</v>
      </c>
      <c r="I38" s="16" t="n">
        <v>46002</v>
      </c>
      <c r="J38" s="16" t="n">
        <v>46032</v>
      </c>
      <c r="K38" s="5" t="inlineStr">
        <is>
          <t>0929/25</t>
        </is>
      </c>
      <c r="L38" s="5" t="inlineStr">
        <is>
          <t>4025009626</t>
        </is>
      </c>
      <c r="M38" s="5">
        <f>IF(YEAR(I38)&lt;=2020,"Até 2020",TEXT(YEAR(I38),"0"))</f>
        <v/>
      </c>
      <c r="N38" s="5">
        <f>IFERROR(INDEX(DePara!$A:$A,MATCH(TEXT(B38,"0"),DePara!$D:$D,0)),"(sem categoria)")</f>
        <v/>
      </c>
      <c r="O38" s="5">
        <f>IF(J38="","",Parametros!$B$6-J38)</f>
        <v/>
      </c>
      <c r="P38" s="5">
        <f>IF(O38="","",IF(O38&gt;0,1,0))</f>
        <v/>
      </c>
    </row>
    <row r="39">
      <c r="A39" s="5" t="n">
        <v>2122100000</v>
      </c>
      <c r="B39" s="5" t="inlineStr">
        <is>
          <t>IC4420</t>
        </is>
      </c>
      <c r="C39" s="5" t="inlineStr">
        <is>
          <t>NORDEX ENERGY SPAIN S A U</t>
        </is>
      </c>
      <c r="D39" s="5" t="inlineStr">
        <is>
          <t>RE</t>
        </is>
      </c>
      <c r="E39" s="5" t="n">
        <v>5001131</v>
      </c>
      <c r="F39" s="5" t="inlineStr">
        <is>
          <t>4025009623</t>
        </is>
      </c>
      <c r="G39" s="5" t="inlineStr">
        <is>
          <t>EUR</t>
        </is>
      </c>
      <c r="H39" s="9" t="n">
        <v>-32643.63</v>
      </c>
      <c r="I39" s="16" t="n">
        <v>46002</v>
      </c>
      <c r="J39" s="16" t="n">
        <v>46032</v>
      </c>
      <c r="K39" s="5" t="inlineStr">
        <is>
          <t>0920/25</t>
        </is>
      </c>
      <c r="L39" s="5" t="inlineStr">
        <is>
          <t>4025009623</t>
        </is>
      </c>
      <c r="M39" s="5">
        <f>IF(YEAR(I39)&lt;=2020,"Até 2020",TEXT(YEAR(I39),"0"))</f>
        <v/>
      </c>
      <c r="N39" s="5">
        <f>IFERROR(INDEX(DePara!$A:$A,MATCH(TEXT(B39,"0"),DePara!$D:$D,0)),"(sem categoria)")</f>
        <v/>
      </c>
      <c r="O39" s="5">
        <f>IF(J39="","",Parametros!$B$6-J39)</f>
        <v/>
      </c>
      <c r="P39" s="5">
        <f>IF(O39="","",IF(O39&gt;0,1,0))</f>
        <v/>
      </c>
    </row>
    <row r="40">
      <c r="A40" s="5" t="n">
        <v>2122100000</v>
      </c>
      <c r="B40" s="5" t="inlineStr">
        <is>
          <t>IC4420</t>
        </is>
      </c>
      <c r="C40" s="5" t="inlineStr">
        <is>
          <t>NORDEX ENERGY SPAIN S A U</t>
        </is>
      </c>
      <c r="D40" s="5" t="inlineStr">
        <is>
          <t>RE</t>
        </is>
      </c>
      <c r="E40" s="5" t="n">
        <v>5001136</v>
      </c>
      <c r="F40" s="5" t="inlineStr">
        <is>
          <t>4025009627</t>
        </is>
      </c>
      <c r="G40" s="5" t="inlineStr">
        <is>
          <t>EUR</t>
        </is>
      </c>
      <c r="H40" s="9" t="n">
        <v>-46162.36</v>
      </c>
      <c r="I40" s="16" t="n">
        <v>46002</v>
      </c>
      <c r="J40" s="16" t="n">
        <v>46032</v>
      </c>
      <c r="K40" s="5" t="inlineStr">
        <is>
          <t>0917/25</t>
        </is>
      </c>
      <c r="L40" s="5" t="inlineStr">
        <is>
          <t>4025009627</t>
        </is>
      </c>
      <c r="M40" s="5">
        <f>IF(YEAR(I40)&lt;=2020,"Até 2020",TEXT(YEAR(I40),"0"))</f>
        <v/>
      </c>
      <c r="N40" s="5">
        <f>IFERROR(INDEX(DePara!$A:$A,MATCH(TEXT(B40,"0"),DePara!$D:$D,0)),"(sem categoria)")</f>
        <v/>
      </c>
      <c r="O40" s="5">
        <f>IF(J40="","",Parametros!$B$6-J40)</f>
        <v/>
      </c>
      <c r="P40" s="5">
        <f>IF(O40="","",IF(O40&gt;0,1,0))</f>
        <v/>
      </c>
    </row>
    <row r="41">
      <c r="A41" s="5" t="n">
        <v>2122100000</v>
      </c>
      <c r="B41" s="5" t="inlineStr">
        <is>
          <t>IC4420</t>
        </is>
      </c>
      <c r="C41" s="5" t="inlineStr">
        <is>
          <t>NORDEX ENERGY SPAIN S A U</t>
        </is>
      </c>
      <c r="D41" s="5" t="inlineStr">
        <is>
          <t>RE</t>
        </is>
      </c>
      <c r="E41" s="5" t="n">
        <v>5001222</v>
      </c>
      <c r="F41" s="5" t="inlineStr">
        <is>
          <t>4025009622</t>
        </is>
      </c>
      <c r="G41" s="5" t="inlineStr">
        <is>
          <t>EUR</t>
        </is>
      </c>
      <c r="H41" s="9" t="n">
        <v>-132497.98</v>
      </c>
      <c r="I41" s="16" t="n">
        <v>46002</v>
      </c>
      <c r="J41" s="16" t="n">
        <v>46032</v>
      </c>
      <c r="K41" s="5" t="inlineStr">
        <is>
          <t>0918/25</t>
        </is>
      </c>
      <c r="L41" s="5" t="inlineStr">
        <is>
          <t>4025009622</t>
        </is>
      </c>
      <c r="M41" s="5">
        <f>IF(YEAR(I41)&lt;=2020,"Até 2020",TEXT(YEAR(I41),"0"))</f>
        <v/>
      </c>
      <c r="N41" s="5">
        <f>IFERROR(INDEX(DePara!$A:$A,MATCH(TEXT(B41,"0"),DePara!$D:$D,0)),"(sem categoria)")</f>
        <v/>
      </c>
      <c r="O41" s="5">
        <f>IF(J41="","",Parametros!$B$6-J41)</f>
        <v/>
      </c>
      <c r="P41" s="5">
        <f>IF(O41="","",IF(O41&gt;0,1,0))</f>
        <v/>
      </c>
    </row>
    <row r="42">
      <c r="A42" s="5" t="n">
        <v>2122100000</v>
      </c>
      <c r="B42" s="5" t="inlineStr">
        <is>
          <t>IC4420</t>
        </is>
      </c>
      <c r="C42" s="5" t="inlineStr">
        <is>
          <t>NORDEX ENERGY SPAIN S A U</t>
        </is>
      </c>
      <c r="D42" s="5" t="inlineStr">
        <is>
          <t>RE</t>
        </is>
      </c>
      <c r="E42" s="5" t="n">
        <v>5001279</v>
      </c>
      <c r="F42" s="5" t="inlineStr">
        <is>
          <t>4025009992</t>
        </is>
      </c>
      <c r="G42" s="5" t="inlineStr">
        <is>
          <t>EUR</t>
        </is>
      </c>
      <c r="H42" s="9" t="n">
        <v>-33771.21</v>
      </c>
      <c r="I42" s="16" t="n">
        <v>46020</v>
      </c>
      <c r="J42" s="16" t="n">
        <v>46050</v>
      </c>
      <c r="K42" s="5" t="inlineStr">
        <is>
          <t>0002/26</t>
        </is>
      </c>
      <c r="L42" s="5" t="inlineStr">
        <is>
          <t>4025009992</t>
        </is>
      </c>
      <c r="M42" s="5">
        <f>IF(YEAR(I42)&lt;=2020,"Até 2020",TEXT(YEAR(I42),"0"))</f>
        <v/>
      </c>
      <c r="N42" s="5">
        <f>IFERROR(INDEX(DePara!$A:$A,MATCH(TEXT(B42,"0"),DePara!$D:$D,0)),"(sem categoria)")</f>
        <v/>
      </c>
      <c r="O42" s="5">
        <f>IF(J42="","",Parametros!$B$6-J42)</f>
        <v/>
      </c>
      <c r="P42" s="5">
        <f>IF(O42="","",IF(O42&gt;0,1,0))</f>
        <v/>
      </c>
    </row>
    <row r="43">
      <c r="A43" s="5" t="n">
        <v>2122100000</v>
      </c>
      <c r="B43" s="5" t="inlineStr">
        <is>
          <t>IC1000</t>
        </is>
      </c>
      <c r="C43" s="5" t="inlineStr">
        <is>
          <t>NORDEX ENERGY SE &amp; CO KG</t>
        </is>
      </c>
      <c r="D43" s="5" t="inlineStr">
        <is>
          <t>RE</t>
        </is>
      </c>
      <c r="E43" s="5" t="n">
        <v>5001320</v>
      </c>
      <c r="F43" s="5" t="inlineStr">
        <is>
          <t>377640</t>
        </is>
      </c>
      <c r="G43" s="5" t="inlineStr">
        <is>
          <t>EUR</t>
        </is>
      </c>
      <c r="H43" s="9" t="n">
        <v>-575726.34</v>
      </c>
      <c r="I43" s="16" t="n">
        <v>46029</v>
      </c>
      <c r="J43" s="16" t="n">
        <v>46059</v>
      </c>
      <c r="K43" s="5" t="inlineStr">
        <is>
          <t>0017/26</t>
        </is>
      </c>
      <c r="L43" s="5" t="inlineStr">
        <is>
          <t>377640</t>
        </is>
      </c>
      <c r="M43" s="5">
        <f>IF(YEAR(I43)&lt;=2020,"Até 2020",TEXT(YEAR(I43),"0"))</f>
        <v/>
      </c>
      <c r="N43" s="5">
        <f>IFERROR(INDEX(DePara!$A:$A,MATCH(TEXT(B43,"0"),DePara!$D:$D,0)),"(sem categoria)")</f>
        <v/>
      </c>
      <c r="O43" s="5">
        <f>IF(J43="","",Parametros!$B$6-J43)</f>
        <v/>
      </c>
      <c r="P43" s="5">
        <f>IF(O43="","",IF(O43&gt;0,1,0))</f>
        <v/>
      </c>
    </row>
    <row r="44">
      <c r="A44" s="5" t="n">
        <v>2122100000</v>
      </c>
      <c r="B44" s="5" t="inlineStr">
        <is>
          <t>IC1000</t>
        </is>
      </c>
      <c r="C44" s="5" t="inlineStr">
        <is>
          <t>NORDEX ENERGY SE &amp; CO KG</t>
        </is>
      </c>
      <c r="D44" s="5" t="inlineStr">
        <is>
          <t>RE</t>
        </is>
      </c>
      <c r="E44" s="5" t="n">
        <v>5001321</v>
      </c>
      <c r="F44" s="5" t="inlineStr">
        <is>
          <t>378179</t>
        </is>
      </c>
      <c r="G44" s="5" t="inlineStr">
        <is>
          <t>EUR</t>
        </is>
      </c>
      <c r="H44" s="9" t="n">
        <v>-13835.21</v>
      </c>
      <c r="I44" s="16" t="n">
        <v>46029</v>
      </c>
      <c r="J44" s="16" t="n">
        <v>46059</v>
      </c>
      <c r="K44" s="5" t="inlineStr">
        <is>
          <t>0018/26</t>
        </is>
      </c>
      <c r="L44" s="5" t="inlineStr">
        <is>
          <t>378179</t>
        </is>
      </c>
      <c r="M44" s="5">
        <f>IF(YEAR(I44)&lt;=2020,"Até 2020",TEXT(YEAR(I44),"0"))</f>
        <v/>
      </c>
      <c r="N44" s="5">
        <f>IFERROR(INDEX(DePara!$A:$A,MATCH(TEXT(B44,"0"),DePara!$D:$D,0)),"(sem categoria)")</f>
        <v/>
      </c>
      <c r="O44" s="5">
        <f>IF(J44="","",Parametros!$B$6-J44)</f>
        <v/>
      </c>
      <c r="P44" s="5">
        <f>IF(O44="","",IF(O44&gt;0,1,0))</f>
        <v/>
      </c>
    </row>
    <row r="45">
      <c r="A45" s="5" t="n">
        <v>2122100000</v>
      </c>
      <c r="B45" s="5" t="inlineStr">
        <is>
          <t>IC4420</t>
        </is>
      </c>
      <c r="C45" s="5" t="inlineStr">
        <is>
          <t>NORDEX ENERGY SPAIN S A U</t>
        </is>
      </c>
      <c r="D45" s="5" t="inlineStr">
        <is>
          <t>RE</t>
        </is>
      </c>
      <c r="E45" s="5" t="n">
        <v>5001322</v>
      </c>
      <c r="F45" s="5" t="inlineStr">
        <is>
          <t>4026000015</t>
        </is>
      </c>
      <c r="G45" s="5" t="inlineStr">
        <is>
          <t>EUR</t>
        </is>
      </c>
      <c r="H45" s="9" t="n">
        <v>-1132.16</v>
      </c>
      <c r="I45" s="16" t="n">
        <v>46024</v>
      </c>
      <c r="J45" s="16" t="n">
        <v>46054</v>
      </c>
      <c r="K45" s="5" t="inlineStr">
        <is>
          <t>0006/26</t>
        </is>
      </c>
      <c r="L45" s="5" t="inlineStr">
        <is>
          <t>4026000015</t>
        </is>
      </c>
      <c r="M45" s="5">
        <f>IF(YEAR(I45)&lt;=2020,"Até 2020",TEXT(YEAR(I45),"0"))</f>
        <v/>
      </c>
      <c r="N45" s="5">
        <f>IFERROR(INDEX(DePara!$A:$A,MATCH(TEXT(B45,"0"),DePara!$D:$D,0)),"(sem categoria)")</f>
        <v/>
      </c>
      <c r="O45" s="5">
        <f>IF(J45="","",Parametros!$B$6-J45)</f>
        <v/>
      </c>
      <c r="P45" s="5">
        <f>IF(O45="","",IF(O45&gt;0,1,0))</f>
        <v/>
      </c>
    </row>
    <row r="46">
      <c r="A46" s="5" t="n">
        <v>2122100000</v>
      </c>
      <c r="B46" s="5" t="inlineStr">
        <is>
          <t>IC4420</t>
        </is>
      </c>
      <c r="C46" s="5" t="inlineStr">
        <is>
          <t>NORDEX ENERGY SPAIN S A U</t>
        </is>
      </c>
      <c r="D46" s="5" t="inlineStr">
        <is>
          <t>RE</t>
        </is>
      </c>
      <c r="E46" s="5" t="n">
        <v>5001324</v>
      </c>
      <c r="F46" s="5" t="inlineStr">
        <is>
          <t>4026000018</t>
        </is>
      </c>
      <c r="G46" s="5" t="inlineStr">
        <is>
          <t>EUR</t>
        </is>
      </c>
      <c r="H46" s="9" t="n">
        <v>-2040.67</v>
      </c>
      <c r="I46" s="16" t="n">
        <v>46024</v>
      </c>
      <c r="J46" s="16" t="n">
        <v>46054</v>
      </c>
      <c r="K46" s="5" t="inlineStr">
        <is>
          <t>0005/26</t>
        </is>
      </c>
      <c r="L46" s="5" t="inlineStr">
        <is>
          <t>4026000018</t>
        </is>
      </c>
      <c r="M46" s="5">
        <f>IF(YEAR(I46)&lt;=2020,"Até 2020",TEXT(YEAR(I46),"0"))</f>
        <v/>
      </c>
      <c r="N46" s="5">
        <f>IFERROR(INDEX(DePara!$A:$A,MATCH(TEXT(B46,"0"),DePara!$D:$D,0)),"(sem categoria)")</f>
        <v/>
      </c>
      <c r="O46" s="5">
        <f>IF(J46="","",Parametros!$B$6-J46)</f>
        <v/>
      </c>
      <c r="P46" s="5">
        <f>IF(O46="","",IF(O46&gt;0,1,0))</f>
        <v/>
      </c>
    </row>
    <row r="47">
      <c r="A47" s="5" t="n">
        <v>2122100000</v>
      </c>
      <c r="B47" s="5" t="inlineStr">
        <is>
          <t>IC4420</t>
        </is>
      </c>
      <c r="C47" s="5" t="inlineStr">
        <is>
          <t>NORDEX ENERGY SPAIN S A U</t>
        </is>
      </c>
      <c r="D47" s="5" t="inlineStr">
        <is>
          <t>RE</t>
        </is>
      </c>
      <c r="E47" s="5" t="n">
        <v>5001325</v>
      </c>
      <c r="F47" s="5" t="inlineStr">
        <is>
          <t>4026000016</t>
        </is>
      </c>
      <c r="G47" s="5" t="inlineStr">
        <is>
          <t>EUR</t>
        </is>
      </c>
      <c r="H47" s="9" t="n">
        <v>-26338.23</v>
      </c>
      <c r="I47" s="16" t="n">
        <v>46024</v>
      </c>
      <c r="J47" s="16" t="n">
        <v>46054</v>
      </c>
      <c r="K47" s="5" t="inlineStr">
        <is>
          <t>0005/26</t>
        </is>
      </c>
      <c r="L47" s="5" t="inlineStr">
        <is>
          <t>4026000016</t>
        </is>
      </c>
      <c r="M47" s="5">
        <f>IF(YEAR(I47)&lt;=2020,"Até 2020",TEXT(YEAR(I47),"0"))</f>
        <v/>
      </c>
      <c r="N47" s="5">
        <f>IFERROR(INDEX(DePara!$A:$A,MATCH(TEXT(B47,"0"),DePara!$D:$D,0)),"(sem categoria)")</f>
        <v/>
      </c>
      <c r="O47" s="5">
        <f>IF(J47="","",Parametros!$B$6-J47)</f>
        <v/>
      </c>
      <c r="P47" s="5">
        <f>IF(O47="","",IF(O47&gt;0,1,0))</f>
        <v/>
      </c>
    </row>
    <row r="48">
      <c r="A48" s="5" t="n">
        <v>2122100000</v>
      </c>
      <c r="B48" s="5" t="inlineStr">
        <is>
          <t>IC4420</t>
        </is>
      </c>
      <c r="C48" s="5" t="inlineStr">
        <is>
          <t>NORDEX ENERGY SPAIN S A U</t>
        </is>
      </c>
      <c r="D48" s="5" t="inlineStr">
        <is>
          <t>RE</t>
        </is>
      </c>
      <c r="E48" s="5" t="n">
        <v>5001526</v>
      </c>
      <c r="F48" s="5" t="inlineStr">
        <is>
          <t>4025009621</t>
        </is>
      </c>
      <c r="G48" s="5" t="inlineStr">
        <is>
          <t>EUR</t>
        </is>
      </c>
      <c r="H48" s="9" t="n">
        <v>-23653.14</v>
      </c>
      <c r="I48" s="16" t="n">
        <v>46002</v>
      </c>
      <c r="J48" s="16" t="n">
        <v>46032</v>
      </c>
      <c r="K48" s="5" t="inlineStr">
        <is>
          <t>0916/25</t>
        </is>
      </c>
      <c r="L48" s="5" t="inlineStr">
        <is>
          <t>4025009621</t>
        </is>
      </c>
      <c r="M48" s="5">
        <f>IF(YEAR(I48)&lt;=2020,"Até 2020",TEXT(YEAR(I48),"0"))</f>
        <v/>
      </c>
      <c r="N48" s="5">
        <f>IFERROR(INDEX(DePara!$A:$A,MATCH(TEXT(B48,"0"),DePara!$D:$D,0)),"(sem categoria)")</f>
        <v/>
      </c>
      <c r="O48" s="5">
        <f>IF(J48="","",Parametros!$B$6-J48)</f>
        <v/>
      </c>
      <c r="P48" s="5">
        <f>IF(O48="","",IF(O48&gt;0,1,0))</f>
        <v/>
      </c>
    </row>
    <row r="49">
      <c r="A49" s="5" t="n">
        <v>2122100000</v>
      </c>
      <c r="B49" s="5" t="inlineStr">
        <is>
          <t>IC4420</t>
        </is>
      </c>
      <c r="C49" s="5" t="inlineStr">
        <is>
          <t>NORDEX ENERGY SPAIN S A U</t>
        </is>
      </c>
      <c r="D49" s="5" t="inlineStr">
        <is>
          <t>RE</t>
        </is>
      </c>
      <c r="E49" s="5" t="n">
        <v>5001545</v>
      </c>
      <c r="F49" s="5" t="inlineStr">
        <is>
          <t>4025007240</t>
        </is>
      </c>
      <c r="G49" s="5" t="inlineStr">
        <is>
          <t>EUR</t>
        </is>
      </c>
      <c r="H49" s="9" t="n">
        <v>-491</v>
      </c>
      <c r="I49" s="16" t="n">
        <v>45919</v>
      </c>
      <c r="J49" s="16" t="n">
        <v>45949</v>
      </c>
      <c r="K49" s="5" t="inlineStr">
        <is>
          <t>0778/25</t>
        </is>
      </c>
      <c r="L49" s="5" t="inlineStr">
        <is>
          <t>4025007240</t>
        </is>
      </c>
      <c r="M49" s="5">
        <f>IF(YEAR(I49)&lt;=2020,"Até 2020",TEXT(YEAR(I49),"0"))</f>
        <v/>
      </c>
      <c r="N49" s="5">
        <f>IFERROR(INDEX(DePara!$A:$A,MATCH(TEXT(B49,"0"),DePara!$D:$D,0)),"(sem categoria)")</f>
        <v/>
      </c>
      <c r="O49" s="5">
        <f>IF(J49="","",Parametros!$B$6-J49)</f>
        <v/>
      </c>
      <c r="P49" s="5">
        <f>IF(O49="","",IF(O49&gt;0,1,0))</f>
        <v/>
      </c>
    </row>
    <row r="50">
      <c r="A50" s="5" t="n">
        <v>2122100000</v>
      </c>
      <c r="B50" s="5" t="inlineStr">
        <is>
          <t>IC4420</t>
        </is>
      </c>
      <c r="C50" s="5" t="inlineStr">
        <is>
          <t>NORDEX ENERGY SPAIN S A U</t>
        </is>
      </c>
      <c r="D50" s="5" t="inlineStr">
        <is>
          <t>RE</t>
        </is>
      </c>
      <c r="E50" s="5" t="n">
        <v>5001587</v>
      </c>
      <c r="F50" s="5" t="inlineStr">
        <is>
          <t>4025008325</t>
        </is>
      </c>
      <c r="G50" s="5" t="inlineStr">
        <is>
          <t>EUR</t>
        </is>
      </c>
      <c r="H50" s="9" t="n">
        <v>-260788.45</v>
      </c>
      <c r="I50" s="16" t="n">
        <v>45958</v>
      </c>
      <c r="J50" s="16" t="n">
        <v>45988</v>
      </c>
      <c r="K50" s="5" t="inlineStr">
        <is>
          <t>0816/25</t>
        </is>
      </c>
      <c r="L50" s="5" t="inlineStr">
        <is>
          <t>4025008325</t>
        </is>
      </c>
      <c r="M50" s="5">
        <f>IF(YEAR(I50)&lt;=2020,"Até 2020",TEXT(YEAR(I50),"0"))</f>
        <v/>
      </c>
      <c r="N50" s="5">
        <f>IFERROR(INDEX(DePara!$A:$A,MATCH(TEXT(B50,"0"),DePara!$D:$D,0)),"(sem categoria)")</f>
        <v/>
      </c>
      <c r="O50" s="5">
        <f>IF(J50="","",Parametros!$B$6-J50)</f>
        <v/>
      </c>
      <c r="P50" s="5">
        <f>IF(O50="","",IF(O50&gt;0,1,0))</f>
        <v/>
      </c>
    </row>
    <row r="51">
      <c r="A51" s="5" t="n">
        <v>2122100000</v>
      </c>
      <c r="B51" s="5" t="inlineStr">
        <is>
          <t>IC4420</t>
        </is>
      </c>
      <c r="C51" s="5" t="inlineStr">
        <is>
          <t>NORDEX ENERGY SPAIN S A U</t>
        </is>
      </c>
      <c r="D51" s="5" t="inlineStr">
        <is>
          <t>RE</t>
        </is>
      </c>
      <c r="E51" s="5" t="n">
        <v>5001588</v>
      </c>
      <c r="F51" s="5" t="inlineStr">
        <is>
          <t>4025008326</t>
        </is>
      </c>
      <c r="G51" s="5" t="inlineStr">
        <is>
          <t>EUR</t>
        </is>
      </c>
      <c r="H51" s="9" t="n">
        <v>-260788.45</v>
      </c>
      <c r="I51" s="16" t="n">
        <v>45958</v>
      </c>
      <c r="J51" s="16" t="n">
        <v>45988</v>
      </c>
      <c r="K51" s="5" t="inlineStr">
        <is>
          <t>0816/25</t>
        </is>
      </c>
      <c r="L51" s="5" t="inlineStr">
        <is>
          <t>4025008326</t>
        </is>
      </c>
      <c r="M51" s="5">
        <f>IF(YEAR(I51)&lt;=2020,"Até 2020",TEXT(YEAR(I51),"0"))</f>
        <v/>
      </c>
      <c r="N51" s="5">
        <f>IFERROR(INDEX(DePara!$A:$A,MATCH(TEXT(B51,"0"),DePara!$D:$D,0)),"(sem categoria)")</f>
        <v/>
      </c>
      <c r="O51" s="5">
        <f>IF(J51="","",Parametros!$B$6-J51)</f>
        <v/>
      </c>
      <c r="P51" s="5">
        <f>IF(O51="","",IF(O51&gt;0,1,0))</f>
        <v/>
      </c>
    </row>
    <row r="52">
      <c r="A52" s="5" t="n">
        <v>2122100000</v>
      </c>
      <c r="B52" s="5" t="inlineStr">
        <is>
          <t>IC4420</t>
        </is>
      </c>
      <c r="C52" s="5" t="inlineStr">
        <is>
          <t>NORDEX ENERGY SPAIN S A U</t>
        </is>
      </c>
      <c r="D52" s="5" t="inlineStr">
        <is>
          <t>RE</t>
        </is>
      </c>
      <c r="E52" s="5" t="n">
        <v>5001649</v>
      </c>
      <c r="F52" s="5" t="inlineStr">
        <is>
          <t>4025010000</t>
        </is>
      </c>
      <c r="G52" s="5" t="inlineStr">
        <is>
          <t>EUR</t>
        </is>
      </c>
      <c r="H52" s="9" t="n">
        <v>-184583.34</v>
      </c>
      <c r="I52" s="16" t="n">
        <v>46020</v>
      </c>
      <c r="J52" s="16" t="n">
        <v>46050</v>
      </c>
      <c r="K52" s="5" t="inlineStr">
        <is>
          <t>0009/26</t>
        </is>
      </c>
      <c r="L52" s="5" t="inlineStr">
        <is>
          <t>4025010000</t>
        </is>
      </c>
      <c r="M52" s="5">
        <f>IF(YEAR(I52)&lt;=2020,"Até 2020",TEXT(YEAR(I52),"0"))</f>
        <v/>
      </c>
      <c r="N52" s="5">
        <f>IFERROR(INDEX(DePara!$A:$A,MATCH(TEXT(B52,"0"),DePara!$D:$D,0)),"(sem categoria)")</f>
        <v/>
      </c>
      <c r="O52" s="5">
        <f>IF(J52="","",Parametros!$B$6-J52)</f>
        <v/>
      </c>
      <c r="P52" s="5">
        <f>IF(O52="","",IF(O52&gt;0,1,0))</f>
        <v/>
      </c>
    </row>
    <row r="53">
      <c r="A53" s="5" t="n">
        <v>2122100000</v>
      </c>
      <c r="B53" s="5" t="inlineStr">
        <is>
          <t>IC4420</t>
        </is>
      </c>
      <c r="C53" s="5" t="inlineStr">
        <is>
          <t>NORDEX ENERGY SPAIN S A U</t>
        </is>
      </c>
      <c r="D53" s="5" t="inlineStr">
        <is>
          <t>RE</t>
        </is>
      </c>
      <c r="E53" s="5" t="n">
        <v>5001656</v>
      </c>
      <c r="F53" s="5" t="inlineStr">
        <is>
          <t>4025007225</t>
        </is>
      </c>
      <c r="G53" s="5" t="inlineStr">
        <is>
          <t>EUR</t>
        </is>
      </c>
      <c r="H53" s="9" t="n">
        <v>-28066.33</v>
      </c>
      <c r="I53" s="16" t="n">
        <v>45919</v>
      </c>
      <c r="J53" s="16" t="n">
        <v>45949</v>
      </c>
      <c r="K53" s="5" t="inlineStr">
        <is>
          <t>0777/25</t>
        </is>
      </c>
      <c r="L53" s="5" t="inlineStr">
        <is>
          <t>4025007225</t>
        </is>
      </c>
      <c r="M53" s="5">
        <f>IF(YEAR(I53)&lt;=2020,"Até 2020",TEXT(YEAR(I53),"0"))</f>
        <v/>
      </c>
      <c r="N53" s="5">
        <f>IFERROR(INDEX(DePara!$A:$A,MATCH(TEXT(B53,"0"),DePara!$D:$D,0)),"(sem categoria)")</f>
        <v/>
      </c>
      <c r="O53" s="5">
        <f>IF(J53="","",Parametros!$B$6-J53)</f>
        <v/>
      </c>
      <c r="P53" s="5">
        <f>IF(O53="","",IF(O53&gt;0,1,0))</f>
        <v/>
      </c>
    </row>
    <row r="54">
      <c r="A54" s="5" t="n">
        <v>2122100000</v>
      </c>
      <c r="B54" s="5" t="inlineStr">
        <is>
          <t>IC4420</t>
        </is>
      </c>
      <c r="C54" s="5" t="inlineStr">
        <is>
          <t>NORDEX ENERGY SPAIN S A U</t>
        </is>
      </c>
      <c r="D54" s="5" t="inlineStr">
        <is>
          <t>RE</t>
        </is>
      </c>
      <c r="E54" s="5" t="n">
        <v>5001657</v>
      </c>
      <c r="F54" s="5" t="inlineStr">
        <is>
          <t>4025009105</t>
        </is>
      </c>
      <c r="G54" s="5" t="inlineStr">
        <is>
          <t>EUR</t>
        </is>
      </c>
      <c r="H54" s="9" t="n">
        <v>-3270.43</v>
      </c>
      <c r="I54" s="16" t="n">
        <v>45987</v>
      </c>
      <c r="J54" s="16" t="n">
        <v>46017</v>
      </c>
      <c r="K54" s="5" t="inlineStr">
        <is>
          <t>0881/25</t>
        </is>
      </c>
      <c r="L54" s="5" t="inlineStr">
        <is>
          <t>4025009105</t>
        </is>
      </c>
      <c r="M54" s="5">
        <f>IF(YEAR(I54)&lt;=2020,"Até 2020",TEXT(YEAR(I54),"0"))</f>
        <v/>
      </c>
      <c r="N54" s="5">
        <f>IFERROR(INDEX(DePara!$A:$A,MATCH(TEXT(B54,"0"),DePara!$D:$D,0)),"(sem categoria)")</f>
        <v/>
      </c>
      <c r="O54" s="5">
        <f>IF(J54="","",Parametros!$B$6-J54)</f>
        <v/>
      </c>
      <c r="P54" s="5">
        <f>IF(O54="","",IF(O54&gt;0,1,0))</f>
        <v/>
      </c>
    </row>
    <row r="55">
      <c r="A55" s="5" t="n">
        <v>2122100000</v>
      </c>
      <c r="B55" s="5" t="inlineStr">
        <is>
          <t>IC1000</t>
        </is>
      </c>
      <c r="C55" s="5" t="inlineStr">
        <is>
          <t>NORDEX ENERGY SE &amp; CO KG</t>
        </is>
      </c>
      <c r="D55" s="5" t="inlineStr">
        <is>
          <t>RE</t>
        </is>
      </c>
      <c r="E55" s="5" t="n">
        <v>5001661</v>
      </c>
      <c r="F55" s="5" t="inlineStr">
        <is>
          <t>4012485635-4</t>
        </is>
      </c>
      <c r="G55" s="5" t="inlineStr">
        <is>
          <t>BRL</t>
        </is>
      </c>
      <c r="H55" s="9" t="n">
        <v>-114689.84</v>
      </c>
      <c r="I55" s="16" t="n">
        <v>45988</v>
      </c>
      <c r="J55" s="16" t="n">
        <v>46018</v>
      </c>
      <c r="K55" s="5" t="inlineStr">
        <is>
          <t>0910/25</t>
        </is>
      </c>
      <c r="L55" s="5" t="inlineStr">
        <is>
          <t>4012485635-4</t>
        </is>
      </c>
      <c r="M55" s="5">
        <f>IF(YEAR(I55)&lt;=2020,"Até 2020",TEXT(YEAR(I55),"0"))</f>
        <v/>
      </c>
      <c r="N55" s="5">
        <f>IFERROR(INDEX(DePara!$A:$A,MATCH(TEXT(B55,"0"),DePara!$D:$D,0)),"(sem categoria)")</f>
        <v/>
      </c>
      <c r="O55" s="5">
        <f>IF(J55="","",Parametros!$B$6-J55)</f>
        <v/>
      </c>
      <c r="P55" s="5">
        <f>IF(O55="","",IF(O55&gt;0,1,0))</f>
        <v/>
      </c>
    </row>
    <row r="56">
      <c r="A56" s="5" t="n">
        <v>2122100000</v>
      </c>
      <c r="B56" s="5" t="inlineStr">
        <is>
          <t>IC1000</t>
        </is>
      </c>
      <c r="C56" s="5" t="inlineStr">
        <is>
          <t>NORDEX ENERGY SE &amp; CO KG</t>
        </is>
      </c>
      <c r="D56" s="5" t="inlineStr">
        <is>
          <t>RE</t>
        </is>
      </c>
      <c r="E56" s="5" t="n">
        <v>5001662</v>
      </c>
      <c r="F56" s="5" t="inlineStr">
        <is>
          <t>4012485635-2</t>
        </is>
      </c>
      <c r="G56" s="5" t="inlineStr">
        <is>
          <t>BRL</t>
        </is>
      </c>
      <c r="H56" s="9" t="n">
        <v>-688139.04</v>
      </c>
      <c r="I56" s="16" t="n">
        <v>45988</v>
      </c>
      <c r="J56" s="16" t="n">
        <v>46018</v>
      </c>
      <c r="K56" s="5" t="inlineStr">
        <is>
          <t>0910/25</t>
        </is>
      </c>
      <c r="L56" s="5" t="inlineStr">
        <is>
          <t>4012485635-2</t>
        </is>
      </c>
      <c r="M56" s="5">
        <f>IF(YEAR(I56)&lt;=2020,"Até 2020",TEXT(YEAR(I56),"0"))</f>
        <v/>
      </c>
      <c r="N56" s="5">
        <f>IFERROR(INDEX(DePara!$A:$A,MATCH(TEXT(B56,"0"),DePara!$D:$D,0)),"(sem categoria)")</f>
        <v/>
      </c>
      <c r="O56" s="5">
        <f>IF(J56="","",Parametros!$B$6-J56)</f>
        <v/>
      </c>
      <c r="P56" s="5">
        <f>IF(O56="","",IF(O56&gt;0,1,0))</f>
        <v/>
      </c>
    </row>
    <row r="57">
      <c r="A57" s="5" t="n">
        <v>2122100000</v>
      </c>
      <c r="B57" s="5" t="inlineStr">
        <is>
          <t>IC1000</t>
        </is>
      </c>
      <c r="C57" s="5" t="inlineStr">
        <is>
          <t>NORDEX ENERGY SE &amp; CO KG</t>
        </is>
      </c>
      <c r="D57" s="5" t="inlineStr">
        <is>
          <t>RE</t>
        </is>
      </c>
      <c r="E57" s="5" t="n">
        <v>5001663</v>
      </c>
      <c r="F57" s="5" t="inlineStr">
        <is>
          <t>4012485635-1</t>
        </is>
      </c>
      <c r="G57" s="5" t="inlineStr">
        <is>
          <t>BRL</t>
        </is>
      </c>
      <c r="H57" s="9" t="n">
        <v>-688139.04</v>
      </c>
      <c r="I57" s="16" t="n">
        <v>45988</v>
      </c>
      <c r="J57" s="16" t="n">
        <v>46018</v>
      </c>
      <c r="K57" s="5" t="inlineStr">
        <is>
          <t>0910/25</t>
        </is>
      </c>
      <c r="L57" s="5" t="inlineStr">
        <is>
          <t>4012485635-1</t>
        </is>
      </c>
      <c r="M57" s="5">
        <f>IF(YEAR(I57)&lt;=2020,"Até 2020",TEXT(YEAR(I57),"0"))</f>
        <v/>
      </c>
      <c r="N57" s="5">
        <f>IFERROR(INDEX(DePara!$A:$A,MATCH(TEXT(B57,"0"),DePara!$D:$D,0)),"(sem categoria)")</f>
        <v/>
      </c>
      <c r="O57" s="5">
        <f>IF(J57="","",Parametros!$B$6-J57)</f>
        <v/>
      </c>
      <c r="P57" s="5">
        <f>IF(O57="","",IF(O57&gt;0,1,0))</f>
        <v/>
      </c>
    </row>
    <row r="58">
      <c r="A58" s="5" t="n">
        <v>2122100000</v>
      </c>
      <c r="B58" s="5" t="inlineStr">
        <is>
          <t>IC4420</t>
        </is>
      </c>
      <c r="C58" s="5" t="inlineStr">
        <is>
          <t>NORDEX ENERGY SPAIN S A U</t>
        </is>
      </c>
      <c r="D58" s="5" t="inlineStr">
        <is>
          <t>RE</t>
        </is>
      </c>
      <c r="E58" s="5" t="n">
        <v>5001664</v>
      </c>
      <c r="F58" s="5" t="inlineStr">
        <is>
          <t>4026000021</t>
        </is>
      </c>
      <c r="G58" s="5" t="inlineStr">
        <is>
          <t>EUR</t>
        </is>
      </c>
      <c r="H58" s="9" t="n">
        <v>-217412.75</v>
      </c>
      <c r="I58" s="16" t="n">
        <v>46024</v>
      </c>
      <c r="J58" s="16" t="n">
        <v>46054</v>
      </c>
      <c r="K58" s="5" t="inlineStr">
        <is>
          <t>0014/26</t>
        </is>
      </c>
      <c r="L58" s="5" t="inlineStr">
        <is>
          <t>4026000021</t>
        </is>
      </c>
      <c r="M58" s="5">
        <f>IF(YEAR(I58)&lt;=2020,"Até 2020",TEXT(YEAR(I58),"0"))</f>
        <v/>
      </c>
      <c r="N58" s="5">
        <f>IFERROR(INDEX(DePara!$A:$A,MATCH(TEXT(B58,"0"),DePara!$D:$D,0)),"(sem categoria)")</f>
        <v/>
      </c>
      <c r="O58" s="5">
        <f>IF(J58="","",Parametros!$B$6-J58)</f>
        <v/>
      </c>
      <c r="P58" s="5">
        <f>IF(O58="","",IF(O58&gt;0,1,0))</f>
        <v/>
      </c>
    </row>
    <row r="59">
      <c r="A59" s="5" t="n">
        <v>2122100000</v>
      </c>
      <c r="B59" s="5" t="inlineStr">
        <is>
          <t>IC4420</t>
        </is>
      </c>
      <c r="C59" s="5" t="inlineStr">
        <is>
          <t>NORDEX ENERGY SPAIN S A U</t>
        </is>
      </c>
      <c r="D59" s="5" t="inlineStr">
        <is>
          <t>RE</t>
        </is>
      </c>
      <c r="E59" s="5" t="n">
        <v>5001666</v>
      </c>
      <c r="F59" s="5" t="inlineStr">
        <is>
          <t>4025010001</t>
        </is>
      </c>
      <c r="G59" s="5" t="inlineStr">
        <is>
          <t>EUR</t>
        </is>
      </c>
      <c r="H59" s="9" t="n">
        <v>-183.87</v>
      </c>
      <c r="I59" s="16" t="n">
        <v>46020</v>
      </c>
      <c r="J59" s="16" t="n">
        <v>46050</v>
      </c>
      <c r="K59" s="5" t="inlineStr">
        <is>
          <t>0011/26</t>
        </is>
      </c>
      <c r="L59" s="5" t="inlineStr">
        <is>
          <t>4025010001</t>
        </is>
      </c>
      <c r="M59" s="5">
        <f>IF(YEAR(I59)&lt;=2020,"Até 2020",TEXT(YEAR(I59),"0"))</f>
        <v/>
      </c>
      <c r="N59" s="5">
        <f>IFERROR(INDEX(DePara!$A:$A,MATCH(TEXT(B59,"0"),DePara!$D:$D,0)),"(sem categoria)")</f>
        <v/>
      </c>
      <c r="O59" s="5">
        <f>IF(J59="","",Parametros!$B$6-J59)</f>
        <v/>
      </c>
      <c r="P59" s="5">
        <f>IF(O59="","",IF(O59&gt;0,1,0))</f>
        <v/>
      </c>
    </row>
    <row r="60">
      <c r="A60" s="5" t="n">
        <v>2122100000</v>
      </c>
      <c r="B60" s="5" t="inlineStr">
        <is>
          <t>IC4420</t>
        </is>
      </c>
      <c r="C60" s="5" t="inlineStr">
        <is>
          <t>NORDEX ENERGY SPAIN S A U</t>
        </is>
      </c>
      <c r="D60" s="5" t="inlineStr">
        <is>
          <t>RE</t>
        </is>
      </c>
      <c r="E60" s="5" t="n">
        <v>5001668</v>
      </c>
      <c r="F60" s="5" t="inlineStr">
        <is>
          <t>4025007236</t>
        </is>
      </c>
      <c r="G60" s="5" t="inlineStr">
        <is>
          <t>EUR</t>
        </is>
      </c>
      <c r="H60" s="9" t="n">
        <v>-19071.4</v>
      </c>
      <c r="I60" s="16" t="n">
        <v>45919</v>
      </c>
      <c r="J60" s="16" t="n">
        <v>45949</v>
      </c>
      <c r="K60" s="5" t="inlineStr">
        <is>
          <t>0773/25</t>
        </is>
      </c>
      <c r="L60" s="5" t="inlineStr">
        <is>
          <t>4025007236</t>
        </is>
      </c>
      <c r="M60" s="5">
        <f>IF(YEAR(I60)&lt;=2020,"Até 2020",TEXT(YEAR(I60),"0"))</f>
        <v/>
      </c>
      <c r="N60" s="5">
        <f>IFERROR(INDEX(DePara!$A:$A,MATCH(TEXT(B60,"0"),DePara!$D:$D,0)),"(sem categoria)")</f>
        <v/>
      </c>
      <c r="O60" s="5">
        <f>IF(J60="","",Parametros!$B$6-J60)</f>
        <v/>
      </c>
      <c r="P60" s="5">
        <f>IF(O60="","",IF(O60&gt;0,1,0))</f>
        <v/>
      </c>
    </row>
    <row r="61">
      <c r="A61" s="5" t="n">
        <v>2122100000</v>
      </c>
      <c r="B61" s="5" t="inlineStr">
        <is>
          <t>IC1000</t>
        </is>
      </c>
      <c r="C61" s="5" t="inlineStr">
        <is>
          <t>NORDEX ENERGY SE &amp; CO KG</t>
        </is>
      </c>
      <c r="D61" s="5" t="inlineStr">
        <is>
          <t>RE</t>
        </is>
      </c>
      <c r="E61" s="5" t="n">
        <v>5001669</v>
      </c>
      <c r="F61" s="5" t="inlineStr">
        <is>
          <t>4012485635-3</t>
        </is>
      </c>
      <c r="G61" s="5" t="inlineStr">
        <is>
          <t>BRL</t>
        </is>
      </c>
      <c r="H61" s="9" t="n">
        <v>-688139.04</v>
      </c>
      <c r="I61" s="16" t="n">
        <v>45988</v>
      </c>
      <c r="J61" s="16" t="n">
        <v>46018</v>
      </c>
      <c r="K61" s="5" t="inlineStr">
        <is>
          <t>0910/25</t>
        </is>
      </c>
      <c r="L61" s="5" t="inlineStr">
        <is>
          <t>4012485635-3</t>
        </is>
      </c>
      <c r="M61" s="5">
        <f>IF(YEAR(I61)&lt;=2020,"Até 2020",TEXT(YEAR(I61),"0"))</f>
        <v/>
      </c>
      <c r="N61" s="5">
        <f>IFERROR(INDEX(DePara!$A:$A,MATCH(TEXT(B61,"0"),DePara!$D:$D,0)),"(sem categoria)")</f>
        <v/>
      </c>
      <c r="O61" s="5">
        <f>IF(J61="","",Parametros!$B$6-J61)</f>
        <v/>
      </c>
      <c r="P61" s="5">
        <f>IF(O61="","",IF(O61&gt;0,1,0))</f>
        <v/>
      </c>
    </row>
    <row r="62">
      <c r="A62" s="5" t="n">
        <v>2122100000</v>
      </c>
      <c r="B62" s="5" t="inlineStr">
        <is>
          <t>IC4420</t>
        </is>
      </c>
      <c r="C62" s="5" t="inlineStr">
        <is>
          <t>NORDEX ENERGY SPAIN S A U</t>
        </is>
      </c>
      <c r="D62" s="5" t="inlineStr">
        <is>
          <t>RE</t>
        </is>
      </c>
      <c r="E62" s="5" t="n">
        <v>5001670</v>
      </c>
      <c r="F62" s="5" t="inlineStr">
        <is>
          <t>4025009999</t>
        </is>
      </c>
      <c r="G62" s="5" t="inlineStr">
        <is>
          <t>EUR</t>
        </is>
      </c>
      <c r="H62" s="9" t="n">
        <v>-193782.71</v>
      </c>
      <c r="I62" s="16" t="n">
        <v>46020</v>
      </c>
      <c r="J62" s="16" t="n">
        <v>46050</v>
      </c>
      <c r="K62" s="5" t="inlineStr">
        <is>
          <t>0011/26</t>
        </is>
      </c>
      <c r="L62" s="5" t="inlineStr">
        <is>
          <t>4025009999</t>
        </is>
      </c>
      <c r="M62" s="5">
        <f>IF(YEAR(I62)&lt;=2020,"Até 2020",TEXT(YEAR(I62),"0"))</f>
        <v/>
      </c>
      <c r="N62" s="5">
        <f>IFERROR(INDEX(DePara!$A:$A,MATCH(TEXT(B62,"0"),DePara!$D:$D,0)),"(sem categoria)")</f>
        <v/>
      </c>
      <c r="O62" s="5">
        <f>IF(J62="","",Parametros!$B$6-J62)</f>
        <v/>
      </c>
      <c r="P62" s="5">
        <f>IF(O62="","",IF(O62&gt;0,1,0))</f>
        <v/>
      </c>
    </row>
    <row r="63">
      <c r="A63" s="5" t="n">
        <v>2122100000</v>
      </c>
      <c r="B63" s="5" t="inlineStr">
        <is>
          <t>IC4420</t>
        </is>
      </c>
      <c r="C63" s="5" t="inlineStr">
        <is>
          <t>NORDEX ENERGY SPAIN S A U</t>
        </is>
      </c>
      <c r="D63" s="5" t="inlineStr">
        <is>
          <t>RE</t>
        </is>
      </c>
      <c r="E63" s="5" t="n">
        <v>5001672</v>
      </c>
      <c r="F63" s="5" t="inlineStr">
        <is>
          <t>4025007228</t>
        </is>
      </c>
      <c r="G63" s="5" t="inlineStr">
        <is>
          <t>EUR</t>
        </is>
      </c>
      <c r="H63" s="9" t="n">
        <v>-60858.8</v>
      </c>
      <c r="I63" s="16" t="n">
        <v>45919</v>
      </c>
      <c r="J63" s="16" t="n">
        <v>45949</v>
      </c>
      <c r="K63" s="5" t="inlineStr">
        <is>
          <t>0773/25</t>
        </is>
      </c>
      <c r="L63" s="5" t="inlineStr">
        <is>
          <t>4025007228</t>
        </is>
      </c>
      <c r="M63" s="5">
        <f>IF(YEAR(I63)&lt;=2020,"Até 2020",TEXT(YEAR(I63),"0"))</f>
        <v/>
      </c>
      <c r="N63" s="5">
        <f>IFERROR(INDEX(DePara!$A:$A,MATCH(TEXT(B63,"0"),DePara!$D:$D,0)),"(sem categoria)")</f>
        <v/>
      </c>
      <c r="O63" s="5">
        <f>IF(J63="","",Parametros!$B$6-J63)</f>
        <v/>
      </c>
      <c r="P63" s="5">
        <f>IF(O63="","",IF(O63&gt;0,1,0))</f>
        <v/>
      </c>
    </row>
    <row r="64">
      <c r="A64" s="5" t="n">
        <v>2122100000</v>
      </c>
      <c r="B64" s="5" t="inlineStr">
        <is>
          <t>IC4420</t>
        </is>
      </c>
      <c r="C64" s="5" t="inlineStr">
        <is>
          <t>NORDEX ENERGY SPAIN S A U</t>
        </is>
      </c>
      <c r="D64" s="5" t="inlineStr">
        <is>
          <t>RE</t>
        </is>
      </c>
      <c r="E64" s="5" t="n">
        <v>5001692</v>
      </c>
      <c r="F64" s="5" t="inlineStr">
        <is>
          <t>4018000179</t>
        </is>
      </c>
      <c r="G64" s="5" t="inlineStr">
        <is>
          <t>EUR</t>
        </is>
      </c>
      <c r="H64" s="9" t="n">
        <v>-251812.42</v>
      </c>
      <c r="I64" s="16" t="n">
        <v>45926</v>
      </c>
      <c r="J64" s="16" t="n">
        <v>45956</v>
      </c>
      <c r="K64" s="5" t="inlineStr">
        <is>
          <t>0774/25</t>
        </is>
      </c>
      <c r="L64" s="5" t="inlineStr">
        <is>
          <t>4018000179</t>
        </is>
      </c>
      <c r="M64" s="5">
        <f>IF(YEAR(I64)&lt;=2020,"Até 2020",TEXT(YEAR(I64),"0"))</f>
        <v/>
      </c>
      <c r="N64" s="5">
        <f>IFERROR(INDEX(DePara!$A:$A,MATCH(TEXT(B64,"0"),DePara!$D:$D,0)),"(sem categoria)")</f>
        <v/>
      </c>
      <c r="O64" s="5">
        <f>IF(J64="","",Parametros!$B$6-J64)</f>
        <v/>
      </c>
      <c r="P64" s="5">
        <f>IF(O64="","",IF(O64&gt;0,1,0))</f>
        <v/>
      </c>
    </row>
    <row r="65">
      <c r="A65" s="5" t="n">
        <v>2122100000</v>
      </c>
      <c r="B65" s="5" t="inlineStr">
        <is>
          <t>IC4420</t>
        </is>
      </c>
      <c r="C65" s="5" t="inlineStr">
        <is>
          <t>NORDEX ENERGY SPAIN S A U</t>
        </is>
      </c>
      <c r="D65" s="5" t="inlineStr">
        <is>
          <t>RE</t>
        </is>
      </c>
      <c r="E65" s="5" t="n">
        <v>5001694</v>
      </c>
      <c r="F65" s="5" t="inlineStr">
        <is>
          <t>4025007245</t>
        </is>
      </c>
      <c r="G65" s="5" t="inlineStr">
        <is>
          <t>EUR</t>
        </is>
      </c>
      <c r="H65" s="9" t="n">
        <v>-156475.18</v>
      </c>
      <c r="I65" s="16" t="n">
        <v>45919</v>
      </c>
      <c r="J65" s="16" t="n">
        <v>45949</v>
      </c>
      <c r="K65" s="5" t="inlineStr">
        <is>
          <t>0774/25</t>
        </is>
      </c>
      <c r="L65" s="5" t="inlineStr">
        <is>
          <t>4025007245</t>
        </is>
      </c>
      <c r="M65" s="5">
        <f>IF(YEAR(I65)&lt;=2020,"Até 2020",TEXT(YEAR(I65),"0"))</f>
        <v/>
      </c>
      <c r="N65" s="5">
        <f>IFERROR(INDEX(DePara!$A:$A,MATCH(TEXT(B65,"0"),DePara!$D:$D,0)),"(sem categoria)")</f>
        <v/>
      </c>
      <c r="O65" s="5">
        <f>IF(J65="","",Parametros!$B$6-J65)</f>
        <v/>
      </c>
      <c r="P65" s="5">
        <f>IF(O65="","",IF(O65&gt;0,1,0))</f>
        <v/>
      </c>
    </row>
    <row r="66">
      <c r="A66" s="5" t="n">
        <v>2122100000</v>
      </c>
      <c r="B66" s="5" t="inlineStr">
        <is>
          <t>IC4420</t>
        </is>
      </c>
      <c r="C66" s="5" t="inlineStr">
        <is>
          <t>NORDEX ENERGY SPAIN S A U</t>
        </is>
      </c>
      <c r="D66" s="5" t="inlineStr">
        <is>
          <t>RE</t>
        </is>
      </c>
      <c r="E66" s="5" t="n">
        <v>5001699</v>
      </c>
      <c r="F66" s="5" t="inlineStr">
        <is>
          <t>4025007231</t>
        </is>
      </c>
      <c r="G66" s="5" t="inlineStr">
        <is>
          <t>EUR</t>
        </is>
      </c>
      <c r="H66" s="9" t="n">
        <v>-1875.27</v>
      </c>
      <c r="I66" s="16" t="n">
        <v>45919</v>
      </c>
      <c r="J66" s="16" t="n">
        <v>45949</v>
      </c>
      <c r="K66" s="5" t="inlineStr">
        <is>
          <t>0774/25</t>
        </is>
      </c>
      <c r="L66" s="5" t="inlineStr">
        <is>
          <t>4025007231</t>
        </is>
      </c>
      <c r="M66" s="5">
        <f>IF(YEAR(I66)&lt;=2020,"Até 2020",TEXT(YEAR(I66),"0"))</f>
        <v/>
      </c>
      <c r="N66" s="5">
        <f>IFERROR(INDEX(DePara!$A:$A,MATCH(TEXT(B66,"0"),DePara!$D:$D,0)),"(sem categoria)")</f>
        <v/>
      </c>
      <c r="O66" s="5">
        <f>IF(J66="","",Parametros!$B$6-J66)</f>
        <v/>
      </c>
      <c r="P66" s="5">
        <f>IF(O66="","",IF(O66&gt;0,1,0))</f>
        <v/>
      </c>
    </row>
    <row r="67">
      <c r="A67" s="5" t="n">
        <v>2122100000</v>
      </c>
      <c r="B67" s="5" t="inlineStr">
        <is>
          <t>IC4420</t>
        </is>
      </c>
      <c r="C67" s="5" t="inlineStr">
        <is>
          <t>NORDEX ENERGY SPAIN S A U</t>
        </is>
      </c>
      <c r="D67" s="5" t="inlineStr">
        <is>
          <t>RE</t>
        </is>
      </c>
      <c r="E67" s="5" t="n">
        <v>5001700</v>
      </c>
      <c r="F67" s="5" t="inlineStr">
        <is>
          <t>4025007250</t>
        </is>
      </c>
      <c r="G67" s="5" t="inlineStr">
        <is>
          <t>EUR</t>
        </is>
      </c>
      <c r="H67" s="9" t="n">
        <v>-450577.4</v>
      </c>
      <c r="I67" s="16" t="n">
        <v>45919</v>
      </c>
      <c r="J67" s="16" t="n">
        <v>45949</v>
      </c>
      <c r="K67" s="5" t="inlineStr">
        <is>
          <t>0774/25</t>
        </is>
      </c>
      <c r="L67" s="5" t="inlineStr">
        <is>
          <t>4025007250</t>
        </is>
      </c>
      <c r="M67" s="5">
        <f>IF(YEAR(I67)&lt;=2020,"Até 2020",TEXT(YEAR(I67),"0"))</f>
        <v/>
      </c>
      <c r="N67" s="5">
        <f>IFERROR(INDEX(DePara!$A:$A,MATCH(TEXT(B67,"0"),DePara!$D:$D,0)),"(sem categoria)")</f>
        <v/>
      </c>
      <c r="O67" s="5">
        <f>IF(J67="","",Parametros!$B$6-J67)</f>
        <v/>
      </c>
      <c r="P67" s="5">
        <f>IF(O67="","",IF(O67&gt;0,1,0))</f>
        <v/>
      </c>
    </row>
    <row r="68">
      <c r="A68" s="5" t="n">
        <v>2122100000</v>
      </c>
      <c r="B68" s="5" t="inlineStr">
        <is>
          <t>IC4420</t>
        </is>
      </c>
      <c r="C68" s="5" t="inlineStr">
        <is>
          <t>NORDEX ENERGY SPAIN S A U</t>
        </is>
      </c>
      <c r="D68" s="5" t="inlineStr">
        <is>
          <t>RE</t>
        </is>
      </c>
      <c r="E68" s="5" t="n">
        <v>5001703</v>
      </c>
      <c r="F68" s="5" t="inlineStr">
        <is>
          <t>4025007235</t>
        </is>
      </c>
      <c r="G68" s="5" t="inlineStr">
        <is>
          <t>EUR</t>
        </is>
      </c>
      <c r="H68" s="9" t="n">
        <v>-23581.72</v>
      </c>
      <c r="I68" s="16" t="n">
        <v>45919</v>
      </c>
      <c r="J68" s="16" t="n">
        <v>45949</v>
      </c>
      <c r="K68" s="5" t="inlineStr">
        <is>
          <t>0779/25</t>
        </is>
      </c>
      <c r="L68" s="5" t="inlineStr">
        <is>
          <t>4025007235</t>
        </is>
      </c>
      <c r="M68" s="5">
        <f>IF(YEAR(I68)&lt;=2020,"Até 2020",TEXT(YEAR(I68),"0"))</f>
        <v/>
      </c>
      <c r="N68" s="5">
        <f>IFERROR(INDEX(DePara!$A:$A,MATCH(TEXT(B68,"0"),DePara!$D:$D,0)),"(sem categoria)")</f>
        <v/>
      </c>
      <c r="O68" s="5">
        <f>IF(J68="","",Parametros!$B$6-J68)</f>
        <v/>
      </c>
      <c r="P68" s="5">
        <f>IF(O68="","",IF(O68&gt;0,1,0))</f>
        <v/>
      </c>
    </row>
    <row r="69">
      <c r="A69" s="5" t="n">
        <v>2122100000</v>
      </c>
      <c r="B69" s="5" t="inlineStr">
        <is>
          <t>IC4420</t>
        </is>
      </c>
      <c r="C69" s="5" t="inlineStr">
        <is>
          <t>NORDEX ENERGY SPAIN S A U</t>
        </is>
      </c>
      <c r="D69" s="5" t="inlineStr">
        <is>
          <t>RE</t>
        </is>
      </c>
      <c r="E69" s="5" t="n">
        <v>5001704</v>
      </c>
      <c r="F69" s="5" t="inlineStr">
        <is>
          <t>4025010003</t>
        </is>
      </c>
      <c r="G69" s="5" t="inlineStr">
        <is>
          <t>EUR</t>
        </is>
      </c>
      <c r="H69" s="9" t="n">
        <v>-32587.47</v>
      </c>
      <c r="I69" s="16" t="n">
        <v>46020</v>
      </c>
      <c r="J69" s="16" t="n">
        <v>46050</v>
      </c>
      <c r="K69" s="5" t="inlineStr">
        <is>
          <t>0010/26</t>
        </is>
      </c>
      <c r="L69" s="5" t="inlineStr">
        <is>
          <t>4025010003</t>
        </is>
      </c>
      <c r="M69" s="5">
        <f>IF(YEAR(I69)&lt;=2020,"Até 2020",TEXT(YEAR(I69),"0"))</f>
        <v/>
      </c>
      <c r="N69" s="5">
        <f>IFERROR(INDEX(DePara!$A:$A,MATCH(TEXT(B69,"0"),DePara!$D:$D,0)),"(sem categoria)")</f>
        <v/>
      </c>
      <c r="O69" s="5">
        <f>IF(J69="","",Parametros!$B$6-J69)</f>
        <v/>
      </c>
      <c r="P69" s="5">
        <f>IF(O69="","",IF(O69&gt;0,1,0))</f>
        <v/>
      </c>
    </row>
    <row r="70">
      <c r="A70" s="5" t="n">
        <v>2122100000</v>
      </c>
      <c r="B70" s="5" t="inlineStr">
        <is>
          <t>IC4420</t>
        </is>
      </c>
      <c r="C70" s="5" t="inlineStr">
        <is>
          <t>NORDEX ENERGY SPAIN S A U</t>
        </is>
      </c>
      <c r="D70" s="5" t="inlineStr">
        <is>
          <t>KG</t>
        </is>
      </c>
      <c r="E70" s="5" t="n">
        <v>5001799</v>
      </c>
      <c r="F70" s="5" t="inlineStr">
        <is>
          <t>4000013</t>
        </is>
      </c>
      <c r="G70" s="5" t="inlineStr">
        <is>
          <t>EUR</t>
        </is>
      </c>
      <c r="H70" s="9" t="n">
        <v>4427773.7</v>
      </c>
      <c r="I70" s="16" t="n">
        <v>46044</v>
      </c>
      <c r="J70" s="16" t="n">
        <v>46044</v>
      </c>
      <c r="K70" s="5" t="inlineStr">
        <is>
          <t>Nota crédito fornec. NORDEX ENERGY SPAIN S A U 400</t>
        </is>
      </c>
      <c r="L70" s="5" t="n"/>
      <c r="M70" s="5">
        <f>IF(YEAR(I70)&lt;=2020,"Até 2020",TEXT(YEAR(I70),"0"))</f>
        <v/>
      </c>
      <c r="N70" s="5">
        <f>IFERROR(INDEX(DePara!$A:$A,MATCH(TEXT(B70,"0"),DePara!$D:$D,0)),"(sem categoria)")</f>
        <v/>
      </c>
      <c r="O70" s="5">
        <f>IF(J70="","",Parametros!$B$6-J70)</f>
        <v/>
      </c>
      <c r="P70" s="5">
        <f>IF(O70="","",IF(O70&gt;0,1,0))</f>
        <v/>
      </c>
    </row>
    <row r="71">
      <c r="A71" s="5" t="n">
        <v>2122100000</v>
      </c>
      <c r="B71" s="5" t="inlineStr">
        <is>
          <t>IC4420</t>
        </is>
      </c>
      <c r="C71" s="5" t="inlineStr">
        <is>
          <t>NORDEX ENERGY SPAIN S A U</t>
        </is>
      </c>
      <c r="D71" s="5" t="inlineStr">
        <is>
          <t>RE</t>
        </is>
      </c>
      <c r="E71" s="5" t="n">
        <v>5001827</v>
      </c>
      <c r="F71" s="5" t="inlineStr">
        <is>
          <t>4026000050</t>
        </is>
      </c>
      <c r="G71" s="5" t="inlineStr">
        <is>
          <t>EUR</t>
        </is>
      </c>
      <c r="H71" s="9" t="n">
        <v>-4187.65</v>
      </c>
      <c r="I71" s="16" t="n">
        <v>46029</v>
      </c>
      <c r="J71" s="16" t="n">
        <v>46059</v>
      </c>
      <c r="K71" s="5" t="inlineStr">
        <is>
          <t>0016/26</t>
        </is>
      </c>
      <c r="L71" s="5" t="inlineStr">
        <is>
          <t>4026000050</t>
        </is>
      </c>
      <c r="M71" s="5">
        <f>IF(YEAR(I71)&lt;=2020,"Até 2020",TEXT(YEAR(I71),"0"))</f>
        <v/>
      </c>
      <c r="N71" s="5">
        <f>IFERROR(INDEX(DePara!$A:$A,MATCH(TEXT(B71,"0"),DePara!$D:$D,0)),"(sem categoria)")</f>
        <v/>
      </c>
      <c r="O71" s="5">
        <f>IF(J71="","",Parametros!$B$6-J71)</f>
        <v/>
      </c>
      <c r="P71" s="5">
        <f>IF(O71="","",IF(O71&gt;0,1,0))</f>
        <v/>
      </c>
    </row>
    <row r="72">
      <c r="A72" s="5" t="n">
        <v>2122100000</v>
      </c>
      <c r="B72" s="5" t="inlineStr">
        <is>
          <t>IC4420</t>
        </is>
      </c>
      <c r="C72" s="5" t="inlineStr">
        <is>
          <t>NORDEX ENERGY SPAIN S A U</t>
        </is>
      </c>
      <c r="D72" s="5" t="inlineStr">
        <is>
          <t>RE</t>
        </is>
      </c>
      <c r="E72" s="5" t="n">
        <v>5001828</v>
      </c>
      <c r="F72" s="5" t="inlineStr">
        <is>
          <t>4026000027</t>
        </is>
      </c>
      <c r="G72" s="5" t="inlineStr">
        <is>
          <t>EUR</t>
        </is>
      </c>
      <c r="H72" s="9" t="n">
        <v>-12947.14</v>
      </c>
      <c r="I72" s="16" t="n">
        <v>46027</v>
      </c>
      <c r="J72" s="16" t="n">
        <v>46057</v>
      </c>
      <c r="K72" s="5" t="inlineStr">
        <is>
          <t>0015/26</t>
        </is>
      </c>
      <c r="L72" s="5" t="inlineStr">
        <is>
          <t>4026000027</t>
        </is>
      </c>
      <c r="M72" s="5">
        <f>IF(YEAR(I72)&lt;=2020,"Até 2020",TEXT(YEAR(I72),"0"))</f>
        <v/>
      </c>
      <c r="N72" s="5">
        <f>IFERROR(INDEX(DePara!$A:$A,MATCH(TEXT(B72,"0"),DePara!$D:$D,0)),"(sem categoria)")</f>
        <v/>
      </c>
      <c r="O72" s="5">
        <f>IF(J72="","",Parametros!$B$6-J72)</f>
        <v/>
      </c>
      <c r="P72" s="5">
        <f>IF(O72="","",IF(O72&gt;0,1,0))</f>
        <v/>
      </c>
    </row>
    <row r="73">
      <c r="A73" s="5" t="n">
        <v>2122100000</v>
      </c>
      <c r="B73" s="5" t="inlineStr">
        <is>
          <t>IC4420</t>
        </is>
      </c>
      <c r="C73" s="5" t="inlineStr">
        <is>
          <t>NORDEX ENERGY SPAIN S A U</t>
        </is>
      </c>
      <c r="D73" s="5" t="inlineStr">
        <is>
          <t>RE</t>
        </is>
      </c>
      <c r="E73" s="5" t="n">
        <v>5001829</v>
      </c>
      <c r="F73" s="5" t="inlineStr">
        <is>
          <t>4026000051</t>
        </is>
      </c>
      <c r="G73" s="5" t="inlineStr">
        <is>
          <t>EUR</t>
        </is>
      </c>
      <c r="H73" s="9" t="n">
        <v>-259.39</v>
      </c>
      <c r="I73" s="16" t="n">
        <v>46029</v>
      </c>
      <c r="J73" s="16" t="n">
        <v>46059</v>
      </c>
      <c r="K73" s="5" t="inlineStr">
        <is>
          <t>0016/26</t>
        </is>
      </c>
      <c r="L73" s="5" t="inlineStr">
        <is>
          <t>4026000051</t>
        </is>
      </c>
      <c r="M73" s="5">
        <f>IF(YEAR(I73)&lt;=2020,"Até 2020",TEXT(YEAR(I73),"0"))</f>
        <v/>
      </c>
      <c r="N73" s="5">
        <f>IFERROR(INDEX(DePara!$A:$A,MATCH(TEXT(B73,"0"),DePara!$D:$D,0)),"(sem categoria)")</f>
        <v/>
      </c>
      <c r="O73" s="5">
        <f>IF(J73="","",Parametros!$B$6-J73)</f>
        <v/>
      </c>
      <c r="P73" s="5">
        <f>IF(O73="","",IF(O73&gt;0,1,0))</f>
        <v/>
      </c>
    </row>
    <row r="74">
      <c r="A74" s="5" t="n">
        <v>2122100000</v>
      </c>
      <c r="B74" s="5" t="inlineStr">
        <is>
          <t>IC1000</t>
        </is>
      </c>
      <c r="C74" s="5" t="inlineStr">
        <is>
          <t>NORDEX ENERGY SE &amp; CO KG</t>
        </is>
      </c>
      <c r="D74" s="5" t="inlineStr">
        <is>
          <t>KR</t>
        </is>
      </c>
      <c r="E74" s="5" t="n">
        <v>5001865</v>
      </c>
      <c r="F74" s="5" t="inlineStr">
        <is>
          <t>624366</t>
        </is>
      </c>
      <c r="G74" s="5" t="inlineStr">
        <is>
          <t>EUR</t>
        </is>
      </c>
      <c r="H74" s="9" t="n">
        <v>-63754.33</v>
      </c>
      <c r="I74" s="16" t="n">
        <v>46042</v>
      </c>
      <c r="J74" s="16" t="n">
        <v>46072</v>
      </c>
      <c r="K74" s="5" t="inlineStr">
        <is>
          <t>Vendor Invoice NORDEX ENERGY SE &amp; CO KG 624366</t>
        </is>
      </c>
      <c r="L74" s="5" t="n"/>
      <c r="M74" s="5">
        <f>IF(YEAR(I74)&lt;=2020,"Até 2020",TEXT(YEAR(I74),"0"))</f>
        <v/>
      </c>
      <c r="N74" s="5">
        <f>IFERROR(INDEX(DePara!$A:$A,MATCH(TEXT(B74,"0"),DePara!$D:$D,0)),"(sem categoria)")</f>
        <v/>
      </c>
      <c r="O74" s="5">
        <f>IF(J74="","",Parametros!$B$6-J74)</f>
        <v/>
      </c>
      <c r="P74" s="5">
        <f>IF(O74="","",IF(O74&gt;0,1,0))</f>
        <v/>
      </c>
    </row>
    <row r="75">
      <c r="A75" s="5" t="n">
        <v>2122100000</v>
      </c>
      <c r="B75" s="5" t="inlineStr">
        <is>
          <t>IC4420</t>
        </is>
      </c>
      <c r="C75" s="5" t="inlineStr">
        <is>
          <t>NORDEX ENERGY SPAIN S A U</t>
        </is>
      </c>
      <c r="D75" s="5" t="inlineStr">
        <is>
          <t>RE</t>
        </is>
      </c>
      <c r="E75" s="5" t="n">
        <v>5001935</v>
      </c>
      <c r="F75" s="5" t="inlineStr">
        <is>
          <t>4026000283</t>
        </is>
      </c>
      <c r="G75" s="5" t="inlineStr">
        <is>
          <t>EUR</t>
        </is>
      </c>
      <c r="H75" s="9" t="n">
        <v>-15956.51</v>
      </c>
      <c r="I75" s="16" t="n">
        <v>46036</v>
      </c>
      <c r="J75" s="16" t="n">
        <v>46066</v>
      </c>
      <c r="K75" s="5" t="inlineStr">
        <is>
          <t>0025/26</t>
        </is>
      </c>
      <c r="L75" s="5" t="inlineStr">
        <is>
          <t>4026000283</t>
        </is>
      </c>
      <c r="M75" s="5">
        <f>IF(YEAR(I75)&lt;=2020,"Até 2020",TEXT(YEAR(I75),"0"))</f>
        <v/>
      </c>
      <c r="N75" s="5">
        <f>IFERROR(INDEX(DePara!$A:$A,MATCH(TEXT(B75,"0"),DePara!$D:$D,0)),"(sem categoria)")</f>
        <v/>
      </c>
      <c r="O75" s="5">
        <f>IF(J75="","",Parametros!$B$6-J75)</f>
        <v/>
      </c>
      <c r="P75" s="5">
        <f>IF(O75="","",IF(O75&gt;0,1,0))</f>
        <v/>
      </c>
    </row>
    <row r="76">
      <c r="A76" s="5" t="n">
        <v>2122100000</v>
      </c>
      <c r="B76" s="5" t="inlineStr">
        <is>
          <t>IC4420</t>
        </is>
      </c>
      <c r="C76" s="5" t="inlineStr">
        <is>
          <t>NORDEX ENERGY SPAIN S A U</t>
        </is>
      </c>
      <c r="D76" s="5" t="inlineStr">
        <is>
          <t>RE</t>
        </is>
      </c>
      <c r="E76" s="5" t="n">
        <v>5001937</v>
      </c>
      <c r="F76" s="5" t="inlineStr">
        <is>
          <t>4026000285</t>
        </is>
      </c>
      <c r="G76" s="5" t="inlineStr">
        <is>
          <t>EUR</t>
        </is>
      </c>
      <c r="H76" s="9" t="n">
        <v>-5.72</v>
      </c>
      <c r="I76" s="16" t="n">
        <v>46036</v>
      </c>
      <c r="J76" s="16" t="n">
        <v>46066</v>
      </c>
      <c r="K76" s="5" t="inlineStr">
        <is>
          <t>0027/26</t>
        </is>
      </c>
      <c r="L76" s="5" t="inlineStr">
        <is>
          <t>4026000285</t>
        </is>
      </c>
      <c r="M76" s="5">
        <f>IF(YEAR(I76)&lt;=2020,"Até 2020",TEXT(YEAR(I76),"0"))</f>
        <v/>
      </c>
      <c r="N76" s="5">
        <f>IFERROR(INDEX(DePara!$A:$A,MATCH(TEXT(B76,"0"),DePara!$D:$D,0)),"(sem categoria)")</f>
        <v/>
      </c>
      <c r="O76" s="5">
        <f>IF(J76="","",Parametros!$B$6-J76)</f>
        <v/>
      </c>
      <c r="P76" s="5">
        <f>IF(O76="","",IF(O76&gt;0,1,0))</f>
        <v/>
      </c>
    </row>
    <row r="77">
      <c r="A77" s="5" t="n">
        <v>2122100000</v>
      </c>
      <c r="B77" s="5" t="inlineStr">
        <is>
          <t>IC4420</t>
        </is>
      </c>
      <c r="C77" s="5" t="inlineStr">
        <is>
          <t>NORDEX ENERGY SPAIN S A U</t>
        </is>
      </c>
      <c r="D77" s="5" t="inlineStr">
        <is>
          <t>RE</t>
        </is>
      </c>
      <c r="E77" s="5" t="n">
        <v>5001974</v>
      </c>
      <c r="F77" s="5" t="inlineStr">
        <is>
          <t>4025007233</t>
        </is>
      </c>
      <c r="G77" s="5" t="inlineStr">
        <is>
          <t>EUR</t>
        </is>
      </c>
      <c r="H77" s="9" t="n">
        <v>-2632.09</v>
      </c>
      <c r="I77" s="16" t="n">
        <v>45919</v>
      </c>
      <c r="J77" s="16" t="n">
        <v>45949</v>
      </c>
      <c r="K77" s="5" t="inlineStr">
        <is>
          <t>0782/25</t>
        </is>
      </c>
      <c r="L77" s="5" t="inlineStr">
        <is>
          <t>4025007233</t>
        </is>
      </c>
      <c r="M77" s="5">
        <f>IF(YEAR(I77)&lt;=2020,"Até 2020",TEXT(YEAR(I77),"0"))</f>
        <v/>
      </c>
      <c r="N77" s="5">
        <f>IFERROR(INDEX(DePara!$A:$A,MATCH(TEXT(B77,"0"),DePara!$D:$D,0)),"(sem categoria)")</f>
        <v/>
      </c>
      <c r="O77" s="5">
        <f>IF(J77="","",Parametros!$B$6-J77)</f>
        <v/>
      </c>
      <c r="P77" s="5">
        <f>IF(O77="","",IF(O77&gt;0,1,0))</f>
        <v/>
      </c>
    </row>
    <row r="78">
      <c r="A78" s="5" t="n">
        <v>2122100000</v>
      </c>
      <c r="B78" s="5" t="inlineStr">
        <is>
          <t>IC4420</t>
        </is>
      </c>
      <c r="C78" s="5" t="inlineStr">
        <is>
          <t>NORDEX ENERGY SPAIN S A U</t>
        </is>
      </c>
      <c r="D78" s="5" t="inlineStr">
        <is>
          <t>RE</t>
        </is>
      </c>
      <c r="E78" s="5" t="n">
        <v>5001999</v>
      </c>
      <c r="F78" s="5" t="inlineStr">
        <is>
          <t>4025007248</t>
        </is>
      </c>
      <c r="G78" s="5" t="inlineStr">
        <is>
          <t>EUR</t>
        </is>
      </c>
      <c r="H78" s="9" t="n">
        <v>-168218.94</v>
      </c>
      <c r="I78" s="16" t="n">
        <v>45919</v>
      </c>
      <c r="J78" s="16" t="n">
        <v>45949</v>
      </c>
      <c r="K78" s="5" t="inlineStr">
        <is>
          <t>0777/25</t>
        </is>
      </c>
      <c r="L78" s="5" t="inlineStr">
        <is>
          <t>4025007248</t>
        </is>
      </c>
      <c r="M78" s="5">
        <f>IF(YEAR(I78)&lt;=2020,"Até 2020",TEXT(YEAR(I78),"0"))</f>
        <v/>
      </c>
      <c r="N78" s="5">
        <f>IFERROR(INDEX(DePara!$A:$A,MATCH(TEXT(B78,"0"),DePara!$D:$D,0)),"(sem categoria)")</f>
        <v/>
      </c>
      <c r="O78" s="5">
        <f>IF(J78="","",Parametros!$B$6-J78)</f>
        <v/>
      </c>
      <c r="P78" s="5">
        <f>IF(O78="","",IF(O78&gt;0,1,0))</f>
        <v/>
      </c>
    </row>
    <row r="79">
      <c r="A79" s="5" t="n">
        <v>2122100000</v>
      </c>
      <c r="B79" s="5" t="inlineStr">
        <is>
          <t>IC4420</t>
        </is>
      </c>
      <c r="C79" s="5" t="inlineStr">
        <is>
          <t>NORDEX ENERGY SPAIN S A U</t>
        </is>
      </c>
      <c r="D79" s="5" t="inlineStr">
        <is>
          <t>RE</t>
        </is>
      </c>
      <c r="E79" s="5" t="n">
        <v>5002000</v>
      </c>
      <c r="F79" s="5" t="inlineStr">
        <is>
          <t>4025007244</t>
        </is>
      </c>
      <c r="G79" s="5" t="inlineStr">
        <is>
          <t>EUR</t>
        </is>
      </c>
      <c r="H79" s="9" t="n">
        <v>-51550.43</v>
      </c>
      <c r="I79" s="16" t="n">
        <v>45919</v>
      </c>
      <c r="J79" s="16" t="n">
        <v>45949</v>
      </c>
      <c r="K79" s="5" t="inlineStr">
        <is>
          <t>0780/25</t>
        </is>
      </c>
      <c r="L79" s="5" t="inlineStr">
        <is>
          <t>4025007244</t>
        </is>
      </c>
      <c r="M79" s="5">
        <f>IF(YEAR(I79)&lt;=2020,"Até 2020",TEXT(YEAR(I79),"0"))</f>
        <v/>
      </c>
      <c r="N79" s="5">
        <f>IFERROR(INDEX(DePara!$A:$A,MATCH(TEXT(B79,"0"),DePara!$D:$D,0)),"(sem categoria)")</f>
        <v/>
      </c>
      <c r="O79" s="5">
        <f>IF(J79="","",Parametros!$B$6-J79)</f>
        <v/>
      </c>
      <c r="P79" s="5">
        <f>IF(O79="","",IF(O79&gt;0,1,0))</f>
        <v/>
      </c>
    </row>
    <row r="80">
      <c r="A80" s="5" t="n">
        <v>2122100000</v>
      </c>
      <c r="B80" s="5" t="inlineStr">
        <is>
          <t>IC1000</t>
        </is>
      </c>
      <c r="C80" s="5" t="inlineStr">
        <is>
          <t>NORDEX ENERGY SE &amp; CO KG</t>
        </is>
      </c>
      <c r="D80" s="5" t="inlineStr">
        <is>
          <t>RE</t>
        </is>
      </c>
      <c r="E80" s="5" t="n">
        <v>5002045</v>
      </c>
      <c r="F80" s="5" t="inlineStr">
        <is>
          <t>4012485638</t>
        </is>
      </c>
      <c r="G80" s="5" t="inlineStr">
        <is>
          <t>BRL</t>
        </is>
      </c>
      <c r="H80" s="9" t="n">
        <v>-5367090.17</v>
      </c>
      <c r="I80" s="16" t="n">
        <v>45965</v>
      </c>
      <c r="J80" s="16" t="n">
        <v>45995</v>
      </c>
      <c r="K80" s="5" t="inlineStr">
        <is>
          <t>0911/25</t>
        </is>
      </c>
      <c r="L80" s="5" t="inlineStr">
        <is>
          <t>4012485638</t>
        </is>
      </c>
      <c r="M80" s="5">
        <f>IF(YEAR(I80)&lt;=2020,"Até 2020",TEXT(YEAR(I80),"0"))</f>
        <v/>
      </c>
      <c r="N80" s="5">
        <f>IFERROR(INDEX(DePara!$A:$A,MATCH(TEXT(B80,"0"),DePara!$D:$D,0)),"(sem categoria)")</f>
        <v/>
      </c>
      <c r="O80" s="5">
        <f>IF(J80="","",Parametros!$B$6-J80)</f>
        <v/>
      </c>
      <c r="P80" s="5">
        <f>IF(O80="","",IF(O80&gt;0,1,0))</f>
        <v/>
      </c>
    </row>
    <row r="81">
      <c r="A81" s="5" t="n">
        <v>2122100000</v>
      </c>
      <c r="B81" s="5" t="inlineStr">
        <is>
          <t>IC4420</t>
        </is>
      </c>
      <c r="C81" s="5" t="inlineStr">
        <is>
          <t>NORDEX ENERGY SPAIN S A U</t>
        </is>
      </c>
      <c r="D81" s="5" t="inlineStr">
        <is>
          <t>KR</t>
        </is>
      </c>
      <c r="E81" s="5" t="n">
        <v>5002054</v>
      </c>
      <c r="F81" s="5" t="inlineStr">
        <is>
          <t>4023004386</t>
        </is>
      </c>
      <c r="G81" s="5" t="inlineStr">
        <is>
          <t>EUR</t>
        </is>
      </c>
      <c r="H81" s="9" t="n">
        <v>-200.59</v>
      </c>
      <c r="I81" s="16" t="n">
        <v>45191</v>
      </c>
      <c r="J81" s="16" t="n">
        <v>45191</v>
      </c>
      <c r="K81" s="5" t="inlineStr">
        <is>
          <t>Vendor Invoice NORDEX ENERGY SPAIN S.A.U. 40230043</t>
        </is>
      </c>
      <c r="L81" s="5" t="n"/>
      <c r="M81" s="5">
        <f>IF(YEAR(I81)&lt;=2020,"Até 2020",TEXT(YEAR(I81),"0"))</f>
        <v/>
      </c>
      <c r="N81" s="5">
        <f>IFERROR(INDEX(DePara!$A:$A,MATCH(TEXT(B81,"0"),DePara!$D:$D,0)),"(sem categoria)")</f>
        <v/>
      </c>
      <c r="O81" s="5">
        <f>IF(J81="","",Parametros!$B$6-J81)</f>
        <v/>
      </c>
      <c r="P81" s="5">
        <f>IF(O81="","",IF(O81&gt;0,1,0))</f>
        <v/>
      </c>
    </row>
    <row r="82">
      <c r="A82" s="5" t="n">
        <v>2122100000</v>
      </c>
      <c r="B82" s="5" t="inlineStr">
        <is>
          <t>IC4420</t>
        </is>
      </c>
      <c r="C82" s="5" t="inlineStr">
        <is>
          <t>NORDEX ENERGY SPAIN S A U</t>
        </is>
      </c>
      <c r="D82" s="5" t="inlineStr">
        <is>
          <t>RE</t>
        </is>
      </c>
      <c r="E82" s="5" t="n">
        <v>5002129</v>
      </c>
      <c r="F82" s="5" t="inlineStr">
        <is>
          <t>1957-2</t>
        </is>
      </c>
      <c r="G82" s="5" t="inlineStr">
        <is>
          <t>EUR</t>
        </is>
      </c>
      <c r="H82" s="9" t="n">
        <v>-19466.82</v>
      </c>
      <c r="I82" s="16" t="n">
        <v>45166</v>
      </c>
      <c r="J82" s="16" t="n">
        <v>45226</v>
      </c>
      <c r="K82" s="5" t="inlineStr">
        <is>
          <t>Fatura - bruto NORDEX ENERGY SPAIN S.A.U. 1957-2</t>
        </is>
      </c>
      <c r="L82" s="5" t="n"/>
      <c r="M82" s="5">
        <f>IF(YEAR(I82)&lt;=2020,"Até 2020",TEXT(YEAR(I82),"0"))</f>
        <v/>
      </c>
      <c r="N82" s="5">
        <f>IFERROR(INDEX(DePara!$A:$A,MATCH(TEXT(B82,"0"),DePara!$D:$D,0)),"(sem categoria)")</f>
        <v/>
      </c>
      <c r="O82" s="5">
        <f>IF(J82="","",Parametros!$B$6-J82)</f>
        <v/>
      </c>
      <c r="P82" s="5">
        <f>IF(O82="","",IF(O82&gt;0,1,0))</f>
        <v/>
      </c>
    </row>
    <row r="83">
      <c r="A83" s="5" t="n">
        <v>2122100000</v>
      </c>
      <c r="B83" s="5" t="inlineStr">
        <is>
          <t>IC1000</t>
        </is>
      </c>
      <c r="C83" s="5" t="inlineStr">
        <is>
          <t>NORDEX ENERGY SE &amp; CO KG</t>
        </is>
      </c>
      <c r="D83" s="5" t="inlineStr">
        <is>
          <t>RE</t>
        </is>
      </c>
      <c r="E83" s="5" t="n">
        <v>5002142</v>
      </c>
      <c r="F83" s="5" t="inlineStr">
        <is>
          <t>4082412983</t>
        </is>
      </c>
      <c r="G83" s="5" t="inlineStr">
        <is>
          <t>EUR</t>
        </is>
      </c>
      <c r="H83" s="9" t="n">
        <v>-43259.58</v>
      </c>
      <c r="I83" s="16" t="n">
        <v>45607</v>
      </c>
      <c r="J83" s="16" t="n">
        <v>45637</v>
      </c>
      <c r="K83" s="5" t="inlineStr">
        <is>
          <t>1035/24</t>
        </is>
      </c>
      <c r="L83" s="5" t="inlineStr">
        <is>
          <t>4082412983</t>
        </is>
      </c>
      <c r="M83" s="5">
        <f>IF(YEAR(I83)&lt;=2020,"Até 2020",TEXT(YEAR(I83),"0"))</f>
        <v/>
      </c>
      <c r="N83" s="5">
        <f>IFERROR(INDEX(DePara!$A:$A,MATCH(TEXT(B83,"0"),DePara!$D:$D,0)),"(sem categoria)")</f>
        <v/>
      </c>
      <c r="O83" s="5">
        <f>IF(J83="","",Parametros!$B$6-J83)</f>
        <v/>
      </c>
      <c r="P83" s="5">
        <f>IF(O83="","",IF(O83&gt;0,1,0))</f>
        <v/>
      </c>
    </row>
    <row r="84">
      <c r="A84" s="5" t="n">
        <v>2122100000</v>
      </c>
      <c r="B84" s="5" t="inlineStr">
        <is>
          <t>IC4420</t>
        </is>
      </c>
      <c r="C84" s="5" t="inlineStr">
        <is>
          <t>NORDEX ENERGY SPAIN S A U</t>
        </is>
      </c>
      <c r="D84" s="5" t="inlineStr">
        <is>
          <t>RE</t>
        </is>
      </c>
      <c r="E84" s="5" t="n">
        <v>5002175</v>
      </c>
      <c r="F84" s="5" t="inlineStr">
        <is>
          <t>4025008713</t>
        </is>
      </c>
      <c r="G84" s="5" t="inlineStr">
        <is>
          <t>EUR</t>
        </is>
      </c>
      <c r="H84" s="9" t="n">
        <v>-257530.17</v>
      </c>
      <c r="I84" s="16" t="n">
        <v>45973</v>
      </c>
      <c r="J84" s="16" t="n">
        <v>46003</v>
      </c>
      <c r="K84" s="5" t="inlineStr">
        <is>
          <t>0869/25</t>
        </is>
      </c>
      <c r="L84" s="5" t="inlineStr">
        <is>
          <t>4025008713</t>
        </is>
      </c>
      <c r="M84" s="5">
        <f>IF(YEAR(I84)&lt;=2020,"Até 2020",TEXT(YEAR(I84),"0"))</f>
        <v/>
      </c>
      <c r="N84" s="5">
        <f>IFERROR(INDEX(DePara!$A:$A,MATCH(TEXT(B84,"0"),DePara!$D:$D,0)),"(sem categoria)")</f>
        <v/>
      </c>
      <c r="O84" s="5">
        <f>IF(J84="","",Parametros!$B$6-J84)</f>
        <v/>
      </c>
      <c r="P84" s="5">
        <f>IF(O84="","",IF(O84&gt;0,1,0))</f>
        <v/>
      </c>
    </row>
    <row r="85">
      <c r="A85" s="5" t="n">
        <v>2122100000</v>
      </c>
      <c r="B85" s="5" t="inlineStr">
        <is>
          <t>IC4420</t>
        </is>
      </c>
      <c r="C85" s="5" t="inlineStr">
        <is>
          <t>NORDEX ENERGY SPAIN S A U</t>
        </is>
      </c>
      <c r="D85" s="5" t="inlineStr">
        <is>
          <t>RE</t>
        </is>
      </c>
      <c r="E85" s="5" t="n">
        <v>5002296</v>
      </c>
      <c r="F85" s="5" t="inlineStr">
        <is>
          <t>4025009096</t>
        </is>
      </c>
      <c r="G85" s="5" t="inlineStr">
        <is>
          <t>EUR</t>
        </is>
      </c>
      <c r="H85" s="9" t="n">
        <v>-380499.92</v>
      </c>
      <c r="I85" s="16" t="n">
        <v>45987</v>
      </c>
      <c r="J85" s="16" t="n">
        <v>46017</v>
      </c>
      <c r="K85" s="5" t="inlineStr">
        <is>
          <t>0891/25</t>
        </is>
      </c>
      <c r="L85" s="5" t="inlineStr">
        <is>
          <t>4025009096</t>
        </is>
      </c>
      <c r="M85" s="5">
        <f>IF(YEAR(I85)&lt;=2020,"Até 2020",TEXT(YEAR(I85),"0"))</f>
        <v/>
      </c>
      <c r="N85" s="5">
        <f>IFERROR(INDEX(DePara!$A:$A,MATCH(TEXT(B85,"0"),DePara!$D:$D,0)),"(sem categoria)")</f>
        <v/>
      </c>
      <c r="O85" s="5">
        <f>IF(J85="","",Parametros!$B$6-J85)</f>
        <v/>
      </c>
      <c r="P85" s="5">
        <f>IF(O85="","",IF(O85&gt;0,1,0))</f>
        <v/>
      </c>
    </row>
    <row r="86">
      <c r="A86" s="5" t="n">
        <v>2122100000</v>
      </c>
      <c r="B86" s="5" t="inlineStr">
        <is>
          <t>IC1000</t>
        </is>
      </c>
      <c r="C86" s="5" t="inlineStr">
        <is>
          <t>NORDEX ENERGY SE &amp; CO KG</t>
        </is>
      </c>
      <c r="D86" s="5" t="inlineStr">
        <is>
          <t>RE</t>
        </is>
      </c>
      <c r="E86" s="5" t="n">
        <v>5002302</v>
      </c>
      <c r="F86" s="5" t="inlineStr">
        <is>
          <t>4012338641</t>
        </is>
      </c>
      <c r="G86" s="5" t="inlineStr">
        <is>
          <t>EUR</t>
        </is>
      </c>
      <c r="H86" s="9" t="n">
        <v>-20000.82</v>
      </c>
      <c r="I86" s="16" t="n">
        <v>45092</v>
      </c>
      <c r="J86" s="16" t="n">
        <v>45122</v>
      </c>
      <c r="K86" s="5" t="inlineStr">
        <is>
          <t>0463/23</t>
        </is>
      </c>
      <c r="L86" s="5" t="inlineStr">
        <is>
          <t>4012338641</t>
        </is>
      </c>
      <c r="M86" s="5">
        <f>IF(YEAR(I86)&lt;=2020,"Até 2020",TEXT(YEAR(I86),"0"))</f>
        <v/>
      </c>
      <c r="N86" s="5">
        <f>IFERROR(INDEX(DePara!$A:$A,MATCH(TEXT(B86,"0"),DePara!$D:$D,0)),"(sem categoria)")</f>
        <v/>
      </c>
      <c r="O86" s="5">
        <f>IF(J86="","",Parametros!$B$6-J86)</f>
        <v/>
      </c>
      <c r="P86" s="5">
        <f>IF(O86="","",IF(O86&gt;0,1,0))</f>
        <v/>
      </c>
    </row>
    <row r="87">
      <c r="A87" s="5" t="n">
        <v>2122100000</v>
      </c>
      <c r="B87" s="5" t="inlineStr">
        <is>
          <t>IC1000</t>
        </is>
      </c>
      <c r="C87" s="5" t="inlineStr">
        <is>
          <t>NORDEX ENERGY SE &amp; CO KG</t>
        </is>
      </c>
      <c r="D87" s="5" t="inlineStr">
        <is>
          <t>RE</t>
        </is>
      </c>
      <c r="E87" s="5" t="n">
        <v>5002304</v>
      </c>
      <c r="F87" s="5" t="inlineStr">
        <is>
          <t>4012338640</t>
        </is>
      </c>
      <c r="G87" s="5" t="inlineStr">
        <is>
          <t>EUR</t>
        </is>
      </c>
      <c r="H87" s="9" t="n">
        <v>-115262.57</v>
      </c>
      <c r="I87" s="16" t="n">
        <v>45092</v>
      </c>
      <c r="J87" s="16" t="n">
        <v>45122</v>
      </c>
      <c r="K87" s="5" t="inlineStr">
        <is>
          <t>0463/23</t>
        </is>
      </c>
      <c r="L87" s="5" t="inlineStr">
        <is>
          <t>4012338640</t>
        </is>
      </c>
      <c r="M87" s="5">
        <f>IF(YEAR(I87)&lt;=2020,"Até 2020",TEXT(YEAR(I87),"0"))</f>
        <v/>
      </c>
      <c r="N87" s="5">
        <f>IFERROR(INDEX(DePara!$A:$A,MATCH(TEXT(B87,"0"),DePara!$D:$D,0)),"(sem categoria)")</f>
        <v/>
      </c>
      <c r="O87" s="5">
        <f>IF(J87="","",Parametros!$B$6-J87)</f>
        <v/>
      </c>
      <c r="P87" s="5">
        <f>IF(O87="","",IF(O87&gt;0,1,0))</f>
        <v/>
      </c>
    </row>
    <row r="88">
      <c r="A88" s="5" t="n">
        <v>2122100000</v>
      </c>
      <c r="B88" s="5" t="inlineStr">
        <is>
          <t>IC1000</t>
        </is>
      </c>
      <c r="C88" s="5" t="inlineStr">
        <is>
          <t>NORDEX ENERGY SE &amp; CO KG</t>
        </is>
      </c>
      <c r="D88" s="5" t="inlineStr">
        <is>
          <t>RE</t>
        </is>
      </c>
      <c r="E88" s="5" t="n">
        <v>5002310</v>
      </c>
      <c r="F88" s="5" t="inlineStr">
        <is>
          <t>4012338638</t>
        </is>
      </c>
      <c r="G88" s="5" t="inlineStr">
        <is>
          <t>EUR</t>
        </is>
      </c>
      <c r="H88" s="9" t="n">
        <v>-84910.62</v>
      </c>
      <c r="I88" s="16" t="n">
        <v>45092</v>
      </c>
      <c r="J88" s="16" t="n">
        <v>45122</v>
      </c>
      <c r="K88" s="5" t="inlineStr">
        <is>
          <t>0463/23</t>
        </is>
      </c>
      <c r="L88" s="5" t="inlineStr">
        <is>
          <t>4012338638</t>
        </is>
      </c>
      <c r="M88" s="5">
        <f>IF(YEAR(I88)&lt;=2020,"Até 2020",TEXT(YEAR(I88),"0"))</f>
        <v/>
      </c>
      <c r="N88" s="5">
        <f>IFERROR(INDEX(DePara!$A:$A,MATCH(TEXT(B88,"0"),DePara!$D:$D,0)),"(sem categoria)")</f>
        <v/>
      </c>
      <c r="O88" s="5">
        <f>IF(J88="","",Parametros!$B$6-J88)</f>
        <v/>
      </c>
      <c r="P88" s="5">
        <f>IF(O88="","",IF(O88&gt;0,1,0))</f>
        <v/>
      </c>
    </row>
    <row r="89">
      <c r="A89" s="5" t="n">
        <v>2122100000</v>
      </c>
      <c r="B89" s="5" t="inlineStr">
        <is>
          <t>IC1000</t>
        </is>
      </c>
      <c r="C89" s="5" t="inlineStr">
        <is>
          <t>NORDEX ENERGY SE &amp; CO KG</t>
        </is>
      </c>
      <c r="D89" s="5" t="inlineStr">
        <is>
          <t>RE</t>
        </is>
      </c>
      <c r="E89" s="5" t="n">
        <v>5002312</v>
      </c>
      <c r="F89" s="5" t="inlineStr">
        <is>
          <t>4012338639</t>
        </is>
      </c>
      <c r="G89" s="5" t="inlineStr">
        <is>
          <t>EUR</t>
        </is>
      </c>
      <c r="H89" s="9" t="n">
        <v>-45435.7</v>
      </c>
      <c r="I89" s="16" t="n">
        <v>45092</v>
      </c>
      <c r="J89" s="16" t="n">
        <v>45122</v>
      </c>
      <c r="K89" s="5" t="inlineStr">
        <is>
          <t>0463/23</t>
        </is>
      </c>
      <c r="L89" s="5" t="inlineStr">
        <is>
          <t>4012338639</t>
        </is>
      </c>
      <c r="M89" s="5">
        <f>IF(YEAR(I89)&lt;=2020,"Até 2020",TEXT(YEAR(I89),"0"))</f>
        <v/>
      </c>
      <c r="N89" s="5">
        <f>IFERROR(INDEX(DePara!$A:$A,MATCH(TEXT(B89,"0"),DePara!$D:$D,0)),"(sem categoria)")</f>
        <v/>
      </c>
      <c r="O89" s="5">
        <f>IF(J89="","",Parametros!$B$6-J89)</f>
        <v/>
      </c>
      <c r="P89" s="5">
        <f>IF(O89="","",IF(O89&gt;0,1,0))</f>
        <v/>
      </c>
    </row>
    <row r="90">
      <c r="A90" s="5" t="n">
        <v>2122100000</v>
      </c>
      <c r="B90" s="5" t="inlineStr">
        <is>
          <t>IC1000</t>
        </is>
      </c>
      <c r="C90" s="5" t="inlineStr">
        <is>
          <t>NORDEX ENERGY SE &amp; CO KG</t>
        </is>
      </c>
      <c r="D90" s="5" t="inlineStr">
        <is>
          <t>RE</t>
        </is>
      </c>
      <c r="E90" s="5" t="n">
        <v>5002313</v>
      </c>
      <c r="F90" s="5" t="inlineStr">
        <is>
          <t>4012343664</t>
        </is>
      </c>
      <c r="G90" s="5" t="inlineStr">
        <is>
          <t>EUR</t>
        </is>
      </c>
      <c r="H90" s="9" t="n">
        <v>-367068.34</v>
      </c>
      <c r="I90" s="16" t="n">
        <v>45097</v>
      </c>
      <c r="J90" s="16" t="n">
        <v>45127</v>
      </c>
      <c r="K90" s="5" t="inlineStr">
        <is>
          <t>0543/23</t>
        </is>
      </c>
      <c r="L90" s="5" t="inlineStr">
        <is>
          <t>4012343664</t>
        </is>
      </c>
      <c r="M90" s="5">
        <f>IF(YEAR(I90)&lt;=2020,"Até 2020",TEXT(YEAR(I90),"0"))</f>
        <v/>
      </c>
      <c r="N90" s="5">
        <f>IFERROR(INDEX(DePara!$A:$A,MATCH(TEXT(B90,"0"),DePara!$D:$D,0)),"(sem categoria)")</f>
        <v/>
      </c>
      <c r="O90" s="5">
        <f>IF(J90="","",Parametros!$B$6-J90)</f>
        <v/>
      </c>
      <c r="P90" s="5">
        <f>IF(O90="","",IF(O90&gt;0,1,0))</f>
        <v/>
      </c>
    </row>
    <row r="91">
      <c r="A91" s="5" t="n">
        <v>2122100000</v>
      </c>
      <c r="B91" s="5" t="inlineStr">
        <is>
          <t>IC4420</t>
        </is>
      </c>
      <c r="C91" s="5" t="inlineStr">
        <is>
          <t>NORDEX ENERGY SPAIN S A U</t>
        </is>
      </c>
      <c r="D91" s="5" t="inlineStr">
        <is>
          <t>RE</t>
        </is>
      </c>
      <c r="E91" s="5" t="n">
        <v>5002394</v>
      </c>
      <c r="F91" s="5" t="inlineStr">
        <is>
          <t>4026000275</t>
        </is>
      </c>
      <c r="G91" s="5" t="inlineStr">
        <is>
          <t>EUR</t>
        </is>
      </c>
      <c r="H91" s="9" t="n">
        <v>-9662.370000000001</v>
      </c>
      <c r="I91" s="16" t="n">
        <v>46035</v>
      </c>
      <c r="J91" s="16" t="n">
        <v>46065</v>
      </c>
      <c r="K91" s="5" t="inlineStr">
        <is>
          <t>0019/26</t>
        </is>
      </c>
      <c r="L91" s="5" t="inlineStr">
        <is>
          <t>4026000275</t>
        </is>
      </c>
      <c r="M91" s="5">
        <f>IF(YEAR(I91)&lt;=2020,"Até 2020",TEXT(YEAR(I91),"0"))</f>
        <v/>
      </c>
      <c r="N91" s="5">
        <f>IFERROR(INDEX(DePara!$A:$A,MATCH(TEXT(B91,"0"),DePara!$D:$D,0)),"(sem categoria)")</f>
        <v/>
      </c>
      <c r="O91" s="5">
        <f>IF(J91="","",Parametros!$B$6-J91)</f>
        <v/>
      </c>
      <c r="P91" s="5">
        <f>IF(O91="","",IF(O91&gt;0,1,0))</f>
        <v/>
      </c>
    </row>
    <row r="92">
      <c r="A92" s="5" t="n">
        <v>2122100000</v>
      </c>
      <c r="B92" s="5" t="inlineStr">
        <is>
          <t>IC1000</t>
        </is>
      </c>
      <c r="C92" s="5" t="inlineStr">
        <is>
          <t>NORDEX ENERGY SE &amp; CO KG</t>
        </is>
      </c>
      <c r="D92" s="5" t="inlineStr">
        <is>
          <t>RE</t>
        </is>
      </c>
      <c r="E92" s="5" t="n">
        <v>5002523</v>
      </c>
      <c r="F92" s="5" t="inlineStr">
        <is>
          <t>4012413022</t>
        </is>
      </c>
      <c r="G92" s="5" t="inlineStr">
        <is>
          <t>EUR</t>
        </is>
      </c>
      <c r="H92" s="9" t="n">
        <v>-959152.9399999999</v>
      </c>
      <c r="I92" s="16" t="n">
        <v>45490</v>
      </c>
      <c r="J92" s="16" t="n">
        <v>45520</v>
      </c>
      <c r="K92" s="5" t="inlineStr">
        <is>
          <t>0941/24</t>
        </is>
      </c>
      <c r="L92" s="5" t="inlineStr">
        <is>
          <t>4012413022</t>
        </is>
      </c>
      <c r="M92" s="5">
        <f>IF(YEAR(I92)&lt;=2020,"Até 2020",TEXT(YEAR(I92),"0"))</f>
        <v/>
      </c>
      <c r="N92" s="5">
        <f>IFERROR(INDEX(DePara!$A:$A,MATCH(TEXT(B92,"0"),DePara!$D:$D,0)),"(sem categoria)")</f>
        <v/>
      </c>
      <c r="O92" s="5">
        <f>IF(J92="","",Parametros!$B$6-J92)</f>
        <v/>
      </c>
      <c r="P92" s="5">
        <f>IF(O92="","",IF(O92&gt;0,1,0))</f>
        <v/>
      </c>
    </row>
    <row r="93">
      <c r="A93" s="5" t="n">
        <v>2122100000</v>
      </c>
      <c r="B93" s="5" t="inlineStr">
        <is>
          <t>IC4420</t>
        </is>
      </c>
      <c r="C93" s="5" t="inlineStr">
        <is>
          <t>NORDEX ENERGY SPAIN S A U</t>
        </is>
      </c>
      <c r="D93" s="5" t="inlineStr">
        <is>
          <t>RE</t>
        </is>
      </c>
      <c r="E93" s="5" t="n">
        <v>5002557</v>
      </c>
      <c r="F93" s="5" t="inlineStr">
        <is>
          <t>4018000021</t>
        </is>
      </c>
      <c r="G93" s="5" t="inlineStr">
        <is>
          <t>EUR</t>
        </is>
      </c>
      <c r="H93" s="9" t="n">
        <v>-844.61</v>
      </c>
      <c r="I93" s="16" t="n">
        <v>46049</v>
      </c>
      <c r="J93" s="16" t="n">
        <v>46079</v>
      </c>
      <c r="K93" s="5" t="inlineStr">
        <is>
          <t>0045/26</t>
        </is>
      </c>
      <c r="L93" s="5" t="inlineStr">
        <is>
          <t>4018000021</t>
        </is>
      </c>
      <c r="M93" s="5">
        <f>IF(YEAR(I93)&lt;=2020,"Até 2020",TEXT(YEAR(I93),"0"))</f>
        <v/>
      </c>
      <c r="N93" s="5">
        <f>IFERROR(INDEX(DePara!$A:$A,MATCH(TEXT(B93,"0"),DePara!$D:$D,0)),"(sem categoria)")</f>
        <v/>
      </c>
      <c r="O93" s="5">
        <f>IF(J93="","",Parametros!$B$6-J93)</f>
        <v/>
      </c>
      <c r="P93" s="5">
        <f>IF(O93="","",IF(O93&gt;0,1,0))</f>
        <v/>
      </c>
    </row>
    <row r="94">
      <c r="A94" s="5" t="n">
        <v>2122100000</v>
      </c>
      <c r="B94" s="5" t="inlineStr">
        <is>
          <t>IC4420</t>
        </is>
      </c>
      <c r="C94" s="5" t="inlineStr">
        <is>
          <t>NORDEX ENERGY SPAIN S A U</t>
        </is>
      </c>
      <c r="D94" s="5" t="inlineStr">
        <is>
          <t>RE</t>
        </is>
      </c>
      <c r="E94" s="5" t="n">
        <v>5002572</v>
      </c>
      <c r="F94" s="5" t="inlineStr">
        <is>
          <t>4026000280</t>
        </is>
      </c>
      <c r="G94" s="5" t="inlineStr">
        <is>
          <t>EUR</t>
        </is>
      </c>
      <c r="H94" s="9" t="n">
        <v>-10380.62</v>
      </c>
      <c r="I94" s="16" t="n">
        <v>46036</v>
      </c>
      <c r="J94" s="16" t="n">
        <v>46066</v>
      </c>
      <c r="K94" s="5" t="inlineStr">
        <is>
          <t>0024/26</t>
        </is>
      </c>
      <c r="L94" s="5" t="inlineStr">
        <is>
          <t>4026000280</t>
        </is>
      </c>
      <c r="M94" s="5">
        <f>IF(YEAR(I94)&lt;=2020,"Até 2020",TEXT(YEAR(I94),"0"))</f>
        <v/>
      </c>
      <c r="N94" s="5">
        <f>IFERROR(INDEX(DePara!$A:$A,MATCH(TEXT(B94,"0"),DePara!$D:$D,0)),"(sem categoria)")</f>
        <v/>
      </c>
      <c r="O94" s="5">
        <f>IF(J94="","",Parametros!$B$6-J94)</f>
        <v/>
      </c>
      <c r="P94" s="5">
        <f>IF(O94="","",IF(O94&gt;0,1,0))</f>
        <v/>
      </c>
    </row>
    <row r="95">
      <c r="A95" s="5" t="n">
        <v>2122100000</v>
      </c>
      <c r="B95" s="5" t="inlineStr">
        <is>
          <t>IC4420</t>
        </is>
      </c>
      <c r="C95" s="5" t="inlineStr">
        <is>
          <t>NORDEX ENERGY SPAIN S A U</t>
        </is>
      </c>
      <c r="D95" s="5" t="inlineStr">
        <is>
          <t>RE</t>
        </is>
      </c>
      <c r="E95" s="5" t="n">
        <v>5002573</v>
      </c>
      <c r="F95" s="5" t="inlineStr">
        <is>
          <t>4026000281</t>
        </is>
      </c>
      <c r="G95" s="5" t="inlineStr">
        <is>
          <t>EUR</t>
        </is>
      </c>
      <c r="H95" s="9" t="n">
        <v>-888.16</v>
      </c>
      <c r="I95" s="16" t="n">
        <v>46036</v>
      </c>
      <c r="J95" s="16" t="n">
        <v>46066</v>
      </c>
      <c r="K95" s="5" t="inlineStr">
        <is>
          <t>0024/26</t>
        </is>
      </c>
      <c r="L95" s="5" t="inlineStr">
        <is>
          <t>4026000281</t>
        </is>
      </c>
      <c r="M95" s="5">
        <f>IF(YEAR(I95)&lt;=2020,"Até 2020",TEXT(YEAR(I95),"0"))</f>
        <v/>
      </c>
      <c r="N95" s="5">
        <f>IFERROR(INDEX(DePara!$A:$A,MATCH(TEXT(B95,"0"),DePara!$D:$D,0)),"(sem categoria)")</f>
        <v/>
      </c>
      <c r="O95" s="5">
        <f>IF(J95="","",Parametros!$B$6-J95)</f>
        <v/>
      </c>
      <c r="P95" s="5">
        <f>IF(O95="","",IF(O95&gt;0,1,0))</f>
        <v/>
      </c>
    </row>
    <row r="96">
      <c r="A96" s="5" t="n">
        <v>2122100000</v>
      </c>
      <c r="B96" s="5" t="inlineStr">
        <is>
          <t>IC4420</t>
        </is>
      </c>
      <c r="C96" s="5" t="inlineStr">
        <is>
          <t>NORDEX ENERGY SPAIN S A U</t>
        </is>
      </c>
      <c r="D96" s="5" t="inlineStr">
        <is>
          <t>RE</t>
        </is>
      </c>
      <c r="E96" s="5" t="n">
        <v>5002574</v>
      </c>
      <c r="F96" s="5" t="inlineStr">
        <is>
          <t>4026000287</t>
        </is>
      </c>
      <c r="G96" s="5" t="inlineStr">
        <is>
          <t>EUR</t>
        </is>
      </c>
      <c r="H96" s="9" t="n">
        <v>-16085.47</v>
      </c>
      <c r="I96" s="16" t="n">
        <v>46036</v>
      </c>
      <c r="J96" s="16" t="n">
        <v>46066</v>
      </c>
      <c r="K96" s="5" t="inlineStr">
        <is>
          <t>0024/26</t>
        </is>
      </c>
      <c r="L96" s="5" t="inlineStr">
        <is>
          <t>4026000287</t>
        </is>
      </c>
      <c r="M96" s="5">
        <f>IF(YEAR(I96)&lt;=2020,"Até 2020",TEXT(YEAR(I96),"0"))</f>
        <v/>
      </c>
      <c r="N96" s="5">
        <f>IFERROR(INDEX(DePara!$A:$A,MATCH(TEXT(B96,"0"),DePara!$D:$D,0)),"(sem categoria)")</f>
        <v/>
      </c>
      <c r="O96" s="5">
        <f>IF(J96="","",Parametros!$B$6-J96)</f>
        <v/>
      </c>
      <c r="P96" s="5">
        <f>IF(O96="","",IF(O96&gt;0,1,0))</f>
        <v/>
      </c>
    </row>
    <row r="97">
      <c r="A97" s="5" t="n">
        <v>2122100000</v>
      </c>
      <c r="B97" s="5" t="inlineStr">
        <is>
          <t>IC4420</t>
        </is>
      </c>
      <c r="C97" s="5" t="inlineStr">
        <is>
          <t>NORDEX ENERGY SPAIN S A U</t>
        </is>
      </c>
      <c r="D97" s="5" t="inlineStr">
        <is>
          <t>RE</t>
        </is>
      </c>
      <c r="E97" s="5" t="n">
        <v>5002575</v>
      </c>
      <c r="F97" s="5" t="inlineStr">
        <is>
          <t>4026000284</t>
        </is>
      </c>
      <c r="G97" s="5" t="inlineStr">
        <is>
          <t>EUR</t>
        </is>
      </c>
      <c r="H97" s="9" t="n">
        <v>-860.7</v>
      </c>
      <c r="I97" s="16" t="n">
        <v>46036</v>
      </c>
      <c r="J97" s="16" t="n">
        <v>46066</v>
      </c>
      <c r="K97" s="5" t="inlineStr">
        <is>
          <t>0026/26</t>
        </is>
      </c>
      <c r="L97" s="5" t="inlineStr">
        <is>
          <t>4026000284</t>
        </is>
      </c>
      <c r="M97" s="5">
        <f>IF(YEAR(I97)&lt;=2020,"Até 2020",TEXT(YEAR(I97),"0"))</f>
        <v/>
      </c>
      <c r="N97" s="5">
        <f>IFERROR(INDEX(DePara!$A:$A,MATCH(TEXT(B97,"0"),DePara!$D:$D,0)),"(sem categoria)")</f>
        <v/>
      </c>
      <c r="O97" s="5">
        <f>IF(J97="","",Parametros!$B$6-J97)</f>
        <v/>
      </c>
      <c r="P97" s="5">
        <f>IF(O97="","",IF(O97&gt;0,1,0))</f>
        <v/>
      </c>
    </row>
    <row r="98">
      <c r="A98" s="5" t="n">
        <v>2122100000</v>
      </c>
      <c r="B98" s="5" t="inlineStr">
        <is>
          <t>IC4420</t>
        </is>
      </c>
      <c r="C98" s="5" t="inlineStr">
        <is>
          <t>NORDEX ENERGY SPAIN S A U</t>
        </is>
      </c>
      <c r="D98" s="5" t="inlineStr">
        <is>
          <t>RE</t>
        </is>
      </c>
      <c r="E98" s="5" t="n">
        <v>5002576</v>
      </c>
      <c r="F98" s="5" t="inlineStr">
        <is>
          <t>4026000019</t>
        </is>
      </c>
      <c r="G98" s="5" t="inlineStr">
        <is>
          <t>EUR</t>
        </is>
      </c>
      <c r="H98" s="9" t="n">
        <v>-715.48</v>
      </c>
      <c r="I98" s="16" t="n">
        <v>46024</v>
      </c>
      <c r="J98" s="16" t="n">
        <v>46054</v>
      </c>
      <c r="K98" s="5" t="inlineStr">
        <is>
          <t>0012/26</t>
        </is>
      </c>
      <c r="L98" s="5" t="inlineStr">
        <is>
          <t>4026000019</t>
        </is>
      </c>
      <c r="M98" s="5">
        <f>IF(YEAR(I98)&lt;=2020,"Até 2020",TEXT(YEAR(I98),"0"))</f>
        <v/>
      </c>
      <c r="N98" s="5">
        <f>IFERROR(INDEX(DePara!$A:$A,MATCH(TEXT(B98,"0"),DePara!$D:$D,0)),"(sem categoria)")</f>
        <v/>
      </c>
      <c r="O98" s="5">
        <f>IF(J98="","",Parametros!$B$6-J98)</f>
        <v/>
      </c>
      <c r="P98" s="5">
        <f>IF(O98="","",IF(O98&gt;0,1,0))</f>
        <v/>
      </c>
    </row>
    <row r="99">
      <c r="A99" s="5" t="n">
        <v>2122100000</v>
      </c>
      <c r="B99" s="5" t="inlineStr">
        <is>
          <t>IC4420</t>
        </is>
      </c>
      <c r="C99" s="5" t="inlineStr">
        <is>
          <t>NORDEX ENERGY SPAIN S A U</t>
        </is>
      </c>
      <c r="D99" s="5" t="inlineStr">
        <is>
          <t>RE</t>
        </is>
      </c>
      <c r="E99" s="5" t="n">
        <v>5002577</v>
      </c>
      <c r="F99" s="5" t="inlineStr">
        <is>
          <t>4026000286</t>
        </is>
      </c>
      <c r="G99" s="5" t="inlineStr">
        <is>
          <t>EUR</t>
        </is>
      </c>
      <c r="H99" s="9" t="n">
        <v>-37043.53</v>
      </c>
      <c r="I99" s="16" t="n">
        <v>46036</v>
      </c>
      <c r="J99" s="16" t="n">
        <v>46066</v>
      </c>
      <c r="K99" s="5" t="inlineStr">
        <is>
          <t>0024/26</t>
        </is>
      </c>
      <c r="L99" s="5" t="inlineStr">
        <is>
          <t>4026000286</t>
        </is>
      </c>
      <c r="M99" s="5">
        <f>IF(YEAR(I99)&lt;=2020,"Até 2020",TEXT(YEAR(I99),"0"))</f>
        <v/>
      </c>
      <c r="N99" s="5">
        <f>IFERROR(INDEX(DePara!$A:$A,MATCH(TEXT(B99,"0"),DePara!$D:$D,0)),"(sem categoria)")</f>
        <v/>
      </c>
      <c r="O99" s="5">
        <f>IF(J99="","",Parametros!$B$6-J99)</f>
        <v/>
      </c>
      <c r="P99" s="5">
        <f>IF(O99="","",IF(O99&gt;0,1,0))</f>
        <v/>
      </c>
    </row>
    <row r="100">
      <c r="A100" s="5" t="n">
        <v>2122100000</v>
      </c>
      <c r="B100" s="5" t="inlineStr">
        <is>
          <t>IC4420</t>
        </is>
      </c>
      <c r="C100" s="5" t="inlineStr">
        <is>
          <t>NORDEX ENERGY SPAIN S A U</t>
        </is>
      </c>
      <c r="D100" s="5" t="inlineStr">
        <is>
          <t>RE</t>
        </is>
      </c>
      <c r="E100" s="5" t="n">
        <v>5002578</v>
      </c>
      <c r="F100" s="5" t="inlineStr">
        <is>
          <t>4026000282</t>
        </is>
      </c>
      <c r="G100" s="5" t="inlineStr">
        <is>
          <t>EUR</t>
        </is>
      </c>
      <c r="H100" s="9" t="n">
        <v>-7679.3</v>
      </c>
      <c r="I100" s="16" t="n">
        <v>46036</v>
      </c>
      <c r="J100" s="16" t="n">
        <v>46066</v>
      </c>
      <c r="K100" s="5" t="inlineStr">
        <is>
          <t>0024/26</t>
        </is>
      </c>
      <c r="L100" s="5" t="inlineStr">
        <is>
          <t>4026000282</t>
        </is>
      </c>
      <c r="M100" s="5">
        <f>IF(YEAR(I100)&lt;=2020,"Até 2020",TEXT(YEAR(I100),"0"))</f>
        <v/>
      </c>
      <c r="N100" s="5">
        <f>IFERROR(INDEX(DePara!$A:$A,MATCH(TEXT(B100,"0"),DePara!$D:$D,0)),"(sem categoria)")</f>
        <v/>
      </c>
      <c r="O100" s="5">
        <f>IF(J100="","",Parametros!$B$6-J100)</f>
        <v/>
      </c>
      <c r="P100" s="5">
        <f>IF(O100="","",IF(O100&gt;0,1,0))</f>
        <v/>
      </c>
    </row>
    <row r="101">
      <c r="A101" s="5" t="n">
        <v>2122100000</v>
      </c>
      <c r="B101" s="5" t="inlineStr">
        <is>
          <t>IC4420</t>
        </is>
      </c>
      <c r="C101" s="5" t="inlineStr">
        <is>
          <t>NORDEX ENERGY SPAIN S A U</t>
        </is>
      </c>
      <c r="D101" s="5" t="inlineStr">
        <is>
          <t>RE</t>
        </is>
      </c>
      <c r="E101" s="5" t="n">
        <v>5002579</v>
      </c>
      <c r="F101" s="5" t="inlineStr">
        <is>
          <t>4026000288</t>
        </is>
      </c>
      <c r="G101" s="5" t="inlineStr">
        <is>
          <t>EUR</t>
        </is>
      </c>
      <c r="H101" s="9" t="n">
        <v>-19403.12</v>
      </c>
      <c r="I101" s="16" t="n">
        <v>46036</v>
      </c>
      <c r="J101" s="16" t="n">
        <v>46066</v>
      </c>
      <c r="K101" s="5" t="inlineStr">
        <is>
          <t>0028/26</t>
        </is>
      </c>
      <c r="L101" s="5" t="inlineStr">
        <is>
          <t>4026000288</t>
        </is>
      </c>
      <c r="M101" s="5">
        <f>IF(YEAR(I101)&lt;=2020,"Até 2020",TEXT(YEAR(I101),"0"))</f>
        <v/>
      </c>
      <c r="N101" s="5">
        <f>IFERROR(INDEX(DePara!$A:$A,MATCH(TEXT(B101,"0"),DePara!$D:$D,0)),"(sem categoria)")</f>
        <v/>
      </c>
      <c r="O101" s="5">
        <f>IF(J101="","",Parametros!$B$6-J101)</f>
        <v/>
      </c>
      <c r="P101" s="5">
        <f>IF(O101="","",IF(O101&gt;0,1,0))</f>
        <v/>
      </c>
    </row>
    <row r="102">
      <c r="A102" s="5" t="n">
        <v>2122100000</v>
      </c>
      <c r="B102" s="5" t="inlineStr">
        <is>
          <t>IC4420</t>
        </is>
      </c>
      <c r="C102" s="5" t="inlineStr">
        <is>
          <t>NORDEX ENERGY SPAIN S A U</t>
        </is>
      </c>
      <c r="D102" s="5" t="inlineStr">
        <is>
          <t>RE</t>
        </is>
      </c>
      <c r="E102" s="5" t="n">
        <v>5002610</v>
      </c>
      <c r="F102" s="5" t="inlineStr">
        <is>
          <t>4026000316</t>
        </is>
      </c>
      <c r="G102" s="5" t="inlineStr">
        <is>
          <t>EUR</t>
        </is>
      </c>
      <c r="H102" s="9" t="n">
        <v>-9955</v>
      </c>
      <c r="I102" s="16" t="n">
        <v>46036</v>
      </c>
      <c r="J102" s="16" t="n">
        <v>46066</v>
      </c>
      <c r="K102" s="5" t="inlineStr">
        <is>
          <t>0020/26</t>
        </is>
      </c>
      <c r="L102" s="5" t="inlineStr">
        <is>
          <t>4026000316</t>
        </is>
      </c>
      <c r="M102" s="5">
        <f>IF(YEAR(I102)&lt;=2020,"Até 2020",TEXT(YEAR(I102),"0"))</f>
        <v/>
      </c>
      <c r="N102" s="5">
        <f>IFERROR(INDEX(DePara!$A:$A,MATCH(TEXT(B102,"0"),DePara!$D:$D,0)),"(sem categoria)")</f>
        <v/>
      </c>
      <c r="O102" s="5">
        <f>IF(J102="","",Parametros!$B$6-J102)</f>
        <v/>
      </c>
      <c r="P102" s="5">
        <f>IF(O102="","",IF(O102&gt;0,1,0))</f>
        <v/>
      </c>
    </row>
    <row r="103">
      <c r="A103" s="5" t="n">
        <v>2122100000</v>
      </c>
      <c r="B103" s="5" t="inlineStr">
        <is>
          <t>IC4420</t>
        </is>
      </c>
      <c r="C103" s="5" t="inlineStr">
        <is>
          <t>NORDEX ENERGY SPAIN S A U</t>
        </is>
      </c>
      <c r="D103" s="5" t="inlineStr">
        <is>
          <t>RE</t>
        </is>
      </c>
      <c r="E103" s="5" t="n">
        <v>5002861</v>
      </c>
      <c r="F103" s="5" t="inlineStr">
        <is>
          <t>4026000318</t>
        </is>
      </c>
      <c r="G103" s="5" t="inlineStr">
        <is>
          <t>EUR</t>
        </is>
      </c>
      <c r="H103" s="9" t="n">
        <v>-338838.07</v>
      </c>
      <c r="I103" s="16" t="n">
        <v>46036</v>
      </c>
      <c r="J103" s="16" t="n">
        <v>46066</v>
      </c>
      <c r="K103" s="5" t="inlineStr">
        <is>
          <t>0022/26</t>
        </is>
      </c>
      <c r="L103" s="5" t="inlineStr">
        <is>
          <t>4026000318</t>
        </is>
      </c>
      <c r="M103" s="5">
        <f>IF(YEAR(I103)&lt;=2020,"Até 2020",TEXT(YEAR(I103),"0"))</f>
        <v/>
      </c>
      <c r="N103" s="5">
        <f>IFERROR(INDEX(DePara!$A:$A,MATCH(TEXT(B103,"0"),DePara!$D:$D,0)),"(sem categoria)")</f>
        <v/>
      </c>
      <c r="O103" s="5">
        <f>IF(J103="","",Parametros!$B$6-J103)</f>
        <v/>
      </c>
      <c r="P103" s="5">
        <f>IF(O103="","",IF(O103&gt;0,1,0))</f>
        <v/>
      </c>
    </row>
    <row r="104">
      <c r="A104" s="5" t="n">
        <v>2122100000</v>
      </c>
      <c r="B104" s="5" t="inlineStr">
        <is>
          <t>IC4420</t>
        </is>
      </c>
      <c r="C104" s="5" t="inlineStr">
        <is>
          <t>NORDEX ENERGY SPAIN S A U</t>
        </is>
      </c>
      <c r="D104" s="5" t="inlineStr">
        <is>
          <t>RE</t>
        </is>
      </c>
      <c r="E104" s="5" t="n">
        <v>5002875</v>
      </c>
      <c r="F104" s="5" t="inlineStr">
        <is>
          <t>4026000512</t>
        </is>
      </c>
      <c r="G104" s="5" t="inlineStr">
        <is>
          <t>EUR</t>
        </is>
      </c>
      <c r="H104" s="9" t="n">
        <v>-705962.52</v>
      </c>
      <c r="I104" s="16" t="n">
        <v>46044</v>
      </c>
      <c r="J104" s="16" t="n">
        <v>46074</v>
      </c>
      <c r="K104" s="5" t="inlineStr">
        <is>
          <t>0046/26</t>
        </is>
      </c>
      <c r="L104" s="5" t="inlineStr">
        <is>
          <t>4026000512</t>
        </is>
      </c>
      <c r="M104" s="5">
        <f>IF(YEAR(I104)&lt;=2020,"Até 2020",TEXT(YEAR(I104),"0"))</f>
        <v/>
      </c>
      <c r="N104" s="5">
        <f>IFERROR(INDEX(DePara!$A:$A,MATCH(TEXT(B104,"0"),DePara!$D:$D,0)),"(sem categoria)")</f>
        <v/>
      </c>
      <c r="O104" s="5">
        <f>IF(J104="","",Parametros!$B$6-J104)</f>
        <v/>
      </c>
      <c r="P104" s="5">
        <f>IF(O104="","",IF(O104&gt;0,1,0))</f>
        <v/>
      </c>
    </row>
    <row r="105">
      <c r="A105" s="5" t="n">
        <v>2122100000</v>
      </c>
      <c r="B105" s="5" t="inlineStr">
        <is>
          <t>IC4420</t>
        </is>
      </c>
      <c r="C105" s="5" t="inlineStr">
        <is>
          <t>NORDEX ENERGY SPAIN S A U</t>
        </is>
      </c>
      <c r="D105" s="5" t="inlineStr">
        <is>
          <t>RE</t>
        </is>
      </c>
      <c r="E105" s="5" t="n">
        <v>5002920</v>
      </c>
      <c r="F105" s="5" t="inlineStr">
        <is>
          <t>4026000317</t>
        </is>
      </c>
      <c r="G105" s="5" t="inlineStr">
        <is>
          <t>EUR</t>
        </is>
      </c>
      <c r="H105" s="9" t="n">
        <v>-311.26</v>
      </c>
      <c r="I105" s="16" t="n">
        <v>46036</v>
      </c>
      <c r="J105" s="16" t="n">
        <v>46066</v>
      </c>
      <c r="K105" s="5" t="inlineStr">
        <is>
          <t>0023/26</t>
        </is>
      </c>
      <c r="L105" s="5" t="inlineStr">
        <is>
          <t>4026000317</t>
        </is>
      </c>
      <c r="M105" s="5">
        <f>IF(YEAR(I105)&lt;=2020,"Até 2020",TEXT(YEAR(I105),"0"))</f>
        <v/>
      </c>
      <c r="N105" s="5">
        <f>IFERROR(INDEX(DePara!$A:$A,MATCH(TEXT(B105,"0"),DePara!$D:$D,0)),"(sem categoria)")</f>
        <v/>
      </c>
      <c r="O105" s="5">
        <f>IF(J105="","",Parametros!$B$6-J105)</f>
        <v/>
      </c>
      <c r="P105" s="5">
        <f>IF(O105="","",IF(O105&gt;0,1,0))</f>
        <v/>
      </c>
    </row>
    <row r="106">
      <c r="A106" s="5" t="n">
        <v>2122100000</v>
      </c>
      <c r="B106" s="5" t="inlineStr">
        <is>
          <t>IC4420</t>
        </is>
      </c>
      <c r="C106" s="5" t="inlineStr">
        <is>
          <t>NORDEX ENERGY SPAIN S A U</t>
        </is>
      </c>
      <c r="D106" s="5" t="inlineStr">
        <is>
          <t>RE</t>
        </is>
      </c>
      <c r="E106" s="5" t="n">
        <v>5002958</v>
      </c>
      <c r="F106" s="5" t="inlineStr">
        <is>
          <t>4018000180</t>
        </is>
      </c>
      <c r="G106" s="5" t="inlineStr">
        <is>
          <t>EUR</t>
        </is>
      </c>
      <c r="H106" s="9" t="n">
        <v>-682265.7</v>
      </c>
      <c r="I106" s="16" t="n">
        <v>45926</v>
      </c>
      <c r="J106" s="16" t="n">
        <v>45956</v>
      </c>
      <c r="K106" s="5" t="inlineStr">
        <is>
          <t>0781/25</t>
        </is>
      </c>
      <c r="L106" s="5" t="inlineStr">
        <is>
          <t>4018000180</t>
        </is>
      </c>
      <c r="M106" s="5">
        <f>IF(YEAR(I106)&lt;=2020,"Até 2020",TEXT(YEAR(I106),"0"))</f>
        <v/>
      </c>
      <c r="N106" s="5">
        <f>IFERROR(INDEX(DePara!$A:$A,MATCH(TEXT(B106,"0"),DePara!$D:$D,0)),"(sem categoria)")</f>
        <v/>
      </c>
      <c r="O106" s="5">
        <f>IF(J106="","",Parametros!$B$6-J106)</f>
        <v/>
      </c>
      <c r="P106" s="5">
        <f>IF(O106="","",IF(O106&gt;0,1,0))</f>
        <v/>
      </c>
    </row>
    <row r="107">
      <c r="A107" s="5" t="n">
        <v>2122100000</v>
      </c>
      <c r="B107" s="5" t="inlineStr">
        <is>
          <t>IC5000</t>
        </is>
      </c>
      <c r="C107" s="5" t="inlineStr">
        <is>
          <t>NORDEX SE</t>
        </is>
      </c>
      <c r="D107" s="5" t="inlineStr">
        <is>
          <t>KR</t>
        </is>
      </c>
      <c r="E107" s="5" t="n">
        <v>5002970</v>
      </c>
      <c r="F107" s="5" t="inlineStr">
        <is>
          <t>607297</t>
        </is>
      </c>
      <c r="G107" s="5" t="inlineStr">
        <is>
          <t>EUR</t>
        </is>
      </c>
      <c r="H107" s="9" t="n">
        <v>-4525863.46</v>
      </c>
      <c r="I107" s="16" t="n">
        <v>45188</v>
      </c>
      <c r="J107" s="16" t="n">
        <v>45188</v>
      </c>
      <c r="K107" s="5" t="inlineStr">
        <is>
          <t>MGM Fee Q3/2023</t>
        </is>
      </c>
      <c r="L107" s="5" t="n"/>
      <c r="M107" s="5">
        <f>IF(YEAR(I107)&lt;=2020,"Até 2020",TEXT(YEAR(I107),"0"))</f>
        <v/>
      </c>
      <c r="N107" s="5">
        <f>IFERROR(INDEX(DePara!$A:$A,MATCH(TEXT(B107,"0"),DePara!$D:$D,0)),"(sem categoria)")</f>
        <v/>
      </c>
      <c r="O107" s="5">
        <f>IF(J107="","",Parametros!$B$6-J107)</f>
        <v/>
      </c>
      <c r="P107" s="5">
        <f>IF(O107="","",IF(O107&gt;0,1,0))</f>
        <v/>
      </c>
    </row>
    <row r="108">
      <c r="A108" s="5" t="n">
        <v>2122100000</v>
      </c>
      <c r="B108" s="5" t="inlineStr">
        <is>
          <t>IC4420</t>
        </is>
      </c>
      <c r="C108" s="5" t="inlineStr">
        <is>
          <t>NORDEX ENERGY SPAIN S A U</t>
        </is>
      </c>
      <c r="D108" s="5" t="inlineStr">
        <is>
          <t>RE</t>
        </is>
      </c>
      <c r="E108" s="5" t="n">
        <v>5002997</v>
      </c>
      <c r="F108" s="5" t="inlineStr">
        <is>
          <t>4025007234</t>
        </is>
      </c>
      <c r="G108" s="5" t="inlineStr">
        <is>
          <t>EUR</t>
        </is>
      </c>
      <c r="H108" s="9" t="n">
        <v>-12688.15</v>
      </c>
      <c r="I108" s="16" t="n">
        <v>45919</v>
      </c>
      <c r="J108" s="16" t="n">
        <v>45949</v>
      </c>
      <c r="K108" s="5" t="inlineStr">
        <is>
          <t>0776/25</t>
        </is>
      </c>
      <c r="L108" s="5" t="inlineStr">
        <is>
          <t>4025007234</t>
        </is>
      </c>
      <c r="M108" s="5">
        <f>IF(YEAR(I108)&lt;=2020,"Até 2020",TEXT(YEAR(I108),"0"))</f>
        <v/>
      </c>
      <c r="N108" s="5">
        <f>IFERROR(INDEX(DePara!$A:$A,MATCH(TEXT(B108,"0"),DePara!$D:$D,0)),"(sem categoria)")</f>
        <v/>
      </c>
      <c r="O108" s="5">
        <f>IF(J108="","",Parametros!$B$6-J108)</f>
        <v/>
      </c>
      <c r="P108" s="5">
        <f>IF(O108="","",IF(O108&gt;0,1,0))</f>
        <v/>
      </c>
    </row>
    <row r="109">
      <c r="A109" s="5" t="n">
        <v>2122100000</v>
      </c>
      <c r="B109" s="5" t="inlineStr">
        <is>
          <t>IC4420</t>
        </is>
      </c>
      <c r="C109" s="5" t="inlineStr">
        <is>
          <t>NORDEX ENERGY SPAIN S A U</t>
        </is>
      </c>
      <c r="D109" s="5" t="inlineStr">
        <is>
          <t>RE</t>
        </is>
      </c>
      <c r="E109" s="5" t="n">
        <v>5002998</v>
      </c>
      <c r="F109" s="5" t="inlineStr">
        <is>
          <t>4025007227</t>
        </is>
      </c>
      <c r="G109" s="5" t="inlineStr">
        <is>
          <t>EUR</t>
        </is>
      </c>
      <c r="H109" s="9" t="n">
        <v>-64624</v>
      </c>
      <c r="I109" s="16" t="n">
        <v>45919</v>
      </c>
      <c r="J109" s="16" t="n">
        <v>45949</v>
      </c>
      <c r="K109" s="5" t="inlineStr">
        <is>
          <t>0776/25</t>
        </is>
      </c>
      <c r="L109" s="5" t="inlineStr">
        <is>
          <t>4025007227</t>
        </is>
      </c>
      <c r="M109" s="5">
        <f>IF(YEAR(I109)&lt;=2020,"Até 2020",TEXT(YEAR(I109),"0"))</f>
        <v/>
      </c>
      <c r="N109" s="5">
        <f>IFERROR(INDEX(DePara!$A:$A,MATCH(TEXT(B109,"0"),DePara!$D:$D,0)),"(sem categoria)")</f>
        <v/>
      </c>
      <c r="O109" s="5">
        <f>IF(J109="","",Parametros!$B$6-J109)</f>
        <v/>
      </c>
      <c r="P109" s="5">
        <f>IF(O109="","",IF(O109&gt;0,1,0))</f>
        <v/>
      </c>
    </row>
    <row r="110">
      <c r="A110" s="5" t="n">
        <v>2122100000</v>
      </c>
      <c r="B110" s="5" t="inlineStr">
        <is>
          <t>IC4420</t>
        </is>
      </c>
      <c r="C110" s="5" t="inlineStr">
        <is>
          <t>NORDEX ENERGY SPAIN S A U</t>
        </is>
      </c>
      <c r="D110" s="5" t="inlineStr">
        <is>
          <t>RE</t>
        </is>
      </c>
      <c r="E110" s="5" t="n">
        <v>5002999</v>
      </c>
      <c r="F110" s="5" t="inlineStr">
        <is>
          <t>4025007229</t>
        </is>
      </c>
      <c r="G110" s="5" t="inlineStr">
        <is>
          <t>EUR</t>
        </is>
      </c>
      <c r="H110" s="9" t="n">
        <v>-40201.64</v>
      </c>
      <c r="I110" s="16" t="n">
        <v>45919</v>
      </c>
      <c r="J110" s="16" t="n">
        <v>45949</v>
      </c>
      <c r="K110" s="5" t="inlineStr">
        <is>
          <t>0776/25</t>
        </is>
      </c>
      <c r="L110" s="5" t="inlineStr">
        <is>
          <t>4025007229</t>
        </is>
      </c>
      <c r="M110" s="5">
        <f>IF(YEAR(I110)&lt;=2020,"Até 2020",TEXT(YEAR(I110),"0"))</f>
        <v/>
      </c>
      <c r="N110" s="5">
        <f>IFERROR(INDEX(DePara!$A:$A,MATCH(TEXT(B110,"0"),DePara!$D:$D,0)),"(sem categoria)")</f>
        <v/>
      </c>
      <c r="O110" s="5">
        <f>IF(J110="","",Parametros!$B$6-J110)</f>
        <v/>
      </c>
      <c r="P110" s="5">
        <f>IF(O110="","",IF(O110&gt;0,1,0))</f>
        <v/>
      </c>
    </row>
    <row r="111">
      <c r="A111" s="5" t="n">
        <v>2122100000</v>
      </c>
      <c r="B111" s="5" t="inlineStr">
        <is>
          <t>IC4420</t>
        </is>
      </c>
      <c r="C111" s="5" t="inlineStr">
        <is>
          <t>NORDEX ENERGY SPAIN S A U</t>
        </is>
      </c>
      <c r="D111" s="5" t="inlineStr">
        <is>
          <t>RE</t>
        </is>
      </c>
      <c r="E111" s="5" t="n">
        <v>5003003</v>
      </c>
      <c r="F111" s="5" t="inlineStr">
        <is>
          <t>4025009058</t>
        </is>
      </c>
      <c r="G111" s="5" t="inlineStr">
        <is>
          <t>EUR</t>
        </is>
      </c>
      <c r="H111" s="9" t="n">
        <v>-192284.3</v>
      </c>
      <c r="I111" s="16" t="n">
        <v>45986</v>
      </c>
      <c r="J111" s="16" t="n">
        <v>46016</v>
      </c>
      <c r="K111" s="5" t="inlineStr">
        <is>
          <t>0943/25</t>
        </is>
      </c>
      <c r="L111" s="5" t="inlineStr">
        <is>
          <t>4025009058</t>
        </is>
      </c>
      <c r="M111" s="5">
        <f>IF(YEAR(I111)&lt;=2020,"Até 2020",TEXT(YEAR(I111),"0"))</f>
        <v/>
      </c>
      <c r="N111" s="5">
        <f>IFERROR(INDEX(DePara!$A:$A,MATCH(TEXT(B111,"0"),DePara!$D:$D,0)),"(sem categoria)")</f>
        <v/>
      </c>
      <c r="O111" s="5">
        <f>IF(J111="","",Parametros!$B$6-J111)</f>
        <v/>
      </c>
      <c r="P111" s="5">
        <f>IF(O111="","",IF(O111&gt;0,1,0))</f>
        <v/>
      </c>
    </row>
    <row r="112">
      <c r="A112" s="5" t="n">
        <v>2122100000</v>
      </c>
      <c r="B112" s="5" t="inlineStr">
        <is>
          <t>IC4420</t>
        </is>
      </c>
      <c r="C112" s="5" t="inlineStr">
        <is>
          <t>NORDEX ENERGY SPAIN S A U</t>
        </is>
      </c>
      <c r="D112" s="5" t="inlineStr">
        <is>
          <t>RE</t>
        </is>
      </c>
      <c r="E112" s="5" t="n">
        <v>5003007</v>
      </c>
      <c r="F112" s="5" t="inlineStr">
        <is>
          <t>4025008444</t>
        </is>
      </c>
      <c r="G112" s="5" t="inlineStr">
        <is>
          <t>EUR</t>
        </is>
      </c>
      <c r="H112" s="9" t="n">
        <v>-259641.39</v>
      </c>
      <c r="I112" s="16" t="n">
        <v>45960</v>
      </c>
      <c r="J112" s="16" t="n">
        <v>45990</v>
      </c>
      <c r="K112" s="5" t="inlineStr">
        <is>
          <t>0864/25</t>
        </is>
      </c>
      <c r="L112" s="5" t="inlineStr">
        <is>
          <t>4025008444</t>
        </is>
      </c>
      <c r="M112" s="5">
        <f>IF(YEAR(I112)&lt;=2020,"Até 2020",TEXT(YEAR(I112),"0"))</f>
        <v/>
      </c>
      <c r="N112" s="5">
        <f>IFERROR(INDEX(DePara!$A:$A,MATCH(TEXT(B112,"0"),DePara!$D:$D,0)),"(sem categoria)")</f>
        <v/>
      </c>
      <c r="O112" s="5">
        <f>IF(J112="","",Parametros!$B$6-J112)</f>
        <v/>
      </c>
      <c r="P112" s="5">
        <f>IF(O112="","",IF(O112&gt;0,1,0))</f>
        <v/>
      </c>
    </row>
    <row r="113">
      <c r="A113" s="5" t="n">
        <v>2122100000</v>
      </c>
      <c r="B113" s="5" t="inlineStr">
        <is>
          <t>IC4420</t>
        </is>
      </c>
      <c r="C113" s="5" t="inlineStr">
        <is>
          <t>NORDEX ENERGY SPAIN S A U</t>
        </is>
      </c>
      <c r="D113" s="5" t="inlineStr">
        <is>
          <t>RE</t>
        </is>
      </c>
      <c r="E113" s="5" t="n">
        <v>5003131</v>
      </c>
      <c r="F113" s="5" t="inlineStr">
        <is>
          <t>4026000004</t>
        </is>
      </c>
      <c r="G113" s="5" t="inlineStr">
        <is>
          <t>EUR</t>
        </is>
      </c>
      <c r="H113" s="9" t="n">
        <v>-2885.49</v>
      </c>
      <c r="I113" s="16" t="n">
        <v>46024</v>
      </c>
      <c r="J113" s="16" t="n">
        <v>46054</v>
      </c>
      <c r="K113" s="5" t="inlineStr">
        <is>
          <t>0004/26</t>
        </is>
      </c>
      <c r="L113" s="5" t="inlineStr">
        <is>
          <t>4026000004</t>
        </is>
      </c>
      <c r="M113" s="5">
        <f>IF(YEAR(I113)&lt;=2020,"Até 2020",TEXT(YEAR(I113),"0"))</f>
        <v/>
      </c>
      <c r="N113" s="5">
        <f>IFERROR(INDEX(DePara!$A:$A,MATCH(TEXT(B113,"0"),DePara!$D:$D,0)),"(sem categoria)")</f>
        <v/>
      </c>
      <c r="O113" s="5">
        <f>IF(J113="","",Parametros!$B$6-J113)</f>
        <v/>
      </c>
      <c r="P113" s="5">
        <f>IF(O113="","",IF(O113&gt;0,1,0))</f>
        <v/>
      </c>
    </row>
    <row r="114">
      <c r="A114" s="5" t="n">
        <v>2122100000</v>
      </c>
      <c r="B114" s="5" t="inlineStr">
        <is>
          <t>IC1000</t>
        </is>
      </c>
      <c r="C114" s="5" t="inlineStr">
        <is>
          <t>NORDEX ENERGY SE &amp; CO KG</t>
        </is>
      </c>
      <c r="D114" s="5" t="inlineStr">
        <is>
          <t>RE</t>
        </is>
      </c>
      <c r="E114" s="5" t="n">
        <v>5003203</v>
      </c>
      <c r="F114" s="5" t="inlineStr">
        <is>
          <t>638-2</t>
        </is>
      </c>
      <c r="G114" s="5" t="inlineStr">
        <is>
          <t>EUR</t>
        </is>
      </c>
      <c r="H114" s="9" t="n">
        <v>-106231.15</v>
      </c>
      <c r="I114" s="16" t="n">
        <v>45184</v>
      </c>
      <c r="J114" s="16" t="n">
        <v>45214</v>
      </c>
      <c r="K114" s="5" t="inlineStr">
        <is>
          <t>Fatura - bruto NORDEX ENERGY SE &amp; CO. KG 638-2</t>
        </is>
      </c>
      <c r="L114" s="5" t="n"/>
      <c r="M114" s="5">
        <f>IF(YEAR(I114)&lt;=2020,"Até 2020",TEXT(YEAR(I114),"0"))</f>
        <v/>
      </c>
      <c r="N114" s="5">
        <f>IFERROR(INDEX(DePara!$A:$A,MATCH(TEXT(B114,"0"),DePara!$D:$D,0)),"(sem categoria)")</f>
        <v/>
      </c>
      <c r="O114" s="5">
        <f>IF(J114="","",Parametros!$B$6-J114)</f>
        <v/>
      </c>
      <c r="P114" s="5">
        <f>IF(O114="","",IF(O114&gt;0,1,0))</f>
        <v/>
      </c>
    </row>
    <row r="115">
      <c r="A115" s="5" t="n">
        <v>2122100000</v>
      </c>
      <c r="B115" s="5" t="inlineStr">
        <is>
          <t>IC1000</t>
        </is>
      </c>
      <c r="C115" s="5" t="inlineStr">
        <is>
          <t>NORDEX ENERGY SE &amp; CO KG</t>
        </is>
      </c>
      <c r="D115" s="5" t="inlineStr">
        <is>
          <t>RE</t>
        </is>
      </c>
      <c r="E115" s="5" t="n">
        <v>5003256</v>
      </c>
      <c r="F115" s="5" t="inlineStr">
        <is>
          <t>381358</t>
        </is>
      </c>
      <c r="G115" s="5" t="inlineStr">
        <is>
          <t>EUR</t>
        </is>
      </c>
      <c r="H115" s="9" t="n">
        <v>-54247.77</v>
      </c>
      <c r="I115" s="16" t="n">
        <v>46050</v>
      </c>
      <c r="J115" s="16" t="n">
        <v>46080</v>
      </c>
      <c r="K115" s="5" t="inlineStr">
        <is>
          <t>0051/26</t>
        </is>
      </c>
      <c r="L115" s="5" t="inlineStr">
        <is>
          <t>381358</t>
        </is>
      </c>
      <c r="M115" s="5">
        <f>IF(YEAR(I115)&lt;=2020,"Até 2020",TEXT(YEAR(I115),"0"))</f>
        <v/>
      </c>
      <c r="N115" s="5">
        <f>IFERROR(INDEX(DePara!$A:$A,MATCH(TEXT(B115,"0"),DePara!$D:$D,0)),"(sem categoria)")</f>
        <v/>
      </c>
      <c r="O115" s="5">
        <f>IF(J115="","",Parametros!$B$6-J115)</f>
        <v/>
      </c>
      <c r="P115" s="5">
        <f>IF(O115="","",IF(O115&gt;0,1,0))</f>
        <v/>
      </c>
    </row>
    <row r="116">
      <c r="A116" s="5" t="n">
        <v>2122100000</v>
      </c>
      <c r="B116" s="5" t="inlineStr">
        <is>
          <t>IC4420</t>
        </is>
      </c>
      <c r="C116" s="5" t="inlineStr">
        <is>
          <t>NORDEX ENERGY SPAIN S A U</t>
        </is>
      </c>
      <c r="D116" s="5" t="inlineStr">
        <is>
          <t>RE</t>
        </is>
      </c>
      <c r="E116" s="5" t="n">
        <v>5003257</v>
      </c>
      <c r="F116" s="5" t="inlineStr">
        <is>
          <t>4026000822</t>
        </is>
      </c>
      <c r="G116" s="5" t="inlineStr">
        <is>
          <t>EUR</t>
        </is>
      </c>
      <c r="H116" s="9" t="n">
        <v>-59706.3</v>
      </c>
      <c r="I116" s="16" t="n">
        <v>46057</v>
      </c>
      <c r="J116" s="16" t="n">
        <v>46087</v>
      </c>
      <c r="K116" s="5" t="inlineStr">
        <is>
          <t>0055/26</t>
        </is>
      </c>
      <c r="L116" s="5" t="inlineStr">
        <is>
          <t>4026000822</t>
        </is>
      </c>
      <c r="M116" s="5">
        <f>IF(YEAR(I116)&lt;=2020,"Até 2020",TEXT(YEAR(I116),"0"))</f>
        <v/>
      </c>
      <c r="N116" s="5">
        <f>IFERROR(INDEX(DePara!$A:$A,MATCH(TEXT(B116,"0"),DePara!$D:$D,0)),"(sem categoria)")</f>
        <v/>
      </c>
      <c r="O116" s="5">
        <f>IF(J116="","",Parametros!$B$6-J116)</f>
        <v/>
      </c>
      <c r="P116" s="5">
        <f>IF(O116="","",IF(O116&gt;0,1,0))</f>
        <v/>
      </c>
    </row>
    <row r="117">
      <c r="A117" s="5" t="n">
        <v>2122100000</v>
      </c>
      <c r="B117" s="5" t="inlineStr">
        <is>
          <t>IC4420</t>
        </is>
      </c>
      <c r="C117" s="5" t="inlineStr">
        <is>
          <t>NORDEX ENERGY SPAIN S A U</t>
        </is>
      </c>
      <c r="D117" s="5" t="inlineStr">
        <is>
          <t>RE</t>
        </is>
      </c>
      <c r="E117" s="5" t="n">
        <v>5003294</v>
      </c>
      <c r="F117" s="5" t="inlineStr">
        <is>
          <t>4025009069</t>
        </is>
      </c>
      <c r="G117" s="5" t="inlineStr">
        <is>
          <t>EUR</t>
        </is>
      </c>
      <c r="H117" s="9" t="n">
        <v>-422046.17</v>
      </c>
      <c r="I117" s="16" t="n">
        <v>45986</v>
      </c>
      <c r="J117" s="16" t="n">
        <v>46016</v>
      </c>
      <c r="K117" s="5" t="inlineStr">
        <is>
          <t>0943/25</t>
        </is>
      </c>
      <c r="L117" s="5" t="inlineStr">
        <is>
          <t>4025009069</t>
        </is>
      </c>
      <c r="M117" s="5">
        <f>IF(YEAR(I117)&lt;=2020,"Até 2020",TEXT(YEAR(I117),"0"))</f>
        <v/>
      </c>
      <c r="N117" s="5">
        <f>IFERROR(INDEX(DePara!$A:$A,MATCH(TEXT(B117,"0"),DePara!$D:$D,0)),"(sem categoria)")</f>
        <v/>
      </c>
      <c r="O117" s="5">
        <f>IF(J117="","",Parametros!$B$6-J117)</f>
        <v/>
      </c>
      <c r="P117" s="5">
        <f>IF(O117="","",IF(O117&gt;0,1,0))</f>
        <v/>
      </c>
    </row>
    <row r="118">
      <c r="A118" s="5" t="n">
        <v>2122100000</v>
      </c>
      <c r="B118" s="5" t="inlineStr">
        <is>
          <t>IC4420</t>
        </is>
      </c>
      <c r="C118" s="5" t="inlineStr">
        <is>
          <t>NORDEX ENERGY SPAIN S A U</t>
        </is>
      </c>
      <c r="D118" s="5" t="inlineStr">
        <is>
          <t>RE</t>
        </is>
      </c>
      <c r="E118" s="5" t="n">
        <v>5003309</v>
      </c>
      <c r="F118" s="5" t="inlineStr">
        <is>
          <t>4026000825</t>
        </is>
      </c>
      <c r="G118" s="5" t="inlineStr">
        <is>
          <t>EUR</t>
        </is>
      </c>
      <c r="H118" s="9" t="n">
        <v>-417730.52</v>
      </c>
      <c r="I118" s="16" t="n">
        <v>46057</v>
      </c>
      <c r="J118" s="16" t="n">
        <v>46087</v>
      </c>
      <c r="K118" s="5" t="inlineStr">
        <is>
          <t>0052/26</t>
        </is>
      </c>
      <c r="L118" s="5" t="inlineStr">
        <is>
          <t>4026000825</t>
        </is>
      </c>
      <c r="M118" s="5">
        <f>IF(YEAR(I118)&lt;=2020,"Até 2020",TEXT(YEAR(I118),"0"))</f>
        <v/>
      </c>
      <c r="N118" s="5">
        <f>IFERROR(INDEX(DePara!$A:$A,MATCH(TEXT(B118,"0"),DePara!$D:$D,0)),"(sem categoria)")</f>
        <v/>
      </c>
      <c r="O118" s="5">
        <f>IF(J118="","",Parametros!$B$6-J118)</f>
        <v/>
      </c>
      <c r="P118" s="5">
        <f>IF(O118="","",IF(O118&gt;0,1,0))</f>
        <v/>
      </c>
    </row>
    <row r="119">
      <c r="A119" s="5" t="n">
        <v>2122100000</v>
      </c>
      <c r="B119" s="5" t="inlineStr">
        <is>
          <t>IC4420</t>
        </is>
      </c>
      <c r="C119" s="5" t="inlineStr">
        <is>
          <t>NORDEX ENERGY SPAIN S A U</t>
        </is>
      </c>
      <c r="D119" s="5" t="inlineStr">
        <is>
          <t>RE</t>
        </is>
      </c>
      <c r="E119" s="5" t="n">
        <v>5003310</v>
      </c>
      <c r="F119" s="5" t="inlineStr">
        <is>
          <t>4026000828</t>
        </is>
      </c>
      <c r="G119" s="5" t="inlineStr">
        <is>
          <t>EUR</t>
        </is>
      </c>
      <c r="H119" s="9" t="n">
        <v>-1943.11</v>
      </c>
      <c r="I119" s="16" t="n">
        <v>46057</v>
      </c>
      <c r="J119" s="16" t="n">
        <v>46087</v>
      </c>
      <c r="K119" s="5" t="inlineStr">
        <is>
          <t>0052/26</t>
        </is>
      </c>
      <c r="L119" s="5" t="inlineStr">
        <is>
          <t>4026000828</t>
        </is>
      </c>
      <c r="M119" s="5">
        <f>IF(YEAR(I119)&lt;=2020,"Até 2020",TEXT(YEAR(I119),"0"))</f>
        <v/>
      </c>
      <c r="N119" s="5">
        <f>IFERROR(INDEX(DePara!$A:$A,MATCH(TEXT(B119,"0"),DePara!$D:$D,0)),"(sem categoria)")</f>
        <v/>
      </c>
      <c r="O119" s="5">
        <f>IF(J119="","",Parametros!$B$6-J119)</f>
        <v/>
      </c>
      <c r="P119" s="5">
        <f>IF(O119="","",IF(O119&gt;0,1,0))</f>
        <v/>
      </c>
    </row>
    <row r="120">
      <c r="A120" s="5" t="n">
        <v>2122100000</v>
      </c>
      <c r="B120" s="5" t="inlineStr">
        <is>
          <t>IC4420</t>
        </is>
      </c>
      <c r="C120" s="5" t="inlineStr">
        <is>
          <t>NORDEX ENERGY SPAIN S A U</t>
        </is>
      </c>
      <c r="D120" s="5" t="inlineStr">
        <is>
          <t>RE</t>
        </is>
      </c>
      <c r="E120" s="5" t="n">
        <v>5003319</v>
      </c>
      <c r="F120" s="5" t="inlineStr">
        <is>
          <t>4026000544</t>
        </is>
      </c>
      <c r="G120" s="5" t="inlineStr">
        <is>
          <t>EUR</t>
        </is>
      </c>
      <c r="H120" s="9" t="n">
        <v>-329234.99</v>
      </c>
      <c r="I120" s="16" t="n">
        <v>46048</v>
      </c>
      <c r="J120" s="16" t="n">
        <v>46078</v>
      </c>
      <c r="K120" s="5" t="inlineStr">
        <is>
          <t>0048/26</t>
        </is>
      </c>
      <c r="L120" s="5" t="inlineStr">
        <is>
          <t>4026000544</t>
        </is>
      </c>
      <c r="M120" s="5">
        <f>IF(YEAR(I120)&lt;=2020,"Até 2020",TEXT(YEAR(I120),"0"))</f>
        <v/>
      </c>
      <c r="N120" s="5">
        <f>IFERROR(INDEX(DePara!$A:$A,MATCH(TEXT(B120,"0"),DePara!$D:$D,0)),"(sem categoria)")</f>
        <v/>
      </c>
      <c r="O120" s="5">
        <f>IF(J120="","",Parametros!$B$6-J120)</f>
        <v/>
      </c>
      <c r="P120" s="5">
        <f>IF(O120="","",IF(O120&gt;0,1,0))</f>
        <v/>
      </c>
    </row>
    <row r="121">
      <c r="A121" s="5" t="n">
        <v>2122100000</v>
      </c>
      <c r="B121" s="5" t="inlineStr">
        <is>
          <t>IC4420</t>
        </is>
      </c>
      <c r="C121" s="5" t="inlineStr">
        <is>
          <t>NORDEX ENERGY SPAIN S A U</t>
        </is>
      </c>
      <c r="D121" s="5" t="inlineStr">
        <is>
          <t>RE</t>
        </is>
      </c>
      <c r="E121" s="5" t="n">
        <v>5003329</v>
      </c>
      <c r="F121" s="5" t="inlineStr">
        <is>
          <t>4025008825</t>
        </is>
      </c>
      <c r="G121" s="5" t="inlineStr">
        <is>
          <t>EUR</t>
        </is>
      </c>
      <c r="H121" s="9" t="n">
        <v>-251067.47</v>
      </c>
      <c r="I121" s="16" t="n">
        <v>45975</v>
      </c>
      <c r="J121" s="16" t="n">
        <v>46005</v>
      </c>
      <c r="K121" s="5" t="inlineStr">
        <is>
          <t>0902/25</t>
        </is>
      </c>
      <c r="L121" s="5" t="inlineStr">
        <is>
          <t>4025008825</t>
        </is>
      </c>
      <c r="M121" s="5">
        <f>IF(YEAR(I121)&lt;=2020,"Até 2020",TEXT(YEAR(I121),"0"))</f>
        <v/>
      </c>
      <c r="N121" s="5">
        <f>IFERROR(INDEX(DePara!$A:$A,MATCH(TEXT(B121,"0"),DePara!$D:$D,0)),"(sem categoria)")</f>
        <v/>
      </c>
      <c r="O121" s="5">
        <f>IF(J121="","",Parametros!$B$6-J121)</f>
        <v/>
      </c>
      <c r="P121" s="5">
        <f>IF(O121="","",IF(O121&gt;0,1,0))</f>
        <v/>
      </c>
    </row>
    <row r="122">
      <c r="A122" s="5" t="n">
        <v>2122100000</v>
      </c>
      <c r="B122" s="5" t="inlineStr">
        <is>
          <t>IC4420</t>
        </is>
      </c>
      <c r="C122" s="5" t="inlineStr">
        <is>
          <t>NORDEX ENERGY SPAIN S A U</t>
        </is>
      </c>
      <c r="D122" s="5" t="inlineStr">
        <is>
          <t>RE</t>
        </is>
      </c>
      <c r="E122" s="5" t="n">
        <v>5003330</v>
      </c>
      <c r="F122" s="5" t="inlineStr">
        <is>
          <t>4025008826</t>
        </is>
      </c>
      <c r="G122" s="5" t="inlineStr">
        <is>
          <t>EUR</t>
        </is>
      </c>
      <c r="H122" s="9" t="n">
        <v>-251067.47</v>
      </c>
      <c r="I122" s="16" t="n">
        <v>45975</v>
      </c>
      <c r="J122" s="16" t="n">
        <v>46005</v>
      </c>
      <c r="K122" s="5" t="inlineStr">
        <is>
          <t>0902/25</t>
        </is>
      </c>
      <c r="L122" s="5" t="inlineStr">
        <is>
          <t>4025008826</t>
        </is>
      </c>
      <c r="M122" s="5">
        <f>IF(YEAR(I122)&lt;=2020,"Até 2020",TEXT(YEAR(I122),"0"))</f>
        <v/>
      </c>
      <c r="N122" s="5">
        <f>IFERROR(INDEX(DePara!$A:$A,MATCH(TEXT(B122,"0"),DePara!$D:$D,0)),"(sem categoria)")</f>
        <v/>
      </c>
      <c r="O122" s="5">
        <f>IF(J122="","",Parametros!$B$6-J122)</f>
        <v/>
      </c>
      <c r="P122" s="5">
        <f>IF(O122="","",IF(O122&gt;0,1,0))</f>
        <v/>
      </c>
    </row>
    <row r="123">
      <c r="A123" s="5" t="n">
        <v>2122100000</v>
      </c>
      <c r="B123" s="5" t="inlineStr">
        <is>
          <t>IC4420</t>
        </is>
      </c>
      <c r="C123" s="5" t="inlineStr">
        <is>
          <t>NORDEX ENERGY SPAIN S A U</t>
        </is>
      </c>
      <c r="D123" s="5" t="inlineStr">
        <is>
          <t>RE</t>
        </is>
      </c>
      <c r="E123" s="5" t="n">
        <v>5003331</v>
      </c>
      <c r="F123" s="5" t="inlineStr">
        <is>
          <t>4025008813</t>
        </is>
      </c>
      <c r="G123" s="5" t="inlineStr">
        <is>
          <t>EUR</t>
        </is>
      </c>
      <c r="H123" s="9" t="n">
        <v>-251067.47</v>
      </c>
      <c r="I123" s="16" t="n">
        <v>45975</v>
      </c>
      <c r="J123" s="16" t="n">
        <v>46005</v>
      </c>
      <c r="K123" s="5" t="inlineStr">
        <is>
          <t>0902/25</t>
        </is>
      </c>
      <c r="L123" s="5" t="inlineStr">
        <is>
          <t>4025008813</t>
        </is>
      </c>
      <c r="M123" s="5">
        <f>IF(YEAR(I123)&lt;=2020,"Até 2020",TEXT(YEAR(I123),"0"))</f>
        <v/>
      </c>
      <c r="N123" s="5">
        <f>IFERROR(INDEX(DePara!$A:$A,MATCH(TEXT(B123,"0"),DePara!$D:$D,0)),"(sem categoria)")</f>
        <v/>
      </c>
      <c r="O123" s="5">
        <f>IF(J123="","",Parametros!$B$6-J123)</f>
        <v/>
      </c>
      <c r="P123" s="5">
        <f>IF(O123="","",IF(O123&gt;0,1,0))</f>
        <v/>
      </c>
    </row>
    <row r="124">
      <c r="A124" s="5" t="n">
        <v>2122100000</v>
      </c>
      <c r="B124" s="5" t="inlineStr">
        <is>
          <t>IC4420</t>
        </is>
      </c>
      <c r="C124" s="5" t="inlineStr">
        <is>
          <t>NORDEX ENERGY SPAIN S A U</t>
        </is>
      </c>
      <c r="D124" s="5" t="inlineStr">
        <is>
          <t>RE</t>
        </is>
      </c>
      <c r="E124" s="5" t="n">
        <v>5003354</v>
      </c>
      <c r="F124" s="5" t="inlineStr">
        <is>
          <t>4025007246</t>
        </is>
      </c>
      <c r="G124" s="5" t="inlineStr">
        <is>
          <t>EUR</t>
        </is>
      </c>
      <c r="H124" s="9" t="n">
        <v>-108495.38</v>
      </c>
      <c r="I124" s="16" t="n">
        <v>45919</v>
      </c>
      <c r="J124" s="16" t="n">
        <v>45949</v>
      </c>
      <c r="K124" s="5" t="inlineStr">
        <is>
          <t>0784/25</t>
        </is>
      </c>
      <c r="L124" s="5" t="inlineStr">
        <is>
          <t>4025007246</t>
        </is>
      </c>
      <c r="M124" s="5">
        <f>IF(YEAR(I124)&lt;=2020,"Até 2020",TEXT(YEAR(I124),"0"))</f>
        <v/>
      </c>
      <c r="N124" s="5">
        <f>IFERROR(INDEX(DePara!$A:$A,MATCH(TEXT(B124,"0"),DePara!$D:$D,0)),"(sem categoria)")</f>
        <v/>
      </c>
      <c r="O124" s="5">
        <f>IF(J124="","",Parametros!$B$6-J124)</f>
        <v/>
      </c>
      <c r="P124" s="5">
        <f>IF(O124="","",IF(O124&gt;0,1,0))</f>
        <v/>
      </c>
    </row>
    <row r="125">
      <c r="A125" s="5" t="n">
        <v>2122100000</v>
      </c>
      <c r="B125" s="5" t="inlineStr">
        <is>
          <t>IC4420</t>
        </is>
      </c>
      <c r="C125" s="5" t="inlineStr">
        <is>
          <t>NORDEX ENERGY SPAIN S A U</t>
        </is>
      </c>
      <c r="D125" s="5" t="inlineStr">
        <is>
          <t>RE</t>
        </is>
      </c>
      <c r="E125" s="5" t="n">
        <v>5003367</v>
      </c>
      <c r="F125" s="5" t="inlineStr">
        <is>
          <t>4018000262</t>
        </is>
      </c>
      <c r="G125" s="5" t="inlineStr">
        <is>
          <t>EUR</t>
        </is>
      </c>
      <c r="H125" s="9" t="n">
        <v>-833028.9399999999</v>
      </c>
      <c r="I125" s="16" t="n">
        <v>46000</v>
      </c>
      <c r="J125" s="16" t="n">
        <v>46030</v>
      </c>
      <c r="K125" s="5" t="inlineStr">
        <is>
          <t>0928/25</t>
        </is>
      </c>
      <c r="L125" s="5" t="inlineStr">
        <is>
          <t>4018000262</t>
        </is>
      </c>
      <c r="M125" s="5">
        <f>IF(YEAR(I125)&lt;=2020,"Até 2020",TEXT(YEAR(I125),"0"))</f>
        <v/>
      </c>
      <c r="N125" s="5">
        <f>IFERROR(INDEX(DePara!$A:$A,MATCH(TEXT(B125,"0"),DePara!$D:$D,0)),"(sem categoria)")</f>
        <v/>
      </c>
      <c r="O125" s="5">
        <f>IF(J125="","",Parametros!$B$6-J125)</f>
        <v/>
      </c>
      <c r="P125" s="5">
        <f>IF(O125="","",IF(O125&gt;0,1,0))</f>
        <v/>
      </c>
    </row>
    <row r="126">
      <c r="A126" s="5" t="n">
        <v>2122100000</v>
      </c>
      <c r="B126" s="5" t="inlineStr">
        <is>
          <t>IC4420</t>
        </is>
      </c>
      <c r="C126" s="5" t="inlineStr">
        <is>
          <t>NORDEX ENERGY SPAIN S A U</t>
        </is>
      </c>
      <c r="D126" s="5" t="inlineStr">
        <is>
          <t>RE</t>
        </is>
      </c>
      <c r="E126" s="5" t="n">
        <v>5003427</v>
      </c>
      <c r="F126" s="5" t="inlineStr">
        <is>
          <t>4024008347</t>
        </is>
      </c>
      <c r="G126" s="5" t="inlineStr">
        <is>
          <t>EUR</t>
        </is>
      </c>
      <c r="H126" s="9" t="n">
        <v>-572422.58</v>
      </c>
      <c r="I126" s="16" t="n">
        <v>45616</v>
      </c>
      <c r="J126" s="16" t="n">
        <v>45646</v>
      </c>
      <c r="K126" s="5" t="inlineStr">
        <is>
          <t>1094/24</t>
        </is>
      </c>
      <c r="L126" s="5" t="inlineStr">
        <is>
          <t>4024008347</t>
        </is>
      </c>
      <c r="M126" s="5">
        <f>IF(YEAR(I126)&lt;=2020,"Até 2020",TEXT(YEAR(I126),"0"))</f>
        <v/>
      </c>
      <c r="N126" s="5">
        <f>IFERROR(INDEX(DePara!$A:$A,MATCH(TEXT(B126,"0"),DePara!$D:$D,0)),"(sem categoria)")</f>
        <v/>
      </c>
      <c r="O126" s="5">
        <f>IF(J126="","",Parametros!$B$6-J126)</f>
        <v/>
      </c>
      <c r="P126" s="5">
        <f>IF(O126="","",IF(O126&gt;0,1,0))</f>
        <v/>
      </c>
    </row>
    <row r="127">
      <c r="A127" s="5" t="n">
        <v>2122100000</v>
      </c>
      <c r="B127" s="5" t="inlineStr">
        <is>
          <t>IC4420</t>
        </is>
      </c>
      <c r="C127" s="5" t="inlineStr">
        <is>
          <t>NORDEX ENERGY SPAIN S A U</t>
        </is>
      </c>
      <c r="D127" s="5" t="inlineStr">
        <is>
          <t>RE</t>
        </is>
      </c>
      <c r="E127" s="5" t="n">
        <v>5003572</v>
      </c>
      <c r="F127" s="5" t="inlineStr">
        <is>
          <t>4026001038</t>
        </is>
      </c>
      <c r="G127" s="5" t="inlineStr">
        <is>
          <t>EUR</t>
        </is>
      </c>
      <c r="H127" s="9" t="n">
        <v>-126588.02</v>
      </c>
      <c r="I127" s="16" t="n">
        <v>46064</v>
      </c>
      <c r="J127" s="16" t="n">
        <v>46094</v>
      </c>
      <c r="K127" s="5" t="inlineStr">
        <is>
          <t>0076/26</t>
        </is>
      </c>
      <c r="L127" s="5" t="inlineStr">
        <is>
          <t>4026001038</t>
        </is>
      </c>
      <c r="M127" s="5">
        <f>IF(YEAR(I127)&lt;=2020,"Até 2020",TEXT(YEAR(I127),"0"))</f>
        <v/>
      </c>
      <c r="N127" s="5">
        <f>IFERROR(INDEX(DePara!$A:$A,MATCH(TEXT(B127,"0"),DePara!$D:$D,0)),"(sem categoria)")</f>
        <v/>
      </c>
      <c r="O127" s="5">
        <f>IF(J127="","",Parametros!$B$6-J127)</f>
        <v/>
      </c>
      <c r="P127" s="5">
        <f>IF(O127="","",IF(O127&gt;0,1,0))</f>
        <v/>
      </c>
    </row>
    <row r="128">
      <c r="A128" s="5" t="n">
        <v>2122100000</v>
      </c>
      <c r="B128" s="5" t="inlineStr">
        <is>
          <t>IC4420</t>
        </is>
      </c>
      <c r="C128" s="5" t="inlineStr">
        <is>
          <t>NORDEX ENERGY SPAIN S A U</t>
        </is>
      </c>
      <c r="D128" s="5" t="inlineStr">
        <is>
          <t>RE</t>
        </is>
      </c>
      <c r="E128" s="5" t="n">
        <v>5003597</v>
      </c>
      <c r="F128" s="5" t="inlineStr">
        <is>
          <t>4025009515</t>
        </is>
      </c>
      <c r="G128" s="5" t="inlineStr">
        <is>
          <t>EUR</t>
        </is>
      </c>
      <c r="H128" s="9" t="n">
        <v>-1137449.97</v>
      </c>
      <c r="I128" s="16" t="n">
        <v>46000</v>
      </c>
      <c r="J128" s="16" t="n">
        <v>46030</v>
      </c>
      <c r="K128" s="5" t="inlineStr">
        <is>
          <t>0912/25</t>
        </is>
      </c>
      <c r="L128" s="5" t="inlineStr">
        <is>
          <t>4025009515</t>
        </is>
      </c>
      <c r="M128" s="5">
        <f>IF(YEAR(I128)&lt;=2020,"Até 2020",TEXT(YEAR(I128),"0"))</f>
        <v/>
      </c>
      <c r="N128" s="5">
        <f>IFERROR(INDEX(DePara!$A:$A,MATCH(TEXT(B128,"0"),DePara!$D:$D,0)),"(sem categoria)")</f>
        <v/>
      </c>
      <c r="O128" s="5">
        <f>IF(J128="","",Parametros!$B$6-J128)</f>
        <v/>
      </c>
      <c r="P128" s="5">
        <f>IF(O128="","",IF(O128&gt;0,1,0))</f>
        <v/>
      </c>
    </row>
    <row r="129">
      <c r="A129" s="5" t="n">
        <v>2122100000</v>
      </c>
      <c r="B129" s="5" t="inlineStr">
        <is>
          <t>IC4420</t>
        </is>
      </c>
      <c r="C129" s="5" t="inlineStr">
        <is>
          <t>NORDEX ENERGY SPAIN S A U</t>
        </is>
      </c>
      <c r="D129" s="5" t="inlineStr">
        <is>
          <t>RE</t>
        </is>
      </c>
      <c r="E129" s="5" t="n">
        <v>5003603</v>
      </c>
      <c r="F129" s="5" t="inlineStr">
        <is>
          <t>4026000600</t>
        </is>
      </c>
      <c r="G129" s="5" t="inlineStr">
        <is>
          <t>EUR</t>
        </is>
      </c>
      <c r="H129" s="9" t="n">
        <v>-1066.1</v>
      </c>
      <c r="I129" s="16" t="n">
        <v>46049</v>
      </c>
      <c r="J129" s="16" t="n">
        <v>46079</v>
      </c>
      <c r="K129" s="5" t="inlineStr">
        <is>
          <t>0061/26</t>
        </is>
      </c>
      <c r="L129" s="5" t="inlineStr">
        <is>
          <t>4026000600</t>
        </is>
      </c>
      <c r="M129" s="5">
        <f>IF(YEAR(I129)&lt;=2020,"Até 2020",TEXT(YEAR(I129),"0"))</f>
        <v/>
      </c>
      <c r="N129" s="5">
        <f>IFERROR(INDEX(DePara!$A:$A,MATCH(TEXT(B129,"0"),DePara!$D:$D,0)),"(sem categoria)")</f>
        <v/>
      </c>
      <c r="O129" s="5">
        <f>IF(J129="","",Parametros!$B$6-J129)</f>
        <v/>
      </c>
      <c r="P129" s="5">
        <f>IF(O129="","",IF(O129&gt;0,1,0))</f>
        <v/>
      </c>
    </row>
    <row r="130">
      <c r="A130" s="5" t="n">
        <v>2122100000</v>
      </c>
      <c r="B130" s="5" t="inlineStr">
        <is>
          <t>IC4420</t>
        </is>
      </c>
      <c r="C130" s="5" t="inlineStr">
        <is>
          <t>NORDEX ENERGY SPAIN S A U</t>
        </is>
      </c>
      <c r="D130" s="5" t="inlineStr">
        <is>
          <t>RE</t>
        </is>
      </c>
      <c r="E130" s="5" t="n">
        <v>5003604</v>
      </c>
      <c r="F130" s="5" t="inlineStr">
        <is>
          <t>4026000543</t>
        </is>
      </c>
      <c r="G130" s="5" t="inlineStr">
        <is>
          <t>EUR</t>
        </is>
      </c>
      <c r="H130" s="9" t="n">
        <v>-211877.68</v>
      </c>
      <c r="I130" s="16" t="n">
        <v>46048</v>
      </c>
      <c r="J130" s="16" t="n">
        <v>46078</v>
      </c>
      <c r="K130" s="5" t="inlineStr">
        <is>
          <t>0049/26</t>
        </is>
      </c>
      <c r="L130" s="5" t="inlineStr">
        <is>
          <t>4026000543</t>
        </is>
      </c>
      <c r="M130" s="5">
        <f>IF(YEAR(I130)&lt;=2020,"Até 2020",TEXT(YEAR(I130),"0"))</f>
        <v/>
      </c>
      <c r="N130" s="5">
        <f>IFERROR(INDEX(DePara!$A:$A,MATCH(TEXT(B130,"0"),DePara!$D:$D,0)),"(sem categoria)")</f>
        <v/>
      </c>
      <c r="O130" s="5">
        <f>IF(J130="","",Parametros!$B$6-J130)</f>
        <v/>
      </c>
      <c r="P130" s="5">
        <f>IF(O130="","",IF(O130&gt;0,1,0))</f>
        <v/>
      </c>
    </row>
    <row r="131">
      <c r="A131" s="5" t="n">
        <v>2122100000</v>
      </c>
      <c r="B131" s="5" t="inlineStr">
        <is>
          <t>IC4420</t>
        </is>
      </c>
      <c r="C131" s="5" t="inlineStr">
        <is>
          <t>NORDEX ENERGY SPAIN S A U</t>
        </is>
      </c>
      <c r="D131" s="5" t="inlineStr">
        <is>
          <t>RE</t>
        </is>
      </c>
      <c r="E131" s="5" t="n">
        <v>5003605</v>
      </c>
      <c r="F131" s="5" t="inlineStr">
        <is>
          <t>4026000319</t>
        </is>
      </c>
      <c r="G131" s="5" t="inlineStr">
        <is>
          <t>EUR</t>
        </is>
      </c>
      <c r="H131" s="9" t="n">
        <v>-2559.03</v>
      </c>
      <c r="I131" s="16" t="n">
        <v>46036</v>
      </c>
      <c r="J131" s="16" t="n">
        <v>46066</v>
      </c>
      <c r="K131" s="5" t="inlineStr">
        <is>
          <t>0021/26</t>
        </is>
      </c>
      <c r="L131" s="5" t="inlineStr">
        <is>
          <t>4026000319</t>
        </is>
      </c>
      <c r="M131" s="5">
        <f>IF(YEAR(I131)&lt;=2020,"Até 2020",TEXT(YEAR(I131),"0"))</f>
        <v/>
      </c>
      <c r="N131" s="5">
        <f>IFERROR(INDEX(DePara!$A:$A,MATCH(TEXT(B131,"0"),DePara!$D:$D,0)),"(sem categoria)")</f>
        <v/>
      </c>
      <c r="O131" s="5">
        <f>IF(J131="","",Parametros!$B$6-J131)</f>
        <v/>
      </c>
      <c r="P131" s="5">
        <f>IF(O131="","",IF(O131&gt;0,1,0))</f>
        <v/>
      </c>
    </row>
    <row r="132">
      <c r="A132" s="5" t="n">
        <v>2122100000</v>
      </c>
      <c r="B132" s="5" t="inlineStr">
        <is>
          <t>IC4420</t>
        </is>
      </c>
      <c r="C132" s="5" t="inlineStr">
        <is>
          <t>NORDEX ENERGY SPAIN S A U</t>
        </is>
      </c>
      <c r="D132" s="5" t="inlineStr">
        <is>
          <t>RE</t>
        </is>
      </c>
      <c r="E132" s="5" t="n">
        <v>5003606</v>
      </c>
      <c r="F132" s="5" t="inlineStr">
        <is>
          <t>4026000815</t>
        </is>
      </c>
      <c r="G132" s="5" t="inlineStr">
        <is>
          <t>EUR</t>
        </is>
      </c>
      <c r="H132" s="9" t="n">
        <v>-32314.35</v>
      </c>
      <c r="I132" s="16" t="n">
        <v>46056</v>
      </c>
      <c r="J132" s="16" t="n">
        <v>46086</v>
      </c>
      <c r="K132" s="5" t="inlineStr">
        <is>
          <t>0064/26</t>
        </is>
      </c>
      <c r="L132" s="5" t="inlineStr">
        <is>
          <t>4026000815</t>
        </is>
      </c>
      <c r="M132" s="5">
        <f>IF(YEAR(I132)&lt;=2020,"Até 2020",TEXT(YEAR(I132),"0"))</f>
        <v/>
      </c>
      <c r="N132" s="5">
        <f>IFERROR(INDEX(DePara!$A:$A,MATCH(TEXT(B132,"0"),DePara!$D:$D,0)),"(sem categoria)")</f>
        <v/>
      </c>
      <c r="O132" s="5">
        <f>IF(J132="","",Parametros!$B$6-J132)</f>
        <v/>
      </c>
      <c r="P132" s="5">
        <f>IF(O132="","",IF(O132&gt;0,1,0))</f>
        <v/>
      </c>
    </row>
    <row r="133">
      <c r="A133" s="5" t="n">
        <v>2122100000</v>
      </c>
      <c r="B133" s="5" t="inlineStr">
        <is>
          <t>IC4420</t>
        </is>
      </c>
      <c r="C133" s="5" t="inlineStr">
        <is>
          <t>NORDEX ENERGY SPAIN S A U</t>
        </is>
      </c>
      <c r="D133" s="5" t="inlineStr">
        <is>
          <t>RE</t>
        </is>
      </c>
      <c r="E133" s="5" t="n">
        <v>5003608</v>
      </c>
      <c r="F133" s="5" t="inlineStr">
        <is>
          <t>4026000601</t>
        </is>
      </c>
      <c r="G133" s="5" t="inlineStr">
        <is>
          <t>EUR</t>
        </is>
      </c>
      <c r="H133" s="9" t="n">
        <v>-3012.28</v>
      </c>
      <c r="I133" s="16" t="n">
        <v>46049</v>
      </c>
      <c r="J133" s="16" t="n">
        <v>46079</v>
      </c>
      <c r="K133" s="5" t="inlineStr">
        <is>
          <t>0061/26</t>
        </is>
      </c>
      <c r="L133" s="5" t="inlineStr">
        <is>
          <t>4026000601</t>
        </is>
      </c>
      <c r="M133" s="5">
        <f>IF(YEAR(I133)&lt;=2020,"Até 2020",TEXT(YEAR(I133),"0"))</f>
        <v/>
      </c>
      <c r="N133" s="5">
        <f>IFERROR(INDEX(DePara!$A:$A,MATCH(TEXT(B133,"0"),DePara!$D:$D,0)),"(sem categoria)")</f>
        <v/>
      </c>
      <c r="O133" s="5">
        <f>IF(J133="","",Parametros!$B$6-J133)</f>
        <v/>
      </c>
      <c r="P133" s="5">
        <f>IF(O133="","",IF(O133&gt;0,1,0))</f>
        <v/>
      </c>
    </row>
    <row r="134">
      <c r="A134" s="5" t="n">
        <v>2122100000</v>
      </c>
      <c r="B134" s="5" t="inlineStr">
        <is>
          <t>IC4420</t>
        </is>
      </c>
      <c r="C134" s="5" t="inlineStr">
        <is>
          <t>NORDEX ENERGY SPAIN S A U</t>
        </is>
      </c>
      <c r="D134" s="5" t="inlineStr">
        <is>
          <t>RE</t>
        </is>
      </c>
      <c r="E134" s="5" t="n">
        <v>5003609</v>
      </c>
      <c r="F134" s="5" t="inlineStr">
        <is>
          <t>4026000826</t>
        </is>
      </c>
      <c r="G134" s="5" t="inlineStr">
        <is>
          <t>EUR</t>
        </is>
      </c>
      <c r="H134" s="9" t="n">
        <v>-161813.13</v>
      </c>
      <c r="I134" s="16" t="n">
        <v>46057</v>
      </c>
      <c r="J134" s="16" t="n">
        <v>46087</v>
      </c>
      <c r="K134" s="5" t="inlineStr">
        <is>
          <t>0054/26</t>
        </is>
      </c>
      <c r="L134" s="5" t="inlineStr">
        <is>
          <t>4026000826</t>
        </is>
      </c>
      <c r="M134" s="5">
        <f>IF(YEAR(I134)&lt;=2020,"Até 2020",TEXT(YEAR(I134),"0"))</f>
        <v/>
      </c>
      <c r="N134" s="5">
        <f>IFERROR(INDEX(DePara!$A:$A,MATCH(TEXT(B134,"0"),DePara!$D:$D,0)),"(sem categoria)")</f>
        <v/>
      </c>
      <c r="O134" s="5">
        <f>IF(J134="","",Parametros!$B$6-J134)</f>
        <v/>
      </c>
      <c r="P134" s="5">
        <f>IF(O134="","",IF(O134&gt;0,1,0))</f>
        <v/>
      </c>
    </row>
    <row r="135">
      <c r="A135" s="5" t="n">
        <v>2122100000</v>
      </c>
      <c r="B135" s="5" t="inlineStr">
        <is>
          <t>IC4420</t>
        </is>
      </c>
      <c r="C135" s="5" t="inlineStr">
        <is>
          <t>NORDEX ENERGY SPAIN S A U</t>
        </is>
      </c>
      <c r="D135" s="5" t="inlineStr">
        <is>
          <t>RE</t>
        </is>
      </c>
      <c r="E135" s="5" t="n">
        <v>5003611</v>
      </c>
      <c r="F135" s="5" t="inlineStr">
        <is>
          <t>4026000886</t>
        </is>
      </c>
      <c r="G135" s="5" t="inlineStr">
        <is>
          <t>EUR</t>
        </is>
      </c>
      <c r="H135" s="9" t="n">
        <v>-4374.57</v>
      </c>
      <c r="I135" s="16" t="n">
        <v>46058</v>
      </c>
      <c r="J135" s="16" t="n">
        <v>46088</v>
      </c>
      <c r="K135" s="5" t="inlineStr">
        <is>
          <t>0057/26</t>
        </is>
      </c>
      <c r="L135" s="5" t="inlineStr">
        <is>
          <t>4026000886</t>
        </is>
      </c>
      <c r="M135" s="5">
        <f>IF(YEAR(I135)&lt;=2020,"Até 2020",TEXT(YEAR(I135),"0"))</f>
        <v/>
      </c>
      <c r="N135" s="5">
        <f>IFERROR(INDEX(DePara!$A:$A,MATCH(TEXT(B135,"0"),DePara!$D:$D,0)),"(sem categoria)")</f>
        <v/>
      </c>
      <c r="O135" s="5">
        <f>IF(J135="","",Parametros!$B$6-J135)</f>
        <v/>
      </c>
      <c r="P135" s="5">
        <f>IF(O135="","",IF(O135&gt;0,1,0))</f>
        <v/>
      </c>
    </row>
    <row r="136">
      <c r="A136" s="5" t="n">
        <v>2122100000</v>
      </c>
      <c r="B136" s="5" t="inlineStr">
        <is>
          <t>IC4420</t>
        </is>
      </c>
      <c r="C136" s="5" t="inlineStr">
        <is>
          <t>NORDEX ENERGY SPAIN S A U</t>
        </is>
      </c>
      <c r="D136" s="5" t="inlineStr">
        <is>
          <t>RE</t>
        </is>
      </c>
      <c r="E136" s="5" t="n">
        <v>5003612</v>
      </c>
      <c r="F136" s="5" t="inlineStr">
        <is>
          <t>4025007239</t>
        </is>
      </c>
      <c r="G136" s="5" t="inlineStr">
        <is>
          <t>EUR</t>
        </is>
      </c>
      <c r="H136" s="9" t="n">
        <v>-47578.67</v>
      </c>
      <c r="I136" s="16" t="n">
        <v>45919</v>
      </c>
      <c r="J136" s="16" t="n">
        <v>45949</v>
      </c>
      <c r="K136" s="5" t="inlineStr">
        <is>
          <t>0785/25</t>
        </is>
      </c>
      <c r="L136" s="5" t="inlineStr">
        <is>
          <t>4025007239</t>
        </is>
      </c>
      <c r="M136" s="5">
        <f>IF(YEAR(I136)&lt;=2020,"Até 2020",TEXT(YEAR(I136),"0"))</f>
        <v/>
      </c>
      <c r="N136" s="5">
        <f>IFERROR(INDEX(DePara!$A:$A,MATCH(TEXT(B136,"0"),DePara!$D:$D,0)),"(sem categoria)")</f>
        <v/>
      </c>
      <c r="O136" s="5">
        <f>IF(J136="","",Parametros!$B$6-J136)</f>
        <v/>
      </c>
      <c r="P136" s="5">
        <f>IF(O136="","",IF(O136&gt;0,1,0))</f>
        <v/>
      </c>
    </row>
    <row r="137">
      <c r="A137" s="5" t="n">
        <v>2122100000</v>
      </c>
      <c r="B137" s="5" t="inlineStr">
        <is>
          <t>IC4420</t>
        </is>
      </c>
      <c r="C137" s="5" t="inlineStr">
        <is>
          <t>NORDEX ENERGY SPAIN S A U</t>
        </is>
      </c>
      <c r="D137" s="5" t="inlineStr">
        <is>
          <t>RE</t>
        </is>
      </c>
      <c r="E137" s="5" t="n">
        <v>5003613</v>
      </c>
      <c r="F137" s="5" t="inlineStr">
        <is>
          <t>4026000889</t>
        </is>
      </c>
      <c r="G137" s="5" t="inlineStr">
        <is>
          <t>EUR</t>
        </is>
      </c>
      <c r="H137" s="9" t="n">
        <v>-197719.46</v>
      </c>
      <c r="I137" s="16" t="n">
        <v>46058</v>
      </c>
      <c r="J137" s="16" t="n">
        <v>46088</v>
      </c>
      <c r="K137" s="5" t="inlineStr">
        <is>
          <t>0057/26</t>
        </is>
      </c>
      <c r="L137" s="5" t="inlineStr">
        <is>
          <t>4026000889</t>
        </is>
      </c>
      <c r="M137" s="5">
        <f>IF(YEAR(I137)&lt;=2020,"Até 2020",TEXT(YEAR(I137),"0"))</f>
        <v/>
      </c>
      <c r="N137" s="5">
        <f>IFERROR(INDEX(DePara!$A:$A,MATCH(TEXT(B137,"0"),DePara!$D:$D,0)),"(sem categoria)")</f>
        <v/>
      </c>
      <c r="O137" s="5">
        <f>IF(J137="","",Parametros!$B$6-J137)</f>
        <v/>
      </c>
      <c r="P137" s="5">
        <f>IF(O137="","",IF(O137&gt;0,1,0))</f>
        <v/>
      </c>
    </row>
    <row r="138">
      <c r="A138" s="5" t="n">
        <v>2122100000</v>
      </c>
      <c r="B138" s="5" t="inlineStr">
        <is>
          <t>IC4420</t>
        </is>
      </c>
      <c r="C138" s="5" t="inlineStr">
        <is>
          <t>NORDEX ENERGY SPAIN S A U</t>
        </is>
      </c>
      <c r="D138" s="5" t="inlineStr">
        <is>
          <t>RE</t>
        </is>
      </c>
      <c r="E138" s="5" t="n">
        <v>5003614</v>
      </c>
      <c r="F138" s="5" t="inlineStr">
        <is>
          <t>4025007230</t>
        </is>
      </c>
      <c r="G138" s="5" t="inlineStr">
        <is>
          <t>EUR</t>
        </is>
      </c>
      <c r="H138" s="9" t="n">
        <v>-123979.19</v>
      </c>
      <c r="I138" s="16" t="n">
        <v>45919</v>
      </c>
      <c r="J138" s="16" t="n">
        <v>45949</v>
      </c>
      <c r="K138" s="5" t="inlineStr">
        <is>
          <t>0785/25</t>
        </is>
      </c>
      <c r="L138" s="5" t="inlineStr">
        <is>
          <t>4025007230</t>
        </is>
      </c>
      <c r="M138" s="5">
        <f>IF(YEAR(I138)&lt;=2020,"Até 2020",TEXT(YEAR(I138),"0"))</f>
        <v/>
      </c>
      <c r="N138" s="5">
        <f>IFERROR(INDEX(DePara!$A:$A,MATCH(TEXT(B138,"0"),DePara!$D:$D,0)),"(sem categoria)")</f>
        <v/>
      </c>
      <c r="O138" s="5">
        <f>IF(J138="","",Parametros!$B$6-J138)</f>
        <v/>
      </c>
      <c r="P138" s="5">
        <f>IF(O138="","",IF(O138&gt;0,1,0))</f>
        <v/>
      </c>
    </row>
    <row r="139">
      <c r="A139" s="5" t="n">
        <v>2122100000</v>
      </c>
      <c r="B139" s="5" t="inlineStr">
        <is>
          <t>IC5000</t>
        </is>
      </c>
      <c r="C139" s="5" t="inlineStr">
        <is>
          <t>NORDEX SE</t>
        </is>
      </c>
      <c r="D139" s="5" t="inlineStr">
        <is>
          <t>KG</t>
        </is>
      </c>
      <c r="E139" s="5" t="n">
        <v>5003718</v>
      </c>
      <c r="F139" s="5" t="inlineStr">
        <is>
          <t>610399</t>
        </is>
      </c>
      <c r="G139" s="5" t="inlineStr">
        <is>
          <t>EUR</t>
        </is>
      </c>
      <c r="H139" s="9" t="n">
        <v>1462279.21</v>
      </c>
      <c r="I139" s="16" t="n">
        <v>46071</v>
      </c>
      <c r="J139" s="16" t="n">
        <v>46071</v>
      </c>
      <c r="K139" s="5" t="inlineStr">
        <is>
          <t>Nota crédito fornec. NORDEX SE 610399</t>
        </is>
      </c>
      <c r="L139" s="5" t="inlineStr">
        <is>
          <t>05032026</t>
        </is>
      </c>
      <c r="M139" s="5">
        <f>IF(YEAR(I139)&lt;=2020,"Até 2020",TEXT(YEAR(I139),"0"))</f>
        <v/>
      </c>
      <c r="N139" s="5">
        <f>IFERROR(INDEX(DePara!$A:$A,MATCH(TEXT(B139,"0"),DePara!$D:$D,0)),"(sem categoria)")</f>
        <v/>
      </c>
      <c r="O139" s="5">
        <f>IF(J139="","",Parametros!$B$6-J139)</f>
        <v/>
      </c>
      <c r="P139" s="5">
        <f>IF(O139="","",IF(O139&gt;0,1,0))</f>
        <v/>
      </c>
    </row>
    <row r="140">
      <c r="A140" s="5" t="n">
        <v>2122100000</v>
      </c>
      <c r="B140" s="5" t="inlineStr">
        <is>
          <t>IC4420</t>
        </is>
      </c>
      <c r="C140" s="5" t="inlineStr">
        <is>
          <t>NORDEX ENERGY SPAIN S A U</t>
        </is>
      </c>
      <c r="D140" s="5" t="inlineStr">
        <is>
          <t>RE</t>
        </is>
      </c>
      <c r="E140" s="5" t="n">
        <v>5003829</v>
      </c>
      <c r="F140" s="5" t="inlineStr">
        <is>
          <t>4026000542</t>
        </is>
      </c>
      <c r="G140" s="5" t="inlineStr">
        <is>
          <t>EUR</t>
        </is>
      </c>
      <c r="H140" s="9" t="n">
        <v>-115304.17</v>
      </c>
      <c r="I140" s="16" t="n">
        <v>46048</v>
      </c>
      <c r="J140" s="16" t="n">
        <v>46078</v>
      </c>
      <c r="K140" s="5" t="inlineStr">
        <is>
          <t>0047/26</t>
        </is>
      </c>
      <c r="L140" s="5" t="inlineStr">
        <is>
          <t>4026000542</t>
        </is>
      </c>
      <c r="M140" s="5">
        <f>IF(YEAR(I140)&lt;=2020,"Até 2020",TEXT(YEAR(I140),"0"))</f>
        <v/>
      </c>
      <c r="N140" s="5">
        <f>IFERROR(INDEX(DePara!$A:$A,MATCH(TEXT(B140,"0"),DePara!$D:$D,0)),"(sem categoria)")</f>
        <v/>
      </c>
      <c r="O140" s="5">
        <f>IF(J140="","",Parametros!$B$6-J140)</f>
        <v/>
      </c>
      <c r="P140" s="5">
        <f>IF(O140="","",IF(O140&gt;0,1,0))</f>
        <v/>
      </c>
    </row>
    <row r="141">
      <c r="A141" s="5" t="n">
        <v>2122100000</v>
      </c>
      <c r="B141" s="5" t="inlineStr">
        <is>
          <t>IC4420</t>
        </is>
      </c>
      <c r="C141" s="5" t="inlineStr">
        <is>
          <t>NORDEX ENERGY SPAIN S A U</t>
        </is>
      </c>
      <c r="D141" s="5" t="inlineStr">
        <is>
          <t>RE</t>
        </is>
      </c>
      <c r="E141" s="5" t="n">
        <v>5003830</v>
      </c>
      <c r="F141" s="5" t="inlineStr">
        <is>
          <t>4026000599</t>
        </is>
      </c>
      <c r="G141" s="5" t="inlineStr">
        <is>
          <t>EUR</t>
        </is>
      </c>
      <c r="H141" s="9" t="n">
        <v>-4494.87</v>
      </c>
      <c r="I141" s="16" t="n">
        <v>46049</v>
      </c>
      <c r="J141" s="16" t="n">
        <v>46079</v>
      </c>
      <c r="K141" s="5" t="inlineStr">
        <is>
          <t>0060/26</t>
        </is>
      </c>
      <c r="L141" s="5" t="inlineStr">
        <is>
          <t>4026000599</t>
        </is>
      </c>
      <c r="M141" s="5">
        <f>IF(YEAR(I141)&lt;=2020,"Até 2020",TEXT(YEAR(I141),"0"))</f>
        <v/>
      </c>
      <c r="N141" s="5">
        <f>IFERROR(INDEX(DePara!$A:$A,MATCH(TEXT(B141,"0"),DePara!$D:$D,0)),"(sem categoria)")</f>
        <v/>
      </c>
      <c r="O141" s="5">
        <f>IF(J141="","",Parametros!$B$6-J141)</f>
        <v/>
      </c>
      <c r="P141" s="5">
        <f>IF(O141="","",IF(O141&gt;0,1,0))</f>
        <v/>
      </c>
    </row>
    <row r="142">
      <c r="A142" s="5" t="n">
        <v>2122100000</v>
      </c>
      <c r="B142" s="5" t="inlineStr">
        <is>
          <t>IC4420</t>
        </is>
      </c>
      <c r="C142" s="5" t="inlineStr">
        <is>
          <t>NORDEX ENERGY SPAIN S A U</t>
        </is>
      </c>
      <c r="D142" s="5" t="inlineStr">
        <is>
          <t>RE</t>
        </is>
      </c>
      <c r="E142" s="5" t="n">
        <v>5003831</v>
      </c>
      <c r="F142" s="5" t="inlineStr">
        <is>
          <t>4026000541</t>
        </is>
      </c>
      <c r="G142" s="5" t="inlineStr">
        <is>
          <t>EUR</t>
        </is>
      </c>
      <c r="H142" s="9" t="n">
        <v>-250455.98</v>
      </c>
      <c r="I142" s="16" t="n">
        <v>46048</v>
      </c>
      <c r="J142" s="16" t="n">
        <v>46078</v>
      </c>
      <c r="K142" s="5" t="inlineStr">
        <is>
          <t>0047/26</t>
        </is>
      </c>
      <c r="L142" s="5" t="inlineStr">
        <is>
          <t>4026000541</t>
        </is>
      </c>
      <c r="M142" s="5">
        <f>IF(YEAR(I142)&lt;=2020,"Até 2020",TEXT(YEAR(I142),"0"))</f>
        <v/>
      </c>
      <c r="N142" s="5">
        <f>IFERROR(INDEX(DePara!$A:$A,MATCH(TEXT(B142,"0"),DePara!$D:$D,0)),"(sem categoria)")</f>
        <v/>
      </c>
      <c r="O142" s="5">
        <f>IF(J142="","",Parametros!$B$6-J142)</f>
        <v/>
      </c>
      <c r="P142" s="5">
        <f>IF(O142="","",IF(O142&gt;0,1,0))</f>
        <v/>
      </c>
    </row>
    <row r="143">
      <c r="A143" s="5" t="n">
        <v>2122100000</v>
      </c>
      <c r="B143" s="5" t="inlineStr">
        <is>
          <t>IC4420</t>
        </is>
      </c>
      <c r="C143" s="5" t="inlineStr">
        <is>
          <t>NORDEX ENERGY SPAIN S A U</t>
        </is>
      </c>
      <c r="D143" s="5" t="inlineStr">
        <is>
          <t>RE</t>
        </is>
      </c>
      <c r="E143" s="5" t="n">
        <v>5003832</v>
      </c>
      <c r="F143" s="5" t="inlineStr">
        <is>
          <t>4026000888</t>
        </is>
      </c>
      <c r="G143" s="5" t="inlineStr">
        <is>
          <t>EUR</t>
        </is>
      </c>
      <c r="H143" s="9" t="n">
        <v>-16899.91</v>
      </c>
      <c r="I143" s="16" t="n">
        <v>46058</v>
      </c>
      <c r="J143" s="16" t="n">
        <v>46088</v>
      </c>
      <c r="K143" s="5" t="inlineStr">
        <is>
          <t>0059/26</t>
        </is>
      </c>
      <c r="L143" s="5" t="inlineStr">
        <is>
          <t>4026000888</t>
        </is>
      </c>
      <c r="M143" s="5">
        <f>IF(YEAR(I143)&lt;=2020,"Até 2020",TEXT(YEAR(I143),"0"))</f>
        <v/>
      </c>
      <c r="N143" s="5">
        <f>IFERROR(INDEX(DePara!$A:$A,MATCH(TEXT(B143,"0"),DePara!$D:$D,0)),"(sem categoria)")</f>
        <v/>
      </c>
      <c r="O143" s="5">
        <f>IF(J143="","",Parametros!$B$6-J143)</f>
        <v/>
      </c>
      <c r="P143" s="5">
        <f>IF(O143="","",IF(O143&gt;0,1,0))</f>
        <v/>
      </c>
    </row>
    <row r="144">
      <c r="A144" s="5" t="n">
        <v>2122100000</v>
      </c>
      <c r="B144" s="5" t="inlineStr">
        <is>
          <t>IC4420</t>
        </is>
      </c>
      <c r="C144" s="5" t="inlineStr">
        <is>
          <t>NORDEX ENERGY SPAIN S A U</t>
        </is>
      </c>
      <c r="D144" s="5" t="inlineStr">
        <is>
          <t>RE</t>
        </is>
      </c>
      <c r="E144" s="5" t="n">
        <v>5003833</v>
      </c>
      <c r="F144" s="5" t="inlineStr">
        <is>
          <t>4026000887</t>
        </is>
      </c>
      <c r="G144" s="5" t="inlineStr">
        <is>
          <t>EUR</t>
        </is>
      </c>
      <c r="H144" s="9" t="n">
        <v>-29901.81</v>
      </c>
      <c r="I144" s="16" t="n">
        <v>46058</v>
      </c>
      <c r="J144" s="16" t="n">
        <v>46088</v>
      </c>
      <c r="K144" s="5" t="inlineStr">
        <is>
          <t>0059/26</t>
        </is>
      </c>
      <c r="L144" s="5" t="inlineStr">
        <is>
          <t>4026000887</t>
        </is>
      </c>
      <c r="M144" s="5">
        <f>IF(YEAR(I144)&lt;=2020,"Até 2020",TEXT(YEAR(I144),"0"))</f>
        <v/>
      </c>
      <c r="N144" s="5">
        <f>IFERROR(INDEX(DePara!$A:$A,MATCH(TEXT(B144,"0"),DePara!$D:$D,0)),"(sem categoria)")</f>
        <v/>
      </c>
      <c r="O144" s="5">
        <f>IF(J144="","",Parametros!$B$6-J144)</f>
        <v/>
      </c>
      <c r="P144" s="5">
        <f>IF(O144="","",IF(O144&gt;0,1,0))</f>
        <v/>
      </c>
    </row>
    <row r="145">
      <c r="A145" s="5" t="n">
        <v>2122100000</v>
      </c>
      <c r="B145" s="5" t="inlineStr">
        <is>
          <t>IC4420</t>
        </is>
      </c>
      <c r="C145" s="5" t="inlineStr">
        <is>
          <t>NORDEX ENERGY SPAIN S A U</t>
        </is>
      </c>
      <c r="D145" s="5" t="inlineStr">
        <is>
          <t>RE</t>
        </is>
      </c>
      <c r="E145" s="5" t="n">
        <v>5003836</v>
      </c>
      <c r="F145" s="5" t="inlineStr">
        <is>
          <t>4025007251</t>
        </is>
      </c>
      <c r="G145" s="5" t="inlineStr">
        <is>
          <t>EUR</t>
        </is>
      </c>
      <c r="H145" s="9" t="n">
        <v>-132873.25</v>
      </c>
      <c r="I145" s="16" t="n">
        <v>45919</v>
      </c>
      <c r="J145" s="16" t="n">
        <v>45949</v>
      </c>
      <c r="K145" s="5" t="inlineStr">
        <is>
          <t>0783/25</t>
        </is>
      </c>
      <c r="L145" s="5" t="inlineStr">
        <is>
          <t>4025007251</t>
        </is>
      </c>
      <c r="M145" s="5">
        <f>IF(YEAR(I145)&lt;=2020,"Até 2020",TEXT(YEAR(I145),"0"))</f>
        <v/>
      </c>
      <c r="N145" s="5">
        <f>IFERROR(INDEX(DePara!$A:$A,MATCH(TEXT(B145,"0"),DePara!$D:$D,0)),"(sem categoria)")</f>
        <v/>
      </c>
      <c r="O145" s="5">
        <f>IF(J145="","",Parametros!$B$6-J145)</f>
        <v/>
      </c>
      <c r="P145" s="5">
        <f>IF(O145="","",IF(O145&gt;0,1,0))</f>
        <v/>
      </c>
    </row>
    <row r="146">
      <c r="A146" s="5" t="n">
        <v>2122100000</v>
      </c>
      <c r="B146" s="5" t="inlineStr">
        <is>
          <t>IC4420</t>
        </is>
      </c>
      <c r="C146" s="5" t="inlineStr">
        <is>
          <t>NORDEX ENERGY SPAIN S A U</t>
        </is>
      </c>
      <c r="D146" s="5" t="inlineStr">
        <is>
          <t>RE</t>
        </is>
      </c>
      <c r="E146" s="5" t="n">
        <v>5003841</v>
      </c>
      <c r="F146" s="5" t="inlineStr">
        <is>
          <t>4026001035</t>
        </is>
      </c>
      <c r="G146" s="5" t="inlineStr">
        <is>
          <t>EUR</t>
        </is>
      </c>
      <c r="H146" s="9" t="n">
        <v>-54539.45</v>
      </c>
      <c r="I146" s="16" t="n">
        <v>46063</v>
      </c>
      <c r="J146" s="16" t="n">
        <v>46093</v>
      </c>
      <c r="K146" s="5" t="inlineStr">
        <is>
          <t>0073/26</t>
        </is>
      </c>
      <c r="L146" s="5" t="inlineStr">
        <is>
          <t>4026001035</t>
        </is>
      </c>
      <c r="M146" s="5">
        <f>IF(YEAR(I146)&lt;=2020,"Até 2020",TEXT(YEAR(I146),"0"))</f>
        <v/>
      </c>
      <c r="N146" s="5">
        <f>IFERROR(INDEX(DePara!$A:$A,MATCH(TEXT(B146,"0"),DePara!$D:$D,0)),"(sem categoria)")</f>
        <v/>
      </c>
      <c r="O146" s="5">
        <f>IF(J146="","",Parametros!$B$6-J146)</f>
        <v/>
      </c>
      <c r="P146" s="5">
        <f>IF(O146="","",IF(O146&gt;0,1,0))</f>
        <v/>
      </c>
    </row>
    <row r="147">
      <c r="A147" s="5" t="n">
        <v>2122100000</v>
      </c>
      <c r="B147" s="5" t="inlineStr">
        <is>
          <t>IC4420</t>
        </is>
      </c>
      <c r="C147" s="5" t="inlineStr">
        <is>
          <t>NORDEX ENERGY SPAIN S A U</t>
        </is>
      </c>
      <c r="D147" s="5" t="inlineStr">
        <is>
          <t>RE</t>
        </is>
      </c>
      <c r="E147" s="5" t="n">
        <v>5003842</v>
      </c>
      <c r="F147" s="5" t="inlineStr">
        <is>
          <t>4026001034</t>
        </is>
      </c>
      <c r="G147" s="5" t="inlineStr">
        <is>
          <t>EUR</t>
        </is>
      </c>
      <c r="H147" s="9" t="n">
        <v>-8645.889999999999</v>
      </c>
      <c r="I147" s="16" t="n">
        <v>46063</v>
      </c>
      <c r="J147" s="16" t="n">
        <v>46093</v>
      </c>
      <c r="K147" s="5" t="inlineStr">
        <is>
          <t>0074/26</t>
        </is>
      </c>
      <c r="L147" s="5" t="inlineStr">
        <is>
          <t>4026001034</t>
        </is>
      </c>
      <c r="M147" s="5">
        <f>IF(YEAR(I147)&lt;=2020,"Até 2020",TEXT(YEAR(I147),"0"))</f>
        <v/>
      </c>
      <c r="N147" s="5">
        <f>IFERROR(INDEX(DePara!$A:$A,MATCH(TEXT(B147,"0"),DePara!$D:$D,0)),"(sem categoria)")</f>
        <v/>
      </c>
      <c r="O147" s="5">
        <f>IF(J147="","",Parametros!$B$6-J147)</f>
        <v/>
      </c>
      <c r="P147" s="5">
        <f>IF(O147="","",IF(O147&gt;0,1,0))</f>
        <v/>
      </c>
    </row>
    <row r="148">
      <c r="A148" s="5" t="n">
        <v>2122100000</v>
      </c>
      <c r="B148" s="5" t="inlineStr">
        <is>
          <t>IC4420</t>
        </is>
      </c>
      <c r="C148" s="5" t="inlineStr">
        <is>
          <t>NORDEX ENERGY SPAIN S A U</t>
        </is>
      </c>
      <c r="D148" s="5" t="inlineStr">
        <is>
          <t>RE</t>
        </is>
      </c>
      <c r="E148" s="5" t="n">
        <v>5003850</v>
      </c>
      <c r="F148" s="5" t="inlineStr">
        <is>
          <t>4026001046</t>
        </is>
      </c>
      <c r="G148" s="5" t="inlineStr">
        <is>
          <t>EUR</t>
        </is>
      </c>
      <c r="H148" s="9" t="n">
        <v>-9935.67</v>
      </c>
      <c r="I148" s="16" t="n">
        <v>46064</v>
      </c>
      <c r="J148" s="16" t="n">
        <v>46094</v>
      </c>
      <c r="K148" s="5" t="inlineStr">
        <is>
          <t>0070/26</t>
        </is>
      </c>
      <c r="L148" s="5" t="inlineStr">
        <is>
          <t>4026001046</t>
        </is>
      </c>
      <c r="M148" s="5">
        <f>IF(YEAR(I148)&lt;=2020,"Até 2020",TEXT(YEAR(I148),"0"))</f>
        <v/>
      </c>
      <c r="N148" s="5">
        <f>IFERROR(INDEX(DePara!$A:$A,MATCH(TEXT(B148,"0"),DePara!$D:$D,0)),"(sem categoria)")</f>
        <v/>
      </c>
      <c r="O148" s="5">
        <f>IF(J148="","",Parametros!$B$6-J148)</f>
        <v/>
      </c>
      <c r="P148" s="5">
        <f>IF(O148="","",IF(O148&gt;0,1,0))</f>
        <v/>
      </c>
    </row>
    <row r="149">
      <c r="A149" s="5" t="n">
        <v>2122100000</v>
      </c>
      <c r="B149" s="5" t="inlineStr">
        <is>
          <t>IC4420</t>
        </is>
      </c>
      <c r="C149" s="5" t="inlineStr">
        <is>
          <t>NORDEX ENERGY SPAIN S A U</t>
        </is>
      </c>
      <c r="D149" s="5" t="inlineStr">
        <is>
          <t>RE</t>
        </is>
      </c>
      <c r="E149" s="5" t="n">
        <v>5003851</v>
      </c>
      <c r="F149" s="5" t="inlineStr">
        <is>
          <t>4026000927</t>
        </is>
      </c>
      <c r="G149" s="5" t="inlineStr">
        <is>
          <t>EUR</t>
        </is>
      </c>
      <c r="H149" s="9" t="n">
        <v>-40210.4</v>
      </c>
      <c r="I149" s="16" t="n">
        <v>46059</v>
      </c>
      <c r="J149" s="16" t="n">
        <v>46089</v>
      </c>
      <c r="K149" s="5" t="inlineStr">
        <is>
          <t>0067/26</t>
        </is>
      </c>
      <c r="L149" s="5" t="inlineStr">
        <is>
          <t>4026000927</t>
        </is>
      </c>
      <c r="M149" s="5">
        <f>IF(YEAR(I149)&lt;=2020,"Até 2020",TEXT(YEAR(I149),"0"))</f>
        <v/>
      </c>
      <c r="N149" s="5">
        <f>IFERROR(INDEX(DePara!$A:$A,MATCH(TEXT(B149,"0"),DePara!$D:$D,0)),"(sem categoria)")</f>
        <v/>
      </c>
      <c r="O149" s="5">
        <f>IF(J149="","",Parametros!$B$6-J149)</f>
        <v/>
      </c>
      <c r="P149" s="5">
        <f>IF(O149="","",IF(O149&gt;0,1,0))</f>
        <v/>
      </c>
    </row>
    <row r="150">
      <c r="A150" s="5" t="n">
        <v>2122100000</v>
      </c>
      <c r="B150" s="5" t="inlineStr">
        <is>
          <t>IC4420</t>
        </is>
      </c>
      <c r="C150" s="5" t="inlineStr">
        <is>
          <t>NORDEX ENERGY SPAIN S A U</t>
        </is>
      </c>
      <c r="D150" s="5" t="inlineStr">
        <is>
          <t>KR</t>
        </is>
      </c>
      <c r="E150" s="5" t="n">
        <v>5003866</v>
      </c>
      <c r="F150" s="5" t="inlineStr">
        <is>
          <t>4025000404</t>
        </is>
      </c>
      <c r="G150" s="5" t="inlineStr">
        <is>
          <t>EUR</t>
        </is>
      </c>
      <c r="H150" s="9" t="n">
        <v>-375156.6</v>
      </c>
      <c r="I150" s="16" t="n">
        <v>45677</v>
      </c>
      <c r="J150" s="16" t="n">
        <v>45707</v>
      </c>
      <c r="K150" s="5" t="inlineStr">
        <is>
          <t>Vendor Invoice NORDEX ENERGY SPAIN S A U 402500040</t>
        </is>
      </c>
      <c r="L150" s="5" t="n"/>
      <c r="M150" s="5">
        <f>IF(YEAR(I150)&lt;=2020,"Até 2020",TEXT(YEAR(I150),"0"))</f>
        <v/>
      </c>
      <c r="N150" s="5">
        <f>IFERROR(INDEX(DePara!$A:$A,MATCH(TEXT(B150,"0"),DePara!$D:$D,0)),"(sem categoria)")</f>
        <v/>
      </c>
      <c r="O150" s="5">
        <f>IF(J150="","",Parametros!$B$6-J150)</f>
        <v/>
      </c>
      <c r="P150" s="5">
        <f>IF(O150="","",IF(O150&gt;0,1,0))</f>
        <v/>
      </c>
    </row>
    <row r="151">
      <c r="A151" s="5" t="n">
        <v>2122100000</v>
      </c>
      <c r="B151" s="5" t="inlineStr">
        <is>
          <t>IC4420</t>
        </is>
      </c>
      <c r="C151" s="5" t="inlineStr">
        <is>
          <t>NORDEX ENERGY SPAIN S A U</t>
        </is>
      </c>
      <c r="D151" s="5" t="inlineStr">
        <is>
          <t>RE</t>
        </is>
      </c>
      <c r="E151" s="5" t="n">
        <v>5003913</v>
      </c>
      <c r="F151" s="5" t="inlineStr">
        <is>
          <t>4026000821</t>
        </is>
      </c>
      <c r="G151" s="5" t="inlineStr">
        <is>
          <t>EUR</t>
        </is>
      </c>
      <c r="H151" s="9" t="n">
        <v>-6135.55</v>
      </c>
      <c r="I151" s="16" t="n">
        <v>46057</v>
      </c>
      <c r="J151" s="16" t="n">
        <v>46087</v>
      </c>
      <c r="K151" s="5" t="inlineStr">
        <is>
          <t>0066/26</t>
        </is>
      </c>
      <c r="L151" s="5" t="inlineStr">
        <is>
          <t>4026000821</t>
        </is>
      </c>
      <c r="M151" s="5">
        <f>IF(YEAR(I151)&lt;=2020,"Até 2020",TEXT(YEAR(I151),"0"))</f>
        <v/>
      </c>
      <c r="N151" s="5">
        <f>IFERROR(INDEX(DePara!$A:$A,MATCH(TEXT(B151,"0"),DePara!$D:$D,0)),"(sem categoria)")</f>
        <v/>
      </c>
      <c r="O151" s="5">
        <f>IF(J151="","",Parametros!$B$6-J151)</f>
        <v/>
      </c>
      <c r="P151" s="5">
        <f>IF(O151="","",IF(O151&gt;0,1,0))</f>
        <v/>
      </c>
    </row>
    <row r="152">
      <c r="A152" s="5" t="n">
        <v>2122100000</v>
      </c>
      <c r="B152" s="5" t="inlineStr">
        <is>
          <t>IC4420</t>
        </is>
      </c>
      <c r="C152" s="5" t="inlineStr">
        <is>
          <t>NORDEX ENERGY SPAIN S A U</t>
        </is>
      </c>
      <c r="D152" s="5" t="inlineStr">
        <is>
          <t>RE</t>
        </is>
      </c>
      <c r="E152" s="5" t="n">
        <v>5003914</v>
      </c>
      <c r="F152" s="5" t="inlineStr">
        <is>
          <t>4026000692</t>
        </is>
      </c>
      <c r="G152" s="5" t="inlineStr">
        <is>
          <t>EUR</t>
        </is>
      </c>
      <c r="H152" s="9" t="n">
        <v>-105225.4</v>
      </c>
      <c r="I152" s="16" t="n">
        <v>46051</v>
      </c>
      <c r="J152" s="16" t="n">
        <v>46081</v>
      </c>
      <c r="K152" s="5" t="inlineStr">
        <is>
          <t>0050/26</t>
        </is>
      </c>
      <c r="L152" s="5" t="inlineStr">
        <is>
          <t>4026000692</t>
        </is>
      </c>
      <c r="M152" s="5">
        <f>IF(YEAR(I152)&lt;=2020,"Até 2020",TEXT(YEAR(I152),"0"))</f>
        <v/>
      </c>
      <c r="N152" s="5">
        <f>IFERROR(INDEX(DePara!$A:$A,MATCH(TEXT(B152,"0"),DePara!$D:$D,0)),"(sem categoria)")</f>
        <v/>
      </c>
      <c r="O152" s="5">
        <f>IF(J152="","",Parametros!$B$6-J152)</f>
        <v/>
      </c>
      <c r="P152" s="5">
        <f>IF(O152="","",IF(O152&gt;0,1,0))</f>
        <v/>
      </c>
    </row>
    <row r="153">
      <c r="A153" s="5" t="n">
        <v>2122100000</v>
      </c>
      <c r="B153" s="5" t="inlineStr">
        <is>
          <t>IC4420</t>
        </is>
      </c>
      <c r="C153" s="5" t="inlineStr">
        <is>
          <t>NORDEX ENERGY SPAIN S A U</t>
        </is>
      </c>
      <c r="D153" s="5" t="inlineStr">
        <is>
          <t>RE</t>
        </is>
      </c>
      <c r="E153" s="5" t="n">
        <v>5003917</v>
      </c>
      <c r="F153" s="5" t="inlineStr">
        <is>
          <t>4026001019</t>
        </is>
      </c>
      <c r="G153" s="5" t="inlineStr">
        <is>
          <t>EUR</t>
        </is>
      </c>
      <c r="H153" s="9" t="n">
        <v>-24564.89</v>
      </c>
      <c r="I153" s="16" t="n">
        <v>46063</v>
      </c>
      <c r="J153" s="16" t="n">
        <v>46093</v>
      </c>
      <c r="K153" s="5" t="inlineStr">
        <is>
          <t>0072/26</t>
        </is>
      </c>
      <c r="L153" s="5" t="inlineStr">
        <is>
          <t>4026001019</t>
        </is>
      </c>
      <c r="M153" s="5">
        <f>IF(YEAR(I153)&lt;=2020,"Até 2020",TEXT(YEAR(I153),"0"))</f>
        <v/>
      </c>
      <c r="N153" s="5">
        <f>IFERROR(INDEX(DePara!$A:$A,MATCH(TEXT(B153,"0"),DePara!$D:$D,0)),"(sem categoria)")</f>
        <v/>
      </c>
      <c r="O153" s="5">
        <f>IF(J153="","",Parametros!$B$6-J153)</f>
        <v/>
      </c>
      <c r="P153" s="5">
        <f>IF(O153="","",IF(O153&gt;0,1,0))</f>
        <v/>
      </c>
    </row>
    <row r="154">
      <c r="A154" s="5" t="n">
        <v>2122100000</v>
      </c>
      <c r="B154" s="5" t="inlineStr">
        <is>
          <t>IC4420</t>
        </is>
      </c>
      <c r="C154" s="5" t="inlineStr">
        <is>
          <t>NORDEX ENERGY SPAIN S A U</t>
        </is>
      </c>
      <c r="D154" s="5" t="inlineStr">
        <is>
          <t>RE</t>
        </is>
      </c>
      <c r="E154" s="5" t="n">
        <v>5004021</v>
      </c>
      <c r="F154" s="5" t="inlineStr">
        <is>
          <t>4026000602</t>
        </is>
      </c>
      <c r="G154" s="5" t="inlineStr">
        <is>
          <t>EUR</t>
        </is>
      </c>
      <c r="H154" s="9" t="n">
        <v>-177.66</v>
      </c>
      <c r="I154" s="16" t="n">
        <v>46049</v>
      </c>
      <c r="J154" s="16" t="n">
        <v>46079</v>
      </c>
      <c r="K154" s="5" t="inlineStr">
        <is>
          <t>0062/26</t>
        </is>
      </c>
      <c r="L154" s="5" t="inlineStr">
        <is>
          <t>4026000602</t>
        </is>
      </c>
      <c r="M154" s="5">
        <f>IF(YEAR(I154)&lt;=2020,"Até 2020",TEXT(YEAR(I154),"0"))</f>
        <v/>
      </c>
      <c r="N154" s="5">
        <f>IFERROR(INDEX(DePara!$A:$A,MATCH(TEXT(B154,"0"),DePara!$D:$D,0)),"(sem categoria)")</f>
        <v/>
      </c>
      <c r="O154" s="5">
        <f>IF(J154="","",Parametros!$B$6-J154)</f>
        <v/>
      </c>
      <c r="P154" s="5">
        <f>IF(O154="","",IF(O154&gt;0,1,0))</f>
        <v/>
      </c>
    </row>
    <row r="155">
      <c r="A155" s="5" t="n">
        <v>2122100000</v>
      </c>
      <c r="B155" s="5" t="inlineStr">
        <is>
          <t>IC1000</t>
        </is>
      </c>
      <c r="C155" s="5" t="inlineStr">
        <is>
          <t>NORDEX ENERGY SE &amp; CO KG</t>
        </is>
      </c>
      <c r="D155" s="5" t="inlineStr">
        <is>
          <t>RE</t>
        </is>
      </c>
      <c r="E155" s="5" t="n">
        <v>5004078</v>
      </c>
      <c r="F155" s="5" t="inlineStr">
        <is>
          <t>4012425230</t>
        </is>
      </c>
      <c r="G155" s="5" t="inlineStr">
        <is>
          <t>EUR</t>
        </is>
      </c>
      <c r="H155" s="9" t="n">
        <v>-872812.03</v>
      </c>
      <c r="I155" s="16" t="n">
        <v>45637</v>
      </c>
      <c r="J155" s="16" t="n">
        <v>45667</v>
      </c>
      <c r="K155" s="5" t="inlineStr">
        <is>
          <t>1132/24</t>
        </is>
      </c>
      <c r="L155" s="5" t="inlineStr">
        <is>
          <t>4012425230</t>
        </is>
      </c>
      <c r="M155" s="5">
        <f>IF(YEAR(I155)&lt;=2020,"Até 2020",TEXT(YEAR(I155),"0"))</f>
        <v/>
      </c>
      <c r="N155" s="5">
        <f>IFERROR(INDEX(DePara!$A:$A,MATCH(TEXT(B155,"0"),DePara!$D:$D,0)),"(sem categoria)")</f>
        <v/>
      </c>
      <c r="O155" s="5">
        <f>IF(J155="","",Parametros!$B$6-J155)</f>
        <v/>
      </c>
      <c r="P155" s="5">
        <f>IF(O155="","",IF(O155&gt;0,1,0))</f>
        <v/>
      </c>
    </row>
    <row r="156">
      <c r="A156" s="5" t="n">
        <v>2122100000</v>
      </c>
      <c r="B156" s="5" t="inlineStr">
        <is>
          <t>IC1000</t>
        </is>
      </c>
      <c r="C156" s="5" t="inlineStr">
        <is>
          <t>NORDEX ENERGY SE &amp; CO KG</t>
        </is>
      </c>
      <c r="D156" s="5" t="inlineStr">
        <is>
          <t>RE</t>
        </is>
      </c>
      <c r="E156" s="5" t="n">
        <v>5004194</v>
      </c>
      <c r="F156" s="5" t="inlineStr">
        <is>
          <t>314841</t>
        </is>
      </c>
      <c r="G156" s="5" t="inlineStr">
        <is>
          <t>EUR</t>
        </is>
      </c>
      <c r="H156" s="9" t="n">
        <v>-1260599.92</v>
      </c>
      <c r="I156" s="16" t="n">
        <v>45593</v>
      </c>
      <c r="J156" s="16" t="n">
        <v>45623</v>
      </c>
      <c r="K156" s="5" t="inlineStr">
        <is>
          <t>1102/24</t>
        </is>
      </c>
      <c r="L156" s="5" t="inlineStr">
        <is>
          <t>314841</t>
        </is>
      </c>
      <c r="M156" s="5">
        <f>IF(YEAR(I156)&lt;=2020,"Até 2020",TEXT(YEAR(I156),"0"))</f>
        <v/>
      </c>
      <c r="N156" s="5">
        <f>IFERROR(INDEX(DePara!$A:$A,MATCH(TEXT(B156,"0"),DePara!$D:$D,0)),"(sem categoria)")</f>
        <v/>
      </c>
      <c r="O156" s="5">
        <f>IF(J156="","",Parametros!$B$6-J156)</f>
        <v/>
      </c>
      <c r="P156" s="5">
        <f>IF(O156="","",IF(O156&gt;0,1,0))</f>
        <v/>
      </c>
    </row>
    <row r="157">
      <c r="A157" s="5" t="n">
        <v>2122100000</v>
      </c>
      <c r="B157" s="5" t="inlineStr">
        <is>
          <t>IC4420</t>
        </is>
      </c>
      <c r="C157" s="5" t="inlineStr">
        <is>
          <t>NORDEX ENERGY SPAIN S A U</t>
        </is>
      </c>
      <c r="D157" s="5" t="inlineStr">
        <is>
          <t>RE</t>
        </is>
      </c>
      <c r="E157" s="5" t="n">
        <v>5004202</v>
      </c>
      <c r="F157" s="5" t="inlineStr">
        <is>
          <t>4026000447</t>
        </is>
      </c>
      <c r="G157" s="5" t="inlineStr">
        <is>
          <t>EUR</t>
        </is>
      </c>
      <c r="H157" s="9" t="n">
        <v>-200808.83</v>
      </c>
      <c r="I157" s="16" t="n">
        <v>46043</v>
      </c>
      <c r="J157" s="16" t="n">
        <v>46073</v>
      </c>
      <c r="K157" s="5" t="inlineStr">
        <is>
          <t>0043/26</t>
        </is>
      </c>
      <c r="L157" s="5" t="inlineStr">
        <is>
          <t>4026000447</t>
        </is>
      </c>
      <c r="M157" s="5">
        <f>IF(YEAR(I157)&lt;=2020,"Até 2020",TEXT(YEAR(I157),"0"))</f>
        <v/>
      </c>
      <c r="N157" s="5">
        <f>IFERROR(INDEX(DePara!$A:$A,MATCH(TEXT(B157,"0"),DePara!$D:$D,0)),"(sem categoria)")</f>
        <v/>
      </c>
      <c r="O157" s="5">
        <f>IF(J157="","",Parametros!$B$6-J157)</f>
        <v/>
      </c>
      <c r="P157" s="5">
        <f>IF(O157="","",IF(O157&gt;0,1,0))</f>
        <v/>
      </c>
    </row>
    <row r="158">
      <c r="A158" s="5" t="n">
        <v>2122100000</v>
      </c>
      <c r="B158" s="5" t="inlineStr">
        <is>
          <t>IC4420</t>
        </is>
      </c>
      <c r="C158" s="5" t="inlineStr">
        <is>
          <t>NORDEX ENERGY SPAIN S A U</t>
        </is>
      </c>
      <c r="D158" s="5" t="inlineStr">
        <is>
          <t>RE</t>
        </is>
      </c>
      <c r="E158" s="5" t="n">
        <v>5004203</v>
      </c>
      <c r="F158" s="5" t="inlineStr">
        <is>
          <t>4026000885</t>
        </is>
      </c>
      <c r="G158" s="5" t="inlineStr">
        <is>
          <t>EUR</t>
        </is>
      </c>
      <c r="H158" s="9" t="n">
        <v>-44785.21</v>
      </c>
      <c r="I158" s="16" t="n">
        <v>46058</v>
      </c>
      <c r="J158" s="16" t="n">
        <v>46088</v>
      </c>
      <c r="K158" s="5" t="inlineStr">
        <is>
          <t>0058/26</t>
        </is>
      </c>
      <c r="L158" s="5" t="inlineStr">
        <is>
          <t>4026000885</t>
        </is>
      </c>
      <c r="M158" s="5">
        <f>IF(YEAR(I158)&lt;=2020,"Até 2020",TEXT(YEAR(I158),"0"))</f>
        <v/>
      </c>
      <c r="N158" s="5">
        <f>IFERROR(INDEX(DePara!$A:$A,MATCH(TEXT(B158,"0"),DePara!$D:$D,0)),"(sem categoria)")</f>
        <v/>
      </c>
      <c r="O158" s="5">
        <f>IF(J158="","",Parametros!$B$6-J158)</f>
        <v/>
      </c>
      <c r="P158" s="5">
        <f>IF(O158="","",IF(O158&gt;0,1,0))</f>
        <v/>
      </c>
    </row>
    <row r="159">
      <c r="A159" s="5" t="n">
        <v>2122100000</v>
      </c>
      <c r="B159" s="5" t="inlineStr">
        <is>
          <t>IC1000</t>
        </is>
      </c>
      <c r="C159" s="5" t="inlineStr">
        <is>
          <t>NORDEX ENERGY SE &amp; CO KG</t>
        </is>
      </c>
      <c r="D159" s="5" t="inlineStr">
        <is>
          <t>KR</t>
        </is>
      </c>
      <c r="E159" s="5" t="n">
        <v>5004214</v>
      </c>
      <c r="F159" s="5" t="inlineStr">
        <is>
          <t>6188993</t>
        </is>
      </c>
      <c r="G159" s="5" t="inlineStr">
        <is>
          <t>EUR</t>
        </is>
      </c>
      <c r="H159" s="9" t="n">
        <v>-13397231.29</v>
      </c>
      <c r="I159" s="16" t="n">
        <v>45316</v>
      </c>
      <c r="J159" s="16" t="n">
        <v>45346</v>
      </c>
      <c r="K159" s="5" t="inlineStr">
        <is>
          <t>Fatura do fornecedor NORDEX ENERGY SE &amp; CO. KG 618</t>
        </is>
      </c>
      <c r="L159" s="5" t="n"/>
      <c r="M159" s="5">
        <f>IF(YEAR(I159)&lt;=2020,"Até 2020",TEXT(YEAR(I159),"0"))</f>
        <v/>
      </c>
      <c r="N159" s="5">
        <f>IFERROR(INDEX(DePara!$A:$A,MATCH(TEXT(B159,"0"),DePara!$D:$D,0)),"(sem categoria)")</f>
        <v/>
      </c>
      <c r="O159" s="5">
        <f>IF(J159="","",Parametros!$B$6-J159)</f>
        <v/>
      </c>
      <c r="P159" s="5">
        <f>IF(O159="","",IF(O159&gt;0,1,0))</f>
        <v/>
      </c>
    </row>
    <row r="160">
      <c r="A160" s="5" t="n">
        <v>2122100000</v>
      </c>
      <c r="B160" s="5" t="inlineStr">
        <is>
          <t>IC4420</t>
        </is>
      </c>
      <c r="C160" s="5" t="inlineStr">
        <is>
          <t>NORDEX ENERGY SPAIN S A U</t>
        </is>
      </c>
      <c r="D160" s="5" t="inlineStr">
        <is>
          <t>RE</t>
        </is>
      </c>
      <c r="E160" s="5" t="n">
        <v>5004224</v>
      </c>
      <c r="F160" s="5" t="inlineStr">
        <is>
          <t>4026000827</t>
        </is>
      </c>
      <c r="G160" s="5" t="inlineStr">
        <is>
          <t>EUR</t>
        </is>
      </c>
      <c r="H160" s="9" t="n">
        <v>-14.19</v>
      </c>
      <c r="I160" s="16" t="n">
        <v>46026</v>
      </c>
      <c r="J160" s="16" t="n">
        <v>46056</v>
      </c>
      <c r="K160" s="5" t="inlineStr">
        <is>
          <t>0053/26</t>
        </is>
      </c>
      <c r="L160" s="5" t="inlineStr">
        <is>
          <t>4026000827</t>
        </is>
      </c>
      <c r="M160" s="5">
        <f>IF(YEAR(I160)&lt;=2020,"Até 2020",TEXT(YEAR(I160),"0"))</f>
        <v/>
      </c>
      <c r="N160" s="5">
        <f>IFERROR(INDEX(DePara!$A:$A,MATCH(TEXT(B160,"0"),DePara!$D:$D,0)),"(sem categoria)")</f>
        <v/>
      </c>
      <c r="O160" s="5">
        <f>IF(J160="","",Parametros!$B$6-J160)</f>
        <v/>
      </c>
      <c r="P160" s="5">
        <f>IF(O160="","",IF(O160&gt;0,1,0))</f>
        <v/>
      </c>
    </row>
    <row r="161">
      <c r="A161" s="5" t="n">
        <v>2122100000</v>
      </c>
      <c r="B161" s="5" t="inlineStr">
        <is>
          <t>IC4420</t>
        </is>
      </c>
      <c r="C161" s="5" t="inlineStr">
        <is>
          <t>NORDEX ENERGY SPAIN S A U</t>
        </is>
      </c>
      <c r="D161" s="5" t="inlineStr">
        <is>
          <t>RE</t>
        </is>
      </c>
      <c r="E161" s="5" t="n">
        <v>5004249</v>
      </c>
      <c r="F161" s="5" t="inlineStr">
        <is>
          <t>4026000020</t>
        </is>
      </c>
      <c r="G161" s="5" t="inlineStr">
        <is>
          <t>EUR</t>
        </is>
      </c>
      <c r="H161" s="9" t="n">
        <v>-1357459.62</v>
      </c>
      <c r="I161" s="16" t="n">
        <v>46024</v>
      </c>
      <c r="J161" s="16" t="n">
        <v>46054</v>
      </c>
      <c r="K161" s="5" t="inlineStr">
        <is>
          <t>0013/26</t>
        </is>
      </c>
      <c r="L161" s="5" t="inlineStr">
        <is>
          <t>4026000020</t>
        </is>
      </c>
      <c r="M161" s="5">
        <f>IF(YEAR(I161)&lt;=2020,"Até 2020",TEXT(YEAR(I161),"0"))</f>
        <v/>
      </c>
      <c r="N161" s="5">
        <f>IFERROR(INDEX(DePara!$A:$A,MATCH(TEXT(B161,"0"),DePara!$D:$D,0)),"(sem categoria)")</f>
        <v/>
      </c>
      <c r="O161" s="5">
        <f>IF(J161="","",Parametros!$B$6-J161)</f>
        <v/>
      </c>
      <c r="P161" s="5">
        <f>IF(O161="","",IF(O161&gt;0,1,0))</f>
        <v/>
      </c>
    </row>
    <row r="162">
      <c r="A162" s="5" t="n">
        <v>2122100000</v>
      </c>
      <c r="B162" s="5" t="inlineStr">
        <is>
          <t>IC4420</t>
        </is>
      </c>
      <c r="C162" s="5" t="inlineStr">
        <is>
          <t>NORDEX ENERGY SPAIN S A U</t>
        </is>
      </c>
      <c r="D162" s="5" t="inlineStr">
        <is>
          <t>RE</t>
        </is>
      </c>
      <c r="E162" s="5" t="n">
        <v>5004250</v>
      </c>
      <c r="F162" s="5" t="inlineStr">
        <is>
          <t>4018000051</t>
        </is>
      </c>
      <c r="G162" s="5" t="inlineStr">
        <is>
          <t>EUR</t>
        </is>
      </c>
      <c r="H162" s="9" t="n">
        <v>-85718.63</v>
      </c>
      <c r="I162" s="16" t="n">
        <v>46080</v>
      </c>
      <c r="J162" s="16" t="n">
        <v>46110</v>
      </c>
      <c r="K162" s="5" t="inlineStr">
        <is>
          <t>0104/26</t>
        </is>
      </c>
      <c r="L162" s="5" t="inlineStr">
        <is>
          <t>4018000051</t>
        </is>
      </c>
      <c r="M162" s="5">
        <f>IF(YEAR(I162)&lt;=2020,"Até 2020",TEXT(YEAR(I162),"0"))</f>
        <v/>
      </c>
      <c r="N162" s="5">
        <f>IFERROR(INDEX(DePara!$A:$A,MATCH(TEXT(B162,"0"),DePara!$D:$D,0)),"(sem categoria)")</f>
        <v/>
      </c>
      <c r="O162" s="5">
        <f>IF(J162="","",Parametros!$B$6-J162)</f>
        <v/>
      </c>
      <c r="P162" s="5">
        <f>IF(O162="","",IF(O162&gt;0,1,0))</f>
        <v/>
      </c>
    </row>
    <row r="163">
      <c r="A163" s="5" t="n">
        <v>2122100000</v>
      </c>
      <c r="B163" s="5" t="inlineStr">
        <is>
          <t>IC4420</t>
        </is>
      </c>
      <c r="C163" s="5" t="inlineStr">
        <is>
          <t>NORDEX ENERGY SPAIN S A U</t>
        </is>
      </c>
      <c r="D163" s="5" t="inlineStr">
        <is>
          <t>RE</t>
        </is>
      </c>
      <c r="E163" s="5" t="n">
        <v>5004268</v>
      </c>
      <c r="F163" s="5" t="inlineStr">
        <is>
          <t>4025009235</t>
        </is>
      </c>
      <c r="G163" s="5" t="inlineStr">
        <is>
          <t>EUR</t>
        </is>
      </c>
      <c r="H163" s="9" t="n">
        <v>-247651.34</v>
      </c>
      <c r="I163" s="16" t="n">
        <v>45989</v>
      </c>
      <c r="J163" s="16" t="n">
        <v>46019</v>
      </c>
      <c r="K163" s="5" t="inlineStr">
        <is>
          <t>0909/25</t>
        </is>
      </c>
      <c r="L163" s="5" t="inlineStr">
        <is>
          <t>4025009235</t>
        </is>
      </c>
      <c r="M163" s="5">
        <f>IF(YEAR(I163)&lt;=2020,"Até 2020",TEXT(YEAR(I163),"0"))</f>
        <v/>
      </c>
      <c r="N163" s="5">
        <f>IFERROR(INDEX(DePara!$A:$A,MATCH(TEXT(B163,"0"),DePara!$D:$D,0)),"(sem categoria)")</f>
        <v/>
      </c>
      <c r="O163" s="5">
        <f>IF(J163="","",Parametros!$B$6-J163)</f>
        <v/>
      </c>
      <c r="P163" s="5">
        <f>IF(O163="","",IF(O163&gt;0,1,0))</f>
        <v/>
      </c>
    </row>
    <row r="164">
      <c r="A164" s="5" t="n">
        <v>2122100000</v>
      </c>
      <c r="B164" s="5" t="inlineStr">
        <is>
          <t>IC4420</t>
        </is>
      </c>
      <c r="C164" s="5" t="inlineStr">
        <is>
          <t>NORDEX ENERGY SPAIN S A U</t>
        </is>
      </c>
      <c r="D164" s="5" t="inlineStr">
        <is>
          <t>RE</t>
        </is>
      </c>
      <c r="E164" s="5" t="n">
        <v>5004269</v>
      </c>
      <c r="F164" s="5" t="inlineStr">
        <is>
          <t>4025009688</t>
        </is>
      </c>
      <c r="G164" s="5" t="inlineStr">
        <is>
          <t>EUR</t>
        </is>
      </c>
      <c r="H164" s="9" t="n">
        <v>-834364.1</v>
      </c>
      <c r="I164" s="16" t="n">
        <v>46006</v>
      </c>
      <c r="J164" s="16" t="n">
        <v>46036</v>
      </c>
      <c r="K164" s="5" t="inlineStr">
        <is>
          <t>0933/25</t>
        </is>
      </c>
      <c r="L164" s="5" t="inlineStr">
        <is>
          <t>4025009688</t>
        </is>
      </c>
      <c r="M164" s="5">
        <f>IF(YEAR(I164)&lt;=2020,"Até 2020",TEXT(YEAR(I164),"0"))</f>
        <v/>
      </c>
      <c r="N164" s="5">
        <f>IFERROR(INDEX(DePara!$A:$A,MATCH(TEXT(B164,"0"),DePara!$D:$D,0)),"(sem categoria)")</f>
        <v/>
      </c>
      <c r="O164" s="5">
        <f>IF(J164="","",Parametros!$B$6-J164)</f>
        <v/>
      </c>
      <c r="P164" s="5">
        <f>IF(O164="","",IF(O164&gt;0,1,0))</f>
        <v/>
      </c>
    </row>
    <row r="165">
      <c r="A165" s="5" t="n">
        <v>2122100000</v>
      </c>
      <c r="B165" s="5" t="inlineStr">
        <is>
          <t>IC4420</t>
        </is>
      </c>
      <c r="C165" s="5" t="inlineStr">
        <is>
          <t>NORDEX ENERGY SPAIN S A U</t>
        </is>
      </c>
      <c r="D165" s="5" t="inlineStr">
        <is>
          <t>RE</t>
        </is>
      </c>
      <c r="E165" s="5" t="n">
        <v>5004270</v>
      </c>
      <c r="F165" s="5" t="inlineStr">
        <is>
          <t>4025009236</t>
        </is>
      </c>
      <c r="G165" s="5" t="inlineStr">
        <is>
          <t>EUR</t>
        </is>
      </c>
      <c r="H165" s="9" t="n">
        <v>-247651.34</v>
      </c>
      <c r="I165" s="16" t="n">
        <v>45989</v>
      </c>
      <c r="J165" s="16" t="n">
        <v>46019</v>
      </c>
      <c r="K165" s="5" t="inlineStr">
        <is>
          <t>0909/25</t>
        </is>
      </c>
      <c r="L165" s="5" t="inlineStr">
        <is>
          <t>4025009236</t>
        </is>
      </c>
      <c r="M165" s="5">
        <f>IF(YEAR(I165)&lt;=2020,"Até 2020",TEXT(YEAR(I165),"0"))</f>
        <v/>
      </c>
      <c r="N165" s="5">
        <f>IFERROR(INDEX(DePara!$A:$A,MATCH(TEXT(B165,"0"),DePara!$D:$D,0)),"(sem categoria)")</f>
        <v/>
      </c>
      <c r="O165" s="5">
        <f>IF(J165="","",Parametros!$B$6-J165)</f>
        <v/>
      </c>
      <c r="P165" s="5">
        <f>IF(O165="","",IF(O165&gt;0,1,0))</f>
        <v/>
      </c>
    </row>
    <row r="166">
      <c r="A166" s="5" t="n">
        <v>2122100000</v>
      </c>
      <c r="B166" s="5" t="inlineStr">
        <is>
          <t>IC4420</t>
        </is>
      </c>
      <c r="C166" s="5" t="inlineStr">
        <is>
          <t>NORDEX ENERGY SPAIN S A U</t>
        </is>
      </c>
      <c r="D166" s="5" t="inlineStr">
        <is>
          <t>RE</t>
        </is>
      </c>
      <c r="E166" s="5" t="n">
        <v>5004272</v>
      </c>
      <c r="F166" s="5" t="inlineStr">
        <is>
          <t>4025009234</t>
        </is>
      </c>
      <c r="G166" s="5" t="inlineStr">
        <is>
          <t>EUR</t>
        </is>
      </c>
      <c r="H166" s="9" t="n">
        <v>-247651.34</v>
      </c>
      <c r="I166" s="16" t="n">
        <v>45989</v>
      </c>
      <c r="J166" s="16" t="n">
        <v>46019</v>
      </c>
      <c r="K166" s="5" t="inlineStr">
        <is>
          <t>0909/25</t>
        </is>
      </c>
      <c r="L166" s="5" t="inlineStr">
        <is>
          <t>4025009234</t>
        </is>
      </c>
      <c r="M166" s="5">
        <f>IF(YEAR(I166)&lt;=2020,"Até 2020",TEXT(YEAR(I166),"0"))</f>
        <v/>
      </c>
      <c r="N166" s="5">
        <f>IFERROR(INDEX(DePara!$A:$A,MATCH(TEXT(B166,"0"),DePara!$D:$D,0)),"(sem categoria)")</f>
        <v/>
      </c>
      <c r="O166" s="5">
        <f>IF(J166="","",Parametros!$B$6-J166)</f>
        <v/>
      </c>
      <c r="P166" s="5">
        <f>IF(O166="","",IF(O166&gt;0,1,0))</f>
        <v/>
      </c>
    </row>
    <row r="167">
      <c r="A167" s="5" t="n">
        <v>2122100000</v>
      </c>
      <c r="B167" s="5" t="inlineStr">
        <is>
          <t>IC4420</t>
        </is>
      </c>
      <c r="C167" s="5" t="inlineStr">
        <is>
          <t>NORDEX ENERGY SPAIN S A U</t>
        </is>
      </c>
      <c r="D167" s="5" t="inlineStr">
        <is>
          <t>RE</t>
        </is>
      </c>
      <c r="E167" s="5" t="n">
        <v>5004310</v>
      </c>
      <c r="F167" s="5" t="inlineStr">
        <is>
          <t>4025008994</t>
        </is>
      </c>
      <c r="G167" s="5" t="inlineStr">
        <is>
          <t>EUR</t>
        </is>
      </c>
      <c r="H167" s="9" t="n">
        <v>-1319.03</v>
      </c>
      <c r="I167" s="16" t="n">
        <v>45981</v>
      </c>
      <c r="J167" s="16" t="n">
        <v>46011</v>
      </c>
      <c r="K167" s="5" t="inlineStr">
        <is>
          <t>0879/25</t>
        </is>
      </c>
      <c r="L167" s="5" t="inlineStr">
        <is>
          <t>4025008994</t>
        </is>
      </c>
      <c r="M167" s="5">
        <f>IF(YEAR(I167)&lt;=2020,"Até 2020",TEXT(YEAR(I167),"0"))</f>
        <v/>
      </c>
      <c r="N167" s="5">
        <f>IFERROR(INDEX(DePara!$A:$A,MATCH(TEXT(B167,"0"),DePara!$D:$D,0)),"(sem categoria)")</f>
        <v/>
      </c>
      <c r="O167" s="5">
        <f>IF(J167="","",Parametros!$B$6-J167)</f>
        <v/>
      </c>
      <c r="P167" s="5">
        <f>IF(O167="","",IF(O167&gt;0,1,0))</f>
        <v/>
      </c>
    </row>
    <row r="168">
      <c r="A168" s="5" t="n">
        <v>2122100000</v>
      </c>
      <c r="B168" s="5" t="inlineStr">
        <is>
          <t>IC1000</t>
        </is>
      </c>
      <c r="C168" s="5" t="inlineStr">
        <is>
          <t>NORDEX ENERGY SE &amp; CO KG</t>
        </is>
      </c>
      <c r="D168" s="5" t="inlineStr">
        <is>
          <t>RE</t>
        </is>
      </c>
      <c r="E168" s="5" t="n">
        <v>5004456</v>
      </c>
      <c r="F168" s="5" t="inlineStr">
        <is>
          <t>318774</t>
        </is>
      </c>
      <c r="G168" s="5" t="inlineStr">
        <is>
          <t>EUR</t>
        </is>
      </c>
      <c r="H168" s="9" t="n">
        <v>-5030.61</v>
      </c>
      <c r="I168" s="16" t="n">
        <v>45636</v>
      </c>
      <c r="J168" s="16" t="n">
        <v>45666</v>
      </c>
      <c r="K168" s="5" t="inlineStr">
        <is>
          <t>1153/24</t>
        </is>
      </c>
      <c r="L168" s="5" t="inlineStr">
        <is>
          <t>318774</t>
        </is>
      </c>
      <c r="M168" s="5">
        <f>IF(YEAR(I168)&lt;=2020,"Até 2020",TEXT(YEAR(I168),"0"))</f>
        <v/>
      </c>
      <c r="N168" s="5">
        <f>IFERROR(INDEX(DePara!$A:$A,MATCH(TEXT(B168,"0"),DePara!$D:$D,0)),"(sem categoria)")</f>
        <v/>
      </c>
      <c r="O168" s="5">
        <f>IF(J168="","",Parametros!$B$6-J168)</f>
        <v/>
      </c>
      <c r="P168" s="5">
        <f>IF(O168="","",IF(O168&gt;0,1,0))</f>
        <v/>
      </c>
    </row>
    <row r="169">
      <c r="A169" s="5" t="n">
        <v>2122100000</v>
      </c>
      <c r="B169" s="5" t="inlineStr">
        <is>
          <t>IC1000</t>
        </is>
      </c>
      <c r="C169" s="5" t="inlineStr">
        <is>
          <t>NORDEX ENERGY SE &amp; CO KG</t>
        </is>
      </c>
      <c r="D169" s="5" t="inlineStr">
        <is>
          <t>RE</t>
        </is>
      </c>
      <c r="E169" s="5" t="n">
        <v>5004463</v>
      </c>
      <c r="F169" s="5" t="inlineStr">
        <is>
          <t>322024</t>
        </is>
      </c>
      <c r="G169" s="5" t="inlineStr">
        <is>
          <t>EUR</t>
        </is>
      </c>
      <c r="H169" s="9" t="n">
        <v>-28189.61</v>
      </c>
      <c r="I169" s="16" t="n">
        <v>45643</v>
      </c>
      <c r="J169" s="16" t="n">
        <v>45673</v>
      </c>
      <c r="K169" s="5" t="inlineStr">
        <is>
          <t>1168/24</t>
        </is>
      </c>
      <c r="L169" s="5" t="inlineStr">
        <is>
          <t>322024</t>
        </is>
      </c>
      <c r="M169" s="5">
        <f>IF(YEAR(I169)&lt;=2020,"Até 2020",TEXT(YEAR(I169),"0"))</f>
        <v/>
      </c>
      <c r="N169" s="5">
        <f>IFERROR(INDEX(DePara!$A:$A,MATCH(TEXT(B169,"0"),DePara!$D:$D,0)),"(sem categoria)")</f>
        <v/>
      </c>
      <c r="O169" s="5">
        <f>IF(J169="","",Parametros!$B$6-J169)</f>
        <v/>
      </c>
      <c r="P169" s="5">
        <f>IF(O169="","",IF(O169&gt;0,1,0))</f>
        <v/>
      </c>
    </row>
    <row r="170">
      <c r="A170" s="5" t="n">
        <v>2122100000</v>
      </c>
      <c r="B170" s="5" t="inlineStr">
        <is>
          <t>IC4420</t>
        </is>
      </c>
      <c r="C170" s="5" t="inlineStr">
        <is>
          <t>NORDEX ENERGY SPAIN S A U</t>
        </is>
      </c>
      <c r="D170" s="5" t="inlineStr">
        <is>
          <t>RE</t>
        </is>
      </c>
      <c r="E170" s="5" t="n">
        <v>5004486</v>
      </c>
      <c r="F170" s="5" t="inlineStr">
        <is>
          <t>4025009054</t>
        </is>
      </c>
      <c r="G170" s="5" t="inlineStr">
        <is>
          <t>EUR</t>
        </is>
      </c>
      <c r="H170" s="9" t="n">
        <v>-1095159.26</v>
      </c>
      <c r="I170" s="16" t="n">
        <v>45986</v>
      </c>
      <c r="J170" s="16" t="n">
        <v>46016</v>
      </c>
      <c r="K170" s="5" t="inlineStr">
        <is>
          <t>0854/25</t>
        </is>
      </c>
      <c r="L170" s="5" t="inlineStr">
        <is>
          <t>4025009054</t>
        </is>
      </c>
      <c r="M170" s="5">
        <f>IF(YEAR(I170)&lt;=2020,"Até 2020",TEXT(YEAR(I170),"0"))</f>
        <v/>
      </c>
      <c r="N170" s="5">
        <f>IFERROR(INDEX(DePara!$A:$A,MATCH(TEXT(B170,"0"),DePara!$D:$D,0)),"(sem categoria)")</f>
        <v/>
      </c>
      <c r="O170" s="5">
        <f>IF(J170="","",Parametros!$B$6-J170)</f>
        <v/>
      </c>
      <c r="P170" s="5">
        <f>IF(O170="","",IF(O170&gt;0,1,0))</f>
        <v/>
      </c>
    </row>
    <row r="171">
      <c r="A171" s="5" t="n">
        <v>2122100000</v>
      </c>
      <c r="B171" s="5" t="inlineStr">
        <is>
          <t>IC4420</t>
        </is>
      </c>
      <c r="C171" s="5" t="inlineStr">
        <is>
          <t>NORDEX ENERGY SPAIN S A U</t>
        </is>
      </c>
      <c r="D171" s="5" t="inlineStr">
        <is>
          <t>RE</t>
        </is>
      </c>
      <c r="E171" s="5" t="n">
        <v>5004487</v>
      </c>
      <c r="F171" s="5" t="inlineStr">
        <is>
          <t>4025009255</t>
        </is>
      </c>
      <c r="G171" s="5" t="inlineStr">
        <is>
          <t>EUR</t>
        </is>
      </c>
      <c r="H171" s="9" t="n">
        <v>-247651.34</v>
      </c>
      <c r="I171" s="16" t="n">
        <v>45989</v>
      </c>
      <c r="J171" s="16" t="n">
        <v>46019</v>
      </c>
      <c r="K171" s="5" t="inlineStr">
        <is>
          <t>0913/25</t>
        </is>
      </c>
      <c r="L171" s="5" t="inlineStr">
        <is>
          <t>4025009255</t>
        </is>
      </c>
      <c r="M171" s="5">
        <f>IF(YEAR(I171)&lt;=2020,"Até 2020",TEXT(YEAR(I171),"0"))</f>
        <v/>
      </c>
      <c r="N171" s="5">
        <f>IFERROR(INDEX(DePara!$A:$A,MATCH(TEXT(B171,"0"),DePara!$D:$D,0)),"(sem categoria)")</f>
        <v/>
      </c>
      <c r="O171" s="5">
        <f>IF(J171="","",Parametros!$B$6-J171)</f>
        <v/>
      </c>
      <c r="P171" s="5">
        <f>IF(O171="","",IF(O171&gt;0,1,0))</f>
        <v/>
      </c>
    </row>
    <row r="172">
      <c r="A172" s="5" t="n">
        <v>2122100000</v>
      </c>
      <c r="B172" s="5" t="inlineStr">
        <is>
          <t>IC4420</t>
        </is>
      </c>
      <c r="C172" s="5" t="inlineStr">
        <is>
          <t>NORDEX ENERGY SPAIN S A U</t>
        </is>
      </c>
      <c r="D172" s="5" t="inlineStr">
        <is>
          <t>RE</t>
        </is>
      </c>
      <c r="E172" s="5" t="n">
        <v>5004488</v>
      </c>
      <c r="F172" s="5" t="inlineStr">
        <is>
          <t>4025009257</t>
        </is>
      </c>
      <c r="G172" s="5" t="inlineStr">
        <is>
          <t>EUR</t>
        </is>
      </c>
      <c r="H172" s="9" t="n">
        <v>-247651.34</v>
      </c>
      <c r="I172" s="16" t="n">
        <v>45989</v>
      </c>
      <c r="J172" s="16" t="n">
        <v>46019</v>
      </c>
      <c r="K172" s="5" t="inlineStr">
        <is>
          <t>0913/25</t>
        </is>
      </c>
      <c r="L172" s="5" t="inlineStr">
        <is>
          <t>4025009257</t>
        </is>
      </c>
      <c r="M172" s="5">
        <f>IF(YEAR(I172)&lt;=2020,"Até 2020",TEXT(YEAR(I172),"0"))</f>
        <v/>
      </c>
      <c r="N172" s="5">
        <f>IFERROR(INDEX(DePara!$A:$A,MATCH(TEXT(B172,"0"),DePara!$D:$D,0)),"(sem categoria)")</f>
        <v/>
      </c>
      <c r="O172" s="5">
        <f>IF(J172="","",Parametros!$B$6-J172)</f>
        <v/>
      </c>
      <c r="P172" s="5">
        <f>IF(O172="","",IF(O172&gt;0,1,0))</f>
        <v/>
      </c>
    </row>
    <row r="173">
      <c r="A173" s="5" t="n">
        <v>2122100000</v>
      </c>
      <c r="B173" s="5" t="inlineStr">
        <is>
          <t>IC4420</t>
        </is>
      </c>
      <c r="C173" s="5" t="inlineStr">
        <is>
          <t>NORDEX ENERGY SPAIN S A U</t>
        </is>
      </c>
      <c r="D173" s="5" t="inlineStr">
        <is>
          <t>RE</t>
        </is>
      </c>
      <c r="E173" s="5" t="n">
        <v>5004489</v>
      </c>
      <c r="F173" s="5" t="inlineStr">
        <is>
          <t>4025009158</t>
        </is>
      </c>
      <c r="G173" s="5" t="inlineStr">
        <is>
          <t>EUR</t>
        </is>
      </c>
      <c r="H173" s="9" t="n">
        <v>-6458310.44</v>
      </c>
      <c r="I173" s="16" t="n">
        <v>45988</v>
      </c>
      <c r="J173" s="16" t="n">
        <v>46018</v>
      </c>
      <c r="K173" s="5" t="inlineStr">
        <is>
          <t>0857/25</t>
        </is>
      </c>
      <c r="L173" s="5" t="inlineStr">
        <is>
          <t>4025009158</t>
        </is>
      </c>
      <c r="M173" s="5">
        <f>IF(YEAR(I173)&lt;=2020,"Até 2020",TEXT(YEAR(I173),"0"))</f>
        <v/>
      </c>
      <c r="N173" s="5">
        <f>IFERROR(INDEX(DePara!$A:$A,MATCH(TEXT(B173,"0"),DePara!$D:$D,0)),"(sem categoria)")</f>
        <v/>
      </c>
      <c r="O173" s="5">
        <f>IF(J173="","",Parametros!$B$6-J173)</f>
        <v/>
      </c>
      <c r="P173" s="5">
        <f>IF(O173="","",IF(O173&gt;0,1,0))</f>
        <v/>
      </c>
    </row>
    <row r="174">
      <c r="A174" s="5" t="n">
        <v>2122100000</v>
      </c>
      <c r="B174" s="5" t="inlineStr">
        <is>
          <t>IC4420</t>
        </is>
      </c>
      <c r="C174" s="5" t="inlineStr">
        <is>
          <t>NORDEX ENERGY SPAIN S A U</t>
        </is>
      </c>
      <c r="D174" s="5" t="inlineStr">
        <is>
          <t>RE</t>
        </is>
      </c>
      <c r="E174" s="5" t="n">
        <v>5004495</v>
      </c>
      <c r="F174" s="5" t="inlineStr">
        <is>
          <t>4025009256</t>
        </is>
      </c>
      <c r="G174" s="5" t="inlineStr">
        <is>
          <t>EUR</t>
        </is>
      </c>
      <c r="H174" s="9" t="n">
        <v>-247651.34</v>
      </c>
      <c r="I174" s="16" t="n">
        <v>45989</v>
      </c>
      <c r="J174" s="16" t="n">
        <v>46019</v>
      </c>
      <c r="K174" s="5" t="inlineStr">
        <is>
          <t>0913/25</t>
        </is>
      </c>
      <c r="L174" s="5" t="inlineStr">
        <is>
          <t>4025009256</t>
        </is>
      </c>
      <c r="M174" s="5">
        <f>IF(YEAR(I174)&lt;=2020,"Até 2020",TEXT(YEAR(I174),"0"))</f>
        <v/>
      </c>
      <c r="N174" s="5">
        <f>IFERROR(INDEX(DePara!$A:$A,MATCH(TEXT(B174,"0"),DePara!$D:$D,0)),"(sem categoria)")</f>
        <v/>
      </c>
      <c r="O174" s="5">
        <f>IF(J174="","",Parametros!$B$6-J174)</f>
        <v/>
      </c>
      <c r="P174" s="5">
        <f>IF(O174="","",IF(O174&gt;0,1,0))</f>
        <v/>
      </c>
    </row>
    <row r="175">
      <c r="A175" s="5" t="n">
        <v>2122100000</v>
      </c>
      <c r="B175" s="5" t="inlineStr">
        <is>
          <t>IC4420</t>
        </is>
      </c>
      <c r="C175" s="5" t="inlineStr">
        <is>
          <t>NORDEX ENERGY SPAIN S A U</t>
        </is>
      </c>
      <c r="D175" s="5" t="inlineStr">
        <is>
          <t>RE</t>
        </is>
      </c>
      <c r="E175" s="5" t="n">
        <v>5004663</v>
      </c>
      <c r="F175" s="5" t="inlineStr">
        <is>
          <t>4026001199</t>
        </is>
      </c>
      <c r="G175" s="5" t="inlineStr">
        <is>
          <t>EUR</t>
        </is>
      </c>
      <c r="H175" s="9" t="n">
        <v>-16058.2</v>
      </c>
      <c r="I175" s="16" t="n">
        <v>46072</v>
      </c>
      <c r="J175" s="16" t="n">
        <v>46102</v>
      </c>
      <c r="K175" s="5" t="inlineStr">
        <is>
          <t>0081/26</t>
        </is>
      </c>
      <c r="L175" s="5" t="inlineStr">
        <is>
          <t>4026001199</t>
        </is>
      </c>
      <c r="M175" s="5">
        <f>IF(YEAR(I175)&lt;=2020,"Até 2020",TEXT(YEAR(I175),"0"))</f>
        <v/>
      </c>
      <c r="N175" s="5">
        <f>IFERROR(INDEX(DePara!$A:$A,MATCH(TEXT(B175,"0"),DePara!$D:$D,0)),"(sem categoria)")</f>
        <v/>
      </c>
      <c r="O175" s="5">
        <f>IF(J175="","",Parametros!$B$6-J175)</f>
        <v/>
      </c>
      <c r="P175" s="5">
        <f>IF(O175="","",IF(O175&gt;0,1,0))</f>
        <v/>
      </c>
    </row>
    <row r="176">
      <c r="A176" s="5" t="n">
        <v>2122100000</v>
      </c>
      <c r="B176" s="5" t="inlineStr">
        <is>
          <t>IC4420</t>
        </is>
      </c>
      <c r="C176" s="5" t="inlineStr">
        <is>
          <t>NORDEX ENERGY SPAIN S A U</t>
        </is>
      </c>
      <c r="D176" s="5" t="inlineStr">
        <is>
          <t>RE</t>
        </is>
      </c>
      <c r="E176" s="5" t="n">
        <v>5004664</v>
      </c>
      <c r="F176" s="5" t="inlineStr">
        <is>
          <t>4026001243</t>
        </is>
      </c>
      <c r="G176" s="5" t="inlineStr">
        <is>
          <t>EUR</t>
        </is>
      </c>
      <c r="H176" s="9" t="n">
        <v>-8292.09</v>
      </c>
      <c r="I176" s="16" t="n">
        <v>46073</v>
      </c>
      <c r="J176" s="16" t="n">
        <v>46103</v>
      </c>
      <c r="K176" s="5" t="inlineStr">
        <is>
          <t>0086/26</t>
        </is>
      </c>
      <c r="L176" s="5" t="inlineStr">
        <is>
          <t>4026001243</t>
        </is>
      </c>
      <c r="M176" s="5">
        <f>IF(YEAR(I176)&lt;=2020,"Até 2020",TEXT(YEAR(I176),"0"))</f>
        <v/>
      </c>
      <c r="N176" s="5">
        <f>IFERROR(INDEX(DePara!$A:$A,MATCH(TEXT(B176,"0"),DePara!$D:$D,0)),"(sem categoria)")</f>
        <v/>
      </c>
      <c r="O176" s="5">
        <f>IF(J176="","",Parametros!$B$6-J176)</f>
        <v/>
      </c>
      <c r="P176" s="5">
        <f>IF(O176="","",IF(O176&gt;0,1,0))</f>
        <v/>
      </c>
    </row>
    <row r="177">
      <c r="A177" s="5" t="n">
        <v>2122100000</v>
      </c>
      <c r="B177" s="5" t="inlineStr">
        <is>
          <t>IC4420</t>
        </is>
      </c>
      <c r="C177" s="5" t="inlineStr">
        <is>
          <t>NORDEX ENERGY SPAIN S A U</t>
        </is>
      </c>
      <c r="D177" s="5" t="inlineStr">
        <is>
          <t>RE</t>
        </is>
      </c>
      <c r="E177" s="5" t="n">
        <v>5004675</v>
      </c>
      <c r="F177" s="5" t="inlineStr">
        <is>
          <t>4026000813</t>
        </is>
      </c>
      <c r="G177" s="5" t="inlineStr">
        <is>
          <t>EUR</t>
        </is>
      </c>
      <c r="H177" s="9" t="n">
        <v>-1727.62</v>
      </c>
      <c r="I177" s="16" t="n">
        <v>46056</v>
      </c>
      <c r="J177" s="16" t="n">
        <v>46086</v>
      </c>
      <c r="K177" s="5" t="inlineStr">
        <is>
          <t>0069/26</t>
        </is>
      </c>
      <c r="L177" s="5" t="inlineStr">
        <is>
          <t>4026000813</t>
        </is>
      </c>
      <c r="M177" s="5">
        <f>IF(YEAR(I177)&lt;=2020,"Até 2020",TEXT(YEAR(I177),"0"))</f>
        <v/>
      </c>
      <c r="N177" s="5">
        <f>IFERROR(INDEX(DePara!$A:$A,MATCH(TEXT(B177,"0"),DePara!$D:$D,0)),"(sem categoria)")</f>
        <v/>
      </c>
      <c r="O177" s="5">
        <f>IF(J177="","",Parametros!$B$6-J177)</f>
        <v/>
      </c>
      <c r="P177" s="5">
        <f>IF(O177="","",IF(O177&gt;0,1,0))</f>
        <v/>
      </c>
    </row>
    <row r="178">
      <c r="A178" s="5" t="n">
        <v>2122100000</v>
      </c>
      <c r="B178" s="5" t="inlineStr">
        <is>
          <t>IC4420</t>
        </is>
      </c>
      <c r="C178" s="5" t="inlineStr">
        <is>
          <t>NORDEX ENERGY SPAIN S A U</t>
        </is>
      </c>
      <c r="D178" s="5" t="inlineStr">
        <is>
          <t>RE</t>
        </is>
      </c>
      <c r="E178" s="5" t="n">
        <v>5004676</v>
      </c>
      <c r="F178" s="5" t="inlineStr">
        <is>
          <t>4018000028</t>
        </is>
      </c>
      <c r="G178" s="5" t="inlineStr">
        <is>
          <t>EUR</t>
        </is>
      </c>
      <c r="H178" s="9" t="n">
        <v>-43005.84</v>
      </c>
      <c r="I178" s="16" t="n">
        <v>46058</v>
      </c>
      <c r="J178" s="16" t="n">
        <v>46088</v>
      </c>
      <c r="K178" s="5" t="inlineStr">
        <is>
          <t>0065/26</t>
        </is>
      </c>
      <c r="L178" s="5" t="inlineStr">
        <is>
          <t>4018000028</t>
        </is>
      </c>
      <c r="M178" s="5">
        <f>IF(YEAR(I178)&lt;=2020,"Até 2020",TEXT(YEAR(I178),"0"))</f>
        <v/>
      </c>
      <c r="N178" s="5">
        <f>IFERROR(INDEX(DePara!$A:$A,MATCH(TEXT(B178,"0"),DePara!$D:$D,0)),"(sem categoria)")</f>
        <v/>
      </c>
      <c r="O178" s="5">
        <f>IF(J178="","",Parametros!$B$6-J178)</f>
        <v/>
      </c>
      <c r="P178" s="5">
        <f>IF(O178="","",IF(O178&gt;0,1,0))</f>
        <v/>
      </c>
    </row>
    <row r="179">
      <c r="A179" s="5" t="n">
        <v>2122100000</v>
      </c>
      <c r="B179" s="5" t="inlineStr">
        <is>
          <t>IC4420</t>
        </is>
      </c>
      <c r="C179" s="5" t="inlineStr">
        <is>
          <t>NORDEX ENERGY SPAIN S A U</t>
        </is>
      </c>
      <c r="D179" s="5" t="inlineStr">
        <is>
          <t>RE</t>
        </is>
      </c>
      <c r="E179" s="5" t="n">
        <v>5004685</v>
      </c>
      <c r="F179" s="5" t="inlineStr">
        <is>
          <t>4025008984</t>
        </is>
      </c>
      <c r="G179" s="5" t="inlineStr">
        <is>
          <t>EUR</t>
        </is>
      </c>
      <c r="H179" s="9" t="n">
        <v>-42624.19</v>
      </c>
      <c r="I179" s="16" t="n">
        <v>45981</v>
      </c>
      <c r="J179" s="16" t="n">
        <v>46011</v>
      </c>
      <c r="K179" s="5" t="inlineStr">
        <is>
          <t>0873/25</t>
        </is>
      </c>
      <c r="L179" s="5" t="inlineStr">
        <is>
          <t>4025008984</t>
        </is>
      </c>
      <c r="M179" s="5">
        <f>IF(YEAR(I179)&lt;=2020,"Até 2020",TEXT(YEAR(I179),"0"))</f>
        <v/>
      </c>
      <c r="N179" s="5">
        <f>IFERROR(INDEX(DePara!$A:$A,MATCH(TEXT(B179,"0"),DePara!$D:$D,0)),"(sem categoria)")</f>
        <v/>
      </c>
      <c r="O179" s="5">
        <f>IF(J179="","",Parametros!$B$6-J179)</f>
        <v/>
      </c>
      <c r="P179" s="5">
        <f>IF(O179="","",IF(O179&gt;0,1,0))</f>
        <v/>
      </c>
    </row>
    <row r="180">
      <c r="A180" s="5" t="n">
        <v>2122100000</v>
      </c>
      <c r="B180" s="5" t="inlineStr">
        <is>
          <t>IC4420</t>
        </is>
      </c>
      <c r="C180" s="5" t="inlineStr">
        <is>
          <t>NORDEX ENERGY SPAIN S A U</t>
        </is>
      </c>
      <c r="D180" s="5" t="inlineStr">
        <is>
          <t>RE</t>
        </is>
      </c>
      <c r="E180" s="5" t="n">
        <v>5004686</v>
      </c>
      <c r="F180" s="5" t="inlineStr">
        <is>
          <t>4026000814</t>
        </is>
      </c>
      <c r="G180" s="5" t="inlineStr">
        <is>
          <t>EUR</t>
        </is>
      </c>
      <c r="H180" s="9" t="n">
        <v>-903.78</v>
      </c>
      <c r="I180" s="16" t="n">
        <v>46056</v>
      </c>
      <c r="J180" s="16" t="n">
        <v>46086</v>
      </c>
      <c r="K180" s="5" t="inlineStr">
        <is>
          <t>0071/26</t>
        </is>
      </c>
      <c r="L180" s="5" t="inlineStr">
        <is>
          <t>4026000814</t>
        </is>
      </c>
      <c r="M180" s="5">
        <f>IF(YEAR(I180)&lt;=2020,"Até 2020",TEXT(YEAR(I180),"0"))</f>
        <v/>
      </c>
      <c r="N180" s="5">
        <f>IFERROR(INDEX(DePara!$A:$A,MATCH(TEXT(B180,"0"),DePara!$D:$D,0)),"(sem categoria)")</f>
        <v/>
      </c>
      <c r="O180" s="5">
        <f>IF(J180="","",Parametros!$B$6-J180)</f>
        <v/>
      </c>
      <c r="P180" s="5">
        <f>IF(O180="","",IF(O180&gt;0,1,0))</f>
        <v/>
      </c>
    </row>
    <row r="181">
      <c r="A181" s="5" t="n">
        <v>2122100000</v>
      </c>
      <c r="B181" s="5" t="inlineStr">
        <is>
          <t>IC4420</t>
        </is>
      </c>
      <c r="C181" s="5" t="inlineStr">
        <is>
          <t>NORDEX ENERGY SPAIN S A U</t>
        </is>
      </c>
      <c r="D181" s="5" t="inlineStr">
        <is>
          <t>RE</t>
        </is>
      </c>
      <c r="E181" s="5" t="n">
        <v>5004789</v>
      </c>
      <c r="F181" s="5" t="inlineStr">
        <is>
          <t>4026001241</t>
        </is>
      </c>
      <c r="G181" s="5" t="inlineStr">
        <is>
          <t>EUR</t>
        </is>
      </c>
      <c r="H181" s="9" t="n">
        <v>-46922.45</v>
      </c>
      <c r="I181" s="16" t="n">
        <v>46073</v>
      </c>
      <c r="J181" s="16" t="n">
        <v>46103</v>
      </c>
      <c r="K181" s="5" t="inlineStr">
        <is>
          <t>0084/26</t>
        </is>
      </c>
      <c r="L181" s="5" t="inlineStr">
        <is>
          <t>4026001241</t>
        </is>
      </c>
      <c r="M181" s="5">
        <f>IF(YEAR(I181)&lt;=2020,"Até 2020",TEXT(YEAR(I181),"0"))</f>
        <v/>
      </c>
      <c r="N181" s="5">
        <f>IFERROR(INDEX(DePara!$A:$A,MATCH(TEXT(B181,"0"),DePara!$D:$D,0)),"(sem categoria)")</f>
        <v/>
      </c>
      <c r="O181" s="5">
        <f>IF(J181="","",Parametros!$B$6-J181)</f>
        <v/>
      </c>
      <c r="P181" s="5">
        <f>IF(O181="","",IF(O181&gt;0,1,0))</f>
        <v/>
      </c>
    </row>
    <row r="182">
      <c r="A182" s="5" t="n">
        <v>2122100000</v>
      </c>
      <c r="B182" s="5" t="inlineStr">
        <is>
          <t>IC4420</t>
        </is>
      </c>
      <c r="C182" s="5" t="inlineStr">
        <is>
          <t>NORDEX ENERGY SPAIN S A U</t>
        </is>
      </c>
      <c r="D182" s="5" t="inlineStr">
        <is>
          <t>RE</t>
        </is>
      </c>
      <c r="E182" s="5" t="n">
        <v>5004790</v>
      </c>
      <c r="F182" s="5" t="inlineStr">
        <is>
          <t>4026001245</t>
        </is>
      </c>
      <c r="G182" s="5" t="inlineStr">
        <is>
          <t>EUR</t>
        </is>
      </c>
      <c r="H182" s="9" t="n">
        <v>-8621.940000000001</v>
      </c>
      <c r="I182" s="16" t="n">
        <v>46073</v>
      </c>
      <c r="J182" s="16" t="n">
        <v>46103</v>
      </c>
      <c r="K182" s="5" t="inlineStr">
        <is>
          <t>0087/26</t>
        </is>
      </c>
      <c r="L182" s="5" t="inlineStr">
        <is>
          <t>4026001245</t>
        </is>
      </c>
      <c r="M182" s="5">
        <f>IF(YEAR(I182)&lt;=2020,"Até 2020",TEXT(YEAR(I182),"0"))</f>
        <v/>
      </c>
      <c r="N182" s="5">
        <f>IFERROR(INDEX(DePara!$A:$A,MATCH(TEXT(B182,"0"),DePara!$D:$D,0)),"(sem categoria)")</f>
        <v/>
      </c>
      <c r="O182" s="5">
        <f>IF(J182="","",Parametros!$B$6-J182)</f>
        <v/>
      </c>
      <c r="P182" s="5">
        <f>IF(O182="","",IF(O182&gt;0,1,0))</f>
        <v/>
      </c>
    </row>
    <row r="183">
      <c r="A183" s="5" t="n">
        <v>2122100000</v>
      </c>
      <c r="B183" s="5" t="inlineStr">
        <is>
          <t>IC4420</t>
        </is>
      </c>
      <c r="C183" s="5" t="inlineStr">
        <is>
          <t>NORDEX ENERGY SPAIN S A U</t>
        </is>
      </c>
      <c r="D183" s="5" t="inlineStr">
        <is>
          <t>RE</t>
        </is>
      </c>
      <c r="E183" s="5" t="n">
        <v>5004791</v>
      </c>
      <c r="F183" s="5" t="inlineStr">
        <is>
          <t>4026000443</t>
        </is>
      </c>
      <c r="G183" s="5" t="inlineStr">
        <is>
          <t>EUR</t>
        </is>
      </c>
      <c r="H183" s="9" t="n">
        <v>-21620.59</v>
      </c>
      <c r="I183" s="16" t="n">
        <v>46043</v>
      </c>
      <c r="J183" s="16" t="n">
        <v>46073</v>
      </c>
      <c r="K183" s="5" t="inlineStr">
        <is>
          <t>0038/26</t>
        </is>
      </c>
      <c r="L183" s="5" t="inlineStr">
        <is>
          <t>4026000443</t>
        </is>
      </c>
      <c r="M183" s="5">
        <f>IF(YEAR(I183)&lt;=2020,"Até 2020",TEXT(YEAR(I183),"0"))</f>
        <v/>
      </c>
      <c r="N183" s="5">
        <f>IFERROR(INDEX(DePara!$A:$A,MATCH(TEXT(B183,"0"),DePara!$D:$D,0)),"(sem categoria)")</f>
        <v/>
      </c>
      <c r="O183" s="5">
        <f>IF(J183="","",Parametros!$B$6-J183)</f>
        <v/>
      </c>
      <c r="P183" s="5">
        <f>IF(O183="","",IF(O183&gt;0,1,0))</f>
        <v/>
      </c>
    </row>
    <row r="184">
      <c r="A184" s="5" t="n">
        <v>2122100000</v>
      </c>
      <c r="B184" s="5" t="inlineStr">
        <is>
          <t>IC4420</t>
        </is>
      </c>
      <c r="C184" s="5" t="inlineStr">
        <is>
          <t>NORDEX ENERGY SPAIN S A U</t>
        </is>
      </c>
      <c r="D184" s="5" t="inlineStr">
        <is>
          <t>RE</t>
        </is>
      </c>
      <c r="E184" s="5" t="n">
        <v>5004792</v>
      </c>
      <c r="F184" s="5" t="inlineStr">
        <is>
          <t>4026001579</t>
        </is>
      </c>
      <c r="G184" s="5" t="inlineStr">
        <is>
          <t>EUR</t>
        </is>
      </c>
      <c r="H184" s="9" t="n">
        <v>-10199.02</v>
      </c>
      <c r="I184" s="16" t="n">
        <v>46085</v>
      </c>
      <c r="J184" s="16" t="n">
        <v>46115</v>
      </c>
      <c r="K184" s="5" t="inlineStr">
        <is>
          <t>0119/26</t>
        </is>
      </c>
      <c r="L184" s="5" t="inlineStr">
        <is>
          <t>4026001579</t>
        </is>
      </c>
      <c r="M184" s="5">
        <f>IF(YEAR(I184)&lt;=2020,"Até 2020",TEXT(YEAR(I184),"0"))</f>
        <v/>
      </c>
      <c r="N184" s="5">
        <f>IFERROR(INDEX(DePara!$A:$A,MATCH(TEXT(B184,"0"),DePara!$D:$D,0)),"(sem categoria)")</f>
        <v/>
      </c>
      <c r="O184" s="5">
        <f>IF(J184="","",Parametros!$B$6-J184)</f>
        <v/>
      </c>
      <c r="P184" s="5">
        <f>IF(O184="","",IF(O184&gt;0,1,0))</f>
        <v/>
      </c>
    </row>
    <row r="185">
      <c r="A185" s="5" t="n">
        <v>2122100000</v>
      </c>
      <c r="B185" s="5" t="inlineStr">
        <is>
          <t>IC4420</t>
        </is>
      </c>
      <c r="C185" s="5" t="inlineStr">
        <is>
          <t>NORDEX ENERGY SPAIN S A U</t>
        </is>
      </c>
      <c r="D185" s="5" t="inlineStr">
        <is>
          <t>RE</t>
        </is>
      </c>
      <c r="E185" s="5" t="n">
        <v>5004793</v>
      </c>
      <c r="F185" s="5" t="inlineStr">
        <is>
          <t>4025008979</t>
        </is>
      </c>
      <c r="G185" s="5" t="inlineStr">
        <is>
          <t>EUR</t>
        </is>
      </c>
      <c r="H185" s="9" t="n">
        <v>-2694.77</v>
      </c>
      <c r="I185" s="16" t="n">
        <v>45981</v>
      </c>
      <c r="J185" s="16" t="n">
        <v>46011</v>
      </c>
      <c r="K185" s="5" t="inlineStr">
        <is>
          <t>0876/25</t>
        </is>
      </c>
      <c r="L185" s="5" t="inlineStr">
        <is>
          <t>4025008979</t>
        </is>
      </c>
      <c r="M185" s="5">
        <f>IF(YEAR(I185)&lt;=2020,"Até 2020",TEXT(YEAR(I185),"0"))</f>
        <v/>
      </c>
      <c r="N185" s="5">
        <f>IFERROR(INDEX(DePara!$A:$A,MATCH(TEXT(B185,"0"),DePara!$D:$D,0)),"(sem categoria)")</f>
        <v/>
      </c>
      <c r="O185" s="5">
        <f>IF(J185="","",Parametros!$B$6-J185)</f>
        <v/>
      </c>
      <c r="P185" s="5">
        <f>IF(O185="","",IF(O185&gt;0,1,0))</f>
        <v/>
      </c>
    </row>
    <row r="186">
      <c r="A186" s="5" t="n">
        <v>2122100000</v>
      </c>
      <c r="B186" s="5" t="inlineStr">
        <is>
          <t>IC4420</t>
        </is>
      </c>
      <c r="C186" s="5" t="inlineStr">
        <is>
          <t>NORDEX ENERGY SPAIN S A U</t>
        </is>
      </c>
      <c r="D186" s="5" t="inlineStr">
        <is>
          <t>RE</t>
        </is>
      </c>
      <c r="E186" s="5" t="n">
        <v>5004794</v>
      </c>
      <c r="F186" s="5" t="inlineStr">
        <is>
          <t>4026001244</t>
        </is>
      </c>
      <c r="G186" s="5" t="inlineStr">
        <is>
          <t>EUR</t>
        </is>
      </c>
      <c r="H186" s="9" t="n">
        <v>-65185.15</v>
      </c>
      <c r="I186" s="16" t="n">
        <v>46073</v>
      </c>
      <c r="J186" s="16" t="n">
        <v>46103</v>
      </c>
      <c r="K186" s="5" t="inlineStr">
        <is>
          <t>0087/26</t>
        </is>
      </c>
      <c r="L186" s="5" t="inlineStr">
        <is>
          <t>4026001244</t>
        </is>
      </c>
      <c r="M186" s="5">
        <f>IF(YEAR(I186)&lt;=2020,"Até 2020",TEXT(YEAR(I186),"0"))</f>
        <v/>
      </c>
      <c r="N186" s="5">
        <f>IFERROR(INDEX(DePara!$A:$A,MATCH(TEXT(B186,"0"),DePara!$D:$D,0)),"(sem categoria)")</f>
        <v/>
      </c>
      <c r="O186" s="5">
        <f>IF(J186="","",Parametros!$B$6-J186)</f>
        <v/>
      </c>
      <c r="P186" s="5">
        <f>IF(O186="","",IF(O186&gt;0,1,0))</f>
        <v/>
      </c>
    </row>
    <row r="187">
      <c r="A187" s="5" t="n">
        <v>2122100000</v>
      </c>
      <c r="B187" s="5" t="inlineStr">
        <is>
          <t>IC4420</t>
        </is>
      </c>
      <c r="C187" s="5" t="inlineStr">
        <is>
          <t>NORDEX ENERGY SPAIN S A U</t>
        </is>
      </c>
      <c r="D187" s="5" t="inlineStr">
        <is>
          <t>RE</t>
        </is>
      </c>
      <c r="E187" s="5" t="n">
        <v>5004882</v>
      </c>
      <c r="F187" s="5" t="inlineStr">
        <is>
          <t>4026001247</t>
        </is>
      </c>
      <c r="G187" s="5" t="inlineStr">
        <is>
          <t>EUR</t>
        </is>
      </c>
      <c r="H187" s="9" t="n">
        <v>-27210.07</v>
      </c>
      <c r="I187" s="16" t="n">
        <v>46073</v>
      </c>
      <c r="J187" s="16" t="n">
        <v>46103</v>
      </c>
      <c r="K187" s="5" t="inlineStr">
        <is>
          <t>0089/26</t>
        </is>
      </c>
      <c r="L187" s="5" t="inlineStr">
        <is>
          <t>4026001247</t>
        </is>
      </c>
      <c r="M187" s="5">
        <f>IF(YEAR(I187)&lt;=2020,"Até 2020",TEXT(YEAR(I187),"0"))</f>
        <v/>
      </c>
      <c r="N187" s="5">
        <f>IFERROR(INDEX(DePara!$A:$A,MATCH(TEXT(B187,"0"),DePara!$D:$D,0)),"(sem categoria)")</f>
        <v/>
      </c>
      <c r="O187" s="5">
        <f>IF(J187="","",Parametros!$B$6-J187)</f>
        <v/>
      </c>
      <c r="P187" s="5">
        <f>IF(O187="","",IF(O187&gt;0,1,0))</f>
        <v/>
      </c>
    </row>
    <row r="188">
      <c r="A188" s="5" t="n">
        <v>2122100000</v>
      </c>
      <c r="B188" s="5" t="inlineStr">
        <is>
          <t>IC4420</t>
        </is>
      </c>
      <c r="C188" s="5" t="inlineStr">
        <is>
          <t>NORDEX ENERGY SPAIN S A U</t>
        </is>
      </c>
      <c r="D188" s="5" t="inlineStr">
        <is>
          <t>RE</t>
        </is>
      </c>
      <c r="E188" s="5" t="n">
        <v>5004910</v>
      </c>
      <c r="F188" s="5" t="inlineStr">
        <is>
          <t>4025009849</t>
        </is>
      </c>
      <c r="G188" s="5" t="inlineStr">
        <is>
          <t>EUR</t>
        </is>
      </c>
      <c r="H188" s="9" t="n">
        <v>-828403.1</v>
      </c>
      <c r="I188" s="16" t="n">
        <v>46010</v>
      </c>
      <c r="J188" s="16" t="n">
        <v>46040</v>
      </c>
      <c r="K188" s="5" t="inlineStr">
        <is>
          <t>0950/25</t>
        </is>
      </c>
      <c r="L188" s="5" t="inlineStr">
        <is>
          <t>4025009849</t>
        </is>
      </c>
      <c r="M188" s="5">
        <f>IF(YEAR(I188)&lt;=2020,"Até 2020",TEXT(YEAR(I188),"0"))</f>
        <v/>
      </c>
      <c r="N188" s="5">
        <f>IFERROR(INDEX(DePara!$A:$A,MATCH(TEXT(B188,"0"),DePara!$D:$D,0)),"(sem categoria)")</f>
        <v/>
      </c>
      <c r="O188" s="5">
        <f>IF(J188="","",Parametros!$B$6-J188)</f>
        <v/>
      </c>
      <c r="P188" s="5">
        <f>IF(O188="","",IF(O188&gt;0,1,0))</f>
        <v/>
      </c>
    </row>
    <row r="189">
      <c r="A189" s="5" t="n">
        <v>2122100000</v>
      </c>
      <c r="B189" s="5" t="inlineStr">
        <is>
          <t>IC1000</t>
        </is>
      </c>
      <c r="C189" s="5" t="inlineStr">
        <is>
          <t>NORDEX ENERGY SE &amp; CO KG</t>
        </is>
      </c>
      <c r="D189" s="5" t="inlineStr">
        <is>
          <t>RE</t>
        </is>
      </c>
      <c r="E189" s="5" t="n">
        <v>5005013</v>
      </c>
      <c r="F189" s="5" t="inlineStr">
        <is>
          <t>318880</t>
        </is>
      </c>
      <c r="G189" s="5" t="inlineStr">
        <is>
          <t>EUR</t>
        </is>
      </c>
      <c r="H189" s="9" t="n">
        <v>-17902.1</v>
      </c>
      <c r="I189" s="16" t="n">
        <v>45636</v>
      </c>
      <c r="J189" s="16" t="n">
        <v>45666</v>
      </c>
      <c r="K189" s="5" t="inlineStr">
        <is>
          <t>0023/25</t>
        </is>
      </c>
      <c r="L189" s="5" t="inlineStr">
        <is>
          <t>318880</t>
        </is>
      </c>
      <c r="M189" s="5">
        <f>IF(YEAR(I189)&lt;=2020,"Até 2020",TEXT(YEAR(I189),"0"))</f>
        <v/>
      </c>
      <c r="N189" s="5">
        <f>IFERROR(INDEX(DePara!$A:$A,MATCH(TEXT(B189,"0"),DePara!$D:$D,0)),"(sem categoria)")</f>
        <v/>
      </c>
      <c r="O189" s="5">
        <f>IF(J189="","",Parametros!$B$6-J189)</f>
        <v/>
      </c>
      <c r="P189" s="5">
        <f>IF(O189="","",IF(O189&gt;0,1,0))</f>
        <v/>
      </c>
    </row>
    <row r="190">
      <c r="A190" s="5" t="n">
        <v>2122100000</v>
      </c>
      <c r="B190" s="5" t="inlineStr">
        <is>
          <t>IC1000</t>
        </is>
      </c>
      <c r="C190" s="5" t="inlineStr">
        <is>
          <t>NORDEX ENERGY SE &amp; CO KG</t>
        </is>
      </c>
      <c r="D190" s="5" t="inlineStr">
        <is>
          <t>RE</t>
        </is>
      </c>
      <c r="E190" s="5" t="n">
        <v>5005015</v>
      </c>
      <c r="F190" s="5" t="inlineStr">
        <is>
          <t>319863</t>
        </is>
      </c>
      <c r="G190" s="5" t="inlineStr">
        <is>
          <t>EUR</t>
        </is>
      </c>
      <c r="H190" s="9" t="n">
        <v>-82467.89</v>
      </c>
      <c r="I190" s="16" t="n">
        <v>45631</v>
      </c>
      <c r="J190" s="16" t="n">
        <v>45661</v>
      </c>
      <c r="K190" s="5" t="inlineStr">
        <is>
          <t>0050/25</t>
        </is>
      </c>
      <c r="L190" s="5" t="inlineStr">
        <is>
          <t>319863</t>
        </is>
      </c>
      <c r="M190" s="5">
        <f>IF(YEAR(I190)&lt;=2020,"Até 2020",TEXT(YEAR(I190),"0"))</f>
        <v/>
      </c>
      <c r="N190" s="5">
        <f>IFERROR(INDEX(DePara!$A:$A,MATCH(TEXT(B190,"0"),DePara!$D:$D,0)),"(sem categoria)")</f>
        <v/>
      </c>
      <c r="O190" s="5">
        <f>IF(J190="","",Parametros!$B$6-J190)</f>
        <v/>
      </c>
      <c r="P190" s="5">
        <f>IF(O190="","",IF(O190&gt;0,1,0))</f>
        <v/>
      </c>
    </row>
    <row r="191">
      <c r="A191" s="5" t="n">
        <v>2122100000</v>
      </c>
      <c r="B191" s="5" t="inlineStr">
        <is>
          <t>IC4420</t>
        </is>
      </c>
      <c r="C191" s="5" t="inlineStr">
        <is>
          <t>NORDEX ENERGY SPAIN S A U</t>
        </is>
      </c>
      <c r="D191" s="5" t="inlineStr">
        <is>
          <t>RE</t>
        </is>
      </c>
      <c r="E191" s="5" t="n">
        <v>5005078</v>
      </c>
      <c r="F191" s="5" t="inlineStr">
        <is>
          <t>4026000449</t>
        </is>
      </c>
      <c r="G191" s="5" t="inlineStr">
        <is>
          <t>EUR</t>
        </is>
      </c>
      <c r="H191" s="9" t="n">
        <v>-6059.6</v>
      </c>
      <c r="I191" s="16" t="n">
        <v>46043</v>
      </c>
      <c r="J191" s="16" t="n">
        <v>46073</v>
      </c>
      <c r="K191" s="5" t="inlineStr">
        <is>
          <t>0041/26</t>
        </is>
      </c>
      <c r="L191" s="5" t="inlineStr">
        <is>
          <t>4026000449</t>
        </is>
      </c>
      <c r="M191" s="5">
        <f>IF(YEAR(I191)&lt;=2020,"Até 2020",TEXT(YEAR(I191),"0"))</f>
        <v/>
      </c>
      <c r="N191" s="5">
        <f>IFERROR(INDEX(DePara!$A:$A,MATCH(TEXT(B191,"0"),DePara!$D:$D,0)),"(sem categoria)")</f>
        <v/>
      </c>
      <c r="O191" s="5">
        <f>IF(J191="","",Parametros!$B$6-J191)</f>
        <v/>
      </c>
      <c r="P191" s="5">
        <f>IF(O191="","",IF(O191&gt;0,1,0))</f>
        <v/>
      </c>
    </row>
    <row r="192">
      <c r="A192" s="5" t="n">
        <v>2122100000</v>
      </c>
      <c r="B192" s="5" t="inlineStr">
        <is>
          <t>IC4420</t>
        </is>
      </c>
      <c r="C192" s="5" t="inlineStr">
        <is>
          <t>NORDEX ENERGY SPAIN S A U</t>
        </is>
      </c>
      <c r="D192" s="5" t="inlineStr">
        <is>
          <t>RE</t>
        </is>
      </c>
      <c r="E192" s="5" t="n">
        <v>5005087</v>
      </c>
      <c r="F192" s="5" t="inlineStr">
        <is>
          <t>4026000445</t>
        </is>
      </c>
      <c r="G192" s="5" t="inlineStr">
        <is>
          <t>EUR</t>
        </is>
      </c>
      <c r="H192" s="9" t="n">
        <v>-6540.43</v>
      </c>
      <c r="I192" s="16" t="n">
        <v>46043</v>
      </c>
      <c r="J192" s="16" t="n">
        <v>46073</v>
      </c>
      <c r="K192" s="5" t="inlineStr">
        <is>
          <t>0039/26</t>
        </is>
      </c>
      <c r="L192" s="5" t="inlineStr">
        <is>
          <t>4026000445</t>
        </is>
      </c>
      <c r="M192" s="5">
        <f>IF(YEAR(I192)&lt;=2020,"Até 2020",TEXT(YEAR(I192),"0"))</f>
        <v/>
      </c>
      <c r="N192" s="5">
        <f>IFERROR(INDEX(DePara!$A:$A,MATCH(TEXT(B192,"0"),DePara!$D:$D,0)),"(sem categoria)")</f>
        <v/>
      </c>
      <c r="O192" s="5">
        <f>IF(J192="","",Parametros!$B$6-J192)</f>
        <v/>
      </c>
      <c r="P192" s="5">
        <f>IF(O192="","",IF(O192&gt;0,1,0))</f>
        <v/>
      </c>
    </row>
    <row r="193">
      <c r="A193" s="5" t="n">
        <v>2122100000</v>
      </c>
      <c r="B193" s="5" t="inlineStr">
        <is>
          <t>IC4420</t>
        </is>
      </c>
      <c r="C193" s="5" t="inlineStr">
        <is>
          <t>NORDEX ENERGY SPAIN S A U</t>
        </is>
      </c>
      <c r="D193" s="5" t="inlineStr">
        <is>
          <t>RE</t>
        </is>
      </c>
      <c r="E193" s="5" t="n">
        <v>5005088</v>
      </c>
      <c r="F193" s="5" t="inlineStr">
        <is>
          <t>4018000020</t>
        </is>
      </c>
      <c r="G193" s="5" t="inlineStr">
        <is>
          <t>EUR</t>
        </is>
      </c>
      <c r="H193" s="9" t="n">
        <v>-280975.13</v>
      </c>
      <c r="I193" s="16" t="n">
        <v>46049</v>
      </c>
      <c r="J193" s="16" t="n">
        <v>46079</v>
      </c>
      <c r="K193" s="5" t="inlineStr">
        <is>
          <t>0039/26</t>
        </is>
      </c>
      <c r="L193" s="5" t="inlineStr">
        <is>
          <t>4018000020</t>
        </is>
      </c>
      <c r="M193" s="5">
        <f>IF(YEAR(I193)&lt;=2020,"Até 2020",TEXT(YEAR(I193),"0"))</f>
        <v/>
      </c>
      <c r="N193" s="5">
        <f>IFERROR(INDEX(DePara!$A:$A,MATCH(TEXT(B193,"0"),DePara!$D:$D,0)),"(sem categoria)")</f>
        <v/>
      </c>
      <c r="O193" s="5">
        <f>IF(J193="","",Parametros!$B$6-J193)</f>
        <v/>
      </c>
      <c r="P193" s="5">
        <f>IF(O193="","",IF(O193&gt;0,1,0))</f>
        <v/>
      </c>
    </row>
    <row r="194">
      <c r="A194" s="5" t="n">
        <v>2122100000</v>
      </c>
      <c r="B194" s="5" t="inlineStr">
        <is>
          <t>IC4420</t>
        </is>
      </c>
      <c r="C194" s="5" t="inlineStr">
        <is>
          <t>NORDEX ENERGY SPAIN S A U</t>
        </is>
      </c>
      <c r="D194" s="5" t="inlineStr">
        <is>
          <t>RE</t>
        </is>
      </c>
      <c r="E194" s="5" t="n">
        <v>5005089</v>
      </c>
      <c r="F194" s="5" t="inlineStr">
        <is>
          <t>4026000444</t>
        </is>
      </c>
      <c r="G194" s="5" t="inlineStr">
        <is>
          <t>EUR</t>
        </is>
      </c>
      <c r="H194" s="9" t="n">
        <v>-67572.87</v>
      </c>
      <c r="I194" s="16" t="n">
        <v>46043</v>
      </c>
      <c r="J194" s="16" t="n">
        <v>46073</v>
      </c>
      <c r="K194" s="5" t="inlineStr">
        <is>
          <t>0039/26</t>
        </is>
      </c>
      <c r="L194" s="5" t="inlineStr">
        <is>
          <t>4026000444</t>
        </is>
      </c>
      <c r="M194" s="5">
        <f>IF(YEAR(I194)&lt;=2020,"Até 2020",TEXT(YEAR(I194),"0"))</f>
        <v/>
      </c>
      <c r="N194" s="5">
        <f>IFERROR(INDEX(DePara!$A:$A,MATCH(TEXT(B194,"0"),DePara!$D:$D,0)),"(sem categoria)")</f>
        <v/>
      </c>
      <c r="O194" s="5">
        <f>IF(J194="","",Parametros!$B$6-J194)</f>
        <v/>
      </c>
      <c r="P194" s="5">
        <f>IF(O194="","",IF(O194&gt;0,1,0))</f>
        <v/>
      </c>
    </row>
    <row r="195">
      <c r="A195" s="5" t="n">
        <v>2122100000</v>
      </c>
      <c r="B195" s="5" t="inlineStr">
        <is>
          <t>IC4420</t>
        </is>
      </c>
      <c r="C195" s="5" t="inlineStr">
        <is>
          <t>NORDEX ENERGY SPAIN S A U</t>
        </is>
      </c>
      <c r="D195" s="5" t="inlineStr">
        <is>
          <t>RE</t>
        </is>
      </c>
      <c r="E195" s="5" t="n">
        <v>5005094</v>
      </c>
      <c r="F195" s="5" t="inlineStr">
        <is>
          <t>4025008986</t>
        </is>
      </c>
      <c r="G195" s="5" t="inlineStr">
        <is>
          <t>EUR</t>
        </is>
      </c>
      <c r="H195" s="9" t="n">
        <v>-21112.16</v>
      </c>
      <c r="I195" s="16" t="n">
        <v>45981</v>
      </c>
      <c r="J195" s="16" t="n">
        <v>46011</v>
      </c>
      <c r="K195" s="5" t="inlineStr">
        <is>
          <t>0874/25</t>
        </is>
      </c>
      <c r="L195" s="5" t="inlineStr">
        <is>
          <t>4025008986</t>
        </is>
      </c>
      <c r="M195" s="5">
        <f>IF(YEAR(I195)&lt;=2020,"Até 2020",TEXT(YEAR(I195),"0"))</f>
        <v/>
      </c>
      <c r="N195" s="5">
        <f>IFERROR(INDEX(DePara!$A:$A,MATCH(TEXT(B195,"0"),DePara!$D:$D,0)),"(sem categoria)")</f>
        <v/>
      </c>
      <c r="O195" s="5">
        <f>IF(J195="","",Parametros!$B$6-J195)</f>
        <v/>
      </c>
      <c r="P195" s="5">
        <f>IF(O195="","",IF(O195&gt;0,1,0))</f>
        <v/>
      </c>
    </row>
    <row r="196">
      <c r="A196" s="5" t="n">
        <v>2122100000</v>
      </c>
      <c r="B196" s="5" t="inlineStr">
        <is>
          <t>IC4420</t>
        </is>
      </c>
      <c r="C196" s="5" t="inlineStr">
        <is>
          <t>NORDEX ENERGY SPAIN S A U</t>
        </is>
      </c>
      <c r="D196" s="5" t="inlineStr">
        <is>
          <t>RE</t>
        </is>
      </c>
      <c r="E196" s="5" t="n">
        <v>5005095</v>
      </c>
      <c r="F196" s="5" t="inlineStr">
        <is>
          <t>4025008989</t>
        </is>
      </c>
      <c r="G196" s="5" t="inlineStr">
        <is>
          <t>EUR</t>
        </is>
      </c>
      <c r="H196" s="9" t="n">
        <v>-15746.95</v>
      </c>
      <c r="I196" s="16" t="n">
        <v>45981</v>
      </c>
      <c r="J196" s="16" t="n">
        <v>46011</v>
      </c>
      <c r="K196" s="5" t="inlineStr">
        <is>
          <t>0874/25</t>
        </is>
      </c>
      <c r="L196" s="5" t="inlineStr">
        <is>
          <t>4025008989</t>
        </is>
      </c>
      <c r="M196" s="5">
        <f>IF(YEAR(I196)&lt;=2020,"Até 2020",TEXT(YEAR(I196),"0"))</f>
        <v/>
      </c>
      <c r="N196" s="5">
        <f>IFERROR(INDEX(DePara!$A:$A,MATCH(TEXT(B196,"0"),DePara!$D:$D,0)),"(sem categoria)")</f>
        <v/>
      </c>
      <c r="O196" s="5">
        <f>IF(J196="","",Parametros!$B$6-J196)</f>
        <v/>
      </c>
      <c r="P196" s="5">
        <f>IF(O196="","",IF(O196&gt;0,1,0))</f>
        <v/>
      </c>
    </row>
    <row r="197">
      <c r="A197" s="5" t="n">
        <v>2122100000</v>
      </c>
      <c r="B197" s="5" t="inlineStr">
        <is>
          <t>IC4420</t>
        </is>
      </c>
      <c r="C197" s="5" t="inlineStr">
        <is>
          <t>NORDEX ENERGY SPAIN S A U</t>
        </is>
      </c>
      <c r="D197" s="5" t="inlineStr">
        <is>
          <t>RE</t>
        </is>
      </c>
      <c r="E197" s="5" t="n">
        <v>5005096</v>
      </c>
      <c r="F197" s="5" t="inlineStr">
        <is>
          <t>4025008991</t>
        </is>
      </c>
      <c r="G197" s="5" t="inlineStr">
        <is>
          <t>EUR</t>
        </is>
      </c>
      <c r="H197" s="9" t="n">
        <v>-172722.69</v>
      </c>
      <c r="I197" s="16" t="n">
        <v>45981</v>
      </c>
      <c r="J197" s="16" t="n">
        <v>46011</v>
      </c>
      <c r="K197" s="5" t="inlineStr">
        <is>
          <t>0874/25</t>
        </is>
      </c>
      <c r="L197" s="5" t="inlineStr">
        <is>
          <t>4025008991</t>
        </is>
      </c>
      <c r="M197" s="5">
        <f>IF(YEAR(I197)&lt;=2020,"Até 2020",TEXT(YEAR(I197),"0"))</f>
        <v/>
      </c>
      <c r="N197" s="5">
        <f>IFERROR(INDEX(DePara!$A:$A,MATCH(TEXT(B197,"0"),DePara!$D:$D,0)),"(sem categoria)")</f>
        <v/>
      </c>
      <c r="O197" s="5">
        <f>IF(J197="","",Parametros!$B$6-J197)</f>
        <v/>
      </c>
      <c r="P197" s="5">
        <f>IF(O197="","",IF(O197&gt;0,1,0))</f>
        <v/>
      </c>
    </row>
    <row r="198">
      <c r="A198" s="5" t="n">
        <v>2122100000</v>
      </c>
      <c r="B198" s="5" t="inlineStr">
        <is>
          <t>IC4420</t>
        </is>
      </c>
      <c r="C198" s="5" t="inlineStr">
        <is>
          <t>NORDEX ENERGY SPAIN S A U</t>
        </is>
      </c>
      <c r="D198" s="5" t="inlineStr">
        <is>
          <t>RE</t>
        </is>
      </c>
      <c r="E198" s="5" t="n">
        <v>5005097</v>
      </c>
      <c r="F198" s="5" t="inlineStr">
        <is>
          <t>4026001602</t>
        </is>
      </c>
      <c r="G198" s="5" t="inlineStr">
        <is>
          <t>EUR</t>
        </is>
      </c>
      <c r="H198" s="9" t="n">
        <v>-10825.79</v>
      </c>
      <c r="I198" s="16" t="n">
        <v>46086</v>
      </c>
      <c r="J198" s="16" t="n">
        <v>46116</v>
      </c>
      <c r="K198" s="5" t="inlineStr">
        <is>
          <t>0124/26</t>
        </is>
      </c>
      <c r="L198" s="5" t="inlineStr">
        <is>
          <t>4026001602</t>
        </is>
      </c>
      <c r="M198" s="5">
        <f>IF(YEAR(I198)&lt;=2020,"Até 2020",TEXT(YEAR(I198),"0"))</f>
        <v/>
      </c>
      <c r="N198" s="5">
        <f>IFERROR(INDEX(DePara!$A:$A,MATCH(TEXT(B198,"0"),DePara!$D:$D,0)),"(sem categoria)")</f>
        <v/>
      </c>
      <c r="O198" s="5">
        <f>IF(J198="","",Parametros!$B$6-J198)</f>
        <v/>
      </c>
      <c r="P198" s="5">
        <f>IF(O198="","",IF(O198&gt;0,1,0))</f>
        <v/>
      </c>
    </row>
    <row r="199">
      <c r="A199" s="5" t="n">
        <v>2122100000</v>
      </c>
      <c r="B199" s="5" t="inlineStr">
        <is>
          <t>IC4420</t>
        </is>
      </c>
      <c r="C199" s="5" t="inlineStr">
        <is>
          <t>NORDEX ENERGY SPAIN S A U</t>
        </is>
      </c>
      <c r="D199" s="5" t="inlineStr">
        <is>
          <t>RE</t>
        </is>
      </c>
      <c r="E199" s="5" t="n">
        <v>5005098</v>
      </c>
      <c r="F199" s="5" t="inlineStr">
        <is>
          <t>4025008988</t>
        </is>
      </c>
      <c r="G199" s="5" t="inlineStr">
        <is>
          <t>EUR</t>
        </is>
      </c>
      <c r="H199" s="9" t="n">
        <v>-3191.59</v>
      </c>
      <c r="I199" s="16" t="n">
        <v>45981</v>
      </c>
      <c r="J199" s="16" t="n">
        <v>46011</v>
      </c>
      <c r="K199" s="5" t="inlineStr">
        <is>
          <t>0874/25</t>
        </is>
      </c>
      <c r="L199" s="5" t="inlineStr">
        <is>
          <t>4025008988</t>
        </is>
      </c>
      <c r="M199" s="5">
        <f>IF(YEAR(I199)&lt;=2020,"Até 2020",TEXT(YEAR(I199),"0"))</f>
        <v/>
      </c>
      <c r="N199" s="5">
        <f>IFERROR(INDEX(DePara!$A:$A,MATCH(TEXT(B199,"0"),DePara!$D:$D,0)),"(sem categoria)")</f>
        <v/>
      </c>
      <c r="O199" s="5">
        <f>IF(J199="","",Parametros!$B$6-J199)</f>
        <v/>
      </c>
      <c r="P199" s="5">
        <f>IF(O199="","",IF(O199&gt;0,1,0))</f>
        <v/>
      </c>
    </row>
    <row r="200">
      <c r="A200" s="5" t="n">
        <v>2122100000</v>
      </c>
      <c r="B200" s="5" t="inlineStr">
        <is>
          <t>IC4420</t>
        </is>
      </c>
      <c r="C200" s="5" t="inlineStr">
        <is>
          <t>NORDEX ENERGY SPAIN S A U</t>
        </is>
      </c>
      <c r="D200" s="5" t="inlineStr">
        <is>
          <t>RE</t>
        </is>
      </c>
      <c r="E200" s="5" t="n">
        <v>5005099</v>
      </c>
      <c r="F200" s="5" t="inlineStr">
        <is>
          <t>4025008990</t>
        </is>
      </c>
      <c r="G200" s="5" t="inlineStr">
        <is>
          <t>EUR</t>
        </is>
      </c>
      <c r="H200" s="9" t="n">
        <v>-32554.58</v>
      </c>
      <c r="I200" s="16" t="n">
        <v>45981</v>
      </c>
      <c r="J200" s="16" t="n">
        <v>46011</v>
      </c>
      <c r="K200" s="5" t="inlineStr">
        <is>
          <t>0874/25</t>
        </is>
      </c>
      <c r="L200" s="5" t="inlineStr">
        <is>
          <t>4025008990</t>
        </is>
      </c>
      <c r="M200" s="5">
        <f>IF(YEAR(I200)&lt;=2020,"Até 2020",TEXT(YEAR(I200),"0"))</f>
        <v/>
      </c>
      <c r="N200" s="5">
        <f>IFERROR(INDEX(DePara!$A:$A,MATCH(TEXT(B200,"0"),DePara!$D:$D,0)),"(sem categoria)")</f>
        <v/>
      </c>
      <c r="O200" s="5">
        <f>IF(J200="","",Parametros!$B$6-J200)</f>
        <v/>
      </c>
      <c r="P200" s="5">
        <f>IF(O200="","",IF(O200&gt;0,1,0))</f>
        <v/>
      </c>
    </row>
    <row r="201">
      <c r="A201" s="5" t="n">
        <v>2122100000</v>
      </c>
      <c r="B201" s="5" t="inlineStr">
        <is>
          <t>IC4420</t>
        </is>
      </c>
      <c r="C201" s="5" t="inlineStr">
        <is>
          <t>NORDEX ENERGY SPAIN S A U</t>
        </is>
      </c>
      <c r="D201" s="5" t="inlineStr">
        <is>
          <t>RE</t>
        </is>
      </c>
      <c r="E201" s="5" t="n">
        <v>5005114</v>
      </c>
      <c r="F201" s="5" t="inlineStr">
        <is>
          <t>4026001242</t>
        </is>
      </c>
      <c r="G201" s="5" t="inlineStr">
        <is>
          <t>EUR</t>
        </is>
      </c>
      <c r="H201" s="9" t="n">
        <v>-55857.75</v>
      </c>
      <c r="I201" s="16" t="n">
        <v>46073</v>
      </c>
      <c r="J201" s="16" t="n">
        <v>46103</v>
      </c>
      <c r="K201" s="5" t="inlineStr">
        <is>
          <t>0085/26</t>
        </is>
      </c>
      <c r="L201" s="5" t="inlineStr">
        <is>
          <t>4026001242</t>
        </is>
      </c>
      <c r="M201" s="5">
        <f>IF(YEAR(I201)&lt;=2020,"Até 2020",TEXT(YEAR(I201),"0"))</f>
        <v/>
      </c>
      <c r="N201" s="5">
        <f>IFERROR(INDEX(DePara!$A:$A,MATCH(TEXT(B201,"0"),DePara!$D:$D,0)),"(sem categoria)")</f>
        <v/>
      </c>
      <c r="O201" s="5">
        <f>IF(J201="","",Parametros!$B$6-J201)</f>
        <v/>
      </c>
      <c r="P201" s="5">
        <f>IF(O201="","",IF(O201&gt;0,1,0))</f>
        <v/>
      </c>
    </row>
    <row r="202">
      <c r="A202" s="5" t="n">
        <v>2122100000</v>
      </c>
      <c r="B202" s="5" t="inlineStr">
        <is>
          <t>IC4420</t>
        </is>
      </c>
      <c r="C202" s="5" t="inlineStr">
        <is>
          <t>NORDEX ENERGY SPAIN S A U</t>
        </is>
      </c>
      <c r="D202" s="5" t="inlineStr">
        <is>
          <t>RE</t>
        </is>
      </c>
      <c r="E202" s="5" t="n">
        <v>5005115</v>
      </c>
      <c r="F202" s="5" t="inlineStr">
        <is>
          <t>4026001580</t>
        </is>
      </c>
      <c r="G202" s="5" t="inlineStr">
        <is>
          <t>EUR</t>
        </is>
      </c>
      <c r="H202" s="9" t="n">
        <v>-2056.17</v>
      </c>
      <c r="I202" s="16" t="n">
        <v>46085</v>
      </c>
      <c r="J202" s="16" t="n">
        <v>46115</v>
      </c>
      <c r="K202" s="5" t="inlineStr">
        <is>
          <t>0120/26</t>
        </is>
      </c>
      <c r="L202" s="5" t="inlineStr">
        <is>
          <t>4026001580</t>
        </is>
      </c>
      <c r="M202" s="5">
        <f>IF(YEAR(I202)&lt;=2020,"Até 2020",TEXT(YEAR(I202),"0"))</f>
        <v/>
      </c>
      <c r="N202" s="5">
        <f>IFERROR(INDEX(DePara!$A:$A,MATCH(TEXT(B202,"0"),DePara!$D:$D,0)),"(sem categoria)")</f>
        <v/>
      </c>
      <c r="O202" s="5">
        <f>IF(J202="","",Parametros!$B$6-J202)</f>
        <v/>
      </c>
      <c r="P202" s="5">
        <f>IF(O202="","",IF(O202&gt;0,1,0))</f>
        <v/>
      </c>
    </row>
    <row r="203">
      <c r="A203" s="5" t="n">
        <v>2122100000</v>
      </c>
      <c r="B203" s="5" t="inlineStr">
        <is>
          <t>IC4420</t>
        </is>
      </c>
      <c r="C203" s="5" t="inlineStr">
        <is>
          <t>NORDEX ENERGY SPAIN S A U</t>
        </is>
      </c>
      <c r="D203" s="5" t="inlineStr">
        <is>
          <t>RE</t>
        </is>
      </c>
      <c r="E203" s="5" t="n">
        <v>5005116</v>
      </c>
      <c r="F203" s="5" t="inlineStr">
        <is>
          <t>4026001591</t>
        </is>
      </c>
      <c r="G203" s="5" t="inlineStr">
        <is>
          <t>EUR</t>
        </is>
      </c>
      <c r="H203" s="9" t="n">
        <v>-4842.01</v>
      </c>
      <c r="I203" s="16" t="n">
        <v>46085</v>
      </c>
      <c r="J203" s="16" t="n">
        <v>46115</v>
      </c>
      <c r="K203" s="5" t="inlineStr">
        <is>
          <t>0117/26</t>
        </is>
      </c>
      <c r="L203" s="5" t="inlineStr">
        <is>
          <t>4026001591</t>
        </is>
      </c>
      <c r="M203" s="5">
        <f>IF(YEAR(I203)&lt;=2020,"Até 2020",TEXT(YEAR(I203),"0"))</f>
        <v/>
      </c>
      <c r="N203" s="5">
        <f>IFERROR(INDEX(DePara!$A:$A,MATCH(TEXT(B203,"0"),DePara!$D:$D,0)),"(sem categoria)")</f>
        <v/>
      </c>
      <c r="O203" s="5">
        <f>IF(J203="","",Parametros!$B$6-J203)</f>
        <v/>
      </c>
      <c r="P203" s="5">
        <f>IF(O203="","",IF(O203&gt;0,1,0))</f>
        <v/>
      </c>
    </row>
    <row r="204">
      <c r="A204" s="5" t="n">
        <v>2122100000</v>
      </c>
      <c r="B204" s="5" t="inlineStr">
        <is>
          <t>IC4420</t>
        </is>
      </c>
      <c r="C204" s="5" t="inlineStr">
        <is>
          <t>NORDEX ENERGY SPAIN S A U</t>
        </is>
      </c>
      <c r="D204" s="5" t="inlineStr">
        <is>
          <t>RE</t>
        </is>
      </c>
      <c r="E204" s="5" t="n">
        <v>5005133</v>
      </c>
      <c r="F204" s="5" t="inlineStr">
        <is>
          <t>4026000441</t>
        </is>
      </c>
      <c r="G204" s="5" t="inlineStr">
        <is>
          <t>EUR</t>
        </is>
      </c>
      <c r="H204" s="9" t="n">
        <v>-5852.4</v>
      </c>
      <c r="I204" s="16" t="n">
        <v>46043</v>
      </c>
      <c r="J204" s="16" t="n">
        <v>46073</v>
      </c>
      <c r="K204" s="5" t="inlineStr">
        <is>
          <t>0036/26</t>
        </is>
      </c>
      <c r="L204" s="5" t="inlineStr">
        <is>
          <t>4026000441</t>
        </is>
      </c>
      <c r="M204" s="5">
        <f>IF(YEAR(I204)&lt;=2020,"Até 2020",TEXT(YEAR(I204),"0"))</f>
        <v/>
      </c>
      <c r="N204" s="5">
        <f>IFERROR(INDEX(DePara!$A:$A,MATCH(TEXT(B204,"0"),DePara!$D:$D,0)),"(sem categoria)")</f>
        <v/>
      </c>
      <c r="O204" s="5">
        <f>IF(J204="","",Parametros!$B$6-J204)</f>
        <v/>
      </c>
      <c r="P204" s="5">
        <f>IF(O204="","",IF(O204&gt;0,1,0))</f>
        <v/>
      </c>
    </row>
    <row r="205">
      <c r="A205" s="5" t="n">
        <v>2122100000</v>
      </c>
      <c r="B205" s="5" t="inlineStr">
        <is>
          <t>IC1000</t>
        </is>
      </c>
      <c r="C205" s="5" t="inlineStr">
        <is>
          <t>NORDEX ENERGY SE &amp; CO KG</t>
        </is>
      </c>
      <c r="D205" s="5" t="inlineStr">
        <is>
          <t>RE</t>
        </is>
      </c>
      <c r="E205" s="5" t="n">
        <v>5005144</v>
      </c>
      <c r="F205" s="5" t="inlineStr">
        <is>
          <t>RITM0596224</t>
        </is>
      </c>
      <c r="G205" s="5" t="inlineStr">
        <is>
          <t>EUR</t>
        </is>
      </c>
      <c r="H205" s="9" t="n">
        <v>-2252773.65</v>
      </c>
      <c r="I205" s="16" t="n">
        <v>46020</v>
      </c>
      <c r="J205" s="16" t="n">
        <v>46050</v>
      </c>
      <c r="K205" s="5" t="inlineStr">
        <is>
          <t>0068/26</t>
        </is>
      </c>
      <c r="L205" s="5" t="inlineStr">
        <is>
          <t>RITM0596224</t>
        </is>
      </c>
      <c r="M205" s="5">
        <f>IF(YEAR(I205)&lt;=2020,"Até 2020",TEXT(YEAR(I205),"0"))</f>
        <v/>
      </c>
      <c r="N205" s="5">
        <f>IFERROR(INDEX(DePara!$A:$A,MATCH(TEXT(B205,"0"),DePara!$D:$D,0)),"(sem categoria)")</f>
        <v/>
      </c>
      <c r="O205" s="5">
        <f>IF(J205="","",Parametros!$B$6-J205)</f>
        <v/>
      </c>
      <c r="P205" s="5">
        <f>IF(O205="","",IF(O205&gt;0,1,0))</f>
        <v/>
      </c>
    </row>
    <row r="206">
      <c r="A206" s="5" t="n">
        <v>2122100000</v>
      </c>
      <c r="B206" s="5" t="inlineStr">
        <is>
          <t>IC1000</t>
        </is>
      </c>
      <c r="C206" s="5" t="inlineStr">
        <is>
          <t>NORDEX ENERGY SE &amp; CO KG</t>
        </is>
      </c>
      <c r="D206" s="5" t="inlineStr">
        <is>
          <t>RE</t>
        </is>
      </c>
      <c r="E206" s="5" t="n">
        <v>5005145</v>
      </c>
      <c r="F206" s="5" t="inlineStr">
        <is>
          <t>RITM0594720</t>
        </is>
      </c>
      <c r="G206" s="5" t="inlineStr">
        <is>
          <t>EUR</t>
        </is>
      </c>
      <c r="H206" s="9" t="n">
        <v>-2526636.76</v>
      </c>
      <c r="I206" s="16" t="n">
        <v>46013</v>
      </c>
      <c r="J206" s="16" t="n">
        <v>46043</v>
      </c>
      <c r="K206" s="5" t="inlineStr">
        <is>
          <t>0080/26</t>
        </is>
      </c>
      <c r="L206" s="5" t="inlineStr">
        <is>
          <t>RITM0594720</t>
        </is>
      </c>
      <c r="M206" s="5">
        <f>IF(YEAR(I206)&lt;=2020,"Até 2020",TEXT(YEAR(I206),"0"))</f>
        <v/>
      </c>
      <c r="N206" s="5">
        <f>IFERROR(INDEX(DePara!$A:$A,MATCH(TEXT(B206,"0"),DePara!$D:$D,0)),"(sem categoria)")</f>
        <v/>
      </c>
      <c r="O206" s="5">
        <f>IF(J206="","",Parametros!$B$6-J206)</f>
        <v/>
      </c>
      <c r="P206" s="5">
        <f>IF(O206="","",IF(O206&gt;0,1,0))</f>
        <v/>
      </c>
    </row>
    <row r="207">
      <c r="A207" s="5" t="n">
        <v>2122100000</v>
      </c>
      <c r="B207" s="5" t="inlineStr">
        <is>
          <t>IC4420</t>
        </is>
      </c>
      <c r="C207" s="5" t="inlineStr">
        <is>
          <t>NORDEX ENERGY SPAIN S A U</t>
        </is>
      </c>
      <c r="D207" s="5" t="inlineStr">
        <is>
          <t>RE</t>
        </is>
      </c>
      <c r="E207" s="5" t="n">
        <v>5005150</v>
      </c>
      <c r="F207" s="5" t="inlineStr">
        <is>
          <t>4026001028</t>
        </is>
      </c>
      <c r="G207" s="5" t="inlineStr">
        <is>
          <t>EUR</t>
        </is>
      </c>
      <c r="H207" s="9" t="n">
        <v>-961965.21</v>
      </c>
      <c r="I207" s="16" t="n">
        <v>46063</v>
      </c>
      <c r="J207" s="16" t="n">
        <v>46093</v>
      </c>
      <c r="K207" s="5" t="inlineStr">
        <is>
          <t>0075/26</t>
        </is>
      </c>
      <c r="L207" s="5" t="inlineStr">
        <is>
          <t>4026001028</t>
        </is>
      </c>
      <c r="M207" s="5">
        <f>IF(YEAR(I207)&lt;=2020,"Até 2020",TEXT(YEAR(I207),"0"))</f>
        <v/>
      </c>
      <c r="N207" s="5">
        <f>IFERROR(INDEX(DePara!$A:$A,MATCH(TEXT(B207,"0"),DePara!$D:$D,0)),"(sem categoria)")</f>
        <v/>
      </c>
      <c r="O207" s="5">
        <f>IF(J207="","",Parametros!$B$6-J207)</f>
        <v/>
      </c>
      <c r="P207" s="5">
        <f>IF(O207="","",IF(O207&gt;0,1,0))</f>
        <v/>
      </c>
    </row>
    <row r="208">
      <c r="A208" s="5" t="n">
        <v>2122100000</v>
      </c>
      <c r="B208" s="5" t="inlineStr">
        <is>
          <t>IC4420</t>
        </is>
      </c>
      <c r="C208" s="5" t="inlineStr">
        <is>
          <t>NORDEX ENERGY SPAIN S A U</t>
        </is>
      </c>
      <c r="D208" s="5" t="inlineStr">
        <is>
          <t>RE</t>
        </is>
      </c>
      <c r="E208" s="5" t="n">
        <v>5005151</v>
      </c>
      <c r="F208" s="5" t="inlineStr">
        <is>
          <t>4026000446</t>
        </is>
      </c>
      <c r="G208" s="5" t="inlineStr">
        <is>
          <t>EUR</t>
        </is>
      </c>
      <c r="H208" s="9" t="n">
        <v>-5290.73</v>
      </c>
      <c r="I208" s="16" t="n">
        <v>46043</v>
      </c>
      <c r="J208" s="16" t="n">
        <v>46073</v>
      </c>
      <c r="K208" s="5" t="inlineStr">
        <is>
          <t>0036/26</t>
        </is>
      </c>
      <c r="L208" s="5" t="inlineStr">
        <is>
          <t>4026000446</t>
        </is>
      </c>
      <c r="M208" s="5">
        <f>IF(YEAR(I208)&lt;=2020,"Até 2020",TEXT(YEAR(I208),"0"))</f>
        <v/>
      </c>
      <c r="N208" s="5">
        <f>IFERROR(INDEX(DePara!$A:$A,MATCH(TEXT(B208,"0"),DePara!$D:$D,0)),"(sem categoria)")</f>
        <v/>
      </c>
      <c r="O208" s="5">
        <f>IF(J208="","",Parametros!$B$6-J208)</f>
        <v/>
      </c>
      <c r="P208" s="5">
        <f>IF(O208="","",IF(O208&gt;0,1,0))</f>
        <v/>
      </c>
    </row>
    <row r="209">
      <c r="A209" s="5" t="n">
        <v>2122100000</v>
      </c>
      <c r="B209" s="5" t="inlineStr">
        <is>
          <t>IC4420</t>
        </is>
      </c>
      <c r="C209" s="5" t="inlineStr">
        <is>
          <t>NORDEX ENERGY SPAIN S A U</t>
        </is>
      </c>
      <c r="D209" s="5" t="inlineStr">
        <is>
          <t>RE</t>
        </is>
      </c>
      <c r="E209" s="5" t="n">
        <v>5005170</v>
      </c>
      <c r="F209" s="5" t="inlineStr">
        <is>
          <t>4025008983</t>
        </is>
      </c>
      <c r="G209" s="5" t="inlineStr">
        <is>
          <t>EUR</t>
        </is>
      </c>
      <c r="H209" s="9" t="n">
        <v>-967.87</v>
      </c>
      <c r="I209" s="16" t="n">
        <v>45981</v>
      </c>
      <c r="J209" s="16" t="n">
        <v>46011</v>
      </c>
      <c r="K209" s="5" t="inlineStr">
        <is>
          <t>0872/25</t>
        </is>
      </c>
      <c r="L209" s="5" t="inlineStr">
        <is>
          <t>4025008983</t>
        </is>
      </c>
      <c r="M209" s="5">
        <f>IF(YEAR(I209)&lt;=2020,"Até 2020",TEXT(YEAR(I209),"0"))</f>
        <v/>
      </c>
      <c r="N209" s="5">
        <f>IFERROR(INDEX(DePara!$A:$A,MATCH(TEXT(B209,"0"),DePara!$D:$D,0)),"(sem categoria)")</f>
        <v/>
      </c>
      <c r="O209" s="5">
        <f>IF(J209="","",Parametros!$B$6-J209)</f>
        <v/>
      </c>
      <c r="P209" s="5">
        <f>IF(O209="","",IF(O209&gt;0,1,0))</f>
        <v/>
      </c>
    </row>
    <row r="210">
      <c r="A210" s="5" t="n">
        <v>2122100000</v>
      </c>
      <c r="B210" s="5" t="inlineStr">
        <is>
          <t>IC4420</t>
        </is>
      </c>
      <c r="C210" s="5" t="inlineStr">
        <is>
          <t>NORDEX ENERGY SPAIN S A U</t>
        </is>
      </c>
      <c r="D210" s="5" t="inlineStr">
        <is>
          <t>RE</t>
        </is>
      </c>
      <c r="E210" s="5" t="n">
        <v>5005171</v>
      </c>
      <c r="F210" s="5" t="inlineStr">
        <is>
          <t>4026001246</t>
        </is>
      </c>
      <c r="G210" s="5" t="inlineStr">
        <is>
          <t>EUR</t>
        </is>
      </c>
      <c r="H210" s="9" t="n">
        <v>-55475.44</v>
      </c>
      <c r="I210" s="16" t="n">
        <v>46073</v>
      </c>
      <c r="J210" s="16" t="n">
        <v>46103</v>
      </c>
      <c r="K210" s="5" t="inlineStr">
        <is>
          <t>0088/26</t>
        </is>
      </c>
      <c r="L210" s="5" t="inlineStr">
        <is>
          <t>4026001246</t>
        </is>
      </c>
      <c r="M210" s="5">
        <f>IF(YEAR(I210)&lt;=2020,"Até 2020",TEXT(YEAR(I210),"0"))</f>
        <v/>
      </c>
      <c r="N210" s="5">
        <f>IFERROR(INDEX(DePara!$A:$A,MATCH(TEXT(B210,"0"),DePara!$D:$D,0)),"(sem categoria)")</f>
        <v/>
      </c>
      <c r="O210" s="5">
        <f>IF(J210="","",Parametros!$B$6-J210)</f>
        <v/>
      </c>
      <c r="P210" s="5">
        <f>IF(O210="","",IF(O210&gt;0,1,0))</f>
        <v/>
      </c>
    </row>
    <row r="211">
      <c r="A211" s="5" t="n">
        <v>2122100000</v>
      </c>
      <c r="B211" s="5" t="inlineStr">
        <is>
          <t>IC4420</t>
        </is>
      </c>
      <c r="C211" s="5" t="inlineStr">
        <is>
          <t>NORDEX ENERGY SPAIN S A U</t>
        </is>
      </c>
      <c r="D211" s="5" t="inlineStr">
        <is>
          <t>RE</t>
        </is>
      </c>
      <c r="E211" s="5" t="n">
        <v>5005172</v>
      </c>
      <c r="F211" s="5" t="inlineStr">
        <is>
          <t>4026001601</t>
        </is>
      </c>
      <c r="G211" s="5" t="inlineStr">
        <is>
          <t>EUR</t>
        </is>
      </c>
      <c r="H211" s="9" t="n">
        <v>-35347.13</v>
      </c>
      <c r="I211" s="16" t="n">
        <v>46086</v>
      </c>
      <c r="J211" s="16" t="n">
        <v>46116</v>
      </c>
      <c r="K211" s="5" t="inlineStr">
        <is>
          <t>0123/26</t>
        </is>
      </c>
      <c r="L211" s="5" t="inlineStr">
        <is>
          <t>4026001601</t>
        </is>
      </c>
      <c r="M211" s="5">
        <f>IF(YEAR(I211)&lt;=2020,"Até 2020",TEXT(YEAR(I211),"0"))</f>
        <v/>
      </c>
      <c r="N211" s="5">
        <f>IFERROR(INDEX(DePara!$A:$A,MATCH(TEXT(B211,"0"),DePara!$D:$D,0)),"(sem categoria)")</f>
        <v/>
      </c>
      <c r="O211" s="5">
        <f>IF(J211="","",Parametros!$B$6-J211)</f>
        <v/>
      </c>
      <c r="P211" s="5">
        <f>IF(O211="","",IF(O211&gt;0,1,0))</f>
        <v/>
      </c>
    </row>
    <row r="212">
      <c r="A212" s="5" t="n">
        <v>2122100000</v>
      </c>
      <c r="B212" s="5" t="inlineStr">
        <is>
          <t>IC4420</t>
        </is>
      </c>
      <c r="C212" s="5" t="inlineStr">
        <is>
          <t>NORDEX ENERGY SPAIN S A U</t>
        </is>
      </c>
      <c r="D212" s="5" t="inlineStr">
        <is>
          <t>RE</t>
        </is>
      </c>
      <c r="E212" s="5" t="n">
        <v>5005173</v>
      </c>
      <c r="F212" s="5" t="inlineStr">
        <is>
          <t>4025008993</t>
        </is>
      </c>
      <c r="G212" s="5" t="inlineStr">
        <is>
          <t>EUR</t>
        </is>
      </c>
      <c r="H212" s="9" t="n">
        <v>-127625.51</v>
      </c>
      <c r="I212" s="16" t="n">
        <v>45981</v>
      </c>
      <c r="J212" s="16" t="n">
        <v>46011</v>
      </c>
      <c r="K212" s="5" t="inlineStr">
        <is>
          <t>0877/25</t>
        </is>
      </c>
      <c r="L212" s="5" t="inlineStr">
        <is>
          <t>4025008993</t>
        </is>
      </c>
      <c r="M212" s="5">
        <f>IF(YEAR(I212)&lt;=2020,"Até 2020",TEXT(YEAR(I212),"0"))</f>
        <v/>
      </c>
      <c r="N212" s="5">
        <f>IFERROR(INDEX(DePara!$A:$A,MATCH(TEXT(B212,"0"),DePara!$D:$D,0)),"(sem categoria)")</f>
        <v/>
      </c>
      <c r="O212" s="5">
        <f>IF(J212="","",Parametros!$B$6-J212)</f>
        <v/>
      </c>
      <c r="P212" s="5">
        <f>IF(O212="","",IF(O212&gt;0,1,0))</f>
        <v/>
      </c>
    </row>
    <row r="213">
      <c r="A213" s="5" t="n">
        <v>2122100000</v>
      </c>
      <c r="B213" s="5" t="inlineStr">
        <is>
          <t>IC4420</t>
        </is>
      </c>
      <c r="C213" s="5" t="inlineStr">
        <is>
          <t>NORDEX ENERGY SPAIN S A U</t>
        </is>
      </c>
      <c r="D213" s="5" t="inlineStr">
        <is>
          <t>RE</t>
        </is>
      </c>
      <c r="E213" s="5" t="n">
        <v>5005174</v>
      </c>
      <c r="F213" s="5" t="inlineStr">
        <is>
          <t>4026001589</t>
        </is>
      </c>
      <c r="G213" s="5" t="inlineStr">
        <is>
          <t>EUR</t>
        </is>
      </c>
      <c r="H213" s="9" t="n">
        <v>-86308.69</v>
      </c>
      <c r="I213" s="16" t="n">
        <v>46085</v>
      </c>
      <c r="J213" s="16" t="n">
        <v>46115</v>
      </c>
      <c r="K213" s="5" t="inlineStr">
        <is>
          <t>0115/26</t>
        </is>
      </c>
      <c r="L213" s="5" t="inlineStr">
        <is>
          <t>4026001589</t>
        </is>
      </c>
      <c r="M213" s="5">
        <f>IF(YEAR(I213)&lt;=2020,"Até 2020",TEXT(YEAR(I213),"0"))</f>
        <v/>
      </c>
      <c r="N213" s="5">
        <f>IFERROR(INDEX(DePara!$A:$A,MATCH(TEXT(B213,"0"),DePara!$D:$D,0)),"(sem categoria)")</f>
        <v/>
      </c>
      <c r="O213" s="5">
        <f>IF(J213="","",Parametros!$B$6-J213)</f>
        <v/>
      </c>
      <c r="P213" s="5">
        <f>IF(O213="","",IF(O213&gt;0,1,0))</f>
        <v/>
      </c>
    </row>
    <row r="214">
      <c r="A214" s="5" t="n">
        <v>2122100000</v>
      </c>
      <c r="B214" s="5" t="inlineStr">
        <is>
          <t>IC4420</t>
        </is>
      </c>
      <c r="C214" s="5" t="inlineStr">
        <is>
          <t>NORDEX ENERGY SPAIN S A U</t>
        </is>
      </c>
      <c r="D214" s="5" t="inlineStr">
        <is>
          <t>RE</t>
        </is>
      </c>
      <c r="E214" s="5" t="n">
        <v>5005177</v>
      </c>
      <c r="F214" s="5" t="inlineStr">
        <is>
          <t>4026001581</t>
        </is>
      </c>
      <c r="G214" s="5" t="inlineStr">
        <is>
          <t>EUR</t>
        </is>
      </c>
      <c r="H214" s="9" t="n">
        <v>-1389.76</v>
      </c>
      <c r="I214" s="16" t="n">
        <v>46085</v>
      </c>
      <c r="J214" s="16" t="n">
        <v>46115</v>
      </c>
      <c r="K214" s="5" t="inlineStr">
        <is>
          <t>0121/26</t>
        </is>
      </c>
      <c r="L214" s="5" t="inlineStr">
        <is>
          <t>4026001581</t>
        </is>
      </c>
      <c r="M214" s="5">
        <f>IF(YEAR(I214)&lt;=2020,"Até 2020",TEXT(YEAR(I214),"0"))</f>
        <v/>
      </c>
      <c r="N214" s="5">
        <f>IFERROR(INDEX(DePara!$A:$A,MATCH(TEXT(B214,"0"),DePara!$D:$D,0)),"(sem categoria)")</f>
        <v/>
      </c>
      <c r="O214" s="5">
        <f>IF(J214="","",Parametros!$B$6-J214)</f>
        <v/>
      </c>
      <c r="P214" s="5">
        <f>IF(O214="","",IF(O214&gt;0,1,0))</f>
        <v/>
      </c>
    </row>
    <row r="215">
      <c r="A215" s="5" t="n">
        <v>2122100000</v>
      </c>
      <c r="B215" s="5" t="inlineStr">
        <is>
          <t>IC5000</t>
        </is>
      </c>
      <c r="C215" s="5" t="inlineStr">
        <is>
          <t>NORDEX SE</t>
        </is>
      </c>
      <c r="D215" s="5" t="inlineStr">
        <is>
          <t>KR</t>
        </is>
      </c>
      <c r="E215" s="5" t="n">
        <v>5005234</v>
      </c>
      <c r="F215" s="5" t="inlineStr">
        <is>
          <t>610560</t>
        </is>
      </c>
      <c r="G215" s="5" t="inlineStr">
        <is>
          <t>EUR</t>
        </is>
      </c>
      <c r="H215" s="9" t="n">
        <v>-2563173.31</v>
      </c>
      <c r="I215" s="16" t="n">
        <v>46100</v>
      </c>
      <c r="J215" s="16" t="n">
        <v>46130</v>
      </c>
      <c r="K215" s="5" t="inlineStr">
        <is>
          <t>Fatura do fornecedor NORDEX SE 610560</t>
        </is>
      </c>
      <c r="L215" s="5" t="inlineStr">
        <is>
          <t>15042026</t>
        </is>
      </c>
      <c r="M215" s="5">
        <f>IF(YEAR(I215)&lt;=2020,"Até 2020",TEXT(YEAR(I215),"0"))</f>
        <v/>
      </c>
      <c r="N215" s="5">
        <f>IFERROR(INDEX(DePara!$A:$A,MATCH(TEXT(B215,"0"),DePara!$D:$D,0)),"(sem categoria)")</f>
        <v/>
      </c>
      <c r="O215" s="5">
        <f>IF(J215="","",Parametros!$B$6-J215)</f>
        <v/>
      </c>
      <c r="P215" s="5">
        <f>IF(O215="","",IF(O215&gt;0,1,0))</f>
        <v/>
      </c>
    </row>
    <row r="216">
      <c r="A216" s="5" t="n">
        <v>2122100000</v>
      </c>
      <c r="B216" s="5" t="inlineStr">
        <is>
          <t>IC1000</t>
        </is>
      </c>
      <c r="C216" s="5" t="inlineStr">
        <is>
          <t>NORDEX ENERGY SE &amp; CO KG</t>
        </is>
      </c>
      <c r="D216" s="5" t="inlineStr">
        <is>
          <t>KR</t>
        </is>
      </c>
      <c r="E216" s="5" t="n">
        <v>5005246</v>
      </c>
      <c r="F216" s="5" t="inlineStr">
        <is>
          <t>624735</t>
        </is>
      </c>
      <c r="G216" s="5" t="inlineStr">
        <is>
          <t>EUR</t>
        </is>
      </c>
      <c r="H216" s="9" t="n">
        <v>-3680996.12</v>
      </c>
      <c r="I216" s="16" t="n">
        <v>46101</v>
      </c>
      <c r="J216" s="16" t="n">
        <v>46131</v>
      </c>
      <c r="K216" s="5" t="inlineStr">
        <is>
          <t>Fatura do fornecedor NORDEX ENERGY SE &amp; CO KG 6247</t>
        </is>
      </c>
      <c r="L216" s="5" t="inlineStr">
        <is>
          <t>15042026</t>
        </is>
      </c>
      <c r="M216" s="5">
        <f>IF(YEAR(I216)&lt;=2020,"Até 2020",TEXT(YEAR(I216),"0"))</f>
        <v/>
      </c>
      <c r="N216" s="5">
        <f>IFERROR(INDEX(DePara!$A:$A,MATCH(TEXT(B216,"0"),DePara!$D:$D,0)),"(sem categoria)")</f>
        <v/>
      </c>
      <c r="O216" s="5">
        <f>IF(J216="","",Parametros!$B$6-J216)</f>
        <v/>
      </c>
      <c r="P216" s="5">
        <f>IF(O216="","",IF(O216&gt;0,1,0))</f>
        <v/>
      </c>
    </row>
    <row r="217">
      <c r="A217" s="5" t="n">
        <v>2122100000</v>
      </c>
      <c r="B217" s="5" t="inlineStr">
        <is>
          <t>IC4420</t>
        </is>
      </c>
      <c r="C217" s="5" t="inlineStr">
        <is>
          <t>NORDEX ENERGY SPAIN S A U</t>
        </is>
      </c>
      <c r="D217" s="5" t="inlineStr">
        <is>
          <t>RE</t>
        </is>
      </c>
      <c r="E217" s="5" t="n">
        <v>5005254</v>
      </c>
      <c r="F217" s="5" t="inlineStr">
        <is>
          <t>4026001240</t>
        </is>
      </c>
      <c r="G217" s="5" t="inlineStr">
        <is>
          <t>EUR</t>
        </is>
      </c>
      <c r="H217" s="9" t="n">
        <v>-31920.55</v>
      </c>
      <c r="I217" s="16" t="n">
        <v>46073</v>
      </c>
      <c r="J217" s="16" t="n">
        <v>46103</v>
      </c>
      <c r="K217" s="5" t="inlineStr">
        <is>
          <t>0083/26</t>
        </is>
      </c>
      <c r="L217" s="5" t="inlineStr">
        <is>
          <t>4026001240</t>
        </is>
      </c>
      <c r="M217" s="5">
        <f>IF(YEAR(I217)&lt;=2020,"Até 2020",TEXT(YEAR(I217),"0"))</f>
        <v/>
      </c>
      <c r="N217" s="5">
        <f>IFERROR(INDEX(DePara!$A:$A,MATCH(TEXT(B217,"0"),DePara!$D:$D,0)),"(sem categoria)")</f>
        <v/>
      </c>
      <c r="O217" s="5">
        <f>IF(J217="","",Parametros!$B$6-J217)</f>
        <v/>
      </c>
      <c r="P217" s="5">
        <f>IF(O217="","",IF(O217&gt;0,1,0))</f>
        <v/>
      </c>
    </row>
    <row r="218">
      <c r="A218" s="5" t="n">
        <v>2122100000</v>
      </c>
      <c r="B218" s="5" t="inlineStr">
        <is>
          <t>IC4420</t>
        </is>
      </c>
      <c r="C218" s="5" t="inlineStr">
        <is>
          <t>NORDEX ENERGY SPAIN S A U</t>
        </is>
      </c>
      <c r="D218" s="5" t="inlineStr">
        <is>
          <t>RE</t>
        </is>
      </c>
      <c r="E218" s="5" t="n">
        <v>5005268</v>
      </c>
      <c r="F218" s="5" t="inlineStr">
        <is>
          <t>4026001582</t>
        </is>
      </c>
      <c r="G218" s="5" t="inlineStr">
        <is>
          <t>EUR</t>
        </is>
      </c>
      <c r="H218" s="9" t="n">
        <v>-34410.44</v>
      </c>
      <c r="I218" s="16" t="n">
        <v>46085</v>
      </c>
      <c r="J218" s="16" t="n">
        <v>46115</v>
      </c>
      <c r="K218" s="5" t="inlineStr">
        <is>
          <t>0122/26</t>
        </is>
      </c>
      <c r="L218" s="5" t="inlineStr">
        <is>
          <t>4026001582</t>
        </is>
      </c>
      <c r="M218" s="5">
        <f>IF(YEAR(I218)&lt;=2020,"Até 2020",TEXT(YEAR(I218),"0"))</f>
        <v/>
      </c>
      <c r="N218" s="5">
        <f>IFERROR(INDEX(DePara!$A:$A,MATCH(TEXT(B218,"0"),DePara!$D:$D,0)),"(sem categoria)")</f>
        <v/>
      </c>
      <c r="O218" s="5">
        <f>IF(J218="","",Parametros!$B$6-J218)</f>
        <v/>
      </c>
      <c r="P218" s="5">
        <f>IF(O218="","",IF(O218&gt;0,1,0))</f>
        <v/>
      </c>
    </row>
    <row r="219">
      <c r="A219" s="5" t="n">
        <v>2122100000</v>
      </c>
      <c r="B219" s="5" t="inlineStr">
        <is>
          <t>IC4420</t>
        </is>
      </c>
      <c r="C219" s="5" t="inlineStr">
        <is>
          <t>NORDEX ENERGY SPAIN S A U</t>
        </is>
      </c>
      <c r="D219" s="5" t="inlineStr">
        <is>
          <t>RE</t>
        </is>
      </c>
      <c r="E219" s="5" t="n">
        <v>5005269</v>
      </c>
      <c r="F219" s="5" t="inlineStr">
        <is>
          <t>4026001745</t>
        </is>
      </c>
      <c r="G219" s="5" t="inlineStr">
        <is>
          <t>EUR</t>
        </is>
      </c>
      <c r="H219" s="9" t="n">
        <v>-184607.13</v>
      </c>
      <c r="I219" s="16" t="n">
        <v>46092</v>
      </c>
      <c r="J219" s="16" t="n">
        <v>46122</v>
      </c>
      <c r="K219" s="5" t="inlineStr">
        <is>
          <t>0161/26</t>
        </is>
      </c>
      <c r="L219" s="5" t="inlineStr">
        <is>
          <t>4026001745</t>
        </is>
      </c>
      <c r="M219" s="5">
        <f>IF(YEAR(I219)&lt;=2020,"Até 2020",TEXT(YEAR(I219),"0"))</f>
        <v/>
      </c>
      <c r="N219" s="5">
        <f>IFERROR(INDEX(DePara!$A:$A,MATCH(TEXT(B219,"0"),DePara!$D:$D,0)),"(sem categoria)")</f>
        <v/>
      </c>
      <c r="O219" s="5">
        <f>IF(J219="","",Parametros!$B$6-J219)</f>
        <v/>
      </c>
      <c r="P219" s="5">
        <f>IF(O219="","",IF(O219&gt;0,1,0))</f>
        <v/>
      </c>
    </row>
    <row r="220">
      <c r="A220" s="5" t="n">
        <v>2122100000</v>
      </c>
      <c r="B220" s="5" t="inlineStr">
        <is>
          <t>IC4420</t>
        </is>
      </c>
      <c r="C220" s="5" t="inlineStr">
        <is>
          <t>NORDEX ENERGY SPAIN S A U</t>
        </is>
      </c>
      <c r="D220" s="5" t="inlineStr">
        <is>
          <t>RE</t>
        </is>
      </c>
      <c r="E220" s="5" t="n">
        <v>5005270</v>
      </c>
      <c r="F220" s="5" t="inlineStr">
        <is>
          <t>4025008992</t>
        </is>
      </c>
      <c r="G220" s="5" t="inlineStr">
        <is>
          <t>EUR</t>
        </is>
      </c>
      <c r="H220" s="9" t="n">
        <v>-17666.59</v>
      </c>
      <c r="I220" s="16" t="n">
        <v>45981</v>
      </c>
      <c r="J220" s="16" t="n">
        <v>46011</v>
      </c>
      <c r="K220" s="5" t="inlineStr">
        <is>
          <t>0875/25</t>
        </is>
      </c>
      <c r="L220" s="5" t="inlineStr">
        <is>
          <t>4025008992</t>
        </is>
      </c>
      <c r="M220" s="5">
        <f>IF(YEAR(I220)&lt;=2020,"Até 2020",TEXT(YEAR(I220),"0"))</f>
        <v/>
      </c>
      <c r="N220" s="5">
        <f>IFERROR(INDEX(DePara!$A:$A,MATCH(TEXT(B220,"0"),DePara!$D:$D,0)),"(sem categoria)")</f>
        <v/>
      </c>
      <c r="O220" s="5">
        <f>IF(J220="","",Parametros!$B$6-J220)</f>
        <v/>
      </c>
      <c r="P220" s="5">
        <f>IF(O220="","",IF(O220&gt;0,1,0))</f>
        <v/>
      </c>
    </row>
    <row r="221">
      <c r="A221" s="5" t="n">
        <v>2122100000</v>
      </c>
      <c r="B221" s="5" t="inlineStr">
        <is>
          <t>IC4420</t>
        </is>
      </c>
      <c r="C221" s="5" t="inlineStr">
        <is>
          <t>NORDEX ENERGY SPAIN S A U</t>
        </is>
      </c>
      <c r="D221" s="5" t="inlineStr">
        <is>
          <t>RE</t>
        </is>
      </c>
      <c r="E221" s="5" t="n">
        <v>5005271</v>
      </c>
      <c r="F221" s="5" t="inlineStr">
        <is>
          <t>4026001603</t>
        </is>
      </c>
      <c r="G221" s="5" t="inlineStr">
        <is>
          <t>EUR</t>
        </is>
      </c>
      <c r="H221" s="9" t="n">
        <v>-460225.84</v>
      </c>
      <c r="I221" s="16" t="n">
        <v>46086</v>
      </c>
      <c r="J221" s="16" t="n">
        <v>46116</v>
      </c>
      <c r="K221" s="5" t="inlineStr">
        <is>
          <t>0126/26</t>
        </is>
      </c>
      <c r="L221" s="5" t="inlineStr">
        <is>
          <t>4026001603</t>
        </is>
      </c>
      <c r="M221" s="5">
        <f>IF(YEAR(I221)&lt;=2020,"Até 2020",TEXT(YEAR(I221),"0"))</f>
        <v/>
      </c>
      <c r="N221" s="5">
        <f>IFERROR(INDEX(DePara!$A:$A,MATCH(TEXT(B221,"0"),DePara!$D:$D,0)),"(sem categoria)")</f>
        <v/>
      </c>
      <c r="O221" s="5">
        <f>IF(J221="","",Parametros!$B$6-J221)</f>
        <v/>
      </c>
      <c r="P221" s="5">
        <f>IF(O221="","",IF(O221&gt;0,1,0))</f>
        <v/>
      </c>
    </row>
    <row r="222">
      <c r="A222" s="5" t="n">
        <v>2122100000</v>
      </c>
      <c r="B222" s="5" t="inlineStr">
        <is>
          <t>IC4420</t>
        </is>
      </c>
      <c r="C222" s="5" t="inlineStr">
        <is>
          <t>NORDEX ENERGY SPAIN S A U</t>
        </is>
      </c>
      <c r="D222" s="5" t="inlineStr">
        <is>
          <t>RE</t>
        </is>
      </c>
      <c r="E222" s="5" t="n">
        <v>5005272</v>
      </c>
      <c r="F222" s="5" t="inlineStr">
        <is>
          <t>4026000442</t>
        </is>
      </c>
      <c r="G222" s="5" t="inlineStr">
        <is>
          <t>EUR</t>
        </is>
      </c>
      <c r="H222" s="9" t="n">
        <v>-10181.47</v>
      </c>
      <c r="I222" s="16" t="n">
        <v>46043</v>
      </c>
      <c r="J222" s="16" t="n">
        <v>46073</v>
      </c>
      <c r="K222" s="5" t="inlineStr">
        <is>
          <t>0037/26</t>
        </is>
      </c>
      <c r="L222" s="5" t="inlineStr">
        <is>
          <t>4026000442</t>
        </is>
      </c>
      <c r="M222" s="5">
        <f>IF(YEAR(I222)&lt;=2020,"Até 2020",TEXT(YEAR(I222),"0"))</f>
        <v/>
      </c>
      <c r="N222" s="5">
        <f>IFERROR(INDEX(DePara!$A:$A,MATCH(TEXT(B222,"0"),DePara!$D:$D,0)),"(sem categoria)")</f>
        <v/>
      </c>
      <c r="O222" s="5">
        <f>IF(J222="","",Parametros!$B$6-J222)</f>
        <v/>
      </c>
      <c r="P222" s="5">
        <f>IF(O222="","",IF(O222&gt;0,1,0))</f>
        <v/>
      </c>
    </row>
    <row r="223">
      <c r="A223" s="5" t="n">
        <v>2122100000</v>
      </c>
      <c r="B223" s="5" t="inlineStr">
        <is>
          <t>IC4420</t>
        </is>
      </c>
      <c r="C223" s="5" t="inlineStr">
        <is>
          <t>NORDEX ENERGY SPAIN S A U</t>
        </is>
      </c>
      <c r="D223" s="5" t="inlineStr">
        <is>
          <t>RE</t>
        </is>
      </c>
      <c r="E223" s="5" t="n">
        <v>5005273</v>
      </c>
      <c r="F223" s="5" t="inlineStr">
        <is>
          <t>4026000450</t>
        </is>
      </c>
      <c r="G223" s="5" t="inlineStr">
        <is>
          <t>EUR</t>
        </is>
      </c>
      <c r="H223" s="9" t="n">
        <v>-47873.74</v>
      </c>
      <c r="I223" s="16" t="n">
        <v>46043</v>
      </c>
      <c r="J223" s="16" t="n">
        <v>46073</v>
      </c>
      <c r="K223" s="5" t="inlineStr">
        <is>
          <t>0042/26</t>
        </is>
      </c>
      <c r="L223" s="5" t="inlineStr">
        <is>
          <t>4026000450</t>
        </is>
      </c>
      <c r="M223" s="5">
        <f>IF(YEAR(I223)&lt;=2020,"Até 2020",TEXT(YEAR(I223),"0"))</f>
        <v/>
      </c>
      <c r="N223" s="5">
        <f>IFERROR(INDEX(DePara!$A:$A,MATCH(TEXT(B223,"0"),DePara!$D:$D,0)),"(sem categoria)")</f>
        <v/>
      </c>
      <c r="O223" s="5">
        <f>IF(J223="","",Parametros!$B$6-J223)</f>
        <v/>
      </c>
      <c r="P223" s="5">
        <f>IF(O223="","",IF(O223&gt;0,1,0))</f>
        <v/>
      </c>
    </row>
    <row r="224">
      <c r="A224" s="5" t="n">
        <v>2122100000</v>
      </c>
      <c r="B224" s="5" t="inlineStr">
        <is>
          <t>IC4420</t>
        </is>
      </c>
      <c r="C224" s="5" t="inlineStr">
        <is>
          <t>NORDEX ENERGY SPAIN S A U</t>
        </is>
      </c>
      <c r="D224" s="5" t="inlineStr">
        <is>
          <t>RE</t>
        </is>
      </c>
      <c r="E224" s="5" t="n">
        <v>5005274</v>
      </c>
      <c r="F224" s="5" t="inlineStr">
        <is>
          <t>4025008985</t>
        </is>
      </c>
      <c r="G224" s="5" t="inlineStr">
        <is>
          <t>EUR</t>
        </is>
      </c>
      <c r="H224" s="9" t="n">
        <v>-13613.11</v>
      </c>
      <c r="I224" s="16" t="n">
        <v>45981</v>
      </c>
      <c r="J224" s="16" t="n">
        <v>46011</v>
      </c>
      <c r="K224" s="5" t="inlineStr">
        <is>
          <t>0878/25</t>
        </is>
      </c>
      <c r="L224" s="5" t="inlineStr">
        <is>
          <t>4025008985</t>
        </is>
      </c>
      <c r="M224" s="5">
        <f>IF(YEAR(I224)&lt;=2020,"Até 2020",TEXT(YEAR(I224),"0"))</f>
        <v/>
      </c>
      <c r="N224" s="5">
        <f>IFERROR(INDEX(DePara!$A:$A,MATCH(TEXT(B224,"0"),DePara!$D:$D,0)),"(sem categoria)")</f>
        <v/>
      </c>
      <c r="O224" s="5">
        <f>IF(J224="","",Parametros!$B$6-J224)</f>
        <v/>
      </c>
      <c r="P224" s="5">
        <f>IF(O224="","",IF(O224&gt;0,1,0))</f>
        <v/>
      </c>
    </row>
    <row r="225">
      <c r="A225" s="5" t="n">
        <v>2122100000</v>
      </c>
      <c r="B225" s="5" t="inlineStr">
        <is>
          <t>IC4420</t>
        </is>
      </c>
      <c r="C225" s="5" t="inlineStr">
        <is>
          <t>NORDEX ENERGY SPAIN S A U</t>
        </is>
      </c>
      <c r="D225" s="5" t="inlineStr">
        <is>
          <t>RE</t>
        </is>
      </c>
      <c r="E225" s="5" t="n">
        <v>5005282</v>
      </c>
      <c r="F225" s="5" t="inlineStr">
        <is>
          <t>4026001635</t>
        </is>
      </c>
      <c r="G225" s="5" t="inlineStr">
        <is>
          <t>EUR</t>
        </is>
      </c>
      <c r="H225" s="9" t="n">
        <v>-131189.98</v>
      </c>
      <c r="I225" s="16" t="n">
        <v>46087</v>
      </c>
      <c r="J225" s="16" t="n">
        <v>46117</v>
      </c>
      <c r="K225" s="5" t="inlineStr">
        <is>
          <t>0137/26</t>
        </is>
      </c>
      <c r="L225" s="5" t="inlineStr">
        <is>
          <t>4026001635</t>
        </is>
      </c>
      <c r="M225" s="5">
        <f>IF(YEAR(I225)&lt;=2020,"Até 2020",TEXT(YEAR(I225),"0"))</f>
        <v/>
      </c>
      <c r="N225" s="5">
        <f>IFERROR(INDEX(DePara!$A:$A,MATCH(TEXT(B225,"0"),DePara!$D:$D,0)),"(sem categoria)")</f>
        <v/>
      </c>
      <c r="O225" s="5">
        <f>IF(J225="","",Parametros!$B$6-J225)</f>
        <v/>
      </c>
      <c r="P225" s="5">
        <f>IF(O225="","",IF(O225&gt;0,1,0))</f>
        <v/>
      </c>
    </row>
    <row r="226">
      <c r="A226" s="5" t="n">
        <v>2122100000</v>
      </c>
      <c r="B226" s="5" t="inlineStr">
        <is>
          <t>IC5000</t>
        </is>
      </c>
      <c r="C226" s="5" t="inlineStr">
        <is>
          <t>NORDEX SE</t>
        </is>
      </c>
      <c r="D226" s="5" t="inlineStr">
        <is>
          <t>KR</t>
        </is>
      </c>
      <c r="E226" s="5" t="n">
        <v>5005318</v>
      </c>
      <c r="F226" s="5" t="inlineStr">
        <is>
          <t>610595</t>
        </is>
      </c>
      <c r="G226" s="5" t="inlineStr">
        <is>
          <t>EUR</t>
        </is>
      </c>
      <c r="H226" s="9" t="n">
        <v>-2241582.56</v>
      </c>
      <c r="I226" s="16" t="n">
        <v>46100</v>
      </c>
      <c r="J226" s="16" t="n">
        <v>46130</v>
      </c>
      <c r="K226" s="5" t="inlineStr">
        <is>
          <t>Fatura do fornecedor NORDEX SE 610595</t>
        </is>
      </c>
      <c r="L226" s="5" t="inlineStr">
        <is>
          <t>15042026</t>
        </is>
      </c>
      <c r="M226" s="5">
        <f>IF(YEAR(I226)&lt;=2020,"Até 2020",TEXT(YEAR(I226),"0"))</f>
        <v/>
      </c>
      <c r="N226" s="5">
        <f>IFERROR(INDEX(DePara!$A:$A,MATCH(TEXT(B226,"0"),DePara!$D:$D,0)),"(sem categoria)")</f>
        <v/>
      </c>
      <c r="O226" s="5">
        <f>IF(J226="","",Parametros!$B$6-J226)</f>
        <v/>
      </c>
      <c r="P226" s="5">
        <f>IF(O226="","",IF(O226&gt;0,1,0))</f>
        <v/>
      </c>
    </row>
    <row r="227">
      <c r="A227" s="5" t="n">
        <v>2122100000</v>
      </c>
      <c r="B227" s="5" t="inlineStr">
        <is>
          <t>IC4420</t>
        </is>
      </c>
      <c r="C227" s="5" t="inlineStr">
        <is>
          <t>NORDEX ENERGY SPAIN S A U</t>
        </is>
      </c>
      <c r="D227" s="5" t="inlineStr">
        <is>
          <t>RE</t>
        </is>
      </c>
      <c r="E227" s="5" t="n">
        <v>5005396</v>
      </c>
      <c r="F227" s="5" t="inlineStr">
        <is>
          <t>4026001609</t>
        </is>
      </c>
      <c r="G227" s="5" t="inlineStr">
        <is>
          <t>EUR</t>
        </is>
      </c>
      <c r="H227" s="9" t="n">
        <v>-7312.24</v>
      </c>
      <c r="I227" s="16" t="n">
        <v>46086</v>
      </c>
      <c r="J227" s="16" t="n">
        <v>46116</v>
      </c>
      <c r="K227" s="5" t="inlineStr">
        <is>
          <t>0134/26</t>
        </is>
      </c>
      <c r="L227" s="5" t="inlineStr">
        <is>
          <t>4026001609</t>
        </is>
      </c>
      <c r="M227" s="5">
        <f>IF(YEAR(I227)&lt;=2020,"Até 2020",TEXT(YEAR(I227),"0"))</f>
        <v/>
      </c>
      <c r="N227" s="5">
        <f>IFERROR(INDEX(DePara!$A:$A,MATCH(TEXT(B227,"0"),DePara!$D:$D,0)),"(sem categoria)")</f>
        <v/>
      </c>
      <c r="O227" s="5">
        <f>IF(J227="","",Parametros!$B$6-J227)</f>
        <v/>
      </c>
      <c r="P227" s="5">
        <f>IF(O227="","",IF(O227&gt;0,1,0))</f>
        <v/>
      </c>
    </row>
    <row r="228">
      <c r="A228" s="5" t="n">
        <v>2122100000</v>
      </c>
      <c r="B228" s="5" t="inlineStr">
        <is>
          <t>IC1000</t>
        </is>
      </c>
      <c r="C228" s="5" t="inlineStr">
        <is>
          <t>NORDEX ENERGY SE &amp; CO KG</t>
        </is>
      </c>
      <c r="D228" s="5" t="inlineStr">
        <is>
          <t>RE</t>
        </is>
      </c>
      <c r="E228" s="5" t="n">
        <v>5005397</v>
      </c>
      <c r="F228" s="5" t="inlineStr">
        <is>
          <t>4012485782</t>
        </is>
      </c>
      <c r="G228" s="5" t="inlineStr">
        <is>
          <t>BRL</t>
        </is>
      </c>
      <c r="H228" s="9" t="n">
        <v>-63674.7</v>
      </c>
      <c r="I228" s="16" t="n">
        <v>45989</v>
      </c>
      <c r="J228" s="16" t="n">
        <v>46019</v>
      </c>
      <c r="K228" s="5" t="inlineStr">
        <is>
          <t>0044/26</t>
        </is>
      </c>
      <c r="L228" s="5" t="inlineStr">
        <is>
          <t>4012485782</t>
        </is>
      </c>
      <c r="M228" s="5">
        <f>IF(YEAR(I228)&lt;=2020,"Até 2020",TEXT(YEAR(I228),"0"))</f>
        <v/>
      </c>
      <c r="N228" s="5">
        <f>IFERROR(INDEX(DePara!$A:$A,MATCH(TEXT(B228,"0"),DePara!$D:$D,0)),"(sem categoria)")</f>
        <v/>
      </c>
      <c r="O228" s="5">
        <f>IF(J228="","",Parametros!$B$6-J228)</f>
        <v/>
      </c>
      <c r="P228" s="5">
        <f>IF(O228="","",IF(O228&gt;0,1,0))</f>
        <v/>
      </c>
    </row>
    <row r="229">
      <c r="A229" s="5" t="n">
        <v>2122100000</v>
      </c>
      <c r="B229" s="5" t="inlineStr">
        <is>
          <t>IC1000</t>
        </is>
      </c>
      <c r="C229" s="5" t="inlineStr">
        <is>
          <t>NORDEX ENERGY SE &amp; CO KG</t>
        </is>
      </c>
      <c r="D229" s="5" t="inlineStr">
        <is>
          <t>RE</t>
        </is>
      </c>
      <c r="E229" s="5" t="n">
        <v>5005398</v>
      </c>
      <c r="F229" s="5" t="inlineStr">
        <is>
          <t>4012485636</t>
        </is>
      </c>
      <c r="G229" s="5" t="inlineStr">
        <is>
          <t>BRL</t>
        </is>
      </c>
      <c r="H229" s="9" t="n">
        <v>-41921.23</v>
      </c>
      <c r="I229" s="16" t="n">
        <v>45986</v>
      </c>
      <c r="J229" s="16" t="n">
        <v>46016</v>
      </c>
      <c r="K229" s="5" t="inlineStr">
        <is>
          <t>0044/26</t>
        </is>
      </c>
      <c r="L229" s="5" t="inlineStr">
        <is>
          <t>4012485636</t>
        </is>
      </c>
      <c r="M229" s="5">
        <f>IF(YEAR(I229)&lt;=2020,"Até 2020",TEXT(YEAR(I229),"0"))</f>
        <v/>
      </c>
      <c r="N229" s="5">
        <f>IFERROR(INDEX(DePara!$A:$A,MATCH(TEXT(B229,"0"),DePara!$D:$D,0)),"(sem categoria)")</f>
        <v/>
      </c>
      <c r="O229" s="5">
        <f>IF(J229="","",Parametros!$B$6-J229)</f>
        <v/>
      </c>
      <c r="P229" s="5">
        <f>IF(O229="","",IF(O229&gt;0,1,0))</f>
        <v/>
      </c>
    </row>
    <row r="230">
      <c r="A230" s="5" t="n">
        <v>2122100000</v>
      </c>
      <c r="B230" s="5" t="inlineStr">
        <is>
          <t>IC4420</t>
        </is>
      </c>
      <c r="C230" s="5" t="inlineStr">
        <is>
          <t>NORDEX ENERGY SPAIN S A U</t>
        </is>
      </c>
      <c r="D230" s="5" t="inlineStr">
        <is>
          <t>RE</t>
        </is>
      </c>
      <c r="E230" s="5" t="n">
        <v>5005427</v>
      </c>
      <c r="F230" s="5" t="inlineStr">
        <is>
          <t>4025009928</t>
        </is>
      </c>
      <c r="G230" s="5" t="inlineStr">
        <is>
          <t>EUR</t>
        </is>
      </c>
      <c r="H230" s="9" t="n">
        <v>-408810.24</v>
      </c>
      <c r="I230" s="16" t="n">
        <v>46014</v>
      </c>
      <c r="J230" s="16" t="n">
        <v>46044</v>
      </c>
      <c r="K230" s="5" t="inlineStr">
        <is>
          <t>0003/26</t>
        </is>
      </c>
      <c r="L230" s="5" t="inlineStr">
        <is>
          <t>4025009928</t>
        </is>
      </c>
      <c r="M230" s="5">
        <f>IF(YEAR(I230)&lt;=2020,"Até 2020",TEXT(YEAR(I230),"0"))</f>
        <v/>
      </c>
      <c r="N230" s="5">
        <f>IFERROR(INDEX(DePara!$A:$A,MATCH(TEXT(B230,"0"),DePara!$D:$D,0)),"(sem categoria)")</f>
        <v/>
      </c>
      <c r="O230" s="5">
        <f>IF(J230="","",Parametros!$B$6-J230)</f>
        <v/>
      </c>
      <c r="P230" s="5">
        <f>IF(O230="","",IF(O230&gt;0,1,0))</f>
        <v/>
      </c>
    </row>
    <row r="231">
      <c r="A231" s="5" t="n">
        <v>2122100000</v>
      </c>
      <c r="B231" s="5" t="inlineStr">
        <is>
          <t>IC1000</t>
        </is>
      </c>
      <c r="C231" s="5" t="inlineStr">
        <is>
          <t>NORDEX ENERGY SE &amp; CO KG</t>
        </is>
      </c>
      <c r="D231" s="5" t="inlineStr">
        <is>
          <t>RE</t>
        </is>
      </c>
      <c r="E231" s="5" t="n">
        <v>5005502</v>
      </c>
      <c r="F231" s="5" t="inlineStr">
        <is>
          <t>388001</t>
        </is>
      </c>
      <c r="G231" s="5" t="inlineStr">
        <is>
          <t>EUR</t>
        </is>
      </c>
      <c r="H231" s="9" t="n">
        <v>-152225.11</v>
      </c>
      <c r="I231" s="16" t="n">
        <v>46091</v>
      </c>
      <c r="J231" s="16" t="n">
        <v>46121</v>
      </c>
      <c r="K231" s="5" t="inlineStr">
        <is>
          <t>0155/26</t>
        </is>
      </c>
      <c r="L231" s="5" t="inlineStr">
        <is>
          <t>388001</t>
        </is>
      </c>
      <c r="M231" s="5">
        <f>IF(YEAR(I231)&lt;=2020,"Até 2020",TEXT(YEAR(I231),"0"))</f>
        <v/>
      </c>
      <c r="N231" s="5">
        <f>IFERROR(INDEX(DePara!$A:$A,MATCH(TEXT(B231,"0"),DePara!$D:$D,0)),"(sem categoria)")</f>
        <v/>
      </c>
      <c r="O231" s="5">
        <f>IF(J231="","",Parametros!$B$6-J231)</f>
        <v/>
      </c>
      <c r="P231" s="5">
        <f>IF(O231="","",IF(O231&gt;0,1,0))</f>
        <v/>
      </c>
    </row>
    <row r="232">
      <c r="A232" s="5" t="n">
        <v>2122100000</v>
      </c>
      <c r="B232" s="5" t="inlineStr">
        <is>
          <t>IC1000</t>
        </is>
      </c>
      <c r="C232" s="5" t="inlineStr">
        <is>
          <t>NORDEX ENERGY SE &amp; CO KG</t>
        </is>
      </c>
      <c r="D232" s="5" t="inlineStr">
        <is>
          <t>RE</t>
        </is>
      </c>
      <c r="E232" s="5" t="n">
        <v>5005544</v>
      </c>
      <c r="F232" s="5" t="inlineStr">
        <is>
          <t>324429</t>
        </is>
      </c>
      <c r="G232" s="5" t="inlineStr">
        <is>
          <t>EUR</t>
        </is>
      </c>
      <c r="H232" s="9" t="n">
        <v>-6799.13</v>
      </c>
      <c r="I232" s="16" t="n">
        <v>45672</v>
      </c>
      <c r="J232" s="16" t="n">
        <v>45702</v>
      </c>
      <c r="K232" s="5" t="inlineStr">
        <is>
          <t>0065/25</t>
        </is>
      </c>
      <c r="L232" s="5" t="inlineStr">
        <is>
          <t>324429</t>
        </is>
      </c>
      <c r="M232" s="5">
        <f>IF(YEAR(I232)&lt;=2020,"Até 2020",TEXT(YEAR(I232),"0"))</f>
        <v/>
      </c>
      <c r="N232" s="5">
        <f>IFERROR(INDEX(DePara!$A:$A,MATCH(TEXT(B232,"0"),DePara!$D:$D,0)),"(sem categoria)")</f>
        <v/>
      </c>
      <c r="O232" s="5">
        <f>IF(J232="","",Parametros!$B$6-J232)</f>
        <v/>
      </c>
      <c r="P232" s="5">
        <f>IF(O232="","",IF(O232&gt;0,1,0))</f>
        <v/>
      </c>
    </row>
    <row r="233">
      <c r="A233" s="5" t="n">
        <v>2122100000</v>
      </c>
      <c r="B233" s="5" t="inlineStr">
        <is>
          <t>IC4420</t>
        </is>
      </c>
      <c r="C233" s="5" t="inlineStr">
        <is>
          <t>NORDEX ENERGY SPAIN S A U</t>
        </is>
      </c>
      <c r="D233" s="5" t="inlineStr">
        <is>
          <t>RE</t>
        </is>
      </c>
      <c r="E233" s="5" t="n">
        <v>5005563</v>
      </c>
      <c r="F233" s="5" t="inlineStr">
        <is>
          <t>4018000029</t>
        </is>
      </c>
      <c r="G233" s="5" t="inlineStr">
        <is>
          <t>EUR</t>
        </is>
      </c>
      <c r="H233" s="9" t="n">
        <v>-2910321.23</v>
      </c>
      <c r="I233" s="16" t="n">
        <v>46059</v>
      </c>
      <c r="J233" s="16" t="n">
        <v>46089</v>
      </c>
      <c r="K233" s="5" t="inlineStr">
        <is>
          <t>0032/26</t>
        </is>
      </c>
      <c r="L233" s="5" t="inlineStr">
        <is>
          <t>4018000029</t>
        </is>
      </c>
      <c r="M233" s="5">
        <f>IF(YEAR(I233)&lt;=2020,"Até 2020",TEXT(YEAR(I233),"0"))</f>
        <v/>
      </c>
      <c r="N233" s="5">
        <f>IFERROR(INDEX(DePara!$A:$A,MATCH(TEXT(B233,"0"),DePara!$D:$D,0)),"(sem categoria)")</f>
        <v/>
      </c>
      <c r="O233" s="5">
        <f>IF(J233="","",Parametros!$B$6-J233)</f>
        <v/>
      </c>
      <c r="P233" s="5">
        <f>IF(O233="","",IF(O233&gt;0,1,0))</f>
        <v/>
      </c>
    </row>
    <row r="234">
      <c r="A234" s="5" t="n">
        <v>2122100000</v>
      </c>
      <c r="B234" s="5" t="inlineStr">
        <is>
          <t>IC4420</t>
        </is>
      </c>
      <c r="C234" s="5" t="inlineStr">
        <is>
          <t>NORDEX ENERGY SPAIN S A U</t>
        </is>
      </c>
      <c r="D234" s="5" t="inlineStr">
        <is>
          <t>RE</t>
        </is>
      </c>
      <c r="E234" s="5" t="n">
        <v>5005573</v>
      </c>
      <c r="F234" s="5" t="inlineStr">
        <is>
          <t>4026001607</t>
        </is>
      </c>
      <c r="G234" s="5" t="inlineStr">
        <is>
          <t>EUR</t>
        </is>
      </c>
      <c r="H234" s="9" t="n">
        <v>-21830.12</v>
      </c>
      <c r="I234" s="16" t="n">
        <v>46086</v>
      </c>
      <c r="J234" s="16" t="n">
        <v>46116</v>
      </c>
      <c r="K234" s="5" t="inlineStr">
        <is>
          <t>0136/26</t>
        </is>
      </c>
      <c r="L234" s="5" t="inlineStr">
        <is>
          <t>4026001607</t>
        </is>
      </c>
      <c r="M234" s="5">
        <f>IF(YEAR(I234)&lt;=2020,"Até 2020",TEXT(YEAR(I234),"0"))</f>
        <v/>
      </c>
      <c r="N234" s="5">
        <f>IFERROR(INDEX(DePara!$A:$A,MATCH(TEXT(B234,"0"),DePara!$D:$D,0)),"(sem categoria)")</f>
        <v/>
      </c>
      <c r="O234" s="5">
        <f>IF(J234="","",Parametros!$B$6-J234)</f>
        <v/>
      </c>
      <c r="P234" s="5">
        <f>IF(O234="","",IF(O234&gt;0,1,0))</f>
        <v/>
      </c>
    </row>
    <row r="235">
      <c r="A235" s="5" t="n">
        <v>2122100000</v>
      </c>
      <c r="B235" s="5" t="inlineStr">
        <is>
          <t>IC4420</t>
        </is>
      </c>
      <c r="C235" s="5" t="inlineStr">
        <is>
          <t>NORDEX ENERGY SPAIN S A U</t>
        </is>
      </c>
      <c r="D235" s="5" t="inlineStr">
        <is>
          <t>RE</t>
        </is>
      </c>
      <c r="E235" s="5" t="n">
        <v>5005574</v>
      </c>
      <c r="F235" s="5" t="inlineStr">
        <is>
          <t>4026001432</t>
        </is>
      </c>
      <c r="G235" s="5" t="inlineStr">
        <is>
          <t>EUR</t>
        </is>
      </c>
      <c r="H235" s="9" t="n">
        <v>-110.81</v>
      </c>
      <c r="I235" s="16" t="n">
        <v>46080</v>
      </c>
      <c r="J235" s="16" t="n">
        <v>46110</v>
      </c>
      <c r="K235" s="5" t="inlineStr">
        <is>
          <t>0111/26</t>
        </is>
      </c>
      <c r="L235" s="5" t="inlineStr">
        <is>
          <t>4026001432</t>
        </is>
      </c>
      <c r="M235" s="5">
        <f>IF(YEAR(I235)&lt;=2020,"Até 2020",TEXT(YEAR(I235),"0"))</f>
        <v/>
      </c>
      <c r="N235" s="5">
        <f>IFERROR(INDEX(DePara!$A:$A,MATCH(TEXT(B235,"0"),DePara!$D:$D,0)),"(sem categoria)")</f>
        <v/>
      </c>
      <c r="O235" s="5">
        <f>IF(J235="","",Parametros!$B$6-J235)</f>
        <v/>
      </c>
      <c r="P235" s="5">
        <f>IF(O235="","",IF(O235&gt;0,1,0))</f>
        <v/>
      </c>
    </row>
    <row r="236">
      <c r="A236" s="5" t="n">
        <v>2122100000</v>
      </c>
      <c r="B236" s="5" t="inlineStr">
        <is>
          <t>IC4420</t>
        </is>
      </c>
      <c r="C236" s="5" t="inlineStr">
        <is>
          <t>NORDEX ENERGY SPAIN S A U</t>
        </is>
      </c>
      <c r="D236" s="5" t="inlineStr">
        <is>
          <t>RE</t>
        </is>
      </c>
      <c r="E236" s="5" t="n">
        <v>5005575</v>
      </c>
      <c r="F236" s="5" t="inlineStr">
        <is>
          <t>4026001588</t>
        </is>
      </c>
      <c r="G236" s="5" t="inlineStr">
        <is>
          <t>EUR</t>
        </is>
      </c>
      <c r="H236" s="9" t="n">
        <v>-130033.97</v>
      </c>
      <c r="I236" s="16" t="n">
        <v>46085</v>
      </c>
      <c r="J236" s="16" t="n">
        <v>46115</v>
      </c>
      <c r="K236" s="5" t="inlineStr">
        <is>
          <t>0114/26</t>
        </is>
      </c>
      <c r="L236" s="5" t="inlineStr">
        <is>
          <t>4026001588</t>
        </is>
      </c>
      <c r="M236" s="5">
        <f>IF(YEAR(I236)&lt;=2020,"Até 2020",TEXT(YEAR(I236),"0"))</f>
        <v/>
      </c>
      <c r="N236" s="5">
        <f>IFERROR(INDEX(DePara!$A:$A,MATCH(TEXT(B236,"0"),DePara!$D:$D,0)),"(sem categoria)")</f>
        <v/>
      </c>
      <c r="O236" s="5">
        <f>IF(J236="","",Parametros!$B$6-J236)</f>
        <v/>
      </c>
      <c r="P236" s="5">
        <f>IF(O236="","",IF(O236&gt;0,1,0))</f>
        <v/>
      </c>
    </row>
    <row r="237">
      <c r="A237" s="5" t="n">
        <v>2122100000</v>
      </c>
      <c r="B237" s="5" t="inlineStr">
        <is>
          <t>IC1000</t>
        </is>
      </c>
      <c r="C237" s="5" t="inlineStr">
        <is>
          <t>NORDEX ENERGY SE &amp; CO KG</t>
        </is>
      </c>
      <c r="D237" s="5" t="inlineStr">
        <is>
          <t>RE</t>
        </is>
      </c>
      <c r="E237" s="5" t="n">
        <v>5005582</v>
      </c>
      <c r="F237" s="5" t="inlineStr">
        <is>
          <t>319547</t>
        </is>
      </c>
      <c r="G237" s="5" t="inlineStr">
        <is>
          <t>EUR</t>
        </is>
      </c>
      <c r="H237" s="9" t="n">
        <v>-32848.19</v>
      </c>
      <c r="I237" s="16" t="n">
        <v>45636</v>
      </c>
      <c r="J237" s="16" t="n">
        <v>45666</v>
      </c>
      <c r="K237" s="5" t="inlineStr">
        <is>
          <t>1161/24</t>
        </is>
      </c>
      <c r="L237" s="5" t="inlineStr">
        <is>
          <t>319547</t>
        </is>
      </c>
      <c r="M237" s="5">
        <f>IF(YEAR(I237)&lt;=2020,"Até 2020",TEXT(YEAR(I237),"0"))</f>
        <v/>
      </c>
      <c r="N237" s="5">
        <f>IFERROR(INDEX(DePara!$A:$A,MATCH(TEXT(B237,"0"),DePara!$D:$D,0)),"(sem categoria)")</f>
        <v/>
      </c>
      <c r="O237" s="5">
        <f>IF(J237="","",Parametros!$B$6-J237)</f>
        <v/>
      </c>
      <c r="P237" s="5">
        <f>IF(O237="","",IF(O237&gt;0,1,0))</f>
        <v/>
      </c>
    </row>
    <row r="238">
      <c r="A238" s="5" t="n">
        <v>2122100000</v>
      </c>
      <c r="B238" s="5" t="inlineStr">
        <is>
          <t>IC1000</t>
        </is>
      </c>
      <c r="C238" s="5" t="inlineStr">
        <is>
          <t>NORDEX ENERGY SE &amp; CO KG</t>
        </is>
      </c>
      <c r="D238" s="5" t="inlineStr">
        <is>
          <t>RE</t>
        </is>
      </c>
      <c r="E238" s="5" t="n">
        <v>5005583</v>
      </c>
      <c r="F238" s="5" t="inlineStr">
        <is>
          <t>320948</t>
        </is>
      </c>
      <c r="G238" s="5" t="inlineStr">
        <is>
          <t>EUR</t>
        </is>
      </c>
      <c r="H238" s="9" t="n">
        <v>-1803.6</v>
      </c>
      <c r="I238" s="16" t="n">
        <v>45636</v>
      </c>
      <c r="J238" s="16" t="n">
        <v>45666</v>
      </c>
      <c r="K238" s="5" t="inlineStr">
        <is>
          <t>1161/24</t>
        </is>
      </c>
      <c r="L238" s="5" t="inlineStr">
        <is>
          <t>320948</t>
        </is>
      </c>
      <c r="M238" s="5">
        <f>IF(YEAR(I238)&lt;=2020,"Até 2020",TEXT(YEAR(I238),"0"))</f>
        <v/>
      </c>
      <c r="N238" s="5">
        <f>IFERROR(INDEX(DePara!$A:$A,MATCH(TEXT(B238,"0"),DePara!$D:$D,0)),"(sem categoria)")</f>
        <v/>
      </c>
      <c r="O238" s="5">
        <f>IF(J238="","",Parametros!$B$6-J238)</f>
        <v/>
      </c>
      <c r="P238" s="5">
        <f>IF(O238="","",IF(O238&gt;0,1,0))</f>
        <v/>
      </c>
    </row>
    <row r="239">
      <c r="A239" s="5" t="n">
        <v>2122100000</v>
      </c>
      <c r="B239" s="5" t="inlineStr">
        <is>
          <t>IC4420</t>
        </is>
      </c>
      <c r="C239" s="5" t="inlineStr">
        <is>
          <t>NORDEX ENERGY SPAIN S A U</t>
        </is>
      </c>
      <c r="D239" s="5" t="inlineStr">
        <is>
          <t>RE</t>
        </is>
      </c>
      <c r="E239" s="5" t="n">
        <v>5005611</v>
      </c>
      <c r="F239" s="5" t="inlineStr">
        <is>
          <t>4026001433</t>
        </is>
      </c>
      <c r="G239" s="5" t="inlineStr">
        <is>
          <t>EUR</t>
        </is>
      </c>
      <c r="H239" s="9" t="n">
        <v>-6864.83</v>
      </c>
      <c r="I239" s="16" t="n">
        <v>46080</v>
      </c>
      <c r="J239" s="16" t="n">
        <v>46110</v>
      </c>
      <c r="K239" s="5" t="inlineStr">
        <is>
          <t>0112/26</t>
        </is>
      </c>
      <c r="L239" s="5" t="inlineStr">
        <is>
          <t>4026001433</t>
        </is>
      </c>
      <c r="M239" s="5">
        <f>IF(YEAR(I239)&lt;=2020,"Até 2020",TEXT(YEAR(I239),"0"))</f>
        <v/>
      </c>
      <c r="N239" s="5">
        <f>IFERROR(INDEX(DePara!$A:$A,MATCH(TEXT(B239,"0"),DePara!$D:$D,0)),"(sem categoria)")</f>
        <v/>
      </c>
      <c r="O239" s="5">
        <f>IF(J239="","",Parametros!$B$6-J239)</f>
        <v/>
      </c>
      <c r="P239" s="5">
        <f>IF(O239="","",IF(O239&gt;0,1,0))</f>
        <v/>
      </c>
    </row>
    <row r="240">
      <c r="A240" s="5" t="n">
        <v>2122100000</v>
      </c>
      <c r="B240" s="5" t="inlineStr">
        <is>
          <t>IC4420</t>
        </is>
      </c>
      <c r="C240" s="5" t="inlineStr">
        <is>
          <t>NORDEX ENERGY SPAIN S A U</t>
        </is>
      </c>
      <c r="D240" s="5" t="inlineStr">
        <is>
          <t>RE</t>
        </is>
      </c>
      <c r="E240" s="5" t="n">
        <v>5005688</v>
      </c>
      <c r="F240" s="5" t="inlineStr">
        <is>
          <t>4026001612</t>
        </is>
      </c>
      <c r="G240" s="5" t="inlineStr">
        <is>
          <t>EUR</t>
        </is>
      </c>
      <c r="H240" s="9" t="n">
        <v>-327449.72</v>
      </c>
      <c r="I240" s="16" t="n">
        <v>46086</v>
      </c>
      <c r="J240" s="16" t="n">
        <v>46116</v>
      </c>
      <c r="K240" s="5" t="inlineStr">
        <is>
          <t>0131/26</t>
        </is>
      </c>
      <c r="L240" s="5" t="inlineStr">
        <is>
          <t>4026001612</t>
        </is>
      </c>
      <c r="M240" s="5">
        <f>IF(YEAR(I240)&lt;=2020,"Até 2020",TEXT(YEAR(I240),"0"))</f>
        <v/>
      </c>
      <c r="N240" s="5">
        <f>IFERROR(INDEX(DePara!$A:$A,MATCH(TEXT(B240,"0"),DePara!$D:$D,0)),"(sem categoria)")</f>
        <v/>
      </c>
      <c r="O240" s="5">
        <f>IF(J240="","",Parametros!$B$6-J240)</f>
        <v/>
      </c>
      <c r="P240" s="5">
        <f>IF(O240="","",IF(O240&gt;0,1,0))</f>
        <v/>
      </c>
    </row>
    <row r="241">
      <c r="A241" s="5" t="n">
        <v>2122100000</v>
      </c>
      <c r="B241" s="5" t="inlineStr">
        <is>
          <t>IC4420</t>
        </is>
      </c>
      <c r="C241" s="5" t="inlineStr">
        <is>
          <t>NORDEX ENERGY SPAIN S A U</t>
        </is>
      </c>
      <c r="D241" s="5" t="inlineStr">
        <is>
          <t>KG</t>
        </is>
      </c>
      <c r="E241" s="5" t="n">
        <v>5005697</v>
      </c>
      <c r="F241" s="5" t="inlineStr">
        <is>
          <t>4000293</t>
        </is>
      </c>
      <c r="G241" s="5" t="inlineStr">
        <is>
          <t>EUR</t>
        </is>
      </c>
      <c r="H241" s="9" t="n">
        <v>70508.87</v>
      </c>
      <c r="I241" s="16" t="n">
        <v>46105</v>
      </c>
      <c r="J241" s="16" t="n">
        <v>46105</v>
      </c>
      <c r="K241" s="5" t="inlineStr">
        <is>
          <t>Nota crédito fornec. NORDEX ENERGY SPAIN S A U 400</t>
        </is>
      </c>
      <c r="L241" s="5" t="inlineStr">
        <is>
          <t>24032026</t>
        </is>
      </c>
      <c r="M241" s="5">
        <f>IF(YEAR(I241)&lt;=2020,"Até 2020",TEXT(YEAR(I241),"0"))</f>
        <v/>
      </c>
      <c r="N241" s="5">
        <f>IFERROR(INDEX(DePara!$A:$A,MATCH(TEXT(B241,"0"),DePara!$D:$D,0)),"(sem categoria)")</f>
        <v/>
      </c>
      <c r="O241" s="5">
        <f>IF(J241="","",Parametros!$B$6-J241)</f>
        <v/>
      </c>
      <c r="P241" s="5">
        <f>IF(O241="","",IF(O241&gt;0,1,0))</f>
        <v/>
      </c>
    </row>
    <row r="242">
      <c r="A242" s="5" t="n">
        <v>2122100000</v>
      </c>
      <c r="B242" s="5" t="inlineStr">
        <is>
          <t>IC5000</t>
        </is>
      </c>
      <c r="C242" s="5" t="inlineStr">
        <is>
          <t>NORDEX SE</t>
        </is>
      </c>
      <c r="D242" s="5" t="inlineStr">
        <is>
          <t>KR</t>
        </is>
      </c>
      <c r="E242" s="5" t="n">
        <v>5005700</v>
      </c>
      <c r="F242" s="5" t="inlineStr">
        <is>
          <t>610513</t>
        </is>
      </c>
      <c r="G242" s="5" t="inlineStr">
        <is>
          <t>EUR</t>
        </is>
      </c>
      <c r="H242" s="9" t="n">
        <v>-17708742.79</v>
      </c>
      <c r="I242" s="16" t="n">
        <v>46098</v>
      </c>
      <c r="J242" s="16" t="n">
        <v>46128</v>
      </c>
      <c r="K242" s="5" t="inlineStr">
        <is>
          <t>Fatura do fornecedor NORDEX SE 610513</t>
        </is>
      </c>
      <c r="L242" s="5" t="inlineStr">
        <is>
          <t>15042026</t>
        </is>
      </c>
      <c r="M242" s="5">
        <f>IF(YEAR(I242)&lt;=2020,"Até 2020",TEXT(YEAR(I242),"0"))</f>
        <v/>
      </c>
      <c r="N242" s="5">
        <f>IFERROR(INDEX(DePara!$A:$A,MATCH(TEXT(B242,"0"),DePara!$D:$D,0)),"(sem categoria)")</f>
        <v/>
      </c>
      <c r="O242" s="5">
        <f>IF(J242="","",Parametros!$B$6-J242)</f>
        <v/>
      </c>
      <c r="P242" s="5">
        <f>IF(O242="","",IF(O242&gt;0,1,0))</f>
        <v/>
      </c>
    </row>
    <row r="243">
      <c r="A243" s="5" t="n">
        <v>2122100000</v>
      </c>
      <c r="B243" s="5" t="inlineStr">
        <is>
          <t>IC1000</t>
        </is>
      </c>
      <c r="C243" s="5" t="inlineStr">
        <is>
          <t>NORDEX ENERGY SE &amp; CO KG</t>
        </is>
      </c>
      <c r="D243" s="5" t="inlineStr">
        <is>
          <t>RE</t>
        </is>
      </c>
      <c r="E243" s="5" t="n">
        <v>5005701</v>
      </c>
      <c r="F243" s="5" t="inlineStr">
        <is>
          <t>384950</t>
        </is>
      </c>
      <c r="G243" s="5" t="inlineStr">
        <is>
          <t>EUR</t>
        </is>
      </c>
      <c r="H243" s="9" t="n">
        <v>-9848.24</v>
      </c>
      <c r="I243" s="16" t="n">
        <v>46070</v>
      </c>
      <c r="J243" s="16" t="n">
        <v>46100</v>
      </c>
      <c r="K243" s="5" t="inlineStr">
        <is>
          <t>0146/26</t>
        </is>
      </c>
      <c r="L243" s="5" t="inlineStr">
        <is>
          <t>384950</t>
        </is>
      </c>
      <c r="M243" s="5">
        <f>IF(YEAR(I243)&lt;=2020,"Até 2020",TEXT(YEAR(I243),"0"))</f>
        <v/>
      </c>
      <c r="N243" s="5">
        <f>IFERROR(INDEX(DePara!$A:$A,MATCH(TEXT(B243,"0"),DePara!$D:$D,0)),"(sem categoria)")</f>
        <v/>
      </c>
      <c r="O243" s="5">
        <f>IF(J243="","",Parametros!$B$6-J243)</f>
        <v/>
      </c>
      <c r="P243" s="5">
        <f>IF(O243="","",IF(O243&gt;0,1,0))</f>
        <v/>
      </c>
    </row>
    <row r="244">
      <c r="A244" s="5" t="n">
        <v>2122100000</v>
      </c>
      <c r="B244" s="5" t="inlineStr">
        <is>
          <t>IC4420</t>
        </is>
      </c>
      <c r="C244" s="5" t="inlineStr">
        <is>
          <t>NORDEX ENERGY SPAIN S A U</t>
        </is>
      </c>
      <c r="D244" s="5" t="inlineStr">
        <is>
          <t>KR</t>
        </is>
      </c>
      <c r="E244" s="5" t="n">
        <v>5005704</v>
      </c>
      <c r="F244" s="5" t="inlineStr">
        <is>
          <t>4000220</t>
        </is>
      </c>
      <c r="G244" s="5" t="inlineStr">
        <is>
          <t>EUR</t>
        </is>
      </c>
      <c r="H244" s="9" t="n">
        <v>-1239030.45</v>
      </c>
      <c r="I244" s="16" t="n">
        <v>46084</v>
      </c>
      <c r="J244" s="16" t="n">
        <v>46114</v>
      </c>
      <c r="K244" s="5" t="inlineStr">
        <is>
          <t>Fatura do fornecedor NORDEX ENERGY SPAIN S A U 400</t>
        </is>
      </c>
      <c r="L244" s="5" t="inlineStr">
        <is>
          <t>06042026</t>
        </is>
      </c>
      <c r="M244" s="5">
        <f>IF(YEAR(I244)&lt;=2020,"Até 2020",TEXT(YEAR(I244),"0"))</f>
        <v/>
      </c>
      <c r="N244" s="5">
        <f>IFERROR(INDEX(DePara!$A:$A,MATCH(TEXT(B244,"0"),DePara!$D:$D,0)),"(sem categoria)")</f>
        <v/>
      </c>
      <c r="O244" s="5">
        <f>IF(J244="","",Parametros!$B$6-J244)</f>
        <v/>
      </c>
      <c r="P244" s="5">
        <f>IF(O244="","",IF(O244&gt;0,1,0))</f>
        <v/>
      </c>
    </row>
    <row r="245">
      <c r="A245" s="5" t="n">
        <v>2122100000</v>
      </c>
      <c r="B245" s="5" t="inlineStr">
        <is>
          <t>IC1000</t>
        </is>
      </c>
      <c r="C245" s="5" t="inlineStr">
        <is>
          <t>NORDEX ENERGY SE &amp; CO KG</t>
        </is>
      </c>
      <c r="D245" s="5" t="inlineStr">
        <is>
          <t>RE</t>
        </is>
      </c>
      <c r="E245" s="5" t="n">
        <v>5005768</v>
      </c>
      <c r="F245" s="5" t="inlineStr">
        <is>
          <t>312015</t>
        </is>
      </c>
      <c r="G245" s="5" t="inlineStr">
        <is>
          <t>EUR</t>
        </is>
      </c>
      <c r="H245" s="9" t="n">
        <v>-44655.08</v>
      </c>
      <c r="I245" s="16" t="n">
        <v>45604</v>
      </c>
      <c r="J245" s="16" t="n">
        <v>45634</v>
      </c>
      <c r="K245" s="5" t="inlineStr">
        <is>
          <t>0049/25</t>
        </is>
      </c>
      <c r="L245" s="5" t="inlineStr">
        <is>
          <t>312015</t>
        </is>
      </c>
      <c r="M245" s="5">
        <f>IF(YEAR(I245)&lt;=2020,"Até 2020",TEXT(YEAR(I245),"0"))</f>
        <v/>
      </c>
      <c r="N245" s="5">
        <f>IFERROR(INDEX(DePara!$A:$A,MATCH(TEXT(B245,"0"),DePara!$D:$D,0)),"(sem categoria)")</f>
        <v/>
      </c>
      <c r="O245" s="5">
        <f>IF(J245="","",Parametros!$B$6-J245)</f>
        <v/>
      </c>
      <c r="P245" s="5">
        <f>IF(O245="","",IF(O245&gt;0,1,0))</f>
        <v/>
      </c>
    </row>
    <row r="246">
      <c r="A246" s="5" t="n">
        <v>2122100000</v>
      </c>
      <c r="B246" s="5" t="inlineStr">
        <is>
          <t>IC4420</t>
        </is>
      </c>
      <c r="C246" s="5" t="inlineStr">
        <is>
          <t>NORDEX ENERGY SPAIN S A U</t>
        </is>
      </c>
      <c r="D246" s="5" t="inlineStr">
        <is>
          <t>RE</t>
        </is>
      </c>
      <c r="E246" s="5" t="n">
        <v>5005816</v>
      </c>
      <c r="F246" s="5" t="inlineStr">
        <is>
          <t>4025010002</t>
        </is>
      </c>
      <c r="G246" s="5" t="inlineStr">
        <is>
          <t>EUR</t>
        </is>
      </c>
      <c r="H246" s="9" t="n">
        <v>-22581.27</v>
      </c>
      <c r="I246" s="16" t="n">
        <v>46020</v>
      </c>
      <c r="J246" s="16" t="n">
        <v>46050</v>
      </c>
      <c r="K246" s="5" t="inlineStr">
        <is>
          <t>0008/26</t>
        </is>
      </c>
      <c r="L246" s="5" t="inlineStr">
        <is>
          <t>4025010002</t>
        </is>
      </c>
      <c r="M246" s="5">
        <f>IF(YEAR(I246)&lt;=2020,"Até 2020",TEXT(YEAR(I246),"0"))</f>
        <v/>
      </c>
      <c r="N246" s="5">
        <f>IFERROR(INDEX(DePara!$A:$A,MATCH(TEXT(B246,"0"),DePara!$D:$D,0)),"(sem categoria)")</f>
        <v/>
      </c>
      <c r="O246" s="5">
        <f>IF(J246="","",Parametros!$B$6-J246)</f>
        <v/>
      </c>
      <c r="P246" s="5">
        <f>IF(O246="","",IF(O246&gt;0,1,0))</f>
        <v/>
      </c>
    </row>
    <row r="247">
      <c r="A247" s="5" t="n">
        <v>2122100000</v>
      </c>
      <c r="B247" s="5" t="inlineStr">
        <is>
          <t>IC4420</t>
        </is>
      </c>
      <c r="C247" s="5" t="inlineStr">
        <is>
          <t>NORDEX ENERGY SPAIN S A U</t>
        </is>
      </c>
      <c r="D247" s="5" t="inlineStr">
        <is>
          <t>RE</t>
        </is>
      </c>
      <c r="E247" s="5" t="n">
        <v>5005817</v>
      </c>
      <c r="F247" s="5" t="inlineStr">
        <is>
          <t>4026000454</t>
        </is>
      </c>
      <c r="G247" s="5" t="inlineStr">
        <is>
          <t>EUR</t>
        </is>
      </c>
      <c r="H247" s="9" t="n">
        <v>-1623.5</v>
      </c>
      <c r="I247" s="16" t="n">
        <v>46043</v>
      </c>
      <c r="J247" s="16" t="n">
        <v>46073</v>
      </c>
      <c r="K247" s="5" t="inlineStr">
        <is>
          <t>0033/26</t>
        </is>
      </c>
      <c r="L247" s="5" t="inlineStr">
        <is>
          <t>4026000454</t>
        </is>
      </c>
      <c r="M247" s="5">
        <f>IF(YEAR(I247)&lt;=2020,"Até 2020",TEXT(YEAR(I247),"0"))</f>
        <v/>
      </c>
      <c r="N247" s="5">
        <f>IFERROR(INDEX(DePara!$A:$A,MATCH(TEXT(B247,"0"),DePara!$D:$D,0)),"(sem categoria)")</f>
        <v/>
      </c>
      <c r="O247" s="5">
        <f>IF(J247="","",Parametros!$B$6-J247)</f>
        <v/>
      </c>
      <c r="P247" s="5">
        <f>IF(O247="","",IF(O247&gt;0,1,0))</f>
        <v/>
      </c>
    </row>
    <row r="248">
      <c r="A248" s="5" t="n">
        <v>2122100000</v>
      </c>
      <c r="B248" s="5" t="inlineStr">
        <is>
          <t>IC4420</t>
        </is>
      </c>
      <c r="C248" s="5" t="inlineStr">
        <is>
          <t>NORDEX ENERGY SPAIN S A U</t>
        </is>
      </c>
      <c r="D248" s="5" t="inlineStr">
        <is>
          <t>RE</t>
        </is>
      </c>
      <c r="E248" s="5" t="n">
        <v>5005818</v>
      </c>
      <c r="F248" s="5" t="inlineStr">
        <is>
          <t>4026001239</t>
        </is>
      </c>
      <c r="G248" s="5" t="inlineStr">
        <is>
          <t>EUR</t>
        </is>
      </c>
      <c r="H248" s="9" t="n">
        <v>-15593.34</v>
      </c>
      <c r="I248" s="16" t="n">
        <v>46073</v>
      </c>
      <c r="J248" s="16" t="n">
        <v>46103</v>
      </c>
      <c r="K248" s="5" t="inlineStr">
        <is>
          <t>0082/26</t>
        </is>
      </c>
      <c r="L248" s="5" t="inlineStr">
        <is>
          <t>4026001239</t>
        </is>
      </c>
      <c r="M248" s="5">
        <f>IF(YEAR(I248)&lt;=2020,"Até 2020",TEXT(YEAR(I248),"0"))</f>
        <v/>
      </c>
      <c r="N248" s="5">
        <f>IFERROR(INDEX(DePara!$A:$A,MATCH(TEXT(B248,"0"),DePara!$D:$D,0)),"(sem categoria)")</f>
        <v/>
      </c>
      <c r="O248" s="5">
        <f>IF(J248="","",Parametros!$B$6-J248)</f>
        <v/>
      </c>
      <c r="P248" s="5">
        <f>IF(O248="","",IF(O248&gt;0,1,0))</f>
        <v/>
      </c>
    </row>
    <row r="249">
      <c r="A249" s="5" t="n">
        <v>2122100000</v>
      </c>
      <c r="B249" s="5" t="inlineStr">
        <is>
          <t>IC4420</t>
        </is>
      </c>
      <c r="C249" s="5" t="inlineStr">
        <is>
          <t>NORDEX ENERGY SPAIN S A U</t>
        </is>
      </c>
      <c r="D249" s="5" t="inlineStr">
        <is>
          <t>RE</t>
        </is>
      </c>
      <c r="E249" s="5" t="n">
        <v>5005819</v>
      </c>
      <c r="F249" s="5" t="inlineStr">
        <is>
          <t>4026001640</t>
        </is>
      </c>
      <c r="G249" s="5" t="inlineStr">
        <is>
          <t>EUR</t>
        </is>
      </c>
      <c r="H249" s="9" t="n">
        <v>-386.27</v>
      </c>
      <c r="I249" s="16" t="n">
        <v>46087</v>
      </c>
      <c r="J249" s="16" t="n">
        <v>46117</v>
      </c>
      <c r="K249" s="5" t="inlineStr">
        <is>
          <t>0149/26</t>
        </is>
      </c>
      <c r="L249" s="5" t="inlineStr">
        <is>
          <t>4026001640</t>
        </is>
      </c>
      <c r="M249" s="5">
        <f>IF(YEAR(I249)&lt;=2020,"Até 2020",TEXT(YEAR(I249),"0"))</f>
        <v/>
      </c>
      <c r="N249" s="5">
        <f>IFERROR(INDEX(DePara!$A:$A,MATCH(TEXT(B249,"0"),DePara!$D:$D,0)),"(sem categoria)")</f>
        <v/>
      </c>
      <c r="O249" s="5">
        <f>IF(J249="","",Parametros!$B$6-J249)</f>
        <v/>
      </c>
      <c r="P249" s="5">
        <f>IF(O249="","",IF(O249&gt;0,1,0))</f>
        <v/>
      </c>
    </row>
    <row r="250">
      <c r="A250" s="5" t="n">
        <v>2122100000</v>
      </c>
      <c r="B250" s="5" t="inlineStr">
        <is>
          <t>IC4420</t>
        </is>
      </c>
      <c r="C250" s="5" t="inlineStr">
        <is>
          <t>NORDEX ENERGY SPAIN S A U</t>
        </is>
      </c>
      <c r="D250" s="5" t="inlineStr">
        <is>
          <t>RE</t>
        </is>
      </c>
      <c r="E250" s="5" t="n">
        <v>5005820</v>
      </c>
      <c r="F250" s="5" t="inlineStr">
        <is>
          <t>4026000448</t>
        </is>
      </c>
      <c r="G250" s="5" t="inlineStr">
        <is>
          <t>EUR</t>
        </is>
      </c>
      <c r="H250" s="9" t="n">
        <v>-13879.54</v>
      </c>
      <c r="I250" s="16" t="n">
        <v>46043</v>
      </c>
      <c r="J250" s="16" t="n">
        <v>46073</v>
      </c>
      <c r="K250" s="5" t="inlineStr">
        <is>
          <t>0040/26</t>
        </is>
      </c>
      <c r="L250" s="5" t="inlineStr">
        <is>
          <t>4026000448</t>
        </is>
      </c>
      <c r="M250" s="5">
        <f>IF(YEAR(I250)&lt;=2020,"Até 2020",TEXT(YEAR(I250),"0"))</f>
        <v/>
      </c>
      <c r="N250" s="5">
        <f>IFERROR(INDEX(DePara!$A:$A,MATCH(TEXT(B250,"0"),DePara!$D:$D,0)),"(sem categoria)")</f>
        <v/>
      </c>
      <c r="O250" s="5">
        <f>IF(J250="","",Parametros!$B$6-J250)</f>
        <v/>
      </c>
      <c r="P250" s="5">
        <f>IF(O250="","",IF(O250&gt;0,1,0))</f>
        <v/>
      </c>
    </row>
    <row r="251">
      <c r="A251" s="5" t="n">
        <v>2122100000</v>
      </c>
      <c r="B251" s="5" t="inlineStr">
        <is>
          <t>IC4420</t>
        </is>
      </c>
      <c r="C251" s="5" t="inlineStr">
        <is>
          <t>NORDEX ENERGY SPAIN S A U</t>
        </is>
      </c>
      <c r="D251" s="5" t="inlineStr">
        <is>
          <t>RE</t>
        </is>
      </c>
      <c r="E251" s="5" t="n">
        <v>5005824</v>
      </c>
      <c r="F251" s="5" t="inlineStr">
        <is>
          <t>4026001641</t>
        </is>
      </c>
      <c r="G251" s="5" t="inlineStr">
        <is>
          <t>EUR</t>
        </is>
      </c>
      <c r="H251" s="9" t="n">
        <v>-20666.17</v>
      </c>
      <c r="I251" s="16" t="n">
        <v>46087</v>
      </c>
      <c r="J251" s="16" t="n">
        <v>46117</v>
      </c>
      <c r="K251" s="5" t="inlineStr">
        <is>
          <t>0127/26</t>
        </is>
      </c>
      <c r="L251" s="5" t="inlineStr">
        <is>
          <t>4026001641</t>
        </is>
      </c>
      <c r="M251" s="5">
        <f>IF(YEAR(I251)&lt;=2020,"Até 2020",TEXT(YEAR(I251),"0"))</f>
        <v/>
      </c>
      <c r="N251" s="5">
        <f>IFERROR(INDEX(DePara!$A:$A,MATCH(TEXT(B251,"0"),DePara!$D:$D,0)),"(sem categoria)")</f>
        <v/>
      </c>
      <c r="O251" s="5">
        <f>IF(J251="","",Parametros!$B$6-J251)</f>
        <v/>
      </c>
      <c r="P251" s="5">
        <f>IF(O251="","",IF(O251&gt;0,1,0))</f>
        <v/>
      </c>
    </row>
    <row r="252">
      <c r="A252" s="5" t="n">
        <v>2122100000</v>
      </c>
      <c r="B252" s="5" t="inlineStr">
        <is>
          <t>IC4420</t>
        </is>
      </c>
      <c r="C252" s="5" t="inlineStr">
        <is>
          <t>NORDEX ENERGY SPAIN S A U</t>
        </is>
      </c>
      <c r="D252" s="5" t="inlineStr">
        <is>
          <t>RE</t>
        </is>
      </c>
      <c r="E252" s="5" t="n">
        <v>5005831</v>
      </c>
      <c r="F252" s="5" t="inlineStr">
        <is>
          <t>4026001672</t>
        </is>
      </c>
      <c r="G252" s="5" t="inlineStr">
        <is>
          <t>EUR</t>
        </is>
      </c>
      <c r="H252" s="9" t="n">
        <v>-209.34</v>
      </c>
      <c r="I252" s="16" t="n">
        <v>46090</v>
      </c>
      <c r="J252" s="16" t="n">
        <v>46120</v>
      </c>
      <c r="K252" s="5" t="inlineStr">
        <is>
          <t>0142/26</t>
        </is>
      </c>
      <c r="L252" s="5" t="inlineStr">
        <is>
          <t>4026001672</t>
        </is>
      </c>
      <c r="M252" s="5">
        <f>IF(YEAR(I252)&lt;=2020,"Até 2020",TEXT(YEAR(I252),"0"))</f>
        <v/>
      </c>
      <c r="N252" s="5">
        <f>IFERROR(INDEX(DePara!$A:$A,MATCH(TEXT(B252,"0"),DePara!$D:$D,0)),"(sem categoria)")</f>
        <v/>
      </c>
      <c r="O252" s="5">
        <f>IF(J252="","",Parametros!$B$6-J252)</f>
        <v/>
      </c>
      <c r="P252" s="5">
        <f>IF(O252="","",IF(O252&gt;0,1,0))</f>
        <v/>
      </c>
    </row>
    <row r="253">
      <c r="A253" s="5" t="n">
        <v>2122100000</v>
      </c>
      <c r="B253" s="5" t="inlineStr">
        <is>
          <t>IC4420</t>
        </is>
      </c>
      <c r="C253" s="5" t="inlineStr">
        <is>
          <t>NORDEX ENERGY SPAIN S A U</t>
        </is>
      </c>
      <c r="D253" s="5" t="inlineStr">
        <is>
          <t>RE</t>
        </is>
      </c>
      <c r="E253" s="5" t="n">
        <v>5005832</v>
      </c>
      <c r="F253" s="5" t="inlineStr">
        <is>
          <t>4026001673</t>
        </is>
      </c>
      <c r="G253" s="5" t="inlineStr">
        <is>
          <t>EUR</t>
        </is>
      </c>
      <c r="H253" s="9" t="n">
        <v>-472.99</v>
      </c>
      <c r="I253" s="16" t="n">
        <v>46090</v>
      </c>
      <c r="J253" s="16" t="n">
        <v>46120</v>
      </c>
      <c r="K253" s="5" t="inlineStr">
        <is>
          <t>0142/26</t>
        </is>
      </c>
      <c r="L253" s="5" t="inlineStr">
        <is>
          <t>4026001673</t>
        </is>
      </c>
      <c r="M253" s="5">
        <f>IF(YEAR(I253)&lt;=2020,"Até 2020",TEXT(YEAR(I253),"0"))</f>
        <v/>
      </c>
      <c r="N253" s="5">
        <f>IFERROR(INDEX(DePara!$A:$A,MATCH(TEXT(B253,"0"),DePara!$D:$D,0)),"(sem categoria)")</f>
        <v/>
      </c>
      <c r="O253" s="5">
        <f>IF(J253="","",Parametros!$B$6-J253)</f>
        <v/>
      </c>
      <c r="P253" s="5">
        <f>IF(O253="","",IF(O253&gt;0,1,0))</f>
        <v/>
      </c>
    </row>
    <row r="254">
      <c r="A254" s="5" t="n">
        <v>2122100000</v>
      </c>
      <c r="B254" s="5" t="inlineStr">
        <is>
          <t>IC4420</t>
        </is>
      </c>
      <c r="C254" s="5" t="inlineStr">
        <is>
          <t>NORDEX ENERGY SPAIN S A U</t>
        </is>
      </c>
      <c r="D254" s="5" t="inlineStr">
        <is>
          <t>RE</t>
        </is>
      </c>
      <c r="E254" s="5" t="n">
        <v>5005847</v>
      </c>
      <c r="F254" s="5" t="inlineStr">
        <is>
          <t>4018000019</t>
        </is>
      </c>
      <c r="G254" s="5" t="inlineStr">
        <is>
          <t>EUR</t>
        </is>
      </c>
      <c r="H254" s="9" t="n">
        <v>-43104.14</v>
      </c>
      <c r="I254" s="16" t="n">
        <v>46049</v>
      </c>
      <c r="J254" s="16" t="n">
        <v>46079</v>
      </c>
      <c r="K254" s="5" t="inlineStr">
        <is>
          <t>0034/26</t>
        </is>
      </c>
      <c r="L254" s="5" t="inlineStr">
        <is>
          <t>4018000019</t>
        </is>
      </c>
      <c r="M254" s="5">
        <f>IF(YEAR(I254)&lt;=2020,"Até 2020",TEXT(YEAR(I254),"0"))</f>
        <v/>
      </c>
      <c r="N254" s="5">
        <f>IFERROR(INDEX(DePara!$A:$A,MATCH(TEXT(B254,"0"),DePara!$D:$D,0)),"(sem categoria)")</f>
        <v/>
      </c>
      <c r="O254" s="5">
        <f>IF(J254="","",Parametros!$B$6-J254)</f>
        <v/>
      </c>
      <c r="P254" s="5">
        <f>IF(O254="","",IF(O254&gt;0,1,0))</f>
        <v/>
      </c>
    </row>
    <row r="255">
      <c r="A255" s="5" t="n">
        <v>2122100000</v>
      </c>
      <c r="B255" s="5" t="inlineStr">
        <is>
          <t>IC4420</t>
        </is>
      </c>
      <c r="C255" s="5" t="inlineStr">
        <is>
          <t>NORDEX ENERGY SPAIN S A U</t>
        </is>
      </c>
      <c r="D255" s="5" t="inlineStr">
        <is>
          <t>RE</t>
        </is>
      </c>
      <c r="E255" s="5" t="n">
        <v>5005848</v>
      </c>
      <c r="F255" s="5" t="inlineStr">
        <is>
          <t>4026000451</t>
        </is>
      </c>
      <c r="G255" s="5" t="inlineStr">
        <is>
          <t>EUR</t>
        </is>
      </c>
      <c r="H255" s="9" t="n">
        <v>-16223.9</v>
      </c>
      <c r="I255" s="16" t="n">
        <v>46043</v>
      </c>
      <c r="J255" s="16" t="n">
        <v>46073</v>
      </c>
      <c r="K255" s="5" t="inlineStr">
        <is>
          <t>0034/26</t>
        </is>
      </c>
      <c r="L255" s="5" t="inlineStr">
        <is>
          <t>4026000451</t>
        </is>
      </c>
      <c r="M255" s="5">
        <f>IF(YEAR(I255)&lt;=2020,"Até 2020",TEXT(YEAR(I255),"0"))</f>
        <v/>
      </c>
      <c r="N255" s="5">
        <f>IFERROR(INDEX(DePara!$A:$A,MATCH(TEXT(B255,"0"),DePara!$D:$D,0)),"(sem categoria)")</f>
        <v/>
      </c>
      <c r="O255" s="5">
        <f>IF(J255="","",Parametros!$B$6-J255)</f>
        <v/>
      </c>
      <c r="P255" s="5">
        <f>IF(O255="","",IF(O255&gt;0,1,0))</f>
        <v/>
      </c>
    </row>
    <row r="256">
      <c r="A256" s="5" t="n">
        <v>2122100000</v>
      </c>
      <c r="B256" s="5" t="inlineStr">
        <is>
          <t>IC4420</t>
        </is>
      </c>
      <c r="C256" s="5" t="inlineStr">
        <is>
          <t>NORDEX ENERGY SPAIN S A U</t>
        </is>
      </c>
      <c r="D256" s="5" t="inlineStr">
        <is>
          <t>RE</t>
        </is>
      </c>
      <c r="E256" s="5" t="n">
        <v>5005862</v>
      </c>
      <c r="F256" s="5" t="inlineStr">
        <is>
          <t>4026001638</t>
        </is>
      </c>
      <c r="G256" s="5" t="inlineStr">
        <is>
          <t>EUR</t>
        </is>
      </c>
      <c r="H256" s="9" t="n">
        <v>-3766.36</v>
      </c>
      <c r="I256" s="16" t="n">
        <v>46087</v>
      </c>
      <c r="J256" s="16" t="n">
        <v>46117</v>
      </c>
      <c r="K256" s="5" t="inlineStr">
        <is>
          <t>0147/26</t>
        </is>
      </c>
      <c r="L256" s="5" t="inlineStr">
        <is>
          <t>4026001638</t>
        </is>
      </c>
      <c r="M256" s="5">
        <f>IF(YEAR(I256)&lt;=2020,"Até 2020",TEXT(YEAR(I256),"0"))</f>
        <v/>
      </c>
      <c r="N256" s="5">
        <f>IFERROR(INDEX(DePara!$A:$A,MATCH(TEXT(B256,"0"),DePara!$D:$D,0)),"(sem categoria)")</f>
        <v/>
      </c>
      <c r="O256" s="5">
        <f>IF(J256="","",Parametros!$B$6-J256)</f>
        <v/>
      </c>
      <c r="P256" s="5">
        <f>IF(O256="","",IF(O256&gt;0,1,0))</f>
        <v/>
      </c>
    </row>
    <row r="257">
      <c r="A257" s="5" t="n">
        <v>2122100000</v>
      </c>
      <c r="B257" s="5" t="inlineStr">
        <is>
          <t>IC4420</t>
        </is>
      </c>
      <c r="C257" s="5" t="inlineStr">
        <is>
          <t>NORDEX ENERGY SPAIN S A U</t>
        </is>
      </c>
      <c r="D257" s="5" t="inlineStr">
        <is>
          <t>RE</t>
        </is>
      </c>
      <c r="E257" s="5" t="n">
        <v>5005863</v>
      </c>
      <c r="F257" s="5" t="inlineStr">
        <is>
          <t>4026001611</t>
        </is>
      </c>
      <c r="G257" s="5" t="inlineStr">
        <is>
          <t>EUR</t>
        </is>
      </c>
      <c r="H257" s="9" t="n">
        <v>-10155.72</v>
      </c>
      <c r="I257" s="16" t="n">
        <v>46086</v>
      </c>
      <c r="J257" s="16" t="n">
        <v>46116</v>
      </c>
      <c r="K257" s="5" t="inlineStr">
        <is>
          <t>0135/26</t>
        </is>
      </c>
      <c r="L257" s="5" t="inlineStr">
        <is>
          <t>4026001611</t>
        </is>
      </c>
      <c r="M257" s="5">
        <f>IF(YEAR(I257)&lt;=2020,"Até 2020",TEXT(YEAR(I257),"0"))</f>
        <v/>
      </c>
      <c r="N257" s="5">
        <f>IFERROR(INDEX(DePara!$A:$A,MATCH(TEXT(B257,"0"),DePara!$D:$D,0)),"(sem categoria)")</f>
        <v/>
      </c>
      <c r="O257" s="5">
        <f>IF(J257="","",Parametros!$B$6-J257)</f>
        <v/>
      </c>
      <c r="P257" s="5">
        <f>IF(O257="","",IF(O257&gt;0,1,0))</f>
        <v/>
      </c>
    </row>
    <row r="258">
      <c r="A258" s="5" t="n">
        <v>2122100000</v>
      </c>
      <c r="B258" s="5" t="inlineStr">
        <is>
          <t>IC4420</t>
        </is>
      </c>
      <c r="C258" s="5" t="inlineStr">
        <is>
          <t>NORDEX ENERGY SPAIN S A U</t>
        </is>
      </c>
      <c r="D258" s="5" t="inlineStr">
        <is>
          <t>RE</t>
        </is>
      </c>
      <c r="E258" s="5" t="n">
        <v>5005864</v>
      </c>
      <c r="F258" s="5" t="inlineStr">
        <is>
          <t>4026001590</t>
        </is>
      </c>
      <c r="G258" s="5" t="inlineStr">
        <is>
          <t>EUR</t>
        </is>
      </c>
      <c r="H258" s="9" t="n">
        <v>-768.03</v>
      </c>
      <c r="I258" s="16" t="n">
        <v>46085</v>
      </c>
      <c r="J258" s="16" t="n">
        <v>46115</v>
      </c>
      <c r="K258" s="5" t="inlineStr">
        <is>
          <t>0116/26</t>
        </is>
      </c>
      <c r="L258" s="5" t="inlineStr">
        <is>
          <t>4026001590</t>
        </is>
      </c>
      <c r="M258" s="5">
        <f>IF(YEAR(I258)&lt;=2020,"Até 2020",TEXT(YEAR(I258),"0"))</f>
        <v/>
      </c>
      <c r="N258" s="5">
        <f>IFERROR(INDEX(DePara!$A:$A,MATCH(TEXT(B258,"0"),DePara!$D:$D,0)),"(sem categoria)")</f>
        <v/>
      </c>
      <c r="O258" s="5">
        <f>IF(J258="","",Parametros!$B$6-J258)</f>
        <v/>
      </c>
      <c r="P258" s="5">
        <f>IF(O258="","",IF(O258&gt;0,1,0))</f>
        <v/>
      </c>
    </row>
    <row r="259">
      <c r="A259" s="5" t="n">
        <v>2122100000</v>
      </c>
      <c r="B259" s="5" t="inlineStr">
        <is>
          <t>IC4420</t>
        </is>
      </c>
      <c r="C259" s="5" t="inlineStr">
        <is>
          <t>NORDEX ENERGY SPAIN S A U</t>
        </is>
      </c>
      <c r="D259" s="5" t="inlineStr">
        <is>
          <t>RE</t>
        </is>
      </c>
      <c r="E259" s="5" t="n">
        <v>5005865</v>
      </c>
      <c r="F259" s="5" t="inlineStr">
        <is>
          <t>4026001614</t>
        </is>
      </c>
      <c r="G259" s="5" t="inlineStr">
        <is>
          <t>EUR</t>
        </is>
      </c>
      <c r="H259" s="9" t="n">
        <v>-7565.7</v>
      </c>
      <c r="I259" s="16" t="n">
        <v>46086</v>
      </c>
      <c r="J259" s="16" t="n">
        <v>46116</v>
      </c>
      <c r="K259" s="5" t="inlineStr">
        <is>
          <t>0133/26</t>
        </is>
      </c>
      <c r="L259" s="5" t="inlineStr">
        <is>
          <t>4026001614</t>
        </is>
      </c>
      <c r="M259" s="5">
        <f>IF(YEAR(I259)&lt;=2020,"Até 2020",TEXT(YEAR(I259),"0"))</f>
        <v/>
      </c>
      <c r="N259" s="5">
        <f>IFERROR(INDEX(DePara!$A:$A,MATCH(TEXT(B259,"0"),DePara!$D:$D,0)),"(sem categoria)")</f>
        <v/>
      </c>
      <c r="O259" s="5">
        <f>IF(J259="","",Parametros!$B$6-J259)</f>
        <v/>
      </c>
      <c r="P259" s="5">
        <f>IF(O259="","",IF(O259&gt;0,1,0))</f>
        <v/>
      </c>
    </row>
    <row r="260">
      <c r="A260" s="5" t="n">
        <v>2122100000</v>
      </c>
      <c r="B260" s="5" t="inlineStr">
        <is>
          <t>IC4420</t>
        </is>
      </c>
      <c r="C260" s="5" t="inlineStr">
        <is>
          <t>NORDEX ENERGY SPAIN S A U</t>
        </is>
      </c>
      <c r="D260" s="5" t="inlineStr">
        <is>
          <t>RE</t>
        </is>
      </c>
      <c r="E260" s="5" t="n">
        <v>5005866</v>
      </c>
      <c r="F260" s="5" t="inlineStr">
        <is>
          <t>4026001636</t>
        </is>
      </c>
      <c r="G260" s="5" t="inlineStr">
        <is>
          <t>EUR</t>
        </is>
      </c>
      <c r="H260" s="9" t="n">
        <v>-37646.56</v>
      </c>
      <c r="I260" s="16" t="n">
        <v>46087</v>
      </c>
      <c r="J260" s="16" t="n">
        <v>46117</v>
      </c>
      <c r="K260" s="5" t="inlineStr">
        <is>
          <t>0144/26</t>
        </is>
      </c>
      <c r="L260" s="5" t="inlineStr">
        <is>
          <t>4026001636</t>
        </is>
      </c>
      <c r="M260" s="5">
        <f>IF(YEAR(I260)&lt;=2020,"Até 2020",TEXT(YEAR(I260),"0"))</f>
        <v/>
      </c>
      <c r="N260" s="5">
        <f>IFERROR(INDEX(DePara!$A:$A,MATCH(TEXT(B260,"0"),DePara!$D:$D,0)),"(sem categoria)")</f>
        <v/>
      </c>
      <c r="O260" s="5">
        <f>IF(J260="","",Parametros!$B$6-J260)</f>
        <v/>
      </c>
      <c r="P260" s="5">
        <f>IF(O260="","",IF(O260&gt;0,1,0))</f>
        <v/>
      </c>
    </row>
    <row r="261">
      <c r="A261" s="5" t="n">
        <v>2122100000</v>
      </c>
      <c r="B261" s="5" t="inlineStr">
        <is>
          <t>IC4420</t>
        </is>
      </c>
      <c r="C261" s="5" t="inlineStr">
        <is>
          <t>NORDEX ENERGY SPAIN S A U</t>
        </is>
      </c>
      <c r="D261" s="5" t="inlineStr">
        <is>
          <t>RE</t>
        </is>
      </c>
      <c r="E261" s="5" t="n">
        <v>5005867</v>
      </c>
      <c r="F261" s="5" t="inlineStr">
        <is>
          <t>4026001752</t>
        </is>
      </c>
      <c r="G261" s="5" t="inlineStr">
        <is>
          <t>EUR</t>
        </is>
      </c>
      <c r="H261" s="9" t="n">
        <v>-9522.9</v>
      </c>
      <c r="I261" s="16" t="n">
        <v>46092</v>
      </c>
      <c r="J261" s="16" t="n">
        <v>46122</v>
      </c>
      <c r="K261" s="5" t="inlineStr">
        <is>
          <t>0163/26</t>
        </is>
      </c>
      <c r="L261" s="5" t="inlineStr">
        <is>
          <t>4026001752</t>
        </is>
      </c>
      <c r="M261" s="5">
        <f>IF(YEAR(I261)&lt;=2020,"Até 2020",TEXT(YEAR(I261),"0"))</f>
        <v/>
      </c>
      <c r="N261" s="5">
        <f>IFERROR(INDEX(DePara!$A:$A,MATCH(TEXT(B261,"0"),DePara!$D:$D,0)),"(sem categoria)")</f>
        <v/>
      </c>
      <c r="O261" s="5">
        <f>IF(J261="","",Parametros!$B$6-J261)</f>
        <v/>
      </c>
      <c r="P261" s="5">
        <f>IF(O261="","",IF(O261&gt;0,1,0))</f>
        <v/>
      </c>
    </row>
    <row r="262">
      <c r="A262" s="5" t="n">
        <v>2122100000</v>
      </c>
      <c r="B262" s="5" t="inlineStr">
        <is>
          <t>IC4420</t>
        </is>
      </c>
      <c r="C262" s="5" t="inlineStr">
        <is>
          <t>NORDEX ENERGY SPAIN S A U</t>
        </is>
      </c>
      <c r="D262" s="5" t="inlineStr">
        <is>
          <t>RE</t>
        </is>
      </c>
      <c r="E262" s="5" t="n">
        <v>5005868</v>
      </c>
      <c r="F262" s="5" t="inlineStr">
        <is>
          <t>4026001685</t>
        </is>
      </c>
      <c r="G262" s="5" t="inlineStr">
        <is>
          <t>EUR</t>
        </is>
      </c>
      <c r="H262" s="9" t="n">
        <v>-11624.94</v>
      </c>
      <c r="I262" s="16" t="n">
        <v>46090</v>
      </c>
      <c r="J262" s="16" t="n">
        <v>46120</v>
      </c>
      <c r="K262" s="5" t="inlineStr">
        <is>
          <t>0159/26</t>
        </is>
      </c>
      <c r="L262" s="5" t="inlineStr">
        <is>
          <t>4026001685</t>
        </is>
      </c>
      <c r="M262" s="5">
        <f>IF(YEAR(I262)&lt;=2020,"Até 2020",TEXT(YEAR(I262),"0"))</f>
        <v/>
      </c>
      <c r="N262" s="5">
        <f>IFERROR(INDEX(DePara!$A:$A,MATCH(TEXT(B262,"0"),DePara!$D:$D,0)),"(sem categoria)")</f>
        <v/>
      </c>
      <c r="O262" s="5">
        <f>IF(J262="","",Parametros!$B$6-J262)</f>
        <v/>
      </c>
      <c r="P262" s="5">
        <f>IF(O262="","",IF(O262&gt;0,1,0))</f>
        <v/>
      </c>
    </row>
    <row r="263">
      <c r="A263" s="5" t="n">
        <v>2122100000</v>
      </c>
      <c r="B263" s="5" t="inlineStr">
        <is>
          <t>IC4420</t>
        </is>
      </c>
      <c r="C263" s="5" t="inlineStr">
        <is>
          <t>NORDEX ENERGY SPAIN S A U</t>
        </is>
      </c>
      <c r="D263" s="5" t="inlineStr">
        <is>
          <t>RE</t>
        </is>
      </c>
      <c r="E263" s="5" t="n">
        <v>5005869</v>
      </c>
      <c r="F263" s="5" t="inlineStr">
        <is>
          <t>4026001431</t>
        </is>
      </c>
      <c r="G263" s="5" t="inlineStr">
        <is>
          <t>EUR</t>
        </is>
      </c>
      <c r="H263" s="9" t="n">
        <v>-42077.9</v>
      </c>
      <c r="I263" s="16" t="n">
        <v>46080</v>
      </c>
      <c r="J263" s="16" t="n">
        <v>46110</v>
      </c>
      <c r="K263" s="5" t="inlineStr">
        <is>
          <t>0110/26</t>
        </is>
      </c>
      <c r="L263" s="5" t="inlineStr">
        <is>
          <t>4026001431</t>
        </is>
      </c>
      <c r="M263" s="5">
        <f>IF(YEAR(I263)&lt;=2020,"Até 2020",TEXT(YEAR(I263),"0"))</f>
        <v/>
      </c>
      <c r="N263" s="5">
        <f>IFERROR(INDEX(DePara!$A:$A,MATCH(TEXT(B263,"0"),DePara!$D:$D,0)),"(sem categoria)")</f>
        <v/>
      </c>
      <c r="O263" s="5">
        <f>IF(J263="","",Parametros!$B$6-J263)</f>
        <v/>
      </c>
      <c r="P263" s="5">
        <f>IF(O263="","",IF(O263&gt;0,1,0))</f>
        <v/>
      </c>
    </row>
    <row r="264">
      <c r="A264" s="5" t="n">
        <v>2122100000</v>
      </c>
      <c r="B264" s="5" t="inlineStr">
        <is>
          <t>IC1000</t>
        </is>
      </c>
      <c r="C264" s="5" t="inlineStr">
        <is>
          <t>NORDEX ENERGY SE &amp; CO KG</t>
        </is>
      </c>
      <c r="D264" s="5" t="inlineStr">
        <is>
          <t>KR</t>
        </is>
      </c>
      <c r="E264" s="5" t="n">
        <v>5006054</v>
      </c>
      <c r="F264" s="5" t="inlineStr">
        <is>
          <t>621578</t>
        </is>
      </c>
      <c r="G264" s="5" t="inlineStr">
        <is>
          <t>EUR</t>
        </is>
      </c>
      <c r="H264" s="9" t="n">
        <v>-9410958.1</v>
      </c>
      <c r="I264" s="16" t="n">
        <v>45687</v>
      </c>
      <c r="J264" s="16" t="n">
        <v>45717</v>
      </c>
      <c r="K264" s="5" t="inlineStr">
        <is>
          <t>Vendor Invoice NORDEX ENERGY SE &amp; CO KG 621578</t>
        </is>
      </c>
      <c r="L264" s="5" t="n"/>
      <c r="M264" s="5">
        <f>IF(YEAR(I264)&lt;=2020,"Até 2020",TEXT(YEAR(I264),"0"))</f>
        <v/>
      </c>
      <c r="N264" s="5">
        <f>IFERROR(INDEX(DePara!$A:$A,MATCH(TEXT(B264,"0"),DePara!$D:$D,0)),"(sem categoria)")</f>
        <v/>
      </c>
      <c r="O264" s="5">
        <f>IF(J264="","",Parametros!$B$6-J264)</f>
        <v/>
      </c>
      <c r="P264" s="5">
        <f>IF(O264="","",IF(O264&gt;0,1,0))</f>
        <v/>
      </c>
    </row>
    <row r="265">
      <c r="A265" s="5" t="n">
        <v>2122100000</v>
      </c>
      <c r="B265" s="5" t="inlineStr">
        <is>
          <t>IC1000</t>
        </is>
      </c>
      <c r="C265" s="5" t="inlineStr">
        <is>
          <t>NORDEX ENERGY SE &amp; CO KG</t>
        </is>
      </c>
      <c r="D265" s="5" t="inlineStr">
        <is>
          <t>RE</t>
        </is>
      </c>
      <c r="E265" s="5" t="n">
        <v>5006105</v>
      </c>
      <c r="F265" s="5" t="inlineStr">
        <is>
          <t>310147</t>
        </is>
      </c>
      <c r="G265" s="5" t="inlineStr">
        <is>
          <t>EUR</t>
        </is>
      </c>
      <c r="H265" s="9" t="n">
        <v>-27785.93</v>
      </c>
      <c r="I265" s="16" t="n">
        <v>45560</v>
      </c>
      <c r="J265" s="16" t="n">
        <v>45590</v>
      </c>
      <c r="K265" s="5" t="inlineStr">
        <is>
          <t>0053/25</t>
        </is>
      </c>
      <c r="L265" s="5" t="inlineStr">
        <is>
          <t>310147</t>
        </is>
      </c>
      <c r="M265" s="5">
        <f>IF(YEAR(I265)&lt;=2020,"Até 2020",TEXT(YEAR(I265),"0"))</f>
        <v/>
      </c>
      <c r="N265" s="5">
        <f>IFERROR(INDEX(DePara!$A:$A,MATCH(TEXT(B265,"0"),DePara!$D:$D,0)),"(sem categoria)")</f>
        <v/>
      </c>
      <c r="O265" s="5">
        <f>IF(J265="","",Parametros!$B$6-J265)</f>
        <v/>
      </c>
      <c r="P265" s="5">
        <f>IF(O265="","",IF(O265&gt;0,1,0))</f>
        <v/>
      </c>
    </row>
    <row r="266">
      <c r="A266" s="5" t="n">
        <v>2122100000</v>
      </c>
      <c r="B266" s="5" t="inlineStr">
        <is>
          <t>IC4420</t>
        </is>
      </c>
      <c r="C266" s="5" t="inlineStr">
        <is>
          <t>NORDEX ENERGY SPAIN S A U</t>
        </is>
      </c>
      <c r="D266" s="5" t="inlineStr">
        <is>
          <t>RE</t>
        </is>
      </c>
      <c r="E266" s="5" t="n">
        <v>5006122</v>
      </c>
      <c r="F266" s="5" t="inlineStr">
        <is>
          <t>4026001639</t>
        </is>
      </c>
      <c r="G266" s="5" t="inlineStr">
        <is>
          <t>EUR</t>
        </is>
      </c>
      <c r="H266" s="9" t="n">
        <v>-64823.54</v>
      </c>
      <c r="I266" s="16" t="n">
        <v>46087</v>
      </c>
      <c r="J266" s="16" t="n">
        <v>46117</v>
      </c>
      <c r="K266" s="5" t="inlineStr">
        <is>
          <t>0148/26</t>
        </is>
      </c>
      <c r="L266" s="5" t="inlineStr">
        <is>
          <t>4026001639</t>
        </is>
      </c>
      <c r="M266" s="5">
        <f>IF(YEAR(I266)&lt;=2020,"Até 2020",TEXT(YEAR(I266),"0"))</f>
        <v/>
      </c>
      <c r="N266" s="5">
        <f>IFERROR(INDEX(DePara!$A:$A,MATCH(TEXT(B266,"0"),DePara!$D:$D,0)),"(sem categoria)")</f>
        <v/>
      </c>
      <c r="O266" s="5">
        <f>IF(J266="","",Parametros!$B$6-J266)</f>
        <v/>
      </c>
      <c r="P266" s="5">
        <f>IF(O266="","",IF(O266&gt;0,1,0))</f>
        <v/>
      </c>
    </row>
    <row r="267">
      <c r="A267" s="5" t="n">
        <v>2122100000</v>
      </c>
      <c r="B267" s="5" t="inlineStr">
        <is>
          <t>IC4420</t>
        </is>
      </c>
      <c r="C267" s="5" t="inlineStr">
        <is>
          <t>NORDEX ENERGY SPAIN S A U</t>
        </is>
      </c>
      <c r="D267" s="5" t="inlineStr">
        <is>
          <t>RE</t>
        </is>
      </c>
      <c r="E267" s="5" t="n">
        <v>5006123</v>
      </c>
      <c r="F267" s="5" t="inlineStr">
        <is>
          <t>4026001674</t>
        </is>
      </c>
      <c r="G267" s="5" t="inlineStr">
        <is>
          <t>EUR</t>
        </is>
      </c>
      <c r="H267" s="9" t="n">
        <v>-19544.35</v>
      </c>
      <c r="I267" s="16" t="n">
        <v>46090</v>
      </c>
      <c r="J267" s="16" t="n">
        <v>46120</v>
      </c>
      <c r="K267" s="5" t="inlineStr">
        <is>
          <t>0143/26</t>
        </is>
      </c>
      <c r="L267" s="5" t="inlineStr">
        <is>
          <t>4026001674</t>
        </is>
      </c>
      <c r="M267" s="5">
        <f>IF(YEAR(I267)&lt;=2020,"Até 2020",TEXT(YEAR(I267),"0"))</f>
        <v/>
      </c>
      <c r="N267" s="5">
        <f>IFERROR(INDEX(DePara!$A:$A,MATCH(TEXT(B267,"0"),DePara!$D:$D,0)),"(sem categoria)")</f>
        <v/>
      </c>
      <c r="O267" s="5">
        <f>IF(J267="","",Parametros!$B$6-J267)</f>
        <v/>
      </c>
      <c r="P267" s="5">
        <f>IF(O267="","",IF(O267&gt;0,1,0))</f>
        <v/>
      </c>
    </row>
    <row r="268">
      <c r="A268" s="5" t="n">
        <v>2122100000</v>
      </c>
      <c r="B268" s="5" t="inlineStr">
        <is>
          <t>IC4420</t>
        </is>
      </c>
      <c r="C268" s="5" t="inlineStr">
        <is>
          <t>NORDEX ENERGY SPAIN S A U</t>
        </is>
      </c>
      <c r="D268" s="5" t="inlineStr">
        <is>
          <t>RE</t>
        </is>
      </c>
      <c r="E268" s="5" t="n">
        <v>5006124</v>
      </c>
      <c r="F268" s="5" t="inlineStr">
        <is>
          <t>4026001434</t>
        </is>
      </c>
      <c r="G268" s="5" t="inlineStr">
        <is>
          <t>EUR</t>
        </is>
      </c>
      <c r="H268" s="9" t="n">
        <v>-5585.51</v>
      </c>
      <c r="I268" s="16" t="n">
        <v>46080</v>
      </c>
      <c r="J268" s="16" t="n">
        <v>46110</v>
      </c>
      <c r="K268" s="5" t="inlineStr">
        <is>
          <t>0113/26</t>
        </is>
      </c>
      <c r="L268" s="5" t="inlineStr">
        <is>
          <t>4026001434</t>
        </is>
      </c>
      <c r="M268" s="5">
        <f>IF(YEAR(I268)&lt;=2020,"Até 2020",TEXT(YEAR(I268),"0"))</f>
        <v/>
      </c>
      <c r="N268" s="5">
        <f>IFERROR(INDEX(DePara!$A:$A,MATCH(TEXT(B268,"0"),DePara!$D:$D,0)),"(sem categoria)")</f>
        <v/>
      </c>
      <c r="O268" s="5">
        <f>IF(J268="","",Parametros!$B$6-J268)</f>
        <v/>
      </c>
      <c r="P268" s="5">
        <f>IF(O268="","",IF(O268&gt;0,1,0))</f>
        <v/>
      </c>
    </row>
    <row r="269">
      <c r="A269" s="5" t="n">
        <v>2122100000</v>
      </c>
      <c r="B269" s="5" t="inlineStr">
        <is>
          <t>IC5000</t>
        </is>
      </c>
      <c r="C269" s="5" t="inlineStr">
        <is>
          <t>NORDEX SE</t>
        </is>
      </c>
      <c r="D269" s="5" t="inlineStr">
        <is>
          <t>KG</t>
        </is>
      </c>
      <c r="E269" s="5" t="n">
        <v>5006184</v>
      </c>
      <c r="F269" s="5" t="inlineStr">
        <is>
          <t>607864</t>
        </is>
      </c>
      <c r="G269" s="5" t="inlineStr">
        <is>
          <t>EUR</t>
        </is>
      </c>
      <c r="H269" s="9" t="n">
        <v>4518668.46</v>
      </c>
      <c r="I269" s="16" t="n">
        <v>45335</v>
      </c>
      <c r="J269" s="16" t="n">
        <v>45335</v>
      </c>
      <c r="K269" s="5" t="inlineStr">
        <is>
          <t>Nota crédito fornec. NORDEX SE 607864</t>
        </is>
      </c>
      <c r="L269" s="5" t="n"/>
      <c r="M269" s="5">
        <f>IF(YEAR(I269)&lt;=2020,"Até 2020",TEXT(YEAR(I269),"0"))</f>
        <v/>
      </c>
      <c r="N269" s="5">
        <f>IFERROR(INDEX(DePara!$A:$A,MATCH(TEXT(B269,"0"),DePara!$D:$D,0)),"(sem categoria)")</f>
        <v/>
      </c>
      <c r="O269" s="5">
        <f>IF(J269="","",Parametros!$B$6-J269)</f>
        <v/>
      </c>
      <c r="P269" s="5">
        <f>IF(O269="","",IF(O269&gt;0,1,0))</f>
        <v/>
      </c>
    </row>
    <row r="270">
      <c r="A270" s="5" t="n">
        <v>2122100000</v>
      </c>
      <c r="B270" s="5" t="inlineStr">
        <is>
          <t>IC1000</t>
        </is>
      </c>
      <c r="C270" s="5" t="inlineStr">
        <is>
          <t>NORDEX ENERGY SE &amp; CO KG</t>
        </is>
      </c>
      <c r="D270" s="5" t="inlineStr">
        <is>
          <t>RE</t>
        </is>
      </c>
      <c r="E270" s="5" t="n">
        <v>5006184</v>
      </c>
      <c r="F270" s="5" t="inlineStr">
        <is>
          <t>326399</t>
        </is>
      </c>
      <c r="G270" s="5" t="inlineStr">
        <is>
          <t>EUR</t>
        </is>
      </c>
      <c r="H270" s="9" t="n">
        <v>-6049.37</v>
      </c>
      <c r="I270" s="16" t="n">
        <v>45672</v>
      </c>
      <c r="J270" s="16" t="n">
        <v>45702</v>
      </c>
      <c r="K270" s="5" t="inlineStr">
        <is>
          <t>0080/25</t>
        </is>
      </c>
      <c r="L270" s="5" t="inlineStr">
        <is>
          <t>326399</t>
        </is>
      </c>
      <c r="M270" s="5">
        <f>IF(YEAR(I270)&lt;=2020,"Até 2020",TEXT(YEAR(I270),"0"))</f>
        <v/>
      </c>
      <c r="N270" s="5">
        <f>IFERROR(INDEX(DePara!$A:$A,MATCH(TEXT(B270,"0"),DePara!$D:$D,0)),"(sem categoria)")</f>
        <v/>
      </c>
      <c r="O270" s="5">
        <f>IF(J270="","",Parametros!$B$6-J270)</f>
        <v/>
      </c>
      <c r="P270" s="5">
        <f>IF(O270="","",IF(O270&gt;0,1,0))</f>
        <v/>
      </c>
    </row>
    <row r="271">
      <c r="A271" s="5" t="n">
        <v>2122100000</v>
      </c>
      <c r="B271" s="5" t="inlineStr">
        <is>
          <t>IC4420</t>
        </is>
      </c>
      <c r="C271" s="5" t="inlineStr">
        <is>
          <t>NORDEX ENERGY SPAIN S A U</t>
        </is>
      </c>
      <c r="D271" s="5" t="inlineStr">
        <is>
          <t>RE</t>
        </is>
      </c>
      <c r="E271" s="5" t="n">
        <v>5006226</v>
      </c>
      <c r="F271" s="5" t="inlineStr">
        <is>
          <t>4026001682</t>
        </is>
      </c>
      <c r="G271" s="5" t="inlineStr">
        <is>
          <t>EUR</t>
        </is>
      </c>
      <c r="H271" s="9" t="n">
        <v>-3652.61</v>
      </c>
      <c r="I271" s="16" t="n">
        <v>46059</v>
      </c>
      <c r="J271" s="16" t="n">
        <v>46089</v>
      </c>
      <c r="K271" s="5" t="inlineStr">
        <is>
          <t>0160/26</t>
        </is>
      </c>
      <c r="L271" s="5" t="inlineStr">
        <is>
          <t>4026001682</t>
        </is>
      </c>
      <c r="M271" s="5">
        <f>IF(YEAR(I271)&lt;=2020,"Até 2020",TEXT(YEAR(I271),"0"))</f>
        <v/>
      </c>
      <c r="N271" s="5">
        <f>IFERROR(INDEX(DePara!$A:$A,MATCH(TEXT(B271,"0"),DePara!$D:$D,0)),"(sem categoria)")</f>
        <v/>
      </c>
      <c r="O271" s="5">
        <f>IF(J271="","",Parametros!$B$6-J271)</f>
        <v/>
      </c>
      <c r="P271" s="5">
        <f>IF(O271="","",IF(O271&gt;0,1,0))</f>
        <v/>
      </c>
    </row>
    <row r="272">
      <c r="A272" s="5" t="n">
        <v>2122100000</v>
      </c>
      <c r="B272" s="5" t="inlineStr">
        <is>
          <t>IC4420</t>
        </is>
      </c>
      <c r="C272" s="5" t="inlineStr">
        <is>
          <t>NORDEX ENERGY SPAIN S A U</t>
        </is>
      </c>
      <c r="D272" s="5" t="inlineStr">
        <is>
          <t>RE</t>
        </is>
      </c>
      <c r="E272" s="5" t="n">
        <v>5006252</v>
      </c>
      <c r="F272" s="5" t="inlineStr">
        <is>
          <t>4026001430</t>
        </is>
      </c>
      <c r="G272" s="5" t="inlineStr">
        <is>
          <t>EUR</t>
        </is>
      </c>
      <c r="H272" s="9" t="n">
        <v>-45780.64</v>
      </c>
      <c r="I272" s="16" t="n">
        <v>46080</v>
      </c>
      <c r="J272" s="16" t="n">
        <v>46110</v>
      </c>
      <c r="K272" s="5" t="inlineStr">
        <is>
          <t>0109/26</t>
        </is>
      </c>
      <c r="L272" s="5" t="inlineStr">
        <is>
          <t>4026001430</t>
        </is>
      </c>
      <c r="M272" s="5">
        <f>IF(YEAR(I272)&lt;=2020,"Até 2020",TEXT(YEAR(I272),"0"))</f>
        <v/>
      </c>
      <c r="N272" s="5">
        <f>IFERROR(INDEX(DePara!$A:$A,MATCH(TEXT(B272,"0"),DePara!$D:$D,0)),"(sem categoria)")</f>
        <v/>
      </c>
      <c r="O272" s="5">
        <f>IF(J272="","",Parametros!$B$6-J272)</f>
        <v/>
      </c>
      <c r="P272" s="5">
        <f>IF(O272="","",IF(O272&gt;0,1,0))</f>
        <v/>
      </c>
    </row>
    <row r="273">
      <c r="A273" s="5" t="n">
        <v>2122100000</v>
      </c>
      <c r="B273" s="5" t="inlineStr">
        <is>
          <t>IC4420</t>
        </is>
      </c>
      <c r="C273" s="5" t="inlineStr">
        <is>
          <t>NORDEX ENERGY SPAIN S A U</t>
        </is>
      </c>
      <c r="D273" s="5" t="inlineStr">
        <is>
          <t>RE</t>
        </is>
      </c>
      <c r="E273" s="5" t="n">
        <v>5006275</v>
      </c>
      <c r="F273" s="5" t="inlineStr">
        <is>
          <t>4026001069</t>
        </is>
      </c>
      <c r="G273" s="5" t="inlineStr">
        <is>
          <t>EUR</t>
        </is>
      </c>
      <c r="H273" s="9" t="n">
        <v>-25275.54</v>
      </c>
      <c r="I273" s="16" t="n">
        <v>46065</v>
      </c>
      <c r="J273" s="16" t="n">
        <v>46095</v>
      </c>
      <c r="K273" s="5" t="inlineStr">
        <is>
          <t>0077/26</t>
        </is>
      </c>
      <c r="L273" s="5" t="inlineStr">
        <is>
          <t>4026001069</t>
        </is>
      </c>
      <c r="M273" s="5">
        <f>IF(YEAR(I273)&lt;=2020,"Até 2020",TEXT(YEAR(I273),"0"))</f>
        <v/>
      </c>
      <c r="N273" s="5">
        <f>IFERROR(INDEX(DePara!$A:$A,MATCH(TEXT(B273,"0"),DePara!$D:$D,0)),"(sem categoria)")</f>
        <v/>
      </c>
      <c r="O273" s="5">
        <f>IF(J273="","",Parametros!$B$6-J273)</f>
        <v/>
      </c>
      <c r="P273" s="5">
        <f>IF(O273="","",IF(O273&gt;0,1,0))</f>
        <v/>
      </c>
    </row>
    <row r="274">
      <c r="A274" s="5" t="n">
        <v>2122100000</v>
      </c>
      <c r="B274" s="5" t="inlineStr">
        <is>
          <t>IC4420</t>
        </is>
      </c>
      <c r="C274" s="5" t="inlineStr">
        <is>
          <t>NORDEX ENERGY SPAIN S A U</t>
        </is>
      </c>
      <c r="D274" s="5" t="inlineStr">
        <is>
          <t>RE</t>
        </is>
      </c>
      <c r="E274" s="5" t="n">
        <v>5006341</v>
      </c>
      <c r="F274" s="5" t="inlineStr">
        <is>
          <t>4026000892</t>
        </is>
      </c>
      <c r="G274" s="5" t="inlineStr">
        <is>
          <t>EUR</t>
        </is>
      </c>
      <c r="H274" s="9" t="n">
        <v>-7066.4</v>
      </c>
      <c r="I274" s="16" t="n">
        <v>46058</v>
      </c>
      <c r="J274" s="16" t="n">
        <v>46088</v>
      </c>
      <c r="K274" s="5" t="inlineStr">
        <is>
          <t>0056/26</t>
        </is>
      </c>
      <c r="L274" s="5" t="inlineStr">
        <is>
          <t>4026000892</t>
        </is>
      </c>
      <c r="M274" s="5">
        <f>IF(YEAR(I274)&lt;=2020,"Até 2020",TEXT(YEAR(I274),"0"))</f>
        <v/>
      </c>
      <c r="N274" s="5">
        <f>IFERROR(INDEX(DePara!$A:$A,MATCH(TEXT(B274,"0"),DePara!$D:$D,0)),"(sem categoria)")</f>
        <v/>
      </c>
      <c r="O274" s="5">
        <f>IF(J274="","",Parametros!$B$6-J274)</f>
        <v/>
      </c>
      <c r="P274" s="5">
        <f>IF(O274="","",IF(O274&gt;0,1,0))</f>
        <v/>
      </c>
    </row>
    <row r="275">
      <c r="A275" s="5" t="n">
        <v>2122100000</v>
      </c>
      <c r="B275" s="5" t="inlineStr">
        <is>
          <t>IC4420</t>
        </is>
      </c>
      <c r="C275" s="5" t="inlineStr">
        <is>
          <t>NORDEX ENERGY SPAIN S A U</t>
        </is>
      </c>
      <c r="D275" s="5" t="inlineStr">
        <is>
          <t>RE</t>
        </is>
      </c>
      <c r="E275" s="5" t="n">
        <v>5006342</v>
      </c>
      <c r="F275" s="5" t="inlineStr">
        <is>
          <t>4026000890</t>
        </is>
      </c>
      <c r="G275" s="5" t="inlineStr">
        <is>
          <t>EUR</t>
        </is>
      </c>
      <c r="H275" s="9" t="n">
        <v>-20173.51</v>
      </c>
      <c r="I275" s="16" t="n">
        <v>46058</v>
      </c>
      <c r="J275" s="16" t="n">
        <v>46088</v>
      </c>
      <c r="K275" s="5" t="inlineStr">
        <is>
          <t>0056/26</t>
        </is>
      </c>
      <c r="L275" s="5" t="inlineStr">
        <is>
          <t>4026000890</t>
        </is>
      </c>
      <c r="M275" s="5">
        <f>IF(YEAR(I275)&lt;=2020,"Até 2020",TEXT(YEAR(I275),"0"))</f>
        <v/>
      </c>
      <c r="N275" s="5">
        <f>IFERROR(INDEX(DePara!$A:$A,MATCH(TEXT(B275,"0"),DePara!$D:$D,0)),"(sem categoria)")</f>
        <v/>
      </c>
      <c r="O275" s="5">
        <f>IF(J275="","",Parametros!$B$6-J275)</f>
        <v/>
      </c>
      <c r="P275" s="5">
        <f>IF(O275="","",IF(O275&gt;0,1,0))</f>
        <v/>
      </c>
    </row>
    <row r="276">
      <c r="A276" s="5" t="n">
        <v>2122100000</v>
      </c>
      <c r="B276" s="5" t="inlineStr">
        <is>
          <t>IC4420</t>
        </is>
      </c>
      <c r="C276" s="5" t="inlineStr">
        <is>
          <t>NORDEX ENERGY SPAIN S A U</t>
        </is>
      </c>
      <c r="D276" s="5" t="inlineStr">
        <is>
          <t>RE</t>
        </is>
      </c>
      <c r="E276" s="5" t="n">
        <v>5006343</v>
      </c>
      <c r="F276" s="5" t="inlineStr">
        <is>
          <t>4026000893</t>
        </is>
      </c>
      <c r="G276" s="5" t="inlineStr">
        <is>
          <t>EUR</t>
        </is>
      </c>
      <c r="H276" s="9" t="n">
        <v>-49619.26</v>
      </c>
      <c r="I276" s="16" t="n">
        <v>46058</v>
      </c>
      <c r="J276" s="16" t="n">
        <v>46088</v>
      </c>
      <c r="K276" s="5" t="inlineStr">
        <is>
          <t>0056/26</t>
        </is>
      </c>
      <c r="L276" s="5" t="inlineStr">
        <is>
          <t>4026000893</t>
        </is>
      </c>
      <c r="M276" s="5">
        <f>IF(YEAR(I276)&lt;=2020,"Até 2020",TEXT(YEAR(I276),"0"))</f>
        <v/>
      </c>
      <c r="N276" s="5">
        <f>IFERROR(INDEX(DePara!$A:$A,MATCH(TEXT(B276,"0"),DePara!$D:$D,0)),"(sem categoria)")</f>
        <v/>
      </c>
      <c r="O276" s="5">
        <f>IF(J276="","",Parametros!$B$6-J276)</f>
        <v/>
      </c>
      <c r="P276" s="5">
        <f>IF(O276="","",IF(O276&gt;0,1,0))</f>
        <v/>
      </c>
    </row>
    <row r="277">
      <c r="A277" s="5" t="n">
        <v>2122100000</v>
      </c>
      <c r="B277" s="5" t="inlineStr">
        <is>
          <t>IC4420</t>
        </is>
      </c>
      <c r="C277" s="5" t="inlineStr">
        <is>
          <t>NORDEX ENERGY SPAIN S A U</t>
        </is>
      </c>
      <c r="D277" s="5" t="inlineStr">
        <is>
          <t>RE</t>
        </is>
      </c>
      <c r="E277" s="5" t="n">
        <v>5006344</v>
      </c>
      <c r="F277" s="5" t="inlineStr">
        <is>
          <t>4026001684</t>
        </is>
      </c>
      <c r="G277" s="5" t="inlineStr">
        <is>
          <t>EUR</t>
        </is>
      </c>
      <c r="H277" s="9" t="n">
        <v>-24035.95</v>
      </c>
      <c r="I277" s="16" t="n">
        <v>46090</v>
      </c>
      <c r="J277" s="16" t="n">
        <v>46120</v>
      </c>
      <c r="K277" s="5" t="inlineStr">
        <is>
          <t>0157/26</t>
        </is>
      </c>
      <c r="L277" s="5" t="inlineStr">
        <is>
          <t>4026001684</t>
        </is>
      </c>
      <c r="M277" s="5">
        <f>IF(YEAR(I277)&lt;=2020,"Até 2020",TEXT(YEAR(I277),"0"))</f>
        <v/>
      </c>
      <c r="N277" s="5">
        <f>IFERROR(INDEX(DePara!$A:$A,MATCH(TEXT(B277,"0"),DePara!$D:$D,0)),"(sem categoria)")</f>
        <v/>
      </c>
      <c r="O277" s="5">
        <f>IF(J277="","",Parametros!$B$6-J277)</f>
        <v/>
      </c>
      <c r="P277" s="5">
        <f>IF(O277="","",IF(O277&gt;0,1,0))</f>
        <v/>
      </c>
    </row>
    <row r="278">
      <c r="A278" s="5" t="n">
        <v>2122100000</v>
      </c>
      <c r="B278" s="5" t="inlineStr">
        <is>
          <t>IC4420</t>
        </is>
      </c>
      <c r="C278" s="5" t="inlineStr">
        <is>
          <t>NORDEX ENERGY SPAIN S A U</t>
        </is>
      </c>
      <c r="D278" s="5" t="inlineStr">
        <is>
          <t>RE</t>
        </is>
      </c>
      <c r="E278" s="5" t="n">
        <v>5006345</v>
      </c>
      <c r="F278" s="5" t="inlineStr">
        <is>
          <t>4026001683</t>
        </is>
      </c>
      <c r="G278" s="5" t="inlineStr">
        <is>
          <t>EUR</t>
        </is>
      </c>
      <c r="H278" s="9" t="n">
        <v>-765.9</v>
      </c>
      <c r="I278" s="16" t="n">
        <v>46090</v>
      </c>
      <c r="J278" s="16" t="n">
        <v>46120</v>
      </c>
      <c r="K278" s="5" t="inlineStr">
        <is>
          <t>0157/26</t>
        </is>
      </c>
      <c r="L278" s="5" t="inlineStr">
        <is>
          <t>4026001683</t>
        </is>
      </c>
      <c r="M278" s="5">
        <f>IF(YEAR(I278)&lt;=2020,"Até 2020",TEXT(YEAR(I278),"0"))</f>
        <v/>
      </c>
      <c r="N278" s="5">
        <f>IFERROR(INDEX(DePara!$A:$A,MATCH(TEXT(B278,"0"),DePara!$D:$D,0)),"(sem categoria)")</f>
        <v/>
      </c>
      <c r="O278" s="5">
        <f>IF(J278="","",Parametros!$B$6-J278)</f>
        <v/>
      </c>
      <c r="P278" s="5">
        <f>IF(O278="","",IF(O278&gt;0,1,0))</f>
        <v/>
      </c>
    </row>
    <row r="279">
      <c r="A279" s="5" t="n">
        <v>2122100000</v>
      </c>
      <c r="B279" s="5" t="inlineStr">
        <is>
          <t>IC4420</t>
        </is>
      </c>
      <c r="C279" s="5" t="inlineStr">
        <is>
          <t>NORDEX ENERGY SPAIN S A U</t>
        </is>
      </c>
      <c r="D279" s="5" t="inlineStr">
        <is>
          <t>RE</t>
        </is>
      </c>
      <c r="E279" s="5" t="n">
        <v>5006346</v>
      </c>
      <c r="F279" s="5" t="inlineStr">
        <is>
          <t>4026001578</t>
        </is>
      </c>
      <c r="G279" s="5" t="inlineStr">
        <is>
          <t>EUR</t>
        </is>
      </c>
      <c r="H279" s="9" t="n">
        <v>-1994.66</v>
      </c>
      <c r="I279" s="16" t="n">
        <v>46085</v>
      </c>
      <c r="J279" s="16" t="n">
        <v>46115</v>
      </c>
      <c r="K279" s="5" t="inlineStr">
        <is>
          <t>0118/26</t>
        </is>
      </c>
      <c r="L279" s="5" t="inlineStr">
        <is>
          <t>4026001578</t>
        </is>
      </c>
      <c r="M279" s="5">
        <f>IF(YEAR(I279)&lt;=2020,"Até 2020",TEXT(YEAR(I279),"0"))</f>
        <v/>
      </c>
      <c r="N279" s="5">
        <f>IFERROR(INDEX(DePara!$A:$A,MATCH(TEXT(B279,"0"),DePara!$D:$D,0)),"(sem categoria)")</f>
        <v/>
      </c>
      <c r="O279" s="5">
        <f>IF(J279="","",Parametros!$B$6-J279)</f>
        <v/>
      </c>
      <c r="P279" s="5">
        <f>IF(O279="","",IF(O279&gt;0,1,0))</f>
        <v/>
      </c>
    </row>
    <row r="280">
      <c r="A280" s="5" t="n">
        <v>2122100000</v>
      </c>
      <c r="B280" s="5" t="inlineStr">
        <is>
          <t>IC4420</t>
        </is>
      </c>
      <c r="C280" s="5" t="inlineStr">
        <is>
          <t>NORDEX ENERGY SPAIN S A U</t>
        </is>
      </c>
      <c r="D280" s="5" t="inlineStr">
        <is>
          <t>RE</t>
        </is>
      </c>
      <c r="E280" s="5" t="n">
        <v>5006347</v>
      </c>
      <c r="F280" s="5" t="inlineStr">
        <is>
          <t>4026000891</t>
        </is>
      </c>
      <c r="G280" s="5" t="inlineStr">
        <is>
          <t>EUR</t>
        </is>
      </c>
      <c r="H280" s="9" t="n">
        <v>-50317.25</v>
      </c>
      <c r="I280" s="16" t="n">
        <v>46058</v>
      </c>
      <c r="J280" s="16" t="n">
        <v>46088</v>
      </c>
      <c r="K280" s="5" t="inlineStr">
        <is>
          <t>0056/26</t>
        </is>
      </c>
      <c r="L280" s="5" t="inlineStr">
        <is>
          <t>4026000891</t>
        </is>
      </c>
      <c r="M280" s="5">
        <f>IF(YEAR(I280)&lt;=2020,"Até 2020",TEXT(YEAR(I280),"0"))</f>
        <v/>
      </c>
      <c r="N280" s="5">
        <f>IFERROR(INDEX(DePara!$A:$A,MATCH(TEXT(B280,"0"),DePara!$D:$D,0)),"(sem categoria)")</f>
        <v/>
      </c>
      <c r="O280" s="5">
        <f>IF(J280="","",Parametros!$B$6-J280)</f>
        <v/>
      </c>
      <c r="P280" s="5">
        <f>IF(O280="","",IF(O280&gt;0,1,0))</f>
        <v/>
      </c>
    </row>
    <row r="281">
      <c r="A281" s="5" t="n">
        <v>2122100000</v>
      </c>
      <c r="B281" s="5" t="inlineStr">
        <is>
          <t>IC4420</t>
        </is>
      </c>
      <c r="C281" s="5" t="inlineStr">
        <is>
          <t>NORDEX ENERGY SPAIN S A U</t>
        </is>
      </c>
      <c r="D281" s="5" t="inlineStr">
        <is>
          <t>RE</t>
        </is>
      </c>
      <c r="E281" s="5" t="n">
        <v>5006348</v>
      </c>
      <c r="F281" s="5" t="inlineStr">
        <is>
          <t>4026001637</t>
        </is>
      </c>
      <c r="G281" s="5" t="inlineStr">
        <is>
          <t>EUR</t>
        </is>
      </c>
      <c r="H281" s="9" t="n">
        <v>-226.62</v>
      </c>
      <c r="I281" s="16" t="n">
        <v>46087</v>
      </c>
      <c r="J281" s="16" t="n">
        <v>46117</v>
      </c>
      <c r="K281" s="5" t="inlineStr">
        <is>
          <t>0145/26</t>
        </is>
      </c>
      <c r="L281" s="5" t="inlineStr">
        <is>
          <t>4026001637</t>
        </is>
      </c>
      <c r="M281" s="5">
        <f>IF(YEAR(I281)&lt;=2020,"Até 2020",TEXT(YEAR(I281),"0"))</f>
        <v/>
      </c>
      <c r="N281" s="5">
        <f>IFERROR(INDEX(DePara!$A:$A,MATCH(TEXT(B281,"0"),DePara!$D:$D,0)),"(sem categoria)")</f>
        <v/>
      </c>
      <c r="O281" s="5">
        <f>IF(J281="","",Parametros!$B$6-J281)</f>
        <v/>
      </c>
      <c r="P281" s="5">
        <f>IF(O281="","",IF(O281&gt;0,1,0))</f>
        <v/>
      </c>
    </row>
    <row r="282">
      <c r="A282" s="5" t="n">
        <v>2122100000</v>
      </c>
      <c r="B282" s="5" t="inlineStr">
        <is>
          <t>IC1000</t>
        </is>
      </c>
      <c r="C282" s="5" t="inlineStr">
        <is>
          <t>NORDEX ENERGY SE &amp; CO KG</t>
        </is>
      </c>
      <c r="D282" s="5" t="inlineStr">
        <is>
          <t>RE</t>
        </is>
      </c>
      <c r="E282" s="5" t="n">
        <v>5006391</v>
      </c>
      <c r="F282" s="5" t="inlineStr">
        <is>
          <t>4012426772</t>
        </is>
      </c>
      <c r="G282" s="5" t="inlineStr">
        <is>
          <t>EUR</t>
        </is>
      </c>
      <c r="H282" s="9" t="n">
        <v>-71619.28999999999</v>
      </c>
      <c r="I282" s="16" t="n">
        <v>45645</v>
      </c>
      <c r="J282" s="16" t="n">
        <v>45675</v>
      </c>
      <c r="K282" s="5" t="inlineStr">
        <is>
          <t>1198/24</t>
        </is>
      </c>
      <c r="L282" s="5" t="inlineStr">
        <is>
          <t>4012426772</t>
        </is>
      </c>
      <c r="M282" s="5">
        <f>IF(YEAR(I282)&lt;=2020,"Até 2020",TEXT(YEAR(I282),"0"))</f>
        <v/>
      </c>
      <c r="N282" s="5">
        <f>IFERROR(INDEX(DePara!$A:$A,MATCH(TEXT(B282,"0"),DePara!$D:$D,0)),"(sem categoria)")</f>
        <v/>
      </c>
      <c r="O282" s="5">
        <f>IF(J282="","",Parametros!$B$6-J282)</f>
        <v/>
      </c>
      <c r="P282" s="5">
        <f>IF(O282="","",IF(O282&gt;0,1,0))</f>
        <v/>
      </c>
    </row>
    <row r="283">
      <c r="A283" s="5" t="n">
        <v>2122100000</v>
      </c>
      <c r="B283" s="5" t="inlineStr">
        <is>
          <t>IC4420</t>
        </is>
      </c>
      <c r="C283" s="5" t="inlineStr">
        <is>
          <t>NORDEX ENERGY SPAIN S A U</t>
        </is>
      </c>
      <c r="D283" s="5" t="inlineStr">
        <is>
          <t>RE</t>
        </is>
      </c>
      <c r="E283" s="5" t="n">
        <v>5006392</v>
      </c>
      <c r="F283" s="5" t="inlineStr">
        <is>
          <t>4026001608</t>
        </is>
      </c>
      <c r="G283" s="5" t="inlineStr">
        <is>
          <t>EUR</t>
        </is>
      </c>
      <c r="H283" s="9" t="n">
        <v>-2660.23</v>
      </c>
      <c r="I283" s="16" t="n">
        <v>46086</v>
      </c>
      <c r="J283" s="16" t="n">
        <v>46116</v>
      </c>
      <c r="K283" s="5" t="inlineStr">
        <is>
          <t>0129/26</t>
        </is>
      </c>
      <c r="L283" s="5" t="inlineStr">
        <is>
          <t>4026001608</t>
        </is>
      </c>
      <c r="M283" s="5">
        <f>IF(YEAR(I283)&lt;=2020,"Até 2020",TEXT(YEAR(I283),"0"))</f>
        <v/>
      </c>
      <c r="N283" s="5">
        <f>IFERROR(INDEX(DePara!$A:$A,MATCH(TEXT(B283,"0"),DePara!$D:$D,0)),"(sem categoria)")</f>
        <v/>
      </c>
      <c r="O283" s="5">
        <f>IF(J283="","",Parametros!$B$6-J283)</f>
        <v/>
      </c>
      <c r="P283" s="5">
        <f>IF(O283="","",IF(O283&gt;0,1,0))</f>
        <v/>
      </c>
    </row>
    <row r="284">
      <c r="A284" s="5" t="n">
        <v>2122100000</v>
      </c>
      <c r="B284" s="5" t="inlineStr">
        <is>
          <t>IC4420</t>
        </is>
      </c>
      <c r="C284" s="5" t="inlineStr">
        <is>
          <t>NORDEX ENERGY SPAIN S A U</t>
        </is>
      </c>
      <c r="D284" s="5" t="inlineStr">
        <is>
          <t>RE</t>
        </is>
      </c>
      <c r="E284" s="5" t="n">
        <v>5006393</v>
      </c>
      <c r="F284" s="5" t="inlineStr">
        <is>
          <t>4026001610</t>
        </is>
      </c>
      <c r="G284" s="5" t="inlineStr">
        <is>
          <t>EUR</t>
        </is>
      </c>
      <c r="H284" s="9" t="n">
        <v>-5441.82</v>
      </c>
      <c r="I284" s="16" t="n">
        <v>46086</v>
      </c>
      <c r="J284" s="16" t="n">
        <v>46116</v>
      </c>
      <c r="K284" s="5" t="inlineStr">
        <is>
          <t>0130/26</t>
        </is>
      </c>
      <c r="L284" s="5" t="inlineStr">
        <is>
          <t>4026001610</t>
        </is>
      </c>
      <c r="M284" s="5">
        <f>IF(YEAR(I284)&lt;=2020,"Até 2020",TEXT(YEAR(I284),"0"))</f>
        <v/>
      </c>
      <c r="N284" s="5">
        <f>IFERROR(INDEX(DePara!$A:$A,MATCH(TEXT(B284,"0"),DePara!$D:$D,0)),"(sem categoria)")</f>
        <v/>
      </c>
      <c r="O284" s="5">
        <f>IF(J284="","",Parametros!$B$6-J284)</f>
        <v/>
      </c>
      <c r="P284" s="5">
        <f>IF(O284="","",IF(O284&gt;0,1,0))</f>
        <v/>
      </c>
    </row>
    <row r="285">
      <c r="A285" s="5" t="n">
        <v>2122100000</v>
      </c>
      <c r="B285" s="5" t="inlineStr">
        <is>
          <t>IC4420</t>
        </is>
      </c>
      <c r="C285" s="5" t="inlineStr">
        <is>
          <t>NORDEX ENERGY SPAIN S A U</t>
        </is>
      </c>
      <c r="D285" s="5" t="inlineStr">
        <is>
          <t>RE</t>
        </is>
      </c>
      <c r="E285" s="5" t="n">
        <v>5006466</v>
      </c>
      <c r="F285" s="5" t="inlineStr">
        <is>
          <t>4026001501</t>
        </is>
      </c>
      <c r="G285" s="5" t="inlineStr">
        <is>
          <t>EUR</t>
        </is>
      </c>
      <c r="H285" s="9" t="n">
        <v>-17584.07</v>
      </c>
      <c r="I285" s="16" t="n">
        <v>46083</v>
      </c>
      <c r="J285" s="16" t="n">
        <v>46113</v>
      </c>
      <c r="K285" s="5" t="inlineStr">
        <is>
          <t>0107/26</t>
        </is>
      </c>
      <c r="L285" s="5" t="inlineStr">
        <is>
          <t>4026001501</t>
        </is>
      </c>
      <c r="M285" s="5">
        <f>IF(YEAR(I285)&lt;=2020,"Até 2020",TEXT(YEAR(I285),"0"))</f>
        <v/>
      </c>
      <c r="N285" s="5">
        <f>IFERROR(INDEX(DePara!$A:$A,MATCH(TEXT(B285,"0"),DePara!$D:$D,0)),"(sem categoria)")</f>
        <v/>
      </c>
      <c r="O285" s="5">
        <f>IF(J285="","",Parametros!$B$6-J285)</f>
        <v/>
      </c>
      <c r="P285" s="5">
        <f>IF(O285="","",IF(O285&gt;0,1,0))</f>
        <v/>
      </c>
    </row>
    <row r="286">
      <c r="A286" s="5" t="n">
        <v>2122100000</v>
      </c>
      <c r="B286" s="5" t="inlineStr">
        <is>
          <t>IC4420</t>
        </is>
      </c>
      <c r="C286" s="5" t="inlineStr">
        <is>
          <t>NORDEX ENERGY SPAIN S A U</t>
        </is>
      </c>
      <c r="D286" s="5" t="inlineStr">
        <is>
          <t>RE</t>
        </is>
      </c>
      <c r="E286" s="5" t="n">
        <v>5006476</v>
      </c>
      <c r="F286" s="5" t="inlineStr">
        <is>
          <t>4026000797</t>
        </is>
      </c>
      <c r="G286" s="5" t="inlineStr">
        <is>
          <t>EUR</t>
        </is>
      </c>
      <c r="H286" s="9" t="n">
        <v>-60102.5</v>
      </c>
      <c r="I286" s="16" t="n">
        <v>46055</v>
      </c>
      <c r="J286" s="16" t="n">
        <v>46085</v>
      </c>
      <c r="K286" s="5" t="inlineStr">
        <is>
          <t>0063/26</t>
        </is>
      </c>
      <c r="L286" s="5" t="inlineStr">
        <is>
          <t>4026000797</t>
        </is>
      </c>
      <c r="M286" s="5">
        <f>IF(YEAR(I286)&lt;=2020,"Até 2020",TEXT(YEAR(I286),"0"))</f>
        <v/>
      </c>
      <c r="N286" s="5">
        <f>IFERROR(INDEX(DePara!$A:$A,MATCH(TEXT(B286,"0"),DePara!$D:$D,0)),"(sem categoria)")</f>
        <v/>
      </c>
      <c r="O286" s="5">
        <f>IF(J286="","",Parametros!$B$6-J286)</f>
        <v/>
      </c>
      <c r="P286" s="5">
        <f>IF(O286="","",IF(O286&gt;0,1,0))</f>
        <v/>
      </c>
    </row>
    <row r="287">
      <c r="A287" s="5" t="n">
        <v>2122100000</v>
      </c>
      <c r="B287" s="5" t="inlineStr">
        <is>
          <t>IC1000</t>
        </is>
      </c>
      <c r="C287" s="5" t="inlineStr">
        <is>
          <t>NORDEX ENERGY SE &amp; CO KG</t>
        </is>
      </c>
      <c r="D287" s="5" t="inlineStr">
        <is>
          <t>RE</t>
        </is>
      </c>
      <c r="E287" s="5" t="n">
        <v>5006504</v>
      </c>
      <c r="F287" s="5" t="inlineStr">
        <is>
          <t>4012419486</t>
        </is>
      </c>
      <c r="G287" s="5" t="inlineStr">
        <is>
          <t>EUR</t>
        </is>
      </c>
      <c r="H287" s="9" t="n">
        <v>-1550318.66</v>
      </c>
      <c r="I287" s="16" t="n">
        <v>45590</v>
      </c>
      <c r="J287" s="16" t="n">
        <v>45620</v>
      </c>
      <c r="K287" s="5" t="inlineStr">
        <is>
          <t>1067/24</t>
        </is>
      </c>
      <c r="L287" s="5" t="inlineStr">
        <is>
          <t>4012419486</t>
        </is>
      </c>
      <c r="M287" s="5">
        <f>IF(YEAR(I287)&lt;=2020,"Até 2020",TEXT(YEAR(I287),"0"))</f>
        <v/>
      </c>
      <c r="N287" s="5">
        <f>IFERROR(INDEX(DePara!$A:$A,MATCH(TEXT(B287,"0"),DePara!$D:$D,0)),"(sem categoria)")</f>
        <v/>
      </c>
      <c r="O287" s="5">
        <f>IF(J287="","",Parametros!$B$6-J287)</f>
        <v/>
      </c>
      <c r="P287" s="5">
        <f>IF(O287="","",IF(O287&gt;0,1,0))</f>
        <v/>
      </c>
    </row>
    <row r="288">
      <c r="A288" s="5" t="n">
        <v>2122100000</v>
      </c>
      <c r="B288" s="5" t="inlineStr">
        <is>
          <t>IC1000</t>
        </is>
      </c>
      <c r="C288" s="5" t="inlineStr">
        <is>
          <t>NORDEX ENERGY SE &amp; CO KG</t>
        </is>
      </c>
      <c r="D288" s="5" t="inlineStr">
        <is>
          <t>RE</t>
        </is>
      </c>
      <c r="E288" s="5" t="n">
        <v>5006521</v>
      </c>
      <c r="F288" s="5" t="inlineStr">
        <is>
          <t>4012426771</t>
        </is>
      </c>
      <c r="G288" s="5" t="inlineStr">
        <is>
          <t>EUR</t>
        </is>
      </c>
      <c r="H288" s="9" t="n">
        <v>-615183.65</v>
      </c>
      <c r="I288" s="16" t="n">
        <v>45645</v>
      </c>
      <c r="J288" s="16" t="n">
        <v>45675</v>
      </c>
      <c r="K288" s="5" t="inlineStr">
        <is>
          <t>1198/24</t>
        </is>
      </c>
      <c r="L288" s="5" t="inlineStr">
        <is>
          <t>4012426771</t>
        </is>
      </c>
      <c r="M288" s="5">
        <f>IF(YEAR(I288)&lt;=2020,"Até 2020",TEXT(YEAR(I288),"0"))</f>
        <v/>
      </c>
      <c r="N288" s="5">
        <f>IFERROR(INDEX(DePara!$A:$A,MATCH(TEXT(B288,"0"),DePara!$D:$D,0)),"(sem categoria)")</f>
        <v/>
      </c>
      <c r="O288" s="5">
        <f>IF(J288="","",Parametros!$B$6-J288)</f>
        <v/>
      </c>
      <c r="P288" s="5">
        <f>IF(O288="","",IF(O288&gt;0,1,0))</f>
        <v/>
      </c>
    </row>
    <row r="289">
      <c r="A289" s="5" t="n">
        <v>2122100000</v>
      </c>
      <c r="B289" s="5" t="inlineStr">
        <is>
          <t>IC4420</t>
        </is>
      </c>
      <c r="C289" s="5" t="inlineStr">
        <is>
          <t>NORDEX ENERGY SPAIN S A U</t>
        </is>
      </c>
      <c r="D289" s="5" t="inlineStr">
        <is>
          <t>RE</t>
        </is>
      </c>
      <c r="E289" s="5" t="n">
        <v>5006619</v>
      </c>
      <c r="F289" s="5" t="inlineStr">
        <is>
          <t>4026001681</t>
        </is>
      </c>
      <c r="G289" s="5" t="inlineStr">
        <is>
          <t>EUR</t>
        </is>
      </c>
      <c r="H289" s="9" t="n">
        <v>-1080.74</v>
      </c>
      <c r="I289" s="16" t="n">
        <v>46090</v>
      </c>
      <c r="J289" s="16" t="n">
        <v>46120</v>
      </c>
      <c r="K289" s="5" t="inlineStr">
        <is>
          <t>0158/26</t>
        </is>
      </c>
      <c r="L289" s="5" t="inlineStr">
        <is>
          <t>4026001681</t>
        </is>
      </c>
      <c r="M289" s="5">
        <f>IF(YEAR(I289)&lt;=2020,"Até 2020",TEXT(YEAR(I289),"0"))</f>
        <v/>
      </c>
      <c r="N289" s="5">
        <f>IFERROR(INDEX(DePara!$A:$A,MATCH(TEXT(B289,"0"),DePara!$D:$D,0)),"(sem categoria)")</f>
        <v/>
      </c>
      <c r="O289" s="5">
        <f>IF(J289="","",Parametros!$B$6-J289)</f>
        <v/>
      </c>
      <c r="P289" s="5">
        <f>IF(O289="","",IF(O289&gt;0,1,0))</f>
        <v/>
      </c>
    </row>
    <row r="290">
      <c r="A290" s="5" t="n">
        <v>2122100000</v>
      </c>
      <c r="B290" s="5" t="inlineStr">
        <is>
          <t>IC4420</t>
        </is>
      </c>
      <c r="C290" s="5" t="inlineStr">
        <is>
          <t>NORDEX ENERGY SPAIN S A U</t>
        </is>
      </c>
      <c r="D290" s="5" t="inlineStr">
        <is>
          <t>RE</t>
        </is>
      </c>
      <c r="E290" s="5" t="n">
        <v>5006860</v>
      </c>
      <c r="F290" s="5" t="inlineStr">
        <is>
          <t>4026001948</t>
        </is>
      </c>
      <c r="G290" s="5" t="inlineStr">
        <is>
          <t>EUR</t>
        </is>
      </c>
      <c r="H290" s="9" t="n">
        <v>-5194.67</v>
      </c>
      <c r="I290" s="16" t="n">
        <v>46099</v>
      </c>
      <c r="J290" s="16" t="n">
        <v>46129</v>
      </c>
      <c r="K290" s="5" t="inlineStr">
        <is>
          <t>0167/26</t>
        </is>
      </c>
      <c r="L290" s="5" t="inlineStr">
        <is>
          <t>4026001948</t>
        </is>
      </c>
      <c r="M290" s="5">
        <f>IF(YEAR(I290)&lt;=2020,"Até 2020",TEXT(YEAR(I290),"0"))</f>
        <v/>
      </c>
      <c r="N290" s="5">
        <f>IFERROR(INDEX(DePara!$A:$A,MATCH(TEXT(B290,"0"),DePara!$D:$D,0)),"(sem categoria)")</f>
        <v/>
      </c>
      <c r="O290" s="5">
        <f>IF(J290="","",Parametros!$B$6-J290)</f>
        <v/>
      </c>
      <c r="P290" s="5">
        <f>IF(O290="","",IF(O290&gt;0,1,0))</f>
        <v/>
      </c>
    </row>
    <row r="291">
      <c r="A291" s="5" t="n">
        <v>2122100000</v>
      </c>
      <c r="B291" s="5" t="inlineStr">
        <is>
          <t>IC1000</t>
        </is>
      </c>
      <c r="C291" s="5" t="inlineStr">
        <is>
          <t>NORDEX ENERGY SE &amp; CO KG</t>
        </is>
      </c>
      <c r="D291" s="5" t="inlineStr">
        <is>
          <t>RE</t>
        </is>
      </c>
      <c r="E291" s="5" t="n">
        <v>5006925</v>
      </c>
      <c r="F291" s="5" t="inlineStr">
        <is>
          <t>RITM0607508</t>
        </is>
      </c>
      <c r="G291" s="5" t="inlineStr">
        <is>
          <t>EUR</t>
        </is>
      </c>
      <c r="H291" s="9" t="n">
        <v>-3216185.66</v>
      </c>
      <c r="I291" s="16" t="n">
        <v>46057</v>
      </c>
      <c r="J291" s="16" t="n">
        <v>46087</v>
      </c>
      <c r="K291" s="5" t="inlineStr">
        <is>
          <t>0139/26</t>
        </is>
      </c>
      <c r="L291" s="5" t="inlineStr">
        <is>
          <t>RITM0607508</t>
        </is>
      </c>
      <c r="M291" s="5">
        <f>IF(YEAR(I291)&lt;=2020,"Até 2020",TEXT(YEAR(I291),"0"))</f>
        <v/>
      </c>
      <c r="N291" s="5">
        <f>IFERROR(INDEX(DePara!$A:$A,MATCH(TEXT(B291,"0"),DePara!$D:$D,0)),"(sem categoria)")</f>
        <v/>
      </c>
      <c r="O291" s="5">
        <f>IF(J291="","",Parametros!$B$6-J291)</f>
        <v/>
      </c>
      <c r="P291" s="5">
        <f>IF(O291="","",IF(O291&gt;0,1,0))</f>
        <v/>
      </c>
    </row>
    <row r="292">
      <c r="A292" s="5" t="n">
        <v>2122100000</v>
      </c>
      <c r="B292" s="5" t="inlineStr">
        <is>
          <t>IC4420</t>
        </is>
      </c>
      <c r="C292" s="5" t="inlineStr">
        <is>
          <t>NORDEX ENERGY SPAIN S A U</t>
        </is>
      </c>
      <c r="D292" s="5" t="inlineStr">
        <is>
          <t>RE</t>
        </is>
      </c>
      <c r="E292" s="5" t="n">
        <v>5006926</v>
      </c>
      <c r="F292" s="5" t="inlineStr">
        <is>
          <t>4026001577</t>
        </is>
      </c>
      <c r="G292" s="5" t="inlineStr">
        <is>
          <t>EUR</t>
        </is>
      </c>
      <c r="H292" s="9" t="n">
        <v>-3174660.6</v>
      </c>
      <c r="I292" s="16" t="n">
        <v>46085</v>
      </c>
      <c r="J292" s="16" t="n">
        <v>46115</v>
      </c>
      <c r="K292" s="5" t="inlineStr">
        <is>
          <t>0140/26</t>
        </is>
      </c>
      <c r="L292" s="5" t="inlineStr">
        <is>
          <t>4026001577</t>
        </is>
      </c>
      <c r="M292" s="5">
        <f>IF(YEAR(I292)&lt;=2020,"Até 2020",TEXT(YEAR(I292),"0"))</f>
        <v/>
      </c>
      <c r="N292" s="5">
        <f>IFERROR(INDEX(DePara!$A:$A,MATCH(TEXT(B292,"0"),DePara!$D:$D,0)),"(sem categoria)")</f>
        <v/>
      </c>
      <c r="O292" s="5">
        <f>IF(J292="","",Parametros!$B$6-J292)</f>
        <v/>
      </c>
      <c r="P292" s="5">
        <f>IF(O292="","",IF(O292&gt;0,1,0))</f>
        <v/>
      </c>
    </row>
    <row r="293">
      <c r="A293" s="5" t="n">
        <v>2122100000</v>
      </c>
      <c r="B293" s="5" t="inlineStr">
        <is>
          <t>IC1000</t>
        </is>
      </c>
      <c r="C293" s="5" t="inlineStr">
        <is>
          <t>NORDEX ENERGY SE &amp; CO KG</t>
        </is>
      </c>
      <c r="D293" s="5" t="inlineStr">
        <is>
          <t>RE</t>
        </is>
      </c>
      <c r="E293" s="5" t="n">
        <v>5006968</v>
      </c>
      <c r="F293" s="5" t="inlineStr">
        <is>
          <t>391189</t>
        </is>
      </c>
      <c r="G293" s="5" t="inlineStr">
        <is>
          <t>EUR</t>
        </is>
      </c>
      <c r="H293" s="9" t="n">
        <v>-3750.24</v>
      </c>
      <c r="I293" s="16" t="n">
        <v>46108</v>
      </c>
      <c r="J293" s="16" t="n">
        <v>46138</v>
      </c>
      <c r="K293" s="5" t="inlineStr">
        <is>
          <t>0175/26</t>
        </is>
      </c>
      <c r="L293" s="5" t="inlineStr">
        <is>
          <t>391189</t>
        </is>
      </c>
      <c r="M293" s="5">
        <f>IF(YEAR(I293)&lt;=2020,"Até 2020",TEXT(YEAR(I293),"0"))</f>
        <v/>
      </c>
      <c r="N293" s="5">
        <f>IFERROR(INDEX(DePara!$A:$A,MATCH(TEXT(B293,"0"),DePara!$D:$D,0)),"(sem categoria)")</f>
        <v/>
      </c>
      <c r="O293" s="5">
        <f>IF(J293="","",Parametros!$B$6-J293)</f>
        <v/>
      </c>
      <c r="P293" s="5">
        <f>IF(O293="","",IF(O293&gt;0,1,0))</f>
        <v/>
      </c>
    </row>
    <row r="294">
      <c r="A294" s="5" t="n">
        <v>2122100000</v>
      </c>
      <c r="B294" s="5" t="inlineStr">
        <is>
          <t>IC4420</t>
        </is>
      </c>
      <c r="C294" s="5" t="inlineStr">
        <is>
          <t>NORDEX ENERGY SPAIN S A U</t>
        </is>
      </c>
      <c r="D294" s="5" t="inlineStr">
        <is>
          <t>RE</t>
        </is>
      </c>
      <c r="E294" s="5" t="n">
        <v>5006991</v>
      </c>
      <c r="F294" s="5" t="inlineStr">
        <is>
          <t>4026001996</t>
        </is>
      </c>
      <c r="G294" s="5" t="inlineStr">
        <is>
          <t>EUR</t>
        </is>
      </c>
      <c r="H294" s="9" t="n">
        <v>-317.12</v>
      </c>
      <c r="I294" s="16" t="n">
        <v>46105</v>
      </c>
      <c r="J294" s="16" t="n">
        <v>46135</v>
      </c>
      <c r="K294" s="5" t="inlineStr">
        <is>
          <t>0170/26</t>
        </is>
      </c>
      <c r="L294" s="5" t="inlineStr">
        <is>
          <t>4026001996</t>
        </is>
      </c>
      <c r="M294" s="5">
        <f>IF(YEAR(I294)&lt;=2020,"Até 2020",TEXT(YEAR(I294),"0"))</f>
        <v/>
      </c>
      <c r="N294" s="5">
        <f>IFERROR(INDEX(DePara!$A:$A,MATCH(TEXT(B294,"0"),DePara!$D:$D,0)),"(sem categoria)")</f>
        <v/>
      </c>
      <c r="O294" s="5">
        <f>IF(J294="","",Parametros!$B$6-J294)</f>
        <v/>
      </c>
      <c r="P294" s="5">
        <f>IF(O294="","",IF(O294&gt;0,1,0))</f>
        <v/>
      </c>
    </row>
    <row r="295">
      <c r="A295" s="5" t="n">
        <v>2122100000</v>
      </c>
      <c r="B295" s="5" t="inlineStr">
        <is>
          <t>IC4420</t>
        </is>
      </c>
      <c r="C295" s="5" t="inlineStr">
        <is>
          <t>NORDEX ENERGY SPAIN S A U</t>
        </is>
      </c>
      <c r="D295" s="5" t="inlineStr">
        <is>
          <t>RE</t>
        </is>
      </c>
      <c r="E295" s="5" t="n">
        <v>5007017</v>
      </c>
      <c r="F295" s="5" t="inlineStr">
        <is>
          <t>4026001886</t>
        </is>
      </c>
      <c r="G295" s="5" t="inlineStr">
        <is>
          <t>EUR</t>
        </is>
      </c>
      <c r="H295" s="9" t="n">
        <v>-8522.67</v>
      </c>
      <c r="I295" s="16" t="n">
        <v>46097</v>
      </c>
      <c r="J295" s="16" t="n">
        <v>46127</v>
      </c>
      <c r="K295" s="5" t="inlineStr">
        <is>
          <t>0166/26</t>
        </is>
      </c>
      <c r="L295" s="5" t="inlineStr">
        <is>
          <t>4026001886</t>
        </is>
      </c>
      <c r="M295" s="5">
        <f>IF(YEAR(I295)&lt;=2020,"Até 2020",TEXT(YEAR(I295),"0"))</f>
        <v/>
      </c>
      <c r="N295" s="5">
        <f>IFERROR(INDEX(DePara!$A:$A,MATCH(TEXT(B295,"0"),DePara!$D:$D,0)),"(sem categoria)")</f>
        <v/>
      </c>
      <c r="O295" s="5">
        <f>IF(J295="","",Parametros!$B$6-J295)</f>
        <v/>
      </c>
      <c r="P295" s="5">
        <f>IF(O295="","",IF(O295&gt;0,1,0))</f>
        <v/>
      </c>
    </row>
    <row r="296">
      <c r="A296" s="5" t="n">
        <v>2122100000</v>
      </c>
      <c r="B296" s="5" t="inlineStr">
        <is>
          <t>IC4420</t>
        </is>
      </c>
      <c r="C296" s="5" t="inlineStr">
        <is>
          <t>NORDEX ENERGY SPAIN S A U</t>
        </is>
      </c>
      <c r="D296" s="5" t="inlineStr">
        <is>
          <t>RE</t>
        </is>
      </c>
      <c r="E296" s="5" t="n">
        <v>5007018</v>
      </c>
      <c r="F296" s="5" t="inlineStr">
        <is>
          <t>4026001984</t>
        </is>
      </c>
      <c r="G296" s="5" t="inlineStr">
        <is>
          <t>EUR</t>
        </is>
      </c>
      <c r="H296" s="9" t="n">
        <v>-27122.43</v>
      </c>
      <c r="I296" s="16" t="n">
        <v>46101</v>
      </c>
      <c r="J296" s="16" t="n">
        <v>46131</v>
      </c>
      <c r="K296" s="5" t="inlineStr">
        <is>
          <t>0169/26</t>
        </is>
      </c>
      <c r="L296" s="5" t="inlineStr">
        <is>
          <t>4026001984</t>
        </is>
      </c>
      <c r="M296" s="5">
        <f>IF(YEAR(I296)&lt;=2020,"Até 2020",TEXT(YEAR(I296),"0"))</f>
        <v/>
      </c>
      <c r="N296" s="5">
        <f>IFERROR(INDEX(DePara!$A:$A,MATCH(TEXT(B296,"0"),DePara!$D:$D,0)),"(sem categoria)")</f>
        <v/>
      </c>
      <c r="O296" s="5">
        <f>IF(J296="","",Parametros!$B$6-J296)</f>
        <v/>
      </c>
      <c r="P296" s="5">
        <f>IF(O296="","",IF(O296&gt;0,1,0))</f>
        <v/>
      </c>
    </row>
    <row r="297">
      <c r="A297" s="5" t="n">
        <v>2122100000</v>
      </c>
      <c r="B297" s="5" t="inlineStr">
        <is>
          <t>IC1000</t>
        </is>
      </c>
      <c r="C297" s="5" t="inlineStr">
        <is>
          <t>NORDEX ENERGY SE &amp; CO KG</t>
        </is>
      </c>
      <c r="D297" s="5" t="inlineStr">
        <is>
          <t>RE</t>
        </is>
      </c>
      <c r="E297" s="5" t="n">
        <v>5007027</v>
      </c>
      <c r="F297" s="5" t="inlineStr">
        <is>
          <t>327954</t>
        </is>
      </c>
      <c r="G297" s="5" t="inlineStr">
        <is>
          <t>EUR</t>
        </is>
      </c>
      <c r="H297" s="9" t="n">
        <v>-21398</v>
      </c>
      <c r="I297" s="16" t="n">
        <v>45691</v>
      </c>
      <c r="J297" s="16" t="n">
        <v>45721</v>
      </c>
      <c r="K297" s="5" t="inlineStr">
        <is>
          <t>0108/25</t>
        </is>
      </c>
      <c r="L297" s="5" t="inlineStr">
        <is>
          <t>327954</t>
        </is>
      </c>
      <c r="M297" s="5">
        <f>IF(YEAR(I297)&lt;=2020,"Até 2020",TEXT(YEAR(I297),"0"))</f>
        <v/>
      </c>
      <c r="N297" s="5">
        <f>IFERROR(INDEX(DePara!$A:$A,MATCH(TEXT(B297,"0"),DePara!$D:$D,0)),"(sem categoria)")</f>
        <v/>
      </c>
      <c r="O297" s="5">
        <f>IF(J297="","",Parametros!$B$6-J297)</f>
        <v/>
      </c>
      <c r="P297" s="5">
        <f>IF(O297="","",IF(O297&gt;0,1,0))</f>
        <v/>
      </c>
    </row>
    <row r="298">
      <c r="A298" s="5" t="n">
        <v>2122100000</v>
      </c>
      <c r="B298" s="5" t="inlineStr">
        <is>
          <t>IC4420</t>
        </is>
      </c>
      <c r="C298" s="5" t="inlineStr">
        <is>
          <t>NORDEX ENERGY SPAIN S A U</t>
        </is>
      </c>
      <c r="D298" s="5" t="inlineStr">
        <is>
          <t>RE</t>
        </is>
      </c>
      <c r="E298" s="5" t="n">
        <v>5007042</v>
      </c>
      <c r="F298" s="5" t="inlineStr">
        <is>
          <t>52-5</t>
        </is>
      </c>
      <c r="G298" s="5" t="inlineStr">
        <is>
          <t>EUR</t>
        </is>
      </c>
      <c r="H298" s="9" t="n">
        <v>-37350.28</v>
      </c>
      <c r="I298" s="16" t="n">
        <v>45287</v>
      </c>
      <c r="J298" s="16" t="n">
        <v>45317</v>
      </c>
      <c r="K298" s="5" t="inlineStr">
        <is>
          <t>Fatura - bruto NORDEX ENERGY SPAIN S.A.U. 52-5</t>
        </is>
      </c>
      <c r="L298" s="5" t="inlineStr">
        <is>
          <t>05032025</t>
        </is>
      </c>
      <c r="M298" s="5">
        <f>IF(YEAR(I298)&lt;=2020,"Até 2020",TEXT(YEAR(I298),"0"))</f>
        <v/>
      </c>
      <c r="N298" s="5">
        <f>IFERROR(INDEX(DePara!$A:$A,MATCH(TEXT(B298,"0"),DePara!$D:$D,0)),"(sem categoria)")</f>
        <v/>
      </c>
      <c r="O298" s="5">
        <f>IF(J298="","",Parametros!$B$6-J298)</f>
        <v/>
      </c>
      <c r="P298" s="5">
        <f>IF(O298="","",IF(O298&gt;0,1,0))</f>
        <v/>
      </c>
    </row>
    <row r="299">
      <c r="A299" s="5" t="n">
        <v>2122100000</v>
      </c>
      <c r="B299" s="5" t="inlineStr">
        <is>
          <t>IC4420</t>
        </is>
      </c>
      <c r="C299" s="5" t="inlineStr">
        <is>
          <t>NORDEX ENERGY SPAIN S A U</t>
        </is>
      </c>
      <c r="D299" s="5" t="inlineStr">
        <is>
          <t>RE</t>
        </is>
      </c>
      <c r="E299" s="5" t="n">
        <v>5007052</v>
      </c>
      <c r="F299" s="5" t="inlineStr">
        <is>
          <t>4026001459</t>
        </is>
      </c>
      <c r="G299" s="5" t="inlineStr">
        <is>
          <t>EUR</t>
        </is>
      </c>
      <c r="H299" s="9" t="n">
        <v>-1288928.46</v>
      </c>
      <c r="I299" s="16" t="n">
        <v>46080</v>
      </c>
      <c r="J299" s="16" t="n">
        <v>46110</v>
      </c>
      <c r="K299" s="5" t="inlineStr">
        <is>
          <t>0102/26</t>
        </is>
      </c>
      <c r="L299" s="5" t="inlineStr">
        <is>
          <t>4026001459</t>
        </is>
      </c>
      <c r="M299" s="5">
        <f>IF(YEAR(I299)&lt;=2020,"Até 2020",TEXT(YEAR(I299),"0"))</f>
        <v/>
      </c>
      <c r="N299" s="5">
        <f>IFERROR(INDEX(DePara!$A:$A,MATCH(TEXT(B299,"0"),DePara!$D:$D,0)),"(sem categoria)")</f>
        <v/>
      </c>
      <c r="O299" s="5">
        <f>IF(J299="","",Parametros!$B$6-J299)</f>
        <v/>
      </c>
      <c r="P299" s="5">
        <f>IF(O299="","",IF(O299&gt;0,1,0))</f>
        <v/>
      </c>
    </row>
    <row r="300">
      <c r="A300" s="5" t="n">
        <v>2122100000</v>
      </c>
      <c r="B300" s="5" t="inlineStr">
        <is>
          <t>IC4420</t>
        </is>
      </c>
      <c r="C300" s="5" t="inlineStr">
        <is>
          <t>NORDEX ENERGY SPAIN S A U</t>
        </is>
      </c>
      <c r="D300" s="5" t="inlineStr">
        <is>
          <t>RE</t>
        </is>
      </c>
      <c r="E300" s="5" t="n">
        <v>5007053</v>
      </c>
      <c r="F300" s="5" t="inlineStr">
        <is>
          <t>4026001461</t>
        </is>
      </c>
      <c r="G300" s="5" t="inlineStr">
        <is>
          <t>EUR</t>
        </is>
      </c>
      <c r="H300" s="9" t="n">
        <v>-147060.06</v>
      </c>
      <c r="I300" s="16" t="n">
        <v>46080</v>
      </c>
      <c r="J300" s="16" t="n">
        <v>46110</v>
      </c>
      <c r="K300" s="5" t="inlineStr">
        <is>
          <t>0102/26</t>
        </is>
      </c>
      <c r="L300" s="5" t="inlineStr">
        <is>
          <t>4026001461</t>
        </is>
      </c>
      <c r="M300" s="5">
        <f>IF(YEAR(I300)&lt;=2020,"Até 2020",TEXT(YEAR(I300),"0"))</f>
        <v/>
      </c>
      <c r="N300" s="5">
        <f>IFERROR(INDEX(DePara!$A:$A,MATCH(TEXT(B300,"0"),DePara!$D:$D,0)),"(sem categoria)")</f>
        <v/>
      </c>
      <c r="O300" s="5">
        <f>IF(J300="","",Parametros!$B$6-J300)</f>
        <v/>
      </c>
      <c r="P300" s="5">
        <f>IF(O300="","",IF(O300&gt;0,1,0))</f>
        <v/>
      </c>
    </row>
    <row r="301">
      <c r="A301" s="5" t="n">
        <v>2122100000</v>
      </c>
      <c r="B301" s="5" t="inlineStr">
        <is>
          <t>IC4420</t>
        </is>
      </c>
      <c r="C301" s="5" t="inlineStr">
        <is>
          <t>NORDEX ENERGY SPAIN S A U</t>
        </is>
      </c>
      <c r="D301" s="5" t="inlineStr">
        <is>
          <t>RE</t>
        </is>
      </c>
      <c r="E301" s="5" t="n">
        <v>5007054</v>
      </c>
      <c r="F301" s="5" t="inlineStr">
        <is>
          <t>4026001460</t>
        </is>
      </c>
      <c r="G301" s="5" t="inlineStr">
        <is>
          <t>EUR</t>
        </is>
      </c>
      <c r="H301" s="9" t="n">
        <v>-27067497.05</v>
      </c>
      <c r="I301" s="16" t="n">
        <v>46080</v>
      </c>
      <c r="J301" s="16" t="n">
        <v>46110</v>
      </c>
      <c r="K301" s="5" t="inlineStr">
        <is>
          <t>0102/26</t>
        </is>
      </c>
      <c r="L301" s="5" t="inlineStr">
        <is>
          <t>4026001460</t>
        </is>
      </c>
      <c r="M301" s="5">
        <f>IF(YEAR(I301)&lt;=2020,"Até 2020",TEXT(YEAR(I301),"0"))</f>
        <v/>
      </c>
      <c r="N301" s="5">
        <f>IFERROR(INDEX(DePara!$A:$A,MATCH(TEXT(B301,"0"),DePara!$D:$D,0)),"(sem categoria)")</f>
        <v/>
      </c>
      <c r="O301" s="5">
        <f>IF(J301="","",Parametros!$B$6-J301)</f>
        <v/>
      </c>
      <c r="P301" s="5">
        <f>IF(O301="","",IF(O301&gt;0,1,0))</f>
        <v/>
      </c>
    </row>
    <row r="302">
      <c r="A302" s="5" t="n">
        <v>2122100000</v>
      </c>
      <c r="B302" s="5" t="inlineStr">
        <is>
          <t>IC5000</t>
        </is>
      </c>
      <c r="C302" s="5" t="inlineStr">
        <is>
          <t>NORDEX SE</t>
        </is>
      </c>
      <c r="D302" s="5" t="inlineStr">
        <is>
          <t>KR</t>
        </is>
      </c>
      <c r="E302" s="5" t="n">
        <v>5007063</v>
      </c>
      <c r="F302" s="5" t="inlineStr">
        <is>
          <t>610625</t>
        </is>
      </c>
      <c r="G302" s="5" t="inlineStr">
        <is>
          <t>BRL</t>
        </is>
      </c>
      <c r="H302" s="9" t="n">
        <v>-2560000</v>
      </c>
      <c r="I302" s="16" t="n">
        <v>46126</v>
      </c>
      <c r="J302" s="16" t="n">
        <v>46156</v>
      </c>
      <c r="K302" s="5" t="inlineStr">
        <is>
          <t>Fatura do fornecedor NORDEX SE 610625</t>
        </is>
      </c>
      <c r="L302" s="5" t="inlineStr">
        <is>
          <t>13052026</t>
        </is>
      </c>
      <c r="M302" s="5">
        <f>IF(YEAR(I302)&lt;=2020,"Até 2020",TEXT(YEAR(I302),"0"))</f>
        <v/>
      </c>
      <c r="N302" s="5">
        <f>IFERROR(INDEX(DePara!$A:$A,MATCH(TEXT(B302,"0"),DePara!$D:$D,0)),"(sem categoria)")</f>
        <v/>
      </c>
      <c r="O302" s="5">
        <f>IF(J302="","",Parametros!$B$6-J302)</f>
        <v/>
      </c>
      <c r="P302" s="5">
        <f>IF(O302="","",IF(O302&gt;0,1,0))</f>
        <v/>
      </c>
    </row>
    <row r="303">
      <c r="A303" s="5" t="n">
        <v>2122100000</v>
      </c>
      <c r="B303" s="5" t="inlineStr">
        <is>
          <t>IC4420</t>
        </is>
      </c>
      <c r="C303" s="5" t="inlineStr">
        <is>
          <t>NORDEX ENERGY SPAIN S A U</t>
        </is>
      </c>
      <c r="D303" s="5" t="inlineStr">
        <is>
          <t>RE</t>
        </is>
      </c>
      <c r="E303" s="5" t="n">
        <v>5007074</v>
      </c>
      <c r="F303" s="5" t="inlineStr">
        <is>
          <t>4026001209</t>
        </is>
      </c>
      <c r="G303" s="5" t="inlineStr">
        <is>
          <t>EUR</t>
        </is>
      </c>
      <c r="H303" s="9" t="n">
        <v>-38125.83</v>
      </c>
      <c r="I303" s="16" t="n">
        <v>46072</v>
      </c>
      <c r="J303" s="16" t="n">
        <v>46102</v>
      </c>
      <c r="K303" s="5" t="inlineStr">
        <is>
          <t>0153/26</t>
        </is>
      </c>
      <c r="L303" s="5" t="inlineStr">
        <is>
          <t>4026001209</t>
        </is>
      </c>
      <c r="M303" s="5">
        <f>IF(YEAR(I303)&lt;=2020,"Até 2020",TEXT(YEAR(I303),"0"))</f>
        <v/>
      </c>
      <c r="N303" s="5">
        <f>IFERROR(INDEX(DePara!$A:$A,MATCH(TEXT(B303,"0"),DePara!$D:$D,0)),"(sem categoria)")</f>
        <v/>
      </c>
      <c r="O303" s="5">
        <f>IF(J303="","",Parametros!$B$6-J303)</f>
        <v/>
      </c>
      <c r="P303" s="5">
        <f>IF(O303="","",IF(O303&gt;0,1,0))</f>
        <v/>
      </c>
    </row>
    <row r="304">
      <c r="A304" s="5" t="n">
        <v>2122100000</v>
      </c>
      <c r="B304" s="5" t="inlineStr">
        <is>
          <t>IC4420</t>
        </is>
      </c>
      <c r="C304" s="5" t="inlineStr">
        <is>
          <t>NORDEX ENERGY SPAIN S A U</t>
        </is>
      </c>
      <c r="D304" s="5" t="inlineStr">
        <is>
          <t>RE</t>
        </is>
      </c>
      <c r="E304" s="5" t="n">
        <v>5007210</v>
      </c>
      <c r="F304" s="5" t="inlineStr">
        <is>
          <t>4026001613</t>
        </is>
      </c>
      <c r="G304" s="5" t="inlineStr">
        <is>
          <t>EUR</t>
        </is>
      </c>
      <c r="H304" s="9" t="n">
        <v>-7189.68</v>
      </c>
      <c r="I304" s="16" t="n">
        <v>46086</v>
      </c>
      <c r="J304" s="16" t="n">
        <v>46116</v>
      </c>
      <c r="K304" s="5" t="inlineStr">
        <is>
          <t>0132/26</t>
        </is>
      </c>
      <c r="L304" s="5" t="inlineStr">
        <is>
          <t>4026001613</t>
        </is>
      </c>
      <c r="M304" s="5">
        <f>IF(YEAR(I304)&lt;=2020,"Até 2020",TEXT(YEAR(I304),"0"))</f>
        <v/>
      </c>
      <c r="N304" s="5">
        <f>IFERROR(INDEX(DePara!$A:$A,MATCH(TEXT(B304,"0"),DePara!$D:$D,0)),"(sem categoria)")</f>
        <v/>
      </c>
      <c r="O304" s="5">
        <f>IF(J304="","",Parametros!$B$6-J304)</f>
        <v/>
      </c>
      <c r="P304" s="5">
        <f>IF(O304="","",IF(O304&gt;0,1,0))</f>
        <v/>
      </c>
    </row>
    <row r="305">
      <c r="A305" s="5" t="n">
        <v>2122100000</v>
      </c>
      <c r="B305" s="5" t="inlineStr">
        <is>
          <t>IC4420</t>
        </is>
      </c>
      <c r="C305" s="5" t="inlineStr">
        <is>
          <t>NORDEX ENERGY SPAIN S A U</t>
        </is>
      </c>
      <c r="D305" s="5" t="inlineStr">
        <is>
          <t>RE</t>
        </is>
      </c>
      <c r="E305" s="5" t="n">
        <v>5007211</v>
      </c>
      <c r="F305" s="5" t="inlineStr">
        <is>
          <t>4018000084</t>
        </is>
      </c>
      <c r="G305" s="5" t="inlineStr">
        <is>
          <t>EUR</t>
        </is>
      </c>
      <c r="H305" s="9" t="n">
        <v>-1567437.8</v>
      </c>
      <c r="I305" s="16" t="n">
        <v>46105</v>
      </c>
      <c r="J305" s="16" t="n">
        <v>46135</v>
      </c>
      <c r="K305" s="5" t="inlineStr">
        <is>
          <t>0168/26</t>
        </is>
      </c>
      <c r="L305" s="5" t="inlineStr">
        <is>
          <t>4018000084</t>
        </is>
      </c>
      <c r="M305" s="5">
        <f>IF(YEAR(I305)&lt;=2020,"Até 2020",TEXT(YEAR(I305),"0"))</f>
        <v/>
      </c>
      <c r="N305" s="5">
        <f>IFERROR(INDEX(DePara!$A:$A,MATCH(TEXT(B305,"0"),DePara!$D:$D,0)),"(sem categoria)")</f>
        <v/>
      </c>
      <c r="O305" s="5">
        <f>IF(J305="","",Parametros!$B$6-J305)</f>
        <v/>
      </c>
      <c r="P305" s="5">
        <f>IF(O305="","",IF(O305&gt;0,1,0))</f>
        <v/>
      </c>
    </row>
    <row r="306">
      <c r="A306" s="5" t="n">
        <v>2122100000</v>
      </c>
      <c r="B306" s="5" t="inlineStr">
        <is>
          <t>IC4420</t>
        </is>
      </c>
      <c r="C306" s="5" t="inlineStr">
        <is>
          <t>NORDEX ENERGY SPAIN S A U</t>
        </is>
      </c>
      <c r="D306" s="5" t="inlineStr">
        <is>
          <t>RE</t>
        </is>
      </c>
      <c r="E306" s="5" t="n">
        <v>5007212</v>
      </c>
      <c r="F306" s="5" t="inlineStr">
        <is>
          <t>4018000083</t>
        </is>
      </c>
      <c r="G306" s="5" t="inlineStr">
        <is>
          <t>EUR</t>
        </is>
      </c>
      <c r="H306" s="9" t="n">
        <v>-1567437.74</v>
      </c>
      <c r="I306" s="16" t="n">
        <v>46105</v>
      </c>
      <c r="J306" s="16" t="n">
        <v>46135</v>
      </c>
      <c r="K306" s="5" t="inlineStr">
        <is>
          <t>0168/26</t>
        </is>
      </c>
      <c r="L306" s="5" t="inlineStr">
        <is>
          <t>4018000083</t>
        </is>
      </c>
      <c r="M306" s="5">
        <f>IF(YEAR(I306)&lt;=2020,"Até 2020",TEXT(YEAR(I306),"0"))</f>
        <v/>
      </c>
      <c r="N306" s="5">
        <f>IFERROR(INDEX(DePara!$A:$A,MATCH(TEXT(B306,"0"),DePara!$D:$D,0)),"(sem categoria)")</f>
        <v/>
      </c>
      <c r="O306" s="5">
        <f>IF(J306="","",Parametros!$B$6-J306)</f>
        <v/>
      </c>
      <c r="P306" s="5">
        <f>IF(O306="","",IF(O306&gt;0,1,0))</f>
        <v/>
      </c>
    </row>
    <row r="307">
      <c r="A307" s="5" t="n">
        <v>2122100000</v>
      </c>
      <c r="B307" s="5" t="inlineStr">
        <is>
          <t>IC4420</t>
        </is>
      </c>
      <c r="C307" s="5" t="inlineStr">
        <is>
          <t>NORDEX ENERGY SPAIN S A U</t>
        </is>
      </c>
      <c r="D307" s="5" t="inlineStr">
        <is>
          <t>RE</t>
        </is>
      </c>
      <c r="E307" s="5" t="n">
        <v>5007319</v>
      </c>
      <c r="F307" s="5" t="inlineStr">
        <is>
          <t>4026002102</t>
        </is>
      </c>
      <c r="G307" s="5" t="inlineStr">
        <is>
          <t>EUR</t>
        </is>
      </c>
      <c r="H307" s="9" t="n">
        <v>-1483.95</v>
      </c>
      <c r="I307" s="16" t="n">
        <v>46107</v>
      </c>
      <c r="J307" s="16" t="n">
        <v>46137</v>
      </c>
      <c r="K307" s="5" t="inlineStr">
        <is>
          <t>0177/26</t>
        </is>
      </c>
      <c r="L307" s="5" t="inlineStr">
        <is>
          <t>4026002102</t>
        </is>
      </c>
      <c r="M307" s="5">
        <f>IF(YEAR(I307)&lt;=2020,"Até 2020",TEXT(YEAR(I307),"0"))</f>
        <v/>
      </c>
      <c r="N307" s="5">
        <f>IFERROR(INDEX(DePara!$A:$A,MATCH(TEXT(B307,"0"),DePara!$D:$D,0)),"(sem categoria)")</f>
        <v/>
      </c>
      <c r="O307" s="5">
        <f>IF(J307="","",Parametros!$B$6-J307)</f>
        <v/>
      </c>
      <c r="P307" s="5">
        <f>IF(O307="","",IF(O307&gt;0,1,0))</f>
        <v/>
      </c>
    </row>
    <row r="308">
      <c r="A308" s="5" t="n">
        <v>2122100000</v>
      </c>
      <c r="B308" s="5" t="inlineStr">
        <is>
          <t>IC4420</t>
        </is>
      </c>
      <c r="C308" s="5" t="inlineStr">
        <is>
          <t>NORDEX ENERGY SPAIN S A U</t>
        </is>
      </c>
      <c r="D308" s="5" t="inlineStr">
        <is>
          <t>RE</t>
        </is>
      </c>
      <c r="E308" s="5" t="n">
        <v>5007320</v>
      </c>
      <c r="F308" s="5" t="inlineStr">
        <is>
          <t>4026002101</t>
        </is>
      </c>
      <c r="G308" s="5" t="inlineStr">
        <is>
          <t>EUR</t>
        </is>
      </c>
      <c r="H308" s="9" t="n">
        <v>-27295.9</v>
      </c>
      <c r="I308" s="16" t="n">
        <v>46107</v>
      </c>
      <c r="J308" s="16" t="n">
        <v>46137</v>
      </c>
      <c r="K308" s="5" t="inlineStr">
        <is>
          <t>0177/26</t>
        </is>
      </c>
      <c r="L308" s="5" t="inlineStr">
        <is>
          <t>4026002101</t>
        </is>
      </c>
      <c r="M308" s="5">
        <f>IF(YEAR(I308)&lt;=2020,"Até 2020",TEXT(YEAR(I308),"0"))</f>
        <v/>
      </c>
      <c r="N308" s="5">
        <f>IFERROR(INDEX(DePara!$A:$A,MATCH(TEXT(B308,"0"),DePara!$D:$D,0)),"(sem categoria)")</f>
        <v/>
      </c>
      <c r="O308" s="5">
        <f>IF(J308="","",Parametros!$B$6-J308)</f>
        <v/>
      </c>
      <c r="P308" s="5">
        <f>IF(O308="","",IF(O308&gt;0,1,0))</f>
        <v/>
      </c>
    </row>
    <row r="309">
      <c r="A309" s="5" t="n">
        <v>2122100000</v>
      </c>
      <c r="B309" s="5" t="inlineStr">
        <is>
          <t>IC4420</t>
        </is>
      </c>
      <c r="C309" s="5" t="inlineStr">
        <is>
          <t>NORDEX ENERGY SPAIN S A U</t>
        </is>
      </c>
      <c r="D309" s="5" t="inlineStr">
        <is>
          <t>RE</t>
        </is>
      </c>
      <c r="E309" s="5" t="n">
        <v>5007321</v>
      </c>
      <c r="F309" s="5" t="inlineStr">
        <is>
          <t>4026002100</t>
        </is>
      </c>
      <c r="G309" s="5" t="inlineStr">
        <is>
          <t>EUR</t>
        </is>
      </c>
      <c r="H309" s="9" t="n">
        <v>-208.36</v>
      </c>
      <c r="I309" s="16" t="n">
        <v>46107</v>
      </c>
      <c r="J309" s="16" t="n">
        <v>46137</v>
      </c>
      <c r="K309" s="5" t="inlineStr">
        <is>
          <t>0177/26</t>
        </is>
      </c>
      <c r="L309" s="5" t="inlineStr">
        <is>
          <t>4026002100</t>
        </is>
      </c>
      <c r="M309" s="5">
        <f>IF(YEAR(I309)&lt;=2020,"Até 2020",TEXT(YEAR(I309),"0"))</f>
        <v/>
      </c>
      <c r="N309" s="5">
        <f>IFERROR(INDEX(DePara!$A:$A,MATCH(TEXT(B309,"0"),DePara!$D:$D,0)),"(sem categoria)")</f>
        <v/>
      </c>
      <c r="O309" s="5">
        <f>IF(J309="","",Parametros!$B$6-J309)</f>
        <v/>
      </c>
      <c r="P309" s="5">
        <f>IF(O309="","",IF(O309&gt;0,1,0))</f>
        <v/>
      </c>
    </row>
    <row r="310">
      <c r="A310" s="5" t="n">
        <v>2122100000</v>
      </c>
      <c r="B310" s="5" t="inlineStr">
        <is>
          <t>IC4420</t>
        </is>
      </c>
      <c r="C310" s="5" t="inlineStr">
        <is>
          <t>NORDEX ENERGY SPAIN S A U</t>
        </is>
      </c>
      <c r="D310" s="5" t="inlineStr">
        <is>
          <t>RE</t>
        </is>
      </c>
      <c r="E310" s="5" t="n">
        <v>5007373</v>
      </c>
      <c r="F310" s="5" t="inlineStr">
        <is>
          <t>4018000087</t>
        </is>
      </c>
      <c r="G310" s="5" t="inlineStr">
        <is>
          <t>EUR</t>
        </is>
      </c>
      <c r="H310" s="9" t="n">
        <v>-25345.2</v>
      </c>
      <c r="I310" s="16" t="n">
        <v>46125</v>
      </c>
      <c r="J310" s="16" t="n">
        <v>46155</v>
      </c>
      <c r="K310" s="5" t="inlineStr">
        <is>
          <t>0174/26</t>
        </is>
      </c>
      <c r="L310" s="5" t="inlineStr">
        <is>
          <t>4018000087</t>
        </is>
      </c>
      <c r="M310" s="5">
        <f>IF(YEAR(I310)&lt;=2020,"Até 2020",TEXT(YEAR(I310),"0"))</f>
        <v/>
      </c>
      <c r="N310" s="5">
        <f>IFERROR(INDEX(DePara!$A:$A,MATCH(TEXT(B310,"0"),DePara!$D:$D,0)),"(sem categoria)")</f>
        <v/>
      </c>
      <c r="O310" s="5">
        <f>IF(J310="","",Parametros!$B$6-J310)</f>
        <v/>
      </c>
      <c r="P310" s="5">
        <f>IF(O310="","",IF(O310&gt;0,1,0))</f>
        <v/>
      </c>
    </row>
    <row r="311">
      <c r="A311" s="5" t="n">
        <v>2122100000</v>
      </c>
      <c r="B311" s="5" t="inlineStr">
        <is>
          <t>IC4420</t>
        </is>
      </c>
      <c r="C311" s="5" t="inlineStr">
        <is>
          <t>NORDEX ENERGY SPAIN S A U</t>
        </is>
      </c>
      <c r="D311" s="5" t="inlineStr">
        <is>
          <t>RE</t>
        </is>
      </c>
      <c r="E311" s="5" t="n">
        <v>5007374</v>
      </c>
      <c r="F311" s="5" t="inlineStr">
        <is>
          <t>4026002103</t>
        </is>
      </c>
      <c r="G311" s="5" t="inlineStr">
        <is>
          <t>EUR</t>
        </is>
      </c>
      <c r="H311" s="9" t="n">
        <v>-11319.09</v>
      </c>
      <c r="I311" s="16" t="n">
        <v>46107</v>
      </c>
      <c r="J311" s="16" t="n">
        <v>46137</v>
      </c>
      <c r="K311" s="5" t="inlineStr">
        <is>
          <t>0179/26</t>
        </is>
      </c>
      <c r="L311" s="5" t="inlineStr">
        <is>
          <t>4026002103</t>
        </is>
      </c>
      <c r="M311" s="5">
        <f>IF(YEAR(I311)&lt;=2020,"Até 2020",TEXT(YEAR(I311),"0"))</f>
        <v/>
      </c>
      <c r="N311" s="5">
        <f>IFERROR(INDEX(DePara!$A:$A,MATCH(TEXT(B311,"0"),DePara!$D:$D,0)),"(sem categoria)")</f>
        <v/>
      </c>
      <c r="O311" s="5">
        <f>IF(J311="","",Parametros!$B$6-J311)</f>
        <v/>
      </c>
      <c r="P311" s="5">
        <f>IF(O311="","",IF(O311&gt;0,1,0))</f>
        <v/>
      </c>
    </row>
    <row r="312">
      <c r="A312" s="5" t="n">
        <v>2122100000</v>
      </c>
      <c r="B312" s="5" t="inlineStr">
        <is>
          <t>IC4420</t>
        </is>
      </c>
      <c r="C312" s="5" t="inlineStr">
        <is>
          <t>NORDEX ENERGY SPAIN S A U</t>
        </is>
      </c>
      <c r="D312" s="5" t="inlineStr">
        <is>
          <t>RE</t>
        </is>
      </c>
      <c r="E312" s="5" t="n">
        <v>5007377</v>
      </c>
      <c r="F312" s="5" t="inlineStr">
        <is>
          <t>4026001208</t>
        </is>
      </c>
      <c r="G312" s="5" t="inlineStr">
        <is>
          <t>EUR</t>
        </is>
      </c>
      <c r="H312" s="9" t="n">
        <v>-125829.56</v>
      </c>
      <c r="I312" s="16" t="n">
        <v>46072</v>
      </c>
      <c r="J312" s="16" t="n">
        <v>46102</v>
      </c>
      <c r="K312" s="5" t="inlineStr">
        <is>
          <t>0152/26</t>
        </is>
      </c>
      <c r="L312" s="5" t="inlineStr">
        <is>
          <t>4026001208</t>
        </is>
      </c>
      <c r="M312" s="5">
        <f>IF(YEAR(I312)&lt;=2020,"Até 2020",TEXT(YEAR(I312),"0"))</f>
        <v/>
      </c>
      <c r="N312" s="5">
        <f>IFERROR(INDEX(DePara!$A:$A,MATCH(TEXT(B312,"0"),DePara!$D:$D,0)),"(sem categoria)")</f>
        <v/>
      </c>
      <c r="O312" s="5">
        <f>IF(J312="","",Parametros!$B$6-J312)</f>
        <v/>
      </c>
      <c r="P312" s="5">
        <f>IF(O312="","",IF(O312&gt;0,1,0))</f>
        <v/>
      </c>
    </row>
    <row r="313">
      <c r="A313" s="5" t="n">
        <v>2122100000</v>
      </c>
      <c r="B313" s="5" t="inlineStr">
        <is>
          <t>IC4420</t>
        </is>
      </c>
      <c r="C313" s="5" t="inlineStr">
        <is>
          <t>NORDEX ENERGY SPAIN S A U</t>
        </is>
      </c>
      <c r="D313" s="5" t="inlineStr">
        <is>
          <t>RE</t>
        </is>
      </c>
      <c r="E313" s="5" t="n">
        <v>5007520</v>
      </c>
      <c r="F313" s="5" t="inlineStr">
        <is>
          <t>1497-5</t>
        </is>
      </c>
      <c r="G313" s="5" t="inlineStr">
        <is>
          <t>EUR</t>
        </is>
      </c>
      <c r="H313" s="9" t="n">
        <v>-103422.41</v>
      </c>
      <c r="I313" s="16" t="n">
        <v>45342</v>
      </c>
      <c r="J313" s="16" t="n">
        <v>45372</v>
      </c>
      <c r="K313" s="5" t="inlineStr">
        <is>
          <t>Fatura - bruto NORDEX ENERGY SPAIN S.A.U. 1497-5</t>
        </is>
      </c>
      <c r="L313" s="5" t="n"/>
      <c r="M313" s="5">
        <f>IF(YEAR(I313)&lt;=2020,"Até 2020",TEXT(YEAR(I313),"0"))</f>
        <v/>
      </c>
      <c r="N313" s="5">
        <f>IFERROR(INDEX(DePara!$A:$A,MATCH(TEXT(B313,"0"),DePara!$D:$D,0)),"(sem categoria)")</f>
        <v/>
      </c>
      <c r="O313" s="5">
        <f>IF(J313="","",Parametros!$B$6-J313)</f>
        <v/>
      </c>
      <c r="P313" s="5">
        <f>IF(O313="","",IF(O313&gt;0,1,0))</f>
        <v/>
      </c>
    </row>
    <row r="314">
      <c r="A314" s="5" t="n">
        <v>2122100000</v>
      </c>
      <c r="B314" s="5" t="inlineStr">
        <is>
          <t>IC4420</t>
        </is>
      </c>
      <c r="C314" s="5" t="inlineStr">
        <is>
          <t>NORDEX ENERGY SPAIN S A U</t>
        </is>
      </c>
      <c r="D314" s="5" t="inlineStr">
        <is>
          <t>RE</t>
        </is>
      </c>
      <c r="E314" s="5" t="n">
        <v>5007625</v>
      </c>
      <c r="F314" s="5" t="inlineStr">
        <is>
          <t>4026001751</t>
        </is>
      </c>
      <c r="G314" s="5" t="inlineStr">
        <is>
          <t>EUR</t>
        </is>
      </c>
      <c r="H314" s="9" t="n">
        <v>-1096192.16</v>
      </c>
      <c r="I314" s="16" t="n">
        <v>46092</v>
      </c>
      <c r="J314" s="16" t="n">
        <v>46122</v>
      </c>
      <c r="K314" s="5" t="inlineStr">
        <is>
          <t>0156/26</t>
        </is>
      </c>
      <c r="L314" s="5" t="inlineStr">
        <is>
          <t>4026001751</t>
        </is>
      </c>
      <c r="M314" s="5">
        <f>IF(YEAR(I314)&lt;=2020,"Até 2020",TEXT(YEAR(I314),"0"))</f>
        <v/>
      </c>
      <c r="N314" s="5">
        <f>IFERROR(INDEX(DePara!$A:$A,MATCH(TEXT(B314,"0"),DePara!$D:$D,0)),"(sem categoria)")</f>
        <v/>
      </c>
      <c r="O314" s="5">
        <f>IF(J314="","",Parametros!$B$6-J314)</f>
        <v/>
      </c>
      <c r="P314" s="5">
        <f>IF(O314="","",IF(O314&gt;0,1,0))</f>
        <v/>
      </c>
    </row>
    <row r="315">
      <c r="A315" s="5" t="n">
        <v>2122100000</v>
      </c>
      <c r="B315" s="5" t="inlineStr">
        <is>
          <t>IC4420</t>
        </is>
      </c>
      <c r="C315" s="5" t="inlineStr">
        <is>
          <t>NORDEX ENERGY SPAIN S A U</t>
        </is>
      </c>
      <c r="D315" s="5" t="inlineStr">
        <is>
          <t>RE</t>
        </is>
      </c>
      <c r="E315" s="5" t="n">
        <v>5007646</v>
      </c>
      <c r="F315" s="5" t="inlineStr">
        <is>
          <t>4026001998</t>
        </is>
      </c>
      <c r="G315" s="5" t="inlineStr">
        <is>
          <t>EUR</t>
        </is>
      </c>
      <c r="H315" s="9" t="n">
        <v>-1406.49</v>
      </c>
      <c r="I315" s="16" t="n">
        <v>46105</v>
      </c>
      <c r="J315" s="16" t="n">
        <v>46135</v>
      </c>
      <c r="K315" s="5" t="inlineStr">
        <is>
          <t>0171/26</t>
        </is>
      </c>
      <c r="L315" s="5" t="inlineStr">
        <is>
          <t>4026001998</t>
        </is>
      </c>
      <c r="M315" s="5">
        <f>IF(YEAR(I315)&lt;=2020,"Até 2020",TEXT(YEAR(I315),"0"))</f>
        <v/>
      </c>
      <c r="N315" s="5">
        <f>IFERROR(INDEX(DePara!$A:$A,MATCH(TEXT(B315,"0"),DePara!$D:$D,0)),"(sem categoria)")</f>
        <v/>
      </c>
      <c r="O315" s="5">
        <f>IF(J315="","",Parametros!$B$6-J315)</f>
        <v/>
      </c>
      <c r="P315" s="5">
        <f>IF(O315="","",IF(O315&gt;0,1,0))</f>
        <v/>
      </c>
    </row>
    <row r="316">
      <c r="A316" s="5" t="n">
        <v>2122100000</v>
      </c>
      <c r="B316" s="5" t="inlineStr">
        <is>
          <t>IC4420</t>
        </is>
      </c>
      <c r="C316" s="5" t="inlineStr">
        <is>
          <t>NORDEX ENERGY SPAIN S A U</t>
        </is>
      </c>
      <c r="D316" s="5" t="inlineStr">
        <is>
          <t>RE</t>
        </is>
      </c>
      <c r="E316" s="5" t="n">
        <v>5007647</v>
      </c>
      <c r="F316" s="5" t="inlineStr">
        <is>
          <t>4026001999</t>
        </is>
      </c>
      <c r="G316" s="5" t="inlineStr">
        <is>
          <t>EUR</t>
        </is>
      </c>
      <c r="H316" s="9" t="n">
        <v>-3306.86</v>
      </c>
      <c r="I316" s="16" t="n">
        <v>46105</v>
      </c>
      <c r="J316" s="16" t="n">
        <v>46135</v>
      </c>
      <c r="K316" s="5" t="inlineStr">
        <is>
          <t>0172/26</t>
        </is>
      </c>
      <c r="L316" s="5" t="inlineStr">
        <is>
          <t>4026001999</t>
        </is>
      </c>
      <c r="M316" s="5">
        <f>IF(YEAR(I316)&lt;=2020,"Até 2020",TEXT(YEAR(I316),"0"))</f>
        <v/>
      </c>
      <c r="N316" s="5">
        <f>IFERROR(INDEX(DePara!$A:$A,MATCH(TEXT(B316,"0"),DePara!$D:$D,0)),"(sem categoria)")</f>
        <v/>
      </c>
      <c r="O316" s="5">
        <f>IF(J316="","",Parametros!$B$6-J316)</f>
        <v/>
      </c>
      <c r="P316" s="5">
        <f>IF(O316="","",IF(O316&gt;0,1,0))</f>
        <v/>
      </c>
    </row>
    <row r="317">
      <c r="A317" s="5" t="n">
        <v>2122100000</v>
      </c>
      <c r="B317" s="5" t="inlineStr">
        <is>
          <t>IC4420</t>
        </is>
      </c>
      <c r="C317" s="5" t="inlineStr">
        <is>
          <t>NORDEX ENERGY SPAIN S A U</t>
        </is>
      </c>
      <c r="D317" s="5" t="inlineStr">
        <is>
          <t>RE</t>
        </is>
      </c>
      <c r="E317" s="5" t="n">
        <v>5007648</v>
      </c>
      <c r="F317" s="5" t="inlineStr">
        <is>
          <t>4026001997</t>
        </is>
      </c>
      <c r="G317" s="5" t="inlineStr">
        <is>
          <t>EUR</t>
        </is>
      </c>
      <c r="H317" s="9" t="n">
        <v>-60.19</v>
      </c>
      <c r="I317" s="16" t="n">
        <v>46105</v>
      </c>
      <c r="J317" s="16" t="n">
        <v>46135</v>
      </c>
      <c r="K317" s="5" t="inlineStr">
        <is>
          <t>0171/26</t>
        </is>
      </c>
      <c r="L317" s="5" t="inlineStr">
        <is>
          <t>4026001997</t>
        </is>
      </c>
      <c r="M317" s="5">
        <f>IF(YEAR(I317)&lt;=2020,"Até 2020",TEXT(YEAR(I317),"0"))</f>
        <v/>
      </c>
      <c r="N317" s="5">
        <f>IFERROR(INDEX(DePara!$A:$A,MATCH(TEXT(B317,"0"),DePara!$D:$D,0)),"(sem categoria)")</f>
        <v/>
      </c>
      <c r="O317" s="5">
        <f>IF(J317="","",Parametros!$B$6-J317)</f>
        <v/>
      </c>
      <c r="P317" s="5">
        <f>IF(O317="","",IF(O317&gt;0,1,0))</f>
        <v/>
      </c>
    </row>
    <row r="318">
      <c r="A318" s="5" t="n">
        <v>2122100000</v>
      </c>
      <c r="B318" s="5" t="inlineStr">
        <is>
          <t>IC5000</t>
        </is>
      </c>
      <c r="C318" s="5" t="inlineStr">
        <is>
          <t>NORDEX SE</t>
        </is>
      </c>
      <c r="D318" s="5" t="inlineStr">
        <is>
          <t>KR</t>
        </is>
      </c>
      <c r="E318" s="5" t="n">
        <v>5007657</v>
      </c>
      <c r="F318" s="5" t="inlineStr">
        <is>
          <t>610623</t>
        </is>
      </c>
      <c r="G318" s="5" t="inlineStr">
        <is>
          <t>EUR</t>
        </is>
      </c>
      <c r="H318" s="9" t="n">
        <v>-3202894.72</v>
      </c>
      <c r="I318" s="16" t="n">
        <v>46126</v>
      </c>
      <c r="J318" s="16" t="n">
        <v>46155</v>
      </c>
      <c r="K318" s="5" t="inlineStr">
        <is>
          <t>Fatura do fornecedor NORDEX SE 610623</t>
        </is>
      </c>
      <c r="L318" s="5" t="inlineStr">
        <is>
          <t>13052026</t>
        </is>
      </c>
      <c r="M318" s="5">
        <f>IF(YEAR(I318)&lt;=2020,"Até 2020",TEXT(YEAR(I318),"0"))</f>
        <v/>
      </c>
      <c r="N318" s="5">
        <f>IFERROR(INDEX(DePara!$A:$A,MATCH(TEXT(B318,"0"),DePara!$D:$D,0)),"(sem categoria)")</f>
        <v/>
      </c>
      <c r="O318" s="5">
        <f>IF(J318="","",Parametros!$B$6-J318)</f>
        <v/>
      </c>
      <c r="P318" s="5">
        <f>IF(O318="","",IF(O318&gt;0,1,0))</f>
        <v/>
      </c>
    </row>
    <row r="319">
      <c r="A319" s="5" t="n">
        <v>2122100000</v>
      </c>
      <c r="B319" s="5" t="inlineStr">
        <is>
          <t>IC4420</t>
        </is>
      </c>
      <c r="C319" s="5" t="inlineStr">
        <is>
          <t>NORDEX ENERGY SPAIN S A U</t>
        </is>
      </c>
      <c r="D319" s="5" t="inlineStr">
        <is>
          <t>RE</t>
        </is>
      </c>
      <c r="E319" s="5" t="n">
        <v>5007747</v>
      </c>
      <c r="F319" s="5" t="inlineStr">
        <is>
          <t>4026000456</t>
        </is>
      </c>
      <c r="G319" s="5" t="inlineStr">
        <is>
          <t>EUR</t>
        </is>
      </c>
      <c r="H319" s="9" t="n">
        <v>-14317.47</v>
      </c>
      <c r="I319" s="16" t="n">
        <v>46043</v>
      </c>
      <c r="J319" s="16" t="n">
        <v>46073</v>
      </c>
      <c r="K319" s="5" t="inlineStr">
        <is>
          <t>0034/26</t>
        </is>
      </c>
      <c r="L319" s="5" t="inlineStr">
        <is>
          <t>4026000456</t>
        </is>
      </c>
      <c r="M319" s="5">
        <f>IF(YEAR(I319)&lt;=2020,"Até 2020",TEXT(YEAR(I319),"0"))</f>
        <v/>
      </c>
      <c r="N319" s="5">
        <f>IFERROR(INDEX(DePara!$A:$A,MATCH(TEXT(B319,"0"),DePara!$D:$D,0)),"(sem categoria)")</f>
        <v/>
      </c>
      <c r="O319" s="5">
        <f>IF(J319="","",Parametros!$B$6-J319)</f>
        <v/>
      </c>
      <c r="P319" s="5">
        <f>IF(O319="","",IF(O319&gt;0,1,0))</f>
        <v/>
      </c>
    </row>
    <row r="320">
      <c r="A320" s="5" t="n">
        <v>2122100000</v>
      </c>
      <c r="B320" s="5" t="inlineStr">
        <is>
          <t>IC1000</t>
        </is>
      </c>
      <c r="C320" s="5" t="inlineStr">
        <is>
          <t>NORDEX ENERGY SE &amp; CO KG</t>
        </is>
      </c>
      <c r="D320" s="5" t="inlineStr">
        <is>
          <t>RE</t>
        </is>
      </c>
      <c r="E320" s="5" t="n">
        <v>5007755</v>
      </c>
      <c r="F320" s="5" t="inlineStr">
        <is>
          <t>391190</t>
        </is>
      </c>
      <c r="G320" s="5" t="inlineStr">
        <is>
          <t>EUR</t>
        </is>
      </c>
      <c r="H320" s="9" t="n">
        <v>-15464.99</v>
      </c>
      <c r="I320" s="16" t="n">
        <v>46112</v>
      </c>
      <c r="J320" s="16" t="n">
        <v>46142</v>
      </c>
      <c r="K320" s="5" t="inlineStr">
        <is>
          <t>0194/26</t>
        </is>
      </c>
      <c r="L320" s="5" t="inlineStr">
        <is>
          <t>391190</t>
        </is>
      </c>
      <c r="M320" s="5">
        <f>IF(YEAR(I320)&lt;=2020,"Até 2020",TEXT(YEAR(I320),"0"))</f>
        <v/>
      </c>
      <c r="N320" s="5">
        <f>IFERROR(INDEX(DePara!$A:$A,MATCH(TEXT(B320,"0"),DePara!$D:$D,0)),"(sem categoria)")</f>
        <v/>
      </c>
      <c r="O320" s="5">
        <f>IF(J320="","",Parametros!$B$6-J320)</f>
        <v/>
      </c>
      <c r="P320" s="5">
        <f>IF(O320="","",IF(O320&gt;0,1,0))</f>
        <v/>
      </c>
    </row>
    <row r="321">
      <c r="A321" s="5" t="n">
        <v>2122100000</v>
      </c>
      <c r="B321" s="5" t="inlineStr">
        <is>
          <t>IC4420</t>
        </is>
      </c>
      <c r="C321" s="5" t="inlineStr">
        <is>
          <t>NORDEX ENERGY SPAIN S A U</t>
        </is>
      </c>
      <c r="D321" s="5" t="inlineStr">
        <is>
          <t>RE</t>
        </is>
      </c>
      <c r="E321" s="5" t="n">
        <v>5007787</v>
      </c>
      <c r="F321" s="5" t="inlineStr">
        <is>
          <t>4026000455</t>
        </is>
      </c>
      <c r="G321" s="5" t="inlineStr">
        <is>
          <t>EUR</t>
        </is>
      </c>
      <c r="H321" s="9" t="n">
        <v>-108148.44</v>
      </c>
      <c r="I321" s="16" t="n">
        <v>46043</v>
      </c>
      <c r="J321" s="16" t="n">
        <v>46073</v>
      </c>
      <c r="K321" s="5" t="inlineStr">
        <is>
          <t>0034/26</t>
        </is>
      </c>
      <c r="L321" s="5" t="inlineStr">
        <is>
          <t>4026000455</t>
        </is>
      </c>
      <c r="M321" s="5">
        <f>IF(YEAR(I321)&lt;=2020,"Até 2020",TEXT(YEAR(I321),"0"))</f>
        <v/>
      </c>
      <c r="N321" s="5">
        <f>IFERROR(INDEX(DePara!$A:$A,MATCH(TEXT(B321,"0"),DePara!$D:$D,0)),"(sem categoria)")</f>
        <v/>
      </c>
      <c r="O321" s="5">
        <f>IF(J321="","",Parametros!$B$6-J321)</f>
        <v/>
      </c>
      <c r="P321" s="5">
        <f>IF(O321="","",IF(O321&gt;0,1,0))</f>
        <v/>
      </c>
    </row>
    <row r="322">
      <c r="A322" s="5" t="n">
        <v>2122100000</v>
      </c>
      <c r="B322" s="5" t="inlineStr">
        <is>
          <t>IC4420</t>
        </is>
      </c>
      <c r="C322" s="5" t="inlineStr">
        <is>
          <t>NORDEX ENERGY SPAIN S A U</t>
        </is>
      </c>
      <c r="D322" s="5" t="inlineStr">
        <is>
          <t>RE</t>
        </is>
      </c>
      <c r="E322" s="5" t="n">
        <v>5007947</v>
      </c>
      <c r="F322" s="5" t="inlineStr">
        <is>
          <t>4025009674</t>
        </is>
      </c>
      <c r="G322" s="5" t="inlineStr">
        <is>
          <t>EUR</t>
        </is>
      </c>
      <c r="H322" s="9" t="n">
        <v>-67517.94</v>
      </c>
      <c r="I322" s="16" t="n">
        <v>46003</v>
      </c>
      <c r="J322" s="16" t="n">
        <v>46033</v>
      </c>
      <c r="K322" s="5" t="inlineStr">
        <is>
          <t>0948/25</t>
        </is>
      </c>
      <c r="L322" s="5" t="inlineStr">
        <is>
          <t>4025009674</t>
        </is>
      </c>
      <c r="M322" s="5">
        <f>IF(YEAR(I322)&lt;=2020,"Até 2020",TEXT(YEAR(I322),"0"))</f>
        <v/>
      </c>
      <c r="N322" s="5">
        <f>IFERROR(INDEX(DePara!$A:$A,MATCH(TEXT(B322,"0"),DePara!$D:$D,0)),"(sem categoria)")</f>
        <v/>
      </c>
      <c r="O322" s="5">
        <f>IF(J322="","",Parametros!$B$6-J322)</f>
        <v/>
      </c>
      <c r="P322" s="5">
        <f>IF(O322="","",IF(O322&gt;0,1,0))</f>
        <v/>
      </c>
    </row>
    <row r="323">
      <c r="A323" s="5" t="n">
        <v>2122100000</v>
      </c>
      <c r="B323" s="5" t="inlineStr">
        <is>
          <t>IC4420</t>
        </is>
      </c>
      <c r="C323" s="5" t="inlineStr">
        <is>
          <t>NORDEX ENERGY SPAIN S A U</t>
        </is>
      </c>
      <c r="D323" s="5" t="inlineStr">
        <is>
          <t>RE</t>
        </is>
      </c>
      <c r="E323" s="5" t="n">
        <v>5007948</v>
      </c>
      <c r="F323" s="5" t="inlineStr">
        <is>
          <t>4026001254</t>
        </is>
      </c>
      <c r="G323" s="5" t="inlineStr">
        <is>
          <t>EUR</t>
        </is>
      </c>
      <c r="H323" s="9" t="n">
        <v>-24068.75</v>
      </c>
      <c r="I323" s="16" t="n">
        <v>46073</v>
      </c>
      <c r="J323" s="16" t="n">
        <v>46103</v>
      </c>
      <c r="K323" s="5" t="inlineStr">
        <is>
          <t>0101/26</t>
        </is>
      </c>
      <c r="L323" s="5" t="inlineStr">
        <is>
          <t>4026001254</t>
        </is>
      </c>
      <c r="M323" s="5">
        <f>IF(YEAR(I323)&lt;=2020,"Até 2020",TEXT(YEAR(I323),"0"))</f>
        <v/>
      </c>
      <c r="N323" s="5">
        <f>IFERROR(INDEX(DePara!$A:$A,MATCH(TEXT(B323,"0"),DePara!$D:$D,0)),"(sem categoria)")</f>
        <v/>
      </c>
      <c r="O323" s="5">
        <f>IF(J323="","",Parametros!$B$6-J323)</f>
        <v/>
      </c>
      <c r="P323" s="5">
        <f>IF(O323="","",IF(O323&gt;0,1,0))</f>
        <v/>
      </c>
    </row>
    <row r="324">
      <c r="A324" s="5" t="n">
        <v>2122100000</v>
      </c>
      <c r="B324" s="5" t="inlineStr">
        <is>
          <t>IC4420</t>
        </is>
      </c>
      <c r="C324" s="5" t="inlineStr">
        <is>
          <t>NORDEX ENERGY SPAIN S A U</t>
        </is>
      </c>
      <c r="D324" s="5" t="inlineStr">
        <is>
          <t>RE</t>
        </is>
      </c>
      <c r="E324" s="5" t="n">
        <v>5007949</v>
      </c>
      <c r="F324" s="5" t="inlineStr">
        <is>
          <t>4026001253</t>
        </is>
      </c>
      <c r="G324" s="5" t="inlineStr">
        <is>
          <t>EUR</t>
        </is>
      </c>
      <c r="H324" s="9" t="n">
        <v>-60971.13</v>
      </c>
      <c r="I324" s="16" t="n">
        <v>46073</v>
      </c>
      <c r="J324" s="16" t="n">
        <v>46103</v>
      </c>
      <c r="K324" s="5" t="inlineStr">
        <is>
          <t>0101/26</t>
        </is>
      </c>
      <c r="L324" s="5" t="inlineStr">
        <is>
          <t>4026001253</t>
        </is>
      </c>
      <c r="M324" s="5">
        <f>IF(YEAR(I324)&lt;=2020,"Até 2020",TEXT(YEAR(I324),"0"))</f>
        <v/>
      </c>
      <c r="N324" s="5">
        <f>IFERROR(INDEX(DePara!$A:$A,MATCH(TEXT(B324,"0"),DePara!$D:$D,0)),"(sem categoria)")</f>
        <v/>
      </c>
      <c r="O324" s="5">
        <f>IF(J324="","",Parametros!$B$6-J324)</f>
        <v/>
      </c>
      <c r="P324" s="5">
        <f>IF(O324="","",IF(O324&gt;0,1,0))</f>
        <v/>
      </c>
    </row>
    <row r="325">
      <c r="A325" s="5" t="n">
        <v>2122100000</v>
      </c>
      <c r="B325" s="5" t="inlineStr">
        <is>
          <t>IC4420</t>
        </is>
      </c>
      <c r="C325" s="5" t="inlineStr">
        <is>
          <t>NORDEX ENERGY SPAIN S A U</t>
        </is>
      </c>
      <c r="D325" s="5" t="inlineStr">
        <is>
          <t>RE</t>
        </is>
      </c>
      <c r="E325" s="5" t="n">
        <v>5007958</v>
      </c>
      <c r="F325" s="5" t="inlineStr">
        <is>
          <t>4025009669</t>
        </is>
      </c>
      <c r="G325" s="5" t="inlineStr">
        <is>
          <t>EUR</t>
        </is>
      </c>
      <c r="H325" s="9" t="n">
        <v>-45764.13</v>
      </c>
      <c r="I325" s="16" t="n">
        <v>46003</v>
      </c>
      <c r="J325" s="16" t="n">
        <v>46033</v>
      </c>
      <c r="K325" s="5" t="inlineStr">
        <is>
          <t>0942/25</t>
        </is>
      </c>
      <c r="L325" s="5" t="inlineStr">
        <is>
          <t>4025009669</t>
        </is>
      </c>
      <c r="M325" s="5">
        <f>IF(YEAR(I325)&lt;=2020,"Até 2020",TEXT(YEAR(I325),"0"))</f>
        <v/>
      </c>
      <c r="N325" s="5">
        <f>IFERROR(INDEX(DePara!$A:$A,MATCH(TEXT(B325,"0"),DePara!$D:$D,0)),"(sem categoria)")</f>
        <v/>
      </c>
      <c r="O325" s="5">
        <f>IF(J325="","",Parametros!$B$6-J325)</f>
        <v/>
      </c>
      <c r="P325" s="5">
        <f>IF(O325="","",IF(O325&gt;0,1,0))</f>
        <v/>
      </c>
    </row>
    <row r="326">
      <c r="A326" s="5" t="n">
        <v>2122100000</v>
      </c>
      <c r="B326" s="5" t="inlineStr">
        <is>
          <t>IC4420</t>
        </is>
      </c>
      <c r="C326" s="5" t="inlineStr">
        <is>
          <t>NORDEX ENERGY SPAIN S A U</t>
        </is>
      </c>
      <c r="D326" s="5" t="inlineStr">
        <is>
          <t>RE</t>
        </is>
      </c>
      <c r="E326" s="5" t="n">
        <v>5007966</v>
      </c>
      <c r="F326" s="5" t="inlineStr">
        <is>
          <t>4026002364</t>
        </is>
      </c>
      <c r="G326" s="5" t="inlineStr">
        <is>
          <t>EUR</t>
        </is>
      </c>
      <c r="H326" s="9" t="n">
        <v>-14288.45</v>
      </c>
      <c r="I326" s="16" t="n">
        <v>46119</v>
      </c>
      <c r="J326" s="16" t="n">
        <v>46149</v>
      </c>
      <c r="K326" s="5" t="inlineStr">
        <is>
          <t>0188/26</t>
        </is>
      </c>
      <c r="L326" s="5" t="inlineStr">
        <is>
          <t>4026002364</t>
        </is>
      </c>
      <c r="M326" s="5">
        <f>IF(YEAR(I326)&lt;=2020,"Até 2020",TEXT(YEAR(I326),"0"))</f>
        <v/>
      </c>
      <c r="N326" s="5">
        <f>IFERROR(INDEX(DePara!$A:$A,MATCH(TEXT(B326,"0"),DePara!$D:$D,0)),"(sem categoria)")</f>
        <v/>
      </c>
      <c r="O326" s="5">
        <f>IF(J326="","",Parametros!$B$6-J326)</f>
        <v/>
      </c>
      <c r="P326" s="5">
        <f>IF(O326="","",IF(O326&gt;0,1,0))</f>
        <v/>
      </c>
    </row>
    <row r="327">
      <c r="A327" s="5" t="n">
        <v>2122100000</v>
      </c>
      <c r="B327" s="5" t="inlineStr">
        <is>
          <t>IC4420</t>
        </is>
      </c>
      <c r="C327" s="5" t="inlineStr">
        <is>
          <t>NORDEX ENERGY SPAIN S A U</t>
        </is>
      </c>
      <c r="D327" s="5" t="inlineStr">
        <is>
          <t>RE</t>
        </is>
      </c>
      <c r="E327" s="5" t="n">
        <v>5007967</v>
      </c>
      <c r="F327" s="5" t="inlineStr">
        <is>
          <t>4026002373</t>
        </is>
      </c>
      <c r="G327" s="5" t="inlineStr">
        <is>
          <t>EUR</t>
        </is>
      </c>
      <c r="H327" s="9" t="n">
        <v>-298.22</v>
      </c>
      <c r="I327" s="16" t="n">
        <v>46119</v>
      </c>
      <c r="J327" s="16" t="n">
        <v>46149</v>
      </c>
      <c r="K327" s="5" t="inlineStr">
        <is>
          <t>0188/26</t>
        </is>
      </c>
      <c r="L327" s="5" t="inlineStr">
        <is>
          <t>4026002373</t>
        </is>
      </c>
      <c r="M327" s="5">
        <f>IF(YEAR(I327)&lt;=2020,"Até 2020",TEXT(YEAR(I327),"0"))</f>
        <v/>
      </c>
      <c r="N327" s="5">
        <f>IFERROR(INDEX(DePara!$A:$A,MATCH(TEXT(B327,"0"),DePara!$D:$D,0)),"(sem categoria)")</f>
        <v/>
      </c>
      <c r="O327" s="5">
        <f>IF(J327="","",Parametros!$B$6-J327)</f>
        <v/>
      </c>
      <c r="P327" s="5">
        <f>IF(O327="","",IF(O327&gt;0,1,0))</f>
        <v/>
      </c>
    </row>
    <row r="328">
      <c r="A328" s="5" t="n">
        <v>2122100000</v>
      </c>
      <c r="B328" s="5" t="inlineStr">
        <is>
          <t>IC4420</t>
        </is>
      </c>
      <c r="C328" s="5" t="inlineStr">
        <is>
          <t>NORDEX ENERGY SPAIN S A U</t>
        </is>
      </c>
      <c r="D328" s="5" t="inlineStr">
        <is>
          <t>RE</t>
        </is>
      </c>
      <c r="E328" s="5" t="n">
        <v>5007971</v>
      </c>
      <c r="F328" s="5" t="inlineStr">
        <is>
          <t>4026002491</t>
        </is>
      </c>
      <c r="G328" s="5" t="inlineStr">
        <is>
          <t>EUR</t>
        </is>
      </c>
      <c r="H328" s="9" t="n">
        <v>-1997.55</v>
      </c>
      <c r="I328" s="16" t="n">
        <v>46125</v>
      </c>
      <c r="J328" s="16" t="n">
        <v>46155</v>
      </c>
      <c r="K328" s="5" t="inlineStr">
        <is>
          <t>0197/26</t>
        </is>
      </c>
      <c r="L328" s="5" t="inlineStr">
        <is>
          <t>4026002491</t>
        </is>
      </c>
      <c r="M328" s="5">
        <f>IF(YEAR(I328)&lt;=2020,"Até 2020",TEXT(YEAR(I328),"0"))</f>
        <v/>
      </c>
      <c r="N328" s="5">
        <f>IFERROR(INDEX(DePara!$A:$A,MATCH(TEXT(B328,"0"),DePara!$D:$D,0)),"(sem categoria)")</f>
        <v/>
      </c>
      <c r="O328" s="5">
        <f>IF(J328="","",Parametros!$B$6-J328)</f>
        <v/>
      </c>
      <c r="P328" s="5">
        <f>IF(O328="","",IF(O328&gt;0,1,0))</f>
        <v/>
      </c>
    </row>
    <row r="329">
      <c r="A329" s="5" t="n">
        <v>2122100000</v>
      </c>
      <c r="B329" s="5" t="inlineStr">
        <is>
          <t>IC4420</t>
        </is>
      </c>
      <c r="C329" s="5" t="inlineStr">
        <is>
          <t>NORDEX ENERGY SPAIN S A U</t>
        </is>
      </c>
      <c r="D329" s="5" t="inlineStr">
        <is>
          <t>RE</t>
        </is>
      </c>
      <c r="E329" s="5" t="n">
        <v>5007972</v>
      </c>
      <c r="F329" s="5" t="inlineStr">
        <is>
          <t>4026002052</t>
        </is>
      </c>
      <c r="G329" s="5" t="inlineStr">
        <is>
          <t>EUR</t>
        </is>
      </c>
      <c r="H329" s="9" t="n">
        <v>-62727.48</v>
      </c>
      <c r="I329" s="16" t="n">
        <v>46106</v>
      </c>
      <c r="J329" s="16" t="n">
        <v>46136</v>
      </c>
      <c r="K329" s="5" t="inlineStr">
        <is>
          <t>0181/26</t>
        </is>
      </c>
      <c r="L329" s="5" t="inlineStr">
        <is>
          <t>4026002052</t>
        </is>
      </c>
      <c r="M329" s="5">
        <f>IF(YEAR(I329)&lt;=2020,"Até 2020",TEXT(YEAR(I329),"0"))</f>
        <v/>
      </c>
      <c r="N329" s="5">
        <f>IFERROR(INDEX(DePara!$A:$A,MATCH(TEXT(B329,"0"),DePara!$D:$D,0)),"(sem categoria)")</f>
        <v/>
      </c>
      <c r="O329" s="5">
        <f>IF(J329="","",Parametros!$B$6-J329)</f>
        <v/>
      </c>
      <c r="P329" s="5">
        <f>IF(O329="","",IF(O329&gt;0,1,0))</f>
        <v/>
      </c>
    </row>
    <row r="330">
      <c r="A330" s="5" t="n">
        <v>2122100000</v>
      </c>
      <c r="B330" s="5" t="inlineStr">
        <is>
          <t>IC4420</t>
        </is>
      </c>
      <c r="C330" s="5" t="inlineStr">
        <is>
          <t>NORDEX ENERGY SPAIN S A U</t>
        </is>
      </c>
      <c r="D330" s="5" t="inlineStr">
        <is>
          <t>RE</t>
        </is>
      </c>
      <c r="E330" s="5" t="n">
        <v>5007973</v>
      </c>
      <c r="F330" s="5" t="inlineStr">
        <is>
          <t>4026002363</t>
        </is>
      </c>
      <c r="G330" s="5" t="inlineStr">
        <is>
          <t>EUR</t>
        </is>
      </c>
      <c r="H330" s="9" t="n">
        <v>-59424.27</v>
      </c>
      <c r="I330" s="16" t="n">
        <v>46119</v>
      </c>
      <c r="J330" s="16" t="n">
        <v>46149</v>
      </c>
      <c r="K330" s="5" t="inlineStr">
        <is>
          <t>0189/26</t>
        </is>
      </c>
      <c r="L330" s="5" t="inlineStr">
        <is>
          <t>4026002363</t>
        </is>
      </c>
      <c r="M330" s="5">
        <f>IF(YEAR(I330)&lt;=2020,"Até 2020",TEXT(YEAR(I330),"0"))</f>
        <v/>
      </c>
      <c r="N330" s="5">
        <f>IFERROR(INDEX(DePara!$A:$A,MATCH(TEXT(B330,"0"),DePara!$D:$D,0)),"(sem categoria)")</f>
        <v/>
      </c>
      <c r="O330" s="5">
        <f>IF(J330="","",Parametros!$B$6-J330)</f>
        <v/>
      </c>
      <c r="P330" s="5">
        <f>IF(O330="","",IF(O330&gt;0,1,0))</f>
        <v/>
      </c>
    </row>
    <row r="331">
      <c r="A331" s="5" t="n">
        <v>2122100000</v>
      </c>
      <c r="B331" s="5" t="inlineStr">
        <is>
          <t>IC4420</t>
        </is>
      </c>
      <c r="C331" s="5" t="inlineStr">
        <is>
          <t>NORDEX ENERGY SPAIN S A U</t>
        </is>
      </c>
      <c r="D331" s="5" t="inlineStr">
        <is>
          <t>RE</t>
        </is>
      </c>
      <c r="E331" s="5" t="n">
        <v>5007974</v>
      </c>
      <c r="F331" s="5" t="inlineStr">
        <is>
          <t>4025009668</t>
        </is>
      </c>
      <c r="G331" s="5" t="inlineStr">
        <is>
          <t>EUR</t>
        </is>
      </c>
      <c r="H331" s="9" t="n">
        <v>-5053.91</v>
      </c>
      <c r="I331" s="16" t="n">
        <v>46003</v>
      </c>
      <c r="J331" s="16" t="n">
        <v>46033</v>
      </c>
      <c r="K331" s="5" t="inlineStr">
        <is>
          <t>0941/25</t>
        </is>
      </c>
      <c r="L331" s="5" t="inlineStr">
        <is>
          <t>4025009668</t>
        </is>
      </c>
      <c r="M331" s="5">
        <f>IF(YEAR(I331)&lt;=2020,"Até 2020",TEXT(YEAR(I331),"0"))</f>
        <v/>
      </c>
      <c r="N331" s="5">
        <f>IFERROR(INDEX(DePara!$A:$A,MATCH(TEXT(B331,"0"),DePara!$D:$D,0)),"(sem categoria)")</f>
        <v/>
      </c>
      <c r="O331" s="5">
        <f>IF(J331="","",Parametros!$B$6-J331)</f>
        <v/>
      </c>
      <c r="P331" s="5">
        <f>IF(O331="","",IF(O331&gt;0,1,0))</f>
        <v/>
      </c>
    </row>
    <row r="332">
      <c r="A332" s="5" t="n">
        <v>2122100000</v>
      </c>
      <c r="B332" s="5" t="inlineStr">
        <is>
          <t>IC4420</t>
        </is>
      </c>
      <c r="C332" s="5" t="inlineStr">
        <is>
          <t>NORDEX ENERGY SPAIN S A U</t>
        </is>
      </c>
      <c r="D332" s="5" t="inlineStr">
        <is>
          <t>RE</t>
        </is>
      </c>
      <c r="E332" s="5" t="n">
        <v>5007975</v>
      </c>
      <c r="F332" s="5" t="inlineStr">
        <is>
          <t>4026002494</t>
        </is>
      </c>
      <c r="G332" s="5" t="inlineStr">
        <is>
          <t>EUR</t>
        </is>
      </c>
      <c r="H332" s="9" t="n">
        <v>-17738.61</v>
      </c>
      <c r="I332" s="16" t="n">
        <v>46125</v>
      </c>
      <c r="J332" s="16" t="n">
        <v>46155</v>
      </c>
      <c r="K332" s="5" t="inlineStr">
        <is>
          <t>0197/26</t>
        </is>
      </c>
      <c r="L332" s="5" t="inlineStr">
        <is>
          <t>4026002494</t>
        </is>
      </c>
      <c r="M332" s="5">
        <f>IF(YEAR(I332)&lt;=2020,"Até 2020",TEXT(YEAR(I332),"0"))</f>
        <v/>
      </c>
      <c r="N332" s="5">
        <f>IFERROR(INDEX(DePara!$A:$A,MATCH(TEXT(B332,"0"),DePara!$D:$D,0)),"(sem categoria)")</f>
        <v/>
      </c>
      <c r="O332" s="5">
        <f>IF(J332="","",Parametros!$B$6-J332)</f>
        <v/>
      </c>
      <c r="P332" s="5">
        <f>IF(O332="","",IF(O332&gt;0,1,0))</f>
        <v/>
      </c>
    </row>
    <row r="333">
      <c r="A333" s="5" t="n">
        <v>2122100000</v>
      </c>
      <c r="B333" s="5" t="inlineStr">
        <is>
          <t>IC4420</t>
        </is>
      </c>
      <c r="C333" s="5" t="inlineStr">
        <is>
          <t>NORDEX ENERGY SPAIN S A U</t>
        </is>
      </c>
      <c r="D333" s="5" t="inlineStr">
        <is>
          <t>RE</t>
        </is>
      </c>
      <c r="E333" s="5" t="n">
        <v>5008012</v>
      </c>
      <c r="F333" s="5" t="inlineStr">
        <is>
          <t>4026001270</t>
        </is>
      </c>
      <c r="G333" s="5" t="inlineStr">
        <is>
          <t>EUR</t>
        </is>
      </c>
      <c r="H333" s="9" t="n">
        <v>-31794.67</v>
      </c>
      <c r="I333" s="16" t="n">
        <v>46073</v>
      </c>
      <c r="J333" s="16" t="n">
        <v>46103</v>
      </c>
      <c r="K333" s="5" t="inlineStr">
        <is>
          <t>0100/26</t>
        </is>
      </c>
      <c r="L333" s="5" t="inlineStr">
        <is>
          <t>4026001270</t>
        </is>
      </c>
      <c r="M333" s="5">
        <f>IF(YEAR(I333)&lt;=2020,"Até 2020",TEXT(YEAR(I333),"0"))</f>
        <v/>
      </c>
      <c r="N333" s="5">
        <f>IFERROR(INDEX(DePara!$A:$A,MATCH(TEXT(B333,"0"),DePara!$D:$D,0)),"(sem categoria)")</f>
        <v/>
      </c>
      <c r="O333" s="5">
        <f>IF(J333="","",Parametros!$B$6-J333)</f>
        <v/>
      </c>
      <c r="P333" s="5">
        <f>IF(O333="","",IF(O333&gt;0,1,0))</f>
        <v/>
      </c>
    </row>
    <row r="334">
      <c r="A334" s="5" t="n">
        <v>2122100000</v>
      </c>
      <c r="B334" s="5" t="inlineStr">
        <is>
          <t>IC4420</t>
        </is>
      </c>
      <c r="C334" s="5" t="inlineStr">
        <is>
          <t>NORDEX ENERGY SPAIN S A U</t>
        </is>
      </c>
      <c r="D334" s="5" t="inlineStr">
        <is>
          <t>RE</t>
        </is>
      </c>
      <c r="E334" s="5" t="n">
        <v>5008021</v>
      </c>
      <c r="F334" s="5" t="inlineStr">
        <is>
          <t>4026001269</t>
        </is>
      </c>
      <c r="G334" s="5" t="inlineStr">
        <is>
          <t>EUR</t>
        </is>
      </c>
      <c r="H334" s="9" t="n">
        <v>-50916.86</v>
      </c>
      <c r="I334" s="16" t="n">
        <v>46073</v>
      </c>
      <c r="J334" s="16" t="n">
        <v>46103</v>
      </c>
      <c r="K334" s="5" t="inlineStr">
        <is>
          <t>0100/26</t>
        </is>
      </c>
      <c r="L334" s="5" t="inlineStr">
        <is>
          <t>4026001269</t>
        </is>
      </c>
      <c r="M334" s="5">
        <f>IF(YEAR(I334)&lt;=2020,"Até 2020",TEXT(YEAR(I334),"0"))</f>
        <v/>
      </c>
      <c r="N334" s="5">
        <f>IFERROR(INDEX(DePara!$A:$A,MATCH(TEXT(B334,"0"),DePara!$D:$D,0)),"(sem categoria)")</f>
        <v/>
      </c>
      <c r="O334" s="5">
        <f>IF(J334="","",Parametros!$B$6-J334)</f>
        <v/>
      </c>
      <c r="P334" s="5">
        <f>IF(O334="","",IF(O334&gt;0,1,0))</f>
        <v/>
      </c>
    </row>
    <row r="335">
      <c r="A335" s="5" t="n">
        <v>2122100000</v>
      </c>
      <c r="B335" s="5" t="inlineStr">
        <is>
          <t>IC4420</t>
        </is>
      </c>
      <c r="C335" s="5" t="inlineStr">
        <is>
          <t>NORDEX ENERGY SPAIN S A U</t>
        </is>
      </c>
      <c r="D335" s="5" t="inlineStr">
        <is>
          <t>RE</t>
        </is>
      </c>
      <c r="E335" s="5" t="n">
        <v>5008107</v>
      </c>
      <c r="F335" s="5" t="inlineStr">
        <is>
          <t>4026001266</t>
        </is>
      </c>
      <c r="G335" s="5" t="inlineStr">
        <is>
          <t>EUR</t>
        </is>
      </c>
      <c r="H335" s="9" t="n">
        <v>-24956.63</v>
      </c>
      <c r="I335" s="16" t="n">
        <v>46073</v>
      </c>
      <c r="J335" s="16" t="n">
        <v>46103</v>
      </c>
      <c r="K335" s="5" t="inlineStr">
        <is>
          <t>0097/26</t>
        </is>
      </c>
      <c r="L335" s="5" t="inlineStr">
        <is>
          <t>4026001266</t>
        </is>
      </c>
      <c r="M335" s="5">
        <f>IF(YEAR(I335)&lt;=2020,"Até 2020",TEXT(YEAR(I335),"0"))</f>
        <v/>
      </c>
      <c r="N335" s="5">
        <f>IFERROR(INDEX(DePara!$A:$A,MATCH(TEXT(B335,"0"),DePara!$D:$D,0)),"(sem categoria)")</f>
        <v/>
      </c>
      <c r="O335" s="5">
        <f>IF(J335="","",Parametros!$B$6-J335)</f>
        <v/>
      </c>
      <c r="P335" s="5">
        <f>IF(O335="","",IF(O335&gt;0,1,0))</f>
        <v/>
      </c>
    </row>
    <row r="336">
      <c r="A336" s="5" t="n">
        <v>2122100000</v>
      </c>
      <c r="B336" s="5" t="inlineStr">
        <is>
          <t>IC1000</t>
        </is>
      </c>
      <c r="C336" s="5" t="inlineStr">
        <is>
          <t>NORDEX ENERGY SE &amp; CO KG</t>
        </is>
      </c>
      <c r="D336" s="5" t="inlineStr">
        <is>
          <t>RE</t>
        </is>
      </c>
      <c r="E336" s="5" t="n">
        <v>5008182</v>
      </c>
      <c r="F336" s="5" t="inlineStr">
        <is>
          <t>392339</t>
        </is>
      </c>
      <c r="G336" s="5" t="inlineStr">
        <is>
          <t>EUR</t>
        </is>
      </c>
      <c r="H336" s="9" t="n">
        <v>-2133.13</v>
      </c>
      <c r="I336" s="16" t="n">
        <v>46120</v>
      </c>
      <c r="J336" s="16" t="n">
        <v>46150</v>
      </c>
      <c r="K336" s="5" t="inlineStr">
        <is>
          <t>0196/26</t>
        </is>
      </c>
      <c r="L336" s="5" t="inlineStr">
        <is>
          <t>392339</t>
        </is>
      </c>
      <c r="M336" s="5">
        <f>IF(YEAR(I336)&lt;=2020,"Até 2020",TEXT(YEAR(I336),"0"))</f>
        <v/>
      </c>
      <c r="N336" s="5">
        <f>IFERROR(INDEX(DePara!$A:$A,MATCH(TEXT(B336,"0"),DePara!$D:$D,0)),"(sem categoria)")</f>
        <v/>
      </c>
      <c r="O336" s="5">
        <f>IF(J336="","",Parametros!$B$6-J336)</f>
        <v/>
      </c>
      <c r="P336" s="5">
        <f>IF(O336="","",IF(O336&gt;0,1,0))</f>
        <v/>
      </c>
    </row>
    <row r="337">
      <c r="A337" s="5" t="n">
        <v>2122100000</v>
      </c>
      <c r="B337" s="5" t="inlineStr">
        <is>
          <t>IC1000</t>
        </is>
      </c>
      <c r="C337" s="5" t="inlineStr">
        <is>
          <t>NORDEX ENERGY SE &amp; CO KG</t>
        </is>
      </c>
      <c r="D337" s="5" t="inlineStr">
        <is>
          <t>RE</t>
        </is>
      </c>
      <c r="E337" s="5" t="n">
        <v>5008183</v>
      </c>
      <c r="F337" s="5" t="inlineStr">
        <is>
          <t>RITM0625779</t>
        </is>
      </c>
      <c r="G337" s="5" t="inlineStr">
        <is>
          <t>EUR</t>
        </is>
      </c>
      <c r="H337" s="9" t="n">
        <v>-522272.14</v>
      </c>
      <c r="I337" s="16" t="n">
        <v>46083</v>
      </c>
      <c r="J337" s="16" t="n">
        <v>46113</v>
      </c>
      <c r="K337" s="5" t="inlineStr">
        <is>
          <t>0165/26</t>
        </is>
      </c>
      <c r="L337" s="5" t="inlineStr">
        <is>
          <t>RITM0625779</t>
        </is>
      </c>
      <c r="M337" s="5">
        <f>IF(YEAR(I337)&lt;=2020,"Até 2020",TEXT(YEAR(I337),"0"))</f>
        <v/>
      </c>
      <c r="N337" s="5">
        <f>IFERROR(INDEX(DePara!$A:$A,MATCH(TEXT(B337,"0"),DePara!$D:$D,0)),"(sem categoria)")</f>
        <v/>
      </c>
      <c r="O337" s="5">
        <f>IF(J337="","",Parametros!$B$6-J337)</f>
        <v/>
      </c>
      <c r="P337" s="5">
        <f>IF(O337="","",IF(O337&gt;0,1,0))</f>
        <v/>
      </c>
    </row>
    <row r="338">
      <c r="A338" s="5" t="n">
        <v>2122100000</v>
      </c>
      <c r="B338" s="5" t="inlineStr">
        <is>
          <t>IC4420</t>
        </is>
      </c>
      <c r="C338" s="5" t="inlineStr">
        <is>
          <t>NORDEX ENERGY SPAIN S A U</t>
        </is>
      </c>
      <c r="D338" s="5" t="inlineStr">
        <is>
          <t>RE</t>
        </is>
      </c>
      <c r="E338" s="5" t="n">
        <v>5008223</v>
      </c>
      <c r="F338" s="5" t="inlineStr">
        <is>
          <t>4025009675</t>
        </is>
      </c>
      <c r="G338" s="5" t="inlineStr">
        <is>
          <t>EUR</t>
        </is>
      </c>
      <c r="H338" s="9" t="n">
        <v>-266002.4</v>
      </c>
      <c r="I338" s="16" t="n">
        <v>46003</v>
      </c>
      <c r="J338" s="16" t="n">
        <v>46033</v>
      </c>
      <c r="K338" s="5" t="inlineStr">
        <is>
          <t>0949/25</t>
        </is>
      </c>
      <c r="L338" s="5" t="inlineStr">
        <is>
          <t>4025009675</t>
        </is>
      </c>
      <c r="M338" s="5">
        <f>IF(YEAR(I338)&lt;=2020,"Até 2020",TEXT(YEAR(I338),"0"))</f>
        <v/>
      </c>
      <c r="N338" s="5">
        <f>IFERROR(INDEX(DePara!$A:$A,MATCH(TEXT(B338,"0"),DePara!$D:$D,0)),"(sem categoria)")</f>
        <v/>
      </c>
      <c r="O338" s="5">
        <f>IF(J338="","",Parametros!$B$6-J338)</f>
        <v/>
      </c>
      <c r="P338" s="5">
        <f>IF(O338="","",IF(O338&gt;0,1,0))</f>
        <v/>
      </c>
    </row>
    <row r="339">
      <c r="A339" s="5" t="n">
        <v>2122100000</v>
      </c>
      <c r="B339" s="5" t="inlineStr">
        <is>
          <t>IC1000</t>
        </is>
      </c>
      <c r="C339" s="5" t="inlineStr">
        <is>
          <t>NORDEX ENERGY SE &amp; CO KG</t>
        </is>
      </c>
      <c r="D339" s="5" t="inlineStr">
        <is>
          <t>RE</t>
        </is>
      </c>
      <c r="E339" s="5" t="n">
        <v>5008248</v>
      </c>
      <c r="F339" s="5" t="inlineStr">
        <is>
          <t>4012510888</t>
        </is>
      </c>
      <c r="G339" s="5" t="inlineStr">
        <is>
          <t>EUR</t>
        </is>
      </c>
      <c r="H339" s="9" t="n">
        <v>-125968.89</v>
      </c>
      <c r="I339" s="16" t="n">
        <v>46129</v>
      </c>
      <c r="J339" s="16" t="n">
        <v>46159</v>
      </c>
      <c r="K339" s="5" t="inlineStr">
        <is>
          <t>0239/26</t>
        </is>
      </c>
      <c r="L339" s="5" t="inlineStr">
        <is>
          <t>4012510888</t>
        </is>
      </c>
      <c r="M339" s="5">
        <f>IF(YEAR(I339)&lt;=2020,"Até 2020",TEXT(YEAR(I339),"0"))</f>
        <v/>
      </c>
      <c r="N339" s="5">
        <f>IFERROR(INDEX(DePara!$A:$A,MATCH(TEXT(B339,"0"),DePara!$D:$D,0)),"(sem categoria)")</f>
        <v/>
      </c>
      <c r="O339" s="5">
        <f>IF(J339="","",Parametros!$B$6-J339)</f>
        <v/>
      </c>
      <c r="P339" s="5">
        <f>IF(O339="","",IF(O339&gt;0,1,0))</f>
        <v/>
      </c>
    </row>
    <row r="340">
      <c r="A340" s="5" t="n">
        <v>2122100000</v>
      </c>
      <c r="B340" s="5" t="inlineStr">
        <is>
          <t>IC4420</t>
        </is>
      </c>
      <c r="C340" s="5" t="inlineStr">
        <is>
          <t>NORDEX ENERGY SPAIN S A U</t>
        </is>
      </c>
      <c r="D340" s="5" t="inlineStr">
        <is>
          <t>RE</t>
        </is>
      </c>
      <c r="E340" s="5" t="n">
        <v>5008249</v>
      </c>
      <c r="F340" s="5" t="inlineStr">
        <is>
          <t>4026001267</t>
        </is>
      </c>
      <c r="G340" s="5" t="inlineStr">
        <is>
          <t>EUR</t>
        </is>
      </c>
      <c r="H340" s="9" t="n">
        <v>-40235.91</v>
      </c>
      <c r="I340" s="16" t="n">
        <v>46073</v>
      </c>
      <c r="J340" s="16" t="n">
        <v>46103</v>
      </c>
      <c r="K340" s="5" t="inlineStr">
        <is>
          <t>0098/26</t>
        </is>
      </c>
      <c r="L340" s="5" t="inlineStr">
        <is>
          <t>4026001267</t>
        </is>
      </c>
      <c r="M340" s="5">
        <f>IF(YEAR(I340)&lt;=2020,"Até 2020",TEXT(YEAR(I340),"0"))</f>
        <v/>
      </c>
      <c r="N340" s="5">
        <f>IFERROR(INDEX(DePara!$A:$A,MATCH(TEXT(B340,"0"),DePara!$D:$D,0)),"(sem categoria)")</f>
        <v/>
      </c>
      <c r="O340" s="5">
        <f>IF(J340="","",Parametros!$B$6-J340)</f>
        <v/>
      </c>
      <c r="P340" s="5">
        <f>IF(O340="","",IF(O340&gt;0,1,0))</f>
        <v/>
      </c>
    </row>
    <row r="341">
      <c r="A341" s="5" t="n">
        <v>2122100000</v>
      </c>
      <c r="B341" s="5" t="inlineStr">
        <is>
          <t>IC4420</t>
        </is>
      </c>
      <c r="C341" s="5" t="inlineStr">
        <is>
          <t>NORDEX ENERGY SPAIN S A U</t>
        </is>
      </c>
      <c r="D341" s="5" t="inlineStr">
        <is>
          <t>RE</t>
        </is>
      </c>
      <c r="E341" s="5" t="n">
        <v>5008336</v>
      </c>
      <c r="F341" s="5" t="inlineStr">
        <is>
          <t>4026002091</t>
        </is>
      </c>
      <c r="G341" s="5" t="inlineStr">
        <is>
          <t>EUR</t>
        </is>
      </c>
      <c r="H341" s="9" t="n">
        <v>-26357.75</v>
      </c>
      <c r="I341" s="16" t="n">
        <v>46107</v>
      </c>
      <c r="J341" s="16" t="n">
        <v>46137</v>
      </c>
      <c r="K341" s="5" t="inlineStr">
        <is>
          <t>0173/26</t>
        </is>
      </c>
      <c r="L341" s="5" t="inlineStr">
        <is>
          <t>4026002091</t>
        </is>
      </c>
      <c r="M341" s="5">
        <f>IF(YEAR(I341)&lt;=2020,"Até 2020",TEXT(YEAR(I341),"0"))</f>
        <v/>
      </c>
      <c r="N341" s="5">
        <f>IFERROR(INDEX(DePara!$A:$A,MATCH(TEXT(B341,"0"),DePara!$D:$D,0)),"(sem categoria)")</f>
        <v/>
      </c>
      <c r="O341" s="5">
        <f>IF(J341="","",Parametros!$B$6-J341)</f>
        <v/>
      </c>
      <c r="P341" s="5">
        <f>IF(O341="","",IF(O341&gt;0,1,0))</f>
        <v/>
      </c>
    </row>
    <row r="342">
      <c r="A342" s="5" t="n">
        <v>2122100000</v>
      </c>
      <c r="B342" s="5" t="inlineStr">
        <is>
          <t>IC4420</t>
        </is>
      </c>
      <c r="C342" s="5" t="inlineStr">
        <is>
          <t>NORDEX ENERGY SPAIN S A U</t>
        </is>
      </c>
      <c r="D342" s="5" t="inlineStr">
        <is>
          <t>RE</t>
        </is>
      </c>
      <c r="E342" s="5" t="n">
        <v>5008337</v>
      </c>
      <c r="F342" s="5" t="inlineStr">
        <is>
          <t>4026001210</t>
        </is>
      </c>
      <c r="G342" s="5" t="inlineStr">
        <is>
          <t>EUR</t>
        </is>
      </c>
      <c r="H342" s="9" t="n">
        <v>-1919.85</v>
      </c>
      <c r="I342" s="16" t="n">
        <v>46072</v>
      </c>
      <c r="J342" s="16" t="n">
        <v>46102</v>
      </c>
      <c r="K342" s="5" t="inlineStr">
        <is>
          <t>0154/26</t>
        </is>
      </c>
      <c r="L342" s="5" t="inlineStr">
        <is>
          <t>4026001210</t>
        </is>
      </c>
      <c r="M342" s="5">
        <f>IF(YEAR(I342)&lt;=2020,"Até 2020",TEXT(YEAR(I342),"0"))</f>
        <v/>
      </c>
      <c r="N342" s="5">
        <f>IFERROR(INDEX(DePara!$A:$A,MATCH(TEXT(B342,"0"),DePara!$D:$D,0)),"(sem categoria)")</f>
        <v/>
      </c>
      <c r="O342" s="5">
        <f>IF(J342="","",Parametros!$B$6-J342)</f>
        <v/>
      </c>
      <c r="P342" s="5">
        <f>IF(O342="","",IF(O342&gt;0,1,0))</f>
        <v/>
      </c>
    </row>
    <row r="343">
      <c r="A343" s="5" t="n">
        <v>2122100000</v>
      </c>
      <c r="B343" s="5" t="inlineStr">
        <is>
          <t>IC1000</t>
        </is>
      </c>
      <c r="C343" s="5" t="inlineStr">
        <is>
          <t>NORDEX ENERGY SE &amp; CO KG</t>
        </is>
      </c>
      <c r="D343" s="5" t="inlineStr">
        <is>
          <t>RE</t>
        </is>
      </c>
      <c r="E343" s="5" t="n">
        <v>5008338</v>
      </c>
      <c r="F343" s="5" t="inlineStr">
        <is>
          <t>391387</t>
        </is>
      </c>
      <c r="G343" s="5" t="inlineStr">
        <is>
          <t>EUR</t>
        </is>
      </c>
      <c r="H343" s="9" t="n">
        <v>-12375.55</v>
      </c>
      <c r="I343" s="16" t="n">
        <v>46112</v>
      </c>
      <c r="J343" s="16" t="n">
        <v>46142</v>
      </c>
      <c r="K343" s="5" t="inlineStr">
        <is>
          <t>0221/26</t>
        </is>
      </c>
      <c r="L343" s="5" t="inlineStr">
        <is>
          <t>391387</t>
        </is>
      </c>
      <c r="M343" s="5">
        <f>IF(YEAR(I343)&lt;=2020,"Até 2020",TEXT(YEAR(I343),"0"))</f>
        <v/>
      </c>
      <c r="N343" s="5">
        <f>IFERROR(INDEX(DePara!$A:$A,MATCH(TEXT(B343,"0"),DePara!$D:$D,0)),"(sem categoria)")</f>
        <v/>
      </c>
      <c r="O343" s="5">
        <f>IF(J343="","",Parametros!$B$6-J343)</f>
        <v/>
      </c>
      <c r="P343" s="5">
        <f>IF(O343="","",IF(O343&gt;0,1,0))</f>
        <v/>
      </c>
    </row>
    <row r="344">
      <c r="A344" s="5" t="n">
        <v>2122100000</v>
      </c>
      <c r="B344" s="5" t="inlineStr">
        <is>
          <t>IC1000</t>
        </is>
      </c>
      <c r="C344" s="5" t="inlineStr">
        <is>
          <t>NORDEX ENERGY SE &amp; CO KG</t>
        </is>
      </c>
      <c r="D344" s="5" t="inlineStr">
        <is>
          <t>RE</t>
        </is>
      </c>
      <c r="E344" s="5" t="n">
        <v>5008339</v>
      </c>
      <c r="F344" s="5" t="inlineStr">
        <is>
          <t>391195</t>
        </is>
      </c>
      <c r="G344" s="5" t="inlineStr">
        <is>
          <t>EUR</t>
        </is>
      </c>
      <c r="H344" s="9" t="n">
        <v>-51995.42</v>
      </c>
      <c r="I344" s="16" t="n">
        <v>46107</v>
      </c>
      <c r="J344" s="16" t="n">
        <v>46137</v>
      </c>
      <c r="K344" s="5" t="inlineStr">
        <is>
          <t>0241/26</t>
        </is>
      </c>
      <c r="L344" s="5" t="inlineStr">
        <is>
          <t>391195</t>
        </is>
      </c>
      <c r="M344" s="5">
        <f>IF(YEAR(I344)&lt;=2020,"Até 2020",TEXT(YEAR(I344),"0"))</f>
        <v/>
      </c>
      <c r="N344" s="5">
        <f>IFERROR(INDEX(DePara!$A:$A,MATCH(TEXT(B344,"0"),DePara!$D:$D,0)),"(sem categoria)")</f>
        <v/>
      </c>
      <c r="O344" s="5">
        <f>IF(J344="","",Parametros!$B$6-J344)</f>
        <v/>
      </c>
      <c r="P344" s="5">
        <f>IF(O344="","",IF(O344&gt;0,1,0))</f>
        <v/>
      </c>
    </row>
    <row r="345">
      <c r="A345" s="5" t="n">
        <v>2122100000</v>
      </c>
      <c r="B345" s="5" t="inlineStr">
        <is>
          <t>IC4420</t>
        </is>
      </c>
      <c r="C345" s="5" t="inlineStr">
        <is>
          <t>NORDEX ENERGY SPAIN S A U</t>
        </is>
      </c>
      <c r="D345" s="5" t="inlineStr">
        <is>
          <t>RE</t>
        </is>
      </c>
      <c r="E345" s="5" t="n">
        <v>5008340</v>
      </c>
      <c r="F345" s="5" t="inlineStr">
        <is>
          <t>4026001268</t>
        </is>
      </c>
      <c r="G345" s="5" t="inlineStr">
        <is>
          <t>EUR</t>
        </is>
      </c>
      <c r="H345" s="9" t="n">
        <v>-249153.13</v>
      </c>
      <c r="I345" s="16" t="n">
        <v>46073</v>
      </c>
      <c r="J345" s="16" t="n">
        <v>46103</v>
      </c>
      <c r="K345" s="5" t="inlineStr">
        <is>
          <t>0099/26</t>
        </is>
      </c>
      <c r="L345" s="5" t="inlineStr">
        <is>
          <t>4026001268</t>
        </is>
      </c>
      <c r="M345" s="5">
        <f>IF(YEAR(I345)&lt;=2020,"Até 2020",TEXT(YEAR(I345),"0"))</f>
        <v/>
      </c>
      <c r="N345" s="5">
        <f>IFERROR(INDEX(DePara!$A:$A,MATCH(TEXT(B345,"0"),DePara!$D:$D,0)),"(sem categoria)")</f>
        <v/>
      </c>
      <c r="O345" s="5">
        <f>IF(J345="","",Parametros!$B$6-J345)</f>
        <v/>
      </c>
      <c r="P345" s="5">
        <f>IF(O345="","",IF(O345&gt;0,1,0))</f>
        <v/>
      </c>
    </row>
    <row r="346">
      <c r="A346" s="5" t="n">
        <v>2122100000</v>
      </c>
      <c r="B346" s="5" t="inlineStr">
        <is>
          <t>IC4420</t>
        </is>
      </c>
      <c r="C346" s="5" t="inlineStr">
        <is>
          <t>NORDEX ENERGY SPAIN S A U</t>
        </is>
      </c>
      <c r="D346" s="5" t="inlineStr">
        <is>
          <t>RE</t>
        </is>
      </c>
      <c r="E346" s="5" t="n">
        <v>5008368</v>
      </c>
      <c r="F346" s="5" t="inlineStr">
        <is>
          <t>4026002370</t>
        </is>
      </c>
      <c r="G346" s="5" t="inlineStr">
        <is>
          <t>EUR</t>
        </is>
      </c>
      <c r="H346" s="9" t="n">
        <v>-262.62</v>
      </c>
      <c r="I346" s="16" t="n">
        <v>46119</v>
      </c>
      <c r="J346" s="16" t="n">
        <v>46149</v>
      </c>
      <c r="K346" s="5" t="inlineStr">
        <is>
          <t>0184/26</t>
        </is>
      </c>
      <c r="L346" s="5" t="inlineStr">
        <is>
          <t>4026002370</t>
        </is>
      </c>
      <c r="M346" s="5">
        <f>IF(YEAR(I346)&lt;=2020,"Até 2020",TEXT(YEAR(I346),"0"))</f>
        <v/>
      </c>
      <c r="N346" s="5">
        <f>IFERROR(INDEX(DePara!$A:$A,MATCH(TEXT(B346,"0"),DePara!$D:$D,0)),"(sem categoria)")</f>
        <v/>
      </c>
      <c r="O346" s="5">
        <f>IF(J346="","",Parametros!$B$6-J346)</f>
        <v/>
      </c>
      <c r="P346" s="5">
        <f>IF(O346="","",IF(O346&gt;0,1,0))</f>
        <v/>
      </c>
    </row>
    <row r="347">
      <c r="A347" s="5" t="n">
        <v>2122100000</v>
      </c>
      <c r="B347" s="5" t="inlineStr">
        <is>
          <t>IC1000</t>
        </is>
      </c>
      <c r="C347" s="5" t="inlineStr">
        <is>
          <t>NORDEX ENERGY SE &amp; CO KG</t>
        </is>
      </c>
      <c r="D347" s="5" t="inlineStr">
        <is>
          <t>RE</t>
        </is>
      </c>
      <c r="E347" s="5" t="n">
        <v>5008390</v>
      </c>
      <c r="F347" s="5" t="inlineStr">
        <is>
          <t>389837</t>
        </is>
      </c>
      <c r="G347" s="5" t="inlineStr">
        <is>
          <t>EUR</t>
        </is>
      </c>
      <c r="H347" s="9" t="n">
        <v>-101595.13</v>
      </c>
      <c r="I347" s="16" t="n">
        <v>46099</v>
      </c>
      <c r="J347" s="16" t="n">
        <v>46129</v>
      </c>
      <c r="K347" s="5" t="inlineStr">
        <is>
          <t>0240/26</t>
        </is>
      </c>
      <c r="L347" s="5" t="inlineStr">
        <is>
          <t>389837</t>
        </is>
      </c>
      <c r="M347" s="5">
        <f>IF(YEAR(I347)&lt;=2020,"Até 2020",TEXT(YEAR(I347),"0"))</f>
        <v/>
      </c>
      <c r="N347" s="5">
        <f>IFERROR(INDEX(DePara!$A:$A,MATCH(TEXT(B347,"0"),DePara!$D:$D,0)),"(sem categoria)")</f>
        <v/>
      </c>
      <c r="O347" s="5">
        <f>IF(J347="","",Parametros!$B$6-J347)</f>
        <v/>
      </c>
      <c r="P347" s="5">
        <f>IF(O347="","",IF(O347&gt;0,1,0))</f>
        <v/>
      </c>
    </row>
    <row r="348">
      <c r="A348" s="5" t="n">
        <v>2122100000</v>
      </c>
      <c r="B348" s="5" t="inlineStr">
        <is>
          <t>IC4420</t>
        </is>
      </c>
      <c r="C348" s="5" t="inlineStr">
        <is>
          <t>NORDEX ENERGY SPAIN S A U</t>
        </is>
      </c>
      <c r="D348" s="5" t="inlineStr">
        <is>
          <t>RE</t>
        </is>
      </c>
      <c r="E348" s="5" t="n">
        <v>5008426</v>
      </c>
      <c r="F348" s="5" t="inlineStr">
        <is>
          <t>4025009666</t>
        </is>
      </c>
      <c r="G348" s="5" t="inlineStr">
        <is>
          <t>EUR</t>
        </is>
      </c>
      <c r="H348" s="9" t="n">
        <v>-11363.08</v>
      </c>
      <c r="I348" s="16" t="n">
        <v>46003</v>
      </c>
      <c r="J348" s="16" t="n">
        <v>46033</v>
      </c>
      <c r="K348" s="5" t="inlineStr">
        <is>
          <t>0940/25</t>
        </is>
      </c>
      <c r="L348" s="5" t="inlineStr">
        <is>
          <t>4025009666</t>
        </is>
      </c>
      <c r="M348" s="5">
        <f>IF(YEAR(I348)&lt;=2020,"Até 2020",TEXT(YEAR(I348),"0"))</f>
        <v/>
      </c>
      <c r="N348" s="5">
        <f>IFERROR(INDEX(DePara!$A:$A,MATCH(TEXT(B348,"0"),DePara!$D:$D,0)),"(sem categoria)")</f>
        <v/>
      </c>
      <c r="O348" s="5">
        <f>IF(J348="","",Parametros!$B$6-J348)</f>
        <v/>
      </c>
      <c r="P348" s="5">
        <f>IF(O348="","",IF(O348&gt;0,1,0))</f>
        <v/>
      </c>
    </row>
    <row r="349">
      <c r="A349" s="5" t="n">
        <v>2122100000</v>
      </c>
      <c r="B349" s="5" t="inlineStr">
        <is>
          <t>IC4420</t>
        </is>
      </c>
      <c r="C349" s="5" t="inlineStr">
        <is>
          <t>NORDEX ENERGY SPAIN S A U</t>
        </is>
      </c>
      <c r="D349" s="5" t="inlineStr">
        <is>
          <t>RE</t>
        </is>
      </c>
      <c r="E349" s="5" t="n">
        <v>5008427</v>
      </c>
      <c r="F349" s="5" t="inlineStr">
        <is>
          <t>4026002179</t>
        </is>
      </c>
      <c r="G349" s="5" t="inlineStr">
        <is>
          <t>EUR</t>
        </is>
      </c>
      <c r="H349" s="9" t="n">
        <v>-8.039999999999999</v>
      </c>
      <c r="I349" s="16" t="n">
        <v>46111</v>
      </c>
      <c r="J349" s="16" t="n">
        <v>46141</v>
      </c>
      <c r="K349" s="5" t="inlineStr">
        <is>
          <t>0202/26</t>
        </is>
      </c>
      <c r="L349" s="5" t="inlineStr">
        <is>
          <t>4026002179</t>
        </is>
      </c>
      <c r="M349" s="5">
        <f>IF(YEAR(I349)&lt;=2020,"Até 2020",TEXT(YEAR(I349),"0"))</f>
        <v/>
      </c>
      <c r="N349" s="5">
        <f>IFERROR(INDEX(DePara!$A:$A,MATCH(TEXT(B349,"0"),DePara!$D:$D,0)),"(sem categoria)")</f>
        <v/>
      </c>
      <c r="O349" s="5">
        <f>IF(J349="","",Parametros!$B$6-J349)</f>
        <v/>
      </c>
      <c r="P349" s="5">
        <f>IF(O349="","",IF(O349&gt;0,1,0))</f>
        <v/>
      </c>
    </row>
    <row r="350">
      <c r="A350" s="5" t="n">
        <v>2122100000</v>
      </c>
      <c r="B350" s="5" t="inlineStr">
        <is>
          <t>IC4420</t>
        </is>
      </c>
      <c r="C350" s="5" t="inlineStr">
        <is>
          <t>NORDEX ENERGY SPAIN S A U</t>
        </is>
      </c>
      <c r="D350" s="5" t="inlineStr">
        <is>
          <t>RE</t>
        </is>
      </c>
      <c r="E350" s="5" t="n">
        <v>5008428</v>
      </c>
      <c r="F350" s="5" t="inlineStr">
        <is>
          <t>4026001642</t>
        </is>
      </c>
      <c r="G350" s="5" t="inlineStr">
        <is>
          <t>EUR</t>
        </is>
      </c>
      <c r="H350" s="9" t="n">
        <v>-1933.97</v>
      </c>
      <c r="I350" s="16" t="n">
        <v>46087</v>
      </c>
      <c r="J350" s="16" t="n">
        <v>46117</v>
      </c>
      <c r="K350" s="5" t="inlineStr">
        <is>
          <t>0128/26</t>
        </is>
      </c>
      <c r="L350" s="5" t="inlineStr">
        <is>
          <t>4026001642</t>
        </is>
      </c>
      <c r="M350" s="5">
        <f>IF(YEAR(I350)&lt;=2020,"Até 2020",TEXT(YEAR(I350),"0"))</f>
        <v/>
      </c>
      <c r="N350" s="5">
        <f>IFERROR(INDEX(DePara!$A:$A,MATCH(TEXT(B350,"0"),DePara!$D:$D,0)),"(sem categoria)")</f>
        <v/>
      </c>
      <c r="O350" s="5">
        <f>IF(J350="","",Parametros!$B$6-J350)</f>
        <v/>
      </c>
      <c r="P350" s="5">
        <f>IF(O350="","",IF(O350&gt;0,1,0))</f>
        <v/>
      </c>
    </row>
    <row r="351">
      <c r="A351" s="5" t="n">
        <v>2122100000</v>
      </c>
      <c r="B351" s="5" t="inlineStr">
        <is>
          <t>IC4420</t>
        </is>
      </c>
      <c r="C351" s="5" t="inlineStr">
        <is>
          <t>NORDEX ENERGY SPAIN S A U</t>
        </is>
      </c>
      <c r="D351" s="5" t="inlineStr">
        <is>
          <t>RE</t>
        </is>
      </c>
      <c r="E351" s="5" t="n">
        <v>5008429</v>
      </c>
      <c r="F351" s="5" t="inlineStr">
        <is>
          <t>4026002178</t>
        </is>
      </c>
      <c r="G351" s="5" t="inlineStr">
        <is>
          <t>EUR</t>
        </is>
      </c>
      <c r="H351" s="9" t="n">
        <v>-19.78</v>
      </c>
      <c r="I351" s="16" t="n">
        <v>46111</v>
      </c>
      <c r="J351" s="16" t="n">
        <v>46141</v>
      </c>
      <c r="K351" s="5" t="inlineStr">
        <is>
          <t>0202/26</t>
        </is>
      </c>
      <c r="L351" s="5" t="inlineStr">
        <is>
          <t>4026002178</t>
        </is>
      </c>
      <c r="M351" s="5">
        <f>IF(YEAR(I351)&lt;=2020,"Até 2020",TEXT(YEAR(I351),"0"))</f>
        <v/>
      </c>
      <c r="N351" s="5">
        <f>IFERROR(INDEX(DePara!$A:$A,MATCH(TEXT(B351,"0"),DePara!$D:$D,0)),"(sem categoria)")</f>
        <v/>
      </c>
      <c r="O351" s="5">
        <f>IF(J351="","",Parametros!$B$6-J351)</f>
        <v/>
      </c>
      <c r="P351" s="5">
        <f>IF(O351="","",IF(O351&gt;0,1,0))</f>
        <v/>
      </c>
    </row>
    <row r="352">
      <c r="A352" s="5" t="n">
        <v>2122100000</v>
      </c>
      <c r="B352" s="5" t="inlineStr">
        <is>
          <t>IC4420</t>
        </is>
      </c>
      <c r="C352" s="5" t="inlineStr">
        <is>
          <t>NORDEX ENERGY SPAIN S A U</t>
        </is>
      </c>
      <c r="D352" s="5" t="inlineStr">
        <is>
          <t>RE</t>
        </is>
      </c>
      <c r="E352" s="5" t="n">
        <v>5008430</v>
      </c>
      <c r="F352" s="5" t="inlineStr">
        <is>
          <t>4026002530</t>
        </is>
      </c>
      <c r="G352" s="5" t="inlineStr">
        <is>
          <t>EUR</t>
        </is>
      </c>
      <c r="H352" s="9" t="n">
        <v>-1533.98</v>
      </c>
      <c r="I352" s="16" t="n">
        <v>46126</v>
      </c>
      <c r="J352" s="16" t="n">
        <v>46156</v>
      </c>
      <c r="K352" s="5" t="inlineStr">
        <is>
          <t>0211/26</t>
        </is>
      </c>
      <c r="L352" s="5" t="inlineStr">
        <is>
          <t>4026002530</t>
        </is>
      </c>
      <c r="M352" s="5">
        <f>IF(YEAR(I352)&lt;=2020,"Até 2020",TEXT(YEAR(I352),"0"))</f>
        <v/>
      </c>
      <c r="N352" s="5">
        <f>IFERROR(INDEX(DePara!$A:$A,MATCH(TEXT(B352,"0"),DePara!$D:$D,0)),"(sem categoria)")</f>
        <v/>
      </c>
      <c r="O352" s="5">
        <f>IF(J352="","",Parametros!$B$6-J352)</f>
        <v/>
      </c>
      <c r="P352" s="5">
        <f>IF(O352="","",IF(O352&gt;0,1,0))</f>
        <v/>
      </c>
    </row>
    <row r="353">
      <c r="A353" s="5" t="n">
        <v>2122100000</v>
      </c>
      <c r="B353" s="5" t="inlineStr">
        <is>
          <t>IC4420</t>
        </is>
      </c>
      <c r="C353" s="5" t="inlineStr">
        <is>
          <t>NORDEX ENERGY SPAIN S A U</t>
        </is>
      </c>
      <c r="D353" s="5" t="inlineStr">
        <is>
          <t>RE</t>
        </is>
      </c>
      <c r="E353" s="5" t="n">
        <v>5008431</v>
      </c>
      <c r="F353" s="5" t="inlineStr">
        <is>
          <t>4026002097</t>
        </is>
      </c>
      <c r="G353" s="5" t="inlineStr">
        <is>
          <t>EUR</t>
        </is>
      </c>
      <c r="H353" s="9" t="n">
        <v>-7051.59</v>
      </c>
      <c r="I353" s="16" t="n">
        <v>46107</v>
      </c>
      <c r="J353" s="16" t="n">
        <v>46137</v>
      </c>
      <c r="K353" s="5" t="inlineStr">
        <is>
          <t>0178/26</t>
        </is>
      </c>
      <c r="L353" s="5" t="inlineStr">
        <is>
          <t>4026002097</t>
        </is>
      </c>
      <c r="M353" s="5">
        <f>IF(YEAR(I353)&lt;=2020,"Até 2020",TEXT(YEAR(I353),"0"))</f>
        <v/>
      </c>
      <c r="N353" s="5">
        <f>IFERROR(INDEX(DePara!$A:$A,MATCH(TEXT(B353,"0"),DePara!$D:$D,0)),"(sem categoria)")</f>
        <v/>
      </c>
      <c r="O353" s="5">
        <f>IF(J353="","",Parametros!$B$6-J353)</f>
        <v/>
      </c>
      <c r="P353" s="5">
        <f>IF(O353="","",IF(O353&gt;0,1,0))</f>
        <v/>
      </c>
    </row>
    <row r="354">
      <c r="A354" s="5" t="n">
        <v>2122100000</v>
      </c>
      <c r="B354" s="5" t="inlineStr">
        <is>
          <t>IC4420</t>
        </is>
      </c>
      <c r="C354" s="5" t="inlineStr">
        <is>
          <t>NORDEX ENERGY SPAIN S A U</t>
        </is>
      </c>
      <c r="D354" s="5" t="inlineStr">
        <is>
          <t>RE</t>
        </is>
      </c>
      <c r="E354" s="5" t="n">
        <v>5008432</v>
      </c>
      <c r="F354" s="5" t="inlineStr">
        <is>
          <t>4026002527</t>
        </is>
      </c>
      <c r="G354" s="5" t="inlineStr">
        <is>
          <t>EUR</t>
        </is>
      </c>
      <c r="H354" s="9" t="n">
        <v>-1329.43</v>
      </c>
      <c r="I354" s="16" t="n">
        <v>46126</v>
      </c>
      <c r="J354" s="16" t="n">
        <v>46156</v>
      </c>
      <c r="K354" s="5" t="inlineStr">
        <is>
          <t>0209/26</t>
        </is>
      </c>
      <c r="L354" s="5" t="inlineStr">
        <is>
          <t>4026002527</t>
        </is>
      </c>
      <c r="M354" s="5">
        <f>IF(YEAR(I354)&lt;=2020,"Até 2020",TEXT(YEAR(I354),"0"))</f>
        <v/>
      </c>
      <c r="N354" s="5">
        <f>IFERROR(INDEX(DePara!$A:$A,MATCH(TEXT(B354,"0"),DePara!$D:$D,0)),"(sem categoria)")</f>
        <v/>
      </c>
      <c r="O354" s="5">
        <f>IF(J354="","",Parametros!$B$6-J354)</f>
        <v/>
      </c>
      <c r="P354" s="5">
        <f>IF(O354="","",IF(O354&gt;0,1,0))</f>
        <v/>
      </c>
    </row>
    <row r="355">
      <c r="A355" s="5" t="n">
        <v>2122100000</v>
      </c>
      <c r="B355" s="5" t="inlineStr">
        <is>
          <t>IC4420</t>
        </is>
      </c>
      <c r="C355" s="5" t="inlineStr">
        <is>
          <t>NORDEX ENERGY SPAIN S A U</t>
        </is>
      </c>
      <c r="D355" s="5" t="inlineStr">
        <is>
          <t>RE</t>
        </is>
      </c>
      <c r="E355" s="5" t="n">
        <v>5008433</v>
      </c>
      <c r="F355" s="5" t="inlineStr">
        <is>
          <t>4026002180</t>
        </is>
      </c>
      <c r="G355" s="5" t="inlineStr">
        <is>
          <t>EUR</t>
        </is>
      </c>
      <c r="H355" s="9" t="n">
        <v>-74261.8</v>
      </c>
      <c r="I355" s="16" t="n">
        <v>46111</v>
      </c>
      <c r="J355" s="16" t="n">
        <v>46141</v>
      </c>
      <c r="K355" s="5" t="inlineStr">
        <is>
          <t>0203/26</t>
        </is>
      </c>
      <c r="L355" s="5" t="inlineStr">
        <is>
          <t>4026002180</t>
        </is>
      </c>
      <c r="M355" s="5">
        <f>IF(YEAR(I355)&lt;=2020,"Até 2020",TEXT(YEAR(I355),"0"))</f>
        <v/>
      </c>
      <c r="N355" s="5">
        <f>IFERROR(INDEX(DePara!$A:$A,MATCH(TEXT(B355,"0"),DePara!$D:$D,0)),"(sem categoria)")</f>
        <v/>
      </c>
      <c r="O355" s="5">
        <f>IF(J355="","",Parametros!$B$6-J355)</f>
        <v/>
      </c>
      <c r="P355" s="5">
        <f>IF(O355="","",IF(O355&gt;0,1,0))</f>
        <v/>
      </c>
    </row>
    <row r="356">
      <c r="A356" s="5" t="n">
        <v>2122100000</v>
      </c>
      <c r="B356" s="5" t="inlineStr">
        <is>
          <t>IC4420</t>
        </is>
      </c>
      <c r="C356" s="5" t="inlineStr">
        <is>
          <t>NORDEX ENERGY SPAIN S A U</t>
        </is>
      </c>
      <c r="D356" s="5" t="inlineStr">
        <is>
          <t>RE</t>
        </is>
      </c>
      <c r="E356" s="5" t="n">
        <v>5008434</v>
      </c>
      <c r="F356" s="5" t="inlineStr">
        <is>
          <t>4026002492</t>
        </is>
      </c>
      <c r="G356" s="5" t="inlineStr">
        <is>
          <t>EUR</t>
        </is>
      </c>
      <c r="H356" s="9" t="n">
        <v>-8462.120000000001</v>
      </c>
      <c r="I356" s="16" t="n">
        <v>46125</v>
      </c>
      <c r="J356" s="16" t="n">
        <v>46155</v>
      </c>
      <c r="K356" s="5" t="inlineStr">
        <is>
          <t>0205/26</t>
        </is>
      </c>
      <c r="L356" s="5" t="inlineStr">
        <is>
          <t>4026002492</t>
        </is>
      </c>
      <c r="M356" s="5">
        <f>IF(YEAR(I356)&lt;=2020,"Até 2020",TEXT(YEAR(I356),"0"))</f>
        <v/>
      </c>
      <c r="N356" s="5">
        <f>IFERROR(INDEX(DePara!$A:$A,MATCH(TEXT(B356,"0"),DePara!$D:$D,0)),"(sem categoria)")</f>
        <v/>
      </c>
      <c r="O356" s="5">
        <f>IF(J356="","",Parametros!$B$6-J356)</f>
        <v/>
      </c>
      <c r="P356" s="5">
        <f>IF(O356="","",IF(O356&gt;0,1,0))</f>
        <v/>
      </c>
    </row>
    <row r="357">
      <c r="A357" s="5" t="n">
        <v>2122100000</v>
      </c>
      <c r="B357" s="5" t="inlineStr">
        <is>
          <t>IC4420</t>
        </is>
      </c>
      <c r="C357" s="5" t="inlineStr">
        <is>
          <t>NORDEX ENERGY SPAIN S A U</t>
        </is>
      </c>
      <c r="D357" s="5" t="inlineStr">
        <is>
          <t>RE</t>
        </is>
      </c>
      <c r="E357" s="5" t="n">
        <v>5008435</v>
      </c>
      <c r="F357" s="5" t="inlineStr">
        <is>
          <t>4026002525</t>
        </is>
      </c>
      <c r="G357" s="5" t="inlineStr">
        <is>
          <t>EUR</t>
        </is>
      </c>
      <c r="H357" s="9" t="n">
        <v>-21236.06</v>
      </c>
      <c r="I357" s="16" t="n">
        <v>46126</v>
      </c>
      <c r="J357" s="16" t="n">
        <v>46156</v>
      </c>
      <c r="K357" s="5" t="inlineStr">
        <is>
          <t>0209/26</t>
        </is>
      </c>
      <c r="L357" s="5" t="inlineStr">
        <is>
          <t>4026002525</t>
        </is>
      </c>
      <c r="M357" s="5">
        <f>IF(YEAR(I357)&lt;=2020,"Até 2020",TEXT(YEAR(I357),"0"))</f>
        <v/>
      </c>
      <c r="N357" s="5">
        <f>IFERROR(INDEX(DePara!$A:$A,MATCH(TEXT(B357,"0"),DePara!$D:$D,0)),"(sem categoria)")</f>
        <v/>
      </c>
      <c r="O357" s="5">
        <f>IF(J357="","",Parametros!$B$6-J357)</f>
        <v/>
      </c>
      <c r="P357" s="5">
        <f>IF(O357="","",IF(O357&gt;0,1,0))</f>
        <v/>
      </c>
    </row>
    <row r="358">
      <c r="A358" s="5" t="n">
        <v>2122100000</v>
      </c>
      <c r="B358" s="5" t="inlineStr">
        <is>
          <t>IC1000</t>
        </is>
      </c>
      <c r="C358" s="5" t="inlineStr">
        <is>
          <t>NORDEX ENERGY SE &amp; CO KG</t>
        </is>
      </c>
      <c r="D358" s="5" t="inlineStr">
        <is>
          <t>RE</t>
        </is>
      </c>
      <c r="E358" s="5" t="n">
        <v>5008522</v>
      </c>
      <c r="F358" s="5" t="inlineStr">
        <is>
          <t>392758</t>
        </is>
      </c>
      <c r="G358" s="5" t="inlineStr">
        <is>
          <t>EUR</t>
        </is>
      </c>
      <c r="H358" s="9" t="n">
        <v>-2362.27</v>
      </c>
      <c r="I358" s="16" t="n">
        <v>46126</v>
      </c>
      <c r="J358" s="16" t="n">
        <v>46156</v>
      </c>
      <c r="K358" s="5" t="inlineStr">
        <is>
          <t>0218/26</t>
        </is>
      </c>
      <c r="L358" s="5" t="inlineStr">
        <is>
          <t>392758</t>
        </is>
      </c>
      <c r="M358" s="5">
        <f>IF(YEAR(I358)&lt;=2020,"Até 2020",TEXT(YEAR(I358),"0"))</f>
        <v/>
      </c>
      <c r="N358" s="5">
        <f>IFERROR(INDEX(DePara!$A:$A,MATCH(TEXT(B358,"0"),DePara!$D:$D,0)),"(sem categoria)")</f>
        <v/>
      </c>
      <c r="O358" s="5">
        <f>IF(J358="","",Parametros!$B$6-J358)</f>
        <v/>
      </c>
      <c r="P358" s="5">
        <f>IF(O358="","",IF(O358&gt;0,1,0))</f>
        <v/>
      </c>
    </row>
    <row r="359">
      <c r="A359" s="5" t="n">
        <v>2122100000</v>
      </c>
      <c r="B359" s="5" t="inlineStr">
        <is>
          <t>IC4420</t>
        </is>
      </c>
      <c r="C359" s="5" t="inlineStr">
        <is>
          <t>NORDEX ENERGY SPAIN S A U</t>
        </is>
      </c>
      <c r="D359" s="5" t="inlineStr">
        <is>
          <t>RE</t>
        </is>
      </c>
      <c r="E359" s="5" t="n">
        <v>5008523</v>
      </c>
      <c r="F359" s="5" t="inlineStr">
        <is>
          <t>4026001655</t>
        </is>
      </c>
      <c r="G359" s="5" t="inlineStr">
        <is>
          <t>EUR</t>
        </is>
      </c>
      <c r="H359" s="9" t="n">
        <v>-63070.21</v>
      </c>
      <c r="I359" s="16" t="n">
        <v>46087</v>
      </c>
      <c r="J359" s="16" t="n">
        <v>46117</v>
      </c>
      <c r="K359" s="5" t="inlineStr">
        <is>
          <t>0125/26</t>
        </is>
      </c>
      <c r="L359" s="5" t="inlineStr">
        <is>
          <t>4026001655</t>
        </is>
      </c>
      <c r="M359" s="5">
        <f>IF(YEAR(I359)&lt;=2020,"Até 2020",TEXT(YEAR(I359),"0"))</f>
        <v/>
      </c>
      <c r="N359" s="5">
        <f>IFERROR(INDEX(DePara!$A:$A,MATCH(TEXT(B359,"0"),DePara!$D:$D,0)),"(sem categoria)")</f>
        <v/>
      </c>
      <c r="O359" s="5">
        <f>IF(J359="","",Parametros!$B$6-J359)</f>
        <v/>
      </c>
      <c r="P359" s="5">
        <f>IF(O359="","",IF(O359&gt;0,1,0))</f>
        <v/>
      </c>
    </row>
    <row r="360">
      <c r="A360" s="5" t="n">
        <v>2122100000</v>
      </c>
      <c r="B360" s="5" t="inlineStr">
        <is>
          <t>IC4420</t>
        </is>
      </c>
      <c r="C360" s="5" t="inlineStr">
        <is>
          <t>NORDEX ENERGY SPAIN S A U</t>
        </is>
      </c>
      <c r="D360" s="5" t="inlineStr">
        <is>
          <t>RE</t>
        </is>
      </c>
      <c r="E360" s="5" t="n">
        <v>5008524</v>
      </c>
      <c r="F360" s="5" t="inlineStr">
        <is>
          <t>4026002986</t>
        </is>
      </c>
      <c r="G360" s="5" t="inlineStr">
        <is>
          <t>EUR</t>
        </is>
      </c>
      <c r="H360" s="9" t="n">
        <v>-1935.99</v>
      </c>
      <c r="I360" s="16" t="n">
        <v>46142</v>
      </c>
      <c r="J360" s="16" t="n">
        <v>46172</v>
      </c>
      <c r="K360" s="5" t="inlineStr">
        <is>
          <t>0265/26</t>
        </is>
      </c>
      <c r="L360" s="5" t="inlineStr">
        <is>
          <t>4026002986</t>
        </is>
      </c>
      <c r="M360" s="5">
        <f>IF(YEAR(I360)&lt;=2020,"Até 2020",TEXT(YEAR(I360),"0"))</f>
        <v/>
      </c>
      <c r="N360" s="5">
        <f>IFERROR(INDEX(DePara!$A:$A,MATCH(TEXT(B360,"0"),DePara!$D:$D,0)),"(sem categoria)")</f>
        <v/>
      </c>
      <c r="O360" s="5">
        <f>IF(J360="","",Parametros!$B$6-J360)</f>
        <v/>
      </c>
      <c r="P360" s="5">
        <f>IF(O360="","",IF(O360&gt;0,1,0))</f>
        <v/>
      </c>
    </row>
    <row r="361">
      <c r="A361" s="5" t="n">
        <v>2122100000</v>
      </c>
      <c r="B361" s="5" t="inlineStr">
        <is>
          <t>IC4420</t>
        </is>
      </c>
      <c r="C361" s="5" t="inlineStr">
        <is>
          <t>NORDEX ENERGY SPAIN S A U</t>
        </is>
      </c>
      <c r="D361" s="5" t="inlineStr">
        <is>
          <t>RE</t>
        </is>
      </c>
      <c r="E361" s="5" t="n">
        <v>5008525</v>
      </c>
      <c r="F361" s="5" t="inlineStr">
        <is>
          <t>4026002053</t>
        </is>
      </c>
      <c r="G361" s="5" t="inlineStr">
        <is>
          <t>EUR</t>
        </is>
      </c>
      <c r="H361" s="9" t="n">
        <v>-145.23</v>
      </c>
      <c r="I361" s="16" t="n">
        <v>46106</v>
      </c>
      <c r="J361" s="16" t="n">
        <v>46136</v>
      </c>
      <c r="K361" s="5" t="inlineStr">
        <is>
          <t>0180/26</t>
        </is>
      </c>
      <c r="L361" s="5" t="inlineStr">
        <is>
          <t>4026002053</t>
        </is>
      </c>
      <c r="M361" s="5">
        <f>IF(YEAR(I361)&lt;=2020,"Até 2020",TEXT(YEAR(I361),"0"))</f>
        <v/>
      </c>
      <c r="N361" s="5">
        <f>IFERROR(INDEX(DePara!$A:$A,MATCH(TEXT(B361,"0"),DePara!$D:$D,0)),"(sem categoria)")</f>
        <v/>
      </c>
      <c r="O361" s="5">
        <f>IF(J361="","",Parametros!$B$6-J361)</f>
        <v/>
      </c>
      <c r="P361" s="5">
        <f>IF(O361="","",IF(O361&gt;0,1,0))</f>
        <v/>
      </c>
    </row>
    <row r="362">
      <c r="A362" s="5" t="n">
        <v>2122100000</v>
      </c>
      <c r="B362" s="5" t="inlineStr">
        <is>
          <t>IC4420</t>
        </is>
      </c>
      <c r="C362" s="5" t="inlineStr">
        <is>
          <t>NORDEX ENERGY SPAIN S A U</t>
        </is>
      </c>
      <c r="D362" s="5" t="inlineStr">
        <is>
          <t>RE</t>
        </is>
      </c>
      <c r="E362" s="5" t="n">
        <v>5008528</v>
      </c>
      <c r="F362" s="5" t="inlineStr">
        <is>
          <t>4026002493</t>
        </is>
      </c>
      <c r="G362" s="5" t="inlineStr">
        <is>
          <t>EUR</t>
        </is>
      </c>
      <c r="H362" s="9" t="n">
        <v>-3939.27</v>
      </c>
      <c r="I362" s="16" t="n">
        <v>46125</v>
      </c>
      <c r="J362" s="16" t="n">
        <v>46155</v>
      </c>
      <c r="K362" s="5" t="inlineStr">
        <is>
          <t>0198/26</t>
        </is>
      </c>
      <c r="L362" s="5" t="inlineStr">
        <is>
          <t>4026002493</t>
        </is>
      </c>
      <c r="M362" s="5">
        <f>IF(YEAR(I362)&lt;=2020,"Até 2020",TEXT(YEAR(I362),"0"))</f>
        <v/>
      </c>
      <c r="N362" s="5">
        <f>IFERROR(INDEX(DePara!$A:$A,MATCH(TEXT(B362,"0"),DePara!$D:$D,0)),"(sem categoria)")</f>
        <v/>
      </c>
      <c r="O362" s="5">
        <f>IF(J362="","",Parametros!$B$6-J362)</f>
        <v/>
      </c>
      <c r="P362" s="5">
        <f>IF(O362="","",IF(O362&gt;0,1,0))</f>
        <v/>
      </c>
    </row>
    <row r="363">
      <c r="A363" s="5" t="n">
        <v>2122100000</v>
      </c>
      <c r="B363" s="5" t="inlineStr">
        <is>
          <t>IC4420</t>
        </is>
      </c>
      <c r="C363" s="5" t="inlineStr">
        <is>
          <t>NORDEX ENERGY SPAIN S A U</t>
        </is>
      </c>
      <c r="D363" s="5" t="inlineStr">
        <is>
          <t>RE</t>
        </is>
      </c>
      <c r="E363" s="5" t="n">
        <v>5008529</v>
      </c>
      <c r="F363" s="5" t="inlineStr">
        <is>
          <t>4026002372</t>
        </is>
      </c>
      <c r="G363" s="5" t="inlineStr">
        <is>
          <t>EUR</t>
        </is>
      </c>
      <c r="H363" s="9" t="n">
        <v>-183420.66</v>
      </c>
      <c r="I363" s="16" t="n">
        <v>46119</v>
      </c>
      <c r="J363" s="16" t="n">
        <v>46149</v>
      </c>
      <c r="K363" s="5" t="inlineStr">
        <is>
          <t>0186/26</t>
        </is>
      </c>
      <c r="L363" s="5" t="inlineStr">
        <is>
          <t>4026002372</t>
        </is>
      </c>
      <c r="M363" s="5">
        <f>IF(YEAR(I363)&lt;=2020,"Até 2020",TEXT(YEAR(I363),"0"))</f>
        <v/>
      </c>
      <c r="N363" s="5">
        <f>IFERROR(INDEX(DePara!$A:$A,MATCH(TEXT(B363,"0"),DePara!$D:$D,0)),"(sem categoria)")</f>
        <v/>
      </c>
      <c r="O363" s="5">
        <f>IF(J363="","",Parametros!$B$6-J363)</f>
        <v/>
      </c>
      <c r="P363" s="5">
        <f>IF(O363="","",IF(O363&gt;0,1,0))</f>
        <v/>
      </c>
    </row>
    <row r="364">
      <c r="A364" s="5" t="n">
        <v>2122100000</v>
      </c>
      <c r="B364" s="5" t="inlineStr">
        <is>
          <t>IC5000</t>
        </is>
      </c>
      <c r="C364" s="5" t="inlineStr">
        <is>
          <t>NORDEX SE</t>
        </is>
      </c>
      <c r="D364" s="5" t="inlineStr">
        <is>
          <t>KR</t>
        </is>
      </c>
      <c r="E364" s="5" t="n">
        <v>5008535</v>
      </c>
      <c r="F364" s="5" t="inlineStr">
        <is>
          <t>609178</t>
        </is>
      </c>
      <c r="G364" s="5" t="inlineStr">
        <is>
          <t>EUR</t>
        </is>
      </c>
      <c r="H364" s="9" t="n">
        <v>-749687.1899999999</v>
      </c>
      <c r="I364" s="16" t="n">
        <v>45705</v>
      </c>
      <c r="J364" s="16" t="n">
        <v>45705</v>
      </c>
      <c r="K364" s="5" t="inlineStr">
        <is>
          <t>Fatura do fornecedor NORDEX SE 609178</t>
        </is>
      </c>
      <c r="L364" s="5" t="n"/>
      <c r="M364" s="5">
        <f>IF(YEAR(I364)&lt;=2020,"Até 2020",TEXT(YEAR(I364),"0"))</f>
        <v/>
      </c>
      <c r="N364" s="5">
        <f>IFERROR(INDEX(DePara!$A:$A,MATCH(TEXT(B364,"0"),DePara!$D:$D,0)),"(sem categoria)")</f>
        <v/>
      </c>
      <c r="O364" s="5">
        <f>IF(J364="","",Parametros!$B$6-J364)</f>
        <v/>
      </c>
      <c r="P364" s="5">
        <f>IF(O364="","",IF(O364&gt;0,1,0))</f>
        <v/>
      </c>
    </row>
    <row r="365">
      <c r="A365" s="5" t="n">
        <v>2122100000</v>
      </c>
      <c r="B365" s="5" t="inlineStr">
        <is>
          <t>IC4420</t>
        </is>
      </c>
      <c r="C365" s="5" t="inlineStr">
        <is>
          <t>NORDEX ENERGY SPAIN S A U</t>
        </is>
      </c>
      <c r="D365" s="5" t="inlineStr">
        <is>
          <t>RE</t>
        </is>
      </c>
      <c r="E365" s="5" t="n">
        <v>5008557</v>
      </c>
      <c r="F365" s="5" t="inlineStr">
        <is>
          <t>4026001261</t>
        </is>
      </c>
      <c r="G365" s="5" t="inlineStr">
        <is>
          <t>EUR</t>
        </is>
      </c>
      <c r="H365" s="9" t="n">
        <v>-6463.86</v>
      </c>
      <c r="I365" s="16" t="n">
        <v>46073</v>
      </c>
      <c r="J365" s="16" t="n">
        <v>46103</v>
      </c>
      <c r="K365" s="5" t="inlineStr">
        <is>
          <t>0094/26</t>
        </is>
      </c>
      <c r="L365" s="5" t="inlineStr">
        <is>
          <t>4026001261</t>
        </is>
      </c>
      <c r="M365" s="5">
        <f>IF(YEAR(I365)&lt;=2020,"Até 2020",TEXT(YEAR(I365),"0"))</f>
        <v/>
      </c>
      <c r="N365" s="5">
        <f>IFERROR(INDEX(DePara!$A:$A,MATCH(TEXT(B365,"0"),DePara!$D:$D,0)),"(sem categoria)")</f>
        <v/>
      </c>
      <c r="O365" s="5">
        <f>IF(J365="","",Parametros!$B$6-J365)</f>
        <v/>
      </c>
      <c r="P365" s="5">
        <f>IF(O365="","",IF(O365&gt;0,1,0))</f>
        <v/>
      </c>
    </row>
    <row r="366">
      <c r="A366" s="5" t="n">
        <v>2122100000</v>
      </c>
      <c r="B366" s="5" t="inlineStr">
        <is>
          <t>IC4420</t>
        </is>
      </c>
      <c r="C366" s="5" t="inlineStr">
        <is>
          <t>NORDEX ENERGY SPAIN S A U</t>
        </is>
      </c>
      <c r="D366" s="5" t="inlineStr">
        <is>
          <t>RE</t>
        </is>
      </c>
      <c r="E366" s="5" t="n">
        <v>5008558</v>
      </c>
      <c r="F366" s="5" t="inlineStr">
        <is>
          <t>4026002369</t>
        </is>
      </c>
      <c r="G366" s="5" t="inlineStr">
        <is>
          <t>EUR</t>
        </is>
      </c>
      <c r="H366" s="9" t="n">
        <v>-110.2</v>
      </c>
      <c r="I366" s="16" t="n">
        <v>46119</v>
      </c>
      <c r="J366" s="16" t="n">
        <v>46149</v>
      </c>
      <c r="K366" s="5" t="inlineStr">
        <is>
          <t>0183/26</t>
        </is>
      </c>
      <c r="L366" s="5" t="inlineStr">
        <is>
          <t>4026002369</t>
        </is>
      </c>
      <c r="M366" s="5">
        <f>IF(YEAR(I366)&lt;=2020,"Até 2020",TEXT(YEAR(I366),"0"))</f>
        <v/>
      </c>
      <c r="N366" s="5">
        <f>IFERROR(INDEX(DePara!$A:$A,MATCH(TEXT(B366,"0"),DePara!$D:$D,0)),"(sem categoria)")</f>
        <v/>
      </c>
      <c r="O366" s="5">
        <f>IF(J366="","",Parametros!$B$6-J366)</f>
        <v/>
      </c>
      <c r="P366" s="5">
        <f>IF(O366="","",IF(O366&gt;0,1,0))</f>
        <v/>
      </c>
    </row>
    <row r="367">
      <c r="A367" s="5" t="n">
        <v>2122100000</v>
      </c>
      <c r="B367" s="5" t="inlineStr">
        <is>
          <t>IC4420</t>
        </is>
      </c>
      <c r="C367" s="5" t="inlineStr">
        <is>
          <t>NORDEX ENERGY SPAIN S A U</t>
        </is>
      </c>
      <c r="D367" s="5" t="inlineStr">
        <is>
          <t>RE</t>
        </is>
      </c>
      <c r="E367" s="5" t="n">
        <v>5008559</v>
      </c>
      <c r="F367" s="5" t="inlineStr">
        <is>
          <t>4025009671</t>
        </is>
      </c>
      <c r="G367" s="5" t="inlineStr">
        <is>
          <t>EUR</t>
        </is>
      </c>
      <c r="H367" s="9" t="n">
        <v>-5892.23</v>
      </c>
      <c r="I367" s="16" t="n">
        <v>46003</v>
      </c>
      <c r="J367" s="16" t="n">
        <v>46033</v>
      </c>
      <c r="K367" s="5" t="inlineStr">
        <is>
          <t>0945/25</t>
        </is>
      </c>
      <c r="L367" s="5" t="inlineStr">
        <is>
          <t>4025009671</t>
        </is>
      </c>
      <c r="M367" s="5">
        <f>IF(YEAR(I367)&lt;=2020,"Até 2020",TEXT(YEAR(I367),"0"))</f>
        <v/>
      </c>
      <c r="N367" s="5">
        <f>IFERROR(INDEX(DePara!$A:$A,MATCH(TEXT(B367,"0"),DePara!$D:$D,0)),"(sem categoria)")</f>
        <v/>
      </c>
      <c r="O367" s="5">
        <f>IF(J367="","",Parametros!$B$6-J367)</f>
        <v/>
      </c>
      <c r="P367" s="5">
        <f>IF(O367="","",IF(O367&gt;0,1,0))</f>
        <v/>
      </c>
    </row>
    <row r="368">
      <c r="A368" s="5" t="n">
        <v>2122100000</v>
      </c>
      <c r="B368" s="5" t="inlineStr">
        <is>
          <t>IC4420</t>
        </is>
      </c>
      <c r="C368" s="5" t="inlineStr">
        <is>
          <t>NORDEX ENERGY SPAIN S A U</t>
        </is>
      </c>
      <c r="D368" s="5" t="inlineStr">
        <is>
          <t>RE</t>
        </is>
      </c>
      <c r="E368" s="5" t="n">
        <v>5008603</v>
      </c>
      <c r="F368" s="5" t="inlineStr">
        <is>
          <t>4024007136</t>
        </is>
      </c>
      <c r="G368" s="5" t="inlineStr">
        <is>
          <t>EUR</t>
        </is>
      </c>
      <c r="H368" s="9" t="n">
        <v>-533897.52</v>
      </c>
      <c r="I368" s="16" t="n">
        <v>45575</v>
      </c>
      <c r="J368" s="16" t="n">
        <v>45605</v>
      </c>
      <c r="K368" s="5" t="inlineStr">
        <is>
          <t>0964/24</t>
        </is>
      </c>
      <c r="L368" s="5" t="inlineStr">
        <is>
          <t>4024007136</t>
        </is>
      </c>
      <c r="M368" s="5">
        <f>IF(YEAR(I368)&lt;=2020,"Até 2020",TEXT(YEAR(I368),"0"))</f>
        <v/>
      </c>
      <c r="N368" s="5">
        <f>IFERROR(INDEX(DePara!$A:$A,MATCH(TEXT(B368,"0"),DePara!$D:$D,0)),"(sem categoria)")</f>
        <v/>
      </c>
      <c r="O368" s="5">
        <f>IF(J368="","",Parametros!$B$6-J368)</f>
        <v/>
      </c>
      <c r="P368" s="5">
        <f>IF(O368="","",IF(O368&gt;0,1,0))</f>
        <v/>
      </c>
    </row>
    <row r="369">
      <c r="A369" s="5" t="n">
        <v>2122100000</v>
      </c>
      <c r="B369" s="5" t="inlineStr">
        <is>
          <t>IC1000</t>
        </is>
      </c>
      <c r="C369" s="5" t="inlineStr">
        <is>
          <t>NORDEX ENERGY SE &amp; CO KG</t>
        </is>
      </c>
      <c r="D369" s="5" t="inlineStr">
        <is>
          <t>RE</t>
        </is>
      </c>
      <c r="E369" s="5" t="n">
        <v>5008619</v>
      </c>
      <c r="F369" s="5" t="inlineStr">
        <is>
          <t>325073</t>
        </is>
      </c>
      <c r="G369" s="5" t="inlineStr">
        <is>
          <t>EUR</t>
        </is>
      </c>
      <c r="H369" s="9" t="n">
        <v>-166857.54</v>
      </c>
      <c r="I369" s="16" t="n">
        <v>45672</v>
      </c>
      <c r="J369" s="16" t="n">
        <v>45702</v>
      </c>
      <c r="K369" s="5" t="inlineStr">
        <is>
          <t>0109/25</t>
        </is>
      </c>
      <c r="L369" s="5" t="inlineStr">
        <is>
          <t>325073</t>
        </is>
      </c>
      <c r="M369" s="5">
        <f>IF(YEAR(I369)&lt;=2020,"Até 2020",TEXT(YEAR(I369),"0"))</f>
        <v/>
      </c>
      <c r="N369" s="5">
        <f>IFERROR(INDEX(DePara!$A:$A,MATCH(TEXT(B369,"0"),DePara!$D:$D,0)),"(sem categoria)")</f>
        <v/>
      </c>
      <c r="O369" s="5">
        <f>IF(J369="","",Parametros!$B$6-J369)</f>
        <v/>
      </c>
      <c r="P369" s="5">
        <f>IF(O369="","",IF(O369&gt;0,1,0))</f>
        <v/>
      </c>
    </row>
    <row r="370">
      <c r="A370" s="5" t="n">
        <v>2122100000</v>
      </c>
      <c r="B370" s="5" t="inlineStr">
        <is>
          <t>IC1000</t>
        </is>
      </c>
      <c r="C370" s="5" t="inlineStr">
        <is>
          <t>NORDEX ENERGY SE &amp; CO KG</t>
        </is>
      </c>
      <c r="D370" s="5" t="inlineStr">
        <is>
          <t>RE</t>
        </is>
      </c>
      <c r="E370" s="5" t="n">
        <v>5008620</v>
      </c>
      <c r="F370" s="5" t="inlineStr">
        <is>
          <t>RITM0416950</t>
        </is>
      </c>
      <c r="G370" s="5" t="inlineStr">
        <is>
          <t>EUR</t>
        </is>
      </c>
      <c r="H370" s="9" t="n">
        <v>-622728.02</v>
      </c>
      <c r="I370" s="16" t="n">
        <v>45576</v>
      </c>
      <c r="J370" s="16" t="n">
        <v>45606</v>
      </c>
      <c r="K370" s="5" t="inlineStr">
        <is>
          <t>0965/24</t>
        </is>
      </c>
      <c r="L370" s="5" t="inlineStr">
        <is>
          <t>RITM0416950</t>
        </is>
      </c>
      <c r="M370" s="5">
        <f>IF(YEAR(I370)&lt;=2020,"Até 2020",TEXT(YEAR(I370),"0"))</f>
        <v/>
      </c>
      <c r="N370" s="5">
        <f>IFERROR(INDEX(DePara!$A:$A,MATCH(TEXT(B370,"0"),DePara!$D:$D,0)),"(sem categoria)")</f>
        <v/>
      </c>
      <c r="O370" s="5">
        <f>IF(J370="","",Parametros!$B$6-J370)</f>
        <v/>
      </c>
      <c r="P370" s="5">
        <f>IF(O370="","",IF(O370&gt;0,1,0))</f>
        <v/>
      </c>
    </row>
    <row r="371">
      <c r="A371" s="5" t="n">
        <v>2122100000</v>
      </c>
      <c r="B371" s="5" t="inlineStr">
        <is>
          <t>IC1000</t>
        </is>
      </c>
      <c r="C371" s="5" t="inlineStr">
        <is>
          <t>NORDEX ENERGY SE &amp; CO KG</t>
        </is>
      </c>
      <c r="D371" s="5" t="inlineStr">
        <is>
          <t>RE</t>
        </is>
      </c>
      <c r="E371" s="5" t="n">
        <v>5008630</v>
      </c>
      <c r="F371" s="5" t="inlineStr">
        <is>
          <t>326418</t>
        </is>
      </c>
      <c r="G371" s="5" t="inlineStr">
        <is>
          <t>EUR</t>
        </is>
      </c>
      <c r="H371" s="9" t="n">
        <v>-33246.97</v>
      </c>
      <c r="I371" s="16" t="n">
        <v>45684</v>
      </c>
      <c r="J371" s="16" t="n">
        <v>45714</v>
      </c>
      <c r="K371" s="5" t="inlineStr">
        <is>
          <t>0117/25</t>
        </is>
      </c>
      <c r="L371" s="5" t="inlineStr">
        <is>
          <t>326418</t>
        </is>
      </c>
      <c r="M371" s="5">
        <f>IF(YEAR(I371)&lt;=2020,"Até 2020",TEXT(YEAR(I371),"0"))</f>
        <v/>
      </c>
      <c r="N371" s="5">
        <f>IFERROR(INDEX(DePara!$A:$A,MATCH(TEXT(B371,"0"),DePara!$D:$D,0)),"(sem categoria)")</f>
        <v/>
      </c>
      <c r="O371" s="5">
        <f>IF(J371="","",Parametros!$B$6-J371)</f>
        <v/>
      </c>
      <c r="P371" s="5">
        <f>IF(O371="","",IF(O371&gt;0,1,0))</f>
        <v/>
      </c>
    </row>
    <row r="372">
      <c r="A372" s="5" t="n">
        <v>2122100000</v>
      </c>
      <c r="B372" s="5" t="inlineStr">
        <is>
          <t>IC1000</t>
        </is>
      </c>
      <c r="C372" s="5" t="inlineStr">
        <is>
          <t>NORDEX ENERGY SE &amp; CO KG</t>
        </is>
      </c>
      <c r="D372" s="5" t="inlineStr">
        <is>
          <t>RE</t>
        </is>
      </c>
      <c r="E372" s="5" t="n">
        <v>5008637</v>
      </c>
      <c r="F372" s="5" t="inlineStr">
        <is>
          <t>326415</t>
        </is>
      </c>
      <c r="G372" s="5" t="inlineStr">
        <is>
          <t>EUR</t>
        </is>
      </c>
      <c r="H372" s="9" t="n">
        <v>-33246.97</v>
      </c>
      <c r="I372" s="16" t="n">
        <v>45684</v>
      </c>
      <c r="J372" s="16" t="n">
        <v>45714</v>
      </c>
      <c r="K372" s="5" t="inlineStr">
        <is>
          <t>0119/25</t>
        </is>
      </c>
      <c r="L372" s="5" t="inlineStr">
        <is>
          <t>326415</t>
        </is>
      </c>
      <c r="M372" s="5">
        <f>IF(YEAR(I372)&lt;=2020,"Até 2020",TEXT(YEAR(I372),"0"))</f>
        <v/>
      </c>
      <c r="N372" s="5">
        <f>IFERROR(INDEX(DePara!$A:$A,MATCH(TEXT(B372,"0"),DePara!$D:$D,0)),"(sem categoria)")</f>
        <v/>
      </c>
      <c r="O372" s="5">
        <f>IF(J372="","",Parametros!$B$6-J372)</f>
        <v/>
      </c>
      <c r="P372" s="5">
        <f>IF(O372="","",IF(O372&gt;0,1,0))</f>
        <v/>
      </c>
    </row>
    <row r="373">
      <c r="A373" s="5" t="n">
        <v>2122100000</v>
      </c>
      <c r="B373" s="5" t="inlineStr">
        <is>
          <t>IC1000</t>
        </is>
      </c>
      <c r="C373" s="5" t="inlineStr">
        <is>
          <t>NORDEX ENERGY SE &amp; CO KG</t>
        </is>
      </c>
      <c r="D373" s="5" t="inlineStr">
        <is>
          <t>RE</t>
        </is>
      </c>
      <c r="E373" s="5" t="n">
        <v>5008641</v>
      </c>
      <c r="F373" s="5" t="inlineStr">
        <is>
          <t>326417</t>
        </is>
      </c>
      <c r="G373" s="5" t="inlineStr">
        <is>
          <t>EUR</t>
        </is>
      </c>
      <c r="H373" s="9" t="n">
        <v>-33246.97</v>
      </c>
      <c r="I373" s="16" t="n">
        <v>45684</v>
      </c>
      <c r="J373" s="16" t="n">
        <v>45714</v>
      </c>
      <c r="K373" s="5" t="inlineStr">
        <is>
          <t>0120/25</t>
        </is>
      </c>
      <c r="L373" s="5" t="inlineStr">
        <is>
          <t>326417</t>
        </is>
      </c>
      <c r="M373" s="5">
        <f>IF(YEAR(I373)&lt;=2020,"Até 2020",TEXT(YEAR(I373),"0"))</f>
        <v/>
      </c>
      <c r="N373" s="5">
        <f>IFERROR(INDEX(DePara!$A:$A,MATCH(TEXT(B373,"0"),DePara!$D:$D,0)),"(sem categoria)")</f>
        <v/>
      </c>
      <c r="O373" s="5">
        <f>IF(J373="","",Parametros!$B$6-J373)</f>
        <v/>
      </c>
      <c r="P373" s="5">
        <f>IF(O373="","",IF(O373&gt;0,1,0))</f>
        <v/>
      </c>
    </row>
    <row r="374">
      <c r="A374" s="5" t="n">
        <v>2122100000</v>
      </c>
      <c r="B374" s="5" t="inlineStr">
        <is>
          <t>IC1000</t>
        </is>
      </c>
      <c r="C374" s="5" t="inlineStr">
        <is>
          <t>NORDEX ENERGY SE &amp; CO KG</t>
        </is>
      </c>
      <c r="D374" s="5" t="inlineStr">
        <is>
          <t>RE</t>
        </is>
      </c>
      <c r="E374" s="5" t="n">
        <v>5008642</v>
      </c>
      <c r="F374" s="5" t="inlineStr">
        <is>
          <t>391191</t>
        </is>
      </c>
      <c r="G374" s="5" t="inlineStr">
        <is>
          <t>EUR</t>
        </is>
      </c>
      <c r="H374" s="9" t="n">
        <v>-3806.62</v>
      </c>
      <c r="I374" s="16" t="n">
        <v>46108</v>
      </c>
      <c r="J374" s="16" t="n">
        <v>46138</v>
      </c>
      <c r="K374" s="5" t="inlineStr">
        <is>
          <t>0176/26</t>
        </is>
      </c>
      <c r="L374" s="5" t="inlineStr">
        <is>
          <t>391191</t>
        </is>
      </c>
      <c r="M374" s="5">
        <f>IF(YEAR(I374)&lt;=2020,"Até 2020",TEXT(YEAR(I374),"0"))</f>
        <v/>
      </c>
      <c r="N374" s="5">
        <f>IFERROR(INDEX(DePara!$A:$A,MATCH(TEXT(B374,"0"),DePara!$D:$D,0)),"(sem categoria)")</f>
        <v/>
      </c>
      <c r="O374" s="5">
        <f>IF(J374="","",Parametros!$B$6-J374)</f>
        <v/>
      </c>
      <c r="P374" s="5">
        <f>IF(O374="","",IF(O374&gt;0,1,0))</f>
        <v/>
      </c>
    </row>
    <row r="375">
      <c r="A375" s="5" t="n">
        <v>2122100000</v>
      </c>
      <c r="B375" s="5" t="inlineStr">
        <is>
          <t>IC4420</t>
        </is>
      </c>
      <c r="C375" s="5" t="inlineStr">
        <is>
          <t>NORDEX ENERGY SPAIN S A U</t>
        </is>
      </c>
      <c r="D375" s="5" t="inlineStr">
        <is>
          <t>RE</t>
        </is>
      </c>
      <c r="E375" s="5" t="n">
        <v>5008643</v>
      </c>
      <c r="F375" s="5" t="inlineStr">
        <is>
          <t>4026002987</t>
        </is>
      </c>
      <c r="G375" s="5" t="inlineStr">
        <is>
          <t>EUR</t>
        </is>
      </c>
      <c r="H375" s="9" t="n">
        <v>-5751.73</v>
      </c>
      <c r="I375" s="16" t="n">
        <v>46142</v>
      </c>
      <c r="J375" s="16" t="n">
        <v>46172</v>
      </c>
      <c r="K375" s="5" t="inlineStr">
        <is>
          <t>0267/26</t>
        </is>
      </c>
      <c r="L375" s="5" t="inlineStr">
        <is>
          <t>4026002987</t>
        </is>
      </c>
      <c r="M375" s="5">
        <f>IF(YEAR(I375)&lt;=2020,"Até 2020",TEXT(YEAR(I375),"0"))</f>
        <v/>
      </c>
      <c r="N375" s="5">
        <f>IFERROR(INDEX(DePara!$A:$A,MATCH(TEXT(B375,"0"),DePara!$D:$D,0)),"(sem categoria)")</f>
        <v/>
      </c>
      <c r="O375" s="5">
        <f>IF(J375="","",Parametros!$B$6-J375)</f>
        <v/>
      </c>
      <c r="P375" s="5">
        <f>IF(O375="","",IF(O375&gt;0,1,0))</f>
        <v/>
      </c>
    </row>
    <row r="376">
      <c r="A376" s="5" t="n">
        <v>2122100000</v>
      </c>
      <c r="B376" s="5" t="inlineStr">
        <is>
          <t>IC1000</t>
        </is>
      </c>
      <c r="C376" s="5" t="inlineStr">
        <is>
          <t>NORDEX ENERGY SE &amp; CO KG</t>
        </is>
      </c>
      <c r="D376" s="5" t="inlineStr">
        <is>
          <t>RE</t>
        </is>
      </c>
      <c r="E376" s="5" t="n">
        <v>5008644</v>
      </c>
      <c r="F376" s="5" t="inlineStr">
        <is>
          <t>326413</t>
        </is>
      </c>
      <c r="G376" s="5" t="inlineStr">
        <is>
          <t>EUR</t>
        </is>
      </c>
      <c r="H376" s="9" t="n">
        <v>-36957.54</v>
      </c>
      <c r="I376" s="16" t="n">
        <v>45684</v>
      </c>
      <c r="J376" s="16" t="n">
        <v>45714</v>
      </c>
      <c r="K376" s="5" t="inlineStr">
        <is>
          <t>0116/25</t>
        </is>
      </c>
      <c r="L376" s="5" t="inlineStr">
        <is>
          <t>326413</t>
        </is>
      </c>
      <c r="M376" s="5">
        <f>IF(YEAR(I376)&lt;=2020,"Até 2020",TEXT(YEAR(I376),"0"))</f>
        <v/>
      </c>
      <c r="N376" s="5">
        <f>IFERROR(INDEX(DePara!$A:$A,MATCH(TEXT(B376,"0"),DePara!$D:$D,0)),"(sem categoria)")</f>
        <v/>
      </c>
      <c r="O376" s="5">
        <f>IF(J376="","",Parametros!$B$6-J376)</f>
        <v/>
      </c>
      <c r="P376" s="5">
        <f>IF(O376="","",IF(O376&gt;0,1,0))</f>
        <v/>
      </c>
    </row>
    <row r="377">
      <c r="A377" s="5" t="n">
        <v>2122100000</v>
      </c>
      <c r="B377" s="5" t="inlineStr">
        <is>
          <t>IC5000</t>
        </is>
      </c>
      <c r="C377" s="5" t="inlineStr">
        <is>
          <t>NORDEX SE</t>
        </is>
      </c>
      <c r="D377" s="5" t="inlineStr">
        <is>
          <t>KR</t>
        </is>
      </c>
      <c r="E377" s="5" t="n">
        <v>5008658</v>
      </c>
      <c r="F377" s="5" t="inlineStr">
        <is>
          <t>610708</t>
        </is>
      </c>
      <c r="G377" s="5" t="inlineStr">
        <is>
          <t>EUR</t>
        </is>
      </c>
      <c r="H377" s="9" t="n">
        <v>-19368419.55</v>
      </c>
      <c r="I377" s="16" t="n">
        <v>46161</v>
      </c>
      <c r="J377" s="16" t="n">
        <v>46221</v>
      </c>
      <c r="K377" s="5" t="inlineStr">
        <is>
          <t>Fatura do fornecedor NORDEX SE 610708</t>
        </is>
      </c>
      <c r="L377" s="5" t="inlineStr">
        <is>
          <t>15072026</t>
        </is>
      </c>
      <c r="M377" s="5">
        <f>IF(YEAR(I377)&lt;=2020,"Até 2020",TEXT(YEAR(I377),"0"))</f>
        <v/>
      </c>
      <c r="N377" s="5">
        <f>IFERROR(INDEX(DePara!$A:$A,MATCH(TEXT(B377,"0"),DePara!$D:$D,0)),"(sem categoria)")</f>
        <v/>
      </c>
      <c r="O377" s="5">
        <f>IF(J377="","",Parametros!$B$6-J377)</f>
        <v/>
      </c>
      <c r="P377" s="5">
        <f>IF(O377="","",IF(O377&gt;0,1,0))</f>
        <v/>
      </c>
    </row>
    <row r="378">
      <c r="A378" s="5" t="n">
        <v>2122100000</v>
      </c>
      <c r="B378" s="5" t="inlineStr">
        <is>
          <t>IC4420</t>
        </is>
      </c>
      <c r="C378" s="5" t="inlineStr">
        <is>
          <t>NORDEX ENERGY SPAIN S A U</t>
        </is>
      </c>
      <c r="D378" s="5" t="inlineStr">
        <is>
          <t>RE</t>
        </is>
      </c>
      <c r="E378" s="5" t="n">
        <v>5008668</v>
      </c>
      <c r="F378" s="5" t="inlineStr">
        <is>
          <t>4026002709</t>
        </is>
      </c>
      <c r="G378" s="5" t="inlineStr">
        <is>
          <t>EUR</t>
        </is>
      </c>
      <c r="H378" s="9" t="n">
        <v>-14818.44</v>
      </c>
      <c r="I378" s="16" t="n">
        <v>46132</v>
      </c>
      <c r="J378" s="16" t="n">
        <v>46162</v>
      </c>
      <c r="K378" s="5" t="inlineStr">
        <is>
          <t>0246/26</t>
        </is>
      </c>
      <c r="L378" s="5" t="inlineStr">
        <is>
          <t>4026002709</t>
        </is>
      </c>
      <c r="M378" s="5">
        <f>IF(YEAR(I378)&lt;=2020,"Até 2020",TEXT(YEAR(I378),"0"))</f>
        <v/>
      </c>
      <c r="N378" s="5">
        <f>IFERROR(INDEX(DePara!$A:$A,MATCH(TEXT(B378,"0"),DePara!$D:$D,0)),"(sem categoria)")</f>
        <v/>
      </c>
      <c r="O378" s="5">
        <f>IF(J378="","",Parametros!$B$6-J378)</f>
        <v/>
      </c>
      <c r="P378" s="5">
        <f>IF(O378="","",IF(O378&gt;0,1,0))</f>
        <v/>
      </c>
    </row>
    <row r="379">
      <c r="A379" s="5" t="n">
        <v>2122100000</v>
      </c>
      <c r="B379" s="5" t="inlineStr">
        <is>
          <t>IC4420</t>
        </is>
      </c>
      <c r="C379" s="5" t="inlineStr">
        <is>
          <t>NORDEX ENERGY SPAIN S A U</t>
        </is>
      </c>
      <c r="D379" s="5" t="inlineStr">
        <is>
          <t>RE</t>
        </is>
      </c>
      <c r="E379" s="5" t="n">
        <v>5008669</v>
      </c>
      <c r="F379" s="5" t="inlineStr">
        <is>
          <t>4026002720</t>
        </is>
      </c>
      <c r="G379" s="5" t="inlineStr">
        <is>
          <t>EUR</t>
        </is>
      </c>
      <c r="H379" s="9" t="n">
        <v>-14505.17</v>
      </c>
      <c r="I379" s="16" t="n">
        <v>46132</v>
      </c>
      <c r="J379" s="16" t="n">
        <v>46162</v>
      </c>
      <c r="K379" s="5" t="inlineStr">
        <is>
          <t>0246/26</t>
        </is>
      </c>
      <c r="L379" s="5" t="inlineStr">
        <is>
          <t>4026002720</t>
        </is>
      </c>
      <c r="M379" s="5">
        <f>IF(YEAR(I379)&lt;=2020,"Até 2020",TEXT(YEAR(I379),"0"))</f>
        <v/>
      </c>
      <c r="N379" s="5">
        <f>IFERROR(INDEX(DePara!$A:$A,MATCH(TEXT(B379,"0"),DePara!$D:$D,0)),"(sem categoria)")</f>
        <v/>
      </c>
      <c r="O379" s="5">
        <f>IF(J379="","",Parametros!$B$6-J379)</f>
        <v/>
      </c>
      <c r="P379" s="5">
        <f>IF(O379="","",IF(O379&gt;0,1,0))</f>
        <v/>
      </c>
    </row>
    <row r="380">
      <c r="A380" s="5" t="n">
        <v>2122100000</v>
      </c>
      <c r="B380" s="5" t="inlineStr">
        <is>
          <t>IC4420</t>
        </is>
      </c>
      <c r="C380" s="5" t="inlineStr">
        <is>
          <t>NORDEX ENERGY SPAIN S A U</t>
        </is>
      </c>
      <c r="D380" s="5" t="inlineStr">
        <is>
          <t>RE</t>
        </is>
      </c>
      <c r="E380" s="5" t="n">
        <v>5008670</v>
      </c>
      <c r="F380" s="5" t="inlineStr">
        <is>
          <t>4026002893</t>
        </is>
      </c>
      <c r="G380" s="5" t="inlineStr">
        <is>
          <t>EUR</t>
        </is>
      </c>
      <c r="H380" s="9" t="n">
        <v>-25153.44</v>
      </c>
      <c r="I380" s="16" t="n">
        <v>46140</v>
      </c>
      <c r="J380" s="16" t="n">
        <v>46170</v>
      </c>
      <c r="K380" s="5" t="inlineStr">
        <is>
          <t>0258/26</t>
        </is>
      </c>
      <c r="L380" s="5" t="inlineStr">
        <is>
          <t>4026002893</t>
        </is>
      </c>
      <c r="M380" s="5">
        <f>IF(YEAR(I380)&lt;=2020,"Até 2020",TEXT(YEAR(I380),"0"))</f>
        <v/>
      </c>
      <c r="N380" s="5">
        <f>IFERROR(INDEX(DePara!$A:$A,MATCH(TEXT(B380,"0"),DePara!$D:$D,0)),"(sem categoria)")</f>
        <v/>
      </c>
      <c r="O380" s="5">
        <f>IF(J380="","",Parametros!$B$6-J380)</f>
        <v/>
      </c>
      <c r="P380" s="5">
        <f>IF(O380="","",IF(O380&gt;0,1,0))</f>
        <v/>
      </c>
    </row>
    <row r="381">
      <c r="A381" s="5" t="n">
        <v>2122100000</v>
      </c>
      <c r="B381" s="5" t="inlineStr">
        <is>
          <t>IC4420</t>
        </is>
      </c>
      <c r="C381" s="5" t="inlineStr">
        <is>
          <t>NORDEX ENERGY SPAIN S A U</t>
        </is>
      </c>
      <c r="D381" s="5" t="inlineStr">
        <is>
          <t>RE</t>
        </is>
      </c>
      <c r="E381" s="5" t="n">
        <v>5008671</v>
      </c>
      <c r="F381" s="5" t="inlineStr">
        <is>
          <t>4026002367</t>
        </is>
      </c>
      <c r="G381" s="5" t="inlineStr">
        <is>
          <t>EUR</t>
        </is>
      </c>
      <c r="H381" s="9" t="n">
        <v>-43330.25</v>
      </c>
      <c r="I381" s="16" t="n">
        <v>46119</v>
      </c>
      <c r="J381" s="16" t="n">
        <v>46149</v>
      </c>
      <c r="K381" s="5" t="inlineStr">
        <is>
          <t>0191/26</t>
        </is>
      </c>
      <c r="L381" s="5" t="inlineStr">
        <is>
          <t>4026002367</t>
        </is>
      </c>
      <c r="M381" s="5">
        <f>IF(YEAR(I381)&lt;=2020,"Até 2020",TEXT(YEAR(I381),"0"))</f>
        <v/>
      </c>
      <c r="N381" s="5">
        <f>IFERROR(INDEX(DePara!$A:$A,MATCH(TEXT(B381,"0"),DePara!$D:$D,0)),"(sem categoria)")</f>
        <v/>
      </c>
      <c r="O381" s="5">
        <f>IF(J381="","",Parametros!$B$6-J381)</f>
        <v/>
      </c>
      <c r="P381" s="5">
        <f>IF(O381="","",IF(O381&gt;0,1,0))</f>
        <v/>
      </c>
    </row>
    <row r="382">
      <c r="A382" s="5" t="n">
        <v>2122100000</v>
      </c>
      <c r="B382" s="5" t="inlineStr">
        <is>
          <t>IC4420</t>
        </is>
      </c>
      <c r="C382" s="5" t="inlineStr">
        <is>
          <t>NORDEX ENERGY SPAIN S A U</t>
        </is>
      </c>
      <c r="D382" s="5" t="inlineStr">
        <is>
          <t>RE</t>
        </is>
      </c>
      <c r="E382" s="5" t="n">
        <v>5008672</v>
      </c>
      <c r="F382" s="5" t="inlineStr">
        <is>
          <t>4026001252</t>
        </is>
      </c>
      <c r="G382" s="5" t="inlineStr">
        <is>
          <t>EUR</t>
        </is>
      </c>
      <c r="H382" s="9" t="n">
        <v>-37518.99</v>
      </c>
      <c r="I382" s="16" t="n">
        <v>46073</v>
      </c>
      <c r="J382" s="16" t="n">
        <v>46103</v>
      </c>
      <c r="K382" s="5" t="inlineStr">
        <is>
          <t>0091/26</t>
        </is>
      </c>
      <c r="L382" s="5" t="inlineStr">
        <is>
          <t>4026001252</t>
        </is>
      </c>
      <c r="M382" s="5">
        <f>IF(YEAR(I382)&lt;=2020,"Até 2020",TEXT(YEAR(I382),"0"))</f>
        <v/>
      </c>
      <c r="N382" s="5">
        <f>IFERROR(INDEX(DePara!$A:$A,MATCH(TEXT(B382,"0"),DePara!$D:$D,0)),"(sem categoria)")</f>
        <v/>
      </c>
      <c r="O382" s="5">
        <f>IF(J382="","",Parametros!$B$6-J382)</f>
        <v/>
      </c>
      <c r="P382" s="5">
        <f>IF(O382="","",IF(O382&gt;0,1,0))</f>
        <v/>
      </c>
    </row>
    <row r="383">
      <c r="A383" s="5" t="n">
        <v>2122100000</v>
      </c>
      <c r="B383" s="5" t="inlineStr">
        <is>
          <t>IC4420</t>
        </is>
      </c>
      <c r="C383" s="5" t="inlineStr">
        <is>
          <t>NORDEX ENERGY SPAIN S A U</t>
        </is>
      </c>
      <c r="D383" s="5" t="inlineStr">
        <is>
          <t>RE</t>
        </is>
      </c>
      <c r="E383" s="5" t="n">
        <v>5008673</v>
      </c>
      <c r="F383" s="5" t="inlineStr">
        <is>
          <t>4026001207</t>
        </is>
      </c>
      <c r="G383" s="5" t="inlineStr">
        <is>
          <t>EUR</t>
        </is>
      </c>
      <c r="H383" s="9" t="n">
        <v>-66738.12</v>
      </c>
      <c r="I383" s="16" t="n">
        <v>46072</v>
      </c>
      <c r="J383" s="16" t="n">
        <v>46102</v>
      </c>
      <c r="K383" s="5" t="inlineStr">
        <is>
          <t>0151/26</t>
        </is>
      </c>
      <c r="L383" s="5" t="inlineStr">
        <is>
          <t>4026001207</t>
        </is>
      </c>
      <c r="M383" s="5">
        <f>IF(YEAR(I383)&lt;=2020,"Até 2020",TEXT(YEAR(I383),"0"))</f>
        <v/>
      </c>
      <c r="N383" s="5">
        <f>IFERROR(INDEX(DePara!$A:$A,MATCH(TEXT(B383,"0"),DePara!$D:$D,0)),"(sem categoria)")</f>
        <v/>
      </c>
      <c r="O383" s="5">
        <f>IF(J383="","",Parametros!$B$6-J383)</f>
        <v/>
      </c>
      <c r="P383" s="5">
        <f>IF(O383="","",IF(O383&gt;0,1,0))</f>
        <v/>
      </c>
    </row>
    <row r="384">
      <c r="A384" s="5" t="n">
        <v>2122100000</v>
      </c>
      <c r="B384" s="5" t="inlineStr">
        <is>
          <t>IC4420</t>
        </is>
      </c>
      <c r="C384" s="5" t="inlineStr">
        <is>
          <t>NORDEX ENERGY SPAIN S A U</t>
        </is>
      </c>
      <c r="D384" s="5" t="inlineStr">
        <is>
          <t>RE</t>
        </is>
      </c>
      <c r="E384" s="5" t="n">
        <v>5008674</v>
      </c>
      <c r="F384" s="5" t="inlineStr">
        <is>
          <t>4025009660</t>
        </is>
      </c>
      <c r="G384" s="5" t="inlineStr">
        <is>
          <t>EUR</t>
        </is>
      </c>
      <c r="H384" s="9" t="n">
        <v>-230525.82</v>
      </c>
      <c r="I384" s="16" t="n">
        <v>46003</v>
      </c>
      <c r="J384" s="16" t="n">
        <v>46033</v>
      </c>
      <c r="K384" s="5" t="inlineStr">
        <is>
          <t>0935/25</t>
        </is>
      </c>
      <c r="L384" s="5" t="inlineStr">
        <is>
          <t>4025009660</t>
        </is>
      </c>
      <c r="M384" s="5">
        <f>IF(YEAR(I384)&lt;=2020,"Até 2020",TEXT(YEAR(I384),"0"))</f>
        <v/>
      </c>
      <c r="N384" s="5">
        <f>IFERROR(INDEX(DePara!$A:$A,MATCH(TEXT(B384,"0"),DePara!$D:$D,0)),"(sem categoria)")</f>
        <v/>
      </c>
      <c r="O384" s="5">
        <f>IF(J384="","",Parametros!$B$6-J384)</f>
        <v/>
      </c>
      <c r="P384" s="5">
        <f>IF(O384="","",IF(O384&gt;0,1,0))</f>
        <v/>
      </c>
    </row>
    <row r="385">
      <c r="A385" s="5" t="n">
        <v>2122100000</v>
      </c>
      <c r="B385" s="5" t="inlineStr">
        <is>
          <t>IC4420</t>
        </is>
      </c>
      <c r="C385" s="5" t="inlineStr">
        <is>
          <t>NORDEX ENERGY SPAIN S A U</t>
        </is>
      </c>
      <c r="D385" s="5" t="inlineStr">
        <is>
          <t>RE</t>
        </is>
      </c>
      <c r="E385" s="5" t="n">
        <v>5008675</v>
      </c>
      <c r="F385" s="5" t="inlineStr">
        <is>
          <t>4025009667</t>
        </is>
      </c>
      <c r="G385" s="5" t="inlineStr">
        <is>
          <t>EUR</t>
        </is>
      </c>
      <c r="H385" s="9" t="n">
        <v>-17005.38</v>
      </c>
      <c r="I385" s="16" t="n">
        <v>46003</v>
      </c>
      <c r="J385" s="16" t="n">
        <v>46033</v>
      </c>
      <c r="K385" s="5" t="inlineStr">
        <is>
          <t>0935/25</t>
        </is>
      </c>
      <c r="L385" s="5" t="inlineStr">
        <is>
          <t>4025009667</t>
        </is>
      </c>
      <c r="M385" s="5">
        <f>IF(YEAR(I385)&lt;=2020,"Até 2020",TEXT(YEAR(I385),"0"))</f>
        <v/>
      </c>
      <c r="N385" s="5">
        <f>IFERROR(INDEX(DePara!$A:$A,MATCH(TEXT(B385,"0"),DePara!$D:$D,0)),"(sem categoria)")</f>
        <v/>
      </c>
      <c r="O385" s="5">
        <f>IF(J385="","",Parametros!$B$6-J385)</f>
        <v/>
      </c>
      <c r="P385" s="5">
        <f>IF(O385="","",IF(O385&gt;0,1,0))</f>
        <v/>
      </c>
    </row>
    <row r="386">
      <c r="A386" s="5" t="n">
        <v>2122100000</v>
      </c>
      <c r="B386" s="5" t="inlineStr">
        <is>
          <t>IC4420</t>
        </is>
      </c>
      <c r="C386" s="5" t="inlineStr">
        <is>
          <t>NORDEX ENERGY SPAIN S A U</t>
        </is>
      </c>
      <c r="D386" s="5" t="inlineStr">
        <is>
          <t>RE</t>
        </is>
      </c>
      <c r="E386" s="5" t="n">
        <v>5008676</v>
      </c>
      <c r="F386" s="5" t="inlineStr">
        <is>
          <t>4025009661</t>
        </is>
      </c>
      <c r="G386" s="5" t="inlineStr">
        <is>
          <t>EUR</t>
        </is>
      </c>
      <c r="H386" s="9" t="n">
        <v>-3073.32</v>
      </c>
      <c r="I386" s="16" t="n">
        <v>46003</v>
      </c>
      <c r="J386" s="16" t="n">
        <v>46033</v>
      </c>
      <c r="K386" s="5" t="inlineStr">
        <is>
          <t>0935/25</t>
        </is>
      </c>
      <c r="L386" s="5" t="inlineStr">
        <is>
          <t>4025009661</t>
        </is>
      </c>
      <c r="M386" s="5">
        <f>IF(YEAR(I386)&lt;=2020,"Até 2020",TEXT(YEAR(I386),"0"))</f>
        <v/>
      </c>
      <c r="N386" s="5">
        <f>IFERROR(INDEX(DePara!$A:$A,MATCH(TEXT(B386,"0"),DePara!$D:$D,0)),"(sem categoria)")</f>
        <v/>
      </c>
      <c r="O386" s="5">
        <f>IF(J386="","",Parametros!$B$6-J386)</f>
        <v/>
      </c>
      <c r="P386" s="5">
        <f>IF(O386="","",IF(O386&gt;0,1,0))</f>
        <v/>
      </c>
    </row>
    <row r="387">
      <c r="A387" s="5" t="n">
        <v>2122100000</v>
      </c>
      <c r="B387" s="5" t="inlineStr">
        <is>
          <t>IC4420</t>
        </is>
      </c>
      <c r="C387" s="5" t="inlineStr">
        <is>
          <t>NORDEX ENERGY SPAIN S A U</t>
        </is>
      </c>
      <c r="D387" s="5" t="inlineStr">
        <is>
          <t>RE</t>
        </is>
      </c>
      <c r="E387" s="5" t="n">
        <v>5008677</v>
      </c>
      <c r="F387" s="5" t="inlineStr">
        <is>
          <t>4025009672</t>
        </is>
      </c>
      <c r="G387" s="5" t="inlineStr">
        <is>
          <t>EUR</t>
        </is>
      </c>
      <c r="H387" s="9" t="n">
        <v>-733.61</v>
      </c>
      <c r="I387" s="16" t="n">
        <v>46003</v>
      </c>
      <c r="J387" s="16" t="n">
        <v>46033</v>
      </c>
      <c r="K387" s="5" t="inlineStr">
        <is>
          <t>0946/25</t>
        </is>
      </c>
      <c r="L387" s="5" t="inlineStr">
        <is>
          <t>4025009672</t>
        </is>
      </c>
      <c r="M387" s="5">
        <f>IF(YEAR(I387)&lt;=2020,"Até 2020",TEXT(YEAR(I387),"0"))</f>
        <v/>
      </c>
      <c r="N387" s="5">
        <f>IFERROR(INDEX(DePara!$A:$A,MATCH(TEXT(B387,"0"),DePara!$D:$D,0)),"(sem categoria)")</f>
        <v/>
      </c>
      <c r="O387" s="5">
        <f>IF(J387="","",Parametros!$B$6-J387)</f>
        <v/>
      </c>
      <c r="P387" s="5">
        <f>IF(O387="","",IF(O387&gt;0,1,0))</f>
        <v/>
      </c>
    </row>
    <row r="388">
      <c r="A388" s="5" t="n">
        <v>2122100000</v>
      </c>
      <c r="B388" s="5" t="inlineStr">
        <is>
          <t>IC4420</t>
        </is>
      </c>
      <c r="C388" s="5" t="inlineStr">
        <is>
          <t>NORDEX ENERGY SPAIN S A U</t>
        </is>
      </c>
      <c r="D388" s="5" t="inlineStr">
        <is>
          <t>RE</t>
        </is>
      </c>
      <c r="E388" s="5" t="n">
        <v>5008678</v>
      </c>
      <c r="F388" s="5" t="inlineStr">
        <is>
          <t>4018000094</t>
        </is>
      </c>
      <c r="G388" s="5" t="inlineStr">
        <is>
          <t>EUR</t>
        </is>
      </c>
      <c r="H388" s="9" t="n">
        <v>-4298.57</v>
      </c>
      <c r="I388" s="16" t="n">
        <v>46127</v>
      </c>
      <c r="J388" s="16" t="n">
        <v>46157</v>
      </c>
      <c r="K388" s="5" t="inlineStr">
        <is>
          <t>0219/26</t>
        </is>
      </c>
      <c r="L388" s="5" t="inlineStr">
        <is>
          <t>4018000094</t>
        </is>
      </c>
      <c r="M388" s="5">
        <f>IF(YEAR(I388)&lt;=2020,"Até 2020",TEXT(YEAR(I388),"0"))</f>
        <v/>
      </c>
      <c r="N388" s="5">
        <f>IFERROR(INDEX(DePara!$A:$A,MATCH(TEXT(B388,"0"),DePara!$D:$D,0)),"(sem categoria)")</f>
        <v/>
      </c>
      <c r="O388" s="5">
        <f>IF(J388="","",Parametros!$B$6-J388)</f>
        <v/>
      </c>
      <c r="P388" s="5">
        <f>IF(O388="","",IF(O388&gt;0,1,0))</f>
        <v/>
      </c>
    </row>
    <row r="389">
      <c r="A389" s="5" t="n">
        <v>2122100000</v>
      </c>
      <c r="B389" s="5" t="inlineStr">
        <is>
          <t>IC4420</t>
        </is>
      </c>
      <c r="C389" s="5" t="inlineStr">
        <is>
          <t>NORDEX ENERGY SPAIN S A U</t>
        </is>
      </c>
      <c r="D389" s="5" t="inlineStr">
        <is>
          <t>RE</t>
        </is>
      </c>
      <c r="E389" s="5" t="n">
        <v>5008679</v>
      </c>
      <c r="F389" s="5" t="inlineStr">
        <is>
          <t>4026002368</t>
        </is>
      </c>
      <c r="G389" s="5" t="inlineStr">
        <is>
          <t>EUR</t>
        </is>
      </c>
      <c r="H389" s="9" t="n">
        <v>-22345.33</v>
      </c>
      <c r="I389" s="16" t="n">
        <v>46119</v>
      </c>
      <c r="J389" s="16" t="n">
        <v>46149</v>
      </c>
      <c r="K389" s="5" t="inlineStr">
        <is>
          <t>0192/26</t>
        </is>
      </c>
      <c r="L389" s="5" t="inlineStr">
        <is>
          <t>4026002368</t>
        </is>
      </c>
      <c r="M389" s="5">
        <f>IF(YEAR(I389)&lt;=2020,"Até 2020",TEXT(YEAR(I389),"0"))</f>
        <v/>
      </c>
      <c r="N389" s="5">
        <f>IFERROR(INDEX(DePara!$A:$A,MATCH(TEXT(B389,"0"),DePara!$D:$D,0)),"(sem categoria)")</f>
        <v/>
      </c>
      <c r="O389" s="5">
        <f>IF(J389="","",Parametros!$B$6-J389)</f>
        <v/>
      </c>
      <c r="P389" s="5">
        <f>IF(O389="","",IF(O389&gt;0,1,0))</f>
        <v/>
      </c>
    </row>
    <row r="390">
      <c r="A390" s="5" t="n">
        <v>2122100000</v>
      </c>
      <c r="B390" s="5" t="inlineStr">
        <is>
          <t>IC4420</t>
        </is>
      </c>
      <c r="C390" s="5" t="inlineStr">
        <is>
          <t>NORDEX ENERGY SPAIN S A U</t>
        </is>
      </c>
      <c r="D390" s="5" t="inlineStr">
        <is>
          <t>RE</t>
        </is>
      </c>
      <c r="E390" s="5" t="n">
        <v>5008680</v>
      </c>
      <c r="F390" s="5" t="inlineStr">
        <is>
          <t>4026002523</t>
        </is>
      </c>
      <c r="G390" s="5" t="inlineStr">
        <is>
          <t>EUR</t>
        </is>
      </c>
      <c r="H390" s="9" t="n">
        <v>-139998.26</v>
      </c>
      <c r="I390" s="16" t="n">
        <v>46126</v>
      </c>
      <c r="J390" s="16" t="n">
        <v>46156</v>
      </c>
      <c r="K390" s="5" t="inlineStr">
        <is>
          <t>0207/26</t>
        </is>
      </c>
      <c r="L390" s="5" t="inlineStr">
        <is>
          <t>4026002523</t>
        </is>
      </c>
      <c r="M390" s="5">
        <f>IF(YEAR(I390)&lt;=2020,"Até 2020",TEXT(YEAR(I390),"0"))</f>
        <v/>
      </c>
      <c r="N390" s="5">
        <f>IFERROR(INDEX(DePara!$A:$A,MATCH(TEXT(B390,"0"),DePara!$D:$D,0)),"(sem categoria)")</f>
        <v/>
      </c>
      <c r="O390" s="5">
        <f>IF(J390="","",Parametros!$B$6-J390)</f>
        <v/>
      </c>
      <c r="P390" s="5">
        <f>IF(O390="","",IF(O390&gt;0,1,0))</f>
        <v/>
      </c>
    </row>
    <row r="391">
      <c r="A391" s="5" t="n">
        <v>2122100000</v>
      </c>
      <c r="B391" s="5" t="inlineStr">
        <is>
          <t>IC4420</t>
        </is>
      </c>
      <c r="C391" s="5" t="inlineStr">
        <is>
          <t>NORDEX ENERGY SPAIN S A U</t>
        </is>
      </c>
      <c r="D391" s="5" t="inlineStr">
        <is>
          <t>RE</t>
        </is>
      </c>
      <c r="E391" s="5" t="n">
        <v>5008681</v>
      </c>
      <c r="F391" s="5" t="inlineStr">
        <is>
          <t>4026002175</t>
        </is>
      </c>
      <c r="G391" s="5" t="inlineStr">
        <is>
          <t>EUR</t>
        </is>
      </c>
      <c r="H391" s="9" t="n">
        <v>-16749.11</v>
      </c>
      <c r="I391" s="16" t="n">
        <v>46111</v>
      </c>
      <c r="J391" s="16" t="n">
        <v>46141</v>
      </c>
      <c r="K391" s="5" t="inlineStr">
        <is>
          <t>0200/26</t>
        </is>
      </c>
      <c r="L391" s="5" t="inlineStr">
        <is>
          <t>4026002175</t>
        </is>
      </c>
      <c r="M391" s="5">
        <f>IF(YEAR(I391)&lt;=2020,"Até 2020",TEXT(YEAR(I391),"0"))</f>
        <v/>
      </c>
      <c r="N391" s="5">
        <f>IFERROR(INDEX(DePara!$A:$A,MATCH(TEXT(B391,"0"),DePara!$D:$D,0)),"(sem categoria)")</f>
        <v/>
      </c>
      <c r="O391" s="5">
        <f>IF(J391="","",Parametros!$B$6-J391)</f>
        <v/>
      </c>
      <c r="P391" s="5">
        <f>IF(O391="","",IF(O391&gt;0,1,0))</f>
        <v/>
      </c>
    </row>
    <row r="392">
      <c r="A392" s="5" t="n">
        <v>2122100000</v>
      </c>
      <c r="B392" s="5" t="inlineStr">
        <is>
          <t>IC4420</t>
        </is>
      </c>
      <c r="C392" s="5" t="inlineStr">
        <is>
          <t>NORDEX ENERGY SPAIN S A U</t>
        </is>
      </c>
      <c r="D392" s="5" t="inlineStr">
        <is>
          <t>RE</t>
        </is>
      </c>
      <c r="E392" s="5" t="n">
        <v>5008682</v>
      </c>
      <c r="F392" s="5" t="inlineStr">
        <is>
          <t>4026002371</t>
        </is>
      </c>
      <c r="G392" s="5" t="inlineStr">
        <is>
          <t>EUR</t>
        </is>
      </c>
      <c r="H392" s="9" t="n">
        <v>-490063.83</v>
      </c>
      <c r="I392" s="16" t="n">
        <v>46119</v>
      </c>
      <c r="J392" s="16" t="n">
        <v>46149</v>
      </c>
      <c r="K392" s="5" t="inlineStr">
        <is>
          <t>0185/26</t>
        </is>
      </c>
      <c r="L392" s="5" t="inlineStr">
        <is>
          <t>4026002371</t>
        </is>
      </c>
      <c r="M392" s="5">
        <f>IF(YEAR(I392)&lt;=2020,"Até 2020",TEXT(YEAR(I392),"0"))</f>
        <v/>
      </c>
      <c r="N392" s="5">
        <f>IFERROR(INDEX(DePara!$A:$A,MATCH(TEXT(B392,"0"),DePara!$D:$D,0)),"(sem categoria)")</f>
        <v/>
      </c>
      <c r="O392" s="5">
        <f>IF(J392="","",Parametros!$B$6-J392)</f>
        <v/>
      </c>
      <c r="P392" s="5">
        <f>IF(O392="","",IF(O392&gt;0,1,0))</f>
        <v/>
      </c>
    </row>
    <row r="393">
      <c r="A393" s="5" t="n">
        <v>2122100000</v>
      </c>
      <c r="B393" s="5" t="inlineStr">
        <is>
          <t>IC4420</t>
        </is>
      </c>
      <c r="C393" s="5" t="inlineStr">
        <is>
          <t>NORDEX ENERGY SPAIN S A U</t>
        </is>
      </c>
      <c r="D393" s="5" t="inlineStr">
        <is>
          <t>RE</t>
        </is>
      </c>
      <c r="E393" s="5" t="n">
        <v>5008683</v>
      </c>
      <c r="F393" s="5" t="inlineStr">
        <is>
          <t>4026001260</t>
        </is>
      </c>
      <c r="G393" s="5" t="inlineStr">
        <is>
          <t>EUR</t>
        </is>
      </c>
      <c r="H393" s="9" t="n">
        <v>-139.07</v>
      </c>
      <c r="I393" s="16" t="n">
        <v>46073</v>
      </c>
      <c r="J393" s="16" t="n">
        <v>46103</v>
      </c>
      <c r="K393" s="5" t="inlineStr">
        <is>
          <t>0092/26</t>
        </is>
      </c>
      <c r="L393" s="5" t="inlineStr">
        <is>
          <t>4026001260</t>
        </is>
      </c>
      <c r="M393" s="5">
        <f>IF(YEAR(I393)&lt;=2020,"Até 2020",TEXT(YEAR(I393),"0"))</f>
        <v/>
      </c>
      <c r="N393" s="5">
        <f>IFERROR(INDEX(DePara!$A:$A,MATCH(TEXT(B393,"0"),DePara!$D:$D,0)),"(sem categoria)")</f>
        <v/>
      </c>
      <c r="O393" s="5">
        <f>IF(J393="","",Parametros!$B$6-J393)</f>
        <v/>
      </c>
      <c r="P393" s="5">
        <f>IF(O393="","",IF(O393&gt;0,1,0))</f>
        <v/>
      </c>
    </row>
    <row r="394">
      <c r="A394" s="5" t="n">
        <v>2122100000</v>
      </c>
      <c r="B394" s="5" t="inlineStr">
        <is>
          <t>IC4420</t>
        </is>
      </c>
      <c r="C394" s="5" t="inlineStr">
        <is>
          <t>NORDEX ENERGY SPAIN S A U</t>
        </is>
      </c>
      <c r="D394" s="5" t="inlineStr">
        <is>
          <t>RE</t>
        </is>
      </c>
      <c r="E394" s="5" t="n">
        <v>5008684</v>
      </c>
      <c r="F394" s="5" t="inlineStr">
        <is>
          <t>4026002519</t>
        </is>
      </c>
      <c r="G394" s="5" t="inlineStr">
        <is>
          <t>EUR</t>
        </is>
      </c>
      <c r="H394" s="9" t="n">
        <v>-99282.45</v>
      </c>
      <c r="I394" s="16" t="n">
        <v>46126</v>
      </c>
      <c r="J394" s="16" t="n">
        <v>46156</v>
      </c>
      <c r="K394" s="5" t="inlineStr">
        <is>
          <t>0206/26</t>
        </is>
      </c>
      <c r="L394" s="5" t="inlineStr">
        <is>
          <t>4026002519</t>
        </is>
      </c>
      <c r="M394" s="5">
        <f>IF(YEAR(I394)&lt;=2020,"Até 2020",TEXT(YEAR(I394),"0"))</f>
        <v/>
      </c>
      <c r="N394" s="5">
        <f>IFERROR(INDEX(DePara!$A:$A,MATCH(TEXT(B394,"0"),DePara!$D:$D,0)),"(sem categoria)")</f>
        <v/>
      </c>
      <c r="O394" s="5">
        <f>IF(J394="","",Parametros!$B$6-J394)</f>
        <v/>
      </c>
      <c r="P394" s="5">
        <f>IF(O394="","",IF(O394&gt;0,1,0))</f>
        <v/>
      </c>
    </row>
    <row r="395">
      <c r="A395" s="5" t="n">
        <v>2122100000</v>
      </c>
      <c r="B395" s="5" t="inlineStr">
        <is>
          <t>IC4420</t>
        </is>
      </c>
      <c r="C395" s="5" t="inlineStr">
        <is>
          <t>NORDEX ENERGY SPAIN S A U</t>
        </is>
      </c>
      <c r="D395" s="5" t="inlineStr">
        <is>
          <t>RE</t>
        </is>
      </c>
      <c r="E395" s="5" t="n">
        <v>5008685</v>
      </c>
      <c r="F395" s="5" t="inlineStr">
        <is>
          <t>4026002529</t>
        </is>
      </c>
      <c r="G395" s="5" t="inlineStr">
        <is>
          <t>EUR</t>
        </is>
      </c>
      <c r="H395" s="9" t="n">
        <v>-24128.69</v>
      </c>
      <c r="I395" s="16" t="n">
        <v>46126</v>
      </c>
      <c r="J395" s="16" t="n">
        <v>46156</v>
      </c>
      <c r="K395" s="5" t="inlineStr">
        <is>
          <t>0210/26</t>
        </is>
      </c>
      <c r="L395" s="5" t="inlineStr">
        <is>
          <t>4026002529</t>
        </is>
      </c>
      <c r="M395" s="5">
        <f>IF(YEAR(I395)&lt;=2020,"Até 2020",TEXT(YEAR(I395),"0"))</f>
        <v/>
      </c>
      <c r="N395" s="5">
        <f>IFERROR(INDEX(DePara!$A:$A,MATCH(TEXT(B395,"0"),DePara!$D:$D,0)),"(sem categoria)")</f>
        <v/>
      </c>
      <c r="O395" s="5">
        <f>IF(J395="","",Parametros!$B$6-J395)</f>
        <v/>
      </c>
      <c r="P395" s="5">
        <f>IF(O395="","",IF(O395&gt;0,1,0))</f>
        <v/>
      </c>
    </row>
    <row r="396">
      <c r="A396" s="5" t="n">
        <v>2122100000</v>
      </c>
      <c r="B396" s="5" t="inlineStr">
        <is>
          <t>IC4420</t>
        </is>
      </c>
      <c r="C396" s="5" t="inlineStr">
        <is>
          <t>NORDEX ENERGY SPAIN S A U</t>
        </is>
      </c>
      <c r="D396" s="5" t="inlineStr">
        <is>
          <t>RE</t>
        </is>
      </c>
      <c r="E396" s="5" t="n">
        <v>5008686</v>
      </c>
      <c r="F396" s="5" t="inlineStr">
        <is>
          <t>4026002362</t>
        </is>
      </c>
      <c r="G396" s="5" t="inlineStr">
        <is>
          <t>EUR</t>
        </is>
      </c>
      <c r="H396" s="9" t="n">
        <v>-8824.309999999999</v>
      </c>
      <c r="I396" s="16" t="n">
        <v>46119</v>
      </c>
      <c r="J396" s="16" t="n">
        <v>46149</v>
      </c>
      <c r="K396" s="5" t="inlineStr">
        <is>
          <t>0187/26</t>
        </is>
      </c>
      <c r="L396" s="5" t="inlineStr">
        <is>
          <t>4026002362</t>
        </is>
      </c>
      <c r="M396" s="5">
        <f>IF(YEAR(I396)&lt;=2020,"Até 2020",TEXT(YEAR(I396),"0"))</f>
        <v/>
      </c>
      <c r="N396" s="5">
        <f>IFERROR(INDEX(DePara!$A:$A,MATCH(TEXT(B396,"0"),DePara!$D:$D,0)),"(sem categoria)")</f>
        <v/>
      </c>
      <c r="O396" s="5">
        <f>IF(J396="","",Parametros!$B$6-J396)</f>
        <v/>
      </c>
      <c r="P396" s="5">
        <f>IF(O396="","",IF(O396&gt;0,1,0))</f>
        <v/>
      </c>
    </row>
    <row r="397">
      <c r="A397" s="5" t="n">
        <v>2122100000</v>
      </c>
      <c r="B397" s="5" t="inlineStr">
        <is>
          <t>IC4420</t>
        </is>
      </c>
      <c r="C397" s="5" t="inlineStr">
        <is>
          <t>NORDEX ENERGY SPAIN S A U</t>
        </is>
      </c>
      <c r="D397" s="5" t="inlineStr">
        <is>
          <t>RE</t>
        </is>
      </c>
      <c r="E397" s="5" t="n">
        <v>5008687</v>
      </c>
      <c r="F397" s="5" t="inlineStr">
        <is>
          <t>4026001671</t>
        </is>
      </c>
      <c r="G397" s="5" t="inlineStr">
        <is>
          <t>EUR</t>
        </is>
      </c>
      <c r="H397" s="9" t="n">
        <v>-17771.33</v>
      </c>
      <c r="I397" s="16" t="n">
        <v>46090</v>
      </c>
      <c r="J397" s="16" t="n">
        <v>46120</v>
      </c>
      <c r="K397" s="5" t="inlineStr">
        <is>
          <t>0141/26</t>
        </is>
      </c>
      <c r="L397" s="5" t="inlineStr">
        <is>
          <t>4026001671</t>
        </is>
      </c>
      <c r="M397" s="5">
        <f>IF(YEAR(I397)&lt;=2020,"Até 2020",TEXT(YEAR(I397),"0"))</f>
        <v/>
      </c>
      <c r="N397" s="5">
        <f>IFERROR(INDEX(DePara!$A:$A,MATCH(TEXT(B397,"0"),DePara!$D:$D,0)),"(sem categoria)")</f>
        <v/>
      </c>
      <c r="O397" s="5">
        <f>IF(J397="","",Parametros!$B$6-J397)</f>
        <v/>
      </c>
      <c r="P397" s="5">
        <f>IF(O397="","",IF(O397&gt;0,1,0))</f>
        <v/>
      </c>
    </row>
    <row r="398">
      <c r="A398" s="5" t="n">
        <v>2122100000</v>
      </c>
      <c r="B398" s="5" t="inlineStr">
        <is>
          <t>IC4420</t>
        </is>
      </c>
      <c r="C398" s="5" t="inlineStr">
        <is>
          <t>NORDEX ENERGY SPAIN S A U</t>
        </is>
      </c>
      <c r="D398" s="5" t="inlineStr">
        <is>
          <t>RE</t>
        </is>
      </c>
      <c r="E398" s="5" t="n">
        <v>5008688</v>
      </c>
      <c r="F398" s="5" t="inlineStr">
        <is>
          <t>4026001262</t>
        </is>
      </c>
      <c r="G398" s="5" t="inlineStr">
        <is>
          <t>EUR</t>
        </is>
      </c>
      <c r="H398" s="9" t="n">
        <v>-194003.97</v>
      </c>
      <c r="I398" s="16" t="n">
        <v>46073</v>
      </c>
      <c r="J398" s="16" t="n">
        <v>46103</v>
      </c>
      <c r="K398" s="5" t="inlineStr">
        <is>
          <t>0095/26</t>
        </is>
      </c>
      <c r="L398" s="5" t="inlineStr">
        <is>
          <t>4026001262</t>
        </is>
      </c>
      <c r="M398" s="5">
        <f>IF(YEAR(I398)&lt;=2020,"Até 2020",TEXT(YEAR(I398),"0"))</f>
        <v/>
      </c>
      <c r="N398" s="5">
        <f>IFERROR(INDEX(DePara!$A:$A,MATCH(TEXT(B398,"0"),DePara!$D:$D,0)),"(sem categoria)")</f>
        <v/>
      </c>
      <c r="O398" s="5">
        <f>IF(J398="","",Parametros!$B$6-J398)</f>
        <v/>
      </c>
      <c r="P398" s="5">
        <f>IF(O398="","",IF(O398&gt;0,1,0))</f>
        <v/>
      </c>
    </row>
    <row r="399">
      <c r="A399" s="5" t="n">
        <v>2122100000</v>
      </c>
      <c r="B399" s="5" t="inlineStr">
        <is>
          <t>IC4420</t>
        </is>
      </c>
      <c r="C399" s="5" t="inlineStr">
        <is>
          <t>NORDEX ENERGY SPAIN S A U</t>
        </is>
      </c>
      <c r="D399" s="5" t="inlineStr">
        <is>
          <t>RE</t>
        </is>
      </c>
      <c r="E399" s="5" t="n">
        <v>5008689</v>
      </c>
      <c r="F399" s="5" t="inlineStr">
        <is>
          <t>4025009662</t>
        </is>
      </c>
      <c r="G399" s="5" t="inlineStr">
        <is>
          <t>EUR</t>
        </is>
      </c>
      <c r="H399" s="9" t="n">
        <v>-16655</v>
      </c>
      <c r="I399" s="16" t="n">
        <v>46003</v>
      </c>
      <c r="J399" s="16" t="n">
        <v>46033</v>
      </c>
      <c r="K399" s="5" t="inlineStr">
        <is>
          <t>0936/25</t>
        </is>
      </c>
      <c r="L399" s="5" t="inlineStr">
        <is>
          <t>4025009662</t>
        </is>
      </c>
      <c r="M399" s="5">
        <f>IF(YEAR(I399)&lt;=2020,"Até 2020",TEXT(YEAR(I399),"0"))</f>
        <v/>
      </c>
      <c r="N399" s="5">
        <f>IFERROR(INDEX(DePara!$A:$A,MATCH(TEXT(B399,"0"),DePara!$D:$D,0)),"(sem categoria)")</f>
        <v/>
      </c>
      <c r="O399" s="5">
        <f>IF(J399="","",Parametros!$B$6-J399)</f>
        <v/>
      </c>
      <c r="P399" s="5">
        <f>IF(O399="","",IF(O399&gt;0,1,0))</f>
        <v/>
      </c>
    </row>
    <row r="400">
      <c r="A400" s="5" t="n">
        <v>2122100000</v>
      </c>
      <c r="B400" s="5" t="inlineStr">
        <is>
          <t>IC4420</t>
        </is>
      </c>
      <c r="C400" s="5" t="inlineStr">
        <is>
          <t>NORDEX ENERGY SPAIN S A U</t>
        </is>
      </c>
      <c r="D400" s="5" t="inlineStr">
        <is>
          <t>RE</t>
        </is>
      </c>
      <c r="E400" s="5" t="n">
        <v>5008690</v>
      </c>
      <c r="F400" s="5" t="inlineStr">
        <is>
          <t>4026002521</t>
        </is>
      </c>
      <c r="G400" s="5" t="inlineStr">
        <is>
          <t>EUR</t>
        </is>
      </c>
      <c r="H400" s="9" t="n">
        <v>-178960.82</v>
      </c>
      <c r="I400" s="16" t="n">
        <v>46126</v>
      </c>
      <c r="J400" s="16" t="n">
        <v>46156</v>
      </c>
      <c r="K400" s="5" t="inlineStr">
        <is>
          <t>0206/26</t>
        </is>
      </c>
      <c r="L400" s="5" t="inlineStr">
        <is>
          <t>4026002521</t>
        </is>
      </c>
      <c r="M400" s="5">
        <f>IF(YEAR(I400)&lt;=2020,"Até 2020",TEXT(YEAR(I400),"0"))</f>
        <v/>
      </c>
      <c r="N400" s="5">
        <f>IFERROR(INDEX(DePara!$A:$A,MATCH(TEXT(B400,"0"),DePara!$D:$D,0)),"(sem categoria)")</f>
        <v/>
      </c>
      <c r="O400" s="5">
        <f>IF(J400="","",Parametros!$B$6-J400)</f>
        <v/>
      </c>
      <c r="P400" s="5">
        <f>IF(O400="","",IF(O400&gt;0,1,0))</f>
        <v/>
      </c>
    </row>
    <row r="401">
      <c r="A401" s="5" t="n">
        <v>2122100000</v>
      </c>
      <c r="B401" s="5" t="inlineStr">
        <is>
          <t>IC5000</t>
        </is>
      </c>
      <c r="C401" s="5" t="inlineStr">
        <is>
          <t>NORDEX SE</t>
        </is>
      </c>
      <c r="D401" s="5" t="inlineStr">
        <is>
          <t>KR</t>
        </is>
      </c>
      <c r="E401" s="5" t="n">
        <v>5008747</v>
      </c>
      <c r="F401" s="5" t="inlineStr">
        <is>
          <t>607334</t>
        </is>
      </c>
      <c r="G401" s="5" t="inlineStr">
        <is>
          <t>EUR</t>
        </is>
      </c>
      <c r="H401" s="9" t="n">
        <v>-7570070.95</v>
      </c>
      <c r="I401" s="16" t="n">
        <v>45216</v>
      </c>
      <c r="J401" s="16" t="n">
        <v>45216</v>
      </c>
      <c r="K401" s="5" t="inlineStr">
        <is>
          <t>Vendor Invoice NORDEX SE 607334</t>
        </is>
      </c>
      <c r="L401" s="5" t="n"/>
      <c r="M401" s="5">
        <f>IF(YEAR(I401)&lt;=2020,"Até 2020",TEXT(YEAR(I401),"0"))</f>
        <v/>
      </c>
      <c r="N401" s="5">
        <f>IFERROR(INDEX(DePara!$A:$A,MATCH(TEXT(B401,"0"),DePara!$D:$D,0)),"(sem categoria)")</f>
        <v/>
      </c>
      <c r="O401" s="5">
        <f>IF(J401="","",Parametros!$B$6-J401)</f>
        <v/>
      </c>
      <c r="P401" s="5">
        <f>IF(O401="","",IF(O401&gt;0,1,0))</f>
        <v/>
      </c>
    </row>
    <row r="402">
      <c r="A402" s="5" t="n">
        <v>2122100000</v>
      </c>
      <c r="B402" s="5" t="inlineStr">
        <is>
          <t>IC4420</t>
        </is>
      </c>
      <c r="C402" s="5" t="inlineStr">
        <is>
          <t>NORDEX ENERGY SPAIN S A U</t>
        </is>
      </c>
      <c r="D402" s="5" t="inlineStr">
        <is>
          <t>RE</t>
        </is>
      </c>
      <c r="E402" s="5" t="n">
        <v>5008763</v>
      </c>
      <c r="F402" s="5" t="inlineStr">
        <is>
          <t>4026001251</t>
        </is>
      </c>
      <c r="G402" s="5" t="inlineStr">
        <is>
          <t>EUR</t>
        </is>
      </c>
      <c r="H402" s="9" t="n">
        <v>-7072.29</v>
      </c>
      <c r="I402" s="16" t="n">
        <v>46073</v>
      </c>
      <c r="J402" s="16" t="n">
        <v>46103</v>
      </c>
      <c r="K402" s="5" t="inlineStr">
        <is>
          <t>0090/26</t>
        </is>
      </c>
      <c r="L402" s="5" t="inlineStr">
        <is>
          <t>4026001251</t>
        </is>
      </c>
      <c r="M402" s="5">
        <f>IF(YEAR(I402)&lt;=2020,"Até 2020",TEXT(YEAR(I402),"0"))</f>
        <v/>
      </c>
      <c r="N402" s="5">
        <f>IFERROR(INDEX(DePara!$A:$A,MATCH(TEXT(B402,"0"),DePara!$D:$D,0)),"(sem categoria)")</f>
        <v/>
      </c>
      <c r="O402" s="5">
        <f>IF(J402="","",Parametros!$B$6-J402)</f>
        <v/>
      </c>
      <c r="P402" s="5">
        <f>IF(O402="","",IF(O402&gt;0,1,0))</f>
        <v/>
      </c>
    </row>
    <row r="403">
      <c r="A403" s="5" t="n">
        <v>2122100000</v>
      </c>
      <c r="B403" s="5" t="inlineStr">
        <is>
          <t>IC4420</t>
        </is>
      </c>
      <c r="C403" s="5" t="inlineStr">
        <is>
          <t>NORDEX ENERGY SPAIN S A U</t>
        </is>
      </c>
      <c r="D403" s="5" t="inlineStr">
        <is>
          <t>RE</t>
        </is>
      </c>
      <c r="E403" s="5" t="n">
        <v>5008764</v>
      </c>
      <c r="F403" s="5" t="inlineStr">
        <is>
          <t>4026002596</t>
        </is>
      </c>
      <c r="G403" s="5" t="inlineStr">
        <is>
          <t>EUR</t>
        </is>
      </c>
      <c r="H403" s="9" t="n">
        <v>-2609.68</v>
      </c>
      <c r="I403" s="16" t="n">
        <v>46127</v>
      </c>
      <c r="J403" s="16" t="n">
        <v>46157</v>
      </c>
      <c r="K403" s="5" t="inlineStr">
        <is>
          <t>0220/26</t>
        </is>
      </c>
      <c r="L403" s="5" t="inlineStr">
        <is>
          <t>4026002596</t>
        </is>
      </c>
      <c r="M403" s="5">
        <f>IF(YEAR(I403)&lt;=2020,"Até 2020",TEXT(YEAR(I403),"0"))</f>
        <v/>
      </c>
      <c r="N403" s="5">
        <f>IFERROR(INDEX(DePara!$A:$A,MATCH(TEXT(B403,"0"),DePara!$D:$D,0)),"(sem categoria)")</f>
        <v/>
      </c>
      <c r="O403" s="5">
        <f>IF(J403="","",Parametros!$B$6-J403)</f>
        <v/>
      </c>
      <c r="P403" s="5">
        <f>IF(O403="","",IF(O403&gt;0,1,0))</f>
        <v/>
      </c>
    </row>
    <row r="404">
      <c r="A404" s="5" t="n">
        <v>2122100000</v>
      </c>
      <c r="B404" s="5" t="inlineStr">
        <is>
          <t>IC4420</t>
        </is>
      </c>
      <c r="C404" s="5" t="inlineStr">
        <is>
          <t>NORDEX ENERGY SPAIN S A U</t>
        </is>
      </c>
      <c r="D404" s="5" t="inlineStr">
        <is>
          <t>RE</t>
        </is>
      </c>
      <c r="E404" s="5" t="n">
        <v>5008765</v>
      </c>
      <c r="F404" s="5" t="inlineStr">
        <is>
          <t>4026001250</t>
        </is>
      </c>
      <c r="G404" s="5" t="inlineStr">
        <is>
          <t>EUR</t>
        </is>
      </c>
      <c r="H404" s="9" t="n">
        <v>-50809.97</v>
      </c>
      <c r="I404" s="16" t="n">
        <v>46073</v>
      </c>
      <c r="J404" s="16" t="n">
        <v>46103</v>
      </c>
      <c r="K404" s="5" t="inlineStr">
        <is>
          <t>0090/26</t>
        </is>
      </c>
      <c r="L404" s="5" t="inlineStr">
        <is>
          <t>4026001250</t>
        </is>
      </c>
      <c r="M404" s="5">
        <f>IF(YEAR(I404)&lt;=2020,"Até 2020",TEXT(YEAR(I404),"0"))</f>
        <v/>
      </c>
      <c r="N404" s="5">
        <f>IFERROR(INDEX(DePara!$A:$A,MATCH(TEXT(B404,"0"),DePara!$D:$D,0)),"(sem categoria)")</f>
        <v/>
      </c>
      <c r="O404" s="5">
        <f>IF(J404="","",Parametros!$B$6-J404)</f>
        <v/>
      </c>
      <c r="P404" s="5">
        <f>IF(O404="","",IF(O404&gt;0,1,0))</f>
        <v/>
      </c>
    </row>
    <row r="405">
      <c r="A405" s="5" t="n">
        <v>2122100000</v>
      </c>
      <c r="B405" s="5" t="inlineStr">
        <is>
          <t>IC4420</t>
        </is>
      </c>
      <c r="C405" s="5" t="inlineStr">
        <is>
          <t>NORDEX ENERGY SPAIN S A U</t>
        </is>
      </c>
      <c r="D405" s="5" t="inlineStr">
        <is>
          <t>RE</t>
        </is>
      </c>
      <c r="E405" s="5" t="n">
        <v>5008766</v>
      </c>
      <c r="F405" s="5" t="inlineStr">
        <is>
          <t>4026001249</t>
        </is>
      </c>
      <c r="G405" s="5" t="inlineStr">
        <is>
          <t>EUR</t>
        </is>
      </c>
      <c r="H405" s="9" t="n">
        <v>-33496.98</v>
      </c>
      <c r="I405" s="16" t="n">
        <v>46073</v>
      </c>
      <c r="J405" s="16" t="n">
        <v>46103</v>
      </c>
      <c r="K405" s="5" t="inlineStr">
        <is>
          <t>0090/26</t>
        </is>
      </c>
      <c r="L405" s="5" t="inlineStr">
        <is>
          <t>4026001249</t>
        </is>
      </c>
      <c r="M405" s="5">
        <f>IF(YEAR(I405)&lt;=2020,"Até 2020",TEXT(YEAR(I405),"0"))</f>
        <v/>
      </c>
      <c r="N405" s="5">
        <f>IFERROR(INDEX(DePara!$A:$A,MATCH(TEXT(B405,"0"),DePara!$D:$D,0)),"(sem categoria)")</f>
        <v/>
      </c>
      <c r="O405" s="5">
        <f>IF(J405="","",Parametros!$B$6-J405)</f>
        <v/>
      </c>
      <c r="P405" s="5">
        <f>IF(O405="","",IF(O405&gt;0,1,0))</f>
        <v/>
      </c>
    </row>
    <row r="406">
      <c r="A406" s="5" t="n">
        <v>2122100000</v>
      </c>
      <c r="B406" s="5" t="inlineStr">
        <is>
          <t>IC4420</t>
        </is>
      </c>
      <c r="C406" s="5" t="inlineStr">
        <is>
          <t>NORDEX ENERGY SPAIN S A U</t>
        </is>
      </c>
      <c r="D406" s="5" t="inlineStr">
        <is>
          <t>RE</t>
        </is>
      </c>
      <c r="E406" s="5" t="n">
        <v>5008777</v>
      </c>
      <c r="F406" s="5" t="inlineStr">
        <is>
          <t>4026002711</t>
        </is>
      </c>
      <c r="G406" s="5" t="inlineStr">
        <is>
          <t>EUR</t>
        </is>
      </c>
      <c r="H406" s="9" t="n">
        <v>-42491.81</v>
      </c>
      <c r="I406" s="16" t="n">
        <v>46132</v>
      </c>
      <c r="J406" s="16" t="n">
        <v>46162</v>
      </c>
      <c r="K406" s="5" t="inlineStr">
        <is>
          <t>0248/26</t>
        </is>
      </c>
      <c r="L406" s="5" t="inlineStr">
        <is>
          <t>4026002711</t>
        </is>
      </c>
      <c r="M406" s="5">
        <f>IF(YEAR(I406)&lt;=2020,"Até 2020",TEXT(YEAR(I406),"0"))</f>
        <v/>
      </c>
      <c r="N406" s="5">
        <f>IFERROR(INDEX(DePara!$A:$A,MATCH(TEXT(B406,"0"),DePara!$D:$D,0)),"(sem categoria)")</f>
        <v/>
      </c>
      <c r="O406" s="5">
        <f>IF(J406="","",Parametros!$B$6-J406)</f>
        <v/>
      </c>
      <c r="P406" s="5">
        <f>IF(O406="","",IF(O406&gt;0,1,0))</f>
        <v/>
      </c>
    </row>
    <row r="407">
      <c r="A407" s="5" t="n">
        <v>2122100000</v>
      </c>
      <c r="B407" s="5" t="inlineStr">
        <is>
          <t>IC4420</t>
        </is>
      </c>
      <c r="C407" s="5" t="inlineStr">
        <is>
          <t>NORDEX ENERGY SPAIN S A U</t>
        </is>
      </c>
      <c r="D407" s="5" t="inlineStr">
        <is>
          <t>RE</t>
        </is>
      </c>
      <c r="E407" s="5" t="n">
        <v>5008778</v>
      </c>
      <c r="F407" s="5" t="inlineStr">
        <is>
          <t>4026002705</t>
        </is>
      </c>
      <c r="G407" s="5" t="inlineStr">
        <is>
          <t>EUR</t>
        </is>
      </c>
      <c r="H407" s="9" t="n">
        <v>-47564.07</v>
      </c>
      <c r="I407" s="16" t="n">
        <v>46132</v>
      </c>
      <c r="J407" s="16" t="n">
        <v>46162</v>
      </c>
      <c r="K407" s="5" t="inlineStr">
        <is>
          <t>0244/26</t>
        </is>
      </c>
      <c r="L407" s="5" t="inlineStr">
        <is>
          <t>4026002705</t>
        </is>
      </c>
      <c r="M407" s="5">
        <f>IF(YEAR(I407)&lt;=2020,"Até 2020",TEXT(YEAR(I407),"0"))</f>
        <v/>
      </c>
      <c r="N407" s="5">
        <f>IFERROR(INDEX(DePara!$A:$A,MATCH(TEXT(B407,"0"),DePara!$D:$D,0)),"(sem categoria)")</f>
        <v/>
      </c>
      <c r="O407" s="5">
        <f>IF(J407="","",Parametros!$B$6-J407)</f>
        <v/>
      </c>
      <c r="P407" s="5">
        <f>IF(O407="","",IF(O407&gt;0,1,0))</f>
        <v/>
      </c>
    </row>
    <row r="408">
      <c r="A408" s="5" t="n">
        <v>2122100000</v>
      </c>
      <c r="B408" s="5" t="inlineStr">
        <is>
          <t>IC4420</t>
        </is>
      </c>
      <c r="C408" s="5" t="inlineStr">
        <is>
          <t>NORDEX ENERGY SPAIN S A U</t>
        </is>
      </c>
      <c r="D408" s="5" t="inlineStr">
        <is>
          <t>RE</t>
        </is>
      </c>
      <c r="E408" s="5" t="n">
        <v>5008779</v>
      </c>
      <c r="F408" s="5" t="inlineStr">
        <is>
          <t>4026002712</t>
        </is>
      </c>
      <c r="G408" s="5" t="inlineStr">
        <is>
          <t>EUR</t>
        </is>
      </c>
      <c r="H408" s="9" t="n">
        <v>-3570.07</v>
      </c>
      <c r="I408" s="16" t="n">
        <v>46132</v>
      </c>
      <c r="J408" s="16" t="n">
        <v>46162</v>
      </c>
      <c r="K408" s="5" t="inlineStr">
        <is>
          <t>0244/26</t>
        </is>
      </c>
      <c r="L408" s="5" t="inlineStr">
        <is>
          <t>4026002712</t>
        </is>
      </c>
      <c r="M408" s="5">
        <f>IF(YEAR(I408)&lt;=2020,"Até 2020",TEXT(YEAR(I408),"0"))</f>
        <v/>
      </c>
      <c r="N408" s="5">
        <f>IFERROR(INDEX(DePara!$A:$A,MATCH(TEXT(B408,"0"),DePara!$D:$D,0)),"(sem categoria)")</f>
        <v/>
      </c>
      <c r="O408" s="5">
        <f>IF(J408="","",Parametros!$B$6-J408)</f>
        <v/>
      </c>
      <c r="P408" s="5">
        <f>IF(O408="","",IF(O408&gt;0,1,0))</f>
        <v/>
      </c>
    </row>
    <row r="409">
      <c r="A409" s="5" t="n">
        <v>2122100000</v>
      </c>
      <c r="B409" s="5" t="inlineStr">
        <is>
          <t>IC1000</t>
        </is>
      </c>
      <c r="C409" s="5" t="inlineStr">
        <is>
          <t>NORDEX ENERGY SE &amp; CO KG</t>
        </is>
      </c>
      <c r="D409" s="5" t="inlineStr">
        <is>
          <t>RE</t>
        </is>
      </c>
      <c r="E409" s="5" t="n">
        <v>5008780</v>
      </c>
      <c r="F409" s="5" t="inlineStr">
        <is>
          <t>392844</t>
        </is>
      </c>
      <c r="G409" s="5" t="inlineStr">
        <is>
          <t>EUR</t>
        </is>
      </c>
      <c r="H409" s="9" t="n">
        <v>-1582.93</v>
      </c>
      <c r="I409" s="16" t="n">
        <v>46121</v>
      </c>
      <c r="J409" s="16" t="n">
        <v>46151</v>
      </c>
      <c r="K409" s="5" t="inlineStr">
        <is>
          <t>0215/26</t>
        </is>
      </c>
      <c r="L409" s="5" t="inlineStr">
        <is>
          <t>392844</t>
        </is>
      </c>
      <c r="M409" s="5">
        <f>IF(YEAR(I409)&lt;=2020,"Até 2020",TEXT(YEAR(I409),"0"))</f>
        <v/>
      </c>
      <c r="N409" s="5">
        <f>IFERROR(INDEX(DePara!$A:$A,MATCH(TEXT(B409,"0"),DePara!$D:$D,0)),"(sem categoria)")</f>
        <v/>
      </c>
      <c r="O409" s="5">
        <f>IF(J409="","",Parametros!$B$6-J409)</f>
        <v/>
      </c>
      <c r="P409" s="5">
        <f>IF(O409="","",IF(O409&gt;0,1,0))</f>
        <v/>
      </c>
    </row>
    <row r="410">
      <c r="A410" s="5" t="n">
        <v>2122100000</v>
      </c>
      <c r="B410" s="5" t="inlineStr">
        <is>
          <t>IC4420</t>
        </is>
      </c>
      <c r="C410" s="5" t="inlineStr">
        <is>
          <t>NORDEX ENERGY SPAIN S A U</t>
        </is>
      </c>
      <c r="D410" s="5" t="inlineStr">
        <is>
          <t>RE</t>
        </is>
      </c>
      <c r="E410" s="5" t="n">
        <v>5008781</v>
      </c>
      <c r="F410" s="5" t="inlineStr">
        <is>
          <t>4018000096</t>
        </is>
      </c>
      <c r="G410" s="5" t="inlineStr">
        <is>
          <t>EUR</t>
        </is>
      </c>
      <c r="H410" s="9" t="n">
        <v>-321.96</v>
      </c>
      <c r="I410" s="16" t="n">
        <v>46134</v>
      </c>
      <c r="J410" s="16" t="n">
        <v>46164</v>
      </c>
      <c r="K410" s="5" t="inlineStr">
        <is>
          <t>0216/26</t>
        </is>
      </c>
      <c r="L410" s="5" t="inlineStr">
        <is>
          <t>4018000096</t>
        </is>
      </c>
      <c r="M410" s="5">
        <f>IF(YEAR(I410)&lt;=2020,"Até 2020",TEXT(YEAR(I410),"0"))</f>
        <v/>
      </c>
      <c r="N410" s="5">
        <f>IFERROR(INDEX(DePara!$A:$A,MATCH(TEXT(B410,"0"),DePara!$D:$D,0)),"(sem categoria)")</f>
        <v/>
      </c>
      <c r="O410" s="5">
        <f>IF(J410="","",Parametros!$B$6-J410)</f>
        <v/>
      </c>
      <c r="P410" s="5">
        <f>IF(O410="","",IF(O410&gt;0,1,0))</f>
        <v/>
      </c>
    </row>
    <row r="411">
      <c r="A411" s="5" t="n">
        <v>2122100000</v>
      </c>
      <c r="B411" s="5" t="inlineStr">
        <is>
          <t>IC4420</t>
        </is>
      </c>
      <c r="C411" s="5" t="inlineStr">
        <is>
          <t>NORDEX ENERGY SPAIN S A U</t>
        </is>
      </c>
      <c r="D411" s="5" t="inlineStr">
        <is>
          <t>RE</t>
        </is>
      </c>
      <c r="E411" s="5" t="n">
        <v>5008782</v>
      </c>
      <c r="F411" s="5" t="inlineStr">
        <is>
          <t>4026003015</t>
        </is>
      </c>
      <c r="G411" s="5" t="inlineStr">
        <is>
          <t>EUR</t>
        </is>
      </c>
      <c r="H411" s="9" t="n">
        <v>-77307.09</v>
      </c>
      <c r="I411" s="16" t="n">
        <v>46142</v>
      </c>
      <c r="J411" s="16" t="n">
        <v>46172</v>
      </c>
      <c r="K411" s="5" t="inlineStr">
        <is>
          <t>0266/26</t>
        </is>
      </c>
      <c r="L411" s="5" t="inlineStr">
        <is>
          <t>4026003015</t>
        </is>
      </c>
      <c r="M411" s="5">
        <f>IF(YEAR(I411)&lt;=2020,"Até 2020",TEXT(YEAR(I411),"0"))</f>
        <v/>
      </c>
      <c r="N411" s="5">
        <f>IFERROR(INDEX(DePara!$A:$A,MATCH(TEXT(B411,"0"),DePara!$D:$D,0)),"(sem categoria)")</f>
        <v/>
      </c>
      <c r="O411" s="5">
        <f>IF(J411="","",Parametros!$B$6-J411)</f>
        <v/>
      </c>
      <c r="P411" s="5">
        <f>IF(O411="","",IF(O411&gt;0,1,0))</f>
        <v/>
      </c>
    </row>
    <row r="412">
      <c r="A412" s="5" t="n">
        <v>2122100000</v>
      </c>
      <c r="B412" s="5" t="inlineStr">
        <is>
          <t>IC4420</t>
        </is>
      </c>
      <c r="C412" s="5" t="inlineStr">
        <is>
          <t>NORDEX ENERGY SPAIN S A U</t>
        </is>
      </c>
      <c r="D412" s="5" t="inlineStr">
        <is>
          <t>RE</t>
        </is>
      </c>
      <c r="E412" s="5" t="n">
        <v>5008793</v>
      </c>
      <c r="F412" s="5" t="inlineStr">
        <is>
          <t>4026001265</t>
        </is>
      </c>
      <c r="G412" s="5" t="inlineStr">
        <is>
          <t>EUR</t>
        </is>
      </c>
      <c r="H412" s="9" t="n">
        <v>-1859785.63</v>
      </c>
      <c r="I412" s="16" t="n">
        <v>46073</v>
      </c>
      <c r="J412" s="16" t="n">
        <v>46103</v>
      </c>
      <c r="K412" s="5" t="inlineStr">
        <is>
          <t>0105/26</t>
        </is>
      </c>
      <c r="L412" s="5" t="inlineStr">
        <is>
          <t>4026001265</t>
        </is>
      </c>
      <c r="M412" s="5">
        <f>IF(YEAR(I412)&lt;=2020,"Até 2020",TEXT(YEAR(I412),"0"))</f>
        <v/>
      </c>
      <c r="N412" s="5">
        <f>IFERROR(INDEX(DePara!$A:$A,MATCH(TEXT(B412,"0"),DePara!$D:$D,0)),"(sem categoria)")</f>
        <v/>
      </c>
      <c r="O412" s="5">
        <f>IF(J412="","",Parametros!$B$6-J412)</f>
        <v/>
      </c>
      <c r="P412" s="5">
        <f>IF(O412="","",IF(O412&gt;0,1,0))</f>
        <v/>
      </c>
    </row>
    <row r="413">
      <c r="A413" s="5" t="n">
        <v>2122100000</v>
      </c>
      <c r="B413" s="5" t="inlineStr">
        <is>
          <t>IC4600</t>
        </is>
      </c>
      <c r="C413" s="5" t="inlineStr">
        <is>
          <t>NORDEX USA INC 4650</t>
        </is>
      </c>
      <c r="D413" s="5" t="inlineStr">
        <is>
          <t>RE</t>
        </is>
      </c>
      <c r="E413" s="5" t="n">
        <v>5008800</v>
      </c>
      <c r="F413" s="5" t="inlineStr">
        <is>
          <t>DN83144937</t>
        </is>
      </c>
      <c r="G413" s="5" t="inlineStr">
        <is>
          <t>USD</t>
        </is>
      </c>
      <c r="H413" s="9" t="n">
        <v>-2024882.8</v>
      </c>
      <c r="I413" s="16" t="n">
        <v>46038</v>
      </c>
      <c r="J413" s="16" t="n">
        <v>46068</v>
      </c>
      <c r="K413" s="5" t="inlineStr">
        <is>
          <t>0138/26</t>
        </is>
      </c>
      <c r="L413" s="5" t="inlineStr">
        <is>
          <t>DN83144937</t>
        </is>
      </c>
      <c r="M413" s="5">
        <f>IF(YEAR(I413)&lt;=2020,"Até 2020",TEXT(YEAR(I413),"0"))</f>
        <v/>
      </c>
      <c r="N413" s="5">
        <f>IFERROR(INDEX(DePara!$A:$A,MATCH(TEXT(B413,"0"),DePara!$D:$D,0)),"(sem categoria)")</f>
        <v/>
      </c>
      <c r="O413" s="5">
        <f>IF(J413="","",Parametros!$B$6-J413)</f>
        <v/>
      </c>
      <c r="P413" s="5">
        <f>IF(O413="","",IF(O413&gt;0,1,0))</f>
        <v/>
      </c>
    </row>
    <row r="414">
      <c r="A414" s="5" t="n">
        <v>2122100000</v>
      </c>
      <c r="B414" s="5" t="inlineStr">
        <is>
          <t>IC4420</t>
        </is>
      </c>
      <c r="C414" s="5" t="inlineStr">
        <is>
          <t>NORDEX ENERGY SPAIN S A U</t>
        </is>
      </c>
      <c r="D414" s="5" t="inlineStr">
        <is>
          <t>RE</t>
        </is>
      </c>
      <c r="E414" s="5" t="n">
        <v>5008806</v>
      </c>
      <c r="F414" s="5" t="inlineStr">
        <is>
          <t>4026002714</t>
        </is>
      </c>
      <c r="G414" s="5" t="inlineStr">
        <is>
          <t>EUR</t>
        </is>
      </c>
      <c r="H414" s="9" t="n">
        <v>-1872.12</v>
      </c>
      <c r="I414" s="16" t="n">
        <v>46132</v>
      </c>
      <c r="J414" s="16" t="n">
        <v>46162</v>
      </c>
      <c r="K414" s="5" t="inlineStr">
        <is>
          <t>0249/26</t>
        </is>
      </c>
      <c r="L414" s="5" t="inlineStr">
        <is>
          <t>4026002714</t>
        </is>
      </c>
      <c r="M414" s="5">
        <f>IF(YEAR(I414)&lt;=2020,"Até 2020",TEXT(YEAR(I414),"0"))</f>
        <v/>
      </c>
      <c r="N414" s="5">
        <f>IFERROR(INDEX(DePara!$A:$A,MATCH(TEXT(B414,"0"),DePara!$D:$D,0)),"(sem categoria)")</f>
        <v/>
      </c>
      <c r="O414" s="5">
        <f>IF(J414="","",Parametros!$B$6-J414)</f>
        <v/>
      </c>
      <c r="P414" s="5">
        <f>IF(O414="","",IF(O414&gt;0,1,0))</f>
        <v/>
      </c>
    </row>
    <row r="415">
      <c r="A415" s="5" t="n">
        <v>2122100000</v>
      </c>
      <c r="B415" s="5" t="inlineStr">
        <is>
          <t>IC4420</t>
        </is>
      </c>
      <c r="C415" s="5" t="inlineStr">
        <is>
          <t>NORDEX ENERGY SPAIN S A U</t>
        </is>
      </c>
      <c r="D415" s="5" t="inlineStr">
        <is>
          <t>RE</t>
        </is>
      </c>
      <c r="E415" s="5" t="n">
        <v>5008807</v>
      </c>
      <c r="F415" s="5" t="inlineStr">
        <is>
          <t>4026002715</t>
        </is>
      </c>
      <c r="G415" s="5" t="inlineStr">
        <is>
          <t>EUR</t>
        </is>
      </c>
      <c r="H415" s="9" t="n">
        <v>-10880.36</v>
      </c>
      <c r="I415" s="16" t="n">
        <v>46132</v>
      </c>
      <c r="J415" s="16" t="n">
        <v>46162</v>
      </c>
      <c r="K415" s="5" t="inlineStr">
        <is>
          <t>0249/26</t>
        </is>
      </c>
      <c r="L415" s="5" t="inlineStr">
        <is>
          <t>4026002715</t>
        </is>
      </c>
      <c r="M415" s="5">
        <f>IF(YEAR(I415)&lt;=2020,"Até 2020",TEXT(YEAR(I415),"0"))</f>
        <v/>
      </c>
      <c r="N415" s="5">
        <f>IFERROR(INDEX(DePara!$A:$A,MATCH(TEXT(B415,"0"),DePara!$D:$D,0)),"(sem categoria)")</f>
        <v/>
      </c>
      <c r="O415" s="5">
        <f>IF(J415="","",Parametros!$B$6-J415)</f>
        <v/>
      </c>
      <c r="P415" s="5">
        <f>IF(O415="","",IF(O415&gt;0,1,0))</f>
        <v/>
      </c>
    </row>
    <row r="416">
      <c r="A416" s="5" t="n">
        <v>2122100000</v>
      </c>
      <c r="B416" s="5" t="inlineStr">
        <is>
          <t>IC5000</t>
        </is>
      </c>
      <c r="C416" s="5" t="inlineStr">
        <is>
          <t>NORDEX SE</t>
        </is>
      </c>
      <c r="D416" s="5" t="inlineStr">
        <is>
          <t>KR</t>
        </is>
      </c>
      <c r="E416" s="5" t="n">
        <v>5008816</v>
      </c>
      <c r="F416" s="5" t="inlineStr">
        <is>
          <t>607368</t>
        </is>
      </c>
      <c r="G416" s="5" t="inlineStr">
        <is>
          <t>EUR</t>
        </is>
      </c>
      <c r="H416" s="9" t="n">
        <v>-3582530.16</v>
      </c>
      <c r="I416" s="16" t="n">
        <v>45216</v>
      </c>
      <c r="J416" s="16" t="n">
        <v>45216</v>
      </c>
      <c r="K416" s="5" t="inlineStr">
        <is>
          <t>Fatura do fornecedor NORDEX SE 607368</t>
        </is>
      </c>
      <c r="L416" s="5" t="n"/>
      <c r="M416" s="5">
        <f>IF(YEAR(I416)&lt;=2020,"Até 2020",TEXT(YEAR(I416),"0"))</f>
        <v/>
      </c>
      <c r="N416" s="5">
        <f>IFERROR(INDEX(DePara!$A:$A,MATCH(TEXT(B416,"0"),DePara!$D:$D,0)),"(sem categoria)")</f>
        <v/>
      </c>
      <c r="O416" s="5">
        <f>IF(J416="","",Parametros!$B$6-J416)</f>
        <v/>
      </c>
      <c r="P416" s="5">
        <f>IF(O416="","",IF(O416&gt;0,1,0))</f>
        <v/>
      </c>
    </row>
    <row r="417">
      <c r="A417" s="5" t="n">
        <v>2122100000</v>
      </c>
      <c r="B417" s="5" t="inlineStr">
        <is>
          <t>IC4420</t>
        </is>
      </c>
      <c r="C417" s="5" t="inlineStr">
        <is>
          <t>NORDEX ENERGY SPAIN S A U</t>
        </is>
      </c>
      <c r="D417" s="5" t="inlineStr">
        <is>
          <t>RE</t>
        </is>
      </c>
      <c r="E417" s="5" t="n">
        <v>5008868</v>
      </c>
      <c r="F417" s="5" t="inlineStr">
        <is>
          <t>4026002598</t>
        </is>
      </c>
      <c r="G417" s="5" t="inlineStr">
        <is>
          <t>EUR</t>
        </is>
      </c>
      <c r="H417" s="9" t="n">
        <v>-3653.34</v>
      </c>
      <c r="I417" s="16" t="n">
        <v>46127</v>
      </c>
      <c r="J417" s="16" t="n">
        <v>46157</v>
      </c>
      <c r="K417" s="5" t="inlineStr">
        <is>
          <t>0212/26</t>
        </is>
      </c>
      <c r="L417" s="5" t="inlineStr">
        <is>
          <t>4026002598</t>
        </is>
      </c>
      <c r="M417" s="5">
        <f>IF(YEAR(I417)&lt;=2020,"Até 2020",TEXT(YEAR(I417),"0"))</f>
        <v/>
      </c>
      <c r="N417" s="5">
        <f>IFERROR(INDEX(DePara!$A:$A,MATCH(TEXT(B417,"0"),DePara!$D:$D,0)),"(sem categoria)")</f>
        <v/>
      </c>
      <c r="O417" s="5">
        <f>IF(J417="","",Parametros!$B$6-J417)</f>
        <v/>
      </c>
      <c r="P417" s="5">
        <f>IF(O417="","",IF(O417&gt;0,1,0))</f>
        <v/>
      </c>
    </row>
    <row r="418">
      <c r="A418" s="5" t="n">
        <v>2122100000</v>
      </c>
      <c r="B418" s="5" t="inlineStr">
        <is>
          <t>IC4420</t>
        </is>
      </c>
      <c r="C418" s="5" t="inlineStr">
        <is>
          <t>NORDEX ENERGY SPAIN S A U</t>
        </is>
      </c>
      <c r="D418" s="5" t="inlineStr">
        <is>
          <t>RE</t>
        </is>
      </c>
      <c r="E418" s="5" t="n">
        <v>5008869</v>
      </c>
      <c r="F418" s="5" t="inlineStr">
        <is>
          <t>4026002718</t>
        </is>
      </c>
      <c r="G418" s="5" t="inlineStr">
        <is>
          <t>EUR</t>
        </is>
      </c>
      <c r="H418" s="9" t="n">
        <v>-139363.14</v>
      </c>
      <c r="I418" s="16" t="n">
        <v>46132</v>
      </c>
      <c r="J418" s="16" t="n">
        <v>46162</v>
      </c>
      <c r="K418" s="5" t="inlineStr">
        <is>
          <t>0252/26</t>
        </is>
      </c>
      <c r="L418" s="5" t="inlineStr">
        <is>
          <t>4026002718</t>
        </is>
      </c>
      <c r="M418" s="5">
        <f>IF(YEAR(I418)&lt;=2020,"Até 2020",TEXT(YEAR(I418),"0"))</f>
        <v/>
      </c>
      <c r="N418" s="5">
        <f>IFERROR(INDEX(DePara!$A:$A,MATCH(TEXT(B418,"0"),DePara!$D:$D,0)),"(sem categoria)")</f>
        <v/>
      </c>
      <c r="O418" s="5">
        <f>IF(J418="","",Parametros!$B$6-J418)</f>
        <v/>
      </c>
      <c r="P418" s="5">
        <f>IF(O418="","",IF(O418&gt;0,1,0))</f>
        <v/>
      </c>
    </row>
    <row r="419">
      <c r="A419" s="5" t="n">
        <v>2122100000</v>
      </c>
      <c r="B419" s="5" t="inlineStr">
        <is>
          <t>IC4420</t>
        </is>
      </c>
      <c r="C419" s="5" t="inlineStr">
        <is>
          <t>NORDEX ENERGY SPAIN S A U</t>
        </is>
      </c>
      <c r="D419" s="5" t="inlineStr">
        <is>
          <t>RE</t>
        </is>
      </c>
      <c r="E419" s="5" t="n">
        <v>5008870</v>
      </c>
      <c r="F419" s="5" t="inlineStr">
        <is>
          <t>4025009664</t>
        </is>
      </c>
      <c r="G419" s="5" t="inlineStr">
        <is>
          <t>EUR</t>
        </is>
      </c>
      <c r="H419" s="9" t="n">
        <v>-39839.57</v>
      </c>
      <c r="I419" s="16" t="n">
        <v>46003</v>
      </c>
      <c r="J419" s="16" t="n">
        <v>46033</v>
      </c>
      <c r="K419" s="5" t="inlineStr">
        <is>
          <t>0938/25</t>
        </is>
      </c>
      <c r="L419" s="5" t="inlineStr">
        <is>
          <t>4025009664</t>
        </is>
      </c>
      <c r="M419" s="5">
        <f>IF(YEAR(I419)&lt;=2020,"Até 2020",TEXT(YEAR(I419),"0"))</f>
        <v/>
      </c>
      <c r="N419" s="5">
        <f>IFERROR(INDEX(DePara!$A:$A,MATCH(TEXT(B419,"0"),DePara!$D:$D,0)),"(sem categoria)")</f>
        <v/>
      </c>
      <c r="O419" s="5">
        <f>IF(J419="","",Parametros!$B$6-J419)</f>
        <v/>
      </c>
      <c r="P419" s="5">
        <f>IF(O419="","",IF(O419&gt;0,1,0))</f>
        <v/>
      </c>
    </row>
    <row r="420">
      <c r="A420" s="5" t="n">
        <v>2122100000</v>
      </c>
      <c r="B420" s="5" t="inlineStr">
        <is>
          <t>IC4420</t>
        </is>
      </c>
      <c r="C420" s="5" t="inlineStr">
        <is>
          <t>NORDEX ENERGY SPAIN S A U</t>
        </is>
      </c>
      <c r="D420" s="5" t="inlineStr">
        <is>
          <t>RE</t>
        </is>
      </c>
      <c r="E420" s="5" t="n">
        <v>5008871</v>
      </c>
      <c r="F420" s="5" t="inlineStr">
        <is>
          <t>4026002522</t>
        </is>
      </c>
      <c r="G420" s="5" t="inlineStr">
        <is>
          <t>EUR</t>
        </is>
      </c>
      <c r="H420" s="9" t="n">
        <v>-16172.81</v>
      </c>
      <c r="I420" s="16" t="n">
        <v>46126</v>
      </c>
      <c r="J420" s="16" t="n">
        <v>46156</v>
      </c>
      <c r="K420" s="5" t="inlineStr">
        <is>
          <t>0217/26</t>
        </is>
      </c>
      <c r="L420" s="5" t="inlineStr">
        <is>
          <t>4026002522</t>
        </is>
      </c>
      <c r="M420" s="5">
        <f>IF(YEAR(I420)&lt;=2020,"Até 2020",TEXT(YEAR(I420),"0"))</f>
        <v/>
      </c>
      <c r="N420" s="5">
        <f>IFERROR(INDEX(DePara!$A:$A,MATCH(TEXT(B420,"0"),DePara!$D:$D,0)),"(sem categoria)")</f>
        <v/>
      </c>
      <c r="O420" s="5">
        <f>IF(J420="","",Parametros!$B$6-J420)</f>
        <v/>
      </c>
      <c r="P420" s="5">
        <f>IF(O420="","",IF(O420&gt;0,1,0))</f>
        <v/>
      </c>
    </row>
    <row r="421">
      <c r="A421" s="5" t="n">
        <v>2122100000</v>
      </c>
      <c r="B421" s="5" t="inlineStr">
        <is>
          <t>IC4420</t>
        </is>
      </c>
      <c r="C421" s="5" t="inlineStr">
        <is>
          <t>NORDEX ENERGY SPAIN S A U</t>
        </is>
      </c>
      <c r="D421" s="5" t="inlineStr">
        <is>
          <t>RE</t>
        </is>
      </c>
      <c r="E421" s="5" t="n">
        <v>5008880</v>
      </c>
      <c r="F421" s="5" t="inlineStr">
        <is>
          <t>4026002721</t>
        </is>
      </c>
      <c r="G421" s="5" t="inlineStr">
        <is>
          <t>EUR</t>
        </is>
      </c>
      <c r="H421" s="9" t="n">
        <v>-320.7</v>
      </c>
      <c r="I421" s="16" t="n">
        <v>46132</v>
      </c>
      <c r="J421" s="16" t="n">
        <v>46162</v>
      </c>
      <c r="K421" s="5" t="inlineStr">
        <is>
          <t>0245/26</t>
        </is>
      </c>
      <c r="L421" s="5" t="inlineStr">
        <is>
          <t>4026002721</t>
        </is>
      </c>
      <c r="M421" s="5">
        <f>IF(YEAR(I421)&lt;=2020,"Até 2020",TEXT(YEAR(I421),"0"))</f>
        <v/>
      </c>
      <c r="N421" s="5">
        <f>IFERROR(INDEX(DePara!$A:$A,MATCH(TEXT(B421,"0"),DePara!$D:$D,0)),"(sem categoria)")</f>
        <v/>
      </c>
      <c r="O421" s="5">
        <f>IF(J421="","",Parametros!$B$6-J421)</f>
        <v/>
      </c>
      <c r="P421" s="5">
        <f>IF(O421="","",IF(O421&gt;0,1,0))</f>
        <v/>
      </c>
    </row>
    <row r="422">
      <c r="A422" s="5" t="n">
        <v>2122100000</v>
      </c>
      <c r="B422" s="5" t="inlineStr">
        <is>
          <t>IC4420</t>
        </is>
      </c>
      <c r="C422" s="5" t="inlineStr">
        <is>
          <t>NORDEX ENERGY SPAIN S A U</t>
        </is>
      </c>
      <c r="D422" s="5" t="inlineStr">
        <is>
          <t>RE</t>
        </is>
      </c>
      <c r="E422" s="5" t="n">
        <v>5008881</v>
      </c>
      <c r="F422" s="5" t="inlineStr">
        <is>
          <t>4026002892</t>
        </is>
      </c>
      <c r="G422" s="5" t="inlineStr">
        <is>
          <t>EUR</t>
        </is>
      </c>
      <c r="H422" s="9" t="n">
        <v>-1351.43</v>
      </c>
      <c r="I422" s="16" t="n">
        <v>46140</v>
      </c>
      <c r="J422" s="16" t="n">
        <v>46170</v>
      </c>
      <c r="K422" s="5" t="inlineStr">
        <is>
          <t>0257/26</t>
        </is>
      </c>
      <c r="L422" s="5" t="inlineStr">
        <is>
          <t>4026002892</t>
        </is>
      </c>
      <c r="M422" s="5">
        <f>IF(YEAR(I422)&lt;=2020,"Até 2020",TEXT(YEAR(I422),"0"))</f>
        <v/>
      </c>
      <c r="N422" s="5">
        <f>IFERROR(INDEX(DePara!$A:$A,MATCH(TEXT(B422,"0"),DePara!$D:$D,0)),"(sem categoria)")</f>
        <v/>
      </c>
      <c r="O422" s="5">
        <f>IF(J422="","",Parametros!$B$6-J422)</f>
        <v/>
      </c>
      <c r="P422" s="5">
        <f>IF(O422="","",IF(O422&gt;0,1,0))</f>
        <v/>
      </c>
    </row>
    <row r="423">
      <c r="A423" s="5" t="n">
        <v>2122100000</v>
      </c>
      <c r="B423" s="5" t="inlineStr">
        <is>
          <t>IC4420</t>
        </is>
      </c>
      <c r="C423" s="5" t="inlineStr">
        <is>
          <t>NORDEX ENERGY SPAIN S A U</t>
        </is>
      </c>
      <c r="D423" s="5" t="inlineStr">
        <is>
          <t>RE</t>
        </is>
      </c>
      <c r="E423" s="5" t="n">
        <v>5008882</v>
      </c>
      <c r="F423" s="5" t="inlineStr">
        <is>
          <t>4026002708</t>
        </is>
      </c>
      <c r="G423" s="5" t="inlineStr">
        <is>
          <t>EUR</t>
        </is>
      </c>
      <c r="H423" s="9" t="n">
        <v>-1918.93</v>
      </c>
      <c r="I423" s="16" t="n">
        <v>46132</v>
      </c>
      <c r="J423" s="16" t="n">
        <v>46162</v>
      </c>
      <c r="K423" s="5" t="inlineStr">
        <is>
          <t>0245/26</t>
        </is>
      </c>
      <c r="L423" s="5" t="inlineStr">
        <is>
          <t>4026002708</t>
        </is>
      </c>
      <c r="M423" s="5">
        <f>IF(YEAR(I423)&lt;=2020,"Até 2020",TEXT(YEAR(I423),"0"))</f>
        <v/>
      </c>
      <c r="N423" s="5">
        <f>IFERROR(INDEX(DePara!$A:$A,MATCH(TEXT(B423,"0"),DePara!$D:$D,0)),"(sem categoria)")</f>
        <v/>
      </c>
      <c r="O423" s="5">
        <f>IF(J423="","",Parametros!$B$6-J423)</f>
        <v/>
      </c>
      <c r="P423" s="5">
        <f>IF(O423="","",IF(O423&gt;0,1,0))</f>
        <v/>
      </c>
    </row>
    <row r="424">
      <c r="A424" s="5" t="n">
        <v>2122100000</v>
      </c>
      <c r="B424" s="5" t="inlineStr">
        <is>
          <t>IC4420</t>
        </is>
      </c>
      <c r="C424" s="5" t="inlineStr">
        <is>
          <t>NORDEX ENERGY SPAIN S A U</t>
        </is>
      </c>
      <c r="D424" s="5" t="inlineStr">
        <is>
          <t>RE</t>
        </is>
      </c>
      <c r="E424" s="5" t="n">
        <v>5008883</v>
      </c>
      <c r="F424" s="5" t="inlineStr">
        <is>
          <t>4026002710</t>
        </is>
      </c>
      <c r="G424" s="5" t="inlineStr">
        <is>
          <t>EUR</t>
        </is>
      </c>
      <c r="H424" s="9" t="n">
        <v>-12592.62</v>
      </c>
      <c r="I424" s="16" t="n">
        <v>46132</v>
      </c>
      <c r="J424" s="16" t="n">
        <v>46162</v>
      </c>
      <c r="K424" s="5" t="inlineStr">
        <is>
          <t>0247/26</t>
        </is>
      </c>
      <c r="L424" s="5" t="inlineStr">
        <is>
          <t>4026002710</t>
        </is>
      </c>
      <c r="M424" s="5">
        <f>IF(YEAR(I424)&lt;=2020,"Até 2020",TEXT(YEAR(I424),"0"))</f>
        <v/>
      </c>
      <c r="N424" s="5">
        <f>IFERROR(INDEX(DePara!$A:$A,MATCH(TEXT(B424,"0"),DePara!$D:$D,0)),"(sem categoria)")</f>
        <v/>
      </c>
      <c r="O424" s="5">
        <f>IF(J424="","",Parametros!$B$6-J424)</f>
        <v/>
      </c>
      <c r="P424" s="5">
        <f>IF(O424="","",IF(O424&gt;0,1,0))</f>
        <v/>
      </c>
    </row>
    <row r="425">
      <c r="A425" s="5" t="n">
        <v>2122100000</v>
      </c>
      <c r="B425" s="5" t="inlineStr">
        <is>
          <t>IC4420</t>
        </is>
      </c>
      <c r="C425" s="5" t="inlineStr">
        <is>
          <t>NORDEX ENERGY SPAIN S A U</t>
        </is>
      </c>
      <c r="D425" s="5" t="inlineStr">
        <is>
          <t>RE</t>
        </is>
      </c>
      <c r="E425" s="5" t="n">
        <v>5008884</v>
      </c>
      <c r="F425" s="5" t="inlineStr">
        <is>
          <t>4026002713</t>
        </is>
      </c>
      <c r="G425" s="5" t="inlineStr">
        <is>
          <t>EUR</t>
        </is>
      </c>
      <c r="H425" s="9" t="n">
        <v>-220700.19</v>
      </c>
      <c r="I425" s="16" t="n">
        <v>46132</v>
      </c>
      <c r="J425" s="16" t="n">
        <v>46162</v>
      </c>
      <c r="K425" s="5" t="inlineStr">
        <is>
          <t>0247/26</t>
        </is>
      </c>
      <c r="L425" s="5" t="inlineStr">
        <is>
          <t>4026002713</t>
        </is>
      </c>
      <c r="M425" s="5">
        <f>IF(YEAR(I425)&lt;=2020,"Até 2020",TEXT(YEAR(I425),"0"))</f>
        <v/>
      </c>
      <c r="N425" s="5">
        <f>IFERROR(INDEX(DePara!$A:$A,MATCH(TEXT(B425,"0"),DePara!$D:$D,0)),"(sem categoria)")</f>
        <v/>
      </c>
      <c r="O425" s="5">
        <f>IF(J425="","",Parametros!$B$6-J425)</f>
        <v/>
      </c>
      <c r="P425" s="5">
        <f>IF(O425="","",IF(O425&gt;0,1,0))</f>
        <v/>
      </c>
    </row>
    <row r="426">
      <c r="A426" s="5" t="n">
        <v>2122100000</v>
      </c>
      <c r="B426" s="5" t="inlineStr">
        <is>
          <t>IC4420</t>
        </is>
      </c>
      <c r="C426" s="5" t="inlineStr">
        <is>
          <t>NORDEX ENERGY SPAIN S A U</t>
        </is>
      </c>
      <c r="D426" s="5" t="inlineStr">
        <is>
          <t>RE</t>
        </is>
      </c>
      <c r="E426" s="5" t="n">
        <v>5008885</v>
      </c>
      <c r="F426" s="5" t="inlineStr">
        <is>
          <t>4026002707</t>
        </is>
      </c>
      <c r="G426" s="5" t="inlineStr">
        <is>
          <t>EUR</t>
        </is>
      </c>
      <c r="H426" s="9" t="n">
        <v>-65825.71000000001</v>
      </c>
      <c r="I426" s="16" t="n">
        <v>46132</v>
      </c>
      <c r="J426" s="16" t="n">
        <v>46162</v>
      </c>
      <c r="K426" s="5" t="inlineStr">
        <is>
          <t>0245/26</t>
        </is>
      </c>
      <c r="L426" s="5" t="inlineStr">
        <is>
          <t>4026002707</t>
        </is>
      </c>
      <c r="M426" s="5">
        <f>IF(YEAR(I426)&lt;=2020,"Até 2020",TEXT(YEAR(I426),"0"))</f>
        <v/>
      </c>
      <c r="N426" s="5">
        <f>IFERROR(INDEX(DePara!$A:$A,MATCH(TEXT(B426,"0"),DePara!$D:$D,0)),"(sem categoria)")</f>
        <v/>
      </c>
      <c r="O426" s="5">
        <f>IF(J426="","",Parametros!$B$6-J426)</f>
        <v/>
      </c>
      <c r="P426" s="5">
        <f>IF(O426="","",IF(O426&gt;0,1,0))</f>
        <v/>
      </c>
    </row>
    <row r="427">
      <c r="A427" s="5" t="n">
        <v>2122100000</v>
      </c>
      <c r="B427" s="5" t="inlineStr">
        <is>
          <t>IC4420</t>
        </is>
      </c>
      <c r="C427" s="5" t="inlineStr">
        <is>
          <t>NORDEX ENERGY SPAIN S A U</t>
        </is>
      </c>
      <c r="D427" s="5" t="inlineStr">
        <is>
          <t>RE</t>
        </is>
      </c>
      <c r="E427" s="5" t="n">
        <v>5008939</v>
      </c>
      <c r="F427" s="5" t="inlineStr">
        <is>
          <t>4026002365</t>
        </is>
      </c>
      <c r="G427" s="5" t="inlineStr">
        <is>
          <t>EUR</t>
        </is>
      </c>
      <c r="H427" s="9" t="n">
        <v>-224.26</v>
      </c>
      <c r="I427" s="16" t="n">
        <v>46119</v>
      </c>
      <c r="J427" s="16" t="n">
        <v>46149</v>
      </c>
      <c r="K427" s="5" t="inlineStr">
        <is>
          <t>0190/26</t>
        </is>
      </c>
      <c r="L427" s="5" t="inlineStr">
        <is>
          <t>4026002365</t>
        </is>
      </c>
      <c r="M427" s="5">
        <f>IF(YEAR(I427)&lt;=2020,"Até 2020",TEXT(YEAR(I427),"0"))</f>
        <v/>
      </c>
      <c r="N427" s="5">
        <f>IFERROR(INDEX(DePara!$A:$A,MATCH(TEXT(B427,"0"),DePara!$D:$D,0)),"(sem categoria)")</f>
        <v/>
      </c>
      <c r="O427" s="5">
        <f>IF(J427="","",Parametros!$B$6-J427)</f>
        <v/>
      </c>
      <c r="P427" s="5">
        <f>IF(O427="","",IF(O427&gt;0,1,0))</f>
        <v/>
      </c>
    </row>
    <row r="428">
      <c r="A428" s="5" t="n">
        <v>2122100000</v>
      </c>
      <c r="B428" s="5" t="inlineStr">
        <is>
          <t>IC4420</t>
        </is>
      </c>
      <c r="C428" s="5" t="inlineStr">
        <is>
          <t>NORDEX ENERGY SPAIN S A U</t>
        </is>
      </c>
      <c r="D428" s="5" t="inlineStr">
        <is>
          <t>RE</t>
        </is>
      </c>
      <c r="E428" s="5" t="n">
        <v>5008940</v>
      </c>
      <c r="F428" s="5" t="inlineStr">
        <is>
          <t>4025009663</t>
        </is>
      </c>
      <c r="G428" s="5" t="inlineStr">
        <is>
          <t>EUR</t>
        </is>
      </c>
      <c r="H428" s="9" t="n">
        <v>-15770.77</v>
      </c>
      <c r="I428" s="16" t="n">
        <v>46003</v>
      </c>
      <c r="J428" s="16" t="n">
        <v>46033</v>
      </c>
      <c r="K428" s="5" t="inlineStr">
        <is>
          <t>0937/25</t>
        </is>
      </c>
      <c r="L428" s="5" t="inlineStr">
        <is>
          <t>4025009663</t>
        </is>
      </c>
      <c r="M428" s="5">
        <f>IF(YEAR(I428)&lt;=2020,"Até 2020",TEXT(YEAR(I428),"0"))</f>
        <v/>
      </c>
      <c r="N428" s="5">
        <f>IFERROR(INDEX(DePara!$A:$A,MATCH(TEXT(B428,"0"),DePara!$D:$D,0)),"(sem categoria)")</f>
        <v/>
      </c>
      <c r="O428" s="5">
        <f>IF(J428="","",Parametros!$B$6-J428)</f>
        <v/>
      </c>
      <c r="P428" s="5">
        <f>IF(O428="","",IF(O428&gt;0,1,0))</f>
        <v/>
      </c>
    </row>
    <row r="429">
      <c r="A429" s="5" t="n">
        <v>2122100000</v>
      </c>
      <c r="B429" s="5" t="inlineStr">
        <is>
          <t>IC4420</t>
        </is>
      </c>
      <c r="C429" s="5" t="inlineStr">
        <is>
          <t>NORDEX ENERGY SPAIN S A U</t>
        </is>
      </c>
      <c r="D429" s="5" t="inlineStr">
        <is>
          <t>RE</t>
        </is>
      </c>
      <c r="E429" s="5" t="n">
        <v>5008941</v>
      </c>
      <c r="F429" s="5" t="inlineStr">
        <is>
          <t>4025009670</t>
        </is>
      </c>
      <c r="G429" s="5" t="inlineStr">
        <is>
          <t>EUR</t>
        </is>
      </c>
      <c r="H429" s="9" t="n">
        <v>-20746.14</v>
      </c>
      <c r="I429" s="16" t="n">
        <v>46003</v>
      </c>
      <c r="J429" s="16" t="n">
        <v>46033</v>
      </c>
      <c r="K429" s="5" t="inlineStr">
        <is>
          <t>0944/25</t>
        </is>
      </c>
      <c r="L429" s="5" t="inlineStr">
        <is>
          <t>4025009670</t>
        </is>
      </c>
      <c r="M429" s="5">
        <f>IF(YEAR(I429)&lt;=2020,"Até 2020",TEXT(YEAR(I429),"0"))</f>
        <v/>
      </c>
      <c r="N429" s="5">
        <f>IFERROR(INDEX(DePara!$A:$A,MATCH(TEXT(B429,"0"),DePara!$D:$D,0)),"(sem categoria)")</f>
        <v/>
      </c>
      <c r="O429" s="5">
        <f>IF(J429="","",Parametros!$B$6-J429)</f>
        <v/>
      </c>
      <c r="P429" s="5">
        <f>IF(O429="","",IF(O429&gt;0,1,0))</f>
        <v/>
      </c>
    </row>
    <row r="430">
      <c r="A430" s="5" t="n">
        <v>2122100000</v>
      </c>
      <c r="B430" s="5" t="inlineStr">
        <is>
          <t>IC4420</t>
        </is>
      </c>
      <c r="C430" s="5" t="inlineStr">
        <is>
          <t>NORDEX ENERGY SPAIN S A U</t>
        </is>
      </c>
      <c r="D430" s="5" t="inlineStr">
        <is>
          <t>RE</t>
        </is>
      </c>
      <c r="E430" s="5" t="n">
        <v>5008942</v>
      </c>
      <c r="F430" s="5" t="inlineStr">
        <is>
          <t>4026001263</t>
        </is>
      </c>
      <c r="G430" s="5" t="inlineStr">
        <is>
          <t>EUR</t>
        </is>
      </c>
      <c r="H430" s="9" t="n">
        <v>-231973.58</v>
      </c>
      <c r="I430" s="16" t="n">
        <v>46073</v>
      </c>
      <c r="J430" s="16" t="n">
        <v>46103</v>
      </c>
      <c r="K430" s="5" t="inlineStr">
        <is>
          <t>0096/26</t>
        </is>
      </c>
      <c r="L430" s="5" t="inlineStr">
        <is>
          <t>4026001263</t>
        </is>
      </c>
      <c r="M430" s="5">
        <f>IF(YEAR(I430)&lt;=2020,"Até 2020",TEXT(YEAR(I430),"0"))</f>
        <v/>
      </c>
      <c r="N430" s="5">
        <f>IFERROR(INDEX(DePara!$A:$A,MATCH(TEXT(B430,"0"),DePara!$D:$D,0)),"(sem categoria)")</f>
        <v/>
      </c>
      <c r="O430" s="5">
        <f>IF(J430="","",Parametros!$B$6-J430)</f>
        <v/>
      </c>
      <c r="P430" s="5">
        <f>IF(O430="","",IF(O430&gt;0,1,0))</f>
        <v/>
      </c>
    </row>
    <row r="431">
      <c r="A431" s="5" t="n">
        <v>2122100000</v>
      </c>
      <c r="B431" s="5" t="inlineStr">
        <is>
          <t>IC4420</t>
        </is>
      </c>
      <c r="C431" s="5" t="inlineStr">
        <is>
          <t>NORDEX ENERGY SPAIN S A U</t>
        </is>
      </c>
      <c r="D431" s="5" t="inlineStr">
        <is>
          <t>RE</t>
        </is>
      </c>
      <c r="E431" s="5" t="n">
        <v>5008943</v>
      </c>
      <c r="F431" s="5" t="inlineStr">
        <is>
          <t>4026002366</t>
        </is>
      </c>
      <c r="G431" s="5" t="inlineStr">
        <is>
          <t>EUR</t>
        </is>
      </c>
      <c r="H431" s="9" t="n">
        <v>-133885.12</v>
      </c>
      <c r="I431" s="16" t="n">
        <v>46119</v>
      </c>
      <c r="J431" s="16" t="n">
        <v>46149</v>
      </c>
      <c r="K431" s="5" t="inlineStr">
        <is>
          <t>0190/26</t>
        </is>
      </c>
      <c r="L431" s="5" t="inlineStr">
        <is>
          <t>4026002366</t>
        </is>
      </c>
      <c r="M431" s="5">
        <f>IF(YEAR(I431)&lt;=2020,"Até 2020",TEXT(YEAR(I431),"0"))</f>
        <v/>
      </c>
      <c r="N431" s="5">
        <f>IFERROR(INDEX(DePara!$A:$A,MATCH(TEXT(B431,"0"),DePara!$D:$D,0)),"(sem categoria)")</f>
        <v/>
      </c>
      <c r="O431" s="5">
        <f>IF(J431="","",Parametros!$B$6-J431)</f>
        <v/>
      </c>
      <c r="P431" s="5">
        <f>IF(O431="","",IF(O431&gt;0,1,0))</f>
        <v/>
      </c>
    </row>
    <row r="432">
      <c r="A432" s="5" t="n">
        <v>2122100000</v>
      </c>
      <c r="B432" s="5" t="inlineStr">
        <is>
          <t>IC4420</t>
        </is>
      </c>
      <c r="C432" s="5" t="inlineStr">
        <is>
          <t>NORDEX ENERGY SPAIN S A U</t>
        </is>
      </c>
      <c r="D432" s="5" t="inlineStr">
        <is>
          <t>RE</t>
        </is>
      </c>
      <c r="E432" s="5" t="n">
        <v>5008972</v>
      </c>
      <c r="F432" s="5" t="inlineStr">
        <is>
          <t>4025009659</t>
        </is>
      </c>
      <c r="G432" s="5" t="inlineStr">
        <is>
          <t>EUR</t>
        </is>
      </c>
      <c r="H432" s="9" t="n">
        <v>-29718.45</v>
      </c>
      <c r="I432" s="16" t="n">
        <v>46003</v>
      </c>
      <c r="J432" s="16" t="n">
        <v>46033</v>
      </c>
      <c r="K432" s="5" t="inlineStr">
        <is>
          <t>0934/25</t>
        </is>
      </c>
      <c r="L432" s="5" t="inlineStr">
        <is>
          <t>4025009659</t>
        </is>
      </c>
      <c r="M432" s="5">
        <f>IF(YEAR(I432)&lt;=2020,"Até 2020",TEXT(YEAR(I432),"0"))</f>
        <v/>
      </c>
      <c r="N432" s="5">
        <f>IFERROR(INDEX(DePara!$A:$A,MATCH(TEXT(B432,"0"),DePara!$D:$D,0)),"(sem categoria)")</f>
        <v/>
      </c>
      <c r="O432" s="5">
        <f>IF(J432="","",Parametros!$B$6-J432)</f>
        <v/>
      </c>
      <c r="P432" s="5">
        <f>IF(O432="","",IF(O432&gt;0,1,0))</f>
        <v/>
      </c>
    </row>
    <row r="433">
      <c r="A433" s="5" t="n">
        <v>2122100000</v>
      </c>
      <c r="B433" s="5" t="inlineStr">
        <is>
          <t>IC4420</t>
        </is>
      </c>
      <c r="C433" s="5" t="inlineStr">
        <is>
          <t>NORDEX ENERGY SPAIN S A U</t>
        </is>
      </c>
      <c r="D433" s="5" t="inlineStr">
        <is>
          <t>RE</t>
        </is>
      </c>
      <c r="E433" s="5" t="n">
        <v>5009007</v>
      </c>
      <c r="F433" s="5" t="inlineStr">
        <is>
          <t>4026002719</t>
        </is>
      </c>
      <c r="G433" s="5" t="inlineStr">
        <is>
          <t>EUR</t>
        </is>
      </c>
      <c r="H433" s="9" t="n">
        <v>-1013.39</v>
      </c>
      <c r="I433" s="16" t="n">
        <v>46132</v>
      </c>
      <c r="J433" s="16" t="n">
        <v>46162</v>
      </c>
      <c r="K433" s="5" t="inlineStr">
        <is>
          <t>0253/26</t>
        </is>
      </c>
      <c r="L433" s="5" t="inlineStr">
        <is>
          <t>4026002719</t>
        </is>
      </c>
      <c r="M433" s="5">
        <f>IF(YEAR(I433)&lt;=2020,"Até 2020",TEXT(YEAR(I433),"0"))</f>
        <v/>
      </c>
      <c r="N433" s="5">
        <f>IFERROR(INDEX(DePara!$A:$A,MATCH(TEXT(B433,"0"),DePara!$D:$D,0)),"(sem categoria)")</f>
        <v/>
      </c>
      <c r="O433" s="5">
        <f>IF(J433="","",Parametros!$B$6-J433)</f>
        <v/>
      </c>
      <c r="P433" s="5">
        <f>IF(O433="","",IF(O433&gt;0,1,0))</f>
        <v/>
      </c>
    </row>
    <row r="434">
      <c r="A434" s="5" t="n">
        <v>2122100000</v>
      </c>
      <c r="B434" s="5" t="inlineStr">
        <is>
          <t>IC4420</t>
        </is>
      </c>
      <c r="C434" s="5" t="inlineStr">
        <is>
          <t>NORDEX ENERGY SPAIN S A U</t>
        </is>
      </c>
      <c r="D434" s="5" t="inlineStr">
        <is>
          <t>RE</t>
        </is>
      </c>
      <c r="E434" s="5" t="n">
        <v>5009010</v>
      </c>
      <c r="F434" s="5" t="inlineStr">
        <is>
          <t>4026002804</t>
        </is>
      </c>
      <c r="G434" s="5" t="inlineStr">
        <is>
          <t>EUR</t>
        </is>
      </c>
      <c r="H434" s="9" t="n">
        <v>-66840.78999999999</v>
      </c>
      <c r="I434" s="16" t="n">
        <v>46136</v>
      </c>
      <c r="J434" s="16" t="n">
        <v>46166</v>
      </c>
      <c r="K434" s="5" t="inlineStr">
        <is>
          <t>0255/26</t>
        </is>
      </c>
      <c r="L434" s="5" t="inlineStr">
        <is>
          <t>4026002804</t>
        </is>
      </c>
      <c r="M434" s="5">
        <f>IF(YEAR(I434)&lt;=2020,"Até 2020",TEXT(YEAR(I434),"0"))</f>
        <v/>
      </c>
      <c r="N434" s="5">
        <f>IFERROR(INDEX(DePara!$A:$A,MATCH(TEXT(B434,"0"),DePara!$D:$D,0)),"(sem categoria)")</f>
        <v/>
      </c>
      <c r="O434" s="5">
        <f>IF(J434="","",Parametros!$B$6-J434)</f>
        <v/>
      </c>
      <c r="P434" s="5">
        <f>IF(O434="","",IF(O434&gt;0,1,0))</f>
        <v/>
      </c>
    </row>
    <row r="435">
      <c r="A435" s="5" t="n">
        <v>2122100000</v>
      </c>
      <c r="B435" s="5" t="inlineStr">
        <is>
          <t>IC4420</t>
        </is>
      </c>
      <c r="C435" s="5" t="inlineStr">
        <is>
          <t>NORDEX ENERGY SPAIN S A U</t>
        </is>
      </c>
      <c r="D435" s="5" t="inlineStr">
        <is>
          <t>RE</t>
        </is>
      </c>
      <c r="E435" s="5" t="n">
        <v>5009011</v>
      </c>
      <c r="F435" s="5" t="inlineStr">
        <is>
          <t>4026001256</t>
        </is>
      </c>
      <c r="G435" s="5" t="inlineStr">
        <is>
          <t>EUR</t>
        </is>
      </c>
      <c r="H435" s="9" t="n">
        <v>-65224.13</v>
      </c>
      <c r="I435" s="16" t="n">
        <v>46073</v>
      </c>
      <c r="J435" s="16" t="n">
        <v>46103</v>
      </c>
      <c r="K435" s="5" t="inlineStr">
        <is>
          <t>0093/26</t>
        </is>
      </c>
      <c r="L435" s="5" t="inlineStr">
        <is>
          <t>4026001256</t>
        </is>
      </c>
      <c r="M435" s="5">
        <f>IF(YEAR(I435)&lt;=2020,"Até 2020",TEXT(YEAR(I435),"0"))</f>
        <v/>
      </c>
      <c r="N435" s="5">
        <f>IFERROR(INDEX(DePara!$A:$A,MATCH(TEXT(B435,"0"),DePara!$D:$D,0)),"(sem categoria)")</f>
        <v/>
      </c>
      <c r="O435" s="5">
        <f>IF(J435="","",Parametros!$B$6-J435)</f>
        <v/>
      </c>
      <c r="P435" s="5">
        <f>IF(O435="","",IF(O435&gt;0,1,0))</f>
        <v/>
      </c>
    </row>
    <row r="436">
      <c r="A436" s="5" t="n">
        <v>2122100000</v>
      </c>
      <c r="B436" s="5" t="inlineStr">
        <is>
          <t>IC4420</t>
        </is>
      </c>
      <c r="C436" s="5" t="inlineStr">
        <is>
          <t>NORDEX ENERGY SPAIN S A U</t>
        </is>
      </c>
      <c r="D436" s="5" t="inlineStr">
        <is>
          <t>RE</t>
        </is>
      </c>
      <c r="E436" s="5" t="n">
        <v>5009012</v>
      </c>
      <c r="F436" s="5" t="inlineStr">
        <is>
          <t>4026001255</t>
        </is>
      </c>
      <c r="G436" s="5" t="inlineStr">
        <is>
          <t>EUR</t>
        </is>
      </c>
      <c r="H436" s="9" t="n">
        <v>-435551.07</v>
      </c>
      <c r="I436" s="16" t="n">
        <v>46073</v>
      </c>
      <c r="J436" s="16" t="n">
        <v>46103</v>
      </c>
      <c r="K436" s="5" t="inlineStr">
        <is>
          <t>0093/26</t>
        </is>
      </c>
      <c r="L436" s="5" t="inlineStr">
        <is>
          <t>4026001255</t>
        </is>
      </c>
      <c r="M436" s="5">
        <f>IF(YEAR(I436)&lt;=2020,"Até 2020",TEXT(YEAR(I436),"0"))</f>
        <v/>
      </c>
      <c r="N436" s="5">
        <f>IFERROR(INDEX(DePara!$A:$A,MATCH(TEXT(B436,"0"),DePara!$D:$D,0)),"(sem categoria)")</f>
        <v/>
      </c>
      <c r="O436" s="5">
        <f>IF(J436="","",Parametros!$B$6-J436)</f>
        <v/>
      </c>
      <c r="P436" s="5">
        <f>IF(O436="","",IF(O436&gt;0,1,0))</f>
        <v/>
      </c>
    </row>
    <row r="437">
      <c r="A437" s="5" t="n">
        <v>2122100000</v>
      </c>
      <c r="B437" s="5" t="inlineStr">
        <is>
          <t>IC4420</t>
        </is>
      </c>
      <c r="C437" s="5" t="inlineStr">
        <is>
          <t>NORDEX ENERGY SPAIN S A U</t>
        </is>
      </c>
      <c r="D437" s="5" t="inlineStr">
        <is>
          <t>RE</t>
        </is>
      </c>
      <c r="E437" s="5" t="n">
        <v>5009013</v>
      </c>
      <c r="F437" s="5" t="inlineStr">
        <is>
          <t>4026001257</t>
        </is>
      </c>
      <c r="G437" s="5" t="inlineStr">
        <is>
          <t>EUR</t>
        </is>
      </c>
      <c r="H437" s="9" t="n">
        <v>-167056</v>
      </c>
      <c r="I437" s="16" t="n">
        <v>46073</v>
      </c>
      <c r="J437" s="16" t="n">
        <v>46103</v>
      </c>
      <c r="K437" s="5" t="inlineStr">
        <is>
          <t>0093/26</t>
        </is>
      </c>
      <c r="L437" s="5" t="inlineStr">
        <is>
          <t>4026001257</t>
        </is>
      </c>
      <c r="M437" s="5">
        <f>IF(YEAR(I437)&lt;=2020,"Até 2020",TEXT(YEAR(I437),"0"))</f>
        <v/>
      </c>
      <c r="N437" s="5">
        <f>IFERROR(INDEX(DePara!$A:$A,MATCH(TEXT(B437,"0"),DePara!$D:$D,0)),"(sem categoria)")</f>
        <v/>
      </c>
      <c r="O437" s="5">
        <f>IF(J437="","",Parametros!$B$6-J437)</f>
        <v/>
      </c>
      <c r="P437" s="5">
        <f>IF(O437="","",IF(O437&gt;0,1,0))</f>
        <v/>
      </c>
    </row>
    <row r="438">
      <c r="A438" s="5" t="n">
        <v>2122100000</v>
      </c>
      <c r="B438" s="5" t="inlineStr">
        <is>
          <t>IC4420</t>
        </is>
      </c>
      <c r="C438" s="5" t="inlineStr">
        <is>
          <t>NORDEX ENERGY SPAIN S A U</t>
        </is>
      </c>
      <c r="D438" s="5" t="inlineStr">
        <is>
          <t>RE</t>
        </is>
      </c>
      <c r="E438" s="5" t="n">
        <v>5009014</v>
      </c>
      <c r="F438" s="5" t="inlineStr">
        <is>
          <t>4026001258</t>
        </is>
      </c>
      <c r="G438" s="5" t="inlineStr">
        <is>
          <t>EUR</t>
        </is>
      </c>
      <c r="H438" s="9" t="n">
        <v>-14387.6</v>
      </c>
      <c r="I438" s="16" t="n">
        <v>46073</v>
      </c>
      <c r="J438" s="16" t="n">
        <v>46103</v>
      </c>
      <c r="K438" s="5" t="inlineStr">
        <is>
          <t>0093/26</t>
        </is>
      </c>
      <c r="L438" s="5" t="inlineStr">
        <is>
          <t>4026001258</t>
        </is>
      </c>
      <c r="M438" s="5">
        <f>IF(YEAR(I438)&lt;=2020,"Até 2020",TEXT(YEAR(I438),"0"))</f>
        <v/>
      </c>
      <c r="N438" s="5">
        <f>IFERROR(INDEX(DePara!$A:$A,MATCH(TEXT(B438,"0"),DePara!$D:$D,0)),"(sem categoria)")</f>
        <v/>
      </c>
      <c r="O438" s="5">
        <f>IF(J438="","",Parametros!$B$6-J438)</f>
        <v/>
      </c>
      <c r="P438" s="5">
        <f>IF(O438="","",IF(O438&gt;0,1,0))</f>
        <v/>
      </c>
    </row>
    <row r="439">
      <c r="A439" s="5" t="n">
        <v>2122100000</v>
      </c>
      <c r="B439" s="5" t="inlineStr">
        <is>
          <t>IC4420</t>
        </is>
      </c>
      <c r="C439" s="5" t="inlineStr">
        <is>
          <t>NORDEX ENERGY SPAIN S A U</t>
        </is>
      </c>
      <c r="D439" s="5" t="inlineStr">
        <is>
          <t>RE</t>
        </is>
      </c>
      <c r="E439" s="5" t="n">
        <v>5009015</v>
      </c>
      <c r="F439" s="5" t="inlineStr">
        <is>
          <t>4026002697</t>
        </is>
      </c>
      <c r="G439" s="5" t="inlineStr">
        <is>
          <t>EUR</t>
        </is>
      </c>
      <c r="H439" s="9" t="n">
        <v>-90589.77</v>
      </c>
      <c r="I439" s="16" t="n">
        <v>46132</v>
      </c>
      <c r="J439" s="16" t="n">
        <v>46162</v>
      </c>
      <c r="K439" s="5" t="inlineStr">
        <is>
          <t>0242/26</t>
        </is>
      </c>
      <c r="L439" s="5" t="inlineStr">
        <is>
          <t>4026002697</t>
        </is>
      </c>
      <c r="M439" s="5">
        <f>IF(YEAR(I439)&lt;=2020,"Até 2020",TEXT(YEAR(I439),"0"))</f>
        <v/>
      </c>
      <c r="N439" s="5">
        <f>IFERROR(INDEX(DePara!$A:$A,MATCH(TEXT(B439,"0"),DePara!$D:$D,0)),"(sem categoria)")</f>
        <v/>
      </c>
      <c r="O439" s="5">
        <f>IF(J439="","",Parametros!$B$6-J439)</f>
        <v/>
      </c>
      <c r="P439" s="5">
        <f>IF(O439="","",IF(O439&gt;0,1,0))</f>
        <v/>
      </c>
    </row>
    <row r="440">
      <c r="A440" s="5" t="n">
        <v>2122100000</v>
      </c>
      <c r="B440" s="5" t="inlineStr">
        <is>
          <t>IC1000</t>
        </is>
      </c>
      <c r="C440" s="5" t="inlineStr">
        <is>
          <t>NORDEX ENERGY SE &amp; CO KG</t>
        </is>
      </c>
      <c r="D440" s="5" t="inlineStr">
        <is>
          <t>RE</t>
        </is>
      </c>
      <c r="E440" s="5" t="n">
        <v>5009048</v>
      </c>
      <c r="F440" s="5" t="inlineStr">
        <is>
          <t>388748</t>
        </is>
      </c>
      <c r="G440" s="5" t="inlineStr">
        <is>
          <t>EUR</t>
        </is>
      </c>
      <c r="H440" s="9" t="n">
        <v>-922.03</v>
      </c>
      <c r="I440" s="16" t="n">
        <v>46105</v>
      </c>
      <c r="J440" s="16" t="n">
        <v>46135</v>
      </c>
      <c r="K440" s="5" t="inlineStr">
        <is>
          <t>0262/26</t>
        </is>
      </c>
      <c r="L440" s="5" t="inlineStr">
        <is>
          <t>388748</t>
        </is>
      </c>
      <c r="M440" s="5">
        <f>IF(YEAR(I440)&lt;=2020,"Até 2020",TEXT(YEAR(I440),"0"))</f>
        <v/>
      </c>
      <c r="N440" s="5">
        <f>IFERROR(INDEX(DePara!$A:$A,MATCH(TEXT(B440,"0"),DePara!$D:$D,0)),"(sem categoria)")</f>
        <v/>
      </c>
      <c r="O440" s="5">
        <f>IF(J440="","",Parametros!$B$6-J440)</f>
        <v/>
      </c>
      <c r="P440" s="5">
        <f>IF(O440="","",IF(O440&gt;0,1,0))</f>
        <v/>
      </c>
    </row>
    <row r="441">
      <c r="A441" s="5" t="n">
        <v>2122100000</v>
      </c>
      <c r="B441" s="5" t="inlineStr">
        <is>
          <t>IC1000</t>
        </is>
      </c>
      <c r="C441" s="5" t="inlineStr">
        <is>
          <t>NORDEX ENERGY SE &amp; CO KG</t>
        </is>
      </c>
      <c r="D441" s="5" t="inlineStr">
        <is>
          <t>RE</t>
        </is>
      </c>
      <c r="E441" s="5" t="n">
        <v>5009049</v>
      </c>
      <c r="F441" s="5" t="inlineStr">
        <is>
          <t>385273</t>
        </is>
      </c>
      <c r="G441" s="5" t="inlineStr">
        <is>
          <t>EUR</t>
        </is>
      </c>
      <c r="H441" s="9" t="n">
        <v>-33454.04</v>
      </c>
      <c r="I441" s="16" t="n">
        <v>46105</v>
      </c>
      <c r="J441" s="16" t="n">
        <v>46135</v>
      </c>
      <c r="K441" s="5" t="inlineStr">
        <is>
          <t>0261/26</t>
        </is>
      </c>
      <c r="L441" s="5" t="inlineStr">
        <is>
          <t>385273</t>
        </is>
      </c>
      <c r="M441" s="5">
        <f>IF(YEAR(I441)&lt;=2020,"Até 2020",TEXT(YEAR(I441),"0"))</f>
        <v/>
      </c>
      <c r="N441" s="5">
        <f>IFERROR(INDEX(DePara!$A:$A,MATCH(TEXT(B441,"0"),DePara!$D:$D,0)),"(sem categoria)")</f>
        <v/>
      </c>
      <c r="O441" s="5">
        <f>IF(J441="","",Parametros!$B$6-J441)</f>
        <v/>
      </c>
      <c r="P441" s="5">
        <f>IF(O441="","",IF(O441&gt;0,1,0))</f>
        <v/>
      </c>
    </row>
    <row r="442">
      <c r="A442" s="5" t="n">
        <v>2122100000</v>
      </c>
      <c r="B442" s="5" t="inlineStr">
        <is>
          <t>IC4420</t>
        </is>
      </c>
      <c r="C442" s="5" t="inlineStr">
        <is>
          <t>NORDEX ENERGY SPAIN S A U</t>
        </is>
      </c>
      <c r="D442" s="5" t="inlineStr">
        <is>
          <t>RE</t>
        </is>
      </c>
      <c r="E442" s="5" t="n">
        <v>5009059</v>
      </c>
      <c r="F442" s="5" t="inlineStr">
        <is>
          <t>4026002918</t>
        </is>
      </c>
      <c r="G442" s="5" t="inlineStr">
        <is>
          <t>EUR</t>
        </is>
      </c>
      <c r="H442" s="9" t="n">
        <v>-20072.26</v>
      </c>
      <c r="I442" s="16" t="n">
        <v>46141</v>
      </c>
      <c r="J442" s="16" t="n">
        <v>46171</v>
      </c>
      <c r="K442" s="5" t="inlineStr">
        <is>
          <t>0263/26</t>
        </is>
      </c>
      <c r="L442" s="5" t="inlineStr">
        <is>
          <t>4026002918</t>
        </is>
      </c>
      <c r="M442" s="5">
        <f>IF(YEAR(I442)&lt;=2020,"Até 2020",TEXT(YEAR(I442),"0"))</f>
        <v/>
      </c>
      <c r="N442" s="5">
        <f>IFERROR(INDEX(DePara!$A:$A,MATCH(TEXT(B442,"0"),DePara!$D:$D,0)),"(sem categoria)")</f>
        <v/>
      </c>
      <c r="O442" s="5">
        <f>IF(J442="","",Parametros!$B$6-J442)</f>
        <v/>
      </c>
      <c r="P442" s="5">
        <f>IF(O442="","",IF(O442&gt;0,1,0))</f>
        <v/>
      </c>
    </row>
    <row r="443">
      <c r="A443" s="5" t="n">
        <v>2122100000</v>
      </c>
      <c r="B443" s="5" t="inlineStr">
        <is>
          <t>IC4420</t>
        </is>
      </c>
      <c r="C443" s="5" t="inlineStr">
        <is>
          <t>NORDEX ENERGY SPAIN S A U</t>
        </is>
      </c>
      <c r="D443" s="5" t="inlineStr">
        <is>
          <t>RE</t>
        </is>
      </c>
      <c r="E443" s="5" t="n">
        <v>5009072</v>
      </c>
      <c r="F443" s="5" t="inlineStr">
        <is>
          <t>4026002808</t>
        </is>
      </c>
      <c r="G443" s="5" t="inlineStr">
        <is>
          <t>EUR</t>
        </is>
      </c>
      <c r="H443" s="9" t="n">
        <v>-16291.42</v>
      </c>
      <c r="I443" s="16" t="n">
        <v>46136</v>
      </c>
      <c r="J443" s="16" t="n">
        <v>46166</v>
      </c>
      <c r="K443" s="5" t="inlineStr">
        <is>
          <t>0254/26</t>
        </is>
      </c>
      <c r="L443" s="5" t="inlineStr">
        <is>
          <t>4026002808</t>
        </is>
      </c>
      <c r="M443" s="5">
        <f>IF(YEAR(I443)&lt;=2020,"Até 2020",TEXT(YEAR(I443),"0"))</f>
        <v/>
      </c>
      <c r="N443" s="5">
        <f>IFERROR(INDEX(DePara!$A:$A,MATCH(TEXT(B443,"0"),DePara!$D:$D,0)),"(sem categoria)")</f>
        <v/>
      </c>
      <c r="O443" s="5">
        <f>IF(J443="","",Parametros!$B$6-J443)</f>
        <v/>
      </c>
      <c r="P443" s="5">
        <f>IF(O443="","",IF(O443&gt;0,1,0))</f>
        <v/>
      </c>
    </row>
    <row r="444">
      <c r="A444" s="5" t="n">
        <v>2122100000</v>
      </c>
      <c r="B444" s="5" t="inlineStr">
        <is>
          <t>IC4420</t>
        </is>
      </c>
      <c r="C444" s="5" t="inlineStr">
        <is>
          <t>NORDEX ENERGY SPAIN S A U</t>
        </is>
      </c>
      <c r="D444" s="5" t="inlineStr">
        <is>
          <t>RE</t>
        </is>
      </c>
      <c r="E444" s="5" t="n">
        <v>5009196</v>
      </c>
      <c r="F444" s="5" t="inlineStr">
        <is>
          <t>4026002980</t>
        </is>
      </c>
      <c r="G444" s="5" t="inlineStr">
        <is>
          <t>EUR</t>
        </is>
      </c>
      <c r="H444" s="9" t="n">
        <v>-39079.77</v>
      </c>
      <c r="I444" s="16" t="n">
        <v>46142</v>
      </c>
      <c r="J444" s="16" t="n">
        <v>46172</v>
      </c>
      <c r="K444" s="5" t="inlineStr">
        <is>
          <t>0264/26</t>
        </is>
      </c>
      <c r="L444" s="5" t="inlineStr">
        <is>
          <t>4026002980</t>
        </is>
      </c>
      <c r="M444" s="5">
        <f>IF(YEAR(I444)&lt;=2020,"Até 2020",TEXT(YEAR(I444),"0"))</f>
        <v/>
      </c>
      <c r="N444" s="5">
        <f>IFERROR(INDEX(DePara!$A:$A,MATCH(TEXT(B444,"0"),DePara!$D:$D,0)),"(sem categoria)")</f>
        <v/>
      </c>
      <c r="O444" s="5">
        <f>IF(J444="","",Parametros!$B$6-J444)</f>
        <v/>
      </c>
      <c r="P444" s="5">
        <f>IF(O444="","",IF(O444&gt;0,1,0))</f>
        <v/>
      </c>
    </row>
    <row r="445">
      <c r="A445" s="5" t="n">
        <v>2122100000</v>
      </c>
      <c r="B445" s="5" t="inlineStr">
        <is>
          <t>IC4420</t>
        </is>
      </c>
      <c r="C445" s="5" t="inlineStr">
        <is>
          <t>NORDEX ENERGY SPAIN S A U</t>
        </is>
      </c>
      <c r="D445" s="5" t="inlineStr">
        <is>
          <t>RE</t>
        </is>
      </c>
      <c r="E445" s="5" t="n">
        <v>5009197</v>
      </c>
      <c r="F445" s="5" t="inlineStr">
        <is>
          <t>4026002177</t>
        </is>
      </c>
      <c r="G445" s="5" t="inlineStr">
        <is>
          <t>EUR</t>
        </is>
      </c>
      <c r="H445" s="9" t="n">
        <v>-7861.8</v>
      </c>
      <c r="I445" s="16" t="n">
        <v>46111</v>
      </c>
      <c r="J445" s="16" t="n">
        <v>46141</v>
      </c>
      <c r="K445" s="5" t="inlineStr">
        <is>
          <t>0201/26</t>
        </is>
      </c>
      <c r="L445" s="5" t="inlineStr">
        <is>
          <t>4026002177</t>
        </is>
      </c>
      <c r="M445" s="5">
        <f>IF(YEAR(I445)&lt;=2020,"Até 2020",TEXT(YEAR(I445),"0"))</f>
        <v/>
      </c>
      <c r="N445" s="5">
        <f>IFERROR(INDEX(DePara!$A:$A,MATCH(TEXT(B445,"0"),DePara!$D:$D,0)),"(sem categoria)")</f>
        <v/>
      </c>
      <c r="O445" s="5">
        <f>IF(J445="","",Parametros!$B$6-J445)</f>
        <v/>
      </c>
      <c r="P445" s="5">
        <f>IF(O445="","",IF(O445&gt;0,1,0))</f>
        <v/>
      </c>
    </row>
    <row r="446">
      <c r="A446" s="5" t="n">
        <v>2122100000</v>
      </c>
      <c r="B446" s="5" t="inlineStr">
        <is>
          <t>IC4420</t>
        </is>
      </c>
      <c r="C446" s="5" t="inlineStr">
        <is>
          <t>NORDEX ENERGY SPAIN S A U</t>
        </is>
      </c>
      <c r="D446" s="5" t="inlineStr">
        <is>
          <t>RE</t>
        </is>
      </c>
      <c r="E446" s="5" t="n">
        <v>5009198</v>
      </c>
      <c r="F446" s="5" t="inlineStr">
        <is>
          <t>4026002176</t>
        </is>
      </c>
      <c r="G446" s="5" t="inlineStr">
        <is>
          <t>EUR</t>
        </is>
      </c>
      <c r="H446" s="9" t="n">
        <v>-5338.45</v>
      </c>
      <c r="I446" s="16" t="n">
        <v>46111</v>
      </c>
      <c r="J446" s="16" t="n">
        <v>46141</v>
      </c>
      <c r="K446" s="5" t="inlineStr">
        <is>
          <t>0201/26</t>
        </is>
      </c>
      <c r="L446" s="5" t="inlineStr">
        <is>
          <t>4026002176</t>
        </is>
      </c>
      <c r="M446" s="5">
        <f>IF(YEAR(I446)&lt;=2020,"Até 2020",TEXT(YEAR(I446),"0"))</f>
        <v/>
      </c>
      <c r="N446" s="5">
        <f>IFERROR(INDEX(DePara!$A:$A,MATCH(TEXT(B446,"0"),DePara!$D:$D,0)),"(sem categoria)")</f>
        <v/>
      </c>
      <c r="O446" s="5">
        <f>IF(J446="","",Parametros!$B$6-J446)</f>
        <v/>
      </c>
      <c r="P446" s="5">
        <f>IF(O446="","",IF(O446&gt;0,1,0))</f>
        <v/>
      </c>
    </row>
    <row r="447">
      <c r="A447" s="5" t="n">
        <v>2122100000</v>
      </c>
      <c r="B447" s="5" t="inlineStr">
        <is>
          <t>IC4420</t>
        </is>
      </c>
      <c r="C447" s="5" t="inlineStr">
        <is>
          <t>NORDEX ENERGY SPAIN S A U</t>
        </is>
      </c>
      <c r="D447" s="5" t="inlineStr">
        <is>
          <t>RE</t>
        </is>
      </c>
      <c r="E447" s="5" t="n">
        <v>5009199</v>
      </c>
      <c r="F447" s="5" t="inlineStr">
        <is>
          <t>4026002183</t>
        </is>
      </c>
      <c r="G447" s="5" t="inlineStr">
        <is>
          <t>EUR</t>
        </is>
      </c>
      <c r="H447" s="9" t="n">
        <v>-73441.17999999999</v>
      </c>
      <c r="I447" s="16" t="n">
        <v>46111</v>
      </c>
      <c r="J447" s="16" t="n">
        <v>46141</v>
      </c>
      <c r="K447" s="5" t="inlineStr">
        <is>
          <t>0201/26</t>
        </is>
      </c>
      <c r="L447" s="5" t="inlineStr">
        <is>
          <t>4026002183</t>
        </is>
      </c>
      <c r="M447" s="5">
        <f>IF(YEAR(I447)&lt;=2020,"Até 2020",TEXT(YEAR(I447),"0"))</f>
        <v/>
      </c>
      <c r="N447" s="5">
        <f>IFERROR(INDEX(DePara!$A:$A,MATCH(TEXT(B447,"0"),DePara!$D:$D,0)),"(sem categoria)")</f>
        <v/>
      </c>
      <c r="O447" s="5">
        <f>IF(J447="","",Parametros!$B$6-J447)</f>
        <v/>
      </c>
      <c r="P447" s="5">
        <f>IF(O447="","",IF(O447&gt;0,1,0))</f>
        <v/>
      </c>
    </row>
    <row r="448">
      <c r="A448" s="5" t="n">
        <v>2122100000</v>
      </c>
      <c r="B448" s="5" t="inlineStr">
        <is>
          <t>IC4420</t>
        </is>
      </c>
      <c r="C448" s="5" t="inlineStr">
        <is>
          <t>NORDEX ENERGY SPAIN S A U</t>
        </is>
      </c>
      <c r="D448" s="5" t="inlineStr">
        <is>
          <t>RE</t>
        </is>
      </c>
      <c r="E448" s="5" t="n">
        <v>5009200</v>
      </c>
      <c r="F448" s="5" t="inlineStr">
        <is>
          <t>4026002181</t>
        </is>
      </c>
      <c r="G448" s="5" t="inlineStr">
        <is>
          <t>EUR</t>
        </is>
      </c>
      <c r="H448" s="9" t="n">
        <v>-100878.33</v>
      </c>
      <c r="I448" s="16" t="n">
        <v>46111</v>
      </c>
      <c r="J448" s="16" t="n">
        <v>46141</v>
      </c>
      <c r="K448" s="5" t="inlineStr">
        <is>
          <t>0201/26</t>
        </is>
      </c>
      <c r="L448" s="5" t="inlineStr">
        <is>
          <t>4026002181</t>
        </is>
      </c>
      <c r="M448" s="5">
        <f>IF(YEAR(I448)&lt;=2020,"Até 2020",TEXT(YEAR(I448),"0"))</f>
        <v/>
      </c>
      <c r="N448" s="5">
        <f>IFERROR(INDEX(DePara!$A:$A,MATCH(TEXT(B448,"0"),DePara!$D:$D,0)),"(sem categoria)")</f>
        <v/>
      </c>
      <c r="O448" s="5">
        <f>IF(J448="","",Parametros!$B$6-J448)</f>
        <v/>
      </c>
      <c r="P448" s="5">
        <f>IF(O448="","",IF(O448&gt;0,1,0))</f>
        <v/>
      </c>
    </row>
    <row r="449">
      <c r="A449" s="5" t="n">
        <v>2122100000</v>
      </c>
      <c r="B449" s="5" t="inlineStr">
        <is>
          <t>IC1000</t>
        </is>
      </c>
      <c r="C449" s="5" t="inlineStr">
        <is>
          <t>NORDEX ENERGY SE &amp; CO KG</t>
        </is>
      </c>
      <c r="D449" s="5" t="inlineStr">
        <is>
          <t>RE</t>
        </is>
      </c>
      <c r="E449" s="5" t="n">
        <v>5009216</v>
      </c>
      <c r="F449" s="5" t="inlineStr">
        <is>
          <t>RITM0605916</t>
        </is>
      </c>
      <c r="G449" s="5" t="inlineStr">
        <is>
          <t>EUR</t>
        </is>
      </c>
      <c r="H449" s="9" t="n">
        <v>-4271044.14</v>
      </c>
      <c r="I449" s="16" t="n">
        <v>46071</v>
      </c>
      <c r="J449" s="16" t="n">
        <v>46101</v>
      </c>
      <c r="K449" s="5" t="inlineStr">
        <is>
          <t>0103/26</t>
        </is>
      </c>
      <c r="L449" s="5" t="inlineStr">
        <is>
          <t>RITM0605916</t>
        </is>
      </c>
      <c r="M449" s="5">
        <f>IF(YEAR(I449)&lt;=2020,"Até 2020",TEXT(YEAR(I449),"0"))</f>
        <v/>
      </c>
      <c r="N449" s="5">
        <f>IFERROR(INDEX(DePara!$A:$A,MATCH(TEXT(B449,"0"),DePara!$D:$D,0)),"(sem categoria)")</f>
        <v/>
      </c>
      <c r="O449" s="5">
        <f>IF(J449="","",Parametros!$B$6-J449)</f>
        <v/>
      </c>
      <c r="P449" s="5">
        <f>IF(O449="","",IF(O449&gt;0,1,0))</f>
        <v/>
      </c>
    </row>
    <row r="450">
      <c r="A450" s="5" t="n">
        <v>2122100000</v>
      </c>
      <c r="B450" s="5" t="inlineStr">
        <is>
          <t>IC4420</t>
        </is>
      </c>
      <c r="C450" s="5" t="inlineStr">
        <is>
          <t>NORDEX ENERGY SPAIN S A U</t>
        </is>
      </c>
      <c r="D450" s="5" t="inlineStr">
        <is>
          <t>RE</t>
        </is>
      </c>
      <c r="E450" s="5" t="n">
        <v>5009372</v>
      </c>
      <c r="F450" s="5" t="inlineStr">
        <is>
          <t>4026003355</t>
        </is>
      </c>
      <c r="G450" s="5" t="inlineStr">
        <is>
          <t>EUR</t>
        </is>
      </c>
      <c r="H450" s="9" t="n">
        <v>-500029.08</v>
      </c>
      <c r="I450" s="16" t="n">
        <v>46155</v>
      </c>
      <c r="J450" s="16" t="n">
        <v>46185</v>
      </c>
      <c r="K450" s="5" t="inlineStr">
        <is>
          <t>0328/26</t>
        </is>
      </c>
      <c r="L450" s="5" t="inlineStr">
        <is>
          <t>4026003355</t>
        </is>
      </c>
      <c r="M450" s="5">
        <f>IF(YEAR(I450)&lt;=2020,"Até 2020",TEXT(YEAR(I450),"0"))</f>
        <v/>
      </c>
      <c r="N450" s="5">
        <f>IFERROR(INDEX(DePara!$A:$A,MATCH(TEXT(B450,"0"),DePara!$D:$D,0)),"(sem categoria)")</f>
        <v/>
      </c>
      <c r="O450" s="5">
        <f>IF(J450="","",Parametros!$B$6-J450)</f>
        <v/>
      </c>
      <c r="P450" s="5">
        <f>IF(O450="","",IF(O450&gt;0,1,0))</f>
        <v/>
      </c>
    </row>
    <row r="451">
      <c r="A451" s="5" t="n">
        <v>2122100000</v>
      </c>
      <c r="B451" s="5" t="inlineStr">
        <is>
          <t>IC4420</t>
        </is>
      </c>
      <c r="C451" s="5" t="inlineStr">
        <is>
          <t>NORDEX ENERGY SPAIN S A U</t>
        </is>
      </c>
      <c r="D451" s="5" t="inlineStr">
        <is>
          <t>RE</t>
        </is>
      </c>
      <c r="E451" s="5" t="n">
        <v>5009653</v>
      </c>
      <c r="F451" s="5" t="inlineStr">
        <is>
          <t>4025007232</t>
        </is>
      </c>
      <c r="G451" s="5" t="inlineStr">
        <is>
          <t>EUR</t>
        </is>
      </c>
      <c r="H451" s="9" t="n">
        <v>-9007.08</v>
      </c>
      <c r="I451" s="16" t="n">
        <v>45919</v>
      </c>
      <c r="J451" s="16" t="n">
        <v>45949</v>
      </c>
      <c r="K451" s="5" t="inlineStr">
        <is>
          <t>0775/25</t>
        </is>
      </c>
      <c r="L451" s="5" t="inlineStr">
        <is>
          <t>4025007232</t>
        </is>
      </c>
      <c r="M451" s="5">
        <f>IF(YEAR(I451)&lt;=2020,"Até 2020",TEXT(YEAR(I451),"0"))</f>
        <v/>
      </c>
      <c r="N451" s="5">
        <f>IFERROR(INDEX(DePara!$A:$A,MATCH(TEXT(B451,"0"),DePara!$D:$D,0)),"(sem categoria)")</f>
        <v/>
      </c>
      <c r="O451" s="5">
        <f>IF(J451="","",Parametros!$B$6-J451)</f>
        <v/>
      </c>
      <c r="P451" s="5">
        <f>IF(O451="","",IF(O451&gt;0,1,0))</f>
        <v/>
      </c>
    </row>
    <row r="452">
      <c r="A452" s="5" t="n">
        <v>2122100000</v>
      </c>
      <c r="B452" s="5" t="inlineStr">
        <is>
          <t>IC1000</t>
        </is>
      </c>
      <c r="C452" s="5" t="inlineStr">
        <is>
          <t>NORDEX ENERGY SE &amp; CO KG</t>
        </is>
      </c>
      <c r="D452" s="5" t="inlineStr">
        <is>
          <t>RE</t>
        </is>
      </c>
      <c r="E452" s="5" t="n">
        <v>5009660</v>
      </c>
      <c r="F452" s="5" t="inlineStr">
        <is>
          <t>312156</t>
        </is>
      </c>
      <c r="G452" s="5" t="inlineStr">
        <is>
          <t>EUR</t>
        </is>
      </c>
      <c r="H452" s="9" t="n">
        <v>-13507</v>
      </c>
      <c r="I452" s="16" t="n">
        <v>45673</v>
      </c>
      <c r="J452" s="16" t="n">
        <v>45703</v>
      </c>
      <c r="K452" s="5" t="inlineStr">
        <is>
          <t>0052/25</t>
        </is>
      </c>
      <c r="L452" s="5" t="inlineStr">
        <is>
          <t>312156</t>
        </is>
      </c>
      <c r="M452" s="5">
        <f>IF(YEAR(I452)&lt;=2020,"Até 2020",TEXT(YEAR(I452),"0"))</f>
        <v/>
      </c>
      <c r="N452" s="5">
        <f>IFERROR(INDEX(DePara!$A:$A,MATCH(TEXT(B452,"0"),DePara!$D:$D,0)),"(sem categoria)")</f>
        <v/>
      </c>
      <c r="O452" s="5">
        <f>IF(J452="","",Parametros!$B$6-J452)</f>
        <v/>
      </c>
      <c r="P452" s="5">
        <f>IF(O452="","",IF(O452&gt;0,1,0))</f>
        <v/>
      </c>
    </row>
    <row r="453">
      <c r="A453" s="5" t="n">
        <v>2122100000</v>
      </c>
      <c r="B453" s="5" t="inlineStr">
        <is>
          <t>IC1000</t>
        </is>
      </c>
      <c r="C453" s="5" t="inlineStr">
        <is>
          <t>NORDEX ENERGY SE &amp; CO KG</t>
        </is>
      </c>
      <c r="D453" s="5" t="inlineStr">
        <is>
          <t>RE</t>
        </is>
      </c>
      <c r="E453" s="5" t="n">
        <v>5009775</v>
      </c>
      <c r="F453" s="5" t="inlineStr">
        <is>
          <t>327756</t>
        </is>
      </c>
      <c r="G453" s="5" t="inlineStr">
        <is>
          <t>EUR</t>
        </is>
      </c>
      <c r="H453" s="9" t="n">
        <v>-33122.53</v>
      </c>
      <c r="I453" s="16" t="n">
        <v>45691</v>
      </c>
      <c r="J453" s="16" t="n">
        <v>45721</v>
      </c>
      <c r="K453" s="5" t="inlineStr">
        <is>
          <t>0107/25</t>
        </is>
      </c>
      <c r="L453" s="5" t="inlineStr">
        <is>
          <t>327756</t>
        </is>
      </c>
      <c r="M453" s="5">
        <f>IF(YEAR(I453)&lt;=2020,"Até 2020",TEXT(YEAR(I453),"0"))</f>
        <v/>
      </c>
      <c r="N453" s="5">
        <f>IFERROR(INDEX(DePara!$A:$A,MATCH(TEXT(B453,"0"),DePara!$D:$D,0)),"(sem categoria)")</f>
        <v/>
      </c>
      <c r="O453" s="5">
        <f>IF(J453="","",Parametros!$B$6-J453)</f>
        <v/>
      </c>
      <c r="P453" s="5">
        <f>IF(O453="","",IF(O453&gt;0,1,0))</f>
        <v/>
      </c>
    </row>
    <row r="454">
      <c r="A454" s="5" t="n">
        <v>2122100000</v>
      </c>
      <c r="B454" s="5" t="inlineStr">
        <is>
          <t>IC1000</t>
        </is>
      </c>
      <c r="C454" s="5" t="inlineStr">
        <is>
          <t>NORDEX ENERGY SE &amp; CO KG</t>
        </is>
      </c>
      <c r="D454" s="5" t="inlineStr">
        <is>
          <t>RE</t>
        </is>
      </c>
      <c r="E454" s="5" t="n">
        <v>5009776</v>
      </c>
      <c r="F454" s="5" t="inlineStr">
        <is>
          <t>326412</t>
        </is>
      </c>
      <c r="G454" s="5" t="inlineStr">
        <is>
          <t>EUR</t>
        </is>
      </c>
      <c r="H454" s="9" t="n">
        <v>-12908.65</v>
      </c>
      <c r="I454" s="16" t="n">
        <v>45684</v>
      </c>
      <c r="J454" s="16" t="n">
        <v>45714</v>
      </c>
      <c r="K454" s="5" t="inlineStr">
        <is>
          <t>0106/25</t>
        </is>
      </c>
      <c r="L454" s="5" t="inlineStr">
        <is>
          <t>326412</t>
        </is>
      </c>
      <c r="M454" s="5">
        <f>IF(YEAR(I454)&lt;=2020,"Até 2020",TEXT(YEAR(I454),"0"))</f>
        <v/>
      </c>
      <c r="N454" s="5">
        <f>IFERROR(INDEX(DePara!$A:$A,MATCH(TEXT(B454,"0"),DePara!$D:$D,0)),"(sem categoria)")</f>
        <v/>
      </c>
      <c r="O454" s="5">
        <f>IF(J454="","",Parametros!$B$6-J454)</f>
        <v/>
      </c>
      <c r="P454" s="5">
        <f>IF(O454="","",IF(O454&gt;0,1,0))</f>
        <v/>
      </c>
    </row>
    <row r="455">
      <c r="A455" s="5" t="n">
        <v>2122100000</v>
      </c>
      <c r="B455" s="5" t="inlineStr">
        <is>
          <t>IC1000</t>
        </is>
      </c>
      <c r="C455" s="5" t="inlineStr">
        <is>
          <t>NORDEX ENERGY SE &amp; CO KG</t>
        </is>
      </c>
      <c r="D455" s="5" t="inlineStr">
        <is>
          <t>RE</t>
        </is>
      </c>
      <c r="E455" s="5" t="n">
        <v>5009848</v>
      </c>
      <c r="F455" s="5" t="inlineStr">
        <is>
          <t>4012492785MHO</t>
        </is>
      </c>
      <c r="G455" s="5" t="inlineStr">
        <is>
          <t>BRL</t>
        </is>
      </c>
      <c r="H455" s="9" t="n">
        <v>-75038645.59999999</v>
      </c>
      <c r="I455" s="16" t="n">
        <v>46038</v>
      </c>
      <c r="J455" s="16" t="n">
        <v>46068</v>
      </c>
      <c r="K455" s="5" t="inlineStr">
        <is>
          <t>0029/26</t>
        </is>
      </c>
      <c r="L455" s="5" t="inlineStr">
        <is>
          <t>4012492785MHO</t>
        </is>
      </c>
      <c r="M455" s="5">
        <f>IF(YEAR(I455)&lt;=2020,"Até 2020",TEXT(YEAR(I455),"0"))</f>
        <v/>
      </c>
      <c r="N455" s="5">
        <f>IFERROR(INDEX(DePara!$A:$A,MATCH(TEXT(B455,"0"),DePara!$D:$D,0)),"(sem categoria)")</f>
        <v/>
      </c>
      <c r="O455" s="5">
        <f>IF(J455="","",Parametros!$B$6-J455)</f>
        <v/>
      </c>
      <c r="P455" s="5">
        <f>IF(O455="","",IF(O455&gt;0,1,0))</f>
        <v/>
      </c>
    </row>
    <row r="456">
      <c r="A456" s="5" t="n">
        <v>2122100000</v>
      </c>
      <c r="B456" s="5" t="inlineStr">
        <is>
          <t>IC4420</t>
        </is>
      </c>
      <c r="C456" s="5" t="inlineStr">
        <is>
          <t>NORDEX ENERGY SPAIN S A U</t>
        </is>
      </c>
      <c r="D456" s="5" t="inlineStr">
        <is>
          <t>RE</t>
        </is>
      </c>
      <c r="E456" s="5" t="n">
        <v>5009849</v>
      </c>
      <c r="F456" s="5" t="inlineStr">
        <is>
          <t>4025008982</t>
        </is>
      </c>
      <c r="G456" s="5" t="inlineStr">
        <is>
          <t>EUR</t>
        </is>
      </c>
      <c r="H456" s="9" t="n">
        <v>-426789.46</v>
      </c>
      <c r="I456" s="16" t="n">
        <v>45981</v>
      </c>
      <c r="J456" s="16" t="n">
        <v>46011</v>
      </c>
      <c r="K456" s="5" t="inlineStr">
        <is>
          <t>0871/25</t>
        </is>
      </c>
      <c r="L456" s="5" t="inlineStr">
        <is>
          <t>4025008982</t>
        </is>
      </c>
      <c r="M456" s="5">
        <f>IF(YEAR(I456)&lt;=2020,"Até 2020",TEXT(YEAR(I456),"0"))</f>
        <v/>
      </c>
      <c r="N456" s="5">
        <f>IFERROR(INDEX(DePara!$A:$A,MATCH(TEXT(B456,"0"),DePara!$D:$D,0)),"(sem categoria)")</f>
        <v/>
      </c>
      <c r="O456" s="5">
        <f>IF(J456="","",Parametros!$B$6-J456)</f>
        <v/>
      </c>
      <c r="P456" s="5">
        <f>IF(O456="","",IF(O456&gt;0,1,0))</f>
        <v/>
      </c>
    </row>
    <row r="457">
      <c r="A457" s="5" t="n">
        <v>2122100000</v>
      </c>
      <c r="B457" s="5" t="inlineStr">
        <is>
          <t>IC1000</t>
        </is>
      </c>
      <c r="C457" s="5" t="inlineStr">
        <is>
          <t>NORDEX ENERGY SE &amp; CO KG</t>
        </is>
      </c>
      <c r="D457" s="5" t="inlineStr">
        <is>
          <t>RE</t>
        </is>
      </c>
      <c r="E457" s="5" t="n">
        <v>5009853</v>
      </c>
      <c r="F457" s="5" t="inlineStr">
        <is>
          <t>4012492785HUB</t>
        </is>
      </c>
      <c r="G457" s="5" t="inlineStr">
        <is>
          <t>BRL</t>
        </is>
      </c>
      <c r="H457" s="9" t="n">
        <v>-34896148.79</v>
      </c>
      <c r="I457" s="16" t="n">
        <v>46038</v>
      </c>
      <c r="J457" s="16" t="n">
        <v>46068</v>
      </c>
      <c r="K457" s="5" t="inlineStr">
        <is>
          <t>0030/26</t>
        </is>
      </c>
      <c r="L457" s="5" t="inlineStr">
        <is>
          <t>4012492785HUB</t>
        </is>
      </c>
      <c r="M457" s="5">
        <f>IF(YEAR(I457)&lt;=2020,"Até 2020",TEXT(YEAR(I457),"0"))</f>
        <v/>
      </c>
      <c r="N457" s="5">
        <f>IFERROR(INDEX(DePara!$A:$A,MATCH(TEXT(B457,"0"),DePara!$D:$D,0)),"(sem categoria)")</f>
        <v/>
      </c>
      <c r="O457" s="5">
        <f>IF(J457="","",Parametros!$B$6-J457)</f>
        <v/>
      </c>
      <c r="P457" s="5">
        <f>IF(O457="","",IF(O457&gt;0,1,0))</f>
        <v/>
      </c>
    </row>
    <row r="458">
      <c r="A458" s="5" t="n">
        <v>2122100000</v>
      </c>
      <c r="B458" s="5" t="inlineStr">
        <is>
          <t>IC1000</t>
        </is>
      </c>
      <c r="C458" s="5" t="inlineStr">
        <is>
          <t>NORDEX ENERGY SE &amp; CO KG</t>
        </is>
      </c>
      <c r="D458" s="5" t="inlineStr">
        <is>
          <t>RE</t>
        </is>
      </c>
      <c r="E458" s="5" t="n">
        <v>5009859</v>
      </c>
      <c r="F458" s="5" t="inlineStr">
        <is>
          <t>326419</t>
        </is>
      </c>
      <c r="G458" s="5" t="inlineStr">
        <is>
          <t>EUR</t>
        </is>
      </c>
      <c r="H458" s="9" t="n">
        <v>-33246.97</v>
      </c>
      <c r="I458" s="16" t="n">
        <v>45684</v>
      </c>
      <c r="J458" s="16" t="n">
        <v>45714</v>
      </c>
      <c r="K458" s="5" t="inlineStr">
        <is>
          <t>0118/25</t>
        </is>
      </c>
      <c r="L458" s="5" t="inlineStr">
        <is>
          <t>326419</t>
        </is>
      </c>
      <c r="M458" s="5">
        <f>IF(YEAR(I458)&lt;=2020,"Até 2020",TEXT(YEAR(I458),"0"))</f>
        <v/>
      </c>
      <c r="N458" s="5">
        <f>IFERROR(INDEX(DePara!$A:$A,MATCH(TEXT(B458,"0"),DePara!$D:$D,0)),"(sem categoria)")</f>
        <v/>
      </c>
      <c r="O458" s="5">
        <f>IF(J458="","",Parametros!$B$6-J458)</f>
        <v/>
      </c>
      <c r="P458" s="5">
        <f>IF(O458="","",IF(O458&gt;0,1,0))</f>
        <v/>
      </c>
    </row>
    <row r="459">
      <c r="A459" s="5" t="n">
        <v>2122100000</v>
      </c>
      <c r="B459" s="5" t="inlineStr">
        <is>
          <t>IC4420</t>
        </is>
      </c>
      <c r="C459" s="5" t="inlineStr">
        <is>
          <t>NORDEX ENERGY SPAIN S A U</t>
        </is>
      </c>
      <c r="D459" s="5" t="inlineStr">
        <is>
          <t>RE</t>
        </is>
      </c>
      <c r="E459" s="5" t="n">
        <v>5009888</v>
      </c>
      <c r="F459" s="5" t="inlineStr">
        <is>
          <t>4018000269</t>
        </is>
      </c>
      <c r="G459" s="5" t="inlineStr">
        <is>
          <t>EUR</t>
        </is>
      </c>
      <c r="H459" s="9" t="n">
        <v>-497887.67</v>
      </c>
      <c r="I459" s="16" t="n">
        <v>46010</v>
      </c>
      <c r="J459" s="16" t="n">
        <v>46040</v>
      </c>
      <c r="K459" s="5" t="inlineStr">
        <is>
          <t>0947/25</t>
        </is>
      </c>
      <c r="L459" s="5" t="inlineStr">
        <is>
          <t>4018000269</t>
        </is>
      </c>
      <c r="M459" s="5">
        <f>IF(YEAR(I459)&lt;=2020,"Até 2020",TEXT(YEAR(I459),"0"))</f>
        <v/>
      </c>
      <c r="N459" s="5">
        <f>IFERROR(INDEX(DePara!$A:$A,MATCH(TEXT(B459,"0"),DePara!$D:$D,0)),"(sem categoria)")</f>
        <v/>
      </c>
      <c r="O459" s="5">
        <f>IF(J459="","",Parametros!$B$6-J459)</f>
        <v/>
      </c>
      <c r="P459" s="5">
        <f>IF(O459="","",IF(O459&gt;0,1,0))</f>
        <v/>
      </c>
    </row>
    <row r="460">
      <c r="A460" s="5" t="n">
        <v>2122100000</v>
      </c>
      <c r="B460" s="5" t="inlineStr">
        <is>
          <t>IC4420</t>
        </is>
      </c>
      <c r="C460" s="5" t="inlineStr">
        <is>
          <t>NORDEX ENERGY SPAIN S A U</t>
        </is>
      </c>
      <c r="D460" s="5" t="inlineStr">
        <is>
          <t>RE</t>
        </is>
      </c>
      <c r="E460" s="5" t="n">
        <v>5009915</v>
      </c>
      <c r="F460" s="5" t="inlineStr">
        <is>
          <t>4026001206</t>
        </is>
      </c>
      <c r="G460" s="5" t="inlineStr">
        <is>
          <t>EUR</t>
        </is>
      </c>
      <c r="H460" s="9" t="n">
        <v>-395546.92</v>
      </c>
      <c r="I460" s="16" t="n">
        <v>46072</v>
      </c>
      <c r="J460" s="16" t="n">
        <v>46102</v>
      </c>
      <c r="K460" s="5" t="inlineStr">
        <is>
          <t>0150/26</t>
        </is>
      </c>
      <c r="L460" s="5" t="inlineStr">
        <is>
          <t>4026001206</t>
        </is>
      </c>
      <c r="M460" s="5">
        <f>IF(YEAR(I460)&lt;=2020,"Até 2020",TEXT(YEAR(I460),"0"))</f>
        <v/>
      </c>
      <c r="N460" s="5">
        <f>IFERROR(INDEX(DePara!$A:$A,MATCH(TEXT(B460,"0"),DePara!$D:$D,0)),"(sem categoria)")</f>
        <v/>
      </c>
      <c r="O460" s="5">
        <f>IF(J460="","",Parametros!$B$6-J460)</f>
        <v/>
      </c>
      <c r="P460" s="5">
        <f>IF(O460="","",IF(O460&gt;0,1,0))</f>
        <v/>
      </c>
    </row>
    <row r="461">
      <c r="A461" s="5" t="n">
        <v>2122100000</v>
      </c>
      <c r="B461" s="5" t="inlineStr">
        <is>
          <t>IC4420</t>
        </is>
      </c>
      <c r="C461" s="5" t="inlineStr">
        <is>
          <t>NORDEX ENERGY SPAIN S A U</t>
        </is>
      </c>
      <c r="D461" s="5" t="inlineStr">
        <is>
          <t>RE</t>
        </is>
      </c>
      <c r="E461" s="5" t="n">
        <v>5009928</v>
      </c>
      <c r="F461" s="5" t="inlineStr">
        <is>
          <t>4026003575</t>
        </is>
      </c>
      <c r="G461" s="5" t="inlineStr">
        <is>
          <t>EUR</t>
        </is>
      </c>
      <c r="H461" s="9" t="n">
        <v>-7326.19</v>
      </c>
      <c r="I461" s="16" t="n">
        <v>46161</v>
      </c>
      <c r="J461" s="16" t="n">
        <v>46191</v>
      </c>
      <c r="K461" s="5" t="inlineStr">
        <is>
          <t>0354/26</t>
        </is>
      </c>
      <c r="L461" s="5" t="inlineStr">
        <is>
          <t>4026003575</t>
        </is>
      </c>
      <c r="M461" s="5">
        <f>IF(YEAR(I461)&lt;=2020,"Até 2020",TEXT(YEAR(I461),"0"))</f>
        <v/>
      </c>
      <c r="N461" s="5">
        <f>IFERROR(INDEX(DePara!$A:$A,MATCH(TEXT(B461,"0"),DePara!$D:$D,0)),"(sem categoria)")</f>
        <v/>
      </c>
      <c r="O461" s="5">
        <f>IF(J461="","",Parametros!$B$6-J461)</f>
        <v/>
      </c>
      <c r="P461" s="5">
        <f>IF(O461="","",IF(O461&gt;0,1,0))</f>
        <v/>
      </c>
    </row>
    <row r="462">
      <c r="A462" s="5" t="n">
        <v>2122100000</v>
      </c>
      <c r="B462" s="5" t="inlineStr">
        <is>
          <t>IC4420</t>
        </is>
      </c>
      <c r="C462" s="5" t="inlineStr">
        <is>
          <t>NORDEX ENERGY SPAIN S A U</t>
        </is>
      </c>
      <c r="D462" s="5" t="inlineStr">
        <is>
          <t>RE</t>
        </is>
      </c>
      <c r="E462" s="5" t="n">
        <v>5009947</v>
      </c>
      <c r="F462" s="5" t="inlineStr">
        <is>
          <t>4026003092</t>
        </is>
      </c>
      <c r="G462" s="5" t="inlineStr">
        <is>
          <t>EUR</t>
        </is>
      </c>
      <c r="H462" s="9" t="n">
        <v>-311653.9</v>
      </c>
      <c r="I462" s="16" t="n">
        <v>46146</v>
      </c>
      <c r="J462" s="16" t="n">
        <v>46176</v>
      </c>
      <c r="K462" s="5" t="inlineStr">
        <is>
          <t>0289/26</t>
        </is>
      </c>
      <c r="L462" s="5" t="inlineStr">
        <is>
          <t>4026003092</t>
        </is>
      </c>
      <c r="M462" s="5">
        <f>IF(YEAR(I462)&lt;=2020,"Até 2020",TEXT(YEAR(I462),"0"))</f>
        <v/>
      </c>
      <c r="N462" s="5">
        <f>IFERROR(INDEX(DePara!$A:$A,MATCH(TEXT(B462,"0"),DePara!$D:$D,0)),"(sem categoria)")</f>
        <v/>
      </c>
      <c r="O462" s="5">
        <f>IF(J462="","",Parametros!$B$6-J462)</f>
        <v/>
      </c>
      <c r="P462" s="5">
        <f>IF(O462="","",IF(O462&gt;0,1,0))</f>
        <v/>
      </c>
    </row>
    <row r="463">
      <c r="A463" s="5" t="n">
        <v>2122100000</v>
      </c>
      <c r="B463" s="5" t="inlineStr">
        <is>
          <t>IC4420</t>
        </is>
      </c>
      <c r="C463" s="5" t="inlineStr">
        <is>
          <t>NORDEX ENERGY SPAIN S A U</t>
        </is>
      </c>
      <c r="D463" s="5" t="inlineStr">
        <is>
          <t>RE</t>
        </is>
      </c>
      <c r="E463" s="5" t="n">
        <v>5009950</v>
      </c>
      <c r="F463" s="5" t="inlineStr">
        <is>
          <t>4026002917</t>
        </is>
      </c>
      <c r="G463" s="5" t="inlineStr">
        <is>
          <t>EUR</t>
        </is>
      </c>
      <c r="H463" s="9" t="n">
        <v>-2966.41</v>
      </c>
      <c r="I463" s="16" t="n">
        <v>46141</v>
      </c>
      <c r="J463" s="16" t="n">
        <v>46171</v>
      </c>
      <c r="K463" s="5" t="inlineStr">
        <is>
          <t>0260/26</t>
        </is>
      </c>
      <c r="L463" s="5" t="inlineStr">
        <is>
          <t>4026002917</t>
        </is>
      </c>
      <c r="M463" s="5">
        <f>IF(YEAR(I463)&lt;=2020,"Até 2020",TEXT(YEAR(I463),"0"))</f>
        <v/>
      </c>
      <c r="N463" s="5">
        <f>IFERROR(INDEX(DePara!$A:$A,MATCH(TEXT(B463,"0"),DePara!$D:$D,0)),"(sem categoria)")</f>
        <v/>
      </c>
      <c r="O463" s="5">
        <f>IF(J463="","",Parametros!$B$6-J463)</f>
        <v/>
      </c>
      <c r="P463" s="5">
        <f>IF(O463="","",IF(O463&gt;0,1,0))</f>
        <v/>
      </c>
    </row>
    <row r="464">
      <c r="A464" s="5" t="n">
        <v>2122100000</v>
      </c>
      <c r="B464" s="5" t="inlineStr">
        <is>
          <t>IC4420</t>
        </is>
      </c>
      <c r="C464" s="5" t="inlineStr">
        <is>
          <t>NORDEX ENERGY SPAIN S A U</t>
        </is>
      </c>
      <c r="D464" s="5" t="inlineStr">
        <is>
          <t>RE</t>
        </is>
      </c>
      <c r="E464" s="5" t="n">
        <v>5009951</v>
      </c>
      <c r="F464" s="5" t="inlineStr">
        <is>
          <t>4026002716</t>
        </is>
      </c>
      <c r="G464" s="5" t="inlineStr">
        <is>
          <t>EUR</t>
        </is>
      </c>
      <c r="H464" s="9" t="n">
        <v>-69504.92</v>
      </c>
      <c r="I464" s="16" t="n">
        <v>46132</v>
      </c>
      <c r="J464" s="16" t="n">
        <v>46162</v>
      </c>
      <c r="K464" s="5" t="inlineStr">
        <is>
          <t>0250/26</t>
        </is>
      </c>
      <c r="L464" s="5" t="inlineStr">
        <is>
          <t>4026002716</t>
        </is>
      </c>
      <c r="M464" s="5">
        <f>IF(YEAR(I464)&lt;=2020,"Até 2020",TEXT(YEAR(I464),"0"))</f>
        <v/>
      </c>
      <c r="N464" s="5">
        <f>IFERROR(INDEX(DePara!$A:$A,MATCH(TEXT(B464,"0"),DePara!$D:$D,0)),"(sem categoria)")</f>
        <v/>
      </c>
      <c r="O464" s="5">
        <f>IF(J464="","",Parametros!$B$6-J464)</f>
        <v/>
      </c>
      <c r="P464" s="5">
        <f>IF(O464="","",IF(O464&gt;0,1,0))</f>
        <v/>
      </c>
    </row>
    <row r="465">
      <c r="A465" s="5" t="n">
        <v>2122100000</v>
      </c>
      <c r="B465" s="5" t="inlineStr">
        <is>
          <t>IC4420</t>
        </is>
      </c>
      <c r="C465" s="5" t="inlineStr">
        <is>
          <t>NORDEX ENERGY SPAIN S A U</t>
        </is>
      </c>
      <c r="D465" s="5" t="inlineStr">
        <is>
          <t>RE</t>
        </is>
      </c>
      <c r="E465" s="5" t="n">
        <v>5009952</v>
      </c>
      <c r="F465" s="5" t="inlineStr">
        <is>
          <t>4025008980</t>
        </is>
      </c>
      <c r="G465" s="5" t="inlineStr">
        <is>
          <t>EUR</t>
        </is>
      </c>
      <c r="H465" s="9" t="n">
        <v>-141735.08</v>
      </c>
      <c r="I465" s="16" t="n">
        <v>45981</v>
      </c>
      <c r="J465" s="16" t="n">
        <v>46011</v>
      </c>
      <c r="K465" s="5" t="inlineStr">
        <is>
          <t>0870/25</t>
        </is>
      </c>
      <c r="L465" s="5" t="inlineStr">
        <is>
          <t>4025008980</t>
        </is>
      </c>
      <c r="M465" s="5">
        <f>IF(YEAR(I465)&lt;=2020,"Até 2020",TEXT(YEAR(I465),"0"))</f>
        <v/>
      </c>
      <c r="N465" s="5">
        <f>IFERROR(INDEX(DePara!$A:$A,MATCH(TEXT(B465,"0"),DePara!$D:$D,0)),"(sem categoria)")</f>
        <v/>
      </c>
      <c r="O465" s="5">
        <f>IF(J465="","",Parametros!$B$6-J465)</f>
        <v/>
      </c>
      <c r="P465" s="5">
        <f>IF(O465="","",IF(O465&gt;0,1,0))</f>
        <v/>
      </c>
    </row>
    <row r="466">
      <c r="A466" s="5" t="n">
        <v>2122100000</v>
      </c>
      <c r="B466" s="5" t="inlineStr">
        <is>
          <t>IC1000</t>
        </is>
      </c>
      <c r="C466" s="5" t="inlineStr">
        <is>
          <t>NORDEX ENERGY SE &amp; CO KG</t>
        </is>
      </c>
      <c r="D466" s="5" t="inlineStr">
        <is>
          <t>RE</t>
        </is>
      </c>
      <c r="E466" s="5" t="n">
        <v>5010022</v>
      </c>
      <c r="F466" s="5" t="inlineStr">
        <is>
          <t>4012492786</t>
        </is>
      </c>
      <c r="G466" s="5" t="inlineStr">
        <is>
          <t>BRL</t>
        </is>
      </c>
      <c r="H466" s="9" t="n">
        <v>-62023531.6</v>
      </c>
      <c r="I466" s="16" t="n">
        <v>46038</v>
      </c>
      <c r="J466" s="16" t="n">
        <v>46068</v>
      </c>
      <c r="K466" s="5" t="inlineStr">
        <is>
          <t>0031/26</t>
        </is>
      </c>
      <c r="L466" s="5" t="inlineStr">
        <is>
          <t>4012492786</t>
        </is>
      </c>
      <c r="M466" s="5">
        <f>IF(YEAR(I466)&lt;=2020,"Até 2020",TEXT(YEAR(I466),"0"))</f>
        <v/>
      </c>
      <c r="N466" s="5">
        <f>IFERROR(INDEX(DePara!$A:$A,MATCH(TEXT(B466,"0"),DePara!$D:$D,0)),"(sem categoria)")</f>
        <v/>
      </c>
      <c r="O466" s="5">
        <f>IF(J466="","",Parametros!$B$6-J466)</f>
        <v/>
      </c>
      <c r="P466" s="5">
        <f>IF(O466="","",IF(O466&gt;0,1,0))</f>
        <v/>
      </c>
    </row>
    <row r="467">
      <c r="A467" s="5" t="n">
        <v>2122100000</v>
      </c>
      <c r="B467" s="5" t="inlineStr">
        <is>
          <t>IC4420</t>
        </is>
      </c>
      <c r="C467" s="5" t="inlineStr">
        <is>
          <t>NORDEX ENERGY SPAIN S A U</t>
        </is>
      </c>
      <c r="D467" s="5" t="inlineStr">
        <is>
          <t>KR</t>
        </is>
      </c>
      <c r="E467" s="5" t="n">
        <v>5010045</v>
      </c>
      <c r="F467" s="5" t="inlineStr">
        <is>
          <t>4000460</t>
        </is>
      </c>
      <c r="G467" s="5" t="inlineStr">
        <is>
          <t>EUR</t>
        </is>
      </c>
      <c r="H467" s="9" t="n">
        <v>-1196573.35</v>
      </c>
      <c r="I467" s="16" t="n">
        <v>46177</v>
      </c>
      <c r="J467" s="16" t="n">
        <v>46207</v>
      </c>
      <c r="K467" s="5" t="inlineStr">
        <is>
          <t>Fatura do fornecedor NORDEX ENERGY SPAIN S A U 400</t>
        </is>
      </c>
      <c r="L467" s="5" t="inlineStr">
        <is>
          <t>01072026</t>
        </is>
      </c>
      <c r="M467" s="5">
        <f>IF(YEAR(I467)&lt;=2020,"Até 2020",TEXT(YEAR(I467),"0"))</f>
        <v/>
      </c>
      <c r="N467" s="5">
        <f>IFERROR(INDEX(DePara!$A:$A,MATCH(TEXT(B467,"0"),DePara!$D:$D,0)),"(sem categoria)")</f>
        <v/>
      </c>
      <c r="O467" s="5">
        <f>IF(J467="","",Parametros!$B$6-J467)</f>
        <v/>
      </c>
      <c r="P467" s="5">
        <f>IF(O467="","",IF(O467&gt;0,1,0))</f>
        <v/>
      </c>
    </row>
    <row r="468">
      <c r="A468" s="5" t="n">
        <v>2122100000</v>
      </c>
      <c r="B468" s="5" t="inlineStr">
        <is>
          <t>IC4420</t>
        </is>
      </c>
      <c r="C468" s="5" t="inlineStr">
        <is>
          <t>NORDEX ENERGY SPAIN S A U</t>
        </is>
      </c>
      <c r="D468" s="5" t="inlineStr">
        <is>
          <t>RE</t>
        </is>
      </c>
      <c r="E468" s="5" t="n">
        <v>5010059</v>
      </c>
      <c r="F468" s="5" t="inlineStr">
        <is>
          <t>4018000287</t>
        </is>
      </c>
      <c r="G468" s="5" t="inlineStr">
        <is>
          <t>EUR</t>
        </is>
      </c>
      <c r="H468" s="9" t="n">
        <v>-286257.83</v>
      </c>
      <c r="I468" s="16" t="n">
        <v>45610</v>
      </c>
      <c r="J468" s="16" t="n">
        <v>45640</v>
      </c>
      <c r="K468" s="5" t="inlineStr">
        <is>
          <t>1039/24</t>
        </is>
      </c>
      <c r="L468" s="5" t="inlineStr">
        <is>
          <t>4018000287</t>
        </is>
      </c>
      <c r="M468" s="5">
        <f>IF(YEAR(I468)&lt;=2020,"Até 2020",TEXT(YEAR(I468),"0"))</f>
        <v/>
      </c>
      <c r="N468" s="5">
        <f>IFERROR(INDEX(DePara!$A:$A,MATCH(TEXT(B468,"0"),DePara!$D:$D,0)),"(sem categoria)")</f>
        <v/>
      </c>
      <c r="O468" s="5">
        <f>IF(J468="","",Parametros!$B$6-J468)</f>
        <v/>
      </c>
      <c r="P468" s="5">
        <f>IF(O468="","",IF(O468&gt;0,1,0))</f>
        <v/>
      </c>
    </row>
    <row r="469">
      <c r="A469" s="5" t="n">
        <v>2122100000</v>
      </c>
      <c r="B469" s="5" t="inlineStr">
        <is>
          <t>IC1000</t>
        </is>
      </c>
      <c r="C469" s="5" t="inlineStr">
        <is>
          <t>NORDEX ENERGY SE &amp; CO KG</t>
        </is>
      </c>
      <c r="D469" s="5" t="inlineStr">
        <is>
          <t>RE</t>
        </is>
      </c>
      <c r="E469" s="5" t="n">
        <v>5010063</v>
      </c>
      <c r="F469" s="5" t="inlineStr">
        <is>
          <t>RITM0435283</t>
        </is>
      </c>
      <c r="G469" s="5" t="inlineStr">
        <is>
          <t>EUR</t>
        </is>
      </c>
      <c r="H469" s="9" t="n">
        <v>-609598.4300000001</v>
      </c>
      <c r="I469" s="16" t="n">
        <v>45622</v>
      </c>
      <c r="J469" s="16" t="n">
        <v>45652</v>
      </c>
      <c r="K469" s="5" t="inlineStr">
        <is>
          <t>0024/25</t>
        </is>
      </c>
      <c r="L469" s="5" t="inlineStr">
        <is>
          <t>RITM0435283</t>
        </is>
      </c>
      <c r="M469" s="5">
        <f>IF(YEAR(I469)&lt;=2020,"Até 2020",TEXT(YEAR(I469),"0"))</f>
        <v/>
      </c>
      <c r="N469" s="5">
        <f>IFERROR(INDEX(DePara!$A:$A,MATCH(TEXT(B469,"0"),DePara!$D:$D,0)),"(sem categoria)")</f>
        <v/>
      </c>
      <c r="O469" s="5">
        <f>IF(J469="","",Parametros!$B$6-J469)</f>
        <v/>
      </c>
      <c r="P469" s="5">
        <f>IF(O469="","",IF(O469&gt;0,1,0))</f>
        <v/>
      </c>
    </row>
    <row r="470">
      <c r="A470" s="5" t="n">
        <v>2122100000</v>
      </c>
      <c r="B470" s="5" t="inlineStr">
        <is>
          <t>IC1000</t>
        </is>
      </c>
      <c r="C470" s="5" t="inlineStr">
        <is>
          <t>NORDEX ENERGY SE &amp; CO KG</t>
        </is>
      </c>
      <c r="D470" s="5" t="inlineStr">
        <is>
          <t>RE</t>
        </is>
      </c>
      <c r="E470" s="5" t="n">
        <v>5010177</v>
      </c>
      <c r="F470" s="5" t="inlineStr">
        <is>
          <t>4012433990</t>
        </is>
      </c>
      <c r="G470" s="5" t="inlineStr">
        <is>
          <t>EUR</t>
        </is>
      </c>
      <c r="H470" s="9" t="n">
        <v>-899562.26</v>
      </c>
      <c r="I470" s="16" t="n">
        <v>45692</v>
      </c>
      <c r="J470" s="16" t="n">
        <v>45722</v>
      </c>
      <c r="K470" s="5" t="inlineStr">
        <is>
          <t>0134/25</t>
        </is>
      </c>
      <c r="L470" s="5" t="inlineStr">
        <is>
          <t>4012433990</t>
        </is>
      </c>
      <c r="M470" s="5">
        <f>IF(YEAR(I470)&lt;=2020,"Até 2020",TEXT(YEAR(I470),"0"))</f>
        <v/>
      </c>
      <c r="N470" s="5">
        <f>IFERROR(INDEX(DePara!$A:$A,MATCH(TEXT(B470,"0"),DePara!$D:$D,0)),"(sem categoria)")</f>
        <v/>
      </c>
      <c r="O470" s="5">
        <f>IF(J470="","",Parametros!$B$6-J470)</f>
        <v/>
      </c>
      <c r="P470" s="5">
        <f>IF(O470="","",IF(O470&gt;0,1,0))</f>
        <v/>
      </c>
    </row>
    <row r="471">
      <c r="A471" s="5" t="n">
        <v>2122100000</v>
      </c>
      <c r="B471" s="5" t="inlineStr">
        <is>
          <t>IC4420</t>
        </is>
      </c>
      <c r="C471" s="5" t="inlineStr">
        <is>
          <t>NORDEX ENERGY SPAIN S A U</t>
        </is>
      </c>
      <c r="D471" s="5" t="inlineStr">
        <is>
          <t>RE</t>
        </is>
      </c>
      <c r="E471" s="5" t="n">
        <v>5010203</v>
      </c>
      <c r="F471" s="5" t="inlineStr">
        <is>
          <t>4026002984</t>
        </is>
      </c>
      <c r="G471" s="5" t="inlineStr">
        <is>
          <t>EUR</t>
        </is>
      </c>
      <c r="H471" s="9" t="n">
        <v>-290.14</v>
      </c>
      <c r="I471" s="16" t="n">
        <v>46142</v>
      </c>
      <c r="J471" s="16" t="n">
        <v>46172</v>
      </c>
      <c r="K471" s="5" t="inlineStr">
        <is>
          <t>0268/26</t>
        </is>
      </c>
      <c r="L471" s="5" t="inlineStr">
        <is>
          <t>4026002984</t>
        </is>
      </c>
      <c r="M471" s="5">
        <f>IF(YEAR(I471)&lt;=2020,"Até 2020",TEXT(YEAR(I471),"0"))</f>
        <v/>
      </c>
      <c r="N471" s="5">
        <f>IFERROR(INDEX(DePara!$A:$A,MATCH(TEXT(B471,"0"),DePara!$D:$D,0)),"(sem categoria)")</f>
        <v/>
      </c>
      <c r="O471" s="5">
        <f>IF(J471="","",Parametros!$B$6-J471)</f>
        <v/>
      </c>
      <c r="P471" s="5">
        <f>IF(O471="","",IF(O471&gt;0,1,0))</f>
        <v/>
      </c>
    </row>
    <row r="472">
      <c r="A472" s="5" t="n">
        <v>2122100000</v>
      </c>
      <c r="B472" s="5" t="inlineStr">
        <is>
          <t>IC4420</t>
        </is>
      </c>
      <c r="C472" s="5" t="inlineStr">
        <is>
          <t>NORDEX ENERGY SPAIN S A U</t>
        </is>
      </c>
      <c r="D472" s="5" t="inlineStr">
        <is>
          <t>RE</t>
        </is>
      </c>
      <c r="E472" s="5" t="n">
        <v>5010208</v>
      </c>
      <c r="F472" s="5" t="inlineStr">
        <is>
          <t>4026003166</t>
        </is>
      </c>
      <c r="G472" s="5" t="inlineStr">
        <is>
          <t>EUR</t>
        </is>
      </c>
      <c r="H472" s="9" t="n">
        <v>-312037.63</v>
      </c>
      <c r="I472" s="16" t="n">
        <v>46149</v>
      </c>
      <c r="J472" s="16" t="n">
        <v>46179</v>
      </c>
      <c r="K472" s="5" t="inlineStr">
        <is>
          <t>0303/26</t>
        </is>
      </c>
      <c r="L472" s="5" t="inlineStr">
        <is>
          <t>4026003166</t>
        </is>
      </c>
      <c r="M472" s="5">
        <f>IF(YEAR(I472)&lt;=2020,"Até 2020",TEXT(YEAR(I472),"0"))</f>
        <v/>
      </c>
      <c r="N472" s="5">
        <f>IFERROR(INDEX(DePara!$A:$A,MATCH(TEXT(B472,"0"),DePara!$D:$D,0)),"(sem categoria)")</f>
        <v/>
      </c>
      <c r="O472" s="5">
        <f>IF(J472="","",Parametros!$B$6-J472)</f>
        <v/>
      </c>
      <c r="P472" s="5">
        <f>IF(O472="","",IF(O472&gt;0,1,0))</f>
        <v/>
      </c>
    </row>
    <row r="473">
      <c r="A473" s="5" t="n">
        <v>2122100000</v>
      </c>
      <c r="B473" s="5" t="inlineStr">
        <is>
          <t>IC4420</t>
        </is>
      </c>
      <c r="C473" s="5" t="inlineStr">
        <is>
          <t>NORDEX ENERGY SPAIN S A U</t>
        </is>
      </c>
      <c r="D473" s="5" t="inlineStr">
        <is>
          <t>RE</t>
        </is>
      </c>
      <c r="E473" s="5" t="n">
        <v>5010222</v>
      </c>
      <c r="F473" s="5" t="inlineStr">
        <is>
          <t>4026002847</t>
        </is>
      </c>
      <c r="G473" s="5" t="inlineStr">
        <is>
          <t>EUR</t>
        </is>
      </c>
      <c r="H473" s="9" t="n">
        <v>-143819.36</v>
      </c>
      <c r="I473" s="16" t="n">
        <v>46139</v>
      </c>
      <c r="J473" s="16" t="n">
        <v>46169</v>
      </c>
      <c r="K473" s="5" t="inlineStr">
        <is>
          <t>0259/26</t>
        </is>
      </c>
      <c r="L473" s="5" t="inlineStr">
        <is>
          <t>4026002847</t>
        </is>
      </c>
      <c r="M473" s="5">
        <f>IF(YEAR(I473)&lt;=2020,"Até 2020",TEXT(YEAR(I473),"0"))</f>
        <v/>
      </c>
      <c r="N473" s="5">
        <f>IFERROR(INDEX(DePara!$A:$A,MATCH(TEXT(B473,"0"),DePara!$D:$D,0)),"(sem categoria)")</f>
        <v/>
      </c>
      <c r="O473" s="5">
        <f>IF(J473="","",Parametros!$B$6-J473)</f>
        <v/>
      </c>
      <c r="P473" s="5">
        <f>IF(O473="","",IF(O473&gt;0,1,0))</f>
        <v/>
      </c>
    </row>
    <row r="474">
      <c r="A474" s="5" t="n">
        <v>2122100000</v>
      </c>
      <c r="B474" s="5" t="inlineStr">
        <is>
          <t>IC4420</t>
        </is>
      </c>
      <c r="C474" s="5" t="inlineStr">
        <is>
          <t>NORDEX ENERGY SPAIN S A U</t>
        </is>
      </c>
      <c r="D474" s="5" t="inlineStr">
        <is>
          <t>RE</t>
        </is>
      </c>
      <c r="E474" s="5" t="n">
        <v>5010238</v>
      </c>
      <c r="F474" s="5" t="inlineStr">
        <is>
          <t>4026002846</t>
        </is>
      </c>
      <c r="G474" s="5" t="inlineStr">
        <is>
          <t>EUR</t>
        </is>
      </c>
      <c r="H474" s="9" t="n">
        <v>-1650.35</v>
      </c>
      <c r="I474" s="16" t="n">
        <v>46139</v>
      </c>
      <c r="J474" s="16" t="n">
        <v>46169</v>
      </c>
      <c r="K474" s="5" t="inlineStr">
        <is>
          <t>0259/26</t>
        </is>
      </c>
      <c r="L474" s="5" t="inlineStr">
        <is>
          <t>4026002846</t>
        </is>
      </c>
      <c r="M474" s="5">
        <f>IF(YEAR(I474)&lt;=2020,"Até 2020",TEXT(YEAR(I474),"0"))</f>
        <v/>
      </c>
      <c r="N474" s="5">
        <f>IFERROR(INDEX(DePara!$A:$A,MATCH(TEXT(B474,"0"),DePara!$D:$D,0)),"(sem categoria)")</f>
        <v/>
      </c>
      <c r="O474" s="5">
        <f>IF(J474="","",Parametros!$B$6-J474)</f>
        <v/>
      </c>
      <c r="P474" s="5">
        <f>IF(O474="","",IF(O474&gt;0,1,0))</f>
        <v/>
      </c>
    </row>
    <row r="475">
      <c r="A475" s="5" t="n">
        <v>2122100000</v>
      </c>
      <c r="B475" s="5" t="inlineStr">
        <is>
          <t>IC4420</t>
        </is>
      </c>
      <c r="C475" s="5" t="inlineStr">
        <is>
          <t>NORDEX ENERGY SPAIN S A U</t>
        </is>
      </c>
      <c r="D475" s="5" t="inlineStr">
        <is>
          <t>RE</t>
        </is>
      </c>
      <c r="E475" s="5" t="n">
        <v>5010251</v>
      </c>
      <c r="F475" s="5" t="inlineStr">
        <is>
          <t>4026003121</t>
        </is>
      </c>
      <c r="G475" s="5" t="inlineStr">
        <is>
          <t>EUR</t>
        </is>
      </c>
      <c r="H475" s="9" t="n">
        <v>-1295.62</v>
      </c>
      <c r="I475" s="16" t="n">
        <v>46147</v>
      </c>
      <c r="J475" s="16" t="n">
        <v>46177</v>
      </c>
      <c r="K475" s="5" t="inlineStr">
        <is>
          <t>0270/26</t>
        </is>
      </c>
      <c r="L475" s="5" t="inlineStr">
        <is>
          <t>4026003121</t>
        </is>
      </c>
      <c r="M475" s="5">
        <f>IF(YEAR(I475)&lt;=2020,"Até 2020",TEXT(YEAR(I475),"0"))</f>
        <v/>
      </c>
      <c r="N475" s="5">
        <f>IFERROR(INDEX(DePara!$A:$A,MATCH(TEXT(B475,"0"),DePara!$D:$D,0)),"(sem categoria)")</f>
        <v/>
      </c>
      <c r="O475" s="5">
        <f>IF(J475="","",Parametros!$B$6-J475)</f>
        <v/>
      </c>
      <c r="P475" s="5">
        <f>IF(O475="","",IF(O475&gt;0,1,0))</f>
        <v/>
      </c>
    </row>
    <row r="476">
      <c r="A476" s="5" t="n">
        <v>2122100000</v>
      </c>
      <c r="B476" s="5" t="inlineStr">
        <is>
          <t>IC4420</t>
        </is>
      </c>
      <c r="C476" s="5" t="inlineStr">
        <is>
          <t>NORDEX ENERGY SPAIN S A U</t>
        </is>
      </c>
      <c r="D476" s="5" t="inlineStr">
        <is>
          <t>RE</t>
        </is>
      </c>
      <c r="E476" s="5" t="n">
        <v>5010252</v>
      </c>
      <c r="F476" s="5" t="inlineStr">
        <is>
          <t>4026003165</t>
        </is>
      </c>
      <c r="G476" s="5" t="inlineStr">
        <is>
          <t>EUR</t>
        </is>
      </c>
      <c r="H476" s="9" t="n">
        <v>-324131.35</v>
      </c>
      <c r="I476" s="16" t="n">
        <v>46149</v>
      </c>
      <c r="J476" s="16" t="n">
        <v>46179</v>
      </c>
      <c r="K476" s="5" t="inlineStr">
        <is>
          <t>0300/26</t>
        </is>
      </c>
      <c r="L476" s="5" t="inlineStr">
        <is>
          <t>4026003165</t>
        </is>
      </c>
      <c r="M476" s="5">
        <f>IF(YEAR(I476)&lt;=2020,"Até 2020",TEXT(YEAR(I476),"0"))</f>
        <v/>
      </c>
      <c r="N476" s="5">
        <f>IFERROR(INDEX(DePara!$A:$A,MATCH(TEXT(B476,"0"),DePara!$D:$D,0)),"(sem categoria)")</f>
        <v/>
      </c>
      <c r="O476" s="5">
        <f>IF(J476="","",Parametros!$B$6-J476)</f>
        <v/>
      </c>
      <c r="P476" s="5">
        <f>IF(O476="","",IF(O476&gt;0,1,0))</f>
        <v/>
      </c>
    </row>
    <row r="477">
      <c r="A477" s="5" t="n">
        <v>2122100000</v>
      </c>
      <c r="B477" s="5" t="inlineStr">
        <is>
          <t>IC4420</t>
        </is>
      </c>
      <c r="C477" s="5" t="inlineStr">
        <is>
          <t>NORDEX ENERGY SPAIN S A U</t>
        </is>
      </c>
      <c r="D477" s="5" t="inlineStr">
        <is>
          <t>RE</t>
        </is>
      </c>
      <c r="E477" s="5" t="n">
        <v>5010253</v>
      </c>
      <c r="F477" s="5" t="inlineStr">
        <is>
          <t>4026003162</t>
        </is>
      </c>
      <c r="G477" s="5" t="inlineStr">
        <is>
          <t>EUR</t>
        </is>
      </c>
      <c r="H477" s="9" t="n">
        <v>-2249.6</v>
      </c>
      <c r="I477" s="16" t="n">
        <v>46149</v>
      </c>
      <c r="J477" s="16" t="n">
        <v>46179</v>
      </c>
      <c r="K477" s="5" t="inlineStr">
        <is>
          <t>0300/26</t>
        </is>
      </c>
      <c r="L477" s="5" t="inlineStr">
        <is>
          <t>4026003162</t>
        </is>
      </c>
      <c r="M477" s="5">
        <f>IF(YEAR(I477)&lt;=2020,"Até 2020",TEXT(YEAR(I477),"0"))</f>
        <v/>
      </c>
      <c r="N477" s="5">
        <f>IFERROR(INDEX(DePara!$A:$A,MATCH(TEXT(B477,"0"),DePara!$D:$D,0)),"(sem categoria)")</f>
        <v/>
      </c>
      <c r="O477" s="5">
        <f>IF(J477="","",Parametros!$B$6-J477)</f>
        <v/>
      </c>
      <c r="P477" s="5">
        <f>IF(O477="","",IF(O477&gt;0,1,0))</f>
        <v/>
      </c>
    </row>
    <row r="478">
      <c r="A478" s="5" t="n">
        <v>2122100000</v>
      </c>
      <c r="B478" s="5" t="inlineStr">
        <is>
          <t>IC4420</t>
        </is>
      </c>
      <c r="C478" s="5" t="inlineStr">
        <is>
          <t>NORDEX ENERGY SPAIN S A U</t>
        </is>
      </c>
      <c r="D478" s="5" t="inlineStr">
        <is>
          <t>RE</t>
        </is>
      </c>
      <c r="E478" s="5" t="n">
        <v>5010339</v>
      </c>
      <c r="F478" s="5" t="inlineStr">
        <is>
          <t>4026002182</t>
        </is>
      </c>
      <c r="G478" s="5" t="inlineStr">
        <is>
          <t>EUR</t>
        </is>
      </c>
      <c r="H478" s="9" t="n">
        <v>-72003.23</v>
      </c>
      <c r="I478" s="16" t="n">
        <v>46111</v>
      </c>
      <c r="J478" s="16" t="n">
        <v>46141</v>
      </c>
      <c r="K478" s="5" t="inlineStr">
        <is>
          <t>0204/26</t>
        </is>
      </c>
      <c r="L478" s="5" t="inlineStr">
        <is>
          <t>4026002182</t>
        </is>
      </c>
      <c r="M478" s="5">
        <f>IF(YEAR(I478)&lt;=2020,"Até 2020",TEXT(YEAR(I478),"0"))</f>
        <v/>
      </c>
      <c r="N478" s="5">
        <f>IFERROR(INDEX(DePara!$A:$A,MATCH(TEXT(B478,"0"),DePara!$D:$D,0)),"(sem categoria)")</f>
        <v/>
      </c>
      <c r="O478" s="5">
        <f>IF(J478="","",Parametros!$B$6-J478)</f>
        <v/>
      </c>
      <c r="P478" s="5">
        <f>IF(O478="","",IF(O478&gt;0,1,0))</f>
        <v/>
      </c>
    </row>
    <row r="479">
      <c r="A479" s="5" t="n">
        <v>2122100000</v>
      </c>
      <c r="B479" s="5" t="inlineStr">
        <is>
          <t>IC4420</t>
        </is>
      </c>
      <c r="C479" s="5" t="inlineStr">
        <is>
          <t>NORDEX ENERGY SPAIN S A U</t>
        </is>
      </c>
      <c r="D479" s="5" t="inlineStr">
        <is>
          <t>RE</t>
        </is>
      </c>
      <c r="E479" s="5" t="n">
        <v>5010340</v>
      </c>
      <c r="F479" s="5" t="inlineStr">
        <is>
          <t>4026002524</t>
        </is>
      </c>
      <c r="G479" s="5" t="inlineStr">
        <is>
          <t>EUR</t>
        </is>
      </c>
      <c r="H479" s="9" t="n">
        <v>-21268.28</v>
      </c>
      <c r="I479" s="16" t="n">
        <v>46126</v>
      </c>
      <c r="J479" s="16" t="n">
        <v>46156</v>
      </c>
      <c r="K479" s="5" t="inlineStr">
        <is>
          <t>0208/26</t>
        </is>
      </c>
      <c r="L479" s="5" t="inlineStr">
        <is>
          <t>4026002524</t>
        </is>
      </c>
      <c r="M479" s="5">
        <f>IF(YEAR(I479)&lt;=2020,"Até 2020",TEXT(YEAR(I479),"0"))</f>
        <v/>
      </c>
      <c r="N479" s="5">
        <f>IFERROR(INDEX(DePara!$A:$A,MATCH(TEXT(B479,"0"),DePara!$D:$D,0)),"(sem categoria)")</f>
        <v/>
      </c>
      <c r="O479" s="5">
        <f>IF(J479="","",Parametros!$B$6-J479)</f>
        <v/>
      </c>
      <c r="P479" s="5">
        <f>IF(O479="","",IF(O479&gt;0,1,0))</f>
        <v/>
      </c>
    </row>
    <row r="480">
      <c r="A480" s="5" t="n">
        <v>2122100000</v>
      </c>
      <c r="B480" s="5" t="inlineStr">
        <is>
          <t>IC4420</t>
        </is>
      </c>
      <c r="C480" s="5" t="inlineStr">
        <is>
          <t>NORDEX ENERGY SPAIN S A U</t>
        </is>
      </c>
      <c r="D480" s="5" t="inlineStr">
        <is>
          <t>RE</t>
        </is>
      </c>
      <c r="E480" s="5" t="n">
        <v>5010350</v>
      </c>
      <c r="F480" s="5" t="inlineStr">
        <is>
          <t>4026002703</t>
        </is>
      </c>
      <c r="G480" s="5" t="inlineStr">
        <is>
          <t>EUR</t>
        </is>
      </c>
      <c r="H480" s="9" t="n">
        <v>-116538.12</v>
      </c>
      <c r="I480" s="16" t="n">
        <v>46132</v>
      </c>
      <c r="J480" s="16" t="n">
        <v>46162</v>
      </c>
      <c r="K480" s="5" t="inlineStr">
        <is>
          <t>0243/26</t>
        </is>
      </c>
      <c r="L480" s="5" t="inlineStr">
        <is>
          <t>4026002703</t>
        </is>
      </c>
      <c r="M480" s="5">
        <f>IF(YEAR(I480)&lt;=2020,"Até 2020",TEXT(YEAR(I480),"0"))</f>
        <v/>
      </c>
      <c r="N480" s="5">
        <f>IFERROR(INDEX(DePara!$A:$A,MATCH(TEXT(B480,"0"),DePara!$D:$D,0)),"(sem categoria)")</f>
        <v/>
      </c>
      <c r="O480" s="5">
        <f>IF(J480="","",Parametros!$B$6-J480)</f>
        <v/>
      </c>
      <c r="P480" s="5">
        <f>IF(O480="","",IF(O480&gt;0,1,0))</f>
        <v/>
      </c>
    </row>
    <row r="481">
      <c r="A481" s="5" t="n">
        <v>2122100000</v>
      </c>
      <c r="B481" s="5" t="inlineStr">
        <is>
          <t>IC1000</t>
        </is>
      </c>
      <c r="C481" s="5" t="inlineStr">
        <is>
          <t>NORDEX ENERGY SE &amp; CO KG</t>
        </is>
      </c>
      <c r="D481" s="5" t="inlineStr">
        <is>
          <t>RE</t>
        </is>
      </c>
      <c r="E481" s="5" t="n">
        <v>5010374</v>
      </c>
      <c r="F481" s="5" t="inlineStr">
        <is>
          <t>329082+329081</t>
        </is>
      </c>
      <c r="G481" s="5" t="inlineStr">
        <is>
          <t>EUR</t>
        </is>
      </c>
      <c r="H481" s="9" t="n">
        <v>-64809.49</v>
      </c>
      <c r="I481" s="16" t="n">
        <v>45702</v>
      </c>
      <c r="J481" s="16" t="n">
        <v>45732</v>
      </c>
      <c r="K481" s="5" t="inlineStr">
        <is>
          <t>0188/25</t>
        </is>
      </c>
      <c r="L481" s="5" t="inlineStr">
        <is>
          <t>329082+329081</t>
        </is>
      </c>
      <c r="M481" s="5">
        <f>IF(YEAR(I481)&lt;=2020,"Até 2020",TEXT(YEAR(I481),"0"))</f>
        <v/>
      </c>
      <c r="N481" s="5">
        <f>IFERROR(INDEX(DePara!$A:$A,MATCH(TEXT(B481,"0"),DePara!$D:$D,0)),"(sem categoria)")</f>
        <v/>
      </c>
      <c r="O481" s="5">
        <f>IF(J481="","",Parametros!$B$6-J481)</f>
        <v/>
      </c>
      <c r="P481" s="5">
        <f>IF(O481="","",IF(O481&gt;0,1,0))</f>
        <v/>
      </c>
    </row>
    <row r="482">
      <c r="A482" s="5" t="n">
        <v>2122100000</v>
      </c>
      <c r="B482" s="5" t="inlineStr">
        <is>
          <t>IC4665</t>
        </is>
      </c>
      <c r="C482" s="5" t="inlineStr">
        <is>
          <t>NORDEX WINDPOWER PERU SA</t>
        </is>
      </c>
      <c r="D482" s="5" t="inlineStr">
        <is>
          <t>RE</t>
        </is>
      </c>
      <c r="E482" s="5" t="n">
        <v>5010381</v>
      </c>
      <c r="F482" s="5" t="inlineStr">
        <is>
          <t>E001-831</t>
        </is>
      </c>
      <c r="G482" s="5" t="inlineStr">
        <is>
          <t>EUR</t>
        </is>
      </c>
      <c r="H482" s="9" t="n">
        <v>-2147278.11</v>
      </c>
      <c r="I482" s="16" t="n">
        <v>46090</v>
      </c>
      <c r="J482" s="16" t="n">
        <v>46120</v>
      </c>
      <c r="K482" s="5" t="inlineStr">
        <is>
          <t>0164/26</t>
        </is>
      </c>
      <c r="L482" s="5" t="inlineStr">
        <is>
          <t>E001-831</t>
        </is>
      </c>
      <c r="M482" s="5">
        <f>IF(YEAR(I482)&lt;=2020,"Até 2020",TEXT(YEAR(I482),"0"))</f>
        <v/>
      </c>
      <c r="N482" s="5">
        <f>IFERROR(INDEX(DePara!$A:$A,MATCH(TEXT(B482,"0"),DePara!$D:$D,0)),"(sem categoria)")</f>
        <v/>
      </c>
      <c r="O482" s="5">
        <f>IF(J482="","",Parametros!$B$6-J482)</f>
        <v/>
      </c>
      <c r="P482" s="5">
        <f>IF(O482="","",IF(O482&gt;0,1,0))</f>
        <v/>
      </c>
    </row>
    <row r="483">
      <c r="A483" s="5" t="n">
        <v>2122100000</v>
      </c>
      <c r="B483" s="5" t="inlineStr">
        <is>
          <t>IC4420</t>
        </is>
      </c>
      <c r="C483" s="5" t="inlineStr">
        <is>
          <t>NORDEX ENERGY SPAIN S A U</t>
        </is>
      </c>
      <c r="D483" s="5" t="inlineStr">
        <is>
          <t>RE</t>
        </is>
      </c>
      <c r="E483" s="5" t="n">
        <v>5010524</v>
      </c>
      <c r="F483" s="5" t="inlineStr">
        <is>
          <t>4026002982</t>
        </is>
      </c>
      <c r="G483" s="5" t="inlineStr">
        <is>
          <t>EUR</t>
        </is>
      </c>
      <c r="H483" s="9" t="n">
        <v>-25202.07</v>
      </c>
      <c r="I483" s="16" t="n">
        <v>46142</v>
      </c>
      <c r="J483" s="16" t="n">
        <v>46172</v>
      </c>
      <c r="K483" s="5" t="inlineStr">
        <is>
          <t>0269/26</t>
        </is>
      </c>
      <c r="L483" s="5" t="inlineStr">
        <is>
          <t>4026002982</t>
        </is>
      </c>
      <c r="M483" s="5">
        <f>IF(YEAR(I483)&lt;=2020,"Até 2020",TEXT(YEAR(I483),"0"))</f>
        <v/>
      </c>
      <c r="N483" s="5">
        <f>IFERROR(INDEX(DePara!$A:$A,MATCH(TEXT(B483,"0"),DePara!$D:$D,0)),"(sem categoria)")</f>
        <v/>
      </c>
      <c r="O483" s="5">
        <f>IF(J483="","",Parametros!$B$6-J483)</f>
        <v/>
      </c>
      <c r="P483" s="5">
        <f>IF(O483="","",IF(O483&gt;0,1,0))</f>
        <v/>
      </c>
    </row>
    <row r="484">
      <c r="A484" s="5" t="n">
        <v>2122100000</v>
      </c>
      <c r="B484" s="5" t="inlineStr">
        <is>
          <t>IC4420</t>
        </is>
      </c>
      <c r="C484" s="5" t="inlineStr">
        <is>
          <t>NORDEX ENERGY SPAIN S A U</t>
        </is>
      </c>
      <c r="D484" s="5" t="inlineStr">
        <is>
          <t>RE</t>
        </is>
      </c>
      <c r="E484" s="5" t="n">
        <v>5010531</v>
      </c>
      <c r="F484" s="5" t="inlineStr">
        <is>
          <t>4026003089</t>
        </is>
      </c>
      <c r="G484" s="5" t="inlineStr">
        <is>
          <t>EUR</t>
        </is>
      </c>
      <c r="H484" s="9" t="n">
        <v>-93661.3</v>
      </c>
      <c r="I484" s="16" t="n">
        <v>46146</v>
      </c>
      <c r="J484" s="16" t="n">
        <v>46176</v>
      </c>
      <c r="K484" s="5" t="inlineStr">
        <is>
          <t>0287/26</t>
        </is>
      </c>
      <c r="L484" s="5" t="inlineStr">
        <is>
          <t>4026003089</t>
        </is>
      </c>
      <c r="M484" s="5">
        <f>IF(YEAR(I484)&lt;=2020,"Até 2020",TEXT(YEAR(I484),"0"))</f>
        <v/>
      </c>
      <c r="N484" s="5">
        <f>IFERROR(INDEX(DePara!$A:$A,MATCH(TEXT(B484,"0"),DePara!$D:$D,0)),"(sem categoria)")</f>
        <v/>
      </c>
      <c r="O484" s="5">
        <f>IF(J484="","",Parametros!$B$6-J484)</f>
        <v/>
      </c>
      <c r="P484" s="5">
        <f>IF(O484="","",IF(O484&gt;0,1,0))</f>
        <v/>
      </c>
    </row>
    <row r="485">
      <c r="A485" s="5" t="n">
        <v>2122100000</v>
      </c>
      <c r="B485" s="5" t="inlineStr">
        <is>
          <t>IC1000</t>
        </is>
      </c>
      <c r="C485" s="5" t="inlineStr">
        <is>
          <t>NORDEX ENERGY SE &amp; CO KG</t>
        </is>
      </c>
      <c r="D485" s="5" t="inlineStr">
        <is>
          <t>RE</t>
        </is>
      </c>
      <c r="E485" s="5" t="n">
        <v>5010543</v>
      </c>
      <c r="F485" s="5" t="inlineStr">
        <is>
          <t>330271</t>
        </is>
      </c>
      <c r="G485" s="5" t="inlineStr">
        <is>
          <t>EUR</t>
        </is>
      </c>
      <c r="H485" s="9" t="n">
        <v>-2068.59</v>
      </c>
      <c r="I485" s="16" t="n">
        <v>45708</v>
      </c>
      <c r="J485" s="16" t="n">
        <v>45738</v>
      </c>
      <c r="K485" s="5" t="inlineStr">
        <is>
          <t>0186/25</t>
        </is>
      </c>
      <c r="L485" s="5" t="inlineStr">
        <is>
          <t>330271</t>
        </is>
      </c>
      <c r="M485" s="5">
        <f>IF(YEAR(I485)&lt;=2020,"Até 2020",TEXT(YEAR(I485),"0"))</f>
        <v/>
      </c>
      <c r="N485" s="5">
        <f>IFERROR(INDEX(DePara!$A:$A,MATCH(TEXT(B485,"0"),DePara!$D:$D,0)),"(sem categoria)")</f>
        <v/>
      </c>
      <c r="O485" s="5">
        <f>IF(J485="","",Parametros!$B$6-J485)</f>
        <v/>
      </c>
      <c r="P485" s="5">
        <f>IF(O485="","",IF(O485&gt;0,1,0))</f>
        <v/>
      </c>
    </row>
    <row r="486">
      <c r="A486" s="5" t="n">
        <v>2122100000</v>
      </c>
      <c r="B486" s="5" t="inlineStr">
        <is>
          <t>IC1000</t>
        </is>
      </c>
      <c r="C486" s="5" t="inlineStr">
        <is>
          <t>NORDEX ENERGY SE &amp; CO KG</t>
        </is>
      </c>
      <c r="D486" s="5" t="inlineStr">
        <is>
          <t>RE</t>
        </is>
      </c>
      <c r="E486" s="5" t="n">
        <v>5010544</v>
      </c>
      <c r="F486" s="5" t="inlineStr">
        <is>
          <t>331153</t>
        </is>
      </c>
      <c r="G486" s="5" t="inlineStr">
        <is>
          <t>EUR</t>
        </is>
      </c>
      <c r="H486" s="9" t="n">
        <v>-2960.05</v>
      </c>
      <c r="I486" s="16" t="n">
        <v>45709</v>
      </c>
      <c r="J486" s="16" t="n">
        <v>45739</v>
      </c>
      <c r="K486" s="5" t="inlineStr">
        <is>
          <t>0186/25</t>
        </is>
      </c>
      <c r="L486" s="5" t="inlineStr">
        <is>
          <t>331153</t>
        </is>
      </c>
      <c r="M486" s="5">
        <f>IF(YEAR(I486)&lt;=2020,"Até 2020",TEXT(YEAR(I486),"0"))</f>
        <v/>
      </c>
      <c r="N486" s="5">
        <f>IFERROR(INDEX(DePara!$A:$A,MATCH(TEXT(B486,"0"),DePara!$D:$D,0)),"(sem categoria)")</f>
        <v/>
      </c>
      <c r="O486" s="5">
        <f>IF(J486="","",Parametros!$B$6-J486)</f>
        <v/>
      </c>
      <c r="P486" s="5">
        <f>IF(O486="","",IF(O486&gt;0,1,0))</f>
        <v/>
      </c>
    </row>
    <row r="487">
      <c r="A487" s="5" t="n">
        <v>2122100000</v>
      </c>
      <c r="B487" s="5" t="inlineStr">
        <is>
          <t>IC4420</t>
        </is>
      </c>
      <c r="C487" s="5" t="inlineStr">
        <is>
          <t>NORDEX ENERGY SPAIN S A U</t>
        </is>
      </c>
      <c r="D487" s="5" t="inlineStr">
        <is>
          <t>RE</t>
        </is>
      </c>
      <c r="E487" s="5" t="n">
        <v>5010680</v>
      </c>
      <c r="F487" s="5" t="inlineStr">
        <is>
          <t>4024007672</t>
        </is>
      </c>
      <c r="G487" s="5" t="inlineStr">
        <is>
          <t>EUR</t>
        </is>
      </c>
      <c r="H487" s="9" t="n">
        <v>-343747.69</v>
      </c>
      <c r="I487" s="16" t="n">
        <v>45590</v>
      </c>
      <c r="J487" s="16" t="n">
        <v>45620</v>
      </c>
      <c r="K487" s="5" t="inlineStr">
        <is>
          <t>1007/24</t>
        </is>
      </c>
      <c r="L487" s="5" t="inlineStr">
        <is>
          <t>4024007672</t>
        </is>
      </c>
      <c r="M487" s="5">
        <f>IF(YEAR(I487)&lt;=2020,"Até 2020",TEXT(YEAR(I487),"0"))</f>
        <v/>
      </c>
      <c r="N487" s="5">
        <f>IFERROR(INDEX(DePara!$A:$A,MATCH(TEXT(B487,"0"),DePara!$D:$D,0)),"(sem categoria)")</f>
        <v/>
      </c>
      <c r="O487" s="5">
        <f>IF(J487="","",Parametros!$B$6-J487)</f>
        <v/>
      </c>
      <c r="P487" s="5">
        <f>IF(O487="","",IF(O487&gt;0,1,0))</f>
        <v/>
      </c>
    </row>
    <row r="488">
      <c r="A488" s="5" t="n">
        <v>2122100000</v>
      </c>
      <c r="B488" s="5" t="inlineStr">
        <is>
          <t>IC5000</t>
        </is>
      </c>
      <c r="C488" s="5" t="inlineStr">
        <is>
          <t>NORDEX SE</t>
        </is>
      </c>
      <c r="D488" s="5" t="inlineStr">
        <is>
          <t>KR</t>
        </is>
      </c>
      <c r="E488" s="5" t="n">
        <v>5010785</v>
      </c>
      <c r="F488" s="5" t="inlineStr">
        <is>
          <t>610789</t>
        </is>
      </c>
      <c r="G488" s="5" t="inlineStr">
        <is>
          <t>EUR</t>
        </is>
      </c>
      <c r="H488" s="9" t="n">
        <v>-2514350.56</v>
      </c>
      <c r="I488" s="16" t="n">
        <v>46189</v>
      </c>
      <c r="J488" s="16" t="n">
        <v>46249</v>
      </c>
      <c r="K488" s="5" t="inlineStr">
        <is>
          <t>Fatura do fornecedor NORDEX SE 610789</t>
        </is>
      </c>
      <c r="L488" s="5" t="inlineStr">
        <is>
          <t>12082026</t>
        </is>
      </c>
      <c r="M488" s="5">
        <f>IF(YEAR(I488)&lt;=2020,"Até 2020",TEXT(YEAR(I488),"0"))</f>
        <v/>
      </c>
      <c r="N488" s="5">
        <f>IFERROR(INDEX(DePara!$A:$A,MATCH(TEXT(B488,"0"),DePara!$D:$D,0)),"(sem categoria)")</f>
        <v/>
      </c>
      <c r="O488" s="5">
        <f>IF(J488="","",Parametros!$B$6-J488)</f>
        <v/>
      </c>
      <c r="P488" s="5">
        <f>IF(O488="","",IF(O488&gt;0,1,0))</f>
        <v/>
      </c>
    </row>
    <row r="489">
      <c r="A489" s="5" t="n">
        <v>2122100000</v>
      </c>
      <c r="B489" s="5" t="inlineStr">
        <is>
          <t>IC4420</t>
        </is>
      </c>
      <c r="C489" s="5" t="inlineStr">
        <is>
          <t>NORDEX ENERGY SPAIN S A U</t>
        </is>
      </c>
      <c r="D489" s="5" t="inlineStr">
        <is>
          <t>RE</t>
        </is>
      </c>
      <c r="E489" s="5" t="n">
        <v>5010798</v>
      </c>
      <c r="F489" s="5" t="inlineStr">
        <is>
          <t>4026002950</t>
        </is>
      </c>
      <c r="G489" s="5" t="inlineStr">
        <is>
          <t>EUR</t>
        </is>
      </c>
      <c r="H489" s="9" t="n">
        <v>-5943.72</v>
      </c>
      <c r="I489" s="16" t="n">
        <v>46141</v>
      </c>
      <c r="J489" s="16" t="n">
        <v>46171</v>
      </c>
      <c r="K489" s="5" t="inlineStr">
        <is>
          <t>0274/26</t>
        </is>
      </c>
      <c r="L489" s="5" t="inlineStr">
        <is>
          <t>4026002950</t>
        </is>
      </c>
      <c r="M489" s="5">
        <f>IF(YEAR(I489)&lt;=2020,"Até 2020",TEXT(YEAR(I489),"0"))</f>
        <v/>
      </c>
      <c r="N489" s="5">
        <f>IFERROR(INDEX(DePara!$A:$A,MATCH(TEXT(B489,"0"),DePara!$D:$D,0)),"(sem categoria)")</f>
        <v/>
      </c>
      <c r="O489" s="5">
        <f>IF(J489="","",Parametros!$B$6-J489)</f>
        <v/>
      </c>
      <c r="P489" s="5">
        <f>IF(O489="","",IF(O489&gt;0,1,0))</f>
        <v/>
      </c>
    </row>
    <row r="490">
      <c r="A490" s="5" t="n">
        <v>2122100000</v>
      </c>
      <c r="B490" s="5" t="inlineStr">
        <is>
          <t>IC4420</t>
        </is>
      </c>
      <c r="C490" s="5" t="inlineStr">
        <is>
          <t>NORDEX ENERGY SPAIN S A U</t>
        </is>
      </c>
      <c r="D490" s="5" t="inlineStr">
        <is>
          <t>RE</t>
        </is>
      </c>
      <c r="E490" s="5" t="n">
        <v>5010799</v>
      </c>
      <c r="F490" s="5" t="inlineStr">
        <is>
          <t>4026002947</t>
        </is>
      </c>
      <c r="G490" s="5" t="inlineStr">
        <is>
          <t>EUR</t>
        </is>
      </c>
      <c r="H490" s="9" t="n">
        <v>-14045.63</v>
      </c>
      <c r="I490" s="16" t="n">
        <v>46141</v>
      </c>
      <c r="J490" s="16" t="n">
        <v>46171</v>
      </c>
      <c r="K490" s="5" t="inlineStr">
        <is>
          <t>0274/26</t>
        </is>
      </c>
      <c r="L490" s="5" t="inlineStr">
        <is>
          <t>4026002947</t>
        </is>
      </c>
      <c r="M490" s="5">
        <f>IF(YEAR(I490)&lt;=2020,"Até 2020",TEXT(YEAR(I490),"0"))</f>
        <v/>
      </c>
      <c r="N490" s="5">
        <f>IFERROR(INDEX(DePara!$A:$A,MATCH(TEXT(B490,"0"),DePara!$D:$D,0)),"(sem categoria)")</f>
        <v/>
      </c>
      <c r="O490" s="5">
        <f>IF(J490="","",Parametros!$B$6-J490)</f>
        <v/>
      </c>
      <c r="P490" s="5">
        <f>IF(O490="","",IF(O490&gt;0,1,0))</f>
        <v/>
      </c>
    </row>
    <row r="491">
      <c r="A491" s="5" t="n">
        <v>2122100000</v>
      </c>
      <c r="B491" s="5" t="inlineStr">
        <is>
          <t>IC4420</t>
        </is>
      </c>
      <c r="C491" s="5" t="inlineStr">
        <is>
          <t>NORDEX ENERGY SPAIN S A U</t>
        </is>
      </c>
      <c r="D491" s="5" t="inlineStr">
        <is>
          <t>RE</t>
        </is>
      </c>
      <c r="E491" s="5" t="n">
        <v>5010805</v>
      </c>
      <c r="F491" s="5" t="inlineStr">
        <is>
          <t>4026003382</t>
        </is>
      </c>
      <c r="G491" s="5" t="inlineStr">
        <is>
          <t>EUR</t>
        </is>
      </c>
      <c r="H491" s="9" t="n">
        <v>-5069.41</v>
      </c>
      <c r="I491" s="16" t="n">
        <v>46156</v>
      </c>
      <c r="J491" s="16" t="n">
        <v>46186</v>
      </c>
      <c r="K491" s="5" t="inlineStr">
        <is>
          <t>0345/26</t>
        </is>
      </c>
      <c r="L491" s="5" t="inlineStr">
        <is>
          <t>4026003382</t>
        </is>
      </c>
      <c r="M491" s="5">
        <f>IF(YEAR(I491)&lt;=2020,"Até 2020",TEXT(YEAR(I491),"0"))</f>
        <v/>
      </c>
      <c r="N491" s="5">
        <f>IFERROR(INDEX(DePara!$A:$A,MATCH(TEXT(B491,"0"),DePara!$D:$D,0)),"(sem categoria)")</f>
        <v/>
      </c>
      <c r="O491" s="5">
        <f>IF(J491="","",Parametros!$B$6-J491)</f>
        <v/>
      </c>
      <c r="P491" s="5">
        <f>IF(O491="","",IF(O491&gt;0,1,0))</f>
        <v/>
      </c>
    </row>
    <row r="492">
      <c r="A492" s="5" t="n">
        <v>2122100000</v>
      </c>
      <c r="B492" s="5" t="inlineStr">
        <is>
          <t>IC4420</t>
        </is>
      </c>
      <c r="C492" s="5" t="inlineStr">
        <is>
          <t>NORDEX ENERGY SPAIN S A U</t>
        </is>
      </c>
      <c r="D492" s="5" t="inlineStr">
        <is>
          <t>RE</t>
        </is>
      </c>
      <c r="E492" s="5" t="n">
        <v>5010868</v>
      </c>
      <c r="F492" s="5" t="inlineStr">
        <is>
          <t>4026003140</t>
        </is>
      </c>
      <c r="G492" s="5" t="inlineStr">
        <is>
          <t>EUR</t>
        </is>
      </c>
      <c r="H492" s="9" t="n">
        <v>-8505.58</v>
      </c>
      <c r="I492" s="16" t="n">
        <v>46148</v>
      </c>
      <c r="J492" s="16" t="n">
        <v>46178</v>
      </c>
      <c r="K492" s="5" t="inlineStr">
        <is>
          <t>0294/26</t>
        </is>
      </c>
      <c r="L492" s="5" t="inlineStr">
        <is>
          <t>4026003140</t>
        </is>
      </c>
      <c r="M492" s="5">
        <f>IF(YEAR(I492)&lt;=2020,"Até 2020",TEXT(YEAR(I492),"0"))</f>
        <v/>
      </c>
      <c r="N492" s="5">
        <f>IFERROR(INDEX(DePara!$A:$A,MATCH(TEXT(B492,"0"),DePara!$D:$D,0)),"(sem categoria)")</f>
        <v/>
      </c>
      <c r="O492" s="5">
        <f>IF(J492="","",Parametros!$B$6-J492)</f>
        <v/>
      </c>
      <c r="P492" s="5">
        <f>IF(O492="","",IF(O492&gt;0,1,0))</f>
        <v/>
      </c>
    </row>
    <row r="493">
      <c r="A493" s="5" t="n">
        <v>2122100000</v>
      </c>
      <c r="B493" s="5" t="inlineStr">
        <is>
          <t>IC1000</t>
        </is>
      </c>
      <c r="C493" s="5" t="inlineStr">
        <is>
          <t>NORDEX ENERGY SE &amp; CO KG</t>
        </is>
      </c>
      <c r="D493" s="5" t="inlineStr">
        <is>
          <t>KR</t>
        </is>
      </c>
      <c r="E493" s="5" t="n">
        <v>5010871</v>
      </c>
      <c r="F493" s="5" t="inlineStr">
        <is>
          <t>625417</t>
        </is>
      </c>
      <c r="G493" s="5" t="inlineStr">
        <is>
          <t>EUR</t>
        </is>
      </c>
      <c r="H493" s="9" t="n">
        <v>-742997.65</v>
      </c>
      <c r="I493" s="16" t="n">
        <v>46191</v>
      </c>
      <c r="J493" s="16" t="n">
        <v>46251</v>
      </c>
      <c r="K493" s="5" t="inlineStr">
        <is>
          <t>Fatura do fornecedor NORDEX ENERGY SE &amp; CO KG 6254</t>
        </is>
      </c>
      <c r="L493" s="5" t="inlineStr">
        <is>
          <t>12082026</t>
        </is>
      </c>
      <c r="M493" s="5">
        <f>IF(YEAR(I493)&lt;=2020,"Até 2020",TEXT(YEAR(I493),"0"))</f>
        <v/>
      </c>
      <c r="N493" s="5">
        <f>IFERROR(INDEX(DePara!$A:$A,MATCH(TEXT(B493,"0"),DePara!$D:$D,0)),"(sem categoria)")</f>
        <v/>
      </c>
      <c r="O493" s="5">
        <f>IF(J493="","",Parametros!$B$6-J493)</f>
        <v/>
      </c>
      <c r="P493" s="5">
        <f>IF(O493="","",IF(O493&gt;0,1,0))</f>
        <v/>
      </c>
    </row>
    <row r="494">
      <c r="A494" s="5" t="n">
        <v>2122100000</v>
      </c>
      <c r="B494" s="5" t="inlineStr">
        <is>
          <t>IC1000</t>
        </is>
      </c>
      <c r="C494" s="5" t="inlineStr">
        <is>
          <t>NORDEX ENERGY SE &amp; CO KG</t>
        </is>
      </c>
      <c r="D494" s="5" t="inlineStr">
        <is>
          <t>RE</t>
        </is>
      </c>
      <c r="E494" s="5" t="n">
        <v>5010892</v>
      </c>
      <c r="F494" s="5" t="inlineStr">
        <is>
          <t>4012338181</t>
        </is>
      </c>
      <c r="G494" s="5" t="inlineStr">
        <is>
          <t>EUR</t>
        </is>
      </c>
      <c r="H494" s="9" t="n">
        <v>-43865.66</v>
      </c>
      <c r="I494" s="16" t="n">
        <v>45090</v>
      </c>
      <c r="J494" s="16" t="n">
        <v>45120</v>
      </c>
      <c r="K494" s="5" t="inlineStr">
        <is>
          <t>0459/23</t>
        </is>
      </c>
      <c r="L494" s="5" t="inlineStr">
        <is>
          <t>4012338181</t>
        </is>
      </c>
      <c r="M494" s="5">
        <f>IF(YEAR(I494)&lt;=2020,"Até 2020",TEXT(YEAR(I494),"0"))</f>
        <v/>
      </c>
      <c r="N494" s="5">
        <f>IFERROR(INDEX(DePara!$A:$A,MATCH(TEXT(B494,"0"),DePara!$D:$D,0)),"(sem categoria)")</f>
        <v/>
      </c>
      <c r="O494" s="5">
        <f>IF(J494="","",Parametros!$B$6-J494)</f>
        <v/>
      </c>
      <c r="P494" s="5">
        <f>IF(O494="","",IF(O494&gt;0,1,0))</f>
        <v/>
      </c>
    </row>
    <row r="495">
      <c r="A495" s="5" t="n">
        <v>2122100000</v>
      </c>
      <c r="B495" s="5" t="inlineStr">
        <is>
          <t>IC1000</t>
        </is>
      </c>
      <c r="C495" s="5" t="inlineStr">
        <is>
          <t>NORDEX ENERGY SE &amp; CO KG</t>
        </is>
      </c>
      <c r="D495" s="5" t="inlineStr">
        <is>
          <t>RE</t>
        </is>
      </c>
      <c r="E495" s="5" t="n">
        <v>5010893</v>
      </c>
      <c r="F495" s="5" t="inlineStr">
        <is>
          <t>4012338163</t>
        </is>
      </c>
      <c r="G495" s="5" t="inlineStr">
        <is>
          <t>EUR</t>
        </is>
      </c>
      <c r="H495" s="9" t="n">
        <v>-86641.47</v>
      </c>
      <c r="I495" s="16" t="n">
        <v>45090</v>
      </c>
      <c r="J495" s="16" t="n">
        <v>45120</v>
      </c>
      <c r="K495" s="5" t="inlineStr">
        <is>
          <t>0459/23</t>
        </is>
      </c>
      <c r="L495" s="5" t="inlineStr">
        <is>
          <t>4012338163</t>
        </is>
      </c>
      <c r="M495" s="5">
        <f>IF(YEAR(I495)&lt;=2020,"Até 2020",TEXT(YEAR(I495),"0"))</f>
        <v/>
      </c>
      <c r="N495" s="5">
        <f>IFERROR(INDEX(DePara!$A:$A,MATCH(TEXT(B495,"0"),DePara!$D:$D,0)),"(sem categoria)")</f>
        <v/>
      </c>
      <c r="O495" s="5">
        <f>IF(J495="","",Parametros!$B$6-J495)</f>
        <v/>
      </c>
      <c r="P495" s="5">
        <f>IF(O495="","",IF(O495&gt;0,1,0))</f>
        <v/>
      </c>
    </row>
    <row r="496">
      <c r="A496" s="5" t="n">
        <v>2122100000</v>
      </c>
      <c r="B496" s="5" t="inlineStr">
        <is>
          <t>IC4420</t>
        </is>
      </c>
      <c r="C496" s="5" t="inlineStr">
        <is>
          <t>NORDEX ENERGY SPAIN S A U</t>
        </is>
      </c>
      <c r="D496" s="5" t="inlineStr">
        <is>
          <t>RE</t>
        </is>
      </c>
      <c r="E496" s="5" t="n">
        <v>5010924</v>
      </c>
      <c r="F496" s="5" t="inlineStr">
        <is>
          <t>4018000092</t>
        </is>
      </c>
      <c r="G496" s="5" t="inlineStr">
        <is>
          <t>EUR</t>
        </is>
      </c>
      <c r="H496" s="9" t="n">
        <v>-2480.82</v>
      </c>
      <c r="I496" s="16" t="n">
        <v>46107</v>
      </c>
      <c r="J496" s="16" t="n">
        <v>46137</v>
      </c>
      <c r="K496" s="5" t="inlineStr">
        <is>
          <t>0214/26</t>
        </is>
      </c>
      <c r="L496" s="5" t="inlineStr">
        <is>
          <t>4018000092</t>
        </is>
      </c>
      <c r="M496" s="5">
        <f>IF(YEAR(I496)&lt;=2020,"Até 2020",TEXT(YEAR(I496),"0"))</f>
        <v/>
      </c>
      <c r="N496" s="5">
        <f>IFERROR(INDEX(DePara!$A:$A,MATCH(TEXT(B496,"0"),DePara!$D:$D,0)),"(sem categoria)")</f>
        <v/>
      </c>
      <c r="O496" s="5">
        <f>IF(J496="","",Parametros!$B$6-J496)</f>
        <v/>
      </c>
      <c r="P496" s="5">
        <f>IF(O496="","",IF(O496&gt;0,1,0))</f>
        <v/>
      </c>
    </row>
    <row r="497">
      <c r="A497" s="5" t="n">
        <v>2122100000</v>
      </c>
      <c r="B497" s="5" t="inlineStr">
        <is>
          <t>IC4420</t>
        </is>
      </c>
      <c r="C497" s="5" t="inlineStr">
        <is>
          <t>NORDEX ENERGY SPAIN S A U</t>
        </is>
      </c>
      <c r="D497" s="5" t="inlineStr">
        <is>
          <t>RE</t>
        </is>
      </c>
      <c r="E497" s="5" t="n">
        <v>5010925</v>
      </c>
      <c r="F497" s="5" t="inlineStr">
        <is>
          <t>4026003141</t>
        </is>
      </c>
      <c r="G497" s="5" t="inlineStr">
        <is>
          <t>EUR</t>
        </is>
      </c>
      <c r="H497" s="9" t="n">
        <v>-22089.2</v>
      </c>
      <c r="I497" s="16" t="n">
        <v>46148</v>
      </c>
      <c r="J497" s="16" t="n">
        <v>46178</v>
      </c>
      <c r="K497" s="5" t="inlineStr">
        <is>
          <t>0295/26</t>
        </is>
      </c>
      <c r="L497" s="5" t="inlineStr">
        <is>
          <t>4026003141</t>
        </is>
      </c>
      <c r="M497" s="5">
        <f>IF(YEAR(I497)&lt;=2020,"Até 2020",TEXT(YEAR(I497),"0"))</f>
        <v/>
      </c>
      <c r="N497" s="5">
        <f>IFERROR(INDEX(DePara!$A:$A,MATCH(TEXT(B497,"0"),DePara!$D:$D,0)),"(sem categoria)")</f>
        <v/>
      </c>
      <c r="O497" s="5">
        <f>IF(J497="","",Parametros!$B$6-J497)</f>
        <v/>
      </c>
      <c r="P497" s="5">
        <f>IF(O497="","",IF(O497&gt;0,1,0))</f>
        <v/>
      </c>
    </row>
    <row r="498">
      <c r="A498" s="5" t="n">
        <v>2122100000</v>
      </c>
      <c r="B498" s="5" t="inlineStr">
        <is>
          <t>IC4420</t>
        </is>
      </c>
      <c r="C498" s="5" t="inlineStr">
        <is>
          <t>NORDEX ENERGY SPAIN S A U</t>
        </is>
      </c>
      <c r="D498" s="5" t="inlineStr">
        <is>
          <t>RE</t>
        </is>
      </c>
      <c r="E498" s="5" t="n">
        <v>5010926</v>
      </c>
      <c r="F498" s="5" t="inlineStr">
        <is>
          <t>4026003011</t>
        </is>
      </c>
      <c r="G498" s="5" t="inlineStr">
        <is>
          <t>EUR</t>
        </is>
      </c>
      <c r="H498" s="9" t="n">
        <v>-230.37</v>
      </c>
      <c r="I498" s="16" t="n">
        <v>46142</v>
      </c>
      <c r="J498" s="16" t="n">
        <v>46172</v>
      </c>
      <c r="K498" s="5" t="inlineStr">
        <is>
          <t>0279/26</t>
        </is>
      </c>
      <c r="L498" s="5" t="inlineStr">
        <is>
          <t>4026003011</t>
        </is>
      </c>
      <c r="M498" s="5">
        <f>IF(YEAR(I498)&lt;=2020,"Até 2020",TEXT(YEAR(I498),"0"))</f>
        <v/>
      </c>
      <c r="N498" s="5">
        <f>IFERROR(INDEX(DePara!$A:$A,MATCH(TEXT(B498,"0"),DePara!$D:$D,0)),"(sem categoria)")</f>
        <v/>
      </c>
      <c r="O498" s="5">
        <f>IF(J498="","",Parametros!$B$6-J498)</f>
        <v/>
      </c>
      <c r="P498" s="5">
        <f>IF(O498="","",IF(O498&gt;0,1,0))</f>
        <v/>
      </c>
    </row>
    <row r="499">
      <c r="A499" s="5" t="n">
        <v>2122100000</v>
      </c>
      <c r="B499" s="5" t="inlineStr">
        <is>
          <t>IC4420</t>
        </is>
      </c>
      <c r="C499" s="5" t="inlineStr">
        <is>
          <t>NORDEX ENERGY SPAIN S A U</t>
        </is>
      </c>
      <c r="D499" s="5" t="inlineStr">
        <is>
          <t>RE</t>
        </is>
      </c>
      <c r="E499" s="5" t="n">
        <v>5010927</v>
      </c>
      <c r="F499" s="5" t="inlineStr">
        <is>
          <t>4026003014</t>
        </is>
      </c>
      <c r="G499" s="5" t="inlineStr">
        <is>
          <t>EUR</t>
        </is>
      </c>
      <c r="H499" s="9" t="n">
        <v>-15076.1</v>
      </c>
      <c r="I499" s="16" t="n">
        <v>46142</v>
      </c>
      <c r="J499" s="16" t="n">
        <v>46172</v>
      </c>
      <c r="K499" s="5" t="inlineStr">
        <is>
          <t>0279/26</t>
        </is>
      </c>
      <c r="L499" s="5" t="inlineStr">
        <is>
          <t>4026003014</t>
        </is>
      </c>
      <c r="M499" s="5">
        <f>IF(YEAR(I499)&lt;=2020,"Até 2020",TEXT(YEAR(I499),"0"))</f>
        <v/>
      </c>
      <c r="N499" s="5">
        <f>IFERROR(INDEX(DePara!$A:$A,MATCH(TEXT(B499,"0"),DePara!$D:$D,0)),"(sem categoria)")</f>
        <v/>
      </c>
      <c r="O499" s="5">
        <f>IF(J499="","",Parametros!$B$6-J499)</f>
        <v/>
      </c>
      <c r="P499" s="5">
        <f>IF(O499="","",IF(O499&gt;0,1,0))</f>
        <v/>
      </c>
    </row>
    <row r="500">
      <c r="A500" s="5" t="n">
        <v>2122100000</v>
      </c>
      <c r="B500" s="5" t="inlineStr">
        <is>
          <t>IC4420</t>
        </is>
      </c>
      <c r="C500" s="5" t="inlineStr">
        <is>
          <t>NORDEX ENERGY SPAIN S A U</t>
        </is>
      </c>
      <c r="D500" s="5" t="inlineStr">
        <is>
          <t>RE</t>
        </is>
      </c>
      <c r="E500" s="5" t="n">
        <v>5010928</v>
      </c>
      <c r="F500" s="5" t="inlineStr">
        <is>
          <t>4026003138</t>
        </is>
      </c>
      <c r="G500" s="5" t="inlineStr">
        <is>
          <t>EUR</t>
        </is>
      </c>
      <c r="H500" s="9" t="n">
        <v>-48800.83</v>
      </c>
      <c r="I500" s="16" t="n">
        <v>46148</v>
      </c>
      <c r="J500" s="16" t="n">
        <v>46178</v>
      </c>
      <c r="K500" s="5" t="inlineStr">
        <is>
          <t>0292/26</t>
        </is>
      </c>
      <c r="L500" s="5" t="inlineStr">
        <is>
          <t>4026003138</t>
        </is>
      </c>
      <c r="M500" s="5">
        <f>IF(YEAR(I500)&lt;=2020,"Até 2020",TEXT(YEAR(I500),"0"))</f>
        <v/>
      </c>
      <c r="N500" s="5">
        <f>IFERROR(INDEX(DePara!$A:$A,MATCH(TEXT(B500,"0"),DePara!$D:$D,0)),"(sem categoria)")</f>
        <v/>
      </c>
      <c r="O500" s="5">
        <f>IF(J500="","",Parametros!$B$6-J500)</f>
        <v/>
      </c>
      <c r="P500" s="5">
        <f>IF(O500="","",IF(O500&gt;0,1,0))</f>
        <v/>
      </c>
    </row>
    <row r="501">
      <c r="A501" s="5" t="n">
        <v>2122100000</v>
      </c>
      <c r="B501" s="5" t="inlineStr">
        <is>
          <t>IC4420</t>
        </is>
      </c>
      <c r="C501" s="5" t="inlineStr">
        <is>
          <t>NORDEX ENERGY SPAIN S A U</t>
        </is>
      </c>
      <c r="D501" s="5" t="inlineStr">
        <is>
          <t>RE</t>
        </is>
      </c>
      <c r="E501" s="5" t="n">
        <v>5010929</v>
      </c>
      <c r="F501" s="5" t="inlineStr">
        <is>
          <t>4018000091</t>
        </is>
      </c>
      <c r="G501" s="5" t="inlineStr">
        <is>
          <t>EUR</t>
        </is>
      </c>
      <c r="H501" s="9" t="n">
        <v>-18645.23</v>
      </c>
      <c r="I501" s="16" t="n">
        <v>46127</v>
      </c>
      <c r="J501" s="16" t="n">
        <v>46157</v>
      </c>
      <c r="K501" s="5" t="inlineStr">
        <is>
          <t>0213/26</t>
        </is>
      </c>
      <c r="L501" s="5" t="inlineStr">
        <is>
          <t>4018000091</t>
        </is>
      </c>
      <c r="M501" s="5">
        <f>IF(YEAR(I501)&lt;=2020,"Até 2020",TEXT(YEAR(I501),"0"))</f>
        <v/>
      </c>
      <c r="N501" s="5">
        <f>IFERROR(INDEX(DePara!$A:$A,MATCH(TEXT(B501,"0"),DePara!$D:$D,0)),"(sem categoria)")</f>
        <v/>
      </c>
      <c r="O501" s="5">
        <f>IF(J501="","",Parametros!$B$6-J501)</f>
        <v/>
      </c>
      <c r="P501" s="5">
        <f>IF(O501="","",IF(O501&gt;0,1,0))</f>
        <v/>
      </c>
    </row>
    <row r="502">
      <c r="A502" s="5" t="n">
        <v>2122100000</v>
      </c>
      <c r="B502" s="5" t="inlineStr">
        <is>
          <t>IC4420</t>
        </is>
      </c>
      <c r="C502" s="5" t="inlineStr">
        <is>
          <t>NORDEX ENERGY SPAIN S A U</t>
        </is>
      </c>
      <c r="D502" s="5" t="inlineStr">
        <is>
          <t>RE</t>
        </is>
      </c>
      <c r="E502" s="5" t="n">
        <v>5010930</v>
      </c>
      <c r="F502" s="5" t="inlineStr">
        <is>
          <t>4026002951</t>
        </is>
      </c>
      <c r="G502" s="5" t="inlineStr">
        <is>
          <t>EUR</t>
        </is>
      </c>
      <c r="H502" s="9" t="n">
        <v>-23089.78</v>
      </c>
      <c r="I502" s="16" t="n">
        <v>46141</v>
      </c>
      <c r="J502" s="16" t="n">
        <v>46171</v>
      </c>
      <c r="K502" s="5" t="inlineStr">
        <is>
          <t>0277/26</t>
        </is>
      </c>
      <c r="L502" s="5" t="inlineStr">
        <is>
          <t>4026002951</t>
        </is>
      </c>
      <c r="M502" s="5">
        <f>IF(YEAR(I502)&lt;=2020,"Até 2020",TEXT(YEAR(I502),"0"))</f>
        <v/>
      </c>
      <c r="N502" s="5">
        <f>IFERROR(INDEX(DePara!$A:$A,MATCH(TEXT(B502,"0"),DePara!$D:$D,0)),"(sem categoria)")</f>
        <v/>
      </c>
      <c r="O502" s="5">
        <f>IF(J502="","",Parametros!$B$6-J502)</f>
        <v/>
      </c>
      <c r="P502" s="5">
        <f>IF(O502="","",IF(O502&gt;0,1,0))</f>
        <v/>
      </c>
    </row>
    <row r="503">
      <c r="A503" s="5" t="n">
        <v>2122100000</v>
      </c>
      <c r="B503" s="5" t="inlineStr">
        <is>
          <t>IC4420</t>
        </is>
      </c>
      <c r="C503" s="5" t="inlineStr">
        <is>
          <t>NORDEX ENERGY SPAIN S A U</t>
        </is>
      </c>
      <c r="D503" s="5" t="inlineStr">
        <is>
          <t>RE</t>
        </is>
      </c>
      <c r="E503" s="5" t="n">
        <v>5010931</v>
      </c>
      <c r="F503" s="5" t="inlineStr">
        <is>
          <t>4026003304</t>
        </is>
      </c>
      <c r="G503" s="5" t="inlineStr">
        <is>
          <t>EUR</t>
        </is>
      </c>
      <c r="H503" s="9" t="n">
        <v>-51485.42</v>
      </c>
      <c r="I503" s="16" t="n">
        <v>46153</v>
      </c>
      <c r="J503" s="16" t="n">
        <v>46183</v>
      </c>
      <c r="K503" s="5" t="inlineStr">
        <is>
          <t>0319/26</t>
        </is>
      </c>
      <c r="L503" s="5" t="inlineStr">
        <is>
          <t>4026003304</t>
        </is>
      </c>
      <c r="M503" s="5">
        <f>IF(YEAR(I503)&lt;=2020,"Até 2020",TEXT(YEAR(I503),"0"))</f>
        <v/>
      </c>
      <c r="N503" s="5">
        <f>IFERROR(INDEX(DePara!$A:$A,MATCH(TEXT(B503,"0"),DePara!$D:$D,0)),"(sem categoria)")</f>
        <v/>
      </c>
      <c r="O503" s="5">
        <f>IF(J503="","",Parametros!$B$6-J503)</f>
        <v/>
      </c>
      <c r="P503" s="5">
        <f>IF(O503="","",IF(O503&gt;0,1,0))</f>
        <v/>
      </c>
    </row>
    <row r="504">
      <c r="A504" s="5" t="n">
        <v>2122100000</v>
      </c>
      <c r="B504" s="5" t="inlineStr">
        <is>
          <t>IC4420</t>
        </is>
      </c>
      <c r="C504" s="5" t="inlineStr">
        <is>
          <t>NORDEX ENERGY SPAIN S A U</t>
        </is>
      </c>
      <c r="D504" s="5" t="inlineStr">
        <is>
          <t>RE</t>
        </is>
      </c>
      <c r="E504" s="5" t="n">
        <v>5010932</v>
      </c>
      <c r="F504" s="5" t="inlineStr">
        <is>
          <t>4026003231</t>
        </is>
      </c>
      <c r="G504" s="5" t="inlineStr">
        <is>
          <t>EUR</t>
        </is>
      </c>
      <c r="H504" s="9" t="n">
        <v>-3682.74</v>
      </c>
      <c r="I504" s="16" t="n">
        <v>46150</v>
      </c>
      <c r="J504" s="16" t="n">
        <v>46180</v>
      </c>
      <c r="K504" s="5" t="inlineStr">
        <is>
          <t>0314/26</t>
        </is>
      </c>
      <c r="L504" s="5" t="inlineStr">
        <is>
          <t>4026003231</t>
        </is>
      </c>
      <c r="M504" s="5">
        <f>IF(YEAR(I504)&lt;=2020,"Até 2020",TEXT(YEAR(I504),"0"))</f>
        <v/>
      </c>
      <c r="N504" s="5">
        <f>IFERROR(INDEX(DePara!$A:$A,MATCH(TEXT(B504,"0"),DePara!$D:$D,0)),"(sem categoria)")</f>
        <v/>
      </c>
      <c r="O504" s="5">
        <f>IF(J504="","",Parametros!$B$6-J504)</f>
        <v/>
      </c>
      <c r="P504" s="5">
        <f>IF(O504="","",IF(O504&gt;0,1,0))</f>
        <v/>
      </c>
    </row>
    <row r="505">
      <c r="A505" s="5" t="n">
        <v>2122100000</v>
      </c>
      <c r="B505" s="5" t="inlineStr">
        <is>
          <t>IC4420</t>
        </is>
      </c>
      <c r="C505" s="5" t="inlineStr">
        <is>
          <t>NORDEX ENERGY SPAIN S A U</t>
        </is>
      </c>
      <c r="D505" s="5" t="inlineStr">
        <is>
          <t>RE</t>
        </is>
      </c>
      <c r="E505" s="5" t="n">
        <v>5010933</v>
      </c>
      <c r="F505" s="5" t="inlineStr">
        <is>
          <t>4026003229</t>
        </is>
      </c>
      <c r="G505" s="5" t="inlineStr">
        <is>
          <t>EUR</t>
        </is>
      </c>
      <c r="H505" s="9" t="n">
        <v>-47916.73</v>
      </c>
      <c r="I505" s="16" t="n">
        <v>46150</v>
      </c>
      <c r="J505" s="16" t="n">
        <v>46180</v>
      </c>
      <c r="K505" s="5" t="inlineStr">
        <is>
          <t>0312/26</t>
        </is>
      </c>
      <c r="L505" s="5" t="inlineStr">
        <is>
          <t>4026003229</t>
        </is>
      </c>
      <c r="M505" s="5">
        <f>IF(YEAR(I505)&lt;=2020,"Até 2020",TEXT(YEAR(I505),"0"))</f>
        <v/>
      </c>
      <c r="N505" s="5">
        <f>IFERROR(INDEX(DePara!$A:$A,MATCH(TEXT(B505,"0"),DePara!$D:$D,0)),"(sem categoria)")</f>
        <v/>
      </c>
      <c r="O505" s="5">
        <f>IF(J505="","",Parametros!$B$6-J505)</f>
        <v/>
      </c>
      <c r="P505" s="5">
        <f>IF(O505="","",IF(O505&gt;0,1,0))</f>
        <v/>
      </c>
    </row>
    <row r="506">
      <c r="A506" s="5" t="n">
        <v>2122100000</v>
      </c>
      <c r="B506" s="5" t="inlineStr">
        <is>
          <t>IC4420</t>
        </is>
      </c>
      <c r="C506" s="5" t="inlineStr">
        <is>
          <t>NORDEX ENERGY SPAIN S A U</t>
        </is>
      </c>
      <c r="D506" s="5" t="inlineStr">
        <is>
          <t>RE</t>
        </is>
      </c>
      <c r="E506" s="5" t="n">
        <v>5010934</v>
      </c>
      <c r="F506" s="5" t="inlineStr">
        <is>
          <t>4026003230</t>
        </is>
      </c>
      <c r="G506" s="5" t="inlineStr">
        <is>
          <t>EUR</t>
        </is>
      </c>
      <c r="H506" s="9" t="n">
        <v>-457.62</v>
      </c>
      <c r="I506" s="16" t="n">
        <v>46150</v>
      </c>
      <c r="J506" s="16" t="n">
        <v>46180</v>
      </c>
      <c r="K506" s="5" t="inlineStr">
        <is>
          <t>0313/26</t>
        </is>
      </c>
      <c r="L506" s="5" t="inlineStr">
        <is>
          <t>4026003230</t>
        </is>
      </c>
      <c r="M506" s="5">
        <f>IF(YEAR(I506)&lt;=2020,"Até 2020",TEXT(YEAR(I506),"0"))</f>
        <v/>
      </c>
      <c r="N506" s="5">
        <f>IFERROR(INDEX(DePara!$A:$A,MATCH(TEXT(B506,"0"),DePara!$D:$D,0)),"(sem categoria)")</f>
        <v/>
      </c>
      <c r="O506" s="5">
        <f>IF(J506="","",Parametros!$B$6-J506)</f>
        <v/>
      </c>
      <c r="P506" s="5">
        <f>IF(O506="","",IF(O506&gt;0,1,0))</f>
        <v/>
      </c>
    </row>
    <row r="507">
      <c r="A507" s="5" t="n">
        <v>2122100000</v>
      </c>
      <c r="B507" s="5" t="inlineStr">
        <is>
          <t>IC4420</t>
        </is>
      </c>
      <c r="C507" s="5" t="inlineStr">
        <is>
          <t>NORDEX ENERGY SPAIN S A U</t>
        </is>
      </c>
      <c r="D507" s="5" t="inlineStr">
        <is>
          <t>RE</t>
        </is>
      </c>
      <c r="E507" s="5" t="n">
        <v>5010935</v>
      </c>
      <c r="F507" s="5" t="inlineStr">
        <is>
          <t>4026003143</t>
        </is>
      </c>
      <c r="G507" s="5" t="inlineStr">
        <is>
          <t>EUR</t>
        </is>
      </c>
      <c r="H507" s="9" t="n">
        <v>-544.78</v>
      </c>
      <c r="I507" s="16" t="n">
        <v>46148</v>
      </c>
      <c r="J507" s="16" t="n">
        <v>46178</v>
      </c>
      <c r="K507" s="5" t="inlineStr">
        <is>
          <t>0297/26</t>
        </is>
      </c>
      <c r="L507" s="5" t="inlineStr">
        <is>
          <t>4026003143</t>
        </is>
      </c>
      <c r="M507" s="5">
        <f>IF(YEAR(I507)&lt;=2020,"Até 2020",TEXT(YEAR(I507),"0"))</f>
        <v/>
      </c>
      <c r="N507" s="5">
        <f>IFERROR(INDEX(DePara!$A:$A,MATCH(TEXT(B507,"0"),DePara!$D:$D,0)),"(sem categoria)")</f>
        <v/>
      </c>
      <c r="O507" s="5">
        <f>IF(J507="","",Parametros!$B$6-J507)</f>
        <v/>
      </c>
      <c r="P507" s="5">
        <f>IF(O507="","",IF(O507&gt;0,1,0))</f>
        <v/>
      </c>
    </row>
    <row r="508">
      <c r="A508" s="5" t="n">
        <v>2122100000</v>
      </c>
      <c r="B508" s="5" t="inlineStr">
        <is>
          <t>IC4420</t>
        </is>
      </c>
      <c r="C508" s="5" t="inlineStr">
        <is>
          <t>NORDEX ENERGY SPAIN S A U</t>
        </is>
      </c>
      <c r="D508" s="5" t="inlineStr">
        <is>
          <t>RE</t>
        </is>
      </c>
      <c r="E508" s="5" t="n">
        <v>5010936</v>
      </c>
      <c r="F508" s="5" t="inlineStr">
        <is>
          <t>4026003390</t>
        </is>
      </c>
      <c r="G508" s="5" t="inlineStr">
        <is>
          <t>EUR</t>
        </is>
      </c>
      <c r="H508" s="9" t="n">
        <v>-6822.72</v>
      </c>
      <c r="I508" s="16" t="n">
        <v>46156</v>
      </c>
      <c r="J508" s="16" t="n">
        <v>46186</v>
      </c>
      <c r="K508" s="5" t="inlineStr">
        <is>
          <t>0344/26</t>
        </is>
      </c>
      <c r="L508" s="5" t="inlineStr">
        <is>
          <t>4026003390</t>
        </is>
      </c>
      <c r="M508" s="5">
        <f>IF(YEAR(I508)&lt;=2020,"Até 2020",TEXT(YEAR(I508),"0"))</f>
        <v/>
      </c>
      <c r="N508" s="5">
        <f>IFERROR(INDEX(DePara!$A:$A,MATCH(TEXT(B508,"0"),DePara!$D:$D,0)),"(sem categoria)")</f>
        <v/>
      </c>
      <c r="O508" s="5">
        <f>IF(J508="","",Parametros!$B$6-J508)</f>
        <v/>
      </c>
      <c r="P508" s="5">
        <f>IF(O508="","",IF(O508&gt;0,1,0))</f>
        <v/>
      </c>
    </row>
    <row r="509">
      <c r="A509" s="5" t="n">
        <v>2122100000</v>
      </c>
      <c r="B509" s="5" t="inlineStr">
        <is>
          <t>IC4420</t>
        </is>
      </c>
      <c r="C509" s="5" t="inlineStr">
        <is>
          <t>NORDEX ENERGY SPAIN S A U</t>
        </is>
      </c>
      <c r="D509" s="5" t="inlineStr">
        <is>
          <t>RE</t>
        </is>
      </c>
      <c r="E509" s="5" t="n">
        <v>5010937</v>
      </c>
      <c r="F509" s="5" t="inlineStr">
        <is>
          <t>4026003142</t>
        </is>
      </c>
      <c r="G509" s="5" t="inlineStr">
        <is>
          <t>EUR</t>
        </is>
      </c>
      <c r="H509" s="9" t="n">
        <v>-1372.45</v>
      </c>
      <c r="I509" s="16" t="n">
        <v>46148</v>
      </c>
      <c r="J509" s="16" t="n">
        <v>46178</v>
      </c>
      <c r="K509" s="5" t="inlineStr">
        <is>
          <t>0296/26</t>
        </is>
      </c>
      <c r="L509" s="5" t="inlineStr">
        <is>
          <t>4026003142</t>
        </is>
      </c>
      <c r="M509" s="5">
        <f>IF(YEAR(I509)&lt;=2020,"Até 2020",TEXT(YEAR(I509),"0"))</f>
        <v/>
      </c>
      <c r="N509" s="5">
        <f>IFERROR(INDEX(DePara!$A:$A,MATCH(TEXT(B509,"0"),DePara!$D:$D,0)),"(sem categoria)")</f>
        <v/>
      </c>
      <c r="O509" s="5">
        <f>IF(J509="","",Parametros!$B$6-J509)</f>
        <v/>
      </c>
      <c r="P509" s="5">
        <f>IF(O509="","",IF(O509&gt;0,1,0))</f>
        <v/>
      </c>
    </row>
    <row r="510">
      <c r="A510" s="5" t="n">
        <v>2122100000</v>
      </c>
      <c r="B510" s="5" t="inlineStr">
        <is>
          <t>IC4420</t>
        </is>
      </c>
      <c r="C510" s="5" t="inlineStr">
        <is>
          <t>NORDEX ENERGY SPAIN S A U</t>
        </is>
      </c>
      <c r="D510" s="5" t="inlineStr">
        <is>
          <t>RE</t>
        </is>
      </c>
      <c r="E510" s="5" t="n">
        <v>5010938</v>
      </c>
      <c r="F510" s="5" t="inlineStr">
        <is>
          <t>4026003167</t>
        </is>
      </c>
      <c r="G510" s="5" t="inlineStr">
        <is>
          <t>EUR</t>
        </is>
      </c>
      <c r="H510" s="9" t="n">
        <v>-45657.92</v>
      </c>
      <c r="I510" s="16" t="n">
        <v>46149</v>
      </c>
      <c r="J510" s="16" t="n">
        <v>46179</v>
      </c>
      <c r="K510" s="5" t="inlineStr">
        <is>
          <t>0304/26</t>
        </is>
      </c>
      <c r="L510" s="5" t="inlineStr">
        <is>
          <t>4026003167</t>
        </is>
      </c>
      <c r="M510" s="5">
        <f>IF(YEAR(I510)&lt;=2020,"Até 2020",TEXT(YEAR(I510),"0"))</f>
        <v/>
      </c>
      <c r="N510" s="5">
        <f>IFERROR(INDEX(DePara!$A:$A,MATCH(TEXT(B510,"0"),DePara!$D:$D,0)),"(sem categoria)")</f>
        <v/>
      </c>
      <c r="O510" s="5">
        <f>IF(J510="","",Parametros!$B$6-J510)</f>
        <v/>
      </c>
      <c r="P510" s="5">
        <f>IF(O510="","",IF(O510&gt;0,1,0))</f>
        <v/>
      </c>
    </row>
    <row r="511">
      <c r="A511" s="5" t="n">
        <v>2122100000</v>
      </c>
      <c r="B511" s="5" t="inlineStr">
        <is>
          <t>IC4420</t>
        </is>
      </c>
      <c r="C511" s="5" t="inlineStr">
        <is>
          <t>NORDEX ENERGY SPAIN S A U</t>
        </is>
      </c>
      <c r="D511" s="5" t="inlineStr">
        <is>
          <t>RE</t>
        </is>
      </c>
      <c r="E511" s="5" t="n">
        <v>5010939</v>
      </c>
      <c r="F511" s="5" t="inlineStr">
        <is>
          <t>4026003163</t>
        </is>
      </c>
      <c r="G511" s="5" t="inlineStr">
        <is>
          <t>EUR</t>
        </is>
      </c>
      <c r="H511" s="9" t="n">
        <v>-8696.66</v>
      </c>
      <c r="I511" s="16" t="n">
        <v>46149</v>
      </c>
      <c r="J511" s="16" t="n">
        <v>46179</v>
      </c>
      <c r="K511" s="5" t="inlineStr">
        <is>
          <t>0301/26</t>
        </is>
      </c>
      <c r="L511" s="5" t="inlineStr">
        <is>
          <t>4026003163</t>
        </is>
      </c>
      <c r="M511" s="5">
        <f>IF(YEAR(I511)&lt;=2020,"Até 2020",TEXT(YEAR(I511),"0"))</f>
        <v/>
      </c>
      <c r="N511" s="5">
        <f>IFERROR(INDEX(DePara!$A:$A,MATCH(TEXT(B511,"0"),DePara!$D:$D,0)),"(sem categoria)")</f>
        <v/>
      </c>
      <c r="O511" s="5">
        <f>IF(J511="","",Parametros!$B$6-J511)</f>
        <v/>
      </c>
      <c r="P511" s="5">
        <f>IF(O511="","",IF(O511&gt;0,1,0))</f>
        <v/>
      </c>
    </row>
    <row r="512">
      <c r="A512" s="5" t="n">
        <v>2122100000</v>
      </c>
      <c r="B512" s="5" t="inlineStr">
        <is>
          <t>IC4420</t>
        </is>
      </c>
      <c r="C512" s="5" t="inlineStr">
        <is>
          <t>NORDEX ENERGY SPAIN S A U</t>
        </is>
      </c>
      <c r="D512" s="5" t="inlineStr">
        <is>
          <t>RE</t>
        </is>
      </c>
      <c r="E512" s="5" t="n">
        <v>5010940</v>
      </c>
      <c r="F512" s="5" t="inlineStr">
        <is>
          <t>4026003010</t>
        </is>
      </c>
      <c r="G512" s="5" t="inlineStr">
        <is>
          <t>EUR</t>
        </is>
      </c>
      <c r="H512" s="9" t="n">
        <v>-62383.87</v>
      </c>
      <c r="I512" s="16" t="n">
        <v>46142</v>
      </c>
      <c r="J512" s="16" t="n">
        <v>46172</v>
      </c>
      <c r="K512" s="5" t="inlineStr">
        <is>
          <t>0278/26</t>
        </is>
      </c>
      <c r="L512" s="5" t="inlineStr">
        <is>
          <t>4026003010</t>
        </is>
      </c>
      <c r="M512" s="5">
        <f>IF(YEAR(I512)&lt;=2020,"Até 2020",TEXT(YEAR(I512),"0"))</f>
        <v/>
      </c>
      <c r="N512" s="5">
        <f>IFERROR(INDEX(DePara!$A:$A,MATCH(TEXT(B512,"0"),DePara!$D:$D,0)),"(sem categoria)")</f>
        <v/>
      </c>
      <c r="O512" s="5">
        <f>IF(J512="","",Parametros!$B$6-J512)</f>
        <v/>
      </c>
      <c r="P512" s="5">
        <f>IF(O512="","",IF(O512&gt;0,1,0))</f>
        <v/>
      </c>
    </row>
    <row r="513">
      <c r="A513" s="5" t="n">
        <v>2122100000</v>
      </c>
      <c r="B513" s="5" t="inlineStr">
        <is>
          <t>IC5000</t>
        </is>
      </c>
      <c r="C513" s="5" t="inlineStr">
        <is>
          <t>NORDEX SE</t>
        </is>
      </c>
      <c r="D513" s="5" t="inlineStr">
        <is>
          <t>KR</t>
        </is>
      </c>
      <c r="E513" s="5" t="n">
        <v>5011010</v>
      </c>
      <c r="F513" s="5" t="inlineStr">
        <is>
          <t>610826</t>
        </is>
      </c>
      <c r="G513" s="5" t="inlineStr">
        <is>
          <t>EUR</t>
        </is>
      </c>
      <c r="H513" s="9" t="n">
        <v>-1205285.92</v>
      </c>
      <c r="I513" s="16" t="n">
        <v>46190</v>
      </c>
      <c r="J513" s="16" t="n">
        <v>46250</v>
      </c>
      <c r="K513" s="5" t="inlineStr">
        <is>
          <t>Fatura do fornecedor NORDEX SE 610826</t>
        </is>
      </c>
      <c r="L513" s="5" t="inlineStr">
        <is>
          <t>12082026</t>
        </is>
      </c>
      <c r="M513" s="5">
        <f>IF(YEAR(I513)&lt;=2020,"Até 2020",TEXT(YEAR(I513),"0"))</f>
        <v/>
      </c>
      <c r="N513" s="5">
        <f>IFERROR(INDEX(DePara!$A:$A,MATCH(TEXT(B513,"0"),DePara!$D:$D,0)),"(sem categoria)")</f>
        <v/>
      </c>
      <c r="O513" s="5">
        <f>IF(J513="","",Parametros!$B$6-J513)</f>
        <v/>
      </c>
      <c r="P513" s="5">
        <f>IF(O513="","",IF(O513&gt;0,1,0))</f>
        <v/>
      </c>
    </row>
    <row r="514">
      <c r="A514" s="5" t="n">
        <v>2122100000</v>
      </c>
      <c r="B514" s="5" t="inlineStr">
        <is>
          <t>IC4420</t>
        </is>
      </c>
      <c r="C514" s="5" t="inlineStr">
        <is>
          <t>NORDEX ENERGY SPAIN S A U</t>
        </is>
      </c>
      <c r="D514" s="5" t="inlineStr">
        <is>
          <t>RE</t>
        </is>
      </c>
      <c r="E514" s="5" t="n">
        <v>5011011</v>
      </c>
      <c r="F514" s="5" t="inlineStr">
        <is>
          <t>4026002384</t>
        </is>
      </c>
      <c r="G514" s="5" t="inlineStr">
        <is>
          <t>EUR</t>
        </is>
      </c>
      <c r="H514" s="9" t="n">
        <v>-354911.62</v>
      </c>
      <c r="I514" s="16" t="n">
        <v>46120</v>
      </c>
      <c r="J514" s="16" t="n">
        <v>46150</v>
      </c>
      <c r="K514" s="5" t="inlineStr">
        <is>
          <t>0193/26</t>
        </is>
      </c>
      <c r="L514" s="5" t="inlineStr">
        <is>
          <t>4026002384</t>
        </is>
      </c>
      <c r="M514" s="5">
        <f>IF(YEAR(I514)&lt;=2020,"Até 2020",TEXT(YEAR(I514),"0"))</f>
        <v/>
      </c>
      <c r="N514" s="5">
        <f>IFERROR(INDEX(DePara!$A:$A,MATCH(TEXT(B514,"0"),DePara!$D:$D,0)),"(sem categoria)")</f>
        <v/>
      </c>
      <c r="O514" s="5">
        <f>IF(J514="","",Parametros!$B$6-J514)</f>
        <v/>
      </c>
      <c r="P514" s="5">
        <f>IF(O514="","",IF(O514&gt;0,1,0))</f>
        <v/>
      </c>
    </row>
    <row r="515">
      <c r="A515" s="5" t="n">
        <v>2122100000</v>
      </c>
      <c r="B515" s="5" t="inlineStr">
        <is>
          <t>IC4420</t>
        </is>
      </c>
      <c r="C515" s="5" t="inlineStr">
        <is>
          <t>NORDEX ENERGY SPAIN S A U</t>
        </is>
      </c>
      <c r="D515" s="5" t="inlineStr">
        <is>
          <t>RE</t>
        </is>
      </c>
      <c r="E515" s="5" t="n">
        <v>5011050</v>
      </c>
      <c r="F515" s="5" t="inlineStr">
        <is>
          <t>4026003144</t>
        </is>
      </c>
      <c r="G515" s="5" t="inlineStr">
        <is>
          <t>EUR</t>
        </is>
      </c>
      <c r="H515" s="9" t="n">
        <v>-232.7</v>
      </c>
      <c r="I515" s="16" t="n">
        <v>46148</v>
      </c>
      <c r="J515" s="16" t="n">
        <v>46178</v>
      </c>
      <c r="K515" s="5" t="inlineStr">
        <is>
          <t>0298/26</t>
        </is>
      </c>
      <c r="L515" s="5" t="inlineStr">
        <is>
          <t>4026003144</t>
        </is>
      </c>
      <c r="M515" s="5">
        <f>IF(YEAR(I515)&lt;=2020,"Até 2020",TEXT(YEAR(I515),"0"))</f>
        <v/>
      </c>
      <c r="N515" s="5">
        <f>IFERROR(INDEX(DePara!$A:$A,MATCH(TEXT(B515,"0"),DePara!$D:$D,0)),"(sem categoria)")</f>
        <v/>
      </c>
      <c r="O515" s="5">
        <f>IF(J515="","",Parametros!$B$6-J515)</f>
        <v/>
      </c>
      <c r="P515" s="5">
        <f>IF(O515="","",IF(O515&gt;0,1,0))</f>
        <v/>
      </c>
    </row>
    <row r="516">
      <c r="A516" s="5" t="n">
        <v>2122100000</v>
      </c>
      <c r="B516" s="5" t="inlineStr">
        <is>
          <t>IC1000</t>
        </is>
      </c>
      <c r="C516" s="5" t="inlineStr">
        <is>
          <t>NORDEX ENERGY SE &amp; CO KG</t>
        </is>
      </c>
      <c r="D516" s="5" t="inlineStr">
        <is>
          <t>RE</t>
        </is>
      </c>
      <c r="E516" s="5" t="n">
        <v>5011060</v>
      </c>
      <c r="F516" s="5" t="inlineStr">
        <is>
          <t>400346</t>
        </is>
      </c>
      <c r="G516" s="5" t="inlineStr">
        <is>
          <t>EUR</t>
        </is>
      </c>
      <c r="H516" s="9" t="n">
        <v>-21324.19</v>
      </c>
      <c r="I516" s="16" t="n">
        <v>46163</v>
      </c>
      <c r="J516" s="16" t="n">
        <v>46193</v>
      </c>
      <c r="K516" s="5" t="inlineStr">
        <is>
          <t>0368/26</t>
        </is>
      </c>
      <c r="L516" s="5" t="inlineStr">
        <is>
          <t>400346</t>
        </is>
      </c>
      <c r="M516" s="5">
        <f>IF(YEAR(I516)&lt;=2020,"Até 2020",TEXT(YEAR(I516),"0"))</f>
        <v/>
      </c>
      <c r="N516" s="5">
        <f>IFERROR(INDEX(DePara!$A:$A,MATCH(TEXT(B516,"0"),DePara!$D:$D,0)),"(sem categoria)")</f>
        <v/>
      </c>
      <c r="O516" s="5">
        <f>IF(J516="","",Parametros!$B$6-J516)</f>
        <v/>
      </c>
      <c r="P516" s="5">
        <f>IF(O516="","",IF(O516&gt;0,1,0))</f>
        <v/>
      </c>
    </row>
    <row r="517">
      <c r="A517" s="5" t="n">
        <v>2122100000</v>
      </c>
      <c r="B517" s="5" t="inlineStr">
        <is>
          <t>IC1000</t>
        </is>
      </c>
      <c r="C517" s="5" t="inlineStr">
        <is>
          <t>NORDEX ENERGY SE &amp; CO KG</t>
        </is>
      </c>
      <c r="D517" s="5" t="inlineStr">
        <is>
          <t>RE</t>
        </is>
      </c>
      <c r="E517" s="5" t="n">
        <v>5011061</v>
      </c>
      <c r="F517" s="5" t="inlineStr">
        <is>
          <t>393373</t>
        </is>
      </c>
      <c r="G517" s="5" t="inlineStr">
        <is>
          <t>EUR</t>
        </is>
      </c>
      <c r="H517" s="9" t="n">
        <v>-1007.8</v>
      </c>
      <c r="I517" s="16" t="n">
        <v>46126</v>
      </c>
      <c r="J517" s="16" t="n">
        <v>46156</v>
      </c>
      <c r="K517" s="5" t="inlineStr">
        <is>
          <t>0311/26</t>
        </is>
      </c>
      <c r="L517" s="5" t="inlineStr">
        <is>
          <t>393373</t>
        </is>
      </c>
      <c r="M517" s="5">
        <f>IF(YEAR(I517)&lt;=2020,"Até 2020",TEXT(YEAR(I517),"0"))</f>
        <v/>
      </c>
      <c r="N517" s="5">
        <f>IFERROR(INDEX(DePara!$A:$A,MATCH(TEXT(B517,"0"),DePara!$D:$D,0)),"(sem categoria)")</f>
        <v/>
      </c>
      <c r="O517" s="5">
        <f>IF(J517="","",Parametros!$B$6-J517)</f>
        <v/>
      </c>
      <c r="P517" s="5">
        <f>IF(O517="","",IF(O517&gt;0,1,0))</f>
        <v/>
      </c>
    </row>
    <row r="518">
      <c r="A518" s="5" t="n">
        <v>2122100000</v>
      </c>
      <c r="B518" s="5" t="inlineStr">
        <is>
          <t>IC4420</t>
        </is>
      </c>
      <c r="C518" s="5" t="inlineStr">
        <is>
          <t>NORDEX ENERGY SPAIN S A U</t>
        </is>
      </c>
      <c r="D518" s="5" t="inlineStr">
        <is>
          <t>RE</t>
        </is>
      </c>
      <c r="E518" s="5" t="n">
        <v>5011195</v>
      </c>
      <c r="F518" s="5" t="inlineStr">
        <is>
          <t>4026003192</t>
        </is>
      </c>
      <c r="G518" s="5" t="inlineStr">
        <is>
          <t>EUR</t>
        </is>
      </c>
      <c r="H518" s="9" t="n">
        <v>-10070.64</v>
      </c>
      <c r="I518" s="16" t="n">
        <v>46149</v>
      </c>
      <c r="J518" s="16" t="n">
        <v>46179</v>
      </c>
      <c r="K518" s="5" t="inlineStr">
        <is>
          <t>0305/26</t>
        </is>
      </c>
      <c r="L518" s="5" t="inlineStr">
        <is>
          <t>4026003192</t>
        </is>
      </c>
      <c r="M518" s="5">
        <f>IF(YEAR(I518)&lt;=2020,"Até 2020",TEXT(YEAR(I518),"0"))</f>
        <v/>
      </c>
      <c r="N518" s="5">
        <f>IFERROR(INDEX(DePara!$A:$A,MATCH(TEXT(B518,"0"),DePara!$D:$D,0)),"(sem categoria)")</f>
        <v/>
      </c>
      <c r="O518" s="5">
        <f>IF(J518="","",Parametros!$B$6-J518)</f>
        <v/>
      </c>
      <c r="P518" s="5">
        <f>IF(O518="","",IF(O518&gt;0,1,0))</f>
        <v/>
      </c>
    </row>
    <row r="519">
      <c r="A519" s="5" t="n">
        <v>2122100000</v>
      </c>
      <c r="B519" s="5" t="inlineStr">
        <is>
          <t>IC4420</t>
        </is>
      </c>
      <c r="C519" s="5" t="inlineStr">
        <is>
          <t>NORDEX ENERGY SPAIN S A U</t>
        </is>
      </c>
      <c r="D519" s="5" t="inlineStr">
        <is>
          <t>RE</t>
        </is>
      </c>
      <c r="E519" s="5" t="n">
        <v>5011196</v>
      </c>
      <c r="F519" s="5" t="inlineStr">
        <is>
          <t>4026002960</t>
        </is>
      </c>
      <c r="G519" s="5" t="inlineStr">
        <is>
          <t>EUR</t>
        </is>
      </c>
      <c r="H519" s="9" t="n">
        <v>-98919.50999999999</v>
      </c>
      <c r="I519" s="16" t="n">
        <v>46142</v>
      </c>
      <c r="J519" s="16" t="n">
        <v>46172</v>
      </c>
      <c r="K519" s="5" t="inlineStr">
        <is>
          <t>0282/26</t>
        </is>
      </c>
      <c r="L519" s="5" t="inlineStr">
        <is>
          <t>4026002960</t>
        </is>
      </c>
      <c r="M519" s="5">
        <f>IF(YEAR(I519)&lt;=2020,"Até 2020",TEXT(YEAR(I519),"0"))</f>
        <v/>
      </c>
      <c r="N519" s="5">
        <f>IFERROR(INDEX(DePara!$A:$A,MATCH(TEXT(B519,"0"),DePara!$D:$D,0)),"(sem categoria)")</f>
        <v/>
      </c>
      <c r="O519" s="5">
        <f>IF(J519="","",Parametros!$B$6-J519)</f>
        <v/>
      </c>
      <c r="P519" s="5">
        <f>IF(O519="","",IF(O519&gt;0,1,0))</f>
        <v/>
      </c>
    </row>
    <row r="520">
      <c r="A520" s="5" t="n">
        <v>2122100000</v>
      </c>
      <c r="B520" s="5" t="inlineStr">
        <is>
          <t>IC4420</t>
        </is>
      </c>
      <c r="C520" s="5" t="inlineStr">
        <is>
          <t>NORDEX ENERGY SPAIN S A U</t>
        </is>
      </c>
      <c r="D520" s="5" t="inlineStr">
        <is>
          <t>RE</t>
        </is>
      </c>
      <c r="E520" s="5" t="n">
        <v>5011201</v>
      </c>
      <c r="F520" s="5" t="inlineStr">
        <is>
          <t>4026003087</t>
        </is>
      </c>
      <c r="G520" s="5" t="inlineStr">
        <is>
          <t>EUR</t>
        </is>
      </c>
      <c r="H520" s="9" t="n">
        <v>-96351.24000000001</v>
      </c>
      <c r="I520" s="16" t="n">
        <v>46146</v>
      </c>
      <c r="J520" s="16" t="n">
        <v>46176</v>
      </c>
      <c r="K520" s="5" t="inlineStr">
        <is>
          <t>0285/26</t>
        </is>
      </c>
      <c r="L520" s="5" t="inlineStr">
        <is>
          <t>4026003087</t>
        </is>
      </c>
      <c r="M520" s="5">
        <f>IF(YEAR(I520)&lt;=2020,"Até 2020",TEXT(YEAR(I520),"0"))</f>
        <v/>
      </c>
      <c r="N520" s="5">
        <f>IFERROR(INDEX(DePara!$A:$A,MATCH(TEXT(B520,"0"),DePara!$D:$D,0)),"(sem categoria)")</f>
        <v/>
      </c>
      <c r="O520" s="5">
        <f>IF(J520="","",Parametros!$B$6-J520)</f>
        <v/>
      </c>
      <c r="P520" s="5">
        <f>IF(O520="","",IF(O520&gt;0,1,0))</f>
        <v/>
      </c>
    </row>
    <row r="521">
      <c r="A521" s="5" t="n">
        <v>2122100000</v>
      </c>
      <c r="B521" s="5" t="inlineStr">
        <is>
          <t>IC4420</t>
        </is>
      </c>
      <c r="C521" s="5" t="inlineStr">
        <is>
          <t>NORDEX ENERGY SPAIN S A U</t>
        </is>
      </c>
      <c r="D521" s="5" t="inlineStr">
        <is>
          <t>RE</t>
        </is>
      </c>
      <c r="E521" s="5" t="n">
        <v>5011211</v>
      </c>
      <c r="F521" s="5" t="inlineStr">
        <is>
          <t>4026003233</t>
        </is>
      </c>
      <c r="G521" s="5" t="inlineStr">
        <is>
          <t>EUR</t>
        </is>
      </c>
      <c r="H521" s="9" t="n">
        <v>-107255.15</v>
      </c>
      <c r="I521" s="16" t="n">
        <v>46150</v>
      </c>
      <c r="J521" s="16" t="n">
        <v>46180</v>
      </c>
      <c r="K521" s="5" t="inlineStr">
        <is>
          <t>0316/26</t>
        </is>
      </c>
      <c r="L521" s="5" t="inlineStr">
        <is>
          <t>4026003233</t>
        </is>
      </c>
      <c r="M521" s="5">
        <f>IF(YEAR(I521)&lt;=2020,"Até 2020",TEXT(YEAR(I521),"0"))</f>
        <v/>
      </c>
      <c r="N521" s="5">
        <f>IFERROR(INDEX(DePara!$A:$A,MATCH(TEXT(B521,"0"),DePara!$D:$D,0)),"(sem categoria)")</f>
        <v/>
      </c>
      <c r="O521" s="5">
        <f>IF(J521="","",Parametros!$B$6-J521)</f>
        <v/>
      </c>
      <c r="P521" s="5">
        <f>IF(O521="","",IF(O521&gt;0,1,0))</f>
        <v/>
      </c>
    </row>
    <row r="522">
      <c r="A522" s="5" t="n">
        <v>2122100000</v>
      </c>
      <c r="B522" s="5" t="inlineStr">
        <is>
          <t>IC4420</t>
        </is>
      </c>
      <c r="C522" s="5" t="inlineStr">
        <is>
          <t>NORDEX ENERGY SPAIN S A U</t>
        </is>
      </c>
      <c r="D522" s="5" t="inlineStr">
        <is>
          <t>RE</t>
        </is>
      </c>
      <c r="E522" s="5" t="n">
        <v>5011262</v>
      </c>
      <c r="F522" s="5" t="inlineStr">
        <is>
          <t>4026004080</t>
        </is>
      </c>
      <c r="G522" s="5" t="inlineStr">
        <is>
          <t>EUR</t>
        </is>
      </c>
      <c r="H522" s="9" t="n">
        <v>-9128.370000000001</v>
      </c>
      <c r="I522" s="16" t="n">
        <v>46174</v>
      </c>
      <c r="J522" s="16" t="n">
        <v>46204</v>
      </c>
      <c r="K522" s="5" t="inlineStr">
        <is>
          <t>0377/26</t>
        </is>
      </c>
      <c r="L522" s="5" t="inlineStr">
        <is>
          <t>4026004080</t>
        </is>
      </c>
      <c r="M522" s="5">
        <f>IF(YEAR(I522)&lt;=2020,"Até 2020",TEXT(YEAR(I522),"0"))</f>
        <v/>
      </c>
      <c r="N522" s="5">
        <f>IFERROR(INDEX(DePara!$A:$A,MATCH(TEXT(B522,"0"),DePara!$D:$D,0)),"(sem categoria)")</f>
        <v/>
      </c>
      <c r="O522" s="5">
        <f>IF(J522="","",Parametros!$B$6-J522)</f>
        <v/>
      </c>
      <c r="P522" s="5">
        <f>IF(O522="","",IF(O522&gt;0,1,0))</f>
        <v/>
      </c>
    </row>
    <row r="523">
      <c r="A523" s="5" t="n">
        <v>2122100000</v>
      </c>
      <c r="B523" s="5" t="inlineStr">
        <is>
          <t>IC4420</t>
        </is>
      </c>
      <c r="C523" s="5" t="inlineStr">
        <is>
          <t>NORDEX ENERGY SPAIN S A U</t>
        </is>
      </c>
      <c r="D523" s="5" t="inlineStr">
        <is>
          <t>RE</t>
        </is>
      </c>
      <c r="E523" s="5" t="n">
        <v>5011263</v>
      </c>
      <c r="F523" s="5" t="inlineStr">
        <is>
          <t>4026004077</t>
        </is>
      </c>
      <c r="G523" s="5" t="inlineStr">
        <is>
          <t>EUR</t>
        </is>
      </c>
      <c r="H523" s="9" t="n">
        <v>-5770.17</v>
      </c>
      <c r="I523" s="16" t="n">
        <v>46174</v>
      </c>
      <c r="J523" s="16" t="n">
        <v>46204</v>
      </c>
      <c r="K523" s="5" t="inlineStr">
        <is>
          <t>0377/26</t>
        </is>
      </c>
      <c r="L523" s="5" t="inlineStr">
        <is>
          <t>4026004077</t>
        </is>
      </c>
      <c r="M523" s="5">
        <f>IF(YEAR(I523)&lt;=2020,"Até 2020",TEXT(YEAR(I523),"0"))</f>
        <v/>
      </c>
      <c r="N523" s="5">
        <f>IFERROR(INDEX(DePara!$A:$A,MATCH(TEXT(B523,"0"),DePara!$D:$D,0)),"(sem categoria)")</f>
        <v/>
      </c>
      <c r="O523" s="5">
        <f>IF(J523="","",Parametros!$B$6-J523)</f>
        <v/>
      </c>
      <c r="P523" s="5">
        <f>IF(O523="","",IF(O523&gt;0,1,0))</f>
        <v/>
      </c>
    </row>
    <row r="524">
      <c r="A524" s="5" t="n">
        <v>2122100000</v>
      </c>
      <c r="B524" s="5" t="inlineStr">
        <is>
          <t>IC4420</t>
        </is>
      </c>
      <c r="C524" s="5" t="inlineStr">
        <is>
          <t>NORDEX ENERGY SPAIN S A U</t>
        </is>
      </c>
      <c r="D524" s="5" t="inlineStr">
        <is>
          <t>RE</t>
        </is>
      </c>
      <c r="E524" s="5" t="n">
        <v>5011273</v>
      </c>
      <c r="F524" s="5" t="inlineStr">
        <is>
          <t>4026003345</t>
        </is>
      </c>
      <c r="G524" s="5" t="inlineStr">
        <is>
          <t>EUR</t>
        </is>
      </c>
      <c r="H524" s="9" t="n">
        <v>-14777.22</v>
      </c>
      <c r="I524" s="16" t="n">
        <v>46154</v>
      </c>
      <c r="J524" s="16" t="n">
        <v>46184</v>
      </c>
      <c r="K524" s="5" t="inlineStr">
        <is>
          <t>0321/26</t>
        </is>
      </c>
      <c r="L524" s="5" t="inlineStr">
        <is>
          <t>4026003345</t>
        </is>
      </c>
      <c r="M524" s="5">
        <f>IF(YEAR(I524)&lt;=2020,"Até 2020",TEXT(YEAR(I524),"0"))</f>
        <v/>
      </c>
      <c r="N524" s="5">
        <f>IFERROR(INDEX(DePara!$A:$A,MATCH(TEXT(B524,"0"),DePara!$D:$D,0)),"(sem categoria)")</f>
        <v/>
      </c>
      <c r="O524" s="5">
        <f>IF(J524="","",Parametros!$B$6-J524)</f>
        <v/>
      </c>
      <c r="P524" s="5">
        <f>IF(O524="","",IF(O524&gt;0,1,0))</f>
        <v/>
      </c>
    </row>
    <row r="525">
      <c r="A525" s="5" t="n">
        <v>2122100000</v>
      </c>
      <c r="B525" s="5" t="inlineStr">
        <is>
          <t>IC4420</t>
        </is>
      </c>
      <c r="C525" s="5" t="inlineStr">
        <is>
          <t>NORDEX ENERGY SPAIN S A U</t>
        </is>
      </c>
      <c r="D525" s="5" t="inlineStr">
        <is>
          <t>RE</t>
        </is>
      </c>
      <c r="E525" s="5" t="n">
        <v>5011274</v>
      </c>
      <c r="F525" s="5" t="inlineStr">
        <is>
          <t>4026003341</t>
        </is>
      </c>
      <c r="G525" s="5" t="inlineStr">
        <is>
          <t>EUR</t>
        </is>
      </c>
      <c r="H525" s="9" t="n">
        <v>-146744.19</v>
      </c>
      <c r="I525" s="16" t="n">
        <v>46154</v>
      </c>
      <c r="J525" s="16" t="n">
        <v>46184</v>
      </c>
      <c r="K525" s="5" t="inlineStr">
        <is>
          <t>0321/26</t>
        </is>
      </c>
      <c r="L525" s="5" t="inlineStr">
        <is>
          <t>4026003341</t>
        </is>
      </c>
      <c r="M525" s="5">
        <f>IF(YEAR(I525)&lt;=2020,"Até 2020",TEXT(YEAR(I525),"0"))</f>
        <v/>
      </c>
      <c r="N525" s="5">
        <f>IFERROR(INDEX(DePara!$A:$A,MATCH(TEXT(B525,"0"),DePara!$D:$D,0)),"(sem categoria)")</f>
        <v/>
      </c>
      <c r="O525" s="5">
        <f>IF(J525="","",Parametros!$B$6-J525)</f>
        <v/>
      </c>
      <c r="P525" s="5">
        <f>IF(O525="","",IF(O525&gt;0,1,0))</f>
        <v/>
      </c>
    </row>
    <row r="526">
      <c r="A526" s="5" t="n">
        <v>2122100000</v>
      </c>
      <c r="B526" s="5" t="inlineStr">
        <is>
          <t>IC4420</t>
        </is>
      </c>
      <c r="C526" s="5" t="inlineStr">
        <is>
          <t>NORDEX ENERGY SPAIN S A U</t>
        </is>
      </c>
      <c r="D526" s="5" t="inlineStr">
        <is>
          <t>RE</t>
        </is>
      </c>
      <c r="E526" s="5" t="n">
        <v>5011275</v>
      </c>
      <c r="F526" s="5" t="inlineStr">
        <is>
          <t>4026003348</t>
        </is>
      </c>
      <c r="G526" s="5" t="inlineStr">
        <is>
          <t>EUR</t>
        </is>
      </c>
      <c r="H526" s="9" t="n">
        <v>-124771.39</v>
      </c>
      <c r="I526" s="16" t="n">
        <v>46154</v>
      </c>
      <c r="J526" s="16" t="n">
        <v>46184</v>
      </c>
      <c r="K526" s="5" t="inlineStr">
        <is>
          <t>0321/26</t>
        </is>
      </c>
      <c r="L526" s="5" t="inlineStr">
        <is>
          <t>4026003348</t>
        </is>
      </c>
      <c r="M526" s="5">
        <f>IF(YEAR(I526)&lt;=2020,"Até 2020",TEXT(YEAR(I526),"0"))</f>
        <v/>
      </c>
      <c r="N526" s="5">
        <f>IFERROR(INDEX(DePara!$A:$A,MATCH(TEXT(B526,"0"),DePara!$D:$D,0)),"(sem categoria)")</f>
        <v/>
      </c>
      <c r="O526" s="5">
        <f>IF(J526="","",Parametros!$B$6-J526)</f>
        <v/>
      </c>
      <c r="P526" s="5">
        <f>IF(O526="","",IF(O526&gt;0,1,0))</f>
        <v/>
      </c>
    </row>
    <row r="527">
      <c r="A527" s="5" t="n">
        <v>2122100000</v>
      </c>
      <c r="B527" s="5" t="inlineStr">
        <is>
          <t>IC4420</t>
        </is>
      </c>
      <c r="C527" s="5" t="inlineStr">
        <is>
          <t>NORDEX ENERGY SPAIN S A U</t>
        </is>
      </c>
      <c r="D527" s="5" t="inlineStr">
        <is>
          <t>RE</t>
        </is>
      </c>
      <c r="E527" s="5" t="n">
        <v>5011276</v>
      </c>
      <c r="F527" s="5" t="inlineStr">
        <is>
          <t>4026003512</t>
        </is>
      </c>
      <c r="G527" s="5" t="inlineStr">
        <is>
          <t>EUR</t>
        </is>
      </c>
      <c r="H527" s="9" t="n">
        <v>-139.8</v>
      </c>
      <c r="I527" s="16" t="n">
        <v>46160</v>
      </c>
      <c r="J527" s="16" t="n">
        <v>46190</v>
      </c>
      <c r="K527" s="5" t="inlineStr">
        <is>
          <t>0348/26</t>
        </is>
      </c>
      <c r="L527" s="5" t="inlineStr">
        <is>
          <t>4026003512</t>
        </is>
      </c>
      <c r="M527" s="5">
        <f>IF(YEAR(I527)&lt;=2020,"Até 2020",TEXT(YEAR(I527),"0"))</f>
        <v/>
      </c>
      <c r="N527" s="5">
        <f>IFERROR(INDEX(DePara!$A:$A,MATCH(TEXT(B527,"0"),DePara!$D:$D,0)),"(sem categoria)")</f>
        <v/>
      </c>
      <c r="O527" s="5">
        <f>IF(J527="","",Parametros!$B$6-J527)</f>
        <v/>
      </c>
      <c r="P527" s="5">
        <f>IF(O527="","",IF(O527&gt;0,1,0))</f>
        <v/>
      </c>
    </row>
    <row r="528">
      <c r="A528" s="5" t="n">
        <v>2122100000</v>
      </c>
      <c r="B528" s="5" t="inlineStr">
        <is>
          <t>IC4420</t>
        </is>
      </c>
      <c r="C528" s="5" t="inlineStr">
        <is>
          <t>NORDEX ENERGY SPAIN S A U</t>
        </is>
      </c>
      <c r="D528" s="5" t="inlineStr">
        <is>
          <t>RE</t>
        </is>
      </c>
      <c r="E528" s="5" t="n">
        <v>5011277</v>
      </c>
      <c r="F528" s="5" t="inlineStr">
        <is>
          <t>4026003513</t>
        </is>
      </c>
      <c r="G528" s="5" t="inlineStr">
        <is>
          <t>EUR</t>
        </is>
      </c>
      <c r="H528" s="9" t="n">
        <v>-189044.65</v>
      </c>
      <c r="I528" s="16" t="n">
        <v>46160</v>
      </c>
      <c r="J528" s="16" t="n">
        <v>46190</v>
      </c>
      <c r="K528" s="5" t="inlineStr">
        <is>
          <t>0348/26</t>
        </is>
      </c>
      <c r="L528" s="5" t="inlineStr">
        <is>
          <t>4026003513</t>
        </is>
      </c>
      <c r="M528" s="5">
        <f>IF(YEAR(I528)&lt;=2020,"Até 2020",TEXT(YEAR(I528),"0"))</f>
        <v/>
      </c>
      <c r="N528" s="5">
        <f>IFERROR(INDEX(DePara!$A:$A,MATCH(TEXT(B528,"0"),DePara!$D:$D,0)),"(sem categoria)")</f>
        <v/>
      </c>
      <c r="O528" s="5">
        <f>IF(J528="","",Parametros!$B$6-J528)</f>
        <v/>
      </c>
      <c r="P528" s="5">
        <f>IF(O528="","",IF(O528&gt;0,1,0))</f>
        <v/>
      </c>
    </row>
    <row r="529">
      <c r="A529" s="5" t="n">
        <v>2122100000</v>
      </c>
      <c r="B529" s="5" t="inlineStr">
        <is>
          <t>IC4420</t>
        </is>
      </c>
      <c r="C529" s="5" t="inlineStr">
        <is>
          <t>NORDEX ENERGY SPAIN S A U</t>
        </is>
      </c>
      <c r="D529" s="5" t="inlineStr">
        <is>
          <t>RE</t>
        </is>
      </c>
      <c r="E529" s="5" t="n">
        <v>5011278</v>
      </c>
      <c r="F529" s="5" t="inlineStr">
        <is>
          <t>4026003511</t>
        </is>
      </c>
      <c r="G529" s="5" t="inlineStr">
        <is>
          <t>EUR</t>
        </is>
      </c>
      <c r="H529" s="9" t="n">
        <v>-127850.78</v>
      </c>
      <c r="I529" s="16" t="n">
        <v>46160</v>
      </c>
      <c r="J529" s="16" t="n">
        <v>46190</v>
      </c>
      <c r="K529" s="5" t="inlineStr">
        <is>
          <t>0348/26</t>
        </is>
      </c>
      <c r="L529" s="5" t="inlineStr">
        <is>
          <t>4026003511</t>
        </is>
      </c>
      <c r="M529" s="5">
        <f>IF(YEAR(I529)&lt;=2020,"Até 2020",TEXT(YEAR(I529),"0"))</f>
        <v/>
      </c>
      <c r="N529" s="5">
        <f>IFERROR(INDEX(DePara!$A:$A,MATCH(TEXT(B529,"0"),DePara!$D:$D,0)),"(sem categoria)")</f>
        <v/>
      </c>
      <c r="O529" s="5">
        <f>IF(J529="","",Parametros!$B$6-J529)</f>
        <v/>
      </c>
      <c r="P529" s="5">
        <f>IF(O529="","",IF(O529&gt;0,1,0))</f>
        <v/>
      </c>
    </row>
    <row r="530">
      <c r="A530" s="5" t="n">
        <v>2122100000</v>
      </c>
      <c r="B530" s="5" t="inlineStr">
        <is>
          <t>IC4420</t>
        </is>
      </c>
      <c r="C530" s="5" t="inlineStr">
        <is>
          <t>NORDEX ENERGY SPAIN S A U</t>
        </is>
      </c>
      <c r="D530" s="5" t="inlineStr">
        <is>
          <t>RE</t>
        </is>
      </c>
      <c r="E530" s="5" t="n">
        <v>5011287</v>
      </c>
      <c r="F530" s="5" t="inlineStr">
        <is>
          <t>4026003343</t>
        </is>
      </c>
      <c r="G530" s="5" t="inlineStr">
        <is>
          <t>EUR</t>
        </is>
      </c>
      <c r="H530" s="9" t="n">
        <v>-899.54</v>
      </c>
      <c r="I530" s="16" t="n">
        <v>46154</v>
      </c>
      <c r="J530" s="16" t="n">
        <v>46184</v>
      </c>
      <c r="K530" s="5" t="inlineStr">
        <is>
          <t>0323/26</t>
        </is>
      </c>
      <c r="L530" s="5" t="inlineStr">
        <is>
          <t>4026003343</t>
        </is>
      </c>
      <c r="M530" s="5">
        <f>IF(YEAR(I530)&lt;=2020,"Até 2020",TEXT(YEAR(I530),"0"))</f>
        <v/>
      </c>
      <c r="N530" s="5">
        <f>IFERROR(INDEX(DePara!$A:$A,MATCH(TEXT(B530,"0"),DePara!$D:$D,0)),"(sem categoria)")</f>
        <v/>
      </c>
      <c r="O530" s="5">
        <f>IF(J530="","",Parametros!$B$6-J530)</f>
        <v/>
      </c>
      <c r="P530" s="5">
        <f>IF(O530="","",IF(O530&gt;0,1,0))</f>
        <v/>
      </c>
    </row>
    <row r="531">
      <c r="A531" s="5" t="n">
        <v>2122100000</v>
      </c>
      <c r="B531" s="5" t="inlineStr">
        <is>
          <t>IC4420</t>
        </is>
      </c>
      <c r="C531" s="5" t="inlineStr">
        <is>
          <t>NORDEX ENERGY SPAIN S A U</t>
        </is>
      </c>
      <c r="D531" s="5" t="inlineStr">
        <is>
          <t>RE</t>
        </is>
      </c>
      <c r="E531" s="5" t="n">
        <v>5011288</v>
      </c>
      <c r="F531" s="5" t="inlineStr">
        <is>
          <t>4026003515</t>
        </is>
      </c>
      <c r="G531" s="5" t="inlineStr">
        <is>
          <t>EUR</t>
        </is>
      </c>
      <c r="H531" s="9" t="n">
        <v>-53379.31</v>
      </c>
      <c r="I531" s="16" t="n">
        <v>46160</v>
      </c>
      <c r="J531" s="16" t="n">
        <v>46190</v>
      </c>
      <c r="K531" s="5" t="inlineStr">
        <is>
          <t>0358/26</t>
        </is>
      </c>
      <c r="L531" s="5" t="inlineStr">
        <is>
          <t>4026003515</t>
        </is>
      </c>
      <c r="M531" s="5">
        <f>IF(YEAR(I531)&lt;=2020,"Até 2020",TEXT(YEAR(I531),"0"))</f>
        <v/>
      </c>
      <c r="N531" s="5">
        <f>IFERROR(INDEX(DePara!$A:$A,MATCH(TEXT(B531,"0"),DePara!$D:$D,0)),"(sem categoria)")</f>
        <v/>
      </c>
      <c r="O531" s="5">
        <f>IF(J531="","",Parametros!$B$6-J531)</f>
        <v/>
      </c>
      <c r="P531" s="5">
        <f>IF(O531="","",IF(O531&gt;0,1,0))</f>
        <v/>
      </c>
    </row>
    <row r="532">
      <c r="A532" s="5" t="n">
        <v>2122100000</v>
      </c>
      <c r="B532" s="5" t="inlineStr">
        <is>
          <t>IC1000</t>
        </is>
      </c>
      <c r="C532" s="5" t="inlineStr">
        <is>
          <t>NORDEX ENERGY SE &amp; CO KG</t>
        </is>
      </c>
      <c r="D532" s="5" t="inlineStr">
        <is>
          <t>RE</t>
        </is>
      </c>
      <c r="E532" s="5" t="n">
        <v>5011289</v>
      </c>
      <c r="F532" s="5" t="inlineStr">
        <is>
          <t>399146</t>
        </is>
      </c>
      <c r="G532" s="5" t="inlineStr">
        <is>
          <t>EUR</t>
        </is>
      </c>
      <c r="H532" s="9" t="n">
        <v>-2677.48</v>
      </c>
      <c r="I532" s="16" t="n">
        <v>46167</v>
      </c>
      <c r="J532" s="16" t="n">
        <v>46197</v>
      </c>
      <c r="K532" s="5" t="inlineStr">
        <is>
          <t>0370/26</t>
        </is>
      </c>
      <c r="L532" s="5" t="inlineStr">
        <is>
          <t>399146</t>
        </is>
      </c>
      <c r="M532" s="5">
        <f>IF(YEAR(I532)&lt;=2020,"Até 2020",TEXT(YEAR(I532),"0"))</f>
        <v/>
      </c>
      <c r="N532" s="5">
        <f>IFERROR(INDEX(DePara!$A:$A,MATCH(TEXT(B532,"0"),DePara!$D:$D,0)),"(sem categoria)")</f>
        <v/>
      </c>
      <c r="O532" s="5">
        <f>IF(J532="","",Parametros!$B$6-J532)</f>
        <v/>
      </c>
      <c r="P532" s="5">
        <f>IF(O532="","",IF(O532&gt;0,1,0))</f>
        <v/>
      </c>
    </row>
    <row r="533">
      <c r="A533" s="5" t="n">
        <v>2122100000</v>
      </c>
      <c r="B533" s="5" t="inlineStr">
        <is>
          <t>IC4420</t>
        </is>
      </c>
      <c r="C533" s="5" t="inlineStr">
        <is>
          <t>NORDEX ENERGY SPAIN S A U</t>
        </is>
      </c>
      <c r="D533" s="5" t="inlineStr">
        <is>
          <t>RE</t>
        </is>
      </c>
      <c r="E533" s="5" t="n">
        <v>5011408</v>
      </c>
      <c r="F533" s="5" t="inlineStr">
        <is>
          <t>4026002948</t>
        </is>
      </c>
      <c r="G533" s="5" t="inlineStr">
        <is>
          <t>EUR</t>
        </is>
      </c>
      <c r="H533" s="9" t="n">
        <v>-127.95</v>
      </c>
      <c r="I533" s="16" t="n">
        <v>46141</v>
      </c>
      <c r="J533" s="16" t="n">
        <v>46171</v>
      </c>
      <c r="K533" s="5" t="inlineStr">
        <is>
          <t>0275/26</t>
        </is>
      </c>
      <c r="L533" s="5" t="inlineStr">
        <is>
          <t>4026002948</t>
        </is>
      </c>
      <c r="M533" s="5">
        <f>IF(YEAR(I533)&lt;=2020,"Até 2020",TEXT(YEAR(I533),"0"))</f>
        <v/>
      </c>
      <c r="N533" s="5">
        <f>IFERROR(INDEX(DePara!$A:$A,MATCH(TEXT(B533,"0"),DePara!$D:$D,0)),"(sem categoria)")</f>
        <v/>
      </c>
      <c r="O533" s="5">
        <f>IF(J533="","",Parametros!$B$6-J533)</f>
        <v/>
      </c>
      <c r="P533" s="5">
        <f>IF(O533="","",IF(O533&gt;0,1,0))</f>
        <v/>
      </c>
    </row>
    <row r="534">
      <c r="A534" s="5" t="n">
        <v>2122100000</v>
      </c>
      <c r="B534" s="5" t="inlineStr">
        <is>
          <t>IC4420</t>
        </is>
      </c>
      <c r="C534" s="5" t="inlineStr">
        <is>
          <t>NORDEX ENERGY SPAIN S A U</t>
        </is>
      </c>
      <c r="D534" s="5" t="inlineStr">
        <is>
          <t>RE</t>
        </is>
      </c>
      <c r="E534" s="5" t="n">
        <v>5011409</v>
      </c>
      <c r="F534" s="5" t="inlineStr">
        <is>
          <t>4026003012</t>
        </is>
      </c>
      <c r="G534" s="5" t="inlineStr">
        <is>
          <t>EUR</t>
        </is>
      </c>
      <c r="H534" s="9" t="n">
        <v>-747.9299999999999</v>
      </c>
      <c r="I534" s="16" t="n">
        <v>46142</v>
      </c>
      <c r="J534" s="16" t="n">
        <v>46172</v>
      </c>
      <c r="K534" s="5" t="inlineStr">
        <is>
          <t>0280/26</t>
        </is>
      </c>
      <c r="L534" s="5" t="inlineStr">
        <is>
          <t>4026003012</t>
        </is>
      </c>
      <c r="M534" s="5">
        <f>IF(YEAR(I534)&lt;=2020,"Até 2020",TEXT(YEAR(I534),"0"))</f>
        <v/>
      </c>
      <c r="N534" s="5">
        <f>IFERROR(INDEX(DePara!$A:$A,MATCH(TEXT(B534,"0"),DePara!$D:$D,0)),"(sem categoria)")</f>
        <v/>
      </c>
      <c r="O534" s="5">
        <f>IF(J534="","",Parametros!$B$6-J534)</f>
        <v/>
      </c>
      <c r="P534" s="5">
        <f>IF(O534="","",IF(O534&gt;0,1,0))</f>
        <v/>
      </c>
    </row>
    <row r="535">
      <c r="A535" s="5" t="n">
        <v>2122100000</v>
      </c>
      <c r="B535" s="5" t="inlineStr">
        <is>
          <t>IC4420</t>
        </is>
      </c>
      <c r="C535" s="5" t="inlineStr">
        <is>
          <t>NORDEX ENERGY SPAIN S A U</t>
        </is>
      </c>
      <c r="D535" s="5" t="inlineStr">
        <is>
          <t>RE</t>
        </is>
      </c>
      <c r="E535" s="5" t="n">
        <v>5011412</v>
      </c>
      <c r="F535" s="5" t="inlineStr">
        <is>
          <t>4026003473</t>
        </is>
      </c>
      <c r="G535" s="5" t="inlineStr">
        <is>
          <t>EUR</t>
        </is>
      </c>
      <c r="H535" s="9" t="n">
        <v>-23193.16</v>
      </c>
      <c r="I535" s="16" t="n">
        <v>46157</v>
      </c>
      <c r="J535" s="16" t="n">
        <v>46187</v>
      </c>
      <c r="K535" s="5" t="inlineStr">
        <is>
          <t>0346/26</t>
        </is>
      </c>
      <c r="L535" s="5" t="inlineStr">
        <is>
          <t>4026003473</t>
        </is>
      </c>
      <c r="M535" s="5">
        <f>IF(YEAR(I535)&lt;=2020,"Até 2020",TEXT(YEAR(I535),"0"))</f>
        <v/>
      </c>
      <c r="N535" s="5">
        <f>IFERROR(INDEX(DePara!$A:$A,MATCH(TEXT(B535,"0"),DePara!$D:$D,0)),"(sem categoria)")</f>
        <v/>
      </c>
      <c r="O535" s="5">
        <f>IF(J535="","",Parametros!$B$6-J535)</f>
        <v/>
      </c>
      <c r="P535" s="5">
        <f>IF(O535="","",IF(O535&gt;0,1,0))</f>
        <v/>
      </c>
    </row>
    <row r="536">
      <c r="A536" s="5" t="n">
        <v>2122100000</v>
      </c>
      <c r="B536" s="5" t="inlineStr">
        <is>
          <t>IC4420</t>
        </is>
      </c>
      <c r="C536" s="5" t="inlineStr">
        <is>
          <t>NORDEX ENERGY SPAIN S A U</t>
        </is>
      </c>
      <c r="D536" s="5" t="inlineStr">
        <is>
          <t>RE</t>
        </is>
      </c>
      <c r="E536" s="5" t="n">
        <v>5011421</v>
      </c>
      <c r="F536" s="5" t="inlineStr">
        <is>
          <t>4026003344</t>
        </is>
      </c>
      <c r="G536" s="5" t="inlineStr">
        <is>
          <t>EUR</t>
        </is>
      </c>
      <c r="H536" s="9" t="n">
        <v>-1664.41</v>
      </c>
      <c r="I536" s="16" t="n">
        <v>46154</v>
      </c>
      <c r="J536" s="16" t="n">
        <v>46184</v>
      </c>
      <c r="K536" s="5" t="inlineStr">
        <is>
          <t>0324/26</t>
        </is>
      </c>
      <c r="L536" s="5" t="inlineStr">
        <is>
          <t>4026003344</t>
        </is>
      </c>
      <c r="M536" s="5">
        <f>IF(YEAR(I536)&lt;=2020,"Até 2020",TEXT(YEAR(I536),"0"))</f>
        <v/>
      </c>
      <c r="N536" s="5">
        <f>IFERROR(INDEX(DePara!$A:$A,MATCH(TEXT(B536,"0"),DePara!$D:$D,0)),"(sem categoria)")</f>
        <v/>
      </c>
      <c r="O536" s="5">
        <f>IF(J536="","",Parametros!$B$6-J536)</f>
        <v/>
      </c>
      <c r="P536" s="5">
        <f>IF(O536="","",IF(O536&gt;0,1,0))</f>
        <v/>
      </c>
    </row>
    <row r="537">
      <c r="A537" s="5" t="n">
        <v>2122100000</v>
      </c>
      <c r="B537" s="5" t="inlineStr">
        <is>
          <t>IC1000</t>
        </is>
      </c>
      <c r="C537" s="5" t="inlineStr">
        <is>
          <t>NORDEX ENERGY SE &amp; CO KG</t>
        </is>
      </c>
      <c r="D537" s="5" t="inlineStr">
        <is>
          <t>KG</t>
        </is>
      </c>
      <c r="E537" s="5" t="n">
        <v>5011553</v>
      </c>
      <c r="F537" s="5" t="inlineStr">
        <is>
          <t>619302</t>
        </is>
      </c>
      <c r="G537" s="5" t="inlineStr">
        <is>
          <t>EUR</t>
        </is>
      </c>
      <c r="H537" s="9" t="n">
        <v>8886338.300000001</v>
      </c>
      <c r="I537" s="16" t="n">
        <v>45377</v>
      </c>
      <c r="J537" s="16" t="n">
        <v>45377</v>
      </c>
      <c r="K537" s="5" t="inlineStr">
        <is>
          <t>Vendor Credit Memo NORDEX ENERGY SE &amp; CO. KG 61930</t>
        </is>
      </c>
      <c r="L537" s="5" t="n"/>
      <c r="M537" s="5">
        <f>IF(YEAR(I537)&lt;=2020,"Até 2020",TEXT(YEAR(I537),"0"))</f>
        <v/>
      </c>
      <c r="N537" s="5">
        <f>IFERROR(INDEX(DePara!$A:$A,MATCH(TEXT(B537,"0"),DePara!$D:$D,0)),"(sem categoria)")</f>
        <v/>
      </c>
      <c r="O537" s="5">
        <f>IF(J537="","",Parametros!$B$6-J537)</f>
        <v/>
      </c>
      <c r="P537" s="5">
        <f>IF(O537="","",IF(O537&gt;0,1,0))</f>
        <v/>
      </c>
    </row>
    <row r="538">
      <c r="A538" s="5" t="n">
        <v>2122100000</v>
      </c>
      <c r="B538" s="5" t="inlineStr">
        <is>
          <t>IC1000</t>
        </is>
      </c>
      <c r="C538" s="5" t="inlineStr">
        <is>
          <t>NORDEX ENERGY SE &amp; CO KG</t>
        </is>
      </c>
      <c r="D538" s="5" t="inlineStr">
        <is>
          <t>KR</t>
        </is>
      </c>
      <c r="E538" s="5" t="n">
        <v>5011554</v>
      </c>
      <c r="F538" s="5" t="inlineStr">
        <is>
          <t>619301</t>
        </is>
      </c>
      <c r="G538" s="5" t="inlineStr">
        <is>
          <t>EUR</t>
        </is>
      </c>
      <c r="H538" s="9" t="n">
        <v>-39475713.74</v>
      </c>
      <c r="I538" s="16" t="n">
        <v>45377</v>
      </c>
      <c r="J538" s="16" t="n">
        <v>45407</v>
      </c>
      <c r="K538" s="5" t="inlineStr">
        <is>
          <t>Vendor Invoice NORDEX ENERGY SE &amp; CO. KG 619301</t>
        </is>
      </c>
      <c r="L538" s="5" t="n"/>
      <c r="M538" s="5">
        <f>IF(YEAR(I538)&lt;=2020,"Até 2020",TEXT(YEAR(I538),"0"))</f>
        <v/>
      </c>
      <c r="N538" s="5">
        <f>IFERROR(INDEX(DePara!$A:$A,MATCH(TEXT(B538,"0"),DePara!$D:$D,0)),"(sem categoria)")</f>
        <v/>
      </c>
      <c r="O538" s="5">
        <f>IF(J538="","",Parametros!$B$6-J538)</f>
        <v/>
      </c>
      <c r="P538" s="5">
        <f>IF(O538="","",IF(O538&gt;0,1,0))</f>
        <v/>
      </c>
    </row>
    <row r="539">
      <c r="A539" s="5" t="n">
        <v>2122100000</v>
      </c>
      <c r="B539" s="5" t="inlineStr">
        <is>
          <t>IC5000</t>
        </is>
      </c>
      <c r="C539" s="5" t="inlineStr">
        <is>
          <t>NORDEX SE</t>
        </is>
      </c>
      <c r="D539" s="5" t="inlineStr">
        <is>
          <t>KR</t>
        </is>
      </c>
      <c r="E539" s="5" t="n">
        <v>5011700</v>
      </c>
      <c r="F539" s="5" t="inlineStr">
        <is>
          <t>609361</t>
        </is>
      </c>
      <c r="G539" s="5" t="inlineStr">
        <is>
          <t>EUR</t>
        </is>
      </c>
      <c r="H539" s="9" t="n">
        <v>-4983160.61</v>
      </c>
      <c r="I539" s="16" t="n">
        <v>45742</v>
      </c>
      <c r="J539" s="16" t="n">
        <v>45742</v>
      </c>
      <c r="K539" s="5" t="inlineStr">
        <is>
          <t>Fatura do fornecedor NORDEX SE 609361</t>
        </is>
      </c>
      <c r="L539" s="5" t="n"/>
      <c r="M539" s="5">
        <f>IF(YEAR(I539)&lt;=2020,"Até 2020",TEXT(YEAR(I539),"0"))</f>
        <v/>
      </c>
      <c r="N539" s="5">
        <f>IFERROR(INDEX(DePara!$A:$A,MATCH(TEXT(B539,"0"),DePara!$D:$D,0)),"(sem categoria)")</f>
        <v/>
      </c>
      <c r="O539" s="5">
        <f>IF(J539="","",Parametros!$B$6-J539)</f>
        <v/>
      </c>
      <c r="P539" s="5">
        <f>IF(O539="","",IF(O539&gt;0,1,0))</f>
        <v/>
      </c>
    </row>
    <row r="540">
      <c r="A540" s="5" t="n">
        <v>2122100000</v>
      </c>
      <c r="B540" s="5" t="inlineStr">
        <is>
          <t>IC1000</t>
        </is>
      </c>
      <c r="C540" s="5" t="inlineStr">
        <is>
          <t>NORDEX ENERGY SE &amp; CO KG</t>
        </is>
      </c>
      <c r="D540" s="5" t="inlineStr">
        <is>
          <t>KR</t>
        </is>
      </c>
      <c r="E540" s="5" t="n">
        <v>5011705</v>
      </c>
      <c r="F540" s="5" t="inlineStr">
        <is>
          <t>621839</t>
        </is>
      </c>
      <c r="G540" s="5" t="inlineStr">
        <is>
          <t>EUR</t>
        </is>
      </c>
      <c r="H540" s="9" t="n">
        <v>-6946425.68</v>
      </c>
      <c r="I540" s="16" t="n">
        <v>45742</v>
      </c>
      <c r="J540" s="16" t="n">
        <v>45772</v>
      </c>
      <c r="K540" s="5" t="inlineStr">
        <is>
          <t>Fatura do fornecedor NORDEX ENERGY SE &amp; CO KG 6218</t>
        </is>
      </c>
      <c r="L540" s="5" t="n"/>
      <c r="M540" s="5">
        <f>IF(YEAR(I540)&lt;=2020,"Até 2020",TEXT(YEAR(I540),"0"))</f>
        <v/>
      </c>
      <c r="N540" s="5">
        <f>IFERROR(INDEX(DePara!$A:$A,MATCH(TEXT(B540,"0"),DePara!$D:$D,0)),"(sem categoria)")</f>
        <v/>
      </c>
      <c r="O540" s="5">
        <f>IF(J540="","",Parametros!$B$6-J540)</f>
        <v/>
      </c>
      <c r="P540" s="5">
        <f>IF(O540="","",IF(O540&gt;0,1,0))</f>
        <v/>
      </c>
    </row>
    <row r="541">
      <c r="A541" s="5" t="n">
        <v>2122100000</v>
      </c>
      <c r="B541" s="5" t="inlineStr">
        <is>
          <t>IC5000</t>
        </is>
      </c>
      <c r="C541" s="5" t="inlineStr">
        <is>
          <t>NORDEX SE</t>
        </is>
      </c>
      <c r="D541" s="5" t="inlineStr">
        <is>
          <t>KR</t>
        </is>
      </c>
      <c r="E541" s="5" t="n">
        <v>5011727</v>
      </c>
      <c r="F541" s="5" t="inlineStr">
        <is>
          <t>610848</t>
        </is>
      </c>
      <c r="G541" s="5" t="inlineStr">
        <is>
          <t>BRL</t>
        </is>
      </c>
      <c r="H541" s="9" t="n">
        <v>-2588444.44</v>
      </c>
      <c r="I541" s="16" t="n">
        <v>46197</v>
      </c>
      <c r="J541" s="16" t="n">
        <v>46257</v>
      </c>
      <c r="K541" s="5" t="inlineStr">
        <is>
          <t>Fatura do fornecedor NORDEX SE 610848</t>
        </is>
      </c>
      <c r="L541" s="5" t="n"/>
      <c r="M541" s="5">
        <f>IF(YEAR(I541)&lt;=2020,"Até 2020",TEXT(YEAR(I541),"0"))</f>
        <v/>
      </c>
      <c r="N541" s="5">
        <f>IFERROR(INDEX(DePara!$A:$A,MATCH(TEXT(B541,"0"),DePara!$D:$D,0)),"(sem categoria)")</f>
        <v/>
      </c>
      <c r="O541" s="5">
        <f>IF(J541="","",Parametros!$B$6-J541)</f>
        <v/>
      </c>
      <c r="P541" s="5">
        <f>IF(O541="","",IF(O541&gt;0,1,0))</f>
        <v/>
      </c>
    </row>
    <row r="542">
      <c r="A542" s="5" t="n">
        <v>2122100000</v>
      </c>
      <c r="B542" s="5" t="inlineStr">
        <is>
          <t>IC4420</t>
        </is>
      </c>
      <c r="C542" s="5" t="inlineStr">
        <is>
          <t>NORDEX ENERGY SPAIN S A U</t>
        </is>
      </c>
      <c r="D542" s="5" t="inlineStr">
        <is>
          <t>KR</t>
        </is>
      </c>
      <c r="E542" s="5" t="n">
        <v>5011728</v>
      </c>
      <c r="F542" s="5" t="inlineStr">
        <is>
          <t>4000570</t>
        </is>
      </c>
      <c r="G542" s="5" t="inlineStr">
        <is>
          <t>EUR</t>
        </is>
      </c>
      <c r="H542" s="9" t="n">
        <v>-91095.53</v>
      </c>
      <c r="I542" s="16" t="n">
        <v>46196</v>
      </c>
      <c r="J542" s="16" t="n">
        <v>46226</v>
      </c>
      <c r="K542" s="5" t="inlineStr">
        <is>
          <t>Fatura do fornecedor NORDEX ENERGY SPAIN S A U 400</t>
        </is>
      </c>
      <c r="L542" s="5" t="inlineStr">
        <is>
          <t>22072026</t>
        </is>
      </c>
      <c r="M542" s="5">
        <f>IF(YEAR(I542)&lt;=2020,"Até 2020",TEXT(YEAR(I542),"0"))</f>
        <v/>
      </c>
      <c r="N542" s="5">
        <f>IFERROR(INDEX(DePara!$A:$A,MATCH(TEXT(B542,"0"),DePara!$D:$D,0)),"(sem categoria)")</f>
        <v/>
      </c>
      <c r="O542" s="5">
        <f>IF(J542="","",Parametros!$B$6-J542)</f>
        <v/>
      </c>
      <c r="P542" s="5">
        <f>IF(O542="","",IF(O542&gt;0,1,0))</f>
        <v/>
      </c>
    </row>
    <row r="543">
      <c r="A543" s="5" t="n">
        <v>2122100000</v>
      </c>
      <c r="B543" s="5" t="inlineStr">
        <is>
          <t>IC4420</t>
        </is>
      </c>
      <c r="C543" s="5" t="inlineStr">
        <is>
          <t>NORDEX ENERGY SPAIN S A U</t>
        </is>
      </c>
      <c r="D543" s="5" t="inlineStr">
        <is>
          <t>KR</t>
        </is>
      </c>
      <c r="E543" s="5" t="n">
        <v>5011734</v>
      </c>
      <c r="F543" s="5" t="inlineStr">
        <is>
          <t>4000541</t>
        </is>
      </c>
      <c r="G543" s="5" t="inlineStr">
        <is>
          <t>EUR</t>
        </is>
      </c>
      <c r="H543" s="9" t="n">
        <v>-134412.84</v>
      </c>
      <c r="I543" s="16" t="n">
        <v>46195</v>
      </c>
      <c r="J543" s="16" t="n">
        <v>46225</v>
      </c>
      <c r="K543" s="5" t="inlineStr">
        <is>
          <t>Fatura do fornecedor NORDEX ENERGY SPAIN S A U 400</t>
        </is>
      </c>
      <c r="L543" s="5" t="inlineStr">
        <is>
          <t>22072026</t>
        </is>
      </c>
      <c r="M543" s="5">
        <f>IF(YEAR(I543)&lt;=2020,"Até 2020",TEXT(YEAR(I543),"0"))</f>
        <v/>
      </c>
      <c r="N543" s="5">
        <f>IFERROR(INDEX(DePara!$A:$A,MATCH(TEXT(B543,"0"),DePara!$D:$D,0)),"(sem categoria)")</f>
        <v/>
      </c>
      <c r="O543" s="5">
        <f>IF(J543="","",Parametros!$B$6-J543)</f>
        <v/>
      </c>
      <c r="P543" s="5">
        <f>IF(O543="","",IF(O543&gt;0,1,0))</f>
        <v/>
      </c>
    </row>
    <row r="544">
      <c r="A544" s="5" t="n">
        <v>2122100000</v>
      </c>
      <c r="B544" s="5" t="inlineStr">
        <is>
          <t>IC4420</t>
        </is>
      </c>
      <c r="C544" s="5" t="inlineStr">
        <is>
          <t>NORDEX ENERGY SPAIN S A U</t>
        </is>
      </c>
      <c r="D544" s="5" t="inlineStr">
        <is>
          <t>KR</t>
        </is>
      </c>
      <c r="E544" s="5" t="n">
        <v>5011739</v>
      </c>
      <c r="F544" s="5" t="inlineStr">
        <is>
          <t>4000585</t>
        </is>
      </c>
      <c r="G544" s="5" t="inlineStr">
        <is>
          <t>EUR</t>
        </is>
      </c>
      <c r="H544" s="9" t="n">
        <v>-55993.32</v>
      </c>
      <c r="I544" s="16" t="n">
        <v>46196</v>
      </c>
      <c r="J544" s="16" t="n">
        <v>46226</v>
      </c>
      <c r="K544" s="5" t="inlineStr">
        <is>
          <t>Fatura do fornecedor NORDEX ENERGY SPAIN S A U 400</t>
        </is>
      </c>
      <c r="L544" s="5" t="inlineStr">
        <is>
          <t>22072026</t>
        </is>
      </c>
      <c r="M544" s="5">
        <f>IF(YEAR(I544)&lt;=2020,"Até 2020",TEXT(YEAR(I544),"0"))</f>
        <v/>
      </c>
      <c r="N544" s="5">
        <f>IFERROR(INDEX(DePara!$A:$A,MATCH(TEXT(B544,"0"),DePara!$D:$D,0)),"(sem categoria)")</f>
        <v/>
      </c>
      <c r="O544" s="5">
        <f>IF(J544="","",Parametros!$B$6-J544)</f>
        <v/>
      </c>
      <c r="P544" s="5">
        <f>IF(O544="","",IF(O544&gt;0,1,0))</f>
        <v/>
      </c>
    </row>
    <row r="545">
      <c r="A545" s="5" t="n">
        <v>2122100000</v>
      </c>
      <c r="B545" s="5" t="inlineStr">
        <is>
          <t>IC4420</t>
        </is>
      </c>
      <c r="C545" s="5" t="inlineStr">
        <is>
          <t>NORDEX ENERGY SPAIN S A U</t>
        </is>
      </c>
      <c r="D545" s="5" t="inlineStr">
        <is>
          <t>RE</t>
        </is>
      </c>
      <c r="E545" s="5" t="n">
        <v>5011758</v>
      </c>
      <c r="F545" s="5" t="inlineStr">
        <is>
          <t>4026002946</t>
        </is>
      </c>
      <c r="G545" s="5" t="inlineStr">
        <is>
          <t>EUR</t>
        </is>
      </c>
      <c r="H545" s="9" t="n">
        <v>-21194.89</v>
      </c>
      <c r="I545" s="16" t="n">
        <v>46141</v>
      </c>
      <c r="J545" s="16" t="n">
        <v>46171</v>
      </c>
      <c r="K545" s="5" t="inlineStr">
        <is>
          <t>0273/26</t>
        </is>
      </c>
      <c r="L545" s="5" t="inlineStr">
        <is>
          <t>4026002946</t>
        </is>
      </c>
      <c r="M545" s="5">
        <f>IF(YEAR(I545)&lt;=2020,"Até 2020",TEXT(YEAR(I545),"0"))</f>
        <v/>
      </c>
      <c r="N545" s="5">
        <f>IFERROR(INDEX(DePara!$A:$A,MATCH(TEXT(B545,"0"),DePara!$D:$D,0)),"(sem categoria)")</f>
        <v/>
      </c>
      <c r="O545" s="5">
        <f>IF(J545="","",Parametros!$B$6-J545)</f>
        <v/>
      </c>
      <c r="P545" s="5">
        <f>IF(O545="","",IF(O545&gt;0,1,0))</f>
        <v/>
      </c>
    </row>
    <row r="546">
      <c r="A546" s="5" t="n">
        <v>2122100000</v>
      </c>
      <c r="B546" s="5" t="inlineStr">
        <is>
          <t>IC4420</t>
        </is>
      </c>
      <c r="C546" s="5" t="inlineStr">
        <is>
          <t>NORDEX ENERGY SPAIN S A U</t>
        </is>
      </c>
      <c r="D546" s="5" t="inlineStr">
        <is>
          <t>RE</t>
        </is>
      </c>
      <c r="E546" s="5" t="n">
        <v>5011759</v>
      </c>
      <c r="F546" s="5" t="inlineStr">
        <is>
          <t>4026003013</t>
        </is>
      </c>
      <c r="G546" s="5" t="inlineStr">
        <is>
          <t>EUR</t>
        </is>
      </c>
      <c r="H546" s="9" t="n">
        <v>-572.6900000000001</v>
      </c>
      <c r="I546" s="16" t="n">
        <v>46142</v>
      </c>
      <c r="J546" s="16" t="n">
        <v>46172</v>
      </c>
      <c r="K546" s="5" t="inlineStr">
        <is>
          <t>0281/26</t>
        </is>
      </c>
      <c r="L546" s="5" t="inlineStr">
        <is>
          <t>4026003013</t>
        </is>
      </c>
      <c r="M546" s="5">
        <f>IF(YEAR(I546)&lt;=2020,"Até 2020",TEXT(YEAR(I546),"0"))</f>
        <v/>
      </c>
      <c r="N546" s="5">
        <f>IFERROR(INDEX(DePara!$A:$A,MATCH(TEXT(B546,"0"),DePara!$D:$D,0)),"(sem categoria)")</f>
        <v/>
      </c>
      <c r="O546" s="5">
        <f>IF(J546="","",Parametros!$B$6-J546)</f>
        <v/>
      </c>
      <c r="P546" s="5">
        <f>IF(O546="","",IF(O546&gt;0,1,0))</f>
        <v/>
      </c>
    </row>
    <row r="547">
      <c r="A547" s="5" t="n">
        <v>2122100000</v>
      </c>
      <c r="B547" s="5" t="inlineStr">
        <is>
          <t>IC4420</t>
        </is>
      </c>
      <c r="C547" s="5" t="inlineStr">
        <is>
          <t>NORDEX ENERGY SPAIN S A U</t>
        </is>
      </c>
      <c r="D547" s="5" t="inlineStr">
        <is>
          <t>RE</t>
        </is>
      </c>
      <c r="E547" s="5" t="n">
        <v>5011761</v>
      </c>
      <c r="F547" s="5" t="inlineStr">
        <is>
          <t>4026003855</t>
        </is>
      </c>
      <c r="G547" s="5" t="inlineStr">
        <is>
          <t>EUR</t>
        </is>
      </c>
      <c r="H547" s="9" t="n">
        <v>-26566.47</v>
      </c>
      <c r="I547" s="16" t="n">
        <v>46164</v>
      </c>
      <c r="J547" s="16" t="n">
        <v>46194</v>
      </c>
      <c r="K547" s="5" t="inlineStr">
        <is>
          <t>0367/26</t>
        </is>
      </c>
      <c r="L547" s="5" t="inlineStr">
        <is>
          <t>4026003855</t>
        </is>
      </c>
      <c r="M547" s="5">
        <f>IF(YEAR(I547)&lt;=2020,"Até 2020",TEXT(YEAR(I547),"0"))</f>
        <v/>
      </c>
      <c r="N547" s="5">
        <f>IFERROR(INDEX(DePara!$A:$A,MATCH(TEXT(B547,"0"),DePara!$D:$D,0)),"(sem categoria)")</f>
        <v/>
      </c>
      <c r="O547" s="5">
        <f>IF(J547="","",Parametros!$B$6-J547)</f>
        <v/>
      </c>
      <c r="P547" s="5">
        <f>IF(O547="","",IF(O547&gt;0,1,0))</f>
        <v/>
      </c>
    </row>
    <row r="548">
      <c r="A548" s="5" t="n">
        <v>2122100000</v>
      </c>
      <c r="B548" s="5" t="inlineStr">
        <is>
          <t>IC4420</t>
        </is>
      </c>
      <c r="C548" s="5" t="inlineStr">
        <is>
          <t>NORDEX ENERGY SPAIN S A U</t>
        </is>
      </c>
      <c r="D548" s="5" t="inlineStr">
        <is>
          <t>RE</t>
        </is>
      </c>
      <c r="E548" s="5" t="n">
        <v>5011762</v>
      </c>
      <c r="F548" s="5" t="inlineStr">
        <is>
          <t>4025009665</t>
        </is>
      </c>
      <c r="G548" s="5" t="inlineStr">
        <is>
          <t>EUR</t>
        </is>
      </c>
      <c r="H548" s="9" t="n">
        <v>-49279.81</v>
      </c>
      <c r="I548" s="16" t="n">
        <v>46003</v>
      </c>
      <c r="J548" s="16" t="n">
        <v>46033</v>
      </c>
      <c r="K548" s="5" t="inlineStr">
        <is>
          <t>0939/25</t>
        </is>
      </c>
      <c r="L548" s="5" t="inlineStr">
        <is>
          <t>4025009665</t>
        </is>
      </c>
      <c r="M548" s="5">
        <f>IF(YEAR(I548)&lt;=2020,"Até 2020",TEXT(YEAR(I548),"0"))</f>
        <v/>
      </c>
      <c r="N548" s="5">
        <f>IFERROR(INDEX(DePara!$A:$A,MATCH(TEXT(B548,"0"),DePara!$D:$D,0)),"(sem categoria)")</f>
        <v/>
      </c>
      <c r="O548" s="5">
        <f>IF(J548="","",Parametros!$B$6-J548)</f>
        <v/>
      </c>
      <c r="P548" s="5">
        <f>IF(O548="","",IF(O548&gt;0,1,0))</f>
        <v/>
      </c>
    </row>
    <row r="549">
      <c r="A549" s="5" t="n">
        <v>2122100000</v>
      </c>
      <c r="B549" s="5" t="inlineStr">
        <is>
          <t>IC4420</t>
        </is>
      </c>
      <c r="C549" s="5" t="inlineStr">
        <is>
          <t>NORDEX ENERGY SPAIN S A U</t>
        </is>
      </c>
      <c r="D549" s="5" t="inlineStr">
        <is>
          <t>RE</t>
        </is>
      </c>
      <c r="E549" s="5" t="n">
        <v>5011823</v>
      </c>
      <c r="F549" s="5" t="inlineStr">
        <is>
          <t>4026003655</t>
        </is>
      </c>
      <c r="G549" s="5" t="inlineStr">
        <is>
          <t>EUR</t>
        </is>
      </c>
      <c r="H549" s="9" t="n">
        <v>-58601.93</v>
      </c>
      <c r="I549" s="16" t="n">
        <v>46163</v>
      </c>
      <c r="J549" s="16" t="n">
        <v>46193</v>
      </c>
      <c r="K549" s="5" t="inlineStr">
        <is>
          <t>0365/26</t>
        </is>
      </c>
      <c r="L549" s="5" t="inlineStr">
        <is>
          <t>4026003655</t>
        </is>
      </c>
      <c r="M549" s="5">
        <f>IF(YEAR(I549)&lt;=2020,"Até 2020",TEXT(YEAR(I549),"0"))</f>
        <v/>
      </c>
      <c r="N549" s="5">
        <f>IFERROR(INDEX(DePara!$A:$A,MATCH(TEXT(B549,"0"),DePara!$D:$D,0)),"(sem categoria)")</f>
        <v/>
      </c>
      <c r="O549" s="5">
        <f>IF(J549="","",Parametros!$B$6-J549)</f>
        <v/>
      </c>
      <c r="P549" s="5">
        <f>IF(O549="","",IF(O549&gt;0,1,0))</f>
        <v/>
      </c>
    </row>
    <row r="550">
      <c r="A550" s="5" t="n">
        <v>2122100000</v>
      </c>
      <c r="B550" s="5" t="inlineStr">
        <is>
          <t>IC4420</t>
        </is>
      </c>
      <c r="C550" s="5" t="inlineStr">
        <is>
          <t>NORDEX ENERGY SPAIN S A U</t>
        </is>
      </c>
      <c r="D550" s="5" t="inlineStr">
        <is>
          <t>RE</t>
        </is>
      </c>
      <c r="E550" s="5" t="n">
        <v>5011824</v>
      </c>
      <c r="F550" s="5" t="inlineStr">
        <is>
          <t>4026004507</t>
        </is>
      </c>
      <c r="G550" s="5" t="inlineStr">
        <is>
          <t>EUR</t>
        </is>
      </c>
      <c r="H550" s="9" t="n">
        <v>-47420.59</v>
      </c>
      <c r="I550" s="16" t="n">
        <v>46188</v>
      </c>
      <c r="J550" s="16" t="n">
        <v>46218</v>
      </c>
      <c r="K550" s="5" t="inlineStr">
        <is>
          <t>0401/26</t>
        </is>
      </c>
      <c r="L550" s="5" t="inlineStr">
        <is>
          <t>4026004507</t>
        </is>
      </c>
      <c r="M550" s="5">
        <f>IF(YEAR(I550)&lt;=2020,"Até 2020",TEXT(YEAR(I550),"0"))</f>
        <v/>
      </c>
      <c r="N550" s="5">
        <f>IFERROR(INDEX(DePara!$A:$A,MATCH(TEXT(B550,"0"),DePara!$D:$D,0)),"(sem categoria)")</f>
        <v/>
      </c>
      <c r="O550" s="5">
        <f>IF(J550="","",Parametros!$B$6-J550)</f>
        <v/>
      </c>
      <c r="P550" s="5">
        <f>IF(O550="","",IF(O550&gt;0,1,0))</f>
        <v/>
      </c>
    </row>
    <row r="551">
      <c r="A551" s="5" t="n">
        <v>2122100000</v>
      </c>
      <c r="B551" s="5" t="inlineStr">
        <is>
          <t>IC4441</t>
        </is>
      </c>
      <c r="C551" s="5" t="inlineStr">
        <is>
          <t>Nordex Concrete Towers, S.L.</t>
        </is>
      </c>
      <c r="D551" s="5" t="inlineStr">
        <is>
          <t>KR</t>
        </is>
      </c>
      <c r="E551" s="5" t="n">
        <v>5011829</v>
      </c>
      <c r="F551" s="5" t="inlineStr">
        <is>
          <t>4000006</t>
        </is>
      </c>
      <c r="G551" s="5" t="inlineStr">
        <is>
          <t>EUR</t>
        </is>
      </c>
      <c r="H551" s="9" t="n">
        <v>-3408.95</v>
      </c>
      <c r="I551" s="16" t="n">
        <v>46196</v>
      </c>
      <c r="J551" s="16" t="n">
        <v>46226</v>
      </c>
      <c r="K551" s="5" t="inlineStr">
        <is>
          <t>Fatura do fornecedor Nordex Concrete Towers, S.L.</t>
        </is>
      </c>
      <c r="L551" s="5" t="inlineStr">
        <is>
          <t>22072026</t>
        </is>
      </c>
      <c r="M551" s="5">
        <f>IF(YEAR(I551)&lt;=2020,"Até 2020",TEXT(YEAR(I551),"0"))</f>
        <v/>
      </c>
      <c r="N551" s="5">
        <f>IFERROR(INDEX(DePara!$A:$A,MATCH(TEXT(B551,"0"),DePara!$D:$D,0)),"(sem categoria)")</f>
        <v/>
      </c>
      <c r="O551" s="5">
        <f>IF(J551="","",Parametros!$B$6-J551)</f>
        <v/>
      </c>
      <c r="P551" s="5">
        <f>IF(O551="","",IF(O551&gt;0,1,0))</f>
        <v/>
      </c>
    </row>
    <row r="552">
      <c r="A552" s="5" t="n">
        <v>2122100000</v>
      </c>
      <c r="B552" s="5" t="inlineStr">
        <is>
          <t>IC1000</t>
        </is>
      </c>
      <c r="C552" s="5" t="inlineStr">
        <is>
          <t>NORDEX ENERGY SE &amp; CO KG</t>
        </is>
      </c>
      <c r="D552" s="5" t="inlineStr">
        <is>
          <t>RE</t>
        </is>
      </c>
      <c r="E552" s="5" t="n">
        <v>5011832</v>
      </c>
      <c r="F552" s="5" t="inlineStr">
        <is>
          <t>4012485637</t>
        </is>
      </c>
      <c r="G552" s="5" t="inlineStr">
        <is>
          <t>BRL</t>
        </is>
      </c>
      <c r="H552" s="9" t="n">
        <v>-185691.45</v>
      </c>
      <c r="I552" s="16" t="n">
        <v>45988</v>
      </c>
      <c r="J552" s="16" t="n">
        <v>46018</v>
      </c>
      <c r="K552" s="5" t="inlineStr">
        <is>
          <t>0044/26</t>
        </is>
      </c>
      <c r="L552" s="5" t="inlineStr">
        <is>
          <t>4012485637</t>
        </is>
      </c>
      <c r="M552" s="5">
        <f>IF(YEAR(I552)&lt;=2020,"Até 2020",TEXT(YEAR(I552),"0"))</f>
        <v/>
      </c>
      <c r="N552" s="5">
        <f>IFERROR(INDEX(DePara!$A:$A,MATCH(TEXT(B552,"0"),DePara!$D:$D,0)),"(sem categoria)")</f>
        <v/>
      </c>
      <c r="O552" s="5">
        <f>IF(J552="","",Parametros!$B$6-J552)</f>
        <v/>
      </c>
      <c r="P552" s="5">
        <f>IF(O552="","",IF(O552&gt;0,1,0))</f>
        <v/>
      </c>
    </row>
    <row r="553">
      <c r="A553" s="5" t="n">
        <v>2122100000</v>
      </c>
      <c r="B553" s="5" t="inlineStr">
        <is>
          <t>IC1000</t>
        </is>
      </c>
      <c r="C553" s="5" t="inlineStr">
        <is>
          <t>NORDEX ENERGY SE &amp; CO KG</t>
        </is>
      </c>
      <c r="D553" s="5" t="inlineStr">
        <is>
          <t>RE</t>
        </is>
      </c>
      <c r="E553" s="5" t="n">
        <v>5011833</v>
      </c>
      <c r="F553" s="5" t="inlineStr">
        <is>
          <t>4012485637</t>
        </is>
      </c>
      <c r="G553" s="5" t="inlineStr">
        <is>
          <t>BRL</t>
        </is>
      </c>
      <c r="H553" s="9" t="n">
        <v>-309664.96</v>
      </c>
      <c r="I553" s="16" t="n">
        <v>45988</v>
      </c>
      <c r="J553" s="16" t="n">
        <v>46018</v>
      </c>
      <c r="K553" s="5" t="inlineStr">
        <is>
          <t>0044/26</t>
        </is>
      </c>
      <c r="L553" s="5" t="inlineStr">
        <is>
          <t>4012485637</t>
        </is>
      </c>
      <c r="M553" s="5">
        <f>IF(YEAR(I553)&lt;=2020,"Até 2020",TEXT(YEAR(I553),"0"))</f>
        <v/>
      </c>
      <c r="N553" s="5">
        <f>IFERROR(INDEX(DePara!$A:$A,MATCH(TEXT(B553,"0"),DePara!$D:$D,0)),"(sem categoria)")</f>
        <v/>
      </c>
      <c r="O553" s="5">
        <f>IF(J553="","",Parametros!$B$6-J553)</f>
        <v/>
      </c>
      <c r="P553" s="5">
        <f>IF(O553="","",IF(O553&gt;0,1,0))</f>
        <v/>
      </c>
    </row>
    <row r="554">
      <c r="A554" s="5" t="n">
        <v>2122100000</v>
      </c>
      <c r="B554" s="5" t="inlineStr">
        <is>
          <t>IC1000</t>
        </is>
      </c>
      <c r="C554" s="5" t="inlineStr">
        <is>
          <t>NORDEX ENERGY SE &amp; CO KG</t>
        </is>
      </c>
      <c r="D554" s="5" t="inlineStr">
        <is>
          <t>RE</t>
        </is>
      </c>
      <c r="E554" s="5" t="n">
        <v>5011835</v>
      </c>
      <c r="F554" s="5" t="inlineStr">
        <is>
          <t>4012485637</t>
        </is>
      </c>
      <c r="G554" s="5" t="inlineStr">
        <is>
          <t>BRL</t>
        </is>
      </c>
      <c r="H554" s="9" t="n">
        <v>-620391.0699999999</v>
      </c>
      <c r="I554" s="16" t="n">
        <v>45988</v>
      </c>
      <c r="J554" s="16" t="n">
        <v>46018</v>
      </c>
      <c r="K554" s="5" t="inlineStr">
        <is>
          <t>0044/26</t>
        </is>
      </c>
      <c r="L554" s="5" t="inlineStr">
        <is>
          <t>4012485637</t>
        </is>
      </c>
      <c r="M554" s="5">
        <f>IF(YEAR(I554)&lt;=2020,"Até 2020",TEXT(YEAR(I554),"0"))</f>
        <v/>
      </c>
      <c r="N554" s="5">
        <f>IFERROR(INDEX(DePara!$A:$A,MATCH(TEXT(B554,"0"),DePara!$D:$D,0)),"(sem categoria)")</f>
        <v/>
      </c>
      <c r="O554" s="5">
        <f>IF(J554="","",Parametros!$B$6-J554)</f>
        <v/>
      </c>
      <c r="P554" s="5">
        <f>IF(O554="","",IF(O554&gt;0,1,0))</f>
        <v/>
      </c>
    </row>
    <row r="555">
      <c r="A555" s="5" t="n">
        <v>2122100000</v>
      </c>
      <c r="B555" s="5" t="inlineStr">
        <is>
          <t>IC1000</t>
        </is>
      </c>
      <c r="C555" s="5" t="inlineStr">
        <is>
          <t>NORDEX ENERGY SE &amp; CO KG</t>
        </is>
      </c>
      <c r="D555" s="5" t="inlineStr">
        <is>
          <t>RE</t>
        </is>
      </c>
      <c r="E555" s="5" t="n">
        <v>5011836</v>
      </c>
      <c r="F555" s="5" t="inlineStr">
        <is>
          <t>4012485637</t>
        </is>
      </c>
      <c r="G555" s="5" t="inlineStr">
        <is>
          <t>BRL</t>
        </is>
      </c>
      <c r="H555" s="9" t="n">
        <v>-182166.84</v>
      </c>
      <c r="I555" s="16" t="n">
        <v>45988</v>
      </c>
      <c r="J555" s="16" t="n">
        <v>46018</v>
      </c>
      <c r="K555" s="5" t="inlineStr">
        <is>
          <t>0044/26</t>
        </is>
      </c>
      <c r="L555" s="5" t="inlineStr">
        <is>
          <t>4012485637</t>
        </is>
      </c>
      <c r="M555" s="5">
        <f>IF(YEAR(I555)&lt;=2020,"Até 2020",TEXT(YEAR(I555),"0"))</f>
        <v/>
      </c>
      <c r="N555" s="5">
        <f>IFERROR(INDEX(DePara!$A:$A,MATCH(TEXT(B555,"0"),DePara!$D:$D,0)),"(sem categoria)")</f>
        <v/>
      </c>
      <c r="O555" s="5">
        <f>IF(J555="","",Parametros!$B$6-J555)</f>
        <v/>
      </c>
      <c r="P555" s="5">
        <f>IF(O555="","",IF(O555&gt;0,1,0))</f>
        <v/>
      </c>
    </row>
    <row r="556">
      <c r="A556" s="5" t="n">
        <v>2122100000</v>
      </c>
      <c r="B556" s="5" t="inlineStr">
        <is>
          <t>IC4420</t>
        </is>
      </c>
      <c r="C556" s="5" t="inlineStr">
        <is>
          <t>NORDEX ENERGY SPAIN S A U</t>
        </is>
      </c>
      <c r="D556" s="5" t="inlineStr">
        <is>
          <t>RE</t>
        </is>
      </c>
      <c r="E556" s="5" t="n">
        <v>5011865</v>
      </c>
      <c r="F556" s="5" t="inlineStr">
        <is>
          <t>4026002818</t>
        </is>
      </c>
      <c r="G556" s="5" t="inlineStr">
        <is>
          <t>EUR</t>
        </is>
      </c>
      <c r="H556" s="9" t="n">
        <v>-6090.61</v>
      </c>
      <c r="I556" s="16" t="n">
        <v>46136</v>
      </c>
      <c r="J556" s="16" t="n">
        <v>46166</v>
      </c>
      <c r="K556" s="5" t="inlineStr">
        <is>
          <t>0256/26</t>
        </is>
      </c>
      <c r="L556" s="5" t="inlineStr">
        <is>
          <t>4026002818</t>
        </is>
      </c>
      <c r="M556" s="5">
        <f>IF(YEAR(I556)&lt;=2020,"Até 2020",TEXT(YEAR(I556),"0"))</f>
        <v/>
      </c>
      <c r="N556" s="5">
        <f>IFERROR(INDEX(DePara!$A:$A,MATCH(TEXT(B556,"0"),DePara!$D:$D,0)),"(sem categoria)")</f>
        <v/>
      </c>
      <c r="O556" s="5">
        <f>IF(J556="","",Parametros!$B$6-J556)</f>
        <v/>
      </c>
      <c r="P556" s="5">
        <f>IF(O556="","",IF(O556&gt;0,1,0))</f>
        <v/>
      </c>
    </row>
    <row r="557">
      <c r="A557" s="5" t="n">
        <v>2122100000</v>
      </c>
      <c r="B557" s="5" t="inlineStr">
        <is>
          <t>IC4420</t>
        </is>
      </c>
      <c r="C557" s="5" t="inlineStr">
        <is>
          <t>NORDEX ENERGY SPAIN S A U</t>
        </is>
      </c>
      <c r="D557" s="5" t="inlineStr">
        <is>
          <t>RE</t>
        </is>
      </c>
      <c r="E557" s="5" t="n">
        <v>5011866</v>
      </c>
      <c r="F557" s="5" t="inlineStr">
        <is>
          <t>4026003514</t>
        </is>
      </c>
      <c r="G557" s="5" t="inlineStr">
        <is>
          <t>EUR</t>
        </is>
      </c>
      <c r="H557" s="9" t="n">
        <v>-105809.86</v>
      </c>
      <c r="I557" s="16" t="n">
        <v>46160</v>
      </c>
      <c r="J557" s="16" t="n">
        <v>46190</v>
      </c>
      <c r="K557" s="5" t="inlineStr">
        <is>
          <t>0357/26</t>
        </is>
      </c>
      <c r="L557" s="5" t="inlineStr">
        <is>
          <t>4026003514</t>
        </is>
      </c>
      <c r="M557" s="5">
        <f>IF(YEAR(I557)&lt;=2020,"Até 2020",TEXT(YEAR(I557),"0"))</f>
        <v/>
      </c>
      <c r="N557" s="5">
        <f>IFERROR(INDEX(DePara!$A:$A,MATCH(TEXT(B557,"0"),DePara!$D:$D,0)),"(sem categoria)")</f>
        <v/>
      </c>
      <c r="O557" s="5">
        <f>IF(J557="","",Parametros!$B$6-J557)</f>
        <v/>
      </c>
      <c r="P557" s="5">
        <f>IF(O557="","",IF(O557&gt;0,1,0))</f>
        <v/>
      </c>
    </row>
    <row r="558">
      <c r="A558" s="5" t="n">
        <v>2122100000</v>
      </c>
      <c r="B558" s="5" t="inlineStr">
        <is>
          <t>IC4420</t>
        </is>
      </c>
      <c r="C558" s="5" t="inlineStr">
        <is>
          <t>NORDEX ENERGY SPAIN S A U</t>
        </is>
      </c>
      <c r="D558" s="5" t="inlineStr">
        <is>
          <t>RE</t>
        </is>
      </c>
      <c r="E558" s="5" t="n">
        <v>5011867</v>
      </c>
      <c r="F558" s="5" t="inlineStr">
        <is>
          <t>4026004270</t>
        </is>
      </c>
      <c r="G558" s="5" t="inlineStr">
        <is>
          <t>EUR</t>
        </is>
      </c>
      <c r="H558" s="9" t="n">
        <v>-13656.93</v>
      </c>
      <c r="I558" s="16" t="n">
        <v>46181</v>
      </c>
      <c r="J558" s="16" t="n">
        <v>46211</v>
      </c>
      <c r="K558" s="5" t="inlineStr">
        <is>
          <t>0390/26</t>
        </is>
      </c>
      <c r="L558" s="5" t="inlineStr">
        <is>
          <t>4026004270</t>
        </is>
      </c>
      <c r="M558" s="5">
        <f>IF(YEAR(I558)&lt;=2020,"Até 2020",TEXT(YEAR(I558),"0"))</f>
        <v/>
      </c>
      <c r="N558" s="5">
        <f>IFERROR(INDEX(DePara!$A:$A,MATCH(TEXT(B558,"0"),DePara!$D:$D,0)),"(sem categoria)")</f>
        <v/>
      </c>
      <c r="O558" s="5">
        <f>IF(J558="","",Parametros!$B$6-J558)</f>
        <v/>
      </c>
      <c r="P558" s="5">
        <f>IF(O558="","",IF(O558&gt;0,1,0))</f>
        <v/>
      </c>
    </row>
    <row r="559">
      <c r="A559" s="5" t="n">
        <v>2122100000</v>
      </c>
      <c r="B559" s="5" t="inlineStr">
        <is>
          <t>IC4420</t>
        </is>
      </c>
      <c r="C559" s="5" t="inlineStr">
        <is>
          <t>NORDEX ENERGY SPAIN S A U</t>
        </is>
      </c>
      <c r="D559" s="5" t="inlineStr">
        <is>
          <t>RE</t>
        </is>
      </c>
      <c r="E559" s="5" t="n">
        <v>5011868</v>
      </c>
      <c r="F559" s="5" t="inlineStr">
        <is>
          <t>4026003843</t>
        </is>
      </c>
      <c r="G559" s="5" t="inlineStr">
        <is>
          <t>EUR</t>
        </is>
      </c>
      <c r="H559" s="9" t="n">
        <v>-4976.3</v>
      </c>
      <c r="I559" s="16" t="n">
        <v>46163</v>
      </c>
      <c r="J559" s="16" t="n">
        <v>46193</v>
      </c>
      <c r="K559" s="5" t="inlineStr">
        <is>
          <t>0366/26</t>
        </is>
      </c>
      <c r="L559" s="5" t="inlineStr">
        <is>
          <t>4026003843</t>
        </is>
      </c>
      <c r="M559" s="5">
        <f>IF(YEAR(I559)&lt;=2020,"Até 2020",TEXT(YEAR(I559),"0"))</f>
        <v/>
      </c>
      <c r="N559" s="5">
        <f>IFERROR(INDEX(DePara!$A:$A,MATCH(TEXT(B559,"0"),DePara!$D:$D,0)),"(sem categoria)")</f>
        <v/>
      </c>
      <c r="O559" s="5">
        <f>IF(J559="","",Parametros!$B$6-J559)</f>
        <v/>
      </c>
      <c r="P559" s="5">
        <f>IF(O559="","",IF(O559&gt;0,1,0))</f>
        <v/>
      </c>
    </row>
    <row r="560">
      <c r="A560" s="5" t="n">
        <v>2122100000</v>
      </c>
      <c r="B560" s="5" t="inlineStr">
        <is>
          <t>IC1000</t>
        </is>
      </c>
      <c r="C560" s="5" t="inlineStr">
        <is>
          <t>NORDEX ENERGY SE &amp; CO KG</t>
        </is>
      </c>
      <c r="D560" s="5" t="inlineStr">
        <is>
          <t>RE</t>
        </is>
      </c>
      <c r="E560" s="5" t="n">
        <v>5011888</v>
      </c>
      <c r="F560" s="5" t="inlineStr">
        <is>
          <t>RITM0416929</t>
        </is>
      </c>
      <c r="G560" s="5" t="inlineStr">
        <is>
          <t>EUR</t>
        </is>
      </c>
      <c r="H560" s="9" t="n">
        <v>-650972.14</v>
      </c>
      <c r="I560" s="16" t="n">
        <v>45576</v>
      </c>
      <c r="J560" s="16" t="n">
        <v>45606</v>
      </c>
      <c r="K560" s="5" t="inlineStr">
        <is>
          <t>1111/24</t>
        </is>
      </c>
      <c r="L560" s="5" t="inlineStr">
        <is>
          <t>RITM0416929</t>
        </is>
      </c>
      <c r="M560" s="5">
        <f>IF(YEAR(I560)&lt;=2020,"Até 2020",TEXT(YEAR(I560),"0"))</f>
        <v/>
      </c>
      <c r="N560" s="5">
        <f>IFERROR(INDEX(DePara!$A:$A,MATCH(TEXT(B560,"0"),DePara!$D:$D,0)),"(sem categoria)")</f>
        <v/>
      </c>
      <c r="O560" s="5">
        <f>IF(J560="","",Parametros!$B$6-J560)</f>
        <v/>
      </c>
      <c r="P560" s="5">
        <f>IF(O560="","",IF(O560&gt;0,1,0))</f>
        <v/>
      </c>
    </row>
    <row r="561">
      <c r="A561" s="5" t="n">
        <v>2122100000</v>
      </c>
      <c r="B561" s="5" t="inlineStr">
        <is>
          <t>IC4420</t>
        </is>
      </c>
      <c r="C561" s="5" t="inlineStr">
        <is>
          <t>NORDEX ENERGY SPAIN S A U</t>
        </is>
      </c>
      <c r="D561" s="5" t="inlineStr">
        <is>
          <t>RE</t>
        </is>
      </c>
      <c r="E561" s="5" t="n">
        <v>5011911</v>
      </c>
      <c r="F561" s="5" t="inlineStr">
        <is>
          <t>4026003519</t>
        </is>
      </c>
      <c r="G561" s="5" t="inlineStr">
        <is>
          <t>EUR</t>
        </is>
      </c>
      <c r="H561" s="9" t="n">
        <v>-35270.82</v>
      </c>
      <c r="I561" s="16" t="n">
        <v>46160</v>
      </c>
      <c r="J561" s="16" t="n">
        <v>46190</v>
      </c>
      <c r="K561" s="5" t="inlineStr">
        <is>
          <t>0362/26</t>
        </is>
      </c>
      <c r="L561" s="5" t="inlineStr">
        <is>
          <t>4026003519</t>
        </is>
      </c>
      <c r="M561" s="5">
        <f>IF(YEAR(I561)&lt;=2020,"Até 2020",TEXT(YEAR(I561),"0"))</f>
        <v/>
      </c>
      <c r="N561" s="5">
        <f>IFERROR(INDEX(DePara!$A:$A,MATCH(TEXT(B561,"0"),DePara!$D:$D,0)),"(sem categoria)")</f>
        <v/>
      </c>
      <c r="O561" s="5">
        <f>IF(J561="","",Parametros!$B$6-J561)</f>
        <v/>
      </c>
      <c r="P561" s="5">
        <f>IF(O561="","",IF(O561&gt;0,1,0))</f>
        <v/>
      </c>
    </row>
    <row r="562">
      <c r="A562" s="5" t="n">
        <v>2122100000</v>
      </c>
      <c r="B562" s="5" t="inlineStr">
        <is>
          <t>IC4420</t>
        </is>
      </c>
      <c r="C562" s="5" t="inlineStr">
        <is>
          <t>NORDEX ENERGY SPAIN S A U</t>
        </is>
      </c>
      <c r="D562" s="5" t="inlineStr">
        <is>
          <t>RE</t>
        </is>
      </c>
      <c r="E562" s="5" t="n">
        <v>5011914</v>
      </c>
      <c r="F562" s="5" t="inlineStr">
        <is>
          <t>4026004273</t>
        </is>
      </c>
      <c r="G562" s="5" t="inlineStr">
        <is>
          <t>EUR</t>
        </is>
      </c>
      <c r="H562" s="9" t="n">
        <v>-5769.82</v>
      </c>
      <c r="I562" s="16" t="n">
        <v>46181</v>
      </c>
      <c r="J562" s="16" t="n">
        <v>46211</v>
      </c>
      <c r="K562" s="5" t="inlineStr">
        <is>
          <t>0393/26</t>
        </is>
      </c>
      <c r="L562" s="5" t="inlineStr">
        <is>
          <t>4026004273</t>
        </is>
      </c>
      <c r="M562" s="5">
        <f>IF(YEAR(I562)&lt;=2020,"Até 2020",TEXT(YEAR(I562),"0"))</f>
        <v/>
      </c>
      <c r="N562" s="5">
        <f>IFERROR(INDEX(DePara!$A:$A,MATCH(TEXT(B562,"0"),DePara!$D:$D,0)),"(sem categoria)")</f>
        <v/>
      </c>
      <c r="O562" s="5">
        <f>IF(J562="","",Parametros!$B$6-J562)</f>
        <v/>
      </c>
      <c r="P562" s="5">
        <f>IF(O562="","",IF(O562&gt;0,1,0))</f>
        <v/>
      </c>
    </row>
    <row r="563">
      <c r="A563" s="5" t="n">
        <v>2122100000</v>
      </c>
      <c r="B563" s="5" t="inlineStr">
        <is>
          <t>IC1000</t>
        </is>
      </c>
      <c r="C563" s="5" t="inlineStr">
        <is>
          <t>NORDEX ENERGY SE &amp; CO KG</t>
        </is>
      </c>
      <c r="D563" s="5" t="inlineStr">
        <is>
          <t>RE</t>
        </is>
      </c>
      <c r="E563" s="5" t="n">
        <v>5011917</v>
      </c>
      <c r="F563" s="5" t="inlineStr">
        <is>
          <t>4012521984</t>
        </is>
      </c>
      <c r="G563" s="5" t="inlineStr">
        <is>
          <t>BRL</t>
        </is>
      </c>
      <c r="H563" s="9" t="n">
        <v>-4101331.9</v>
      </c>
      <c r="I563" s="16" t="n">
        <v>46184</v>
      </c>
      <c r="J563" s="16" t="n">
        <v>46214</v>
      </c>
      <c r="K563" s="5" t="inlineStr">
        <is>
          <t>0356/26</t>
        </is>
      </c>
      <c r="L563" s="5" t="inlineStr">
        <is>
          <t>4012521984</t>
        </is>
      </c>
      <c r="M563" s="5">
        <f>IF(YEAR(I563)&lt;=2020,"Até 2020",TEXT(YEAR(I563),"0"))</f>
        <v/>
      </c>
      <c r="N563" s="5">
        <f>IFERROR(INDEX(DePara!$A:$A,MATCH(TEXT(B563,"0"),DePara!$D:$D,0)),"(sem categoria)")</f>
        <v/>
      </c>
      <c r="O563" s="5">
        <f>IF(J563="","",Parametros!$B$6-J563)</f>
        <v/>
      </c>
      <c r="P563" s="5">
        <f>IF(O563="","",IF(O563&gt;0,1,0))</f>
        <v/>
      </c>
    </row>
    <row r="564">
      <c r="A564" s="5" t="n">
        <v>2122100000</v>
      </c>
      <c r="B564" s="5" t="inlineStr">
        <is>
          <t>IC4420</t>
        </is>
      </c>
      <c r="C564" s="5" t="inlineStr">
        <is>
          <t>NORDEX ENERGY SPAIN S A U</t>
        </is>
      </c>
      <c r="D564" s="5" t="inlineStr">
        <is>
          <t>RE</t>
        </is>
      </c>
      <c r="E564" s="5" t="n">
        <v>5011937</v>
      </c>
      <c r="F564" s="5" t="inlineStr">
        <is>
          <t>4026002949</t>
        </is>
      </c>
      <c r="G564" s="5" t="inlineStr">
        <is>
          <t>EUR</t>
        </is>
      </c>
      <c r="H564" s="9" t="n">
        <v>-2606.55</v>
      </c>
      <c r="I564" s="16" t="n">
        <v>46141</v>
      </c>
      <c r="J564" s="16" t="n">
        <v>46171</v>
      </c>
      <c r="K564" s="5" t="inlineStr">
        <is>
          <t>0276/26</t>
        </is>
      </c>
      <c r="L564" s="5" t="inlineStr">
        <is>
          <t>4026002949</t>
        </is>
      </c>
      <c r="M564" s="5">
        <f>IF(YEAR(I564)&lt;=2020,"Até 2020",TEXT(YEAR(I564),"0"))</f>
        <v/>
      </c>
      <c r="N564" s="5">
        <f>IFERROR(INDEX(DePara!$A:$A,MATCH(TEXT(B564,"0"),DePara!$D:$D,0)),"(sem categoria)")</f>
        <v/>
      </c>
      <c r="O564" s="5">
        <f>IF(J564="","",Parametros!$B$6-J564)</f>
        <v/>
      </c>
      <c r="P564" s="5">
        <f>IF(O564="","",IF(O564&gt;0,1,0))</f>
        <v/>
      </c>
    </row>
    <row r="565">
      <c r="A565" s="5" t="n">
        <v>2122100000</v>
      </c>
      <c r="B565" s="5" t="inlineStr">
        <is>
          <t>IC1000</t>
        </is>
      </c>
      <c r="C565" s="5" t="inlineStr">
        <is>
          <t>NORDEX ENERGY SE &amp; CO KG</t>
        </is>
      </c>
      <c r="D565" s="5" t="inlineStr">
        <is>
          <t>RE</t>
        </is>
      </c>
      <c r="E565" s="5" t="n">
        <v>5011948</v>
      </c>
      <c r="F565" s="5" t="inlineStr">
        <is>
          <t>403203</t>
        </is>
      </c>
      <c r="G565" s="5" t="inlineStr">
        <is>
          <t>EUR</t>
        </is>
      </c>
      <c r="H565" s="9" t="n">
        <v>-1658.85</v>
      </c>
      <c r="I565" s="16" t="n">
        <v>46182</v>
      </c>
      <c r="J565" s="16" t="n">
        <v>46212</v>
      </c>
      <c r="K565" s="5" t="inlineStr">
        <is>
          <t>0395/26</t>
        </is>
      </c>
      <c r="L565" s="5" t="inlineStr">
        <is>
          <t>403203</t>
        </is>
      </c>
      <c r="M565" s="5">
        <f>IF(YEAR(I565)&lt;=2020,"Até 2020",TEXT(YEAR(I565),"0"))</f>
        <v/>
      </c>
      <c r="N565" s="5">
        <f>IFERROR(INDEX(DePara!$A:$A,MATCH(TEXT(B565,"0"),DePara!$D:$D,0)),"(sem categoria)")</f>
        <v/>
      </c>
      <c r="O565" s="5">
        <f>IF(J565="","",Parametros!$B$6-J565)</f>
        <v/>
      </c>
      <c r="P565" s="5">
        <f>IF(O565="","",IF(O565&gt;0,1,0))</f>
        <v/>
      </c>
    </row>
    <row r="566">
      <c r="A566" s="5" t="n">
        <v>2122100000</v>
      </c>
      <c r="B566" s="5" t="inlineStr">
        <is>
          <t>IC1000</t>
        </is>
      </c>
      <c r="C566" s="5" t="inlineStr">
        <is>
          <t>NORDEX ENERGY SE &amp; CO KG</t>
        </is>
      </c>
      <c r="D566" s="5" t="inlineStr">
        <is>
          <t>RE</t>
        </is>
      </c>
      <c r="E566" s="5" t="n">
        <v>5011949</v>
      </c>
      <c r="F566" s="5" t="inlineStr">
        <is>
          <t>401569</t>
        </is>
      </c>
      <c r="G566" s="5" t="inlineStr">
        <is>
          <t>EUR</t>
        </is>
      </c>
      <c r="H566" s="9" t="n">
        <v>-1938.88</v>
      </c>
      <c r="I566" s="16" t="n">
        <v>46171</v>
      </c>
      <c r="J566" s="16" t="n">
        <v>46201</v>
      </c>
      <c r="K566" s="5" t="inlineStr">
        <is>
          <t>0379/26</t>
        </is>
      </c>
      <c r="L566" s="5" t="inlineStr">
        <is>
          <t>401569</t>
        </is>
      </c>
      <c r="M566" s="5">
        <f>IF(YEAR(I566)&lt;=2020,"Até 2020",TEXT(YEAR(I566),"0"))</f>
        <v/>
      </c>
      <c r="N566" s="5">
        <f>IFERROR(INDEX(DePara!$A:$A,MATCH(TEXT(B566,"0"),DePara!$D:$D,0)),"(sem categoria)")</f>
        <v/>
      </c>
      <c r="O566" s="5">
        <f>IF(J566="","",Parametros!$B$6-J566)</f>
        <v/>
      </c>
      <c r="P566" s="5">
        <f>IF(O566="","",IF(O566&gt;0,1,0))</f>
        <v/>
      </c>
    </row>
    <row r="567">
      <c r="A567" s="5" t="n">
        <v>2122100000</v>
      </c>
      <c r="B567" s="5" t="inlineStr">
        <is>
          <t>IC4420</t>
        </is>
      </c>
      <c r="C567" s="5" t="inlineStr">
        <is>
          <t>NORDEX ENERGY SPAIN S A U</t>
        </is>
      </c>
      <c r="D567" s="5" t="inlineStr">
        <is>
          <t>RE</t>
        </is>
      </c>
      <c r="E567" s="5" t="n">
        <v>5011963</v>
      </c>
      <c r="F567" s="5" t="inlineStr">
        <is>
          <t>4026002495</t>
        </is>
      </c>
      <c r="G567" s="5" t="inlineStr">
        <is>
          <t>EUR</t>
        </is>
      </c>
      <c r="H567" s="9" t="n">
        <v>-4723355.7</v>
      </c>
      <c r="I567" s="16" t="n">
        <v>46125</v>
      </c>
      <c r="J567" s="16" t="n">
        <v>46155</v>
      </c>
      <c r="K567" s="5" t="inlineStr">
        <is>
          <t>0199/26</t>
        </is>
      </c>
      <c r="L567" s="5" t="inlineStr">
        <is>
          <t>4026002495</t>
        </is>
      </c>
      <c r="M567" s="5">
        <f>IF(YEAR(I567)&lt;=2020,"Até 2020",TEXT(YEAR(I567),"0"))</f>
        <v/>
      </c>
      <c r="N567" s="5">
        <f>IFERROR(INDEX(DePara!$A:$A,MATCH(TEXT(B567,"0"),DePara!$D:$D,0)),"(sem categoria)")</f>
        <v/>
      </c>
      <c r="O567" s="5">
        <f>IF(J567="","",Parametros!$B$6-J567)</f>
        <v/>
      </c>
      <c r="P567" s="5">
        <f>IF(O567="","",IF(O567&gt;0,1,0))</f>
        <v/>
      </c>
    </row>
    <row r="568">
      <c r="A568" s="5" t="n">
        <v>2122100000</v>
      </c>
      <c r="B568" s="5" t="inlineStr">
        <is>
          <t>IC1000</t>
        </is>
      </c>
      <c r="C568" s="5" t="inlineStr">
        <is>
          <t>NORDEX ENERGY SE &amp; CO KG</t>
        </is>
      </c>
      <c r="D568" s="5" t="inlineStr">
        <is>
          <t>RE</t>
        </is>
      </c>
      <c r="E568" s="5" t="n">
        <v>5012011</v>
      </c>
      <c r="F568" s="5" t="inlineStr">
        <is>
          <t>331387</t>
        </is>
      </c>
      <c r="G568" s="5" t="inlineStr">
        <is>
          <t>EUR</t>
        </is>
      </c>
      <c r="H568" s="9" t="n">
        <v>-28522.7</v>
      </c>
      <c r="I568" s="16" t="n">
        <v>45714</v>
      </c>
      <c r="J568" s="16" t="n">
        <v>45744</v>
      </c>
      <c r="K568" s="5" t="inlineStr">
        <is>
          <t>0197/25</t>
        </is>
      </c>
      <c r="L568" s="5" t="inlineStr">
        <is>
          <t>331387</t>
        </is>
      </c>
      <c r="M568" s="5">
        <f>IF(YEAR(I568)&lt;=2020,"Até 2020",TEXT(YEAR(I568),"0"))</f>
        <v/>
      </c>
      <c r="N568" s="5">
        <f>IFERROR(INDEX(DePara!$A:$A,MATCH(TEXT(B568,"0"),DePara!$D:$D,0)),"(sem categoria)")</f>
        <v/>
      </c>
      <c r="O568" s="5">
        <f>IF(J568="","",Parametros!$B$6-J568)</f>
        <v/>
      </c>
      <c r="P568" s="5">
        <f>IF(O568="","",IF(O568&gt;0,1,0))</f>
        <v/>
      </c>
    </row>
    <row r="569">
      <c r="A569" s="5" t="n">
        <v>2122100000</v>
      </c>
      <c r="B569" s="5" t="inlineStr">
        <is>
          <t>IC1000</t>
        </is>
      </c>
      <c r="C569" s="5" t="inlineStr">
        <is>
          <t>NORDEX ENERGY SE &amp; CO KG</t>
        </is>
      </c>
      <c r="D569" s="5" t="inlineStr">
        <is>
          <t>RE</t>
        </is>
      </c>
      <c r="E569" s="5" t="n">
        <v>5012012</v>
      </c>
      <c r="F569" s="5" t="inlineStr">
        <is>
          <t>331701</t>
        </is>
      </c>
      <c r="G569" s="5" t="inlineStr">
        <is>
          <t>EUR</t>
        </is>
      </c>
      <c r="H569" s="9" t="n">
        <v>-38363.07</v>
      </c>
      <c r="I569" s="16" t="n">
        <v>45714</v>
      </c>
      <c r="J569" s="16" t="n">
        <v>45744</v>
      </c>
      <c r="K569" s="5" t="inlineStr">
        <is>
          <t>0196/25</t>
        </is>
      </c>
      <c r="L569" s="5" t="inlineStr">
        <is>
          <t>331701</t>
        </is>
      </c>
      <c r="M569" s="5">
        <f>IF(YEAR(I569)&lt;=2020,"Até 2020",TEXT(YEAR(I569),"0"))</f>
        <v/>
      </c>
      <c r="N569" s="5">
        <f>IFERROR(INDEX(DePara!$A:$A,MATCH(TEXT(B569,"0"),DePara!$D:$D,0)),"(sem categoria)")</f>
        <v/>
      </c>
      <c r="O569" s="5">
        <f>IF(J569="","",Parametros!$B$6-J569)</f>
        <v/>
      </c>
      <c r="P569" s="5">
        <f>IF(O569="","",IF(O569&gt;0,1,0))</f>
        <v/>
      </c>
    </row>
    <row r="570">
      <c r="A570" s="5" t="n">
        <v>2122100000</v>
      </c>
      <c r="B570" s="5" t="inlineStr">
        <is>
          <t>IC1000</t>
        </is>
      </c>
      <c r="C570" s="5" t="inlineStr">
        <is>
          <t>NORDEX ENERGY SE &amp; CO KG</t>
        </is>
      </c>
      <c r="D570" s="5" t="inlineStr">
        <is>
          <t>RE</t>
        </is>
      </c>
      <c r="E570" s="5" t="n">
        <v>5012016</v>
      </c>
      <c r="F570" s="5" t="inlineStr">
        <is>
          <t>331400</t>
        </is>
      </c>
      <c r="G570" s="5" t="inlineStr">
        <is>
          <t>EUR</t>
        </is>
      </c>
      <c r="H570" s="9" t="n">
        <v>-38363.07</v>
      </c>
      <c r="I570" s="16" t="n">
        <v>45714</v>
      </c>
      <c r="J570" s="16" t="n">
        <v>45744</v>
      </c>
      <c r="K570" s="5" t="inlineStr">
        <is>
          <t>0195/25</t>
        </is>
      </c>
      <c r="L570" s="5" t="inlineStr">
        <is>
          <t>331400</t>
        </is>
      </c>
      <c r="M570" s="5">
        <f>IF(YEAR(I570)&lt;=2020,"Até 2020",TEXT(YEAR(I570),"0"))</f>
        <v/>
      </c>
      <c r="N570" s="5">
        <f>IFERROR(INDEX(DePara!$A:$A,MATCH(TEXT(B570,"0"),DePara!$D:$D,0)),"(sem categoria)")</f>
        <v/>
      </c>
      <c r="O570" s="5">
        <f>IF(J570="","",Parametros!$B$6-J570)</f>
        <v/>
      </c>
      <c r="P570" s="5">
        <f>IF(O570="","",IF(O570&gt;0,1,0))</f>
        <v/>
      </c>
    </row>
    <row r="571">
      <c r="A571" s="5" t="n">
        <v>2122100000</v>
      </c>
      <c r="B571" s="5" t="inlineStr">
        <is>
          <t>IC4420</t>
        </is>
      </c>
      <c r="C571" s="5" t="inlineStr">
        <is>
          <t>NORDEX ENERGY SPAIN S A U</t>
        </is>
      </c>
      <c r="D571" s="5" t="inlineStr">
        <is>
          <t>RE</t>
        </is>
      </c>
      <c r="E571" s="5" t="n">
        <v>5012057</v>
      </c>
      <c r="F571" s="5" t="inlineStr">
        <is>
          <t>4018000135</t>
        </is>
      </c>
      <c r="G571" s="5" t="inlineStr">
        <is>
          <t>EUR</t>
        </is>
      </c>
      <c r="H571" s="9" t="n">
        <v>-86115.67</v>
      </c>
      <c r="I571" s="16" t="n">
        <v>46190</v>
      </c>
      <c r="J571" s="16" t="n">
        <v>46220</v>
      </c>
      <c r="K571" s="5" t="inlineStr">
        <is>
          <t>0394/26</t>
        </is>
      </c>
      <c r="L571" s="5" t="inlineStr">
        <is>
          <t>4018000135</t>
        </is>
      </c>
      <c r="M571" s="5">
        <f>IF(YEAR(I571)&lt;=2020,"Até 2020",TEXT(YEAR(I571),"0"))</f>
        <v/>
      </c>
      <c r="N571" s="5">
        <f>IFERROR(INDEX(DePara!$A:$A,MATCH(TEXT(B571,"0"),DePara!$D:$D,0)),"(sem categoria)")</f>
        <v/>
      </c>
      <c r="O571" s="5">
        <f>IF(J571="","",Parametros!$B$6-J571)</f>
        <v/>
      </c>
      <c r="P571" s="5">
        <f>IF(O571="","",IF(O571&gt;0,1,0))</f>
        <v/>
      </c>
    </row>
    <row r="572">
      <c r="A572" s="5" t="n">
        <v>2122100000</v>
      </c>
      <c r="B572" s="5" t="inlineStr">
        <is>
          <t>IC1000</t>
        </is>
      </c>
      <c r="C572" s="5" t="inlineStr">
        <is>
          <t>NORDEX ENERGY SE &amp; CO KG</t>
        </is>
      </c>
      <c r="D572" s="5" t="inlineStr">
        <is>
          <t>RE</t>
        </is>
      </c>
      <c r="E572" s="5" t="n">
        <v>5012061</v>
      </c>
      <c r="F572" s="5" t="inlineStr">
        <is>
          <t>330272</t>
        </is>
      </c>
      <c r="G572" s="5" t="inlineStr">
        <is>
          <t>EUR</t>
        </is>
      </c>
      <c r="H572" s="9" t="n">
        <v>-72711</v>
      </c>
      <c r="I572" s="16" t="n">
        <v>45708</v>
      </c>
      <c r="J572" s="16" t="n">
        <v>45738</v>
      </c>
      <c r="K572" s="5" t="inlineStr">
        <is>
          <t>0185/25</t>
        </is>
      </c>
      <c r="L572" s="5" t="inlineStr">
        <is>
          <t>330272</t>
        </is>
      </c>
      <c r="M572" s="5">
        <f>IF(YEAR(I572)&lt;=2020,"Até 2020",TEXT(YEAR(I572),"0"))</f>
        <v/>
      </c>
      <c r="N572" s="5">
        <f>IFERROR(INDEX(DePara!$A:$A,MATCH(TEXT(B572,"0"),DePara!$D:$D,0)),"(sem categoria)")</f>
        <v/>
      </c>
      <c r="O572" s="5">
        <f>IF(J572="","",Parametros!$B$6-J572)</f>
        <v/>
      </c>
      <c r="P572" s="5">
        <f>IF(O572="","",IF(O572&gt;0,1,0))</f>
        <v/>
      </c>
    </row>
    <row r="573">
      <c r="A573" s="5" t="n">
        <v>2122100000</v>
      </c>
      <c r="B573" s="5" t="inlineStr">
        <is>
          <t>IC1000</t>
        </is>
      </c>
      <c r="C573" s="5" t="inlineStr">
        <is>
          <t>NORDEX ENERGY SE &amp; CO KG</t>
        </is>
      </c>
      <c r="D573" s="5" t="inlineStr">
        <is>
          <t>RE</t>
        </is>
      </c>
      <c r="E573" s="5" t="n">
        <v>5012062</v>
      </c>
      <c r="F573" s="5" t="inlineStr">
        <is>
          <t>332051</t>
        </is>
      </c>
      <c r="G573" s="5" t="inlineStr">
        <is>
          <t>EUR</t>
        </is>
      </c>
      <c r="H573" s="9" t="n">
        <v>-101670.48</v>
      </c>
      <c r="I573" s="16" t="n">
        <v>45719</v>
      </c>
      <c r="J573" s="16" t="n">
        <v>45749</v>
      </c>
      <c r="K573" s="5" t="inlineStr">
        <is>
          <t>0209/25</t>
        </is>
      </c>
      <c r="L573" s="5" t="inlineStr">
        <is>
          <t>332051</t>
        </is>
      </c>
      <c r="M573" s="5">
        <f>IF(YEAR(I573)&lt;=2020,"Até 2020",TEXT(YEAR(I573),"0"))</f>
        <v/>
      </c>
      <c r="N573" s="5">
        <f>IFERROR(INDEX(DePara!$A:$A,MATCH(TEXT(B573,"0"),DePara!$D:$D,0)),"(sem categoria)")</f>
        <v/>
      </c>
      <c r="O573" s="5">
        <f>IF(J573="","",Parametros!$B$6-J573)</f>
        <v/>
      </c>
      <c r="P573" s="5">
        <f>IF(O573="","",IF(O573&gt;0,1,0))</f>
        <v/>
      </c>
    </row>
    <row r="574">
      <c r="A574" s="5" t="n">
        <v>2122100000</v>
      </c>
      <c r="B574" s="5" t="inlineStr">
        <is>
          <t>IC1000</t>
        </is>
      </c>
      <c r="C574" s="5" t="inlineStr">
        <is>
          <t>NORDEX ENERGY SE &amp; CO KG</t>
        </is>
      </c>
      <c r="D574" s="5" t="inlineStr">
        <is>
          <t>RE</t>
        </is>
      </c>
      <c r="E574" s="5" t="n">
        <v>5012064</v>
      </c>
      <c r="F574" s="5" t="inlineStr">
        <is>
          <t>332158</t>
        </is>
      </c>
      <c r="G574" s="5" t="inlineStr">
        <is>
          <t>EUR</t>
        </is>
      </c>
      <c r="H574" s="9" t="n">
        <v>-13321.01</v>
      </c>
      <c r="I574" s="16" t="n">
        <v>45719</v>
      </c>
      <c r="J574" s="16" t="n">
        <v>45749</v>
      </c>
      <c r="K574" s="5" t="inlineStr">
        <is>
          <t>0209/25</t>
        </is>
      </c>
      <c r="L574" s="5" t="inlineStr">
        <is>
          <t>332158</t>
        </is>
      </c>
      <c r="M574" s="5">
        <f>IF(YEAR(I574)&lt;=2020,"Até 2020",TEXT(YEAR(I574),"0"))</f>
        <v/>
      </c>
      <c r="N574" s="5">
        <f>IFERROR(INDEX(DePara!$A:$A,MATCH(TEXT(B574,"0"),DePara!$D:$D,0)),"(sem categoria)")</f>
        <v/>
      </c>
      <c r="O574" s="5">
        <f>IF(J574="","",Parametros!$B$6-J574)</f>
        <v/>
      </c>
      <c r="P574" s="5">
        <f>IF(O574="","",IF(O574&gt;0,1,0))</f>
        <v/>
      </c>
    </row>
    <row r="575">
      <c r="A575" s="5" t="n">
        <v>2122100000</v>
      </c>
      <c r="B575" s="5" t="inlineStr">
        <is>
          <t>IC1000</t>
        </is>
      </c>
      <c r="C575" s="5" t="inlineStr">
        <is>
          <t>NORDEX ENERGY SE &amp; CO KG</t>
        </is>
      </c>
      <c r="D575" s="5" t="inlineStr">
        <is>
          <t>RE</t>
        </is>
      </c>
      <c r="E575" s="5" t="n">
        <v>5012066</v>
      </c>
      <c r="F575" s="5" t="inlineStr">
        <is>
          <t>330786</t>
        </is>
      </c>
      <c r="G575" s="5" t="inlineStr">
        <is>
          <t>EUR</t>
        </is>
      </c>
      <c r="H575" s="9" t="n">
        <v>-18161.35</v>
      </c>
      <c r="I575" s="16" t="n">
        <v>45708</v>
      </c>
      <c r="J575" s="16" t="n">
        <v>45738</v>
      </c>
      <c r="K575" s="5" t="inlineStr">
        <is>
          <t>0185/25</t>
        </is>
      </c>
      <c r="L575" s="5" t="inlineStr">
        <is>
          <t>330786</t>
        </is>
      </c>
      <c r="M575" s="5">
        <f>IF(YEAR(I575)&lt;=2020,"Até 2020",TEXT(YEAR(I575),"0"))</f>
        <v/>
      </c>
      <c r="N575" s="5">
        <f>IFERROR(INDEX(DePara!$A:$A,MATCH(TEXT(B575,"0"),DePara!$D:$D,0)),"(sem categoria)")</f>
        <v/>
      </c>
      <c r="O575" s="5">
        <f>IF(J575="","",Parametros!$B$6-J575)</f>
        <v/>
      </c>
      <c r="P575" s="5">
        <f>IF(O575="","",IF(O575&gt;0,1,0))</f>
        <v/>
      </c>
    </row>
    <row r="576">
      <c r="A576" s="5" t="n">
        <v>2122100000</v>
      </c>
      <c r="B576" s="5" t="inlineStr">
        <is>
          <t>IC4420</t>
        </is>
      </c>
      <c r="C576" s="5" t="inlineStr">
        <is>
          <t>NORDEX ENERGY SPAIN S A U</t>
        </is>
      </c>
      <c r="D576" s="5" t="inlineStr">
        <is>
          <t>RE</t>
        </is>
      </c>
      <c r="E576" s="5" t="n">
        <v>5012086</v>
      </c>
      <c r="F576" s="5" t="inlineStr">
        <is>
          <t>4026003145</t>
        </is>
      </c>
      <c r="G576" s="5" t="inlineStr">
        <is>
          <t>EUR</t>
        </is>
      </c>
      <c r="H576" s="9" t="n">
        <v>-160.29</v>
      </c>
      <c r="I576" s="16" t="n">
        <v>46148</v>
      </c>
      <c r="J576" s="16" t="n">
        <v>46178</v>
      </c>
      <c r="K576" s="5" t="inlineStr">
        <is>
          <t>0299/26</t>
        </is>
      </c>
      <c r="L576" s="5" t="inlineStr">
        <is>
          <t>4026003145</t>
        </is>
      </c>
      <c r="M576" s="5">
        <f>IF(YEAR(I576)&lt;=2020,"Até 2020",TEXT(YEAR(I576),"0"))</f>
        <v/>
      </c>
      <c r="N576" s="5">
        <f>IFERROR(INDEX(DePara!$A:$A,MATCH(TEXT(B576,"0"),DePara!$D:$D,0)),"(sem categoria)")</f>
        <v/>
      </c>
      <c r="O576" s="5">
        <f>IF(J576="","",Parametros!$B$6-J576)</f>
        <v/>
      </c>
      <c r="P576" s="5">
        <f>IF(O576="","",IF(O576&gt;0,1,0))</f>
        <v/>
      </c>
    </row>
    <row r="577">
      <c r="A577" s="5" t="n">
        <v>2122100000</v>
      </c>
      <c r="B577" s="5" t="inlineStr">
        <is>
          <t>IC4420</t>
        </is>
      </c>
      <c r="C577" s="5" t="inlineStr">
        <is>
          <t>NORDEX ENERGY SPAIN S A U</t>
        </is>
      </c>
      <c r="D577" s="5" t="inlineStr">
        <is>
          <t>RE</t>
        </is>
      </c>
      <c r="E577" s="5" t="n">
        <v>5012087</v>
      </c>
      <c r="F577" s="5" t="inlineStr">
        <is>
          <t>4026003235</t>
        </is>
      </c>
      <c r="G577" s="5" t="inlineStr">
        <is>
          <t>EUR</t>
        </is>
      </c>
      <c r="H577" s="9" t="n">
        <v>-55393.39</v>
      </c>
      <c r="I577" s="16" t="n">
        <v>46150</v>
      </c>
      <c r="J577" s="16" t="n">
        <v>46180</v>
      </c>
      <c r="K577" s="5" t="inlineStr">
        <is>
          <t>0318/26</t>
        </is>
      </c>
      <c r="L577" s="5" t="inlineStr">
        <is>
          <t>4026003235</t>
        </is>
      </c>
      <c r="M577" s="5">
        <f>IF(YEAR(I577)&lt;=2020,"Até 2020",TEXT(YEAR(I577),"0"))</f>
        <v/>
      </c>
      <c r="N577" s="5">
        <f>IFERROR(INDEX(DePara!$A:$A,MATCH(TEXT(B577,"0"),DePara!$D:$D,0)),"(sem categoria)")</f>
        <v/>
      </c>
      <c r="O577" s="5">
        <f>IF(J577="","",Parametros!$B$6-J577)</f>
        <v/>
      </c>
      <c r="P577" s="5">
        <f>IF(O577="","",IF(O577&gt;0,1,0))</f>
        <v/>
      </c>
    </row>
    <row r="578">
      <c r="A578" s="5" t="n">
        <v>2122100000</v>
      </c>
      <c r="B578" s="5" t="inlineStr">
        <is>
          <t>IC4420</t>
        </is>
      </c>
      <c r="C578" s="5" t="inlineStr">
        <is>
          <t>NORDEX ENERGY SPAIN S A U</t>
        </is>
      </c>
      <c r="D578" s="5" t="inlineStr">
        <is>
          <t>RE</t>
        </is>
      </c>
      <c r="E578" s="5" t="n">
        <v>5012088</v>
      </c>
      <c r="F578" s="5" t="inlineStr">
        <is>
          <t>4026004267</t>
        </is>
      </c>
      <c r="G578" s="5" t="inlineStr">
        <is>
          <t>EUR</t>
        </is>
      </c>
      <c r="H578" s="9" t="n">
        <v>-68713.46000000001</v>
      </c>
      <c r="I578" s="16" t="n">
        <v>46181</v>
      </c>
      <c r="J578" s="16" t="n">
        <v>46211</v>
      </c>
      <c r="K578" s="5" t="inlineStr">
        <is>
          <t>0387/26</t>
        </is>
      </c>
      <c r="L578" s="5" t="inlineStr">
        <is>
          <t>4026004267</t>
        </is>
      </c>
      <c r="M578" s="5">
        <f>IF(YEAR(I578)&lt;=2020,"Até 2020",TEXT(YEAR(I578),"0"))</f>
        <v/>
      </c>
      <c r="N578" s="5">
        <f>IFERROR(INDEX(DePara!$A:$A,MATCH(TEXT(B578,"0"),DePara!$D:$D,0)),"(sem categoria)")</f>
        <v/>
      </c>
      <c r="O578" s="5">
        <f>IF(J578="","",Parametros!$B$6-J578)</f>
        <v/>
      </c>
      <c r="P578" s="5">
        <f>IF(O578="","",IF(O578&gt;0,1,0))</f>
        <v/>
      </c>
    </row>
    <row r="579">
      <c r="A579" s="5" t="n">
        <v>2122100000</v>
      </c>
      <c r="B579" s="5" t="inlineStr">
        <is>
          <t>IC4420</t>
        </is>
      </c>
      <c r="C579" s="5" t="inlineStr">
        <is>
          <t>NORDEX ENERGY SPAIN S A U</t>
        </is>
      </c>
      <c r="D579" s="5" t="inlineStr">
        <is>
          <t>RE</t>
        </is>
      </c>
      <c r="E579" s="5" t="n">
        <v>5012089</v>
      </c>
      <c r="F579" s="5" t="inlineStr">
        <is>
          <t>4026004062</t>
        </is>
      </c>
      <c r="G579" s="5" t="inlineStr">
        <is>
          <t>EUR</t>
        </is>
      </c>
      <c r="H579" s="9" t="n">
        <v>-2777.32</v>
      </c>
      <c r="I579" s="16" t="n">
        <v>46174</v>
      </c>
      <c r="J579" s="16" t="n">
        <v>46204</v>
      </c>
      <c r="K579" s="5" t="inlineStr">
        <is>
          <t>0376/26</t>
        </is>
      </c>
      <c r="L579" s="5" t="inlineStr">
        <is>
          <t>4026004062</t>
        </is>
      </c>
      <c r="M579" s="5">
        <f>IF(YEAR(I579)&lt;=2020,"Até 2020",TEXT(YEAR(I579),"0"))</f>
        <v/>
      </c>
      <c r="N579" s="5">
        <f>IFERROR(INDEX(DePara!$A:$A,MATCH(TEXT(B579,"0"),DePara!$D:$D,0)),"(sem categoria)")</f>
        <v/>
      </c>
      <c r="O579" s="5">
        <f>IF(J579="","",Parametros!$B$6-J579)</f>
        <v/>
      </c>
      <c r="P579" s="5">
        <f>IF(O579="","",IF(O579&gt;0,1,0))</f>
        <v/>
      </c>
    </row>
    <row r="580">
      <c r="A580" s="5" t="n">
        <v>2122100000</v>
      </c>
      <c r="B580" s="5" t="inlineStr">
        <is>
          <t>IC4420</t>
        </is>
      </c>
      <c r="C580" s="5" t="inlineStr">
        <is>
          <t>NORDEX ENERGY SPAIN S A U</t>
        </is>
      </c>
      <c r="D580" s="5" t="inlineStr">
        <is>
          <t>RE</t>
        </is>
      </c>
      <c r="E580" s="5" t="n">
        <v>5012090</v>
      </c>
      <c r="F580" s="5" t="inlineStr">
        <is>
          <t>4026004269</t>
        </is>
      </c>
      <c r="G580" s="5" t="inlineStr">
        <is>
          <t>EUR</t>
        </is>
      </c>
      <c r="H580" s="9" t="n">
        <v>-7306.75</v>
      </c>
      <c r="I580" s="16" t="n">
        <v>46181</v>
      </c>
      <c r="J580" s="16" t="n">
        <v>46211</v>
      </c>
      <c r="K580" s="5" t="inlineStr">
        <is>
          <t>0389/26</t>
        </is>
      </c>
      <c r="L580" s="5" t="inlineStr">
        <is>
          <t>4026004269</t>
        </is>
      </c>
      <c r="M580" s="5">
        <f>IF(YEAR(I580)&lt;=2020,"Até 2020",TEXT(YEAR(I580),"0"))</f>
        <v/>
      </c>
      <c r="N580" s="5">
        <f>IFERROR(INDEX(DePara!$A:$A,MATCH(TEXT(B580,"0"),DePara!$D:$D,0)),"(sem categoria)")</f>
        <v/>
      </c>
      <c r="O580" s="5">
        <f>IF(J580="","",Parametros!$B$6-J580)</f>
        <v/>
      </c>
      <c r="P580" s="5">
        <f>IF(O580="","",IF(O580&gt;0,1,0))</f>
        <v/>
      </c>
    </row>
    <row r="581">
      <c r="A581" s="5" t="n">
        <v>2122100000</v>
      </c>
      <c r="B581" s="5" t="inlineStr">
        <is>
          <t>IC4420</t>
        </is>
      </c>
      <c r="C581" s="5" t="inlineStr">
        <is>
          <t>NORDEX ENERGY SPAIN S A U</t>
        </is>
      </c>
      <c r="D581" s="5" t="inlineStr">
        <is>
          <t>RE</t>
        </is>
      </c>
      <c r="E581" s="5" t="n">
        <v>5012091</v>
      </c>
      <c r="F581" s="5" t="inlineStr">
        <is>
          <t>4026004061</t>
        </is>
      </c>
      <c r="G581" s="5" t="inlineStr">
        <is>
          <t>EUR</t>
        </is>
      </c>
      <c r="H581" s="9" t="n">
        <v>-14109.75</v>
      </c>
      <c r="I581" s="16" t="n">
        <v>46174</v>
      </c>
      <c r="J581" s="16" t="n">
        <v>46204</v>
      </c>
      <c r="K581" s="5" t="inlineStr">
        <is>
          <t>0376/26</t>
        </is>
      </c>
      <c r="L581" s="5" t="inlineStr">
        <is>
          <t>4026004061</t>
        </is>
      </c>
      <c r="M581" s="5">
        <f>IF(YEAR(I581)&lt;=2020,"Até 2020",TEXT(YEAR(I581),"0"))</f>
        <v/>
      </c>
      <c r="N581" s="5">
        <f>IFERROR(INDEX(DePara!$A:$A,MATCH(TEXT(B581,"0"),DePara!$D:$D,0)),"(sem categoria)")</f>
        <v/>
      </c>
      <c r="O581" s="5">
        <f>IF(J581="","",Parametros!$B$6-J581)</f>
        <v/>
      </c>
      <c r="P581" s="5">
        <f>IF(O581="","",IF(O581&gt;0,1,0))</f>
        <v/>
      </c>
    </row>
    <row r="582">
      <c r="A582" s="5" t="n">
        <v>2122100000</v>
      </c>
      <c r="B582" s="5" t="inlineStr">
        <is>
          <t>IC4420</t>
        </is>
      </c>
      <c r="C582" s="5" t="inlineStr">
        <is>
          <t>NORDEX ENERGY SPAIN S A U</t>
        </is>
      </c>
      <c r="D582" s="5" t="inlineStr">
        <is>
          <t>RE</t>
        </is>
      </c>
      <c r="E582" s="5" t="n">
        <v>5012092</v>
      </c>
      <c r="F582" s="5" t="inlineStr">
        <is>
          <t>4026004272</t>
        </is>
      </c>
      <c r="G582" s="5" t="inlineStr">
        <is>
          <t>EUR</t>
        </is>
      </c>
      <c r="H582" s="9" t="n">
        <v>-25663.64</v>
      </c>
      <c r="I582" s="16" t="n">
        <v>46181</v>
      </c>
      <c r="J582" s="16" t="n">
        <v>46211</v>
      </c>
      <c r="K582" s="5" t="inlineStr">
        <is>
          <t>0392/26</t>
        </is>
      </c>
      <c r="L582" s="5" t="inlineStr">
        <is>
          <t>4026004272</t>
        </is>
      </c>
      <c r="M582" s="5">
        <f>IF(YEAR(I582)&lt;=2020,"Até 2020",TEXT(YEAR(I582),"0"))</f>
        <v/>
      </c>
      <c r="N582" s="5">
        <f>IFERROR(INDEX(DePara!$A:$A,MATCH(TEXT(B582,"0"),DePara!$D:$D,0)),"(sem categoria)")</f>
        <v/>
      </c>
      <c r="O582" s="5">
        <f>IF(J582="","",Parametros!$B$6-J582)</f>
        <v/>
      </c>
      <c r="P582" s="5">
        <f>IF(O582="","",IF(O582&gt;0,1,0))</f>
        <v/>
      </c>
    </row>
    <row r="583">
      <c r="A583" s="5" t="n">
        <v>2122100000</v>
      </c>
      <c r="B583" s="5" t="inlineStr">
        <is>
          <t>IC4420</t>
        </is>
      </c>
      <c r="C583" s="5" t="inlineStr">
        <is>
          <t>NORDEX ENERGY SPAIN S A U</t>
        </is>
      </c>
      <c r="D583" s="5" t="inlineStr">
        <is>
          <t>RE</t>
        </is>
      </c>
      <c r="E583" s="5" t="n">
        <v>5012093</v>
      </c>
      <c r="F583" s="5" t="inlineStr">
        <is>
          <t>4026003342</t>
        </is>
      </c>
      <c r="G583" s="5" t="inlineStr">
        <is>
          <t>EUR</t>
        </is>
      </c>
      <c r="H583" s="9" t="n">
        <v>-1536.44</v>
      </c>
      <c r="I583" s="16" t="n">
        <v>46154</v>
      </c>
      <c r="J583" s="16" t="n">
        <v>46184</v>
      </c>
      <c r="K583" s="5" t="inlineStr">
        <is>
          <t>0322/26</t>
        </is>
      </c>
      <c r="L583" s="5" t="inlineStr">
        <is>
          <t>4026003342</t>
        </is>
      </c>
      <c r="M583" s="5">
        <f>IF(YEAR(I583)&lt;=2020,"Até 2020",TEXT(YEAR(I583),"0"))</f>
        <v/>
      </c>
      <c r="N583" s="5">
        <f>IFERROR(INDEX(DePara!$A:$A,MATCH(TEXT(B583,"0"),DePara!$D:$D,0)),"(sem categoria)")</f>
        <v/>
      </c>
      <c r="O583" s="5">
        <f>IF(J583="","",Parametros!$B$6-J583)</f>
        <v/>
      </c>
      <c r="P583" s="5">
        <f>IF(O583="","",IF(O583&gt;0,1,0))</f>
        <v/>
      </c>
    </row>
    <row r="584">
      <c r="A584" s="5" t="n">
        <v>2122100000</v>
      </c>
      <c r="B584" s="5" t="inlineStr">
        <is>
          <t>IC4420</t>
        </is>
      </c>
      <c r="C584" s="5" t="inlineStr">
        <is>
          <t>NORDEX ENERGY SPAIN S A U</t>
        </is>
      </c>
      <c r="D584" s="5" t="inlineStr">
        <is>
          <t>RE</t>
        </is>
      </c>
      <c r="E584" s="5" t="n">
        <v>5012094</v>
      </c>
      <c r="F584" s="5" t="inlineStr">
        <is>
          <t>4026003502</t>
        </is>
      </c>
      <c r="G584" s="5" t="inlineStr">
        <is>
          <t>EUR</t>
        </is>
      </c>
      <c r="H584" s="9" t="n">
        <v>-7423.09</v>
      </c>
      <c r="I584" s="16" t="n">
        <v>46160</v>
      </c>
      <c r="J584" s="16" t="n">
        <v>46190</v>
      </c>
      <c r="K584" s="5" t="inlineStr">
        <is>
          <t>0349/26</t>
        </is>
      </c>
      <c r="L584" s="5" t="inlineStr">
        <is>
          <t>4026003502</t>
        </is>
      </c>
      <c r="M584" s="5">
        <f>IF(YEAR(I584)&lt;=2020,"Até 2020",TEXT(YEAR(I584),"0"))</f>
        <v/>
      </c>
      <c r="N584" s="5">
        <f>IFERROR(INDEX(DePara!$A:$A,MATCH(TEXT(B584,"0"),DePara!$D:$D,0)),"(sem categoria)")</f>
        <v/>
      </c>
      <c r="O584" s="5">
        <f>IF(J584="","",Parametros!$B$6-J584)</f>
        <v/>
      </c>
      <c r="P584" s="5">
        <f>IF(O584="","",IF(O584&gt;0,1,0))</f>
        <v/>
      </c>
    </row>
    <row r="585">
      <c r="A585" s="5" t="n">
        <v>2122100000</v>
      </c>
      <c r="B585" s="5" t="inlineStr">
        <is>
          <t>IC4420</t>
        </is>
      </c>
      <c r="C585" s="5" t="inlineStr">
        <is>
          <t>NORDEX ENERGY SPAIN S A U</t>
        </is>
      </c>
      <c r="D585" s="5" t="inlineStr">
        <is>
          <t>RE</t>
        </is>
      </c>
      <c r="E585" s="5" t="n">
        <v>5012097</v>
      </c>
      <c r="F585" s="5" t="inlineStr">
        <is>
          <t>4026003517</t>
        </is>
      </c>
      <c r="G585" s="5" t="inlineStr">
        <is>
          <t>EUR</t>
        </is>
      </c>
      <c r="H585" s="9" t="n">
        <v>-30538.61</v>
      </c>
      <c r="I585" s="16" t="n">
        <v>46160</v>
      </c>
      <c r="J585" s="16" t="n">
        <v>46190</v>
      </c>
      <c r="K585" s="5" t="inlineStr">
        <is>
          <t>0360/26</t>
        </is>
      </c>
      <c r="L585" s="5" t="inlineStr">
        <is>
          <t>4026003517</t>
        </is>
      </c>
      <c r="M585" s="5">
        <f>IF(YEAR(I585)&lt;=2020,"Até 2020",TEXT(YEAR(I585),"0"))</f>
        <v/>
      </c>
      <c r="N585" s="5">
        <f>IFERROR(INDEX(DePara!$A:$A,MATCH(TEXT(B585,"0"),DePara!$D:$D,0)),"(sem categoria)")</f>
        <v/>
      </c>
      <c r="O585" s="5">
        <f>IF(J585="","",Parametros!$B$6-J585)</f>
        <v/>
      </c>
      <c r="P585" s="5">
        <f>IF(O585="","",IF(O585&gt;0,1,0))</f>
        <v/>
      </c>
    </row>
    <row r="586">
      <c r="A586" s="5" t="n">
        <v>2122100000</v>
      </c>
      <c r="B586" s="5" t="inlineStr">
        <is>
          <t>IC1000</t>
        </is>
      </c>
      <c r="C586" s="5" t="inlineStr">
        <is>
          <t>NORDEX ENERGY SE &amp; CO KG</t>
        </is>
      </c>
      <c r="D586" s="5" t="inlineStr">
        <is>
          <t>RE</t>
        </is>
      </c>
      <c r="E586" s="5" t="n">
        <v>5012142</v>
      </c>
      <c r="F586" s="5" t="inlineStr">
        <is>
          <t>331376</t>
        </is>
      </c>
      <c r="G586" s="5" t="inlineStr">
        <is>
          <t>EUR</t>
        </is>
      </c>
      <c r="H586" s="9" t="n">
        <v>-23114.04</v>
      </c>
      <c r="I586" s="16" t="n">
        <v>45714</v>
      </c>
      <c r="J586" s="16" t="n">
        <v>45744</v>
      </c>
      <c r="K586" s="5" t="inlineStr">
        <is>
          <t>0199/25</t>
        </is>
      </c>
      <c r="L586" s="5" t="inlineStr">
        <is>
          <t>331376</t>
        </is>
      </c>
      <c r="M586" s="5">
        <f>IF(YEAR(I586)&lt;=2020,"Até 2020",TEXT(YEAR(I586),"0"))</f>
        <v/>
      </c>
      <c r="N586" s="5">
        <f>IFERROR(INDEX(DePara!$A:$A,MATCH(TEXT(B586,"0"),DePara!$D:$D,0)),"(sem categoria)")</f>
        <v/>
      </c>
      <c r="O586" s="5">
        <f>IF(J586="","",Parametros!$B$6-J586)</f>
        <v/>
      </c>
      <c r="P586" s="5">
        <f>IF(O586="","",IF(O586&gt;0,1,0))</f>
        <v/>
      </c>
    </row>
    <row r="587">
      <c r="A587" s="5" t="n">
        <v>2122100000</v>
      </c>
      <c r="B587" s="5" t="inlineStr">
        <is>
          <t>IC4420</t>
        </is>
      </c>
      <c r="C587" s="5" t="inlineStr">
        <is>
          <t>NORDEX ENERGY SPAIN S A U</t>
        </is>
      </c>
      <c r="D587" s="5" t="inlineStr">
        <is>
          <t>RE</t>
        </is>
      </c>
      <c r="E587" s="5" t="n">
        <v>5012174</v>
      </c>
      <c r="F587" s="5" t="inlineStr">
        <is>
          <t>4026003506</t>
        </is>
      </c>
      <c r="G587" s="5" t="inlineStr">
        <is>
          <t>EUR</t>
        </is>
      </c>
      <c r="H587" s="9" t="n">
        <v>-2663.39</v>
      </c>
      <c r="I587" s="16" t="n">
        <v>46160</v>
      </c>
      <c r="J587" s="16" t="n">
        <v>46190</v>
      </c>
      <c r="K587" s="5" t="inlineStr">
        <is>
          <t>0351/26</t>
        </is>
      </c>
      <c r="L587" s="5" t="inlineStr">
        <is>
          <t>4026003506</t>
        </is>
      </c>
      <c r="M587" s="5">
        <f>IF(YEAR(I587)&lt;=2020,"Até 2020",TEXT(YEAR(I587),"0"))</f>
        <v/>
      </c>
      <c r="N587" s="5">
        <f>IFERROR(INDEX(DePara!$A:$A,MATCH(TEXT(B587,"0"),DePara!$D:$D,0)),"(sem categoria)")</f>
        <v/>
      </c>
      <c r="O587" s="5">
        <f>IF(J587="","",Parametros!$B$6-J587)</f>
        <v/>
      </c>
      <c r="P587" s="5">
        <f>IF(O587="","",IF(O587&gt;0,1,0))</f>
        <v/>
      </c>
    </row>
    <row r="588">
      <c r="A588" s="5" t="n">
        <v>2122100000</v>
      </c>
      <c r="B588" s="5" t="inlineStr">
        <is>
          <t>IC4420</t>
        </is>
      </c>
      <c r="C588" s="5" t="inlineStr">
        <is>
          <t>NORDEX ENERGY SPAIN S A U</t>
        </is>
      </c>
      <c r="D588" s="5" t="inlineStr">
        <is>
          <t>RE</t>
        </is>
      </c>
      <c r="E588" s="5" t="n">
        <v>5012175</v>
      </c>
      <c r="F588" s="5" t="inlineStr">
        <is>
          <t>4026003347</t>
        </is>
      </c>
      <c r="G588" s="5" t="inlineStr">
        <is>
          <t>EUR</t>
        </is>
      </c>
      <c r="H588" s="9" t="n">
        <v>-16458.2</v>
      </c>
      <c r="I588" s="16" t="n">
        <v>46154</v>
      </c>
      <c r="J588" s="16" t="n">
        <v>46184</v>
      </c>
      <c r="K588" s="5" t="inlineStr">
        <is>
          <t>0326/26</t>
        </is>
      </c>
      <c r="L588" s="5" t="inlineStr">
        <is>
          <t>4026003347</t>
        </is>
      </c>
      <c r="M588" s="5">
        <f>IF(YEAR(I588)&lt;=2020,"Até 2020",TEXT(YEAR(I588),"0"))</f>
        <v/>
      </c>
      <c r="N588" s="5">
        <f>IFERROR(INDEX(DePara!$A:$A,MATCH(TEXT(B588,"0"),DePara!$D:$D,0)),"(sem categoria)")</f>
        <v/>
      </c>
      <c r="O588" s="5">
        <f>IF(J588="","",Parametros!$B$6-J588)</f>
        <v/>
      </c>
      <c r="P588" s="5">
        <f>IF(O588="","",IF(O588&gt;0,1,0))</f>
        <v/>
      </c>
    </row>
    <row r="589">
      <c r="A589" s="5" t="n">
        <v>2122100000</v>
      </c>
      <c r="B589" s="5" t="inlineStr">
        <is>
          <t>IC4420</t>
        </is>
      </c>
      <c r="C589" s="5" t="inlineStr">
        <is>
          <t>NORDEX ENERGY SPAIN S A U</t>
        </is>
      </c>
      <c r="D589" s="5" t="inlineStr">
        <is>
          <t>RE</t>
        </is>
      </c>
      <c r="E589" s="5" t="n">
        <v>5012189</v>
      </c>
      <c r="F589" s="5" t="inlineStr">
        <is>
          <t>4018000122</t>
        </is>
      </c>
      <c r="G589" s="5" t="inlineStr">
        <is>
          <t>EUR</t>
        </is>
      </c>
      <c r="H589" s="9" t="n">
        <v>-2124159.57</v>
      </c>
      <c r="I589" s="16" t="n">
        <v>46174</v>
      </c>
      <c r="J589" s="16" t="n">
        <v>46204</v>
      </c>
      <c r="K589" s="5" t="inlineStr">
        <is>
          <t>0271/26</t>
        </is>
      </c>
      <c r="L589" s="5" t="inlineStr">
        <is>
          <t>4018000122</t>
        </is>
      </c>
      <c r="M589" s="5">
        <f>IF(YEAR(I589)&lt;=2020,"Até 2020",TEXT(YEAR(I589),"0"))</f>
        <v/>
      </c>
      <c r="N589" s="5">
        <f>IFERROR(INDEX(DePara!$A:$A,MATCH(TEXT(B589,"0"),DePara!$D:$D,0)),"(sem categoria)")</f>
        <v/>
      </c>
      <c r="O589" s="5">
        <f>IF(J589="","",Parametros!$B$6-J589)</f>
        <v/>
      </c>
      <c r="P589" s="5">
        <f>IF(O589="","",IF(O589&gt;0,1,0))</f>
        <v/>
      </c>
    </row>
    <row r="590">
      <c r="A590" s="5" t="n">
        <v>2122100000</v>
      </c>
      <c r="B590" s="5" t="inlineStr">
        <is>
          <t>IC4420</t>
        </is>
      </c>
      <c r="C590" s="5" t="inlineStr">
        <is>
          <t>NORDEX ENERGY SPAIN S A U</t>
        </is>
      </c>
      <c r="D590" s="5" t="inlineStr">
        <is>
          <t>RE</t>
        </is>
      </c>
      <c r="E590" s="5" t="n">
        <v>5012190</v>
      </c>
      <c r="F590" s="5" t="inlineStr">
        <is>
          <t>4026004138</t>
        </is>
      </c>
      <c r="G590" s="5" t="inlineStr">
        <is>
          <t>EUR</t>
        </is>
      </c>
      <c r="H590" s="9" t="n">
        <v>-6309670.81</v>
      </c>
      <c r="I590" s="16" t="n">
        <v>46175</v>
      </c>
      <c r="J590" s="16" t="n">
        <v>46205</v>
      </c>
      <c r="K590" s="5" t="inlineStr">
        <is>
          <t>0374/26</t>
        </is>
      </c>
      <c r="L590" s="5" t="inlineStr">
        <is>
          <t>4026004138</t>
        </is>
      </c>
      <c r="M590" s="5">
        <f>IF(YEAR(I590)&lt;=2020,"Até 2020",TEXT(YEAR(I590),"0"))</f>
        <v/>
      </c>
      <c r="N590" s="5">
        <f>IFERROR(INDEX(DePara!$A:$A,MATCH(TEXT(B590,"0"),DePara!$D:$D,0)),"(sem categoria)")</f>
        <v/>
      </c>
      <c r="O590" s="5">
        <f>IF(J590="","",Parametros!$B$6-J590)</f>
        <v/>
      </c>
      <c r="P590" s="5">
        <f>IF(O590="","",IF(O590&gt;0,1,0))</f>
        <v/>
      </c>
    </row>
    <row r="591">
      <c r="A591" s="5" t="n">
        <v>2122100000</v>
      </c>
      <c r="B591" s="5" t="inlineStr">
        <is>
          <t>IC4420</t>
        </is>
      </c>
      <c r="C591" s="5" t="inlineStr">
        <is>
          <t>NORDEX ENERGY SPAIN S A U</t>
        </is>
      </c>
      <c r="D591" s="5" t="inlineStr">
        <is>
          <t>RE</t>
        </is>
      </c>
      <c r="E591" s="5" t="n">
        <v>5012191</v>
      </c>
      <c r="F591" s="5" t="inlineStr">
        <is>
          <t>4026004139</t>
        </is>
      </c>
      <c r="G591" s="5" t="inlineStr">
        <is>
          <t>EUR</t>
        </is>
      </c>
      <c r="H591" s="9" t="n">
        <v>-103210.42</v>
      </c>
      <c r="I591" s="16" t="n">
        <v>46175</v>
      </c>
      <c r="J591" s="16" t="n">
        <v>46205</v>
      </c>
      <c r="K591" s="5" t="inlineStr">
        <is>
          <t>0374/26</t>
        </is>
      </c>
      <c r="L591" s="5" t="inlineStr">
        <is>
          <t>4026004139</t>
        </is>
      </c>
      <c r="M591" s="5">
        <f>IF(YEAR(I591)&lt;=2020,"Até 2020",TEXT(YEAR(I591),"0"))</f>
        <v/>
      </c>
      <c r="N591" s="5">
        <f>IFERROR(INDEX(DePara!$A:$A,MATCH(TEXT(B591,"0"),DePara!$D:$D,0)),"(sem categoria)")</f>
        <v/>
      </c>
      <c r="O591" s="5">
        <f>IF(J591="","",Parametros!$B$6-J591)</f>
        <v/>
      </c>
      <c r="P591" s="5">
        <f>IF(O591="","",IF(O591&gt;0,1,0))</f>
        <v/>
      </c>
    </row>
    <row r="592">
      <c r="A592" s="5" t="n">
        <v>2122100000</v>
      </c>
      <c r="B592" s="5" t="inlineStr">
        <is>
          <t>IC4420</t>
        </is>
      </c>
      <c r="C592" s="5" t="inlineStr">
        <is>
          <t>NORDEX ENERGY SPAIN S A U</t>
        </is>
      </c>
      <c r="D592" s="5" t="inlineStr">
        <is>
          <t>RE</t>
        </is>
      </c>
      <c r="E592" s="5" t="n">
        <v>5012192</v>
      </c>
      <c r="F592" s="5" t="inlineStr">
        <is>
          <t>4026003967</t>
        </is>
      </c>
      <c r="G592" s="5" t="inlineStr">
        <is>
          <t>EUR</t>
        </is>
      </c>
      <c r="H592" s="9" t="n">
        <v>-1092245.78</v>
      </c>
      <c r="I592" s="16" t="n">
        <v>46169</v>
      </c>
      <c r="J592" s="16" t="n">
        <v>46199</v>
      </c>
      <c r="K592" s="5" t="inlineStr">
        <is>
          <t>0373/26</t>
        </is>
      </c>
      <c r="L592" s="5" t="inlineStr">
        <is>
          <t>4026003967</t>
        </is>
      </c>
      <c r="M592" s="5">
        <f>IF(YEAR(I592)&lt;=2020,"Até 2020",TEXT(YEAR(I592),"0"))</f>
        <v/>
      </c>
      <c r="N592" s="5">
        <f>IFERROR(INDEX(DePara!$A:$A,MATCH(TEXT(B592,"0"),DePara!$D:$D,0)),"(sem categoria)")</f>
        <v/>
      </c>
      <c r="O592" s="5">
        <f>IF(J592="","",Parametros!$B$6-J592)</f>
        <v/>
      </c>
      <c r="P592" s="5">
        <f>IF(O592="","",IF(O592&gt;0,1,0))</f>
        <v/>
      </c>
    </row>
    <row r="593">
      <c r="A593" s="5" t="n">
        <v>2122100000</v>
      </c>
      <c r="B593" s="5" t="inlineStr">
        <is>
          <t>IC4420</t>
        </is>
      </c>
      <c r="C593" s="5" t="inlineStr">
        <is>
          <t>NORDEX ENERGY SPAIN S A U</t>
        </is>
      </c>
      <c r="D593" s="5" t="inlineStr">
        <is>
          <t>RE</t>
        </is>
      </c>
      <c r="E593" s="5" t="n">
        <v>5012194</v>
      </c>
      <c r="F593" s="5" t="inlineStr">
        <is>
          <t>4026003298</t>
        </is>
      </c>
      <c r="G593" s="5" t="inlineStr">
        <is>
          <t>EUR</t>
        </is>
      </c>
      <c r="H593" s="9" t="n">
        <v>-1082765.26</v>
      </c>
      <c r="I593" s="16" t="n">
        <v>46153</v>
      </c>
      <c r="J593" s="16" t="n">
        <v>46183</v>
      </c>
      <c r="K593" s="5" t="inlineStr">
        <is>
          <t>0320/26</t>
        </is>
      </c>
      <c r="L593" s="5" t="inlineStr">
        <is>
          <t>4026003298</t>
        </is>
      </c>
      <c r="M593" s="5">
        <f>IF(YEAR(I593)&lt;=2020,"Até 2020",TEXT(YEAR(I593),"0"))</f>
        <v/>
      </c>
      <c r="N593" s="5">
        <f>IFERROR(INDEX(DePara!$A:$A,MATCH(TEXT(B593,"0"),DePara!$D:$D,0)),"(sem categoria)")</f>
        <v/>
      </c>
      <c r="O593" s="5">
        <f>IF(J593="","",Parametros!$B$6-J593)</f>
        <v/>
      </c>
      <c r="P593" s="5">
        <f>IF(O593="","",IF(O593&gt;0,1,0))</f>
        <v/>
      </c>
    </row>
    <row r="594">
      <c r="A594" s="5" t="n">
        <v>2122100000</v>
      </c>
      <c r="B594" s="5" t="inlineStr">
        <is>
          <t>IC4420</t>
        </is>
      </c>
      <c r="C594" s="5" t="inlineStr">
        <is>
          <t>NORDEX ENERGY SPAIN S A U</t>
        </is>
      </c>
      <c r="D594" s="5" t="inlineStr">
        <is>
          <t>RE</t>
        </is>
      </c>
      <c r="E594" s="5" t="n">
        <v>5012200</v>
      </c>
      <c r="F594" s="5" t="inlineStr">
        <is>
          <t>4026003446</t>
        </is>
      </c>
      <c r="G594" s="5" t="inlineStr">
        <is>
          <t>EUR</t>
        </is>
      </c>
      <c r="H594" s="9" t="n">
        <v>-549902.21</v>
      </c>
      <c r="I594" s="16" t="n">
        <v>46157</v>
      </c>
      <c r="J594" s="16" t="n">
        <v>46187</v>
      </c>
      <c r="K594" s="5" t="inlineStr">
        <is>
          <t>0355/26</t>
        </is>
      </c>
      <c r="L594" s="5" t="inlineStr">
        <is>
          <t>4026003446</t>
        </is>
      </c>
      <c r="M594" s="5">
        <f>IF(YEAR(I594)&lt;=2020,"Até 2020",TEXT(YEAR(I594),"0"))</f>
        <v/>
      </c>
      <c r="N594" s="5">
        <f>IFERROR(INDEX(DePara!$A:$A,MATCH(TEXT(B594,"0"),DePara!$D:$D,0)),"(sem categoria)")</f>
        <v/>
      </c>
      <c r="O594" s="5">
        <f>IF(J594="","",Parametros!$B$6-J594)</f>
        <v/>
      </c>
      <c r="P594" s="5">
        <f>IF(O594="","",IF(O594&gt;0,1,0))</f>
        <v/>
      </c>
    </row>
    <row r="595">
      <c r="A595" s="5" t="n">
        <v>2122100000</v>
      </c>
      <c r="B595" s="5" t="inlineStr">
        <is>
          <t>IC4420</t>
        </is>
      </c>
      <c r="C595" s="5" t="inlineStr">
        <is>
          <t>NORDEX ENERGY SPAIN S A U</t>
        </is>
      </c>
      <c r="D595" s="5" t="inlineStr">
        <is>
          <t>RE</t>
        </is>
      </c>
      <c r="E595" s="5" t="n">
        <v>5012205</v>
      </c>
      <c r="F595" s="5" t="inlineStr">
        <is>
          <t>4026003209</t>
        </is>
      </c>
      <c r="G595" s="5" t="inlineStr">
        <is>
          <t>EUR</t>
        </is>
      </c>
      <c r="H595" s="9" t="n">
        <v>-33451.02</v>
      </c>
      <c r="I595" s="16" t="n">
        <v>46150</v>
      </c>
      <c r="J595" s="16" t="n">
        <v>46180</v>
      </c>
      <c r="K595" s="5" t="inlineStr">
        <is>
          <t>0309/26</t>
        </is>
      </c>
      <c r="L595" s="5" t="inlineStr">
        <is>
          <t>4026003209</t>
        </is>
      </c>
      <c r="M595" s="5">
        <f>IF(YEAR(I595)&lt;=2020,"Até 2020",TEXT(YEAR(I595),"0"))</f>
        <v/>
      </c>
      <c r="N595" s="5">
        <f>IFERROR(INDEX(DePara!$A:$A,MATCH(TEXT(B595,"0"),DePara!$D:$D,0)),"(sem categoria)")</f>
        <v/>
      </c>
      <c r="O595" s="5">
        <f>IF(J595="","",Parametros!$B$6-J595)</f>
        <v/>
      </c>
      <c r="P595" s="5">
        <f>IF(O595="","",IF(O595&gt;0,1,0))</f>
        <v/>
      </c>
    </row>
    <row r="596">
      <c r="A596" s="5" t="n">
        <v>2122100000</v>
      </c>
      <c r="B596" s="5" t="inlineStr">
        <is>
          <t>IC4420</t>
        </is>
      </c>
      <c r="C596" s="5" t="inlineStr">
        <is>
          <t>NORDEX ENERGY SPAIN S A U</t>
        </is>
      </c>
      <c r="D596" s="5" t="inlineStr">
        <is>
          <t>RE</t>
        </is>
      </c>
      <c r="E596" s="5" t="n">
        <v>5012207</v>
      </c>
      <c r="F596" s="5" t="inlineStr">
        <is>
          <t>4026003516</t>
        </is>
      </c>
      <c r="G596" s="5" t="inlineStr">
        <is>
          <t>EUR</t>
        </is>
      </c>
      <c r="H596" s="9" t="n">
        <v>-57.1</v>
      </c>
      <c r="I596" s="16" t="n">
        <v>46160</v>
      </c>
      <c r="J596" s="16" t="n">
        <v>46190</v>
      </c>
      <c r="K596" s="5" t="inlineStr">
        <is>
          <t>0359/26</t>
        </is>
      </c>
      <c r="L596" s="5" t="inlineStr">
        <is>
          <t>4026003516</t>
        </is>
      </c>
      <c r="M596" s="5">
        <f>IF(YEAR(I596)&lt;=2020,"Até 2020",TEXT(YEAR(I596),"0"))</f>
        <v/>
      </c>
      <c r="N596" s="5">
        <f>IFERROR(INDEX(DePara!$A:$A,MATCH(TEXT(B596,"0"),DePara!$D:$D,0)),"(sem categoria)")</f>
        <v/>
      </c>
      <c r="O596" s="5">
        <f>IF(J596="","",Parametros!$B$6-J596)</f>
        <v/>
      </c>
      <c r="P596" s="5">
        <f>IF(O596="","",IF(O596&gt;0,1,0))</f>
        <v/>
      </c>
    </row>
    <row r="597">
      <c r="A597" s="5" t="n">
        <v>2122100000</v>
      </c>
      <c r="B597" s="5" t="inlineStr">
        <is>
          <t>IC4420</t>
        </is>
      </c>
      <c r="C597" s="5" t="inlineStr">
        <is>
          <t>NORDEX ENERGY SPAIN S A U</t>
        </is>
      </c>
      <c r="D597" s="5" t="inlineStr">
        <is>
          <t>RE</t>
        </is>
      </c>
      <c r="E597" s="5" t="n">
        <v>5012208</v>
      </c>
      <c r="F597" s="5" t="inlineStr">
        <is>
          <t>4026003095</t>
        </is>
      </c>
      <c r="G597" s="5" t="inlineStr">
        <is>
          <t>EUR</t>
        </is>
      </c>
      <c r="H597" s="9" t="n">
        <v>-47469.8</v>
      </c>
      <c r="I597" s="16" t="n">
        <v>46146</v>
      </c>
      <c r="J597" s="16" t="n">
        <v>46176</v>
      </c>
      <c r="K597" s="5" t="inlineStr">
        <is>
          <t>0288/26</t>
        </is>
      </c>
      <c r="L597" s="5" t="inlineStr">
        <is>
          <t>4026003095</t>
        </is>
      </c>
      <c r="M597" s="5">
        <f>IF(YEAR(I597)&lt;=2020,"Até 2020",TEXT(YEAR(I597),"0"))</f>
        <v/>
      </c>
      <c r="N597" s="5">
        <f>IFERROR(INDEX(DePara!$A:$A,MATCH(TEXT(B597,"0"),DePara!$D:$D,0)),"(sem categoria)")</f>
        <v/>
      </c>
      <c r="O597" s="5">
        <f>IF(J597="","",Parametros!$B$6-J597)</f>
        <v/>
      </c>
      <c r="P597" s="5">
        <f>IF(O597="","",IF(O597&gt;0,1,0))</f>
        <v/>
      </c>
    </row>
    <row r="598">
      <c r="A598" s="5" t="n">
        <v>2122100000</v>
      </c>
      <c r="B598" s="5" t="inlineStr">
        <is>
          <t>IC4420</t>
        </is>
      </c>
      <c r="C598" s="5" t="inlineStr">
        <is>
          <t>NORDEX ENERGY SPAIN S A U</t>
        </is>
      </c>
      <c r="D598" s="5" t="inlineStr">
        <is>
          <t>RE</t>
        </is>
      </c>
      <c r="E598" s="5" t="n">
        <v>5012209</v>
      </c>
      <c r="F598" s="5" t="inlineStr">
        <is>
          <t>4026003086</t>
        </is>
      </c>
      <c r="G598" s="5" t="inlineStr">
        <is>
          <t>EUR</t>
        </is>
      </c>
      <c r="H598" s="9" t="n">
        <v>-24.81</v>
      </c>
      <c r="I598" s="16" t="n">
        <v>46146</v>
      </c>
      <c r="J598" s="16" t="n">
        <v>46176</v>
      </c>
      <c r="K598" s="5" t="inlineStr">
        <is>
          <t>0284/26</t>
        </is>
      </c>
      <c r="L598" s="5" t="inlineStr">
        <is>
          <t>4026003086</t>
        </is>
      </c>
      <c r="M598" s="5">
        <f>IF(YEAR(I598)&lt;=2020,"Até 2020",TEXT(YEAR(I598),"0"))</f>
        <v/>
      </c>
      <c r="N598" s="5">
        <f>IFERROR(INDEX(DePara!$A:$A,MATCH(TEXT(B598,"0"),DePara!$D:$D,0)),"(sem categoria)")</f>
        <v/>
      </c>
      <c r="O598" s="5">
        <f>IF(J598="","",Parametros!$B$6-J598)</f>
        <v/>
      </c>
      <c r="P598" s="5">
        <f>IF(O598="","",IF(O598&gt;0,1,0))</f>
        <v/>
      </c>
    </row>
    <row r="599">
      <c r="A599" s="5" t="n">
        <v>2122100000</v>
      </c>
      <c r="B599" s="5" t="inlineStr">
        <is>
          <t>IC4420</t>
        </is>
      </c>
      <c r="C599" s="5" t="inlineStr">
        <is>
          <t>NORDEX ENERGY SPAIN S A U</t>
        </is>
      </c>
      <c r="D599" s="5" t="inlineStr">
        <is>
          <t>RE</t>
        </is>
      </c>
      <c r="E599" s="5" t="n">
        <v>5012210</v>
      </c>
      <c r="F599" s="5" t="inlineStr">
        <is>
          <t>4026003091</t>
        </is>
      </c>
      <c r="G599" s="5" t="inlineStr">
        <is>
          <t>EUR</t>
        </is>
      </c>
      <c r="H599" s="9" t="n">
        <v>-48087.31</v>
      </c>
      <c r="I599" s="16" t="n">
        <v>46146</v>
      </c>
      <c r="J599" s="16" t="n">
        <v>46176</v>
      </c>
      <c r="K599" s="5" t="inlineStr">
        <is>
          <t>0288/26</t>
        </is>
      </c>
      <c r="L599" s="5" t="inlineStr">
        <is>
          <t>4026003091</t>
        </is>
      </c>
      <c r="M599" s="5">
        <f>IF(YEAR(I599)&lt;=2020,"Até 2020",TEXT(YEAR(I599),"0"))</f>
        <v/>
      </c>
      <c r="N599" s="5">
        <f>IFERROR(INDEX(DePara!$A:$A,MATCH(TEXT(B599,"0"),DePara!$D:$D,0)),"(sem categoria)")</f>
        <v/>
      </c>
      <c r="O599" s="5">
        <f>IF(J599="","",Parametros!$B$6-J599)</f>
        <v/>
      </c>
      <c r="P599" s="5">
        <f>IF(O599="","",IF(O599&gt;0,1,0))</f>
        <v/>
      </c>
    </row>
    <row r="600">
      <c r="A600" s="5" t="n">
        <v>2122100000</v>
      </c>
      <c r="B600" s="5" t="inlineStr">
        <is>
          <t>IC4420</t>
        </is>
      </c>
      <c r="C600" s="5" t="inlineStr">
        <is>
          <t>NORDEX ENERGY SPAIN S A U</t>
        </is>
      </c>
      <c r="D600" s="5" t="inlineStr">
        <is>
          <t>RE</t>
        </is>
      </c>
      <c r="E600" s="5" t="n">
        <v>5012211</v>
      </c>
      <c r="F600" s="5" t="inlineStr">
        <is>
          <t>4026003518</t>
        </is>
      </c>
      <c r="G600" s="5" t="inlineStr">
        <is>
          <t>EUR</t>
        </is>
      </c>
      <c r="H600" s="9" t="n">
        <v>-41862.73</v>
      </c>
      <c r="I600" s="16" t="n">
        <v>46160</v>
      </c>
      <c r="J600" s="16" t="n">
        <v>46190</v>
      </c>
      <c r="K600" s="5" t="inlineStr">
        <is>
          <t>0361/26</t>
        </is>
      </c>
      <c r="L600" s="5" t="inlineStr">
        <is>
          <t>4026003518</t>
        </is>
      </c>
      <c r="M600" s="5">
        <f>IF(YEAR(I600)&lt;=2020,"Até 2020",TEXT(YEAR(I600),"0"))</f>
        <v/>
      </c>
      <c r="N600" s="5">
        <f>IFERROR(INDEX(DePara!$A:$A,MATCH(TEXT(B600,"0"),DePara!$D:$D,0)),"(sem categoria)")</f>
        <v/>
      </c>
      <c r="O600" s="5">
        <f>IF(J600="","",Parametros!$B$6-J600)</f>
        <v/>
      </c>
      <c r="P600" s="5">
        <f>IF(O600="","",IF(O600&gt;0,1,0))</f>
        <v/>
      </c>
    </row>
    <row r="601">
      <c r="A601" s="5" t="n">
        <v>2122100000</v>
      </c>
      <c r="B601" s="5" t="inlineStr">
        <is>
          <t>IC4420</t>
        </is>
      </c>
      <c r="C601" s="5" t="inlineStr">
        <is>
          <t>NORDEX ENERGY SPAIN S A U</t>
        </is>
      </c>
      <c r="D601" s="5" t="inlineStr">
        <is>
          <t>RE</t>
        </is>
      </c>
      <c r="E601" s="5" t="n">
        <v>5012212</v>
      </c>
      <c r="F601" s="5" t="inlineStr">
        <is>
          <t>4026003520</t>
        </is>
      </c>
      <c r="G601" s="5" t="inlineStr">
        <is>
          <t>EUR</t>
        </is>
      </c>
      <c r="H601" s="9" t="n">
        <v>-86.23</v>
      </c>
      <c r="I601" s="16" t="n">
        <v>46160</v>
      </c>
      <c r="J601" s="16" t="n">
        <v>46190</v>
      </c>
      <c r="K601" s="5" t="inlineStr">
        <is>
          <t>0363/26</t>
        </is>
      </c>
      <c r="L601" s="5" t="inlineStr">
        <is>
          <t>4026003520</t>
        </is>
      </c>
      <c r="M601" s="5">
        <f>IF(YEAR(I601)&lt;=2020,"Até 2020",TEXT(YEAR(I601),"0"))</f>
        <v/>
      </c>
      <c r="N601" s="5">
        <f>IFERROR(INDEX(DePara!$A:$A,MATCH(TEXT(B601,"0"),DePara!$D:$D,0)),"(sem categoria)")</f>
        <v/>
      </c>
      <c r="O601" s="5">
        <f>IF(J601="","",Parametros!$B$6-J601)</f>
        <v/>
      </c>
      <c r="P601" s="5">
        <f>IF(O601="","",IF(O601&gt;0,1,0))</f>
        <v/>
      </c>
    </row>
    <row r="602">
      <c r="A602" s="5" t="n">
        <v>2122100000</v>
      </c>
      <c r="B602" s="5" t="inlineStr">
        <is>
          <t>IC4420</t>
        </is>
      </c>
      <c r="C602" s="5" t="inlineStr">
        <is>
          <t>NORDEX ENERGY SPAIN S A U</t>
        </is>
      </c>
      <c r="D602" s="5" t="inlineStr">
        <is>
          <t>RE</t>
        </is>
      </c>
      <c r="E602" s="5" t="n">
        <v>5012213</v>
      </c>
      <c r="F602" s="5" t="inlineStr">
        <is>
          <t>4026003101</t>
        </is>
      </c>
      <c r="G602" s="5" t="inlineStr">
        <is>
          <t>EUR</t>
        </is>
      </c>
      <c r="H602" s="9" t="n">
        <v>-66936.49000000001</v>
      </c>
      <c r="I602" s="16" t="n">
        <v>46146</v>
      </c>
      <c r="J602" s="16" t="n">
        <v>46176</v>
      </c>
      <c r="K602" s="5" t="inlineStr">
        <is>
          <t>0284/26</t>
        </is>
      </c>
      <c r="L602" s="5" t="inlineStr">
        <is>
          <t>4026003101</t>
        </is>
      </c>
      <c r="M602" s="5">
        <f>IF(YEAR(I602)&lt;=2020,"Até 2020",TEXT(YEAR(I602),"0"))</f>
        <v/>
      </c>
      <c r="N602" s="5">
        <f>IFERROR(INDEX(DePara!$A:$A,MATCH(TEXT(B602,"0"),DePara!$D:$D,0)),"(sem categoria)")</f>
        <v/>
      </c>
      <c r="O602" s="5">
        <f>IF(J602="","",Parametros!$B$6-J602)</f>
        <v/>
      </c>
      <c r="P602" s="5">
        <f>IF(O602="","",IF(O602&gt;0,1,0))</f>
        <v/>
      </c>
    </row>
    <row r="603">
      <c r="A603" s="5" t="n">
        <v>2122100000</v>
      </c>
      <c r="B603" s="5" t="inlineStr">
        <is>
          <t>IC4420</t>
        </is>
      </c>
      <c r="C603" s="5" t="inlineStr">
        <is>
          <t>NORDEX ENERGY SPAIN S A U</t>
        </is>
      </c>
      <c r="D603" s="5" t="inlineStr">
        <is>
          <t>RE</t>
        </is>
      </c>
      <c r="E603" s="5" t="n">
        <v>5012214</v>
      </c>
      <c r="F603" s="5" t="inlineStr">
        <is>
          <t>4026003099</t>
        </is>
      </c>
      <c r="G603" s="5" t="inlineStr">
        <is>
          <t>EUR</t>
        </is>
      </c>
      <c r="H603" s="9" t="n">
        <v>-1098.64</v>
      </c>
      <c r="I603" s="16" t="n">
        <v>46146</v>
      </c>
      <c r="J603" s="16" t="n">
        <v>46176</v>
      </c>
      <c r="K603" s="5" t="inlineStr">
        <is>
          <t>0291/26</t>
        </is>
      </c>
      <c r="L603" s="5" t="inlineStr">
        <is>
          <t>4026003099</t>
        </is>
      </c>
      <c r="M603" s="5">
        <f>IF(YEAR(I603)&lt;=2020,"Até 2020",TEXT(YEAR(I603),"0"))</f>
        <v/>
      </c>
      <c r="N603" s="5">
        <f>IFERROR(INDEX(DePara!$A:$A,MATCH(TEXT(B603,"0"),DePara!$D:$D,0)),"(sem categoria)")</f>
        <v/>
      </c>
      <c r="O603" s="5">
        <f>IF(J603="","",Parametros!$B$6-J603)</f>
        <v/>
      </c>
      <c r="P603" s="5">
        <f>IF(O603="","",IF(O603&gt;0,1,0))</f>
        <v/>
      </c>
    </row>
    <row r="604">
      <c r="A604" s="5" t="n">
        <v>2122100000</v>
      </c>
      <c r="B604" s="5" t="inlineStr">
        <is>
          <t>IC4420</t>
        </is>
      </c>
      <c r="C604" s="5" t="inlineStr">
        <is>
          <t>NORDEX ENERGY SPAIN S A U</t>
        </is>
      </c>
      <c r="D604" s="5" t="inlineStr">
        <is>
          <t>RE</t>
        </is>
      </c>
      <c r="E604" s="5" t="n">
        <v>5012215</v>
      </c>
      <c r="F604" s="5" t="inlineStr">
        <is>
          <t>4026002356</t>
        </is>
      </c>
      <c r="G604" s="5" t="inlineStr">
        <is>
          <t>EUR</t>
        </is>
      </c>
      <c r="H604" s="9" t="n">
        <v>-120912.09</v>
      </c>
      <c r="I604" s="16" t="n">
        <v>46119</v>
      </c>
      <c r="J604" s="16" t="n">
        <v>46149</v>
      </c>
      <c r="K604" s="5" t="inlineStr">
        <is>
          <t>0195/26</t>
        </is>
      </c>
      <c r="L604" s="5" t="inlineStr">
        <is>
          <t>4026002356</t>
        </is>
      </c>
      <c r="M604" s="5">
        <f>IF(YEAR(I604)&lt;=2020,"Até 2020",TEXT(YEAR(I604),"0"))</f>
        <v/>
      </c>
      <c r="N604" s="5">
        <f>IFERROR(INDEX(DePara!$A:$A,MATCH(TEXT(B604,"0"),DePara!$D:$D,0)),"(sem categoria)")</f>
        <v/>
      </c>
      <c r="O604" s="5">
        <f>IF(J604="","",Parametros!$B$6-J604)</f>
        <v/>
      </c>
      <c r="P604" s="5">
        <f>IF(O604="","",IF(O604&gt;0,1,0))</f>
        <v/>
      </c>
    </row>
    <row r="605">
      <c r="A605" s="5" t="n">
        <v>2122100000</v>
      </c>
      <c r="B605" s="5" t="inlineStr">
        <is>
          <t>IC4420</t>
        </is>
      </c>
      <c r="C605" s="5" t="inlineStr">
        <is>
          <t>NORDEX ENERGY SPAIN S A U</t>
        </is>
      </c>
      <c r="D605" s="5" t="inlineStr">
        <is>
          <t>RE</t>
        </is>
      </c>
      <c r="E605" s="5" t="n">
        <v>5012216</v>
      </c>
      <c r="F605" s="5" t="inlineStr">
        <is>
          <t>4026002357</t>
        </is>
      </c>
      <c r="G605" s="5" t="inlineStr">
        <is>
          <t>EUR</t>
        </is>
      </c>
      <c r="H605" s="9" t="n">
        <v>-2263.81</v>
      </c>
      <c r="I605" s="16" t="n">
        <v>46119</v>
      </c>
      <c r="J605" s="16" t="n">
        <v>46149</v>
      </c>
      <c r="K605" s="5" t="inlineStr">
        <is>
          <t>0195/26</t>
        </is>
      </c>
      <c r="L605" s="5" t="inlineStr">
        <is>
          <t>4026002357</t>
        </is>
      </c>
      <c r="M605" s="5">
        <f>IF(YEAR(I605)&lt;=2020,"Até 2020",TEXT(YEAR(I605),"0"))</f>
        <v/>
      </c>
      <c r="N605" s="5">
        <f>IFERROR(INDEX(DePara!$A:$A,MATCH(TEXT(B605,"0"),DePara!$D:$D,0)),"(sem categoria)")</f>
        <v/>
      </c>
      <c r="O605" s="5">
        <f>IF(J605="","",Parametros!$B$6-J605)</f>
        <v/>
      </c>
      <c r="P605" s="5">
        <f>IF(O605="","",IF(O605&gt;0,1,0))</f>
        <v/>
      </c>
    </row>
    <row r="606">
      <c r="A606" s="5" t="n">
        <v>2122100000</v>
      </c>
      <c r="B606" s="5" t="inlineStr">
        <is>
          <t>IC4420</t>
        </is>
      </c>
      <c r="C606" s="5" t="inlineStr">
        <is>
          <t>NORDEX ENERGY SPAIN S A U</t>
        </is>
      </c>
      <c r="D606" s="5" t="inlineStr">
        <is>
          <t>RE</t>
        </is>
      </c>
      <c r="E606" s="5" t="n">
        <v>5012217</v>
      </c>
      <c r="F606" s="5" t="inlineStr">
        <is>
          <t>4026002359</t>
        </is>
      </c>
      <c r="G606" s="5" t="inlineStr">
        <is>
          <t>EUR</t>
        </is>
      </c>
      <c r="H606" s="9" t="n">
        <v>-576.59</v>
      </c>
      <c r="I606" s="16" t="n">
        <v>46119</v>
      </c>
      <c r="J606" s="16" t="n">
        <v>46149</v>
      </c>
      <c r="K606" s="5" t="inlineStr">
        <is>
          <t>0195/26</t>
        </is>
      </c>
      <c r="L606" s="5" t="inlineStr">
        <is>
          <t>4026002359</t>
        </is>
      </c>
      <c r="M606" s="5">
        <f>IF(YEAR(I606)&lt;=2020,"Até 2020",TEXT(YEAR(I606),"0"))</f>
        <v/>
      </c>
      <c r="N606" s="5">
        <f>IFERROR(INDEX(DePara!$A:$A,MATCH(TEXT(B606,"0"),DePara!$D:$D,0)),"(sem categoria)")</f>
        <v/>
      </c>
      <c r="O606" s="5">
        <f>IF(J606="","",Parametros!$B$6-J606)</f>
        <v/>
      </c>
      <c r="P606" s="5">
        <f>IF(O606="","",IF(O606&gt;0,1,0))</f>
        <v/>
      </c>
    </row>
    <row r="607">
      <c r="A607" s="5" t="n">
        <v>2122100000</v>
      </c>
      <c r="B607" s="5" t="inlineStr">
        <is>
          <t>IC4420</t>
        </is>
      </c>
      <c r="C607" s="5" t="inlineStr">
        <is>
          <t>NORDEX ENERGY SPAIN S A U</t>
        </is>
      </c>
      <c r="D607" s="5" t="inlineStr">
        <is>
          <t>RE</t>
        </is>
      </c>
      <c r="E607" s="5" t="n">
        <v>5012219</v>
      </c>
      <c r="F607" s="5" t="inlineStr">
        <is>
          <t>4026004137</t>
        </is>
      </c>
      <c r="G607" s="5" t="inlineStr">
        <is>
          <t>EUR</t>
        </is>
      </c>
      <c r="H607" s="9" t="n">
        <v>-17564.79</v>
      </c>
      <c r="I607" s="16" t="n">
        <v>46175</v>
      </c>
      <c r="J607" s="16" t="n">
        <v>46205</v>
      </c>
      <c r="K607" s="5" t="inlineStr">
        <is>
          <t>0380/26</t>
        </is>
      </c>
      <c r="L607" s="5" t="inlineStr">
        <is>
          <t>4026004137</t>
        </is>
      </c>
      <c r="M607" s="5">
        <f>IF(YEAR(I607)&lt;=2020,"Até 2020",TEXT(YEAR(I607),"0"))</f>
        <v/>
      </c>
      <c r="N607" s="5">
        <f>IFERROR(INDEX(DePara!$A:$A,MATCH(TEXT(B607,"0"),DePara!$D:$D,0)),"(sem categoria)")</f>
        <v/>
      </c>
      <c r="O607" s="5">
        <f>IF(J607="","",Parametros!$B$6-J607)</f>
        <v/>
      </c>
      <c r="P607" s="5">
        <f>IF(O607="","",IF(O607&gt;0,1,0))</f>
        <v/>
      </c>
    </row>
    <row r="608">
      <c r="A608" s="5" t="n">
        <v>2122100000</v>
      </c>
      <c r="B608" s="5" t="inlineStr">
        <is>
          <t>IC4420</t>
        </is>
      </c>
      <c r="C608" s="5" t="inlineStr">
        <is>
          <t>NORDEX ENERGY SPAIN S A U</t>
        </is>
      </c>
      <c r="D608" s="5" t="inlineStr">
        <is>
          <t>RE</t>
        </is>
      </c>
      <c r="E608" s="5" t="n">
        <v>5012222</v>
      </c>
      <c r="F608" s="5" t="inlineStr">
        <is>
          <t>4026003490</t>
        </is>
      </c>
      <c r="G608" s="5" t="inlineStr">
        <is>
          <t>EUR</t>
        </is>
      </c>
      <c r="H608" s="9" t="n">
        <v>-50451.11</v>
      </c>
      <c r="I608" s="16" t="n">
        <v>46160</v>
      </c>
      <c r="J608" s="16" t="n">
        <v>46190</v>
      </c>
      <c r="K608" s="5" t="inlineStr">
        <is>
          <t>0347/26</t>
        </is>
      </c>
      <c r="L608" s="5" t="inlineStr">
        <is>
          <t>4026003490</t>
        </is>
      </c>
      <c r="M608" s="5">
        <f>IF(YEAR(I608)&lt;=2020,"Até 2020",TEXT(YEAR(I608),"0"))</f>
        <v/>
      </c>
      <c r="N608" s="5">
        <f>IFERROR(INDEX(DePara!$A:$A,MATCH(TEXT(B608,"0"),DePara!$D:$D,0)),"(sem categoria)")</f>
        <v/>
      </c>
      <c r="O608" s="5">
        <f>IF(J608="","",Parametros!$B$6-J608)</f>
        <v/>
      </c>
      <c r="P608" s="5">
        <f>IF(O608="","",IF(O608&gt;0,1,0))</f>
        <v/>
      </c>
    </row>
    <row r="609">
      <c r="A609" s="5" t="n">
        <v>2122100000</v>
      </c>
      <c r="B609" s="5" t="inlineStr">
        <is>
          <t>IC4420</t>
        </is>
      </c>
      <c r="C609" s="5" t="inlineStr">
        <is>
          <t>NORDEX ENERGY SPAIN S A U</t>
        </is>
      </c>
      <c r="D609" s="5" t="inlineStr">
        <is>
          <t>RE</t>
        </is>
      </c>
      <c r="E609" s="5" t="n">
        <v>5012325</v>
      </c>
      <c r="F609" s="5" t="inlineStr">
        <is>
          <t>4018000113</t>
        </is>
      </c>
      <c r="G609" s="5" t="inlineStr">
        <is>
          <t>EUR</t>
        </is>
      </c>
      <c r="H609" s="9" t="n">
        <v>-3388.22</v>
      </c>
      <c r="I609" s="16" t="n">
        <v>46168</v>
      </c>
      <c r="J609" s="16" t="n">
        <v>46198</v>
      </c>
      <c r="K609" s="5" t="inlineStr">
        <is>
          <t>0369/26</t>
        </is>
      </c>
      <c r="L609" s="5" t="inlineStr">
        <is>
          <t>4018000113</t>
        </is>
      </c>
      <c r="M609" s="5">
        <f>IF(YEAR(I609)&lt;=2020,"Até 2020",TEXT(YEAR(I609),"0"))</f>
        <v/>
      </c>
      <c r="N609" s="5">
        <f>IFERROR(INDEX(DePara!$A:$A,MATCH(TEXT(B609,"0"),DePara!$D:$D,0)),"(sem categoria)")</f>
        <v/>
      </c>
      <c r="O609" s="5">
        <f>IF(J609="","",Parametros!$B$6-J609)</f>
        <v/>
      </c>
      <c r="P609" s="5">
        <f>IF(O609="","",IF(O609&gt;0,1,0))</f>
        <v/>
      </c>
    </row>
    <row r="610">
      <c r="A610" s="5" t="n">
        <v>2122100000</v>
      </c>
      <c r="B610" s="5" t="inlineStr">
        <is>
          <t>IC4420</t>
        </is>
      </c>
      <c r="C610" s="5" t="inlineStr">
        <is>
          <t>NORDEX ENERGY SPAIN S A U</t>
        </is>
      </c>
      <c r="D610" s="5" t="inlineStr">
        <is>
          <t>RE</t>
        </is>
      </c>
      <c r="E610" s="5" t="n">
        <v>5012380</v>
      </c>
      <c r="F610" s="5" t="inlineStr">
        <is>
          <t>4026003207</t>
        </is>
      </c>
      <c r="G610" s="5" t="inlineStr">
        <is>
          <t>EUR</t>
        </is>
      </c>
      <c r="H610" s="9" t="n">
        <v>-17395.18</v>
      </c>
      <c r="I610" s="16" t="n">
        <v>46150</v>
      </c>
      <c r="J610" s="16" t="n">
        <v>46180</v>
      </c>
      <c r="K610" s="5" t="inlineStr">
        <is>
          <t>0307/26</t>
        </is>
      </c>
      <c r="L610" s="5" t="inlineStr">
        <is>
          <t>4026003207</t>
        </is>
      </c>
      <c r="M610" s="5">
        <f>IF(YEAR(I610)&lt;=2020,"Até 2020",TEXT(YEAR(I610),"0"))</f>
        <v/>
      </c>
      <c r="N610" s="5">
        <f>IFERROR(INDEX(DePara!$A:$A,MATCH(TEXT(B610,"0"),DePara!$D:$D,0)),"(sem categoria)")</f>
        <v/>
      </c>
      <c r="O610" s="5">
        <f>IF(J610="","",Parametros!$B$6-J610)</f>
        <v/>
      </c>
      <c r="P610" s="5">
        <f>IF(O610="","",IF(O610&gt;0,1,0))</f>
        <v/>
      </c>
    </row>
    <row r="611">
      <c r="A611" s="5" t="n">
        <v>2122100000</v>
      </c>
      <c r="B611" s="5" t="inlineStr">
        <is>
          <t>IC1000</t>
        </is>
      </c>
      <c r="C611" s="5" t="inlineStr">
        <is>
          <t>NORDEX ENERGY SE &amp; CO KG</t>
        </is>
      </c>
      <c r="D611" s="5" t="inlineStr">
        <is>
          <t>KR</t>
        </is>
      </c>
      <c r="E611" s="5" t="n">
        <v>5012429</v>
      </c>
      <c r="F611" s="5" t="inlineStr">
        <is>
          <t>621754</t>
        </is>
      </c>
      <c r="G611" s="5" t="inlineStr">
        <is>
          <t>EUR</t>
        </is>
      </c>
      <c r="H611" s="9" t="n">
        <v>-959025.5</v>
      </c>
      <c r="I611" s="16" t="n">
        <v>45736</v>
      </c>
      <c r="J611" s="16" t="n">
        <v>45766</v>
      </c>
      <c r="K611" s="5" t="inlineStr">
        <is>
          <t>Fatura do fornecedor NORDEX ENERGY SE &amp; CO KG 6217</t>
        </is>
      </c>
      <c r="L611" s="5" t="n"/>
      <c r="M611" s="5">
        <f>IF(YEAR(I611)&lt;=2020,"Até 2020",TEXT(YEAR(I611),"0"))</f>
        <v/>
      </c>
      <c r="N611" s="5">
        <f>IFERROR(INDEX(DePara!$A:$A,MATCH(TEXT(B611,"0"),DePara!$D:$D,0)),"(sem categoria)")</f>
        <v/>
      </c>
      <c r="O611" s="5">
        <f>IF(J611="","",Parametros!$B$6-J611)</f>
        <v/>
      </c>
      <c r="P611" s="5">
        <f>IF(O611="","",IF(O611&gt;0,1,0))</f>
        <v/>
      </c>
    </row>
    <row r="612">
      <c r="A612" s="5" t="n">
        <v>2122100000</v>
      </c>
      <c r="B612" s="5" t="inlineStr">
        <is>
          <t>IC4420</t>
        </is>
      </c>
      <c r="C612" s="5" t="inlineStr">
        <is>
          <t>NORDEX ENERGY SPAIN S A U</t>
        </is>
      </c>
      <c r="D612" s="5" t="inlineStr">
        <is>
          <t>RE</t>
        </is>
      </c>
      <c r="E612" s="5" t="n">
        <v>5012507</v>
      </c>
      <c r="F612" s="5" t="inlineStr">
        <is>
          <t>4026003100</t>
        </is>
      </c>
      <c r="G612" s="5" t="inlineStr">
        <is>
          <t>EUR</t>
        </is>
      </c>
      <c r="H612" s="9" t="n">
        <v>-1583183.76</v>
      </c>
      <c r="I612" s="16" t="n">
        <v>46146</v>
      </c>
      <c r="J612" s="16" t="n">
        <v>46176</v>
      </c>
      <c r="K612" s="5" t="inlineStr">
        <is>
          <t>0283/26</t>
        </is>
      </c>
      <c r="L612" s="5" t="inlineStr">
        <is>
          <t>4026003100</t>
        </is>
      </c>
      <c r="M612" s="5">
        <f>IF(YEAR(I612)&lt;=2020,"Até 2020",TEXT(YEAR(I612),"0"))</f>
        <v/>
      </c>
      <c r="N612" s="5">
        <f>IFERROR(INDEX(DePara!$A:$A,MATCH(TEXT(B612,"0"),DePara!$D:$D,0)),"(sem categoria)")</f>
        <v/>
      </c>
      <c r="O612" s="5">
        <f>IF(J612="","",Parametros!$B$6-J612)</f>
        <v/>
      </c>
      <c r="P612" s="5">
        <f>IF(O612="","",IF(O612&gt;0,1,0))</f>
        <v/>
      </c>
    </row>
    <row r="613">
      <c r="A613" s="5" t="n">
        <v>2122100000</v>
      </c>
      <c r="B613" s="5" t="inlineStr">
        <is>
          <t>IC4420</t>
        </is>
      </c>
      <c r="C613" s="5" t="inlineStr">
        <is>
          <t>NORDEX ENERGY SPAIN S A U</t>
        </is>
      </c>
      <c r="D613" s="5" t="inlineStr">
        <is>
          <t>RE</t>
        </is>
      </c>
      <c r="E613" s="5" t="n">
        <v>5012508</v>
      </c>
      <c r="F613" s="5" t="inlineStr">
        <is>
          <t>4026004544</t>
        </is>
      </c>
      <c r="G613" s="5" t="inlineStr">
        <is>
          <t>EUR</t>
        </is>
      </c>
      <c r="H613" s="9" t="n">
        <v>-415.37</v>
      </c>
      <c r="I613" s="16" t="n">
        <v>46188</v>
      </c>
      <c r="J613" s="16" t="n">
        <v>46218</v>
      </c>
      <c r="K613" s="5" t="inlineStr">
        <is>
          <t>0418/26</t>
        </is>
      </c>
      <c r="L613" s="5" t="inlineStr">
        <is>
          <t>4026004544</t>
        </is>
      </c>
      <c r="M613" s="5">
        <f>IF(YEAR(I613)&lt;=2020,"Até 2020",TEXT(YEAR(I613),"0"))</f>
        <v/>
      </c>
      <c r="N613" s="5">
        <f>IFERROR(INDEX(DePara!$A:$A,MATCH(TEXT(B613,"0"),DePara!$D:$D,0)),"(sem categoria)")</f>
        <v/>
      </c>
      <c r="O613" s="5">
        <f>IF(J613="","",Parametros!$B$6-J613)</f>
        <v/>
      </c>
      <c r="P613" s="5">
        <f>IF(O613="","",IF(O613&gt;0,1,0))</f>
        <v/>
      </c>
    </row>
    <row r="614">
      <c r="A614" s="5" t="n">
        <v>2122100000</v>
      </c>
      <c r="B614" s="5" t="inlineStr">
        <is>
          <t>IC4420</t>
        </is>
      </c>
      <c r="C614" s="5" t="inlineStr">
        <is>
          <t>NORDEX ENERGY SPAIN S A U</t>
        </is>
      </c>
      <c r="D614" s="5" t="inlineStr">
        <is>
          <t>RE</t>
        </is>
      </c>
      <c r="E614" s="5" t="n">
        <v>5012509</v>
      </c>
      <c r="F614" s="5" t="inlineStr">
        <is>
          <t>4018000134</t>
        </is>
      </c>
      <c r="G614" s="5" t="inlineStr">
        <is>
          <t>EUR</t>
        </is>
      </c>
      <c r="H614" s="9" t="n">
        <v>-2885847.66</v>
      </c>
      <c r="I614" s="16" t="n">
        <v>46190</v>
      </c>
      <c r="J614" s="16" t="n">
        <v>46220</v>
      </c>
      <c r="K614" s="5" t="inlineStr">
        <is>
          <t>0402/26</t>
        </is>
      </c>
      <c r="L614" s="5" t="inlineStr">
        <is>
          <t>4018000134</t>
        </is>
      </c>
      <c r="M614" s="5">
        <f>IF(YEAR(I614)&lt;=2020,"Até 2020",TEXT(YEAR(I614),"0"))</f>
        <v/>
      </c>
      <c r="N614" s="5">
        <f>IFERROR(INDEX(DePara!$A:$A,MATCH(TEXT(B614,"0"),DePara!$D:$D,0)),"(sem categoria)")</f>
        <v/>
      </c>
      <c r="O614" s="5">
        <f>IF(J614="","",Parametros!$B$6-J614)</f>
        <v/>
      </c>
      <c r="P614" s="5">
        <f>IF(O614="","",IF(O614&gt;0,1,0))</f>
        <v/>
      </c>
    </row>
    <row r="615">
      <c r="A615" s="5" t="n">
        <v>2122100000</v>
      </c>
      <c r="B615" s="5" t="inlineStr">
        <is>
          <t>IC4420</t>
        </is>
      </c>
      <c r="C615" s="5" t="inlineStr">
        <is>
          <t>NORDEX ENERGY SPAIN S A U</t>
        </is>
      </c>
      <c r="D615" s="5" t="inlineStr">
        <is>
          <t>RE</t>
        </is>
      </c>
      <c r="E615" s="5" t="n">
        <v>5012510</v>
      </c>
      <c r="F615" s="5" t="inlineStr">
        <is>
          <t>4026004078</t>
        </is>
      </c>
      <c r="G615" s="5" t="inlineStr">
        <is>
          <t>EUR</t>
        </is>
      </c>
      <c r="H615" s="9" t="n">
        <v>-583.62</v>
      </c>
      <c r="I615" s="16" t="n">
        <v>46174</v>
      </c>
      <c r="J615" s="16" t="n">
        <v>46204</v>
      </c>
      <c r="K615" s="5" t="inlineStr">
        <is>
          <t>0378/26</t>
        </is>
      </c>
      <c r="L615" s="5" t="inlineStr">
        <is>
          <t>4026004078</t>
        </is>
      </c>
      <c r="M615" s="5">
        <f>IF(YEAR(I615)&lt;=2020,"Até 2020",TEXT(YEAR(I615),"0"))</f>
        <v/>
      </c>
      <c r="N615" s="5">
        <f>IFERROR(INDEX(DePara!$A:$A,MATCH(TEXT(B615,"0"),DePara!$D:$D,0)),"(sem categoria)")</f>
        <v/>
      </c>
      <c r="O615" s="5">
        <f>IF(J615="","",Parametros!$B$6-J615)</f>
        <v/>
      </c>
      <c r="P615" s="5">
        <f>IF(O615="","",IF(O615&gt;0,1,0))</f>
        <v/>
      </c>
    </row>
    <row r="616">
      <c r="A616" s="5" t="n">
        <v>2122100000</v>
      </c>
      <c r="B616" s="5" t="inlineStr">
        <is>
          <t>IC4420</t>
        </is>
      </c>
      <c r="C616" s="5" t="inlineStr">
        <is>
          <t>NORDEX ENERGY SPAIN S A U</t>
        </is>
      </c>
      <c r="D616" s="5" t="inlineStr">
        <is>
          <t>RE</t>
        </is>
      </c>
      <c r="E616" s="5" t="n">
        <v>5012511</v>
      </c>
      <c r="F616" s="5" t="inlineStr">
        <is>
          <t>4026004766</t>
        </is>
      </c>
      <c r="G616" s="5" t="inlineStr">
        <is>
          <t>EUR</t>
        </is>
      </c>
      <c r="H616" s="9" t="n">
        <v>-2450.75</v>
      </c>
      <c r="I616" s="16" t="n">
        <v>46197</v>
      </c>
      <c r="J616" s="16" t="n">
        <v>46227</v>
      </c>
      <c r="K616" s="5" t="inlineStr">
        <is>
          <t>0440/26</t>
        </is>
      </c>
      <c r="L616" s="5" t="inlineStr">
        <is>
          <t>4026004766</t>
        </is>
      </c>
      <c r="M616" s="5">
        <f>IF(YEAR(I616)&lt;=2020,"Até 2020",TEXT(YEAR(I616),"0"))</f>
        <v/>
      </c>
      <c r="N616" s="5">
        <f>IFERROR(INDEX(DePara!$A:$A,MATCH(TEXT(B616,"0"),DePara!$D:$D,0)),"(sem categoria)")</f>
        <v/>
      </c>
      <c r="O616" s="5">
        <f>IF(J616="","",Parametros!$B$6-J616)</f>
        <v/>
      </c>
      <c r="P616" s="5">
        <f>IF(O616="","",IF(O616&gt;0,1,0))</f>
        <v/>
      </c>
    </row>
    <row r="617">
      <c r="A617" s="5" t="n">
        <v>2122100000</v>
      </c>
      <c r="B617" s="5" t="inlineStr">
        <is>
          <t>IC4420</t>
        </is>
      </c>
      <c r="C617" s="5" t="inlineStr">
        <is>
          <t>NORDEX ENERGY SPAIN S A U</t>
        </is>
      </c>
      <c r="D617" s="5" t="inlineStr">
        <is>
          <t>RE</t>
        </is>
      </c>
      <c r="E617" s="5" t="n">
        <v>5012512</v>
      </c>
      <c r="F617" s="5" t="inlineStr">
        <is>
          <t>4026003164</t>
        </is>
      </c>
      <c r="G617" s="5" t="inlineStr">
        <is>
          <t>EUR</t>
        </is>
      </c>
      <c r="H617" s="9" t="n">
        <v>-3255.22</v>
      </c>
      <c r="I617" s="16" t="n">
        <v>46149</v>
      </c>
      <c r="J617" s="16" t="n">
        <v>46179</v>
      </c>
      <c r="K617" s="5" t="inlineStr">
        <is>
          <t>0302/26</t>
        </is>
      </c>
      <c r="L617" s="5" t="inlineStr">
        <is>
          <t>4026003164</t>
        </is>
      </c>
      <c r="M617" s="5">
        <f>IF(YEAR(I617)&lt;=2020,"Até 2020",TEXT(YEAR(I617),"0"))</f>
        <v/>
      </c>
      <c r="N617" s="5">
        <f>IFERROR(INDEX(DePara!$A:$A,MATCH(TEXT(B617,"0"),DePara!$D:$D,0)),"(sem categoria)")</f>
        <v/>
      </c>
      <c r="O617" s="5">
        <f>IF(J617="","",Parametros!$B$6-J617)</f>
        <v/>
      </c>
      <c r="P617" s="5">
        <f>IF(O617="","",IF(O617&gt;0,1,0))</f>
        <v/>
      </c>
    </row>
    <row r="618">
      <c r="A618" s="5" t="n">
        <v>2122100000</v>
      </c>
      <c r="B618" s="5" t="inlineStr">
        <is>
          <t>IC1000</t>
        </is>
      </c>
      <c r="C618" s="5" t="inlineStr">
        <is>
          <t>NORDEX ENERGY SE &amp; CO KG</t>
        </is>
      </c>
      <c r="D618" s="5" t="inlineStr">
        <is>
          <t>RE</t>
        </is>
      </c>
      <c r="E618" s="5" t="n">
        <v>5012541</v>
      </c>
      <c r="F618" s="5" t="inlineStr">
        <is>
          <t>332003</t>
        </is>
      </c>
      <c r="G618" s="5" t="inlineStr">
        <is>
          <t>EUR</t>
        </is>
      </c>
      <c r="H618" s="9" t="n">
        <v>-2496.06</v>
      </c>
      <c r="I618" s="16" t="n">
        <v>45714</v>
      </c>
      <c r="J618" s="16" t="n">
        <v>45744</v>
      </c>
      <c r="K618" s="5" t="inlineStr">
        <is>
          <t>0198/25</t>
        </is>
      </c>
      <c r="L618" s="5" t="inlineStr">
        <is>
          <t>332003</t>
        </is>
      </c>
      <c r="M618" s="5">
        <f>IF(YEAR(I618)&lt;=2020,"Até 2020",TEXT(YEAR(I618),"0"))</f>
        <v/>
      </c>
      <c r="N618" s="5">
        <f>IFERROR(INDEX(DePara!$A:$A,MATCH(TEXT(B618,"0"),DePara!$D:$D,0)),"(sem categoria)")</f>
        <v/>
      </c>
      <c r="O618" s="5">
        <f>IF(J618="","",Parametros!$B$6-J618)</f>
        <v/>
      </c>
      <c r="P618" s="5">
        <f>IF(O618="","",IF(O618&gt;0,1,0))</f>
        <v/>
      </c>
    </row>
    <row r="619">
      <c r="A619" s="5" t="n">
        <v>2122100000</v>
      </c>
      <c r="B619" s="5" t="inlineStr">
        <is>
          <t>IC1000</t>
        </is>
      </c>
      <c r="C619" s="5" t="inlineStr">
        <is>
          <t>NORDEX ENERGY SE &amp; CO KG</t>
        </is>
      </c>
      <c r="D619" s="5" t="inlineStr">
        <is>
          <t>RE</t>
        </is>
      </c>
      <c r="E619" s="5" t="n">
        <v>5012543</v>
      </c>
      <c r="F619" s="5" t="inlineStr">
        <is>
          <t>331926</t>
        </is>
      </c>
      <c r="G619" s="5" t="inlineStr">
        <is>
          <t>EUR</t>
        </is>
      </c>
      <c r="H619" s="9" t="n">
        <v>-1707166.23</v>
      </c>
      <c r="I619" s="16" t="n">
        <v>45719</v>
      </c>
      <c r="J619" s="16" t="n">
        <v>45749</v>
      </c>
      <c r="K619" s="5" t="inlineStr">
        <is>
          <t>0210/25</t>
        </is>
      </c>
      <c r="L619" s="5" t="inlineStr">
        <is>
          <t>331926</t>
        </is>
      </c>
      <c r="M619" s="5">
        <f>IF(YEAR(I619)&lt;=2020,"Até 2020",TEXT(YEAR(I619),"0"))</f>
        <v/>
      </c>
      <c r="N619" s="5">
        <f>IFERROR(INDEX(DePara!$A:$A,MATCH(TEXT(B619,"0"),DePara!$D:$D,0)),"(sem categoria)")</f>
        <v/>
      </c>
      <c r="O619" s="5">
        <f>IF(J619="","",Parametros!$B$6-J619)</f>
        <v/>
      </c>
      <c r="P619" s="5">
        <f>IF(O619="","",IF(O619&gt;0,1,0))</f>
        <v/>
      </c>
    </row>
    <row r="620">
      <c r="A620" s="5" t="n">
        <v>2122100000</v>
      </c>
      <c r="B620" s="5" t="inlineStr">
        <is>
          <t>IC1000</t>
        </is>
      </c>
      <c r="C620" s="5" t="inlineStr">
        <is>
          <t>NORDEX ENERGY SE &amp; CO KG</t>
        </is>
      </c>
      <c r="D620" s="5" t="inlineStr">
        <is>
          <t>RE</t>
        </is>
      </c>
      <c r="E620" s="5" t="n">
        <v>5012557</v>
      </c>
      <c r="F620" s="5" t="inlineStr">
        <is>
          <t>RITM0436071</t>
        </is>
      </c>
      <c r="G620" s="5" t="inlineStr">
        <is>
          <t>EUR</t>
        </is>
      </c>
      <c r="H620" s="9" t="n">
        <v>-1006931.98</v>
      </c>
      <c r="I620" s="16" t="n">
        <v>45674</v>
      </c>
      <c r="J620" s="16" t="n">
        <v>45704</v>
      </c>
      <c r="K620" s="5" t="inlineStr">
        <is>
          <t>0051/25</t>
        </is>
      </c>
      <c r="L620" s="5" t="inlineStr">
        <is>
          <t>RITM0436071</t>
        </is>
      </c>
      <c r="M620" s="5">
        <f>IF(YEAR(I620)&lt;=2020,"Até 2020",TEXT(YEAR(I620),"0"))</f>
        <v/>
      </c>
      <c r="N620" s="5">
        <f>IFERROR(INDEX(DePara!$A:$A,MATCH(TEXT(B620,"0"),DePara!$D:$D,0)),"(sem categoria)")</f>
        <v/>
      </c>
      <c r="O620" s="5">
        <f>IF(J620="","",Parametros!$B$6-J620)</f>
        <v/>
      </c>
      <c r="P620" s="5">
        <f>IF(O620="","",IF(O620&gt;0,1,0))</f>
        <v/>
      </c>
    </row>
    <row r="621">
      <c r="A621" s="5" t="n">
        <v>2122100000</v>
      </c>
      <c r="B621" s="5" t="inlineStr">
        <is>
          <t>IC5000</t>
        </is>
      </c>
      <c r="C621" s="5" t="inlineStr">
        <is>
          <t>NORDEX SE</t>
        </is>
      </c>
      <c r="D621" s="5" t="inlineStr">
        <is>
          <t>KR</t>
        </is>
      </c>
      <c r="E621" s="5" t="n">
        <v>5012577</v>
      </c>
      <c r="F621" s="5" t="inlineStr">
        <is>
          <t>609248</t>
        </is>
      </c>
      <c r="G621" s="5" t="inlineStr">
        <is>
          <t>BRL</t>
        </is>
      </c>
      <c r="H621" s="9" t="n">
        <v>-2441250</v>
      </c>
      <c r="I621" s="16" t="n">
        <v>45736</v>
      </c>
      <c r="J621" s="16" t="n">
        <v>45736</v>
      </c>
      <c r="K621" s="5" t="inlineStr">
        <is>
          <t>Fatura do fornecedor NORDEX SE 609248</t>
        </is>
      </c>
      <c r="L621" s="5" t="n"/>
      <c r="M621" s="5">
        <f>IF(YEAR(I621)&lt;=2020,"Até 2020",TEXT(YEAR(I621),"0"))</f>
        <v/>
      </c>
      <c r="N621" s="5">
        <f>IFERROR(INDEX(DePara!$A:$A,MATCH(TEXT(B621,"0"),DePara!$D:$D,0)),"(sem categoria)")</f>
        <v/>
      </c>
      <c r="O621" s="5">
        <f>IF(J621="","",Parametros!$B$6-J621)</f>
        <v/>
      </c>
      <c r="P621" s="5">
        <f>IF(O621="","",IF(O621&gt;0,1,0))</f>
        <v/>
      </c>
    </row>
    <row r="622">
      <c r="A622" s="5" t="n">
        <v>2122100000</v>
      </c>
      <c r="B622" s="5" t="inlineStr">
        <is>
          <t>IC5000</t>
        </is>
      </c>
      <c r="C622" s="5" t="inlineStr">
        <is>
          <t>NORDEX SE</t>
        </is>
      </c>
      <c r="D622" s="5" t="inlineStr">
        <is>
          <t>KR</t>
        </is>
      </c>
      <c r="E622" s="5" t="n">
        <v>5012619</v>
      </c>
      <c r="F622" s="5" t="inlineStr">
        <is>
          <t>610875</t>
        </is>
      </c>
      <c r="G622" s="5" t="inlineStr">
        <is>
          <t>EUR</t>
        </is>
      </c>
      <c r="H622" s="9" t="n">
        <v>-3260911.3</v>
      </c>
      <c r="I622" s="16" t="n">
        <v>46217</v>
      </c>
      <c r="J622" s="16" t="n">
        <v>46277</v>
      </c>
      <c r="K622" s="5" t="inlineStr">
        <is>
          <t>Fatura do fornecedor NORDEX SE 610875</t>
        </is>
      </c>
      <c r="L622" s="5" t="inlineStr">
        <is>
          <t>08092026</t>
        </is>
      </c>
      <c r="M622" s="5">
        <f>IF(YEAR(I622)&lt;=2020,"Até 2020",TEXT(YEAR(I622),"0"))</f>
        <v/>
      </c>
      <c r="N622" s="5">
        <f>IFERROR(INDEX(DePara!$A:$A,MATCH(TEXT(B622,"0"),DePara!$D:$D,0)),"(sem categoria)")</f>
        <v/>
      </c>
      <c r="O622" s="5">
        <f>IF(J622="","",Parametros!$B$6-J622)</f>
        <v/>
      </c>
      <c r="P622" s="5">
        <f>IF(O622="","",IF(O622&gt;0,1,0))</f>
        <v/>
      </c>
    </row>
    <row r="623">
      <c r="A623" s="5" t="n">
        <v>2122100000</v>
      </c>
      <c r="B623" s="5" t="inlineStr">
        <is>
          <t>IC1000</t>
        </is>
      </c>
      <c r="C623" s="5" t="inlineStr">
        <is>
          <t>NORDEX ENERGY SE &amp; CO KG</t>
        </is>
      </c>
      <c r="D623" s="5" t="inlineStr">
        <is>
          <t>RE</t>
        </is>
      </c>
      <c r="E623" s="5" t="n">
        <v>5012620</v>
      </c>
      <c r="F623" s="5" t="inlineStr">
        <is>
          <t>400649</t>
        </is>
      </c>
      <c r="G623" s="5" t="inlineStr">
        <is>
          <t>EUR</t>
        </is>
      </c>
      <c r="H623" s="9" t="n">
        <v>-2419.16</v>
      </c>
      <c r="I623" s="16" t="n">
        <v>46163</v>
      </c>
      <c r="J623" s="16" t="n">
        <v>46193</v>
      </c>
      <c r="K623" s="5" t="inlineStr">
        <is>
          <t>0383/26</t>
        </is>
      </c>
      <c r="L623" s="5" t="inlineStr">
        <is>
          <t>400649</t>
        </is>
      </c>
      <c r="M623" s="5">
        <f>IF(YEAR(I623)&lt;=2020,"Até 2020",TEXT(YEAR(I623),"0"))</f>
        <v/>
      </c>
      <c r="N623" s="5">
        <f>IFERROR(INDEX(DePara!$A:$A,MATCH(TEXT(B623,"0"),DePara!$D:$D,0)),"(sem categoria)")</f>
        <v/>
      </c>
      <c r="O623" s="5">
        <f>IF(J623="","",Parametros!$B$6-J623)</f>
        <v/>
      </c>
      <c r="P623" s="5">
        <f>IF(O623="","",IF(O623&gt;0,1,0))</f>
        <v/>
      </c>
    </row>
    <row r="624">
      <c r="A624" s="5" t="n">
        <v>2122100000</v>
      </c>
      <c r="B624" s="5" t="inlineStr">
        <is>
          <t>IC1000</t>
        </is>
      </c>
      <c r="C624" s="5" t="inlineStr">
        <is>
          <t>NORDEX ENERGY SE &amp; CO KG</t>
        </is>
      </c>
      <c r="D624" s="5" t="inlineStr">
        <is>
          <t>RE</t>
        </is>
      </c>
      <c r="E624" s="5" t="n">
        <v>5012653</v>
      </c>
      <c r="F624" s="5" t="inlineStr">
        <is>
          <t>404309</t>
        </is>
      </c>
      <c r="G624" s="5" t="inlineStr">
        <is>
          <t>EUR</t>
        </is>
      </c>
      <c r="H624" s="9" t="n">
        <v>-26028.23</v>
      </c>
      <c r="I624" s="16" t="n">
        <v>46188</v>
      </c>
      <c r="J624" s="16" t="n">
        <v>46218</v>
      </c>
      <c r="K624" s="5" t="inlineStr">
        <is>
          <t>0415/26</t>
        </is>
      </c>
      <c r="L624" s="5" t="inlineStr">
        <is>
          <t>404309</t>
        </is>
      </c>
      <c r="M624" s="5">
        <f>IF(YEAR(I624)&lt;=2020,"Até 2020",TEXT(YEAR(I624),"0"))</f>
        <v/>
      </c>
      <c r="N624" s="5">
        <f>IFERROR(INDEX(DePara!$A:$A,MATCH(TEXT(B624,"0"),DePara!$D:$D,0)),"(sem categoria)")</f>
        <v/>
      </c>
      <c r="O624" s="5">
        <f>IF(J624="","",Parametros!$B$6-J624)</f>
        <v/>
      </c>
      <c r="P624" s="5">
        <f>IF(O624="","",IF(O624&gt;0,1,0))</f>
        <v/>
      </c>
    </row>
    <row r="625">
      <c r="A625" s="5" t="n">
        <v>2122100000</v>
      </c>
      <c r="B625" s="5" t="inlineStr">
        <is>
          <t>IC4420</t>
        </is>
      </c>
      <c r="C625" s="5" t="inlineStr">
        <is>
          <t>NORDEX ENERGY SPAIN S A U</t>
        </is>
      </c>
      <c r="D625" s="5" t="inlineStr">
        <is>
          <t>RE</t>
        </is>
      </c>
      <c r="E625" s="5" t="n">
        <v>5012660</v>
      </c>
      <c r="F625" s="5" t="inlineStr">
        <is>
          <t>4026004740</t>
        </is>
      </c>
      <c r="G625" s="5" t="inlineStr">
        <is>
          <t>EUR</t>
        </is>
      </c>
      <c r="H625" s="9" t="n">
        <v>-75819.07000000001</v>
      </c>
      <c r="I625" s="16" t="n">
        <v>46196</v>
      </c>
      <c r="J625" s="16" t="n">
        <v>46226</v>
      </c>
      <c r="K625" s="5" t="inlineStr">
        <is>
          <t>0437/26</t>
        </is>
      </c>
      <c r="L625" s="5" t="inlineStr">
        <is>
          <t>4026004740</t>
        </is>
      </c>
      <c r="M625" s="5">
        <f>IF(YEAR(I625)&lt;=2020,"Até 2020",TEXT(YEAR(I625),"0"))</f>
        <v/>
      </c>
      <c r="N625" s="5">
        <f>IFERROR(INDEX(DePara!$A:$A,MATCH(TEXT(B625,"0"),DePara!$D:$D,0)),"(sem categoria)")</f>
        <v/>
      </c>
      <c r="O625" s="5">
        <f>IF(J625="","",Parametros!$B$6-J625)</f>
        <v/>
      </c>
      <c r="P625" s="5">
        <f>IF(O625="","",IF(O625&gt;0,1,0))</f>
        <v/>
      </c>
    </row>
    <row r="626">
      <c r="A626" s="5" t="n">
        <v>2122100000</v>
      </c>
      <c r="B626" s="5" t="inlineStr">
        <is>
          <t>IC5000</t>
        </is>
      </c>
      <c r="C626" s="5" t="inlineStr">
        <is>
          <t>NORDEX SE</t>
        </is>
      </c>
      <c r="D626" s="5" t="inlineStr">
        <is>
          <t>KR</t>
        </is>
      </c>
      <c r="E626" s="5" t="n">
        <v>5012678</v>
      </c>
      <c r="F626" s="5" t="inlineStr">
        <is>
          <t>610914</t>
        </is>
      </c>
      <c r="G626" s="5" t="inlineStr">
        <is>
          <t>EUR</t>
        </is>
      </c>
      <c r="H626" s="9" t="n">
        <v>-19236321.26</v>
      </c>
      <c r="I626" s="16" t="n">
        <v>46217</v>
      </c>
      <c r="J626" s="16" t="n">
        <v>46277</v>
      </c>
      <c r="K626" s="5" t="inlineStr">
        <is>
          <t>Fatura do fornecedor NORDEX SE 610914</t>
        </is>
      </c>
      <c r="L626" s="5" t="inlineStr">
        <is>
          <t>08092026</t>
        </is>
      </c>
      <c r="M626" s="5">
        <f>IF(YEAR(I626)&lt;=2020,"Até 2020",TEXT(YEAR(I626),"0"))</f>
        <v/>
      </c>
      <c r="N626" s="5">
        <f>IFERROR(INDEX(DePara!$A:$A,MATCH(TEXT(B626,"0"),DePara!$D:$D,0)),"(sem categoria)")</f>
        <v/>
      </c>
      <c r="O626" s="5">
        <f>IF(J626="","",Parametros!$B$6-J626)</f>
        <v/>
      </c>
      <c r="P626" s="5">
        <f>IF(O626="","",IF(O626&gt;0,1,0))</f>
        <v/>
      </c>
    </row>
    <row r="627">
      <c r="A627" s="5" t="n">
        <v>2122100000</v>
      </c>
      <c r="B627" s="5" t="inlineStr">
        <is>
          <t>IC4420</t>
        </is>
      </c>
      <c r="C627" s="5" t="inlineStr">
        <is>
          <t>NORDEX ENERGY SPAIN S A U</t>
        </is>
      </c>
      <c r="D627" s="5" t="inlineStr">
        <is>
          <t>RE</t>
        </is>
      </c>
      <c r="E627" s="5" t="n">
        <v>5012690</v>
      </c>
      <c r="F627" s="5" t="inlineStr">
        <is>
          <t>4026004638</t>
        </is>
      </c>
      <c r="G627" s="5" t="inlineStr">
        <is>
          <t>EUR</t>
        </is>
      </c>
      <c r="H627" s="9" t="n">
        <v>-10372.45</v>
      </c>
      <c r="I627" s="16" t="n">
        <v>46191</v>
      </c>
      <c r="J627" s="16" t="n">
        <v>46221</v>
      </c>
      <c r="K627" s="5" t="inlineStr">
        <is>
          <t>0416/26</t>
        </is>
      </c>
      <c r="L627" s="5" t="inlineStr">
        <is>
          <t>4026004638</t>
        </is>
      </c>
      <c r="M627" s="5">
        <f>IF(YEAR(I627)&lt;=2020,"Até 2020",TEXT(YEAR(I627),"0"))</f>
        <v/>
      </c>
      <c r="N627" s="5">
        <f>IFERROR(INDEX(DePara!$A:$A,MATCH(TEXT(B627,"0"),DePara!$D:$D,0)),"(sem categoria)")</f>
        <v/>
      </c>
      <c r="O627" s="5">
        <f>IF(J627="","",Parametros!$B$6-J627)</f>
        <v/>
      </c>
      <c r="P627" s="5">
        <f>IF(O627="","",IF(O627&gt;0,1,0))</f>
        <v/>
      </c>
    </row>
    <row r="628">
      <c r="A628" s="5" t="n">
        <v>2122100000</v>
      </c>
      <c r="B628" s="5" t="inlineStr">
        <is>
          <t>IC1000</t>
        </is>
      </c>
      <c r="C628" s="5" t="inlineStr">
        <is>
          <t>NORDEX ENERGY SE &amp; CO KG</t>
        </is>
      </c>
      <c r="D628" s="5" t="inlineStr">
        <is>
          <t>RE</t>
        </is>
      </c>
      <c r="E628" s="5" t="n">
        <v>5012742</v>
      </c>
      <c r="F628" s="5" t="inlineStr">
        <is>
          <t>333652</t>
        </is>
      </c>
      <c r="G628" s="5" t="inlineStr">
        <is>
          <t>EUR</t>
        </is>
      </c>
      <c r="H628" s="9" t="n">
        <v>-1109.82</v>
      </c>
      <c r="I628" s="16" t="n">
        <v>45734</v>
      </c>
      <c r="J628" s="16" t="n">
        <v>45764</v>
      </c>
      <c r="K628" s="5" t="inlineStr">
        <is>
          <t>0257/25</t>
        </is>
      </c>
      <c r="L628" s="5" t="inlineStr">
        <is>
          <t>333652</t>
        </is>
      </c>
      <c r="M628" s="5">
        <f>IF(YEAR(I628)&lt;=2020,"Até 2020",TEXT(YEAR(I628),"0"))</f>
        <v/>
      </c>
      <c r="N628" s="5">
        <f>IFERROR(INDEX(DePara!$A:$A,MATCH(TEXT(B628,"0"),DePara!$D:$D,0)),"(sem categoria)")</f>
        <v/>
      </c>
      <c r="O628" s="5">
        <f>IF(J628="","",Parametros!$B$6-J628)</f>
        <v/>
      </c>
      <c r="P628" s="5">
        <f>IF(O628="","",IF(O628&gt;0,1,0))</f>
        <v/>
      </c>
    </row>
    <row r="629">
      <c r="A629" s="5" t="n">
        <v>2122100000</v>
      </c>
      <c r="B629" s="5" t="inlineStr">
        <is>
          <t>IC1000</t>
        </is>
      </c>
      <c r="C629" s="5" t="inlineStr">
        <is>
          <t>NORDEX ENERGY SE &amp; CO KG</t>
        </is>
      </c>
      <c r="D629" s="5" t="inlineStr">
        <is>
          <t>RE</t>
        </is>
      </c>
      <c r="E629" s="5" t="n">
        <v>5012743</v>
      </c>
      <c r="F629" s="5" t="inlineStr">
        <is>
          <t>308274</t>
        </is>
      </c>
      <c r="G629" s="5" t="inlineStr">
        <is>
          <t>EUR</t>
        </is>
      </c>
      <c r="H629" s="9" t="n">
        <v>-103676.65</v>
      </c>
      <c r="I629" s="16" t="n">
        <v>45546</v>
      </c>
      <c r="J629" s="16" t="n">
        <v>45576</v>
      </c>
      <c r="K629" s="5" t="inlineStr">
        <is>
          <t>0218/25</t>
        </is>
      </c>
      <c r="L629" s="5" t="inlineStr">
        <is>
          <t>308274</t>
        </is>
      </c>
      <c r="M629" s="5">
        <f>IF(YEAR(I629)&lt;=2020,"Até 2020",TEXT(YEAR(I629),"0"))</f>
        <v/>
      </c>
      <c r="N629" s="5">
        <f>IFERROR(INDEX(DePara!$A:$A,MATCH(TEXT(B629,"0"),DePara!$D:$D,0)),"(sem categoria)")</f>
        <v/>
      </c>
      <c r="O629" s="5">
        <f>IF(J629="","",Parametros!$B$6-J629)</f>
        <v/>
      </c>
      <c r="P629" s="5">
        <f>IF(O629="","",IF(O629&gt;0,1,0))</f>
        <v/>
      </c>
    </row>
    <row r="630">
      <c r="A630" s="5" t="n">
        <v>2122100000</v>
      </c>
      <c r="B630" s="5" t="inlineStr">
        <is>
          <t>IC4420</t>
        </is>
      </c>
      <c r="C630" s="5" t="inlineStr">
        <is>
          <t>NORDEX ENERGY SPAIN S A U</t>
        </is>
      </c>
      <c r="D630" s="5" t="inlineStr">
        <is>
          <t>RE</t>
        </is>
      </c>
      <c r="E630" s="5" t="n">
        <v>5012872</v>
      </c>
      <c r="F630" s="5" t="inlineStr">
        <is>
          <t>4026004460</t>
        </is>
      </c>
      <c r="G630" s="5" t="inlineStr">
        <is>
          <t>EUR</t>
        </is>
      </c>
      <c r="H630" s="9" t="n">
        <v>-30846.33</v>
      </c>
      <c r="I630" s="16" t="n">
        <v>46185</v>
      </c>
      <c r="J630" s="16" t="n">
        <v>46215</v>
      </c>
      <c r="K630" s="5" t="inlineStr">
        <is>
          <t>0400/26</t>
        </is>
      </c>
      <c r="L630" s="5" t="inlineStr">
        <is>
          <t>4026004460</t>
        </is>
      </c>
      <c r="M630" s="5">
        <f>IF(YEAR(I630)&lt;=2020,"Até 2020",TEXT(YEAR(I630),"0"))</f>
        <v/>
      </c>
      <c r="N630" s="5">
        <f>IFERROR(INDEX(DePara!$A:$A,MATCH(TEXT(B630,"0"),DePara!$D:$D,0)),"(sem categoria)")</f>
        <v/>
      </c>
      <c r="O630" s="5">
        <f>IF(J630="","",Parametros!$B$6-J630)</f>
        <v/>
      </c>
      <c r="P630" s="5">
        <f>IF(O630="","",IF(O630&gt;0,1,0))</f>
        <v/>
      </c>
    </row>
    <row r="631">
      <c r="A631" s="5" t="n">
        <v>2122100000</v>
      </c>
      <c r="B631" s="5" t="inlineStr">
        <is>
          <t>IC4420</t>
        </is>
      </c>
      <c r="C631" s="5" t="inlineStr">
        <is>
          <t>NORDEX ENERGY SPAIN S A U</t>
        </is>
      </c>
      <c r="D631" s="5" t="inlineStr">
        <is>
          <t>RE</t>
        </is>
      </c>
      <c r="E631" s="5" t="n">
        <v>5012873</v>
      </c>
      <c r="F631" s="5" t="inlineStr">
        <is>
          <t>4026004554</t>
        </is>
      </c>
      <c r="G631" s="5" t="inlineStr">
        <is>
          <t>EUR</t>
        </is>
      </c>
      <c r="H631" s="9" t="n">
        <v>-19551.09</v>
      </c>
      <c r="I631" s="16" t="n">
        <v>46188</v>
      </c>
      <c r="J631" s="16" t="n">
        <v>46218</v>
      </c>
      <c r="K631" s="5" t="inlineStr">
        <is>
          <t>0405/26</t>
        </is>
      </c>
      <c r="L631" s="5" t="inlineStr">
        <is>
          <t>4026004554</t>
        </is>
      </c>
      <c r="M631" s="5">
        <f>IF(YEAR(I631)&lt;=2020,"Até 2020",TEXT(YEAR(I631),"0"))</f>
        <v/>
      </c>
      <c r="N631" s="5">
        <f>IFERROR(INDEX(DePara!$A:$A,MATCH(TEXT(B631,"0"),DePara!$D:$D,0)),"(sem categoria)")</f>
        <v/>
      </c>
      <c r="O631" s="5">
        <f>IF(J631="","",Parametros!$B$6-J631)</f>
        <v/>
      </c>
      <c r="P631" s="5">
        <f>IF(O631="","",IF(O631&gt;0,1,0))</f>
        <v/>
      </c>
    </row>
    <row r="632">
      <c r="A632" s="5" t="n">
        <v>2122100000</v>
      </c>
      <c r="B632" s="5" t="inlineStr">
        <is>
          <t>IC4420</t>
        </is>
      </c>
      <c r="C632" s="5" t="inlineStr">
        <is>
          <t>NORDEX ENERGY SPAIN S A U</t>
        </is>
      </c>
      <c r="D632" s="5" t="inlineStr">
        <is>
          <t>RE</t>
        </is>
      </c>
      <c r="E632" s="5" t="n">
        <v>5012883</v>
      </c>
      <c r="F632" s="5" t="inlineStr">
        <is>
          <t>4026004555</t>
        </is>
      </c>
      <c r="G632" s="5" t="inlineStr">
        <is>
          <t>EUR</t>
        </is>
      </c>
      <c r="H632" s="9" t="n">
        <v>-1738.15</v>
      </c>
      <c r="I632" s="16" t="n">
        <v>46188</v>
      </c>
      <c r="J632" s="16" t="n">
        <v>46218</v>
      </c>
      <c r="K632" s="5" t="inlineStr">
        <is>
          <t>0405/26</t>
        </is>
      </c>
      <c r="L632" s="5" t="inlineStr">
        <is>
          <t>4026004555</t>
        </is>
      </c>
      <c r="M632" s="5">
        <f>IF(YEAR(I632)&lt;=2020,"Até 2020",TEXT(YEAR(I632),"0"))</f>
        <v/>
      </c>
      <c r="N632" s="5">
        <f>IFERROR(INDEX(DePara!$A:$A,MATCH(TEXT(B632,"0"),DePara!$D:$D,0)),"(sem categoria)")</f>
        <v/>
      </c>
      <c r="O632" s="5">
        <f>IF(J632="","",Parametros!$B$6-J632)</f>
        <v/>
      </c>
      <c r="P632" s="5">
        <f>IF(O632="","",IF(O632&gt;0,1,0))</f>
        <v/>
      </c>
    </row>
    <row r="633">
      <c r="A633" s="5" t="n">
        <v>2122100000</v>
      </c>
      <c r="B633" s="5" t="inlineStr">
        <is>
          <t>IC4420</t>
        </is>
      </c>
      <c r="C633" s="5" t="inlineStr">
        <is>
          <t>NORDEX ENERGY SPAIN S A U</t>
        </is>
      </c>
      <c r="D633" s="5" t="inlineStr">
        <is>
          <t>RE</t>
        </is>
      </c>
      <c r="E633" s="5" t="n">
        <v>5012897</v>
      </c>
      <c r="F633" s="5" t="inlineStr">
        <is>
          <t>4026003198</t>
        </is>
      </c>
      <c r="G633" s="5" t="inlineStr">
        <is>
          <t>EUR</t>
        </is>
      </c>
      <c r="H633" s="9" t="n">
        <v>-331859.71</v>
      </c>
      <c r="I633" s="16" t="n">
        <v>46149</v>
      </c>
      <c r="J633" s="16" t="n">
        <v>46179</v>
      </c>
      <c r="K633" s="5" t="inlineStr">
        <is>
          <t>0310/26</t>
        </is>
      </c>
      <c r="L633" s="5" t="inlineStr">
        <is>
          <t>4026003198</t>
        </is>
      </c>
      <c r="M633" s="5">
        <f>IF(YEAR(I633)&lt;=2020,"Até 2020",TEXT(YEAR(I633),"0"))</f>
        <v/>
      </c>
      <c r="N633" s="5">
        <f>IFERROR(INDEX(DePara!$A:$A,MATCH(TEXT(B633,"0"),DePara!$D:$D,0)),"(sem categoria)")</f>
        <v/>
      </c>
      <c r="O633" s="5">
        <f>IF(J633="","",Parametros!$B$6-J633)</f>
        <v/>
      </c>
      <c r="P633" s="5">
        <f>IF(O633="","",IF(O633&gt;0,1,0))</f>
        <v/>
      </c>
    </row>
    <row r="634">
      <c r="A634" s="5" t="n">
        <v>2122100000</v>
      </c>
      <c r="B634" s="5" t="inlineStr">
        <is>
          <t>IC4420</t>
        </is>
      </c>
      <c r="C634" s="5" t="inlineStr">
        <is>
          <t>NORDEX ENERGY SPAIN S A U</t>
        </is>
      </c>
      <c r="D634" s="5" t="inlineStr">
        <is>
          <t>RE</t>
        </is>
      </c>
      <c r="E634" s="5" t="n">
        <v>5012905</v>
      </c>
      <c r="F634" s="5" t="inlineStr">
        <is>
          <t>4018000138</t>
        </is>
      </c>
      <c r="G634" s="5" t="inlineStr">
        <is>
          <t>EUR</t>
        </is>
      </c>
      <c r="H634" s="9" t="n">
        <v>-62799.91</v>
      </c>
      <c r="I634" s="16" t="n">
        <v>46203</v>
      </c>
      <c r="J634" s="16" t="n">
        <v>46233</v>
      </c>
      <c r="K634" s="5" t="inlineStr">
        <is>
          <t>0421/26</t>
        </is>
      </c>
      <c r="L634" s="5" t="inlineStr">
        <is>
          <t>4018000138</t>
        </is>
      </c>
      <c r="M634" s="5">
        <f>IF(YEAR(I634)&lt;=2020,"Até 2020",TEXT(YEAR(I634),"0"))</f>
        <v/>
      </c>
      <c r="N634" s="5">
        <f>IFERROR(INDEX(DePara!$A:$A,MATCH(TEXT(B634,"0"),DePara!$D:$D,0)),"(sem categoria)")</f>
        <v/>
      </c>
      <c r="O634" s="5">
        <f>IF(J634="","",Parametros!$B$6-J634)</f>
        <v/>
      </c>
      <c r="P634" s="5">
        <f>IF(O634="","",IF(O634&gt;0,1,0))</f>
        <v/>
      </c>
    </row>
    <row r="635">
      <c r="A635" s="5" t="n">
        <v>2122100000</v>
      </c>
      <c r="B635" s="5" t="inlineStr">
        <is>
          <t>IC4420</t>
        </is>
      </c>
      <c r="C635" s="5" t="inlineStr">
        <is>
          <t>NORDEX ENERGY SPAIN S A U</t>
        </is>
      </c>
      <c r="D635" s="5" t="inlineStr">
        <is>
          <t>RE</t>
        </is>
      </c>
      <c r="E635" s="5" t="n">
        <v>5012908</v>
      </c>
      <c r="F635" s="5" t="inlineStr">
        <is>
          <t>4026004266</t>
        </is>
      </c>
      <c r="G635" s="5" t="inlineStr">
        <is>
          <t>EUR</t>
        </is>
      </c>
      <c r="H635" s="9" t="n">
        <v>-128.53</v>
      </c>
      <c r="I635" s="16" t="n">
        <v>46181</v>
      </c>
      <c r="J635" s="16" t="n">
        <v>46211</v>
      </c>
      <c r="K635" s="5" t="inlineStr">
        <is>
          <t>0386/26</t>
        </is>
      </c>
      <c r="L635" s="5" t="inlineStr">
        <is>
          <t>4026004266</t>
        </is>
      </c>
      <c r="M635" s="5">
        <f>IF(YEAR(I635)&lt;=2020,"Até 2020",TEXT(YEAR(I635),"0"))</f>
        <v/>
      </c>
      <c r="N635" s="5">
        <f>IFERROR(INDEX(DePara!$A:$A,MATCH(TEXT(B635,"0"),DePara!$D:$D,0)),"(sem categoria)")</f>
        <v/>
      </c>
      <c r="O635" s="5">
        <f>IF(J635="","",Parametros!$B$6-J635)</f>
        <v/>
      </c>
      <c r="P635" s="5">
        <f>IF(O635="","",IF(O635&gt;0,1,0))</f>
        <v/>
      </c>
    </row>
    <row r="636">
      <c r="A636" s="5" t="n">
        <v>2122100000</v>
      </c>
      <c r="B636" s="5" t="inlineStr">
        <is>
          <t>IC4420</t>
        </is>
      </c>
      <c r="C636" s="5" t="inlineStr">
        <is>
          <t>NORDEX ENERGY SPAIN S A U</t>
        </is>
      </c>
      <c r="D636" s="5" t="inlineStr">
        <is>
          <t>RE</t>
        </is>
      </c>
      <c r="E636" s="5" t="n">
        <v>5012909</v>
      </c>
      <c r="F636" s="5" t="inlineStr">
        <is>
          <t>4026004636</t>
        </is>
      </c>
      <c r="G636" s="5" t="inlineStr">
        <is>
          <t>EUR</t>
        </is>
      </c>
      <c r="H636" s="9" t="n">
        <v>-6381.57</v>
      </c>
      <c r="I636" s="16" t="n">
        <v>46191</v>
      </c>
      <c r="J636" s="16" t="n">
        <v>46221</v>
      </c>
      <c r="K636" s="5" t="inlineStr">
        <is>
          <t>0422/26</t>
        </is>
      </c>
      <c r="L636" s="5" t="inlineStr">
        <is>
          <t>4026004636</t>
        </is>
      </c>
      <c r="M636" s="5">
        <f>IF(YEAR(I636)&lt;=2020,"Até 2020",TEXT(YEAR(I636),"0"))</f>
        <v/>
      </c>
      <c r="N636" s="5">
        <f>IFERROR(INDEX(DePara!$A:$A,MATCH(TEXT(B636,"0"),DePara!$D:$D,0)),"(sem categoria)")</f>
        <v/>
      </c>
      <c r="O636" s="5">
        <f>IF(J636="","",Parametros!$B$6-J636)</f>
        <v/>
      </c>
      <c r="P636" s="5">
        <f>IF(O636="","",IF(O636&gt;0,1,0))</f>
        <v/>
      </c>
    </row>
    <row r="637">
      <c r="A637" s="5" t="n">
        <v>2122100000</v>
      </c>
      <c r="B637" s="5" t="inlineStr">
        <is>
          <t>IC4420</t>
        </is>
      </c>
      <c r="C637" s="5" t="inlineStr">
        <is>
          <t>NORDEX ENERGY SPAIN S A U</t>
        </is>
      </c>
      <c r="D637" s="5" t="inlineStr">
        <is>
          <t>RE</t>
        </is>
      </c>
      <c r="E637" s="5" t="n">
        <v>5012916</v>
      </c>
      <c r="F637" s="5" t="inlineStr">
        <is>
          <t>4026002717</t>
        </is>
      </c>
      <c r="G637" s="5" t="inlineStr">
        <is>
          <t>EUR</t>
        </is>
      </c>
      <c r="H637" s="9" t="n">
        <v>-78705.94</v>
      </c>
      <c r="I637" s="16" t="n">
        <v>46132</v>
      </c>
      <c r="J637" s="16" t="n">
        <v>46162</v>
      </c>
      <c r="K637" s="5" t="inlineStr">
        <is>
          <t>0251/26</t>
        </is>
      </c>
      <c r="L637" s="5" t="inlineStr">
        <is>
          <t>4026002717</t>
        </is>
      </c>
      <c r="M637" s="5">
        <f>IF(YEAR(I637)&lt;=2020,"Até 2020",TEXT(YEAR(I637),"0"))</f>
        <v/>
      </c>
      <c r="N637" s="5">
        <f>IFERROR(INDEX(DePara!$A:$A,MATCH(TEXT(B637,"0"),DePara!$D:$D,0)),"(sem categoria)")</f>
        <v/>
      </c>
      <c r="O637" s="5">
        <f>IF(J637="","",Parametros!$B$6-J637)</f>
        <v/>
      </c>
      <c r="P637" s="5">
        <f>IF(O637="","",IF(O637&gt;0,1,0))</f>
        <v/>
      </c>
    </row>
    <row r="638">
      <c r="A638" s="5" t="n">
        <v>2122100000</v>
      </c>
      <c r="B638" s="5" t="inlineStr">
        <is>
          <t>IC1000</t>
        </is>
      </c>
      <c r="C638" s="5" t="inlineStr">
        <is>
          <t>NORDEX ENERGY SE &amp; CO KG</t>
        </is>
      </c>
      <c r="D638" s="5" t="inlineStr">
        <is>
          <t>RE</t>
        </is>
      </c>
      <c r="E638" s="5" t="n">
        <v>5012941</v>
      </c>
      <c r="F638" s="5" t="inlineStr">
        <is>
          <t>RITM0436731-2</t>
        </is>
      </c>
      <c r="G638" s="5" t="inlineStr">
        <is>
          <t>EUR</t>
        </is>
      </c>
      <c r="H638" s="9" t="n">
        <v>-1238.35</v>
      </c>
      <c r="I638" s="16" t="n">
        <v>45631</v>
      </c>
      <c r="J638" s="16" t="n">
        <v>45661</v>
      </c>
      <c r="K638" s="5" t="inlineStr">
        <is>
          <t>0025/25</t>
        </is>
      </c>
      <c r="L638" s="5" t="inlineStr">
        <is>
          <t>RITM0436731-2</t>
        </is>
      </c>
      <c r="M638" s="5">
        <f>IF(YEAR(I638)&lt;=2020,"Até 2020",TEXT(YEAR(I638),"0"))</f>
        <v/>
      </c>
      <c r="N638" s="5">
        <f>IFERROR(INDEX(DePara!$A:$A,MATCH(TEXT(B638,"0"),DePara!$D:$D,0)),"(sem categoria)")</f>
        <v/>
      </c>
      <c r="O638" s="5">
        <f>IF(J638="","",Parametros!$B$6-J638)</f>
        <v/>
      </c>
      <c r="P638" s="5">
        <f>IF(O638="","",IF(O638&gt;0,1,0))</f>
        <v/>
      </c>
    </row>
    <row r="639">
      <c r="A639" s="5" t="n">
        <v>2122100000</v>
      </c>
      <c r="B639" s="5" t="inlineStr">
        <is>
          <t>IC4420</t>
        </is>
      </c>
      <c r="C639" s="5" t="inlineStr">
        <is>
          <t>NORDEX ENERGY SPAIN S A U</t>
        </is>
      </c>
      <c r="D639" s="5" t="inlineStr">
        <is>
          <t>RE</t>
        </is>
      </c>
      <c r="E639" s="5" t="n">
        <v>5012949</v>
      </c>
      <c r="F639" s="5" t="inlineStr">
        <is>
          <t>4026004558</t>
        </is>
      </c>
      <c r="G639" s="5" t="inlineStr">
        <is>
          <t>EUR</t>
        </is>
      </c>
      <c r="H639" s="9" t="n">
        <v>-6.27</v>
      </c>
      <c r="I639" s="16" t="n">
        <v>46188</v>
      </c>
      <c r="J639" s="16" t="n">
        <v>46218</v>
      </c>
      <c r="K639" s="5" t="inlineStr">
        <is>
          <t>0407/26</t>
        </is>
      </c>
      <c r="L639" s="5" t="inlineStr">
        <is>
          <t>4026004558</t>
        </is>
      </c>
      <c r="M639" s="5">
        <f>IF(YEAR(I639)&lt;=2020,"Até 2020",TEXT(YEAR(I639),"0"))</f>
        <v/>
      </c>
      <c r="N639" s="5">
        <f>IFERROR(INDEX(DePara!$A:$A,MATCH(TEXT(B639,"0"),DePara!$D:$D,0)),"(sem categoria)")</f>
        <v/>
      </c>
      <c r="O639" s="5">
        <f>IF(J639="","",Parametros!$B$6-J639)</f>
        <v/>
      </c>
      <c r="P639" s="5">
        <f>IF(O639="","",IF(O639&gt;0,1,0))</f>
        <v/>
      </c>
    </row>
    <row r="640">
      <c r="A640" s="5" t="n">
        <v>2122100000</v>
      </c>
      <c r="B640" s="5" t="inlineStr">
        <is>
          <t>IC1000</t>
        </is>
      </c>
      <c r="C640" s="5" t="inlineStr">
        <is>
          <t>NORDEX ENERGY SE &amp; CO KG</t>
        </is>
      </c>
      <c r="D640" s="5" t="inlineStr">
        <is>
          <t>RE</t>
        </is>
      </c>
      <c r="E640" s="5" t="n">
        <v>5012950</v>
      </c>
      <c r="F640" s="5" t="inlineStr">
        <is>
          <t>405853</t>
        </is>
      </c>
      <c r="G640" s="5" t="inlineStr">
        <is>
          <t>EUR</t>
        </is>
      </c>
      <c r="H640" s="9" t="n">
        <v>-13167.68</v>
      </c>
      <c r="I640" s="16" t="n">
        <v>46196</v>
      </c>
      <c r="J640" s="16" t="n">
        <v>46226</v>
      </c>
      <c r="K640" s="5" t="inlineStr">
        <is>
          <t>0438/26</t>
        </is>
      </c>
      <c r="L640" s="5" t="inlineStr">
        <is>
          <t>405853</t>
        </is>
      </c>
      <c r="M640" s="5">
        <f>IF(YEAR(I640)&lt;=2020,"Até 2020",TEXT(YEAR(I640),"0"))</f>
        <v/>
      </c>
      <c r="N640" s="5">
        <f>IFERROR(INDEX(DePara!$A:$A,MATCH(TEXT(B640,"0"),DePara!$D:$D,0)),"(sem categoria)")</f>
        <v/>
      </c>
      <c r="O640" s="5">
        <f>IF(J640="","",Parametros!$B$6-J640)</f>
        <v/>
      </c>
      <c r="P640" s="5">
        <f>IF(O640="","",IF(O640&gt;0,1,0))</f>
        <v/>
      </c>
    </row>
    <row r="641">
      <c r="A641" s="5" t="n">
        <v>2122100000</v>
      </c>
      <c r="B641" s="5" t="inlineStr">
        <is>
          <t>IC4420</t>
        </is>
      </c>
      <c r="C641" s="5" t="inlineStr">
        <is>
          <t>NORDEX ENERGY SPAIN S A U</t>
        </is>
      </c>
      <c r="D641" s="5" t="inlineStr">
        <is>
          <t>RE</t>
        </is>
      </c>
      <c r="E641" s="5" t="n">
        <v>5012951</v>
      </c>
      <c r="F641" s="5" t="inlineStr">
        <is>
          <t>4026004765</t>
        </is>
      </c>
      <c r="G641" s="5" t="inlineStr">
        <is>
          <t>EUR</t>
        </is>
      </c>
      <c r="H641" s="9" t="n">
        <v>-79249.67999999999</v>
      </c>
      <c r="I641" s="16" t="n">
        <v>46197</v>
      </c>
      <c r="J641" s="16" t="n">
        <v>46227</v>
      </c>
      <c r="K641" s="5" t="inlineStr">
        <is>
          <t>0439/26</t>
        </is>
      </c>
      <c r="L641" s="5" t="inlineStr">
        <is>
          <t>4026004765</t>
        </is>
      </c>
      <c r="M641" s="5">
        <f>IF(YEAR(I641)&lt;=2020,"Até 2020",TEXT(YEAR(I641),"0"))</f>
        <v/>
      </c>
      <c r="N641" s="5">
        <f>IFERROR(INDEX(DePara!$A:$A,MATCH(TEXT(B641,"0"),DePara!$D:$D,0)),"(sem categoria)")</f>
        <v/>
      </c>
      <c r="O641" s="5">
        <f>IF(J641="","",Parametros!$B$6-J641)</f>
        <v/>
      </c>
      <c r="P641" s="5">
        <f>IF(O641="","",IF(O641&gt;0,1,0))</f>
        <v/>
      </c>
    </row>
    <row r="642">
      <c r="A642" s="5" t="n">
        <v>2122100000</v>
      </c>
      <c r="B642" s="5" t="inlineStr">
        <is>
          <t>IC4420</t>
        </is>
      </c>
      <c r="C642" s="5" t="inlineStr">
        <is>
          <t>NORDEX ENERGY SPAIN S A U</t>
        </is>
      </c>
      <c r="D642" s="5" t="inlineStr">
        <is>
          <t>RE</t>
        </is>
      </c>
      <c r="E642" s="5" t="n">
        <v>5012952</v>
      </c>
      <c r="F642" s="5" t="inlineStr">
        <is>
          <t>4026004559</t>
        </is>
      </c>
      <c r="G642" s="5" t="inlineStr">
        <is>
          <t>EUR</t>
        </is>
      </c>
      <c r="H642" s="9" t="n">
        <v>-18385.59</v>
      </c>
      <c r="I642" s="16" t="n">
        <v>46188</v>
      </c>
      <c r="J642" s="16" t="n">
        <v>46218</v>
      </c>
      <c r="K642" s="5" t="inlineStr">
        <is>
          <t>0408/26</t>
        </is>
      </c>
      <c r="L642" s="5" t="inlineStr">
        <is>
          <t>4026004559</t>
        </is>
      </c>
      <c r="M642" s="5">
        <f>IF(YEAR(I642)&lt;=2020,"Até 2020",TEXT(YEAR(I642),"0"))</f>
        <v/>
      </c>
      <c r="N642" s="5">
        <f>IFERROR(INDEX(DePara!$A:$A,MATCH(TEXT(B642,"0"),DePara!$D:$D,0)),"(sem categoria)")</f>
        <v/>
      </c>
      <c r="O642" s="5">
        <f>IF(J642="","",Parametros!$B$6-J642)</f>
        <v/>
      </c>
      <c r="P642" s="5">
        <f>IF(O642="","",IF(O642&gt;0,1,0))</f>
        <v/>
      </c>
    </row>
    <row r="643">
      <c r="A643" s="5" t="n">
        <v>2122100000</v>
      </c>
      <c r="B643" s="5" t="inlineStr">
        <is>
          <t>IC1000</t>
        </is>
      </c>
      <c r="C643" s="5" t="inlineStr">
        <is>
          <t>NORDEX ENERGY SE &amp; CO KG</t>
        </is>
      </c>
      <c r="D643" s="5" t="inlineStr">
        <is>
          <t>RE</t>
        </is>
      </c>
      <c r="E643" s="5" t="n">
        <v>5012993</v>
      </c>
      <c r="F643" s="5" t="inlineStr">
        <is>
          <t>330027</t>
        </is>
      </c>
      <c r="G643" s="5" t="inlineStr">
        <is>
          <t>EUR</t>
        </is>
      </c>
      <c r="H643" s="9" t="n">
        <v>-33696.59</v>
      </c>
      <c r="I643" s="16" t="n">
        <v>45714</v>
      </c>
      <c r="J643" s="16" t="n">
        <v>45744</v>
      </c>
      <c r="K643" s="5" t="inlineStr">
        <is>
          <t>0194/25</t>
        </is>
      </c>
      <c r="L643" s="5" t="inlineStr">
        <is>
          <t>330027</t>
        </is>
      </c>
      <c r="M643" s="5">
        <f>IF(YEAR(I643)&lt;=2020,"Até 2020",TEXT(YEAR(I643),"0"))</f>
        <v/>
      </c>
      <c r="N643" s="5">
        <f>IFERROR(INDEX(DePara!$A:$A,MATCH(TEXT(B643,"0"),DePara!$D:$D,0)),"(sem categoria)")</f>
        <v/>
      </c>
      <c r="O643" s="5">
        <f>IF(J643="","",Parametros!$B$6-J643)</f>
        <v/>
      </c>
      <c r="P643" s="5">
        <f>IF(O643="","",IF(O643&gt;0,1,0))</f>
        <v/>
      </c>
    </row>
    <row r="644">
      <c r="A644" s="5" t="n">
        <v>2122100000</v>
      </c>
      <c r="B644" s="5" t="inlineStr">
        <is>
          <t>IC4420</t>
        </is>
      </c>
      <c r="C644" s="5" t="inlineStr">
        <is>
          <t>NORDEX ENERGY SPAIN S A U</t>
        </is>
      </c>
      <c r="D644" s="5" t="inlineStr">
        <is>
          <t>RE</t>
        </is>
      </c>
      <c r="E644" s="5" t="n">
        <v>5013035</v>
      </c>
      <c r="F644" s="5" t="inlineStr">
        <is>
          <t>4018000093</t>
        </is>
      </c>
      <c r="G644" s="5" t="inlineStr">
        <is>
          <t>EUR</t>
        </is>
      </c>
      <c r="H644" s="9" t="n">
        <v>-322202.94</v>
      </c>
      <c r="I644" s="16" t="n">
        <v>46127</v>
      </c>
      <c r="J644" s="16" t="n">
        <v>46157</v>
      </c>
      <c r="K644" s="5" t="inlineStr">
        <is>
          <t>0238/26</t>
        </is>
      </c>
      <c r="L644" s="5" t="inlineStr">
        <is>
          <t>4018000093</t>
        </is>
      </c>
      <c r="M644" s="5">
        <f>IF(YEAR(I644)&lt;=2020,"Até 2020",TEXT(YEAR(I644),"0"))</f>
        <v/>
      </c>
      <c r="N644" s="5">
        <f>IFERROR(INDEX(DePara!$A:$A,MATCH(TEXT(B644,"0"),DePara!$D:$D,0)),"(sem categoria)")</f>
        <v/>
      </c>
      <c r="O644" s="5">
        <f>IF(J644="","",Parametros!$B$6-J644)</f>
        <v/>
      </c>
      <c r="P644" s="5">
        <f>IF(O644="","",IF(O644&gt;0,1,0))</f>
        <v/>
      </c>
    </row>
    <row r="645">
      <c r="A645" s="5" t="n">
        <v>2122100000</v>
      </c>
      <c r="B645" s="5" t="inlineStr">
        <is>
          <t>IC4420</t>
        </is>
      </c>
      <c r="C645" s="5" t="inlineStr">
        <is>
          <t>NORDEX ENERGY SPAIN S A U</t>
        </is>
      </c>
      <c r="D645" s="5" t="inlineStr">
        <is>
          <t>RE</t>
        </is>
      </c>
      <c r="E645" s="5" t="n">
        <v>5013068</v>
      </c>
      <c r="F645" s="5" t="inlineStr">
        <is>
          <t>4026004271</t>
        </is>
      </c>
      <c r="G645" s="5" t="inlineStr">
        <is>
          <t>EUR</t>
        </is>
      </c>
      <c r="H645" s="9" t="n">
        <v>-1632.47</v>
      </c>
      <c r="I645" s="16" t="n">
        <v>46181</v>
      </c>
      <c r="J645" s="16" t="n">
        <v>46211</v>
      </c>
      <c r="K645" s="5" t="inlineStr">
        <is>
          <t>0391/26</t>
        </is>
      </c>
      <c r="L645" s="5" t="inlineStr">
        <is>
          <t>4026004271</t>
        </is>
      </c>
      <c r="M645" s="5">
        <f>IF(YEAR(I645)&lt;=2020,"Até 2020",TEXT(YEAR(I645),"0"))</f>
        <v/>
      </c>
      <c r="N645" s="5">
        <f>IFERROR(INDEX(DePara!$A:$A,MATCH(TEXT(B645,"0"),DePara!$D:$D,0)),"(sem categoria)")</f>
        <v/>
      </c>
      <c r="O645" s="5">
        <f>IF(J645="","",Parametros!$B$6-J645)</f>
        <v/>
      </c>
      <c r="P645" s="5">
        <f>IF(O645="","",IF(O645&gt;0,1,0))</f>
        <v/>
      </c>
    </row>
    <row r="646">
      <c r="A646" s="5" t="n">
        <v>2122100000</v>
      </c>
      <c r="B646" s="5" t="inlineStr">
        <is>
          <t>IC4420</t>
        </is>
      </c>
      <c r="C646" s="5" t="inlineStr">
        <is>
          <t>NORDEX ENERGY SPAIN S A U</t>
        </is>
      </c>
      <c r="D646" s="5" t="inlineStr">
        <is>
          <t>RE</t>
        </is>
      </c>
      <c r="E646" s="5" t="n">
        <v>5013164</v>
      </c>
      <c r="F646" s="5" t="inlineStr">
        <is>
          <t>4026003346</t>
        </is>
      </c>
      <c r="G646" s="5" t="inlineStr">
        <is>
          <t>EUR</t>
        </is>
      </c>
      <c r="H646" s="9" t="n">
        <v>-5460.91</v>
      </c>
      <c r="I646" s="16" t="n">
        <v>46154</v>
      </c>
      <c r="J646" s="16" t="n">
        <v>46184</v>
      </c>
      <c r="K646" s="5" t="inlineStr">
        <is>
          <t>0325/26</t>
        </is>
      </c>
      <c r="L646" s="5" t="inlineStr">
        <is>
          <t>4026003346</t>
        </is>
      </c>
      <c r="M646" s="5">
        <f>IF(YEAR(I646)&lt;=2020,"Até 2020",TEXT(YEAR(I646),"0"))</f>
        <v/>
      </c>
      <c r="N646" s="5">
        <f>IFERROR(INDEX(DePara!$A:$A,MATCH(TEXT(B646,"0"),DePara!$D:$D,0)),"(sem categoria)")</f>
        <v/>
      </c>
      <c r="O646" s="5">
        <f>IF(J646="","",Parametros!$B$6-J646)</f>
        <v/>
      </c>
      <c r="P646" s="5">
        <f>IF(O646="","",IF(O646&gt;0,1,0))</f>
        <v/>
      </c>
    </row>
    <row r="647">
      <c r="A647" s="5" t="n">
        <v>2122100000</v>
      </c>
      <c r="B647" s="5" t="inlineStr">
        <is>
          <t>IC4420</t>
        </is>
      </c>
      <c r="C647" s="5" t="inlineStr">
        <is>
          <t>NORDEX ENERGY SPAIN S A U</t>
        </is>
      </c>
      <c r="D647" s="5" t="inlineStr">
        <is>
          <t>RE</t>
        </is>
      </c>
      <c r="E647" s="5" t="n">
        <v>5013165</v>
      </c>
      <c r="F647" s="5" t="inlineStr">
        <is>
          <t>4026003234</t>
        </is>
      </c>
      <c r="G647" s="5" t="inlineStr">
        <is>
          <t>EUR</t>
        </is>
      </c>
      <c r="H647" s="9" t="n">
        <v>-192335.87</v>
      </c>
      <c r="I647" s="16" t="n">
        <v>46150</v>
      </c>
      <c r="J647" s="16" t="n">
        <v>46180</v>
      </c>
      <c r="K647" s="5" t="inlineStr">
        <is>
          <t>0317/26</t>
        </is>
      </c>
      <c r="L647" s="5" t="inlineStr">
        <is>
          <t>4026003234</t>
        </is>
      </c>
      <c r="M647" s="5">
        <f>IF(YEAR(I647)&lt;=2020,"Até 2020",TEXT(YEAR(I647),"0"))</f>
        <v/>
      </c>
      <c r="N647" s="5">
        <f>IFERROR(INDEX(DePara!$A:$A,MATCH(TEXT(B647,"0"),DePara!$D:$D,0)),"(sem categoria)")</f>
        <v/>
      </c>
      <c r="O647" s="5">
        <f>IF(J647="","",Parametros!$B$6-J647)</f>
        <v/>
      </c>
      <c r="P647" s="5">
        <f>IF(O647="","",IF(O647&gt;0,1,0))</f>
        <v/>
      </c>
    </row>
    <row r="648">
      <c r="A648" s="5" t="n">
        <v>2122100000</v>
      </c>
      <c r="B648" s="5" t="inlineStr">
        <is>
          <t>IC4420</t>
        </is>
      </c>
      <c r="C648" s="5" t="inlineStr">
        <is>
          <t>NORDEX ENERGY SPAIN S A U</t>
        </is>
      </c>
      <c r="D648" s="5" t="inlineStr">
        <is>
          <t>RE</t>
        </is>
      </c>
      <c r="E648" s="5" t="n">
        <v>5013166</v>
      </c>
      <c r="F648" s="5" t="inlineStr">
        <is>
          <t>4026003232</t>
        </is>
      </c>
      <c r="G648" s="5" t="inlineStr">
        <is>
          <t>EUR</t>
        </is>
      </c>
      <c r="H648" s="9" t="n">
        <v>-2648.68</v>
      </c>
      <c r="I648" s="16" t="n">
        <v>46150</v>
      </c>
      <c r="J648" s="16" t="n">
        <v>46180</v>
      </c>
      <c r="K648" s="5" t="inlineStr">
        <is>
          <t>0315/26</t>
        </is>
      </c>
      <c r="L648" s="5" t="inlineStr">
        <is>
          <t>4026003232</t>
        </is>
      </c>
      <c r="M648" s="5">
        <f>IF(YEAR(I648)&lt;=2020,"Até 2020",TEXT(YEAR(I648),"0"))</f>
        <v/>
      </c>
      <c r="N648" s="5">
        <f>IFERROR(INDEX(DePara!$A:$A,MATCH(TEXT(B648,"0"),DePara!$D:$D,0)),"(sem categoria)")</f>
        <v/>
      </c>
      <c r="O648" s="5">
        <f>IF(J648="","",Parametros!$B$6-J648)</f>
        <v/>
      </c>
      <c r="P648" s="5">
        <f>IF(O648="","",IF(O648&gt;0,1,0))</f>
        <v/>
      </c>
    </row>
    <row r="649">
      <c r="A649" s="5" t="n">
        <v>2122100000</v>
      </c>
      <c r="B649" s="5" t="inlineStr">
        <is>
          <t>IC4420</t>
        </is>
      </c>
      <c r="C649" s="5" t="inlineStr">
        <is>
          <t>NORDEX ENERGY SPAIN S A U</t>
        </is>
      </c>
      <c r="D649" s="5" t="inlineStr">
        <is>
          <t>RE</t>
        </is>
      </c>
      <c r="E649" s="5" t="n">
        <v>5013167</v>
      </c>
      <c r="F649" s="5" t="inlineStr">
        <is>
          <t>4018000106</t>
        </is>
      </c>
      <c r="G649" s="5" t="inlineStr">
        <is>
          <t>EUR</t>
        </is>
      </c>
      <c r="H649" s="9" t="n">
        <v>-29218.82</v>
      </c>
      <c r="I649" s="16" t="n">
        <v>46161</v>
      </c>
      <c r="J649" s="16" t="n">
        <v>46191</v>
      </c>
      <c r="K649" s="5" t="inlineStr">
        <is>
          <t>0350/26</t>
        </is>
      </c>
      <c r="L649" s="5" t="inlineStr">
        <is>
          <t>4018000106</t>
        </is>
      </c>
      <c r="M649" s="5">
        <f>IF(YEAR(I649)&lt;=2020,"Até 2020",TEXT(YEAR(I649),"0"))</f>
        <v/>
      </c>
      <c r="N649" s="5">
        <f>IFERROR(INDEX(DePara!$A:$A,MATCH(TEXT(B649,"0"),DePara!$D:$D,0)),"(sem categoria)")</f>
        <v/>
      </c>
      <c r="O649" s="5">
        <f>IF(J649="","",Parametros!$B$6-J649)</f>
        <v/>
      </c>
      <c r="P649" s="5">
        <f>IF(O649="","",IF(O649&gt;0,1,0))</f>
        <v/>
      </c>
    </row>
    <row r="650">
      <c r="A650" s="5" t="n">
        <v>2122100000</v>
      </c>
      <c r="B650" s="5" t="inlineStr">
        <is>
          <t>IC4420</t>
        </is>
      </c>
      <c r="C650" s="5" t="inlineStr">
        <is>
          <t>NORDEX ENERGY SPAIN S A U</t>
        </is>
      </c>
      <c r="D650" s="5" t="inlineStr">
        <is>
          <t>RE</t>
        </is>
      </c>
      <c r="E650" s="5" t="n">
        <v>5013168</v>
      </c>
      <c r="F650" s="5" t="inlineStr">
        <is>
          <t>4026003208</t>
        </is>
      </c>
      <c r="G650" s="5" t="inlineStr">
        <is>
          <t>EUR</t>
        </is>
      </c>
      <c r="H650" s="9" t="n">
        <v>-17395.18</v>
      </c>
      <c r="I650" s="16" t="n">
        <v>46150</v>
      </c>
      <c r="J650" s="16" t="n">
        <v>46180</v>
      </c>
      <c r="K650" s="5" t="inlineStr">
        <is>
          <t>0308/26</t>
        </is>
      </c>
      <c r="L650" s="5" t="inlineStr">
        <is>
          <t>4026003208</t>
        </is>
      </c>
      <c r="M650" s="5">
        <f>IF(YEAR(I650)&lt;=2020,"Até 2020",TEXT(YEAR(I650),"0"))</f>
        <v/>
      </c>
      <c r="N650" s="5">
        <f>IFERROR(INDEX(DePara!$A:$A,MATCH(TEXT(B650,"0"),DePara!$D:$D,0)),"(sem categoria)")</f>
        <v/>
      </c>
      <c r="O650" s="5">
        <f>IF(J650="","",Parametros!$B$6-J650)</f>
        <v/>
      </c>
      <c r="P650" s="5">
        <f>IF(O650="","",IF(O650&gt;0,1,0))</f>
        <v/>
      </c>
    </row>
    <row r="651">
      <c r="A651" s="5" t="n">
        <v>2122100000</v>
      </c>
      <c r="B651" s="5" t="inlineStr">
        <is>
          <t>IC4420</t>
        </is>
      </c>
      <c r="C651" s="5" t="inlineStr">
        <is>
          <t>NORDEX ENERGY SPAIN S A U</t>
        </is>
      </c>
      <c r="D651" s="5" t="inlineStr">
        <is>
          <t>RE</t>
        </is>
      </c>
      <c r="E651" s="5" t="n">
        <v>5013169</v>
      </c>
      <c r="F651" s="5" t="inlineStr">
        <is>
          <t>4026003483</t>
        </is>
      </c>
      <c r="G651" s="5" t="inlineStr">
        <is>
          <t>EUR</t>
        </is>
      </c>
      <c r="H651" s="9" t="n">
        <v>-1802.76</v>
      </c>
      <c r="I651" s="16" t="n">
        <v>46160</v>
      </c>
      <c r="J651" s="16" t="n">
        <v>46190</v>
      </c>
      <c r="K651" s="5" t="inlineStr">
        <is>
          <t>0353/26</t>
        </is>
      </c>
      <c r="L651" s="5" t="inlineStr">
        <is>
          <t>4026003483</t>
        </is>
      </c>
      <c r="M651" s="5">
        <f>IF(YEAR(I651)&lt;=2020,"Até 2020",TEXT(YEAR(I651),"0"))</f>
        <v/>
      </c>
      <c r="N651" s="5">
        <f>IFERROR(INDEX(DePara!$A:$A,MATCH(TEXT(B651,"0"),DePara!$D:$D,0)),"(sem categoria)")</f>
        <v/>
      </c>
      <c r="O651" s="5">
        <f>IF(J651="","",Parametros!$B$6-J651)</f>
        <v/>
      </c>
      <c r="P651" s="5">
        <f>IF(O651="","",IF(O651&gt;0,1,0))</f>
        <v/>
      </c>
    </row>
    <row r="652">
      <c r="A652" s="5" t="n">
        <v>2122100000</v>
      </c>
      <c r="B652" s="5" t="inlineStr">
        <is>
          <t>IC4420</t>
        </is>
      </c>
      <c r="C652" s="5" t="inlineStr">
        <is>
          <t>NORDEX ENERGY SPAIN S A U</t>
        </is>
      </c>
      <c r="D652" s="5" t="inlineStr">
        <is>
          <t>RE</t>
        </is>
      </c>
      <c r="E652" s="5" t="n">
        <v>5013170</v>
      </c>
      <c r="F652" s="5" t="inlineStr">
        <is>
          <t>4026003097</t>
        </is>
      </c>
      <c r="G652" s="5" t="inlineStr">
        <is>
          <t>EUR</t>
        </is>
      </c>
      <c r="H652" s="9" t="n">
        <v>-123219.87</v>
      </c>
      <c r="I652" s="16" t="n">
        <v>46146</v>
      </c>
      <c r="J652" s="16" t="n">
        <v>46176</v>
      </c>
      <c r="K652" s="5" t="inlineStr">
        <is>
          <t>0290/26</t>
        </is>
      </c>
      <c r="L652" s="5" t="inlineStr">
        <is>
          <t>4026003097</t>
        </is>
      </c>
      <c r="M652" s="5">
        <f>IF(YEAR(I652)&lt;=2020,"Até 2020",TEXT(YEAR(I652),"0"))</f>
        <v/>
      </c>
      <c r="N652" s="5">
        <f>IFERROR(INDEX(DePara!$A:$A,MATCH(TEXT(B652,"0"),DePara!$D:$D,0)),"(sem categoria)")</f>
        <v/>
      </c>
      <c r="O652" s="5">
        <f>IF(J652="","",Parametros!$B$6-J652)</f>
        <v/>
      </c>
      <c r="P652" s="5">
        <f>IF(O652="","",IF(O652&gt;0,1,0))</f>
        <v/>
      </c>
    </row>
    <row r="653">
      <c r="A653" s="5" t="n">
        <v>2122100000</v>
      </c>
      <c r="B653" s="5" t="inlineStr">
        <is>
          <t>IC4420</t>
        </is>
      </c>
      <c r="C653" s="5" t="inlineStr">
        <is>
          <t>NORDEX ENERGY SPAIN S A U</t>
        </is>
      </c>
      <c r="D653" s="5" t="inlineStr">
        <is>
          <t>RE</t>
        </is>
      </c>
      <c r="E653" s="5" t="n">
        <v>5013171</v>
      </c>
      <c r="F653" s="5" t="inlineStr">
        <is>
          <t>4026004552</t>
        </is>
      </c>
      <c r="G653" s="5" t="inlineStr">
        <is>
          <t>EUR</t>
        </is>
      </c>
      <c r="H653" s="9" t="n">
        <v>-639.14</v>
      </c>
      <c r="I653" s="16" t="n">
        <v>46188</v>
      </c>
      <c r="J653" s="16" t="n">
        <v>46218</v>
      </c>
      <c r="K653" s="5" t="inlineStr">
        <is>
          <t>0420/26</t>
        </is>
      </c>
      <c r="L653" s="5" t="inlineStr">
        <is>
          <t>4026004552</t>
        </is>
      </c>
      <c r="M653" s="5">
        <f>IF(YEAR(I653)&lt;=2020,"Até 2020",TEXT(YEAR(I653),"0"))</f>
        <v/>
      </c>
      <c r="N653" s="5">
        <f>IFERROR(INDEX(DePara!$A:$A,MATCH(TEXT(B653,"0"),DePara!$D:$D,0)),"(sem categoria)")</f>
        <v/>
      </c>
      <c r="O653" s="5">
        <f>IF(J653="","",Parametros!$B$6-J653)</f>
        <v/>
      </c>
      <c r="P653" s="5">
        <f>IF(O653="","",IF(O653&gt;0,1,0))</f>
        <v/>
      </c>
    </row>
    <row r="654">
      <c r="A654" s="5" t="n">
        <v>2122100000</v>
      </c>
      <c r="B654" s="5" t="inlineStr">
        <is>
          <t>IC4420</t>
        </is>
      </c>
      <c r="C654" s="5" t="inlineStr">
        <is>
          <t>NORDEX ENERGY SPAIN S A U</t>
        </is>
      </c>
      <c r="D654" s="5" t="inlineStr">
        <is>
          <t>RE</t>
        </is>
      </c>
      <c r="E654" s="5" t="n">
        <v>5013172</v>
      </c>
      <c r="F654" s="5" t="inlineStr">
        <is>
          <t>4026004260</t>
        </is>
      </c>
      <c r="G654" s="5" t="inlineStr">
        <is>
          <t>EUR</t>
        </is>
      </c>
      <c r="H654" s="9" t="n">
        <v>-87205.60000000001</v>
      </c>
      <c r="I654" s="16" t="n">
        <v>46181</v>
      </c>
      <c r="J654" s="16" t="n">
        <v>46211</v>
      </c>
      <c r="K654" s="5" t="inlineStr">
        <is>
          <t>0384/26</t>
        </is>
      </c>
      <c r="L654" s="5" t="inlineStr">
        <is>
          <t>4026004260</t>
        </is>
      </c>
      <c r="M654" s="5">
        <f>IF(YEAR(I654)&lt;=2020,"Até 2020",TEXT(YEAR(I654),"0"))</f>
        <v/>
      </c>
      <c r="N654" s="5">
        <f>IFERROR(INDEX(DePara!$A:$A,MATCH(TEXT(B654,"0"),DePara!$D:$D,0)),"(sem categoria)")</f>
        <v/>
      </c>
      <c r="O654" s="5">
        <f>IF(J654="","",Parametros!$B$6-J654)</f>
        <v/>
      </c>
      <c r="P654" s="5">
        <f>IF(O654="","",IF(O654&gt;0,1,0))</f>
        <v/>
      </c>
    </row>
    <row r="655">
      <c r="A655" s="5" t="n">
        <v>2122100000</v>
      </c>
      <c r="B655" s="5" t="inlineStr">
        <is>
          <t>IC4420</t>
        </is>
      </c>
      <c r="C655" s="5" t="inlineStr">
        <is>
          <t>NORDEX ENERGY SPAIN S A U</t>
        </is>
      </c>
      <c r="D655" s="5" t="inlineStr">
        <is>
          <t>RE</t>
        </is>
      </c>
      <c r="E655" s="5" t="n">
        <v>5013173</v>
      </c>
      <c r="F655" s="5" t="inlineStr">
        <is>
          <t>4026004557</t>
        </is>
      </c>
      <c r="G655" s="5" t="inlineStr">
        <is>
          <t>EUR</t>
        </is>
      </c>
      <c r="H655" s="9" t="n">
        <v>-26489.95</v>
      </c>
      <c r="I655" s="16" t="n">
        <v>46188</v>
      </c>
      <c r="J655" s="16" t="n">
        <v>46218</v>
      </c>
      <c r="K655" s="5" t="inlineStr">
        <is>
          <t>0406/26</t>
        </is>
      </c>
      <c r="L655" s="5" t="inlineStr">
        <is>
          <t>4026004557</t>
        </is>
      </c>
      <c r="M655" s="5">
        <f>IF(YEAR(I655)&lt;=2020,"Até 2020",TEXT(YEAR(I655),"0"))</f>
        <v/>
      </c>
      <c r="N655" s="5">
        <f>IFERROR(INDEX(DePara!$A:$A,MATCH(TEXT(B655,"0"),DePara!$D:$D,0)),"(sem categoria)")</f>
        <v/>
      </c>
      <c r="O655" s="5">
        <f>IF(J655="","",Parametros!$B$6-J655)</f>
        <v/>
      </c>
      <c r="P655" s="5">
        <f>IF(O655="","",IF(O655&gt;0,1,0))</f>
        <v/>
      </c>
    </row>
    <row r="656">
      <c r="A656" s="5" t="n">
        <v>2122100000</v>
      </c>
      <c r="B656" s="5" t="inlineStr">
        <is>
          <t>IC4420</t>
        </is>
      </c>
      <c r="C656" s="5" t="inlineStr">
        <is>
          <t>NORDEX ENERGY SPAIN S A U</t>
        </is>
      </c>
      <c r="D656" s="5" t="inlineStr">
        <is>
          <t>RE</t>
        </is>
      </c>
      <c r="E656" s="5" t="n">
        <v>5013174</v>
      </c>
      <c r="F656" s="5" t="inlineStr">
        <is>
          <t>4026004268</t>
        </is>
      </c>
      <c r="G656" s="5" t="inlineStr">
        <is>
          <t>EUR</t>
        </is>
      </c>
      <c r="H656" s="9" t="n">
        <v>-12109.83</v>
      </c>
      <c r="I656" s="16" t="n">
        <v>46181</v>
      </c>
      <c r="J656" s="16" t="n">
        <v>46211</v>
      </c>
      <c r="K656" s="5" t="inlineStr">
        <is>
          <t>0388/26</t>
        </is>
      </c>
      <c r="L656" s="5" t="inlineStr">
        <is>
          <t>4026004268</t>
        </is>
      </c>
      <c r="M656" s="5">
        <f>IF(YEAR(I656)&lt;=2020,"Até 2020",TEXT(YEAR(I656),"0"))</f>
        <v/>
      </c>
      <c r="N656" s="5">
        <f>IFERROR(INDEX(DePara!$A:$A,MATCH(TEXT(B656,"0"),DePara!$D:$D,0)),"(sem categoria)")</f>
        <v/>
      </c>
      <c r="O656" s="5">
        <f>IF(J656="","",Parametros!$B$6-J656)</f>
        <v/>
      </c>
      <c r="P656" s="5">
        <f>IF(O656="","",IF(O656&gt;0,1,0))</f>
        <v/>
      </c>
    </row>
    <row r="657">
      <c r="A657" s="5" t="n">
        <v>2122100000</v>
      </c>
      <c r="B657" s="5" t="inlineStr">
        <is>
          <t>IC4420</t>
        </is>
      </c>
      <c r="C657" s="5" t="inlineStr">
        <is>
          <t>NORDEX ENERGY SPAIN S A U</t>
        </is>
      </c>
      <c r="D657" s="5" t="inlineStr">
        <is>
          <t>RE</t>
        </is>
      </c>
      <c r="E657" s="5" t="n">
        <v>5013175</v>
      </c>
      <c r="F657" s="5" t="inlineStr">
        <is>
          <t>4026004548</t>
        </is>
      </c>
      <c r="G657" s="5" t="inlineStr">
        <is>
          <t>EUR</t>
        </is>
      </c>
      <c r="H657" s="9" t="n">
        <v>-4001.23</v>
      </c>
      <c r="I657" s="16" t="n">
        <v>46188</v>
      </c>
      <c r="J657" s="16" t="n">
        <v>46218</v>
      </c>
      <c r="K657" s="5" t="inlineStr">
        <is>
          <t>0420/26</t>
        </is>
      </c>
      <c r="L657" s="5" t="inlineStr">
        <is>
          <t>4026004548</t>
        </is>
      </c>
      <c r="M657" s="5">
        <f>IF(YEAR(I657)&lt;=2020,"Até 2020",TEXT(YEAR(I657),"0"))</f>
        <v/>
      </c>
      <c r="N657" s="5">
        <f>IFERROR(INDEX(DePara!$A:$A,MATCH(TEXT(B657,"0"),DePara!$D:$D,0)),"(sem categoria)")</f>
        <v/>
      </c>
      <c r="O657" s="5">
        <f>IF(J657="","",Parametros!$B$6-J657)</f>
        <v/>
      </c>
      <c r="P657" s="5">
        <f>IF(O657="","",IF(O657&gt;0,1,0))</f>
        <v/>
      </c>
    </row>
    <row r="658">
      <c r="A658" s="5" t="n">
        <v>2122100000</v>
      </c>
      <c r="B658" s="5" t="inlineStr">
        <is>
          <t>IC4420</t>
        </is>
      </c>
      <c r="C658" s="5" t="inlineStr">
        <is>
          <t>NORDEX ENERGY SPAIN S A U</t>
        </is>
      </c>
      <c r="D658" s="5" t="inlineStr">
        <is>
          <t>RE</t>
        </is>
      </c>
      <c r="E658" s="5" t="n">
        <v>5013176</v>
      </c>
      <c r="F658" s="5" t="inlineStr">
        <is>
          <t>4026003521</t>
        </is>
      </c>
      <c r="G658" s="5" t="inlineStr">
        <is>
          <t>EUR</t>
        </is>
      </c>
      <c r="H658" s="9" t="n">
        <v>-9225.129999999999</v>
      </c>
      <c r="I658" s="16" t="n">
        <v>46160</v>
      </c>
      <c r="J658" s="16" t="n">
        <v>46190</v>
      </c>
      <c r="K658" s="5" t="inlineStr">
        <is>
          <t>0364/26</t>
        </is>
      </c>
      <c r="L658" s="5" t="inlineStr">
        <is>
          <t>4026003521</t>
        </is>
      </c>
      <c r="M658" s="5">
        <f>IF(YEAR(I658)&lt;=2020,"Até 2020",TEXT(YEAR(I658),"0"))</f>
        <v/>
      </c>
      <c r="N658" s="5">
        <f>IFERROR(INDEX(DePara!$A:$A,MATCH(TEXT(B658,"0"),DePara!$D:$D,0)),"(sem categoria)")</f>
        <v/>
      </c>
      <c r="O658" s="5">
        <f>IF(J658="","",Parametros!$B$6-J658)</f>
        <v/>
      </c>
      <c r="P658" s="5">
        <f>IF(O658="","",IF(O658&gt;0,1,0))</f>
        <v/>
      </c>
    </row>
    <row r="659">
      <c r="A659" s="5" t="n">
        <v>2122100000</v>
      </c>
      <c r="B659" s="5" t="inlineStr">
        <is>
          <t>IC4420</t>
        </is>
      </c>
      <c r="C659" s="5" t="inlineStr">
        <is>
          <t>NORDEX ENERGY SPAIN S A U</t>
        </is>
      </c>
      <c r="D659" s="5" t="inlineStr">
        <is>
          <t>RE</t>
        </is>
      </c>
      <c r="E659" s="5" t="n">
        <v>5013205</v>
      </c>
      <c r="F659" s="5" t="inlineStr">
        <is>
          <t>4026004879</t>
        </is>
      </c>
      <c r="G659" s="5" t="inlineStr">
        <is>
          <t>EUR</t>
        </is>
      </c>
      <c r="H659" s="9" t="n">
        <v>-5549.71</v>
      </c>
      <c r="I659" s="16" t="n">
        <v>46199</v>
      </c>
      <c r="J659" s="16" t="n">
        <v>46229</v>
      </c>
      <c r="K659" s="5" t="inlineStr">
        <is>
          <t>0444/26</t>
        </is>
      </c>
      <c r="L659" s="5" t="inlineStr">
        <is>
          <t>4026004879</t>
        </is>
      </c>
      <c r="M659" s="5">
        <f>IF(YEAR(I659)&lt;=2020,"Até 2020",TEXT(YEAR(I659),"0"))</f>
        <v/>
      </c>
      <c r="N659" s="5">
        <f>IFERROR(INDEX(DePara!$A:$A,MATCH(TEXT(B659,"0"),DePara!$D:$D,0)),"(sem categoria)")</f>
        <v/>
      </c>
      <c r="O659" s="5">
        <f>IF(J659="","",Parametros!$B$6-J659)</f>
        <v/>
      </c>
      <c r="P659" s="5">
        <f>IF(O659="","",IF(O659&gt;0,1,0))</f>
        <v/>
      </c>
    </row>
    <row r="660">
      <c r="A660" s="5" t="n">
        <v>2122100000</v>
      </c>
      <c r="B660" s="5" t="inlineStr">
        <is>
          <t>IC4420</t>
        </is>
      </c>
      <c r="C660" s="5" t="inlineStr">
        <is>
          <t>NORDEX ENERGY SPAIN S A U</t>
        </is>
      </c>
      <c r="D660" s="5" t="inlineStr">
        <is>
          <t>RE</t>
        </is>
      </c>
      <c r="E660" s="5" t="n">
        <v>5013274</v>
      </c>
      <c r="F660" s="5" t="inlineStr">
        <is>
          <t>4026004856</t>
        </is>
      </c>
      <c r="G660" s="5" t="inlineStr">
        <is>
          <t>EUR</t>
        </is>
      </c>
      <c r="H660" s="9" t="n">
        <v>-1684.17</v>
      </c>
      <c r="I660" s="16" t="n">
        <v>46198</v>
      </c>
      <c r="J660" s="16" t="n">
        <v>46228</v>
      </c>
      <c r="K660" s="5" t="inlineStr">
        <is>
          <t>0441/26</t>
        </is>
      </c>
      <c r="L660" s="5" t="inlineStr">
        <is>
          <t>4026004856</t>
        </is>
      </c>
      <c r="M660" s="5">
        <f>IF(YEAR(I660)&lt;=2020,"Até 2020",TEXT(YEAR(I660),"0"))</f>
        <v/>
      </c>
      <c r="N660" s="5">
        <f>IFERROR(INDEX(DePara!$A:$A,MATCH(TEXT(B660,"0"),DePara!$D:$D,0)),"(sem categoria)")</f>
        <v/>
      </c>
      <c r="O660" s="5">
        <f>IF(J660="","",Parametros!$B$6-J660)</f>
        <v/>
      </c>
      <c r="P660" s="5">
        <f>IF(O660="","",IF(O660&gt;0,1,0))</f>
        <v/>
      </c>
    </row>
    <row r="661">
      <c r="A661" s="5" t="n">
        <v>2122100000</v>
      </c>
      <c r="B661" s="5" t="inlineStr">
        <is>
          <t>IC4420</t>
        </is>
      </c>
      <c r="C661" s="5" t="inlineStr">
        <is>
          <t>NORDEX ENERGY SPAIN S A U</t>
        </is>
      </c>
      <c r="D661" s="5" t="inlineStr">
        <is>
          <t>RE</t>
        </is>
      </c>
      <c r="E661" s="5" t="n">
        <v>5013305</v>
      </c>
      <c r="F661" s="5" t="inlineStr">
        <is>
          <t>4026003206</t>
        </is>
      </c>
      <c r="G661" s="5" t="inlineStr">
        <is>
          <t>EUR</t>
        </is>
      </c>
      <c r="H661" s="9" t="n">
        <v>-60396.42</v>
      </c>
      <c r="I661" s="16" t="n">
        <v>46150</v>
      </c>
      <c r="J661" s="16" t="n">
        <v>46180</v>
      </c>
      <c r="K661" s="5" t="inlineStr">
        <is>
          <t>0306/26</t>
        </is>
      </c>
      <c r="L661" s="5" t="inlineStr">
        <is>
          <t>4026003206</t>
        </is>
      </c>
      <c r="M661" s="5">
        <f>IF(YEAR(I661)&lt;=2020,"Até 2020",TEXT(YEAR(I661),"0"))</f>
        <v/>
      </c>
      <c r="N661" s="5">
        <f>IFERROR(INDEX(DePara!$A:$A,MATCH(TEXT(B661,"0"),DePara!$D:$D,0)),"(sem categoria)")</f>
        <v/>
      </c>
      <c r="O661" s="5">
        <f>IF(J661="","",Parametros!$B$6-J661)</f>
        <v/>
      </c>
      <c r="P661" s="5">
        <f>IF(O661="","",IF(O661&gt;0,1,0))</f>
        <v/>
      </c>
    </row>
    <row r="662">
      <c r="A662" s="5" t="n">
        <v>2122100000</v>
      </c>
      <c r="B662" s="5" t="inlineStr">
        <is>
          <t>IC4420</t>
        </is>
      </c>
      <c r="C662" s="5" t="inlineStr">
        <is>
          <t>NORDEX ENERGY SPAIN S A U</t>
        </is>
      </c>
      <c r="D662" s="5" t="inlineStr">
        <is>
          <t>RE</t>
        </is>
      </c>
      <c r="E662" s="5" t="n">
        <v>5013310</v>
      </c>
      <c r="F662" s="5" t="inlineStr">
        <is>
          <t>4018000060</t>
        </is>
      </c>
      <c r="G662" s="5" t="inlineStr">
        <is>
          <t>EUR</t>
        </is>
      </c>
      <c r="H662" s="9" t="n">
        <v>-1278104.57</v>
      </c>
      <c r="I662" s="16" t="n">
        <v>45349</v>
      </c>
      <c r="J662" s="16" t="n">
        <v>45379</v>
      </c>
      <c r="K662" s="5" t="inlineStr">
        <is>
          <t>0163/24</t>
        </is>
      </c>
      <c r="L662" s="5" t="inlineStr">
        <is>
          <t>4018000060</t>
        </is>
      </c>
      <c r="M662" s="5">
        <f>IF(YEAR(I662)&lt;=2020,"Até 2020",TEXT(YEAR(I662),"0"))</f>
        <v/>
      </c>
      <c r="N662" s="5">
        <f>IFERROR(INDEX(DePara!$A:$A,MATCH(TEXT(B662,"0"),DePara!$D:$D,0)),"(sem categoria)")</f>
        <v/>
      </c>
      <c r="O662" s="5">
        <f>IF(J662="","",Parametros!$B$6-J662)</f>
        <v/>
      </c>
      <c r="P662" s="5">
        <f>IF(O662="","",IF(O662&gt;0,1,0))</f>
        <v/>
      </c>
    </row>
    <row r="663">
      <c r="A663" s="5" t="n">
        <v>2122100000</v>
      </c>
      <c r="B663" s="5" t="inlineStr">
        <is>
          <t>IC4420</t>
        </is>
      </c>
      <c r="C663" s="5" t="inlineStr">
        <is>
          <t>NORDEX ENERGY SPAIN S A U</t>
        </is>
      </c>
      <c r="D663" s="5" t="inlineStr">
        <is>
          <t>RE</t>
        </is>
      </c>
      <c r="E663" s="5" t="n">
        <v>5013312</v>
      </c>
      <c r="F663" s="5" t="inlineStr">
        <is>
          <t>4026004739</t>
        </is>
      </c>
      <c r="G663" s="5" t="inlineStr">
        <is>
          <t>EUR</t>
        </is>
      </c>
      <c r="H663" s="9" t="n">
        <v>-8291.129999999999</v>
      </c>
      <c r="I663" s="16" t="n">
        <v>46196</v>
      </c>
      <c r="J663" s="16" t="n">
        <v>46226</v>
      </c>
      <c r="K663" s="5" t="inlineStr">
        <is>
          <t>0442/26</t>
        </is>
      </c>
      <c r="L663" s="5" t="inlineStr">
        <is>
          <t>4026004739</t>
        </is>
      </c>
      <c r="M663" s="5">
        <f>IF(YEAR(I663)&lt;=2020,"Até 2020",TEXT(YEAR(I663),"0"))</f>
        <v/>
      </c>
      <c r="N663" s="5">
        <f>IFERROR(INDEX(DePara!$A:$A,MATCH(TEXT(B663,"0"),DePara!$D:$D,0)),"(sem categoria)")</f>
        <v/>
      </c>
      <c r="O663" s="5">
        <f>IF(J663="","",Parametros!$B$6-J663)</f>
        <v/>
      </c>
      <c r="P663" s="5">
        <f>IF(O663="","",IF(O663&gt;0,1,0))</f>
        <v/>
      </c>
    </row>
    <row r="664">
      <c r="A664" s="5" t="n">
        <v>2122100000</v>
      </c>
      <c r="B664" s="5" t="inlineStr">
        <is>
          <t>IC4420</t>
        </is>
      </c>
      <c r="C664" s="5" t="inlineStr">
        <is>
          <t>NORDEX ENERGY SPAIN S A U</t>
        </is>
      </c>
      <c r="D664" s="5" t="inlineStr">
        <is>
          <t>RE</t>
        </is>
      </c>
      <c r="E664" s="5" t="n">
        <v>5013337</v>
      </c>
      <c r="F664" s="5" t="inlineStr">
        <is>
          <t>4026003088</t>
        </is>
      </c>
      <c r="G664" s="5" t="inlineStr">
        <is>
          <t>EUR</t>
        </is>
      </c>
      <c r="H664" s="9" t="n">
        <v>-6596.62</v>
      </c>
      <c r="I664" s="16" t="n">
        <v>46146</v>
      </c>
      <c r="J664" s="16" t="n">
        <v>46176</v>
      </c>
      <c r="K664" s="5" t="inlineStr">
        <is>
          <t>0286/26</t>
        </is>
      </c>
      <c r="L664" s="5" t="inlineStr">
        <is>
          <t>4026003088</t>
        </is>
      </c>
      <c r="M664" s="5">
        <f>IF(YEAR(I664)&lt;=2020,"Até 2020",TEXT(YEAR(I664),"0"))</f>
        <v/>
      </c>
      <c r="N664" s="5">
        <f>IFERROR(INDEX(DePara!$A:$A,MATCH(TEXT(B664,"0"),DePara!$D:$D,0)),"(sem categoria)")</f>
        <v/>
      </c>
      <c r="O664" s="5">
        <f>IF(J664="","",Parametros!$B$6-J664)</f>
        <v/>
      </c>
      <c r="P664" s="5">
        <f>IF(O664="","",IF(O664&gt;0,1,0))</f>
        <v/>
      </c>
    </row>
    <row r="665">
      <c r="A665" s="5" t="n">
        <v>2122100000</v>
      </c>
      <c r="B665" s="5" t="inlineStr">
        <is>
          <t>IC4420</t>
        </is>
      </c>
      <c r="C665" s="5" t="inlineStr">
        <is>
          <t>NORDEX ENERGY SPAIN S A U</t>
        </is>
      </c>
      <c r="D665" s="5" t="inlineStr">
        <is>
          <t>RE</t>
        </is>
      </c>
      <c r="E665" s="5" t="n">
        <v>5013338</v>
      </c>
      <c r="F665" s="5" t="inlineStr">
        <is>
          <t>4026003090</t>
        </is>
      </c>
      <c r="G665" s="5" t="inlineStr">
        <is>
          <t>EUR</t>
        </is>
      </c>
      <c r="H665" s="9" t="n">
        <v>-14105.02</v>
      </c>
      <c r="I665" s="16" t="n">
        <v>46146</v>
      </c>
      <c r="J665" s="16" t="n">
        <v>46176</v>
      </c>
      <c r="K665" s="5" t="inlineStr">
        <is>
          <t>0286/26</t>
        </is>
      </c>
      <c r="L665" s="5" t="inlineStr">
        <is>
          <t>4026003090</t>
        </is>
      </c>
      <c r="M665" s="5">
        <f>IF(YEAR(I665)&lt;=2020,"Até 2020",TEXT(YEAR(I665),"0"))</f>
        <v/>
      </c>
      <c r="N665" s="5">
        <f>IFERROR(INDEX(DePara!$A:$A,MATCH(TEXT(B665,"0"),DePara!$D:$D,0)),"(sem categoria)")</f>
        <v/>
      </c>
      <c r="O665" s="5">
        <f>IF(J665="","",Parametros!$B$6-J665)</f>
        <v/>
      </c>
      <c r="P665" s="5">
        <f>IF(O665="","",IF(O665&gt;0,1,0))</f>
        <v/>
      </c>
    </row>
    <row r="666">
      <c r="A666" s="5" t="n">
        <v>2122100000</v>
      </c>
      <c r="B666" s="5" t="inlineStr">
        <is>
          <t>IC4420</t>
        </is>
      </c>
      <c r="C666" s="5" t="inlineStr">
        <is>
          <t>NORDEX ENERGY SPAIN S A U</t>
        </is>
      </c>
      <c r="D666" s="5" t="inlineStr">
        <is>
          <t>RE</t>
        </is>
      </c>
      <c r="E666" s="5" t="n">
        <v>5013344</v>
      </c>
      <c r="F666" s="5" t="inlineStr">
        <is>
          <t>4024002129</t>
        </is>
      </c>
      <c r="G666" s="5" t="inlineStr">
        <is>
          <t>EUR</t>
        </is>
      </c>
      <c r="H666" s="9" t="n">
        <v>-1281870.52</v>
      </c>
      <c r="I666" s="16" t="n">
        <v>45377</v>
      </c>
      <c r="J666" s="16" t="n">
        <v>45407</v>
      </c>
      <c r="K666" s="5" t="inlineStr">
        <is>
          <t>0219/24</t>
        </is>
      </c>
      <c r="L666" s="5" t="inlineStr">
        <is>
          <t>0219/24</t>
        </is>
      </c>
      <c r="M666" s="5">
        <f>IF(YEAR(I666)&lt;=2020,"Até 2020",TEXT(YEAR(I666),"0"))</f>
        <v/>
      </c>
      <c r="N666" s="5">
        <f>IFERROR(INDEX(DePara!$A:$A,MATCH(TEXT(B666,"0"),DePara!$D:$D,0)),"(sem categoria)")</f>
        <v/>
      </c>
      <c r="O666" s="5">
        <f>IF(J666="","",Parametros!$B$6-J666)</f>
        <v/>
      </c>
      <c r="P666" s="5">
        <f>IF(O666="","",IF(O666&gt;0,1,0))</f>
        <v/>
      </c>
    </row>
    <row r="667">
      <c r="A667" s="5" t="n">
        <v>2122100000</v>
      </c>
      <c r="B667" s="5" t="inlineStr">
        <is>
          <t>IC1000</t>
        </is>
      </c>
      <c r="C667" s="5" t="inlineStr">
        <is>
          <t>NORDEX ENERGY SE &amp; CO KG</t>
        </is>
      </c>
      <c r="D667" s="5" t="inlineStr">
        <is>
          <t>RE</t>
        </is>
      </c>
      <c r="E667" s="5" t="n">
        <v>5013380</v>
      </c>
      <c r="F667" s="5" t="inlineStr">
        <is>
          <t>RITM0652907</t>
        </is>
      </c>
      <c r="G667" s="5" t="inlineStr">
        <is>
          <t>EUR</t>
        </is>
      </c>
      <c r="H667" s="9" t="n">
        <v>-1173929.48</v>
      </c>
      <c r="I667" s="16" t="n">
        <v>46136</v>
      </c>
      <c r="J667" s="16" t="n">
        <v>46166</v>
      </c>
      <c r="K667" s="5" t="inlineStr">
        <is>
          <t>0385/26</t>
        </is>
      </c>
      <c r="L667" s="5" t="inlineStr">
        <is>
          <t>RITM0652907</t>
        </is>
      </c>
      <c r="M667" s="5">
        <f>IF(YEAR(I667)&lt;=2020,"Até 2020",TEXT(YEAR(I667),"0"))</f>
        <v/>
      </c>
      <c r="N667" s="5">
        <f>IFERROR(INDEX(DePara!$A:$A,MATCH(TEXT(B667,"0"),DePara!$D:$D,0)),"(sem categoria)")</f>
        <v/>
      </c>
      <c r="O667" s="5">
        <f>IF(J667="","",Parametros!$B$6-J667)</f>
        <v/>
      </c>
      <c r="P667" s="5">
        <f>IF(O667="","",IF(O667&gt;0,1,0))</f>
        <v/>
      </c>
    </row>
    <row r="668">
      <c r="A668" s="5" t="n">
        <v>2122100000</v>
      </c>
      <c r="B668" s="5" t="inlineStr">
        <is>
          <t>IC1000</t>
        </is>
      </c>
      <c r="C668" s="5" t="inlineStr">
        <is>
          <t>NORDEX ENERGY SE &amp; CO KG</t>
        </is>
      </c>
      <c r="D668" s="5" t="inlineStr">
        <is>
          <t>RE</t>
        </is>
      </c>
      <c r="E668" s="5" t="n">
        <v>5013428</v>
      </c>
      <c r="F668" s="5" t="inlineStr">
        <is>
          <t>4012341702</t>
        </is>
      </c>
      <c r="G668" s="5" t="inlineStr">
        <is>
          <t>EUR</t>
        </is>
      </c>
      <c r="H668" s="9" t="n">
        <v>-7391.77</v>
      </c>
      <c r="I668" s="16" t="n">
        <v>45113</v>
      </c>
      <c r="J668" s="16" t="n">
        <v>45143</v>
      </c>
      <c r="K668" s="5" t="inlineStr">
        <is>
          <t>0470/23</t>
        </is>
      </c>
      <c r="L668" s="5" t="inlineStr">
        <is>
          <t>4012341702</t>
        </is>
      </c>
      <c r="M668" s="5">
        <f>IF(YEAR(I668)&lt;=2020,"Até 2020",TEXT(YEAR(I668),"0"))</f>
        <v/>
      </c>
      <c r="N668" s="5">
        <f>IFERROR(INDEX(DePara!$A:$A,MATCH(TEXT(B668,"0"),DePara!$D:$D,0)),"(sem categoria)")</f>
        <v/>
      </c>
      <c r="O668" s="5">
        <f>IF(J668="","",Parametros!$B$6-J668)</f>
        <v/>
      </c>
      <c r="P668" s="5">
        <f>IF(O668="","",IF(O668&gt;0,1,0))</f>
        <v/>
      </c>
    </row>
    <row r="669">
      <c r="A669" s="5" t="n">
        <v>2122100000</v>
      </c>
      <c r="B669" s="5" t="inlineStr">
        <is>
          <t>IC1000</t>
        </is>
      </c>
      <c r="C669" s="5" t="inlineStr">
        <is>
          <t>NORDEX ENERGY SE &amp; CO KG</t>
        </is>
      </c>
      <c r="D669" s="5" t="inlineStr">
        <is>
          <t>RE</t>
        </is>
      </c>
      <c r="E669" s="5" t="n">
        <v>5013439</v>
      </c>
      <c r="F669" s="5" t="inlineStr">
        <is>
          <t>4012343027</t>
        </is>
      </c>
      <c r="G669" s="5" t="inlineStr">
        <is>
          <t>EUR</t>
        </is>
      </c>
      <c r="H669" s="9" t="n">
        <v>-2916.61</v>
      </c>
      <c r="I669" s="16" t="n">
        <v>45124</v>
      </c>
      <c r="J669" s="16" t="n">
        <v>45154</v>
      </c>
      <c r="K669" s="5" t="inlineStr">
        <is>
          <t>0467/23</t>
        </is>
      </c>
      <c r="L669" s="5" t="inlineStr">
        <is>
          <t>4012343027</t>
        </is>
      </c>
      <c r="M669" s="5">
        <f>IF(YEAR(I669)&lt;=2020,"Até 2020",TEXT(YEAR(I669),"0"))</f>
        <v/>
      </c>
      <c r="N669" s="5">
        <f>IFERROR(INDEX(DePara!$A:$A,MATCH(TEXT(B669,"0"),DePara!$D:$D,0)),"(sem categoria)")</f>
        <v/>
      </c>
      <c r="O669" s="5">
        <f>IF(J669="","",Parametros!$B$6-J669)</f>
        <v/>
      </c>
      <c r="P669" s="5">
        <f>IF(O669="","",IF(O669&gt;0,1,0))</f>
        <v/>
      </c>
    </row>
    <row r="670">
      <c r="A670" s="5" t="n">
        <v>2122100000</v>
      </c>
      <c r="B670" s="5" t="inlineStr">
        <is>
          <t>IC1000</t>
        </is>
      </c>
      <c r="C670" s="5" t="inlineStr">
        <is>
          <t>NORDEX ENERGY SE &amp; CO KG</t>
        </is>
      </c>
      <c r="D670" s="5" t="inlineStr">
        <is>
          <t>RE</t>
        </is>
      </c>
      <c r="E670" s="5" t="n">
        <v>5013440</v>
      </c>
      <c r="F670" s="5" t="inlineStr">
        <is>
          <t>4012344023</t>
        </is>
      </c>
      <c r="G670" s="5" t="inlineStr">
        <is>
          <t>EUR</t>
        </is>
      </c>
      <c r="H670" s="9" t="n">
        <v>-2692.01</v>
      </c>
      <c r="I670" s="16" t="n">
        <v>45128</v>
      </c>
      <c r="J670" s="16" t="n">
        <v>45158</v>
      </c>
      <c r="K670" s="5" t="inlineStr">
        <is>
          <t>0466/23</t>
        </is>
      </c>
      <c r="L670" s="5" t="inlineStr">
        <is>
          <t>4012344023</t>
        </is>
      </c>
      <c r="M670" s="5">
        <f>IF(YEAR(I670)&lt;=2020,"Até 2020",TEXT(YEAR(I670),"0"))</f>
        <v/>
      </c>
      <c r="N670" s="5">
        <f>IFERROR(INDEX(DePara!$A:$A,MATCH(TEXT(B670,"0"),DePara!$D:$D,0)),"(sem categoria)")</f>
        <v/>
      </c>
      <c r="O670" s="5">
        <f>IF(J670="","",Parametros!$B$6-J670)</f>
        <v/>
      </c>
      <c r="P670" s="5">
        <f>IF(O670="","",IF(O670&gt;0,1,0))</f>
        <v/>
      </c>
    </row>
    <row r="671">
      <c r="A671" s="5" t="n">
        <v>2122100000</v>
      </c>
      <c r="B671" s="5" t="inlineStr">
        <is>
          <t>IC1000</t>
        </is>
      </c>
      <c r="C671" s="5" t="inlineStr">
        <is>
          <t>NORDEX ENERGY SE &amp; CO KG</t>
        </is>
      </c>
      <c r="D671" s="5" t="inlineStr">
        <is>
          <t>RE</t>
        </is>
      </c>
      <c r="E671" s="5" t="n">
        <v>5013487</v>
      </c>
      <c r="F671" s="5" t="inlineStr">
        <is>
          <t>4012340934</t>
        </is>
      </c>
      <c r="G671" s="5" t="inlineStr">
        <is>
          <t>EUR</t>
        </is>
      </c>
      <c r="H671" s="9" t="n">
        <v>-29221.62</v>
      </c>
      <c r="I671" s="16" t="n">
        <v>45107</v>
      </c>
      <c r="J671" s="16" t="n">
        <v>45137</v>
      </c>
      <c r="K671" s="5" t="inlineStr">
        <is>
          <t>0464/23</t>
        </is>
      </c>
      <c r="L671" s="5" t="inlineStr">
        <is>
          <t>4012340934</t>
        </is>
      </c>
      <c r="M671" s="5">
        <f>IF(YEAR(I671)&lt;=2020,"Até 2020",TEXT(YEAR(I671),"0"))</f>
        <v/>
      </c>
      <c r="N671" s="5">
        <f>IFERROR(INDEX(DePara!$A:$A,MATCH(TEXT(B671,"0"),DePara!$D:$D,0)),"(sem categoria)")</f>
        <v/>
      </c>
      <c r="O671" s="5">
        <f>IF(J671="","",Parametros!$B$6-J671)</f>
        <v/>
      </c>
      <c r="P671" s="5">
        <f>IF(O671="","",IF(O671&gt;0,1,0))</f>
        <v/>
      </c>
    </row>
    <row r="672">
      <c r="A672" s="5" t="n">
        <v>2122100000</v>
      </c>
      <c r="B672" s="5" t="inlineStr">
        <is>
          <t>IC4420</t>
        </is>
      </c>
      <c r="C672" s="5" t="inlineStr">
        <is>
          <t>NORDEX ENERGY SPAIN S A U</t>
        </is>
      </c>
      <c r="D672" s="5" t="inlineStr">
        <is>
          <t>RE</t>
        </is>
      </c>
      <c r="E672" s="5" t="n">
        <v>5013575</v>
      </c>
      <c r="F672" s="5" t="inlineStr">
        <is>
          <t>4023003053</t>
        </is>
      </c>
      <c r="G672" s="5" t="inlineStr">
        <is>
          <t>EUR</t>
        </is>
      </c>
      <c r="H672" s="9" t="n">
        <v>-69691.72</v>
      </c>
      <c r="I672" s="16" t="n">
        <v>45112</v>
      </c>
      <c r="J672" s="16" t="n">
        <v>45142</v>
      </c>
      <c r="K672" s="5" t="inlineStr">
        <is>
          <t>0618/23</t>
        </is>
      </c>
      <c r="L672" s="5" t="inlineStr">
        <is>
          <t>4023003053</t>
        </is>
      </c>
      <c r="M672" s="5">
        <f>IF(YEAR(I672)&lt;=2020,"Até 2020",TEXT(YEAR(I672),"0"))</f>
        <v/>
      </c>
      <c r="N672" s="5">
        <f>IFERROR(INDEX(DePara!$A:$A,MATCH(TEXT(B672,"0"),DePara!$D:$D,0)),"(sem categoria)")</f>
        <v/>
      </c>
      <c r="O672" s="5">
        <f>IF(J672="","",Parametros!$B$6-J672)</f>
        <v/>
      </c>
      <c r="P672" s="5">
        <f>IF(O672="","",IF(O672&gt;0,1,0))</f>
        <v/>
      </c>
    </row>
    <row r="673">
      <c r="A673" s="5" t="n">
        <v>2122100000</v>
      </c>
      <c r="B673" s="5" t="inlineStr">
        <is>
          <t>IC1000</t>
        </is>
      </c>
      <c r="C673" s="5" t="inlineStr">
        <is>
          <t>NORDEX ENERGY SE &amp; CO KG</t>
        </is>
      </c>
      <c r="D673" s="5" t="inlineStr">
        <is>
          <t>RE</t>
        </is>
      </c>
      <c r="E673" s="5" t="n">
        <v>5013598</v>
      </c>
      <c r="F673" s="5" t="inlineStr">
        <is>
          <t>4012340076</t>
        </is>
      </c>
      <c r="G673" s="5" t="inlineStr">
        <is>
          <t>EUR</t>
        </is>
      </c>
      <c r="H673" s="9" t="n">
        <v>-113657.69</v>
      </c>
      <c r="I673" s="16" t="n">
        <v>45103</v>
      </c>
      <c r="J673" s="16" t="n">
        <v>45133</v>
      </c>
      <c r="K673" s="5" t="inlineStr">
        <is>
          <t>0468/23</t>
        </is>
      </c>
      <c r="L673" s="5" t="inlineStr">
        <is>
          <t>4012340076</t>
        </is>
      </c>
      <c r="M673" s="5">
        <f>IF(YEAR(I673)&lt;=2020,"Até 2020",TEXT(YEAR(I673),"0"))</f>
        <v/>
      </c>
      <c r="N673" s="5">
        <f>IFERROR(INDEX(DePara!$A:$A,MATCH(TEXT(B673,"0"),DePara!$D:$D,0)),"(sem categoria)")</f>
        <v/>
      </c>
      <c r="O673" s="5">
        <f>IF(J673="","",Parametros!$B$6-J673)</f>
        <v/>
      </c>
      <c r="P673" s="5">
        <f>IF(O673="","",IF(O673&gt;0,1,0))</f>
        <v/>
      </c>
    </row>
    <row r="674">
      <c r="A674" s="5" t="n">
        <v>2122100000</v>
      </c>
      <c r="B674" s="5" t="inlineStr">
        <is>
          <t>IC4420</t>
        </is>
      </c>
      <c r="C674" s="5" t="inlineStr">
        <is>
          <t>NORDEX ENERGY SPAIN S A U</t>
        </is>
      </c>
      <c r="D674" s="5" t="inlineStr">
        <is>
          <t>RE</t>
        </is>
      </c>
      <c r="E674" s="5" t="n">
        <v>5013643</v>
      </c>
      <c r="F674" s="5" t="inlineStr">
        <is>
          <t>4026003507</t>
        </is>
      </c>
      <c r="G674" s="5" t="inlineStr">
        <is>
          <t>EUR</t>
        </is>
      </c>
      <c r="H674" s="9" t="n">
        <v>-2666.34</v>
      </c>
      <c r="I674" s="16" t="n">
        <v>46160</v>
      </c>
      <c r="J674" s="16" t="n">
        <v>46190</v>
      </c>
      <c r="K674" s="5" t="inlineStr">
        <is>
          <t>0352/26</t>
        </is>
      </c>
      <c r="L674" s="5" t="inlineStr">
        <is>
          <t>4026003507</t>
        </is>
      </c>
      <c r="M674" s="5">
        <f>IF(YEAR(I674)&lt;=2020,"Até 2020",TEXT(YEAR(I674),"0"))</f>
        <v/>
      </c>
      <c r="N674" s="5">
        <f>IFERROR(INDEX(DePara!$A:$A,MATCH(TEXT(B674,"0"),DePara!$D:$D,0)),"(sem categoria)")</f>
        <v/>
      </c>
      <c r="O674" s="5">
        <f>IF(J674="","",Parametros!$B$6-J674)</f>
        <v/>
      </c>
      <c r="P674" s="5">
        <f>IF(O674="","",IF(O674&gt;0,1,0))</f>
        <v/>
      </c>
    </row>
    <row r="675">
      <c r="A675" s="5" t="n">
        <v>2122100000</v>
      </c>
      <c r="B675" s="5" t="inlineStr">
        <is>
          <t>IC4420</t>
        </is>
      </c>
      <c r="C675" s="5" t="inlineStr">
        <is>
          <t>NORDEX ENERGY SPAIN S A U</t>
        </is>
      </c>
      <c r="D675" s="5" t="inlineStr">
        <is>
          <t>RE</t>
        </is>
      </c>
      <c r="E675" s="5" t="n">
        <v>5013741</v>
      </c>
      <c r="F675" s="5" t="inlineStr">
        <is>
          <t>4026004612</t>
        </is>
      </c>
      <c r="G675" s="5" t="inlineStr">
        <is>
          <t>EUR</t>
        </is>
      </c>
      <c r="H675" s="9" t="n">
        <v>-2793.55</v>
      </c>
      <c r="I675" s="16" t="n">
        <v>46189</v>
      </c>
      <c r="J675" s="16" t="n">
        <v>46219</v>
      </c>
      <c r="K675" s="5" t="inlineStr">
        <is>
          <t>0403/26</t>
        </is>
      </c>
      <c r="L675" s="5" t="inlineStr">
        <is>
          <t>4026004612</t>
        </is>
      </c>
      <c r="M675" s="5">
        <f>IF(YEAR(I675)&lt;=2020,"Até 2020",TEXT(YEAR(I675),"0"))</f>
        <v/>
      </c>
      <c r="N675" s="5">
        <f>IFERROR(INDEX(DePara!$A:$A,MATCH(TEXT(B675,"0"),DePara!$D:$D,0)),"(sem categoria)")</f>
        <v/>
      </c>
      <c r="O675" s="5">
        <f>IF(J675="","",Parametros!$B$6-J675)</f>
        <v/>
      </c>
      <c r="P675" s="5">
        <f>IF(O675="","",IF(O675&gt;0,1,0))</f>
        <v/>
      </c>
    </row>
    <row r="676">
      <c r="A676" s="5" t="n">
        <v>2122100000</v>
      </c>
      <c r="B676" s="5" t="inlineStr">
        <is>
          <t>IC1000</t>
        </is>
      </c>
      <c r="C676" s="5" t="inlineStr">
        <is>
          <t>NORDEX ENERGY SE &amp; CO KG</t>
        </is>
      </c>
      <c r="D676" s="5" t="inlineStr">
        <is>
          <t>RE</t>
        </is>
      </c>
      <c r="E676" s="5" t="n">
        <v>5013846</v>
      </c>
      <c r="F676" s="5" t="inlineStr">
        <is>
          <t>334645</t>
        </is>
      </c>
      <c r="G676" s="5" t="inlineStr">
        <is>
          <t>EUR</t>
        </is>
      </c>
      <c r="H676" s="9" t="n">
        <v>-57483.34</v>
      </c>
      <c r="I676" s="16" t="n">
        <v>45733</v>
      </c>
      <c r="J676" s="16" t="n">
        <v>45763</v>
      </c>
      <c r="K676" s="5" t="inlineStr">
        <is>
          <t>0256/25</t>
        </is>
      </c>
      <c r="L676" s="5" t="inlineStr">
        <is>
          <t>334645</t>
        </is>
      </c>
      <c r="M676" s="5">
        <f>IF(YEAR(I676)&lt;=2020,"Até 2020",TEXT(YEAR(I676),"0"))</f>
        <v/>
      </c>
      <c r="N676" s="5">
        <f>IFERROR(INDEX(DePara!$A:$A,MATCH(TEXT(B676,"0"),DePara!$D:$D,0)),"(sem categoria)")</f>
        <v/>
      </c>
      <c r="O676" s="5">
        <f>IF(J676="","",Parametros!$B$6-J676)</f>
        <v/>
      </c>
      <c r="P676" s="5">
        <f>IF(O676="","",IF(O676&gt;0,1,0))</f>
        <v/>
      </c>
    </row>
    <row r="677">
      <c r="A677" s="5" t="n">
        <v>2122100000</v>
      </c>
      <c r="B677" s="5" t="inlineStr">
        <is>
          <t>IC4420</t>
        </is>
      </c>
      <c r="C677" s="5" t="inlineStr">
        <is>
          <t>NORDEX ENERGY SPAIN S A U</t>
        </is>
      </c>
      <c r="D677" s="5" t="inlineStr">
        <is>
          <t>RE</t>
        </is>
      </c>
      <c r="E677" s="5" t="n">
        <v>5013892</v>
      </c>
      <c r="F677" s="5" t="inlineStr">
        <is>
          <t>4023003067</t>
        </is>
      </c>
      <c r="G677" s="5" t="inlineStr">
        <is>
          <t>EUR</t>
        </is>
      </c>
      <c r="H677" s="9" t="n">
        <v>-67084.57000000001</v>
      </c>
      <c r="I677" s="16" t="n">
        <v>45112</v>
      </c>
      <c r="J677" s="16" t="n">
        <v>45142</v>
      </c>
      <c r="K677" s="5" t="inlineStr">
        <is>
          <t>0609/23</t>
        </is>
      </c>
      <c r="L677" s="5" t="inlineStr">
        <is>
          <t>4023003067</t>
        </is>
      </c>
      <c r="M677" s="5">
        <f>IF(YEAR(I677)&lt;=2020,"Até 2020",TEXT(YEAR(I677),"0"))</f>
        <v/>
      </c>
      <c r="N677" s="5">
        <f>IFERROR(INDEX(DePara!$A:$A,MATCH(TEXT(B677,"0"),DePara!$D:$D,0)),"(sem categoria)")</f>
        <v/>
      </c>
      <c r="O677" s="5">
        <f>IF(J677="","",Parametros!$B$6-J677)</f>
        <v/>
      </c>
      <c r="P677" s="5">
        <f>IF(O677="","",IF(O677&gt;0,1,0))</f>
        <v/>
      </c>
    </row>
    <row r="678">
      <c r="A678" s="5" t="n">
        <v>2122100000</v>
      </c>
      <c r="B678" s="5" t="inlineStr">
        <is>
          <t>IC4420</t>
        </is>
      </c>
      <c r="C678" s="5" t="inlineStr">
        <is>
          <t>NORDEX ENERGY SPAIN S A U</t>
        </is>
      </c>
      <c r="D678" s="5" t="inlineStr">
        <is>
          <t>RE</t>
        </is>
      </c>
      <c r="E678" s="5" t="n">
        <v>5013929</v>
      </c>
      <c r="F678" s="5" t="inlineStr">
        <is>
          <t>4023002652</t>
        </is>
      </c>
      <c r="G678" s="5" t="inlineStr">
        <is>
          <t>EUR</t>
        </is>
      </c>
      <c r="H678" s="9" t="n">
        <v>-5545.26</v>
      </c>
      <c r="I678" s="16" t="n">
        <v>45097</v>
      </c>
      <c r="J678" s="16" t="n">
        <v>45127</v>
      </c>
      <c r="K678" s="5" t="inlineStr">
        <is>
          <t>0510/23</t>
        </is>
      </c>
      <c r="L678" s="5" t="inlineStr">
        <is>
          <t>4023002652</t>
        </is>
      </c>
      <c r="M678" s="5">
        <f>IF(YEAR(I678)&lt;=2020,"Até 2020",TEXT(YEAR(I678),"0"))</f>
        <v/>
      </c>
      <c r="N678" s="5">
        <f>IFERROR(INDEX(DePara!$A:$A,MATCH(TEXT(B678,"0"),DePara!$D:$D,0)),"(sem categoria)")</f>
        <v/>
      </c>
      <c r="O678" s="5">
        <f>IF(J678="","",Parametros!$B$6-J678)</f>
        <v/>
      </c>
      <c r="P678" s="5">
        <f>IF(O678="","",IF(O678&gt;0,1,0))</f>
        <v/>
      </c>
    </row>
    <row r="679">
      <c r="A679" s="5" t="n">
        <v>2122100000</v>
      </c>
      <c r="B679" s="5" t="inlineStr">
        <is>
          <t>IC1000</t>
        </is>
      </c>
      <c r="C679" s="5" t="inlineStr">
        <is>
          <t>NORDEX ENERGY SE &amp; CO KG</t>
        </is>
      </c>
      <c r="D679" s="5" t="inlineStr">
        <is>
          <t>RE</t>
        </is>
      </c>
      <c r="E679" s="5" t="n">
        <v>5013998</v>
      </c>
      <c r="F679" s="5" t="inlineStr">
        <is>
          <t>404649</t>
        </is>
      </c>
      <c r="G679" s="5" t="inlineStr">
        <is>
          <t>EUR</t>
        </is>
      </c>
      <c r="H679" s="9" t="n">
        <v>-13379.14</v>
      </c>
      <c r="I679" s="16" t="n">
        <v>46190</v>
      </c>
      <c r="J679" s="16" t="n">
        <v>46220</v>
      </c>
      <c r="K679" s="5" t="inlineStr">
        <is>
          <t>0423/26</t>
        </is>
      </c>
      <c r="L679" s="5" t="inlineStr">
        <is>
          <t>404649</t>
        </is>
      </c>
      <c r="M679" s="5">
        <f>IF(YEAR(I679)&lt;=2020,"Até 2020",TEXT(YEAR(I679),"0"))</f>
        <v/>
      </c>
      <c r="N679" s="5">
        <f>IFERROR(INDEX(DePara!$A:$A,MATCH(TEXT(B679,"0"),DePara!$D:$D,0)),"(sem categoria)")</f>
        <v/>
      </c>
      <c r="O679" s="5">
        <f>IF(J679="","",Parametros!$B$6-J679)</f>
        <v/>
      </c>
      <c r="P679" s="5">
        <f>IF(O679="","",IF(O679&gt;0,1,0))</f>
        <v/>
      </c>
    </row>
    <row r="680">
      <c r="A680" s="5" t="n">
        <v>2122100000</v>
      </c>
      <c r="B680" s="5" t="inlineStr">
        <is>
          <t>IC4420</t>
        </is>
      </c>
      <c r="C680" s="5" t="inlineStr">
        <is>
          <t>NORDEX ENERGY SPAIN S A U</t>
        </is>
      </c>
      <c r="D680" s="5" t="inlineStr">
        <is>
          <t>RE</t>
        </is>
      </c>
      <c r="E680" s="5" t="n">
        <v>5013999</v>
      </c>
      <c r="F680" s="5" t="inlineStr">
        <is>
          <t>4026004414</t>
        </is>
      </c>
      <c r="G680" s="5" t="inlineStr">
        <is>
          <t>EUR</t>
        </is>
      </c>
      <c r="H680" s="9" t="n">
        <v>-154211.76</v>
      </c>
      <c r="I680" s="16" t="n">
        <v>46185</v>
      </c>
      <c r="J680" s="16" t="n">
        <v>46215</v>
      </c>
      <c r="K680" s="5" t="inlineStr">
        <is>
          <t>0413/26</t>
        </is>
      </c>
      <c r="L680" s="5" t="inlineStr">
        <is>
          <t>4026004414</t>
        </is>
      </c>
      <c r="M680" s="5">
        <f>IF(YEAR(I680)&lt;=2020,"Até 2020",TEXT(YEAR(I680),"0"))</f>
        <v/>
      </c>
      <c r="N680" s="5">
        <f>IFERROR(INDEX(DePara!$A:$A,MATCH(TEXT(B680,"0"),DePara!$D:$D,0)),"(sem categoria)")</f>
        <v/>
      </c>
      <c r="O680" s="5">
        <f>IF(J680="","",Parametros!$B$6-J680)</f>
        <v/>
      </c>
      <c r="P680" s="5">
        <f>IF(O680="","",IF(O680&gt;0,1,0))</f>
        <v/>
      </c>
    </row>
    <row r="681">
      <c r="A681" s="5" t="n">
        <v>2122100000</v>
      </c>
      <c r="B681" s="5" t="inlineStr">
        <is>
          <t>IC1000</t>
        </is>
      </c>
      <c r="C681" s="5" t="inlineStr">
        <is>
          <t>NORDEX ENERGY SE &amp; CO KG</t>
        </is>
      </c>
      <c r="D681" s="5" t="inlineStr">
        <is>
          <t>RE</t>
        </is>
      </c>
      <c r="E681" s="5" t="n">
        <v>5014017</v>
      </c>
      <c r="F681" s="5" t="inlineStr">
        <is>
          <t>4012360845</t>
        </is>
      </c>
      <c r="G681" s="5" t="inlineStr">
        <is>
          <t>EUR</t>
        </is>
      </c>
      <c r="H681" s="9" t="n">
        <v>-5647.23</v>
      </c>
      <c r="I681" s="16" t="n">
        <v>45247</v>
      </c>
      <c r="J681" s="16" t="n">
        <v>45277</v>
      </c>
      <c r="K681" s="5" t="inlineStr">
        <is>
          <t>0577/23</t>
        </is>
      </c>
      <c r="L681" s="5" t="inlineStr">
        <is>
          <t>4012360845</t>
        </is>
      </c>
      <c r="M681" s="5">
        <f>IF(YEAR(I681)&lt;=2020,"Até 2020",TEXT(YEAR(I681),"0"))</f>
        <v/>
      </c>
      <c r="N681" s="5">
        <f>IFERROR(INDEX(DePara!$A:$A,MATCH(TEXT(B681,"0"),DePara!$D:$D,0)),"(sem categoria)")</f>
        <v/>
      </c>
      <c r="O681" s="5">
        <f>IF(J681="","",Parametros!$B$6-J681)</f>
        <v/>
      </c>
      <c r="P681" s="5">
        <f>IF(O681="","",IF(O681&gt;0,1,0))</f>
        <v/>
      </c>
    </row>
    <row r="682">
      <c r="A682" s="5" t="n">
        <v>2122100000</v>
      </c>
      <c r="B682" s="5" t="inlineStr">
        <is>
          <t>IC1000</t>
        </is>
      </c>
      <c r="C682" s="5" t="inlineStr">
        <is>
          <t>NORDEX ENERGY SE &amp; CO KG</t>
        </is>
      </c>
      <c r="D682" s="5" t="inlineStr">
        <is>
          <t>RE</t>
        </is>
      </c>
      <c r="E682" s="5" t="n">
        <v>5014043</v>
      </c>
      <c r="F682" s="5" t="inlineStr">
        <is>
          <t>384610</t>
        </is>
      </c>
      <c r="G682" s="5" t="inlineStr">
        <is>
          <t>EUR</t>
        </is>
      </c>
      <c r="H682" s="9" t="n">
        <v>-51372.02</v>
      </c>
      <c r="I682" s="16" t="n">
        <v>46140</v>
      </c>
      <c r="J682" s="16" t="n">
        <v>46170</v>
      </c>
      <c r="K682" s="5" t="inlineStr">
        <is>
          <t>0372/26</t>
        </is>
      </c>
      <c r="L682" s="5" t="inlineStr">
        <is>
          <t>384610</t>
        </is>
      </c>
      <c r="M682" s="5">
        <f>IF(YEAR(I682)&lt;=2020,"Até 2020",TEXT(YEAR(I682),"0"))</f>
        <v/>
      </c>
      <c r="N682" s="5">
        <f>IFERROR(INDEX(DePara!$A:$A,MATCH(TEXT(B682,"0"),DePara!$D:$D,0)),"(sem categoria)")</f>
        <v/>
      </c>
      <c r="O682" s="5">
        <f>IF(J682="","",Parametros!$B$6-J682)</f>
        <v/>
      </c>
      <c r="P682" s="5">
        <f>IF(O682="","",IF(O682&gt;0,1,0))</f>
        <v/>
      </c>
    </row>
    <row r="683">
      <c r="A683" s="5" t="n">
        <v>2122100000</v>
      </c>
      <c r="B683" s="5" t="inlineStr">
        <is>
          <t>IC4420</t>
        </is>
      </c>
      <c r="C683" s="5" t="inlineStr">
        <is>
          <t>NORDEX ENERGY SPAIN S A U</t>
        </is>
      </c>
      <c r="D683" s="5" t="inlineStr">
        <is>
          <t>RE</t>
        </is>
      </c>
      <c r="E683" s="5" t="n">
        <v>5014046</v>
      </c>
      <c r="F683" s="5" t="inlineStr">
        <is>
          <t>4026005012</t>
        </is>
      </c>
      <c r="G683" s="5" t="inlineStr">
        <is>
          <t>EUR</t>
        </is>
      </c>
      <c r="H683" s="9" t="n">
        <v>-140194.37</v>
      </c>
      <c r="I683" s="16" t="n">
        <v>46204</v>
      </c>
      <c r="J683" s="16" t="n">
        <v>46234</v>
      </c>
      <c r="K683" s="5" t="inlineStr">
        <is>
          <t>0464/26</t>
        </is>
      </c>
      <c r="L683" s="5" t="inlineStr">
        <is>
          <t>4026005012</t>
        </is>
      </c>
      <c r="M683" s="5">
        <f>IF(YEAR(I683)&lt;=2020,"Até 2020",TEXT(YEAR(I683),"0"))</f>
        <v/>
      </c>
      <c r="N683" s="5">
        <f>IFERROR(INDEX(DePara!$A:$A,MATCH(TEXT(B683,"0"),DePara!$D:$D,0)),"(sem categoria)")</f>
        <v/>
      </c>
      <c r="O683" s="5">
        <f>IF(J683="","",Parametros!$B$6-J683)</f>
        <v/>
      </c>
      <c r="P683" s="5">
        <f>IF(O683="","",IF(O683&gt;0,1,0))</f>
        <v/>
      </c>
    </row>
    <row r="684">
      <c r="A684" s="5" t="n">
        <v>2122100000</v>
      </c>
      <c r="B684" s="5" t="inlineStr">
        <is>
          <t>IC4420</t>
        </is>
      </c>
      <c r="C684" s="5" t="inlineStr">
        <is>
          <t>NORDEX ENERGY SPAIN S A U</t>
        </is>
      </c>
      <c r="D684" s="5" t="inlineStr">
        <is>
          <t>RE</t>
        </is>
      </c>
      <c r="E684" s="5" t="n">
        <v>5014047</v>
      </c>
      <c r="F684" s="5" t="inlineStr">
        <is>
          <t>4026003295</t>
        </is>
      </c>
      <c r="G684" s="5" t="inlineStr">
        <is>
          <t>EUR</t>
        </is>
      </c>
      <c r="H684" s="9" t="n">
        <v>-130296.23</v>
      </c>
      <c r="I684" s="16" t="n">
        <v>46153</v>
      </c>
      <c r="J684" s="16" t="n">
        <v>46183</v>
      </c>
      <c r="K684" s="5" t="inlineStr">
        <is>
          <t>0341/26</t>
        </is>
      </c>
      <c r="L684" s="5" t="inlineStr">
        <is>
          <t>4026003295</t>
        </is>
      </c>
      <c r="M684" s="5">
        <f>IF(YEAR(I684)&lt;=2020,"Até 2020",TEXT(YEAR(I684),"0"))</f>
        <v/>
      </c>
      <c r="N684" s="5">
        <f>IFERROR(INDEX(DePara!$A:$A,MATCH(TEXT(B684,"0"),DePara!$D:$D,0)),"(sem categoria)")</f>
        <v/>
      </c>
      <c r="O684" s="5">
        <f>IF(J684="","",Parametros!$B$6-J684)</f>
        <v/>
      </c>
      <c r="P684" s="5">
        <f>IF(O684="","",IF(O684&gt;0,1,0))</f>
        <v/>
      </c>
    </row>
    <row r="685">
      <c r="A685" s="5" t="n">
        <v>2122100000</v>
      </c>
      <c r="B685" s="5" t="inlineStr">
        <is>
          <t>IC4420</t>
        </is>
      </c>
      <c r="C685" s="5" t="inlineStr">
        <is>
          <t>NORDEX ENERGY SPAIN S A U</t>
        </is>
      </c>
      <c r="D685" s="5" t="inlineStr">
        <is>
          <t>RE</t>
        </is>
      </c>
      <c r="E685" s="5" t="n">
        <v>5014094</v>
      </c>
      <c r="F685" s="5" t="inlineStr">
        <is>
          <t>4026004633</t>
        </is>
      </c>
      <c r="G685" s="5" t="inlineStr">
        <is>
          <t>EUR</t>
        </is>
      </c>
      <c r="H685" s="9" t="n">
        <v>-9317.469999999999</v>
      </c>
      <c r="I685" s="16" t="n">
        <v>46191</v>
      </c>
      <c r="J685" s="16" t="n">
        <v>46221</v>
      </c>
      <c r="K685" s="5" t="inlineStr">
        <is>
          <t>0417/26</t>
        </is>
      </c>
      <c r="L685" s="5" t="inlineStr">
        <is>
          <t>4026004633</t>
        </is>
      </c>
      <c r="M685" s="5">
        <f>IF(YEAR(I685)&lt;=2020,"Até 2020",TEXT(YEAR(I685),"0"))</f>
        <v/>
      </c>
      <c r="N685" s="5">
        <f>IFERROR(INDEX(DePara!$A:$A,MATCH(TEXT(B685,"0"),DePara!$D:$D,0)),"(sem categoria)")</f>
        <v/>
      </c>
      <c r="O685" s="5">
        <f>IF(J685="","",Parametros!$B$6-J685)</f>
        <v/>
      </c>
      <c r="P685" s="5">
        <f>IF(O685="","",IF(O685&gt;0,1,0))</f>
        <v/>
      </c>
    </row>
    <row r="686">
      <c r="A686" s="5" t="n">
        <v>2122100000</v>
      </c>
      <c r="B686" s="5" t="inlineStr">
        <is>
          <t>IC4420</t>
        </is>
      </c>
      <c r="C686" s="5" t="inlineStr">
        <is>
          <t>NORDEX ENERGY SPAIN S A U</t>
        </is>
      </c>
      <c r="D686" s="5" t="inlineStr">
        <is>
          <t>RE</t>
        </is>
      </c>
      <c r="E686" s="5" t="n">
        <v>5014095</v>
      </c>
      <c r="F686" s="5" t="inlineStr">
        <is>
          <t>4026004413</t>
        </is>
      </c>
      <c r="G686" s="5" t="inlineStr">
        <is>
          <t>EUR</t>
        </is>
      </c>
      <c r="H686" s="9" t="n">
        <v>-6125.79</v>
      </c>
      <c r="I686" s="16" t="n">
        <v>46185</v>
      </c>
      <c r="J686" s="16" t="n">
        <v>46215</v>
      </c>
      <c r="K686" s="5" t="inlineStr">
        <is>
          <t>0412/26</t>
        </is>
      </c>
      <c r="L686" s="5" t="inlineStr">
        <is>
          <t>4026004413</t>
        </is>
      </c>
      <c r="M686" s="5">
        <f>IF(YEAR(I686)&lt;=2020,"Até 2020",TEXT(YEAR(I686),"0"))</f>
        <v/>
      </c>
      <c r="N686" s="5">
        <f>IFERROR(INDEX(DePara!$A:$A,MATCH(TEXT(B686,"0"),DePara!$D:$D,0)),"(sem categoria)")</f>
        <v/>
      </c>
      <c r="O686" s="5">
        <f>IF(J686="","",Parametros!$B$6-J686)</f>
        <v/>
      </c>
      <c r="P686" s="5">
        <f>IF(O686="","",IF(O686&gt;0,1,0))</f>
        <v/>
      </c>
    </row>
    <row r="687">
      <c r="A687" s="5" t="n">
        <v>2122100000</v>
      </c>
      <c r="B687" s="5" t="inlineStr">
        <is>
          <t>IC4420</t>
        </is>
      </c>
      <c r="C687" s="5" t="inlineStr">
        <is>
          <t>NORDEX ENERGY SPAIN S A U</t>
        </is>
      </c>
      <c r="D687" s="5" t="inlineStr">
        <is>
          <t>RE</t>
        </is>
      </c>
      <c r="E687" s="5" t="n">
        <v>5014096</v>
      </c>
      <c r="F687" s="5" t="inlineStr">
        <is>
          <t>4026005217</t>
        </is>
      </c>
      <c r="G687" s="5" t="inlineStr">
        <is>
          <t>EUR</t>
        </is>
      </c>
      <c r="H687" s="9" t="n">
        <v>-22475.77</v>
      </c>
      <c r="I687" s="16" t="n">
        <v>46216</v>
      </c>
      <c r="J687" s="16" t="n">
        <v>46246</v>
      </c>
      <c r="K687" s="5" t="inlineStr">
        <is>
          <t>0474/26</t>
        </is>
      </c>
      <c r="L687" s="5" t="inlineStr">
        <is>
          <t>4026005217</t>
        </is>
      </c>
      <c r="M687" s="5">
        <f>IF(YEAR(I687)&lt;=2020,"Até 2020",TEXT(YEAR(I687),"0"))</f>
        <v/>
      </c>
      <c r="N687" s="5">
        <f>IFERROR(INDEX(DePara!$A:$A,MATCH(TEXT(B687,"0"),DePara!$D:$D,0)),"(sem categoria)")</f>
        <v/>
      </c>
      <c r="O687" s="5">
        <f>IF(J687="","",Parametros!$B$6-J687)</f>
        <v/>
      </c>
      <c r="P687" s="5">
        <f>IF(O687="","",IF(O687&gt;0,1,0))</f>
        <v/>
      </c>
    </row>
    <row r="688">
      <c r="A688" s="5" t="n">
        <v>2122100000</v>
      </c>
      <c r="B688" s="5" t="inlineStr">
        <is>
          <t>IC4420</t>
        </is>
      </c>
      <c r="C688" s="5" t="inlineStr">
        <is>
          <t>NORDEX ENERGY SPAIN S A U</t>
        </is>
      </c>
      <c r="D688" s="5" t="inlineStr">
        <is>
          <t>RE</t>
        </is>
      </c>
      <c r="E688" s="5" t="n">
        <v>5014098</v>
      </c>
      <c r="F688" s="5" t="inlineStr">
        <is>
          <t>4026002160</t>
        </is>
      </c>
      <c r="G688" s="5" t="inlineStr">
        <is>
          <t>EUR</t>
        </is>
      </c>
      <c r="H688" s="9" t="n">
        <v>-151.31</v>
      </c>
      <c r="I688" s="16" t="n">
        <v>46108</v>
      </c>
      <c r="J688" s="16" t="n">
        <v>46138</v>
      </c>
      <c r="K688" s="5" t="inlineStr">
        <is>
          <t>0230/26</t>
        </is>
      </c>
      <c r="L688" s="5" t="inlineStr">
        <is>
          <t>4026002160</t>
        </is>
      </c>
      <c r="M688" s="5">
        <f>IF(YEAR(I688)&lt;=2020,"Até 2020",TEXT(YEAR(I688),"0"))</f>
        <v/>
      </c>
      <c r="N688" s="5">
        <f>IFERROR(INDEX(DePara!$A:$A,MATCH(TEXT(B688,"0"),DePara!$D:$D,0)),"(sem categoria)")</f>
        <v/>
      </c>
      <c r="O688" s="5">
        <f>IF(J688="","",Parametros!$B$6-J688)</f>
        <v/>
      </c>
      <c r="P688" s="5">
        <f>IF(O688="","",IF(O688&gt;0,1,0))</f>
        <v/>
      </c>
    </row>
    <row r="689">
      <c r="A689" s="5" t="n">
        <v>2122100000</v>
      </c>
      <c r="B689" s="5" t="inlineStr">
        <is>
          <t>IC4420</t>
        </is>
      </c>
      <c r="C689" s="5" t="inlineStr">
        <is>
          <t>NORDEX ENERGY SPAIN S A U</t>
        </is>
      </c>
      <c r="D689" s="5" t="inlineStr">
        <is>
          <t>RE</t>
        </is>
      </c>
      <c r="E689" s="5" t="n">
        <v>5014099</v>
      </c>
      <c r="F689" s="5" t="inlineStr">
        <is>
          <t>4026003293</t>
        </is>
      </c>
      <c r="G689" s="5" t="inlineStr">
        <is>
          <t>EUR</t>
        </is>
      </c>
      <c r="H689" s="9" t="n">
        <v>-104139.04</v>
      </c>
      <c r="I689" s="16" t="n">
        <v>46153</v>
      </c>
      <c r="J689" s="16" t="n">
        <v>46183</v>
      </c>
      <c r="K689" s="5" t="inlineStr">
        <is>
          <t>0339/26</t>
        </is>
      </c>
      <c r="L689" s="5" t="inlineStr">
        <is>
          <t>4026003293</t>
        </is>
      </c>
      <c r="M689" s="5">
        <f>IF(YEAR(I689)&lt;=2020,"Até 2020",TEXT(YEAR(I689),"0"))</f>
        <v/>
      </c>
      <c r="N689" s="5">
        <f>IFERROR(INDEX(DePara!$A:$A,MATCH(TEXT(B689,"0"),DePara!$D:$D,0)),"(sem categoria)")</f>
        <v/>
      </c>
      <c r="O689" s="5">
        <f>IF(J689="","",Parametros!$B$6-J689)</f>
        <v/>
      </c>
      <c r="P689" s="5">
        <f>IF(O689="","",IF(O689&gt;0,1,0))</f>
        <v/>
      </c>
    </row>
    <row r="690">
      <c r="A690" s="5" t="n">
        <v>2122100000</v>
      </c>
      <c r="B690" s="5" t="inlineStr">
        <is>
          <t>IC4420</t>
        </is>
      </c>
      <c r="C690" s="5" t="inlineStr">
        <is>
          <t>NORDEX ENERGY SPAIN S A U</t>
        </is>
      </c>
      <c r="D690" s="5" t="inlineStr">
        <is>
          <t>RE</t>
        </is>
      </c>
      <c r="E690" s="5" t="n">
        <v>5014100</v>
      </c>
      <c r="F690" s="5" t="inlineStr">
        <is>
          <t>4026005017</t>
        </is>
      </c>
      <c r="G690" s="5" t="inlineStr">
        <is>
          <t>EUR</t>
        </is>
      </c>
      <c r="H690" s="9" t="n">
        <v>-4387.26</v>
      </c>
      <c r="I690" s="16" t="n">
        <v>46204</v>
      </c>
      <c r="J690" s="16" t="n">
        <v>46234</v>
      </c>
      <c r="K690" s="5" t="inlineStr">
        <is>
          <t>0467/26</t>
        </is>
      </c>
      <c r="L690" s="5" t="inlineStr">
        <is>
          <t>4026005017</t>
        </is>
      </c>
      <c r="M690" s="5">
        <f>IF(YEAR(I690)&lt;=2020,"Até 2020",TEXT(YEAR(I690),"0"))</f>
        <v/>
      </c>
      <c r="N690" s="5">
        <f>IFERROR(INDEX(DePara!$A:$A,MATCH(TEXT(B690,"0"),DePara!$D:$D,0)),"(sem categoria)")</f>
        <v/>
      </c>
      <c r="O690" s="5">
        <f>IF(J690="","",Parametros!$B$6-J690)</f>
        <v/>
      </c>
      <c r="P690" s="5">
        <f>IF(O690="","",IF(O690&gt;0,1,0))</f>
        <v/>
      </c>
    </row>
    <row r="691">
      <c r="A691" s="5" t="n">
        <v>2122100000</v>
      </c>
      <c r="B691" s="5" t="inlineStr">
        <is>
          <t>IC4420</t>
        </is>
      </c>
      <c r="C691" s="5" t="inlineStr">
        <is>
          <t>NORDEX ENERGY SPAIN S A U</t>
        </is>
      </c>
      <c r="D691" s="5" t="inlineStr">
        <is>
          <t>RE</t>
        </is>
      </c>
      <c r="E691" s="5" t="n">
        <v>5014101</v>
      </c>
      <c r="F691" s="5" t="inlineStr">
        <is>
          <t>4026002167</t>
        </is>
      </c>
      <c r="G691" s="5" t="inlineStr">
        <is>
          <t>EUR</t>
        </is>
      </c>
      <c r="H691" s="9" t="n">
        <v>-48578.36</v>
      </c>
      <c r="I691" s="16" t="n">
        <v>46108</v>
      </c>
      <c r="J691" s="16" t="n">
        <v>46138</v>
      </c>
      <c r="K691" s="5" t="inlineStr">
        <is>
          <t>0233/26</t>
        </is>
      </c>
      <c r="L691" s="5" t="inlineStr">
        <is>
          <t>4026002167</t>
        </is>
      </c>
      <c r="M691" s="5">
        <f>IF(YEAR(I691)&lt;=2020,"Até 2020",TEXT(YEAR(I691),"0"))</f>
        <v/>
      </c>
      <c r="N691" s="5">
        <f>IFERROR(INDEX(DePara!$A:$A,MATCH(TEXT(B691,"0"),DePara!$D:$D,0)),"(sem categoria)")</f>
        <v/>
      </c>
      <c r="O691" s="5">
        <f>IF(J691="","",Parametros!$B$6-J691)</f>
        <v/>
      </c>
      <c r="P691" s="5">
        <f>IF(O691="","",IF(O691&gt;0,1,0))</f>
        <v/>
      </c>
    </row>
    <row r="692">
      <c r="A692" s="5" t="n">
        <v>2122100000</v>
      </c>
      <c r="B692" s="5" t="inlineStr">
        <is>
          <t>IC4420</t>
        </is>
      </c>
      <c r="C692" s="5" t="inlineStr">
        <is>
          <t>NORDEX ENERGY SPAIN S A U</t>
        </is>
      </c>
      <c r="D692" s="5" t="inlineStr">
        <is>
          <t>RE</t>
        </is>
      </c>
      <c r="E692" s="5" t="n">
        <v>5014102</v>
      </c>
      <c r="F692" s="5" t="inlineStr">
        <is>
          <t>4026005015</t>
        </is>
      </c>
      <c r="G692" s="5" t="inlineStr">
        <is>
          <t>EUR</t>
        </is>
      </c>
      <c r="H692" s="9" t="n">
        <v>-727.46</v>
      </c>
      <c r="I692" s="16" t="n">
        <v>46204</v>
      </c>
      <c r="J692" s="16" t="n">
        <v>46234</v>
      </c>
      <c r="K692" s="5" t="inlineStr">
        <is>
          <t>0466/26</t>
        </is>
      </c>
      <c r="L692" s="5" t="inlineStr">
        <is>
          <t>4026005015</t>
        </is>
      </c>
      <c r="M692" s="5">
        <f>IF(YEAR(I692)&lt;=2020,"Até 2020",TEXT(YEAR(I692),"0"))</f>
        <v/>
      </c>
      <c r="N692" s="5">
        <f>IFERROR(INDEX(DePara!$A:$A,MATCH(TEXT(B692,"0"),DePara!$D:$D,0)),"(sem categoria)")</f>
        <v/>
      </c>
      <c r="O692" s="5">
        <f>IF(J692="","",Parametros!$B$6-J692)</f>
        <v/>
      </c>
      <c r="P692" s="5">
        <f>IF(O692="","",IF(O692&gt;0,1,0))</f>
        <v/>
      </c>
    </row>
    <row r="693">
      <c r="A693" s="5" t="n">
        <v>2122100000</v>
      </c>
      <c r="B693" s="5" t="inlineStr">
        <is>
          <t>IC4420</t>
        </is>
      </c>
      <c r="C693" s="5" t="inlineStr">
        <is>
          <t>NORDEX ENERGY SPAIN S A U</t>
        </is>
      </c>
      <c r="D693" s="5" t="inlineStr">
        <is>
          <t>RE</t>
        </is>
      </c>
      <c r="E693" s="5" t="n">
        <v>5014103</v>
      </c>
      <c r="F693" s="5" t="inlineStr">
        <is>
          <t>4018000141</t>
        </is>
      </c>
      <c r="G693" s="5" t="inlineStr">
        <is>
          <t>EUR</t>
        </is>
      </c>
      <c r="H693" s="9" t="n">
        <v>-292.75</v>
      </c>
      <c r="I693" s="16" t="n">
        <v>46184</v>
      </c>
      <c r="J693" s="16" t="n">
        <v>46214</v>
      </c>
      <c r="K693" s="5" t="inlineStr">
        <is>
          <t>0454/26</t>
        </is>
      </c>
      <c r="L693" s="5" t="inlineStr">
        <is>
          <t>4018000141</t>
        </is>
      </c>
      <c r="M693" s="5">
        <f>IF(YEAR(I693)&lt;=2020,"Até 2020",TEXT(YEAR(I693),"0"))</f>
        <v/>
      </c>
      <c r="N693" s="5">
        <f>IFERROR(INDEX(DePara!$A:$A,MATCH(TEXT(B693,"0"),DePara!$D:$D,0)),"(sem categoria)")</f>
        <v/>
      </c>
      <c r="O693" s="5">
        <f>IF(J693="","",Parametros!$B$6-J693)</f>
        <v/>
      </c>
      <c r="P693" s="5">
        <f>IF(O693="","",IF(O693&gt;0,1,0))</f>
        <v/>
      </c>
    </row>
    <row r="694">
      <c r="A694" s="5" t="n">
        <v>2122100000</v>
      </c>
      <c r="B694" s="5" t="inlineStr">
        <is>
          <t>IC4420</t>
        </is>
      </c>
      <c r="C694" s="5" t="inlineStr">
        <is>
          <t>NORDEX ENERGY SPAIN S A U</t>
        </is>
      </c>
      <c r="D694" s="5" t="inlineStr">
        <is>
          <t>RE</t>
        </is>
      </c>
      <c r="E694" s="5" t="n">
        <v>5014104</v>
      </c>
      <c r="F694" s="5" t="inlineStr">
        <is>
          <t>4026003294</t>
        </is>
      </c>
      <c r="G694" s="5" t="inlineStr">
        <is>
          <t>EUR</t>
        </is>
      </c>
      <c r="H694" s="9" t="n">
        <v>-65458.76</v>
      </c>
      <c r="I694" s="16" t="n">
        <v>46153</v>
      </c>
      <c r="J694" s="16" t="n">
        <v>46183</v>
      </c>
      <c r="K694" s="5" t="inlineStr">
        <is>
          <t>0340/26</t>
        </is>
      </c>
      <c r="L694" s="5" t="inlineStr">
        <is>
          <t>4026003294</t>
        </is>
      </c>
      <c r="M694" s="5">
        <f>IF(YEAR(I694)&lt;=2020,"Até 2020",TEXT(YEAR(I694),"0"))</f>
        <v/>
      </c>
      <c r="N694" s="5">
        <f>IFERROR(INDEX(DePara!$A:$A,MATCH(TEXT(B694,"0"),DePara!$D:$D,0)),"(sem categoria)")</f>
        <v/>
      </c>
      <c r="O694" s="5">
        <f>IF(J694="","",Parametros!$B$6-J694)</f>
        <v/>
      </c>
      <c r="P694" s="5">
        <f>IF(O694="","",IF(O694&gt;0,1,0))</f>
        <v/>
      </c>
    </row>
    <row r="695">
      <c r="A695" s="5" t="n">
        <v>2122100000</v>
      </c>
      <c r="B695" s="5" t="inlineStr">
        <is>
          <t>IC4420</t>
        </is>
      </c>
      <c r="C695" s="5" t="inlineStr">
        <is>
          <t>NORDEX ENERGY SPAIN S A U</t>
        </is>
      </c>
      <c r="D695" s="5" t="inlineStr">
        <is>
          <t>RE</t>
        </is>
      </c>
      <c r="E695" s="5" t="n">
        <v>5014105</v>
      </c>
      <c r="F695" s="5" t="inlineStr">
        <is>
          <t>4026004406</t>
        </is>
      </c>
      <c r="G695" s="5" t="inlineStr">
        <is>
          <t>EUR</t>
        </is>
      </c>
      <c r="H695" s="9" t="n">
        <v>-3888.25</v>
      </c>
      <c r="I695" s="16" t="n">
        <v>46184</v>
      </c>
      <c r="J695" s="16" t="n">
        <v>46214</v>
      </c>
      <c r="K695" s="5" t="inlineStr">
        <is>
          <t>0455/26</t>
        </is>
      </c>
      <c r="L695" s="5" t="inlineStr">
        <is>
          <t>4026004406</t>
        </is>
      </c>
      <c r="M695" s="5">
        <f>IF(YEAR(I695)&lt;=2020,"Até 2020",TEXT(YEAR(I695),"0"))</f>
        <v/>
      </c>
      <c r="N695" s="5">
        <f>IFERROR(INDEX(DePara!$A:$A,MATCH(TEXT(B695,"0"),DePara!$D:$D,0)),"(sem categoria)")</f>
        <v/>
      </c>
      <c r="O695" s="5">
        <f>IF(J695="","",Parametros!$B$6-J695)</f>
        <v/>
      </c>
      <c r="P695" s="5">
        <f>IF(O695="","",IF(O695&gt;0,1,0))</f>
        <v/>
      </c>
    </row>
    <row r="696">
      <c r="A696" s="5" t="n">
        <v>2122100000</v>
      </c>
      <c r="B696" s="5" t="inlineStr">
        <is>
          <t>IC4420</t>
        </is>
      </c>
      <c r="C696" s="5" t="inlineStr">
        <is>
          <t>NORDEX ENERGY SPAIN S A U</t>
        </is>
      </c>
      <c r="D696" s="5" t="inlineStr">
        <is>
          <t>RE</t>
        </is>
      </c>
      <c r="E696" s="5" t="n">
        <v>5014106</v>
      </c>
      <c r="F696" s="5" t="inlineStr">
        <is>
          <t>4026003299</t>
        </is>
      </c>
      <c r="G696" s="5" t="inlineStr">
        <is>
          <t>EUR</t>
        </is>
      </c>
      <c r="H696" s="9" t="n">
        <v>-629.45</v>
      </c>
      <c r="I696" s="16" t="n">
        <v>46153</v>
      </c>
      <c r="J696" s="16" t="n">
        <v>46183</v>
      </c>
      <c r="K696" s="5" t="inlineStr">
        <is>
          <t>0343/26</t>
        </is>
      </c>
      <c r="L696" s="5" t="inlineStr">
        <is>
          <t>4026003299</t>
        </is>
      </c>
      <c r="M696" s="5">
        <f>IF(YEAR(I696)&lt;=2020,"Até 2020",TEXT(YEAR(I696),"0"))</f>
        <v/>
      </c>
      <c r="N696" s="5">
        <f>IFERROR(INDEX(DePara!$A:$A,MATCH(TEXT(B696,"0"),DePara!$D:$D,0)),"(sem categoria)")</f>
        <v/>
      </c>
      <c r="O696" s="5">
        <f>IF(J696="","",Parametros!$B$6-J696)</f>
        <v/>
      </c>
      <c r="P696" s="5">
        <f>IF(O696="","",IF(O696&gt;0,1,0))</f>
        <v/>
      </c>
    </row>
    <row r="697">
      <c r="A697" s="5" t="n">
        <v>2122100000</v>
      </c>
      <c r="B697" s="5" t="inlineStr">
        <is>
          <t>IC4420</t>
        </is>
      </c>
      <c r="C697" s="5" t="inlineStr">
        <is>
          <t>NORDEX ENERGY SPAIN S A U</t>
        </is>
      </c>
      <c r="D697" s="5" t="inlineStr">
        <is>
          <t>RE</t>
        </is>
      </c>
      <c r="E697" s="5" t="n">
        <v>5014107</v>
      </c>
      <c r="F697" s="5" t="inlineStr">
        <is>
          <t>4026002173</t>
        </is>
      </c>
      <c r="G697" s="5" t="inlineStr">
        <is>
          <t>EUR</t>
        </is>
      </c>
      <c r="H697" s="9" t="n">
        <v>-31960.55</v>
      </c>
      <c r="I697" s="16" t="n">
        <v>46108</v>
      </c>
      <c r="J697" s="16" t="n">
        <v>46138</v>
      </c>
      <c r="K697" s="5" t="inlineStr">
        <is>
          <t>0237/26</t>
        </is>
      </c>
      <c r="L697" s="5" t="inlineStr">
        <is>
          <t>4026002173</t>
        </is>
      </c>
      <c r="M697" s="5">
        <f>IF(YEAR(I697)&lt;=2020,"Até 2020",TEXT(YEAR(I697),"0"))</f>
        <v/>
      </c>
      <c r="N697" s="5">
        <f>IFERROR(INDEX(DePara!$A:$A,MATCH(TEXT(B697,"0"),DePara!$D:$D,0)),"(sem categoria)")</f>
        <v/>
      </c>
      <c r="O697" s="5">
        <f>IF(J697="","",Parametros!$B$6-J697)</f>
        <v/>
      </c>
      <c r="P697" s="5">
        <f>IF(O697="","",IF(O697&gt;0,1,0))</f>
        <v/>
      </c>
    </row>
    <row r="698">
      <c r="A698" s="5" t="n">
        <v>2122100000</v>
      </c>
      <c r="B698" s="5" t="inlineStr">
        <is>
          <t>IC4420</t>
        </is>
      </c>
      <c r="C698" s="5" t="inlineStr">
        <is>
          <t>NORDEX ENERGY SPAIN S A U</t>
        </is>
      </c>
      <c r="D698" s="5" t="inlineStr">
        <is>
          <t>RE</t>
        </is>
      </c>
      <c r="E698" s="5" t="n">
        <v>5014108</v>
      </c>
      <c r="F698" s="5" t="inlineStr">
        <is>
          <t>4026003297</t>
        </is>
      </c>
      <c r="G698" s="5" t="inlineStr">
        <is>
          <t>EUR</t>
        </is>
      </c>
      <c r="H698" s="9" t="n">
        <v>-120218.71</v>
      </c>
      <c r="I698" s="16" t="n">
        <v>46153</v>
      </c>
      <c r="J698" s="16" t="n">
        <v>46183</v>
      </c>
      <c r="K698" s="5" t="inlineStr">
        <is>
          <t>0343/26</t>
        </is>
      </c>
      <c r="L698" s="5" t="inlineStr">
        <is>
          <t>4026003297</t>
        </is>
      </c>
      <c r="M698" s="5">
        <f>IF(YEAR(I698)&lt;=2020,"Até 2020",TEXT(YEAR(I698),"0"))</f>
        <v/>
      </c>
      <c r="N698" s="5">
        <f>IFERROR(INDEX(DePara!$A:$A,MATCH(TEXT(B698,"0"),DePara!$D:$D,0)),"(sem categoria)")</f>
        <v/>
      </c>
      <c r="O698" s="5">
        <f>IF(J698="","",Parametros!$B$6-J698)</f>
        <v/>
      </c>
      <c r="P698" s="5">
        <f>IF(O698="","",IF(O698&gt;0,1,0))</f>
        <v/>
      </c>
    </row>
    <row r="699">
      <c r="A699" s="5" t="n">
        <v>2122100000</v>
      </c>
      <c r="B699" s="5" t="inlineStr">
        <is>
          <t>IC4420</t>
        </is>
      </c>
      <c r="C699" s="5" t="inlineStr">
        <is>
          <t>NORDEX ENERGY SPAIN S A U</t>
        </is>
      </c>
      <c r="D699" s="5" t="inlineStr">
        <is>
          <t>RE</t>
        </is>
      </c>
      <c r="E699" s="5" t="n">
        <v>5014109</v>
      </c>
      <c r="F699" s="5" t="inlineStr">
        <is>
          <t>4026004408</t>
        </is>
      </c>
      <c r="G699" s="5" t="inlineStr">
        <is>
          <t>EUR</t>
        </is>
      </c>
      <c r="H699" s="9" t="n">
        <v>-3826.81</v>
      </c>
      <c r="I699" s="16" t="n">
        <v>46184</v>
      </c>
      <c r="J699" s="16" t="n">
        <v>46214</v>
      </c>
      <c r="K699" s="5" t="inlineStr">
        <is>
          <t>0457/26</t>
        </is>
      </c>
      <c r="L699" s="5" t="inlineStr">
        <is>
          <t>4026004408</t>
        </is>
      </c>
      <c r="M699" s="5">
        <f>IF(YEAR(I699)&lt;=2020,"Até 2020",TEXT(YEAR(I699),"0"))</f>
        <v/>
      </c>
      <c r="N699" s="5">
        <f>IFERROR(INDEX(DePara!$A:$A,MATCH(TEXT(B699,"0"),DePara!$D:$D,0)),"(sem categoria)")</f>
        <v/>
      </c>
      <c r="O699" s="5">
        <f>IF(J699="","",Parametros!$B$6-J699)</f>
        <v/>
      </c>
      <c r="P699" s="5">
        <f>IF(O699="","",IF(O699&gt;0,1,0))</f>
        <v/>
      </c>
    </row>
    <row r="700">
      <c r="A700" s="5" t="n">
        <v>2122100000</v>
      </c>
      <c r="B700" s="5" t="inlineStr">
        <is>
          <t>IC4420</t>
        </is>
      </c>
      <c r="C700" s="5" t="inlineStr">
        <is>
          <t>NORDEX ENERGY SPAIN S A U</t>
        </is>
      </c>
      <c r="D700" s="5" t="inlineStr">
        <is>
          <t>RE</t>
        </is>
      </c>
      <c r="E700" s="5" t="n">
        <v>5014110</v>
      </c>
      <c r="F700" s="5" t="inlineStr">
        <is>
          <t>4026003285</t>
        </is>
      </c>
      <c r="G700" s="5" t="inlineStr">
        <is>
          <t>EUR</t>
        </is>
      </c>
      <c r="H700" s="9" t="n">
        <v>-10429.85</v>
      </c>
      <c r="I700" s="16" t="n">
        <v>46153</v>
      </c>
      <c r="J700" s="16" t="n">
        <v>46183</v>
      </c>
      <c r="K700" s="5" t="inlineStr">
        <is>
          <t>0332/26</t>
        </is>
      </c>
      <c r="L700" s="5" t="inlineStr">
        <is>
          <t>4026003285</t>
        </is>
      </c>
      <c r="M700" s="5">
        <f>IF(YEAR(I700)&lt;=2020,"Até 2020",TEXT(YEAR(I700),"0"))</f>
        <v/>
      </c>
      <c r="N700" s="5">
        <f>IFERROR(INDEX(DePara!$A:$A,MATCH(TEXT(B700,"0"),DePara!$D:$D,0)),"(sem categoria)")</f>
        <v/>
      </c>
      <c r="O700" s="5">
        <f>IF(J700="","",Parametros!$B$6-J700)</f>
        <v/>
      </c>
      <c r="P700" s="5">
        <f>IF(O700="","",IF(O700&gt;0,1,0))</f>
        <v/>
      </c>
    </row>
    <row r="701">
      <c r="A701" s="5" t="n">
        <v>2122100000</v>
      </c>
      <c r="B701" s="5" t="inlineStr">
        <is>
          <t>IC4420</t>
        </is>
      </c>
      <c r="C701" s="5" t="inlineStr">
        <is>
          <t>NORDEX ENERGY SPAIN S A U</t>
        </is>
      </c>
      <c r="D701" s="5" t="inlineStr">
        <is>
          <t>RE</t>
        </is>
      </c>
      <c r="E701" s="5" t="n">
        <v>5014111</v>
      </c>
      <c r="F701" s="5" t="inlineStr">
        <is>
          <t>4026002165</t>
        </is>
      </c>
      <c r="G701" s="5" t="inlineStr">
        <is>
          <t>EUR</t>
        </is>
      </c>
      <c r="H701" s="9" t="n">
        <v>-80961.06</v>
      </c>
      <c r="I701" s="16" t="n">
        <v>46108</v>
      </c>
      <c r="J701" s="16" t="n">
        <v>46138</v>
      </c>
      <c r="K701" s="5" t="inlineStr">
        <is>
          <t>0231/26</t>
        </is>
      </c>
      <c r="L701" s="5" t="inlineStr">
        <is>
          <t>4026002165</t>
        </is>
      </c>
      <c r="M701" s="5">
        <f>IF(YEAR(I701)&lt;=2020,"Até 2020",TEXT(YEAR(I701),"0"))</f>
        <v/>
      </c>
      <c r="N701" s="5">
        <f>IFERROR(INDEX(DePara!$A:$A,MATCH(TEXT(B701,"0"),DePara!$D:$D,0)),"(sem categoria)")</f>
        <v/>
      </c>
      <c r="O701" s="5">
        <f>IF(J701="","",Parametros!$B$6-J701)</f>
        <v/>
      </c>
      <c r="P701" s="5">
        <f>IF(O701="","",IF(O701&gt;0,1,0))</f>
        <v/>
      </c>
    </row>
    <row r="702">
      <c r="A702" s="5" t="n">
        <v>2122100000</v>
      </c>
      <c r="B702" s="5" t="inlineStr">
        <is>
          <t>IC4420</t>
        </is>
      </c>
      <c r="C702" s="5" t="inlineStr">
        <is>
          <t>NORDEX ENERGY SPAIN S A U</t>
        </is>
      </c>
      <c r="D702" s="5" t="inlineStr">
        <is>
          <t>RE</t>
        </is>
      </c>
      <c r="E702" s="5" t="n">
        <v>5014112</v>
      </c>
      <c r="F702" s="5" t="inlineStr">
        <is>
          <t>4026002166</t>
        </is>
      </c>
      <c r="G702" s="5" t="inlineStr">
        <is>
          <t>EUR</t>
        </is>
      </c>
      <c r="H702" s="9" t="n">
        <v>-11034.44</v>
      </c>
      <c r="I702" s="16" t="n">
        <v>46108</v>
      </c>
      <c r="J702" s="16" t="n">
        <v>46138</v>
      </c>
      <c r="K702" s="5" t="inlineStr">
        <is>
          <t>0232/26</t>
        </is>
      </c>
      <c r="L702" s="5" t="inlineStr">
        <is>
          <t>4026002166</t>
        </is>
      </c>
      <c r="M702" s="5">
        <f>IF(YEAR(I702)&lt;=2020,"Até 2020",TEXT(YEAR(I702),"0"))</f>
        <v/>
      </c>
      <c r="N702" s="5">
        <f>IFERROR(INDEX(DePara!$A:$A,MATCH(TEXT(B702,"0"),DePara!$D:$D,0)),"(sem categoria)")</f>
        <v/>
      </c>
      <c r="O702" s="5">
        <f>IF(J702="","",Parametros!$B$6-J702)</f>
        <v/>
      </c>
      <c r="P702" s="5">
        <f>IF(O702="","",IF(O702&gt;0,1,0))</f>
        <v/>
      </c>
    </row>
    <row r="703">
      <c r="A703" s="5" t="n">
        <v>2122100000</v>
      </c>
      <c r="B703" s="5" t="inlineStr">
        <is>
          <t>IC4420</t>
        </is>
      </c>
      <c r="C703" s="5" t="inlineStr">
        <is>
          <t>NORDEX ENERGY SPAIN S A U</t>
        </is>
      </c>
      <c r="D703" s="5" t="inlineStr">
        <is>
          <t>RE</t>
        </is>
      </c>
      <c r="E703" s="5" t="n">
        <v>5014113</v>
      </c>
      <c r="F703" s="5" t="inlineStr">
        <is>
          <t>4026003139</t>
        </is>
      </c>
      <c r="G703" s="5" t="inlineStr">
        <is>
          <t>EUR</t>
        </is>
      </c>
      <c r="H703" s="9" t="n">
        <v>-6800.57</v>
      </c>
      <c r="I703" s="16" t="n">
        <v>46148</v>
      </c>
      <c r="J703" s="16" t="n">
        <v>46178</v>
      </c>
      <c r="K703" s="5" t="inlineStr">
        <is>
          <t>0293/26</t>
        </is>
      </c>
      <c r="L703" s="5" t="inlineStr">
        <is>
          <t>4026003139</t>
        </is>
      </c>
      <c r="M703" s="5">
        <f>IF(YEAR(I703)&lt;=2020,"Até 2020",TEXT(YEAR(I703),"0"))</f>
        <v/>
      </c>
      <c r="N703" s="5">
        <f>IFERROR(INDEX(DePara!$A:$A,MATCH(TEXT(B703,"0"),DePara!$D:$D,0)),"(sem categoria)")</f>
        <v/>
      </c>
      <c r="O703" s="5">
        <f>IF(J703="","",Parametros!$B$6-J703)</f>
        <v/>
      </c>
      <c r="P703" s="5">
        <f>IF(O703="","",IF(O703&gt;0,1,0))</f>
        <v/>
      </c>
    </row>
    <row r="704">
      <c r="A704" s="5" t="n">
        <v>2122100000</v>
      </c>
      <c r="B704" s="5" t="inlineStr">
        <is>
          <t>IC4420</t>
        </is>
      </c>
      <c r="C704" s="5" t="inlineStr">
        <is>
          <t>NORDEX ENERGY SPAIN S A U</t>
        </is>
      </c>
      <c r="D704" s="5" t="inlineStr">
        <is>
          <t>RE</t>
        </is>
      </c>
      <c r="E704" s="5" t="n">
        <v>5014114</v>
      </c>
      <c r="F704" s="5" t="inlineStr">
        <is>
          <t>4026005006</t>
        </is>
      </c>
      <c r="G704" s="5" t="inlineStr">
        <is>
          <t>EUR</t>
        </is>
      </c>
      <c r="H704" s="9" t="n">
        <v>-47161.5</v>
      </c>
      <c r="I704" s="16" t="n">
        <v>46204</v>
      </c>
      <c r="J704" s="16" t="n">
        <v>46234</v>
      </c>
      <c r="K704" s="5" t="inlineStr">
        <is>
          <t>0461/26</t>
        </is>
      </c>
      <c r="L704" s="5" t="inlineStr">
        <is>
          <t>4026005006</t>
        </is>
      </c>
      <c r="M704" s="5">
        <f>IF(YEAR(I704)&lt;=2020,"Até 2020",TEXT(YEAR(I704),"0"))</f>
        <v/>
      </c>
      <c r="N704" s="5">
        <f>IFERROR(INDEX(DePara!$A:$A,MATCH(TEXT(B704,"0"),DePara!$D:$D,0)),"(sem categoria)")</f>
        <v/>
      </c>
      <c r="O704" s="5">
        <f>IF(J704="","",Parametros!$B$6-J704)</f>
        <v/>
      </c>
      <c r="P704" s="5">
        <f>IF(O704="","",IF(O704&gt;0,1,0))</f>
        <v/>
      </c>
    </row>
    <row r="705">
      <c r="A705" s="5" t="n">
        <v>2122100000</v>
      </c>
      <c r="B705" s="5" t="inlineStr">
        <is>
          <t>IC4420</t>
        </is>
      </c>
      <c r="C705" s="5" t="inlineStr">
        <is>
          <t>NORDEX ENERGY SPAIN S A U</t>
        </is>
      </c>
      <c r="D705" s="5" t="inlineStr">
        <is>
          <t>RE</t>
        </is>
      </c>
      <c r="E705" s="5" t="n">
        <v>5014115</v>
      </c>
      <c r="F705" s="5" t="inlineStr">
        <is>
          <t>4026003284</t>
        </is>
      </c>
      <c r="G705" s="5" t="inlineStr">
        <is>
          <t>EUR</t>
        </is>
      </c>
      <c r="H705" s="9" t="n">
        <v>-2735.94</v>
      </c>
      <c r="I705" s="16" t="n">
        <v>46153</v>
      </c>
      <c r="J705" s="16" t="n">
        <v>46183</v>
      </c>
      <c r="K705" s="5" t="inlineStr">
        <is>
          <t>0331/26</t>
        </is>
      </c>
      <c r="L705" s="5" t="inlineStr">
        <is>
          <t>4026003284</t>
        </is>
      </c>
      <c r="M705" s="5">
        <f>IF(YEAR(I705)&lt;=2020,"Até 2020",TEXT(YEAR(I705),"0"))</f>
        <v/>
      </c>
      <c r="N705" s="5">
        <f>IFERROR(INDEX(DePara!$A:$A,MATCH(TEXT(B705,"0"),DePara!$D:$D,0)),"(sem categoria)")</f>
        <v/>
      </c>
      <c r="O705" s="5">
        <f>IF(J705="","",Parametros!$B$6-J705)</f>
        <v/>
      </c>
      <c r="P705" s="5">
        <f>IF(O705="","",IF(O705&gt;0,1,0))</f>
        <v/>
      </c>
    </row>
    <row r="706">
      <c r="A706" s="5" t="n">
        <v>2122100000</v>
      </c>
      <c r="B706" s="5" t="inlineStr">
        <is>
          <t>IC4420</t>
        </is>
      </c>
      <c r="C706" s="5" t="inlineStr">
        <is>
          <t>NORDEX ENERGY SPAIN S A U</t>
        </is>
      </c>
      <c r="D706" s="5" t="inlineStr">
        <is>
          <t>RE</t>
        </is>
      </c>
      <c r="E706" s="5" t="n">
        <v>5014116</v>
      </c>
      <c r="F706" s="5" t="inlineStr">
        <is>
          <t>4026004404</t>
        </is>
      </c>
      <c r="G706" s="5" t="inlineStr">
        <is>
          <t>EUR</t>
        </is>
      </c>
      <c r="H706" s="9" t="n">
        <v>-117710.82</v>
      </c>
      <c r="I706" s="16" t="n">
        <v>46184</v>
      </c>
      <c r="J706" s="16" t="n">
        <v>46214</v>
      </c>
      <c r="K706" s="5" t="inlineStr">
        <is>
          <t>0453/26</t>
        </is>
      </c>
      <c r="L706" s="5" t="inlineStr">
        <is>
          <t>4026004404</t>
        </is>
      </c>
      <c r="M706" s="5">
        <f>IF(YEAR(I706)&lt;=2020,"Até 2020",TEXT(YEAR(I706),"0"))</f>
        <v/>
      </c>
      <c r="N706" s="5">
        <f>IFERROR(INDEX(DePara!$A:$A,MATCH(TEXT(B706,"0"),DePara!$D:$D,0)),"(sem categoria)")</f>
        <v/>
      </c>
      <c r="O706" s="5">
        <f>IF(J706="","",Parametros!$B$6-J706)</f>
        <v/>
      </c>
      <c r="P706" s="5">
        <f>IF(O706="","",IF(O706&gt;0,1,0))</f>
        <v/>
      </c>
    </row>
    <row r="707">
      <c r="A707" s="5" t="n">
        <v>2122100000</v>
      </c>
      <c r="B707" s="5" t="inlineStr">
        <is>
          <t>IC4420</t>
        </is>
      </c>
      <c r="C707" s="5" t="inlineStr">
        <is>
          <t>NORDEX ENERGY SPAIN S A U</t>
        </is>
      </c>
      <c r="D707" s="5" t="inlineStr">
        <is>
          <t>RE</t>
        </is>
      </c>
      <c r="E707" s="5" t="n">
        <v>5014117</v>
      </c>
      <c r="F707" s="5" t="inlineStr">
        <is>
          <t>4026003291</t>
        </is>
      </c>
      <c r="G707" s="5" t="inlineStr">
        <is>
          <t>EUR</t>
        </is>
      </c>
      <c r="H707" s="9" t="n">
        <v>-16114.46</v>
      </c>
      <c r="I707" s="16" t="n">
        <v>46153</v>
      </c>
      <c r="J707" s="16" t="n">
        <v>46183</v>
      </c>
      <c r="K707" s="5" t="inlineStr">
        <is>
          <t>0337/26</t>
        </is>
      </c>
      <c r="L707" s="5" t="inlineStr">
        <is>
          <t>4026003291</t>
        </is>
      </c>
      <c r="M707" s="5">
        <f>IF(YEAR(I707)&lt;=2020,"Até 2020",TEXT(YEAR(I707),"0"))</f>
        <v/>
      </c>
      <c r="N707" s="5">
        <f>IFERROR(INDEX(DePara!$A:$A,MATCH(TEXT(B707,"0"),DePara!$D:$D,0)),"(sem categoria)")</f>
        <v/>
      </c>
      <c r="O707" s="5">
        <f>IF(J707="","",Parametros!$B$6-J707)</f>
        <v/>
      </c>
      <c r="P707" s="5">
        <f>IF(O707="","",IF(O707&gt;0,1,0))</f>
        <v/>
      </c>
    </row>
    <row r="708">
      <c r="A708" s="5" t="n">
        <v>2122100000</v>
      </c>
      <c r="B708" s="5" t="inlineStr">
        <is>
          <t>IC4420</t>
        </is>
      </c>
      <c r="C708" s="5" t="inlineStr">
        <is>
          <t>NORDEX ENERGY SPAIN S A U</t>
        </is>
      </c>
      <c r="D708" s="5" t="inlineStr">
        <is>
          <t>RE</t>
        </is>
      </c>
      <c r="E708" s="5" t="n">
        <v>5014118</v>
      </c>
      <c r="F708" s="5" t="inlineStr">
        <is>
          <t>4026002162</t>
        </is>
      </c>
      <c r="G708" s="5" t="inlineStr">
        <is>
          <t>EUR</t>
        </is>
      </c>
      <c r="H708" s="9" t="n">
        <v>-12297.12</v>
      </c>
      <c r="I708" s="16" t="n">
        <v>46108</v>
      </c>
      <c r="J708" s="16" t="n">
        <v>46138</v>
      </c>
      <c r="K708" s="5" t="inlineStr">
        <is>
          <t>0227/26</t>
        </is>
      </c>
      <c r="L708" s="5" t="inlineStr">
        <is>
          <t>4026002162</t>
        </is>
      </c>
      <c r="M708" s="5">
        <f>IF(YEAR(I708)&lt;=2020,"Até 2020",TEXT(YEAR(I708),"0"))</f>
        <v/>
      </c>
      <c r="N708" s="5">
        <f>IFERROR(INDEX(DePara!$A:$A,MATCH(TEXT(B708,"0"),DePara!$D:$D,0)),"(sem categoria)")</f>
        <v/>
      </c>
      <c r="O708" s="5">
        <f>IF(J708="","",Parametros!$B$6-J708)</f>
        <v/>
      </c>
      <c r="P708" s="5">
        <f>IF(O708="","",IF(O708&gt;0,1,0))</f>
        <v/>
      </c>
    </row>
    <row r="709">
      <c r="A709" s="5" t="n">
        <v>2122100000</v>
      </c>
      <c r="B709" s="5" t="inlineStr">
        <is>
          <t>IC4420</t>
        </is>
      </c>
      <c r="C709" s="5" t="inlineStr">
        <is>
          <t>NORDEX ENERGY SPAIN S A U</t>
        </is>
      </c>
      <c r="D709" s="5" t="inlineStr">
        <is>
          <t>RE</t>
        </is>
      </c>
      <c r="E709" s="5" t="n">
        <v>5014119</v>
      </c>
      <c r="F709" s="5" t="inlineStr">
        <is>
          <t>4026004412</t>
        </is>
      </c>
      <c r="G709" s="5" t="inlineStr">
        <is>
          <t>EUR</t>
        </is>
      </c>
      <c r="H709" s="9" t="n">
        <v>-4752.44</v>
      </c>
      <c r="I709" s="16" t="n">
        <v>46185</v>
      </c>
      <c r="J709" s="16" t="n">
        <v>46215</v>
      </c>
      <c r="K709" s="5" t="inlineStr">
        <is>
          <t>0411/26</t>
        </is>
      </c>
      <c r="L709" s="5" t="inlineStr">
        <is>
          <t>4026004412</t>
        </is>
      </c>
      <c r="M709" s="5">
        <f>IF(YEAR(I709)&lt;=2020,"Até 2020",TEXT(YEAR(I709),"0"))</f>
        <v/>
      </c>
      <c r="N709" s="5">
        <f>IFERROR(INDEX(DePara!$A:$A,MATCH(TEXT(B709,"0"),DePara!$D:$D,0)),"(sem categoria)")</f>
        <v/>
      </c>
      <c r="O709" s="5">
        <f>IF(J709="","",Parametros!$B$6-J709)</f>
        <v/>
      </c>
      <c r="P709" s="5">
        <f>IF(O709="","",IF(O709&gt;0,1,0))</f>
        <v/>
      </c>
    </row>
    <row r="710">
      <c r="A710" s="5" t="n">
        <v>2122100000</v>
      </c>
      <c r="B710" s="5" t="inlineStr">
        <is>
          <t>IC4420</t>
        </is>
      </c>
      <c r="C710" s="5" t="inlineStr">
        <is>
          <t>NORDEX ENERGY SPAIN S A U</t>
        </is>
      </c>
      <c r="D710" s="5" t="inlineStr">
        <is>
          <t>RE</t>
        </is>
      </c>
      <c r="E710" s="5" t="n">
        <v>5014120</v>
      </c>
      <c r="F710" s="5" t="inlineStr">
        <is>
          <t>4026002161</t>
        </is>
      </c>
      <c r="G710" s="5" t="inlineStr">
        <is>
          <t>EUR</t>
        </is>
      </c>
      <c r="H710" s="9" t="n">
        <v>-12864.42</v>
      </c>
      <c r="I710" s="16" t="n">
        <v>46108</v>
      </c>
      <c r="J710" s="16" t="n">
        <v>46138</v>
      </c>
      <c r="K710" s="5" t="inlineStr">
        <is>
          <t>0226/26</t>
        </is>
      </c>
      <c r="L710" s="5" t="inlineStr">
        <is>
          <t>4026002161</t>
        </is>
      </c>
      <c r="M710" s="5">
        <f>IF(YEAR(I710)&lt;=2020,"Até 2020",TEXT(YEAR(I710),"0"))</f>
        <v/>
      </c>
      <c r="N710" s="5">
        <f>IFERROR(INDEX(DePara!$A:$A,MATCH(TEXT(B710,"0"),DePara!$D:$D,0)),"(sem categoria)")</f>
        <v/>
      </c>
      <c r="O710" s="5">
        <f>IF(J710="","",Parametros!$B$6-J710)</f>
        <v/>
      </c>
      <c r="P710" s="5">
        <f>IF(O710="","",IF(O710&gt;0,1,0))</f>
        <v/>
      </c>
    </row>
    <row r="711">
      <c r="A711" s="5" t="n">
        <v>2122100000</v>
      </c>
      <c r="B711" s="5" t="inlineStr">
        <is>
          <t>IC4420</t>
        </is>
      </c>
      <c r="C711" s="5" t="inlineStr">
        <is>
          <t>NORDEX ENERGY SPAIN S A U</t>
        </is>
      </c>
      <c r="D711" s="5" t="inlineStr">
        <is>
          <t>RE</t>
        </is>
      </c>
      <c r="E711" s="5" t="n">
        <v>5014121</v>
      </c>
      <c r="F711" s="5" t="inlineStr">
        <is>
          <t>4026004952</t>
        </is>
      </c>
      <c r="G711" s="5" t="inlineStr">
        <is>
          <t>EUR</t>
        </is>
      </c>
      <c r="H711" s="9" t="n">
        <v>-23744.84</v>
      </c>
      <c r="I711" s="16" t="n">
        <v>46204</v>
      </c>
      <c r="J711" s="16" t="n">
        <v>46234</v>
      </c>
      <c r="K711" s="5" t="inlineStr">
        <is>
          <t>0472/26</t>
        </is>
      </c>
      <c r="L711" s="5" t="inlineStr">
        <is>
          <t>4026004952</t>
        </is>
      </c>
      <c r="M711" s="5">
        <f>IF(YEAR(I711)&lt;=2020,"Até 2020",TEXT(YEAR(I711),"0"))</f>
        <v/>
      </c>
      <c r="N711" s="5">
        <f>IFERROR(INDEX(DePara!$A:$A,MATCH(TEXT(B711,"0"),DePara!$D:$D,0)),"(sem categoria)")</f>
        <v/>
      </c>
      <c r="O711" s="5">
        <f>IF(J711="","",Parametros!$B$6-J711)</f>
        <v/>
      </c>
      <c r="P711" s="5">
        <f>IF(O711="","",IF(O711&gt;0,1,0))</f>
        <v/>
      </c>
    </row>
    <row r="712">
      <c r="A712" s="5" t="n">
        <v>2122100000</v>
      </c>
      <c r="B712" s="5" t="inlineStr">
        <is>
          <t>IC4420</t>
        </is>
      </c>
      <c r="C712" s="5" t="inlineStr">
        <is>
          <t>NORDEX ENERGY SPAIN S A U</t>
        </is>
      </c>
      <c r="D712" s="5" t="inlineStr">
        <is>
          <t>RE</t>
        </is>
      </c>
      <c r="E712" s="5" t="n">
        <v>5014122</v>
      </c>
      <c r="F712" s="5" t="inlineStr">
        <is>
          <t>4026005022</t>
        </is>
      </c>
      <c r="G712" s="5" t="inlineStr">
        <is>
          <t>EUR</t>
        </is>
      </c>
      <c r="H712" s="9" t="n">
        <v>-308.33</v>
      </c>
      <c r="I712" s="16" t="n">
        <v>46204</v>
      </c>
      <c r="J712" s="16" t="n">
        <v>46234</v>
      </c>
      <c r="K712" s="5" t="inlineStr">
        <is>
          <t>0448/26</t>
        </is>
      </c>
      <c r="L712" s="5" t="inlineStr">
        <is>
          <t>4026005022</t>
        </is>
      </c>
      <c r="M712" s="5">
        <f>IF(YEAR(I712)&lt;=2020,"Até 2020",TEXT(YEAR(I712),"0"))</f>
        <v/>
      </c>
      <c r="N712" s="5">
        <f>IFERROR(INDEX(DePara!$A:$A,MATCH(TEXT(B712,"0"),DePara!$D:$D,0)),"(sem categoria)")</f>
        <v/>
      </c>
      <c r="O712" s="5">
        <f>IF(J712="","",Parametros!$B$6-J712)</f>
        <v/>
      </c>
      <c r="P712" s="5">
        <f>IF(O712="","",IF(O712&gt;0,1,0))</f>
        <v/>
      </c>
    </row>
    <row r="713">
      <c r="A713" s="5" t="n">
        <v>2122100000</v>
      </c>
      <c r="B713" s="5" t="inlineStr">
        <is>
          <t>IC4420</t>
        </is>
      </c>
      <c r="C713" s="5" t="inlineStr">
        <is>
          <t>NORDEX ENERGY SPAIN S A U</t>
        </is>
      </c>
      <c r="D713" s="5" t="inlineStr">
        <is>
          <t>RE</t>
        </is>
      </c>
      <c r="E713" s="5" t="n">
        <v>5014123</v>
      </c>
      <c r="F713" s="5" t="inlineStr">
        <is>
          <t>4026005102</t>
        </is>
      </c>
      <c r="G713" s="5" t="inlineStr">
        <is>
          <t>EUR</t>
        </is>
      </c>
      <c r="H713" s="9" t="n">
        <v>-32111.96</v>
      </c>
      <c r="I713" s="16" t="n">
        <v>46206</v>
      </c>
      <c r="J713" s="16" t="n">
        <v>46236</v>
      </c>
      <c r="K713" s="5" t="inlineStr">
        <is>
          <t>0459/26</t>
        </is>
      </c>
      <c r="L713" s="5" t="inlineStr">
        <is>
          <t>4026005102</t>
        </is>
      </c>
      <c r="M713" s="5">
        <f>IF(YEAR(I713)&lt;=2020,"Até 2020",TEXT(YEAR(I713),"0"))</f>
        <v/>
      </c>
      <c r="N713" s="5">
        <f>IFERROR(INDEX(DePara!$A:$A,MATCH(TEXT(B713,"0"),DePara!$D:$D,0)),"(sem categoria)")</f>
        <v/>
      </c>
      <c r="O713" s="5">
        <f>IF(J713="","",Parametros!$B$6-J713)</f>
        <v/>
      </c>
      <c r="P713" s="5">
        <f>IF(O713="","",IF(O713&gt;0,1,0))</f>
        <v/>
      </c>
    </row>
    <row r="714">
      <c r="A714" s="5" t="n">
        <v>2122100000</v>
      </c>
      <c r="B714" s="5" t="inlineStr">
        <is>
          <t>IC4420</t>
        </is>
      </c>
      <c r="C714" s="5" t="inlineStr">
        <is>
          <t>NORDEX ENERGY SPAIN S A U</t>
        </is>
      </c>
      <c r="D714" s="5" t="inlineStr">
        <is>
          <t>RE</t>
        </is>
      </c>
      <c r="E714" s="5" t="n">
        <v>5014124</v>
      </c>
      <c r="F714" s="5" t="inlineStr">
        <is>
          <t>4026002163</t>
        </is>
      </c>
      <c r="G714" s="5" t="inlineStr">
        <is>
          <t>EUR</t>
        </is>
      </c>
      <c r="H714" s="9" t="n">
        <v>-4077.36</v>
      </c>
      <c r="I714" s="16" t="n">
        <v>46108</v>
      </c>
      <c r="J714" s="16" t="n">
        <v>46138</v>
      </c>
      <c r="K714" s="5" t="inlineStr">
        <is>
          <t>0228/26</t>
        </is>
      </c>
      <c r="L714" s="5" t="inlineStr">
        <is>
          <t>4026002163</t>
        </is>
      </c>
      <c r="M714" s="5">
        <f>IF(YEAR(I714)&lt;=2020,"Até 2020",TEXT(YEAR(I714),"0"))</f>
        <v/>
      </c>
      <c r="N714" s="5">
        <f>IFERROR(INDEX(DePara!$A:$A,MATCH(TEXT(B714,"0"),DePara!$D:$D,0)),"(sem categoria)")</f>
        <v/>
      </c>
      <c r="O714" s="5">
        <f>IF(J714="","",Parametros!$B$6-J714)</f>
        <v/>
      </c>
      <c r="P714" s="5">
        <f>IF(O714="","",IF(O714&gt;0,1,0))</f>
        <v/>
      </c>
    </row>
    <row r="715">
      <c r="A715" s="5" t="n">
        <v>2122100000</v>
      </c>
      <c r="B715" s="5" t="inlineStr">
        <is>
          <t>IC4420</t>
        </is>
      </c>
      <c r="C715" s="5" t="inlineStr">
        <is>
          <t>NORDEX ENERGY SPAIN S A U</t>
        </is>
      </c>
      <c r="D715" s="5" t="inlineStr">
        <is>
          <t>RE</t>
        </is>
      </c>
      <c r="E715" s="5" t="n">
        <v>5014125</v>
      </c>
      <c r="F715" s="5" t="inlineStr">
        <is>
          <t>4026004954</t>
        </is>
      </c>
      <c r="G715" s="5" t="inlineStr">
        <is>
          <t>EUR</t>
        </is>
      </c>
      <c r="H715" s="9" t="n">
        <v>-1442.73</v>
      </c>
      <c r="I715" s="16" t="n">
        <v>46204</v>
      </c>
      <c r="J715" s="16" t="n">
        <v>46234</v>
      </c>
      <c r="K715" s="5" t="inlineStr">
        <is>
          <t>0469/26</t>
        </is>
      </c>
      <c r="L715" s="5" t="inlineStr">
        <is>
          <t>4026004954</t>
        </is>
      </c>
      <c r="M715" s="5">
        <f>IF(YEAR(I715)&lt;=2020,"Até 2020",TEXT(YEAR(I715),"0"))</f>
        <v/>
      </c>
      <c r="N715" s="5">
        <f>IFERROR(INDEX(DePara!$A:$A,MATCH(TEXT(B715,"0"),DePara!$D:$D,0)),"(sem categoria)")</f>
        <v/>
      </c>
      <c r="O715" s="5">
        <f>IF(J715="","",Parametros!$B$6-J715)</f>
        <v/>
      </c>
      <c r="P715" s="5">
        <f>IF(O715="","",IF(O715&gt;0,1,0))</f>
        <v/>
      </c>
    </row>
    <row r="716">
      <c r="A716" s="5" t="n">
        <v>2122100000</v>
      </c>
      <c r="B716" s="5" t="inlineStr">
        <is>
          <t>IC4420</t>
        </is>
      </c>
      <c r="C716" s="5" t="inlineStr">
        <is>
          <t>NORDEX ENERGY SPAIN S A U</t>
        </is>
      </c>
      <c r="D716" s="5" t="inlineStr">
        <is>
          <t>RE</t>
        </is>
      </c>
      <c r="E716" s="5" t="n">
        <v>5014126</v>
      </c>
      <c r="F716" s="5" t="inlineStr">
        <is>
          <t>4026003283</t>
        </is>
      </c>
      <c r="G716" s="5" t="inlineStr">
        <is>
          <t>EUR</t>
        </is>
      </c>
      <c r="H716" s="9" t="n">
        <v>-100828.39</v>
      </c>
      <c r="I716" s="16" t="n">
        <v>46153</v>
      </c>
      <c r="J716" s="16" t="n">
        <v>46183</v>
      </c>
      <c r="K716" s="5" t="inlineStr">
        <is>
          <t>0330/26</t>
        </is>
      </c>
      <c r="L716" s="5" t="inlineStr">
        <is>
          <t>4026003283</t>
        </is>
      </c>
      <c r="M716" s="5">
        <f>IF(YEAR(I716)&lt;=2020,"Até 2020",TEXT(YEAR(I716),"0"))</f>
        <v/>
      </c>
      <c r="N716" s="5">
        <f>IFERROR(INDEX(DePara!$A:$A,MATCH(TEXT(B716,"0"),DePara!$D:$D,0)),"(sem categoria)")</f>
        <v/>
      </c>
      <c r="O716" s="5">
        <f>IF(J716="","",Parametros!$B$6-J716)</f>
        <v/>
      </c>
      <c r="P716" s="5">
        <f>IF(O716="","",IF(O716&gt;0,1,0))</f>
        <v/>
      </c>
    </row>
    <row r="717">
      <c r="A717" s="5" t="n">
        <v>2122100000</v>
      </c>
      <c r="B717" s="5" t="inlineStr">
        <is>
          <t>IC4420</t>
        </is>
      </c>
      <c r="C717" s="5" t="inlineStr">
        <is>
          <t>NORDEX ENERGY SPAIN S A U</t>
        </is>
      </c>
      <c r="D717" s="5" t="inlineStr">
        <is>
          <t>RE</t>
        </is>
      </c>
      <c r="E717" s="5" t="n">
        <v>5014127</v>
      </c>
      <c r="F717" s="5" t="inlineStr">
        <is>
          <t>4026002159</t>
        </is>
      </c>
      <c r="G717" s="5" t="inlineStr">
        <is>
          <t>EUR</t>
        </is>
      </c>
      <c r="H717" s="9" t="n">
        <v>-231.75</v>
      </c>
      <c r="I717" s="16" t="n">
        <v>46108</v>
      </c>
      <c r="J717" s="16" t="n">
        <v>46138</v>
      </c>
      <c r="K717" s="5" t="inlineStr">
        <is>
          <t>0224/26</t>
        </is>
      </c>
      <c r="L717" s="5" t="inlineStr">
        <is>
          <t>4026002159</t>
        </is>
      </c>
      <c r="M717" s="5">
        <f>IF(YEAR(I717)&lt;=2020,"Até 2020",TEXT(YEAR(I717),"0"))</f>
        <v/>
      </c>
      <c r="N717" s="5">
        <f>IFERROR(INDEX(DePara!$A:$A,MATCH(TEXT(B717,"0"),DePara!$D:$D,0)),"(sem categoria)")</f>
        <v/>
      </c>
      <c r="O717" s="5">
        <f>IF(J717="","",Parametros!$B$6-J717)</f>
        <v/>
      </c>
      <c r="P717" s="5">
        <f>IF(O717="","",IF(O717&gt;0,1,0))</f>
        <v/>
      </c>
    </row>
    <row r="718">
      <c r="A718" s="5" t="n">
        <v>2122100000</v>
      </c>
      <c r="B718" s="5" t="inlineStr">
        <is>
          <t>IC4420</t>
        </is>
      </c>
      <c r="C718" s="5" t="inlineStr">
        <is>
          <t>NORDEX ENERGY SPAIN S A U</t>
        </is>
      </c>
      <c r="D718" s="5" t="inlineStr">
        <is>
          <t>RE</t>
        </is>
      </c>
      <c r="E718" s="5" t="n">
        <v>5014128</v>
      </c>
      <c r="F718" s="5" t="inlineStr">
        <is>
          <t>4026004410</t>
        </is>
      </c>
      <c r="G718" s="5" t="inlineStr">
        <is>
          <t>EUR</t>
        </is>
      </c>
      <c r="H718" s="9" t="n">
        <v>-7574.35</v>
      </c>
      <c r="I718" s="16" t="n">
        <v>46185</v>
      </c>
      <c r="J718" s="16" t="n">
        <v>46215</v>
      </c>
      <c r="K718" s="5" t="inlineStr">
        <is>
          <t>0409/26</t>
        </is>
      </c>
      <c r="L718" s="5" t="inlineStr">
        <is>
          <t>4026004410</t>
        </is>
      </c>
      <c r="M718" s="5">
        <f>IF(YEAR(I718)&lt;=2020,"Até 2020",TEXT(YEAR(I718),"0"))</f>
        <v/>
      </c>
      <c r="N718" s="5">
        <f>IFERROR(INDEX(DePara!$A:$A,MATCH(TEXT(B718,"0"),DePara!$D:$D,0)),"(sem categoria)")</f>
        <v/>
      </c>
      <c r="O718" s="5">
        <f>IF(J718="","",Parametros!$B$6-J718)</f>
        <v/>
      </c>
      <c r="P718" s="5">
        <f>IF(O718="","",IF(O718&gt;0,1,0))</f>
        <v/>
      </c>
    </row>
    <row r="719">
      <c r="A719" s="5" t="n">
        <v>2122100000</v>
      </c>
      <c r="B719" s="5" t="inlineStr">
        <is>
          <t>IC4420</t>
        </is>
      </c>
      <c r="C719" s="5" t="inlineStr">
        <is>
          <t>NORDEX ENERGY SPAIN S A U</t>
        </is>
      </c>
      <c r="D719" s="5" t="inlineStr">
        <is>
          <t>RE</t>
        </is>
      </c>
      <c r="E719" s="5" t="n">
        <v>5014129</v>
      </c>
      <c r="F719" s="5" t="inlineStr">
        <is>
          <t>4026004953</t>
        </is>
      </c>
      <c r="G719" s="5" t="inlineStr">
        <is>
          <t>EUR</t>
        </is>
      </c>
      <c r="H719" s="9" t="n">
        <v>-5686.32</v>
      </c>
      <c r="I719" s="16" t="n">
        <v>46204</v>
      </c>
      <c r="J719" s="16" t="n">
        <v>46234</v>
      </c>
      <c r="K719" s="5" t="inlineStr">
        <is>
          <t>0469/26</t>
        </is>
      </c>
      <c r="L719" s="5" t="inlineStr">
        <is>
          <t>4026004953</t>
        </is>
      </c>
      <c r="M719" s="5">
        <f>IF(YEAR(I719)&lt;=2020,"Até 2020",TEXT(YEAR(I719),"0"))</f>
        <v/>
      </c>
      <c r="N719" s="5">
        <f>IFERROR(INDEX(DePara!$A:$A,MATCH(TEXT(B719,"0"),DePara!$D:$D,0)),"(sem categoria)")</f>
        <v/>
      </c>
      <c r="O719" s="5">
        <f>IF(J719="","",Parametros!$B$6-J719)</f>
        <v/>
      </c>
      <c r="P719" s="5">
        <f>IF(O719="","",IF(O719&gt;0,1,0))</f>
        <v/>
      </c>
    </row>
    <row r="720">
      <c r="A720" s="5" t="n">
        <v>2122100000</v>
      </c>
      <c r="B720" s="5" t="inlineStr">
        <is>
          <t>IC4420</t>
        </is>
      </c>
      <c r="C720" s="5" t="inlineStr">
        <is>
          <t>NORDEX ENERGY SPAIN S A U</t>
        </is>
      </c>
      <c r="D720" s="5" t="inlineStr">
        <is>
          <t>RE</t>
        </is>
      </c>
      <c r="E720" s="5" t="n">
        <v>5014130</v>
      </c>
      <c r="F720" s="5" t="inlineStr">
        <is>
          <t>4026004411</t>
        </is>
      </c>
      <c r="G720" s="5" t="inlineStr">
        <is>
          <t>EUR</t>
        </is>
      </c>
      <c r="H720" s="9" t="n">
        <v>-39591.37</v>
      </c>
      <c r="I720" s="16" t="n">
        <v>46185</v>
      </c>
      <c r="J720" s="16" t="n">
        <v>46215</v>
      </c>
      <c r="K720" s="5" t="inlineStr">
        <is>
          <t>0410/26</t>
        </is>
      </c>
      <c r="L720" s="5" t="inlineStr">
        <is>
          <t>4026004411</t>
        </is>
      </c>
      <c r="M720" s="5">
        <f>IF(YEAR(I720)&lt;=2020,"Até 2020",TEXT(YEAR(I720),"0"))</f>
        <v/>
      </c>
      <c r="N720" s="5">
        <f>IFERROR(INDEX(DePara!$A:$A,MATCH(TEXT(B720,"0"),DePara!$D:$D,0)),"(sem categoria)")</f>
        <v/>
      </c>
      <c r="O720" s="5">
        <f>IF(J720="","",Parametros!$B$6-J720)</f>
        <v/>
      </c>
      <c r="P720" s="5">
        <f>IF(O720="","",IF(O720&gt;0,1,0))</f>
        <v/>
      </c>
    </row>
    <row r="721">
      <c r="A721" s="5" t="n">
        <v>2122100000</v>
      </c>
      <c r="B721" s="5" t="inlineStr">
        <is>
          <t>IC4420</t>
        </is>
      </c>
      <c r="C721" s="5" t="inlineStr">
        <is>
          <t>NORDEX ENERGY SPAIN S A U</t>
        </is>
      </c>
      <c r="D721" s="5" t="inlineStr">
        <is>
          <t>RE</t>
        </is>
      </c>
      <c r="E721" s="5" t="n">
        <v>5014131</v>
      </c>
      <c r="F721" s="5" t="inlineStr">
        <is>
          <t>4026005011</t>
        </is>
      </c>
      <c r="G721" s="5" t="inlineStr">
        <is>
          <t>EUR</t>
        </is>
      </c>
      <c r="H721" s="9" t="n">
        <v>-30590.7</v>
      </c>
      <c r="I721" s="16" t="n">
        <v>46204</v>
      </c>
      <c r="J721" s="16" t="n">
        <v>46234</v>
      </c>
      <c r="K721" s="5" t="inlineStr">
        <is>
          <t>0463/26</t>
        </is>
      </c>
      <c r="L721" s="5" t="inlineStr">
        <is>
          <t>4026005011</t>
        </is>
      </c>
      <c r="M721" s="5">
        <f>IF(YEAR(I721)&lt;=2020,"Até 2020",TEXT(YEAR(I721),"0"))</f>
        <v/>
      </c>
      <c r="N721" s="5">
        <f>IFERROR(INDEX(DePara!$A:$A,MATCH(TEXT(B721,"0"),DePara!$D:$D,0)),"(sem categoria)")</f>
        <v/>
      </c>
      <c r="O721" s="5">
        <f>IF(J721="","",Parametros!$B$6-J721)</f>
        <v/>
      </c>
      <c r="P721" s="5">
        <f>IF(O721="","",IF(O721&gt;0,1,0))</f>
        <v/>
      </c>
    </row>
    <row r="722">
      <c r="A722" s="5" t="n">
        <v>2122100000</v>
      </c>
      <c r="B722" s="5" t="inlineStr">
        <is>
          <t>IC4420</t>
        </is>
      </c>
      <c r="C722" s="5" t="inlineStr">
        <is>
          <t>NORDEX ENERGY SPAIN S A U</t>
        </is>
      </c>
      <c r="D722" s="5" t="inlineStr">
        <is>
          <t>RE</t>
        </is>
      </c>
      <c r="E722" s="5" t="n">
        <v>5014132</v>
      </c>
      <c r="F722" s="5" t="inlineStr">
        <is>
          <t>4026003289</t>
        </is>
      </c>
      <c r="G722" s="5" t="inlineStr">
        <is>
          <t>EUR</t>
        </is>
      </c>
      <c r="H722" s="9" t="n">
        <v>-73724.73</v>
      </c>
      <c r="I722" s="16" t="n">
        <v>46153</v>
      </c>
      <c r="J722" s="16" t="n">
        <v>46183</v>
      </c>
      <c r="K722" s="5" t="inlineStr">
        <is>
          <t>0335/26</t>
        </is>
      </c>
      <c r="L722" s="5" t="inlineStr">
        <is>
          <t>4026003289</t>
        </is>
      </c>
      <c r="M722" s="5">
        <f>IF(YEAR(I722)&lt;=2020,"Até 2020",TEXT(YEAR(I722),"0"))</f>
        <v/>
      </c>
      <c r="N722" s="5">
        <f>IFERROR(INDEX(DePara!$A:$A,MATCH(TEXT(B722,"0"),DePara!$D:$D,0)),"(sem categoria)")</f>
        <v/>
      </c>
      <c r="O722" s="5">
        <f>IF(J722="","",Parametros!$B$6-J722)</f>
        <v/>
      </c>
      <c r="P722" s="5">
        <f>IF(O722="","",IF(O722&gt;0,1,0))</f>
        <v/>
      </c>
    </row>
    <row r="723">
      <c r="A723" s="5" t="n">
        <v>2122100000</v>
      </c>
      <c r="B723" s="5" t="inlineStr">
        <is>
          <t>IC4420</t>
        </is>
      </c>
      <c r="C723" s="5" t="inlineStr">
        <is>
          <t>NORDEX ENERGY SPAIN S A U</t>
        </is>
      </c>
      <c r="D723" s="5" t="inlineStr">
        <is>
          <t>RE</t>
        </is>
      </c>
      <c r="E723" s="5" t="n">
        <v>5014133</v>
      </c>
      <c r="F723" s="5" t="inlineStr">
        <is>
          <t>4026005013</t>
        </is>
      </c>
      <c r="G723" s="5" t="inlineStr">
        <is>
          <t>EUR</t>
        </is>
      </c>
      <c r="H723" s="9" t="n">
        <v>-1961.88</v>
      </c>
      <c r="I723" s="16" t="n">
        <v>46204</v>
      </c>
      <c r="J723" s="16" t="n">
        <v>46234</v>
      </c>
      <c r="K723" s="5" t="inlineStr">
        <is>
          <t>0465/26</t>
        </is>
      </c>
      <c r="L723" s="5" t="inlineStr">
        <is>
          <t>4026005013</t>
        </is>
      </c>
      <c r="M723" s="5">
        <f>IF(YEAR(I723)&lt;=2020,"Até 2020",TEXT(YEAR(I723),"0"))</f>
        <v/>
      </c>
      <c r="N723" s="5">
        <f>IFERROR(INDEX(DePara!$A:$A,MATCH(TEXT(B723,"0"),DePara!$D:$D,0)),"(sem categoria)")</f>
        <v/>
      </c>
      <c r="O723" s="5">
        <f>IF(J723="","",Parametros!$B$6-J723)</f>
        <v/>
      </c>
      <c r="P723" s="5">
        <f>IF(O723="","",IF(O723&gt;0,1,0))</f>
        <v/>
      </c>
    </row>
    <row r="724">
      <c r="A724" s="5" t="n">
        <v>2122100000</v>
      </c>
      <c r="B724" s="5" t="inlineStr">
        <is>
          <t>IC4420</t>
        </is>
      </c>
      <c r="C724" s="5" t="inlineStr">
        <is>
          <t>NORDEX ENERGY SPAIN S A U</t>
        </is>
      </c>
      <c r="D724" s="5" t="inlineStr">
        <is>
          <t>RE</t>
        </is>
      </c>
      <c r="E724" s="5" t="n">
        <v>5014134</v>
      </c>
      <c r="F724" s="5" t="inlineStr">
        <is>
          <t>4026002168</t>
        </is>
      </c>
      <c r="G724" s="5" t="inlineStr">
        <is>
          <t>EUR</t>
        </is>
      </c>
      <c r="H724" s="9" t="n">
        <v>-19243.75</v>
      </c>
      <c r="I724" s="16" t="n">
        <v>46108</v>
      </c>
      <c r="J724" s="16" t="n">
        <v>46138</v>
      </c>
      <c r="K724" s="5" t="inlineStr">
        <is>
          <t>0234/26</t>
        </is>
      </c>
      <c r="L724" s="5" t="inlineStr">
        <is>
          <t>4026002168</t>
        </is>
      </c>
      <c r="M724" s="5">
        <f>IF(YEAR(I724)&lt;=2020,"Até 2020",TEXT(YEAR(I724),"0"))</f>
        <v/>
      </c>
      <c r="N724" s="5">
        <f>IFERROR(INDEX(DePara!$A:$A,MATCH(TEXT(B724,"0"),DePara!$D:$D,0)),"(sem categoria)")</f>
        <v/>
      </c>
      <c r="O724" s="5">
        <f>IF(J724="","",Parametros!$B$6-J724)</f>
        <v/>
      </c>
      <c r="P724" s="5">
        <f>IF(O724="","",IF(O724&gt;0,1,0))</f>
        <v/>
      </c>
    </row>
    <row r="725">
      <c r="A725" s="5" t="n">
        <v>2122100000</v>
      </c>
      <c r="B725" s="5" t="inlineStr">
        <is>
          <t>IC4420</t>
        </is>
      </c>
      <c r="C725" s="5" t="inlineStr">
        <is>
          <t>NORDEX ENERGY SPAIN S A U</t>
        </is>
      </c>
      <c r="D725" s="5" t="inlineStr">
        <is>
          <t>RE</t>
        </is>
      </c>
      <c r="E725" s="5" t="n">
        <v>5014135</v>
      </c>
      <c r="F725" s="5" t="inlineStr">
        <is>
          <t>4026005009</t>
        </is>
      </c>
      <c r="G725" s="5" t="inlineStr">
        <is>
          <t>EUR</t>
        </is>
      </c>
      <c r="H725" s="9" t="n">
        <v>-18676.95</v>
      </c>
      <c r="I725" s="16" t="n">
        <v>46204</v>
      </c>
      <c r="J725" s="16" t="n">
        <v>46234</v>
      </c>
      <c r="K725" s="5" t="inlineStr">
        <is>
          <t>0462/26</t>
        </is>
      </c>
      <c r="L725" s="5" t="inlineStr">
        <is>
          <t>4026005009</t>
        </is>
      </c>
      <c r="M725" s="5">
        <f>IF(YEAR(I725)&lt;=2020,"Até 2020",TEXT(YEAR(I725),"0"))</f>
        <v/>
      </c>
      <c r="N725" s="5">
        <f>IFERROR(INDEX(DePara!$A:$A,MATCH(TEXT(B725,"0"),DePara!$D:$D,0)),"(sem categoria)")</f>
        <v/>
      </c>
      <c r="O725" s="5">
        <f>IF(J725="","",Parametros!$B$6-J725)</f>
        <v/>
      </c>
      <c r="P725" s="5">
        <f>IF(O725="","",IF(O725&gt;0,1,0))</f>
        <v/>
      </c>
    </row>
    <row r="726">
      <c r="A726" s="5" t="n">
        <v>2122100000</v>
      </c>
      <c r="B726" s="5" t="inlineStr">
        <is>
          <t>IC4420</t>
        </is>
      </c>
      <c r="C726" s="5" t="inlineStr">
        <is>
          <t>NORDEX ENERGY SPAIN S A U</t>
        </is>
      </c>
      <c r="D726" s="5" t="inlineStr">
        <is>
          <t>RE</t>
        </is>
      </c>
      <c r="E726" s="5" t="n">
        <v>5014136</v>
      </c>
      <c r="F726" s="5" t="inlineStr">
        <is>
          <t>4026003290</t>
        </is>
      </c>
      <c r="G726" s="5" t="inlineStr">
        <is>
          <t>EUR</t>
        </is>
      </c>
      <c r="H726" s="9" t="n">
        <v>-46440.35</v>
      </c>
      <c r="I726" s="16" t="n">
        <v>46153</v>
      </c>
      <c r="J726" s="16" t="n">
        <v>46183</v>
      </c>
      <c r="K726" s="5" t="inlineStr">
        <is>
          <t>0336/26</t>
        </is>
      </c>
      <c r="L726" s="5" t="inlineStr">
        <is>
          <t>4026003290</t>
        </is>
      </c>
      <c r="M726" s="5">
        <f>IF(YEAR(I726)&lt;=2020,"Até 2020",TEXT(YEAR(I726),"0"))</f>
        <v/>
      </c>
      <c r="N726" s="5">
        <f>IFERROR(INDEX(DePara!$A:$A,MATCH(TEXT(B726,"0"),DePara!$D:$D,0)),"(sem categoria)")</f>
        <v/>
      </c>
      <c r="O726" s="5">
        <f>IF(J726="","",Parametros!$B$6-J726)</f>
        <v/>
      </c>
      <c r="P726" s="5">
        <f>IF(O726="","",IF(O726&gt;0,1,0))</f>
        <v/>
      </c>
    </row>
    <row r="727">
      <c r="A727" s="5" t="n">
        <v>2122100000</v>
      </c>
      <c r="B727" s="5" t="inlineStr">
        <is>
          <t>IC4420</t>
        </is>
      </c>
      <c r="C727" s="5" t="inlineStr">
        <is>
          <t>NORDEX ENERGY SPAIN S A U</t>
        </is>
      </c>
      <c r="D727" s="5" t="inlineStr">
        <is>
          <t>RE</t>
        </is>
      </c>
      <c r="E727" s="5" t="n">
        <v>5014148</v>
      </c>
      <c r="F727" s="5" t="inlineStr">
        <is>
          <t>4026004407</t>
        </is>
      </c>
      <c r="G727" s="5" t="inlineStr">
        <is>
          <t>EUR</t>
        </is>
      </c>
      <c r="H727" s="9" t="n">
        <v>-9831.48</v>
      </c>
      <c r="I727" s="16" t="n">
        <v>46184</v>
      </c>
      <c r="J727" s="16" t="n">
        <v>46214</v>
      </c>
      <c r="K727" s="5" t="inlineStr">
        <is>
          <t>0456/26</t>
        </is>
      </c>
      <c r="L727" s="5" t="inlineStr">
        <is>
          <t>4026004407</t>
        </is>
      </c>
      <c r="M727" s="5">
        <f>IF(YEAR(I727)&lt;=2020,"Até 2020",TEXT(YEAR(I727),"0"))</f>
        <v/>
      </c>
      <c r="N727" s="5">
        <f>IFERROR(INDEX(DePara!$A:$A,MATCH(TEXT(B727,"0"),DePara!$D:$D,0)),"(sem categoria)")</f>
        <v/>
      </c>
      <c r="O727" s="5">
        <f>IF(J727="","",Parametros!$B$6-J727)</f>
        <v/>
      </c>
      <c r="P727" s="5">
        <f>IF(O727="","",IF(O727&gt;0,1,0))</f>
        <v/>
      </c>
    </row>
    <row r="728">
      <c r="A728" s="5" t="n">
        <v>2122100000</v>
      </c>
      <c r="B728" s="5" t="inlineStr">
        <is>
          <t>IC4420</t>
        </is>
      </c>
      <c r="C728" s="5" t="inlineStr">
        <is>
          <t>NORDEX ENERGY SPAIN S A U</t>
        </is>
      </c>
      <c r="D728" s="5" t="inlineStr">
        <is>
          <t>RE</t>
        </is>
      </c>
      <c r="E728" s="5" t="n">
        <v>5014149</v>
      </c>
      <c r="F728" s="5" t="inlineStr">
        <is>
          <t>4026002157</t>
        </is>
      </c>
      <c r="G728" s="5" t="inlineStr">
        <is>
          <t>EUR</t>
        </is>
      </c>
      <c r="H728" s="9" t="n">
        <v>-30502.6</v>
      </c>
      <c r="I728" s="16" t="n">
        <v>46108</v>
      </c>
      <c r="J728" s="16" t="n">
        <v>46138</v>
      </c>
      <c r="K728" s="5" t="inlineStr">
        <is>
          <t>0223/26</t>
        </is>
      </c>
      <c r="L728" s="5" t="inlineStr">
        <is>
          <t>4026002157</t>
        </is>
      </c>
      <c r="M728" s="5">
        <f>IF(YEAR(I728)&lt;=2020,"Até 2020",TEXT(YEAR(I728),"0"))</f>
        <v/>
      </c>
      <c r="N728" s="5">
        <f>IFERROR(INDEX(DePara!$A:$A,MATCH(TEXT(B728,"0"),DePara!$D:$D,0)),"(sem categoria)")</f>
        <v/>
      </c>
      <c r="O728" s="5">
        <f>IF(J728="","",Parametros!$B$6-J728)</f>
        <v/>
      </c>
      <c r="P728" s="5">
        <f>IF(O728="","",IF(O728&gt;0,1,0))</f>
        <v/>
      </c>
    </row>
    <row r="729">
      <c r="A729" s="5" t="n">
        <v>2122100000</v>
      </c>
      <c r="B729" s="5" t="inlineStr">
        <is>
          <t>IC4420</t>
        </is>
      </c>
      <c r="C729" s="5" t="inlineStr">
        <is>
          <t>NORDEX ENERGY SPAIN S A U</t>
        </is>
      </c>
      <c r="D729" s="5" t="inlineStr">
        <is>
          <t>RE</t>
        </is>
      </c>
      <c r="E729" s="5" t="n">
        <v>5014170</v>
      </c>
      <c r="F729" s="5" t="inlineStr">
        <is>
          <t>4026004556</t>
        </is>
      </c>
      <c r="G729" s="5" t="inlineStr">
        <is>
          <t>EUR</t>
        </is>
      </c>
      <c r="H729" s="9" t="n">
        <v>-10361.93</v>
      </c>
      <c r="I729" s="16" t="n">
        <v>46188</v>
      </c>
      <c r="J729" s="16" t="n">
        <v>46218</v>
      </c>
      <c r="K729" s="5" t="inlineStr">
        <is>
          <t>0404/26</t>
        </is>
      </c>
      <c r="L729" s="5" t="inlineStr">
        <is>
          <t>4026004556</t>
        </is>
      </c>
      <c r="M729" s="5">
        <f>IF(YEAR(I729)&lt;=2020,"Até 2020",TEXT(YEAR(I729),"0"))</f>
        <v/>
      </c>
      <c r="N729" s="5">
        <f>IFERROR(INDEX(DePara!$A:$A,MATCH(TEXT(B729,"0"),DePara!$D:$D,0)),"(sem categoria)")</f>
        <v/>
      </c>
      <c r="O729" s="5">
        <f>IF(J729="","",Parametros!$B$6-J729)</f>
        <v/>
      </c>
      <c r="P729" s="5">
        <f>IF(O729="","",IF(O729&gt;0,1,0))</f>
        <v/>
      </c>
    </row>
    <row r="730">
      <c r="A730" s="5" t="n">
        <v>2122100000</v>
      </c>
      <c r="B730" s="5" t="inlineStr">
        <is>
          <t>IC4420</t>
        </is>
      </c>
      <c r="C730" s="5" t="inlineStr">
        <is>
          <t>NORDEX ENERGY SPAIN S A U</t>
        </is>
      </c>
      <c r="D730" s="5" t="inlineStr">
        <is>
          <t>RE</t>
        </is>
      </c>
      <c r="E730" s="5" t="n">
        <v>5014171</v>
      </c>
      <c r="F730" s="5" t="inlineStr">
        <is>
          <t>4026004553</t>
        </is>
      </c>
      <c r="G730" s="5" t="inlineStr">
        <is>
          <t>EUR</t>
        </is>
      </c>
      <c r="H730" s="9" t="n">
        <v>-50522.5</v>
      </c>
      <c r="I730" s="16" t="n">
        <v>46188</v>
      </c>
      <c r="J730" s="16" t="n">
        <v>46218</v>
      </c>
      <c r="K730" s="5" t="inlineStr">
        <is>
          <t>0404/26</t>
        </is>
      </c>
      <c r="L730" s="5" t="inlineStr">
        <is>
          <t>4026004553</t>
        </is>
      </c>
      <c r="M730" s="5">
        <f>IF(YEAR(I730)&lt;=2020,"Até 2020",TEXT(YEAR(I730),"0"))</f>
        <v/>
      </c>
      <c r="N730" s="5">
        <f>IFERROR(INDEX(DePara!$A:$A,MATCH(TEXT(B730,"0"),DePara!$D:$D,0)),"(sem categoria)")</f>
        <v/>
      </c>
      <c r="O730" s="5">
        <f>IF(J730="","",Parametros!$B$6-J730)</f>
        <v/>
      </c>
      <c r="P730" s="5">
        <f>IF(O730="","",IF(O730&gt;0,1,0))</f>
        <v/>
      </c>
    </row>
    <row r="731">
      <c r="A731" s="5" t="n">
        <v>2122100000</v>
      </c>
      <c r="B731" s="5" t="inlineStr">
        <is>
          <t>IC4420</t>
        </is>
      </c>
      <c r="C731" s="5" t="inlineStr">
        <is>
          <t>NORDEX ENERGY SPAIN S A U</t>
        </is>
      </c>
      <c r="D731" s="5" t="inlineStr">
        <is>
          <t>RE</t>
        </is>
      </c>
      <c r="E731" s="5" t="n">
        <v>5014172</v>
      </c>
      <c r="F731" s="5" t="inlineStr">
        <is>
          <t>4026004560</t>
        </is>
      </c>
      <c r="G731" s="5" t="inlineStr">
        <is>
          <t>EUR</t>
        </is>
      </c>
      <c r="H731" s="9" t="n">
        <v>-35951.7</v>
      </c>
      <c r="I731" s="16" t="n">
        <v>46188</v>
      </c>
      <c r="J731" s="16" t="n">
        <v>46218</v>
      </c>
      <c r="K731" s="5" t="inlineStr">
        <is>
          <t>0404/26</t>
        </is>
      </c>
      <c r="L731" s="5" t="inlineStr">
        <is>
          <t>4026004560</t>
        </is>
      </c>
      <c r="M731" s="5">
        <f>IF(YEAR(I731)&lt;=2020,"Até 2020",TEXT(YEAR(I731),"0"))</f>
        <v/>
      </c>
      <c r="N731" s="5">
        <f>IFERROR(INDEX(DePara!$A:$A,MATCH(TEXT(B731,"0"),DePara!$D:$D,0)),"(sem categoria)")</f>
        <v/>
      </c>
      <c r="O731" s="5">
        <f>IF(J731="","",Parametros!$B$6-J731)</f>
        <v/>
      </c>
      <c r="P731" s="5">
        <f>IF(O731="","",IF(O731&gt;0,1,0))</f>
        <v/>
      </c>
    </row>
    <row r="732">
      <c r="A732" s="5" t="n">
        <v>2122100000</v>
      </c>
      <c r="B732" s="5" t="inlineStr">
        <is>
          <t>IC1000</t>
        </is>
      </c>
      <c r="C732" s="5" t="inlineStr">
        <is>
          <t>NORDEX ENERGY SE &amp; CO KG</t>
        </is>
      </c>
      <c r="D732" s="5" t="inlineStr">
        <is>
          <t>RE</t>
        </is>
      </c>
      <c r="E732" s="5" t="n">
        <v>5014195</v>
      </c>
      <c r="F732" s="5" t="inlineStr">
        <is>
          <t>403094</t>
        </is>
      </c>
      <c r="G732" s="5" t="inlineStr">
        <is>
          <t>EUR</t>
        </is>
      </c>
      <c r="H732" s="9" t="n">
        <v>-31137.63</v>
      </c>
      <c r="I732" s="16" t="n">
        <v>46182</v>
      </c>
      <c r="J732" s="16" t="n">
        <v>46212</v>
      </c>
      <c r="K732" s="5" t="inlineStr">
        <is>
          <t>0414/26</t>
        </is>
      </c>
      <c r="L732" s="5" t="inlineStr">
        <is>
          <t>403094</t>
        </is>
      </c>
      <c r="M732" s="5">
        <f>IF(YEAR(I732)&lt;=2020,"Até 2020",TEXT(YEAR(I732),"0"))</f>
        <v/>
      </c>
      <c r="N732" s="5">
        <f>IFERROR(INDEX(DePara!$A:$A,MATCH(TEXT(B732,"0"),DePara!$D:$D,0)),"(sem categoria)")</f>
        <v/>
      </c>
      <c r="O732" s="5">
        <f>IF(J732="","",Parametros!$B$6-J732)</f>
        <v/>
      </c>
      <c r="P732" s="5">
        <f>IF(O732="","",IF(O732&gt;0,1,0))</f>
        <v/>
      </c>
    </row>
    <row r="733">
      <c r="A733" s="5" t="n">
        <v>2122100000</v>
      </c>
      <c r="B733" s="5" t="inlineStr">
        <is>
          <t>IC1000</t>
        </is>
      </c>
      <c r="C733" s="5" t="inlineStr">
        <is>
          <t>NORDEX ENERGY SE &amp; CO KG</t>
        </is>
      </c>
      <c r="D733" s="5" t="inlineStr">
        <is>
          <t>RE</t>
        </is>
      </c>
      <c r="E733" s="5" t="n">
        <v>5014205</v>
      </c>
      <c r="F733" s="5" t="inlineStr">
        <is>
          <t>4012359423</t>
        </is>
      </c>
      <c r="G733" s="5" t="inlineStr">
        <is>
          <t>EUR</t>
        </is>
      </c>
      <c r="H733" s="9" t="n">
        <v>-5245.67</v>
      </c>
      <c r="I733" s="16" t="n">
        <v>45237</v>
      </c>
      <c r="J733" s="16" t="n">
        <v>45267</v>
      </c>
      <c r="K733" s="5" t="inlineStr">
        <is>
          <t>0550/23</t>
        </is>
      </c>
      <c r="L733" s="5" t="inlineStr">
        <is>
          <t>4012359423</t>
        </is>
      </c>
      <c r="M733" s="5">
        <f>IF(YEAR(I733)&lt;=2020,"Até 2020",TEXT(YEAR(I733),"0"))</f>
        <v/>
      </c>
      <c r="N733" s="5">
        <f>IFERROR(INDEX(DePara!$A:$A,MATCH(TEXT(B733,"0"),DePara!$D:$D,0)),"(sem categoria)")</f>
        <v/>
      </c>
      <c r="O733" s="5">
        <f>IF(J733="","",Parametros!$B$6-J733)</f>
        <v/>
      </c>
      <c r="P733" s="5">
        <f>IF(O733="","",IF(O733&gt;0,1,0))</f>
        <v/>
      </c>
    </row>
    <row r="734">
      <c r="A734" s="5" t="n">
        <v>2122100000</v>
      </c>
      <c r="B734" s="5" t="inlineStr">
        <is>
          <t>IC1000</t>
        </is>
      </c>
      <c r="C734" s="5" t="inlineStr">
        <is>
          <t>NORDEX ENERGY SE &amp; CO KG</t>
        </is>
      </c>
      <c r="D734" s="5" t="inlineStr">
        <is>
          <t>RE</t>
        </is>
      </c>
      <c r="E734" s="5" t="n">
        <v>5014206</v>
      </c>
      <c r="F734" s="5" t="inlineStr">
        <is>
          <t>4012359424</t>
        </is>
      </c>
      <c r="G734" s="5" t="inlineStr">
        <is>
          <t>EUR</t>
        </is>
      </c>
      <c r="H734" s="9" t="n">
        <v>-1181.74</v>
      </c>
      <c r="I734" s="16" t="n">
        <v>45237</v>
      </c>
      <c r="J734" s="16" t="n">
        <v>45267</v>
      </c>
      <c r="K734" s="5" t="inlineStr">
        <is>
          <t>0550/23</t>
        </is>
      </c>
      <c r="L734" s="5" t="inlineStr">
        <is>
          <t>4012359424</t>
        </is>
      </c>
      <c r="M734" s="5">
        <f>IF(YEAR(I734)&lt;=2020,"Até 2020",TEXT(YEAR(I734),"0"))</f>
        <v/>
      </c>
      <c r="N734" s="5">
        <f>IFERROR(INDEX(DePara!$A:$A,MATCH(TEXT(B734,"0"),DePara!$D:$D,0)),"(sem categoria)")</f>
        <v/>
      </c>
      <c r="O734" s="5">
        <f>IF(J734="","",Parametros!$B$6-J734)</f>
        <v/>
      </c>
      <c r="P734" s="5">
        <f>IF(O734="","",IF(O734&gt;0,1,0))</f>
        <v/>
      </c>
    </row>
    <row r="735">
      <c r="A735" s="5" t="n">
        <v>2122100000</v>
      </c>
      <c r="B735" s="5" t="inlineStr">
        <is>
          <t>IC1000</t>
        </is>
      </c>
      <c r="C735" s="5" t="inlineStr">
        <is>
          <t>NORDEX ENERGY SE &amp; CO KG</t>
        </is>
      </c>
      <c r="D735" s="5" t="inlineStr">
        <is>
          <t>RE</t>
        </is>
      </c>
      <c r="E735" s="5" t="n">
        <v>5014207</v>
      </c>
      <c r="F735" s="5" t="inlineStr">
        <is>
          <t>4012352915</t>
        </is>
      </c>
      <c r="G735" s="5" t="inlineStr">
        <is>
          <t>EUR</t>
        </is>
      </c>
      <c r="H735" s="9" t="n">
        <v>-1127.54</v>
      </c>
      <c r="I735" s="16" t="n">
        <v>45226</v>
      </c>
      <c r="J735" s="16" t="n">
        <v>45256</v>
      </c>
      <c r="K735" s="5" t="inlineStr">
        <is>
          <t>0533/23</t>
        </is>
      </c>
      <c r="L735" s="5" t="inlineStr">
        <is>
          <t>4012352915</t>
        </is>
      </c>
      <c r="M735" s="5">
        <f>IF(YEAR(I735)&lt;=2020,"Até 2020",TEXT(YEAR(I735),"0"))</f>
        <v/>
      </c>
      <c r="N735" s="5">
        <f>IFERROR(INDEX(DePara!$A:$A,MATCH(TEXT(B735,"0"),DePara!$D:$D,0)),"(sem categoria)")</f>
        <v/>
      </c>
      <c r="O735" s="5">
        <f>IF(J735="","",Parametros!$B$6-J735)</f>
        <v/>
      </c>
      <c r="P735" s="5">
        <f>IF(O735="","",IF(O735&gt;0,1,0))</f>
        <v/>
      </c>
    </row>
    <row r="736">
      <c r="A736" s="5" t="n">
        <v>2122100000</v>
      </c>
      <c r="B736" s="5" t="inlineStr">
        <is>
          <t>IC1000</t>
        </is>
      </c>
      <c r="C736" s="5" t="inlineStr">
        <is>
          <t>NORDEX ENERGY SE &amp; CO KG</t>
        </is>
      </c>
      <c r="D736" s="5" t="inlineStr">
        <is>
          <t>RE</t>
        </is>
      </c>
      <c r="E736" s="5" t="n">
        <v>5014210</v>
      </c>
      <c r="F736" s="5" t="inlineStr">
        <is>
          <t>4012352914</t>
        </is>
      </c>
      <c r="G736" s="5" t="inlineStr">
        <is>
          <t>EUR</t>
        </is>
      </c>
      <c r="H736" s="9" t="n">
        <v>-38896.25</v>
      </c>
      <c r="I736" s="16" t="n">
        <v>45226</v>
      </c>
      <c r="J736" s="16" t="n">
        <v>45256</v>
      </c>
      <c r="K736" s="5" t="inlineStr">
        <is>
          <t>0533/23</t>
        </is>
      </c>
      <c r="L736" s="5" t="inlineStr">
        <is>
          <t>4012352914</t>
        </is>
      </c>
      <c r="M736" s="5">
        <f>IF(YEAR(I736)&lt;=2020,"Até 2020",TEXT(YEAR(I736),"0"))</f>
        <v/>
      </c>
      <c r="N736" s="5">
        <f>IFERROR(INDEX(DePara!$A:$A,MATCH(TEXT(B736,"0"),DePara!$D:$D,0)),"(sem categoria)")</f>
        <v/>
      </c>
      <c r="O736" s="5">
        <f>IF(J736="","",Parametros!$B$6-J736)</f>
        <v/>
      </c>
      <c r="P736" s="5">
        <f>IF(O736="","",IF(O736&gt;0,1,0))</f>
        <v/>
      </c>
    </row>
    <row r="737">
      <c r="A737" s="5" t="n">
        <v>2122100000</v>
      </c>
      <c r="B737" s="5" t="inlineStr">
        <is>
          <t>IC1000</t>
        </is>
      </c>
      <c r="C737" s="5" t="inlineStr">
        <is>
          <t>NORDEX ENERGY SE &amp; CO KG</t>
        </is>
      </c>
      <c r="D737" s="5" t="inlineStr">
        <is>
          <t>RE</t>
        </is>
      </c>
      <c r="E737" s="5" t="n">
        <v>5014211</v>
      </c>
      <c r="F737" s="5" t="inlineStr">
        <is>
          <t>4012340081</t>
        </is>
      </c>
      <c r="G737" s="5" t="inlineStr">
        <is>
          <t>EUR</t>
        </is>
      </c>
      <c r="H737" s="9" t="n">
        <v>-54509.84</v>
      </c>
      <c r="I737" s="16" t="n">
        <v>45103</v>
      </c>
      <c r="J737" s="16" t="n">
        <v>45133</v>
      </c>
      <c r="K737" s="5" t="inlineStr">
        <is>
          <t>0460/23</t>
        </is>
      </c>
      <c r="L737" s="5" t="inlineStr">
        <is>
          <t>4012340081</t>
        </is>
      </c>
      <c r="M737" s="5">
        <f>IF(YEAR(I737)&lt;=2020,"Até 2020",TEXT(YEAR(I737),"0"))</f>
        <v/>
      </c>
      <c r="N737" s="5">
        <f>IFERROR(INDEX(DePara!$A:$A,MATCH(TEXT(B737,"0"),DePara!$D:$D,0)),"(sem categoria)")</f>
        <v/>
      </c>
      <c r="O737" s="5">
        <f>IF(J737="","",Parametros!$B$6-J737)</f>
        <v/>
      </c>
      <c r="P737" s="5">
        <f>IF(O737="","",IF(O737&gt;0,1,0))</f>
        <v/>
      </c>
    </row>
    <row r="738">
      <c r="A738" s="5" t="n">
        <v>2122100000</v>
      </c>
      <c r="B738" s="5" t="inlineStr">
        <is>
          <t>IC1000</t>
        </is>
      </c>
      <c r="C738" s="5" t="inlineStr">
        <is>
          <t>NORDEX ENERGY SE &amp; CO KG</t>
        </is>
      </c>
      <c r="D738" s="5" t="inlineStr">
        <is>
          <t>RE</t>
        </is>
      </c>
      <c r="E738" s="5" t="n">
        <v>5014243</v>
      </c>
      <c r="F738" s="5" t="inlineStr">
        <is>
          <t>4012348104</t>
        </is>
      </c>
      <c r="G738" s="5" t="inlineStr">
        <is>
          <t>EUR</t>
        </is>
      </c>
      <c r="H738" s="9" t="n">
        <v>-20425.3</v>
      </c>
      <c r="I738" s="16" t="n">
        <v>45174</v>
      </c>
      <c r="J738" s="16" t="n">
        <v>45204</v>
      </c>
      <c r="K738" s="5" t="inlineStr">
        <is>
          <t>0472/23</t>
        </is>
      </c>
      <c r="L738" s="5" t="inlineStr">
        <is>
          <t>4012348104</t>
        </is>
      </c>
      <c r="M738" s="5">
        <f>IF(YEAR(I738)&lt;=2020,"Até 2020",TEXT(YEAR(I738),"0"))</f>
        <v/>
      </c>
      <c r="N738" s="5">
        <f>IFERROR(INDEX(DePara!$A:$A,MATCH(TEXT(B738,"0"),DePara!$D:$D,0)),"(sem categoria)")</f>
        <v/>
      </c>
      <c r="O738" s="5">
        <f>IF(J738="","",Parametros!$B$6-J738)</f>
        <v/>
      </c>
      <c r="P738" s="5">
        <f>IF(O738="","",IF(O738&gt;0,1,0))</f>
        <v/>
      </c>
    </row>
    <row r="739">
      <c r="A739" s="5" t="n">
        <v>2122100000</v>
      </c>
      <c r="B739" s="5" t="inlineStr">
        <is>
          <t>IC1000</t>
        </is>
      </c>
      <c r="C739" s="5" t="inlineStr">
        <is>
          <t>NORDEX ENERGY SE &amp; CO KG</t>
        </is>
      </c>
      <c r="D739" s="5" t="inlineStr">
        <is>
          <t>RE</t>
        </is>
      </c>
      <c r="E739" s="5" t="n">
        <v>5014245</v>
      </c>
      <c r="F739" s="5" t="inlineStr">
        <is>
          <t>4012340935</t>
        </is>
      </c>
      <c r="G739" s="5" t="inlineStr">
        <is>
          <t>EUR</t>
        </is>
      </c>
      <c r="H739" s="9" t="n">
        <v>-12813.21</v>
      </c>
      <c r="I739" s="16" t="n">
        <v>45107</v>
      </c>
      <c r="J739" s="16" t="n">
        <v>45137</v>
      </c>
      <c r="K739" s="5" t="inlineStr">
        <is>
          <t>0471/23</t>
        </is>
      </c>
      <c r="L739" s="5" t="inlineStr">
        <is>
          <t>4012340935</t>
        </is>
      </c>
      <c r="M739" s="5">
        <f>IF(YEAR(I739)&lt;=2020,"Até 2020",TEXT(YEAR(I739),"0"))</f>
        <v/>
      </c>
      <c r="N739" s="5">
        <f>IFERROR(INDEX(DePara!$A:$A,MATCH(TEXT(B739,"0"),DePara!$D:$D,0)),"(sem categoria)")</f>
        <v/>
      </c>
      <c r="O739" s="5">
        <f>IF(J739="","",Parametros!$B$6-J739)</f>
        <v/>
      </c>
      <c r="P739" s="5">
        <f>IF(O739="","",IF(O739&gt;0,1,0))</f>
        <v/>
      </c>
    </row>
    <row r="740">
      <c r="A740" s="5" t="n">
        <v>2122100000</v>
      </c>
      <c r="B740" s="5" t="inlineStr">
        <is>
          <t>IC1000</t>
        </is>
      </c>
      <c r="C740" s="5" t="inlineStr">
        <is>
          <t>NORDEX ENERGY SE &amp; CO KG</t>
        </is>
      </c>
      <c r="D740" s="5" t="inlineStr">
        <is>
          <t>RE</t>
        </is>
      </c>
      <c r="E740" s="5" t="n">
        <v>5014246</v>
      </c>
      <c r="F740" s="5" t="inlineStr">
        <is>
          <t>4012344677</t>
        </is>
      </c>
      <c r="G740" s="5" t="inlineStr">
        <is>
          <t>EUR</t>
        </is>
      </c>
      <c r="H740" s="9" t="n">
        <v>-7426.4</v>
      </c>
      <c r="I740" s="16" t="n">
        <v>45134</v>
      </c>
      <c r="J740" s="16" t="n">
        <v>45164</v>
      </c>
      <c r="K740" s="5" t="inlineStr">
        <is>
          <t>0475/23</t>
        </is>
      </c>
      <c r="L740" s="5" t="inlineStr">
        <is>
          <t>4012344677</t>
        </is>
      </c>
      <c r="M740" s="5">
        <f>IF(YEAR(I740)&lt;=2020,"Até 2020",TEXT(YEAR(I740),"0"))</f>
        <v/>
      </c>
      <c r="N740" s="5">
        <f>IFERROR(INDEX(DePara!$A:$A,MATCH(TEXT(B740,"0"),DePara!$D:$D,0)),"(sem categoria)")</f>
        <v/>
      </c>
      <c r="O740" s="5">
        <f>IF(J740="","",Parametros!$B$6-J740)</f>
        <v/>
      </c>
      <c r="P740" s="5">
        <f>IF(O740="","",IF(O740&gt;0,1,0))</f>
        <v/>
      </c>
    </row>
    <row r="741">
      <c r="A741" s="5" t="n">
        <v>2122100000</v>
      </c>
      <c r="B741" s="5" t="inlineStr">
        <is>
          <t>IC5000</t>
        </is>
      </c>
      <c r="C741" s="5" t="inlineStr">
        <is>
          <t>NORDEX SE</t>
        </is>
      </c>
      <c r="D741" s="5" t="inlineStr">
        <is>
          <t>KR</t>
        </is>
      </c>
      <c r="E741" s="5" t="n">
        <v>5014332</v>
      </c>
      <c r="F741" s="5" t="inlineStr">
        <is>
          <t>609446</t>
        </is>
      </c>
      <c r="G741" s="5" t="inlineStr">
        <is>
          <t>EUR</t>
        </is>
      </c>
      <c r="H741" s="9" t="n">
        <v>-5845986.64</v>
      </c>
      <c r="I741" s="16" t="n">
        <v>45755</v>
      </c>
      <c r="J741" s="16" t="n">
        <v>45755</v>
      </c>
      <c r="K741" s="5" t="inlineStr">
        <is>
          <t>Fatura do fornecedor NORDEX SE 609446</t>
        </is>
      </c>
      <c r="L741" s="5" t="n"/>
      <c r="M741" s="5">
        <f>IF(YEAR(I741)&lt;=2020,"Até 2020",TEXT(YEAR(I741),"0"))</f>
        <v/>
      </c>
      <c r="N741" s="5">
        <f>IFERROR(INDEX(DePara!$A:$A,MATCH(TEXT(B741,"0"),DePara!$D:$D,0)),"(sem categoria)")</f>
        <v/>
      </c>
      <c r="O741" s="5">
        <f>IF(J741="","",Parametros!$B$6-J741)</f>
        <v/>
      </c>
      <c r="P741" s="5">
        <f>IF(O741="","",IF(O741&gt;0,1,0))</f>
        <v/>
      </c>
    </row>
    <row r="742">
      <c r="A742" s="5" t="n">
        <v>2122100000</v>
      </c>
      <c r="B742" s="5" t="inlineStr">
        <is>
          <t>IC4420</t>
        </is>
      </c>
      <c r="C742" s="5" t="inlineStr">
        <is>
          <t>NORDEX ENERGY SPAIN S A U</t>
        </is>
      </c>
      <c r="D742" s="5" t="inlineStr">
        <is>
          <t>RE</t>
        </is>
      </c>
      <c r="E742" s="5" t="n">
        <v>5014384</v>
      </c>
      <c r="F742" s="5" t="inlineStr">
        <is>
          <t>4026004938</t>
        </is>
      </c>
      <c r="G742" s="5" t="inlineStr">
        <is>
          <t>EUR</t>
        </is>
      </c>
      <c r="H742" s="9" t="n">
        <v>-1350.07</v>
      </c>
      <c r="I742" s="16" t="n">
        <v>46203</v>
      </c>
      <c r="J742" s="16" t="n">
        <v>46233</v>
      </c>
      <c r="K742" s="5" t="inlineStr">
        <is>
          <t>0450/26</t>
        </is>
      </c>
      <c r="L742" s="5" t="inlineStr">
        <is>
          <t>4026004938</t>
        </is>
      </c>
      <c r="M742" s="5">
        <f>IF(YEAR(I742)&lt;=2020,"Até 2020",TEXT(YEAR(I742),"0"))</f>
        <v/>
      </c>
      <c r="N742" s="5">
        <f>IFERROR(INDEX(DePara!$A:$A,MATCH(TEXT(B742,"0"),DePara!$D:$D,0)),"(sem categoria)")</f>
        <v/>
      </c>
      <c r="O742" s="5">
        <f>IF(J742="","",Parametros!$B$6-J742)</f>
        <v/>
      </c>
      <c r="P742" s="5">
        <f>IF(O742="","",IF(O742&gt;0,1,0))</f>
        <v/>
      </c>
    </row>
    <row r="743">
      <c r="A743" s="5" t="n">
        <v>2122100000</v>
      </c>
      <c r="B743" s="5" t="inlineStr">
        <is>
          <t>IC1000</t>
        </is>
      </c>
      <c r="C743" s="5" t="inlineStr">
        <is>
          <t>NORDEX ENERGY SE &amp; CO KG</t>
        </is>
      </c>
      <c r="D743" s="5" t="inlineStr">
        <is>
          <t>RE</t>
        </is>
      </c>
      <c r="E743" s="5" t="n">
        <v>5014385</v>
      </c>
      <c r="F743" s="5" t="inlineStr">
        <is>
          <t>99042</t>
        </is>
      </c>
      <c r="G743" s="5" t="inlineStr">
        <is>
          <t>EUR</t>
        </is>
      </c>
      <c r="H743" s="9" t="n">
        <v>-13145.29</v>
      </c>
      <c r="I743" s="16" t="n">
        <v>46209</v>
      </c>
      <c r="J743" s="16" t="n">
        <v>46239</v>
      </c>
      <c r="K743" s="5" t="inlineStr">
        <is>
          <t>0473/26</t>
        </is>
      </c>
      <c r="L743" s="5" t="inlineStr">
        <is>
          <t>99042</t>
        </is>
      </c>
      <c r="M743" s="5">
        <f>IF(YEAR(I743)&lt;=2020,"Até 2020",TEXT(YEAR(I743),"0"))</f>
        <v/>
      </c>
      <c r="N743" s="5">
        <f>IFERROR(INDEX(DePara!$A:$A,MATCH(TEXT(B743,"0"),DePara!$D:$D,0)),"(sem categoria)")</f>
        <v/>
      </c>
      <c r="O743" s="5">
        <f>IF(J743="","",Parametros!$B$6-J743)</f>
        <v/>
      </c>
      <c r="P743" s="5">
        <f>IF(O743="","",IF(O743&gt;0,1,0))</f>
        <v/>
      </c>
    </row>
    <row r="744">
      <c r="A744" s="5" t="n">
        <v>2122100000</v>
      </c>
      <c r="B744" s="5" t="inlineStr">
        <is>
          <t>IC4680</t>
        </is>
      </c>
      <c r="C744" s="5" t="inlineStr">
        <is>
          <t>NORDEX ENERGY MEXICO S DE RL DE CV</t>
        </is>
      </c>
      <c r="D744" s="5" t="inlineStr">
        <is>
          <t>RE</t>
        </is>
      </c>
      <c r="E744" s="5" t="n">
        <v>5014405</v>
      </c>
      <c r="F744" s="5" t="inlineStr">
        <is>
          <t>COMEXT / 437</t>
        </is>
      </c>
      <c r="G744" s="5" t="inlineStr">
        <is>
          <t>USD</t>
        </is>
      </c>
      <c r="H744" s="9" t="n">
        <v>-22798.43</v>
      </c>
      <c r="I744" s="16" t="n">
        <v>46220</v>
      </c>
      <c r="J744" s="16" t="n">
        <v>46250</v>
      </c>
      <c r="K744" s="5" t="inlineStr">
        <is>
          <t>0458/26</t>
        </is>
      </c>
      <c r="L744" s="5" t="inlineStr">
        <is>
          <t>COMEXT / 437</t>
        </is>
      </c>
      <c r="M744" s="5">
        <f>IF(YEAR(I744)&lt;=2020,"Até 2020",TEXT(YEAR(I744),"0"))</f>
        <v/>
      </c>
      <c r="N744" s="5">
        <f>IFERROR(INDEX(DePara!$A:$A,MATCH(TEXT(B744,"0"),DePara!$D:$D,0)),"(sem categoria)")</f>
        <v/>
      </c>
      <c r="O744" s="5">
        <f>IF(J744="","",Parametros!$B$6-J744)</f>
        <v/>
      </c>
      <c r="P744" s="5">
        <f>IF(O744="","",IF(O744&gt;0,1,0))</f>
        <v/>
      </c>
    </row>
    <row r="745">
      <c r="A745" s="5" t="n">
        <v>2122100000</v>
      </c>
      <c r="B745" s="5" t="inlineStr">
        <is>
          <t>IC1000</t>
        </is>
      </c>
      <c r="C745" s="5" t="inlineStr">
        <is>
          <t>NORDEX ENERGY SE &amp; CO KG</t>
        </is>
      </c>
      <c r="D745" s="5" t="inlineStr">
        <is>
          <t>RE</t>
        </is>
      </c>
      <c r="E745" s="5" t="n">
        <v>5014408</v>
      </c>
      <c r="F745" s="5" t="inlineStr">
        <is>
          <t>RITM0659531</t>
        </is>
      </c>
      <c r="G745" s="5" t="inlineStr">
        <is>
          <t>EUR</t>
        </is>
      </c>
      <c r="H745" s="9" t="n">
        <v>-368687.99</v>
      </c>
      <c r="I745" s="16" t="n">
        <v>46168</v>
      </c>
      <c r="J745" s="16" t="n">
        <v>46198</v>
      </c>
      <c r="K745" s="5" t="inlineStr">
        <is>
          <t>0371/26</t>
        </is>
      </c>
      <c r="L745" s="5" t="inlineStr">
        <is>
          <t>RITM0659531</t>
        </is>
      </c>
      <c r="M745" s="5">
        <f>IF(YEAR(I745)&lt;=2020,"Até 2020",TEXT(YEAR(I745),"0"))</f>
        <v/>
      </c>
      <c r="N745" s="5">
        <f>IFERROR(INDEX(DePara!$A:$A,MATCH(TEXT(B745,"0"),DePara!$D:$D,0)),"(sem categoria)")</f>
        <v/>
      </c>
      <c r="O745" s="5">
        <f>IF(J745="","",Parametros!$B$6-J745)</f>
        <v/>
      </c>
      <c r="P745" s="5">
        <f>IF(O745="","",IF(O745&gt;0,1,0))</f>
        <v/>
      </c>
    </row>
    <row r="746">
      <c r="A746" s="5" t="n">
        <v>2122100000</v>
      </c>
      <c r="B746" s="5" t="inlineStr">
        <is>
          <t>IC4670</t>
        </is>
      </c>
      <c r="C746" s="5" t="inlineStr">
        <is>
          <t>NORDEX ENERGY CHILE SA</t>
        </is>
      </c>
      <c r="D746" s="5" t="inlineStr">
        <is>
          <t>RE</t>
        </is>
      </c>
      <c r="E746" s="5" t="n">
        <v>5014410</v>
      </c>
      <c r="F746" s="5" t="inlineStr">
        <is>
          <t>95</t>
        </is>
      </c>
      <c r="G746" s="5" t="inlineStr">
        <is>
          <t>EUR</t>
        </is>
      </c>
      <c r="H746" s="9" t="n">
        <v>-115826.1</v>
      </c>
      <c r="I746" s="16" t="n">
        <v>46154</v>
      </c>
      <c r="J746" s="16" t="n">
        <v>46208</v>
      </c>
      <c r="K746" s="5" t="inlineStr">
        <is>
          <t>0446/26</t>
        </is>
      </c>
      <c r="L746" s="5" t="inlineStr">
        <is>
          <t>95</t>
        </is>
      </c>
      <c r="M746" s="5">
        <f>IF(YEAR(I746)&lt;=2020,"Até 2020",TEXT(YEAR(I746),"0"))</f>
        <v/>
      </c>
      <c r="N746" s="5">
        <f>IFERROR(INDEX(DePara!$A:$A,MATCH(TEXT(B746,"0"),DePara!$D:$D,0)),"(sem categoria)")</f>
        <v/>
      </c>
      <c r="O746" s="5">
        <f>IF(J746="","",Parametros!$B$6-J746)</f>
        <v/>
      </c>
      <c r="P746" s="5">
        <f>IF(O746="","",IF(O746&gt;0,1,0))</f>
        <v/>
      </c>
    </row>
    <row r="747">
      <c r="A747" s="5" t="n">
        <v>2122100000</v>
      </c>
      <c r="B747" s="5" t="inlineStr">
        <is>
          <t>IC1000</t>
        </is>
      </c>
      <c r="C747" s="5" t="inlineStr">
        <is>
          <t>NORDEX ENERGY SE &amp; CO KG</t>
        </is>
      </c>
      <c r="D747" s="5" t="inlineStr">
        <is>
          <t>RE</t>
        </is>
      </c>
      <c r="E747" s="5" t="n">
        <v>5014456</v>
      </c>
      <c r="F747" s="5" t="inlineStr">
        <is>
          <t>4012344165</t>
        </is>
      </c>
      <c r="G747" s="5" t="inlineStr">
        <is>
          <t>EUR</t>
        </is>
      </c>
      <c r="H747" s="9" t="n">
        <v>-57222.1</v>
      </c>
      <c r="I747" s="16" t="n">
        <v>45131</v>
      </c>
      <c r="J747" s="16" t="n">
        <v>45161</v>
      </c>
      <c r="K747" s="5" t="inlineStr">
        <is>
          <t>0469/23</t>
        </is>
      </c>
      <c r="L747" s="5" t="inlineStr">
        <is>
          <t>4012344165</t>
        </is>
      </c>
      <c r="M747" s="5">
        <f>IF(YEAR(I747)&lt;=2020,"Até 2020",TEXT(YEAR(I747),"0"))</f>
        <v/>
      </c>
      <c r="N747" s="5">
        <f>IFERROR(INDEX(DePara!$A:$A,MATCH(TEXT(B747,"0"),DePara!$D:$D,0)),"(sem categoria)")</f>
        <v/>
      </c>
      <c r="O747" s="5">
        <f>IF(J747="","",Parametros!$B$6-J747)</f>
        <v/>
      </c>
      <c r="P747" s="5">
        <f>IF(O747="","",IF(O747&gt;0,1,0))</f>
        <v/>
      </c>
    </row>
    <row r="748">
      <c r="A748" s="5" t="n">
        <v>2122100000</v>
      </c>
      <c r="B748" s="5" t="inlineStr">
        <is>
          <t>IC1000</t>
        </is>
      </c>
      <c r="C748" s="5" t="inlineStr">
        <is>
          <t>NORDEX ENERGY SE &amp; CO KG</t>
        </is>
      </c>
      <c r="D748" s="5" t="inlineStr">
        <is>
          <t>RE</t>
        </is>
      </c>
      <c r="E748" s="5" t="n">
        <v>5014468</v>
      </c>
      <c r="F748" s="5" t="inlineStr">
        <is>
          <t>4012344022</t>
        </is>
      </c>
      <c r="G748" s="5" t="inlineStr">
        <is>
          <t>EUR</t>
        </is>
      </c>
      <c r="H748" s="9" t="n">
        <v>-68976.39999999999</v>
      </c>
      <c r="I748" s="16" t="n">
        <v>45128</v>
      </c>
      <c r="J748" s="16" t="n">
        <v>45158</v>
      </c>
      <c r="K748" s="5" t="inlineStr">
        <is>
          <t>0469/23</t>
        </is>
      </c>
      <c r="L748" s="5" t="inlineStr">
        <is>
          <t>4012344022</t>
        </is>
      </c>
      <c r="M748" s="5">
        <f>IF(YEAR(I748)&lt;=2020,"Até 2020",TEXT(YEAR(I748),"0"))</f>
        <v/>
      </c>
      <c r="N748" s="5">
        <f>IFERROR(INDEX(DePara!$A:$A,MATCH(TEXT(B748,"0"),DePara!$D:$D,0)),"(sem categoria)")</f>
        <v/>
      </c>
      <c r="O748" s="5">
        <f>IF(J748="","",Parametros!$B$6-J748)</f>
        <v/>
      </c>
      <c r="P748" s="5">
        <f>IF(O748="","",IF(O748&gt;0,1,0))</f>
        <v/>
      </c>
    </row>
    <row r="749">
      <c r="A749" s="5" t="n">
        <v>2122100000</v>
      </c>
      <c r="B749" s="5" t="inlineStr">
        <is>
          <t>IC1000</t>
        </is>
      </c>
      <c r="C749" s="5" t="inlineStr">
        <is>
          <t>NORDEX ENERGY SE &amp; CO KG</t>
        </is>
      </c>
      <c r="D749" s="5" t="inlineStr">
        <is>
          <t>RE</t>
        </is>
      </c>
      <c r="E749" s="5" t="n">
        <v>5014530</v>
      </c>
      <c r="F749" s="5" t="inlineStr">
        <is>
          <t>310264+310265</t>
        </is>
      </c>
      <c r="G749" s="5" t="inlineStr">
        <is>
          <t>EUR</t>
        </is>
      </c>
      <c r="H749" s="9" t="n">
        <v>-109224.6</v>
      </c>
      <c r="I749" s="16" t="n">
        <v>45672</v>
      </c>
      <c r="J749" s="16" t="n">
        <v>45702</v>
      </c>
      <c r="K749" s="5" t="inlineStr">
        <is>
          <t>0255/25</t>
        </is>
      </c>
      <c r="L749" s="5" t="inlineStr">
        <is>
          <t>310264+310265</t>
        </is>
      </c>
      <c r="M749" s="5">
        <f>IF(YEAR(I749)&lt;=2020,"Até 2020",TEXT(YEAR(I749),"0"))</f>
        <v/>
      </c>
      <c r="N749" s="5">
        <f>IFERROR(INDEX(DePara!$A:$A,MATCH(TEXT(B749,"0"),DePara!$D:$D,0)),"(sem categoria)")</f>
        <v/>
      </c>
      <c r="O749" s="5">
        <f>IF(J749="","",Parametros!$B$6-J749)</f>
        <v/>
      </c>
      <c r="P749" s="5">
        <f>IF(O749="","",IF(O749&gt;0,1,0))</f>
        <v/>
      </c>
    </row>
    <row r="750">
      <c r="A750" s="5" t="n">
        <v>2122100000</v>
      </c>
      <c r="B750" s="5" t="inlineStr">
        <is>
          <t>IC1000</t>
        </is>
      </c>
      <c r="C750" s="5" t="inlineStr">
        <is>
          <t>NORDEX ENERGY SE &amp; CO KG</t>
        </is>
      </c>
      <c r="D750" s="5" t="inlineStr">
        <is>
          <t>RE</t>
        </is>
      </c>
      <c r="E750" s="5" t="n">
        <v>5014547</v>
      </c>
      <c r="F750" s="5" t="inlineStr">
        <is>
          <t>97006</t>
        </is>
      </c>
      <c r="G750" s="5" t="inlineStr">
        <is>
          <t>EUR</t>
        </is>
      </c>
      <c r="H750" s="9" t="n">
        <v>-101462.99</v>
      </c>
      <c r="I750" s="16" t="n">
        <v>46209</v>
      </c>
      <c r="J750" s="16" t="n">
        <v>46239</v>
      </c>
      <c r="K750" s="5" t="inlineStr">
        <is>
          <t>0468/26</t>
        </is>
      </c>
      <c r="L750" s="5" t="inlineStr">
        <is>
          <t>97006</t>
        </is>
      </c>
      <c r="M750" s="5">
        <f>IF(YEAR(I750)&lt;=2020,"Até 2020",TEXT(YEAR(I750),"0"))</f>
        <v/>
      </c>
      <c r="N750" s="5">
        <f>IFERROR(INDEX(DePara!$A:$A,MATCH(TEXT(B750,"0"),DePara!$D:$D,0)),"(sem categoria)")</f>
        <v/>
      </c>
      <c r="O750" s="5">
        <f>IF(J750="","",Parametros!$B$6-J750)</f>
        <v/>
      </c>
      <c r="P750" s="5">
        <f>IF(O750="","",IF(O750&gt;0,1,0))</f>
        <v/>
      </c>
    </row>
    <row r="751">
      <c r="A751" s="5" t="n">
        <v>2122100000</v>
      </c>
      <c r="B751" s="5" t="inlineStr">
        <is>
          <t>IC1000</t>
        </is>
      </c>
      <c r="C751" s="5" t="inlineStr">
        <is>
          <t>NORDEX ENERGY SE &amp; CO KG</t>
        </is>
      </c>
      <c r="D751" s="5" t="inlineStr">
        <is>
          <t>RE</t>
        </is>
      </c>
      <c r="E751" s="5" t="n">
        <v>5014624</v>
      </c>
      <c r="F751" s="5" t="inlineStr">
        <is>
          <t>4012340087</t>
        </is>
      </c>
      <c r="G751" s="5" t="inlineStr">
        <is>
          <t>EUR</t>
        </is>
      </c>
      <c r="H751" s="9" t="n">
        <v>-4795.83</v>
      </c>
      <c r="I751" s="16" t="n">
        <v>45103</v>
      </c>
      <c r="J751" s="16" t="n">
        <v>45133</v>
      </c>
      <c r="K751" s="5" t="inlineStr">
        <is>
          <t>0481/23</t>
        </is>
      </c>
      <c r="L751" s="5" t="inlineStr">
        <is>
          <t>4012340087</t>
        </is>
      </c>
      <c r="M751" s="5">
        <f>IF(YEAR(I751)&lt;=2020,"Até 2020",TEXT(YEAR(I751),"0"))</f>
        <v/>
      </c>
      <c r="N751" s="5">
        <f>IFERROR(INDEX(DePara!$A:$A,MATCH(TEXT(B751,"0"),DePara!$D:$D,0)),"(sem categoria)")</f>
        <v/>
      </c>
      <c r="O751" s="5">
        <f>IF(J751="","",Parametros!$B$6-J751)</f>
        <v/>
      </c>
      <c r="P751" s="5">
        <f>IF(O751="","",IF(O751&gt;0,1,0))</f>
        <v/>
      </c>
    </row>
    <row r="752">
      <c r="A752" s="5" t="n">
        <v>2122100000</v>
      </c>
      <c r="B752" s="5" t="inlineStr">
        <is>
          <t>IC1000</t>
        </is>
      </c>
      <c r="C752" s="5" t="inlineStr">
        <is>
          <t>NORDEX ENERGY SE &amp; CO KG</t>
        </is>
      </c>
      <c r="D752" s="5" t="inlineStr">
        <is>
          <t>RE</t>
        </is>
      </c>
      <c r="E752" s="5" t="n">
        <v>5014625</v>
      </c>
      <c r="F752" s="5" t="inlineStr">
        <is>
          <t>4012340094</t>
        </is>
      </c>
      <c r="G752" s="5" t="inlineStr">
        <is>
          <t>EUR</t>
        </is>
      </c>
      <c r="H752" s="9" t="n">
        <v>-438.76</v>
      </c>
      <c r="I752" s="16" t="n">
        <v>45103</v>
      </c>
      <c r="J752" s="16" t="n">
        <v>45133</v>
      </c>
      <c r="K752" s="5" t="inlineStr">
        <is>
          <t>0481/23</t>
        </is>
      </c>
      <c r="L752" s="5" t="inlineStr">
        <is>
          <t>4012340094</t>
        </is>
      </c>
      <c r="M752" s="5">
        <f>IF(YEAR(I752)&lt;=2020,"Até 2020",TEXT(YEAR(I752),"0"))</f>
        <v/>
      </c>
      <c r="N752" s="5">
        <f>IFERROR(INDEX(DePara!$A:$A,MATCH(TEXT(B752,"0"),DePara!$D:$D,0)),"(sem categoria)")</f>
        <v/>
      </c>
      <c r="O752" s="5">
        <f>IF(J752="","",Parametros!$B$6-J752)</f>
        <v/>
      </c>
      <c r="P752" s="5">
        <f>IF(O752="","",IF(O752&gt;0,1,0))</f>
        <v/>
      </c>
    </row>
    <row r="753">
      <c r="A753" s="5" t="n">
        <v>2122100000</v>
      </c>
      <c r="B753" s="5" t="inlineStr">
        <is>
          <t>IC1000</t>
        </is>
      </c>
      <c r="C753" s="5" t="inlineStr">
        <is>
          <t>NORDEX ENERGY SE &amp; CO KG</t>
        </is>
      </c>
      <c r="D753" s="5" t="inlineStr">
        <is>
          <t>RE</t>
        </is>
      </c>
      <c r="E753" s="5" t="n">
        <v>5014626</v>
      </c>
      <c r="F753" s="5" t="inlineStr">
        <is>
          <t>4012340084</t>
        </is>
      </c>
      <c r="G753" s="5" t="inlineStr">
        <is>
          <t>EUR</t>
        </is>
      </c>
      <c r="H753" s="9" t="n">
        <v>-6322.79</v>
      </c>
      <c r="I753" s="16" t="n">
        <v>45103</v>
      </c>
      <c r="J753" s="16" t="n">
        <v>45133</v>
      </c>
      <c r="K753" s="5" t="inlineStr">
        <is>
          <t>0481/23</t>
        </is>
      </c>
      <c r="L753" s="5" t="inlineStr">
        <is>
          <t>4012340084</t>
        </is>
      </c>
      <c r="M753" s="5">
        <f>IF(YEAR(I753)&lt;=2020,"Até 2020",TEXT(YEAR(I753),"0"))</f>
        <v/>
      </c>
      <c r="N753" s="5">
        <f>IFERROR(INDEX(DePara!$A:$A,MATCH(TEXT(B753,"0"),DePara!$D:$D,0)),"(sem categoria)")</f>
        <v/>
      </c>
      <c r="O753" s="5">
        <f>IF(J753="","",Parametros!$B$6-J753)</f>
        <v/>
      </c>
      <c r="P753" s="5">
        <f>IF(O753="","",IF(O753&gt;0,1,0))</f>
        <v/>
      </c>
    </row>
    <row r="754">
      <c r="A754" s="5" t="n">
        <v>2122100000</v>
      </c>
      <c r="B754" s="5" t="inlineStr">
        <is>
          <t>IC1000</t>
        </is>
      </c>
      <c r="C754" s="5" t="inlineStr">
        <is>
          <t>NORDEX ENERGY SE &amp; CO KG</t>
        </is>
      </c>
      <c r="D754" s="5" t="inlineStr">
        <is>
          <t>RE</t>
        </is>
      </c>
      <c r="E754" s="5" t="n">
        <v>5014627</v>
      </c>
      <c r="F754" s="5" t="inlineStr">
        <is>
          <t>4012340095</t>
        </is>
      </c>
      <c r="G754" s="5" t="inlineStr">
        <is>
          <t>EUR</t>
        </is>
      </c>
      <c r="H754" s="9" t="n">
        <v>-86323.52</v>
      </c>
      <c r="I754" s="16" t="n">
        <v>45103</v>
      </c>
      <c r="J754" s="16" t="n">
        <v>45133</v>
      </c>
      <c r="K754" s="5" t="inlineStr">
        <is>
          <t>0481/23</t>
        </is>
      </c>
      <c r="L754" s="5" t="inlineStr">
        <is>
          <t>4012340095</t>
        </is>
      </c>
      <c r="M754" s="5">
        <f>IF(YEAR(I754)&lt;=2020,"Até 2020",TEXT(YEAR(I754),"0"))</f>
        <v/>
      </c>
      <c r="N754" s="5">
        <f>IFERROR(INDEX(DePara!$A:$A,MATCH(TEXT(B754,"0"),DePara!$D:$D,0)),"(sem categoria)")</f>
        <v/>
      </c>
      <c r="O754" s="5">
        <f>IF(J754="","",Parametros!$B$6-J754)</f>
        <v/>
      </c>
      <c r="P754" s="5">
        <f>IF(O754="","",IF(O754&gt;0,1,0))</f>
        <v/>
      </c>
    </row>
    <row r="755">
      <c r="A755" s="5" t="n">
        <v>2122100000</v>
      </c>
      <c r="B755" s="5" t="inlineStr">
        <is>
          <t>IC4420</t>
        </is>
      </c>
      <c r="C755" s="5" t="inlineStr">
        <is>
          <t>NORDEX ENERGY SPAIN S A U</t>
        </is>
      </c>
      <c r="D755" s="5" t="inlineStr">
        <is>
          <t>RE</t>
        </is>
      </c>
      <c r="E755" s="5" t="n">
        <v>5014669</v>
      </c>
      <c r="F755" s="5" t="inlineStr">
        <is>
          <t>4026004937</t>
        </is>
      </c>
      <c r="G755" s="5" t="inlineStr">
        <is>
          <t>EUR</t>
        </is>
      </c>
      <c r="H755" s="9" t="n">
        <v>-2120.38</v>
      </c>
      <c r="I755" s="16" t="n">
        <v>46203</v>
      </c>
      <c r="J755" s="16" t="n">
        <v>46233</v>
      </c>
      <c r="K755" s="5" t="inlineStr">
        <is>
          <t>0449/26</t>
        </is>
      </c>
      <c r="L755" s="5" t="inlineStr">
        <is>
          <t>4026004937</t>
        </is>
      </c>
      <c r="M755" s="5">
        <f>IF(YEAR(I755)&lt;=2020,"Até 2020",TEXT(YEAR(I755),"0"))</f>
        <v/>
      </c>
      <c r="N755" s="5">
        <f>IFERROR(INDEX(DePara!$A:$A,MATCH(TEXT(B755,"0"),DePara!$D:$D,0)),"(sem categoria)")</f>
        <v/>
      </c>
      <c r="O755" s="5">
        <f>IF(J755="","",Parametros!$B$6-J755)</f>
        <v/>
      </c>
      <c r="P755" s="5">
        <f>IF(O755="","",IF(O755&gt;0,1,0))</f>
        <v/>
      </c>
    </row>
    <row r="756">
      <c r="A756" s="5" t="n">
        <v>2122100000</v>
      </c>
      <c r="B756" s="5" t="inlineStr">
        <is>
          <t>IC1000</t>
        </is>
      </c>
      <c r="C756" s="5" t="inlineStr">
        <is>
          <t>NORDEX ENERGY SE &amp; CO KG</t>
        </is>
      </c>
      <c r="D756" s="5" t="inlineStr">
        <is>
          <t>RE</t>
        </is>
      </c>
      <c r="E756" s="5" t="n">
        <v>5014726</v>
      </c>
      <c r="F756" s="5" t="inlineStr">
        <is>
          <t>4012340097</t>
        </is>
      </c>
      <c r="G756" s="5" t="inlineStr">
        <is>
          <t>EUR</t>
        </is>
      </c>
      <c r="H756" s="9" t="n">
        <v>-49040.59</v>
      </c>
      <c r="I756" s="16" t="n">
        <v>45103</v>
      </c>
      <c r="J756" s="16" t="n">
        <v>45133</v>
      </c>
      <c r="K756" s="5" t="inlineStr">
        <is>
          <t>0481/23</t>
        </is>
      </c>
      <c r="L756" s="5" t="inlineStr">
        <is>
          <t>4012340097</t>
        </is>
      </c>
      <c r="M756" s="5">
        <f>IF(YEAR(I756)&lt;=2020,"Até 2020",TEXT(YEAR(I756),"0"))</f>
        <v/>
      </c>
      <c r="N756" s="5">
        <f>IFERROR(INDEX(DePara!$A:$A,MATCH(TEXT(B756,"0"),DePara!$D:$D,0)),"(sem categoria)")</f>
        <v/>
      </c>
      <c r="O756" s="5">
        <f>IF(J756="","",Parametros!$B$6-J756)</f>
        <v/>
      </c>
      <c r="P756" s="5">
        <f>IF(O756="","",IF(O756&gt;0,1,0))</f>
        <v/>
      </c>
    </row>
    <row r="757">
      <c r="A757" s="5" t="n">
        <v>2122100000</v>
      </c>
      <c r="B757" s="5" t="inlineStr">
        <is>
          <t>IC4420</t>
        </is>
      </c>
      <c r="C757" s="5" t="inlineStr">
        <is>
          <t>NORDEX ENERGY SPAIN S A U</t>
        </is>
      </c>
      <c r="D757" s="5" t="inlineStr">
        <is>
          <t>RE</t>
        </is>
      </c>
      <c r="E757" s="5" t="n">
        <v>5014730</v>
      </c>
      <c r="F757" s="5" t="inlineStr">
        <is>
          <t>4026005324</t>
        </is>
      </c>
      <c r="G757" s="5" t="inlineStr">
        <is>
          <t>EUR</t>
        </is>
      </c>
      <c r="H757" s="9" t="n">
        <v>-1696.41</v>
      </c>
      <c r="I757" s="16" t="n">
        <v>46223</v>
      </c>
      <c r="J757" s="16" t="n">
        <v>46253</v>
      </c>
      <c r="K757" s="5" t="inlineStr">
        <is>
          <t>0492/26</t>
        </is>
      </c>
      <c r="L757" s="5" t="inlineStr">
        <is>
          <t>4026005324</t>
        </is>
      </c>
      <c r="M757" s="5">
        <f>IF(YEAR(I757)&lt;=2020,"Até 2020",TEXT(YEAR(I757),"0"))</f>
        <v/>
      </c>
      <c r="N757" s="5">
        <f>IFERROR(INDEX(DePara!$A:$A,MATCH(TEXT(B757,"0"),DePara!$D:$D,0)),"(sem categoria)")</f>
        <v/>
      </c>
      <c r="O757" s="5">
        <f>IF(J757="","",Parametros!$B$6-J757)</f>
        <v/>
      </c>
      <c r="P757" s="5">
        <f>IF(O757="","",IF(O757&gt;0,1,0))</f>
        <v/>
      </c>
    </row>
    <row r="758">
      <c r="A758" s="5" t="n">
        <v>2122100000</v>
      </c>
      <c r="B758" s="5" t="inlineStr">
        <is>
          <t>IC1000</t>
        </is>
      </c>
      <c r="C758" s="5" t="inlineStr">
        <is>
          <t>NORDEX ENERGY SE &amp; CO KG</t>
        </is>
      </c>
      <c r="D758" s="5" t="inlineStr">
        <is>
          <t>RE</t>
        </is>
      </c>
      <c r="E758" s="5" t="n">
        <v>5014751</v>
      </c>
      <c r="F758" s="5" t="inlineStr">
        <is>
          <t>4012347244</t>
        </is>
      </c>
      <c r="G758" s="5" t="inlineStr">
        <is>
          <t>EUR</t>
        </is>
      </c>
      <c r="H758" s="9" t="n">
        <v>-3630.94</v>
      </c>
      <c r="I758" s="16" t="n">
        <v>45161</v>
      </c>
      <c r="J758" s="16" t="n">
        <v>45191</v>
      </c>
      <c r="K758" s="5" t="inlineStr">
        <is>
          <t>0485/23</t>
        </is>
      </c>
      <c r="L758" s="5" t="inlineStr">
        <is>
          <t>4012347244</t>
        </is>
      </c>
      <c r="M758" s="5">
        <f>IF(YEAR(I758)&lt;=2020,"Até 2020",TEXT(YEAR(I758),"0"))</f>
        <v/>
      </c>
      <c r="N758" s="5">
        <f>IFERROR(INDEX(DePara!$A:$A,MATCH(TEXT(B758,"0"),DePara!$D:$D,0)),"(sem categoria)")</f>
        <v/>
      </c>
      <c r="O758" s="5">
        <f>IF(J758="","",Parametros!$B$6-J758)</f>
        <v/>
      </c>
      <c r="P758" s="5">
        <f>IF(O758="","",IF(O758&gt;0,1,0))</f>
        <v/>
      </c>
    </row>
    <row r="759">
      <c r="A759" s="5" t="n">
        <v>2122100000</v>
      </c>
      <c r="B759" s="5" t="inlineStr">
        <is>
          <t>IC1000</t>
        </is>
      </c>
      <c r="C759" s="5" t="inlineStr">
        <is>
          <t>NORDEX ENERGY SE &amp; CO KG</t>
        </is>
      </c>
      <c r="D759" s="5" t="inlineStr">
        <is>
          <t>RE</t>
        </is>
      </c>
      <c r="E759" s="5" t="n">
        <v>5014754</v>
      </c>
      <c r="F759" s="5" t="inlineStr">
        <is>
          <t>4012347163</t>
        </is>
      </c>
      <c r="G759" s="5" t="inlineStr">
        <is>
          <t>EUR</t>
        </is>
      </c>
      <c r="H759" s="9" t="n">
        <v>-8855.1</v>
      </c>
      <c r="I759" s="16" t="n">
        <v>45161</v>
      </c>
      <c r="J759" s="16" t="n">
        <v>45191</v>
      </c>
      <c r="K759" s="5" t="inlineStr">
        <is>
          <t>0485/23</t>
        </is>
      </c>
      <c r="L759" s="5" t="inlineStr">
        <is>
          <t>4012347163</t>
        </is>
      </c>
      <c r="M759" s="5">
        <f>IF(YEAR(I759)&lt;=2020,"Até 2020",TEXT(YEAR(I759),"0"))</f>
        <v/>
      </c>
      <c r="N759" s="5">
        <f>IFERROR(INDEX(DePara!$A:$A,MATCH(TEXT(B759,"0"),DePara!$D:$D,0)),"(sem categoria)")</f>
        <v/>
      </c>
      <c r="O759" s="5">
        <f>IF(J759="","",Parametros!$B$6-J759)</f>
        <v/>
      </c>
      <c r="P759" s="5">
        <f>IF(O759="","",IF(O759&gt;0,1,0))</f>
        <v/>
      </c>
    </row>
    <row r="760">
      <c r="A760" s="5" t="n">
        <v>2122100000</v>
      </c>
      <c r="B760" s="5" t="inlineStr">
        <is>
          <t>IC1000</t>
        </is>
      </c>
      <c r="C760" s="5" t="inlineStr">
        <is>
          <t>NORDEX ENERGY SE &amp; CO KG</t>
        </is>
      </c>
      <c r="D760" s="5" t="inlineStr">
        <is>
          <t>RE</t>
        </is>
      </c>
      <c r="E760" s="5" t="n">
        <v>5014755</v>
      </c>
      <c r="F760" s="5" t="inlineStr">
        <is>
          <t>4012347246</t>
        </is>
      </c>
      <c r="G760" s="5" t="inlineStr">
        <is>
          <t>EUR</t>
        </is>
      </c>
      <c r="H760" s="9" t="n">
        <v>-148062.57</v>
      </c>
      <c r="I760" s="16" t="n">
        <v>45161</v>
      </c>
      <c r="J760" s="16" t="n">
        <v>45191</v>
      </c>
      <c r="K760" s="5" t="inlineStr">
        <is>
          <t>0485/23</t>
        </is>
      </c>
      <c r="L760" s="5" t="inlineStr">
        <is>
          <t>4012347246</t>
        </is>
      </c>
      <c r="M760" s="5">
        <f>IF(YEAR(I760)&lt;=2020,"Até 2020",TEXT(YEAR(I760),"0"))</f>
        <v/>
      </c>
      <c r="N760" s="5">
        <f>IFERROR(INDEX(DePara!$A:$A,MATCH(TEXT(B760,"0"),DePara!$D:$D,0)),"(sem categoria)")</f>
        <v/>
      </c>
      <c r="O760" s="5">
        <f>IF(J760="","",Parametros!$B$6-J760)</f>
        <v/>
      </c>
      <c r="P760" s="5">
        <f>IF(O760="","",IF(O760&gt;0,1,0))</f>
        <v/>
      </c>
    </row>
    <row r="761">
      <c r="A761" s="5" t="n">
        <v>2122100000</v>
      </c>
      <c r="B761" s="5" t="inlineStr">
        <is>
          <t>IC1000</t>
        </is>
      </c>
      <c r="C761" s="5" t="inlineStr">
        <is>
          <t>NORDEX ENERGY SE &amp; CO KG</t>
        </is>
      </c>
      <c r="D761" s="5" t="inlineStr">
        <is>
          <t>RE</t>
        </is>
      </c>
      <c r="E761" s="5" t="n">
        <v>5014756</v>
      </c>
      <c r="F761" s="5" t="inlineStr">
        <is>
          <t>4012347245</t>
        </is>
      </c>
      <c r="G761" s="5" t="inlineStr">
        <is>
          <t>EUR</t>
        </is>
      </c>
      <c r="H761" s="9" t="n">
        <v>-32572.61</v>
      </c>
      <c r="I761" s="16" t="n">
        <v>45161</v>
      </c>
      <c r="J761" s="16" t="n">
        <v>45191</v>
      </c>
      <c r="K761" s="5" t="inlineStr">
        <is>
          <t>0485/23</t>
        </is>
      </c>
      <c r="L761" s="5" t="inlineStr">
        <is>
          <t>4012347245</t>
        </is>
      </c>
      <c r="M761" s="5">
        <f>IF(YEAR(I761)&lt;=2020,"Até 2020",TEXT(YEAR(I761),"0"))</f>
        <v/>
      </c>
      <c r="N761" s="5">
        <f>IFERROR(INDEX(DePara!$A:$A,MATCH(TEXT(B761,"0"),DePara!$D:$D,0)),"(sem categoria)")</f>
        <v/>
      </c>
      <c r="O761" s="5">
        <f>IF(J761="","",Parametros!$B$6-J761)</f>
        <v/>
      </c>
      <c r="P761" s="5">
        <f>IF(O761="","",IF(O761&gt;0,1,0))</f>
        <v/>
      </c>
    </row>
    <row r="762">
      <c r="A762" s="5" t="n">
        <v>2122100000</v>
      </c>
      <c r="B762" s="5" t="inlineStr">
        <is>
          <t>IC1000</t>
        </is>
      </c>
      <c r="C762" s="5" t="inlineStr">
        <is>
          <t>NORDEX ENERGY SE &amp; CO KG</t>
        </is>
      </c>
      <c r="D762" s="5" t="inlineStr">
        <is>
          <t>RE</t>
        </is>
      </c>
      <c r="E762" s="5" t="n">
        <v>5014759</v>
      </c>
      <c r="F762" s="5" t="inlineStr">
        <is>
          <t>4012347162</t>
        </is>
      </c>
      <c r="G762" s="5" t="inlineStr">
        <is>
          <t>EUR</t>
        </is>
      </c>
      <c r="H762" s="9" t="n">
        <v>-17755.03</v>
      </c>
      <c r="I762" s="16" t="n">
        <v>45161</v>
      </c>
      <c r="J762" s="16" t="n">
        <v>45191</v>
      </c>
      <c r="K762" s="5" t="inlineStr">
        <is>
          <t>0485/23</t>
        </is>
      </c>
      <c r="L762" s="5" t="inlineStr">
        <is>
          <t>4012347162</t>
        </is>
      </c>
      <c r="M762" s="5">
        <f>IF(YEAR(I762)&lt;=2020,"Até 2020",TEXT(YEAR(I762),"0"))</f>
        <v/>
      </c>
      <c r="N762" s="5">
        <f>IFERROR(INDEX(DePara!$A:$A,MATCH(TEXT(B762,"0"),DePara!$D:$D,0)),"(sem categoria)")</f>
        <v/>
      </c>
      <c r="O762" s="5">
        <f>IF(J762="","",Parametros!$B$6-J762)</f>
        <v/>
      </c>
      <c r="P762" s="5">
        <f>IF(O762="","",IF(O762&gt;0,1,0))</f>
        <v/>
      </c>
    </row>
    <row r="763">
      <c r="A763" s="5" t="n">
        <v>2122100000</v>
      </c>
      <c r="B763" s="5" t="inlineStr">
        <is>
          <t>IC1000</t>
        </is>
      </c>
      <c r="C763" s="5" t="inlineStr">
        <is>
          <t>NORDEX ENERGY SE &amp; CO KG</t>
        </is>
      </c>
      <c r="D763" s="5" t="inlineStr">
        <is>
          <t>RE</t>
        </is>
      </c>
      <c r="E763" s="5" t="n">
        <v>5014760</v>
      </c>
      <c r="F763" s="5" t="inlineStr">
        <is>
          <t>4012347161</t>
        </is>
      </c>
      <c r="G763" s="5" t="inlineStr">
        <is>
          <t>EUR</t>
        </is>
      </c>
      <c r="H763" s="9" t="n">
        <v>-58544.63</v>
      </c>
      <c r="I763" s="16" t="n">
        <v>45161</v>
      </c>
      <c r="J763" s="16" t="n">
        <v>45191</v>
      </c>
      <c r="K763" s="5" t="inlineStr">
        <is>
          <t>0485/23</t>
        </is>
      </c>
      <c r="L763" s="5" t="inlineStr">
        <is>
          <t>4012347161</t>
        </is>
      </c>
      <c r="M763" s="5">
        <f>IF(YEAR(I763)&lt;=2020,"Até 2020",TEXT(YEAR(I763),"0"))</f>
        <v/>
      </c>
      <c r="N763" s="5">
        <f>IFERROR(INDEX(DePara!$A:$A,MATCH(TEXT(B763,"0"),DePara!$D:$D,0)),"(sem categoria)")</f>
        <v/>
      </c>
      <c r="O763" s="5">
        <f>IF(J763="","",Parametros!$B$6-J763)</f>
        <v/>
      </c>
      <c r="P763" s="5">
        <f>IF(O763="","",IF(O763&gt;0,1,0))</f>
        <v/>
      </c>
    </row>
    <row r="764">
      <c r="A764" s="5" t="n">
        <v>2122100000</v>
      </c>
      <c r="B764" s="5" t="inlineStr">
        <is>
          <t>IC4420</t>
        </is>
      </c>
      <c r="C764" s="5" t="inlineStr">
        <is>
          <t>NORDEX ENERGY SPAIN S A U</t>
        </is>
      </c>
      <c r="D764" s="5" t="inlineStr">
        <is>
          <t>RE</t>
        </is>
      </c>
      <c r="E764" s="5" t="n">
        <v>5014767</v>
      </c>
      <c r="F764" s="5" t="inlineStr">
        <is>
          <t>4026003282</t>
        </is>
      </c>
      <c r="G764" s="5" t="inlineStr">
        <is>
          <t>EUR</t>
        </is>
      </c>
      <c r="H764" s="9" t="n">
        <v>-19136.08</v>
      </c>
      <c r="I764" s="16" t="n">
        <v>46153</v>
      </c>
      <c r="J764" s="16" t="n">
        <v>46183</v>
      </c>
      <c r="K764" s="5" t="inlineStr">
        <is>
          <t>0329/26</t>
        </is>
      </c>
      <c r="L764" s="5" t="inlineStr">
        <is>
          <t>4026003282</t>
        </is>
      </c>
      <c r="M764" s="5">
        <f>IF(YEAR(I764)&lt;=2020,"Até 2020",TEXT(YEAR(I764),"0"))</f>
        <v/>
      </c>
      <c r="N764" s="5">
        <f>IFERROR(INDEX(DePara!$A:$A,MATCH(TEXT(B764,"0"),DePara!$D:$D,0)),"(sem categoria)")</f>
        <v/>
      </c>
      <c r="O764" s="5">
        <f>IF(J764="","",Parametros!$B$6-J764)</f>
        <v/>
      </c>
      <c r="P764" s="5">
        <f>IF(O764="","",IF(O764&gt;0,1,0))</f>
        <v/>
      </c>
    </row>
    <row r="765">
      <c r="A765" s="5" t="n">
        <v>2122100000</v>
      </c>
      <c r="B765" s="5" t="inlineStr">
        <is>
          <t>IC4420</t>
        </is>
      </c>
      <c r="C765" s="5" t="inlineStr">
        <is>
          <t>NORDEX ENERGY SPAIN S A U</t>
        </is>
      </c>
      <c r="D765" s="5" t="inlineStr">
        <is>
          <t>RE</t>
        </is>
      </c>
      <c r="E765" s="5" t="n">
        <v>5014768</v>
      </c>
      <c r="F765" s="5" t="inlineStr">
        <is>
          <t>4026002164</t>
        </is>
      </c>
      <c r="G765" s="5" t="inlineStr">
        <is>
          <t>EUR</t>
        </is>
      </c>
      <c r="H765" s="9" t="n">
        <v>-2861.11</v>
      </c>
      <c r="I765" s="16" t="n">
        <v>46108</v>
      </c>
      <c r="J765" s="16" t="n">
        <v>46138</v>
      </c>
      <c r="K765" s="5" t="inlineStr">
        <is>
          <t>0229/26</t>
        </is>
      </c>
      <c r="L765" s="5" t="inlineStr">
        <is>
          <t>4026002164</t>
        </is>
      </c>
      <c r="M765" s="5">
        <f>IF(YEAR(I765)&lt;=2020,"Até 2020",TEXT(YEAR(I765),"0"))</f>
        <v/>
      </c>
      <c r="N765" s="5">
        <f>IFERROR(INDEX(DePara!$A:$A,MATCH(TEXT(B765,"0"),DePara!$D:$D,0)),"(sem categoria)")</f>
        <v/>
      </c>
      <c r="O765" s="5">
        <f>IF(J765="","",Parametros!$B$6-J765)</f>
        <v/>
      </c>
      <c r="P765" s="5">
        <f>IF(O765="","",IF(O765&gt;0,1,0))</f>
        <v/>
      </c>
    </row>
    <row r="766">
      <c r="A766" s="5" t="n">
        <v>2122100000</v>
      </c>
      <c r="B766" s="5" t="inlineStr">
        <is>
          <t>IC4420</t>
        </is>
      </c>
      <c r="C766" s="5" t="inlineStr">
        <is>
          <t>NORDEX ENERGY SPAIN S A U</t>
        </is>
      </c>
      <c r="D766" s="5" t="inlineStr">
        <is>
          <t>RE</t>
        </is>
      </c>
      <c r="E766" s="5" t="n">
        <v>5014769</v>
      </c>
      <c r="F766" s="5" t="inlineStr">
        <is>
          <t>4026005296</t>
        </is>
      </c>
      <c r="G766" s="5" t="inlineStr">
        <is>
          <t>EUR</t>
        </is>
      </c>
      <c r="H766" s="9" t="n">
        <v>-12642.15</v>
      </c>
      <c r="I766" s="16" t="n">
        <v>46219</v>
      </c>
      <c r="J766" s="16" t="n">
        <v>46249</v>
      </c>
      <c r="K766" s="5" t="inlineStr">
        <is>
          <t>0478/26</t>
        </is>
      </c>
      <c r="L766" s="5" t="inlineStr">
        <is>
          <t>4026005296</t>
        </is>
      </c>
      <c r="M766" s="5">
        <f>IF(YEAR(I766)&lt;=2020,"Até 2020",TEXT(YEAR(I766),"0"))</f>
        <v/>
      </c>
      <c r="N766" s="5">
        <f>IFERROR(INDEX(DePara!$A:$A,MATCH(TEXT(B766,"0"),DePara!$D:$D,0)),"(sem categoria)")</f>
        <v/>
      </c>
      <c r="O766" s="5">
        <f>IF(J766="","",Parametros!$B$6-J766)</f>
        <v/>
      </c>
      <c r="P766" s="5">
        <f>IF(O766="","",IF(O766&gt;0,1,0))</f>
        <v/>
      </c>
    </row>
    <row r="767">
      <c r="A767" s="5" t="n">
        <v>2122100000</v>
      </c>
      <c r="B767" s="5" t="inlineStr">
        <is>
          <t>IC4420</t>
        </is>
      </c>
      <c r="C767" s="5" t="inlineStr">
        <is>
          <t>NORDEX ENERGY SPAIN S A U</t>
        </is>
      </c>
      <c r="D767" s="5" t="inlineStr">
        <is>
          <t>RE</t>
        </is>
      </c>
      <c r="E767" s="5" t="n">
        <v>5014775</v>
      </c>
      <c r="F767" s="5" t="inlineStr">
        <is>
          <t>4026002172</t>
        </is>
      </c>
      <c r="G767" s="5" t="inlineStr">
        <is>
          <t>EUR</t>
        </is>
      </c>
      <c r="H767" s="9" t="n">
        <v>-692477.28</v>
      </c>
      <c r="I767" s="16" t="n">
        <v>46108</v>
      </c>
      <c r="J767" s="16" t="n">
        <v>46138</v>
      </c>
      <c r="K767" s="5" t="inlineStr">
        <is>
          <t>0235/26</t>
        </is>
      </c>
      <c r="L767" s="5" t="inlineStr">
        <is>
          <t>4026002172</t>
        </is>
      </c>
      <c r="M767" s="5">
        <f>IF(YEAR(I767)&lt;=2020,"Até 2020",TEXT(YEAR(I767),"0"))</f>
        <v/>
      </c>
      <c r="N767" s="5">
        <f>IFERROR(INDEX(DePara!$A:$A,MATCH(TEXT(B767,"0"),DePara!$D:$D,0)),"(sem categoria)")</f>
        <v/>
      </c>
      <c r="O767" s="5">
        <f>IF(J767="","",Parametros!$B$6-J767)</f>
        <v/>
      </c>
      <c r="P767" s="5">
        <f>IF(O767="","",IF(O767&gt;0,1,0))</f>
        <v/>
      </c>
    </row>
    <row r="768">
      <c r="A768" s="5" t="n">
        <v>2122100000</v>
      </c>
      <c r="B768" s="5" t="inlineStr">
        <is>
          <t>IC4420</t>
        </is>
      </c>
      <c r="C768" s="5" t="inlineStr">
        <is>
          <t>NORDEX ENERGY SPAIN S A U</t>
        </is>
      </c>
      <c r="D768" s="5" t="inlineStr">
        <is>
          <t>RE</t>
        </is>
      </c>
      <c r="E768" s="5" t="n">
        <v>5014784</v>
      </c>
      <c r="F768" s="5" t="inlineStr">
        <is>
          <t>4026003286</t>
        </is>
      </c>
      <c r="G768" s="5" t="inlineStr">
        <is>
          <t>EUR</t>
        </is>
      </c>
      <c r="H768" s="9" t="n">
        <v>-28407.92</v>
      </c>
      <c r="I768" s="16" t="n">
        <v>46153</v>
      </c>
      <c r="J768" s="16" t="n">
        <v>46183</v>
      </c>
      <c r="K768" s="5" t="inlineStr">
        <is>
          <t>0333/26</t>
        </is>
      </c>
      <c r="L768" s="5" t="inlineStr">
        <is>
          <t>4026003286</t>
        </is>
      </c>
      <c r="M768" s="5">
        <f>IF(YEAR(I768)&lt;=2020,"Até 2020",TEXT(YEAR(I768),"0"))</f>
        <v/>
      </c>
      <c r="N768" s="5">
        <f>IFERROR(INDEX(DePara!$A:$A,MATCH(TEXT(B768,"0"),DePara!$D:$D,0)),"(sem categoria)")</f>
        <v/>
      </c>
      <c r="O768" s="5">
        <f>IF(J768="","",Parametros!$B$6-J768)</f>
        <v/>
      </c>
      <c r="P768" s="5">
        <f>IF(O768="","",IF(O768&gt;0,1,0))</f>
        <v/>
      </c>
    </row>
    <row r="769">
      <c r="A769" s="5" t="n">
        <v>2122100000</v>
      </c>
      <c r="B769" s="5" t="inlineStr">
        <is>
          <t>IC4420</t>
        </is>
      </c>
      <c r="C769" s="5" t="inlineStr">
        <is>
          <t>NORDEX ENERGY SPAIN S A U</t>
        </is>
      </c>
      <c r="D769" s="5" t="inlineStr">
        <is>
          <t>RE</t>
        </is>
      </c>
      <c r="E769" s="5" t="n">
        <v>5014785</v>
      </c>
      <c r="F769" s="5" t="inlineStr">
        <is>
          <t>4026002158</t>
        </is>
      </c>
      <c r="G769" s="5" t="inlineStr">
        <is>
          <t>EUR</t>
        </is>
      </c>
      <c r="H769" s="9" t="n">
        <v>-21701.3</v>
      </c>
      <c r="I769" s="16" t="n">
        <v>46108</v>
      </c>
      <c r="J769" s="16" t="n">
        <v>46138</v>
      </c>
      <c r="K769" s="5" t="inlineStr">
        <is>
          <t>0225/26</t>
        </is>
      </c>
      <c r="L769" s="5" t="inlineStr">
        <is>
          <t>4026002158</t>
        </is>
      </c>
      <c r="M769" s="5">
        <f>IF(YEAR(I769)&lt;=2020,"Até 2020",TEXT(YEAR(I769),"0"))</f>
        <v/>
      </c>
      <c r="N769" s="5">
        <f>IFERROR(INDEX(DePara!$A:$A,MATCH(TEXT(B769,"0"),DePara!$D:$D,0)),"(sem categoria)")</f>
        <v/>
      </c>
      <c r="O769" s="5">
        <f>IF(J769="","",Parametros!$B$6-J769)</f>
        <v/>
      </c>
      <c r="P769" s="5">
        <f>IF(O769="","",IF(O769&gt;0,1,0))</f>
        <v/>
      </c>
    </row>
    <row r="770">
      <c r="A770" s="5" t="n">
        <v>2122100000</v>
      </c>
      <c r="B770" s="5" t="inlineStr">
        <is>
          <t>IC1000</t>
        </is>
      </c>
      <c r="C770" s="5" t="inlineStr">
        <is>
          <t>NORDEX ENERGY SE &amp; CO KG</t>
        </is>
      </c>
      <c r="D770" s="5" t="inlineStr">
        <is>
          <t>RE</t>
        </is>
      </c>
      <c r="E770" s="5" t="n">
        <v>5014786</v>
      </c>
      <c r="F770" s="5" t="inlineStr">
        <is>
          <t>4012340096</t>
        </is>
      </c>
      <c r="G770" s="5" t="inlineStr">
        <is>
          <t>EUR</t>
        </is>
      </c>
      <c r="H770" s="9" t="n">
        <v>-122247.86</v>
      </c>
      <c r="I770" s="16" t="n">
        <v>45103</v>
      </c>
      <c r="J770" s="16" t="n">
        <v>45133</v>
      </c>
      <c r="K770" s="5" t="inlineStr">
        <is>
          <t>0481/23</t>
        </is>
      </c>
      <c r="L770" s="5" t="inlineStr">
        <is>
          <t>4012340096</t>
        </is>
      </c>
      <c r="M770" s="5">
        <f>IF(YEAR(I770)&lt;=2020,"Até 2020",TEXT(YEAR(I770),"0"))</f>
        <v/>
      </c>
      <c r="N770" s="5">
        <f>IFERROR(INDEX(DePara!$A:$A,MATCH(TEXT(B770,"0"),DePara!$D:$D,0)),"(sem categoria)")</f>
        <v/>
      </c>
      <c r="O770" s="5">
        <f>IF(J770="","",Parametros!$B$6-J770)</f>
        <v/>
      </c>
      <c r="P770" s="5">
        <f>IF(O770="","",IF(O770&gt;0,1,0))</f>
        <v/>
      </c>
    </row>
    <row r="771">
      <c r="A771" s="5" t="n">
        <v>2122100000</v>
      </c>
      <c r="B771" s="5" t="inlineStr">
        <is>
          <t>IC4420</t>
        </is>
      </c>
      <c r="C771" s="5" t="inlineStr">
        <is>
          <t>NORDEX ENERGY SPAIN S A U</t>
        </is>
      </c>
      <c r="D771" s="5" t="inlineStr">
        <is>
          <t>RE</t>
        </is>
      </c>
      <c r="E771" s="5" t="n">
        <v>5014786</v>
      </c>
      <c r="F771" s="5" t="inlineStr">
        <is>
          <t>4026004880</t>
        </is>
      </c>
      <c r="G771" s="5" t="inlineStr">
        <is>
          <t>EUR</t>
        </is>
      </c>
      <c r="H771" s="9" t="n">
        <v>-25628.4</v>
      </c>
      <c r="I771" s="16" t="n">
        <v>46199</v>
      </c>
      <c r="J771" s="16" t="n">
        <v>46229</v>
      </c>
      <c r="K771" s="5" t="inlineStr">
        <is>
          <t>0445/26</t>
        </is>
      </c>
      <c r="L771" s="5" t="inlineStr">
        <is>
          <t>4026004880</t>
        </is>
      </c>
      <c r="M771" s="5">
        <f>IF(YEAR(I771)&lt;=2020,"Até 2020",TEXT(YEAR(I771),"0"))</f>
        <v/>
      </c>
      <c r="N771" s="5">
        <f>IFERROR(INDEX(DePara!$A:$A,MATCH(TEXT(B771,"0"),DePara!$D:$D,0)),"(sem categoria)")</f>
        <v/>
      </c>
      <c r="O771" s="5">
        <f>IF(J771="","",Parametros!$B$6-J771)</f>
        <v/>
      </c>
      <c r="P771" s="5">
        <f>IF(O771="","",IF(O771&gt;0,1,0))</f>
        <v/>
      </c>
    </row>
    <row r="772">
      <c r="A772" s="5" t="n">
        <v>2122100000</v>
      </c>
      <c r="B772" s="5" t="inlineStr">
        <is>
          <t>IC1000</t>
        </is>
      </c>
      <c r="C772" s="5" t="inlineStr">
        <is>
          <t>NORDEX ENERGY SE &amp; CO KG</t>
        </is>
      </c>
      <c r="D772" s="5" t="inlineStr">
        <is>
          <t>RE</t>
        </is>
      </c>
      <c r="E772" s="5" t="n">
        <v>5014809</v>
      </c>
      <c r="F772" s="5" t="inlineStr">
        <is>
          <t>4012341082</t>
        </is>
      </c>
      <c r="G772" s="5" t="inlineStr">
        <is>
          <t>EUR</t>
        </is>
      </c>
      <c r="H772" s="9" t="n">
        <v>-83292.42999999999</v>
      </c>
      <c r="I772" s="16" t="n">
        <v>45110</v>
      </c>
      <c r="J772" s="16" t="n">
        <v>45140</v>
      </c>
      <c r="K772" s="5" t="inlineStr">
        <is>
          <t>0484/23</t>
        </is>
      </c>
      <c r="L772" s="5" t="inlineStr">
        <is>
          <t>4012341082</t>
        </is>
      </c>
      <c r="M772" s="5">
        <f>IF(YEAR(I772)&lt;=2020,"Até 2020",TEXT(YEAR(I772),"0"))</f>
        <v/>
      </c>
      <c r="N772" s="5">
        <f>IFERROR(INDEX(DePara!$A:$A,MATCH(TEXT(B772,"0"),DePara!$D:$D,0)),"(sem categoria)")</f>
        <v/>
      </c>
      <c r="O772" s="5">
        <f>IF(J772="","",Parametros!$B$6-J772)</f>
        <v/>
      </c>
      <c r="P772" s="5">
        <f>IF(O772="","",IF(O772&gt;0,1,0))</f>
        <v/>
      </c>
    </row>
    <row r="773">
      <c r="A773" s="5" t="n">
        <v>2122100000</v>
      </c>
      <c r="B773" s="5" t="inlineStr">
        <is>
          <t>IC1000</t>
        </is>
      </c>
      <c r="C773" s="5" t="inlineStr">
        <is>
          <t>NORDEX ENERGY SE &amp; CO KG</t>
        </is>
      </c>
      <c r="D773" s="5" t="inlineStr">
        <is>
          <t>RE</t>
        </is>
      </c>
      <c r="E773" s="5" t="n">
        <v>5014851</v>
      </c>
      <c r="F773" s="5" t="inlineStr">
        <is>
          <t>4012340078</t>
        </is>
      </c>
      <c r="G773" s="5" t="inlineStr">
        <is>
          <t>EUR</t>
        </is>
      </c>
      <c r="H773" s="9" t="n">
        <v>-91014.10000000001</v>
      </c>
      <c r="I773" s="16" t="n">
        <v>45103</v>
      </c>
      <c r="J773" s="16" t="n">
        <v>45133</v>
      </c>
      <c r="K773" s="5" t="inlineStr">
        <is>
          <t>0465/23</t>
        </is>
      </c>
      <c r="L773" s="5" t="inlineStr">
        <is>
          <t>4012340078</t>
        </is>
      </c>
      <c r="M773" s="5">
        <f>IF(YEAR(I773)&lt;=2020,"Até 2020",TEXT(YEAR(I773),"0"))</f>
        <v/>
      </c>
      <c r="N773" s="5">
        <f>IFERROR(INDEX(DePara!$A:$A,MATCH(TEXT(B773,"0"),DePara!$D:$D,0)),"(sem categoria)")</f>
        <v/>
      </c>
      <c r="O773" s="5">
        <f>IF(J773="","",Parametros!$B$6-J773)</f>
        <v/>
      </c>
      <c r="P773" s="5">
        <f>IF(O773="","",IF(O773&gt;0,1,0))</f>
        <v/>
      </c>
    </row>
    <row r="774">
      <c r="A774" s="5" t="n">
        <v>2122100000</v>
      </c>
      <c r="B774" s="5" t="inlineStr">
        <is>
          <t>IC1000</t>
        </is>
      </c>
      <c r="C774" s="5" t="inlineStr">
        <is>
          <t>NORDEX ENERGY SE &amp; CO KG</t>
        </is>
      </c>
      <c r="D774" s="5" t="inlineStr">
        <is>
          <t>RE</t>
        </is>
      </c>
      <c r="E774" s="5" t="n">
        <v>5014920</v>
      </c>
      <c r="F774" s="5" t="inlineStr">
        <is>
          <t>4012345717</t>
        </is>
      </c>
      <c r="G774" s="5" t="inlineStr">
        <is>
          <t>EUR</t>
        </is>
      </c>
      <c r="H774" s="9" t="n">
        <v>-662.05</v>
      </c>
      <c r="I774" s="16" t="n">
        <v>45146</v>
      </c>
      <c r="J774" s="16" t="n">
        <v>45176</v>
      </c>
      <c r="K774" s="5" t="inlineStr">
        <is>
          <t>0490/23</t>
        </is>
      </c>
      <c r="L774" s="5" t="inlineStr">
        <is>
          <t>4012345717</t>
        </is>
      </c>
      <c r="M774" s="5">
        <f>IF(YEAR(I774)&lt;=2020,"Até 2020",TEXT(YEAR(I774),"0"))</f>
        <v/>
      </c>
      <c r="N774" s="5">
        <f>IFERROR(INDEX(DePara!$A:$A,MATCH(TEXT(B774,"0"),DePara!$D:$D,0)),"(sem categoria)")</f>
        <v/>
      </c>
      <c r="O774" s="5">
        <f>IF(J774="","",Parametros!$B$6-J774)</f>
        <v/>
      </c>
      <c r="P774" s="5">
        <f>IF(O774="","",IF(O774&gt;0,1,0))</f>
        <v/>
      </c>
    </row>
    <row r="775">
      <c r="A775" s="5" t="n">
        <v>2122100000</v>
      </c>
      <c r="B775" s="5" t="inlineStr">
        <is>
          <t>IC1000</t>
        </is>
      </c>
      <c r="C775" s="5" t="inlineStr">
        <is>
          <t>NORDEX ENERGY SE &amp; CO KG</t>
        </is>
      </c>
      <c r="D775" s="5" t="inlineStr">
        <is>
          <t>RE</t>
        </is>
      </c>
      <c r="E775" s="5" t="n">
        <v>5014921</v>
      </c>
      <c r="F775" s="5" t="inlineStr">
        <is>
          <t>4012345719</t>
        </is>
      </c>
      <c r="G775" s="5" t="inlineStr">
        <is>
          <t>EUR</t>
        </is>
      </c>
      <c r="H775" s="9" t="n">
        <v>-37440.51</v>
      </c>
      <c r="I775" s="16" t="n">
        <v>45146</v>
      </c>
      <c r="J775" s="16" t="n">
        <v>45176</v>
      </c>
      <c r="K775" s="5" t="inlineStr">
        <is>
          <t>0490/23</t>
        </is>
      </c>
      <c r="L775" s="5" t="inlineStr">
        <is>
          <t>4012345719</t>
        </is>
      </c>
      <c r="M775" s="5">
        <f>IF(YEAR(I775)&lt;=2020,"Até 2020",TEXT(YEAR(I775),"0"))</f>
        <v/>
      </c>
      <c r="N775" s="5">
        <f>IFERROR(INDEX(DePara!$A:$A,MATCH(TEXT(B775,"0"),DePara!$D:$D,0)),"(sem categoria)")</f>
        <v/>
      </c>
      <c r="O775" s="5">
        <f>IF(J775="","",Parametros!$B$6-J775)</f>
        <v/>
      </c>
      <c r="P775" s="5">
        <f>IF(O775="","",IF(O775&gt;0,1,0))</f>
        <v/>
      </c>
    </row>
    <row r="776">
      <c r="A776" s="5" t="n">
        <v>2122100000</v>
      </c>
      <c r="B776" s="5" t="inlineStr">
        <is>
          <t>IC1000</t>
        </is>
      </c>
      <c r="C776" s="5" t="inlineStr">
        <is>
          <t>NORDEX ENERGY SE &amp; CO KG</t>
        </is>
      </c>
      <c r="D776" s="5" t="inlineStr">
        <is>
          <t>RE</t>
        </is>
      </c>
      <c r="E776" s="5" t="n">
        <v>5014922</v>
      </c>
      <c r="F776" s="5" t="inlineStr">
        <is>
          <t>4012345720</t>
        </is>
      </c>
      <c r="G776" s="5" t="inlineStr">
        <is>
          <t>EUR</t>
        </is>
      </c>
      <c r="H776" s="9" t="n">
        <v>-103713.39</v>
      </c>
      <c r="I776" s="16" t="n">
        <v>45146</v>
      </c>
      <c r="J776" s="16" t="n">
        <v>45176</v>
      </c>
      <c r="K776" s="5" t="inlineStr">
        <is>
          <t>0490/23</t>
        </is>
      </c>
      <c r="L776" s="5" t="inlineStr">
        <is>
          <t>4012345720</t>
        </is>
      </c>
      <c r="M776" s="5">
        <f>IF(YEAR(I776)&lt;=2020,"Até 2020",TEXT(YEAR(I776),"0"))</f>
        <v/>
      </c>
      <c r="N776" s="5">
        <f>IFERROR(INDEX(DePara!$A:$A,MATCH(TEXT(B776,"0"),DePara!$D:$D,0)),"(sem categoria)")</f>
        <v/>
      </c>
      <c r="O776" s="5">
        <f>IF(J776="","",Parametros!$B$6-J776)</f>
        <v/>
      </c>
      <c r="P776" s="5">
        <f>IF(O776="","",IF(O776&gt;0,1,0))</f>
        <v/>
      </c>
    </row>
    <row r="777">
      <c r="A777" s="5" t="n">
        <v>2122100000</v>
      </c>
      <c r="B777" s="5" t="inlineStr">
        <is>
          <t>IC1000</t>
        </is>
      </c>
      <c r="C777" s="5" t="inlineStr">
        <is>
          <t>NORDEX ENERGY SE &amp; CO KG</t>
        </is>
      </c>
      <c r="D777" s="5" t="inlineStr">
        <is>
          <t>RE</t>
        </is>
      </c>
      <c r="E777" s="5" t="n">
        <v>5014924</v>
      </c>
      <c r="F777" s="5" t="inlineStr">
        <is>
          <t>4012344031</t>
        </is>
      </c>
      <c r="G777" s="5" t="inlineStr">
        <is>
          <t>EUR</t>
        </is>
      </c>
      <c r="H777" s="9" t="n">
        <v>-69720.49000000001</v>
      </c>
      <c r="I777" s="16" t="n">
        <v>45128</v>
      </c>
      <c r="J777" s="16" t="n">
        <v>45158</v>
      </c>
      <c r="K777" s="5" t="inlineStr">
        <is>
          <t>0487/23</t>
        </is>
      </c>
      <c r="L777" s="5" t="inlineStr">
        <is>
          <t>4012344031</t>
        </is>
      </c>
      <c r="M777" s="5">
        <f>IF(YEAR(I777)&lt;=2020,"Até 2020",TEXT(YEAR(I777),"0"))</f>
        <v/>
      </c>
      <c r="N777" s="5">
        <f>IFERROR(INDEX(DePara!$A:$A,MATCH(TEXT(B777,"0"),DePara!$D:$D,0)),"(sem categoria)")</f>
        <v/>
      </c>
      <c r="O777" s="5">
        <f>IF(J777="","",Parametros!$B$6-J777)</f>
        <v/>
      </c>
      <c r="P777" s="5">
        <f>IF(O777="","",IF(O777&gt;0,1,0))</f>
        <v/>
      </c>
    </row>
    <row r="778">
      <c r="A778" s="5" t="n">
        <v>2122100000</v>
      </c>
      <c r="B778" s="5" t="inlineStr">
        <is>
          <t>IC1000</t>
        </is>
      </c>
      <c r="C778" s="5" t="inlineStr">
        <is>
          <t>NORDEX ENERGY SE &amp; CO KG</t>
        </is>
      </c>
      <c r="D778" s="5" t="inlineStr">
        <is>
          <t>RE</t>
        </is>
      </c>
      <c r="E778" s="5" t="n">
        <v>5014925</v>
      </c>
      <c r="F778" s="5" t="inlineStr">
        <is>
          <t>4012344166</t>
        </is>
      </c>
      <c r="G778" s="5" t="inlineStr">
        <is>
          <t>EUR</t>
        </is>
      </c>
      <c r="H778" s="9" t="n">
        <v>-360779.9</v>
      </c>
      <c r="I778" s="16" t="n">
        <v>45131</v>
      </c>
      <c r="J778" s="16" t="n">
        <v>45161</v>
      </c>
      <c r="K778" s="5" t="inlineStr">
        <is>
          <t>0487/23</t>
        </is>
      </c>
      <c r="L778" s="5" t="inlineStr">
        <is>
          <t>4012344166</t>
        </is>
      </c>
      <c r="M778" s="5">
        <f>IF(YEAR(I778)&lt;=2020,"Até 2020",TEXT(YEAR(I778),"0"))</f>
        <v/>
      </c>
      <c r="N778" s="5">
        <f>IFERROR(INDEX(DePara!$A:$A,MATCH(TEXT(B778,"0"),DePara!$D:$D,0)),"(sem categoria)")</f>
        <v/>
      </c>
      <c r="O778" s="5">
        <f>IF(J778="","",Parametros!$B$6-J778)</f>
        <v/>
      </c>
      <c r="P778" s="5">
        <f>IF(O778="","",IF(O778&gt;0,1,0))</f>
        <v/>
      </c>
    </row>
    <row r="779">
      <c r="A779" s="5" t="n">
        <v>2122100000</v>
      </c>
      <c r="B779" s="5" t="inlineStr">
        <is>
          <t>IC1000</t>
        </is>
      </c>
      <c r="C779" s="5" t="inlineStr">
        <is>
          <t>NORDEX ENERGY SE &amp; CO KG</t>
        </is>
      </c>
      <c r="D779" s="5" t="inlineStr">
        <is>
          <t>RE</t>
        </is>
      </c>
      <c r="E779" s="5" t="n">
        <v>5014926</v>
      </c>
      <c r="F779" s="5" t="inlineStr">
        <is>
          <t>4012345893</t>
        </is>
      </c>
      <c r="G779" s="5" t="inlineStr">
        <is>
          <t>EUR</t>
        </is>
      </c>
      <c r="H779" s="9" t="n">
        <v>-423605.19</v>
      </c>
      <c r="I779" s="16" t="n">
        <v>45146</v>
      </c>
      <c r="J779" s="16" t="n">
        <v>45176</v>
      </c>
      <c r="K779" s="5" t="inlineStr">
        <is>
          <t>0490/23</t>
        </is>
      </c>
      <c r="L779" s="5" t="inlineStr">
        <is>
          <t>4012345893</t>
        </is>
      </c>
      <c r="M779" s="5">
        <f>IF(YEAR(I779)&lt;=2020,"Até 2020",TEXT(YEAR(I779),"0"))</f>
        <v/>
      </c>
      <c r="N779" s="5">
        <f>IFERROR(INDEX(DePara!$A:$A,MATCH(TEXT(B779,"0"),DePara!$D:$D,0)),"(sem categoria)")</f>
        <v/>
      </c>
      <c r="O779" s="5">
        <f>IF(J779="","",Parametros!$B$6-J779)</f>
        <v/>
      </c>
      <c r="P779" s="5">
        <f>IF(O779="","",IF(O779&gt;0,1,0))</f>
        <v/>
      </c>
    </row>
    <row r="780">
      <c r="A780" s="5" t="n">
        <v>2122100000</v>
      </c>
      <c r="B780" s="5" t="inlineStr">
        <is>
          <t>IC1000</t>
        </is>
      </c>
      <c r="C780" s="5" t="inlineStr">
        <is>
          <t>NORDEX ENERGY SE &amp; CO KG</t>
        </is>
      </c>
      <c r="D780" s="5" t="inlineStr">
        <is>
          <t>RE</t>
        </is>
      </c>
      <c r="E780" s="5" t="n">
        <v>5014930</v>
      </c>
      <c r="F780" s="5" t="inlineStr">
        <is>
          <t>4012345716</t>
        </is>
      </c>
      <c r="G780" s="5" t="inlineStr">
        <is>
          <t>EUR</t>
        </is>
      </c>
      <c r="H780" s="9" t="n">
        <v>-268700.74</v>
      </c>
      <c r="I780" s="16" t="n">
        <v>45146</v>
      </c>
      <c r="J780" s="16" t="n">
        <v>45176</v>
      </c>
      <c r="K780" s="5" t="inlineStr">
        <is>
          <t>0490/23</t>
        </is>
      </c>
      <c r="L780" s="5" t="inlineStr">
        <is>
          <t>4012345716</t>
        </is>
      </c>
      <c r="M780" s="5">
        <f>IF(YEAR(I780)&lt;=2020,"Até 2020",TEXT(YEAR(I780),"0"))</f>
        <v/>
      </c>
      <c r="N780" s="5">
        <f>IFERROR(INDEX(DePara!$A:$A,MATCH(TEXT(B780,"0"),DePara!$D:$D,0)),"(sem categoria)")</f>
        <v/>
      </c>
      <c r="O780" s="5">
        <f>IF(J780="","",Parametros!$B$6-J780)</f>
        <v/>
      </c>
      <c r="P780" s="5">
        <f>IF(O780="","",IF(O780&gt;0,1,0))</f>
        <v/>
      </c>
    </row>
    <row r="781">
      <c r="A781" s="5" t="n">
        <v>2122100000</v>
      </c>
      <c r="B781" s="5" t="inlineStr">
        <is>
          <t>IC1000</t>
        </is>
      </c>
      <c r="C781" s="5" t="inlineStr">
        <is>
          <t>NORDEX ENERGY SE &amp; CO KG</t>
        </is>
      </c>
      <c r="D781" s="5" t="inlineStr">
        <is>
          <t>RE</t>
        </is>
      </c>
      <c r="E781" s="5" t="n">
        <v>5014968</v>
      </c>
      <c r="F781" s="5" t="inlineStr">
        <is>
          <t>4012340080</t>
        </is>
      </c>
      <c r="G781" s="5" t="inlineStr">
        <is>
          <t>EUR</t>
        </is>
      </c>
      <c r="H781" s="9" t="n">
        <v>-55803.43</v>
      </c>
      <c r="I781" s="16" t="n">
        <v>45103</v>
      </c>
      <c r="J781" s="16" t="n">
        <v>45133</v>
      </c>
      <c r="K781" s="5" t="inlineStr">
        <is>
          <t>0465/23</t>
        </is>
      </c>
      <c r="L781" s="5" t="inlineStr">
        <is>
          <t>4012340080</t>
        </is>
      </c>
      <c r="M781" s="5">
        <f>IF(YEAR(I781)&lt;=2020,"Até 2020",TEXT(YEAR(I781),"0"))</f>
        <v/>
      </c>
      <c r="N781" s="5">
        <f>IFERROR(INDEX(DePara!$A:$A,MATCH(TEXT(B781,"0"),DePara!$D:$D,0)),"(sem categoria)")</f>
        <v/>
      </c>
      <c r="O781" s="5">
        <f>IF(J781="","",Parametros!$B$6-J781)</f>
        <v/>
      </c>
      <c r="P781" s="5">
        <f>IF(O781="","",IF(O781&gt;0,1,0))</f>
        <v/>
      </c>
    </row>
    <row r="782">
      <c r="A782" s="5" t="n">
        <v>2122100000</v>
      </c>
      <c r="B782" s="5" t="inlineStr">
        <is>
          <t>IC1000</t>
        </is>
      </c>
      <c r="C782" s="5" t="inlineStr">
        <is>
          <t>NORDEX ENERGY SE &amp; CO KG</t>
        </is>
      </c>
      <c r="D782" s="5" t="inlineStr">
        <is>
          <t>RE</t>
        </is>
      </c>
      <c r="E782" s="5" t="n">
        <v>5015000</v>
      </c>
      <c r="F782" s="5" t="inlineStr">
        <is>
          <t>4012340075</t>
        </is>
      </c>
      <c r="G782" s="5" t="inlineStr">
        <is>
          <t>EUR</t>
        </is>
      </c>
      <c r="H782" s="9" t="n">
        <v>-123804.27</v>
      </c>
      <c r="I782" s="16" t="n">
        <v>45103</v>
      </c>
      <c r="J782" s="16" t="n">
        <v>45133</v>
      </c>
      <c r="K782" s="5" t="inlineStr">
        <is>
          <t>0465/23</t>
        </is>
      </c>
      <c r="L782" s="5" t="inlineStr">
        <is>
          <t>4012340075</t>
        </is>
      </c>
      <c r="M782" s="5">
        <f>IF(YEAR(I782)&lt;=2020,"Até 2020",TEXT(YEAR(I782),"0"))</f>
        <v/>
      </c>
      <c r="N782" s="5">
        <f>IFERROR(INDEX(DePara!$A:$A,MATCH(TEXT(B782,"0"),DePara!$D:$D,0)),"(sem categoria)")</f>
        <v/>
      </c>
      <c r="O782" s="5">
        <f>IF(J782="","",Parametros!$B$6-J782)</f>
        <v/>
      </c>
      <c r="P782" s="5">
        <f>IF(O782="","",IF(O782&gt;0,1,0))</f>
        <v/>
      </c>
    </row>
    <row r="783">
      <c r="A783" s="5" t="n">
        <v>2122100000</v>
      </c>
      <c r="B783" s="5" t="inlineStr">
        <is>
          <t>IC4420</t>
        </is>
      </c>
      <c r="C783" s="5" t="inlineStr">
        <is>
          <t>NORDEX ENERGY SPAIN S A U</t>
        </is>
      </c>
      <c r="D783" s="5" t="inlineStr">
        <is>
          <t>RE</t>
        </is>
      </c>
      <c r="E783" s="5" t="n">
        <v>5015001</v>
      </c>
      <c r="F783" s="5" t="inlineStr">
        <is>
          <t>4026005293</t>
        </is>
      </c>
      <c r="G783" s="5" t="inlineStr">
        <is>
          <t>EUR</t>
        </is>
      </c>
      <c r="H783" s="9" t="n">
        <v>-4569.5</v>
      </c>
      <c r="I783" s="16" t="n">
        <v>46219</v>
      </c>
      <c r="J783" s="16" t="n">
        <v>46249</v>
      </c>
      <c r="K783" s="5" t="inlineStr">
        <is>
          <t>0481/26</t>
        </is>
      </c>
      <c r="L783" s="5" t="inlineStr">
        <is>
          <t>4026005293</t>
        </is>
      </c>
      <c r="M783" s="5">
        <f>IF(YEAR(I783)&lt;=2020,"Até 2020",TEXT(YEAR(I783),"0"))</f>
        <v/>
      </c>
      <c r="N783" s="5">
        <f>IFERROR(INDEX(DePara!$A:$A,MATCH(TEXT(B783,"0"),DePara!$D:$D,0)),"(sem categoria)")</f>
        <v/>
      </c>
      <c r="O783" s="5">
        <f>IF(J783="","",Parametros!$B$6-J783)</f>
        <v/>
      </c>
      <c r="P783" s="5">
        <f>IF(O783="","",IF(O783&gt;0,1,0))</f>
        <v/>
      </c>
    </row>
    <row r="784">
      <c r="A784" s="5" t="n">
        <v>2122100000</v>
      </c>
      <c r="B784" s="5" t="inlineStr">
        <is>
          <t>IC4420</t>
        </is>
      </c>
      <c r="C784" s="5" t="inlineStr">
        <is>
          <t>NORDEX ENERGY SPAIN S A U</t>
        </is>
      </c>
      <c r="D784" s="5" t="inlineStr">
        <is>
          <t>RE</t>
        </is>
      </c>
      <c r="E784" s="5" t="n">
        <v>5015002</v>
      </c>
      <c r="F784" s="5" t="inlineStr">
        <is>
          <t>4026002170</t>
        </is>
      </c>
      <c r="G784" s="5" t="inlineStr">
        <is>
          <t>EUR</t>
        </is>
      </c>
      <c r="H784" s="9" t="n">
        <v>-133337.32</v>
      </c>
      <c r="I784" s="16" t="n">
        <v>46108</v>
      </c>
      <c r="J784" s="16" t="n">
        <v>46138</v>
      </c>
      <c r="K784" s="5" t="inlineStr">
        <is>
          <t>0236/26</t>
        </is>
      </c>
      <c r="L784" s="5" t="inlineStr">
        <is>
          <t>4026002170</t>
        </is>
      </c>
      <c r="M784" s="5">
        <f>IF(YEAR(I784)&lt;=2020,"Até 2020",TEXT(YEAR(I784),"0"))</f>
        <v/>
      </c>
      <c r="N784" s="5">
        <f>IFERROR(INDEX(DePara!$A:$A,MATCH(TEXT(B784,"0"),DePara!$D:$D,0)),"(sem categoria)")</f>
        <v/>
      </c>
      <c r="O784" s="5">
        <f>IF(J784="","",Parametros!$B$6-J784)</f>
        <v/>
      </c>
      <c r="P784" s="5">
        <f>IF(O784="","",IF(O784&gt;0,1,0))</f>
        <v/>
      </c>
    </row>
    <row r="785">
      <c r="A785" s="5" t="n">
        <v>2122100000</v>
      </c>
      <c r="B785" s="5" t="inlineStr">
        <is>
          <t>IC4420</t>
        </is>
      </c>
      <c r="C785" s="5" t="inlineStr">
        <is>
          <t>NORDEX ENERGY SPAIN S A U</t>
        </is>
      </c>
      <c r="D785" s="5" t="inlineStr">
        <is>
          <t>RE</t>
        </is>
      </c>
      <c r="E785" s="5" t="n">
        <v>5015003</v>
      </c>
      <c r="F785" s="5" t="inlineStr">
        <is>
          <t>4026003292</t>
        </is>
      </c>
      <c r="G785" s="5" t="inlineStr">
        <is>
          <t>EUR</t>
        </is>
      </c>
      <c r="H785" s="9" t="n">
        <v>-28584.39</v>
      </c>
      <c r="I785" s="16" t="n">
        <v>46153</v>
      </c>
      <c r="J785" s="16" t="n">
        <v>46183</v>
      </c>
      <c r="K785" s="5" t="inlineStr">
        <is>
          <t>0338/26</t>
        </is>
      </c>
      <c r="L785" s="5" t="inlineStr">
        <is>
          <t>4026003292</t>
        </is>
      </c>
      <c r="M785" s="5">
        <f>IF(YEAR(I785)&lt;=2020,"Até 2020",TEXT(YEAR(I785),"0"))</f>
        <v/>
      </c>
      <c r="N785" s="5">
        <f>IFERROR(INDEX(DePara!$A:$A,MATCH(TEXT(B785,"0"),DePara!$D:$D,0)),"(sem categoria)")</f>
        <v/>
      </c>
      <c r="O785" s="5">
        <f>IF(J785="","",Parametros!$B$6-J785)</f>
        <v/>
      </c>
      <c r="P785" s="5">
        <f>IF(O785="","",IF(O785&gt;0,1,0))</f>
        <v/>
      </c>
    </row>
    <row r="786">
      <c r="A786" s="5" t="n">
        <v>2122100000</v>
      </c>
      <c r="B786" s="5" t="inlineStr">
        <is>
          <t>IC1000</t>
        </is>
      </c>
      <c r="C786" s="5" t="inlineStr">
        <is>
          <t>NORDEX ENERGY SE &amp; CO KG</t>
        </is>
      </c>
      <c r="D786" s="5" t="inlineStr">
        <is>
          <t>RE</t>
        </is>
      </c>
      <c r="E786" s="5" t="n">
        <v>5015007</v>
      </c>
      <c r="F786" s="5" t="inlineStr">
        <is>
          <t>4012341083</t>
        </is>
      </c>
      <c r="G786" s="5" t="inlineStr">
        <is>
          <t>EUR</t>
        </is>
      </c>
      <c r="H786" s="9" t="n">
        <v>-130547.82</v>
      </c>
      <c r="I786" s="16" t="n">
        <v>45110</v>
      </c>
      <c r="J786" s="16" t="n">
        <v>45140</v>
      </c>
      <c r="K786" s="5" t="inlineStr">
        <is>
          <t>0484/23</t>
        </is>
      </c>
      <c r="L786" s="5" t="inlineStr">
        <is>
          <t>4012341083</t>
        </is>
      </c>
      <c r="M786" s="5">
        <f>IF(YEAR(I786)&lt;=2020,"Até 2020",TEXT(YEAR(I786),"0"))</f>
        <v/>
      </c>
      <c r="N786" s="5">
        <f>IFERROR(INDEX(DePara!$A:$A,MATCH(TEXT(B786,"0"),DePara!$D:$D,0)),"(sem categoria)")</f>
        <v/>
      </c>
      <c r="O786" s="5">
        <f>IF(J786="","",Parametros!$B$6-J786)</f>
        <v/>
      </c>
      <c r="P786" s="5">
        <f>IF(O786="","",IF(O786&gt;0,1,0))</f>
        <v/>
      </c>
    </row>
    <row r="787">
      <c r="A787" s="5" t="n">
        <v>2122100000</v>
      </c>
      <c r="B787" s="5" t="inlineStr">
        <is>
          <t>IC4420</t>
        </is>
      </c>
      <c r="C787" s="5" t="inlineStr">
        <is>
          <t>NORDEX ENERGY SPAIN S A U</t>
        </is>
      </c>
      <c r="D787" s="5" t="inlineStr">
        <is>
          <t>RE</t>
        </is>
      </c>
      <c r="E787" s="5" t="n">
        <v>5015007</v>
      </c>
      <c r="F787" s="5" t="inlineStr">
        <is>
          <t>4026005294</t>
        </is>
      </c>
      <c r="G787" s="5" t="inlineStr">
        <is>
          <t>EUR</t>
        </is>
      </c>
      <c r="H787" s="9" t="n">
        <v>-16583.9</v>
      </c>
      <c r="I787" s="16" t="n">
        <v>46219</v>
      </c>
      <c r="J787" s="16" t="n">
        <v>46249</v>
      </c>
      <c r="K787" s="5" t="inlineStr">
        <is>
          <t>0494/26</t>
        </is>
      </c>
      <c r="L787" s="5" t="inlineStr">
        <is>
          <t>4026005294</t>
        </is>
      </c>
      <c r="M787" s="5">
        <f>IF(YEAR(I787)&lt;=2020,"Até 2020",TEXT(YEAR(I787),"0"))</f>
        <v/>
      </c>
      <c r="N787" s="5">
        <f>IFERROR(INDEX(DePara!$A:$A,MATCH(TEXT(B787,"0"),DePara!$D:$D,0)),"(sem categoria)")</f>
        <v/>
      </c>
      <c r="O787" s="5">
        <f>IF(J787="","",Parametros!$B$6-J787)</f>
        <v/>
      </c>
      <c r="P787" s="5">
        <f>IF(O787="","",IF(O787&gt;0,1,0))</f>
        <v/>
      </c>
    </row>
    <row r="788">
      <c r="A788" s="5" t="n">
        <v>2122100000</v>
      </c>
      <c r="B788" s="5" t="inlineStr">
        <is>
          <t>IC1000</t>
        </is>
      </c>
      <c r="C788" s="5" t="inlineStr">
        <is>
          <t>NORDEX ENERGY SE &amp; CO KG</t>
        </is>
      </c>
      <c r="D788" s="5" t="inlineStr">
        <is>
          <t>RE</t>
        </is>
      </c>
      <c r="E788" s="5" t="n">
        <v>5015009</v>
      </c>
      <c r="F788" s="5" t="inlineStr">
        <is>
          <t>4012341081</t>
        </is>
      </c>
      <c r="G788" s="5" t="inlineStr">
        <is>
          <t>EUR</t>
        </is>
      </c>
      <c r="H788" s="9" t="n">
        <v>-54940.9</v>
      </c>
      <c r="I788" s="16" t="n">
        <v>45110</v>
      </c>
      <c r="J788" s="16" t="n">
        <v>45140</v>
      </c>
      <c r="K788" s="5" t="inlineStr">
        <is>
          <t>0484/23</t>
        </is>
      </c>
      <c r="L788" s="5" t="inlineStr">
        <is>
          <t>4012341081</t>
        </is>
      </c>
      <c r="M788" s="5">
        <f>IF(YEAR(I788)&lt;=2020,"Até 2020",TEXT(YEAR(I788),"0"))</f>
        <v/>
      </c>
      <c r="N788" s="5">
        <f>IFERROR(INDEX(DePara!$A:$A,MATCH(TEXT(B788,"0"),DePara!$D:$D,0)),"(sem categoria)")</f>
        <v/>
      </c>
      <c r="O788" s="5">
        <f>IF(J788="","",Parametros!$B$6-J788)</f>
        <v/>
      </c>
      <c r="P788" s="5">
        <f>IF(O788="","",IF(O788&gt;0,1,0))</f>
        <v/>
      </c>
    </row>
    <row r="789">
      <c r="A789" s="5" t="n">
        <v>2122100000</v>
      </c>
      <c r="B789" s="5" t="inlineStr">
        <is>
          <t>IC4420</t>
        </is>
      </c>
      <c r="C789" s="5" t="inlineStr">
        <is>
          <t>NORDEX ENERGY SPAIN S A U</t>
        </is>
      </c>
      <c r="D789" s="5" t="inlineStr">
        <is>
          <t>RE</t>
        </is>
      </c>
      <c r="E789" s="5" t="n">
        <v>5015014</v>
      </c>
      <c r="F789" s="5" t="inlineStr">
        <is>
          <t>4026005473</t>
        </is>
      </c>
      <c r="G789" s="5" t="inlineStr">
        <is>
          <t>EUR</t>
        </is>
      </c>
      <c r="H789" s="9" t="n">
        <v>-11322.96</v>
      </c>
      <c r="I789" s="16" t="n">
        <v>46227</v>
      </c>
      <c r="J789" s="16" t="n">
        <v>46257</v>
      </c>
      <c r="K789" s="5" t="inlineStr">
        <is>
          <t>0495/26</t>
        </is>
      </c>
      <c r="L789" s="5" t="inlineStr">
        <is>
          <t>4026005473</t>
        </is>
      </c>
      <c r="M789" s="5">
        <f>IF(YEAR(I789)&lt;=2020,"Até 2020",TEXT(YEAR(I789),"0"))</f>
        <v/>
      </c>
      <c r="N789" s="5">
        <f>IFERROR(INDEX(DePara!$A:$A,MATCH(TEXT(B789,"0"),DePara!$D:$D,0)),"(sem categoria)")</f>
        <v/>
      </c>
      <c r="O789" s="5">
        <f>IF(J789="","",Parametros!$B$6-J789)</f>
        <v/>
      </c>
      <c r="P789" s="5">
        <f>IF(O789="","",IF(O789&gt;0,1,0))</f>
        <v/>
      </c>
    </row>
    <row r="790">
      <c r="A790" s="5" t="n">
        <v>2122100000</v>
      </c>
      <c r="B790" s="5" t="inlineStr">
        <is>
          <t>IC1000</t>
        </is>
      </c>
      <c r="C790" s="5" t="inlineStr">
        <is>
          <t>NORDEX ENERGY SE &amp; CO KG</t>
        </is>
      </c>
      <c r="D790" s="5" t="inlineStr">
        <is>
          <t>RE</t>
        </is>
      </c>
      <c r="E790" s="5" t="n">
        <v>5015024</v>
      </c>
      <c r="F790" s="5" t="inlineStr">
        <is>
          <t>334829</t>
        </is>
      </c>
      <c r="G790" s="5" t="inlineStr">
        <is>
          <t>EUR</t>
        </is>
      </c>
      <c r="H790" s="9" t="n">
        <v>-65478.96</v>
      </c>
      <c r="I790" s="16" t="n">
        <v>45733</v>
      </c>
      <c r="J790" s="16" t="n">
        <v>45763</v>
      </c>
      <c r="K790" s="5" t="inlineStr">
        <is>
          <t>0258/25</t>
        </is>
      </c>
      <c r="L790" s="5" t="inlineStr">
        <is>
          <t>334829</t>
        </is>
      </c>
      <c r="M790" s="5">
        <f>IF(YEAR(I790)&lt;=2020,"Até 2020",TEXT(YEAR(I790),"0"))</f>
        <v/>
      </c>
      <c r="N790" s="5">
        <f>IFERROR(INDEX(DePara!$A:$A,MATCH(TEXT(B790,"0"),DePara!$D:$D,0)),"(sem categoria)")</f>
        <v/>
      </c>
      <c r="O790" s="5">
        <f>IF(J790="","",Parametros!$B$6-J790)</f>
        <v/>
      </c>
      <c r="P790" s="5">
        <f>IF(O790="","",IF(O790&gt;0,1,0))</f>
        <v/>
      </c>
    </row>
    <row r="791">
      <c r="A791" s="5" t="n">
        <v>2122100000</v>
      </c>
      <c r="B791" s="5" t="inlineStr">
        <is>
          <t>IC4420</t>
        </is>
      </c>
      <c r="C791" s="5" t="inlineStr">
        <is>
          <t>NORDEX ENERGY SPAIN S A U</t>
        </is>
      </c>
      <c r="D791" s="5" t="inlineStr">
        <is>
          <t>RE</t>
        </is>
      </c>
      <c r="E791" s="5" t="n">
        <v>5015078</v>
      </c>
      <c r="F791" s="5" t="inlineStr">
        <is>
          <t>4026004951</t>
        </is>
      </c>
      <c r="G791" s="5" t="inlineStr">
        <is>
          <t>EUR</t>
        </is>
      </c>
      <c r="H791" s="9" t="n">
        <v>-630.9299999999999</v>
      </c>
      <c r="I791" s="16" t="n">
        <v>46204</v>
      </c>
      <c r="J791" s="16" t="n">
        <v>46234</v>
      </c>
      <c r="K791" s="5" t="inlineStr">
        <is>
          <t>0471/26</t>
        </is>
      </c>
      <c r="L791" s="5" t="inlineStr">
        <is>
          <t>4026004951</t>
        </is>
      </c>
      <c r="M791" s="5">
        <f>IF(YEAR(I791)&lt;=2020,"Até 2020",TEXT(YEAR(I791),"0"))</f>
        <v/>
      </c>
      <c r="N791" s="5">
        <f>IFERROR(INDEX(DePara!$A:$A,MATCH(TEXT(B791,"0"),DePara!$D:$D,0)),"(sem categoria)")</f>
        <v/>
      </c>
      <c r="O791" s="5">
        <f>IF(J791="","",Parametros!$B$6-J791)</f>
        <v/>
      </c>
      <c r="P791" s="5">
        <f>IF(O791="","",IF(O791&gt;0,1,0))</f>
        <v/>
      </c>
    </row>
    <row r="792">
      <c r="A792" s="5" t="n">
        <v>2122100000</v>
      </c>
      <c r="B792" s="5" t="inlineStr">
        <is>
          <t>IC4420</t>
        </is>
      </c>
      <c r="C792" s="5" t="inlineStr">
        <is>
          <t>NORDEX ENERGY SPAIN S A U</t>
        </is>
      </c>
      <c r="D792" s="5" t="inlineStr">
        <is>
          <t>RE</t>
        </is>
      </c>
      <c r="E792" s="5" t="n">
        <v>5015079</v>
      </c>
      <c r="F792" s="5" t="inlineStr">
        <is>
          <t>4026005268</t>
        </is>
      </c>
      <c r="G792" s="5" t="inlineStr">
        <is>
          <t>EUR</t>
        </is>
      </c>
      <c r="H792" s="9" t="n">
        <v>-7241</v>
      </c>
      <c r="I792" s="16" t="n">
        <v>46218</v>
      </c>
      <c r="J792" s="16" t="n">
        <v>46248</v>
      </c>
      <c r="K792" s="5" t="inlineStr">
        <is>
          <t>0477/26</t>
        </is>
      </c>
      <c r="L792" s="5" t="inlineStr">
        <is>
          <t>4026005268</t>
        </is>
      </c>
      <c r="M792" s="5">
        <f>IF(YEAR(I792)&lt;=2020,"Até 2020",TEXT(YEAR(I792),"0"))</f>
        <v/>
      </c>
      <c r="N792" s="5">
        <f>IFERROR(INDEX(DePara!$A:$A,MATCH(TEXT(B792,"0"),DePara!$D:$D,0)),"(sem categoria)")</f>
        <v/>
      </c>
      <c r="O792" s="5">
        <f>IF(J792="","",Parametros!$B$6-J792)</f>
        <v/>
      </c>
      <c r="P792" s="5">
        <f>IF(O792="","",IF(O792&gt;0,1,0))</f>
        <v/>
      </c>
    </row>
    <row r="793">
      <c r="A793" s="5" t="n">
        <v>2122100000</v>
      </c>
      <c r="B793" s="5" t="inlineStr">
        <is>
          <t>IC4420</t>
        </is>
      </c>
      <c r="C793" s="5" t="inlineStr">
        <is>
          <t>NORDEX ENERGY SPAIN S A U</t>
        </is>
      </c>
      <c r="D793" s="5" t="inlineStr">
        <is>
          <t>RE</t>
        </is>
      </c>
      <c r="E793" s="5" t="n">
        <v>5015080</v>
      </c>
      <c r="F793" s="5" t="inlineStr">
        <is>
          <t>4026005269</t>
        </is>
      </c>
      <c r="G793" s="5" t="inlineStr">
        <is>
          <t>EUR</t>
        </is>
      </c>
      <c r="H793" s="9" t="n">
        <v>-2551.78</v>
      </c>
      <c r="I793" s="16" t="n">
        <v>46218</v>
      </c>
      <c r="J793" s="16" t="n">
        <v>46248</v>
      </c>
      <c r="K793" s="5" t="inlineStr">
        <is>
          <t>0475/26</t>
        </is>
      </c>
      <c r="L793" s="5" t="inlineStr">
        <is>
          <t>4026005269</t>
        </is>
      </c>
      <c r="M793" s="5">
        <f>IF(YEAR(I793)&lt;=2020,"Até 2020",TEXT(YEAR(I793),"0"))</f>
        <v/>
      </c>
      <c r="N793" s="5">
        <f>IFERROR(INDEX(DePara!$A:$A,MATCH(TEXT(B793,"0"),DePara!$D:$D,0)),"(sem categoria)")</f>
        <v/>
      </c>
      <c r="O793" s="5">
        <f>IF(J793="","",Parametros!$B$6-J793)</f>
        <v/>
      </c>
      <c r="P793" s="5">
        <f>IF(O793="","",IF(O793&gt;0,1,0))</f>
        <v/>
      </c>
    </row>
    <row r="794">
      <c r="A794" s="5" t="n">
        <v>2122100000</v>
      </c>
      <c r="B794" s="5" t="inlineStr">
        <is>
          <t>IC4420</t>
        </is>
      </c>
      <c r="C794" s="5" t="inlineStr">
        <is>
          <t>NORDEX ENERGY SPAIN S A U</t>
        </is>
      </c>
      <c r="D794" s="5" t="inlineStr">
        <is>
          <t>RE</t>
        </is>
      </c>
      <c r="E794" s="5" t="n">
        <v>5015089</v>
      </c>
      <c r="F794" s="5" t="inlineStr">
        <is>
          <t>4026005295</t>
        </is>
      </c>
      <c r="G794" s="5" t="inlineStr">
        <is>
          <t>EUR</t>
        </is>
      </c>
      <c r="H794" s="9" t="n">
        <v>-4358.91</v>
      </c>
      <c r="I794" s="16" t="n">
        <v>46219</v>
      </c>
      <c r="J794" s="16" t="n">
        <v>46249</v>
      </c>
      <c r="K794" s="5" t="inlineStr">
        <is>
          <t>0493/26</t>
        </is>
      </c>
      <c r="L794" s="5" t="inlineStr">
        <is>
          <t>4026005295</t>
        </is>
      </c>
      <c r="M794" s="5">
        <f>IF(YEAR(I794)&lt;=2020,"Até 2020",TEXT(YEAR(I794),"0"))</f>
        <v/>
      </c>
      <c r="N794" s="5">
        <f>IFERROR(INDEX(DePara!$A:$A,MATCH(TEXT(B794,"0"),DePara!$D:$D,0)),"(sem categoria)")</f>
        <v/>
      </c>
      <c r="O794" s="5">
        <f>IF(J794="","",Parametros!$B$6-J794)</f>
        <v/>
      </c>
      <c r="P794" s="5">
        <f>IF(O794="","",IF(O794&gt;0,1,0))</f>
        <v/>
      </c>
    </row>
    <row r="795">
      <c r="A795" s="5" t="n">
        <v>2122100000</v>
      </c>
      <c r="B795" s="5" t="inlineStr">
        <is>
          <t>IC4420</t>
        </is>
      </c>
      <c r="C795" s="5" t="inlineStr">
        <is>
          <t>NORDEX ENERGY SPAIN S A U</t>
        </is>
      </c>
      <c r="D795" s="5" t="inlineStr">
        <is>
          <t>RE</t>
        </is>
      </c>
      <c r="E795" s="5" t="n">
        <v>5015090</v>
      </c>
      <c r="F795" s="5" t="inlineStr">
        <is>
          <t>4026003296</t>
        </is>
      </c>
      <c r="G795" s="5" t="inlineStr">
        <is>
          <t>EUR</t>
        </is>
      </c>
      <c r="H795" s="9" t="n">
        <v>-381799.37</v>
      </c>
      <c r="I795" s="16" t="n">
        <v>46153</v>
      </c>
      <c r="J795" s="16" t="n">
        <v>46183</v>
      </c>
      <c r="K795" s="5" t="inlineStr">
        <is>
          <t>0342/26</t>
        </is>
      </c>
      <c r="L795" s="5" t="inlineStr">
        <is>
          <t>4026003296</t>
        </is>
      </c>
      <c r="M795" s="5">
        <f>IF(YEAR(I795)&lt;=2020,"Até 2020",TEXT(YEAR(I795),"0"))</f>
        <v/>
      </c>
      <c r="N795" s="5">
        <f>IFERROR(INDEX(DePara!$A:$A,MATCH(TEXT(B795,"0"),DePara!$D:$D,0)),"(sem categoria)")</f>
        <v/>
      </c>
      <c r="O795" s="5">
        <f>IF(J795="","",Parametros!$B$6-J795)</f>
        <v/>
      </c>
      <c r="P795" s="5">
        <f>IF(O795="","",IF(O795&gt;0,1,0))</f>
        <v/>
      </c>
    </row>
    <row r="796">
      <c r="A796" s="5" t="n">
        <v>2122100000</v>
      </c>
      <c r="B796" s="5" t="inlineStr">
        <is>
          <t>IC1000</t>
        </is>
      </c>
      <c r="C796" s="5" t="inlineStr">
        <is>
          <t>NORDEX ENERGY SE &amp; CO KG</t>
        </is>
      </c>
      <c r="D796" s="5" t="inlineStr">
        <is>
          <t>RE</t>
        </is>
      </c>
      <c r="E796" s="5" t="n">
        <v>5015196</v>
      </c>
      <c r="F796" s="5" t="inlineStr">
        <is>
          <t>4012360850</t>
        </is>
      </c>
      <c r="G796" s="5" t="inlineStr">
        <is>
          <t>EUR</t>
        </is>
      </c>
      <c r="H796" s="9" t="n">
        <v>-2480.27</v>
      </c>
      <c r="I796" s="16" t="n">
        <v>45247</v>
      </c>
      <c r="J796" s="16" t="n">
        <v>45277</v>
      </c>
      <c r="K796" s="5" t="inlineStr">
        <is>
          <t>0588/23</t>
        </is>
      </c>
      <c r="L796" s="5" t="inlineStr">
        <is>
          <t>4012360850</t>
        </is>
      </c>
      <c r="M796" s="5">
        <f>IF(YEAR(I796)&lt;=2020,"Até 2020",TEXT(YEAR(I796),"0"))</f>
        <v/>
      </c>
      <c r="N796" s="5">
        <f>IFERROR(INDEX(DePara!$A:$A,MATCH(TEXT(B796,"0"),DePara!$D:$D,0)),"(sem categoria)")</f>
        <v/>
      </c>
      <c r="O796" s="5">
        <f>IF(J796="","",Parametros!$B$6-J796)</f>
        <v/>
      </c>
      <c r="P796" s="5">
        <f>IF(O796="","",IF(O796&gt;0,1,0))</f>
        <v/>
      </c>
    </row>
    <row r="797">
      <c r="A797" s="5" t="n">
        <v>2122100000</v>
      </c>
      <c r="B797" s="5" t="inlineStr">
        <is>
          <t>IC1000</t>
        </is>
      </c>
      <c r="C797" s="5" t="inlineStr">
        <is>
          <t>NORDEX ENERGY SE &amp; CO KG</t>
        </is>
      </c>
      <c r="D797" s="5" t="inlineStr">
        <is>
          <t>RE</t>
        </is>
      </c>
      <c r="E797" s="5" t="n">
        <v>5015198</v>
      </c>
      <c r="F797" s="5" t="inlineStr">
        <is>
          <t>4012360847</t>
        </is>
      </c>
      <c r="G797" s="5" t="inlineStr">
        <is>
          <t>EUR</t>
        </is>
      </c>
      <c r="H797" s="9" t="n">
        <v>-107413.97</v>
      </c>
      <c r="I797" s="16" t="n">
        <v>45247</v>
      </c>
      <c r="J797" s="16" t="n">
        <v>45277</v>
      </c>
      <c r="K797" s="5" t="inlineStr">
        <is>
          <t>0588/23</t>
        </is>
      </c>
      <c r="L797" s="5" t="inlineStr">
        <is>
          <t>4012360847</t>
        </is>
      </c>
      <c r="M797" s="5">
        <f>IF(YEAR(I797)&lt;=2020,"Até 2020",TEXT(YEAR(I797),"0"))</f>
        <v/>
      </c>
      <c r="N797" s="5">
        <f>IFERROR(INDEX(DePara!$A:$A,MATCH(TEXT(B797,"0"),DePara!$D:$D,0)),"(sem categoria)")</f>
        <v/>
      </c>
      <c r="O797" s="5">
        <f>IF(J797="","",Parametros!$B$6-J797)</f>
        <v/>
      </c>
      <c r="P797" s="5">
        <f>IF(O797="","",IF(O797&gt;0,1,0))</f>
        <v/>
      </c>
    </row>
    <row r="798">
      <c r="A798" s="5" t="n">
        <v>2122100000</v>
      </c>
      <c r="B798" s="5" t="inlineStr">
        <is>
          <t>IC1000</t>
        </is>
      </c>
      <c r="C798" s="5" t="inlineStr">
        <is>
          <t>NORDEX ENERGY SE &amp; CO KG</t>
        </is>
      </c>
      <c r="D798" s="5" t="inlineStr">
        <is>
          <t>RE</t>
        </is>
      </c>
      <c r="E798" s="5" t="n">
        <v>5015200</v>
      </c>
      <c r="F798" s="5" t="inlineStr">
        <is>
          <t>4012360849</t>
        </is>
      </c>
      <c r="G798" s="5" t="inlineStr">
        <is>
          <t>EUR</t>
        </is>
      </c>
      <c r="H798" s="9" t="n">
        <v>-535.47</v>
      </c>
      <c r="I798" s="16" t="n">
        <v>45247</v>
      </c>
      <c r="J798" s="16" t="n">
        <v>45277</v>
      </c>
      <c r="K798" s="5" t="inlineStr">
        <is>
          <t>0588/23</t>
        </is>
      </c>
      <c r="L798" s="5" t="inlineStr">
        <is>
          <t>4012360849</t>
        </is>
      </c>
      <c r="M798" s="5">
        <f>IF(YEAR(I798)&lt;=2020,"Até 2020",TEXT(YEAR(I798),"0"))</f>
        <v/>
      </c>
      <c r="N798" s="5">
        <f>IFERROR(INDEX(DePara!$A:$A,MATCH(TEXT(B798,"0"),DePara!$D:$D,0)),"(sem categoria)")</f>
        <v/>
      </c>
      <c r="O798" s="5">
        <f>IF(J798="","",Parametros!$B$6-J798)</f>
        <v/>
      </c>
      <c r="P798" s="5">
        <f>IF(O798="","",IF(O798&gt;0,1,0))</f>
        <v/>
      </c>
    </row>
    <row r="799">
      <c r="A799" s="5" t="n">
        <v>2122100000</v>
      </c>
      <c r="B799" s="5" t="inlineStr">
        <is>
          <t>IC1000</t>
        </is>
      </c>
      <c r="C799" s="5" t="inlineStr">
        <is>
          <t>NORDEX ENERGY SE &amp; CO KG</t>
        </is>
      </c>
      <c r="D799" s="5" t="inlineStr">
        <is>
          <t>RE</t>
        </is>
      </c>
      <c r="E799" s="5" t="n">
        <v>5015214</v>
      </c>
      <c r="F799" s="5" t="inlineStr">
        <is>
          <t>336830</t>
        </is>
      </c>
      <c r="G799" s="5" t="inlineStr">
        <is>
          <t>EUR</t>
        </is>
      </c>
      <c r="H799" s="9" t="n">
        <v>-3737.87</v>
      </c>
      <c r="I799" s="16" t="n">
        <v>45742</v>
      </c>
      <c r="J799" s="16" t="n">
        <v>45772</v>
      </c>
      <c r="K799" s="5" t="inlineStr">
        <is>
          <t>0280/25</t>
        </is>
      </c>
      <c r="L799" s="5" t="inlineStr">
        <is>
          <t>336830</t>
        </is>
      </c>
      <c r="M799" s="5">
        <f>IF(YEAR(I799)&lt;=2020,"Até 2020",TEXT(YEAR(I799),"0"))</f>
        <v/>
      </c>
      <c r="N799" s="5">
        <f>IFERROR(INDEX(DePara!$A:$A,MATCH(TEXT(B799,"0"),DePara!$D:$D,0)),"(sem categoria)")</f>
        <v/>
      </c>
      <c r="O799" s="5">
        <f>IF(J799="","",Parametros!$B$6-J799)</f>
        <v/>
      </c>
      <c r="P799" s="5">
        <f>IF(O799="","",IF(O799&gt;0,1,0))</f>
        <v/>
      </c>
    </row>
    <row r="800">
      <c r="A800" s="5" t="n">
        <v>2122100000</v>
      </c>
      <c r="B800" s="5" t="inlineStr">
        <is>
          <t>IC1000</t>
        </is>
      </c>
      <c r="C800" s="5" t="inlineStr">
        <is>
          <t>NORDEX ENERGY SE &amp; CO KG</t>
        </is>
      </c>
      <c r="D800" s="5" t="inlineStr">
        <is>
          <t>RE</t>
        </is>
      </c>
      <c r="E800" s="5" t="n">
        <v>5015230</v>
      </c>
      <c r="F800" s="5" t="inlineStr">
        <is>
          <t>4012360851</t>
        </is>
      </c>
      <c r="G800" s="5" t="inlineStr">
        <is>
          <t>EUR</t>
        </is>
      </c>
      <c r="H800" s="9" t="n">
        <v>-18.34</v>
      </c>
      <c r="I800" s="16" t="n">
        <v>45247</v>
      </c>
      <c r="J800" s="16" t="n">
        <v>45277</v>
      </c>
      <c r="K800" s="5" t="inlineStr">
        <is>
          <t>0588/23</t>
        </is>
      </c>
      <c r="L800" s="5" t="inlineStr">
        <is>
          <t>4012360851</t>
        </is>
      </c>
      <c r="M800" s="5">
        <f>IF(YEAR(I800)&lt;=2020,"Até 2020",TEXT(YEAR(I800),"0"))</f>
        <v/>
      </c>
      <c r="N800" s="5">
        <f>IFERROR(INDEX(DePara!$A:$A,MATCH(TEXT(B800,"0"),DePara!$D:$D,0)),"(sem categoria)")</f>
        <v/>
      </c>
      <c r="O800" s="5">
        <f>IF(J800="","",Parametros!$B$6-J800)</f>
        <v/>
      </c>
      <c r="P800" s="5">
        <f>IF(O800="","",IF(O800&gt;0,1,0))</f>
        <v/>
      </c>
    </row>
    <row r="801">
      <c r="A801" s="5" t="n">
        <v>2122100000</v>
      </c>
      <c r="B801" s="5" t="inlineStr">
        <is>
          <t>IC4420</t>
        </is>
      </c>
      <c r="C801" s="5" t="inlineStr">
        <is>
          <t>NORDEX ENERGY SPAIN S A U</t>
        </is>
      </c>
      <c r="D801" s="5" t="inlineStr">
        <is>
          <t>RE</t>
        </is>
      </c>
      <c r="E801" s="5" t="n">
        <v>5015247</v>
      </c>
      <c r="F801" s="5" t="inlineStr">
        <is>
          <t>4026005471</t>
        </is>
      </c>
      <c r="G801" s="5" t="inlineStr">
        <is>
          <t>EUR</t>
        </is>
      </c>
      <c r="H801" s="9" t="n">
        <v>-6265.82</v>
      </c>
      <c r="I801" s="16" t="n">
        <v>46227</v>
      </c>
      <c r="J801" s="16" t="n">
        <v>46257</v>
      </c>
      <c r="K801" s="5" t="inlineStr">
        <is>
          <t>0500/26</t>
        </is>
      </c>
      <c r="L801" s="5" t="inlineStr">
        <is>
          <t>4026005471</t>
        </is>
      </c>
      <c r="M801" s="5">
        <f>IF(YEAR(I801)&lt;=2020,"Até 2020",TEXT(YEAR(I801),"0"))</f>
        <v/>
      </c>
      <c r="N801" s="5">
        <f>IFERROR(INDEX(DePara!$A:$A,MATCH(TEXT(B801,"0"),DePara!$D:$D,0)),"(sem categoria)")</f>
        <v/>
      </c>
      <c r="O801" s="5">
        <f>IF(J801="","",Parametros!$B$6-J801)</f>
        <v/>
      </c>
      <c r="P801" s="5">
        <f>IF(O801="","",IF(O801&gt;0,1,0))</f>
        <v/>
      </c>
    </row>
    <row r="802">
      <c r="A802" s="5" t="n">
        <v>2122100000</v>
      </c>
      <c r="B802" s="5" t="inlineStr">
        <is>
          <t>IC4420</t>
        </is>
      </c>
      <c r="C802" s="5" t="inlineStr">
        <is>
          <t>NORDEX ENERGY SPAIN S A U</t>
        </is>
      </c>
      <c r="D802" s="5" t="inlineStr">
        <is>
          <t>RE</t>
        </is>
      </c>
      <c r="E802" s="5" t="n">
        <v>5015248</v>
      </c>
      <c r="F802" s="5" t="inlineStr">
        <is>
          <t>4026005470</t>
        </is>
      </c>
      <c r="G802" s="5" t="inlineStr">
        <is>
          <t>EUR</t>
        </is>
      </c>
      <c r="H802" s="9" t="n">
        <v>-5376.02</v>
      </c>
      <c r="I802" s="16" t="n">
        <v>46227</v>
      </c>
      <c r="J802" s="16" t="n">
        <v>46257</v>
      </c>
      <c r="K802" s="5" t="inlineStr">
        <is>
          <t>0500/26</t>
        </is>
      </c>
      <c r="L802" s="5" t="inlineStr">
        <is>
          <t>4026005470</t>
        </is>
      </c>
      <c r="M802" s="5">
        <f>IF(YEAR(I802)&lt;=2020,"Até 2020",TEXT(YEAR(I802),"0"))</f>
        <v/>
      </c>
      <c r="N802" s="5">
        <f>IFERROR(INDEX(DePara!$A:$A,MATCH(TEXT(B802,"0"),DePara!$D:$D,0)),"(sem categoria)")</f>
        <v/>
      </c>
      <c r="O802" s="5">
        <f>IF(J802="","",Parametros!$B$6-J802)</f>
        <v/>
      </c>
      <c r="P802" s="5">
        <f>IF(O802="","",IF(O802&gt;0,1,0))</f>
        <v/>
      </c>
    </row>
    <row r="803">
      <c r="A803" s="5" t="n">
        <v>2122100000</v>
      </c>
      <c r="B803" s="5" t="inlineStr">
        <is>
          <t>IC4420</t>
        </is>
      </c>
      <c r="C803" s="5" t="inlineStr">
        <is>
          <t>NORDEX ENERGY SPAIN S A U</t>
        </is>
      </c>
      <c r="D803" s="5" t="inlineStr">
        <is>
          <t>RE</t>
        </is>
      </c>
      <c r="E803" s="5" t="n">
        <v>5015439</v>
      </c>
      <c r="F803" s="5" t="inlineStr">
        <is>
          <t>4026005088</t>
        </is>
      </c>
      <c r="G803" s="5" t="inlineStr">
        <is>
          <t>EUR</t>
        </is>
      </c>
      <c r="H803" s="9" t="n">
        <v>-1077558.39</v>
      </c>
      <c r="I803" s="16" t="n">
        <v>46206</v>
      </c>
      <c r="J803" s="16" t="n">
        <v>46236</v>
      </c>
      <c r="K803" s="5" t="inlineStr">
        <is>
          <t>0451/26</t>
        </is>
      </c>
      <c r="L803" s="5" t="inlineStr">
        <is>
          <t>4026005088</t>
        </is>
      </c>
      <c r="M803" s="5">
        <f>IF(YEAR(I803)&lt;=2020,"Até 2020",TEXT(YEAR(I803),"0"))</f>
        <v/>
      </c>
      <c r="N803" s="5">
        <f>IFERROR(INDEX(DePara!$A:$A,MATCH(TEXT(B803,"0"),DePara!$D:$D,0)),"(sem categoria)")</f>
        <v/>
      </c>
      <c r="O803" s="5">
        <f>IF(J803="","",Parametros!$B$6-J803)</f>
        <v/>
      </c>
      <c r="P803" s="5">
        <f>IF(O803="","",IF(O803&gt;0,1,0))</f>
        <v/>
      </c>
    </row>
    <row r="804">
      <c r="A804" s="5" t="n">
        <v>2122100000</v>
      </c>
      <c r="B804" s="5" t="inlineStr">
        <is>
          <t>IC4420</t>
        </is>
      </c>
      <c r="C804" s="5" t="inlineStr">
        <is>
          <t>NORDEX ENERGY SPAIN S A U</t>
        </is>
      </c>
      <c r="D804" s="5" t="inlineStr">
        <is>
          <t>RE</t>
        </is>
      </c>
      <c r="E804" s="5" t="n">
        <v>5015487</v>
      </c>
      <c r="F804" s="5" t="inlineStr">
        <is>
          <t>4026005281</t>
        </is>
      </c>
      <c r="G804" s="5" t="inlineStr">
        <is>
          <t>EUR</t>
        </is>
      </c>
      <c r="H804" s="9" t="n">
        <v>-461.91</v>
      </c>
      <c r="I804" s="16" t="n">
        <v>46219</v>
      </c>
      <c r="J804" s="16" t="n">
        <v>46249</v>
      </c>
      <c r="K804" s="5" t="inlineStr">
        <is>
          <t>0486/26</t>
        </is>
      </c>
      <c r="L804" s="5" t="inlineStr">
        <is>
          <t>4026005281</t>
        </is>
      </c>
      <c r="M804" s="5">
        <f>IF(YEAR(I804)&lt;=2020,"Até 2020",TEXT(YEAR(I804),"0"))</f>
        <v/>
      </c>
      <c r="N804" s="5">
        <f>IFERROR(INDEX(DePara!$A:$A,MATCH(TEXT(B804,"0"),DePara!$D:$D,0)),"(sem categoria)")</f>
        <v/>
      </c>
      <c r="O804" s="5">
        <f>IF(J804="","",Parametros!$B$6-J804)</f>
        <v/>
      </c>
      <c r="P804" s="5">
        <f>IF(O804="","",IF(O804&gt;0,1,0))</f>
        <v/>
      </c>
    </row>
    <row r="805">
      <c r="A805" s="5" t="n">
        <v>2122100000</v>
      </c>
      <c r="B805" s="5" t="inlineStr">
        <is>
          <t>IC1000</t>
        </is>
      </c>
      <c r="C805" s="5" t="inlineStr">
        <is>
          <t>NORDEX ENERGY SE &amp; CO KG</t>
        </is>
      </c>
      <c r="D805" s="5" t="inlineStr">
        <is>
          <t>RE</t>
        </is>
      </c>
      <c r="E805" s="5" t="n">
        <v>5015532</v>
      </c>
      <c r="F805" s="5" t="inlineStr">
        <is>
          <t>RITM0582728</t>
        </is>
      </c>
      <c r="G805" s="5" t="inlineStr">
        <is>
          <t>EUR</t>
        </is>
      </c>
      <c r="H805" s="9" t="n">
        <v>-2164751.67</v>
      </c>
      <c r="I805" s="16" t="n">
        <v>45986</v>
      </c>
      <c r="J805" s="16" t="n">
        <v>46016</v>
      </c>
      <c r="K805" s="5" t="inlineStr">
        <is>
          <t>0953/25</t>
        </is>
      </c>
      <c r="L805" s="5" t="inlineStr">
        <is>
          <t>RITM0582728</t>
        </is>
      </c>
      <c r="M805" s="5">
        <f>IF(YEAR(I805)&lt;=2020,"Até 2020",TEXT(YEAR(I805),"0"))</f>
        <v/>
      </c>
      <c r="N805" s="5">
        <f>IFERROR(INDEX(DePara!$A:$A,MATCH(TEXT(B805,"0"),DePara!$D:$D,0)),"(sem categoria)")</f>
        <v/>
      </c>
      <c r="O805" s="5">
        <f>IF(J805="","",Parametros!$B$6-J805)</f>
        <v/>
      </c>
      <c r="P805" s="5">
        <f>IF(O805="","",IF(O805&gt;0,1,0))</f>
        <v/>
      </c>
    </row>
    <row r="806">
      <c r="A806" s="5" t="n">
        <v>2122100000</v>
      </c>
      <c r="B806" s="5" t="inlineStr">
        <is>
          <t>IC4420</t>
        </is>
      </c>
      <c r="C806" s="5" t="inlineStr">
        <is>
          <t>NORDEX ENERGY SPAIN S A U</t>
        </is>
      </c>
      <c r="D806" s="5" t="inlineStr">
        <is>
          <t>RE</t>
        </is>
      </c>
      <c r="E806" s="5" t="n">
        <v>5015557</v>
      </c>
      <c r="F806" s="5" t="inlineStr">
        <is>
          <t>4026005280</t>
        </is>
      </c>
      <c r="G806" s="5" t="inlineStr">
        <is>
          <t>EUR</t>
        </is>
      </c>
      <c r="H806" s="9" t="n">
        <v>-5259.22</v>
      </c>
      <c r="I806" s="16" t="n">
        <v>46219</v>
      </c>
      <c r="J806" s="16" t="n">
        <v>46249</v>
      </c>
      <c r="K806" s="5" t="inlineStr">
        <is>
          <t>0488/26</t>
        </is>
      </c>
      <c r="L806" s="5" t="inlineStr">
        <is>
          <t>4026005280</t>
        </is>
      </c>
      <c r="M806" s="5">
        <f>IF(YEAR(I806)&lt;=2020,"Até 2020",TEXT(YEAR(I806),"0"))</f>
        <v/>
      </c>
      <c r="N806" s="5">
        <f>IFERROR(INDEX(DePara!$A:$A,MATCH(TEXT(B806,"0"),DePara!$D:$D,0)),"(sem categoria)")</f>
        <v/>
      </c>
      <c r="O806" s="5">
        <f>IF(J806="","",Parametros!$B$6-J806)</f>
        <v/>
      </c>
      <c r="P806" s="5">
        <f>IF(O806="","",IF(O806&gt;0,1,0))</f>
        <v/>
      </c>
    </row>
    <row r="807">
      <c r="A807" s="5" t="n">
        <v>2122100000</v>
      </c>
      <c r="B807" s="5" t="inlineStr">
        <is>
          <t>IC4420</t>
        </is>
      </c>
      <c r="C807" s="5" t="inlineStr">
        <is>
          <t>NORDEX ENERGY SPAIN S A U</t>
        </is>
      </c>
      <c r="D807" s="5" t="inlineStr">
        <is>
          <t>RE</t>
        </is>
      </c>
      <c r="E807" s="5" t="n">
        <v>5015568</v>
      </c>
      <c r="F807" s="5" t="inlineStr">
        <is>
          <t>4026005421</t>
        </is>
      </c>
      <c r="G807" s="5" t="inlineStr">
        <is>
          <t>EUR</t>
        </is>
      </c>
      <c r="H807" s="9" t="n">
        <v>-14317.11</v>
      </c>
      <c r="I807" s="16" t="n">
        <v>46226</v>
      </c>
      <c r="J807" s="16" t="n">
        <v>46256</v>
      </c>
      <c r="K807" s="5" t="inlineStr">
        <is>
          <t>0514/26</t>
        </is>
      </c>
      <c r="L807" s="5" t="inlineStr">
        <is>
          <t>4026005421</t>
        </is>
      </c>
      <c r="M807" s="5">
        <f>IF(YEAR(I807)&lt;=2020,"Até 2020",TEXT(YEAR(I807),"0"))</f>
        <v/>
      </c>
      <c r="N807" s="5">
        <f>IFERROR(INDEX(DePara!$A:$A,MATCH(TEXT(B807,"0"),DePara!$D:$D,0)),"(sem categoria)")</f>
        <v/>
      </c>
      <c r="O807" s="5">
        <f>IF(J807="","",Parametros!$B$6-J807)</f>
        <v/>
      </c>
      <c r="P807" s="5">
        <f>IF(O807="","",IF(O807&gt;0,1,0))</f>
        <v/>
      </c>
    </row>
    <row r="808">
      <c r="A808" s="5" t="n">
        <v>2122100000</v>
      </c>
      <c r="B808" s="5" t="inlineStr">
        <is>
          <t>IC4420</t>
        </is>
      </c>
      <c r="C808" s="5" t="inlineStr">
        <is>
          <t>NORDEX ENERGY SPAIN S A U</t>
        </is>
      </c>
      <c r="D808" s="5" t="inlineStr">
        <is>
          <t>RE</t>
        </is>
      </c>
      <c r="E808" s="5" t="n">
        <v>5015569</v>
      </c>
      <c r="F808" s="5" t="inlineStr">
        <is>
          <t>4026005462</t>
        </is>
      </c>
      <c r="G808" s="5" t="inlineStr">
        <is>
          <t>EUR</t>
        </is>
      </c>
      <c r="H808" s="9" t="n">
        <v>-42227.93</v>
      </c>
      <c r="I808" s="16" t="n">
        <v>46226</v>
      </c>
      <c r="J808" s="16" t="n">
        <v>46256</v>
      </c>
      <c r="K808" s="5" t="inlineStr">
        <is>
          <t>0497/26</t>
        </is>
      </c>
      <c r="L808" s="5" t="inlineStr">
        <is>
          <t>4026005462</t>
        </is>
      </c>
      <c r="M808" s="5">
        <f>IF(YEAR(I808)&lt;=2020,"Até 2020",TEXT(YEAR(I808),"0"))</f>
        <v/>
      </c>
      <c r="N808" s="5">
        <f>IFERROR(INDEX(DePara!$A:$A,MATCH(TEXT(B808,"0"),DePara!$D:$D,0)),"(sem categoria)")</f>
        <v/>
      </c>
      <c r="O808" s="5">
        <f>IF(J808="","",Parametros!$B$6-J808)</f>
        <v/>
      </c>
      <c r="P808" s="5">
        <f>IF(O808="","",IF(O808&gt;0,1,0))</f>
        <v/>
      </c>
    </row>
    <row r="809">
      <c r="A809" s="5" t="n">
        <v>2122100000</v>
      </c>
      <c r="B809" s="5" t="inlineStr">
        <is>
          <t>IC4420</t>
        </is>
      </c>
      <c r="C809" s="5" t="inlineStr">
        <is>
          <t>NORDEX ENERGY SPAIN S A U</t>
        </is>
      </c>
      <c r="D809" s="5" t="inlineStr">
        <is>
          <t>RE</t>
        </is>
      </c>
      <c r="E809" s="5" t="n">
        <v>5015570</v>
      </c>
      <c r="F809" s="5" t="inlineStr">
        <is>
          <t>4026005282</t>
        </is>
      </c>
      <c r="G809" s="5" t="inlineStr">
        <is>
          <t>EUR</t>
        </is>
      </c>
      <c r="H809" s="9" t="n">
        <v>-260596.5</v>
      </c>
      <c r="I809" s="16" t="n">
        <v>46219</v>
      </c>
      <c r="J809" s="16" t="n">
        <v>46249</v>
      </c>
      <c r="K809" s="5" t="inlineStr">
        <is>
          <t>0487/26</t>
        </is>
      </c>
      <c r="L809" s="5" t="inlineStr">
        <is>
          <t>4026005282</t>
        </is>
      </c>
      <c r="M809" s="5">
        <f>IF(YEAR(I809)&lt;=2020,"Até 2020",TEXT(YEAR(I809),"0"))</f>
        <v/>
      </c>
      <c r="N809" s="5">
        <f>IFERROR(INDEX(DePara!$A:$A,MATCH(TEXT(B809,"0"),DePara!$D:$D,0)),"(sem categoria)")</f>
        <v/>
      </c>
      <c r="O809" s="5">
        <f>IF(J809="","",Parametros!$B$6-J809)</f>
        <v/>
      </c>
      <c r="P809" s="5">
        <f>IF(O809="","",IF(O809&gt;0,1,0))</f>
        <v/>
      </c>
    </row>
    <row r="810">
      <c r="A810" s="5" t="n">
        <v>2122100000</v>
      </c>
      <c r="B810" s="5" t="inlineStr">
        <is>
          <t>IC4420</t>
        </is>
      </c>
      <c r="C810" s="5" t="inlineStr">
        <is>
          <t>NORDEX ENERGY SPAIN S A U</t>
        </is>
      </c>
      <c r="D810" s="5" t="inlineStr">
        <is>
          <t>RE</t>
        </is>
      </c>
      <c r="E810" s="5" t="n">
        <v>5015571</v>
      </c>
      <c r="F810" s="5" t="inlineStr">
        <is>
          <t>4026005284</t>
        </is>
      </c>
      <c r="G810" s="5" t="inlineStr">
        <is>
          <t>EUR</t>
        </is>
      </c>
      <c r="H810" s="9" t="n">
        <v>-66455.47</v>
      </c>
      <c r="I810" s="16" t="n">
        <v>46219</v>
      </c>
      <c r="J810" s="16" t="n">
        <v>46249</v>
      </c>
      <c r="K810" s="5" t="inlineStr">
        <is>
          <t>0490/26</t>
        </is>
      </c>
      <c r="L810" s="5" t="inlineStr">
        <is>
          <t>4026005284</t>
        </is>
      </c>
      <c r="M810" s="5">
        <f>IF(YEAR(I810)&lt;=2020,"Até 2020",TEXT(YEAR(I810),"0"))</f>
        <v/>
      </c>
      <c r="N810" s="5">
        <f>IFERROR(INDEX(DePara!$A:$A,MATCH(TEXT(B810,"0"),DePara!$D:$D,0)),"(sem categoria)")</f>
        <v/>
      </c>
      <c r="O810" s="5">
        <f>IF(J810="","",Parametros!$B$6-J810)</f>
        <v/>
      </c>
      <c r="P810" s="5">
        <f>IF(O810="","",IF(O810&gt;0,1,0))</f>
        <v/>
      </c>
    </row>
    <row r="811">
      <c r="A811" s="5" t="n">
        <v>2122100000</v>
      </c>
      <c r="B811" s="5" t="inlineStr">
        <is>
          <t>IC4420</t>
        </is>
      </c>
      <c r="C811" s="5" t="inlineStr">
        <is>
          <t>NORDEX ENERGY SPAIN S A U</t>
        </is>
      </c>
      <c r="D811" s="5" t="inlineStr">
        <is>
          <t>RE</t>
        </is>
      </c>
      <c r="E811" s="5" t="n">
        <v>5015572</v>
      </c>
      <c r="F811" s="5" t="inlineStr">
        <is>
          <t>4026005283</t>
        </is>
      </c>
      <c r="G811" s="5" t="inlineStr">
        <is>
          <t>EUR</t>
        </is>
      </c>
      <c r="H811" s="9" t="n">
        <v>-40734.75</v>
      </c>
      <c r="I811" s="16" t="n">
        <v>46219</v>
      </c>
      <c r="J811" s="16" t="n">
        <v>46249</v>
      </c>
      <c r="K811" s="5" t="inlineStr">
        <is>
          <t>0489/26</t>
        </is>
      </c>
      <c r="L811" s="5" t="inlineStr">
        <is>
          <t>4026005283</t>
        </is>
      </c>
      <c r="M811" s="5">
        <f>IF(YEAR(I811)&lt;=2020,"Até 2020",TEXT(YEAR(I811),"0"))</f>
        <v/>
      </c>
      <c r="N811" s="5">
        <f>IFERROR(INDEX(DePara!$A:$A,MATCH(TEXT(B811,"0"),DePara!$D:$D,0)),"(sem categoria)")</f>
        <v/>
      </c>
      <c r="O811" s="5">
        <f>IF(J811="","",Parametros!$B$6-J811)</f>
        <v/>
      </c>
      <c r="P811" s="5">
        <f>IF(O811="","",IF(O811&gt;0,1,0))</f>
        <v/>
      </c>
    </row>
    <row r="812">
      <c r="A812" s="5" t="n">
        <v>2122100000</v>
      </c>
      <c r="B812" s="5" t="inlineStr">
        <is>
          <t>IC4420</t>
        </is>
      </c>
      <c r="C812" s="5" t="inlineStr">
        <is>
          <t>NORDEX ENERGY SPAIN S A U</t>
        </is>
      </c>
      <c r="D812" s="5" t="inlineStr">
        <is>
          <t>RE</t>
        </is>
      </c>
      <c r="E812" s="5" t="n">
        <v>5015573</v>
      </c>
      <c r="F812" s="5" t="inlineStr">
        <is>
          <t>4026005418</t>
        </is>
      </c>
      <c r="G812" s="5" t="inlineStr">
        <is>
          <t>EUR</t>
        </is>
      </c>
      <c r="H812" s="9" t="n">
        <v>-1387.09</v>
      </c>
      <c r="I812" s="16" t="n">
        <v>46226</v>
      </c>
      <c r="J812" s="16" t="n">
        <v>46256</v>
      </c>
      <c r="K812" s="5" t="inlineStr">
        <is>
          <t>0512/26</t>
        </is>
      </c>
      <c r="L812" s="5" t="inlineStr">
        <is>
          <t>4026005418</t>
        </is>
      </c>
      <c r="M812" s="5">
        <f>IF(YEAR(I812)&lt;=2020,"Até 2020",TEXT(YEAR(I812),"0"))</f>
        <v/>
      </c>
      <c r="N812" s="5">
        <f>IFERROR(INDEX(DePara!$A:$A,MATCH(TEXT(B812,"0"),DePara!$D:$D,0)),"(sem categoria)")</f>
        <v/>
      </c>
      <c r="O812" s="5">
        <f>IF(J812="","",Parametros!$B$6-J812)</f>
        <v/>
      </c>
      <c r="P812" s="5">
        <f>IF(O812="","",IF(O812&gt;0,1,0))</f>
        <v/>
      </c>
    </row>
    <row r="813">
      <c r="A813" s="5" t="n">
        <v>2122100000</v>
      </c>
      <c r="B813" s="5" t="inlineStr">
        <is>
          <t>IC4420</t>
        </is>
      </c>
      <c r="C813" s="5" t="inlineStr">
        <is>
          <t>NORDEX ENERGY SPAIN S A U</t>
        </is>
      </c>
      <c r="D813" s="5" t="inlineStr">
        <is>
          <t>RE</t>
        </is>
      </c>
      <c r="E813" s="5" t="n">
        <v>5015574</v>
      </c>
      <c r="F813" s="5" t="inlineStr">
        <is>
          <t>4026005422</t>
        </is>
      </c>
      <c r="G813" s="5" t="inlineStr">
        <is>
          <t>EUR</t>
        </is>
      </c>
      <c r="H813" s="9" t="n">
        <v>-7224.23</v>
      </c>
      <c r="I813" s="16" t="n">
        <v>46226</v>
      </c>
      <c r="J813" s="16" t="n">
        <v>46256</v>
      </c>
      <c r="K813" s="5" t="inlineStr">
        <is>
          <t>0512/26</t>
        </is>
      </c>
      <c r="L813" s="5" t="inlineStr">
        <is>
          <t>4026005422</t>
        </is>
      </c>
      <c r="M813" s="5">
        <f>IF(YEAR(I813)&lt;=2020,"Até 2020",TEXT(YEAR(I813),"0"))</f>
        <v/>
      </c>
      <c r="N813" s="5">
        <f>IFERROR(INDEX(DePara!$A:$A,MATCH(TEXT(B813,"0"),DePara!$D:$D,0)),"(sem categoria)")</f>
        <v/>
      </c>
      <c r="O813" s="5">
        <f>IF(J813="","",Parametros!$B$6-J813)</f>
        <v/>
      </c>
      <c r="P813" s="5">
        <f>IF(O813="","",IF(O813&gt;0,1,0))</f>
        <v/>
      </c>
    </row>
    <row r="814">
      <c r="A814" s="5" t="n">
        <v>2122100000</v>
      </c>
      <c r="B814" s="5" t="inlineStr">
        <is>
          <t>IC4420</t>
        </is>
      </c>
      <c r="C814" s="5" t="inlineStr">
        <is>
          <t>NORDEX ENERGY SPAIN S A U</t>
        </is>
      </c>
      <c r="D814" s="5" t="inlineStr">
        <is>
          <t>RE</t>
        </is>
      </c>
      <c r="E814" s="5" t="n">
        <v>5015583</v>
      </c>
      <c r="F814" s="5" t="inlineStr">
        <is>
          <t>4026005423</t>
        </is>
      </c>
      <c r="G814" s="5" t="inlineStr">
        <is>
          <t>EUR</t>
        </is>
      </c>
      <c r="H814" s="9" t="n">
        <v>-53337.4</v>
      </c>
      <c r="I814" s="16" t="n">
        <v>46226</v>
      </c>
      <c r="J814" s="16" t="n">
        <v>46256</v>
      </c>
      <c r="K814" s="5" t="inlineStr">
        <is>
          <t>0515/26</t>
        </is>
      </c>
      <c r="L814" s="5" t="inlineStr">
        <is>
          <t>4026005423</t>
        </is>
      </c>
      <c r="M814" s="5">
        <f>IF(YEAR(I814)&lt;=2020,"Até 2020",TEXT(YEAR(I814),"0"))</f>
        <v/>
      </c>
      <c r="N814" s="5">
        <f>IFERROR(INDEX(DePara!$A:$A,MATCH(TEXT(B814,"0"),DePara!$D:$D,0)),"(sem categoria)")</f>
        <v/>
      </c>
      <c r="O814" s="5">
        <f>IF(J814="","",Parametros!$B$6-J814)</f>
        <v/>
      </c>
      <c r="P814" s="5">
        <f>IF(O814="","",IF(O814&gt;0,1,0))</f>
        <v/>
      </c>
    </row>
    <row r="815">
      <c r="A815" s="5" t="n">
        <v>2122100000</v>
      </c>
      <c r="B815" s="5" t="inlineStr">
        <is>
          <t>IC4420</t>
        </is>
      </c>
      <c r="C815" s="5" t="inlineStr">
        <is>
          <t>NORDEX ENERGY SPAIN S A U</t>
        </is>
      </c>
      <c r="D815" s="5" t="inlineStr">
        <is>
          <t>RE</t>
        </is>
      </c>
      <c r="E815" s="5" t="n">
        <v>5015584</v>
      </c>
      <c r="F815" s="5" t="inlineStr">
        <is>
          <t>4026002156</t>
        </is>
      </c>
      <c r="G815" s="5" t="inlineStr">
        <is>
          <t>EUR</t>
        </is>
      </c>
      <c r="H815" s="9" t="n">
        <v>-33384.96</v>
      </c>
      <c r="I815" s="16" t="n">
        <v>46108</v>
      </c>
      <c r="J815" s="16" t="n">
        <v>46138</v>
      </c>
      <c r="K815" s="5" t="inlineStr">
        <is>
          <t>0222/26</t>
        </is>
      </c>
      <c r="L815" s="5" t="inlineStr">
        <is>
          <t>4026002156</t>
        </is>
      </c>
      <c r="M815" s="5">
        <f>IF(YEAR(I815)&lt;=2020,"Até 2020",TEXT(YEAR(I815),"0"))</f>
        <v/>
      </c>
      <c r="N815" s="5">
        <f>IFERROR(INDEX(DePara!$A:$A,MATCH(TEXT(B815,"0"),DePara!$D:$D,0)),"(sem categoria)")</f>
        <v/>
      </c>
      <c r="O815" s="5">
        <f>IF(J815="","",Parametros!$B$6-J815)</f>
        <v/>
      </c>
      <c r="P815" s="5">
        <f>IF(O815="","",IF(O815&gt;0,1,0))</f>
        <v/>
      </c>
    </row>
    <row r="816">
      <c r="A816" s="5" t="n">
        <v>2122100000</v>
      </c>
      <c r="B816" s="5" t="inlineStr">
        <is>
          <t>IC4420</t>
        </is>
      </c>
      <c r="C816" s="5" t="inlineStr">
        <is>
          <t>NORDEX ENERGY SPAIN S A U</t>
        </is>
      </c>
      <c r="D816" s="5" t="inlineStr">
        <is>
          <t>RE</t>
        </is>
      </c>
      <c r="E816" s="5" t="n">
        <v>5015585</v>
      </c>
      <c r="F816" s="5" t="inlineStr">
        <is>
          <t>4026002154</t>
        </is>
      </c>
      <c r="G816" s="5" t="inlineStr">
        <is>
          <t>EUR</t>
        </is>
      </c>
      <c r="H816" s="9" t="n">
        <v>-1034.83</v>
      </c>
      <c r="I816" s="16" t="n">
        <v>46108</v>
      </c>
      <c r="J816" s="16" t="n">
        <v>46138</v>
      </c>
      <c r="K816" s="5" t="inlineStr">
        <is>
          <t>0222/26</t>
        </is>
      </c>
      <c r="L816" s="5" t="inlineStr">
        <is>
          <t>4026002154</t>
        </is>
      </c>
      <c r="M816" s="5">
        <f>IF(YEAR(I816)&lt;=2020,"Até 2020",TEXT(YEAR(I816),"0"))</f>
        <v/>
      </c>
      <c r="N816" s="5">
        <f>IFERROR(INDEX(DePara!$A:$A,MATCH(TEXT(B816,"0"),DePara!$D:$D,0)),"(sem categoria)")</f>
        <v/>
      </c>
      <c r="O816" s="5">
        <f>IF(J816="","",Parametros!$B$6-J816)</f>
        <v/>
      </c>
      <c r="P816" s="5">
        <f>IF(O816="","",IF(O816&gt;0,1,0))</f>
        <v/>
      </c>
    </row>
    <row r="817">
      <c r="A817" s="5" t="n">
        <v>2122100000</v>
      </c>
      <c r="B817" s="5" t="inlineStr">
        <is>
          <t>IC4420</t>
        </is>
      </c>
      <c r="C817" s="5" t="inlineStr">
        <is>
          <t>NORDEX ENERGY SPAIN S A U</t>
        </is>
      </c>
      <c r="D817" s="5" t="inlineStr">
        <is>
          <t>RE</t>
        </is>
      </c>
      <c r="E817" s="5" t="n">
        <v>5015586</v>
      </c>
      <c r="F817" s="5" t="inlineStr">
        <is>
          <t>4026002155</t>
        </is>
      </c>
      <c r="G817" s="5" t="inlineStr">
        <is>
          <t>EUR</t>
        </is>
      </c>
      <c r="H817" s="9" t="n">
        <v>-19613.79</v>
      </c>
      <c r="I817" s="16" t="n">
        <v>46108</v>
      </c>
      <c r="J817" s="16" t="n">
        <v>46138</v>
      </c>
      <c r="K817" s="5" t="inlineStr">
        <is>
          <t>0222/26</t>
        </is>
      </c>
      <c r="L817" s="5" t="inlineStr">
        <is>
          <t>4026002155</t>
        </is>
      </c>
      <c r="M817" s="5">
        <f>IF(YEAR(I817)&lt;=2020,"Até 2020",TEXT(YEAR(I817),"0"))</f>
        <v/>
      </c>
      <c r="N817" s="5">
        <f>IFERROR(INDEX(DePara!$A:$A,MATCH(TEXT(B817,"0"),DePara!$D:$D,0)),"(sem categoria)")</f>
        <v/>
      </c>
      <c r="O817" s="5">
        <f>IF(J817="","",Parametros!$B$6-J817)</f>
        <v/>
      </c>
      <c r="P817" s="5">
        <f>IF(O817="","",IF(O817&gt;0,1,0))</f>
        <v/>
      </c>
    </row>
    <row r="818">
      <c r="A818" s="5" t="n">
        <v>2122100000</v>
      </c>
      <c r="B818" s="5" t="inlineStr">
        <is>
          <t>IC4420</t>
        </is>
      </c>
      <c r="C818" s="5" t="inlineStr">
        <is>
          <t>NORDEX ENERGY SPAIN S A U</t>
        </is>
      </c>
      <c r="D818" s="5" t="inlineStr">
        <is>
          <t>RE</t>
        </is>
      </c>
      <c r="E818" s="5" t="n">
        <v>5015587</v>
      </c>
      <c r="F818" s="5" t="inlineStr">
        <is>
          <t>4026004551</t>
        </is>
      </c>
      <c r="G818" s="5" t="inlineStr">
        <is>
          <t>EUR</t>
        </is>
      </c>
      <c r="H818" s="9" t="n">
        <v>-40346.32</v>
      </c>
      <c r="I818" s="16" t="n">
        <v>46188</v>
      </c>
      <c r="J818" s="16" t="n">
        <v>46218</v>
      </c>
      <c r="K818" s="5" t="inlineStr">
        <is>
          <t>0419/26</t>
        </is>
      </c>
      <c r="L818" s="5" t="inlineStr">
        <is>
          <t>4026004551</t>
        </is>
      </c>
      <c r="M818" s="5">
        <f>IF(YEAR(I818)&lt;=2020,"Até 2020",TEXT(YEAR(I818),"0"))</f>
        <v/>
      </c>
      <c r="N818" s="5">
        <f>IFERROR(INDEX(DePara!$A:$A,MATCH(TEXT(B818,"0"),DePara!$D:$D,0)),"(sem categoria)")</f>
        <v/>
      </c>
      <c r="O818" s="5">
        <f>IF(J818="","",Parametros!$B$6-J818)</f>
        <v/>
      </c>
      <c r="P818" s="5">
        <f>IF(O818="","",IF(O818&gt;0,1,0))</f>
        <v/>
      </c>
    </row>
    <row r="819">
      <c r="A819" s="5" t="n">
        <v>2122100000</v>
      </c>
      <c r="B819" s="5" t="inlineStr">
        <is>
          <t>IC4420</t>
        </is>
      </c>
      <c r="C819" s="5" t="inlineStr">
        <is>
          <t>NORDEX ENERGY SPAIN S A U</t>
        </is>
      </c>
      <c r="D819" s="5" t="inlineStr">
        <is>
          <t>RE</t>
        </is>
      </c>
      <c r="E819" s="5" t="n">
        <v>5015588</v>
      </c>
      <c r="F819" s="5" t="inlineStr">
        <is>
          <t>4026004550</t>
        </is>
      </c>
      <c r="G819" s="5" t="inlineStr">
        <is>
          <t>EUR</t>
        </is>
      </c>
      <c r="H819" s="9" t="n">
        <v>-9141.540000000001</v>
      </c>
      <c r="I819" s="16" t="n">
        <v>46188</v>
      </c>
      <c r="J819" s="16" t="n">
        <v>46218</v>
      </c>
      <c r="K819" s="5" t="inlineStr">
        <is>
          <t>0419/26</t>
        </is>
      </c>
      <c r="L819" s="5" t="inlineStr">
        <is>
          <t>4026004550</t>
        </is>
      </c>
      <c r="M819" s="5">
        <f>IF(YEAR(I819)&lt;=2020,"Até 2020",TEXT(YEAR(I819),"0"))</f>
        <v/>
      </c>
      <c r="N819" s="5">
        <f>IFERROR(INDEX(DePara!$A:$A,MATCH(TEXT(B819,"0"),DePara!$D:$D,0)),"(sem categoria)")</f>
        <v/>
      </c>
      <c r="O819" s="5">
        <f>IF(J819="","",Parametros!$B$6-J819)</f>
        <v/>
      </c>
      <c r="P819" s="5">
        <f>IF(O819="","",IF(O819&gt;0,1,0))</f>
        <v/>
      </c>
    </row>
    <row r="820">
      <c r="A820" s="5" t="n">
        <v>2122100000</v>
      </c>
      <c r="B820" s="5" t="inlineStr">
        <is>
          <t>IC4420</t>
        </is>
      </c>
      <c r="C820" s="5" t="inlineStr">
        <is>
          <t>NORDEX ENERGY SPAIN S A U</t>
        </is>
      </c>
      <c r="D820" s="5" t="inlineStr">
        <is>
          <t>RE</t>
        </is>
      </c>
      <c r="E820" s="5" t="n">
        <v>5015589</v>
      </c>
      <c r="F820" s="5" t="inlineStr">
        <is>
          <t>4026004546</t>
        </is>
      </c>
      <c r="G820" s="5" t="inlineStr">
        <is>
          <t>EUR</t>
        </is>
      </c>
      <c r="H820" s="9" t="n">
        <v>-209588.36</v>
      </c>
      <c r="I820" s="16" t="n">
        <v>46188</v>
      </c>
      <c r="J820" s="16" t="n">
        <v>46218</v>
      </c>
      <c r="K820" s="5" t="inlineStr">
        <is>
          <t>0419/26</t>
        </is>
      </c>
      <c r="L820" s="5" t="inlineStr">
        <is>
          <t>4026004546</t>
        </is>
      </c>
      <c r="M820" s="5">
        <f>IF(YEAR(I820)&lt;=2020,"Até 2020",TEXT(YEAR(I820),"0"))</f>
        <v/>
      </c>
      <c r="N820" s="5">
        <f>IFERROR(INDEX(DePara!$A:$A,MATCH(TEXT(B820,"0"),DePara!$D:$D,0)),"(sem categoria)")</f>
        <v/>
      </c>
      <c r="O820" s="5">
        <f>IF(J820="","",Parametros!$B$6-J820)</f>
        <v/>
      </c>
      <c r="P820" s="5">
        <f>IF(O820="","",IF(O820&gt;0,1,0))</f>
        <v/>
      </c>
    </row>
    <row r="821">
      <c r="A821" s="5" t="n">
        <v>2122100000</v>
      </c>
      <c r="B821" s="5" t="inlineStr">
        <is>
          <t>IC4420</t>
        </is>
      </c>
      <c r="C821" s="5" t="inlineStr">
        <is>
          <t>NORDEX ENERGY SPAIN S A U</t>
        </is>
      </c>
      <c r="D821" s="5" t="inlineStr">
        <is>
          <t>RE</t>
        </is>
      </c>
      <c r="E821" s="5" t="n">
        <v>5015590</v>
      </c>
      <c r="F821" s="5" t="inlineStr">
        <is>
          <t>4026004545</t>
        </is>
      </c>
      <c r="G821" s="5" t="inlineStr">
        <is>
          <t>EUR</t>
        </is>
      </c>
      <c r="H821" s="9" t="n">
        <v>-937.63</v>
      </c>
      <c r="I821" s="16" t="n">
        <v>46188</v>
      </c>
      <c r="J821" s="16" t="n">
        <v>46218</v>
      </c>
      <c r="K821" s="5" t="inlineStr">
        <is>
          <t>0419/26</t>
        </is>
      </c>
      <c r="L821" s="5" t="inlineStr">
        <is>
          <t>4026004545</t>
        </is>
      </c>
      <c r="M821" s="5">
        <f>IF(YEAR(I821)&lt;=2020,"Até 2020",TEXT(YEAR(I821),"0"))</f>
        <v/>
      </c>
      <c r="N821" s="5">
        <f>IFERROR(INDEX(DePara!$A:$A,MATCH(TEXT(B821,"0"),DePara!$D:$D,0)),"(sem categoria)")</f>
        <v/>
      </c>
      <c r="O821" s="5">
        <f>IF(J821="","",Parametros!$B$6-J821)</f>
        <v/>
      </c>
      <c r="P821" s="5">
        <f>IF(O821="","",IF(O821&gt;0,1,0))</f>
        <v/>
      </c>
    </row>
    <row r="822">
      <c r="A822" s="5" t="n">
        <v>2122100000</v>
      </c>
      <c r="B822" s="5" t="inlineStr">
        <is>
          <t>IC4420</t>
        </is>
      </c>
      <c r="C822" s="5" t="inlineStr">
        <is>
          <t>NORDEX ENERGY SPAIN S A U</t>
        </is>
      </c>
      <c r="D822" s="5" t="inlineStr">
        <is>
          <t>RE</t>
        </is>
      </c>
      <c r="E822" s="5" t="n">
        <v>5015591</v>
      </c>
      <c r="F822" s="5" t="inlineStr">
        <is>
          <t>4026004547</t>
        </is>
      </c>
      <c r="G822" s="5" t="inlineStr">
        <is>
          <t>EUR</t>
        </is>
      </c>
      <c r="H822" s="9" t="n">
        <v>-65582.48</v>
      </c>
      <c r="I822" s="16" t="n">
        <v>46188</v>
      </c>
      <c r="J822" s="16" t="n">
        <v>46218</v>
      </c>
      <c r="K822" s="5" t="inlineStr">
        <is>
          <t>0419/26</t>
        </is>
      </c>
      <c r="L822" s="5" t="inlineStr">
        <is>
          <t>4026004547</t>
        </is>
      </c>
      <c r="M822" s="5">
        <f>IF(YEAR(I822)&lt;=2020,"Até 2020",TEXT(YEAR(I822),"0"))</f>
        <v/>
      </c>
      <c r="N822" s="5">
        <f>IFERROR(INDEX(DePara!$A:$A,MATCH(TEXT(B822,"0"),DePara!$D:$D,0)),"(sem categoria)")</f>
        <v/>
      </c>
      <c r="O822" s="5">
        <f>IF(J822="","",Parametros!$B$6-J822)</f>
        <v/>
      </c>
      <c r="P822" s="5">
        <f>IF(O822="","",IF(O822&gt;0,1,0))</f>
        <v/>
      </c>
    </row>
    <row r="823">
      <c r="A823" s="5" t="n">
        <v>2122100000</v>
      </c>
      <c r="B823" s="5" t="inlineStr">
        <is>
          <t>IC4420</t>
        </is>
      </c>
      <c r="C823" s="5" t="inlineStr">
        <is>
          <t>NORDEX ENERGY SPAIN S A U</t>
        </is>
      </c>
      <c r="D823" s="5" t="inlineStr">
        <is>
          <t>RE</t>
        </is>
      </c>
      <c r="E823" s="5" t="n">
        <v>5015596</v>
      </c>
      <c r="F823" s="5" t="inlineStr">
        <is>
          <t>4026005021</t>
        </is>
      </c>
      <c r="G823" s="5" t="inlineStr">
        <is>
          <t>EUR</t>
        </is>
      </c>
      <c r="H823" s="9" t="n">
        <v>-107024.9</v>
      </c>
      <c r="I823" s="16" t="n">
        <v>46204</v>
      </c>
      <c r="J823" s="16" t="n">
        <v>46234</v>
      </c>
      <c r="K823" s="5" t="inlineStr">
        <is>
          <t>0447/26</t>
        </is>
      </c>
      <c r="L823" s="5" t="inlineStr">
        <is>
          <t>4026005021</t>
        </is>
      </c>
      <c r="M823" s="5">
        <f>IF(YEAR(I823)&lt;=2020,"Até 2020",TEXT(YEAR(I823),"0"))</f>
        <v/>
      </c>
      <c r="N823" s="5">
        <f>IFERROR(INDEX(DePara!$A:$A,MATCH(TEXT(B823,"0"),DePara!$D:$D,0)),"(sem categoria)")</f>
        <v/>
      </c>
      <c r="O823" s="5">
        <f>IF(J823="","",Parametros!$B$6-J823)</f>
        <v/>
      </c>
      <c r="P823" s="5">
        <f>IF(O823="","",IF(O823&gt;0,1,0))</f>
        <v/>
      </c>
    </row>
    <row r="824">
      <c r="A824" s="5" t="n">
        <v>2122100000</v>
      </c>
      <c r="B824" s="5" t="inlineStr">
        <is>
          <t>IC4420</t>
        </is>
      </c>
      <c r="C824" s="5" t="inlineStr">
        <is>
          <t>NORDEX ENERGY SPAIN S A U</t>
        </is>
      </c>
      <c r="D824" s="5" t="inlineStr">
        <is>
          <t>RE</t>
        </is>
      </c>
      <c r="E824" s="5" t="n">
        <v>5015597</v>
      </c>
      <c r="F824" s="5" t="inlineStr">
        <is>
          <t>4026005024</t>
        </is>
      </c>
      <c r="G824" s="5" t="inlineStr">
        <is>
          <t>EUR</t>
        </is>
      </c>
      <c r="H824" s="9" t="n">
        <v>-215434.64</v>
      </c>
      <c r="I824" s="16" t="n">
        <v>46204</v>
      </c>
      <c r="J824" s="16" t="n">
        <v>46234</v>
      </c>
      <c r="K824" s="5" t="inlineStr">
        <is>
          <t>0447/26</t>
        </is>
      </c>
      <c r="L824" s="5" t="inlineStr">
        <is>
          <t>4026005024</t>
        </is>
      </c>
      <c r="M824" s="5">
        <f>IF(YEAR(I824)&lt;=2020,"Até 2020",TEXT(YEAR(I824),"0"))</f>
        <v/>
      </c>
      <c r="N824" s="5">
        <f>IFERROR(INDEX(DePara!$A:$A,MATCH(TEXT(B824,"0"),DePara!$D:$D,0)),"(sem categoria)")</f>
        <v/>
      </c>
      <c r="O824" s="5">
        <f>IF(J824="","",Parametros!$B$6-J824)</f>
        <v/>
      </c>
      <c r="P824" s="5">
        <f>IF(O824="","",IF(O824&gt;0,1,0))</f>
        <v/>
      </c>
    </row>
    <row r="825">
      <c r="A825" s="5" t="n">
        <v>2122100000</v>
      </c>
      <c r="B825" s="5" t="inlineStr">
        <is>
          <t>IC4420</t>
        </is>
      </c>
      <c r="C825" s="5" t="inlineStr">
        <is>
          <t>NORDEX ENERGY SPAIN S A U</t>
        </is>
      </c>
      <c r="D825" s="5" t="inlineStr">
        <is>
          <t>RE</t>
        </is>
      </c>
      <c r="E825" s="5" t="n">
        <v>5015599</v>
      </c>
      <c r="F825" s="5" t="inlineStr">
        <is>
          <t>4026003288</t>
        </is>
      </c>
      <c r="G825" s="5" t="inlineStr">
        <is>
          <t>EUR</t>
        </is>
      </c>
      <c r="H825" s="9" t="n">
        <v>-1275.84</v>
      </c>
      <c r="I825" s="16" t="n">
        <v>46153</v>
      </c>
      <c r="J825" s="16" t="n">
        <v>46183</v>
      </c>
      <c r="K825" s="5" t="inlineStr">
        <is>
          <t>0334/26</t>
        </is>
      </c>
      <c r="L825" s="5" t="inlineStr">
        <is>
          <t>4026003288</t>
        </is>
      </c>
      <c r="M825" s="5">
        <f>IF(YEAR(I825)&lt;=2020,"Até 2020",TEXT(YEAR(I825),"0"))</f>
        <v/>
      </c>
      <c r="N825" s="5">
        <f>IFERROR(INDEX(DePara!$A:$A,MATCH(TEXT(B825,"0"),DePara!$D:$D,0)),"(sem categoria)")</f>
        <v/>
      </c>
      <c r="O825" s="5">
        <f>IF(J825="","",Parametros!$B$6-J825)</f>
        <v/>
      </c>
      <c r="P825" s="5">
        <f>IF(O825="","",IF(O825&gt;0,1,0))</f>
        <v/>
      </c>
    </row>
    <row r="826">
      <c r="A826" s="5" t="n">
        <v>2122100000</v>
      </c>
      <c r="B826" s="5" t="inlineStr">
        <is>
          <t>IC4420</t>
        </is>
      </c>
      <c r="C826" s="5" t="inlineStr">
        <is>
          <t>NORDEX ENERGY SPAIN S A U</t>
        </is>
      </c>
      <c r="D826" s="5" t="inlineStr">
        <is>
          <t>RE</t>
        </is>
      </c>
      <c r="E826" s="5" t="n">
        <v>5015600</v>
      </c>
      <c r="F826" s="5" t="inlineStr">
        <is>
          <t>4026003287</t>
        </is>
      </c>
      <c r="G826" s="5" t="inlineStr">
        <is>
          <t>EUR</t>
        </is>
      </c>
      <c r="H826" s="9" t="n">
        <v>-13207.37</v>
      </c>
      <c r="I826" s="16" t="n">
        <v>46153</v>
      </c>
      <c r="J826" s="16" t="n">
        <v>46183</v>
      </c>
      <c r="K826" s="5" t="inlineStr">
        <is>
          <t>0334/26</t>
        </is>
      </c>
      <c r="L826" s="5" t="inlineStr">
        <is>
          <t>4026003287</t>
        </is>
      </c>
      <c r="M826" s="5">
        <f>IF(YEAR(I826)&lt;=2020,"Até 2020",TEXT(YEAR(I826),"0"))</f>
        <v/>
      </c>
      <c r="N826" s="5">
        <f>IFERROR(INDEX(DePara!$A:$A,MATCH(TEXT(B826,"0"),DePara!$D:$D,0)),"(sem categoria)")</f>
        <v/>
      </c>
      <c r="O826" s="5">
        <f>IF(J826="","",Parametros!$B$6-J826)</f>
        <v/>
      </c>
      <c r="P826" s="5">
        <f>IF(O826="","",IF(O826&gt;0,1,0))</f>
        <v/>
      </c>
    </row>
    <row r="827">
      <c r="A827" s="5" t="n">
        <v>2122100000</v>
      </c>
      <c r="B827" s="5" t="inlineStr">
        <is>
          <t>IC4420</t>
        </is>
      </c>
      <c r="C827" s="5" t="inlineStr">
        <is>
          <t>NORDEX ENERGY SPAIN S A U</t>
        </is>
      </c>
      <c r="D827" s="5" t="inlineStr">
        <is>
          <t>RE</t>
        </is>
      </c>
      <c r="E827" s="5" t="n">
        <v>5015602</v>
      </c>
      <c r="F827" s="5" t="inlineStr">
        <is>
          <t>4026004878</t>
        </is>
      </c>
      <c r="G827" s="5" t="inlineStr">
        <is>
          <t>EUR</t>
        </is>
      </c>
      <c r="H827" s="9" t="n">
        <v>-14848.64</v>
      </c>
      <c r="I827" s="16" t="n">
        <v>46199</v>
      </c>
      <c r="J827" s="16" t="n">
        <v>46229</v>
      </c>
      <c r="K827" s="5" t="inlineStr">
        <is>
          <t>0443/26</t>
        </is>
      </c>
      <c r="L827" s="5" t="inlineStr">
        <is>
          <t>4026004878</t>
        </is>
      </c>
      <c r="M827" s="5">
        <f>IF(YEAR(I827)&lt;=2020,"Até 2020",TEXT(YEAR(I827),"0"))</f>
        <v/>
      </c>
      <c r="N827" s="5">
        <f>IFERROR(INDEX(DePara!$A:$A,MATCH(TEXT(B827,"0"),DePara!$D:$D,0)),"(sem categoria)")</f>
        <v/>
      </c>
      <c r="O827" s="5">
        <f>IF(J827="","",Parametros!$B$6-J827)</f>
        <v/>
      </c>
      <c r="P827" s="5">
        <f>IF(O827="","",IF(O827&gt;0,1,0))</f>
        <v/>
      </c>
    </row>
    <row r="828">
      <c r="A828" s="5" t="n">
        <v>2122100000</v>
      </c>
      <c r="B828" s="5" t="inlineStr">
        <is>
          <t>IC4420</t>
        </is>
      </c>
      <c r="C828" s="5" t="inlineStr">
        <is>
          <t>NORDEX ENERGY SPAIN S A U</t>
        </is>
      </c>
      <c r="D828" s="5" t="inlineStr">
        <is>
          <t>RE</t>
        </is>
      </c>
      <c r="E828" s="5" t="n">
        <v>5015603</v>
      </c>
      <c r="F828" s="5" t="inlineStr">
        <is>
          <t>4026004877</t>
        </is>
      </c>
      <c r="G828" s="5" t="inlineStr">
        <is>
          <t>EUR</t>
        </is>
      </c>
      <c r="H828" s="9" t="n">
        <v>-5384.42</v>
      </c>
      <c r="I828" s="16" t="n">
        <v>46199</v>
      </c>
      <c r="J828" s="16" t="n">
        <v>46229</v>
      </c>
      <c r="K828" s="5" t="inlineStr">
        <is>
          <t>0443/26</t>
        </is>
      </c>
      <c r="L828" s="5" t="inlineStr">
        <is>
          <t>4026004877</t>
        </is>
      </c>
      <c r="M828" s="5">
        <f>IF(YEAR(I828)&lt;=2020,"Até 2020",TEXT(YEAR(I828),"0"))</f>
        <v/>
      </c>
      <c r="N828" s="5">
        <f>IFERROR(INDEX(DePara!$A:$A,MATCH(TEXT(B828,"0"),DePara!$D:$D,0)),"(sem categoria)")</f>
        <v/>
      </c>
      <c r="O828" s="5">
        <f>IF(J828="","",Parametros!$B$6-J828)</f>
        <v/>
      </c>
      <c r="P828" s="5">
        <f>IF(O828="","",IF(O828&gt;0,1,0))</f>
        <v/>
      </c>
    </row>
    <row r="829">
      <c r="A829" s="5" t="n">
        <v>2122100000</v>
      </c>
      <c r="B829" s="5" t="inlineStr">
        <is>
          <t>IC4420</t>
        </is>
      </c>
      <c r="C829" s="5" t="inlineStr">
        <is>
          <t>NORDEX ENERGY SPAIN S A U</t>
        </is>
      </c>
      <c r="D829" s="5" t="inlineStr">
        <is>
          <t>RE</t>
        </is>
      </c>
      <c r="E829" s="5" t="n">
        <v>5015604</v>
      </c>
      <c r="F829" s="5" t="inlineStr">
        <is>
          <t>4026005419</t>
        </is>
      </c>
      <c r="G829" s="5" t="inlineStr">
        <is>
          <t>EUR</t>
        </is>
      </c>
      <c r="H829" s="9" t="n">
        <v>-46273.36</v>
      </c>
      <c r="I829" s="16" t="n">
        <v>46226</v>
      </c>
      <c r="J829" s="16" t="n">
        <v>46256</v>
      </c>
      <c r="K829" s="5" t="inlineStr">
        <is>
          <t>0513/26</t>
        </is>
      </c>
      <c r="L829" s="5" t="inlineStr">
        <is>
          <t>4026005419</t>
        </is>
      </c>
      <c r="M829" s="5">
        <f>IF(YEAR(I829)&lt;=2020,"Até 2020",TEXT(YEAR(I829),"0"))</f>
        <v/>
      </c>
      <c r="N829" s="5">
        <f>IFERROR(INDEX(DePara!$A:$A,MATCH(TEXT(B829,"0"),DePara!$D:$D,0)),"(sem categoria)")</f>
        <v/>
      </c>
      <c r="O829" s="5">
        <f>IF(J829="","",Parametros!$B$6-J829)</f>
        <v/>
      </c>
      <c r="P829" s="5">
        <f>IF(O829="","",IF(O829&gt;0,1,0))</f>
        <v/>
      </c>
    </row>
    <row r="830">
      <c r="A830" s="5" t="n">
        <v>2122100000</v>
      </c>
      <c r="B830" s="5" t="inlineStr">
        <is>
          <t>IC4420</t>
        </is>
      </c>
      <c r="C830" s="5" t="inlineStr">
        <is>
          <t>NORDEX ENERGY SPAIN S A U</t>
        </is>
      </c>
      <c r="D830" s="5" t="inlineStr">
        <is>
          <t>RE</t>
        </is>
      </c>
      <c r="E830" s="5" t="n">
        <v>5015605</v>
      </c>
      <c r="F830" s="5" t="inlineStr">
        <is>
          <t>4026005420</t>
        </is>
      </c>
      <c r="G830" s="5" t="inlineStr">
        <is>
          <t>EUR</t>
        </is>
      </c>
      <c r="H830" s="9" t="n">
        <v>-30028.9</v>
      </c>
      <c r="I830" s="16" t="n">
        <v>46226</v>
      </c>
      <c r="J830" s="16" t="n">
        <v>46256</v>
      </c>
      <c r="K830" s="5" t="inlineStr">
        <is>
          <t>0513/26</t>
        </is>
      </c>
      <c r="L830" s="5" t="inlineStr">
        <is>
          <t>4026005420</t>
        </is>
      </c>
      <c r="M830" s="5">
        <f>IF(YEAR(I830)&lt;=2020,"Até 2020",TEXT(YEAR(I830),"0"))</f>
        <v/>
      </c>
      <c r="N830" s="5">
        <f>IFERROR(INDEX(DePara!$A:$A,MATCH(TEXT(B830,"0"),DePara!$D:$D,0)),"(sem categoria)")</f>
        <v/>
      </c>
      <c r="O830" s="5">
        <f>IF(J830="","",Parametros!$B$6-J830)</f>
        <v/>
      </c>
      <c r="P830" s="5">
        <f>IF(O830="","",IF(O830&gt;0,1,0))</f>
        <v/>
      </c>
    </row>
    <row r="831">
      <c r="A831" s="5" t="n">
        <v>2122100000</v>
      </c>
      <c r="B831" s="5" t="inlineStr">
        <is>
          <t>IC5000</t>
        </is>
      </c>
      <c r="C831" s="5" t="inlineStr">
        <is>
          <t>NORDEX SE</t>
        </is>
      </c>
      <c r="D831" s="5" t="inlineStr">
        <is>
          <t>KR</t>
        </is>
      </c>
      <c r="E831" s="5" t="n">
        <v>5015616</v>
      </c>
      <c r="F831" s="5" t="inlineStr">
        <is>
          <t>608122</t>
        </is>
      </c>
      <c r="G831" s="5" t="inlineStr">
        <is>
          <t>EUR</t>
        </is>
      </c>
      <c r="H831" s="9" t="n">
        <v>-8199108.15</v>
      </c>
      <c r="I831" s="16" t="n">
        <v>45398</v>
      </c>
      <c r="J831" s="16" t="n">
        <v>45398</v>
      </c>
      <c r="K831" s="5" t="inlineStr">
        <is>
          <t>Vendor Invoice NORDEX SE 608122</t>
        </is>
      </c>
      <c r="L831" s="5" t="n"/>
      <c r="M831" s="5">
        <f>IF(YEAR(I831)&lt;=2020,"Até 2020",TEXT(YEAR(I831),"0"))</f>
        <v/>
      </c>
      <c r="N831" s="5">
        <f>IFERROR(INDEX(DePara!$A:$A,MATCH(TEXT(B831,"0"),DePara!$D:$D,0)),"(sem categoria)")</f>
        <v/>
      </c>
      <c r="O831" s="5">
        <f>IF(J831="","",Parametros!$B$6-J831)</f>
        <v/>
      </c>
      <c r="P831" s="5">
        <f>IF(O831="","",IF(O831&gt;0,1,0))</f>
        <v/>
      </c>
    </row>
    <row r="832">
      <c r="A832" s="5" t="n">
        <v>2122100000</v>
      </c>
      <c r="B832" s="5" t="inlineStr">
        <is>
          <t>IC4420</t>
        </is>
      </c>
      <c r="C832" s="5" t="inlineStr">
        <is>
          <t>NORDEX ENERGY SPAIN S A U</t>
        </is>
      </c>
      <c r="D832" s="5" t="inlineStr">
        <is>
          <t>RE</t>
        </is>
      </c>
      <c r="E832" s="5" t="n">
        <v>5015623</v>
      </c>
      <c r="F832" s="5" t="inlineStr">
        <is>
          <t>4026004948</t>
        </is>
      </c>
      <c r="G832" s="5" t="inlineStr">
        <is>
          <t>EUR</t>
        </is>
      </c>
      <c r="H832" s="9" t="n">
        <v>-315092.97</v>
      </c>
      <c r="I832" s="16" t="n">
        <v>46204</v>
      </c>
      <c r="J832" s="16" t="n">
        <v>46234</v>
      </c>
      <c r="K832" s="5" t="inlineStr">
        <is>
          <t>0470/26</t>
        </is>
      </c>
      <c r="L832" s="5" t="inlineStr">
        <is>
          <t>4026004948</t>
        </is>
      </c>
      <c r="M832" s="5">
        <f>IF(YEAR(I832)&lt;=2020,"Até 2020",TEXT(YEAR(I832),"0"))</f>
        <v/>
      </c>
      <c r="N832" s="5">
        <f>IFERROR(INDEX(DePara!$A:$A,MATCH(TEXT(B832,"0"),DePara!$D:$D,0)),"(sem categoria)")</f>
        <v/>
      </c>
      <c r="O832" s="5">
        <f>IF(J832="","",Parametros!$B$6-J832)</f>
        <v/>
      </c>
      <c r="P832" s="5">
        <f>IF(O832="","",IF(O832&gt;0,1,0))</f>
        <v/>
      </c>
    </row>
    <row r="833">
      <c r="A833" s="5" t="n">
        <v>2122100000</v>
      </c>
      <c r="B833" s="5" t="inlineStr">
        <is>
          <t>IC4420</t>
        </is>
      </c>
      <c r="C833" s="5" t="inlineStr">
        <is>
          <t>NORDEX ENERGY SPAIN S A U</t>
        </is>
      </c>
      <c r="D833" s="5" t="inlineStr">
        <is>
          <t>RE</t>
        </is>
      </c>
      <c r="E833" s="5" t="n">
        <v>5015624</v>
      </c>
      <c r="F833" s="5" t="inlineStr">
        <is>
          <t>4026004950</t>
        </is>
      </c>
      <c r="G833" s="5" t="inlineStr">
        <is>
          <t>EUR</t>
        </is>
      </c>
      <c r="H833" s="9" t="n">
        <v>-2063.13</v>
      </c>
      <c r="I833" s="16" t="n">
        <v>46204</v>
      </c>
      <c r="J833" s="16" t="n">
        <v>46234</v>
      </c>
      <c r="K833" s="5" t="inlineStr">
        <is>
          <t>0470/26</t>
        </is>
      </c>
      <c r="L833" s="5" t="inlineStr">
        <is>
          <t>4026004950</t>
        </is>
      </c>
      <c r="M833" s="5">
        <f>IF(YEAR(I833)&lt;=2020,"Até 2020",TEXT(YEAR(I833),"0"))</f>
        <v/>
      </c>
      <c r="N833" s="5">
        <f>IFERROR(INDEX(DePara!$A:$A,MATCH(TEXT(B833,"0"),DePara!$D:$D,0)),"(sem categoria)")</f>
        <v/>
      </c>
      <c r="O833" s="5">
        <f>IF(J833="","",Parametros!$B$6-J833)</f>
        <v/>
      </c>
      <c r="P833" s="5">
        <f>IF(O833="","",IF(O833&gt;0,1,0))</f>
        <v/>
      </c>
    </row>
    <row r="834">
      <c r="A834" s="5" t="n">
        <v>2122100000</v>
      </c>
      <c r="B834" s="5" t="inlineStr">
        <is>
          <t>IC4420</t>
        </is>
      </c>
      <c r="C834" s="5" t="inlineStr">
        <is>
          <t>NORDEX ENERGY SPAIN S A U</t>
        </is>
      </c>
      <c r="D834" s="5" t="inlineStr">
        <is>
          <t>RE</t>
        </is>
      </c>
      <c r="E834" s="5" t="n">
        <v>5015625</v>
      </c>
      <c r="F834" s="5" t="inlineStr">
        <is>
          <t>4026004949</t>
        </is>
      </c>
      <c r="G834" s="5" t="inlineStr">
        <is>
          <t>EUR</t>
        </is>
      </c>
      <c r="H834" s="9" t="n">
        <v>-228560.35</v>
      </c>
      <c r="I834" s="16" t="n">
        <v>46204</v>
      </c>
      <c r="J834" s="16" t="n">
        <v>46234</v>
      </c>
      <c r="K834" s="5" t="inlineStr">
        <is>
          <t>0470/26</t>
        </is>
      </c>
      <c r="L834" s="5" t="inlineStr">
        <is>
          <t>4026004949</t>
        </is>
      </c>
      <c r="M834" s="5">
        <f>IF(YEAR(I834)&lt;=2020,"Até 2020",TEXT(YEAR(I834),"0"))</f>
        <v/>
      </c>
      <c r="N834" s="5">
        <f>IFERROR(INDEX(DePara!$A:$A,MATCH(TEXT(B834,"0"),DePara!$D:$D,0)),"(sem categoria)")</f>
        <v/>
      </c>
      <c r="O834" s="5">
        <f>IF(J834="","",Parametros!$B$6-J834)</f>
        <v/>
      </c>
      <c r="P834" s="5">
        <f>IF(O834="","",IF(O834&gt;0,1,0))</f>
        <v/>
      </c>
    </row>
    <row r="835">
      <c r="A835" s="5" t="n">
        <v>2122100000</v>
      </c>
      <c r="B835" s="5" t="inlineStr">
        <is>
          <t>IC1000</t>
        </is>
      </c>
      <c r="C835" s="5" t="inlineStr">
        <is>
          <t>NORDEX ENERGY SE &amp; CO KG</t>
        </is>
      </c>
      <c r="D835" s="5" t="inlineStr">
        <is>
          <t>RE</t>
        </is>
      </c>
      <c r="E835" s="5" t="n">
        <v>5015635</v>
      </c>
      <c r="F835" s="5" t="inlineStr">
        <is>
          <t>387865</t>
        </is>
      </c>
      <c r="G835" s="5" t="inlineStr">
        <is>
          <t>EUR</t>
        </is>
      </c>
      <c r="H835" s="9" t="n">
        <v>-12577.31</v>
      </c>
      <c r="I835" s="16" t="n">
        <v>46090</v>
      </c>
      <c r="J835" s="16" t="n">
        <v>46120</v>
      </c>
      <c r="K835" s="5" t="inlineStr">
        <is>
          <t>0162/26</t>
        </is>
      </c>
      <c r="L835" s="5" t="inlineStr">
        <is>
          <t>387865</t>
        </is>
      </c>
      <c r="M835" s="5">
        <f>IF(YEAR(I835)&lt;=2020,"Até 2020",TEXT(YEAR(I835),"0"))</f>
        <v/>
      </c>
      <c r="N835" s="5">
        <f>IFERROR(INDEX(DePara!$A:$A,MATCH(TEXT(B835,"0"),DePara!$D:$D,0)),"(sem categoria)")</f>
        <v/>
      </c>
      <c r="O835" s="5">
        <f>IF(J835="","",Parametros!$B$6-J835)</f>
        <v/>
      </c>
      <c r="P835" s="5">
        <f>IF(O835="","",IF(O835&gt;0,1,0))</f>
        <v/>
      </c>
    </row>
    <row r="836">
      <c r="A836" s="5" t="n">
        <v>2122100000</v>
      </c>
      <c r="B836" s="5" t="inlineStr">
        <is>
          <t>IC4420</t>
        </is>
      </c>
      <c r="C836" s="5" t="inlineStr">
        <is>
          <t>NORDEX ENERGY SPAIN S A U</t>
        </is>
      </c>
      <c r="D836" s="5" t="inlineStr">
        <is>
          <t>RE</t>
        </is>
      </c>
      <c r="E836" s="5" t="n">
        <v>5015642</v>
      </c>
      <c r="F836" s="5" t="inlineStr">
        <is>
          <t>4026001259</t>
        </is>
      </c>
      <c r="G836" s="5" t="inlineStr">
        <is>
          <t>EUR</t>
        </is>
      </c>
      <c r="H836" s="9" t="n">
        <v>-96696.5</v>
      </c>
      <c r="I836" s="16" t="n">
        <v>46073</v>
      </c>
      <c r="J836" s="16" t="n">
        <v>46103</v>
      </c>
      <c r="K836" s="5" t="inlineStr">
        <is>
          <t>0093/26</t>
        </is>
      </c>
      <c r="L836" s="5" t="inlineStr">
        <is>
          <t>4026001259</t>
        </is>
      </c>
      <c r="M836" s="5">
        <f>IF(YEAR(I836)&lt;=2020,"Até 2020",TEXT(YEAR(I836),"0"))</f>
        <v/>
      </c>
      <c r="N836" s="5">
        <f>IFERROR(INDEX(DePara!$A:$A,MATCH(TEXT(B836,"0"),DePara!$D:$D,0)),"(sem categoria)")</f>
        <v/>
      </c>
      <c r="O836" s="5">
        <f>IF(J836="","",Parametros!$B$6-J836)</f>
        <v/>
      </c>
      <c r="P836" s="5">
        <f>IF(O836="","",IF(O836&gt;0,1,0))</f>
        <v/>
      </c>
    </row>
    <row r="837">
      <c r="A837" s="5" t="n">
        <v>2122100000</v>
      </c>
      <c r="B837" s="5" t="inlineStr">
        <is>
          <t>IC4420</t>
        </is>
      </c>
      <c r="C837" s="5" t="inlineStr">
        <is>
          <t>NORDEX ENERGY SPAIN S A U</t>
        </is>
      </c>
      <c r="D837" s="5" t="inlineStr">
        <is>
          <t>RE</t>
        </is>
      </c>
      <c r="E837" s="5" t="n">
        <v>5015687</v>
      </c>
      <c r="F837" s="5" t="inlineStr">
        <is>
          <t>4026005424</t>
        </is>
      </c>
      <c r="G837" s="5" t="inlineStr">
        <is>
          <t>EUR</t>
        </is>
      </c>
      <c r="H837" s="9" t="n">
        <v>-24795.28</v>
      </c>
      <c r="I837" s="16" t="n">
        <v>46226</v>
      </c>
      <c r="J837" s="16" t="n">
        <v>46256</v>
      </c>
      <c r="K837" s="5" t="inlineStr">
        <is>
          <t>0516/26</t>
        </is>
      </c>
      <c r="L837" s="5" t="inlineStr">
        <is>
          <t>4026005424</t>
        </is>
      </c>
      <c r="M837" s="5">
        <f>IF(YEAR(I837)&lt;=2020,"Até 2020",TEXT(YEAR(I837),"0"))</f>
        <v/>
      </c>
      <c r="N837" s="5">
        <f>IFERROR(INDEX(DePara!$A:$A,MATCH(TEXT(B837,"0"),DePara!$D:$D,0)),"(sem categoria)")</f>
        <v/>
      </c>
      <c r="O837" s="5">
        <f>IF(J837="","",Parametros!$B$6-J837)</f>
        <v/>
      </c>
      <c r="P837" s="5">
        <f>IF(O837="","",IF(O837&gt;0,1,0))</f>
        <v/>
      </c>
    </row>
    <row r="838">
      <c r="A838" s="5" t="n">
        <v>2122100000</v>
      </c>
      <c r="B838" s="5" t="inlineStr">
        <is>
          <t>IC4420</t>
        </is>
      </c>
      <c r="C838" s="5" t="inlineStr">
        <is>
          <t>NORDEX ENERGY SPAIN S A U</t>
        </is>
      </c>
      <c r="D838" s="5" t="inlineStr">
        <is>
          <t>RE</t>
        </is>
      </c>
      <c r="E838" s="5" t="n">
        <v>5015725</v>
      </c>
      <c r="F838" s="5" t="inlineStr">
        <is>
          <t>4026005843</t>
        </is>
      </c>
      <c r="G838" s="5" t="inlineStr">
        <is>
          <t>EUR</t>
        </is>
      </c>
      <c r="H838" s="9" t="n">
        <v>-12951.46</v>
      </c>
      <c r="I838" s="16" t="n">
        <v>46246</v>
      </c>
      <c r="J838" s="16" t="n">
        <v>46276</v>
      </c>
      <c r="K838" s="5" t="inlineStr">
        <is>
          <t>0523/26</t>
        </is>
      </c>
      <c r="L838" s="5" t="inlineStr">
        <is>
          <t>4026005843</t>
        </is>
      </c>
      <c r="M838" s="5">
        <f>IF(YEAR(I838)&lt;=2020,"Até 2020",TEXT(YEAR(I838),"0"))</f>
        <v/>
      </c>
      <c r="N838" s="5">
        <f>IFERROR(INDEX(DePara!$A:$A,MATCH(TEXT(B838,"0"),DePara!$D:$D,0)),"(sem categoria)")</f>
        <v/>
      </c>
      <c r="O838" s="5">
        <f>IF(J838="","",Parametros!$B$6-J838)</f>
        <v/>
      </c>
      <c r="P838" s="5">
        <f>IF(O838="","",IF(O838&gt;0,1,0))</f>
        <v/>
      </c>
    </row>
    <row r="839">
      <c r="A839" s="5" t="n">
        <v>2122100000</v>
      </c>
      <c r="B839" s="5" t="inlineStr">
        <is>
          <t>IC5000</t>
        </is>
      </c>
      <c r="C839" s="5" t="inlineStr">
        <is>
          <t>NORDEX SE</t>
        </is>
      </c>
      <c r="D839" s="5" t="inlineStr">
        <is>
          <t>KR</t>
        </is>
      </c>
      <c r="E839" s="5" t="n">
        <v>5015786</v>
      </c>
      <c r="F839" s="5" t="inlineStr">
        <is>
          <t>608101</t>
        </is>
      </c>
      <c r="G839" s="5" t="inlineStr">
        <is>
          <t>EUR</t>
        </is>
      </c>
      <c r="H839" s="9" t="n">
        <v>-3567311.71</v>
      </c>
      <c r="I839" s="16" t="n">
        <v>45391</v>
      </c>
      <c r="J839" s="16" t="n">
        <v>45391</v>
      </c>
      <c r="K839" s="5" t="inlineStr">
        <is>
          <t>Vendor Invoice NORDEX SE 608101</t>
        </is>
      </c>
      <c r="L839" s="5" t="n"/>
      <c r="M839" s="5">
        <f>IF(YEAR(I839)&lt;=2020,"Até 2020",TEXT(YEAR(I839),"0"))</f>
        <v/>
      </c>
      <c r="N839" s="5">
        <f>IFERROR(INDEX(DePara!$A:$A,MATCH(TEXT(B839,"0"),DePara!$D:$D,0)),"(sem categoria)")</f>
        <v/>
      </c>
      <c r="O839" s="5">
        <f>IF(J839="","",Parametros!$B$6-J839)</f>
        <v/>
      </c>
      <c r="P839" s="5">
        <f>IF(O839="","",IF(O839&gt;0,1,0))</f>
        <v/>
      </c>
    </row>
    <row r="840">
      <c r="A840" s="5" t="n">
        <v>2122100000</v>
      </c>
      <c r="B840" s="5" t="inlineStr">
        <is>
          <t>IC5000</t>
        </is>
      </c>
      <c r="C840" s="5" t="inlineStr">
        <is>
          <t>NORDEX SE</t>
        </is>
      </c>
      <c r="D840" s="5" t="inlineStr">
        <is>
          <t>KR</t>
        </is>
      </c>
      <c r="E840" s="5" t="n">
        <v>5015787</v>
      </c>
      <c r="F840" s="5" t="inlineStr">
        <is>
          <t>608191</t>
        </is>
      </c>
      <c r="G840" s="5" t="inlineStr">
        <is>
          <t>EUR</t>
        </is>
      </c>
      <c r="H840" s="9" t="n">
        <v>-4630461.53</v>
      </c>
      <c r="I840" s="16" t="n">
        <v>45407</v>
      </c>
      <c r="J840" s="16" t="n">
        <v>45407</v>
      </c>
      <c r="K840" s="5" t="inlineStr">
        <is>
          <t>Vendor Invoice NORDEX SE 608191</t>
        </is>
      </c>
      <c r="L840" s="5" t="n"/>
      <c r="M840" s="5">
        <f>IF(YEAR(I840)&lt;=2020,"Até 2020",TEXT(YEAR(I840),"0"))</f>
        <v/>
      </c>
      <c r="N840" s="5">
        <f>IFERROR(INDEX(DePara!$A:$A,MATCH(TEXT(B840,"0"),DePara!$D:$D,0)),"(sem categoria)")</f>
        <v/>
      </c>
      <c r="O840" s="5">
        <f>IF(J840="","",Parametros!$B$6-J840)</f>
        <v/>
      </c>
      <c r="P840" s="5">
        <f>IF(O840="","",IF(O840&gt;0,1,0))</f>
        <v/>
      </c>
    </row>
    <row r="841">
      <c r="A841" s="5" t="n">
        <v>2122100000</v>
      </c>
      <c r="B841" s="5" t="inlineStr">
        <is>
          <t>IC1000</t>
        </is>
      </c>
      <c r="C841" s="5" t="inlineStr">
        <is>
          <t>NORDEX ENERGY SE &amp; CO KG</t>
        </is>
      </c>
      <c r="D841" s="5" t="inlineStr">
        <is>
          <t>RE</t>
        </is>
      </c>
      <c r="E841" s="5" t="n">
        <v>5015840</v>
      </c>
      <c r="F841" s="5" t="inlineStr">
        <is>
          <t>4012430367</t>
        </is>
      </c>
      <c r="G841" s="5" t="inlineStr">
        <is>
          <t>EUR</t>
        </is>
      </c>
      <c r="H841" s="9" t="n">
        <v>-46146452.96</v>
      </c>
      <c r="I841" s="16" t="n">
        <v>45678</v>
      </c>
      <c r="J841" s="16" t="n">
        <v>45708</v>
      </c>
      <c r="K841" s="5" t="inlineStr">
        <is>
          <t>0078/25</t>
        </is>
      </c>
      <c r="L841" s="5" t="inlineStr">
        <is>
          <t>4012430367</t>
        </is>
      </c>
      <c r="M841" s="5">
        <f>IF(YEAR(I841)&lt;=2020,"Até 2020",TEXT(YEAR(I841),"0"))</f>
        <v/>
      </c>
      <c r="N841" s="5">
        <f>IFERROR(INDEX(DePara!$A:$A,MATCH(TEXT(B841,"0"),DePara!$D:$D,0)),"(sem categoria)")</f>
        <v/>
      </c>
      <c r="O841" s="5">
        <f>IF(J841="","",Parametros!$B$6-J841)</f>
        <v/>
      </c>
      <c r="P841" s="5">
        <f>IF(O841="","",IF(O841&gt;0,1,0))</f>
        <v/>
      </c>
    </row>
    <row r="842">
      <c r="A842" s="5" t="n">
        <v>2122100000</v>
      </c>
      <c r="B842" s="5" t="inlineStr">
        <is>
          <t>IC4420</t>
        </is>
      </c>
      <c r="C842" s="5" t="inlineStr">
        <is>
          <t>NORDEX ENERGY SPAIN S A U</t>
        </is>
      </c>
      <c r="D842" s="5" t="inlineStr">
        <is>
          <t>RE</t>
        </is>
      </c>
      <c r="E842" s="5" t="n">
        <v>5015896</v>
      </c>
      <c r="F842" s="5" t="inlineStr">
        <is>
          <t>4026005900</t>
        </is>
      </c>
      <c r="G842" s="5" t="inlineStr">
        <is>
          <t>EUR</t>
        </is>
      </c>
      <c r="H842" s="9" t="n">
        <v>-9821.02</v>
      </c>
      <c r="I842" s="16" t="n">
        <v>46248</v>
      </c>
      <c r="J842" s="16" t="n">
        <v>46278</v>
      </c>
      <c r="K842" s="5" t="inlineStr">
        <is>
          <t>0533/26</t>
        </is>
      </c>
      <c r="L842" s="5" t="inlineStr">
        <is>
          <t>4026005900</t>
        </is>
      </c>
      <c r="M842" s="5">
        <f>IF(YEAR(I842)&lt;=2020,"Até 2020",TEXT(YEAR(I842),"0"))</f>
        <v/>
      </c>
      <c r="N842" s="5">
        <f>IFERROR(INDEX(DePara!$A:$A,MATCH(TEXT(B842,"0"),DePara!$D:$D,0)),"(sem categoria)")</f>
        <v/>
      </c>
      <c r="O842" s="5">
        <f>IF(J842="","",Parametros!$B$6-J842)</f>
        <v/>
      </c>
      <c r="P842" s="5">
        <f>IF(O842="","",IF(O842&gt;0,1,0))</f>
        <v/>
      </c>
    </row>
    <row r="843">
      <c r="A843" s="5" t="n">
        <v>2122100000</v>
      </c>
      <c r="B843" s="5" t="inlineStr">
        <is>
          <t>IC1000</t>
        </is>
      </c>
      <c r="C843" s="5" t="inlineStr">
        <is>
          <t>NORDEX ENERGY SE &amp; CO KG</t>
        </is>
      </c>
      <c r="D843" s="5" t="inlineStr">
        <is>
          <t>RE</t>
        </is>
      </c>
      <c r="E843" s="5" t="n">
        <v>5015912</v>
      </c>
      <c r="F843" s="5" t="inlineStr">
        <is>
          <t>99040</t>
        </is>
      </c>
      <c r="G843" s="5" t="inlineStr">
        <is>
          <t>EUR</t>
        </is>
      </c>
      <c r="H843" s="9" t="n">
        <v>-13253.83</v>
      </c>
      <c r="I843" s="16" t="n">
        <v>46225</v>
      </c>
      <c r="J843" s="16" t="n">
        <v>46255</v>
      </c>
      <c r="K843" s="5" t="inlineStr">
        <is>
          <t>0499/26</t>
        </is>
      </c>
      <c r="L843" s="5" t="inlineStr">
        <is>
          <t>99040</t>
        </is>
      </c>
      <c r="M843" s="5">
        <f>IF(YEAR(I843)&lt;=2020,"Até 2020",TEXT(YEAR(I843),"0"))</f>
        <v/>
      </c>
      <c r="N843" s="5">
        <f>IFERROR(INDEX(DePara!$A:$A,MATCH(TEXT(B843,"0"),DePara!$D:$D,0)),"(sem categoria)")</f>
        <v/>
      </c>
      <c r="O843" s="5">
        <f>IF(J843="","",Parametros!$B$6-J843)</f>
        <v/>
      </c>
      <c r="P843" s="5">
        <f>IF(O843="","",IF(O843&gt;0,1,0))</f>
        <v/>
      </c>
    </row>
    <row r="844">
      <c r="A844" s="5" t="n">
        <v>2122100000</v>
      </c>
      <c r="B844" s="5" t="inlineStr">
        <is>
          <t>IC1000</t>
        </is>
      </c>
      <c r="C844" s="5" t="inlineStr">
        <is>
          <t>NORDEX ENERGY SE &amp; CO KG</t>
        </is>
      </c>
      <c r="D844" s="5" t="inlineStr">
        <is>
          <t>RE</t>
        </is>
      </c>
      <c r="E844" s="5" t="n">
        <v>5015913</v>
      </c>
      <c r="F844" s="5" t="inlineStr">
        <is>
          <t>99041</t>
        </is>
      </c>
      <c r="G844" s="5" t="inlineStr">
        <is>
          <t>EUR</t>
        </is>
      </c>
      <c r="H844" s="9" t="n">
        <v>-13253.83</v>
      </c>
      <c r="I844" s="16" t="n">
        <v>46225</v>
      </c>
      <c r="J844" s="16" t="n">
        <v>46255</v>
      </c>
      <c r="K844" s="5" t="inlineStr">
        <is>
          <t>0499/26</t>
        </is>
      </c>
      <c r="L844" s="5" t="inlineStr">
        <is>
          <t>99041</t>
        </is>
      </c>
      <c r="M844" s="5">
        <f>IF(YEAR(I844)&lt;=2020,"Até 2020",TEXT(YEAR(I844),"0"))</f>
        <v/>
      </c>
      <c r="N844" s="5">
        <f>IFERROR(INDEX(DePara!$A:$A,MATCH(TEXT(B844,"0"),DePara!$D:$D,0)),"(sem categoria)")</f>
        <v/>
      </c>
      <c r="O844" s="5">
        <f>IF(J844="","",Parametros!$B$6-J844)</f>
        <v/>
      </c>
      <c r="P844" s="5">
        <f>IF(O844="","",IF(O844&gt;0,1,0))</f>
        <v/>
      </c>
    </row>
    <row r="845">
      <c r="A845" s="5" t="n">
        <v>2122100000</v>
      </c>
      <c r="B845" s="5" t="inlineStr">
        <is>
          <t>IC4420</t>
        </is>
      </c>
      <c r="C845" s="5" t="inlineStr">
        <is>
          <t>NORDEX ENERGY SPAIN S A U</t>
        </is>
      </c>
      <c r="D845" s="5" t="inlineStr">
        <is>
          <t>RE</t>
        </is>
      </c>
      <c r="E845" s="5" t="n">
        <v>5015924</v>
      </c>
      <c r="F845" s="5" t="inlineStr">
        <is>
          <t>4024002128</t>
        </is>
      </c>
      <c r="G845" s="5" t="inlineStr">
        <is>
          <t>EUR</t>
        </is>
      </c>
      <c r="H845" s="9" t="n">
        <v>-1310540.27</v>
      </c>
      <c r="I845" s="16" t="n">
        <v>45377</v>
      </c>
      <c r="J845" s="16" t="n">
        <v>45407</v>
      </c>
      <c r="K845" s="5" t="inlineStr">
        <is>
          <t>0220/24</t>
        </is>
      </c>
      <c r="L845" s="5" t="inlineStr">
        <is>
          <t>4024002128</t>
        </is>
      </c>
      <c r="M845" s="5">
        <f>IF(YEAR(I845)&lt;=2020,"Até 2020",TEXT(YEAR(I845),"0"))</f>
        <v/>
      </c>
      <c r="N845" s="5">
        <f>IFERROR(INDEX(DePara!$A:$A,MATCH(TEXT(B845,"0"),DePara!$D:$D,0)),"(sem categoria)")</f>
        <v/>
      </c>
      <c r="O845" s="5">
        <f>IF(J845="","",Parametros!$B$6-J845)</f>
        <v/>
      </c>
      <c r="P845" s="5">
        <f>IF(O845="","",IF(O845&gt;0,1,0))</f>
        <v/>
      </c>
    </row>
    <row r="846">
      <c r="A846" s="5" t="n">
        <v>2122100000</v>
      </c>
      <c r="B846" s="5" t="inlineStr">
        <is>
          <t>IC1000</t>
        </is>
      </c>
      <c r="C846" s="5" t="inlineStr">
        <is>
          <t>NORDEX ENERGY SE &amp; CO KG</t>
        </is>
      </c>
      <c r="D846" s="5" t="inlineStr">
        <is>
          <t>RE</t>
        </is>
      </c>
      <c r="E846" s="5" t="n">
        <v>5015927</v>
      </c>
      <c r="F846" s="5" t="inlineStr">
        <is>
          <t>RITM0431065-OT1</t>
        </is>
      </c>
      <c r="G846" s="5" t="inlineStr">
        <is>
          <t>EUR</t>
        </is>
      </c>
      <c r="H846" s="9" t="n">
        <v>-233231.9</v>
      </c>
      <c r="I846" s="16" t="n">
        <v>45614</v>
      </c>
      <c r="J846" s="16" t="n">
        <v>45644</v>
      </c>
      <c r="K846" s="5" t="inlineStr">
        <is>
          <t>0125/25</t>
        </is>
      </c>
      <c r="L846" s="5" t="inlineStr">
        <is>
          <t>RITM0431065-OT1</t>
        </is>
      </c>
      <c r="M846" s="5">
        <f>IF(YEAR(I846)&lt;=2020,"Até 2020",TEXT(YEAR(I846),"0"))</f>
        <v/>
      </c>
      <c r="N846" s="5">
        <f>IFERROR(INDEX(DePara!$A:$A,MATCH(TEXT(B846,"0"),DePara!$D:$D,0)),"(sem categoria)")</f>
        <v/>
      </c>
      <c r="O846" s="5">
        <f>IF(J846="","",Parametros!$B$6-J846)</f>
        <v/>
      </c>
      <c r="P846" s="5">
        <f>IF(O846="","",IF(O846&gt;0,1,0))</f>
        <v/>
      </c>
    </row>
    <row r="847">
      <c r="A847" s="5" t="n">
        <v>2122100000</v>
      </c>
      <c r="B847" s="5" t="inlineStr">
        <is>
          <t>IC4420</t>
        </is>
      </c>
      <c r="C847" s="5" t="inlineStr">
        <is>
          <t>NORDEX ENERGY SPAIN S A U</t>
        </is>
      </c>
      <c r="D847" s="5" t="inlineStr">
        <is>
          <t>RE</t>
        </is>
      </c>
      <c r="E847" s="5" t="n">
        <v>5015938</v>
      </c>
      <c r="F847" s="5" t="inlineStr">
        <is>
          <t>4026005580</t>
        </is>
      </c>
      <c r="G847" s="5" t="inlineStr">
        <is>
          <t>EUR</t>
        </is>
      </c>
      <c r="H847" s="9" t="n">
        <v>-3933.38</v>
      </c>
      <c r="I847" s="16" t="n">
        <v>46231</v>
      </c>
      <c r="J847" s="16" t="n">
        <v>46261</v>
      </c>
      <c r="K847" s="5" t="inlineStr">
        <is>
          <t>0498/26</t>
        </is>
      </c>
      <c r="L847" s="5" t="inlineStr">
        <is>
          <t>4026005580</t>
        </is>
      </c>
      <c r="M847" s="5">
        <f>IF(YEAR(I847)&lt;=2020,"Até 2020",TEXT(YEAR(I847),"0"))</f>
        <v/>
      </c>
      <c r="N847" s="5">
        <f>IFERROR(INDEX(DePara!$A:$A,MATCH(TEXT(B847,"0"),DePara!$D:$D,0)),"(sem categoria)")</f>
        <v/>
      </c>
      <c r="O847" s="5">
        <f>IF(J847="","",Parametros!$B$6-J847)</f>
        <v/>
      </c>
      <c r="P847" s="5">
        <f>IF(O847="","",IF(O847&gt;0,1,0))</f>
        <v/>
      </c>
    </row>
    <row r="848">
      <c r="A848" s="5" t="n">
        <v>2122100000</v>
      </c>
      <c r="B848" s="5" t="inlineStr">
        <is>
          <t>IC4420</t>
        </is>
      </c>
      <c r="C848" s="5" t="inlineStr">
        <is>
          <t>NORDEX ENERGY SPAIN S A U</t>
        </is>
      </c>
      <c r="D848" s="5" t="inlineStr">
        <is>
          <t>RE</t>
        </is>
      </c>
      <c r="E848" s="5" t="n">
        <v>5015939</v>
      </c>
      <c r="F848" s="5" t="inlineStr">
        <is>
          <t>4026005576</t>
        </is>
      </c>
      <c r="G848" s="5" t="inlineStr">
        <is>
          <t>EUR</t>
        </is>
      </c>
      <c r="H848" s="9" t="n">
        <v>-36885.1</v>
      </c>
      <c r="I848" s="16" t="n">
        <v>46231</v>
      </c>
      <c r="J848" s="16" t="n">
        <v>46261</v>
      </c>
      <c r="K848" s="5" t="inlineStr">
        <is>
          <t>0520/26</t>
        </is>
      </c>
      <c r="L848" s="5" t="inlineStr">
        <is>
          <t>4026005576</t>
        </is>
      </c>
      <c r="M848" s="5">
        <f>IF(YEAR(I848)&lt;=2020,"Até 2020",TEXT(YEAR(I848),"0"))</f>
        <v/>
      </c>
      <c r="N848" s="5">
        <f>IFERROR(INDEX(DePara!$A:$A,MATCH(TEXT(B848,"0"),DePara!$D:$D,0)),"(sem categoria)")</f>
        <v/>
      </c>
      <c r="O848" s="5">
        <f>IF(J848="","",Parametros!$B$6-J848)</f>
        <v/>
      </c>
      <c r="P848" s="5">
        <f>IF(O848="","",IF(O848&gt;0,1,0))</f>
        <v/>
      </c>
    </row>
    <row r="849">
      <c r="A849" s="5" t="n">
        <v>2122100000</v>
      </c>
      <c r="B849" s="5" t="inlineStr">
        <is>
          <t>IC4420</t>
        </is>
      </c>
      <c r="C849" s="5" t="inlineStr">
        <is>
          <t>NORDEX ENERGY SPAIN S A U</t>
        </is>
      </c>
      <c r="D849" s="5" t="inlineStr">
        <is>
          <t>RE</t>
        </is>
      </c>
      <c r="E849" s="5" t="n">
        <v>5015940</v>
      </c>
      <c r="F849" s="5" t="inlineStr">
        <is>
          <t>4026005772</t>
        </is>
      </c>
      <c r="G849" s="5" t="inlineStr">
        <is>
          <t>EUR</t>
        </is>
      </c>
      <c r="H849" s="9" t="n">
        <v>-2354.59</v>
      </c>
      <c r="I849" s="16" t="n">
        <v>46240</v>
      </c>
      <c r="J849" s="16" t="n">
        <v>46270</v>
      </c>
      <c r="K849" s="5" t="inlineStr">
        <is>
          <t>0522/26</t>
        </is>
      </c>
      <c r="L849" s="5" t="inlineStr">
        <is>
          <t>4026005772</t>
        </is>
      </c>
      <c r="M849" s="5">
        <f>IF(YEAR(I849)&lt;=2020,"Até 2020",TEXT(YEAR(I849),"0"))</f>
        <v/>
      </c>
      <c r="N849" s="5">
        <f>IFERROR(INDEX(DePara!$A:$A,MATCH(TEXT(B849,"0"),DePara!$D:$D,0)),"(sem categoria)")</f>
        <v/>
      </c>
      <c r="O849" s="5">
        <f>IF(J849="","",Parametros!$B$6-J849)</f>
        <v/>
      </c>
      <c r="P849" s="5">
        <f>IF(O849="","",IF(O849&gt;0,1,0))</f>
        <v/>
      </c>
    </row>
    <row r="850">
      <c r="A850" s="5" t="n">
        <v>2122100000</v>
      </c>
      <c r="B850" s="5" t="inlineStr">
        <is>
          <t>IC1000</t>
        </is>
      </c>
      <c r="C850" s="5" t="inlineStr">
        <is>
          <t>NORDEX ENERGY SE &amp; CO KG</t>
        </is>
      </c>
      <c r="D850" s="5" t="inlineStr">
        <is>
          <t>RE</t>
        </is>
      </c>
      <c r="E850" s="5" t="n">
        <v>5015941</v>
      </c>
      <c r="F850" s="5" t="inlineStr">
        <is>
          <t>99053</t>
        </is>
      </c>
      <c r="G850" s="5" t="inlineStr">
        <is>
          <t>EUR</t>
        </is>
      </c>
      <c r="H850" s="9" t="n">
        <v>-14957.7</v>
      </c>
      <c r="I850" s="16" t="n">
        <v>46237</v>
      </c>
      <c r="J850" s="16" t="n">
        <v>46267</v>
      </c>
      <c r="K850" s="5" t="inlineStr">
        <is>
          <t>0521/26</t>
        </is>
      </c>
      <c r="L850" s="5" t="inlineStr">
        <is>
          <t>99053</t>
        </is>
      </c>
      <c r="M850" s="5">
        <f>IF(YEAR(I850)&lt;=2020,"Até 2020",TEXT(YEAR(I850),"0"))</f>
        <v/>
      </c>
      <c r="N850" s="5">
        <f>IFERROR(INDEX(DePara!$A:$A,MATCH(TEXT(B850,"0"),DePara!$D:$D,0)),"(sem categoria)")</f>
        <v/>
      </c>
      <c r="O850" s="5">
        <f>IF(J850="","",Parametros!$B$6-J850)</f>
        <v/>
      </c>
      <c r="P850" s="5">
        <f>IF(O850="","",IF(O850&gt;0,1,0))</f>
        <v/>
      </c>
    </row>
    <row r="851">
      <c r="A851" s="5" t="n">
        <v>2122100000</v>
      </c>
      <c r="B851" s="5" t="inlineStr">
        <is>
          <t>IC4420</t>
        </is>
      </c>
      <c r="C851" s="5" t="inlineStr">
        <is>
          <t>NORDEX ENERGY SPAIN S A U</t>
        </is>
      </c>
      <c r="D851" s="5" t="inlineStr">
        <is>
          <t>RE</t>
        </is>
      </c>
      <c r="E851" s="5" t="n">
        <v>5015942</v>
      </c>
      <c r="F851" s="5" t="inlineStr">
        <is>
          <t>4026005575</t>
        </is>
      </c>
      <c r="G851" s="5" t="inlineStr">
        <is>
          <t>EUR</t>
        </is>
      </c>
      <c r="H851" s="9" t="n">
        <v>-188964.18</v>
      </c>
      <c r="I851" s="16" t="n">
        <v>46231</v>
      </c>
      <c r="J851" s="16" t="n">
        <v>46261</v>
      </c>
      <c r="K851" s="5" t="inlineStr">
        <is>
          <t>0519/26</t>
        </is>
      </c>
      <c r="L851" s="5" t="inlineStr">
        <is>
          <t>4026005575</t>
        </is>
      </c>
      <c r="M851" s="5">
        <f>IF(YEAR(I851)&lt;=2020,"Até 2020",TEXT(YEAR(I851),"0"))</f>
        <v/>
      </c>
      <c r="N851" s="5">
        <f>IFERROR(INDEX(DePara!$A:$A,MATCH(TEXT(B851,"0"),DePara!$D:$D,0)),"(sem categoria)")</f>
        <v/>
      </c>
      <c r="O851" s="5">
        <f>IF(J851="","",Parametros!$B$6-J851)</f>
        <v/>
      </c>
      <c r="P851" s="5">
        <f>IF(O851="","",IF(O851&gt;0,1,0))</f>
        <v/>
      </c>
    </row>
    <row r="852">
      <c r="A852" s="5" t="n">
        <v>2122100000</v>
      </c>
      <c r="B852" s="5" t="inlineStr">
        <is>
          <t>IC4420</t>
        </is>
      </c>
      <c r="C852" s="5" t="inlineStr">
        <is>
          <t>NORDEX ENERGY SPAIN S A U</t>
        </is>
      </c>
      <c r="D852" s="5" t="inlineStr">
        <is>
          <t>RE</t>
        </is>
      </c>
      <c r="E852" s="5" t="n">
        <v>5015943</v>
      </c>
      <c r="F852" s="5" t="inlineStr">
        <is>
          <t>4026004112</t>
        </is>
      </c>
      <c r="G852" s="5" t="inlineStr">
        <is>
          <t>EUR</t>
        </is>
      </c>
      <c r="H852" s="9" t="n">
        <v>-3867.06</v>
      </c>
      <c r="I852" s="16" t="n">
        <v>46175</v>
      </c>
      <c r="J852" s="16" t="n">
        <v>46205</v>
      </c>
      <c r="K852" s="5" t="inlineStr">
        <is>
          <t>0381/26</t>
        </is>
      </c>
      <c r="L852" s="5" t="inlineStr">
        <is>
          <t>4026004112</t>
        </is>
      </c>
      <c r="M852" s="5">
        <f>IF(YEAR(I852)&lt;=2020,"Até 2020",TEXT(YEAR(I852),"0"))</f>
        <v/>
      </c>
      <c r="N852" s="5">
        <f>IFERROR(INDEX(DePara!$A:$A,MATCH(TEXT(B852,"0"),DePara!$D:$D,0)),"(sem categoria)")</f>
        <v/>
      </c>
      <c r="O852" s="5">
        <f>IF(J852="","",Parametros!$B$6-J852)</f>
        <v/>
      </c>
      <c r="P852" s="5">
        <f>IF(O852="","",IF(O852&gt;0,1,0))</f>
        <v/>
      </c>
    </row>
    <row r="853">
      <c r="A853" s="5" t="n">
        <v>2122100000</v>
      </c>
      <c r="B853" s="5" t="inlineStr">
        <is>
          <t>IC4420</t>
        </is>
      </c>
      <c r="C853" s="5" t="inlineStr">
        <is>
          <t>NORDEX ENERGY SPAIN S A U</t>
        </is>
      </c>
      <c r="D853" s="5" t="inlineStr">
        <is>
          <t>RE</t>
        </is>
      </c>
      <c r="E853" s="5" t="n">
        <v>5015944</v>
      </c>
      <c r="F853" s="5" t="inlineStr">
        <is>
          <t>4026005107</t>
        </is>
      </c>
      <c r="G853" s="5" t="inlineStr">
        <is>
          <t>EUR</t>
        </is>
      </c>
      <c r="H853" s="9" t="n">
        <v>-54380.14</v>
      </c>
      <c r="I853" s="16" t="n">
        <v>46206</v>
      </c>
      <c r="J853" s="16" t="n">
        <v>46236</v>
      </c>
      <c r="K853" s="5" t="inlineStr">
        <is>
          <t>0460/26</t>
        </is>
      </c>
      <c r="L853" s="5" t="inlineStr">
        <is>
          <t>4026005107</t>
        </is>
      </c>
      <c r="M853" s="5">
        <f>IF(YEAR(I853)&lt;=2020,"Até 2020",TEXT(YEAR(I853),"0"))</f>
        <v/>
      </c>
      <c r="N853" s="5">
        <f>IFERROR(INDEX(DePara!$A:$A,MATCH(TEXT(B853,"0"),DePara!$D:$D,0)),"(sem categoria)")</f>
        <v/>
      </c>
      <c r="O853" s="5">
        <f>IF(J853="","",Parametros!$B$6-J853)</f>
        <v/>
      </c>
      <c r="P853" s="5">
        <f>IF(O853="","",IF(O853&gt;0,1,0))</f>
        <v/>
      </c>
    </row>
    <row r="854">
      <c r="A854" s="5" t="n">
        <v>2122100000</v>
      </c>
      <c r="B854" s="5" t="inlineStr">
        <is>
          <t>IC4420</t>
        </is>
      </c>
      <c r="C854" s="5" t="inlineStr">
        <is>
          <t>NORDEX ENERGY SPAIN S A U</t>
        </is>
      </c>
      <c r="D854" s="5" t="inlineStr">
        <is>
          <t>RE</t>
        </is>
      </c>
      <c r="E854" s="5" t="n">
        <v>5015945</v>
      </c>
      <c r="F854" s="5" t="inlineStr">
        <is>
          <t>4026005454</t>
        </is>
      </c>
      <c r="G854" s="5" t="inlineStr">
        <is>
          <t>EUR</t>
        </is>
      </c>
      <c r="H854" s="9" t="n">
        <v>-4362.54</v>
      </c>
      <c r="I854" s="16" t="n">
        <v>46226</v>
      </c>
      <c r="J854" s="16" t="n">
        <v>46256</v>
      </c>
      <c r="K854" s="5" t="inlineStr">
        <is>
          <t>0496/26</t>
        </is>
      </c>
      <c r="L854" s="5" t="inlineStr">
        <is>
          <t>4026005454</t>
        </is>
      </c>
      <c r="M854" s="5">
        <f>IF(YEAR(I854)&lt;=2020,"Até 2020",TEXT(YEAR(I854),"0"))</f>
        <v/>
      </c>
      <c r="N854" s="5">
        <f>IFERROR(INDEX(DePara!$A:$A,MATCH(TEXT(B854,"0"),DePara!$D:$D,0)),"(sem categoria)")</f>
        <v/>
      </c>
      <c r="O854" s="5">
        <f>IF(J854="","",Parametros!$B$6-J854)</f>
        <v/>
      </c>
      <c r="P854" s="5">
        <f>IF(O854="","",IF(O854&gt;0,1,0))</f>
        <v/>
      </c>
    </row>
    <row r="855">
      <c r="A855" s="5" t="n">
        <v>2122100000</v>
      </c>
      <c r="B855" s="5" t="inlineStr">
        <is>
          <t>IC1000</t>
        </is>
      </c>
      <c r="C855" s="5" t="inlineStr">
        <is>
          <t>NORDEX ENERGY SE &amp; CO KG</t>
        </is>
      </c>
      <c r="D855" s="5" t="inlineStr">
        <is>
          <t>RE</t>
        </is>
      </c>
      <c r="E855" s="5" t="n">
        <v>5015948</v>
      </c>
      <c r="F855" s="5" t="inlineStr">
        <is>
          <t>RITM0431065-OT2</t>
        </is>
      </c>
      <c r="G855" s="5" t="inlineStr">
        <is>
          <t>EUR</t>
        </is>
      </c>
      <c r="H855" s="9" t="n">
        <v>-1125563.8</v>
      </c>
      <c r="I855" s="16" t="n">
        <v>45614</v>
      </c>
      <c r="J855" s="16" t="n">
        <v>45644</v>
      </c>
      <c r="K855" s="5" t="inlineStr">
        <is>
          <t>0125/25</t>
        </is>
      </c>
      <c r="L855" s="5" t="inlineStr">
        <is>
          <t>RITM0431065-OT2</t>
        </is>
      </c>
      <c r="M855" s="5">
        <f>IF(YEAR(I855)&lt;=2020,"Até 2020",TEXT(YEAR(I855),"0"))</f>
        <v/>
      </c>
      <c r="N855" s="5">
        <f>IFERROR(INDEX(DePara!$A:$A,MATCH(TEXT(B855,"0"),DePara!$D:$D,0)),"(sem categoria)")</f>
        <v/>
      </c>
      <c r="O855" s="5">
        <f>IF(J855="","",Parametros!$B$6-J855)</f>
        <v/>
      </c>
      <c r="P855" s="5">
        <f>IF(O855="","",IF(O855&gt;0,1,0))</f>
        <v/>
      </c>
    </row>
    <row r="856">
      <c r="A856" s="5" t="n">
        <v>2122100000</v>
      </c>
      <c r="B856" s="5" t="inlineStr">
        <is>
          <t>IC4420</t>
        </is>
      </c>
      <c r="C856" s="5" t="inlineStr">
        <is>
          <t>NORDEX ENERGY SPAIN S A U</t>
        </is>
      </c>
      <c r="D856" s="5" t="inlineStr">
        <is>
          <t>RE</t>
        </is>
      </c>
      <c r="E856" s="5" t="n">
        <v>5015983</v>
      </c>
      <c r="F856" s="5" t="inlineStr">
        <is>
          <t>4026005851</t>
        </is>
      </c>
      <c r="G856" s="5" t="inlineStr">
        <is>
          <t>EUR</t>
        </is>
      </c>
      <c r="H856" s="9" t="n">
        <v>-2255.27</v>
      </c>
      <c r="I856" s="16" t="n">
        <v>46246</v>
      </c>
      <c r="J856" s="16" t="n">
        <v>46276</v>
      </c>
      <c r="K856" s="5" t="inlineStr">
        <is>
          <t>0524/26</t>
        </is>
      </c>
      <c r="L856" s="5" t="inlineStr">
        <is>
          <t>4026005851</t>
        </is>
      </c>
      <c r="M856" s="5">
        <f>IF(YEAR(I856)&lt;=2020,"Até 2020",TEXT(YEAR(I856),"0"))</f>
        <v/>
      </c>
      <c r="N856" s="5">
        <f>IFERROR(INDEX(DePara!$A:$A,MATCH(TEXT(B856,"0"),DePara!$D:$D,0)),"(sem categoria)")</f>
        <v/>
      </c>
      <c r="O856" s="5">
        <f>IF(J856="","",Parametros!$B$6-J856)</f>
        <v/>
      </c>
      <c r="P856" s="5">
        <f>IF(O856="","",IF(O856&gt;0,1,0))</f>
        <v/>
      </c>
    </row>
    <row r="857">
      <c r="A857" s="5" t="n">
        <v>2122100000</v>
      </c>
      <c r="B857" s="5" t="inlineStr">
        <is>
          <t>IC4420</t>
        </is>
      </c>
      <c r="C857" s="5" t="inlineStr">
        <is>
          <t>NORDEX ENERGY SPAIN S A U</t>
        </is>
      </c>
      <c r="D857" s="5" t="inlineStr">
        <is>
          <t>RE</t>
        </is>
      </c>
      <c r="E857" s="5" t="n">
        <v>5016004</v>
      </c>
      <c r="F857" s="5" t="inlineStr">
        <is>
          <t>4026005850</t>
        </is>
      </c>
      <c r="G857" s="5" t="inlineStr">
        <is>
          <t>EUR</t>
        </is>
      </c>
      <c r="H857" s="9" t="n">
        <v>-136613.15</v>
      </c>
      <c r="I857" s="16" t="n">
        <v>46246</v>
      </c>
      <c r="J857" s="16" t="n">
        <v>46276</v>
      </c>
      <c r="K857" s="5" t="inlineStr">
        <is>
          <t>0524/26</t>
        </is>
      </c>
      <c r="L857" s="5" t="inlineStr">
        <is>
          <t>4026005850</t>
        </is>
      </c>
      <c r="M857" s="5">
        <f>IF(YEAR(I857)&lt;=2020,"Até 2020",TEXT(YEAR(I857),"0"))</f>
        <v/>
      </c>
      <c r="N857" s="5">
        <f>IFERROR(INDEX(DePara!$A:$A,MATCH(TEXT(B857,"0"),DePara!$D:$D,0)),"(sem categoria)")</f>
        <v/>
      </c>
      <c r="O857" s="5">
        <f>IF(J857="","",Parametros!$B$6-J857)</f>
        <v/>
      </c>
      <c r="P857" s="5">
        <f>IF(O857="","",IF(O857&gt;0,1,0))</f>
        <v/>
      </c>
    </row>
    <row r="858">
      <c r="A858" s="5" t="n">
        <v>2122100000</v>
      </c>
      <c r="B858" s="5" t="inlineStr">
        <is>
          <t>IC4420</t>
        </is>
      </c>
      <c r="C858" s="5" t="inlineStr">
        <is>
          <t>NORDEX ENERGY SPAIN S A U</t>
        </is>
      </c>
      <c r="D858" s="5" t="inlineStr">
        <is>
          <t>RE</t>
        </is>
      </c>
      <c r="E858" s="5" t="n">
        <v>5016042</v>
      </c>
      <c r="F858" s="5" t="inlineStr">
        <is>
          <t>4026005574</t>
        </is>
      </c>
      <c r="G858" s="5" t="inlineStr">
        <is>
          <t>EUR</t>
        </is>
      </c>
      <c r="H858" s="9" t="n">
        <v>-4280.27</v>
      </c>
      <c r="I858" s="16" t="n">
        <v>46231</v>
      </c>
      <c r="J858" s="16" t="n">
        <v>46261</v>
      </c>
      <c r="K858" s="5" t="inlineStr">
        <is>
          <t>0518/26</t>
        </is>
      </c>
      <c r="L858" s="5" t="inlineStr">
        <is>
          <t>4026005574</t>
        </is>
      </c>
      <c r="M858" s="5">
        <f>IF(YEAR(I858)&lt;=2020,"Até 2020",TEXT(YEAR(I858),"0"))</f>
        <v/>
      </c>
      <c r="N858" s="5">
        <f>IFERROR(INDEX(DePara!$A:$A,MATCH(TEXT(B858,"0"),DePara!$D:$D,0)),"(sem categoria)")</f>
        <v/>
      </c>
      <c r="O858" s="5">
        <f>IF(J858="","",Parametros!$B$6-J858)</f>
        <v/>
      </c>
      <c r="P858" s="5">
        <f>IF(O858="","",IF(O858&gt;0,1,0))</f>
        <v/>
      </c>
    </row>
    <row r="859">
      <c r="A859" s="5" t="n">
        <v>2122100000</v>
      </c>
      <c r="B859" s="5" t="inlineStr">
        <is>
          <t>IC4420</t>
        </is>
      </c>
      <c r="C859" s="5" t="inlineStr">
        <is>
          <t>NORDEX ENERGY SPAIN S A U</t>
        </is>
      </c>
      <c r="D859" s="5" t="inlineStr">
        <is>
          <t>RE</t>
        </is>
      </c>
      <c r="E859" s="5" t="n">
        <v>5016108</v>
      </c>
      <c r="F859" s="5" t="inlineStr">
        <is>
          <t>4026005894</t>
        </is>
      </c>
      <c r="G859" s="5" t="inlineStr">
        <is>
          <t>EUR</t>
        </is>
      </c>
      <c r="H859" s="9" t="n">
        <v>-58648.23</v>
      </c>
      <c r="I859" s="16" t="n">
        <v>46248</v>
      </c>
      <c r="J859" s="16" t="n">
        <v>46278</v>
      </c>
      <c r="K859" s="5" t="inlineStr">
        <is>
          <t>0532/26</t>
        </is>
      </c>
      <c r="L859" s="5" t="inlineStr">
        <is>
          <t>4026005894</t>
        </is>
      </c>
      <c r="M859" s="5">
        <f>IF(YEAR(I859)&lt;=2020,"Até 2020",TEXT(YEAR(I859),"0"))</f>
        <v/>
      </c>
      <c r="N859" s="5">
        <f>IFERROR(INDEX(DePara!$A:$A,MATCH(TEXT(B859,"0"),DePara!$D:$D,0)),"(sem categoria)")</f>
        <v/>
      </c>
      <c r="O859" s="5">
        <f>IF(J859="","",Parametros!$B$6-J859)</f>
        <v/>
      </c>
      <c r="P859" s="5">
        <f>IF(O859="","",IF(O859&gt;0,1,0))</f>
        <v/>
      </c>
    </row>
    <row r="860">
      <c r="A860" s="5" t="n">
        <v>2122100000</v>
      </c>
      <c r="B860" s="5" t="inlineStr">
        <is>
          <t>IC4420</t>
        </is>
      </c>
      <c r="C860" s="5" t="inlineStr">
        <is>
          <t>NORDEX ENERGY SPAIN S A U</t>
        </is>
      </c>
      <c r="D860" s="5" t="inlineStr">
        <is>
          <t>RE</t>
        </is>
      </c>
      <c r="E860" s="5" t="n">
        <v>5016133</v>
      </c>
      <c r="F860" s="5" t="inlineStr">
        <is>
          <t>4026005318</t>
        </is>
      </c>
      <c r="G860" s="5" t="inlineStr">
        <is>
          <t>EUR</t>
        </is>
      </c>
      <c r="H860" s="9" t="n">
        <v>-1931005.81</v>
      </c>
      <c r="I860" s="16" t="n">
        <v>46220</v>
      </c>
      <c r="J860" s="16" t="n">
        <v>46250</v>
      </c>
      <c r="K860" s="5" t="inlineStr">
        <is>
          <t>0476/26</t>
        </is>
      </c>
      <c r="L860" s="5" t="inlineStr">
        <is>
          <t>4026005318</t>
        </is>
      </c>
      <c r="M860" s="5">
        <f>IF(YEAR(I860)&lt;=2020,"Até 2020",TEXT(YEAR(I860),"0"))</f>
        <v/>
      </c>
      <c r="N860" s="5">
        <f>IFERROR(INDEX(DePara!$A:$A,MATCH(TEXT(B860,"0"),DePara!$D:$D,0)),"(sem categoria)")</f>
        <v/>
      </c>
      <c r="O860" s="5">
        <f>IF(J860="","",Parametros!$B$6-J860)</f>
        <v/>
      </c>
      <c r="P860" s="5">
        <f>IF(O860="","",IF(O860&gt;0,1,0))</f>
        <v/>
      </c>
    </row>
    <row r="861">
      <c r="A861" s="5" t="n">
        <v>2122100000</v>
      </c>
      <c r="B861" s="5" t="inlineStr">
        <is>
          <t>IC1000</t>
        </is>
      </c>
      <c r="C861" s="5" t="inlineStr">
        <is>
          <t>NORDEX ENERGY SE &amp; CO KG</t>
        </is>
      </c>
      <c r="D861" s="5" t="inlineStr">
        <is>
          <t>RE</t>
        </is>
      </c>
      <c r="E861" s="5" t="n">
        <v>5016154</v>
      </c>
      <c r="F861" s="5" t="inlineStr">
        <is>
          <t>DE84001640</t>
        </is>
      </c>
      <c r="G861" s="5" t="inlineStr">
        <is>
          <t>EUR</t>
        </is>
      </c>
      <c r="H861" s="9" t="n">
        <v>-2357.27</v>
      </c>
      <c r="I861" s="16" t="n">
        <v>46251</v>
      </c>
      <c r="J861" s="16" t="n">
        <v>46281</v>
      </c>
      <c r="K861" s="5" t="inlineStr">
        <is>
          <t>0535/26</t>
        </is>
      </c>
      <c r="L861" s="5" t="inlineStr">
        <is>
          <t>DE84001640</t>
        </is>
      </c>
      <c r="M861" s="5">
        <f>IF(YEAR(I861)&lt;=2020,"Até 2020",TEXT(YEAR(I861),"0"))</f>
        <v/>
      </c>
      <c r="N861" s="5">
        <f>IFERROR(INDEX(DePara!$A:$A,MATCH(TEXT(B861,"0"),DePara!$D:$D,0)),"(sem categoria)")</f>
        <v/>
      </c>
      <c r="O861" s="5">
        <f>IF(J861="","",Parametros!$B$6-J861)</f>
        <v/>
      </c>
      <c r="P861" s="5">
        <f>IF(O861="","",IF(O861&gt;0,1,0))</f>
        <v/>
      </c>
    </row>
    <row r="862">
      <c r="A862" s="5" t="n">
        <v>2122100000</v>
      </c>
      <c r="B862" s="5" t="inlineStr">
        <is>
          <t>IC1000</t>
        </is>
      </c>
      <c r="C862" s="5" t="inlineStr">
        <is>
          <t>NORDEX ENERGY SE &amp; CO KG</t>
        </is>
      </c>
      <c r="D862" s="5" t="inlineStr">
        <is>
          <t>RE</t>
        </is>
      </c>
      <c r="E862" s="5" t="n">
        <v>5016317</v>
      </c>
      <c r="F862" s="5" t="inlineStr">
        <is>
          <t>RITM0465303</t>
        </is>
      </c>
      <c r="G862" s="5" t="inlineStr">
        <is>
          <t>EUR</t>
        </is>
      </c>
      <c r="H862" s="9" t="n">
        <v>-4815811.67</v>
      </c>
      <c r="I862" s="16" t="n">
        <v>45712</v>
      </c>
      <c r="J862" s="16" t="n">
        <v>45742</v>
      </c>
      <c r="K862" s="5" t="inlineStr">
        <is>
          <t>0249/25</t>
        </is>
      </c>
      <c r="L862" s="5" t="inlineStr">
        <is>
          <t>RITM0465303</t>
        </is>
      </c>
      <c r="M862" s="5">
        <f>IF(YEAR(I862)&lt;=2020,"Até 2020",TEXT(YEAR(I862),"0"))</f>
        <v/>
      </c>
      <c r="N862" s="5">
        <f>IFERROR(INDEX(DePara!$A:$A,MATCH(TEXT(B862,"0"),DePara!$D:$D,0)),"(sem categoria)")</f>
        <v/>
      </c>
      <c r="O862" s="5">
        <f>IF(J862="","",Parametros!$B$6-J862)</f>
        <v/>
      </c>
      <c r="P862" s="5">
        <f>IF(O862="","",IF(O862&gt;0,1,0))</f>
        <v/>
      </c>
    </row>
    <row r="863">
      <c r="A863" s="5" t="n">
        <v>2122100000</v>
      </c>
      <c r="B863" s="5" t="inlineStr">
        <is>
          <t>IC1000</t>
        </is>
      </c>
      <c r="C863" s="5" t="inlineStr">
        <is>
          <t>NORDEX ENERGY SE &amp; CO KG</t>
        </is>
      </c>
      <c r="D863" s="5" t="inlineStr">
        <is>
          <t>RE</t>
        </is>
      </c>
      <c r="E863" s="5" t="n">
        <v>5016318</v>
      </c>
      <c r="F863" s="5" t="inlineStr">
        <is>
          <t>RITM0453146</t>
        </is>
      </c>
      <c r="G863" s="5" t="inlineStr">
        <is>
          <t>EUR</t>
        </is>
      </c>
      <c r="H863" s="9" t="n">
        <v>-2383609.11</v>
      </c>
      <c r="I863" s="16" t="n">
        <v>45686</v>
      </c>
      <c r="J863" s="16" t="n">
        <v>45716</v>
      </c>
      <c r="K863" s="5" t="inlineStr">
        <is>
          <t>0252/25</t>
        </is>
      </c>
      <c r="L863" s="5" t="inlineStr">
        <is>
          <t>RITM0453146</t>
        </is>
      </c>
      <c r="M863" s="5">
        <f>IF(YEAR(I863)&lt;=2020,"Até 2020",TEXT(YEAR(I863),"0"))</f>
        <v/>
      </c>
      <c r="N863" s="5">
        <f>IFERROR(INDEX(DePara!$A:$A,MATCH(TEXT(B863,"0"),DePara!$D:$D,0)),"(sem categoria)")</f>
        <v/>
      </c>
      <c r="O863" s="5">
        <f>IF(J863="","",Parametros!$B$6-J863)</f>
        <v/>
      </c>
      <c r="P863" s="5">
        <f>IF(O863="","",IF(O863&gt;0,1,0))</f>
        <v/>
      </c>
    </row>
    <row r="864">
      <c r="A864" s="5" t="n">
        <v>2122100000</v>
      </c>
      <c r="B864" s="5" t="inlineStr">
        <is>
          <t>IC1000</t>
        </is>
      </c>
      <c r="C864" s="5" t="inlineStr">
        <is>
          <t>NORDEX ENERGY SE &amp; CO KG</t>
        </is>
      </c>
      <c r="D864" s="5" t="inlineStr">
        <is>
          <t>RE</t>
        </is>
      </c>
      <c r="E864" s="5" t="n">
        <v>5016662</v>
      </c>
      <c r="F864" s="5" t="inlineStr">
        <is>
          <t>334212</t>
        </is>
      </c>
      <c r="G864" s="5" t="inlineStr">
        <is>
          <t>EUR</t>
        </is>
      </c>
      <c r="H864" s="9" t="n">
        <v>-1030.72</v>
      </c>
      <c r="I864" s="16" t="n">
        <v>45743</v>
      </c>
      <c r="J864" s="16" t="n">
        <v>45773</v>
      </c>
      <c r="K864" s="5" t="inlineStr">
        <is>
          <t>0309/25</t>
        </is>
      </c>
      <c r="L864" s="5" t="inlineStr">
        <is>
          <t>334212</t>
        </is>
      </c>
      <c r="M864" s="5">
        <f>IF(YEAR(I864)&lt;=2020,"Até 2020",TEXT(YEAR(I864),"0"))</f>
        <v/>
      </c>
      <c r="N864" s="5">
        <f>IFERROR(INDEX(DePara!$A:$A,MATCH(TEXT(B864,"0"),DePara!$D:$D,0)),"(sem categoria)")</f>
        <v/>
      </c>
      <c r="O864" s="5">
        <f>IF(J864="","",Parametros!$B$6-J864)</f>
        <v/>
      </c>
      <c r="P864" s="5">
        <f>IF(O864="","",IF(O864&gt;0,1,0))</f>
        <v/>
      </c>
    </row>
    <row r="865">
      <c r="A865" s="5" t="n">
        <v>2122100000</v>
      </c>
      <c r="B865" s="5" t="inlineStr">
        <is>
          <t>IC1000</t>
        </is>
      </c>
      <c r="C865" s="5" t="inlineStr">
        <is>
          <t>NORDEX ENERGY SE &amp; CO KG</t>
        </is>
      </c>
      <c r="D865" s="5" t="inlineStr">
        <is>
          <t>RE</t>
        </is>
      </c>
      <c r="E865" s="5" t="n">
        <v>5016668</v>
      </c>
      <c r="F865" s="5" t="inlineStr">
        <is>
          <t>328933</t>
        </is>
      </c>
      <c r="G865" s="5" t="inlineStr">
        <is>
          <t>EUR</t>
        </is>
      </c>
      <c r="H865" s="9" t="n">
        <v>-1156.64</v>
      </c>
      <c r="I865" s="16" t="n">
        <v>45702</v>
      </c>
      <c r="J865" s="16" t="n">
        <v>45732</v>
      </c>
      <c r="K865" s="5" t="inlineStr">
        <is>
          <t>0279/25</t>
        </is>
      </c>
      <c r="L865" s="5" t="inlineStr">
        <is>
          <t>328933</t>
        </is>
      </c>
      <c r="M865" s="5">
        <f>IF(YEAR(I865)&lt;=2020,"Até 2020",TEXT(YEAR(I865),"0"))</f>
        <v/>
      </c>
      <c r="N865" s="5">
        <f>IFERROR(INDEX(DePara!$A:$A,MATCH(TEXT(B865,"0"),DePara!$D:$D,0)),"(sem categoria)")</f>
        <v/>
      </c>
      <c r="O865" s="5">
        <f>IF(J865="","",Parametros!$B$6-J865)</f>
        <v/>
      </c>
      <c r="P865" s="5">
        <f>IF(O865="","",IF(O865&gt;0,1,0))</f>
        <v/>
      </c>
    </row>
    <row r="866">
      <c r="A866" s="5" t="n">
        <v>2122100000</v>
      </c>
      <c r="B866" s="5" t="inlineStr">
        <is>
          <t>IC1000</t>
        </is>
      </c>
      <c r="C866" s="5" t="inlineStr">
        <is>
          <t>NORDEX ENERGY SE &amp; CO KG</t>
        </is>
      </c>
      <c r="D866" s="5" t="inlineStr">
        <is>
          <t>RE</t>
        </is>
      </c>
      <c r="E866" s="5" t="n">
        <v>5017060</v>
      </c>
      <c r="F866" s="5" t="inlineStr">
        <is>
          <t>RITM0456010</t>
        </is>
      </c>
      <c r="G866" s="5" t="inlineStr">
        <is>
          <t>EUR</t>
        </is>
      </c>
      <c r="H866" s="9" t="n">
        <v>-821461.5</v>
      </c>
      <c r="I866" s="16" t="n">
        <v>45693</v>
      </c>
      <c r="J866" s="16" t="n">
        <v>45723</v>
      </c>
      <c r="K866" s="5" t="inlineStr">
        <is>
          <t>0169/25</t>
        </is>
      </c>
      <c r="L866" s="5" t="inlineStr">
        <is>
          <t>RITM0456010</t>
        </is>
      </c>
      <c r="M866" s="5">
        <f>IF(YEAR(I866)&lt;=2020,"Até 2020",TEXT(YEAR(I866),"0"))</f>
        <v/>
      </c>
      <c r="N866" s="5">
        <f>IFERROR(INDEX(DePara!$A:$A,MATCH(TEXT(B866,"0"),DePara!$D:$D,0)),"(sem categoria)")</f>
        <v/>
      </c>
      <c r="O866" s="5">
        <f>IF(J866="","",Parametros!$B$6-J866)</f>
        <v/>
      </c>
      <c r="P866" s="5">
        <f>IF(O866="","",IF(O866&gt;0,1,0))</f>
        <v/>
      </c>
    </row>
    <row r="867">
      <c r="A867" s="5" t="n">
        <v>2122100000</v>
      </c>
      <c r="B867" s="5" t="inlineStr">
        <is>
          <t>IC1000</t>
        </is>
      </c>
      <c r="C867" s="5" t="inlineStr">
        <is>
          <t>NORDEX ENERGY SE &amp; CO KG</t>
        </is>
      </c>
      <c r="D867" s="5" t="inlineStr">
        <is>
          <t>RE</t>
        </is>
      </c>
      <c r="E867" s="5" t="n">
        <v>5017144</v>
      </c>
      <c r="F867" s="5" t="inlineStr">
        <is>
          <t>337491</t>
        </is>
      </c>
      <c r="G867" s="5" t="inlineStr">
        <is>
          <t>EUR</t>
        </is>
      </c>
      <c r="H867" s="9" t="n">
        <v>-4809</v>
      </c>
      <c r="I867" s="16" t="n">
        <v>45747</v>
      </c>
      <c r="J867" s="16" t="n">
        <v>45777</v>
      </c>
      <c r="K867" s="5" t="inlineStr">
        <is>
          <t>0301/25</t>
        </is>
      </c>
      <c r="L867" s="5" t="inlineStr">
        <is>
          <t>337491</t>
        </is>
      </c>
      <c r="M867" s="5">
        <f>IF(YEAR(I867)&lt;=2020,"Até 2020",TEXT(YEAR(I867),"0"))</f>
        <v/>
      </c>
      <c r="N867" s="5">
        <f>IFERROR(INDEX(DePara!$A:$A,MATCH(TEXT(B867,"0"),DePara!$D:$D,0)),"(sem categoria)")</f>
        <v/>
      </c>
      <c r="O867" s="5">
        <f>IF(J867="","",Parametros!$B$6-J867)</f>
        <v/>
      </c>
      <c r="P867" s="5">
        <f>IF(O867="","",IF(O867&gt;0,1,0))</f>
        <v/>
      </c>
    </row>
    <row r="868">
      <c r="A868" s="5" t="n">
        <v>2122100000</v>
      </c>
      <c r="B868" s="5" t="inlineStr">
        <is>
          <t>IC4420</t>
        </is>
      </c>
      <c r="C868" s="5" t="inlineStr">
        <is>
          <t>NORDEX ENERGY SPAIN S A U</t>
        </is>
      </c>
      <c r="D868" s="5" t="inlineStr">
        <is>
          <t>RE</t>
        </is>
      </c>
      <c r="E868" s="5" t="n">
        <v>5017555</v>
      </c>
      <c r="F868" s="5" t="inlineStr">
        <is>
          <t>4024002127</t>
        </is>
      </c>
      <c r="G868" s="5" t="inlineStr">
        <is>
          <t>EUR</t>
        </is>
      </c>
      <c r="H868" s="9" t="n">
        <v>-1287732.81</v>
      </c>
      <c r="I868" s="16" t="n">
        <v>45377</v>
      </c>
      <c r="J868" s="16" t="n">
        <v>45407</v>
      </c>
      <c r="K868" s="5" t="inlineStr">
        <is>
          <t>0197/24</t>
        </is>
      </c>
      <c r="L868" s="5" t="inlineStr">
        <is>
          <t>4024002127</t>
        </is>
      </c>
      <c r="M868" s="5">
        <f>IF(YEAR(I868)&lt;=2020,"Até 2020",TEXT(YEAR(I868),"0"))</f>
        <v/>
      </c>
      <c r="N868" s="5">
        <f>IFERROR(INDEX(DePara!$A:$A,MATCH(TEXT(B868,"0"),DePara!$D:$D,0)),"(sem categoria)")</f>
        <v/>
      </c>
      <c r="O868" s="5">
        <f>IF(J868="","",Parametros!$B$6-J868)</f>
        <v/>
      </c>
      <c r="P868" s="5">
        <f>IF(O868="","",IF(O868&gt;0,1,0))</f>
        <v/>
      </c>
    </row>
    <row r="869">
      <c r="A869" s="5" t="n">
        <v>2122100000</v>
      </c>
      <c r="B869" s="5" t="inlineStr">
        <is>
          <t>IC4420</t>
        </is>
      </c>
      <c r="C869" s="5" t="inlineStr">
        <is>
          <t>NORDEX ENERGY SPAIN S A U</t>
        </is>
      </c>
      <c r="D869" s="5" t="inlineStr">
        <is>
          <t>RE</t>
        </is>
      </c>
      <c r="E869" s="5" t="n">
        <v>5017556</v>
      </c>
      <c r="F869" s="5" t="inlineStr">
        <is>
          <t>4024002116</t>
        </is>
      </c>
      <c r="G869" s="5" t="inlineStr">
        <is>
          <t>EUR</t>
        </is>
      </c>
      <c r="H869" s="9" t="n">
        <v>-1287732.81</v>
      </c>
      <c r="I869" s="16" t="n">
        <v>45377</v>
      </c>
      <c r="J869" s="16" t="n">
        <v>45407</v>
      </c>
      <c r="K869" s="5" t="inlineStr">
        <is>
          <t>0197/24</t>
        </is>
      </c>
      <c r="L869" s="5" t="inlineStr">
        <is>
          <t>4024002116</t>
        </is>
      </c>
      <c r="M869" s="5">
        <f>IF(YEAR(I869)&lt;=2020,"Até 2020",TEXT(YEAR(I869),"0"))</f>
        <v/>
      </c>
      <c r="N869" s="5">
        <f>IFERROR(INDEX(DePara!$A:$A,MATCH(TEXT(B869,"0"),DePara!$D:$D,0)),"(sem categoria)")</f>
        <v/>
      </c>
      <c r="O869" s="5">
        <f>IF(J869="","",Parametros!$B$6-J869)</f>
        <v/>
      </c>
      <c r="P869" s="5">
        <f>IF(O869="","",IF(O869&gt;0,1,0))</f>
        <v/>
      </c>
    </row>
    <row r="870">
      <c r="A870" s="5" t="n">
        <v>2122100000</v>
      </c>
      <c r="B870" s="5" t="inlineStr">
        <is>
          <t>IC1000</t>
        </is>
      </c>
      <c r="C870" s="5" t="inlineStr">
        <is>
          <t>NORDEX ENERGY SE &amp; CO KG</t>
        </is>
      </c>
      <c r="D870" s="5" t="inlineStr">
        <is>
          <t>RE</t>
        </is>
      </c>
      <c r="E870" s="5" t="n">
        <v>5018187</v>
      </c>
      <c r="F870" s="5" t="inlineStr">
        <is>
          <t>339005</t>
        </is>
      </c>
      <c r="G870" s="5" t="inlineStr">
        <is>
          <t>EUR</t>
        </is>
      </c>
      <c r="H870" s="9" t="n">
        <v>-3307.51</v>
      </c>
      <c r="I870" s="16" t="n">
        <v>45747</v>
      </c>
      <c r="J870" s="16" t="n">
        <v>45777</v>
      </c>
      <c r="K870" s="5" t="inlineStr">
        <is>
          <t>0319/25</t>
        </is>
      </c>
      <c r="L870" s="5" t="inlineStr">
        <is>
          <t>339005</t>
        </is>
      </c>
      <c r="M870" s="5">
        <f>IF(YEAR(I870)&lt;=2020,"Até 2020",TEXT(YEAR(I870),"0"))</f>
        <v/>
      </c>
      <c r="N870" s="5">
        <f>IFERROR(INDEX(DePara!$A:$A,MATCH(TEXT(B870,"0"),DePara!$D:$D,0)),"(sem categoria)")</f>
        <v/>
      </c>
      <c r="O870" s="5">
        <f>IF(J870="","",Parametros!$B$6-J870)</f>
        <v/>
      </c>
      <c r="P870" s="5">
        <f>IF(O870="","",IF(O870&gt;0,1,0))</f>
        <v/>
      </c>
    </row>
    <row r="871">
      <c r="A871" s="5" t="n">
        <v>2122100000</v>
      </c>
      <c r="B871" s="5" t="inlineStr">
        <is>
          <t>IC1000</t>
        </is>
      </c>
      <c r="C871" s="5" t="inlineStr">
        <is>
          <t>NORDEX ENERGY SE &amp; CO KG</t>
        </is>
      </c>
      <c r="D871" s="5" t="inlineStr">
        <is>
          <t>RE</t>
        </is>
      </c>
      <c r="E871" s="5" t="n">
        <v>5018190</v>
      </c>
      <c r="F871" s="5" t="inlineStr">
        <is>
          <t>4012361617</t>
        </is>
      </c>
      <c r="G871" s="5" t="inlineStr">
        <is>
          <t>EUR</t>
        </is>
      </c>
      <c r="H871" s="9" t="n">
        <v>-91115.22</v>
      </c>
      <c r="I871" s="16" t="n">
        <v>45253</v>
      </c>
      <c r="J871" s="16" t="n">
        <v>45283</v>
      </c>
      <c r="K871" s="5" t="inlineStr">
        <is>
          <t>0111/24</t>
        </is>
      </c>
      <c r="L871" s="5" t="inlineStr">
        <is>
          <t>4012361617</t>
        </is>
      </c>
      <c r="M871" s="5">
        <f>IF(YEAR(I871)&lt;=2020,"Até 2020",TEXT(YEAR(I871),"0"))</f>
        <v/>
      </c>
      <c r="N871" s="5">
        <f>IFERROR(INDEX(DePara!$A:$A,MATCH(TEXT(B871,"0"),DePara!$D:$D,0)),"(sem categoria)")</f>
        <v/>
      </c>
      <c r="O871" s="5">
        <f>IF(J871="","",Parametros!$B$6-J871)</f>
        <v/>
      </c>
      <c r="P871" s="5">
        <f>IF(O871="","",IF(O871&gt;0,1,0))</f>
        <v/>
      </c>
    </row>
    <row r="872">
      <c r="A872" s="5" t="n">
        <v>2122100000</v>
      </c>
      <c r="B872" s="5" t="inlineStr">
        <is>
          <t>IC1000</t>
        </is>
      </c>
      <c r="C872" s="5" t="inlineStr">
        <is>
          <t>NORDEX ENERGY SE &amp; CO KG</t>
        </is>
      </c>
      <c r="D872" s="5" t="inlineStr">
        <is>
          <t>RE</t>
        </is>
      </c>
      <c r="E872" s="5" t="n">
        <v>5018503</v>
      </c>
      <c r="F872" s="5" t="inlineStr">
        <is>
          <t>341200</t>
        </is>
      </c>
      <c r="G872" s="5" t="inlineStr">
        <is>
          <t>EUR</t>
        </is>
      </c>
      <c r="H872" s="9" t="n">
        <v>-173085.51</v>
      </c>
      <c r="I872" s="16" t="n">
        <v>45776</v>
      </c>
      <c r="J872" s="16" t="n">
        <v>45806</v>
      </c>
      <c r="K872" s="5" t="inlineStr">
        <is>
          <t>0364/25</t>
        </is>
      </c>
      <c r="L872" s="5" t="inlineStr">
        <is>
          <t>341200</t>
        </is>
      </c>
      <c r="M872" s="5">
        <f>IF(YEAR(I872)&lt;=2020,"Até 2020",TEXT(YEAR(I872),"0"))</f>
        <v/>
      </c>
      <c r="N872" s="5">
        <f>IFERROR(INDEX(DePara!$A:$A,MATCH(TEXT(B872,"0"),DePara!$D:$D,0)),"(sem categoria)")</f>
        <v/>
      </c>
      <c r="O872" s="5">
        <f>IF(J872="","",Parametros!$B$6-J872)</f>
        <v/>
      </c>
      <c r="P872" s="5">
        <f>IF(O872="","",IF(O872&gt;0,1,0))</f>
        <v/>
      </c>
    </row>
    <row r="873">
      <c r="A873" s="5" t="n">
        <v>2122100000</v>
      </c>
      <c r="B873" s="5" t="inlineStr">
        <is>
          <t>IC1000</t>
        </is>
      </c>
      <c r="C873" s="5" t="inlineStr">
        <is>
          <t>NORDEX ENERGY SE &amp; CO KG</t>
        </is>
      </c>
      <c r="D873" s="5" t="inlineStr">
        <is>
          <t>RE</t>
        </is>
      </c>
      <c r="E873" s="5" t="n">
        <v>5018911</v>
      </c>
      <c r="F873" s="5" t="inlineStr">
        <is>
          <t>337910</t>
        </is>
      </c>
      <c r="G873" s="5" t="inlineStr">
        <is>
          <t>EUR</t>
        </is>
      </c>
      <c r="H873" s="9" t="n">
        <v>-306671.91</v>
      </c>
      <c r="I873" s="16" t="n">
        <v>45750</v>
      </c>
      <c r="J873" s="16" t="n">
        <v>45780</v>
      </c>
      <c r="K873" s="5" t="inlineStr">
        <is>
          <t>0354/25</t>
        </is>
      </c>
      <c r="L873" s="5" t="inlineStr">
        <is>
          <t>337910</t>
        </is>
      </c>
      <c r="M873" s="5">
        <f>IF(YEAR(I873)&lt;=2020,"Até 2020",TEXT(YEAR(I873),"0"))</f>
        <v/>
      </c>
      <c r="N873" s="5">
        <f>IFERROR(INDEX(DePara!$A:$A,MATCH(TEXT(B873,"0"),DePara!$D:$D,0)),"(sem categoria)")</f>
        <v/>
      </c>
      <c r="O873" s="5">
        <f>IF(J873="","",Parametros!$B$6-J873)</f>
        <v/>
      </c>
      <c r="P873" s="5">
        <f>IF(O873="","",IF(O873&gt;0,1,0))</f>
        <v/>
      </c>
    </row>
    <row r="874">
      <c r="A874" s="5" t="n">
        <v>2122100000</v>
      </c>
      <c r="B874" s="5" t="inlineStr">
        <is>
          <t>IC1000</t>
        </is>
      </c>
      <c r="C874" s="5" t="inlineStr">
        <is>
          <t>NORDEX ENERGY SE &amp; CO KG</t>
        </is>
      </c>
      <c r="D874" s="5" t="inlineStr">
        <is>
          <t>RE</t>
        </is>
      </c>
      <c r="E874" s="5" t="n">
        <v>5018930</v>
      </c>
      <c r="F874" s="5" t="inlineStr">
        <is>
          <t>337177</t>
        </is>
      </c>
      <c r="G874" s="5" t="inlineStr">
        <is>
          <t>EUR</t>
        </is>
      </c>
      <c r="H874" s="9" t="n">
        <v>-41792.46</v>
      </c>
      <c r="I874" s="16" t="n">
        <v>45744</v>
      </c>
      <c r="J874" s="16" t="n">
        <v>45774</v>
      </c>
      <c r="K874" s="5" t="inlineStr">
        <is>
          <t>0317/25</t>
        </is>
      </c>
      <c r="L874" s="5" t="inlineStr">
        <is>
          <t>337177</t>
        </is>
      </c>
      <c r="M874" s="5">
        <f>IF(YEAR(I874)&lt;=2020,"Até 2020",TEXT(YEAR(I874),"0"))</f>
        <v/>
      </c>
      <c r="N874" s="5">
        <f>IFERROR(INDEX(DePara!$A:$A,MATCH(TEXT(B874,"0"),DePara!$D:$D,0)),"(sem categoria)")</f>
        <v/>
      </c>
      <c r="O874" s="5">
        <f>IF(J874="","",Parametros!$B$6-J874)</f>
        <v/>
      </c>
      <c r="P874" s="5">
        <f>IF(O874="","",IF(O874&gt;0,1,0))</f>
        <v/>
      </c>
    </row>
    <row r="875">
      <c r="A875" s="5" t="n">
        <v>2122100000</v>
      </c>
      <c r="B875" s="5" t="inlineStr">
        <is>
          <t>IC4420</t>
        </is>
      </c>
      <c r="C875" s="5" t="inlineStr">
        <is>
          <t>NORDEX ENERGY SPAIN S A U</t>
        </is>
      </c>
      <c r="D875" s="5" t="inlineStr">
        <is>
          <t>RE</t>
        </is>
      </c>
      <c r="E875" s="5" t="n">
        <v>5019106</v>
      </c>
      <c r="F875" s="5" t="inlineStr">
        <is>
          <t>126-2</t>
        </is>
      </c>
      <c r="G875" s="5" t="inlineStr">
        <is>
          <t>EUR</t>
        </is>
      </c>
      <c r="H875" s="9" t="n">
        <v>-171236.74</v>
      </c>
      <c r="I875" s="16" t="n">
        <v>45177</v>
      </c>
      <c r="J875" s="16" t="n">
        <v>45237</v>
      </c>
      <c r="K875" s="5" t="inlineStr">
        <is>
          <t>Fatura - bruto NORDEX ENERGY SPAIN S.A.U. 126-2</t>
        </is>
      </c>
      <c r="L875" s="5" t="n"/>
      <c r="M875" s="5">
        <f>IF(YEAR(I875)&lt;=2020,"Até 2020",TEXT(YEAR(I875),"0"))</f>
        <v/>
      </c>
      <c r="N875" s="5">
        <f>IFERROR(INDEX(DePara!$A:$A,MATCH(TEXT(B875,"0"),DePara!$D:$D,0)),"(sem categoria)")</f>
        <v/>
      </c>
      <c r="O875" s="5">
        <f>IF(J875="","",Parametros!$B$6-J875)</f>
        <v/>
      </c>
      <c r="P875" s="5">
        <f>IF(O875="","",IF(O875&gt;0,1,0))</f>
        <v/>
      </c>
    </row>
    <row r="876">
      <c r="A876" s="5" t="n">
        <v>2122100000</v>
      </c>
      <c r="B876" s="5" t="inlineStr">
        <is>
          <t>IC4420</t>
        </is>
      </c>
      <c r="C876" s="5" t="inlineStr">
        <is>
          <t>NORDEX ENERGY SPAIN S A U</t>
        </is>
      </c>
      <c r="D876" s="5" t="inlineStr">
        <is>
          <t>RE</t>
        </is>
      </c>
      <c r="E876" s="5" t="n">
        <v>5019341</v>
      </c>
      <c r="F876" s="5" t="inlineStr">
        <is>
          <t>11-4</t>
        </is>
      </c>
      <c r="G876" s="5" t="inlineStr">
        <is>
          <t>EUR</t>
        </is>
      </c>
      <c r="H876" s="9" t="n">
        <v>-181904.17</v>
      </c>
      <c r="I876" s="16" t="n">
        <v>45099</v>
      </c>
      <c r="J876" s="16" t="n">
        <v>45159</v>
      </c>
      <c r="K876" s="5" t="inlineStr">
        <is>
          <t>Fatura - bruto NORDEX ENERGY SPAIN S.A.U. 11-4</t>
        </is>
      </c>
      <c r="L876" s="5" t="n"/>
      <c r="M876" s="5">
        <f>IF(YEAR(I876)&lt;=2020,"Até 2020",TEXT(YEAR(I876),"0"))</f>
        <v/>
      </c>
      <c r="N876" s="5">
        <f>IFERROR(INDEX(DePara!$A:$A,MATCH(TEXT(B876,"0"),DePara!$D:$D,0)),"(sem categoria)")</f>
        <v/>
      </c>
      <c r="O876" s="5">
        <f>IF(J876="","",Parametros!$B$6-J876)</f>
        <v/>
      </c>
      <c r="P876" s="5">
        <f>IF(O876="","",IF(O876&gt;0,1,0))</f>
        <v/>
      </c>
    </row>
    <row r="877">
      <c r="A877" s="5" t="n">
        <v>2122100000</v>
      </c>
      <c r="B877" s="5" t="inlineStr">
        <is>
          <t>IC1000</t>
        </is>
      </c>
      <c r="C877" s="5" t="inlineStr">
        <is>
          <t>NORDEX ENERGY SE &amp; CO KG</t>
        </is>
      </c>
      <c r="D877" s="5" t="inlineStr">
        <is>
          <t>RE</t>
        </is>
      </c>
      <c r="E877" s="5" t="n">
        <v>5019450</v>
      </c>
      <c r="F877" s="5" t="inlineStr">
        <is>
          <t>184-4</t>
        </is>
      </c>
      <c r="G877" s="5" t="inlineStr">
        <is>
          <t>EUR</t>
        </is>
      </c>
      <c r="H877" s="9" t="n">
        <v>-1349.3</v>
      </c>
      <c r="I877" s="16" t="n">
        <v>45131</v>
      </c>
      <c r="J877" s="16" t="n">
        <v>45161</v>
      </c>
      <c r="K877" s="5" t="inlineStr">
        <is>
          <t>Fatura - bruto NORDEX ENERGY SE &amp; CO. KG 184-4</t>
        </is>
      </c>
      <c r="L877" s="5" t="n"/>
      <c r="M877" s="5">
        <f>IF(YEAR(I877)&lt;=2020,"Até 2020",TEXT(YEAR(I877),"0"))</f>
        <v/>
      </c>
      <c r="N877" s="5">
        <f>IFERROR(INDEX(DePara!$A:$A,MATCH(TEXT(B877,"0"),DePara!$D:$D,0)),"(sem categoria)")</f>
        <v/>
      </c>
      <c r="O877" s="5">
        <f>IF(J877="","",Parametros!$B$6-J877)</f>
        <v/>
      </c>
      <c r="P877" s="5">
        <f>IF(O877="","",IF(O877&gt;0,1,0))</f>
        <v/>
      </c>
    </row>
    <row r="878">
      <c r="A878" s="5" t="n">
        <v>2122100000</v>
      </c>
      <c r="B878" s="5" t="inlineStr">
        <is>
          <t>IC5000</t>
        </is>
      </c>
      <c r="C878" s="5" t="inlineStr">
        <is>
          <t>NORDEX SE</t>
        </is>
      </c>
      <c r="D878" s="5" t="inlineStr">
        <is>
          <t>KR</t>
        </is>
      </c>
      <c r="E878" s="5" t="n">
        <v>5019487</v>
      </c>
      <c r="F878" s="5" t="inlineStr">
        <is>
          <t>607611</t>
        </is>
      </c>
      <c r="G878" s="5" t="inlineStr">
        <is>
          <t>BRL</t>
        </is>
      </c>
      <c r="H878" s="9" t="n">
        <v>-7179666.67</v>
      </c>
      <c r="I878" s="16" t="n">
        <v>45278</v>
      </c>
      <c r="J878" s="16" t="n">
        <v>45278</v>
      </c>
      <c r="K878" s="5" t="inlineStr">
        <is>
          <t>Fatura ref. Juros sobre Empréstimos – Nordex SE</t>
        </is>
      </c>
      <c r="L878" s="5" t="n"/>
      <c r="M878" s="5">
        <f>IF(YEAR(I878)&lt;=2020,"Até 2020",TEXT(YEAR(I878),"0"))</f>
        <v/>
      </c>
      <c r="N878" s="5">
        <f>IFERROR(INDEX(DePara!$A:$A,MATCH(TEXT(B878,"0"),DePara!$D:$D,0)),"(sem categoria)")</f>
        <v/>
      </c>
      <c r="O878" s="5">
        <f>IF(J878="","",Parametros!$B$6-J878)</f>
        <v/>
      </c>
      <c r="P878" s="5">
        <f>IF(O878="","",IF(O878&gt;0,1,0))</f>
        <v/>
      </c>
    </row>
    <row r="879">
      <c r="A879" s="5" t="n">
        <v>2122100000</v>
      </c>
      <c r="B879" s="5" t="inlineStr">
        <is>
          <t>IC5000</t>
        </is>
      </c>
      <c r="C879" s="5" t="inlineStr">
        <is>
          <t>NORDEX SE</t>
        </is>
      </c>
      <c r="D879" s="5" t="inlineStr">
        <is>
          <t>KR</t>
        </is>
      </c>
      <c r="E879" s="5" t="n">
        <v>5019501</v>
      </c>
      <c r="F879" s="5" t="inlineStr">
        <is>
          <t>607554</t>
        </is>
      </c>
      <c r="G879" s="5" t="inlineStr">
        <is>
          <t>EUR</t>
        </is>
      </c>
      <c r="H879" s="9" t="n">
        <v>-17802718.79</v>
      </c>
      <c r="I879" s="16" t="n">
        <v>45274</v>
      </c>
      <c r="J879" s="16" t="n">
        <v>45274</v>
      </c>
      <c r="K879" s="5" t="inlineStr">
        <is>
          <t>Fatura do fornecedor NORDEX SE 607554</t>
        </is>
      </c>
      <c r="L879" s="5" t="n"/>
      <c r="M879" s="5">
        <f>IF(YEAR(I879)&lt;=2020,"Até 2020",TEXT(YEAR(I879),"0"))</f>
        <v/>
      </c>
      <c r="N879" s="5">
        <f>IFERROR(INDEX(DePara!$A:$A,MATCH(TEXT(B879,"0"),DePara!$D:$D,0)),"(sem categoria)")</f>
        <v/>
      </c>
      <c r="O879" s="5">
        <f>IF(J879="","",Parametros!$B$6-J879)</f>
        <v/>
      </c>
      <c r="P879" s="5">
        <f>IF(O879="","",IF(O879&gt;0,1,0))</f>
        <v/>
      </c>
    </row>
    <row r="880">
      <c r="A880" s="5" t="n">
        <v>2122100000</v>
      </c>
      <c r="B880" s="5" t="inlineStr">
        <is>
          <t>IC1000</t>
        </is>
      </c>
      <c r="C880" s="5" t="inlineStr">
        <is>
          <t>NORDEX ENERGY SE &amp; CO KG</t>
        </is>
      </c>
      <c r="D880" s="5" t="inlineStr">
        <is>
          <t>KR</t>
        </is>
      </c>
      <c r="E880" s="5" t="n">
        <v>5019618</v>
      </c>
      <c r="F880" s="5" t="inlineStr">
        <is>
          <t>618708</t>
        </is>
      </c>
      <c r="G880" s="5" t="inlineStr">
        <is>
          <t>EUR</t>
        </is>
      </c>
      <c r="H880" s="9" t="n">
        <v>-21946147.51</v>
      </c>
      <c r="I880" s="16" t="n">
        <v>45274</v>
      </c>
      <c r="J880" s="16" t="n">
        <v>45304</v>
      </c>
      <c r="K880" s="5" t="inlineStr">
        <is>
          <t>Fatura do fornecedor NORDEX ENERGY SE &amp; CO. KG 618</t>
        </is>
      </c>
      <c r="L880" s="5" t="n"/>
      <c r="M880" s="5">
        <f>IF(YEAR(I880)&lt;=2020,"Até 2020",TEXT(YEAR(I880),"0"))</f>
        <v/>
      </c>
      <c r="N880" s="5">
        <f>IFERROR(INDEX(DePara!$A:$A,MATCH(TEXT(B880,"0"),DePara!$D:$D,0)),"(sem categoria)")</f>
        <v/>
      </c>
      <c r="O880" s="5">
        <f>IF(J880="","",Parametros!$B$6-J880)</f>
        <v/>
      </c>
      <c r="P880" s="5">
        <f>IF(O880="","",IF(O880&gt;0,1,0))</f>
        <v/>
      </c>
    </row>
    <row r="881">
      <c r="A881" s="5" t="n">
        <v>2122100000</v>
      </c>
      <c r="B881" s="5" t="inlineStr">
        <is>
          <t>IC1000</t>
        </is>
      </c>
      <c r="C881" s="5" t="inlineStr">
        <is>
          <t>NORDEX ENERGY SE &amp; CO KG</t>
        </is>
      </c>
      <c r="D881" s="5" t="inlineStr">
        <is>
          <t>RE</t>
        </is>
      </c>
      <c r="E881" s="5" t="n">
        <v>5019744</v>
      </c>
      <c r="F881" s="5" t="inlineStr">
        <is>
          <t>172-4</t>
        </is>
      </c>
      <c r="G881" s="5" t="inlineStr">
        <is>
          <t>EUR</t>
        </is>
      </c>
      <c r="H881" s="9" t="n">
        <v>-177647.43</v>
      </c>
      <c r="I881" s="16" t="n">
        <v>45121</v>
      </c>
      <c r="J881" s="16" t="n">
        <v>45151</v>
      </c>
      <c r="K881" s="5" t="inlineStr">
        <is>
          <t>Fatura - bruto NORDEX ENERGY SE &amp; CO. KG 172-4</t>
        </is>
      </c>
      <c r="L881" s="5" t="n"/>
      <c r="M881" s="5">
        <f>IF(YEAR(I881)&lt;=2020,"Até 2020",TEXT(YEAR(I881),"0"))</f>
        <v/>
      </c>
      <c r="N881" s="5">
        <f>IFERROR(INDEX(DePara!$A:$A,MATCH(TEXT(B881,"0"),DePara!$D:$D,0)),"(sem categoria)")</f>
        <v/>
      </c>
      <c r="O881" s="5">
        <f>IF(J881="","",Parametros!$B$6-J881)</f>
        <v/>
      </c>
      <c r="P881" s="5">
        <f>IF(O881="","",IF(O881&gt;0,1,0))</f>
        <v/>
      </c>
    </row>
    <row r="882">
      <c r="A882" s="5" t="n">
        <v>2122100000</v>
      </c>
      <c r="B882" s="5" t="inlineStr">
        <is>
          <t>IC1000</t>
        </is>
      </c>
      <c r="C882" s="5" t="inlineStr">
        <is>
          <t>NORDEX ENERGY SE &amp; CO KG</t>
        </is>
      </c>
      <c r="D882" s="5" t="inlineStr">
        <is>
          <t>RE</t>
        </is>
      </c>
      <c r="E882" s="5" t="n">
        <v>5019760</v>
      </c>
      <c r="F882" s="5" t="inlineStr">
        <is>
          <t>173-4</t>
        </is>
      </c>
      <c r="G882" s="5" t="inlineStr">
        <is>
          <t>EUR</t>
        </is>
      </c>
      <c r="H882" s="9" t="n">
        <v>-456265.39</v>
      </c>
      <c r="I882" s="16" t="n">
        <v>45121</v>
      </c>
      <c r="J882" s="16" t="n">
        <v>45151</v>
      </c>
      <c r="K882" s="5" t="inlineStr">
        <is>
          <t>Fatura - bruto NORDEX ENERGY SE &amp; CO. KG 173-4</t>
        </is>
      </c>
      <c r="L882" s="5" t="n"/>
      <c r="M882" s="5">
        <f>IF(YEAR(I882)&lt;=2020,"Até 2020",TEXT(YEAR(I882),"0"))</f>
        <v/>
      </c>
      <c r="N882" s="5">
        <f>IFERROR(INDEX(DePara!$A:$A,MATCH(TEXT(B882,"0"),DePara!$D:$D,0)),"(sem categoria)")</f>
        <v/>
      </c>
      <c r="O882" s="5">
        <f>IF(J882="","",Parametros!$B$6-J882)</f>
        <v/>
      </c>
      <c r="P882" s="5">
        <f>IF(O882="","",IF(O882&gt;0,1,0))</f>
        <v/>
      </c>
    </row>
    <row r="883">
      <c r="A883" s="5" t="n">
        <v>2122100000</v>
      </c>
      <c r="B883" s="5" t="inlineStr">
        <is>
          <t>IC1000</t>
        </is>
      </c>
      <c r="C883" s="5" t="inlineStr">
        <is>
          <t>NORDEX ENERGY SE &amp; CO KG</t>
        </is>
      </c>
      <c r="D883" s="5" t="inlineStr">
        <is>
          <t>RE</t>
        </is>
      </c>
      <c r="E883" s="5" t="n">
        <v>5019762</v>
      </c>
      <c r="F883" s="5" t="inlineStr">
        <is>
          <t>174-4</t>
        </is>
      </c>
      <c r="G883" s="5" t="inlineStr">
        <is>
          <t>EUR</t>
        </is>
      </c>
      <c r="H883" s="9" t="n">
        <v>-8021.12</v>
      </c>
      <c r="I883" s="16" t="n">
        <v>45121</v>
      </c>
      <c r="J883" s="16" t="n">
        <v>45151</v>
      </c>
      <c r="K883" s="5" t="inlineStr">
        <is>
          <t>Fatura - bruto NORDEX ENERGY SE &amp; CO. KG 174-4</t>
        </is>
      </c>
      <c r="L883" s="5" t="n"/>
      <c r="M883" s="5">
        <f>IF(YEAR(I883)&lt;=2020,"Até 2020",TEXT(YEAR(I883),"0"))</f>
        <v/>
      </c>
      <c r="N883" s="5">
        <f>IFERROR(INDEX(DePara!$A:$A,MATCH(TEXT(B883,"0"),DePara!$D:$D,0)),"(sem categoria)")</f>
        <v/>
      </c>
      <c r="O883" s="5">
        <f>IF(J883="","",Parametros!$B$6-J883)</f>
        <v/>
      </c>
      <c r="P883" s="5">
        <f>IF(O883="","",IF(O883&gt;0,1,0))</f>
        <v/>
      </c>
    </row>
    <row r="884">
      <c r="A884" s="5" t="n">
        <v>2122100000</v>
      </c>
      <c r="B884" s="5" t="inlineStr">
        <is>
          <t>IC1000</t>
        </is>
      </c>
      <c r="C884" s="5" t="inlineStr">
        <is>
          <t>NORDEX ENERGY SE &amp; CO KG</t>
        </is>
      </c>
      <c r="D884" s="5" t="inlineStr">
        <is>
          <t>RE</t>
        </is>
      </c>
      <c r="E884" s="5" t="n">
        <v>5019781</v>
      </c>
      <c r="F884" s="5" t="inlineStr">
        <is>
          <t>179-4</t>
        </is>
      </c>
      <c r="G884" s="5" t="inlineStr">
        <is>
          <t>EUR</t>
        </is>
      </c>
      <c r="H884" s="9" t="n">
        <v>-40081.96</v>
      </c>
      <c r="I884" s="16" t="n">
        <v>45128</v>
      </c>
      <c r="J884" s="16" t="n">
        <v>45158</v>
      </c>
      <c r="K884" s="5" t="inlineStr">
        <is>
          <t>Fatura - bruto NORDEX ENERGY SE &amp; CO. KG 179-4</t>
        </is>
      </c>
      <c r="L884" s="5" t="n"/>
      <c r="M884" s="5">
        <f>IF(YEAR(I884)&lt;=2020,"Até 2020",TEXT(YEAR(I884),"0"))</f>
        <v/>
      </c>
      <c r="N884" s="5">
        <f>IFERROR(INDEX(DePara!$A:$A,MATCH(TEXT(B884,"0"),DePara!$D:$D,0)),"(sem categoria)")</f>
        <v/>
      </c>
      <c r="O884" s="5">
        <f>IF(J884="","",Parametros!$B$6-J884)</f>
        <v/>
      </c>
      <c r="P884" s="5">
        <f>IF(O884="","",IF(O884&gt;0,1,0))</f>
        <v/>
      </c>
    </row>
    <row r="885">
      <c r="A885" s="5" t="n">
        <v>2122100000</v>
      </c>
      <c r="B885" s="5" t="inlineStr">
        <is>
          <t>IC1000</t>
        </is>
      </c>
      <c r="C885" s="5" t="inlineStr">
        <is>
          <t>NORDEX ENERGY SE &amp; CO KG</t>
        </is>
      </c>
      <c r="D885" s="5" t="inlineStr">
        <is>
          <t>RE</t>
        </is>
      </c>
      <c r="E885" s="5" t="n">
        <v>5019801</v>
      </c>
      <c r="F885" s="5" t="inlineStr">
        <is>
          <t>180-4</t>
        </is>
      </c>
      <c r="G885" s="5" t="inlineStr">
        <is>
          <t>EUR</t>
        </is>
      </c>
      <c r="H885" s="9" t="n">
        <v>-147144.3</v>
      </c>
      <c r="I885" s="16" t="n">
        <v>45128</v>
      </c>
      <c r="J885" s="16" t="n">
        <v>45158</v>
      </c>
      <c r="K885" s="5" t="inlineStr">
        <is>
          <t>Invoice Receipt MM NORDEX ENERGY SE &amp; CO. KG 180-4</t>
        </is>
      </c>
      <c r="L885" s="5" t="n"/>
      <c r="M885" s="5">
        <f>IF(YEAR(I885)&lt;=2020,"Até 2020",TEXT(YEAR(I885),"0"))</f>
        <v/>
      </c>
      <c r="N885" s="5">
        <f>IFERROR(INDEX(DePara!$A:$A,MATCH(TEXT(B885,"0"),DePara!$D:$D,0)),"(sem categoria)")</f>
        <v/>
      </c>
      <c r="O885" s="5">
        <f>IF(J885="","",Parametros!$B$6-J885)</f>
        <v/>
      </c>
      <c r="P885" s="5">
        <f>IF(O885="","",IF(O885&gt;0,1,0))</f>
        <v/>
      </c>
    </row>
    <row r="886">
      <c r="A886" s="5" t="n">
        <v>2122100000</v>
      </c>
      <c r="B886" s="5" t="inlineStr">
        <is>
          <t>IC1000</t>
        </is>
      </c>
      <c r="C886" s="5" t="inlineStr">
        <is>
          <t>NORDEX ENERGY SE &amp; CO KG</t>
        </is>
      </c>
      <c r="D886" s="5" t="inlineStr">
        <is>
          <t>RE</t>
        </is>
      </c>
      <c r="E886" s="5" t="n">
        <v>5019807</v>
      </c>
      <c r="F886" s="5" t="inlineStr">
        <is>
          <t>178-4</t>
        </is>
      </c>
      <c r="G886" s="5" t="inlineStr">
        <is>
          <t>EUR</t>
        </is>
      </c>
      <c r="H886" s="9" t="n">
        <v>-69360.61</v>
      </c>
      <c r="I886" s="16" t="n">
        <v>45128</v>
      </c>
      <c r="J886" s="16" t="n">
        <v>45158</v>
      </c>
      <c r="K886" s="5" t="inlineStr">
        <is>
          <t>Invoice Receipt MM NORDEX ENERGY SE &amp; CO. KG 178-4</t>
        </is>
      </c>
      <c r="L886" s="5" t="n"/>
      <c r="M886" s="5">
        <f>IF(YEAR(I886)&lt;=2020,"Até 2020",TEXT(YEAR(I886),"0"))</f>
        <v/>
      </c>
      <c r="N886" s="5">
        <f>IFERROR(INDEX(DePara!$A:$A,MATCH(TEXT(B886,"0"),DePara!$D:$D,0)),"(sem categoria)")</f>
        <v/>
      </c>
      <c r="O886" s="5">
        <f>IF(J886="","",Parametros!$B$6-J886)</f>
        <v/>
      </c>
      <c r="P886" s="5">
        <f>IF(O886="","",IF(O886&gt;0,1,0))</f>
        <v/>
      </c>
    </row>
    <row r="887">
      <c r="A887" s="5" t="n">
        <v>2122100000</v>
      </c>
      <c r="B887" s="5" t="inlineStr">
        <is>
          <t>IC1000</t>
        </is>
      </c>
      <c r="C887" s="5" t="inlineStr">
        <is>
          <t>NORDEX ENERGY SE &amp; CO KG</t>
        </is>
      </c>
      <c r="D887" s="5" t="inlineStr">
        <is>
          <t>RE</t>
        </is>
      </c>
      <c r="E887" s="5" t="n">
        <v>5019900</v>
      </c>
      <c r="F887" s="5" t="inlineStr">
        <is>
          <t>342634</t>
        </is>
      </c>
      <c r="G887" s="5" t="inlineStr">
        <is>
          <t>EUR</t>
        </is>
      </c>
      <c r="H887" s="9" t="n">
        <v>-5983.68</v>
      </c>
      <c r="I887" s="16" t="n">
        <v>45784</v>
      </c>
      <c r="J887" s="16" t="n">
        <v>45814</v>
      </c>
      <c r="K887" s="5" t="inlineStr">
        <is>
          <t>0400/25</t>
        </is>
      </c>
      <c r="L887" s="5" t="inlineStr">
        <is>
          <t>342634</t>
        </is>
      </c>
      <c r="M887" s="5">
        <f>IF(YEAR(I887)&lt;=2020,"Até 2020",TEXT(YEAR(I887),"0"))</f>
        <v/>
      </c>
      <c r="N887" s="5">
        <f>IFERROR(INDEX(DePara!$A:$A,MATCH(TEXT(B887,"0"),DePara!$D:$D,0)),"(sem categoria)")</f>
        <v/>
      </c>
      <c r="O887" s="5">
        <f>IF(J887="","",Parametros!$B$6-J887)</f>
        <v/>
      </c>
      <c r="P887" s="5">
        <f>IF(O887="","",IF(O887&gt;0,1,0))</f>
        <v/>
      </c>
    </row>
    <row r="888">
      <c r="A888" s="5" t="n">
        <v>2122100000</v>
      </c>
      <c r="B888" s="5" t="inlineStr">
        <is>
          <t>IC5000</t>
        </is>
      </c>
      <c r="C888" s="5" t="inlineStr">
        <is>
          <t>NORDEX SE</t>
        </is>
      </c>
      <c r="D888" s="5" t="inlineStr">
        <is>
          <t>KR</t>
        </is>
      </c>
      <c r="E888" s="5" t="n">
        <v>5019962</v>
      </c>
      <c r="F888" s="5" t="inlineStr">
        <is>
          <t>607687</t>
        </is>
      </c>
      <c r="G888" s="5" t="inlineStr">
        <is>
          <t>EUR</t>
        </is>
      </c>
      <c r="H888" s="9" t="n">
        <v>-3682917.39</v>
      </c>
      <c r="I888" s="16" t="n">
        <v>45291</v>
      </c>
      <c r="J888" s="16" t="n">
        <v>45291</v>
      </c>
      <c r="K888" s="5" t="inlineStr">
        <is>
          <t>Vendor Invoice NORDEX SE 607687</t>
        </is>
      </c>
      <c r="L888" s="5" t="n"/>
      <c r="M888" s="5">
        <f>IF(YEAR(I888)&lt;=2020,"Até 2020",TEXT(YEAR(I888),"0"))</f>
        <v/>
      </c>
      <c r="N888" s="5">
        <f>IFERROR(INDEX(DePara!$A:$A,MATCH(TEXT(B888,"0"),DePara!$D:$D,0)),"(sem categoria)")</f>
        <v/>
      </c>
      <c r="O888" s="5">
        <f>IF(J888="","",Parametros!$B$6-J888)</f>
        <v/>
      </c>
      <c r="P888" s="5">
        <f>IF(O888="","",IF(O888&gt;0,1,0))</f>
        <v/>
      </c>
    </row>
    <row r="889">
      <c r="A889" s="5" t="n">
        <v>2122100000</v>
      </c>
      <c r="B889" s="5" t="inlineStr">
        <is>
          <t>IC1000</t>
        </is>
      </c>
      <c r="C889" s="5" t="inlineStr">
        <is>
          <t>NORDEX ENERGY SE &amp; CO KG</t>
        </is>
      </c>
      <c r="D889" s="5" t="inlineStr">
        <is>
          <t>KR</t>
        </is>
      </c>
      <c r="E889" s="5" t="n">
        <v>5019978</v>
      </c>
      <c r="F889" s="5" t="inlineStr">
        <is>
          <t>618843</t>
        </is>
      </c>
      <c r="G889" s="5" t="inlineStr">
        <is>
          <t>EUR</t>
        </is>
      </c>
      <c r="H889" s="9" t="n">
        <v>-55456083.07</v>
      </c>
      <c r="I889" s="16" t="n">
        <v>45288</v>
      </c>
      <c r="J889" s="16" t="n">
        <v>45318</v>
      </c>
      <c r="K889" s="5" t="inlineStr">
        <is>
          <t>Fatura do fornecedor NORDEX ENERGY SE &amp; CO. KG 618</t>
        </is>
      </c>
      <c r="L889" s="5" t="n"/>
      <c r="M889" s="5">
        <f>IF(YEAR(I889)&lt;=2020,"Até 2020",TEXT(YEAR(I889),"0"))</f>
        <v/>
      </c>
      <c r="N889" s="5">
        <f>IFERROR(INDEX(DePara!$A:$A,MATCH(TEXT(B889,"0"),DePara!$D:$D,0)),"(sem categoria)")</f>
        <v/>
      </c>
      <c r="O889" s="5">
        <f>IF(J889="","",Parametros!$B$6-J889)</f>
        <v/>
      </c>
      <c r="P889" s="5">
        <f>IF(O889="","",IF(O889&gt;0,1,0))</f>
        <v/>
      </c>
    </row>
    <row r="890">
      <c r="A890" s="5" t="n">
        <v>2122100000</v>
      </c>
      <c r="B890" s="5" t="inlineStr">
        <is>
          <t>IC1000</t>
        </is>
      </c>
      <c r="C890" s="5" t="inlineStr">
        <is>
          <t>NORDEX ENERGY SE &amp; CO KG</t>
        </is>
      </c>
      <c r="D890" s="5" t="inlineStr">
        <is>
          <t>KR</t>
        </is>
      </c>
      <c r="E890" s="5" t="n">
        <v>5019979</v>
      </c>
      <c r="F890" s="5" t="inlineStr">
        <is>
          <t>618844</t>
        </is>
      </c>
      <c r="G890" s="5" t="inlineStr">
        <is>
          <t>EUR</t>
        </is>
      </c>
      <c r="H890" s="9" t="n">
        <v>-48177791.9</v>
      </c>
      <c r="I890" s="16" t="n">
        <v>45288</v>
      </c>
      <c r="J890" s="16" t="n">
        <v>45318</v>
      </c>
      <c r="K890" s="5" t="inlineStr">
        <is>
          <t>Fatura do fornecedor NORDEX ENERGY SE &amp; CO. KG 618</t>
        </is>
      </c>
      <c r="L890" s="5" t="n"/>
      <c r="M890" s="5">
        <f>IF(YEAR(I890)&lt;=2020,"Até 2020",TEXT(YEAR(I890),"0"))</f>
        <v/>
      </c>
      <c r="N890" s="5">
        <f>IFERROR(INDEX(DePara!$A:$A,MATCH(TEXT(B890,"0"),DePara!$D:$D,0)),"(sem categoria)")</f>
        <v/>
      </c>
      <c r="O890" s="5">
        <f>IF(J890="","",Parametros!$B$6-J890)</f>
        <v/>
      </c>
      <c r="P890" s="5">
        <f>IF(O890="","",IF(O890&gt;0,1,0))</f>
        <v/>
      </c>
    </row>
    <row r="891">
      <c r="A891" s="5" t="n">
        <v>2122100000</v>
      </c>
      <c r="B891" s="5" t="inlineStr">
        <is>
          <t>IC1000</t>
        </is>
      </c>
      <c r="C891" s="5" t="inlineStr">
        <is>
          <t>NORDEX ENERGY SE &amp; CO KG</t>
        </is>
      </c>
      <c r="D891" s="5" t="inlineStr">
        <is>
          <t>KR</t>
        </is>
      </c>
      <c r="E891" s="5" t="n">
        <v>5019980</v>
      </c>
      <c r="F891" s="5" t="inlineStr">
        <is>
          <t>618846</t>
        </is>
      </c>
      <c r="G891" s="5" t="inlineStr">
        <is>
          <t>EUR</t>
        </is>
      </c>
      <c r="H891" s="9" t="n">
        <v>-81941862.59999999</v>
      </c>
      <c r="I891" s="16" t="n">
        <v>45288</v>
      </c>
      <c r="J891" s="16" t="n">
        <v>45318</v>
      </c>
      <c r="K891" s="5" t="inlineStr">
        <is>
          <t>Fatura do fornecedor NORDEX ENERGY SE &amp; CO. KG 618</t>
        </is>
      </c>
      <c r="L891" s="5" t="n"/>
      <c r="M891" s="5">
        <f>IF(YEAR(I891)&lt;=2020,"Até 2020",TEXT(YEAR(I891),"0"))</f>
        <v/>
      </c>
      <c r="N891" s="5">
        <f>IFERROR(INDEX(DePara!$A:$A,MATCH(TEXT(B891,"0"),DePara!$D:$D,0)),"(sem categoria)")</f>
        <v/>
      </c>
      <c r="O891" s="5">
        <f>IF(J891="","",Parametros!$B$6-J891)</f>
        <v/>
      </c>
      <c r="P891" s="5">
        <f>IF(O891="","",IF(O891&gt;0,1,0))</f>
        <v/>
      </c>
    </row>
    <row r="892">
      <c r="A892" s="5" t="n">
        <v>2122100000</v>
      </c>
      <c r="B892" s="5" t="inlineStr">
        <is>
          <t>IC5000</t>
        </is>
      </c>
      <c r="C892" s="5" t="inlineStr">
        <is>
          <t>NORDEX SE</t>
        </is>
      </c>
      <c r="D892" s="5" t="inlineStr">
        <is>
          <t>KR</t>
        </is>
      </c>
      <c r="E892" s="5" t="n">
        <v>5019981</v>
      </c>
      <c r="F892" s="5" t="inlineStr">
        <is>
          <t>607480</t>
        </is>
      </c>
      <c r="G892" s="5" t="inlineStr">
        <is>
          <t>EUR</t>
        </is>
      </c>
      <c r="H892" s="9" t="n">
        <v>-207613.79</v>
      </c>
      <c r="I892" s="16" t="n">
        <v>45264</v>
      </c>
      <c r="J892" s="16" t="n">
        <v>45264</v>
      </c>
      <c r="K892" s="5" t="inlineStr">
        <is>
          <t>Fatura do fornecedor NORDEX SE 607480</t>
        </is>
      </c>
      <c r="L892" s="5" t="n"/>
      <c r="M892" s="5">
        <f>IF(YEAR(I892)&lt;=2020,"Até 2020",TEXT(YEAR(I892),"0"))</f>
        <v/>
      </c>
      <c r="N892" s="5">
        <f>IFERROR(INDEX(DePara!$A:$A,MATCH(TEXT(B892,"0"),DePara!$D:$D,0)),"(sem categoria)")</f>
        <v/>
      </c>
      <c r="O892" s="5">
        <f>IF(J892="","",Parametros!$B$6-J892)</f>
        <v/>
      </c>
      <c r="P892" s="5">
        <f>IF(O892="","",IF(O892&gt;0,1,0))</f>
        <v/>
      </c>
    </row>
    <row r="893">
      <c r="A893" s="5" t="n">
        <v>2122100000</v>
      </c>
      <c r="B893" s="5" t="inlineStr">
        <is>
          <t>IC5000</t>
        </is>
      </c>
      <c r="C893" s="5" t="inlineStr">
        <is>
          <t>NORDEX SE</t>
        </is>
      </c>
      <c r="D893" s="5" t="inlineStr">
        <is>
          <t>KR</t>
        </is>
      </c>
      <c r="E893" s="5" t="n">
        <v>5019985</v>
      </c>
      <c r="F893" s="5" t="inlineStr">
        <is>
          <t>607617</t>
        </is>
      </c>
      <c r="G893" s="5" t="inlineStr">
        <is>
          <t>EUR</t>
        </is>
      </c>
      <c r="H893" s="9" t="n">
        <v>-13392.99</v>
      </c>
      <c r="I893" s="16" t="n">
        <v>45278</v>
      </c>
      <c r="J893" s="16" t="n">
        <v>45278</v>
      </c>
      <c r="K893" s="5" t="inlineStr">
        <is>
          <t>Fatura do fornecedor NORDEX SE 607617</t>
        </is>
      </c>
      <c r="L893" s="5" t="n"/>
      <c r="M893" s="5">
        <f>IF(YEAR(I893)&lt;=2020,"Até 2020",TEXT(YEAR(I893),"0"))</f>
        <v/>
      </c>
      <c r="N893" s="5">
        <f>IFERROR(INDEX(DePara!$A:$A,MATCH(TEXT(B893,"0"),DePara!$D:$D,0)),"(sem categoria)")</f>
        <v/>
      </c>
      <c r="O893" s="5">
        <f>IF(J893="","",Parametros!$B$6-J893)</f>
        <v/>
      </c>
      <c r="P893" s="5">
        <f>IF(O893="","",IF(O893&gt;0,1,0))</f>
        <v/>
      </c>
    </row>
    <row r="894">
      <c r="A894" s="5" t="n">
        <v>2122100000</v>
      </c>
      <c r="B894" s="5" t="inlineStr">
        <is>
          <t>IC5000</t>
        </is>
      </c>
      <c r="C894" s="5" t="inlineStr">
        <is>
          <t>NORDEX SE</t>
        </is>
      </c>
      <c r="D894" s="5" t="inlineStr">
        <is>
          <t>KR</t>
        </is>
      </c>
      <c r="E894" s="5" t="n">
        <v>5019986</v>
      </c>
      <c r="F894" s="5" t="inlineStr">
        <is>
          <t>607620</t>
        </is>
      </c>
      <c r="G894" s="5" t="inlineStr">
        <is>
          <t>BRL</t>
        </is>
      </c>
      <c r="H894" s="9" t="n">
        <v>-13167</v>
      </c>
      <c r="I894" s="16" t="n">
        <v>45278</v>
      </c>
      <c r="J894" s="16" t="n">
        <v>45278</v>
      </c>
      <c r="K894" s="5" t="inlineStr">
        <is>
          <t>Fatura do fornecedor NORDEX SE 607620</t>
        </is>
      </c>
      <c r="L894" s="5" t="n"/>
      <c r="M894" s="5">
        <f>IF(YEAR(I894)&lt;=2020,"Até 2020",TEXT(YEAR(I894),"0"))</f>
        <v/>
      </c>
      <c r="N894" s="5">
        <f>IFERROR(INDEX(DePara!$A:$A,MATCH(TEXT(B894,"0"),DePara!$D:$D,0)),"(sem categoria)")</f>
        <v/>
      </c>
      <c r="O894" s="5">
        <f>IF(J894="","",Parametros!$B$6-J894)</f>
        <v/>
      </c>
      <c r="P894" s="5">
        <f>IF(O894="","",IF(O894&gt;0,1,0))</f>
        <v/>
      </c>
    </row>
    <row r="895">
      <c r="A895" s="5" t="n">
        <v>2122100000</v>
      </c>
      <c r="B895" s="5" t="inlineStr">
        <is>
          <t>IC5000</t>
        </is>
      </c>
      <c r="C895" s="5" t="inlineStr">
        <is>
          <t>NORDEX SE</t>
        </is>
      </c>
      <c r="D895" s="5" t="inlineStr">
        <is>
          <t>KR</t>
        </is>
      </c>
      <c r="E895" s="5" t="n">
        <v>5019987</v>
      </c>
      <c r="F895" s="5" t="inlineStr">
        <is>
          <t>607624</t>
        </is>
      </c>
      <c r="G895" s="5" t="inlineStr">
        <is>
          <t>BRL</t>
        </is>
      </c>
      <c r="H895" s="9" t="n">
        <v>-110624.97</v>
      </c>
      <c r="I895" s="16" t="n">
        <v>45278</v>
      </c>
      <c r="J895" s="16" t="n">
        <v>45278</v>
      </c>
      <c r="K895" s="5" t="inlineStr">
        <is>
          <t>Fatura do fornecedor NORDEX SE 607624</t>
        </is>
      </c>
      <c r="L895" s="5" t="n"/>
      <c r="M895" s="5">
        <f>IF(YEAR(I895)&lt;=2020,"Até 2020",TEXT(YEAR(I895),"0"))</f>
        <v/>
      </c>
      <c r="N895" s="5">
        <f>IFERROR(INDEX(DePara!$A:$A,MATCH(TEXT(B895,"0"),DePara!$D:$D,0)),"(sem categoria)")</f>
        <v/>
      </c>
      <c r="O895" s="5">
        <f>IF(J895="","",Parametros!$B$6-J895)</f>
        <v/>
      </c>
      <c r="P895" s="5">
        <f>IF(O895="","",IF(O895&gt;0,1,0))</f>
        <v/>
      </c>
    </row>
    <row r="896">
      <c r="A896" s="5" t="n">
        <v>2122100000</v>
      </c>
      <c r="B896" s="5" t="inlineStr">
        <is>
          <t>IC5000</t>
        </is>
      </c>
      <c r="C896" s="5" t="inlineStr">
        <is>
          <t>NORDEX SE</t>
        </is>
      </c>
      <c r="D896" s="5" t="inlineStr">
        <is>
          <t>KR</t>
        </is>
      </c>
      <c r="E896" s="5" t="n">
        <v>5019988</v>
      </c>
      <c r="F896" s="5" t="inlineStr">
        <is>
          <t>607625</t>
        </is>
      </c>
      <c r="G896" s="5" t="inlineStr">
        <is>
          <t>BRL</t>
        </is>
      </c>
      <c r="H896" s="9" t="n">
        <v>-10317</v>
      </c>
      <c r="I896" s="16" t="n">
        <v>45278</v>
      </c>
      <c r="J896" s="16" t="n">
        <v>45278</v>
      </c>
      <c r="K896" s="5" t="inlineStr">
        <is>
          <t>Fatura do fornecedor NORDEX SE 607625</t>
        </is>
      </c>
      <c r="L896" s="5" t="n"/>
      <c r="M896" s="5">
        <f>IF(YEAR(I896)&lt;=2020,"Até 2020",TEXT(YEAR(I896),"0"))</f>
        <v/>
      </c>
      <c r="N896" s="5">
        <f>IFERROR(INDEX(DePara!$A:$A,MATCH(TEXT(B896,"0"),DePara!$D:$D,0)),"(sem categoria)")</f>
        <v/>
      </c>
      <c r="O896" s="5">
        <f>IF(J896="","",Parametros!$B$6-J896)</f>
        <v/>
      </c>
      <c r="P896" s="5">
        <f>IF(O896="","",IF(O896&gt;0,1,0))</f>
        <v/>
      </c>
    </row>
    <row r="897">
      <c r="A897" s="5" t="n">
        <v>2122100000</v>
      </c>
      <c r="B897" s="5" t="inlineStr">
        <is>
          <t>IC5000</t>
        </is>
      </c>
      <c r="C897" s="5" t="inlineStr">
        <is>
          <t>NORDEX SE</t>
        </is>
      </c>
      <c r="D897" s="5" t="inlineStr">
        <is>
          <t>KR</t>
        </is>
      </c>
      <c r="E897" s="5" t="n">
        <v>5019989</v>
      </c>
      <c r="F897" s="5" t="inlineStr">
        <is>
          <t>607629</t>
        </is>
      </c>
      <c r="G897" s="5" t="inlineStr">
        <is>
          <t>BRL</t>
        </is>
      </c>
      <c r="H897" s="9" t="n">
        <v>-148635.73</v>
      </c>
      <c r="I897" s="16" t="n">
        <v>45278</v>
      </c>
      <c r="J897" s="16" t="n">
        <v>45278</v>
      </c>
      <c r="K897" s="5" t="inlineStr">
        <is>
          <t>Fatura do fornecedor NORDEX SE 607629</t>
        </is>
      </c>
      <c r="L897" s="5" t="n"/>
      <c r="M897" s="5">
        <f>IF(YEAR(I897)&lt;=2020,"Até 2020",TEXT(YEAR(I897),"0"))</f>
        <v/>
      </c>
      <c r="N897" s="5">
        <f>IFERROR(INDEX(DePara!$A:$A,MATCH(TEXT(B897,"0"),DePara!$D:$D,0)),"(sem categoria)")</f>
        <v/>
      </c>
      <c r="O897" s="5">
        <f>IF(J897="","",Parametros!$B$6-J897)</f>
        <v/>
      </c>
      <c r="P897" s="5">
        <f>IF(O897="","",IF(O897&gt;0,1,0))</f>
        <v/>
      </c>
    </row>
    <row r="898">
      <c r="A898" s="5" t="n">
        <v>2122100000</v>
      </c>
      <c r="B898" s="5" t="inlineStr">
        <is>
          <t>IC1000</t>
        </is>
      </c>
      <c r="C898" s="5" t="inlineStr">
        <is>
          <t>NORDEX ENERGY SE &amp; CO KG</t>
        </is>
      </c>
      <c r="D898" s="5" t="inlineStr">
        <is>
          <t>KR</t>
        </is>
      </c>
      <c r="E898" s="5" t="n">
        <v>5019992</v>
      </c>
      <c r="F898" s="5" t="inlineStr">
        <is>
          <t>618772</t>
        </is>
      </c>
      <c r="G898" s="5" t="inlineStr">
        <is>
          <t>EUR</t>
        </is>
      </c>
      <c r="H898" s="9" t="n">
        <v>-9061.41</v>
      </c>
      <c r="I898" s="16" t="n">
        <v>45278</v>
      </c>
      <c r="J898" s="16" t="n">
        <v>45308</v>
      </c>
      <c r="K898" s="5" t="inlineStr">
        <is>
          <t>Fatura do fornecedor NORDEX ENERGY SE &amp; CO. KG 618</t>
        </is>
      </c>
      <c r="L898" s="5" t="n"/>
      <c r="M898" s="5">
        <f>IF(YEAR(I898)&lt;=2020,"Até 2020",TEXT(YEAR(I898),"0"))</f>
        <v/>
      </c>
      <c r="N898" s="5">
        <f>IFERROR(INDEX(DePara!$A:$A,MATCH(TEXT(B898,"0"),DePara!$D:$D,0)),"(sem categoria)")</f>
        <v/>
      </c>
      <c r="O898" s="5">
        <f>IF(J898="","",Parametros!$B$6-J898)</f>
        <v/>
      </c>
      <c r="P898" s="5">
        <f>IF(O898="","",IF(O898&gt;0,1,0))</f>
        <v/>
      </c>
    </row>
    <row r="899">
      <c r="A899" s="5" t="n">
        <v>2122100000</v>
      </c>
      <c r="B899" s="5" t="inlineStr">
        <is>
          <t>IC1000</t>
        </is>
      </c>
      <c r="C899" s="5" t="inlineStr">
        <is>
          <t>NORDEX ENERGY SE &amp; CO KG</t>
        </is>
      </c>
      <c r="D899" s="5" t="inlineStr">
        <is>
          <t>KR</t>
        </is>
      </c>
      <c r="E899" s="5" t="n">
        <v>5019993</v>
      </c>
      <c r="F899" s="5" t="inlineStr">
        <is>
          <t>618770</t>
        </is>
      </c>
      <c r="G899" s="5" t="inlineStr">
        <is>
          <t>EUR</t>
        </is>
      </c>
      <c r="H899" s="9" t="n">
        <v>-37244.01</v>
      </c>
      <c r="I899" s="16" t="n">
        <v>45278</v>
      </c>
      <c r="J899" s="16" t="n">
        <v>45308</v>
      </c>
      <c r="K899" s="5" t="inlineStr">
        <is>
          <t>Fatura do fornecedor NORDEX ENERGY SE &amp; CO. KG 618</t>
        </is>
      </c>
      <c r="L899" s="5" t="n"/>
      <c r="M899" s="5">
        <f>IF(YEAR(I899)&lt;=2020,"Até 2020",TEXT(YEAR(I899),"0"))</f>
        <v/>
      </c>
      <c r="N899" s="5">
        <f>IFERROR(INDEX(DePara!$A:$A,MATCH(TEXT(B899,"0"),DePara!$D:$D,0)),"(sem categoria)")</f>
        <v/>
      </c>
      <c r="O899" s="5">
        <f>IF(J899="","",Parametros!$B$6-J899)</f>
        <v/>
      </c>
      <c r="P899" s="5">
        <f>IF(O899="","",IF(O899&gt;0,1,0))</f>
        <v/>
      </c>
    </row>
    <row r="900">
      <c r="A900" s="5" t="n">
        <v>2122100000</v>
      </c>
      <c r="B900" s="5" t="inlineStr">
        <is>
          <t>IC1000</t>
        </is>
      </c>
      <c r="C900" s="5" t="inlineStr">
        <is>
          <t>NORDEX ENERGY SE &amp; CO KG</t>
        </is>
      </c>
      <c r="D900" s="5" t="inlineStr">
        <is>
          <t>KR</t>
        </is>
      </c>
      <c r="E900" s="5" t="n">
        <v>5019994</v>
      </c>
      <c r="F900" s="5" t="inlineStr">
        <is>
          <t>618771</t>
        </is>
      </c>
      <c r="G900" s="5" t="inlineStr">
        <is>
          <t>EUR</t>
        </is>
      </c>
      <c r="H900" s="9" t="n">
        <v>-27531.85</v>
      </c>
      <c r="I900" s="16" t="n">
        <v>45278</v>
      </c>
      <c r="J900" s="16" t="n">
        <v>45308</v>
      </c>
      <c r="K900" s="5" t="inlineStr">
        <is>
          <t>Fatura do fornecedor NORDEX ENERGY SE &amp; CO. KG 618</t>
        </is>
      </c>
      <c r="L900" s="5" t="n"/>
      <c r="M900" s="5">
        <f>IF(YEAR(I900)&lt;=2020,"Até 2020",TEXT(YEAR(I900),"0"))</f>
        <v/>
      </c>
      <c r="N900" s="5">
        <f>IFERROR(INDEX(DePara!$A:$A,MATCH(TEXT(B900,"0"),DePara!$D:$D,0)),"(sem categoria)")</f>
        <v/>
      </c>
      <c r="O900" s="5">
        <f>IF(J900="","",Parametros!$B$6-J900)</f>
        <v/>
      </c>
      <c r="P900" s="5">
        <f>IF(O900="","",IF(O900&gt;0,1,0))</f>
        <v/>
      </c>
    </row>
    <row r="901">
      <c r="A901" s="5" t="n">
        <v>2122100000</v>
      </c>
      <c r="B901" s="5" t="inlineStr">
        <is>
          <t>IC5000</t>
        </is>
      </c>
      <c r="C901" s="5" t="inlineStr">
        <is>
          <t>NORDEX SE</t>
        </is>
      </c>
      <c r="D901" s="5" t="inlineStr">
        <is>
          <t>KR</t>
        </is>
      </c>
      <c r="E901" s="5" t="n">
        <v>5019996</v>
      </c>
      <c r="F901" s="5" t="inlineStr">
        <is>
          <t>607633</t>
        </is>
      </c>
      <c r="G901" s="5" t="inlineStr">
        <is>
          <t>BRL</t>
        </is>
      </c>
      <c r="H901" s="9" t="n">
        <v>-248377.25</v>
      </c>
      <c r="I901" s="16" t="n">
        <v>45278</v>
      </c>
      <c r="J901" s="16" t="n">
        <v>45278</v>
      </c>
      <c r="K901" s="5" t="inlineStr">
        <is>
          <t>Fatura do fornecedor NORDEX SE 607633</t>
        </is>
      </c>
      <c r="L901" s="5" t="n"/>
      <c r="M901" s="5">
        <f>IF(YEAR(I901)&lt;=2020,"Até 2020",TEXT(YEAR(I901),"0"))</f>
        <v/>
      </c>
      <c r="N901" s="5">
        <f>IFERROR(INDEX(DePara!$A:$A,MATCH(TEXT(B901,"0"),DePara!$D:$D,0)),"(sem categoria)")</f>
        <v/>
      </c>
      <c r="O901" s="5">
        <f>IF(J901="","",Parametros!$B$6-J901)</f>
        <v/>
      </c>
      <c r="P901" s="5">
        <f>IF(O901="","",IF(O901&gt;0,1,0))</f>
        <v/>
      </c>
    </row>
    <row r="902">
      <c r="A902" s="5" t="n">
        <v>2122100000</v>
      </c>
      <c r="B902" s="5" t="inlineStr">
        <is>
          <t>IC5000</t>
        </is>
      </c>
      <c r="C902" s="5" t="inlineStr">
        <is>
          <t>NORDEX SE</t>
        </is>
      </c>
      <c r="D902" s="5" t="inlineStr">
        <is>
          <t>KR</t>
        </is>
      </c>
      <c r="E902" s="5" t="n">
        <v>5020003</v>
      </c>
      <c r="F902" s="5" t="inlineStr">
        <is>
          <t>607731</t>
        </is>
      </c>
      <c r="G902" s="5" t="inlineStr">
        <is>
          <t>EUR</t>
        </is>
      </c>
      <c r="H902" s="9" t="n">
        <v>-7340272.33</v>
      </c>
      <c r="I902" s="16" t="n">
        <v>45291</v>
      </c>
      <c r="J902" s="16" t="n">
        <v>45291</v>
      </c>
      <c r="K902" s="5" t="inlineStr">
        <is>
          <t>Fatura do fornecedor NORDEX SE 607731</t>
        </is>
      </c>
      <c r="L902" s="5" t="n"/>
      <c r="M902" s="5">
        <f>IF(YEAR(I902)&lt;=2020,"Até 2020",TEXT(YEAR(I902),"0"))</f>
        <v/>
      </c>
      <c r="N902" s="5">
        <f>IFERROR(INDEX(DePara!$A:$A,MATCH(TEXT(B902,"0"),DePara!$D:$D,0)),"(sem categoria)")</f>
        <v/>
      </c>
      <c r="O902" s="5">
        <f>IF(J902="","",Parametros!$B$6-J902)</f>
        <v/>
      </c>
      <c r="P902" s="5">
        <f>IF(O902="","",IF(O902&gt;0,1,0))</f>
        <v/>
      </c>
    </row>
    <row r="903">
      <c r="A903" s="5" t="n">
        <v>2122100000</v>
      </c>
      <c r="B903" s="5" t="inlineStr">
        <is>
          <t>IC4420</t>
        </is>
      </c>
      <c r="C903" s="5" t="inlineStr">
        <is>
          <t>NORDEX ENERGY SPAIN S A U</t>
        </is>
      </c>
      <c r="D903" s="5" t="inlineStr">
        <is>
          <t>RE</t>
        </is>
      </c>
      <c r="E903" s="5" t="n">
        <v>5020124</v>
      </c>
      <c r="F903" s="5" t="inlineStr">
        <is>
          <t>202672</t>
        </is>
      </c>
      <c r="G903" s="5" t="inlineStr">
        <is>
          <t>EUR</t>
        </is>
      </c>
      <c r="H903" s="9" t="n">
        <v>-104563.64</v>
      </c>
      <c r="I903" s="16" t="n">
        <v>45282</v>
      </c>
      <c r="J903" s="16" t="n">
        <v>45312</v>
      </c>
      <c r="K903" s="5" t="inlineStr">
        <is>
          <t>0162/24</t>
        </is>
      </c>
      <c r="L903" s="5" t="inlineStr">
        <is>
          <t>202672</t>
        </is>
      </c>
      <c r="M903" s="5">
        <f>IF(YEAR(I903)&lt;=2020,"Até 2020",TEXT(YEAR(I903),"0"))</f>
        <v/>
      </c>
      <c r="N903" s="5">
        <f>IFERROR(INDEX(DePara!$A:$A,MATCH(TEXT(B903,"0"),DePara!$D:$D,0)),"(sem categoria)")</f>
        <v/>
      </c>
      <c r="O903" s="5">
        <f>IF(J903="","",Parametros!$B$6-J903)</f>
        <v/>
      </c>
      <c r="P903" s="5">
        <f>IF(O903="","",IF(O903&gt;0,1,0))</f>
        <v/>
      </c>
    </row>
    <row r="904">
      <c r="A904" s="5" t="n">
        <v>2122100000</v>
      </c>
      <c r="B904" s="5" t="inlineStr">
        <is>
          <t>IC4420</t>
        </is>
      </c>
      <c r="C904" s="5" t="inlineStr">
        <is>
          <t>NORDEX ENERGY SPAIN S A U</t>
        </is>
      </c>
      <c r="D904" s="5" t="inlineStr">
        <is>
          <t>RE</t>
        </is>
      </c>
      <c r="E904" s="5" t="n">
        <v>5020250</v>
      </c>
      <c r="F904" s="5" t="inlineStr">
        <is>
          <t>4023003051</t>
        </is>
      </c>
      <c r="G904" s="5" t="inlineStr">
        <is>
          <t>EUR</t>
        </is>
      </c>
      <c r="H904" s="9" t="n">
        <v>-33029.45</v>
      </c>
      <c r="I904" s="16" t="n">
        <v>45112</v>
      </c>
      <c r="J904" s="16" t="n">
        <v>45142</v>
      </c>
      <c r="K904" s="5" t="inlineStr">
        <is>
          <t>0520/23</t>
        </is>
      </c>
      <c r="L904" s="5" t="inlineStr">
        <is>
          <t>4023003051</t>
        </is>
      </c>
      <c r="M904" s="5">
        <f>IF(YEAR(I904)&lt;=2020,"Até 2020",TEXT(YEAR(I904),"0"))</f>
        <v/>
      </c>
      <c r="N904" s="5">
        <f>IFERROR(INDEX(DePara!$A:$A,MATCH(TEXT(B904,"0"),DePara!$D:$D,0)),"(sem categoria)")</f>
        <v/>
      </c>
      <c r="O904" s="5">
        <f>IF(J904="","",Parametros!$B$6-J904)</f>
        <v/>
      </c>
      <c r="P904" s="5">
        <f>IF(O904="","",IF(O904&gt;0,1,0))</f>
        <v/>
      </c>
    </row>
    <row r="905">
      <c r="A905" s="5" t="n">
        <v>2122100000</v>
      </c>
      <c r="B905" s="5" t="inlineStr">
        <is>
          <t>IC4420</t>
        </is>
      </c>
      <c r="C905" s="5" t="inlineStr">
        <is>
          <t>NORDEX ENERGY SPAIN S A U</t>
        </is>
      </c>
      <c r="D905" s="5" t="inlineStr">
        <is>
          <t>RE</t>
        </is>
      </c>
      <c r="E905" s="5" t="n">
        <v>5020276</v>
      </c>
      <c r="F905" s="5" t="inlineStr">
        <is>
          <t>4023003065</t>
        </is>
      </c>
      <c r="G905" s="5" t="inlineStr">
        <is>
          <t>EUR</t>
        </is>
      </c>
      <c r="H905" s="9" t="n">
        <v>-24602.46</v>
      </c>
      <c r="I905" s="16" t="n">
        <v>45112</v>
      </c>
      <c r="J905" s="16" t="n">
        <v>45142</v>
      </c>
      <c r="K905" s="5" t="inlineStr">
        <is>
          <t>0532/23</t>
        </is>
      </c>
      <c r="L905" s="5" t="inlineStr">
        <is>
          <t>4023003065</t>
        </is>
      </c>
      <c r="M905" s="5">
        <f>IF(YEAR(I905)&lt;=2020,"Até 2020",TEXT(YEAR(I905),"0"))</f>
        <v/>
      </c>
      <c r="N905" s="5">
        <f>IFERROR(INDEX(DePara!$A:$A,MATCH(TEXT(B905,"0"),DePara!$D:$D,0)),"(sem categoria)")</f>
        <v/>
      </c>
      <c r="O905" s="5">
        <f>IF(J905="","",Parametros!$B$6-J905)</f>
        <v/>
      </c>
      <c r="P905" s="5">
        <f>IF(O905="","",IF(O905&gt;0,1,0))</f>
        <v/>
      </c>
    </row>
    <row r="906">
      <c r="A906" s="5" t="n">
        <v>2122100000</v>
      </c>
      <c r="B906" s="5" t="inlineStr">
        <is>
          <t>IC4420</t>
        </is>
      </c>
      <c r="C906" s="5" t="inlineStr">
        <is>
          <t>NORDEX ENERGY SPAIN S A U</t>
        </is>
      </c>
      <c r="D906" s="5" t="inlineStr">
        <is>
          <t>RE</t>
        </is>
      </c>
      <c r="E906" s="5" t="n">
        <v>5020282</v>
      </c>
      <c r="F906" s="5" t="inlineStr">
        <is>
          <t>4023003054</t>
        </is>
      </c>
      <c r="G906" s="5" t="inlineStr">
        <is>
          <t>EUR</t>
        </is>
      </c>
      <c r="H906" s="9" t="n">
        <v>-67375.75</v>
      </c>
      <c r="I906" s="16" t="n">
        <v>45112</v>
      </c>
      <c r="J906" s="16" t="n">
        <v>45142</v>
      </c>
      <c r="K906" s="5" t="inlineStr">
        <is>
          <t>0620/23</t>
        </is>
      </c>
      <c r="L906" s="5" t="inlineStr">
        <is>
          <t>4023003054</t>
        </is>
      </c>
      <c r="M906" s="5">
        <f>IF(YEAR(I906)&lt;=2020,"Até 2020",TEXT(YEAR(I906),"0"))</f>
        <v/>
      </c>
      <c r="N906" s="5">
        <f>IFERROR(INDEX(DePara!$A:$A,MATCH(TEXT(B906,"0"),DePara!$D:$D,0)),"(sem categoria)")</f>
        <v/>
      </c>
      <c r="O906" s="5">
        <f>IF(J906="","",Parametros!$B$6-J906)</f>
        <v/>
      </c>
      <c r="P906" s="5">
        <f>IF(O906="","",IF(O906&gt;0,1,0))</f>
        <v/>
      </c>
    </row>
    <row r="907">
      <c r="A907" s="5" t="n">
        <v>2122100000</v>
      </c>
      <c r="B907" s="5" t="inlineStr">
        <is>
          <t>IC4420</t>
        </is>
      </c>
      <c r="C907" s="5" t="inlineStr">
        <is>
          <t>NORDEX ENERGY SPAIN S A U</t>
        </is>
      </c>
      <c r="D907" s="5" t="inlineStr">
        <is>
          <t>RE</t>
        </is>
      </c>
      <c r="E907" s="5" t="n">
        <v>5020283</v>
      </c>
      <c r="F907" s="5" t="inlineStr">
        <is>
          <t>4023003059</t>
        </is>
      </c>
      <c r="G907" s="5" t="inlineStr">
        <is>
          <t>EUR</t>
        </is>
      </c>
      <c r="H907" s="9" t="n">
        <v>-104874.72</v>
      </c>
      <c r="I907" s="16" t="n">
        <v>45112</v>
      </c>
      <c r="J907" s="16" t="n">
        <v>45142</v>
      </c>
      <c r="K907" s="5" t="inlineStr">
        <is>
          <t>0615/23</t>
        </is>
      </c>
      <c r="L907" s="5" t="inlineStr">
        <is>
          <t>4023003059</t>
        </is>
      </c>
      <c r="M907" s="5">
        <f>IF(YEAR(I907)&lt;=2020,"Até 2020",TEXT(YEAR(I907),"0"))</f>
        <v/>
      </c>
      <c r="N907" s="5">
        <f>IFERROR(INDEX(DePara!$A:$A,MATCH(TEXT(B907,"0"),DePara!$D:$D,0)),"(sem categoria)")</f>
        <v/>
      </c>
      <c r="O907" s="5">
        <f>IF(J907="","",Parametros!$B$6-J907)</f>
        <v/>
      </c>
      <c r="P907" s="5">
        <f>IF(O907="","",IF(O907&gt;0,1,0))</f>
        <v/>
      </c>
    </row>
    <row r="908">
      <c r="A908" s="5" t="n">
        <v>2122100000</v>
      </c>
      <c r="B908" s="5" t="inlineStr">
        <is>
          <t>IC1000</t>
        </is>
      </c>
      <c r="C908" s="5" t="inlineStr">
        <is>
          <t>NORDEX ENERGY SE &amp; CO KG</t>
        </is>
      </c>
      <c r="D908" s="5" t="inlineStr">
        <is>
          <t>RE</t>
        </is>
      </c>
      <c r="E908" s="5" t="n">
        <v>5020594</v>
      </c>
      <c r="F908" s="5" t="inlineStr">
        <is>
          <t>341169</t>
        </is>
      </c>
      <c r="G908" s="5" t="inlineStr">
        <is>
          <t>EUR</t>
        </is>
      </c>
      <c r="H908" s="9" t="n">
        <v>-207511.55</v>
      </c>
      <c r="I908" s="16" t="n">
        <v>45776</v>
      </c>
      <c r="J908" s="16" t="n">
        <v>45806</v>
      </c>
      <c r="K908" s="5" t="inlineStr">
        <is>
          <t>0363/25</t>
        </is>
      </c>
      <c r="L908" s="5" t="inlineStr">
        <is>
          <t>341169</t>
        </is>
      </c>
      <c r="M908" s="5">
        <f>IF(YEAR(I908)&lt;=2020,"Até 2020",TEXT(YEAR(I908),"0"))</f>
        <v/>
      </c>
      <c r="N908" s="5">
        <f>IFERROR(INDEX(DePara!$A:$A,MATCH(TEXT(B908,"0"),DePara!$D:$D,0)),"(sem categoria)")</f>
        <v/>
      </c>
      <c r="O908" s="5">
        <f>IF(J908="","",Parametros!$B$6-J908)</f>
        <v/>
      </c>
      <c r="P908" s="5">
        <f>IF(O908="","",IF(O908&gt;0,1,0))</f>
        <v/>
      </c>
    </row>
    <row r="909">
      <c r="A909" s="5" t="n">
        <v>2122100000</v>
      </c>
      <c r="B909" s="5" t="inlineStr">
        <is>
          <t>IC1000</t>
        </is>
      </c>
      <c r="C909" s="5" t="inlineStr">
        <is>
          <t>NORDEX ENERGY SE &amp; CO KG</t>
        </is>
      </c>
      <c r="D909" s="5" t="inlineStr">
        <is>
          <t>RE</t>
        </is>
      </c>
      <c r="E909" s="5" t="n">
        <v>5020677</v>
      </c>
      <c r="F909" s="5" t="inlineStr">
        <is>
          <t>281033</t>
        </is>
      </c>
      <c r="G909" s="5" t="inlineStr">
        <is>
          <t>EUR</t>
        </is>
      </c>
      <c r="H909" s="9" t="n">
        <v>-15736.99</v>
      </c>
      <c r="I909" s="16" t="n">
        <v>45405</v>
      </c>
      <c r="J909" s="16" t="n">
        <v>45435</v>
      </c>
      <c r="K909" s="5" t="inlineStr">
        <is>
          <t>0347/24</t>
        </is>
      </c>
      <c r="L909" s="5" t="inlineStr">
        <is>
          <t>281033</t>
        </is>
      </c>
      <c r="M909" s="5">
        <f>IF(YEAR(I909)&lt;=2020,"Até 2020",TEXT(YEAR(I909),"0"))</f>
        <v/>
      </c>
      <c r="N909" s="5">
        <f>IFERROR(INDEX(DePara!$A:$A,MATCH(TEXT(B909,"0"),DePara!$D:$D,0)),"(sem categoria)")</f>
        <v/>
      </c>
      <c r="O909" s="5">
        <f>IF(J909="","",Parametros!$B$6-J909)</f>
        <v/>
      </c>
      <c r="P909" s="5">
        <f>IF(O909="","",IF(O909&gt;0,1,0))</f>
        <v/>
      </c>
    </row>
    <row r="910">
      <c r="A910" s="5" t="n">
        <v>2122100000</v>
      </c>
      <c r="B910" s="5" t="inlineStr">
        <is>
          <t>IC1000</t>
        </is>
      </c>
      <c r="C910" s="5" t="inlineStr">
        <is>
          <t>NORDEX ENERGY SE &amp; CO KG</t>
        </is>
      </c>
      <c r="D910" s="5" t="inlineStr">
        <is>
          <t>RE</t>
        </is>
      </c>
      <c r="E910" s="5" t="n">
        <v>5021065</v>
      </c>
      <c r="F910" s="5" t="inlineStr">
        <is>
          <t>RITM0479746</t>
        </is>
      </c>
      <c r="G910" s="5" t="inlineStr">
        <is>
          <t>EUR</t>
        </is>
      </c>
      <c r="H910" s="9" t="n">
        <v>-869982.35</v>
      </c>
      <c r="I910" s="16" t="n">
        <v>45735</v>
      </c>
      <c r="J910" s="16" t="n">
        <v>45765</v>
      </c>
      <c r="K910" s="5" t="inlineStr">
        <is>
          <t>0272/25</t>
        </is>
      </c>
      <c r="L910" s="5" t="inlineStr">
        <is>
          <t>RITM0479746</t>
        </is>
      </c>
      <c r="M910" s="5">
        <f>IF(YEAR(I910)&lt;=2020,"Até 2020",TEXT(YEAR(I910),"0"))</f>
        <v/>
      </c>
      <c r="N910" s="5">
        <f>IFERROR(INDEX(DePara!$A:$A,MATCH(TEXT(B910,"0"),DePara!$D:$D,0)),"(sem categoria)")</f>
        <v/>
      </c>
      <c r="O910" s="5">
        <f>IF(J910="","",Parametros!$B$6-J910)</f>
        <v/>
      </c>
      <c r="P910" s="5">
        <f>IF(O910="","",IF(O910&gt;0,1,0))</f>
        <v/>
      </c>
    </row>
    <row r="911">
      <c r="A911" s="5" t="n">
        <v>2122100000</v>
      </c>
      <c r="B911" s="5" t="inlineStr">
        <is>
          <t>IC1000</t>
        </is>
      </c>
      <c r="C911" s="5" t="inlineStr">
        <is>
          <t>NORDEX ENERGY SE &amp; CO KG</t>
        </is>
      </c>
      <c r="D911" s="5" t="inlineStr">
        <is>
          <t>RE</t>
        </is>
      </c>
      <c r="E911" s="5" t="n">
        <v>5021388</v>
      </c>
      <c r="F911" s="5" t="inlineStr">
        <is>
          <t>343731</t>
        </is>
      </c>
      <c r="G911" s="5" t="inlineStr">
        <is>
          <t>EUR</t>
        </is>
      </c>
      <c r="H911" s="9" t="n">
        <v>-40192.85</v>
      </c>
      <c r="I911" s="16" t="n">
        <v>45790</v>
      </c>
      <c r="J911" s="16" t="n">
        <v>45820</v>
      </c>
      <c r="K911" s="5" t="inlineStr">
        <is>
          <t>0424/25</t>
        </is>
      </c>
      <c r="L911" s="5" t="inlineStr">
        <is>
          <t>343731</t>
        </is>
      </c>
      <c r="M911" s="5">
        <f>IF(YEAR(I911)&lt;=2020,"Até 2020",TEXT(YEAR(I911),"0"))</f>
        <v/>
      </c>
      <c r="N911" s="5">
        <f>IFERROR(INDEX(DePara!$A:$A,MATCH(TEXT(B911,"0"),DePara!$D:$D,0)),"(sem categoria)")</f>
        <v/>
      </c>
      <c r="O911" s="5">
        <f>IF(J911="","",Parametros!$B$6-J911)</f>
        <v/>
      </c>
      <c r="P911" s="5">
        <f>IF(O911="","",IF(O911&gt;0,1,0))</f>
        <v/>
      </c>
    </row>
    <row r="912">
      <c r="A912" s="5" t="n">
        <v>2122100000</v>
      </c>
      <c r="B912" s="5" t="inlineStr">
        <is>
          <t>IC1000</t>
        </is>
      </c>
      <c r="C912" s="5" t="inlineStr">
        <is>
          <t>NORDEX ENERGY SE &amp; CO KG</t>
        </is>
      </c>
      <c r="D912" s="5" t="inlineStr">
        <is>
          <t>RE</t>
        </is>
      </c>
      <c r="E912" s="5" t="n">
        <v>5022294</v>
      </c>
      <c r="F912" s="5" t="inlineStr">
        <is>
          <t>251375</t>
        </is>
      </c>
      <c r="G912" s="5" t="inlineStr">
        <is>
          <t>EUR</t>
        </is>
      </c>
      <c r="H912" s="9" t="n">
        <v>-28065.08</v>
      </c>
      <c r="I912" s="16" t="n">
        <v>45153</v>
      </c>
      <c r="J912" s="16" t="n">
        <v>45213</v>
      </c>
      <c r="K912" s="5" t="inlineStr">
        <is>
          <t>0547/23</t>
        </is>
      </c>
      <c r="L912" s="5" t="inlineStr">
        <is>
          <t>251375</t>
        </is>
      </c>
      <c r="M912" s="5">
        <f>IF(YEAR(I912)&lt;=2020,"Até 2020",TEXT(YEAR(I912),"0"))</f>
        <v/>
      </c>
      <c r="N912" s="5">
        <f>IFERROR(INDEX(DePara!$A:$A,MATCH(TEXT(B912,"0"),DePara!$D:$D,0)),"(sem categoria)")</f>
        <v/>
      </c>
      <c r="O912" s="5">
        <f>IF(J912="","",Parametros!$B$6-J912)</f>
        <v/>
      </c>
      <c r="P912" s="5">
        <f>IF(O912="","",IF(O912&gt;0,1,0))</f>
        <v/>
      </c>
    </row>
    <row r="913">
      <c r="A913" s="5" t="n">
        <v>2122100000</v>
      </c>
      <c r="B913" s="5" t="inlineStr">
        <is>
          <t>IC1000</t>
        </is>
      </c>
      <c r="C913" s="5" t="inlineStr">
        <is>
          <t>NORDEX ENERGY SE &amp; CO KG</t>
        </is>
      </c>
      <c r="D913" s="5" t="inlineStr">
        <is>
          <t>KR</t>
        </is>
      </c>
      <c r="E913" s="5" t="n">
        <v>5022304</v>
      </c>
      <c r="F913" s="5" t="inlineStr">
        <is>
          <t>622385</t>
        </is>
      </c>
      <c r="G913" s="5" t="inlineStr">
        <is>
          <t>EUR</t>
        </is>
      </c>
      <c r="H913" s="9" t="n">
        <v>-12920274.98</v>
      </c>
      <c r="I913" s="16" t="n">
        <v>45825</v>
      </c>
      <c r="J913" s="16" t="n">
        <v>45855</v>
      </c>
      <c r="K913" s="5" t="inlineStr">
        <is>
          <t>Vendor Invoice NORDEX ENERGY SE &amp; CO KG 622385</t>
        </is>
      </c>
      <c r="L913" s="5" t="n"/>
      <c r="M913" s="5">
        <f>IF(YEAR(I913)&lt;=2020,"Até 2020",TEXT(YEAR(I913),"0"))</f>
        <v/>
      </c>
      <c r="N913" s="5">
        <f>IFERROR(INDEX(DePara!$A:$A,MATCH(TEXT(B913,"0"),DePara!$D:$D,0)),"(sem categoria)")</f>
        <v/>
      </c>
      <c r="O913" s="5">
        <f>IF(J913="","",Parametros!$B$6-J913)</f>
        <v/>
      </c>
      <c r="P913" s="5">
        <f>IF(O913="","",IF(O913&gt;0,1,0))</f>
        <v/>
      </c>
    </row>
    <row r="914">
      <c r="A914" s="5" t="n">
        <v>2122100000</v>
      </c>
      <c r="B914" s="5" t="inlineStr">
        <is>
          <t>IC4420</t>
        </is>
      </c>
      <c r="C914" s="5" t="inlineStr">
        <is>
          <t>NORDEX ENERGY SPAIN S A U</t>
        </is>
      </c>
      <c r="D914" s="5" t="inlineStr">
        <is>
          <t>RE</t>
        </is>
      </c>
      <c r="E914" s="5" t="n">
        <v>5022363</v>
      </c>
      <c r="F914" s="5" t="inlineStr">
        <is>
          <t>4023004294</t>
        </is>
      </c>
      <c r="G914" s="5" t="inlineStr">
        <is>
          <t>EUR</t>
        </is>
      </c>
      <c r="H914" s="9" t="n">
        <v>-1163735.72</v>
      </c>
      <c r="I914" s="16" t="n">
        <v>45189</v>
      </c>
      <c r="J914" s="16" t="n">
        <v>45249</v>
      </c>
      <c r="K914" s="5" t="inlineStr">
        <is>
          <t>0653/23</t>
        </is>
      </c>
      <c r="L914" s="5" t="inlineStr">
        <is>
          <t>4023004294</t>
        </is>
      </c>
      <c r="M914" s="5">
        <f>IF(YEAR(I914)&lt;=2020,"Até 2020",TEXT(YEAR(I914),"0"))</f>
        <v/>
      </c>
      <c r="N914" s="5">
        <f>IFERROR(INDEX(DePara!$A:$A,MATCH(TEXT(B914,"0"),DePara!$D:$D,0)),"(sem categoria)")</f>
        <v/>
      </c>
      <c r="O914" s="5">
        <f>IF(J914="","",Parametros!$B$6-J914)</f>
        <v/>
      </c>
      <c r="P914" s="5">
        <f>IF(O914="","",IF(O914&gt;0,1,0))</f>
        <v/>
      </c>
    </row>
    <row r="915">
      <c r="A915" s="5" t="n">
        <v>2122100000</v>
      </c>
      <c r="B915" s="5" t="inlineStr">
        <is>
          <t>IC4420</t>
        </is>
      </c>
      <c r="C915" s="5" t="inlineStr">
        <is>
          <t>NORDEX ENERGY SPAIN S A U</t>
        </is>
      </c>
      <c r="D915" s="5" t="inlineStr">
        <is>
          <t>RE</t>
        </is>
      </c>
      <c r="E915" s="5" t="n">
        <v>5022447</v>
      </c>
      <c r="F915" s="5" t="inlineStr">
        <is>
          <t>4023003057</t>
        </is>
      </c>
      <c r="G915" s="5" t="inlineStr">
        <is>
          <t>EUR</t>
        </is>
      </c>
      <c r="H915" s="9" t="n">
        <v>-25884.48</v>
      </c>
      <c r="I915" s="16" t="n">
        <v>45112</v>
      </c>
      <c r="J915" s="16" t="n">
        <v>45112</v>
      </c>
      <c r="K915" s="5" t="inlineStr">
        <is>
          <t>0604/23</t>
        </is>
      </c>
      <c r="L915" s="5" t="inlineStr">
        <is>
          <t>4023003057</t>
        </is>
      </c>
      <c r="M915" s="5">
        <f>IF(YEAR(I915)&lt;=2020,"Até 2020",TEXT(YEAR(I915),"0"))</f>
        <v/>
      </c>
      <c r="N915" s="5">
        <f>IFERROR(INDEX(DePara!$A:$A,MATCH(TEXT(B915,"0"),DePara!$D:$D,0)),"(sem categoria)")</f>
        <v/>
      </c>
      <c r="O915" s="5">
        <f>IF(J915="","",Parametros!$B$6-J915)</f>
        <v/>
      </c>
      <c r="P915" s="5">
        <f>IF(O915="","",IF(O915&gt;0,1,0))</f>
        <v/>
      </c>
    </row>
    <row r="916">
      <c r="A916" s="5" t="n">
        <v>2122100000</v>
      </c>
      <c r="B916" s="5" t="inlineStr">
        <is>
          <t>IC1000</t>
        </is>
      </c>
      <c r="C916" s="5" t="inlineStr">
        <is>
          <t>NORDEX ENERGY SE &amp; CO KG</t>
        </is>
      </c>
      <c r="D916" s="5" t="inlineStr">
        <is>
          <t>RE</t>
        </is>
      </c>
      <c r="E916" s="5" t="n">
        <v>5022821</v>
      </c>
      <c r="F916" s="5" t="inlineStr">
        <is>
          <t>4012347160</t>
        </is>
      </c>
      <c r="G916" s="5" t="inlineStr">
        <is>
          <t>EUR</t>
        </is>
      </c>
      <c r="H916" s="9" t="n">
        <v>-1104896.14</v>
      </c>
      <c r="I916" s="16" t="n">
        <v>45161</v>
      </c>
      <c r="J916" s="16" t="n">
        <v>45191</v>
      </c>
      <c r="K916" s="5" t="inlineStr">
        <is>
          <t>0631/23</t>
        </is>
      </c>
      <c r="L916" s="5" t="inlineStr">
        <is>
          <t>4012347160</t>
        </is>
      </c>
      <c r="M916" s="5">
        <f>IF(YEAR(I916)&lt;=2020,"Até 2020",TEXT(YEAR(I916),"0"))</f>
        <v/>
      </c>
      <c r="N916" s="5">
        <f>IFERROR(INDEX(DePara!$A:$A,MATCH(TEXT(B916,"0"),DePara!$D:$D,0)),"(sem categoria)")</f>
        <v/>
      </c>
      <c r="O916" s="5">
        <f>IF(J916="","",Parametros!$B$6-J916)</f>
        <v/>
      </c>
      <c r="P916" s="5">
        <f>IF(O916="","",IF(O916&gt;0,1,0))</f>
        <v/>
      </c>
    </row>
    <row r="917">
      <c r="A917" s="5" t="n">
        <v>2122100000</v>
      </c>
      <c r="B917" s="5" t="inlineStr">
        <is>
          <t>IC1000</t>
        </is>
      </c>
      <c r="C917" s="5" t="inlineStr">
        <is>
          <t>NORDEX ENERGY SE &amp; CO KG</t>
        </is>
      </c>
      <c r="D917" s="5" t="inlineStr">
        <is>
          <t>RE</t>
        </is>
      </c>
      <c r="E917" s="5" t="n">
        <v>5022822</v>
      </c>
      <c r="F917" s="5" t="inlineStr">
        <is>
          <t>617825</t>
        </is>
      </c>
      <c r="G917" s="5" t="inlineStr">
        <is>
          <t>EUR</t>
        </is>
      </c>
      <c r="H917" s="9" t="n">
        <v>-28531.56</v>
      </c>
      <c r="I917" s="16" t="n">
        <v>45112</v>
      </c>
      <c r="J917" s="16" t="n">
        <v>45142</v>
      </c>
      <c r="K917" s="5" t="inlineStr">
        <is>
          <t>0488/23</t>
        </is>
      </c>
      <c r="L917" s="5" t="inlineStr">
        <is>
          <t>617825</t>
        </is>
      </c>
      <c r="M917" s="5">
        <f>IF(YEAR(I917)&lt;=2020,"Até 2020",TEXT(YEAR(I917),"0"))</f>
        <v/>
      </c>
      <c r="N917" s="5">
        <f>IFERROR(INDEX(DePara!$A:$A,MATCH(TEXT(B917,"0"),DePara!$D:$D,0)),"(sem categoria)")</f>
        <v/>
      </c>
      <c r="O917" s="5">
        <f>IF(J917="","",Parametros!$B$6-J917)</f>
        <v/>
      </c>
      <c r="P917" s="5">
        <f>IF(O917="","",IF(O917&gt;0,1,0))</f>
        <v/>
      </c>
    </row>
    <row r="918">
      <c r="A918" s="5" t="n">
        <v>2122100000</v>
      </c>
      <c r="B918" s="5" t="inlineStr">
        <is>
          <t>IC1000</t>
        </is>
      </c>
      <c r="C918" s="5" t="inlineStr">
        <is>
          <t>NORDEX ENERGY SE &amp; CO KG</t>
        </is>
      </c>
      <c r="D918" s="5" t="inlineStr">
        <is>
          <t>RE</t>
        </is>
      </c>
      <c r="E918" s="5" t="n">
        <v>5022824</v>
      </c>
      <c r="F918" s="5" t="inlineStr">
        <is>
          <t>618118</t>
        </is>
      </c>
      <c r="G918" s="5" t="inlineStr">
        <is>
          <t>EUR</t>
        </is>
      </c>
      <c r="H918" s="9" t="n">
        <v>-112055.98</v>
      </c>
      <c r="I918" s="16" t="n">
        <v>45182</v>
      </c>
      <c r="J918" s="16" t="n">
        <v>45212</v>
      </c>
      <c r="K918" s="5" t="inlineStr">
        <is>
          <t>0613/23</t>
        </is>
      </c>
      <c r="L918" s="5" t="inlineStr">
        <is>
          <t>618118</t>
        </is>
      </c>
      <c r="M918" s="5">
        <f>IF(YEAR(I918)&lt;=2020,"Até 2020",TEXT(YEAR(I918),"0"))</f>
        <v/>
      </c>
      <c r="N918" s="5">
        <f>IFERROR(INDEX(DePara!$A:$A,MATCH(TEXT(B918,"0"),DePara!$D:$D,0)),"(sem categoria)")</f>
        <v/>
      </c>
      <c r="O918" s="5">
        <f>IF(J918="","",Parametros!$B$6-J918)</f>
        <v/>
      </c>
      <c r="P918" s="5">
        <f>IF(O918="","",IF(O918&gt;0,1,0))</f>
        <v/>
      </c>
    </row>
    <row r="919">
      <c r="A919" s="5" t="n">
        <v>2122100000</v>
      </c>
      <c r="B919" s="5" t="inlineStr">
        <is>
          <t>IC4420</t>
        </is>
      </c>
      <c r="C919" s="5" t="inlineStr">
        <is>
          <t>NORDEX ENERGY SPAIN S A U</t>
        </is>
      </c>
      <c r="D919" s="5" t="inlineStr">
        <is>
          <t>RE</t>
        </is>
      </c>
      <c r="E919" s="5" t="n">
        <v>5022825</v>
      </c>
      <c r="F919" s="5" t="inlineStr">
        <is>
          <t>4023002531</t>
        </is>
      </c>
      <c r="G919" s="5" t="inlineStr">
        <is>
          <t>EUR</t>
        </is>
      </c>
      <c r="H919" s="9" t="n">
        <v>-277058.82</v>
      </c>
      <c r="I919" s="16" t="n">
        <v>45091</v>
      </c>
      <c r="J919" s="16" t="n">
        <v>45151</v>
      </c>
      <c r="K919" s="5" t="inlineStr">
        <is>
          <t>0584/23</t>
        </is>
      </c>
      <c r="L919" s="5" t="inlineStr">
        <is>
          <t>4023002531</t>
        </is>
      </c>
      <c r="M919" s="5">
        <f>IF(YEAR(I919)&lt;=2020,"Até 2020",TEXT(YEAR(I919),"0"))</f>
        <v/>
      </c>
      <c r="N919" s="5">
        <f>IFERROR(INDEX(DePara!$A:$A,MATCH(TEXT(B919,"0"),DePara!$D:$D,0)),"(sem categoria)")</f>
        <v/>
      </c>
      <c r="O919" s="5">
        <f>IF(J919="","",Parametros!$B$6-J919)</f>
        <v/>
      </c>
      <c r="P919" s="5">
        <f>IF(O919="","",IF(O919&gt;0,1,0))</f>
        <v/>
      </c>
    </row>
    <row r="920">
      <c r="A920" s="5" t="n">
        <v>2122100000</v>
      </c>
      <c r="B920" s="5" t="inlineStr">
        <is>
          <t>IC4420</t>
        </is>
      </c>
      <c r="C920" s="5" t="inlineStr">
        <is>
          <t>NORDEX ENERGY SPAIN S A U</t>
        </is>
      </c>
      <c r="D920" s="5" t="inlineStr">
        <is>
          <t>RE</t>
        </is>
      </c>
      <c r="E920" s="5" t="n">
        <v>5022920</v>
      </c>
      <c r="F920" s="5" t="inlineStr">
        <is>
          <t>4024002149</t>
        </is>
      </c>
      <c r="G920" s="5" t="inlineStr">
        <is>
          <t>EUR</t>
        </is>
      </c>
      <c r="H920" s="9" t="n">
        <v>-1343620.99</v>
      </c>
      <c r="I920" s="16" t="n">
        <v>45378</v>
      </c>
      <c r="J920" s="16" t="n">
        <v>45408</v>
      </c>
      <c r="K920" s="5" t="inlineStr">
        <is>
          <t>0287/24</t>
        </is>
      </c>
      <c r="L920" s="5" t="inlineStr">
        <is>
          <t>4024002149</t>
        </is>
      </c>
      <c r="M920" s="5">
        <f>IF(YEAR(I920)&lt;=2020,"Até 2020",TEXT(YEAR(I920),"0"))</f>
        <v/>
      </c>
      <c r="N920" s="5">
        <f>IFERROR(INDEX(DePara!$A:$A,MATCH(TEXT(B920,"0"),DePara!$D:$D,0)),"(sem categoria)")</f>
        <v/>
      </c>
      <c r="O920" s="5">
        <f>IF(J920="","",Parametros!$B$6-J920)</f>
        <v/>
      </c>
      <c r="P920" s="5">
        <f>IF(O920="","",IF(O920&gt;0,1,0))</f>
        <v/>
      </c>
    </row>
    <row r="921">
      <c r="A921" s="5" t="n">
        <v>2122100000</v>
      </c>
      <c r="B921" s="5" t="inlineStr">
        <is>
          <t>IC4420</t>
        </is>
      </c>
      <c r="C921" s="5" t="inlineStr">
        <is>
          <t>NORDEX ENERGY SPAIN S A U</t>
        </is>
      </c>
      <c r="D921" s="5" t="inlineStr">
        <is>
          <t>RE</t>
        </is>
      </c>
      <c r="E921" s="5" t="n">
        <v>5022931</v>
      </c>
      <c r="F921" s="5" t="inlineStr">
        <is>
          <t>4024002123</t>
        </is>
      </c>
      <c r="G921" s="5" t="inlineStr">
        <is>
          <t>EUR</t>
        </is>
      </c>
      <c r="H921" s="9" t="n">
        <v>-1343620.99</v>
      </c>
      <c r="I921" s="16" t="n">
        <v>45377</v>
      </c>
      <c r="J921" s="16" t="n">
        <v>45407</v>
      </c>
      <c r="K921" s="5" t="inlineStr">
        <is>
          <t>0285/24</t>
        </is>
      </c>
      <c r="L921" s="5" t="inlineStr">
        <is>
          <t>4024002123</t>
        </is>
      </c>
      <c r="M921" s="5">
        <f>IF(YEAR(I921)&lt;=2020,"Até 2020",TEXT(YEAR(I921),"0"))</f>
        <v/>
      </c>
      <c r="N921" s="5">
        <f>IFERROR(INDEX(DePara!$A:$A,MATCH(TEXT(B921,"0"),DePara!$D:$D,0)),"(sem categoria)")</f>
        <v/>
      </c>
      <c r="O921" s="5">
        <f>IF(J921="","",Parametros!$B$6-J921)</f>
        <v/>
      </c>
      <c r="P921" s="5">
        <f>IF(O921="","",IF(O921&gt;0,1,0))</f>
        <v/>
      </c>
    </row>
    <row r="922">
      <c r="A922" s="5" t="n">
        <v>2122100000</v>
      </c>
      <c r="B922" s="5" t="inlineStr">
        <is>
          <t>IC1000</t>
        </is>
      </c>
      <c r="C922" s="5" t="inlineStr">
        <is>
          <t>NORDEX ENERGY SE &amp; CO KG</t>
        </is>
      </c>
      <c r="D922" s="5" t="inlineStr">
        <is>
          <t>KR</t>
        </is>
      </c>
      <c r="E922" s="5" t="n">
        <v>5023096</v>
      </c>
      <c r="F922" s="5" t="inlineStr">
        <is>
          <t>622379</t>
        </is>
      </c>
      <c r="G922" s="5" t="inlineStr">
        <is>
          <t>EUR</t>
        </is>
      </c>
      <c r="H922" s="9" t="n">
        <v>-1070578.58</v>
      </c>
      <c r="I922" s="16" t="n">
        <v>45826</v>
      </c>
      <c r="J922" s="16" t="n">
        <v>45856</v>
      </c>
      <c r="K922" s="5" t="inlineStr">
        <is>
          <t>Fatura do fornecedor NORDEX ENERGY SE &amp; CO KG 6223</t>
        </is>
      </c>
      <c r="L922" s="5" t="n"/>
      <c r="M922" s="5">
        <f>IF(YEAR(I922)&lt;=2020,"Até 2020",TEXT(YEAR(I922),"0"))</f>
        <v/>
      </c>
      <c r="N922" s="5">
        <f>IFERROR(INDEX(DePara!$A:$A,MATCH(TEXT(B922,"0"),DePara!$D:$D,0)),"(sem categoria)")</f>
        <v/>
      </c>
      <c r="O922" s="5">
        <f>IF(J922="","",Parametros!$B$6-J922)</f>
        <v/>
      </c>
      <c r="P922" s="5">
        <f>IF(O922="","",IF(O922&gt;0,1,0))</f>
        <v/>
      </c>
    </row>
    <row r="923">
      <c r="A923" s="5" t="n">
        <v>2122100000</v>
      </c>
      <c r="B923" s="5" t="inlineStr">
        <is>
          <t>IC5000</t>
        </is>
      </c>
      <c r="C923" s="5" t="inlineStr">
        <is>
          <t>NORDEX SE</t>
        </is>
      </c>
      <c r="D923" s="5" t="inlineStr">
        <is>
          <t>KR</t>
        </is>
      </c>
      <c r="E923" s="5" t="n">
        <v>5023264</v>
      </c>
      <c r="F923" s="5" t="inlineStr">
        <is>
          <t>609635</t>
        </is>
      </c>
      <c r="G923" s="5" t="inlineStr">
        <is>
          <t>EUR</t>
        </is>
      </c>
      <c r="H923" s="9" t="n">
        <v>-1881802.99</v>
      </c>
      <c r="I923" s="16" t="n">
        <v>45832</v>
      </c>
      <c r="J923" s="16" t="n">
        <v>45832</v>
      </c>
      <c r="K923" s="5" t="inlineStr">
        <is>
          <t>Fatura do fornecedor NORDEX SE 609635</t>
        </is>
      </c>
      <c r="L923" s="5" t="n"/>
      <c r="M923" s="5">
        <f>IF(YEAR(I923)&lt;=2020,"Até 2020",TEXT(YEAR(I923),"0"))</f>
        <v/>
      </c>
      <c r="N923" s="5">
        <f>IFERROR(INDEX(DePara!$A:$A,MATCH(TEXT(B923,"0"),DePara!$D:$D,0)),"(sem categoria)")</f>
        <v/>
      </c>
      <c r="O923" s="5">
        <f>IF(J923="","",Parametros!$B$6-J923)</f>
        <v/>
      </c>
      <c r="P923" s="5">
        <f>IF(O923="","",IF(O923&gt;0,1,0))</f>
        <v/>
      </c>
    </row>
    <row r="924">
      <c r="A924" s="5" t="n">
        <v>2122100000</v>
      </c>
      <c r="B924" s="5" t="inlineStr">
        <is>
          <t>IC5000</t>
        </is>
      </c>
      <c r="C924" s="5" t="inlineStr">
        <is>
          <t>NORDEX SE</t>
        </is>
      </c>
      <c r="D924" s="5" t="inlineStr">
        <is>
          <t>KR</t>
        </is>
      </c>
      <c r="E924" s="5" t="n">
        <v>5023279</v>
      </c>
      <c r="F924" s="5" t="inlineStr">
        <is>
          <t>609543</t>
        </is>
      </c>
      <c r="G924" s="5" t="inlineStr">
        <is>
          <t>EUR</t>
        </is>
      </c>
      <c r="H924" s="9" t="n">
        <v>-6144342.28</v>
      </c>
      <c r="I924" s="16" t="n">
        <v>45831</v>
      </c>
      <c r="J924" s="16" t="n">
        <v>45831</v>
      </c>
      <c r="K924" s="5" t="inlineStr">
        <is>
          <t>Fatura do fornecedor NORDEX SE 609543</t>
        </is>
      </c>
      <c r="L924" s="5" t="n"/>
      <c r="M924" s="5">
        <f>IF(YEAR(I924)&lt;=2020,"Até 2020",TEXT(YEAR(I924),"0"))</f>
        <v/>
      </c>
      <c r="N924" s="5">
        <f>IFERROR(INDEX(DePara!$A:$A,MATCH(TEXT(B924,"0"),DePara!$D:$D,0)),"(sem categoria)")</f>
        <v/>
      </c>
      <c r="O924" s="5">
        <f>IF(J924="","",Parametros!$B$6-J924)</f>
        <v/>
      </c>
      <c r="P924" s="5">
        <f>IF(O924="","",IF(O924&gt;0,1,0))</f>
        <v/>
      </c>
    </row>
    <row r="925">
      <c r="A925" s="5" t="n">
        <v>2122100000</v>
      </c>
      <c r="B925" s="5" t="inlineStr">
        <is>
          <t>IC5000</t>
        </is>
      </c>
      <c r="C925" s="5" t="inlineStr">
        <is>
          <t>NORDEX SE</t>
        </is>
      </c>
      <c r="D925" s="5" t="inlineStr">
        <is>
          <t>KR</t>
        </is>
      </c>
      <c r="E925" s="5" t="n">
        <v>5023283</v>
      </c>
      <c r="F925" s="5" t="inlineStr">
        <is>
          <t>609660</t>
        </is>
      </c>
      <c r="G925" s="5" t="inlineStr">
        <is>
          <t>BRL</t>
        </is>
      </c>
      <c r="H925" s="9" t="n">
        <v>-2468375</v>
      </c>
      <c r="I925" s="16" t="n">
        <v>45832</v>
      </c>
      <c r="J925" s="16" t="n">
        <v>45832</v>
      </c>
      <c r="K925" s="5" t="inlineStr">
        <is>
          <t>Fatura do fornecedor NORDEX SE 609660</t>
        </is>
      </c>
      <c r="L925" s="5" t="n"/>
      <c r="M925" s="5">
        <f>IF(YEAR(I925)&lt;=2020,"Até 2020",TEXT(YEAR(I925),"0"))</f>
        <v/>
      </c>
      <c r="N925" s="5">
        <f>IFERROR(INDEX(DePara!$A:$A,MATCH(TEXT(B925,"0"),DePara!$D:$D,0)),"(sem categoria)")</f>
        <v/>
      </c>
      <c r="O925" s="5">
        <f>IF(J925="","",Parametros!$B$6-J925)</f>
        <v/>
      </c>
      <c r="P925" s="5">
        <f>IF(O925="","",IF(O925&gt;0,1,0))</f>
        <v/>
      </c>
    </row>
    <row r="926">
      <c r="A926" s="5" t="n">
        <v>2122100000</v>
      </c>
      <c r="B926" s="5" t="inlineStr">
        <is>
          <t>IC1000</t>
        </is>
      </c>
      <c r="C926" s="5" t="inlineStr">
        <is>
          <t>NORDEX ENERGY SE &amp; CO KG</t>
        </is>
      </c>
      <c r="D926" s="5" t="inlineStr">
        <is>
          <t>KR</t>
        </is>
      </c>
      <c r="E926" s="5" t="n">
        <v>5023287</v>
      </c>
      <c r="F926" s="5" t="inlineStr">
        <is>
          <t>622427</t>
        </is>
      </c>
      <c r="G926" s="5" t="inlineStr">
        <is>
          <t>EUR</t>
        </is>
      </c>
      <c r="H926" s="9" t="n">
        <v>-10142186.71</v>
      </c>
      <c r="I926" s="16" t="n">
        <v>45831</v>
      </c>
      <c r="J926" s="16" t="n">
        <v>45861</v>
      </c>
      <c r="K926" s="5" t="inlineStr">
        <is>
          <t>Fatura do fornecedor NORDEX ENERGY SE &amp; CO KG 6224</t>
        </is>
      </c>
      <c r="L926" s="5" t="n"/>
      <c r="M926" s="5">
        <f>IF(YEAR(I926)&lt;=2020,"Até 2020",TEXT(YEAR(I926),"0"))</f>
        <v/>
      </c>
      <c r="N926" s="5">
        <f>IFERROR(INDEX(DePara!$A:$A,MATCH(TEXT(B926,"0"),DePara!$D:$D,0)),"(sem categoria)")</f>
        <v/>
      </c>
      <c r="O926" s="5">
        <f>IF(J926="","",Parametros!$B$6-J926)</f>
        <v/>
      </c>
      <c r="P926" s="5">
        <f>IF(O926="","",IF(O926&gt;0,1,0))</f>
        <v/>
      </c>
    </row>
    <row r="927">
      <c r="A927" s="5" t="n">
        <v>2122100000</v>
      </c>
      <c r="B927" s="5" t="inlineStr">
        <is>
          <t>IC1000</t>
        </is>
      </c>
      <c r="C927" s="5" t="inlineStr">
        <is>
          <t>NORDEX ENERGY SE &amp; CO KG</t>
        </is>
      </c>
      <c r="D927" s="5" t="inlineStr">
        <is>
          <t>KR</t>
        </is>
      </c>
      <c r="E927" s="5" t="n">
        <v>5023490</v>
      </c>
      <c r="F927" s="5" t="inlineStr">
        <is>
          <t>341387- 0365/25</t>
        </is>
      </c>
      <c r="G927" s="5" t="inlineStr">
        <is>
          <t>EUR</t>
        </is>
      </c>
      <c r="H927" s="9" t="n">
        <v>-7019.77</v>
      </c>
      <c r="I927" s="16" t="n">
        <v>45834</v>
      </c>
      <c r="J927" s="16" t="n">
        <v>45864</v>
      </c>
      <c r="K927" s="5" t="inlineStr">
        <is>
          <t>Fatura do fornecedor NORDEX ENERGY SE &amp; CO KG 3413</t>
        </is>
      </c>
      <c r="L927" s="5" t="n"/>
      <c r="M927" s="5">
        <f>IF(YEAR(I927)&lt;=2020,"Até 2020",TEXT(YEAR(I927),"0"))</f>
        <v/>
      </c>
      <c r="N927" s="5">
        <f>IFERROR(INDEX(DePara!$A:$A,MATCH(TEXT(B927,"0"),DePara!$D:$D,0)),"(sem categoria)")</f>
        <v/>
      </c>
      <c r="O927" s="5">
        <f>IF(J927="","",Parametros!$B$6-J927)</f>
        <v/>
      </c>
      <c r="P927" s="5">
        <f>IF(O927="","",IF(O927&gt;0,1,0))</f>
        <v/>
      </c>
    </row>
    <row r="928">
      <c r="A928" s="5" t="n">
        <v>2122100000</v>
      </c>
      <c r="B928" s="5" t="inlineStr">
        <is>
          <t>IC4420</t>
        </is>
      </c>
      <c r="C928" s="5" t="inlineStr">
        <is>
          <t>NORDEX ENERGY SPAIN S A U</t>
        </is>
      </c>
      <c r="D928" s="5" t="inlineStr">
        <is>
          <t>RE</t>
        </is>
      </c>
      <c r="E928" s="5" t="n">
        <v>5023511</v>
      </c>
      <c r="F928" s="5" t="inlineStr">
        <is>
          <t>4024002363</t>
        </is>
      </c>
      <c r="G928" s="5" t="inlineStr">
        <is>
          <t>EUR</t>
        </is>
      </c>
      <c r="H928" s="9" t="n">
        <v>-1313684.42</v>
      </c>
      <c r="I928" s="16" t="n">
        <v>45392</v>
      </c>
      <c r="J928" s="16" t="n">
        <v>45422</v>
      </c>
      <c r="K928" s="5" t="inlineStr">
        <is>
          <t>0279/24</t>
        </is>
      </c>
      <c r="L928" s="5" t="inlineStr">
        <is>
          <t>4024002363</t>
        </is>
      </c>
      <c r="M928" s="5">
        <f>IF(YEAR(I928)&lt;=2020,"Até 2020",TEXT(YEAR(I928),"0"))</f>
        <v/>
      </c>
      <c r="N928" s="5">
        <f>IFERROR(INDEX(DePara!$A:$A,MATCH(TEXT(B928,"0"),DePara!$D:$D,0)),"(sem categoria)")</f>
        <v/>
      </c>
      <c r="O928" s="5">
        <f>IF(J928="","",Parametros!$B$6-J928)</f>
        <v/>
      </c>
      <c r="P928" s="5">
        <f>IF(O928="","",IF(O928&gt;0,1,0))</f>
        <v/>
      </c>
    </row>
    <row r="929">
      <c r="A929" s="5" t="n">
        <v>2122100000</v>
      </c>
      <c r="B929" s="5" t="inlineStr">
        <is>
          <t>IC4420</t>
        </is>
      </c>
      <c r="C929" s="5" t="inlineStr">
        <is>
          <t>NORDEX ENERGY SPAIN S A U</t>
        </is>
      </c>
      <c r="D929" s="5" t="inlineStr">
        <is>
          <t>RE</t>
        </is>
      </c>
      <c r="E929" s="5" t="n">
        <v>5023512</v>
      </c>
      <c r="F929" s="5" t="inlineStr">
        <is>
          <t>4024002362</t>
        </is>
      </c>
      <c r="G929" s="5" t="inlineStr">
        <is>
          <t>EUR</t>
        </is>
      </c>
      <c r="H929" s="9" t="n">
        <v>-1313544.01</v>
      </c>
      <c r="I929" s="16" t="n">
        <v>45392</v>
      </c>
      <c r="J929" s="16" t="n">
        <v>45422</v>
      </c>
      <c r="K929" s="5" t="inlineStr">
        <is>
          <t>0279/24</t>
        </is>
      </c>
      <c r="L929" s="5" t="inlineStr">
        <is>
          <t>4024002362</t>
        </is>
      </c>
      <c r="M929" s="5">
        <f>IF(YEAR(I929)&lt;=2020,"Até 2020",TEXT(YEAR(I929),"0"))</f>
        <v/>
      </c>
      <c r="N929" s="5">
        <f>IFERROR(INDEX(DePara!$A:$A,MATCH(TEXT(B929,"0"),DePara!$D:$D,0)),"(sem categoria)")</f>
        <v/>
      </c>
      <c r="O929" s="5">
        <f>IF(J929="","",Parametros!$B$6-J929)</f>
        <v/>
      </c>
      <c r="P929" s="5">
        <f>IF(O929="","",IF(O929&gt;0,1,0))</f>
        <v/>
      </c>
    </row>
    <row r="930">
      <c r="A930" s="5" t="n">
        <v>2122100000</v>
      </c>
      <c r="B930" s="5" t="inlineStr">
        <is>
          <t>IC1000</t>
        </is>
      </c>
      <c r="C930" s="5" t="inlineStr">
        <is>
          <t>NORDEX ENERGY SE &amp; CO KG</t>
        </is>
      </c>
      <c r="D930" s="5" t="inlineStr">
        <is>
          <t>RE</t>
        </is>
      </c>
      <c r="E930" s="5" t="n">
        <v>5023518</v>
      </c>
      <c r="F930" s="5" t="inlineStr">
        <is>
          <t>RITM0482603/3343</t>
        </is>
      </c>
      <c r="G930" s="5" t="inlineStr">
        <is>
          <t>EUR</t>
        </is>
      </c>
      <c r="H930" s="9" t="n">
        <v>-595371.05</v>
      </c>
      <c r="I930" s="16" t="n">
        <v>45727</v>
      </c>
      <c r="J930" s="16" t="n">
        <v>45757</v>
      </c>
      <c r="K930" s="5" t="inlineStr">
        <is>
          <t>0324/25</t>
        </is>
      </c>
      <c r="L930" s="5" t="inlineStr">
        <is>
          <t>RITM0482603/334345</t>
        </is>
      </c>
      <c r="M930" s="5">
        <f>IF(YEAR(I930)&lt;=2020,"Até 2020",TEXT(YEAR(I930),"0"))</f>
        <v/>
      </c>
      <c r="N930" s="5">
        <f>IFERROR(INDEX(DePara!$A:$A,MATCH(TEXT(B930,"0"),DePara!$D:$D,0)),"(sem categoria)")</f>
        <v/>
      </c>
      <c r="O930" s="5">
        <f>IF(J930="","",Parametros!$B$6-J930)</f>
        <v/>
      </c>
      <c r="P930" s="5">
        <f>IF(O930="","",IF(O930&gt;0,1,0))</f>
        <v/>
      </c>
    </row>
    <row r="931">
      <c r="A931" s="5" t="n">
        <v>2122100000</v>
      </c>
      <c r="B931" s="5" t="inlineStr">
        <is>
          <t>IC4420</t>
        </is>
      </c>
      <c r="C931" s="5" t="inlineStr">
        <is>
          <t>NORDEX ENERGY SPAIN S A U</t>
        </is>
      </c>
      <c r="D931" s="5" t="inlineStr">
        <is>
          <t>RE</t>
        </is>
      </c>
      <c r="E931" s="5" t="n">
        <v>5023530</v>
      </c>
      <c r="F931" s="5" t="inlineStr">
        <is>
          <t>4024002222</t>
        </is>
      </c>
      <c r="G931" s="5" t="inlineStr">
        <is>
          <t>EUR</t>
        </is>
      </c>
      <c r="H931" s="9" t="n">
        <v>-1329628.73</v>
      </c>
      <c r="I931" s="16" t="n">
        <v>45385</v>
      </c>
      <c r="J931" s="16" t="n">
        <v>45415</v>
      </c>
      <c r="K931" s="5" t="inlineStr">
        <is>
          <t>0277/24</t>
        </is>
      </c>
      <c r="L931" s="5" t="inlineStr">
        <is>
          <t>4024002222</t>
        </is>
      </c>
      <c r="M931" s="5">
        <f>IF(YEAR(I931)&lt;=2020,"Até 2020",TEXT(YEAR(I931),"0"))</f>
        <v/>
      </c>
      <c r="N931" s="5">
        <f>IFERROR(INDEX(DePara!$A:$A,MATCH(TEXT(B931,"0"),DePara!$D:$D,0)),"(sem categoria)")</f>
        <v/>
      </c>
      <c r="O931" s="5">
        <f>IF(J931="","",Parametros!$B$6-J931)</f>
        <v/>
      </c>
      <c r="P931" s="5">
        <f>IF(O931="","",IF(O931&gt;0,1,0))</f>
        <v/>
      </c>
    </row>
    <row r="932">
      <c r="A932" s="5" t="n">
        <v>2122100000</v>
      </c>
      <c r="B932" s="5" t="inlineStr">
        <is>
          <t>IC4420</t>
        </is>
      </c>
      <c r="C932" s="5" t="inlineStr">
        <is>
          <t>NORDEX ENERGY SPAIN S A U</t>
        </is>
      </c>
      <c r="D932" s="5" t="inlineStr">
        <is>
          <t>RE</t>
        </is>
      </c>
      <c r="E932" s="5" t="n">
        <v>5023628</v>
      </c>
      <c r="F932" s="5" t="inlineStr">
        <is>
          <t>4024002124</t>
        </is>
      </c>
      <c r="G932" s="5" t="inlineStr">
        <is>
          <t>EUR</t>
        </is>
      </c>
      <c r="H932" s="9" t="n">
        <v>-1343620.99</v>
      </c>
      <c r="I932" s="16" t="n">
        <v>45377</v>
      </c>
      <c r="J932" s="16" t="n">
        <v>45407</v>
      </c>
      <c r="K932" s="5" t="inlineStr">
        <is>
          <t>0286/24</t>
        </is>
      </c>
      <c r="L932" s="5" t="inlineStr">
        <is>
          <t>4024002124</t>
        </is>
      </c>
      <c r="M932" s="5">
        <f>IF(YEAR(I932)&lt;=2020,"Até 2020",TEXT(YEAR(I932),"0"))</f>
        <v/>
      </c>
      <c r="N932" s="5">
        <f>IFERROR(INDEX(DePara!$A:$A,MATCH(TEXT(B932,"0"),DePara!$D:$D,0)),"(sem categoria)")</f>
        <v/>
      </c>
      <c r="O932" s="5">
        <f>IF(J932="","",Parametros!$B$6-J932)</f>
        <v/>
      </c>
      <c r="P932" s="5">
        <f>IF(O932="","",IF(O932&gt;0,1,0))</f>
        <v/>
      </c>
    </row>
    <row r="933">
      <c r="A933" s="5" t="n">
        <v>2122100000</v>
      </c>
      <c r="B933" s="5" t="inlineStr">
        <is>
          <t>IC1000</t>
        </is>
      </c>
      <c r="C933" s="5" t="inlineStr">
        <is>
          <t>NORDEX ENERGY SE &amp; CO KG</t>
        </is>
      </c>
      <c r="D933" s="5" t="inlineStr">
        <is>
          <t>RE</t>
        </is>
      </c>
      <c r="E933" s="5" t="n">
        <v>5023927</v>
      </c>
      <c r="F933" s="5" t="inlineStr">
        <is>
          <t>343796</t>
        </is>
      </c>
      <c r="G933" s="5" t="inlineStr">
        <is>
          <t>EUR</t>
        </is>
      </c>
      <c r="H933" s="9" t="n">
        <v>-2736.01</v>
      </c>
      <c r="I933" s="16" t="n">
        <v>45792</v>
      </c>
      <c r="J933" s="16" t="n">
        <v>45822</v>
      </c>
      <c r="K933" s="5" t="inlineStr">
        <is>
          <t>0453/25</t>
        </is>
      </c>
      <c r="L933" s="5" t="inlineStr">
        <is>
          <t>343796</t>
        </is>
      </c>
      <c r="M933" s="5">
        <f>IF(YEAR(I933)&lt;=2020,"Até 2020",TEXT(YEAR(I933),"0"))</f>
        <v/>
      </c>
      <c r="N933" s="5">
        <f>IFERROR(INDEX(DePara!$A:$A,MATCH(TEXT(B933,"0"),DePara!$D:$D,0)),"(sem categoria)")</f>
        <v/>
      </c>
      <c r="O933" s="5">
        <f>IF(J933="","",Parametros!$B$6-J933)</f>
        <v/>
      </c>
      <c r="P933" s="5">
        <f>IF(O933="","",IF(O933&gt;0,1,0))</f>
        <v/>
      </c>
    </row>
    <row r="934">
      <c r="A934" s="5" t="n">
        <v>2122100000</v>
      </c>
      <c r="B934" s="5" t="inlineStr">
        <is>
          <t>IC4420</t>
        </is>
      </c>
      <c r="C934" s="5" t="inlineStr">
        <is>
          <t>NORDEX ENERGY SPAIN S A U</t>
        </is>
      </c>
      <c r="D934" s="5" t="inlineStr">
        <is>
          <t>RE</t>
        </is>
      </c>
      <c r="E934" s="5" t="n">
        <v>5023999</v>
      </c>
      <c r="F934" s="5" t="inlineStr">
        <is>
          <t>12-4</t>
        </is>
      </c>
      <c r="G934" s="5" t="inlineStr">
        <is>
          <t>EUR</t>
        </is>
      </c>
      <c r="H934" s="9" t="n">
        <v>-21165.58</v>
      </c>
      <c r="I934" s="16" t="n">
        <v>45117</v>
      </c>
      <c r="J934" s="16" t="n">
        <v>45117</v>
      </c>
      <c r="K934" s="5" t="inlineStr">
        <is>
          <t>Fatura - bruto NORDEX ENERGY SPAIN S A U 12-4</t>
        </is>
      </c>
      <c r="L934" s="5" t="n"/>
      <c r="M934" s="5">
        <f>IF(YEAR(I934)&lt;=2020,"Até 2020",TEXT(YEAR(I934),"0"))</f>
        <v/>
      </c>
      <c r="N934" s="5">
        <f>IFERROR(INDEX(DePara!$A:$A,MATCH(TEXT(B934,"0"),DePara!$D:$D,0)),"(sem categoria)")</f>
        <v/>
      </c>
      <c r="O934" s="5">
        <f>IF(J934="","",Parametros!$B$6-J934)</f>
        <v/>
      </c>
      <c r="P934" s="5">
        <f>IF(O934="","",IF(O934&gt;0,1,0))</f>
        <v/>
      </c>
    </row>
    <row r="935">
      <c r="A935" s="5" t="n">
        <v>2122100000</v>
      </c>
      <c r="B935" s="5" t="inlineStr">
        <is>
          <t>IC1000</t>
        </is>
      </c>
      <c r="C935" s="5" t="inlineStr">
        <is>
          <t>NORDEX ENERGY SE &amp; CO KG</t>
        </is>
      </c>
      <c r="D935" s="5" t="inlineStr">
        <is>
          <t>RE</t>
        </is>
      </c>
      <c r="E935" s="5" t="n">
        <v>5024033</v>
      </c>
      <c r="F935" s="5" t="inlineStr">
        <is>
          <t>RITM0496913/3467</t>
        </is>
      </c>
      <c r="G935" s="5" t="inlineStr">
        <is>
          <t>USD</t>
        </is>
      </c>
      <c r="H935" s="9" t="n">
        <v>-774967.35</v>
      </c>
      <c r="I935" s="16" t="n">
        <v>45784</v>
      </c>
      <c r="J935" s="16" t="n">
        <v>45814</v>
      </c>
      <c r="K935" s="5" t="inlineStr">
        <is>
          <t>0447/25</t>
        </is>
      </c>
      <c r="L935" s="5" t="inlineStr">
        <is>
          <t>RITM0496913/346770</t>
        </is>
      </c>
      <c r="M935" s="5">
        <f>IF(YEAR(I935)&lt;=2020,"Até 2020",TEXT(YEAR(I935),"0"))</f>
        <v/>
      </c>
      <c r="N935" s="5">
        <f>IFERROR(INDEX(DePara!$A:$A,MATCH(TEXT(B935,"0"),DePara!$D:$D,0)),"(sem categoria)")</f>
        <v/>
      </c>
      <c r="O935" s="5">
        <f>IF(J935="","",Parametros!$B$6-J935)</f>
        <v/>
      </c>
      <c r="P935" s="5">
        <f>IF(O935="","",IF(O935&gt;0,1,0))</f>
        <v/>
      </c>
    </row>
    <row r="936">
      <c r="A936" s="5" t="n">
        <v>2122100000</v>
      </c>
      <c r="B936" s="5" t="inlineStr">
        <is>
          <t>IC4420</t>
        </is>
      </c>
      <c r="C936" s="5" t="inlineStr">
        <is>
          <t>NORDEX ENERGY SPAIN S A U</t>
        </is>
      </c>
      <c r="D936" s="5" t="inlineStr">
        <is>
          <t>RE</t>
        </is>
      </c>
      <c r="E936" s="5" t="n">
        <v>5024070</v>
      </c>
      <c r="F936" s="5" t="inlineStr">
        <is>
          <t>21-4</t>
        </is>
      </c>
      <c r="G936" s="5" t="inlineStr">
        <is>
          <t>EUR</t>
        </is>
      </c>
      <c r="H936" s="9" t="n">
        <v>-185860.94</v>
      </c>
      <c r="I936" s="16" t="n">
        <v>45127</v>
      </c>
      <c r="J936" s="16" t="n">
        <v>45157</v>
      </c>
      <c r="K936" s="5" t="inlineStr">
        <is>
          <t>Fatura - bruto NORDEX ENERGY SPAIN S A U 21-4</t>
        </is>
      </c>
      <c r="L936" s="5" t="n"/>
      <c r="M936" s="5">
        <f>IF(YEAR(I936)&lt;=2020,"Até 2020",TEXT(YEAR(I936),"0"))</f>
        <v/>
      </c>
      <c r="N936" s="5">
        <f>IFERROR(INDEX(DePara!$A:$A,MATCH(TEXT(B936,"0"),DePara!$D:$D,0)),"(sem categoria)")</f>
        <v/>
      </c>
      <c r="O936" s="5">
        <f>IF(J936="","",Parametros!$B$6-J936)</f>
        <v/>
      </c>
      <c r="P936" s="5">
        <f>IF(O936="","",IF(O936&gt;0,1,0))</f>
        <v/>
      </c>
    </row>
    <row r="937">
      <c r="A937" s="5" t="n">
        <v>2122100000</v>
      </c>
      <c r="B937" s="5" t="inlineStr">
        <is>
          <t>IC1000</t>
        </is>
      </c>
      <c r="C937" s="5" t="inlineStr">
        <is>
          <t>NORDEX ENERGY SE &amp; CO KG</t>
        </is>
      </c>
      <c r="D937" s="5" t="inlineStr">
        <is>
          <t>RE</t>
        </is>
      </c>
      <c r="E937" s="5" t="n">
        <v>5024542</v>
      </c>
      <c r="F937" s="5" t="inlineStr">
        <is>
          <t>4012238706</t>
        </is>
      </c>
      <c r="G937" s="5" t="inlineStr">
        <is>
          <t>EUR</t>
        </is>
      </c>
      <c r="H937" s="9" t="n">
        <v>-642903.74</v>
      </c>
      <c r="I937" s="16" t="n">
        <v>44449</v>
      </c>
      <c r="J937" s="16" t="n">
        <v>44479</v>
      </c>
      <c r="K937" s="5" t="inlineStr">
        <is>
          <t>0626/23</t>
        </is>
      </c>
      <c r="L937" s="5" t="inlineStr">
        <is>
          <t>4012238706</t>
        </is>
      </c>
      <c r="M937" s="5">
        <f>IF(YEAR(I937)&lt;=2020,"Até 2020",TEXT(YEAR(I937),"0"))</f>
        <v/>
      </c>
      <c r="N937" s="5">
        <f>IFERROR(INDEX(DePara!$A:$A,MATCH(TEXT(B937,"0"),DePara!$D:$D,0)),"(sem categoria)")</f>
        <v/>
      </c>
      <c r="O937" s="5">
        <f>IF(J937="","",Parametros!$B$6-J937)</f>
        <v/>
      </c>
      <c r="P937" s="5">
        <f>IF(O937="","",IF(O937&gt;0,1,0))</f>
        <v/>
      </c>
    </row>
    <row r="938">
      <c r="A938" s="5" t="n">
        <v>2122100000</v>
      </c>
      <c r="B938" s="5" t="inlineStr">
        <is>
          <t>IC4420</t>
        </is>
      </c>
      <c r="C938" s="5" t="inlineStr">
        <is>
          <t>NORDEX ENERGY SPAIN S A U</t>
        </is>
      </c>
      <c r="D938" s="5" t="inlineStr">
        <is>
          <t>RE</t>
        </is>
      </c>
      <c r="E938" s="5" t="n">
        <v>5024614</v>
      </c>
      <c r="F938" s="5" t="inlineStr">
        <is>
          <t>4018000047</t>
        </is>
      </c>
      <c r="G938" s="5" t="inlineStr">
        <is>
          <t>USD</t>
        </is>
      </c>
      <c r="H938" s="9" t="n">
        <v>-1524523.55</v>
      </c>
      <c r="I938" s="16" t="n">
        <v>45750</v>
      </c>
      <c r="J938" s="16" t="n">
        <v>45780</v>
      </c>
      <c r="K938" s="5" t="inlineStr">
        <is>
          <t>0251/25</t>
        </is>
      </c>
      <c r="L938" s="5" t="inlineStr">
        <is>
          <t>4018000047</t>
        </is>
      </c>
      <c r="M938" s="5">
        <f>IF(YEAR(I938)&lt;=2020,"Até 2020",TEXT(YEAR(I938),"0"))</f>
        <v/>
      </c>
      <c r="N938" s="5">
        <f>IFERROR(INDEX(DePara!$A:$A,MATCH(TEXT(B938,"0"),DePara!$D:$D,0)),"(sem categoria)")</f>
        <v/>
      </c>
      <c r="O938" s="5">
        <f>IF(J938="","",Parametros!$B$6-J938)</f>
        <v/>
      </c>
      <c r="P938" s="5">
        <f>IF(O938="","",IF(O938&gt;0,1,0))</f>
        <v/>
      </c>
    </row>
    <row r="939">
      <c r="A939" s="5" t="n">
        <v>2122100000</v>
      </c>
      <c r="B939" s="5" t="inlineStr">
        <is>
          <t>IC1000</t>
        </is>
      </c>
      <c r="C939" s="5" t="inlineStr">
        <is>
          <t>NORDEX ENERGY SE &amp; CO KG</t>
        </is>
      </c>
      <c r="D939" s="5" t="inlineStr">
        <is>
          <t>RE</t>
        </is>
      </c>
      <c r="E939" s="5" t="n">
        <v>5024742</v>
      </c>
      <c r="F939" s="5" t="inlineStr">
        <is>
          <t>79374</t>
        </is>
      </c>
      <c r="G939" s="5" t="inlineStr">
        <is>
          <t>EUR</t>
        </is>
      </c>
      <c r="H939" s="9" t="n">
        <v>-994977.37</v>
      </c>
      <c r="I939" s="16" t="n">
        <v>45422</v>
      </c>
      <c r="J939" s="16" t="n">
        <v>45452</v>
      </c>
      <c r="K939" s="5" t="inlineStr">
        <is>
          <t>0330/24</t>
        </is>
      </c>
      <c r="L939" s="5" t="inlineStr">
        <is>
          <t>79374</t>
        </is>
      </c>
      <c r="M939" s="5">
        <f>IF(YEAR(I939)&lt;=2020,"Até 2020",TEXT(YEAR(I939),"0"))</f>
        <v/>
      </c>
      <c r="N939" s="5">
        <f>IFERROR(INDEX(DePara!$A:$A,MATCH(TEXT(B939,"0"),DePara!$D:$D,0)),"(sem categoria)")</f>
        <v/>
      </c>
      <c r="O939" s="5">
        <f>IF(J939="","",Parametros!$B$6-J939)</f>
        <v/>
      </c>
      <c r="P939" s="5">
        <f>IF(O939="","",IF(O939&gt;0,1,0))</f>
        <v/>
      </c>
    </row>
    <row r="940">
      <c r="A940" s="5" t="n">
        <v>2122100000</v>
      </c>
      <c r="B940" s="5" t="inlineStr">
        <is>
          <t>IC4420</t>
        </is>
      </c>
      <c r="C940" s="5" t="inlineStr">
        <is>
          <t>NORDEX ENERGY SPAIN S A U</t>
        </is>
      </c>
      <c r="D940" s="5" t="inlineStr">
        <is>
          <t>RE</t>
        </is>
      </c>
      <c r="E940" s="5" t="n">
        <v>5024752</v>
      </c>
      <c r="F940" s="5" t="inlineStr">
        <is>
          <t>4023002013</t>
        </is>
      </c>
      <c r="G940" s="5" t="inlineStr">
        <is>
          <t>EUR</t>
        </is>
      </c>
      <c r="H940" s="9" t="n">
        <v>-185499.3</v>
      </c>
      <c r="I940" s="16" t="n">
        <v>45058</v>
      </c>
      <c r="J940" s="16" t="n">
        <v>45118</v>
      </c>
      <c r="K940" s="5" t="inlineStr">
        <is>
          <t>0635/23</t>
        </is>
      </c>
      <c r="L940" s="5" t="inlineStr">
        <is>
          <t>4023002013</t>
        </is>
      </c>
      <c r="M940" s="5">
        <f>IF(YEAR(I940)&lt;=2020,"Até 2020",TEXT(YEAR(I940),"0"))</f>
        <v/>
      </c>
      <c r="N940" s="5">
        <f>IFERROR(INDEX(DePara!$A:$A,MATCH(TEXT(B940,"0"),DePara!$D:$D,0)),"(sem categoria)")</f>
        <v/>
      </c>
      <c r="O940" s="5">
        <f>IF(J940="","",Parametros!$B$6-J940)</f>
        <v/>
      </c>
      <c r="P940" s="5">
        <f>IF(O940="","",IF(O940&gt;0,1,0))</f>
        <v/>
      </c>
    </row>
    <row r="941">
      <c r="A941" s="5" t="n">
        <v>2122100000</v>
      </c>
      <c r="B941" s="5" t="inlineStr">
        <is>
          <t>IC1000</t>
        </is>
      </c>
      <c r="C941" s="5" t="inlineStr">
        <is>
          <t>NORDEX ENERGY SE &amp; CO KG</t>
        </is>
      </c>
      <c r="D941" s="5" t="inlineStr">
        <is>
          <t>RE</t>
        </is>
      </c>
      <c r="E941" s="5" t="n">
        <v>5025115</v>
      </c>
      <c r="F941" s="5" t="inlineStr">
        <is>
          <t>273767</t>
        </is>
      </c>
      <c r="G941" s="5" t="inlineStr">
        <is>
          <t>EUR</t>
        </is>
      </c>
      <c r="H941" s="9" t="n">
        <v>-2560.85</v>
      </c>
      <c r="I941" s="16" t="n">
        <v>45327</v>
      </c>
      <c r="J941" s="16" t="n">
        <v>45387</v>
      </c>
      <c r="K941" s="5" t="inlineStr">
        <is>
          <t>0332/24</t>
        </is>
      </c>
      <c r="L941" s="5" t="inlineStr">
        <is>
          <t>273767</t>
        </is>
      </c>
      <c r="M941" s="5">
        <f>IF(YEAR(I941)&lt;=2020,"Até 2020",TEXT(YEAR(I941),"0"))</f>
        <v/>
      </c>
      <c r="N941" s="5">
        <f>IFERROR(INDEX(DePara!$A:$A,MATCH(TEXT(B941,"0"),DePara!$D:$D,0)),"(sem categoria)")</f>
        <v/>
      </c>
      <c r="O941" s="5">
        <f>IF(J941="","",Parametros!$B$6-J941)</f>
        <v/>
      </c>
      <c r="P941" s="5">
        <f>IF(O941="","",IF(O941&gt;0,1,0))</f>
        <v/>
      </c>
    </row>
    <row r="942">
      <c r="A942" s="5" t="n">
        <v>2122100000</v>
      </c>
      <c r="B942" s="5" t="inlineStr">
        <is>
          <t>IC1000</t>
        </is>
      </c>
      <c r="C942" s="5" t="inlineStr">
        <is>
          <t>NORDEX ENERGY SE &amp; CO KG</t>
        </is>
      </c>
      <c r="D942" s="5" t="inlineStr">
        <is>
          <t>RE</t>
        </is>
      </c>
      <c r="E942" s="5" t="n">
        <v>5025117</v>
      </c>
      <c r="F942" s="5" t="inlineStr">
        <is>
          <t>275815</t>
        </is>
      </c>
      <c r="G942" s="5" t="inlineStr">
        <is>
          <t>EUR</t>
        </is>
      </c>
      <c r="H942" s="9" t="n">
        <v>-3629.35</v>
      </c>
      <c r="I942" s="16" t="n">
        <v>45338</v>
      </c>
      <c r="J942" s="16" t="n">
        <v>45398</v>
      </c>
      <c r="K942" s="5" t="inlineStr">
        <is>
          <t>0332/24</t>
        </is>
      </c>
      <c r="L942" s="5" t="inlineStr">
        <is>
          <t>275815</t>
        </is>
      </c>
      <c r="M942" s="5">
        <f>IF(YEAR(I942)&lt;=2020,"Até 2020",TEXT(YEAR(I942),"0"))</f>
        <v/>
      </c>
      <c r="N942" s="5">
        <f>IFERROR(INDEX(DePara!$A:$A,MATCH(TEXT(B942,"0"),DePara!$D:$D,0)),"(sem categoria)")</f>
        <v/>
      </c>
      <c r="O942" s="5">
        <f>IF(J942="","",Parametros!$B$6-J942)</f>
        <v/>
      </c>
      <c r="P942" s="5">
        <f>IF(O942="","",IF(O942&gt;0,1,0))</f>
        <v/>
      </c>
    </row>
    <row r="943">
      <c r="A943" s="5" t="n">
        <v>2122100000</v>
      </c>
      <c r="B943" s="5" t="inlineStr">
        <is>
          <t>IC4420</t>
        </is>
      </c>
      <c r="C943" s="5" t="inlineStr">
        <is>
          <t>NORDEX ENERGY SPAIN S A U</t>
        </is>
      </c>
      <c r="D943" s="5" t="inlineStr">
        <is>
          <t>RE</t>
        </is>
      </c>
      <c r="E943" s="5" t="n">
        <v>5025126</v>
      </c>
      <c r="F943" s="5" t="inlineStr">
        <is>
          <t>276867</t>
        </is>
      </c>
      <c r="G943" s="5" t="inlineStr">
        <is>
          <t>EUR</t>
        </is>
      </c>
      <c r="H943" s="9" t="n">
        <v>-3629.35</v>
      </c>
      <c r="I943" s="16" t="n">
        <v>45344</v>
      </c>
      <c r="J943" s="16" t="n">
        <v>45404</v>
      </c>
      <c r="K943" s="5" t="inlineStr">
        <is>
          <t>0332/24</t>
        </is>
      </c>
      <c r="L943" s="5" t="inlineStr">
        <is>
          <t>276867</t>
        </is>
      </c>
      <c r="M943" s="5">
        <f>IF(YEAR(I943)&lt;=2020,"Até 2020",TEXT(YEAR(I943),"0"))</f>
        <v/>
      </c>
      <c r="N943" s="5">
        <f>IFERROR(INDEX(DePara!$A:$A,MATCH(TEXT(B943,"0"),DePara!$D:$D,0)),"(sem categoria)")</f>
        <v/>
      </c>
      <c r="O943" s="5">
        <f>IF(J943="","",Parametros!$B$6-J943)</f>
        <v/>
      </c>
      <c r="P943" s="5">
        <f>IF(O943="","",IF(O943&gt;0,1,0))</f>
        <v/>
      </c>
    </row>
    <row r="944">
      <c r="A944" s="5" t="n">
        <v>2122100000</v>
      </c>
      <c r="B944" s="5" t="inlineStr">
        <is>
          <t>IC4420</t>
        </is>
      </c>
      <c r="C944" s="5" t="inlineStr">
        <is>
          <t>NORDEX ENERGY SPAIN S A U</t>
        </is>
      </c>
      <c r="D944" s="5" t="inlineStr">
        <is>
          <t>RE</t>
        </is>
      </c>
      <c r="E944" s="5" t="n">
        <v>5025189</v>
      </c>
      <c r="F944" s="5" t="inlineStr">
        <is>
          <t>4023002532</t>
        </is>
      </c>
      <c r="G944" s="5" t="inlineStr">
        <is>
          <t>EUR</t>
        </is>
      </c>
      <c r="H944" s="9" t="n">
        <v>-38074.65</v>
      </c>
      <c r="I944" s="16" t="n">
        <v>45091</v>
      </c>
      <c r="J944" s="16" t="n">
        <v>45151</v>
      </c>
      <c r="K944" s="5" t="inlineStr">
        <is>
          <t>0594/23</t>
        </is>
      </c>
      <c r="L944" s="5" t="inlineStr">
        <is>
          <t>4023002532</t>
        </is>
      </c>
      <c r="M944" s="5">
        <f>IF(YEAR(I944)&lt;=2020,"Até 2020",TEXT(YEAR(I944),"0"))</f>
        <v/>
      </c>
      <c r="N944" s="5">
        <f>IFERROR(INDEX(DePara!$A:$A,MATCH(TEXT(B944,"0"),DePara!$D:$D,0)),"(sem categoria)")</f>
        <v/>
      </c>
      <c r="O944" s="5">
        <f>IF(J944="","",Parametros!$B$6-J944)</f>
        <v/>
      </c>
      <c r="P944" s="5">
        <f>IF(O944="","",IF(O944&gt;0,1,0))</f>
        <v/>
      </c>
    </row>
    <row r="945">
      <c r="A945" s="5" t="n">
        <v>2122100000</v>
      </c>
      <c r="B945" s="5" t="inlineStr">
        <is>
          <t>IC1000</t>
        </is>
      </c>
      <c r="C945" s="5" t="inlineStr">
        <is>
          <t>NORDEX ENERGY SE &amp; CO KG</t>
        </is>
      </c>
      <c r="D945" s="5" t="inlineStr">
        <is>
          <t>RE</t>
        </is>
      </c>
      <c r="E945" s="5" t="n">
        <v>5025269</v>
      </c>
      <c r="F945" s="5" t="inlineStr">
        <is>
          <t>347203</t>
        </is>
      </c>
      <c r="G945" s="5" t="inlineStr">
        <is>
          <t>EUR</t>
        </is>
      </c>
      <c r="H945" s="9" t="n">
        <v>-1102.12</v>
      </c>
      <c r="I945" s="16" t="n">
        <v>45817</v>
      </c>
      <c r="J945" s="16" t="n">
        <v>45847</v>
      </c>
      <c r="K945" s="5" t="inlineStr">
        <is>
          <t>0471/25</t>
        </is>
      </c>
      <c r="L945" s="5" t="inlineStr">
        <is>
          <t>347203</t>
        </is>
      </c>
      <c r="M945" s="5">
        <f>IF(YEAR(I945)&lt;=2020,"Até 2020",TEXT(YEAR(I945),"0"))</f>
        <v/>
      </c>
      <c r="N945" s="5">
        <f>IFERROR(INDEX(DePara!$A:$A,MATCH(TEXT(B945,"0"),DePara!$D:$D,0)),"(sem categoria)")</f>
        <v/>
      </c>
      <c r="O945" s="5">
        <f>IF(J945="","",Parametros!$B$6-J945)</f>
        <v/>
      </c>
      <c r="P945" s="5">
        <f>IF(O945="","",IF(O945&gt;0,1,0))</f>
        <v/>
      </c>
    </row>
    <row r="946">
      <c r="A946" s="5" t="n">
        <v>2122100000</v>
      </c>
      <c r="B946" s="5" t="inlineStr">
        <is>
          <t>IC1000</t>
        </is>
      </c>
      <c r="C946" s="5" t="inlineStr">
        <is>
          <t>NORDEX ENERGY SE &amp; CO KG</t>
        </is>
      </c>
      <c r="D946" s="5" t="inlineStr">
        <is>
          <t>RE</t>
        </is>
      </c>
      <c r="E946" s="5" t="n">
        <v>5025277</v>
      </c>
      <c r="F946" s="5" t="inlineStr">
        <is>
          <t>343799</t>
        </is>
      </c>
      <c r="G946" s="5" t="inlineStr">
        <is>
          <t>EUR</t>
        </is>
      </c>
      <c r="H946" s="9" t="n">
        <v>-22828.59</v>
      </c>
      <c r="I946" s="16" t="n">
        <v>45792</v>
      </c>
      <c r="J946" s="16" t="n">
        <v>45822</v>
      </c>
      <c r="K946" s="5" t="inlineStr">
        <is>
          <t>0450/25</t>
        </is>
      </c>
      <c r="L946" s="5" t="inlineStr">
        <is>
          <t>343799</t>
        </is>
      </c>
      <c r="M946" s="5">
        <f>IF(YEAR(I946)&lt;=2020,"Até 2020",TEXT(YEAR(I946),"0"))</f>
        <v/>
      </c>
      <c r="N946" s="5">
        <f>IFERROR(INDEX(DePara!$A:$A,MATCH(TEXT(B946,"0"),DePara!$D:$D,0)),"(sem categoria)")</f>
        <v/>
      </c>
      <c r="O946" s="5">
        <f>IF(J946="","",Parametros!$B$6-J946)</f>
        <v/>
      </c>
      <c r="P946" s="5">
        <f>IF(O946="","",IF(O946&gt;0,1,0))</f>
        <v/>
      </c>
    </row>
    <row r="947">
      <c r="A947" s="5" t="n">
        <v>2122100000</v>
      </c>
      <c r="B947" s="5" t="inlineStr">
        <is>
          <t>IC1000</t>
        </is>
      </c>
      <c r="C947" s="5" t="inlineStr">
        <is>
          <t>NORDEX ENERGY SE &amp; CO KG</t>
        </is>
      </c>
      <c r="D947" s="5" t="inlineStr">
        <is>
          <t>RE</t>
        </is>
      </c>
      <c r="E947" s="5" t="n">
        <v>5025278</v>
      </c>
      <c r="F947" s="5" t="inlineStr">
        <is>
          <t>343794</t>
        </is>
      </c>
      <c r="G947" s="5" t="inlineStr">
        <is>
          <t>EUR</t>
        </is>
      </c>
      <c r="H947" s="9" t="n">
        <v>-9244.77</v>
      </c>
      <c r="I947" s="16" t="n">
        <v>45797</v>
      </c>
      <c r="J947" s="16" t="n">
        <v>45827</v>
      </c>
      <c r="K947" s="5" t="inlineStr">
        <is>
          <t>0454/25</t>
        </is>
      </c>
      <c r="L947" s="5" t="inlineStr">
        <is>
          <t>343794</t>
        </is>
      </c>
      <c r="M947" s="5">
        <f>IF(YEAR(I947)&lt;=2020,"Até 2020",TEXT(YEAR(I947),"0"))</f>
        <v/>
      </c>
      <c r="N947" s="5">
        <f>IFERROR(INDEX(DePara!$A:$A,MATCH(TEXT(B947,"0"),DePara!$D:$D,0)),"(sem categoria)")</f>
        <v/>
      </c>
      <c r="O947" s="5">
        <f>IF(J947="","",Parametros!$B$6-J947)</f>
        <v/>
      </c>
      <c r="P947" s="5">
        <f>IF(O947="","",IF(O947&gt;0,1,0))</f>
        <v/>
      </c>
    </row>
    <row r="948">
      <c r="A948" s="5" t="n">
        <v>2122100000</v>
      </c>
      <c r="B948" s="5" t="inlineStr">
        <is>
          <t>IC1000</t>
        </is>
      </c>
      <c r="C948" s="5" t="inlineStr">
        <is>
          <t>NORDEX ENERGY SE &amp; CO KG</t>
        </is>
      </c>
      <c r="D948" s="5" t="inlineStr">
        <is>
          <t>RE</t>
        </is>
      </c>
      <c r="E948" s="5" t="n">
        <v>5025280</v>
      </c>
      <c r="F948" s="5" t="inlineStr">
        <is>
          <t>347007</t>
        </is>
      </c>
      <c r="G948" s="5" t="inlineStr">
        <is>
          <t>EUR</t>
        </is>
      </c>
      <c r="H948" s="9" t="n">
        <v>-1105.66</v>
      </c>
      <c r="I948" s="16" t="n">
        <v>45825</v>
      </c>
      <c r="J948" s="16" t="n">
        <v>45855</v>
      </c>
      <c r="K948" s="5" t="inlineStr">
        <is>
          <t>0476/25</t>
        </is>
      </c>
      <c r="L948" s="5" t="inlineStr">
        <is>
          <t>347007</t>
        </is>
      </c>
      <c r="M948" s="5">
        <f>IF(YEAR(I948)&lt;=2020,"Até 2020",TEXT(YEAR(I948),"0"))</f>
        <v/>
      </c>
      <c r="N948" s="5">
        <f>IFERROR(INDEX(DePara!$A:$A,MATCH(TEXT(B948,"0"),DePara!$D:$D,0)),"(sem categoria)")</f>
        <v/>
      </c>
      <c r="O948" s="5">
        <f>IF(J948="","",Parametros!$B$6-J948)</f>
        <v/>
      </c>
      <c r="P948" s="5">
        <f>IF(O948="","",IF(O948&gt;0,1,0))</f>
        <v/>
      </c>
    </row>
    <row r="949">
      <c r="A949" s="5" t="n">
        <v>2122100000</v>
      </c>
      <c r="B949" s="5" t="inlineStr">
        <is>
          <t>IC1000</t>
        </is>
      </c>
      <c r="C949" s="5" t="inlineStr">
        <is>
          <t>NORDEX ENERGY SE &amp; CO KG</t>
        </is>
      </c>
      <c r="D949" s="5" t="inlineStr">
        <is>
          <t>RE</t>
        </is>
      </c>
      <c r="E949" s="5" t="n">
        <v>5025281</v>
      </c>
      <c r="F949" s="5" t="inlineStr">
        <is>
          <t>348245</t>
        </is>
      </c>
      <c r="G949" s="5" t="inlineStr">
        <is>
          <t>EUR</t>
        </is>
      </c>
      <c r="H949" s="9" t="n">
        <v>-6066.51</v>
      </c>
      <c r="I949" s="16" t="n">
        <v>45824</v>
      </c>
      <c r="J949" s="16" t="n">
        <v>45854</v>
      </c>
      <c r="K949" s="5" t="inlineStr">
        <is>
          <t>0477/25</t>
        </is>
      </c>
      <c r="L949" s="5" t="inlineStr">
        <is>
          <t>348245</t>
        </is>
      </c>
      <c r="M949" s="5">
        <f>IF(YEAR(I949)&lt;=2020,"Até 2020",TEXT(YEAR(I949),"0"))</f>
        <v/>
      </c>
      <c r="N949" s="5">
        <f>IFERROR(INDEX(DePara!$A:$A,MATCH(TEXT(B949,"0"),DePara!$D:$D,0)),"(sem categoria)")</f>
        <v/>
      </c>
      <c r="O949" s="5">
        <f>IF(J949="","",Parametros!$B$6-J949)</f>
        <v/>
      </c>
      <c r="P949" s="5">
        <f>IF(O949="","",IF(O949&gt;0,1,0))</f>
        <v/>
      </c>
    </row>
    <row r="950">
      <c r="A950" s="5" t="n">
        <v>2122100000</v>
      </c>
      <c r="B950" s="5" t="inlineStr">
        <is>
          <t>IC1000</t>
        </is>
      </c>
      <c r="C950" s="5" t="inlineStr">
        <is>
          <t>NORDEX ENERGY SE &amp; CO KG</t>
        </is>
      </c>
      <c r="D950" s="5" t="inlineStr">
        <is>
          <t>RE</t>
        </is>
      </c>
      <c r="E950" s="5" t="n">
        <v>5025286</v>
      </c>
      <c r="F950" s="5" t="inlineStr">
        <is>
          <t>343797</t>
        </is>
      </c>
      <c r="G950" s="5" t="inlineStr">
        <is>
          <t>EUR</t>
        </is>
      </c>
      <c r="H950" s="9" t="n">
        <v>-2736.01</v>
      </c>
      <c r="I950" s="16" t="n">
        <v>45791</v>
      </c>
      <c r="J950" s="16" t="n">
        <v>45821</v>
      </c>
      <c r="K950" s="5" t="inlineStr">
        <is>
          <t>0455/25</t>
        </is>
      </c>
      <c r="L950" s="5" t="inlineStr">
        <is>
          <t>343797</t>
        </is>
      </c>
      <c r="M950" s="5">
        <f>IF(YEAR(I950)&lt;=2020,"Até 2020",TEXT(YEAR(I950),"0"))</f>
        <v/>
      </c>
      <c r="N950" s="5">
        <f>IFERROR(INDEX(DePara!$A:$A,MATCH(TEXT(B950,"0"),DePara!$D:$D,0)),"(sem categoria)")</f>
        <v/>
      </c>
      <c r="O950" s="5">
        <f>IF(J950="","",Parametros!$B$6-J950)</f>
        <v/>
      </c>
      <c r="P950" s="5">
        <f>IF(O950="","",IF(O950&gt;0,1,0))</f>
        <v/>
      </c>
    </row>
    <row r="951">
      <c r="A951" s="5" t="n">
        <v>2122100000</v>
      </c>
      <c r="B951" s="5" t="inlineStr">
        <is>
          <t>IC1000</t>
        </is>
      </c>
      <c r="C951" s="5" t="inlineStr">
        <is>
          <t>NORDEX ENERGY SE &amp; CO KG</t>
        </is>
      </c>
      <c r="D951" s="5" t="inlineStr">
        <is>
          <t>RE</t>
        </is>
      </c>
      <c r="E951" s="5" t="n">
        <v>5025511</v>
      </c>
      <c r="F951" s="5" t="inlineStr">
        <is>
          <t>RITM0515358/8865</t>
        </is>
      </c>
      <c r="G951" s="5" t="inlineStr">
        <is>
          <t>EUR</t>
        </is>
      </c>
      <c r="H951" s="9" t="n">
        <v>-125278.65</v>
      </c>
      <c r="I951" s="16" t="n">
        <v>45832</v>
      </c>
      <c r="J951" s="16" t="n">
        <v>45862</v>
      </c>
      <c r="K951" s="5" t="inlineStr">
        <is>
          <t>0479/25</t>
        </is>
      </c>
      <c r="L951" s="5" t="inlineStr">
        <is>
          <t>RITM0515358/88653</t>
        </is>
      </c>
      <c r="M951" s="5">
        <f>IF(YEAR(I951)&lt;=2020,"Até 2020",TEXT(YEAR(I951),"0"))</f>
        <v/>
      </c>
      <c r="N951" s="5">
        <f>IFERROR(INDEX(DePara!$A:$A,MATCH(TEXT(B951,"0"),DePara!$D:$D,0)),"(sem categoria)")</f>
        <v/>
      </c>
      <c r="O951" s="5">
        <f>IF(J951="","",Parametros!$B$6-J951)</f>
        <v/>
      </c>
      <c r="P951" s="5">
        <f>IF(O951="","",IF(O951&gt;0,1,0))</f>
        <v/>
      </c>
    </row>
    <row r="952">
      <c r="A952" s="5" t="n">
        <v>2122100000</v>
      </c>
      <c r="B952" s="5" t="inlineStr">
        <is>
          <t>IC1000</t>
        </is>
      </c>
      <c r="C952" s="5" t="inlineStr">
        <is>
          <t>NORDEX ENERGY SE &amp; CO KG</t>
        </is>
      </c>
      <c r="D952" s="5" t="inlineStr">
        <is>
          <t>RE</t>
        </is>
      </c>
      <c r="E952" s="5" t="n">
        <v>5025561</v>
      </c>
      <c r="F952" s="5" t="inlineStr">
        <is>
          <t>350849</t>
        </is>
      </c>
      <c r="G952" s="5" t="inlineStr">
        <is>
          <t>EUR</t>
        </is>
      </c>
      <c r="H952" s="9" t="n">
        <v>-1110.4</v>
      </c>
      <c r="I952" s="16" t="n">
        <v>45840</v>
      </c>
      <c r="J952" s="16" t="n">
        <v>45870</v>
      </c>
      <c r="K952" s="5" t="inlineStr">
        <is>
          <t>0552/25</t>
        </is>
      </c>
      <c r="L952" s="5" t="inlineStr">
        <is>
          <t>350849</t>
        </is>
      </c>
      <c r="M952" s="5">
        <f>IF(YEAR(I952)&lt;=2020,"Até 2020",TEXT(YEAR(I952),"0"))</f>
        <v/>
      </c>
      <c r="N952" s="5">
        <f>IFERROR(INDEX(DePara!$A:$A,MATCH(TEXT(B952,"0"),DePara!$D:$D,0)),"(sem categoria)")</f>
        <v/>
      </c>
      <c r="O952" s="5">
        <f>IF(J952="","",Parametros!$B$6-J952)</f>
        <v/>
      </c>
      <c r="P952" s="5">
        <f>IF(O952="","",IF(O952&gt;0,1,0))</f>
        <v/>
      </c>
    </row>
    <row r="953">
      <c r="A953" s="5" t="n">
        <v>2122100000</v>
      </c>
      <c r="B953" s="5" t="inlineStr">
        <is>
          <t>IC1000</t>
        </is>
      </c>
      <c r="C953" s="5" t="inlineStr">
        <is>
          <t>NORDEX ENERGY SE &amp; CO KG</t>
        </is>
      </c>
      <c r="D953" s="5" t="inlineStr">
        <is>
          <t>RE</t>
        </is>
      </c>
      <c r="E953" s="5" t="n">
        <v>5025588</v>
      </c>
      <c r="F953" s="5" t="inlineStr">
        <is>
          <t>347204</t>
        </is>
      </c>
      <c r="G953" s="5" t="inlineStr">
        <is>
          <t>EUR</t>
        </is>
      </c>
      <c r="H953" s="9" t="n">
        <v>-1090.68</v>
      </c>
      <c r="I953" s="16" t="n">
        <v>45817</v>
      </c>
      <c r="J953" s="16" t="n">
        <v>45847</v>
      </c>
      <c r="K953" s="5" t="inlineStr">
        <is>
          <t>0496/25</t>
        </is>
      </c>
      <c r="L953" s="5" t="inlineStr">
        <is>
          <t>347204</t>
        </is>
      </c>
      <c r="M953" s="5">
        <f>IF(YEAR(I953)&lt;=2020,"Até 2020",TEXT(YEAR(I953),"0"))</f>
        <v/>
      </c>
      <c r="N953" s="5">
        <f>IFERROR(INDEX(DePara!$A:$A,MATCH(TEXT(B953,"0"),DePara!$D:$D,0)),"(sem categoria)")</f>
        <v/>
      </c>
      <c r="O953" s="5">
        <f>IF(J953="","",Parametros!$B$6-J953)</f>
        <v/>
      </c>
      <c r="P953" s="5">
        <f>IF(O953="","",IF(O953&gt;0,1,0))</f>
        <v/>
      </c>
    </row>
    <row r="954">
      <c r="A954" s="5" t="n">
        <v>2122100000</v>
      </c>
      <c r="B954" s="5" t="inlineStr">
        <is>
          <t>IC1000</t>
        </is>
      </c>
      <c r="C954" s="5" t="inlineStr">
        <is>
          <t>NORDEX ENERGY SE &amp; CO KG</t>
        </is>
      </c>
      <c r="D954" s="5" t="inlineStr">
        <is>
          <t>RE</t>
        </is>
      </c>
      <c r="E954" s="5" t="n">
        <v>5025766</v>
      </c>
      <c r="F954" s="5" t="inlineStr">
        <is>
          <t>283297</t>
        </is>
      </c>
      <c r="G954" s="5" t="inlineStr">
        <is>
          <t>EUR</t>
        </is>
      </c>
      <c r="H954" s="9" t="n">
        <v>-1733.86</v>
      </c>
      <c r="I954" s="16" t="n">
        <v>45406</v>
      </c>
      <c r="J954" s="16" t="n">
        <v>45436</v>
      </c>
      <c r="K954" s="5" t="inlineStr">
        <is>
          <t>0358/24</t>
        </is>
      </c>
      <c r="L954" s="5" t="inlineStr">
        <is>
          <t>283297</t>
        </is>
      </c>
      <c r="M954" s="5">
        <f>IF(YEAR(I954)&lt;=2020,"Até 2020",TEXT(YEAR(I954),"0"))</f>
        <v/>
      </c>
      <c r="N954" s="5">
        <f>IFERROR(INDEX(DePara!$A:$A,MATCH(TEXT(B954,"0"),DePara!$D:$D,0)),"(sem categoria)")</f>
        <v/>
      </c>
      <c r="O954" s="5">
        <f>IF(J954="","",Parametros!$B$6-J954)</f>
        <v/>
      </c>
      <c r="P954" s="5">
        <f>IF(O954="","",IF(O954&gt;0,1,0))</f>
        <v/>
      </c>
    </row>
    <row r="955">
      <c r="A955" s="5" t="n">
        <v>2122100000</v>
      </c>
      <c r="B955" s="5" t="inlineStr">
        <is>
          <t>IC1000</t>
        </is>
      </c>
      <c r="C955" s="5" t="inlineStr">
        <is>
          <t>NORDEX ENERGY SE &amp; CO KG</t>
        </is>
      </c>
      <c r="D955" s="5" t="inlineStr">
        <is>
          <t>RE</t>
        </is>
      </c>
      <c r="E955" s="5" t="n">
        <v>5025768</v>
      </c>
      <c r="F955" s="5" t="inlineStr">
        <is>
          <t>RITM0484592/3353</t>
        </is>
      </c>
      <c r="G955" s="5" t="inlineStr">
        <is>
          <t>EUR</t>
        </is>
      </c>
      <c r="H955" s="9" t="n">
        <v>-586562.85</v>
      </c>
      <c r="I955" s="16" t="n">
        <v>45740</v>
      </c>
      <c r="J955" s="16" t="n">
        <v>45770</v>
      </c>
      <c r="K955" s="5" t="inlineStr">
        <is>
          <t>0323/25</t>
        </is>
      </c>
      <c r="L955" s="5" t="inlineStr">
        <is>
          <t>RITM0484592/335301</t>
        </is>
      </c>
      <c r="M955" s="5">
        <f>IF(YEAR(I955)&lt;=2020,"Até 2020",TEXT(YEAR(I955),"0"))</f>
        <v/>
      </c>
      <c r="N955" s="5">
        <f>IFERROR(INDEX(DePara!$A:$A,MATCH(TEXT(B955,"0"),DePara!$D:$D,0)),"(sem categoria)")</f>
        <v/>
      </c>
      <c r="O955" s="5">
        <f>IF(J955="","",Parametros!$B$6-J955)</f>
        <v/>
      </c>
      <c r="P955" s="5">
        <f>IF(O955="","",IF(O955&gt;0,1,0))</f>
        <v/>
      </c>
    </row>
    <row r="956">
      <c r="A956" s="5" t="n">
        <v>2122100000</v>
      </c>
      <c r="B956" s="5" t="inlineStr">
        <is>
          <t>IC1000</t>
        </is>
      </c>
      <c r="C956" s="5" t="inlineStr">
        <is>
          <t>NORDEX ENERGY SE &amp; CO KG</t>
        </is>
      </c>
      <c r="D956" s="5" t="inlineStr">
        <is>
          <t>RE</t>
        </is>
      </c>
      <c r="E956" s="5" t="n">
        <v>5025769</v>
      </c>
      <c r="F956" s="5" t="inlineStr">
        <is>
          <t>281264</t>
        </is>
      </c>
      <c r="G956" s="5" t="inlineStr">
        <is>
          <t>EUR</t>
        </is>
      </c>
      <c r="H956" s="9" t="n">
        <v>-13338.32</v>
      </c>
      <c r="I956" s="16" t="n">
        <v>45391</v>
      </c>
      <c r="J956" s="16" t="n">
        <v>45421</v>
      </c>
      <c r="K956" s="5" t="inlineStr">
        <is>
          <t>0363/24</t>
        </is>
      </c>
      <c r="L956" s="5" t="inlineStr">
        <is>
          <t>281264</t>
        </is>
      </c>
      <c r="M956" s="5">
        <f>IF(YEAR(I956)&lt;=2020,"Até 2020",TEXT(YEAR(I956),"0"))</f>
        <v/>
      </c>
      <c r="N956" s="5">
        <f>IFERROR(INDEX(DePara!$A:$A,MATCH(TEXT(B956,"0"),DePara!$D:$D,0)),"(sem categoria)")</f>
        <v/>
      </c>
      <c r="O956" s="5">
        <f>IF(J956="","",Parametros!$B$6-J956)</f>
        <v/>
      </c>
      <c r="P956" s="5">
        <f>IF(O956="","",IF(O956&gt;0,1,0))</f>
        <v/>
      </c>
    </row>
    <row r="957">
      <c r="A957" s="5" t="n">
        <v>2122100000</v>
      </c>
      <c r="B957" s="5" t="inlineStr">
        <is>
          <t>IC1000</t>
        </is>
      </c>
      <c r="C957" s="5" t="inlineStr">
        <is>
          <t>NORDEX ENERGY SE &amp; CO KG</t>
        </is>
      </c>
      <c r="D957" s="5" t="inlineStr">
        <is>
          <t>RE</t>
        </is>
      </c>
      <c r="E957" s="5" t="n">
        <v>5025803</v>
      </c>
      <c r="F957" s="5" t="inlineStr">
        <is>
          <t>285609</t>
        </is>
      </c>
      <c r="G957" s="5" t="inlineStr">
        <is>
          <t>EUR</t>
        </is>
      </c>
      <c r="H957" s="9" t="n">
        <v>-5078.42</v>
      </c>
      <c r="I957" s="16" t="n">
        <v>45415</v>
      </c>
      <c r="J957" s="16" t="n">
        <v>45445</v>
      </c>
      <c r="K957" s="5" t="inlineStr">
        <is>
          <t>0366/24</t>
        </is>
      </c>
      <c r="L957" s="5" t="inlineStr">
        <is>
          <t>285609</t>
        </is>
      </c>
      <c r="M957" s="5">
        <f>IF(YEAR(I957)&lt;=2020,"Até 2020",TEXT(YEAR(I957),"0"))</f>
        <v/>
      </c>
      <c r="N957" s="5">
        <f>IFERROR(INDEX(DePara!$A:$A,MATCH(TEXT(B957,"0"),DePara!$D:$D,0)),"(sem categoria)")</f>
        <v/>
      </c>
      <c r="O957" s="5">
        <f>IF(J957="","",Parametros!$B$6-J957)</f>
        <v/>
      </c>
      <c r="P957" s="5">
        <f>IF(O957="","",IF(O957&gt;0,1,0))</f>
        <v/>
      </c>
    </row>
    <row r="958">
      <c r="A958" s="5" t="n">
        <v>2122100000</v>
      </c>
      <c r="B958" s="5" t="inlineStr">
        <is>
          <t>IC1000</t>
        </is>
      </c>
      <c r="C958" s="5" t="inlineStr">
        <is>
          <t>NORDEX ENERGY SE &amp; CO KG</t>
        </is>
      </c>
      <c r="D958" s="5" t="inlineStr">
        <is>
          <t>RE</t>
        </is>
      </c>
      <c r="E958" s="5" t="n">
        <v>5025803</v>
      </c>
      <c r="F958" s="5" t="inlineStr">
        <is>
          <t>343859</t>
        </is>
      </c>
      <c r="G958" s="5" t="inlineStr">
        <is>
          <t>EUR</t>
        </is>
      </c>
      <c r="H958" s="9" t="n">
        <v>-2736.01</v>
      </c>
      <c r="I958" s="16" t="n">
        <v>45797</v>
      </c>
      <c r="J958" s="16" t="n">
        <v>45827</v>
      </c>
      <c r="K958" s="5" t="inlineStr">
        <is>
          <t>0452/25</t>
        </is>
      </c>
      <c r="L958" s="5" t="inlineStr">
        <is>
          <t>343859</t>
        </is>
      </c>
      <c r="M958" s="5">
        <f>IF(YEAR(I958)&lt;=2020,"Até 2020",TEXT(YEAR(I958),"0"))</f>
        <v/>
      </c>
      <c r="N958" s="5">
        <f>IFERROR(INDEX(DePara!$A:$A,MATCH(TEXT(B958,"0"),DePara!$D:$D,0)),"(sem categoria)")</f>
        <v/>
      </c>
      <c r="O958" s="5">
        <f>IF(J958="","",Parametros!$B$6-J958)</f>
        <v/>
      </c>
      <c r="P958" s="5">
        <f>IF(O958="","",IF(O958&gt;0,1,0))</f>
        <v/>
      </c>
    </row>
    <row r="959">
      <c r="A959" s="5" t="n">
        <v>2122100000</v>
      </c>
      <c r="B959" s="5" t="inlineStr">
        <is>
          <t>IC1000</t>
        </is>
      </c>
      <c r="C959" s="5" t="inlineStr">
        <is>
          <t>NORDEX ENERGY SE &amp; CO KG</t>
        </is>
      </c>
      <c r="D959" s="5" t="inlineStr">
        <is>
          <t>RE</t>
        </is>
      </c>
      <c r="E959" s="5" t="n">
        <v>5025881</v>
      </c>
      <c r="F959" s="5" t="inlineStr">
        <is>
          <t>284404</t>
        </is>
      </c>
      <c r="G959" s="5" t="inlineStr">
        <is>
          <t>EUR</t>
        </is>
      </c>
      <c r="H959" s="9" t="n">
        <v>-245823.7</v>
      </c>
      <c r="I959" s="16" t="n">
        <v>45405</v>
      </c>
      <c r="J959" s="16" t="n">
        <v>45435</v>
      </c>
      <c r="K959" s="5" t="inlineStr">
        <is>
          <t>0298/24</t>
        </is>
      </c>
      <c r="L959" s="5" t="inlineStr">
        <is>
          <t>284404</t>
        </is>
      </c>
      <c r="M959" s="5">
        <f>IF(YEAR(I959)&lt;=2020,"Até 2020",TEXT(YEAR(I959),"0"))</f>
        <v/>
      </c>
      <c r="N959" s="5">
        <f>IFERROR(INDEX(DePara!$A:$A,MATCH(TEXT(B959,"0"),DePara!$D:$D,0)),"(sem categoria)")</f>
        <v/>
      </c>
      <c r="O959" s="5">
        <f>IF(J959="","",Parametros!$B$6-J959)</f>
        <v/>
      </c>
      <c r="P959" s="5">
        <f>IF(O959="","",IF(O959&gt;0,1,0))</f>
        <v/>
      </c>
    </row>
    <row r="960">
      <c r="A960" s="5" t="n">
        <v>2122100000</v>
      </c>
      <c r="B960" s="5" t="inlineStr">
        <is>
          <t>IC5000</t>
        </is>
      </c>
      <c r="C960" s="5" t="inlineStr">
        <is>
          <t>NORDEX SE</t>
        </is>
      </c>
      <c r="D960" s="5" t="inlineStr">
        <is>
          <t>KR</t>
        </is>
      </c>
      <c r="E960" s="5" t="n">
        <v>5026420</v>
      </c>
      <c r="F960" s="5" t="inlineStr">
        <is>
          <t>609696</t>
        </is>
      </c>
      <c r="G960" s="5" t="inlineStr">
        <is>
          <t>EUR</t>
        </is>
      </c>
      <c r="H960" s="9" t="n">
        <v>-4225990.93</v>
      </c>
      <c r="I960" s="16" t="n">
        <v>45853</v>
      </c>
      <c r="J960" s="16" t="n">
        <v>45853</v>
      </c>
      <c r="K960" s="5" t="inlineStr">
        <is>
          <t>Fatura do fornecedor NORDEX SE 609696</t>
        </is>
      </c>
      <c r="L960" s="5" t="n"/>
      <c r="M960" s="5">
        <f>IF(YEAR(I960)&lt;=2020,"Até 2020",TEXT(YEAR(I960),"0"))</f>
        <v/>
      </c>
      <c r="N960" s="5">
        <f>IFERROR(INDEX(DePara!$A:$A,MATCH(TEXT(B960,"0"),DePara!$D:$D,0)),"(sem categoria)")</f>
        <v/>
      </c>
      <c r="O960" s="5">
        <f>IF(J960="","",Parametros!$B$6-J960)</f>
        <v/>
      </c>
      <c r="P960" s="5">
        <f>IF(O960="","",IF(O960&gt;0,1,0))</f>
        <v/>
      </c>
    </row>
    <row r="961">
      <c r="A961" s="5" t="n">
        <v>2122100000</v>
      </c>
      <c r="B961" s="5" t="inlineStr">
        <is>
          <t>IC4420</t>
        </is>
      </c>
      <c r="C961" s="5" t="inlineStr">
        <is>
          <t>NORDEX ENERGY SPAIN S A U</t>
        </is>
      </c>
      <c r="D961" s="5" t="inlineStr">
        <is>
          <t>RE</t>
        </is>
      </c>
      <c r="E961" s="5" t="n">
        <v>5026496</v>
      </c>
      <c r="F961" s="5" t="inlineStr">
        <is>
          <t>4023003055</t>
        </is>
      </c>
      <c r="G961" s="5" t="inlineStr">
        <is>
          <t>EUR</t>
        </is>
      </c>
      <c r="H961" s="9" t="n">
        <v>-83302.41</v>
      </c>
      <c r="I961" s="16" t="n">
        <v>45112</v>
      </c>
      <c r="J961" s="16" t="n">
        <v>45142</v>
      </c>
      <c r="K961" s="5" t="inlineStr">
        <is>
          <t>0585/23</t>
        </is>
      </c>
      <c r="L961" s="5" t="inlineStr">
        <is>
          <t>4023003055</t>
        </is>
      </c>
      <c r="M961" s="5">
        <f>IF(YEAR(I961)&lt;=2020,"Até 2020",TEXT(YEAR(I961),"0"))</f>
        <v/>
      </c>
      <c r="N961" s="5">
        <f>IFERROR(INDEX(DePara!$A:$A,MATCH(TEXT(B961,"0"),DePara!$D:$D,0)),"(sem categoria)")</f>
        <v/>
      </c>
      <c r="O961" s="5">
        <f>IF(J961="","",Parametros!$B$6-J961)</f>
        <v/>
      </c>
      <c r="P961" s="5">
        <f>IF(O961="","",IF(O961&gt;0,1,0))</f>
        <v/>
      </c>
    </row>
    <row r="962">
      <c r="A962" s="5" t="n">
        <v>2122100000</v>
      </c>
      <c r="B962" s="5" t="inlineStr">
        <is>
          <t>IC1000</t>
        </is>
      </c>
      <c r="C962" s="5" t="inlineStr">
        <is>
          <t>NORDEX ENERGY SE &amp; CO KG</t>
        </is>
      </c>
      <c r="D962" s="5" t="inlineStr">
        <is>
          <t>RE</t>
        </is>
      </c>
      <c r="E962" s="5" t="n">
        <v>5026624</v>
      </c>
      <c r="F962" s="5" t="inlineStr">
        <is>
          <t>350850</t>
        </is>
      </c>
      <c r="G962" s="5" t="inlineStr">
        <is>
          <t>EUR</t>
        </is>
      </c>
      <c r="H962" s="9" t="n">
        <v>-1600.95</v>
      </c>
      <c r="I962" s="16" t="n">
        <v>45840</v>
      </c>
      <c r="J962" s="16" t="n">
        <v>45870</v>
      </c>
      <c r="K962" s="5" t="inlineStr">
        <is>
          <t>0558/25</t>
        </is>
      </c>
      <c r="L962" s="5" t="inlineStr">
        <is>
          <t>350850</t>
        </is>
      </c>
      <c r="M962" s="5">
        <f>IF(YEAR(I962)&lt;=2020,"Até 2020",TEXT(YEAR(I962),"0"))</f>
        <v/>
      </c>
      <c r="N962" s="5">
        <f>IFERROR(INDEX(DePara!$A:$A,MATCH(TEXT(B962,"0"),DePara!$D:$D,0)),"(sem categoria)")</f>
        <v/>
      </c>
      <c r="O962" s="5">
        <f>IF(J962="","",Parametros!$B$6-J962)</f>
        <v/>
      </c>
      <c r="P962" s="5">
        <f>IF(O962="","",IF(O962&gt;0,1,0))</f>
        <v/>
      </c>
    </row>
    <row r="963">
      <c r="A963" s="5" t="n">
        <v>2122100000</v>
      </c>
      <c r="B963" s="5" t="inlineStr">
        <is>
          <t>IC1000</t>
        </is>
      </c>
      <c r="C963" s="5" t="inlineStr">
        <is>
          <t>NORDEX ENERGY SE &amp; CO KG</t>
        </is>
      </c>
      <c r="D963" s="5" t="inlineStr">
        <is>
          <t>RE</t>
        </is>
      </c>
      <c r="E963" s="5" t="n">
        <v>5026716</v>
      </c>
      <c r="F963" s="5" t="inlineStr">
        <is>
          <t>350603</t>
        </is>
      </c>
      <c r="G963" s="5" t="inlineStr">
        <is>
          <t>EUR</t>
        </is>
      </c>
      <c r="H963" s="9" t="n">
        <v>-6693.34</v>
      </c>
      <c r="I963" s="16" t="n">
        <v>45840</v>
      </c>
      <c r="J963" s="16" t="n">
        <v>45870</v>
      </c>
      <c r="K963" s="5" t="inlineStr">
        <is>
          <t>0554/25</t>
        </is>
      </c>
      <c r="L963" s="5" t="inlineStr">
        <is>
          <t>350603</t>
        </is>
      </c>
      <c r="M963" s="5">
        <f>IF(YEAR(I963)&lt;=2020,"Até 2020",TEXT(YEAR(I963),"0"))</f>
        <v/>
      </c>
      <c r="N963" s="5">
        <f>IFERROR(INDEX(DePara!$A:$A,MATCH(TEXT(B963,"0"),DePara!$D:$D,0)),"(sem categoria)")</f>
        <v/>
      </c>
      <c r="O963" s="5">
        <f>IF(J963="","",Parametros!$B$6-J963)</f>
        <v/>
      </c>
      <c r="P963" s="5">
        <f>IF(O963="","",IF(O963&gt;0,1,0))</f>
        <v/>
      </c>
    </row>
    <row r="964">
      <c r="A964" s="5" t="n">
        <v>2122100000</v>
      </c>
      <c r="B964" s="5" t="inlineStr">
        <is>
          <t>IC1000</t>
        </is>
      </c>
      <c r="C964" s="5" t="inlineStr">
        <is>
          <t>NORDEX ENERGY SE &amp; CO KG</t>
        </is>
      </c>
      <c r="D964" s="5" t="inlineStr">
        <is>
          <t>RE</t>
        </is>
      </c>
      <c r="E964" s="5" t="n">
        <v>5026717</v>
      </c>
      <c r="F964" s="5" t="inlineStr">
        <is>
          <t>350222</t>
        </is>
      </c>
      <c r="G964" s="5" t="inlineStr">
        <is>
          <t>EUR</t>
        </is>
      </c>
      <c r="H964" s="9" t="n">
        <v>-30484.13</v>
      </c>
      <c r="I964" s="16" t="n">
        <v>45838</v>
      </c>
      <c r="J964" s="16" t="n">
        <v>45868</v>
      </c>
      <c r="K964" s="5" t="inlineStr">
        <is>
          <t>0546/25</t>
        </is>
      </c>
      <c r="L964" s="5" t="inlineStr">
        <is>
          <t>350222</t>
        </is>
      </c>
      <c r="M964" s="5">
        <f>IF(YEAR(I964)&lt;=2020,"Até 2020",TEXT(YEAR(I964),"0"))</f>
        <v/>
      </c>
      <c r="N964" s="5">
        <f>IFERROR(INDEX(DePara!$A:$A,MATCH(TEXT(B964,"0"),DePara!$D:$D,0)),"(sem categoria)")</f>
        <v/>
      </c>
      <c r="O964" s="5">
        <f>IF(J964="","",Parametros!$B$6-J964)</f>
        <v/>
      </c>
      <c r="P964" s="5">
        <f>IF(O964="","",IF(O964&gt;0,1,0))</f>
        <v/>
      </c>
    </row>
    <row r="965">
      <c r="A965" s="5" t="n">
        <v>2122100000</v>
      </c>
      <c r="B965" s="5" t="inlineStr">
        <is>
          <t>IC1000</t>
        </is>
      </c>
      <c r="C965" s="5" t="inlineStr">
        <is>
          <t>NORDEX ENERGY SE &amp; CO KG</t>
        </is>
      </c>
      <c r="D965" s="5" t="inlineStr">
        <is>
          <t>RE</t>
        </is>
      </c>
      <c r="E965" s="5" t="n">
        <v>5026724</v>
      </c>
      <c r="F965" s="5" t="inlineStr">
        <is>
          <t>350847</t>
        </is>
      </c>
      <c r="G965" s="5" t="inlineStr">
        <is>
          <t>EUR</t>
        </is>
      </c>
      <c r="H965" s="9" t="n">
        <v>-2339.02</v>
      </c>
      <c r="I965" s="16" t="n">
        <v>45840</v>
      </c>
      <c r="J965" s="16" t="n">
        <v>45870</v>
      </c>
      <c r="K965" s="5" t="inlineStr">
        <is>
          <t>0570/25</t>
        </is>
      </c>
      <c r="L965" s="5" t="inlineStr">
        <is>
          <t>350847</t>
        </is>
      </c>
      <c r="M965" s="5">
        <f>IF(YEAR(I965)&lt;=2020,"Até 2020",TEXT(YEAR(I965),"0"))</f>
        <v/>
      </c>
      <c r="N965" s="5">
        <f>IFERROR(INDEX(DePara!$A:$A,MATCH(TEXT(B965,"0"),DePara!$D:$D,0)),"(sem categoria)")</f>
        <v/>
      </c>
      <c r="O965" s="5">
        <f>IF(J965="","",Parametros!$B$6-J965)</f>
        <v/>
      </c>
      <c r="P965" s="5">
        <f>IF(O965="","",IF(O965&gt;0,1,0))</f>
        <v/>
      </c>
    </row>
    <row r="966">
      <c r="A966" s="5" t="n">
        <v>2122100000</v>
      </c>
      <c r="B966" s="5" t="inlineStr">
        <is>
          <t>IC1000</t>
        </is>
      </c>
      <c r="C966" s="5" t="inlineStr">
        <is>
          <t>NORDEX ENERGY SE &amp; CO KG</t>
        </is>
      </c>
      <c r="D966" s="5" t="inlineStr">
        <is>
          <t>RE</t>
        </is>
      </c>
      <c r="E966" s="5" t="n">
        <v>5026732</v>
      </c>
      <c r="F966" s="5" t="inlineStr">
        <is>
          <t>349836</t>
        </is>
      </c>
      <c r="G966" s="5" t="inlineStr">
        <is>
          <t>EUR</t>
        </is>
      </c>
      <c r="H966" s="9" t="n">
        <v>-3072.7</v>
      </c>
      <c r="I966" s="16" t="n">
        <v>45835</v>
      </c>
      <c r="J966" s="16" t="n">
        <v>45865</v>
      </c>
      <c r="K966" s="5" t="inlineStr">
        <is>
          <t>0557/25</t>
        </is>
      </c>
      <c r="L966" s="5" t="inlineStr">
        <is>
          <t>349836</t>
        </is>
      </c>
      <c r="M966" s="5">
        <f>IF(YEAR(I966)&lt;=2020,"Até 2020",TEXT(YEAR(I966),"0"))</f>
        <v/>
      </c>
      <c r="N966" s="5">
        <f>IFERROR(INDEX(DePara!$A:$A,MATCH(TEXT(B966,"0"),DePara!$D:$D,0)),"(sem categoria)")</f>
        <v/>
      </c>
      <c r="O966" s="5">
        <f>IF(J966="","",Parametros!$B$6-J966)</f>
        <v/>
      </c>
      <c r="P966" s="5">
        <f>IF(O966="","",IF(O966&gt;0,1,0))</f>
        <v/>
      </c>
    </row>
    <row r="967">
      <c r="A967" s="5" t="n">
        <v>2122100000</v>
      </c>
      <c r="B967" s="5" t="inlineStr">
        <is>
          <t>IC4420</t>
        </is>
      </c>
      <c r="C967" s="5" t="inlineStr">
        <is>
          <t>NORDEX ENERGY SPAIN S A U</t>
        </is>
      </c>
      <c r="D967" s="5" t="inlineStr">
        <is>
          <t>RE</t>
        </is>
      </c>
      <c r="E967" s="5" t="n">
        <v>5026888</v>
      </c>
      <c r="F967" s="5" t="inlineStr">
        <is>
          <t>4023001878</t>
        </is>
      </c>
      <c r="G967" s="5" t="inlineStr">
        <is>
          <t>EUR</t>
        </is>
      </c>
      <c r="H967" s="9" t="n">
        <v>-41732.48</v>
      </c>
      <c r="I967" s="16" t="n">
        <v>45054</v>
      </c>
      <c r="J967" s="16" t="n">
        <v>45084</v>
      </c>
      <c r="K967" s="5" t="inlineStr">
        <is>
          <t>0671/23</t>
        </is>
      </c>
      <c r="L967" s="5" t="inlineStr">
        <is>
          <t>4023001878</t>
        </is>
      </c>
      <c r="M967" s="5">
        <f>IF(YEAR(I967)&lt;=2020,"Até 2020",TEXT(YEAR(I967),"0"))</f>
        <v/>
      </c>
      <c r="N967" s="5">
        <f>IFERROR(INDEX(DePara!$A:$A,MATCH(TEXT(B967,"0"),DePara!$D:$D,0)),"(sem categoria)")</f>
        <v/>
      </c>
      <c r="O967" s="5">
        <f>IF(J967="","",Parametros!$B$6-J967)</f>
        <v/>
      </c>
      <c r="P967" s="5">
        <f>IF(O967="","",IF(O967&gt;0,1,0))</f>
        <v/>
      </c>
    </row>
    <row r="968">
      <c r="A968" s="5" t="n">
        <v>2122100000</v>
      </c>
      <c r="B968" s="5" t="inlineStr">
        <is>
          <t>IC1000</t>
        </is>
      </c>
      <c r="C968" s="5" t="inlineStr">
        <is>
          <t>NORDEX ENERGY SE &amp; CO KG</t>
        </is>
      </c>
      <c r="D968" s="5" t="inlineStr">
        <is>
          <t>KR</t>
        </is>
      </c>
      <c r="E968" s="5" t="n">
        <v>5026995</v>
      </c>
      <c r="F968" s="5" t="inlineStr">
        <is>
          <t>4012451838</t>
        </is>
      </c>
      <c r="G968" s="5" t="inlineStr">
        <is>
          <t>EUR</t>
        </is>
      </c>
      <c r="H968" s="9" t="n">
        <v>-7179.51</v>
      </c>
      <c r="I968" s="16" t="n">
        <v>45869</v>
      </c>
      <c r="J968" s="16" t="n">
        <v>45899</v>
      </c>
      <c r="K968" s="5" t="inlineStr">
        <is>
          <t>Fatura do fornecedor NORDEX ENERGY SE &amp; CO KG 4012</t>
        </is>
      </c>
      <c r="L968" s="5" t="n"/>
      <c r="M968" s="5">
        <f>IF(YEAR(I968)&lt;=2020,"Até 2020",TEXT(YEAR(I968),"0"))</f>
        <v/>
      </c>
      <c r="N968" s="5">
        <f>IFERROR(INDEX(DePara!$A:$A,MATCH(TEXT(B968,"0"),DePara!$D:$D,0)),"(sem categoria)")</f>
        <v/>
      </c>
      <c r="O968" s="5">
        <f>IF(J968="","",Parametros!$B$6-J968)</f>
        <v/>
      </c>
      <c r="P968" s="5">
        <f>IF(O968="","",IF(O968&gt;0,1,0))</f>
        <v/>
      </c>
    </row>
    <row r="969">
      <c r="A969" s="5" t="n">
        <v>2122100000</v>
      </c>
      <c r="B969" s="5" t="inlineStr">
        <is>
          <t>IC5000</t>
        </is>
      </c>
      <c r="C969" s="5" t="inlineStr">
        <is>
          <t>NORDEX SE</t>
        </is>
      </c>
      <c r="D969" s="5" t="inlineStr">
        <is>
          <t>KR</t>
        </is>
      </c>
      <c r="E969" s="5" t="n">
        <v>5027086</v>
      </c>
      <c r="F969" s="5" t="inlineStr">
        <is>
          <t>608548</t>
        </is>
      </c>
      <c r="G969" s="5" t="inlineStr">
        <is>
          <t>EUR</t>
        </is>
      </c>
      <c r="H969" s="9" t="n">
        <v>-8691978.880000001</v>
      </c>
      <c r="I969" s="16" t="n">
        <v>45484</v>
      </c>
      <c r="J969" s="16" t="n">
        <v>45484</v>
      </c>
      <c r="K969" s="5" t="inlineStr">
        <is>
          <t>Invoice bank guarantee fee Q2-2024 - 608548</t>
        </is>
      </c>
      <c r="L969" s="5" t="n"/>
      <c r="M969" s="5">
        <f>IF(YEAR(I969)&lt;=2020,"Até 2020",TEXT(YEAR(I969),"0"))</f>
        <v/>
      </c>
      <c r="N969" s="5">
        <f>IFERROR(INDEX(DePara!$A:$A,MATCH(TEXT(B969,"0"),DePara!$D:$D,0)),"(sem categoria)")</f>
        <v/>
      </c>
      <c r="O969" s="5">
        <f>IF(J969="","",Parametros!$B$6-J969)</f>
        <v/>
      </c>
      <c r="P969" s="5">
        <f>IF(O969="","",IF(O969&gt;0,1,0))</f>
        <v/>
      </c>
    </row>
    <row r="970">
      <c r="A970" s="5" t="n">
        <v>2122100000</v>
      </c>
      <c r="B970" s="5" t="inlineStr">
        <is>
          <t>IC5000</t>
        </is>
      </c>
      <c r="C970" s="5" t="inlineStr">
        <is>
          <t>NORDEX SE</t>
        </is>
      </c>
      <c r="D970" s="5" t="inlineStr">
        <is>
          <t>KR</t>
        </is>
      </c>
      <c r="E970" s="5" t="n">
        <v>5027629</v>
      </c>
      <c r="F970" s="5" t="inlineStr">
        <is>
          <t>608529</t>
        </is>
      </c>
      <c r="G970" s="5" t="inlineStr">
        <is>
          <t>EUR</t>
        </is>
      </c>
      <c r="H970" s="9" t="n">
        <v>-3618432.98</v>
      </c>
      <c r="I970" s="16" t="n">
        <v>45484</v>
      </c>
      <c r="J970" s="16" t="n">
        <v>45484</v>
      </c>
      <c r="K970" s="5" t="inlineStr">
        <is>
          <t>Fatura do fornecedor NORDEX SE 608529 - Parent Com</t>
        </is>
      </c>
      <c r="L970" s="5" t="inlineStr">
        <is>
          <t>Guarantee Fee Q2-2</t>
        </is>
      </c>
      <c r="M970" s="5">
        <f>IF(YEAR(I970)&lt;=2020,"Até 2020",TEXT(YEAR(I970),"0"))</f>
        <v/>
      </c>
      <c r="N970" s="5">
        <f>IFERROR(INDEX(DePara!$A:$A,MATCH(TEXT(B970,"0"),DePara!$D:$D,0)),"(sem categoria)")</f>
        <v/>
      </c>
      <c r="O970" s="5">
        <f>IF(J970="","",Parametros!$B$6-J970)</f>
        <v/>
      </c>
      <c r="P970" s="5">
        <f>IF(O970="","",IF(O970&gt;0,1,0))</f>
        <v/>
      </c>
    </row>
    <row r="971">
      <c r="A971" s="5" t="n">
        <v>2122100000</v>
      </c>
      <c r="B971" s="5" t="inlineStr">
        <is>
          <t>IC1000</t>
        </is>
      </c>
      <c r="C971" s="5" t="inlineStr">
        <is>
          <t>NORDEX ENERGY SE &amp; CO KG</t>
        </is>
      </c>
      <c r="D971" s="5" t="inlineStr">
        <is>
          <t>RE</t>
        </is>
      </c>
      <c r="E971" s="5" t="n">
        <v>5027660</v>
      </c>
      <c r="F971" s="5" t="inlineStr">
        <is>
          <t>352120</t>
        </is>
      </c>
      <c r="G971" s="5" t="inlineStr">
        <is>
          <t>EUR</t>
        </is>
      </c>
      <c r="H971" s="9" t="n">
        <v>-46454.79</v>
      </c>
      <c r="I971" s="16" t="n">
        <v>45853</v>
      </c>
      <c r="J971" s="16" t="n">
        <v>45883</v>
      </c>
      <c r="K971" s="5" t="inlineStr">
        <is>
          <t>0609/25</t>
        </is>
      </c>
      <c r="L971" s="5" t="inlineStr">
        <is>
          <t>352120</t>
        </is>
      </c>
      <c r="M971" s="5">
        <f>IF(YEAR(I971)&lt;=2020,"Até 2020",TEXT(YEAR(I971),"0"))</f>
        <v/>
      </c>
      <c r="N971" s="5">
        <f>IFERROR(INDEX(DePara!$A:$A,MATCH(TEXT(B971,"0"),DePara!$D:$D,0)),"(sem categoria)")</f>
        <v/>
      </c>
      <c r="O971" s="5">
        <f>IF(J971="","",Parametros!$B$6-J971)</f>
        <v/>
      </c>
      <c r="P971" s="5">
        <f>IF(O971="","",IF(O971&gt;0,1,0))</f>
        <v/>
      </c>
    </row>
    <row r="972">
      <c r="A972" s="5" t="n">
        <v>2122100000</v>
      </c>
      <c r="B972" s="5" t="inlineStr">
        <is>
          <t>IC4420</t>
        </is>
      </c>
      <c r="C972" s="5" t="inlineStr">
        <is>
          <t>NORDEX ENERGY SPAIN S A U</t>
        </is>
      </c>
      <c r="D972" s="5" t="inlineStr">
        <is>
          <t>RE</t>
        </is>
      </c>
      <c r="E972" s="5" t="n">
        <v>5027690</v>
      </c>
      <c r="F972" s="5" t="inlineStr">
        <is>
          <t>4024002131</t>
        </is>
      </c>
      <c r="G972" s="5" t="inlineStr">
        <is>
          <t>EUR</t>
        </is>
      </c>
      <c r="H972" s="9" t="n">
        <v>-1281870.52</v>
      </c>
      <c r="I972" s="16" t="n">
        <v>45377</v>
      </c>
      <c r="J972" s="16" t="n">
        <v>45407</v>
      </c>
      <c r="K972" s="5" t="inlineStr">
        <is>
          <t>0218/24</t>
        </is>
      </c>
      <c r="L972" s="5" t="inlineStr">
        <is>
          <t>4024002131</t>
        </is>
      </c>
      <c r="M972" s="5">
        <f>IF(YEAR(I972)&lt;=2020,"Até 2020",TEXT(YEAR(I972),"0"))</f>
        <v/>
      </c>
      <c r="N972" s="5">
        <f>IFERROR(INDEX(DePara!$A:$A,MATCH(TEXT(B972,"0"),DePara!$D:$D,0)),"(sem categoria)")</f>
        <v/>
      </c>
      <c r="O972" s="5">
        <f>IF(J972="","",Parametros!$B$6-J972)</f>
        <v/>
      </c>
      <c r="P972" s="5">
        <f>IF(O972="","",IF(O972&gt;0,1,0))</f>
        <v/>
      </c>
    </row>
    <row r="973">
      <c r="A973" s="5" t="n">
        <v>2122100000</v>
      </c>
      <c r="B973" s="5" t="inlineStr">
        <is>
          <t>IC4420</t>
        </is>
      </c>
      <c r="C973" s="5" t="inlineStr">
        <is>
          <t>NORDEX ENERGY SPAIN S A U</t>
        </is>
      </c>
      <c r="D973" s="5" t="inlineStr">
        <is>
          <t>RE</t>
        </is>
      </c>
      <c r="E973" s="5" t="n">
        <v>5027694</v>
      </c>
      <c r="F973" s="5" t="inlineStr">
        <is>
          <t>4024002130</t>
        </is>
      </c>
      <c r="G973" s="5" t="inlineStr">
        <is>
          <t>EUR</t>
        </is>
      </c>
      <c r="H973" s="9" t="n">
        <v>-1281870.52</v>
      </c>
      <c r="I973" s="16" t="n">
        <v>45377</v>
      </c>
      <c r="J973" s="16" t="n">
        <v>45407</v>
      </c>
      <c r="K973" s="5" t="inlineStr">
        <is>
          <t>0217/24</t>
        </is>
      </c>
      <c r="L973" s="5" t="inlineStr">
        <is>
          <t>4024002130</t>
        </is>
      </c>
      <c r="M973" s="5">
        <f>IF(YEAR(I973)&lt;=2020,"Até 2020",TEXT(YEAR(I973),"0"))</f>
        <v/>
      </c>
      <c r="N973" s="5">
        <f>IFERROR(INDEX(DePara!$A:$A,MATCH(TEXT(B973,"0"),DePara!$D:$D,0)),"(sem categoria)")</f>
        <v/>
      </c>
      <c r="O973" s="5">
        <f>IF(J973="","",Parametros!$B$6-J973)</f>
        <v/>
      </c>
      <c r="P973" s="5">
        <f>IF(O973="","",IF(O973&gt;0,1,0))</f>
        <v/>
      </c>
    </row>
    <row r="974">
      <c r="A974" s="5" t="n">
        <v>2122100000</v>
      </c>
      <c r="B974" s="5" t="inlineStr">
        <is>
          <t>IC1000</t>
        </is>
      </c>
      <c r="C974" s="5" t="inlineStr">
        <is>
          <t>NORDEX ENERGY SE &amp; CO KG</t>
        </is>
      </c>
      <c r="D974" s="5" t="inlineStr">
        <is>
          <t>RE</t>
        </is>
      </c>
      <c r="E974" s="5" t="n">
        <v>5027778</v>
      </c>
      <c r="F974" s="5" t="inlineStr">
        <is>
          <t>283731</t>
        </is>
      </c>
      <c r="G974" s="5" t="inlineStr">
        <is>
          <t>EUR</t>
        </is>
      </c>
      <c r="H974" s="9" t="n">
        <v>-63915.85</v>
      </c>
      <c r="I974" s="16" t="n">
        <v>45406</v>
      </c>
      <c r="J974" s="16" t="n">
        <v>45436</v>
      </c>
      <c r="K974" s="5" t="inlineStr">
        <is>
          <t>0362/24</t>
        </is>
      </c>
      <c r="L974" s="5" t="inlineStr">
        <is>
          <t>283731</t>
        </is>
      </c>
      <c r="M974" s="5">
        <f>IF(YEAR(I974)&lt;=2020,"Até 2020",TEXT(YEAR(I974),"0"))</f>
        <v/>
      </c>
      <c r="N974" s="5">
        <f>IFERROR(INDEX(DePara!$A:$A,MATCH(TEXT(B974,"0"),DePara!$D:$D,0)),"(sem categoria)")</f>
        <v/>
      </c>
      <c r="O974" s="5">
        <f>IF(J974="","",Parametros!$B$6-J974)</f>
        <v/>
      </c>
      <c r="P974" s="5">
        <f>IF(O974="","",IF(O974&gt;0,1,0))</f>
        <v/>
      </c>
    </row>
    <row r="975">
      <c r="A975" s="5" t="n">
        <v>2122100000</v>
      </c>
      <c r="B975" s="5" t="inlineStr">
        <is>
          <t>IC1000</t>
        </is>
      </c>
      <c r="C975" s="5" t="inlineStr">
        <is>
          <t>NORDEX ENERGY SE &amp; CO KG</t>
        </is>
      </c>
      <c r="D975" s="5" t="inlineStr">
        <is>
          <t>RE</t>
        </is>
      </c>
      <c r="E975" s="5" t="n">
        <v>5027790</v>
      </c>
      <c r="F975" s="5" t="inlineStr">
        <is>
          <t>284832</t>
        </is>
      </c>
      <c r="G975" s="5" t="inlineStr">
        <is>
          <t>EUR</t>
        </is>
      </c>
      <c r="H975" s="9" t="n">
        <v>-10240.08</v>
      </c>
      <c r="I975" s="16" t="n">
        <v>45405</v>
      </c>
      <c r="J975" s="16" t="n">
        <v>45435</v>
      </c>
      <c r="K975" s="5" t="inlineStr">
        <is>
          <t>0323/24</t>
        </is>
      </c>
      <c r="L975" s="5" t="inlineStr">
        <is>
          <t>284832</t>
        </is>
      </c>
      <c r="M975" s="5">
        <f>IF(YEAR(I975)&lt;=2020,"Até 2020",TEXT(YEAR(I975),"0"))</f>
        <v/>
      </c>
      <c r="N975" s="5">
        <f>IFERROR(INDEX(DePara!$A:$A,MATCH(TEXT(B975,"0"),DePara!$D:$D,0)),"(sem categoria)")</f>
        <v/>
      </c>
      <c r="O975" s="5">
        <f>IF(J975="","",Parametros!$B$6-J975)</f>
        <v/>
      </c>
      <c r="P975" s="5">
        <f>IF(O975="","",IF(O975&gt;0,1,0))</f>
        <v/>
      </c>
    </row>
    <row r="976">
      <c r="A976" s="5" t="n">
        <v>2122100000</v>
      </c>
      <c r="B976" s="5" t="inlineStr">
        <is>
          <t>IC1000</t>
        </is>
      </c>
      <c r="C976" s="5" t="inlineStr">
        <is>
          <t>NORDEX ENERGY SE &amp; CO KG</t>
        </is>
      </c>
      <c r="D976" s="5" t="inlineStr">
        <is>
          <t>RE</t>
        </is>
      </c>
      <c r="E976" s="5" t="n">
        <v>5027797</v>
      </c>
      <c r="F976" s="5" t="inlineStr">
        <is>
          <t>285537</t>
        </is>
      </c>
      <c r="G976" s="5" t="inlineStr">
        <is>
          <t>EUR</t>
        </is>
      </c>
      <c r="H976" s="9" t="n">
        <v>-17127.09</v>
      </c>
      <c r="I976" s="16" t="n">
        <v>45415</v>
      </c>
      <c r="J976" s="16" t="n">
        <v>45445</v>
      </c>
      <c r="K976" s="5" t="inlineStr">
        <is>
          <t>0361/24</t>
        </is>
      </c>
      <c r="L976" s="5" t="inlineStr">
        <is>
          <t>285537</t>
        </is>
      </c>
      <c r="M976" s="5">
        <f>IF(YEAR(I976)&lt;=2020,"Até 2020",TEXT(YEAR(I976),"0"))</f>
        <v/>
      </c>
      <c r="N976" s="5">
        <f>IFERROR(INDEX(DePara!$A:$A,MATCH(TEXT(B976,"0"),DePara!$D:$D,0)),"(sem categoria)")</f>
        <v/>
      </c>
      <c r="O976" s="5">
        <f>IF(J976="","",Parametros!$B$6-J976)</f>
        <v/>
      </c>
      <c r="P976" s="5">
        <f>IF(O976="","",IF(O976&gt;0,1,0))</f>
        <v/>
      </c>
    </row>
    <row r="977">
      <c r="A977" s="5" t="n">
        <v>2122100000</v>
      </c>
      <c r="B977" s="5" t="inlineStr">
        <is>
          <t>IC1000</t>
        </is>
      </c>
      <c r="C977" s="5" t="inlineStr">
        <is>
          <t>NORDEX ENERGY SE &amp; CO KG</t>
        </is>
      </c>
      <c r="D977" s="5" t="inlineStr">
        <is>
          <t>RE</t>
        </is>
      </c>
      <c r="E977" s="5" t="n">
        <v>5027799</v>
      </c>
      <c r="F977" s="5" t="inlineStr">
        <is>
          <t>4012388176</t>
        </is>
      </c>
      <c r="G977" s="5" t="inlineStr">
        <is>
          <t>EUR</t>
        </is>
      </c>
      <c r="H977" s="9" t="n">
        <v>-446681.84</v>
      </c>
      <c r="I977" s="16" t="n">
        <v>45426</v>
      </c>
      <c r="J977" s="16" t="n">
        <v>45456</v>
      </c>
      <c r="K977" s="5" t="inlineStr">
        <is>
          <t>0329/24</t>
        </is>
      </c>
      <c r="L977" s="5" t="inlineStr">
        <is>
          <t>4012388176</t>
        </is>
      </c>
      <c r="M977" s="5">
        <f>IF(YEAR(I977)&lt;=2020,"Até 2020",TEXT(YEAR(I977),"0"))</f>
        <v/>
      </c>
      <c r="N977" s="5">
        <f>IFERROR(INDEX(DePara!$A:$A,MATCH(TEXT(B977,"0"),DePara!$D:$D,0)),"(sem categoria)")</f>
        <v/>
      </c>
      <c r="O977" s="5">
        <f>IF(J977="","",Parametros!$B$6-J977)</f>
        <v/>
      </c>
      <c r="P977" s="5">
        <f>IF(O977="","",IF(O977&gt;0,1,0))</f>
        <v/>
      </c>
    </row>
    <row r="978">
      <c r="A978" s="5" t="n">
        <v>2122100000</v>
      </c>
      <c r="B978" s="5" t="inlineStr">
        <is>
          <t>IC1000</t>
        </is>
      </c>
      <c r="C978" s="5" t="inlineStr">
        <is>
          <t>NORDEX ENERGY SE &amp; CO KG</t>
        </is>
      </c>
      <c r="D978" s="5" t="inlineStr">
        <is>
          <t>RE</t>
        </is>
      </c>
      <c r="E978" s="5" t="n">
        <v>5027952</v>
      </c>
      <c r="F978" s="5" t="inlineStr">
        <is>
          <t>350610</t>
        </is>
      </c>
      <c r="G978" s="5" t="inlineStr">
        <is>
          <t>EUR</t>
        </is>
      </c>
      <c r="H978" s="9" t="n">
        <v>-18826.74</v>
      </c>
      <c r="I978" s="16" t="n">
        <v>45845</v>
      </c>
      <c r="J978" s="16" t="n">
        <v>45875</v>
      </c>
      <c r="K978" s="5" t="inlineStr">
        <is>
          <t>0553/25</t>
        </is>
      </c>
      <c r="L978" s="5" t="inlineStr">
        <is>
          <t>350610</t>
        </is>
      </c>
      <c r="M978" s="5">
        <f>IF(YEAR(I978)&lt;=2020,"Até 2020",TEXT(YEAR(I978),"0"))</f>
        <v/>
      </c>
      <c r="N978" s="5">
        <f>IFERROR(INDEX(DePara!$A:$A,MATCH(TEXT(B978,"0"),DePara!$D:$D,0)),"(sem categoria)")</f>
        <v/>
      </c>
      <c r="O978" s="5">
        <f>IF(J978="","",Parametros!$B$6-J978)</f>
        <v/>
      </c>
      <c r="P978" s="5">
        <f>IF(O978="","",IF(O978&gt;0,1,0))</f>
        <v/>
      </c>
    </row>
    <row r="979">
      <c r="A979" s="5" t="n">
        <v>2122100000</v>
      </c>
      <c r="B979" s="5" t="inlineStr">
        <is>
          <t>IC1000</t>
        </is>
      </c>
      <c r="C979" s="5" t="inlineStr">
        <is>
          <t>NORDEX ENERGY SE &amp; CO KG</t>
        </is>
      </c>
      <c r="D979" s="5" t="inlineStr">
        <is>
          <t>RE</t>
        </is>
      </c>
      <c r="E979" s="5" t="n">
        <v>5028098</v>
      </c>
      <c r="F979" s="5" t="inlineStr">
        <is>
          <t>349835</t>
        </is>
      </c>
      <c r="G979" s="5" t="inlineStr">
        <is>
          <t>EUR</t>
        </is>
      </c>
      <c r="H979" s="9" t="n">
        <v>-3032.7</v>
      </c>
      <c r="I979" s="16" t="n">
        <v>45835</v>
      </c>
      <c r="J979" s="16" t="n">
        <v>45865</v>
      </c>
      <c r="K979" s="5" t="inlineStr">
        <is>
          <t>0551/25</t>
        </is>
      </c>
      <c r="L979" s="5" t="inlineStr">
        <is>
          <t>349835</t>
        </is>
      </c>
      <c r="M979" s="5">
        <f>IF(YEAR(I979)&lt;=2020,"Até 2020",TEXT(YEAR(I979),"0"))</f>
        <v/>
      </c>
      <c r="N979" s="5">
        <f>IFERROR(INDEX(DePara!$A:$A,MATCH(TEXT(B979,"0"),DePara!$D:$D,0)),"(sem categoria)")</f>
        <v/>
      </c>
      <c r="O979" s="5">
        <f>IF(J979="","",Parametros!$B$6-J979)</f>
        <v/>
      </c>
      <c r="P979" s="5">
        <f>IF(O979="","",IF(O979&gt;0,1,0))</f>
        <v/>
      </c>
    </row>
    <row r="980">
      <c r="A980" s="5" t="n">
        <v>2122100000</v>
      </c>
      <c r="B980" s="5" t="inlineStr">
        <is>
          <t>IC4420</t>
        </is>
      </c>
      <c r="C980" s="5" t="inlineStr">
        <is>
          <t>NORDEX ENERGY SPAIN S A U</t>
        </is>
      </c>
      <c r="D980" s="5" t="inlineStr">
        <is>
          <t>RE</t>
        </is>
      </c>
      <c r="E980" s="5" t="n">
        <v>5028341</v>
      </c>
      <c r="F980" s="5" t="inlineStr">
        <is>
          <t>4024002693</t>
        </is>
      </c>
      <c r="G980" s="5" t="inlineStr">
        <is>
          <t>EUR</t>
        </is>
      </c>
      <c r="H980" s="9" t="n">
        <v>-1559078.55</v>
      </c>
      <c r="I980" s="16" t="n">
        <v>45405</v>
      </c>
      <c r="J980" s="16" t="n">
        <v>45435</v>
      </c>
      <c r="K980" s="5" t="inlineStr">
        <is>
          <t>0441/24</t>
        </is>
      </c>
      <c r="L980" s="5" t="inlineStr">
        <is>
          <t>4024002693</t>
        </is>
      </c>
      <c r="M980" s="5">
        <f>IF(YEAR(I980)&lt;=2020,"Até 2020",TEXT(YEAR(I980),"0"))</f>
        <v/>
      </c>
      <c r="N980" s="5">
        <f>IFERROR(INDEX(DePara!$A:$A,MATCH(TEXT(B980,"0"),DePara!$D:$D,0)),"(sem categoria)")</f>
        <v/>
      </c>
      <c r="O980" s="5">
        <f>IF(J980="","",Parametros!$B$6-J980)</f>
        <v/>
      </c>
      <c r="P980" s="5">
        <f>IF(O980="","",IF(O980&gt;0,1,0))</f>
        <v/>
      </c>
    </row>
    <row r="981">
      <c r="A981" s="5" t="n">
        <v>2122100000</v>
      </c>
      <c r="B981" s="5" t="inlineStr">
        <is>
          <t>IC1000</t>
        </is>
      </c>
      <c r="C981" s="5" t="inlineStr">
        <is>
          <t>NORDEX ENERGY SE &amp; CO KG</t>
        </is>
      </c>
      <c r="D981" s="5" t="inlineStr">
        <is>
          <t>RE</t>
        </is>
      </c>
      <c r="E981" s="5" t="n">
        <v>5028512</v>
      </c>
      <c r="F981" s="5" t="inlineStr">
        <is>
          <t>347006</t>
        </is>
      </c>
      <c r="G981" s="5" t="inlineStr">
        <is>
          <t>EUR</t>
        </is>
      </c>
      <c r="H981" s="9" t="n">
        <v>-2882.22</v>
      </c>
      <c r="I981" s="16" t="n">
        <v>45825</v>
      </c>
      <c r="J981" s="16" t="n">
        <v>45855</v>
      </c>
      <c r="K981" s="5" t="inlineStr">
        <is>
          <t>0478/25</t>
        </is>
      </c>
      <c r="L981" s="5" t="inlineStr">
        <is>
          <t>347006</t>
        </is>
      </c>
      <c r="M981" s="5">
        <f>IF(YEAR(I981)&lt;=2020,"Até 2020",TEXT(YEAR(I981),"0"))</f>
        <v/>
      </c>
      <c r="N981" s="5">
        <f>IFERROR(INDEX(DePara!$A:$A,MATCH(TEXT(B981,"0"),DePara!$D:$D,0)),"(sem categoria)")</f>
        <v/>
      </c>
      <c r="O981" s="5">
        <f>IF(J981="","",Parametros!$B$6-J981)</f>
        <v/>
      </c>
      <c r="P981" s="5">
        <f>IF(O981="","",IF(O981&gt;0,1,0))</f>
        <v/>
      </c>
    </row>
    <row r="982">
      <c r="A982" s="5" t="n">
        <v>2122100000</v>
      </c>
      <c r="B982" s="5" t="inlineStr">
        <is>
          <t>IC1000</t>
        </is>
      </c>
      <c r="C982" s="5" t="inlineStr">
        <is>
          <t>NORDEX ENERGY SE &amp; CO KG</t>
        </is>
      </c>
      <c r="D982" s="5" t="inlineStr">
        <is>
          <t>RE</t>
        </is>
      </c>
      <c r="E982" s="5" t="n">
        <v>5028900</v>
      </c>
      <c r="F982" s="5" t="inlineStr">
        <is>
          <t>351900</t>
        </is>
      </c>
      <c r="G982" s="5" t="inlineStr">
        <is>
          <t>EUR</t>
        </is>
      </c>
      <c r="H982" s="9" t="n">
        <v>-12425.29</v>
      </c>
      <c r="I982" s="16" t="n">
        <v>45849</v>
      </c>
      <c r="J982" s="16" t="n">
        <v>45879</v>
      </c>
      <c r="K982" s="5" t="inlineStr">
        <is>
          <t>0611/25</t>
        </is>
      </c>
      <c r="L982" s="5" t="inlineStr">
        <is>
          <t>351900</t>
        </is>
      </c>
      <c r="M982" s="5">
        <f>IF(YEAR(I982)&lt;=2020,"Até 2020",TEXT(YEAR(I982),"0"))</f>
        <v/>
      </c>
      <c r="N982" s="5">
        <f>IFERROR(INDEX(DePara!$A:$A,MATCH(TEXT(B982,"0"),DePara!$D:$D,0)),"(sem categoria)")</f>
        <v/>
      </c>
      <c r="O982" s="5">
        <f>IF(J982="","",Parametros!$B$6-J982)</f>
        <v/>
      </c>
      <c r="P982" s="5">
        <f>IF(O982="","",IF(O982&gt;0,1,0))</f>
        <v/>
      </c>
    </row>
    <row r="983">
      <c r="A983" s="5" t="n">
        <v>2122100000</v>
      </c>
      <c r="B983" s="5" t="inlineStr">
        <is>
          <t>IC4420</t>
        </is>
      </c>
      <c r="C983" s="5" t="inlineStr">
        <is>
          <t>NORDEX ENERGY SPAIN S A U</t>
        </is>
      </c>
      <c r="D983" s="5" t="inlineStr">
        <is>
          <t>RE</t>
        </is>
      </c>
      <c r="E983" s="5" t="n">
        <v>5029082</v>
      </c>
      <c r="F983" s="5" t="inlineStr">
        <is>
          <t>4024003774</t>
        </is>
      </c>
      <c r="G983" s="5" t="inlineStr">
        <is>
          <t>EUR</t>
        </is>
      </c>
      <c r="H983" s="9" t="n">
        <v>-16779.7</v>
      </c>
      <c r="I983" s="16" t="n">
        <v>45446</v>
      </c>
      <c r="J983" s="16" t="n">
        <v>45476</v>
      </c>
      <c r="K983" s="5" t="inlineStr">
        <is>
          <t>0456/24</t>
        </is>
      </c>
      <c r="L983" s="5" t="inlineStr">
        <is>
          <t>4024003774</t>
        </is>
      </c>
      <c r="M983" s="5">
        <f>IF(YEAR(I983)&lt;=2020,"Até 2020",TEXT(YEAR(I983),"0"))</f>
        <v/>
      </c>
      <c r="N983" s="5">
        <f>IFERROR(INDEX(DePara!$A:$A,MATCH(TEXT(B983,"0"),DePara!$D:$D,0)),"(sem categoria)")</f>
        <v/>
      </c>
      <c r="O983" s="5">
        <f>IF(J983="","",Parametros!$B$6-J983)</f>
        <v/>
      </c>
      <c r="P983" s="5">
        <f>IF(O983="","",IF(O983&gt;0,1,0))</f>
        <v/>
      </c>
    </row>
    <row r="984">
      <c r="A984" s="5" t="n">
        <v>2122100000</v>
      </c>
      <c r="B984" s="5" t="inlineStr">
        <is>
          <t>IC4420</t>
        </is>
      </c>
      <c r="C984" s="5" t="inlineStr">
        <is>
          <t>NORDEX ENERGY SPAIN S A U</t>
        </is>
      </c>
      <c r="D984" s="5" t="inlineStr">
        <is>
          <t>RE</t>
        </is>
      </c>
      <c r="E984" s="5" t="n">
        <v>5029083</v>
      </c>
      <c r="F984" s="5" t="inlineStr">
        <is>
          <t>4024003759</t>
        </is>
      </c>
      <c r="G984" s="5" t="inlineStr">
        <is>
          <t>EUR</t>
        </is>
      </c>
      <c r="H984" s="9" t="n">
        <v>-9687.950000000001</v>
      </c>
      <c r="I984" s="16" t="n">
        <v>45446</v>
      </c>
      <c r="J984" s="16" t="n">
        <v>45476</v>
      </c>
      <c r="K984" s="5" t="inlineStr">
        <is>
          <t>0456/24</t>
        </is>
      </c>
      <c r="L984" s="5" t="inlineStr">
        <is>
          <t>4024003759</t>
        </is>
      </c>
      <c r="M984" s="5">
        <f>IF(YEAR(I984)&lt;=2020,"Até 2020",TEXT(YEAR(I984),"0"))</f>
        <v/>
      </c>
      <c r="N984" s="5">
        <f>IFERROR(INDEX(DePara!$A:$A,MATCH(TEXT(B984,"0"),DePara!$D:$D,0)),"(sem categoria)")</f>
        <v/>
      </c>
      <c r="O984" s="5">
        <f>IF(J984="","",Parametros!$B$6-J984)</f>
        <v/>
      </c>
      <c r="P984" s="5">
        <f>IF(O984="","",IF(O984&gt;0,1,0))</f>
        <v/>
      </c>
    </row>
    <row r="985">
      <c r="A985" s="5" t="n">
        <v>2122100000</v>
      </c>
      <c r="B985" s="5" t="inlineStr">
        <is>
          <t>IC4420</t>
        </is>
      </c>
      <c r="C985" s="5" t="inlineStr">
        <is>
          <t>NORDEX ENERGY SPAIN S A U</t>
        </is>
      </c>
      <c r="D985" s="5" t="inlineStr">
        <is>
          <t>RE</t>
        </is>
      </c>
      <c r="E985" s="5" t="n">
        <v>5029085</v>
      </c>
      <c r="F985" s="5" t="inlineStr">
        <is>
          <t>4024003775</t>
        </is>
      </c>
      <c r="G985" s="5" t="inlineStr">
        <is>
          <t>EUR</t>
        </is>
      </c>
      <c r="H985" s="9" t="n">
        <v>-90794.78999999999</v>
      </c>
      <c r="I985" s="16" t="n">
        <v>45446</v>
      </c>
      <c r="J985" s="16" t="n">
        <v>45476</v>
      </c>
      <c r="K985" s="5" t="inlineStr">
        <is>
          <t>0456/24</t>
        </is>
      </c>
      <c r="L985" s="5" t="inlineStr">
        <is>
          <t>4024003775</t>
        </is>
      </c>
      <c r="M985" s="5">
        <f>IF(YEAR(I985)&lt;=2020,"Até 2020",TEXT(YEAR(I985),"0"))</f>
        <v/>
      </c>
      <c r="N985" s="5">
        <f>IFERROR(INDEX(DePara!$A:$A,MATCH(TEXT(B985,"0"),DePara!$D:$D,0)),"(sem categoria)")</f>
        <v/>
      </c>
      <c r="O985" s="5">
        <f>IF(J985="","",Parametros!$B$6-J985)</f>
        <v/>
      </c>
      <c r="P985" s="5">
        <f>IF(O985="","",IF(O985&gt;0,1,0))</f>
        <v/>
      </c>
    </row>
    <row r="986">
      <c r="A986" s="5" t="n">
        <v>2122100000</v>
      </c>
      <c r="B986" s="5" t="inlineStr">
        <is>
          <t>IC4420</t>
        </is>
      </c>
      <c r="C986" s="5" t="inlineStr">
        <is>
          <t>NORDEX ENERGY SPAIN S A U</t>
        </is>
      </c>
      <c r="D986" s="5" t="inlineStr">
        <is>
          <t>RE</t>
        </is>
      </c>
      <c r="E986" s="5" t="n">
        <v>5029096</v>
      </c>
      <c r="F986" s="5" t="inlineStr">
        <is>
          <t>4024003758</t>
        </is>
      </c>
      <c r="G986" s="5" t="inlineStr">
        <is>
          <t>EUR</t>
        </is>
      </c>
      <c r="H986" s="9" t="n">
        <v>-10492.61</v>
      </c>
      <c r="I986" s="16" t="n">
        <v>45446</v>
      </c>
      <c r="J986" s="16" t="n">
        <v>45476</v>
      </c>
      <c r="K986" s="5" t="inlineStr">
        <is>
          <t>0456/24</t>
        </is>
      </c>
      <c r="L986" s="5" t="inlineStr">
        <is>
          <t>4024003758</t>
        </is>
      </c>
      <c r="M986" s="5">
        <f>IF(YEAR(I986)&lt;=2020,"Até 2020",TEXT(YEAR(I986),"0"))</f>
        <v/>
      </c>
      <c r="N986" s="5">
        <f>IFERROR(INDEX(DePara!$A:$A,MATCH(TEXT(B986,"0"),DePara!$D:$D,0)),"(sem categoria)")</f>
        <v/>
      </c>
      <c r="O986" s="5">
        <f>IF(J986="","",Parametros!$B$6-J986)</f>
        <v/>
      </c>
      <c r="P986" s="5">
        <f>IF(O986="","",IF(O986&gt;0,1,0))</f>
        <v/>
      </c>
    </row>
    <row r="987">
      <c r="A987" s="5" t="n">
        <v>2122100000</v>
      </c>
      <c r="B987" s="5" t="inlineStr">
        <is>
          <t>IC1000</t>
        </is>
      </c>
      <c r="C987" s="5" t="inlineStr">
        <is>
          <t>NORDEX ENERGY SE &amp; CO KG</t>
        </is>
      </c>
      <c r="D987" s="5" t="inlineStr">
        <is>
          <t>RE</t>
        </is>
      </c>
      <c r="E987" s="5" t="n">
        <v>5029152</v>
      </c>
      <c r="F987" s="5" t="inlineStr">
        <is>
          <t>4012385752</t>
        </is>
      </c>
      <c r="G987" s="5" t="inlineStr">
        <is>
          <t>EUR</t>
        </is>
      </c>
      <c r="H987" s="9" t="n">
        <v>-389957.4</v>
      </c>
      <c r="I987" s="16" t="n">
        <v>45411</v>
      </c>
      <c r="J987" s="16" t="n">
        <v>45441</v>
      </c>
      <c r="K987" s="5" t="inlineStr">
        <is>
          <t>0302/24</t>
        </is>
      </c>
      <c r="L987" s="5" t="inlineStr">
        <is>
          <t>4012385752</t>
        </is>
      </c>
      <c r="M987" s="5">
        <f>IF(YEAR(I987)&lt;=2020,"Até 2020",TEXT(YEAR(I987),"0"))</f>
        <v/>
      </c>
      <c r="N987" s="5">
        <f>IFERROR(INDEX(DePara!$A:$A,MATCH(TEXT(B987,"0"),DePara!$D:$D,0)),"(sem categoria)")</f>
        <v/>
      </c>
      <c r="O987" s="5">
        <f>IF(J987="","",Parametros!$B$6-J987)</f>
        <v/>
      </c>
      <c r="P987" s="5">
        <f>IF(O987="","",IF(O987&gt;0,1,0))</f>
        <v/>
      </c>
    </row>
    <row r="988">
      <c r="A988" s="5" t="n">
        <v>2122100000</v>
      </c>
      <c r="B988" s="5" t="inlineStr">
        <is>
          <t>IC4420</t>
        </is>
      </c>
      <c r="C988" s="5" t="inlineStr">
        <is>
          <t>NORDEX ENERGY SPAIN S A U</t>
        </is>
      </c>
      <c r="D988" s="5" t="inlineStr">
        <is>
          <t>RE</t>
        </is>
      </c>
      <c r="E988" s="5" t="n">
        <v>5029232</v>
      </c>
      <c r="F988" s="5" t="inlineStr">
        <is>
          <t>4023004173</t>
        </is>
      </c>
      <c r="G988" s="5" t="inlineStr">
        <is>
          <t>EUR</t>
        </is>
      </c>
      <c r="H988" s="9" t="n">
        <v>-789700.08</v>
      </c>
      <c r="I988" s="16" t="n">
        <v>45182</v>
      </c>
      <c r="J988" s="16" t="n">
        <v>45242</v>
      </c>
      <c r="K988" s="5" t="inlineStr">
        <is>
          <t>0006/24</t>
        </is>
      </c>
      <c r="L988" s="5" t="inlineStr">
        <is>
          <t>4023004173</t>
        </is>
      </c>
      <c r="M988" s="5">
        <f>IF(YEAR(I988)&lt;=2020,"Até 2020",TEXT(YEAR(I988),"0"))</f>
        <v/>
      </c>
      <c r="N988" s="5">
        <f>IFERROR(INDEX(DePara!$A:$A,MATCH(TEXT(B988,"0"),DePara!$D:$D,0)),"(sem categoria)")</f>
        <v/>
      </c>
      <c r="O988" s="5">
        <f>IF(J988="","",Parametros!$B$6-J988)</f>
        <v/>
      </c>
      <c r="P988" s="5">
        <f>IF(O988="","",IF(O988&gt;0,1,0))</f>
        <v/>
      </c>
    </row>
    <row r="989">
      <c r="A989" s="5" t="n">
        <v>2122100000</v>
      </c>
      <c r="B989" s="5" t="inlineStr">
        <is>
          <t>IC1000</t>
        </is>
      </c>
      <c r="C989" s="5" t="inlineStr">
        <is>
          <t>NORDEX ENERGY SE &amp; CO KG</t>
        </is>
      </c>
      <c r="D989" s="5" t="inlineStr">
        <is>
          <t>RE</t>
        </is>
      </c>
      <c r="E989" s="5" t="n">
        <v>5029643</v>
      </c>
      <c r="F989" s="5" t="inlineStr">
        <is>
          <t>353658</t>
        </is>
      </c>
      <c r="G989" s="5" t="inlineStr">
        <is>
          <t>EUR</t>
        </is>
      </c>
      <c r="H989" s="9" t="n">
        <v>-2186.77</v>
      </c>
      <c r="I989" s="16" t="n">
        <v>45863</v>
      </c>
      <c r="J989" s="16" t="n">
        <v>45893</v>
      </c>
      <c r="K989" s="5" t="inlineStr">
        <is>
          <t>0648/25</t>
        </is>
      </c>
      <c r="L989" s="5" t="inlineStr">
        <is>
          <t>353658</t>
        </is>
      </c>
      <c r="M989" s="5">
        <f>IF(YEAR(I989)&lt;=2020,"Até 2020",TEXT(YEAR(I989),"0"))</f>
        <v/>
      </c>
      <c r="N989" s="5">
        <f>IFERROR(INDEX(DePara!$A:$A,MATCH(TEXT(B989,"0"),DePara!$D:$D,0)),"(sem categoria)")</f>
        <v/>
      </c>
      <c r="O989" s="5">
        <f>IF(J989="","",Parametros!$B$6-J989)</f>
        <v/>
      </c>
      <c r="P989" s="5">
        <f>IF(O989="","",IF(O989&gt;0,1,0))</f>
        <v/>
      </c>
    </row>
    <row r="990">
      <c r="A990" s="5" t="n">
        <v>2122100000</v>
      </c>
      <c r="B990" s="5" t="inlineStr">
        <is>
          <t>IC4420</t>
        </is>
      </c>
      <c r="C990" s="5" t="inlineStr">
        <is>
          <t>NORDEX ENERGY SPAIN S A U</t>
        </is>
      </c>
      <c r="D990" s="5" t="inlineStr">
        <is>
          <t>RE</t>
        </is>
      </c>
      <c r="E990" s="5" t="n">
        <v>5029846</v>
      </c>
      <c r="F990" s="5" t="inlineStr">
        <is>
          <t>4024002125</t>
        </is>
      </c>
      <c r="G990" s="5" t="inlineStr">
        <is>
          <t>EUR</t>
        </is>
      </c>
      <c r="H990" s="9" t="n">
        <v>-1415251.43</v>
      </c>
      <c r="I990" s="16" t="n">
        <v>45377</v>
      </c>
      <c r="J990" s="16" t="n">
        <v>45407</v>
      </c>
      <c r="K990" s="5" t="inlineStr">
        <is>
          <t>0409/24</t>
        </is>
      </c>
      <c r="L990" s="5" t="inlineStr">
        <is>
          <t>4024002125</t>
        </is>
      </c>
      <c r="M990" s="5">
        <f>IF(YEAR(I990)&lt;=2020,"Até 2020",TEXT(YEAR(I990),"0"))</f>
        <v/>
      </c>
      <c r="N990" s="5">
        <f>IFERROR(INDEX(DePara!$A:$A,MATCH(TEXT(B990,"0"),DePara!$D:$D,0)),"(sem categoria)")</f>
        <v/>
      </c>
      <c r="O990" s="5">
        <f>IF(J990="","",Parametros!$B$6-J990)</f>
        <v/>
      </c>
      <c r="P990" s="5">
        <f>IF(O990="","",IF(O990&gt;0,1,0))</f>
        <v/>
      </c>
    </row>
    <row r="991">
      <c r="A991" s="5" t="n">
        <v>2122100000</v>
      </c>
      <c r="B991" s="5" t="inlineStr">
        <is>
          <t>IC4420</t>
        </is>
      </c>
      <c r="C991" s="5" t="inlineStr">
        <is>
          <t>NORDEX ENERGY SPAIN S A U</t>
        </is>
      </c>
      <c r="D991" s="5" t="inlineStr">
        <is>
          <t>RE</t>
        </is>
      </c>
      <c r="E991" s="5" t="n">
        <v>5029850</v>
      </c>
      <c r="F991" s="5" t="inlineStr">
        <is>
          <t>4018000131</t>
        </is>
      </c>
      <c r="G991" s="5" t="inlineStr">
        <is>
          <t>EUR</t>
        </is>
      </c>
      <c r="H991" s="9" t="n">
        <v>-1562526.5</v>
      </c>
      <c r="I991" s="16" t="n">
        <v>45456</v>
      </c>
      <c r="J991" s="16" t="n">
        <v>45486</v>
      </c>
      <c r="K991" s="5" t="inlineStr">
        <is>
          <t>0439/24</t>
        </is>
      </c>
      <c r="L991" s="5" t="inlineStr">
        <is>
          <t>4018000131</t>
        </is>
      </c>
      <c r="M991" s="5">
        <f>IF(YEAR(I991)&lt;=2020,"Até 2020",TEXT(YEAR(I991),"0"))</f>
        <v/>
      </c>
      <c r="N991" s="5">
        <f>IFERROR(INDEX(DePara!$A:$A,MATCH(TEXT(B991,"0"),DePara!$D:$D,0)),"(sem categoria)")</f>
        <v/>
      </c>
      <c r="O991" s="5">
        <f>IF(J991="","",Parametros!$B$6-J991)</f>
        <v/>
      </c>
      <c r="P991" s="5">
        <f>IF(O991="","",IF(O991&gt;0,1,0))</f>
        <v/>
      </c>
    </row>
    <row r="992">
      <c r="A992" s="5" t="n">
        <v>2122100000</v>
      </c>
      <c r="B992" s="5" t="inlineStr">
        <is>
          <t>IC4420</t>
        </is>
      </c>
      <c r="C992" s="5" t="inlineStr">
        <is>
          <t>NORDEX ENERGY SPAIN S A U</t>
        </is>
      </c>
      <c r="D992" s="5" t="inlineStr">
        <is>
          <t>RE</t>
        </is>
      </c>
      <c r="E992" s="5" t="n">
        <v>5029853</v>
      </c>
      <c r="F992" s="5" t="inlineStr">
        <is>
          <t>04023000138</t>
        </is>
      </c>
      <c r="G992" s="5" t="inlineStr">
        <is>
          <t>EUR</t>
        </is>
      </c>
      <c r="H992" s="9" t="n">
        <v>-67328.62</v>
      </c>
      <c r="I992" s="16" t="n">
        <v>44939</v>
      </c>
      <c r="J992" s="16" t="n">
        <v>44969</v>
      </c>
      <c r="K992" s="5" t="inlineStr">
        <is>
          <t>0442/24</t>
        </is>
      </c>
      <c r="L992" s="5" t="inlineStr">
        <is>
          <t>04023000138</t>
        </is>
      </c>
      <c r="M992" s="5">
        <f>IF(YEAR(I992)&lt;=2020,"Até 2020",TEXT(YEAR(I992),"0"))</f>
        <v/>
      </c>
      <c r="N992" s="5">
        <f>IFERROR(INDEX(DePara!$A:$A,MATCH(TEXT(B992,"0"),DePara!$D:$D,0)),"(sem categoria)")</f>
        <v/>
      </c>
      <c r="O992" s="5">
        <f>IF(J992="","",Parametros!$B$6-J992)</f>
        <v/>
      </c>
      <c r="P992" s="5">
        <f>IF(O992="","",IF(O992&gt;0,1,0))</f>
        <v/>
      </c>
    </row>
    <row r="993">
      <c r="A993" s="5" t="n">
        <v>2122100000</v>
      </c>
      <c r="B993" s="5" t="inlineStr">
        <is>
          <t>IC1000</t>
        </is>
      </c>
      <c r="C993" s="5" t="inlineStr">
        <is>
          <t>NORDEX ENERGY SE &amp; CO KG</t>
        </is>
      </c>
      <c r="D993" s="5" t="inlineStr">
        <is>
          <t>RE</t>
        </is>
      </c>
      <c r="E993" s="5" t="n">
        <v>5029881</v>
      </c>
      <c r="F993" s="5" t="inlineStr">
        <is>
          <t>285616</t>
        </is>
      </c>
      <c r="G993" s="5" t="inlineStr">
        <is>
          <t>EUR</t>
        </is>
      </c>
      <c r="H993" s="9" t="n">
        <v>-128076.1</v>
      </c>
      <c r="I993" s="16" t="n">
        <v>45415</v>
      </c>
      <c r="J993" s="16" t="n">
        <v>45445</v>
      </c>
      <c r="K993" s="5" t="inlineStr">
        <is>
          <t>0420/24</t>
        </is>
      </c>
      <c r="L993" s="5" t="inlineStr">
        <is>
          <t>285616</t>
        </is>
      </c>
      <c r="M993" s="5">
        <f>IF(YEAR(I993)&lt;=2020,"Até 2020",TEXT(YEAR(I993),"0"))</f>
        <v/>
      </c>
      <c r="N993" s="5">
        <f>IFERROR(INDEX(DePara!$A:$A,MATCH(TEXT(B993,"0"),DePara!$D:$D,0)),"(sem categoria)")</f>
        <v/>
      </c>
      <c r="O993" s="5">
        <f>IF(J993="","",Parametros!$B$6-J993)</f>
        <v/>
      </c>
      <c r="P993" s="5">
        <f>IF(O993="","",IF(O993&gt;0,1,0))</f>
        <v/>
      </c>
    </row>
    <row r="994">
      <c r="A994" s="5" t="n">
        <v>2122100000</v>
      </c>
      <c r="B994" s="5" t="inlineStr">
        <is>
          <t>IC1000</t>
        </is>
      </c>
      <c r="C994" s="5" t="inlineStr">
        <is>
          <t>NORDEX ENERGY SE &amp; CO KG</t>
        </is>
      </c>
      <c r="D994" s="5" t="inlineStr">
        <is>
          <t>RE</t>
        </is>
      </c>
      <c r="E994" s="5" t="n">
        <v>5030642</v>
      </c>
      <c r="F994" s="5" t="inlineStr">
        <is>
          <t>352404</t>
        </is>
      </c>
      <c r="G994" s="5" t="inlineStr">
        <is>
          <t>EUR</t>
        </is>
      </c>
      <c r="H994" s="9" t="n">
        <v>-29396.26</v>
      </c>
      <c r="I994" s="16" t="n">
        <v>45853</v>
      </c>
      <c r="J994" s="16" t="n">
        <v>45883</v>
      </c>
      <c r="K994" s="5" t="inlineStr">
        <is>
          <t>0610/25</t>
        </is>
      </c>
      <c r="L994" s="5" t="inlineStr">
        <is>
          <t>352404</t>
        </is>
      </c>
      <c r="M994" s="5">
        <f>IF(YEAR(I994)&lt;=2020,"Até 2020",TEXT(YEAR(I994),"0"))</f>
        <v/>
      </c>
      <c r="N994" s="5">
        <f>IFERROR(INDEX(DePara!$A:$A,MATCH(TEXT(B994,"0"),DePara!$D:$D,0)),"(sem categoria)")</f>
        <v/>
      </c>
      <c r="O994" s="5">
        <f>IF(J994="","",Parametros!$B$6-J994)</f>
        <v/>
      </c>
      <c r="P994" s="5">
        <f>IF(O994="","",IF(O994&gt;0,1,0))</f>
        <v/>
      </c>
    </row>
    <row r="995">
      <c r="A995" s="5" t="n">
        <v>2122100000</v>
      </c>
      <c r="B995" s="5" t="inlineStr">
        <is>
          <t>IC1000</t>
        </is>
      </c>
      <c r="C995" s="5" t="inlineStr">
        <is>
          <t>NORDEX ENERGY SE &amp; CO KG</t>
        </is>
      </c>
      <c r="D995" s="5" t="inlineStr">
        <is>
          <t>RE</t>
        </is>
      </c>
      <c r="E995" s="5" t="n">
        <v>5030728</v>
      </c>
      <c r="F995" s="5" t="inlineStr">
        <is>
          <t>353659</t>
        </is>
      </c>
      <c r="G995" s="5" t="inlineStr">
        <is>
          <t>EUR</t>
        </is>
      </c>
      <c r="H995" s="9" t="n">
        <v>-1567.84</v>
      </c>
      <c r="I995" s="16" t="n">
        <v>45863</v>
      </c>
      <c r="J995" s="16" t="n">
        <v>45893</v>
      </c>
      <c r="K995" s="5" t="inlineStr">
        <is>
          <t>0649/25</t>
        </is>
      </c>
      <c r="L995" s="5" t="inlineStr">
        <is>
          <t>353659</t>
        </is>
      </c>
      <c r="M995" s="5">
        <f>IF(YEAR(I995)&lt;=2020,"Até 2020",TEXT(YEAR(I995),"0"))</f>
        <v/>
      </c>
      <c r="N995" s="5">
        <f>IFERROR(INDEX(DePara!$A:$A,MATCH(TEXT(B995,"0"),DePara!$D:$D,0)),"(sem categoria)")</f>
        <v/>
      </c>
      <c r="O995" s="5">
        <f>IF(J995="","",Parametros!$B$6-J995)</f>
        <v/>
      </c>
      <c r="P995" s="5">
        <f>IF(O995="","",IF(O995&gt;0,1,0))</f>
        <v/>
      </c>
    </row>
    <row r="996">
      <c r="A996" s="5" t="n">
        <v>2122100000</v>
      </c>
      <c r="B996" s="5" t="inlineStr">
        <is>
          <t>IC1000</t>
        </is>
      </c>
      <c r="C996" s="5" t="inlineStr">
        <is>
          <t>NORDEX ENERGY SE &amp; CO KG</t>
        </is>
      </c>
      <c r="D996" s="5" t="inlineStr">
        <is>
          <t>RE</t>
        </is>
      </c>
      <c r="E996" s="5" t="n">
        <v>5030944</v>
      </c>
      <c r="F996" s="5" t="inlineStr">
        <is>
          <t>352116</t>
        </is>
      </c>
      <c r="G996" s="5" t="inlineStr">
        <is>
          <t>EUR</t>
        </is>
      </c>
      <c r="H996" s="9" t="n">
        <v>-15908.09</v>
      </c>
      <c r="I996" s="16" t="n">
        <v>45853</v>
      </c>
      <c r="J996" s="16" t="n">
        <v>45883</v>
      </c>
      <c r="K996" s="5" t="inlineStr">
        <is>
          <t>0608/25</t>
        </is>
      </c>
      <c r="L996" s="5" t="inlineStr">
        <is>
          <t>352116</t>
        </is>
      </c>
      <c r="M996" s="5">
        <f>IF(YEAR(I996)&lt;=2020,"Até 2020",TEXT(YEAR(I996),"0"))</f>
        <v/>
      </c>
      <c r="N996" s="5">
        <f>IFERROR(INDEX(DePara!$A:$A,MATCH(TEXT(B996,"0"),DePara!$D:$D,0)),"(sem categoria)")</f>
        <v/>
      </c>
      <c r="O996" s="5">
        <f>IF(J996="","",Parametros!$B$6-J996)</f>
        <v/>
      </c>
      <c r="P996" s="5">
        <f>IF(O996="","",IF(O996&gt;0,1,0))</f>
        <v/>
      </c>
    </row>
    <row r="997">
      <c r="A997" s="5" t="n">
        <v>2122100000</v>
      </c>
      <c r="B997" s="5" t="inlineStr">
        <is>
          <t>IC4420</t>
        </is>
      </c>
      <c r="C997" s="5" t="inlineStr">
        <is>
          <t>NORDEX ENERGY SPAIN S A U</t>
        </is>
      </c>
      <c r="D997" s="5" t="inlineStr">
        <is>
          <t>RE</t>
        </is>
      </c>
      <c r="E997" s="5" t="n">
        <v>5031075</v>
      </c>
      <c r="F997" s="5" t="inlineStr">
        <is>
          <t>4024004473</t>
        </is>
      </c>
      <c r="G997" s="5" t="inlineStr">
        <is>
          <t>EUR</t>
        </is>
      </c>
      <c r="H997" s="9" t="n">
        <v>-332.54</v>
      </c>
      <c r="I997" s="16" t="n">
        <v>45468</v>
      </c>
      <c r="J997" s="16" t="n">
        <v>45498</v>
      </c>
      <c r="K997" s="5" t="inlineStr">
        <is>
          <t>0498/24</t>
        </is>
      </c>
      <c r="L997" s="5" t="inlineStr">
        <is>
          <t>4024004473</t>
        </is>
      </c>
      <c r="M997" s="5">
        <f>IF(YEAR(I997)&lt;=2020,"Até 2020",TEXT(YEAR(I997),"0"))</f>
        <v/>
      </c>
      <c r="N997" s="5">
        <f>IFERROR(INDEX(DePara!$A:$A,MATCH(TEXT(B997,"0"),DePara!$D:$D,0)),"(sem categoria)")</f>
        <v/>
      </c>
      <c r="O997" s="5">
        <f>IF(J997="","",Parametros!$B$6-J997)</f>
        <v/>
      </c>
      <c r="P997" s="5">
        <f>IF(O997="","",IF(O997&gt;0,1,0))</f>
        <v/>
      </c>
    </row>
    <row r="998">
      <c r="A998" s="5" t="n">
        <v>2122100000</v>
      </c>
      <c r="B998" s="5" t="inlineStr">
        <is>
          <t>IC4420</t>
        </is>
      </c>
      <c r="C998" s="5" t="inlineStr">
        <is>
          <t>NORDEX ENERGY SPAIN S A U</t>
        </is>
      </c>
      <c r="D998" s="5" t="inlineStr">
        <is>
          <t>RE</t>
        </is>
      </c>
      <c r="E998" s="5" t="n">
        <v>5031419</v>
      </c>
      <c r="F998" s="5" t="inlineStr">
        <is>
          <t>4025005484</t>
        </is>
      </c>
      <c r="G998" s="5" t="inlineStr">
        <is>
          <t>USD</t>
        </is>
      </c>
      <c r="H998" s="9" t="n">
        <v>-6067661.56</v>
      </c>
      <c r="I998" s="16" t="n">
        <v>45866</v>
      </c>
      <c r="J998" s="16" t="n">
        <v>45896</v>
      </c>
      <c r="K998" s="5" t="inlineStr">
        <is>
          <t>0623/25</t>
        </is>
      </c>
      <c r="L998" s="5" t="inlineStr">
        <is>
          <t>4025005484</t>
        </is>
      </c>
      <c r="M998" s="5">
        <f>IF(YEAR(I998)&lt;=2020,"Até 2020",TEXT(YEAR(I998),"0"))</f>
        <v/>
      </c>
      <c r="N998" s="5">
        <f>IFERROR(INDEX(DePara!$A:$A,MATCH(TEXT(B998,"0"),DePara!$D:$D,0)),"(sem categoria)")</f>
        <v/>
      </c>
      <c r="O998" s="5">
        <f>IF(J998="","",Parametros!$B$6-J998)</f>
        <v/>
      </c>
      <c r="P998" s="5">
        <f>IF(O998="","",IF(O998&gt;0,1,0))</f>
        <v/>
      </c>
    </row>
    <row r="999">
      <c r="A999" s="5" t="n">
        <v>2122100000</v>
      </c>
      <c r="B999" s="5" t="inlineStr">
        <is>
          <t>IC1000</t>
        </is>
      </c>
      <c r="C999" s="5" t="inlineStr">
        <is>
          <t>NORDEX ENERGY SE &amp; CO KG</t>
        </is>
      </c>
      <c r="D999" s="5" t="inlineStr">
        <is>
          <t>RE</t>
        </is>
      </c>
      <c r="E999" s="5" t="n">
        <v>5031439</v>
      </c>
      <c r="F999" s="5" t="inlineStr">
        <is>
          <t>RITM0483758//2</t>
        </is>
      </c>
      <c r="G999" s="5" t="inlineStr">
        <is>
          <t>USD</t>
        </is>
      </c>
      <c r="H999" s="9" t="n">
        <v>-665503.3199999999</v>
      </c>
      <c r="I999" s="16" t="n">
        <v>45842</v>
      </c>
      <c r="J999" s="16" t="n">
        <v>45872</v>
      </c>
      <c r="K999" s="5" t="inlineStr">
        <is>
          <t>0622/25</t>
        </is>
      </c>
      <c r="L999" s="5" t="inlineStr">
        <is>
          <t>RITM0483758//2</t>
        </is>
      </c>
      <c r="M999" s="5">
        <f>IF(YEAR(I999)&lt;=2020,"Até 2020",TEXT(YEAR(I999),"0"))</f>
        <v/>
      </c>
      <c r="N999" s="5">
        <f>IFERROR(INDEX(DePara!$A:$A,MATCH(TEXT(B999,"0"),DePara!$D:$D,0)),"(sem categoria)")</f>
        <v/>
      </c>
      <c r="O999" s="5">
        <f>IF(J999="","",Parametros!$B$6-J999)</f>
        <v/>
      </c>
      <c r="P999" s="5">
        <f>IF(O999="","",IF(O999&gt;0,1,0))</f>
        <v/>
      </c>
    </row>
    <row r="1000">
      <c r="A1000" s="5" t="n">
        <v>2122100000</v>
      </c>
      <c r="B1000" s="5" t="inlineStr">
        <is>
          <t>IC1000</t>
        </is>
      </c>
      <c r="C1000" s="5" t="inlineStr">
        <is>
          <t>NORDEX ENERGY SE &amp; CO KG</t>
        </is>
      </c>
      <c r="D1000" s="5" t="inlineStr">
        <is>
          <t>RE</t>
        </is>
      </c>
      <c r="E1000" s="5" t="n">
        <v>5031476</v>
      </c>
      <c r="F1000" s="5" t="inlineStr">
        <is>
          <t>341202</t>
        </is>
      </c>
      <c r="G1000" s="5" t="inlineStr">
        <is>
          <t>EUR</t>
        </is>
      </c>
      <c r="H1000" s="9" t="n">
        <v>-7084.4</v>
      </c>
      <c r="I1000" s="16" t="n">
        <v>45779</v>
      </c>
      <c r="J1000" s="16" t="n">
        <v>45809</v>
      </c>
      <c r="K1000" s="5" t="inlineStr">
        <is>
          <t>0372/25</t>
        </is>
      </c>
      <c r="L1000" s="5" t="inlineStr">
        <is>
          <t>341202</t>
        </is>
      </c>
      <c r="M1000" s="5">
        <f>IF(YEAR(I1000)&lt;=2020,"Até 2020",TEXT(YEAR(I1000),"0"))</f>
        <v/>
      </c>
      <c r="N1000" s="5">
        <f>IFERROR(INDEX(DePara!$A:$A,MATCH(TEXT(B1000,"0"),DePara!$D:$D,0)),"(sem categoria)")</f>
        <v/>
      </c>
      <c r="O1000" s="5">
        <f>IF(J1000="","",Parametros!$B$6-J1000)</f>
        <v/>
      </c>
      <c r="P1000" s="5">
        <f>IF(O1000="","",IF(O1000&gt;0,1,0))</f>
        <v/>
      </c>
    </row>
    <row r="1001">
      <c r="A1001" s="5" t="n">
        <v>2122100000</v>
      </c>
      <c r="B1001" s="5" t="inlineStr">
        <is>
          <t>IC1000</t>
        </is>
      </c>
      <c r="C1001" s="5" t="inlineStr">
        <is>
          <t>NORDEX ENERGY SE &amp; CO KG</t>
        </is>
      </c>
      <c r="D1001" s="5" t="inlineStr">
        <is>
          <t>RE</t>
        </is>
      </c>
      <c r="E1001" s="5" t="n">
        <v>5031496</v>
      </c>
      <c r="F1001" s="5" t="inlineStr">
        <is>
          <t>339987</t>
        </is>
      </c>
      <c r="G1001" s="5" t="inlineStr">
        <is>
          <t>EUR</t>
        </is>
      </c>
      <c r="H1001" s="9" t="n">
        <v>-7107.31</v>
      </c>
      <c r="I1001" s="16" t="n">
        <v>45763</v>
      </c>
      <c r="J1001" s="16" t="n">
        <v>45793</v>
      </c>
      <c r="K1001" s="5" t="inlineStr">
        <is>
          <t>0355/25</t>
        </is>
      </c>
      <c r="L1001" s="5" t="inlineStr">
        <is>
          <t>339987</t>
        </is>
      </c>
      <c r="M1001" s="5">
        <f>IF(YEAR(I1001)&lt;=2020,"Até 2020",TEXT(YEAR(I1001),"0"))</f>
        <v/>
      </c>
      <c r="N1001" s="5">
        <f>IFERROR(INDEX(DePara!$A:$A,MATCH(TEXT(B1001,"0"),DePara!$D:$D,0)),"(sem categoria)")</f>
        <v/>
      </c>
      <c r="O1001" s="5">
        <f>IF(J1001="","",Parametros!$B$6-J1001)</f>
        <v/>
      </c>
      <c r="P1001" s="5">
        <f>IF(O1001="","",IF(O1001&gt;0,1,0))</f>
        <v/>
      </c>
    </row>
    <row r="1002">
      <c r="A1002" s="5" t="n">
        <v>2122100000</v>
      </c>
      <c r="B1002" s="5" t="inlineStr">
        <is>
          <t>IC4420</t>
        </is>
      </c>
      <c r="C1002" s="5" t="inlineStr">
        <is>
          <t>NORDEX ENERGY SPAIN S A U</t>
        </is>
      </c>
      <c r="D1002" s="5" t="inlineStr">
        <is>
          <t>RE</t>
        </is>
      </c>
      <c r="E1002" s="5" t="n">
        <v>5031700</v>
      </c>
      <c r="F1002" s="5" t="inlineStr">
        <is>
          <t>4025006016</t>
        </is>
      </c>
      <c r="G1002" s="5" t="inlineStr">
        <is>
          <t>EUR</t>
        </is>
      </c>
      <c r="H1002" s="9" t="n">
        <v>-8187.65</v>
      </c>
      <c r="I1002" s="16" t="n">
        <v>45881</v>
      </c>
      <c r="J1002" s="16" t="n">
        <v>45911</v>
      </c>
      <c r="K1002" s="5" t="inlineStr">
        <is>
          <t>0652/25</t>
        </is>
      </c>
      <c r="L1002" s="5" t="inlineStr">
        <is>
          <t>4025006016</t>
        </is>
      </c>
      <c r="M1002" s="5">
        <f>IF(YEAR(I1002)&lt;=2020,"Até 2020",TEXT(YEAR(I1002),"0"))</f>
        <v/>
      </c>
      <c r="N1002" s="5">
        <f>IFERROR(INDEX(DePara!$A:$A,MATCH(TEXT(B1002,"0"),DePara!$D:$D,0)),"(sem categoria)")</f>
        <v/>
      </c>
      <c r="O1002" s="5">
        <f>IF(J1002="","",Parametros!$B$6-J1002)</f>
        <v/>
      </c>
      <c r="P1002" s="5">
        <f>IF(O1002="","",IF(O1002&gt;0,1,0))</f>
        <v/>
      </c>
    </row>
    <row r="1003">
      <c r="A1003" s="5" t="n">
        <v>2122100000</v>
      </c>
      <c r="B1003" s="5" t="inlineStr">
        <is>
          <t>IC4420</t>
        </is>
      </c>
      <c r="C1003" s="5" t="inlineStr">
        <is>
          <t>NORDEX ENERGY SPAIN S A U</t>
        </is>
      </c>
      <c r="D1003" s="5" t="inlineStr">
        <is>
          <t>RE</t>
        </is>
      </c>
      <c r="E1003" s="5" t="n">
        <v>5031746</v>
      </c>
      <c r="F1003" s="5" t="inlineStr">
        <is>
          <t>4025005915</t>
        </is>
      </c>
      <c r="G1003" s="5" t="inlineStr">
        <is>
          <t>EUR</t>
        </is>
      </c>
      <c r="H1003" s="9" t="n">
        <v>-26755.49</v>
      </c>
      <c r="I1003" s="16" t="n">
        <v>45877</v>
      </c>
      <c r="J1003" s="16" t="n">
        <v>45907</v>
      </c>
      <c r="K1003" s="5" t="inlineStr">
        <is>
          <t>0650/25</t>
        </is>
      </c>
      <c r="L1003" s="5" t="inlineStr">
        <is>
          <t>4025005915</t>
        </is>
      </c>
      <c r="M1003" s="5">
        <f>IF(YEAR(I1003)&lt;=2020,"Até 2020",TEXT(YEAR(I1003),"0"))</f>
        <v/>
      </c>
      <c r="N1003" s="5">
        <f>IFERROR(INDEX(DePara!$A:$A,MATCH(TEXT(B1003,"0"),DePara!$D:$D,0)),"(sem categoria)")</f>
        <v/>
      </c>
      <c r="O1003" s="5">
        <f>IF(J1003="","",Parametros!$B$6-J1003)</f>
        <v/>
      </c>
      <c r="P1003" s="5">
        <f>IF(O1003="","",IF(O1003&gt;0,1,0))</f>
        <v/>
      </c>
    </row>
    <row r="1004">
      <c r="A1004" s="5" t="n">
        <v>2122100000</v>
      </c>
      <c r="B1004" s="5" t="inlineStr">
        <is>
          <t>IC4420</t>
        </is>
      </c>
      <c r="C1004" s="5" t="inlineStr">
        <is>
          <t>NORDEX ENERGY SPAIN S A U</t>
        </is>
      </c>
      <c r="D1004" s="5" t="inlineStr">
        <is>
          <t>RE</t>
        </is>
      </c>
      <c r="E1004" s="5" t="n">
        <v>5031873</v>
      </c>
      <c r="F1004" s="5" t="inlineStr">
        <is>
          <t>4025005800</t>
        </is>
      </c>
      <c r="G1004" s="5" t="inlineStr">
        <is>
          <t>EUR</t>
        </is>
      </c>
      <c r="H1004" s="9" t="n">
        <v>-27776.04</v>
      </c>
      <c r="I1004" s="16" t="n">
        <v>45875</v>
      </c>
      <c r="J1004" s="16" t="n">
        <v>45905</v>
      </c>
      <c r="K1004" s="5" t="inlineStr">
        <is>
          <t>0646/25</t>
        </is>
      </c>
      <c r="L1004" s="5" t="inlineStr">
        <is>
          <t>4025005800</t>
        </is>
      </c>
      <c r="M1004" s="5">
        <f>IF(YEAR(I1004)&lt;=2020,"Até 2020",TEXT(YEAR(I1004),"0"))</f>
        <v/>
      </c>
      <c r="N1004" s="5">
        <f>IFERROR(INDEX(DePara!$A:$A,MATCH(TEXT(B1004,"0"),DePara!$D:$D,0)),"(sem categoria)")</f>
        <v/>
      </c>
      <c r="O1004" s="5">
        <f>IF(J1004="","",Parametros!$B$6-J1004)</f>
        <v/>
      </c>
      <c r="P1004" s="5">
        <f>IF(O1004="","",IF(O1004&gt;0,1,0))</f>
        <v/>
      </c>
    </row>
    <row r="1005">
      <c r="A1005" s="5" t="n">
        <v>2122100000</v>
      </c>
      <c r="B1005" s="5" t="inlineStr">
        <is>
          <t>IC4420</t>
        </is>
      </c>
      <c r="C1005" s="5" t="inlineStr">
        <is>
          <t>NORDEX ENERGY SPAIN S A U</t>
        </is>
      </c>
      <c r="D1005" s="5" t="inlineStr">
        <is>
          <t>RE</t>
        </is>
      </c>
      <c r="E1005" s="5" t="n">
        <v>5031894</v>
      </c>
      <c r="F1005" s="5" t="inlineStr">
        <is>
          <t>4018000095</t>
        </is>
      </c>
      <c r="G1005" s="5" t="inlineStr">
        <is>
          <t>EUR</t>
        </is>
      </c>
      <c r="H1005" s="9" t="n">
        <v>-1013011.21</v>
      </c>
      <c r="I1005" s="16" t="n">
        <v>45839</v>
      </c>
      <c r="J1005" s="16" t="n">
        <v>45869</v>
      </c>
      <c r="K1005" s="5" t="inlineStr">
        <is>
          <t>0555/25</t>
        </is>
      </c>
      <c r="L1005" s="5" t="inlineStr">
        <is>
          <t>4018000095</t>
        </is>
      </c>
      <c r="M1005" s="5">
        <f>IF(YEAR(I1005)&lt;=2020,"Até 2020",TEXT(YEAR(I1005),"0"))</f>
        <v/>
      </c>
      <c r="N1005" s="5">
        <f>IFERROR(INDEX(DePara!$A:$A,MATCH(TEXT(B1005,"0"),DePara!$D:$D,0)),"(sem categoria)")</f>
        <v/>
      </c>
      <c r="O1005" s="5">
        <f>IF(J1005="","",Parametros!$B$6-J1005)</f>
        <v/>
      </c>
      <c r="P1005" s="5">
        <f>IF(O1005="","",IF(O1005&gt;0,1,0))</f>
        <v/>
      </c>
    </row>
    <row r="1006">
      <c r="A1006" s="5" t="n">
        <v>2122100000</v>
      </c>
      <c r="B1006" s="5" t="inlineStr">
        <is>
          <t>IC1000</t>
        </is>
      </c>
      <c r="C1006" s="5" t="inlineStr">
        <is>
          <t>NORDEX ENERGY SE &amp; CO KG</t>
        </is>
      </c>
      <c r="D1006" s="5" t="inlineStr">
        <is>
          <t>RE</t>
        </is>
      </c>
      <c r="E1006" s="5" t="n">
        <v>5031900</v>
      </c>
      <c r="F1006" s="5" t="inlineStr">
        <is>
          <t>RITM0523163</t>
        </is>
      </c>
      <c r="G1006" s="5" t="inlineStr">
        <is>
          <t>EUR</t>
        </is>
      </c>
      <c r="H1006" s="9" t="n">
        <v>-499098.76</v>
      </c>
      <c r="I1006" s="16" t="n">
        <v>45881</v>
      </c>
      <c r="J1006" s="16" t="n">
        <v>45911</v>
      </c>
      <c r="K1006" s="5" t="inlineStr">
        <is>
          <t>0651/25</t>
        </is>
      </c>
      <c r="L1006" s="5" t="inlineStr">
        <is>
          <t>RITM0523163</t>
        </is>
      </c>
      <c r="M1006" s="5">
        <f>IF(YEAR(I1006)&lt;=2020,"Até 2020",TEXT(YEAR(I1006),"0"))</f>
        <v/>
      </c>
      <c r="N1006" s="5">
        <f>IFERROR(INDEX(DePara!$A:$A,MATCH(TEXT(B1006,"0"),DePara!$D:$D,0)),"(sem categoria)")</f>
        <v/>
      </c>
      <c r="O1006" s="5">
        <f>IF(J1006="","",Parametros!$B$6-J1006)</f>
        <v/>
      </c>
      <c r="P1006" s="5">
        <f>IF(O1006="","",IF(O1006&gt;0,1,0))</f>
        <v/>
      </c>
    </row>
    <row r="1007">
      <c r="A1007" s="5" t="n">
        <v>2122100000</v>
      </c>
      <c r="B1007" s="5" t="inlineStr">
        <is>
          <t>IC1000</t>
        </is>
      </c>
      <c r="C1007" s="5" t="inlineStr">
        <is>
          <t>NORDEX ENERGY SE &amp; CO KG</t>
        </is>
      </c>
      <c r="D1007" s="5" t="inlineStr">
        <is>
          <t>RE</t>
        </is>
      </c>
      <c r="E1007" s="5" t="n">
        <v>5032038</v>
      </c>
      <c r="F1007" s="5" t="inlineStr">
        <is>
          <t>4012376805</t>
        </is>
      </c>
      <c r="G1007" s="5" t="inlineStr">
        <is>
          <t>EUR</t>
        </is>
      </c>
      <c r="H1007" s="9" t="n">
        <v>-1332408.72</v>
      </c>
      <c r="I1007" s="16" t="n">
        <v>45356</v>
      </c>
      <c r="J1007" s="16" t="n">
        <v>45386</v>
      </c>
      <c r="K1007" s="5" t="inlineStr">
        <is>
          <t>0251/24</t>
        </is>
      </c>
      <c r="L1007" s="5" t="inlineStr">
        <is>
          <t>4012376805</t>
        </is>
      </c>
      <c r="M1007" s="5">
        <f>IF(YEAR(I1007)&lt;=2020,"Até 2020",TEXT(YEAR(I1007),"0"))</f>
        <v/>
      </c>
      <c r="N1007" s="5">
        <f>IFERROR(INDEX(DePara!$A:$A,MATCH(TEXT(B1007,"0"),DePara!$D:$D,0)),"(sem categoria)")</f>
        <v/>
      </c>
      <c r="O1007" s="5">
        <f>IF(J1007="","",Parametros!$B$6-J1007)</f>
        <v/>
      </c>
      <c r="P1007" s="5">
        <f>IF(O1007="","",IF(O1007&gt;0,1,0))</f>
        <v/>
      </c>
    </row>
    <row r="1008">
      <c r="A1008" s="5" t="n">
        <v>2122100000</v>
      </c>
      <c r="B1008" s="5" t="inlineStr">
        <is>
          <t>IC1000</t>
        </is>
      </c>
      <c r="C1008" s="5" t="inlineStr">
        <is>
          <t>NORDEX ENERGY SE &amp; CO KG</t>
        </is>
      </c>
      <c r="D1008" s="5" t="inlineStr">
        <is>
          <t>RE</t>
        </is>
      </c>
      <c r="E1008" s="5" t="n">
        <v>5032096</v>
      </c>
      <c r="F1008" s="5" t="inlineStr">
        <is>
          <t>279499</t>
        </is>
      </c>
      <c r="G1008" s="5" t="inlineStr">
        <is>
          <t>EUR</t>
        </is>
      </c>
      <c r="H1008" s="9" t="n">
        <v>-3761.56</v>
      </c>
      <c r="I1008" s="16" t="n">
        <v>45364</v>
      </c>
      <c r="J1008" s="16" t="n">
        <v>45394</v>
      </c>
      <c r="K1008" s="5" t="inlineStr">
        <is>
          <t>0299/24</t>
        </is>
      </c>
      <c r="L1008" s="5" t="inlineStr">
        <is>
          <t>279499</t>
        </is>
      </c>
      <c r="M1008" s="5">
        <f>IF(YEAR(I1008)&lt;=2020,"Até 2020",TEXT(YEAR(I1008),"0"))</f>
        <v/>
      </c>
      <c r="N1008" s="5">
        <f>IFERROR(INDEX(DePara!$A:$A,MATCH(TEXT(B1008,"0"),DePara!$D:$D,0)),"(sem categoria)")</f>
        <v/>
      </c>
      <c r="O1008" s="5">
        <f>IF(J1008="","",Parametros!$B$6-J1008)</f>
        <v/>
      </c>
      <c r="P1008" s="5">
        <f>IF(O1008="","",IF(O1008&gt;0,1,0))</f>
        <v/>
      </c>
    </row>
    <row r="1009">
      <c r="A1009" s="5" t="n">
        <v>2122100000</v>
      </c>
      <c r="B1009" s="5" t="inlineStr">
        <is>
          <t>IC1000</t>
        </is>
      </c>
      <c r="C1009" s="5" t="inlineStr">
        <is>
          <t>NORDEX ENERGY SE &amp; CO KG</t>
        </is>
      </c>
      <c r="D1009" s="5" t="inlineStr">
        <is>
          <t>RE</t>
        </is>
      </c>
      <c r="E1009" s="5" t="n">
        <v>5032113</v>
      </c>
      <c r="F1009" s="5" t="inlineStr">
        <is>
          <t>285729</t>
        </is>
      </c>
      <c r="G1009" s="5" t="inlineStr">
        <is>
          <t>EUR</t>
        </is>
      </c>
      <c r="H1009" s="9" t="n">
        <v>-29735.27</v>
      </c>
      <c r="I1009" s="16" t="n">
        <v>45408</v>
      </c>
      <c r="J1009" s="16" t="n">
        <v>45438</v>
      </c>
      <c r="K1009" s="5" t="inlineStr">
        <is>
          <t>0357/24</t>
        </is>
      </c>
      <c r="L1009" s="5" t="inlineStr">
        <is>
          <t>285729</t>
        </is>
      </c>
      <c r="M1009" s="5">
        <f>IF(YEAR(I1009)&lt;=2020,"Até 2020",TEXT(YEAR(I1009),"0"))</f>
        <v/>
      </c>
      <c r="N1009" s="5">
        <f>IFERROR(INDEX(DePara!$A:$A,MATCH(TEXT(B1009,"0"),DePara!$D:$D,0)),"(sem categoria)")</f>
        <v/>
      </c>
      <c r="O1009" s="5">
        <f>IF(J1009="","",Parametros!$B$6-J1009)</f>
        <v/>
      </c>
      <c r="P1009" s="5">
        <f>IF(O1009="","",IF(O1009&gt;0,1,0))</f>
        <v/>
      </c>
    </row>
    <row r="1010">
      <c r="A1010" s="5" t="n">
        <v>2122100000</v>
      </c>
      <c r="B1010" s="5" t="inlineStr">
        <is>
          <t>IC1000</t>
        </is>
      </c>
      <c r="C1010" s="5" t="inlineStr">
        <is>
          <t>NORDEX ENERGY SE &amp; CO KG</t>
        </is>
      </c>
      <c r="D1010" s="5" t="inlineStr">
        <is>
          <t>RE</t>
        </is>
      </c>
      <c r="E1010" s="5" t="n">
        <v>5032114</v>
      </c>
      <c r="F1010" s="5" t="inlineStr">
        <is>
          <t>286589</t>
        </is>
      </c>
      <c r="G1010" s="5" t="inlineStr">
        <is>
          <t>EUR</t>
        </is>
      </c>
      <c r="H1010" s="9" t="n">
        <v>-3386.29</v>
      </c>
      <c r="I1010" s="16" t="n">
        <v>45408</v>
      </c>
      <c r="J1010" s="16" t="n">
        <v>45438</v>
      </c>
      <c r="K1010" s="5" t="inlineStr">
        <is>
          <t>0380/24</t>
        </is>
      </c>
      <c r="L1010" s="5" t="inlineStr">
        <is>
          <t>286589</t>
        </is>
      </c>
      <c r="M1010" s="5">
        <f>IF(YEAR(I1010)&lt;=2020,"Até 2020",TEXT(YEAR(I1010),"0"))</f>
        <v/>
      </c>
      <c r="N1010" s="5">
        <f>IFERROR(INDEX(DePara!$A:$A,MATCH(TEXT(B1010,"0"),DePara!$D:$D,0)),"(sem categoria)")</f>
        <v/>
      </c>
      <c r="O1010" s="5">
        <f>IF(J1010="","",Parametros!$B$6-J1010)</f>
        <v/>
      </c>
      <c r="P1010" s="5">
        <f>IF(O1010="","",IF(O1010&gt;0,1,0))</f>
        <v/>
      </c>
    </row>
    <row r="1011">
      <c r="A1011" s="5" t="n">
        <v>2122100000</v>
      </c>
      <c r="B1011" s="5" t="inlineStr">
        <is>
          <t>IC1000</t>
        </is>
      </c>
      <c r="C1011" s="5" t="inlineStr">
        <is>
          <t>NORDEX ENERGY SE &amp; CO KG</t>
        </is>
      </c>
      <c r="D1011" s="5" t="inlineStr">
        <is>
          <t>RE</t>
        </is>
      </c>
      <c r="E1011" s="5" t="n">
        <v>5032116</v>
      </c>
      <c r="F1011" s="5" t="inlineStr">
        <is>
          <t>290820</t>
        </is>
      </c>
      <c r="G1011" s="5" t="inlineStr">
        <is>
          <t>EUR</t>
        </is>
      </c>
      <c r="H1011" s="9" t="n">
        <v>-1772.46</v>
      </c>
      <c r="I1011" s="16" t="n">
        <v>45439</v>
      </c>
      <c r="J1011" s="16" t="n">
        <v>45469</v>
      </c>
      <c r="K1011" s="5" t="inlineStr">
        <is>
          <t>0381/24</t>
        </is>
      </c>
      <c r="L1011" s="5" t="inlineStr">
        <is>
          <t>290820</t>
        </is>
      </c>
      <c r="M1011" s="5">
        <f>IF(YEAR(I1011)&lt;=2020,"Até 2020",TEXT(YEAR(I1011),"0"))</f>
        <v/>
      </c>
      <c r="N1011" s="5">
        <f>IFERROR(INDEX(DePara!$A:$A,MATCH(TEXT(B1011,"0"),DePara!$D:$D,0)),"(sem categoria)")</f>
        <v/>
      </c>
      <c r="O1011" s="5">
        <f>IF(J1011="","",Parametros!$B$6-J1011)</f>
        <v/>
      </c>
      <c r="P1011" s="5">
        <f>IF(O1011="","",IF(O1011&gt;0,1,0))</f>
        <v/>
      </c>
    </row>
    <row r="1012">
      <c r="A1012" s="5" t="n">
        <v>2122100000</v>
      </c>
      <c r="B1012" s="5" t="inlineStr">
        <is>
          <t>IC1000</t>
        </is>
      </c>
      <c r="C1012" s="5" t="inlineStr">
        <is>
          <t>NORDEX ENERGY SE &amp; CO KG</t>
        </is>
      </c>
      <c r="D1012" s="5" t="inlineStr">
        <is>
          <t>RE</t>
        </is>
      </c>
      <c r="E1012" s="5" t="n">
        <v>5032118</v>
      </c>
      <c r="F1012" s="5" t="inlineStr">
        <is>
          <t>279344</t>
        </is>
      </c>
      <c r="G1012" s="5" t="inlineStr">
        <is>
          <t>EUR</t>
        </is>
      </c>
      <c r="H1012" s="9" t="n">
        <v>-693.3200000000001</v>
      </c>
      <c r="I1012" s="16" t="n">
        <v>45364</v>
      </c>
      <c r="J1012" s="16" t="n">
        <v>45394</v>
      </c>
      <c r="K1012" s="5" t="inlineStr">
        <is>
          <t>0350/24</t>
        </is>
      </c>
      <c r="L1012" s="5" t="inlineStr">
        <is>
          <t>279344</t>
        </is>
      </c>
      <c r="M1012" s="5">
        <f>IF(YEAR(I1012)&lt;=2020,"Até 2020",TEXT(YEAR(I1012),"0"))</f>
        <v/>
      </c>
      <c r="N1012" s="5">
        <f>IFERROR(INDEX(DePara!$A:$A,MATCH(TEXT(B1012,"0"),DePara!$D:$D,0)),"(sem categoria)")</f>
        <v/>
      </c>
      <c r="O1012" s="5">
        <f>IF(J1012="","",Parametros!$B$6-J1012)</f>
        <v/>
      </c>
      <c r="P1012" s="5">
        <f>IF(O1012="","",IF(O1012&gt;0,1,0))</f>
        <v/>
      </c>
    </row>
    <row r="1013">
      <c r="A1013" s="5" t="n">
        <v>2122100000</v>
      </c>
      <c r="B1013" s="5" t="inlineStr">
        <is>
          <t>IC1000</t>
        </is>
      </c>
      <c r="C1013" s="5" t="inlineStr">
        <is>
          <t>NORDEX ENERGY SE &amp; CO KG</t>
        </is>
      </c>
      <c r="D1013" s="5" t="inlineStr">
        <is>
          <t>RE</t>
        </is>
      </c>
      <c r="E1013" s="5" t="n">
        <v>5032119</v>
      </c>
      <c r="F1013" s="5" t="inlineStr">
        <is>
          <t>278942</t>
        </is>
      </c>
      <c r="G1013" s="5" t="inlineStr">
        <is>
          <t>EUR</t>
        </is>
      </c>
      <c r="H1013" s="9" t="n">
        <v>-13369.73</v>
      </c>
      <c r="I1013" s="16" t="n">
        <v>45436</v>
      </c>
      <c r="J1013" s="16" t="n">
        <v>45466</v>
      </c>
      <c r="K1013" s="5" t="inlineStr">
        <is>
          <t>0382/24</t>
        </is>
      </c>
      <c r="L1013" s="5" t="inlineStr">
        <is>
          <t>278942</t>
        </is>
      </c>
      <c r="M1013" s="5">
        <f>IF(YEAR(I1013)&lt;=2020,"Até 2020",TEXT(YEAR(I1013),"0"))</f>
        <v/>
      </c>
      <c r="N1013" s="5">
        <f>IFERROR(INDEX(DePara!$A:$A,MATCH(TEXT(B1013,"0"),DePara!$D:$D,0)),"(sem categoria)")</f>
        <v/>
      </c>
      <c r="O1013" s="5">
        <f>IF(J1013="","",Parametros!$B$6-J1013)</f>
        <v/>
      </c>
      <c r="P1013" s="5">
        <f>IF(O1013="","",IF(O1013&gt;0,1,0))</f>
        <v/>
      </c>
    </row>
    <row r="1014">
      <c r="A1014" s="5" t="n">
        <v>2122100000</v>
      </c>
      <c r="B1014" s="5" t="inlineStr">
        <is>
          <t>IC4420</t>
        </is>
      </c>
      <c r="C1014" s="5" t="inlineStr">
        <is>
          <t>NORDEX ENERGY SPAIN S A U</t>
        </is>
      </c>
      <c r="D1014" s="5" t="inlineStr">
        <is>
          <t>RE</t>
        </is>
      </c>
      <c r="E1014" s="5" t="n">
        <v>5032119</v>
      </c>
      <c r="F1014" s="5" t="inlineStr">
        <is>
          <t>4018000133</t>
        </is>
      </c>
      <c r="G1014" s="5" t="inlineStr">
        <is>
          <t>EUR</t>
        </is>
      </c>
      <c r="H1014" s="9" t="n">
        <v>-21817.16</v>
      </c>
      <c r="I1014" s="16" t="n">
        <v>45868</v>
      </c>
      <c r="J1014" s="16" t="n">
        <v>45898</v>
      </c>
      <c r="K1014" s="5" t="inlineStr">
        <is>
          <t>0644/25</t>
        </is>
      </c>
      <c r="L1014" s="5" t="inlineStr">
        <is>
          <t>4018000133</t>
        </is>
      </c>
      <c r="M1014" s="5">
        <f>IF(YEAR(I1014)&lt;=2020,"Até 2020",TEXT(YEAR(I1014),"0"))</f>
        <v/>
      </c>
      <c r="N1014" s="5">
        <f>IFERROR(INDEX(DePara!$A:$A,MATCH(TEXT(B1014,"0"),DePara!$D:$D,0)),"(sem categoria)")</f>
        <v/>
      </c>
      <c r="O1014" s="5">
        <f>IF(J1014="","",Parametros!$B$6-J1014)</f>
        <v/>
      </c>
      <c r="P1014" s="5">
        <f>IF(O1014="","",IF(O1014&gt;0,1,0))</f>
        <v/>
      </c>
    </row>
    <row r="1015">
      <c r="A1015" s="5" t="n">
        <v>2122100000</v>
      </c>
      <c r="B1015" s="5" t="inlineStr">
        <is>
          <t>IC4420</t>
        </is>
      </c>
      <c r="C1015" s="5" t="inlineStr">
        <is>
          <t>NORDEX ENERGY SPAIN S A U</t>
        </is>
      </c>
      <c r="D1015" s="5" t="inlineStr">
        <is>
          <t>RE</t>
        </is>
      </c>
      <c r="E1015" s="5" t="n">
        <v>5032128</v>
      </c>
      <c r="F1015" s="5" t="inlineStr">
        <is>
          <t>4018000126</t>
        </is>
      </c>
      <c r="G1015" s="5" t="inlineStr">
        <is>
          <t>EUR</t>
        </is>
      </c>
      <c r="H1015" s="9" t="n">
        <v>-4514.24</v>
      </c>
      <c r="I1015" s="16" t="n">
        <v>45450</v>
      </c>
      <c r="J1015" s="16" t="n">
        <v>45480</v>
      </c>
      <c r="K1015" s="5" t="inlineStr">
        <is>
          <t>0426/24</t>
        </is>
      </c>
      <c r="L1015" s="5" t="inlineStr">
        <is>
          <t>4018000126</t>
        </is>
      </c>
      <c r="M1015" s="5">
        <f>IF(YEAR(I1015)&lt;=2020,"Até 2020",TEXT(YEAR(I1015),"0"))</f>
        <v/>
      </c>
      <c r="N1015" s="5">
        <f>IFERROR(INDEX(DePara!$A:$A,MATCH(TEXT(B1015,"0"),DePara!$D:$D,0)),"(sem categoria)")</f>
        <v/>
      </c>
      <c r="O1015" s="5">
        <f>IF(J1015="","",Parametros!$B$6-J1015)</f>
        <v/>
      </c>
      <c r="P1015" s="5">
        <f>IF(O1015="","",IF(O1015&gt;0,1,0))</f>
        <v/>
      </c>
    </row>
    <row r="1016">
      <c r="A1016" s="5" t="n">
        <v>2122100000</v>
      </c>
      <c r="B1016" s="5" t="inlineStr">
        <is>
          <t>IC1000</t>
        </is>
      </c>
      <c r="C1016" s="5" t="inlineStr">
        <is>
          <t>NORDEX ENERGY SE &amp; CO KG</t>
        </is>
      </c>
      <c r="D1016" s="5" t="inlineStr">
        <is>
          <t>RE</t>
        </is>
      </c>
      <c r="E1016" s="5" t="n">
        <v>5032133</v>
      </c>
      <c r="F1016" s="5" t="inlineStr">
        <is>
          <t>278964</t>
        </is>
      </c>
      <c r="G1016" s="5" t="inlineStr">
        <is>
          <t>EUR</t>
        </is>
      </c>
      <c r="H1016" s="9" t="n">
        <v>-39466.41</v>
      </c>
      <c r="I1016" s="16" t="n">
        <v>45358</v>
      </c>
      <c r="J1016" s="16" t="n">
        <v>45388</v>
      </c>
      <c r="K1016" s="5" t="inlineStr">
        <is>
          <t>0350/24</t>
        </is>
      </c>
      <c r="L1016" s="5" t="inlineStr">
        <is>
          <t>278964</t>
        </is>
      </c>
      <c r="M1016" s="5">
        <f>IF(YEAR(I1016)&lt;=2020,"Até 2020",TEXT(YEAR(I1016),"0"))</f>
        <v/>
      </c>
      <c r="N1016" s="5">
        <f>IFERROR(INDEX(DePara!$A:$A,MATCH(TEXT(B1016,"0"),DePara!$D:$D,0)),"(sem categoria)")</f>
        <v/>
      </c>
      <c r="O1016" s="5">
        <f>IF(J1016="","",Parametros!$B$6-J1016)</f>
        <v/>
      </c>
      <c r="P1016" s="5">
        <f>IF(O1016="","",IF(O1016&gt;0,1,0))</f>
        <v/>
      </c>
    </row>
    <row r="1017">
      <c r="A1017" s="5" t="n">
        <v>2122100000</v>
      </c>
      <c r="B1017" s="5" t="inlineStr">
        <is>
          <t>IC4420</t>
        </is>
      </c>
      <c r="C1017" s="5" t="inlineStr">
        <is>
          <t>NORDEX ENERGY SPAIN S A U</t>
        </is>
      </c>
      <c r="D1017" s="5" t="inlineStr">
        <is>
          <t>RE</t>
        </is>
      </c>
      <c r="E1017" s="5" t="n">
        <v>5032134</v>
      </c>
      <c r="F1017" s="5" t="inlineStr">
        <is>
          <t>4025006092</t>
        </is>
      </c>
      <c r="G1017" s="5" t="inlineStr">
        <is>
          <t>EUR</t>
        </is>
      </c>
      <c r="H1017" s="9" t="n">
        <v>-1843.04</v>
      </c>
      <c r="I1017" s="16" t="n">
        <v>45887</v>
      </c>
      <c r="J1017" s="16" t="n">
        <v>45917</v>
      </c>
      <c r="K1017" s="5" t="inlineStr">
        <is>
          <t>0657/25</t>
        </is>
      </c>
      <c r="L1017" s="5" t="inlineStr">
        <is>
          <t>4025006092</t>
        </is>
      </c>
      <c r="M1017" s="5">
        <f>IF(YEAR(I1017)&lt;=2020,"Até 2020",TEXT(YEAR(I1017),"0"))</f>
        <v/>
      </c>
      <c r="N1017" s="5">
        <f>IFERROR(INDEX(DePara!$A:$A,MATCH(TEXT(B1017,"0"),DePara!$D:$D,0)),"(sem categoria)")</f>
        <v/>
      </c>
      <c r="O1017" s="5">
        <f>IF(J1017="","",Parametros!$B$6-J1017)</f>
        <v/>
      </c>
      <c r="P1017" s="5">
        <f>IF(O1017="","",IF(O1017&gt;0,1,0))</f>
        <v/>
      </c>
    </row>
    <row r="1018">
      <c r="A1018" s="5" t="n">
        <v>2122100000</v>
      </c>
      <c r="B1018" s="5" t="inlineStr">
        <is>
          <t>IC4420</t>
        </is>
      </c>
      <c r="C1018" s="5" t="inlineStr">
        <is>
          <t>NORDEX ENERGY SPAIN S A U</t>
        </is>
      </c>
      <c r="D1018" s="5" t="inlineStr">
        <is>
          <t>RE</t>
        </is>
      </c>
      <c r="E1018" s="5" t="n">
        <v>5032137</v>
      </c>
      <c r="F1018" s="5" t="inlineStr">
        <is>
          <t>4025006180</t>
        </is>
      </c>
      <c r="G1018" s="5" t="inlineStr">
        <is>
          <t>EUR</t>
        </is>
      </c>
      <c r="H1018" s="9" t="n">
        <v>-12.51</v>
      </c>
      <c r="I1018" s="16" t="n">
        <v>45888</v>
      </c>
      <c r="J1018" s="16" t="n">
        <v>45918</v>
      </c>
      <c r="K1018" s="5" t="inlineStr">
        <is>
          <t>0660/25</t>
        </is>
      </c>
      <c r="L1018" s="5" t="inlineStr">
        <is>
          <t>4025006180</t>
        </is>
      </c>
      <c r="M1018" s="5">
        <f>IF(YEAR(I1018)&lt;=2020,"Até 2020",TEXT(YEAR(I1018),"0"))</f>
        <v/>
      </c>
      <c r="N1018" s="5">
        <f>IFERROR(INDEX(DePara!$A:$A,MATCH(TEXT(B1018,"0"),DePara!$D:$D,0)),"(sem categoria)")</f>
        <v/>
      </c>
      <c r="O1018" s="5">
        <f>IF(J1018="","",Parametros!$B$6-J1018)</f>
        <v/>
      </c>
      <c r="P1018" s="5">
        <f>IF(O1018="","",IF(O1018&gt;0,1,0))</f>
        <v/>
      </c>
    </row>
    <row r="1019">
      <c r="A1019" s="5" t="n">
        <v>2122100000</v>
      </c>
      <c r="B1019" s="5" t="inlineStr">
        <is>
          <t>IC4420</t>
        </is>
      </c>
      <c r="C1019" s="5" t="inlineStr">
        <is>
          <t>NORDEX ENERGY SPAIN S A U</t>
        </is>
      </c>
      <c r="D1019" s="5" t="inlineStr">
        <is>
          <t>RE</t>
        </is>
      </c>
      <c r="E1019" s="5" t="n">
        <v>5032138</v>
      </c>
      <c r="F1019" s="5" t="inlineStr">
        <is>
          <t>4025006242</t>
        </is>
      </c>
      <c r="G1019" s="5" t="inlineStr">
        <is>
          <t>EUR</t>
        </is>
      </c>
      <c r="H1019" s="9" t="n">
        <v>-4043.04</v>
      </c>
      <c r="I1019" s="16" t="n">
        <v>45894</v>
      </c>
      <c r="J1019" s="16" t="n">
        <v>45924</v>
      </c>
      <c r="K1019" s="5" t="inlineStr">
        <is>
          <t>0678/25</t>
        </is>
      </c>
      <c r="L1019" s="5" t="inlineStr">
        <is>
          <t>4025006242</t>
        </is>
      </c>
      <c r="M1019" s="5">
        <f>IF(YEAR(I1019)&lt;=2020,"Até 2020",TEXT(YEAR(I1019),"0"))</f>
        <v/>
      </c>
      <c r="N1019" s="5">
        <f>IFERROR(INDEX(DePara!$A:$A,MATCH(TEXT(B1019,"0"),DePara!$D:$D,0)),"(sem categoria)")</f>
        <v/>
      </c>
      <c r="O1019" s="5">
        <f>IF(J1019="","",Parametros!$B$6-J1019)</f>
        <v/>
      </c>
      <c r="P1019" s="5">
        <f>IF(O1019="","",IF(O1019&gt;0,1,0))</f>
        <v/>
      </c>
    </row>
    <row r="1020">
      <c r="A1020" s="5" t="n">
        <v>2122100000</v>
      </c>
      <c r="B1020" s="5" t="inlineStr">
        <is>
          <t>IC4420</t>
        </is>
      </c>
      <c r="C1020" s="5" t="inlineStr">
        <is>
          <t>NORDEX ENERGY SPAIN S A U</t>
        </is>
      </c>
      <c r="D1020" s="5" t="inlineStr">
        <is>
          <t>RE</t>
        </is>
      </c>
      <c r="E1020" s="5" t="n">
        <v>5032148</v>
      </c>
      <c r="F1020" s="5" t="inlineStr">
        <is>
          <t>4024003969</t>
        </is>
      </c>
      <c r="G1020" s="5" t="inlineStr">
        <is>
          <t>EUR</t>
        </is>
      </c>
      <c r="H1020" s="9" t="n">
        <v>-61001.2</v>
      </c>
      <c r="I1020" s="16" t="n">
        <v>45453</v>
      </c>
      <c r="J1020" s="16" t="n">
        <v>45483</v>
      </c>
      <c r="K1020" s="5" t="inlineStr">
        <is>
          <t>0403/24</t>
        </is>
      </c>
      <c r="L1020" s="5" t="inlineStr">
        <is>
          <t>4024003969</t>
        </is>
      </c>
      <c r="M1020" s="5">
        <f>IF(YEAR(I1020)&lt;=2020,"Até 2020",TEXT(YEAR(I1020),"0"))</f>
        <v/>
      </c>
      <c r="N1020" s="5">
        <f>IFERROR(INDEX(DePara!$A:$A,MATCH(TEXT(B1020,"0"),DePara!$D:$D,0)),"(sem categoria)")</f>
        <v/>
      </c>
      <c r="O1020" s="5">
        <f>IF(J1020="","",Parametros!$B$6-J1020)</f>
        <v/>
      </c>
      <c r="P1020" s="5">
        <f>IF(O1020="","",IF(O1020&gt;0,1,0))</f>
        <v/>
      </c>
    </row>
    <row r="1021">
      <c r="A1021" s="5" t="n">
        <v>2122100000</v>
      </c>
      <c r="B1021" s="5" t="inlineStr">
        <is>
          <t>IC4420</t>
        </is>
      </c>
      <c r="C1021" s="5" t="inlineStr">
        <is>
          <t>NORDEX ENERGY SPAIN S A U</t>
        </is>
      </c>
      <c r="D1021" s="5" t="inlineStr">
        <is>
          <t>RE</t>
        </is>
      </c>
      <c r="E1021" s="5" t="n">
        <v>5032163</v>
      </c>
      <c r="F1021" s="5" t="inlineStr">
        <is>
          <t>4025006243</t>
        </is>
      </c>
      <c r="G1021" s="5" t="inlineStr">
        <is>
          <t>EUR</t>
        </is>
      </c>
      <c r="H1021" s="9" t="n">
        <v>-5540.42</v>
      </c>
      <c r="I1021" s="16" t="n">
        <v>45894</v>
      </c>
      <c r="J1021" s="16" t="n">
        <v>45924</v>
      </c>
      <c r="K1021" s="5" t="inlineStr">
        <is>
          <t>0677/25</t>
        </is>
      </c>
      <c r="L1021" s="5" t="inlineStr">
        <is>
          <t>4025006243</t>
        </is>
      </c>
      <c r="M1021" s="5">
        <f>IF(YEAR(I1021)&lt;=2020,"Até 2020",TEXT(YEAR(I1021),"0"))</f>
        <v/>
      </c>
      <c r="N1021" s="5">
        <f>IFERROR(INDEX(DePara!$A:$A,MATCH(TEXT(B1021,"0"),DePara!$D:$D,0)),"(sem categoria)")</f>
        <v/>
      </c>
      <c r="O1021" s="5">
        <f>IF(J1021="","",Parametros!$B$6-J1021)</f>
        <v/>
      </c>
      <c r="P1021" s="5">
        <f>IF(O1021="","",IF(O1021&gt;0,1,0))</f>
        <v/>
      </c>
    </row>
    <row r="1022">
      <c r="A1022" s="5" t="n">
        <v>2122100000</v>
      </c>
      <c r="B1022" s="5" t="inlineStr">
        <is>
          <t>IC4420</t>
        </is>
      </c>
      <c r="C1022" s="5" t="inlineStr">
        <is>
          <t>NORDEX ENERGY SPAIN S A U</t>
        </is>
      </c>
      <c r="D1022" s="5" t="inlineStr">
        <is>
          <t>RE</t>
        </is>
      </c>
      <c r="E1022" s="5" t="n">
        <v>5032230</v>
      </c>
      <c r="F1022" s="5" t="inlineStr">
        <is>
          <t>4024004659</t>
        </is>
      </c>
      <c r="G1022" s="5" t="inlineStr">
        <is>
          <t>EUR</t>
        </is>
      </c>
      <c r="H1022" s="9" t="n">
        <v>-326058.75</v>
      </c>
      <c r="I1022" s="16" t="n">
        <v>45475</v>
      </c>
      <c r="J1022" s="16" t="n">
        <v>45535</v>
      </c>
      <c r="K1022" s="5" t="inlineStr">
        <is>
          <t>0586/24</t>
        </is>
      </c>
      <c r="L1022" s="5" t="inlineStr">
        <is>
          <t>4024004659</t>
        </is>
      </c>
      <c r="M1022" s="5">
        <f>IF(YEAR(I1022)&lt;=2020,"Até 2020",TEXT(YEAR(I1022),"0"))</f>
        <v/>
      </c>
      <c r="N1022" s="5">
        <f>IFERROR(INDEX(DePara!$A:$A,MATCH(TEXT(B1022,"0"),DePara!$D:$D,0)),"(sem categoria)")</f>
        <v/>
      </c>
      <c r="O1022" s="5">
        <f>IF(J1022="","",Parametros!$B$6-J1022)</f>
        <v/>
      </c>
      <c r="P1022" s="5">
        <f>IF(O1022="","",IF(O1022&gt;0,1,0))</f>
        <v/>
      </c>
    </row>
    <row r="1023">
      <c r="A1023" s="5" t="n">
        <v>2122100000</v>
      </c>
      <c r="B1023" s="5" t="inlineStr">
        <is>
          <t>IC1000</t>
        </is>
      </c>
      <c r="C1023" s="5" t="inlineStr">
        <is>
          <t>NORDEX ENERGY SE &amp; CO KG</t>
        </is>
      </c>
      <c r="D1023" s="5" t="inlineStr">
        <is>
          <t>RE</t>
        </is>
      </c>
      <c r="E1023" s="5" t="n">
        <v>5032458</v>
      </c>
      <c r="F1023" s="5" t="inlineStr">
        <is>
          <t>RITM0525652</t>
        </is>
      </c>
      <c r="G1023" s="5" t="inlineStr">
        <is>
          <t>EUR</t>
        </is>
      </c>
      <c r="H1023" s="9" t="n">
        <v>-2159019.17</v>
      </c>
      <c r="I1023" s="16" t="n">
        <v>45866</v>
      </c>
      <c r="J1023" s="16" t="n">
        <v>45896</v>
      </c>
      <c r="K1023" s="5" t="inlineStr">
        <is>
          <t>0654/25</t>
        </is>
      </c>
      <c r="L1023" s="5" t="inlineStr">
        <is>
          <t>RITM0525652</t>
        </is>
      </c>
      <c r="M1023" s="5">
        <f>IF(YEAR(I1023)&lt;=2020,"Até 2020",TEXT(YEAR(I1023),"0"))</f>
        <v/>
      </c>
      <c r="N1023" s="5">
        <f>IFERROR(INDEX(DePara!$A:$A,MATCH(TEXT(B1023,"0"),DePara!$D:$D,0)),"(sem categoria)")</f>
        <v/>
      </c>
      <c r="O1023" s="5">
        <f>IF(J1023="","",Parametros!$B$6-J1023)</f>
        <v/>
      </c>
      <c r="P1023" s="5">
        <f>IF(O1023="","",IF(O1023&gt;0,1,0))</f>
        <v/>
      </c>
    </row>
    <row r="1024">
      <c r="A1024" s="5" t="n">
        <v>2122100000</v>
      </c>
      <c r="B1024" s="5" t="inlineStr">
        <is>
          <t>IC1000</t>
        </is>
      </c>
      <c r="C1024" s="5" t="inlineStr">
        <is>
          <t>NORDEX ENERGY SE &amp; CO KG</t>
        </is>
      </c>
      <c r="D1024" s="5" t="inlineStr">
        <is>
          <t>RE</t>
        </is>
      </c>
      <c r="E1024" s="5" t="n">
        <v>5032460</v>
      </c>
      <c r="F1024" s="5" t="inlineStr">
        <is>
          <t>RITM0525662</t>
        </is>
      </c>
      <c r="G1024" s="5" t="inlineStr">
        <is>
          <t>EUR</t>
        </is>
      </c>
      <c r="H1024" s="9" t="n">
        <v>-2159019.17</v>
      </c>
      <c r="I1024" s="16" t="n">
        <v>45866</v>
      </c>
      <c r="J1024" s="16" t="n">
        <v>45896</v>
      </c>
      <c r="K1024" s="5" t="inlineStr">
        <is>
          <t>0654/25</t>
        </is>
      </c>
      <c r="L1024" s="5" t="inlineStr">
        <is>
          <t>RITM0525662</t>
        </is>
      </c>
      <c r="M1024" s="5">
        <f>IF(YEAR(I1024)&lt;=2020,"Até 2020",TEXT(YEAR(I1024),"0"))</f>
        <v/>
      </c>
      <c r="N1024" s="5">
        <f>IFERROR(INDEX(DePara!$A:$A,MATCH(TEXT(B1024,"0"),DePara!$D:$D,0)),"(sem categoria)")</f>
        <v/>
      </c>
      <c r="O1024" s="5">
        <f>IF(J1024="","",Parametros!$B$6-J1024)</f>
        <v/>
      </c>
      <c r="P1024" s="5">
        <f>IF(O1024="","",IF(O1024&gt;0,1,0))</f>
        <v/>
      </c>
    </row>
    <row r="1025">
      <c r="A1025" s="5" t="n">
        <v>2122100000</v>
      </c>
      <c r="B1025" s="5" t="inlineStr">
        <is>
          <t>IC4420</t>
        </is>
      </c>
      <c r="C1025" s="5" t="inlineStr">
        <is>
          <t>NORDEX ENERGY SPAIN S A U</t>
        </is>
      </c>
      <c r="D1025" s="5" t="inlineStr">
        <is>
          <t>RE</t>
        </is>
      </c>
      <c r="E1025" s="5" t="n">
        <v>5032465</v>
      </c>
      <c r="F1025" s="5" t="inlineStr">
        <is>
          <t>4025006310</t>
        </is>
      </c>
      <c r="G1025" s="5" t="inlineStr">
        <is>
          <t>EUR</t>
        </is>
      </c>
      <c r="H1025" s="9" t="n">
        <v>-139693.53</v>
      </c>
      <c r="I1025" s="16" t="n">
        <v>45896</v>
      </c>
      <c r="J1025" s="16" t="n">
        <v>45926</v>
      </c>
      <c r="K1025" s="5" t="inlineStr">
        <is>
          <t>0686/25</t>
        </is>
      </c>
      <c r="L1025" s="5" t="inlineStr">
        <is>
          <t>4025006310</t>
        </is>
      </c>
      <c r="M1025" s="5">
        <f>IF(YEAR(I1025)&lt;=2020,"Até 2020",TEXT(YEAR(I1025),"0"))</f>
        <v/>
      </c>
      <c r="N1025" s="5">
        <f>IFERROR(INDEX(DePara!$A:$A,MATCH(TEXT(B1025,"0"),DePara!$D:$D,0)),"(sem categoria)")</f>
        <v/>
      </c>
      <c r="O1025" s="5">
        <f>IF(J1025="","",Parametros!$B$6-J1025)</f>
        <v/>
      </c>
      <c r="P1025" s="5">
        <f>IF(O1025="","",IF(O1025&gt;0,1,0))</f>
        <v/>
      </c>
    </row>
    <row r="1026">
      <c r="A1026" s="5" t="n">
        <v>2122100000</v>
      </c>
      <c r="B1026" s="5" t="inlineStr">
        <is>
          <t>IC4420</t>
        </is>
      </c>
      <c r="C1026" s="5" t="inlineStr">
        <is>
          <t>NORDEX ENERGY SPAIN S A U</t>
        </is>
      </c>
      <c r="D1026" s="5" t="inlineStr">
        <is>
          <t>RE</t>
        </is>
      </c>
      <c r="E1026" s="5" t="n">
        <v>5032469</v>
      </c>
      <c r="F1026" s="5" t="inlineStr">
        <is>
          <t>4025006301</t>
        </is>
      </c>
      <c r="G1026" s="5" t="inlineStr">
        <is>
          <t>EUR</t>
        </is>
      </c>
      <c r="H1026" s="9" t="n">
        <v>-344591.33</v>
      </c>
      <c r="I1026" s="16" t="n">
        <v>45896</v>
      </c>
      <c r="J1026" s="16" t="n">
        <v>45926</v>
      </c>
      <c r="K1026" s="5" t="inlineStr">
        <is>
          <t>0685/25</t>
        </is>
      </c>
      <c r="L1026" s="5" t="inlineStr">
        <is>
          <t>4025006301</t>
        </is>
      </c>
      <c r="M1026" s="5">
        <f>IF(YEAR(I1026)&lt;=2020,"Até 2020",TEXT(YEAR(I1026),"0"))</f>
        <v/>
      </c>
      <c r="N1026" s="5">
        <f>IFERROR(INDEX(DePara!$A:$A,MATCH(TEXT(B1026,"0"),DePara!$D:$D,0)),"(sem categoria)")</f>
        <v/>
      </c>
      <c r="O1026" s="5">
        <f>IF(J1026="","",Parametros!$B$6-J1026)</f>
        <v/>
      </c>
      <c r="P1026" s="5">
        <f>IF(O1026="","",IF(O1026&gt;0,1,0))</f>
        <v/>
      </c>
    </row>
    <row r="1027">
      <c r="A1027" s="5" t="n">
        <v>2122100000</v>
      </c>
      <c r="B1027" s="5" t="inlineStr">
        <is>
          <t>IC4420</t>
        </is>
      </c>
      <c r="C1027" s="5" t="inlineStr">
        <is>
          <t>NORDEX ENERGY SPAIN S A U</t>
        </is>
      </c>
      <c r="D1027" s="5" t="inlineStr">
        <is>
          <t>RE</t>
        </is>
      </c>
      <c r="E1027" s="5" t="n">
        <v>5032491</v>
      </c>
      <c r="F1027" s="5" t="inlineStr">
        <is>
          <t>4025006309</t>
        </is>
      </c>
      <c r="G1027" s="5" t="inlineStr">
        <is>
          <t>EUR</t>
        </is>
      </c>
      <c r="H1027" s="9" t="n">
        <v>-7356.4</v>
      </c>
      <c r="I1027" s="16" t="n">
        <v>45896</v>
      </c>
      <c r="J1027" s="16" t="n">
        <v>45926</v>
      </c>
      <c r="K1027" s="5" t="inlineStr">
        <is>
          <t>0689/25</t>
        </is>
      </c>
      <c r="L1027" s="5" t="inlineStr">
        <is>
          <t>4025006309</t>
        </is>
      </c>
      <c r="M1027" s="5">
        <f>IF(YEAR(I1027)&lt;=2020,"Até 2020",TEXT(YEAR(I1027),"0"))</f>
        <v/>
      </c>
      <c r="N1027" s="5">
        <f>IFERROR(INDEX(DePara!$A:$A,MATCH(TEXT(B1027,"0"),DePara!$D:$D,0)),"(sem categoria)")</f>
        <v/>
      </c>
      <c r="O1027" s="5">
        <f>IF(J1027="","",Parametros!$B$6-J1027)</f>
        <v/>
      </c>
      <c r="P1027" s="5">
        <f>IF(O1027="","",IF(O1027&gt;0,1,0))</f>
        <v/>
      </c>
    </row>
    <row r="1028">
      <c r="A1028" s="5" t="n">
        <v>2122100000</v>
      </c>
      <c r="B1028" s="5" t="inlineStr">
        <is>
          <t>IC4420</t>
        </is>
      </c>
      <c r="C1028" s="5" t="inlineStr">
        <is>
          <t>NORDEX ENERGY SPAIN S A U</t>
        </is>
      </c>
      <c r="D1028" s="5" t="inlineStr">
        <is>
          <t>RE</t>
        </is>
      </c>
      <c r="E1028" s="5" t="n">
        <v>5032502</v>
      </c>
      <c r="F1028" s="5" t="inlineStr">
        <is>
          <t>4025006164</t>
        </is>
      </c>
      <c r="G1028" s="5" t="inlineStr">
        <is>
          <t>EUR</t>
        </is>
      </c>
      <c r="H1028" s="9" t="n">
        <v>-186.05</v>
      </c>
      <c r="I1028" s="16" t="n">
        <v>45888</v>
      </c>
      <c r="J1028" s="16" t="n">
        <v>45918</v>
      </c>
      <c r="K1028" s="5" t="inlineStr">
        <is>
          <t>0663/25</t>
        </is>
      </c>
      <c r="L1028" s="5" t="inlineStr">
        <is>
          <t>4025006164</t>
        </is>
      </c>
      <c r="M1028" s="5">
        <f>IF(YEAR(I1028)&lt;=2020,"Até 2020",TEXT(YEAR(I1028),"0"))</f>
        <v/>
      </c>
      <c r="N1028" s="5">
        <f>IFERROR(INDEX(DePara!$A:$A,MATCH(TEXT(B1028,"0"),DePara!$D:$D,0)),"(sem categoria)")</f>
        <v/>
      </c>
      <c r="O1028" s="5">
        <f>IF(J1028="","",Parametros!$B$6-J1028)</f>
        <v/>
      </c>
      <c r="P1028" s="5">
        <f>IF(O1028="","",IF(O1028&gt;0,1,0))</f>
        <v/>
      </c>
    </row>
    <row r="1029">
      <c r="A1029" s="5" t="n">
        <v>2122100000</v>
      </c>
      <c r="B1029" s="5" t="inlineStr">
        <is>
          <t>IC4420</t>
        </is>
      </c>
      <c r="C1029" s="5" t="inlineStr">
        <is>
          <t>NORDEX ENERGY SPAIN S A U</t>
        </is>
      </c>
      <c r="D1029" s="5" t="inlineStr">
        <is>
          <t>RE</t>
        </is>
      </c>
      <c r="E1029" s="5" t="n">
        <v>5032509</v>
      </c>
      <c r="F1029" s="5" t="inlineStr">
        <is>
          <t>4025006163</t>
        </is>
      </c>
      <c r="G1029" s="5" t="inlineStr">
        <is>
          <t>EUR</t>
        </is>
      </c>
      <c r="H1029" s="9" t="n">
        <v>-8129.23</v>
      </c>
      <c r="I1029" s="16" t="n">
        <v>45888</v>
      </c>
      <c r="J1029" s="16" t="n">
        <v>45918</v>
      </c>
      <c r="K1029" s="5" t="inlineStr">
        <is>
          <t>0661/25</t>
        </is>
      </c>
      <c r="L1029" s="5" t="inlineStr">
        <is>
          <t>4025006163</t>
        </is>
      </c>
      <c r="M1029" s="5">
        <f>IF(YEAR(I1029)&lt;=2020,"Até 2020",TEXT(YEAR(I1029),"0"))</f>
        <v/>
      </c>
      <c r="N1029" s="5">
        <f>IFERROR(INDEX(DePara!$A:$A,MATCH(TEXT(B1029,"0"),DePara!$D:$D,0)),"(sem categoria)")</f>
        <v/>
      </c>
      <c r="O1029" s="5">
        <f>IF(J1029="","",Parametros!$B$6-J1029)</f>
        <v/>
      </c>
      <c r="P1029" s="5">
        <f>IF(O1029="","",IF(O1029&gt;0,1,0))</f>
        <v/>
      </c>
    </row>
    <row r="1030">
      <c r="A1030" s="5" t="n">
        <v>2122100000</v>
      </c>
      <c r="B1030" s="5" t="inlineStr">
        <is>
          <t>IC4420</t>
        </is>
      </c>
      <c r="C1030" s="5" t="inlineStr">
        <is>
          <t>NORDEX ENERGY SPAIN S A U</t>
        </is>
      </c>
      <c r="D1030" s="5" t="inlineStr">
        <is>
          <t>RE</t>
        </is>
      </c>
      <c r="E1030" s="5" t="n">
        <v>5032510</v>
      </c>
      <c r="F1030" s="5" t="inlineStr">
        <is>
          <t>4025005914</t>
        </is>
      </c>
      <c r="G1030" s="5" t="inlineStr">
        <is>
          <t>EUR</t>
        </is>
      </c>
      <c r="H1030" s="9" t="n">
        <v>-117739.45</v>
      </c>
      <c r="I1030" s="16" t="n">
        <v>45877</v>
      </c>
      <c r="J1030" s="16" t="n">
        <v>45907</v>
      </c>
      <c r="K1030" s="5" t="inlineStr">
        <is>
          <t>0653/25</t>
        </is>
      </c>
      <c r="L1030" s="5" t="inlineStr">
        <is>
          <t>4025005914</t>
        </is>
      </c>
      <c r="M1030" s="5">
        <f>IF(YEAR(I1030)&lt;=2020,"Até 2020",TEXT(YEAR(I1030),"0"))</f>
        <v/>
      </c>
      <c r="N1030" s="5">
        <f>IFERROR(INDEX(DePara!$A:$A,MATCH(TEXT(B1030,"0"),DePara!$D:$D,0)),"(sem categoria)")</f>
        <v/>
      </c>
      <c r="O1030" s="5">
        <f>IF(J1030="","",Parametros!$B$6-J1030)</f>
        <v/>
      </c>
      <c r="P1030" s="5">
        <f>IF(O1030="","",IF(O1030&gt;0,1,0))</f>
        <v/>
      </c>
    </row>
    <row r="1031">
      <c r="A1031" s="5" t="n">
        <v>2122100000</v>
      </c>
      <c r="B1031" s="5" t="inlineStr">
        <is>
          <t>IC4420</t>
        </is>
      </c>
      <c r="C1031" s="5" t="inlineStr">
        <is>
          <t>NORDEX ENERGY SPAIN S A U</t>
        </is>
      </c>
      <c r="D1031" s="5" t="inlineStr">
        <is>
          <t>RE</t>
        </is>
      </c>
      <c r="E1031" s="5" t="n">
        <v>5032512</v>
      </c>
      <c r="F1031" s="5" t="inlineStr">
        <is>
          <t>4025006162</t>
        </is>
      </c>
      <c r="G1031" s="5" t="inlineStr">
        <is>
          <t>EUR</t>
        </is>
      </c>
      <c r="H1031" s="9" t="n">
        <v>-170534.43</v>
      </c>
      <c r="I1031" s="16" t="n">
        <v>45888</v>
      </c>
      <c r="J1031" s="16" t="n">
        <v>45918</v>
      </c>
      <c r="K1031" s="5" t="inlineStr">
        <is>
          <t>0662/25</t>
        </is>
      </c>
      <c r="L1031" s="5" t="inlineStr">
        <is>
          <t>4025006162</t>
        </is>
      </c>
      <c r="M1031" s="5">
        <f>IF(YEAR(I1031)&lt;=2020,"Até 2020",TEXT(YEAR(I1031),"0"))</f>
        <v/>
      </c>
      <c r="N1031" s="5">
        <f>IFERROR(INDEX(DePara!$A:$A,MATCH(TEXT(B1031,"0"),DePara!$D:$D,0)),"(sem categoria)")</f>
        <v/>
      </c>
      <c r="O1031" s="5">
        <f>IF(J1031="","",Parametros!$B$6-J1031)</f>
        <v/>
      </c>
      <c r="P1031" s="5">
        <f>IF(O1031="","",IF(O1031&gt;0,1,0))</f>
        <v/>
      </c>
    </row>
    <row r="1032">
      <c r="A1032" s="5" t="n">
        <v>2122100000</v>
      </c>
      <c r="B1032" s="5" t="inlineStr">
        <is>
          <t>IC1000</t>
        </is>
      </c>
      <c r="C1032" s="5" t="inlineStr">
        <is>
          <t>NORDEX ENERGY SE &amp; CO KG</t>
        </is>
      </c>
      <c r="D1032" s="5" t="inlineStr">
        <is>
          <t>RE</t>
        </is>
      </c>
      <c r="E1032" s="5" t="n">
        <v>5032514</v>
      </c>
      <c r="F1032" s="5" t="inlineStr">
        <is>
          <t>357394</t>
        </is>
      </c>
      <c r="G1032" s="5" t="inlineStr">
        <is>
          <t>EUR</t>
        </is>
      </c>
      <c r="H1032" s="9" t="n">
        <v>-45055</v>
      </c>
      <c r="I1032" s="16" t="n">
        <v>45883</v>
      </c>
      <c r="J1032" s="16" t="n">
        <v>45913</v>
      </c>
      <c r="K1032" s="5" t="inlineStr">
        <is>
          <t>0656/25</t>
        </is>
      </c>
      <c r="L1032" s="5" t="inlineStr">
        <is>
          <t>357394</t>
        </is>
      </c>
      <c r="M1032" s="5">
        <f>IF(YEAR(I1032)&lt;=2020,"Até 2020",TEXT(YEAR(I1032),"0"))</f>
        <v/>
      </c>
      <c r="N1032" s="5">
        <f>IFERROR(INDEX(DePara!$A:$A,MATCH(TEXT(B1032,"0"),DePara!$D:$D,0)),"(sem categoria)")</f>
        <v/>
      </c>
      <c r="O1032" s="5">
        <f>IF(J1032="","",Parametros!$B$6-J1032)</f>
        <v/>
      </c>
      <c r="P1032" s="5">
        <f>IF(O1032="","",IF(O1032&gt;0,1,0))</f>
        <v/>
      </c>
    </row>
    <row r="1033">
      <c r="A1033" s="5" t="n">
        <v>2122100000</v>
      </c>
      <c r="B1033" s="5" t="inlineStr">
        <is>
          <t>IC4420</t>
        </is>
      </c>
      <c r="C1033" s="5" t="inlineStr">
        <is>
          <t>NORDEX ENERGY SPAIN S A U</t>
        </is>
      </c>
      <c r="D1033" s="5" t="inlineStr">
        <is>
          <t>RE</t>
        </is>
      </c>
      <c r="E1033" s="5" t="n">
        <v>5032516</v>
      </c>
      <c r="F1033" s="5" t="inlineStr">
        <is>
          <t>4025005912</t>
        </is>
      </c>
      <c r="G1033" s="5" t="inlineStr">
        <is>
          <t>EUR</t>
        </is>
      </c>
      <c r="H1033" s="9" t="n">
        <v>-30654.38</v>
      </c>
      <c r="I1033" s="16" t="n">
        <v>45877</v>
      </c>
      <c r="J1033" s="16" t="n">
        <v>45907</v>
      </c>
      <c r="K1033" s="5" t="inlineStr">
        <is>
          <t>0659/25</t>
        </is>
      </c>
      <c r="L1033" s="5" t="inlineStr">
        <is>
          <t>4025005912</t>
        </is>
      </c>
      <c r="M1033" s="5">
        <f>IF(YEAR(I1033)&lt;=2020,"Até 2020",TEXT(YEAR(I1033),"0"))</f>
        <v/>
      </c>
      <c r="N1033" s="5">
        <f>IFERROR(INDEX(DePara!$A:$A,MATCH(TEXT(B1033,"0"),DePara!$D:$D,0)),"(sem categoria)")</f>
        <v/>
      </c>
      <c r="O1033" s="5">
        <f>IF(J1033="","",Parametros!$B$6-J1033)</f>
        <v/>
      </c>
      <c r="P1033" s="5">
        <f>IF(O1033="","",IF(O1033&gt;0,1,0))</f>
        <v/>
      </c>
    </row>
    <row r="1034">
      <c r="A1034" s="5" t="n">
        <v>2122100000</v>
      </c>
      <c r="B1034" s="5" t="inlineStr">
        <is>
          <t>IC4420</t>
        </is>
      </c>
      <c r="C1034" s="5" t="inlineStr">
        <is>
          <t>NORDEX ENERGY SPAIN S A U</t>
        </is>
      </c>
      <c r="D1034" s="5" t="inlineStr">
        <is>
          <t>RE</t>
        </is>
      </c>
      <c r="E1034" s="5" t="n">
        <v>5032541</v>
      </c>
      <c r="F1034" s="5" t="inlineStr">
        <is>
          <t>4025006306</t>
        </is>
      </c>
      <c r="G1034" s="5" t="inlineStr">
        <is>
          <t>EUR</t>
        </is>
      </c>
      <c r="H1034" s="9" t="n">
        <v>-580822.74</v>
      </c>
      <c r="I1034" s="16" t="n">
        <v>45896</v>
      </c>
      <c r="J1034" s="16" t="n">
        <v>45926</v>
      </c>
      <c r="K1034" s="5" t="inlineStr">
        <is>
          <t>0687/25</t>
        </is>
      </c>
      <c r="L1034" s="5" t="inlineStr">
        <is>
          <t>4025006306</t>
        </is>
      </c>
      <c r="M1034" s="5">
        <f>IF(YEAR(I1034)&lt;=2020,"Até 2020",TEXT(YEAR(I1034),"0"))</f>
        <v/>
      </c>
      <c r="N1034" s="5">
        <f>IFERROR(INDEX(DePara!$A:$A,MATCH(TEXT(B1034,"0"),DePara!$D:$D,0)),"(sem categoria)")</f>
        <v/>
      </c>
      <c r="O1034" s="5">
        <f>IF(J1034="","",Parametros!$B$6-J1034)</f>
        <v/>
      </c>
      <c r="P1034" s="5">
        <f>IF(O1034="","",IF(O1034&gt;0,1,0))</f>
        <v/>
      </c>
    </row>
    <row r="1035">
      <c r="A1035" s="5" t="n">
        <v>2122100000</v>
      </c>
      <c r="B1035" s="5" t="inlineStr">
        <is>
          <t>IC4420</t>
        </is>
      </c>
      <c r="C1035" s="5" t="inlineStr">
        <is>
          <t>NORDEX ENERGY SPAIN S A U</t>
        </is>
      </c>
      <c r="D1035" s="5" t="inlineStr">
        <is>
          <t>RE</t>
        </is>
      </c>
      <c r="E1035" s="5" t="n">
        <v>5032548</v>
      </c>
      <c r="F1035" s="5" t="inlineStr">
        <is>
          <t>4024005121</t>
        </is>
      </c>
      <c r="G1035" s="5" t="inlineStr">
        <is>
          <t>EUR</t>
        </is>
      </c>
      <c r="H1035" s="9" t="n">
        <v>-23135.12</v>
      </c>
      <c r="I1035" s="16" t="n">
        <v>45502</v>
      </c>
      <c r="J1035" s="16" t="n">
        <v>45562</v>
      </c>
      <c r="K1035" s="5" t="inlineStr">
        <is>
          <t>0605/24</t>
        </is>
      </c>
      <c r="L1035" s="5" t="inlineStr">
        <is>
          <t>4024005121</t>
        </is>
      </c>
      <c r="M1035" s="5">
        <f>IF(YEAR(I1035)&lt;=2020,"Até 2020",TEXT(YEAR(I1035),"0"))</f>
        <v/>
      </c>
      <c r="N1035" s="5">
        <f>IFERROR(INDEX(DePara!$A:$A,MATCH(TEXT(B1035,"0"),DePara!$D:$D,0)),"(sem categoria)")</f>
        <v/>
      </c>
      <c r="O1035" s="5">
        <f>IF(J1035="","",Parametros!$B$6-J1035)</f>
        <v/>
      </c>
      <c r="P1035" s="5">
        <f>IF(O1035="","",IF(O1035&gt;0,1,0))</f>
        <v/>
      </c>
    </row>
    <row r="1036">
      <c r="A1036" s="5" t="n">
        <v>2122100000</v>
      </c>
      <c r="B1036" s="5" t="inlineStr">
        <is>
          <t>IC4420</t>
        </is>
      </c>
      <c r="C1036" s="5" t="inlineStr">
        <is>
          <t>NORDEX ENERGY SPAIN S A U</t>
        </is>
      </c>
      <c r="D1036" s="5" t="inlineStr">
        <is>
          <t>RE</t>
        </is>
      </c>
      <c r="E1036" s="5" t="n">
        <v>5032579</v>
      </c>
      <c r="F1036" s="5" t="inlineStr">
        <is>
          <t>4023000361</t>
        </is>
      </c>
      <c r="G1036" s="5" t="inlineStr">
        <is>
          <t>EUR</t>
        </is>
      </c>
      <c r="H1036" s="9" t="n">
        <v>-4831.75</v>
      </c>
      <c r="I1036" s="16" t="n">
        <v>44956</v>
      </c>
      <c r="J1036" s="16" t="n">
        <v>44986</v>
      </c>
      <c r="K1036" s="5" t="inlineStr">
        <is>
          <t>0637/23</t>
        </is>
      </c>
      <c r="L1036" s="5" t="inlineStr">
        <is>
          <t>4023000361</t>
        </is>
      </c>
      <c r="M1036" s="5">
        <f>IF(YEAR(I1036)&lt;=2020,"Até 2020",TEXT(YEAR(I1036),"0"))</f>
        <v/>
      </c>
      <c r="N1036" s="5">
        <f>IFERROR(INDEX(DePara!$A:$A,MATCH(TEXT(B1036,"0"),DePara!$D:$D,0)),"(sem categoria)")</f>
        <v/>
      </c>
      <c r="O1036" s="5">
        <f>IF(J1036="","",Parametros!$B$6-J1036)</f>
        <v/>
      </c>
      <c r="P1036" s="5">
        <f>IF(O1036="","",IF(O1036&gt;0,1,0))</f>
        <v/>
      </c>
    </row>
    <row r="1037">
      <c r="A1037" s="5" t="n">
        <v>2122100000</v>
      </c>
      <c r="B1037" s="5" t="inlineStr">
        <is>
          <t>IC4420</t>
        </is>
      </c>
      <c r="C1037" s="5" t="inlineStr">
        <is>
          <t>NORDEX ENERGY SPAIN S A U</t>
        </is>
      </c>
      <c r="D1037" s="5" t="inlineStr">
        <is>
          <t>RE</t>
        </is>
      </c>
      <c r="E1037" s="5" t="n">
        <v>5032597</v>
      </c>
      <c r="F1037" s="5" t="inlineStr">
        <is>
          <t>4018000151</t>
        </is>
      </c>
      <c r="G1037" s="5" t="inlineStr">
        <is>
          <t>EUR</t>
        </is>
      </c>
      <c r="H1037" s="9" t="n">
        <v>-38386.72</v>
      </c>
      <c r="I1037" s="16" t="n">
        <v>45482</v>
      </c>
      <c r="J1037" s="16" t="n">
        <v>45512</v>
      </c>
      <c r="K1037" s="5" t="inlineStr">
        <is>
          <t>0566/24</t>
        </is>
      </c>
      <c r="L1037" s="5" t="inlineStr">
        <is>
          <t>4018000151</t>
        </is>
      </c>
      <c r="M1037" s="5">
        <f>IF(YEAR(I1037)&lt;=2020,"Até 2020",TEXT(YEAR(I1037),"0"))</f>
        <v/>
      </c>
      <c r="N1037" s="5">
        <f>IFERROR(INDEX(DePara!$A:$A,MATCH(TEXT(B1037,"0"),DePara!$D:$D,0)),"(sem categoria)")</f>
        <v/>
      </c>
      <c r="O1037" s="5">
        <f>IF(J1037="","",Parametros!$B$6-J1037)</f>
        <v/>
      </c>
      <c r="P1037" s="5">
        <f>IF(O1037="","",IF(O1037&gt;0,1,0))</f>
        <v/>
      </c>
    </row>
    <row r="1038">
      <c r="A1038" s="5" t="n">
        <v>2122100000</v>
      </c>
      <c r="B1038" s="5" t="inlineStr">
        <is>
          <t>IC1000</t>
        </is>
      </c>
      <c r="C1038" s="5" t="inlineStr">
        <is>
          <t>NORDEX ENERGY SE &amp; CO KG</t>
        </is>
      </c>
      <c r="D1038" s="5" t="inlineStr">
        <is>
          <t>RE</t>
        </is>
      </c>
      <c r="E1038" s="5" t="n">
        <v>5032737</v>
      </c>
      <c r="F1038" s="5" t="inlineStr">
        <is>
          <t>RITM0523906/3525</t>
        </is>
      </c>
      <c r="G1038" s="5" t="inlineStr">
        <is>
          <t>EUR</t>
        </is>
      </c>
      <c r="H1038" s="9" t="n">
        <v>-2370141.48</v>
      </c>
      <c r="I1038" s="16" t="n">
        <v>45852</v>
      </c>
      <c r="J1038" s="16" t="n">
        <v>45882</v>
      </c>
      <c r="K1038" s="5" t="inlineStr">
        <is>
          <t>0607/25</t>
        </is>
      </c>
      <c r="L1038" s="5" t="inlineStr">
        <is>
          <t>RITM0523906/352548</t>
        </is>
      </c>
      <c r="M1038" s="5">
        <f>IF(YEAR(I1038)&lt;=2020,"Até 2020",TEXT(YEAR(I1038),"0"))</f>
        <v/>
      </c>
      <c r="N1038" s="5">
        <f>IFERROR(INDEX(DePara!$A:$A,MATCH(TEXT(B1038,"0"),DePara!$D:$D,0)),"(sem categoria)")</f>
        <v/>
      </c>
      <c r="O1038" s="5">
        <f>IF(J1038="","",Parametros!$B$6-J1038)</f>
        <v/>
      </c>
      <c r="P1038" s="5">
        <f>IF(O1038="","",IF(O1038&gt;0,1,0))</f>
        <v/>
      </c>
    </row>
    <row r="1039">
      <c r="A1039" s="5" t="n">
        <v>2122100000</v>
      </c>
      <c r="B1039" s="5" t="inlineStr">
        <is>
          <t>IC1000</t>
        </is>
      </c>
      <c r="C1039" s="5" t="inlineStr">
        <is>
          <t>NORDEX ENERGY SE &amp; CO KG</t>
        </is>
      </c>
      <c r="D1039" s="5" t="inlineStr">
        <is>
          <t>KR</t>
        </is>
      </c>
      <c r="E1039" s="5" t="n">
        <v>5032872</v>
      </c>
      <c r="F1039" s="5" t="inlineStr">
        <is>
          <t>623020</t>
        </is>
      </c>
      <c r="G1039" s="5" t="inlineStr">
        <is>
          <t>EUR</t>
        </is>
      </c>
      <c r="H1039" s="9" t="n">
        <v>-232435.58</v>
      </c>
      <c r="I1039" s="16" t="n">
        <v>45915</v>
      </c>
      <c r="J1039" s="16" t="n">
        <v>45945</v>
      </c>
      <c r="K1039" s="5" t="inlineStr">
        <is>
          <t>Fatura do fornecedor NORDEX ENERGY SE &amp; CO KG 6230</t>
        </is>
      </c>
      <c r="L1039" s="5" t="n"/>
      <c r="M1039" s="5">
        <f>IF(YEAR(I1039)&lt;=2020,"Até 2020",TEXT(YEAR(I1039),"0"))</f>
        <v/>
      </c>
      <c r="N1039" s="5">
        <f>IFERROR(INDEX(DePara!$A:$A,MATCH(TEXT(B1039,"0"),DePara!$D:$D,0)),"(sem categoria)")</f>
        <v/>
      </c>
      <c r="O1039" s="5">
        <f>IF(J1039="","",Parametros!$B$6-J1039)</f>
        <v/>
      </c>
      <c r="P1039" s="5">
        <f>IF(O1039="","",IF(O1039&gt;0,1,0))</f>
        <v/>
      </c>
    </row>
    <row r="1040">
      <c r="A1040" s="5" t="n">
        <v>2122100000</v>
      </c>
      <c r="B1040" s="5" t="inlineStr">
        <is>
          <t>IC4420</t>
        </is>
      </c>
      <c r="C1040" s="5" t="inlineStr">
        <is>
          <t>NORDEX ENERGY SPAIN S A U</t>
        </is>
      </c>
      <c r="D1040" s="5" t="inlineStr">
        <is>
          <t>RE</t>
        </is>
      </c>
      <c r="E1040" s="5" t="n">
        <v>5032879</v>
      </c>
      <c r="F1040" s="5" t="inlineStr">
        <is>
          <t>4024004474</t>
        </is>
      </c>
      <c r="G1040" s="5" t="inlineStr">
        <is>
          <t>EUR</t>
        </is>
      </c>
      <c r="H1040" s="9" t="n">
        <v>-70410.72</v>
      </c>
      <c r="I1040" s="16" t="n">
        <v>45468</v>
      </c>
      <c r="J1040" s="16" t="n">
        <v>45498</v>
      </c>
      <c r="K1040" s="5" t="inlineStr">
        <is>
          <t>0498/24</t>
        </is>
      </c>
      <c r="L1040" s="5" t="inlineStr">
        <is>
          <t>4024004474</t>
        </is>
      </c>
      <c r="M1040" s="5">
        <f>IF(YEAR(I1040)&lt;=2020,"Até 2020",TEXT(YEAR(I1040),"0"))</f>
        <v/>
      </c>
      <c r="N1040" s="5">
        <f>IFERROR(INDEX(DePara!$A:$A,MATCH(TEXT(B1040,"0"),DePara!$D:$D,0)),"(sem categoria)")</f>
        <v/>
      </c>
      <c r="O1040" s="5">
        <f>IF(J1040="","",Parametros!$B$6-J1040)</f>
        <v/>
      </c>
      <c r="P1040" s="5">
        <f>IF(O1040="","",IF(O1040&gt;0,1,0))</f>
        <v/>
      </c>
    </row>
    <row r="1041">
      <c r="A1041" s="5" t="n">
        <v>2122100000</v>
      </c>
      <c r="B1041" s="5" t="inlineStr">
        <is>
          <t>IC1000</t>
        </is>
      </c>
      <c r="C1041" s="5" t="inlineStr">
        <is>
          <t>NORDEX ENERGY SE &amp; CO KG</t>
        </is>
      </c>
      <c r="D1041" s="5" t="inlineStr">
        <is>
          <t>KR</t>
        </is>
      </c>
      <c r="E1041" s="5" t="n">
        <v>5032897</v>
      </c>
      <c r="F1041" s="5" t="inlineStr">
        <is>
          <t>623001</t>
        </is>
      </c>
      <c r="G1041" s="5" t="inlineStr">
        <is>
          <t>EUR</t>
        </is>
      </c>
      <c r="H1041" s="9" t="n">
        <v>-1225074.99</v>
      </c>
      <c r="I1041" s="16" t="n">
        <v>45911</v>
      </c>
      <c r="J1041" s="16" t="n">
        <v>45941</v>
      </c>
      <c r="K1041" s="5" t="inlineStr">
        <is>
          <t>Fatura do fornecedor NORDEX ENERGY SE &amp; CO KG 6230</t>
        </is>
      </c>
      <c r="L1041" s="5" t="n"/>
      <c r="M1041" s="5">
        <f>IF(YEAR(I1041)&lt;=2020,"Até 2020",TEXT(YEAR(I1041),"0"))</f>
        <v/>
      </c>
      <c r="N1041" s="5">
        <f>IFERROR(INDEX(DePara!$A:$A,MATCH(TEXT(B1041,"0"),DePara!$D:$D,0)),"(sem categoria)")</f>
        <v/>
      </c>
      <c r="O1041" s="5">
        <f>IF(J1041="","",Parametros!$B$6-J1041)</f>
        <v/>
      </c>
      <c r="P1041" s="5">
        <f>IF(O1041="","",IF(O1041&gt;0,1,0))</f>
        <v/>
      </c>
    </row>
    <row r="1042">
      <c r="A1042" s="5" t="n">
        <v>2122100000</v>
      </c>
      <c r="B1042" s="5" t="inlineStr">
        <is>
          <t>IC5000</t>
        </is>
      </c>
      <c r="C1042" s="5" t="inlineStr">
        <is>
          <t>NORDEX SE</t>
        </is>
      </c>
      <c r="D1042" s="5" t="inlineStr">
        <is>
          <t>KR</t>
        </is>
      </c>
      <c r="E1042" s="5" t="n">
        <v>5032913</v>
      </c>
      <c r="F1042" s="5" t="inlineStr">
        <is>
          <t>609854</t>
        </is>
      </c>
      <c r="G1042" s="5" t="inlineStr">
        <is>
          <t>EUR</t>
        </is>
      </c>
      <c r="H1042" s="9" t="n">
        <v>-10384177.2</v>
      </c>
      <c r="I1042" s="16" t="n">
        <v>45916</v>
      </c>
      <c r="J1042" s="16" t="n">
        <v>45916</v>
      </c>
      <c r="K1042" s="5" t="inlineStr">
        <is>
          <t>Fatura do fornecedor NORDEX SE 609854</t>
        </is>
      </c>
      <c r="L1042" s="5" t="n"/>
      <c r="M1042" s="5">
        <f>IF(YEAR(I1042)&lt;=2020,"Até 2020",TEXT(YEAR(I1042),"0"))</f>
        <v/>
      </c>
      <c r="N1042" s="5">
        <f>IFERROR(INDEX(DePara!$A:$A,MATCH(TEXT(B1042,"0"),DePara!$D:$D,0)),"(sem categoria)")</f>
        <v/>
      </c>
      <c r="O1042" s="5">
        <f>IF(J1042="","",Parametros!$B$6-J1042)</f>
        <v/>
      </c>
      <c r="P1042" s="5">
        <f>IF(O1042="","",IF(O1042&gt;0,1,0))</f>
        <v/>
      </c>
    </row>
    <row r="1043">
      <c r="A1043" s="5" t="n">
        <v>2122100000</v>
      </c>
      <c r="B1043" s="5" t="inlineStr">
        <is>
          <t>IC5000</t>
        </is>
      </c>
      <c r="C1043" s="5" t="inlineStr">
        <is>
          <t>NORDEX SE</t>
        </is>
      </c>
      <c r="D1043" s="5" t="inlineStr">
        <is>
          <t>KR</t>
        </is>
      </c>
      <c r="E1043" s="5" t="n">
        <v>5033312</v>
      </c>
      <c r="F1043" s="5" t="inlineStr">
        <is>
          <t>609965</t>
        </is>
      </c>
      <c r="G1043" s="5" t="inlineStr">
        <is>
          <t>EUR</t>
        </is>
      </c>
      <c r="H1043" s="9" t="n">
        <v>-5379674.75</v>
      </c>
      <c r="I1043" s="16" t="n">
        <v>45919</v>
      </c>
      <c r="J1043" s="16" t="n">
        <v>45919</v>
      </c>
      <c r="K1043" s="5" t="inlineStr">
        <is>
          <t>Fatura do fornecedor NORDEX SE 609965</t>
        </is>
      </c>
      <c r="L1043" s="5" t="n"/>
      <c r="M1043" s="5">
        <f>IF(YEAR(I1043)&lt;=2020,"Até 2020",TEXT(YEAR(I1043),"0"))</f>
        <v/>
      </c>
      <c r="N1043" s="5">
        <f>IFERROR(INDEX(DePara!$A:$A,MATCH(TEXT(B1043,"0"),DePara!$D:$D,0)),"(sem categoria)")</f>
        <v/>
      </c>
      <c r="O1043" s="5">
        <f>IF(J1043="","",Parametros!$B$6-J1043)</f>
        <v/>
      </c>
      <c r="P1043" s="5">
        <f>IF(O1043="","",IF(O1043&gt;0,1,0))</f>
        <v/>
      </c>
    </row>
    <row r="1044">
      <c r="A1044" s="5" t="n">
        <v>2122100000</v>
      </c>
      <c r="B1044" s="5" t="inlineStr">
        <is>
          <t>IC5000</t>
        </is>
      </c>
      <c r="C1044" s="5" t="inlineStr">
        <is>
          <t>NORDEX SE</t>
        </is>
      </c>
      <c r="D1044" s="5" t="inlineStr">
        <is>
          <t>KR</t>
        </is>
      </c>
      <c r="E1044" s="5" t="n">
        <v>5033325</v>
      </c>
      <c r="F1044" s="5" t="inlineStr">
        <is>
          <t>609815</t>
        </is>
      </c>
      <c r="G1044" s="5" t="inlineStr">
        <is>
          <t>EUR</t>
        </is>
      </c>
      <c r="H1044" s="9" t="n">
        <v>-11392431.3</v>
      </c>
      <c r="I1044" s="16" t="n">
        <v>45915</v>
      </c>
      <c r="J1044" s="16" t="n">
        <v>45915</v>
      </c>
      <c r="K1044" s="5" t="inlineStr">
        <is>
          <t>Fatura do fornecedor NORDEX SE 609815</t>
        </is>
      </c>
      <c r="L1044" s="5" t="n"/>
      <c r="M1044" s="5">
        <f>IF(YEAR(I1044)&lt;=2020,"Até 2020",TEXT(YEAR(I1044),"0"))</f>
        <v/>
      </c>
      <c r="N1044" s="5">
        <f>IFERROR(INDEX(DePara!$A:$A,MATCH(TEXT(B1044,"0"),DePara!$D:$D,0)),"(sem categoria)")</f>
        <v/>
      </c>
      <c r="O1044" s="5">
        <f>IF(J1044="","",Parametros!$B$6-J1044)</f>
        <v/>
      </c>
      <c r="P1044" s="5">
        <f>IF(O1044="","",IF(O1044&gt;0,1,0))</f>
        <v/>
      </c>
    </row>
    <row r="1045">
      <c r="A1045" s="5" t="n">
        <v>2122100000</v>
      </c>
      <c r="B1045" s="5" t="inlineStr">
        <is>
          <t>IC5000</t>
        </is>
      </c>
      <c r="C1045" s="5" t="inlineStr">
        <is>
          <t>NORDEX SE</t>
        </is>
      </c>
      <c r="D1045" s="5" t="inlineStr">
        <is>
          <t>KR</t>
        </is>
      </c>
      <c r="E1045" s="5" t="n">
        <v>5033326</v>
      </c>
      <c r="F1045" s="5" t="inlineStr">
        <is>
          <t>609776</t>
        </is>
      </c>
      <c r="G1045" s="5" t="inlineStr">
        <is>
          <t>EUR</t>
        </is>
      </c>
      <c r="H1045" s="9" t="n">
        <v>-12562672.57</v>
      </c>
      <c r="I1045" s="16" t="n">
        <v>45915</v>
      </c>
      <c r="J1045" s="16" t="n">
        <v>45915</v>
      </c>
      <c r="K1045" s="5" t="inlineStr">
        <is>
          <t>Fatura do fornecedor NORDEX SE 609776</t>
        </is>
      </c>
      <c r="L1045" s="5" t="n"/>
      <c r="M1045" s="5">
        <f>IF(YEAR(I1045)&lt;=2020,"Até 2020",TEXT(YEAR(I1045),"0"))</f>
        <v/>
      </c>
      <c r="N1045" s="5">
        <f>IFERROR(INDEX(DePara!$A:$A,MATCH(TEXT(B1045,"0"),DePara!$D:$D,0)),"(sem categoria)")</f>
        <v/>
      </c>
      <c r="O1045" s="5">
        <f>IF(J1045="","",Parametros!$B$6-J1045)</f>
        <v/>
      </c>
      <c r="P1045" s="5">
        <f>IF(O1045="","",IF(O1045&gt;0,1,0))</f>
        <v/>
      </c>
    </row>
    <row r="1046">
      <c r="A1046" s="5" t="n">
        <v>2122100000</v>
      </c>
      <c r="B1046" s="5" t="inlineStr">
        <is>
          <t>IC1000</t>
        </is>
      </c>
      <c r="C1046" s="5" t="inlineStr">
        <is>
          <t>NORDEX ENERGY SE &amp; CO KG</t>
        </is>
      </c>
      <c r="D1046" s="5" t="inlineStr">
        <is>
          <t>KR</t>
        </is>
      </c>
      <c r="E1046" s="5" t="n">
        <v>5033329</v>
      </c>
      <c r="F1046" s="5" t="inlineStr">
        <is>
          <t>623123</t>
        </is>
      </c>
      <c r="G1046" s="5" t="inlineStr">
        <is>
          <t>EUR</t>
        </is>
      </c>
      <c r="H1046" s="9" t="n">
        <v>-12988548.04</v>
      </c>
      <c r="I1046" s="16" t="n">
        <v>45922</v>
      </c>
      <c r="J1046" s="16" t="n">
        <v>45952</v>
      </c>
      <c r="K1046" s="5" t="inlineStr">
        <is>
          <t>Fatura do fornecedor NORDEX ENERGY SE &amp; CO KG 6231</t>
        </is>
      </c>
      <c r="L1046" s="5" t="n"/>
      <c r="M1046" s="5">
        <f>IF(YEAR(I1046)&lt;=2020,"Até 2020",TEXT(YEAR(I1046),"0"))</f>
        <v/>
      </c>
      <c r="N1046" s="5">
        <f>IFERROR(INDEX(DePara!$A:$A,MATCH(TEXT(B1046,"0"),DePara!$D:$D,0)),"(sem categoria)")</f>
        <v/>
      </c>
      <c r="O1046" s="5">
        <f>IF(J1046="","",Parametros!$B$6-J1046)</f>
        <v/>
      </c>
      <c r="P1046" s="5">
        <f>IF(O1046="","",IF(O1046&gt;0,1,0))</f>
        <v/>
      </c>
    </row>
    <row r="1047">
      <c r="A1047" s="5" t="n">
        <v>2122100000</v>
      </c>
      <c r="B1047" s="5" t="inlineStr">
        <is>
          <t>IC4420</t>
        </is>
      </c>
      <c r="C1047" s="5" t="inlineStr">
        <is>
          <t>NORDEX ENERGY SPAIN S A U</t>
        </is>
      </c>
      <c r="D1047" s="5" t="inlineStr">
        <is>
          <t>RE</t>
        </is>
      </c>
      <c r="E1047" s="5" t="n">
        <v>5033593</v>
      </c>
      <c r="F1047" s="5" t="inlineStr">
        <is>
          <t>4024004631</t>
        </is>
      </c>
      <c r="G1047" s="5" t="inlineStr">
        <is>
          <t>EUR</t>
        </is>
      </c>
      <c r="H1047" s="9" t="n">
        <v>-22992.52</v>
      </c>
      <c r="I1047" s="16" t="n">
        <v>45475</v>
      </c>
      <c r="J1047" s="16" t="n">
        <v>45505</v>
      </c>
      <c r="K1047" s="5" t="inlineStr">
        <is>
          <t>0533/24</t>
        </is>
      </c>
      <c r="L1047" s="5" t="inlineStr">
        <is>
          <t>4024004631</t>
        </is>
      </c>
      <c r="M1047" s="5">
        <f>IF(YEAR(I1047)&lt;=2020,"Até 2020",TEXT(YEAR(I1047),"0"))</f>
        <v/>
      </c>
      <c r="N1047" s="5">
        <f>IFERROR(INDEX(DePara!$A:$A,MATCH(TEXT(B1047,"0"),DePara!$D:$D,0)),"(sem categoria)")</f>
        <v/>
      </c>
      <c r="O1047" s="5">
        <f>IF(J1047="","",Parametros!$B$6-J1047)</f>
        <v/>
      </c>
      <c r="P1047" s="5">
        <f>IF(O1047="","",IF(O1047&gt;0,1,0))</f>
        <v/>
      </c>
    </row>
    <row r="1048">
      <c r="A1048" s="5" t="n">
        <v>2122100000</v>
      </c>
      <c r="B1048" s="5" t="inlineStr">
        <is>
          <t>IC4420</t>
        </is>
      </c>
      <c r="C1048" s="5" t="inlineStr">
        <is>
          <t>NORDEX ENERGY SPAIN S A U</t>
        </is>
      </c>
      <c r="D1048" s="5" t="inlineStr">
        <is>
          <t>RE</t>
        </is>
      </c>
      <c r="E1048" s="5" t="n">
        <v>5033598</v>
      </c>
      <c r="F1048" s="5" t="inlineStr">
        <is>
          <t>4024004632</t>
        </is>
      </c>
      <c r="G1048" s="5" t="inlineStr">
        <is>
          <t>EUR</t>
        </is>
      </c>
      <c r="H1048" s="9" t="n">
        <v>-11567.43</v>
      </c>
      <c r="I1048" s="16" t="n">
        <v>45475</v>
      </c>
      <c r="J1048" s="16" t="n">
        <v>45475</v>
      </c>
      <c r="K1048" s="5" t="inlineStr">
        <is>
          <t>0533/24</t>
        </is>
      </c>
      <c r="L1048" s="5" t="inlineStr">
        <is>
          <t>4024004632</t>
        </is>
      </c>
      <c r="M1048" s="5">
        <f>IF(YEAR(I1048)&lt;=2020,"Até 2020",TEXT(YEAR(I1048),"0"))</f>
        <v/>
      </c>
      <c r="N1048" s="5">
        <f>IFERROR(INDEX(DePara!$A:$A,MATCH(TEXT(B1048,"0"),DePara!$D:$D,0)),"(sem categoria)")</f>
        <v/>
      </c>
      <c r="O1048" s="5">
        <f>IF(J1048="","",Parametros!$B$6-J1048)</f>
        <v/>
      </c>
      <c r="P1048" s="5">
        <f>IF(O1048="","",IF(O1048&gt;0,1,0))</f>
        <v/>
      </c>
    </row>
    <row r="1049">
      <c r="A1049" s="5" t="n">
        <v>2122100000</v>
      </c>
      <c r="B1049" s="5" t="inlineStr">
        <is>
          <t>IC4420</t>
        </is>
      </c>
      <c r="C1049" s="5" t="inlineStr">
        <is>
          <t>NORDEX ENERGY SPAIN S A U</t>
        </is>
      </c>
      <c r="D1049" s="5" t="inlineStr">
        <is>
          <t>RE</t>
        </is>
      </c>
      <c r="E1049" s="5" t="n">
        <v>5033601</v>
      </c>
      <c r="F1049" s="5" t="inlineStr">
        <is>
          <t>4024004629</t>
        </is>
      </c>
      <c r="G1049" s="5" t="inlineStr">
        <is>
          <t>EUR</t>
        </is>
      </c>
      <c r="H1049" s="9" t="n">
        <v>-21257.96</v>
      </c>
      <c r="I1049" s="16" t="n">
        <v>45475</v>
      </c>
      <c r="J1049" s="16" t="n">
        <v>45505</v>
      </c>
      <c r="K1049" s="5" t="inlineStr">
        <is>
          <t>0533/24</t>
        </is>
      </c>
      <c r="L1049" s="5" t="inlineStr">
        <is>
          <t>4024004629</t>
        </is>
      </c>
      <c r="M1049" s="5">
        <f>IF(YEAR(I1049)&lt;=2020,"Até 2020",TEXT(YEAR(I1049),"0"))</f>
        <v/>
      </c>
      <c r="N1049" s="5">
        <f>IFERROR(INDEX(DePara!$A:$A,MATCH(TEXT(B1049,"0"),DePara!$D:$D,0)),"(sem categoria)")</f>
        <v/>
      </c>
      <c r="O1049" s="5">
        <f>IF(J1049="","",Parametros!$B$6-J1049)</f>
        <v/>
      </c>
      <c r="P1049" s="5">
        <f>IF(O1049="","",IF(O1049&gt;0,1,0))</f>
        <v/>
      </c>
    </row>
    <row r="1050">
      <c r="A1050" s="5" t="n">
        <v>2122100000</v>
      </c>
      <c r="B1050" s="5" t="inlineStr">
        <is>
          <t>IC1000</t>
        </is>
      </c>
      <c r="C1050" s="5" t="inlineStr">
        <is>
          <t>NORDEX ENERGY SE &amp; CO KG</t>
        </is>
      </c>
      <c r="D1050" s="5" t="inlineStr">
        <is>
          <t>RE</t>
        </is>
      </c>
      <c r="E1050" s="5" t="n">
        <v>5033716</v>
      </c>
      <c r="F1050" s="5" t="inlineStr">
        <is>
          <t>280187</t>
        </is>
      </c>
      <c r="G1050" s="5" t="inlineStr">
        <is>
          <t>EUR</t>
        </is>
      </c>
      <c r="H1050" s="9" t="n">
        <v>-5061.15</v>
      </c>
      <c r="I1050" s="16" t="n">
        <v>45436</v>
      </c>
      <c r="J1050" s="16" t="n">
        <v>45466</v>
      </c>
      <c r="K1050" s="5" t="inlineStr">
        <is>
          <t>0375/24</t>
        </is>
      </c>
      <c r="L1050" s="5" t="inlineStr">
        <is>
          <t>280187</t>
        </is>
      </c>
      <c r="M1050" s="5">
        <f>IF(YEAR(I1050)&lt;=2020,"Até 2020",TEXT(YEAR(I1050),"0"))</f>
        <v/>
      </c>
      <c r="N1050" s="5">
        <f>IFERROR(INDEX(DePara!$A:$A,MATCH(TEXT(B1050,"0"),DePara!$D:$D,0)),"(sem categoria)")</f>
        <v/>
      </c>
      <c r="O1050" s="5">
        <f>IF(J1050="","",Parametros!$B$6-J1050)</f>
        <v/>
      </c>
      <c r="P1050" s="5">
        <f>IF(O1050="","",IF(O1050&gt;0,1,0))</f>
        <v/>
      </c>
    </row>
    <row r="1051">
      <c r="A1051" s="5" t="n">
        <v>2122100000</v>
      </c>
      <c r="B1051" s="5" t="inlineStr">
        <is>
          <t>IC5000</t>
        </is>
      </c>
      <c r="C1051" s="5" t="inlineStr">
        <is>
          <t>NORDEX SE</t>
        </is>
      </c>
      <c r="D1051" s="5" t="inlineStr">
        <is>
          <t>KR</t>
        </is>
      </c>
      <c r="E1051" s="5" t="n">
        <v>5033910</v>
      </c>
      <c r="F1051" s="5" t="inlineStr">
        <is>
          <t>INV.609989</t>
        </is>
      </c>
      <c r="G1051" s="5" t="inlineStr">
        <is>
          <t>BRL</t>
        </is>
      </c>
      <c r="H1051" s="9" t="n">
        <v>-2495500</v>
      </c>
      <c r="I1051" s="16" t="n">
        <v>45924</v>
      </c>
      <c r="J1051" s="16" t="n">
        <v>45924</v>
      </c>
      <c r="K1051" s="5" t="inlineStr">
        <is>
          <t>Vendor Invoice NORDEX SE INV.609989</t>
        </is>
      </c>
      <c r="L1051" s="5" t="n"/>
      <c r="M1051" s="5">
        <f>IF(YEAR(I1051)&lt;=2020,"Até 2020",TEXT(YEAR(I1051),"0"))</f>
        <v/>
      </c>
      <c r="N1051" s="5">
        <f>IFERROR(INDEX(DePara!$A:$A,MATCH(TEXT(B1051,"0"),DePara!$D:$D,0)),"(sem categoria)")</f>
        <v/>
      </c>
      <c r="O1051" s="5">
        <f>IF(J1051="","",Parametros!$B$6-J1051)</f>
        <v/>
      </c>
      <c r="P1051" s="5">
        <f>IF(O1051="","",IF(O1051&gt;0,1,0))</f>
        <v/>
      </c>
    </row>
    <row r="1052">
      <c r="A1052" s="5" t="n">
        <v>2122100000</v>
      </c>
      <c r="B1052" s="5" t="inlineStr">
        <is>
          <t>IC1000</t>
        </is>
      </c>
      <c r="C1052" s="5" t="inlineStr">
        <is>
          <t>NORDEX ENERGY SE &amp; CO KG</t>
        </is>
      </c>
      <c r="D1052" s="5" t="inlineStr">
        <is>
          <t>RE</t>
        </is>
      </c>
      <c r="E1052" s="5" t="n">
        <v>5033919</v>
      </c>
      <c r="F1052" s="5" t="inlineStr">
        <is>
          <t>361645</t>
        </is>
      </c>
      <c r="G1052" s="5" t="inlineStr">
        <is>
          <t>EUR</t>
        </is>
      </c>
      <c r="H1052" s="9" t="n">
        <v>-1979.7</v>
      </c>
      <c r="I1052" s="16" t="n">
        <v>45911</v>
      </c>
      <c r="J1052" s="16" t="n">
        <v>45941</v>
      </c>
      <c r="K1052" s="5" t="inlineStr">
        <is>
          <t>0718/25</t>
        </is>
      </c>
      <c r="L1052" s="5" t="inlineStr">
        <is>
          <t>361645</t>
        </is>
      </c>
      <c r="M1052" s="5">
        <f>IF(YEAR(I1052)&lt;=2020,"Até 2020",TEXT(YEAR(I1052),"0"))</f>
        <v/>
      </c>
      <c r="N1052" s="5">
        <f>IFERROR(INDEX(DePara!$A:$A,MATCH(TEXT(B1052,"0"),DePara!$D:$D,0)),"(sem categoria)")</f>
        <v/>
      </c>
      <c r="O1052" s="5">
        <f>IF(J1052="","",Parametros!$B$6-J1052)</f>
        <v/>
      </c>
      <c r="P1052" s="5">
        <f>IF(O1052="","",IF(O1052&gt;0,1,0))</f>
        <v/>
      </c>
    </row>
    <row r="1053">
      <c r="A1053" s="5" t="n">
        <v>2122100000</v>
      </c>
      <c r="B1053" s="5" t="inlineStr">
        <is>
          <t>IC5000</t>
        </is>
      </c>
      <c r="C1053" s="5" t="inlineStr">
        <is>
          <t>NORDEX SE</t>
        </is>
      </c>
      <c r="D1053" s="5" t="inlineStr">
        <is>
          <t>KR</t>
        </is>
      </c>
      <c r="E1053" s="5" t="n">
        <v>5033943</v>
      </c>
      <c r="F1053" s="5" t="inlineStr">
        <is>
          <t>INV.609912</t>
        </is>
      </c>
      <c r="G1053" s="5" t="inlineStr">
        <is>
          <t>EUR</t>
        </is>
      </c>
      <c r="H1053" s="9" t="n">
        <v>-2563469.75</v>
      </c>
      <c r="I1053" s="16" t="n">
        <v>45917</v>
      </c>
      <c r="J1053" s="16" t="n">
        <v>45917</v>
      </c>
      <c r="K1053" s="5" t="inlineStr">
        <is>
          <t>Vendor Invoice NORDEX SE INV.609912</t>
        </is>
      </c>
      <c r="L1053" s="5" t="n"/>
      <c r="M1053" s="5">
        <f>IF(YEAR(I1053)&lt;=2020,"Até 2020",TEXT(YEAR(I1053),"0"))</f>
        <v/>
      </c>
      <c r="N1053" s="5">
        <f>IFERROR(INDEX(DePara!$A:$A,MATCH(TEXT(B1053,"0"),DePara!$D:$D,0)),"(sem categoria)")</f>
        <v/>
      </c>
      <c r="O1053" s="5">
        <f>IF(J1053="","",Parametros!$B$6-J1053)</f>
        <v/>
      </c>
      <c r="P1053" s="5">
        <f>IF(O1053="","",IF(O1053&gt;0,1,0))</f>
        <v/>
      </c>
    </row>
    <row r="1054">
      <c r="A1054" s="5" t="n">
        <v>2122100000</v>
      </c>
      <c r="B1054" s="5" t="inlineStr">
        <is>
          <t>IC1000</t>
        </is>
      </c>
      <c r="C1054" s="5" t="inlineStr">
        <is>
          <t>NORDEX ENERGY SE &amp; CO KG</t>
        </is>
      </c>
      <c r="D1054" s="5" t="inlineStr">
        <is>
          <t>KR</t>
        </is>
      </c>
      <c r="E1054" s="5" t="n">
        <v>5033944</v>
      </c>
      <c r="F1054" s="5" t="inlineStr">
        <is>
          <t>INV.623088</t>
        </is>
      </c>
      <c r="G1054" s="5" t="inlineStr">
        <is>
          <t>EUR</t>
        </is>
      </c>
      <c r="H1054" s="9" t="n">
        <v>-4686763.07</v>
      </c>
      <c r="I1054" s="16" t="n">
        <v>45918</v>
      </c>
      <c r="J1054" s="16" t="n">
        <v>45948</v>
      </c>
      <c r="K1054" s="5" t="inlineStr">
        <is>
          <t>Vendor Invoice NORDEX ENERGY SE &amp; CO KG INV.623088</t>
        </is>
      </c>
      <c r="L1054" s="5" t="n"/>
      <c r="M1054" s="5">
        <f>IF(YEAR(I1054)&lt;=2020,"Até 2020",TEXT(YEAR(I1054),"0"))</f>
        <v/>
      </c>
      <c r="N1054" s="5">
        <f>IFERROR(INDEX(DePara!$A:$A,MATCH(TEXT(B1054,"0"),DePara!$D:$D,0)),"(sem categoria)")</f>
        <v/>
      </c>
      <c r="O1054" s="5">
        <f>IF(J1054="","",Parametros!$B$6-J1054)</f>
        <v/>
      </c>
      <c r="P1054" s="5">
        <f>IF(O1054="","",IF(O1054&gt;0,1,0))</f>
        <v/>
      </c>
    </row>
    <row r="1055">
      <c r="A1055" s="5" t="n">
        <v>2122100000</v>
      </c>
      <c r="B1055" s="5" t="inlineStr">
        <is>
          <t>IC4420</t>
        </is>
      </c>
      <c r="C1055" s="5" t="inlineStr">
        <is>
          <t>NORDEX ENERGY SPAIN S A U</t>
        </is>
      </c>
      <c r="D1055" s="5" t="inlineStr">
        <is>
          <t>RE</t>
        </is>
      </c>
      <c r="E1055" s="5" t="n">
        <v>5034003</v>
      </c>
      <c r="F1055" s="5" t="inlineStr">
        <is>
          <t>4025004314</t>
        </is>
      </c>
      <c r="G1055" s="5" t="inlineStr">
        <is>
          <t>EUR</t>
        </is>
      </c>
      <c r="H1055" s="9" t="n">
        <v>-38837.34</v>
      </c>
      <c r="I1055" s="16" t="n">
        <v>45824</v>
      </c>
      <c r="J1055" s="16" t="n">
        <v>45854</v>
      </c>
      <c r="K1055" s="5" t="inlineStr">
        <is>
          <t>0489/25</t>
        </is>
      </c>
      <c r="L1055" s="5" t="inlineStr">
        <is>
          <t>4025004314</t>
        </is>
      </c>
      <c r="M1055" s="5">
        <f>IF(YEAR(I1055)&lt;=2020,"Até 2020",TEXT(YEAR(I1055),"0"))</f>
        <v/>
      </c>
      <c r="N1055" s="5">
        <f>IFERROR(INDEX(DePara!$A:$A,MATCH(TEXT(B1055,"0"),DePara!$D:$D,0)),"(sem categoria)")</f>
        <v/>
      </c>
      <c r="O1055" s="5">
        <f>IF(J1055="","",Parametros!$B$6-J1055)</f>
        <v/>
      </c>
      <c r="P1055" s="5">
        <f>IF(O1055="","",IF(O1055&gt;0,1,0))</f>
        <v/>
      </c>
    </row>
    <row r="1056">
      <c r="A1056" s="5" t="n">
        <v>2122100000</v>
      </c>
      <c r="B1056" s="5" t="inlineStr">
        <is>
          <t>IC4420</t>
        </is>
      </c>
      <c r="C1056" s="5" t="inlineStr">
        <is>
          <t>NORDEX ENERGY SPAIN S A U</t>
        </is>
      </c>
      <c r="D1056" s="5" t="inlineStr">
        <is>
          <t>RE</t>
        </is>
      </c>
      <c r="E1056" s="5" t="n">
        <v>5034059</v>
      </c>
      <c r="F1056" s="5" t="inlineStr">
        <is>
          <t>4025005092</t>
        </is>
      </c>
      <c r="G1056" s="5" t="inlineStr">
        <is>
          <t>EUR</t>
        </is>
      </c>
      <c r="H1056" s="9" t="n">
        <v>-1707870.68</v>
      </c>
      <c r="I1056" s="16" t="n">
        <v>45852</v>
      </c>
      <c r="J1056" s="16" t="n">
        <v>45882</v>
      </c>
      <c r="K1056" s="5" t="inlineStr">
        <is>
          <t>0634/25</t>
        </is>
      </c>
      <c r="L1056" s="5" t="inlineStr">
        <is>
          <t>4025005092</t>
        </is>
      </c>
      <c r="M1056" s="5">
        <f>IF(YEAR(I1056)&lt;=2020,"Até 2020",TEXT(YEAR(I1056),"0"))</f>
        <v/>
      </c>
      <c r="N1056" s="5">
        <f>IFERROR(INDEX(DePara!$A:$A,MATCH(TEXT(B1056,"0"),DePara!$D:$D,0)),"(sem categoria)")</f>
        <v/>
      </c>
      <c r="O1056" s="5">
        <f>IF(J1056="","",Parametros!$B$6-J1056)</f>
        <v/>
      </c>
      <c r="P1056" s="5">
        <f>IF(O1056="","",IF(O1056&gt;0,1,0))</f>
        <v/>
      </c>
    </row>
    <row r="1057">
      <c r="A1057" s="5" t="n">
        <v>2122100000</v>
      </c>
      <c r="B1057" s="5" t="inlineStr">
        <is>
          <t>IC4420</t>
        </is>
      </c>
      <c r="C1057" s="5" t="inlineStr">
        <is>
          <t>NORDEX ENERGY SPAIN S A U</t>
        </is>
      </c>
      <c r="D1057" s="5" t="inlineStr">
        <is>
          <t>RE</t>
        </is>
      </c>
      <c r="E1057" s="5" t="n">
        <v>5034111</v>
      </c>
      <c r="F1057" s="5" t="inlineStr">
        <is>
          <t>4025004316</t>
        </is>
      </c>
      <c r="G1057" s="5" t="inlineStr">
        <is>
          <t>EUR</t>
        </is>
      </c>
      <c r="H1057" s="9" t="n">
        <v>-2343.22</v>
      </c>
      <c r="I1057" s="16" t="n">
        <v>45824</v>
      </c>
      <c r="J1057" s="16" t="n">
        <v>45854</v>
      </c>
      <c r="K1057" s="5" t="inlineStr">
        <is>
          <t>0493/25</t>
        </is>
      </c>
      <c r="L1057" s="5" t="inlineStr">
        <is>
          <t>4025004316</t>
        </is>
      </c>
      <c r="M1057" s="5">
        <f>IF(YEAR(I1057)&lt;=2020,"Até 2020",TEXT(YEAR(I1057),"0"))</f>
        <v/>
      </c>
      <c r="N1057" s="5">
        <f>IFERROR(INDEX(DePara!$A:$A,MATCH(TEXT(B1057,"0"),DePara!$D:$D,0)),"(sem categoria)")</f>
        <v/>
      </c>
      <c r="O1057" s="5">
        <f>IF(J1057="","",Parametros!$B$6-J1057)</f>
        <v/>
      </c>
      <c r="P1057" s="5">
        <f>IF(O1057="","",IF(O1057&gt;0,1,0))</f>
        <v/>
      </c>
    </row>
    <row r="1058">
      <c r="A1058" s="5" t="n">
        <v>2122100000</v>
      </c>
      <c r="B1058" s="5" t="inlineStr">
        <is>
          <t>IC1000</t>
        </is>
      </c>
      <c r="C1058" s="5" t="inlineStr">
        <is>
          <t>NORDEX ENERGY SE &amp; CO KG</t>
        </is>
      </c>
      <c r="D1058" s="5" t="inlineStr">
        <is>
          <t>RE</t>
        </is>
      </c>
      <c r="E1058" s="5" t="n">
        <v>5034147</v>
      </c>
      <c r="F1058" s="5" t="inlineStr">
        <is>
          <t>354286</t>
        </is>
      </c>
      <c r="G1058" s="5" t="inlineStr">
        <is>
          <t>EUR</t>
        </is>
      </c>
      <c r="H1058" s="9" t="n">
        <v>-1345.03</v>
      </c>
      <c r="I1058" s="16" t="n">
        <v>45863</v>
      </c>
      <c r="J1058" s="16" t="n">
        <v>45893</v>
      </c>
      <c r="K1058" s="5" t="inlineStr">
        <is>
          <t>0705/25</t>
        </is>
      </c>
      <c r="L1058" s="5" t="inlineStr">
        <is>
          <t>354286</t>
        </is>
      </c>
      <c r="M1058" s="5">
        <f>IF(YEAR(I1058)&lt;=2020,"Até 2020",TEXT(YEAR(I1058),"0"))</f>
        <v/>
      </c>
      <c r="N1058" s="5">
        <f>IFERROR(INDEX(DePara!$A:$A,MATCH(TEXT(B1058,"0"),DePara!$D:$D,0)),"(sem categoria)")</f>
        <v/>
      </c>
      <c r="O1058" s="5">
        <f>IF(J1058="","",Parametros!$B$6-J1058)</f>
        <v/>
      </c>
      <c r="P1058" s="5">
        <f>IF(O1058="","",IF(O1058&gt;0,1,0))</f>
        <v/>
      </c>
    </row>
    <row r="1059">
      <c r="A1059" s="5" t="n">
        <v>2122100000</v>
      </c>
      <c r="B1059" s="5" t="inlineStr">
        <is>
          <t>IC4420</t>
        </is>
      </c>
      <c r="C1059" s="5" t="inlineStr">
        <is>
          <t>NORDEX ENERGY SPAIN S A U</t>
        </is>
      </c>
      <c r="D1059" s="5" t="inlineStr">
        <is>
          <t>RE</t>
        </is>
      </c>
      <c r="E1059" s="5" t="n">
        <v>5034153</v>
      </c>
      <c r="F1059" s="5" t="inlineStr">
        <is>
          <t>4025004312</t>
        </is>
      </c>
      <c r="G1059" s="5" t="inlineStr">
        <is>
          <t>EUR</t>
        </is>
      </c>
      <c r="H1059" s="9" t="n">
        <v>-62389.36</v>
      </c>
      <c r="I1059" s="16" t="n">
        <v>45824</v>
      </c>
      <c r="J1059" s="16" t="n">
        <v>45854</v>
      </c>
      <c r="K1059" s="5" t="inlineStr">
        <is>
          <t>0502/25</t>
        </is>
      </c>
      <c r="L1059" s="5" t="inlineStr">
        <is>
          <t>4025004312</t>
        </is>
      </c>
      <c r="M1059" s="5">
        <f>IF(YEAR(I1059)&lt;=2020,"Até 2020",TEXT(YEAR(I1059),"0"))</f>
        <v/>
      </c>
      <c r="N1059" s="5">
        <f>IFERROR(INDEX(DePara!$A:$A,MATCH(TEXT(B1059,"0"),DePara!$D:$D,0)),"(sem categoria)")</f>
        <v/>
      </c>
      <c r="O1059" s="5">
        <f>IF(J1059="","",Parametros!$B$6-J1059)</f>
        <v/>
      </c>
      <c r="P1059" s="5">
        <f>IF(O1059="","",IF(O1059&gt;0,1,0))</f>
        <v/>
      </c>
    </row>
    <row r="1060">
      <c r="A1060" s="5" t="n">
        <v>2122100000</v>
      </c>
      <c r="B1060" s="5" t="inlineStr">
        <is>
          <t>IC4420</t>
        </is>
      </c>
      <c r="C1060" s="5" t="inlineStr">
        <is>
          <t>NORDEX ENERGY SPAIN S A U</t>
        </is>
      </c>
      <c r="D1060" s="5" t="inlineStr">
        <is>
          <t>RE</t>
        </is>
      </c>
      <c r="E1060" s="5" t="n">
        <v>5034308</v>
      </c>
      <c r="F1060" s="5" t="inlineStr">
        <is>
          <t>4025004309</t>
        </is>
      </c>
      <c r="G1060" s="5" t="inlineStr">
        <is>
          <t>EUR</t>
        </is>
      </c>
      <c r="H1060" s="9" t="n">
        <v>-3101.76</v>
      </c>
      <c r="I1060" s="16" t="n">
        <v>45824</v>
      </c>
      <c r="J1060" s="16" t="n">
        <v>45854</v>
      </c>
      <c r="K1060" s="5" t="inlineStr">
        <is>
          <t>0494/25</t>
        </is>
      </c>
      <c r="L1060" s="5" t="inlineStr">
        <is>
          <t>4025004309</t>
        </is>
      </c>
      <c r="M1060" s="5">
        <f>IF(YEAR(I1060)&lt;=2020,"Até 2020",TEXT(YEAR(I1060),"0"))</f>
        <v/>
      </c>
      <c r="N1060" s="5">
        <f>IFERROR(INDEX(DePara!$A:$A,MATCH(TEXT(B1060,"0"),DePara!$D:$D,0)),"(sem categoria)")</f>
        <v/>
      </c>
      <c r="O1060" s="5">
        <f>IF(J1060="","",Parametros!$B$6-J1060)</f>
        <v/>
      </c>
      <c r="P1060" s="5">
        <f>IF(O1060="","",IF(O1060&gt;0,1,0))</f>
        <v/>
      </c>
    </row>
    <row r="1061">
      <c r="A1061" s="5" t="n">
        <v>2122100000</v>
      </c>
      <c r="B1061" s="5" t="inlineStr">
        <is>
          <t>IC4420</t>
        </is>
      </c>
      <c r="C1061" s="5" t="inlineStr">
        <is>
          <t>NORDEX ENERGY SPAIN S A U</t>
        </is>
      </c>
      <c r="D1061" s="5" t="inlineStr">
        <is>
          <t>RE</t>
        </is>
      </c>
      <c r="E1061" s="5" t="n">
        <v>5034309</v>
      </c>
      <c r="F1061" s="5" t="inlineStr">
        <is>
          <t>4025004311</t>
        </is>
      </c>
      <c r="G1061" s="5" t="inlineStr">
        <is>
          <t>EUR</t>
        </is>
      </c>
      <c r="H1061" s="9" t="n">
        <v>-3113.31</v>
      </c>
      <c r="I1061" s="16" t="n">
        <v>45824</v>
      </c>
      <c r="J1061" s="16" t="n">
        <v>45854</v>
      </c>
      <c r="K1061" s="5" t="inlineStr">
        <is>
          <t>0494/25</t>
        </is>
      </c>
      <c r="L1061" s="5" t="inlineStr">
        <is>
          <t>4025004311</t>
        </is>
      </c>
      <c r="M1061" s="5">
        <f>IF(YEAR(I1061)&lt;=2020,"Até 2020",TEXT(YEAR(I1061),"0"))</f>
        <v/>
      </c>
      <c r="N1061" s="5">
        <f>IFERROR(INDEX(DePara!$A:$A,MATCH(TEXT(B1061,"0"),DePara!$D:$D,0)),"(sem categoria)")</f>
        <v/>
      </c>
      <c r="O1061" s="5">
        <f>IF(J1061="","",Parametros!$B$6-J1061)</f>
        <v/>
      </c>
      <c r="P1061" s="5">
        <f>IF(O1061="","",IF(O1061&gt;0,1,0))</f>
        <v/>
      </c>
    </row>
    <row r="1062">
      <c r="A1062" s="5" t="n">
        <v>2122100000</v>
      </c>
      <c r="B1062" s="5" t="inlineStr">
        <is>
          <t>IC4420</t>
        </is>
      </c>
      <c r="C1062" s="5" t="inlineStr">
        <is>
          <t>NORDEX ENERGY SPAIN S A U</t>
        </is>
      </c>
      <c r="D1062" s="5" t="inlineStr">
        <is>
          <t>RE</t>
        </is>
      </c>
      <c r="E1062" s="5" t="n">
        <v>5034499</v>
      </c>
      <c r="F1062" s="5" t="inlineStr">
        <is>
          <t>4025006817</t>
        </is>
      </c>
      <c r="G1062" s="5" t="inlineStr">
        <is>
          <t>EUR</t>
        </is>
      </c>
      <c r="H1062" s="9" t="n">
        <v>-2525.34</v>
      </c>
      <c r="I1062" s="16" t="n">
        <v>45912</v>
      </c>
      <c r="J1062" s="16" t="n">
        <v>45942</v>
      </c>
      <c r="K1062" s="5" t="inlineStr">
        <is>
          <t>0716/25</t>
        </is>
      </c>
      <c r="L1062" s="5" t="inlineStr">
        <is>
          <t>4025006817</t>
        </is>
      </c>
      <c r="M1062" s="5">
        <f>IF(YEAR(I1062)&lt;=2020,"Até 2020",TEXT(YEAR(I1062),"0"))</f>
        <v/>
      </c>
      <c r="N1062" s="5">
        <f>IFERROR(INDEX(DePara!$A:$A,MATCH(TEXT(B1062,"0"),DePara!$D:$D,0)),"(sem categoria)")</f>
        <v/>
      </c>
      <c r="O1062" s="5">
        <f>IF(J1062="","",Parametros!$B$6-J1062)</f>
        <v/>
      </c>
      <c r="P1062" s="5">
        <f>IF(O1062="","",IF(O1062&gt;0,1,0))</f>
        <v/>
      </c>
    </row>
    <row r="1063">
      <c r="A1063" s="5" t="n">
        <v>2122100000</v>
      </c>
      <c r="B1063" s="5" t="inlineStr">
        <is>
          <t>IC1000</t>
        </is>
      </c>
      <c r="C1063" s="5" t="inlineStr">
        <is>
          <t>NORDEX ENERGY SE &amp; CO KG</t>
        </is>
      </c>
      <c r="D1063" s="5" t="inlineStr">
        <is>
          <t>RE</t>
        </is>
      </c>
      <c r="E1063" s="5" t="n">
        <v>5034508</v>
      </c>
      <c r="F1063" s="5" t="inlineStr">
        <is>
          <t>296841</t>
        </is>
      </c>
      <c r="G1063" s="5" t="inlineStr">
        <is>
          <t>EUR</t>
        </is>
      </c>
      <c r="H1063" s="9" t="n">
        <v>-6718.81</v>
      </c>
      <c r="I1063" s="16" t="n">
        <v>45485</v>
      </c>
      <c r="J1063" s="16" t="n">
        <v>45515</v>
      </c>
      <c r="K1063" s="5" t="inlineStr">
        <is>
          <t>0619/24</t>
        </is>
      </c>
      <c r="L1063" s="5" t="inlineStr">
        <is>
          <t>296841</t>
        </is>
      </c>
      <c r="M1063" s="5">
        <f>IF(YEAR(I1063)&lt;=2020,"Até 2020",TEXT(YEAR(I1063),"0"))</f>
        <v/>
      </c>
      <c r="N1063" s="5">
        <f>IFERROR(INDEX(DePara!$A:$A,MATCH(TEXT(B1063,"0"),DePara!$D:$D,0)),"(sem categoria)")</f>
        <v/>
      </c>
      <c r="O1063" s="5">
        <f>IF(J1063="","",Parametros!$B$6-J1063)</f>
        <v/>
      </c>
      <c r="P1063" s="5">
        <f>IF(O1063="","",IF(O1063&gt;0,1,0))</f>
        <v/>
      </c>
    </row>
    <row r="1064">
      <c r="A1064" s="5" t="n">
        <v>2122100000</v>
      </c>
      <c r="B1064" s="5" t="inlineStr">
        <is>
          <t>IC4420</t>
        </is>
      </c>
      <c r="C1064" s="5" t="inlineStr">
        <is>
          <t>NORDEX ENERGY SPAIN S A U</t>
        </is>
      </c>
      <c r="D1064" s="5" t="inlineStr">
        <is>
          <t>RE</t>
        </is>
      </c>
      <c r="E1064" s="5" t="n">
        <v>5034715</v>
      </c>
      <c r="F1064" s="5" t="inlineStr">
        <is>
          <t>4025006823</t>
        </is>
      </c>
      <c r="G1064" s="5" t="inlineStr">
        <is>
          <t>EUR</t>
        </is>
      </c>
      <c r="H1064" s="9" t="n">
        <v>-7552.29</v>
      </c>
      <c r="I1064" s="16" t="n">
        <v>45912</v>
      </c>
      <c r="J1064" s="16" t="n">
        <v>45942</v>
      </c>
      <c r="K1064" s="5" t="inlineStr">
        <is>
          <t>0714/25</t>
        </is>
      </c>
      <c r="L1064" s="5" t="inlineStr">
        <is>
          <t>4025006823</t>
        </is>
      </c>
      <c r="M1064" s="5">
        <f>IF(YEAR(I1064)&lt;=2020,"Até 2020",TEXT(YEAR(I1064),"0"))</f>
        <v/>
      </c>
      <c r="N1064" s="5">
        <f>IFERROR(INDEX(DePara!$A:$A,MATCH(TEXT(B1064,"0"),DePara!$D:$D,0)),"(sem categoria)")</f>
        <v/>
      </c>
      <c r="O1064" s="5">
        <f>IF(J1064="","",Parametros!$B$6-J1064)</f>
        <v/>
      </c>
      <c r="P1064" s="5">
        <f>IF(O1064="","",IF(O1064&gt;0,1,0))</f>
        <v/>
      </c>
    </row>
    <row r="1065">
      <c r="A1065" s="5" t="n">
        <v>2122100000</v>
      </c>
      <c r="B1065" s="5" t="inlineStr">
        <is>
          <t>IC4420</t>
        </is>
      </c>
      <c r="C1065" s="5" t="inlineStr">
        <is>
          <t>NORDEX ENERGY SPAIN S A U</t>
        </is>
      </c>
      <c r="D1065" s="5" t="inlineStr">
        <is>
          <t>RE</t>
        </is>
      </c>
      <c r="E1065" s="5" t="n">
        <v>5034739</v>
      </c>
      <c r="F1065" s="5" t="inlineStr">
        <is>
          <t>4024004471</t>
        </is>
      </c>
      <c r="G1065" s="5" t="inlineStr">
        <is>
          <t>EUR</t>
        </is>
      </c>
      <c r="H1065" s="9" t="n">
        <v>-13230.29</v>
      </c>
      <c r="I1065" s="16" t="n">
        <v>45468</v>
      </c>
      <c r="J1065" s="16" t="n">
        <v>45528</v>
      </c>
      <c r="K1065" s="5" t="inlineStr">
        <is>
          <t>0552/24</t>
        </is>
      </c>
      <c r="L1065" s="5" t="inlineStr">
        <is>
          <t>4024004471</t>
        </is>
      </c>
      <c r="M1065" s="5">
        <f>IF(YEAR(I1065)&lt;=2020,"Até 2020",TEXT(YEAR(I1065),"0"))</f>
        <v/>
      </c>
      <c r="N1065" s="5">
        <f>IFERROR(INDEX(DePara!$A:$A,MATCH(TEXT(B1065,"0"),DePara!$D:$D,0)),"(sem categoria)")</f>
        <v/>
      </c>
      <c r="O1065" s="5">
        <f>IF(J1065="","",Parametros!$B$6-J1065)</f>
        <v/>
      </c>
      <c r="P1065" s="5">
        <f>IF(O1065="","",IF(O1065&gt;0,1,0))</f>
        <v/>
      </c>
    </row>
    <row r="1066">
      <c r="A1066" s="5" t="n">
        <v>2122100000</v>
      </c>
      <c r="B1066" s="5" t="inlineStr">
        <is>
          <t>IC4420</t>
        </is>
      </c>
      <c r="C1066" s="5" t="inlineStr">
        <is>
          <t>NORDEX ENERGY SPAIN S A U</t>
        </is>
      </c>
      <c r="D1066" s="5" t="inlineStr">
        <is>
          <t>RE</t>
        </is>
      </c>
      <c r="E1066" s="5" t="n">
        <v>5034991</v>
      </c>
      <c r="F1066" s="5" t="inlineStr">
        <is>
          <t>4025002668</t>
        </is>
      </c>
      <c r="G1066" s="5" t="inlineStr">
        <is>
          <t>EUR</t>
        </is>
      </c>
      <c r="H1066" s="9" t="n">
        <v>-5095.17</v>
      </c>
      <c r="I1066" s="16" t="n">
        <v>45763</v>
      </c>
      <c r="J1066" s="16" t="n">
        <v>45793</v>
      </c>
      <c r="K1066" s="5" t="inlineStr">
        <is>
          <t>0430/25</t>
        </is>
      </c>
      <c r="L1066" s="5" t="inlineStr">
        <is>
          <t>4025002668</t>
        </is>
      </c>
      <c r="M1066" s="5">
        <f>IF(YEAR(I1066)&lt;=2020,"Até 2020",TEXT(YEAR(I1066),"0"))</f>
        <v/>
      </c>
      <c r="N1066" s="5">
        <f>IFERROR(INDEX(DePara!$A:$A,MATCH(TEXT(B1066,"0"),DePara!$D:$D,0)),"(sem categoria)")</f>
        <v/>
      </c>
      <c r="O1066" s="5">
        <f>IF(J1066="","",Parametros!$B$6-J1066)</f>
        <v/>
      </c>
      <c r="P1066" s="5">
        <f>IF(O1066="","",IF(O1066&gt;0,1,0))</f>
        <v/>
      </c>
    </row>
    <row r="1067">
      <c r="A1067" s="5" t="n">
        <v>2122100000</v>
      </c>
      <c r="B1067" s="5" t="inlineStr">
        <is>
          <t>IC1000</t>
        </is>
      </c>
      <c r="C1067" s="5" t="inlineStr">
        <is>
          <t>NORDEX ENERGY SE &amp; CO KG</t>
        </is>
      </c>
      <c r="D1067" s="5" t="inlineStr">
        <is>
          <t>RE</t>
        </is>
      </c>
      <c r="E1067" s="5" t="n">
        <v>5035262</v>
      </c>
      <c r="F1067" s="5" t="inlineStr">
        <is>
          <t>363070</t>
        </is>
      </c>
      <c r="G1067" s="5" t="inlineStr">
        <is>
          <t>EUR</t>
        </is>
      </c>
      <c r="H1067" s="9" t="n">
        <v>-1101.82</v>
      </c>
      <c r="I1067" s="16" t="n">
        <v>45919</v>
      </c>
      <c r="J1067" s="16" t="n">
        <v>45949</v>
      </c>
      <c r="K1067" s="5" t="inlineStr">
        <is>
          <t>0755/25</t>
        </is>
      </c>
      <c r="L1067" s="5" t="inlineStr">
        <is>
          <t>363070</t>
        </is>
      </c>
      <c r="M1067" s="5">
        <f>IF(YEAR(I1067)&lt;=2020,"Até 2020",TEXT(YEAR(I1067),"0"))</f>
        <v/>
      </c>
      <c r="N1067" s="5">
        <f>IFERROR(INDEX(DePara!$A:$A,MATCH(TEXT(B1067,"0"),DePara!$D:$D,0)),"(sem categoria)")</f>
        <v/>
      </c>
      <c r="O1067" s="5">
        <f>IF(J1067="","",Parametros!$B$6-J1067)</f>
        <v/>
      </c>
      <c r="P1067" s="5">
        <f>IF(O1067="","",IF(O1067&gt;0,1,0))</f>
        <v/>
      </c>
    </row>
    <row r="1068">
      <c r="A1068" s="5" t="n">
        <v>2122100000</v>
      </c>
      <c r="B1068" s="5" t="inlineStr">
        <is>
          <t>IC1000</t>
        </is>
      </c>
      <c r="C1068" s="5" t="inlineStr">
        <is>
          <t>NORDEX ENERGY SE &amp; CO KG</t>
        </is>
      </c>
      <c r="D1068" s="5" t="inlineStr">
        <is>
          <t>RE</t>
        </is>
      </c>
      <c r="E1068" s="5" t="n">
        <v>5035270</v>
      </c>
      <c r="F1068" s="5" t="inlineStr">
        <is>
          <t>363071</t>
        </is>
      </c>
      <c r="G1068" s="5" t="inlineStr">
        <is>
          <t>EUR</t>
        </is>
      </c>
      <c r="H1068" s="9" t="n">
        <v>-1101.69</v>
      </c>
      <c r="I1068" s="16" t="n">
        <v>45923</v>
      </c>
      <c r="J1068" s="16" t="n">
        <v>45953</v>
      </c>
      <c r="K1068" s="5" t="inlineStr">
        <is>
          <t>0754/25</t>
        </is>
      </c>
      <c r="L1068" s="5" t="inlineStr">
        <is>
          <t>363071</t>
        </is>
      </c>
      <c r="M1068" s="5">
        <f>IF(YEAR(I1068)&lt;=2020,"Até 2020",TEXT(YEAR(I1068),"0"))</f>
        <v/>
      </c>
      <c r="N1068" s="5">
        <f>IFERROR(INDEX(DePara!$A:$A,MATCH(TEXT(B1068,"0"),DePara!$D:$D,0)),"(sem categoria)")</f>
        <v/>
      </c>
      <c r="O1068" s="5">
        <f>IF(J1068="","",Parametros!$B$6-J1068)</f>
        <v/>
      </c>
      <c r="P1068" s="5">
        <f>IF(O1068="","",IF(O1068&gt;0,1,0))</f>
        <v/>
      </c>
    </row>
    <row r="1069">
      <c r="A1069" s="5" t="n">
        <v>2122100000</v>
      </c>
      <c r="B1069" s="5" t="inlineStr">
        <is>
          <t>IC1000</t>
        </is>
      </c>
      <c r="C1069" s="5" t="inlineStr">
        <is>
          <t>NORDEX ENERGY SE &amp; CO KG</t>
        </is>
      </c>
      <c r="D1069" s="5" t="inlineStr">
        <is>
          <t>RE</t>
        </is>
      </c>
      <c r="E1069" s="5" t="n">
        <v>5035271</v>
      </c>
      <c r="F1069" s="5" t="inlineStr">
        <is>
          <t>361963</t>
        </is>
      </c>
      <c r="G1069" s="5" t="inlineStr">
        <is>
          <t>EUR</t>
        </is>
      </c>
      <c r="H1069" s="9" t="n">
        <v>-27605.71</v>
      </c>
      <c r="I1069" s="16" t="n">
        <v>45912</v>
      </c>
      <c r="J1069" s="16" t="n">
        <v>45942</v>
      </c>
      <c r="K1069" s="5" t="inlineStr">
        <is>
          <t>0720/25</t>
        </is>
      </c>
      <c r="L1069" s="5" t="inlineStr">
        <is>
          <t>361963</t>
        </is>
      </c>
      <c r="M1069" s="5">
        <f>IF(YEAR(I1069)&lt;=2020,"Até 2020",TEXT(YEAR(I1069),"0"))</f>
        <v/>
      </c>
      <c r="N1069" s="5">
        <f>IFERROR(INDEX(DePara!$A:$A,MATCH(TEXT(B1069,"0"),DePara!$D:$D,0)),"(sem categoria)")</f>
        <v/>
      </c>
      <c r="O1069" s="5">
        <f>IF(J1069="","",Parametros!$B$6-J1069)</f>
        <v/>
      </c>
      <c r="P1069" s="5">
        <f>IF(O1069="","",IF(O1069&gt;0,1,0))</f>
        <v/>
      </c>
    </row>
    <row r="1070">
      <c r="A1070" s="5" t="n">
        <v>2122100000</v>
      </c>
      <c r="B1070" s="5" t="inlineStr">
        <is>
          <t>IC1000</t>
        </is>
      </c>
      <c r="C1070" s="5" t="inlineStr">
        <is>
          <t>NORDEX ENERGY SE &amp; CO KG</t>
        </is>
      </c>
      <c r="D1070" s="5" t="inlineStr">
        <is>
          <t>RE</t>
        </is>
      </c>
      <c r="E1070" s="5" t="n">
        <v>5035477</v>
      </c>
      <c r="F1070" s="5" t="inlineStr">
        <is>
          <t>364146</t>
        </is>
      </c>
      <c r="G1070" s="5" t="inlineStr">
        <is>
          <t>EUR</t>
        </is>
      </c>
      <c r="H1070" s="9" t="n">
        <v>-25483.3</v>
      </c>
      <c r="I1070" s="16" t="n">
        <v>45925</v>
      </c>
      <c r="J1070" s="16" t="n">
        <v>45955</v>
      </c>
      <c r="K1070" s="5" t="inlineStr">
        <is>
          <t>0767/25</t>
        </is>
      </c>
      <c r="L1070" s="5" t="inlineStr">
        <is>
          <t>364146</t>
        </is>
      </c>
      <c r="M1070" s="5">
        <f>IF(YEAR(I1070)&lt;=2020,"Até 2020",TEXT(YEAR(I1070),"0"))</f>
        <v/>
      </c>
      <c r="N1070" s="5">
        <f>IFERROR(INDEX(DePara!$A:$A,MATCH(TEXT(B1070,"0"),DePara!$D:$D,0)),"(sem categoria)")</f>
        <v/>
      </c>
      <c r="O1070" s="5">
        <f>IF(J1070="","",Parametros!$B$6-J1070)</f>
        <v/>
      </c>
      <c r="P1070" s="5">
        <f>IF(O1070="","",IF(O1070&gt;0,1,0))</f>
        <v/>
      </c>
    </row>
    <row r="1071">
      <c r="A1071" s="5" t="n">
        <v>2122100000</v>
      </c>
      <c r="B1071" s="5" t="inlineStr">
        <is>
          <t>IC4420</t>
        </is>
      </c>
      <c r="C1071" s="5" t="inlineStr">
        <is>
          <t>NORDEX ENERGY SPAIN S A U</t>
        </is>
      </c>
      <c r="D1071" s="5" t="inlineStr">
        <is>
          <t>RE</t>
        </is>
      </c>
      <c r="E1071" s="5" t="n">
        <v>5035518</v>
      </c>
      <c r="F1071" s="5" t="inlineStr">
        <is>
          <t>4018000161</t>
        </is>
      </c>
      <c r="G1071" s="5" t="inlineStr">
        <is>
          <t>EUR</t>
        </is>
      </c>
      <c r="H1071" s="9" t="n">
        <v>-144047.01</v>
      </c>
      <c r="I1071" s="16" t="n">
        <v>45491</v>
      </c>
      <c r="J1071" s="16" t="n">
        <v>45551</v>
      </c>
      <c r="K1071" s="5" t="inlineStr">
        <is>
          <t>0600/24</t>
        </is>
      </c>
      <c r="L1071" s="5" t="inlineStr">
        <is>
          <t>4018000161</t>
        </is>
      </c>
      <c r="M1071" s="5">
        <f>IF(YEAR(I1071)&lt;=2020,"Até 2020",TEXT(YEAR(I1071),"0"))</f>
        <v/>
      </c>
      <c r="N1071" s="5">
        <f>IFERROR(INDEX(DePara!$A:$A,MATCH(TEXT(B1071,"0"),DePara!$D:$D,0)),"(sem categoria)")</f>
        <v/>
      </c>
      <c r="O1071" s="5">
        <f>IF(J1071="","",Parametros!$B$6-J1071)</f>
        <v/>
      </c>
      <c r="P1071" s="5">
        <f>IF(O1071="","",IF(O1071&gt;0,1,0))</f>
        <v/>
      </c>
    </row>
    <row r="1072">
      <c r="A1072" s="5" t="n">
        <v>2122100000</v>
      </c>
      <c r="B1072" s="5" t="inlineStr">
        <is>
          <t>IC1000</t>
        </is>
      </c>
      <c r="C1072" s="5" t="inlineStr">
        <is>
          <t>NORDEX ENERGY SE &amp; CO KG</t>
        </is>
      </c>
      <c r="D1072" s="5" t="inlineStr">
        <is>
          <t>RE</t>
        </is>
      </c>
      <c r="E1072" s="5" t="n">
        <v>5035546</v>
      </c>
      <c r="F1072" s="5" t="inlineStr">
        <is>
          <t>294516</t>
        </is>
      </c>
      <c r="G1072" s="5" t="inlineStr">
        <is>
          <t>EUR</t>
        </is>
      </c>
      <c r="H1072" s="9" t="n">
        <v>-23034.57</v>
      </c>
      <c r="I1072" s="16" t="n">
        <v>45456</v>
      </c>
      <c r="J1072" s="16" t="n">
        <v>45486</v>
      </c>
      <c r="K1072" s="5" t="inlineStr">
        <is>
          <t>0673/24</t>
        </is>
      </c>
      <c r="L1072" s="5" t="inlineStr">
        <is>
          <t>294516</t>
        </is>
      </c>
      <c r="M1072" s="5">
        <f>IF(YEAR(I1072)&lt;=2020,"Até 2020",TEXT(YEAR(I1072),"0"))</f>
        <v/>
      </c>
      <c r="N1072" s="5">
        <f>IFERROR(INDEX(DePara!$A:$A,MATCH(TEXT(B1072,"0"),DePara!$D:$D,0)),"(sem categoria)")</f>
        <v/>
      </c>
      <c r="O1072" s="5">
        <f>IF(J1072="","",Parametros!$B$6-J1072)</f>
        <v/>
      </c>
      <c r="P1072" s="5">
        <f>IF(O1072="","",IF(O1072&gt;0,1,0))</f>
        <v/>
      </c>
    </row>
    <row r="1073">
      <c r="A1073" s="5" t="n">
        <v>2122100000</v>
      </c>
      <c r="B1073" s="5" t="inlineStr">
        <is>
          <t>IC4420</t>
        </is>
      </c>
      <c r="C1073" s="5" t="inlineStr">
        <is>
          <t>NORDEX ENERGY SPAIN S A U</t>
        </is>
      </c>
      <c r="D1073" s="5" t="inlineStr">
        <is>
          <t>RE</t>
        </is>
      </c>
      <c r="E1073" s="5" t="n">
        <v>5035600</v>
      </c>
      <c r="F1073" s="5" t="inlineStr">
        <is>
          <t>4025007583</t>
        </is>
      </c>
      <c r="G1073" s="5" t="inlineStr">
        <is>
          <t>EUR</t>
        </is>
      </c>
      <c r="H1073" s="9" t="n">
        <v>-20360.72</v>
      </c>
      <c r="I1073" s="16" t="n">
        <v>45932</v>
      </c>
      <c r="J1073" s="16" t="n">
        <v>45962</v>
      </c>
      <c r="K1073" s="5" t="inlineStr">
        <is>
          <t>0765/25</t>
        </is>
      </c>
      <c r="L1073" s="5" t="inlineStr">
        <is>
          <t>4025007583</t>
        </is>
      </c>
      <c r="M1073" s="5">
        <f>IF(YEAR(I1073)&lt;=2020,"Até 2020",TEXT(YEAR(I1073),"0"))</f>
        <v/>
      </c>
      <c r="N1073" s="5">
        <f>IFERROR(INDEX(DePara!$A:$A,MATCH(TEXT(B1073,"0"),DePara!$D:$D,0)),"(sem categoria)")</f>
        <v/>
      </c>
      <c r="O1073" s="5">
        <f>IF(J1073="","",Parametros!$B$6-J1073)</f>
        <v/>
      </c>
      <c r="P1073" s="5">
        <f>IF(O1073="","",IF(O1073&gt;0,1,0))</f>
        <v/>
      </c>
    </row>
    <row r="1074">
      <c r="A1074" s="5" t="n">
        <v>2122100000</v>
      </c>
      <c r="B1074" s="5" t="inlineStr">
        <is>
          <t>IC1000</t>
        </is>
      </c>
      <c r="C1074" s="5" t="inlineStr">
        <is>
          <t>NORDEX ENERGY SE &amp; CO KG</t>
        </is>
      </c>
      <c r="D1074" s="5" t="inlineStr">
        <is>
          <t>RE</t>
        </is>
      </c>
      <c r="E1074" s="5" t="n">
        <v>5035683</v>
      </c>
      <c r="F1074" s="5" t="inlineStr">
        <is>
          <t>363067</t>
        </is>
      </c>
      <c r="G1074" s="5" t="inlineStr">
        <is>
          <t>EUR</t>
        </is>
      </c>
      <c r="H1074" s="9" t="n">
        <v>-994.9</v>
      </c>
      <c r="I1074" s="16" t="n">
        <v>45923</v>
      </c>
      <c r="J1074" s="16" t="n">
        <v>45953</v>
      </c>
      <c r="K1074" s="5" t="inlineStr">
        <is>
          <t>0753/25</t>
        </is>
      </c>
      <c r="L1074" s="5" t="inlineStr">
        <is>
          <t>363067</t>
        </is>
      </c>
      <c r="M1074" s="5">
        <f>IF(YEAR(I1074)&lt;=2020,"Até 2020",TEXT(YEAR(I1074),"0"))</f>
        <v/>
      </c>
      <c r="N1074" s="5">
        <f>IFERROR(INDEX(DePara!$A:$A,MATCH(TEXT(B1074,"0"),DePara!$D:$D,0)),"(sem categoria)")</f>
        <v/>
      </c>
      <c r="O1074" s="5">
        <f>IF(J1074="","",Parametros!$B$6-J1074)</f>
        <v/>
      </c>
      <c r="P1074" s="5">
        <f>IF(O1074="","",IF(O1074&gt;0,1,0))</f>
        <v/>
      </c>
    </row>
    <row r="1075">
      <c r="A1075" s="5" t="n">
        <v>2122100000</v>
      </c>
      <c r="B1075" s="5" t="inlineStr">
        <is>
          <t>IC1000</t>
        </is>
      </c>
      <c r="C1075" s="5" t="inlineStr">
        <is>
          <t>NORDEX ENERGY SE &amp; CO KG</t>
        </is>
      </c>
      <c r="D1075" s="5" t="inlineStr">
        <is>
          <t>RE</t>
        </is>
      </c>
      <c r="E1075" s="5" t="n">
        <v>5035806</v>
      </c>
      <c r="F1075" s="5" t="inlineStr">
        <is>
          <t>310148</t>
        </is>
      </c>
      <c r="G1075" s="5" t="inlineStr">
        <is>
          <t>EUR</t>
        </is>
      </c>
      <c r="H1075" s="9" t="n">
        <v>-28684.74</v>
      </c>
      <c r="I1075" s="16" t="n">
        <v>45911</v>
      </c>
      <c r="J1075" s="16" t="n">
        <v>45941</v>
      </c>
      <c r="K1075" s="5" t="inlineStr">
        <is>
          <t>0733/25</t>
        </is>
      </c>
      <c r="L1075" s="5" t="inlineStr">
        <is>
          <t>310148</t>
        </is>
      </c>
      <c r="M1075" s="5">
        <f>IF(YEAR(I1075)&lt;=2020,"Até 2020",TEXT(YEAR(I1075),"0"))</f>
        <v/>
      </c>
      <c r="N1075" s="5">
        <f>IFERROR(INDEX(DePara!$A:$A,MATCH(TEXT(B1075,"0"),DePara!$D:$D,0)),"(sem categoria)")</f>
        <v/>
      </c>
      <c r="O1075" s="5">
        <f>IF(J1075="","",Parametros!$B$6-J1075)</f>
        <v/>
      </c>
      <c r="P1075" s="5">
        <f>IF(O1075="","",IF(O1075&gt;0,1,0))</f>
        <v/>
      </c>
    </row>
    <row r="1076">
      <c r="A1076" s="5" t="n">
        <v>2122100000</v>
      </c>
      <c r="B1076" s="5" t="inlineStr">
        <is>
          <t>IC5000</t>
        </is>
      </c>
      <c r="C1076" s="5" t="inlineStr">
        <is>
          <t>NORDEX SE</t>
        </is>
      </c>
      <c r="D1076" s="5" t="inlineStr">
        <is>
          <t>KR</t>
        </is>
      </c>
      <c r="E1076" s="5" t="n">
        <v>5035877</v>
      </c>
      <c r="F1076" s="5" t="inlineStr">
        <is>
          <t>610024</t>
        </is>
      </c>
      <c r="G1076" s="5" t="inlineStr">
        <is>
          <t>EUR</t>
        </is>
      </c>
      <c r="H1076" s="9" t="n">
        <v>-4361369.79</v>
      </c>
      <c r="I1076" s="16" t="n">
        <v>45943</v>
      </c>
      <c r="J1076" s="16" t="n">
        <v>45943</v>
      </c>
      <c r="K1076" s="5" t="inlineStr">
        <is>
          <t>Bank Guarantee Fee Q3/2025</t>
        </is>
      </c>
      <c r="L1076" s="5" t="n"/>
      <c r="M1076" s="5">
        <f>IF(YEAR(I1076)&lt;=2020,"Até 2020",TEXT(YEAR(I1076),"0"))</f>
        <v/>
      </c>
      <c r="N1076" s="5">
        <f>IFERROR(INDEX(DePara!$A:$A,MATCH(TEXT(B1076,"0"),DePara!$D:$D,0)),"(sem categoria)")</f>
        <v/>
      </c>
      <c r="O1076" s="5">
        <f>IF(J1076="","",Parametros!$B$6-J1076)</f>
        <v/>
      </c>
      <c r="P1076" s="5">
        <f>IF(O1076="","",IF(O1076&gt;0,1,0))</f>
        <v/>
      </c>
    </row>
    <row r="1077">
      <c r="A1077" s="5" t="n">
        <v>2122100000</v>
      </c>
      <c r="B1077" s="5" t="inlineStr">
        <is>
          <t>IC4420</t>
        </is>
      </c>
      <c r="C1077" s="5" t="inlineStr">
        <is>
          <t>NORDEX ENERGY SPAIN S A U</t>
        </is>
      </c>
      <c r="D1077" s="5" t="inlineStr">
        <is>
          <t>RE</t>
        </is>
      </c>
      <c r="E1077" s="5" t="n">
        <v>5035970</v>
      </c>
      <c r="F1077" s="5" t="inlineStr">
        <is>
          <t>4025007692</t>
        </is>
      </c>
      <c r="G1077" s="5" t="inlineStr">
        <is>
          <t>EUR</t>
        </is>
      </c>
      <c r="H1077" s="9" t="n">
        <v>-165527.62</v>
      </c>
      <c r="I1077" s="16" t="n">
        <v>45936</v>
      </c>
      <c r="J1077" s="16" t="n">
        <v>45966</v>
      </c>
      <c r="K1077" s="5" t="inlineStr">
        <is>
          <t>0770/25</t>
        </is>
      </c>
      <c r="L1077" s="5" t="inlineStr">
        <is>
          <t>4025007692</t>
        </is>
      </c>
      <c r="M1077" s="5">
        <f>IF(YEAR(I1077)&lt;=2020,"Até 2020",TEXT(YEAR(I1077),"0"))</f>
        <v/>
      </c>
      <c r="N1077" s="5">
        <f>IFERROR(INDEX(DePara!$A:$A,MATCH(TEXT(B1077,"0"),DePara!$D:$D,0)),"(sem categoria)")</f>
        <v/>
      </c>
      <c r="O1077" s="5">
        <f>IF(J1077="","",Parametros!$B$6-J1077)</f>
        <v/>
      </c>
      <c r="P1077" s="5">
        <f>IF(O1077="","",IF(O1077&gt;0,1,0))</f>
        <v/>
      </c>
    </row>
    <row r="1078">
      <c r="A1078" s="5" t="n">
        <v>2122100000</v>
      </c>
      <c r="B1078" s="5" t="inlineStr">
        <is>
          <t>IC4420</t>
        </is>
      </c>
      <c r="C1078" s="5" t="inlineStr">
        <is>
          <t>NORDEX ENERGY SPAIN S A U</t>
        </is>
      </c>
      <c r="D1078" s="5" t="inlineStr">
        <is>
          <t>RE</t>
        </is>
      </c>
      <c r="E1078" s="5" t="n">
        <v>5035976</v>
      </c>
      <c r="F1078" s="5" t="inlineStr">
        <is>
          <t>4025007417</t>
        </is>
      </c>
      <c r="G1078" s="5" t="inlineStr">
        <is>
          <t>EUR</t>
        </is>
      </c>
      <c r="H1078" s="9" t="n">
        <v>-25885.41</v>
      </c>
      <c r="I1078" s="16" t="n">
        <v>45918</v>
      </c>
      <c r="J1078" s="16" t="n">
        <v>45948</v>
      </c>
      <c r="K1078" s="5" t="inlineStr">
        <is>
          <t>0760/25</t>
        </is>
      </c>
      <c r="L1078" s="5" t="inlineStr">
        <is>
          <t>4025007417</t>
        </is>
      </c>
      <c r="M1078" s="5">
        <f>IF(YEAR(I1078)&lt;=2020,"Até 2020",TEXT(YEAR(I1078),"0"))</f>
        <v/>
      </c>
      <c r="N1078" s="5">
        <f>IFERROR(INDEX(DePara!$A:$A,MATCH(TEXT(B1078,"0"),DePara!$D:$D,0)),"(sem categoria)")</f>
        <v/>
      </c>
      <c r="O1078" s="5">
        <f>IF(J1078="","",Parametros!$B$6-J1078)</f>
        <v/>
      </c>
      <c r="P1078" s="5">
        <f>IF(O1078="","",IF(O1078&gt;0,1,0))</f>
        <v/>
      </c>
    </row>
    <row r="1079">
      <c r="A1079" s="5" t="n">
        <v>2122100000</v>
      </c>
      <c r="B1079" s="5" t="inlineStr">
        <is>
          <t>IC1000</t>
        </is>
      </c>
      <c r="C1079" s="5" t="inlineStr">
        <is>
          <t>NORDEX ENERGY SE &amp; CO KG</t>
        </is>
      </c>
      <c r="D1079" s="5" t="inlineStr">
        <is>
          <t>RE</t>
        </is>
      </c>
      <c r="E1079" s="5" t="n">
        <v>5036031</v>
      </c>
      <c r="F1079" s="5" t="inlineStr">
        <is>
          <t>RITM0529131</t>
        </is>
      </c>
      <c r="G1079" s="5" t="inlineStr">
        <is>
          <t>EUR</t>
        </is>
      </c>
      <c r="H1079" s="9" t="n">
        <v>-644138.11</v>
      </c>
      <c r="I1079" s="16" t="n">
        <v>45854</v>
      </c>
      <c r="J1079" s="16" t="n">
        <v>45884</v>
      </c>
      <c r="K1079" s="5" t="inlineStr">
        <is>
          <t>0655/25</t>
        </is>
      </c>
      <c r="L1079" s="5" t="inlineStr">
        <is>
          <t>RITM0529131</t>
        </is>
      </c>
      <c r="M1079" s="5">
        <f>IF(YEAR(I1079)&lt;=2020,"Até 2020",TEXT(YEAR(I1079),"0"))</f>
        <v/>
      </c>
      <c r="N1079" s="5">
        <f>IFERROR(INDEX(DePara!$A:$A,MATCH(TEXT(B1079,"0"),DePara!$D:$D,0)),"(sem categoria)")</f>
        <v/>
      </c>
      <c r="O1079" s="5">
        <f>IF(J1079="","",Parametros!$B$6-J1079)</f>
        <v/>
      </c>
      <c r="P1079" s="5">
        <f>IF(O1079="","",IF(O1079&gt;0,1,0))</f>
        <v/>
      </c>
    </row>
    <row r="1080">
      <c r="A1080" s="5" t="n">
        <v>2122100000</v>
      </c>
      <c r="B1080" s="5" t="inlineStr">
        <is>
          <t>IC1000</t>
        </is>
      </c>
      <c r="C1080" s="5" t="inlineStr">
        <is>
          <t>NORDEX ENERGY SE &amp; CO KG</t>
        </is>
      </c>
      <c r="D1080" s="5" t="inlineStr">
        <is>
          <t>RE</t>
        </is>
      </c>
      <c r="E1080" s="5" t="n">
        <v>5036072</v>
      </c>
      <c r="F1080" s="5" t="inlineStr">
        <is>
          <t>365453</t>
        </is>
      </c>
      <c r="G1080" s="5" t="inlineStr">
        <is>
          <t>EUR</t>
        </is>
      </c>
      <c r="H1080" s="9" t="n">
        <v>-2781.39</v>
      </c>
      <c r="I1080" s="16" t="n">
        <v>45936</v>
      </c>
      <c r="J1080" s="16" t="n">
        <v>45966</v>
      </c>
      <c r="K1080" s="5" t="inlineStr">
        <is>
          <t>0810/25</t>
        </is>
      </c>
      <c r="L1080" s="5" t="inlineStr">
        <is>
          <t>365453</t>
        </is>
      </c>
      <c r="M1080" s="5">
        <f>IF(YEAR(I1080)&lt;=2020,"Até 2020",TEXT(YEAR(I1080),"0"))</f>
        <v/>
      </c>
      <c r="N1080" s="5">
        <f>IFERROR(INDEX(DePara!$A:$A,MATCH(TEXT(B1080,"0"),DePara!$D:$D,0)),"(sem categoria)")</f>
        <v/>
      </c>
      <c r="O1080" s="5">
        <f>IF(J1080="","",Parametros!$B$6-J1080)</f>
        <v/>
      </c>
      <c r="P1080" s="5">
        <f>IF(O1080="","",IF(O1080&gt;0,1,0))</f>
        <v/>
      </c>
    </row>
    <row r="1081">
      <c r="A1081" s="5" t="n">
        <v>2122100000</v>
      </c>
      <c r="B1081" s="5" t="inlineStr">
        <is>
          <t>IC1000</t>
        </is>
      </c>
      <c r="C1081" s="5" t="inlineStr">
        <is>
          <t>NORDEX ENERGY SE &amp; CO KG</t>
        </is>
      </c>
      <c r="D1081" s="5" t="inlineStr">
        <is>
          <t>RE</t>
        </is>
      </c>
      <c r="E1081" s="5" t="n">
        <v>5036075</v>
      </c>
      <c r="F1081" s="5" t="inlineStr">
        <is>
          <t>365452</t>
        </is>
      </c>
      <c r="G1081" s="5" t="inlineStr">
        <is>
          <t>EUR</t>
        </is>
      </c>
      <c r="H1081" s="9" t="n">
        <v>-7603.44</v>
      </c>
      <c r="I1081" s="16" t="n">
        <v>45936</v>
      </c>
      <c r="J1081" s="16" t="n">
        <v>45966</v>
      </c>
      <c r="K1081" s="5" t="inlineStr">
        <is>
          <t>0804/25</t>
        </is>
      </c>
      <c r="L1081" s="5" t="inlineStr">
        <is>
          <t>365452</t>
        </is>
      </c>
      <c r="M1081" s="5">
        <f>IF(YEAR(I1081)&lt;=2020,"Até 2020",TEXT(YEAR(I1081),"0"))</f>
        <v/>
      </c>
      <c r="N1081" s="5">
        <f>IFERROR(INDEX(DePara!$A:$A,MATCH(TEXT(B1081,"0"),DePara!$D:$D,0)),"(sem categoria)")</f>
        <v/>
      </c>
      <c r="O1081" s="5">
        <f>IF(J1081="","",Parametros!$B$6-J1081)</f>
        <v/>
      </c>
      <c r="P1081" s="5">
        <f>IF(O1081="","",IF(O1081&gt;0,1,0))</f>
        <v/>
      </c>
    </row>
    <row r="1082">
      <c r="A1082" s="5" t="n">
        <v>2122100000</v>
      </c>
      <c r="B1082" s="5" t="inlineStr">
        <is>
          <t>IC4420</t>
        </is>
      </c>
      <c r="C1082" s="5" t="inlineStr">
        <is>
          <t>NORDEX ENERGY SPAIN S A U</t>
        </is>
      </c>
      <c r="D1082" s="5" t="inlineStr">
        <is>
          <t>RE</t>
        </is>
      </c>
      <c r="E1082" s="5" t="n">
        <v>5036112</v>
      </c>
      <c r="F1082" s="5" t="inlineStr">
        <is>
          <t>4025007689</t>
        </is>
      </c>
      <c r="G1082" s="5" t="inlineStr">
        <is>
          <t>EUR</t>
        </is>
      </c>
      <c r="H1082" s="9" t="n">
        <v>-11913.43</v>
      </c>
      <c r="I1082" s="16" t="n">
        <v>45936</v>
      </c>
      <c r="J1082" s="16" t="n">
        <v>45966</v>
      </c>
      <c r="K1082" s="5" t="inlineStr">
        <is>
          <t>0768/25</t>
        </is>
      </c>
      <c r="L1082" s="5" t="inlineStr">
        <is>
          <t>4025007689</t>
        </is>
      </c>
      <c r="M1082" s="5">
        <f>IF(YEAR(I1082)&lt;=2020,"Até 2020",TEXT(YEAR(I1082),"0"))</f>
        <v/>
      </c>
      <c r="N1082" s="5">
        <f>IFERROR(INDEX(DePara!$A:$A,MATCH(TEXT(B1082,"0"),DePara!$D:$D,0)),"(sem categoria)")</f>
        <v/>
      </c>
      <c r="O1082" s="5">
        <f>IF(J1082="","",Parametros!$B$6-J1082)</f>
        <v/>
      </c>
      <c r="P1082" s="5">
        <f>IF(O1082="","",IF(O1082&gt;0,1,0))</f>
        <v/>
      </c>
    </row>
    <row r="1083">
      <c r="A1083" s="5" t="n">
        <v>2122100000</v>
      </c>
      <c r="B1083" s="5" t="inlineStr">
        <is>
          <t>IC4420</t>
        </is>
      </c>
      <c r="C1083" s="5" t="inlineStr">
        <is>
          <t>NORDEX ENERGY SPAIN S A U</t>
        </is>
      </c>
      <c r="D1083" s="5" t="inlineStr">
        <is>
          <t>RE</t>
        </is>
      </c>
      <c r="E1083" s="5" t="n">
        <v>5036128</v>
      </c>
      <c r="F1083" s="5" t="inlineStr">
        <is>
          <t>4025007872</t>
        </is>
      </c>
      <c r="G1083" s="5" t="inlineStr">
        <is>
          <t>EUR</t>
        </is>
      </c>
      <c r="H1083" s="9" t="n">
        <v>-140124.76</v>
      </c>
      <c r="I1083" s="16" t="n">
        <v>45943</v>
      </c>
      <c r="J1083" s="16" t="n">
        <v>45973</v>
      </c>
      <c r="K1083" s="5" t="inlineStr">
        <is>
          <t>0792/25</t>
        </is>
      </c>
      <c r="L1083" s="5" t="inlineStr">
        <is>
          <t>4025007872</t>
        </is>
      </c>
      <c r="M1083" s="5">
        <f>IF(YEAR(I1083)&lt;=2020,"Até 2020",TEXT(YEAR(I1083),"0"))</f>
        <v/>
      </c>
      <c r="N1083" s="5">
        <f>IFERROR(INDEX(DePara!$A:$A,MATCH(TEXT(B1083,"0"),DePara!$D:$D,0)),"(sem categoria)")</f>
        <v/>
      </c>
      <c r="O1083" s="5">
        <f>IF(J1083="","",Parametros!$B$6-J1083)</f>
        <v/>
      </c>
      <c r="P1083" s="5">
        <f>IF(O1083="","",IF(O1083&gt;0,1,0))</f>
        <v/>
      </c>
    </row>
    <row r="1084">
      <c r="A1084" s="5" t="n">
        <v>2122100000</v>
      </c>
      <c r="B1084" s="5" t="inlineStr">
        <is>
          <t>IC4420</t>
        </is>
      </c>
      <c r="C1084" s="5" t="inlineStr">
        <is>
          <t>NORDEX ENERGY SPAIN S A U</t>
        </is>
      </c>
      <c r="D1084" s="5" t="inlineStr">
        <is>
          <t>RE</t>
        </is>
      </c>
      <c r="E1084" s="5" t="n">
        <v>5036131</v>
      </c>
      <c r="F1084" s="5" t="inlineStr">
        <is>
          <t>4025007673</t>
        </is>
      </c>
      <c r="G1084" s="5" t="inlineStr">
        <is>
          <t>EUR</t>
        </is>
      </c>
      <c r="H1084" s="9" t="n">
        <v>-2696.15</v>
      </c>
      <c r="I1084" s="16" t="n">
        <v>45933</v>
      </c>
      <c r="J1084" s="16" t="n">
        <v>45963</v>
      </c>
      <c r="K1084" s="5" t="inlineStr">
        <is>
          <t>0766/25</t>
        </is>
      </c>
      <c r="L1084" s="5" t="inlineStr">
        <is>
          <t>4025007673</t>
        </is>
      </c>
      <c r="M1084" s="5">
        <f>IF(YEAR(I1084)&lt;=2020,"Até 2020",TEXT(YEAR(I1084),"0"))</f>
        <v/>
      </c>
      <c r="N1084" s="5">
        <f>IFERROR(INDEX(DePara!$A:$A,MATCH(TEXT(B1084,"0"),DePara!$D:$D,0)),"(sem categoria)")</f>
        <v/>
      </c>
      <c r="O1084" s="5">
        <f>IF(J1084="","",Parametros!$B$6-J1084)</f>
        <v/>
      </c>
      <c r="P1084" s="5">
        <f>IF(O1084="","",IF(O1084&gt;0,1,0))</f>
        <v/>
      </c>
    </row>
    <row r="1085">
      <c r="A1085" s="5" t="n">
        <v>2122100000</v>
      </c>
      <c r="B1085" s="5" t="inlineStr">
        <is>
          <t>IC4420</t>
        </is>
      </c>
      <c r="C1085" s="5" t="inlineStr">
        <is>
          <t>NORDEX ENERGY SPAIN S A U</t>
        </is>
      </c>
      <c r="D1085" s="5" t="inlineStr">
        <is>
          <t>RE</t>
        </is>
      </c>
      <c r="E1085" s="5" t="n">
        <v>5036134</v>
      </c>
      <c r="F1085" s="5" t="inlineStr">
        <is>
          <t>4025007691</t>
        </is>
      </c>
      <c r="G1085" s="5" t="inlineStr">
        <is>
          <t>EUR</t>
        </is>
      </c>
      <c r="H1085" s="9" t="n">
        <v>-12147.68</v>
      </c>
      <c r="I1085" s="16" t="n">
        <v>45936</v>
      </c>
      <c r="J1085" s="16" t="n">
        <v>45966</v>
      </c>
      <c r="K1085" s="5" t="inlineStr">
        <is>
          <t>0769/25</t>
        </is>
      </c>
      <c r="L1085" s="5" t="inlineStr">
        <is>
          <t>4025007691</t>
        </is>
      </c>
      <c r="M1085" s="5">
        <f>IF(YEAR(I1085)&lt;=2020,"Até 2020",TEXT(YEAR(I1085),"0"))</f>
        <v/>
      </c>
      <c r="N1085" s="5">
        <f>IFERROR(INDEX(DePara!$A:$A,MATCH(TEXT(B1085,"0"),DePara!$D:$D,0)),"(sem categoria)")</f>
        <v/>
      </c>
      <c r="O1085" s="5">
        <f>IF(J1085="","",Parametros!$B$6-J1085)</f>
        <v/>
      </c>
      <c r="P1085" s="5">
        <f>IF(O1085="","",IF(O1085&gt;0,1,0))</f>
        <v/>
      </c>
    </row>
    <row r="1086">
      <c r="A1086" s="5" t="n">
        <v>2122100000</v>
      </c>
      <c r="B1086" s="5" t="inlineStr">
        <is>
          <t>IC4420</t>
        </is>
      </c>
      <c r="C1086" s="5" t="inlineStr">
        <is>
          <t>NORDEX ENERGY SPAIN S A U</t>
        </is>
      </c>
      <c r="D1086" s="5" t="inlineStr">
        <is>
          <t>RE</t>
        </is>
      </c>
      <c r="E1086" s="5" t="n">
        <v>5036135</v>
      </c>
      <c r="F1086" s="5" t="inlineStr">
        <is>
          <t>4025007690</t>
        </is>
      </c>
      <c r="G1086" s="5" t="inlineStr">
        <is>
          <t>EUR</t>
        </is>
      </c>
      <c r="H1086" s="9" t="n">
        <v>-145164.44</v>
      </c>
      <c r="I1086" s="16" t="n">
        <v>45936</v>
      </c>
      <c r="J1086" s="16" t="n">
        <v>45966</v>
      </c>
      <c r="K1086" s="5" t="inlineStr">
        <is>
          <t>0769/25</t>
        </is>
      </c>
      <c r="L1086" s="5" t="inlineStr">
        <is>
          <t>4025007690</t>
        </is>
      </c>
      <c r="M1086" s="5">
        <f>IF(YEAR(I1086)&lt;=2020,"Até 2020",TEXT(YEAR(I1086),"0"))</f>
        <v/>
      </c>
      <c r="N1086" s="5">
        <f>IFERROR(INDEX(DePara!$A:$A,MATCH(TEXT(B1086,"0"),DePara!$D:$D,0)),"(sem categoria)")</f>
        <v/>
      </c>
      <c r="O1086" s="5">
        <f>IF(J1086="","",Parametros!$B$6-J1086)</f>
        <v/>
      </c>
      <c r="P1086" s="5">
        <f>IF(O1086="","",IF(O1086&gt;0,1,0))</f>
        <v/>
      </c>
    </row>
    <row r="1087">
      <c r="A1087" s="5" t="n">
        <v>2122100000</v>
      </c>
      <c r="B1087" s="5" t="inlineStr">
        <is>
          <t>IC4420</t>
        </is>
      </c>
      <c r="C1087" s="5" t="inlineStr">
        <is>
          <t>NORDEX ENERGY SPAIN S A U</t>
        </is>
      </c>
      <c r="D1087" s="5" t="inlineStr">
        <is>
          <t>RE</t>
        </is>
      </c>
      <c r="E1087" s="5" t="n">
        <v>5036138</v>
      </c>
      <c r="F1087" s="5" t="inlineStr">
        <is>
          <t>4025007415</t>
        </is>
      </c>
      <c r="G1087" s="5" t="inlineStr">
        <is>
          <t>EUR</t>
        </is>
      </c>
      <c r="H1087" s="9" t="n">
        <v>-163134.16</v>
      </c>
      <c r="I1087" s="16" t="n">
        <v>45918</v>
      </c>
      <c r="J1087" s="16" t="n">
        <v>45948</v>
      </c>
      <c r="K1087" s="5" t="inlineStr">
        <is>
          <t>0758/25</t>
        </is>
      </c>
      <c r="L1087" s="5" t="inlineStr">
        <is>
          <t>4025007415</t>
        </is>
      </c>
      <c r="M1087" s="5">
        <f>IF(YEAR(I1087)&lt;=2020,"Até 2020",TEXT(YEAR(I1087),"0"))</f>
        <v/>
      </c>
      <c r="N1087" s="5">
        <f>IFERROR(INDEX(DePara!$A:$A,MATCH(TEXT(B1087,"0"),DePara!$D:$D,0)),"(sem categoria)")</f>
        <v/>
      </c>
      <c r="O1087" s="5">
        <f>IF(J1087="","",Parametros!$B$6-J1087)</f>
        <v/>
      </c>
      <c r="P1087" s="5">
        <f>IF(O1087="","",IF(O1087&gt;0,1,0))</f>
        <v/>
      </c>
    </row>
    <row r="1088">
      <c r="A1088" s="5" t="n">
        <v>2122100000</v>
      </c>
      <c r="B1088" s="5" t="inlineStr">
        <is>
          <t>IC4420</t>
        </is>
      </c>
      <c r="C1088" s="5" t="inlineStr">
        <is>
          <t>NORDEX ENERGY SPAIN S A U</t>
        </is>
      </c>
      <c r="D1088" s="5" t="inlineStr">
        <is>
          <t>RE</t>
        </is>
      </c>
      <c r="E1088" s="5" t="n">
        <v>5036139</v>
      </c>
      <c r="F1088" s="5" t="inlineStr">
        <is>
          <t>4025007418</t>
        </is>
      </c>
      <c r="G1088" s="5" t="inlineStr">
        <is>
          <t>EUR</t>
        </is>
      </c>
      <c r="H1088" s="9" t="n">
        <v>-3786.91</v>
      </c>
      <c r="I1088" s="16" t="n">
        <v>45918</v>
      </c>
      <c r="J1088" s="16" t="n">
        <v>45948</v>
      </c>
      <c r="K1088" s="5" t="inlineStr">
        <is>
          <t>0758/25</t>
        </is>
      </c>
      <c r="L1088" s="5" t="inlineStr">
        <is>
          <t>4025007418</t>
        </is>
      </c>
      <c r="M1088" s="5">
        <f>IF(YEAR(I1088)&lt;=2020,"Até 2020",TEXT(YEAR(I1088),"0"))</f>
        <v/>
      </c>
      <c r="N1088" s="5">
        <f>IFERROR(INDEX(DePara!$A:$A,MATCH(TEXT(B1088,"0"),DePara!$D:$D,0)),"(sem categoria)")</f>
        <v/>
      </c>
      <c r="O1088" s="5">
        <f>IF(J1088="","",Parametros!$B$6-J1088)</f>
        <v/>
      </c>
      <c r="P1088" s="5">
        <f>IF(O1088="","",IF(O1088&gt;0,1,0))</f>
        <v/>
      </c>
    </row>
    <row r="1089">
      <c r="A1089" s="5" t="n">
        <v>2122100000</v>
      </c>
      <c r="B1089" s="5" t="inlineStr">
        <is>
          <t>IC1000</t>
        </is>
      </c>
      <c r="C1089" s="5" t="inlineStr">
        <is>
          <t>NORDEX ENERGY SE &amp; CO KG</t>
        </is>
      </c>
      <c r="D1089" s="5" t="inlineStr">
        <is>
          <t>RE</t>
        </is>
      </c>
      <c r="E1089" s="5" t="n">
        <v>5036150</v>
      </c>
      <c r="F1089" s="5" t="inlineStr">
        <is>
          <t>295342</t>
        </is>
      </c>
      <c r="G1089" s="5" t="inlineStr">
        <is>
          <t>EUR</t>
        </is>
      </c>
      <c r="H1089" s="9" t="n">
        <v>-20724.3</v>
      </c>
      <c r="I1089" s="16" t="n">
        <v>45490</v>
      </c>
      <c r="J1089" s="16" t="n">
        <v>45520</v>
      </c>
      <c r="K1089" s="5" t="inlineStr">
        <is>
          <t>0674/24</t>
        </is>
      </c>
      <c r="L1089" s="5" t="inlineStr">
        <is>
          <t>295342</t>
        </is>
      </c>
      <c r="M1089" s="5">
        <f>IF(YEAR(I1089)&lt;=2020,"Até 2020",TEXT(YEAR(I1089),"0"))</f>
        <v/>
      </c>
      <c r="N1089" s="5">
        <f>IFERROR(INDEX(DePara!$A:$A,MATCH(TEXT(B1089,"0"),DePara!$D:$D,0)),"(sem categoria)")</f>
        <v/>
      </c>
      <c r="O1089" s="5">
        <f>IF(J1089="","",Parametros!$B$6-J1089)</f>
        <v/>
      </c>
      <c r="P1089" s="5">
        <f>IF(O1089="","",IF(O1089&gt;0,1,0))</f>
        <v/>
      </c>
    </row>
    <row r="1090">
      <c r="A1090" s="5" t="n">
        <v>2122100000</v>
      </c>
      <c r="B1090" s="5" t="inlineStr">
        <is>
          <t>IC1000</t>
        </is>
      </c>
      <c r="C1090" s="5" t="inlineStr">
        <is>
          <t>NORDEX ENERGY SE &amp; CO KG</t>
        </is>
      </c>
      <c r="D1090" s="5" t="inlineStr">
        <is>
          <t>RE</t>
        </is>
      </c>
      <c r="E1090" s="5" t="n">
        <v>5036172</v>
      </c>
      <c r="F1090" s="5" t="inlineStr">
        <is>
          <t>365455</t>
        </is>
      </c>
      <c r="G1090" s="5" t="inlineStr">
        <is>
          <t>EUR</t>
        </is>
      </c>
      <c r="H1090" s="9" t="n">
        <v>-1118.23</v>
      </c>
      <c r="I1090" s="16" t="n">
        <v>45936</v>
      </c>
      <c r="J1090" s="16" t="n">
        <v>45966</v>
      </c>
      <c r="K1090" s="5" t="inlineStr">
        <is>
          <t>0805/25</t>
        </is>
      </c>
      <c r="L1090" s="5" t="inlineStr">
        <is>
          <t>365455</t>
        </is>
      </c>
      <c r="M1090" s="5">
        <f>IF(YEAR(I1090)&lt;=2020,"Até 2020",TEXT(YEAR(I1090),"0"))</f>
        <v/>
      </c>
      <c r="N1090" s="5">
        <f>IFERROR(INDEX(DePara!$A:$A,MATCH(TEXT(B1090,"0"),DePara!$D:$D,0)),"(sem categoria)")</f>
        <v/>
      </c>
      <c r="O1090" s="5">
        <f>IF(J1090="","",Parametros!$B$6-J1090)</f>
        <v/>
      </c>
      <c r="P1090" s="5">
        <f>IF(O1090="","",IF(O1090&gt;0,1,0))</f>
        <v/>
      </c>
    </row>
    <row r="1091">
      <c r="A1091" s="5" t="n">
        <v>2122100000</v>
      </c>
      <c r="B1091" s="5" t="inlineStr">
        <is>
          <t>IC4420</t>
        </is>
      </c>
      <c r="C1091" s="5" t="inlineStr">
        <is>
          <t>NORDEX ENERGY SPAIN S A U</t>
        </is>
      </c>
      <c r="D1091" s="5" t="inlineStr">
        <is>
          <t>RE</t>
        </is>
      </c>
      <c r="E1091" s="5" t="n">
        <v>5036208</v>
      </c>
      <c r="F1091" s="5" t="inlineStr">
        <is>
          <t>4025006404</t>
        </is>
      </c>
      <c r="G1091" s="5" t="inlineStr">
        <is>
          <t>EUR</t>
        </is>
      </c>
      <c r="H1091" s="9" t="n">
        <v>-1090421.31</v>
      </c>
      <c r="I1091" s="16" t="n">
        <v>45898</v>
      </c>
      <c r="J1091" s="16" t="n">
        <v>45928</v>
      </c>
      <c r="K1091" s="5" t="inlineStr">
        <is>
          <t>0630/25</t>
        </is>
      </c>
      <c r="L1091" s="5" t="inlineStr">
        <is>
          <t>4025006404</t>
        </is>
      </c>
      <c r="M1091" s="5">
        <f>IF(YEAR(I1091)&lt;=2020,"Até 2020",TEXT(YEAR(I1091),"0"))</f>
        <v/>
      </c>
      <c r="N1091" s="5">
        <f>IFERROR(INDEX(DePara!$A:$A,MATCH(TEXT(B1091,"0"),DePara!$D:$D,0)),"(sem categoria)")</f>
        <v/>
      </c>
      <c r="O1091" s="5">
        <f>IF(J1091="","",Parametros!$B$6-J1091)</f>
        <v/>
      </c>
      <c r="P1091" s="5">
        <f>IF(O1091="","",IF(O1091&gt;0,1,0))</f>
        <v/>
      </c>
    </row>
    <row r="1092">
      <c r="A1092" s="5" t="n">
        <v>2122100000</v>
      </c>
      <c r="B1092" s="5" t="inlineStr">
        <is>
          <t>IC1000</t>
        </is>
      </c>
      <c r="C1092" s="5" t="inlineStr">
        <is>
          <t>NORDEX ENERGY SE &amp; CO KG</t>
        </is>
      </c>
      <c r="D1092" s="5" t="inlineStr">
        <is>
          <t>RE</t>
        </is>
      </c>
      <c r="E1092" s="5" t="n">
        <v>5036238</v>
      </c>
      <c r="F1092" s="5" t="inlineStr">
        <is>
          <t>365454</t>
        </is>
      </c>
      <c r="G1092" s="5" t="inlineStr">
        <is>
          <t>EUR</t>
        </is>
      </c>
      <c r="H1092" s="9" t="n">
        <v>-1783.72</v>
      </c>
      <c r="I1092" s="16" t="n">
        <v>45936</v>
      </c>
      <c r="J1092" s="16" t="n">
        <v>45966</v>
      </c>
      <c r="K1092" s="5" t="inlineStr">
        <is>
          <t>0811/25</t>
        </is>
      </c>
      <c r="L1092" s="5" t="inlineStr">
        <is>
          <t>365454</t>
        </is>
      </c>
      <c r="M1092" s="5">
        <f>IF(YEAR(I1092)&lt;=2020,"Até 2020",TEXT(YEAR(I1092),"0"))</f>
        <v/>
      </c>
      <c r="N1092" s="5">
        <f>IFERROR(INDEX(DePara!$A:$A,MATCH(TEXT(B1092,"0"),DePara!$D:$D,0)),"(sem categoria)")</f>
        <v/>
      </c>
      <c r="O1092" s="5">
        <f>IF(J1092="","",Parametros!$B$6-J1092)</f>
        <v/>
      </c>
      <c r="P1092" s="5">
        <f>IF(O1092="","",IF(O1092&gt;0,1,0))</f>
        <v/>
      </c>
    </row>
    <row r="1093">
      <c r="A1093" s="5" t="n">
        <v>2122100000</v>
      </c>
      <c r="B1093" s="5" t="inlineStr">
        <is>
          <t>IC1000</t>
        </is>
      </c>
      <c r="C1093" s="5" t="inlineStr">
        <is>
          <t>NORDEX ENERGY SE &amp; CO KG</t>
        </is>
      </c>
      <c r="D1093" s="5" t="inlineStr">
        <is>
          <t>RE</t>
        </is>
      </c>
      <c r="E1093" s="5" t="n">
        <v>5036252</v>
      </c>
      <c r="F1093" s="5" t="inlineStr">
        <is>
          <t>365457</t>
        </is>
      </c>
      <c r="G1093" s="5" t="inlineStr">
        <is>
          <t>EUR</t>
        </is>
      </c>
      <c r="H1093" s="9" t="n">
        <v>-1118.55</v>
      </c>
      <c r="I1093" s="16" t="n">
        <v>45936</v>
      </c>
      <c r="J1093" s="16" t="n">
        <v>45966</v>
      </c>
      <c r="K1093" s="5" t="inlineStr">
        <is>
          <t>0807/25</t>
        </is>
      </c>
      <c r="L1093" s="5" t="inlineStr">
        <is>
          <t>365457</t>
        </is>
      </c>
      <c r="M1093" s="5">
        <f>IF(YEAR(I1093)&lt;=2020,"Até 2020",TEXT(YEAR(I1093),"0"))</f>
        <v/>
      </c>
      <c r="N1093" s="5">
        <f>IFERROR(INDEX(DePara!$A:$A,MATCH(TEXT(B1093,"0"),DePara!$D:$D,0)),"(sem categoria)")</f>
        <v/>
      </c>
      <c r="O1093" s="5">
        <f>IF(J1093="","",Parametros!$B$6-J1093)</f>
        <v/>
      </c>
      <c r="P1093" s="5">
        <f>IF(O1093="","",IF(O1093&gt;0,1,0))</f>
        <v/>
      </c>
    </row>
    <row r="1094">
      <c r="A1094" s="5" t="n">
        <v>2122100000</v>
      </c>
      <c r="B1094" s="5" t="inlineStr">
        <is>
          <t>IC1000</t>
        </is>
      </c>
      <c r="C1094" s="5" t="inlineStr">
        <is>
          <t>NORDEX ENERGY SE &amp; CO KG</t>
        </is>
      </c>
      <c r="D1094" s="5" t="inlineStr">
        <is>
          <t>RE</t>
        </is>
      </c>
      <c r="E1094" s="5" t="n">
        <v>5036261</v>
      </c>
      <c r="F1094" s="5" t="inlineStr">
        <is>
          <t>365448</t>
        </is>
      </c>
      <c r="G1094" s="5" t="inlineStr">
        <is>
          <t>EUR</t>
        </is>
      </c>
      <c r="H1094" s="9" t="n">
        <v>-1118.61</v>
      </c>
      <c r="I1094" s="16" t="n">
        <v>45938</v>
      </c>
      <c r="J1094" s="16" t="n">
        <v>45968</v>
      </c>
      <c r="K1094" s="5" t="inlineStr">
        <is>
          <t>0802/25</t>
        </is>
      </c>
      <c r="L1094" s="5" t="inlineStr">
        <is>
          <t>365448</t>
        </is>
      </c>
      <c r="M1094" s="5">
        <f>IF(YEAR(I1094)&lt;=2020,"Até 2020",TEXT(YEAR(I1094),"0"))</f>
        <v/>
      </c>
      <c r="N1094" s="5">
        <f>IFERROR(INDEX(DePara!$A:$A,MATCH(TEXT(B1094,"0"),DePara!$D:$D,0)),"(sem categoria)")</f>
        <v/>
      </c>
      <c r="O1094" s="5">
        <f>IF(J1094="","",Parametros!$B$6-J1094)</f>
        <v/>
      </c>
      <c r="P1094" s="5">
        <f>IF(O1094="","",IF(O1094&gt;0,1,0))</f>
        <v/>
      </c>
    </row>
    <row r="1095">
      <c r="A1095" s="5" t="n">
        <v>2122100000</v>
      </c>
      <c r="B1095" s="5" t="inlineStr">
        <is>
          <t>IC1000</t>
        </is>
      </c>
      <c r="C1095" s="5" t="inlineStr">
        <is>
          <t>NORDEX ENERGY SE &amp; CO KG</t>
        </is>
      </c>
      <c r="D1095" s="5" t="inlineStr">
        <is>
          <t>RE</t>
        </is>
      </c>
      <c r="E1095" s="5" t="n">
        <v>5036372</v>
      </c>
      <c r="F1095" s="5" t="inlineStr">
        <is>
          <t>365451</t>
        </is>
      </c>
      <c r="G1095" s="5" t="inlineStr">
        <is>
          <t>EUR</t>
        </is>
      </c>
      <c r="H1095" s="9" t="n">
        <v>-1118.42</v>
      </c>
      <c r="I1095" s="16" t="n">
        <v>45936</v>
      </c>
      <c r="J1095" s="16" t="n">
        <v>45966</v>
      </c>
      <c r="K1095" s="5" t="inlineStr">
        <is>
          <t>0809/25</t>
        </is>
      </c>
      <c r="L1095" s="5" t="inlineStr">
        <is>
          <t>365451</t>
        </is>
      </c>
      <c r="M1095" s="5">
        <f>IF(YEAR(I1095)&lt;=2020,"Até 2020",TEXT(YEAR(I1095),"0"))</f>
        <v/>
      </c>
      <c r="N1095" s="5">
        <f>IFERROR(INDEX(DePara!$A:$A,MATCH(TEXT(B1095,"0"),DePara!$D:$D,0)),"(sem categoria)")</f>
        <v/>
      </c>
      <c r="O1095" s="5">
        <f>IF(J1095="","",Parametros!$B$6-J1095)</f>
        <v/>
      </c>
      <c r="P1095" s="5">
        <f>IF(O1095="","",IF(O1095&gt;0,1,0))</f>
        <v/>
      </c>
    </row>
    <row r="1096">
      <c r="A1096" s="5" t="n">
        <v>2122100000</v>
      </c>
      <c r="B1096" s="5" t="inlineStr">
        <is>
          <t>IC1000</t>
        </is>
      </c>
      <c r="C1096" s="5" t="inlineStr">
        <is>
          <t>NORDEX ENERGY SE &amp; CO KG</t>
        </is>
      </c>
      <c r="D1096" s="5" t="inlineStr">
        <is>
          <t>RE</t>
        </is>
      </c>
      <c r="E1096" s="5" t="n">
        <v>5036404</v>
      </c>
      <c r="F1096" s="5" t="inlineStr">
        <is>
          <t>RITM0532093</t>
        </is>
      </c>
      <c r="G1096" s="5" t="inlineStr">
        <is>
          <t>EUR</t>
        </is>
      </c>
      <c r="H1096" s="9" t="n">
        <v>-3130170.27</v>
      </c>
      <c r="I1096" s="16" t="n">
        <v>45908</v>
      </c>
      <c r="J1096" s="16" t="n">
        <v>45938</v>
      </c>
      <c r="K1096" s="5" t="inlineStr">
        <is>
          <t>0699/25</t>
        </is>
      </c>
      <c r="L1096" s="5" t="inlineStr">
        <is>
          <t>RITM0532093</t>
        </is>
      </c>
      <c r="M1096" s="5">
        <f>IF(YEAR(I1096)&lt;=2020,"Até 2020",TEXT(YEAR(I1096),"0"))</f>
        <v/>
      </c>
      <c r="N1096" s="5">
        <f>IFERROR(INDEX(DePara!$A:$A,MATCH(TEXT(B1096,"0"),DePara!$D:$D,0)),"(sem categoria)")</f>
        <v/>
      </c>
      <c r="O1096" s="5">
        <f>IF(J1096="","",Parametros!$B$6-J1096)</f>
        <v/>
      </c>
      <c r="P1096" s="5">
        <f>IF(O1096="","",IF(O1096&gt;0,1,0))</f>
        <v/>
      </c>
    </row>
    <row r="1097">
      <c r="A1097" s="5" t="n">
        <v>2122100000</v>
      </c>
      <c r="B1097" s="5" t="inlineStr">
        <is>
          <t>IC1000</t>
        </is>
      </c>
      <c r="C1097" s="5" t="inlineStr">
        <is>
          <t>NORDEX ENERGY SE &amp; CO KG</t>
        </is>
      </c>
      <c r="D1097" s="5" t="inlineStr">
        <is>
          <t>RE</t>
        </is>
      </c>
      <c r="E1097" s="5" t="n">
        <v>5036431</v>
      </c>
      <c r="F1097" s="5" t="inlineStr">
        <is>
          <t>365456</t>
        </is>
      </c>
      <c r="G1097" s="5" t="inlineStr">
        <is>
          <t>EUR</t>
        </is>
      </c>
      <c r="H1097" s="9" t="n">
        <v>-1118.42</v>
      </c>
      <c r="I1097" s="16" t="n">
        <v>45936</v>
      </c>
      <c r="J1097" s="16" t="n">
        <v>45966</v>
      </c>
      <c r="K1097" s="5" t="inlineStr">
        <is>
          <t>0806/25</t>
        </is>
      </c>
      <c r="L1097" s="5" t="inlineStr">
        <is>
          <t>365456</t>
        </is>
      </c>
      <c r="M1097" s="5">
        <f>IF(YEAR(I1097)&lt;=2020,"Até 2020",TEXT(YEAR(I1097),"0"))</f>
        <v/>
      </c>
      <c r="N1097" s="5">
        <f>IFERROR(INDEX(DePara!$A:$A,MATCH(TEXT(B1097,"0"),DePara!$D:$D,0)),"(sem categoria)")</f>
        <v/>
      </c>
      <c r="O1097" s="5">
        <f>IF(J1097="","",Parametros!$B$6-J1097)</f>
        <v/>
      </c>
      <c r="P1097" s="5">
        <f>IF(O1097="","",IF(O1097&gt;0,1,0))</f>
        <v/>
      </c>
    </row>
    <row r="1098">
      <c r="A1098" s="5" t="n">
        <v>2122100000</v>
      </c>
      <c r="B1098" s="5" t="inlineStr">
        <is>
          <t>IC4420</t>
        </is>
      </c>
      <c r="C1098" s="5" t="inlineStr">
        <is>
          <t>NORDEX ENERGY SPAIN S A U</t>
        </is>
      </c>
      <c r="D1098" s="5" t="inlineStr">
        <is>
          <t>RE</t>
        </is>
      </c>
      <c r="E1098" s="5" t="n">
        <v>5036444</v>
      </c>
      <c r="F1098" s="5" t="inlineStr">
        <is>
          <t>4025007922</t>
        </is>
      </c>
      <c r="G1098" s="5" t="inlineStr">
        <is>
          <t>EUR</t>
        </is>
      </c>
      <c r="H1098" s="9" t="n">
        <v>-687582.46</v>
      </c>
      <c r="I1098" s="16" t="n">
        <v>45944</v>
      </c>
      <c r="J1098" s="16" t="n">
        <v>45974</v>
      </c>
      <c r="K1098" s="5" t="inlineStr">
        <is>
          <t>0798/25</t>
        </is>
      </c>
      <c r="L1098" s="5" t="inlineStr">
        <is>
          <t>4025007922</t>
        </is>
      </c>
      <c r="M1098" s="5">
        <f>IF(YEAR(I1098)&lt;=2020,"Até 2020",TEXT(YEAR(I1098),"0"))</f>
        <v/>
      </c>
      <c r="N1098" s="5">
        <f>IFERROR(INDEX(DePara!$A:$A,MATCH(TEXT(B1098,"0"),DePara!$D:$D,0)),"(sem categoria)")</f>
        <v/>
      </c>
      <c r="O1098" s="5">
        <f>IF(J1098="","",Parametros!$B$6-J1098)</f>
        <v/>
      </c>
      <c r="P1098" s="5">
        <f>IF(O1098="","",IF(O1098&gt;0,1,0))</f>
        <v/>
      </c>
    </row>
    <row r="1099">
      <c r="A1099" s="5" t="n">
        <v>2122100000</v>
      </c>
      <c r="B1099" s="5" t="inlineStr">
        <is>
          <t>IC4420</t>
        </is>
      </c>
      <c r="C1099" s="5" t="inlineStr">
        <is>
          <t>NORDEX ENERGY SPAIN S A U</t>
        </is>
      </c>
      <c r="D1099" s="5" t="inlineStr">
        <is>
          <t>RE</t>
        </is>
      </c>
      <c r="E1099" s="5" t="n">
        <v>5036478</v>
      </c>
      <c r="F1099" s="5" t="inlineStr">
        <is>
          <t>4025006793</t>
        </is>
      </c>
      <c r="G1099" s="5" t="inlineStr">
        <is>
          <t>EUR</t>
        </is>
      </c>
      <c r="H1099" s="9" t="n">
        <v>-124657.73</v>
      </c>
      <c r="I1099" s="16" t="n">
        <v>45912</v>
      </c>
      <c r="J1099" s="16" t="n">
        <v>45942</v>
      </c>
      <c r="K1099" s="5" t="inlineStr">
        <is>
          <t>0704/25</t>
        </is>
      </c>
      <c r="L1099" s="5" t="inlineStr">
        <is>
          <t>4025006793</t>
        </is>
      </c>
      <c r="M1099" s="5">
        <f>IF(YEAR(I1099)&lt;=2020,"Até 2020",TEXT(YEAR(I1099),"0"))</f>
        <v/>
      </c>
      <c r="N1099" s="5">
        <f>IFERROR(INDEX(DePara!$A:$A,MATCH(TEXT(B1099,"0"),DePara!$D:$D,0)),"(sem categoria)")</f>
        <v/>
      </c>
      <c r="O1099" s="5">
        <f>IF(J1099="","",Parametros!$B$6-J1099)</f>
        <v/>
      </c>
      <c r="P1099" s="5">
        <f>IF(O1099="","",IF(O1099&gt;0,1,0))</f>
        <v/>
      </c>
    </row>
    <row r="1100">
      <c r="A1100" s="5" t="n">
        <v>2122100000</v>
      </c>
      <c r="B1100" s="5" t="inlineStr">
        <is>
          <t>IC4420</t>
        </is>
      </c>
      <c r="C1100" s="5" t="inlineStr">
        <is>
          <t>NORDEX ENERGY SPAIN S A U</t>
        </is>
      </c>
      <c r="D1100" s="5" t="inlineStr">
        <is>
          <t>RE</t>
        </is>
      </c>
      <c r="E1100" s="5" t="n">
        <v>5036534</v>
      </c>
      <c r="F1100" s="5" t="inlineStr">
        <is>
          <t>4025007413</t>
        </is>
      </c>
      <c r="G1100" s="5" t="inlineStr">
        <is>
          <t>EUR</t>
        </is>
      </c>
      <c r="H1100" s="9" t="n">
        <v>-2490.82</v>
      </c>
      <c r="I1100" s="16" t="n">
        <v>45925</v>
      </c>
      <c r="J1100" s="16" t="n">
        <v>45955</v>
      </c>
      <c r="K1100" s="5" t="inlineStr">
        <is>
          <t>0756/25</t>
        </is>
      </c>
      <c r="L1100" s="5" t="inlineStr">
        <is>
          <t>4025007413</t>
        </is>
      </c>
      <c r="M1100" s="5">
        <f>IF(YEAR(I1100)&lt;=2020,"Até 2020",TEXT(YEAR(I1100),"0"))</f>
        <v/>
      </c>
      <c r="N1100" s="5">
        <f>IFERROR(INDEX(DePara!$A:$A,MATCH(TEXT(B1100,"0"),DePara!$D:$D,0)),"(sem categoria)")</f>
        <v/>
      </c>
      <c r="O1100" s="5">
        <f>IF(J1100="","",Parametros!$B$6-J1100)</f>
        <v/>
      </c>
      <c r="P1100" s="5">
        <f>IF(O1100="","",IF(O1100&gt;0,1,0))</f>
        <v/>
      </c>
    </row>
    <row r="1101">
      <c r="A1101" s="5" t="n">
        <v>2122100000</v>
      </c>
      <c r="B1101" s="5" t="inlineStr">
        <is>
          <t>IC4420</t>
        </is>
      </c>
      <c r="C1101" s="5" t="inlineStr">
        <is>
          <t>NORDEX ENERGY SPAIN S A U</t>
        </is>
      </c>
      <c r="D1101" s="5" t="inlineStr">
        <is>
          <t>RE</t>
        </is>
      </c>
      <c r="E1101" s="5" t="n">
        <v>5036535</v>
      </c>
      <c r="F1101" s="5" t="inlineStr">
        <is>
          <t>4025006135</t>
        </is>
      </c>
      <c r="G1101" s="5" t="inlineStr">
        <is>
          <t>EUR</t>
        </is>
      </c>
      <c r="H1101" s="9" t="n">
        <v>-93766.42999999999</v>
      </c>
      <c r="I1101" s="16" t="n">
        <v>45887</v>
      </c>
      <c r="J1101" s="16" t="n">
        <v>45917</v>
      </c>
      <c r="K1101" s="5" t="inlineStr">
        <is>
          <t>0671/25</t>
        </is>
      </c>
      <c r="L1101" s="5" t="inlineStr">
        <is>
          <t>4025006135</t>
        </is>
      </c>
      <c r="M1101" s="5">
        <f>IF(YEAR(I1101)&lt;=2020,"Até 2020",TEXT(YEAR(I1101),"0"))</f>
        <v/>
      </c>
      <c r="N1101" s="5">
        <f>IFERROR(INDEX(DePara!$A:$A,MATCH(TEXT(B1101,"0"),DePara!$D:$D,0)),"(sem categoria)")</f>
        <v/>
      </c>
      <c r="O1101" s="5">
        <f>IF(J1101="","",Parametros!$B$6-J1101)</f>
        <v/>
      </c>
      <c r="P1101" s="5">
        <f>IF(O1101="","",IF(O1101&gt;0,1,0))</f>
        <v/>
      </c>
    </row>
    <row r="1102">
      <c r="A1102" s="5" t="n">
        <v>2122100000</v>
      </c>
      <c r="B1102" s="5" t="inlineStr">
        <is>
          <t>IC4420</t>
        </is>
      </c>
      <c r="C1102" s="5" t="inlineStr">
        <is>
          <t>NORDEX ENERGY SPAIN S A U</t>
        </is>
      </c>
      <c r="D1102" s="5" t="inlineStr">
        <is>
          <t>RE</t>
        </is>
      </c>
      <c r="E1102" s="5" t="n">
        <v>5036536</v>
      </c>
      <c r="F1102" s="5" t="inlineStr">
        <is>
          <t>4025006134</t>
        </is>
      </c>
      <c r="G1102" s="5" t="inlineStr">
        <is>
          <t>EUR</t>
        </is>
      </c>
      <c r="H1102" s="9" t="n">
        <v>-10637.58</v>
      </c>
      <c r="I1102" s="16" t="n">
        <v>45887</v>
      </c>
      <c r="J1102" s="16" t="n">
        <v>45917</v>
      </c>
      <c r="K1102" s="5" t="inlineStr">
        <is>
          <t>0671/25</t>
        </is>
      </c>
      <c r="L1102" s="5" t="inlineStr">
        <is>
          <t>4025006134</t>
        </is>
      </c>
      <c r="M1102" s="5">
        <f>IF(YEAR(I1102)&lt;=2020,"Até 2020",TEXT(YEAR(I1102),"0"))</f>
        <v/>
      </c>
      <c r="N1102" s="5">
        <f>IFERROR(INDEX(DePara!$A:$A,MATCH(TEXT(B1102,"0"),DePara!$D:$D,0)),"(sem categoria)")</f>
        <v/>
      </c>
      <c r="O1102" s="5">
        <f>IF(J1102="","",Parametros!$B$6-J1102)</f>
        <v/>
      </c>
      <c r="P1102" s="5">
        <f>IF(O1102="","",IF(O1102&gt;0,1,0))</f>
        <v/>
      </c>
    </row>
    <row r="1103">
      <c r="A1103" s="5" t="n">
        <v>2122100000</v>
      </c>
      <c r="B1103" s="5" t="inlineStr">
        <is>
          <t>IC4420</t>
        </is>
      </c>
      <c r="C1103" s="5" t="inlineStr">
        <is>
          <t>NORDEX ENERGY SPAIN S A U</t>
        </is>
      </c>
      <c r="D1103" s="5" t="inlineStr">
        <is>
          <t>RE</t>
        </is>
      </c>
      <c r="E1103" s="5" t="n">
        <v>5036537</v>
      </c>
      <c r="F1103" s="5" t="inlineStr">
        <is>
          <t>4025007763</t>
        </is>
      </c>
      <c r="G1103" s="5" t="inlineStr">
        <is>
          <t>EUR</t>
        </is>
      </c>
      <c r="H1103" s="9" t="n">
        <v>-55617.29</v>
      </c>
      <c r="I1103" s="16" t="n">
        <v>45937</v>
      </c>
      <c r="J1103" s="16" t="n">
        <v>45967</v>
      </c>
      <c r="K1103" s="5" t="inlineStr">
        <is>
          <t>0790/25</t>
        </is>
      </c>
      <c r="L1103" s="5" t="inlineStr">
        <is>
          <t>4025007763</t>
        </is>
      </c>
      <c r="M1103" s="5">
        <f>IF(YEAR(I1103)&lt;=2020,"Até 2020",TEXT(YEAR(I1103),"0"))</f>
        <v/>
      </c>
      <c r="N1103" s="5">
        <f>IFERROR(INDEX(DePara!$A:$A,MATCH(TEXT(B1103,"0"),DePara!$D:$D,0)),"(sem categoria)")</f>
        <v/>
      </c>
      <c r="O1103" s="5">
        <f>IF(J1103="","",Parametros!$B$6-J1103)</f>
        <v/>
      </c>
      <c r="P1103" s="5">
        <f>IF(O1103="","",IF(O1103&gt;0,1,0))</f>
        <v/>
      </c>
    </row>
    <row r="1104">
      <c r="A1104" s="5" t="n">
        <v>2122100000</v>
      </c>
      <c r="B1104" s="5" t="inlineStr">
        <is>
          <t>IC4420</t>
        </is>
      </c>
      <c r="C1104" s="5" t="inlineStr">
        <is>
          <t>NORDEX ENERGY SPAIN S A U</t>
        </is>
      </c>
      <c r="D1104" s="5" t="inlineStr">
        <is>
          <t>KR</t>
        </is>
      </c>
      <c r="E1104" s="5" t="n">
        <v>5036567</v>
      </c>
      <c r="F1104" s="5" t="inlineStr">
        <is>
          <t>4025008240</t>
        </is>
      </c>
      <c r="G1104" s="5" t="inlineStr">
        <is>
          <t>EUR</t>
        </is>
      </c>
      <c r="H1104" s="9" t="n">
        <v>-381773.43</v>
      </c>
      <c r="I1104" s="16" t="n">
        <v>45954</v>
      </c>
      <c r="J1104" s="16" t="n">
        <v>45984</v>
      </c>
      <c r="K1104" s="5" t="inlineStr">
        <is>
          <t>Fatura do fornecedor NORDEX ENERGY SPAIN S A U 402</t>
        </is>
      </c>
      <c r="L1104" s="5" t="n"/>
      <c r="M1104" s="5">
        <f>IF(YEAR(I1104)&lt;=2020,"Até 2020",TEXT(YEAR(I1104),"0"))</f>
        <v/>
      </c>
      <c r="N1104" s="5">
        <f>IFERROR(INDEX(DePara!$A:$A,MATCH(TEXT(B1104,"0"),DePara!$D:$D,0)),"(sem categoria)")</f>
        <v/>
      </c>
      <c r="O1104" s="5">
        <f>IF(J1104="","",Parametros!$B$6-J1104)</f>
        <v/>
      </c>
      <c r="P1104" s="5">
        <f>IF(O1104="","",IF(O1104&gt;0,1,0))</f>
        <v/>
      </c>
    </row>
    <row r="1105">
      <c r="A1105" s="5" t="n">
        <v>2122100000</v>
      </c>
      <c r="B1105" s="5" t="inlineStr">
        <is>
          <t>IC4420</t>
        </is>
      </c>
      <c r="C1105" s="5" t="inlineStr">
        <is>
          <t>NORDEX ENERGY SPAIN S A U</t>
        </is>
      </c>
      <c r="D1105" s="5" t="inlineStr">
        <is>
          <t>RE</t>
        </is>
      </c>
      <c r="E1105" s="5" t="n">
        <v>5036614</v>
      </c>
      <c r="F1105" s="5" t="inlineStr">
        <is>
          <t>4025006125</t>
        </is>
      </c>
      <c r="G1105" s="5" t="inlineStr">
        <is>
          <t>EUR</t>
        </is>
      </c>
      <c r="H1105" s="9" t="n">
        <v>-26104.74</v>
      </c>
      <c r="I1105" s="16" t="n">
        <v>45887</v>
      </c>
      <c r="J1105" s="16" t="n">
        <v>45917</v>
      </c>
      <c r="K1105" s="5" t="inlineStr">
        <is>
          <t>0668/25</t>
        </is>
      </c>
      <c r="L1105" s="5" t="inlineStr">
        <is>
          <t>4025006125</t>
        </is>
      </c>
      <c r="M1105" s="5">
        <f>IF(YEAR(I1105)&lt;=2020,"Até 2020",TEXT(YEAR(I1105),"0"))</f>
        <v/>
      </c>
      <c r="N1105" s="5">
        <f>IFERROR(INDEX(DePara!$A:$A,MATCH(TEXT(B1105,"0"),DePara!$D:$D,0)),"(sem categoria)")</f>
        <v/>
      </c>
      <c r="O1105" s="5">
        <f>IF(J1105="","",Parametros!$B$6-J1105)</f>
        <v/>
      </c>
      <c r="P1105" s="5">
        <f>IF(O1105="","",IF(O1105&gt;0,1,0))</f>
        <v/>
      </c>
    </row>
    <row r="1106">
      <c r="A1106" s="5" t="n">
        <v>2122100000</v>
      </c>
      <c r="B1106" s="5" t="inlineStr">
        <is>
          <t>IC4420</t>
        </is>
      </c>
      <c r="C1106" s="5" t="inlineStr">
        <is>
          <t>NORDEX ENERGY SPAIN S A U</t>
        </is>
      </c>
      <c r="D1106" s="5" t="inlineStr">
        <is>
          <t>RE</t>
        </is>
      </c>
      <c r="E1106" s="5" t="n">
        <v>5036677</v>
      </c>
      <c r="F1106" s="5" t="inlineStr">
        <is>
          <t>4025007765</t>
        </is>
      </c>
      <c r="G1106" s="5" t="inlineStr">
        <is>
          <t>EUR</t>
        </is>
      </c>
      <c r="H1106" s="9" t="n">
        <v>-8263.200000000001</v>
      </c>
      <c r="I1106" s="16" t="n">
        <v>45937</v>
      </c>
      <c r="J1106" s="16" t="n">
        <v>45967</v>
      </c>
      <c r="K1106" s="5" t="inlineStr">
        <is>
          <t>0789/25</t>
        </is>
      </c>
      <c r="L1106" s="5" t="inlineStr">
        <is>
          <t>4025007765</t>
        </is>
      </c>
      <c r="M1106" s="5">
        <f>IF(YEAR(I1106)&lt;=2020,"Até 2020",TEXT(YEAR(I1106),"0"))</f>
        <v/>
      </c>
      <c r="N1106" s="5">
        <f>IFERROR(INDEX(DePara!$A:$A,MATCH(TEXT(B1106,"0"),DePara!$D:$D,0)),"(sem categoria)")</f>
        <v/>
      </c>
      <c r="O1106" s="5">
        <f>IF(J1106="","",Parametros!$B$6-J1106)</f>
        <v/>
      </c>
      <c r="P1106" s="5">
        <f>IF(O1106="","",IF(O1106&gt;0,1,0))</f>
        <v/>
      </c>
    </row>
    <row r="1107">
      <c r="A1107" s="5" t="n">
        <v>2122100000</v>
      </c>
      <c r="B1107" s="5" t="inlineStr">
        <is>
          <t>IC4420</t>
        </is>
      </c>
      <c r="C1107" s="5" t="inlineStr">
        <is>
          <t>NORDEX ENERGY SPAIN S A U</t>
        </is>
      </c>
      <c r="D1107" s="5" t="inlineStr">
        <is>
          <t>RE</t>
        </is>
      </c>
      <c r="E1107" s="5" t="n">
        <v>5036678</v>
      </c>
      <c r="F1107" s="5" t="inlineStr">
        <is>
          <t>4025007764</t>
        </is>
      </c>
      <c r="G1107" s="5" t="inlineStr">
        <is>
          <t>EUR</t>
        </is>
      </c>
      <c r="H1107" s="9" t="n">
        <v>-7068.67</v>
      </c>
      <c r="I1107" s="16" t="n">
        <v>45937</v>
      </c>
      <c r="J1107" s="16" t="n">
        <v>45967</v>
      </c>
      <c r="K1107" s="5" t="inlineStr">
        <is>
          <t>0789/25</t>
        </is>
      </c>
      <c r="L1107" s="5" t="inlineStr">
        <is>
          <t>4025007764</t>
        </is>
      </c>
      <c r="M1107" s="5">
        <f>IF(YEAR(I1107)&lt;=2020,"Até 2020",TEXT(YEAR(I1107),"0"))</f>
        <v/>
      </c>
      <c r="N1107" s="5">
        <f>IFERROR(INDEX(DePara!$A:$A,MATCH(TEXT(B1107,"0"),DePara!$D:$D,0)),"(sem categoria)")</f>
        <v/>
      </c>
      <c r="O1107" s="5">
        <f>IF(J1107="","",Parametros!$B$6-J1107)</f>
        <v/>
      </c>
      <c r="P1107" s="5">
        <f>IF(O1107="","",IF(O1107&gt;0,1,0))</f>
        <v/>
      </c>
    </row>
    <row r="1108">
      <c r="A1108" s="5" t="n">
        <v>2122100000</v>
      </c>
      <c r="B1108" s="5" t="inlineStr">
        <is>
          <t>IC4420</t>
        </is>
      </c>
      <c r="C1108" s="5" t="inlineStr">
        <is>
          <t>NORDEX ENERGY SPAIN S A U</t>
        </is>
      </c>
      <c r="D1108" s="5" t="inlineStr">
        <is>
          <t>RE</t>
        </is>
      </c>
      <c r="E1108" s="5" t="n">
        <v>5036680</v>
      </c>
      <c r="F1108" s="5" t="inlineStr">
        <is>
          <t>4025007766</t>
        </is>
      </c>
      <c r="G1108" s="5" t="inlineStr">
        <is>
          <t>EUR</t>
        </is>
      </c>
      <c r="H1108" s="9" t="n">
        <v>-47770.01</v>
      </c>
      <c r="I1108" s="16" t="n">
        <v>45937</v>
      </c>
      <c r="J1108" s="16" t="n">
        <v>45967</v>
      </c>
      <c r="K1108" s="5" t="inlineStr">
        <is>
          <t>0789/25</t>
        </is>
      </c>
      <c r="L1108" s="5" t="inlineStr">
        <is>
          <t>4025007766</t>
        </is>
      </c>
      <c r="M1108" s="5">
        <f>IF(YEAR(I1108)&lt;=2020,"Até 2020",TEXT(YEAR(I1108),"0"))</f>
        <v/>
      </c>
      <c r="N1108" s="5">
        <f>IFERROR(INDEX(DePara!$A:$A,MATCH(TEXT(B1108,"0"),DePara!$D:$D,0)),"(sem categoria)")</f>
        <v/>
      </c>
      <c r="O1108" s="5">
        <f>IF(J1108="","",Parametros!$B$6-J1108)</f>
        <v/>
      </c>
      <c r="P1108" s="5">
        <f>IF(O1108="","",IF(O1108&gt;0,1,0))</f>
        <v/>
      </c>
    </row>
    <row r="1109">
      <c r="A1109" s="5" t="n">
        <v>2122100000</v>
      </c>
      <c r="B1109" s="5" t="inlineStr">
        <is>
          <t>IC1000</t>
        </is>
      </c>
      <c r="C1109" s="5" t="inlineStr">
        <is>
          <t>NORDEX ENERGY SE &amp; CO KG</t>
        </is>
      </c>
      <c r="D1109" s="5" t="inlineStr">
        <is>
          <t>RE</t>
        </is>
      </c>
      <c r="E1109" s="5" t="n">
        <v>5036688</v>
      </c>
      <c r="F1109" s="5" t="inlineStr">
        <is>
          <t>365458</t>
        </is>
      </c>
      <c r="G1109" s="5" t="inlineStr">
        <is>
          <t>EUR</t>
        </is>
      </c>
      <c r="H1109" s="9" t="n">
        <v>-1118.8</v>
      </c>
      <c r="I1109" s="16" t="n">
        <v>45936</v>
      </c>
      <c r="J1109" s="16" t="n">
        <v>45966</v>
      </c>
      <c r="K1109" s="5" t="inlineStr">
        <is>
          <t>0812/25</t>
        </is>
      </c>
      <c r="L1109" s="5" t="inlineStr">
        <is>
          <t>365458</t>
        </is>
      </c>
      <c r="M1109" s="5">
        <f>IF(YEAR(I1109)&lt;=2020,"Até 2020",TEXT(YEAR(I1109),"0"))</f>
        <v/>
      </c>
      <c r="N1109" s="5">
        <f>IFERROR(INDEX(DePara!$A:$A,MATCH(TEXT(B1109,"0"),DePara!$D:$D,0)),"(sem categoria)")</f>
        <v/>
      </c>
      <c r="O1109" s="5">
        <f>IF(J1109="","",Parametros!$B$6-J1109)</f>
        <v/>
      </c>
      <c r="P1109" s="5">
        <f>IF(O1109="","",IF(O1109&gt;0,1,0))</f>
        <v/>
      </c>
    </row>
    <row r="1110">
      <c r="A1110" s="5" t="n">
        <v>2122100000</v>
      </c>
      <c r="B1110" s="5" t="inlineStr">
        <is>
          <t>IC4420</t>
        </is>
      </c>
      <c r="C1110" s="5" t="inlineStr">
        <is>
          <t>NORDEX ENERGY SPAIN S A U</t>
        </is>
      </c>
      <c r="D1110" s="5" t="inlineStr">
        <is>
          <t>RE</t>
        </is>
      </c>
      <c r="E1110" s="5" t="n">
        <v>5036692</v>
      </c>
      <c r="F1110" s="5" t="inlineStr">
        <is>
          <t>4025007416</t>
        </is>
      </c>
      <c r="G1110" s="5" t="inlineStr">
        <is>
          <t>EUR</t>
        </is>
      </c>
      <c r="H1110" s="9" t="n">
        <v>-1338.75</v>
      </c>
      <c r="I1110" s="16" t="n">
        <v>45918</v>
      </c>
      <c r="J1110" s="16" t="n">
        <v>45948</v>
      </c>
      <c r="K1110" s="5" t="inlineStr">
        <is>
          <t>0759/25</t>
        </is>
      </c>
      <c r="L1110" s="5" t="inlineStr">
        <is>
          <t>4025007416</t>
        </is>
      </c>
      <c r="M1110" s="5">
        <f>IF(YEAR(I1110)&lt;=2020,"Até 2020",TEXT(YEAR(I1110),"0"))</f>
        <v/>
      </c>
      <c r="N1110" s="5">
        <f>IFERROR(INDEX(DePara!$A:$A,MATCH(TEXT(B1110,"0"),DePara!$D:$D,0)),"(sem categoria)")</f>
        <v/>
      </c>
      <c r="O1110" s="5">
        <f>IF(J1110="","",Parametros!$B$6-J1110)</f>
        <v/>
      </c>
      <c r="P1110" s="5">
        <f>IF(O1110="","",IF(O1110&gt;0,1,0))</f>
        <v/>
      </c>
    </row>
    <row r="1111">
      <c r="A1111" s="5" t="n">
        <v>2122100000</v>
      </c>
      <c r="B1111" s="5" t="inlineStr">
        <is>
          <t>IC4420</t>
        </is>
      </c>
      <c r="C1111" s="5" t="inlineStr">
        <is>
          <t>NORDEX ENERGY SPAIN S A U</t>
        </is>
      </c>
      <c r="D1111" s="5" t="inlineStr">
        <is>
          <t>RE</t>
        </is>
      </c>
      <c r="E1111" s="5" t="n">
        <v>5036694</v>
      </c>
      <c r="F1111" s="5" t="inlineStr">
        <is>
          <t>4025007412</t>
        </is>
      </c>
      <c r="G1111" s="5" t="inlineStr">
        <is>
          <t>EUR</t>
        </is>
      </c>
      <c r="H1111" s="9" t="n">
        <v>-4400.92</v>
      </c>
      <c r="I1111" s="16" t="n">
        <v>45925</v>
      </c>
      <c r="J1111" s="16" t="n">
        <v>45955</v>
      </c>
      <c r="K1111" s="5" t="inlineStr">
        <is>
          <t>0757/25</t>
        </is>
      </c>
      <c r="L1111" s="5" t="inlineStr">
        <is>
          <t>4025007412</t>
        </is>
      </c>
      <c r="M1111" s="5">
        <f>IF(YEAR(I1111)&lt;=2020,"Até 2020",TEXT(YEAR(I1111),"0"))</f>
        <v/>
      </c>
      <c r="N1111" s="5">
        <f>IFERROR(INDEX(DePara!$A:$A,MATCH(TEXT(B1111,"0"),DePara!$D:$D,0)),"(sem categoria)")</f>
        <v/>
      </c>
      <c r="O1111" s="5">
        <f>IF(J1111="","",Parametros!$B$6-J1111)</f>
        <v/>
      </c>
      <c r="P1111" s="5">
        <f>IF(O1111="","",IF(O1111&gt;0,1,0))</f>
        <v/>
      </c>
    </row>
    <row r="1112">
      <c r="A1112" s="5" t="n">
        <v>2122100000</v>
      </c>
      <c r="B1112" s="5" t="inlineStr">
        <is>
          <t>IC1000</t>
        </is>
      </c>
      <c r="C1112" s="5" t="inlineStr">
        <is>
          <t>NORDEX ENERGY SE &amp; CO KG</t>
        </is>
      </c>
      <c r="D1112" s="5" t="inlineStr">
        <is>
          <t>RE</t>
        </is>
      </c>
      <c r="E1112" s="5" t="n">
        <v>5036695</v>
      </c>
      <c r="F1112" s="5" t="inlineStr">
        <is>
          <t>365449</t>
        </is>
      </c>
      <c r="G1112" s="5" t="inlineStr">
        <is>
          <t>EUR</t>
        </is>
      </c>
      <c r="H1112" s="9" t="n">
        <v>-1118.68</v>
      </c>
      <c r="I1112" s="16" t="n">
        <v>45936</v>
      </c>
      <c r="J1112" s="16" t="n">
        <v>45966</v>
      </c>
      <c r="K1112" s="5" t="inlineStr">
        <is>
          <t>0803/25</t>
        </is>
      </c>
      <c r="L1112" s="5" t="inlineStr">
        <is>
          <t>365449</t>
        </is>
      </c>
      <c r="M1112" s="5">
        <f>IF(YEAR(I1112)&lt;=2020,"Até 2020",TEXT(YEAR(I1112),"0"))</f>
        <v/>
      </c>
      <c r="N1112" s="5">
        <f>IFERROR(INDEX(DePara!$A:$A,MATCH(TEXT(B1112,"0"),DePara!$D:$D,0)),"(sem categoria)")</f>
        <v/>
      </c>
      <c r="O1112" s="5">
        <f>IF(J1112="","",Parametros!$B$6-J1112)</f>
        <v/>
      </c>
      <c r="P1112" s="5">
        <f>IF(O1112="","",IF(O1112&gt;0,1,0))</f>
        <v/>
      </c>
    </row>
    <row r="1113">
      <c r="A1113" s="5" t="n">
        <v>2122100000</v>
      </c>
      <c r="B1113" s="5" t="inlineStr">
        <is>
          <t>IC1000</t>
        </is>
      </c>
      <c r="C1113" s="5" t="inlineStr">
        <is>
          <t>NORDEX ENERGY SE &amp; CO KG</t>
        </is>
      </c>
      <c r="D1113" s="5" t="inlineStr">
        <is>
          <t>RE</t>
        </is>
      </c>
      <c r="E1113" s="5" t="n">
        <v>5036696</v>
      </c>
      <c r="F1113" s="5" t="inlineStr">
        <is>
          <t>366271</t>
        </is>
      </c>
      <c r="G1113" s="5" t="inlineStr">
        <is>
          <t>EUR</t>
        </is>
      </c>
      <c r="H1113" s="9" t="n">
        <v>-1102.26</v>
      </c>
      <c r="I1113" s="16" t="n">
        <v>45943</v>
      </c>
      <c r="J1113" s="16" t="n">
        <v>45973</v>
      </c>
      <c r="K1113" s="5" t="inlineStr">
        <is>
          <t>0813/25</t>
        </is>
      </c>
      <c r="L1113" s="5" t="inlineStr">
        <is>
          <t>366271</t>
        </is>
      </c>
      <c r="M1113" s="5">
        <f>IF(YEAR(I1113)&lt;=2020,"Até 2020",TEXT(YEAR(I1113),"0"))</f>
        <v/>
      </c>
      <c r="N1113" s="5">
        <f>IFERROR(INDEX(DePara!$A:$A,MATCH(TEXT(B1113,"0"),DePara!$D:$D,0)),"(sem categoria)")</f>
        <v/>
      </c>
      <c r="O1113" s="5">
        <f>IF(J1113="","",Parametros!$B$6-J1113)</f>
        <v/>
      </c>
      <c r="P1113" s="5">
        <f>IF(O1113="","",IF(O1113&gt;0,1,0))</f>
        <v/>
      </c>
    </row>
    <row r="1114">
      <c r="A1114" s="5" t="n">
        <v>2122100000</v>
      </c>
      <c r="B1114" s="5" t="inlineStr">
        <is>
          <t>IC1000</t>
        </is>
      </c>
      <c r="C1114" s="5" t="inlineStr">
        <is>
          <t>NORDEX ENERGY SE &amp; CO KG</t>
        </is>
      </c>
      <c r="D1114" s="5" t="inlineStr">
        <is>
          <t>RE</t>
        </is>
      </c>
      <c r="E1114" s="5" t="n">
        <v>5036708</v>
      </c>
      <c r="F1114" s="5" t="inlineStr">
        <is>
          <t>365450</t>
        </is>
      </c>
      <c r="G1114" s="5" t="inlineStr">
        <is>
          <t>EUR</t>
        </is>
      </c>
      <c r="H1114" s="9" t="n">
        <v>-1118.68</v>
      </c>
      <c r="I1114" s="16" t="n">
        <v>45936</v>
      </c>
      <c r="J1114" s="16" t="n">
        <v>45966</v>
      </c>
      <c r="K1114" s="5" t="inlineStr">
        <is>
          <t>0808/25</t>
        </is>
      </c>
      <c r="L1114" s="5" t="inlineStr">
        <is>
          <t>365450</t>
        </is>
      </c>
      <c r="M1114" s="5">
        <f>IF(YEAR(I1114)&lt;=2020,"Até 2020",TEXT(YEAR(I1114),"0"))</f>
        <v/>
      </c>
      <c r="N1114" s="5">
        <f>IFERROR(INDEX(DePara!$A:$A,MATCH(TEXT(B1114,"0"),DePara!$D:$D,0)),"(sem categoria)")</f>
        <v/>
      </c>
      <c r="O1114" s="5">
        <f>IF(J1114="","",Parametros!$B$6-J1114)</f>
        <v/>
      </c>
      <c r="P1114" s="5">
        <f>IF(O1114="","",IF(O1114&gt;0,1,0))</f>
        <v/>
      </c>
    </row>
    <row r="1115">
      <c r="A1115" s="5" t="n">
        <v>2122100000</v>
      </c>
      <c r="B1115" s="5" t="inlineStr">
        <is>
          <t>IC4420</t>
        </is>
      </c>
      <c r="C1115" s="5" t="inlineStr">
        <is>
          <t>NORDEX ENERGY SPAIN S A U</t>
        </is>
      </c>
      <c r="D1115" s="5" t="inlineStr">
        <is>
          <t>RE</t>
        </is>
      </c>
      <c r="E1115" s="5" t="n">
        <v>5036712</v>
      </c>
      <c r="F1115" s="5" t="inlineStr">
        <is>
          <t>4025007793</t>
        </is>
      </c>
      <c r="G1115" s="5" t="inlineStr">
        <is>
          <t>EUR</t>
        </is>
      </c>
      <c r="H1115" s="9" t="n">
        <v>-2094.55</v>
      </c>
      <c r="I1115" s="16" t="n">
        <v>45939</v>
      </c>
      <c r="J1115" s="16" t="n">
        <v>45969</v>
      </c>
      <c r="K1115" s="5" t="inlineStr">
        <is>
          <t>0788/25</t>
        </is>
      </c>
      <c r="L1115" s="5" t="inlineStr">
        <is>
          <t>4025007793</t>
        </is>
      </c>
      <c r="M1115" s="5">
        <f>IF(YEAR(I1115)&lt;=2020,"Até 2020",TEXT(YEAR(I1115),"0"))</f>
        <v/>
      </c>
      <c r="N1115" s="5">
        <f>IFERROR(INDEX(DePara!$A:$A,MATCH(TEXT(B1115,"0"),DePara!$D:$D,0)),"(sem categoria)")</f>
        <v/>
      </c>
      <c r="O1115" s="5">
        <f>IF(J1115="","",Parametros!$B$6-J1115)</f>
        <v/>
      </c>
      <c r="P1115" s="5">
        <f>IF(O1115="","",IF(O1115&gt;0,1,0))</f>
        <v/>
      </c>
    </row>
    <row r="1116">
      <c r="A1116" s="5" t="n">
        <v>2122100000</v>
      </c>
      <c r="B1116" s="5" t="inlineStr">
        <is>
          <t>IC4420</t>
        </is>
      </c>
      <c r="C1116" s="5" t="inlineStr">
        <is>
          <t>NORDEX ENERGY SPAIN S A U</t>
        </is>
      </c>
      <c r="D1116" s="5" t="inlineStr">
        <is>
          <t>RE</t>
        </is>
      </c>
      <c r="E1116" s="5" t="n">
        <v>5036726</v>
      </c>
      <c r="F1116" s="5" t="inlineStr">
        <is>
          <t>4024004605</t>
        </is>
      </c>
      <c r="G1116" s="5" t="inlineStr">
        <is>
          <t>EUR</t>
        </is>
      </c>
      <c r="H1116" s="9" t="n">
        <v>-862220.8</v>
      </c>
      <c r="I1116" s="16" t="n">
        <v>45474</v>
      </c>
      <c r="J1116" s="16" t="n">
        <v>45534</v>
      </c>
      <c r="K1116" s="5" t="inlineStr">
        <is>
          <t>0557/24</t>
        </is>
      </c>
      <c r="L1116" s="5" t="inlineStr">
        <is>
          <t>4024004605</t>
        </is>
      </c>
      <c r="M1116" s="5">
        <f>IF(YEAR(I1116)&lt;=2020,"Até 2020",TEXT(YEAR(I1116),"0"))</f>
        <v/>
      </c>
      <c r="N1116" s="5">
        <f>IFERROR(INDEX(DePara!$A:$A,MATCH(TEXT(B1116,"0"),DePara!$D:$D,0)),"(sem categoria)")</f>
        <v/>
      </c>
      <c r="O1116" s="5">
        <f>IF(J1116="","",Parametros!$B$6-J1116)</f>
        <v/>
      </c>
      <c r="P1116" s="5">
        <f>IF(O1116="","",IF(O1116&gt;0,1,0))</f>
        <v/>
      </c>
    </row>
    <row r="1117">
      <c r="A1117" s="5" t="n">
        <v>2122100000</v>
      </c>
      <c r="B1117" s="5" t="inlineStr">
        <is>
          <t>IC4420</t>
        </is>
      </c>
      <c r="C1117" s="5" t="inlineStr">
        <is>
          <t>NORDEX ENERGY SPAIN S A U</t>
        </is>
      </c>
      <c r="D1117" s="5" t="inlineStr">
        <is>
          <t>RE</t>
        </is>
      </c>
      <c r="E1117" s="5" t="n">
        <v>5037013</v>
      </c>
      <c r="F1117" s="5" t="inlineStr">
        <is>
          <t>4024003719</t>
        </is>
      </c>
      <c r="G1117" s="5" t="inlineStr">
        <is>
          <t>EUR</t>
        </is>
      </c>
      <c r="H1117" s="9" t="n">
        <v>-362383.28</v>
      </c>
      <c r="I1117" s="16" t="n">
        <v>45371</v>
      </c>
      <c r="J1117" s="16" t="n">
        <v>45431</v>
      </c>
      <c r="K1117" s="5" t="inlineStr">
        <is>
          <t>0676/24</t>
        </is>
      </c>
      <c r="L1117" s="5" t="inlineStr">
        <is>
          <t>4024003719</t>
        </is>
      </c>
      <c r="M1117" s="5">
        <f>IF(YEAR(I1117)&lt;=2020,"Até 2020",TEXT(YEAR(I1117),"0"))</f>
        <v/>
      </c>
      <c r="N1117" s="5">
        <f>IFERROR(INDEX(DePara!$A:$A,MATCH(TEXT(B1117,"0"),DePara!$D:$D,0)),"(sem categoria)")</f>
        <v/>
      </c>
      <c r="O1117" s="5">
        <f>IF(J1117="","",Parametros!$B$6-J1117)</f>
        <v/>
      </c>
      <c r="P1117" s="5">
        <f>IF(O1117="","",IF(O1117&gt;0,1,0))</f>
        <v/>
      </c>
    </row>
    <row r="1118">
      <c r="A1118" s="5" t="n">
        <v>2122100000</v>
      </c>
      <c r="B1118" s="5" t="inlineStr">
        <is>
          <t>IC4420</t>
        </is>
      </c>
      <c r="C1118" s="5" t="inlineStr">
        <is>
          <t>NORDEX ENERGY SPAIN S A U</t>
        </is>
      </c>
      <c r="D1118" s="5" t="inlineStr">
        <is>
          <t>RE</t>
        </is>
      </c>
      <c r="E1118" s="5" t="n">
        <v>5037112</v>
      </c>
      <c r="F1118" s="5" t="inlineStr">
        <is>
          <t>4025006129</t>
        </is>
      </c>
      <c r="G1118" s="5" t="inlineStr">
        <is>
          <t>EUR</t>
        </is>
      </c>
      <c r="H1118" s="9" t="n">
        <v>-77906.96000000001</v>
      </c>
      <c r="I1118" s="16" t="n">
        <v>45887</v>
      </c>
      <c r="J1118" s="16" t="n">
        <v>45917</v>
      </c>
      <c r="K1118" s="5" t="inlineStr">
        <is>
          <t>0669/25</t>
        </is>
      </c>
      <c r="L1118" s="5" t="inlineStr">
        <is>
          <t>4025006129</t>
        </is>
      </c>
      <c r="M1118" s="5">
        <f>IF(YEAR(I1118)&lt;=2020,"Até 2020",TEXT(YEAR(I1118),"0"))</f>
        <v/>
      </c>
      <c r="N1118" s="5">
        <f>IFERROR(INDEX(DePara!$A:$A,MATCH(TEXT(B1118,"0"),DePara!$D:$D,0)),"(sem categoria)")</f>
        <v/>
      </c>
      <c r="O1118" s="5">
        <f>IF(J1118="","",Parametros!$B$6-J1118)</f>
        <v/>
      </c>
      <c r="P1118" s="5">
        <f>IF(O1118="","",IF(O1118&gt;0,1,0))</f>
        <v/>
      </c>
    </row>
    <row r="1119">
      <c r="A1119" s="5" t="n">
        <v>2122100000</v>
      </c>
      <c r="B1119" s="5" t="inlineStr">
        <is>
          <t>IC4420</t>
        </is>
      </c>
      <c r="C1119" s="5" t="inlineStr">
        <is>
          <t>NORDEX ENERGY SPAIN S A U</t>
        </is>
      </c>
      <c r="D1119" s="5" t="inlineStr">
        <is>
          <t>RE</t>
        </is>
      </c>
      <c r="E1119" s="5" t="n">
        <v>5037190</v>
      </c>
      <c r="F1119" s="5" t="inlineStr">
        <is>
          <t>4024004780</t>
        </is>
      </c>
      <c r="G1119" s="5" t="inlineStr">
        <is>
          <t>EUR</t>
        </is>
      </c>
      <c r="H1119" s="9" t="n">
        <v>-8635.41</v>
      </c>
      <c r="I1119" s="16" t="n">
        <v>45482</v>
      </c>
      <c r="J1119" s="16" t="n">
        <v>45512</v>
      </c>
      <c r="K1119" s="5" t="inlineStr">
        <is>
          <t>0569/24</t>
        </is>
      </c>
      <c r="L1119" s="5" t="inlineStr">
        <is>
          <t>4024004780</t>
        </is>
      </c>
      <c r="M1119" s="5">
        <f>IF(YEAR(I1119)&lt;=2020,"Até 2020",TEXT(YEAR(I1119),"0"))</f>
        <v/>
      </c>
      <c r="N1119" s="5">
        <f>IFERROR(INDEX(DePara!$A:$A,MATCH(TEXT(B1119,"0"),DePara!$D:$D,0)),"(sem categoria)")</f>
        <v/>
      </c>
      <c r="O1119" s="5">
        <f>IF(J1119="","",Parametros!$B$6-J1119)</f>
        <v/>
      </c>
      <c r="P1119" s="5">
        <f>IF(O1119="","",IF(O1119&gt;0,1,0))</f>
        <v/>
      </c>
    </row>
    <row r="1120">
      <c r="A1120" s="5" t="n">
        <v>2122100000</v>
      </c>
      <c r="B1120" s="5" t="inlineStr">
        <is>
          <t>IC4420</t>
        </is>
      </c>
      <c r="C1120" s="5" t="inlineStr">
        <is>
          <t>NORDEX ENERGY SPAIN S A U</t>
        </is>
      </c>
      <c r="D1120" s="5" t="inlineStr">
        <is>
          <t>RE</t>
        </is>
      </c>
      <c r="E1120" s="5" t="n">
        <v>5037280</v>
      </c>
      <c r="F1120" s="5" t="inlineStr">
        <is>
          <t>4025006754</t>
        </is>
      </c>
      <c r="G1120" s="5" t="inlineStr">
        <is>
          <t>EUR</t>
        </is>
      </c>
      <c r="H1120" s="9" t="n">
        <v>-1025749.74</v>
      </c>
      <c r="I1120" s="16" t="n">
        <v>45911</v>
      </c>
      <c r="J1120" s="16" t="n">
        <v>45941</v>
      </c>
      <c r="K1120" s="5" t="inlineStr">
        <is>
          <t>0703/25</t>
        </is>
      </c>
      <c r="L1120" s="5" t="inlineStr">
        <is>
          <t>4025006754</t>
        </is>
      </c>
      <c r="M1120" s="5">
        <f>IF(YEAR(I1120)&lt;=2020,"Até 2020",TEXT(YEAR(I1120),"0"))</f>
        <v/>
      </c>
      <c r="N1120" s="5">
        <f>IFERROR(INDEX(DePara!$A:$A,MATCH(TEXT(B1120,"0"),DePara!$D:$D,0)),"(sem categoria)")</f>
        <v/>
      </c>
      <c r="O1120" s="5">
        <f>IF(J1120="","",Parametros!$B$6-J1120)</f>
        <v/>
      </c>
      <c r="P1120" s="5">
        <f>IF(O1120="","",IF(O1120&gt;0,1,0))</f>
        <v/>
      </c>
    </row>
    <row r="1121">
      <c r="A1121" s="5" t="n">
        <v>2122100000</v>
      </c>
      <c r="B1121" s="5" t="inlineStr">
        <is>
          <t>IC4420</t>
        </is>
      </c>
      <c r="C1121" s="5" t="inlineStr">
        <is>
          <t>NORDEX ENERGY SPAIN S A U</t>
        </is>
      </c>
      <c r="D1121" s="5" t="inlineStr">
        <is>
          <t>RE</t>
        </is>
      </c>
      <c r="E1121" s="5" t="n">
        <v>5037286</v>
      </c>
      <c r="F1121" s="5" t="inlineStr">
        <is>
          <t>4025007760</t>
        </is>
      </c>
      <c r="G1121" s="5" t="inlineStr">
        <is>
          <t>EUR</t>
        </is>
      </c>
      <c r="H1121" s="9" t="n">
        <v>-15081.25</v>
      </c>
      <c r="I1121" s="16" t="n">
        <v>45937</v>
      </c>
      <c r="J1121" s="16" t="n">
        <v>45967</v>
      </c>
      <c r="K1121" s="5" t="inlineStr">
        <is>
          <t>0794/25</t>
        </is>
      </c>
      <c r="L1121" s="5" t="inlineStr">
        <is>
          <t>4025007760</t>
        </is>
      </c>
      <c r="M1121" s="5">
        <f>IF(YEAR(I1121)&lt;=2020,"Até 2020",TEXT(YEAR(I1121),"0"))</f>
        <v/>
      </c>
      <c r="N1121" s="5">
        <f>IFERROR(INDEX(DePara!$A:$A,MATCH(TEXT(B1121,"0"),DePara!$D:$D,0)),"(sem categoria)")</f>
        <v/>
      </c>
      <c r="O1121" s="5">
        <f>IF(J1121="","",Parametros!$B$6-J1121)</f>
        <v/>
      </c>
      <c r="P1121" s="5">
        <f>IF(O1121="","",IF(O1121&gt;0,1,0))</f>
        <v/>
      </c>
    </row>
    <row r="1122">
      <c r="A1122" s="5" t="n">
        <v>2122100000</v>
      </c>
      <c r="B1122" s="5" t="inlineStr">
        <is>
          <t>IC4420</t>
        </is>
      </c>
      <c r="C1122" s="5" t="inlineStr">
        <is>
          <t>NORDEX ENERGY SPAIN S A U</t>
        </is>
      </c>
      <c r="D1122" s="5" t="inlineStr">
        <is>
          <t>RE</t>
        </is>
      </c>
      <c r="E1122" s="5" t="n">
        <v>5037289</v>
      </c>
      <c r="F1122" s="5" t="inlineStr">
        <is>
          <t>4025007785</t>
        </is>
      </c>
      <c r="G1122" s="5" t="inlineStr">
        <is>
          <t>EUR</t>
        </is>
      </c>
      <c r="H1122" s="9" t="n">
        <v>-175816.69</v>
      </c>
      <c r="I1122" s="16" t="n">
        <v>45939</v>
      </c>
      <c r="J1122" s="16" t="n">
        <v>45969</v>
      </c>
      <c r="K1122" s="5" t="inlineStr">
        <is>
          <t>0795/25</t>
        </is>
      </c>
      <c r="L1122" s="5" t="inlineStr">
        <is>
          <t>4025007785</t>
        </is>
      </c>
      <c r="M1122" s="5">
        <f>IF(YEAR(I1122)&lt;=2020,"Até 2020",TEXT(YEAR(I1122),"0"))</f>
        <v/>
      </c>
      <c r="N1122" s="5">
        <f>IFERROR(INDEX(DePara!$A:$A,MATCH(TEXT(B1122,"0"),DePara!$D:$D,0)),"(sem categoria)")</f>
        <v/>
      </c>
      <c r="O1122" s="5">
        <f>IF(J1122="","",Parametros!$B$6-J1122)</f>
        <v/>
      </c>
      <c r="P1122" s="5">
        <f>IF(O1122="","",IF(O1122&gt;0,1,0))</f>
        <v/>
      </c>
    </row>
    <row r="1123">
      <c r="A1123" s="5" t="n">
        <v>2122100000</v>
      </c>
      <c r="B1123" s="5" t="inlineStr">
        <is>
          <t>IC4420</t>
        </is>
      </c>
      <c r="C1123" s="5" t="inlineStr">
        <is>
          <t>NORDEX ENERGY SPAIN S A U</t>
        </is>
      </c>
      <c r="D1123" s="5" t="inlineStr">
        <is>
          <t>RE</t>
        </is>
      </c>
      <c r="E1123" s="5" t="n">
        <v>5037382</v>
      </c>
      <c r="F1123" s="5" t="inlineStr">
        <is>
          <t>4025007759</t>
        </is>
      </c>
      <c r="G1123" s="5" t="inlineStr">
        <is>
          <t>EUR</t>
        </is>
      </c>
      <c r="H1123" s="9" t="n">
        <v>-43911.79</v>
      </c>
      <c r="I1123" s="16" t="n">
        <v>45937</v>
      </c>
      <c r="J1123" s="16" t="n">
        <v>45967</v>
      </c>
      <c r="K1123" s="5" t="inlineStr">
        <is>
          <t>0793/25</t>
        </is>
      </c>
      <c r="L1123" s="5" t="inlineStr">
        <is>
          <t>4025007759</t>
        </is>
      </c>
      <c r="M1123" s="5">
        <f>IF(YEAR(I1123)&lt;=2020,"Até 2020",TEXT(YEAR(I1123),"0"))</f>
        <v/>
      </c>
      <c r="N1123" s="5">
        <f>IFERROR(INDEX(DePara!$A:$A,MATCH(TEXT(B1123,"0"),DePara!$D:$D,0)),"(sem categoria)")</f>
        <v/>
      </c>
      <c r="O1123" s="5">
        <f>IF(J1123="","",Parametros!$B$6-J1123)</f>
        <v/>
      </c>
      <c r="P1123" s="5">
        <f>IF(O1123="","",IF(O1123&gt;0,1,0))</f>
        <v/>
      </c>
    </row>
    <row r="1124">
      <c r="A1124" s="5" t="n">
        <v>2122100000</v>
      </c>
      <c r="B1124" s="5" t="inlineStr">
        <is>
          <t>IC1000</t>
        </is>
      </c>
      <c r="C1124" s="5" t="inlineStr">
        <is>
          <t>NORDEX ENERGY SE &amp; CO KG</t>
        </is>
      </c>
      <c r="D1124" s="5" t="inlineStr">
        <is>
          <t>RE</t>
        </is>
      </c>
      <c r="E1124" s="5" t="n">
        <v>5037522</v>
      </c>
      <c r="F1124" s="5" t="inlineStr">
        <is>
          <t>300256</t>
        </is>
      </c>
      <c r="G1124" s="5" t="inlineStr">
        <is>
          <t>EUR</t>
        </is>
      </c>
      <c r="H1124" s="9" t="n">
        <v>-17650.04</v>
      </c>
      <c r="I1124" s="16" t="n">
        <v>45505</v>
      </c>
      <c r="J1124" s="16" t="n">
        <v>45535</v>
      </c>
      <c r="K1124" s="5" t="inlineStr">
        <is>
          <t>0693/24</t>
        </is>
      </c>
      <c r="L1124" s="5" t="inlineStr">
        <is>
          <t>300256</t>
        </is>
      </c>
      <c r="M1124" s="5">
        <f>IF(YEAR(I1124)&lt;=2020,"Até 2020",TEXT(YEAR(I1124),"0"))</f>
        <v/>
      </c>
      <c r="N1124" s="5">
        <f>IFERROR(INDEX(DePara!$A:$A,MATCH(TEXT(B1124,"0"),DePara!$D:$D,0)),"(sem categoria)")</f>
        <v/>
      </c>
      <c r="O1124" s="5">
        <f>IF(J1124="","",Parametros!$B$6-J1124)</f>
        <v/>
      </c>
      <c r="P1124" s="5">
        <f>IF(O1124="","",IF(O1124&gt;0,1,0))</f>
        <v/>
      </c>
    </row>
    <row r="1125">
      <c r="A1125" s="5" t="n">
        <v>2122100000</v>
      </c>
      <c r="B1125" s="5" t="inlineStr">
        <is>
          <t>IC1000</t>
        </is>
      </c>
      <c r="C1125" s="5" t="inlineStr">
        <is>
          <t>NORDEX ENERGY SE &amp; CO KG</t>
        </is>
      </c>
      <c r="D1125" s="5" t="inlineStr">
        <is>
          <t>RE</t>
        </is>
      </c>
      <c r="E1125" s="5" t="n">
        <v>5037523</v>
      </c>
      <c r="F1125" s="5" t="inlineStr">
        <is>
          <t>300254</t>
        </is>
      </c>
      <c r="G1125" s="5" t="inlineStr">
        <is>
          <t>EUR</t>
        </is>
      </c>
      <c r="H1125" s="9" t="n">
        <v>-26662.78</v>
      </c>
      <c r="I1125" s="16" t="n">
        <v>45505</v>
      </c>
      <c r="J1125" s="16" t="n">
        <v>45535</v>
      </c>
      <c r="K1125" s="5" t="inlineStr">
        <is>
          <t>0693/24</t>
        </is>
      </c>
      <c r="L1125" s="5" t="inlineStr">
        <is>
          <t>300254</t>
        </is>
      </c>
      <c r="M1125" s="5">
        <f>IF(YEAR(I1125)&lt;=2020,"Até 2020",TEXT(YEAR(I1125),"0"))</f>
        <v/>
      </c>
      <c r="N1125" s="5">
        <f>IFERROR(INDEX(DePara!$A:$A,MATCH(TEXT(B1125,"0"),DePara!$D:$D,0)),"(sem categoria)")</f>
        <v/>
      </c>
      <c r="O1125" s="5">
        <f>IF(J1125="","",Parametros!$B$6-J1125)</f>
        <v/>
      </c>
      <c r="P1125" s="5">
        <f>IF(O1125="","",IF(O1125&gt;0,1,0))</f>
        <v/>
      </c>
    </row>
    <row r="1126">
      <c r="A1126" s="5" t="n">
        <v>2122100000</v>
      </c>
      <c r="B1126" s="5" t="inlineStr">
        <is>
          <t>IC4420</t>
        </is>
      </c>
      <c r="C1126" s="5" t="inlineStr">
        <is>
          <t>NORDEX ENERGY SPAIN S A U</t>
        </is>
      </c>
      <c r="D1126" s="5" t="inlineStr">
        <is>
          <t>RE</t>
        </is>
      </c>
      <c r="E1126" s="5" t="n">
        <v>5037724</v>
      </c>
      <c r="F1126" s="5" t="inlineStr">
        <is>
          <t>4025008566</t>
        </is>
      </c>
      <c r="G1126" s="5" t="inlineStr">
        <is>
          <t>EUR</t>
        </is>
      </c>
      <c r="H1126" s="9" t="n">
        <v>-71015.09</v>
      </c>
      <c r="I1126" s="16" t="n">
        <v>45965</v>
      </c>
      <c r="J1126" s="16" t="n">
        <v>45995</v>
      </c>
      <c r="K1126" s="5" t="inlineStr">
        <is>
          <t>0855/25</t>
        </is>
      </c>
      <c r="L1126" s="5" t="inlineStr">
        <is>
          <t>4025008566</t>
        </is>
      </c>
      <c r="M1126" s="5">
        <f>IF(YEAR(I1126)&lt;=2020,"Até 2020",TEXT(YEAR(I1126),"0"))</f>
        <v/>
      </c>
      <c r="N1126" s="5">
        <f>IFERROR(INDEX(DePara!$A:$A,MATCH(TEXT(B1126,"0"),DePara!$D:$D,0)),"(sem categoria)")</f>
        <v/>
      </c>
      <c r="O1126" s="5">
        <f>IF(J1126="","",Parametros!$B$6-J1126)</f>
        <v/>
      </c>
      <c r="P1126" s="5">
        <f>IF(O1126="","",IF(O1126&gt;0,1,0))</f>
        <v/>
      </c>
    </row>
    <row r="1127">
      <c r="A1127" s="5" t="n">
        <v>2122100000</v>
      </c>
      <c r="B1127" s="5" t="inlineStr">
        <is>
          <t>IC4420</t>
        </is>
      </c>
      <c r="C1127" s="5" t="inlineStr">
        <is>
          <t>NORDEX ENERGY SPAIN S A U</t>
        </is>
      </c>
      <c r="D1127" s="5" t="inlineStr">
        <is>
          <t>RE</t>
        </is>
      </c>
      <c r="E1127" s="5" t="n">
        <v>5037762</v>
      </c>
      <c r="F1127" s="5" t="inlineStr">
        <is>
          <t>4025007127</t>
        </is>
      </c>
      <c r="G1127" s="5" t="inlineStr">
        <is>
          <t>EUR</t>
        </is>
      </c>
      <c r="H1127" s="9" t="n">
        <v>-10985.93</v>
      </c>
      <c r="I1127" s="16" t="n">
        <v>45917</v>
      </c>
      <c r="J1127" s="16" t="n">
        <v>45947</v>
      </c>
      <c r="K1127" s="5" t="inlineStr">
        <is>
          <t>0746/25</t>
        </is>
      </c>
      <c r="L1127" s="5" t="inlineStr">
        <is>
          <t>4025007127</t>
        </is>
      </c>
      <c r="M1127" s="5">
        <f>IF(YEAR(I1127)&lt;=2020,"Até 2020",TEXT(YEAR(I1127),"0"))</f>
        <v/>
      </c>
      <c r="N1127" s="5">
        <f>IFERROR(INDEX(DePara!$A:$A,MATCH(TEXT(B1127,"0"),DePara!$D:$D,0)),"(sem categoria)")</f>
        <v/>
      </c>
      <c r="O1127" s="5">
        <f>IF(J1127="","",Parametros!$B$6-J1127)</f>
        <v/>
      </c>
      <c r="P1127" s="5">
        <f>IF(O1127="","",IF(O1127&gt;0,1,0))</f>
        <v/>
      </c>
    </row>
    <row r="1128">
      <c r="A1128" s="5" t="n">
        <v>2122100000</v>
      </c>
      <c r="B1128" s="5" t="inlineStr">
        <is>
          <t>IC4420</t>
        </is>
      </c>
      <c r="C1128" s="5" t="inlineStr">
        <is>
          <t>NORDEX ENERGY SPAIN S A U</t>
        </is>
      </c>
      <c r="D1128" s="5" t="inlineStr">
        <is>
          <t>RE</t>
        </is>
      </c>
      <c r="E1128" s="5" t="n">
        <v>5037839</v>
      </c>
      <c r="F1128" s="5" t="inlineStr">
        <is>
          <t>4025007126</t>
        </is>
      </c>
      <c r="G1128" s="5" t="inlineStr">
        <is>
          <t>EUR</t>
        </is>
      </c>
      <c r="H1128" s="9" t="n">
        <v>-4119.66</v>
      </c>
      <c r="I1128" s="16" t="n">
        <v>45917</v>
      </c>
      <c r="J1128" s="16" t="n">
        <v>45947</v>
      </c>
      <c r="K1128" s="5" t="inlineStr">
        <is>
          <t>0745/25</t>
        </is>
      </c>
      <c r="L1128" s="5" t="inlineStr">
        <is>
          <t>4025007126</t>
        </is>
      </c>
      <c r="M1128" s="5">
        <f>IF(YEAR(I1128)&lt;=2020,"Até 2020",TEXT(YEAR(I1128),"0"))</f>
        <v/>
      </c>
      <c r="N1128" s="5">
        <f>IFERROR(INDEX(DePara!$A:$A,MATCH(TEXT(B1128,"0"),DePara!$D:$D,0)),"(sem categoria)")</f>
        <v/>
      </c>
      <c r="O1128" s="5">
        <f>IF(J1128="","",Parametros!$B$6-J1128)</f>
        <v/>
      </c>
      <c r="P1128" s="5">
        <f>IF(O1128="","",IF(O1128&gt;0,1,0))</f>
        <v/>
      </c>
    </row>
    <row r="1129">
      <c r="A1129" s="5" t="n">
        <v>2122100000</v>
      </c>
      <c r="B1129" s="5" t="inlineStr">
        <is>
          <t>IC4420</t>
        </is>
      </c>
      <c r="C1129" s="5" t="inlineStr">
        <is>
          <t>NORDEX ENERGY SPAIN S A U</t>
        </is>
      </c>
      <c r="D1129" s="5" t="inlineStr">
        <is>
          <t>RE</t>
        </is>
      </c>
      <c r="E1129" s="5" t="n">
        <v>5037843</v>
      </c>
      <c r="F1129" s="5" t="inlineStr">
        <is>
          <t>4025008524</t>
        </is>
      </c>
      <c r="G1129" s="5" t="inlineStr">
        <is>
          <t>EUR</t>
        </is>
      </c>
      <c r="H1129" s="9" t="n">
        <v>-50502.9</v>
      </c>
      <c r="I1129" s="16" t="n">
        <v>45964</v>
      </c>
      <c r="J1129" s="16" t="n">
        <v>45994</v>
      </c>
      <c r="K1129" s="5" t="inlineStr">
        <is>
          <t>0837/25</t>
        </is>
      </c>
      <c r="L1129" s="5" t="inlineStr">
        <is>
          <t>4025008524</t>
        </is>
      </c>
      <c r="M1129" s="5">
        <f>IF(YEAR(I1129)&lt;=2020,"Até 2020",TEXT(YEAR(I1129),"0"))</f>
        <v/>
      </c>
      <c r="N1129" s="5">
        <f>IFERROR(INDEX(DePara!$A:$A,MATCH(TEXT(B1129,"0"),DePara!$D:$D,0)),"(sem categoria)")</f>
        <v/>
      </c>
      <c r="O1129" s="5">
        <f>IF(J1129="","",Parametros!$B$6-J1129)</f>
        <v/>
      </c>
      <c r="P1129" s="5">
        <f>IF(O1129="","",IF(O1129&gt;0,1,0))</f>
        <v/>
      </c>
    </row>
    <row r="1130">
      <c r="A1130" s="5" t="n">
        <v>2122100000</v>
      </c>
      <c r="B1130" s="5" t="inlineStr">
        <is>
          <t>IC4420</t>
        </is>
      </c>
      <c r="C1130" s="5" t="inlineStr">
        <is>
          <t>NORDEX ENERGY SPAIN S A U</t>
        </is>
      </c>
      <c r="D1130" s="5" t="inlineStr">
        <is>
          <t>RE</t>
        </is>
      </c>
      <c r="E1130" s="5" t="n">
        <v>5037844</v>
      </c>
      <c r="F1130" s="5" t="inlineStr">
        <is>
          <t>4025008484</t>
        </is>
      </c>
      <c r="G1130" s="5" t="inlineStr">
        <is>
          <t>EUR</t>
        </is>
      </c>
      <c r="H1130" s="9" t="n">
        <v>-20474.4</v>
      </c>
      <c r="I1130" s="16" t="n">
        <v>45964</v>
      </c>
      <c r="J1130" s="16" t="n">
        <v>45994</v>
      </c>
      <c r="K1130" s="5" t="inlineStr">
        <is>
          <t>0838/25</t>
        </is>
      </c>
      <c r="L1130" s="5" t="inlineStr">
        <is>
          <t>4025008484</t>
        </is>
      </c>
      <c r="M1130" s="5">
        <f>IF(YEAR(I1130)&lt;=2020,"Até 2020",TEXT(YEAR(I1130),"0"))</f>
        <v/>
      </c>
      <c r="N1130" s="5">
        <f>IFERROR(INDEX(DePara!$A:$A,MATCH(TEXT(B1130,"0"),DePara!$D:$D,0)),"(sem categoria)")</f>
        <v/>
      </c>
      <c r="O1130" s="5">
        <f>IF(J1130="","",Parametros!$B$6-J1130)</f>
        <v/>
      </c>
      <c r="P1130" s="5">
        <f>IF(O1130="","",IF(O1130&gt;0,1,0))</f>
        <v/>
      </c>
    </row>
    <row r="1131">
      <c r="A1131" s="5" t="n">
        <v>2122100000</v>
      </c>
      <c r="B1131" s="5" t="inlineStr">
        <is>
          <t>IC4420</t>
        </is>
      </c>
      <c r="C1131" s="5" t="inlineStr">
        <is>
          <t>NORDEX ENERGY SPAIN S A U</t>
        </is>
      </c>
      <c r="D1131" s="5" t="inlineStr">
        <is>
          <t>RE</t>
        </is>
      </c>
      <c r="E1131" s="5" t="n">
        <v>5037847</v>
      </c>
      <c r="F1131" s="5" t="inlineStr">
        <is>
          <t>4025008485</t>
        </is>
      </c>
      <c r="G1131" s="5" t="inlineStr">
        <is>
          <t>EUR</t>
        </is>
      </c>
      <c r="H1131" s="9" t="n">
        <v>-583.7</v>
      </c>
      <c r="I1131" s="16" t="n">
        <v>45964</v>
      </c>
      <c r="J1131" s="16" t="n">
        <v>45994</v>
      </c>
      <c r="K1131" s="5" t="inlineStr">
        <is>
          <t>0839/25</t>
        </is>
      </c>
      <c r="L1131" s="5" t="inlineStr">
        <is>
          <t>4025008485</t>
        </is>
      </c>
      <c r="M1131" s="5">
        <f>IF(YEAR(I1131)&lt;=2020,"Até 2020",TEXT(YEAR(I1131),"0"))</f>
        <v/>
      </c>
      <c r="N1131" s="5">
        <f>IFERROR(INDEX(DePara!$A:$A,MATCH(TEXT(B1131,"0"),DePara!$D:$D,0)),"(sem categoria)")</f>
        <v/>
      </c>
      <c r="O1131" s="5">
        <f>IF(J1131="","",Parametros!$B$6-J1131)</f>
        <v/>
      </c>
      <c r="P1131" s="5">
        <f>IF(O1131="","",IF(O1131&gt;0,1,0))</f>
        <v/>
      </c>
    </row>
    <row r="1132">
      <c r="A1132" s="5" t="n">
        <v>2122100000</v>
      </c>
      <c r="B1132" s="5" t="inlineStr">
        <is>
          <t>IC4420</t>
        </is>
      </c>
      <c r="C1132" s="5" t="inlineStr">
        <is>
          <t>NORDEX ENERGY SPAIN S A U</t>
        </is>
      </c>
      <c r="D1132" s="5" t="inlineStr">
        <is>
          <t>RE</t>
        </is>
      </c>
      <c r="E1132" s="5" t="n">
        <v>5037848</v>
      </c>
      <c r="F1132" s="5" t="inlineStr">
        <is>
          <t>4025007133</t>
        </is>
      </c>
      <c r="G1132" s="5" t="inlineStr">
        <is>
          <t>EUR</t>
        </is>
      </c>
      <c r="H1132" s="9" t="n">
        <v>-26773.44</v>
      </c>
      <c r="I1132" s="16" t="n">
        <v>45917</v>
      </c>
      <c r="J1132" s="16" t="n">
        <v>45947</v>
      </c>
      <c r="K1132" s="5" t="inlineStr">
        <is>
          <t>0750/25</t>
        </is>
      </c>
      <c r="L1132" s="5" t="inlineStr">
        <is>
          <t>4025007133</t>
        </is>
      </c>
      <c r="M1132" s="5">
        <f>IF(YEAR(I1132)&lt;=2020,"Até 2020",TEXT(YEAR(I1132),"0"))</f>
        <v/>
      </c>
      <c r="N1132" s="5">
        <f>IFERROR(INDEX(DePara!$A:$A,MATCH(TEXT(B1132,"0"),DePara!$D:$D,0)),"(sem categoria)")</f>
        <v/>
      </c>
      <c r="O1132" s="5">
        <f>IF(J1132="","",Parametros!$B$6-J1132)</f>
        <v/>
      </c>
      <c r="P1132" s="5">
        <f>IF(O1132="","",IF(O1132&gt;0,1,0))</f>
        <v/>
      </c>
    </row>
    <row r="1133">
      <c r="A1133" s="5" t="n">
        <v>2122100000</v>
      </c>
      <c r="B1133" s="5" t="inlineStr">
        <is>
          <t>IC4420</t>
        </is>
      </c>
      <c r="C1133" s="5" t="inlineStr">
        <is>
          <t>NORDEX ENERGY SPAIN S A U</t>
        </is>
      </c>
      <c r="D1133" s="5" t="inlineStr">
        <is>
          <t>RE</t>
        </is>
      </c>
      <c r="E1133" s="5" t="n">
        <v>5037850</v>
      </c>
      <c r="F1133" s="5" t="inlineStr">
        <is>
          <t>4025007938</t>
        </is>
      </c>
      <c r="G1133" s="5" t="inlineStr">
        <is>
          <t>EUR</t>
        </is>
      </c>
      <c r="H1133" s="9" t="n">
        <v>-653.96</v>
      </c>
      <c r="I1133" s="16" t="n">
        <v>45945</v>
      </c>
      <c r="J1133" s="16" t="n">
        <v>45975</v>
      </c>
      <c r="K1133" s="5" t="inlineStr">
        <is>
          <t>0835/25</t>
        </is>
      </c>
      <c r="L1133" s="5" t="inlineStr">
        <is>
          <t>4025007938</t>
        </is>
      </c>
      <c r="M1133" s="5">
        <f>IF(YEAR(I1133)&lt;=2020,"Até 2020",TEXT(YEAR(I1133),"0"))</f>
        <v/>
      </c>
      <c r="N1133" s="5">
        <f>IFERROR(INDEX(DePara!$A:$A,MATCH(TEXT(B1133,"0"),DePara!$D:$D,0)),"(sem categoria)")</f>
        <v/>
      </c>
      <c r="O1133" s="5">
        <f>IF(J1133="","",Parametros!$B$6-J1133)</f>
        <v/>
      </c>
      <c r="P1133" s="5">
        <f>IF(O1133="","",IF(O1133&gt;0,1,0))</f>
        <v/>
      </c>
    </row>
    <row r="1134">
      <c r="A1134" s="5" t="n">
        <v>2122100000</v>
      </c>
      <c r="B1134" s="5" t="inlineStr">
        <is>
          <t>IC4420</t>
        </is>
      </c>
      <c r="C1134" s="5" t="inlineStr">
        <is>
          <t>NORDEX ENERGY SPAIN S A U</t>
        </is>
      </c>
      <c r="D1134" s="5" t="inlineStr">
        <is>
          <t>RE</t>
        </is>
      </c>
      <c r="E1134" s="5" t="n">
        <v>5037856</v>
      </c>
      <c r="F1134" s="5" t="inlineStr">
        <is>
          <t>4025007118</t>
        </is>
      </c>
      <c r="G1134" s="5" t="inlineStr">
        <is>
          <t>EUR</t>
        </is>
      </c>
      <c r="H1134" s="9" t="n">
        <v>-96.53</v>
      </c>
      <c r="I1134" s="16" t="n">
        <v>45917</v>
      </c>
      <c r="J1134" s="16" t="n">
        <v>45947</v>
      </c>
      <c r="K1134" s="5" t="inlineStr">
        <is>
          <t>0740/25</t>
        </is>
      </c>
      <c r="L1134" s="5" t="inlineStr">
        <is>
          <t>4025007118</t>
        </is>
      </c>
      <c r="M1134" s="5">
        <f>IF(YEAR(I1134)&lt;=2020,"Até 2020",TEXT(YEAR(I1134),"0"))</f>
        <v/>
      </c>
      <c r="N1134" s="5">
        <f>IFERROR(INDEX(DePara!$A:$A,MATCH(TEXT(B1134,"0"),DePara!$D:$D,0)),"(sem categoria)")</f>
        <v/>
      </c>
      <c r="O1134" s="5">
        <f>IF(J1134="","",Parametros!$B$6-J1134)</f>
        <v/>
      </c>
      <c r="P1134" s="5">
        <f>IF(O1134="","",IF(O1134&gt;0,1,0))</f>
        <v/>
      </c>
    </row>
    <row r="1135">
      <c r="A1135" s="5" t="n">
        <v>2122100000</v>
      </c>
      <c r="B1135" s="5" t="inlineStr">
        <is>
          <t>IC4420</t>
        </is>
      </c>
      <c r="C1135" s="5" t="inlineStr">
        <is>
          <t>NORDEX ENERGY SPAIN S A U</t>
        </is>
      </c>
      <c r="D1135" s="5" t="inlineStr">
        <is>
          <t>RE</t>
        </is>
      </c>
      <c r="E1135" s="5" t="n">
        <v>5037857</v>
      </c>
      <c r="F1135" s="5" t="inlineStr">
        <is>
          <t>4025007128</t>
        </is>
      </c>
      <c r="G1135" s="5" t="inlineStr">
        <is>
          <t>EUR</t>
        </is>
      </c>
      <c r="H1135" s="9" t="n">
        <v>-9380.389999999999</v>
      </c>
      <c r="I1135" s="16" t="n">
        <v>45917</v>
      </c>
      <c r="J1135" s="16" t="n">
        <v>45947</v>
      </c>
      <c r="K1135" s="5" t="inlineStr">
        <is>
          <t>0744/25</t>
        </is>
      </c>
      <c r="L1135" s="5" t="inlineStr">
        <is>
          <t>4025007128</t>
        </is>
      </c>
      <c r="M1135" s="5">
        <f>IF(YEAR(I1135)&lt;=2020,"Até 2020",TEXT(YEAR(I1135),"0"))</f>
        <v/>
      </c>
      <c r="N1135" s="5">
        <f>IFERROR(INDEX(DePara!$A:$A,MATCH(TEXT(B1135,"0"),DePara!$D:$D,0)),"(sem categoria)")</f>
        <v/>
      </c>
      <c r="O1135" s="5">
        <f>IF(J1135="","",Parametros!$B$6-J1135)</f>
        <v/>
      </c>
      <c r="P1135" s="5">
        <f>IF(O1135="","",IF(O1135&gt;0,1,0))</f>
        <v/>
      </c>
    </row>
    <row r="1136">
      <c r="A1136" s="5" t="n">
        <v>2122100000</v>
      </c>
      <c r="B1136" s="5" t="inlineStr">
        <is>
          <t>IC4420</t>
        </is>
      </c>
      <c r="C1136" s="5" t="inlineStr">
        <is>
          <t>NORDEX ENERGY SPAIN S A U</t>
        </is>
      </c>
      <c r="D1136" s="5" t="inlineStr">
        <is>
          <t>RE</t>
        </is>
      </c>
      <c r="E1136" s="5" t="n">
        <v>5037858</v>
      </c>
      <c r="F1136" s="5" t="inlineStr">
        <is>
          <t>4025007119</t>
        </is>
      </c>
      <c r="G1136" s="5" t="inlineStr">
        <is>
          <t>EUR</t>
        </is>
      </c>
      <c r="H1136" s="9" t="n">
        <v>-24666.23</v>
      </c>
      <c r="I1136" s="16" t="n">
        <v>45917</v>
      </c>
      <c r="J1136" s="16" t="n">
        <v>45947</v>
      </c>
      <c r="K1136" s="5" t="inlineStr">
        <is>
          <t>0740/25</t>
        </is>
      </c>
      <c r="L1136" s="5" t="inlineStr">
        <is>
          <t>4025007119</t>
        </is>
      </c>
      <c r="M1136" s="5">
        <f>IF(YEAR(I1136)&lt;=2020,"Até 2020",TEXT(YEAR(I1136),"0"))</f>
        <v/>
      </c>
      <c r="N1136" s="5">
        <f>IFERROR(INDEX(DePara!$A:$A,MATCH(TEXT(B1136,"0"),DePara!$D:$D,0)),"(sem categoria)")</f>
        <v/>
      </c>
      <c r="O1136" s="5">
        <f>IF(J1136="","",Parametros!$B$6-J1136)</f>
        <v/>
      </c>
      <c r="P1136" s="5">
        <f>IF(O1136="","",IF(O1136&gt;0,1,0))</f>
        <v/>
      </c>
    </row>
    <row r="1137">
      <c r="A1137" s="5" t="n">
        <v>2122100000</v>
      </c>
      <c r="B1137" s="5" t="inlineStr">
        <is>
          <t>IC4420</t>
        </is>
      </c>
      <c r="C1137" s="5" t="inlineStr">
        <is>
          <t>NORDEX ENERGY SPAIN S A U</t>
        </is>
      </c>
      <c r="D1137" s="5" t="inlineStr">
        <is>
          <t>RE</t>
        </is>
      </c>
      <c r="E1137" s="5" t="n">
        <v>5037859</v>
      </c>
      <c r="F1137" s="5" t="inlineStr">
        <is>
          <t>4025007125</t>
        </is>
      </c>
      <c r="G1137" s="5" t="inlineStr">
        <is>
          <t>EUR</t>
        </is>
      </c>
      <c r="H1137" s="9" t="n">
        <v>-7410.88</v>
      </c>
      <c r="I1137" s="16" t="n">
        <v>45917</v>
      </c>
      <c r="J1137" s="16" t="n">
        <v>45947</v>
      </c>
      <c r="K1137" s="5" t="inlineStr">
        <is>
          <t>0744/25</t>
        </is>
      </c>
      <c r="L1137" s="5" t="inlineStr">
        <is>
          <t>4025007125</t>
        </is>
      </c>
      <c r="M1137" s="5">
        <f>IF(YEAR(I1137)&lt;=2020,"Até 2020",TEXT(YEAR(I1137),"0"))</f>
        <v/>
      </c>
      <c r="N1137" s="5">
        <f>IFERROR(INDEX(DePara!$A:$A,MATCH(TEXT(B1137,"0"),DePara!$D:$D,0)),"(sem categoria)")</f>
        <v/>
      </c>
      <c r="O1137" s="5">
        <f>IF(J1137="","",Parametros!$B$6-J1137)</f>
        <v/>
      </c>
      <c r="P1137" s="5">
        <f>IF(O1137="","",IF(O1137&gt;0,1,0))</f>
        <v/>
      </c>
    </row>
    <row r="1138">
      <c r="A1138" s="5" t="n">
        <v>2122100000</v>
      </c>
      <c r="B1138" s="5" t="inlineStr">
        <is>
          <t>IC4420</t>
        </is>
      </c>
      <c r="C1138" s="5" t="inlineStr">
        <is>
          <t>NORDEX ENERGY SPAIN S A U</t>
        </is>
      </c>
      <c r="D1138" s="5" t="inlineStr">
        <is>
          <t>RE</t>
        </is>
      </c>
      <c r="E1138" s="5" t="n">
        <v>5037860</v>
      </c>
      <c r="F1138" s="5" t="inlineStr">
        <is>
          <t>4025007129</t>
        </is>
      </c>
      <c r="G1138" s="5" t="inlineStr">
        <is>
          <t>EUR</t>
        </is>
      </c>
      <c r="H1138" s="9" t="n">
        <v>-32100</v>
      </c>
      <c r="I1138" s="16" t="n">
        <v>45917</v>
      </c>
      <c r="J1138" s="16" t="n">
        <v>45947</v>
      </c>
      <c r="K1138" s="5" t="inlineStr">
        <is>
          <t>0744/25</t>
        </is>
      </c>
      <c r="L1138" s="5" t="inlineStr">
        <is>
          <t>4025007129</t>
        </is>
      </c>
      <c r="M1138" s="5">
        <f>IF(YEAR(I1138)&lt;=2020,"Até 2020",TEXT(YEAR(I1138),"0"))</f>
        <v/>
      </c>
      <c r="N1138" s="5">
        <f>IFERROR(INDEX(DePara!$A:$A,MATCH(TEXT(B1138,"0"),DePara!$D:$D,0)),"(sem categoria)")</f>
        <v/>
      </c>
      <c r="O1138" s="5">
        <f>IF(J1138="","",Parametros!$B$6-J1138)</f>
        <v/>
      </c>
      <c r="P1138" s="5">
        <f>IF(O1138="","",IF(O1138&gt;0,1,0))</f>
        <v/>
      </c>
    </row>
    <row r="1139">
      <c r="A1139" s="5" t="n">
        <v>2122100000</v>
      </c>
      <c r="B1139" s="5" t="inlineStr">
        <is>
          <t>IC4420</t>
        </is>
      </c>
      <c r="C1139" s="5" t="inlineStr">
        <is>
          <t>NORDEX ENERGY SPAIN S A U</t>
        </is>
      </c>
      <c r="D1139" s="5" t="inlineStr">
        <is>
          <t>RE</t>
        </is>
      </c>
      <c r="E1139" s="5" t="n">
        <v>5037862</v>
      </c>
      <c r="F1139" s="5" t="inlineStr">
        <is>
          <t>4025007130</t>
        </is>
      </c>
      <c r="G1139" s="5" t="inlineStr">
        <is>
          <t>EUR</t>
        </is>
      </c>
      <c r="H1139" s="9" t="n">
        <v>-78750.83</v>
      </c>
      <c r="I1139" s="16" t="n">
        <v>45917</v>
      </c>
      <c r="J1139" s="16" t="n">
        <v>45947</v>
      </c>
      <c r="K1139" s="5" t="inlineStr">
        <is>
          <t>0747/25</t>
        </is>
      </c>
      <c r="L1139" s="5" t="inlineStr">
        <is>
          <t>4025007130</t>
        </is>
      </c>
      <c r="M1139" s="5">
        <f>IF(YEAR(I1139)&lt;=2020,"Até 2020",TEXT(YEAR(I1139),"0"))</f>
        <v/>
      </c>
      <c r="N1139" s="5">
        <f>IFERROR(INDEX(DePara!$A:$A,MATCH(TEXT(B1139,"0"),DePara!$D:$D,0)),"(sem categoria)")</f>
        <v/>
      </c>
      <c r="O1139" s="5">
        <f>IF(J1139="","",Parametros!$B$6-J1139)</f>
        <v/>
      </c>
      <c r="P1139" s="5">
        <f>IF(O1139="","",IF(O1139&gt;0,1,0))</f>
        <v/>
      </c>
    </row>
    <row r="1140">
      <c r="A1140" s="5" t="n">
        <v>2122100000</v>
      </c>
      <c r="B1140" s="5" t="inlineStr">
        <is>
          <t>IC4420</t>
        </is>
      </c>
      <c r="C1140" s="5" t="inlineStr">
        <is>
          <t>NORDEX ENERGY SPAIN S A U</t>
        </is>
      </c>
      <c r="D1140" s="5" t="inlineStr">
        <is>
          <t>RE</t>
        </is>
      </c>
      <c r="E1140" s="5" t="n">
        <v>5037907</v>
      </c>
      <c r="F1140" s="5" t="inlineStr">
        <is>
          <t>4025007761</t>
        </is>
      </c>
      <c r="G1140" s="5" t="inlineStr">
        <is>
          <t>EUR</t>
        </is>
      </c>
      <c r="H1140" s="9" t="n">
        <v>-49007.27</v>
      </c>
      <c r="I1140" s="16" t="n">
        <v>45937</v>
      </c>
      <c r="J1140" s="16" t="n">
        <v>45967</v>
      </c>
      <c r="K1140" s="5" t="inlineStr">
        <is>
          <t>0796/25</t>
        </is>
      </c>
      <c r="L1140" s="5" t="inlineStr">
        <is>
          <t>4025007761</t>
        </is>
      </c>
      <c r="M1140" s="5">
        <f>IF(YEAR(I1140)&lt;=2020,"Até 2020",TEXT(YEAR(I1140),"0"))</f>
        <v/>
      </c>
      <c r="N1140" s="5">
        <f>IFERROR(INDEX(DePara!$A:$A,MATCH(TEXT(B1140,"0"),DePara!$D:$D,0)),"(sem categoria)")</f>
        <v/>
      </c>
      <c r="O1140" s="5">
        <f>IF(J1140="","",Parametros!$B$6-J1140)</f>
        <v/>
      </c>
      <c r="P1140" s="5">
        <f>IF(O1140="","",IF(O1140&gt;0,1,0))</f>
        <v/>
      </c>
    </row>
    <row r="1141">
      <c r="A1141" s="5" t="n">
        <v>2122100000</v>
      </c>
      <c r="B1141" s="5" t="inlineStr">
        <is>
          <t>IC4420</t>
        </is>
      </c>
      <c r="C1141" s="5" t="inlineStr">
        <is>
          <t>NORDEX ENERGY SPAIN S A U</t>
        </is>
      </c>
      <c r="D1141" s="5" t="inlineStr">
        <is>
          <t>RE</t>
        </is>
      </c>
      <c r="E1141" s="5" t="n">
        <v>5037968</v>
      </c>
      <c r="F1141" s="5" t="inlineStr">
        <is>
          <t>4025007935</t>
        </is>
      </c>
      <c r="G1141" s="5" t="inlineStr">
        <is>
          <t>EUR</t>
        </is>
      </c>
      <c r="H1141" s="9" t="n">
        <v>-53642.7</v>
      </c>
      <c r="I1141" s="16" t="n">
        <v>45945</v>
      </c>
      <c r="J1141" s="16" t="n">
        <v>45975</v>
      </c>
      <c r="K1141" s="5" t="inlineStr">
        <is>
          <t>0832/25</t>
        </is>
      </c>
      <c r="L1141" s="5" t="inlineStr">
        <is>
          <t>4025007935</t>
        </is>
      </c>
      <c r="M1141" s="5">
        <f>IF(YEAR(I1141)&lt;=2020,"Até 2020",TEXT(YEAR(I1141),"0"))</f>
        <v/>
      </c>
      <c r="N1141" s="5">
        <f>IFERROR(INDEX(DePara!$A:$A,MATCH(TEXT(B1141,"0"),DePara!$D:$D,0)),"(sem categoria)")</f>
        <v/>
      </c>
      <c r="O1141" s="5">
        <f>IF(J1141="","",Parametros!$B$6-J1141)</f>
        <v/>
      </c>
      <c r="P1141" s="5">
        <f>IF(O1141="","",IF(O1141&gt;0,1,0))</f>
        <v/>
      </c>
    </row>
    <row r="1142">
      <c r="A1142" s="5" t="n">
        <v>2122100000</v>
      </c>
      <c r="B1142" s="5" t="inlineStr">
        <is>
          <t>IC4420</t>
        </is>
      </c>
      <c r="C1142" s="5" t="inlineStr">
        <is>
          <t>NORDEX ENERGY SPAIN S A U</t>
        </is>
      </c>
      <c r="D1142" s="5" t="inlineStr">
        <is>
          <t>RE</t>
        </is>
      </c>
      <c r="E1142" s="5" t="n">
        <v>5037971</v>
      </c>
      <c r="F1142" s="5" t="inlineStr">
        <is>
          <t>4025008509</t>
        </is>
      </c>
      <c r="G1142" s="5" t="inlineStr">
        <is>
          <t>EUR</t>
        </is>
      </c>
      <c r="H1142" s="9" t="n">
        <v>-2619.51</v>
      </c>
      <c r="I1142" s="16" t="n">
        <v>45964</v>
      </c>
      <c r="J1142" s="16" t="n">
        <v>45994</v>
      </c>
      <c r="K1142" s="5" t="inlineStr">
        <is>
          <t>0849/25</t>
        </is>
      </c>
      <c r="L1142" s="5" t="inlineStr">
        <is>
          <t>4025008509</t>
        </is>
      </c>
      <c r="M1142" s="5">
        <f>IF(YEAR(I1142)&lt;=2020,"Até 2020",TEXT(YEAR(I1142),"0"))</f>
        <v/>
      </c>
      <c r="N1142" s="5">
        <f>IFERROR(INDEX(DePara!$A:$A,MATCH(TEXT(B1142,"0"),DePara!$D:$D,0)),"(sem categoria)")</f>
        <v/>
      </c>
      <c r="O1142" s="5">
        <f>IF(J1142="","",Parametros!$B$6-J1142)</f>
        <v/>
      </c>
      <c r="P1142" s="5">
        <f>IF(O1142="","",IF(O1142&gt;0,1,0))</f>
        <v/>
      </c>
    </row>
    <row r="1143">
      <c r="A1143" s="5" t="n">
        <v>2122100000</v>
      </c>
      <c r="B1143" s="5" t="inlineStr">
        <is>
          <t>IC4420</t>
        </is>
      </c>
      <c r="C1143" s="5" t="inlineStr">
        <is>
          <t>NORDEX ENERGY SPAIN S A U</t>
        </is>
      </c>
      <c r="D1143" s="5" t="inlineStr">
        <is>
          <t>RE</t>
        </is>
      </c>
      <c r="E1143" s="5" t="n">
        <v>5037973</v>
      </c>
      <c r="F1143" s="5" t="inlineStr">
        <is>
          <t>4025007937</t>
        </is>
      </c>
      <c r="G1143" s="5" t="inlineStr">
        <is>
          <t>EUR</t>
        </is>
      </c>
      <c r="H1143" s="9" t="n">
        <v>-3064.5</v>
      </c>
      <c r="I1143" s="16" t="n">
        <v>45945</v>
      </c>
      <c r="J1143" s="16" t="n">
        <v>45975</v>
      </c>
      <c r="K1143" s="5" t="inlineStr">
        <is>
          <t>0833/25</t>
        </is>
      </c>
      <c r="L1143" s="5" t="inlineStr">
        <is>
          <t>4025007937</t>
        </is>
      </c>
      <c r="M1143" s="5">
        <f>IF(YEAR(I1143)&lt;=2020,"Até 2020",TEXT(YEAR(I1143),"0"))</f>
        <v/>
      </c>
      <c r="N1143" s="5">
        <f>IFERROR(INDEX(DePara!$A:$A,MATCH(TEXT(B1143,"0"),DePara!$D:$D,0)),"(sem categoria)")</f>
        <v/>
      </c>
      <c r="O1143" s="5">
        <f>IF(J1143="","",Parametros!$B$6-J1143)</f>
        <v/>
      </c>
      <c r="P1143" s="5">
        <f>IF(O1143="","",IF(O1143&gt;0,1,0))</f>
        <v/>
      </c>
    </row>
    <row r="1144">
      <c r="A1144" s="5" t="n">
        <v>2122100000</v>
      </c>
      <c r="B1144" s="5" t="inlineStr">
        <is>
          <t>IC4420</t>
        </is>
      </c>
      <c r="C1144" s="5" t="inlineStr">
        <is>
          <t>NORDEX ENERGY SPAIN S A U</t>
        </is>
      </c>
      <c r="D1144" s="5" t="inlineStr">
        <is>
          <t>RE</t>
        </is>
      </c>
      <c r="E1144" s="5" t="n">
        <v>5037990</v>
      </c>
      <c r="F1144" s="5" t="inlineStr">
        <is>
          <t>4025008506</t>
        </is>
      </c>
      <c r="G1144" s="5" t="inlineStr">
        <is>
          <t>EUR</t>
        </is>
      </c>
      <c r="H1144" s="9" t="n">
        <v>-71875.39999999999</v>
      </c>
      <c r="I1144" s="16" t="n">
        <v>45964</v>
      </c>
      <c r="J1144" s="16" t="n">
        <v>45994</v>
      </c>
      <c r="K1144" s="5" t="inlineStr">
        <is>
          <t>0850/25</t>
        </is>
      </c>
      <c r="L1144" s="5" t="inlineStr">
        <is>
          <t>4025008506</t>
        </is>
      </c>
      <c r="M1144" s="5">
        <f>IF(YEAR(I1144)&lt;=2020,"Até 2020",TEXT(YEAR(I1144),"0"))</f>
        <v/>
      </c>
      <c r="N1144" s="5">
        <f>IFERROR(INDEX(DePara!$A:$A,MATCH(TEXT(B1144,"0"),DePara!$D:$D,0)),"(sem categoria)")</f>
        <v/>
      </c>
      <c r="O1144" s="5">
        <f>IF(J1144="","",Parametros!$B$6-J1144)</f>
        <v/>
      </c>
      <c r="P1144" s="5">
        <f>IF(O1144="","",IF(O1144&gt;0,1,0))</f>
        <v/>
      </c>
    </row>
    <row r="1145">
      <c r="A1145" s="5" t="n">
        <v>2122100000</v>
      </c>
      <c r="B1145" s="5" t="inlineStr">
        <is>
          <t>IC4420</t>
        </is>
      </c>
      <c r="C1145" s="5" t="inlineStr">
        <is>
          <t>NORDEX ENERGY SPAIN S A U</t>
        </is>
      </c>
      <c r="D1145" s="5" t="inlineStr">
        <is>
          <t>RE</t>
        </is>
      </c>
      <c r="E1145" s="5" t="n">
        <v>5038012</v>
      </c>
      <c r="F1145" s="5" t="inlineStr">
        <is>
          <t>4025007131</t>
        </is>
      </c>
      <c r="G1145" s="5" t="inlineStr">
        <is>
          <t>EUR</t>
        </is>
      </c>
      <c r="H1145" s="9" t="n">
        <v>-261095.82</v>
      </c>
      <c r="I1145" s="16" t="n">
        <v>45917</v>
      </c>
      <c r="J1145" s="16" t="n">
        <v>45947</v>
      </c>
      <c r="K1145" s="5" t="inlineStr">
        <is>
          <t>0748/25</t>
        </is>
      </c>
      <c r="L1145" s="5" t="inlineStr">
        <is>
          <t>4025007131</t>
        </is>
      </c>
      <c r="M1145" s="5">
        <f>IF(YEAR(I1145)&lt;=2020,"Até 2020",TEXT(YEAR(I1145),"0"))</f>
        <v/>
      </c>
      <c r="N1145" s="5">
        <f>IFERROR(INDEX(DePara!$A:$A,MATCH(TEXT(B1145,"0"),DePara!$D:$D,0)),"(sem categoria)")</f>
        <v/>
      </c>
      <c r="O1145" s="5">
        <f>IF(J1145="","",Parametros!$B$6-J1145)</f>
        <v/>
      </c>
      <c r="P1145" s="5">
        <f>IF(O1145="","",IF(O1145&gt;0,1,0))</f>
        <v/>
      </c>
    </row>
    <row r="1146">
      <c r="A1146" s="5" t="n">
        <v>2122100000</v>
      </c>
      <c r="B1146" s="5" t="inlineStr">
        <is>
          <t>IC4420</t>
        </is>
      </c>
      <c r="C1146" s="5" t="inlineStr">
        <is>
          <t>NORDEX ENERGY SPAIN S A U</t>
        </is>
      </c>
      <c r="D1146" s="5" t="inlineStr">
        <is>
          <t>RE</t>
        </is>
      </c>
      <c r="E1146" s="5" t="n">
        <v>5038027</v>
      </c>
      <c r="F1146" s="5" t="inlineStr">
        <is>
          <t>4025007134</t>
        </is>
      </c>
      <c r="G1146" s="5" t="inlineStr">
        <is>
          <t>EUR</t>
        </is>
      </c>
      <c r="H1146" s="9" t="n">
        <v>-50449.71</v>
      </c>
      <c r="I1146" s="16" t="n">
        <v>45917</v>
      </c>
      <c r="J1146" s="16" t="n">
        <v>45947</v>
      </c>
      <c r="K1146" s="5" t="inlineStr">
        <is>
          <t>0751/25</t>
        </is>
      </c>
      <c r="L1146" s="5" t="inlineStr">
        <is>
          <t>4025007134</t>
        </is>
      </c>
      <c r="M1146" s="5">
        <f>IF(YEAR(I1146)&lt;=2020,"Até 2020",TEXT(YEAR(I1146),"0"))</f>
        <v/>
      </c>
      <c r="N1146" s="5">
        <f>IFERROR(INDEX(DePara!$A:$A,MATCH(TEXT(B1146,"0"),DePara!$D:$D,0)),"(sem categoria)")</f>
        <v/>
      </c>
      <c r="O1146" s="5">
        <f>IF(J1146="","",Parametros!$B$6-J1146)</f>
        <v/>
      </c>
      <c r="P1146" s="5">
        <f>IF(O1146="","",IF(O1146&gt;0,1,0))</f>
        <v/>
      </c>
    </row>
    <row r="1147">
      <c r="A1147" s="5" t="n">
        <v>2122100000</v>
      </c>
      <c r="B1147" s="5" t="inlineStr">
        <is>
          <t>IC4420</t>
        </is>
      </c>
      <c r="C1147" s="5" t="inlineStr">
        <is>
          <t>NORDEX ENERGY SPAIN S A U</t>
        </is>
      </c>
      <c r="D1147" s="5" t="inlineStr">
        <is>
          <t>RE</t>
        </is>
      </c>
      <c r="E1147" s="5" t="n">
        <v>5038169</v>
      </c>
      <c r="F1147" s="5" t="inlineStr">
        <is>
          <t>4024004779</t>
        </is>
      </c>
      <c r="G1147" s="5" t="inlineStr">
        <is>
          <t>EUR</t>
        </is>
      </c>
      <c r="H1147" s="9" t="n">
        <v>-207104.45</v>
      </c>
      <c r="I1147" s="16" t="n">
        <v>45482</v>
      </c>
      <c r="J1147" s="16" t="n">
        <v>45512</v>
      </c>
      <c r="K1147" s="5" t="inlineStr">
        <is>
          <t>0567/24</t>
        </is>
      </c>
      <c r="L1147" s="5" t="inlineStr">
        <is>
          <t>4024004779</t>
        </is>
      </c>
      <c r="M1147" s="5">
        <f>IF(YEAR(I1147)&lt;=2020,"Até 2020",TEXT(YEAR(I1147),"0"))</f>
        <v/>
      </c>
      <c r="N1147" s="5">
        <f>IFERROR(INDEX(DePara!$A:$A,MATCH(TEXT(B1147,"0"),DePara!$D:$D,0)),"(sem categoria)")</f>
        <v/>
      </c>
      <c r="O1147" s="5">
        <f>IF(J1147="","",Parametros!$B$6-J1147)</f>
        <v/>
      </c>
      <c r="P1147" s="5">
        <f>IF(O1147="","",IF(O1147&gt;0,1,0))</f>
        <v/>
      </c>
    </row>
    <row r="1148">
      <c r="A1148" s="5" t="n">
        <v>2122100000</v>
      </c>
      <c r="B1148" s="5" t="inlineStr">
        <is>
          <t>IC4420</t>
        </is>
      </c>
      <c r="C1148" s="5" t="inlineStr">
        <is>
          <t>NORDEX ENERGY SPAIN S A U</t>
        </is>
      </c>
      <c r="D1148" s="5" t="inlineStr">
        <is>
          <t>RE</t>
        </is>
      </c>
      <c r="E1148" s="5" t="n">
        <v>5038171</v>
      </c>
      <c r="F1148" s="5" t="inlineStr">
        <is>
          <t>4024004771</t>
        </is>
      </c>
      <c r="G1148" s="5" t="inlineStr">
        <is>
          <t>EUR</t>
        </is>
      </c>
      <c r="H1148" s="9" t="n">
        <v>-40856.24</v>
      </c>
      <c r="I1148" s="16" t="n">
        <v>45482</v>
      </c>
      <c r="J1148" s="16" t="n">
        <v>45512</v>
      </c>
      <c r="K1148" s="5" t="inlineStr">
        <is>
          <t>0567/24</t>
        </is>
      </c>
      <c r="L1148" s="5" t="inlineStr">
        <is>
          <t>4024004771</t>
        </is>
      </c>
      <c r="M1148" s="5">
        <f>IF(YEAR(I1148)&lt;=2020,"Até 2020",TEXT(YEAR(I1148),"0"))</f>
        <v/>
      </c>
      <c r="N1148" s="5">
        <f>IFERROR(INDEX(DePara!$A:$A,MATCH(TEXT(B1148,"0"),DePara!$D:$D,0)),"(sem categoria)")</f>
        <v/>
      </c>
      <c r="O1148" s="5">
        <f>IF(J1148="","",Parametros!$B$6-J1148)</f>
        <v/>
      </c>
      <c r="P1148" s="5">
        <f>IF(O1148="","",IF(O1148&gt;0,1,0))</f>
        <v/>
      </c>
    </row>
    <row r="1149">
      <c r="A1149" s="5" t="n">
        <v>2122100000</v>
      </c>
      <c r="B1149" s="5" t="inlineStr">
        <is>
          <t>IC4420</t>
        </is>
      </c>
      <c r="C1149" s="5" t="inlineStr">
        <is>
          <t>NORDEX ENERGY SPAIN S A U</t>
        </is>
      </c>
      <c r="D1149" s="5" t="inlineStr">
        <is>
          <t>RE</t>
        </is>
      </c>
      <c r="E1149" s="5" t="n">
        <v>5038172</v>
      </c>
      <c r="F1149" s="5" t="inlineStr">
        <is>
          <t>4025007934</t>
        </is>
      </c>
      <c r="G1149" s="5" t="inlineStr">
        <is>
          <t>EUR</t>
        </is>
      </c>
      <c r="H1149" s="9" t="n">
        <v>-47184.61</v>
      </c>
      <c r="I1149" s="16" t="n">
        <v>45945</v>
      </c>
      <c r="J1149" s="16" t="n">
        <v>45975</v>
      </c>
      <c r="K1149" s="5" t="inlineStr">
        <is>
          <t>0830/25</t>
        </is>
      </c>
      <c r="L1149" s="5" t="inlineStr">
        <is>
          <t>4025007934</t>
        </is>
      </c>
      <c r="M1149" s="5">
        <f>IF(YEAR(I1149)&lt;=2020,"Até 2020",TEXT(YEAR(I1149),"0"))</f>
        <v/>
      </c>
      <c r="N1149" s="5">
        <f>IFERROR(INDEX(DePara!$A:$A,MATCH(TEXT(B1149,"0"),DePara!$D:$D,0)),"(sem categoria)")</f>
        <v/>
      </c>
      <c r="O1149" s="5">
        <f>IF(J1149="","",Parametros!$B$6-J1149)</f>
        <v/>
      </c>
      <c r="P1149" s="5">
        <f>IF(O1149="","",IF(O1149&gt;0,1,0))</f>
        <v/>
      </c>
    </row>
    <row r="1150">
      <c r="A1150" s="5" t="n">
        <v>2122100000</v>
      </c>
      <c r="B1150" s="5" t="inlineStr">
        <is>
          <t>IC4420</t>
        </is>
      </c>
      <c r="C1150" s="5" t="inlineStr">
        <is>
          <t>NORDEX ENERGY SPAIN S A U</t>
        </is>
      </c>
      <c r="D1150" s="5" t="inlineStr">
        <is>
          <t>RE</t>
        </is>
      </c>
      <c r="E1150" s="5" t="n">
        <v>5038173</v>
      </c>
      <c r="F1150" s="5" t="inlineStr">
        <is>
          <t>4025007936</t>
        </is>
      </c>
      <c r="G1150" s="5" t="inlineStr">
        <is>
          <t>EUR</t>
        </is>
      </c>
      <c r="H1150" s="9" t="n">
        <v>-86843.32000000001</v>
      </c>
      <c r="I1150" s="16" t="n">
        <v>45945</v>
      </c>
      <c r="J1150" s="16" t="n">
        <v>45975</v>
      </c>
      <c r="K1150" s="5" t="inlineStr">
        <is>
          <t>0830/25</t>
        </is>
      </c>
      <c r="L1150" s="5" t="inlineStr">
        <is>
          <t>4025007936</t>
        </is>
      </c>
      <c r="M1150" s="5">
        <f>IF(YEAR(I1150)&lt;=2020,"Até 2020",TEXT(YEAR(I1150),"0"))</f>
        <v/>
      </c>
      <c r="N1150" s="5">
        <f>IFERROR(INDEX(DePara!$A:$A,MATCH(TEXT(B1150,"0"),DePara!$D:$D,0)),"(sem categoria)")</f>
        <v/>
      </c>
      <c r="O1150" s="5">
        <f>IF(J1150="","",Parametros!$B$6-J1150)</f>
        <v/>
      </c>
      <c r="P1150" s="5">
        <f>IF(O1150="","",IF(O1150&gt;0,1,0))</f>
        <v/>
      </c>
    </row>
    <row r="1151">
      <c r="A1151" s="5" t="n">
        <v>2122100000</v>
      </c>
      <c r="B1151" s="5" t="inlineStr">
        <is>
          <t>IC4420</t>
        </is>
      </c>
      <c r="C1151" s="5" t="inlineStr">
        <is>
          <t>NORDEX ENERGY SPAIN S A U</t>
        </is>
      </c>
      <c r="D1151" s="5" t="inlineStr">
        <is>
          <t>RE</t>
        </is>
      </c>
      <c r="E1151" s="5" t="n">
        <v>5038185</v>
      </c>
      <c r="F1151" s="5" t="inlineStr">
        <is>
          <t>4025008507</t>
        </is>
      </c>
      <c r="G1151" s="5" t="inlineStr">
        <is>
          <t>EUR</t>
        </is>
      </c>
      <c r="H1151" s="9" t="n">
        <v>-4175.79</v>
      </c>
      <c r="I1151" s="16" t="n">
        <v>45964</v>
      </c>
      <c r="J1151" s="16" t="n">
        <v>45994</v>
      </c>
      <c r="K1151" s="5" t="inlineStr">
        <is>
          <t>0848/25</t>
        </is>
      </c>
      <c r="L1151" s="5" t="inlineStr">
        <is>
          <t>4025008507</t>
        </is>
      </c>
      <c r="M1151" s="5">
        <f>IF(YEAR(I1151)&lt;=2020,"Até 2020",TEXT(YEAR(I1151),"0"))</f>
        <v/>
      </c>
      <c r="N1151" s="5">
        <f>IFERROR(INDEX(DePara!$A:$A,MATCH(TEXT(B1151,"0"),DePara!$D:$D,0)),"(sem categoria)")</f>
        <v/>
      </c>
      <c r="O1151" s="5">
        <f>IF(J1151="","",Parametros!$B$6-J1151)</f>
        <v/>
      </c>
      <c r="P1151" s="5">
        <f>IF(O1151="","",IF(O1151&gt;0,1,0))</f>
        <v/>
      </c>
    </row>
    <row r="1152">
      <c r="A1152" s="5" t="n">
        <v>2122100000</v>
      </c>
      <c r="B1152" s="5" t="inlineStr">
        <is>
          <t>IC4420</t>
        </is>
      </c>
      <c r="C1152" s="5" t="inlineStr">
        <is>
          <t>NORDEX ENERGY SPAIN S A U</t>
        </is>
      </c>
      <c r="D1152" s="5" t="inlineStr">
        <is>
          <t>RE</t>
        </is>
      </c>
      <c r="E1152" s="5" t="n">
        <v>5038186</v>
      </c>
      <c r="F1152" s="5" t="inlineStr">
        <is>
          <t>4025008508</t>
        </is>
      </c>
      <c r="G1152" s="5" t="inlineStr">
        <is>
          <t>EUR</t>
        </is>
      </c>
      <c r="H1152" s="9" t="n">
        <v>-4670.92</v>
      </c>
      <c r="I1152" s="16" t="n">
        <v>45964</v>
      </c>
      <c r="J1152" s="16" t="n">
        <v>45994</v>
      </c>
      <c r="K1152" s="5" t="inlineStr">
        <is>
          <t>0848/25</t>
        </is>
      </c>
      <c r="L1152" s="5" t="inlineStr">
        <is>
          <t>4025008508</t>
        </is>
      </c>
      <c r="M1152" s="5">
        <f>IF(YEAR(I1152)&lt;=2020,"Até 2020",TEXT(YEAR(I1152),"0"))</f>
        <v/>
      </c>
      <c r="N1152" s="5">
        <f>IFERROR(INDEX(DePara!$A:$A,MATCH(TEXT(B1152,"0"),DePara!$D:$D,0)),"(sem categoria)")</f>
        <v/>
      </c>
      <c r="O1152" s="5">
        <f>IF(J1152="","",Parametros!$B$6-J1152)</f>
        <v/>
      </c>
      <c r="P1152" s="5">
        <f>IF(O1152="","",IF(O1152&gt;0,1,0))</f>
        <v/>
      </c>
    </row>
    <row r="1153">
      <c r="A1153" s="5" t="n">
        <v>2122100000</v>
      </c>
      <c r="B1153" s="5" t="inlineStr">
        <is>
          <t>IC1000</t>
        </is>
      </c>
      <c r="C1153" s="5" t="inlineStr">
        <is>
          <t>NORDEX ENERGY SE &amp; CO KG</t>
        </is>
      </c>
      <c r="D1153" s="5" t="inlineStr">
        <is>
          <t>RE</t>
        </is>
      </c>
      <c r="E1153" s="5" t="n">
        <v>5038249</v>
      </c>
      <c r="F1153" s="5" t="inlineStr">
        <is>
          <t>340203</t>
        </is>
      </c>
      <c r="G1153" s="5" t="inlineStr">
        <is>
          <t>EUR</t>
        </is>
      </c>
      <c r="H1153" s="9" t="n">
        <v>-1320.92</v>
      </c>
      <c r="I1153" s="16" t="n">
        <v>45775</v>
      </c>
      <c r="J1153" s="16" t="n">
        <v>45805</v>
      </c>
      <c r="K1153" s="5" t="inlineStr">
        <is>
          <t>0863/25</t>
        </is>
      </c>
      <c r="L1153" s="5" t="inlineStr">
        <is>
          <t>340203</t>
        </is>
      </c>
      <c r="M1153" s="5">
        <f>IF(YEAR(I1153)&lt;=2020,"Até 2020",TEXT(YEAR(I1153),"0"))</f>
        <v/>
      </c>
      <c r="N1153" s="5">
        <f>IFERROR(INDEX(DePara!$A:$A,MATCH(TEXT(B1153,"0"),DePara!$D:$D,0)),"(sem categoria)")</f>
        <v/>
      </c>
      <c r="O1153" s="5">
        <f>IF(J1153="","",Parametros!$B$6-J1153)</f>
        <v/>
      </c>
      <c r="P1153" s="5">
        <f>IF(O1153="","",IF(O1153&gt;0,1,0))</f>
        <v/>
      </c>
    </row>
    <row r="1154">
      <c r="A1154" s="5" t="n">
        <v>2122100000</v>
      </c>
      <c r="B1154" s="5" t="inlineStr">
        <is>
          <t>IC4420</t>
        </is>
      </c>
      <c r="C1154" s="5" t="inlineStr">
        <is>
          <t>NORDEX ENERGY SPAIN S A U</t>
        </is>
      </c>
      <c r="D1154" s="5" t="inlineStr">
        <is>
          <t>RE</t>
        </is>
      </c>
      <c r="E1154" s="5" t="n">
        <v>5038304</v>
      </c>
      <c r="F1154" s="5" t="inlineStr">
        <is>
          <t>4025008504</t>
        </is>
      </c>
      <c r="G1154" s="5" t="inlineStr">
        <is>
          <t>EUR</t>
        </is>
      </c>
      <c r="H1154" s="9" t="n">
        <v>-1453.78</v>
      </c>
      <c r="I1154" s="16" t="n">
        <v>45964</v>
      </c>
      <c r="J1154" s="16" t="n">
        <v>45994</v>
      </c>
      <c r="K1154" s="5" t="inlineStr">
        <is>
          <t>0851/25</t>
        </is>
      </c>
      <c r="L1154" s="5" t="inlineStr">
        <is>
          <t>4025008504</t>
        </is>
      </c>
      <c r="M1154" s="5">
        <f>IF(YEAR(I1154)&lt;=2020,"Até 2020",TEXT(YEAR(I1154),"0"))</f>
        <v/>
      </c>
      <c r="N1154" s="5">
        <f>IFERROR(INDEX(DePara!$A:$A,MATCH(TEXT(B1154,"0"),DePara!$D:$D,0)),"(sem categoria)")</f>
        <v/>
      </c>
      <c r="O1154" s="5">
        <f>IF(J1154="","",Parametros!$B$6-J1154)</f>
        <v/>
      </c>
      <c r="P1154" s="5">
        <f>IF(O1154="","",IF(O1154&gt;0,1,0))</f>
        <v/>
      </c>
    </row>
    <row r="1155">
      <c r="A1155" s="5" t="n">
        <v>2122100000</v>
      </c>
      <c r="B1155" s="5" t="inlineStr">
        <is>
          <t>IC4420</t>
        </is>
      </c>
      <c r="C1155" s="5" t="inlineStr">
        <is>
          <t>NORDEX ENERGY SPAIN S A U</t>
        </is>
      </c>
      <c r="D1155" s="5" t="inlineStr">
        <is>
          <t>RE</t>
        </is>
      </c>
      <c r="E1155" s="5" t="n">
        <v>5038305</v>
      </c>
      <c r="F1155" s="5" t="inlineStr">
        <is>
          <t>4025008505</t>
        </is>
      </c>
      <c r="G1155" s="5" t="inlineStr">
        <is>
          <t>EUR</t>
        </is>
      </c>
      <c r="H1155" s="9" t="n">
        <v>-5739.15</v>
      </c>
      <c r="I1155" s="16" t="n">
        <v>45964</v>
      </c>
      <c r="J1155" s="16" t="n">
        <v>45994</v>
      </c>
      <c r="K1155" s="5" t="inlineStr">
        <is>
          <t>0851/25</t>
        </is>
      </c>
      <c r="L1155" s="5" t="inlineStr">
        <is>
          <t>4025008505</t>
        </is>
      </c>
      <c r="M1155" s="5">
        <f>IF(YEAR(I1155)&lt;=2020,"Até 2020",TEXT(YEAR(I1155),"0"))</f>
        <v/>
      </c>
      <c r="N1155" s="5">
        <f>IFERROR(INDEX(DePara!$A:$A,MATCH(TEXT(B1155,"0"),DePara!$D:$D,0)),"(sem categoria)")</f>
        <v/>
      </c>
      <c r="O1155" s="5">
        <f>IF(J1155="","",Parametros!$B$6-J1155)</f>
        <v/>
      </c>
      <c r="P1155" s="5">
        <f>IF(O1155="","",IF(O1155&gt;0,1,0))</f>
        <v/>
      </c>
    </row>
    <row r="1156">
      <c r="A1156" s="5" t="n">
        <v>2122100000</v>
      </c>
      <c r="B1156" s="5" t="inlineStr">
        <is>
          <t>IC4420</t>
        </is>
      </c>
      <c r="C1156" s="5" t="inlineStr">
        <is>
          <t>NORDEX ENERGY SPAIN S A U</t>
        </is>
      </c>
      <c r="D1156" s="5" t="inlineStr">
        <is>
          <t>RE</t>
        </is>
      </c>
      <c r="E1156" s="5" t="n">
        <v>5038307</v>
      </c>
      <c r="F1156" s="5" t="inlineStr">
        <is>
          <t>4025007123</t>
        </is>
      </c>
      <c r="G1156" s="5" t="inlineStr">
        <is>
          <t>EUR</t>
        </is>
      </c>
      <c r="H1156" s="9" t="n">
        <v>-156335.18</v>
      </c>
      <c r="I1156" s="16" t="n">
        <v>45917</v>
      </c>
      <c r="J1156" s="16" t="n">
        <v>45947</v>
      </c>
      <c r="K1156" s="5" t="inlineStr">
        <is>
          <t>0742/25</t>
        </is>
      </c>
      <c r="L1156" s="5" t="inlineStr">
        <is>
          <t>4025007123</t>
        </is>
      </c>
      <c r="M1156" s="5">
        <f>IF(YEAR(I1156)&lt;=2020,"Até 2020",TEXT(YEAR(I1156),"0"))</f>
        <v/>
      </c>
      <c r="N1156" s="5">
        <f>IFERROR(INDEX(DePara!$A:$A,MATCH(TEXT(B1156,"0"),DePara!$D:$D,0)),"(sem categoria)")</f>
        <v/>
      </c>
      <c r="O1156" s="5">
        <f>IF(J1156="","",Parametros!$B$6-J1156)</f>
        <v/>
      </c>
      <c r="P1156" s="5">
        <f>IF(O1156="","",IF(O1156&gt;0,1,0))</f>
        <v/>
      </c>
    </row>
    <row r="1157">
      <c r="A1157" s="5" t="n">
        <v>2122100000</v>
      </c>
      <c r="B1157" s="5" t="inlineStr">
        <is>
          <t>IC1000</t>
        </is>
      </c>
      <c r="C1157" s="5" t="inlineStr">
        <is>
          <t>NORDEX ENERGY SE &amp; CO KG</t>
        </is>
      </c>
      <c r="D1157" s="5" t="inlineStr">
        <is>
          <t>RE</t>
        </is>
      </c>
      <c r="E1157" s="5" t="n">
        <v>5038458</v>
      </c>
      <c r="F1157" s="5" t="inlineStr">
        <is>
          <t>300373</t>
        </is>
      </c>
      <c r="G1157" s="5" t="inlineStr">
        <is>
          <t>EUR</t>
        </is>
      </c>
      <c r="H1157" s="9" t="n">
        <v>-21604.55</v>
      </c>
      <c r="I1157" s="16" t="n">
        <v>45505</v>
      </c>
      <c r="J1157" s="16" t="n">
        <v>45535</v>
      </c>
      <c r="K1157" s="5" t="inlineStr">
        <is>
          <t>0692/24</t>
        </is>
      </c>
      <c r="L1157" s="5" t="inlineStr">
        <is>
          <t>300373</t>
        </is>
      </c>
      <c r="M1157" s="5">
        <f>IF(YEAR(I1157)&lt;=2020,"Até 2020",TEXT(YEAR(I1157),"0"))</f>
        <v/>
      </c>
      <c r="N1157" s="5">
        <f>IFERROR(INDEX(DePara!$A:$A,MATCH(TEXT(B1157,"0"),DePara!$D:$D,0)),"(sem categoria)")</f>
        <v/>
      </c>
      <c r="O1157" s="5">
        <f>IF(J1157="","",Parametros!$B$6-J1157)</f>
        <v/>
      </c>
      <c r="P1157" s="5">
        <f>IF(O1157="","",IF(O1157&gt;0,1,0))</f>
        <v/>
      </c>
    </row>
    <row r="1158">
      <c r="A1158" s="5" t="n">
        <v>2122100000</v>
      </c>
      <c r="B1158" s="5" t="inlineStr">
        <is>
          <t>IC4420</t>
        </is>
      </c>
      <c r="C1158" s="5" t="inlineStr">
        <is>
          <t>NORDEX ENERGY SPAIN S A U</t>
        </is>
      </c>
      <c r="D1158" s="5" t="inlineStr">
        <is>
          <t>RE</t>
        </is>
      </c>
      <c r="E1158" s="5" t="n">
        <v>5038516</v>
      </c>
      <c r="F1158" s="5" t="inlineStr">
        <is>
          <t>4025008493</t>
        </is>
      </c>
      <c r="G1158" s="5" t="inlineStr">
        <is>
          <t>EUR</t>
        </is>
      </c>
      <c r="H1158" s="9" t="n">
        <v>-10418.49</v>
      </c>
      <c r="I1158" s="16" t="n">
        <v>45964</v>
      </c>
      <c r="J1158" s="16" t="n">
        <v>45994</v>
      </c>
      <c r="K1158" s="5" t="inlineStr">
        <is>
          <t>0860/25</t>
        </is>
      </c>
      <c r="L1158" s="5" t="inlineStr">
        <is>
          <t>4025008493</t>
        </is>
      </c>
      <c r="M1158" s="5">
        <f>IF(YEAR(I1158)&lt;=2020,"Até 2020",TEXT(YEAR(I1158),"0"))</f>
        <v/>
      </c>
      <c r="N1158" s="5">
        <f>IFERROR(INDEX(DePara!$A:$A,MATCH(TEXT(B1158,"0"),DePara!$D:$D,0)),"(sem categoria)")</f>
        <v/>
      </c>
      <c r="O1158" s="5">
        <f>IF(J1158="","",Parametros!$B$6-J1158)</f>
        <v/>
      </c>
      <c r="P1158" s="5">
        <f>IF(O1158="","",IF(O1158&gt;0,1,0))</f>
        <v/>
      </c>
    </row>
    <row r="1159">
      <c r="A1159" s="5" t="n">
        <v>2122100000</v>
      </c>
      <c r="B1159" s="5" t="inlineStr">
        <is>
          <t>IC4420</t>
        </is>
      </c>
      <c r="C1159" s="5" t="inlineStr">
        <is>
          <t>NORDEX ENERGY SPAIN S A U</t>
        </is>
      </c>
      <c r="D1159" s="5" t="inlineStr">
        <is>
          <t>RE</t>
        </is>
      </c>
      <c r="E1159" s="5" t="n">
        <v>5038711</v>
      </c>
      <c r="F1159" s="5" t="inlineStr">
        <is>
          <t>4025008571</t>
        </is>
      </c>
      <c r="G1159" s="5" t="inlineStr">
        <is>
          <t>EUR</t>
        </is>
      </c>
      <c r="H1159" s="9" t="n">
        <v>-573091.39</v>
      </c>
      <c r="I1159" s="16" t="n">
        <v>45966</v>
      </c>
      <c r="J1159" s="16" t="n">
        <v>45996</v>
      </c>
      <c r="K1159" s="5" t="inlineStr">
        <is>
          <t>0865/25</t>
        </is>
      </c>
      <c r="L1159" s="5" t="inlineStr">
        <is>
          <t>4025008571</t>
        </is>
      </c>
      <c r="M1159" s="5">
        <f>IF(YEAR(I1159)&lt;=2020,"Até 2020",TEXT(YEAR(I1159),"0"))</f>
        <v/>
      </c>
      <c r="N1159" s="5">
        <f>IFERROR(INDEX(DePara!$A:$A,MATCH(TEXT(B1159,"0"),DePara!$D:$D,0)),"(sem categoria)")</f>
        <v/>
      </c>
      <c r="O1159" s="5">
        <f>IF(J1159="","",Parametros!$B$6-J1159)</f>
        <v/>
      </c>
      <c r="P1159" s="5">
        <f>IF(O1159="","",IF(O1159&gt;0,1,0))</f>
        <v/>
      </c>
    </row>
    <row r="1160">
      <c r="A1160" s="5" t="n">
        <v>2122100000</v>
      </c>
      <c r="B1160" s="5" t="inlineStr">
        <is>
          <t>IC4420</t>
        </is>
      </c>
      <c r="C1160" s="5" t="inlineStr">
        <is>
          <t>NORDEX ENERGY SPAIN S A U</t>
        </is>
      </c>
      <c r="D1160" s="5" t="inlineStr">
        <is>
          <t>RE</t>
        </is>
      </c>
      <c r="E1160" s="5" t="n">
        <v>5038748</v>
      </c>
      <c r="F1160" s="5" t="inlineStr">
        <is>
          <t>4025006844</t>
        </is>
      </c>
      <c r="G1160" s="5" t="inlineStr">
        <is>
          <t>EUR</t>
        </is>
      </c>
      <c r="H1160" s="9" t="n">
        <v>-78173.66</v>
      </c>
      <c r="I1160" s="16" t="n">
        <v>45915</v>
      </c>
      <c r="J1160" s="16" t="n">
        <v>45945</v>
      </c>
      <c r="K1160" s="5" t="inlineStr">
        <is>
          <t>0730/25</t>
        </is>
      </c>
      <c r="L1160" s="5" t="inlineStr">
        <is>
          <t>4025006844</t>
        </is>
      </c>
      <c r="M1160" s="5">
        <f>IF(YEAR(I1160)&lt;=2020,"Até 2020",TEXT(YEAR(I1160),"0"))</f>
        <v/>
      </c>
      <c r="N1160" s="5">
        <f>IFERROR(INDEX(DePara!$A:$A,MATCH(TEXT(B1160,"0"),DePara!$D:$D,0)),"(sem categoria)")</f>
        <v/>
      </c>
      <c r="O1160" s="5">
        <f>IF(J1160="","",Parametros!$B$6-J1160)</f>
        <v/>
      </c>
      <c r="P1160" s="5">
        <f>IF(O1160="","",IF(O1160&gt;0,1,0))</f>
        <v/>
      </c>
    </row>
    <row r="1161">
      <c r="A1161" s="5" t="n">
        <v>2122100000</v>
      </c>
      <c r="B1161" s="5" t="inlineStr">
        <is>
          <t>IC5000</t>
        </is>
      </c>
      <c r="C1161" s="5" t="inlineStr">
        <is>
          <t>NORDEX SE</t>
        </is>
      </c>
      <c r="D1161" s="5" t="inlineStr">
        <is>
          <t>KR</t>
        </is>
      </c>
      <c r="E1161" s="5" t="n">
        <v>5038796</v>
      </c>
      <c r="F1161" s="5" t="inlineStr">
        <is>
          <t>610134</t>
        </is>
      </c>
      <c r="G1161" s="5" t="inlineStr">
        <is>
          <t>EUR</t>
        </is>
      </c>
      <c r="H1161" s="9" t="n">
        <v>-15728838.58</v>
      </c>
      <c r="I1161" s="16" t="n">
        <v>45982</v>
      </c>
      <c r="J1161" s="16" t="n">
        <v>45982</v>
      </c>
      <c r="K1161" s="5" t="inlineStr">
        <is>
          <t>Fatura do fornecedor NORDEX SE 610134</t>
        </is>
      </c>
      <c r="L1161" s="5" t="n"/>
      <c r="M1161" s="5">
        <f>IF(YEAR(I1161)&lt;=2020,"Até 2020",TEXT(YEAR(I1161),"0"))</f>
        <v/>
      </c>
      <c r="N1161" s="5">
        <f>IFERROR(INDEX(DePara!$A:$A,MATCH(TEXT(B1161,"0"),DePara!$D:$D,0)),"(sem categoria)")</f>
        <v/>
      </c>
      <c r="O1161" s="5">
        <f>IF(J1161="","",Parametros!$B$6-J1161)</f>
        <v/>
      </c>
      <c r="P1161" s="5">
        <f>IF(O1161="","",IF(O1161&gt;0,1,0))</f>
        <v/>
      </c>
    </row>
    <row r="1162">
      <c r="A1162" s="5" t="n">
        <v>2122100000</v>
      </c>
      <c r="B1162" s="5" t="inlineStr">
        <is>
          <t>IC4420</t>
        </is>
      </c>
      <c r="C1162" s="5" t="inlineStr">
        <is>
          <t>NORDEX ENERGY SPAIN S A U</t>
        </is>
      </c>
      <c r="D1162" s="5" t="inlineStr">
        <is>
          <t>RE</t>
        </is>
      </c>
      <c r="E1162" s="5" t="n">
        <v>5038800</v>
      </c>
      <c r="F1162" s="5" t="inlineStr">
        <is>
          <t>4025006848</t>
        </is>
      </c>
      <c r="G1162" s="5" t="inlineStr">
        <is>
          <t>EUR</t>
        </is>
      </c>
      <c r="H1162" s="9" t="n">
        <v>-585.89</v>
      </c>
      <c r="I1162" s="16" t="n">
        <v>45915</v>
      </c>
      <c r="J1162" s="16" t="n">
        <v>45945</v>
      </c>
      <c r="K1162" s="5" t="inlineStr">
        <is>
          <t>0732/25</t>
        </is>
      </c>
      <c r="L1162" s="5" t="inlineStr">
        <is>
          <t>4025006848</t>
        </is>
      </c>
      <c r="M1162" s="5">
        <f>IF(YEAR(I1162)&lt;=2020,"Até 2020",TEXT(YEAR(I1162),"0"))</f>
        <v/>
      </c>
      <c r="N1162" s="5">
        <f>IFERROR(INDEX(DePara!$A:$A,MATCH(TEXT(B1162,"0"),DePara!$D:$D,0)),"(sem categoria)")</f>
        <v/>
      </c>
      <c r="O1162" s="5">
        <f>IF(J1162="","",Parametros!$B$6-J1162)</f>
        <v/>
      </c>
      <c r="P1162" s="5">
        <f>IF(O1162="","",IF(O1162&gt;0,1,0))</f>
        <v/>
      </c>
    </row>
    <row r="1163">
      <c r="A1163" s="5" t="n">
        <v>2122100000</v>
      </c>
      <c r="B1163" s="5" t="inlineStr">
        <is>
          <t>IC4420</t>
        </is>
      </c>
      <c r="C1163" s="5" t="inlineStr">
        <is>
          <t>NORDEX ENERGY SPAIN S A U</t>
        </is>
      </c>
      <c r="D1163" s="5" t="inlineStr">
        <is>
          <t>RE</t>
        </is>
      </c>
      <c r="E1163" s="5" t="n">
        <v>5038806</v>
      </c>
      <c r="F1163" s="5" t="inlineStr">
        <is>
          <t>4025008706</t>
        </is>
      </c>
      <c r="G1163" s="5" t="inlineStr">
        <is>
          <t>EUR</t>
        </is>
      </c>
      <c r="H1163" s="9" t="n">
        <v>-3283.21</v>
      </c>
      <c r="I1163" s="16" t="n">
        <v>45972</v>
      </c>
      <c r="J1163" s="16" t="n">
        <v>46002</v>
      </c>
      <c r="K1163" s="5" t="inlineStr">
        <is>
          <t>0866/25</t>
        </is>
      </c>
      <c r="L1163" s="5" t="inlineStr">
        <is>
          <t>4025008706</t>
        </is>
      </c>
      <c r="M1163" s="5">
        <f>IF(YEAR(I1163)&lt;=2020,"Até 2020",TEXT(YEAR(I1163),"0"))</f>
        <v/>
      </c>
      <c r="N1163" s="5">
        <f>IFERROR(INDEX(DePara!$A:$A,MATCH(TEXT(B1163,"0"),DePara!$D:$D,0)),"(sem categoria)")</f>
        <v/>
      </c>
      <c r="O1163" s="5">
        <f>IF(J1163="","",Parametros!$B$6-J1163)</f>
        <v/>
      </c>
      <c r="P1163" s="5">
        <f>IF(O1163="","",IF(O1163&gt;0,1,0))</f>
        <v/>
      </c>
    </row>
    <row r="1164">
      <c r="A1164" s="5" t="n">
        <v>2122100000</v>
      </c>
      <c r="B1164" s="5" t="inlineStr">
        <is>
          <t>IC4420</t>
        </is>
      </c>
      <c r="C1164" s="5" t="inlineStr">
        <is>
          <t>NORDEX ENERGY SPAIN S A U</t>
        </is>
      </c>
      <c r="D1164" s="5" t="inlineStr">
        <is>
          <t>RE</t>
        </is>
      </c>
      <c r="E1164" s="5" t="n">
        <v>5038808</v>
      </c>
      <c r="F1164" s="5" t="inlineStr">
        <is>
          <t>4025008626</t>
        </is>
      </c>
      <c r="G1164" s="5" t="inlineStr">
        <is>
          <t>EUR</t>
        </is>
      </c>
      <c r="H1164" s="9" t="n">
        <v>-5757.17</v>
      </c>
      <c r="I1164" s="16" t="n">
        <v>45967</v>
      </c>
      <c r="J1164" s="16" t="n">
        <v>45997</v>
      </c>
      <c r="K1164" s="5" t="inlineStr">
        <is>
          <t>0858/25</t>
        </is>
      </c>
      <c r="L1164" s="5" t="inlineStr">
        <is>
          <t>4025008626</t>
        </is>
      </c>
      <c r="M1164" s="5">
        <f>IF(YEAR(I1164)&lt;=2020,"Até 2020",TEXT(YEAR(I1164),"0"))</f>
        <v/>
      </c>
      <c r="N1164" s="5">
        <f>IFERROR(INDEX(DePara!$A:$A,MATCH(TEXT(B1164,"0"),DePara!$D:$D,0)),"(sem categoria)")</f>
        <v/>
      </c>
      <c r="O1164" s="5">
        <f>IF(J1164="","",Parametros!$B$6-J1164)</f>
        <v/>
      </c>
      <c r="P1164" s="5">
        <f>IF(O1164="","",IF(O1164&gt;0,1,0))</f>
        <v/>
      </c>
    </row>
    <row r="1165">
      <c r="A1165" s="5" t="n">
        <v>2122100000</v>
      </c>
      <c r="B1165" s="5" t="inlineStr">
        <is>
          <t>IC4420</t>
        </is>
      </c>
      <c r="C1165" s="5" t="inlineStr">
        <is>
          <t>NORDEX ENERGY SPAIN S A U</t>
        </is>
      </c>
      <c r="D1165" s="5" t="inlineStr">
        <is>
          <t>RE</t>
        </is>
      </c>
      <c r="E1165" s="5" t="n">
        <v>5038809</v>
      </c>
      <c r="F1165" s="5" t="inlineStr">
        <is>
          <t>4018000182</t>
        </is>
      </c>
      <c r="G1165" s="5" t="inlineStr">
        <is>
          <t>EUR</t>
        </is>
      </c>
      <c r="H1165" s="9" t="n">
        <v>-154618.29</v>
      </c>
      <c r="I1165" s="16" t="n">
        <v>45929</v>
      </c>
      <c r="J1165" s="16" t="n">
        <v>45959</v>
      </c>
      <c r="K1165" s="5" t="inlineStr">
        <is>
          <t>0729/25</t>
        </is>
      </c>
      <c r="L1165" s="5" t="inlineStr">
        <is>
          <t>4018000182</t>
        </is>
      </c>
      <c r="M1165" s="5">
        <f>IF(YEAR(I1165)&lt;=2020,"Até 2020",TEXT(YEAR(I1165),"0"))</f>
        <v/>
      </c>
      <c r="N1165" s="5">
        <f>IFERROR(INDEX(DePara!$A:$A,MATCH(TEXT(B1165,"0"),DePara!$D:$D,0)),"(sem categoria)")</f>
        <v/>
      </c>
      <c r="O1165" s="5">
        <f>IF(J1165="","",Parametros!$B$6-J1165)</f>
        <v/>
      </c>
      <c r="P1165" s="5">
        <f>IF(O1165="","",IF(O1165&gt;0,1,0))</f>
        <v/>
      </c>
    </row>
    <row r="1166">
      <c r="A1166" s="5" t="n">
        <v>2122100000</v>
      </c>
      <c r="B1166" s="5" t="inlineStr">
        <is>
          <t>IC4420</t>
        </is>
      </c>
      <c r="C1166" s="5" t="inlineStr">
        <is>
          <t>NORDEX ENERGY SPAIN S A U</t>
        </is>
      </c>
      <c r="D1166" s="5" t="inlineStr">
        <is>
          <t>RE</t>
        </is>
      </c>
      <c r="E1166" s="5" t="n">
        <v>5038812</v>
      </c>
      <c r="F1166" s="5" t="inlineStr">
        <is>
          <t>4025006851</t>
        </is>
      </c>
      <c r="G1166" s="5" t="inlineStr">
        <is>
          <t>EUR</t>
        </is>
      </c>
      <c r="H1166" s="9" t="n">
        <v>-1018.9</v>
      </c>
      <c r="I1166" s="16" t="n">
        <v>45915</v>
      </c>
      <c r="J1166" s="16" t="n">
        <v>45945</v>
      </c>
      <c r="K1166" s="5" t="inlineStr">
        <is>
          <t>0732/25</t>
        </is>
      </c>
      <c r="L1166" s="5" t="inlineStr">
        <is>
          <t>4025006851</t>
        </is>
      </c>
      <c r="M1166" s="5">
        <f>IF(YEAR(I1166)&lt;=2020,"Até 2020",TEXT(YEAR(I1166),"0"))</f>
        <v/>
      </c>
      <c r="N1166" s="5">
        <f>IFERROR(INDEX(DePara!$A:$A,MATCH(TEXT(B1166,"0"),DePara!$D:$D,0)),"(sem categoria)")</f>
        <v/>
      </c>
      <c r="O1166" s="5">
        <f>IF(J1166="","",Parametros!$B$6-J1166)</f>
        <v/>
      </c>
      <c r="P1166" s="5">
        <f>IF(O1166="","",IF(O1166&gt;0,1,0))</f>
        <v/>
      </c>
    </row>
    <row r="1167">
      <c r="A1167" s="5" t="n">
        <v>2122100000</v>
      </c>
      <c r="B1167" s="5" t="inlineStr">
        <is>
          <t>IC4420</t>
        </is>
      </c>
      <c r="C1167" s="5" t="inlineStr">
        <is>
          <t>NORDEX ENERGY SPAIN S A U</t>
        </is>
      </c>
      <c r="D1167" s="5" t="inlineStr">
        <is>
          <t>RE</t>
        </is>
      </c>
      <c r="E1167" s="5" t="n">
        <v>5038814</v>
      </c>
      <c r="F1167" s="5" t="inlineStr">
        <is>
          <t>4025008496</t>
        </is>
      </c>
      <c r="G1167" s="5" t="inlineStr">
        <is>
          <t>EUR</t>
        </is>
      </c>
      <c r="H1167" s="9" t="n">
        <v>-8316.059999999999</v>
      </c>
      <c r="I1167" s="16" t="n">
        <v>45964</v>
      </c>
      <c r="J1167" s="16" t="n">
        <v>45994</v>
      </c>
      <c r="K1167" s="5" t="inlineStr">
        <is>
          <t>0861/25</t>
        </is>
      </c>
      <c r="L1167" s="5" t="inlineStr">
        <is>
          <t>4025008496</t>
        </is>
      </c>
      <c r="M1167" s="5">
        <f>IF(YEAR(I1167)&lt;=2020,"Até 2020",TEXT(YEAR(I1167),"0"))</f>
        <v/>
      </c>
      <c r="N1167" s="5">
        <f>IFERROR(INDEX(DePara!$A:$A,MATCH(TEXT(B1167,"0"),DePara!$D:$D,0)),"(sem categoria)")</f>
        <v/>
      </c>
      <c r="O1167" s="5">
        <f>IF(J1167="","",Parametros!$B$6-J1167)</f>
        <v/>
      </c>
      <c r="P1167" s="5">
        <f>IF(O1167="","",IF(O1167&gt;0,1,0))</f>
        <v/>
      </c>
    </row>
    <row r="1168">
      <c r="A1168" s="5" t="n">
        <v>2122100000</v>
      </c>
      <c r="B1168" s="5" t="inlineStr">
        <is>
          <t>IC4420</t>
        </is>
      </c>
      <c r="C1168" s="5" t="inlineStr">
        <is>
          <t>NORDEX ENERGY SPAIN S A U</t>
        </is>
      </c>
      <c r="D1168" s="5" t="inlineStr">
        <is>
          <t>RE</t>
        </is>
      </c>
      <c r="E1168" s="5" t="n">
        <v>5038821</v>
      </c>
      <c r="F1168" s="5" t="inlineStr">
        <is>
          <t>4024004774</t>
        </is>
      </c>
      <c r="G1168" s="5" t="inlineStr">
        <is>
          <t>EUR</t>
        </is>
      </c>
      <c r="H1168" s="9" t="n">
        <v>-8098.95</v>
      </c>
      <c r="I1168" s="16" t="n">
        <v>45482</v>
      </c>
      <c r="J1168" s="16" t="n">
        <v>45512</v>
      </c>
      <c r="K1168" s="5" t="inlineStr">
        <is>
          <t>0597/24</t>
        </is>
      </c>
      <c r="L1168" s="5" t="inlineStr">
        <is>
          <t>4024004774</t>
        </is>
      </c>
      <c r="M1168" s="5">
        <f>IF(YEAR(I1168)&lt;=2020,"Até 2020",TEXT(YEAR(I1168),"0"))</f>
        <v/>
      </c>
      <c r="N1168" s="5">
        <f>IFERROR(INDEX(DePara!$A:$A,MATCH(TEXT(B1168,"0"),DePara!$D:$D,0)),"(sem categoria)")</f>
        <v/>
      </c>
      <c r="O1168" s="5">
        <f>IF(J1168="","",Parametros!$B$6-J1168)</f>
        <v/>
      </c>
      <c r="P1168" s="5">
        <f>IF(O1168="","",IF(O1168&gt;0,1,0))</f>
        <v/>
      </c>
    </row>
    <row r="1169">
      <c r="A1169" s="5" t="n">
        <v>2122100000</v>
      </c>
      <c r="B1169" s="5" t="inlineStr">
        <is>
          <t>IC4420</t>
        </is>
      </c>
      <c r="C1169" s="5" t="inlineStr">
        <is>
          <t>NORDEX ENERGY SPAIN S A U</t>
        </is>
      </c>
      <c r="D1169" s="5" t="inlineStr">
        <is>
          <t>RE</t>
        </is>
      </c>
      <c r="E1169" s="5" t="n">
        <v>5038823</v>
      </c>
      <c r="F1169" s="5" t="inlineStr">
        <is>
          <t>4024004772</t>
        </is>
      </c>
      <c r="G1169" s="5" t="inlineStr">
        <is>
          <t>EUR</t>
        </is>
      </c>
      <c r="H1169" s="9" t="n">
        <v>-40218.94</v>
      </c>
      <c r="I1169" s="16" t="n">
        <v>45482</v>
      </c>
      <c r="J1169" s="16" t="n">
        <v>45512</v>
      </c>
      <c r="K1169" s="5" t="inlineStr">
        <is>
          <t>0597/24</t>
        </is>
      </c>
      <c r="L1169" s="5" t="inlineStr">
        <is>
          <t>4024004772</t>
        </is>
      </c>
      <c r="M1169" s="5">
        <f>IF(YEAR(I1169)&lt;=2020,"Até 2020",TEXT(YEAR(I1169),"0"))</f>
        <v/>
      </c>
      <c r="N1169" s="5">
        <f>IFERROR(INDEX(DePara!$A:$A,MATCH(TEXT(B1169,"0"),DePara!$D:$D,0)),"(sem categoria)")</f>
        <v/>
      </c>
      <c r="O1169" s="5">
        <f>IF(J1169="","",Parametros!$B$6-J1169)</f>
        <v/>
      </c>
      <c r="P1169" s="5">
        <f>IF(O1169="","",IF(O1169&gt;0,1,0))</f>
        <v/>
      </c>
    </row>
    <row r="1170">
      <c r="A1170" s="5" t="n">
        <v>2122100000</v>
      </c>
      <c r="B1170" s="5" t="inlineStr">
        <is>
          <t>IC4420</t>
        </is>
      </c>
      <c r="C1170" s="5" t="inlineStr">
        <is>
          <t>NORDEX ENERGY SPAIN S A U</t>
        </is>
      </c>
      <c r="D1170" s="5" t="inlineStr">
        <is>
          <t>RE</t>
        </is>
      </c>
      <c r="E1170" s="5" t="n">
        <v>5038824</v>
      </c>
      <c r="F1170" s="5" t="inlineStr">
        <is>
          <t>4024004776</t>
        </is>
      </c>
      <c r="G1170" s="5" t="inlineStr">
        <is>
          <t>EUR</t>
        </is>
      </c>
      <c r="H1170" s="9" t="n">
        <v>-76881.92999999999</v>
      </c>
      <c r="I1170" s="16" t="n">
        <v>45482</v>
      </c>
      <c r="J1170" s="16" t="n">
        <v>45512</v>
      </c>
      <c r="K1170" s="5" t="inlineStr">
        <is>
          <t>0597/24</t>
        </is>
      </c>
      <c r="L1170" s="5" t="inlineStr">
        <is>
          <t>4024004776</t>
        </is>
      </c>
      <c r="M1170" s="5">
        <f>IF(YEAR(I1170)&lt;=2020,"Até 2020",TEXT(YEAR(I1170),"0"))</f>
        <v/>
      </c>
      <c r="N1170" s="5">
        <f>IFERROR(INDEX(DePara!$A:$A,MATCH(TEXT(B1170,"0"),DePara!$D:$D,0)),"(sem categoria)")</f>
        <v/>
      </c>
      <c r="O1170" s="5">
        <f>IF(J1170="","",Parametros!$B$6-J1170)</f>
        <v/>
      </c>
      <c r="P1170" s="5">
        <f>IF(O1170="","",IF(O1170&gt;0,1,0))</f>
        <v/>
      </c>
    </row>
    <row r="1171">
      <c r="A1171" s="5" t="n">
        <v>2122100000</v>
      </c>
      <c r="B1171" s="5" t="inlineStr">
        <is>
          <t>IC4420</t>
        </is>
      </c>
      <c r="C1171" s="5" t="inlineStr">
        <is>
          <t>NORDEX ENERGY SPAIN S A U</t>
        </is>
      </c>
      <c r="D1171" s="5" t="inlineStr">
        <is>
          <t>RE</t>
        </is>
      </c>
      <c r="E1171" s="5" t="n">
        <v>5038825</v>
      </c>
      <c r="F1171" s="5" t="inlineStr">
        <is>
          <t>4024004775</t>
        </is>
      </c>
      <c r="G1171" s="5" t="inlineStr">
        <is>
          <t>EUR</t>
        </is>
      </c>
      <c r="H1171" s="9" t="n">
        <v>-109824.97</v>
      </c>
      <c r="I1171" s="16" t="n">
        <v>45482</v>
      </c>
      <c r="J1171" s="16" t="n">
        <v>45512</v>
      </c>
      <c r="K1171" s="5" t="inlineStr">
        <is>
          <t>0597/24</t>
        </is>
      </c>
      <c r="L1171" s="5" t="inlineStr">
        <is>
          <t>4024004775</t>
        </is>
      </c>
      <c r="M1171" s="5">
        <f>IF(YEAR(I1171)&lt;=2020,"Até 2020",TEXT(YEAR(I1171),"0"))</f>
        <v/>
      </c>
      <c r="N1171" s="5">
        <f>IFERROR(INDEX(DePara!$A:$A,MATCH(TEXT(B1171,"0"),DePara!$D:$D,0)),"(sem categoria)")</f>
        <v/>
      </c>
      <c r="O1171" s="5">
        <f>IF(J1171="","",Parametros!$B$6-J1171)</f>
        <v/>
      </c>
      <c r="P1171" s="5">
        <f>IF(O1171="","",IF(O1171&gt;0,1,0))</f>
        <v/>
      </c>
    </row>
    <row r="1172">
      <c r="A1172" s="5" t="n">
        <v>2122100000</v>
      </c>
      <c r="B1172" s="5" t="inlineStr">
        <is>
          <t>IC4420</t>
        </is>
      </c>
      <c r="C1172" s="5" t="inlineStr">
        <is>
          <t>NORDEX ENERGY SPAIN S A U</t>
        </is>
      </c>
      <c r="D1172" s="5" t="inlineStr">
        <is>
          <t>RE</t>
        </is>
      </c>
      <c r="E1172" s="5" t="n">
        <v>5038827</v>
      </c>
      <c r="F1172" s="5" t="inlineStr">
        <is>
          <t>4025008616</t>
        </is>
      </c>
      <c r="G1172" s="5" t="inlineStr">
        <is>
          <t>USD</t>
        </is>
      </c>
      <c r="H1172" s="9" t="n">
        <v>-3344910.68</v>
      </c>
      <c r="I1172" s="16" t="n">
        <v>45967</v>
      </c>
      <c r="J1172" s="16" t="n">
        <v>45997</v>
      </c>
      <c r="K1172" s="5" t="inlineStr">
        <is>
          <t>0801/25</t>
        </is>
      </c>
      <c r="L1172" s="5" t="inlineStr">
        <is>
          <t>4025008616</t>
        </is>
      </c>
      <c r="M1172" s="5">
        <f>IF(YEAR(I1172)&lt;=2020,"Até 2020",TEXT(YEAR(I1172),"0"))</f>
        <v/>
      </c>
      <c r="N1172" s="5">
        <f>IFERROR(INDEX(DePara!$A:$A,MATCH(TEXT(B1172,"0"),DePara!$D:$D,0)),"(sem categoria)")</f>
        <v/>
      </c>
      <c r="O1172" s="5">
        <f>IF(J1172="","",Parametros!$B$6-J1172)</f>
        <v/>
      </c>
      <c r="P1172" s="5">
        <f>IF(O1172="","",IF(O1172&gt;0,1,0))</f>
        <v/>
      </c>
    </row>
    <row r="1173">
      <c r="A1173" s="5" t="n">
        <v>2122100000</v>
      </c>
      <c r="B1173" s="5" t="inlineStr">
        <is>
          <t>IC4420</t>
        </is>
      </c>
      <c r="C1173" s="5" t="inlineStr">
        <is>
          <t>NORDEX ENERGY SPAIN S A U</t>
        </is>
      </c>
      <c r="D1173" s="5" t="inlineStr">
        <is>
          <t>RE</t>
        </is>
      </c>
      <c r="E1173" s="5" t="n">
        <v>5038829</v>
      </c>
      <c r="F1173" s="5" t="inlineStr">
        <is>
          <t>4025008617</t>
        </is>
      </c>
      <c r="G1173" s="5" t="inlineStr">
        <is>
          <t>USD</t>
        </is>
      </c>
      <c r="H1173" s="9" t="n">
        <v>-1672455.34</v>
      </c>
      <c r="I1173" s="16" t="n">
        <v>45967</v>
      </c>
      <c r="J1173" s="16" t="n">
        <v>45997</v>
      </c>
      <c r="K1173" s="5" t="inlineStr">
        <is>
          <t>0801/25</t>
        </is>
      </c>
      <c r="L1173" s="5" t="inlineStr">
        <is>
          <t>4025008617</t>
        </is>
      </c>
      <c r="M1173" s="5">
        <f>IF(YEAR(I1173)&lt;=2020,"Até 2020",TEXT(YEAR(I1173),"0"))</f>
        <v/>
      </c>
      <c r="N1173" s="5">
        <f>IFERROR(INDEX(DePara!$A:$A,MATCH(TEXT(B1173,"0"),DePara!$D:$D,0)),"(sem categoria)")</f>
        <v/>
      </c>
      <c r="O1173" s="5">
        <f>IF(J1173="","",Parametros!$B$6-J1173)</f>
        <v/>
      </c>
      <c r="P1173" s="5">
        <f>IF(O1173="","",IF(O1173&gt;0,1,0))</f>
        <v/>
      </c>
    </row>
    <row r="1174">
      <c r="A1174" s="5" t="n">
        <v>2122100000</v>
      </c>
      <c r="B1174" s="5" t="inlineStr">
        <is>
          <t>IC4420</t>
        </is>
      </c>
      <c r="C1174" s="5" t="inlineStr">
        <is>
          <t>NORDEX ENERGY SPAIN S A U</t>
        </is>
      </c>
      <c r="D1174" s="5" t="inlineStr">
        <is>
          <t>RE</t>
        </is>
      </c>
      <c r="E1174" s="5" t="n">
        <v>5038870</v>
      </c>
      <c r="F1174" s="5" t="inlineStr">
        <is>
          <t>4025008306</t>
        </is>
      </c>
      <c r="G1174" s="5" t="inlineStr">
        <is>
          <t>EUR</t>
        </is>
      </c>
      <c r="H1174" s="9" t="n">
        <v>-559598.4</v>
      </c>
      <c r="I1174" s="16" t="n">
        <v>45958</v>
      </c>
      <c r="J1174" s="16" t="n">
        <v>45988</v>
      </c>
      <c r="K1174" s="5" t="inlineStr">
        <is>
          <t>0828/25</t>
        </is>
      </c>
      <c r="L1174" s="5" t="inlineStr">
        <is>
          <t>4025008306</t>
        </is>
      </c>
      <c r="M1174" s="5">
        <f>IF(YEAR(I1174)&lt;=2020,"Até 2020",TEXT(YEAR(I1174),"0"))</f>
        <v/>
      </c>
      <c r="N1174" s="5">
        <f>IFERROR(INDEX(DePara!$A:$A,MATCH(TEXT(B1174,"0"),DePara!$D:$D,0)),"(sem categoria)")</f>
        <v/>
      </c>
      <c r="O1174" s="5">
        <f>IF(J1174="","",Parametros!$B$6-J1174)</f>
        <v/>
      </c>
      <c r="P1174" s="5">
        <f>IF(O1174="","",IF(O1174&gt;0,1,0))</f>
        <v/>
      </c>
    </row>
    <row r="1175">
      <c r="A1175" s="5" t="n">
        <v>2122100000</v>
      </c>
      <c r="B1175" s="5" t="inlineStr">
        <is>
          <t>IC4420</t>
        </is>
      </c>
      <c r="C1175" s="5" t="inlineStr">
        <is>
          <t>NORDEX ENERGY SPAIN S A U</t>
        </is>
      </c>
      <c r="D1175" s="5" t="inlineStr">
        <is>
          <t>RE</t>
        </is>
      </c>
      <c r="E1175" s="5" t="n">
        <v>5038887</v>
      </c>
      <c r="F1175" s="5" t="inlineStr">
        <is>
          <t>4025006845</t>
        </is>
      </c>
      <c r="G1175" s="5" t="inlineStr">
        <is>
          <t>EUR</t>
        </is>
      </c>
      <c r="H1175" s="9" t="n">
        <v>-148664.31</v>
      </c>
      <c r="I1175" s="16" t="n">
        <v>45915</v>
      </c>
      <c r="J1175" s="16" t="n">
        <v>45945</v>
      </c>
      <c r="K1175" s="5" t="inlineStr">
        <is>
          <t>0728/25</t>
        </is>
      </c>
      <c r="L1175" s="5" t="inlineStr">
        <is>
          <t>4025006845</t>
        </is>
      </c>
      <c r="M1175" s="5">
        <f>IF(YEAR(I1175)&lt;=2020,"Até 2020",TEXT(YEAR(I1175),"0"))</f>
        <v/>
      </c>
      <c r="N1175" s="5">
        <f>IFERROR(INDEX(DePara!$A:$A,MATCH(TEXT(B1175,"0"),DePara!$D:$D,0)),"(sem categoria)")</f>
        <v/>
      </c>
      <c r="O1175" s="5">
        <f>IF(J1175="","",Parametros!$B$6-J1175)</f>
        <v/>
      </c>
      <c r="P1175" s="5">
        <f>IF(O1175="","",IF(O1175&gt;0,1,0))</f>
        <v/>
      </c>
    </row>
    <row r="1176">
      <c r="A1176" s="5" t="n">
        <v>2122100000</v>
      </c>
      <c r="B1176" s="5" t="inlineStr">
        <is>
          <t>IC4420</t>
        </is>
      </c>
      <c r="C1176" s="5" t="inlineStr">
        <is>
          <t>NORDEX ENERGY SPAIN S A U</t>
        </is>
      </c>
      <c r="D1176" s="5" t="inlineStr">
        <is>
          <t>RE</t>
        </is>
      </c>
      <c r="E1176" s="5" t="n">
        <v>5038911</v>
      </c>
      <c r="F1176" s="5" t="inlineStr">
        <is>
          <t>4025008461</t>
        </is>
      </c>
      <c r="G1176" s="5" t="inlineStr">
        <is>
          <t>EUR</t>
        </is>
      </c>
      <c r="H1176" s="9" t="n">
        <v>-6138.61</v>
      </c>
      <c r="I1176" s="16" t="n">
        <v>45960</v>
      </c>
      <c r="J1176" s="16" t="n">
        <v>45990</v>
      </c>
      <c r="K1176" s="5" t="inlineStr">
        <is>
          <t>0834/25</t>
        </is>
      </c>
      <c r="L1176" s="5" t="inlineStr">
        <is>
          <t>4025008461</t>
        </is>
      </c>
      <c r="M1176" s="5">
        <f>IF(YEAR(I1176)&lt;=2020,"Até 2020",TEXT(YEAR(I1176),"0"))</f>
        <v/>
      </c>
      <c r="N1176" s="5">
        <f>IFERROR(INDEX(DePara!$A:$A,MATCH(TEXT(B1176,"0"),DePara!$D:$D,0)),"(sem categoria)")</f>
        <v/>
      </c>
      <c r="O1176" s="5">
        <f>IF(J1176="","",Parametros!$B$6-J1176)</f>
        <v/>
      </c>
      <c r="P1176" s="5">
        <f>IF(O1176="","",IF(O1176&gt;0,1,0))</f>
        <v/>
      </c>
    </row>
    <row r="1177">
      <c r="A1177" s="5" t="n">
        <v>2122100000</v>
      </c>
      <c r="B1177" s="5" t="inlineStr">
        <is>
          <t>IC4420</t>
        </is>
      </c>
      <c r="C1177" s="5" t="inlineStr">
        <is>
          <t>NORDEX ENERGY SPAIN S A U</t>
        </is>
      </c>
      <c r="D1177" s="5" t="inlineStr">
        <is>
          <t>RE</t>
        </is>
      </c>
      <c r="E1177" s="5" t="n">
        <v>5038920</v>
      </c>
      <c r="F1177" s="5" t="inlineStr">
        <is>
          <t>4024004778</t>
        </is>
      </c>
      <c r="G1177" s="5" t="inlineStr">
        <is>
          <t>EUR</t>
        </is>
      </c>
      <c r="H1177" s="9" t="n">
        <v>-52740.86</v>
      </c>
      <c r="I1177" s="16" t="n">
        <v>45482</v>
      </c>
      <c r="J1177" s="16" t="n">
        <v>45512</v>
      </c>
      <c r="K1177" s="5" t="inlineStr">
        <is>
          <t>0563/24</t>
        </is>
      </c>
      <c r="L1177" s="5" t="inlineStr">
        <is>
          <t>4024004778</t>
        </is>
      </c>
      <c r="M1177" s="5">
        <f>IF(YEAR(I1177)&lt;=2020,"Até 2020",TEXT(YEAR(I1177),"0"))</f>
        <v/>
      </c>
      <c r="N1177" s="5">
        <f>IFERROR(INDEX(DePara!$A:$A,MATCH(TEXT(B1177,"0"),DePara!$D:$D,0)),"(sem categoria)")</f>
        <v/>
      </c>
      <c r="O1177" s="5">
        <f>IF(J1177="","",Parametros!$B$6-J1177)</f>
        <v/>
      </c>
      <c r="P1177" s="5">
        <f>IF(O1177="","",IF(O1177&gt;0,1,0))</f>
        <v/>
      </c>
    </row>
    <row r="1178">
      <c r="A1178" s="5" t="n">
        <v>2122100000</v>
      </c>
      <c r="B1178" s="5" t="inlineStr">
        <is>
          <t>IC4420</t>
        </is>
      </c>
      <c r="C1178" s="5" t="inlineStr">
        <is>
          <t>NORDEX ENERGY SPAIN S A U</t>
        </is>
      </c>
      <c r="D1178" s="5" t="inlineStr">
        <is>
          <t>RE</t>
        </is>
      </c>
      <c r="E1178" s="5" t="n">
        <v>5038924</v>
      </c>
      <c r="F1178" s="5" t="inlineStr">
        <is>
          <t>4025008497</t>
        </is>
      </c>
      <c r="G1178" s="5" t="inlineStr">
        <is>
          <t>EUR</t>
        </is>
      </c>
      <c r="H1178" s="9" t="n">
        <v>-113.83</v>
      </c>
      <c r="I1178" s="16" t="n">
        <v>45964</v>
      </c>
      <c r="J1178" s="16" t="n">
        <v>45994</v>
      </c>
      <c r="K1178" s="5" t="inlineStr">
        <is>
          <t>0862/25</t>
        </is>
      </c>
      <c r="L1178" s="5" t="inlineStr">
        <is>
          <t>4025008497</t>
        </is>
      </c>
      <c r="M1178" s="5">
        <f>IF(YEAR(I1178)&lt;=2020,"Até 2020",TEXT(YEAR(I1178),"0"))</f>
        <v/>
      </c>
      <c r="N1178" s="5">
        <f>IFERROR(INDEX(DePara!$A:$A,MATCH(TEXT(B1178,"0"),DePara!$D:$D,0)),"(sem categoria)")</f>
        <v/>
      </c>
      <c r="O1178" s="5">
        <f>IF(J1178="","",Parametros!$B$6-J1178)</f>
        <v/>
      </c>
      <c r="P1178" s="5">
        <f>IF(O1178="","",IF(O1178&gt;0,1,0))</f>
        <v/>
      </c>
    </row>
    <row r="1179">
      <c r="A1179" s="5" t="n">
        <v>2122100000</v>
      </c>
      <c r="B1179" s="5" t="inlineStr">
        <is>
          <t>IC1000</t>
        </is>
      </c>
      <c r="C1179" s="5" t="inlineStr">
        <is>
          <t>NORDEX ENERGY SE &amp; CO KG</t>
        </is>
      </c>
      <c r="D1179" s="5" t="inlineStr">
        <is>
          <t>RE</t>
        </is>
      </c>
      <c r="E1179" s="5" t="n">
        <v>5038942</v>
      </c>
      <c r="F1179" s="5" t="inlineStr">
        <is>
          <t>369959</t>
        </is>
      </c>
      <c r="G1179" s="5" t="inlineStr">
        <is>
          <t>EUR</t>
        </is>
      </c>
      <c r="H1179" s="9" t="n">
        <v>-150964.03</v>
      </c>
      <c r="I1179" s="16" t="n">
        <v>45967</v>
      </c>
      <c r="J1179" s="16" t="n">
        <v>45997</v>
      </c>
      <c r="K1179" s="5" t="inlineStr">
        <is>
          <t>0868/25</t>
        </is>
      </c>
      <c r="L1179" s="5" t="inlineStr">
        <is>
          <t>369959</t>
        </is>
      </c>
      <c r="M1179" s="5">
        <f>IF(YEAR(I1179)&lt;=2020,"Até 2020",TEXT(YEAR(I1179),"0"))</f>
        <v/>
      </c>
      <c r="N1179" s="5">
        <f>IFERROR(INDEX(DePara!$A:$A,MATCH(TEXT(B1179,"0"),DePara!$D:$D,0)),"(sem categoria)")</f>
        <v/>
      </c>
      <c r="O1179" s="5">
        <f>IF(J1179="","",Parametros!$B$6-J1179)</f>
        <v/>
      </c>
      <c r="P1179" s="5">
        <f>IF(O1179="","",IF(O1179&gt;0,1,0))</f>
        <v/>
      </c>
    </row>
    <row r="1180">
      <c r="A1180" s="5" t="n">
        <v>2122100000</v>
      </c>
      <c r="B1180" s="5" t="inlineStr">
        <is>
          <t>IC1000</t>
        </is>
      </c>
      <c r="C1180" s="5" t="inlineStr">
        <is>
          <t>NORDEX ENERGY SE &amp; CO KG</t>
        </is>
      </c>
      <c r="D1180" s="5" t="inlineStr">
        <is>
          <t>RE</t>
        </is>
      </c>
      <c r="E1180" s="5" t="n">
        <v>5039060</v>
      </c>
      <c r="F1180" s="5" t="inlineStr">
        <is>
          <t>4012407340</t>
        </is>
      </c>
      <c r="G1180" s="5" t="inlineStr">
        <is>
          <t>EUR</t>
        </is>
      </c>
      <c r="H1180" s="9" t="n">
        <v>-1552420.84</v>
      </c>
      <c r="I1180" s="16" t="n">
        <v>45533</v>
      </c>
      <c r="J1180" s="16" t="n">
        <v>45563</v>
      </c>
      <c r="K1180" s="5" t="inlineStr">
        <is>
          <t>0710/24</t>
        </is>
      </c>
      <c r="L1180" s="5" t="inlineStr">
        <is>
          <t>4012407340</t>
        </is>
      </c>
      <c r="M1180" s="5">
        <f>IF(YEAR(I1180)&lt;=2020,"Até 2020",TEXT(YEAR(I1180),"0"))</f>
        <v/>
      </c>
      <c r="N1180" s="5">
        <f>IFERROR(INDEX(DePara!$A:$A,MATCH(TEXT(B1180,"0"),DePara!$D:$D,0)),"(sem categoria)")</f>
        <v/>
      </c>
      <c r="O1180" s="5">
        <f>IF(J1180="","",Parametros!$B$6-J1180)</f>
        <v/>
      </c>
      <c r="P1180" s="5">
        <f>IF(O1180="","",IF(O1180&gt;0,1,0))</f>
        <v/>
      </c>
    </row>
    <row r="1181">
      <c r="A1181" s="5" t="n">
        <v>2122100000</v>
      </c>
      <c r="B1181" s="5" t="inlineStr">
        <is>
          <t>IC5000</t>
        </is>
      </c>
      <c r="C1181" s="5" t="inlineStr">
        <is>
          <t>NORDEX SE</t>
        </is>
      </c>
      <c r="D1181" s="5" t="inlineStr">
        <is>
          <t>KR</t>
        </is>
      </c>
      <c r="E1181" s="5" t="n">
        <v>5039096</v>
      </c>
      <c r="F1181" s="5" t="inlineStr">
        <is>
          <t>608728</t>
        </is>
      </c>
      <c r="G1181" s="5" t="inlineStr">
        <is>
          <t>EUR</t>
        </is>
      </c>
      <c r="H1181" s="9" t="n">
        <v>-7704042.64</v>
      </c>
      <c r="I1181" s="16" t="n">
        <v>45560</v>
      </c>
      <c r="J1181" s="16" t="n">
        <v>45560</v>
      </c>
      <c r="K1181" s="5" t="inlineStr">
        <is>
          <t>Management Fee Q3.2024 - 608728</t>
        </is>
      </c>
      <c r="L1181" s="5" t="n"/>
      <c r="M1181" s="5">
        <f>IF(YEAR(I1181)&lt;=2020,"Até 2020",TEXT(YEAR(I1181),"0"))</f>
        <v/>
      </c>
      <c r="N1181" s="5">
        <f>IFERROR(INDEX(DePara!$A:$A,MATCH(TEXT(B1181,"0"),DePara!$D:$D,0)),"(sem categoria)")</f>
        <v/>
      </c>
      <c r="O1181" s="5">
        <f>IF(J1181="","",Parametros!$B$6-J1181)</f>
        <v/>
      </c>
      <c r="P1181" s="5">
        <f>IF(O1181="","",IF(O1181&gt;0,1,0))</f>
        <v/>
      </c>
    </row>
    <row r="1182">
      <c r="A1182" s="5" t="n">
        <v>2122100000</v>
      </c>
      <c r="B1182" s="5" t="inlineStr">
        <is>
          <t>IC4420</t>
        </is>
      </c>
      <c r="C1182" s="5" t="inlineStr">
        <is>
          <t>NORDEX ENERGY SPAIN S A U</t>
        </is>
      </c>
      <c r="D1182" s="5" t="inlineStr">
        <is>
          <t>RE</t>
        </is>
      </c>
      <c r="E1182" s="5" t="n">
        <v>5039163</v>
      </c>
      <c r="F1182" s="5" t="inlineStr">
        <is>
          <t>4025006766</t>
        </is>
      </c>
      <c r="G1182" s="5" t="inlineStr">
        <is>
          <t>EUR</t>
        </is>
      </c>
      <c r="H1182" s="9" t="n">
        <v>-1012210.04</v>
      </c>
      <c r="I1182" s="16" t="n">
        <v>45911</v>
      </c>
      <c r="J1182" s="16" t="n">
        <v>45941</v>
      </c>
      <c r="K1182" s="5" t="inlineStr">
        <is>
          <t>0764/25</t>
        </is>
      </c>
      <c r="L1182" s="5" t="inlineStr">
        <is>
          <t>4025006766</t>
        </is>
      </c>
      <c r="M1182" s="5">
        <f>IF(YEAR(I1182)&lt;=2020,"Até 2020",TEXT(YEAR(I1182),"0"))</f>
        <v/>
      </c>
      <c r="N1182" s="5">
        <f>IFERROR(INDEX(DePara!$A:$A,MATCH(TEXT(B1182,"0"),DePara!$D:$D,0)),"(sem categoria)")</f>
        <v/>
      </c>
      <c r="O1182" s="5">
        <f>IF(J1182="","",Parametros!$B$6-J1182)</f>
        <v/>
      </c>
      <c r="P1182" s="5">
        <f>IF(O1182="","",IF(O1182&gt;0,1,0))</f>
        <v/>
      </c>
    </row>
    <row r="1183">
      <c r="A1183" s="5" t="n">
        <v>2122100000</v>
      </c>
      <c r="B1183" s="5" t="inlineStr">
        <is>
          <t>IC4420</t>
        </is>
      </c>
      <c r="C1183" s="5" t="inlineStr">
        <is>
          <t>NORDEX ENERGY SPAIN S A U</t>
        </is>
      </c>
      <c r="D1183" s="5" t="inlineStr">
        <is>
          <t>RE</t>
        </is>
      </c>
      <c r="E1183" s="5" t="n">
        <v>5039167</v>
      </c>
      <c r="F1183" s="5" t="inlineStr">
        <is>
          <t>4025006849</t>
        </is>
      </c>
      <c r="G1183" s="5" t="inlineStr">
        <is>
          <t>EUR</t>
        </is>
      </c>
      <c r="H1183" s="9" t="n">
        <v>-947.33</v>
      </c>
      <c r="I1183" s="16" t="n">
        <v>45915</v>
      </c>
      <c r="J1183" s="16" t="n">
        <v>45945</v>
      </c>
      <c r="K1183" s="5" t="inlineStr">
        <is>
          <t>0731/25</t>
        </is>
      </c>
      <c r="L1183" s="5" t="inlineStr">
        <is>
          <t>4025006849</t>
        </is>
      </c>
      <c r="M1183" s="5">
        <f>IF(YEAR(I1183)&lt;=2020,"Até 2020",TEXT(YEAR(I1183),"0"))</f>
        <v/>
      </c>
      <c r="N1183" s="5">
        <f>IFERROR(INDEX(DePara!$A:$A,MATCH(TEXT(B1183,"0"),DePara!$D:$D,0)),"(sem categoria)")</f>
        <v/>
      </c>
      <c r="O1183" s="5">
        <f>IF(J1183="","",Parametros!$B$6-J1183)</f>
        <v/>
      </c>
      <c r="P1183" s="5">
        <f>IF(O1183="","",IF(O1183&gt;0,1,0))</f>
        <v/>
      </c>
    </row>
    <row r="1184">
      <c r="A1184" s="5" t="n">
        <v>2122100000</v>
      </c>
      <c r="B1184" s="5" t="inlineStr">
        <is>
          <t>IC4420</t>
        </is>
      </c>
      <c r="C1184" s="5" t="inlineStr">
        <is>
          <t>NORDEX ENERGY SPAIN S A U</t>
        </is>
      </c>
      <c r="D1184" s="5" t="inlineStr">
        <is>
          <t>RE</t>
        </is>
      </c>
      <c r="E1184" s="5" t="n">
        <v>5039169</v>
      </c>
      <c r="F1184" s="5" t="inlineStr">
        <is>
          <t>4025006767</t>
        </is>
      </c>
      <c r="G1184" s="5" t="inlineStr">
        <is>
          <t>EUR</t>
        </is>
      </c>
      <c r="H1184" s="9" t="n">
        <v>-1012210.04</v>
      </c>
      <c r="I1184" s="16" t="n">
        <v>45911</v>
      </c>
      <c r="J1184" s="16" t="n">
        <v>45941</v>
      </c>
      <c r="K1184" s="5" t="inlineStr">
        <is>
          <t>0763/25</t>
        </is>
      </c>
      <c r="L1184" s="5" t="inlineStr">
        <is>
          <t>4025006767</t>
        </is>
      </c>
      <c r="M1184" s="5">
        <f>IF(YEAR(I1184)&lt;=2020,"Até 2020",TEXT(YEAR(I1184),"0"))</f>
        <v/>
      </c>
      <c r="N1184" s="5">
        <f>IFERROR(INDEX(DePara!$A:$A,MATCH(TEXT(B1184,"0"),DePara!$D:$D,0)),"(sem categoria)")</f>
        <v/>
      </c>
      <c r="O1184" s="5">
        <f>IF(J1184="","",Parametros!$B$6-J1184)</f>
        <v/>
      </c>
      <c r="P1184" s="5">
        <f>IF(O1184="","",IF(O1184&gt;0,1,0))</f>
        <v/>
      </c>
    </row>
    <row r="1185">
      <c r="A1185" s="5" t="n">
        <v>2122100000</v>
      </c>
      <c r="B1185" s="5" t="inlineStr">
        <is>
          <t>IC4420</t>
        </is>
      </c>
      <c r="C1185" s="5" t="inlineStr">
        <is>
          <t>NORDEX ENERGY SPAIN S A U</t>
        </is>
      </c>
      <c r="D1185" s="5" t="inlineStr">
        <is>
          <t>RE</t>
        </is>
      </c>
      <c r="E1185" s="5" t="n">
        <v>5039275</v>
      </c>
      <c r="F1185" s="5" t="inlineStr">
        <is>
          <t>4025008271</t>
        </is>
      </c>
      <c r="G1185" s="5" t="inlineStr">
        <is>
          <t>EUR</t>
        </is>
      </c>
      <c r="H1185" s="9" t="n">
        <v>-30389.09</v>
      </c>
      <c r="I1185" s="16" t="n">
        <v>45957</v>
      </c>
      <c r="J1185" s="16" t="n">
        <v>45987</v>
      </c>
      <c r="K1185" s="5" t="inlineStr">
        <is>
          <t>0822/25</t>
        </is>
      </c>
      <c r="L1185" s="5" t="inlineStr">
        <is>
          <t>4025008271</t>
        </is>
      </c>
      <c r="M1185" s="5">
        <f>IF(YEAR(I1185)&lt;=2020,"Até 2020",TEXT(YEAR(I1185),"0"))</f>
        <v/>
      </c>
      <c r="N1185" s="5">
        <f>IFERROR(INDEX(DePara!$A:$A,MATCH(TEXT(B1185,"0"),DePara!$D:$D,0)),"(sem categoria)")</f>
        <v/>
      </c>
      <c r="O1185" s="5">
        <f>IF(J1185="","",Parametros!$B$6-J1185)</f>
        <v/>
      </c>
      <c r="P1185" s="5">
        <f>IF(O1185="","",IF(O1185&gt;0,1,0))</f>
        <v/>
      </c>
    </row>
    <row r="1186">
      <c r="A1186" s="5" t="n">
        <v>2122100000</v>
      </c>
      <c r="B1186" s="5" t="inlineStr">
        <is>
          <t>IC4420</t>
        </is>
      </c>
      <c r="C1186" s="5" t="inlineStr">
        <is>
          <t>NORDEX ENERGY SPAIN S A U</t>
        </is>
      </c>
      <c r="D1186" s="5" t="inlineStr">
        <is>
          <t>RE</t>
        </is>
      </c>
      <c r="E1186" s="5" t="n">
        <v>5039280</v>
      </c>
      <c r="F1186" s="5" t="inlineStr">
        <is>
          <t>4018000251</t>
        </is>
      </c>
      <c r="G1186" s="5" t="inlineStr">
        <is>
          <t>EUR</t>
        </is>
      </c>
      <c r="H1186" s="9" t="n">
        <v>-1713330.46</v>
      </c>
      <c r="I1186" s="16" t="n">
        <v>45988</v>
      </c>
      <c r="J1186" s="16" t="n">
        <v>46018</v>
      </c>
      <c r="K1186" s="5" t="inlineStr">
        <is>
          <t>0815/25</t>
        </is>
      </c>
      <c r="L1186" s="5" t="inlineStr">
        <is>
          <t>4018000251</t>
        </is>
      </c>
      <c r="M1186" s="5">
        <f>IF(YEAR(I1186)&lt;=2020,"Até 2020",TEXT(YEAR(I1186),"0"))</f>
        <v/>
      </c>
      <c r="N1186" s="5">
        <f>IFERROR(INDEX(DePara!$A:$A,MATCH(TEXT(B1186,"0"),DePara!$D:$D,0)),"(sem categoria)")</f>
        <v/>
      </c>
      <c r="O1186" s="5">
        <f>IF(J1186="","",Parametros!$B$6-J1186)</f>
        <v/>
      </c>
      <c r="P1186" s="5">
        <f>IF(O1186="","",IF(O1186&gt;0,1,0))</f>
        <v/>
      </c>
    </row>
    <row r="1187">
      <c r="A1187" s="5" t="n">
        <v>2122100000</v>
      </c>
      <c r="B1187" s="5" t="inlineStr">
        <is>
          <t>IC4420</t>
        </is>
      </c>
      <c r="C1187" s="5" t="inlineStr">
        <is>
          <t>NORDEX ENERGY SPAIN S A U</t>
        </is>
      </c>
      <c r="D1187" s="5" t="inlineStr">
        <is>
          <t>RE</t>
        </is>
      </c>
      <c r="E1187" s="5" t="n">
        <v>5039316</v>
      </c>
      <c r="F1187" s="5" t="inlineStr">
        <is>
          <t>4025008262</t>
        </is>
      </c>
      <c r="G1187" s="5" t="inlineStr">
        <is>
          <t>EUR</t>
        </is>
      </c>
      <c r="H1187" s="9" t="n">
        <v>-638.36</v>
      </c>
      <c r="I1187" s="16" t="n">
        <v>45957</v>
      </c>
      <c r="J1187" s="16" t="n">
        <v>45987</v>
      </c>
      <c r="K1187" s="5" t="inlineStr">
        <is>
          <t>0819/25</t>
        </is>
      </c>
      <c r="L1187" s="5" t="inlineStr">
        <is>
          <t>4025008262</t>
        </is>
      </c>
      <c r="M1187" s="5">
        <f>IF(YEAR(I1187)&lt;=2020,"Até 2020",TEXT(YEAR(I1187),"0"))</f>
        <v/>
      </c>
      <c r="N1187" s="5">
        <f>IFERROR(INDEX(DePara!$A:$A,MATCH(TEXT(B1187,"0"),DePara!$D:$D,0)),"(sem categoria)")</f>
        <v/>
      </c>
      <c r="O1187" s="5">
        <f>IF(J1187="","",Parametros!$B$6-J1187)</f>
        <v/>
      </c>
      <c r="P1187" s="5">
        <f>IF(O1187="","",IF(O1187&gt;0,1,0))</f>
        <v/>
      </c>
    </row>
    <row r="1188">
      <c r="A1188" s="5" t="n">
        <v>2122100000</v>
      </c>
      <c r="B1188" s="5" t="inlineStr">
        <is>
          <t>IC4420</t>
        </is>
      </c>
      <c r="C1188" s="5" t="inlineStr">
        <is>
          <t>NORDEX ENERGY SPAIN S A U</t>
        </is>
      </c>
      <c r="D1188" s="5" t="inlineStr">
        <is>
          <t>RE</t>
        </is>
      </c>
      <c r="E1188" s="5" t="n">
        <v>5039317</v>
      </c>
      <c r="F1188" s="5" t="inlineStr">
        <is>
          <t>4025008269</t>
        </is>
      </c>
      <c r="G1188" s="5" t="inlineStr">
        <is>
          <t>EUR</t>
        </is>
      </c>
      <c r="H1188" s="9" t="n">
        <v>-22455.17</v>
      </c>
      <c r="I1188" s="16" t="n">
        <v>45957</v>
      </c>
      <c r="J1188" s="16" t="n">
        <v>45987</v>
      </c>
      <c r="K1188" s="5" t="inlineStr">
        <is>
          <t>0819/25</t>
        </is>
      </c>
      <c r="L1188" s="5" t="inlineStr">
        <is>
          <t>4025008269</t>
        </is>
      </c>
      <c r="M1188" s="5">
        <f>IF(YEAR(I1188)&lt;=2020,"Até 2020",TEXT(YEAR(I1188),"0"))</f>
        <v/>
      </c>
      <c r="N1188" s="5">
        <f>IFERROR(INDEX(DePara!$A:$A,MATCH(TEXT(B1188,"0"),DePara!$D:$D,0)),"(sem categoria)")</f>
        <v/>
      </c>
      <c r="O1188" s="5">
        <f>IF(J1188="","",Parametros!$B$6-J1188)</f>
        <v/>
      </c>
      <c r="P1188" s="5">
        <f>IF(O1188="","",IF(O1188&gt;0,1,0))</f>
        <v/>
      </c>
    </row>
    <row r="1189">
      <c r="A1189" s="5" t="n">
        <v>2122100000</v>
      </c>
      <c r="B1189" s="5" t="inlineStr">
        <is>
          <t>IC4420</t>
        </is>
      </c>
      <c r="C1189" s="5" t="inlineStr">
        <is>
          <t>NORDEX ENERGY SPAIN S A U</t>
        </is>
      </c>
      <c r="D1189" s="5" t="inlineStr">
        <is>
          <t>RE</t>
        </is>
      </c>
      <c r="E1189" s="5" t="n">
        <v>5039331</v>
      </c>
      <c r="F1189" s="5" t="inlineStr">
        <is>
          <t>4025008266</t>
        </is>
      </c>
      <c r="G1189" s="5" t="inlineStr">
        <is>
          <t>EUR</t>
        </is>
      </c>
      <c r="H1189" s="9" t="n">
        <v>-145142.23</v>
      </c>
      <c r="I1189" s="16" t="n">
        <v>45957</v>
      </c>
      <c r="J1189" s="16" t="n">
        <v>45987</v>
      </c>
      <c r="K1189" s="5" t="inlineStr">
        <is>
          <t>0820/25</t>
        </is>
      </c>
      <c r="L1189" s="5" t="inlineStr">
        <is>
          <t>4025008266</t>
        </is>
      </c>
      <c r="M1189" s="5">
        <f>IF(YEAR(I1189)&lt;=2020,"Até 2020",TEXT(YEAR(I1189),"0"))</f>
        <v/>
      </c>
      <c r="N1189" s="5">
        <f>IFERROR(INDEX(DePara!$A:$A,MATCH(TEXT(B1189,"0"),DePara!$D:$D,0)),"(sem categoria)")</f>
        <v/>
      </c>
      <c r="O1189" s="5">
        <f>IF(J1189="","",Parametros!$B$6-J1189)</f>
        <v/>
      </c>
      <c r="P1189" s="5">
        <f>IF(O1189="","",IF(O1189&gt;0,1,0))</f>
        <v/>
      </c>
    </row>
    <row r="1190">
      <c r="A1190" s="5" t="n">
        <v>2122100000</v>
      </c>
      <c r="B1190" s="5" t="inlineStr">
        <is>
          <t>IC4420</t>
        </is>
      </c>
      <c r="C1190" s="5" t="inlineStr">
        <is>
          <t>NORDEX ENERGY SPAIN S A U</t>
        </is>
      </c>
      <c r="D1190" s="5" t="inlineStr">
        <is>
          <t>RE</t>
        </is>
      </c>
      <c r="E1190" s="5" t="n">
        <v>5039460</v>
      </c>
      <c r="F1190" s="5" t="inlineStr">
        <is>
          <t>4024004773</t>
        </is>
      </c>
      <c r="G1190" s="5" t="inlineStr">
        <is>
          <t>EUR</t>
        </is>
      </c>
      <c r="H1190" s="9" t="n">
        <v>-15818.14</v>
      </c>
      <c r="I1190" s="16" t="n">
        <v>45482</v>
      </c>
      <c r="J1190" s="16" t="n">
        <v>45512</v>
      </c>
      <c r="K1190" s="5" t="inlineStr">
        <is>
          <t>0556/24</t>
        </is>
      </c>
      <c r="L1190" s="5" t="inlineStr">
        <is>
          <t>4024004773</t>
        </is>
      </c>
      <c r="M1190" s="5">
        <f>IF(YEAR(I1190)&lt;=2020,"Até 2020",TEXT(YEAR(I1190),"0"))</f>
        <v/>
      </c>
      <c r="N1190" s="5">
        <f>IFERROR(INDEX(DePara!$A:$A,MATCH(TEXT(B1190,"0"),DePara!$D:$D,0)),"(sem categoria)")</f>
        <v/>
      </c>
      <c r="O1190" s="5">
        <f>IF(J1190="","",Parametros!$B$6-J1190)</f>
        <v/>
      </c>
      <c r="P1190" s="5">
        <f>IF(O1190="","",IF(O1190&gt;0,1,0))</f>
        <v/>
      </c>
    </row>
    <row r="1191">
      <c r="A1191" s="5" t="n">
        <v>2122100000</v>
      </c>
      <c r="B1191" s="5" t="inlineStr">
        <is>
          <t>IC4420</t>
        </is>
      </c>
      <c r="C1191" s="5" t="inlineStr">
        <is>
          <t>NORDEX ENERGY SPAIN S A U</t>
        </is>
      </c>
      <c r="D1191" s="5" t="inlineStr">
        <is>
          <t>RE</t>
        </is>
      </c>
      <c r="E1191" s="5" t="n">
        <v>5039465</v>
      </c>
      <c r="F1191" s="5" t="inlineStr">
        <is>
          <t>4024004781</t>
        </is>
      </c>
      <c r="G1191" s="5" t="inlineStr">
        <is>
          <t>EUR</t>
        </is>
      </c>
      <c r="H1191" s="9" t="n">
        <v>-9318.35</v>
      </c>
      <c r="I1191" s="16" t="n">
        <v>45482</v>
      </c>
      <c r="J1191" s="16" t="n">
        <v>45512</v>
      </c>
      <c r="K1191" s="5" t="inlineStr">
        <is>
          <t>0556/24</t>
        </is>
      </c>
      <c r="L1191" s="5" t="inlineStr">
        <is>
          <t>4024004781</t>
        </is>
      </c>
      <c r="M1191" s="5">
        <f>IF(YEAR(I1191)&lt;=2020,"Até 2020",TEXT(YEAR(I1191),"0"))</f>
        <v/>
      </c>
      <c r="N1191" s="5">
        <f>IFERROR(INDEX(DePara!$A:$A,MATCH(TEXT(B1191,"0"),DePara!$D:$D,0)),"(sem categoria)")</f>
        <v/>
      </c>
      <c r="O1191" s="5">
        <f>IF(J1191="","",Parametros!$B$6-J1191)</f>
        <v/>
      </c>
      <c r="P1191" s="5">
        <f>IF(O1191="","",IF(O1191&gt;0,1,0))</f>
        <v/>
      </c>
    </row>
    <row r="1192">
      <c r="A1192" s="5" t="n">
        <v>2122100000</v>
      </c>
      <c r="B1192" s="5" t="inlineStr">
        <is>
          <t>IC4420</t>
        </is>
      </c>
      <c r="C1192" s="5" t="inlineStr">
        <is>
          <t>NORDEX ENERGY SPAIN S A U</t>
        </is>
      </c>
      <c r="D1192" s="5" t="inlineStr">
        <is>
          <t>RE</t>
        </is>
      </c>
      <c r="E1192" s="5" t="n">
        <v>5039467</v>
      </c>
      <c r="F1192" s="5" t="inlineStr">
        <is>
          <t>4024004777</t>
        </is>
      </c>
      <c r="G1192" s="5" t="inlineStr">
        <is>
          <t>EUR</t>
        </is>
      </c>
      <c r="H1192" s="9" t="n">
        <v>-9410.23</v>
      </c>
      <c r="I1192" s="16" t="n">
        <v>45482</v>
      </c>
      <c r="J1192" s="16" t="n">
        <v>45512</v>
      </c>
      <c r="K1192" s="5" t="inlineStr">
        <is>
          <t>0556/24</t>
        </is>
      </c>
      <c r="L1192" s="5" t="inlineStr">
        <is>
          <t>4024004777</t>
        </is>
      </c>
      <c r="M1192" s="5">
        <f>IF(YEAR(I1192)&lt;=2020,"Até 2020",TEXT(YEAR(I1192),"0"))</f>
        <v/>
      </c>
      <c r="N1192" s="5">
        <f>IFERROR(INDEX(DePara!$A:$A,MATCH(TEXT(B1192,"0"),DePara!$D:$D,0)),"(sem categoria)")</f>
        <v/>
      </c>
      <c r="O1192" s="5">
        <f>IF(J1192="","",Parametros!$B$6-J1192)</f>
        <v/>
      </c>
      <c r="P1192" s="5">
        <f>IF(O1192="","",IF(O1192&gt;0,1,0))</f>
        <v/>
      </c>
    </row>
    <row r="1193">
      <c r="A1193" s="5" t="n">
        <v>2122100000</v>
      </c>
      <c r="B1193" s="5" t="inlineStr">
        <is>
          <t>IC4420</t>
        </is>
      </c>
      <c r="C1193" s="5" t="inlineStr">
        <is>
          <t>NORDEX ENERGY SPAIN S A U</t>
        </is>
      </c>
      <c r="D1193" s="5" t="inlineStr">
        <is>
          <t>RE</t>
        </is>
      </c>
      <c r="E1193" s="5" t="n">
        <v>5039476</v>
      </c>
      <c r="F1193" s="5" t="inlineStr">
        <is>
          <t>4024004782</t>
        </is>
      </c>
      <c r="G1193" s="5" t="inlineStr">
        <is>
          <t>EUR</t>
        </is>
      </c>
      <c r="H1193" s="9" t="n">
        <v>-18635.4</v>
      </c>
      <c r="I1193" s="16" t="n">
        <v>45482</v>
      </c>
      <c r="J1193" s="16" t="n">
        <v>45512</v>
      </c>
      <c r="K1193" s="5" t="inlineStr">
        <is>
          <t>0556/24</t>
        </is>
      </c>
      <c r="L1193" s="5" t="inlineStr">
        <is>
          <t>4024004782</t>
        </is>
      </c>
      <c r="M1193" s="5">
        <f>IF(YEAR(I1193)&lt;=2020,"Até 2020",TEXT(YEAR(I1193),"0"))</f>
        <v/>
      </c>
      <c r="N1193" s="5">
        <f>IFERROR(INDEX(DePara!$A:$A,MATCH(TEXT(B1193,"0"),DePara!$D:$D,0)),"(sem categoria)")</f>
        <v/>
      </c>
      <c r="O1193" s="5">
        <f>IF(J1193="","",Parametros!$B$6-J1193)</f>
        <v/>
      </c>
      <c r="P1193" s="5">
        <f>IF(O1193="","",IF(O1193&gt;0,1,0))</f>
        <v/>
      </c>
    </row>
    <row r="1194">
      <c r="A1194" s="5" t="n">
        <v>2122100000</v>
      </c>
      <c r="B1194" s="5" t="inlineStr">
        <is>
          <t>IC1000</t>
        </is>
      </c>
      <c r="C1194" s="5" t="inlineStr">
        <is>
          <t>NORDEX ENERGY SE &amp; CO KG</t>
        </is>
      </c>
      <c r="D1194" s="5" t="inlineStr">
        <is>
          <t>RE</t>
        </is>
      </c>
      <c r="E1194" s="5" t="n">
        <v>5039477</v>
      </c>
      <c r="F1194" s="5" t="inlineStr">
        <is>
          <t>4012401292</t>
        </is>
      </c>
      <c r="G1194" s="5" t="inlineStr">
        <is>
          <t>EUR</t>
        </is>
      </c>
      <c r="H1194" s="9" t="n">
        <v>-154702.08</v>
      </c>
      <c r="I1194" s="16" t="n">
        <v>45490</v>
      </c>
      <c r="J1194" s="16" t="n">
        <v>45520</v>
      </c>
      <c r="K1194" s="5" t="inlineStr">
        <is>
          <t>0616/24</t>
        </is>
      </c>
      <c r="L1194" s="5" t="inlineStr">
        <is>
          <t>4012401292</t>
        </is>
      </c>
      <c r="M1194" s="5">
        <f>IF(YEAR(I1194)&lt;=2020,"Até 2020",TEXT(YEAR(I1194),"0"))</f>
        <v/>
      </c>
      <c r="N1194" s="5">
        <f>IFERROR(INDEX(DePara!$A:$A,MATCH(TEXT(B1194,"0"),DePara!$D:$D,0)),"(sem categoria)")</f>
        <v/>
      </c>
      <c r="O1194" s="5">
        <f>IF(J1194="","",Parametros!$B$6-J1194)</f>
        <v/>
      </c>
      <c r="P1194" s="5">
        <f>IF(O1194="","",IF(O1194&gt;0,1,0))</f>
        <v/>
      </c>
    </row>
    <row r="1195">
      <c r="A1195" s="5" t="n">
        <v>2122100000</v>
      </c>
      <c r="B1195" s="5" t="inlineStr">
        <is>
          <t>IC1000</t>
        </is>
      </c>
      <c r="C1195" s="5" t="inlineStr">
        <is>
          <t>NORDEX ENERGY SE &amp; CO KG</t>
        </is>
      </c>
      <c r="D1195" s="5" t="inlineStr">
        <is>
          <t>KR</t>
        </is>
      </c>
      <c r="E1195" s="5" t="n">
        <v>5039635</v>
      </c>
      <c r="F1195" s="5" t="inlineStr">
        <is>
          <t>623729</t>
        </is>
      </c>
      <c r="G1195" s="5" t="inlineStr">
        <is>
          <t>EUR</t>
        </is>
      </c>
      <c r="H1195" s="9" t="n">
        <v>-431435.85</v>
      </c>
      <c r="I1195" s="16" t="n">
        <v>46000</v>
      </c>
      <c r="J1195" s="16" t="n">
        <v>46030</v>
      </c>
      <c r="K1195" s="5" t="inlineStr">
        <is>
          <t>Fatura do fornecedor NORDEX ENERGY SE &amp; CO KG 6237</t>
        </is>
      </c>
      <c r="L1195" s="5" t="n"/>
      <c r="M1195" s="5">
        <f>IF(YEAR(I1195)&lt;=2020,"Até 2020",TEXT(YEAR(I1195),"0"))</f>
        <v/>
      </c>
      <c r="N1195" s="5">
        <f>IFERROR(INDEX(DePara!$A:$A,MATCH(TEXT(B1195,"0"),DePara!$D:$D,0)),"(sem categoria)")</f>
        <v/>
      </c>
      <c r="O1195" s="5">
        <f>IF(J1195="","",Parametros!$B$6-J1195)</f>
        <v/>
      </c>
      <c r="P1195" s="5">
        <f>IF(O1195="","",IF(O1195&gt;0,1,0))</f>
        <v/>
      </c>
    </row>
    <row r="1196">
      <c r="A1196" s="5" t="n">
        <v>2122100000</v>
      </c>
      <c r="B1196" s="5" t="inlineStr">
        <is>
          <t>IC4420</t>
        </is>
      </c>
      <c r="C1196" s="5" t="inlineStr">
        <is>
          <t>NORDEX ENERGY SPAIN S A U</t>
        </is>
      </c>
      <c r="D1196" s="5" t="inlineStr">
        <is>
          <t>RE</t>
        </is>
      </c>
      <c r="E1196" s="5" t="n">
        <v>5039649</v>
      </c>
      <c r="F1196" s="5" t="inlineStr">
        <is>
          <t>4025008267</t>
        </is>
      </c>
      <c r="G1196" s="5" t="inlineStr">
        <is>
          <t>EUR</t>
        </is>
      </c>
      <c r="H1196" s="9" t="n">
        <v>-26780.96</v>
      </c>
      <c r="I1196" s="16" t="n">
        <v>45957</v>
      </c>
      <c r="J1196" s="16" t="n">
        <v>45987</v>
      </c>
      <c r="K1196" s="5" t="inlineStr">
        <is>
          <t>0818/25</t>
        </is>
      </c>
      <c r="L1196" s="5" t="inlineStr">
        <is>
          <t>4025008267</t>
        </is>
      </c>
      <c r="M1196" s="5">
        <f>IF(YEAR(I1196)&lt;=2020,"Até 2020",TEXT(YEAR(I1196),"0"))</f>
        <v/>
      </c>
      <c r="N1196" s="5">
        <f>IFERROR(INDEX(DePara!$A:$A,MATCH(TEXT(B1196,"0"),DePara!$D:$D,0)),"(sem categoria)")</f>
        <v/>
      </c>
      <c r="O1196" s="5">
        <f>IF(J1196="","",Parametros!$B$6-J1196)</f>
        <v/>
      </c>
      <c r="P1196" s="5">
        <f>IF(O1196="","",IF(O1196&gt;0,1,0))</f>
        <v/>
      </c>
    </row>
    <row r="1197">
      <c r="A1197" s="5" t="n">
        <v>2122100000</v>
      </c>
      <c r="B1197" s="5" t="inlineStr">
        <is>
          <t>IC4420</t>
        </is>
      </c>
      <c r="C1197" s="5" t="inlineStr">
        <is>
          <t>NORDEX ENERGY SPAIN S A U</t>
        </is>
      </c>
      <c r="D1197" s="5" t="inlineStr">
        <is>
          <t>RE</t>
        </is>
      </c>
      <c r="E1197" s="5" t="n">
        <v>5039655</v>
      </c>
      <c r="F1197" s="5" t="inlineStr">
        <is>
          <t>4025008270</t>
        </is>
      </c>
      <c r="G1197" s="5" t="inlineStr">
        <is>
          <t>EUR</t>
        </is>
      </c>
      <c r="H1197" s="9" t="n">
        <v>-13640.18</v>
      </c>
      <c r="I1197" s="16" t="n">
        <v>45957</v>
      </c>
      <c r="J1197" s="16" t="n">
        <v>45987</v>
      </c>
      <c r="K1197" s="5" t="inlineStr">
        <is>
          <t>0831/25</t>
        </is>
      </c>
      <c r="L1197" s="5" t="inlineStr">
        <is>
          <t>4025008270</t>
        </is>
      </c>
      <c r="M1197" s="5">
        <f>IF(YEAR(I1197)&lt;=2020,"Até 2020",TEXT(YEAR(I1197),"0"))</f>
        <v/>
      </c>
      <c r="N1197" s="5">
        <f>IFERROR(INDEX(DePara!$A:$A,MATCH(TEXT(B1197,"0"),DePara!$D:$D,0)),"(sem categoria)")</f>
        <v/>
      </c>
      <c r="O1197" s="5">
        <f>IF(J1197="","",Parametros!$B$6-J1197)</f>
        <v/>
      </c>
      <c r="P1197" s="5">
        <f>IF(O1197="","",IF(O1197&gt;0,1,0))</f>
        <v/>
      </c>
    </row>
    <row r="1198">
      <c r="A1198" s="5" t="n">
        <v>2122100000</v>
      </c>
      <c r="B1198" s="5" t="inlineStr">
        <is>
          <t>IC1000</t>
        </is>
      </c>
      <c r="C1198" s="5" t="inlineStr">
        <is>
          <t>NORDEX ENERGY SE &amp; CO KG</t>
        </is>
      </c>
      <c r="D1198" s="5" t="inlineStr">
        <is>
          <t>RE</t>
        </is>
      </c>
      <c r="E1198" s="5" t="n">
        <v>5039864</v>
      </c>
      <c r="F1198" s="5" t="inlineStr">
        <is>
          <t>4012409493</t>
        </is>
      </c>
      <c r="G1198" s="5" t="inlineStr">
        <is>
          <t>EUR</t>
        </is>
      </c>
      <c r="H1198" s="9" t="n">
        <v>-1639001.7</v>
      </c>
      <c r="I1198" s="16" t="n">
        <v>45545</v>
      </c>
      <c r="J1198" s="16" t="n">
        <v>45575</v>
      </c>
      <c r="K1198" s="5" t="inlineStr">
        <is>
          <t>0786/24</t>
        </is>
      </c>
      <c r="L1198" s="5" t="inlineStr">
        <is>
          <t>4012409493</t>
        </is>
      </c>
      <c r="M1198" s="5">
        <f>IF(YEAR(I1198)&lt;=2020,"Até 2020",TEXT(YEAR(I1198),"0"))</f>
        <v/>
      </c>
      <c r="N1198" s="5">
        <f>IFERROR(INDEX(DePara!$A:$A,MATCH(TEXT(B1198,"0"),DePara!$D:$D,0)),"(sem categoria)")</f>
        <v/>
      </c>
      <c r="O1198" s="5">
        <f>IF(J1198="","",Parametros!$B$6-J1198)</f>
        <v/>
      </c>
      <c r="P1198" s="5">
        <f>IF(O1198="","",IF(O1198&gt;0,1,0))</f>
        <v/>
      </c>
    </row>
    <row r="1199">
      <c r="A1199" s="5" t="n">
        <v>2122100000</v>
      </c>
      <c r="B1199" s="5" t="inlineStr">
        <is>
          <t>IC4420</t>
        </is>
      </c>
      <c r="C1199" s="5" t="inlineStr">
        <is>
          <t>NORDEX ENERGY SPAIN S A U</t>
        </is>
      </c>
      <c r="D1199" s="5" t="inlineStr">
        <is>
          <t>RE</t>
        </is>
      </c>
      <c r="E1199" s="5" t="n">
        <v>5040001</v>
      </c>
      <c r="F1199" s="5" t="inlineStr">
        <is>
          <t>4025008265</t>
        </is>
      </c>
      <c r="G1199" s="5" t="inlineStr">
        <is>
          <t>EUR</t>
        </is>
      </c>
      <c r="H1199" s="9" t="n">
        <v>-2055.06</v>
      </c>
      <c r="I1199" s="16" t="n">
        <v>45957</v>
      </c>
      <c r="J1199" s="16" t="n">
        <v>45987</v>
      </c>
      <c r="K1199" s="5" t="inlineStr">
        <is>
          <t>0824/25</t>
        </is>
      </c>
      <c r="L1199" s="5" t="inlineStr">
        <is>
          <t>4025008265</t>
        </is>
      </c>
      <c r="M1199" s="5">
        <f>IF(YEAR(I1199)&lt;=2020,"Até 2020",TEXT(YEAR(I1199),"0"))</f>
        <v/>
      </c>
      <c r="N1199" s="5">
        <f>IFERROR(INDEX(DePara!$A:$A,MATCH(TEXT(B1199,"0"),DePara!$D:$D,0)),"(sem categoria)")</f>
        <v/>
      </c>
      <c r="O1199" s="5">
        <f>IF(J1199="","",Parametros!$B$6-J1199)</f>
        <v/>
      </c>
      <c r="P1199" s="5">
        <f>IF(O1199="","",IF(O1199&gt;0,1,0))</f>
        <v/>
      </c>
    </row>
    <row r="1200">
      <c r="A1200" s="5" t="n">
        <v>2122100000</v>
      </c>
      <c r="B1200" s="5" t="inlineStr">
        <is>
          <t>IC1000</t>
        </is>
      </c>
      <c r="C1200" s="5" t="inlineStr">
        <is>
          <t>NORDEX ENERGY SE &amp; CO KG</t>
        </is>
      </c>
      <c r="D1200" s="5" t="inlineStr">
        <is>
          <t>RE</t>
        </is>
      </c>
      <c r="E1200" s="5" t="n">
        <v>5040040</v>
      </c>
      <c r="F1200" s="5" t="inlineStr">
        <is>
          <t>4012409053</t>
        </is>
      </c>
      <c r="G1200" s="5" t="inlineStr">
        <is>
          <t>EUR</t>
        </is>
      </c>
      <c r="H1200" s="9" t="n">
        <v>-823310.1800000001</v>
      </c>
      <c r="I1200" s="16" t="n">
        <v>45541</v>
      </c>
      <c r="J1200" s="16" t="n">
        <v>45571</v>
      </c>
      <c r="K1200" s="5" t="inlineStr">
        <is>
          <t>0785/24</t>
        </is>
      </c>
      <c r="L1200" s="5" t="inlineStr">
        <is>
          <t>4012409053</t>
        </is>
      </c>
      <c r="M1200" s="5">
        <f>IF(YEAR(I1200)&lt;=2020,"Até 2020",TEXT(YEAR(I1200),"0"))</f>
        <v/>
      </c>
      <c r="N1200" s="5">
        <f>IFERROR(INDEX(DePara!$A:$A,MATCH(TEXT(B1200,"0"),DePara!$D:$D,0)),"(sem categoria)")</f>
        <v/>
      </c>
      <c r="O1200" s="5">
        <f>IF(J1200="","",Parametros!$B$6-J1200)</f>
        <v/>
      </c>
      <c r="P1200" s="5">
        <f>IF(O1200="","",IF(O1200&gt;0,1,0))</f>
        <v/>
      </c>
    </row>
    <row r="1201">
      <c r="A1201" s="5" t="n">
        <v>2122100000</v>
      </c>
      <c r="B1201" s="5" t="inlineStr">
        <is>
          <t>IC4420</t>
        </is>
      </c>
      <c r="C1201" s="5" t="inlineStr">
        <is>
          <t>NORDEX ENERGY SPAIN S A U</t>
        </is>
      </c>
      <c r="D1201" s="5" t="inlineStr">
        <is>
          <t>RE</t>
        </is>
      </c>
      <c r="E1201" s="5" t="n">
        <v>5040129</v>
      </c>
      <c r="F1201" s="5" t="inlineStr">
        <is>
          <t>4025008705</t>
        </is>
      </c>
      <c r="G1201" s="5" t="inlineStr">
        <is>
          <t>EUR</t>
        </is>
      </c>
      <c r="H1201" s="9" t="n">
        <v>-26352.26</v>
      </c>
      <c r="I1201" s="16" t="n">
        <v>45972</v>
      </c>
      <c r="J1201" s="16" t="n">
        <v>46002</v>
      </c>
      <c r="K1201" s="5" t="inlineStr">
        <is>
          <t>0836/25</t>
        </is>
      </c>
      <c r="L1201" s="5" t="inlineStr">
        <is>
          <t>4025008705</t>
        </is>
      </c>
      <c r="M1201" s="5">
        <f>IF(YEAR(I1201)&lt;=2020,"Até 2020",TEXT(YEAR(I1201),"0"))</f>
        <v/>
      </c>
      <c r="N1201" s="5">
        <f>IFERROR(INDEX(DePara!$A:$A,MATCH(TEXT(B1201,"0"),DePara!$D:$D,0)),"(sem categoria)")</f>
        <v/>
      </c>
      <c r="O1201" s="5">
        <f>IF(J1201="","",Parametros!$B$6-J1201)</f>
        <v/>
      </c>
      <c r="P1201" s="5">
        <f>IF(O1201="","",IF(O1201&gt;0,1,0))</f>
        <v/>
      </c>
    </row>
    <row r="1202">
      <c r="A1202" s="5" t="n">
        <v>2122100000</v>
      </c>
      <c r="B1202" s="5" t="inlineStr">
        <is>
          <t>IC5000</t>
        </is>
      </c>
      <c r="C1202" s="5" t="inlineStr">
        <is>
          <t>NORDEX SE</t>
        </is>
      </c>
      <c r="D1202" s="5" t="inlineStr">
        <is>
          <t>KR</t>
        </is>
      </c>
      <c r="E1202" s="5" t="n">
        <v>5040178</v>
      </c>
      <c r="F1202" s="5" t="inlineStr">
        <is>
          <t>610196</t>
        </is>
      </c>
      <c r="G1202" s="5" t="inlineStr">
        <is>
          <t>EUR</t>
        </is>
      </c>
      <c r="H1202" s="9" t="n">
        <v>-3453489.4</v>
      </c>
      <c r="I1202" s="16" t="n">
        <v>46002</v>
      </c>
      <c r="J1202" s="16" t="n">
        <v>46002</v>
      </c>
      <c r="K1202" s="5" t="inlineStr">
        <is>
          <t>Fatura do fornecedor NORDEX SE 610196</t>
        </is>
      </c>
      <c r="L1202" s="5" t="n"/>
      <c r="M1202" s="5">
        <f>IF(YEAR(I1202)&lt;=2020,"Até 2020",TEXT(YEAR(I1202),"0"))</f>
        <v/>
      </c>
      <c r="N1202" s="5">
        <f>IFERROR(INDEX(DePara!$A:$A,MATCH(TEXT(B1202,"0"),DePara!$D:$D,0)),"(sem categoria)")</f>
        <v/>
      </c>
      <c r="O1202" s="5">
        <f>IF(J1202="","",Parametros!$B$6-J1202)</f>
        <v/>
      </c>
      <c r="P1202" s="5">
        <f>IF(O1202="","",IF(O1202&gt;0,1,0))</f>
        <v/>
      </c>
    </row>
    <row r="1203">
      <c r="A1203" s="5" t="n">
        <v>2122100000</v>
      </c>
      <c r="B1203" s="5" t="inlineStr">
        <is>
          <t>IC1000</t>
        </is>
      </c>
      <c r="C1203" s="5" t="inlineStr">
        <is>
          <t>NORDEX ENERGY SE &amp; CO KG</t>
        </is>
      </c>
      <c r="D1203" s="5" t="inlineStr">
        <is>
          <t>KR</t>
        </is>
      </c>
      <c r="E1203" s="5" t="n">
        <v>5040181</v>
      </c>
      <c r="F1203" s="5" t="inlineStr">
        <is>
          <t>623811</t>
        </is>
      </c>
      <c r="G1203" s="5" t="inlineStr">
        <is>
          <t>EUR</t>
        </is>
      </c>
      <c r="H1203" s="9" t="n">
        <v>-5455889.49</v>
      </c>
      <c r="I1203" s="16" t="n">
        <v>46002</v>
      </c>
      <c r="J1203" s="16" t="n">
        <v>46032</v>
      </c>
      <c r="K1203" s="5" t="inlineStr">
        <is>
          <t>Fatura do fornecedor NORDEX ENERGY SE &amp; CO KG 6238</t>
        </is>
      </c>
      <c r="L1203" s="5" t="n"/>
      <c r="M1203" s="5">
        <f>IF(YEAR(I1203)&lt;=2020,"Até 2020",TEXT(YEAR(I1203),"0"))</f>
        <v/>
      </c>
      <c r="N1203" s="5">
        <f>IFERROR(INDEX(DePara!$A:$A,MATCH(TEXT(B1203,"0"),DePara!$D:$D,0)),"(sem categoria)")</f>
        <v/>
      </c>
      <c r="O1203" s="5">
        <f>IF(J1203="","",Parametros!$B$6-J1203)</f>
        <v/>
      </c>
      <c r="P1203" s="5">
        <f>IF(O1203="","",IF(O1203&gt;0,1,0))</f>
        <v/>
      </c>
    </row>
    <row r="1204">
      <c r="A1204" s="5" t="n">
        <v>2122100000</v>
      </c>
      <c r="B1204" s="5" t="inlineStr">
        <is>
          <t>IC4420</t>
        </is>
      </c>
      <c r="C1204" s="5" t="inlineStr">
        <is>
          <t>NORDEX ENERGY SPAIN S A U</t>
        </is>
      </c>
      <c r="D1204" s="5" t="inlineStr">
        <is>
          <t>RE</t>
        </is>
      </c>
      <c r="E1204" s="5" t="n">
        <v>5040201</v>
      </c>
      <c r="F1204" s="5" t="inlineStr">
        <is>
          <t>4025009206</t>
        </is>
      </c>
      <c r="G1204" s="5" t="inlineStr">
        <is>
          <t>EUR</t>
        </is>
      </c>
      <c r="H1204" s="9" t="n">
        <v>-5350.91</v>
      </c>
      <c r="I1204" s="16" t="n">
        <v>45988</v>
      </c>
      <c r="J1204" s="16" t="n">
        <v>46018</v>
      </c>
      <c r="K1204" s="5" t="inlineStr">
        <is>
          <t>0899/25</t>
        </is>
      </c>
      <c r="L1204" s="5" t="inlineStr">
        <is>
          <t>4025009206</t>
        </is>
      </c>
      <c r="M1204" s="5">
        <f>IF(YEAR(I1204)&lt;=2020,"Até 2020",TEXT(YEAR(I1204),"0"))</f>
        <v/>
      </c>
      <c r="N1204" s="5">
        <f>IFERROR(INDEX(DePara!$A:$A,MATCH(TEXT(B1204,"0"),DePara!$D:$D,0)),"(sem categoria)")</f>
        <v/>
      </c>
      <c r="O1204" s="5">
        <f>IF(J1204="","",Parametros!$B$6-J1204)</f>
        <v/>
      </c>
      <c r="P1204" s="5">
        <f>IF(O1204="","",IF(O1204&gt;0,1,0))</f>
        <v/>
      </c>
    </row>
    <row r="1205">
      <c r="A1205" s="5" t="n">
        <v>2122100000</v>
      </c>
      <c r="B1205" s="5" t="inlineStr">
        <is>
          <t>IC4420</t>
        </is>
      </c>
      <c r="C1205" s="5" t="inlineStr">
        <is>
          <t>NORDEX ENERGY SPAIN S A U</t>
        </is>
      </c>
      <c r="D1205" s="5" t="inlineStr">
        <is>
          <t>RE</t>
        </is>
      </c>
      <c r="E1205" s="5" t="n">
        <v>5040246</v>
      </c>
      <c r="F1205" s="5" t="inlineStr">
        <is>
          <t>4025009128</t>
        </is>
      </c>
      <c r="G1205" s="5" t="inlineStr">
        <is>
          <t>EUR</t>
        </is>
      </c>
      <c r="H1205" s="9" t="n">
        <v>-425.03</v>
      </c>
      <c r="I1205" s="16" t="n">
        <v>45988</v>
      </c>
      <c r="J1205" s="16" t="n">
        <v>46018</v>
      </c>
      <c r="K1205" s="5" t="inlineStr">
        <is>
          <t>0895/25</t>
        </is>
      </c>
      <c r="L1205" s="5" t="inlineStr">
        <is>
          <t>4025009128</t>
        </is>
      </c>
      <c r="M1205" s="5">
        <f>IF(YEAR(I1205)&lt;=2020,"Até 2020",TEXT(YEAR(I1205),"0"))</f>
        <v/>
      </c>
      <c r="N1205" s="5">
        <f>IFERROR(INDEX(DePara!$A:$A,MATCH(TEXT(B1205,"0"),DePara!$D:$D,0)),"(sem categoria)")</f>
        <v/>
      </c>
      <c r="O1205" s="5">
        <f>IF(J1205="","",Parametros!$B$6-J1205)</f>
        <v/>
      </c>
      <c r="P1205" s="5">
        <f>IF(O1205="","",IF(O1205&gt;0,1,0))</f>
        <v/>
      </c>
    </row>
    <row r="1206">
      <c r="A1206" s="5" t="n">
        <v>2122100000</v>
      </c>
      <c r="B1206" s="5" t="inlineStr">
        <is>
          <t>IC4420</t>
        </is>
      </c>
      <c r="C1206" s="5" t="inlineStr">
        <is>
          <t>NORDEX ENERGY SPAIN S A U</t>
        </is>
      </c>
      <c r="D1206" s="5" t="inlineStr">
        <is>
          <t>RE</t>
        </is>
      </c>
      <c r="E1206" s="5" t="n">
        <v>5040247</v>
      </c>
      <c r="F1206" s="5" t="inlineStr">
        <is>
          <t>4025009134</t>
        </is>
      </c>
      <c r="G1206" s="5" t="inlineStr">
        <is>
          <t>EUR</t>
        </is>
      </c>
      <c r="H1206" s="9" t="n">
        <v>-11660.46</v>
      </c>
      <c r="I1206" s="16" t="n">
        <v>45988</v>
      </c>
      <c r="J1206" s="16" t="n">
        <v>46018</v>
      </c>
      <c r="K1206" s="5" t="inlineStr">
        <is>
          <t>0885/25</t>
        </is>
      </c>
      <c r="L1206" s="5" t="inlineStr">
        <is>
          <t>4025009134</t>
        </is>
      </c>
      <c r="M1206" s="5">
        <f>IF(YEAR(I1206)&lt;=2020,"Até 2020",TEXT(YEAR(I1206),"0"))</f>
        <v/>
      </c>
      <c r="N1206" s="5">
        <f>IFERROR(INDEX(DePara!$A:$A,MATCH(TEXT(B1206,"0"),DePara!$D:$D,0)),"(sem categoria)")</f>
        <v/>
      </c>
      <c r="O1206" s="5">
        <f>IF(J1206="","",Parametros!$B$6-J1206)</f>
        <v/>
      </c>
      <c r="P1206" s="5">
        <f>IF(O1206="","",IF(O1206&gt;0,1,0))</f>
        <v/>
      </c>
    </row>
    <row r="1207">
      <c r="A1207" s="5" t="n">
        <v>2122100000</v>
      </c>
      <c r="B1207" s="5" t="inlineStr">
        <is>
          <t>IC4420</t>
        </is>
      </c>
      <c r="C1207" s="5" t="inlineStr">
        <is>
          <t>NORDEX ENERGY SPAIN S A U</t>
        </is>
      </c>
      <c r="D1207" s="5" t="inlineStr">
        <is>
          <t>RE</t>
        </is>
      </c>
      <c r="E1207" s="5" t="n">
        <v>5040297</v>
      </c>
      <c r="F1207" s="5" t="inlineStr">
        <is>
          <t>4025009130</t>
        </is>
      </c>
      <c r="G1207" s="5" t="inlineStr">
        <is>
          <t>EUR</t>
        </is>
      </c>
      <c r="H1207" s="9" t="n">
        <v>-116592.8</v>
      </c>
      <c r="I1207" s="16" t="n">
        <v>45988</v>
      </c>
      <c r="J1207" s="16" t="n">
        <v>46018</v>
      </c>
      <c r="K1207" s="5" t="inlineStr">
        <is>
          <t>0896/25</t>
        </is>
      </c>
      <c r="L1207" s="5" t="inlineStr">
        <is>
          <t>4025009130</t>
        </is>
      </c>
      <c r="M1207" s="5">
        <f>IF(YEAR(I1207)&lt;=2020,"Até 2020",TEXT(YEAR(I1207),"0"))</f>
        <v/>
      </c>
      <c r="N1207" s="5">
        <f>IFERROR(INDEX(DePara!$A:$A,MATCH(TEXT(B1207,"0"),DePara!$D:$D,0)),"(sem categoria)")</f>
        <v/>
      </c>
      <c r="O1207" s="5">
        <f>IF(J1207="","",Parametros!$B$6-J1207)</f>
        <v/>
      </c>
      <c r="P1207" s="5">
        <f>IF(O1207="","",IF(O1207&gt;0,1,0))</f>
        <v/>
      </c>
    </row>
    <row r="1208">
      <c r="A1208" s="5" t="n">
        <v>2122100000</v>
      </c>
      <c r="B1208" s="5" t="inlineStr">
        <is>
          <t>IC4420</t>
        </is>
      </c>
      <c r="C1208" s="5" t="inlineStr">
        <is>
          <t>NORDEX ENERGY SPAIN S A U</t>
        </is>
      </c>
      <c r="D1208" s="5" t="inlineStr">
        <is>
          <t>RE</t>
        </is>
      </c>
      <c r="E1208" s="5" t="n">
        <v>5040302</v>
      </c>
      <c r="F1208" s="5" t="inlineStr">
        <is>
          <t>4025009129</t>
        </is>
      </c>
      <c r="G1208" s="5" t="inlineStr">
        <is>
          <t>EUR</t>
        </is>
      </c>
      <c r="H1208" s="9" t="n">
        <v>-2386.04</v>
      </c>
      <c r="I1208" s="16" t="n">
        <v>45988</v>
      </c>
      <c r="J1208" s="16" t="n">
        <v>46018</v>
      </c>
      <c r="K1208" s="5" t="inlineStr">
        <is>
          <t>0896/25</t>
        </is>
      </c>
      <c r="L1208" s="5" t="inlineStr">
        <is>
          <t>4025009129</t>
        </is>
      </c>
      <c r="M1208" s="5">
        <f>IF(YEAR(I1208)&lt;=2020,"Até 2020",TEXT(YEAR(I1208),"0"))</f>
        <v/>
      </c>
      <c r="N1208" s="5">
        <f>IFERROR(INDEX(DePara!$A:$A,MATCH(TEXT(B1208,"0"),DePara!$D:$D,0)),"(sem categoria)")</f>
        <v/>
      </c>
      <c r="O1208" s="5">
        <f>IF(J1208="","",Parametros!$B$6-J1208)</f>
        <v/>
      </c>
      <c r="P1208" s="5">
        <f>IF(O1208="","",IF(O1208&gt;0,1,0))</f>
        <v/>
      </c>
    </row>
    <row r="1209">
      <c r="A1209" s="5" t="n">
        <v>2122100000</v>
      </c>
      <c r="B1209" s="5" t="inlineStr">
        <is>
          <t>IC1000</t>
        </is>
      </c>
      <c r="C1209" s="5" t="inlineStr">
        <is>
          <t>NORDEX ENERGY SE &amp; CO KG</t>
        </is>
      </c>
      <c r="D1209" s="5" t="inlineStr">
        <is>
          <t>RE</t>
        </is>
      </c>
      <c r="E1209" s="5" t="n">
        <v>5040329</v>
      </c>
      <c r="F1209" s="5" t="inlineStr">
        <is>
          <t>RITM0554547</t>
        </is>
      </c>
      <c r="G1209" s="5" t="inlineStr">
        <is>
          <t>EUR</t>
        </is>
      </c>
      <c r="H1209" s="9" t="n">
        <v>-608543.16</v>
      </c>
      <c r="I1209" s="16" t="n">
        <v>45923</v>
      </c>
      <c r="J1209" s="16" t="n">
        <v>45953</v>
      </c>
      <c r="K1209" s="5" t="inlineStr">
        <is>
          <t>0800/25</t>
        </is>
      </c>
      <c r="L1209" s="5" t="inlineStr">
        <is>
          <t>RITM0554547</t>
        </is>
      </c>
      <c r="M1209" s="5">
        <f>IF(YEAR(I1209)&lt;=2020,"Até 2020",TEXT(YEAR(I1209),"0"))</f>
        <v/>
      </c>
      <c r="N1209" s="5">
        <f>IFERROR(INDEX(DePara!$A:$A,MATCH(TEXT(B1209,"0"),DePara!$D:$D,0)),"(sem categoria)")</f>
        <v/>
      </c>
      <c r="O1209" s="5">
        <f>IF(J1209="","",Parametros!$B$6-J1209)</f>
        <v/>
      </c>
      <c r="P1209" s="5">
        <f>IF(O1209="","",IF(O1209&gt;0,1,0))</f>
        <v/>
      </c>
    </row>
    <row r="1210">
      <c r="A1210" s="5" t="n">
        <v>2122100000</v>
      </c>
      <c r="B1210" s="5" t="inlineStr">
        <is>
          <t>IC1000</t>
        </is>
      </c>
      <c r="C1210" s="5" t="inlineStr">
        <is>
          <t>NORDEX ENERGY SE &amp; CO KG</t>
        </is>
      </c>
      <c r="D1210" s="5" t="inlineStr">
        <is>
          <t>RE</t>
        </is>
      </c>
      <c r="E1210" s="5" t="n">
        <v>5040330</v>
      </c>
      <c r="F1210" s="5" t="inlineStr">
        <is>
          <t>RITM0557171</t>
        </is>
      </c>
      <c r="G1210" s="5" t="inlineStr">
        <is>
          <t>EUR</t>
        </is>
      </c>
      <c r="H1210" s="9" t="n">
        <v>-608543.16</v>
      </c>
      <c r="I1210" s="16" t="n">
        <v>45936</v>
      </c>
      <c r="J1210" s="16" t="n">
        <v>45966</v>
      </c>
      <c r="K1210" s="5" t="inlineStr">
        <is>
          <t>0799/25</t>
        </is>
      </c>
      <c r="L1210" s="5" t="inlineStr">
        <is>
          <t>RITM0557171</t>
        </is>
      </c>
      <c r="M1210" s="5">
        <f>IF(YEAR(I1210)&lt;=2020,"Até 2020",TEXT(YEAR(I1210),"0"))</f>
        <v/>
      </c>
      <c r="N1210" s="5">
        <f>IFERROR(INDEX(DePara!$A:$A,MATCH(TEXT(B1210,"0"),DePara!$D:$D,0)),"(sem categoria)")</f>
        <v/>
      </c>
      <c r="O1210" s="5">
        <f>IF(J1210="","",Parametros!$B$6-J1210)</f>
        <v/>
      </c>
      <c r="P1210" s="5">
        <f>IF(O1210="","",IF(O1210&gt;0,1,0))</f>
        <v/>
      </c>
    </row>
    <row r="1211">
      <c r="A1211" s="5" t="n">
        <v>2122100000</v>
      </c>
      <c r="B1211" s="5" t="inlineStr">
        <is>
          <t>IC4420</t>
        </is>
      </c>
      <c r="C1211" s="5" t="inlineStr">
        <is>
          <t>NORDEX ENERGY SPAIN S A U</t>
        </is>
      </c>
      <c r="D1211" s="5" t="inlineStr">
        <is>
          <t>RE</t>
        </is>
      </c>
      <c r="E1211" s="5" t="n">
        <v>5040365</v>
      </c>
      <c r="F1211" s="5" t="inlineStr">
        <is>
          <t>4025009228</t>
        </is>
      </c>
      <c r="G1211" s="5" t="inlineStr">
        <is>
          <t>EUR</t>
        </is>
      </c>
      <c r="H1211" s="9" t="n">
        <v>-5390.83</v>
      </c>
      <c r="I1211" s="16" t="n">
        <v>45989</v>
      </c>
      <c r="J1211" s="16" t="n">
        <v>46019</v>
      </c>
      <c r="K1211" s="5" t="inlineStr">
        <is>
          <t>0906/25</t>
        </is>
      </c>
      <c r="L1211" s="5" t="inlineStr">
        <is>
          <t>4025009228</t>
        </is>
      </c>
      <c r="M1211" s="5">
        <f>IF(YEAR(I1211)&lt;=2020,"Até 2020",TEXT(YEAR(I1211),"0"))</f>
        <v/>
      </c>
      <c r="N1211" s="5">
        <f>IFERROR(INDEX(DePara!$A:$A,MATCH(TEXT(B1211,"0"),DePara!$D:$D,0)),"(sem categoria)")</f>
        <v/>
      </c>
      <c r="O1211" s="5">
        <f>IF(J1211="","",Parametros!$B$6-J1211)</f>
        <v/>
      </c>
      <c r="P1211" s="5">
        <f>IF(O1211="","",IF(O1211&gt;0,1,0))</f>
        <v/>
      </c>
    </row>
    <row r="1212">
      <c r="A1212" s="5" t="n">
        <v>2122100000</v>
      </c>
      <c r="B1212" s="5" t="inlineStr">
        <is>
          <t>IC4420</t>
        </is>
      </c>
      <c r="C1212" s="5" t="inlineStr">
        <is>
          <t>NORDEX ENERGY SPAIN S A U</t>
        </is>
      </c>
      <c r="D1212" s="5" t="inlineStr">
        <is>
          <t>RE</t>
        </is>
      </c>
      <c r="E1212" s="5" t="n">
        <v>5040427</v>
      </c>
      <c r="F1212" s="5" t="inlineStr">
        <is>
          <t>4025009125</t>
        </is>
      </c>
      <c r="G1212" s="5" t="inlineStr">
        <is>
          <t>EUR</t>
        </is>
      </c>
      <c r="H1212" s="9" t="n">
        <v>-32.54</v>
      </c>
      <c r="I1212" s="16" t="n">
        <v>45988</v>
      </c>
      <c r="J1212" s="16" t="n">
        <v>46018</v>
      </c>
      <c r="K1212" s="5" t="inlineStr">
        <is>
          <t>0892/25</t>
        </is>
      </c>
      <c r="L1212" s="5" t="inlineStr">
        <is>
          <t>4025009125</t>
        </is>
      </c>
      <c r="M1212" s="5">
        <f>IF(YEAR(I1212)&lt;=2020,"Até 2020",TEXT(YEAR(I1212),"0"))</f>
        <v/>
      </c>
      <c r="N1212" s="5">
        <f>IFERROR(INDEX(DePara!$A:$A,MATCH(TEXT(B1212,"0"),DePara!$D:$D,0)),"(sem categoria)")</f>
        <v/>
      </c>
      <c r="O1212" s="5">
        <f>IF(J1212="","",Parametros!$B$6-J1212)</f>
        <v/>
      </c>
      <c r="P1212" s="5">
        <f>IF(O1212="","",IF(O1212&gt;0,1,0))</f>
        <v/>
      </c>
    </row>
    <row r="1213">
      <c r="A1213" s="5" t="n">
        <v>2122100000</v>
      </c>
      <c r="B1213" s="5" t="inlineStr">
        <is>
          <t>IC4420</t>
        </is>
      </c>
      <c r="C1213" s="5" t="inlineStr">
        <is>
          <t>NORDEX ENERGY SPAIN S A U</t>
        </is>
      </c>
      <c r="D1213" s="5" t="inlineStr">
        <is>
          <t>RE</t>
        </is>
      </c>
      <c r="E1213" s="5" t="n">
        <v>5040428</v>
      </c>
      <c r="F1213" s="5" t="inlineStr">
        <is>
          <t>4025009225</t>
        </is>
      </c>
      <c r="G1213" s="5" t="inlineStr">
        <is>
          <t>EUR</t>
        </is>
      </c>
      <c r="H1213" s="9" t="n">
        <v>-16279.28</v>
      </c>
      <c r="I1213" s="16" t="n">
        <v>45989</v>
      </c>
      <c r="J1213" s="16" t="n">
        <v>46019</v>
      </c>
      <c r="K1213" s="5" t="inlineStr">
        <is>
          <t>0903/25</t>
        </is>
      </c>
      <c r="L1213" s="5" t="inlineStr">
        <is>
          <t>4025009225</t>
        </is>
      </c>
      <c r="M1213" s="5">
        <f>IF(YEAR(I1213)&lt;=2020,"Até 2020",TEXT(YEAR(I1213),"0"))</f>
        <v/>
      </c>
      <c r="N1213" s="5">
        <f>IFERROR(INDEX(DePara!$A:$A,MATCH(TEXT(B1213,"0"),DePara!$D:$D,0)),"(sem categoria)")</f>
        <v/>
      </c>
      <c r="O1213" s="5">
        <f>IF(J1213="","",Parametros!$B$6-J1213)</f>
        <v/>
      </c>
      <c r="P1213" s="5">
        <f>IF(O1213="","",IF(O1213&gt;0,1,0))</f>
        <v/>
      </c>
    </row>
    <row r="1214">
      <c r="A1214" s="5" t="n">
        <v>2122100000</v>
      </c>
      <c r="B1214" s="5" t="inlineStr">
        <is>
          <t>IC4420</t>
        </is>
      </c>
      <c r="C1214" s="5" t="inlineStr">
        <is>
          <t>NORDEX ENERGY SPAIN S A U</t>
        </is>
      </c>
      <c r="D1214" s="5" t="inlineStr">
        <is>
          <t>RE</t>
        </is>
      </c>
      <c r="E1214" s="5" t="n">
        <v>5040430</v>
      </c>
      <c r="F1214" s="5" t="inlineStr">
        <is>
          <t>4025009137</t>
        </is>
      </c>
      <c r="G1214" s="5" t="inlineStr">
        <is>
          <t>EUR</t>
        </is>
      </c>
      <c r="H1214" s="9" t="n">
        <v>-5173.78</v>
      </c>
      <c r="I1214" s="16" t="n">
        <v>45988</v>
      </c>
      <c r="J1214" s="16" t="n">
        <v>46018</v>
      </c>
      <c r="K1214" s="5" t="inlineStr">
        <is>
          <t>0887/25</t>
        </is>
      </c>
      <c r="L1214" s="5" t="inlineStr">
        <is>
          <t>4025009137</t>
        </is>
      </c>
      <c r="M1214" s="5">
        <f>IF(YEAR(I1214)&lt;=2020,"Até 2020",TEXT(YEAR(I1214),"0"))</f>
        <v/>
      </c>
      <c r="N1214" s="5">
        <f>IFERROR(INDEX(DePara!$A:$A,MATCH(TEXT(B1214,"0"),DePara!$D:$D,0)),"(sem categoria)")</f>
        <v/>
      </c>
      <c r="O1214" s="5">
        <f>IF(J1214="","",Parametros!$B$6-J1214)</f>
        <v/>
      </c>
      <c r="P1214" s="5">
        <f>IF(O1214="","",IF(O1214&gt;0,1,0))</f>
        <v/>
      </c>
    </row>
    <row r="1215">
      <c r="A1215" s="5" t="n">
        <v>2122100000</v>
      </c>
      <c r="B1215" s="5" t="inlineStr">
        <is>
          <t>IC5000</t>
        </is>
      </c>
      <c r="C1215" s="5" t="inlineStr">
        <is>
          <t>NORDEX SE</t>
        </is>
      </c>
      <c r="D1215" s="5" t="inlineStr">
        <is>
          <t>KR</t>
        </is>
      </c>
      <c r="E1215" s="5" t="n">
        <v>5040438</v>
      </c>
      <c r="F1215" s="5" t="inlineStr">
        <is>
          <t>610277</t>
        </is>
      </c>
      <c r="G1215" s="5" t="inlineStr">
        <is>
          <t>BRL</t>
        </is>
      </c>
      <c r="H1215" s="9" t="n">
        <v>-2548277.78</v>
      </c>
      <c r="I1215" s="16" t="n">
        <v>46007</v>
      </c>
      <c r="J1215" s="16" t="n">
        <v>46007</v>
      </c>
      <c r="K1215" s="5" t="inlineStr">
        <is>
          <t>Fatura do fornecedor NORDEX SE 610277</t>
        </is>
      </c>
      <c r="L1215" s="5" t="n"/>
      <c r="M1215" s="5">
        <f>IF(YEAR(I1215)&lt;=2020,"Até 2020",TEXT(YEAR(I1215),"0"))</f>
        <v/>
      </c>
      <c r="N1215" s="5">
        <f>IFERROR(INDEX(DePara!$A:$A,MATCH(TEXT(B1215,"0"),DePara!$D:$D,0)),"(sem categoria)")</f>
        <v/>
      </c>
      <c r="O1215" s="5">
        <f>IF(J1215="","",Parametros!$B$6-J1215)</f>
        <v/>
      </c>
      <c r="P1215" s="5">
        <f>IF(O1215="","",IF(O1215&gt;0,1,0))</f>
        <v/>
      </c>
    </row>
    <row r="1216">
      <c r="A1216" s="5" t="n">
        <v>2122100000</v>
      </c>
      <c r="B1216" s="5" t="inlineStr">
        <is>
          <t>IC5000</t>
        </is>
      </c>
      <c r="C1216" s="5" t="inlineStr">
        <is>
          <t>NORDEX SE</t>
        </is>
      </c>
      <c r="D1216" s="5" t="inlineStr">
        <is>
          <t>KR</t>
        </is>
      </c>
      <c r="E1216" s="5" t="n">
        <v>5040449</v>
      </c>
      <c r="F1216" s="5" t="inlineStr">
        <is>
          <t>610257</t>
        </is>
      </c>
      <c r="G1216" s="5" t="inlineStr">
        <is>
          <t>EUR</t>
        </is>
      </c>
      <c r="H1216" s="9" t="n">
        <v>-7810930.82</v>
      </c>
      <c r="I1216" s="16" t="n">
        <v>46006</v>
      </c>
      <c r="J1216" s="16" t="n">
        <v>46006</v>
      </c>
      <c r="K1216" s="5" t="inlineStr">
        <is>
          <t>Fatura do fornecedor NORDEX SE 610257</t>
        </is>
      </c>
      <c r="L1216" s="5" t="n"/>
      <c r="M1216" s="5">
        <f>IF(YEAR(I1216)&lt;=2020,"Até 2020",TEXT(YEAR(I1216),"0"))</f>
        <v/>
      </c>
      <c r="N1216" s="5">
        <f>IFERROR(INDEX(DePara!$A:$A,MATCH(TEXT(B1216,"0"),DePara!$D:$D,0)),"(sem categoria)")</f>
        <v/>
      </c>
      <c r="O1216" s="5">
        <f>IF(J1216="","",Parametros!$B$6-J1216)</f>
        <v/>
      </c>
      <c r="P1216" s="5">
        <f>IF(O1216="","",IF(O1216&gt;0,1,0))</f>
        <v/>
      </c>
    </row>
    <row r="1217">
      <c r="A1217" s="5" t="n">
        <v>2122100000</v>
      </c>
      <c r="B1217" s="5" t="inlineStr">
        <is>
          <t>IC4420</t>
        </is>
      </c>
      <c r="C1217" s="5" t="inlineStr">
        <is>
          <t>NORDEX ENERGY SPAIN S A U</t>
        </is>
      </c>
      <c r="D1217" s="5" t="inlineStr">
        <is>
          <t>RE</t>
        </is>
      </c>
      <c r="E1217" s="5" t="n">
        <v>5040477</v>
      </c>
      <c r="F1217" s="5" t="inlineStr">
        <is>
          <t>4025009229</t>
        </is>
      </c>
      <c r="G1217" s="5" t="inlineStr">
        <is>
          <t>EUR</t>
        </is>
      </c>
      <c r="H1217" s="9" t="n">
        <v>-24079.33</v>
      </c>
      <c r="I1217" s="16" t="n">
        <v>45989</v>
      </c>
      <c r="J1217" s="16" t="n">
        <v>46019</v>
      </c>
      <c r="K1217" s="5" t="inlineStr">
        <is>
          <t>0907/25</t>
        </is>
      </c>
      <c r="L1217" s="5" t="inlineStr">
        <is>
          <t>4025009229</t>
        </is>
      </c>
      <c r="M1217" s="5">
        <f>IF(YEAR(I1217)&lt;=2020,"Até 2020",TEXT(YEAR(I1217),"0"))</f>
        <v/>
      </c>
      <c r="N1217" s="5">
        <f>IFERROR(INDEX(DePara!$A:$A,MATCH(TEXT(B1217,"0"),DePara!$D:$D,0)),"(sem categoria)")</f>
        <v/>
      </c>
      <c r="O1217" s="5">
        <f>IF(J1217="","",Parametros!$B$6-J1217)</f>
        <v/>
      </c>
      <c r="P1217" s="5">
        <f>IF(O1217="","",IF(O1217&gt;0,1,0))</f>
        <v/>
      </c>
    </row>
    <row r="1218">
      <c r="A1218" s="5" t="n">
        <v>2122100000</v>
      </c>
      <c r="B1218" s="5" t="inlineStr">
        <is>
          <t>IC4420</t>
        </is>
      </c>
      <c r="C1218" s="5" t="inlineStr">
        <is>
          <t>NORDEX ENERGY SPAIN S A U</t>
        </is>
      </c>
      <c r="D1218" s="5" t="inlineStr">
        <is>
          <t>RE</t>
        </is>
      </c>
      <c r="E1218" s="5" t="n">
        <v>5040479</v>
      </c>
      <c r="F1218" s="5" t="inlineStr">
        <is>
          <t>4025009127</t>
        </is>
      </c>
      <c r="G1218" s="5" t="inlineStr">
        <is>
          <t>EUR</t>
        </is>
      </c>
      <c r="H1218" s="9" t="n">
        <v>-23878.51</v>
      </c>
      <c r="I1218" s="16" t="n">
        <v>45988</v>
      </c>
      <c r="J1218" s="16" t="n">
        <v>46018</v>
      </c>
      <c r="K1218" s="5" t="inlineStr">
        <is>
          <t>0894/25</t>
        </is>
      </c>
      <c r="L1218" s="5" t="inlineStr">
        <is>
          <t>4025009127</t>
        </is>
      </c>
      <c r="M1218" s="5">
        <f>IF(YEAR(I1218)&lt;=2020,"Até 2020",TEXT(YEAR(I1218),"0"))</f>
        <v/>
      </c>
      <c r="N1218" s="5">
        <f>IFERROR(INDEX(DePara!$A:$A,MATCH(TEXT(B1218,"0"),DePara!$D:$D,0)),"(sem categoria)")</f>
        <v/>
      </c>
      <c r="O1218" s="5">
        <f>IF(J1218="","",Parametros!$B$6-J1218)</f>
        <v/>
      </c>
      <c r="P1218" s="5">
        <f>IF(O1218="","",IF(O1218&gt;0,1,0))</f>
        <v/>
      </c>
    </row>
    <row r="1219">
      <c r="A1219" s="5" t="n">
        <v>2122100000</v>
      </c>
      <c r="B1219" s="5" t="inlineStr">
        <is>
          <t>IC4420</t>
        </is>
      </c>
      <c r="C1219" s="5" t="inlineStr">
        <is>
          <t>NORDEX ENERGY SPAIN S A U</t>
        </is>
      </c>
      <c r="D1219" s="5" t="inlineStr">
        <is>
          <t>RE</t>
        </is>
      </c>
      <c r="E1219" s="5" t="n">
        <v>5040520</v>
      </c>
      <c r="F1219" s="5" t="inlineStr">
        <is>
          <t>4025009114</t>
        </is>
      </c>
      <c r="G1219" s="5" t="inlineStr">
        <is>
          <t>EUR</t>
        </is>
      </c>
      <c r="H1219" s="9" t="n">
        <v>-584.41</v>
      </c>
      <c r="I1219" s="16" t="n">
        <v>45987</v>
      </c>
      <c r="J1219" s="16" t="n">
        <v>46017</v>
      </c>
      <c r="K1219" s="5" t="inlineStr">
        <is>
          <t>0889/25</t>
        </is>
      </c>
      <c r="L1219" s="5" t="inlineStr">
        <is>
          <t>4025009114</t>
        </is>
      </c>
      <c r="M1219" s="5">
        <f>IF(YEAR(I1219)&lt;=2020,"Até 2020",TEXT(YEAR(I1219),"0"))</f>
        <v/>
      </c>
      <c r="N1219" s="5">
        <f>IFERROR(INDEX(DePara!$A:$A,MATCH(TEXT(B1219,"0"),DePara!$D:$D,0)),"(sem categoria)")</f>
        <v/>
      </c>
      <c r="O1219" s="5">
        <f>IF(J1219="","",Parametros!$B$6-J1219)</f>
        <v/>
      </c>
      <c r="P1219" s="5">
        <f>IF(O1219="","",IF(O1219&gt;0,1,0))</f>
        <v/>
      </c>
    </row>
    <row r="1220">
      <c r="A1220" s="5" t="n">
        <v>2122100000</v>
      </c>
      <c r="B1220" s="5" t="inlineStr">
        <is>
          <t>IC4420</t>
        </is>
      </c>
      <c r="C1220" s="5" t="inlineStr">
        <is>
          <t>NORDEX ENERGY SPAIN S A U</t>
        </is>
      </c>
      <c r="D1220" s="5" t="inlineStr">
        <is>
          <t>RE</t>
        </is>
      </c>
      <c r="E1220" s="5" t="n">
        <v>5040532</v>
      </c>
      <c r="F1220" s="5" t="inlineStr">
        <is>
          <t>4025009216</t>
        </is>
      </c>
      <c r="G1220" s="5" t="inlineStr">
        <is>
          <t>EUR</t>
        </is>
      </c>
      <c r="H1220" s="9" t="n">
        <v>-6170.24</v>
      </c>
      <c r="I1220" s="16" t="n">
        <v>45988</v>
      </c>
      <c r="J1220" s="16" t="n">
        <v>46018</v>
      </c>
      <c r="K1220" s="5" t="inlineStr">
        <is>
          <t>0900/25</t>
        </is>
      </c>
      <c r="L1220" s="5" t="inlineStr">
        <is>
          <t>4025009216</t>
        </is>
      </c>
      <c r="M1220" s="5">
        <f>IF(YEAR(I1220)&lt;=2020,"Até 2020",TEXT(YEAR(I1220),"0"))</f>
        <v/>
      </c>
      <c r="N1220" s="5">
        <f>IFERROR(INDEX(DePara!$A:$A,MATCH(TEXT(B1220,"0"),DePara!$D:$D,0)),"(sem categoria)")</f>
        <v/>
      </c>
      <c r="O1220" s="5">
        <f>IF(J1220="","",Parametros!$B$6-J1220)</f>
        <v/>
      </c>
      <c r="P1220" s="5">
        <f>IF(O1220="","",IF(O1220&gt;0,1,0))</f>
        <v/>
      </c>
    </row>
    <row r="1221">
      <c r="A1221" s="5" t="n">
        <v>2122100000</v>
      </c>
      <c r="B1221" s="5" t="inlineStr">
        <is>
          <t>IC4420</t>
        </is>
      </c>
      <c r="C1221" s="5" t="inlineStr">
        <is>
          <t>NORDEX ENERGY SPAIN S A U</t>
        </is>
      </c>
      <c r="D1221" s="5" t="inlineStr">
        <is>
          <t>RE</t>
        </is>
      </c>
      <c r="E1221" s="5" t="n">
        <v>5040631</v>
      </c>
      <c r="F1221" s="5" t="inlineStr">
        <is>
          <t>4025009227</t>
        </is>
      </c>
      <c r="G1221" s="5" t="inlineStr">
        <is>
          <t>EUR</t>
        </is>
      </c>
      <c r="H1221" s="9" t="n">
        <v>-6932.98</v>
      </c>
      <c r="I1221" s="16" t="n">
        <v>45989</v>
      </c>
      <c r="J1221" s="16" t="n">
        <v>46019</v>
      </c>
      <c r="K1221" s="5" t="inlineStr">
        <is>
          <t>0905/25</t>
        </is>
      </c>
      <c r="L1221" s="5" t="inlineStr">
        <is>
          <t>4025009227</t>
        </is>
      </c>
      <c r="M1221" s="5">
        <f>IF(YEAR(I1221)&lt;=2020,"Até 2020",TEXT(YEAR(I1221),"0"))</f>
        <v/>
      </c>
      <c r="N1221" s="5">
        <f>IFERROR(INDEX(DePara!$A:$A,MATCH(TEXT(B1221,"0"),DePara!$D:$D,0)),"(sem categoria)")</f>
        <v/>
      </c>
      <c r="O1221" s="5">
        <f>IF(J1221="","",Parametros!$B$6-J1221)</f>
        <v/>
      </c>
      <c r="P1221" s="5">
        <f>IF(O1221="","",IF(O1221&gt;0,1,0))</f>
        <v/>
      </c>
    </row>
    <row r="1222">
      <c r="A1222" s="5" t="n">
        <v>2122100000</v>
      </c>
      <c r="B1222" s="5" t="inlineStr">
        <is>
          <t>IC4420</t>
        </is>
      </c>
      <c r="C1222" s="5" t="inlineStr">
        <is>
          <t>NORDEX ENERGY SPAIN S A U</t>
        </is>
      </c>
      <c r="D1222" s="5" t="inlineStr">
        <is>
          <t>RE</t>
        </is>
      </c>
      <c r="E1222" s="5" t="n">
        <v>5040632</v>
      </c>
      <c r="F1222" s="5" t="inlineStr">
        <is>
          <t>4025009132</t>
        </is>
      </c>
      <c r="G1222" s="5" t="inlineStr">
        <is>
          <t>EUR</t>
        </is>
      </c>
      <c r="H1222" s="9" t="n">
        <v>-55489.41</v>
      </c>
      <c r="I1222" s="16" t="n">
        <v>45988</v>
      </c>
      <c r="J1222" s="16" t="n">
        <v>46018</v>
      </c>
      <c r="K1222" s="5" t="inlineStr">
        <is>
          <t>0883/25</t>
        </is>
      </c>
      <c r="L1222" s="5" t="inlineStr">
        <is>
          <t>4025009132</t>
        </is>
      </c>
      <c r="M1222" s="5">
        <f>IF(YEAR(I1222)&lt;=2020,"Até 2020",TEXT(YEAR(I1222),"0"))</f>
        <v/>
      </c>
      <c r="N1222" s="5">
        <f>IFERROR(INDEX(DePara!$A:$A,MATCH(TEXT(B1222,"0"),DePara!$D:$D,0)),"(sem categoria)")</f>
        <v/>
      </c>
      <c r="O1222" s="5">
        <f>IF(J1222="","",Parametros!$B$6-J1222)</f>
        <v/>
      </c>
      <c r="P1222" s="5">
        <f>IF(O1222="","",IF(O1222&gt;0,1,0))</f>
        <v/>
      </c>
    </row>
    <row r="1223">
      <c r="A1223" s="5" t="n">
        <v>2122100000</v>
      </c>
      <c r="B1223" s="5" t="inlineStr">
        <is>
          <t>IC4420</t>
        </is>
      </c>
      <c r="C1223" s="5" t="inlineStr">
        <is>
          <t>NORDEX ENERGY SPAIN S A U</t>
        </is>
      </c>
      <c r="D1223" s="5" t="inlineStr">
        <is>
          <t>RE</t>
        </is>
      </c>
      <c r="E1223" s="5" t="n">
        <v>5040645</v>
      </c>
      <c r="F1223" s="5" t="inlineStr">
        <is>
          <t>4025009112</t>
        </is>
      </c>
      <c r="G1223" s="5" t="inlineStr">
        <is>
          <t>EUR</t>
        </is>
      </c>
      <c r="H1223" s="9" t="n">
        <v>-40515.22</v>
      </c>
      <c r="I1223" s="16" t="n">
        <v>45987</v>
      </c>
      <c r="J1223" s="16" t="n">
        <v>46017</v>
      </c>
      <c r="K1223" s="5" t="inlineStr">
        <is>
          <t>0888/25</t>
        </is>
      </c>
      <c r="L1223" s="5" t="inlineStr">
        <is>
          <t>4025009112</t>
        </is>
      </c>
      <c r="M1223" s="5">
        <f>IF(YEAR(I1223)&lt;=2020,"Até 2020",TEXT(YEAR(I1223),"0"))</f>
        <v/>
      </c>
      <c r="N1223" s="5">
        <f>IFERROR(INDEX(DePara!$A:$A,MATCH(TEXT(B1223,"0"),DePara!$D:$D,0)),"(sem categoria)")</f>
        <v/>
      </c>
      <c r="O1223" s="5">
        <f>IF(J1223="","",Parametros!$B$6-J1223)</f>
        <v/>
      </c>
      <c r="P1223" s="5">
        <f>IF(O1223="","",IF(O1223&gt;0,1,0))</f>
        <v/>
      </c>
    </row>
    <row r="1224">
      <c r="A1224" s="5" t="n">
        <v>2122100000</v>
      </c>
      <c r="B1224" s="5" t="inlineStr">
        <is>
          <t>IC4420</t>
        </is>
      </c>
      <c r="C1224" s="5" t="inlineStr">
        <is>
          <t>NORDEX ENERGY SPAIN S A U</t>
        </is>
      </c>
      <c r="D1224" s="5" t="inlineStr">
        <is>
          <t>RE</t>
        </is>
      </c>
      <c r="E1224" s="5" t="n">
        <v>5040646</v>
      </c>
      <c r="F1224" s="5" t="inlineStr">
        <is>
          <t>4025009110</t>
        </is>
      </c>
      <c r="G1224" s="5" t="inlineStr">
        <is>
          <t>EUR</t>
        </is>
      </c>
      <c r="H1224" s="9" t="n">
        <v>-12683.08</v>
      </c>
      <c r="I1224" s="16" t="n">
        <v>45987</v>
      </c>
      <c r="J1224" s="16" t="n">
        <v>46017</v>
      </c>
      <c r="K1224" s="5" t="inlineStr">
        <is>
          <t>0888/25</t>
        </is>
      </c>
      <c r="L1224" s="5" t="inlineStr">
        <is>
          <t>4025009110</t>
        </is>
      </c>
      <c r="M1224" s="5">
        <f>IF(YEAR(I1224)&lt;=2020,"Até 2020",TEXT(YEAR(I1224),"0"))</f>
        <v/>
      </c>
      <c r="N1224" s="5">
        <f>IFERROR(INDEX(DePara!$A:$A,MATCH(TEXT(B1224,"0"),DePara!$D:$D,0)),"(sem categoria)")</f>
        <v/>
      </c>
      <c r="O1224" s="5">
        <f>IF(J1224="","",Parametros!$B$6-J1224)</f>
        <v/>
      </c>
      <c r="P1224" s="5">
        <f>IF(O1224="","",IF(O1224&gt;0,1,0))</f>
        <v/>
      </c>
    </row>
    <row r="1225">
      <c r="A1225" s="5" t="n">
        <v>2122100000</v>
      </c>
      <c r="B1225" s="5" t="inlineStr">
        <is>
          <t>IC4420</t>
        </is>
      </c>
      <c r="C1225" s="5" t="inlineStr">
        <is>
          <t>NORDEX ENERGY SPAIN S A U</t>
        </is>
      </c>
      <c r="D1225" s="5" t="inlineStr">
        <is>
          <t>RE</t>
        </is>
      </c>
      <c r="E1225" s="5" t="n">
        <v>5040647</v>
      </c>
      <c r="F1225" s="5" t="inlineStr">
        <is>
          <t>4025009219</t>
        </is>
      </c>
      <c r="G1225" s="5" t="inlineStr">
        <is>
          <t>EUR</t>
        </is>
      </c>
      <c r="H1225" s="9" t="n">
        <v>-20023.39</v>
      </c>
      <c r="I1225" s="16" t="n">
        <v>45988</v>
      </c>
      <c r="J1225" s="16" t="n">
        <v>46018</v>
      </c>
      <c r="K1225" s="5" t="inlineStr">
        <is>
          <t>0897/25</t>
        </is>
      </c>
      <c r="L1225" s="5" t="inlineStr">
        <is>
          <t>4025009219</t>
        </is>
      </c>
      <c r="M1225" s="5">
        <f>IF(YEAR(I1225)&lt;=2020,"Até 2020",TEXT(YEAR(I1225),"0"))</f>
        <v/>
      </c>
      <c r="N1225" s="5">
        <f>IFERROR(INDEX(DePara!$A:$A,MATCH(TEXT(B1225,"0"),DePara!$D:$D,0)),"(sem categoria)")</f>
        <v/>
      </c>
      <c r="O1225" s="5">
        <f>IF(J1225="","",Parametros!$B$6-J1225)</f>
        <v/>
      </c>
      <c r="P1225" s="5">
        <f>IF(O1225="","",IF(O1225&gt;0,1,0))</f>
        <v/>
      </c>
    </row>
    <row r="1226">
      <c r="A1226" s="5" t="n">
        <v>2122100000</v>
      </c>
      <c r="B1226" s="5" t="inlineStr">
        <is>
          <t>IC4420</t>
        </is>
      </c>
      <c r="C1226" s="5" t="inlineStr">
        <is>
          <t>NORDEX ENERGY SPAIN S A U</t>
        </is>
      </c>
      <c r="D1226" s="5" t="inlineStr">
        <is>
          <t>RE</t>
        </is>
      </c>
      <c r="E1226" s="5" t="n">
        <v>5040648</v>
      </c>
      <c r="F1226" s="5" t="inlineStr">
        <is>
          <t>4025009113</t>
        </is>
      </c>
      <c r="G1226" s="5" t="inlineStr">
        <is>
          <t>EUR</t>
        </is>
      </c>
      <c r="H1226" s="9" t="n">
        <v>-45885.35</v>
      </c>
      <c r="I1226" s="16" t="n">
        <v>45987</v>
      </c>
      <c r="J1226" s="16" t="n">
        <v>46017</v>
      </c>
      <c r="K1226" s="5" t="inlineStr">
        <is>
          <t>0888/25</t>
        </is>
      </c>
      <c r="L1226" s="5" t="inlineStr">
        <is>
          <t>4025009113</t>
        </is>
      </c>
      <c r="M1226" s="5">
        <f>IF(YEAR(I1226)&lt;=2020,"Até 2020",TEXT(YEAR(I1226),"0"))</f>
        <v/>
      </c>
      <c r="N1226" s="5">
        <f>IFERROR(INDEX(DePara!$A:$A,MATCH(TEXT(B1226,"0"),DePara!$D:$D,0)),"(sem categoria)")</f>
        <v/>
      </c>
      <c r="O1226" s="5">
        <f>IF(J1226="","",Parametros!$B$6-J1226)</f>
        <v/>
      </c>
      <c r="P1226" s="5">
        <f>IF(O1226="","",IF(O1226&gt;0,1,0))</f>
        <v/>
      </c>
    </row>
    <row r="1227">
      <c r="A1227" s="5" t="n">
        <v>2122100000</v>
      </c>
      <c r="B1227" s="5" t="inlineStr">
        <is>
          <t>IC4420</t>
        </is>
      </c>
      <c r="C1227" s="5" t="inlineStr">
        <is>
          <t>NORDEX ENERGY SPAIN S A U</t>
        </is>
      </c>
      <c r="D1227" s="5" t="inlineStr">
        <is>
          <t>RE</t>
        </is>
      </c>
      <c r="E1227" s="5" t="n">
        <v>5040661</v>
      </c>
      <c r="F1227" s="5" t="inlineStr">
        <is>
          <t>4025009201</t>
        </is>
      </c>
      <c r="G1227" s="5" t="inlineStr">
        <is>
          <t>EUR</t>
        </is>
      </c>
      <c r="H1227" s="9" t="n">
        <v>-2132.38</v>
      </c>
      <c r="I1227" s="16" t="n">
        <v>45988</v>
      </c>
      <c r="J1227" s="16" t="n">
        <v>46018</v>
      </c>
      <c r="K1227" s="5" t="inlineStr">
        <is>
          <t>0898/25</t>
        </is>
      </c>
      <c r="L1227" s="5" t="inlineStr">
        <is>
          <t>4025009201</t>
        </is>
      </c>
      <c r="M1227" s="5">
        <f>IF(YEAR(I1227)&lt;=2020,"Até 2020",TEXT(YEAR(I1227),"0"))</f>
        <v/>
      </c>
      <c r="N1227" s="5">
        <f>IFERROR(INDEX(DePara!$A:$A,MATCH(TEXT(B1227,"0"),DePara!$D:$D,0)),"(sem categoria)")</f>
        <v/>
      </c>
      <c r="O1227" s="5">
        <f>IF(J1227="","",Parametros!$B$6-J1227)</f>
        <v/>
      </c>
      <c r="P1227" s="5">
        <f>IF(O1227="","",IF(O1227&gt;0,1,0))</f>
        <v/>
      </c>
    </row>
    <row r="1228">
      <c r="A1228" s="5" t="n">
        <v>2122100000</v>
      </c>
      <c r="B1228" s="5" t="inlineStr">
        <is>
          <t>IC4420</t>
        </is>
      </c>
      <c r="C1228" s="5" t="inlineStr">
        <is>
          <t>NORDEX ENERGY SPAIN S A U</t>
        </is>
      </c>
      <c r="D1228" s="5" t="inlineStr">
        <is>
          <t>RE</t>
        </is>
      </c>
      <c r="E1228" s="5" t="n">
        <v>5040663</v>
      </c>
      <c r="F1228" s="5" t="inlineStr">
        <is>
          <t>4025009222</t>
        </is>
      </c>
      <c r="G1228" s="5" t="inlineStr">
        <is>
          <t>EUR</t>
        </is>
      </c>
      <c r="H1228" s="9" t="n">
        <v>-83637.49000000001</v>
      </c>
      <c r="I1228" s="16" t="n">
        <v>45979</v>
      </c>
      <c r="J1228" s="16" t="n">
        <v>46009</v>
      </c>
      <c r="K1228" s="5" t="inlineStr">
        <is>
          <t>0898/25</t>
        </is>
      </c>
      <c r="L1228" s="5" t="inlineStr">
        <is>
          <t>4025009222</t>
        </is>
      </c>
      <c r="M1228" s="5">
        <f>IF(YEAR(I1228)&lt;=2020,"Até 2020",TEXT(YEAR(I1228),"0"))</f>
        <v/>
      </c>
      <c r="N1228" s="5">
        <f>IFERROR(INDEX(DePara!$A:$A,MATCH(TEXT(B1228,"0"),DePara!$D:$D,0)),"(sem categoria)")</f>
        <v/>
      </c>
      <c r="O1228" s="5">
        <f>IF(J1228="","",Parametros!$B$6-J1228)</f>
        <v/>
      </c>
      <c r="P1228" s="5">
        <f>IF(O1228="","",IF(O1228&gt;0,1,0))</f>
        <v/>
      </c>
    </row>
    <row r="1229">
      <c r="A1229" s="5" t="n">
        <v>2122100000</v>
      </c>
      <c r="B1229" s="5" t="inlineStr">
        <is>
          <t>IC4420</t>
        </is>
      </c>
      <c r="C1229" s="5" t="inlineStr">
        <is>
          <t>NORDEX ENERGY SPAIN S A U</t>
        </is>
      </c>
      <c r="D1229" s="5" t="inlineStr">
        <is>
          <t>RE</t>
        </is>
      </c>
      <c r="E1229" s="5" t="n">
        <v>5040664</v>
      </c>
      <c r="F1229" s="5" t="inlineStr">
        <is>
          <t>4025009223</t>
        </is>
      </c>
      <c r="G1229" s="5" t="inlineStr">
        <is>
          <t>EUR</t>
        </is>
      </c>
      <c r="H1229" s="9" t="n">
        <v>-22775.18</v>
      </c>
      <c r="I1229" s="16" t="n">
        <v>45988</v>
      </c>
      <c r="J1229" s="16" t="n">
        <v>46018</v>
      </c>
      <c r="K1229" s="5" t="inlineStr">
        <is>
          <t>0898/25</t>
        </is>
      </c>
      <c r="L1229" s="5" t="inlineStr">
        <is>
          <t>4025009223</t>
        </is>
      </c>
      <c r="M1229" s="5">
        <f>IF(YEAR(I1229)&lt;=2020,"Até 2020",TEXT(YEAR(I1229),"0"))</f>
        <v/>
      </c>
      <c r="N1229" s="5">
        <f>IFERROR(INDEX(DePara!$A:$A,MATCH(TEXT(B1229,"0"),DePara!$D:$D,0)),"(sem categoria)")</f>
        <v/>
      </c>
      <c r="O1229" s="5">
        <f>IF(J1229="","",Parametros!$B$6-J1229)</f>
        <v/>
      </c>
      <c r="P1229" s="5">
        <f>IF(O1229="","",IF(O1229&gt;0,1,0))</f>
        <v/>
      </c>
    </row>
    <row r="1230">
      <c r="A1230" s="5" t="n">
        <v>2122100000</v>
      </c>
      <c r="B1230" s="5" t="inlineStr">
        <is>
          <t>IC4420</t>
        </is>
      </c>
      <c r="C1230" s="5" t="inlineStr">
        <is>
          <t>NORDEX ENERGY SPAIN S A U</t>
        </is>
      </c>
      <c r="D1230" s="5" t="inlineStr">
        <is>
          <t>RE</t>
        </is>
      </c>
      <c r="E1230" s="5" t="n">
        <v>5040665</v>
      </c>
      <c r="F1230" s="5" t="inlineStr">
        <is>
          <t>4025009212</t>
        </is>
      </c>
      <c r="G1230" s="5" t="inlineStr">
        <is>
          <t>EUR</t>
        </is>
      </c>
      <c r="H1230" s="9" t="n">
        <v>-120387.73</v>
      </c>
      <c r="I1230" s="16" t="n">
        <v>45988</v>
      </c>
      <c r="J1230" s="16" t="n">
        <v>46018</v>
      </c>
      <c r="K1230" s="5" t="inlineStr">
        <is>
          <t>0898/25</t>
        </is>
      </c>
      <c r="L1230" s="5" t="inlineStr">
        <is>
          <t>4025009212</t>
        </is>
      </c>
      <c r="M1230" s="5">
        <f>IF(YEAR(I1230)&lt;=2020,"Até 2020",TEXT(YEAR(I1230),"0"))</f>
        <v/>
      </c>
      <c r="N1230" s="5">
        <f>IFERROR(INDEX(DePara!$A:$A,MATCH(TEXT(B1230,"0"),DePara!$D:$D,0)),"(sem categoria)")</f>
        <v/>
      </c>
      <c r="O1230" s="5">
        <f>IF(J1230="","",Parametros!$B$6-J1230)</f>
        <v/>
      </c>
      <c r="P1230" s="5">
        <f>IF(O1230="","",IF(O1230&gt;0,1,0))</f>
        <v/>
      </c>
    </row>
    <row r="1231">
      <c r="A1231" s="5" t="n">
        <v>2122100000</v>
      </c>
      <c r="B1231" s="5" t="inlineStr">
        <is>
          <t>IC4420</t>
        </is>
      </c>
      <c r="C1231" s="5" t="inlineStr">
        <is>
          <t>NORDEX ENERGY SPAIN S A U</t>
        </is>
      </c>
      <c r="D1231" s="5" t="inlineStr">
        <is>
          <t>RE</t>
        </is>
      </c>
      <c r="E1231" s="5" t="n">
        <v>5040667</v>
      </c>
      <c r="F1231" s="5" t="inlineStr">
        <is>
          <t>4025009221</t>
        </is>
      </c>
      <c r="G1231" s="5" t="inlineStr">
        <is>
          <t>EUR</t>
        </is>
      </c>
      <c r="H1231" s="9" t="n">
        <v>-80394.42999999999</v>
      </c>
      <c r="I1231" s="16" t="n">
        <v>45988</v>
      </c>
      <c r="J1231" s="16" t="n">
        <v>46018</v>
      </c>
      <c r="K1231" s="5" t="inlineStr">
        <is>
          <t>0898/25</t>
        </is>
      </c>
      <c r="L1231" s="5" t="inlineStr">
        <is>
          <t>4025009221</t>
        </is>
      </c>
      <c r="M1231" s="5">
        <f>IF(YEAR(I1231)&lt;=2020,"Até 2020",TEXT(YEAR(I1231),"0"))</f>
        <v/>
      </c>
      <c r="N1231" s="5">
        <f>IFERROR(INDEX(DePara!$A:$A,MATCH(TEXT(B1231,"0"),DePara!$D:$D,0)),"(sem categoria)")</f>
        <v/>
      </c>
      <c r="O1231" s="5">
        <f>IF(J1231="","",Parametros!$B$6-J1231)</f>
        <v/>
      </c>
      <c r="P1231" s="5">
        <f>IF(O1231="","",IF(O1231&gt;0,1,0))</f>
        <v/>
      </c>
    </row>
    <row r="1232">
      <c r="A1232" s="5" t="n">
        <v>2122100000</v>
      </c>
      <c r="B1232" s="5" t="inlineStr">
        <is>
          <t>IC1000</t>
        </is>
      </c>
      <c r="C1232" s="5" t="inlineStr">
        <is>
          <t>NORDEX ENERGY SE &amp; CO KG</t>
        </is>
      </c>
      <c r="D1232" s="5" t="inlineStr">
        <is>
          <t>RE</t>
        </is>
      </c>
      <c r="E1232" s="5" t="n">
        <v>5040670</v>
      </c>
      <c r="F1232" s="5" t="inlineStr">
        <is>
          <t>4012403352</t>
        </is>
      </c>
      <c r="G1232" s="5" t="inlineStr">
        <is>
          <t>EUR</t>
        </is>
      </c>
      <c r="H1232" s="9" t="n">
        <v>-220511.07</v>
      </c>
      <c r="I1232" s="16" t="n">
        <v>45490</v>
      </c>
      <c r="J1232" s="16" t="n">
        <v>45520</v>
      </c>
      <c r="K1232" s="5" t="inlineStr">
        <is>
          <t>0615/24</t>
        </is>
      </c>
      <c r="L1232" s="5" t="inlineStr">
        <is>
          <t>4012403352</t>
        </is>
      </c>
      <c r="M1232" s="5">
        <f>IF(YEAR(I1232)&lt;=2020,"Até 2020",TEXT(YEAR(I1232),"0"))</f>
        <v/>
      </c>
      <c r="N1232" s="5">
        <f>IFERROR(INDEX(DePara!$A:$A,MATCH(TEXT(B1232,"0"),DePara!$D:$D,0)),"(sem categoria)")</f>
        <v/>
      </c>
      <c r="O1232" s="5">
        <f>IF(J1232="","",Parametros!$B$6-J1232)</f>
        <v/>
      </c>
      <c r="P1232" s="5">
        <f>IF(O1232="","",IF(O1232&gt;0,1,0))</f>
        <v/>
      </c>
    </row>
    <row r="1233">
      <c r="A1233" s="5" t="n">
        <v>2122100000</v>
      </c>
      <c r="B1233" s="5" t="inlineStr">
        <is>
          <t>IC4420</t>
        </is>
      </c>
      <c r="C1233" s="5" t="inlineStr">
        <is>
          <t>NORDEX ENERGY SPAIN S A U</t>
        </is>
      </c>
      <c r="D1233" s="5" t="inlineStr">
        <is>
          <t>RE</t>
        </is>
      </c>
      <c r="E1233" s="5" t="n">
        <v>5040734</v>
      </c>
      <c r="F1233" s="5" t="inlineStr">
        <is>
          <t>4025009131</t>
        </is>
      </c>
      <c r="G1233" s="5" t="inlineStr">
        <is>
          <t>EUR</t>
        </is>
      </c>
      <c r="H1233" s="9" t="n">
        <v>-66575.35000000001</v>
      </c>
      <c r="I1233" s="16" t="n">
        <v>45988</v>
      </c>
      <c r="J1233" s="16" t="n">
        <v>46018</v>
      </c>
      <c r="K1233" s="5" t="inlineStr">
        <is>
          <t>0882/25</t>
        </is>
      </c>
      <c r="L1233" s="5" t="inlineStr">
        <is>
          <t>4025009131</t>
        </is>
      </c>
      <c r="M1233" s="5">
        <f>IF(YEAR(I1233)&lt;=2020,"Até 2020",TEXT(YEAR(I1233),"0"))</f>
        <v/>
      </c>
      <c r="N1233" s="5">
        <f>IFERROR(INDEX(DePara!$A:$A,MATCH(TEXT(B1233,"0"),DePara!$D:$D,0)),"(sem categoria)")</f>
        <v/>
      </c>
      <c r="O1233" s="5">
        <f>IF(J1233="","",Parametros!$B$6-J1233)</f>
        <v/>
      </c>
      <c r="P1233" s="5">
        <f>IF(O1233="","",IF(O1233&gt;0,1,0))</f>
        <v/>
      </c>
    </row>
    <row r="1234">
      <c r="A1234" s="5" t="n">
        <v>2122100000</v>
      </c>
      <c r="B1234" s="5" t="inlineStr">
        <is>
          <t>IC4420</t>
        </is>
      </c>
      <c r="C1234" s="5" t="inlineStr">
        <is>
          <t>NORDEX ENERGY SPAIN S A U</t>
        </is>
      </c>
      <c r="D1234" s="5" t="inlineStr">
        <is>
          <t>RE</t>
        </is>
      </c>
      <c r="E1234" s="5" t="n">
        <v>5040735</v>
      </c>
      <c r="F1234" s="5" t="inlineStr">
        <is>
          <t>4025008268</t>
        </is>
      </c>
      <c r="G1234" s="5" t="inlineStr">
        <is>
          <t>EUR</t>
        </is>
      </c>
      <c r="H1234" s="9" t="n">
        <v>-101306.65</v>
      </c>
      <c r="I1234" s="16" t="n">
        <v>45957</v>
      </c>
      <c r="J1234" s="16" t="n">
        <v>45987</v>
      </c>
      <c r="K1234" s="5" t="inlineStr">
        <is>
          <t>0821/25</t>
        </is>
      </c>
      <c r="L1234" s="5" t="inlineStr">
        <is>
          <t>4025008268</t>
        </is>
      </c>
      <c r="M1234" s="5">
        <f>IF(YEAR(I1234)&lt;=2020,"Até 2020",TEXT(YEAR(I1234),"0"))</f>
        <v/>
      </c>
      <c r="N1234" s="5">
        <f>IFERROR(INDEX(DePara!$A:$A,MATCH(TEXT(B1234,"0"),DePara!$D:$D,0)),"(sem categoria)")</f>
        <v/>
      </c>
      <c r="O1234" s="5">
        <f>IF(J1234="","",Parametros!$B$6-J1234)</f>
        <v/>
      </c>
      <c r="P1234" s="5">
        <f>IF(O1234="","",IF(O1234&gt;0,1,0))</f>
        <v/>
      </c>
    </row>
    <row r="1235">
      <c r="A1235" s="5" t="n">
        <v>2122100000</v>
      </c>
      <c r="B1235" s="5" t="inlineStr">
        <is>
          <t>IC4420</t>
        </is>
      </c>
      <c r="C1235" s="5" t="inlineStr">
        <is>
          <t>NORDEX ENERGY SPAIN S A U</t>
        </is>
      </c>
      <c r="D1235" s="5" t="inlineStr">
        <is>
          <t>RE</t>
        </is>
      </c>
      <c r="E1235" s="5" t="n">
        <v>5040737</v>
      </c>
      <c r="F1235" s="5" t="inlineStr">
        <is>
          <t>4025009226</t>
        </is>
      </c>
      <c r="G1235" s="5" t="inlineStr">
        <is>
          <t>EUR</t>
        </is>
      </c>
      <c r="H1235" s="9" t="n">
        <v>-211.72</v>
      </c>
      <c r="I1235" s="16" t="n">
        <v>45989</v>
      </c>
      <c r="J1235" s="16" t="n">
        <v>46019</v>
      </c>
      <c r="K1235" s="5" t="inlineStr">
        <is>
          <t>0904/25</t>
        </is>
      </c>
      <c r="L1235" s="5" t="inlineStr">
        <is>
          <t>4025009226</t>
        </is>
      </c>
      <c r="M1235" s="5">
        <f>IF(YEAR(I1235)&lt;=2020,"Até 2020",TEXT(YEAR(I1235),"0"))</f>
        <v/>
      </c>
      <c r="N1235" s="5">
        <f>IFERROR(INDEX(DePara!$A:$A,MATCH(TEXT(B1235,"0"),DePara!$D:$D,0)),"(sem categoria)")</f>
        <v/>
      </c>
      <c r="O1235" s="5">
        <f>IF(J1235="","",Parametros!$B$6-J1235)</f>
        <v/>
      </c>
      <c r="P1235" s="5">
        <f>IF(O1235="","",IF(O1235&gt;0,1,0))</f>
        <v/>
      </c>
    </row>
    <row r="1236">
      <c r="A1236" s="5" t="n">
        <v>2122100000</v>
      </c>
      <c r="B1236" s="5" t="inlineStr">
        <is>
          <t>IC1000</t>
        </is>
      </c>
      <c r="C1236" s="5" t="inlineStr">
        <is>
          <t>NORDEX ENERGY SE &amp; CO KG</t>
        </is>
      </c>
      <c r="D1236" s="5" t="inlineStr">
        <is>
          <t>RE</t>
        </is>
      </c>
      <c r="E1236" s="5" t="n">
        <v>5040742</v>
      </c>
      <c r="F1236" s="5" t="inlineStr">
        <is>
          <t>4012404416</t>
        </is>
      </c>
      <c r="G1236" s="5" t="inlineStr">
        <is>
          <t>EUR</t>
        </is>
      </c>
      <c r="H1236" s="9" t="n">
        <v>-1616107.58</v>
      </c>
      <c r="I1236" s="16" t="n">
        <v>45516</v>
      </c>
      <c r="J1236" s="16" t="n">
        <v>45546</v>
      </c>
      <c r="K1236" s="5" t="inlineStr">
        <is>
          <t>0633/24</t>
        </is>
      </c>
      <c r="L1236" s="5" t="inlineStr">
        <is>
          <t>4012404416</t>
        </is>
      </c>
      <c r="M1236" s="5">
        <f>IF(YEAR(I1236)&lt;=2020,"Até 2020",TEXT(YEAR(I1236),"0"))</f>
        <v/>
      </c>
      <c r="N1236" s="5">
        <f>IFERROR(INDEX(DePara!$A:$A,MATCH(TEXT(B1236,"0"),DePara!$D:$D,0)),"(sem categoria)")</f>
        <v/>
      </c>
      <c r="O1236" s="5">
        <f>IF(J1236="","",Parametros!$B$6-J1236)</f>
        <v/>
      </c>
      <c r="P1236" s="5">
        <f>IF(O1236="","",IF(O1236&gt;0,1,0))</f>
        <v/>
      </c>
    </row>
    <row r="1237">
      <c r="A1237" s="5" t="n">
        <v>2122100000</v>
      </c>
      <c r="B1237" s="5" t="inlineStr">
        <is>
          <t>IC4420</t>
        </is>
      </c>
      <c r="C1237" s="5" t="inlineStr">
        <is>
          <t>NORDEX ENERGY SPAIN S A U</t>
        </is>
      </c>
      <c r="D1237" s="5" t="inlineStr">
        <is>
          <t>RE</t>
        </is>
      </c>
      <c r="E1237" s="5" t="n">
        <v>5040742</v>
      </c>
      <c r="F1237" s="5" t="inlineStr">
        <is>
          <t>4025009126</t>
        </is>
      </c>
      <c r="G1237" s="5" t="inlineStr">
        <is>
          <t>EUR</t>
        </is>
      </c>
      <c r="H1237" s="9" t="n">
        <v>-425.03</v>
      </c>
      <c r="I1237" s="16" t="n">
        <v>45988</v>
      </c>
      <c r="J1237" s="16" t="n">
        <v>46018</v>
      </c>
      <c r="K1237" s="5" t="inlineStr">
        <is>
          <t>0893/25</t>
        </is>
      </c>
      <c r="L1237" s="5" t="inlineStr">
        <is>
          <t>4025009126</t>
        </is>
      </c>
      <c r="M1237" s="5">
        <f>IF(YEAR(I1237)&lt;=2020,"Até 2020",TEXT(YEAR(I1237),"0"))</f>
        <v/>
      </c>
      <c r="N1237" s="5">
        <f>IFERROR(INDEX(DePara!$A:$A,MATCH(TEXT(B1237,"0"),DePara!$D:$D,0)),"(sem categoria)")</f>
        <v/>
      </c>
      <c r="O1237" s="5">
        <f>IF(J1237="","",Parametros!$B$6-J1237)</f>
        <v/>
      </c>
      <c r="P1237" s="5">
        <f>IF(O1237="","",IF(O1237&gt;0,1,0))</f>
        <v/>
      </c>
    </row>
    <row r="1238">
      <c r="A1238" s="5" t="n">
        <v>2122100000</v>
      </c>
      <c r="B1238" s="5" t="inlineStr">
        <is>
          <t>IC4420</t>
        </is>
      </c>
      <c r="C1238" s="5" t="inlineStr">
        <is>
          <t>NORDEX ENERGY SPAIN S A U</t>
        </is>
      </c>
      <c r="D1238" s="5" t="inlineStr">
        <is>
          <t>RE</t>
        </is>
      </c>
      <c r="E1238" s="5" t="n">
        <v>5040743</v>
      </c>
      <c r="F1238" s="5" t="inlineStr">
        <is>
          <t>4025009095</t>
        </is>
      </c>
      <c r="G1238" s="5" t="inlineStr">
        <is>
          <t>EUR</t>
        </is>
      </c>
      <c r="H1238" s="9" t="n">
        <v>-22565.96</v>
      </c>
      <c r="I1238" s="16" t="n">
        <v>45987</v>
      </c>
      <c r="J1238" s="16" t="n">
        <v>46017</v>
      </c>
      <c r="K1238" s="5" t="inlineStr">
        <is>
          <t>0880/25</t>
        </is>
      </c>
      <c r="L1238" s="5" t="inlineStr">
        <is>
          <t>4025009095</t>
        </is>
      </c>
      <c r="M1238" s="5">
        <f>IF(YEAR(I1238)&lt;=2020,"Até 2020",TEXT(YEAR(I1238),"0"))</f>
        <v/>
      </c>
      <c r="N1238" s="5">
        <f>IFERROR(INDEX(DePara!$A:$A,MATCH(TEXT(B1238,"0"),DePara!$D:$D,0)),"(sem categoria)")</f>
        <v/>
      </c>
      <c r="O1238" s="5">
        <f>IF(J1238="","",Parametros!$B$6-J1238)</f>
        <v/>
      </c>
      <c r="P1238" s="5">
        <f>IF(O1238="","",IF(O1238&gt;0,1,0))</f>
        <v/>
      </c>
    </row>
    <row r="1239">
      <c r="A1239" s="5" t="n">
        <v>2122100000</v>
      </c>
      <c r="B1239" s="5" t="inlineStr">
        <is>
          <t>IC4420</t>
        </is>
      </c>
      <c r="C1239" s="5" t="inlineStr">
        <is>
          <t>NORDEX ENERGY SPAIN S A U</t>
        </is>
      </c>
      <c r="D1239" s="5" t="inlineStr">
        <is>
          <t>RE</t>
        </is>
      </c>
      <c r="E1239" s="5" t="n">
        <v>5040744</v>
      </c>
      <c r="F1239" s="5" t="inlineStr">
        <is>
          <t>4025009133</t>
        </is>
      </c>
      <c r="G1239" s="5" t="inlineStr">
        <is>
          <t>EUR</t>
        </is>
      </c>
      <c r="H1239" s="9" t="n">
        <v>-127308.84</v>
      </c>
      <c r="I1239" s="16" t="n">
        <v>45988</v>
      </c>
      <c r="J1239" s="16" t="n">
        <v>46018</v>
      </c>
      <c r="K1239" s="5" t="inlineStr">
        <is>
          <t>0884/25</t>
        </is>
      </c>
      <c r="L1239" s="5" t="inlineStr">
        <is>
          <t>4025009133</t>
        </is>
      </c>
      <c r="M1239" s="5">
        <f>IF(YEAR(I1239)&lt;=2020,"Até 2020",TEXT(YEAR(I1239),"0"))</f>
        <v/>
      </c>
      <c r="N1239" s="5">
        <f>IFERROR(INDEX(DePara!$A:$A,MATCH(TEXT(B1239,"0"),DePara!$D:$D,0)),"(sem categoria)")</f>
        <v/>
      </c>
      <c r="O1239" s="5">
        <f>IF(J1239="","",Parametros!$B$6-J1239)</f>
        <v/>
      </c>
      <c r="P1239" s="5">
        <f>IF(O1239="","",IF(O1239&gt;0,1,0))</f>
        <v/>
      </c>
    </row>
    <row r="1240">
      <c r="A1240" s="5" t="n">
        <v>2122100000</v>
      </c>
      <c r="B1240" s="5" t="inlineStr">
        <is>
          <t>IC4420</t>
        </is>
      </c>
      <c r="C1240" s="5" t="inlineStr">
        <is>
          <t>NORDEX ENERGY SPAIN S A U</t>
        </is>
      </c>
      <c r="D1240" s="5" t="inlineStr">
        <is>
          <t>RE</t>
        </is>
      </c>
      <c r="E1240" s="5" t="n">
        <v>5040745</v>
      </c>
      <c r="F1240" s="5" t="inlineStr">
        <is>
          <t>4025009071</t>
        </is>
      </c>
      <c r="G1240" s="5" t="inlineStr">
        <is>
          <t>EUR</t>
        </is>
      </c>
      <c r="H1240" s="9" t="n">
        <v>-11031.26</v>
      </c>
      <c r="I1240" s="16" t="n">
        <v>45986</v>
      </c>
      <c r="J1240" s="16" t="n">
        <v>46016</v>
      </c>
      <c r="K1240" s="5" t="inlineStr">
        <is>
          <t>0901/25</t>
        </is>
      </c>
      <c r="L1240" s="5" t="inlineStr">
        <is>
          <t>4025009071</t>
        </is>
      </c>
      <c r="M1240" s="5">
        <f>IF(YEAR(I1240)&lt;=2020,"Até 2020",TEXT(YEAR(I1240),"0"))</f>
        <v/>
      </c>
      <c r="N1240" s="5">
        <f>IFERROR(INDEX(DePara!$A:$A,MATCH(TEXT(B1240,"0"),DePara!$D:$D,0)),"(sem categoria)")</f>
        <v/>
      </c>
      <c r="O1240" s="5">
        <f>IF(J1240="","",Parametros!$B$6-J1240)</f>
        <v/>
      </c>
      <c r="P1240" s="5">
        <f>IF(O1240="","",IF(O1240&gt;0,1,0))</f>
        <v/>
      </c>
    </row>
    <row r="1241">
      <c r="A1241" s="5" t="n">
        <v>2122100000</v>
      </c>
      <c r="B1241" s="5" t="inlineStr">
        <is>
          <t>IC4420</t>
        </is>
      </c>
      <c r="C1241" s="5" t="inlineStr">
        <is>
          <t>NORDEX ENERGY SPAIN S A U</t>
        </is>
      </c>
      <c r="D1241" s="5" t="inlineStr">
        <is>
          <t>RE</t>
        </is>
      </c>
      <c r="E1241" s="5" t="n">
        <v>5040747</v>
      </c>
      <c r="F1241" s="5" t="inlineStr">
        <is>
          <t>4025009138</t>
        </is>
      </c>
      <c r="G1241" s="5" t="inlineStr">
        <is>
          <t>EUR</t>
        </is>
      </c>
      <c r="H1241" s="9" t="n">
        <v>-3363.31</v>
      </c>
      <c r="I1241" s="16" t="n">
        <v>45988</v>
      </c>
      <c r="J1241" s="16" t="n">
        <v>46018</v>
      </c>
      <c r="K1241" s="5" t="inlineStr">
        <is>
          <t>0884/25</t>
        </is>
      </c>
      <c r="L1241" s="5" t="inlineStr">
        <is>
          <t>4025009138</t>
        </is>
      </c>
      <c r="M1241" s="5">
        <f>IF(YEAR(I1241)&lt;=2020,"Até 2020",TEXT(YEAR(I1241),"0"))</f>
        <v/>
      </c>
      <c r="N1241" s="5">
        <f>IFERROR(INDEX(DePara!$A:$A,MATCH(TEXT(B1241,"0"),DePara!$D:$D,0)),"(sem categoria)")</f>
        <v/>
      </c>
      <c r="O1241" s="5">
        <f>IF(J1241="","",Parametros!$B$6-J1241)</f>
        <v/>
      </c>
      <c r="P1241" s="5">
        <f>IF(O1241="","",IF(O1241&gt;0,1,0))</f>
        <v/>
      </c>
    </row>
    <row r="1242">
      <c r="A1242" s="5" t="n">
        <v>2122100000</v>
      </c>
      <c r="B1242" s="5" t="inlineStr">
        <is>
          <t>IC1000</t>
        </is>
      </c>
      <c r="C1242" s="5" t="inlineStr">
        <is>
          <t>NORDEX ENERGY SE &amp; CO KG</t>
        </is>
      </c>
      <c r="D1242" s="5" t="inlineStr">
        <is>
          <t>RE</t>
        </is>
      </c>
      <c r="E1242" s="5" t="n">
        <v>5040770</v>
      </c>
      <c r="F1242" s="5" t="inlineStr">
        <is>
          <t>4012401909</t>
        </is>
      </c>
      <c r="G1242" s="5" t="inlineStr">
        <is>
          <t>EUR</t>
        </is>
      </c>
      <c r="H1242" s="9" t="n">
        <v>-1614282.11</v>
      </c>
      <c r="I1242" s="16" t="n">
        <v>45504</v>
      </c>
      <c r="J1242" s="16" t="n">
        <v>45534</v>
      </c>
      <c r="K1242" s="5" t="inlineStr">
        <is>
          <t>0633/24</t>
        </is>
      </c>
      <c r="L1242" s="5" t="inlineStr">
        <is>
          <t>4012401909</t>
        </is>
      </c>
      <c r="M1242" s="5">
        <f>IF(YEAR(I1242)&lt;=2020,"Até 2020",TEXT(YEAR(I1242),"0"))</f>
        <v/>
      </c>
      <c r="N1242" s="5">
        <f>IFERROR(INDEX(DePara!$A:$A,MATCH(TEXT(B1242,"0"),DePara!$D:$D,0)),"(sem categoria)")</f>
        <v/>
      </c>
      <c r="O1242" s="5">
        <f>IF(J1242="","",Parametros!$B$6-J1242)</f>
        <v/>
      </c>
      <c r="P1242" s="5">
        <f>IF(O1242="","",IF(O1242&gt;0,1,0))</f>
        <v/>
      </c>
    </row>
    <row r="1243">
      <c r="A1243" s="5" t="n">
        <v>2122100000</v>
      </c>
      <c r="B1243" s="5" t="inlineStr">
        <is>
          <t>IC4420</t>
        </is>
      </c>
      <c r="C1243" s="5" t="inlineStr">
        <is>
          <t>NORDEX ENERGY SPAIN S A U</t>
        </is>
      </c>
      <c r="D1243" s="5" t="inlineStr">
        <is>
          <t>RE</t>
        </is>
      </c>
      <c r="E1243" s="5" t="n">
        <v>5040773</v>
      </c>
      <c r="F1243" s="5" t="inlineStr">
        <is>
          <t>4025008520</t>
        </is>
      </c>
      <c r="G1243" s="5" t="inlineStr">
        <is>
          <t>EUR</t>
        </is>
      </c>
      <c r="H1243" s="9" t="n">
        <v>-1150729.16</v>
      </c>
      <c r="I1243" s="16" t="n">
        <v>45964</v>
      </c>
      <c r="J1243" s="16" t="n">
        <v>45994</v>
      </c>
      <c r="K1243" s="5" t="inlineStr">
        <is>
          <t>0840/25</t>
        </is>
      </c>
      <c r="L1243" s="5" t="inlineStr">
        <is>
          <t>4025008520</t>
        </is>
      </c>
      <c r="M1243" s="5">
        <f>IF(YEAR(I1243)&lt;=2020,"Até 2020",TEXT(YEAR(I1243),"0"))</f>
        <v/>
      </c>
      <c r="N1243" s="5">
        <f>IFERROR(INDEX(DePara!$A:$A,MATCH(TEXT(B1243,"0"),DePara!$D:$D,0)),"(sem categoria)")</f>
        <v/>
      </c>
      <c r="O1243" s="5">
        <f>IF(J1243="","",Parametros!$B$6-J1243)</f>
        <v/>
      </c>
      <c r="P1243" s="5">
        <f>IF(O1243="","",IF(O1243&gt;0,1,0))</f>
        <v/>
      </c>
    </row>
    <row r="1244">
      <c r="A1244" s="5" t="n">
        <v>2122100000</v>
      </c>
      <c r="B1244" s="5" t="inlineStr">
        <is>
          <t>IC4420</t>
        </is>
      </c>
      <c r="C1244" s="5" t="inlineStr">
        <is>
          <t>NORDEX ENERGY SPAIN S A U</t>
        </is>
      </c>
      <c r="D1244" s="5" t="inlineStr">
        <is>
          <t>RE</t>
        </is>
      </c>
      <c r="E1244" s="5" t="n">
        <v>5040875</v>
      </c>
      <c r="F1244" s="5" t="inlineStr">
        <is>
          <t>4025007920</t>
        </is>
      </c>
      <c r="G1244" s="5" t="inlineStr">
        <is>
          <t>EUR</t>
        </is>
      </c>
      <c r="H1244" s="9" t="n">
        <v>-230731.47</v>
      </c>
      <c r="I1244" s="16" t="n">
        <v>45944</v>
      </c>
      <c r="J1244" s="16" t="n">
        <v>45974</v>
      </c>
      <c r="K1244" s="5" t="inlineStr">
        <is>
          <t>0797/25</t>
        </is>
      </c>
      <c r="L1244" s="5" t="inlineStr">
        <is>
          <t>4025007920</t>
        </is>
      </c>
      <c r="M1244" s="5">
        <f>IF(YEAR(I1244)&lt;=2020,"Até 2020",TEXT(YEAR(I1244),"0"))</f>
        <v/>
      </c>
      <c r="N1244" s="5">
        <f>IFERROR(INDEX(DePara!$A:$A,MATCH(TEXT(B1244,"0"),DePara!$D:$D,0)),"(sem categoria)")</f>
        <v/>
      </c>
      <c r="O1244" s="5">
        <f>IF(J1244="","",Parametros!$B$6-J1244)</f>
        <v/>
      </c>
      <c r="P1244" s="5">
        <f>IF(O1244="","",IF(O1244&gt;0,1,0))</f>
        <v/>
      </c>
    </row>
    <row r="1245">
      <c r="A1245" s="5" t="n">
        <v>2122100000</v>
      </c>
      <c r="B1245" s="5" t="inlineStr">
        <is>
          <t>IC4420</t>
        </is>
      </c>
      <c r="C1245" s="5" t="inlineStr">
        <is>
          <t>NORDEX ENERGY SPAIN S A U</t>
        </is>
      </c>
      <c r="D1245" s="5" t="inlineStr">
        <is>
          <t>RE</t>
        </is>
      </c>
      <c r="E1245" s="5" t="n">
        <v>5040944</v>
      </c>
      <c r="F1245" s="5" t="inlineStr">
        <is>
          <t>4025008492</t>
        </is>
      </c>
      <c r="G1245" s="5" t="inlineStr">
        <is>
          <t>EUR</t>
        </is>
      </c>
      <c r="H1245" s="9" t="n">
        <v>-41032.19</v>
      </c>
      <c r="I1245" s="16" t="n">
        <v>45964</v>
      </c>
      <c r="J1245" s="16" t="n">
        <v>45994</v>
      </c>
      <c r="K1245" s="5" t="inlineStr">
        <is>
          <t>0859/25</t>
        </is>
      </c>
      <c r="L1245" s="5" t="inlineStr">
        <is>
          <t>4025008492</t>
        </is>
      </c>
      <c r="M1245" s="5">
        <f>IF(YEAR(I1245)&lt;=2020,"Até 2020",TEXT(YEAR(I1245),"0"))</f>
        <v/>
      </c>
      <c r="N1245" s="5">
        <f>IFERROR(INDEX(DePara!$A:$A,MATCH(TEXT(B1245,"0"),DePara!$D:$D,0)),"(sem categoria)")</f>
        <v/>
      </c>
      <c r="O1245" s="5">
        <f>IF(J1245="","",Parametros!$B$6-J1245)</f>
        <v/>
      </c>
      <c r="P1245" s="5">
        <f>IF(O1245="","",IF(O1245&gt;0,1,0))</f>
        <v/>
      </c>
    </row>
    <row r="1246">
      <c r="A1246" s="5" t="n">
        <v>2122100000</v>
      </c>
      <c r="B1246" s="5" t="inlineStr">
        <is>
          <t>IC4420</t>
        </is>
      </c>
      <c r="C1246" s="5" t="inlineStr">
        <is>
          <t>NORDEX ENERGY SPAIN S A U</t>
        </is>
      </c>
      <c r="D1246" s="5" t="inlineStr">
        <is>
          <t>RE</t>
        </is>
      </c>
      <c r="E1246" s="5" t="n">
        <v>5040946</v>
      </c>
      <c r="F1246" s="5" t="inlineStr">
        <is>
          <t>4018000205</t>
        </is>
      </c>
      <c r="G1246" s="5" t="inlineStr">
        <is>
          <t>EUR</t>
        </is>
      </c>
      <c r="H1246" s="9" t="n">
        <v>-19.17</v>
      </c>
      <c r="I1246" s="16" t="n">
        <v>45957</v>
      </c>
      <c r="J1246" s="16" t="n">
        <v>45987</v>
      </c>
      <c r="K1246" s="5" t="inlineStr">
        <is>
          <t>0825/25</t>
        </is>
      </c>
      <c r="L1246" s="5" t="inlineStr">
        <is>
          <t>4018000205</t>
        </is>
      </c>
      <c r="M1246" s="5">
        <f>IF(YEAR(I1246)&lt;=2020,"Até 2020",TEXT(YEAR(I1246),"0"))</f>
        <v/>
      </c>
      <c r="N1246" s="5">
        <f>IFERROR(INDEX(DePara!$A:$A,MATCH(TEXT(B1246,"0"),DePara!$D:$D,0)),"(sem categoria)")</f>
        <v/>
      </c>
      <c r="O1246" s="5">
        <f>IF(J1246="","",Parametros!$B$6-J1246)</f>
        <v/>
      </c>
      <c r="P1246" s="5">
        <f>IF(O1246="","",IF(O1246&gt;0,1,0))</f>
        <v/>
      </c>
    </row>
    <row r="1247">
      <c r="A1247" s="5" t="n">
        <v>2122100000</v>
      </c>
      <c r="B1247" s="5" t="inlineStr">
        <is>
          <t>IC4420</t>
        </is>
      </c>
      <c r="C1247" s="5" t="inlineStr">
        <is>
          <t>NORDEX ENERGY SPAIN S A U</t>
        </is>
      </c>
      <c r="D1247" s="5" t="inlineStr">
        <is>
          <t>RE</t>
        </is>
      </c>
      <c r="E1247" s="5" t="n">
        <v>5040948</v>
      </c>
      <c r="F1247" s="5" t="inlineStr">
        <is>
          <t>4025008258</t>
        </is>
      </c>
      <c r="G1247" s="5" t="inlineStr">
        <is>
          <t>EUR</t>
        </is>
      </c>
      <c r="H1247" s="9" t="n">
        <v>-251449.49</v>
      </c>
      <c r="I1247" s="16" t="n">
        <v>45957</v>
      </c>
      <c r="J1247" s="16" t="n">
        <v>45987</v>
      </c>
      <c r="K1247" s="5" t="inlineStr">
        <is>
          <t>0829/25</t>
        </is>
      </c>
      <c r="L1247" s="5" t="inlineStr">
        <is>
          <t>4025008258</t>
        </is>
      </c>
      <c r="M1247" s="5">
        <f>IF(YEAR(I1247)&lt;=2020,"Até 2020",TEXT(YEAR(I1247),"0"))</f>
        <v/>
      </c>
      <c r="N1247" s="5">
        <f>IFERROR(INDEX(DePara!$A:$A,MATCH(TEXT(B1247,"0"),DePara!$D:$D,0)),"(sem categoria)")</f>
        <v/>
      </c>
      <c r="O1247" s="5">
        <f>IF(J1247="","",Parametros!$B$6-J1247)</f>
        <v/>
      </c>
      <c r="P1247" s="5">
        <f>IF(O1247="","",IF(O1247&gt;0,1,0))</f>
        <v/>
      </c>
    </row>
    <row r="1248">
      <c r="A1248" s="5" t="n">
        <v>2122100000</v>
      </c>
      <c r="B1248" s="5" t="inlineStr">
        <is>
          <t>IC4420</t>
        </is>
      </c>
      <c r="C1248" s="5" t="inlineStr">
        <is>
          <t>NORDEX ENERGY SPAIN S A U</t>
        </is>
      </c>
      <c r="D1248" s="5" t="inlineStr">
        <is>
          <t>RE</t>
        </is>
      </c>
      <c r="E1248" s="5" t="n">
        <v>5040949</v>
      </c>
      <c r="F1248" s="5" t="inlineStr">
        <is>
          <t>4025008259</t>
        </is>
      </c>
      <c r="G1248" s="5" t="inlineStr">
        <is>
          <t>EUR</t>
        </is>
      </c>
      <c r="H1248" s="9" t="n">
        <v>-13733.8</v>
      </c>
      <c r="I1248" s="16" t="n">
        <v>45957</v>
      </c>
      <c r="J1248" s="16" t="n">
        <v>45987</v>
      </c>
      <c r="K1248" s="5" t="inlineStr">
        <is>
          <t>0825/25</t>
        </is>
      </c>
      <c r="L1248" s="5" t="inlineStr">
        <is>
          <t>4025008259</t>
        </is>
      </c>
      <c r="M1248" s="5">
        <f>IF(YEAR(I1248)&lt;=2020,"Até 2020",TEXT(YEAR(I1248),"0"))</f>
        <v/>
      </c>
      <c r="N1248" s="5">
        <f>IFERROR(INDEX(DePara!$A:$A,MATCH(TEXT(B1248,"0"),DePara!$D:$D,0)),"(sem categoria)")</f>
        <v/>
      </c>
      <c r="O1248" s="5">
        <f>IF(J1248="","",Parametros!$B$6-J1248)</f>
        <v/>
      </c>
      <c r="P1248" s="5">
        <f>IF(O1248="","",IF(O1248&gt;0,1,0))</f>
        <v/>
      </c>
    </row>
    <row r="1249">
      <c r="A1249" s="5" t="n">
        <v>2122100000</v>
      </c>
      <c r="B1249" s="5" t="inlineStr">
        <is>
          <t>IC4420</t>
        </is>
      </c>
      <c r="C1249" s="5" t="inlineStr">
        <is>
          <t>NORDEX ENERGY SPAIN S A U</t>
        </is>
      </c>
      <c r="D1249" s="5" t="inlineStr">
        <is>
          <t>RE</t>
        </is>
      </c>
      <c r="E1249" s="5" t="n">
        <v>5040956</v>
      </c>
      <c r="F1249" s="5" t="inlineStr">
        <is>
          <t>4025008260</t>
        </is>
      </c>
      <c r="G1249" s="5" t="inlineStr">
        <is>
          <t>EUR</t>
        </is>
      </c>
      <c r="H1249" s="9" t="n">
        <v>-32.43</v>
      </c>
      <c r="I1249" s="16" t="n">
        <v>45957</v>
      </c>
      <c r="J1249" s="16" t="n">
        <v>45987</v>
      </c>
      <c r="K1249" s="5" t="inlineStr">
        <is>
          <t>0825/25</t>
        </is>
      </c>
      <c r="L1249" s="5" t="inlineStr">
        <is>
          <t>4025008260</t>
        </is>
      </c>
      <c r="M1249" s="5">
        <f>IF(YEAR(I1249)&lt;=2020,"Até 2020",TEXT(YEAR(I1249),"0"))</f>
        <v/>
      </c>
      <c r="N1249" s="5">
        <f>IFERROR(INDEX(DePara!$A:$A,MATCH(TEXT(B1249,"0"),DePara!$D:$D,0)),"(sem categoria)")</f>
        <v/>
      </c>
      <c r="O1249" s="5">
        <f>IF(J1249="","",Parametros!$B$6-J1249)</f>
        <v/>
      </c>
      <c r="P1249" s="5">
        <f>IF(O1249="","",IF(O1249&gt;0,1,0))</f>
        <v/>
      </c>
    </row>
    <row r="1250">
      <c r="A1250" s="5" t="n">
        <v>2122100000</v>
      </c>
      <c r="B1250" s="5" t="inlineStr">
        <is>
          <t>IC4420</t>
        </is>
      </c>
      <c r="C1250" s="5" t="inlineStr">
        <is>
          <t>NORDEX ENERGY SPAIN S A U</t>
        </is>
      </c>
      <c r="D1250" s="5" t="inlineStr">
        <is>
          <t>RE</t>
        </is>
      </c>
      <c r="E1250" s="5" t="n">
        <v>5040989</v>
      </c>
      <c r="F1250" s="5" t="inlineStr">
        <is>
          <t>4025006816</t>
        </is>
      </c>
      <c r="G1250" s="5" t="inlineStr">
        <is>
          <t>EUR</t>
        </is>
      </c>
      <c r="H1250" s="9" t="n">
        <v>-4156.24</v>
      </c>
      <c r="I1250" s="16" t="n">
        <v>45931</v>
      </c>
      <c r="J1250" s="16" t="n">
        <v>45961</v>
      </c>
      <c r="K1250" s="5" t="inlineStr">
        <is>
          <t>0710/25</t>
        </is>
      </c>
      <c r="L1250" s="5" t="inlineStr">
        <is>
          <t>4025006816</t>
        </is>
      </c>
      <c r="M1250" s="5">
        <f>IF(YEAR(I1250)&lt;=2020,"Até 2020",TEXT(YEAR(I1250),"0"))</f>
        <v/>
      </c>
      <c r="N1250" s="5">
        <f>IFERROR(INDEX(DePara!$A:$A,MATCH(TEXT(B1250,"0"),DePara!$D:$D,0)),"(sem categoria)")</f>
        <v/>
      </c>
      <c r="O1250" s="5">
        <f>IF(J1250="","",Parametros!$B$6-J1250)</f>
        <v/>
      </c>
      <c r="P1250" s="5">
        <f>IF(O1250="","",IF(O1250&gt;0,1,0))</f>
        <v/>
      </c>
    </row>
    <row r="1251">
      <c r="A1251" s="5" t="n">
        <v>2122100000</v>
      </c>
      <c r="B1251" s="5" t="inlineStr">
        <is>
          <t>IC4420</t>
        </is>
      </c>
      <c r="C1251" s="5" t="inlineStr">
        <is>
          <t>NORDEX ENERGY SPAIN S A U</t>
        </is>
      </c>
      <c r="D1251" s="5" t="inlineStr">
        <is>
          <t>RE</t>
        </is>
      </c>
      <c r="E1251" s="5" t="n">
        <v>5040990</v>
      </c>
      <c r="F1251" s="5" t="inlineStr">
        <is>
          <t>4025008263/8272</t>
        </is>
      </c>
      <c r="G1251" s="5" t="inlineStr">
        <is>
          <t>EUR</t>
        </is>
      </c>
      <c r="H1251" s="9" t="n">
        <v>-24518.33</v>
      </c>
      <c r="I1251" s="16" t="n">
        <v>45992</v>
      </c>
      <c r="J1251" s="16" t="n">
        <v>46022</v>
      </c>
      <c r="K1251" s="5" t="inlineStr">
        <is>
          <t>0817/25</t>
        </is>
      </c>
      <c r="L1251" s="5" t="inlineStr">
        <is>
          <t>4025008263/8272</t>
        </is>
      </c>
      <c r="M1251" s="5">
        <f>IF(YEAR(I1251)&lt;=2020,"Até 2020",TEXT(YEAR(I1251),"0"))</f>
        <v/>
      </c>
      <c r="N1251" s="5">
        <f>IFERROR(INDEX(DePara!$A:$A,MATCH(TEXT(B1251,"0"),DePara!$D:$D,0)),"(sem categoria)")</f>
        <v/>
      </c>
      <c r="O1251" s="5">
        <f>IF(J1251="","",Parametros!$B$6-J1251)</f>
        <v/>
      </c>
      <c r="P1251" s="5">
        <f>IF(O1251="","",IF(O1251&gt;0,1,0))</f>
        <v/>
      </c>
    </row>
    <row r="1252">
      <c r="A1252" s="5" t="n">
        <v>2122100000</v>
      </c>
      <c r="B1252" s="5" t="inlineStr">
        <is>
          <t>IC4420</t>
        </is>
      </c>
      <c r="C1252" s="5" t="inlineStr">
        <is>
          <t>NORDEX ENERGY SPAIN S A U</t>
        </is>
      </c>
      <c r="D1252" s="5" t="inlineStr">
        <is>
          <t>RE</t>
        </is>
      </c>
      <c r="E1252" s="5" t="n">
        <v>5040991</v>
      </c>
      <c r="F1252" s="5" t="inlineStr">
        <is>
          <t>4025009135</t>
        </is>
      </c>
      <c r="G1252" s="5" t="inlineStr">
        <is>
          <t>EUR</t>
        </is>
      </c>
      <c r="H1252" s="9" t="n">
        <v>-62991.44</v>
      </c>
      <c r="I1252" s="16" t="n">
        <v>46000</v>
      </c>
      <c r="J1252" s="16" t="n">
        <v>46030</v>
      </c>
      <c r="K1252" s="5" t="inlineStr">
        <is>
          <t>0886/25</t>
        </is>
      </c>
      <c r="L1252" s="5" t="inlineStr">
        <is>
          <t>4025009135</t>
        </is>
      </c>
      <c r="M1252" s="5">
        <f>IF(YEAR(I1252)&lt;=2020,"Até 2020",TEXT(YEAR(I1252),"0"))</f>
        <v/>
      </c>
      <c r="N1252" s="5">
        <f>IFERROR(INDEX(DePara!$A:$A,MATCH(TEXT(B1252,"0"),DePara!$D:$D,0)),"(sem categoria)")</f>
        <v/>
      </c>
      <c r="O1252" s="5">
        <f>IF(J1252="","",Parametros!$B$6-J1252)</f>
        <v/>
      </c>
      <c r="P1252" s="5">
        <f>IF(O1252="","",IF(O1252&gt;0,1,0))</f>
        <v/>
      </c>
    </row>
    <row r="1253">
      <c r="A1253" s="5" t="n">
        <v>2122100000</v>
      </c>
      <c r="B1253" s="5" t="inlineStr">
        <is>
          <t>IC4420</t>
        </is>
      </c>
      <c r="C1253" s="5" t="inlineStr">
        <is>
          <t>NORDEX ENERGY SPAIN S A U</t>
        </is>
      </c>
      <c r="D1253" s="5" t="inlineStr">
        <is>
          <t>RE</t>
        </is>
      </c>
      <c r="E1253" s="5" t="n">
        <v>5041026</v>
      </c>
      <c r="F1253" s="5" t="inlineStr">
        <is>
          <t>4025007823</t>
        </is>
      </c>
      <c r="G1253" s="5" t="inlineStr">
        <is>
          <t>EUR</t>
        </is>
      </c>
      <c r="H1253" s="9" t="n">
        <v>-254208.21</v>
      </c>
      <c r="I1253" s="16" t="n">
        <v>45940</v>
      </c>
      <c r="J1253" s="16" t="n">
        <v>45970</v>
      </c>
      <c r="K1253" s="5" t="inlineStr">
        <is>
          <t>0791/25</t>
        </is>
      </c>
      <c r="L1253" s="5" t="inlineStr">
        <is>
          <t>4025007823</t>
        </is>
      </c>
      <c r="M1253" s="5">
        <f>IF(YEAR(I1253)&lt;=2020,"Até 2020",TEXT(YEAR(I1253),"0"))</f>
        <v/>
      </c>
      <c r="N1253" s="5">
        <f>IFERROR(INDEX(DePara!$A:$A,MATCH(TEXT(B1253,"0"),DePara!$D:$D,0)),"(sem categoria)")</f>
        <v/>
      </c>
      <c r="O1253" s="5">
        <f>IF(J1253="","",Parametros!$B$6-J1253)</f>
        <v/>
      </c>
      <c r="P1253" s="5">
        <f>IF(O1253="","",IF(O1253&gt;0,1,0))</f>
        <v/>
      </c>
    </row>
    <row r="1254">
      <c r="A1254" s="5" t="n">
        <v>2122100000</v>
      </c>
      <c r="B1254" s="5" t="inlineStr">
        <is>
          <t>IC4420</t>
        </is>
      </c>
      <c r="C1254" s="5" t="inlineStr">
        <is>
          <t>NORDEX ENERGY SPAIN S A U</t>
        </is>
      </c>
      <c r="D1254" s="5" t="inlineStr">
        <is>
          <t>RE</t>
        </is>
      </c>
      <c r="E1254" s="5" t="n">
        <v>5041045</v>
      </c>
      <c r="F1254" s="5" t="inlineStr">
        <is>
          <t>4025007603</t>
        </is>
      </c>
      <c r="G1254" s="5" t="inlineStr">
        <is>
          <t>EUR</t>
        </is>
      </c>
      <c r="H1254" s="9" t="n">
        <v>-139985.57</v>
      </c>
      <c r="I1254" s="16" t="n">
        <v>45932</v>
      </c>
      <c r="J1254" s="16" t="n">
        <v>45962</v>
      </c>
      <c r="K1254" s="5" t="inlineStr">
        <is>
          <t>0814/25</t>
        </is>
      </c>
      <c r="L1254" s="5" t="inlineStr">
        <is>
          <t>4025007603</t>
        </is>
      </c>
      <c r="M1254" s="5">
        <f>IF(YEAR(I1254)&lt;=2020,"Até 2020",TEXT(YEAR(I1254),"0"))</f>
        <v/>
      </c>
      <c r="N1254" s="5">
        <f>IFERROR(INDEX(DePara!$A:$A,MATCH(TEXT(B1254,"0"),DePara!$D:$D,0)),"(sem categoria)")</f>
        <v/>
      </c>
      <c r="O1254" s="5">
        <f>IF(J1254="","",Parametros!$B$6-J1254)</f>
        <v/>
      </c>
      <c r="P1254" s="5">
        <f>IF(O1254="","",IF(O1254&gt;0,1,0))</f>
        <v/>
      </c>
    </row>
    <row r="1255">
      <c r="A1255" s="5" t="n">
        <v>2122100000</v>
      </c>
      <c r="B1255" s="5" t="inlineStr">
        <is>
          <t>IC4420</t>
        </is>
      </c>
      <c r="C1255" s="5" t="inlineStr">
        <is>
          <t>NORDEX ENERGY SPAIN S A U</t>
        </is>
      </c>
      <c r="D1255" s="5" t="inlineStr">
        <is>
          <t>RE</t>
        </is>
      </c>
      <c r="E1255" s="5" t="n">
        <v>5041046</v>
      </c>
      <c r="F1255" s="5" t="inlineStr">
        <is>
          <t>4025007618</t>
        </is>
      </c>
      <c r="G1255" s="5" t="inlineStr">
        <is>
          <t>EUR</t>
        </is>
      </c>
      <c r="H1255" s="9" t="n">
        <v>-16060.45</v>
      </c>
      <c r="I1255" s="16" t="n">
        <v>45932</v>
      </c>
      <c r="J1255" s="16" t="n">
        <v>45962</v>
      </c>
      <c r="K1255" s="5" t="inlineStr">
        <is>
          <t>0814/25</t>
        </is>
      </c>
      <c r="L1255" s="5" t="inlineStr">
        <is>
          <t>4025007618</t>
        </is>
      </c>
      <c r="M1255" s="5">
        <f>IF(YEAR(I1255)&lt;=2020,"Até 2020",TEXT(YEAR(I1255),"0"))</f>
        <v/>
      </c>
      <c r="N1255" s="5">
        <f>IFERROR(INDEX(DePara!$A:$A,MATCH(TEXT(B1255,"0"),DePara!$D:$D,0)),"(sem categoria)")</f>
        <v/>
      </c>
      <c r="O1255" s="5">
        <f>IF(J1255="","",Parametros!$B$6-J1255)</f>
        <v/>
      </c>
      <c r="P1255" s="5">
        <f>IF(O1255="","",IF(O1255&gt;0,1,0))</f>
        <v/>
      </c>
    </row>
    <row r="1256">
      <c r="A1256" s="5" t="n">
        <v>2122100000</v>
      </c>
      <c r="B1256" s="5" t="inlineStr">
        <is>
          <t>IC4420</t>
        </is>
      </c>
      <c r="C1256" s="5" t="inlineStr">
        <is>
          <t>NORDEX ENERGY SPAIN S A U</t>
        </is>
      </c>
      <c r="D1256" s="5" t="inlineStr">
        <is>
          <t>RE</t>
        </is>
      </c>
      <c r="E1256" s="5" t="n">
        <v>5041048</v>
      </c>
      <c r="F1256" s="5" t="inlineStr">
        <is>
          <t>4025007617</t>
        </is>
      </c>
      <c r="G1256" s="5" t="inlineStr">
        <is>
          <t>EUR</t>
        </is>
      </c>
      <c r="H1256" s="9" t="n">
        <v>-113577.64</v>
      </c>
      <c r="I1256" s="16" t="n">
        <v>45932</v>
      </c>
      <c r="J1256" s="16" t="n">
        <v>45962</v>
      </c>
      <c r="K1256" s="5" t="inlineStr">
        <is>
          <t>0814/25</t>
        </is>
      </c>
      <c r="L1256" s="5" t="inlineStr">
        <is>
          <t>4025007617</t>
        </is>
      </c>
      <c r="M1256" s="5">
        <f>IF(YEAR(I1256)&lt;=2020,"Até 2020",TEXT(YEAR(I1256),"0"))</f>
        <v/>
      </c>
      <c r="N1256" s="5">
        <f>IFERROR(INDEX(DePara!$A:$A,MATCH(TEXT(B1256,"0"),DePara!$D:$D,0)),"(sem categoria)")</f>
        <v/>
      </c>
      <c r="O1256" s="5">
        <f>IF(J1256="","",Parametros!$B$6-J1256)</f>
        <v/>
      </c>
      <c r="P1256" s="5">
        <f>IF(O1256="","",IF(O1256&gt;0,1,0))</f>
        <v/>
      </c>
    </row>
    <row r="1257">
      <c r="A1257" s="5" t="n">
        <v>2122100000</v>
      </c>
      <c r="B1257" s="5" t="inlineStr">
        <is>
          <t>IC4420</t>
        </is>
      </c>
      <c r="C1257" s="5" t="inlineStr">
        <is>
          <t>NORDEX ENERGY SPAIN S A U</t>
        </is>
      </c>
      <c r="D1257" s="5" t="inlineStr">
        <is>
          <t>RE</t>
        </is>
      </c>
      <c r="E1257" s="5" t="n">
        <v>5041049</v>
      </c>
      <c r="F1257" s="5" t="inlineStr">
        <is>
          <t>4025007589</t>
        </is>
      </c>
      <c r="G1257" s="5" t="inlineStr">
        <is>
          <t>EUR</t>
        </is>
      </c>
      <c r="H1257" s="9" t="n">
        <v>-24188.99</v>
      </c>
      <c r="I1257" s="16" t="n">
        <v>45932</v>
      </c>
      <c r="J1257" s="16" t="n">
        <v>45962</v>
      </c>
      <c r="K1257" s="5" t="inlineStr">
        <is>
          <t>0814/25</t>
        </is>
      </c>
      <c r="L1257" s="5" t="inlineStr">
        <is>
          <t>4025007589</t>
        </is>
      </c>
      <c r="M1257" s="5">
        <f>IF(YEAR(I1257)&lt;=2020,"Até 2020",TEXT(YEAR(I1257),"0"))</f>
        <v/>
      </c>
      <c r="N1257" s="5">
        <f>IFERROR(INDEX(DePara!$A:$A,MATCH(TEXT(B1257,"0"),DePara!$D:$D,0)),"(sem categoria)")</f>
        <v/>
      </c>
      <c r="O1257" s="5">
        <f>IF(J1257="","",Parametros!$B$6-J1257)</f>
        <v/>
      </c>
      <c r="P1257" s="5">
        <f>IF(O1257="","",IF(O1257&gt;0,1,0))</f>
        <v/>
      </c>
    </row>
    <row r="1258">
      <c r="A1258" s="5" t="n">
        <v>2122100000</v>
      </c>
      <c r="B1258" s="5" t="inlineStr">
        <is>
          <t>IC1000</t>
        </is>
      </c>
      <c r="C1258" s="5" t="inlineStr">
        <is>
          <t>NORDEX ENERGY SE &amp; CO KG</t>
        </is>
      </c>
      <c r="D1258" s="5" t="inlineStr">
        <is>
          <t>RE</t>
        </is>
      </c>
      <c r="E1258" s="5" t="n">
        <v>5041118</v>
      </c>
      <c r="F1258" s="5" t="inlineStr">
        <is>
          <t>307428</t>
        </is>
      </c>
      <c r="G1258" s="5" t="inlineStr">
        <is>
          <t>EUR</t>
        </is>
      </c>
      <c r="H1258" s="9" t="n">
        <v>-6847.16</v>
      </c>
      <c r="I1258" s="16" t="n">
        <v>45541</v>
      </c>
      <c r="J1258" s="16" t="n">
        <v>45571</v>
      </c>
      <c r="K1258" s="5" t="inlineStr">
        <is>
          <t>0781/24</t>
        </is>
      </c>
      <c r="L1258" s="5" t="inlineStr">
        <is>
          <t>307428</t>
        </is>
      </c>
      <c r="M1258" s="5">
        <f>IF(YEAR(I1258)&lt;=2020,"Até 2020",TEXT(YEAR(I1258),"0"))</f>
        <v/>
      </c>
      <c r="N1258" s="5">
        <f>IFERROR(INDEX(DePara!$A:$A,MATCH(TEXT(B1258,"0"),DePara!$D:$D,0)),"(sem categoria)")</f>
        <v/>
      </c>
      <c r="O1258" s="5">
        <f>IF(J1258="","",Parametros!$B$6-J1258)</f>
        <v/>
      </c>
      <c r="P1258" s="5">
        <f>IF(O1258="","",IF(O1258&gt;0,1,0))</f>
        <v/>
      </c>
    </row>
    <row r="1259">
      <c r="A1259" s="5" t="n">
        <v>2122100000</v>
      </c>
      <c r="B1259" s="5" t="inlineStr">
        <is>
          <t>IC1000</t>
        </is>
      </c>
      <c r="C1259" s="5" t="inlineStr">
        <is>
          <t>NORDEX ENERGY SE &amp; CO KG</t>
        </is>
      </c>
      <c r="D1259" s="5" t="inlineStr">
        <is>
          <t>RE</t>
        </is>
      </c>
      <c r="E1259" s="5" t="n">
        <v>5041121</v>
      </c>
      <c r="F1259" s="5" t="inlineStr">
        <is>
          <t>4012404431</t>
        </is>
      </c>
      <c r="G1259" s="5" t="inlineStr">
        <is>
          <t>EUR</t>
        </is>
      </c>
      <c r="H1259" s="9" t="n">
        <v>-1616107.58</v>
      </c>
      <c r="I1259" s="16" t="n">
        <v>45516</v>
      </c>
      <c r="J1259" s="16" t="n">
        <v>45546</v>
      </c>
      <c r="K1259" s="5" t="inlineStr">
        <is>
          <t>0633/24</t>
        </is>
      </c>
      <c r="L1259" s="5" t="inlineStr">
        <is>
          <t>4012404431</t>
        </is>
      </c>
      <c r="M1259" s="5">
        <f>IF(YEAR(I1259)&lt;=2020,"Até 2020",TEXT(YEAR(I1259),"0"))</f>
        <v/>
      </c>
      <c r="N1259" s="5">
        <f>IFERROR(INDEX(DePara!$A:$A,MATCH(TEXT(B1259,"0"),DePara!$D:$D,0)),"(sem categoria)")</f>
        <v/>
      </c>
      <c r="O1259" s="5">
        <f>IF(J1259="","",Parametros!$B$6-J1259)</f>
        <v/>
      </c>
      <c r="P1259" s="5">
        <f>IF(O1259="","",IF(O1259&gt;0,1,0))</f>
        <v/>
      </c>
    </row>
    <row r="1260">
      <c r="A1260" s="5" t="n">
        <v>2122100000</v>
      </c>
      <c r="B1260" s="5" t="inlineStr">
        <is>
          <t>IC1000</t>
        </is>
      </c>
      <c r="C1260" s="5" t="inlineStr">
        <is>
          <t>NORDEX ENERGY SE &amp; CO KG</t>
        </is>
      </c>
      <c r="D1260" s="5" t="inlineStr">
        <is>
          <t>KR</t>
        </is>
      </c>
      <c r="E1260" s="5" t="n">
        <v>5041152</v>
      </c>
      <c r="F1260" s="5" t="inlineStr">
        <is>
          <t>623946</t>
        </is>
      </c>
      <c r="G1260" s="5" t="inlineStr">
        <is>
          <t>EUR</t>
        </is>
      </c>
      <c r="H1260" s="9" t="n">
        <v>-1912287.73</v>
      </c>
      <c r="I1260" s="16" t="n">
        <v>46006</v>
      </c>
      <c r="J1260" s="16" t="n">
        <v>46036</v>
      </c>
      <c r="K1260" s="5" t="inlineStr">
        <is>
          <t>Fatura do fornecedor NORDEX ENERGY SE &amp; CO KG 6239</t>
        </is>
      </c>
      <c r="L1260" s="5" t="n"/>
      <c r="M1260" s="5">
        <f>IF(YEAR(I1260)&lt;=2020,"Até 2020",TEXT(YEAR(I1260),"0"))</f>
        <v/>
      </c>
      <c r="N1260" s="5">
        <f>IFERROR(INDEX(DePara!$A:$A,MATCH(TEXT(B1260,"0"),DePara!$D:$D,0)),"(sem categoria)")</f>
        <v/>
      </c>
      <c r="O1260" s="5">
        <f>IF(J1260="","",Parametros!$B$6-J1260)</f>
        <v/>
      </c>
      <c r="P1260" s="5">
        <f>IF(O1260="","",IF(O1260&gt;0,1,0))</f>
        <v/>
      </c>
    </row>
    <row r="1261">
      <c r="A1261" s="5" t="n">
        <v>2122100000</v>
      </c>
      <c r="B1261" s="5" t="inlineStr">
        <is>
          <t>IC5000</t>
        </is>
      </c>
      <c r="C1261" s="5" t="inlineStr">
        <is>
          <t>NORDEX SE</t>
        </is>
      </c>
      <c r="D1261" s="5" t="inlineStr">
        <is>
          <t>KR</t>
        </is>
      </c>
      <c r="E1261" s="5" t="n">
        <v>5041189</v>
      </c>
      <c r="F1261" s="5" t="inlineStr">
        <is>
          <t>610367</t>
        </is>
      </c>
      <c r="G1261" s="5" t="inlineStr">
        <is>
          <t>EUR</t>
        </is>
      </c>
      <c r="H1261" s="9" t="n">
        <v>-3276247.9</v>
      </c>
      <c r="I1261" s="16" t="n">
        <v>46022</v>
      </c>
      <c r="J1261" s="16" t="n">
        <v>46022</v>
      </c>
      <c r="K1261" s="5" t="inlineStr">
        <is>
          <t>Fatura do fornecedor NORDEX SE 610367</t>
        </is>
      </c>
      <c r="L1261" s="5" t="n"/>
      <c r="M1261" s="5">
        <f>IF(YEAR(I1261)&lt;=2020,"Até 2020",TEXT(YEAR(I1261),"0"))</f>
        <v/>
      </c>
      <c r="N1261" s="5">
        <f>IFERROR(INDEX(DePara!$A:$A,MATCH(TEXT(B1261,"0"),DePara!$D:$D,0)),"(sem categoria)")</f>
        <v/>
      </c>
      <c r="O1261" s="5">
        <f>IF(J1261="","",Parametros!$B$6-J1261)</f>
        <v/>
      </c>
      <c r="P1261" s="5">
        <f>IF(O1261="","",IF(O1261&gt;0,1,0))</f>
        <v/>
      </c>
    </row>
    <row r="1262">
      <c r="A1262" s="5" t="n">
        <v>2122100000</v>
      </c>
      <c r="B1262" s="5" t="inlineStr">
        <is>
          <t>IC1000</t>
        </is>
      </c>
      <c r="C1262" s="5" t="inlineStr">
        <is>
          <t>NORDEX ENERGY SE &amp; CO KG</t>
        </is>
      </c>
      <c r="D1262" s="5" t="inlineStr">
        <is>
          <t>RE</t>
        </is>
      </c>
      <c r="E1262" s="5" t="n">
        <v>5041325</v>
      </c>
      <c r="F1262" s="5" t="inlineStr">
        <is>
          <t>308731</t>
        </is>
      </c>
      <c r="G1262" s="5" t="inlineStr">
        <is>
          <t>EUR</t>
        </is>
      </c>
      <c r="H1262" s="9" t="n">
        <v>-82051.39999999999</v>
      </c>
      <c r="I1262" s="16" t="n">
        <v>45553</v>
      </c>
      <c r="J1262" s="16" t="n">
        <v>45583</v>
      </c>
      <c r="K1262" s="5" t="inlineStr">
        <is>
          <t>0867/24</t>
        </is>
      </c>
      <c r="L1262" s="5" t="inlineStr">
        <is>
          <t>308731</t>
        </is>
      </c>
      <c r="M1262" s="5">
        <f>IF(YEAR(I1262)&lt;=2020,"Até 2020",TEXT(YEAR(I1262),"0"))</f>
        <v/>
      </c>
      <c r="N1262" s="5">
        <f>IFERROR(INDEX(DePara!$A:$A,MATCH(TEXT(B1262,"0"),DePara!$D:$D,0)),"(sem categoria)")</f>
        <v/>
      </c>
      <c r="O1262" s="5">
        <f>IF(J1262="","",Parametros!$B$6-J1262)</f>
        <v/>
      </c>
      <c r="P1262" s="5">
        <f>IF(O1262="","",IF(O1262&gt;0,1,0))</f>
        <v/>
      </c>
    </row>
    <row r="1263">
      <c r="A1263" s="5" t="n">
        <v>2122100000</v>
      </c>
      <c r="B1263" s="5" t="inlineStr">
        <is>
          <t>IC1000</t>
        </is>
      </c>
      <c r="C1263" s="5" t="inlineStr">
        <is>
          <t>NORDEX ENERGY SE &amp; CO KG</t>
        </is>
      </c>
      <c r="D1263" s="5" t="inlineStr">
        <is>
          <t>RE</t>
        </is>
      </c>
      <c r="E1263" s="5" t="n">
        <v>5041911</v>
      </c>
      <c r="F1263" s="5" t="inlineStr">
        <is>
          <t>305393</t>
        </is>
      </c>
      <c r="G1263" s="5" t="inlineStr">
        <is>
          <t>EUR</t>
        </is>
      </c>
      <c r="H1263" s="9" t="n">
        <v>-102251.97</v>
      </c>
      <c r="I1263" s="16" t="n">
        <v>45530</v>
      </c>
      <c r="J1263" s="16" t="n">
        <v>45560</v>
      </c>
      <c r="K1263" s="5" t="inlineStr">
        <is>
          <t>0706/24</t>
        </is>
      </c>
      <c r="L1263" s="5" t="inlineStr">
        <is>
          <t>305393</t>
        </is>
      </c>
      <c r="M1263" s="5">
        <f>IF(YEAR(I1263)&lt;=2020,"Até 2020",TEXT(YEAR(I1263),"0"))</f>
        <v/>
      </c>
      <c r="N1263" s="5">
        <f>IFERROR(INDEX(DePara!$A:$A,MATCH(TEXT(B1263,"0"),DePara!$D:$D,0)),"(sem categoria)")</f>
        <v/>
      </c>
      <c r="O1263" s="5">
        <f>IF(J1263="","",Parametros!$B$6-J1263)</f>
        <v/>
      </c>
      <c r="P1263" s="5">
        <f>IF(O1263="","",IF(O1263&gt;0,1,0))</f>
        <v/>
      </c>
    </row>
    <row r="1264">
      <c r="A1264" s="5" t="n">
        <v>2122100000</v>
      </c>
      <c r="B1264" s="5" t="inlineStr">
        <is>
          <t>IC1000</t>
        </is>
      </c>
      <c r="C1264" s="5" t="inlineStr">
        <is>
          <t>NORDEX ENERGY SE &amp; CO KG</t>
        </is>
      </c>
      <c r="D1264" s="5" t="inlineStr">
        <is>
          <t>RE</t>
        </is>
      </c>
      <c r="E1264" s="5" t="n">
        <v>5041998</v>
      </c>
      <c r="F1264" s="5" t="inlineStr">
        <is>
          <t>301847</t>
        </is>
      </c>
      <c r="G1264" s="5" t="inlineStr">
        <is>
          <t>EUR</t>
        </is>
      </c>
      <c r="H1264" s="9" t="n">
        <v>-1802.77</v>
      </c>
      <c r="I1264" s="16" t="n">
        <v>45505</v>
      </c>
      <c r="J1264" s="16" t="n">
        <v>45535</v>
      </c>
      <c r="K1264" s="5" t="inlineStr">
        <is>
          <t>0713/24</t>
        </is>
      </c>
      <c r="L1264" s="5" t="inlineStr">
        <is>
          <t>301847</t>
        </is>
      </c>
      <c r="M1264" s="5">
        <f>IF(YEAR(I1264)&lt;=2020,"Até 2020",TEXT(YEAR(I1264),"0"))</f>
        <v/>
      </c>
      <c r="N1264" s="5">
        <f>IFERROR(INDEX(DePara!$A:$A,MATCH(TEXT(B1264,"0"),DePara!$D:$D,0)),"(sem categoria)")</f>
        <v/>
      </c>
      <c r="O1264" s="5">
        <f>IF(J1264="","",Parametros!$B$6-J1264)</f>
        <v/>
      </c>
      <c r="P1264" s="5">
        <f>IF(O1264="","",IF(O1264&gt;0,1,0))</f>
        <v/>
      </c>
    </row>
    <row r="1265">
      <c r="A1265" s="5" t="n">
        <v>2122100000</v>
      </c>
      <c r="B1265" s="5" t="inlineStr">
        <is>
          <t>IC5000</t>
        </is>
      </c>
      <c r="C1265" s="5" t="inlineStr">
        <is>
          <t>NORDEX SE</t>
        </is>
      </c>
      <c r="D1265" s="5" t="inlineStr">
        <is>
          <t>KR</t>
        </is>
      </c>
      <c r="E1265" s="5" t="n">
        <v>5042043</v>
      </c>
      <c r="F1265" s="5" t="inlineStr">
        <is>
          <t>608792</t>
        </is>
      </c>
      <c r="G1265" s="5" t="inlineStr">
        <is>
          <t>EUR</t>
        </is>
      </c>
      <c r="H1265" s="9" t="n">
        <v>-3721245.14</v>
      </c>
      <c r="I1265" s="16" t="n">
        <v>45575</v>
      </c>
      <c r="J1265" s="16" t="n">
        <v>45575</v>
      </c>
      <c r="K1265" s="5" t="inlineStr">
        <is>
          <t>Parent Company Guarantee Fee Q3-2024 - 608792 - IC</t>
        </is>
      </c>
      <c r="L1265" s="5" t="n"/>
      <c r="M1265" s="5">
        <f>IF(YEAR(I1265)&lt;=2020,"Até 2020",TEXT(YEAR(I1265),"0"))</f>
        <v/>
      </c>
      <c r="N1265" s="5">
        <f>IFERROR(INDEX(DePara!$A:$A,MATCH(TEXT(B1265,"0"),DePara!$D:$D,0)),"(sem categoria)")</f>
        <v/>
      </c>
      <c r="O1265" s="5">
        <f>IF(J1265="","",Parametros!$B$6-J1265)</f>
        <v/>
      </c>
      <c r="P1265" s="5">
        <f>IF(O1265="","",IF(O1265&gt;0,1,0))</f>
        <v/>
      </c>
    </row>
    <row r="1266">
      <c r="A1266" s="5" t="n">
        <v>2122100000</v>
      </c>
      <c r="B1266" s="5" t="inlineStr">
        <is>
          <t>IC5000</t>
        </is>
      </c>
      <c r="C1266" s="5" t="inlineStr">
        <is>
          <t>NORDEX SE</t>
        </is>
      </c>
      <c r="D1266" s="5" t="inlineStr">
        <is>
          <t>KR</t>
        </is>
      </c>
      <c r="E1266" s="5" t="n">
        <v>5042266</v>
      </c>
      <c r="F1266" s="5" t="inlineStr">
        <is>
          <t>608810</t>
        </is>
      </c>
      <c r="G1266" s="5" t="inlineStr">
        <is>
          <t>EUR</t>
        </is>
      </c>
      <c r="H1266" s="9" t="n">
        <v>-7656946.91</v>
      </c>
      <c r="I1266" s="16" t="n">
        <v>45576</v>
      </c>
      <c r="J1266" s="16" t="n">
        <v>45576</v>
      </c>
      <c r="K1266" s="5" t="inlineStr">
        <is>
          <t>Invoice bank guarantee fee Q3-2024 - 608810 - IC50</t>
        </is>
      </c>
      <c r="L1266" s="5" t="n"/>
      <c r="M1266" s="5">
        <f>IF(YEAR(I1266)&lt;=2020,"Até 2020",TEXT(YEAR(I1266),"0"))</f>
        <v/>
      </c>
      <c r="N1266" s="5">
        <f>IFERROR(INDEX(DePara!$A:$A,MATCH(TEXT(B1266,"0"),DePara!$D:$D,0)),"(sem categoria)")</f>
        <v/>
      </c>
      <c r="O1266" s="5">
        <f>IF(J1266="","",Parametros!$B$6-J1266)</f>
        <v/>
      </c>
      <c r="P1266" s="5">
        <f>IF(O1266="","",IF(O1266&gt;0,1,0))</f>
        <v/>
      </c>
    </row>
    <row r="1267">
      <c r="A1267" s="5" t="n">
        <v>2122100000</v>
      </c>
      <c r="B1267" s="5" t="inlineStr">
        <is>
          <t>IC1000</t>
        </is>
      </c>
      <c r="C1267" s="5" t="inlineStr">
        <is>
          <t>NORDEX ENERGY SE &amp; CO KG</t>
        </is>
      </c>
      <c r="D1267" s="5" t="inlineStr">
        <is>
          <t>RE</t>
        </is>
      </c>
      <c r="E1267" s="5" t="n">
        <v>5042280</v>
      </c>
      <c r="F1267" s="5" t="inlineStr">
        <is>
          <t>8-4</t>
        </is>
      </c>
      <c r="G1267" s="5" t="inlineStr">
        <is>
          <t>EUR</t>
        </is>
      </c>
      <c r="H1267" s="9" t="n">
        <v>-931236.05</v>
      </c>
      <c r="I1267" s="16" t="n">
        <v>45131</v>
      </c>
      <c r="J1267" s="16" t="n">
        <v>45161</v>
      </c>
      <c r="K1267" s="5" t="inlineStr">
        <is>
          <t>Fatura - bruto NORDEX ENERGY SE &amp; CO KG 8-4</t>
        </is>
      </c>
      <c r="L1267" s="5" t="n"/>
      <c r="M1267" s="5">
        <f>IF(YEAR(I1267)&lt;=2020,"Até 2020",TEXT(YEAR(I1267),"0"))</f>
        <v/>
      </c>
      <c r="N1267" s="5">
        <f>IFERROR(INDEX(DePara!$A:$A,MATCH(TEXT(B1267,"0"),DePara!$D:$D,0)),"(sem categoria)")</f>
        <v/>
      </c>
      <c r="O1267" s="5">
        <f>IF(J1267="","",Parametros!$B$6-J1267)</f>
        <v/>
      </c>
      <c r="P1267" s="5">
        <f>IF(O1267="","",IF(O1267&gt;0,1,0))</f>
        <v/>
      </c>
    </row>
    <row r="1268">
      <c r="A1268" s="5" t="n">
        <v>2122100000</v>
      </c>
      <c r="B1268" s="5" t="inlineStr">
        <is>
          <t>IC1000</t>
        </is>
      </c>
      <c r="C1268" s="5" t="inlineStr">
        <is>
          <t>NORDEX ENERGY SE &amp; CO KG</t>
        </is>
      </c>
      <c r="D1268" s="5" t="inlineStr">
        <is>
          <t>RE</t>
        </is>
      </c>
      <c r="E1268" s="5" t="n">
        <v>5042292</v>
      </c>
      <c r="F1268" s="5" t="inlineStr">
        <is>
          <t>4012412829</t>
        </is>
      </c>
      <c r="G1268" s="5" t="inlineStr">
        <is>
          <t>EUR</t>
        </is>
      </c>
      <c r="H1268" s="9" t="n">
        <v>-502.15</v>
      </c>
      <c r="I1268" s="16" t="n">
        <v>45566</v>
      </c>
      <c r="J1268" s="16" t="n">
        <v>45596</v>
      </c>
      <c r="K1268" s="5" t="inlineStr">
        <is>
          <t>0895/24</t>
        </is>
      </c>
      <c r="L1268" s="5" t="inlineStr">
        <is>
          <t>4012412829</t>
        </is>
      </c>
      <c r="M1268" s="5">
        <f>IF(YEAR(I1268)&lt;=2020,"Até 2020",TEXT(YEAR(I1268),"0"))</f>
        <v/>
      </c>
      <c r="N1268" s="5">
        <f>IFERROR(INDEX(DePara!$A:$A,MATCH(TEXT(B1268,"0"),DePara!$D:$D,0)),"(sem categoria)")</f>
        <v/>
      </c>
      <c r="O1268" s="5">
        <f>IF(J1268="","",Parametros!$B$6-J1268)</f>
        <v/>
      </c>
      <c r="P1268" s="5">
        <f>IF(O1268="","",IF(O1268&gt;0,1,0))</f>
        <v/>
      </c>
    </row>
    <row r="1269">
      <c r="A1269" s="5" t="n">
        <v>2122100000</v>
      </c>
      <c r="B1269" s="5" t="inlineStr">
        <is>
          <t>IC1000</t>
        </is>
      </c>
      <c r="C1269" s="5" t="inlineStr">
        <is>
          <t>NORDEX ENERGY SE &amp; CO KG</t>
        </is>
      </c>
      <c r="D1269" s="5" t="inlineStr">
        <is>
          <t>RE</t>
        </is>
      </c>
      <c r="E1269" s="5" t="n">
        <v>5042293</v>
      </c>
      <c r="F1269" s="5" t="inlineStr">
        <is>
          <t>4012412830</t>
        </is>
      </c>
      <c r="G1269" s="5" t="inlineStr">
        <is>
          <t>EUR</t>
        </is>
      </c>
      <c r="H1269" s="9" t="n">
        <v>-1470.9</v>
      </c>
      <c r="I1269" s="16" t="n">
        <v>45566</v>
      </c>
      <c r="J1269" s="16" t="n">
        <v>45596</v>
      </c>
      <c r="K1269" s="5" t="inlineStr">
        <is>
          <t>0895/24</t>
        </is>
      </c>
      <c r="L1269" s="5" t="inlineStr">
        <is>
          <t>4012412830</t>
        </is>
      </c>
      <c r="M1269" s="5">
        <f>IF(YEAR(I1269)&lt;=2020,"Até 2020",TEXT(YEAR(I1269),"0"))</f>
        <v/>
      </c>
      <c r="N1269" s="5">
        <f>IFERROR(INDEX(DePara!$A:$A,MATCH(TEXT(B1269,"0"),DePara!$D:$D,0)),"(sem categoria)")</f>
        <v/>
      </c>
      <c r="O1269" s="5">
        <f>IF(J1269="","",Parametros!$B$6-J1269)</f>
        <v/>
      </c>
      <c r="P1269" s="5">
        <f>IF(O1269="","",IF(O1269&gt;0,1,0))</f>
        <v/>
      </c>
    </row>
    <row r="1270">
      <c r="A1270" s="5" t="n">
        <v>2122100000</v>
      </c>
      <c r="B1270" s="5" t="inlineStr">
        <is>
          <t>IC1000</t>
        </is>
      </c>
      <c r="C1270" s="5" t="inlineStr">
        <is>
          <t>NORDEX ENERGY SE &amp; CO KG</t>
        </is>
      </c>
      <c r="D1270" s="5" t="inlineStr">
        <is>
          <t>RE</t>
        </is>
      </c>
      <c r="E1270" s="5" t="n">
        <v>5042294</v>
      </c>
      <c r="F1270" s="5" t="inlineStr">
        <is>
          <t>4012412828</t>
        </is>
      </c>
      <c r="G1270" s="5" t="inlineStr">
        <is>
          <t>EUR</t>
        </is>
      </c>
      <c r="H1270" s="9" t="n">
        <v>-15627.3</v>
      </c>
      <c r="I1270" s="16" t="n">
        <v>45566</v>
      </c>
      <c r="J1270" s="16" t="n">
        <v>45596</v>
      </c>
      <c r="K1270" s="5" t="inlineStr">
        <is>
          <t>0895/24</t>
        </is>
      </c>
      <c r="L1270" s="5" t="inlineStr">
        <is>
          <t>4012412828</t>
        </is>
      </c>
      <c r="M1270" s="5">
        <f>IF(YEAR(I1270)&lt;=2020,"Até 2020",TEXT(YEAR(I1270),"0"))</f>
        <v/>
      </c>
      <c r="N1270" s="5">
        <f>IFERROR(INDEX(DePara!$A:$A,MATCH(TEXT(B1270,"0"),DePara!$D:$D,0)),"(sem categoria)")</f>
        <v/>
      </c>
      <c r="O1270" s="5">
        <f>IF(J1270="","",Parametros!$B$6-J1270)</f>
        <v/>
      </c>
      <c r="P1270" s="5">
        <f>IF(O1270="","",IF(O1270&gt;0,1,0))</f>
        <v/>
      </c>
    </row>
    <row r="1271">
      <c r="A1271" s="5" t="n">
        <v>2122100000</v>
      </c>
      <c r="B1271" s="5" t="inlineStr">
        <is>
          <t>IC1000</t>
        </is>
      </c>
      <c r="C1271" s="5" t="inlineStr">
        <is>
          <t>NORDEX ENERGY SE &amp; CO KG</t>
        </is>
      </c>
      <c r="D1271" s="5" t="inlineStr">
        <is>
          <t>RE</t>
        </is>
      </c>
      <c r="E1271" s="5" t="n">
        <v>5042680</v>
      </c>
      <c r="F1271" s="5" t="inlineStr">
        <is>
          <t>303972</t>
        </is>
      </c>
      <c r="G1271" s="5" t="inlineStr">
        <is>
          <t>EUR</t>
        </is>
      </c>
      <c r="H1271" s="9" t="n">
        <v>-18400.45</v>
      </c>
      <c r="I1271" s="16" t="n">
        <v>45518</v>
      </c>
      <c r="J1271" s="16" t="n">
        <v>45548</v>
      </c>
      <c r="K1271" s="5" t="inlineStr">
        <is>
          <t>0745/24</t>
        </is>
      </c>
      <c r="L1271" s="5" t="inlineStr">
        <is>
          <t>303972</t>
        </is>
      </c>
      <c r="M1271" s="5">
        <f>IF(YEAR(I1271)&lt;=2020,"Até 2020",TEXT(YEAR(I1271),"0"))</f>
        <v/>
      </c>
      <c r="N1271" s="5">
        <f>IFERROR(INDEX(DePara!$A:$A,MATCH(TEXT(B1271,"0"),DePara!$D:$D,0)),"(sem categoria)")</f>
        <v/>
      </c>
      <c r="O1271" s="5">
        <f>IF(J1271="","",Parametros!$B$6-J1271)</f>
        <v/>
      </c>
      <c r="P1271" s="5">
        <f>IF(O1271="","",IF(O1271&gt;0,1,0))</f>
        <v/>
      </c>
    </row>
    <row r="1272">
      <c r="A1272" s="5" t="n">
        <v>2122100000</v>
      </c>
      <c r="B1272" s="5" t="inlineStr">
        <is>
          <t>IC1000</t>
        </is>
      </c>
      <c r="C1272" s="5" t="inlineStr">
        <is>
          <t>NORDEX ENERGY SE &amp; CO KG</t>
        </is>
      </c>
      <c r="D1272" s="5" t="inlineStr">
        <is>
          <t>RE</t>
        </is>
      </c>
      <c r="E1272" s="5" t="n">
        <v>5042861</v>
      </c>
      <c r="F1272" s="5" t="inlineStr">
        <is>
          <t>77543</t>
        </is>
      </c>
      <c r="G1272" s="5" t="inlineStr">
        <is>
          <t>EUR</t>
        </is>
      </c>
      <c r="H1272" s="9" t="n">
        <v>-2217723.56</v>
      </c>
      <c r="I1272" s="16" t="n">
        <v>45467</v>
      </c>
      <c r="J1272" s="16" t="n">
        <v>45497</v>
      </c>
      <c r="K1272" s="5" t="inlineStr">
        <is>
          <t>0859/24</t>
        </is>
      </c>
      <c r="L1272" s="5" t="inlineStr">
        <is>
          <t>77543</t>
        </is>
      </c>
      <c r="M1272" s="5">
        <f>IF(YEAR(I1272)&lt;=2020,"Até 2020",TEXT(YEAR(I1272),"0"))</f>
        <v/>
      </c>
      <c r="N1272" s="5">
        <f>IFERROR(INDEX(DePara!$A:$A,MATCH(TEXT(B1272,"0"),DePara!$D:$D,0)),"(sem categoria)")</f>
        <v/>
      </c>
      <c r="O1272" s="5">
        <f>IF(J1272="","",Parametros!$B$6-J1272)</f>
        <v/>
      </c>
      <c r="P1272" s="5">
        <f>IF(O1272="","",IF(O1272&gt;0,1,0))</f>
        <v/>
      </c>
    </row>
    <row r="1273">
      <c r="A1273" s="5" t="n">
        <v>2122100000</v>
      </c>
      <c r="B1273" s="5" t="inlineStr">
        <is>
          <t>IC1000</t>
        </is>
      </c>
      <c r="C1273" s="5" t="inlineStr">
        <is>
          <t>NORDEX ENERGY SE &amp; CO KG</t>
        </is>
      </c>
      <c r="D1273" s="5" t="inlineStr">
        <is>
          <t>RE</t>
        </is>
      </c>
      <c r="E1273" s="5" t="n">
        <v>5043586</v>
      </c>
      <c r="F1273" s="5" t="inlineStr">
        <is>
          <t>4024006722</t>
        </is>
      </c>
      <c r="G1273" s="5" t="inlineStr">
        <is>
          <t>EUR</t>
        </is>
      </c>
      <c r="H1273" s="9" t="n">
        <v>-151769.38</v>
      </c>
      <c r="I1273" s="16" t="n">
        <v>45559</v>
      </c>
      <c r="J1273" s="16" t="n">
        <v>45589</v>
      </c>
      <c r="K1273" s="5" t="inlineStr">
        <is>
          <t>0868/24</t>
        </is>
      </c>
      <c r="L1273" s="5" t="inlineStr">
        <is>
          <t>4024006722</t>
        </is>
      </c>
      <c r="M1273" s="5">
        <f>IF(YEAR(I1273)&lt;=2020,"Até 2020",TEXT(YEAR(I1273),"0"))</f>
        <v/>
      </c>
      <c r="N1273" s="5">
        <f>IFERROR(INDEX(DePara!$A:$A,MATCH(TEXT(B1273,"0"),DePara!$D:$D,0)),"(sem categoria)")</f>
        <v/>
      </c>
      <c r="O1273" s="5">
        <f>IF(J1273="","",Parametros!$B$6-J1273)</f>
        <v/>
      </c>
      <c r="P1273" s="5">
        <f>IF(O1273="","",IF(O1273&gt;0,1,0))</f>
        <v/>
      </c>
    </row>
    <row r="1274">
      <c r="A1274" s="5" t="n">
        <v>2122100000</v>
      </c>
      <c r="B1274" s="5" t="inlineStr">
        <is>
          <t>IC1000</t>
        </is>
      </c>
      <c r="C1274" s="5" t="inlineStr">
        <is>
          <t>NORDEX ENERGY SE &amp; CO KG</t>
        </is>
      </c>
      <c r="D1274" s="5" t="inlineStr">
        <is>
          <t>RE</t>
        </is>
      </c>
      <c r="E1274" s="5" t="n">
        <v>5045853</v>
      </c>
      <c r="F1274" s="5" t="inlineStr">
        <is>
          <t>4012415910</t>
        </is>
      </c>
      <c r="G1274" s="5" t="inlineStr">
        <is>
          <t>EUR</t>
        </is>
      </c>
      <c r="H1274" s="9" t="n">
        <v>-39275.95</v>
      </c>
      <c r="I1274" s="16" t="n">
        <v>45586</v>
      </c>
      <c r="J1274" s="16" t="n">
        <v>45616</v>
      </c>
      <c r="K1274" s="5" t="inlineStr">
        <is>
          <t>0972/24</t>
        </is>
      </c>
      <c r="L1274" s="5" t="inlineStr">
        <is>
          <t>4012415910</t>
        </is>
      </c>
      <c r="M1274" s="5">
        <f>IF(YEAR(I1274)&lt;=2020,"Até 2020",TEXT(YEAR(I1274),"0"))</f>
        <v/>
      </c>
      <c r="N1274" s="5">
        <f>IFERROR(INDEX(DePara!$A:$A,MATCH(TEXT(B1274,"0"),DePara!$D:$D,0)),"(sem categoria)")</f>
        <v/>
      </c>
      <c r="O1274" s="5">
        <f>IF(J1274="","",Parametros!$B$6-J1274)</f>
        <v/>
      </c>
      <c r="P1274" s="5">
        <f>IF(O1274="","",IF(O1274&gt;0,1,0))</f>
        <v/>
      </c>
    </row>
    <row r="1275">
      <c r="A1275" s="5" t="n">
        <v>2122100000</v>
      </c>
      <c r="B1275" s="5" t="inlineStr">
        <is>
          <t>IC4420</t>
        </is>
      </c>
      <c r="C1275" s="5" t="inlineStr">
        <is>
          <t>NORDEX ENERGY SPAIN S A U</t>
        </is>
      </c>
      <c r="D1275" s="5" t="inlineStr">
        <is>
          <t>RE</t>
        </is>
      </c>
      <c r="E1275" s="5" t="n">
        <v>5045970</v>
      </c>
      <c r="F1275" s="5" t="inlineStr">
        <is>
          <t>102-2</t>
        </is>
      </c>
      <c r="G1275" s="5" t="inlineStr">
        <is>
          <t>EUR</t>
        </is>
      </c>
      <c r="H1275" s="9" t="n">
        <v>-20751.06</v>
      </c>
      <c r="I1275" s="16" t="n">
        <v>45561</v>
      </c>
      <c r="J1275" s="16" t="n">
        <v>45561</v>
      </c>
      <c r="K1275" s="5" t="inlineStr">
        <is>
          <t>Fatura - bruto NORDEX ENERGY SPAIN S A U 102-2</t>
        </is>
      </c>
      <c r="L1275" s="5" t="n"/>
      <c r="M1275" s="5">
        <f>IF(YEAR(I1275)&lt;=2020,"Até 2020",TEXT(YEAR(I1275),"0"))</f>
        <v/>
      </c>
      <c r="N1275" s="5">
        <f>IFERROR(INDEX(DePara!$A:$A,MATCH(TEXT(B1275,"0"),DePara!$D:$D,0)),"(sem categoria)")</f>
        <v/>
      </c>
      <c r="O1275" s="5">
        <f>IF(J1275="","",Parametros!$B$6-J1275)</f>
        <v/>
      </c>
      <c r="P1275" s="5">
        <f>IF(O1275="","",IF(O1275&gt;0,1,0))</f>
        <v/>
      </c>
    </row>
    <row r="1276">
      <c r="A1276" s="5" t="n">
        <v>2122100000</v>
      </c>
      <c r="B1276" s="5" t="inlineStr">
        <is>
          <t>IC4420</t>
        </is>
      </c>
      <c r="C1276" s="5" t="inlineStr">
        <is>
          <t>NORDEX ENERGY SPAIN S A U</t>
        </is>
      </c>
      <c r="D1276" s="5" t="inlineStr">
        <is>
          <t>RE</t>
        </is>
      </c>
      <c r="E1276" s="5" t="n">
        <v>5046537</v>
      </c>
      <c r="F1276" s="5" t="inlineStr">
        <is>
          <t>4024006236</t>
        </is>
      </c>
      <c r="G1276" s="5" t="inlineStr">
        <is>
          <t>EUR</t>
        </is>
      </c>
      <c r="H1276" s="9" t="n">
        <v>-19137.61</v>
      </c>
      <c r="I1276" s="16" t="n">
        <v>45545</v>
      </c>
      <c r="J1276" s="16" t="n">
        <v>45575</v>
      </c>
      <c r="K1276" s="5" t="inlineStr">
        <is>
          <t>0787/24</t>
        </is>
      </c>
      <c r="L1276" s="5" t="inlineStr">
        <is>
          <t>4024006236</t>
        </is>
      </c>
      <c r="M1276" s="5">
        <f>IF(YEAR(I1276)&lt;=2020,"Até 2020",TEXT(YEAR(I1276),"0"))</f>
        <v/>
      </c>
      <c r="N1276" s="5">
        <f>IFERROR(INDEX(DePara!$A:$A,MATCH(TEXT(B1276,"0"),DePara!$D:$D,0)),"(sem categoria)")</f>
        <v/>
      </c>
      <c r="O1276" s="5">
        <f>IF(J1276="","",Parametros!$B$6-J1276)</f>
        <v/>
      </c>
      <c r="P1276" s="5">
        <f>IF(O1276="","",IF(O1276&gt;0,1,0))</f>
        <v/>
      </c>
    </row>
    <row r="1277">
      <c r="A1277" s="5" t="n">
        <v>2122100000</v>
      </c>
      <c r="B1277" s="5" t="inlineStr">
        <is>
          <t>IC1000</t>
        </is>
      </c>
      <c r="C1277" s="5" t="inlineStr">
        <is>
          <t>NORDEX ENERGY SE &amp; CO KG</t>
        </is>
      </c>
      <c r="D1277" s="5" t="inlineStr">
        <is>
          <t>RE</t>
        </is>
      </c>
      <c r="E1277" s="5" t="n">
        <v>5047358</v>
      </c>
      <c r="F1277" s="5" t="inlineStr">
        <is>
          <t>4012418440</t>
        </is>
      </c>
      <c r="G1277" s="5" t="inlineStr">
        <is>
          <t>EUR</t>
        </is>
      </c>
      <c r="H1277" s="9" t="n">
        <v>-2526.84</v>
      </c>
      <c r="I1277" s="16" t="n">
        <v>45600</v>
      </c>
      <c r="J1277" s="16" t="n">
        <v>45630</v>
      </c>
      <c r="K1277" s="5" t="inlineStr">
        <is>
          <t>1013/24</t>
        </is>
      </c>
      <c r="L1277" s="5" t="inlineStr">
        <is>
          <t>4012418440</t>
        </is>
      </c>
      <c r="M1277" s="5">
        <f>IF(YEAR(I1277)&lt;=2020,"Até 2020",TEXT(YEAR(I1277),"0"))</f>
        <v/>
      </c>
      <c r="N1277" s="5">
        <f>IFERROR(INDEX(DePara!$A:$A,MATCH(TEXT(B1277,"0"),DePara!$D:$D,0)),"(sem categoria)")</f>
        <v/>
      </c>
      <c r="O1277" s="5">
        <f>IF(J1277="","",Parametros!$B$6-J1277)</f>
        <v/>
      </c>
      <c r="P1277" s="5">
        <f>IF(O1277="","",IF(O1277&gt;0,1,0))</f>
        <v/>
      </c>
    </row>
    <row r="1278">
      <c r="A1278" s="5" t="n">
        <v>2122100000</v>
      </c>
      <c r="B1278" s="5" t="inlineStr">
        <is>
          <t>IC1000</t>
        </is>
      </c>
      <c r="C1278" s="5" t="inlineStr">
        <is>
          <t>NORDEX ENERGY SE &amp; CO KG</t>
        </is>
      </c>
      <c r="D1278" s="5" t="inlineStr">
        <is>
          <t>RE</t>
        </is>
      </c>
      <c r="E1278" s="5" t="n">
        <v>5048112</v>
      </c>
      <c r="F1278" s="5" t="inlineStr">
        <is>
          <t>4012415911</t>
        </is>
      </c>
      <c r="G1278" s="5" t="inlineStr">
        <is>
          <t>EUR</t>
        </is>
      </c>
      <c r="H1278" s="9" t="n">
        <v>-23671.6</v>
      </c>
      <c r="I1278" s="16" t="n">
        <v>45586</v>
      </c>
      <c r="J1278" s="16" t="n">
        <v>45616</v>
      </c>
      <c r="K1278" s="5" t="inlineStr">
        <is>
          <t>0971/24</t>
        </is>
      </c>
      <c r="L1278" s="5" t="inlineStr">
        <is>
          <t>4012415911</t>
        </is>
      </c>
      <c r="M1278" s="5">
        <f>IF(YEAR(I1278)&lt;=2020,"Até 2020",TEXT(YEAR(I1278),"0"))</f>
        <v/>
      </c>
      <c r="N1278" s="5">
        <f>IFERROR(INDEX(DePara!$A:$A,MATCH(TEXT(B1278,"0"),DePara!$D:$D,0)),"(sem categoria)")</f>
        <v/>
      </c>
      <c r="O1278" s="5">
        <f>IF(J1278="","",Parametros!$B$6-J1278)</f>
        <v/>
      </c>
      <c r="P1278" s="5">
        <f>IF(O1278="","",IF(O1278&gt;0,1,0))</f>
        <v/>
      </c>
    </row>
    <row r="1279">
      <c r="A1279" s="5" t="n">
        <v>2122100000</v>
      </c>
      <c r="B1279" s="5" t="inlineStr">
        <is>
          <t>IC4420</t>
        </is>
      </c>
      <c r="C1279" s="5" t="inlineStr">
        <is>
          <t>NORDEX ENERGY SPAIN S A U</t>
        </is>
      </c>
      <c r="D1279" s="5" t="inlineStr">
        <is>
          <t>RE</t>
        </is>
      </c>
      <c r="E1279" s="5" t="n">
        <v>5048179</v>
      </c>
      <c r="F1279" s="5" t="inlineStr">
        <is>
          <t>4018000242</t>
        </is>
      </c>
      <c r="G1279" s="5" t="inlineStr">
        <is>
          <t>EUR</t>
        </is>
      </c>
      <c r="H1279" s="9" t="n">
        <v>-851.71</v>
      </c>
      <c r="I1279" s="16" t="n">
        <v>45533</v>
      </c>
      <c r="J1279" s="16" t="n">
        <v>45563</v>
      </c>
      <c r="K1279" s="5" t="inlineStr">
        <is>
          <t>0732/24</t>
        </is>
      </c>
      <c r="L1279" s="5" t="inlineStr">
        <is>
          <t>4018000242</t>
        </is>
      </c>
      <c r="M1279" s="5">
        <f>IF(YEAR(I1279)&lt;=2020,"Até 2020",TEXT(YEAR(I1279),"0"))</f>
        <v/>
      </c>
      <c r="N1279" s="5">
        <f>IFERROR(INDEX(DePara!$A:$A,MATCH(TEXT(B1279,"0"),DePara!$D:$D,0)),"(sem categoria)")</f>
        <v/>
      </c>
      <c r="O1279" s="5">
        <f>IF(J1279="","",Parametros!$B$6-J1279)</f>
        <v/>
      </c>
      <c r="P1279" s="5">
        <f>IF(O1279="","",IF(O1279&gt;0,1,0))</f>
        <v/>
      </c>
    </row>
    <row r="1280">
      <c r="A1280" s="5" t="n">
        <v>2122100000</v>
      </c>
      <c r="B1280" s="5" t="inlineStr">
        <is>
          <t>IC1000</t>
        </is>
      </c>
      <c r="C1280" s="5" t="inlineStr">
        <is>
          <t>NORDEX ENERGY SE &amp; CO KG</t>
        </is>
      </c>
      <c r="D1280" s="5" t="inlineStr">
        <is>
          <t>RE</t>
        </is>
      </c>
      <c r="E1280" s="5" t="n">
        <v>5048317</v>
      </c>
      <c r="F1280" s="5" t="inlineStr">
        <is>
          <t>4012413023</t>
        </is>
      </c>
      <c r="G1280" s="5" t="inlineStr">
        <is>
          <t>EUR</t>
        </is>
      </c>
      <c r="H1280" s="9" t="n">
        <v>-322678.33</v>
      </c>
      <c r="I1280" s="16" t="n">
        <v>45490</v>
      </c>
      <c r="J1280" s="16" t="n">
        <v>45520</v>
      </c>
      <c r="K1280" s="5" t="inlineStr">
        <is>
          <t>0942/24</t>
        </is>
      </c>
      <c r="L1280" s="5" t="inlineStr">
        <is>
          <t>4012413023</t>
        </is>
      </c>
      <c r="M1280" s="5">
        <f>IF(YEAR(I1280)&lt;=2020,"Até 2020",TEXT(YEAR(I1280),"0"))</f>
        <v/>
      </c>
      <c r="N1280" s="5">
        <f>IFERROR(INDEX(DePara!$A:$A,MATCH(TEXT(B1280,"0"),DePara!$D:$D,0)),"(sem categoria)")</f>
        <v/>
      </c>
      <c r="O1280" s="5">
        <f>IF(J1280="","",Parametros!$B$6-J1280)</f>
        <v/>
      </c>
      <c r="P1280" s="5">
        <f>IF(O1280="","",IF(O1280&gt;0,1,0))</f>
        <v/>
      </c>
    </row>
    <row r="1281">
      <c r="A1281" s="5" t="n">
        <v>2122100000</v>
      </c>
      <c r="B1281" s="5" t="inlineStr">
        <is>
          <t>IC4420</t>
        </is>
      </c>
      <c r="C1281" s="5" t="inlineStr">
        <is>
          <t>NORDEX ENERGY SPAIN S A U</t>
        </is>
      </c>
      <c r="D1281" s="5" t="inlineStr">
        <is>
          <t>RE</t>
        </is>
      </c>
      <c r="E1281" s="5" t="n">
        <v>5048370</v>
      </c>
      <c r="F1281" s="5" t="inlineStr">
        <is>
          <t>201940</t>
        </is>
      </c>
      <c r="G1281" s="5" t="inlineStr">
        <is>
          <t>EUR</t>
        </is>
      </c>
      <c r="H1281" s="9" t="n">
        <v>-2215.92</v>
      </c>
      <c r="I1281" s="16" t="n">
        <v>45601</v>
      </c>
      <c r="J1281" s="16" t="n">
        <v>45631</v>
      </c>
      <c r="K1281" s="5" t="inlineStr">
        <is>
          <t>1014/24</t>
        </is>
      </c>
      <c r="L1281" s="5" t="inlineStr">
        <is>
          <t>201940</t>
        </is>
      </c>
      <c r="M1281" s="5">
        <f>IF(YEAR(I1281)&lt;=2020,"Até 2020",TEXT(YEAR(I1281),"0"))</f>
        <v/>
      </c>
      <c r="N1281" s="5">
        <f>IFERROR(INDEX(DePara!$A:$A,MATCH(TEXT(B1281,"0"),DePara!$D:$D,0)),"(sem categoria)")</f>
        <v/>
      </c>
      <c r="O1281" s="5">
        <f>IF(J1281="","",Parametros!$B$6-J1281)</f>
        <v/>
      </c>
      <c r="P1281" s="5">
        <f>IF(O1281="","",IF(O1281&gt;0,1,0))</f>
        <v/>
      </c>
    </row>
    <row r="1282">
      <c r="A1282" s="5" t="n">
        <v>2122100000</v>
      </c>
      <c r="B1282" s="5" t="inlineStr">
        <is>
          <t>IC1000</t>
        </is>
      </c>
      <c r="C1282" s="5" t="inlineStr">
        <is>
          <t>NORDEX ENERGY SE &amp; CO KG</t>
        </is>
      </c>
      <c r="D1282" s="5" t="inlineStr">
        <is>
          <t>RE</t>
        </is>
      </c>
      <c r="E1282" s="5" t="n">
        <v>5051046</v>
      </c>
      <c r="F1282" s="5" t="inlineStr">
        <is>
          <t>313711</t>
        </is>
      </c>
      <c r="G1282" s="5" t="inlineStr">
        <is>
          <t>EUR</t>
        </is>
      </c>
      <c r="H1282" s="9" t="n">
        <v>-1424805.67</v>
      </c>
      <c r="I1282" s="16" t="n">
        <v>45587</v>
      </c>
      <c r="J1282" s="16" t="n">
        <v>45617</v>
      </c>
      <c r="K1282" s="5" t="inlineStr">
        <is>
          <t>1058/24</t>
        </is>
      </c>
      <c r="L1282" s="5" t="inlineStr">
        <is>
          <t>313711</t>
        </is>
      </c>
      <c r="M1282" s="5">
        <f>IF(YEAR(I1282)&lt;=2020,"Até 2020",TEXT(YEAR(I1282),"0"))</f>
        <v/>
      </c>
      <c r="N1282" s="5">
        <f>IFERROR(INDEX(DePara!$A:$A,MATCH(TEXT(B1282,"0"),DePara!$D:$D,0)),"(sem categoria)")</f>
        <v/>
      </c>
      <c r="O1282" s="5">
        <f>IF(J1282="","",Parametros!$B$6-J1282)</f>
        <v/>
      </c>
      <c r="P1282" s="5">
        <f>IF(O1282="","",IF(O1282&gt;0,1,0))</f>
        <v/>
      </c>
    </row>
    <row r="1283">
      <c r="A1283" s="5" t="n">
        <v>2122100000</v>
      </c>
      <c r="B1283" s="5" t="inlineStr">
        <is>
          <t>IC1000</t>
        </is>
      </c>
      <c r="C1283" s="5" t="inlineStr">
        <is>
          <t>NORDEX ENERGY SE &amp; CO KG</t>
        </is>
      </c>
      <c r="D1283" s="5" t="inlineStr">
        <is>
          <t>RE</t>
        </is>
      </c>
      <c r="E1283" s="5" t="n">
        <v>5052644</v>
      </c>
      <c r="F1283" s="5" t="inlineStr">
        <is>
          <t>312163</t>
        </is>
      </c>
      <c r="G1283" s="5" t="inlineStr">
        <is>
          <t>EUR</t>
        </is>
      </c>
      <c r="H1283" s="9" t="n">
        <v>-2296.47</v>
      </c>
      <c r="I1283" s="16" t="n">
        <v>45576</v>
      </c>
      <c r="J1283" s="16" t="n">
        <v>45606</v>
      </c>
      <c r="K1283" s="5" t="inlineStr">
        <is>
          <t>1011/24</t>
        </is>
      </c>
      <c r="L1283" s="5" t="inlineStr">
        <is>
          <t>312163</t>
        </is>
      </c>
      <c r="M1283" s="5">
        <f>IF(YEAR(I1283)&lt;=2020,"Até 2020",TEXT(YEAR(I1283),"0"))</f>
        <v/>
      </c>
      <c r="N1283" s="5">
        <f>IFERROR(INDEX(DePara!$A:$A,MATCH(TEXT(B1283,"0"),DePara!$D:$D,0)),"(sem categoria)")</f>
        <v/>
      </c>
      <c r="O1283" s="5">
        <f>IF(J1283="","",Parametros!$B$6-J1283)</f>
        <v/>
      </c>
      <c r="P1283" s="5">
        <f>IF(O1283="","",IF(O1283&gt;0,1,0))</f>
        <v/>
      </c>
    </row>
    <row r="1284">
      <c r="A1284" s="5" t="n">
        <v>2122100000</v>
      </c>
      <c r="B1284" s="5" t="inlineStr">
        <is>
          <t>IC1000</t>
        </is>
      </c>
      <c r="C1284" s="5" t="inlineStr">
        <is>
          <t>NORDEX ENERGY SE &amp; CO KG</t>
        </is>
      </c>
      <c r="D1284" s="5" t="inlineStr">
        <is>
          <t>RE</t>
        </is>
      </c>
      <c r="E1284" s="5" t="n">
        <v>5052645</v>
      </c>
      <c r="F1284" s="5" t="inlineStr">
        <is>
          <t>311589</t>
        </is>
      </c>
      <c r="G1284" s="5" t="inlineStr">
        <is>
          <t>EUR</t>
        </is>
      </c>
      <c r="H1284" s="9" t="n">
        <v>-90427.24000000001</v>
      </c>
      <c r="I1284" s="16" t="n">
        <v>45576</v>
      </c>
      <c r="J1284" s="16" t="n">
        <v>45606</v>
      </c>
      <c r="K1284" s="5" t="inlineStr">
        <is>
          <t>1011/24</t>
        </is>
      </c>
      <c r="L1284" s="5" t="inlineStr">
        <is>
          <t>311589</t>
        </is>
      </c>
      <c r="M1284" s="5">
        <f>IF(YEAR(I1284)&lt;=2020,"Até 2020",TEXT(YEAR(I1284),"0"))</f>
        <v/>
      </c>
      <c r="N1284" s="5">
        <f>IFERROR(INDEX(DePara!$A:$A,MATCH(TEXT(B1284,"0"),DePara!$D:$D,0)),"(sem categoria)")</f>
        <v/>
      </c>
      <c r="O1284" s="5">
        <f>IF(J1284="","",Parametros!$B$6-J1284)</f>
        <v/>
      </c>
      <c r="P1284" s="5">
        <f>IF(O1284="","",IF(O1284&gt;0,1,0))</f>
        <v/>
      </c>
    </row>
    <row r="1285">
      <c r="A1285" s="5" t="n">
        <v>2122100000</v>
      </c>
      <c r="B1285" s="5" t="inlineStr">
        <is>
          <t>IC1000</t>
        </is>
      </c>
      <c r="C1285" s="5" t="inlineStr">
        <is>
          <t>NORDEX ENERGY SE &amp; CO KG</t>
        </is>
      </c>
      <c r="D1285" s="5" t="inlineStr">
        <is>
          <t>RE</t>
        </is>
      </c>
      <c r="E1285" s="5" t="n">
        <v>5052646</v>
      </c>
      <c r="F1285" s="5" t="inlineStr">
        <is>
          <t>311707</t>
        </is>
      </c>
      <c r="G1285" s="5" t="inlineStr">
        <is>
          <t>EUR</t>
        </is>
      </c>
      <c r="H1285" s="9" t="n">
        <v>-20981.37</v>
      </c>
      <c r="I1285" s="16" t="n">
        <v>45576</v>
      </c>
      <c r="J1285" s="16" t="n">
        <v>45606</v>
      </c>
      <c r="K1285" s="5" t="inlineStr">
        <is>
          <t>1011/24</t>
        </is>
      </c>
      <c r="L1285" s="5" t="inlineStr">
        <is>
          <t>311707</t>
        </is>
      </c>
      <c r="M1285" s="5">
        <f>IF(YEAR(I1285)&lt;=2020,"Até 2020",TEXT(YEAR(I1285),"0"))</f>
        <v/>
      </c>
      <c r="N1285" s="5">
        <f>IFERROR(INDEX(DePara!$A:$A,MATCH(TEXT(B1285,"0"),DePara!$D:$D,0)),"(sem categoria)")</f>
        <v/>
      </c>
      <c r="O1285" s="5">
        <f>IF(J1285="","",Parametros!$B$6-J1285)</f>
        <v/>
      </c>
      <c r="P1285" s="5">
        <f>IF(O1285="","",IF(O1285&gt;0,1,0))</f>
        <v/>
      </c>
    </row>
    <row r="1286">
      <c r="A1286" s="5" t="n">
        <v>2122100000</v>
      </c>
      <c r="B1286" s="5" t="inlineStr">
        <is>
          <t>IC1000</t>
        </is>
      </c>
      <c r="C1286" s="5" t="inlineStr">
        <is>
          <t>NORDEX ENERGY SE &amp; CO KG</t>
        </is>
      </c>
      <c r="D1286" s="5" t="inlineStr">
        <is>
          <t>KR</t>
        </is>
      </c>
      <c r="E1286" s="5" t="n">
        <v>5052961</v>
      </c>
      <c r="F1286" s="5" t="inlineStr">
        <is>
          <t>621218</t>
        </is>
      </c>
      <c r="G1286" s="5" t="inlineStr">
        <is>
          <t>EUR</t>
        </is>
      </c>
      <c r="H1286" s="9" t="n">
        <v>-1468561.09</v>
      </c>
      <c r="I1286" s="16" t="n">
        <v>45642</v>
      </c>
      <c r="J1286" s="16" t="n">
        <v>45672</v>
      </c>
      <c r="K1286" s="5" t="inlineStr">
        <is>
          <t>Licence Fee Q4.2024 - 621218</t>
        </is>
      </c>
      <c r="L1286" s="5" t="n"/>
      <c r="M1286" s="5">
        <f>IF(YEAR(I1286)&lt;=2020,"Até 2020",TEXT(YEAR(I1286),"0"))</f>
        <v/>
      </c>
      <c r="N1286" s="5">
        <f>IFERROR(INDEX(DePara!$A:$A,MATCH(TEXT(B1286,"0"),DePara!$D:$D,0)),"(sem categoria)")</f>
        <v/>
      </c>
      <c r="O1286" s="5">
        <f>IF(J1286="","",Parametros!$B$6-J1286)</f>
        <v/>
      </c>
      <c r="P1286" s="5">
        <f>IF(O1286="","",IF(O1286&gt;0,1,0))</f>
        <v/>
      </c>
    </row>
    <row r="1287">
      <c r="A1287" s="5" t="n">
        <v>2122100000</v>
      </c>
      <c r="B1287" s="5" t="inlineStr">
        <is>
          <t>IC5000</t>
        </is>
      </c>
      <c r="C1287" s="5" t="inlineStr">
        <is>
          <t>NORDEX SE</t>
        </is>
      </c>
      <c r="D1287" s="5" t="inlineStr">
        <is>
          <t>KR</t>
        </is>
      </c>
      <c r="E1287" s="5" t="n">
        <v>5055150</v>
      </c>
      <c r="F1287" s="5" t="inlineStr">
        <is>
          <t>608984</t>
        </is>
      </c>
      <c r="G1287" s="5" t="inlineStr">
        <is>
          <t>EUR</t>
        </is>
      </c>
      <c r="H1287" s="9" t="n">
        <v>-9879450.1</v>
      </c>
      <c r="I1287" s="16" t="n">
        <v>45642</v>
      </c>
      <c r="J1287" s="16" t="n">
        <v>45642</v>
      </c>
      <c r="K1287" s="5" t="inlineStr">
        <is>
          <t>Management Fee Q42024</t>
        </is>
      </c>
      <c r="L1287" s="5" t="n"/>
      <c r="M1287" s="5">
        <f>IF(YEAR(I1287)&lt;=2020,"Até 2020",TEXT(YEAR(I1287),"0"))</f>
        <v/>
      </c>
      <c r="N1287" s="5">
        <f>IFERROR(INDEX(DePara!$A:$A,MATCH(TEXT(B1287,"0"),DePara!$D:$D,0)),"(sem categoria)")</f>
        <v/>
      </c>
      <c r="O1287" s="5">
        <f>IF(J1287="","",Parametros!$B$6-J1287)</f>
        <v/>
      </c>
      <c r="P1287" s="5">
        <f>IF(O1287="","",IF(O1287&gt;0,1,0))</f>
        <v/>
      </c>
    </row>
    <row r="1288">
      <c r="A1288" s="5" t="n">
        <v>2122100000</v>
      </c>
      <c r="B1288" s="5" t="inlineStr">
        <is>
          <t>IC5000</t>
        </is>
      </c>
      <c r="C1288" s="5" t="inlineStr">
        <is>
          <t>NORDEX SE</t>
        </is>
      </c>
      <c r="D1288" s="5" t="inlineStr">
        <is>
          <t>KR</t>
        </is>
      </c>
      <c r="E1288" s="5" t="n">
        <v>5055184</v>
      </c>
      <c r="F1288" s="5" t="inlineStr">
        <is>
          <t>609086</t>
        </is>
      </c>
      <c r="G1288" s="5" t="inlineStr">
        <is>
          <t>EUR</t>
        </is>
      </c>
      <c r="H1288" s="9" t="n">
        <v>-4074278.75</v>
      </c>
      <c r="I1288" s="16" t="n">
        <v>45657</v>
      </c>
      <c r="J1288" s="16" t="n">
        <v>45657</v>
      </c>
      <c r="K1288" s="5" t="inlineStr">
        <is>
          <t>Parent Company Guarantee Fee Q4-2024</t>
        </is>
      </c>
      <c r="L1288" s="5" t="n"/>
      <c r="M1288" s="5">
        <f>IF(YEAR(I1288)&lt;=2020,"Até 2020",TEXT(YEAR(I1288),"0"))</f>
        <v/>
      </c>
      <c r="N1288" s="5">
        <f>IFERROR(INDEX(DePara!$A:$A,MATCH(TEXT(B1288,"0"),DePara!$D:$D,0)),"(sem categoria)")</f>
        <v/>
      </c>
      <c r="O1288" s="5">
        <f>IF(J1288="","",Parametros!$B$6-J1288)</f>
        <v/>
      </c>
      <c r="P1288" s="5">
        <f>IF(O1288="","",IF(O1288&gt;0,1,0))</f>
        <v/>
      </c>
    </row>
    <row r="1289">
      <c r="A1289" s="5" t="n">
        <v>2122100000</v>
      </c>
      <c r="B1289" s="5" t="inlineStr">
        <is>
          <t>IC5000</t>
        </is>
      </c>
      <c r="C1289" s="5" t="inlineStr">
        <is>
          <t>NORDEX SE</t>
        </is>
      </c>
      <c r="D1289" s="5" t="inlineStr">
        <is>
          <t>KR</t>
        </is>
      </c>
      <c r="E1289" s="5" t="n">
        <v>5055187</v>
      </c>
      <c r="F1289" s="5" t="inlineStr">
        <is>
          <t>609106</t>
        </is>
      </c>
      <c r="G1289" s="5" t="inlineStr">
        <is>
          <t>EUR</t>
        </is>
      </c>
      <c r="H1289" s="9" t="n">
        <v>-7412106.11</v>
      </c>
      <c r="I1289" s="16" t="n">
        <v>45657</v>
      </c>
      <c r="J1289" s="16" t="n">
        <v>45657</v>
      </c>
      <c r="K1289" s="5" t="inlineStr">
        <is>
          <t>Vendor Invoice NORDEX SE 609106</t>
        </is>
      </c>
      <c r="L1289" s="5" t="n"/>
      <c r="M1289" s="5">
        <f>IF(YEAR(I1289)&lt;=2020,"Até 2020",TEXT(YEAR(I1289),"0"))</f>
        <v/>
      </c>
      <c r="N1289" s="5">
        <f>IFERROR(INDEX(DePara!$A:$A,MATCH(TEXT(B1289,"0"),DePara!$D:$D,0)),"(sem categoria)")</f>
        <v/>
      </c>
      <c r="O1289" s="5">
        <f>IF(J1289="","",Parametros!$B$6-J1289)</f>
        <v/>
      </c>
      <c r="P1289" s="5">
        <f>IF(O1289="","",IF(O1289&gt;0,1,0))</f>
        <v/>
      </c>
    </row>
    <row r="1290">
      <c r="A1290" s="5" t="n">
        <v>2122100000</v>
      </c>
      <c r="B1290" s="5" t="inlineStr">
        <is>
          <t>IC1000</t>
        </is>
      </c>
      <c r="C1290" s="5" t="inlineStr">
        <is>
          <t>NORDEX ENERGY SE &amp; CO KG</t>
        </is>
      </c>
      <c r="D1290" s="5" t="inlineStr">
        <is>
          <t>KR</t>
        </is>
      </c>
      <c r="E1290" s="5" t="n">
        <v>5055188</v>
      </c>
      <c r="F1290" s="5" t="inlineStr">
        <is>
          <t>621109</t>
        </is>
      </c>
      <c r="G1290" s="5" t="inlineStr">
        <is>
          <t>EUR</t>
        </is>
      </c>
      <c r="H1290" s="9" t="n">
        <v>-23766696.82</v>
      </c>
      <c r="I1290" s="16" t="n">
        <v>45638</v>
      </c>
      <c r="J1290" s="16" t="n">
        <v>45668</v>
      </c>
      <c r="K1290" s="5" t="inlineStr">
        <is>
          <t>Vendor Invoice NORDEX ENERGY SE &amp; CO KG 621109</t>
        </is>
      </c>
      <c r="L1290" s="5" t="n"/>
      <c r="M1290" s="5">
        <f>IF(YEAR(I1290)&lt;=2020,"Até 2020",TEXT(YEAR(I1290),"0"))</f>
        <v/>
      </c>
      <c r="N1290" s="5">
        <f>IFERROR(INDEX(DePara!$A:$A,MATCH(TEXT(B1290,"0"),DePara!$D:$D,0)),"(sem categoria)")</f>
        <v/>
      </c>
      <c r="O1290" s="5">
        <f>IF(J1290="","",Parametros!$B$6-J1290)</f>
        <v/>
      </c>
      <c r="P1290" s="5">
        <f>IF(O1290="","",IF(O1290&gt;0,1,0))</f>
        <v/>
      </c>
    </row>
    <row r="1291">
      <c r="A1291" s="5" t="n">
        <v>2122100000</v>
      </c>
      <c r="B1291" s="5" t="inlineStr">
        <is>
          <t>IC5000</t>
        </is>
      </c>
      <c r="C1291" s="5" t="inlineStr">
        <is>
          <t>NORDEX SE</t>
        </is>
      </c>
      <c r="D1291" s="5" t="inlineStr">
        <is>
          <t>KR</t>
        </is>
      </c>
      <c r="E1291" s="5" t="n">
        <v>5055196</v>
      </c>
      <c r="F1291" s="5" t="inlineStr">
        <is>
          <t>609015</t>
        </is>
      </c>
      <c r="G1291" s="5" t="inlineStr">
        <is>
          <t>BRL</t>
        </is>
      </c>
      <c r="H1291" s="9" t="n">
        <v>-1057875</v>
      </c>
      <c r="I1291" s="16" t="n">
        <v>45645</v>
      </c>
      <c r="J1291" s="16" t="n">
        <v>45645</v>
      </c>
      <c r="K1291" s="5" t="inlineStr">
        <is>
          <t>Accrual - Loan interest Q4.2024 - 4690</t>
        </is>
      </c>
      <c r="L1291" s="5" t="n"/>
      <c r="M1291" s="5">
        <f>IF(YEAR(I1291)&lt;=2020,"Até 2020",TEXT(YEAR(I1291),"0"))</f>
        <v/>
      </c>
      <c r="N1291" s="5">
        <f>IFERROR(INDEX(DePara!$A:$A,MATCH(TEXT(B1291,"0"),DePara!$D:$D,0)),"(sem categoria)")</f>
        <v/>
      </c>
      <c r="O1291" s="5">
        <f>IF(J1291="","",Parametros!$B$6-J1291)</f>
        <v/>
      </c>
      <c r="P1291" s="5">
        <f>IF(O1291="","",IF(O1291&gt;0,1,0))</f>
        <v/>
      </c>
    </row>
    <row r="1292">
      <c r="A1292" s="5" t="n">
        <v>2122100000</v>
      </c>
      <c r="B1292" s="5" t="inlineStr">
        <is>
          <t>IC4420</t>
        </is>
      </c>
      <c r="C1292" s="5" t="inlineStr">
        <is>
          <t>NORDEX ENERGY SPAIN S A U</t>
        </is>
      </c>
      <c r="D1292" s="5" t="inlineStr">
        <is>
          <t>UE</t>
        </is>
      </c>
      <c r="E1292" s="5" t="n">
        <v>200000324</v>
      </c>
      <c r="F1292" s="5" t="inlineStr">
        <is>
          <t>9151</t>
        </is>
      </c>
      <c r="G1292" s="5" t="inlineStr">
        <is>
          <t>BRL</t>
        </is>
      </c>
      <c r="H1292" s="9" t="n">
        <v>-121.53</v>
      </c>
      <c r="I1292" s="16" t="n">
        <v>44413</v>
      </c>
      <c r="J1292" s="16" t="n">
        <v>44413</v>
      </c>
      <c r="K1292" s="5" t="inlineStr">
        <is>
          <t>000000021002</t>
        </is>
      </c>
      <c r="L1292" s="5" t="inlineStr">
        <is>
          <t>400000.210101</t>
        </is>
      </c>
      <c r="M1292" s="5">
        <f>IF(YEAR(I1292)&lt;=2020,"Até 2020",TEXT(YEAR(I1292),"0"))</f>
        <v/>
      </c>
      <c r="N1292" s="5">
        <f>IFERROR(INDEX(DePara!$A:$A,MATCH(TEXT(B1292,"0"),DePara!$D:$D,0)),"(sem categoria)")</f>
        <v/>
      </c>
      <c r="O1292" s="5">
        <f>IF(J1292="","",Parametros!$B$6-J1292)</f>
        <v/>
      </c>
      <c r="P1292" s="5">
        <f>IF(O1292="","",IF(O1292&gt;0,1,0))</f>
        <v/>
      </c>
    </row>
    <row r="1293">
      <c r="A1293" s="5" t="n">
        <v>2122100000</v>
      </c>
      <c r="B1293" s="5" t="inlineStr">
        <is>
          <t>IC1000</t>
        </is>
      </c>
      <c r="C1293" s="5" t="inlineStr">
        <is>
          <t>NORDEX ENERGY SE &amp; CO KG</t>
        </is>
      </c>
      <c r="D1293" s="5" t="inlineStr">
        <is>
          <t>UE</t>
        </is>
      </c>
      <c r="E1293" s="5" t="n">
        <v>200002561</v>
      </c>
      <c r="F1293" s="5" t="inlineStr">
        <is>
          <t>6611</t>
        </is>
      </c>
      <c r="G1293" s="5" t="inlineStr">
        <is>
          <t>EUR</t>
        </is>
      </c>
      <c r="H1293" s="9" t="n">
        <v>-5113.11</v>
      </c>
      <c r="I1293" s="16" t="n">
        <v>44897</v>
      </c>
      <c r="J1293" s="16" t="n">
        <v>44897</v>
      </c>
      <c r="K1293" s="5" t="inlineStr">
        <is>
          <t>000002880002</t>
        </is>
      </c>
      <c r="L1293" s="5" t="inlineStr">
        <is>
          <t>403000.NORDENER</t>
        </is>
      </c>
      <c r="M1293" s="5">
        <f>IF(YEAR(I1293)&lt;=2020,"Até 2020",TEXT(YEAR(I1293),"0"))</f>
        <v/>
      </c>
      <c r="N1293" s="5">
        <f>IFERROR(INDEX(DePara!$A:$A,MATCH(TEXT(B1293,"0"),DePara!$D:$D,0)),"(sem categoria)")</f>
        <v/>
      </c>
      <c r="O1293" s="5">
        <f>IF(J1293="","",Parametros!$B$6-J1293)</f>
        <v/>
      </c>
      <c r="P1293" s="5">
        <f>IF(O1293="","",IF(O1293&gt;0,1,0))</f>
        <v/>
      </c>
    </row>
    <row r="1294">
      <c r="A1294" s="5" t="n">
        <v>2122100000</v>
      </c>
      <c r="B1294" s="5" t="inlineStr">
        <is>
          <t>IC1000</t>
        </is>
      </c>
      <c r="C1294" s="5" t="inlineStr">
        <is>
          <t>NORDEX ENERGY SE &amp; CO KG</t>
        </is>
      </c>
      <c r="D1294" s="5" t="inlineStr">
        <is>
          <t>UE</t>
        </is>
      </c>
      <c r="E1294" s="5" t="n">
        <v>200002567</v>
      </c>
      <c r="F1294" s="5" t="inlineStr">
        <is>
          <t>6617</t>
        </is>
      </c>
      <c r="G1294" s="5" t="inlineStr">
        <is>
          <t>EUR</t>
        </is>
      </c>
      <c r="H1294" s="9" t="n">
        <v>-92159.06</v>
      </c>
      <c r="I1294" s="16" t="n">
        <v>44918</v>
      </c>
      <c r="J1294" s="16" t="n">
        <v>44918</v>
      </c>
      <c r="K1294" s="5" t="inlineStr">
        <is>
          <t>000001817002</t>
        </is>
      </c>
      <c r="L1294" s="5" t="inlineStr">
        <is>
          <t>403000.NORDENER</t>
        </is>
      </c>
      <c r="M1294" s="5">
        <f>IF(YEAR(I1294)&lt;=2020,"Até 2020",TEXT(YEAR(I1294),"0"))</f>
        <v/>
      </c>
      <c r="N1294" s="5">
        <f>IFERROR(INDEX(DePara!$A:$A,MATCH(TEXT(B1294,"0"),DePara!$D:$D,0)),"(sem categoria)")</f>
        <v/>
      </c>
      <c r="O1294" s="5">
        <f>IF(J1294="","",Parametros!$B$6-J1294)</f>
        <v/>
      </c>
      <c r="P1294" s="5">
        <f>IF(O1294="","",IF(O1294&gt;0,1,0))</f>
        <v/>
      </c>
    </row>
    <row r="1295">
      <c r="A1295" s="5" t="n">
        <v>2122100000</v>
      </c>
      <c r="B1295" s="5" t="inlineStr">
        <is>
          <t>IC1000</t>
        </is>
      </c>
      <c r="C1295" s="5" t="inlineStr">
        <is>
          <t>NORDEX ENERGY SE &amp; CO KG</t>
        </is>
      </c>
      <c r="D1295" s="5" t="inlineStr">
        <is>
          <t>UE</t>
        </is>
      </c>
      <c r="E1295" s="5" t="n">
        <v>200002569</v>
      </c>
      <c r="F1295" s="5" t="inlineStr">
        <is>
          <t>6619</t>
        </is>
      </c>
      <c r="G1295" s="5" t="inlineStr">
        <is>
          <t>EUR</t>
        </is>
      </c>
      <c r="H1295" s="9" t="n">
        <v>-96995.16</v>
      </c>
      <c r="I1295" s="16" t="n">
        <v>44902</v>
      </c>
      <c r="J1295" s="16" t="n">
        <v>44902</v>
      </c>
      <c r="K1295" s="5" t="inlineStr">
        <is>
          <t>000002920002</t>
        </is>
      </c>
      <c r="L1295" s="5" t="inlineStr">
        <is>
          <t>403000.NORDENER</t>
        </is>
      </c>
      <c r="M1295" s="5">
        <f>IF(YEAR(I1295)&lt;=2020,"Até 2020",TEXT(YEAR(I1295),"0"))</f>
        <v/>
      </c>
      <c r="N1295" s="5">
        <f>IFERROR(INDEX(DePara!$A:$A,MATCH(TEXT(B1295,"0"),DePara!$D:$D,0)),"(sem categoria)")</f>
        <v/>
      </c>
      <c r="O1295" s="5">
        <f>IF(J1295="","",Parametros!$B$6-J1295)</f>
        <v/>
      </c>
      <c r="P1295" s="5">
        <f>IF(O1295="","",IF(O1295&gt;0,1,0))</f>
        <v/>
      </c>
    </row>
    <row r="1296">
      <c r="A1296" s="5" t="n">
        <v>2122100000</v>
      </c>
      <c r="B1296" s="5" t="inlineStr">
        <is>
          <t>IC1000</t>
        </is>
      </c>
      <c r="C1296" s="5" t="inlineStr">
        <is>
          <t>NORDEX ENERGY SE &amp; CO KG</t>
        </is>
      </c>
      <c r="D1296" s="5" t="inlineStr">
        <is>
          <t>UE</t>
        </is>
      </c>
      <c r="E1296" s="5" t="n">
        <v>200002572</v>
      </c>
      <c r="F1296" s="5" t="inlineStr">
        <is>
          <t>6621</t>
        </is>
      </c>
      <c r="G1296" s="5" t="inlineStr">
        <is>
          <t>EUR</t>
        </is>
      </c>
      <c r="H1296" s="9" t="n">
        <v>-102264.78</v>
      </c>
      <c r="I1296" s="16" t="n">
        <v>44911</v>
      </c>
      <c r="J1296" s="16" t="n">
        <v>44911</v>
      </c>
      <c r="K1296" s="5" t="inlineStr">
        <is>
          <t>000003004002</t>
        </is>
      </c>
      <c r="L1296" s="5" t="inlineStr">
        <is>
          <t>403000.NORDENER</t>
        </is>
      </c>
      <c r="M1296" s="5">
        <f>IF(YEAR(I1296)&lt;=2020,"Até 2020",TEXT(YEAR(I1296),"0"))</f>
        <v/>
      </c>
      <c r="N1296" s="5">
        <f>IFERROR(INDEX(DePara!$A:$A,MATCH(TEXT(B1296,"0"),DePara!$D:$D,0)),"(sem categoria)")</f>
        <v/>
      </c>
      <c r="O1296" s="5">
        <f>IF(J1296="","",Parametros!$B$6-J1296)</f>
        <v/>
      </c>
      <c r="P1296" s="5">
        <f>IF(O1296="","",IF(O1296&gt;0,1,0))</f>
        <v/>
      </c>
    </row>
    <row r="1297">
      <c r="A1297" s="5" t="n">
        <v>2122100000</v>
      </c>
      <c r="B1297" s="5" t="inlineStr">
        <is>
          <t>IC1000</t>
        </is>
      </c>
      <c r="C1297" s="5" t="inlineStr">
        <is>
          <t>NORDEX ENERGY SE &amp; CO KG</t>
        </is>
      </c>
      <c r="D1297" s="5" t="inlineStr">
        <is>
          <t>UE</t>
        </is>
      </c>
      <c r="E1297" s="5" t="n">
        <v>200002574</v>
      </c>
      <c r="F1297" s="5" t="inlineStr">
        <is>
          <t>6623</t>
        </is>
      </c>
      <c r="G1297" s="5" t="inlineStr">
        <is>
          <t>EUR</t>
        </is>
      </c>
      <c r="H1297" s="9" t="n">
        <v>-1916.51</v>
      </c>
      <c r="I1297" s="16" t="n">
        <v>44903</v>
      </c>
      <c r="J1297" s="16" t="n">
        <v>44903</v>
      </c>
      <c r="K1297" s="5" t="inlineStr">
        <is>
          <t>000002932002</t>
        </is>
      </c>
      <c r="L1297" s="5" t="inlineStr">
        <is>
          <t>403000.NORDENER</t>
        </is>
      </c>
      <c r="M1297" s="5">
        <f>IF(YEAR(I1297)&lt;=2020,"Até 2020",TEXT(YEAR(I1297),"0"))</f>
        <v/>
      </c>
      <c r="N1297" s="5">
        <f>IFERROR(INDEX(DePara!$A:$A,MATCH(TEXT(B1297,"0"),DePara!$D:$D,0)),"(sem categoria)")</f>
        <v/>
      </c>
      <c r="O1297" s="5">
        <f>IF(J1297="","",Parametros!$B$6-J1297)</f>
        <v/>
      </c>
      <c r="P1297" s="5">
        <f>IF(O1297="","",IF(O1297&gt;0,1,0))</f>
        <v/>
      </c>
    </row>
    <row r="1298">
      <c r="A1298" s="5" t="n">
        <v>2122100000</v>
      </c>
      <c r="B1298" s="5" t="inlineStr">
        <is>
          <t>IC1000</t>
        </is>
      </c>
      <c r="C1298" s="5" t="inlineStr">
        <is>
          <t>NORDEX ENERGY SE &amp; CO KG</t>
        </is>
      </c>
      <c r="D1298" s="5" t="inlineStr">
        <is>
          <t>UE</t>
        </is>
      </c>
      <c r="E1298" s="5" t="n">
        <v>200002577</v>
      </c>
      <c r="F1298" s="5" t="inlineStr">
        <is>
          <t>6626</t>
        </is>
      </c>
      <c r="G1298" s="5" t="inlineStr">
        <is>
          <t>EUR</t>
        </is>
      </c>
      <c r="H1298" s="9" t="n">
        <v>-26651.97</v>
      </c>
      <c r="I1298" s="16" t="n">
        <v>44917</v>
      </c>
      <c r="J1298" s="16" t="n">
        <v>44917</v>
      </c>
      <c r="K1298" s="5" t="inlineStr">
        <is>
          <t>000003033002</t>
        </is>
      </c>
      <c r="L1298" s="5" t="inlineStr">
        <is>
          <t>403000.NORDENER</t>
        </is>
      </c>
      <c r="M1298" s="5">
        <f>IF(YEAR(I1298)&lt;=2020,"Até 2020",TEXT(YEAR(I1298),"0"))</f>
        <v/>
      </c>
      <c r="N1298" s="5">
        <f>IFERROR(INDEX(DePara!$A:$A,MATCH(TEXT(B1298,"0"),DePara!$D:$D,0)),"(sem categoria)")</f>
        <v/>
      </c>
      <c r="O1298" s="5">
        <f>IF(J1298="","",Parametros!$B$6-J1298)</f>
        <v/>
      </c>
      <c r="P1298" s="5">
        <f>IF(O1298="","",IF(O1298&gt;0,1,0))</f>
        <v/>
      </c>
    </row>
    <row r="1299">
      <c r="A1299" s="5" t="n">
        <v>2122100000</v>
      </c>
      <c r="B1299" s="5" t="inlineStr">
        <is>
          <t>IC1000</t>
        </is>
      </c>
      <c r="C1299" s="5" t="inlineStr">
        <is>
          <t>NORDEX ENERGY SE &amp; CO KG</t>
        </is>
      </c>
      <c r="D1299" s="5" t="inlineStr">
        <is>
          <t>UE</t>
        </is>
      </c>
      <c r="E1299" s="5" t="n">
        <v>200002579</v>
      </c>
      <c r="F1299" s="5" t="inlineStr">
        <is>
          <t>6628</t>
        </is>
      </c>
      <c r="G1299" s="5" t="inlineStr">
        <is>
          <t>EUR</t>
        </is>
      </c>
      <c r="H1299" s="9" t="n">
        <v>-87482.27</v>
      </c>
      <c r="I1299" s="16" t="n">
        <v>44915</v>
      </c>
      <c r="J1299" s="16" t="n">
        <v>44915</v>
      </c>
      <c r="K1299" s="5" t="inlineStr">
        <is>
          <t>000003013002</t>
        </is>
      </c>
      <c r="L1299" s="5" t="inlineStr">
        <is>
          <t>403000.NORDENER</t>
        </is>
      </c>
      <c r="M1299" s="5">
        <f>IF(YEAR(I1299)&lt;=2020,"Até 2020",TEXT(YEAR(I1299),"0"))</f>
        <v/>
      </c>
      <c r="N1299" s="5">
        <f>IFERROR(INDEX(DePara!$A:$A,MATCH(TEXT(B1299,"0"),DePara!$D:$D,0)),"(sem categoria)")</f>
        <v/>
      </c>
      <c r="O1299" s="5">
        <f>IF(J1299="","",Parametros!$B$6-J1299)</f>
        <v/>
      </c>
      <c r="P1299" s="5">
        <f>IF(O1299="","",IF(O1299&gt;0,1,0))</f>
        <v/>
      </c>
    </row>
    <row r="1300">
      <c r="A1300" s="5" t="n">
        <v>2122100000</v>
      </c>
      <c r="B1300" s="5" t="inlineStr">
        <is>
          <t>IC1000</t>
        </is>
      </c>
      <c r="C1300" s="5" t="inlineStr">
        <is>
          <t>NORDEX ENERGY SE &amp; CO KG</t>
        </is>
      </c>
      <c r="D1300" s="5" t="inlineStr">
        <is>
          <t>UE</t>
        </is>
      </c>
      <c r="E1300" s="5" t="n">
        <v>200002594</v>
      </c>
      <c r="F1300" s="5" t="inlineStr">
        <is>
          <t>6641</t>
        </is>
      </c>
      <c r="G1300" s="5" t="inlineStr">
        <is>
          <t>EUR</t>
        </is>
      </c>
      <c r="H1300" s="9" t="n">
        <v>-77506.25999999999</v>
      </c>
      <c r="I1300" s="16" t="n">
        <v>44916</v>
      </c>
      <c r="J1300" s="16" t="n">
        <v>44916</v>
      </c>
      <c r="K1300" s="5" t="inlineStr">
        <is>
          <t>000003017002</t>
        </is>
      </c>
      <c r="L1300" s="5" t="inlineStr">
        <is>
          <t>403000.NORDENER</t>
        </is>
      </c>
      <c r="M1300" s="5">
        <f>IF(YEAR(I1300)&lt;=2020,"Até 2020",TEXT(YEAR(I1300),"0"))</f>
        <v/>
      </c>
      <c r="N1300" s="5">
        <f>IFERROR(INDEX(DePara!$A:$A,MATCH(TEXT(B1300,"0"),DePara!$D:$D,0)),"(sem categoria)")</f>
        <v/>
      </c>
      <c r="O1300" s="5">
        <f>IF(J1300="","",Parametros!$B$6-J1300)</f>
        <v/>
      </c>
      <c r="P1300" s="5">
        <f>IF(O1300="","",IF(O1300&gt;0,1,0))</f>
        <v/>
      </c>
    </row>
    <row r="1301">
      <c r="A1301" s="5" t="n">
        <v>2122100000</v>
      </c>
      <c r="B1301" s="5" t="inlineStr">
        <is>
          <t>IC1000</t>
        </is>
      </c>
      <c r="C1301" s="5" t="inlineStr">
        <is>
          <t>NORDEX ENERGY SE &amp; CO KG</t>
        </is>
      </c>
      <c r="D1301" s="5" t="inlineStr">
        <is>
          <t>UE</t>
        </is>
      </c>
      <c r="E1301" s="5" t="n">
        <v>200002622</v>
      </c>
      <c r="F1301" s="5" t="inlineStr">
        <is>
          <t>6667</t>
        </is>
      </c>
      <c r="G1301" s="5" t="inlineStr">
        <is>
          <t>EUR</t>
        </is>
      </c>
      <c r="H1301" s="9" t="n">
        <v>-26150.71</v>
      </c>
      <c r="I1301" s="16" t="n">
        <v>44921</v>
      </c>
      <c r="J1301" s="16" t="n">
        <v>44921</v>
      </c>
      <c r="K1301" s="5" t="inlineStr">
        <is>
          <t>000003053002</t>
        </is>
      </c>
      <c r="L1301" s="5" t="inlineStr">
        <is>
          <t>403000.NORDENER</t>
        </is>
      </c>
      <c r="M1301" s="5">
        <f>IF(YEAR(I1301)&lt;=2020,"Até 2020",TEXT(YEAR(I1301),"0"))</f>
        <v/>
      </c>
      <c r="N1301" s="5">
        <f>IFERROR(INDEX(DePara!$A:$A,MATCH(TEXT(B1301,"0"),DePara!$D:$D,0)),"(sem categoria)")</f>
        <v/>
      </c>
      <c r="O1301" s="5">
        <f>IF(J1301="","",Parametros!$B$6-J1301)</f>
        <v/>
      </c>
      <c r="P1301" s="5">
        <f>IF(O1301="","",IF(O1301&gt;0,1,0))</f>
        <v/>
      </c>
    </row>
    <row r="1302">
      <c r="A1302" s="5" t="n">
        <v>2122100000</v>
      </c>
      <c r="B1302" s="5" t="inlineStr">
        <is>
          <t>IC1000</t>
        </is>
      </c>
      <c r="C1302" s="5" t="inlineStr">
        <is>
          <t>NORDEX ENERGY SE &amp; CO KG</t>
        </is>
      </c>
      <c r="D1302" s="5" t="inlineStr">
        <is>
          <t>UE</t>
        </is>
      </c>
      <c r="E1302" s="5" t="n">
        <v>200002623</v>
      </c>
      <c r="F1302" s="5" t="inlineStr">
        <is>
          <t>6668</t>
        </is>
      </c>
      <c r="G1302" s="5" t="inlineStr">
        <is>
          <t>EUR</t>
        </is>
      </c>
      <c r="H1302" s="9" t="n">
        <v>-26697.95</v>
      </c>
      <c r="I1302" s="16" t="n">
        <v>44921</v>
      </c>
      <c r="J1302" s="16" t="n">
        <v>44921</v>
      </c>
      <c r="K1302" s="5" t="inlineStr">
        <is>
          <t>000003055002</t>
        </is>
      </c>
      <c r="L1302" s="5" t="inlineStr">
        <is>
          <t>403000.NORDENER</t>
        </is>
      </c>
      <c r="M1302" s="5">
        <f>IF(YEAR(I1302)&lt;=2020,"Até 2020",TEXT(YEAR(I1302),"0"))</f>
        <v/>
      </c>
      <c r="N1302" s="5">
        <f>IFERROR(INDEX(DePara!$A:$A,MATCH(TEXT(B1302,"0"),DePara!$D:$D,0)),"(sem categoria)")</f>
        <v/>
      </c>
      <c r="O1302" s="5">
        <f>IF(J1302="","",Parametros!$B$6-J1302)</f>
        <v/>
      </c>
      <c r="P1302" s="5">
        <f>IF(O1302="","",IF(O1302&gt;0,1,0))</f>
        <v/>
      </c>
    </row>
    <row r="1303">
      <c r="A1303" s="5" t="n">
        <v>2122100000</v>
      </c>
      <c r="B1303" s="5" t="inlineStr">
        <is>
          <t>IC1000</t>
        </is>
      </c>
      <c r="C1303" s="5" t="inlineStr">
        <is>
          <t>NORDEX ENERGY SE &amp; CO KG</t>
        </is>
      </c>
      <c r="D1303" s="5" t="inlineStr">
        <is>
          <t>UE</t>
        </is>
      </c>
      <c r="E1303" s="5" t="n">
        <v>200002632</v>
      </c>
      <c r="F1303" s="5" t="inlineStr">
        <is>
          <t>6676</t>
        </is>
      </c>
      <c r="G1303" s="5" t="inlineStr">
        <is>
          <t>EUR</t>
        </is>
      </c>
      <c r="H1303" s="9" t="n">
        <v>-1988977.3</v>
      </c>
      <c r="I1303" s="16" t="n">
        <v>44924</v>
      </c>
      <c r="J1303" s="16" t="n">
        <v>44924</v>
      </c>
      <c r="K1303" s="5" t="inlineStr">
        <is>
          <t>000001821002</t>
        </is>
      </c>
      <c r="L1303" s="5" t="inlineStr">
        <is>
          <t>403000.NORDENER</t>
        </is>
      </c>
      <c r="M1303" s="5">
        <f>IF(YEAR(I1303)&lt;=2020,"Até 2020",TEXT(YEAR(I1303),"0"))</f>
        <v/>
      </c>
      <c r="N1303" s="5">
        <f>IFERROR(INDEX(DePara!$A:$A,MATCH(TEXT(B1303,"0"),DePara!$D:$D,0)),"(sem categoria)")</f>
        <v/>
      </c>
      <c r="O1303" s="5">
        <f>IF(J1303="","",Parametros!$B$6-J1303)</f>
        <v/>
      </c>
      <c r="P1303" s="5">
        <f>IF(O1303="","",IF(O1303&gt;0,1,0))</f>
        <v/>
      </c>
    </row>
    <row r="1304">
      <c r="A1304" s="5" t="n">
        <v>2122100000</v>
      </c>
      <c r="B1304" s="5" t="inlineStr">
        <is>
          <t>IC1000</t>
        </is>
      </c>
      <c r="C1304" s="5" t="inlineStr">
        <is>
          <t>NORDEX ENERGY SE &amp; CO KG</t>
        </is>
      </c>
      <c r="D1304" s="5" t="inlineStr">
        <is>
          <t>UE</t>
        </is>
      </c>
      <c r="E1304" s="5" t="n">
        <v>200002642</v>
      </c>
      <c r="F1304" s="5" t="inlineStr">
        <is>
          <t>6685</t>
        </is>
      </c>
      <c r="G1304" s="5" t="inlineStr">
        <is>
          <t>EUR</t>
        </is>
      </c>
      <c r="H1304" s="9" t="n">
        <v>-208189.62</v>
      </c>
      <c r="I1304" s="16" t="n">
        <v>44929</v>
      </c>
      <c r="J1304" s="16" t="n">
        <v>44929</v>
      </c>
      <c r="K1304" s="5" t="inlineStr">
        <is>
          <t>000003071002</t>
        </is>
      </c>
      <c r="L1304" s="5" t="inlineStr">
        <is>
          <t>403000.NORDENER</t>
        </is>
      </c>
      <c r="M1304" s="5">
        <f>IF(YEAR(I1304)&lt;=2020,"Até 2020",TEXT(YEAR(I1304),"0"))</f>
        <v/>
      </c>
      <c r="N1304" s="5">
        <f>IFERROR(INDEX(DePara!$A:$A,MATCH(TEXT(B1304,"0"),DePara!$D:$D,0)),"(sem categoria)")</f>
        <v/>
      </c>
      <c r="O1304" s="5">
        <f>IF(J1304="","",Parametros!$B$6-J1304)</f>
        <v/>
      </c>
      <c r="P1304" s="5">
        <f>IF(O1304="","",IF(O1304&gt;0,1,0))</f>
        <v/>
      </c>
    </row>
    <row r="1305">
      <c r="A1305" s="5" t="n">
        <v>2122100000</v>
      </c>
      <c r="B1305" s="5" t="inlineStr">
        <is>
          <t>IC1000</t>
        </is>
      </c>
      <c r="C1305" s="5" t="inlineStr">
        <is>
          <t>NORDEX ENERGY SE &amp; CO KG</t>
        </is>
      </c>
      <c r="D1305" s="5" t="inlineStr">
        <is>
          <t>UE</t>
        </is>
      </c>
      <c r="E1305" s="5" t="n">
        <v>200002644</v>
      </c>
      <c r="F1305" s="5" t="inlineStr">
        <is>
          <t>6687</t>
        </is>
      </c>
      <c r="G1305" s="5" t="inlineStr">
        <is>
          <t>EUR</t>
        </is>
      </c>
      <c r="H1305" s="9" t="n">
        <v>-39638.21</v>
      </c>
      <c r="I1305" s="16" t="n">
        <v>44929</v>
      </c>
      <c r="J1305" s="16" t="n">
        <v>44929</v>
      </c>
      <c r="K1305" s="5" t="inlineStr">
        <is>
          <t>000003090002</t>
        </is>
      </c>
      <c r="L1305" s="5" t="inlineStr">
        <is>
          <t>403000.NORDENER</t>
        </is>
      </c>
      <c r="M1305" s="5">
        <f>IF(YEAR(I1305)&lt;=2020,"Até 2020",TEXT(YEAR(I1305),"0"))</f>
        <v/>
      </c>
      <c r="N1305" s="5">
        <f>IFERROR(INDEX(DePara!$A:$A,MATCH(TEXT(B1305,"0"),DePara!$D:$D,0)),"(sem categoria)")</f>
        <v/>
      </c>
      <c r="O1305" s="5">
        <f>IF(J1305="","",Parametros!$B$6-J1305)</f>
        <v/>
      </c>
      <c r="P1305" s="5">
        <f>IF(O1305="","",IF(O1305&gt;0,1,0))</f>
        <v/>
      </c>
    </row>
    <row r="1306">
      <c r="A1306" s="5" t="n">
        <v>2122100000</v>
      </c>
      <c r="B1306" s="5" t="inlineStr">
        <is>
          <t>IC1000</t>
        </is>
      </c>
      <c r="C1306" s="5" t="inlineStr">
        <is>
          <t>NORDEX ENERGY SE &amp; CO KG</t>
        </is>
      </c>
      <c r="D1306" s="5" t="inlineStr">
        <is>
          <t>UE</t>
        </is>
      </c>
      <c r="E1306" s="5" t="n">
        <v>200002663</v>
      </c>
      <c r="F1306" s="5" t="inlineStr">
        <is>
          <t>6703</t>
        </is>
      </c>
      <c r="G1306" s="5" t="inlineStr">
        <is>
          <t>EUR</t>
        </is>
      </c>
      <c r="H1306" s="9" t="n">
        <v>-41349.63</v>
      </c>
      <c r="I1306" s="16" t="n">
        <v>44937</v>
      </c>
      <c r="J1306" s="16" t="n">
        <v>44937</v>
      </c>
      <c r="K1306" s="5" t="inlineStr">
        <is>
          <t>000003125002</t>
        </is>
      </c>
      <c r="L1306" s="5" t="inlineStr">
        <is>
          <t>403000.NORDENER</t>
        </is>
      </c>
      <c r="M1306" s="5">
        <f>IF(YEAR(I1306)&lt;=2020,"Até 2020",TEXT(YEAR(I1306),"0"))</f>
        <v/>
      </c>
      <c r="N1306" s="5">
        <f>IFERROR(INDEX(DePara!$A:$A,MATCH(TEXT(B1306,"0"),DePara!$D:$D,0)),"(sem categoria)")</f>
        <v/>
      </c>
      <c r="O1306" s="5">
        <f>IF(J1306="","",Parametros!$B$6-J1306)</f>
        <v/>
      </c>
      <c r="P1306" s="5">
        <f>IF(O1306="","",IF(O1306&gt;0,1,0))</f>
        <v/>
      </c>
    </row>
    <row r="1307">
      <c r="A1307" s="5" t="n">
        <v>2122100000</v>
      </c>
      <c r="B1307" s="5" t="inlineStr">
        <is>
          <t>IC1000</t>
        </is>
      </c>
      <c r="C1307" s="5" t="inlineStr">
        <is>
          <t>NORDEX ENERGY SE &amp; CO KG</t>
        </is>
      </c>
      <c r="D1307" s="5" t="inlineStr">
        <is>
          <t>UE</t>
        </is>
      </c>
      <c r="E1307" s="5" t="n">
        <v>200002666</v>
      </c>
      <c r="F1307" s="5" t="inlineStr">
        <is>
          <t>6706</t>
        </is>
      </c>
      <c r="G1307" s="5" t="inlineStr">
        <is>
          <t>EUR</t>
        </is>
      </c>
      <c r="H1307" s="9" t="n">
        <v>-59815.49</v>
      </c>
      <c r="I1307" s="16" t="n">
        <v>44938</v>
      </c>
      <c r="J1307" s="16" t="n">
        <v>44938</v>
      </c>
      <c r="K1307" s="5" t="inlineStr">
        <is>
          <t>000003134002</t>
        </is>
      </c>
      <c r="L1307" s="5" t="inlineStr">
        <is>
          <t>403000.NORDENER</t>
        </is>
      </c>
      <c r="M1307" s="5">
        <f>IF(YEAR(I1307)&lt;=2020,"Até 2020",TEXT(YEAR(I1307),"0"))</f>
        <v/>
      </c>
      <c r="N1307" s="5">
        <f>IFERROR(INDEX(DePara!$A:$A,MATCH(TEXT(B1307,"0"),DePara!$D:$D,0)),"(sem categoria)")</f>
        <v/>
      </c>
      <c r="O1307" s="5">
        <f>IF(J1307="","",Parametros!$B$6-J1307)</f>
        <v/>
      </c>
      <c r="P1307" s="5">
        <f>IF(O1307="","",IF(O1307&gt;0,1,0))</f>
        <v/>
      </c>
    </row>
    <row r="1308">
      <c r="A1308" s="5" t="n">
        <v>2122100000</v>
      </c>
      <c r="B1308" s="5" t="inlineStr">
        <is>
          <t>IC1000</t>
        </is>
      </c>
      <c r="C1308" s="5" t="inlineStr">
        <is>
          <t>NORDEX ENERGY SE &amp; CO KG</t>
        </is>
      </c>
      <c r="D1308" s="5" t="inlineStr">
        <is>
          <t>UE</t>
        </is>
      </c>
      <c r="E1308" s="5" t="n">
        <v>200002676</v>
      </c>
      <c r="F1308" s="5" t="inlineStr">
        <is>
          <t>6715</t>
        </is>
      </c>
      <c r="G1308" s="5" t="inlineStr">
        <is>
          <t>EUR</t>
        </is>
      </c>
      <c r="H1308" s="9" t="n">
        <v>-134475.14</v>
      </c>
      <c r="I1308" s="16" t="n">
        <v>44939</v>
      </c>
      <c r="J1308" s="16" t="n">
        <v>44939</v>
      </c>
      <c r="K1308" s="5" t="inlineStr">
        <is>
          <t>000001827002</t>
        </is>
      </c>
      <c r="L1308" s="5" t="inlineStr">
        <is>
          <t>403000.NORDENER</t>
        </is>
      </c>
      <c r="M1308" s="5">
        <f>IF(YEAR(I1308)&lt;=2020,"Até 2020",TEXT(YEAR(I1308),"0"))</f>
        <v/>
      </c>
      <c r="N1308" s="5">
        <f>IFERROR(INDEX(DePara!$A:$A,MATCH(TEXT(B1308,"0"),DePara!$D:$D,0)),"(sem categoria)")</f>
        <v/>
      </c>
      <c r="O1308" s="5">
        <f>IF(J1308="","",Parametros!$B$6-J1308)</f>
        <v/>
      </c>
      <c r="P1308" s="5">
        <f>IF(O1308="","",IF(O1308&gt;0,1,0))</f>
        <v/>
      </c>
    </row>
    <row r="1309">
      <c r="A1309" s="5" t="n">
        <v>2122100000</v>
      </c>
      <c r="B1309" s="5" t="inlineStr">
        <is>
          <t>IC1000</t>
        </is>
      </c>
      <c r="C1309" s="5" t="inlineStr">
        <is>
          <t>NORDEX ENERGY SE &amp; CO KG</t>
        </is>
      </c>
      <c r="D1309" s="5" t="inlineStr">
        <is>
          <t>UE</t>
        </is>
      </c>
      <c r="E1309" s="5" t="n">
        <v>200002682</v>
      </c>
      <c r="F1309" s="5" t="inlineStr">
        <is>
          <t>6720</t>
        </is>
      </c>
      <c r="G1309" s="5" t="inlineStr">
        <is>
          <t>EUR</t>
        </is>
      </c>
      <c r="H1309" s="9" t="n">
        <v>-233880.15</v>
      </c>
      <c r="I1309" s="16" t="n">
        <v>44943</v>
      </c>
      <c r="J1309" s="16" t="n">
        <v>44943</v>
      </c>
      <c r="K1309" s="5" t="inlineStr">
        <is>
          <t>000003150002</t>
        </is>
      </c>
      <c r="L1309" s="5" t="inlineStr">
        <is>
          <t>403000.NORDENER</t>
        </is>
      </c>
      <c r="M1309" s="5">
        <f>IF(YEAR(I1309)&lt;=2020,"Até 2020",TEXT(YEAR(I1309),"0"))</f>
        <v/>
      </c>
      <c r="N1309" s="5">
        <f>IFERROR(INDEX(DePara!$A:$A,MATCH(TEXT(B1309,"0"),DePara!$D:$D,0)),"(sem categoria)")</f>
        <v/>
      </c>
      <c r="O1309" s="5">
        <f>IF(J1309="","",Parametros!$B$6-J1309)</f>
        <v/>
      </c>
      <c r="P1309" s="5">
        <f>IF(O1309="","",IF(O1309&gt;0,1,0))</f>
        <v/>
      </c>
    </row>
    <row r="1310">
      <c r="A1310" s="5" t="n">
        <v>2122100000</v>
      </c>
      <c r="B1310" s="5" t="inlineStr">
        <is>
          <t>IC1000</t>
        </is>
      </c>
      <c r="C1310" s="5" t="inlineStr">
        <is>
          <t>NORDEX ENERGY SE &amp; CO KG</t>
        </is>
      </c>
      <c r="D1310" s="5" t="inlineStr">
        <is>
          <t>UE</t>
        </is>
      </c>
      <c r="E1310" s="5" t="n">
        <v>200002684</v>
      </c>
      <c r="F1310" s="5" t="inlineStr">
        <is>
          <t>6722</t>
        </is>
      </c>
      <c r="G1310" s="5" t="inlineStr">
        <is>
          <t>EUR</t>
        </is>
      </c>
      <c r="H1310" s="9" t="n">
        <v>-164215.79</v>
      </c>
      <c r="I1310" s="16" t="n">
        <v>44945</v>
      </c>
      <c r="J1310" s="16" t="n">
        <v>44945</v>
      </c>
      <c r="K1310" s="5" t="inlineStr">
        <is>
          <t>000003155002</t>
        </is>
      </c>
      <c r="L1310" s="5" t="inlineStr">
        <is>
          <t>403000.NORDENER</t>
        </is>
      </c>
      <c r="M1310" s="5">
        <f>IF(YEAR(I1310)&lt;=2020,"Até 2020",TEXT(YEAR(I1310),"0"))</f>
        <v/>
      </c>
      <c r="N1310" s="5">
        <f>IFERROR(INDEX(DePara!$A:$A,MATCH(TEXT(B1310,"0"),DePara!$D:$D,0)),"(sem categoria)")</f>
        <v/>
      </c>
      <c r="O1310" s="5">
        <f>IF(J1310="","",Parametros!$B$6-J1310)</f>
        <v/>
      </c>
      <c r="P1310" s="5">
        <f>IF(O1310="","",IF(O1310&gt;0,1,0))</f>
        <v/>
      </c>
    </row>
    <row r="1311">
      <c r="A1311" s="5" t="n">
        <v>2122100000</v>
      </c>
      <c r="B1311" s="5" t="inlineStr">
        <is>
          <t>IC1000</t>
        </is>
      </c>
      <c r="C1311" s="5" t="inlineStr">
        <is>
          <t>NORDEX ENERGY SE &amp; CO KG</t>
        </is>
      </c>
      <c r="D1311" s="5" t="inlineStr">
        <is>
          <t>UE</t>
        </is>
      </c>
      <c r="E1311" s="5" t="n">
        <v>200002687</v>
      </c>
      <c r="F1311" s="5" t="inlineStr">
        <is>
          <t>6725</t>
        </is>
      </c>
      <c r="G1311" s="5" t="inlineStr">
        <is>
          <t>EUR</t>
        </is>
      </c>
      <c r="H1311" s="9" t="n">
        <v>-208983.34</v>
      </c>
      <c r="I1311" s="16" t="n">
        <v>44949</v>
      </c>
      <c r="J1311" s="16" t="n">
        <v>44949</v>
      </c>
      <c r="K1311" s="5" t="inlineStr">
        <is>
          <t>000000005004</t>
        </is>
      </c>
      <c r="L1311" s="5" t="inlineStr">
        <is>
          <t>403000.NORDENER</t>
        </is>
      </c>
      <c r="M1311" s="5">
        <f>IF(YEAR(I1311)&lt;=2020,"Até 2020",TEXT(YEAR(I1311),"0"))</f>
        <v/>
      </c>
      <c r="N1311" s="5">
        <f>IFERROR(INDEX(DePara!$A:$A,MATCH(TEXT(B1311,"0"),DePara!$D:$D,0)),"(sem categoria)")</f>
        <v/>
      </c>
      <c r="O1311" s="5">
        <f>IF(J1311="","",Parametros!$B$6-J1311)</f>
        <v/>
      </c>
      <c r="P1311" s="5">
        <f>IF(O1311="","",IF(O1311&gt;0,1,0))</f>
        <v/>
      </c>
    </row>
    <row r="1312">
      <c r="A1312" s="5" t="n">
        <v>2122100000</v>
      </c>
      <c r="B1312" s="5" t="inlineStr">
        <is>
          <t>IC1000</t>
        </is>
      </c>
      <c r="C1312" s="5" t="inlineStr">
        <is>
          <t>NORDEX ENERGY SE &amp; CO KG</t>
        </is>
      </c>
      <c r="D1312" s="5" t="inlineStr">
        <is>
          <t>UE</t>
        </is>
      </c>
      <c r="E1312" s="5" t="n">
        <v>200002689</v>
      </c>
      <c r="F1312" s="5" t="inlineStr">
        <is>
          <t>6727</t>
        </is>
      </c>
      <c r="G1312" s="5" t="inlineStr">
        <is>
          <t>EUR</t>
        </is>
      </c>
      <c r="H1312" s="9" t="n">
        <v>-311658.67</v>
      </c>
      <c r="I1312" s="16" t="n">
        <v>44951</v>
      </c>
      <c r="J1312" s="16" t="n">
        <v>44951</v>
      </c>
      <c r="K1312" s="5" t="inlineStr">
        <is>
          <t>000001853002</t>
        </is>
      </c>
      <c r="L1312" s="5" t="inlineStr">
        <is>
          <t>403000.NORDENER</t>
        </is>
      </c>
      <c r="M1312" s="5">
        <f>IF(YEAR(I1312)&lt;=2020,"Até 2020",TEXT(YEAR(I1312),"0"))</f>
        <v/>
      </c>
      <c r="N1312" s="5">
        <f>IFERROR(INDEX(DePara!$A:$A,MATCH(TEXT(B1312,"0"),DePara!$D:$D,0)),"(sem categoria)")</f>
        <v/>
      </c>
      <c r="O1312" s="5">
        <f>IF(J1312="","",Parametros!$B$6-J1312)</f>
        <v/>
      </c>
      <c r="P1312" s="5">
        <f>IF(O1312="","",IF(O1312&gt;0,1,0))</f>
        <v/>
      </c>
    </row>
    <row r="1313">
      <c r="A1313" s="5" t="n">
        <v>2122100000</v>
      </c>
      <c r="B1313" s="5" t="inlineStr">
        <is>
          <t>IC1000</t>
        </is>
      </c>
      <c r="C1313" s="5" t="inlineStr">
        <is>
          <t>NORDEX ENERGY SE &amp; CO KG</t>
        </is>
      </c>
      <c r="D1313" s="5" t="inlineStr">
        <is>
          <t>UE</t>
        </is>
      </c>
      <c r="E1313" s="5" t="n">
        <v>200002690</v>
      </c>
      <c r="F1313" s="5" t="inlineStr">
        <is>
          <t>6728</t>
        </is>
      </c>
      <c r="G1313" s="5" t="inlineStr">
        <is>
          <t>EUR</t>
        </is>
      </c>
      <c r="H1313" s="9" t="n">
        <v>-641153.38</v>
      </c>
      <c r="I1313" s="16" t="n">
        <v>44953</v>
      </c>
      <c r="J1313" s="16" t="n">
        <v>44953</v>
      </c>
      <c r="K1313" s="5" t="inlineStr">
        <is>
          <t>000003164002</t>
        </is>
      </c>
      <c r="L1313" s="5" t="inlineStr">
        <is>
          <t>403000.NORDENER</t>
        </is>
      </c>
      <c r="M1313" s="5">
        <f>IF(YEAR(I1313)&lt;=2020,"Até 2020",TEXT(YEAR(I1313),"0"))</f>
        <v/>
      </c>
      <c r="N1313" s="5">
        <f>IFERROR(INDEX(DePara!$A:$A,MATCH(TEXT(B1313,"0"),DePara!$D:$D,0)),"(sem categoria)")</f>
        <v/>
      </c>
      <c r="O1313" s="5">
        <f>IF(J1313="","",Parametros!$B$6-J1313)</f>
        <v/>
      </c>
      <c r="P1313" s="5">
        <f>IF(O1313="","",IF(O1313&gt;0,1,0))</f>
        <v/>
      </c>
    </row>
    <row r="1314">
      <c r="A1314" s="5" t="n">
        <v>2122100000</v>
      </c>
      <c r="B1314" s="5" t="inlineStr">
        <is>
          <t>IC1000</t>
        </is>
      </c>
      <c r="C1314" s="5" t="inlineStr">
        <is>
          <t>NORDEX ENERGY SE &amp; CO KG</t>
        </is>
      </c>
      <c r="D1314" s="5" t="inlineStr">
        <is>
          <t>UE</t>
        </is>
      </c>
      <c r="E1314" s="5" t="n">
        <v>200002693</v>
      </c>
      <c r="F1314" s="5" t="inlineStr">
        <is>
          <t>6730</t>
        </is>
      </c>
      <c r="G1314" s="5" t="inlineStr">
        <is>
          <t>EUR</t>
        </is>
      </c>
      <c r="H1314" s="9" t="n">
        <v>-459130.32</v>
      </c>
      <c r="I1314" s="16" t="n">
        <v>44953</v>
      </c>
      <c r="J1314" s="16" t="n">
        <v>44953</v>
      </c>
      <c r="K1314" s="5" t="inlineStr">
        <is>
          <t>000003169002</t>
        </is>
      </c>
      <c r="L1314" s="5" t="inlineStr">
        <is>
          <t>403000.NORDENER</t>
        </is>
      </c>
      <c r="M1314" s="5">
        <f>IF(YEAR(I1314)&lt;=2020,"Até 2020",TEXT(YEAR(I1314),"0"))</f>
        <v/>
      </c>
      <c r="N1314" s="5">
        <f>IFERROR(INDEX(DePara!$A:$A,MATCH(TEXT(B1314,"0"),DePara!$D:$D,0)),"(sem categoria)")</f>
        <v/>
      </c>
      <c r="O1314" s="5">
        <f>IF(J1314="","",Parametros!$B$6-J1314)</f>
        <v/>
      </c>
      <c r="P1314" s="5">
        <f>IF(O1314="","",IF(O1314&gt;0,1,0))</f>
        <v/>
      </c>
    </row>
    <row r="1315">
      <c r="A1315" s="5" t="n">
        <v>2122100000</v>
      </c>
      <c r="B1315" s="5" t="inlineStr">
        <is>
          <t>IC1000</t>
        </is>
      </c>
      <c r="C1315" s="5" t="inlineStr">
        <is>
          <t>NORDEX ENERGY SE &amp; CO KG</t>
        </is>
      </c>
      <c r="D1315" s="5" t="inlineStr">
        <is>
          <t>UE</t>
        </is>
      </c>
      <c r="E1315" s="5" t="n">
        <v>200002697</v>
      </c>
      <c r="F1315" s="5" t="inlineStr">
        <is>
          <t>6734</t>
        </is>
      </c>
      <c r="G1315" s="5" t="inlineStr">
        <is>
          <t>EUR</t>
        </is>
      </c>
      <c r="H1315" s="9" t="n">
        <v>-363395.27</v>
      </c>
      <c r="I1315" s="16" t="n">
        <v>44953</v>
      </c>
      <c r="J1315" s="16" t="n">
        <v>44953</v>
      </c>
      <c r="K1315" s="5" t="inlineStr">
        <is>
          <t>000003166002</t>
        </is>
      </c>
      <c r="L1315" s="5" t="inlineStr">
        <is>
          <t>403000.NORDENER</t>
        </is>
      </c>
      <c r="M1315" s="5">
        <f>IF(YEAR(I1315)&lt;=2020,"Até 2020",TEXT(YEAR(I1315),"0"))</f>
        <v/>
      </c>
      <c r="N1315" s="5">
        <f>IFERROR(INDEX(DePara!$A:$A,MATCH(TEXT(B1315,"0"),DePara!$D:$D,0)),"(sem categoria)")</f>
        <v/>
      </c>
      <c r="O1315" s="5">
        <f>IF(J1315="","",Parametros!$B$6-J1315)</f>
        <v/>
      </c>
      <c r="P1315" s="5">
        <f>IF(O1315="","",IF(O1315&gt;0,1,0))</f>
        <v/>
      </c>
    </row>
    <row r="1316">
      <c r="A1316" s="5" t="n">
        <v>2122100000</v>
      </c>
      <c r="B1316" s="5" t="inlineStr">
        <is>
          <t>IC1000</t>
        </is>
      </c>
      <c r="C1316" s="5" t="inlineStr">
        <is>
          <t>NORDEX ENERGY SE &amp; CO KG</t>
        </is>
      </c>
      <c r="D1316" s="5" t="inlineStr">
        <is>
          <t>UE</t>
        </is>
      </c>
      <c r="E1316" s="5" t="n">
        <v>200002698</v>
      </c>
      <c r="F1316" s="5" t="inlineStr">
        <is>
          <t>6735</t>
        </is>
      </c>
      <c r="G1316" s="5" t="inlineStr">
        <is>
          <t>EUR</t>
        </is>
      </c>
      <c r="H1316" s="9" t="n">
        <v>-518777.88</v>
      </c>
      <c r="I1316" s="16" t="n">
        <v>44953</v>
      </c>
      <c r="J1316" s="16" t="n">
        <v>44953</v>
      </c>
      <c r="K1316" s="5" t="inlineStr">
        <is>
          <t>000003174002</t>
        </is>
      </c>
      <c r="L1316" s="5" t="inlineStr">
        <is>
          <t>403000.NORDENER</t>
        </is>
      </c>
      <c r="M1316" s="5">
        <f>IF(YEAR(I1316)&lt;=2020,"Até 2020",TEXT(YEAR(I1316),"0"))</f>
        <v/>
      </c>
      <c r="N1316" s="5">
        <f>IFERROR(INDEX(DePara!$A:$A,MATCH(TEXT(B1316,"0"),DePara!$D:$D,0)),"(sem categoria)")</f>
        <v/>
      </c>
      <c r="O1316" s="5">
        <f>IF(J1316="","",Parametros!$B$6-J1316)</f>
        <v/>
      </c>
      <c r="P1316" s="5">
        <f>IF(O1316="","",IF(O1316&gt;0,1,0))</f>
        <v/>
      </c>
    </row>
    <row r="1317">
      <c r="A1317" s="5" t="n">
        <v>2122100000</v>
      </c>
      <c r="B1317" s="5" t="inlineStr">
        <is>
          <t>IC1000</t>
        </is>
      </c>
      <c r="C1317" s="5" t="inlineStr">
        <is>
          <t>NORDEX ENERGY SE &amp; CO KG</t>
        </is>
      </c>
      <c r="D1317" s="5" t="inlineStr">
        <is>
          <t>UE</t>
        </is>
      </c>
      <c r="E1317" s="5" t="n">
        <v>200002699</v>
      </c>
      <c r="F1317" s="5" t="inlineStr">
        <is>
          <t>6736</t>
        </is>
      </c>
      <c r="G1317" s="5" t="inlineStr">
        <is>
          <t>EUR</t>
        </is>
      </c>
      <c r="H1317" s="9" t="n">
        <v>-541794.42</v>
      </c>
      <c r="I1317" s="16" t="n">
        <v>44956</v>
      </c>
      <c r="J1317" s="16" t="n">
        <v>44956</v>
      </c>
      <c r="K1317" s="5" t="inlineStr">
        <is>
          <t>000001854002</t>
        </is>
      </c>
      <c r="L1317" s="5" t="inlineStr">
        <is>
          <t>403000.NORDENER</t>
        </is>
      </c>
      <c r="M1317" s="5">
        <f>IF(YEAR(I1317)&lt;=2020,"Até 2020",TEXT(YEAR(I1317),"0"))</f>
        <v/>
      </c>
      <c r="N1317" s="5">
        <f>IFERROR(INDEX(DePara!$A:$A,MATCH(TEXT(B1317,"0"),DePara!$D:$D,0)),"(sem categoria)")</f>
        <v/>
      </c>
      <c r="O1317" s="5">
        <f>IF(J1317="","",Parametros!$B$6-J1317)</f>
        <v/>
      </c>
      <c r="P1317" s="5">
        <f>IF(O1317="","",IF(O1317&gt;0,1,0))</f>
        <v/>
      </c>
    </row>
    <row r="1318">
      <c r="A1318" s="5" t="n">
        <v>2122100000</v>
      </c>
      <c r="B1318" s="5" t="inlineStr">
        <is>
          <t>IC1000</t>
        </is>
      </c>
      <c r="C1318" s="5" t="inlineStr">
        <is>
          <t>NORDEX ENERGY SE &amp; CO KG</t>
        </is>
      </c>
      <c r="D1318" s="5" t="inlineStr">
        <is>
          <t>UE</t>
        </is>
      </c>
      <c r="E1318" s="5" t="n">
        <v>200002704</v>
      </c>
      <c r="F1318" s="5" t="inlineStr">
        <is>
          <t>6740</t>
        </is>
      </c>
      <c r="G1318" s="5" t="inlineStr">
        <is>
          <t>EUR</t>
        </is>
      </c>
      <c r="H1318" s="9" t="n">
        <v>-426440.19</v>
      </c>
      <c r="I1318" s="16" t="n">
        <v>44959</v>
      </c>
      <c r="J1318" s="16" t="n">
        <v>44959</v>
      </c>
      <c r="K1318" s="5" t="inlineStr">
        <is>
          <t>000003186002</t>
        </is>
      </c>
      <c r="L1318" s="5" t="inlineStr">
        <is>
          <t>403000.NORDENER</t>
        </is>
      </c>
      <c r="M1318" s="5">
        <f>IF(YEAR(I1318)&lt;=2020,"Até 2020",TEXT(YEAR(I1318),"0"))</f>
        <v/>
      </c>
      <c r="N1318" s="5">
        <f>IFERROR(INDEX(DePara!$A:$A,MATCH(TEXT(B1318,"0"),DePara!$D:$D,0)),"(sem categoria)")</f>
        <v/>
      </c>
      <c r="O1318" s="5">
        <f>IF(J1318="","",Parametros!$B$6-J1318)</f>
        <v/>
      </c>
      <c r="P1318" s="5">
        <f>IF(O1318="","",IF(O1318&gt;0,1,0))</f>
        <v/>
      </c>
    </row>
    <row r="1319">
      <c r="A1319" s="5" t="n">
        <v>2122100000</v>
      </c>
      <c r="B1319" s="5" t="inlineStr">
        <is>
          <t>IC1000</t>
        </is>
      </c>
      <c r="C1319" s="5" t="inlineStr">
        <is>
          <t>NORDEX ENERGY SE &amp; CO KG</t>
        </is>
      </c>
      <c r="D1319" s="5" t="inlineStr">
        <is>
          <t>UE</t>
        </is>
      </c>
      <c r="E1319" s="5" t="n">
        <v>200002706</v>
      </c>
      <c r="F1319" s="5" t="inlineStr">
        <is>
          <t>6742</t>
        </is>
      </c>
      <c r="G1319" s="5" t="inlineStr">
        <is>
          <t>EUR</t>
        </is>
      </c>
      <c r="H1319" s="9" t="n">
        <v>-45412.82</v>
      </c>
      <c r="I1319" s="16" t="n">
        <v>44959</v>
      </c>
      <c r="J1319" s="16" t="n">
        <v>44959</v>
      </c>
      <c r="K1319" s="5" t="inlineStr">
        <is>
          <t>000003191002</t>
        </is>
      </c>
      <c r="L1319" s="5" t="inlineStr">
        <is>
          <t>403000.NORDENER</t>
        </is>
      </c>
      <c r="M1319" s="5">
        <f>IF(YEAR(I1319)&lt;=2020,"Até 2020",TEXT(YEAR(I1319),"0"))</f>
        <v/>
      </c>
      <c r="N1319" s="5">
        <f>IFERROR(INDEX(DePara!$A:$A,MATCH(TEXT(B1319,"0"),DePara!$D:$D,0)),"(sem categoria)")</f>
        <v/>
      </c>
      <c r="O1319" s="5">
        <f>IF(J1319="","",Parametros!$B$6-J1319)</f>
        <v/>
      </c>
      <c r="P1319" s="5">
        <f>IF(O1319="","",IF(O1319&gt;0,1,0))</f>
        <v/>
      </c>
    </row>
    <row r="1320">
      <c r="A1320" s="5" t="n">
        <v>2122100000</v>
      </c>
      <c r="B1320" s="5" t="inlineStr">
        <is>
          <t>IC1000</t>
        </is>
      </c>
      <c r="C1320" s="5" t="inlineStr">
        <is>
          <t>NORDEX ENERGY SE &amp; CO KG</t>
        </is>
      </c>
      <c r="D1320" s="5" t="inlineStr">
        <is>
          <t>UE</t>
        </is>
      </c>
      <c r="E1320" s="5" t="n">
        <v>200002724</v>
      </c>
      <c r="F1320" s="5" t="inlineStr">
        <is>
          <t>6759</t>
        </is>
      </c>
      <c r="G1320" s="5" t="inlineStr">
        <is>
          <t>EUR</t>
        </is>
      </c>
      <c r="H1320" s="9" t="n">
        <v>-375705.28</v>
      </c>
      <c r="I1320" s="16" t="n">
        <v>44967</v>
      </c>
      <c r="J1320" s="16" t="n">
        <v>44967</v>
      </c>
      <c r="K1320" s="5" t="inlineStr">
        <is>
          <t>000000021004</t>
        </is>
      </c>
      <c r="L1320" s="5" t="inlineStr">
        <is>
          <t>403000.NORDENER</t>
        </is>
      </c>
      <c r="M1320" s="5">
        <f>IF(YEAR(I1320)&lt;=2020,"Até 2020",TEXT(YEAR(I1320),"0"))</f>
        <v/>
      </c>
      <c r="N1320" s="5">
        <f>IFERROR(INDEX(DePara!$A:$A,MATCH(TEXT(B1320,"0"),DePara!$D:$D,0)),"(sem categoria)")</f>
        <v/>
      </c>
      <c r="O1320" s="5">
        <f>IF(J1320="","",Parametros!$B$6-J1320)</f>
        <v/>
      </c>
      <c r="P1320" s="5">
        <f>IF(O1320="","",IF(O1320&gt;0,1,0))</f>
        <v/>
      </c>
    </row>
    <row r="1321">
      <c r="A1321" s="5" t="n">
        <v>2122100000</v>
      </c>
      <c r="B1321" s="5" t="inlineStr">
        <is>
          <t>IC1000</t>
        </is>
      </c>
      <c r="C1321" s="5" t="inlineStr">
        <is>
          <t>NORDEX ENERGY SE &amp; CO KG</t>
        </is>
      </c>
      <c r="D1321" s="5" t="inlineStr">
        <is>
          <t>UE</t>
        </is>
      </c>
      <c r="E1321" s="5" t="n">
        <v>200002729</v>
      </c>
      <c r="F1321" s="5" t="inlineStr">
        <is>
          <t>6763</t>
        </is>
      </c>
      <c r="G1321" s="5" t="inlineStr">
        <is>
          <t>EUR</t>
        </is>
      </c>
      <c r="H1321" s="9" t="n">
        <v>-1929.87</v>
      </c>
      <c r="I1321" s="16" t="n">
        <v>44972</v>
      </c>
      <c r="J1321" s="16" t="n">
        <v>44972</v>
      </c>
      <c r="K1321" s="5" t="inlineStr">
        <is>
          <t>000000027004</t>
        </is>
      </c>
      <c r="L1321" s="5" t="inlineStr">
        <is>
          <t>403000.NORDENER</t>
        </is>
      </c>
      <c r="M1321" s="5">
        <f>IF(YEAR(I1321)&lt;=2020,"Até 2020",TEXT(YEAR(I1321),"0"))</f>
        <v/>
      </c>
      <c r="N1321" s="5">
        <f>IFERROR(INDEX(DePara!$A:$A,MATCH(TEXT(B1321,"0"),DePara!$D:$D,0)),"(sem categoria)")</f>
        <v/>
      </c>
      <c r="O1321" s="5">
        <f>IF(J1321="","",Parametros!$B$6-J1321)</f>
        <v/>
      </c>
      <c r="P1321" s="5">
        <f>IF(O1321="","",IF(O1321&gt;0,1,0))</f>
        <v/>
      </c>
    </row>
    <row r="1322">
      <c r="A1322" s="5" t="n">
        <v>2122100000</v>
      </c>
      <c r="B1322" s="5" t="inlineStr">
        <is>
          <t>IC1000</t>
        </is>
      </c>
      <c r="C1322" s="5" t="inlineStr">
        <is>
          <t>NORDEX ENERGY SE &amp; CO KG</t>
        </is>
      </c>
      <c r="D1322" s="5" t="inlineStr">
        <is>
          <t>UE</t>
        </is>
      </c>
      <c r="E1322" s="5" t="n">
        <v>200002735</v>
      </c>
      <c r="F1322" s="5" t="inlineStr">
        <is>
          <t>6769</t>
        </is>
      </c>
      <c r="G1322" s="5" t="inlineStr">
        <is>
          <t>EUR</t>
        </is>
      </c>
      <c r="H1322" s="9" t="n">
        <v>-21106.55</v>
      </c>
      <c r="I1322" s="16" t="n">
        <v>44980</v>
      </c>
      <c r="J1322" s="16" t="n">
        <v>44980</v>
      </c>
      <c r="K1322" s="5" t="inlineStr">
        <is>
          <t>000000033004</t>
        </is>
      </c>
      <c r="L1322" s="5" t="inlineStr">
        <is>
          <t>403000.NORDENER</t>
        </is>
      </c>
      <c r="M1322" s="5">
        <f>IF(YEAR(I1322)&lt;=2020,"Até 2020",TEXT(YEAR(I1322),"0"))</f>
        <v/>
      </c>
      <c r="N1322" s="5">
        <f>IFERROR(INDEX(DePara!$A:$A,MATCH(TEXT(B1322,"0"),DePara!$D:$D,0)),"(sem categoria)")</f>
        <v/>
      </c>
      <c r="O1322" s="5">
        <f>IF(J1322="","",Parametros!$B$6-J1322)</f>
        <v/>
      </c>
      <c r="P1322" s="5">
        <f>IF(O1322="","",IF(O1322&gt;0,1,0))</f>
        <v/>
      </c>
    </row>
    <row r="1323">
      <c r="A1323" s="5" t="n">
        <v>2122100000</v>
      </c>
      <c r="B1323" s="5" t="inlineStr">
        <is>
          <t>IC1000</t>
        </is>
      </c>
      <c r="C1323" s="5" t="inlineStr">
        <is>
          <t>NORDEX ENERGY SE &amp; CO KG</t>
        </is>
      </c>
      <c r="D1323" s="5" t="inlineStr">
        <is>
          <t>UE</t>
        </is>
      </c>
      <c r="E1323" s="5" t="n">
        <v>200002737</v>
      </c>
      <c r="F1323" s="5" t="inlineStr">
        <is>
          <t>6770</t>
        </is>
      </c>
      <c r="G1323" s="5" t="inlineStr">
        <is>
          <t>EUR</t>
        </is>
      </c>
      <c r="H1323" s="9" t="n">
        <v>-181936.71</v>
      </c>
      <c r="I1323" s="16" t="n">
        <v>44980</v>
      </c>
      <c r="J1323" s="16" t="n">
        <v>44980</v>
      </c>
      <c r="K1323" s="5" t="inlineStr">
        <is>
          <t>000000008004</t>
        </is>
      </c>
      <c r="L1323" s="5" t="inlineStr">
        <is>
          <t>403000.NORDENER</t>
        </is>
      </c>
      <c r="M1323" s="5">
        <f>IF(YEAR(I1323)&lt;=2020,"Até 2020",TEXT(YEAR(I1323),"0"))</f>
        <v/>
      </c>
      <c r="N1323" s="5">
        <f>IFERROR(INDEX(DePara!$A:$A,MATCH(TEXT(B1323,"0"),DePara!$D:$D,0)),"(sem categoria)")</f>
        <v/>
      </c>
      <c r="O1323" s="5">
        <f>IF(J1323="","",Parametros!$B$6-J1323)</f>
        <v/>
      </c>
      <c r="P1323" s="5">
        <f>IF(O1323="","",IF(O1323&gt;0,1,0))</f>
        <v/>
      </c>
    </row>
    <row r="1324">
      <c r="A1324" s="5" t="n">
        <v>2122100000</v>
      </c>
      <c r="B1324" s="5" t="inlineStr">
        <is>
          <t>IC1000</t>
        </is>
      </c>
      <c r="C1324" s="5" t="inlineStr">
        <is>
          <t>NORDEX ENERGY SE &amp; CO KG</t>
        </is>
      </c>
      <c r="D1324" s="5" t="inlineStr">
        <is>
          <t>UE</t>
        </is>
      </c>
      <c r="E1324" s="5" t="n">
        <v>200002743</v>
      </c>
      <c r="F1324" s="5" t="inlineStr">
        <is>
          <t>6776</t>
        </is>
      </c>
      <c r="G1324" s="5" t="inlineStr">
        <is>
          <t>EUR</t>
        </is>
      </c>
      <c r="H1324" s="9" t="n">
        <v>-148937.24</v>
      </c>
      <c r="I1324" s="16" t="n">
        <v>44986</v>
      </c>
      <c r="J1324" s="16" t="n">
        <v>44986</v>
      </c>
      <c r="K1324" s="5" t="inlineStr">
        <is>
          <t>000000040004</t>
        </is>
      </c>
      <c r="L1324" s="5" t="inlineStr">
        <is>
          <t>403000.NORDENER</t>
        </is>
      </c>
      <c r="M1324" s="5">
        <f>IF(YEAR(I1324)&lt;=2020,"Até 2020",TEXT(YEAR(I1324),"0"))</f>
        <v/>
      </c>
      <c r="N1324" s="5">
        <f>IFERROR(INDEX(DePara!$A:$A,MATCH(TEXT(B1324,"0"),DePara!$D:$D,0)),"(sem categoria)")</f>
        <v/>
      </c>
      <c r="O1324" s="5">
        <f>IF(J1324="","",Parametros!$B$6-J1324)</f>
        <v/>
      </c>
      <c r="P1324" s="5">
        <f>IF(O1324="","",IF(O1324&gt;0,1,0))</f>
        <v/>
      </c>
    </row>
    <row r="1325">
      <c r="A1325" s="5" t="n">
        <v>2122100000</v>
      </c>
      <c r="B1325" s="5" t="inlineStr">
        <is>
          <t>IC1000</t>
        </is>
      </c>
      <c r="C1325" s="5" t="inlineStr">
        <is>
          <t>NORDEX ENERGY SE &amp; CO KG</t>
        </is>
      </c>
      <c r="D1325" s="5" t="inlineStr">
        <is>
          <t>UE</t>
        </is>
      </c>
      <c r="E1325" s="5" t="n">
        <v>200002744</v>
      </c>
      <c r="F1325" s="5" t="inlineStr">
        <is>
          <t>6777</t>
        </is>
      </c>
      <c r="G1325" s="5" t="inlineStr">
        <is>
          <t>EUR</t>
        </is>
      </c>
      <c r="H1325" s="9" t="n">
        <v>-59229.21</v>
      </c>
      <c r="I1325" s="16" t="n">
        <v>44973</v>
      </c>
      <c r="J1325" s="16" t="n">
        <v>44973</v>
      </c>
      <c r="K1325" s="5" t="inlineStr">
        <is>
          <t>000003221002</t>
        </is>
      </c>
      <c r="L1325" s="5" t="inlineStr">
        <is>
          <t>403000.NORDENER</t>
        </is>
      </c>
      <c r="M1325" s="5">
        <f>IF(YEAR(I1325)&lt;=2020,"Até 2020",TEXT(YEAR(I1325),"0"))</f>
        <v/>
      </c>
      <c r="N1325" s="5">
        <f>IFERROR(INDEX(DePara!$A:$A,MATCH(TEXT(B1325,"0"),DePara!$D:$D,0)),"(sem categoria)")</f>
        <v/>
      </c>
      <c r="O1325" s="5">
        <f>IF(J1325="","",Parametros!$B$6-J1325)</f>
        <v/>
      </c>
      <c r="P1325" s="5">
        <f>IF(O1325="","",IF(O1325&gt;0,1,0))</f>
        <v/>
      </c>
    </row>
    <row r="1326">
      <c r="A1326" s="5" t="n">
        <v>2122100000</v>
      </c>
      <c r="B1326" s="5" t="inlineStr">
        <is>
          <t>IC1000</t>
        </is>
      </c>
      <c r="C1326" s="5" t="inlineStr">
        <is>
          <t>NORDEX ENERGY SE &amp; CO KG</t>
        </is>
      </c>
      <c r="D1326" s="5" t="inlineStr">
        <is>
          <t>UE</t>
        </is>
      </c>
      <c r="E1326" s="5" t="n">
        <v>200002748</v>
      </c>
      <c r="F1326" s="5" t="inlineStr">
        <is>
          <t>6780</t>
        </is>
      </c>
      <c r="G1326" s="5" t="inlineStr">
        <is>
          <t>EUR</t>
        </is>
      </c>
      <c r="H1326" s="9" t="n">
        <v>-140774.41</v>
      </c>
      <c r="I1326" s="16" t="n">
        <v>44984</v>
      </c>
      <c r="J1326" s="16" t="n">
        <v>44984</v>
      </c>
      <c r="K1326" s="5" t="inlineStr">
        <is>
          <t>000000035004</t>
        </is>
      </c>
      <c r="L1326" s="5" t="inlineStr">
        <is>
          <t>403000.NORDENER</t>
        </is>
      </c>
      <c r="M1326" s="5">
        <f>IF(YEAR(I1326)&lt;=2020,"Até 2020",TEXT(YEAR(I1326),"0"))</f>
        <v/>
      </c>
      <c r="N1326" s="5">
        <f>IFERROR(INDEX(DePara!$A:$A,MATCH(TEXT(B1326,"0"),DePara!$D:$D,0)),"(sem categoria)")</f>
        <v/>
      </c>
      <c r="O1326" s="5">
        <f>IF(J1326="","",Parametros!$B$6-J1326)</f>
        <v/>
      </c>
      <c r="P1326" s="5">
        <f>IF(O1326="","",IF(O1326&gt;0,1,0))</f>
        <v/>
      </c>
    </row>
    <row r="1327">
      <c r="A1327" s="5" t="n">
        <v>2122100000</v>
      </c>
      <c r="B1327" s="5" t="inlineStr">
        <is>
          <t>IC1000</t>
        </is>
      </c>
      <c r="C1327" s="5" t="inlineStr">
        <is>
          <t>NORDEX ENERGY SE &amp; CO KG</t>
        </is>
      </c>
      <c r="D1327" s="5" t="inlineStr">
        <is>
          <t>UE</t>
        </is>
      </c>
      <c r="E1327" s="5" t="n">
        <v>200002754</v>
      </c>
      <c r="F1327" s="5" t="inlineStr">
        <is>
          <t>6786</t>
        </is>
      </c>
      <c r="G1327" s="5" t="inlineStr">
        <is>
          <t>EUR</t>
        </is>
      </c>
      <c r="H1327" s="9" t="n">
        <v>-35.63</v>
      </c>
      <c r="I1327" s="16" t="n">
        <v>44994</v>
      </c>
      <c r="J1327" s="16" t="n">
        <v>44994</v>
      </c>
      <c r="K1327" s="5" t="inlineStr">
        <is>
          <t>000000049004</t>
        </is>
      </c>
      <c r="L1327" s="5" t="inlineStr">
        <is>
          <t>403000.NORDENER</t>
        </is>
      </c>
      <c r="M1327" s="5">
        <f>IF(YEAR(I1327)&lt;=2020,"Até 2020",TEXT(YEAR(I1327),"0"))</f>
        <v/>
      </c>
      <c r="N1327" s="5">
        <f>IFERROR(INDEX(DePara!$A:$A,MATCH(TEXT(B1327,"0"),DePara!$D:$D,0)),"(sem categoria)")</f>
        <v/>
      </c>
      <c r="O1327" s="5">
        <f>IF(J1327="","",Parametros!$B$6-J1327)</f>
        <v/>
      </c>
      <c r="P1327" s="5">
        <f>IF(O1327="","",IF(O1327&gt;0,1,0))</f>
        <v/>
      </c>
    </row>
    <row r="1328">
      <c r="A1328" s="5" t="n">
        <v>2122100000</v>
      </c>
      <c r="B1328" s="5" t="inlineStr">
        <is>
          <t>IC1000</t>
        </is>
      </c>
      <c r="C1328" s="5" t="inlineStr">
        <is>
          <t>NORDEX ENERGY SE &amp; CO KG</t>
        </is>
      </c>
      <c r="D1328" s="5" t="inlineStr">
        <is>
          <t>UE</t>
        </is>
      </c>
      <c r="E1328" s="5" t="n">
        <v>200002760</v>
      </c>
      <c r="F1328" s="5" t="inlineStr">
        <is>
          <t>6791</t>
        </is>
      </c>
      <c r="G1328" s="5" t="inlineStr">
        <is>
          <t>EUR</t>
        </is>
      </c>
      <c r="H1328" s="9" t="n">
        <v>-111329.78</v>
      </c>
      <c r="I1328" s="16" t="n">
        <v>45000</v>
      </c>
      <c r="J1328" s="16" t="n">
        <v>45000</v>
      </c>
      <c r="K1328" s="5" t="inlineStr">
        <is>
          <t>000000029004</t>
        </is>
      </c>
      <c r="L1328" s="5" t="inlineStr">
        <is>
          <t>403000.NORDENER</t>
        </is>
      </c>
      <c r="M1328" s="5">
        <f>IF(YEAR(I1328)&lt;=2020,"Até 2020",TEXT(YEAR(I1328),"0"))</f>
        <v/>
      </c>
      <c r="N1328" s="5">
        <f>IFERROR(INDEX(DePara!$A:$A,MATCH(TEXT(B1328,"0"),DePara!$D:$D,0)),"(sem categoria)")</f>
        <v/>
      </c>
      <c r="O1328" s="5">
        <f>IF(J1328="","",Parametros!$B$6-J1328)</f>
        <v/>
      </c>
      <c r="P1328" s="5">
        <f>IF(O1328="","",IF(O1328&gt;0,1,0))</f>
        <v/>
      </c>
    </row>
    <row r="1329">
      <c r="A1329" s="5" t="n">
        <v>2122100000</v>
      </c>
      <c r="B1329" s="5" t="inlineStr">
        <is>
          <t>IC1000</t>
        </is>
      </c>
      <c r="C1329" s="5" t="inlineStr">
        <is>
          <t>NORDEX ENERGY SE &amp; CO KG</t>
        </is>
      </c>
      <c r="D1329" s="5" t="inlineStr">
        <is>
          <t>UE</t>
        </is>
      </c>
      <c r="E1329" s="5" t="n">
        <v>200002764</v>
      </c>
      <c r="F1329" s="5" t="inlineStr">
        <is>
          <t>6795</t>
        </is>
      </c>
      <c r="G1329" s="5" t="inlineStr">
        <is>
          <t>EUR</t>
        </is>
      </c>
      <c r="H1329" s="9" t="n">
        <v>-93284.57000000001</v>
      </c>
      <c r="I1329" s="16" t="n">
        <v>44999</v>
      </c>
      <c r="J1329" s="16" t="n">
        <v>44999</v>
      </c>
      <c r="K1329" s="5" t="inlineStr">
        <is>
          <t>000000026004</t>
        </is>
      </c>
      <c r="L1329" s="5" t="inlineStr">
        <is>
          <t>403000.NORDENER</t>
        </is>
      </c>
      <c r="M1329" s="5">
        <f>IF(YEAR(I1329)&lt;=2020,"Até 2020",TEXT(YEAR(I1329),"0"))</f>
        <v/>
      </c>
      <c r="N1329" s="5">
        <f>IFERROR(INDEX(DePara!$A:$A,MATCH(TEXT(B1329,"0"),DePara!$D:$D,0)),"(sem categoria)")</f>
        <v/>
      </c>
      <c r="O1329" s="5">
        <f>IF(J1329="","",Parametros!$B$6-J1329)</f>
        <v/>
      </c>
      <c r="P1329" s="5">
        <f>IF(O1329="","",IF(O1329&gt;0,1,0))</f>
        <v/>
      </c>
    </row>
    <row r="1330">
      <c r="A1330" s="5" t="n">
        <v>2122100000</v>
      </c>
      <c r="B1330" s="5" t="inlineStr">
        <is>
          <t>IC1000</t>
        </is>
      </c>
      <c r="C1330" s="5" t="inlineStr">
        <is>
          <t>NORDEX ENERGY SE &amp; CO KG</t>
        </is>
      </c>
      <c r="D1330" s="5" t="inlineStr">
        <is>
          <t>UE</t>
        </is>
      </c>
      <c r="E1330" s="5" t="n">
        <v>200002765</v>
      </c>
      <c r="F1330" s="5" t="inlineStr">
        <is>
          <t>6796</t>
        </is>
      </c>
      <c r="G1330" s="5" t="inlineStr">
        <is>
          <t>EUR</t>
        </is>
      </c>
      <c r="H1330" s="9" t="n">
        <v>-41769.34</v>
      </c>
      <c r="I1330" s="16" t="n">
        <v>44999</v>
      </c>
      <c r="J1330" s="16" t="n">
        <v>44999</v>
      </c>
      <c r="K1330" s="5" t="inlineStr">
        <is>
          <t>000000023004</t>
        </is>
      </c>
      <c r="L1330" s="5" t="inlineStr">
        <is>
          <t>403000.NORDENER</t>
        </is>
      </c>
      <c r="M1330" s="5">
        <f>IF(YEAR(I1330)&lt;=2020,"Até 2020",TEXT(YEAR(I1330),"0"))</f>
        <v/>
      </c>
      <c r="N1330" s="5">
        <f>IFERROR(INDEX(DePara!$A:$A,MATCH(TEXT(B1330,"0"),DePara!$D:$D,0)),"(sem categoria)")</f>
        <v/>
      </c>
      <c r="O1330" s="5">
        <f>IF(J1330="","",Parametros!$B$6-J1330)</f>
        <v/>
      </c>
      <c r="P1330" s="5">
        <f>IF(O1330="","",IF(O1330&gt;0,1,0))</f>
        <v/>
      </c>
    </row>
    <row r="1331">
      <c r="A1331" s="5" t="n">
        <v>2122100000</v>
      </c>
      <c r="B1331" s="5" t="inlineStr">
        <is>
          <t>IC1000</t>
        </is>
      </c>
      <c r="C1331" s="5" t="inlineStr">
        <is>
          <t>NORDEX ENERGY SE &amp; CO KG</t>
        </is>
      </c>
      <c r="D1331" s="5" t="inlineStr">
        <is>
          <t>UE</t>
        </is>
      </c>
      <c r="E1331" s="5" t="n">
        <v>200002772</v>
      </c>
      <c r="F1331" s="5" t="inlineStr">
        <is>
          <t>6801</t>
        </is>
      </c>
      <c r="G1331" s="5" t="inlineStr">
        <is>
          <t>EUR</t>
        </is>
      </c>
      <c r="H1331" s="9" t="n">
        <v>-1090.66</v>
      </c>
      <c r="I1331" s="16" t="n">
        <v>45007</v>
      </c>
      <c r="J1331" s="16" t="n">
        <v>45007</v>
      </c>
      <c r="K1331" s="5" t="inlineStr">
        <is>
          <t>000000059004</t>
        </is>
      </c>
      <c r="L1331" s="5" t="inlineStr">
        <is>
          <t>403000.NORDENER</t>
        </is>
      </c>
      <c r="M1331" s="5">
        <f>IF(YEAR(I1331)&lt;=2020,"Até 2020",TEXT(YEAR(I1331),"0"))</f>
        <v/>
      </c>
      <c r="N1331" s="5">
        <f>IFERROR(INDEX(DePara!$A:$A,MATCH(TEXT(B1331,"0"),DePara!$D:$D,0)),"(sem categoria)")</f>
        <v/>
      </c>
      <c r="O1331" s="5">
        <f>IF(J1331="","",Parametros!$B$6-J1331)</f>
        <v/>
      </c>
      <c r="P1331" s="5">
        <f>IF(O1331="","",IF(O1331&gt;0,1,0))</f>
        <v/>
      </c>
    </row>
    <row r="1332">
      <c r="A1332" s="5" t="n">
        <v>2122100000</v>
      </c>
      <c r="B1332" s="5" t="inlineStr">
        <is>
          <t>IC1000</t>
        </is>
      </c>
      <c r="C1332" s="5" t="inlineStr">
        <is>
          <t>NORDEX ENERGY SE &amp; CO KG</t>
        </is>
      </c>
      <c r="D1332" s="5" t="inlineStr">
        <is>
          <t>UE</t>
        </is>
      </c>
      <c r="E1332" s="5" t="n">
        <v>200002779</v>
      </c>
      <c r="F1332" s="5" t="inlineStr">
        <is>
          <t>6808</t>
        </is>
      </c>
      <c r="G1332" s="5" t="inlineStr">
        <is>
          <t>EUR</t>
        </is>
      </c>
      <c r="H1332" s="9" t="n">
        <v>-256.27</v>
      </c>
      <c r="I1332" s="16" t="n">
        <v>45009</v>
      </c>
      <c r="J1332" s="16" t="n">
        <v>45009</v>
      </c>
      <c r="K1332" s="5" t="inlineStr">
        <is>
          <t>000000063004</t>
        </is>
      </c>
      <c r="L1332" s="5" t="inlineStr">
        <is>
          <t>403000.NORDENER</t>
        </is>
      </c>
      <c r="M1332" s="5">
        <f>IF(YEAR(I1332)&lt;=2020,"Até 2020",TEXT(YEAR(I1332),"0"))</f>
        <v/>
      </c>
      <c r="N1332" s="5">
        <f>IFERROR(INDEX(DePara!$A:$A,MATCH(TEXT(B1332,"0"),DePara!$D:$D,0)),"(sem categoria)")</f>
        <v/>
      </c>
      <c r="O1332" s="5">
        <f>IF(J1332="","",Parametros!$B$6-J1332)</f>
        <v/>
      </c>
      <c r="P1332" s="5">
        <f>IF(O1332="","",IF(O1332&gt;0,1,0))</f>
        <v/>
      </c>
    </row>
    <row r="1333">
      <c r="A1333" s="5" t="n">
        <v>2122100000</v>
      </c>
      <c r="B1333" s="5" t="inlineStr">
        <is>
          <t>IC1000</t>
        </is>
      </c>
      <c r="C1333" s="5" t="inlineStr">
        <is>
          <t>NORDEX ENERGY SE &amp; CO KG</t>
        </is>
      </c>
      <c r="D1333" s="5" t="inlineStr">
        <is>
          <t>UE</t>
        </is>
      </c>
      <c r="E1333" s="5" t="n">
        <v>200002783</v>
      </c>
      <c r="F1333" s="5" t="inlineStr">
        <is>
          <t>6811</t>
        </is>
      </c>
      <c r="G1333" s="5" t="inlineStr">
        <is>
          <t>EUR</t>
        </is>
      </c>
      <c r="H1333" s="9" t="n">
        <v>-40013.94</v>
      </c>
      <c r="I1333" s="16" t="n">
        <v>45000</v>
      </c>
      <c r="J1333" s="16" t="n">
        <v>45000</v>
      </c>
      <c r="K1333" s="5" t="inlineStr">
        <is>
          <t>000000003004</t>
        </is>
      </c>
      <c r="L1333" s="5" t="inlineStr">
        <is>
          <t>403000.NORDENER</t>
        </is>
      </c>
      <c r="M1333" s="5">
        <f>IF(YEAR(I1333)&lt;=2020,"Até 2020",TEXT(YEAR(I1333),"0"))</f>
        <v/>
      </c>
      <c r="N1333" s="5">
        <f>IFERROR(INDEX(DePara!$A:$A,MATCH(TEXT(B1333,"0"),DePara!$D:$D,0)),"(sem categoria)")</f>
        <v/>
      </c>
      <c r="O1333" s="5">
        <f>IF(J1333="","",Parametros!$B$6-J1333)</f>
        <v/>
      </c>
      <c r="P1333" s="5">
        <f>IF(O1333="","",IF(O1333&gt;0,1,0))</f>
        <v/>
      </c>
    </row>
    <row r="1334">
      <c r="A1334" s="5" t="n">
        <v>2122100000</v>
      </c>
      <c r="B1334" s="5" t="inlineStr">
        <is>
          <t>IC1000</t>
        </is>
      </c>
      <c r="C1334" s="5" t="inlineStr">
        <is>
          <t>NORDEX ENERGY SE &amp; CO KG</t>
        </is>
      </c>
      <c r="D1334" s="5" t="inlineStr">
        <is>
          <t>UE</t>
        </is>
      </c>
      <c r="E1334" s="5" t="n">
        <v>200002804</v>
      </c>
      <c r="F1334" s="5" t="inlineStr">
        <is>
          <t>6830</t>
        </is>
      </c>
      <c r="G1334" s="5" t="inlineStr">
        <is>
          <t>EUR</t>
        </is>
      </c>
      <c r="H1334" s="9" t="n">
        <v>-90249.96000000001</v>
      </c>
      <c r="I1334" s="16" t="n">
        <v>45020</v>
      </c>
      <c r="J1334" s="16" t="n">
        <v>45020</v>
      </c>
      <c r="K1334" s="5" t="inlineStr">
        <is>
          <t>000000013004</t>
        </is>
      </c>
      <c r="L1334" s="5" t="inlineStr">
        <is>
          <t>403000.NORDENER</t>
        </is>
      </c>
      <c r="M1334" s="5">
        <f>IF(YEAR(I1334)&lt;=2020,"Até 2020",TEXT(YEAR(I1334),"0"))</f>
        <v/>
      </c>
      <c r="N1334" s="5">
        <f>IFERROR(INDEX(DePara!$A:$A,MATCH(TEXT(B1334,"0"),DePara!$D:$D,0)),"(sem categoria)")</f>
        <v/>
      </c>
      <c r="O1334" s="5">
        <f>IF(J1334="","",Parametros!$B$6-J1334)</f>
        <v/>
      </c>
      <c r="P1334" s="5">
        <f>IF(O1334="","",IF(O1334&gt;0,1,0))</f>
        <v/>
      </c>
    </row>
    <row r="1335">
      <c r="A1335" s="5" t="n">
        <v>2122100000</v>
      </c>
      <c r="B1335" s="5" t="inlineStr">
        <is>
          <t>IC1000</t>
        </is>
      </c>
      <c r="C1335" s="5" t="inlineStr">
        <is>
          <t>NORDEX ENERGY SE &amp; CO KG</t>
        </is>
      </c>
      <c r="D1335" s="5" t="inlineStr">
        <is>
          <t>UE</t>
        </is>
      </c>
      <c r="E1335" s="5" t="n">
        <v>200002860</v>
      </c>
      <c r="F1335" s="5" t="inlineStr">
        <is>
          <t>6881</t>
        </is>
      </c>
      <c r="G1335" s="5" t="inlineStr">
        <is>
          <t>EUR</t>
        </is>
      </c>
      <c r="H1335" s="9" t="n">
        <v>-2194119.76</v>
      </c>
      <c r="I1335" s="16" t="n">
        <v>45064</v>
      </c>
      <c r="J1335" s="16" t="n">
        <v>45064</v>
      </c>
      <c r="K1335" s="5" t="inlineStr">
        <is>
          <t>000000017004</t>
        </is>
      </c>
      <c r="L1335" s="5" t="inlineStr">
        <is>
          <t>403000.NORDENER</t>
        </is>
      </c>
      <c r="M1335" s="5">
        <f>IF(YEAR(I1335)&lt;=2020,"Até 2020",TEXT(YEAR(I1335),"0"))</f>
        <v/>
      </c>
      <c r="N1335" s="5">
        <f>IFERROR(INDEX(DePara!$A:$A,MATCH(TEXT(B1335,"0"),DePara!$D:$D,0)),"(sem categoria)")</f>
        <v/>
      </c>
      <c r="O1335" s="5">
        <f>IF(J1335="","",Parametros!$B$6-J1335)</f>
        <v/>
      </c>
      <c r="P1335" s="5">
        <f>IF(O1335="","",IF(O1335&gt;0,1,0))</f>
        <v/>
      </c>
    </row>
    <row r="1336">
      <c r="A1336" s="5" t="n">
        <v>2122100000</v>
      </c>
      <c r="B1336" s="5" t="inlineStr">
        <is>
          <t>IC1000</t>
        </is>
      </c>
      <c r="C1336" s="5" t="inlineStr">
        <is>
          <t>NORDEX ENERGY SE &amp; CO KG</t>
        </is>
      </c>
      <c r="D1336" s="5" t="inlineStr">
        <is>
          <t>UE</t>
        </is>
      </c>
      <c r="E1336" s="5" t="n">
        <v>200002861</v>
      </c>
      <c r="F1336" s="5" t="inlineStr">
        <is>
          <t>6882</t>
        </is>
      </c>
      <c r="G1336" s="5" t="inlineStr">
        <is>
          <t>EUR</t>
        </is>
      </c>
      <c r="H1336" s="9" t="n">
        <v>-29.82</v>
      </c>
      <c r="I1336" s="16" t="n">
        <v>45063</v>
      </c>
      <c r="J1336" s="16" t="n">
        <v>45063</v>
      </c>
      <c r="K1336" s="5" t="inlineStr">
        <is>
          <t>000000127004</t>
        </is>
      </c>
      <c r="L1336" s="5" t="inlineStr">
        <is>
          <t>403000.NORDENER</t>
        </is>
      </c>
      <c r="M1336" s="5">
        <f>IF(YEAR(I1336)&lt;=2020,"Até 2020",TEXT(YEAR(I1336),"0"))</f>
        <v/>
      </c>
      <c r="N1336" s="5">
        <f>IFERROR(INDEX(DePara!$A:$A,MATCH(TEXT(B1336,"0"),DePara!$D:$D,0)),"(sem categoria)")</f>
        <v/>
      </c>
      <c r="O1336" s="5">
        <f>IF(J1336="","",Parametros!$B$6-J1336)</f>
        <v/>
      </c>
      <c r="P1336" s="5">
        <f>IF(O1336="","",IF(O1336&gt;0,1,0))</f>
        <v/>
      </c>
    </row>
    <row r="1337">
      <c r="A1337" s="5" t="n">
        <v>2122100000</v>
      </c>
      <c r="B1337" s="5" t="inlineStr">
        <is>
          <t>IC1000</t>
        </is>
      </c>
      <c r="C1337" s="5" t="inlineStr">
        <is>
          <t>NORDEX ENERGY SE &amp; CO KG</t>
        </is>
      </c>
      <c r="D1337" s="5" t="inlineStr">
        <is>
          <t>UE</t>
        </is>
      </c>
      <c r="E1337" s="5" t="n">
        <v>200002901</v>
      </c>
      <c r="F1337" s="5" t="inlineStr">
        <is>
          <t>6918</t>
        </is>
      </c>
      <c r="G1337" s="5" t="inlineStr">
        <is>
          <t>EUR</t>
        </is>
      </c>
      <c r="H1337" s="9" t="n">
        <v>-6300.81</v>
      </c>
      <c r="I1337" s="16" t="n">
        <v>45117</v>
      </c>
      <c r="J1337" s="16" t="n">
        <v>45117</v>
      </c>
      <c r="K1337" s="5" t="inlineStr">
        <is>
          <t>000000158004</t>
        </is>
      </c>
      <c r="L1337" s="5" t="inlineStr">
        <is>
          <t>403000.NORDENER</t>
        </is>
      </c>
      <c r="M1337" s="5">
        <f>IF(YEAR(I1337)&lt;=2020,"Até 2020",TEXT(YEAR(I1337),"0"))</f>
        <v/>
      </c>
      <c r="N1337" s="5">
        <f>IFERROR(INDEX(DePara!$A:$A,MATCH(TEXT(B1337,"0"),DePara!$D:$D,0)),"(sem categoria)")</f>
        <v/>
      </c>
      <c r="O1337" s="5">
        <f>IF(J1337="","",Parametros!$B$6-J1337)</f>
        <v/>
      </c>
      <c r="P1337" s="5">
        <f>IF(O1337="","",IF(O1337&gt;0,1,0))</f>
        <v/>
      </c>
    </row>
    <row r="1338">
      <c r="A1338" s="5" t="n">
        <v>2122100000</v>
      </c>
      <c r="B1338" s="5" t="inlineStr">
        <is>
          <t>IC1000</t>
        </is>
      </c>
      <c r="C1338" s="5" t="inlineStr">
        <is>
          <t>NORDEX ENERGY SE &amp; CO KG</t>
        </is>
      </c>
      <c r="D1338" s="5" t="inlineStr">
        <is>
          <t>UE</t>
        </is>
      </c>
      <c r="E1338" s="5" t="n">
        <v>200002902</v>
      </c>
      <c r="F1338" s="5" t="inlineStr">
        <is>
          <t>6919</t>
        </is>
      </c>
      <c r="G1338" s="5" t="inlineStr">
        <is>
          <t>EUR</t>
        </is>
      </c>
      <c r="H1338" s="9" t="n">
        <v>-24317.54</v>
      </c>
      <c r="I1338" s="16" t="n">
        <v>45117</v>
      </c>
      <c r="J1338" s="16" t="n">
        <v>45117</v>
      </c>
      <c r="K1338" s="5" t="inlineStr">
        <is>
          <t>000000159004</t>
        </is>
      </c>
      <c r="L1338" s="5" t="inlineStr">
        <is>
          <t>403000.NORDENER</t>
        </is>
      </c>
      <c r="M1338" s="5">
        <f>IF(YEAR(I1338)&lt;=2020,"Até 2020",TEXT(YEAR(I1338),"0"))</f>
        <v/>
      </c>
      <c r="N1338" s="5">
        <f>IFERROR(INDEX(DePara!$A:$A,MATCH(TEXT(B1338,"0"),DePara!$D:$D,0)),"(sem categoria)")</f>
        <v/>
      </c>
      <c r="O1338" s="5">
        <f>IF(J1338="","",Parametros!$B$6-J1338)</f>
        <v/>
      </c>
      <c r="P1338" s="5">
        <f>IF(O1338="","",IF(O1338&gt;0,1,0))</f>
        <v/>
      </c>
    </row>
    <row r="1339">
      <c r="A1339" s="5" t="n">
        <v>2122100000</v>
      </c>
      <c r="B1339" s="5" t="inlineStr">
        <is>
          <t>IC1000</t>
        </is>
      </c>
      <c r="C1339" s="5" t="inlineStr">
        <is>
          <t>NORDEX ENERGY SE &amp; CO KG</t>
        </is>
      </c>
      <c r="D1339" s="5" t="inlineStr">
        <is>
          <t>UE</t>
        </is>
      </c>
      <c r="E1339" s="5" t="n">
        <v>200002905</v>
      </c>
      <c r="F1339" s="5" t="inlineStr">
        <is>
          <t>6921</t>
        </is>
      </c>
      <c r="G1339" s="5" t="inlineStr">
        <is>
          <t>EUR</t>
        </is>
      </c>
      <c r="H1339" s="9" t="n">
        <v>-29284.27</v>
      </c>
      <c r="I1339" s="16" t="n">
        <v>45117</v>
      </c>
      <c r="J1339" s="16" t="n">
        <v>45117</v>
      </c>
      <c r="K1339" s="5" t="inlineStr">
        <is>
          <t>000000161004</t>
        </is>
      </c>
      <c r="L1339" s="5" t="inlineStr">
        <is>
          <t>403000.NORDENER</t>
        </is>
      </c>
      <c r="M1339" s="5">
        <f>IF(YEAR(I1339)&lt;=2020,"Até 2020",TEXT(YEAR(I1339),"0"))</f>
        <v/>
      </c>
      <c r="N1339" s="5">
        <f>IFERROR(INDEX(DePara!$A:$A,MATCH(TEXT(B1339,"0"),DePara!$D:$D,0)),"(sem categoria)")</f>
        <v/>
      </c>
      <c r="O1339" s="5">
        <f>IF(J1339="","",Parametros!$B$6-J1339)</f>
        <v/>
      </c>
      <c r="P1339" s="5">
        <f>IF(O1339="","",IF(O1339&gt;0,1,0))</f>
        <v/>
      </c>
    </row>
    <row r="1340">
      <c r="A1340" s="5" t="n">
        <v>2122100000</v>
      </c>
      <c r="B1340" s="5" t="inlineStr">
        <is>
          <t>IC1000</t>
        </is>
      </c>
      <c r="C1340" s="5" t="inlineStr">
        <is>
          <t>NORDEX ENERGY SE &amp; CO KG</t>
        </is>
      </c>
      <c r="D1340" s="5" t="inlineStr">
        <is>
          <t>UE</t>
        </is>
      </c>
      <c r="E1340" s="5" t="n">
        <v>200002908</v>
      </c>
      <c r="F1340" s="5" t="inlineStr">
        <is>
          <t>6924</t>
        </is>
      </c>
      <c r="G1340" s="5" t="inlineStr">
        <is>
          <t>EUR</t>
        </is>
      </c>
      <c r="H1340" s="9" t="n">
        <v>-464.45</v>
      </c>
      <c r="I1340" s="16" t="n">
        <v>45117</v>
      </c>
      <c r="J1340" s="16" t="n">
        <v>45117</v>
      </c>
      <c r="K1340" s="5" t="inlineStr">
        <is>
          <t>000000167004</t>
        </is>
      </c>
      <c r="L1340" s="5" t="inlineStr">
        <is>
          <t>403000.NORDENER</t>
        </is>
      </c>
      <c r="M1340" s="5">
        <f>IF(YEAR(I1340)&lt;=2020,"Até 2020",TEXT(YEAR(I1340),"0"))</f>
        <v/>
      </c>
      <c r="N1340" s="5">
        <f>IFERROR(INDEX(DePara!$A:$A,MATCH(TEXT(B1340,"0"),DePara!$D:$D,0)),"(sem categoria)")</f>
        <v/>
      </c>
      <c r="O1340" s="5">
        <f>IF(J1340="","",Parametros!$B$6-J1340)</f>
        <v/>
      </c>
      <c r="P1340" s="5">
        <f>IF(O1340="","",IF(O1340&gt;0,1,0))</f>
        <v/>
      </c>
    </row>
    <row r="1341">
      <c r="A1341" s="5" t="n">
        <v>2122100000</v>
      </c>
      <c r="B1341" s="5" t="inlineStr">
        <is>
          <t>IC1000</t>
        </is>
      </c>
      <c r="C1341" s="5" t="inlineStr">
        <is>
          <t>NORDEX ENERGY SE &amp; CO KG</t>
        </is>
      </c>
      <c r="D1341" s="5" t="inlineStr">
        <is>
          <t>UE</t>
        </is>
      </c>
      <c r="E1341" s="5" t="n">
        <v>200002909</v>
      </c>
      <c r="F1341" s="5" t="inlineStr">
        <is>
          <t>6925</t>
        </is>
      </c>
      <c r="G1341" s="5" t="inlineStr">
        <is>
          <t>EUR</t>
        </is>
      </c>
      <c r="H1341" s="9" t="n">
        <v>-5381.86</v>
      </c>
      <c r="I1341" s="16" t="n">
        <v>45098</v>
      </c>
      <c r="J1341" s="16" t="n">
        <v>45098</v>
      </c>
      <c r="K1341" s="5" t="inlineStr">
        <is>
          <t>000000154004</t>
        </is>
      </c>
      <c r="L1341" s="5" t="inlineStr">
        <is>
          <t>403000.NORDENER</t>
        </is>
      </c>
      <c r="M1341" s="5">
        <f>IF(YEAR(I1341)&lt;=2020,"Até 2020",TEXT(YEAR(I1341),"0"))</f>
        <v/>
      </c>
      <c r="N1341" s="5">
        <f>IFERROR(INDEX(DePara!$A:$A,MATCH(TEXT(B1341,"0"),DePara!$D:$D,0)),"(sem categoria)")</f>
        <v/>
      </c>
      <c r="O1341" s="5">
        <f>IF(J1341="","",Parametros!$B$6-J1341)</f>
        <v/>
      </c>
      <c r="P1341" s="5">
        <f>IF(O1341="","",IF(O1341&gt;0,1,0))</f>
        <v/>
      </c>
    </row>
    <row r="1342">
      <c r="A1342" s="5" t="n">
        <v>2122100000</v>
      </c>
      <c r="B1342" s="5" t="inlineStr">
        <is>
          <t>IC1000</t>
        </is>
      </c>
      <c r="C1342" s="5" t="inlineStr">
        <is>
          <t>NORDEX ENERGY SE &amp; CO KG</t>
        </is>
      </c>
      <c r="D1342" s="5" t="inlineStr">
        <is>
          <t>UE</t>
        </is>
      </c>
      <c r="E1342" s="5" t="n">
        <v>200002910</v>
      </c>
      <c r="F1342" s="5" t="inlineStr">
        <is>
          <t>6926</t>
        </is>
      </c>
      <c r="G1342" s="5" t="inlineStr">
        <is>
          <t>EUR</t>
        </is>
      </c>
      <c r="H1342" s="9" t="n">
        <v>-26295.97</v>
      </c>
      <c r="I1342" s="16" t="n">
        <v>45098</v>
      </c>
      <c r="J1342" s="16" t="n">
        <v>45098</v>
      </c>
      <c r="K1342" s="5" t="inlineStr">
        <is>
          <t>000000155004</t>
        </is>
      </c>
      <c r="L1342" s="5" t="inlineStr">
        <is>
          <t>403000.NORDENER</t>
        </is>
      </c>
      <c r="M1342" s="5">
        <f>IF(YEAR(I1342)&lt;=2020,"Até 2020",TEXT(YEAR(I1342),"0"))</f>
        <v/>
      </c>
      <c r="N1342" s="5">
        <f>IFERROR(INDEX(DePara!$A:$A,MATCH(TEXT(B1342,"0"),DePara!$D:$D,0)),"(sem categoria)")</f>
        <v/>
      </c>
      <c r="O1342" s="5">
        <f>IF(J1342="","",Parametros!$B$6-J1342)</f>
        <v/>
      </c>
      <c r="P1342" s="5">
        <f>IF(O1342="","",IF(O1342&gt;0,1,0))</f>
        <v/>
      </c>
    </row>
    <row r="1343">
      <c r="A1343" s="5" t="n">
        <v>2122100000</v>
      </c>
      <c r="B1343" s="5" t="inlineStr">
        <is>
          <t>IC1000</t>
        </is>
      </c>
      <c r="C1343" s="5" t="inlineStr">
        <is>
          <t>NORDEX ENERGY SE &amp; CO KG</t>
        </is>
      </c>
      <c r="D1343" s="5" t="inlineStr">
        <is>
          <t>UE</t>
        </is>
      </c>
      <c r="E1343" s="5" t="n">
        <v>200002913</v>
      </c>
      <c r="F1343" s="5" t="inlineStr">
        <is>
          <t>6929</t>
        </is>
      </c>
      <c r="G1343" s="5" t="inlineStr">
        <is>
          <t>EUR</t>
        </is>
      </c>
      <c r="H1343" s="9" t="n">
        <v>-2873.26</v>
      </c>
      <c r="I1343" s="16" t="n">
        <v>45119</v>
      </c>
      <c r="J1343" s="16" t="n">
        <v>45119</v>
      </c>
      <c r="K1343" s="5" t="inlineStr">
        <is>
          <t>000000168004</t>
        </is>
      </c>
      <c r="L1343" s="5" t="inlineStr">
        <is>
          <t>403000.NORDENER</t>
        </is>
      </c>
      <c r="M1343" s="5">
        <f>IF(YEAR(I1343)&lt;=2020,"Até 2020",TEXT(YEAR(I1343),"0"))</f>
        <v/>
      </c>
      <c r="N1343" s="5">
        <f>IFERROR(INDEX(DePara!$A:$A,MATCH(TEXT(B1343,"0"),DePara!$D:$D,0)),"(sem categoria)")</f>
        <v/>
      </c>
      <c r="O1343" s="5">
        <f>IF(J1343="","",Parametros!$B$6-J1343)</f>
        <v/>
      </c>
      <c r="P1343" s="5">
        <f>IF(O1343="","",IF(O1343&gt;0,1,0))</f>
        <v/>
      </c>
    </row>
    <row r="1344">
      <c r="A1344" s="5" t="n">
        <v>2122100000</v>
      </c>
      <c r="B1344" s="5" t="inlineStr">
        <is>
          <t>IC1000</t>
        </is>
      </c>
      <c r="C1344" s="5" t="inlineStr">
        <is>
          <t>NORDEX ENERGY SE &amp; CO KG</t>
        </is>
      </c>
      <c r="D1344" s="5" t="inlineStr">
        <is>
          <t>UE</t>
        </is>
      </c>
      <c r="E1344" s="5" t="n">
        <v>200002918</v>
      </c>
      <c r="F1344" s="5" t="inlineStr">
        <is>
          <t>6933</t>
        </is>
      </c>
      <c r="G1344" s="5" t="inlineStr">
        <is>
          <t>EUR</t>
        </is>
      </c>
      <c r="H1344" s="9" t="n">
        <v>-3188.65</v>
      </c>
      <c r="I1344" s="16" t="n">
        <v>45121</v>
      </c>
      <c r="J1344" s="16" t="n">
        <v>45121</v>
      </c>
      <c r="K1344" s="5" t="inlineStr">
        <is>
          <t>000000169004</t>
        </is>
      </c>
      <c r="L1344" s="5" t="inlineStr">
        <is>
          <t>403000.NORDENER</t>
        </is>
      </c>
      <c r="M1344" s="5">
        <f>IF(YEAR(I1344)&lt;=2020,"Até 2020",TEXT(YEAR(I1344),"0"))</f>
        <v/>
      </c>
      <c r="N1344" s="5">
        <f>IFERROR(INDEX(DePara!$A:$A,MATCH(TEXT(B1344,"0"),DePara!$D:$D,0)),"(sem categoria)")</f>
        <v/>
      </c>
      <c r="O1344" s="5">
        <f>IF(J1344="","",Parametros!$B$6-J1344)</f>
        <v/>
      </c>
      <c r="P1344" s="5">
        <f>IF(O1344="","",IF(O1344&gt;0,1,0))</f>
        <v/>
      </c>
    </row>
    <row r="1345">
      <c r="A1345" s="5" t="n">
        <v>2122100000</v>
      </c>
      <c r="B1345" s="5" t="inlineStr">
        <is>
          <t>IC1000</t>
        </is>
      </c>
      <c r="C1345" s="5" t="inlineStr">
        <is>
          <t>NORDEX ENERGY SE &amp; CO KG</t>
        </is>
      </c>
      <c r="D1345" s="5" t="inlineStr">
        <is>
          <t>UE</t>
        </is>
      </c>
      <c r="E1345" s="5" t="n">
        <v>200002920</v>
      </c>
      <c r="F1345" s="5" t="inlineStr">
        <is>
          <t>6935</t>
        </is>
      </c>
      <c r="G1345" s="5" t="inlineStr">
        <is>
          <t>EUR</t>
        </is>
      </c>
      <c r="H1345" s="9" t="n">
        <v>-5479.66</v>
      </c>
      <c r="I1345" s="16" t="n">
        <v>45128</v>
      </c>
      <c r="J1345" s="16" t="n">
        <v>45128</v>
      </c>
      <c r="K1345" s="5" t="inlineStr">
        <is>
          <t>000000177004</t>
        </is>
      </c>
      <c r="L1345" s="5" t="inlineStr">
        <is>
          <t>403000.NORDENER</t>
        </is>
      </c>
      <c r="M1345" s="5">
        <f>IF(YEAR(I1345)&lt;=2020,"Até 2020",TEXT(YEAR(I1345),"0"))</f>
        <v/>
      </c>
      <c r="N1345" s="5">
        <f>IFERROR(INDEX(DePara!$A:$A,MATCH(TEXT(B1345,"0"),DePara!$D:$D,0)),"(sem categoria)")</f>
        <v/>
      </c>
      <c r="O1345" s="5">
        <f>IF(J1345="","",Parametros!$B$6-J1345)</f>
        <v/>
      </c>
      <c r="P1345" s="5">
        <f>IF(O1345="","",IF(O1345&gt;0,1,0))</f>
        <v/>
      </c>
    </row>
    <row r="1346">
      <c r="A1346" s="5" t="n">
        <v>2122100000</v>
      </c>
      <c r="B1346" s="5" t="inlineStr">
        <is>
          <t>IC1000</t>
        </is>
      </c>
      <c r="C1346" s="5" t="inlineStr">
        <is>
          <t>NORDEX ENERGY SE &amp; CO KG</t>
        </is>
      </c>
      <c r="D1346" s="5" t="inlineStr">
        <is>
          <t>UE</t>
        </is>
      </c>
      <c r="E1346" s="5" t="n">
        <v>200002921</v>
      </c>
      <c r="F1346" s="5" t="inlineStr">
        <is>
          <t>6936</t>
        </is>
      </c>
      <c r="G1346" s="5" t="inlineStr">
        <is>
          <t>EUR</t>
        </is>
      </c>
      <c r="H1346" s="9" t="n">
        <v>-4667.23</v>
      </c>
      <c r="I1346" s="16" t="n">
        <v>45128</v>
      </c>
      <c r="J1346" s="16" t="n">
        <v>45128</v>
      </c>
      <c r="K1346" s="5" t="inlineStr">
        <is>
          <t>000000176004</t>
        </is>
      </c>
      <c r="L1346" s="5" t="inlineStr">
        <is>
          <t>403000.NORDENER</t>
        </is>
      </c>
      <c r="M1346" s="5">
        <f>IF(YEAR(I1346)&lt;=2020,"Até 2020",TEXT(YEAR(I1346),"0"))</f>
        <v/>
      </c>
      <c r="N1346" s="5">
        <f>IFERROR(INDEX(DePara!$A:$A,MATCH(TEXT(B1346,"0"),DePara!$D:$D,0)),"(sem categoria)")</f>
        <v/>
      </c>
      <c r="O1346" s="5">
        <f>IF(J1346="","",Parametros!$B$6-J1346)</f>
        <v/>
      </c>
      <c r="P1346" s="5">
        <f>IF(O1346="","",IF(O1346&gt;0,1,0))</f>
        <v/>
      </c>
    </row>
    <row r="1347">
      <c r="A1347" s="5" t="n">
        <v>2122100000</v>
      </c>
      <c r="B1347" s="5" t="inlineStr">
        <is>
          <t>IC1000</t>
        </is>
      </c>
      <c r="C1347" s="5" t="inlineStr">
        <is>
          <t>NORDEX ENERGY SE &amp; CO KG</t>
        </is>
      </c>
      <c r="D1347" s="5" t="inlineStr">
        <is>
          <t>UE</t>
        </is>
      </c>
      <c r="E1347" s="5" t="n">
        <v>200002924</v>
      </c>
      <c r="F1347" s="5" t="inlineStr">
        <is>
          <t>6939</t>
        </is>
      </c>
      <c r="G1347" s="5" t="inlineStr">
        <is>
          <t>EUR</t>
        </is>
      </c>
      <c r="H1347" s="9" t="n">
        <v>-32807.07</v>
      </c>
      <c r="I1347" s="16" t="n">
        <v>45124</v>
      </c>
      <c r="J1347" s="16" t="n">
        <v>45124</v>
      </c>
      <c r="K1347" s="5" t="inlineStr">
        <is>
          <t>000000175004</t>
        </is>
      </c>
      <c r="L1347" s="5" t="inlineStr">
        <is>
          <t>403000.NORDENER</t>
        </is>
      </c>
      <c r="M1347" s="5">
        <f>IF(YEAR(I1347)&lt;=2020,"Até 2020",TEXT(YEAR(I1347),"0"))</f>
        <v/>
      </c>
      <c r="N1347" s="5">
        <f>IFERROR(INDEX(DePara!$A:$A,MATCH(TEXT(B1347,"0"),DePara!$D:$D,0)),"(sem categoria)")</f>
        <v/>
      </c>
      <c r="O1347" s="5">
        <f>IF(J1347="","",Parametros!$B$6-J1347)</f>
        <v/>
      </c>
      <c r="P1347" s="5">
        <f>IF(O1347="","",IF(O1347&gt;0,1,0))</f>
        <v/>
      </c>
    </row>
    <row r="1348">
      <c r="A1348" s="5" t="n">
        <v>2122100000</v>
      </c>
      <c r="B1348" s="5" t="inlineStr">
        <is>
          <t>IC1000</t>
        </is>
      </c>
      <c r="C1348" s="5" t="inlineStr">
        <is>
          <t>NORDEX ENERGY SE &amp; CO KG</t>
        </is>
      </c>
      <c r="D1348" s="5" t="inlineStr">
        <is>
          <t>UE</t>
        </is>
      </c>
      <c r="E1348" s="5" t="n">
        <v>200002928</v>
      </c>
      <c r="F1348" s="5" t="inlineStr">
        <is>
          <t>6942</t>
        </is>
      </c>
      <c r="G1348" s="5" t="inlineStr">
        <is>
          <t>EUR</t>
        </is>
      </c>
      <c r="H1348" s="9" t="n">
        <v>-115575.71</v>
      </c>
      <c r="I1348" s="16" t="n">
        <v>45131</v>
      </c>
      <c r="J1348" s="16" t="n">
        <v>45131</v>
      </c>
      <c r="K1348" s="5" t="inlineStr">
        <is>
          <t>000000185004</t>
        </is>
      </c>
      <c r="L1348" s="5" t="inlineStr">
        <is>
          <t>403000.NORDENER</t>
        </is>
      </c>
      <c r="M1348" s="5">
        <f>IF(YEAR(I1348)&lt;=2020,"Até 2020",TEXT(YEAR(I1348),"0"))</f>
        <v/>
      </c>
      <c r="N1348" s="5">
        <f>IFERROR(INDEX(DePara!$A:$A,MATCH(TEXT(B1348,"0"),DePara!$D:$D,0)),"(sem categoria)")</f>
        <v/>
      </c>
      <c r="O1348" s="5">
        <f>IF(J1348="","",Parametros!$B$6-J1348)</f>
        <v/>
      </c>
      <c r="P1348" s="5">
        <f>IF(O1348="","",IF(O1348&gt;0,1,0))</f>
        <v/>
      </c>
    </row>
    <row r="1349">
      <c r="A1349" s="5" t="n">
        <v>2122100000</v>
      </c>
      <c r="B1349" s="5" t="inlineStr">
        <is>
          <t>IC5000</t>
        </is>
      </c>
      <c r="C1349" s="5" t="inlineStr">
        <is>
          <t>NORDEX SE</t>
        </is>
      </c>
      <c r="D1349" s="5" t="inlineStr">
        <is>
          <t>UE</t>
        </is>
      </c>
      <c r="E1349" s="5" t="n">
        <v>200004569</v>
      </c>
      <c r="F1349" s="5" t="inlineStr">
        <is>
          <t>6149</t>
        </is>
      </c>
      <c r="G1349" s="5" t="inlineStr">
        <is>
          <t>EUR</t>
        </is>
      </c>
      <c r="H1349" s="9" t="n">
        <v>-1537093.37</v>
      </c>
      <c r="I1349" s="16" t="n">
        <v>43465</v>
      </c>
      <c r="J1349" s="16" t="n">
        <v>43465</v>
      </c>
      <c r="K1349" s="5" t="inlineStr">
        <is>
          <t>603328</t>
        </is>
      </c>
      <c r="L1349" s="5" t="inlineStr">
        <is>
          <t>403000.NORDEXMF</t>
        </is>
      </c>
      <c r="M1349" s="5">
        <f>IF(YEAR(I1349)&lt;=2020,"Até 2020",TEXT(YEAR(I1349),"0"))</f>
        <v/>
      </c>
      <c r="N1349" s="5">
        <f>IFERROR(INDEX(DePara!$A:$A,MATCH(TEXT(B1349,"0"),DePara!$D:$D,0)),"(sem categoria)")</f>
        <v/>
      </c>
      <c r="O1349" s="5">
        <f>IF(J1349="","",Parametros!$B$6-J1349)</f>
        <v/>
      </c>
      <c r="P1349" s="5">
        <f>IF(O1349="","",IF(O1349&gt;0,1,0))</f>
        <v/>
      </c>
    </row>
    <row r="1350">
      <c r="A1350" s="5" t="n">
        <v>2122100000</v>
      </c>
      <c r="B1350" s="5" t="inlineStr">
        <is>
          <t>IC5000</t>
        </is>
      </c>
      <c r="C1350" s="5" t="inlineStr">
        <is>
          <t>NORDEX SE</t>
        </is>
      </c>
      <c r="D1350" s="5" t="inlineStr">
        <is>
          <t>UE</t>
        </is>
      </c>
      <c r="E1350" s="5" t="n">
        <v>200004571</v>
      </c>
      <c r="F1350" s="5" t="inlineStr">
        <is>
          <t>6150</t>
        </is>
      </c>
      <c r="G1350" s="5" t="inlineStr">
        <is>
          <t>EUR</t>
        </is>
      </c>
      <c r="H1350" s="9" t="n">
        <v>4218308.19</v>
      </c>
      <c r="I1350" s="16" t="n">
        <v>43830</v>
      </c>
      <c r="J1350" s="16" t="n">
        <v>43830</v>
      </c>
      <c r="K1350" s="5" t="inlineStr">
        <is>
          <t>72913-RI-00060-001</t>
        </is>
      </c>
      <c r="L1350" s="5" t="inlineStr">
        <is>
          <t>403000.NORDEXMF</t>
        </is>
      </c>
      <c r="M1350" s="5">
        <f>IF(YEAR(I1350)&lt;=2020,"Até 2020",TEXT(YEAR(I1350),"0"))</f>
        <v/>
      </c>
      <c r="N1350" s="5">
        <f>IFERROR(INDEX(DePara!$A:$A,MATCH(TEXT(B1350,"0"),DePara!$D:$D,0)),"(sem categoria)")</f>
        <v/>
      </c>
      <c r="O1350" s="5">
        <f>IF(J1350="","",Parametros!$B$6-J1350)</f>
        <v/>
      </c>
      <c r="P1350" s="5">
        <f>IF(O1350="","",IF(O1350&gt;0,1,0))</f>
        <v/>
      </c>
    </row>
    <row r="1351">
      <c r="A1351" s="5" t="n">
        <v>2122100000</v>
      </c>
      <c r="B1351" s="5" t="inlineStr">
        <is>
          <t>IC1000</t>
        </is>
      </c>
      <c r="C1351" s="5" t="inlineStr">
        <is>
          <t>NORDEX ENERGY SE &amp; CO KG</t>
        </is>
      </c>
      <c r="D1351" s="5" t="inlineStr">
        <is>
          <t>UE</t>
        </is>
      </c>
      <c r="E1351" s="5" t="n">
        <v>200004886</v>
      </c>
      <c r="F1351" s="5" t="inlineStr">
        <is>
          <t>6434</t>
        </is>
      </c>
      <c r="G1351" s="5" t="inlineStr">
        <is>
          <t>EUR</t>
        </is>
      </c>
      <c r="H1351" s="9" t="n">
        <v>-1526933.57</v>
      </c>
      <c r="I1351" s="16" t="n">
        <v>43465</v>
      </c>
      <c r="J1351" s="16" t="n">
        <v>43465</v>
      </c>
      <c r="K1351" s="5" t="inlineStr">
        <is>
          <t>607072</t>
        </is>
      </c>
      <c r="L1351" s="5" t="inlineStr">
        <is>
          <t>403000.NORDENER</t>
        </is>
      </c>
      <c r="M1351" s="5">
        <f>IF(YEAR(I1351)&lt;=2020,"Até 2020",TEXT(YEAR(I1351),"0"))</f>
        <v/>
      </c>
      <c r="N1351" s="5">
        <f>IFERROR(INDEX(DePara!$A:$A,MATCH(TEXT(B1351,"0"),DePara!$D:$D,0)),"(sem categoria)")</f>
        <v/>
      </c>
      <c r="O1351" s="5">
        <f>IF(J1351="","",Parametros!$B$6-J1351)</f>
        <v/>
      </c>
      <c r="P1351" s="5">
        <f>IF(O1351="","",IF(O1351&gt;0,1,0))</f>
        <v/>
      </c>
    </row>
    <row r="1352">
      <c r="A1352" s="5" t="n">
        <v>2122100000</v>
      </c>
      <c r="B1352" s="5" t="inlineStr">
        <is>
          <t>IC1000</t>
        </is>
      </c>
      <c r="C1352" s="5" t="inlineStr">
        <is>
          <t>NORDEX ENERGY SE &amp; CO KG</t>
        </is>
      </c>
      <c r="D1352" s="5" t="inlineStr">
        <is>
          <t>UE</t>
        </is>
      </c>
      <c r="E1352" s="5" t="n">
        <v>200004887</v>
      </c>
      <c r="F1352" s="5" t="inlineStr">
        <is>
          <t>6435</t>
        </is>
      </c>
      <c r="G1352" s="5" t="inlineStr">
        <is>
          <t>EUR</t>
        </is>
      </c>
      <c r="H1352" s="9" t="n">
        <v>-629572.49</v>
      </c>
      <c r="I1352" s="16" t="n">
        <v>44069</v>
      </c>
      <c r="J1352" s="16" t="n">
        <v>44069</v>
      </c>
      <c r="K1352" s="5" t="inlineStr">
        <is>
          <t>000000239002</t>
        </is>
      </c>
      <c r="L1352" s="5" t="inlineStr">
        <is>
          <t>403000.NORDENER</t>
        </is>
      </c>
      <c r="M1352" s="5">
        <f>IF(YEAR(I1352)&lt;=2020,"Até 2020",TEXT(YEAR(I1352),"0"))</f>
        <v/>
      </c>
      <c r="N1352" s="5">
        <f>IFERROR(INDEX(DePara!$A:$A,MATCH(TEXT(B1352,"0"),DePara!$D:$D,0)),"(sem categoria)")</f>
        <v/>
      </c>
      <c r="O1352" s="5">
        <f>IF(J1352="","",Parametros!$B$6-J1352)</f>
        <v/>
      </c>
      <c r="P1352" s="5">
        <f>IF(O1352="","",IF(O1352&gt;0,1,0))</f>
        <v/>
      </c>
    </row>
    <row r="1353">
      <c r="A1353" s="5" t="n">
        <v>2122100000</v>
      </c>
      <c r="B1353" s="5" t="inlineStr">
        <is>
          <t>IC1000</t>
        </is>
      </c>
      <c r="C1353" s="5" t="inlineStr">
        <is>
          <t>NORDEX ENERGY SE &amp; CO KG</t>
        </is>
      </c>
      <c r="D1353" s="5" t="inlineStr">
        <is>
          <t>UE</t>
        </is>
      </c>
      <c r="E1353" s="5" t="n">
        <v>200004901</v>
      </c>
      <c r="F1353" s="5" t="inlineStr">
        <is>
          <t>6448</t>
        </is>
      </c>
      <c r="G1353" s="5" t="inlineStr">
        <is>
          <t>EUR</t>
        </is>
      </c>
      <c r="H1353" s="9" t="n">
        <v>-523087.19</v>
      </c>
      <c r="I1353" s="16" t="n">
        <v>44775</v>
      </c>
      <c r="J1353" s="16" t="n">
        <v>44775</v>
      </c>
      <c r="K1353" s="5" t="inlineStr">
        <is>
          <t>000002152002</t>
        </is>
      </c>
      <c r="L1353" s="5" t="inlineStr">
        <is>
          <t>403000.NORDENER</t>
        </is>
      </c>
      <c r="M1353" s="5">
        <f>IF(YEAR(I1353)&lt;=2020,"Até 2020",TEXT(YEAR(I1353),"0"))</f>
        <v/>
      </c>
      <c r="N1353" s="5">
        <f>IFERROR(INDEX(DePara!$A:$A,MATCH(TEXT(B1353,"0"),DePara!$D:$D,0)),"(sem categoria)")</f>
        <v/>
      </c>
      <c r="O1353" s="5">
        <f>IF(J1353="","",Parametros!$B$6-J1353)</f>
        <v/>
      </c>
      <c r="P1353" s="5">
        <f>IF(O1353="","",IF(O1353&gt;0,1,0))</f>
        <v/>
      </c>
    </row>
    <row r="1354">
      <c r="A1354" s="5" t="n">
        <v>2122100000</v>
      </c>
      <c r="B1354" s="5" t="inlineStr">
        <is>
          <t>IC1000</t>
        </is>
      </c>
      <c r="C1354" s="5" t="inlineStr">
        <is>
          <t>NORDEX ENERGY SE &amp; CO KG</t>
        </is>
      </c>
      <c r="D1354" s="5" t="inlineStr">
        <is>
          <t>UE</t>
        </is>
      </c>
      <c r="E1354" s="5" t="n">
        <v>200004913</v>
      </c>
      <c r="F1354" s="5" t="inlineStr">
        <is>
          <t>6459</t>
        </is>
      </c>
      <c r="G1354" s="5" t="inlineStr">
        <is>
          <t>EUR</t>
        </is>
      </c>
      <c r="H1354" s="9" t="n">
        <v>-857321.03</v>
      </c>
      <c r="I1354" s="16" t="n">
        <v>44778</v>
      </c>
      <c r="J1354" s="16" t="n">
        <v>44778</v>
      </c>
      <c r="K1354" s="5" t="inlineStr">
        <is>
          <t>000002189002</t>
        </is>
      </c>
      <c r="L1354" s="5" t="inlineStr">
        <is>
          <t>403000.NORDENER</t>
        </is>
      </c>
      <c r="M1354" s="5">
        <f>IF(YEAR(I1354)&lt;=2020,"Até 2020",TEXT(YEAR(I1354),"0"))</f>
        <v/>
      </c>
      <c r="N1354" s="5">
        <f>IFERROR(INDEX(DePara!$A:$A,MATCH(TEXT(B1354,"0"),DePara!$D:$D,0)),"(sem categoria)")</f>
        <v/>
      </c>
      <c r="O1354" s="5">
        <f>IF(J1354="","",Parametros!$B$6-J1354)</f>
        <v/>
      </c>
      <c r="P1354" s="5">
        <f>IF(O1354="","",IF(O1354&gt;0,1,0))</f>
        <v/>
      </c>
    </row>
    <row r="1355">
      <c r="A1355" s="5" t="n">
        <v>2122100000</v>
      </c>
      <c r="B1355" s="5" t="inlineStr">
        <is>
          <t>IC1000</t>
        </is>
      </c>
      <c r="C1355" s="5" t="inlineStr">
        <is>
          <t>NORDEX ENERGY SE &amp; CO KG</t>
        </is>
      </c>
      <c r="D1355" s="5" t="inlineStr">
        <is>
          <t>UE</t>
        </is>
      </c>
      <c r="E1355" s="5" t="n">
        <v>200004919</v>
      </c>
      <c r="F1355" s="5" t="inlineStr">
        <is>
          <t>6464</t>
        </is>
      </c>
      <c r="G1355" s="5" t="inlineStr">
        <is>
          <t>EUR</t>
        </is>
      </c>
      <c r="H1355" s="9" t="n">
        <v>-1055059.14</v>
      </c>
      <c r="I1355" s="16" t="n">
        <v>44775</v>
      </c>
      <c r="J1355" s="16" t="n">
        <v>44775</v>
      </c>
      <c r="K1355" s="5" t="inlineStr">
        <is>
          <t>000002154002</t>
        </is>
      </c>
      <c r="L1355" s="5" t="inlineStr">
        <is>
          <t>403000.NORDENER</t>
        </is>
      </c>
      <c r="M1355" s="5">
        <f>IF(YEAR(I1355)&lt;=2020,"Até 2020",TEXT(YEAR(I1355),"0"))</f>
        <v/>
      </c>
      <c r="N1355" s="5">
        <f>IFERROR(INDEX(DePara!$A:$A,MATCH(TEXT(B1355,"0"),DePara!$D:$D,0)),"(sem categoria)")</f>
        <v/>
      </c>
      <c r="O1355" s="5">
        <f>IF(J1355="","",Parametros!$B$6-J1355)</f>
        <v/>
      </c>
      <c r="P1355" s="5">
        <f>IF(O1355="","",IF(O1355&gt;0,1,0))</f>
        <v/>
      </c>
    </row>
    <row r="1356">
      <c r="A1356" s="5" t="n">
        <v>2122100000</v>
      </c>
      <c r="B1356" s="5" t="inlineStr">
        <is>
          <t>IC1000</t>
        </is>
      </c>
      <c r="C1356" s="5" t="inlineStr">
        <is>
          <t>NORDEX ENERGY SE &amp; CO KG</t>
        </is>
      </c>
      <c r="D1356" s="5" t="inlineStr">
        <is>
          <t>UE</t>
        </is>
      </c>
      <c r="E1356" s="5" t="n">
        <v>200004942</v>
      </c>
      <c r="F1356" s="5" t="inlineStr">
        <is>
          <t>6485</t>
        </is>
      </c>
      <c r="G1356" s="5" t="inlineStr">
        <is>
          <t>EUR</t>
        </is>
      </c>
      <c r="H1356" s="9" t="n">
        <v>-2661.73</v>
      </c>
      <c r="I1356" s="16" t="n">
        <v>44789</v>
      </c>
      <c r="J1356" s="16" t="n">
        <v>44789</v>
      </c>
      <c r="K1356" s="5" t="inlineStr">
        <is>
          <t>000002226002</t>
        </is>
      </c>
      <c r="L1356" s="5" t="inlineStr">
        <is>
          <t>403000.NORDENER</t>
        </is>
      </c>
      <c r="M1356" s="5">
        <f>IF(YEAR(I1356)&lt;=2020,"Até 2020",TEXT(YEAR(I1356),"0"))</f>
        <v/>
      </c>
      <c r="N1356" s="5">
        <f>IFERROR(INDEX(DePara!$A:$A,MATCH(TEXT(B1356,"0"),DePara!$D:$D,0)),"(sem categoria)")</f>
        <v/>
      </c>
      <c r="O1356" s="5">
        <f>IF(J1356="","",Parametros!$B$6-J1356)</f>
        <v/>
      </c>
      <c r="P1356" s="5">
        <f>IF(O1356="","",IF(O1356&gt;0,1,0))</f>
        <v/>
      </c>
    </row>
    <row r="1357">
      <c r="A1357" s="5" t="n">
        <v>2122100000</v>
      </c>
      <c r="B1357" s="5" t="inlineStr">
        <is>
          <t>IC1000</t>
        </is>
      </c>
      <c r="C1357" s="5" t="inlineStr">
        <is>
          <t>NORDEX ENERGY SE &amp; CO KG</t>
        </is>
      </c>
      <c r="D1357" s="5" t="inlineStr">
        <is>
          <t>UE</t>
        </is>
      </c>
      <c r="E1357" s="5" t="n">
        <v>200004965</v>
      </c>
      <c r="F1357" s="5" t="inlineStr">
        <is>
          <t>6505</t>
        </is>
      </c>
      <c r="G1357" s="5" t="inlineStr">
        <is>
          <t>EUR</t>
        </is>
      </c>
      <c r="H1357" s="9" t="n">
        <v>-50628.64</v>
      </c>
      <c r="I1357" s="16" t="n">
        <v>44818</v>
      </c>
      <c r="J1357" s="16" t="n">
        <v>44818</v>
      </c>
      <c r="K1357" s="5" t="inlineStr">
        <is>
          <t>000002414002</t>
        </is>
      </c>
      <c r="L1357" s="5" t="inlineStr">
        <is>
          <t>403000.NORDENER</t>
        </is>
      </c>
      <c r="M1357" s="5">
        <f>IF(YEAR(I1357)&lt;=2020,"Até 2020",TEXT(YEAR(I1357),"0"))</f>
        <v/>
      </c>
      <c r="N1357" s="5">
        <f>IFERROR(INDEX(DePara!$A:$A,MATCH(TEXT(B1357,"0"),DePara!$D:$D,0)),"(sem categoria)")</f>
        <v/>
      </c>
      <c r="O1357" s="5">
        <f>IF(J1357="","",Parametros!$B$6-J1357)</f>
        <v/>
      </c>
      <c r="P1357" s="5">
        <f>IF(O1357="","",IF(O1357&gt;0,1,0))</f>
        <v/>
      </c>
    </row>
    <row r="1358">
      <c r="A1358" s="5" t="n">
        <v>2122100000</v>
      </c>
      <c r="B1358" s="5" t="inlineStr">
        <is>
          <t>IC1000</t>
        </is>
      </c>
      <c r="C1358" s="5" t="inlineStr">
        <is>
          <t>NORDEX ENERGY SE &amp; CO KG</t>
        </is>
      </c>
      <c r="D1358" s="5" t="inlineStr">
        <is>
          <t>UE</t>
        </is>
      </c>
      <c r="E1358" s="5" t="n">
        <v>200004993</v>
      </c>
      <c r="F1358" s="5" t="inlineStr">
        <is>
          <t>6530</t>
        </is>
      </c>
      <c r="G1358" s="5" t="inlineStr">
        <is>
          <t>EUR</t>
        </is>
      </c>
      <c r="H1358" s="9" t="n">
        <v>-4127.41</v>
      </c>
      <c r="I1358" s="16" t="n">
        <v>44861</v>
      </c>
      <c r="J1358" s="16" t="n">
        <v>44861</v>
      </c>
      <c r="K1358" s="5" t="inlineStr">
        <is>
          <t>000002663002</t>
        </is>
      </c>
      <c r="L1358" s="5" t="inlineStr">
        <is>
          <t>403000.NORDENER</t>
        </is>
      </c>
      <c r="M1358" s="5">
        <f>IF(YEAR(I1358)&lt;=2020,"Até 2020",TEXT(YEAR(I1358),"0"))</f>
        <v/>
      </c>
      <c r="N1358" s="5">
        <f>IFERROR(INDEX(DePara!$A:$A,MATCH(TEXT(B1358,"0"),DePara!$D:$D,0)),"(sem categoria)")</f>
        <v/>
      </c>
      <c r="O1358" s="5">
        <f>IF(J1358="","",Parametros!$B$6-J1358)</f>
        <v/>
      </c>
      <c r="P1358" s="5">
        <f>IF(O1358="","",IF(O1358&gt;0,1,0))</f>
        <v/>
      </c>
    </row>
    <row r="1359">
      <c r="A1359" s="5" t="n">
        <v>2122100000</v>
      </c>
      <c r="B1359" s="5" t="inlineStr">
        <is>
          <t>IC1000</t>
        </is>
      </c>
      <c r="C1359" s="5" t="inlineStr">
        <is>
          <t>NORDEX ENERGY SE &amp; CO KG</t>
        </is>
      </c>
      <c r="D1359" s="5" t="inlineStr">
        <is>
          <t>UE</t>
        </is>
      </c>
      <c r="E1359" s="5" t="n">
        <v>200004999</v>
      </c>
      <c r="F1359" s="5" t="inlineStr">
        <is>
          <t>6536</t>
        </is>
      </c>
      <c r="G1359" s="5" t="inlineStr">
        <is>
          <t>EUR</t>
        </is>
      </c>
      <c r="H1359" s="9" t="n">
        <v>-21240.32</v>
      </c>
      <c r="I1359" s="16" t="n">
        <v>44869</v>
      </c>
      <c r="J1359" s="16" t="n">
        <v>44869</v>
      </c>
      <c r="K1359" s="5" t="inlineStr">
        <is>
          <t>000002747002</t>
        </is>
      </c>
      <c r="L1359" s="5" t="inlineStr">
        <is>
          <t>403000.NORDENER</t>
        </is>
      </c>
      <c r="M1359" s="5">
        <f>IF(YEAR(I1359)&lt;=2020,"Até 2020",TEXT(YEAR(I1359),"0"))</f>
        <v/>
      </c>
      <c r="N1359" s="5">
        <f>IFERROR(INDEX(DePara!$A:$A,MATCH(TEXT(B1359,"0"),DePara!$D:$D,0)),"(sem categoria)")</f>
        <v/>
      </c>
      <c r="O1359" s="5">
        <f>IF(J1359="","",Parametros!$B$6-J1359)</f>
        <v/>
      </c>
      <c r="P1359" s="5">
        <f>IF(O1359="","",IF(O1359&gt;0,1,0))</f>
        <v/>
      </c>
    </row>
    <row r="1360">
      <c r="A1360" s="5" t="n">
        <v>2122100000</v>
      </c>
      <c r="B1360" s="5" t="inlineStr">
        <is>
          <t>IC1000</t>
        </is>
      </c>
      <c r="C1360" s="5" t="inlineStr">
        <is>
          <t>NORDEX ENERGY SE &amp; CO KG</t>
        </is>
      </c>
      <c r="D1360" s="5" t="inlineStr">
        <is>
          <t>UE</t>
        </is>
      </c>
      <c r="E1360" s="5" t="n">
        <v>200005001</v>
      </c>
      <c r="F1360" s="5" t="inlineStr">
        <is>
          <t>6538</t>
        </is>
      </c>
      <c r="G1360" s="5" t="inlineStr">
        <is>
          <t>EUR</t>
        </is>
      </c>
      <c r="H1360" s="9" t="n">
        <v>-6795.78</v>
      </c>
      <c r="I1360" s="16" t="n">
        <v>44872</v>
      </c>
      <c r="J1360" s="16" t="n">
        <v>44872</v>
      </c>
      <c r="K1360" s="5" t="inlineStr">
        <is>
          <t>000002765002</t>
        </is>
      </c>
      <c r="L1360" s="5" t="inlineStr">
        <is>
          <t>403000.NORDENER</t>
        </is>
      </c>
      <c r="M1360" s="5">
        <f>IF(YEAR(I1360)&lt;=2020,"Até 2020",TEXT(YEAR(I1360),"0"))</f>
        <v/>
      </c>
      <c r="N1360" s="5">
        <f>IFERROR(INDEX(DePara!$A:$A,MATCH(TEXT(B1360,"0"),DePara!$D:$D,0)),"(sem categoria)")</f>
        <v/>
      </c>
      <c r="O1360" s="5">
        <f>IF(J1360="","",Parametros!$B$6-J1360)</f>
        <v/>
      </c>
      <c r="P1360" s="5">
        <f>IF(O1360="","",IF(O1360&gt;0,1,0))</f>
        <v/>
      </c>
    </row>
    <row r="1361">
      <c r="A1361" s="5" t="n">
        <v>2122100000</v>
      </c>
      <c r="B1361" s="5" t="inlineStr">
        <is>
          <t>IC1000</t>
        </is>
      </c>
      <c r="C1361" s="5" t="inlineStr">
        <is>
          <t>NORDEX ENERGY SE &amp; CO KG</t>
        </is>
      </c>
      <c r="D1361" s="5" t="inlineStr">
        <is>
          <t>UE</t>
        </is>
      </c>
      <c r="E1361" s="5" t="n">
        <v>200005004</v>
      </c>
      <c r="F1361" s="5" t="inlineStr">
        <is>
          <t>6540</t>
        </is>
      </c>
      <c r="G1361" s="5" t="inlineStr">
        <is>
          <t>EUR</t>
        </is>
      </c>
      <c r="H1361" s="9" t="n">
        <v>-234083.98</v>
      </c>
      <c r="I1361" s="16" t="n">
        <v>44872</v>
      </c>
      <c r="J1361" s="16" t="n">
        <v>44872</v>
      </c>
      <c r="K1361" s="5" t="inlineStr">
        <is>
          <t>000002769002</t>
        </is>
      </c>
      <c r="L1361" s="5" t="inlineStr">
        <is>
          <t>403000.NORDENER</t>
        </is>
      </c>
      <c r="M1361" s="5">
        <f>IF(YEAR(I1361)&lt;=2020,"Até 2020",TEXT(YEAR(I1361),"0"))</f>
        <v/>
      </c>
      <c r="N1361" s="5">
        <f>IFERROR(INDEX(DePara!$A:$A,MATCH(TEXT(B1361,"0"),DePara!$D:$D,0)),"(sem categoria)")</f>
        <v/>
      </c>
      <c r="O1361" s="5">
        <f>IF(J1361="","",Parametros!$B$6-J1361)</f>
        <v/>
      </c>
      <c r="P1361" s="5">
        <f>IF(O1361="","",IF(O1361&gt;0,1,0))</f>
        <v/>
      </c>
    </row>
    <row r="1362">
      <c r="A1362" s="5" t="n">
        <v>2122100000</v>
      </c>
      <c r="B1362" s="5" t="inlineStr">
        <is>
          <t>IC1000</t>
        </is>
      </c>
      <c r="C1362" s="5" t="inlineStr">
        <is>
          <t>NORDEX ENERGY SE &amp; CO KG</t>
        </is>
      </c>
      <c r="D1362" s="5" t="inlineStr">
        <is>
          <t>UE</t>
        </is>
      </c>
      <c r="E1362" s="5" t="n">
        <v>200005008</v>
      </c>
      <c r="F1362" s="5" t="inlineStr">
        <is>
          <t>6544</t>
        </is>
      </c>
      <c r="G1362" s="5" t="inlineStr">
        <is>
          <t>EUR</t>
        </is>
      </c>
      <c r="H1362" s="9" t="n">
        <v>-3778.17</v>
      </c>
      <c r="I1362" s="16" t="n">
        <v>44874</v>
      </c>
      <c r="J1362" s="16" t="n">
        <v>44874</v>
      </c>
      <c r="K1362" s="5" t="inlineStr">
        <is>
          <t>000002778002</t>
        </is>
      </c>
      <c r="L1362" s="5" t="inlineStr">
        <is>
          <t>403000.NORDENER</t>
        </is>
      </c>
      <c r="M1362" s="5">
        <f>IF(YEAR(I1362)&lt;=2020,"Até 2020",TEXT(YEAR(I1362),"0"))</f>
        <v/>
      </c>
      <c r="N1362" s="5">
        <f>IFERROR(INDEX(DePara!$A:$A,MATCH(TEXT(B1362,"0"),DePara!$D:$D,0)),"(sem categoria)")</f>
        <v/>
      </c>
      <c r="O1362" s="5">
        <f>IF(J1362="","",Parametros!$B$6-J1362)</f>
        <v/>
      </c>
      <c r="P1362" s="5">
        <f>IF(O1362="","",IF(O1362&gt;0,1,0))</f>
        <v/>
      </c>
    </row>
    <row r="1363">
      <c r="A1363" s="5" t="n">
        <v>2122100000</v>
      </c>
      <c r="B1363" s="5" t="inlineStr">
        <is>
          <t>IC1000</t>
        </is>
      </c>
      <c r="C1363" s="5" t="inlineStr">
        <is>
          <t>NORDEX ENERGY SE &amp; CO KG</t>
        </is>
      </c>
      <c r="D1363" s="5" t="inlineStr">
        <is>
          <t>UE</t>
        </is>
      </c>
      <c r="E1363" s="5" t="n">
        <v>200005028</v>
      </c>
      <c r="F1363" s="5" t="inlineStr">
        <is>
          <t>6562</t>
        </is>
      </c>
      <c r="G1363" s="5" t="inlineStr">
        <is>
          <t>EUR</t>
        </is>
      </c>
      <c r="H1363" s="9" t="n">
        <v>-191502.15</v>
      </c>
      <c r="I1363" s="16" t="n">
        <v>44876</v>
      </c>
      <c r="J1363" s="16" t="n">
        <v>44876</v>
      </c>
      <c r="K1363" s="5" t="inlineStr">
        <is>
          <t>000002809002</t>
        </is>
      </c>
      <c r="L1363" s="5" t="inlineStr">
        <is>
          <t>403000.NORDENER</t>
        </is>
      </c>
      <c r="M1363" s="5">
        <f>IF(YEAR(I1363)&lt;=2020,"Até 2020",TEXT(YEAR(I1363),"0"))</f>
        <v/>
      </c>
      <c r="N1363" s="5">
        <f>IFERROR(INDEX(DePara!$A:$A,MATCH(TEXT(B1363,"0"),DePara!$D:$D,0)),"(sem categoria)")</f>
        <v/>
      </c>
      <c r="O1363" s="5">
        <f>IF(J1363="","",Parametros!$B$6-J1363)</f>
        <v/>
      </c>
      <c r="P1363" s="5">
        <f>IF(O1363="","",IF(O1363&gt;0,1,0))</f>
        <v/>
      </c>
    </row>
    <row r="1364">
      <c r="A1364" s="5" t="n">
        <v>2122100000</v>
      </c>
      <c r="B1364" s="5" t="inlineStr">
        <is>
          <t>IC1000</t>
        </is>
      </c>
      <c r="C1364" s="5" t="inlineStr">
        <is>
          <t>NORDEX ENERGY SE &amp; CO KG</t>
        </is>
      </c>
      <c r="D1364" s="5" t="inlineStr">
        <is>
          <t>UE</t>
        </is>
      </c>
      <c r="E1364" s="5" t="n">
        <v>200005033</v>
      </c>
      <c r="F1364" s="5" t="inlineStr">
        <is>
          <t>6567</t>
        </is>
      </c>
      <c r="G1364" s="5" t="inlineStr">
        <is>
          <t>EUR</t>
        </is>
      </c>
      <c r="H1364" s="9" t="n">
        <v>-558169.48</v>
      </c>
      <c r="I1364" s="16" t="n">
        <v>44876</v>
      </c>
      <c r="J1364" s="16" t="n">
        <v>44876</v>
      </c>
      <c r="K1364" s="5" t="inlineStr">
        <is>
          <t>000002807002</t>
        </is>
      </c>
      <c r="L1364" s="5" t="inlineStr">
        <is>
          <t>403000.NORDENER</t>
        </is>
      </c>
      <c r="M1364" s="5">
        <f>IF(YEAR(I1364)&lt;=2020,"Até 2020",TEXT(YEAR(I1364),"0"))</f>
        <v/>
      </c>
      <c r="N1364" s="5">
        <f>IFERROR(INDEX(DePara!$A:$A,MATCH(TEXT(B1364,"0"),DePara!$D:$D,0)),"(sem categoria)")</f>
        <v/>
      </c>
      <c r="O1364" s="5">
        <f>IF(J1364="","",Parametros!$B$6-J1364)</f>
        <v/>
      </c>
      <c r="P1364" s="5">
        <f>IF(O1364="","",IF(O1364&gt;0,1,0))</f>
        <v/>
      </c>
    </row>
    <row r="1365">
      <c r="A1365" s="5" t="n">
        <v>2122100000</v>
      </c>
      <c r="B1365" s="5" t="inlineStr">
        <is>
          <t>IC4420</t>
        </is>
      </c>
      <c r="C1365" s="5" t="inlineStr">
        <is>
          <t>NORDEX ENERGY SPAIN S A U</t>
        </is>
      </c>
      <c r="D1365" s="5" t="inlineStr">
        <is>
          <t>UE</t>
        </is>
      </c>
      <c r="E1365" s="5" t="n">
        <v>200005525</v>
      </c>
      <c r="F1365" s="5" t="inlineStr">
        <is>
          <t>4783</t>
        </is>
      </c>
      <c r="G1365" s="5" t="inlineStr">
        <is>
          <t>EUR</t>
        </is>
      </c>
      <c r="H1365" s="9" t="n">
        <v>-18971.03</v>
      </c>
      <c r="I1365" s="16" t="n">
        <v>43203</v>
      </c>
      <c r="J1365" s="16" t="n">
        <v>43203</v>
      </c>
      <c r="K1365" s="5" t="inlineStr">
        <is>
          <t>000000674002</t>
        </is>
      </c>
      <c r="L1365" s="5" t="inlineStr">
        <is>
          <t>403000.INGE</t>
        </is>
      </c>
      <c r="M1365" s="5">
        <f>IF(YEAR(I1365)&lt;=2020,"Até 2020",TEXT(YEAR(I1365),"0"))</f>
        <v/>
      </c>
      <c r="N1365" s="5">
        <f>IFERROR(INDEX(DePara!$A:$A,MATCH(TEXT(B1365,"0"),DePara!$D:$D,0)),"(sem categoria)")</f>
        <v/>
      </c>
      <c r="O1365" s="5">
        <f>IF(J1365="","",Parametros!$B$6-J1365)</f>
        <v/>
      </c>
      <c r="P1365" s="5">
        <f>IF(O1365="","",IF(O1365&gt;0,1,0))</f>
        <v/>
      </c>
    </row>
    <row r="1366">
      <c r="A1366" s="5" t="n">
        <v>2122100000</v>
      </c>
      <c r="B1366" s="5" t="inlineStr">
        <is>
          <t>IC4420</t>
        </is>
      </c>
      <c r="C1366" s="5" t="inlineStr">
        <is>
          <t>NORDEX ENERGY SPAIN S A U</t>
        </is>
      </c>
      <c r="D1366" s="5" t="inlineStr">
        <is>
          <t>UE</t>
        </is>
      </c>
      <c r="E1366" s="5" t="n">
        <v>200005526</v>
      </c>
      <c r="F1366" s="5" t="inlineStr">
        <is>
          <t>4784</t>
        </is>
      </c>
      <c r="G1366" s="5" t="inlineStr">
        <is>
          <t>EUR</t>
        </is>
      </c>
      <c r="H1366" s="9" t="n">
        <v>-9961.389999999999</v>
      </c>
      <c r="I1366" s="16" t="n">
        <v>43207</v>
      </c>
      <c r="J1366" s="16" t="n">
        <v>43207</v>
      </c>
      <c r="K1366" s="5" t="inlineStr">
        <is>
          <t>000000676002</t>
        </is>
      </c>
      <c r="L1366" s="5" t="inlineStr">
        <is>
          <t>403000.INGE</t>
        </is>
      </c>
      <c r="M1366" s="5">
        <f>IF(YEAR(I1366)&lt;=2020,"Até 2020",TEXT(YEAR(I1366),"0"))</f>
        <v/>
      </c>
      <c r="N1366" s="5">
        <f>IFERROR(INDEX(DePara!$A:$A,MATCH(TEXT(B1366,"0"),DePara!$D:$D,0)),"(sem categoria)")</f>
        <v/>
      </c>
      <c r="O1366" s="5">
        <f>IF(J1366="","",Parametros!$B$6-J1366)</f>
        <v/>
      </c>
      <c r="P1366" s="5">
        <f>IF(O1366="","",IF(O1366&gt;0,1,0))</f>
        <v/>
      </c>
    </row>
    <row r="1367">
      <c r="A1367" s="5" t="n">
        <v>2122100000</v>
      </c>
      <c r="B1367" s="5" t="inlineStr">
        <is>
          <t>IC4420</t>
        </is>
      </c>
      <c r="C1367" s="5" t="inlineStr">
        <is>
          <t>NORDEX ENERGY SPAIN S A U</t>
        </is>
      </c>
      <c r="D1367" s="5" t="inlineStr">
        <is>
          <t>UE</t>
        </is>
      </c>
      <c r="E1367" s="5" t="n">
        <v>200005527</v>
      </c>
      <c r="F1367" s="5" t="inlineStr">
        <is>
          <t>4785</t>
        </is>
      </c>
      <c r="G1367" s="5" t="inlineStr">
        <is>
          <t>EUR</t>
        </is>
      </c>
      <c r="H1367" s="9" t="n">
        <v>-8358.200000000001</v>
      </c>
      <c r="I1367" s="16" t="n">
        <v>43207</v>
      </c>
      <c r="J1367" s="16" t="n">
        <v>43207</v>
      </c>
      <c r="K1367" s="5" t="inlineStr">
        <is>
          <t>000000677002</t>
        </is>
      </c>
      <c r="L1367" s="5" t="inlineStr">
        <is>
          <t>403000.INGE</t>
        </is>
      </c>
      <c r="M1367" s="5">
        <f>IF(YEAR(I1367)&lt;=2020,"Até 2020",TEXT(YEAR(I1367),"0"))</f>
        <v/>
      </c>
      <c r="N1367" s="5">
        <f>IFERROR(INDEX(DePara!$A:$A,MATCH(TEXT(B1367,"0"),DePara!$D:$D,0)),"(sem categoria)")</f>
        <v/>
      </c>
      <c r="O1367" s="5">
        <f>IF(J1367="","",Parametros!$B$6-J1367)</f>
        <v/>
      </c>
      <c r="P1367" s="5">
        <f>IF(O1367="","",IF(O1367&gt;0,1,0))</f>
        <v/>
      </c>
    </row>
    <row r="1368">
      <c r="A1368" s="5" t="n">
        <v>2122100000</v>
      </c>
      <c r="B1368" s="5" t="inlineStr">
        <is>
          <t>IC4420</t>
        </is>
      </c>
      <c r="C1368" s="5" t="inlineStr">
        <is>
          <t>NORDEX ENERGY SPAIN S A U</t>
        </is>
      </c>
      <c r="D1368" s="5" t="inlineStr">
        <is>
          <t>UE</t>
        </is>
      </c>
      <c r="E1368" s="5" t="n">
        <v>200005529</v>
      </c>
      <c r="F1368" s="5" t="inlineStr">
        <is>
          <t>4787</t>
        </is>
      </c>
      <c r="G1368" s="5" t="inlineStr">
        <is>
          <t>EUR</t>
        </is>
      </c>
      <c r="H1368" s="9" t="n">
        <v>-19440.35</v>
      </c>
      <c r="I1368" s="16" t="n">
        <v>43208</v>
      </c>
      <c r="J1368" s="16" t="n">
        <v>43208</v>
      </c>
      <c r="K1368" s="5" t="inlineStr">
        <is>
          <t>000000678002</t>
        </is>
      </c>
      <c r="L1368" s="5" t="inlineStr">
        <is>
          <t>403000.INGE</t>
        </is>
      </c>
      <c r="M1368" s="5">
        <f>IF(YEAR(I1368)&lt;=2020,"Até 2020",TEXT(YEAR(I1368),"0"))</f>
        <v/>
      </c>
      <c r="N1368" s="5">
        <f>IFERROR(INDEX(DePara!$A:$A,MATCH(TEXT(B1368,"0"),DePara!$D:$D,0)),"(sem categoria)")</f>
        <v/>
      </c>
      <c r="O1368" s="5">
        <f>IF(J1368="","",Parametros!$B$6-J1368)</f>
        <v/>
      </c>
      <c r="P1368" s="5">
        <f>IF(O1368="","",IF(O1368&gt;0,1,0))</f>
        <v/>
      </c>
    </row>
    <row r="1369">
      <c r="A1369" s="5" t="n">
        <v>2122100000</v>
      </c>
      <c r="B1369" s="5" t="inlineStr">
        <is>
          <t>IC4420</t>
        </is>
      </c>
      <c r="C1369" s="5" t="inlineStr">
        <is>
          <t>NORDEX ENERGY SPAIN S A U</t>
        </is>
      </c>
      <c r="D1369" s="5" t="inlineStr">
        <is>
          <t>UE</t>
        </is>
      </c>
      <c r="E1369" s="5" t="n">
        <v>200005530</v>
      </c>
      <c r="F1369" s="5" t="inlineStr">
        <is>
          <t>4788</t>
        </is>
      </c>
      <c r="G1369" s="5" t="inlineStr">
        <is>
          <t>EUR</t>
        </is>
      </c>
      <c r="H1369" s="9" t="n">
        <v>-4476.82</v>
      </c>
      <c r="I1369" s="16" t="n">
        <v>43215</v>
      </c>
      <c r="J1369" s="16" t="n">
        <v>43215</v>
      </c>
      <c r="K1369" s="5" t="inlineStr">
        <is>
          <t>000000680002</t>
        </is>
      </c>
      <c r="L1369" s="5" t="inlineStr">
        <is>
          <t>403000.INGE</t>
        </is>
      </c>
      <c r="M1369" s="5">
        <f>IF(YEAR(I1369)&lt;=2020,"Até 2020",TEXT(YEAR(I1369),"0"))</f>
        <v/>
      </c>
      <c r="N1369" s="5">
        <f>IFERROR(INDEX(DePara!$A:$A,MATCH(TEXT(B1369,"0"),DePara!$D:$D,0)),"(sem categoria)")</f>
        <v/>
      </c>
      <c r="O1369" s="5">
        <f>IF(J1369="","",Parametros!$B$6-J1369)</f>
        <v/>
      </c>
      <c r="P1369" s="5">
        <f>IF(O1369="","",IF(O1369&gt;0,1,0))</f>
        <v/>
      </c>
    </row>
    <row r="1370">
      <c r="A1370" s="5" t="n">
        <v>2122100000</v>
      </c>
      <c r="B1370" s="5" t="inlineStr">
        <is>
          <t>IC4420</t>
        </is>
      </c>
      <c r="C1370" s="5" t="inlineStr">
        <is>
          <t>NORDEX ENERGY SPAIN S A U</t>
        </is>
      </c>
      <c r="D1370" s="5" t="inlineStr">
        <is>
          <t>UE</t>
        </is>
      </c>
      <c r="E1370" s="5" t="n">
        <v>200005551</v>
      </c>
      <c r="F1370" s="5" t="inlineStr">
        <is>
          <t>4806</t>
        </is>
      </c>
      <c r="G1370" s="5" t="inlineStr">
        <is>
          <t>EUR</t>
        </is>
      </c>
      <c r="H1370" s="9" t="n">
        <v>-19414.09</v>
      </c>
      <c r="I1370" s="16" t="n">
        <v>43089</v>
      </c>
      <c r="J1370" s="16" t="n">
        <v>43089</v>
      </c>
      <c r="K1370" s="5" t="inlineStr">
        <is>
          <t>000003509001</t>
        </is>
      </c>
      <c r="L1370" s="5" t="inlineStr">
        <is>
          <t>403000.INGE</t>
        </is>
      </c>
      <c r="M1370" s="5">
        <f>IF(YEAR(I1370)&lt;=2020,"Até 2020",TEXT(YEAR(I1370),"0"))</f>
        <v/>
      </c>
      <c r="N1370" s="5">
        <f>IFERROR(INDEX(DePara!$A:$A,MATCH(TEXT(B1370,"0"),DePara!$D:$D,0)),"(sem categoria)")</f>
        <v/>
      </c>
      <c r="O1370" s="5">
        <f>IF(J1370="","",Parametros!$B$6-J1370)</f>
        <v/>
      </c>
      <c r="P1370" s="5">
        <f>IF(O1370="","",IF(O1370&gt;0,1,0))</f>
        <v/>
      </c>
    </row>
    <row r="1371">
      <c r="A1371" s="5" t="n">
        <v>2122100000</v>
      </c>
      <c r="B1371" s="5" t="inlineStr">
        <is>
          <t>IC4420</t>
        </is>
      </c>
      <c r="C1371" s="5" t="inlineStr">
        <is>
          <t>NORDEX ENERGY SPAIN S A U</t>
        </is>
      </c>
      <c r="D1371" s="5" t="inlineStr">
        <is>
          <t>UE</t>
        </is>
      </c>
      <c r="E1371" s="5" t="n">
        <v>200005568</v>
      </c>
      <c r="F1371" s="5" t="inlineStr">
        <is>
          <t>4821</t>
        </is>
      </c>
      <c r="G1371" s="5" t="inlineStr">
        <is>
          <t>EUR</t>
        </is>
      </c>
      <c r="H1371" s="9" t="n">
        <v>-9947.48</v>
      </c>
      <c r="I1371" s="16" t="n">
        <v>43179</v>
      </c>
      <c r="J1371" s="16" t="n">
        <v>43179</v>
      </c>
      <c r="K1371" s="5" t="inlineStr">
        <is>
          <t>000002516001</t>
        </is>
      </c>
      <c r="L1371" s="5" t="inlineStr">
        <is>
          <t>403000.INGE</t>
        </is>
      </c>
      <c r="M1371" s="5">
        <f>IF(YEAR(I1371)&lt;=2020,"Até 2020",TEXT(YEAR(I1371),"0"))</f>
        <v/>
      </c>
      <c r="N1371" s="5">
        <f>IFERROR(INDEX(DePara!$A:$A,MATCH(TEXT(B1371,"0"),DePara!$D:$D,0)),"(sem categoria)")</f>
        <v/>
      </c>
      <c r="O1371" s="5">
        <f>IF(J1371="","",Parametros!$B$6-J1371)</f>
        <v/>
      </c>
      <c r="P1371" s="5">
        <f>IF(O1371="","",IF(O1371&gt;0,1,0))</f>
        <v/>
      </c>
    </row>
    <row r="1372">
      <c r="A1372" s="5" t="n">
        <v>2122100000</v>
      </c>
      <c r="B1372" s="5" t="inlineStr">
        <is>
          <t>IC4420</t>
        </is>
      </c>
      <c r="C1372" s="5" t="inlineStr">
        <is>
          <t>NORDEX ENERGY SPAIN S A U</t>
        </is>
      </c>
      <c r="D1372" s="5" t="inlineStr">
        <is>
          <t>UE</t>
        </is>
      </c>
      <c r="E1372" s="5" t="n">
        <v>200005569</v>
      </c>
      <c r="F1372" s="5" t="inlineStr">
        <is>
          <t>4822</t>
        </is>
      </c>
      <c r="G1372" s="5" t="inlineStr">
        <is>
          <t>EUR</t>
        </is>
      </c>
      <c r="H1372" s="9" t="n">
        <v>-2340</v>
      </c>
      <c r="I1372" s="16" t="n">
        <v>43489</v>
      </c>
      <c r="J1372" s="16" t="n">
        <v>43489</v>
      </c>
      <c r="K1372" s="5" t="inlineStr">
        <is>
          <t>000000822002</t>
        </is>
      </c>
      <c r="L1372" s="5" t="inlineStr">
        <is>
          <t>403000.INGE</t>
        </is>
      </c>
      <c r="M1372" s="5">
        <f>IF(YEAR(I1372)&lt;=2020,"Até 2020",TEXT(YEAR(I1372),"0"))</f>
        <v/>
      </c>
      <c r="N1372" s="5">
        <f>IFERROR(INDEX(DePara!$A:$A,MATCH(TEXT(B1372,"0"),DePara!$D:$D,0)),"(sem categoria)")</f>
        <v/>
      </c>
      <c r="O1372" s="5">
        <f>IF(J1372="","",Parametros!$B$6-J1372)</f>
        <v/>
      </c>
      <c r="P1372" s="5">
        <f>IF(O1372="","",IF(O1372&gt;0,1,0))</f>
        <v/>
      </c>
    </row>
    <row r="1373">
      <c r="A1373" s="5" t="n">
        <v>2122100000</v>
      </c>
      <c r="B1373" s="5" t="inlineStr">
        <is>
          <t>IC4420</t>
        </is>
      </c>
      <c r="C1373" s="5" t="inlineStr">
        <is>
          <t>NORDEX ENERGY SPAIN S A U</t>
        </is>
      </c>
      <c r="D1373" s="5" t="inlineStr">
        <is>
          <t>UE</t>
        </is>
      </c>
      <c r="E1373" s="5" t="n">
        <v>200005572</v>
      </c>
      <c r="F1373" s="5" t="inlineStr">
        <is>
          <t>4825</t>
        </is>
      </c>
      <c r="G1373" s="5" t="inlineStr">
        <is>
          <t>EUR</t>
        </is>
      </c>
      <c r="H1373" s="9" t="n">
        <v>-3928.43</v>
      </c>
      <c r="I1373" s="16" t="n">
        <v>43733</v>
      </c>
      <c r="J1373" s="16" t="n">
        <v>43733</v>
      </c>
      <c r="K1373" s="5" t="inlineStr">
        <is>
          <t>000000940002</t>
        </is>
      </c>
      <c r="L1373" s="5" t="inlineStr">
        <is>
          <t>403000.INGE</t>
        </is>
      </c>
      <c r="M1373" s="5">
        <f>IF(YEAR(I1373)&lt;=2020,"Até 2020",TEXT(YEAR(I1373),"0"))</f>
        <v/>
      </c>
      <c r="N1373" s="5">
        <f>IFERROR(INDEX(DePara!$A:$A,MATCH(TEXT(B1373,"0"),DePara!$D:$D,0)),"(sem categoria)")</f>
        <v/>
      </c>
      <c r="O1373" s="5">
        <f>IF(J1373="","",Parametros!$B$6-J1373)</f>
        <v/>
      </c>
      <c r="P1373" s="5">
        <f>IF(O1373="","",IF(O1373&gt;0,1,0))</f>
        <v/>
      </c>
    </row>
    <row r="1374">
      <c r="A1374" s="5" t="n">
        <v>2122100000</v>
      </c>
      <c r="B1374" s="5" t="inlineStr">
        <is>
          <t>IC4420</t>
        </is>
      </c>
      <c r="C1374" s="5" t="inlineStr">
        <is>
          <t>NORDEX ENERGY SPAIN S A U</t>
        </is>
      </c>
      <c r="D1374" s="5" t="inlineStr">
        <is>
          <t>UE</t>
        </is>
      </c>
      <c r="E1374" s="5" t="n">
        <v>200005573</v>
      </c>
      <c r="F1374" s="5" t="inlineStr">
        <is>
          <t>4826</t>
        </is>
      </c>
      <c r="G1374" s="5" t="inlineStr">
        <is>
          <t>EUR</t>
        </is>
      </c>
      <c r="H1374" s="9" t="n">
        <v>-799.5599999999999</v>
      </c>
      <c r="I1374" s="16" t="n">
        <v>43760</v>
      </c>
      <c r="J1374" s="16" t="n">
        <v>43760</v>
      </c>
      <c r="K1374" s="5" t="inlineStr">
        <is>
          <t>000000955002</t>
        </is>
      </c>
      <c r="L1374" s="5" t="inlineStr">
        <is>
          <t>403000.INGE</t>
        </is>
      </c>
      <c r="M1374" s="5">
        <f>IF(YEAR(I1374)&lt;=2020,"Até 2020",TEXT(YEAR(I1374),"0"))</f>
        <v/>
      </c>
      <c r="N1374" s="5">
        <f>IFERROR(INDEX(DePara!$A:$A,MATCH(TEXT(B1374,"0"),DePara!$D:$D,0)),"(sem categoria)")</f>
        <v/>
      </c>
      <c r="O1374" s="5">
        <f>IF(J1374="","",Parametros!$B$6-J1374)</f>
        <v/>
      </c>
      <c r="P1374" s="5">
        <f>IF(O1374="","",IF(O1374&gt;0,1,0))</f>
        <v/>
      </c>
    </row>
    <row r="1375">
      <c r="A1375" s="5" t="n">
        <v>2122100000</v>
      </c>
      <c r="B1375" s="5" t="inlineStr">
        <is>
          <t>IC4420</t>
        </is>
      </c>
      <c r="C1375" s="5" t="inlineStr">
        <is>
          <t>NORDEX ENERGY SPAIN S A U</t>
        </is>
      </c>
      <c r="D1375" s="5" t="inlineStr">
        <is>
          <t>UE</t>
        </is>
      </c>
      <c r="E1375" s="5" t="n">
        <v>200005574</v>
      </c>
      <c r="F1375" s="5" t="inlineStr">
        <is>
          <t>4827</t>
        </is>
      </c>
      <c r="G1375" s="5" t="inlineStr">
        <is>
          <t>EUR</t>
        </is>
      </c>
      <c r="H1375" s="9" t="n">
        <v>-791.3200000000001</v>
      </c>
      <c r="I1375" s="16" t="n">
        <v>43760</v>
      </c>
      <c r="J1375" s="16" t="n">
        <v>43760</v>
      </c>
      <c r="K1375" s="5" t="inlineStr">
        <is>
          <t>000000956002</t>
        </is>
      </c>
      <c r="L1375" s="5" t="inlineStr">
        <is>
          <t>403000.INGE</t>
        </is>
      </c>
      <c r="M1375" s="5">
        <f>IF(YEAR(I1375)&lt;=2020,"Até 2020",TEXT(YEAR(I1375),"0"))</f>
        <v/>
      </c>
      <c r="N1375" s="5">
        <f>IFERROR(INDEX(DePara!$A:$A,MATCH(TEXT(B1375,"0"),DePara!$D:$D,0)),"(sem categoria)")</f>
        <v/>
      </c>
      <c r="O1375" s="5">
        <f>IF(J1375="","",Parametros!$B$6-J1375)</f>
        <v/>
      </c>
      <c r="P1375" s="5">
        <f>IF(O1375="","",IF(O1375&gt;0,1,0))</f>
        <v/>
      </c>
    </row>
    <row r="1376">
      <c r="A1376" s="5" t="n">
        <v>2122100000</v>
      </c>
      <c r="B1376" s="5" t="inlineStr">
        <is>
          <t>IC4420</t>
        </is>
      </c>
      <c r="C1376" s="5" t="inlineStr">
        <is>
          <t>NORDEX ENERGY SPAIN S A U</t>
        </is>
      </c>
      <c r="D1376" s="5" t="inlineStr">
        <is>
          <t>UE</t>
        </is>
      </c>
      <c r="E1376" s="5" t="n">
        <v>200005575</v>
      </c>
      <c r="F1376" s="5" t="inlineStr">
        <is>
          <t>4828</t>
        </is>
      </c>
      <c r="G1376" s="5" t="inlineStr">
        <is>
          <t>EUR</t>
        </is>
      </c>
      <c r="H1376" s="9" t="n">
        <v>-8309.01</v>
      </c>
      <c r="I1376" s="16" t="n">
        <v>43760</v>
      </c>
      <c r="J1376" s="16" t="n">
        <v>43760</v>
      </c>
      <c r="K1376" s="5" t="inlineStr">
        <is>
          <t>000000957002</t>
        </is>
      </c>
      <c r="L1376" s="5" t="inlineStr">
        <is>
          <t>403000.INGE</t>
        </is>
      </c>
      <c r="M1376" s="5">
        <f>IF(YEAR(I1376)&lt;=2020,"Até 2020",TEXT(YEAR(I1376),"0"))</f>
        <v/>
      </c>
      <c r="N1376" s="5">
        <f>IFERROR(INDEX(DePara!$A:$A,MATCH(TEXT(B1376,"0"),DePara!$D:$D,0)),"(sem categoria)")</f>
        <v/>
      </c>
      <c r="O1376" s="5">
        <f>IF(J1376="","",Parametros!$B$6-J1376)</f>
        <v/>
      </c>
      <c r="P1376" s="5">
        <f>IF(O1376="","",IF(O1376&gt;0,1,0))</f>
        <v/>
      </c>
    </row>
    <row r="1377">
      <c r="A1377" s="5" t="n">
        <v>2122100000</v>
      </c>
      <c r="B1377" s="5" t="inlineStr">
        <is>
          <t>IC4420</t>
        </is>
      </c>
      <c r="C1377" s="5" t="inlineStr">
        <is>
          <t>NORDEX ENERGY SPAIN S A U</t>
        </is>
      </c>
      <c r="D1377" s="5" t="inlineStr">
        <is>
          <t>UE</t>
        </is>
      </c>
      <c r="E1377" s="5" t="n">
        <v>200005576</v>
      </c>
      <c r="F1377" s="5" t="inlineStr">
        <is>
          <t>4829</t>
        </is>
      </c>
      <c r="G1377" s="5" t="inlineStr">
        <is>
          <t>EUR</t>
        </is>
      </c>
      <c r="H1377" s="9" t="n">
        <v>-713.59</v>
      </c>
      <c r="I1377" s="16" t="n">
        <v>43783</v>
      </c>
      <c r="J1377" s="16" t="n">
        <v>43783</v>
      </c>
      <c r="K1377" s="5" t="inlineStr">
        <is>
          <t>000000020002</t>
        </is>
      </c>
      <c r="L1377" s="5" t="inlineStr">
        <is>
          <t>403000.INGE</t>
        </is>
      </c>
      <c r="M1377" s="5">
        <f>IF(YEAR(I1377)&lt;=2020,"Até 2020",TEXT(YEAR(I1377),"0"))</f>
        <v/>
      </c>
      <c r="N1377" s="5">
        <f>IFERROR(INDEX(DePara!$A:$A,MATCH(TEXT(B1377,"0"),DePara!$D:$D,0)),"(sem categoria)")</f>
        <v/>
      </c>
      <c r="O1377" s="5">
        <f>IF(J1377="","",Parametros!$B$6-J1377)</f>
        <v/>
      </c>
      <c r="P1377" s="5">
        <f>IF(O1377="","",IF(O1377&gt;0,1,0))</f>
        <v/>
      </c>
    </row>
    <row r="1378">
      <c r="A1378" s="5" t="n">
        <v>2122100000</v>
      </c>
      <c r="B1378" s="5" t="inlineStr">
        <is>
          <t>IC4420</t>
        </is>
      </c>
      <c r="C1378" s="5" t="inlineStr">
        <is>
          <t>NORDEX ENERGY SPAIN S A U</t>
        </is>
      </c>
      <c r="D1378" s="5" t="inlineStr">
        <is>
          <t>UE</t>
        </is>
      </c>
      <c r="E1378" s="5" t="n">
        <v>200005578</v>
      </c>
      <c r="F1378" s="5" t="inlineStr">
        <is>
          <t>4830</t>
        </is>
      </c>
      <c r="G1378" s="5" t="inlineStr">
        <is>
          <t>EUR</t>
        </is>
      </c>
      <c r="H1378" s="9" t="n">
        <v>-1486.87</v>
      </c>
      <c r="I1378" s="16" t="n">
        <v>43787</v>
      </c>
      <c r="J1378" s="16" t="n">
        <v>43787</v>
      </c>
      <c r="K1378" s="5" t="inlineStr">
        <is>
          <t>000000021002</t>
        </is>
      </c>
      <c r="L1378" s="5" t="inlineStr">
        <is>
          <t>403000.INGE</t>
        </is>
      </c>
      <c r="M1378" s="5">
        <f>IF(YEAR(I1378)&lt;=2020,"Até 2020",TEXT(YEAR(I1378),"0"))</f>
        <v/>
      </c>
      <c r="N1378" s="5">
        <f>IFERROR(INDEX(DePara!$A:$A,MATCH(TEXT(B1378,"0"),DePara!$D:$D,0)),"(sem categoria)")</f>
        <v/>
      </c>
      <c r="O1378" s="5">
        <f>IF(J1378="","",Parametros!$B$6-J1378)</f>
        <v/>
      </c>
      <c r="P1378" s="5">
        <f>IF(O1378="","",IF(O1378&gt;0,1,0))</f>
        <v/>
      </c>
    </row>
    <row r="1379">
      <c r="A1379" s="5" t="n">
        <v>2122100000</v>
      </c>
      <c r="B1379" s="5" t="inlineStr">
        <is>
          <t>IC4420</t>
        </is>
      </c>
      <c r="C1379" s="5" t="inlineStr">
        <is>
          <t>NORDEX ENERGY SPAIN S A U</t>
        </is>
      </c>
      <c r="D1379" s="5" t="inlineStr">
        <is>
          <t>UE</t>
        </is>
      </c>
      <c r="E1379" s="5" t="n">
        <v>200005579</v>
      </c>
      <c r="F1379" s="5" t="inlineStr">
        <is>
          <t>4831</t>
        </is>
      </c>
      <c r="G1379" s="5" t="inlineStr">
        <is>
          <t>EUR</t>
        </is>
      </c>
      <c r="H1379" s="9" t="n">
        <v>-2573.8</v>
      </c>
      <c r="I1379" s="16" t="n">
        <v>43795</v>
      </c>
      <c r="J1379" s="16" t="n">
        <v>43795</v>
      </c>
      <c r="K1379" s="5" t="inlineStr">
        <is>
          <t>000000022002</t>
        </is>
      </c>
      <c r="L1379" s="5" t="inlineStr">
        <is>
          <t>403000.INGE</t>
        </is>
      </c>
      <c r="M1379" s="5">
        <f>IF(YEAR(I1379)&lt;=2020,"Até 2020",TEXT(YEAR(I1379),"0"))</f>
        <v/>
      </c>
      <c r="N1379" s="5">
        <f>IFERROR(INDEX(DePara!$A:$A,MATCH(TEXT(B1379,"0"),DePara!$D:$D,0)),"(sem categoria)")</f>
        <v/>
      </c>
      <c r="O1379" s="5">
        <f>IF(J1379="","",Parametros!$B$6-J1379)</f>
        <v/>
      </c>
      <c r="P1379" s="5">
        <f>IF(O1379="","",IF(O1379&gt;0,1,0))</f>
        <v/>
      </c>
    </row>
    <row r="1380">
      <c r="A1380" s="5" t="n">
        <v>2122100000</v>
      </c>
      <c r="B1380" s="5" t="inlineStr">
        <is>
          <t>IC4420</t>
        </is>
      </c>
      <c r="C1380" s="5" t="inlineStr">
        <is>
          <t>NORDEX ENERGY SPAIN S A U</t>
        </is>
      </c>
      <c r="D1380" s="5" t="inlineStr">
        <is>
          <t>UE</t>
        </is>
      </c>
      <c r="E1380" s="5" t="n">
        <v>200005580</v>
      </c>
      <c r="F1380" s="5" t="inlineStr">
        <is>
          <t>4832</t>
        </is>
      </c>
      <c r="G1380" s="5" t="inlineStr">
        <is>
          <t>EUR</t>
        </is>
      </c>
      <c r="H1380" s="9" t="n">
        <v>-1293.79</v>
      </c>
      <c r="I1380" s="16" t="n">
        <v>43794</v>
      </c>
      <c r="J1380" s="16" t="n">
        <v>43794</v>
      </c>
      <c r="K1380" s="5" t="inlineStr">
        <is>
          <t>000000019002</t>
        </is>
      </c>
      <c r="L1380" s="5" t="inlineStr">
        <is>
          <t>403000.INGE</t>
        </is>
      </c>
      <c r="M1380" s="5">
        <f>IF(YEAR(I1380)&lt;=2020,"Até 2020",TEXT(YEAR(I1380),"0"))</f>
        <v/>
      </c>
      <c r="N1380" s="5">
        <f>IFERROR(INDEX(DePara!$A:$A,MATCH(TEXT(B1380,"0"),DePara!$D:$D,0)),"(sem categoria)")</f>
        <v/>
      </c>
      <c r="O1380" s="5">
        <f>IF(J1380="","",Parametros!$B$6-J1380)</f>
        <v/>
      </c>
      <c r="P1380" s="5">
        <f>IF(O1380="","",IF(O1380&gt;0,1,0))</f>
        <v/>
      </c>
    </row>
    <row r="1381">
      <c r="A1381" s="5" t="n">
        <v>2122100000</v>
      </c>
      <c r="B1381" s="5" t="inlineStr">
        <is>
          <t>IC4420</t>
        </is>
      </c>
      <c r="C1381" s="5" t="inlineStr">
        <is>
          <t>NORDEX ENERGY SPAIN S A U</t>
        </is>
      </c>
      <c r="D1381" s="5" t="inlineStr">
        <is>
          <t>UE</t>
        </is>
      </c>
      <c r="E1381" s="5" t="n">
        <v>200005581</v>
      </c>
      <c r="F1381" s="5" t="inlineStr">
        <is>
          <t>4833</t>
        </is>
      </c>
      <c r="G1381" s="5" t="inlineStr">
        <is>
          <t>EUR</t>
        </is>
      </c>
      <c r="H1381" s="9" t="n">
        <v>-446.15</v>
      </c>
      <c r="I1381" s="16" t="n">
        <v>43588</v>
      </c>
      <c r="J1381" s="16" t="n">
        <v>43588</v>
      </c>
      <c r="K1381" s="5" t="inlineStr">
        <is>
          <t>000000019001</t>
        </is>
      </c>
      <c r="L1381" s="5" t="inlineStr">
        <is>
          <t>403000.INGE</t>
        </is>
      </c>
      <c r="M1381" s="5">
        <f>IF(YEAR(I1381)&lt;=2020,"Até 2020",TEXT(YEAR(I1381),"0"))</f>
        <v/>
      </c>
      <c r="N1381" s="5">
        <f>IFERROR(INDEX(DePara!$A:$A,MATCH(TEXT(B1381,"0"),DePara!$D:$D,0)),"(sem categoria)")</f>
        <v/>
      </c>
      <c r="O1381" s="5">
        <f>IF(J1381="","",Parametros!$B$6-J1381)</f>
        <v/>
      </c>
      <c r="P1381" s="5">
        <f>IF(O1381="","",IF(O1381&gt;0,1,0))</f>
        <v/>
      </c>
    </row>
    <row r="1382">
      <c r="A1382" s="5" t="n">
        <v>2122100000</v>
      </c>
      <c r="B1382" s="5" t="inlineStr">
        <is>
          <t>IC4420</t>
        </is>
      </c>
      <c r="C1382" s="5" t="inlineStr">
        <is>
          <t>NORDEX ENERGY SPAIN S A U</t>
        </is>
      </c>
      <c r="D1382" s="5" t="inlineStr">
        <is>
          <t>UE</t>
        </is>
      </c>
      <c r="E1382" s="5" t="n">
        <v>200005582</v>
      </c>
      <c r="F1382" s="5" t="inlineStr">
        <is>
          <t>4834</t>
        </is>
      </c>
      <c r="G1382" s="5" t="inlineStr">
        <is>
          <t>EUR</t>
        </is>
      </c>
      <c r="H1382" s="9" t="n">
        <v>-1283.27</v>
      </c>
      <c r="I1382" s="16" t="n">
        <v>43749</v>
      </c>
      <c r="J1382" s="16" t="n">
        <v>43749</v>
      </c>
      <c r="K1382" s="5" t="inlineStr">
        <is>
          <t>000000949002</t>
        </is>
      </c>
      <c r="L1382" s="5" t="inlineStr">
        <is>
          <t>403000.INGE</t>
        </is>
      </c>
      <c r="M1382" s="5">
        <f>IF(YEAR(I1382)&lt;=2020,"Até 2020",TEXT(YEAR(I1382),"0"))</f>
        <v/>
      </c>
      <c r="N1382" s="5">
        <f>IFERROR(INDEX(DePara!$A:$A,MATCH(TEXT(B1382,"0"),DePara!$D:$D,0)),"(sem categoria)")</f>
        <v/>
      </c>
      <c r="O1382" s="5">
        <f>IF(J1382="","",Parametros!$B$6-J1382)</f>
        <v/>
      </c>
      <c r="P1382" s="5">
        <f>IF(O1382="","",IF(O1382&gt;0,1,0))</f>
        <v/>
      </c>
    </row>
    <row r="1383">
      <c r="A1383" s="5" t="n">
        <v>2122100000</v>
      </c>
      <c r="B1383" s="5" t="inlineStr">
        <is>
          <t>IC4420</t>
        </is>
      </c>
      <c r="C1383" s="5" t="inlineStr">
        <is>
          <t>NORDEX ENERGY SPAIN S A U</t>
        </is>
      </c>
      <c r="D1383" s="5" t="inlineStr">
        <is>
          <t>UE</t>
        </is>
      </c>
      <c r="E1383" s="5" t="n">
        <v>200005583</v>
      </c>
      <c r="F1383" s="5" t="inlineStr">
        <is>
          <t>4835</t>
        </is>
      </c>
      <c r="G1383" s="5" t="inlineStr">
        <is>
          <t>EUR</t>
        </is>
      </c>
      <c r="H1383" s="9" t="n">
        <v>-20947.33</v>
      </c>
      <c r="I1383" s="16" t="n">
        <v>43808</v>
      </c>
      <c r="J1383" s="16" t="n">
        <v>43808</v>
      </c>
      <c r="K1383" s="5" t="inlineStr">
        <is>
          <t>000000372002</t>
        </is>
      </c>
      <c r="L1383" s="5" t="inlineStr">
        <is>
          <t>403000.INGE</t>
        </is>
      </c>
      <c r="M1383" s="5">
        <f>IF(YEAR(I1383)&lt;=2020,"Até 2020",TEXT(YEAR(I1383),"0"))</f>
        <v/>
      </c>
      <c r="N1383" s="5">
        <f>IFERROR(INDEX(DePara!$A:$A,MATCH(TEXT(B1383,"0"),DePara!$D:$D,0)),"(sem categoria)")</f>
        <v/>
      </c>
      <c r="O1383" s="5">
        <f>IF(J1383="","",Parametros!$B$6-J1383)</f>
        <v/>
      </c>
      <c r="P1383" s="5">
        <f>IF(O1383="","",IF(O1383&gt;0,1,0))</f>
        <v/>
      </c>
    </row>
    <row r="1384">
      <c r="A1384" s="5" t="n">
        <v>2122100000</v>
      </c>
      <c r="B1384" s="5" t="inlineStr">
        <is>
          <t>IC4420</t>
        </is>
      </c>
      <c r="C1384" s="5" t="inlineStr">
        <is>
          <t>NORDEX ENERGY SPAIN S A U</t>
        </is>
      </c>
      <c r="D1384" s="5" t="inlineStr">
        <is>
          <t>UE</t>
        </is>
      </c>
      <c r="E1384" s="5" t="n">
        <v>200005584</v>
      </c>
      <c r="F1384" s="5" t="inlineStr">
        <is>
          <t>4836</t>
        </is>
      </c>
      <c r="G1384" s="5" t="inlineStr">
        <is>
          <t>EUR</t>
        </is>
      </c>
      <c r="H1384" s="9" t="n">
        <v>-1185.14</v>
      </c>
      <c r="I1384" s="16" t="n">
        <v>43837</v>
      </c>
      <c r="J1384" s="16" t="n">
        <v>43837</v>
      </c>
      <c r="K1384" s="5" t="inlineStr">
        <is>
          <t>000000435002</t>
        </is>
      </c>
      <c r="L1384" s="5" t="inlineStr">
        <is>
          <t>403000.INGE</t>
        </is>
      </c>
      <c r="M1384" s="5">
        <f>IF(YEAR(I1384)&lt;=2020,"Até 2020",TEXT(YEAR(I1384),"0"))</f>
        <v/>
      </c>
      <c r="N1384" s="5">
        <f>IFERROR(INDEX(DePara!$A:$A,MATCH(TEXT(B1384,"0"),DePara!$D:$D,0)),"(sem categoria)")</f>
        <v/>
      </c>
      <c r="O1384" s="5">
        <f>IF(J1384="","",Parametros!$B$6-J1384)</f>
        <v/>
      </c>
      <c r="P1384" s="5">
        <f>IF(O1384="","",IF(O1384&gt;0,1,0))</f>
        <v/>
      </c>
    </row>
    <row r="1385">
      <c r="A1385" s="5" t="n">
        <v>2122100000</v>
      </c>
      <c r="B1385" s="5" t="inlineStr">
        <is>
          <t>IC4420</t>
        </is>
      </c>
      <c r="C1385" s="5" t="inlineStr">
        <is>
          <t>NORDEX ENERGY SPAIN S A U</t>
        </is>
      </c>
      <c r="D1385" s="5" t="inlineStr">
        <is>
          <t>UE</t>
        </is>
      </c>
      <c r="E1385" s="5" t="n">
        <v>200005585</v>
      </c>
      <c r="F1385" s="5" t="inlineStr">
        <is>
          <t>4837</t>
        </is>
      </c>
      <c r="G1385" s="5" t="inlineStr">
        <is>
          <t>EUR</t>
        </is>
      </c>
      <c r="H1385" s="9" t="n">
        <v>-1772.57</v>
      </c>
      <c r="I1385" s="16" t="n">
        <v>43802</v>
      </c>
      <c r="J1385" s="16" t="n">
        <v>43802</v>
      </c>
      <c r="K1385" s="5" t="inlineStr">
        <is>
          <t>000000022002</t>
        </is>
      </c>
      <c r="L1385" s="5" t="inlineStr">
        <is>
          <t>403000.INGE</t>
        </is>
      </c>
      <c r="M1385" s="5">
        <f>IF(YEAR(I1385)&lt;=2020,"Até 2020",TEXT(YEAR(I1385),"0"))</f>
        <v/>
      </c>
      <c r="N1385" s="5">
        <f>IFERROR(INDEX(DePara!$A:$A,MATCH(TEXT(B1385,"0"),DePara!$D:$D,0)),"(sem categoria)")</f>
        <v/>
      </c>
      <c r="O1385" s="5">
        <f>IF(J1385="","",Parametros!$B$6-J1385)</f>
        <v/>
      </c>
      <c r="P1385" s="5">
        <f>IF(O1385="","",IF(O1385&gt;0,1,0))</f>
        <v/>
      </c>
    </row>
    <row r="1386">
      <c r="A1386" s="5" t="n">
        <v>2122100000</v>
      </c>
      <c r="B1386" s="5" t="inlineStr">
        <is>
          <t>IC4420</t>
        </is>
      </c>
      <c r="C1386" s="5" t="inlineStr">
        <is>
          <t>NORDEX ENERGY SPAIN S A U</t>
        </is>
      </c>
      <c r="D1386" s="5" t="inlineStr">
        <is>
          <t>UE</t>
        </is>
      </c>
      <c r="E1386" s="5" t="n">
        <v>200005586</v>
      </c>
      <c r="F1386" s="5" t="inlineStr">
        <is>
          <t>4838</t>
        </is>
      </c>
      <c r="G1386" s="5" t="inlineStr">
        <is>
          <t>EUR</t>
        </is>
      </c>
      <c r="H1386" s="9" t="n">
        <v>-188.46</v>
      </c>
      <c r="I1386" s="16" t="n">
        <v>43795</v>
      </c>
      <c r="J1386" s="16" t="n">
        <v>43795</v>
      </c>
      <c r="K1386" s="5" t="inlineStr">
        <is>
          <t>000000353002</t>
        </is>
      </c>
      <c r="L1386" s="5" t="inlineStr">
        <is>
          <t>403000.INGE</t>
        </is>
      </c>
      <c r="M1386" s="5">
        <f>IF(YEAR(I1386)&lt;=2020,"Até 2020",TEXT(YEAR(I1386),"0"))</f>
        <v/>
      </c>
      <c r="N1386" s="5">
        <f>IFERROR(INDEX(DePara!$A:$A,MATCH(TEXT(B1386,"0"),DePara!$D:$D,0)),"(sem categoria)")</f>
        <v/>
      </c>
      <c r="O1386" s="5">
        <f>IF(J1386="","",Parametros!$B$6-J1386)</f>
        <v/>
      </c>
      <c r="P1386" s="5">
        <f>IF(O1386="","",IF(O1386&gt;0,1,0))</f>
        <v/>
      </c>
    </row>
    <row r="1387">
      <c r="A1387" s="5" t="n">
        <v>2122100000</v>
      </c>
      <c r="B1387" s="5" t="inlineStr">
        <is>
          <t>IC4420</t>
        </is>
      </c>
      <c r="C1387" s="5" t="inlineStr">
        <is>
          <t>NORDEX ENERGY SPAIN S A U</t>
        </is>
      </c>
      <c r="D1387" s="5" t="inlineStr">
        <is>
          <t>UE</t>
        </is>
      </c>
      <c r="E1387" s="5" t="n">
        <v>200005587</v>
      </c>
      <c r="F1387" s="5" t="inlineStr">
        <is>
          <t>4839</t>
        </is>
      </c>
      <c r="G1387" s="5" t="inlineStr">
        <is>
          <t>EUR</t>
        </is>
      </c>
      <c r="H1387" s="9" t="n">
        <v>-681.0700000000001</v>
      </c>
      <c r="I1387" s="16" t="n">
        <v>43816</v>
      </c>
      <c r="J1387" s="16" t="n">
        <v>43816</v>
      </c>
      <c r="K1387" s="5" t="inlineStr">
        <is>
          <t>000000394002</t>
        </is>
      </c>
      <c r="L1387" s="5" t="inlineStr">
        <is>
          <t>403000.INGE</t>
        </is>
      </c>
      <c r="M1387" s="5">
        <f>IF(YEAR(I1387)&lt;=2020,"Até 2020",TEXT(YEAR(I1387),"0"))</f>
        <v/>
      </c>
      <c r="N1387" s="5">
        <f>IFERROR(INDEX(DePara!$A:$A,MATCH(TEXT(B1387,"0"),DePara!$D:$D,0)),"(sem categoria)")</f>
        <v/>
      </c>
      <c r="O1387" s="5">
        <f>IF(J1387="","",Parametros!$B$6-J1387)</f>
        <v/>
      </c>
      <c r="P1387" s="5">
        <f>IF(O1387="","",IF(O1387&gt;0,1,0))</f>
        <v/>
      </c>
    </row>
    <row r="1388">
      <c r="A1388" s="5" t="n">
        <v>2122100000</v>
      </c>
      <c r="B1388" s="5" t="inlineStr">
        <is>
          <t>IC4420</t>
        </is>
      </c>
      <c r="C1388" s="5" t="inlineStr">
        <is>
          <t>NORDEX ENERGY SPAIN S A U</t>
        </is>
      </c>
      <c r="D1388" s="5" t="inlineStr">
        <is>
          <t>UE</t>
        </is>
      </c>
      <c r="E1388" s="5" t="n">
        <v>200005589</v>
      </c>
      <c r="F1388" s="5" t="inlineStr">
        <is>
          <t>4840</t>
        </is>
      </c>
      <c r="G1388" s="5" t="inlineStr">
        <is>
          <t>EUR</t>
        </is>
      </c>
      <c r="H1388" s="9" t="n">
        <v>-90.44</v>
      </c>
      <c r="I1388" s="16" t="n">
        <v>43804</v>
      </c>
      <c r="J1388" s="16" t="n">
        <v>43804</v>
      </c>
      <c r="K1388" s="5" t="inlineStr">
        <is>
          <t>000000369002</t>
        </is>
      </c>
      <c r="L1388" s="5" t="inlineStr">
        <is>
          <t>403000.INGE</t>
        </is>
      </c>
      <c r="M1388" s="5">
        <f>IF(YEAR(I1388)&lt;=2020,"Até 2020",TEXT(YEAR(I1388),"0"))</f>
        <v/>
      </c>
      <c r="N1388" s="5">
        <f>IFERROR(INDEX(DePara!$A:$A,MATCH(TEXT(B1388,"0"),DePara!$D:$D,0)),"(sem categoria)")</f>
        <v/>
      </c>
      <c r="O1388" s="5">
        <f>IF(J1388="","",Parametros!$B$6-J1388)</f>
        <v/>
      </c>
      <c r="P1388" s="5">
        <f>IF(O1388="","",IF(O1388&gt;0,1,0))</f>
        <v/>
      </c>
    </row>
    <row r="1389">
      <c r="A1389" s="5" t="n">
        <v>2122100000</v>
      </c>
      <c r="B1389" s="5" t="inlineStr">
        <is>
          <t>IC4420</t>
        </is>
      </c>
      <c r="C1389" s="5" t="inlineStr">
        <is>
          <t>NORDEX ENERGY SPAIN S A U</t>
        </is>
      </c>
      <c r="D1389" s="5" t="inlineStr">
        <is>
          <t>UE</t>
        </is>
      </c>
      <c r="E1389" s="5" t="n">
        <v>200005590</v>
      </c>
      <c r="F1389" s="5" t="inlineStr">
        <is>
          <t>4841</t>
        </is>
      </c>
      <c r="G1389" s="5" t="inlineStr">
        <is>
          <t>EUR</t>
        </is>
      </c>
      <c r="H1389" s="9" t="n">
        <v>-191.73</v>
      </c>
      <c r="I1389" s="16" t="n">
        <v>43873</v>
      </c>
      <c r="J1389" s="16" t="n">
        <v>43873</v>
      </c>
      <c r="K1389" s="5" t="inlineStr">
        <is>
          <t>000001059002</t>
        </is>
      </c>
      <c r="L1389" s="5" t="inlineStr">
        <is>
          <t>403000.INGE</t>
        </is>
      </c>
      <c r="M1389" s="5">
        <f>IF(YEAR(I1389)&lt;=2020,"Até 2020",TEXT(YEAR(I1389),"0"))</f>
        <v/>
      </c>
      <c r="N1389" s="5">
        <f>IFERROR(INDEX(DePara!$A:$A,MATCH(TEXT(B1389,"0"),DePara!$D:$D,0)),"(sem categoria)")</f>
        <v/>
      </c>
      <c r="O1389" s="5">
        <f>IF(J1389="","",Parametros!$B$6-J1389)</f>
        <v/>
      </c>
      <c r="P1389" s="5">
        <f>IF(O1389="","",IF(O1389&gt;0,1,0))</f>
        <v/>
      </c>
    </row>
    <row r="1390">
      <c r="A1390" s="5" t="n">
        <v>2122100000</v>
      </c>
      <c r="B1390" s="5" t="inlineStr">
        <is>
          <t>IC4420</t>
        </is>
      </c>
      <c r="C1390" s="5" t="inlineStr">
        <is>
          <t>NORDEX ENERGY SPAIN S A U</t>
        </is>
      </c>
      <c r="D1390" s="5" t="inlineStr">
        <is>
          <t>UE</t>
        </is>
      </c>
      <c r="E1390" s="5" t="n">
        <v>200005591</v>
      </c>
      <c r="F1390" s="5" t="inlineStr">
        <is>
          <t>4842</t>
        </is>
      </c>
      <c r="G1390" s="5" t="inlineStr">
        <is>
          <t>EUR</t>
        </is>
      </c>
      <c r="H1390" s="9" t="n">
        <v>-193.51</v>
      </c>
      <c r="I1390" s="16" t="n">
        <v>43875</v>
      </c>
      <c r="J1390" s="16" t="n">
        <v>43875</v>
      </c>
      <c r="K1390" s="5" t="inlineStr">
        <is>
          <t>000001065002</t>
        </is>
      </c>
      <c r="L1390" s="5" t="inlineStr">
        <is>
          <t>403000.INGE</t>
        </is>
      </c>
      <c r="M1390" s="5">
        <f>IF(YEAR(I1390)&lt;=2020,"Até 2020",TEXT(YEAR(I1390),"0"))</f>
        <v/>
      </c>
      <c r="N1390" s="5">
        <f>IFERROR(INDEX(DePara!$A:$A,MATCH(TEXT(B1390,"0"),DePara!$D:$D,0)),"(sem categoria)")</f>
        <v/>
      </c>
      <c r="O1390" s="5">
        <f>IF(J1390="","",Parametros!$B$6-J1390)</f>
        <v/>
      </c>
      <c r="P1390" s="5">
        <f>IF(O1390="","",IF(O1390&gt;0,1,0))</f>
        <v/>
      </c>
    </row>
    <row r="1391">
      <c r="A1391" s="5" t="n">
        <v>2122100000</v>
      </c>
      <c r="B1391" s="5" t="inlineStr">
        <is>
          <t>IC4420</t>
        </is>
      </c>
      <c r="C1391" s="5" t="inlineStr">
        <is>
          <t>NORDEX ENERGY SPAIN S A U</t>
        </is>
      </c>
      <c r="D1391" s="5" t="inlineStr">
        <is>
          <t>UE</t>
        </is>
      </c>
      <c r="E1391" s="5" t="n">
        <v>200005592</v>
      </c>
      <c r="F1391" s="5" t="inlineStr">
        <is>
          <t>4843</t>
        </is>
      </c>
      <c r="G1391" s="5" t="inlineStr">
        <is>
          <t>EUR</t>
        </is>
      </c>
      <c r="H1391" s="9" t="n">
        <v>-812.02</v>
      </c>
      <c r="I1391" s="16" t="n">
        <v>43857</v>
      </c>
      <c r="J1391" s="16" t="n">
        <v>43857</v>
      </c>
      <c r="K1391" s="5" t="inlineStr">
        <is>
          <t>000000015002</t>
        </is>
      </c>
      <c r="L1391" s="5" t="inlineStr">
        <is>
          <t>403000.INGE</t>
        </is>
      </c>
      <c r="M1391" s="5">
        <f>IF(YEAR(I1391)&lt;=2020,"Até 2020",TEXT(YEAR(I1391),"0"))</f>
        <v/>
      </c>
      <c r="N1391" s="5">
        <f>IFERROR(INDEX(DePara!$A:$A,MATCH(TEXT(B1391,"0"),DePara!$D:$D,0)),"(sem categoria)")</f>
        <v/>
      </c>
      <c r="O1391" s="5">
        <f>IF(J1391="","",Parametros!$B$6-J1391)</f>
        <v/>
      </c>
      <c r="P1391" s="5">
        <f>IF(O1391="","",IF(O1391&gt;0,1,0))</f>
        <v/>
      </c>
    </row>
    <row r="1392">
      <c r="A1392" s="5" t="n">
        <v>2122100000</v>
      </c>
      <c r="B1392" s="5" t="inlineStr">
        <is>
          <t>IC4420</t>
        </is>
      </c>
      <c r="C1392" s="5" t="inlineStr">
        <is>
          <t>NORDEX ENERGY SPAIN S A U</t>
        </is>
      </c>
      <c r="D1392" s="5" t="inlineStr">
        <is>
          <t>UE</t>
        </is>
      </c>
      <c r="E1392" s="5" t="n">
        <v>200005593</v>
      </c>
      <c r="F1392" s="5" t="inlineStr">
        <is>
          <t>4844</t>
        </is>
      </c>
      <c r="G1392" s="5" t="inlineStr">
        <is>
          <t>EUR</t>
        </is>
      </c>
      <c r="H1392" s="9" t="n">
        <v>-26188.74</v>
      </c>
      <c r="I1392" s="16" t="n">
        <v>43369</v>
      </c>
      <c r="J1392" s="16" t="n">
        <v>43369</v>
      </c>
      <c r="K1392" s="5" t="inlineStr">
        <is>
          <t>000000006002</t>
        </is>
      </c>
      <c r="L1392" s="5" t="inlineStr">
        <is>
          <t>403000.INGE</t>
        </is>
      </c>
      <c r="M1392" s="5">
        <f>IF(YEAR(I1392)&lt;=2020,"Até 2020",TEXT(YEAR(I1392),"0"))</f>
        <v/>
      </c>
      <c r="N1392" s="5">
        <f>IFERROR(INDEX(DePara!$A:$A,MATCH(TEXT(B1392,"0"),DePara!$D:$D,0)),"(sem categoria)")</f>
        <v/>
      </c>
      <c r="O1392" s="5">
        <f>IF(J1392="","",Parametros!$B$6-J1392)</f>
        <v/>
      </c>
      <c r="P1392" s="5">
        <f>IF(O1392="","",IF(O1392&gt;0,1,0))</f>
        <v/>
      </c>
    </row>
    <row r="1393">
      <c r="A1393" s="5" t="n">
        <v>2122100000</v>
      </c>
      <c r="B1393" s="5" t="inlineStr">
        <is>
          <t>IC4420</t>
        </is>
      </c>
      <c r="C1393" s="5" t="inlineStr">
        <is>
          <t>NORDEX ENERGY SPAIN S A U</t>
        </is>
      </c>
      <c r="D1393" s="5" t="inlineStr">
        <is>
          <t>UE</t>
        </is>
      </c>
      <c r="E1393" s="5" t="n">
        <v>200005594</v>
      </c>
      <c r="F1393" s="5" t="inlineStr">
        <is>
          <t>4845</t>
        </is>
      </c>
      <c r="G1393" s="5" t="inlineStr">
        <is>
          <t>EUR</t>
        </is>
      </c>
      <c r="H1393" s="9" t="n">
        <v>-537.92</v>
      </c>
      <c r="I1393" s="16" t="n">
        <v>43896</v>
      </c>
      <c r="J1393" s="16" t="n">
        <v>43896</v>
      </c>
      <c r="K1393" s="5" t="inlineStr">
        <is>
          <t>000001082002</t>
        </is>
      </c>
      <c r="L1393" s="5" t="inlineStr">
        <is>
          <t>403000.INGE</t>
        </is>
      </c>
      <c r="M1393" s="5">
        <f>IF(YEAR(I1393)&lt;=2020,"Até 2020",TEXT(YEAR(I1393),"0"))</f>
        <v/>
      </c>
      <c r="N1393" s="5">
        <f>IFERROR(INDEX(DePara!$A:$A,MATCH(TEXT(B1393,"0"),DePara!$D:$D,0)),"(sem categoria)")</f>
        <v/>
      </c>
      <c r="O1393" s="5">
        <f>IF(J1393="","",Parametros!$B$6-J1393)</f>
        <v/>
      </c>
      <c r="P1393" s="5">
        <f>IF(O1393="","",IF(O1393&gt;0,1,0))</f>
        <v/>
      </c>
    </row>
    <row r="1394">
      <c r="A1394" s="5" t="n">
        <v>2122100000</v>
      </c>
      <c r="B1394" s="5" t="inlineStr">
        <is>
          <t>IC4420</t>
        </is>
      </c>
      <c r="C1394" s="5" t="inlineStr">
        <is>
          <t>NORDEX ENERGY SPAIN S A U</t>
        </is>
      </c>
      <c r="D1394" s="5" t="inlineStr">
        <is>
          <t>UE</t>
        </is>
      </c>
      <c r="E1394" s="5" t="n">
        <v>200005595</v>
      </c>
      <c r="F1394" s="5" t="inlineStr">
        <is>
          <t>4846</t>
        </is>
      </c>
      <c r="G1394" s="5" t="inlineStr">
        <is>
          <t>EUR</t>
        </is>
      </c>
      <c r="H1394" s="9" t="n">
        <v>-34.35</v>
      </c>
      <c r="I1394" s="16" t="n">
        <v>43879</v>
      </c>
      <c r="J1394" s="16" t="n">
        <v>43879</v>
      </c>
      <c r="K1394" s="5" t="inlineStr">
        <is>
          <t>000000860002</t>
        </is>
      </c>
      <c r="L1394" s="5" t="inlineStr">
        <is>
          <t>403000.INGE</t>
        </is>
      </c>
      <c r="M1394" s="5">
        <f>IF(YEAR(I1394)&lt;=2020,"Até 2020",TEXT(YEAR(I1394),"0"))</f>
        <v/>
      </c>
      <c r="N1394" s="5">
        <f>IFERROR(INDEX(DePara!$A:$A,MATCH(TEXT(B1394,"0"),DePara!$D:$D,0)),"(sem categoria)")</f>
        <v/>
      </c>
      <c r="O1394" s="5">
        <f>IF(J1394="","",Parametros!$B$6-J1394)</f>
        <v/>
      </c>
      <c r="P1394" s="5">
        <f>IF(O1394="","",IF(O1394&gt;0,1,0))</f>
        <v/>
      </c>
    </row>
    <row r="1395">
      <c r="A1395" s="5" t="n">
        <v>2122100000</v>
      </c>
      <c r="B1395" s="5" t="inlineStr">
        <is>
          <t>IC4420</t>
        </is>
      </c>
      <c r="C1395" s="5" t="inlineStr">
        <is>
          <t>NORDEX ENERGY SPAIN S A U</t>
        </is>
      </c>
      <c r="D1395" s="5" t="inlineStr">
        <is>
          <t>UE</t>
        </is>
      </c>
      <c r="E1395" s="5" t="n">
        <v>200005596</v>
      </c>
      <c r="F1395" s="5" t="inlineStr">
        <is>
          <t>4847</t>
        </is>
      </c>
      <c r="G1395" s="5" t="inlineStr">
        <is>
          <t>EUR</t>
        </is>
      </c>
      <c r="H1395" s="9" t="n">
        <v>-100.13</v>
      </c>
      <c r="I1395" s="16" t="n">
        <v>43923</v>
      </c>
      <c r="J1395" s="16" t="n">
        <v>43923</v>
      </c>
      <c r="K1395" s="5" t="inlineStr">
        <is>
          <t>000000979002</t>
        </is>
      </c>
      <c r="L1395" s="5" t="inlineStr">
        <is>
          <t>403000.INGE</t>
        </is>
      </c>
      <c r="M1395" s="5">
        <f>IF(YEAR(I1395)&lt;=2020,"Até 2020",TEXT(YEAR(I1395),"0"))</f>
        <v/>
      </c>
      <c r="N1395" s="5">
        <f>IFERROR(INDEX(DePara!$A:$A,MATCH(TEXT(B1395,"0"),DePara!$D:$D,0)),"(sem categoria)")</f>
        <v/>
      </c>
      <c r="O1395" s="5">
        <f>IF(J1395="","",Parametros!$B$6-J1395)</f>
        <v/>
      </c>
      <c r="P1395" s="5">
        <f>IF(O1395="","",IF(O1395&gt;0,1,0))</f>
        <v/>
      </c>
    </row>
    <row r="1396">
      <c r="A1396" s="5" t="n">
        <v>2122100000</v>
      </c>
      <c r="B1396" s="5" t="inlineStr">
        <is>
          <t>IC4420</t>
        </is>
      </c>
      <c r="C1396" s="5" t="inlineStr">
        <is>
          <t>NORDEX ENERGY SPAIN S A U</t>
        </is>
      </c>
      <c r="D1396" s="5" t="inlineStr">
        <is>
          <t>UE</t>
        </is>
      </c>
      <c r="E1396" s="5" t="n">
        <v>200005597</v>
      </c>
      <c r="F1396" s="5" t="inlineStr">
        <is>
          <t>4848</t>
        </is>
      </c>
      <c r="G1396" s="5" t="inlineStr">
        <is>
          <t>EUR</t>
        </is>
      </c>
      <c r="H1396" s="9" t="n">
        <v>-565.3200000000001</v>
      </c>
      <c r="I1396" s="16" t="n">
        <v>43921</v>
      </c>
      <c r="J1396" s="16" t="n">
        <v>43921</v>
      </c>
      <c r="K1396" s="5" t="inlineStr">
        <is>
          <t>000000030002</t>
        </is>
      </c>
      <c r="L1396" s="5" t="inlineStr">
        <is>
          <t>403000.INGE</t>
        </is>
      </c>
      <c r="M1396" s="5">
        <f>IF(YEAR(I1396)&lt;=2020,"Até 2020",TEXT(YEAR(I1396),"0"))</f>
        <v/>
      </c>
      <c r="N1396" s="5">
        <f>IFERROR(INDEX(DePara!$A:$A,MATCH(TEXT(B1396,"0"),DePara!$D:$D,0)),"(sem categoria)")</f>
        <v/>
      </c>
      <c r="O1396" s="5">
        <f>IF(J1396="","",Parametros!$B$6-J1396)</f>
        <v/>
      </c>
      <c r="P1396" s="5">
        <f>IF(O1396="","",IF(O1396&gt;0,1,0))</f>
        <v/>
      </c>
    </row>
    <row r="1397">
      <c r="A1397" s="5" t="n">
        <v>2122100000</v>
      </c>
      <c r="B1397" s="5" t="inlineStr">
        <is>
          <t>IC4420</t>
        </is>
      </c>
      <c r="C1397" s="5" t="inlineStr">
        <is>
          <t>NORDEX ENERGY SPAIN S A U</t>
        </is>
      </c>
      <c r="D1397" s="5" t="inlineStr">
        <is>
          <t>UE</t>
        </is>
      </c>
      <c r="E1397" s="5" t="n">
        <v>200005598</v>
      </c>
      <c r="F1397" s="5" t="inlineStr">
        <is>
          <t>4849</t>
        </is>
      </c>
      <c r="G1397" s="5" t="inlineStr">
        <is>
          <t>EUR</t>
        </is>
      </c>
      <c r="H1397" s="9" t="n">
        <v>-2528.59</v>
      </c>
      <c r="I1397" s="16" t="n">
        <v>43879</v>
      </c>
      <c r="J1397" s="16" t="n">
        <v>43879</v>
      </c>
      <c r="K1397" s="5" t="inlineStr">
        <is>
          <t>000000051002</t>
        </is>
      </c>
      <c r="L1397" s="5" t="inlineStr">
        <is>
          <t>403000.INGE</t>
        </is>
      </c>
      <c r="M1397" s="5">
        <f>IF(YEAR(I1397)&lt;=2020,"Até 2020",TEXT(YEAR(I1397),"0"))</f>
        <v/>
      </c>
      <c r="N1397" s="5">
        <f>IFERROR(INDEX(DePara!$A:$A,MATCH(TEXT(B1397,"0"),DePara!$D:$D,0)),"(sem categoria)")</f>
        <v/>
      </c>
      <c r="O1397" s="5">
        <f>IF(J1397="","",Parametros!$B$6-J1397)</f>
        <v/>
      </c>
      <c r="P1397" s="5">
        <f>IF(O1397="","",IF(O1397&gt;0,1,0))</f>
        <v/>
      </c>
    </row>
    <row r="1398">
      <c r="A1398" s="5" t="n">
        <v>2122100000</v>
      </c>
      <c r="B1398" s="5" t="inlineStr">
        <is>
          <t>IC4420</t>
        </is>
      </c>
      <c r="C1398" s="5" t="inlineStr">
        <is>
          <t>NORDEX ENERGY SPAIN S A U</t>
        </is>
      </c>
      <c r="D1398" s="5" t="inlineStr">
        <is>
          <t>UE</t>
        </is>
      </c>
      <c r="E1398" s="5" t="n">
        <v>200005600</v>
      </c>
      <c r="F1398" s="5" t="inlineStr">
        <is>
          <t>4850</t>
        </is>
      </c>
      <c r="G1398" s="5" t="inlineStr">
        <is>
          <t>EUR</t>
        </is>
      </c>
      <c r="H1398" s="9" t="n">
        <v>-968.0700000000001</v>
      </c>
      <c r="I1398" s="16" t="n">
        <v>43924</v>
      </c>
      <c r="J1398" s="16" t="n">
        <v>43924</v>
      </c>
      <c r="K1398" s="5" t="inlineStr">
        <is>
          <t>000001106002</t>
        </is>
      </c>
      <c r="L1398" s="5" t="inlineStr">
        <is>
          <t>403000.INGE</t>
        </is>
      </c>
      <c r="M1398" s="5">
        <f>IF(YEAR(I1398)&lt;=2020,"Até 2020",TEXT(YEAR(I1398),"0"))</f>
        <v/>
      </c>
      <c r="N1398" s="5">
        <f>IFERROR(INDEX(DePara!$A:$A,MATCH(TEXT(B1398,"0"),DePara!$D:$D,0)),"(sem categoria)")</f>
        <v/>
      </c>
      <c r="O1398" s="5">
        <f>IF(J1398="","",Parametros!$B$6-J1398)</f>
        <v/>
      </c>
      <c r="P1398" s="5">
        <f>IF(O1398="","",IF(O1398&gt;0,1,0))</f>
        <v/>
      </c>
    </row>
    <row r="1399">
      <c r="A1399" s="5" t="n">
        <v>2122100000</v>
      </c>
      <c r="B1399" s="5" t="inlineStr">
        <is>
          <t>IC4420</t>
        </is>
      </c>
      <c r="C1399" s="5" t="inlineStr">
        <is>
          <t>NORDEX ENERGY SPAIN S A U</t>
        </is>
      </c>
      <c r="D1399" s="5" t="inlineStr">
        <is>
          <t>UE</t>
        </is>
      </c>
      <c r="E1399" s="5" t="n">
        <v>200005601</v>
      </c>
      <c r="F1399" s="5" t="inlineStr">
        <is>
          <t>4851</t>
        </is>
      </c>
      <c r="G1399" s="5" t="inlineStr">
        <is>
          <t>EUR</t>
        </is>
      </c>
      <c r="H1399" s="9" t="n">
        <v>-7482.93</v>
      </c>
      <c r="I1399" s="16" t="n">
        <v>44022</v>
      </c>
      <c r="J1399" s="16" t="n">
        <v>44022</v>
      </c>
      <c r="K1399" s="5" t="inlineStr">
        <is>
          <t>000001138002</t>
        </is>
      </c>
      <c r="L1399" s="5" t="inlineStr">
        <is>
          <t>403000.INGE</t>
        </is>
      </c>
      <c r="M1399" s="5">
        <f>IF(YEAR(I1399)&lt;=2020,"Até 2020",TEXT(YEAR(I1399),"0"))</f>
        <v/>
      </c>
      <c r="N1399" s="5">
        <f>IFERROR(INDEX(DePara!$A:$A,MATCH(TEXT(B1399,"0"),DePara!$D:$D,0)),"(sem categoria)")</f>
        <v/>
      </c>
      <c r="O1399" s="5">
        <f>IF(J1399="","",Parametros!$B$6-J1399)</f>
        <v/>
      </c>
      <c r="P1399" s="5">
        <f>IF(O1399="","",IF(O1399&gt;0,1,0))</f>
        <v/>
      </c>
    </row>
    <row r="1400">
      <c r="A1400" s="5" t="n">
        <v>2122100000</v>
      </c>
      <c r="B1400" s="5" t="inlineStr">
        <is>
          <t>IC4420</t>
        </is>
      </c>
      <c r="C1400" s="5" t="inlineStr">
        <is>
          <t>NORDEX ENERGY SPAIN S A U</t>
        </is>
      </c>
      <c r="D1400" s="5" t="inlineStr">
        <is>
          <t>UE</t>
        </is>
      </c>
      <c r="E1400" s="5" t="n">
        <v>200005602</v>
      </c>
      <c r="F1400" s="5" t="inlineStr">
        <is>
          <t>4852</t>
        </is>
      </c>
      <c r="G1400" s="5" t="inlineStr">
        <is>
          <t>EUR</t>
        </is>
      </c>
      <c r="H1400" s="9" t="n">
        <v>-14046.66</v>
      </c>
      <c r="I1400" s="16" t="n">
        <v>44054</v>
      </c>
      <c r="J1400" s="16" t="n">
        <v>44054</v>
      </c>
      <c r="K1400" s="5" t="inlineStr">
        <is>
          <t>000000225002</t>
        </is>
      </c>
      <c r="L1400" s="5" t="inlineStr">
        <is>
          <t>403000.INGE</t>
        </is>
      </c>
      <c r="M1400" s="5">
        <f>IF(YEAR(I1400)&lt;=2020,"Até 2020",TEXT(YEAR(I1400),"0"))</f>
        <v/>
      </c>
      <c r="N1400" s="5">
        <f>IFERROR(INDEX(DePara!$A:$A,MATCH(TEXT(B1400,"0"),DePara!$D:$D,0)),"(sem categoria)")</f>
        <v/>
      </c>
      <c r="O1400" s="5">
        <f>IF(J1400="","",Parametros!$B$6-J1400)</f>
        <v/>
      </c>
      <c r="P1400" s="5">
        <f>IF(O1400="","",IF(O1400&gt;0,1,0))</f>
        <v/>
      </c>
    </row>
    <row r="1401">
      <c r="A1401" s="5" t="n">
        <v>2122100000</v>
      </c>
      <c r="B1401" s="5" t="inlineStr">
        <is>
          <t>IC4420</t>
        </is>
      </c>
      <c r="C1401" s="5" t="inlineStr">
        <is>
          <t>NORDEX ENERGY SPAIN S A U</t>
        </is>
      </c>
      <c r="D1401" s="5" t="inlineStr">
        <is>
          <t>UE</t>
        </is>
      </c>
      <c r="E1401" s="5" t="n">
        <v>200005603</v>
      </c>
      <c r="F1401" s="5" t="inlineStr">
        <is>
          <t>4853</t>
        </is>
      </c>
      <c r="G1401" s="5" t="inlineStr">
        <is>
          <t>EUR</t>
        </is>
      </c>
      <c r="H1401" s="9" t="n">
        <v>-0.1</v>
      </c>
      <c r="I1401" s="16" t="n">
        <v>44111</v>
      </c>
      <c r="J1401" s="16" t="n">
        <v>44111</v>
      </c>
      <c r="K1401" s="5" t="inlineStr">
        <is>
          <t>000000247002</t>
        </is>
      </c>
      <c r="L1401" s="5" t="inlineStr">
        <is>
          <t>403000.INGE</t>
        </is>
      </c>
      <c r="M1401" s="5">
        <f>IF(YEAR(I1401)&lt;=2020,"Até 2020",TEXT(YEAR(I1401),"0"))</f>
        <v/>
      </c>
      <c r="N1401" s="5">
        <f>IFERROR(INDEX(DePara!$A:$A,MATCH(TEXT(B1401,"0"),DePara!$D:$D,0)),"(sem categoria)")</f>
        <v/>
      </c>
      <c r="O1401" s="5">
        <f>IF(J1401="","",Parametros!$B$6-J1401)</f>
        <v/>
      </c>
      <c r="P1401" s="5">
        <f>IF(O1401="","",IF(O1401&gt;0,1,0))</f>
        <v/>
      </c>
    </row>
    <row r="1402">
      <c r="A1402" s="5" t="n">
        <v>2122100000</v>
      </c>
      <c r="B1402" s="5" t="inlineStr">
        <is>
          <t>IC4420</t>
        </is>
      </c>
      <c r="C1402" s="5" t="inlineStr">
        <is>
          <t>NORDEX ENERGY SPAIN S A U</t>
        </is>
      </c>
      <c r="D1402" s="5" t="inlineStr">
        <is>
          <t>UE</t>
        </is>
      </c>
      <c r="E1402" s="5" t="n">
        <v>200005604</v>
      </c>
      <c r="F1402" s="5" t="inlineStr">
        <is>
          <t>4854</t>
        </is>
      </c>
      <c r="G1402" s="5" t="inlineStr">
        <is>
          <t>EUR</t>
        </is>
      </c>
      <c r="H1402" s="9" t="n">
        <v>-45787.82</v>
      </c>
      <c r="I1402" s="16" t="n">
        <v>44279</v>
      </c>
      <c r="J1402" s="16" t="n">
        <v>44279</v>
      </c>
      <c r="K1402" s="5" t="inlineStr">
        <is>
          <t>000000125002</t>
        </is>
      </c>
      <c r="L1402" s="5" t="inlineStr">
        <is>
          <t>403000.INGE</t>
        </is>
      </c>
      <c r="M1402" s="5">
        <f>IF(YEAR(I1402)&lt;=2020,"Até 2020",TEXT(YEAR(I1402),"0"))</f>
        <v/>
      </c>
      <c r="N1402" s="5">
        <f>IFERROR(INDEX(DePara!$A:$A,MATCH(TEXT(B1402,"0"),DePara!$D:$D,0)),"(sem categoria)")</f>
        <v/>
      </c>
      <c r="O1402" s="5">
        <f>IF(J1402="","",Parametros!$B$6-J1402)</f>
        <v/>
      </c>
      <c r="P1402" s="5">
        <f>IF(O1402="","",IF(O1402&gt;0,1,0))</f>
        <v/>
      </c>
    </row>
    <row r="1403">
      <c r="A1403" s="5" t="n">
        <v>2122100000</v>
      </c>
      <c r="B1403" s="5" t="inlineStr">
        <is>
          <t>IC4420</t>
        </is>
      </c>
      <c r="C1403" s="5" t="inlineStr">
        <is>
          <t>NORDEX ENERGY SPAIN S A U</t>
        </is>
      </c>
      <c r="D1403" s="5" t="inlineStr">
        <is>
          <t>UE</t>
        </is>
      </c>
      <c r="E1403" s="5" t="n">
        <v>200005608</v>
      </c>
      <c r="F1403" s="5" t="inlineStr">
        <is>
          <t>4858</t>
        </is>
      </c>
      <c r="G1403" s="5" t="inlineStr">
        <is>
          <t>EUR</t>
        </is>
      </c>
      <c r="H1403" s="9" t="n">
        <v>-228386.89</v>
      </c>
      <c r="I1403" s="16" t="n">
        <v>44356</v>
      </c>
      <c r="J1403" s="16" t="n">
        <v>44356</v>
      </c>
      <c r="K1403" s="5" t="inlineStr">
        <is>
          <t>000001541002</t>
        </is>
      </c>
      <c r="L1403" s="5" t="inlineStr">
        <is>
          <t>403000.INGE</t>
        </is>
      </c>
      <c r="M1403" s="5">
        <f>IF(YEAR(I1403)&lt;=2020,"Até 2020",TEXT(YEAR(I1403),"0"))</f>
        <v/>
      </c>
      <c r="N1403" s="5">
        <f>IFERROR(INDEX(DePara!$A:$A,MATCH(TEXT(B1403,"0"),DePara!$D:$D,0)),"(sem categoria)")</f>
        <v/>
      </c>
      <c r="O1403" s="5">
        <f>IF(J1403="","",Parametros!$B$6-J1403)</f>
        <v/>
      </c>
      <c r="P1403" s="5">
        <f>IF(O1403="","",IF(O1403&gt;0,1,0))</f>
        <v/>
      </c>
    </row>
    <row r="1404">
      <c r="A1404" s="5" t="n">
        <v>2122100000</v>
      </c>
      <c r="B1404" s="5" t="inlineStr">
        <is>
          <t>IC4420</t>
        </is>
      </c>
      <c r="C1404" s="5" t="inlineStr">
        <is>
          <t>NORDEX ENERGY SPAIN S A U</t>
        </is>
      </c>
      <c r="D1404" s="5" t="inlineStr">
        <is>
          <t>UE</t>
        </is>
      </c>
      <c r="E1404" s="5" t="n">
        <v>200005609</v>
      </c>
      <c r="F1404" s="5" t="inlineStr">
        <is>
          <t>4859</t>
        </is>
      </c>
      <c r="G1404" s="5" t="inlineStr">
        <is>
          <t>EUR</t>
        </is>
      </c>
      <c r="H1404" s="9" t="n">
        <v>-353868.05</v>
      </c>
      <c r="I1404" s="16" t="n">
        <v>44364</v>
      </c>
      <c r="J1404" s="16" t="n">
        <v>44364</v>
      </c>
      <c r="K1404" s="5" t="inlineStr">
        <is>
          <t>000001394002</t>
        </is>
      </c>
      <c r="L1404" s="5" t="inlineStr">
        <is>
          <t>403000.INGE</t>
        </is>
      </c>
      <c r="M1404" s="5">
        <f>IF(YEAR(I1404)&lt;=2020,"Até 2020",TEXT(YEAR(I1404),"0"))</f>
        <v/>
      </c>
      <c r="N1404" s="5">
        <f>IFERROR(INDEX(DePara!$A:$A,MATCH(TEXT(B1404,"0"),DePara!$D:$D,0)),"(sem categoria)")</f>
        <v/>
      </c>
      <c r="O1404" s="5">
        <f>IF(J1404="","",Parametros!$B$6-J1404)</f>
        <v/>
      </c>
      <c r="P1404" s="5">
        <f>IF(O1404="","",IF(O1404&gt;0,1,0))</f>
        <v/>
      </c>
    </row>
    <row r="1405">
      <c r="A1405" s="5" t="n">
        <v>2122100000</v>
      </c>
      <c r="B1405" s="5" t="inlineStr">
        <is>
          <t>IC4420</t>
        </is>
      </c>
      <c r="C1405" s="5" t="inlineStr">
        <is>
          <t>NORDEX ENERGY SPAIN S A U</t>
        </is>
      </c>
      <c r="D1405" s="5" t="inlineStr">
        <is>
          <t>UE</t>
        </is>
      </c>
      <c r="E1405" s="5" t="n">
        <v>200005611</v>
      </c>
      <c r="F1405" s="5" t="inlineStr">
        <is>
          <t>4860</t>
        </is>
      </c>
      <c r="G1405" s="5" t="inlineStr">
        <is>
          <t>EUR</t>
        </is>
      </c>
      <c r="H1405" s="9" t="n">
        <v>-41047.98</v>
      </c>
      <c r="I1405" s="16" t="n">
        <v>44364</v>
      </c>
      <c r="J1405" s="16" t="n">
        <v>44364</v>
      </c>
      <c r="K1405" s="5" t="inlineStr">
        <is>
          <t>000000056002</t>
        </is>
      </c>
      <c r="L1405" s="5" t="inlineStr">
        <is>
          <t>403000.INGE</t>
        </is>
      </c>
      <c r="M1405" s="5">
        <f>IF(YEAR(I1405)&lt;=2020,"Até 2020",TEXT(YEAR(I1405),"0"))</f>
        <v/>
      </c>
      <c r="N1405" s="5">
        <f>IFERROR(INDEX(DePara!$A:$A,MATCH(TEXT(B1405,"0"),DePara!$D:$D,0)),"(sem categoria)")</f>
        <v/>
      </c>
      <c r="O1405" s="5">
        <f>IF(J1405="","",Parametros!$B$6-J1405)</f>
        <v/>
      </c>
      <c r="P1405" s="5">
        <f>IF(O1405="","",IF(O1405&gt;0,1,0))</f>
        <v/>
      </c>
    </row>
    <row r="1406">
      <c r="A1406" s="5" t="n">
        <v>2122100000</v>
      </c>
      <c r="B1406" s="5" t="inlineStr">
        <is>
          <t>IC4420</t>
        </is>
      </c>
      <c r="C1406" s="5" t="inlineStr">
        <is>
          <t>NORDEX ENERGY SPAIN S A U</t>
        </is>
      </c>
      <c r="D1406" s="5" t="inlineStr">
        <is>
          <t>UE</t>
        </is>
      </c>
      <c r="E1406" s="5" t="n">
        <v>200005613</v>
      </c>
      <c r="F1406" s="5" t="inlineStr">
        <is>
          <t>4862</t>
        </is>
      </c>
      <c r="G1406" s="5" t="inlineStr">
        <is>
          <t>EUR</t>
        </is>
      </c>
      <c r="H1406" s="9" t="n">
        <v>-89155.99000000001</v>
      </c>
      <c r="I1406" s="16" t="n">
        <v>44608</v>
      </c>
      <c r="J1406" s="16" t="n">
        <v>44608</v>
      </c>
      <c r="K1406" s="5" t="inlineStr">
        <is>
          <t>000000039002</t>
        </is>
      </c>
      <c r="L1406" s="5" t="inlineStr">
        <is>
          <t>403000.INGE</t>
        </is>
      </c>
      <c r="M1406" s="5">
        <f>IF(YEAR(I1406)&lt;=2020,"Até 2020",TEXT(YEAR(I1406),"0"))</f>
        <v/>
      </c>
      <c r="N1406" s="5">
        <f>IFERROR(INDEX(DePara!$A:$A,MATCH(TEXT(B1406,"0"),DePara!$D:$D,0)),"(sem categoria)")</f>
        <v/>
      </c>
      <c r="O1406" s="5">
        <f>IF(J1406="","",Parametros!$B$6-J1406)</f>
        <v/>
      </c>
      <c r="P1406" s="5">
        <f>IF(O1406="","",IF(O1406&gt;0,1,0))</f>
        <v/>
      </c>
    </row>
    <row r="1407">
      <c r="A1407" s="5" t="n">
        <v>2122100000</v>
      </c>
      <c r="B1407" s="5" t="inlineStr">
        <is>
          <t>IC4420</t>
        </is>
      </c>
      <c r="C1407" s="5" t="inlineStr">
        <is>
          <t>NORDEX ENERGY SPAIN S A U</t>
        </is>
      </c>
      <c r="D1407" s="5" t="inlineStr">
        <is>
          <t>UE</t>
        </is>
      </c>
      <c r="E1407" s="5" t="n">
        <v>200005614</v>
      </c>
      <c r="F1407" s="5" t="inlineStr">
        <is>
          <t>4863</t>
        </is>
      </c>
      <c r="G1407" s="5" t="inlineStr">
        <is>
          <t>EUR</t>
        </is>
      </c>
      <c r="H1407" s="9" t="n">
        <v>-2098642.25</v>
      </c>
      <c r="I1407" s="16" t="n">
        <v>44614</v>
      </c>
      <c r="J1407" s="16" t="n">
        <v>44614</v>
      </c>
      <c r="K1407" s="5" t="inlineStr">
        <is>
          <t>000001735002</t>
        </is>
      </c>
      <c r="L1407" s="5" t="inlineStr">
        <is>
          <t>403000.INGE</t>
        </is>
      </c>
      <c r="M1407" s="5">
        <f>IF(YEAR(I1407)&lt;=2020,"Até 2020",TEXT(YEAR(I1407),"0"))</f>
        <v/>
      </c>
      <c r="N1407" s="5">
        <f>IFERROR(INDEX(DePara!$A:$A,MATCH(TEXT(B1407,"0"),DePara!$D:$D,0)),"(sem categoria)")</f>
        <v/>
      </c>
      <c r="O1407" s="5">
        <f>IF(J1407="","",Parametros!$B$6-J1407)</f>
        <v/>
      </c>
      <c r="P1407" s="5">
        <f>IF(O1407="","",IF(O1407&gt;0,1,0))</f>
        <v/>
      </c>
    </row>
    <row r="1408">
      <c r="A1408" s="5" t="n">
        <v>2122100000</v>
      </c>
      <c r="B1408" s="5" t="inlineStr">
        <is>
          <t>IC4420</t>
        </is>
      </c>
      <c r="C1408" s="5" t="inlineStr">
        <is>
          <t>NORDEX ENERGY SPAIN S A U</t>
        </is>
      </c>
      <c r="D1408" s="5" t="inlineStr">
        <is>
          <t>UE</t>
        </is>
      </c>
      <c r="E1408" s="5" t="n">
        <v>200005615</v>
      </c>
      <c r="F1408" s="5" t="inlineStr">
        <is>
          <t>4864</t>
        </is>
      </c>
      <c r="G1408" s="5" t="inlineStr">
        <is>
          <t>EUR</t>
        </is>
      </c>
      <c r="H1408" s="9" t="n">
        <v>-868694.8</v>
      </c>
      <c r="I1408" s="16" t="n">
        <v>44664</v>
      </c>
      <c r="J1408" s="16" t="n">
        <v>44664</v>
      </c>
      <c r="K1408" s="5" t="inlineStr">
        <is>
          <t>000000045002</t>
        </is>
      </c>
      <c r="L1408" s="5" t="inlineStr">
        <is>
          <t>403000.INGE</t>
        </is>
      </c>
      <c r="M1408" s="5">
        <f>IF(YEAR(I1408)&lt;=2020,"Até 2020",TEXT(YEAR(I1408),"0"))</f>
        <v/>
      </c>
      <c r="N1408" s="5">
        <f>IFERROR(INDEX(DePara!$A:$A,MATCH(TEXT(B1408,"0"),DePara!$D:$D,0)),"(sem categoria)")</f>
        <v/>
      </c>
      <c r="O1408" s="5">
        <f>IF(J1408="","",Parametros!$B$6-J1408)</f>
        <v/>
      </c>
      <c r="P1408" s="5">
        <f>IF(O1408="","",IF(O1408&gt;0,1,0))</f>
        <v/>
      </c>
    </row>
    <row r="1409">
      <c r="A1409" s="5" t="n">
        <v>2122100000</v>
      </c>
      <c r="B1409" s="5" t="inlineStr">
        <is>
          <t>IC4420</t>
        </is>
      </c>
      <c r="C1409" s="5" t="inlineStr">
        <is>
          <t>NORDEX ENERGY SPAIN S A U</t>
        </is>
      </c>
      <c r="D1409" s="5" t="inlineStr">
        <is>
          <t>UE</t>
        </is>
      </c>
      <c r="E1409" s="5" t="n">
        <v>200005616</v>
      </c>
      <c r="F1409" s="5" t="inlineStr">
        <is>
          <t>4865</t>
        </is>
      </c>
      <c r="G1409" s="5" t="inlineStr">
        <is>
          <t>EUR</t>
        </is>
      </c>
      <c r="H1409" s="9" t="n">
        <v>-27042.2</v>
      </c>
      <c r="I1409" s="16" t="n">
        <v>44716</v>
      </c>
      <c r="J1409" s="16" t="n">
        <v>44716</v>
      </c>
      <c r="K1409" s="5" t="inlineStr">
        <is>
          <t>000000041002</t>
        </is>
      </c>
      <c r="L1409" s="5" t="inlineStr">
        <is>
          <t>403000.INGE</t>
        </is>
      </c>
      <c r="M1409" s="5">
        <f>IF(YEAR(I1409)&lt;=2020,"Até 2020",TEXT(YEAR(I1409),"0"))</f>
        <v/>
      </c>
      <c r="N1409" s="5">
        <f>IFERROR(INDEX(DePara!$A:$A,MATCH(TEXT(B1409,"0"),DePara!$D:$D,0)),"(sem categoria)")</f>
        <v/>
      </c>
      <c r="O1409" s="5">
        <f>IF(J1409="","",Parametros!$B$6-J1409)</f>
        <v/>
      </c>
      <c r="P1409" s="5">
        <f>IF(O1409="","",IF(O1409&gt;0,1,0))</f>
        <v/>
      </c>
    </row>
    <row r="1410">
      <c r="A1410" s="5" t="n">
        <v>2122100000</v>
      </c>
      <c r="B1410" s="5" t="inlineStr">
        <is>
          <t>IC4420</t>
        </is>
      </c>
      <c r="C1410" s="5" t="inlineStr">
        <is>
          <t>NORDEX ENERGY SPAIN S A U</t>
        </is>
      </c>
      <c r="D1410" s="5" t="inlineStr">
        <is>
          <t>UE</t>
        </is>
      </c>
      <c r="E1410" s="5" t="n">
        <v>200005617</v>
      </c>
      <c r="F1410" s="5" t="inlineStr">
        <is>
          <t>4866</t>
        </is>
      </c>
      <c r="G1410" s="5" t="inlineStr">
        <is>
          <t>EUR</t>
        </is>
      </c>
      <c r="H1410" s="9" t="n">
        <v>-14816.12</v>
      </c>
      <c r="I1410" s="16" t="n">
        <v>44727</v>
      </c>
      <c r="J1410" s="16" t="n">
        <v>44727</v>
      </c>
      <c r="K1410" s="5" t="inlineStr">
        <is>
          <t>000000057002</t>
        </is>
      </c>
      <c r="L1410" s="5" t="inlineStr">
        <is>
          <t>403000.INGE</t>
        </is>
      </c>
      <c r="M1410" s="5">
        <f>IF(YEAR(I1410)&lt;=2020,"Até 2020",TEXT(YEAR(I1410),"0"))</f>
        <v/>
      </c>
      <c r="N1410" s="5">
        <f>IFERROR(INDEX(DePara!$A:$A,MATCH(TEXT(B1410,"0"),DePara!$D:$D,0)),"(sem categoria)")</f>
        <v/>
      </c>
      <c r="O1410" s="5">
        <f>IF(J1410="","",Parametros!$B$6-J1410)</f>
        <v/>
      </c>
      <c r="P1410" s="5">
        <f>IF(O1410="","",IF(O1410&gt;0,1,0))</f>
        <v/>
      </c>
    </row>
    <row r="1411">
      <c r="A1411" s="5" t="n">
        <v>2122100000</v>
      </c>
      <c r="B1411" s="5" t="inlineStr">
        <is>
          <t>IC4420</t>
        </is>
      </c>
      <c r="C1411" s="5" t="inlineStr">
        <is>
          <t>NORDEX ENERGY SPAIN S A U</t>
        </is>
      </c>
      <c r="D1411" s="5" t="inlineStr">
        <is>
          <t>UE</t>
        </is>
      </c>
      <c r="E1411" s="5" t="n">
        <v>200005619</v>
      </c>
      <c r="F1411" s="5" t="inlineStr">
        <is>
          <t>4868</t>
        </is>
      </c>
      <c r="G1411" s="5" t="inlineStr">
        <is>
          <t>EUR</t>
        </is>
      </c>
      <c r="H1411" s="9" t="n">
        <v>-2097.06</v>
      </c>
      <c r="I1411" s="16" t="n">
        <v>44798</v>
      </c>
      <c r="J1411" s="16" t="n">
        <v>44798</v>
      </c>
      <c r="K1411" s="5" t="inlineStr">
        <is>
          <t>000002294002</t>
        </is>
      </c>
      <c r="L1411" s="5" t="inlineStr">
        <is>
          <t>403000.INGE</t>
        </is>
      </c>
      <c r="M1411" s="5">
        <f>IF(YEAR(I1411)&lt;=2020,"Até 2020",TEXT(YEAR(I1411),"0"))</f>
        <v/>
      </c>
      <c r="N1411" s="5">
        <f>IFERROR(INDEX(DePara!$A:$A,MATCH(TEXT(B1411,"0"),DePara!$D:$D,0)),"(sem categoria)")</f>
        <v/>
      </c>
      <c r="O1411" s="5">
        <f>IF(J1411="","",Parametros!$B$6-J1411)</f>
        <v/>
      </c>
      <c r="P1411" s="5">
        <f>IF(O1411="","",IF(O1411&gt;0,1,0))</f>
        <v/>
      </c>
    </row>
    <row r="1412">
      <c r="A1412" s="5" t="n">
        <v>2122100000</v>
      </c>
      <c r="B1412" s="5" t="inlineStr">
        <is>
          <t>IC4420</t>
        </is>
      </c>
      <c r="C1412" s="5" t="inlineStr">
        <is>
          <t>NORDEX ENERGY SPAIN S A U</t>
        </is>
      </c>
      <c r="D1412" s="5" t="inlineStr">
        <is>
          <t>UE</t>
        </is>
      </c>
      <c r="E1412" s="5" t="n">
        <v>200005620</v>
      </c>
      <c r="F1412" s="5" t="inlineStr">
        <is>
          <t>4869</t>
        </is>
      </c>
      <c r="G1412" s="5" t="inlineStr">
        <is>
          <t>EUR</t>
        </is>
      </c>
      <c r="H1412" s="9" t="n">
        <v>-39541.5</v>
      </c>
      <c r="I1412" s="16" t="n">
        <v>44798</v>
      </c>
      <c r="J1412" s="16" t="n">
        <v>44798</v>
      </c>
      <c r="K1412" s="5" t="inlineStr">
        <is>
          <t>000002302002</t>
        </is>
      </c>
      <c r="L1412" s="5" t="inlineStr">
        <is>
          <t>403000.INGE</t>
        </is>
      </c>
      <c r="M1412" s="5">
        <f>IF(YEAR(I1412)&lt;=2020,"Até 2020",TEXT(YEAR(I1412),"0"))</f>
        <v/>
      </c>
      <c r="N1412" s="5">
        <f>IFERROR(INDEX(DePara!$A:$A,MATCH(TEXT(B1412,"0"),DePara!$D:$D,0)),"(sem categoria)")</f>
        <v/>
      </c>
      <c r="O1412" s="5">
        <f>IF(J1412="","",Parametros!$B$6-J1412)</f>
        <v/>
      </c>
      <c r="P1412" s="5">
        <f>IF(O1412="","",IF(O1412&gt;0,1,0))</f>
        <v/>
      </c>
    </row>
    <row r="1413">
      <c r="A1413" s="5" t="n">
        <v>2122100000</v>
      </c>
      <c r="B1413" s="5" t="inlineStr">
        <is>
          <t>IC4420</t>
        </is>
      </c>
      <c r="C1413" s="5" t="inlineStr">
        <is>
          <t>NORDEX ENERGY SPAIN S A U</t>
        </is>
      </c>
      <c r="D1413" s="5" t="inlineStr">
        <is>
          <t>UE</t>
        </is>
      </c>
      <c r="E1413" s="5" t="n">
        <v>200005622</v>
      </c>
      <c r="F1413" s="5" t="inlineStr">
        <is>
          <t>4870</t>
        </is>
      </c>
      <c r="G1413" s="5" t="inlineStr">
        <is>
          <t>EUR</t>
        </is>
      </c>
      <c r="H1413" s="9" t="n">
        <v>-36531.06</v>
      </c>
      <c r="I1413" s="16" t="n">
        <v>44718</v>
      </c>
      <c r="J1413" s="16" t="n">
        <v>44718</v>
      </c>
      <c r="K1413" s="5" t="inlineStr">
        <is>
          <t>000000051002</t>
        </is>
      </c>
      <c r="L1413" s="5" t="inlineStr">
        <is>
          <t>403000.INGE</t>
        </is>
      </c>
      <c r="M1413" s="5">
        <f>IF(YEAR(I1413)&lt;=2020,"Até 2020",TEXT(YEAR(I1413),"0"))</f>
        <v/>
      </c>
      <c r="N1413" s="5">
        <f>IFERROR(INDEX(DePara!$A:$A,MATCH(TEXT(B1413,"0"),DePara!$D:$D,0)),"(sem categoria)")</f>
        <v/>
      </c>
      <c r="O1413" s="5">
        <f>IF(J1413="","",Parametros!$B$6-J1413)</f>
        <v/>
      </c>
      <c r="P1413" s="5">
        <f>IF(O1413="","",IF(O1413&gt;0,1,0))</f>
        <v/>
      </c>
    </row>
    <row r="1414">
      <c r="A1414" s="5" t="n">
        <v>2122100000</v>
      </c>
      <c r="B1414" s="5" t="inlineStr">
        <is>
          <t>IC4420</t>
        </is>
      </c>
      <c r="C1414" s="5" t="inlineStr">
        <is>
          <t>NORDEX ENERGY SPAIN S A U</t>
        </is>
      </c>
      <c r="D1414" s="5" t="inlineStr">
        <is>
          <t>UE</t>
        </is>
      </c>
      <c r="E1414" s="5" t="n">
        <v>200005623</v>
      </c>
      <c r="F1414" s="5" t="inlineStr">
        <is>
          <t>4871</t>
        </is>
      </c>
      <c r="G1414" s="5" t="inlineStr">
        <is>
          <t>EUR</t>
        </is>
      </c>
      <c r="H1414" s="9" t="n">
        <v>-26747.52</v>
      </c>
      <c r="I1414" s="16" t="n">
        <v>44732</v>
      </c>
      <c r="J1414" s="16" t="n">
        <v>44732</v>
      </c>
      <c r="K1414" s="5" t="inlineStr">
        <is>
          <t>000000059002</t>
        </is>
      </c>
      <c r="L1414" s="5" t="inlineStr">
        <is>
          <t>403000.INGE</t>
        </is>
      </c>
      <c r="M1414" s="5">
        <f>IF(YEAR(I1414)&lt;=2020,"Até 2020",TEXT(YEAR(I1414),"0"))</f>
        <v/>
      </c>
      <c r="N1414" s="5">
        <f>IFERROR(INDEX(DePara!$A:$A,MATCH(TEXT(B1414,"0"),DePara!$D:$D,0)),"(sem categoria)")</f>
        <v/>
      </c>
      <c r="O1414" s="5">
        <f>IF(J1414="","",Parametros!$B$6-J1414)</f>
        <v/>
      </c>
      <c r="P1414" s="5">
        <f>IF(O1414="","",IF(O1414&gt;0,1,0))</f>
        <v/>
      </c>
    </row>
    <row r="1415">
      <c r="A1415" s="5" t="n">
        <v>2122100000</v>
      </c>
      <c r="B1415" s="5" t="inlineStr">
        <is>
          <t>IC4420</t>
        </is>
      </c>
      <c r="C1415" s="5" t="inlineStr">
        <is>
          <t>NORDEX ENERGY SPAIN S A U</t>
        </is>
      </c>
      <c r="D1415" s="5" t="inlineStr">
        <is>
          <t>UE</t>
        </is>
      </c>
      <c r="E1415" s="5" t="n">
        <v>200005669</v>
      </c>
      <c r="F1415" s="5" t="inlineStr">
        <is>
          <t>4912</t>
        </is>
      </c>
      <c r="G1415" s="5" t="inlineStr">
        <is>
          <t>EUR</t>
        </is>
      </c>
      <c r="H1415" s="9" t="n">
        <v>-28273.39</v>
      </c>
      <c r="I1415" s="16" t="n">
        <v>44893</v>
      </c>
      <c r="J1415" s="16" t="n">
        <v>44893</v>
      </c>
      <c r="K1415" s="5" t="inlineStr">
        <is>
          <t>000000375002</t>
        </is>
      </c>
      <c r="L1415" s="5" t="inlineStr">
        <is>
          <t>403000.INGE</t>
        </is>
      </c>
      <c r="M1415" s="5">
        <f>IF(YEAR(I1415)&lt;=2020,"Até 2020",TEXT(YEAR(I1415),"0"))</f>
        <v/>
      </c>
      <c r="N1415" s="5">
        <f>IFERROR(INDEX(DePara!$A:$A,MATCH(TEXT(B1415,"0"),DePara!$D:$D,0)),"(sem categoria)")</f>
        <v/>
      </c>
      <c r="O1415" s="5">
        <f>IF(J1415="","",Parametros!$B$6-J1415)</f>
        <v/>
      </c>
      <c r="P1415" s="5">
        <f>IF(O1415="","",IF(O1415&gt;0,1,0))</f>
        <v/>
      </c>
    </row>
    <row r="1416">
      <c r="A1416" s="5" t="n">
        <v>2122100000</v>
      </c>
      <c r="B1416" s="5" t="inlineStr">
        <is>
          <t>IC4420</t>
        </is>
      </c>
      <c r="C1416" s="5" t="inlineStr">
        <is>
          <t>NORDEX ENERGY SPAIN S A U</t>
        </is>
      </c>
      <c r="D1416" s="5" t="inlineStr">
        <is>
          <t>UE</t>
        </is>
      </c>
      <c r="E1416" s="5" t="n">
        <v>200005714</v>
      </c>
      <c r="F1416" s="5" t="inlineStr">
        <is>
          <t>4953</t>
        </is>
      </c>
      <c r="G1416" s="5" t="inlineStr">
        <is>
          <t>EUR</t>
        </is>
      </c>
      <c r="H1416" s="9" t="n">
        <v>-112031.63</v>
      </c>
      <c r="I1416" s="16" t="n">
        <v>44928</v>
      </c>
      <c r="J1416" s="16" t="n">
        <v>44928</v>
      </c>
      <c r="K1416" s="5" t="inlineStr">
        <is>
          <t>000000052002</t>
        </is>
      </c>
      <c r="L1416" s="5" t="inlineStr">
        <is>
          <t>intercompany</t>
        </is>
      </c>
      <c r="M1416" s="5">
        <f>IF(YEAR(I1416)&lt;=2020,"Até 2020",TEXT(YEAR(I1416),"0"))</f>
        <v/>
      </c>
      <c r="N1416" s="5">
        <f>IFERROR(INDEX(DePara!$A:$A,MATCH(TEXT(B1416,"0"),DePara!$D:$D,0)),"(sem categoria)")</f>
        <v/>
      </c>
      <c r="O1416" s="5">
        <f>IF(J1416="","",Parametros!$B$6-J1416)</f>
        <v/>
      </c>
      <c r="P1416" s="5">
        <f>IF(O1416="","",IF(O1416&gt;0,1,0))</f>
        <v/>
      </c>
    </row>
    <row r="1417">
      <c r="A1417" s="5" t="n">
        <v>2122100000</v>
      </c>
      <c r="B1417" s="5" t="inlineStr">
        <is>
          <t>IC4420</t>
        </is>
      </c>
      <c r="C1417" s="5" t="inlineStr">
        <is>
          <t>NORDEX ENERGY SPAIN S A U</t>
        </is>
      </c>
      <c r="D1417" s="5" t="inlineStr">
        <is>
          <t>UE</t>
        </is>
      </c>
      <c r="E1417" s="5" t="n">
        <v>200005717</v>
      </c>
      <c r="F1417" s="5" t="inlineStr">
        <is>
          <t>4956</t>
        </is>
      </c>
      <c r="G1417" s="5" t="inlineStr">
        <is>
          <t>EUR</t>
        </is>
      </c>
      <c r="H1417" s="9" t="n">
        <v>-188847.34</v>
      </c>
      <c r="I1417" s="16" t="n">
        <v>44928</v>
      </c>
      <c r="J1417" s="16" t="n">
        <v>44928</v>
      </c>
      <c r="K1417" s="5" t="inlineStr">
        <is>
          <t>000000053002</t>
        </is>
      </c>
      <c r="L1417" s="5" t="inlineStr">
        <is>
          <t>intercompany</t>
        </is>
      </c>
      <c r="M1417" s="5">
        <f>IF(YEAR(I1417)&lt;=2020,"Até 2020",TEXT(YEAR(I1417),"0"))</f>
        <v/>
      </c>
      <c r="N1417" s="5">
        <f>IFERROR(INDEX(DePara!$A:$A,MATCH(TEXT(B1417,"0"),DePara!$D:$D,0)),"(sem categoria)")</f>
        <v/>
      </c>
      <c r="O1417" s="5">
        <f>IF(J1417="","",Parametros!$B$6-J1417)</f>
        <v/>
      </c>
      <c r="P1417" s="5">
        <f>IF(O1417="","",IF(O1417&gt;0,1,0))</f>
        <v/>
      </c>
    </row>
    <row r="1418">
      <c r="A1418" s="5" t="n">
        <v>2122100000</v>
      </c>
      <c r="B1418" s="5" t="inlineStr">
        <is>
          <t>IC4420</t>
        </is>
      </c>
      <c r="C1418" s="5" t="inlineStr">
        <is>
          <t>NORDEX ENERGY SPAIN S A U</t>
        </is>
      </c>
      <c r="D1418" s="5" t="inlineStr">
        <is>
          <t>UE</t>
        </is>
      </c>
      <c r="E1418" s="5" t="n">
        <v>200005756</v>
      </c>
      <c r="F1418" s="5" t="inlineStr">
        <is>
          <t>4991</t>
        </is>
      </c>
      <c r="G1418" s="5" t="inlineStr">
        <is>
          <t>EUR</t>
        </is>
      </c>
      <c r="H1418" s="9" t="n">
        <v>-85617.92999999999</v>
      </c>
      <c r="I1418" s="16" t="n">
        <v>44959</v>
      </c>
      <c r="J1418" s="16" t="n">
        <v>44959</v>
      </c>
      <c r="K1418" s="5" t="inlineStr">
        <is>
          <t>000000434002</t>
        </is>
      </c>
      <c r="L1418" s="5" t="inlineStr">
        <is>
          <t>403000.INGE</t>
        </is>
      </c>
      <c r="M1418" s="5">
        <f>IF(YEAR(I1418)&lt;=2020,"Até 2020",TEXT(YEAR(I1418),"0"))</f>
        <v/>
      </c>
      <c r="N1418" s="5">
        <f>IFERROR(INDEX(DePara!$A:$A,MATCH(TEXT(B1418,"0"),DePara!$D:$D,0)),"(sem categoria)")</f>
        <v/>
      </c>
      <c r="O1418" s="5">
        <f>IF(J1418="","",Parametros!$B$6-J1418)</f>
        <v/>
      </c>
      <c r="P1418" s="5">
        <f>IF(O1418="","",IF(O1418&gt;0,1,0))</f>
        <v/>
      </c>
    </row>
    <row r="1419">
      <c r="A1419" s="5" t="n">
        <v>2122100000</v>
      </c>
      <c r="B1419" s="5" t="inlineStr">
        <is>
          <t>IC4420</t>
        </is>
      </c>
      <c r="C1419" s="5" t="inlineStr">
        <is>
          <t>NORDEX ENERGY SPAIN S A U</t>
        </is>
      </c>
      <c r="D1419" s="5" t="inlineStr">
        <is>
          <t>UE</t>
        </is>
      </c>
      <c r="E1419" s="5" t="n">
        <v>200005782</v>
      </c>
      <c r="F1419" s="5" t="inlineStr">
        <is>
          <t>5013</t>
        </is>
      </c>
      <c r="G1419" s="5" t="inlineStr">
        <is>
          <t>EUR</t>
        </is>
      </c>
      <c r="H1419" s="9" t="n">
        <v>-148385.11</v>
      </c>
      <c r="I1419" s="16" t="n">
        <v>44970</v>
      </c>
      <c r="J1419" s="16" t="n">
        <v>44970</v>
      </c>
      <c r="K1419" s="5" t="inlineStr">
        <is>
          <t>000000051002</t>
        </is>
      </c>
      <c r="L1419" s="5" t="inlineStr">
        <is>
          <t>403000.INGE</t>
        </is>
      </c>
      <c r="M1419" s="5">
        <f>IF(YEAR(I1419)&lt;=2020,"Até 2020",TEXT(YEAR(I1419),"0"))</f>
        <v/>
      </c>
      <c r="N1419" s="5">
        <f>IFERROR(INDEX(DePara!$A:$A,MATCH(TEXT(B1419,"0"),DePara!$D:$D,0)),"(sem categoria)")</f>
        <v/>
      </c>
      <c r="O1419" s="5">
        <f>IF(J1419="","",Parametros!$B$6-J1419)</f>
        <v/>
      </c>
      <c r="P1419" s="5">
        <f>IF(O1419="","",IF(O1419&gt;0,1,0))</f>
        <v/>
      </c>
    </row>
    <row r="1420">
      <c r="A1420" s="5" t="n">
        <v>2122100000</v>
      </c>
      <c r="B1420" s="5" t="inlineStr">
        <is>
          <t>IC4420</t>
        </is>
      </c>
      <c r="C1420" s="5" t="inlineStr">
        <is>
          <t>NORDEX ENERGY SPAIN S A U</t>
        </is>
      </c>
      <c r="D1420" s="5" t="inlineStr">
        <is>
          <t>UE</t>
        </is>
      </c>
      <c r="E1420" s="5" t="n">
        <v>200005831</v>
      </c>
      <c r="F1420" s="5" t="inlineStr">
        <is>
          <t>5058</t>
        </is>
      </c>
      <c r="G1420" s="5" t="inlineStr">
        <is>
          <t>EUR</t>
        </is>
      </c>
      <c r="H1420" s="9" t="n">
        <v>-462834.68</v>
      </c>
      <c r="I1420" s="16" t="n">
        <v>45035</v>
      </c>
      <c r="J1420" s="16" t="n">
        <v>45035</v>
      </c>
      <c r="K1420" s="5" t="inlineStr">
        <is>
          <t>000000042004</t>
        </is>
      </c>
      <c r="L1420" s="5" t="inlineStr">
        <is>
          <t>403000.INGE</t>
        </is>
      </c>
      <c r="M1420" s="5">
        <f>IF(YEAR(I1420)&lt;=2020,"Até 2020",TEXT(YEAR(I1420),"0"))</f>
        <v/>
      </c>
      <c r="N1420" s="5">
        <f>IFERROR(INDEX(DePara!$A:$A,MATCH(TEXT(B1420,"0"),DePara!$D:$D,0)),"(sem categoria)")</f>
        <v/>
      </c>
      <c r="O1420" s="5">
        <f>IF(J1420="","",Parametros!$B$6-J1420)</f>
        <v/>
      </c>
      <c r="P1420" s="5">
        <f>IF(O1420="","",IF(O1420&gt;0,1,0))</f>
        <v/>
      </c>
    </row>
    <row r="1421">
      <c r="A1421" s="5" t="n">
        <v>2122100000</v>
      </c>
      <c r="B1421" s="5" t="inlineStr">
        <is>
          <t>IC5000</t>
        </is>
      </c>
      <c r="C1421" s="5" t="inlineStr">
        <is>
          <t>NORDEX SE</t>
        </is>
      </c>
      <c r="D1421" s="5" t="inlineStr">
        <is>
          <t>UE</t>
        </is>
      </c>
      <c r="E1421" s="5" t="n">
        <v>200009427</v>
      </c>
      <c r="F1421" s="5" t="inlineStr">
        <is>
          <t>1977</t>
        </is>
      </c>
      <c r="G1421" s="5" t="inlineStr">
        <is>
          <t>EUR</t>
        </is>
      </c>
      <c r="H1421" s="9" t="n">
        <v>-1503146.44</v>
      </c>
      <c r="I1421" s="16" t="n">
        <v>43371</v>
      </c>
      <c r="J1421" s="16" t="n">
        <v>43371</v>
      </c>
      <c r="K1421" s="5" t="inlineStr">
        <is>
          <t>603184</t>
        </is>
      </c>
      <c r="L1421" s="5" t="inlineStr">
        <is>
          <t>403000.NORDEXMF</t>
        </is>
      </c>
      <c r="M1421" s="5">
        <f>IF(YEAR(I1421)&lt;=2020,"Até 2020",TEXT(YEAR(I1421),"0"))</f>
        <v/>
      </c>
      <c r="N1421" s="5">
        <f>IFERROR(INDEX(DePara!$A:$A,MATCH(TEXT(B1421,"0"),DePara!$D:$D,0)),"(sem categoria)")</f>
        <v/>
      </c>
      <c r="O1421" s="5">
        <f>IF(J1421="","",Parametros!$B$6-J1421)</f>
        <v/>
      </c>
      <c r="P1421" s="5">
        <f>IF(O1421="","",IF(O1421&gt;0,1,0))</f>
        <v/>
      </c>
    </row>
    <row r="1422">
      <c r="A1422" s="5" t="n">
        <v>2122100000</v>
      </c>
      <c r="B1422" s="5" t="inlineStr">
        <is>
          <t>IC5000</t>
        </is>
      </c>
      <c r="C1422" s="5" t="inlineStr">
        <is>
          <t>NORDEX SE</t>
        </is>
      </c>
      <c r="D1422" s="5" t="inlineStr">
        <is>
          <t>UE</t>
        </is>
      </c>
      <c r="E1422" s="5" t="n">
        <v>200009428</v>
      </c>
      <c r="F1422" s="5" t="inlineStr">
        <is>
          <t>1978</t>
        </is>
      </c>
      <c r="G1422" s="5" t="inlineStr">
        <is>
          <t>EUR</t>
        </is>
      </c>
      <c r="H1422" s="9" t="n">
        <v>-741888.9</v>
      </c>
      <c r="I1422" s="16" t="n">
        <v>43281</v>
      </c>
      <c r="J1422" s="16" t="n">
        <v>43281</v>
      </c>
      <c r="K1422" s="5" t="inlineStr">
        <is>
          <t>603009</t>
        </is>
      </c>
      <c r="L1422" s="5" t="inlineStr">
        <is>
          <t>403000.NORDEXMF</t>
        </is>
      </c>
      <c r="M1422" s="5">
        <f>IF(YEAR(I1422)&lt;=2020,"Até 2020",TEXT(YEAR(I1422),"0"))</f>
        <v/>
      </c>
      <c r="N1422" s="5">
        <f>IFERROR(INDEX(DePara!$A:$A,MATCH(TEXT(B1422,"0"),DePara!$D:$D,0)),"(sem categoria)")</f>
        <v/>
      </c>
      <c r="O1422" s="5">
        <f>IF(J1422="","",Parametros!$B$6-J1422)</f>
        <v/>
      </c>
      <c r="P1422" s="5">
        <f>IF(O1422="","",IF(O1422&gt;0,1,0))</f>
        <v/>
      </c>
    </row>
    <row r="1423">
      <c r="A1423" s="5" t="n">
        <v>2122100000</v>
      </c>
      <c r="B1423" s="5" t="inlineStr">
        <is>
          <t>IC5000</t>
        </is>
      </c>
      <c r="C1423" s="5" t="inlineStr">
        <is>
          <t>NORDEX SE</t>
        </is>
      </c>
      <c r="D1423" s="5" t="inlineStr">
        <is>
          <t>UE</t>
        </is>
      </c>
      <c r="E1423" s="5" t="n">
        <v>200009429</v>
      </c>
      <c r="F1423" s="5" t="inlineStr">
        <is>
          <t>1979</t>
        </is>
      </c>
      <c r="G1423" s="5" t="inlineStr">
        <is>
          <t>EUR</t>
        </is>
      </c>
      <c r="H1423" s="9" t="n">
        <v>-542179.6800000001</v>
      </c>
      <c r="I1423" s="16" t="n">
        <v>43190</v>
      </c>
      <c r="J1423" s="16" t="n">
        <v>43190</v>
      </c>
      <c r="K1423" s="5" t="inlineStr">
        <is>
          <t>602940</t>
        </is>
      </c>
      <c r="L1423" s="5" t="inlineStr">
        <is>
          <t>403000.NORDEXMF</t>
        </is>
      </c>
      <c r="M1423" s="5">
        <f>IF(YEAR(I1423)&lt;=2020,"Até 2020",TEXT(YEAR(I1423),"0"))</f>
        <v/>
      </c>
      <c r="N1423" s="5">
        <f>IFERROR(INDEX(DePara!$A:$A,MATCH(TEXT(B1423,"0"),DePara!$D:$D,0)),"(sem categoria)")</f>
        <v/>
      </c>
      <c r="O1423" s="5">
        <f>IF(J1423="","",Parametros!$B$6-J1423)</f>
        <v/>
      </c>
      <c r="P1423" s="5">
        <f>IF(O1423="","",IF(O1423&gt;0,1,0))</f>
        <v/>
      </c>
    </row>
    <row r="1424">
      <c r="A1424" s="5" t="n">
        <v>2122100000</v>
      </c>
      <c r="B1424" s="5" t="inlineStr">
        <is>
          <t>IC5000</t>
        </is>
      </c>
      <c r="C1424" s="5" t="inlineStr">
        <is>
          <t>NORDEX SE</t>
        </is>
      </c>
      <c r="D1424" s="5" t="inlineStr">
        <is>
          <t>UE</t>
        </is>
      </c>
      <c r="E1424" s="5" t="n">
        <v>200009431</v>
      </c>
      <c r="F1424" s="5" t="inlineStr">
        <is>
          <t>1980</t>
        </is>
      </c>
      <c r="G1424" s="5" t="inlineStr">
        <is>
          <t>EUR</t>
        </is>
      </c>
      <c r="H1424" s="9" t="n">
        <v>-5674771.03</v>
      </c>
      <c r="I1424" s="16" t="n">
        <v>43465</v>
      </c>
      <c r="J1424" s="16" t="n">
        <v>43465</v>
      </c>
      <c r="K1424" s="5" t="inlineStr">
        <is>
          <t>603416</t>
        </is>
      </c>
      <c r="L1424" s="5" t="inlineStr">
        <is>
          <t>403000.NORDEXMF</t>
        </is>
      </c>
      <c r="M1424" s="5">
        <f>IF(YEAR(I1424)&lt;=2020,"Até 2020",TEXT(YEAR(I1424),"0"))</f>
        <v/>
      </c>
      <c r="N1424" s="5">
        <f>IFERROR(INDEX(DePara!$A:$A,MATCH(TEXT(B1424,"0"),DePara!$D:$D,0)),"(sem categoria)")</f>
        <v/>
      </c>
      <c r="O1424" s="5">
        <f>IF(J1424="","",Parametros!$B$6-J1424)</f>
        <v/>
      </c>
      <c r="P1424" s="5">
        <f>IF(O1424="","",IF(O1424&gt;0,1,0))</f>
        <v/>
      </c>
    </row>
    <row r="1425">
      <c r="A1425" s="5" t="n">
        <v>2122100000</v>
      </c>
      <c r="B1425" s="5" t="inlineStr">
        <is>
          <t>IC5000</t>
        </is>
      </c>
      <c r="C1425" s="5" t="inlineStr">
        <is>
          <t>NORDEX SE</t>
        </is>
      </c>
      <c r="D1425" s="5" t="inlineStr">
        <is>
          <t>UE</t>
        </is>
      </c>
      <c r="E1425" s="5" t="n">
        <v>200009432</v>
      </c>
      <c r="F1425" s="5" t="inlineStr">
        <is>
          <t>1981</t>
        </is>
      </c>
      <c r="G1425" s="5" t="inlineStr">
        <is>
          <t>EUR</t>
        </is>
      </c>
      <c r="H1425" s="9" t="n">
        <v>-7526272.31</v>
      </c>
      <c r="I1425" s="16" t="n">
        <v>43546</v>
      </c>
      <c r="J1425" s="16" t="n">
        <v>43546</v>
      </c>
      <c r="K1425" s="5" t="inlineStr">
        <is>
          <t>603594</t>
        </is>
      </c>
      <c r="L1425" s="5" t="inlineStr">
        <is>
          <t>403000.NORDEXMF</t>
        </is>
      </c>
      <c r="M1425" s="5">
        <f>IF(YEAR(I1425)&lt;=2020,"Até 2020",TEXT(YEAR(I1425),"0"))</f>
        <v/>
      </c>
      <c r="N1425" s="5">
        <f>IFERROR(INDEX(DePara!$A:$A,MATCH(TEXT(B1425,"0"),DePara!$D:$D,0)),"(sem categoria)")</f>
        <v/>
      </c>
      <c r="O1425" s="5">
        <f>IF(J1425="","",Parametros!$B$6-J1425)</f>
        <v/>
      </c>
      <c r="P1425" s="5">
        <f>IF(O1425="","",IF(O1425&gt;0,1,0))</f>
        <v/>
      </c>
    </row>
    <row r="1426">
      <c r="A1426" s="5" t="n">
        <v>2122100000</v>
      </c>
      <c r="B1426" s="5" t="inlineStr">
        <is>
          <t>IC5000</t>
        </is>
      </c>
      <c r="C1426" s="5" t="inlineStr">
        <is>
          <t>NORDEX SE</t>
        </is>
      </c>
      <c r="D1426" s="5" t="inlineStr">
        <is>
          <t>UE</t>
        </is>
      </c>
      <c r="E1426" s="5" t="n">
        <v>200009433</v>
      </c>
      <c r="F1426" s="5" t="inlineStr">
        <is>
          <t>1982</t>
        </is>
      </c>
      <c r="G1426" s="5" t="inlineStr">
        <is>
          <t>EUR</t>
        </is>
      </c>
      <c r="H1426" s="9" t="n">
        <v>-760379.37</v>
      </c>
      <c r="I1426" s="16" t="n">
        <v>43555</v>
      </c>
      <c r="J1426" s="16" t="n">
        <v>43555</v>
      </c>
      <c r="K1426" s="5" t="inlineStr">
        <is>
          <t>603547</t>
        </is>
      </c>
      <c r="L1426" s="5" t="inlineStr">
        <is>
          <t>403000.NORDEXMF</t>
        </is>
      </c>
      <c r="M1426" s="5">
        <f>IF(YEAR(I1426)&lt;=2020,"Até 2020",TEXT(YEAR(I1426),"0"))</f>
        <v/>
      </c>
      <c r="N1426" s="5">
        <f>IFERROR(INDEX(DePara!$A:$A,MATCH(TEXT(B1426,"0"),DePara!$D:$D,0)),"(sem categoria)")</f>
        <v/>
      </c>
      <c r="O1426" s="5">
        <f>IF(J1426="","",Parametros!$B$6-J1426)</f>
        <v/>
      </c>
      <c r="P1426" s="5">
        <f>IF(O1426="","",IF(O1426&gt;0,1,0))</f>
        <v/>
      </c>
    </row>
    <row r="1427">
      <c r="A1427" s="5" t="n">
        <v>2122100000</v>
      </c>
      <c r="B1427" s="5" t="inlineStr">
        <is>
          <t>IC5000</t>
        </is>
      </c>
      <c r="C1427" s="5" t="inlineStr">
        <is>
          <t>NORDEX SE</t>
        </is>
      </c>
      <c r="D1427" s="5" t="inlineStr">
        <is>
          <t>UE</t>
        </is>
      </c>
      <c r="E1427" s="5" t="n">
        <v>200009434</v>
      </c>
      <c r="F1427" s="5" t="inlineStr">
        <is>
          <t>1983</t>
        </is>
      </c>
      <c r="G1427" s="5" t="inlineStr">
        <is>
          <t>EUR</t>
        </is>
      </c>
      <c r="H1427" s="9" t="n">
        <v>-4733684.82</v>
      </c>
      <c r="I1427" s="16" t="n">
        <v>43634</v>
      </c>
      <c r="J1427" s="16" t="n">
        <v>43634</v>
      </c>
      <c r="K1427" s="5" t="inlineStr">
        <is>
          <t>603630</t>
        </is>
      </c>
      <c r="L1427" s="5" t="inlineStr">
        <is>
          <t>403000.NORDEXMF</t>
        </is>
      </c>
      <c r="M1427" s="5">
        <f>IF(YEAR(I1427)&lt;=2020,"Até 2020",TEXT(YEAR(I1427),"0"))</f>
        <v/>
      </c>
      <c r="N1427" s="5">
        <f>IFERROR(INDEX(DePara!$A:$A,MATCH(TEXT(B1427,"0"),DePara!$D:$D,0)),"(sem categoria)")</f>
        <v/>
      </c>
      <c r="O1427" s="5">
        <f>IF(J1427="","",Parametros!$B$6-J1427)</f>
        <v/>
      </c>
      <c r="P1427" s="5">
        <f>IF(O1427="","",IF(O1427&gt;0,1,0))</f>
        <v/>
      </c>
    </row>
    <row r="1428">
      <c r="A1428" s="5" t="n">
        <v>2122100000</v>
      </c>
      <c r="B1428" s="5" t="inlineStr">
        <is>
          <t>IC5000</t>
        </is>
      </c>
      <c r="C1428" s="5" t="inlineStr">
        <is>
          <t>NORDEX SE</t>
        </is>
      </c>
      <c r="D1428" s="5" t="inlineStr">
        <is>
          <t>UE</t>
        </is>
      </c>
      <c r="E1428" s="5" t="n">
        <v>200009435</v>
      </c>
      <c r="F1428" s="5" t="inlineStr">
        <is>
          <t>1984</t>
        </is>
      </c>
      <c r="G1428" s="5" t="inlineStr">
        <is>
          <t>EUR</t>
        </is>
      </c>
      <c r="H1428" s="9" t="n">
        <v>-829260.85</v>
      </c>
      <c r="I1428" s="16" t="n">
        <v>43646</v>
      </c>
      <c r="J1428" s="16" t="n">
        <v>43646</v>
      </c>
      <c r="K1428" s="5" t="inlineStr">
        <is>
          <t>603678</t>
        </is>
      </c>
      <c r="L1428" s="5" t="inlineStr">
        <is>
          <t>403000.NORDEXMF</t>
        </is>
      </c>
      <c r="M1428" s="5">
        <f>IF(YEAR(I1428)&lt;=2020,"Até 2020",TEXT(YEAR(I1428),"0"))</f>
        <v/>
      </c>
      <c r="N1428" s="5">
        <f>IFERROR(INDEX(DePara!$A:$A,MATCH(TEXT(B1428,"0"),DePara!$D:$D,0)),"(sem categoria)")</f>
        <v/>
      </c>
      <c r="O1428" s="5">
        <f>IF(J1428="","",Parametros!$B$6-J1428)</f>
        <v/>
      </c>
      <c r="P1428" s="5">
        <f>IF(O1428="","",IF(O1428&gt;0,1,0))</f>
        <v/>
      </c>
    </row>
    <row r="1429">
      <c r="A1429" s="5" t="n">
        <v>2122100000</v>
      </c>
      <c r="B1429" s="5" t="inlineStr">
        <is>
          <t>IC5000</t>
        </is>
      </c>
      <c r="C1429" s="5" t="inlineStr">
        <is>
          <t>NORDEX SE</t>
        </is>
      </c>
      <c r="D1429" s="5" t="inlineStr">
        <is>
          <t>UE</t>
        </is>
      </c>
      <c r="E1429" s="5" t="n">
        <v>200009436</v>
      </c>
      <c r="F1429" s="5" t="inlineStr">
        <is>
          <t>1985</t>
        </is>
      </c>
      <c r="G1429" s="5" t="inlineStr">
        <is>
          <t>EUR</t>
        </is>
      </c>
      <c r="H1429" s="9" t="n">
        <v>-4703310.89</v>
      </c>
      <c r="I1429" s="16" t="n">
        <v>43727</v>
      </c>
      <c r="J1429" s="16" t="n">
        <v>43727</v>
      </c>
      <c r="K1429" s="5" t="inlineStr">
        <is>
          <t>603808</t>
        </is>
      </c>
      <c r="L1429" s="5" t="inlineStr">
        <is>
          <t>403000.NORDEXMF</t>
        </is>
      </c>
      <c r="M1429" s="5">
        <f>IF(YEAR(I1429)&lt;=2020,"Até 2020",TEXT(YEAR(I1429),"0"))</f>
        <v/>
      </c>
      <c r="N1429" s="5">
        <f>IFERROR(INDEX(DePara!$A:$A,MATCH(TEXT(B1429,"0"),DePara!$D:$D,0)),"(sem categoria)")</f>
        <v/>
      </c>
      <c r="O1429" s="5">
        <f>IF(J1429="","",Parametros!$B$6-J1429)</f>
        <v/>
      </c>
      <c r="P1429" s="5">
        <f>IF(O1429="","",IF(O1429&gt;0,1,0))</f>
        <v/>
      </c>
    </row>
    <row r="1430">
      <c r="A1430" s="5" t="n">
        <v>2122100000</v>
      </c>
      <c r="B1430" s="5" t="inlineStr">
        <is>
          <t>IC5000</t>
        </is>
      </c>
      <c r="C1430" s="5" t="inlineStr">
        <is>
          <t>NORDEX SE</t>
        </is>
      </c>
      <c r="D1430" s="5" t="inlineStr">
        <is>
          <t>UE</t>
        </is>
      </c>
      <c r="E1430" s="5" t="n">
        <v>200009437</v>
      </c>
      <c r="F1430" s="5" t="inlineStr">
        <is>
          <t>1986</t>
        </is>
      </c>
      <c r="G1430" s="5" t="inlineStr">
        <is>
          <t>EUR</t>
        </is>
      </c>
      <c r="H1430" s="9" t="n">
        <v>-887215.84</v>
      </c>
      <c r="I1430" s="16" t="n">
        <v>43738</v>
      </c>
      <c r="J1430" s="16" t="n">
        <v>43738</v>
      </c>
      <c r="K1430" s="5" t="inlineStr">
        <is>
          <t>603881</t>
        </is>
      </c>
      <c r="L1430" s="5" t="inlineStr">
        <is>
          <t>403000.NORDEXMF</t>
        </is>
      </c>
      <c r="M1430" s="5">
        <f>IF(YEAR(I1430)&lt;=2020,"Até 2020",TEXT(YEAR(I1430),"0"))</f>
        <v/>
      </c>
      <c r="N1430" s="5">
        <f>IFERROR(INDEX(DePara!$A:$A,MATCH(TEXT(B1430,"0"),DePara!$D:$D,0)),"(sem categoria)")</f>
        <v/>
      </c>
      <c r="O1430" s="5">
        <f>IF(J1430="","",Parametros!$B$6-J1430)</f>
        <v/>
      </c>
      <c r="P1430" s="5">
        <f>IF(O1430="","",IF(O1430&gt;0,1,0))</f>
        <v/>
      </c>
    </row>
    <row r="1431">
      <c r="A1431" s="5" t="n">
        <v>2122100000</v>
      </c>
      <c r="B1431" s="5" t="inlineStr">
        <is>
          <t>IC5000</t>
        </is>
      </c>
      <c r="C1431" s="5" t="inlineStr">
        <is>
          <t>NORDEX SE</t>
        </is>
      </c>
      <c r="D1431" s="5" t="inlineStr">
        <is>
          <t>UE</t>
        </is>
      </c>
      <c r="E1431" s="5" t="n">
        <v>200009438</v>
      </c>
      <c r="F1431" s="5" t="inlineStr">
        <is>
          <t>1987</t>
        </is>
      </c>
      <c r="G1431" s="5" t="inlineStr">
        <is>
          <t>EUR</t>
        </is>
      </c>
      <c r="H1431" s="9" t="n">
        <v>-1010763.26</v>
      </c>
      <c r="I1431" s="16" t="n">
        <v>43830</v>
      </c>
      <c r="J1431" s="16" t="n">
        <v>43830</v>
      </c>
      <c r="K1431" s="5" t="inlineStr">
        <is>
          <t>603994</t>
        </is>
      </c>
      <c r="L1431" s="5" t="inlineStr">
        <is>
          <t>403000.NORDEXMF</t>
        </is>
      </c>
      <c r="M1431" s="5">
        <f>IF(YEAR(I1431)&lt;=2020,"Até 2020",TEXT(YEAR(I1431),"0"))</f>
        <v/>
      </c>
      <c r="N1431" s="5">
        <f>IFERROR(INDEX(DePara!$A:$A,MATCH(TEXT(B1431,"0"),DePara!$D:$D,0)),"(sem categoria)")</f>
        <v/>
      </c>
      <c r="O1431" s="5">
        <f>IF(J1431="","",Parametros!$B$6-J1431)</f>
        <v/>
      </c>
      <c r="P1431" s="5">
        <f>IF(O1431="","",IF(O1431&gt;0,1,0))</f>
        <v/>
      </c>
    </row>
    <row r="1432">
      <c r="A1432" s="5" t="n">
        <v>2122100000</v>
      </c>
      <c r="B1432" s="5" t="inlineStr">
        <is>
          <t>IC5000</t>
        </is>
      </c>
      <c r="C1432" s="5" t="inlineStr">
        <is>
          <t>NORDEX SE</t>
        </is>
      </c>
      <c r="D1432" s="5" t="inlineStr">
        <is>
          <t>UE</t>
        </is>
      </c>
      <c r="E1432" s="5" t="n">
        <v>200009439</v>
      </c>
      <c r="F1432" s="5" t="inlineStr">
        <is>
          <t>1988</t>
        </is>
      </c>
      <c r="G1432" s="5" t="inlineStr">
        <is>
          <t>EUR</t>
        </is>
      </c>
      <c r="H1432" s="9" t="n">
        <v>-1772464.02</v>
      </c>
      <c r="I1432" s="16" t="n">
        <v>43900</v>
      </c>
      <c r="J1432" s="16" t="n">
        <v>43900</v>
      </c>
      <c r="K1432" s="5" t="inlineStr">
        <is>
          <t>604211</t>
        </is>
      </c>
      <c r="L1432" s="5" t="inlineStr">
        <is>
          <t>403000.NORDEXMF</t>
        </is>
      </c>
      <c r="M1432" s="5">
        <f>IF(YEAR(I1432)&lt;=2020,"Até 2020",TEXT(YEAR(I1432),"0"))</f>
        <v/>
      </c>
      <c r="N1432" s="5">
        <f>IFERROR(INDEX(DePara!$A:$A,MATCH(TEXT(B1432,"0"),DePara!$D:$D,0)),"(sem categoria)")</f>
        <v/>
      </c>
      <c r="O1432" s="5">
        <f>IF(J1432="","",Parametros!$B$6-J1432)</f>
        <v/>
      </c>
      <c r="P1432" s="5">
        <f>IF(O1432="","",IF(O1432&gt;0,1,0))</f>
        <v/>
      </c>
    </row>
    <row r="1433">
      <c r="A1433" s="5" t="n">
        <v>2122100000</v>
      </c>
      <c r="B1433" s="5" t="inlineStr">
        <is>
          <t>IC5000</t>
        </is>
      </c>
      <c r="C1433" s="5" t="inlineStr">
        <is>
          <t>NORDEX SE</t>
        </is>
      </c>
      <c r="D1433" s="5" t="inlineStr">
        <is>
          <t>UE</t>
        </is>
      </c>
      <c r="E1433" s="5" t="n">
        <v>200009440</v>
      </c>
      <c r="F1433" s="5" t="inlineStr">
        <is>
          <t>1989</t>
        </is>
      </c>
      <c r="G1433" s="5" t="inlineStr">
        <is>
          <t>EUR</t>
        </is>
      </c>
      <c r="H1433" s="9" t="n">
        <v>-1282286.81</v>
      </c>
      <c r="I1433" s="16" t="n">
        <v>43921</v>
      </c>
      <c r="J1433" s="16" t="n">
        <v>43921</v>
      </c>
      <c r="K1433" s="5" t="inlineStr">
        <is>
          <t>604306</t>
        </is>
      </c>
      <c r="L1433" s="5" t="inlineStr">
        <is>
          <t>403000.NORDEXMF</t>
        </is>
      </c>
      <c r="M1433" s="5">
        <f>IF(YEAR(I1433)&lt;=2020,"Até 2020",TEXT(YEAR(I1433),"0"))</f>
        <v/>
      </c>
      <c r="N1433" s="5">
        <f>IFERROR(INDEX(DePara!$A:$A,MATCH(TEXT(B1433,"0"),DePara!$D:$D,0)),"(sem categoria)")</f>
        <v/>
      </c>
      <c r="O1433" s="5">
        <f>IF(J1433="","",Parametros!$B$6-J1433)</f>
        <v/>
      </c>
      <c r="P1433" s="5">
        <f>IF(O1433="","",IF(O1433&gt;0,1,0))</f>
        <v/>
      </c>
    </row>
    <row r="1434">
      <c r="A1434" s="5" t="n">
        <v>2122100000</v>
      </c>
      <c r="B1434" s="5" t="inlineStr">
        <is>
          <t>IC5000</t>
        </is>
      </c>
      <c r="C1434" s="5" t="inlineStr">
        <is>
          <t>NORDEX SE</t>
        </is>
      </c>
      <c r="D1434" s="5" t="inlineStr">
        <is>
          <t>UE</t>
        </is>
      </c>
      <c r="E1434" s="5" t="n">
        <v>200009442</v>
      </c>
      <c r="F1434" s="5" t="inlineStr">
        <is>
          <t>1990</t>
        </is>
      </c>
      <c r="G1434" s="5" t="inlineStr">
        <is>
          <t>EUR</t>
        </is>
      </c>
      <c r="H1434" s="9" t="n">
        <v>-4676485.79</v>
      </c>
      <c r="I1434" s="16" t="n">
        <v>44001</v>
      </c>
      <c r="J1434" s="16" t="n">
        <v>44001</v>
      </c>
      <c r="K1434" s="5" t="inlineStr">
        <is>
          <t>604422</t>
        </is>
      </c>
      <c r="L1434" s="5" t="inlineStr">
        <is>
          <t>403000.NORDEXMF</t>
        </is>
      </c>
      <c r="M1434" s="5">
        <f>IF(YEAR(I1434)&lt;=2020,"Até 2020",TEXT(YEAR(I1434),"0"))</f>
        <v/>
      </c>
      <c r="N1434" s="5">
        <f>IFERROR(INDEX(DePara!$A:$A,MATCH(TEXT(B1434,"0"),DePara!$D:$D,0)),"(sem categoria)")</f>
        <v/>
      </c>
      <c r="O1434" s="5">
        <f>IF(J1434="","",Parametros!$B$6-J1434)</f>
        <v/>
      </c>
      <c r="P1434" s="5">
        <f>IF(O1434="","",IF(O1434&gt;0,1,0))</f>
        <v/>
      </c>
    </row>
    <row r="1435">
      <c r="A1435" s="5" t="n">
        <v>2122100000</v>
      </c>
      <c r="B1435" s="5" t="inlineStr">
        <is>
          <t>IC5000</t>
        </is>
      </c>
      <c r="C1435" s="5" t="inlineStr">
        <is>
          <t>NORDEX SE</t>
        </is>
      </c>
      <c r="D1435" s="5" t="inlineStr">
        <is>
          <t>UE</t>
        </is>
      </c>
      <c r="E1435" s="5" t="n">
        <v>200009443</v>
      </c>
      <c r="F1435" s="5" t="inlineStr">
        <is>
          <t>1991</t>
        </is>
      </c>
      <c r="G1435" s="5" t="inlineStr">
        <is>
          <t>EUR</t>
        </is>
      </c>
      <c r="H1435" s="9" t="n">
        <v>-1323905.37</v>
      </c>
      <c r="I1435" s="16" t="n">
        <v>44012</v>
      </c>
      <c r="J1435" s="16" t="n">
        <v>44012</v>
      </c>
      <c r="K1435" s="5" t="inlineStr">
        <is>
          <t>604606</t>
        </is>
      </c>
      <c r="L1435" s="5" t="inlineStr">
        <is>
          <t>403000.NORDEXMF</t>
        </is>
      </c>
      <c r="M1435" s="5">
        <f>IF(YEAR(I1435)&lt;=2020,"Até 2020",TEXT(YEAR(I1435),"0"))</f>
        <v/>
      </c>
      <c r="N1435" s="5">
        <f>IFERROR(INDEX(DePara!$A:$A,MATCH(TEXT(B1435,"0"),DePara!$D:$D,0)),"(sem categoria)")</f>
        <v/>
      </c>
      <c r="O1435" s="5">
        <f>IF(J1435="","",Parametros!$B$6-J1435)</f>
        <v/>
      </c>
      <c r="P1435" s="5">
        <f>IF(O1435="","",IF(O1435&gt;0,1,0))</f>
        <v/>
      </c>
    </row>
    <row r="1436">
      <c r="A1436" s="5" t="n">
        <v>2122100000</v>
      </c>
      <c r="B1436" s="5" t="inlineStr">
        <is>
          <t>IC5000</t>
        </is>
      </c>
      <c r="C1436" s="5" t="inlineStr">
        <is>
          <t>NORDEX SE</t>
        </is>
      </c>
      <c r="D1436" s="5" t="inlineStr">
        <is>
          <t>UE</t>
        </is>
      </c>
      <c r="E1436" s="5" t="n">
        <v>200009444</v>
      </c>
      <c r="F1436" s="5" t="inlineStr">
        <is>
          <t>1992</t>
        </is>
      </c>
      <c r="G1436" s="5" t="inlineStr">
        <is>
          <t>EUR</t>
        </is>
      </c>
      <c r="H1436" s="9" t="n">
        <v>-15929.64</v>
      </c>
      <c r="I1436" s="16" t="n">
        <v>44098</v>
      </c>
      <c r="J1436" s="16" t="n">
        <v>44098</v>
      </c>
      <c r="K1436" s="5" t="inlineStr">
        <is>
          <t>604704</t>
        </is>
      </c>
      <c r="L1436" s="5" t="inlineStr">
        <is>
          <t>403000.NORDEXMF</t>
        </is>
      </c>
      <c r="M1436" s="5">
        <f>IF(YEAR(I1436)&lt;=2020,"Até 2020",TEXT(YEAR(I1436),"0"))</f>
        <v/>
      </c>
      <c r="N1436" s="5">
        <f>IFERROR(INDEX(DePara!$A:$A,MATCH(TEXT(B1436,"0"),DePara!$D:$D,0)),"(sem categoria)")</f>
        <v/>
      </c>
      <c r="O1436" s="5">
        <f>IF(J1436="","",Parametros!$B$6-J1436)</f>
        <v/>
      </c>
      <c r="P1436" s="5">
        <f>IF(O1436="","",IF(O1436&gt;0,1,0))</f>
        <v/>
      </c>
    </row>
    <row r="1437">
      <c r="A1437" s="5" t="n">
        <v>2122100000</v>
      </c>
      <c r="B1437" s="5" t="inlineStr">
        <is>
          <t>IC5000</t>
        </is>
      </c>
      <c r="C1437" s="5" t="inlineStr">
        <is>
          <t>NORDEX SE</t>
        </is>
      </c>
      <c r="D1437" s="5" t="inlineStr">
        <is>
          <t>UE</t>
        </is>
      </c>
      <c r="E1437" s="5" t="n">
        <v>200009445</v>
      </c>
      <c r="F1437" s="5" t="inlineStr">
        <is>
          <t>1993</t>
        </is>
      </c>
      <c r="G1437" s="5" t="inlineStr">
        <is>
          <t>EUR</t>
        </is>
      </c>
      <c r="H1437" s="9" t="n">
        <v>-5716358.95</v>
      </c>
      <c r="I1437" s="16" t="n">
        <v>44098</v>
      </c>
      <c r="J1437" s="16" t="n">
        <v>44098</v>
      </c>
      <c r="K1437" s="5" t="inlineStr">
        <is>
          <t>604672</t>
        </is>
      </c>
      <c r="L1437" s="5" t="inlineStr">
        <is>
          <t>403000.NORDEXMF</t>
        </is>
      </c>
      <c r="M1437" s="5">
        <f>IF(YEAR(I1437)&lt;=2020,"Até 2020",TEXT(YEAR(I1437),"0"))</f>
        <v/>
      </c>
      <c r="N1437" s="5">
        <f>IFERROR(INDEX(DePara!$A:$A,MATCH(TEXT(B1437,"0"),DePara!$D:$D,0)),"(sem categoria)")</f>
        <v/>
      </c>
      <c r="O1437" s="5">
        <f>IF(J1437="","",Parametros!$B$6-J1437)</f>
        <v/>
      </c>
      <c r="P1437" s="5">
        <f>IF(O1437="","",IF(O1437&gt;0,1,0))</f>
        <v/>
      </c>
    </row>
    <row r="1438">
      <c r="A1438" s="5" t="n">
        <v>2122100000</v>
      </c>
      <c r="B1438" s="5" t="inlineStr">
        <is>
          <t>IC5000</t>
        </is>
      </c>
      <c r="C1438" s="5" t="inlineStr">
        <is>
          <t>NORDEX SE</t>
        </is>
      </c>
      <c r="D1438" s="5" t="inlineStr">
        <is>
          <t>UE</t>
        </is>
      </c>
      <c r="E1438" s="5" t="n">
        <v>200009446</v>
      </c>
      <c r="F1438" s="5" t="inlineStr">
        <is>
          <t>1994</t>
        </is>
      </c>
      <c r="G1438" s="5" t="inlineStr">
        <is>
          <t>EUR</t>
        </is>
      </c>
      <c r="H1438" s="9" t="n">
        <v>-1596693.99</v>
      </c>
      <c r="I1438" s="16" t="n">
        <v>44104</v>
      </c>
      <c r="J1438" s="16" t="n">
        <v>44104</v>
      </c>
      <c r="K1438" s="5" t="inlineStr">
        <is>
          <t>604755</t>
        </is>
      </c>
      <c r="L1438" s="5" t="inlineStr">
        <is>
          <t>403000.NORDEXMF</t>
        </is>
      </c>
      <c r="M1438" s="5">
        <f>IF(YEAR(I1438)&lt;=2020,"Até 2020",TEXT(YEAR(I1438),"0"))</f>
        <v/>
      </c>
      <c r="N1438" s="5">
        <f>IFERROR(INDEX(DePara!$A:$A,MATCH(TEXT(B1438,"0"),DePara!$D:$D,0)),"(sem categoria)")</f>
        <v/>
      </c>
      <c r="O1438" s="5">
        <f>IF(J1438="","",Parametros!$B$6-J1438)</f>
        <v/>
      </c>
      <c r="P1438" s="5">
        <f>IF(O1438="","",IF(O1438&gt;0,1,0))</f>
        <v/>
      </c>
    </row>
    <row r="1439">
      <c r="A1439" s="5" t="n">
        <v>2122100000</v>
      </c>
      <c r="B1439" s="5" t="inlineStr">
        <is>
          <t>IC5000</t>
        </is>
      </c>
      <c r="C1439" s="5" t="inlineStr">
        <is>
          <t>NORDEX SE</t>
        </is>
      </c>
      <c r="D1439" s="5" t="inlineStr">
        <is>
          <t>UE</t>
        </is>
      </c>
      <c r="E1439" s="5" t="n">
        <v>200009447</v>
      </c>
      <c r="F1439" s="5" t="inlineStr">
        <is>
          <t>1995</t>
        </is>
      </c>
      <c r="G1439" s="5" t="inlineStr">
        <is>
          <t>EUR</t>
        </is>
      </c>
      <c r="H1439" s="9" t="n">
        <v>-2119547.96</v>
      </c>
      <c r="I1439" s="16" t="n">
        <v>44196</v>
      </c>
      <c r="J1439" s="16" t="n">
        <v>44196</v>
      </c>
      <c r="K1439" s="5" t="inlineStr">
        <is>
          <t>604950</t>
        </is>
      </c>
      <c r="L1439" s="5" t="inlineStr">
        <is>
          <t>403000.NORDEXMF</t>
        </is>
      </c>
      <c r="M1439" s="5">
        <f>IF(YEAR(I1439)&lt;=2020,"Até 2020",TEXT(YEAR(I1439),"0"))</f>
        <v/>
      </c>
      <c r="N1439" s="5">
        <f>IFERROR(INDEX(DePara!$A:$A,MATCH(TEXT(B1439,"0"),DePara!$D:$D,0)),"(sem categoria)")</f>
        <v/>
      </c>
      <c r="O1439" s="5">
        <f>IF(J1439="","",Parametros!$B$6-J1439)</f>
        <v/>
      </c>
      <c r="P1439" s="5">
        <f>IF(O1439="","",IF(O1439&gt;0,1,0))</f>
        <v/>
      </c>
    </row>
    <row r="1440">
      <c r="A1440" s="5" t="n">
        <v>2122100000</v>
      </c>
      <c r="B1440" s="5" t="inlineStr">
        <is>
          <t>IC5000</t>
        </is>
      </c>
      <c r="C1440" s="5" t="inlineStr">
        <is>
          <t>NORDEX SE</t>
        </is>
      </c>
      <c r="D1440" s="5" t="inlineStr">
        <is>
          <t>UE</t>
        </is>
      </c>
      <c r="E1440" s="5" t="n">
        <v>200009448</v>
      </c>
      <c r="F1440" s="5" t="inlineStr">
        <is>
          <t>1996</t>
        </is>
      </c>
      <c r="G1440" s="5" t="inlineStr">
        <is>
          <t>EUR</t>
        </is>
      </c>
      <c r="H1440" s="9" t="n">
        <v>-7215868.67</v>
      </c>
      <c r="I1440" s="16" t="n">
        <v>44196</v>
      </c>
      <c r="J1440" s="16" t="n">
        <v>44196</v>
      </c>
      <c r="K1440" s="5" t="inlineStr">
        <is>
          <t>605016</t>
        </is>
      </c>
      <c r="L1440" s="5" t="inlineStr">
        <is>
          <t>403000.NORDEXMF</t>
        </is>
      </c>
      <c r="M1440" s="5">
        <f>IF(YEAR(I1440)&lt;=2020,"Até 2020",TEXT(YEAR(I1440),"0"))</f>
        <v/>
      </c>
      <c r="N1440" s="5">
        <f>IFERROR(INDEX(DePara!$A:$A,MATCH(TEXT(B1440,"0"),DePara!$D:$D,0)),"(sem categoria)")</f>
        <v/>
      </c>
      <c r="O1440" s="5">
        <f>IF(J1440="","",Parametros!$B$6-J1440)</f>
        <v/>
      </c>
      <c r="P1440" s="5">
        <f>IF(O1440="","",IF(O1440&gt;0,1,0))</f>
        <v/>
      </c>
    </row>
    <row r="1441">
      <c r="A1441" s="5" t="n">
        <v>2122100000</v>
      </c>
      <c r="B1441" s="5" t="inlineStr">
        <is>
          <t>IC5000</t>
        </is>
      </c>
      <c r="C1441" s="5" t="inlineStr">
        <is>
          <t>NORDEX SE</t>
        </is>
      </c>
      <c r="D1441" s="5" t="inlineStr">
        <is>
          <t>UE</t>
        </is>
      </c>
      <c r="E1441" s="5" t="n">
        <v>200009449</v>
      </c>
      <c r="F1441" s="5" t="inlineStr">
        <is>
          <t>1997</t>
        </is>
      </c>
      <c r="G1441" s="5" t="inlineStr">
        <is>
          <t>EUR</t>
        </is>
      </c>
      <c r="H1441" s="9" t="n">
        <v>-5592509.8</v>
      </c>
      <c r="I1441" s="16" t="n">
        <v>44285</v>
      </c>
      <c r="J1441" s="16" t="n">
        <v>44285</v>
      </c>
      <c r="K1441" s="5" t="inlineStr">
        <is>
          <t>605092</t>
        </is>
      </c>
      <c r="L1441" s="5" t="inlineStr">
        <is>
          <t>403000.NORDEXMF</t>
        </is>
      </c>
      <c r="M1441" s="5">
        <f>IF(YEAR(I1441)&lt;=2020,"Até 2020",TEXT(YEAR(I1441),"0"))</f>
        <v/>
      </c>
      <c r="N1441" s="5">
        <f>IFERROR(INDEX(DePara!$A:$A,MATCH(TEXT(B1441,"0"),DePara!$D:$D,0)),"(sem categoria)")</f>
        <v/>
      </c>
      <c r="O1441" s="5">
        <f>IF(J1441="","",Parametros!$B$6-J1441)</f>
        <v/>
      </c>
      <c r="P1441" s="5">
        <f>IF(O1441="","",IF(O1441&gt;0,1,0))</f>
        <v/>
      </c>
    </row>
    <row r="1442">
      <c r="A1442" s="5" t="n">
        <v>2122100000</v>
      </c>
      <c r="B1442" s="5" t="inlineStr">
        <is>
          <t>IC5000</t>
        </is>
      </c>
      <c r="C1442" s="5" t="inlineStr">
        <is>
          <t>NORDEX SE</t>
        </is>
      </c>
      <c r="D1442" s="5" t="inlineStr">
        <is>
          <t>UE</t>
        </is>
      </c>
      <c r="E1442" s="5" t="n">
        <v>200009450</v>
      </c>
      <c r="F1442" s="5" t="inlineStr">
        <is>
          <t>1998</t>
        </is>
      </c>
      <c r="G1442" s="5" t="inlineStr">
        <is>
          <t>EUR</t>
        </is>
      </c>
      <c r="H1442" s="9" t="n">
        <v>-2114714.01</v>
      </c>
      <c r="I1442" s="16" t="n">
        <v>44286</v>
      </c>
      <c r="J1442" s="16" t="n">
        <v>44286</v>
      </c>
      <c r="K1442" s="5" t="inlineStr">
        <is>
          <t>605192</t>
        </is>
      </c>
      <c r="L1442" s="5" t="inlineStr">
        <is>
          <t>403000.NORDEXMF</t>
        </is>
      </c>
      <c r="M1442" s="5">
        <f>IF(YEAR(I1442)&lt;=2020,"Até 2020",TEXT(YEAR(I1442),"0"))</f>
        <v/>
      </c>
      <c r="N1442" s="5">
        <f>IFERROR(INDEX(DePara!$A:$A,MATCH(TEXT(B1442,"0"),DePara!$D:$D,0)),"(sem categoria)")</f>
        <v/>
      </c>
      <c r="O1442" s="5">
        <f>IF(J1442="","",Parametros!$B$6-J1442)</f>
        <v/>
      </c>
      <c r="P1442" s="5">
        <f>IF(O1442="","",IF(O1442&gt;0,1,0))</f>
        <v/>
      </c>
    </row>
    <row r="1443">
      <c r="A1443" s="5" t="n">
        <v>2122100000</v>
      </c>
      <c r="B1443" s="5" t="inlineStr">
        <is>
          <t>IC5000</t>
        </is>
      </c>
      <c r="C1443" s="5" t="inlineStr">
        <is>
          <t>NORDEX SE</t>
        </is>
      </c>
      <c r="D1443" s="5" t="inlineStr">
        <is>
          <t>UE</t>
        </is>
      </c>
      <c r="E1443" s="5" t="n">
        <v>200009451</v>
      </c>
      <c r="F1443" s="5" t="inlineStr">
        <is>
          <t>1999</t>
        </is>
      </c>
      <c r="G1443" s="5" t="inlineStr">
        <is>
          <t>EUR</t>
        </is>
      </c>
      <c r="H1443" s="9" t="n">
        <v>-1299936.19</v>
      </c>
      <c r="I1443" s="16" t="n">
        <v>44377</v>
      </c>
      <c r="J1443" s="16" t="n">
        <v>44377</v>
      </c>
      <c r="K1443" s="5" t="inlineStr">
        <is>
          <t>605293</t>
        </is>
      </c>
      <c r="L1443" s="5" t="inlineStr">
        <is>
          <t>403000.NORDEXMF</t>
        </is>
      </c>
      <c r="M1443" s="5">
        <f>IF(YEAR(I1443)&lt;=2020,"Até 2020",TEXT(YEAR(I1443),"0"))</f>
        <v/>
      </c>
      <c r="N1443" s="5">
        <f>IFERROR(INDEX(DePara!$A:$A,MATCH(TEXT(B1443,"0"),DePara!$D:$D,0)),"(sem categoria)")</f>
        <v/>
      </c>
      <c r="O1443" s="5">
        <f>IF(J1443="","",Parametros!$B$6-J1443)</f>
        <v/>
      </c>
      <c r="P1443" s="5">
        <f>IF(O1443="","",IF(O1443&gt;0,1,0))</f>
        <v/>
      </c>
    </row>
    <row r="1444">
      <c r="A1444" s="5" t="n">
        <v>2122100000</v>
      </c>
      <c r="B1444" s="5" t="inlineStr">
        <is>
          <t>IC5000</t>
        </is>
      </c>
      <c r="C1444" s="5" t="inlineStr">
        <is>
          <t>NORDEX SE</t>
        </is>
      </c>
      <c r="D1444" s="5" t="inlineStr">
        <is>
          <t>UE</t>
        </is>
      </c>
      <c r="E1444" s="5" t="n">
        <v>200009455</v>
      </c>
      <c r="F1444" s="5" t="inlineStr">
        <is>
          <t>2000</t>
        </is>
      </c>
      <c r="G1444" s="5" t="inlineStr">
        <is>
          <t>EUR</t>
        </is>
      </c>
      <c r="H1444" s="9" t="n">
        <v>-1925218.15</v>
      </c>
      <c r="I1444" s="16" t="n">
        <v>44377</v>
      </c>
      <c r="J1444" s="16" t="n">
        <v>44377</v>
      </c>
      <c r="K1444" s="5" t="inlineStr">
        <is>
          <t>605379</t>
        </is>
      </c>
      <c r="L1444" s="5" t="inlineStr">
        <is>
          <t>403000.NORDEXMF</t>
        </is>
      </c>
      <c r="M1444" s="5">
        <f>IF(YEAR(I1444)&lt;=2020,"Até 2020",TEXT(YEAR(I1444),"0"))</f>
        <v/>
      </c>
      <c r="N1444" s="5">
        <f>IFERROR(INDEX(DePara!$A:$A,MATCH(TEXT(B1444,"0"),DePara!$D:$D,0)),"(sem categoria)")</f>
        <v/>
      </c>
      <c r="O1444" s="5">
        <f>IF(J1444="","",Parametros!$B$6-J1444)</f>
        <v/>
      </c>
      <c r="P1444" s="5">
        <f>IF(O1444="","",IF(O1444&gt;0,1,0))</f>
        <v/>
      </c>
    </row>
    <row r="1445">
      <c r="A1445" s="5" t="n">
        <v>2122100000</v>
      </c>
      <c r="B1445" s="5" t="inlineStr">
        <is>
          <t>IC5000</t>
        </is>
      </c>
      <c r="C1445" s="5" t="inlineStr">
        <is>
          <t>NORDEX SE</t>
        </is>
      </c>
      <c r="D1445" s="5" t="inlineStr">
        <is>
          <t>UE</t>
        </is>
      </c>
      <c r="E1445" s="5" t="n">
        <v>200009456</v>
      </c>
      <c r="F1445" s="5" t="inlineStr">
        <is>
          <t>2001</t>
        </is>
      </c>
      <c r="G1445" s="5" t="inlineStr">
        <is>
          <t>EUR</t>
        </is>
      </c>
      <c r="H1445" s="9" t="n">
        <v>-5351864.34</v>
      </c>
      <c r="I1445" s="16" t="n">
        <v>44469</v>
      </c>
      <c r="J1445" s="16" t="n">
        <v>44469</v>
      </c>
      <c r="K1445" s="5" t="inlineStr">
        <is>
          <t>605491</t>
        </is>
      </c>
      <c r="L1445" s="5" t="inlineStr">
        <is>
          <t>403000.NORDEXMF</t>
        </is>
      </c>
      <c r="M1445" s="5">
        <f>IF(YEAR(I1445)&lt;=2020,"Até 2020",TEXT(YEAR(I1445),"0"))</f>
        <v/>
      </c>
      <c r="N1445" s="5">
        <f>IFERROR(INDEX(DePara!$A:$A,MATCH(TEXT(B1445,"0"),DePara!$D:$D,0)),"(sem categoria)")</f>
        <v/>
      </c>
      <c r="O1445" s="5">
        <f>IF(J1445="","",Parametros!$B$6-J1445)</f>
        <v/>
      </c>
      <c r="P1445" s="5">
        <f>IF(O1445="","",IF(O1445&gt;0,1,0))</f>
        <v/>
      </c>
    </row>
    <row r="1446">
      <c r="A1446" s="5" t="n">
        <v>2122100000</v>
      </c>
      <c r="B1446" s="5" t="inlineStr">
        <is>
          <t>IC5000</t>
        </is>
      </c>
      <c r="C1446" s="5" t="inlineStr">
        <is>
          <t>NORDEX SE</t>
        </is>
      </c>
      <c r="D1446" s="5" t="inlineStr">
        <is>
          <t>UE</t>
        </is>
      </c>
      <c r="E1446" s="5" t="n">
        <v>200009457</v>
      </c>
      <c r="F1446" s="5" t="inlineStr">
        <is>
          <t>2002</t>
        </is>
      </c>
      <c r="G1446" s="5" t="inlineStr">
        <is>
          <t>EUR</t>
        </is>
      </c>
      <c r="H1446" s="9" t="n">
        <v>-5662767.77</v>
      </c>
      <c r="I1446" s="16" t="n">
        <v>44469</v>
      </c>
      <c r="J1446" s="16" t="n">
        <v>44469</v>
      </c>
      <c r="K1446" s="5" t="inlineStr">
        <is>
          <t>605582</t>
        </is>
      </c>
      <c r="L1446" s="5" t="inlineStr">
        <is>
          <t>403000.NORDEXMF</t>
        </is>
      </c>
      <c r="M1446" s="5">
        <f>IF(YEAR(I1446)&lt;=2020,"Até 2020",TEXT(YEAR(I1446),"0"))</f>
        <v/>
      </c>
      <c r="N1446" s="5">
        <f>IFERROR(INDEX(DePara!$A:$A,MATCH(TEXT(B1446,"0"),DePara!$D:$D,0)),"(sem categoria)")</f>
        <v/>
      </c>
      <c r="O1446" s="5">
        <f>IF(J1446="","",Parametros!$B$6-J1446)</f>
        <v/>
      </c>
      <c r="P1446" s="5">
        <f>IF(O1446="","",IF(O1446&gt;0,1,0))</f>
        <v/>
      </c>
    </row>
    <row r="1447">
      <c r="A1447" s="5" t="n">
        <v>2122100000</v>
      </c>
      <c r="B1447" s="5" t="inlineStr">
        <is>
          <t>IC5000</t>
        </is>
      </c>
      <c r="C1447" s="5" t="inlineStr">
        <is>
          <t>NORDEX SE</t>
        </is>
      </c>
      <c r="D1447" s="5" t="inlineStr">
        <is>
          <t>UE</t>
        </is>
      </c>
      <c r="E1447" s="5" t="n">
        <v>200009458</v>
      </c>
      <c r="F1447" s="5" t="inlineStr">
        <is>
          <t>2003</t>
        </is>
      </c>
      <c r="G1447" s="5" t="inlineStr">
        <is>
          <t>EUR</t>
        </is>
      </c>
      <c r="H1447" s="9" t="n">
        <v>-2240368.16</v>
      </c>
      <c r="I1447" s="16" t="n">
        <v>44469</v>
      </c>
      <c r="J1447" s="16" t="n">
        <v>44469</v>
      </c>
      <c r="K1447" s="5" t="inlineStr">
        <is>
          <t>605562</t>
        </is>
      </c>
      <c r="L1447" s="5" t="inlineStr">
        <is>
          <t>403000.NORDEXMF</t>
        </is>
      </c>
      <c r="M1447" s="5">
        <f>IF(YEAR(I1447)&lt;=2020,"Até 2020",TEXT(YEAR(I1447),"0"))</f>
        <v/>
      </c>
      <c r="N1447" s="5">
        <f>IFERROR(INDEX(DePara!$A:$A,MATCH(TEXT(B1447,"0"),DePara!$D:$D,0)),"(sem categoria)")</f>
        <v/>
      </c>
      <c r="O1447" s="5">
        <f>IF(J1447="","",Parametros!$B$6-J1447)</f>
        <v/>
      </c>
      <c r="P1447" s="5">
        <f>IF(O1447="","",IF(O1447&gt;0,1,0))</f>
        <v/>
      </c>
    </row>
    <row r="1448">
      <c r="A1448" s="5" t="n">
        <v>2122100000</v>
      </c>
      <c r="B1448" s="5" t="inlineStr">
        <is>
          <t>IC5000</t>
        </is>
      </c>
      <c r="C1448" s="5" t="inlineStr">
        <is>
          <t>NORDEX SE</t>
        </is>
      </c>
      <c r="D1448" s="5" t="inlineStr">
        <is>
          <t>UE</t>
        </is>
      </c>
      <c r="E1448" s="5" t="n">
        <v>200009459</v>
      </c>
      <c r="F1448" s="5" t="inlineStr">
        <is>
          <t>2004</t>
        </is>
      </c>
      <c r="G1448" s="5" t="inlineStr">
        <is>
          <t>EUR</t>
        </is>
      </c>
      <c r="H1448" s="9" t="n">
        <v>-3667514.56</v>
      </c>
      <c r="I1448" s="16" t="n">
        <v>44561</v>
      </c>
      <c r="J1448" s="16" t="n">
        <v>44561</v>
      </c>
      <c r="K1448" s="5" t="inlineStr">
        <is>
          <t>605772</t>
        </is>
      </c>
      <c r="L1448" s="5" t="inlineStr">
        <is>
          <t>403000.NORDEXMF</t>
        </is>
      </c>
      <c r="M1448" s="5">
        <f>IF(YEAR(I1448)&lt;=2020,"Até 2020",TEXT(YEAR(I1448),"0"))</f>
        <v/>
      </c>
      <c r="N1448" s="5">
        <f>IFERROR(INDEX(DePara!$A:$A,MATCH(TEXT(B1448,"0"),DePara!$D:$D,0)),"(sem categoria)")</f>
        <v/>
      </c>
      <c r="O1448" s="5">
        <f>IF(J1448="","",Parametros!$B$6-J1448)</f>
        <v/>
      </c>
      <c r="P1448" s="5">
        <f>IF(O1448="","",IF(O1448&gt;0,1,0))</f>
        <v/>
      </c>
    </row>
    <row r="1449">
      <c r="A1449" s="5" t="n">
        <v>2122100000</v>
      </c>
      <c r="B1449" s="5" t="inlineStr">
        <is>
          <t>IC5000</t>
        </is>
      </c>
      <c r="C1449" s="5" t="inlineStr">
        <is>
          <t>NORDEX SE</t>
        </is>
      </c>
      <c r="D1449" s="5" t="inlineStr">
        <is>
          <t>UE</t>
        </is>
      </c>
      <c r="E1449" s="5" t="n">
        <v>200009460</v>
      </c>
      <c r="F1449" s="5" t="inlineStr">
        <is>
          <t>2005</t>
        </is>
      </c>
      <c r="G1449" s="5" t="inlineStr">
        <is>
          <t>EUR</t>
        </is>
      </c>
      <c r="H1449" s="9" t="n">
        <v>-3125194.49</v>
      </c>
      <c r="I1449" s="16" t="n">
        <v>44561</v>
      </c>
      <c r="J1449" s="16" t="n">
        <v>44561</v>
      </c>
      <c r="K1449" s="5" t="inlineStr">
        <is>
          <t>605810</t>
        </is>
      </c>
      <c r="L1449" s="5" t="inlineStr">
        <is>
          <t>403000.NORDEXMF</t>
        </is>
      </c>
      <c r="M1449" s="5">
        <f>IF(YEAR(I1449)&lt;=2020,"Até 2020",TEXT(YEAR(I1449),"0"))</f>
        <v/>
      </c>
      <c r="N1449" s="5">
        <f>IFERROR(INDEX(DePara!$A:$A,MATCH(TEXT(B1449,"0"),DePara!$D:$D,0)),"(sem categoria)")</f>
        <v/>
      </c>
      <c r="O1449" s="5">
        <f>IF(J1449="","",Parametros!$B$6-J1449)</f>
        <v/>
      </c>
      <c r="P1449" s="5">
        <f>IF(O1449="","",IF(O1449&gt;0,1,0))</f>
        <v/>
      </c>
    </row>
    <row r="1450">
      <c r="A1450" s="5" t="n">
        <v>2122100000</v>
      </c>
      <c r="B1450" s="5" t="inlineStr">
        <is>
          <t>IC5000</t>
        </is>
      </c>
      <c r="C1450" s="5" t="inlineStr">
        <is>
          <t>NORDEX SE</t>
        </is>
      </c>
      <c r="D1450" s="5" t="inlineStr">
        <is>
          <t>UE</t>
        </is>
      </c>
      <c r="E1450" s="5" t="n">
        <v>200009461</v>
      </c>
      <c r="F1450" s="5" t="inlineStr">
        <is>
          <t>2006</t>
        </is>
      </c>
      <c r="G1450" s="5" t="inlineStr">
        <is>
          <t>EUR</t>
        </is>
      </c>
      <c r="H1450" s="9" t="n">
        <v>-6817489.21</v>
      </c>
      <c r="I1450" s="16" t="n">
        <v>44561</v>
      </c>
      <c r="J1450" s="16" t="n">
        <v>44561</v>
      </c>
      <c r="K1450" s="5" t="inlineStr">
        <is>
          <t>605887</t>
        </is>
      </c>
      <c r="L1450" s="5" t="inlineStr">
        <is>
          <t>403000.NORDEXMF</t>
        </is>
      </c>
      <c r="M1450" s="5">
        <f>IF(YEAR(I1450)&lt;=2020,"Até 2020",TEXT(YEAR(I1450),"0"))</f>
        <v/>
      </c>
      <c r="N1450" s="5">
        <f>IFERROR(INDEX(DePara!$A:$A,MATCH(TEXT(B1450,"0"),DePara!$D:$D,0)),"(sem categoria)")</f>
        <v/>
      </c>
      <c r="O1450" s="5">
        <f>IF(J1450="","",Parametros!$B$6-J1450)</f>
        <v/>
      </c>
      <c r="P1450" s="5">
        <f>IF(O1450="","",IF(O1450&gt;0,1,0))</f>
        <v/>
      </c>
    </row>
    <row r="1451">
      <c r="A1451" s="5" t="n">
        <v>2122100000</v>
      </c>
      <c r="B1451" s="5" t="inlineStr">
        <is>
          <t>IC5000</t>
        </is>
      </c>
      <c r="C1451" s="5" t="inlineStr">
        <is>
          <t>NORDEX SE</t>
        </is>
      </c>
      <c r="D1451" s="5" t="inlineStr">
        <is>
          <t>UE</t>
        </is>
      </c>
      <c r="E1451" s="5" t="n">
        <v>200009462</v>
      </c>
      <c r="F1451" s="5" t="inlineStr">
        <is>
          <t>2007</t>
        </is>
      </c>
      <c r="G1451" s="5" t="inlineStr">
        <is>
          <t>EUR</t>
        </is>
      </c>
      <c r="H1451" s="9" t="n">
        <v>-7158778.94</v>
      </c>
      <c r="I1451" s="16" t="n">
        <v>44651</v>
      </c>
      <c r="J1451" s="16" t="n">
        <v>44651</v>
      </c>
      <c r="K1451" s="5" t="inlineStr">
        <is>
          <t>606004</t>
        </is>
      </c>
      <c r="L1451" s="5" t="inlineStr">
        <is>
          <t>403000.NORDEXMF</t>
        </is>
      </c>
      <c r="M1451" s="5">
        <f>IF(YEAR(I1451)&lt;=2020,"Até 2020",TEXT(YEAR(I1451),"0"))</f>
        <v/>
      </c>
      <c r="N1451" s="5">
        <f>IFERROR(INDEX(DePara!$A:$A,MATCH(TEXT(B1451,"0"),DePara!$D:$D,0)),"(sem categoria)")</f>
        <v/>
      </c>
      <c r="O1451" s="5">
        <f>IF(J1451="","",Parametros!$B$6-J1451)</f>
        <v/>
      </c>
      <c r="P1451" s="5">
        <f>IF(O1451="","",IF(O1451&gt;0,1,0))</f>
        <v/>
      </c>
    </row>
    <row r="1452">
      <c r="A1452" s="5" t="n">
        <v>2122100000</v>
      </c>
      <c r="B1452" s="5" t="inlineStr">
        <is>
          <t>IC5000</t>
        </is>
      </c>
      <c r="C1452" s="5" t="inlineStr">
        <is>
          <t>NORDEX SE</t>
        </is>
      </c>
      <c r="D1452" s="5" t="inlineStr">
        <is>
          <t>UE</t>
        </is>
      </c>
      <c r="E1452" s="5" t="n">
        <v>200009463</v>
      </c>
      <c r="F1452" s="5" t="inlineStr">
        <is>
          <t>2008</t>
        </is>
      </c>
      <c r="G1452" s="5" t="inlineStr">
        <is>
          <t>EUR</t>
        </is>
      </c>
      <c r="H1452" s="9" t="n">
        <v>-9349634.810000001</v>
      </c>
      <c r="I1452" s="16" t="n">
        <v>44740</v>
      </c>
      <c r="J1452" s="16" t="n">
        <v>44740</v>
      </c>
      <c r="K1452" s="5" t="inlineStr">
        <is>
          <t>606156</t>
        </is>
      </c>
      <c r="L1452" s="5" t="inlineStr">
        <is>
          <t>403000.NORDEXMF</t>
        </is>
      </c>
      <c r="M1452" s="5">
        <f>IF(YEAR(I1452)&lt;=2020,"Até 2020",TEXT(YEAR(I1452),"0"))</f>
        <v/>
      </c>
      <c r="N1452" s="5">
        <f>IFERROR(INDEX(DePara!$A:$A,MATCH(TEXT(B1452,"0"),DePara!$D:$D,0)),"(sem categoria)")</f>
        <v/>
      </c>
      <c r="O1452" s="5">
        <f>IF(J1452="","",Parametros!$B$6-J1452)</f>
        <v/>
      </c>
      <c r="P1452" s="5">
        <f>IF(O1452="","",IF(O1452&gt;0,1,0))</f>
        <v/>
      </c>
    </row>
    <row r="1453">
      <c r="A1453" s="5" t="n">
        <v>2122100000</v>
      </c>
      <c r="B1453" s="5" t="inlineStr">
        <is>
          <t>IC5000</t>
        </is>
      </c>
      <c r="C1453" s="5" t="inlineStr">
        <is>
          <t>NORDEX SE</t>
        </is>
      </c>
      <c r="D1453" s="5" t="inlineStr">
        <is>
          <t>UE</t>
        </is>
      </c>
      <c r="E1453" s="5" t="n">
        <v>200009464</v>
      </c>
      <c r="F1453" s="5" t="inlineStr">
        <is>
          <t>2009</t>
        </is>
      </c>
      <c r="G1453" s="5" t="inlineStr">
        <is>
          <t>EUR</t>
        </is>
      </c>
      <c r="H1453" s="9" t="n">
        <v>-3121237.72</v>
      </c>
      <c r="I1453" s="16" t="n">
        <v>44742</v>
      </c>
      <c r="J1453" s="16" t="n">
        <v>44742</v>
      </c>
      <c r="K1453" s="5" t="inlineStr">
        <is>
          <t>606106</t>
        </is>
      </c>
      <c r="L1453" s="5" t="inlineStr">
        <is>
          <t>403000.NORDEXMF</t>
        </is>
      </c>
      <c r="M1453" s="5">
        <f>IF(YEAR(I1453)&lt;=2020,"Até 2020",TEXT(YEAR(I1453),"0"))</f>
        <v/>
      </c>
      <c r="N1453" s="5">
        <f>IFERROR(INDEX(DePara!$A:$A,MATCH(TEXT(B1453,"0"),DePara!$D:$D,0)),"(sem categoria)")</f>
        <v/>
      </c>
      <c r="O1453" s="5">
        <f>IF(J1453="","",Parametros!$B$6-J1453)</f>
        <v/>
      </c>
      <c r="P1453" s="5">
        <f>IF(O1453="","",IF(O1453&gt;0,1,0))</f>
        <v/>
      </c>
    </row>
    <row r="1454">
      <c r="A1454" s="5" t="n">
        <v>2122100000</v>
      </c>
      <c r="B1454" s="5" t="inlineStr">
        <is>
          <t>IC5000</t>
        </is>
      </c>
      <c r="C1454" s="5" t="inlineStr">
        <is>
          <t>NORDEX SE</t>
        </is>
      </c>
      <c r="D1454" s="5" t="inlineStr">
        <is>
          <t>UE</t>
        </is>
      </c>
      <c r="E1454" s="5" t="n">
        <v>200009466</v>
      </c>
      <c r="F1454" s="5" t="inlineStr">
        <is>
          <t>2010</t>
        </is>
      </c>
      <c r="G1454" s="5" t="inlineStr">
        <is>
          <t>EUR</t>
        </is>
      </c>
      <c r="H1454" s="9" t="n">
        <v>-3348075.19</v>
      </c>
      <c r="I1454" s="16" t="n">
        <v>44742</v>
      </c>
      <c r="J1454" s="16" t="n">
        <v>44742</v>
      </c>
      <c r="K1454" s="5" t="inlineStr">
        <is>
          <t>606202</t>
        </is>
      </c>
      <c r="L1454" s="5" t="inlineStr">
        <is>
          <t>403000.NORDEXMF</t>
        </is>
      </c>
      <c r="M1454" s="5">
        <f>IF(YEAR(I1454)&lt;=2020,"Até 2020",TEXT(YEAR(I1454),"0"))</f>
        <v/>
      </c>
      <c r="N1454" s="5">
        <f>IFERROR(INDEX(DePara!$A:$A,MATCH(TEXT(B1454,"0"),DePara!$D:$D,0)),"(sem categoria)")</f>
        <v/>
      </c>
      <c r="O1454" s="5">
        <f>IF(J1454="","",Parametros!$B$6-J1454)</f>
        <v/>
      </c>
      <c r="P1454" s="5">
        <f>IF(O1454="","",IF(O1454&gt;0,1,0))</f>
        <v/>
      </c>
    </row>
    <row r="1455">
      <c r="A1455" s="5" t="n">
        <v>2122100000</v>
      </c>
      <c r="B1455" s="5" t="inlineStr">
        <is>
          <t>IC5000</t>
        </is>
      </c>
      <c r="C1455" s="5" t="inlineStr">
        <is>
          <t>NORDEX SE</t>
        </is>
      </c>
      <c r="D1455" s="5" t="inlineStr">
        <is>
          <t>UE</t>
        </is>
      </c>
      <c r="E1455" s="5" t="n">
        <v>200009467</v>
      </c>
      <c r="F1455" s="5" t="inlineStr">
        <is>
          <t>2011</t>
        </is>
      </c>
      <c r="G1455" s="5" t="inlineStr">
        <is>
          <t>EUR</t>
        </is>
      </c>
      <c r="H1455" s="9" t="n">
        <v>-8885195.029999999</v>
      </c>
      <c r="I1455" s="16" t="n">
        <v>44742</v>
      </c>
      <c r="J1455" s="16" t="n">
        <v>44742</v>
      </c>
      <c r="K1455" s="5" t="inlineStr">
        <is>
          <t>606277</t>
        </is>
      </c>
      <c r="L1455" s="5" t="inlineStr">
        <is>
          <t>403000.NORDEXMF</t>
        </is>
      </c>
      <c r="M1455" s="5">
        <f>IF(YEAR(I1455)&lt;=2020,"Até 2020",TEXT(YEAR(I1455),"0"))</f>
        <v/>
      </c>
      <c r="N1455" s="5">
        <f>IFERROR(INDEX(DePara!$A:$A,MATCH(TEXT(B1455,"0"),DePara!$D:$D,0)),"(sem categoria)")</f>
        <v/>
      </c>
      <c r="O1455" s="5">
        <f>IF(J1455="","",Parametros!$B$6-J1455)</f>
        <v/>
      </c>
      <c r="P1455" s="5">
        <f>IF(O1455="","",IF(O1455&gt;0,1,0))</f>
        <v/>
      </c>
    </row>
    <row r="1456">
      <c r="A1456" s="5" t="n">
        <v>2122100000</v>
      </c>
      <c r="B1456" s="5" t="inlineStr">
        <is>
          <t>IC5000</t>
        </is>
      </c>
      <c r="C1456" s="5" t="inlineStr">
        <is>
          <t>NORDEX SE</t>
        </is>
      </c>
      <c r="D1456" s="5" t="inlineStr">
        <is>
          <t>UE</t>
        </is>
      </c>
      <c r="E1456" s="5" t="n">
        <v>200009468</v>
      </c>
      <c r="F1456" s="5" t="inlineStr">
        <is>
          <t>2012</t>
        </is>
      </c>
      <c r="G1456" s="5" t="inlineStr">
        <is>
          <t>EUR</t>
        </is>
      </c>
      <c r="H1456" s="9" t="n">
        <v>-4861559.95</v>
      </c>
      <c r="I1456" s="16" t="n">
        <v>44824</v>
      </c>
      <c r="J1456" s="16" t="n">
        <v>44824</v>
      </c>
      <c r="K1456" s="5" t="inlineStr">
        <is>
          <t>606492</t>
        </is>
      </c>
      <c r="L1456" s="5" t="inlineStr">
        <is>
          <t>403000.NORDEXMF</t>
        </is>
      </c>
      <c r="M1456" s="5">
        <f>IF(YEAR(I1456)&lt;=2020,"Até 2020",TEXT(YEAR(I1456),"0"))</f>
        <v/>
      </c>
      <c r="N1456" s="5">
        <f>IFERROR(INDEX(DePara!$A:$A,MATCH(TEXT(B1456,"0"),DePara!$D:$D,0)),"(sem categoria)")</f>
        <v/>
      </c>
      <c r="O1456" s="5">
        <f>IF(J1456="","",Parametros!$B$6-J1456)</f>
        <v/>
      </c>
      <c r="P1456" s="5">
        <f>IF(O1456="","",IF(O1456&gt;0,1,0))</f>
        <v/>
      </c>
    </row>
    <row r="1457">
      <c r="A1457" s="5" t="n">
        <v>2122100000</v>
      </c>
      <c r="B1457" s="5" t="inlineStr">
        <is>
          <t>IC5000</t>
        </is>
      </c>
      <c r="C1457" s="5" t="inlineStr">
        <is>
          <t>NORDEX SE</t>
        </is>
      </c>
      <c r="D1457" s="5" t="inlineStr">
        <is>
          <t>UE</t>
        </is>
      </c>
      <c r="E1457" s="5" t="n">
        <v>200009469</v>
      </c>
      <c r="F1457" s="5" t="inlineStr">
        <is>
          <t>2013</t>
        </is>
      </c>
      <c r="G1457" s="5" t="inlineStr">
        <is>
          <t>EUR</t>
        </is>
      </c>
      <c r="H1457" s="9" t="n">
        <v>-4160753.93</v>
      </c>
      <c r="I1457" s="16" t="n">
        <v>44834</v>
      </c>
      <c r="J1457" s="16" t="n">
        <v>44834</v>
      </c>
      <c r="K1457" s="5" t="inlineStr">
        <is>
          <t>606560</t>
        </is>
      </c>
      <c r="L1457" s="5" t="inlineStr">
        <is>
          <t>403000.NORDEXMF</t>
        </is>
      </c>
      <c r="M1457" s="5">
        <f>IF(YEAR(I1457)&lt;=2020,"Até 2020",TEXT(YEAR(I1457),"0"))</f>
        <v/>
      </c>
      <c r="N1457" s="5">
        <f>IFERROR(INDEX(DePara!$A:$A,MATCH(TEXT(B1457,"0"),DePara!$D:$D,0)),"(sem categoria)")</f>
        <v/>
      </c>
      <c r="O1457" s="5">
        <f>IF(J1457="","",Parametros!$B$6-J1457)</f>
        <v/>
      </c>
      <c r="P1457" s="5">
        <f>IF(O1457="","",IF(O1457&gt;0,1,0))</f>
        <v/>
      </c>
    </row>
    <row r="1458">
      <c r="A1458" s="5" t="n">
        <v>2122100000</v>
      </c>
      <c r="B1458" s="5" t="inlineStr">
        <is>
          <t>IC5000</t>
        </is>
      </c>
      <c r="C1458" s="5" t="inlineStr">
        <is>
          <t>NORDEX SE</t>
        </is>
      </c>
      <c r="D1458" s="5" t="inlineStr">
        <is>
          <t>UE</t>
        </is>
      </c>
      <c r="E1458" s="5" t="n">
        <v>200009470</v>
      </c>
      <c r="F1458" s="5" t="inlineStr">
        <is>
          <t>2014</t>
        </is>
      </c>
      <c r="G1458" s="5" t="inlineStr">
        <is>
          <t>EUR</t>
        </is>
      </c>
      <c r="H1458" s="9" t="n">
        <v>-8248666.77</v>
      </c>
      <c r="I1458" s="16" t="n">
        <v>44834</v>
      </c>
      <c r="J1458" s="16" t="n">
        <v>44834</v>
      </c>
      <c r="K1458" s="5" t="inlineStr">
        <is>
          <t>606601</t>
        </is>
      </c>
      <c r="L1458" s="5" t="inlineStr">
        <is>
          <t>403000.NORDEXMF</t>
        </is>
      </c>
      <c r="M1458" s="5">
        <f>IF(YEAR(I1458)&lt;=2020,"Até 2020",TEXT(YEAR(I1458),"0"))</f>
        <v/>
      </c>
      <c r="N1458" s="5">
        <f>IFERROR(INDEX(DePara!$A:$A,MATCH(TEXT(B1458,"0"),DePara!$D:$D,0)),"(sem categoria)")</f>
        <v/>
      </c>
      <c r="O1458" s="5">
        <f>IF(J1458="","",Parametros!$B$6-J1458)</f>
        <v/>
      </c>
      <c r="P1458" s="5">
        <f>IF(O1458="","",IF(O1458&gt;0,1,0))</f>
        <v/>
      </c>
    </row>
    <row r="1459">
      <c r="A1459" s="5" t="n">
        <v>2122100000</v>
      </c>
      <c r="B1459" s="5" t="inlineStr">
        <is>
          <t>IC5000</t>
        </is>
      </c>
      <c r="C1459" s="5" t="inlineStr">
        <is>
          <t>NORDEX SE</t>
        </is>
      </c>
      <c r="D1459" s="5" t="inlineStr">
        <is>
          <t>UE</t>
        </is>
      </c>
      <c r="E1459" s="5" t="n">
        <v>200009471</v>
      </c>
      <c r="F1459" s="5" t="inlineStr">
        <is>
          <t>2015</t>
        </is>
      </c>
      <c r="G1459" s="5" t="inlineStr">
        <is>
          <t>EUR</t>
        </is>
      </c>
      <c r="H1459" s="9" t="n">
        <v>-3866797.6</v>
      </c>
      <c r="I1459" s="16" t="n">
        <v>44926</v>
      </c>
      <c r="J1459" s="16" t="n">
        <v>44926</v>
      </c>
      <c r="K1459" s="5" t="inlineStr">
        <is>
          <t>606662</t>
        </is>
      </c>
      <c r="L1459" s="5" t="inlineStr">
        <is>
          <t>403000.NORDEXMF</t>
        </is>
      </c>
      <c r="M1459" s="5">
        <f>IF(YEAR(I1459)&lt;=2020,"Até 2020",TEXT(YEAR(I1459),"0"))</f>
        <v/>
      </c>
      <c r="N1459" s="5">
        <f>IFERROR(INDEX(DePara!$A:$A,MATCH(TEXT(B1459,"0"),DePara!$D:$D,0)),"(sem categoria)")</f>
        <v/>
      </c>
      <c r="O1459" s="5">
        <f>IF(J1459="","",Parametros!$B$6-J1459)</f>
        <v/>
      </c>
      <c r="P1459" s="5">
        <f>IF(O1459="","",IF(O1459&gt;0,1,0))</f>
        <v/>
      </c>
    </row>
    <row r="1460">
      <c r="A1460" s="5" t="n">
        <v>2122100000</v>
      </c>
      <c r="B1460" s="5" t="inlineStr">
        <is>
          <t>IC5000</t>
        </is>
      </c>
      <c r="C1460" s="5" t="inlineStr">
        <is>
          <t>NORDEX SE</t>
        </is>
      </c>
      <c r="D1460" s="5" t="inlineStr">
        <is>
          <t>UE</t>
        </is>
      </c>
      <c r="E1460" s="5" t="n">
        <v>200009472</v>
      </c>
      <c r="F1460" s="5" t="inlineStr">
        <is>
          <t>2016</t>
        </is>
      </c>
      <c r="G1460" s="5" t="inlineStr">
        <is>
          <t>EUR</t>
        </is>
      </c>
      <c r="H1460" s="9" t="n">
        <v>-10842482.86</v>
      </c>
      <c r="I1460" s="16" t="n">
        <v>44926</v>
      </c>
      <c r="J1460" s="16" t="n">
        <v>44926</v>
      </c>
      <c r="K1460" s="5" t="inlineStr">
        <is>
          <t>606711</t>
        </is>
      </c>
      <c r="L1460" s="5" t="inlineStr">
        <is>
          <t>403000.NORDEXMF</t>
        </is>
      </c>
      <c r="M1460" s="5">
        <f>IF(YEAR(I1460)&lt;=2020,"Até 2020",TEXT(YEAR(I1460),"0"))</f>
        <v/>
      </c>
      <c r="N1460" s="5">
        <f>IFERROR(INDEX(DePara!$A:$A,MATCH(TEXT(B1460,"0"),DePara!$D:$D,0)),"(sem categoria)")</f>
        <v/>
      </c>
      <c r="O1460" s="5">
        <f>IF(J1460="","",Parametros!$B$6-J1460)</f>
        <v/>
      </c>
      <c r="P1460" s="5">
        <f>IF(O1460="","",IF(O1460&gt;0,1,0))</f>
        <v/>
      </c>
    </row>
    <row r="1461">
      <c r="A1461" s="5" t="n">
        <v>2122100000</v>
      </c>
      <c r="B1461" s="5" t="inlineStr">
        <is>
          <t>IC5000</t>
        </is>
      </c>
      <c r="C1461" s="5" t="inlineStr">
        <is>
          <t>NORDEX SE</t>
        </is>
      </c>
      <c r="D1461" s="5" t="inlineStr">
        <is>
          <t>UE</t>
        </is>
      </c>
      <c r="E1461" s="5" t="n">
        <v>200009473</v>
      </c>
      <c r="F1461" s="5" t="inlineStr">
        <is>
          <t>2017</t>
        </is>
      </c>
      <c r="G1461" s="5" t="inlineStr">
        <is>
          <t>EUR</t>
        </is>
      </c>
      <c r="H1461" s="9" t="n">
        <v>-12957484.09</v>
      </c>
      <c r="I1461" s="16" t="n">
        <v>44926</v>
      </c>
      <c r="J1461" s="16" t="n">
        <v>44926</v>
      </c>
      <c r="K1461" s="5" t="inlineStr">
        <is>
          <t>606809</t>
        </is>
      </c>
      <c r="L1461" s="5" t="inlineStr">
        <is>
          <t>403000.NORDEXMF</t>
        </is>
      </c>
      <c r="M1461" s="5">
        <f>IF(YEAR(I1461)&lt;=2020,"Até 2020",TEXT(YEAR(I1461),"0"))</f>
        <v/>
      </c>
      <c r="N1461" s="5">
        <f>IFERROR(INDEX(DePara!$A:$A,MATCH(TEXT(B1461,"0"),DePara!$D:$D,0)),"(sem categoria)")</f>
        <v/>
      </c>
      <c r="O1461" s="5">
        <f>IF(J1461="","",Parametros!$B$6-J1461)</f>
        <v/>
      </c>
      <c r="P1461" s="5">
        <f>IF(O1461="","",IF(O1461&gt;0,1,0))</f>
        <v/>
      </c>
    </row>
    <row r="1462">
      <c r="A1462" s="5" t="n">
        <v>2122100000</v>
      </c>
      <c r="B1462" s="5" t="inlineStr">
        <is>
          <t>IC5000</t>
        </is>
      </c>
      <c r="C1462" s="5" t="inlineStr">
        <is>
          <t>NORDEX SE</t>
        </is>
      </c>
      <c r="D1462" s="5" t="inlineStr">
        <is>
          <t>UE</t>
        </is>
      </c>
      <c r="E1462" s="5" t="n">
        <v>200009474</v>
      </c>
      <c r="F1462" s="5" t="inlineStr">
        <is>
          <t>2018</t>
        </is>
      </c>
      <c r="G1462" s="5" t="inlineStr">
        <is>
          <t>EUR</t>
        </is>
      </c>
      <c r="H1462" s="9" t="n">
        <v>-4682146.27</v>
      </c>
      <c r="I1462" s="16" t="n">
        <v>45016</v>
      </c>
      <c r="J1462" s="16" t="n">
        <v>45016</v>
      </c>
      <c r="K1462" s="5" t="inlineStr">
        <is>
          <t>606990</t>
        </is>
      </c>
      <c r="L1462" s="5" t="inlineStr">
        <is>
          <t>403000.NORDEXMF</t>
        </is>
      </c>
      <c r="M1462" s="5">
        <f>IF(YEAR(I1462)&lt;=2020,"Até 2020",TEXT(YEAR(I1462),"0"))</f>
        <v/>
      </c>
      <c r="N1462" s="5">
        <f>IFERROR(INDEX(DePara!$A:$A,MATCH(TEXT(B1462,"0"),DePara!$D:$D,0)),"(sem categoria)")</f>
        <v/>
      </c>
      <c r="O1462" s="5">
        <f>IF(J1462="","",Parametros!$B$6-J1462)</f>
        <v/>
      </c>
      <c r="P1462" s="5">
        <f>IF(O1462="","",IF(O1462&gt;0,1,0))</f>
        <v/>
      </c>
    </row>
    <row r="1463">
      <c r="A1463" s="5" t="n">
        <v>2122100000</v>
      </c>
      <c r="B1463" s="5" t="inlineStr">
        <is>
          <t>IC5000</t>
        </is>
      </c>
      <c r="C1463" s="5" t="inlineStr">
        <is>
          <t>NORDEX SE</t>
        </is>
      </c>
      <c r="D1463" s="5" t="inlineStr">
        <is>
          <t>UE</t>
        </is>
      </c>
      <c r="E1463" s="5" t="n">
        <v>200009475</v>
      </c>
      <c r="F1463" s="5" t="inlineStr">
        <is>
          <t>2019</t>
        </is>
      </c>
      <c r="G1463" s="5" t="inlineStr">
        <is>
          <t>EUR</t>
        </is>
      </c>
      <c r="H1463" s="9" t="n">
        <v>-7958424.11</v>
      </c>
      <c r="I1463" s="16" t="n">
        <v>45016</v>
      </c>
      <c r="J1463" s="16" t="n">
        <v>45016</v>
      </c>
      <c r="K1463" s="5" t="inlineStr">
        <is>
          <t>607010</t>
        </is>
      </c>
      <c r="L1463" s="5" t="inlineStr">
        <is>
          <t>403000.NORDEXMF</t>
        </is>
      </c>
      <c r="M1463" s="5">
        <f>IF(YEAR(I1463)&lt;=2020,"Até 2020",TEXT(YEAR(I1463),"0"))</f>
        <v/>
      </c>
      <c r="N1463" s="5">
        <f>IFERROR(INDEX(DePara!$A:$A,MATCH(TEXT(B1463,"0"),DePara!$D:$D,0)),"(sem categoria)")</f>
        <v/>
      </c>
      <c r="O1463" s="5">
        <f>IF(J1463="","",Parametros!$B$6-J1463)</f>
        <v/>
      </c>
      <c r="P1463" s="5">
        <f>IF(O1463="","",IF(O1463&gt;0,1,0))</f>
        <v/>
      </c>
    </row>
    <row r="1464">
      <c r="A1464" s="5" t="n">
        <v>2122100000</v>
      </c>
      <c r="B1464" s="5" t="inlineStr">
        <is>
          <t>IC5000</t>
        </is>
      </c>
      <c r="C1464" s="5" t="inlineStr">
        <is>
          <t>NORDEX SE</t>
        </is>
      </c>
      <c r="D1464" s="5" t="inlineStr">
        <is>
          <t>UE</t>
        </is>
      </c>
      <c r="E1464" s="5" t="n">
        <v>200009477</v>
      </c>
      <c r="F1464" s="5" t="inlineStr">
        <is>
          <t>2020</t>
        </is>
      </c>
      <c r="G1464" s="5" t="inlineStr">
        <is>
          <t>EUR</t>
        </is>
      </c>
      <c r="H1464" s="9" t="n">
        <v>-4141715.82</v>
      </c>
      <c r="I1464" s="16" t="n">
        <v>45008</v>
      </c>
      <c r="J1464" s="16" t="n">
        <v>45008</v>
      </c>
      <c r="K1464" s="5" t="inlineStr">
        <is>
          <t>606891</t>
        </is>
      </c>
      <c r="L1464" s="5" t="inlineStr">
        <is>
          <t>403000.NORDEXMF</t>
        </is>
      </c>
      <c r="M1464" s="5">
        <f>IF(YEAR(I1464)&lt;=2020,"Até 2020",TEXT(YEAR(I1464),"0"))</f>
        <v/>
      </c>
      <c r="N1464" s="5">
        <f>IFERROR(INDEX(DePara!$A:$A,MATCH(TEXT(B1464,"0"),DePara!$D:$D,0)),"(sem categoria)")</f>
        <v/>
      </c>
      <c r="O1464" s="5">
        <f>IF(J1464="","",Parametros!$B$6-J1464)</f>
        <v/>
      </c>
      <c r="P1464" s="5">
        <f>IF(O1464="","",IF(O1464&gt;0,1,0))</f>
        <v/>
      </c>
    </row>
    <row r="1465">
      <c r="A1465" s="5" t="n">
        <v>2122100000</v>
      </c>
      <c r="B1465" s="5" t="inlineStr">
        <is>
          <t>IC5000</t>
        </is>
      </c>
      <c r="C1465" s="5" t="inlineStr">
        <is>
          <t>NORDEX SE</t>
        </is>
      </c>
      <c r="D1465" s="5" t="inlineStr">
        <is>
          <t>UE</t>
        </is>
      </c>
      <c r="E1465" s="5" t="n">
        <v>200009478</v>
      </c>
      <c r="F1465" s="5" t="inlineStr">
        <is>
          <t>2021</t>
        </is>
      </c>
      <c r="G1465" s="5" t="inlineStr">
        <is>
          <t>EUR</t>
        </is>
      </c>
      <c r="H1465" s="9" t="n">
        <v>-3671248.64</v>
      </c>
      <c r="I1465" s="16" t="n">
        <v>45112</v>
      </c>
      <c r="J1465" s="16" t="n">
        <v>45112</v>
      </c>
      <c r="K1465" s="5" t="inlineStr">
        <is>
          <t>607109</t>
        </is>
      </c>
      <c r="L1465" s="5" t="inlineStr">
        <is>
          <t>403000.NORDEXMF</t>
        </is>
      </c>
      <c r="M1465" s="5">
        <f>IF(YEAR(I1465)&lt;=2020,"Até 2020",TEXT(YEAR(I1465),"0"))</f>
        <v/>
      </c>
      <c r="N1465" s="5">
        <f>IFERROR(INDEX(DePara!$A:$A,MATCH(TEXT(B1465,"0"),DePara!$D:$D,0)),"(sem categoria)")</f>
        <v/>
      </c>
      <c r="O1465" s="5">
        <f>IF(J1465="","",Parametros!$B$6-J1465)</f>
        <v/>
      </c>
      <c r="P1465" s="5">
        <f>IF(O1465="","",IF(O1465&gt;0,1,0))</f>
        <v/>
      </c>
    </row>
    <row r="1466">
      <c r="A1466" s="5" t="n">
        <v>2122100000</v>
      </c>
      <c r="B1466" s="5" t="inlineStr">
        <is>
          <t>IC5000</t>
        </is>
      </c>
      <c r="C1466" s="5" t="inlineStr">
        <is>
          <t>NORDEX SE</t>
        </is>
      </c>
      <c r="D1466" s="5" t="inlineStr">
        <is>
          <t>UE</t>
        </is>
      </c>
      <c r="E1466" s="5" t="n">
        <v>200009480</v>
      </c>
      <c r="F1466" s="5" t="inlineStr">
        <is>
          <t>2023</t>
        </is>
      </c>
      <c r="G1466" s="5" t="inlineStr">
        <is>
          <t>EUR</t>
        </is>
      </c>
      <c r="H1466" s="9" t="n">
        <v>-8343408.14</v>
      </c>
      <c r="I1466" s="16" t="n">
        <v>45117</v>
      </c>
      <c r="J1466" s="16" t="n">
        <v>45117</v>
      </c>
      <c r="K1466" s="5" t="inlineStr">
        <is>
          <t>607128</t>
        </is>
      </c>
      <c r="L1466" s="5" t="inlineStr">
        <is>
          <t>403000.NORDEXMF</t>
        </is>
      </c>
      <c r="M1466" s="5">
        <f>IF(YEAR(I1466)&lt;=2020,"Até 2020",TEXT(YEAR(I1466),"0"))</f>
        <v/>
      </c>
      <c r="N1466" s="5">
        <f>IFERROR(INDEX(DePara!$A:$A,MATCH(TEXT(B1466,"0"),DePara!$D:$D,0)),"(sem categoria)")</f>
        <v/>
      </c>
      <c r="O1466" s="5">
        <f>IF(J1466="","",Parametros!$B$6-J1466)</f>
        <v/>
      </c>
      <c r="P1466" s="5">
        <f>IF(O1466="","",IF(O1466&gt;0,1,0))</f>
        <v/>
      </c>
    </row>
    <row r="1467">
      <c r="A1467" s="5" t="n">
        <v>2122100000</v>
      </c>
      <c r="B1467" s="5" t="inlineStr">
        <is>
          <t>IC5000</t>
        </is>
      </c>
      <c r="C1467" s="5" t="inlineStr">
        <is>
          <t>NORDEX SE</t>
        </is>
      </c>
      <c r="D1467" s="5" t="inlineStr">
        <is>
          <t>UE</t>
        </is>
      </c>
      <c r="E1467" s="5" t="n">
        <v>200009481</v>
      </c>
      <c r="F1467" s="5" t="inlineStr">
        <is>
          <t>2024</t>
        </is>
      </c>
      <c r="G1467" s="5" t="inlineStr">
        <is>
          <t>EUR</t>
        </is>
      </c>
      <c r="H1467" s="9" t="n">
        <v>-3449166.68</v>
      </c>
      <c r="I1467" s="16" t="n">
        <v>45121</v>
      </c>
      <c r="J1467" s="16" t="n">
        <v>45121</v>
      </c>
      <c r="K1467" s="5" t="inlineStr">
        <is>
          <t>607193</t>
        </is>
      </c>
      <c r="L1467" s="5" t="inlineStr">
        <is>
          <t>403000.NORDEXMF</t>
        </is>
      </c>
      <c r="M1467" s="5">
        <f>IF(YEAR(I1467)&lt;=2020,"Até 2020",TEXT(YEAR(I1467),"0"))</f>
        <v/>
      </c>
      <c r="N1467" s="5">
        <f>IFERROR(INDEX(DePara!$A:$A,MATCH(TEXT(B1467,"0"),DePara!$D:$D,0)),"(sem categoria)")</f>
        <v/>
      </c>
      <c r="O1467" s="5">
        <f>IF(J1467="","",Parametros!$B$6-J1467)</f>
        <v/>
      </c>
      <c r="P1467" s="5">
        <f>IF(O1467="","",IF(O1467&gt;0,1,0))</f>
        <v/>
      </c>
    </row>
    <row r="1468">
      <c r="A1468" s="5" t="n">
        <v>2122100000</v>
      </c>
      <c r="B1468" s="5" t="inlineStr">
        <is>
          <t>IC1000</t>
        </is>
      </c>
      <c r="C1468" s="5" t="inlineStr">
        <is>
          <t>NORDEX ENERGY SE &amp; CO KG</t>
        </is>
      </c>
      <c r="D1468" s="5" t="inlineStr">
        <is>
          <t>UE</t>
        </is>
      </c>
      <c r="E1468" s="5" t="n">
        <v>200009482</v>
      </c>
      <c r="F1468" s="5" t="inlineStr">
        <is>
          <t>2025</t>
        </is>
      </c>
      <c r="G1468" s="5" t="inlineStr">
        <is>
          <t>EUR</t>
        </is>
      </c>
      <c r="H1468" s="9" t="n">
        <v>-1405117.43</v>
      </c>
      <c r="I1468" s="16" t="n">
        <v>43371</v>
      </c>
      <c r="J1468" s="16" t="n">
        <v>43371</v>
      </c>
      <c r="K1468" s="5" t="inlineStr">
        <is>
          <t>606730</t>
        </is>
      </c>
      <c r="L1468" s="5" t="inlineStr">
        <is>
          <t>403000.NORDENER</t>
        </is>
      </c>
      <c r="M1468" s="5">
        <f>IF(YEAR(I1468)&lt;=2020,"Até 2020",TEXT(YEAR(I1468),"0"))</f>
        <v/>
      </c>
      <c r="N1468" s="5">
        <f>IFERROR(INDEX(DePara!$A:$A,MATCH(TEXT(B1468,"0"),DePara!$D:$D,0)),"(sem categoria)")</f>
        <v/>
      </c>
      <c r="O1468" s="5">
        <f>IF(J1468="","",Parametros!$B$6-J1468)</f>
        <v/>
      </c>
      <c r="P1468" s="5">
        <f>IF(O1468="","",IF(O1468&gt;0,1,0))</f>
        <v/>
      </c>
    </row>
    <row r="1469">
      <c r="A1469" s="5" t="n">
        <v>2122100000</v>
      </c>
      <c r="B1469" s="5" t="inlineStr">
        <is>
          <t>IC1000</t>
        </is>
      </c>
      <c r="C1469" s="5" t="inlineStr">
        <is>
          <t>NORDEX ENERGY SE &amp; CO KG</t>
        </is>
      </c>
      <c r="D1469" s="5" t="inlineStr">
        <is>
          <t>UE</t>
        </is>
      </c>
      <c r="E1469" s="5" t="n">
        <v>200009483</v>
      </c>
      <c r="F1469" s="5" t="inlineStr">
        <is>
          <t>2026</t>
        </is>
      </c>
      <c r="G1469" s="5" t="inlineStr">
        <is>
          <t>EUR</t>
        </is>
      </c>
      <c r="H1469" s="9" t="n">
        <v>658.97</v>
      </c>
      <c r="I1469" s="16" t="n">
        <v>43465</v>
      </c>
      <c r="J1469" s="16" t="n">
        <v>43465</v>
      </c>
      <c r="K1469" s="5" t="inlineStr">
        <is>
          <t xml:space="preserve"> 607109</t>
        </is>
      </c>
      <c r="L1469" s="5" t="inlineStr">
        <is>
          <t>403000.NORDENER</t>
        </is>
      </c>
      <c r="M1469" s="5">
        <f>IF(YEAR(I1469)&lt;=2020,"Até 2020",TEXT(YEAR(I1469),"0"))</f>
        <v/>
      </c>
      <c r="N1469" s="5">
        <f>IFERROR(INDEX(DePara!$A:$A,MATCH(TEXT(B1469,"0"),DePara!$D:$D,0)),"(sem categoria)")</f>
        <v/>
      </c>
      <c r="O1469" s="5">
        <f>IF(J1469="","",Parametros!$B$6-J1469)</f>
        <v/>
      </c>
      <c r="P1469" s="5">
        <f>IF(O1469="","",IF(O1469&gt;0,1,0))</f>
        <v/>
      </c>
    </row>
    <row r="1470">
      <c r="A1470" s="5" t="n">
        <v>2122100000</v>
      </c>
      <c r="B1470" s="5" t="inlineStr">
        <is>
          <t>IC1000</t>
        </is>
      </c>
      <c r="C1470" s="5" t="inlineStr">
        <is>
          <t>NORDEX ENERGY SE &amp; CO KG</t>
        </is>
      </c>
      <c r="D1470" s="5" t="inlineStr">
        <is>
          <t>UE</t>
        </is>
      </c>
      <c r="E1470" s="5" t="n">
        <v>200009484</v>
      </c>
      <c r="F1470" s="5" t="inlineStr">
        <is>
          <t>2027</t>
        </is>
      </c>
      <c r="G1470" s="5" t="inlineStr">
        <is>
          <t>EUR</t>
        </is>
      </c>
      <c r="H1470" s="9" t="n">
        <v>-1658782.8</v>
      </c>
      <c r="I1470" s="16" t="n">
        <v>43555</v>
      </c>
      <c r="J1470" s="16" t="n">
        <v>43555</v>
      </c>
      <c r="K1470" s="5" t="inlineStr">
        <is>
          <t>607293</t>
        </is>
      </c>
      <c r="L1470" s="5" t="inlineStr">
        <is>
          <t>403000.NORDENER</t>
        </is>
      </c>
      <c r="M1470" s="5">
        <f>IF(YEAR(I1470)&lt;=2020,"Até 2020",TEXT(YEAR(I1470),"0"))</f>
        <v/>
      </c>
      <c r="N1470" s="5">
        <f>IFERROR(INDEX(DePara!$A:$A,MATCH(TEXT(B1470,"0"),DePara!$D:$D,0)),"(sem categoria)")</f>
        <v/>
      </c>
      <c r="O1470" s="5">
        <f>IF(J1470="","",Parametros!$B$6-J1470)</f>
        <v/>
      </c>
      <c r="P1470" s="5">
        <f>IF(O1470="","",IF(O1470&gt;0,1,0))</f>
        <v/>
      </c>
    </row>
    <row r="1471">
      <c r="A1471" s="5" t="n">
        <v>2122100000</v>
      </c>
      <c r="B1471" s="5" t="inlineStr">
        <is>
          <t>IC1000</t>
        </is>
      </c>
      <c r="C1471" s="5" t="inlineStr">
        <is>
          <t>NORDEX ENERGY SE &amp; CO KG</t>
        </is>
      </c>
      <c r="D1471" s="5" t="inlineStr">
        <is>
          <t>UE</t>
        </is>
      </c>
      <c r="E1471" s="5" t="n">
        <v>200009485</v>
      </c>
      <c r="F1471" s="5" t="inlineStr">
        <is>
          <t>2028</t>
        </is>
      </c>
      <c r="G1471" s="5" t="inlineStr">
        <is>
          <t>EUR</t>
        </is>
      </c>
      <c r="H1471" s="9" t="n">
        <v>-1672527.5</v>
      </c>
      <c r="I1471" s="16" t="n">
        <v>43646</v>
      </c>
      <c r="J1471" s="16" t="n">
        <v>43646</v>
      </c>
      <c r="K1471" s="5" t="inlineStr">
        <is>
          <t>607490</t>
        </is>
      </c>
      <c r="L1471" s="5" t="inlineStr">
        <is>
          <t>403000.NORDENER</t>
        </is>
      </c>
      <c r="M1471" s="5">
        <f>IF(YEAR(I1471)&lt;=2020,"Até 2020",TEXT(YEAR(I1471),"0"))</f>
        <v/>
      </c>
      <c r="N1471" s="5">
        <f>IFERROR(INDEX(DePara!$A:$A,MATCH(TEXT(B1471,"0"),DePara!$D:$D,0)),"(sem categoria)")</f>
        <v/>
      </c>
      <c r="O1471" s="5">
        <f>IF(J1471="","",Parametros!$B$6-J1471)</f>
        <v/>
      </c>
      <c r="P1471" s="5">
        <f>IF(O1471="","",IF(O1471&gt;0,1,0))</f>
        <v/>
      </c>
    </row>
    <row r="1472">
      <c r="A1472" s="5" t="n">
        <v>2122100000</v>
      </c>
      <c r="B1472" s="5" t="inlineStr">
        <is>
          <t>IC1000</t>
        </is>
      </c>
      <c r="C1472" s="5" t="inlineStr">
        <is>
          <t>NORDEX ENERGY SE &amp; CO KG</t>
        </is>
      </c>
      <c r="D1472" s="5" t="inlineStr">
        <is>
          <t>UE</t>
        </is>
      </c>
      <c r="E1472" s="5" t="n">
        <v>200009486</v>
      </c>
      <c r="F1472" s="5" t="inlineStr">
        <is>
          <t>2029</t>
        </is>
      </c>
      <c r="G1472" s="5" t="inlineStr">
        <is>
          <t>EUR</t>
        </is>
      </c>
      <c r="H1472" s="9" t="n">
        <v>-2136126.05</v>
      </c>
      <c r="I1472" s="16" t="n">
        <v>43738</v>
      </c>
      <c r="J1472" s="16" t="n">
        <v>43738</v>
      </c>
      <c r="K1472" s="5" t="inlineStr">
        <is>
          <t>607850</t>
        </is>
      </c>
      <c r="L1472" s="5" t="inlineStr">
        <is>
          <t>403000.NORDENER</t>
        </is>
      </c>
      <c r="M1472" s="5">
        <f>IF(YEAR(I1472)&lt;=2020,"Até 2020",TEXT(YEAR(I1472),"0"))</f>
        <v/>
      </c>
      <c r="N1472" s="5">
        <f>IFERROR(INDEX(DePara!$A:$A,MATCH(TEXT(B1472,"0"),DePara!$D:$D,0)),"(sem categoria)")</f>
        <v/>
      </c>
      <c r="O1472" s="5">
        <f>IF(J1472="","",Parametros!$B$6-J1472)</f>
        <v/>
      </c>
      <c r="P1472" s="5">
        <f>IF(O1472="","",IF(O1472&gt;0,1,0))</f>
        <v/>
      </c>
    </row>
    <row r="1473">
      <c r="A1473" s="5" t="n">
        <v>2122100000</v>
      </c>
      <c r="B1473" s="5" t="inlineStr">
        <is>
          <t>IC1000</t>
        </is>
      </c>
      <c r="C1473" s="5" t="inlineStr">
        <is>
          <t>NORDEX ENERGY SE &amp; CO KG</t>
        </is>
      </c>
      <c r="D1473" s="5" t="inlineStr">
        <is>
          <t>UE</t>
        </is>
      </c>
      <c r="E1473" s="5" t="n">
        <v>200009489</v>
      </c>
      <c r="F1473" s="5" t="inlineStr">
        <is>
          <t>2031</t>
        </is>
      </c>
      <c r="G1473" s="5" t="inlineStr">
        <is>
          <t>EUR</t>
        </is>
      </c>
      <c r="H1473" s="9" t="n">
        <v>-2578346.02</v>
      </c>
      <c r="I1473" s="16" t="n">
        <v>43830</v>
      </c>
      <c r="J1473" s="16" t="n">
        <v>43830</v>
      </c>
      <c r="K1473" s="5" t="inlineStr">
        <is>
          <t>608582</t>
        </is>
      </c>
      <c r="L1473" s="5" t="inlineStr">
        <is>
          <t>403000.NORDENER</t>
        </is>
      </c>
      <c r="M1473" s="5">
        <f>IF(YEAR(I1473)&lt;=2020,"Até 2020",TEXT(YEAR(I1473),"0"))</f>
        <v/>
      </c>
      <c r="N1473" s="5">
        <f>IFERROR(INDEX(DePara!$A:$A,MATCH(TEXT(B1473,"0"),DePara!$D:$D,0)),"(sem categoria)")</f>
        <v/>
      </c>
      <c r="O1473" s="5">
        <f>IF(J1473="","",Parametros!$B$6-J1473)</f>
        <v/>
      </c>
      <c r="P1473" s="5">
        <f>IF(O1473="","",IF(O1473&gt;0,1,0))</f>
        <v/>
      </c>
    </row>
    <row r="1474">
      <c r="A1474" s="5" t="n">
        <v>2122100000</v>
      </c>
      <c r="B1474" s="5" t="inlineStr">
        <is>
          <t>IC1000</t>
        </is>
      </c>
      <c r="C1474" s="5" t="inlineStr">
        <is>
          <t>NORDEX ENERGY SE &amp; CO KG</t>
        </is>
      </c>
      <c r="D1474" s="5" t="inlineStr">
        <is>
          <t>UE</t>
        </is>
      </c>
      <c r="E1474" s="5" t="n">
        <v>200009490</v>
      </c>
      <c r="F1474" s="5" t="inlineStr">
        <is>
          <t>2032</t>
        </is>
      </c>
      <c r="G1474" s="5" t="inlineStr">
        <is>
          <t>EUR</t>
        </is>
      </c>
      <c r="H1474" s="9" t="n">
        <v>-2150193.97</v>
      </c>
      <c r="I1474" s="16" t="n">
        <v>43921</v>
      </c>
      <c r="J1474" s="16" t="n">
        <v>43921</v>
      </c>
      <c r="K1474" s="5" t="inlineStr">
        <is>
          <t>608802</t>
        </is>
      </c>
      <c r="L1474" s="5" t="inlineStr">
        <is>
          <t>403000.NORDENER</t>
        </is>
      </c>
      <c r="M1474" s="5">
        <f>IF(YEAR(I1474)&lt;=2020,"Até 2020",TEXT(YEAR(I1474),"0"))</f>
        <v/>
      </c>
      <c r="N1474" s="5">
        <f>IFERROR(INDEX(DePara!$A:$A,MATCH(TEXT(B1474,"0"),DePara!$D:$D,0)),"(sem categoria)")</f>
        <v/>
      </c>
      <c r="O1474" s="5">
        <f>IF(J1474="","",Parametros!$B$6-J1474)</f>
        <v/>
      </c>
      <c r="P1474" s="5">
        <f>IF(O1474="","",IF(O1474&gt;0,1,0))</f>
        <v/>
      </c>
    </row>
    <row r="1475">
      <c r="A1475" s="5" t="n">
        <v>2122100000</v>
      </c>
      <c r="B1475" s="5" t="inlineStr">
        <is>
          <t>IC1000</t>
        </is>
      </c>
      <c r="C1475" s="5" t="inlineStr">
        <is>
          <t>NORDEX ENERGY SE &amp; CO KG</t>
        </is>
      </c>
      <c r="D1475" s="5" t="inlineStr">
        <is>
          <t>UE</t>
        </is>
      </c>
      <c r="E1475" s="5" t="n">
        <v>200009491</v>
      </c>
      <c r="F1475" s="5" t="inlineStr">
        <is>
          <t>2033</t>
        </is>
      </c>
      <c r="G1475" s="5" t="inlineStr">
        <is>
          <t>EUR</t>
        </is>
      </c>
      <c r="H1475" s="9" t="n">
        <v>-2850893.19</v>
      </c>
      <c r="I1475" s="16" t="n">
        <v>44012</v>
      </c>
      <c r="J1475" s="16" t="n">
        <v>44012</v>
      </c>
      <c r="K1475" s="5" t="inlineStr">
        <is>
          <t>609009</t>
        </is>
      </c>
      <c r="L1475" s="5" t="inlineStr">
        <is>
          <t>403000.NORDENER</t>
        </is>
      </c>
      <c r="M1475" s="5">
        <f>IF(YEAR(I1475)&lt;=2020,"Até 2020",TEXT(YEAR(I1475),"0"))</f>
        <v/>
      </c>
      <c r="N1475" s="5">
        <f>IFERROR(INDEX(DePara!$A:$A,MATCH(TEXT(B1475,"0"),DePara!$D:$D,0)),"(sem categoria)")</f>
        <v/>
      </c>
      <c r="O1475" s="5">
        <f>IF(J1475="","",Parametros!$B$6-J1475)</f>
        <v/>
      </c>
      <c r="P1475" s="5">
        <f>IF(O1475="","",IF(O1475&gt;0,1,0))</f>
        <v/>
      </c>
    </row>
    <row r="1476">
      <c r="A1476" s="5" t="n">
        <v>2122100000</v>
      </c>
      <c r="B1476" s="5" t="inlineStr">
        <is>
          <t>IC1000</t>
        </is>
      </c>
      <c r="C1476" s="5" t="inlineStr">
        <is>
          <t>NORDEX ENERGY SE &amp; CO KG</t>
        </is>
      </c>
      <c r="D1476" s="5" t="inlineStr">
        <is>
          <t>UE</t>
        </is>
      </c>
      <c r="E1476" s="5" t="n">
        <v>200009492</v>
      </c>
      <c r="F1476" s="5" t="inlineStr">
        <is>
          <t>2034</t>
        </is>
      </c>
      <c r="G1476" s="5" t="inlineStr">
        <is>
          <t>EUR</t>
        </is>
      </c>
      <c r="H1476" s="9" t="n">
        <v>-3358134.64</v>
      </c>
      <c r="I1476" s="16" t="n">
        <v>44104</v>
      </c>
      <c r="J1476" s="16" t="n">
        <v>44104</v>
      </c>
      <c r="K1476" s="5" t="inlineStr">
        <is>
          <t>609340</t>
        </is>
      </c>
      <c r="L1476" s="5" t="inlineStr">
        <is>
          <t>403000.NORDENER</t>
        </is>
      </c>
      <c r="M1476" s="5">
        <f>IF(YEAR(I1476)&lt;=2020,"Até 2020",TEXT(YEAR(I1476),"0"))</f>
        <v/>
      </c>
      <c r="N1476" s="5">
        <f>IFERROR(INDEX(DePara!$A:$A,MATCH(TEXT(B1476,"0"),DePara!$D:$D,0)),"(sem categoria)")</f>
        <v/>
      </c>
      <c r="O1476" s="5">
        <f>IF(J1476="","",Parametros!$B$6-J1476)</f>
        <v/>
      </c>
      <c r="P1476" s="5">
        <f>IF(O1476="","",IF(O1476&gt;0,1,0))</f>
        <v/>
      </c>
    </row>
    <row r="1477">
      <c r="A1477" s="5" t="n">
        <v>2122100000</v>
      </c>
      <c r="B1477" s="5" t="inlineStr">
        <is>
          <t>IC1000</t>
        </is>
      </c>
      <c r="C1477" s="5" t="inlineStr">
        <is>
          <t>NORDEX ENERGY SE &amp; CO KG</t>
        </is>
      </c>
      <c r="D1477" s="5" t="inlineStr">
        <is>
          <t>UE</t>
        </is>
      </c>
      <c r="E1477" s="5" t="n">
        <v>200009493</v>
      </c>
      <c r="F1477" s="5" t="inlineStr">
        <is>
          <t>2035</t>
        </is>
      </c>
      <c r="G1477" s="5" t="inlineStr">
        <is>
          <t>EUR</t>
        </is>
      </c>
      <c r="H1477" s="9" t="n">
        <v>-3749333.56</v>
      </c>
      <c r="I1477" s="16" t="n">
        <v>44196</v>
      </c>
      <c r="J1477" s="16" t="n">
        <v>44196</v>
      </c>
      <c r="K1477" s="5" t="inlineStr">
        <is>
          <t>609780</t>
        </is>
      </c>
      <c r="L1477" s="5" t="inlineStr">
        <is>
          <t>403000.NORDENER</t>
        </is>
      </c>
      <c r="M1477" s="5">
        <f>IF(YEAR(I1477)&lt;=2020,"Até 2020",TEXT(YEAR(I1477),"0"))</f>
        <v/>
      </c>
      <c r="N1477" s="5">
        <f>IFERROR(INDEX(DePara!$A:$A,MATCH(TEXT(B1477,"0"),DePara!$D:$D,0)),"(sem categoria)")</f>
        <v/>
      </c>
      <c r="O1477" s="5">
        <f>IF(J1477="","",Parametros!$B$6-J1477)</f>
        <v/>
      </c>
      <c r="P1477" s="5">
        <f>IF(O1477="","",IF(O1477&gt;0,1,0))</f>
        <v/>
      </c>
    </row>
    <row r="1478">
      <c r="A1478" s="5" t="n">
        <v>2122100000</v>
      </c>
      <c r="B1478" s="5" t="inlineStr">
        <is>
          <t>IC1000</t>
        </is>
      </c>
      <c r="C1478" s="5" t="inlineStr">
        <is>
          <t>NORDEX ENERGY SE &amp; CO KG</t>
        </is>
      </c>
      <c r="D1478" s="5" t="inlineStr">
        <is>
          <t>UE</t>
        </is>
      </c>
      <c r="E1478" s="5" t="n">
        <v>200009495</v>
      </c>
      <c r="F1478" s="5" t="inlineStr">
        <is>
          <t>2037</t>
        </is>
      </c>
      <c r="G1478" s="5" t="inlineStr">
        <is>
          <t>EUR</t>
        </is>
      </c>
      <c r="H1478" s="9" t="n">
        <v>-1779652.47</v>
      </c>
      <c r="I1478" s="16" t="n">
        <v>44286</v>
      </c>
      <c r="J1478" s="16" t="n">
        <v>44286</v>
      </c>
      <c r="K1478" s="5" t="inlineStr">
        <is>
          <t>610084</t>
        </is>
      </c>
      <c r="L1478" s="5" t="inlineStr">
        <is>
          <t>403000.NORDENER</t>
        </is>
      </c>
      <c r="M1478" s="5">
        <f>IF(YEAR(I1478)&lt;=2020,"Até 2020",TEXT(YEAR(I1478),"0"))</f>
        <v/>
      </c>
      <c r="N1478" s="5">
        <f>IFERROR(INDEX(DePara!$A:$A,MATCH(TEXT(B1478,"0"),DePara!$D:$D,0)),"(sem categoria)")</f>
        <v/>
      </c>
      <c r="O1478" s="5">
        <f>IF(J1478="","",Parametros!$B$6-J1478)</f>
        <v/>
      </c>
      <c r="P1478" s="5">
        <f>IF(O1478="","",IF(O1478&gt;0,1,0))</f>
        <v/>
      </c>
    </row>
    <row r="1479">
      <c r="A1479" s="5" t="n">
        <v>2122100000</v>
      </c>
      <c r="B1479" s="5" t="inlineStr">
        <is>
          <t>IC1000</t>
        </is>
      </c>
      <c r="C1479" s="5" t="inlineStr">
        <is>
          <t>NORDEX ENERGY SE &amp; CO KG</t>
        </is>
      </c>
      <c r="D1479" s="5" t="inlineStr">
        <is>
          <t>UE</t>
        </is>
      </c>
      <c r="E1479" s="5" t="n">
        <v>200009496</v>
      </c>
      <c r="F1479" s="5" t="inlineStr">
        <is>
          <t>2038</t>
        </is>
      </c>
      <c r="G1479" s="5" t="inlineStr">
        <is>
          <t>EUR</t>
        </is>
      </c>
      <c r="H1479" s="9" t="n">
        <v>-344331.54</v>
      </c>
      <c r="I1479" s="16" t="n">
        <v>44286</v>
      </c>
      <c r="J1479" s="16" t="n">
        <v>44286</v>
      </c>
      <c r="K1479" s="5" t="inlineStr">
        <is>
          <t>610084.1</t>
        </is>
      </c>
      <c r="L1479" s="5" t="inlineStr">
        <is>
          <t>403000.NORDENER</t>
        </is>
      </c>
      <c r="M1479" s="5">
        <f>IF(YEAR(I1479)&lt;=2020,"Até 2020",TEXT(YEAR(I1479),"0"))</f>
        <v/>
      </c>
      <c r="N1479" s="5">
        <f>IFERROR(INDEX(DePara!$A:$A,MATCH(TEXT(B1479,"0"),DePara!$D:$D,0)),"(sem categoria)")</f>
        <v/>
      </c>
      <c r="O1479" s="5">
        <f>IF(J1479="","",Parametros!$B$6-J1479)</f>
        <v/>
      </c>
      <c r="P1479" s="5">
        <f>IF(O1479="","",IF(O1479&gt;0,1,0))</f>
        <v/>
      </c>
    </row>
    <row r="1480">
      <c r="A1480" s="5" t="n">
        <v>2122100000</v>
      </c>
      <c r="B1480" s="5" t="inlineStr">
        <is>
          <t>IC1000</t>
        </is>
      </c>
      <c r="C1480" s="5" t="inlineStr">
        <is>
          <t>NORDEX ENERGY SE &amp; CO KG</t>
        </is>
      </c>
      <c r="D1480" s="5" t="inlineStr">
        <is>
          <t>UE</t>
        </is>
      </c>
      <c r="E1480" s="5" t="n">
        <v>200009497</v>
      </c>
      <c r="F1480" s="5" t="inlineStr">
        <is>
          <t>2039</t>
        </is>
      </c>
      <c r="G1480" s="5" t="inlineStr">
        <is>
          <t>EUR</t>
        </is>
      </c>
      <c r="H1480" s="9" t="n">
        <v>-277339.52</v>
      </c>
      <c r="I1480" s="16" t="n">
        <v>44286</v>
      </c>
      <c r="J1480" s="16" t="n">
        <v>44286</v>
      </c>
      <c r="K1480" s="5" t="inlineStr">
        <is>
          <t>610084.2</t>
        </is>
      </c>
      <c r="L1480" s="5" t="inlineStr">
        <is>
          <t>403000.NORDENER</t>
        </is>
      </c>
      <c r="M1480" s="5">
        <f>IF(YEAR(I1480)&lt;=2020,"Até 2020",TEXT(YEAR(I1480),"0"))</f>
        <v/>
      </c>
      <c r="N1480" s="5">
        <f>IFERROR(INDEX(DePara!$A:$A,MATCH(TEXT(B1480,"0"),DePara!$D:$D,0)),"(sem categoria)")</f>
        <v/>
      </c>
      <c r="O1480" s="5">
        <f>IF(J1480="","",Parametros!$B$6-J1480)</f>
        <v/>
      </c>
      <c r="P1480" s="5">
        <f>IF(O1480="","",IF(O1480&gt;0,1,0))</f>
        <v/>
      </c>
    </row>
    <row r="1481">
      <c r="A1481" s="5" t="n">
        <v>2122100000</v>
      </c>
      <c r="B1481" s="5" t="inlineStr">
        <is>
          <t>IC1000</t>
        </is>
      </c>
      <c r="C1481" s="5" t="inlineStr">
        <is>
          <t>NORDEX ENERGY SE &amp; CO KG</t>
        </is>
      </c>
      <c r="D1481" s="5" t="inlineStr">
        <is>
          <t>UE</t>
        </is>
      </c>
      <c r="E1481" s="5" t="n">
        <v>200009499</v>
      </c>
      <c r="F1481" s="5" t="inlineStr">
        <is>
          <t>2040</t>
        </is>
      </c>
      <c r="G1481" s="5" t="inlineStr">
        <is>
          <t>EUR</t>
        </is>
      </c>
      <c r="H1481" s="9" t="n">
        <v>-1463971.32</v>
      </c>
      <c r="I1481" s="16" t="n">
        <v>44286</v>
      </c>
      <c r="J1481" s="16" t="n">
        <v>44286</v>
      </c>
      <c r="K1481" s="5" t="inlineStr">
        <is>
          <t>610084.3</t>
        </is>
      </c>
      <c r="L1481" s="5" t="inlineStr">
        <is>
          <t>403000.NORDENER</t>
        </is>
      </c>
      <c r="M1481" s="5">
        <f>IF(YEAR(I1481)&lt;=2020,"Até 2020",TEXT(YEAR(I1481),"0"))</f>
        <v/>
      </c>
      <c r="N1481" s="5">
        <f>IFERROR(INDEX(DePara!$A:$A,MATCH(TEXT(B1481,"0"),DePara!$D:$D,0)),"(sem categoria)")</f>
        <v/>
      </c>
      <c r="O1481" s="5">
        <f>IF(J1481="","",Parametros!$B$6-J1481)</f>
        <v/>
      </c>
      <c r="P1481" s="5">
        <f>IF(O1481="","",IF(O1481&gt;0,1,0))</f>
        <v/>
      </c>
    </row>
    <row r="1482">
      <c r="A1482" s="5" t="n">
        <v>2122100000</v>
      </c>
      <c r="B1482" s="5" t="inlineStr">
        <is>
          <t>IC1000</t>
        </is>
      </c>
      <c r="C1482" s="5" t="inlineStr">
        <is>
          <t>NORDEX ENERGY SE &amp; CO KG</t>
        </is>
      </c>
      <c r="D1482" s="5" t="inlineStr">
        <is>
          <t>UE</t>
        </is>
      </c>
      <c r="E1482" s="5" t="n">
        <v>200009500</v>
      </c>
      <c r="F1482" s="5" t="inlineStr">
        <is>
          <t>2041</t>
        </is>
      </c>
      <c r="G1482" s="5" t="inlineStr">
        <is>
          <t>EUR</t>
        </is>
      </c>
      <c r="H1482" s="9" t="n">
        <v>-5270110.61</v>
      </c>
      <c r="I1482" s="16" t="n">
        <v>44377</v>
      </c>
      <c r="J1482" s="16" t="n">
        <v>44377</v>
      </c>
      <c r="K1482" s="5" t="inlineStr">
        <is>
          <t>610432</t>
        </is>
      </c>
      <c r="L1482" s="5" t="inlineStr">
        <is>
          <t>403000.NORDENER</t>
        </is>
      </c>
      <c r="M1482" s="5">
        <f>IF(YEAR(I1482)&lt;=2020,"Até 2020",TEXT(YEAR(I1482),"0"))</f>
        <v/>
      </c>
      <c r="N1482" s="5">
        <f>IFERROR(INDEX(DePara!$A:$A,MATCH(TEXT(B1482,"0"),DePara!$D:$D,0)),"(sem categoria)")</f>
        <v/>
      </c>
      <c r="O1482" s="5">
        <f>IF(J1482="","",Parametros!$B$6-J1482)</f>
        <v/>
      </c>
      <c r="P1482" s="5">
        <f>IF(O1482="","",IF(O1482&gt;0,1,0))</f>
        <v/>
      </c>
    </row>
    <row r="1483">
      <c r="A1483" s="5" t="n">
        <v>2122100000</v>
      </c>
      <c r="B1483" s="5" t="inlineStr">
        <is>
          <t>IC4420</t>
        </is>
      </c>
      <c r="C1483" s="5" t="inlineStr">
        <is>
          <t>NORDEX ENERGY SPAIN S A U</t>
        </is>
      </c>
      <c r="D1483" s="5" t="inlineStr">
        <is>
          <t>UE</t>
        </is>
      </c>
      <c r="E1483" s="5" t="n">
        <v>200014762</v>
      </c>
      <c r="F1483" s="5" t="inlineStr">
        <is>
          <t>1476</t>
        </is>
      </c>
      <c r="G1483" s="5" t="inlineStr">
        <is>
          <t>EUR</t>
        </is>
      </c>
      <c r="H1483" s="9" t="n">
        <v>-5281.76</v>
      </c>
      <c r="I1483" s="16" t="n">
        <v>44187</v>
      </c>
      <c r="J1483" s="16" t="n">
        <v>44187</v>
      </c>
      <c r="K1483" s="5" t="inlineStr">
        <is>
          <t>4010004415</t>
        </is>
      </c>
      <c r="L1483" s="5" t="inlineStr">
        <is>
          <t>403000.INGE</t>
        </is>
      </c>
      <c r="M1483" s="5">
        <f>IF(YEAR(I1483)&lt;=2020,"Até 2020",TEXT(YEAR(I1483),"0"))</f>
        <v/>
      </c>
      <c r="N1483" s="5">
        <f>IFERROR(INDEX(DePara!$A:$A,MATCH(TEXT(B1483,"0"),DePara!$D:$D,0)),"(sem categoria)")</f>
        <v/>
      </c>
      <c r="O1483" s="5">
        <f>IF(J1483="","",Parametros!$B$6-J1483)</f>
        <v/>
      </c>
      <c r="P1483" s="5">
        <f>IF(O1483="","",IF(O1483&gt;0,1,0))</f>
        <v/>
      </c>
    </row>
    <row r="1484">
      <c r="A1484" s="5" t="n">
        <v>2122100000</v>
      </c>
      <c r="B1484" s="5" t="inlineStr">
        <is>
          <t>IC1000</t>
        </is>
      </c>
      <c r="C1484" s="5" t="inlineStr">
        <is>
          <t>NORDEX ENERGY SE &amp; CO KG</t>
        </is>
      </c>
      <c r="D1484" s="5" t="inlineStr">
        <is>
          <t>AB</t>
        </is>
      </c>
      <c r="E1484" s="5" t="n">
        <v>1100000457</v>
      </c>
      <c r="F1484" s="5" t="inlineStr">
        <is>
          <t>1179179</t>
        </is>
      </c>
      <c r="G1484" s="5" t="inlineStr">
        <is>
          <t>EUR</t>
        </is>
      </c>
      <c r="H1484" s="9" t="n">
        <v>-7307.28</v>
      </c>
      <c r="I1484" s="16" t="n">
        <v>45353</v>
      </c>
      <c r="J1484" s="16" t="n">
        <v>45353</v>
      </c>
      <c r="K1484" s="5" t="inlineStr">
        <is>
          <t>Clearing document NORDEX ENERGY SE &amp; CO. KG 117917</t>
        </is>
      </c>
      <c r="L1484" s="5" t="n"/>
      <c r="M1484" s="5">
        <f>IF(YEAR(I1484)&lt;=2020,"Até 2020",TEXT(YEAR(I1484),"0"))</f>
        <v/>
      </c>
      <c r="N1484" s="5">
        <f>IFERROR(INDEX(DePara!$A:$A,MATCH(TEXT(B1484,"0"),DePara!$D:$D,0)),"(sem categoria)")</f>
        <v/>
      </c>
      <c r="O1484" s="5">
        <f>IF(J1484="","",Parametros!$B$6-J1484)</f>
        <v/>
      </c>
      <c r="P1484" s="5">
        <f>IF(O1484="","",IF(O1484&gt;0,1,0))</f>
        <v/>
      </c>
    </row>
    <row r="1485">
      <c r="A1485" s="5" t="n">
        <v>2122100000</v>
      </c>
      <c r="B1485" s="5" t="inlineStr">
        <is>
          <t>IC1000</t>
        </is>
      </c>
      <c r="C1485" s="5" t="inlineStr">
        <is>
          <t>NORDEX ENERGY SE &amp; CO KG</t>
        </is>
      </c>
      <c r="D1485" s="5" t="inlineStr">
        <is>
          <t>AB</t>
        </is>
      </c>
      <c r="E1485" s="5" t="n">
        <v>1100010043</v>
      </c>
      <c r="F1485" s="5" t="inlineStr">
        <is>
          <t>617549</t>
        </is>
      </c>
      <c r="G1485" s="5" t="inlineStr">
        <is>
          <t>EUR</t>
        </is>
      </c>
      <c r="H1485" s="9" t="n">
        <v>-70801.72</v>
      </c>
      <c r="I1485" s="16" t="n">
        <v>45591</v>
      </c>
      <c r="J1485" s="16" t="n">
        <v>45591</v>
      </c>
      <c r="K1485" s="5" t="inlineStr">
        <is>
          <t>Clearing document NORDEX ENERGY SE &amp; CO KG 617549</t>
        </is>
      </c>
      <c r="L1485" s="5" t="inlineStr">
        <is>
          <t>617549</t>
        </is>
      </c>
      <c r="M1485" s="5">
        <f>IF(YEAR(I1485)&lt;=2020,"Até 2020",TEXT(YEAR(I1485),"0"))</f>
        <v/>
      </c>
      <c r="N1485" s="5">
        <f>IFERROR(INDEX(DePara!$A:$A,MATCH(TEXT(B1485,"0"),DePara!$D:$D,0)),"(sem categoria)")</f>
        <v/>
      </c>
      <c r="O1485" s="5">
        <f>IF(J1485="","",Parametros!$B$6-J1485)</f>
        <v/>
      </c>
      <c r="P1485" s="5">
        <f>IF(O1485="","",IF(O1485&gt;0,1,0))</f>
        <v/>
      </c>
    </row>
    <row r="1486">
      <c r="A1486" s="5" t="n">
        <v>2122100000</v>
      </c>
      <c r="B1486" s="5" t="inlineStr">
        <is>
          <t>IC1000</t>
        </is>
      </c>
      <c r="C1486" s="5" t="inlineStr">
        <is>
          <t>NORDEX ENERGY SE &amp; CO KG</t>
        </is>
      </c>
      <c r="D1486" s="5" t="inlineStr">
        <is>
          <t>AB</t>
        </is>
      </c>
      <c r="E1486" s="5" t="n">
        <v>1100010044</v>
      </c>
      <c r="F1486" s="5" t="inlineStr">
        <is>
          <t>4012341712</t>
        </is>
      </c>
      <c r="G1486" s="5" t="inlineStr">
        <is>
          <t>EUR</t>
        </is>
      </c>
      <c r="H1486" s="9" t="n">
        <v>-43538.27</v>
      </c>
      <c r="I1486" s="16" t="n">
        <v>45595</v>
      </c>
      <c r="J1486" s="16" t="n">
        <v>45595</v>
      </c>
      <c r="K1486" s="5" t="inlineStr">
        <is>
          <t>4012341712</t>
        </is>
      </c>
      <c r="L1486" s="5" t="inlineStr">
        <is>
          <t>4012341712</t>
        </is>
      </c>
      <c r="M1486" s="5">
        <f>IF(YEAR(I1486)&lt;=2020,"Até 2020",TEXT(YEAR(I1486),"0"))</f>
        <v/>
      </c>
      <c r="N1486" s="5">
        <f>IFERROR(INDEX(DePara!$A:$A,MATCH(TEXT(B1486,"0"),DePara!$D:$D,0)),"(sem categoria)")</f>
        <v/>
      </c>
      <c r="O1486" s="5">
        <f>IF(J1486="","",Parametros!$B$6-J1486)</f>
        <v/>
      </c>
      <c r="P1486" s="5">
        <f>IF(O1486="","",IF(O1486&gt;0,1,0))</f>
        <v/>
      </c>
    </row>
    <row r="1487">
      <c r="A1487" s="5" t="n">
        <v>2122100000</v>
      </c>
      <c r="B1487" s="5" t="inlineStr">
        <is>
          <t>IC1000</t>
        </is>
      </c>
      <c r="C1487" s="5" t="inlineStr">
        <is>
          <t>NORDEX ENERGY SE &amp; CO KG</t>
        </is>
      </c>
      <c r="D1487" s="5" t="inlineStr">
        <is>
          <t>AB</t>
        </is>
      </c>
      <c r="E1487" s="5" t="n">
        <v>1100010045</v>
      </c>
      <c r="F1487" s="5" t="inlineStr">
        <is>
          <t>4012341711</t>
        </is>
      </c>
      <c r="G1487" s="5" t="inlineStr">
        <is>
          <t>EUR</t>
        </is>
      </c>
      <c r="H1487" s="9" t="n">
        <v>-21804.17</v>
      </c>
      <c r="I1487" s="16" t="n">
        <v>45595</v>
      </c>
      <c r="J1487" s="16" t="n">
        <v>45595</v>
      </c>
      <c r="K1487" s="5" t="inlineStr">
        <is>
          <t>4012341711</t>
        </is>
      </c>
      <c r="L1487" s="5" t="inlineStr">
        <is>
          <t>4012341711</t>
        </is>
      </c>
      <c r="M1487" s="5">
        <f>IF(YEAR(I1487)&lt;=2020,"Até 2020",TEXT(YEAR(I1487),"0"))</f>
        <v/>
      </c>
      <c r="N1487" s="5">
        <f>IFERROR(INDEX(DePara!$A:$A,MATCH(TEXT(B1487,"0"),DePara!$D:$D,0)),"(sem categoria)")</f>
        <v/>
      </c>
      <c r="O1487" s="5">
        <f>IF(J1487="","",Parametros!$B$6-J1487)</f>
        <v/>
      </c>
      <c r="P1487" s="5">
        <f>IF(O1487="","",IF(O1487&gt;0,1,0))</f>
        <v/>
      </c>
    </row>
    <row r="1488">
      <c r="A1488" s="5" t="n">
        <v>2122100000</v>
      </c>
      <c r="B1488" s="5" t="inlineStr">
        <is>
          <t>IC1000</t>
        </is>
      </c>
      <c r="C1488" s="5" t="inlineStr">
        <is>
          <t>NORDEX ENERGY SE &amp; CO KG</t>
        </is>
      </c>
      <c r="D1488" s="5" t="inlineStr">
        <is>
          <t>AB</t>
        </is>
      </c>
      <c r="E1488" s="5" t="n">
        <v>1100010046</v>
      </c>
      <c r="F1488" s="5" t="inlineStr">
        <is>
          <t>4012384856</t>
        </is>
      </c>
      <c r="G1488" s="5" t="inlineStr">
        <is>
          <t>EUR</t>
        </is>
      </c>
      <c r="H1488" s="9" t="n">
        <v>-157684.14</v>
      </c>
      <c r="I1488" s="16" t="n">
        <v>45595</v>
      </c>
      <c r="J1488" s="16" t="n">
        <v>45595</v>
      </c>
      <c r="K1488" s="5" t="inlineStr">
        <is>
          <t>4012384856</t>
        </is>
      </c>
      <c r="L1488" s="5" t="inlineStr">
        <is>
          <t>4012384856</t>
        </is>
      </c>
      <c r="M1488" s="5">
        <f>IF(YEAR(I1488)&lt;=2020,"Até 2020",TEXT(YEAR(I1488),"0"))</f>
        <v/>
      </c>
      <c r="N1488" s="5">
        <f>IFERROR(INDEX(DePara!$A:$A,MATCH(TEXT(B1488,"0"),DePara!$D:$D,0)),"(sem categoria)")</f>
        <v/>
      </c>
      <c r="O1488" s="5">
        <f>IF(J1488="","",Parametros!$B$6-J1488)</f>
        <v/>
      </c>
      <c r="P1488" s="5">
        <f>IF(O1488="","",IF(O1488&gt;0,1,0))</f>
        <v/>
      </c>
    </row>
    <row r="1489">
      <c r="A1489" s="5" t="n">
        <v>2122100000</v>
      </c>
      <c r="B1489" s="5" t="inlineStr">
        <is>
          <t>IC1000</t>
        </is>
      </c>
      <c r="C1489" s="5" t="inlineStr">
        <is>
          <t>NORDEX ENERGY SE &amp; CO KG</t>
        </is>
      </c>
      <c r="D1489" s="5" t="inlineStr">
        <is>
          <t>AB</t>
        </is>
      </c>
      <c r="E1489" s="5" t="n">
        <v>1100010047</v>
      </c>
      <c r="F1489" s="5" t="inlineStr">
        <is>
          <t>4012341713</t>
        </is>
      </c>
      <c r="G1489" s="5" t="inlineStr">
        <is>
          <t>EUR</t>
        </is>
      </c>
      <c r="H1489" s="9" t="n">
        <v>-810402.24</v>
      </c>
      <c r="I1489" s="16" t="n">
        <v>45595</v>
      </c>
      <c r="J1489" s="16" t="n">
        <v>45595</v>
      </c>
      <c r="K1489" s="5" t="inlineStr">
        <is>
          <t>4012341713</t>
        </is>
      </c>
      <c r="L1489" s="5" t="inlineStr">
        <is>
          <t>4012341713</t>
        </is>
      </c>
      <c r="M1489" s="5">
        <f>IF(YEAR(I1489)&lt;=2020,"Até 2020",TEXT(YEAR(I1489),"0"))</f>
        <v/>
      </c>
      <c r="N1489" s="5">
        <f>IFERROR(INDEX(DePara!$A:$A,MATCH(TEXT(B1489,"0"),DePara!$D:$D,0)),"(sem categoria)")</f>
        <v/>
      </c>
      <c r="O1489" s="5">
        <f>IF(J1489="","",Parametros!$B$6-J1489)</f>
        <v/>
      </c>
      <c r="P1489" s="5">
        <f>IF(O1489="","",IF(O1489&gt;0,1,0))</f>
        <v/>
      </c>
    </row>
    <row r="1490">
      <c r="A1490" s="5" t="n">
        <v>2122100000</v>
      </c>
      <c r="B1490" s="5" t="inlineStr">
        <is>
          <t>IC1000</t>
        </is>
      </c>
      <c r="C1490" s="5" t="inlineStr">
        <is>
          <t>NORDEX ENERGY SE &amp; CO KG</t>
        </is>
      </c>
      <c r="D1490" s="5" t="inlineStr">
        <is>
          <t>AB</t>
        </is>
      </c>
      <c r="E1490" s="5" t="n">
        <v>1100039784</v>
      </c>
      <c r="F1490" s="5" t="inlineStr">
        <is>
          <t>5025287</t>
        </is>
      </c>
      <c r="G1490" s="5" t="inlineStr">
        <is>
          <t>EUR</t>
        </is>
      </c>
      <c r="H1490" s="9" t="n">
        <v>-15582.88</v>
      </c>
      <c r="I1490" s="16" t="n">
        <v>45915</v>
      </c>
      <c r="J1490" s="16" t="n">
        <v>45915</v>
      </c>
      <c r="K1490" s="5" t="inlineStr">
        <is>
          <t>0451/25</t>
        </is>
      </c>
      <c r="L1490" s="5" t="inlineStr">
        <is>
          <t>4012456600</t>
        </is>
      </c>
      <c r="M1490" s="5">
        <f>IF(YEAR(I1490)&lt;=2020,"Até 2020",TEXT(YEAR(I1490),"0"))</f>
        <v/>
      </c>
      <c r="N1490" s="5">
        <f>IFERROR(INDEX(DePara!$A:$A,MATCH(TEXT(B1490,"0"),DePara!$D:$D,0)),"(sem categoria)")</f>
        <v/>
      </c>
      <c r="O1490" s="5">
        <f>IF(J1490="","",Parametros!$B$6-J1490)</f>
        <v/>
      </c>
      <c r="P1490" s="5">
        <f>IF(O1490="","",IF(O1490&gt;0,1,0))</f>
        <v/>
      </c>
    </row>
    <row r="1491">
      <c r="A1491" s="5" t="n">
        <v>2122100000</v>
      </c>
      <c r="B1491" s="5" t="inlineStr">
        <is>
          <t>IC1000</t>
        </is>
      </c>
      <c r="C1491" s="5" t="inlineStr">
        <is>
          <t>NORDEX ENERGY SE &amp; CO KG</t>
        </is>
      </c>
      <c r="D1491" s="5" t="inlineStr">
        <is>
          <t>AB</t>
        </is>
      </c>
      <c r="E1491" s="5" t="n">
        <v>1100039785</v>
      </c>
      <c r="F1491" s="5" t="inlineStr">
        <is>
          <t>5025279</t>
        </is>
      </c>
      <c r="G1491" s="5" t="inlineStr">
        <is>
          <t>EUR</t>
        </is>
      </c>
      <c r="H1491" s="9" t="n">
        <v>-22878.33</v>
      </c>
      <c r="I1491" s="16" t="n">
        <v>45901</v>
      </c>
      <c r="J1491" s="16" t="n">
        <v>45901</v>
      </c>
      <c r="K1491" s="5" t="inlineStr">
        <is>
          <t>0449/25</t>
        </is>
      </c>
      <c r="L1491" s="5" t="inlineStr">
        <is>
          <t>4012456599</t>
        </is>
      </c>
      <c r="M1491" s="5">
        <f>IF(YEAR(I1491)&lt;=2020,"Até 2020",TEXT(YEAR(I1491),"0"))</f>
        <v/>
      </c>
      <c r="N1491" s="5">
        <f>IFERROR(INDEX(DePara!$A:$A,MATCH(TEXT(B1491,"0"),DePara!$D:$D,0)),"(sem categoria)")</f>
        <v/>
      </c>
      <c r="O1491" s="5">
        <f>IF(J1491="","",Parametros!$B$6-J1491)</f>
        <v/>
      </c>
      <c r="P1491" s="5">
        <f>IF(O1491="","",IF(O1491&gt;0,1,0))</f>
        <v/>
      </c>
    </row>
    <row r="1492">
      <c r="A1492" s="5" t="n">
        <v>2122100000</v>
      </c>
      <c r="B1492" s="5" t="inlineStr">
        <is>
          <t>IC1000</t>
        </is>
      </c>
      <c r="C1492" s="5" t="inlineStr">
        <is>
          <t>NORDEX ENERGY SE &amp; CO KG</t>
        </is>
      </c>
      <c r="D1492" s="5" t="inlineStr">
        <is>
          <t>AB</t>
        </is>
      </c>
      <c r="E1492" s="5" t="n">
        <v>1100039793</v>
      </c>
      <c r="F1492" s="5" t="inlineStr">
        <is>
          <t>5025127</t>
        </is>
      </c>
      <c r="G1492" s="5" t="inlineStr">
        <is>
          <t>EUR</t>
        </is>
      </c>
      <c r="H1492" s="9" t="n">
        <v>-29648.98</v>
      </c>
      <c r="I1492" s="16" t="n">
        <v>45901</v>
      </c>
      <c r="J1492" s="16" t="n">
        <v>45901</v>
      </c>
      <c r="K1492" s="5" t="inlineStr">
        <is>
          <t>0332/24</t>
        </is>
      </c>
      <c r="L1492" s="5" t="inlineStr">
        <is>
          <t>4012374330</t>
        </is>
      </c>
      <c r="M1492" s="5">
        <f>IF(YEAR(I1492)&lt;=2020,"Até 2020",TEXT(YEAR(I1492),"0"))</f>
        <v/>
      </c>
      <c r="N1492" s="5">
        <f>IFERROR(INDEX(DePara!$A:$A,MATCH(TEXT(B1492,"0"),DePara!$D:$D,0)),"(sem categoria)")</f>
        <v/>
      </c>
      <c r="O1492" s="5">
        <f>IF(J1492="","",Parametros!$B$6-J1492)</f>
        <v/>
      </c>
      <c r="P1492" s="5">
        <f>IF(O1492="","",IF(O1492&gt;0,1,0))</f>
        <v/>
      </c>
    </row>
    <row r="1493">
      <c r="A1493" s="5" t="n">
        <v>2122100000</v>
      </c>
      <c r="B1493" s="5" t="inlineStr">
        <is>
          <t>IC1000</t>
        </is>
      </c>
      <c r="C1493" s="5" t="inlineStr">
        <is>
          <t>NORDEX ENERGY SE &amp; CO KG</t>
        </is>
      </c>
      <c r="D1493" s="5" t="inlineStr">
        <is>
          <t>AB</t>
        </is>
      </c>
      <c r="E1493" s="5" t="n">
        <v>1100039794</v>
      </c>
      <c r="F1493" s="5" t="inlineStr">
        <is>
          <t>5025768</t>
        </is>
      </c>
      <c r="G1493" s="5" t="inlineStr">
        <is>
          <t>EUR</t>
        </is>
      </c>
      <c r="H1493" s="9" t="n">
        <v>-11395.81</v>
      </c>
      <c r="I1493" s="16" t="n">
        <v>45901</v>
      </c>
      <c r="J1493" s="16" t="n">
        <v>45901</v>
      </c>
      <c r="K1493" s="5" t="inlineStr">
        <is>
          <t>0355/24</t>
        </is>
      </c>
      <c r="L1493" s="5" t="inlineStr">
        <is>
          <t>4012400064</t>
        </is>
      </c>
      <c r="M1493" s="5">
        <f>IF(YEAR(I1493)&lt;=2020,"Até 2020",TEXT(YEAR(I1493),"0"))</f>
        <v/>
      </c>
      <c r="N1493" s="5">
        <f>IFERROR(INDEX(DePara!$A:$A,MATCH(TEXT(B1493,"0"),DePara!$D:$D,0)),"(sem categoria)")</f>
        <v/>
      </c>
      <c r="O1493" s="5">
        <f>IF(J1493="","",Parametros!$B$6-J1493)</f>
        <v/>
      </c>
      <c r="P1493" s="5">
        <f>IF(O1493="","",IF(O1493&gt;0,1,0))</f>
        <v/>
      </c>
    </row>
    <row r="1494">
      <c r="A1494" s="5" t="n">
        <v>2122100000</v>
      </c>
      <c r="B1494" s="5" t="inlineStr">
        <is>
          <t>IC1000</t>
        </is>
      </c>
      <c r="C1494" s="5" t="inlineStr">
        <is>
          <t>NORDEX ENERGY SE &amp; CO KG</t>
        </is>
      </c>
      <c r="D1494" s="5" t="inlineStr">
        <is>
          <t>AB</t>
        </is>
      </c>
      <c r="E1494" s="5" t="n">
        <v>1100039795</v>
      </c>
      <c r="F1494" s="5" t="inlineStr">
        <is>
          <t>5032061</t>
        </is>
      </c>
      <c r="G1494" s="5" t="inlineStr">
        <is>
          <t>EUR</t>
        </is>
      </c>
      <c r="H1494" s="9" t="n">
        <v>-64113.78</v>
      </c>
      <c r="I1494" s="16" t="n">
        <v>45901</v>
      </c>
      <c r="J1494" s="16" t="n">
        <v>45901</v>
      </c>
      <c r="K1494" s="5" t="inlineStr">
        <is>
          <t>0364/24</t>
        </is>
      </c>
      <c r="L1494" s="5" t="inlineStr">
        <is>
          <t>4012394341</t>
        </is>
      </c>
      <c r="M1494" s="5">
        <f>IF(YEAR(I1494)&lt;=2020,"Até 2020",TEXT(YEAR(I1494),"0"))</f>
        <v/>
      </c>
      <c r="N1494" s="5">
        <f>IFERROR(INDEX(DePara!$A:$A,MATCH(TEXT(B1494,"0"),DePara!$D:$D,0)),"(sem categoria)")</f>
        <v/>
      </c>
      <c r="O1494" s="5">
        <f>IF(J1494="","",Parametros!$B$6-J1494)</f>
        <v/>
      </c>
      <c r="P1494" s="5">
        <f>IF(O1494="","",IF(O1494&gt;0,1,0))</f>
        <v/>
      </c>
    </row>
    <row r="1495">
      <c r="A1495" s="5" t="n">
        <v>2122100000</v>
      </c>
      <c r="B1495" s="5" t="inlineStr">
        <is>
          <t>IC1000</t>
        </is>
      </c>
      <c r="C1495" s="5" t="inlineStr">
        <is>
          <t>NORDEX ENERGY SE &amp; CO KG</t>
        </is>
      </c>
      <c r="D1495" s="5" t="inlineStr">
        <is>
          <t>AB</t>
        </is>
      </c>
      <c r="E1495" s="5" t="n">
        <v>1100039796</v>
      </c>
      <c r="F1495" s="5" t="inlineStr">
        <is>
          <t>5041323</t>
        </is>
      </c>
      <c r="G1495" s="5" t="inlineStr">
        <is>
          <t>EUR</t>
        </is>
      </c>
      <c r="H1495" s="9" t="n">
        <v>-15000.35</v>
      </c>
      <c r="I1495" s="16" t="n">
        <v>45901</v>
      </c>
      <c r="J1495" s="16" t="n">
        <v>45901</v>
      </c>
      <c r="K1495" s="5" t="inlineStr">
        <is>
          <t xml:space="preserve">0871/24
</t>
        </is>
      </c>
      <c r="L1495" s="5" t="inlineStr">
        <is>
          <t>4012425336</t>
        </is>
      </c>
      <c r="M1495" s="5">
        <f>IF(YEAR(I1495)&lt;=2020,"Até 2020",TEXT(YEAR(I1495),"0"))</f>
        <v/>
      </c>
      <c r="N1495" s="5">
        <f>IFERROR(INDEX(DePara!$A:$A,MATCH(TEXT(B1495,"0"),DePara!$D:$D,0)),"(sem categoria)")</f>
        <v/>
      </c>
      <c r="O1495" s="5">
        <f>IF(J1495="","",Parametros!$B$6-J1495)</f>
        <v/>
      </c>
      <c r="P1495" s="5">
        <f>IF(O1495="","",IF(O1495&gt;0,1,0))</f>
        <v/>
      </c>
    </row>
    <row r="1496">
      <c r="A1496" s="5" t="n">
        <v>2122100000</v>
      </c>
      <c r="B1496" s="5" t="inlineStr">
        <is>
          <t>IC1000</t>
        </is>
      </c>
      <c r="C1496" s="5" t="inlineStr">
        <is>
          <t>NORDEX ENERGY SE &amp; CO KG</t>
        </is>
      </c>
      <c r="D1496" s="5" t="inlineStr">
        <is>
          <t>AB</t>
        </is>
      </c>
      <c r="E1496" s="5" t="n">
        <v>1100039797</v>
      </c>
      <c r="F1496" s="5" t="inlineStr">
        <is>
          <t>5042404</t>
        </is>
      </c>
      <c r="G1496" s="5" t="inlineStr">
        <is>
          <t>EUR</t>
        </is>
      </c>
      <c r="H1496" s="9" t="n">
        <v>-6223.8</v>
      </c>
      <c r="I1496" s="16" t="n">
        <v>45901</v>
      </c>
      <c r="J1496" s="16" t="n">
        <v>45901</v>
      </c>
      <c r="K1496" s="5" t="inlineStr">
        <is>
          <t>0832/24</t>
        </is>
      </c>
      <c r="L1496" s="5" t="inlineStr">
        <is>
          <t>4012410677</t>
        </is>
      </c>
      <c r="M1496" s="5">
        <f>IF(YEAR(I1496)&lt;=2020,"Até 2020",TEXT(YEAR(I1496),"0"))</f>
        <v/>
      </c>
      <c r="N1496" s="5">
        <f>IFERROR(INDEX(DePara!$A:$A,MATCH(TEXT(B1496,"0"),DePara!$D:$D,0)),"(sem categoria)")</f>
        <v/>
      </c>
      <c r="O1496" s="5">
        <f>IF(J1496="","",Parametros!$B$6-J1496)</f>
        <v/>
      </c>
      <c r="P1496" s="5">
        <f>IF(O1496="","",IF(O1496&gt;0,1,0))</f>
        <v/>
      </c>
    </row>
    <row r="1497">
      <c r="A1497" s="5" t="n">
        <v>2122100000</v>
      </c>
      <c r="B1497" s="5" t="inlineStr">
        <is>
          <t>IC1000</t>
        </is>
      </c>
      <c r="C1497" s="5" t="inlineStr">
        <is>
          <t>NORDEX ENERGY SE &amp; CO KG</t>
        </is>
      </c>
      <c r="D1497" s="5" t="inlineStr">
        <is>
          <t>AB</t>
        </is>
      </c>
      <c r="E1497" s="5" t="n">
        <v>1100039798</v>
      </c>
      <c r="F1497" s="5" t="inlineStr">
        <is>
          <t>5043812</t>
        </is>
      </c>
      <c r="G1497" s="5" t="inlineStr">
        <is>
          <t>EUR</t>
        </is>
      </c>
      <c r="H1497" s="9" t="n">
        <v>-657554.09</v>
      </c>
      <c r="I1497" s="16" t="n">
        <v>45901</v>
      </c>
      <c r="J1497" s="16" t="n">
        <v>45901</v>
      </c>
      <c r="K1497" s="5" t="inlineStr">
        <is>
          <t>0939/24</t>
        </is>
      </c>
      <c r="L1497" s="5" t="inlineStr">
        <is>
          <t>4012420624</t>
        </is>
      </c>
      <c r="M1497" s="5">
        <f>IF(YEAR(I1497)&lt;=2020,"Até 2020",TEXT(YEAR(I1497),"0"))</f>
        <v/>
      </c>
      <c r="N1497" s="5">
        <f>IFERROR(INDEX(DePara!$A:$A,MATCH(TEXT(B1497,"0"),DePara!$D:$D,0)),"(sem categoria)")</f>
        <v/>
      </c>
      <c r="O1497" s="5">
        <f>IF(J1497="","",Parametros!$B$6-J1497)</f>
        <v/>
      </c>
      <c r="P1497" s="5">
        <f>IF(O1497="","",IF(O1497&gt;0,1,0))</f>
        <v/>
      </c>
    </row>
    <row r="1498">
      <c r="A1498" s="5" t="n">
        <v>2122100000</v>
      </c>
      <c r="B1498" s="5" t="inlineStr">
        <is>
          <t>IC1000</t>
        </is>
      </c>
      <c r="C1498" s="5" t="inlineStr">
        <is>
          <t>NORDEX ENERGY SE &amp; CO KG</t>
        </is>
      </c>
      <c r="D1498" s="5" t="inlineStr">
        <is>
          <t>AB</t>
        </is>
      </c>
      <c r="E1498" s="5" t="n">
        <v>1100039894</v>
      </c>
      <c r="F1498" s="5" t="inlineStr">
        <is>
          <t>5004195</t>
        </is>
      </c>
      <c r="G1498" s="5" t="inlineStr">
        <is>
          <t>EUR</t>
        </is>
      </c>
      <c r="H1498" s="9" t="n">
        <v>-2470822.13</v>
      </c>
      <c r="I1498" s="16" t="n">
        <v>45901</v>
      </c>
      <c r="J1498" s="16" t="n">
        <v>45901</v>
      </c>
      <c r="K1498" s="5" t="inlineStr">
        <is>
          <t>4012420609</t>
        </is>
      </c>
      <c r="L1498" s="5" t="inlineStr">
        <is>
          <t>4012420609/610</t>
        </is>
      </c>
      <c r="M1498" s="5">
        <f>IF(YEAR(I1498)&lt;=2020,"Até 2020",TEXT(YEAR(I1498),"0"))</f>
        <v/>
      </c>
      <c r="N1498" s="5">
        <f>IFERROR(INDEX(DePara!$A:$A,MATCH(TEXT(B1498,"0"),DePara!$D:$D,0)),"(sem categoria)")</f>
        <v/>
      </c>
      <c r="O1498" s="5">
        <f>IF(J1498="","",Parametros!$B$6-J1498)</f>
        <v/>
      </c>
      <c r="P1498" s="5">
        <f>IF(O1498="","",IF(O1498&gt;0,1,0))</f>
        <v/>
      </c>
    </row>
    <row r="1499">
      <c r="A1499" s="5" t="n">
        <v>2122100000</v>
      </c>
      <c r="B1499" s="5" t="inlineStr">
        <is>
          <t>IC4420</t>
        </is>
      </c>
      <c r="C1499" s="5" t="inlineStr">
        <is>
          <t>NORDEX ENERGY SPAIN S A U</t>
        </is>
      </c>
      <c r="D1499" s="5" t="inlineStr">
        <is>
          <t>KZ</t>
        </is>
      </c>
      <c r="E1499" s="5" t="n">
        <v>1300002549</v>
      </c>
      <c r="F1499" s="5" t="n"/>
      <c r="G1499" s="5" t="inlineStr">
        <is>
          <t>EUR</t>
        </is>
      </c>
      <c r="H1499" s="9" t="n">
        <v>-329597.97</v>
      </c>
      <c r="I1499" s="16" t="n">
        <v>46098</v>
      </c>
      <c r="J1499" s="16" t="n">
        <v>46098</v>
      </c>
      <c r="K1499" s="5" t="inlineStr">
        <is>
          <t>Vendor payment NORDEX ENERGY SPAIN S A U</t>
        </is>
      </c>
      <c r="L1499" s="5" t="n"/>
      <c r="M1499" s="5">
        <f>IF(YEAR(I1499)&lt;=2020,"Até 2020",TEXT(YEAR(I1499),"0"))</f>
        <v/>
      </c>
      <c r="N1499" s="5">
        <f>IFERROR(INDEX(DePara!$A:$A,MATCH(TEXT(B1499,"0"),DePara!$D:$D,0)),"(sem categoria)")</f>
        <v/>
      </c>
      <c r="O1499" s="5">
        <f>IF(J1499="","",Parametros!$B$6-J1499)</f>
        <v/>
      </c>
      <c r="P1499" s="5">
        <f>IF(O1499="","",IF(O1499&gt;0,1,0))</f>
        <v/>
      </c>
    </row>
    <row r="1500">
      <c r="A1500" s="5" t="n">
        <v>2122100000</v>
      </c>
      <c r="B1500" s="5" t="inlineStr">
        <is>
          <t>IC1000</t>
        </is>
      </c>
      <c r="C1500" s="5" t="inlineStr">
        <is>
          <t>NORDEX ENERGY SE &amp; CO KG</t>
        </is>
      </c>
      <c r="D1500" s="5" t="inlineStr">
        <is>
          <t>KZ</t>
        </is>
      </c>
      <c r="E1500" s="5" t="n">
        <v>1300003079</v>
      </c>
      <c r="F1500" s="5" t="inlineStr">
        <is>
          <t>CORREÇÃO ADT</t>
        </is>
      </c>
      <c r="G1500" s="5" t="inlineStr">
        <is>
          <t>EUR</t>
        </is>
      </c>
      <c r="H1500" s="9" t="n">
        <v>13354.9</v>
      </c>
      <c r="I1500" s="16" t="n">
        <v>45480</v>
      </c>
      <c r="J1500" s="16" t="n">
        <v>45480</v>
      </c>
      <c r="K1500" s="5" t="inlineStr">
        <is>
          <t>Vendor payment NORDEX ENERGY SE &amp; CO KG CORREÇÃO A</t>
        </is>
      </c>
      <c r="L1500" s="5" t="inlineStr">
        <is>
          <t>403000.NORDENER</t>
        </is>
      </c>
      <c r="M1500" s="5">
        <f>IF(YEAR(I1500)&lt;=2020,"Até 2020",TEXT(YEAR(I1500),"0"))</f>
        <v/>
      </c>
      <c r="N1500" s="5">
        <f>IFERROR(INDEX(DePara!$A:$A,MATCH(TEXT(B1500,"0"),DePara!$D:$D,0)),"(sem categoria)")</f>
        <v/>
      </c>
      <c r="O1500" s="5">
        <f>IF(J1500="","",Parametros!$B$6-J1500)</f>
        <v/>
      </c>
      <c r="P1500" s="5">
        <f>IF(O1500="","",IF(O1500&gt;0,1,0))</f>
        <v/>
      </c>
    </row>
    <row r="1501">
      <c r="A1501" s="5" t="n">
        <v>2114340000</v>
      </c>
      <c r="B1501" s="5" t="inlineStr">
        <is>
          <t>ICBRWA</t>
        </is>
      </c>
      <c r="C1501" s="5" t="inlineStr">
        <is>
          <t>NORDEX ENERGY BRASIL - COMERCIO E I</t>
        </is>
      </c>
      <c r="D1501" s="5" t="inlineStr">
        <is>
          <t>KZ</t>
        </is>
      </c>
      <c r="E1501" s="5" t="n">
        <v>303357</v>
      </c>
      <c r="F1501" s="5" t="inlineStr">
        <is>
          <t>CONCILIAÇÃO IC</t>
        </is>
      </c>
      <c r="G1501" s="5" t="inlineStr">
        <is>
          <t>BRL</t>
        </is>
      </c>
      <c r="H1501" s="9" t="n">
        <v>884873.89</v>
      </c>
      <c r="I1501" s="16" t="n">
        <v>45260</v>
      </c>
      <c r="J1501" s="16" t="n">
        <v>45260</v>
      </c>
      <c r="K1501" s="5" t="inlineStr">
        <is>
          <t>Vendor payment NORDEX ENERGY BRASIL - COMERCIO E I</t>
        </is>
      </c>
      <c r="L1501" s="5" t="n"/>
      <c r="M1501" s="5">
        <f>IF(YEAR(I1501)&lt;=2020,"Até 2020",TEXT(YEAR(I1501),"0"))</f>
        <v/>
      </c>
      <c r="N1501" s="5">
        <f>IFERROR(INDEX(DePara!$A:$A,MATCH(TEXT(B1501,"0"),DePara!$D:$D,0)),"(sem categoria)")</f>
        <v/>
      </c>
      <c r="O1501" s="5">
        <f>IF(J1501="","",Parametros!$B$6-J1501)</f>
        <v/>
      </c>
      <c r="P1501" s="5">
        <f>IF(O1501="","",IF(O1501&gt;0,1,0))</f>
        <v/>
      </c>
    </row>
    <row r="1502">
      <c r="A1502" s="5" t="n">
        <v>2114340000</v>
      </c>
      <c r="B1502" s="5" t="inlineStr">
        <is>
          <t>ICBRWA</t>
        </is>
      </c>
      <c r="C1502" s="5" t="inlineStr">
        <is>
          <t>NORDEX ENERGY BRASIL - COMERCIO E I</t>
        </is>
      </c>
      <c r="D1502" s="5" t="inlineStr">
        <is>
          <t>KR</t>
        </is>
      </c>
      <c r="E1502" s="5" t="n">
        <v>5003599</v>
      </c>
      <c r="F1502" s="5" t="inlineStr">
        <is>
          <t>F0231012024</t>
        </is>
      </c>
      <c r="G1502" s="5" t="inlineStr">
        <is>
          <t>BRL</t>
        </is>
      </c>
      <c r="H1502" s="9" t="n">
        <v>-7275.3</v>
      </c>
      <c r="I1502" s="16" t="n">
        <v>45322</v>
      </c>
      <c r="J1502" s="16" t="n">
        <v>45322</v>
      </c>
      <c r="K1502" s="5" t="inlineStr">
        <is>
          <t>Fatura do fornecedor NORDEX ENERGY BRASIL - COMERC</t>
        </is>
      </c>
      <c r="L1502" s="5" t="inlineStr">
        <is>
          <t>02022024</t>
        </is>
      </c>
      <c r="M1502" s="5">
        <f>IF(YEAR(I1502)&lt;=2020,"Até 2020",TEXT(YEAR(I1502),"0"))</f>
        <v/>
      </c>
      <c r="N1502" s="5">
        <f>IFERROR(INDEX(DePara!$A:$A,MATCH(TEXT(B1502,"0"),DePara!$D:$D,0)),"(sem categoria)")</f>
        <v/>
      </c>
      <c r="O1502" s="5">
        <f>IF(J1502="","",Parametros!$B$6-J1502)</f>
        <v/>
      </c>
      <c r="P1502" s="5">
        <f>IF(O1502="","",IF(O1502&gt;0,1,0))</f>
        <v/>
      </c>
    </row>
    <row r="1503">
      <c r="A1503" s="5" t="n">
        <v>2114340000</v>
      </c>
      <c r="B1503" s="5" t="inlineStr">
        <is>
          <t>ICBRWA</t>
        </is>
      </c>
      <c r="C1503" s="5" t="inlineStr">
        <is>
          <t>NORDEX ENERGY BRASIL - COMERCIO E I</t>
        </is>
      </c>
      <c r="D1503" s="5" t="inlineStr">
        <is>
          <t>KR</t>
        </is>
      </c>
      <c r="E1503" s="5" t="n">
        <v>5004551</v>
      </c>
      <c r="F1503" s="5" t="inlineStr">
        <is>
          <t>F0121022024.2</t>
        </is>
      </c>
      <c r="G1503" s="5" t="inlineStr">
        <is>
          <t>BRL</t>
        </is>
      </c>
      <c r="H1503" s="9" t="n">
        <v>-63562.56</v>
      </c>
      <c r="I1503" s="16" t="n">
        <v>45328</v>
      </c>
      <c r="J1503" s="16" t="n">
        <v>45387</v>
      </c>
      <c r="K1503" s="5" t="inlineStr">
        <is>
          <t>Fatura do fornecedor NORDEX ENERGY BRASIL - COMERC</t>
        </is>
      </c>
      <c r="L1503" s="5" t="n"/>
      <c r="M1503" s="5">
        <f>IF(YEAR(I1503)&lt;=2020,"Até 2020",TEXT(YEAR(I1503),"0"))</f>
        <v/>
      </c>
      <c r="N1503" s="5">
        <f>IFERROR(INDEX(DePara!$A:$A,MATCH(TEXT(B1503,"0"),DePara!$D:$D,0)),"(sem categoria)")</f>
        <v/>
      </c>
      <c r="O1503" s="5">
        <f>IF(J1503="","",Parametros!$B$6-J1503)</f>
        <v/>
      </c>
      <c r="P1503" s="5">
        <f>IF(O1503="","",IF(O1503&gt;0,1,0))</f>
        <v/>
      </c>
    </row>
    <row r="1504">
      <c r="A1504" s="5" t="n">
        <v>2114340000</v>
      </c>
      <c r="B1504" s="5" t="inlineStr">
        <is>
          <t>EM000093</t>
        </is>
      </c>
      <c r="C1504" s="5" t="inlineStr">
        <is>
          <t>CARLOS ALVES DE AZEVEDO</t>
        </is>
      </c>
      <c r="D1504" s="5" t="inlineStr">
        <is>
          <t>KR</t>
        </is>
      </c>
      <c r="E1504" s="5" t="n">
        <v>5005215</v>
      </c>
      <c r="F1504" s="5" t="inlineStr">
        <is>
          <t>23215</t>
        </is>
      </c>
      <c r="G1504" s="5" t="inlineStr">
        <is>
          <t>BRL</t>
        </is>
      </c>
      <c r="H1504" s="9" t="n">
        <v>-7617.89</v>
      </c>
      <c r="I1504" s="16" t="n">
        <v>45140</v>
      </c>
      <c r="J1504" s="16" t="n">
        <v>45170</v>
      </c>
      <c r="K1504" s="5" t="inlineStr">
        <is>
          <t>Fatura do fornecedor CARLOS ALVES DE AZEVEDO 23215</t>
        </is>
      </c>
      <c r="L1504" s="5" t="n"/>
      <c r="M1504" s="5">
        <f>IF(YEAR(I1504)&lt;=2020,"Até 2020",TEXT(YEAR(I1504),"0"))</f>
        <v/>
      </c>
      <c r="N1504" s="5">
        <f>IFERROR(INDEX(DePara!$A:$A,MATCH(TEXT(B1504,"0"),DePara!$D:$D,0)),"(sem categoria)")</f>
        <v/>
      </c>
      <c r="O1504" s="5">
        <f>IF(J1504="","",Parametros!$B$6-J1504)</f>
        <v/>
      </c>
      <c r="P1504" s="5">
        <f>IF(O1504="","",IF(O1504&gt;0,1,0))</f>
        <v/>
      </c>
    </row>
    <row r="1505">
      <c r="A1505" s="5" t="n">
        <v>2114340000</v>
      </c>
      <c r="B1505" s="5" t="inlineStr">
        <is>
          <t>EM000093</t>
        </is>
      </c>
      <c r="C1505" s="5" t="inlineStr">
        <is>
          <t>CARLOS ALVES DE AZEVEDO</t>
        </is>
      </c>
      <c r="D1505" s="5" t="inlineStr">
        <is>
          <t>KR</t>
        </is>
      </c>
      <c r="E1505" s="5" t="n">
        <v>5005216</v>
      </c>
      <c r="F1505" s="5" t="inlineStr">
        <is>
          <t>22724</t>
        </is>
      </c>
      <c r="G1505" s="5" t="inlineStr">
        <is>
          <t>BRL</t>
        </is>
      </c>
      <c r="H1505" s="9" t="n">
        <v>-1524.06</v>
      </c>
      <c r="I1505" s="16" t="n">
        <v>45117</v>
      </c>
      <c r="J1505" s="16" t="n">
        <v>45147</v>
      </c>
      <c r="K1505" s="5" t="inlineStr">
        <is>
          <t>Fatura do fornecedor CARLOS ALVES DE AZEVEDO 22724</t>
        </is>
      </c>
      <c r="L1505" s="5" t="n"/>
      <c r="M1505" s="5">
        <f>IF(YEAR(I1505)&lt;=2020,"Até 2020",TEXT(YEAR(I1505),"0"))</f>
        <v/>
      </c>
      <c r="N1505" s="5">
        <f>IFERROR(INDEX(DePara!$A:$A,MATCH(TEXT(B1505,"0"),DePara!$D:$D,0)),"(sem categoria)")</f>
        <v/>
      </c>
      <c r="O1505" s="5">
        <f>IF(J1505="","",Parametros!$B$6-J1505)</f>
        <v/>
      </c>
      <c r="P1505" s="5">
        <f>IF(O1505="","",IF(O1505&gt;0,1,0))</f>
        <v/>
      </c>
    </row>
    <row r="1506">
      <c r="A1506" s="5" t="n">
        <v>2114340000</v>
      </c>
      <c r="B1506" s="5" t="inlineStr">
        <is>
          <t>ICBRWA</t>
        </is>
      </c>
      <c r="C1506" s="5" t="inlineStr">
        <is>
          <t>NORDEX ENERGY BRASIL - COMERCIO E I</t>
        </is>
      </c>
      <c r="D1506" s="5" t="inlineStr">
        <is>
          <t>KR</t>
        </is>
      </c>
      <c r="E1506" s="5" t="n">
        <v>5011668</v>
      </c>
      <c r="F1506" s="5" t="inlineStr">
        <is>
          <t>FE0108072026</t>
        </is>
      </c>
      <c r="G1506" s="5" t="inlineStr">
        <is>
          <t>BRL</t>
        </is>
      </c>
      <c r="H1506" s="9" t="n">
        <v>-132869</v>
      </c>
      <c r="I1506" s="16" t="n">
        <v>46203</v>
      </c>
      <c r="J1506" s="16" t="n">
        <v>46211</v>
      </c>
      <c r="K1506" s="5" t="inlineStr">
        <is>
          <t>ESTORNAR PERIODO FECHADO</t>
        </is>
      </c>
      <c r="L1506" s="5" t="inlineStr">
        <is>
          <t>ESTORNAR</t>
        </is>
      </c>
      <c r="M1506" s="5">
        <f>IF(YEAR(I1506)&lt;=2020,"Até 2020",TEXT(YEAR(I1506),"0"))</f>
        <v/>
      </c>
      <c r="N1506" s="5">
        <f>IFERROR(INDEX(DePara!$A:$A,MATCH(TEXT(B1506,"0"),DePara!$D:$D,0)),"(sem categoria)")</f>
        <v/>
      </c>
      <c r="O1506" s="5">
        <f>IF(J1506="","",Parametros!$B$6-J1506)</f>
        <v/>
      </c>
      <c r="P1506" s="5">
        <f>IF(O1506="","",IF(O1506&gt;0,1,0))</f>
        <v/>
      </c>
    </row>
    <row r="1507">
      <c r="A1507" s="5" t="n">
        <v>2114340000</v>
      </c>
      <c r="B1507" s="5" t="inlineStr">
        <is>
          <t>ICBRWA</t>
        </is>
      </c>
      <c r="C1507" s="5" t="inlineStr">
        <is>
          <t>NORDEX ENERGY BRASIL - COMERCIO E I</t>
        </is>
      </c>
      <c r="D1507" s="5" t="inlineStr">
        <is>
          <t>KR</t>
        </is>
      </c>
      <c r="E1507" s="5" t="n">
        <v>5015367</v>
      </c>
      <c r="F1507" s="5" t="inlineStr">
        <is>
          <t>CONCILIAÇÃO IC</t>
        </is>
      </c>
      <c r="G1507" s="5" t="inlineStr">
        <is>
          <t>BRL</t>
        </is>
      </c>
      <c r="H1507" s="9" t="n">
        <v>-896715.03</v>
      </c>
      <c r="I1507" s="16" t="n">
        <v>45260</v>
      </c>
      <c r="J1507" s="16" t="n">
        <v>45260</v>
      </c>
      <c r="K1507" s="5" t="inlineStr">
        <is>
          <t>Vendor Invoice NORDEX ENERGY BRASIL - COMERCIO E I</t>
        </is>
      </c>
      <c r="L1507" s="5" t="n"/>
      <c r="M1507" s="5">
        <f>IF(YEAR(I1507)&lt;=2020,"Até 2020",TEXT(YEAR(I1507),"0"))</f>
        <v/>
      </c>
      <c r="N1507" s="5">
        <f>IFERROR(INDEX(DePara!$A:$A,MATCH(TEXT(B1507,"0"),DePara!$D:$D,0)),"(sem categoria)")</f>
        <v/>
      </c>
      <c r="O1507" s="5">
        <f>IF(J1507="","",Parametros!$B$6-J1507)</f>
        <v/>
      </c>
      <c r="P1507" s="5">
        <f>IF(O1507="","",IF(O1507&gt;0,1,0))</f>
        <v/>
      </c>
    </row>
    <row r="1508">
      <c r="A1508" s="5" t="n">
        <v>2114340000</v>
      </c>
      <c r="B1508" s="5" t="inlineStr">
        <is>
          <t>ICBRWA</t>
        </is>
      </c>
      <c r="C1508" s="5" t="inlineStr">
        <is>
          <t>NORDEX ENERGY BRASIL - COMERCIO E I</t>
        </is>
      </c>
      <c r="D1508" s="5" t="inlineStr">
        <is>
          <t>KR</t>
        </is>
      </c>
      <c r="E1508" s="5" t="n">
        <v>5015870</v>
      </c>
      <c r="F1508" s="5" t="inlineStr">
        <is>
          <t>F02092026</t>
        </is>
      </c>
      <c r="G1508" s="5" t="inlineStr">
        <is>
          <t>BRL</t>
        </is>
      </c>
      <c r="H1508" s="9" t="n">
        <v>-56519</v>
      </c>
      <c r="I1508" s="16" t="n">
        <v>46259</v>
      </c>
      <c r="J1508" s="16" t="n">
        <v>46267</v>
      </c>
      <c r="K1508" s="5" t="inlineStr">
        <is>
          <t>Folha de pagamento | F02092026</t>
        </is>
      </c>
      <c r="L1508" s="5" t="inlineStr">
        <is>
          <t>02092026</t>
        </is>
      </c>
      <c r="M1508" s="5">
        <f>IF(YEAR(I1508)&lt;=2020,"Até 2020",TEXT(YEAR(I1508),"0"))</f>
        <v/>
      </c>
      <c r="N1508" s="5">
        <f>IFERROR(INDEX(DePara!$A:$A,MATCH(TEXT(B1508,"0"),DePara!$D:$D,0)),"(sem categoria)")</f>
        <v/>
      </c>
      <c r="O1508" s="5">
        <f>IF(J1508="","",Parametros!$B$6-J1508)</f>
        <v/>
      </c>
      <c r="P1508" s="5">
        <f>IF(O1508="","",IF(O1508&gt;0,1,0))</f>
        <v/>
      </c>
    </row>
    <row r="1509">
      <c r="A1509" s="5" t="n">
        <v>2114340000</v>
      </c>
      <c r="B1509" s="5" t="inlineStr">
        <is>
          <t>EM000095</t>
        </is>
      </c>
      <c r="C1509" s="5" t="inlineStr">
        <is>
          <t>DEYMSON ROBSON AMARAL BEZERRA</t>
        </is>
      </c>
      <c r="D1509" s="5" t="inlineStr">
        <is>
          <t>KR</t>
        </is>
      </c>
      <c r="E1509" s="5" t="n">
        <v>5015937</v>
      </c>
      <c r="F1509" s="5" t="inlineStr">
        <is>
          <t>54777</t>
        </is>
      </c>
      <c r="G1509" s="5" t="inlineStr">
        <is>
          <t>BRL</t>
        </is>
      </c>
      <c r="H1509" s="9" t="n">
        <v>-245.27</v>
      </c>
      <c r="I1509" s="16" t="n">
        <v>46260</v>
      </c>
      <c r="J1509" s="16" t="n">
        <v>46267</v>
      </c>
      <c r="K1509" s="5" t="inlineStr">
        <is>
          <t>Vendor Invoice DEYMSON ROBSON AMARAL BEZERRA 54777</t>
        </is>
      </c>
      <c r="L1509" s="5" t="inlineStr">
        <is>
          <t>02092026</t>
        </is>
      </c>
      <c r="M1509" s="5">
        <f>IF(YEAR(I1509)&lt;=2020,"Até 2020",TEXT(YEAR(I1509),"0"))</f>
        <v/>
      </c>
      <c r="N1509" s="5">
        <f>IFERROR(INDEX(DePara!$A:$A,MATCH(TEXT(B1509,"0"),DePara!$D:$D,0)),"(sem categoria)")</f>
        <v/>
      </c>
      <c r="O1509" s="5">
        <f>IF(J1509="","",Parametros!$B$6-J1509)</f>
        <v/>
      </c>
      <c r="P1509" s="5">
        <f>IF(O1509="","",IF(O1509&gt;0,1,0))</f>
        <v/>
      </c>
    </row>
    <row r="1510">
      <c r="A1510" s="5" t="n">
        <v>2114340000</v>
      </c>
      <c r="B1510" s="5" t="inlineStr">
        <is>
          <t>EM000015</t>
        </is>
      </c>
      <c r="C1510" s="5" t="inlineStr">
        <is>
          <t>IZACK DEYVID DIAS VIANA</t>
        </is>
      </c>
      <c r="D1510" s="5" t="inlineStr">
        <is>
          <t>KR</t>
        </is>
      </c>
      <c r="E1510" s="5" t="n">
        <v>5016113</v>
      </c>
      <c r="F1510" s="5" t="inlineStr">
        <is>
          <t>FF 07.2026</t>
        </is>
      </c>
      <c r="G1510" s="5" t="inlineStr">
        <is>
          <t>BRL</t>
        </is>
      </c>
      <c r="H1510" s="9" t="n">
        <v>-1687.3</v>
      </c>
      <c r="I1510" s="16" t="n">
        <v>46262</v>
      </c>
      <c r="J1510" s="16" t="n">
        <v>46267</v>
      </c>
      <c r="K1510" s="5" t="inlineStr">
        <is>
          <t>Fatura do fornecedor IZACK DEYVID DIAS VIANA FF 07</t>
        </is>
      </c>
      <c r="L1510" s="5" t="inlineStr">
        <is>
          <t>02092026</t>
        </is>
      </c>
      <c r="M1510" s="5">
        <f>IF(YEAR(I1510)&lt;=2020,"Até 2020",TEXT(YEAR(I1510),"0"))</f>
        <v/>
      </c>
      <c r="N1510" s="5">
        <f>IFERROR(INDEX(DePara!$A:$A,MATCH(TEXT(B1510,"0"),DePara!$D:$D,0)),"(sem categoria)")</f>
        <v/>
      </c>
      <c r="O1510" s="5">
        <f>IF(J1510="","",Parametros!$B$6-J1510)</f>
        <v/>
      </c>
      <c r="P1510" s="5">
        <f>IF(O1510="","",IF(O1510&gt;0,1,0))</f>
        <v/>
      </c>
    </row>
    <row r="1511">
      <c r="A1511" s="5" t="n">
        <v>2114340000</v>
      </c>
      <c r="B1511" s="5" t="inlineStr">
        <is>
          <t>EM000440</t>
        </is>
      </c>
      <c r="C1511" s="5" t="inlineStr">
        <is>
          <t>DIEGO LEON DA SILVA BARACHO</t>
        </is>
      </c>
      <c r="D1511" s="5" t="inlineStr">
        <is>
          <t>KR</t>
        </is>
      </c>
      <c r="E1511" s="5" t="n">
        <v>5016143</v>
      </c>
      <c r="F1511" s="5" t="inlineStr">
        <is>
          <t>FF 07.26 - 08.26</t>
        </is>
      </c>
      <c r="G1511" s="5" t="inlineStr">
        <is>
          <t>BRL</t>
        </is>
      </c>
      <c r="H1511" s="9" t="n">
        <v>-1641.92</v>
      </c>
      <c r="I1511" s="16" t="n">
        <v>46262</v>
      </c>
      <c r="J1511" s="16" t="n">
        <v>46267</v>
      </c>
      <c r="K1511" s="5" t="inlineStr">
        <is>
          <t>Fatura do fornecedor DIEGO LEON DA SILVA BARACHO F</t>
        </is>
      </c>
      <c r="L1511" s="5" t="inlineStr">
        <is>
          <t>02092026</t>
        </is>
      </c>
      <c r="M1511" s="5">
        <f>IF(YEAR(I1511)&lt;=2020,"Até 2020",TEXT(YEAR(I1511),"0"))</f>
        <v/>
      </c>
      <c r="N1511" s="5">
        <f>IFERROR(INDEX(DePara!$A:$A,MATCH(TEXT(B1511,"0"),DePara!$D:$D,0)),"(sem categoria)")</f>
        <v/>
      </c>
      <c r="O1511" s="5">
        <f>IF(J1511="","",Parametros!$B$6-J1511)</f>
        <v/>
      </c>
      <c r="P1511" s="5">
        <f>IF(O1511="","",IF(O1511&gt;0,1,0))</f>
        <v/>
      </c>
    </row>
    <row r="1512">
      <c r="A1512" s="5" t="n">
        <v>2114340000</v>
      </c>
      <c r="B1512" s="5" t="inlineStr">
        <is>
          <t>EM000515</t>
        </is>
      </c>
      <c r="C1512" s="5" t="inlineStr">
        <is>
          <t>EVERTHON RENEBER PEREIRA DA SILVA</t>
        </is>
      </c>
      <c r="D1512" s="5" t="inlineStr">
        <is>
          <t>KR</t>
        </is>
      </c>
      <c r="E1512" s="5" t="n">
        <v>5016155</v>
      </c>
      <c r="F1512" s="5" t="inlineStr">
        <is>
          <t>FF 08.2026</t>
        </is>
      </c>
      <c r="G1512" s="5" t="inlineStr">
        <is>
          <t>BRL</t>
        </is>
      </c>
      <c r="H1512" s="9" t="n">
        <v>-1203.72</v>
      </c>
      <c r="I1512" s="16" t="n">
        <v>46262</v>
      </c>
      <c r="J1512" s="16" t="n">
        <v>46267</v>
      </c>
      <c r="K1512" s="5" t="inlineStr">
        <is>
          <t>Fatura do fornecedor EVERTHON RENEBER PEREIRA DA S</t>
        </is>
      </c>
      <c r="L1512" s="5" t="inlineStr">
        <is>
          <t>02092026</t>
        </is>
      </c>
      <c r="M1512" s="5">
        <f>IF(YEAR(I1512)&lt;=2020,"Até 2020",TEXT(YEAR(I1512),"0"))</f>
        <v/>
      </c>
      <c r="N1512" s="5">
        <f>IFERROR(INDEX(DePara!$A:$A,MATCH(TEXT(B1512,"0"),DePara!$D:$D,0)),"(sem categoria)")</f>
        <v/>
      </c>
      <c r="O1512" s="5">
        <f>IF(J1512="","",Parametros!$B$6-J1512)</f>
        <v/>
      </c>
      <c r="P1512" s="5">
        <f>IF(O1512="","",IF(O1512&gt;0,1,0))</f>
        <v/>
      </c>
    </row>
    <row r="1513">
      <c r="A1513" s="5" t="n">
        <v>2114340000</v>
      </c>
      <c r="B1513" s="5" t="inlineStr">
        <is>
          <t>EM000006</t>
        </is>
      </c>
      <c r="C1513" s="5" t="inlineStr">
        <is>
          <t>FERNANDA CYNTHIA DA SILVA</t>
        </is>
      </c>
      <c r="D1513" s="5" t="inlineStr">
        <is>
          <t>KR</t>
        </is>
      </c>
      <c r="E1513" s="5" t="n">
        <v>5016158</v>
      </c>
      <c r="F1513" s="5" t="inlineStr">
        <is>
          <t>FF 08.2026</t>
        </is>
      </c>
      <c r="G1513" s="5" t="inlineStr">
        <is>
          <t>BRL</t>
        </is>
      </c>
      <c r="H1513" s="9" t="n">
        <v>-706.42</v>
      </c>
      <c r="I1513" s="16" t="n">
        <v>46262</v>
      </c>
      <c r="J1513" s="16" t="n">
        <v>46267</v>
      </c>
      <c r="K1513" s="5" t="inlineStr">
        <is>
          <t>Fatura do fornecedor FERNANDA CYNTHIA DA SILVA FF</t>
        </is>
      </c>
      <c r="L1513" s="5" t="inlineStr">
        <is>
          <t>02092026</t>
        </is>
      </c>
      <c r="M1513" s="5">
        <f>IF(YEAR(I1513)&lt;=2020,"Até 2020",TEXT(YEAR(I1513),"0"))</f>
        <v/>
      </c>
      <c r="N1513" s="5">
        <f>IFERROR(INDEX(DePara!$A:$A,MATCH(TEXT(B1513,"0"),DePara!$D:$D,0)),"(sem categoria)")</f>
        <v/>
      </c>
      <c r="O1513" s="5">
        <f>IF(J1513="","",Parametros!$B$6-J1513)</f>
        <v/>
      </c>
      <c r="P1513" s="5">
        <f>IF(O1513="","",IF(O1513&gt;0,1,0))</f>
        <v/>
      </c>
    </row>
    <row r="1514">
      <c r="A1514" s="5" t="n">
        <v>2114340000</v>
      </c>
      <c r="B1514" s="5" t="inlineStr">
        <is>
          <t>EM000095</t>
        </is>
      </c>
      <c r="C1514" s="5" t="inlineStr">
        <is>
          <t>DEYMSON ROBSON AMARAL BEZERRA</t>
        </is>
      </c>
      <c r="D1514" s="5" t="inlineStr">
        <is>
          <t>KR</t>
        </is>
      </c>
      <c r="E1514" s="5" t="n">
        <v>5016159</v>
      </c>
      <c r="F1514" s="5" t="inlineStr">
        <is>
          <t>55860</t>
        </is>
      </c>
      <c r="G1514" s="5" t="inlineStr">
        <is>
          <t>BRL</t>
        </is>
      </c>
      <c r="H1514" s="9" t="n">
        <v>-275.1</v>
      </c>
      <c r="I1514" s="16" t="n">
        <v>46265</v>
      </c>
      <c r="J1514" s="16" t="n">
        <v>46267</v>
      </c>
      <c r="K1514" s="5" t="inlineStr">
        <is>
          <t>Vendor Invoice DEYMSON ROBSON AMARAL BEZERRA 55860</t>
        </is>
      </c>
      <c r="L1514" s="5" t="inlineStr">
        <is>
          <t>02092026</t>
        </is>
      </c>
      <c r="M1514" s="5">
        <f>IF(YEAR(I1514)&lt;=2020,"Até 2020",TEXT(YEAR(I1514),"0"))</f>
        <v/>
      </c>
      <c r="N1514" s="5">
        <f>IFERROR(INDEX(DePara!$A:$A,MATCH(TEXT(B1514,"0"),DePara!$D:$D,0)),"(sem categoria)")</f>
        <v/>
      </c>
      <c r="O1514" s="5">
        <f>IF(J1514="","",Parametros!$B$6-J1514)</f>
        <v/>
      </c>
      <c r="P1514" s="5">
        <f>IF(O1514="","",IF(O1514&gt;0,1,0))</f>
        <v/>
      </c>
    </row>
    <row r="1515">
      <c r="A1515" s="5" t="n">
        <v>2114340000</v>
      </c>
      <c r="B1515" s="5" t="inlineStr">
        <is>
          <t>EM000095</t>
        </is>
      </c>
      <c r="C1515" s="5" t="inlineStr">
        <is>
          <t>DEYMSON ROBSON AMARAL BEZERRA</t>
        </is>
      </c>
      <c r="D1515" s="5" t="inlineStr">
        <is>
          <t>KR</t>
        </is>
      </c>
      <c r="E1515" s="5" t="n">
        <v>5016160</v>
      </c>
      <c r="F1515" s="5" t="inlineStr">
        <is>
          <t>55858</t>
        </is>
      </c>
      <c r="G1515" s="5" t="inlineStr">
        <is>
          <t>BRL</t>
        </is>
      </c>
      <c r="H1515" s="9" t="n">
        <v>-260.1</v>
      </c>
      <c r="I1515" s="16" t="n">
        <v>46265</v>
      </c>
      <c r="J1515" s="16" t="n">
        <v>46267</v>
      </c>
      <c r="K1515" s="5" t="inlineStr">
        <is>
          <t>Vendor Invoice DEYMSON ROBSON AMARAL BEZERRA 55858</t>
        </is>
      </c>
      <c r="L1515" s="5" t="inlineStr">
        <is>
          <t>02092026</t>
        </is>
      </c>
      <c r="M1515" s="5">
        <f>IF(YEAR(I1515)&lt;=2020,"Até 2020",TEXT(YEAR(I1515),"0"))</f>
        <v/>
      </c>
      <c r="N1515" s="5">
        <f>IFERROR(INDEX(DePara!$A:$A,MATCH(TEXT(B1515,"0"),DePara!$D:$D,0)),"(sem categoria)")</f>
        <v/>
      </c>
      <c r="O1515" s="5">
        <f>IF(J1515="","",Parametros!$B$6-J1515)</f>
        <v/>
      </c>
      <c r="P1515" s="5">
        <f>IF(O1515="","",IF(O1515&gt;0,1,0))</f>
        <v/>
      </c>
    </row>
    <row r="1516">
      <c r="A1516" s="5" t="n">
        <v>2114340000</v>
      </c>
      <c r="B1516" s="5" t="inlineStr">
        <is>
          <t>EM000795</t>
        </is>
      </c>
      <c r="C1516" s="5" t="inlineStr">
        <is>
          <t>Gian Walter dos Santos</t>
        </is>
      </c>
      <c r="D1516" s="5" t="inlineStr">
        <is>
          <t>KR</t>
        </is>
      </c>
      <c r="E1516" s="5" t="n">
        <v>5016161</v>
      </c>
      <c r="F1516" s="5" t="inlineStr">
        <is>
          <t>51041</t>
        </is>
      </c>
      <c r="G1516" s="5" t="inlineStr">
        <is>
          <t>BRL</t>
        </is>
      </c>
      <c r="H1516" s="9" t="n">
        <v>-169</v>
      </c>
      <c r="I1516" s="16" t="n">
        <v>46265</v>
      </c>
      <c r="J1516" s="16" t="n">
        <v>46267</v>
      </c>
      <c r="K1516" s="5" t="inlineStr">
        <is>
          <t>Vendor Invoice Gian Walter dos Santos 51041</t>
        </is>
      </c>
      <c r="L1516" s="5" t="inlineStr">
        <is>
          <t>02092026</t>
        </is>
      </c>
      <c r="M1516" s="5">
        <f>IF(YEAR(I1516)&lt;=2020,"Até 2020",TEXT(YEAR(I1516),"0"))</f>
        <v/>
      </c>
      <c r="N1516" s="5">
        <f>IFERROR(INDEX(DePara!$A:$A,MATCH(TEXT(B1516,"0"),DePara!$D:$D,0)),"(sem categoria)")</f>
        <v/>
      </c>
      <c r="O1516" s="5">
        <f>IF(J1516="","",Parametros!$B$6-J1516)</f>
        <v/>
      </c>
      <c r="P1516" s="5">
        <f>IF(O1516="","",IF(O1516&gt;0,1,0))</f>
        <v/>
      </c>
    </row>
    <row r="1517">
      <c r="A1517" s="5" t="n">
        <v>2114340000</v>
      </c>
      <c r="B1517" s="5" t="inlineStr">
        <is>
          <t>EM000868</t>
        </is>
      </c>
      <c r="C1517" s="5" t="inlineStr">
        <is>
          <t>BERNARDO SÉRGIO MENDONÇA</t>
        </is>
      </c>
      <c r="D1517" s="5" t="inlineStr">
        <is>
          <t>KR</t>
        </is>
      </c>
      <c r="E1517" s="5" t="n">
        <v>5016162</v>
      </c>
      <c r="F1517" s="5" t="inlineStr">
        <is>
          <t>55847</t>
        </is>
      </c>
      <c r="G1517" s="5" t="inlineStr">
        <is>
          <t>BRL</t>
        </is>
      </c>
      <c r="H1517" s="9" t="n">
        <v>-891.71</v>
      </c>
      <c r="I1517" s="16" t="n">
        <v>46265</v>
      </c>
      <c r="J1517" s="16" t="n">
        <v>46267</v>
      </c>
      <c r="K1517" s="5" t="inlineStr">
        <is>
          <t>Vendor Invoice BERNARDO SÉRGIO MENDONÇA 55847</t>
        </is>
      </c>
      <c r="L1517" s="5" t="inlineStr">
        <is>
          <t>02092026</t>
        </is>
      </c>
      <c r="M1517" s="5">
        <f>IF(YEAR(I1517)&lt;=2020,"Até 2020",TEXT(YEAR(I1517),"0"))</f>
        <v/>
      </c>
      <c r="N1517" s="5">
        <f>IFERROR(INDEX(DePara!$A:$A,MATCH(TEXT(B1517,"0"),DePara!$D:$D,0)),"(sem categoria)")</f>
        <v/>
      </c>
      <c r="O1517" s="5">
        <f>IF(J1517="","",Parametros!$B$6-J1517)</f>
        <v/>
      </c>
      <c r="P1517" s="5">
        <f>IF(O1517="","",IF(O1517&gt;0,1,0))</f>
        <v/>
      </c>
    </row>
    <row r="1518">
      <c r="A1518" s="5" t="n">
        <v>2114340000</v>
      </c>
      <c r="B1518" s="5" t="inlineStr">
        <is>
          <t>EM000015</t>
        </is>
      </c>
      <c r="C1518" s="5" t="inlineStr">
        <is>
          <t>IZACK DEYVID DIAS VIANA</t>
        </is>
      </c>
      <c r="D1518" s="5" t="inlineStr">
        <is>
          <t>KR</t>
        </is>
      </c>
      <c r="E1518" s="5" t="n">
        <v>5016163</v>
      </c>
      <c r="F1518" s="5" t="inlineStr">
        <is>
          <t>55845</t>
        </is>
      </c>
      <c r="G1518" s="5" t="inlineStr">
        <is>
          <t>BRL</t>
        </is>
      </c>
      <c r="H1518" s="9" t="n">
        <v>-1555.77</v>
      </c>
      <c r="I1518" s="16" t="n">
        <v>46265</v>
      </c>
      <c r="J1518" s="16" t="n">
        <v>46267</v>
      </c>
      <c r="K1518" s="5" t="inlineStr">
        <is>
          <t>Vendor Invoice IZACK DEYVID DIAS VIANA 55845</t>
        </is>
      </c>
      <c r="L1518" s="5" t="inlineStr">
        <is>
          <t>02092026</t>
        </is>
      </c>
      <c r="M1518" s="5">
        <f>IF(YEAR(I1518)&lt;=2020,"Até 2020",TEXT(YEAR(I1518),"0"))</f>
        <v/>
      </c>
      <c r="N1518" s="5">
        <f>IFERROR(INDEX(DePara!$A:$A,MATCH(TEXT(B1518,"0"),DePara!$D:$D,0)),"(sem categoria)")</f>
        <v/>
      </c>
      <c r="O1518" s="5">
        <f>IF(J1518="","",Parametros!$B$6-J1518)</f>
        <v/>
      </c>
      <c r="P1518" s="5">
        <f>IF(O1518="","",IF(O1518&gt;0,1,0))</f>
        <v/>
      </c>
    </row>
    <row r="1519">
      <c r="A1519" s="5" t="n">
        <v>2114340000</v>
      </c>
      <c r="B1519" s="5" t="inlineStr">
        <is>
          <t>EM000609</t>
        </is>
      </c>
      <c r="C1519" s="5" t="inlineStr">
        <is>
          <t>ROBSON RUBELTON RODIGUES RAMOS JUNIOR</t>
        </is>
      </c>
      <c r="D1519" s="5" t="inlineStr">
        <is>
          <t>KR</t>
        </is>
      </c>
      <c r="E1519" s="5" t="n">
        <v>5016164</v>
      </c>
      <c r="F1519" s="5" t="inlineStr">
        <is>
          <t>54774</t>
        </is>
      </c>
      <c r="G1519" s="5" t="inlineStr">
        <is>
          <t>BRL</t>
        </is>
      </c>
      <c r="H1519" s="9" t="n">
        <v>-1081.88</v>
      </c>
      <c r="I1519" s="16" t="n">
        <v>46265</v>
      </c>
      <c r="J1519" s="16" t="n">
        <v>46267</v>
      </c>
      <c r="K1519" s="5" t="inlineStr">
        <is>
          <t>Vendor Invoice ROBSON RUBELTON RODIGUES RAMOS JUNI</t>
        </is>
      </c>
      <c r="L1519" s="5" t="inlineStr">
        <is>
          <t>02092026</t>
        </is>
      </c>
      <c r="M1519" s="5">
        <f>IF(YEAR(I1519)&lt;=2020,"Até 2020",TEXT(YEAR(I1519),"0"))</f>
        <v/>
      </c>
      <c r="N1519" s="5">
        <f>IFERROR(INDEX(DePara!$A:$A,MATCH(TEXT(B1519,"0"),DePara!$D:$D,0)),"(sem categoria)")</f>
        <v/>
      </c>
      <c r="O1519" s="5">
        <f>IF(J1519="","",Parametros!$B$6-J1519)</f>
        <v/>
      </c>
      <c r="P1519" s="5">
        <f>IF(O1519="","",IF(O1519&gt;0,1,0))</f>
        <v/>
      </c>
    </row>
    <row r="1520">
      <c r="A1520" s="5" t="n">
        <v>2114340000</v>
      </c>
      <c r="B1520" s="5" t="inlineStr">
        <is>
          <t>EM000973</t>
        </is>
      </c>
      <c r="C1520" s="5" t="inlineStr">
        <is>
          <t>JACKSON LUCAS DA SILVA</t>
        </is>
      </c>
      <c r="D1520" s="5" t="inlineStr">
        <is>
          <t>KR</t>
        </is>
      </c>
      <c r="E1520" s="5" t="n">
        <v>5016165</v>
      </c>
      <c r="F1520" s="5" t="inlineStr">
        <is>
          <t>55835</t>
        </is>
      </c>
      <c r="G1520" s="5" t="inlineStr">
        <is>
          <t>BRL</t>
        </is>
      </c>
      <c r="H1520" s="9" t="n">
        <v>-3900</v>
      </c>
      <c r="I1520" s="16" t="n">
        <v>46265</v>
      </c>
      <c r="J1520" s="16" t="n">
        <v>46267</v>
      </c>
      <c r="K1520" s="5" t="inlineStr">
        <is>
          <t>Vendor Invoice JACKSON LUCAS DA SILVA 55835</t>
        </is>
      </c>
      <c r="L1520" s="5" t="inlineStr">
        <is>
          <t>02092026</t>
        </is>
      </c>
      <c r="M1520" s="5">
        <f>IF(YEAR(I1520)&lt;=2020,"Até 2020",TEXT(YEAR(I1520),"0"))</f>
        <v/>
      </c>
      <c r="N1520" s="5">
        <f>IFERROR(INDEX(DePara!$A:$A,MATCH(TEXT(B1520,"0"),DePara!$D:$D,0)),"(sem categoria)")</f>
        <v/>
      </c>
      <c r="O1520" s="5">
        <f>IF(J1520="","",Parametros!$B$6-J1520)</f>
        <v/>
      </c>
      <c r="P1520" s="5">
        <f>IF(O1520="","",IF(O1520&gt;0,1,0))</f>
        <v/>
      </c>
    </row>
    <row r="1521">
      <c r="A1521" s="5" t="n">
        <v>2114340000</v>
      </c>
      <c r="B1521" s="5" t="inlineStr">
        <is>
          <t>EM000753</t>
        </is>
      </c>
      <c r="C1521" s="5" t="inlineStr">
        <is>
          <t>Thiago Maxwel da Costa Soares</t>
        </is>
      </c>
      <c r="D1521" s="5" t="inlineStr">
        <is>
          <t>KR</t>
        </is>
      </c>
      <c r="E1521" s="5" t="n">
        <v>5016166</v>
      </c>
      <c r="F1521" s="5" t="inlineStr">
        <is>
          <t>54785</t>
        </is>
      </c>
      <c r="G1521" s="5" t="inlineStr">
        <is>
          <t>BRL</t>
        </is>
      </c>
      <c r="H1521" s="9" t="n">
        <v>-4034.89</v>
      </c>
      <c r="I1521" s="16" t="n">
        <v>46265</v>
      </c>
      <c r="J1521" s="16" t="n">
        <v>46267</v>
      </c>
      <c r="K1521" s="5" t="inlineStr">
        <is>
          <t>Vendor Invoice Thiago Maxwel da Costa Soares 54785</t>
        </is>
      </c>
      <c r="L1521" s="5" t="inlineStr">
        <is>
          <t>02092026</t>
        </is>
      </c>
      <c r="M1521" s="5">
        <f>IF(YEAR(I1521)&lt;=2020,"Até 2020",TEXT(YEAR(I1521),"0"))</f>
        <v/>
      </c>
      <c r="N1521" s="5">
        <f>IFERROR(INDEX(DePara!$A:$A,MATCH(TEXT(B1521,"0"),DePara!$D:$D,0)),"(sem categoria)")</f>
        <v/>
      </c>
      <c r="O1521" s="5">
        <f>IF(J1521="","",Parametros!$B$6-J1521)</f>
        <v/>
      </c>
      <c r="P1521" s="5">
        <f>IF(O1521="","",IF(O1521&gt;0,1,0))</f>
        <v/>
      </c>
    </row>
    <row r="1522">
      <c r="A1522" s="5" t="n">
        <v>2114340000</v>
      </c>
      <c r="B1522" s="5" t="inlineStr">
        <is>
          <t>EM000776</t>
        </is>
      </c>
      <c r="C1522" s="5" t="inlineStr">
        <is>
          <t>Natanael Gonçalves</t>
        </is>
      </c>
      <c r="D1522" s="5" t="inlineStr">
        <is>
          <t>KR</t>
        </is>
      </c>
      <c r="E1522" s="5" t="n">
        <v>5016167</v>
      </c>
      <c r="F1522" s="5" t="inlineStr">
        <is>
          <t>54828</t>
        </is>
      </c>
      <c r="G1522" s="5" t="inlineStr">
        <is>
          <t>BRL</t>
        </is>
      </c>
      <c r="H1522" s="9" t="n">
        <v>-4565.03</v>
      </c>
      <c r="I1522" s="16" t="n">
        <v>46265</v>
      </c>
      <c r="J1522" s="16" t="n">
        <v>46267</v>
      </c>
      <c r="K1522" s="5" t="inlineStr">
        <is>
          <t>Vendor Invoice Natanael Gonçalves 54828</t>
        </is>
      </c>
      <c r="L1522" s="5" t="inlineStr">
        <is>
          <t>02092026</t>
        </is>
      </c>
      <c r="M1522" s="5">
        <f>IF(YEAR(I1522)&lt;=2020,"Até 2020",TEXT(YEAR(I1522),"0"))</f>
        <v/>
      </c>
      <c r="N1522" s="5">
        <f>IFERROR(INDEX(DePara!$A:$A,MATCH(TEXT(B1522,"0"),DePara!$D:$D,0)),"(sem categoria)")</f>
        <v/>
      </c>
      <c r="O1522" s="5">
        <f>IF(J1522="","",Parametros!$B$6-J1522)</f>
        <v/>
      </c>
      <c r="P1522" s="5">
        <f>IF(O1522="","",IF(O1522&gt;0,1,0))</f>
        <v/>
      </c>
    </row>
    <row r="1523">
      <c r="A1523" s="5" t="n">
        <v>2114340000</v>
      </c>
      <c r="B1523" s="5" t="inlineStr">
        <is>
          <t>EM000582</t>
        </is>
      </c>
      <c r="C1523" s="5" t="inlineStr">
        <is>
          <t>FRANCILIO FRANCISCO DE ARAUJO</t>
        </is>
      </c>
      <c r="D1523" s="5" t="inlineStr">
        <is>
          <t>KR</t>
        </is>
      </c>
      <c r="E1523" s="5" t="n">
        <v>5016168</v>
      </c>
      <c r="F1523" s="5" t="inlineStr">
        <is>
          <t>54827</t>
        </is>
      </c>
      <c r="G1523" s="5" t="inlineStr">
        <is>
          <t>BRL</t>
        </is>
      </c>
      <c r="H1523" s="9" t="n">
        <v>-570</v>
      </c>
      <c r="I1523" s="16" t="n">
        <v>46265</v>
      </c>
      <c r="J1523" s="16" t="n">
        <v>46267</v>
      </c>
      <c r="K1523" s="5" t="inlineStr">
        <is>
          <t>Vendor Invoice FRANCILIO FRANCISCO DE ARAUJO 54827</t>
        </is>
      </c>
      <c r="L1523" s="5" t="inlineStr">
        <is>
          <t>02092026</t>
        </is>
      </c>
      <c r="M1523" s="5">
        <f>IF(YEAR(I1523)&lt;=2020,"Até 2020",TEXT(YEAR(I1523),"0"))</f>
        <v/>
      </c>
      <c r="N1523" s="5">
        <f>IFERROR(INDEX(DePara!$A:$A,MATCH(TEXT(B1523,"0"),DePara!$D:$D,0)),"(sem categoria)")</f>
        <v/>
      </c>
      <c r="O1523" s="5">
        <f>IF(J1523="","",Parametros!$B$6-J1523)</f>
        <v/>
      </c>
      <c r="P1523" s="5">
        <f>IF(O1523="","",IF(O1523&gt;0,1,0))</f>
        <v/>
      </c>
    </row>
    <row r="1524">
      <c r="A1524" s="5" t="n">
        <v>2114340000</v>
      </c>
      <c r="B1524" s="5" t="inlineStr">
        <is>
          <t>EM000582</t>
        </is>
      </c>
      <c r="C1524" s="5" t="inlineStr">
        <is>
          <t>FRANCILIO FRANCISCO DE ARAUJO</t>
        </is>
      </c>
      <c r="D1524" s="5" t="inlineStr">
        <is>
          <t>KR</t>
        </is>
      </c>
      <c r="E1524" s="5" t="n">
        <v>5016171</v>
      </c>
      <c r="F1524" s="5" t="inlineStr">
        <is>
          <t>53734</t>
        </is>
      </c>
      <c r="G1524" s="5" t="inlineStr">
        <is>
          <t>BRL</t>
        </is>
      </c>
      <c r="H1524" s="9" t="n">
        <v>-650</v>
      </c>
      <c r="I1524" s="16" t="n">
        <v>46265</v>
      </c>
      <c r="J1524" s="16" t="n">
        <v>46267</v>
      </c>
      <c r="K1524" s="5" t="inlineStr">
        <is>
          <t>Complemento do documento 5015012</t>
        </is>
      </c>
      <c r="L1524" s="5" t="inlineStr">
        <is>
          <t>02092026</t>
        </is>
      </c>
      <c r="M1524" s="5">
        <f>IF(YEAR(I1524)&lt;=2020,"Até 2020",TEXT(YEAR(I1524),"0"))</f>
        <v/>
      </c>
      <c r="N1524" s="5">
        <f>IFERROR(INDEX(DePara!$A:$A,MATCH(TEXT(B1524,"0"),DePara!$D:$D,0)),"(sem categoria)")</f>
        <v/>
      </c>
      <c r="O1524" s="5">
        <f>IF(J1524="","",Parametros!$B$6-J1524)</f>
        <v/>
      </c>
      <c r="P1524" s="5">
        <f>IF(O1524="","",IF(O1524&gt;0,1,0))</f>
        <v/>
      </c>
    </row>
    <row r="1525">
      <c r="A1525" s="5" t="n">
        <v>2114340000</v>
      </c>
      <c r="B1525" s="5" t="inlineStr">
        <is>
          <t>EM000025</t>
        </is>
      </c>
      <c r="C1525" s="5" t="inlineStr">
        <is>
          <t>DANIEL SPARREMBERGER SHWARTZHAUPT</t>
        </is>
      </c>
      <c r="D1525" s="5" t="inlineStr">
        <is>
          <t>KR</t>
        </is>
      </c>
      <c r="E1525" s="5" t="n">
        <v>5016172</v>
      </c>
      <c r="F1525" s="5" t="inlineStr">
        <is>
          <t>54803</t>
        </is>
      </c>
      <c r="G1525" s="5" t="inlineStr">
        <is>
          <t>BRL</t>
        </is>
      </c>
      <c r="H1525" s="9" t="n">
        <v>-170.95</v>
      </c>
      <c r="I1525" s="16" t="n">
        <v>46265</v>
      </c>
      <c r="J1525" s="16" t="n">
        <v>46267</v>
      </c>
      <c r="K1525" s="5" t="inlineStr">
        <is>
          <t>Vendor Invoice DANIEL SPARREMBERGER SHWARTZHAUPT 5</t>
        </is>
      </c>
      <c r="L1525" s="5" t="inlineStr">
        <is>
          <t>02092026</t>
        </is>
      </c>
      <c r="M1525" s="5">
        <f>IF(YEAR(I1525)&lt;=2020,"Até 2020",TEXT(YEAR(I1525),"0"))</f>
        <v/>
      </c>
      <c r="N1525" s="5">
        <f>IFERROR(INDEX(DePara!$A:$A,MATCH(TEXT(B1525,"0"),DePara!$D:$D,0)),"(sem categoria)")</f>
        <v/>
      </c>
      <c r="O1525" s="5">
        <f>IF(J1525="","",Parametros!$B$6-J1525)</f>
        <v/>
      </c>
      <c r="P1525" s="5">
        <f>IF(O1525="","",IF(O1525&gt;0,1,0))</f>
        <v/>
      </c>
    </row>
    <row r="1526">
      <c r="A1526" s="5" t="n">
        <v>2114340000</v>
      </c>
      <c r="B1526" s="5" t="inlineStr">
        <is>
          <t>EM000426</t>
        </is>
      </c>
      <c r="C1526" s="5" t="inlineStr">
        <is>
          <t>NAIBHY ADELY GARCIA RODRIGUES</t>
        </is>
      </c>
      <c r="D1526" s="5" t="inlineStr">
        <is>
          <t>KR</t>
        </is>
      </c>
      <c r="E1526" s="5" t="n">
        <v>5016173</v>
      </c>
      <c r="F1526" s="5" t="inlineStr">
        <is>
          <t>53736</t>
        </is>
      </c>
      <c r="G1526" s="5" t="inlineStr">
        <is>
          <t>BRL</t>
        </is>
      </c>
      <c r="H1526" s="9" t="n">
        <v>-888.39</v>
      </c>
      <c r="I1526" s="16" t="n">
        <v>46265</v>
      </c>
      <c r="J1526" s="16" t="n">
        <v>46267</v>
      </c>
      <c r="K1526" s="5" t="inlineStr">
        <is>
          <t>Vendor Invoice NAIBHY ADELY GARCIA RODRIGUES 53736</t>
        </is>
      </c>
      <c r="L1526" s="5" t="inlineStr">
        <is>
          <t>02092026</t>
        </is>
      </c>
      <c r="M1526" s="5">
        <f>IF(YEAR(I1526)&lt;=2020,"Até 2020",TEXT(YEAR(I1526),"0"))</f>
        <v/>
      </c>
      <c r="N1526" s="5">
        <f>IFERROR(INDEX(DePara!$A:$A,MATCH(TEXT(B1526,"0"),DePara!$D:$D,0)),"(sem categoria)")</f>
        <v/>
      </c>
      <c r="O1526" s="5">
        <f>IF(J1526="","",Parametros!$B$6-J1526)</f>
        <v/>
      </c>
      <c r="P1526" s="5">
        <f>IF(O1526="","",IF(O1526&gt;0,1,0))</f>
        <v/>
      </c>
    </row>
    <row r="1527">
      <c r="A1527" s="5" t="n">
        <v>2114340000</v>
      </c>
      <c r="B1527" s="5" t="inlineStr">
        <is>
          <t>EM000753</t>
        </is>
      </c>
      <c r="C1527" s="5" t="inlineStr">
        <is>
          <t>Thiago Maxwel da Costa Soares</t>
        </is>
      </c>
      <c r="D1527" s="5" t="inlineStr">
        <is>
          <t>KR</t>
        </is>
      </c>
      <c r="E1527" s="5" t="n">
        <v>5016174</v>
      </c>
      <c r="F1527" s="5" t="inlineStr">
        <is>
          <t>53660</t>
        </is>
      </c>
      <c r="G1527" s="5" t="inlineStr">
        <is>
          <t>BRL</t>
        </is>
      </c>
      <c r="H1527" s="9" t="n">
        <v>-1689.78</v>
      </c>
      <c r="I1527" s="16" t="n">
        <v>46265</v>
      </c>
      <c r="J1527" s="16" t="n">
        <v>46267</v>
      </c>
      <c r="K1527" s="5" t="inlineStr">
        <is>
          <t>Vendor Invoice Thiago Maxwel da Costa Soares 53660</t>
        </is>
      </c>
      <c r="L1527" s="5" t="inlineStr">
        <is>
          <t>02092026</t>
        </is>
      </c>
      <c r="M1527" s="5">
        <f>IF(YEAR(I1527)&lt;=2020,"Até 2020",TEXT(YEAR(I1527),"0"))</f>
        <v/>
      </c>
      <c r="N1527" s="5">
        <f>IFERROR(INDEX(DePara!$A:$A,MATCH(TEXT(B1527,"0"),DePara!$D:$D,0)),"(sem categoria)")</f>
        <v/>
      </c>
      <c r="O1527" s="5">
        <f>IF(J1527="","",Parametros!$B$6-J1527)</f>
        <v/>
      </c>
      <c r="P1527" s="5">
        <f>IF(O1527="","",IF(O1527&gt;0,1,0))</f>
        <v/>
      </c>
    </row>
    <row r="1528">
      <c r="A1528" s="5" t="n">
        <v>2114340000</v>
      </c>
      <c r="B1528" s="5" t="inlineStr">
        <is>
          <t>EM000635</t>
        </is>
      </c>
      <c r="C1528" s="5" t="inlineStr">
        <is>
          <t>MARLON MICHEL MACHADO RIBEIRO</t>
        </is>
      </c>
      <c r="D1528" s="5" t="inlineStr">
        <is>
          <t>KR</t>
        </is>
      </c>
      <c r="E1528" s="5" t="n">
        <v>5023303</v>
      </c>
      <c r="F1528" s="5" t="inlineStr">
        <is>
          <t>ADIANTAMENTO FF</t>
        </is>
      </c>
      <c r="G1528" s="5" t="inlineStr">
        <is>
          <t>BRL</t>
        </is>
      </c>
      <c r="H1528" s="9" t="n">
        <v>2000</v>
      </c>
      <c r="I1528" s="16" t="n">
        <v>45467</v>
      </c>
      <c r="J1528" s="16" t="n">
        <v>45467</v>
      </c>
      <c r="K1528" s="5" t="inlineStr">
        <is>
          <t>Fatura do fornecedor MARLON MICHEL MACHADO RIBEIRO</t>
        </is>
      </c>
      <c r="L1528" s="5" t="n"/>
      <c r="M1528" s="5">
        <f>IF(YEAR(I1528)&lt;=2020,"Até 2020",TEXT(YEAR(I1528),"0"))</f>
        <v/>
      </c>
      <c r="N1528" s="5">
        <f>IFERROR(INDEX(DePara!$A:$A,MATCH(TEXT(B1528,"0"),DePara!$D:$D,0)),"(sem categoria)")</f>
        <v/>
      </c>
      <c r="O1528" s="5">
        <f>IF(J1528="","",Parametros!$B$6-J1528)</f>
        <v/>
      </c>
      <c r="P1528" s="5">
        <f>IF(O1528="","",IF(O1528&gt;0,1,0))</f>
        <v/>
      </c>
    </row>
    <row r="1529">
      <c r="A1529" s="5" t="n">
        <v>2114340000</v>
      </c>
      <c r="B1529" s="5" t="inlineStr">
        <is>
          <t>EM000262</t>
        </is>
      </c>
      <c r="C1529" s="5" t="inlineStr">
        <is>
          <t>ALLYSSON LAURENTINO DE MELO RAMOS</t>
        </is>
      </c>
      <c r="D1529" s="5" t="inlineStr">
        <is>
          <t>AB</t>
        </is>
      </c>
      <c r="E1529" s="5" t="n">
        <v>1100000936</v>
      </c>
      <c r="F1529" s="5" t="inlineStr">
        <is>
          <t>30401 E 28797</t>
        </is>
      </c>
      <c r="G1529" s="5" t="inlineStr">
        <is>
          <t>BRL</t>
        </is>
      </c>
      <c r="H1529" s="9" t="n">
        <v>-1040</v>
      </c>
      <c r="I1529" s="16" t="n">
        <v>45711</v>
      </c>
      <c r="J1529" s="16" t="n">
        <v>45711</v>
      </c>
      <c r="K1529" s="5" t="inlineStr">
        <is>
          <t>Clearing document ALLYSSON LAURENTINO DE MELO RAMO</t>
        </is>
      </c>
      <c r="L1529" s="5" t="n"/>
      <c r="M1529" s="5">
        <f>IF(YEAR(I1529)&lt;=2020,"Até 2020",TEXT(YEAR(I1529),"0"))</f>
        <v/>
      </c>
      <c r="N1529" s="5">
        <f>IFERROR(INDEX(DePara!$A:$A,MATCH(TEXT(B1529,"0"),DePara!$D:$D,0)),"(sem categoria)")</f>
        <v/>
      </c>
      <c r="O1529" s="5">
        <f>IF(J1529="","",Parametros!$B$6-J1529)</f>
        <v/>
      </c>
      <c r="P1529" s="5">
        <f>IF(O1529="","",IF(O1529&gt;0,1,0))</f>
        <v/>
      </c>
    </row>
    <row r="1530">
      <c r="A1530" s="5" t="n">
        <v>2114340000</v>
      </c>
      <c r="B1530" s="5" t="inlineStr">
        <is>
          <t>EM000887</t>
        </is>
      </c>
      <c r="C1530" s="5" t="inlineStr">
        <is>
          <t>WANDERLEY RODRIGUES DO BOMFIM JUNIOR</t>
        </is>
      </c>
      <c r="D1530" s="5" t="inlineStr">
        <is>
          <t>AB</t>
        </is>
      </c>
      <c r="E1530" s="5" t="n">
        <v>1100012934</v>
      </c>
      <c r="F1530" s="5" t="inlineStr">
        <is>
          <t>43650</t>
        </is>
      </c>
      <c r="G1530" s="5" t="inlineStr">
        <is>
          <t>BRL</t>
        </is>
      </c>
      <c r="H1530" s="9" t="n">
        <v>-1300</v>
      </c>
      <c r="I1530" s="16" t="n">
        <v>46171</v>
      </c>
      <c r="J1530" s="16" t="n">
        <v>46171</v>
      </c>
      <c r="K1530" s="5" t="inlineStr">
        <is>
          <t>Clearing document WANDERLEY RODRIGUES DO BOMFIM JU</t>
        </is>
      </c>
      <c r="L1530" s="5" t="n"/>
      <c r="M1530" s="5">
        <f>IF(YEAR(I1530)&lt;=2020,"Até 2020",TEXT(YEAR(I1530),"0"))</f>
        <v/>
      </c>
      <c r="N1530" s="5">
        <f>IFERROR(INDEX(DePara!$A:$A,MATCH(TEXT(B1530,"0"),DePara!$D:$D,0)),"(sem categoria)")</f>
        <v/>
      </c>
      <c r="O1530" s="5">
        <f>IF(J1530="","",Parametros!$B$6-J1530)</f>
        <v/>
      </c>
      <c r="P1530" s="5">
        <f>IF(O1530="","",IF(O1530&gt;0,1,0))</f>
        <v/>
      </c>
    </row>
    <row r="1531">
      <c r="A1531" s="5" t="n">
        <v>2114340000</v>
      </c>
      <c r="B1531" s="5" t="inlineStr">
        <is>
          <t>EM000777</t>
        </is>
      </c>
      <c r="C1531" s="5" t="inlineStr">
        <is>
          <t>LEONARDO CENTOAMORE</t>
        </is>
      </c>
      <c r="D1531" s="5" t="inlineStr">
        <is>
          <t>AB</t>
        </is>
      </c>
      <c r="E1531" s="5" t="n">
        <v>1100021541</v>
      </c>
      <c r="F1531" s="5" t="inlineStr">
        <is>
          <t>52441</t>
        </is>
      </c>
      <c r="G1531" s="5" t="inlineStr">
        <is>
          <t>BRL</t>
        </is>
      </c>
      <c r="H1531" s="9" t="n">
        <v>-252.78</v>
      </c>
      <c r="I1531" s="16" t="n">
        <v>46259</v>
      </c>
      <c r="J1531" s="16" t="n">
        <v>46259</v>
      </c>
      <c r="K1531" s="5" t="inlineStr">
        <is>
          <t>Clearing document LEONARDO CENTOAMORE 52441</t>
        </is>
      </c>
      <c r="L1531" s="5" t="n"/>
      <c r="M1531" s="5">
        <f>IF(YEAR(I1531)&lt;=2020,"Até 2020",TEXT(YEAR(I1531),"0"))</f>
        <v/>
      </c>
      <c r="N1531" s="5">
        <f>IFERROR(INDEX(DePara!$A:$A,MATCH(TEXT(B1531,"0"),DePara!$D:$D,0)),"(sem categoria)")</f>
        <v/>
      </c>
      <c r="O1531" s="5">
        <f>IF(J1531="","",Parametros!$B$6-J1531)</f>
        <v/>
      </c>
      <c r="P1531" s="5">
        <f>IF(O1531="","",IF(O1531&gt;0,1,0))</f>
        <v/>
      </c>
    </row>
    <row r="1532">
      <c r="A1532" s="5" t="n">
        <v>2114340000</v>
      </c>
      <c r="B1532" s="5" t="inlineStr">
        <is>
          <t>EM000851</t>
        </is>
      </c>
      <c r="C1532" s="5" t="inlineStr">
        <is>
          <t>SAULLO SILVA JANUARIO</t>
        </is>
      </c>
      <c r="D1532" s="5" t="inlineStr">
        <is>
          <t>AB</t>
        </is>
      </c>
      <c r="E1532" s="5" t="n">
        <v>1100021688</v>
      </c>
      <c r="F1532" s="5" t="inlineStr">
        <is>
          <t>53680</t>
        </is>
      </c>
      <c r="G1532" s="5" t="inlineStr">
        <is>
          <t>BRL</t>
        </is>
      </c>
      <c r="H1532" s="9" t="n">
        <v>-307.89</v>
      </c>
      <c r="I1532" s="16" t="n">
        <v>46260</v>
      </c>
      <c r="J1532" s="16" t="n">
        <v>46260</v>
      </c>
      <c r="K1532" s="5" t="inlineStr">
        <is>
          <t>Clearing document SAULLO SILVA JANUARIO 53680</t>
        </is>
      </c>
      <c r="L1532" s="5" t="inlineStr">
        <is>
          <t>02092026</t>
        </is>
      </c>
      <c r="M1532" s="5">
        <f>IF(YEAR(I1532)&lt;=2020,"Até 2020",TEXT(YEAR(I1532),"0"))</f>
        <v/>
      </c>
      <c r="N1532" s="5">
        <f>IFERROR(INDEX(DePara!$A:$A,MATCH(TEXT(B1532,"0"),DePara!$D:$D,0)),"(sem categoria)")</f>
        <v/>
      </c>
      <c r="O1532" s="5">
        <f>IF(J1532="","",Parametros!$B$6-J1532)</f>
        <v/>
      </c>
      <c r="P1532" s="5">
        <f>IF(O1532="","",IF(O1532&gt;0,1,0))</f>
        <v/>
      </c>
    </row>
    <row r="1533">
      <c r="A1533" s="5" t="n">
        <v>2114340000</v>
      </c>
      <c r="B1533" s="5" t="inlineStr">
        <is>
          <t>EM000010</t>
        </is>
      </c>
      <c r="C1533" s="5" t="inlineStr">
        <is>
          <t>FABIANO DAYBSON DA SILVA CAMARA</t>
        </is>
      </c>
      <c r="D1533" s="5" t="inlineStr">
        <is>
          <t>AB</t>
        </is>
      </c>
      <c r="E1533" s="5" t="n">
        <v>1100022355</v>
      </c>
      <c r="F1533" s="5" t="inlineStr">
        <is>
          <t>53737</t>
        </is>
      </c>
      <c r="G1533" s="5" t="inlineStr">
        <is>
          <t>BRL</t>
        </is>
      </c>
      <c r="H1533" s="9" t="n">
        <v>-80</v>
      </c>
      <c r="I1533" s="16" t="n">
        <v>46265</v>
      </c>
      <c r="J1533" s="16" t="n">
        <v>46265</v>
      </c>
      <c r="K1533" s="5" t="inlineStr">
        <is>
          <t>Clearing document FABIANO DAYBSON DA SILVA CAMARA</t>
        </is>
      </c>
      <c r="L1533" s="5" t="inlineStr">
        <is>
          <t>02092026</t>
        </is>
      </c>
      <c r="M1533" s="5">
        <f>IF(YEAR(I1533)&lt;=2020,"Até 2020",TEXT(YEAR(I1533),"0"))</f>
        <v/>
      </c>
      <c r="N1533" s="5">
        <f>IFERROR(INDEX(DePara!$A:$A,MATCH(TEXT(B1533,"0"),DePara!$D:$D,0)),"(sem categoria)")</f>
        <v/>
      </c>
      <c r="O1533" s="5">
        <f>IF(J1533="","",Parametros!$B$6-J1533)</f>
        <v/>
      </c>
      <c r="P1533" s="5">
        <f>IF(O1533="","",IF(O1533&gt;0,1,0))</f>
        <v/>
      </c>
    </row>
    <row r="1534">
      <c r="A1534" s="5" t="n">
        <v>2114340000</v>
      </c>
      <c r="B1534" s="5" t="inlineStr">
        <is>
          <t>EM000783</t>
        </is>
      </c>
      <c r="C1534" s="5" t="inlineStr">
        <is>
          <t>JEYSON DE OLIVEIRA BARROS</t>
        </is>
      </c>
      <c r="D1534" s="5" t="inlineStr">
        <is>
          <t>AB</t>
        </is>
      </c>
      <c r="E1534" s="5" t="n">
        <v>1100022356</v>
      </c>
      <c r="F1534" s="5" t="inlineStr">
        <is>
          <t>48778</t>
        </is>
      </c>
      <c r="G1534" s="5" t="inlineStr">
        <is>
          <t>BRL</t>
        </is>
      </c>
      <c r="H1534" s="9" t="n">
        <v>-495.62</v>
      </c>
      <c r="I1534" s="16" t="n">
        <v>46265</v>
      </c>
      <c r="J1534" s="16" t="n">
        <v>46265</v>
      </c>
      <c r="K1534" s="5" t="inlineStr">
        <is>
          <t>Clearing document JEYSON DE OLIVEIRA BARROS 48778</t>
        </is>
      </c>
      <c r="L1534" s="5" t="inlineStr">
        <is>
          <t>02092026</t>
        </is>
      </c>
      <c r="M1534" s="5">
        <f>IF(YEAR(I1534)&lt;=2020,"Até 2020",TEXT(YEAR(I1534),"0"))</f>
        <v/>
      </c>
      <c r="N1534" s="5">
        <f>IFERROR(INDEX(DePara!$A:$A,MATCH(TEXT(B1534,"0"),DePara!$D:$D,0)),"(sem categoria)")</f>
        <v/>
      </c>
      <c r="O1534" s="5">
        <f>IF(J1534="","",Parametros!$B$6-J1534)</f>
        <v/>
      </c>
      <c r="P1534" s="5">
        <f>IF(O1534="","",IF(O1534&gt;0,1,0))</f>
        <v/>
      </c>
    </row>
    <row r="1535">
      <c r="A1535" s="5" t="n">
        <v>2114340000</v>
      </c>
      <c r="B1535" s="5" t="inlineStr">
        <is>
          <t>EM000753</t>
        </is>
      </c>
      <c r="C1535" s="5" t="inlineStr">
        <is>
          <t>Thiago Maxwel da Costa Soares</t>
        </is>
      </c>
      <c r="D1535" s="5" t="inlineStr">
        <is>
          <t>AB</t>
        </is>
      </c>
      <c r="E1535" s="5" t="n">
        <v>1100022357</v>
      </c>
      <c r="F1535" s="5" t="inlineStr">
        <is>
          <t>53574</t>
        </is>
      </c>
      <c r="G1535" s="5" t="inlineStr">
        <is>
          <t>BRL</t>
        </is>
      </c>
      <c r="H1535" s="9" t="n">
        <v>-320</v>
      </c>
      <c r="I1535" s="16" t="n">
        <v>46265</v>
      </c>
      <c r="J1535" s="16" t="n">
        <v>46265</v>
      </c>
      <c r="K1535" s="5" t="inlineStr">
        <is>
          <t>Clearing document Thiago Maxwel da Costa Soares 53</t>
        </is>
      </c>
      <c r="L1535" s="5" t="inlineStr">
        <is>
          <t>02092026</t>
        </is>
      </c>
      <c r="M1535" s="5">
        <f>IF(YEAR(I1535)&lt;=2020,"Até 2020",TEXT(YEAR(I1535),"0"))</f>
        <v/>
      </c>
      <c r="N1535" s="5">
        <f>IFERROR(INDEX(DePara!$A:$A,MATCH(TEXT(B1535,"0"),DePara!$D:$D,0)),"(sem categoria)")</f>
        <v/>
      </c>
      <c r="O1535" s="5">
        <f>IF(J1535="","",Parametros!$B$6-J1535)</f>
        <v/>
      </c>
      <c r="P1535" s="5">
        <f>IF(O1535="","",IF(O1535&gt;0,1,0))</f>
        <v/>
      </c>
    </row>
    <row r="1536">
      <c r="A1536" s="5" t="n">
        <v>2114340000</v>
      </c>
      <c r="B1536" s="5" t="inlineStr">
        <is>
          <t>EM000417</t>
        </is>
      </c>
      <c r="C1536" s="5" t="inlineStr">
        <is>
          <t>VICTOR DOS SANTOS DE JESUS</t>
        </is>
      </c>
      <c r="D1536" s="5" t="inlineStr">
        <is>
          <t>AB</t>
        </is>
      </c>
      <c r="E1536" s="5" t="n">
        <v>1100022358</v>
      </c>
      <c r="F1536" s="5" t="inlineStr">
        <is>
          <t>53726</t>
        </is>
      </c>
      <c r="G1536" s="5" t="inlineStr">
        <is>
          <t>BRL</t>
        </is>
      </c>
      <c r="H1536" s="9" t="n">
        <v>-80</v>
      </c>
      <c r="I1536" s="16" t="n">
        <v>46265</v>
      </c>
      <c r="J1536" s="16" t="n">
        <v>46265</v>
      </c>
      <c r="K1536" s="5" t="inlineStr">
        <is>
          <t>Clearing document VICTOR DOS SANTOS DE JESUS 53726</t>
        </is>
      </c>
      <c r="L1536" s="5" t="inlineStr">
        <is>
          <t>02092026</t>
        </is>
      </c>
      <c r="M1536" s="5">
        <f>IF(YEAR(I1536)&lt;=2020,"Até 2020",TEXT(YEAR(I1536),"0"))</f>
        <v/>
      </c>
      <c r="N1536" s="5">
        <f>IFERROR(INDEX(DePara!$A:$A,MATCH(TEXT(B1536,"0"),DePara!$D:$D,0)),"(sem categoria)")</f>
        <v/>
      </c>
      <c r="O1536" s="5">
        <f>IF(J1536="","",Parametros!$B$6-J1536)</f>
        <v/>
      </c>
      <c r="P1536" s="5">
        <f>IF(O1536="","",IF(O1536&gt;0,1,0))</f>
        <v/>
      </c>
    </row>
    <row r="1537">
      <c r="A1537" s="5" t="n">
        <v>2114340000</v>
      </c>
      <c r="B1537" s="5" t="inlineStr">
        <is>
          <t>EM000561</t>
        </is>
      </c>
      <c r="C1537" s="5" t="inlineStr">
        <is>
          <t>GEOVANE PASSOS LOPES</t>
        </is>
      </c>
      <c r="D1537" s="5" t="inlineStr">
        <is>
          <t>AB</t>
        </is>
      </c>
      <c r="E1537" s="5" t="n">
        <v>1100022359</v>
      </c>
      <c r="F1537" s="5" t="inlineStr">
        <is>
          <t>51415</t>
        </is>
      </c>
      <c r="G1537" s="5" t="inlineStr">
        <is>
          <t>BRL</t>
        </is>
      </c>
      <c r="H1537" s="9" t="n">
        <v>-295.94</v>
      </c>
      <c r="I1537" s="16" t="n">
        <v>46265</v>
      </c>
      <c r="J1537" s="16" t="n">
        <v>46265</v>
      </c>
      <c r="K1537" s="5" t="inlineStr">
        <is>
          <t>Clearing document GEOVANE PASSOS LOPES 51415</t>
        </is>
      </c>
      <c r="L1537" s="5" t="inlineStr">
        <is>
          <t>02092026</t>
        </is>
      </c>
      <c r="M1537" s="5">
        <f>IF(YEAR(I1537)&lt;=2020,"Até 2020",TEXT(YEAR(I1537),"0"))</f>
        <v/>
      </c>
      <c r="N1537" s="5">
        <f>IFERROR(INDEX(DePara!$A:$A,MATCH(TEXT(B1537,"0"),DePara!$D:$D,0)),"(sem categoria)")</f>
        <v/>
      </c>
      <c r="O1537" s="5">
        <f>IF(J1537="","",Parametros!$B$6-J1537)</f>
        <v/>
      </c>
      <c r="P1537" s="5">
        <f>IF(O1537="","",IF(O1537&gt;0,1,0))</f>
        <v/>
      </c>
    </row>
    <row r="1538">
      <c r="A1538" s="5" t="n">
        <v>2114340000</v>
      </c>
      <c r="B1538" s="5" t="inlineStr">
        <is>
          <t>EM000034</t>
        </is>
      </c>
      <c r="C1538" s="5" t="inlineStr">
        <is>
          <t>WALLYSON HENRIQUE VIEIRA GALDINO</t>
        </is>
      </c>
      <c r="D1538" s="5" t="inlineStr">
        <is>
          <t>AB</t>
        </is>
      </c>
      <c r="E1538" s="5" t="n">
        <v>1100022363</v>
      </c>
      <c r="F1538" s="5" t="inlineStr">
        <is>
          <t>53631</t>
        </is>
      </c>
      <c r="G1538" s="5" t="inlineStr">
        <is>
          <t>BRL</t>
        </is>
      </c>
      <c r="H1538" s="9" t="n">
        <v>-439.02</v>
      </c>
      <c r="I1538" s="16" t="n">
        <v>46265</v>
      </c>
      <c r="J1538" s="16" t="n">
        <v>46265</v>
      </c>
      <c r="K1538" s="5" t="inlineStr">
        <is>
          <t>Clearing document WALLYSON HENRIQUE VIEIRA GALDINO</t>
        </is>
      </c>
      <c r="L1538" s="5" t="inlineStr">
        <is>
          <t>02092026</t>
        </is>
      </c>
      <c r="M1538" s="5">
        <f>IF(YEAR(I1538)&lt;=2020,"Até 2020",TEXT(YEAR(I1538),"0"))</f>
        <v/>
      </c>
      <c r="N1538" s="5">
        <f>IFERROR(INDEX(DePara!$A:$A,MATCH(TEXT(B1538,"0"),DePara!$D:$D,0)),"(sem categoria)")</f>
        <v/>
      </c>
      <c r="O1538" s="5">
        <f>IF(J1538="","",Parametros!$B$6-J1538)</f>
        <v/>
      </c>
      <c r="P1538" s="5">
        <f>IF(O1538="","",IF(O1538&gt;0,1,0))</f>
        <v/>
      </c>
    </row>
    <row r="1539">
      <c r="A1539" s="5" t="n">
        <v>2114340000</v>
      </c>
      <c r="B1539" s="5" t="inlineStr">
        <is>
          <t>EM000761</t>
        </is>
      </c>
      <c r="C1539" s="5" t="inlineStr">
        <is>
          <t>YNDIANE CARVALHO DOURADO</t>
        </is>
      </c>
      <c r="D1539" s="5" t="inlineStr">
        <is>
          <t>AB</t>
        </is>
      </c>
      <c r="E1539" s="5" t="n">
        <v>1100022369</v>
      </c>
      <c r="F1539" s="5" t="inlineStr">
        <is>
          <t>53622</t>
        </is>
      </c>
      <c r="G1539" s="5" t="inlineStr">
        <is>
          <t>BRL</t>
        </is>
      </c>
      <c r="H1539" s="9" t="n">
        <v>-201.66</v>
      </c>
      <c r="I1539" s="16" t="n">
        <v>46265</v>
      </c>
      <c r="J1539" s="16" t="n">
        <v>46265</v>
      </c>
      <c r="K1539" s="5" t="inlineStr">
        <is>
          <t>Clearing document YNDIANE CARVALHO DOURADO 53622</t>
        </is>
      </c>
      <c r="L1539" s="5" t="inlineStr">
        <is>
          <t>02092026</t>
        </is>
      </c>
      <c r="M1539" s="5">
        <f>IF(YEAR(I1539)&lt;=2020,"Até 2020",TEXT(YEAR(I1539),"0"))</f>
        <v/>
      </c>
      <c r="N1539" s="5">
        <f>IFERROR(INDEX(DePara!$A:$A,MATCH(TEXT(B1539,"0"),DePara!$D:$D,0)),"(sem categoria)")</f>
        <v/>
      </c>
      <c r="O1539" s="5">
        <f>IF(J1539="","",Parametros!$B$6-J1539)</f>
        <v/>
      </c>
      <c r="P1539" s="5">
        <f>IF(O1539="","",IF(O1539&gt;0,1,0))</f>
        <v/>
      </c>
    </row>
    <row r="1540">
      <c r="A1540" s="5" t="n">
        <v>2114340000</v>
      </c>
      <c r="B1540" s="5" t="inlineStr">
        <is>
          <t>EM000955</t>
        </is>
      </c>
      <c r="C1540" s="5" t="inlineStr">
        <is>
          <t>JOE MAGNI FREITAS SANTOS</t>
        </is>
      </c>
      <c r="D1540" s="5" t="inlineStr">
        <is>
          <t>AB</t>
        </is>
      </c>
      <c r="E1540" s="5" t="n">
        <v>1100023350</v>
      </c>
      <c r="F1540" s="5" t="inlineStr">
        <is>
          <t>ADT VISTO EUA</t>
        </is>
      </c>
      <c r="G1540" s="5" t="inlineStr">
        <is>
          <t>BRL</t>
        </is>
      </c>
      <c r="H1540" s="9" t="n">
        <v>-91.69</v>
      </c>
      <c r="I1540" s="16" t="n">
        <v>45752</v>
      </c>
      <c r="J1540" s="16" t="n">
        <v>45752</v>
      </c>
      <c r="K1540" s="5" t="inlineStr">
        <is>
          <t>Partida individual JOE MAGNI FREITAS SANTOS ADT VI</t>
        </is>
      </c>
      <c r="L1540" s="5" t="n"/>
      <c r="M1540" s="5">
        <f>IF(YEAR(I1540)&lt;=2020,"Até 2020",TEXT(YEAR(I1540),"0"))</f>
        <v/>
      </c>
      <c r="N1540" s="5">
        <f>IFERROR(INDEX(DePara!$A:$A,MATCH(TEXT(B1540,"0"),DePara!$D:$D,0)),"(sem categoria)")</f>
        <v/>
      </c>
      <c r="O1540" s="5">
        <f>IF(J1540="","",Parametros!$B$6-J1540)</f>
        <v/>
      </c>
      <c r="P1540" s="5">
        <f>IF(O1540="","",IF(O1540&gt;0,1,0))</f>
        <v/>
      </c>
    </row>
    <row r="1541">
      <c r="A1541" s="5" t="n">
        <v>2114340000</v>
      </c>
      <c r="B1541" s="5" t="inlineStr">
        <is>
          <t>EM000365</t>
        </is>
      </c>
      <c r="C1541" s="5" t="inlineStr">
        <is>
          <t>LUCIANA OLIVEIRA COSTA LOREDO</t>
        </is>
      </c>
      <c r="D1541" s="5" t="inlineStr">
        <is>
          <t>AB</t>
        </is>
      </c>
      <c r="E1541" s="5" t="n">
        <v>1100026465</v>
      </c>
      <c r="F1541" s="5" t="n"/>
      <c r="G1541" s="5" t="inlineStr">
        <is>
          <t>BRL</t>
        </is>
      </c>
      <c r="H1541" s="9" t="n">
        <v>-465.92</v>
      </c>
      <c r="I1541" s="16" t="n">
        <v>45763</v>
      </c>
      <c r="J1541" s="16" t="n">
        <v>45775</v>
      </c>
      <c r="K1541" s="5" t="inlineStr">
        <is>
          <t>Partida individual LUCIANA OLIVEIRA COSTA LOREDO</t>
        </is>
      </c>
      <c r="L1541" s="5" t="n"/>
      <c r="M1541" s="5">
        <f>IF(YEAR(I1541)&lt;=2020,"Até 2020",TEXT(YEAR(I1541),"0"))</f>
        <v/>
      </c>
      <c r="N1541" s="5">
        <f>IFERROR(INDEX(DePara!$A:$A,MATCH(TEXT(B1541,"0"),DePara!$D:$D,0)),"(sem categoria)")</f>
        <v/>
      </c>
      <c r="O1541" s="5">
        <f>IF(J1541="","",Parametros!$B$6-J1541)</f>
        <v/>
      </c>
      <c r="P1541" s="5">
        <f>IF(O1541="","",IF(O1541&gt;0,1,0))</f>
        <v/>
      </c>
    </row>
    <row r="1542">
      <c r="A1542" s="5" t="n">
        <v>2114340000</v>
      </c>
      <c r="B1542" s="5" t="inlineStr">
        <is>
          <t>EM003090</t>
        </is>
      </c>
      <c r="C1542" s="5" t="inlineStr">
        <is>
          <t>VALQUIRIA STRAHLR DA SILVA</t>
        </is>
      </c>
      <c r="D1542" s="5" t="inlineStr">
        <is>
          <t>AB</t>
        </is>
      </c>
      <c r="E1542" s="5" t="n">
        <v>1100050063</v>
      </c>
      <c r="F1542" s="5" t="inlineStr">
        <is>
          <t>REEMBOLSO VAL</t>
        </is>
      </c>
      <c r="G1542" s="5" t="inlineStr">
        <is>
          <t>BRL</t>
        </is>
      </c>
      <c r="H1542" s="9" t="n">
        <v>-425.2</v>
      </c>
      <c r="I1542" s="16" t="n">
        <v>46013</v>
      </c>
      <c r="J1542" s="16" t="n">
        <v>46013</v>
      </c>
      <c r="K1542" s="5" t="inlineStr">
        <is>
          <t>Partida individual VALQUIRIA STRAHLR DA SILVA REEM</t>
        </is>
      </c>
      <c r="L1542" s="5" t="n"/>
      <c r="M1542" s="5">
        <f>IF(YEAR(I1542)&lt;=2020,"Até 2020",TEXT(YEAR(I1542),"0"))</f>
        <v/>
      </c>
      <c r="N1542" s="5">
        <f>IFERROR(INDEX(DePara!$A:$A,MATCH(TEXT(B1542,"0"),DePara!$D:$D,0)),"(sem categoria)")</f>
        <v/>
      </c>
      <c r="O1542" s="5">
        <f>IF(J1542="","",Parametros!$B$6-J1542)</f>
        <v/>
      </c>
      <c r="P1542" s="5">
        <f>IF(O1542="","",IF(O1542&gt;0,1,0))</f>
        <v/>
      </c>
    </row>
    <row r="1543">
      <c r="A1543" s="5" t="n">
        <v>2114340000</v>
      </c>
      <c r="B1543" s="5" t="inlineStr">
        <is>
          <t>ICBRWA</t>
        </is>
      </c>
      <c r="C1543" s="5" t="inlineStr">
        <is>
          <t>NORDEX ENERGY BRASIL - COMERCIO E I</t>
        </is>
      </c>
      <c r="D1543" s="5" t="inlineStr">
        <is>
          <t>KZ</t>
        </is>
      </c>
      <c r="E1543" s="5" t="n">
        <v>1300002970</v>
      </c>
      <c r="F1543" s="5" t="n"/>
      <c r="G1543" s="5" t="inlineStr">
        <is>
          <t>BRL</t>
        </is>
      </c>
      <c r="H1543" s="9" t="n">
        <v>60564.54</v>
      </c>
      <c r="I1543" s="16" t="n">
        <v>46128</v>
      </c>
      <c r="J1543" s="16" t="n">
        <v>46128</v>
      </c>
      <c r="K1543" s="5" t="inlineStr">
        <is>
          <t>Pagamento fornecedor NORDEX ENERGY BRASIL - COMERC</t>
        </is>
      </c>
      <c r="L1543" s="5" t="n"/>
      <c r="M1543" s="5">
        <f>IF(YEAR(I1543)&lt;=2020,"Até 2020",TEXT(YEAR(I1543),"0"))</f>
        <v/>
      </c>
      <c r="N1543" s="5">
        <f>IFERROR(INDEX(DePara!$A:$A,MATCH(TEXT(B1543,"0"),DePara!$D:$D,0)),"(sem categoria)")</f>
        <v/>
      </c>
      <c r="O1543" s="5">
        <f>IF(J1543="","",Parametros!$B$6-J1543)</f>
        <v/>
      </c>
      <c r="P1543" s="5">
        <f>IF(O1543="","",IF(O1543&gt;0,1,0))</f>
        <v/>
      </c>
    </row>
    <row r="1544">
      <c r="A1544" s="5" t="n">
        <v>2114340000</v>
      </c>
      <c r="B1544" s="5" t="inlineStr">
        <is>
          <t>ICBRWA</t>
        </is>
      </c>
      <c r="C1544" s="5" t="inlineStr">
        <is>
          <t>NORDEX ENERGY BRASIL - COMERCIO E I</t>
        </is>
      </c>
      <c r="D1544" s="5" t="inlineStr">
        <is>
          <t>KZ</t>
        </is>
      </c>
      <c r="E1544" s="5" t="n">
        <v>1300003059</v>
      </c>
      <c r="F1544" s="5" t="n"/>
      <c r="G1544" s="5" t="inlineStr">
        <is>
          <t>BRL</t>
        </is>
      </c>
      <c r="H1544" s="9" t="n">
        <v>-60564.54</v>
      </c>
      <c r="I1544" s="16" t="n">
        <v>46128</v>
      </c>
      <c r="J1544" s="16" t="n">
        <v>46128</v>
      </c>
      <c r="K1544" s="5" t="inlineStr">
        <is>
          <t>Pagamento fornecedor NORDEX ENERGY BRASIL - COMERC</t>
        </is>
      </c>
      <c r="L1544" s="5" t="n"/>
      <c r="M1544" s="5">
        <f>IF(YEAR(I1544)&lt;=2020,"Até 2020",TEXT(YEAR(I1544),"0"))</f>
        <v/>
      </c>
      <c r="N1544" s="5">
        <f>IFERROR(INDEX(DePara!$A:$A,MATCH(TEXT(B1544,"0"),DePara!$D:$D,0)),"(sem categoria)")</f>
        <v/>
      </c>
      <c r="O1544" s="5">
        <f>IF(J1544="","",Parametros!$B$6-J1544)</f>
        <v/>
      </c>
      <c r="P1544" s="5">
        <f>IF(O1544="","",IF(O1544&gt;0,1,0))</f>
        <v/>
      </c>
    </row>
    <row r="1545">
      <c r="A1545" s="5" t="n">
        <v>2112000000</v>
      </c>
      <c r="B1545" s="5" t="inlineStr">
        <is>
          <t>106430</t>
        </is>
      </c>
      <c r="C1545" s="5" t="inlineStr">
        <is>
          <t>HIDRAULICA CONSTRUCCION Y CONSERVAC SA</t>
        </is>
      </c>
      <c r="D1545" s="5" t="inlineStr">
        <is>
          <t>RE</t>
        </is>
      </c>
      <c r="E1545" s="5" t="n">
        <v>5004251</v>
      </c>
      <c r="F1545" s="5" t="inlineStr">
        <is>
          <t>EXD25003BR</t>
        </is>
      </c>
      <c r="G1545" s="5" t="inlineStr">
        <is>
          <t>EUR</t>
        </is>
      </c>
      <c r="H1545" s="9" t="n">
        <v>-190471.73</v>
      </c>
      <c r="I1545" s="16" t="n">
        <v>46001</v>
      </c>
      <c r="J1545" s="16" t="n">
        <v>46001</v>
      </c>
      <c r="K1545" s="5" t="inlineStr">
        <is>
          <t>0932/25</t>
        </is>
      </c>
      <c r="L1545" s="5" t="inlineStr">
        <is>
          <t>EXD25003BR</t>
        </is>
      </c>
      <c r="M1545" s="5">
        <f>IF(YEAR(I1545)&lt;=2020,"Até 2020",TEXT(YEAR(I1545),"0"))</f>
        <v/>
      </c>
      <c r="N1545" s="5">
        <f>IFERROR(INDEX(DePara!$A:$A,MATCH(TEXT(B1545,"0"),DePara!$D:$D,0)),"(sem categoria)")</f>
        <v/>
      </c>
      <c r="O1545" s="5">
        <f>IF(J1545="","",Parametros!$B$6-J1545)</f>
        <v/>
      </c>
      <c r="P1545" s="5">
        <f>IF(O1545="","",IF(O1545&gt;0,1,0))</f>
        <v/>
      </c>
    </row>
    <row r="1546">
      <c r="A1546" s="5" t="n">
        <v>2112000000</v>
      </c>
      <c r="B1546" s="5" t="inlineStr">
        <is>
          <t>106430</t>
        </is>
      </c>
      <c r="C1546" s="5" t="inlineStr">
        <is>
          <t>HIDRAULICA CONSTRUCCION Y CONSERVAC SA</t>
        </is>
      </c>
      <c r="D1546" s="5" t="inlineStr">
        <is>
          <t>RE</t>
        </is>
      </c>
      <c r="E1546" s="5" t="n">
        <v>5004257</v>
      </c>
      <c r="F1546" s="5" t="inlineStr">
        <is>
          <t>EXD26004BR</t>
        </is>
      </c>
      <c r="G1546" s="5" t="inlineStr">
        <is>
          <t>EUR</t>
        </is>
      </c>
      <c r="H1546" s="9" t="n">
        <v>-30710.53</v>
      </c>
      <c r="I1546" s="16" t="n">
        <v>46062</v>
      </c>
      <c r="J1546" s="16" t="n">
        <v>46062</v>
      </c>
      <c r="K1546" s="5" t="inlineStr">
        <is>
          <t>0079/26</t>
        </is>
      </c>
      <c r="L1546" s="5" t="inlineStr">
        <is>
          <t>EXD26004BR</t>
        </is>
      </c>
      <c r="M1546" s="5">
        <f>IF(YEAR(I1546)&lt;=2020,"Até 2020",TEXT(YEAR(I1546),"0"))</f>
        <v/>
      </c>
      <c r="N1546" s="5">
        <f>IFERROR(INDEX(DePara!$A:$A,MATCH(TEXT(B1546,"0"),DePara!$D:$D,0)),"(sem categoria)")</f>
        <v/>
      </c>
      <c r="O1546" s="5">
        <f>IF(J1546="","",Parametros!$B$6-J1546)</f>
        <v/>
      </c>
      <c r="P1546" s="5">
        <f>IF(O1546="","",IF(O1546&gt;0,1,0))</f>
        <v/>
      </c>
    </row>
    <row r="1547">
      <c r="A1547" s="5" t="n">
        <v>2112000000</v>
      </c>
      <c r="B1547" s="5" t="inlineStr">
        <is>
          <t>107793</t>
        </is>
      </c>
      <c r="C1547" s="5" t="inlineStr">
        <is>
          <t>RUDLOFF STRONGFORCE STRUCTURAL SYST L.L.C</t>
        </is>
      </c>
      <c r="D1547" s="5" t="inlineStr">
        <is>
          <t>RE</t>
        </is>
      </c>
      <c r="E1547" s="5" t="n">
        <v>5012181</v>
      </c>
      <c r="F1547" s="5" t="inlineStr">
        <is>
          <t>49</t>
        </is>
      </c>
      <c r="G1547" s="5" t="inlineStr">
        <is>
          <t>USD</t>
        </is>
      </c>
      <c r="H1547" s="9" t="n">
        <v>-219597.5</v>
      </c>
      <c r="I1547" s="16" t="n">
        <v>46176</v>
      </c>
      <c r="J1547" s="16" t="n">
        <v>46191</v>
      </c>
      <c r="K1547" s="5" t="inlineStr">
        <is>
          <t>Fatura - bruto RUDLOFF STRONGFORCE STRUCTURAL SYST</t>
        </is>
      </c>
      <c r="L1547" s="5" t="inlineStr">
        <is>
          <t>15072026</t>
        </is>
      </c>
      <c r="M1547" s="5">
        <f>IF(YEAR(I1547)&lt;=2020,"Até 2020",TEXT(YEAR(I1547),"0"))</f>
        <v/>
      </c>
      <c r="N1547" s="5">
        <f>IFERROR(INDEX(DePara!$A:$A,MATCH(TEXT(B1547,"0"),DePara!$D:$D,0)),"(sem categoria)")</f>
        <v/>
      </c>
      <c r="O1547" s="5">
        <f>IF(J1547="","",Parametros!$B$6-J1547)</f>
        <v/>
      </c>
      <c r="P1547" s="5">
        <f>IF(O1547="","",IF(O1547&gt;0,1,0))</f>
        <v/>
      </c>
    </row>
    <row r="1548">
      <c r="A1548" s="5" t="n">
        <v>2112000000</v>
      </c>
      <c r="B1548" s="5" t="inlineStr">
        <is>
          <t>100393</t>
        </is>
      </c>
      <c r="C1548" s="5" t="inlineStr">
        <is>
          <t>DISTRIBUIDORA DE PRODUCTOS DE ELEVA</t>
        </is>
      </c>
      <c r="D1548" s="5" t="inlineStr">
        <is>
          <t>RE</t>
        </is>
      </c>
      <c r="E1548" s="5" t="n">
        <v>5015223</v>
      </c>
      <c r="F1548" s="5" t="inlineStr">
        <is>
          <t>32332</t>
        </is>
      </c>
      <c r="G1548" s="5" t="inlineStr">
        <is>
          <t>EUR</t>
        </is>
      </c>
      <c r="H1548" s="9" t="n">
        <v>-20047.21</v>
      </c>
      <c r="I1548" s="16" t="n">
        <v>45247</v>
      </c>
      <c r="J1548" s="16" t="n">
        <v>45277</v>
      </c>
      <c r="K1548" s="5" t="inlineStr">
        <is>
          <t>0073/24</t>
        </is>
      </c>
      <c r="L1548" s="5" t="inlineStr">
        <is>
          <t>32332</t>
        </is>
      </c>
      <c r="M1548" s="5">
        <f>IF(YEAR(I1548)&lt;=2020,"Até 2020",TEXT(YEAR(I1548),"0"))</f>
        <v/>
      </c>
      <c r="N1548" s="5">
        <f>IFERROR(INDEX(DePara!$A:$A,MATCH(TEXT(B1548,"0"),DePara!$D:$D,0)),"(sem categoria)")</f>
        <v/>
      </c>
      <c r="O1548" s="5">
        <f>IF(J1548="","",Parametros!$B$6-J1548)</f>
        <v/>
      </c>
      <c r="P1548" s="5">
        <f>IF(O1548="","",IF(O1548&gt;0,1,0))</f>
        <v/>
      </c>
    </row>
    <row r="1549">
      <c r="A1549" s="5" t="n">
        <v>2112000000</v>
      </c>
      <c r="B1549" s="5" t="inlineStr">
        <is>
          <t>100400</t>
        </is>
      </c>
      <c r="C1549" s="5" t="inlineStr">
        <is>
          <t>TECHNICAL UNIVERSITY OF DENMARK DTU</t>
        </is>
      </c>
      <c r="D1549" s="5" t="inlineStr">
        <is>
          <t>RE</t>
        </is>
      </c>
      <c r="E1549" s="5" t="n">
        <v>5016099</v>
      </c>
      <c r="F1549" s="5" t="inlineStr">
        <is>
          <t>51039130</t>
        </is>
      </c>
      <c r="G1549" s="5" t="inlineStr">
        <is>
          <t>EUR</t>
        </is>
      </c>
      <c r="H1549" s="9" t="n">
        <v>-10231.28</v>
      </c>
      <c r="I1549" s="16" t="n">
        <v>46253</v>
      </c>
      <c r="J1549" s="16" t="n">
        <v>46283</v>
      </c>
      <c r="K1549" s="5" t="inlineStr">
        <is>
          <t>Fatura - bruto TECHNICAL UNIVERSITY OF DENMARK DTU</t>
        </is>
      </c>
      <c r="L1549" s="5" t="inlineStr">
        <is>
          <t>16092026</t>
        </is>
      </c>
      <c r="M1549" s="5">
        <f>IF(YEAR(I1549)&lt;=2020,"Até 2020",TEXT(YEAR(I1549),"0"))</f>
        <v/>
      </c>
      <c r="N1549" s="5">
        <f>IFERROR(INDEX(DePara!$A:$A,MATCH(TEXT(B1549,"0"),DePara!$D:$D,0)),"(sem categoria)")</f>
        <v/>
      </c>
      <c r="O1549" s="5">
        <f>IF(J1549="","",Parametros!$B$6-J1549)</f>
        <v/>
      </c>
      <c r="P1549" s="5">
        <f>IF(O1549="","",IF(O1549&gt;0,1,0))</f>
        <v/>
      </c>
    </row>
    <row r="1550">
      <c r="A1550" s="5" t="n">
        <v>2112000000</v>
      </c>
      <c r="B1550" s="5" t="inlineStr">
        <is>
          <t>100393</t>
        </is>
      </c>
      <c r="C1550" s="5" t="inlineStr">
        <is>
          <t>DISTRIBUIDORA DE PRODUCTOS DE ELEVA</t>
        </is>
      </c>
      <c r="D1550" s="5" t="inlineStr">
        <is>
          <t>RE</t>
        </is>
      </c>
      <c r="E1550" s="5" t="n">
        <v>5052933</v>
      </c>
      <c r="F1550" s="5" t="inlineStr">
        <is>
          <t>37819</t>
        </is>
      </c>
      <c r="G1550" s="5" t="inlineStr">
        <is>
          <t>EUR</t>
        </is>
      </c>
      <c r="H1550" s="9" t="n">
        <v>-8116.19</v>
      </c>
      <c r="I1550" s="16" t="n">
        <v>45567</v>
      </c>
      <c r="J1550" s="16" t="n">
        <v>45631</v>
      </c>
      <c r="K1550" s="5" t="inlineStr">
        <is>
          <t>1012/24</t>
        </is>
      </c>
      <c r="L1550" s="5" t="inlineStr">
        <is>
          <t>37819</t>
        </is>
      </c>
      <c r="M1550" s="5">
        <f>IF(YEAR(I1550)&lt;=2020,"Até 2020",TEXT(YEAR(I1550),"0"))</f>
        <v/>
      </c>
      <c r="N1550" s="5">
        <f>IFERROR(INDEX(DePara!$A:$A,MATCH(TEXT(B1550,"0"),DePara!$D:$D,0)),"(sem categoria)")</f>
        <v/>
      </c>
      <c r="O1550" s="5">
        <f>IF(J1550="","",Parametros!$B$6-J1550)</f>
        <v/>
      </c>
      <c r="P1550" s="5">
        <f>IF(O1550="","",IF(O1550&gt;0,1,0))</f>
        <v/>
      </c>
    </row>
    <row r="1551">
      <c r="A1551" s="5" t="n">
        <v>2112000000</v>
      </c>
      <c r="B1551" s="5" t="inlineStr">
        <is>
          <t>100908</t>
        </is>
      </c>
      <c r="C1551" s="5" t="inlineStr">
        <is>
          <t>Unimacts Global LLC</t>
        </is>
      </c>
      <c r="D1551" s="5" t="inlineStr">
        <is>
          <t>UE</t>
        </is>
      </c>
      <c r="E1551" s="5" t="n">
        <v>200001452</v>
      </c>
      <c r="F1551" s="5" t="inlineStr">
        <is>
          <t>7889</t>
        </is>
      </c>
      <c r="G1551" s="5" t="inlineStr">
        <is>
          <t>EUR</t>
        </is>
      </c>
      <c r="H1551" s="9" t="n">
        <v>-31414.42</v>
      </c>
      <c r="I1551" s="16" t="n">
        <v>44648</v>
      </c>
      <c r="J1551" s="16" t="n">
        <v>44648</v>
      </c>
      <c r="K1551" s="5" t="inlineStr">
        <is>
          <t>000001808002</t>
        </is>
      </c>
      <c r="L1551" s="5" t="inlineStr">
        <is>
          <t>403000.INGE</t>
        </is>
      </c>
      <c r="M1551" s="5">
        <f>IF(YEAR(I1551)&lt;=2020,"Até 2020",TEXT(YEAR(I1551),"0"))</f>
        <v/>
      </c>
      <c r="N1551" s="5">
        <f>IFERROR(INDEX(DePara!$A:$A,MATCH(TEXT(B1551,"0"),DePara!$D:$D,0)),"(sem categoria)")</f>
        <v/>
      </c>
      <c r="O1551" s="5">
        <f>IF(J1551="","",Parametros!$B$6-J1551)</f>
        <v/>
      </c>
      <c r="P1551" s="5">
        <f>IF(O1551="","",IF(O1551&gt;0,1,0))</f>
        <v/>
      </c>
    </row>
    <row r="1552">
      <c r="A1552" s="5" t="n">
        <v>2112000000</v>
      </c>
      <c r="B1552" s="5" t="inlineStr">
        <is>
          <t>100973</t>
        </is>
      </c>
      <c r="C1552" s="5" t="inlineStr">
        <is>
          <t>MUNGI ENGINEERS PVT LTD</t>
        </is>
      </c>
      <c r="D1552" s="5" t="inlineStr">
        <is>
          <t>UE</t>
        </is>
      </c>
      <c r="E1552" s="5" t="n">
        <v>200001652</v>
      </c>
      <c r="F1552" s="5" t="inlineStr">
        <is>
          <t>8068</t>
        </is>
      </c>
      <c r="G1552" s="5" t="inlineStr">
        <is>
          <t>EUR</t>
        </is>
      </c>
      <c r="H1552" s="9" t="n">
        <v>-62708.75</v>
      </c>
      <c r="I1552" s="16" t="n">
        <v>44687</v>
      </c>
      <c r="J1552" s="16" t="n">
        <v>44687</v>
      </c>
      <c r="K1552" s="5" t="inlineStr">
        <is>
          <t>000001899002</t>
        </is>
      </c>
      <c r="L1552" s="5" t="inlineStr">
        <is>
          <t>400000.210101</t>
        </is>
      </c>
      <c r="M1552" s="5">
        <f>IF(YEAR(I1552)&lt;=2020,"Até 2020",TEXT(YEAR(I1552),"0"))</f>
        <v/>
      </c>
      <c r="N1552" s="5">
        <f>IFERROR(INDEX(DePara!$A:$A,MATCH(TEXT(B1552,"0"),DePara!$D:$D,0)),"(sem categoria)")</f>
        <v/>
      </c>
      <c r="O1552" s="5">
        <f>IF(J1552="","",Parametros!$B$6-J1552)</f>
        <v/>
      </c>
      <c r="P1552" s="5">
        <f>IF(O1552="","",IF(O1552&gt;0,1,0))</f>
        <v/>
      </c>
    </row>
    <row r="1553">
      <c r="A1553" s="5" t="n">
        <v>2112000000</v>
      </c>
      <c r="B1553" s="5" t="inlineStr">
        <is>
          <t>101937</t>
        </is>
      </c>
      <c r="C1553" s="5" t="inlineStr">
        <is>
          <t>ALONSO DOLDAN INGENIERIA Y SERVICIO</t>
        </is>
      </c>
      <c r="D1553" s="5" t="inlineStr">
        <is>
          <t>UE</t>
        </is>
      </c>
      <c r="E1553" s="5" t="n">
        <v>200011549</v>
      </c>
      <c r="F1553" s="5" t="inlineStr">
        <is>
          <t>16429</t>
        </is>
      </c>
      <c r="G1553" s="5" t="inlineStr">
        <is>
          <t>EUR</t>
        </is>
      </c>
      <c r="H1553" s="9" t="n">
        <v>-4737.34</v>
      </c>
      <c r="I1553" s="16" t="n">
        <v>45078</v>
      </c>
      <c r="J1553" s="16" t="n">
        <v>45078</v>
      </c>
      <c r="K1553" s="5" t="inlineStr">
        <is>
          <t>1172599</t>
        </is>
      </c>
      <c r="L1553" s="5" t="inlineStr">
        <is>
          <t>400000.210101</t>
        </is>
      </c>
      <c r="M1553" s="5">
        <f>IF(YEAR(I1553)&lt;=2020,"Até 2020",TEXT(YEAR(I1553),"0"))</f>
        <v/>
      </c>
      <c r="N1553" s="5">
        <f>IFERROR(INDEX(DePara!$A:$A,MATCH(TEXT(B1553,"0"),DePara!$D:$D,0)),"(sem categoria)")</f>
        <v/>
      </c>
      <c r="O1553" s="5">
        <f>IF(J1553="","",Parametros!$B$6-J1553)</f>
        <v/>
      </c>
      <c r="P1553" s="5">
        <f>IF(O1553="","",IF(O1553&gt;0,1,0))</f>
        <v/>
      </c>
    </row>
    <row r="1554">
      <c r="A1554" s="5" t="n">
        <v>2112000000</v>
      </c>
      <c r="B1554" s="5" t="inlineStr">
        <is>
          <t>101937</t>
        </is>
      </c>
      <c r="C1554" s="5" t="inlineStr">
        <is>
          <t>ALONSO DOLDAN INGENIERIA Y SERVICIO</t>
        </is>
      </c>
      <c r="D1554" s="5" t="inlineStr">
        <is>
          <t>UE</t>
        </is>
      </c>
      <c r="E1554" s="5" t="n">
        <v>200011551</v>
      </c>
      <c r="F1554" s="5" t="inlineStr">
        <is>
          <t>16430</t>
        </is>
      </c>
      <c r="G1554" s="5" t="inlineStr">
        <is>
          <t>EUR</t>
        </is>
      </c>
      <c r="H1554" s="9" t="n">
        <v>-4737.34</v>
      </c>
      <c r="I1554" s="16" t="n">
        <v>45078</v>
      </c>
      <c r="J1554" s="16" t="n">
        <v>45078</v>
      </c>
      <c r="K1554" s="5" t="inlineStr">
        <is>
          <t>1172602</t>
        </is>
      </c>
      <c r="L1554" s="5" t="inlineStr">
        <is>
          <t>400000.210101</t>
        </is>
      </c>
      <c r="M1554" s="5">
        <f>IF(YEAR(I1554)&lt;=2020,"Até 2020",TEXT(YEAR(I1554),"0"))</f>
        <v/>
      </c>
      <c r="N1554" s="5">
        <f>IFERROR(INDEX(DePara!$A:$A,MATCH(TEXT(B1554,"0"),DePara!$D:$D,0)),"(sem categoria)")</f>
        <v/>
      </c>
      <c r="O1554" s="5">
        <f>IF(J1554="","",Parametros!$B$6-J1554)</f>
        <v/>
      </c>
      <c r="P1554" s="5">
        <f>IF(O1554="","",IF(O1554&gt;0,1,0))</f>
        <v/>
      </c>
    </row>
    <row r="1555">
      <c r="A1555" s="5" t="n">
        <v>2112000000</v>
      </c>
      <c r="B1555" s="5" t="inlineStr">
        <is>
          <t>101937</t>
        </is>
      </c>
      <c r="C1555" s="5" t="inlineStr">
        <is>
          <t>ALONSO DOLDAN INGENIERIA Y SERVICIO</t>
        </is>
      </c>
      <c r="D1555" s="5" t="inlineStr">
        <is>
          <t>UE</t>
        </is>
      </c>
      <c r="E1555" s="5" t="n">
        <v>200011552</v>
      </c>
      <c r="F1555" s="5" t="inlineStr">
        <is>
          <t>16431</t>
        </is>
      </c>
      <c r="G1555" s="5" t="inlineStr">
        <is>
          <t>EUR</t>
        </is>
      </c>
      <c r="H1555" s="9" t="n">
        <v>-4737.34</v>
      </c>
      <c r="I1555" s="16" t="n">
        <v>45078</v>
      </c>
      <c r="J1555" s="16" t="n">
        <v>45078</v>
      </c>
      <c r="K1555" s="5" t="inlineStr">
        <is>
          <t>1172607</t>
        </is>
      </c>
      <c r="L1555" s="5" t="inlineStr">
        <is>
          <t>400000.210101</t>
        </is>
      </c>
      <c r="M1555" s="5">
        <f>IF(YEAR(I1555)&lt;=2020,"Até 2020",TEXT(YEAR(I1555),"0"))</f>
        <v/>
      </c>
      <c r="N1555" s="5">
        <f>IFERROR(INDEX(DePara!$A:$A,MATCH(TEXT(B1555,"0"),DePara!$D:$D,0)),"(sem categoria)")</f>
        <v/>
      </c>
      <c r="O1555" s="5">
        <f>IF(J1555="","",Parametros!$B$6-J1555)</f>
        <v/>
      </c>
      <c r="P1555" s="5">
        <f>IF(O1555="","",IF(O1555&gt;0,1,0))</f>
        <v/>
      </c>
    </row>
    <row r="1556">
      <c r="A1556" s="5" t="n">
        <v>2112000000</v>
      </c>
      <c r="B1556" s="5" t="inlineStr">
        <is>
          <t>101937</t>
        </is>
      </c>
      <c r="C1556" s="5" t="inlineStr">
        <is>
          <t>ALONSO DOLDAN INGENIERIA Y SERVICIO</t>
        </is>
      </c>
      <c r="D1556" s="5" t="inlineStr">
        <is>
          <t>UE</t>
        </is>
      </c>
      <c r="E1556" s="5" t="n">
        <v>200011553</v>
      </c>
      <c r="F1556" s="5" t="inlineStr">
        <is>
          <t>16432</t>
        </is>
      </c>
      <c r="G1556" s="5" t="inlineStr">
        <is>
          <t>EUR</t>
        </is>
      </c>
      <c r="H1556" s="9" t="n">
        <v>-4060.58</v>
      </c>
      <c r="I1556" s="16" t="n">
        <v>45078</v>
      </c>
      <c r="J1556" s="16" t="n">
        <v>45078</v>
      </c>
      <c r="K1556" s="5" t="inlineStr">
        <is>
          <t>1172612</t>
        </is>
      </c>
      <c r="L1556" s="5" t="inlineStr">
        <is>
          <t>400000.210101</t>
        </is>
      </c>
      <c r="M1556" s="5">
        <f>IF(YEAR(I1556)&lt;=2020,"Até 2020",TEXT(YEAR(I1556),"0"))</f>
        <v/>
      </c>
      <c r="N1556" s="5">
        <f>IFERROR(INDEX(DePara!$A:$A,MATCH(TEXT(B1556,"0"),DePara!$D:$D,0)),"(sem categoria)")</f>
        <v/>
      </c>
      <c r="O1556" s="5">
        <f>IF(J1556="","",Parametros!$B$6-J1556)</f>
        <v/>
      </c>
      <c r="P1556" s="5">
        <f>IF(O1556="","",IF(O1556&gt;0,1,0))</f>
        <v/>
      </c>
    </row>
    <row r="1557">
      <c r="A1557" s="5" t="n">
        <v>2112000000</v>
      </c>
      <c r="B1557" s="5" t="inlineStr">
        <is>
          <t>101937</t>
        </is>
      </c>
      <c r="C1557" s="5" t="inlineStr">
        <is>
          <t>ALONSO DOLDAN INGENIERIA Y SERVICIO</t>
        </is>
      </c>
      <c r="D1557" s="5" t="inlineStr">
        <is>
          <t>UE</t>
        </is>
      </c>
      <c r="E1557" s="5" t="n">
        <v>200011554</v>
      </c>
      <c r="F1557" s="5" t="inlineStr">
        <is>
          <t>16433</t>
        </is>
      </c>
      <c r="G1557" s="5" t="inlineStr">
        <is>
          <t>EUR</t>
        </is>
      </c>
      <c r="H1557" s="9" t="n">
        <v>-4060.58</v>
      </c>
      <c r="I1557" s="16" t="n">
        <v>45078</v>
      </c>
      <c r="J1557" s="16" t="n">
        <v>45078</v>
      </c>
      <c r="K1557" s="5" t="inlineStr">
        <is>
          <t>1172618</t>
        </is>
      </c>
      <c r="L1557" s="5" t="inlineStr">
        <is>
          <t>400000.210101</t>
        </is>
      </c>
      <c r="M1557" s="5">
        <f>IF(YEAR(I1557)&lt;=2020,"Até 2020",TEXT(YEAR(I1557),"0"))</f>
        <v/>
      </c>
      <c r="N1557" s="5">
        <f>IFERROR(INDEX(DePara!$A:$A,MATCH(TEXT(B1557,"0"),DePara!$D:$D,0)),"(sem categoria)")</f>
        <v/>
      </c>
      <c r="O1557" s="5">
        <f>IF(J1557="","",Parametros!$B$6-J1557)</f>
        <v/>
      </c>
      <c r="P1557" s="5">
        <f>IF(O1557="","",IF(O1557&gt;0,1,0))</f>
        <v/>
      </c>
    </row>
    <row r="1558">
      <c r="A1558" s="5" t="n">
        <v>2112000000</v>
      </c>
      <c r="B1558" s="5" t="inlineStr">
        <is>
          <t>101937</t>
        </is>
      </c>
      <c r="C1558" s="5" t="inlineStr">
        <is>
          <t>ALONSO DOLDAN INGENIERIA Y SERVICIO</t>
        </is>
      </c>
      <c r="D1558" s="5" t="inlineStr">
        <is>
          <t>UE</t>
        </is>
      </c>
      <c r="E1558" s="5" t="n">
        <v>200011555</v>
      </c>
      <c r="F1558" s="5" t="inlineStr">
        <is>
          <t>16434</t>
        </is>
      </c>
      <c r="G1558" s="5" t="inlineStr">
        <is>
          <t>EUR</t>
        </is>
      </c>
      <c r="H1558" s="9" t="n">
        <v>-4933.78</v>
      </c>
      <c r="I1558" s="16" t="n">
        <v>45108</v>
      </c>
      <c r="J1558" s="16" t="n">
        <v>45108</v>
      </c>
      <c r="K1558" s="5" t="inlineStr">
        <is>
          <t>1179067</t>
        </is>
      </c>
      <c r="L1558" s="5" t="inlineStr">
        <is>
          <t>400000.210101</t>
        </is>
      </c>
      <c r="M1558" s="5">
        <f>IF(YEAR(I1558)&lt;=2020,"Até 2020",TEXT(YEAR(I1558),"0"))</f>
        <v/>
      </c>
      <c r="N1558" s="5">
        <f>IFERROR(INDEX(DePara!$A:$A,MATCH(TEXT(B1558,"0"),DePara!$D:$D,0)),"(sem categoria)")</f>
        <v/>
      </c>
      <c r="O1558" s="5">
        <f>IF(J1558="","",Parametros!$B$6-J1558)</f>
        <v/>
      </c>
      <c r="P1558" s="5">
        <f>IF(O1558="","",IF(O1558&gt;0,1,0))</f>
        <v/>
      </c>
    </row>
    <row r="1559">
      <c r="A1559" s="5" t="n">
        <v>2112000000</v>
      </c>
      <c r="B1559" s="5" t="inlineStr">
        <is>
          <t>101937</t>
        </is>
      </c>
      <c r="C1559" s="5" t="inlineStr">
        <is>
          <t>ALONSO DOLDAN INGENIERIA Y SERVICIO</t>
        </is>
      </c>
      <c r="D1559" s="5" t="inlineStr">
        <is>
          <t>UE</t>
        </is>
      </c>
      <c r="E1559" s="5" t="n">
        <v>200011556</v>
      </c>
      <c r="F1559" s="5" t="inlineStr">
        <is>
          <t>16435</t>
        </is>
      </c>
      <c r="G1559" s="5" t="inlineStr">
        <is>
          <t>EUR</t>
        </is>
      </c>
      <c r="H1559" s="9" t="n">
        <v>-14801.33</v>
      </c>
      <c r="I1559" s="16" t="n">
        <v>45108</v>
      </c>
      <c r="J1559" s="16" t="n">
        <v>45108</v>
      </c>
      <c r="K1559" s="5" t="inlineStr">
        <is>
          <t>1179071</t>
        </is>
      </c>
      <c r="L1559" s="5" t="inlineStr">
        <is>
          <t>400000.210101</t>
        </is>
      </c>
      <c r="M1559" s="5">
        <f>IF(YEAR(I1559)&lt;=2020,"Até 2020",TEXT(YEAR(I1559),"0"))</f>
        <v/>
      </c>
      <c r="N1559" s="5">
        <f>IFERROR(INDEX(DePara!$A:$A,MATCH(TEXT(B1559,"0"),DePara!$D:$D,0)),"(sem categoria)")</f>
        <v/>
      </c>
      <c r="O1559" s="5">
        <f>IF(J1559="","",Parametros!$B$6-J1559)</f>
        <v/>
      </c>
      <c r="P1559" s="5">
        <f>IF(O1559="","",IF(O1559&gt;0,1,0))</f>
        <v/>
      </c>
    </row>
    <row r="1560">
      <c r="A1560" s="5" t="n">
        <v>2112000000</v>
      </c>
      <c r="B1560" s="5" t="inlineStr">
        <is>
          <t>101271</t>
        </is>
      </c>
      <c r="C1560" s="5" t="inlineStr">
        <is>
          <t>UNYVERSE PTE LTD</t>
        </is>
      </c>
      <c r="D1560" s="5" t="inlineStr">
        <is>
          <t>UE</t>
        </is>
      </c>
      <c r="E1560" s="5" t="n">
        <v>200011885</v>
      </c>
      <c r="F1560" s="5" t="inlineStr">
        <is>
          <t>16731</t>
        </is>
      </c>
      <c r="G1560" s="5" t="inlineStr">
        <is>
          <t>EUR</t>
        </is>
      </c>
      <c r="H1560" s="9" t="n">
        <v>-0.05</v>
      </c>
      <c r="I1560" s="16" t="n">
        <v>45014</v>
      </c>
      <c r="J1560" s="16" t="n">
        <v>45014</v>
      </c>
      <c r="K1560" s="5" t="inlineStr">
        <is>
          <t>1163734</t>
        </is>
      </c>
      <c r="L1560" s="5" t="inlineStr">
        <is>
          <t>400000.210101</t>
        </is>
      </c>
      <c r="M1560" s="5">
        <f>IF(YEAR(I1560)&lt;=2020,"Até 2020",TEXT(YEAR(I1560),"0"))</f>
        <v/>
      </c>
      <c r="N1560" s="5">
        <f>IFERROR(INDEX(DePara!$A:$A,MATCH(TEXT(B1560,"0"),DePara!$D:$D,0)),"(sem categoria)")</f>
        <v/>
      </c>
      <c r="O1560" s="5">
        <f>IF(J1560="","",Parametros!$B$6-J1560)</f>
        <v/>
      </c>
      <c r="P1560" s="5">
        <f>IF(O1560="","",IF(O1560&gt;0,1,0))</f>
        <v/>
      </c>
    </row>
    <row r="1561">
      <c r="A1561" s="5" t="n">
        <v>2112000000</v>
      </c>
      <c r="B1561" s="5" t="inlineStr">
        <is>
          <t>103702</t>
        </is>
      </c>
      <c r="C1561" s="5" t="inlineStr">
        <is>
          <t>INTERNATIONAL CHAMBER OF COMMERCE</t>
        </is>
      </c>
      <c r="D1561" s="5" t="inlineStr">
        <is>
          <t>AB</t>
        </is>
      </c>
      <c r="E1561" s="5" t="n">
        <v>1100041925</v>
      </c>
      <c r="F1561" s="5" t="inlineStr">
        <is>
          <t>DEV ICC</t>
        </is>
      </c>
      <c r="G1561" s="5" t="inlineStr">
        <is>
          <t>BRL</t>
        </is>
      </c>
      <c r="H1561" s="9" t="n">
        <v>-6678.13</v>
      </c>
      <c r="I1561" s="16" t="n">
        <v>45929</v>
      </c>
      <c r="J1561" s="16" t="n">
        <v>45929</v>
      </c>
      <c r="K1561" s="5" t="inlineStr">
        <is>
          <t>Partida individual INTERNATIONAL CHAMBER OF COMMER</t>
        </is>
      </c>
      <c r="L1561" s="5" t="inlineStr">
        <is>
          <t>NAO PAGAR</t>
        </is>
      </c>
      <c r="M1561" s="5">
        <f>IF(YEAR(I1561)&lt;=2020,"Até 2020",TEXT(YEAR(I1561),"0"))</f>
        <v/>
      </c>
      <c r="N1561" s="5">
        <f>IFERROR(INDEX(DePara!$A:$A,MATCH(TEXT(B1561,"0"),DePara!$D:$D,0)),"(sem categoria)")</f>
        <v/>
      </c>
      <c r="O1561" s="5">
        <f>IF(J1561="","",Parametros!$B$6-J1561)</f>
        <v/>
      </c>
      <c r="P1561" s="5">
        <f>IF(O1561="","",IF(O1561&gt;0,1,0))</f>
        <v/>
      </c>
    </row>
    <row r="1562">
      <c r="A1562" s="5" t="n">
        <v>2112000000</v>
      </c>
      <c r="B1562" s="5" t="inlineStr">
        <is>
          <t>105667</t>
        </is>
      </c>
      <c r="C1562" s="5" t="inlineStr">
        <is>
          <t>TERMOPLAST PLASTIK ENJEKSIYON VE</t>
        </is>
      </c>
      <c r="D1562" s="5" t="inlineStr">
        <is>
          <t>AB</t>
        </is>
      </c>
      <c r="E1562" s="5" t="n">
        <v>1100050075</v>
      </c>
      <c r="F1562" s="5" t="n"/>
      <c r="G1562" s="5" t="inlineStr">
        <is>
          <t>EUR</t>
        </is>
      </c>
      <c r="H1562" s="9" t="n">
        <v>-678.25</v>
      </c>
      <c r="I1562" s="16" t="n">
        <v>46020</v>
      </c>
      <c r="J1562" s="16" t="n">
        <v>46020</v>
      </c>
      <c r="K1562" s="5" t="inlineStr">
        <is>
          <t>Clearing document TERMOPLAST PLASTIK ENJEKSIYON VE</t>
        </is>
      </c>
      <c r="L1562" s="5" t="n"/>
      <c r="M1562" s="5">
        <f>IF(YEAR(I1562)&lt;=2020,"Até 2020",TEXT(YEAR(I1562),"0"))</f>
        <v/>
      </c>
      <c r="N1562" s="5">
        <f>IFERROR(INDEX(DePara!$A:$A,MATCH(TEXT(B1562,"0"),DePara!$D:$D,0)),"(sem categoria)")</f>
        <v/>
      </c>
      <c r="O1562" s="5">
        <f>IF(J1562="","",Parametros!$B$6-J1562)</f>
        <v/>
      </c>
      <c r="P1562" s="5">
        <f>IF(O1562="","",IF(O1562&gt;0,1,0))</f>
        <v/>
      </c>
    </row>
    <row r="1563">
      <c r="A1563" s="5" t="n">
        <v>2111000000</v>
      </c>
      <c r="B1563" s="5" t="inlineStr">
        <is>
          <t>EM000012</t>
        </is>
      </c>
      <c r="C1563" s="5" t="inlineStr">
        <is>
          <t>EDERSON GOMES XABIER BARBALHO</t>
        </is>
      </c>
      <c r="D1563" s="5" t="inlineStr">
        <is>
          <t>SA</t>
        </is>
      </c>
      <c r="E1563" s="5" t="n">
        <v>209060</v>
      </c>
      <c r="F1563" s="5" t="inlineStr">
        <is>
          <t>28051</t>
        </is>
      </c>
      <c r="G1563" s="5" t="inlineStr">
        <is>
          <t>BRL</t>
        </is>
      </c>
      <c r="H1563" s="9" t="n">
        <v>-400</v>
      </c>
      <c r="I1563" s="16" t="n">
        <v>45515</v>
      </c>
      <c r="J1563" s="16" t="n">
        <v>45515</v>
      </c>
      <c r="K1563" s="5" t="inlineStr">
        <is>
          <t>G/L Account Document EDERSON GOMES XABIER BARBALHO</t>
        </is>
      </c>
      <c r="L1563" s="5" t="n"/>
      <c r="M1563" s="5">
        <f>IF(YEAR(I1563)&lt;=2020,"Até 2020",TEXT(YEAR(I1563),"0"))</f>
        <v/>
      </c>
      <c r="N1563" s="5">
        <f>IFERROR(INDEX(DePara!$A:$A,MATCH(TEXT(B1563,"0"),DePara!$D:$D,0)),"(sem categoria)")</f>
        <v/>
      </c>
      <c r="O1563" s="5">
        <f>IF(J1563="","",Parametros!$B$6-J1563)</f>
        <v/>
      </c>
      <c r="P1563" s="5">
        <f>IF(O1563="","",IF(O1563&gt;0,1,0))</f>
        <v/>
      </c>
    </row>
    <row r="1564">
      <c r="A1564" s="5" t="n">
        <v>2111000000</v>
      </c>
      <c r="B1564" s="5" t="inlineStr">
        <is>
          <t>102074</t>
        </is>
      </c>
      <c r="C1564" s="5" t="inlineStr">
        <is>
          <t>TAGUS TEC SERVIÇOS TECNOLOGIA LTDA</t>
        </is>
      </c>
      <c r="D1564" s="5" t="inlineStr">
        <is>
          <t>KZ</t>
        </is>
      </c>
      <c r="E1564" s="5" t="n">
        <v>300304</v>
      </c>
      <c r="F1564" s="5" t="inlineStr">
        <is>
          <t>775009</t>
        </is>
      </c>
      <c r="G1564" s="5" t="inlineStr">
        <is>
          <t>BRL</t>
        </is>
      </c>
      <c r="H1564" s="9" t="n">
        <v>-906.75</v>
      </c>
      <c r="I1564" s="16" t="n">
        <v>45313</v>
      </c>
      <c r="J1564" s="16" t="n">
        <v>45313</v>
      </c>
      <c r="K1564" s="5" t="inlineStr">
        <is>
          <t>Pagamento fornecedor TAGUS TEC SERVIÇOS TECNOLOGIA</t>
        </is>
      </c>
      <c r="L1564" s="5" t="n"/>
      <c r="M1564" s="5">
        <f>IF(YEAR(I1564)&lt;=2020,"Até 2020",TEXT(YEAR(I1564),"0"))</f>
        <v/>
      </c>
      <c r="N1564" s="5">
        <f>IFERROR(INDEX(DePara!$A:$A,MATCH(TEXT(B1564,"0"),DePara!$D:$D,0)),"(sem categoria)")</f>
        <v/>
      </c>
      <c r="O1564" s="5">
        <f>IF(J1564="","",Parametros!$B$6-J1564)</f>
        <v/>
      </c>
      <c r="P1564" s="5">
        <f>IF(O1564="","",IF(O1564&gt;0,1,0))</f>
        <v/>
      </c>
    </row>
    <row r="1565">
      <c r="A1565" s="5" t="n">
        <v>2111000000</v>
      </c>
      <c r="B1565" s="5" t="inlineStr">
        <is>
          <t>100406</t>
        </is>
      </c>
      <c r="C1565" s="5" t="inlineStr">
        <is>
          <t>APS COMPONENTES ELETRICOS SA</t>
        </is>
      </c>
      <c r="D1565" s="5" t="inlineStr">
        <is>
          <t>RE</t>
        </is>
      </c>
      <c r="E1565" s="5" t="n">
        <v>5000009</v>
      </c>
      <c r="F1565" s="5" t="inlineStr">
        <is>
          <t>000212369-1</t>
        </is>
      </c>
      <c r="G1565" s="5" t="inlineStr">
        <is>
          <t>BRL</t>
        </is>
      </c>
      <c r="H1565" s="9" t="n">
        <v>-402.63</v>
      </c>
      <c r="I1565" s="16" t="n">
        <v>45692</v>
      </c>
      <c r="J1565" s="16" t="n">
        <v>45721</v>
      </c>
      <c r="K1565" s="5" t="inlineStr">
        <is>
          <t>Fatura - bruto APS COMPONENTES ELETRICOS SA 000212</t>
        </is>
      </c>
      <c r="L1565" s="5" t="n"/>
      <c r="M1565" s="5">
        <f>IF(YEAR(I1565)&lt;=2020,"Até 2020",TEXT(YEAR(I1565),"0"))</f>
        <v/>
      </c>
      <c r="N1565" s="5">
        <f>IFERROR(INDEX(DePara!$A:$A,MATCH(TEXT(B1565,"0"),DePara!$D:$D,0)),"(sem categoria)")</f>
        <v/>
      </c>
      <c r="O1565" s="5">
        <f>IF(J1565="","",Parametros!$B$6-J1565)</f>
        <v/>
      </c>
      <c r="P1565" s="5">
        <f>IF(O1565="","",IF(O1565&gt;0,1,0))</f>
        <v/>
      </c>
    </row>
    <row r="1566">
      <c r="A1566" s="5" t="n">
        <v>2111000000</v>
      </c>
      <c r="B1566" s="5" t="inlineStr">
        <is>
          <t>101790</t>
        </is>
      </c>
      <c r="C1566" s="5" t="inlineStr">
        <is>
          <t>FERRAMENTAS GERAIS COM IMP DE FER E</t>
        </is>
      </c>
      <c r="D1566" s="5" t="inlineStr">
        <is>
          <t>RE</t>
        </is>
      </c>
      <c r="E1566" s="5" t="n">
        <v>5000175</v>
      </c>
      <c r="F1566" s="5" t="inlineStr">
        <is>
          <t>001275873-1</t>
        </is>
      </c>
      <c r="G1566" s="5" t="inlineStr">
        <is>
          <t>BRL</t>
        </is>
      </c>
      <c r="H1566" s="9" t="n">
        <v>2333.97</v>
      </c>
      <c r="I1566" s="16" t="n">
        <v>46028</v>
      </c>
      <c r="J1566" s="16" t="n">
        <v>46028</v>
      </c>
      <c r="K1566" s="5" t="inlineStr">
        <is>
          <t>Fatura - bruto FERRAMENTAS GERAIS COM IMP DE FER E</t>
        </is>
      </c>
      <c r="L1566" s="5" t="inlineStr">
        <is>
          <t>Devolução</t>
        </is>
      </c>
      <c r="M1566" s="5">
        <f>IF(YEAR(I1566)&lt;=2020,"Até 2020",TEXT(YEAR(I1566),"0"))</f>
        <v/>
      </c>
      <c r="N1566" s="5">
        <f>IFERROR(INDEX(DePara!$A:$A,MATCH(TEXT(B1566,"0"),DePara!$D:$D,0)),"(sem categoria)")</f>
        <v/>
      </c>
      <c r="O1566" s="5">
        <f>IF(J1566="","",Parametros!$B$6-J1566)</f>
        <v/>
      </c>
      <c r="P1566" s="5">
        <f>IF(O1566="","",IF(O1566&gt;0,1,0))</f>
        <v/>
      </c>
    </row>
    <row r="1567">
      <c r="A1567" s="5" t="n">
        <v>2111000000</v>
      </c>
      <c r="B1567" s="5" t="inlineStr">
        <is>
          <t>101790</t>
        </is>
      </c>
      <c r="C1567" s="5" t="inlineStr">
        <is>
          <t>FERRAMENTAS GERAIS COM IMP DE FER E</t>
        </is>
      </c>
      <c r="D1567" s="5" t="inlineStr">
        <is>
          <t>RE</t>
        </is>
      </c>
      <c r="E1567" s="5" t="n">
        <v>5000176</v>
      </c>
      <c r="F1567" s="5" t="inlineStr">
        <is>
          <t>001275689-1</t>
        </is>
      </c>
      <c r="G1567" s="5" t="inlineStr">
        <is>
          <t>BRL</t>
        </is>
      </c>
      <c r="H1567" s="9" t="n">
        <v>3049.83</v>
      </c>
      <c r="I1567" s="16" t="n">
        <v>46028</v>
      </c>
      <c r="J1567" s="16" t="n">
        <v>46028</v>
      </c>
      <c r="K1567" s="5" t="inlineStr">
        <is>
          <t>Fatura - bruto FERRAMENTAS GERAIS COM IMP DE FER E</t>
        </is>
      </c>
      <c r="L1567" s="5" t="inlineStr">
        <is>
          <t>Devolução</t>
        </is>
      </c>
      <c r="M1567" s="5">
        <f>IF(YEAR(I1567)&lt;=2020,"Até 2020",TEXT(YEAR(I1567),"0"))</f>
        <v/>
      </c>
      <c r="N1567" s="5">
        <f>IFERROR(INDEX(DePara!$A:$A,MATCH(TEXT(B1567,"0"),DePara!$D:$D,0)),"(sem categoria)")</f>
        <v/>
      </c>
      <c r="O1567" s="5">
        <f>IF(J1567="","",Parametros!$B$6-J1567)</f>
        <v/>
      </c>
      <c r="P1567" s="5">
        <f>IF(O1567="","",IF(O1567&gt;0,1,0))</f>
        <v/>
      </c>
    </row>
    <row r="1568">
      <c r="A1568" s="5" t="n">
        <v>2111000000</v>
      </c>
      <c r="B1568" s="5" t="inlineStr">
        <is>
          <t>101790</t>
        </is>
      </c>
      <c r="C1568" s="5" t="inlineStr">
        <is>
          <t>FERRAMENTAS GERAIS COM IMP DE FER E</t>
        </is>
      </c>
      <c r="D1568" s="5" t="inlineStr">
        <is>
          <t>RE</t>
        </is>
      </c>
      <c r="E1568" s="5" t="n">
        <v>5000177</v>
      </c>
      <c r="F1568" s="5" t="inlineStr">
        <is>
          <t>001275648-1</t>
        </is>
      </c>
      <c r="G1568" s="5" t="inlineStr">
        <is>
          <t>BRL</t>
        </is>
      </c>
      <c r="H1568" s="9" t="n">
        <v>6240.94</v>
      </c>
      <c r="I1568" s="16" t="n">
        <v>46028</v>
      </c>
      <c r="J1568" s="16" t="n">
        <v>46028</v>
      </c>
      <c r="K1568" s="5" t="inlineStr">
        <is>
          <t>Fatura - bruto FERRAMENTAS GERAIS COM IMP DE FER E</t>
        </is>
      </c>
      <c r="L1568" s="5" t="inlineStr">
        <is>
          <t>Devolução</t>
        </is>
      </c>
      <c r="M1568" s="5">
        <f>IF(YEAR(I1568)&lt;=2020,"Até 2020",TEXT(YEAR(I1568),"0"))</f>
        <v/>
      </c>
      <c r="N1568" s="5">
        <f>IFERROR(INDEX(DePara!$A:$A,MATCH(TEXT(B1568,"0"),DePara!$D:$D,0)),"(sem categoria)")</f>
        <v/>
      </c>
      <c r="O1568" s="5">
        <f>IF(J1568="","",Parametros!$B$6-J1568)</f>
        <v/>
      </c>
      <c r="P1568" s="5">
        <f>IF(O1568="","",IF(O1568&gt;0,1,0))</f>
        <v/>
      </c>
    </row>
    <row r="1569">
      <c r="A1569" s="5" t="n">
        <v>2111000000</v>
      </c>
      <c r="B1569" s="5" t="inlineStr">
        <is>
          <t>101763</t>
        </is>
      </c>
      <c r="C1569" s="5" t="inlineStr">
        <is>
          <t>MUNICIPIO DE LAGOA DO BARRO DO PIAU</t>
        </is>
      </c>
      <c r="D1569" s="5" t="inlineStr">
        <is>
          <t>KR</t>
        </is>
      </c>
      <c r="E1569" s="5" t="n">
        <v>5000222</v>
      </c>
      <c r="F1569" s="5" t="inlineStr">
        <is>
          <t>404904</t>
        </is>
      </c>
      <c r="G1569" s="5" t="inlineStr">
        <is>
          <t>BRL</t>
        </is>
      </c>
      <c r="H1569" s="9" t="n">
        <v>-1198.92</v>
      </c>
      <c r="I1569" s="16" t="n">
        <v>44988</v>
      </c>
      <c r="J1569" s="16" t="n">
        <v>44988</v>
      </c>
      <c r="K1569" s="5" t="inlineStr">
        <is>
          <t>TFC TOOLS FOR COMPOSITE GMBH</t>
        </is>
      </c>
      <c r="L1569" s="5" t="n"/>
      <c r="M1569" s="5">
        <f>IF(YEAR(I1569)&lt;=2020,"Até 2020",TEXT(YEAR(I1569),"0"))</f>
        <v/>
      </c>
      <c r="N1569" s="5">
        <f>IFERROR(INDEX(DePara!$A:$A,MATCH(TEXT(B1569,"0"),DePara!$D:$D,0)),"(sem categoria)")</f>
        <v/>
      </c>
      <c r="O1569" s="5">
        <f>IF(J1569="","",Parametros!$B$6-J1569)</f>
        <v/>
      </c>
      <c r="P1569" s="5">
        <f>IF(O1569="","",IF(O1569&gt;0,1,0))</f>
        <v/>
      </c>
    </row>
    <row r="1570">
      <c r="A1570" s="5" t="n">
        <v>2111000000</v>
      </c>
      <c r="B1570" s="5" t="inlineStr">
        <is>
          <t>101888</t>
        </is>
      </c>
      <c r="C1570" s="5" t="inlineStr">
        <is>
          <t>BANCO SANTANDER BRASIL SA</t>
        </is>
      </c>
      <c r="D1570" s="5" t="inlineStr">
        <is>
          <t>KR</t>
        </is>
      </c>
      <c r="E1570" s="5" t="n">
        <v>5000227</v>
      </c>
      <c r="F1570" s="5" t="inlineStr">
        <is>
          <t>CC UBER 09.2023</t>
        </is>
      </c>
      <c r="G1570" s="5" t="inlineStr">
        <is>
          <t>BRL</t>
        </is>
      </c>
      <c r="H1570" s="9" t="n">
        <v>-35170.94</v>
      </c>
      <c r="I1570" s="16" t="n">
        <v>45151</v>
      </c>
      <c r="J1570" s="16" t="n">
        <v>45197</v>
      </c>
      <c r="K1570" s="5" t="inlineStr">
        <is>
          <t>Vendor Invoice BANCO SANTANDER BRASIL SA UBER 09/2</t>
        </is>
      </c>
      <c r="L1570" s="5" t="n"/>
      <c r="M1570" s="5">
        <f>IF(YEAR(I1570)&lt;=2020,"Até 2020",TEXT(YEAR(I1570),"0"))</f>
        <v/>
      </c>
      <c r="N1570" s="5">
        <f>IFERROR(INDEX(DePara!$A:$A,MATCH(TEXT(B1570,"0"),DePara!$D:$D,0)),"(sem categoria)")</f>
        <v/>
      </c>
      <c r="O1570" s="5">
        <f>IF(J1570="","",Parametros!$B$6-J1570)</f>
        <v/>
      </c>
      <c r="P1570" s="5">
        <f>IF(O1570="","",IF(O1570&gt;0,1,0))</f>
        <v/>
      </c>
    </row>
    <row r="1571">
      <c r="A1571" s="5" t="n">
        <v>2111000000</v>
      </c>
      <c r="B1571" s="5" t="inlineStr">
        <is>
          <t>102087</t>
        </is>
      </c>
      <c r="C1571" s="5" t="inlineStr">
        <is>
          <t>CAIXA ECONOMICA FEDERAL</t>
        </is>
      </c>
      <c r="D1571" s="5" t="inlineStr">
        <is>
          <t>KR</t>
        </is>
      </c>
      <c r="E1571" s="5" t="n">
        <v>5000340</v>
      </c>
      <c r="F1571" s="5" t="inlineStr">
        <is>
          <t>FGTS-DISSIDIO 12</t>
        </is>
      </c>
      <c r="G1571" s="5" t="inlineStr">
        <is>
          <t>BRL</t>
        </is>
      </c>
      <c r="H1571" s="9" t="n">
        <v>-10621.81</v>
      </c>
      <c r="I1571" s="16" t="n">
        <v>45296</v>
      </c>
      <c r="J1571" s="16" t="n">
        <v>45296</v>
      </c>
      <c r="K1571" s="5" t="inlineStr">
        <is>
          <t>Fatura do fornecedor CAIXA ECONOMICA FEDERAL FGTS-</t>
        </is>
      </c>
      <c r="L1571" s="5" t="n"/>
      <c r="M1571" s="5">
        <f>IF(YEAR(I1571)&lt;=2020,"Até 2020",TEXT(YEAR(I1571),"0"))</f>
        <v/>
      </c>
      <c r="N1571" s="5">
        <f>IFERROR(INDEX(DePara!$A:$A,MATCH(TEXT(B1571,"0"),DePara!$D:$D,0)),"(sem categoria)")</f>
        <v/>
      </c>
      <c r="O1571" s="5">
        <f>IF(J1571="","",Parametros!$B$6-J1571)</f>
        <v/>
      </c>
      <c r="P1571" s="5">
        <f>IF(O1571="","",IF(O1571&gt;0,1,0))</f>
        <v/>
      </c>
    </row>
    <row r="1572">
      <c r="A1572" s="5" t="n">
        <v>2111000000</v>
      </c>
      <c r="B1572" s="5" t="inlineStr">
        <is>
          <t>104122</t>
        </is>
      </c>
      <c r="C1572" s="5" t="inlineStr">
        <is>
          <t>POLIMATEC MECANICA INDUSTRIAL LTDA 30108394000167</t>
        </is>
      </c>
      <c r="D1572" s="5" t="inlineStr">
        <is>
          <t>RE</t>
        </is>
      </c>
      <c r="E1572" s="5" t="n">
        <v>5000694</v>
      </c>
      <c r="F1572" s="5" t="inlineStr">
        <is>
          <t>000002082-1</t>
        </is>
      </c>
      <c r="G1572" s="5" t="inlineStr">
        <is>
          <t>BRL</t>
        </is>
      </c>
      <c r="H1572" s="9" t="n">
        <v>-850.48</v>
      </c>
      <c r="I1572" s="16" t="n">
        <v>45838</v>
      </c>
      <c r="J1572" s="16" t="n">
        <v>45874</v>
      </c>
      <c r="K1572" s="5" t="inlineStr">
        <is>
          <t>Fatura - bruto POLIMATEC MECANICA INDUSTRIAL LTDA</t>
        </is>
      </c>
      <c r="L1572" s="5" t="n"/>
      <c r="M1572" s="5">
        <f>IF(YEAR(I1572)&lt;=2020,"Até 2020",TEXT(YEAR(I1572),"0"))</f>
        <v/>
      </c>
      <c r="N1572" s="5">
        <f>IFERROR(INDEX(DePara!$A:$A,MATCH(TEXT(B1572,"0"),DePara!$D:$D,0)),"(sem categoria)")</f>
        <v/>
      </c>
      <c r="O1572" s="5">
        <f>IF(J1572="","",Parametros!$B$6-J1572)</f>
        <v/>
      </c>
      <c r="P1572" s="5">
        <f>IF(O1572="","",IF(O1572&gt;0,1,0))</f>
        <v/>
      </c>
    </row>
    <row r="1573">
      <c r="A1573" s="5" t="n">
        <v>2111000000</v>
      </c>
      <c r="B1573" s="5" t="inlineStr">
        <is>
          <t>101358</t>
        </is>
      </c>
      <c r="C1573" s="5" t="inlineStr">
        <is>
          <t>MUNICIPIO DE LAJES</t>
        </is>
      </c>
      <c r="D1573" s="5" t="inlineStr">
        <is>
          <t>KR</t>
        </is>
      </c>
      <c r="E1573" s="5" t="n">
        <v>5002496</v>
      </c>
      <c r="F1573" s="5" t="inlineStr">
        <is>
          <t>ISS 2022/2025</t>
        </is>
      </c>
      <c r="G1573" s="5" t="inlineStr">
        <is>
          <t>BRL</t>
        </is>
      </c>
      <c r="H1573" s="9" t="n">
        <v>-219058.53</v>
      </c>
      <c r="I1573" s="16" t="n">
        <v>46052</v>
      </c>
      <c r="J1573" s="16" t="n">
        <v>46052</v>
      </c>
      <c r="K1573" s="5" t="inlineStr">
        <is>
          <t>Vendor Invoice MUNICIPIO DE LAJES ISS 2022/2025</t>
        </is>
      </c>
      <c r="L1573" s="5" t="inlineStr">
        <is>
          <t>FL 0017 ISS 2022/2</t>
        </is>
      </c>
      <c r="M1573" s="5">
        <f>IF(YEAR(I1573)&lt;=2020,"Até 2020",TEXT(YEAR(I1573),"0"))</f>
        <v/>
      </c>
      <c r="N1573" s="5">
        <f>IFERROR(INDEX(DePara!$A:$A,MATCH(TEXT(B1573,"0"),DePara!$D:$D,0)),"(sem categoria)")</f>
        <v/>
      </c>
      <c r="O1573" s="5">
        <f>IF(J1573="","",Parametros!$B$6-J1573)</f>
        <v/>
      </c>
      <c r="P1573" s="5">
        <f>IF(O1573="","",IF(O1573&gt;0,1,0))</f>
        <v/>
      </c>
    </row>
    <row r="1574">
      <c r="A1574" s="5" t="n">
        <v>2111000000</v>
      </c>
      <c r="B1574" s="5" t="inlineStr">
        <is>
          <t>108019</t>
        </is>
      </c>
      <c r="C1574" s="5" t="inlineStr">
        <is>
          <t>GERSON PEDRO DOS SANTOS OLIVEIRA -M</t>
        </is>
      </c>
      <c r="D1574" s="5" t="inlineStr">
        <is>
          <t>RE</t>
        </is>
      </c>
      <c r="E1574" s="5" t="n">
        <v>5002922</v>
      </c>
      <c r="F1574" s="5" t="inlineStr">
        <is>
          <t>24</t>
        </is>
      </c>
      <c r="G1574" s="5" t="inlineStr">
        <is>
          <t>BRL</t>
        </is>
      </c>
      <c r="H1574" s="9" t="n">
        <v>-18750</v>
      </c>
      <c r="I1574" s="16" t="n">
        <v>46071</v>
      </c>
      <c r="J1574" s="16" t="n">
        <v>46071</v>
      </c>
      <c r="K1574" s="5" t="inlineStr">
        <is>
          <t>Fatura - bruto GERSON PEDRO DOS SANTOS OLIVEIRA -M</t>
        </is>
      </c>
      <c r="L1574" s="5" t="inlineStr">
        <is>
          <t>Já pago Adiant.</t>
        </is>
      </c>
      <c r="M1574" s="5">
        <f>IF(YEAR(I1574)&lt;=2020,"Até 2020",TEXT(YEAR(I1574),"0"))</f>
        <v/>
      </c>
      <c r="N1574" s="5">
        <f>IFERROR(INDEX(DePara!$A:$A,MATCH(TEXT(B1574,"0"),DePara!$D:$D,0)),"(sem categoria)")</f>
        <v/>
      </c>
      <c r="O1574" s="5">
        <f>IF(J1574="","",Parametros!$B$6-J1574)</f>
        <v/>
      </c>
      <c r="P1574" s="5">
        <f>IF(O1574="","",IF(O1574&gt;0,1,0))</f>
        <v/>
      </c>
    </row>
    <row r="1575">
      <c r="A1575" s="5" t="n">
        <v>2111000000</v>
      </c>
      <c r="B1575" s="5" t="inlineStr">
        <is>
          <t>108017</t>
        </is>
      </c>
      <c r="C1575" s="5" t="inlineStr">
        <is>
          <t>CARLOS DIAS DOS SANTOS</t>
        </is>
      </c>
      <c r="D1575" s="5" t="inlineStr">
        <is>
          <t>RE</t>
        </is>
      </c>
      <c r="E1575" s="5" t="n">
        <v>5002923</v>
      </c>
      <c r="F1575" s="5" t="inlineStr">
        <is>
          <t>244</t>
        </is>
      </c>
      <c r="G1575" s="5" t="inlineStr">
        <is>
          <t>BRL</t>
        </is>
      </c>
      <c r="H1575" s="9" t="n">
        <v>-27000</v>
      </c>
      <c r="I1575" s="16" t="n">
        <v>46066</v>
      </c>
      <c r="J1575" s="16" t="n">
        <v>46066</v>
      </c>
      <c r="K1575" s="5" t="inlineStr">
        <is>
          <t>Fatura - bruto CARLOS DIAS DOS SANTOS 244</t>
        </is>
      </c>
      <c r="L1575" s="5" t="inlineStr">
        <is>
          <t>Já pago Adiant.</t>
        </is>
      </c>
      <c r="M1575" s="5">
        <f>IF(YEAR(I1575)&lt;=2020,"Até 2020",TEXT(YEAR(I1575),"0"))</f>
        <v/>
      </c>
      <c r="N1575" s="5">
        <f>IFERROR(INDEX(DePara!$A:$A,MATCH(TEXT(B1575,"0"),DePara!$D:$D,0)),"(sem categoria)")</f>
        <v/>
      </c>
      <c r="O1575" s="5">
        <f>IF(J1575="","",Parametros!$B$6-J1575)</f>
        <v/>
      </c>
      <c r="P1575" s="5">
        <f>IF(O1575="","",IF(O1575&gt;0,1,0))</f>
        <v/>
      </c>
    </row>
    <row r="1576">
      <c r="A1576" s="5" t="n">
        <v>2111000000</v>
      </c>
      <c r="B1576" s="5" t="inlineStr">
        <is>
          <t>107632</t>
        </is>
      </c>
      <c r="C1576" s="5" t="inlineStr">
        <is>
          <t>PMI SOUTH AMERICA CONSUMER GOODS LT</t>
        </is>
      </c>
      <c r="D1576" s="5" t="inlineStr">
        <is>
          <t>RE</t>
        </is>
      </c>
      <c r="E1576" s="5" t="n">
        <v>5002963</v>
      </c>
      <c r="F1576" s="5" t="inlineStr">
        <is>
          <t>02568120-1</t>
        </is>
      </c>
      <c r="G1576" s="5" t="inlineStr">
        <is>
          <t>BRL</t>
        </is>
      </c>
      <c r="H1576" s="9" t="n">
        <v>-5980.23</v>
      </c>
      <c r="I1576" s="16" t="n">
        <v>46028</v>
      </c>
      <c r="J1576" s="16" t="n">
        <v>46043</v>
      </c>
      <c r="K1576" s="5" t="inlineStr">
        <is>
          <t>Fatura - bruto PMI SOUTH AMERICA CONSUMER GOODS LT</t>
        </is>
      </c>
      <c r="L1576" s="5" t="inlineStr">
        <is>
          <t>Não pagar</t>
        </is>
      </c>
      <c r="M1576" s="5">
        <f>IF(YEAR(I1576)&lt;=2020,"Até 2020",TEXT(YEAR(I1576),"0"))</f>
        <v/>
      </c>
      <c r="N1576" s="5">
        <f>IFERROR(INDEX(DePara!$A:$A,MATCH(TEXT(B1576,"0"),DePara!$D:$D,0)),"(sem categoria)")</f>
        <v/>
      </c>
      <c r="O1576" s="5">
        <f>IF(J1576="","",Parametros!$B$6-J1576)</f>
        <v/>
      </c>
      <c r="P1576" s="5">
        <f>IF(O1576="","",IF(O1576&gt;0,1,0))</f>
        <v/>
      </c>
    </row>
    <row r="1577">
      <c r="A1577" s="5" t="n">
        <v>2111000000</v>
      </c>
      <c r="B1577" s="5" t="inlineStr">
        <is>
          <t>100759</t>
        </is>
      </c>
      <c r="C1577" s="5" t="inlineStr">
        <is>
          <t>MUNICIPIO DE UIBAI</t>
        </is>
      </c>
      <c r="D1577" s="5" t="inlineStr">
        <is>
          <t>KR</t>
        </is>
      </c>
      <c r="E1577" s="5" t="n">
        <v>5003399</v>
      </c>
      <c r="F1577" s="5" t="inlineStr">
        <is>
          <t>PJI000315</t>
        </is>
      </c>
      <c r="G1577" s="5" t="inlineStr">
        <is>
          <t>BRL</t>
        </is>
      </c>
      <c r="H1577" s="9" t="n">
        <v>-2635.34</v>
      </c>
      <c r="I1577" s="16" t="n">
        <v>45596</v>
      </c>
      <c r="J1577" s="16" t="n">
        <v>45596</v>
      </c>
      <c r="K1577" s="5" t="inlineStr">
        <is>
          <t>Fatura do fornecedor MUNICIPIO DE UIBAI PJI000315</t>
        </is>
      </c>
      <c r="L1577" s="5" t="n"/>
      <c r="M1577" s="5">
        <f>IF(YEAR(I1577)&lt;=2020,"Até 2020",TEXT(YEAR(I1577),"0"))</f>
        <v/>
      </c>
      <c r="N1577" s="5">
        <f>IFERROR(INDEX(DePara!$A:$A,MATCH(TEXT(B1577,"0"),DePara!$D:$D,0)),"(sem categoria)")</f>
        <v/>
      </c>
      <c r="O1577" s="5">
        <f>IF(J1577="","",Parametros!$B$6-J1577)</f>
        <v/>
      </c>
      <c r="P1577" s="5">
        <f>IF(O1577="","",IF(O1577&gt;0,1,0))</f>
        <v/>
      </c>
    </row>
    <row r="1578">
      <c r="A1578" s="5" t="n">
        <v>2111000000</v>
      </c>
      <c r="B1578" s="5" t="inlineStr">
        <is>
          <t>102008</t>
        </is>
      </c>
      <c r="C1578" s="5" t="inlineStr">
        <is>
          <t>MUNICIPIO DE ITAREMA</t>
        </is>
      </c>
      <c r="D1578" s="5" t="inlineStr">
        <is>
          <t>KR</t>
        </is>
      </c>
      <c r="E1578" s="5" t="n">
        <v>5003454</v>
      </c>
      <c r="F1578" s="5" t="inlineStr">
        <is>
          <t>E24076</t>
        </is>
      </c>
      <c r="G1578" s="5" t="inlineStr">
        <is>
          <t>BRL</t>
        </is>
      </c>
      <c r="H1578" s="9" t="n">
        <v>-287.49</v>
      </c>
      <c r="I1578" s="16" t="n">
        <v>45665</v>
      </c>
      <c r="J1578" s="16" t="n">
        <v>45665</v>
      </c>
      <c r="K1578" s="5" t="inlineStr">
        <is>
          <t>Vendor Invoice MUNICIPIO DE ITAREMA E24076</t>
        </is>
      </c>
      <c r="L1578" s="5" t="n"/>
      <c r="M1578" s="5">
        <f>IF(YEAR(I1578)&lt;=2020,"Até 2020",TEXT(YEAR(I1578),"0"))</f>
        <v/>
      </c>
      <c r="N1578" s="5">
        <f>IFERROR(INDEX(DePara!$A:$A,MATCH(TEXT(B1578,"0"),DePara!$D:$D,0)),"(sem categoria)")</f>
        <v/>
      </c>
      <c r="O1578" s="5">
        <f>IF(J1578="","",Parametros!$B$6-J1578)</f>
        <v/>
      </c>
      <c r="P1578" s="5">
        <f>IF(O1578="","",IF(O1578&gt;0,1,0))</f>
        <v/>
      </c>
    </row>
    <row r="1579">
      <c r="A1579" s="5" t="n">
        <v>2111000000</v>
      </c>
      <c r="B1579" s="5" t="inlineStr">
        <is>
          <t>100833</t>
        </is>
      </c>
      <c r="C1579" s="5" t="inlineStr">
        <is>
          <t>MUNICIPIO DE JANDAIRA</t>
        </is>
      </c>
      <c r="D1579" s="5" t="inlineStr">
        <is>
          <t>KR</t>
        </is>
      </c>
      <c r="E1579" s="5" t="n">
        <v>5003455</v>
      </c>
      <c r="F1579" s="5" t="inlineStr">
        <is>
          <t>E24077</t>
        </is>
      </c>
      <c r="G1579" s="5" t="inlineStr">
        <is>
          <t>BRL</t>
        </is>
      </c>
      <c r="H1579" s="9" t="n">
        <v>-287.49</v>
      </c>
      <c r="I1579" s="16" t="n">
        <v>45665</v>
      </c>
      <c r="J1579" s="16" t="n">
        <v>45721</v>
      </c>
      <c r="K1579" s="5" t="inlineStr">
        <is>
          <t>Vendor Invoice MUNICIPIO DE JANDAIRA E24077</t>
        </is>
      </c>
      <c r="L1579" s="5" t="n"/>
      <c r="M1579" s="5">
        <f>IF(YEAR(I1579)&lt;=2020,"Até 2020",TEXT(YEAR(I1579),"0"))</f>
        <v/>
      </c>
      <c r="N1579" s="5">
        <f>IFERROR(INDEX(DePara!$A:$A,MATCH(TEXT(B1579,"0"),DePara!$D:$D,0)),"(sem categoria)")</f>
        <v/>
      </c>
      <c r="O1579" s="5">
        <f>IF(J1579="","",Parametros!$B$6-J1579)</f>
        <v/>
      </c>
      <c r="P1579" s="5">
        <f>IF(O1579="","",IF(O1579&gt;0,1,0))</f>
        <v/>
      </c>
    </row>
    <row r="1580">
      <c r="A1580" s="5" t="n">
        <v>2111000000</v>
      </c>
      <c r="B1580" s="5" t="inlineStr">
        <is>
          <t>101763</t>
        </is>
      </c>
      <c r="C1580" s="5" t="inlineStr">
        <is>
          <t>MUNICIPIO DE LAGOA DO BARRO DO PIAU</t>
        </is>
      </c>
      <c r="D1580" s="5" t="inlineStr">
        <is>
          <t>KR</t>
        </is>
      </c>
      <c r="E1580" s="5" t="n">
        <v>5003456</v>
      </c>
      <c r="F1580" s="5" t="inlineStr">
        <is>
          <t>E24078-E24079</t>
        </is>
      </c>
      <c r="G1580" s="5" t="inlineStr">
        <is>
          <t>BRL</t>
        </is>
      </c>
      <c r="H1580" s="9" t="n">
        <v>-689.97</v>
      </c>
      <c r="I1580" s="16" t="n">
        <v>45665</v>
      </c>
      <c r="J1580" s="16" t="n">
        <v>45665</v>
      </c>
      <c r="K1580" s="5" t="inlineStr">
        <is>
          <t>Vendor Invoice MUNICIPIO DE LAGOA DO BARRO DO PIAU</t>
        </is>
      </c>
      <c r="L1580" s="5" t="n"/>
      <c r="M1580" s="5">
        <f>IF(YEAR(I1580)&lt;=2020,"Até 2020",TEXT(YEAR(I1580),"0"))</f>
        <v/>
      </c>
      <c r="N1580" s="5">
        <f>IFERROR(INDEX(DePara!$A:$A,MATCH(TEXT(B1580,"0"),DePara!$D:$D,0)),"(sem categoria)")</f>
        <v/>
      </c>
      <c r="O1580" s="5">
        <f>IF(J1580="","",Parametros!$B$6-J1580)</f>
        <v/>
      </c>
      <c r="P1580" s="5">
        <f>IF(O1580="","",IF(O1580&gt;0,1,0))</f>
        <v/>
      </c>
    </row>
    <row r="1581">
      <c r="A1581" s="5" t="n">
        <v>2111000000</v>
      </c>
      <c r="B1581" s="5" t="inlineStr">
        <is>
          <t>101700</t>
        </is>
      </c>
      <c r="C1581" s="5" t="inlineStr">
        <is>
          <t>MUNICIPIO DE MULUNGU DO MORRO</t>
        </is>
      </c>
      <c r="D1581" s="5" t="inlineStr">
        <is>
          <t>KR</t>
        </is>
      </c>
      <c r="E1581" s="5" t="n">
        <v>5003457</v>
      </c>
      <c r="F1581" s="5" t="inlineStr">
        <is>
          <t>E24087</t>
        </is>
      </c>
      <c r="G1581" s="5" t="inlineStr">
        <is>
          <t>BRL</t>
        </is>
      </c>
      <c r="H1581" s="9" t="n">
        <v>-287.49</v>
      </c>
      <c r="I1581" s="16" t="n">
        <v>45665</v>
      </c>
      <c r="J1581" s="16" t="n">
        <v>45665</v>
      </c>
      <c r="K1581" s="5" t="inlineStr">
        <is>
          <t>Vendor Invoice MUNICIPIO DE MULUNGU DO MORRO E2408</t>
        </is>
      </c>
      <c r="L1581" s="5" t="n"/>
      <c r="M1581" s="5">
        <f>IF(YEAR(I1581)&lt;=2020,"Até 2020",TEXT(YEAR(I1581),"0"))</f>
        <v/>
      </c>
      <c r="N1581" s="5">
        <f>IFERROR(INDEX(DePara!$A:$A,MATCH(TEXT(B1581,"0"),DePara!$D:$D,0)),"(sem categoria)")</f>
        <v/>
      </c>
      <c r="O1581" s="5">
        <f>IF(J1581="","",Parametros!$B$6-J1581)</f>
        <v/>
      </c>
      <c r="P1581" s="5">
        <f>IF(O1581="","",IF(O1581&gt;0,1,0))</f>
        <v/>
      </c>
    </row>
    <row r="1582">
      <c r="A1582" s="5" t="n">
        <v>2111000000</v>
      </c>
      <c r="B1582" s="5" t="inlineStr">
        <is>
          <t>102081</t>
        </is>
      </c>
      <c r="C1582" s="5" t="inlineStr">
        <is>
          <t>MUNICIPIO DE PALMARES DO SUL</t>
        </is>
      </c>
      <c r="D1582" s="5" t="inlineStr">
        <is>
          <t>KR</t>
        </is>
      </c>
      <c r="E1582" s="5" t="n">
        <v>5003458</v>
      </c>
      <c r="F1582" s="5" t="inlineStr">
        <is>
          <t>E24074</t>
        </is>
      </c>
      <c r="G1582" s="5" t="inlineStr">
        <is>
          <t>BRL</t>
        </is>
      </c>
      <c r="H1582" s="9" t="n">
        <v>-287.49</v>
      </c>
      <c r="I1582" s="16" t="n">
        <v>45665</v>
      </c>
      <c r="J1582" s="16" t="n">
        <v>45665</v>
      </c>
      <c r="K1582" s="5" t="inlineStr">
        <is>
          <t>Vendor Invoice MUNICIPIO DE PALMARES DO SUL E24074</t>
        </is>
      </c>
      <c r="L1582" s="5" t="n"/>
      <c r="M1582" s="5">
        <f>IF(YEAR(I1582)&lt;=2020,"Até 2020",TEXT(YEAR(I1582),"0"))</f>
        <v/>
      </c>
      <c r="N1582" s="5">
        <f>IFERROR(INDEX(DePara!$A:$A,MATCH(TEXT(B1582,"0"),DePara!$D:$D,0)),"(sem categoria)")</f>
        <v/>
      </c>
      <c r="O1582" s="5">
        <f>IF(J1582="","",Parametros!$B$6-J1582)</f>
        <v/>
      </c>
      <c r="P1582" s="5">
        <f>IF(O1582="","",IF(O1582&gt;0,1,0))</f>
        <v/>
      </c>
    </row>
    <row r="1583">
      <c r="A1583" s="5" t="n">
        <v>2111000000</v>
      </c>
      <c r="B1583" s="5" t="inlineStr">
        <is>
          <t>101006</t>
        </is>
      </c>
      <c r="C1583" s="5" t="inlineStr">
        <is>
          <t>MUNICIPIO DE SAO BENTO DO NORTE</t>
        </is>
      </c>
      <c r="D1583" s="5" t="inlineStr">
        <is>
          <t>KR</t>
        </is>
      </c>
      <c r="E1583" s="5" t="n">
        <v>5003460</v>
      </c>
      <c r="F1583" s="5" t="inlineStr">
        <is>
          <t>E24081</t>
        </is>
      </c>
      <c r="G1583" s="5" t="inlineStr">
        <is>
          <t>BRL</t>
        </is>
      </c>
      <c r="H1583" s="9" t="n">
        <v>-287.49</v>
      </c>
      <c r="I1583" s="16" t="n">
        <v>45665</v>
      </c>
      <c r="J1583" s="16" t="n">
        <v>45695</v>
      </c>
      <c r="K1583" s="5" t="inlineStr">
        <is>
          <t>Vendor Invoice MUNICIPIO DE SAO BENTO DO NORTE E24</t>
        </is>
      </c>
      <c r="L1583" s="5" t="n"/>
      <c r="M1583" s="5">
        <f>IF(YEAR(I1583)&lt;=2020,"Até 2020",TEXT(YEAR(I1583),"0"))</f>
        <v/>
      </c>
      <c r="N1583" s="5">
        <f>IFERROR(INDEX(DePara!$A:$A,MATCH(TEXT(B1583,"0"),DePara!$D:$D,0)),"(sem categoria)")</f>
        <v/>
      </c>
      <c r="O1583" s="5">
        <f>IF(J1583="","",Parametros!$B$6-J1583)</f>
        <v/>
      </c>
      <c r="P1583" s="5">
        <f>IF(O1583="","",IF(O1583&gt;0,1,0))</f>
        <v/>
      </c>
    </row>
    <row r="1584">
      <c r="A1584" s="5" t="n">
        <v>2111000000</v>
      </c>
      <c r="B1584" s="5" t="inlineStr">
        <is>
          <t>101746</t>
        </is>
      </c>
      <c r="C1584" s="5" t="inlineStr">
        <is>
          <t>SECRETARIA DA FAZENDA DO ESTADO DO</t>
        </is>
      </c>
      <c r="D1584" s="5" t="inlineStr">
        <is>
          <t>KR</t>
        </is>
      </c>
      <c r="E1584" s="5" t="n">
        <v>5003469</v>
      </c>
      <c r="F1584" s="5" t="inlineStr">
        <is>
          <t>GNRE FL12 CT 474</t>
        </is>
      </c>
      <c r="G1584" s="5" t="inlineStr">
        <is>
          <t>BRL</t>
        </is>
      </c>
      <c r="H1584" s="9" t="n">
        <v>-144.48</v>
      </c>
      <c r="I1584" s="16" t="n">
        <v>45320</v>
      </c>
      <c r="J1584" s="16" t="n">
        <v>45322</v>
      </c>
      <c r="K1584" s="5" t="inlineStr">
        <is>
          <t>Fatura do fornecedor SECRETARIA DA FAZENDA DO ESTA</t>
        </is>
      </c>
      <c r="L1584" s="5" t="inlineStr">
        <is>
          <t>31012024</t>
        </is>
      </c>
      <c r="M1584" s="5">
        <f>IF(YEAR(I1584)&lt;=2020,"Até 2020",TEXT(YEAR(I1584),"0"))</f>
        <v/>
      </c>
      <c r="N1584" s="5">
        <f>IFERROR(INDEX(DePara!$A:$A,MATCH(TEXT(B1584,"0"),DePara!$D:$D,0)),"(sem categoria)")</f>
        <v/>
      </c>
      <c r="O1584" s="5">
        <f>IF(J1584="","",Parametros!$B$6-J1584)</f>
        <v/>
      </c>
      <c r="P1584" s="5">
        <f>IF(O1584="","",IF(O1584&gt;0,1,0))</f>
        <v/>
      </c>
    </row>
    <row r="1585">
      <c r="A1585" s="5" t="n">
        <v>2111000000</v>
      </c>
      <c r="B1585" s="5" t="inlineStr">
        <is>
          <t>101746</t>
        </is>
      </c>
      <c r="C1585" s="5" t="inlineStr">
        <is>
          <t>SECRETARIA DA FAZENDA DO ESTADO DO</t>
        </is>
      </c>
      <c r="D1585" s="5" t="inlineStr">
        <is>
          <t>KR</t>
        </is>
      </c>
      <c r="E1585" s="5" t="n">
        <v>5003470</v>
      </c>
      <c r="F1585" s="5" t="inlineStr">
        <is>
          <t>GNRE FL12 CT1203</t>
        </is>
      </c>
      <c r="G1585" s="5" t="inlineStr">
        <is>
          <t>BRL</t>
        </is>
      </c>
      <c r="H1585" s="9" t="n">
        <v>-81.36</v>
      </c>
      <c r="I1585" s="16" t="n">
        <v>45320</v>
      </c>
      <c r="J1585" s="16" t="n">
        <v>45322</v>
      </c>
      <c r="K1585" s="5" t="inlineStr">
        <is>
          <t>Fatura do fornecedor SECRETARIA DA FAZENDA DO ESTA</t>
        </is>
      </c>
      <c r="L1585" s="5" t="inlineStr">
        <is>
          <t>31012024</t>
        </is>
      </c>
      <c r="M1585" s="5">
        <f>IF(YEAR(I1585)&lt;=2020,"Até 2020",TEXT(YEAR(I1585),"0"))</f>
        <v/>
      </c>
      <c r="N1585" s="5">
        <f>IFERROR(INDEX(DePara!$A:$A,MATCH(TEXT(B1585,"0"),DePara!$D:$D,0)),"(sem categoria)")</f>
        <v/>
      </c>
      <c r="O1585" s="5">
        <f>IF(J1585="","",Parametros!$B$6-J1585)</f>
        <v/>
      </c>
      <c r="P1585" s="5">
        <f>IF(O1585="","",IF(O1585&gt;0,1,0))</f>
        <v/>
      </c>
    </row>
    <row r="1586">
      <c r="A1586" s="5" t="n">
        <v>2111000000</v>
      </c>
      <c r="B1586" s="5" t="inlineStr">
        <is>
          <t>101918</t>
        </is>
      </c>
      <c r="C1586" s="5" t="inlineStr">
        <is>
          <t>MUNICIPIO DE AREIA BRANCA</t>
        </is>
      </c>
      <c r="D1586" s="5" t="inlineStr">
        <is>
          <t>KR</t>
        </is>
      </c>
      <c r="E1586" s="5" t="n">
        <v>5003470</v>
      </c>
      <c r="F1586" s="5" t="inlineStr">
        <is>
          <t>E24086-E24073</t>
        </is>
      </c>
      <c r="G1586" s="5" t="inlineStr">
        <is>
          <t>BRL</t>
        </is>
      </c>
      <c r="H1586" s="9" t="n">
        <v>-574.98</v>
      </c>
      <c r="I1586" s="16" t="n">
        <v>45665</v>
      </c>
      <c r="J1586" s="16" t="n">
        <v>45665</v>
      </c>
      <c r="K1586" s="5" t="inlineStr">
        <is>
          <t>Vendor Invoice MUNICIPIO DE AREIA BRANCA E24086-E2</t>
        </is>
      </c>
      <c r="L1586" s="5" t="n"/>
      <c r="M1586" s="5">
        <f>IF(YEAR(I1586)&lt;=2020,"Até 2020",TEXT(YEAR(I1586),"0"))</f>
        <v/>
      </c>
      <c r="N1586" s="5">
        <f>IFERROR(INDEX(DePara!$A:$A,MATCH(TEXT(B1586,"0"),DePara!$D:$D,0)),"(sem categoria)")</f>
        <v/>
      </c>
      <c r="O1586" s="5">
        <f>IF(J1586="","",Parametros!$B$6-J1586)</f>
        <v/>
      </c>
      <c r="P1586" s="5">
        <f>IF(O1586="","",IF(O1586&gt;0,1,0))</f>
        <v/>
      </c>
    </row>
    <row r="1587">
      <c r="A1587" s="5" t="n">
        <v>2111000000</v>
      </c>
      <c r="B1587" s="5" t="inlineStr">
        <is>
          <t>101998</t>
        </is>
      </c>
      <c r="C1587" s="5" t="inlineStr">
        <is>
          <t>MUNICIPIO DE SERRA DO MEL</t>
        </is>
      </c>
      <c r="D1587" s="5" t="inlineStr">
        <is>
          <t>KR</t>
        </is>
      </c>
      <c r="E1587" s="5" t="n">
        <v>5003471</v>
      </c>
      <c r="F1587" s="5" t="inlineStr">
        <is>
          <t>E24085-E24084-E2</t>
        </is>
      </c>
      <c r="G1587" s="5" t="inlineStr">
        <is>
          <t>BRL</t>
        </is>
      </c>
      <c r="H1587" s="9" t="n">
        <v>-862.47</v>
      </c>
      <c r="I1587" s="16" t="n">
        <v>45665</v>
      </c>
      <c r="J1587" s="16" t="n">
        <v>45665</v>
      </c>
      <c r="K1587" s="5" t="inlineStr">
        <is>
          <t>Vendor Invoice MUNICIPIO DE SERRA DO MEL E24085-E2</t>
        </is>
      </c>
      <c r="L1587" s="5" t="n"/>
      <c r="M1587" s="5">
        <f>IF(YEAR(I1587)&lt;=2020,"Até 2020",TEXT(YEAR(I1587),"0"))</f>
        <v/>
      </c>
      <c r="N1587" s="5">
        <f>IFERROR(INDEX(DePara!$A:$A,MATCH(TEXT(B1587,"0"),DePara!$D:$D,0)),"(sem categoria)")</f>
        <v/>
      </c>
      <c r="O1587" s="5">
        <f>IF(J1587="","",Parametros!$B$6-J1587)</f>
        <v/>
      </c>
      <c r="P1587" s="5">
        <f>IF(O1587="","",IF(O1587&gt;0,1,0))</f>
        <v/>
      </c>
    </row>
    <row r="1588">
      <c r="A1588" s="5" t="n">
        <v>2111000000</v>
      </c>
      <c r="B1588" s="5" t="inlineStr">
        <is>
          <t>101746</t>
        </is>
      </c>
      <c r="C1588" s="5" t="inlineStr">
        <is>
          <t>SECRETARIA DA FAZENDA DO ESTADO DO</t>
        </is>
      </c>
      <c r="D1588" s="5" t="inlineStr">
        <is>
          <t>KR</t>
        </is>
      </c>
      <c r="E1588" s="5" t="n">
        <v>5003472</v>
      </c>
      <c r="F1588" s="5" t="inlineStr">
        <is>
          <t>GNRE FL12 CT1213</t>
        </is>
      </c>
      <c r="G1588" s="5" t="inlineStr">
        <is>
          <t>BRL</t>
        </is>
      </c>
      <c r="H1588" s="9" t="n">
        <v>-79.03</v>
      </c>
      <c r="I1588" s="16" t="n">
        <v>45320</v>
      </c>
      <c r="J1588" s="16" t="n">
        <v>45322</v>
      </c>
      <c r="K1588" s="5" t="inlineStr">
        <is>
          <t>Fatura do fornecedor SECRETARIA DA FAZENDA DO ESTA</t>
        </is>
      </c>
      <c r="L1588" s="5" t="inlineStr">
        <is>
          <t>02022024</t>
        </is>
      </c>
      <c r="M1588" s="5">
        <f>IF(YEAR(I1588)&lt;=2020,"Até 2020",TEXT(YEAR(I1588),"0"))</f>
        <v/>
      </c>
      <c r="N1588" s="5">
        <f>IFERROR(INDEX(DePara!$A:$A,MATCH(TEXT(B1588,"0"),DePara!$D:$D,0)),"(sem categoria)")</f>
        <v/>
      </c>
      <c r="O1588" s="5">
        <f>IF(J1588="","",Parametros!$B$6-J1588)</f>
        <v/>
      </c>
      <c r="P1588" s="5">
        <f>IF(O1588="","",IF(O1588&gt;0,1,0))</f>
        <v/>
      </c>
    </row>
    <row r="1589">
      <c r="A1589" s="5" t="n">
        <v>2111000000</v>
      </c>
      <c r="B1589" s="5" t="inlineStr">
        <is>
          <t>101746</t>
        </is>
      </c>
      <c r="C1589" s="5" t="inlineStr">
        <is>
          <t>SECRETARIA DA FAZENDA DO ESTADO DO</t>
        </is>
      </c>
      <c r="D1589" s="5" t="inlineStr">
        <is>
          <t>KR</t>
        </is>
      </c>
      <c r="E1589" s="5" t="n">
        <v>5003474</v>
      </c>
      <c r="F1589" s="5" t="inlineStr">
        <is>
          <t>GNRE FL12 C22469</t>
        </is>
      </c>
      <c r="G1589" s="5" t="inlineStr">
        <is>
          <t>BRL</t>
        </is>
      </c>
      <c r="H1589" s="9" t="n">
        <v>-552.25</v>
      </c>
      <c r="I1589" s="16" t="n">
        <v>45320</v>
      </c>
      <c r="J1589" s="16" t="n">
        <v>45322</v>
      </c>
      <c r="K1589" s="5" t="inlineStr">
        <is>
          <t>Fatura do fornecedor SECRETARIA DA FAZENDA DO ESTA</t>
        </is>
      </c>
      <c r="L1589" s="5" t="inlineStr">
        <is>
          <t>31012024</t>
        </is>
      </c>
      <c r="M1589" s="5">
        <f>IF(YEAR(I1589)&lt;=2020,"Até 2020",TEXT(YEAR(I1589),"0"))</f>
        <v/>
      </c>
      <c r="N1589" s="5">
        <f>IFERROR(INDEX(DePara!$A:$A,MATCH(TEXT(B1589,"0"),DePara!$D:$D,0)),"(sem categoria)")</f>
        <v/>
      </c>
      <c r="O1589" s="5">
        <f>IF(J1589="","",Parametros!$B$6-J1589)</f>
        <v/>
      </c>
      <c r="P1589" s="5">
        <f>IF(O1589="","",IF(O1589&gt;0,1,0))</f>
        <v/>
      </c>
    </row>
    <row r="1590">
      <c r="A1590" s="5" t="n">
        <v>2111000000</v>
      </c>
      <c r="B1590" s="5" t="inlineStr">
        <is>
          <t>101746</t>
        </is>
      </c>
      <c r="C1590" s="5" t="inlineStr">
        <is>
          <t>SECRETARIA DA FAZENDA DO ESTADO DO</t>
        </is>
      </c>
      <c r="D1590" s="5" t="inlineStr">
        <is>
          <t>KR</t>
        </is>
      </c>
      <c r="E1590" s="5" t="n">
        <v>5003475</v>
      </c>
      <c r="F1590" s="5" t="inlineStr">
        <is>
          <t>GNRE FL12 C22475</t>
        </is>
      </c>
      <c r="G1590" s="5" t="inlineStr">
        <is>
          <t>BRL</t>
        </is>
      </c>
      <c r="H1590" s="9" t="n">
        <v>-552.4400000000001</v>
      </c>
      <c r="I1590" s="16" t="n">
        <v>45320</v>
      </c>
      <c r="J1590" s="16" t="n">
        <v>45322</v>
      </c>
      <c r="K1590" s="5" t="inlineStr">
        <is>
          <t>Fatura do fornecedor SECRETARIA DA FAZENDA DO ESTA</t>
        </is>
      </c>
      <c r="L1590" s="5" t="inlineStr">
        <is>
          <t>31012024</t>
        </is>
      </c>
      <c r="M1590" s="5">
        <f>IF(YEAR(I1590)&lt;=2020,"Até 2020",TEXT(YEAR(I1590),"0"))</f>
        <v/>
      </c>
      <c r="N1590" s="5">
        <f>IFERROR(INDEX(DePara!$A:$A,MATCH(TEXT(B1590,"0"),DePara!$D:$D,0)),"(sem categoria)")</f>
        <v/>
      </c>
      <c r="O1590" s="5">
        <f>IF(J1590="","",Parametros!$B$6-J1590)</f>
        <v/>
      </c>
      <c r="P1590" s="5">
        <f>IF(O1590="","",IF(O1590&gt;0,1,0))</f>
        <v/>
      </c>
    </row>
    <row r="1591">
      <c r="A1591" s="5" t="n">
        <v>2111000000</v>
      </c>
      <c r="B1591" s="5" t="inlineStr">
        <is>
          <t>101746</t>
        </is>
      </c>
      <c r="C1591" s="5" t="inlineStr">
        <is>
          <t>SECRETARIA DA FAZENDA DO ESTADO DO</t>
        </is>
      </c>
      <c r="D1591" s="5" t="inlineStr">
        <is>
          <t>KR</t>
        </is>
      </c>
      <c r="E1591" s="5" t="n">
        <v>5003477</v>
      </c>
      <c r="F1591" s="5" t="inlineStr">
        <is>
          <t>GNRE FL12 C22476</t>
        </is>
      </c>
      <c r="G1591" s="5" t="inlineStr">
        <is>
          <t>BRL</t>
        </is>
      </c>
      <c r="H1591" s="9" t="n">
        <v>-543.84</v>
      </c>
      <c r="I1591" s="16" t="n">
        <v>45320</v>
      </c>
      <c r="J1591" s="16" t="n">
        <v>45322</v>
      </c>
      <c r="K1591" s="5" t="inlineStr">
        <is>
          <t>Fatura do fornecedor SECRETARIA DA FAZENDA DO ESTA</t>
        </is>
      </c>
      <c r="L1591" s="5" t="inlineStr">
        <is>
          <t>31012024</t>
        </is>
      </c>
      <c r="M1591" s="5">
        <f>IF(YEAR(I1591)&lt;=2020,"Até 2020",TEXT(YEAR(I1591),"0"))</f>
        <v/>
      </c>
      <c r="N1591" s="5">
        <f>IFERROR(INDEX(DePara!$A:$A,MATCH(TEXT(B1591,"0"),DePara!$D:$D,0)),"(sem categoria)")</f>
        <v/>
      </c>
      <c r="O1591" s="5">
        <f>IF(J1591="","",Parametros!$B$6-J1591)</f>
        <v/>
      </c>
      <c r="P1591" s="5">
        <f>IF(O1591="","",IF(O1591&gt;0,1,0))</f>
        <v/>
      </c>
    </row>
    <row r="1592">
      <c r="A1592" s="5" t="n">
        <v>2111000000</v>
      </c>
      <c r="B1592" s="5" t="inlineStr">
        <is>
          <t>101746</t>
        </is>
      </c>
      <c r="C1592" s="5" t="inlineStr">
        <is>
          <t>SECRETARIA DA FAZENDA DO ESTADO DO</t>
        </is>
      </c>
      <c r="D1592" s="5" t="inlineStr">
        <is>
          <t>KR</t>
        </is>
      </c>
      <c r="E1592" s="5" t="n">
        <v>5003478</v>
      </c>
      <c r="F1592" s="5" t="inlineStr">
        <is>
          <t>GNRE FL12 C22482</t>
        </is>
      </c>
      <c r="G1592" s="5" t="inlineStr">
        <is>
          <t>BRL</t>
        </is>
      </c>
      <c r="H1592" s="9" t="n">
        <v>-555.67</v>
      </c>
      <c r="I1592" s="16" t="n">
        <v>45320</v>
      </c>
      <c r="J1592" s="16" t="n">
        <v>45322</v>
      </c>
      <c r="K1592" s="5" t="inlineStr">
        <is>
          <t>Fatura do fornecedor SECRETARIA DA FAZENDA DO ESTA</t>
        </is>
      </c>
      <c r="L1592" s="5" t="inlineStr">
        <is>
          <t>31012024</t>
        </is>
      </c>
      <c r="M1592" s="5">
        <f>IF(YEAR(I1592)&lt;=2020,"Até 2020",TEXT(YEAR(I1592),"0"))</f>
        <v/>
      </c>
      <c r="N1592" s="5">
        <f>IFERROR(INDEX(DePara!$A:$A,MATCH(TEXT(B1592,"0"),DePara!$D:$D,0)),"(sem categoria)")</f>
        <v/>
      </c>
      <c r="O1592" s="5">
        <f>IF(J1592="","",Parametros!$B$6-J1592)</f>
        <v/>
      </c>
      <c r="P1592" s="5">
        <f>IF(O1592="","",IF(O1592&gt;0,1,0))</f>
        <v/>
      </c>
    </row>
    <row r="1593">
      <c r="A1593" s="5" t="n">
        <v>2111000000</v>
      </c>
      <c r="B1593" s="5" t="inlineStr">
        <is>
          <t>101746</t>
        </is>
      </c>
      <c r="C1593" s="5" t="inlineStr">
        <is>
          <t>SECRETARIA DA FAZENDA DO ESTADO DO</t>
        </is>
      </c>
      <c r="D1593" s="5" t="inlineStr">
        <is>
          <t>KR</t>
        </is>
      </c>
      <c r="E1593" s="5" t="n">
        <v>5003479</v>
      </c>
      <c r="F1593" s="5" t="inlineStr">
        <is>
          <t>GNRE FL12 C22501</t>
        </is>
      </c>
      <c r="G1593" s="5" t="inlineStr">
        <is>
          <t>BRL</t>
        </is>
      </c>
      <c r="H1593" s="9" t="n">
        <v>-547.65</v>
      </c>
      <c r="I1593" s="16" t="n">
        <v>45320</v>
      </c>
      <c r="J1593" s="16" t="n">
        <v>45322</v>
      </c>
      <c r="K1593" s="5" t="inlineStr">
        <is>
          <t>Fatura do fornecedor SECRETARIA DA FAZENDA DO ESTA</t>
        </is>
      </c>
      <c r="L1593" s="5" t="inlineStr">
        <is>
          <t>31012024</t>
        </is>
      </c>
      <c r="M1593" s="5">
        <f>IF(YEAR(I1593)&lt;=2020,"Até 2020",TEXT(YEAR(I1593),"0"))</f>
        <v/>
      </c>
      <c r="N1593" s="5">
        <f>IFERROR(INDEX(DePara!$A:$A,MATCH(TEXT(B1593,"0"),DePara!$D:$D,0)),"(sem categoria)")</f>
        <v/>
      </c>
      <c r="O1593" s="5">
        <f>IF(J1593="","",Parametros!$B$6-J1593)</f>
        <v/>
      </c>
      <c r="P1593" s="5">
        <f>IF(O1593="","",IF(O1593&gt;0,1,0))</f>
        <v/>
      </c>
    </row>
    <row r="1594">
      <c r="A1594" s="5" t="n">
        <v>2111000000</v>
      </c>
      <c r="B1594" s="5" t="inlineStr">
        <is>
          <t>101746</t>
        </is>
      </c>
      <c r="C1594" s="5" t="inlineStr">
        <is>
          <t>SECRETARIA DA FAZENDA DO ESTADO DO</t>
        </is>
      </c>
      <c r="D1594" s="5" t="inlineStr">
        <is>
          <t>KR</t>
        </is>
      </c>
      <c r="E1594" s="5" t="n">
        <v>5003482</v>
      </c>
      <c r="F1594" s="5" t="inlineStr">
        <is>
          <t>GNRE FL12 C22519</t>
        </is>
      </c>
      <c r="G1594" s="5" t="inlineStr">
        <is>
          <t>BRL</t>
        </is>
      </c>
      <c r="H1594" s="9" t="n">
        <v>-528.87</v>
      </c>
      <c r="I1594" s="16" t="n">
        <v>45320</v>
      </c>
      <c r="J1594" s="16" t="n">
        <v>45322</v>
      </c>
      <c r="K1594" s="5" t="inlineStr">
        <is>
          <t>Fatura do fornecedor SECRETARIA DA FAZENDA DO ESTA</t>
        </is>
      </c>
      <c r="L1594" s="5" t="inlineStr">
        <is>
          <t>31012024</t>
        </is>
      </c>
      <c r="M1594" s="5">
        <f>IF(YEAR(I1594)&lt;=2020,"Até 2020",TEXT(YEAR(I1594),"0"))</f>
        <v/>
      </c>
      <c r="N1594" s="5">
        <f>IFERROR(INDEX(DePara!$A:$A,MATCH(TEXT(B1594,"0"),DePara!$D:$D,0)),"(sem categoria)")</f>
        <v/>
      </c>
      <c r="O1594" s="5">
        <f>IF(J1594="","",Parametros!$B$6-J1594)</f>
        <v/>
      </c>
      <c r="P1594" s="5">
        <f>IF(O1594="","",IF(O1594&gt;0,1,0))</f>
        <v/>
      </c>
    </row>
    <row r="1595">
      <c r="A1595" s="5" t="n">
        <v>2111000000</v>
      </c>
      <c r="B1595" s="5" t="inlineStr">
        <is>
          <t>101746</t>
        </is>
      </c>
      <c r="C1595" s="5" t="inlineStr">
        <is>
          <t>SECRETARIA DA FAZENDA DO ESTADO DO</t>
        </is>
      </c>
      <c r="D1595" s="5" t="inlineStr">
        <is>
          <t>KR</t>
        </is>
      </c>
      <c r="E1595" s="5" t="n">
        <v>5003593</v>
      </c>
      <c r="F1595" s="5" t="inlineStr">
        <is>
          <t>GNRE FL20 C22467</t>
        </is>
      </c>
      <c r="G1595" s="5" t="inlineStr">
        <is>
          <t>BRL</t>
        </is>
      </c>
      <c r="H1595" s="9" t="n">
        <v>-1357.89</v>
      </c>
      <c r="I1595" s="16" t="n">
        <v>45320</v>
      </c>
      <c r="J1595" s="16" t="n">
        <v>45322</v>
      </c>
      <c r="K1595" s="5" t="inlineStr">
        <is>
          <t>Fatura do fornecedor SECRETARIA DA FAZENDA DO ESTA</t>
        </is>
      </c>
      <c r="L1595" s="5" t="inlineStr">
        <is>
          <t>31012024</t>
        </is>
      </c>
      <c r="M1595" s="5">
        <f>IF(YEAR(I1595)&lt;=2020,"Até 2020",TEXT(YEAR(I1595),"0"))</f>
        <v/>
      </c>
      <c r="N1595" s="5">
        <f>IFERROR(INDEX(DePara!$A:$A,MATCH(TEXT(B1595,"0"),DePara!$D:$D,0)),"(sem categoria)")</f>
        <v/>
      </c>
      <c r="O1595" s="5">
        <f>IF(J1595="","",Parametros!$B$6-J1595)</f>
        <v/>
      </c>
      <c r="P1595" s="5">
        <f>IF(O1595="","",IF(O1595&gt;0,1,0))</f>
        <v/>
      </c>
    </row>
    <row r="1596">
      <c r="A1596" s="5" t="n">
        <v>2111000000</v>
      </c>
      <c r="B1596" s="5" t="inlineStr">
        <is>
          <t>101746</t>
        </is>
      </c>
      <c r="C1596" s="5" t="inlineStr">
        <is>
          <t>SECRETARIA DA FAZENDA DO ESTADO DO</t>
        </is>
      </c>
      <c r="D1596" s="5" t="inlineStr">
        <is>
          <t>KR</t>
        </is>
      </c>
      <c r="E1596" s="5" t="n">
        <v>5003594</v>
      </c>
      <c r="F1596" s="5" t="inlineStr">
        <is>
          <t>GNRE FL20 C22468</t>
        </is>
      </c>
      <c r="G1596" s="5" t="inlineStr">
        <is>
          <t>BRL</t>
        </is>
      </c>
      <c r="H1596" s="9" t="n">
        <v>-1357.89</v>
      </c>
      <c r="I1596" s="16" t="n">
        <v>45320</v>
      </c>
      <c r="J1596" s="16" t="n">
        <v>45322</v>
      </c>
      <c r="K1596" s="5" t="inlineStr">
        <is>
          <t>Fatura do fornecedor SECRETARIA DA FAZENDA DO ESTA</t>
        </is>
      </c>
      <c r="L1596" s="5" t="inlineStr">
        <is>
          <t>31012024</t>
        </is>
      </c>
      <c r="M1596" s="5">
        <f>IF(YEAR(I1596)&lt;=2020,"Até 2020",TEXT(YEAR(I1596),"0"))</f>
        <v/>
      </c>
      <c r="N1596" s="5">
        <f>IFERROR(INDEX(DePara!$A:$A,MATCH(TEXT(B1596,"0"),DePara!$D:$D,0)),"(sem categoria)")</f>
        <v/>
      </c>
      <c r="O1596" s="5">
        <f>IF(J1596="","",Parametros!$B$6-J1596)</f>
        <v/>
      </c>
      <c r="P1596" s="5">
        <f>IF(O1596="","",IF(O1596&gt;0,1,0))</f>
        <v/>
      </c>
    </row>
    <row r="1597">
      <c r="A1597" s="5" t="n">
        <v>2111000000</v>
      </c>
      <c r="B1597" s="5" t="inlineStr">
        <is>
          <t>101746</t>
        </is>
      </c>
      <c r="C1597" s="5" t="inlineStr">
        <is>
          <t>SECRETARIA DA FAZENDA DO ESTADO DO</t>
        </is>
      </c>
      <c r="D1597" s="5" t="inlineStr">
        <is>
          <t>KR</t>
        </is>
      </c>
      <c r="E1597" s="5" t="n">
        <v>5003596</v>
      </c>
      <c r="F1597" s="5" t="inlineStr">
        <is>
          <t>GNRE FL20 C22483</t>
        </is>
      </c>
      <c r="G1597" s="5" t="inlineStr">
        <is>
          <t>BRL</t>
        </is>
      </c>
      <c r="H1597" s="9" t="n">
        <v>-1384.84</v>
      </c>
      <c r="I1597" s="16" t="n">
        <v>45320</v>
      </c>
      <c r="J1597" s="16" t="n">
        <v>45322</v>
      </c>
      <c r="K1597" s="5" t="inlineStr">
        <is>
          <t>Fatura do fornecedor SECRETARIA DA FAZENDA DO ESTA</t>
        </is>
      </c>
      <c r="L1597" s="5" t="inlineStr">
        <is>
          <t>31012024</t>
        </is>
      </c>
      <c r="M1597" s="5">
        <f>IF(YEAR(I1597)&lt;=2020,"Até 2020",TEXT(YEAR(I1597),"0"))</f>
        <v/>
      </c>
      <c r="N1597" s="5">
        <f>IFERROR(INDEX(DePara!$A:$A,MATCH(TEXT(B1597,"0"),DePara!$D:$D,0)),"(sem categoria)")</f>
        <v/>
      </c>
      <c r="O1597" s="5">
        <f>IF(J1597="","",Parametros!$B$6-J1597)</f>
        <v/>
      </c>
      <c r="P1597" s="5">
        <f>IF(O1597="","",IF(O1597&gt;0,1,0))</f>
        <v/>
      </c>
    </row>
    <row r="1598">
      <c r="A1598" s="5" t="n">
        <v>2111000000</v>
      </c>
      <c r="B1598" s="5" t="inlineStr">
        <is>
          <t>101746</t>
        </is>
      </c>
      <c r="C1598" s="5" t="inlineStr">
        <is>
          <t>SECRETARIA DA FAZENDA DO ESTADO DO</t>
        </is>
      </c>
      <c r="D1598" s="5" t="inlineStr">
        <is>
          <t>KR</t>
        </is>
      </c>
      <c r="E1598" s="5" t="n">
        <v>5003597</v>
      </c>
      <c r="F1598" s="5" t="inlineStr">
        <is>
          <t>GNRE FL20 C22484</t>
        </is>
      </c>
      <c r="G1598" s="5" t="inlineStr">
        <is>
          <t>BRL</t>
        </is>
      </c>
      <c r="H1598" s="9" t="n">
        <v>-1378.33</v>
      </c>
      <c r="I1598" s="16" t="n">
        <v>45320</v>
      </c>
      <c r="J1598" s="16" t="n">
        <v>45322</v>
      </c>
      <c r="K1598" s="5" t="inlineStr">
        <is>
          <t>Fatura do fornecedor SECRETARIA DA FAZENDA DO ESTA</t>
        </is>
      </c>
      <c r="L1598" s="5" t="inlineStr">
        <is>
          <t>31012024</t>
        </is>
      </c>
      <c r="M1598" s="5">
        <f>IF(YEAR(I1598)&lt;=2020,"Até 2020",TEXT(YEAR(I1598),"0"))</f>
        <v/>
      </c>
      <c r="N1598" s="5">
        <f>IFERROR(INDEX(DePara!$A:$A,MATCH(TEXT(B1598,"0"),DePara!$D:$D,0)),"(sem categoria)")</f>
        <v/>
      </c>
      <c r="O1598" s="5">
        <f>IF(J1598="","",Parametros!$B$6-J1598)</f>
        <v/>
      </c>
      <c r="P1598" s="5">
        <f>IF(O1598="","",IF(O1598&gt;0,1,0))</f>
        <v/>
      </c>
    </row>
    <row r="1599">
      <c r="A1599" s="5" t="n">
        <v>2111000000</v>
      </c>
      <c r="B1599" s="5" t="inlineStr">
        <is>
          <t>101746</t>
        </is>
      </c>
      <c r="C1599" s="5" t="inlineStr">
        <is>
          <t>SECRETARIA DA FAZENDA DO ESTADO DO</t>
        </is>
      </c>
      <c r="D1599" s="5" t="inlineStr">
        <is>
          <t>KR</t>
        </is>
      </c>
      <c r="E1599" s="5" t="n">
        <v>5003601</v>
      </c>
      <c r="F1599" s="5" t="inlineStr">
        <is>
          <t>GNRE FL20 C22485</t>
        </is>
      </c>
      <c r="G1599" s="5" t="inlineStr">
        <is>
          <t>BRL</t>
        </is>
      </c>
      <c r="H1599" s="9" t="n">
        <v>-1405.34</v>
      </c>
      <c r="I1599" s="16" t="n">
        <v>45320</v>
      </c>
      <c r="J1599" s="16" t="n">
        <v>45322</v>
      </c>
      <c r="K1599" s="5" t="inlineStr">
        <is>
          <t>Fatura do fornecedor SECRETARIA DA FAZENDA DO ESTA</t>
        </is>
      </c>
      <c r="L1599" s="5" t="inlineStr">
        <is>
          <t>31012024</t>
        </is>
      </c>
      <c r="M1599" s="5">
        <f>IF(YEAR(I1599)&lt;=2020,"Até 2020",TEXT(YEAR(I1599),"0"))</f>
        <v/>
      </c>
      <c r="N1599" s="5">
        <f>IFERROR(INDEX(DePara!$A:$A,MATCH(TEXT(B1599,"0"),DePara!$D:$D,0)),"(sem categoria)")</f>
        <v/>
      </c>
      <c r="O1599" s="5">
        <f>IF(J1599="","",Parametros!$B$6-J1599)</f>
        <v/>
      </c>
      <c r="P1599" s="5">
        <f>IF(O1599="","",IF(O1599&gt;0,1,0))</f>
        <v/>
      </c>
    </row>
    <row r="1600">
      <c r="A1600" s="5" t="n">
        <v>2111000000</v>
      </c>
      <c r="B1600" s="5" t="inlineStr">
        <is>
          <t>101746</t>
        </is>
      </c>
      <c r="C1600" s="5" t="inlineStr">
        <is>
          <t>SECRETARIA DA FAZENDA DO ESTADO DO</t>
        </is>
      </c>
      <c r="D1600" s="5" t="inlineStr">
        <is>
          <t>KR</t>
        </is>
      </c>
      <c r="E1600" s="5" t="n">
        <v>5003602</v>
      </c>
      <c r="F1600" s="5" t="inlineStr">
        <is>
          <t>GNRE FL20 C22492</t>
        </is>
      </c>
      <c r="G1600" s="5" t="inlineStr">
        <is>
          <t>BRL</t>
        </is>
      </c>
      <c r="H1600" s="9" t="n">
        <v>-1394.77</v>
      </c>
      <c r="I1600" s="16" t="n">
        <v>45320</v>
      </c>
      <c r="J1600" s="16" t="n">
        <v>45322</v>
      </c>
      <c r="K1600" s="5" t="inlineStr">
        <is>
          <t>Fatura do fornecedor SECRETARIA DA FAZENDA DO ESTA</t>
        </is>
      </c>
      <c r="L1600" s="5" t="inlineStr">
        <is>
          <t>31012024</t>
        </is>
      </c>
      <c r="M1600" s="5">
        <f>IF(YEAR(I1600)&lt;=2020,"Até 2020",TEXT(YEAR(I1600),"0"))</f>
        <v/>
      </c>
      <c r="N1600" s="5">
        <f>IFERROR(INDEX(DePara!$A:$A,MATCH(TEXT(B1600,"0"),DePara!$D:$D,0)),"(sem categoria)")</f>
        <v/>
      </c>
      <c r="O1600" s="5">
        <f>IF(J1600="","",Parametros!$B$6-J1600)</f>
        <v/>
      </c>
      <c r="P1600" s="5">
        <f>IF(O1600="","",IF(O1600&gt;0,1,0))</f>
        <v/>
      </c>
    </row>
    <row r="1601">
      <c r="A1601" s="5" t="n">
        <v>2111000000</v>
      </c>
      <c r="B1601" s="5" t="inlineStr">
        <is>
          <t>101746</t>
        </is>
      </c>
      <c r="C1601" s="5" t="inlineStr">
        <is>
          <t>SECRETARIA DA FAZENDA DO ESTADO DO</t>
        </is>
      </c>
      <c r="D1601" s="5" t="inlineStr">
        <is>
          <t>KR</t>
        </is>
      </c>
      <c r="E1601" s="5" t="n">
        <v>5003603</v>
      </c>
      <c r="F1601" s="5" t="inlineStr">
        <is>
          <t>GNRE FL20 C22493</t>
        </is>
      </c>
      <c r="G1601" s="5" t="inlineStr">
        <is>
          <t>BRL</t>
        </is>
      </c>
      <c r="H1601" s="9" t="n">
        <v>-1486.56</v>
      </c>
      <c r="I1601" s="16" t="n">
        <v>45320</v>
      </c>
      <c r="J1601" s="16" t="n">
        <v>45322</v>
      </c>
      <c r="K1601" s="5" t="inlineStr">
        <is>
          <t>Fatura do fornecedor SECRETARIA DA FAZENDA DO ESTA</t>
        </is>
      </c>
      <c r="L1601" s="5" t="inlineStr">
        <is>
          <t>31012024</t>
        </is>
      </c>
      <c r="M1601" s="5">
        <f>IF(YEAR(I1601)&lt;=2020,"Até 2020",TEXT(YEAR(I1601),"0"))</f>
        <v/>
      </c>
      <c r="N1601" s="5">
        <f>IFERROR(INDEX(DePara!$A:$A,MATCH(TEXT(B1601,"0"),DePara!$D:$D,0)),"(sem categoria)")</f>
        <v/>
      </c>
      <c r="O1601" s="5">
        <f>IF(J1601="","",Parametros!$B$6-J1601)</f>
        <v/>
      </c>
      <c r="P1601" s="5">
        <f>IF(O1601="","",IF(O1601&gt;0,1,0))</f>
        <v/>
      </c>
    </row>
    <row r="1602">
      <c r="A1602" s="5" t="n">
        <v>2111000000</v>
      </c>
      <c r="B1602" s="5" t="inlineStr">
        <is>
          <t>101746</t>
        </is>
      </c>
      <c r="C1602" s="5" t="inlineStr">
        <is>
          <t>SECRETARIA DA FAZENDA DO ESTADO DO</t>
        </is>
      </c>
      <c r="D1602" s="5" t="inlineStr">
        <is>
          <t>KR</t>
        </is>
      </c>
      <c r="E1602" s="5" t="n">
        <v>5003608</v>
      </c>
      <c r="F1602" s="5" t="inlineStr">
        <is>
          <t>GNRE FL20 C22497</t>
        </is>
      </c>
      <c r="G1602" s="5" t="inlineStr">
        <is>
          <t>BRL</t>
        </is>
      </c>
      <c r="H1602" s="9" t="n">
        <v>-1335.34</v>
      </c>
      <c r="I1602" s="16" t="n">
        <v>45320</v>
      </c>
      <c r="J1602" s="16" t="n">
        <v>45322</v>
      </c>
      <c r="K1602" s="5" t="inlineStr">
        <is>
          <t>Fatura do fornecedor SECRETARIA DA FAZENDA DO ESTA</t>
        </is>
      </c>
      <c r="L1602" s="5" t="inlineStr">
        <is>
          <t>31012024</t>
        </is>
      </c>
      <c r="M1602" s="5">
        <f>IF(YEAR(I1602)&lt;=2020,"Até 2020",TEXT(YEAR(I1602),"0"))</f>
        <v/>
      </c>
      <c r="N1602" s="5">
        <f>IFERROR(INDEX(DePara!$A:$A,MATCH(TEXT(B1602,"0"),DePara!$D:$D,0)),"(sem categoria)")</f>
        <v/>
      </c>
      <c r="O1602" s="5">
        <f>IF(J1602="","",Parametros!$B$6-J1602)</f>
        <v/>
      </c>
      <c r="P1602" s="5">
        <f>IF(O1602="","",IF(O1602&gt;0,1,0))</f>
        <v/>
      </c>
    </row>
    <row r="1603">
      <c r="A1603" s="5" t="n">
        <v>2111000000</v>
      </c>
      <c r="B1603" s="5" t="inlineStr">
        <is>
          <t>101746</t>
        </is>
      </c>
      <c r="C1603" s="5" t="inlineStr">
        <is>
          <t>SECRETARIA DA FAZENDA DO ESTADO DO</t>
        </is>
      </c>
      <c r="D1603" s="5" t="inlineStr">
        <is>
          <t>KR</t>
        </is>
      </c>
      <c r="E1603" s="5" t="n">
        <v>5003610</v>
      </c>
      <c r="F1603" s="5" t="inlineStr">
        <is>
          <t>GNRE FL20 C22498</t>
        </is>
      </c>
      <c r="G1603" s="5" t="inlineStr">
        <is>
          <t>BRL</t>
        </is>
      </c>
      <c r="H1603" s="9" t="n">
        <v>-1335.34</v>
      </c>
      <c r="I1603" s="16" t="n">
        <v>45320</v>
      </c>
      <c r="J1603" s="16" t="n">
        <v>45322</v>
      </c>
      <c r="K1603" s="5" t="inlineStr">
        <is>
          <t>Fatura do fornecedor SECRETARIA DA FAZENDA DO ESTA</t>
        </is>
      </c>
      <c r="L1603" s="5" t="inlineStr">
        <is>
          <t>31012024</t>
        </is>
      </c>
      <c r="M1603" s="5">
        <f>IF(YEAR(I1603)&lt;=2020,"Até 2020",TEXT(YEAR(I1603),"0"))</f>
        <v/>
      </c>
      <c r="N1603" s="5">
        <f>IFERROR(INDEX(DePara!$A:$A,MATCH(TEXT(B1603,"0"),DePara!$D:$D,0)),"(sem categoria)")</f>
        <v/>
      </c>
      <c r="O1603" s="5">
        <f>IF(J1603="","",Parametros!$B$6-J1603)</f>
        <v/>
      </c>
      <c r="P1603" s="5">
        <f>IF(O1603="","",IF(O1603&gt;0,1,0))</f>
        <v/>
      </c>
    </row>
    <row r="1604">
      <c r="A1604" s="5" t="n">
        <v>2111000000</v>
      </c>
      <c r="B1604" s="5" t="inlineStr">
        <is>
          <t>101746</t>
        </is>
      </c>
      <c r="C1604" s="5" t="inlineStr">
        <is>
          <t>SECRETARIA DA FAZENDA DO ESTADO DO</t>
        </is>
      </c>
      <c r="D1604" s="5" t="inlineStr">
        <is>
          <t>KR</t>
        </is>
      </c>
      <c r="E1604" s="5" t="n">
        <v>5003612</v>
      </c>
      <c r="F1604" s="5" t="inlineStr">
        <is>
          <t>GNRE FL20 C22510</t>
        </is>
      </c>
      <c r="G1604" s="5" t="inlineStr">
        <is>
          <t>BRL</t>
        </is>
      </c>
      <c r="H1604" s="9" t="n">
        <v>-1374.31</v>
      </c>
      <c r="I1604" s="16" t="n">
        <v>45320</v>
      </c>
      <c r="J1604" s="16" t="n">
        <v>45322</v>
      </c>
      <c r="K1604" s="5" t="inlineStr">
        <is>
          <t>Fatura do fornecedor SECRETARIA DA FAZENDA DO ESTA</t>
        </is>
      </c>
      <c r="L1604" s="5" t="inlineStr">
        <is>
          <t>31012024</t>
        </is>
      </c>
      <c r="M1604" s="5">
        <f>IF(YEAR(I1604)&lt;=2020,"Até 2020",TEXT(YEAR(I1604),"0"))</f>
        <v/>
      </c>
      <c r="N1604" s="5">
        <f>IFERROR(INDEX(DePara!$A:$A,MATCH(TEXT(B1604,"0"),DePara!$D:$D,0)),"(sem categoria)")</f>
        <v/>
      </c>
      <c r="O1604" s="5">
        <f>IF(J1604="","",Parametros!$B$6-J1604)</f>
        <v/>
      </c>
      <c r="P1604" s="5">
        <f>IF(O1604="","",IF(O1604&gt;0,1,0))</f>
        <v/>
      </c>
    </row>
    <row r="1605">
      <c r="A1605" s="5" t="n">
        <v>2111000000</v>
      </c>
      <c r="B1605" s="5" t="inlineStr">
        <is>
          <t>100759</t>
        </is>
      </c>
      <c r="C1605" s="5" t="inlineStr">
        <is>
          <t>MUNICIPIO DE UIBAI</t>
        </is>
      </c>
      <c r="D1605" s="5" t="inlineStr">
        <is>
          <t>KR</t>
        </is>
      </c>
      <c r="E1605" s="5" t="n">
        <v>5005150</v>
      </c>
      <c r="F1605" s="5" t="inlineStr">
        <is>
          <t>176 E 9255</t>
        </is>
      </c>
      <c r="G1605" s="5" t="inlineStr">
        <is>
          <t>BRL</t>
        </is>
      </c>
      <c r="H1605" s="9" t="n">
        <v>-15090.53</v>
      </c>
      <c r="I1605" s="16" t="n">
        <v>45363</v>
      </c>
      <c r="J1605" s="16" t="n">
        <v>45363</v>
      </c>
      <c r="K1605" s="5" t="inlineStr">
        <is>
          <t>SECRETARIAT ADVISORS LLC</t>
        </is>
      </c>
      <c r="L1605" s="5" t="n"/>
      <c r="M1605" s="5">
        <f>IF(YEAR(I1605)&lt;=2020,"Até 2020",TEXT(YEAR(I1605),"0"))</f>
        <v/>
      </c>
      <c r="N1605" s="5">
        <f>IFERROR(INDEX(DePara!$A:$A,MATCH(TEXT(B1605,"0"),DePara!$D:$D,0)),"(sem categoria)")</f>
        <v/>
      </c>
      <c r="O1605" s="5">
        <f>IF(J1605="","",Parametros!$B$6-J1605)</f>
        <v/>
      </c>
      <c r="P1605" s="5">
        <f>IF(O1605="","",IF(O1605&gt;0,1,0))</f>
        <v/>
      </c>
    </row>
    <row r="1606">
      <c r="A1606" s="5" t="n">
        <v>2111000000</v>
      </c>
      <c r="B1606" s="5" t="inlineStr">
        <is>
          <t>107877</t>
        </is>
      </c>
      <c r="C1606" s="5" t="inlineStr">
        <is>
          <t>COTECH IRM SERVICES LTDA</t>
        </is>
      </c>
      <c r="D1606" s="5" t="inlineStr">
        <is>
          <t>KG</t>
        </is>
      </c>
      <c r="E1606" s="5" t="n">
        <v>5005499</v>
      </c>
      <c r="F1606" s="5" t="inlineStr">
        <is>
          <t>47/48/49/50/51</t>
        </is>
      </c>
      <c r="G1606" s="5" t="inlineStr">
        <is>
          <t>BRL</t>
        </is>
      </c>
      <c r="H1606" s="9" t="n">
        <v>15600</v>
      </c>
      <c r="I1606" s="16" t="n">
        <v>46106</v>
      </c>
      <c r="J1606" s="16" t="n">
        <v>46106</v>
      </c>
      <c r="K1606" s="5" t="inlineStr">
        <is>
          <t>Nota crédito fornec. COTECH NF 47/48/49/50/51 ISS</t>
        </is>
      </c>
      <c r="L1606" s="5" t="inlineStr">
        <is>
          <t>Nota crédito</t>
        </is>
      </c>
      <c r="M1606" s="5">
        <f>IF(YEAR(I1606)&lt;=2020,"Até 2020",TEXT(YEAR(I1606),"0"))</f>
        <v/>
      </c>
      <c r="N1606" s="5">
        <f>IFERROR(INDEX(DePara!$A:$A,MATCH(TEXT(B1606,"0"),DePara!$D:$D,0)),"(sem categoria)")</f>
        <v/>
      </c>
      <c r="O1606" s="5">
        <f>IF(J1606="","",Parametros!$B$6-J1606)</f>
        <v/>
      </c>
      <c r="P1606" s="5">
        <f>IF(O1606="","",IF(O1606&gt;0,1,0))</f>
        <v/>
      </c>
    </row>
    <row r="1607">
      <c r="A1607" s="5" t="n">
        <v>2111000000</v>
      </c>
      <c r="B1607" s="5" t="inlineStr">
        <is>
          <t>101334</t>
        </is>
      </c>
      <c r="C1607" s="5" t="inlineStr">
        <is>
          <t>ABRILSAN ASSES EM CART DE PROT LTDA</t>
        </is>
      </c>
      <c r="D1607" s="5" t="inlineStr">
        <is>
          <t>KR</t>
        </is>
      </c>
      <c r="E1607" s="5" t="n">
        <v>5007567</v>
      </c>
      <c r="F1607" s="5" t="inlineStr">
        <is>
          <t>120110</t>
        </is>
      </c>
      <c r="G1607" s="5" t="inlineStr">
        <is>
          <t>BRL</t>
        </is>
      </c>
      <c r="H1607" s="9" t="n">
        <v>-722.04</v>
      </c>
      <c r="I1607" s="16" t="n">
        <v>45202</v>
      </c>
      <c r="J1607" s="16" t="n">
        <v>45202</v>
      </c>
      <c r="K1607" s="5" t="inlineStr">
        <is>
          <t>Fatura do fornecedor ABRILSAN ASSES EM CART DE PRO</t>
        </is>
      </c>
      <c r="L1607" s="5" t="n"/>
      <c r="M1607" s="5">
        <f>IF(YEAR(I1607)&lt;=2020,"Até 2020",TEXT(YEAR(I1607),"0"))</f>
        <v/>
      </c>
      <c r="N1607" s="5">
        <f>IFERROR(INDEX(DePara!$A:$A,MATCH(TEXT(B1607,"0"),DePara!$D:$D,0)),"(sem categoria)")</f>
        <v/>
      </c>
      <c r="O1607" s="5">
        <f>IF(J1607="","",Parametros!$B$6-J1607)</f>
        <v/>
      </c>
      <c r="P1607" s="5">
        <f>IF(O1607="","",IF(O1607&gt;0,1,0))</f>
        <v/>
      </c>
    </row>
    <row r="1608">
      <c r="A1608" s="5" t="n">
        <v>2111000000</v>
      </c>
      <c r="B1608" s="5" t="inlineStr">
        <is>
          <t>101334</t>
        </is>
      </c>
      <c r="C1608" s="5" t="inlineStr">
        <is>
          <t>ABRILSAN ASSES EM CART DE PROT LTDA</t>
        </is>
      </c>
      <c r="D1608" s="5" t="inlineStr">
        <is>
          <t>KR</t>
        </is>
      </c>
      <c r="E1608" s="5" t="n">
        <v>5007569</v>
      </c>
      <c r="F1608" s="5" t="inlineStr">
        <is>
          <t>120401</t>
        </is>
      </c>
      <c r="G1608" s="5" t="inlineStr">
        <is>
          <t>BRL</t>
        </is>
      </c>
      <c r="H1608" s="9" t="n">
        <v>-11.02</v>
      </c>
      <c r="I1608" s="16" t="n">
        <v>45233</v>
      </c>
      <c r="J1608" s="16" t="n">
        <v>45263</v>
      </c>
      <c r="K1608" s="5" t="inlineStr">
        <is>
          <t>Fatura do fornecedor ABRILSAN ASSES EM CART DE PRO</t>
        </is>
      </c>
      <c r="L1608" s="5" t="n"/>
      <c r="M1608" s="5">
        <f>IF(YEAR(I1608)&lt;=2020,"Até 2020",TEXT(YEAR(I1608),"0"))</f>
        <v/>
      </c>
      <c r="N1608" s="5">
        <f>IFERROR(INDEX(DePara!$A:$A,MATCH(TEXT(B1608,"0"),DePara!$D:$D,0)),"(sem categoria)")</f>
        <v/>
      </c>
      <c r="O1608" s="5">
        <f>IF(J1608="","",Parametros!$B$6-J1608)</f>
        <v/>
      </c>
      <c r="P1608" s="5">
        <f>IF(O1608="","",IF(O1608&gt;0,1,0))</f>
        <v/>
      </c>
    </row>
    <row r="1609">
      <c r="A1609" s="5" t="n">
        <v>2111000000</v>
      </c>
      <c r="B1609" s="5" t="inlineStr">
        <is>
          <t>100759</t>
        </is>
      </c>
      <c r="C1609" s="5" t="inlineStr">
        <is>
          <t>MUNICIPIO DE UIBAI</t>
        </is>
      </c>
      <c r="D1609" s="5" t="inlineStr">
        <is>
          <t>KR</t>
        </is>
      </c>
      <c r="E1609" s="5" t="n">
        <v>5007825</v>
      </c>
      <c r="F1609" s="5" t="inlineStr">
        <is>
          <t>793</t>
        </is>
      </c>
      <c r="G1609" s="5" t="inlineStr">
        <is>
          <t>BRL</t>
        </is>
      </c>
      <c r="H1609" s="9" t="n">
        <v>-120.41</v>
      </c>
      <c r="I1609" s="16" t="n">
        <v>46112</v>
      </c>
      <c r="J1609" s="16" t="n">
        <v>46112</v>
      </c>
      <c r="K1609" s="5" t="inlineStr">
        <is>
          <t>Fatura do fornecedor MUNICIPIO DE UIBAI 793</t>
        </is>
      </c>
      <c r="L1609" s="5" t="n"/>
      <c r="M1609" s="5">
        <f>IF(YEAR(I1609)&lt;=2020,"Até 2020",TEXT(YEAR(I1609),"0"))</f>
        <v/>
      </c>
      <c r="N1609" s="5">
        <f>IFERROR(INDEX(DePara!$A:$A,MATCH(TEXT(B1609,"0"),DePara!$D:$D,0)),"(sem categoria)")</f>
        <v/>
      </c>
      <c r="O1609" s="5">
        <f>IF(J1609="","",Parametros!$B$6-J1609)</f>
        <v/>
      </c>
      <c r="P1609" s="5">
        <f>IF(O1609="","",IF(O1609&gt;0,1,0))</f>
        <v/>
      </c>
    </row>
    <row r="1610">
      <c r="A1610" s="5" t="n">
        <v>2111000000</v>
      </c>
      <c r="B1610" s="5" t="inlineStr">
        <is>
          <t>101560</t>
        </is>
      </c>
      <c r="C1610" s="5" t="inlineStr">
        <is>
          <t>SINDICATO DOS DESPACHANTES ADUANEIR DE SAO PAULO SINDASP</t>
        </is>
      </c>
      <c r="D1610" s="5" t="inlineStr">
        <is>
          <t>KR</t>
        </is>
      </c>
      <c r="E1610" s="5" t="n">
        <v>5009332</v>
      </c>
      <c r="F1610" s="5" t="inlineStr">
        <is>
          <t>13069094</t>
        </is>
      </c>
      <c r="G1610" s="5" t="inlineStr">
        <is>
          <t>BRL</t>
        </is>
      </c>
      <c r="H1610" s="9" t="n">
        <v>-500</v>
      </c>
      <c r="I1610" s="16" t="n">
        <v>44485</v>
      </c>
      <c r="J1610" s="16" t="n">
        <v>44485</v>
      </c>
      <c r="K1610" s="5" t="inlineStr">
        <is>
          <t>4010003993/4010004216/18</t>
        </is>
      </c>
      <c r="L1610" s="5" t="inlineStr">
        <is>
          <t>validar p 28032025</t>
        </is>
      </c>
      <c r="M1610" s="5">
        <f>IF(YEAR(I1610)&lt;=2020,"Até 2020",TEXT(YEAR(I1610),"0"))</f>
        <v/>
      </c>
      <c r="N1610" s="5">
        <f>IFERROR(INDEX(DePara!$A:$A,MATCH(TEXT(B1610,"0"),DePara!$D:$D,0)),"(sem categoria)")</f>
        <v/>
      </c>
      <c r="O1610" s="5">
        <f>IF(J1610="","",Parametros!$B$6-J1610)</f>
        <v/>
      </c>
      <c r="P1610" s="5">
        <f>IF(O1610="","",IF(O1610&gt;0,1,0))</f>
        <v/>
      </c>
    </row>
    <row r="1611">
      <c r="A1611" s="5" t="n">
        <v>2111000000</v>
      </c>
      <c r="B1611" s="5" t="inlineStr">
        <is>
          <t>104064</t>
        </is>
      </c>
      <c r="C1611" s="5" t="inlineStr">
        <is>
          <t>TRANSPORTES PESADOS MINAS S A 17215039000633</t>
        </is>
      </c>
      <c r="D1611" s="5" t="inlineStr">
        <is>
          <t>RE</t>
        </is>
      </c>
      <c r="E1611" s="5" t="n">
        <v>5009339</v>
      </c>
      <c r="F1611" s="5" t="inlineStr">
        <is>
          <t>9980-1</t>
        </is>
      </c>
      <c r="G1611" s="5" t="inlineStr">
        <is>
          <t>BRL</t>
        </is>
      </c>
      <c r="H1611" s="9" t="n">
        <v>-91646.92</v>
      </c>
      <c r="I1611" s="16" t="n">
        <v>46149</v>
      </c>
      <c r="J1611" s="16" t="n">
        <v>46239</v>
      </c>
      <c r="K1611" s="5" t="inlineStr">
        <is>
          <t>Fatura - bruto TRANSPORTES PESADOS MINAS S A 17215</t>
        </is>
      </c>
      <c r="L1611" s="5" t="inlineStr">
        <is>
          <t>02092026</t>
        </is>
      </c>
      <c r="M1611" s="5">
        <f>IF(YEAR(I1611)&lt;=2020,"Até 2020",TEXT(YEAR(I1611),"0"))</f>
        <v/>
      </c>
      <c r="N1611" s="5">
        <f>IFERROR(INDEX(DePara!$A:$A,MATCH(TEXT(B1611,"0"),DePara!$D:$D,0)),"(sem categoria)")</f>
        <v/>
      </c>
      <c r="O1611" s="5">
        <f>IF(J1611="","",Parametros!$B$6-J1611)</f>
        <v/>
      </c>
      <c r="P1611" s="5">
        <f>IF(O1611="","",IF(O1611&gt;0,1,0))</f>
        <v/>
      </c>
    </row>
    <row r="1612">
      <c r="A1612" s="5" t="n">
        <v>2111000000</v>
      </c>
      <c r="B1612" s="5" t="inlineStr">
        <is>
          <t>104064</t>
        </is>
      </c>
      <c r="C1612" s="5" t="inlineStr">
        <is>
          <t>TRANSPORTES PESADOS MINAS S A 17215039000633</t>
        </is>
      </c>
      <c r="D1612" s="5" t="inlineStr">
        <is>
          <t>RE</t>
        </is>
      </c>
      <c r="E1612" s="5" t="n">
        <v>5009340</v>
      </c>
      <c r="F1612" s="5" t="inlineStr">
        <is>
          <t>9981-1</t>
        </is>
      </c>
      <c r="G1612" s="5" t="inlineStr">
        <is>
          <t>BRL</t>
        </is>
      </c>
      <c r="H1612" s="9" t="n">
        <v>-91646.92</v>
      </c>
      <c r="I1612" s="16" t="n">
        <v>46149</v>
      </c>
      <c r="J1612" s="16" t="n">
        <v>46239</v>
      </c>
      <c r="K1612" s="5" t="inlineStr">
        <is>
          <t>Fatura - bruto TRANSPORTES PESADOS MINAS S A 17215</t>
        </is>
      </c>
      <c r="L1612" s="5" t="inlineStr">
        <is>
          <t>02092026</t>
        </is>
      </c>
      <c r="M1612" s="5">
        <f>IF(YEAR(I1612)&lt;=2020,"Até 2020",TEXT(YEAR(I1612),"0"))</f>
        <v/>
      </c>
      <c r="N1612" s="5">
        <f>IFERROR(INDEX(DePara!$A:$A,MATCH(TEXT(B1612,"0"),DePara!$D:$D,0)),"(sem categoria)")</f>
        <v/>
      </c>
      <c r="O1612" s="5">
        <f>IF(J1612="","",Parametros!$B$6-J1612)</f>
        <v/>
      </c>
      <c r="P1612" s="5">
        <f>IF(O1612="","",IF(O1612&gt;0,1,0))</f>
        <v/>
      </c>
    </row>
    <row r="1613">
      <c r="A1613" s="5" t="n">
        <v>2111000000</v>
      </c>
      <c r="B1613" s="5" t="inlineStr">
        <is>
          <t>104064</t>
        </is>
      </c>
      <c r="C1613" s="5" t="inlineStr">
        <is>
          <t>TRANSPORTES PESADOS MINAS S A 17215039000633</t>
        </is>
      </c>
      <c r="D1613" s="5" t="inlineStr">
        <is>
          <t>RE</t>
        </is>
      </c>
      <c r="E1613" s="5" t="n">
        <v>5009968</v>
      </c>
      <c r="F1613" s="5" t="inlineStr">
        <is>
          <t>9985-1</t>
        </is>
      </c>
      <c r="G1613" s="5" t="inlineStr">
        <is>
          <t>BRL</t>
        </is>
      </c>
      <c r="H1613" s="9" t="n">
        <v>-91646.92</v>
      </c>
      <c r="I1613" s="16" t="n">
        <v>46154</v>
      </c>
      <c r="J1613" s="16" t="n">
        <v>46239</v>
      </c>
      <c r="K1613" s="5" t="inlineStr">
        <is>
          <t>Fatura - bruto TRANSPORTES PESADOS MINAS S A 17215</t>
        </is>
      </c>
      <c r="L1613" s="5" t="inlineStr">
        <is>
          <t>02092026</t>
        </is>
      </c>
      <c r="M1613" s="5">
        <f>IF(YEAR(I1613)&lt;=2020,"Até 2020",TEXT(YEAR(I1613),"0"))</f>
        <v/>
      </c>
      <c r="N1613" s="5">
        <f>IFERROR(INDEX(DePara!$A:$A,MATCH(TEXT(B1613,"0"),DePara!$D:$D,0)),"(sem categoria)")</f>
        <v/>
      </c>
      <c r="O1613" s="5">
        <f>IF(J1613="","",Parametros!$B$6-J1613)</f>
        <v/>
      </c>
      <c r="P1613" s="5">
        <f>IF(O1613="","",IF(O1613&gt;0,1,0))</f>
        <v/>
      </c>
    </row>
    <row r="1614">
      <c r="A1614" s="5" t="n">
        <v>2111000000</v>
      </c>
      <c r="B1614" s="5" t="inlineStr">
        <is>
          <t>104064</t>
        </is>
      </c>
      <c r="C1614" s="5" t="inlineStr">
        <is>
          <t>TRANSPORTES PESADOS MINAS S A 17215039000633</t>
        </is>
      </c>
      <c r="D1614" s="5" t="inlineStr">
        <is>
          <t>RE</t>
        </is>
      </c>
      <c r="E1614" s="5" t="n">
        <v>5009975</v>
      </c>
      <c r="F1614" s="5" t="inlineStr">
        <is>
          <t>9982-1</t>
        </is>
      </c>
      <c r="G1614" s="5" t="inlineStr">
        <is>
          <t>BRL</t>
        </is>
      </c>
      <c r="H1614" s="9" t="n">
        <v>-91908.25999999999</v>
      </c>
      <c r="I1614" s="16" t="n">
        <v>46154</v>
      </c>
      <c r="J1614" s="16" t="n">
        <v>46239</v>
      </c>
      <c r="K1614" s="5" t="inlineStr">
        <is>
          <t>Fatura - bruto TRANSPORTES PESADOS MINAS S A 17215</t>
        </is>
      </c>
      <c r="L1614" s="5" t="inlineStr">
        <is>
          <t>02092026</t>
        </is>
      </c>
      <c r="M1614" s="5">
        <f>IF(YEAR(I1614)&lt;=2020,"Até 2020",TEXT(YEAR(I1614),"0"))</f>
        <v/>
      </c>
      <c r="N1614" s="5">
        <f>IFERROR(INDEX(DePara!$A:$A,MATCH(TEXT(B1614,"0"),DePara!$D:$D,0)),"(sem categoria)")</f>
        <v/>
      </c>
      <c r="O1614" s="5">
        <f>IF(J1614="","",Parametros!$B$6-J1614)</f>
        <v/>
      </c>
      <c r="P1614" s="5">
        <f>IF(O1614="","",IF(O1614&gt;0,1,0))</f>
        <v/>
      </c>
    </row>
    <row r="1615">
      <c r="A1615" s="5" t="n">
        <v>2111000000</v>
      </c>
      <c r="B1615" s="5" t="inlineStr">
        <is>
          <t>104064</t>
        </is>
      </c>
      <c r="C1615" s="5" t="inlineStr">
        <is>
          <t>TRANSPORTES PESADOS MINAS S A 17215039000633</t>
        </is>
      </c>
      <c r="D1615" s="5" t="inlineStr">
        <is>
          <t>RE</t>
        </is>
      </c>
      <c r="E1615" s="5" t="n">
        <v>5009976</v>
      </c>
      <c r="F1615" s="5" t="inlineStr">
        <is>
          <t>9983-1</t>
        </is>
      </c>
      <c r="G1615" s="5" t="inlineStr">
        <is>
          <t>BRL</t>
        </is>
      </c>
      <c r="H1615" s="9" t="n">
        <v>-91908.25999999999</v>
      </c>
      <c r="I1615" s="16" t="n">
        <v>46154</v>
      </c>
      <c r="J1615" s="16" t="n">
        <v>46239</v>
      </c>
      <c r="K1615" s="5" t="inlineStr">
        <is>
          <t>Fatura - bruto TRANSPORTES PESADOS MINAS S A 17215</t>
        </is>
      </c>
      <c r="L1615" s="5" t="inlineStr">
        <is>
          <t>02092026</t>
        </is>
      </c>
      <c r="M1615" s="5">
        <f>IF(YEAR(I1615)&lt;=2020,"Até 2020",TEXT(YEAR(I1615),"0"))</f>
        <v/>
      </c>
      <c r="N1615" s="5">
        <f>IFERROR(INDEX(DePara!$A:$A,MATCH(TEXT(B1615,"0"),DePara!$D:$D,0)),"(sem categoria)")</f>
        <v/>
      </c>
      <c r="O1615" s="5">
        <f>IF(J1615="","",Parametros!$B$6-J1615)</f>
        <v/>
      </c>
      <c r="P1615" s="5">
        <f>IF(O1615="","",IF(O1615&gt;0,1,0))</f>
        <v/>
      </c>
    </row>
    <row r="1616">
      <c r="A1616" s="5" t="n">
        <v>2111000000</v>
      </c>
      <c r="B1616" s="5" t="inlineStr">
        <is>
          <t>104064</t>
        </is>
      </c>
      <c r="C1616" s="5" t="inlineStr">
        <is>
          <t>TRANSPORTES PESADOS MINAS S A 17215039000633</t>
        </is>
      </c>
      <c r="D1616" s="5" t="inlineStr">
        <is>
          <t>RE</t>
        </is>
      </c>
      <c r="E1616" s="5" t="n">
        <v>5009977</v>
      </c>
      <c r="F1616" s="5" t="inlineStr">
        <is>
          <t>9984-1</t>
        </is>
      </c>
      <c r="G1616" s="5" t="inlineStr">
        <is>
          <t>BRL</t>
        </is>
      </c>
      <c r="H1616" s="9" t="n">
        <v>-91908.25999999999</v>
      </c>
      <c r="I1616" s="16" t="n">
        <v>46154</v>
      </c>
      <c r="J1616" s="16" t="n">
        <v>46239</v>
      </c>
      <c r="K1616" s="5" t="inlineStr">
        <is>
          <t>Fatura - bruto TRANSPORTES PESADOS MINAS S A 17215</t>
        </is>
      </c>
      <c r="L1616" s="5" t="inlineStr">
        <is>
          <t>02092026</t>
        </is>
      </c>
      <c r="M1616" s="5">
        <f>IF(YEAR(I1616)&lt;=2020,"Até 2020",TEXT(YEAR(I1616),"0"))</f>
        <v/>
      </c>
      <c r="N1616" s="5">
        <f>IFERROR(INDEX(DePara!$A:$A,MATCH(TEXT(B1616,"0"),DePara!$D:$D,0)),"(sem categoria)")</f>
        <v/>
      </c>
      <c r="O1616" s="5">
        <f>IF(J1616="","",Parametros!$B$6-J1616)</f>
        <v/>
      </c>
      <c r="P1616" s="5">
        <f>IF(O1616="","",IF(O1616&gt;0,1,0))</f>
        <v/>
      </c>
    </row>
    <row r="1617">
      <c r="A1617" s="5" t="n">
        <v>2111000000</v>
      </c>
      <c r="B1617" s="5" t="inlineStr">
        <is>
          <t>104064</t>
        </is>
      </c>
      <c r="C1617" s="5" t="inlineStr">
        <is>
          <t>TRANSPORTES PESADOS MINAS S A 17215039000633</t>
        </is>
      </c>
      <c r="D1617" s="5" t="inlineStr">
        <is>
          <t>RE</t>
        </is>
      </c>
      <c r="E1617" s="5" t="n">
        <v>5010103</v>
      </c>
      <c r="F1617" s="5" t="inlineStr">
        <is>
          <t>10001-1</t>
        </is>
      </c>
      <c r="G1617" s="5" t="inlineStr">
        <is>
          <t>BRL</t>
        </is>
      </c>
      <c r="H1617" s="9" t="n">
        <v>-34100.55</v>
      </c>
      <c r="I1617" s="16" t="n">
        <v>46160</v>
      </c>
      <c r="J1617" s="16" t="n">
        <v>46239</v>
      </c>
      <c r="K1617" s="5" t="inlineStr">
        <is>
          <t>Fatura - bruto TRANSPORTES PESADOS MINAS S A 17215</t>
        </is>
      </c>
      <c r="L1617" s="5" t="inlineStr">
        <is>
          <t>09092026</t>
        </is>
      </c>
      <c r="M1617" s="5">
        <f>IF(YEAR(I1617)&lt;=2020,"Até 2020",TEXT(YEAR(I1617),"0"))</f>
        <v/>
      </c>
      <c r="N1617" s="5">
        <f>IFERROR(INDEX(DePara!$A:$A,MATCH(TEXT(B1617,"0"),DePara!$D:$D,0)),"(sem categoria)")</f>
        <v/>
      </c>
      <c r="O1617" s="5">
        <f>IF(J1617="","",Parametros!$B$6-J1617)</f>
        <v/>
      </c>
      <c r="P1617" s="5">
        <f>IF(O1617="","",IF(O1617&gt;0,1,0))</f>
        <v/>
      </c>
    </row>
    <row r="1618">
      <c r="A1618" s="5" t="n">
        <v>2111000000</v>
      </c>
      <c r="B1618" s="5" t="inlineStr">
        <is>
          <t>104064</t>
        </is>
      </c>
      <c r="C1618" s="5" t="inlineStr">
        <is>
          <t>TRANSPORTES PESADOS MINAS S A 17215039000633</t>
        </is>
      </c>
      <c r="D1618" s="5" t="inlineStr">
        <is>
          <t>RE</t>
        </is>
      </c>
      <c r="E1618" s="5" t="n">
        <v>5010104</v>
      </c>
      <c r="F1618" s="5" t="inlineStr">
        <is>
          <t>10000-1</t>
        </is>
      </c>
      <c r="G1618" s="5" t="inlineStr">
        <is>
          <t>BRL</t>
        </is>
      </c>
      <c r="H1618" s="9" t="n">
        <v>-34100.55</v>
      </c>
      <c r="I1618" s="16" t="n">
        <v>46160</v>
      </c>
      <c r="J1618" s="16" t="n">
        <v>46239</v>
      </c>
      <c r="K1618" s="5" t="inlineStr">
        <is>
          <t>Fatura - bruto TRANSPORTES PESADOS MINAS S A 17215</t>
        </is>
      </c>
      <c r="L1618" s="5" t="inlineStr">
        <is>
          <t>09092026</t>
        </is>
      </c>
      <c r="M1618" s="5">
        <f>IF(YEAR(I1618)&lt;=2020,"Até 2020",TEXT(YEAR(I1618),"0"))</f>
        <v/>
      </c>
      <c r="N1618" s="5">
        <f>IFERROR(INDEX(DePara!$A:$A,MATCH(TEXT(B1618,"0"),DePara!$D:$D,0)),"(sem categoria)")</f>
        <v/>
      </c>
      <c r="O1618" s="5">
        <f>IF(J1618="","",Parametros!$B$6-J1618)</f>
        <v/>
      </c>
      <c r="P1618" s="5">
        <f>IF(O1618="","",IF(O1618&gt;0,1,0))</f>
        <v/>
      </c>
    </row>
    <row r="1619">
      <c r="A1619" s="5" t="n">
        <v>2111000000</v>
      </c>
      <c r="B1619" s="5" t="inlineStr">
        <is>
          <t>104064</t>
        </is>
      </c>
      <c r="C1619" s="5" t="inlineStr">
        <is>
          <t>TRANSPORTES PESADOS MINAS S A 17215039000633</t>
        </is>
      </c>
      <c r="D1619" s="5" t="inlineStr">
        <is>
          <t>RE</t>
        </is>
      </c>
      <c r="E1619" s="5" t="n">
        <v>5010217</v>
      </c>
      <c r="F1619" s="5" t="inlineStr">
        <is>
          <t>9999-1</t>
        </is>
      </c>
      <c r="G1619" s="5" t="inlineStr">
        <is>
          <t>BRL</t>
        </is>
      </c>
      <c r="H1619" s="9" t="n">
        <v>-34100.55</v>
      </c>
      <c r="I1619" s="16" t="n">
        <v>46160</v>
      </c>
      <c r="J1619" s="16" t="n">
        <v>46239</v>
      </c>
      <c r="K1619" s="5" t="inlineStr">
        <is>
          <t>Fatura - bruto TRANSPORTES PESADOS MINAS S A 17215</t>
        </is>
      </c>
      <c r="L1619" s="5" t="inlineStr">
        <is>
          <t>09092026</t>
        </is>
      </c>
      <c r="M1619" s="5">
        <f>IF(YEAR(I1619)&lt;=2020,"Até 2020",TEXT(YEAR(I1619),"0"))</f>
        <v/>
      </c>
      <c r="N1619" s="5">
        <f>IFERROR(INDEX(DePara!$A:$A,MATCH(TEXT(B1619,"0"),DePara!$D:$D,0)),"(sem categoria)")</f>
        <v/>
      </c>
      <c r="O1619" s="5">
        <f>IF(J1619="","",Parametros!$B$6-J1619)</f>
        <v/>
      </c>
      <c r="P1619" s="5">
        <f>IF(O1619="","",IF(O1619&gt;0,1,0))</f>
        <v/>
      </c>
    </row>
    <row r="1620">
      <c r="A1620" s="5" t="n">
        <v>2111000000</v>
      </c>
      <c r="B1620" s="5" t="inlineStr">
        <is>
          <t>102071</t>
        </is>
      </c>
      <c r="C1620" s="5" t="inlineStr">
        <is>
          <t>HINE DO BRASIL IND E COM HIDR E PN</t>
        </is>
      </c>
      <c r="D1620" s="5" t="inlineStr">
        <is>
          <t>RE</t>
        </is>
      </c>
      <c r="E1620" s="5" t="n">
        <v>5010323</v>
      </c>
      <c r="F1620" s="5" t="inlineStr">
        <is>
          <t>000083013-1</t>
        </is>
      </c>
      <c r="G1620" s="5" t="inlineStr">
        <is>
          <t>BRL</t>
        </is>
      </c>
      <c r="H1620" s="9" t="n">
        <v>-11068.05</v>
      </c>
      <c r="I1620" s="16" t="n">
        <v>45012</v>
      </c>
      <c r="J1620" s="16" t="n">
        <v>45051</v>
      </c>
      <c r="K1620" s="5" t="inlineStr">
        <is>
          <t>Fatura - bruto HINE DO BRASIL IND E COM HIDR E PN</t>
        </is>
      </c>
      <c r="L1620" s="5" t="n"/>
      <c r="M1620" s="5">
        <f>IF(YEAR(I1620)&lt;=2020,"Até 2020",TEXT(YEAR(I1620),"0"))</f>
        <v/>
      </c>
      <c r="N1620" s="5">
        <f>IFERROR(INDEX(DePara!$A:$A,MATCH(TEXT(B1620,"0"),DePara!$D:$D,0)),"(sem categoria)")</f>
        <v/>
      </c>
      <c r="O1620" s="5">
        <f>IF(J1620="","",Parametros!$B$6-J1620)</f>
        <v/>
      </c>
      <c r="P1620" s="5">
        <f>IF(O1620="","",IF(O1620&gt;0,1,0))</f>
        <v/>
      </c>
    </row>
    <row r="1621">
      <c r="A1621" s="5" t="n">
        <v>2111000000</v>
      </c>
      <c r="B1621" s="5" t="inlineStr">
        <is>
          <t>101463</t>
        </is>
      </c>
      <c r="C1621" s="5" t="inlineStr">
        <is>
          <t>ZURICH MINAS BRASIL SEGUROS S A</t>
        </is>
      </c>
      <c r="D1621" s="5" t="inlineStr">
        <is>
          <t>RE</t>
        </is>
      </c>
      <c r="E1621" s="5" t="n">
        <v>5010331</v>
      </c>
      <c r="F1621" s="5" t="inlineStr">
        <is>
          <t>0250/26</t>
        </is>
      </c>
      <c r="G1621" s="5" t="inlineStr">
        <is>
          <t>BRL</t>
        </is>
      </c>
      <c r="H1621" s="9" t="n">
        <v>-647.62</v>
      </c>
      <c r="I1621" s="16" t="n">
        <v>46183</v>
      </c>
      <c r="J1621" s="16" t="n">
        <v>46213</v>
      </c>
      <c r="K1621" s="5" t="inlineStr">
        <is>
          <t>Invoice Payment. SP: 18899</t>
        </is>
      </c>
      <c r="L1621" s="5" t="inlineStr">
        <is>
          <t>0250/26</t>
        </is>
      </c>
      <c r="M1621" s="5">
        <f>IF(YEAR(I1621)&lt;=2020,"Até 2020",TEXT(YEAR(I1621),"0"))</f>
        <v/>
      </c>
      <c r="N1621" s="5">
        <f>IFERROR(INDEX(DePara!$A:$A,MATCH(TEXT(B1621,"0"),DePara!$D:$D,0)),"(sem categoria)")</f>
        <v/>
      </c>
      <c r="O1621" s="5">
        <f>IF(J1621="","",Parametros!$B$6-J1621)</f>
        <v/>
      </c>
      <c r="P1621" s="5">
        <f>IF(O1621="","",IF(O1621&gt;0,1,0))</f>
        <v/>
      </c>
    </row>
    <row r="1622">
      <c r="A1622" s="5" t="n">
        <v>2111000000</v>
      </c>
      <c r="B1622" s="5" t="inlineStr">
        <is>
          <t>101463</t>
        </is>
      </c>
      <c r="C1622" s="5" t="inlineStr">
        <is>
          <t>ZURICH MINAS BRASIL SEGUROS S A</t>
        </is>
      </c>
      <c r="D1622" s="5" t="inlineStr">
        <is>
          <t>RE</t>
        </is>
      </c>
      <c r="E1622" s="5" t="n">
        <v>5010349</v>
      </c>
      <c r="F1622" s="5" t="inlineStr">
        <is>
          <t>0270/26</t>
        </is>
      </c>
      <c r="G1622" s="5" t="inlineStr">
        <is>
          <t>BRL</t>
        </is>
      </c>
      <c r="H1622" s="9" t="n">
        <v>-0.29</v>
      </c>
      <c r="I1622" s="16" t="n">
        <v>46183</v>
      </c>
      <c r="J1622" s="16" t="n">
        <v>46213</v>
      </c>
      <c r="K1622" s="5" t="inlineStr">
        <is>
          <t>Invoice Payment. SP: 18920</t>
        </is>
      </c>
      <c r="L1622" s="5" t="inlineStr">
        <is>
          <t>0270/26</t>
        </is>
      </c>
      <c r="M1622" s="5">
        <f>IF(YEAR(I1622)&lt;=2020,"Até 2020",TEXT(YEAR(I1622),"0"))</f>
        <v/>
      </c>
      <c r="N1622" s="5">
        <f>IFERROR(INDEX(DePara!$A:$A,MATCH(TEXT(B1622,"0"),DePara!$D:$D,0)),"(sem categoria)")</f>
        <v/>
      </c>
      <c r="O1622" s="5">
        <f>IF(J1622="","",Parametros!$B$6-J1622)</f>
        <v/>
      </c>
      <c r="P1622" s="5">
        <f>IF(O1622="","",IF(O1622&gt;0,1,0))</f>
        <v/>
      </c>
    </row>
    <row r="1623">
      <c r="A1623" s="5" t="n">
        <v>2111000000</v>
      </c>
      <c r="B1623" s="5" t="inlineStr">
        <is>
          <t>101463</t>
        </is>
      </c>
      <c r="C1623" s="5" t="inlineStr">
        <is>
          <t>ZURICH MINAS BRASIL SEGUROS S A</t>
        </is>
      </c>
      <c r="D1623" s="5" t="inlineStr">
        <is>
          <t>RE</t>
        </is>
      </c>
      <c r="E1623" s="5" t="n">
        <v>5010361</v>
      </c>
      <c r="F1623" s="5" t="inlineStr">
        <is>
          <t>0204/26</t>
        </is>
      </c>
      <c r="G1623" s="5" t="inlineStr">
        <is>
          <t>BRL</t>
        </is>
      </c>
      <c r="H1623" s="9" t="n">
        <v>-708.24</v>
      </c>
      <c r="I1623" s="16" t="n">
        <v>46168</v>
      </c>
      <c r="J1623" s="16" t="n">
        <v>46213</v>
      </c>
      <c r="K1623" s="5" t="inlineStr">
        <is>
          <t>Invoice Payment. SP: 18510</t>
        </is>
      </c>
      <c r="L1623" s="5" t="inlineStr">
        <is>
          <t>0204/26</t>
        </is>
      </c>
      <c r="M1623" s="5">
        <f>IF(YEAR(I1623)&lt;=2020,"Até 2020",TEXT(YEAR(I1623),"0"))</f>
        <v/>
      </c>
      <c r="N1623" s="5">
        <f>IFERROR(INDEX(DePara!$A:$A,MATCH(TEXT(B1623,"0"),DePara!$D:$D,0)),"(sem categoria)")</f>
        <v/>
      </c>
      <c r="O1623" s="5">
        <f>IF(J1623="","",Parametros!$B$6-J1623)</f>
        <v/>
      </c>
      <c r="P1623" s="5">
        <f>IF(O1623="","",IF(O1623&gt;0,1,0))</f>
        <v/>
      </c>
    </row>
    <row r="1624">
      <c r="A1624" s="5" t="n">
        <v>2111000000</v>
      </c>
      <c r="B1624" s="5" t="inlineStr">
        <is>
          <t>101463</t>
        </is>
      </c>
      <c r="C1624" s="5" t="inlineStr">
        <is>
          <t>ZURICH MINAS BRASIL SEGUROS S A</t>
        </is>
      </c>
      <c r="D1624" s="5" t="inlineStr">
        <is>
          <t>RE</t>
        </is>
      </c>
      <c r="E1624" s="5" t="n">
        <v>5010408</v>
      </c>
      <c r="F1624" s="5" t="inlineStr">
        <is>
          <t>0164/26</t>
        </is>
      </c>
      <c r="G1624" s="5" t="inlineStr">
        <is>
          <t>BRL</t>
        </is>
      </c>
      <c r="H1624" s="9" t="n">
        <v>-21472.78</v>
      </c>
      <c r="I1624" s="16" t="n">
        <v>46181</v>
      </c>
      <c r="J1624" s="16" t="n">
        <v>46214</v>
      </c>
      <c r="K1624" s="5" t="inlineStr">
        <is>
          <t>Invoice Payment. SP: 18841</t>
        </is>
      </c>
      <c r="L1624" s="5" t="inlineStr">
        <is>
          <t>0164/26</t>
        </is>
      </c>
      <c r="M1624" s="5">
        <f>IF(YEAR(I1624)&lt;=2020,"Até 2020",TEXT(YEAR(I1624),"0"))</f>
        <v/>
      </c>
      <c r="N1624" s="5">
        <f>IFERROR(INDEX(DePara!$A:$A,MATCH(TEXT(B1624,"0"),DePara!$D:$D,0)),"(sem categoria)")</f>
        <v/>
      </c>
      <c r="O1624" s="5">
        <f>IF(J1624="","",Parametros!$B$6-J1624)</f>
        <v/>
      </c>
      <c r="P1624" s="5">
        <f>IF(O1624="","",IF(O1624&gt;0,1,0))</f>
        <v/>
      </c>
    </row>
    <row r="1625">
      <c r="A1625" s="5" t="n">
        <v>2111000000</v>
      </c>
      <c r="B1625" s="5" t="inlineStr">
        <is>
          <t>101463</t>
        </is>
      </c>
      <c r="C1625" s="5" t="inlineStr">
        <is>
          <t>ZURICH MINAS BRASIL SEGUROS S A</t>
        </is>
      </c>
      <c r="D1625" s="5" t="inlineStr">
        <is>
          <t>RE</t>
        </is>
      </c>
      <c r="E1625" s="5" t="n">
        <v>5010411</v>
      </c>
      <c r="F1625" s="5" t="inlineStr">
        <is>
          <t>0208/26</t>
        </is>
      </c>
      <c r="G1625" s="5" t="inlineStr">
        <is>
          <t>BRL</t>
        </is>
      </c>
      <c r="H1625" s="9" t="n">
        <v>-174.26</v>
      </c>
      <c r="I1625" s="16" t="n">
        <v>46184</v>
      </c>
      <c r="J1625" s="16" t="n">
        <v>46214</v>
      </c>
      <c r="K1625" s="5" t="inlineStr">
        <is>
          <t>Invoice Payment. SP: 18980</t>
        </is>
      </c>
      <c r="L1625" s="5" t="inlineStr">
        <is>
          <t>0208/26</t>
        </is>
      </c>
      <c r="M1625" s="5">
        <f>IF(YEAR(I1625)&lt;=2020,"Até 2020",TEXT(YEAR(I1625),"0"))</f>
        <v/>
      </c>
      <c r="N1625" s="5">
        <f>IFERROR(INDEX(DePara!$A:$A,MATCH(TEXT(B1625,"0"),DePara!$D:$D,0)),"(sem categoria)")</f>
        <v/>
      </c>
      <c r="O1625" s="5">
        <f>IF(J1625="","",Parametros!$B$6-J1625)</f>
        <v/>
      </c>
      <c r="P1625" s="5">
        <f>IF(O1625="","",IF(O1625&gt;0,1,0))</f>
        <v/>
      </c>
    </row>
    <row r="1626">
      <c r="A1626" s="5" t="n">
        <v>2111000000</v>
      </c>
      <c r="B1626" s="5" t="inlineStr">
        <is>
          <t>102113</t>
        </is>
      </c>
      <c r="C1626" s="5" t="inlineStr">
        <is>
          <t>3Z MOVIMENTACAO INTELIGENTE LTDA 94772233000237</t>
        </is>
      </c>
      <c r="D1626" s="5" t="inlineStr">
        <is>
          <t>RE</t>
        </is>
      </c>
      <c r="E1626" s="5" t="n">
        <v>5010638</v>
      </c>
      <c r="F1626" s="5" t="inlineStr">
        <is>
          <t>218</t>
        </is>
      </c>
      <c r="G1626" s="5" t="inlineStr">
        <is>
          <t>BRL</t>
        </is>
      </c>
      <c r="H1626" s="9" t="n">
        <v>-3873242.29</v>
      </c>
      <c r="I1626" s="16" t="n">
        <v>46182</v>
      </c>
      <c r="J1626" s="16" t="n">
        <v>46272</v>
      </c>
      <c r="K1626" s="5" t="inlineStr">
        <is>
          <t>Fatura - bruto 3Z MOVIMENTACAO INTELIGENTE LTDA 94</t>
        </is>
      </c>
      <c r="L1626" s="5" t="inlineStr">
        <is>
          <t>09092026</t>
        </is>
      </c>
      <c r="M1626" s="5">
        <f>IF(YEAR(I1626)&lt;=2020,"Até 2020",TEXT(YEAR(I1626),"0"))</f>
        <v/>
      </c>
      <c r="N1626" s="5">
        <f>IFERROR(INDEX(DePara!$A:$A,MATCH(TEXT(B1626,"0"),DePara!$D:$D,0)),"(sem categoria)")</f>
        <v/>
      </c>
      <c r="O1626" s="5">
        <f>IF(J1626="","",Parametros!$B$6-J1626)</f>
        <v/>
      </c>
      <c r="P1626" s="5">
        <f>IF(O1626="","",IF(O1626&gt;0,1,0))</f>
        <v/>
      </c>
    </row>
    <row r="1627">
      <c r="A1627" s="5" t="n">
        <v>2111000000</v>
      </c>
      <c r="B1627" s="5" t="inlineStr">
        <is>
          <t>101463</t>
        </is>
      </c>
      <c r="C1627" s="5" t="inlineStr">
        <is>
          <t>ZURICH MINAS BRASIL SEGUROS S A</t>
        </is>
      </c>
      <c r="D1627" s="5" t="inlineStr">
        <is>
          <t>RE</t>
        </is>
      </c>
      <c r="E1627" s="5" t="n">
        <v>5010825</v>
      </c>
      <c r="F1627" s="5" t="inlineStr">
        <is>
          <t>0209/26</t>
        </is>
      </c>
      <c r="G1627" s="5" t="inlineStr">
        <is>
          <t>BRL</t>
        </is>
      </c>
      <c r="H1627" s="9" t="n">
        <v>-214.58</v>
      </c>
      <c r="I1627" s="16" t="n">
        <v>46190</v>
      </c>
      <c r="J1627" s="16" t="n">
        <v>46220</v>
      </c>
      <c r="K1627" s="5" t="inlineStr">
        <is>
          <t>Invoice Payment. SP: 19079</t>
        </is>
      </c>
      <c r="L1627" s="5" t="inlineStr">
        <is>
          <t>0209/26</t>
        </is>
      </c>
      <c r="M1627" s="5">
        <f>IF(YEAR(I1627)&lt;=2020,"Até 2020",TEXT(YEAR(I1627),"0"))</f>
        <v/>
      </c>
      <c r="N1627" s="5">
        <f>IFERROR(INDEX(DePara!$A:$A,MATCH(TEXT(B1627,"0"),DePara!$D:$D,0)),"(sem categoria)")</f>
        <v/>
      </c>
      <c r="O1627" s="5">
        <f>IF(J1627="","",Parametros!$B$6-J1627)</f>
        <v/>
      </c>
      <c r="P1627" s="5">
        <f>IF(O1627="","",IF(O1627&gt;0,1,0))</f>
        <v/>
      </c>
    </row>
    <row r="1628">
      <c r="A1628" s="5" t="n">
        <v>2111000000</v>
      </c>
      <c r="B1628" s="5" t="inlineStr">
        <is>
          <t>101463</t>
        </is>
      </c>
      <c r="C1628" s="5" t="inlineStr">
        <is>
          <t>ZURICH MINAS BRASIL SEGUROS S A</t>
        </is>
      </c>
      <c r="D1628" s="5" t="inlineStr">
        <is>
          <t>RE</t>
        </is>
      </c>
      <c r="E1628" s="5" t="n">
        <v>5010913</v>
      </c>
      <c r="F1628" s="5" t="inlineStr">
        <is>
          <t>0103/26</t>
        </is>
      </c>
      <c r="G1628" s="5" t="inlineStr">
        <is>
          <t>BRL</t>
        </is>
      </c>
      <c r="H1628" s="9" t="n">
        <v>-39508.37</v>
      </c>
      <c r="I1628" s="16" t="n">
        <v>46192</v>
      </c>
      <c r="J1628" s="16" t="n">
        <v>46222</v>
      </c>
      <c r="K1628" s="5" t="inlineStr">
        <is>
          <t>Invoice Payment. SP: 19141</t>
        </is>
      </c>
      <c r="L1628" s="5" t="inlineStr">
        <is>
          <t>0103/26</t>
        </is>
      </c>
      <c r="M1628" s="5">
        <f>IF(YEAR(I1628)&lt;=2020,"Até 2020",TEXT(YEAR(I1628),"0"))</f>
        <v/>
      </c>
      <c r="N1628" s="5">
        <f>IFERROR(INDEX(DePara!$A:$A,MATCH(TEXT(B1628,"0"),DePara!$D:$D,0)),"(sem categoria)")</f>
        <v/>
      </c>
      <c r="O1628" s="5">
        <f>IF(J1628="","",Parametros!$B$6-J1628)</f>
        <v/>
      </c>
      <c r="P1628" s="5">
        <f>IF(O1628="","",IF(O1628&gt;0,1,0))</f>
        <v/>
      </c>
    </row>
    <row r="1629">
      <c r="A1629" s="5" t="n">
        <v>2111000000</v>
      </c>
      <c r="B1629" s="5" t="inlineStr">
        <is>
          <t>101463</t>
        </is>
      </c>
      <c r="C1629" s="5" t="inlineStr">
        <is>
          <t>ZURICH MINAS BRASIL SEGUROS S A</t>
        </is>
      </c>
      <c r="D1629" s="5" t="inlineStr">
        <is>
          <t>RE</t>
        </is>
      </c>
      <c r="E1629" s="5" t="n">
        <v>5010916</v>
      </c>
      <c r="F1629" s="5" t="inlineStr">
        <is>
          <t>0138/26</t>
        </is>
      </c>
      <c r="G1629" s="5" t="inlineStr">
        <is>
          <t>BRL</t>
        </is>
      </c>
      <c r="H1629" s="9" t="n">
        <v>-23703.24</v>
      </c>
      <c r="I1629" s="16" t="n">
        <v>46192</v>
      </c>
      <c r="J1629" s="16" t="n">
        <v>46222</v>
      </c>
      <c r="K1629" s="5" t="inlineStr">
        <is>
          <t>Invoice Payment. SP: 19143</t>
        </is>
      </c>
      <c r="L1629" s="5" t="inlineStr">
        <is>
          <t>0138/26</t>
        </is>
      </c>
      <c r="M1629" s="5">
        <f>IF(YEAR(I1629)&lt;=2020,"Até 2020",TEXT(YEAR(I1629),"0"))</f>
        <v/>
      </c>
      <c r="N1629" s="5">
        <f>IFERROR(INDEX(DePara!$A:$A,MATCH(TEXT(B1629,"0"),DePara!$D:$D,0)),"(sem categoria)")</f>
        <v/>
      </c>
      <c r="O1629" s="5">
        <f>IF(J1629="","",Parametros!$B$6-J1629)</f>
        <v/>
      </c>
      <c r="P1629" s="5">
        <f>IF(O1629="","",IF(O1629&gt;0,1,0))</f>
        <v/>
      </c>
    </row>
    <row r="1630">
      <c r="A1630" s="5" t="n">
        <v>2111000000</v>
      </c>
      <c r="B1630" s="5" t="inlineStr">
        <is>
          <t>101463</t>
        </is>
      </c>
      <c r="C1630" s="5" t="inlineStr">
        <is>
          <t>ZURICH MINAS BRASIL SEGUROS S A</t>
        </is>
      </c>
      <c r="D1630" s="5" t="inlineStr">
        <is>
          <t>RE</t>
        </is>
      </c>
      <c r="E1630" s="5" t="n">
        <v>5010947</v>
      </c>
      <c r="F1630" s="5" t="inlineStr">
        <is>
          <t>0214/26</t>
        </is>
      </c>
      <c r="G1630" s="5" t="inlineStr">
        <is>
          <t>BRL</t>
        </is>
      </c>
      <c r="H1630" s="9" t="n">
        <v>-9.75</v>
      </c>
      <c r="I1630" s="16" t="n">
        <v>46191</v>
      </c>
      <c r="J1630" s="16" t="n">
        <v>46224</v>
      </c>
      <c r="K1630" s="5" t="inlineStr">
        <is>
          <t>Invoice Payment. SP: 19099</t>
        </is>
      </c>
      <c r="L1630" s="5" t="inlineStr">
        <is>
          <t>0214/26</t>
        </is>
      </c>
      <c r="M1630" s="5">
        <f>IF(YEAR(I1630)&lt;=2020,"Até 2020",TEXT(YEAR(I1630),"0"))</f>
        <v/>
      </c>
      <c r="N1630" s="5">
        <f>IFERROR(INDEX(DePara!$A:$A,MATCH(TEXT(B1630,"0"),DePara!$D:$D,0)),"(sem categoria)")</f>
        <v/>
      </c>
      <c r="O1630" s="5">
        <f>IF(J1630="","",Parametros!$B$6-J1630)</f>
        <v/>
      </c>
      <c r="P1630" s="5">
        <f>IF(O1630="","",IF(O1630&gt;0,1,0))</f>
        <v/>
      </c>
    </row>
    <row r="1631">
      <c r="A1631" s="5" t="n">
        <v>2111000000</v>
      </c>
      <c r="B1631" s="5" t="inlineStr">
        <is>
          <t>102113</t>
        </is>
      </c>
      <c r="C1631" s="5" t="inlineStr">
        <is>
          <t>3Z MOVIMENTACAO INTELIGENTE LTDA 94772233000237</t>
        </is>
      </c>
      <c r="D1631" s="5" t="inlineStr">
        <is>
          <t>RE</t>
        </is>
      </c>
      <c r="E1631" s="5" t="n">
        <v>5010986</v>
      </c>
      <c r="F1631" s="5" t="inlineStr">
        <is>
          <t>231</t>
        </is>
      </c>
      <c r="G1631" s="5" t="inlineStr">
        <is>
          <t>BRL</t>
        </is>
      </c>
      <c r="H1631" s="9" t="n">
        <v>-375820</v>
      </c>
      <c r="I1631" s="16" t="n">
        <v>46189</v>
      </c>
      <c r="J1631" s="16" t="n">
        <v>46279</v>
      </c>
      <c r="K1631" s="5" t="inlineStr">
        <is>
          <t>Fatura - bruto 3Z MOVIMENTACAO INTELIGENTE LTDA 94</t>
        </is>
      </c>
      <c r="L1631" s="5" t="inlineStr">
        <is>
          <t>16092026</t>
        </is>
      </c>
      <c r="M1631" s="5">
        <f>IF(YEAR(I1631)&lt;=2020,"Até 2020",TEXT(YEAR(I1631),"0"))</f>
        <v/>
      </c>
      <c r="N1631" s="5">
        <f>IFERROR(INDEX(DePara!$A:$A,MATCH(TEXT(B1631,"0"),DePara!$D:$D,0)),"(sem categoria)")</f>
        <v/>
      </c>
      <c r="O1631" s="5">
        <f>IF(J1631="","",Parametros!$B$6-J1631)</f>
        <v/>
      </c>
      <c r="P1631" s="5">
        <f>IF(O1631="","",IF(O1631&gt;0,1,0))</f>
        <v/>
      </c>
    </row>
    <row r="1632">
      <c r="A1632" s="5" t="n">
        <v>2111000000</v>
      </c>
      <c r="B1632" s="5" t="inlineStr">
        <is>
          <t>101463</t>
        </is>
      </c>
      <c r="C1632" s="5" t="inlineStr">
        <is>
          <t>ZURICH MINAS BRASIL SEGUROS S A</t>
        </is>
      </c>
      <c r="D1632" s="5" t="inlineStr">
        <is>
          <t>RE</t>
        </is>
      </c>
      <c r="E1632" s="5" t="n">
        <v>5010988</v>
      </c>
      <c r="F1632" s="5" t="inlineStr">
        <is>
          <t>0266/26</t>
        </is>
      </c>
      <c r="G1632" s="5" t="inlineStr">
        <is>
          <t>BRL</t>
        </is>
      </c>
      <c r="H1632" s="9" t="n">
        <v>-614.9299999999999</v>
      </c>
      <c r="I1632" s="16" t="n">
        <v>46195</v>
      </c>
      <c r="J1632" s="16" t="n">
        <v>46225</v>
      </c>
      <c r="K1632" s="5" t="inlineStr">
        <is>
          <t>Invoice Payment. SP: 19160</t>
        </is>
      </c>
      <c r="L1632" s="5" t="inlineStr">
        <is>
          <t>0266/26</t>
        </is>
      </c>
      <c r="M1632" s="5">
        <f>IF(YEAR(I1632)&lt;=2020,"Até 2020",TEXT(YEAR(I1632),"0"))</f>
        <v/>
      </c>
      <c r="N1632" s="5">
        <f>IFERROR(INDEX(DePara!$A:$A,MATCH(TEXT(B1632,"0"),DePara!$D:$D,0)),"(sem categoria)")</f>
        <v/>
      </c>
      <c r="O1632" s="5">
        <f>IF(J1632="","",Parametros!$B$6-J1632)</f>
        <v/>
      </c>
      <c r="P1632" s="5">
        <f>IF(O1632="","",IF(O1632&gt;0,1,0))</f>
        <v/>
      </c>
    </row>
    <row r="1633">
      <c r="A1633" s="5" t="n">
        <v>2111000000</v>
      </c>
      <c r="B1633" s="5" t="inlineStr">
        <is>
          <t>101463</t>
        </is>
      </c>
      <c r="C1633" s="5" t="inlineStr">
        <is>
          <t>ZURICH MINAS BRASIL SEGUROS S A</t>
        </is>
      </c>
      <c r="D1633" s="5" t="inlineStr">
        <is>
          <t>RE</t>
        </is>
      </c>
      <c r="E1633" s="5" t="n">
        <v>5010992</v>
      </c>
      <c r="F1633" s="5" t="inlineStr">
        <is>
          <t>0267/26</t>
        </is>
      </c>
      <c r="G1633" s="5" t="inlineStr">
        <is>
          <t>BRL</t>
        </is>
      </c>
      <c r="H1633" s="9" t="n">
        <v>-42.35</v>
      </c>
      <c r="I1633" s="16" t="n">
        <v>46195</v>
      </c>
      <c r="J1633" s="16" t="n">
        <v>46225</v>
      </c>
      <c r="K1633" s="5" t="inlineStr">
        <is>
          <t>Invoice Payment. SP: 19162</t>
        </is>
      </c>
      <c r="L1633" s="5" t="inlineStr">
        <is>
          <t>0267/26</t>
        </is>
      </c>
      <c r="M1633" s="5">
        <f>IF(YEAR(I1633)&lt;=2020,"Até 2020",TEXT(YEAR(I1633),"0"))</f>
        <v/>
      </c>
      <c r="N1633" s="5">
        <f>IFERROR(INDEX(DePara!$A:$A,MATCH(TEXT(B1633,"0"),DePara!$D:$D,0)),"(sem categoria)")</f>
        <v/>
      </c>
      <c r="O1633" s="5">
        <f>IF(J1633="","",Parametros!$B$6-J1633)</f>
        <v/>
      </c>
      <c r="P1633" s="5">
        <f>IF(O1633="","",IF(O1633&gt;0,1,0))</f>
        <v/>
      </c>
    </row>
    <row r="1634">
      <c r="A1634" s="5" t="n">
        <v>2111000000</v>
      </c>
      <c r="B1634" s="5" t="inlineStr">
        <is>
          <t>101463</t>
        </is>
      </c>
      <c r="C1634" s="5" t="inlineStr">
        <is>
          <t>ZURICH MINAS BRASIL SEGUROS S A</t>
        </is>
      </c>
      <c r="D1634" s="5" t="inlineStr">
        <is>
          <t>RE</t>
        </is>
      </c>
      <c r="E1634" s="5" t="n">
        <v>5010996</v>
      </c>
      <c r="F1634" s="5" t="inlineStr">
        <is>
          <t>0259/26</t>
        </is>
      </c>
      <c r="G1634" s="5" t="inlineStr">
        <is>
          <t>BRL</t>
        </is>
      </c>
      <c r="H1634" s="9" t="n">
        <v>-1396.85</v>
      </c>
      <c r="I1634" s="16" t="n">
        <v>46195</v>
      </c>
      <c r="J1634" s="16" t="n">
        <v>46225</v>
      </c>
      <c r="K1634" s="5" t="inlineStr">
        <is>
          <t>Invoice Payment. SP: 19179</t>
        </is>
      </c>
      <c r="L1634" s="5" t="inlineStr">
        <is>
          <t>0259/26</t>
        </is>
      </c>
      <c r="M1634" s="5">
        <f>IF(YEAR(I1634)&lt;=2020,"Até 2020",TEXT(YEAR(I1634),"0"))</f>
        <v/>
      </c>
      <c r="N1634" s="5">
        <f>IFERROR(INDEX(DePara!$A:$A,MATCH(TEXT(B1634,"0"),DePara!$D:$D,0)),"(sem categoria)")</f>
        <v/>
      </c>
      <c r="O1634" s="5">
        <f>IF(J1634="","",Parametros!$B$6-J1634)</f>
        <v/>
      </c>
      <c r="P1634" s="5">
        <f>IF(O1634="","",IF(O1634&gt;0,1,0))</f>
        <v/>
      </c>
    </row>
    <row r="1635">
      <c r="A1635" s="5" t="n">
        <v>2111000000</v>
      </c>
      <c r="B1635" s="5" t="inlineStr">
        <is>
          <t>101463</t>
        </is>
      </c>
      <c r="C1635" s="5" t="inlineStr">
        <is>
          <t>ZURICH MINAS BRASIL SEGUROS S A</t>
        </is>
      </c>
      <c r="D1635" s="5" t="inlineStr">
        <is>
          <t>RE</t>
        </is>
      </c>
      <c r="E1635" s="5" t="n">
        <v>5011002</v>
      </c>
      <c r="F1635" s="5" t="inlineStr">
        <is>
          <t>0268/26</t>
        </is>
      </c>
      <c r="G1635" s="5" t="inlineStr">
        <is>
          <t>BRL</t>
        </is>
      </c>
      <c r="H1635" s="9" t="n">
        <v>-2.15</v>
      </c>
      <c r="I1635" s="16" t="n">
        <v>46195</v>
      </c>
      <c r="J1635" s="16" t="n">
        <v>46225</v>
      </c>
      <c r="K1635" s="5" t="inlineStr">
        <is>
          <t>Invoice Payment. SP: 19201</t>
        </is>
      </c>
      <c r="L1635" s="5" t="inlineStr">
        <is>
          <t>0268/26</t>
        </is>
      </c>
      <c r="M1635" s="5">
        <f>IF(YEAR(I1635)&lt;=2020,"Até 2020",TEXT(YEAR(I1635),"0"))</f>
        <v/>
      </c>
      <c r="N1635" s="5">
        <f>IFERROR(INDEX(DePara!$A:$A,MATCH(TEXT(B1635,"0"),DePara!$D:$D,0)),"(sem categoria)")</f>
        <v/>
      </c>
      <c r="O1635" s="5">
        <f>IF(J1635="","",Parametros!$B$6-J1635)</f>
        <v/>
      </c>
      <c r="P1635" s="5">
        <f>IF(O1635="","",IF(O1635&gt;0,1,0))</f>
        <v/>
      </c>
    </row>
    <row r="1636">
      <c r="A1636" s="5" t="n">
        <v>2111000000</v>
      </c>
      <c r="B1636" s="5" t="inlineStr">
        <is>
          <t>101463</t>
        </is>
      </c>
      <c r="C1636" s="5" t="inlineStr">
        <is>
          <t>ZURICH MINAS BRASIL SEGUROS S A</t>
        </is>
      </c>
      <c r="D1636" s="5" t="inlineStr">
        <is>
          <t>RE</t>
        </is>
      </c>
      <c r="E1636" s="5" t="n">
        <v>5011092</v>
      </c>
      <c r="F1636" s="5" t="inlineStr">
        <is>
          <t>0269/26</t>
        </is>
      </c>
      <c r="G1636" s="5" t="inlineStr">
        <is>
          <t>BRL</t>
        </is>
      </c>
      <c r="H1636" s="9" t="n">
        <v>-230.92</v>
      </c>
      <c r="I1636" s="16" t="n">
        <v>46196</v>
      </c>
      <c r="J1636" s="16" t="n">
        <v>46226</v>
      </c>
      <c r="K1636" s="5" t="inlineStr">
        <is>
          <t>Invoice Payment. SP: 19265</t>
        </is>
      </c>
      <c r="L1636" s="5" t="inlineStr">
        <is>
          <t>0269/26</t>
        </is>
      </c>
      <c r="M1636" s="5">
        <f>IF(YEAR(I1636)&lt;=2020,"Até 2020",TEXT(YEAR(I1636),"0"))</f>
        <v/>
      </c>
      <c r="N1636" s="5">
        <f>IFERROR(INDEX(DePara!$A:$A,MATCH(TEXT(B1636,"0"),DePara!$D:$D,0)),"(sem categoria)")</f>
        <v/>
      </c>
      <c r="O1636" s="5">
        <f>IF(J1636="","",Parametros!$B$6-J1636)</f>
        <v/>
      </c>
      <c r="P1636" s="5">
        <f>IF(O1636="","",IF(O1636&gt;0,1,0))</f>
        <v/>
      </c>
    </row>
    <row r="1637">
      <c r="A1637" s="5" t="n">
        <v>2111000000</v>
      </c>
      <c r="B1637" s="5" t="inlineStr">
        <is>
          <t>101463</t>
        </is>
      </c>
      <c r="C1637" s="5" t="inlineStr">
        <is>
          <t>ZURICH MINAS BRASIL SEGUROS S A</t>
        </is>
      </c>
      <c r="D1637" s="5" t="inlineStr">
        <is>
          <t>RE</t>
        </is>
      </c>
      <c r="E1637" s="5" t="n">
        <v>5011094</v>
      </c>
      <c r="F1637" s="5" t="inlineStr">
        <is>
          <t>0287/26</t>
        </is>
      </c>
      <c r="G1637" s="5" t="inlineStr">
        <is>
          <t>BRL</t>
        </is>
      </c>
      <c r="H1637" s="9" t="n">
        <v>-929.36</v>
      </c>
      <c r="I1637" s="16" t="n">
        <v>46196</v>
      </c>
      <c r="J1637" s="16" t="n">
        <v>46226</v>
      </c>
      <c r="K1637" s="5" t="inlineStr">
        <is>
          <t>Invoice Payment. SP: 19267</t>
        </is>
      </c>
      <c r="L1637" s="5" t="inlineStr">
        <is>
          <t>0287/26</t>
        </is>
      </c>
      <c r="M1637" s="5">
        <f>IF(YEAR(I1637)&lt;=2020,"Até 2020",TEXT(YEAR(I1637),"0"))</f>
        <v/>
      </c>
      <c r="N1637" s="5">
        <f>IFERROR(INDEX(DePara!$A:$A,MATCH(TEXT(B1637,"0"),DePara!$D:$D,0)),"(sem categoria)")</f>
        <v/>
      </c>
      <c r="O1637" s="5">
        <f>IF(J1637="","",Parametros!$B$6-J1637)</f>
        <v/>
      </c>
      <c r="P1637" s="5">
        <f>IF(O1637="","",IF(O1637&gt;0,1,0))</f>
        <v/>
      </c>
    </row>
    <row r="1638">
      <c r="A1638" s="5" t="n">
        <v>2111000000</v>
      </c>
      <c r="B1638" s="5" t="inlineStr">
        <is>
          <t>101463</t>
        </is>
      </c>
      <c r="C1638" s="5" t="inlineStr">
        <is>
          <t>ZURICH MINAS BRASIL SEGUROS S A</t>
        </is>
      </c>
      <c r="D1638" s="5" t="inlineStr">
        <is>
          <t>RE</t>
        </is>
      </c>
      <c r="E1638" s="5" t="n">
        <v>5011111</v>
      </c>
      <c r="F1638" s="5" t="inlineStr">
        <is>
          <t>0274/26</t>
        </is>
      </c>
      <c r="G1638" s="5" t="inlineStr">
        <is>
          <t>BRL</t>
        </is>
      </c>
      <c r="H1638" s="9" t="n">
        <v>-189.03</v>
      </c>
      <c r="I1638" s="16" t="n">
        <v>46196</v>
      </c>
      <c r="J1638" s="16" t="n">
        <v>46226</v>
      </c>
      <c r="K1638" s="5" t="inlineStr">
        <is>
          <t>Invoice Payment. SP: 19279</t>
        </is>
      </c>
      <c r="L1638" s="5" t="inlineStr">
        <is>
          <t>0274/26</t>
        </is>
      </c>
      <c r="M1638" s="5">
        <f>IF(YEAR(I1638)&lt;=2020,"Até 2020",TEXT(YEAR(I1638),"0"))</f>
        <v/>
      </c>
      <c r="N1638" s="5">
        <f>IFERROR(INDEX(DePara!$A:$A,MATCH(TEXT(B1638,"0"),DePara!$D:$D,0)),"(sem categoria)")</f>
        <v/>
      </c>
      <c r="O1638" s="5">
        <f>IF(J1638="","",Parametros!$B$6-J1638)</f>
        <v/>
      </c>
      <c r="P1638" s="5">
        <f>IF(O1638="","",IF(O1638&gt;0,1,0))</f>
        <v/>
      </c>
    </row>
    <row r="1639">
      <c r="A1639" s="5" t="n">
        <v>2111000000</v>
      </c>
      <c r="B1639" s="5" t="inlineStr">
        <is>
          <t>101463</t>
        </is>
      </c>
      <c r="C1639" s="5" t="inlineStr">
        <is>
          <t>ZURICH MINAS BRASIL SEGUROS S A</t>
        </is>
      </c>
      <c r="D1639" s="5" t="inlineStr">
        <is>
          <t>RE</t>
        </is>
      </c>
      <c r="E1639" s="5" t="n">
        <v>5011114</v>
      </c>
      <c r="F1639" s="5" t="inlineStr">
        <is>
          <t>0279/26</t>
        </is>
      </c>
      <c r="G1639" s="5" t="inlineStr">
        <is>
          <t>BRL</t>
        </is>
      </c>
      <c r="H1639" s="9" t="n">
        <v>-140.15</v>
      </c>
      <c r="I1639" s="16" t="n">
        <v>46196</v>
      </c>
      <c r="J1639" s="16" t="n">
        <v>46226</v>
      </c>
      <c r="K1639" s="5" t="inlineStr">
        <is>
          <t>Invoice Payment. SP: 19281</t>
        </is>
      </c>
      <c r="L1639" s="5" t="inlineStr">
        <is>
          <t>0279/26</t>
        </is>
      </c>
      <c r="M1639" s="5">
        <f>IF(YEAR(I1639)&lt;=2020,"Até 2020",TEXT(YEAR(I1639),"0"))</f>
        <v/>
      </c>
      <c r="N1639" s="5">
        <f>IFERROR(INDEX(DePara!$A:$A,MATCH(TEXT(B1639,"0"),DePara!$D:$D,0)),"(sem categoria)")</f>
        <v/>
      </c>
      <c r="O1639" s="5">
        <f>IF(J1639="","",Parametros!$B$6-J1639)</f>
        <v/>
      </c>
      <c r="P1639" s="5">
        <f>IF(O1639="","",IF(O1639&gt;0,1,0))</f>
        <v/>
      </c>
    </row>
    <row r="1640">
      <c r="A1640" s="5" t="n">
        <v>2111000000</v>
      </c>
      <c r="B1640" s="5" t="inlineStr">
        <is>
          <t>101463</t>
        </is>
      </c>
      <c r="C1640" s="5" t="inlineStr">
        <is>
          <t>ZURICH MINAS BRASIL SEGUROS S A</t>
        </is>
      </c>
      <c r="D1640" s="5" t="inlineStr">
        <is>
          <t>RE</t>
        </is>
      </c>
      <c r="E1640" s="5" t="n">
        <v>5011116</v>
      </c>
      <c r="F1640" s="5" t="inlineStr">
        <is>
          <t>0289/26</t>
        </is>
      </c>
      <c r="G1640" s="5" t="inlineStr">
        <is>
          <t>BRL</t>
        </is>
      </c>
      <c r="H1640" s="9" t="n">
        <v>-3096.69</v>
      </c>
      <c r="I1640" s="16" t="n">
        <v>46196</v>
      </c>
      <c r="J1640" s="16" t="n">
        <v>46226</v>
      </c>
      <c r="K1640" s="5" t="inlineStr">
        <is>
          <t>Invoice Payment. SP: 19283</t>
        </is>
      </c>
      <c r="L1640" s="5" t="inlineStr">
        <is>
          <t>0289/26</t>
        </is>
      </c>
      <c r="M1640" s="5">
        <f>IF(YEAR(I1640)&lt;=2020,"Até 2020",TEXT(YEAR(I1640),"0"))</f>
        <v/>
      </c>
      <c r="N1640" s="5">
        <f>IFERROR(INDEX(DePara!$A:$A,MATCH(TEXT(B1640,"0"),DePara!$D:$D,0)),"(sem categoria)")</f>
        <v/>
      </c>
      <c r="O1640" s="5">
        <f>IF(J1640="","",Parametros!$B$6-J1640)</f>
        <v/>
      </c>
      <c r="P1640" s="5">
        <f>IF(O1640="","",IF(O1640&gt;0,1,0))</f>
        <v/>
      </c>
    </row>
    <row r="1641">
      <c r="A1641" s="5" t="n">
        <v>2111000000</v>
      </c>
      <c r="B1641" s="5" t="inlineStr">
        <is>
          <t>101463</t>
        </is>
      </c>
      <c r="C1641" s="5" t="inlineStr">
        <is>
          <t>ZURICH MINAS BRASIL SEGUROS S A</t>
        </is>
      </c>
      <c r="D1641" s="5" t="inlineStr">
        <is>
          <t>RE</t>
        </is>
      </c>
      <c r="E1641" s="5" t="n">
        <v>5011118</v>
      </c>
      <c r="F1641" s="5" t="inlineStr">
        <is>
          <t>0304/26</t>
        </is>
      </c>
      <c r="G1641" s="5" t="inlineStr">
        <is>
          <t>BRL</t>
        </is>
      </c>
      <c r="H1641" s="9" t="n">
        <v>-348.48</v>
      </c>
      <c r="I1641" s="16" t="n">
        <v>46196</v>
      </c>
      <c r="J1641" s="16" t="n">
        <v>46226</v>
      </c>
      <c r="K1641" s="5" t="inlineStr">
        <is>
          <t>Invoice Payment. SP: 19286</t>
        </is>
      </c>
      <c r="L1641" s="5" t="inlineStr">
        <is>
          <t>0304/26</t>
        </is>
      </c>
      <c r="M1641" s="5">
        <f>IF(YEAR(I1641)&lt;=2020,"Até 2020",TEXT(YEAR(I1641),"0"))</f>
        <v/>
      </c>
      <c r="N1641" s="5">
        <f>IFERROR(INDEX(DePara!$A:$A,MATCH(TEXT(B1641,"0"),DePara!$D:$D,0)),"(sem categoria)")</f>
        <v/>
      </c>
      <c r="O1641" s="5">
        <f>IF(J1641="","",Parametros!$B$6-J1641)</f>
        <v/>
      </c>
      <c r="P1641" s="5">
        <f>IF(O1641="","",IF(O1641&gt;0,1,0))</f>
        <v/>
      </c>
    </row>
    <row r="1642">
      <c r="A1642" s="5" t="n">
        <v>2111000000</v>
      </c>
      <c r="B1642" s="5" t="inlineStr">
        <is>
          <t>102113</t>
        </is>
      </c>
      <c r="C1642" s="5" t="inlineStr">
        <is>
          <t>3Z MOVIMENTACAO INTELIGENTE LTDA 94772233000237</t>
        </is>
      </c>
      <c r="D1642" s="5" t="inlineStr">
        <is>
          <t>RE</t>
        </is>
      </c>
      <c r="E1642" s="5" t="n">
        <v>5011136</v>
      </c>
      <c r="F1642" s="5" t="inlineStr">
        <is>
          <t>219</t>
        </is>
      </c>
      <c r="G1642" s="5" t="inlineStr">
        <is>
          <t>BRL</t>
        </is>
      </c>
      <c r="H1642" s="9" t="n">
        <v>-1264397.51</v>
      </c>
      <c r="I1642" s="16" t="n">
        <v>46184</v>
      </c>
      <c r="J1642" s="16" t="n">
        <v>46272</v>
      </c>
      <c r="K1642" s="5" t="inlineStr">
        <is>
          <t>Fatura - bruto 3Z MOVIMENTACAO INTELIGENTE LTDA 94</t>
        </is>
      </c>
      <c r="L1642" s="5" t="inlineStr">
        <is>
          <t>09092026</t>
        </is>
      </c>
      <c r="M1642" s="5">
        <f>IF(YEAR(I1642)&lt;=2020,"Até 2020",TEXT(YEAR(I1642),"0"))</f>
        <v/>
      </c>
      <c r="N1642" s="5">
        <f>IFERROR(INDEX(DePara!$A:$A,MATCH(TEXT(B1642,"0"),DePara!$D:$D,0)),"(sem categoria)")</f>
        <v/>
      </c>
      <c r="O1642" s="5">
        <f>IF(J1642="","",Parametros!$B$6-J1642)</f>
        <v/>
      </c>
      <c r="P1642" s="5">
        <f>IF(O1642="","",IF(O1642&gt;0,1,0))</f>
        <v/>
      </c>
    </row>
    <row r="1643">
      <c r="A1643" s="5" t="n">
        <v>2111000000</v>
      </c>
      <c r="B1643" s="5" t="inlineStr">
        <is>
          <t>101463</t>
        </is>
      </c>
      <c r="C1643" s="5" t="inlineStr">
        <is>
          <t>ZURICH MINAS BRASIL SEGUROS S A</t>
        </is>
      </c>
      <c r="D1643" s="5" t="inlineStr">
        <is>
          <t>RE</t>
        </is>
      </c>
      <c r="E1643" s="5" t="n">
        <v>5011138</v>
      </c>
      <c r="F1643" s="5" t="inlineStr">
        <is>
          <t>0303/26</t>
        </is>
      </c>
      <c r="G1643" s="5" t="inlineStr">
        <is>
          <t>BRL</t>
        </is>
      </c>
      <c r="H1643" s="9" t="n">
        <v>-3104.59</v>
      </c>
      <c r="I1643" s="16" t="n">
        <v>46196</v>
      </c>
      <c r="J1643" s="16" t="n">
        <v>46226</v>
      </c>
      <c r="K1643" s="5" t="inlineStr">
        <is>
          <t>Invoice Payment. SP: 19299</t>
        </is>
      </c>
      <c r="L1643" s="5" t="inlineStr">
        <is>
          <t>0303/26</t>
        </is>
      </c>
      <c r="M1643" s="5">
        <f>IF(YEAR(I1643)&lt;=2020,"Até 2020",TEXT(YEAR(I1643),"0"))</f>
        <v/>
      </c>
      <c r="N1643" s="5">
        <f>IFERROR(INDEX(DePara!$A:$A,MATCH(TEXT(B1643,"0"),DePara!$D:$D,0)),"(sem categoria)")</f>
        <v/>
      </c>
      <c r="O1643" s="5">
        <f>IF(J1643="","",Parametros!$B$6-J1643)</f>
        <v/>
      </c>
      <c r="P1643" s="5">
        <f>IF(O1643="","",IF(O1643&gt;0,1,0))</f>
        <v/>
      </c>
    </row>
    <row r="1644">
      <c r="A1644" s="5" t="n">
        <v>2111000000</v>
      </c>
      <c r="B1644" s="5" t="inlineStr">
        <is>
          <t>101463</t>
        </is>
      </c>
      <c r="C1644" s="5" t="inlineStr">
        <is>
          <t>ZURICH MINAS BRASIL SEGUROS S A</t>
        </is>
      </c>
      <c r="D1644" s="5" t="inlineStr">
        <is>
          <t>RE</t>
        </is>
      </c>
      <c r="E1644" s="5" t="n">
        <v>5011213</v>
      </c>
      <c r="F1644" s="5" t="inlineStr">
        <is>
          <t>0296/26</t>
        </is>
      </c>
      <c r="G1644" s="5" t="inlineStr">
        <is>
          <t>BRL</t>
        </is>
      </c>
      <c r="H1644" s="9" t="n">
        <v>-8.949999999999999</v>
      </c>
      <c r="I1644" s="16" t="n">
        <v>46197</v>
      </c>
      <c r="J1644" s="16" t="n">
        <v>46227</v>
      </c>
      <c r="K1644" s="5" t="inlineStr">
        <is>
          <t>Invoice Payment. SP: 19319</t>
        </is>
      </c>
      <c r="L1644" s="5" t="inlineStr">
        <is>
          <t>0296/26</t>
        </is>
      </c>
      <c r="M1644" s="5">
        <f>IF(YEAR(I1644)&lt;=2020,"Até 2020",TEXT(YEAR(I1644),"0"))</f>
        <v/>
      </c>
      <c r="N1644" s="5">
        <f>IFERROR(INDEX(DePara!$A:$A,MATCH(TEXT(B1644,"0"),DePara!$D:$D,0)),"(sem categoria)")</f>
        <v/>
      </c>
      <c r="O1644" s="5">
        <f>IF(J1644="","",Parametros!$B$6-J1644)</f>
        <v/>
      </c>
      <c r="P1644" s="5">
        <f>IF(O1644="","",IF(O1644&gt;0,1,0))</f>
        <v/>
      </c>
    </row>
    <row r="1645">
      <c r="A1645" s="5" t="n">
        <v>2111000000</v>
      </c>
      <c r="B1645" s="5" t="inlineStr">
        <is>
          <t>101463</t>
        </is>
      </c>
      <c r="C1645" s="5" t="inlineStr">
        <is>
          <t>ZURICH MINAS BRASIL SEGUROS S A</t>
        </is>
      </c>
      <c r="D1645" s="5" t="inlineStr">
        <is>
          <t>RE</t>
        </is>
      </c>
      <c r="E1645" s="5" t="n">
        <v>5011219</v>
      </c>
      <c r="F1645" s="5" t="inlineStr">
        <is>
          <t>0298/26</t>
        </is>
      </c>
      <c r="G1645" s="5" t="inlineStr">
        <is>
          <t>BRL</t>
        </is>
      </c>
      <c r="H1645" s="9" t="n">
        <v>-0.9</v>
      </c>
      <c r="I1645" s="16" t="n">
        <v>46197</v>
      </c>
      <c r="J1645" s="16" t="n">
        <v>46227</v>
      </c>
      <c r="K1645" s="5" t="inlineStr">
        <is>
          <t>Invoice Payment. SP: 19339</t>
        </is>
      </c>
      <c r="L1645" s="5" t="inlineStr">
        <is>
          <t>0298/26</t>
        </is>
      </c>
      <c r="M1645" s="5">
        <f>IF(YEAR(I1645)&lt;=2020,"Até 2020",TEXT(YEAR(I1645),"0"))</f>
        <v/>
      </c>
      <c r="N1645" s="5">
        <f>IFERROR(INDEX(DePara!$A:$A,MATCH(TEXT(B1645,"0"),DePara!$D:$D,0)),"(sem categoria)")</f>
        <v/>
      </c>
      <c r="O1645" s="5">
        <f>IF(J1645="","",Parametros!$B$6-J1645)</f>
        <v/>
      </c>
      <c r="P1645" s="5">
        <f>IF(O1645="","",IF(O1645&gt;0,1,0))</f>
        <v/>
      </c>
    </row>
    <row r="1646">
      <c r="A1646" s="5" t="n">
        <v>2111000000</v>
      </c>
      <c r="B1646" s="5" t="inlineStr">
        <is>
          <t>101463</t>
        </is>
      </c>
      <c r="C1646" s="5" t="inlineStr">
        <is>
          <t>ZURICH MINAS BRASIL SEGUROS S A</t>
        </is>
      </c>
      <c r="D1646" s="5" t="inlineStr">
        <is>
          <t>RE</t>
        </is>
      </c>
      <c r="E1646" s="5" t="n">
        <v>5011221</v>
      </c>
      <c r="F1646" s="5" t="inlineStr">
        <is>
          <t>0301/26</t>
        </is>
      </c>
      <c r="G1646" s="5" t="inlineStr">
        <is>
          <t>BRL</t>
        </is>
      </c>
      <c r="H1646" s="9" t="n">
        <v>-86.76000000000001</v>
      </c>
      <c r="I1646" s="16" t="n">
        <v>46197</v>
      </c>
      <c r="J1646" s="16" t="n">
        <v>46227</v>
      </c>
      <c r="K1646" s="5" t="inlineStr">
        <is>
          <t>Invoice Payment. SP: 19341</t>
        </is>
      </c>
      <c r="L1646" s="5" t="inlineStr">
        <is>
          <t>0301/26</t>
        </is>
      </c>
      <c r="M1646" s="5">
        <f>IF(YEAR(I1646)&lt;=2020,"Até 2020",TEXT(YEAR(I1646),"0"))</f>
        <v/>
      </c>
      <c r="N1646" s="5">
        <f>IFERROR(INDEX(DePara!$A:$A,MATCH(TEXT(B1646,"0"),DePara!$D:$D,0)),"(sem categoria)")</f>
        <v/>
      </c>
      <c r="O1646" s="5">
        <f>IF(J1646="","",Parametros!$B$6-J1646)</f>
        <v/>
      </c>
      <c r="P1646" s="5">
        <f>IF(O1646="","",IF(O1646&gt;0,1,0))</f>
        <v/>
      </c>
    </row>
    <row r="1647">
      <c r="A1647" s="5" t="n">
        <v>2111000000</v>
      </c>
      <c r="B1647" s="5" t="inlineStr">
        <is>
          <t>101463</t>
        </is>
      </c>
      <c r="C1647" s="5" t="inlineStr">
        <is>
          <t>ZURICH MINAS BRASIL SEGUROS S A</t>
        </is>
      </c>
      <c r="D1647" s="5" t="inlineStr">
        <is>
          <t>RE</t>
        </is>
      </c>
      <c r="E1647" s="5" t="n">
        <v>5011225</v>
      </c>
      <c r="F1647" s="5" t="inlineStr">
        <is>
          <t>0345/26</t>
        </is>
      </c>
      <c r="G1647" s="5" t="inlineStr">
        <is>
          <t>BRL</t>
        </is>
      </c>
      <c r="H1647" s="9" t="n">
        <v>-33.69</v>
      </c>
      <c r="I1647" s="16" t="n">
        <v>46197</v>
      </c>
      <c r="J1647" s="16" t="n">
        <v>46227</v>
      </c>
      <c r="K1647" s="5" t="inlineStr">
        <is>
          <t>Invoice Payment. SP: 19359</t>
        </is>
      </c>
      <c r="L1647" s="5" t="inlineStr">
        <is>
          <t>0345/26</t>
        </is>
      </c>
      <c r="M1647" s="5">
        <f>IF(YEAR(I1647)&lt;=2020,"Até 2020",TEXT(YEAR(I1647),"0"))</f>
        <v/>
      </c>
      <c r="N1647" s="5">
        <f>IFERROR(INDEX(DePara!$A:$A,MATCH(TEXT(B1647,"0"),DePara!$D:$D,0)),"(sem categoria)")</f>
        <v/>
      </c>
      <c r="O1647" s="5">
        <f>IF(J1647="","",Parametros!$B$6-J1647)</f>
        <v/>
      </c>
      <c r="P1647" s="5">
        <f>IF(O1647="","",IF(O1647&gt;0,1,0))</f>
        <v/>
      </c>
    </row>
    <row r="1648">
      <c r="A1648" s="5" t="n">
        <v>2111000000</v>
      </c>
      <c r="B1648" s="5" t="inlineStr">
        <is>
          <t>101463</t>
        </is>
      </c>
      <c r="C1648" s="5" t="inlineStr">
        <is>
          <t>ZURICH MINAS BRASIL SEGUROS S A</t>
        </is>
      </c>
      <c r="D1648" s="5" t="inlineStr">
        <is>
          <t>RE</t>
        </is>
      </c>
      <c r="E1648" s="5" t="n">
        <v>5011229</v>
      </c>
      <c r="F1648" s="5" t="inlineStr">
        <is>
          <t>0313/26</t>
        </is>
      </c>
      <c r="G1648" s="5" t="inlineStr">
        <is>
          <t>BRL</t>
        </is>
      </c>
      <c r="H1648" s="9" t="n">
        <v>-4.42</v>
      </c>
      <c r="I1648" s="16" t="n">
        <v>46197</v>
      </c>
      <c r="J1648" s="16" t="n">
        <v>46227</v>
      </c>
      <c r="K1648" s="5" t="inlineStr">
        <is>
          <t>Invoice Payment. SP: 19361</t>
        </is>
      </c>
      <c r="L1648" s="5" t="inlineStr">
        <is>
          <t>0313/26</t>
        </is>
      </c>
      <c r="M1648" s="5">
        <f>IF(YEAR(I1648)&lt;=2020,"Até 2020",TEXT(YEAR(I1648),"0"))</f>
        <v/>
      </c>
      <c r="N1648" s="5">
        <f>IFERROR(INDEX(DePara!$A:$A,MATCH(TEXT(B1648,"0"),DePara!$D:$D,0)),"(sem categoria)")</f>
        <v/>
      </c>
      <c r="O1648" s="5">
        <f>IF(J1648="","",Parametros!$B$6-J1648)</f>
        <v/>
      </c>
      <c r="P1648" s="5">
        <f>IF(O1648="","",IF(O1648&gt;0,1,0))</f>
        <v/>
      </c>
    </row>
    <row r="1649">
      <c r="A1649" s="5" t="n">
        <v>2111000000</v>
      </c>
      <c r="B1649" s="5" t="inlineStr">
        <is>
          <t>101463</t>
        </is>
      </c>
      <c r="C1649" s="5" t="inlineStr">
        <is>
          <t>ZURICH MINAS BRASIL SEGUROS S A</t>
        </is>
      </c>
      <c r="D1649" s="5" t="inlineStr">
        <is>
          <t>RE</t>
        </is>
      </c>
      <c r="E1649" s="5" t="n">
        <v>5011235</v>
      </c>
      <c r="F1649" s="5" t="inlineStr">
        <is>
          <t>0277/26</t>
        </is>
      </c>
      <c r="G1649" s="5" t="inlineStr">
        <is>
          <t>BRL</t>
        </is>
      </c>
      <c r="H1649" s="9" t="n">
        <v>-219.85</v>
      </c>
      <c r="I1649" s="16" t="n">
        <v>46197</v>
      </c>
      <c r="J1649" s="16" t="n">
        <v>46227</v>
      </c>
      <c r="K1649" s="5" t="inlineStr">
        <is>
          <t>Invoice Payment. SP: 19363</t>
        </is>
      </c>
      <c r="L1649" s="5" t="inlineStr">
        <is>
          <t>0277/26</t>
        </is>
      </c>
      <c r="M1649" s="5">
        <f>IF(YEAR(I1649)&lt;=2020,"Até 2020",TEXT(YEAR(I1649),"0"))</f>
        <v/>
      </c>
      <c r="N1649" s="5">
        <f>IFERROR(INDEX(DePara!$A:$A,MATCH(TEXT(B1649,"0"),DePara!$D:$D,0)),"(sem categoria)")</f>
        <v/>
      </c>
      <c r="O1649" s="5">
        <f>IF(J1649="","",Parametros!$B$6-J1649)</f>
        <v/>
      </c>
      <c r="P1649" s="5">
        <f>IF(O1649="","",IF(O1649&gt;0,1,0))</f>
        <v/>
      </c>
    </row>
    <row r="1650">
      <c r="A1650" s="5" t="n">
        <v>2111000000</v>
      </c>
      <c r="B1650" s="5" t="inlineStr">
        <is>
          <t>101463</t>
        </is>
      </c>
      <c r="C1650" s="5" t="inlineStr">
        <is>
          <t>ZURICH MINAS BRASIL SEGUROS S A</t>
        </is>
      </c>
      <c r="D1650" s="5" t="inlineStr">
        <is>
          <t>RE</t>
        </is>
      </c>
      <c r="E1650" s="5" t="n">
        <v>5011256</v>
      </c>
      <c r="F1650" s="5" t="inlineStr">
        <is>
          <t>0368/26</t>
        </is>
      </c>
      <c r="G1650" s="5" t="inlineStr">
        <is>
          <t>BRL</t>
        </is>
      </c>
      <c r="H1650" s="9" t="n">
        <v>-204.33</v>
      </c>
      <c r="I1650" s="16" t="n">
        <v>46197</v>
      </c>
      <c r="J1650" s="16" t="n">
        <v>46227</v>
      </c>
      <c r="K1650" s="5" t="inlineStr">
        <is>
          <t>Invoice Payment. SP: 19399</t>
        </is>
      </c>
      <c r="L1650" s="5" t="inlineStr">
        <is>
          <t>0368/26</t>
        </is>
      </c>
      <c r="M1650" s="5">
        <f>IF(YEAR(I1650)&lt;=2020,"Até 2020",TEXT(YEAR(I1650),"0"))</f>
        <v/>
      </c>
      <c r="N1650" s="5">
        <f>IFERROR(INDEX(DePara!$A:$A,MATCH(TEXT(B1650,"0"),DePara!$D:$D,0)),"(sem categoria)")</f>
        <v/>
      </c>
      <c r="O1650" s="5">
        <f>IF(J1650="","",Parametros!$B$6-J1650)</f>
        <v/>
      </c>
      <c r="P1650" s="5">
        <f>IF(O1650="","",IF(O1650&gt;0,1,0))</f>
        <v/>
      </c>
    </row>
    <row r="1651">
      <c r="A1651" s="5" t="n">
        <v>2111000000</v>
      </c>
      <c r="B1651" s="5" t="inlineStr">
        <is>
          <t>101463</t>
        </is>
      </c>
      <c r="C1651" s="5" t="inlineStr">
        <is>
          <t>ZURICH MINAS BRASIL SEGUROS S A</t>
        </is>
      </c>
      <c r="D1651" s="5" t="inlineStr">
        <is>
          <t>RE</t>
        </is>
      </c>
      <c r="E1651" s="5" t="n">
        <v>5011260</v>
      </c>
      <c r="F1651" s="5" t="inlineStr">
        <is>
          <t>0285/26</t>
        </is>
      </c>
      <c r="G1651" s="5" t="inlineStr">
        <is>
          <t>BRL</t>
        </is>
      </c>
      <c r="H1651" s="9" t="n">
        <v>-956.35</v>
      </c>
      <c r="I1651" s="16" t="n">
        <v>46197</v>
      </c>
      <c r="J1651" s="16" t="n">
        <v>46227</v>
      </c>
      <c r="K1651" s="5" t="inlineStr">
        <is>
          <t>Invoice Payment. SP: 19420</t>
        </is>
      </c>
      <c r="L1651" s="5" t="inlineStr">
        <is>
          <t>0285/26</t>
        </is>
      </c>
      <c r="M1651" s="5">
        <f>IF(YEAR(I1651)&lt;=2020,"Até 2020",TEXT(YEAR(I1651),"0"))</f>
        <v/>
      </c>
      <c r="N1651" s="5">
        <f>IFERROR(INDEX(DePara!$A:$A,MATCH(TEXT(B1651,"0"),DePara!$D:$D,0)),"(sem categoria)")</f>
        <v/>
      </c>
      <c r="O1651" s="5">
        <f>IF(J1651="","",Parametros!$B$6-J1651)</f>
        <v/>
      </c>
      <c r="P1651" s="5">
        <f>IF(O1651="","",IF(O1651&gt;0,1,0))</f>
        <v/>
      </c>
    </row>
    <row r="1652">
      <c r="A1652" s="5" t="n">
        <v>2111000000</v>
      </c>
      <c r="B1652" s="5" t="inlineStr">
        <is>
          <t>101463</t>
        </is>
      </c>
      <c r="C1652" s="5" t="inlineStr">
        <is>
          <t>ZURICH MINAS BRASIL SEGUROS S A</t>
        </is>
      </c>
      <c r="D1652" s="5" t="inlineStr">
        <is>
          <t>RE</t>
        </is>
      </c>
      <c r="E1652" s="5" t="n">
        <v>5011305</v>
      </c>
      <c r="F1652" s="5" t="inlineStr">
        <is>
          <t>0358/26</t>
        </is>
      </c>
      <c r="G1652" s="5" t="inlineStr">
        <is>
          <t>BRL</t>
        </is>
      </c>
      <c r="H1652" s="9" t="n">
        <v>-505.17</v>
      </c>
      <c r="I1652" s="16" t="n">
        <v>46198</v>
      </c>
      <c r="J1652" s="16" t="n">
        <v>46228</v>
      </c>
      <c r="K1652" s="5" t="inlineStr">
        <is>
          <t>Invoice Payment. SP: 19479</t>
        </is>
      </c>
      <c r="L1652" s="5" t="inlineStr">
        <is>
          <t>0358/26</t>
        </is>
      </c>
      <c r="M1652" s="5">
        <f>IF(YEAR(I1652)&lt;=2020,"Até 2020",TEXT(YEAR(I1652),"0"))</f>
        <v/>
      </c>
      <c r="N1652" s="5">
        <f>IFERROR(INDEX(DePara!$A:$A,MATCH(TEXT(B1652,"0"),DePara!$D:$D,0)),"(sem categoria)")</f>
        <v/>
      </c>
      <c r="O1652" s="5">
        <f>IF(J1652="","",Parametros!$B$6-J1652)</f>
        <v/>
      </c>
      <c r="P1652" s="5">
        <f>IF(O1652="","",IF(O1652&gt;0,1,0))</f>
        <v/>
      </c>
    </row>
    <row r="1653">
      <c r="A1653" s="5" t="n">
        <v>2111000000</v>
      </c>
      <c r="B1653" s="5" t="inlineStr">
        <is>
          <t>101463</t>
        </is>
      </c>
      <c r="C1653" s="5" t="inlineStr">
        <is>
          <t>ZURICH MINAS BRASIL SEGUROS S A</t>
        </is>
      </c>
      <c r="D1653" s="5" t="inlineStr">
        <is>
          <t>RE</t>
        </is>
      </c>
      <c r="E1653" s="5" t="n">
        <v>5011309</v>
      </c>
      <c r="F1653" s="5" t="inlineStr">
        <is>
          <t>0370/26</t>
        </is>
      </c>
      <c r="G1653" s="5" t="inlineStr">
        <is>
          <t>BRL</t>
        </is>
      </c>
      <c r="H1653" s="9" t="n">
        <v>-17.9</v>
      </c>
      <c r="I1653" s="16" t="n">
        <v>46198</v>
      </c>
      <c r="J1653" s="16" t="n">
        <v>46228</v>
      </c>
      <c r="K1653" s="5" t="inlineStr">
        <is>
          <t>Invoice Payment. SP: 19481</t>
        </is>
      </c>
      <c r="L1653" s="5" t="inlineStr">
        <is>
          <t>0370/26</t>
        </is>
      </c>
      <c r="M1653" s="5">
        <f>IF(YEAR(I1653)&lt;=2020,"Até 2020",TEXT(YEAR(I1653),"0"))</f>
        <v/>
      </c>
      <c r="N1653" s="5">
        <f>IFERROR(INDEX(DePara!$A:$A,MATCH(TEXT(B1653,"0"),DePara!$D:$D,0)),"(sem categoria)")</f>
        <v/>
      </c>
      <c r="O1653" s="5">
        <f>IF(J1653="","",Parametros!$B$6-J1653)</f>
        <v/>
      </c>
      <c r="P1653" s="5">
        <f>IF(O1653="","",IF(O1653&gt;0,1,0))</f>
        <v/>
      </c>
    </row>
    <row r="1654">
      <c r="A1654" s="5" t="n">
        <v>2111000000</v>
      </c>
      <c r="B1654" s="5" t="inlineStr">
        <is>
          <t>101463</t>
        </is>
      </c>
      <c r="C1654" s="5" t="inlineStr">
        <is>
          <t>ZURICH MINAS BRASIL SEGUROS S A</t>
        </is>
      </c>
      <c r="D1654" s="5" t="inlineStr">
        <is>
          <t>RE</t>
        </is>
      </c>
      <c r="E1654" s="5" t="n">
        <v>5011316</v>
      </c>
      <c r="F1654" s="5" t="inlineStr">
        <is>
          <t>0323/26</t>
        </is>
      </c>
      <c r="G1654" s="5" t="inlineStr">
        <is>
          <t>BRL</t>
        </is>
      </c>
      <c r="H1654" s="9" t="n">
        <v>-8.539999999999999</v>
      </c>
      <c r="I1654" s="16" t="n">
        <v>46198</v>
      </c>
      <c r="J1654" s="16" t="n">
        <v>46228</v>
      </c>
      <c r="K1654" s="5" t="inlineStr">
        <is>
          <t>Invoice Payment. SP: 19483</t>
        </is>
      </c>
      <c r="L1654" s="5" t="inlineStr">
        <is>
          <t>0323/26</t>
        </is>
      </c>
      <c r="M1654" s="5">
        <f>IF(YEAR(I1654)&lt;=2020,"Até 2020",TEXT(YEAR(I1654),"0"))</f>
        <v/>
      </c>
      <c r="N1654" s="5">
        <f>IFERROR(INDEX(DePara!$A:$A,MATCH(TEXT(B1654,"0"),DePara!$D:$D,0)),"(sem categoria)")</f>
        <v/>
      </c>
      <c r="O1654" s="5">
        <f>IF(J1654="","",Parametros!$B$6-J1654)</f>
        <v/>
      </c>
      <c r="P1654" s="5">
        <f>IF(O1654="","",IF(O1654&gt;0,1,0))</f>
        <v/>
      </c>
    </row>
    <row r="1655">
      <c r="A1655" s="5" t="n">
        <v>2111000000</v>
      </c>
      <c r="B1655" s="5" t="inlineStr">
        <is>
          <t>101463</t>
        </is>
      </c>
      <c r="C1655" s="5" t="inlineStr">
        <is>
          <t>ZURICH MINAS BRASIL SEGUROS S A</t>
        </is>
      </c>
      <c r="D1655" s="5" t="inlineStr">
        <is>
          <t>RE</t>
        </is>
      </c>
      <c r="E1655" s="5" t="n">
        <v>5011322</v>
      </c>
      <c r="F1655" s="5" t="inlineStr">
        <is>
          <t>0249/26</t>
        </is>
      </c>
      <c r="G1655" s="5" t="inlineStr">
        <is>
          <t>BRL</t>
        </is>
      </c>
      <c r="H1655" s="9" t="n">
        <v>-125.56</v>
      </c>
      <c r="I1655" s="16" t="n">
        <v>46198</v>
      </c>
      <c r="J1655" s="16" t="n">
        <v>46228</v>
      </c>
      <c r="K1655" s="5" t="inlineStr">
        <is>
          <t>Invoice Payment. SP: 19485</t>
        </is>
      </c>
      <c r="L1655" s="5" t="inlineStr">
        <is>
          <t>0249/26</t>
        </is>
      </c>
      <c r="M1655" s="5">
        <f>IF(YEAR(I1655)&lt;=2020,"Até 2020",TEXT(YEAR(I1655),"0"))</f>
        <v/>
      </c>
      <c r="N1655" s="5">
        <f>IFERROR(INDEX(DePara!$A:$A,MATCH(TEXT(B1655,"0"),DePara!$D:$D,0)),"(sem categoria)")</f>
        <v/>
      </c>
      <c r="O1655" s="5">
        <f>IF(J1655="","",Parametros!$B$6-J1655)</f>
        <v/>
      </c>
      <c r="P1655" s="5">
        <f>IF(O1655="","",IF(O1655&gt;0,1,0))</f>
        <v/>
      </c>
    </row>
    <row r="1656">
      <c r="A1656" s="5" t="n">
        <v>2111000000</v>
      </c>
      <c r="B1656" s="5" t="inlineStr">
        <is>
          <t>101463</t>
        </is>
      </c>
      <c r="C1656" s="5" t="inlineStr">
        <is>
          <t>ZURICH MINAS BRASIL SEGUROS S A</t>
        </is>
      </c>
      <c r="D1656" s="5" t="inlineStr">
        <is>
          <t>RE</t>
        </is>
      </c>
      <c r="E1656" s="5" t="n">
        <v>5011323</v>
      </c>
      <c r="F1656" s="5" t="inlineStr">
        <is>
          <t>0265/26</t>
        </is>
      </c>
      <c r="G1656" s="5" t="inlineStr">
        <is>
          <t>BRL</t>
        </is>
      </c>
      <c r="H1656" s="9" t="n">
        <v>-4.33</v>
      </c>
      <c r="I1656" s="16" t="n">
        <v>46198</v>
      </c>
      <c r="J1656" s="16" t="n">
        <v>46228</v>
      </c>
      <c r="K1656" s="5" t="inlineStr">
        <is>
          <t>Invoice Payment. SP: 19487</t>
        </is>
      </c>
      <c r="L1656" s="5" t="inlineStr">
        <is>
          <t>0265/26</t>
        </is>
      </c>
      <c r="M1656" s="5">
        <f>IF(YEAR(I1656)&lt;=2020,"Até 2020",TEXT(YEAR(I1656),"0"))</f>
        <v/>
      </c>
      <c r="N1656" s="5">
        <f>IFERROR(INDEX(DePara!$A:$A,MATCH(TEXT(B1656,"0"),DePara!$D:$D,0)),"(sem categoria)")</f>
        <v/>
      </c>
      <c r="O1656" s="5">
        <f>IF(J1656="","",Parametros!$B$6-J1656)</f>
        <v/>
      </c>
      <c r="P1656" s="5">
        <f>IF(O1656="","",IF(O1656&gt;0,1,0))</f>
        <v/>
      </c>
    </row>
    <row r="1657">
      <c r="A1657" s="5" t="n">
        <v>2111000000</v>
      </c>
      <c r="B1657" s="5" t="inlineStr">
        <is>
          <t>101463</t>
        </is>
      </c>
      <c r="C1657" s="5" t="inlineStr">
        <is>
          <t>ZURICH MINAS BRASIL SEGUROS S A</t>
        </is>
      </c>
      <c r="D1657" s="5" t="inlineStr">
        <is>
          <t>RE</t>
        </is>
      </c>
      <c r="E1657" s="5" t="n">
        <v>5011325</v>
      </c>
      <c r="F1657" s="5" t="inlineStr">
        <is>
          <t>0029/26</t>
        </is>
      </c>
      <c r="G1657" s="5" t="inlineStr">
        <is>
          <t>BRL</t>
        </is>
      </c>
      <c r="H1657" s="9" t="n">
        <v>-729411.1</v>
      </c>
      <c r="I1657" s="16" t="n">
        <v>46198</v>
      </c>
      <c r="J1657" s="16" t="n">
        <v>46228</v>
      </c>
      <c r="K1657" s="5" t="inlineStr">
        <is>
          <t>Invoice Payment. SP: 19489</t>
        </is>
      </c>
      <c r="L1657" s="5" t="inlineStr">
        <is>
          <t>0029/26</t>
        </is>
      </c>
      <c r="M1657" s="5">
        <f>IF(YEAR(I1657)&lt;=2020,"Até 2020",TEXT(YEAR(I1657),"0"))</f>
        <v/>
      </c>
      <c r="N1657" s="5">
        <f>IFERROR(INDEX(DePara!$A:$A,MATCH(TEXT(B1657,"0"),DePara!$D:$D,0)),"(sem categoria)")</f>
        <v/>
      </c>
      <c r="O1657" s="5">
        <f>IF(J1657="","",Parametros!$B$6-J1657)</f>
        <v/>
      </c>
      <c r="P1657" s="5">
        <f>IF(O1657="","",IF(O1657&gt;0,1,0))</f>
        <v/>
      </c>
    </row>
    <row r="1658">
      <c r="A1658" s="5" t="n">
        <v>2111000000</v>
      </c>
      <c r="B1658" s="5" t="inlineStr">
        <is>
          <t>101463</t>
        </is>
      </c>
      <c r="C1658" s="5" t="inlineStr">
        <is>
          <t>ZURICH MINAS BRASIL SEGUROS S A</t>
        </is>
      </c>
      <c r="D1658" s="5" t="inlineStr">
        <is>
          <t>RE</t>
        </is>
      </c>
      <c r="E1658" s="5" t="n">
        <v>5011327</v>
      </c>
      <c r="F1658" s="5" t="inlineStr">
        <is>
          <t>0030/26</t>
        </is>
      </c>
      <c r="G1658" s="5" t="inlineStr">
        <is>
          <t>BRL</t>
        </is>
      </c>
      <c r="H1658" s="9" t="n">
        <v>-328033.34</v>
      </c>
      <c r="I1658" s="16" t="n">
        <v>46198</v>
      </c>
      <c r="J1658" s="16" t="n">
        <v>46228</v>
      </c>
      <c r="K1658" s="5" t="inlineStr">
        <is>
          <t>Invoice Payment. SP: 19500</t>
        </is>
      </c>
      <c r="L1658" s="5" t="inlineStr">
        <is>
          <t>0030/26</t>
        </is>
      </c>
      <c r="M1658" s="5">
        <f>IF(YEAR(I1658)&lt;=2020,"Até 2020",TEXT(YEAR(I1658),"0"))</f>
        <v/>
      </c>
      <c r="N1658" s="5">
        <f>IFERROR(INDEX(DePara!$A:$A,MATCH(TEXT(B1658,"0"),DePara!$D:$D,0)),"(sem categoria)")</f>
        <v/>
      </c>
      <c r="O1658" s="5">
        <f>IF(J1658="","",Parametros!$B$6-J1658)</f>
        <v/>
      </c>
      <c r="P1658" s="5">
        <f>IF(O1658="","",IF(O1658&gt;0,1,0))</f>
        <v/>
      </c>
    </row>
    <row r="1659">
      <c r="A1659" s="5" t="n">
        <v>2111000000</v>
      </c>
      <c r="B1659" s="5" t="inlineStr">
        <is>
          <t>101463</t>
        </is>
      </c>
      <c r="C1659" s="5" t="inlineStr">
        <is>
          <t>ZURICH MINAS BRASIL SEGUROS S A</t>
        </is>
      </c>
      <c r="D1659" s="5" t="inlineStr">
        <is>
          <t>RE</t>
        </is>
      </c>
      <c r="E1659" s="5" t="n">
        <v>5011329</v>
      </c>
      <c r="F1659" s="5" t="inlineStr">
        <is>
          <t>0031/26</t>
        </is>
      </c>
      <c r="G1659" s="5" t="inlineStr">
        <is>
          <t>BRL</t>
        </is>
      </c>
      <c r="H1659" s="9" t="n">
        <v>-599165.21</v>
      </c>
      <c r="I1659" s="16" t="n">
        <v>46198</v>
      </c>
      <c r="J1659" s="16" t="n">
        <v>46228</v>
      </c>
      <c r="K1659" s="5" t="inlineStr">
        <is>
          <t>Invoice Payment. SP: 19502</t>
        </is>
      </c>
      <c r="L1659" s="5" t="inlineStr">
        <is>
          <t>0031/26</t>
        </is>
      </c>
      <c r="M1659" s="5">
        <f>IF(YEAR(I1659)&lt;=2020,"Até 2020",TEXT(YEAR(I1659),"0"))</f>
        <v/>
      </c>
      <c r="N1659" s="5">
        <f>IFERROR(INDEX(DePara!$A:$A,MATCH(TEXT(B1659,"0"),DePara!$D:$D,0)),"(sem categoria)")</f>
        <v/>
      </c>
      <c r="O1659" s="5">
        <f>IF(J1659="","",Parametros!$B$6-J1659)</f>
        <v/>
      </c>
      <c r="P1659" s="5">
        <f>IF(O1659="","",IF(O1659&gt;0,1,0))</f>
        <v/>
      </c>
    </row>
    <row r="1660">
      <c r="A1660" s="5" t="n">
        <v>2111000000</v>
      </c>
      <c r="B1660" s="5" t="inlineStr">
        <is>
          <t>101463</t>
        </is>
      </c>
      <c r="C1660" s="5" t="inlineStr">
        <is>
          <t>ZURICH MINAS BRASIL SEGUROS S A</t>
        </is>
      </c>
      <c r="D1660" s="5" t="inlineStr">
        <is>
          <t>RE</t>
        </is>
      </c>
      <c r="E1660" s="5" t="n">
        <v>5011332</v>
      </c>
      <c r="F1660" s="5" t="inlineStr">
        <is>
          <t>0292/26</t>
        </is>
      </c>
      <c r="G1660" s="5" t="inlineStr">
        <is>
          <t>BRL</t>
        </is>
      </c>
      <c r="H1660" s="9" t="n">
        <v>-478.23</v>
      </c>
      <c r="I1660" s="16" t="n">
        <v>46198</v>
      </c>
      <c r="J1660" s="16" t="n">
        <v>46229</v>
      </c>
      <c r="K1660" s="5" t="inlineStr">
        <is>
          <t>Invoice Payment. SP: 19541</t>
        </is>
      </c>
      <c r="L1660" s="5" t="inlineStr">
        <is>
          <t>0292/26</t>
        </is>
      </c>
      <c r="M1660" s="5">
        <f>IF(YEAR(I1660)&lt;=2020,"Até 2020",TEXT(YEAR(I1660),"0"))</f>
        <v/>
      </c>
      <c r="N1660" s="5">
        <f>IFERROR(INDEX(DePara!$A:$A,MATCH(TEXT(B1660,"0"),DePara!$D:$D,0)),"(sem categoria)")</f>
        <v/>
      </c>
      <c r="O1660" s="5">
        <f>IF(J1660="","",Parametros!$B$6-J1660)</f>
        <v/>
      </c>
      <c r="P1660" s="5">
        <f>IF(O1660="","",IF(O1660&gt;0,1,0))</f>
        <v/>
      </c>
    </row>
    <row r="1661">
      <c r="A1661" s="5" t="n">
        <v>2111000000</v>
      </c>
      <c r="B1661" s="5" t="inlineStr">
        <is>
          <t>101463</t>
        </is>
      </c>
      <c r="C1661" s="5" t="inlineStr">
        <is>
          <t>ZURICH MINAS BRASIL SEGUROS S A</t>
        </is>
      </c>
      <c r="D1661" s="5" t="inlineStr">
        <is>
          <t>RE</t>
        </is>
      </c>
      <c r="E1661" s="5" t="n">
        <v>5011334</v>
      </c>
      <c r="F1661" s="5" t="inlineStr">
        <is>
          <t>0213/26</t>
        </is>
      </c>
      <c r="G1661" s="5" t="inlineStr">
        <is>
          <t>BRL</t>
        </is>
      </c>
      <c r="H1661" s="9" t="n">
        <v>-162.53</v>
      </c>
      <c r="I1661" s="16" t="n">
        <v>46198</v>
      </c>
      <c r="J1661" s="16" t="n">
        <v>46229</v>
      </c>
      <c r="K1661" s="5" t="inlineStr">
        <is>
          <t>Invoice Payment. SP: 19539</t>
        </is>
      </c>
      <c r="L1661" s="5" t="inlineStr">
        <is>
          <t>0213/26</t>
        </is>
      </c>
      <c r="M1661" s="5">
        <f>IF(YEAR(I1661)&lt;=2020,"Até 2020",TEXT(YEAR(I1661),"0"))</f>
        <v/>
      </c>
      <c r="N1661" s="5">
        <f>IFERROR(INDEX(DePara!$A:$A,MATCH(TEXT(B1661,"0"),DePara!$D:$D,0)),"(sem categoria)")</f>
        <v/>
      </c>
      <c r="O1661" s="5">
        <f>IF(J1661="","",Parametros!$B$6-J1661)</f>
        <v/>
      </c>
      <c r="P1661" s="5">
        <f>IF(O1661="","",IF(O1661&gt;0,1,0))</f>
        <v/>
      </c>
    </row>
    <row r="1662">
      <c r="A1662" s="5" t="n">
        <v>2111000000</v>
      </c>
      <c r="B1662" s="5" t="inlineStr">
        <is>
          <t>101463</t>
        </is>
      </c>
      <c r="C1662" s="5" t="inlineStr">
        <is>
          <t>ZURICH MINAS BRASIL SEGUROS S A</t>
        </is>
      </c>
      <c r="D1662" s="5" t="inlineStr">
        <is>
          <t>RE</t>
        </is>
      </c>
      <c r="E1662" s="5" t="n">
        <v>5011336</v>
      </c>
      <c r="F1662" s="5" t="inlineStr">
        <is>
          <t>0243/26</t>
        </is>
      </c>
      <c r="G1662" s="5" t="inlineStr">
        <is>
          <t>BRL</t>
        </is>
      </c>
      <c r="H1662" s="9" t="n">
        <v>-1163.08</v>
      </c>
      <c r="I1662" s="16" t="n">
        <v>46198</v>
      </c>
      <c r="J1662" s="16" t="n">
        <v>46229</v>
      </c>
      <c r="K1662" s="5" t="inlineStr">
        <is>
          <t>Invoice Payment. SP: 19519</t>
        </is>
      </c>
      <c r="L1662" s="5" t="inlineStr">
        <is>
          <t>0243/26</t>
        </is>
      </c>
      <c r="M1662" s="5">
        <f>IF(YEAR(I1662)&lt;=2020,"Até 2020",TEXT(YEAR(I1662),"0"))</f>
        <v/>
      </c>
      <c r="N1662" s="5">
        <f>IFERROR(INDEX(DePara!$A:$A,MATCH(TEXT(B1662,"0"),DePara!$D:$D,0)),"(sem categoria)")</f>
        <v/>
      </c>
      <c r="O1662" s="5">
        <f>IF(J1662="","",Parametros!$B$6-J1662)</f>
        <v/>
      </c>
      <c r="P1662" s="5">
        <f>IF(O1662="","",IF(O1662&gt;0,1,0))</f>
        <v/>
      </c>
    </row>
    <row r="1663">
      <c r="A1663" s="5" t="n">
        <v>2111000000</v>
      </c>
      <c r="B1663" s="5" t="inlineStr">
        <is>
          <t>101535</t>
        </is>
      </c>
      <c r="C1663" s="5" t="inlineStr">
        <is>
          <t>TRANSPORTES PESADOS MINAS SA 17215039001796</t>
        </is>
      </c>
      <c r="D1663" s="5" t="inlineStr">
        <is>
          <t>RE</t>
        </is>
      </c>
      <c r="E1663" s="5" t="n">
        <v>5011403</v>
      </c>
      <c r="F1663" s="5" t="inlineStr">
        <is>
          <t>26222-1</t>
        </is>
      </c>
      <c r="G1663" s="5" t="inlineStr">
        <is>
          <t>BRL</t>
        </is>
      </c>
      <c r="H1663" s="9" t="n">
        <v>-33065.9</v>
      </c>
      <c r="I1663" s="16" t="n">
        <v>46191</v>
      </c>
      <c r="J1663" s="16" t="n">
        <v>46270</v>
      </c>
      <c r="K1663" s="5" t="inlineStr">
        <is>
          <t>Fatura - bruto TRANSPORTES PESADOS MINAS SA 172150</t>
        </is>
      </c>
      <c r="L1663" s="5" t="inlineStr">
        <is>
          <t>08092026</t>
        </is>
      </c>
      <c r="M1663" s="5">
        <f>IF(YEAR(I1663)&lt;=2020,"Até 2020",TEXT(YEAR(I1663),"0"))</f>
        <v/>
      </c>
      <c r="N1663" s="5">
        <f>IFERROR(INDEX(DePara!$A:$A,MATCH(TEXT(B1663,"0"),DePara!$D:$D,0)),"(sem categoria)")</f>
        <v/>
      </c>
      <c r="O1663" s="5">
        <f>IF(J1663="","",Parametros!$B$6-J1663)</f>
        <v/>
      </c>
      <c r="P1663" s="5">
        <f>IF(O1663="","",IF(O1663&gt;0,1,0))</f>
        <v/>
      </c>
    </row>
    <row r="1664">
      <c r="A1664" s="5" t="n">
        <v>2111000000</v>
      </c>
      <c r="B1664" s="5" t="inlineStr">
        <is>
          <t>101463</t>
        </is>
      </c>
      <c r="C1664" s="5" t="inlineStr">
        <is>
          <t>ZURICH MINAS BRASIL SEGUROS S A</t>
        </is>
      </c>
      <c r="D1664" s="5" t="inlineStr">
        <is>
          <t>RE</t>
        </is>
      </c>
      <c r="E1664" s="5" t="n">
        <v>5011431</v>
      </c>
      <c r="F1664" s="5" t="inlineStr">
        <is>
          <t>0297/26</t>
        </is>
      </c>
      <c r="G1664" s="5" t="inlineStr">
        <is>
          <t>BRL</t>
        </is>
      </c>
      <c r="H1664" s="9" t="n">
        <v>-5.37</v>
      </c>
      <c r="I1664" s="16" t="n">
        <v>46199</v>
      </c>
      <c r="J1664" s="16" t="n">
        <v>46229</v>
      </c>
      <c r="K1664" s="5" t="inlineStr">
        <is>
          <t>Invoice Payment. SP: 19579</t>
        </is>
      </c>
      <c r="L1664" s="5" t="inlineStr">
        <is>
          <t>0297/26</t>
        </is>
      </c>
      <c r="M1664" s="5">
        <f>IF(YEAR(I1664)&lt;=2020,"Até 2020",TEXT(YEAR(I1664),"0"))</f>
        <v/>
      </c>
      <c r="N1664" s="5">
        <f>IFERROR(INDEX(DePara!$A:$A,MATCH(TEXT(B1664,"0"),DePara!$D:$D,0)),"(sem categoria)")</f>
        <v/>
      </c>
      <c r="O1664" s="5">
        <f>IF(J1664="","",Parametros!$B$6-J1664)</f>
        <v/>
      </c>
      <c r="P1664" s="5">
        <f>IF(O1664="","",IF(O1664&gt;0,1,0))</f>
        <v/>
      </c>
    </row>
    <row r="1665">
      <c r="A1665" s="5" t="n">
        <v>2111000000</v>
      </c>
      <c r="B1665" s="5" t="inlineStr">
        <is>
          <t>101463</t>
        </is>
      </c>
      <c r="C1665" s="5" t="inlineStr">
        <is>
          <t>ZURICH MINAS BRASIL SEGUROS S A</t>
        </is>
      </c>
      <c r="D1665" s="5" t="inlineStr">
        <is>
          <t>RE</t>
        </is>
      </c>
      <c r="E1665" s="5" t="n">
        <v>5011433</v>
      </c>
      <c r="F1665" s="5" t="inlineStr">
        <is>
          <t>0305/26</t>
        </is>
      </c>
      <c r="G1665" s="5" t="inlineStr">
        <is>
          <t>BRL</t>
        </is>
      </c>
      <c r="H1665" s="9" t="n">
        <v>-85.64</v>
      </c>
      <c r="I1665" s="16" t="n">
        <v>46199</v>
      </c>
      <c r="J1665" s="16" t="n">
        <v>46229</v>
      </c>
      <c r="K1665" s="5" t="inlineStr">
        <is>
          <t>Invoice Payment. SP: 19581</t>
        </is>
      </c>
      <c r="L1665" s="5" t="inlineStr">
        <is>
          <t>0305/26</t>
        </is>
      </c>
      <c r="M1665" s="5">
        <f>IF(YEAR(I1665)&lt;=2020,"Até 2020",TEXT(YEAR(I1665),"0"))</f>
        <v/>
      </c>
      <c r="N1665" s="5">
        <f>IFERROR(INDEX(DePara!$A:$A,MATCH(TEXT(B1665,"0"),DePara!$D:$D,0)),"(sem categoria)")</f>
        <v/>
      </c>
      <c r="O1665" s="5">
        <f>IF(J1665="","",Parametros!$B$6-J1665)</f>
        <v/>
      </c>
      <c r="P1665" s="5">
        <f>IF(O1665="","",IF(O1665&gt;0,1,0))</f>
        <v/>
      </c>
    </row>
    <row r="1666">
      <c r="A1666" s="5" t="n">
        <v>2111000000</v>
      </c>
      <c r="B1666" s="5" t="inlineStr">
        <is>
          <t>101463</t>
        </is>
      </c>
      <c r="C1666" s="5" t="inlineStr">
        <is>
          <t>ZURICH MINAS BRASIL SEGUROS S A</t>
        </is>
      </c>
      <c r="D1666" s="5" t="inlineStr">
        <is>
          <t>RE</t>
        </is>
      </c>
      <c r="E1666" s="5" t="n">
        <v>5011435</v>
      </c>
      <c r="F1666" s="5" t="inlineStr">
        <is>
          <t>0312/26</t>
        </is>
      </c>
      <c r="G1666" s="5" t="inlineStr">
        <is>
          <t>BRL</t>
        </is>
      </c>
      <c r="H1666" s="9" t="n">
        <v>-474.35</v>
      </c>
      <c r="I1666" s="16" t="n">
        <v>46199</v>
      </c>
      <c r="J1666" s="16" t="n">
        <v>46229</v>
      </c>
      <c r="K1666" s="5" t="inlineStr">
        <is>
          <t>Invoice Payment. SP: 19584</t>
        </is>
      </c>
      <c r="L1666" s="5" t="inlineStr">
        <is>
          <t>0312/26</t>
        </is>
      </c>
      <c r="M1666" s="5">
        <f>IF(YEAR(I1666)&lt;=2020,"Até 2020",TEXT(YEAR(I1666),"0"))</f>
        <v/>
      </c>
      <c r="N1666" s="5">
        <f>IFERROR(INDEX(DePara!$A:$A,MATCH(TEXT(B1666,"0"),DePara!$D:$D,0)),"(sem categoria)")</f>
        <v/>
      </c>
      <c r="O1666" s="5">
        <f>IF(J1666="","",Parametros!$B$6-J1666)</f>
        <v/>
      </c>
      <c r="P1666" s="5">
        <f>IF(O1666="","",IF(O1666&gt;0,1,0))</f>
        <v/>
      </c>
    </row>
    <row r="1667">
      <c r="A1667" s="5" t="n">
        <v>2111000000</v>
      </c>
      <c r="B1667" s="5" t="inlineStr">
        <is>
          <t>101463</t>
        </is>
      </c>
      <c r="C1667" s="5" t="inlineStr">
        <is>
          <t>ZURICH MINAS BRASIL SEGUROS S A</t>
        </is>
      </c>
      <c r="D1667" s="5" t="inlineStr">
        <is>
          <t>RE</t>
        </is>
      </c>
      <c r="E1667" s="5" t="n">
        <v>5011438</v>
      </c>
      <c r="F1667" s="5" t="inlineStr">
        <is>
          <t>0314/26</t>
        </is>
      </c>
      <c r="G1667" s="5" t="inlineStr">
        <is>
          <t>BRL</t>
        </is>
      </c>
      <c r="H1667" s="9" t="n">
        <v>-36.5</v>
      </c>
      <c r="I1667" s="16" t="n">
        <v>46199</v>
      </c>
      <c r="J1667" s="16" t="n">
        <v>46229</v>
      </c>
      <c r="K1667" s="5" t="inlineStr">
        <is>
          <t>Invoice Payment. SP: 19586</t>
        </is>
      </c>
      <c r="L1667" s="5" t="inlineStr">
        <is>
          <t>0314/26</t>
        </is>
      </c>
      <c r="M1667" s="5">
        <f>IF(YEAR(I1667)&lt;=2020,"Até 2020",TEXT(YEAR(I1667),"0"))</f>
        <v/>
      </c>
      <c r="N1667" s="5">
        <f>IFERROR(INDEX(DePara!$A:$A,MATCH(TEXT(B1667,"0"),DePara!$D:$D,0)),"(sem categoria)")</f>
        <v/>
      </c>
      <c r="O1667" s="5">
        <f>IF(J1667="","",Parametros!$B$6-J1667)</f>
        <v/>
      </c>
      <c r="P1667" s="5">
        <f>IF(O1667="","",IF(O1667&gt;0,1,0))</f>
        <v/>
      </c>
    </row>
    <row r="1668">
      <c r="A1668" s="5" t="n">
        <v>2111000000</v>
      </c>
      <c r="B1668" s="5" t="inlineStr">
        <is>
          <t>101463</t>
        </is>
      </c>
      <c r="C1668" s="5" t="inlineStr">
        <is>
          <t>ZURICH MINAS BRASIL SEGUROS S A</t>
        </is>
      </c>
      <c r="D1668" s="5" t="inlineStr">
        <is>
          <t>RE</t>
        </is>
      </c>
      <c r="E1668" s="5" t="n">
        <v>5011440</v>
      </c>
      <c r="F1668" s="5" t="inlineStr">
        <is>
          <t>0344/26</t>
        </is>
      </c>
      <c r="G1668" s="5" t="inlineStr">
        <is>
          <t>BRL</t>
        </is>
      </c>
      <c r="H1668" s="9" t="n">
        <v>-52.04</v>
      </c>
      <c r="I1668" s="16" t="n">
        <v>46199</v>
      </c>
      <c r="J1668" s="16" t="n">
        <v>46229</v>
      </c>
      <c r="K1668" s="5" t="inlineStr">
        <is>
          <t>Invoice Payment. SP: 19588</t>
        </is>
      </c>
      <c r="L1668" s="5" t="inlineStr">
        <is>
          <t>0344/26</t>
        </is>
      </c>
      <c r="M1668" s="5">
        <f>IF(YEAR(I1668)&lt;=2020,"Até 2020",TEXT(YEAR(I1668),"0"))</f>
        <v/>
      </c>
      <c r="N1668" s="5">
        <f>IFERROR(INDEX(DePara!$A:$A,MATCH(TEXT(B1668,"0"),DePara!$D:$D,0)),"(sem categoria)")</f>
        <v/>
      </c>
      <c r="O1668" s="5">
        <f>IF(J1668="","",Parametros!$B$6-J1668)</f>
        <v/>
      </c>
      <c r="P1668" s="5">
        <f>IF(O1668="","",IF(O1668&gt;0,1,0))</f>
        <v/>
      </c>
    </row>
    <row r="1669">
      <c r="A1669" s="5" t="n">
        <v>2111000000</v>
      </c>
      <c r="B1669" s="5" t="inlineStr">
        <is>
          <t>101463</t>
        </is>
      </c>
      <c r="C1669" s="5" t="inlineStr">
        <is>
          <t>ZURICH MINAS BRASIL SEGUROS S A</t>
        </is>
      </c>
      <c r="D1669" s="5" t="inlineStr">
        <is>
          <t>RE</t>
        </is>
      </c>
      <c r="E1669" s="5" t="n">
        <v>5011442</v>
      </c>
      <c r="F1669" s="5" t="inlineStr">
        <is>
          <t>0275/26</t>
        </is>
      </c>
      <c r="G1669" s="5" t="inlineStr">
        <is>
          <t>BRL</t>
        </is>
      </c>
      <c r="H1669" s="9" t="n">
        <v>-1.18</v>
      </c>
      <c r="I1669" s="16" t="n">
        <v>46199</v>
      </c>
      <c r="J1669" s="16" t="n">
        <v>46229</v>
      </c>
      <c r="K1669" s="5" t="inlineStr">
        <is>
          <t>Invoice Payment. SP: 19590</t>
        </is>
      </c>
      <c r="L1669" s="5" t="inlineStr">
        <is>
          <t>0275/26</t>
        </is>
      </c>
      <c r="M1669" s="5">
        <f>IF(YEAR(I1669)&lt;=2020,"Até 2020",TEXT(YEAR(I1669),"0"))</f>
        <v/>
      </c>
      <c r="N1669" s="5">
        <f>IFERROR(INDEX(DePara!$A:$A,MATCH(TEXT(B1669,"0"),DePara!$D:$D,0)),"(sem categoria)")</f>
        <v/>
      </c>
      <c r="O1669" s="5">
        <f>IF(J1669="","",Parametros!$B$6-J1669)</f>
        <v/>
      </c>
      <c r="P1669" s="5">
        <f>IF(O1669="","",IF(O1669&gt;0,1,0))</f>
        <v/>
      </c>
    </row>
    <row r="1670">
      <c r="A1670" s="5" t="n">
        <v>2111000000</v>
      </c>
      <c r="B1670" s="5" t="inlineStr">
        <is>
          <t>101463</t>
        </is>
      </c>
      <c r="C1670" s="5" t="inlineStr">
        <is>
          <t>ZURICH MINAS BRASIL SEGUROS S A</t>
        </is>
      </c>
      <c r="D1670" s="5" t="inlineStr">
        <is>
          <t>RE</t>
        </is>
      </c>
      <c r="E1670" s="5" t="n">
        <v>5011444</v>
      </c>
      <c r="F1670" s="5" t="inlineStr">
        <is>
          <t>0280/26</t>
        </is>
      </c>
      <c r="G1670" s="5" t="inlineStr">
        <is>
          <t>BRL</t>
        </is>
      </c>
      <c r="H1670" s="9" t="n">
        <v>-7.18</v>
      </c>
      <c r="I1670" s="16" t="n">
        <v>46199</v>
      </c>
      <c r="J1670" s="16" t="n">
        <v>46229</v>
      </c>
      <c r="K1670" s="5" t="inlineStr">
        <is>
          <t>Invoice Payment. SP: 19592</t>
        </is>
      </c>
      <c r="L1670" s="5" t="inlineStr">
        <is>
          <t>0280/26</t>
        </is>
      </c>
      <c r="M1670" s="5">
        <f>IF(YEAR(I1670)&lt;=2020,"Até 2020",TEXT(YEAR(I1670),"0"))</f>
        <v/>
      </c>
      <c r="N1670" s="5">
        <f>IFERROR(INDEX(DePara!$A:$A,MATCH(TEXT(B1670,"0"),DePara!$D:$D,0)),"(sem categoria)")</f>
        <v/>
      </c>
      <c r="O1670" s="5">
        <f>IF(J1670="","",Parametros!$B$6-J1670)</f>
        <v/>
      </c>
      <c r="P1670" s="5">
        <f>IF(O1670="","",IF(O1670&gt;0,1,0))</f>
        <v/>
      </c>
    </row>
    <row r="1671">
      <c r="A1671" s="5" t="n">
        <v>2111000000</v>
      </c>
      <c r="B1671" s="5" t="inlineStr">
        <is>
          <t>101463</t>
        </is>
      </c>
      <c r="C1671" s="5" t="inlineStr">
        <is>
          <t>ZURICH MINAS BRASIL SEGUROS S A</t>
        </is>
      </c>
      <c r="D1671" s="5" t="inlineStr">
        <is>
          <t>RE</t>
        </is>
      </c>
      <c r="E1671" s="5" t="n">
        <v>5011446</v>
      </c>
      <c r="F1671" s="5" t="inlineStr">
        <is>
          <t>0324/26</t>
        </is>
      </c>
      <c r="G1671" s="5" t="inlineStr">
        <is>
          <t>BRL</t>
        </is>
      </c>
      <c r="H1671" s="9" t="n">
        <v>-16.31</v>
      </c>
      <c r="I1671" s="16" t="n">
        <v>46199</v>
      </c>
      <c r="J1671" s="16" t="n">
        <v>46229</v>
      </c>
      <c r="K1671" s="5" t="inlineStr">
        <is>
          <t>Invoice Payment. SP: 19594</t>
        </is>
      </c>
      <c r="L1671" s="5" t="inlineStr">
        <is>
          <t>0324/26</t>
        </is>
      </c>
      <c r="M1671" s="5">
        <f>IF(YEAR(I1671)&lt;=2020,"Até 2020",TEXT(YEAR(I1671),"0"))</f>
        <v/>
      </c>
      <c r="N1671" s="5">
        <f>IFERROR(INDEX(DePara!$A:$A,MATCH(TEXT(B1671,"0"),DePara!$D:$D,0)),"(sem categoria)")</f>
        <v/>
      </c>
      <c r="O1671" s="5">
        <f>IF(J1671="","",Parametros!$B$6-J1671)</f>
        <v/>
      </c>
      <c r="P1671" s="5">
        <f>IF(O1671="","",IF(O1671&gt;0,1,0))</f>
        <v/>
      </c>
    </row>
    <row r="1672">
      <c r="A1672" s="5" t="n">
        <v>2111000000</v>
      </c>
      <c r="B1672" s="5" t="inlineStr">
        <is>
          <t>101463</t>
        </is>
      </c>
      <c r="C1672" s="5" t="inlineStr">
        <is>
          <t>ZURICH MINAS BRASIL SEGUROS S A</t>
        </is>
      </c>
      <c r="D1672" s="5" t="inlineStr">
        <is>
          <t>RE</t>
        </is>
      </c>
      <c r="E1672" s="5" t="n">
        <v>5011448</v>
      </c>
      <c r="F1672" s="5" t="inlineStr">
        <is>
          <t>0346/26</t>
        </is>
      </c>
      <c r="G1672" s="5" t="inlineStr">
        <is>
          <t>BRL</t>
        </is>
      </c>
      <c r="H1672" s="9" t="n">
        <v>-167.22</v>
      </c>
      <c r="I1672" s="16" t="n">
        <v>46199</v>
      </c>
      <c r="J1672" s="16" t="n">
        <v>46229</v>
      </c>
      <c r="K1672" s="5" t="inlineStr">
        <is>
          <t>Invoice Payment. SP: 19596</t>
        </is>
      </c>
      <c r="L1672" s="5" t="inlineStr">
        <is>
          <t>0346/26</t>
        </is>
      </c>
      <c r="M1672" s="5">
        <f>IF(YEAR(I1672)&lt;=2020,"Até 2020",TEXT(YEAR(I1672),"0"))</f>
        <v/>
      </c>
      <c r="N1672" s="5">
        <f>IFERROR(INDEX(DePara!$A:$A,MATCH(TEXT(B1672,"0"),DePara!$D:$D,0)),"(sem categoria)")</f>
        <v/>
      </c>
      <c r="O1672" s="5">
        <f>IF(J1672="","",Parametros!$B$6-J1672)</f>
        <v/>
      </c>
      <c r="P1672" s="5">
        <f>IF(O1672="","",IF(O1672&gt;0,1,0))</f>
        <v/>
      </c>
    </row>
    <row r="1673">
      <c r="A1673" s="5" t="n">
        <v>2111000000</v>
      </c>
      <c r="B1673" s="5" t="inlineStr">
        <is>
          <t>101463</t>
        </is>
      </c>
      <c r="C1673" s="5" t="inlineStr">
        <is>
          <t>ZURICH MINAS BRASIL SEGUROS S A</t>
        </is>
      </c>
      <c r="D1673" s="5" t="inlineStr">
        <is>
          <t>RE</t>
        </is>
      </c>
      <c r="E1673" s="5" t="n">
        <v>5011595</v>
      </c>
      <c r="F1673" s="5" t="inlineStr">
        <is>
          <t>0030/26E</t>
        </is>
      </c>
      <c r="G1673" s="5" t="inlineStr">
        <is>
          <t>BRL</t>
        </is>
      </c>
      <c r="H1673" s="9" t="n">
        <v>-4716.33</v>
      </c>
      <c r="I1673" s="16" t="n">
        <v>46099</v>
      </c>
      <c r="J1673" s="16" t="n">
        <v>46201</v>
      </c>
      <c r="K1673" s="5" t="inlineStr">
        <is>
          <t>Invoice Payment. SP: 16083</t>
        </is>
      </c>
      <c r="L1673" s="5" t="inlineStr">
        <is>
          <t>0030/26E</t>
        </is>
      </c>
      <c r="M1673" s="5">
        <f>IF(YEAR(I1673)&lt;=2020,"Até 2020",TEXT(YEAR(I1673),"0"))</f>
        <v/>
      </c>
      <c r="N1673" s="5">
        <f>IFERROR(INDEX(DePara!$A:$A,MATCH(TEXT(B1673,"0"),DePara!$D:$D,0)),"(sem categoria)")</f>
        <v/>
      </c>
      <c r="O1673" s="5">
        <f>IF(J1673="","",Parametros!$B$6-J1673)</f>
        <v/>
      </c>
      <c r="P1673" s="5">
        <f>IF(O1673="","",IF(O1673&gt;0,1,0))</f>
        <v/>
      </c>
    </row>
    <row r="1674">
      <c r="A1674" s="5" t="n">
        <v>2111000000</v>
      </c>
      <c r="B1674" s="5" t="inlineStr">
        <is>
          <t>102105</t>
        </is>
      </c>
      <c r="C1674" s="5" t="inlineStr">
        <is>
          <t>THOMSON REUTERS BRASIL C T LTDA</t>
        </is>
      </c>
      <c r="D1674" s="5" t="inlineStr">
        <is>
          <t>RE</t>
        </is>
      </c>
      <c r="E1674" s="5" t="n">
        <v>5011764</v>
      </c>
      <c r="F1674" s="5" t="inlineStr">
        <is>
          <t>218705</t>
        </is>
      </c>
      <c r="G1674" s="5" t="inlineStr">
        <is>
          <t>BRL</t>
        </is>
      </c>
      <c r="H1674" s="9" t="n">
        <v>-14125.29</v>
      </c>
      <c r="I1674" s="16" t="n">
        <v>46204</v>
      </c>
      <c r="J1674" s="16" t="n">
        <v>46294</v>
      </c>
      <c r="K1674" s="5" t="inlineStr">
        <is>
          <t>Fatura - bruto THOMSON REUTERS BRASIL C T LTDA 218</t>
        </is>
      </c>
      <c r="L1674" s="5" t="inlineStr">
        <is>
          <t>23092026</t>
        </is>
      </c>
      <c r="M1674" s="5">
        <f>IF(YEAR(I1674)&lt;=2020,"Até 2020",TEXT(YEAR(I1674),"0"))</f>
        <v/>
      </c>
      <c r="N1674" s="5">
        <f>IFERROR(INDEX(DePara!$A:$A,MATCH(TEXT(B1674,"0"),DePara!$D:$D,0)),"(sem categoria)")</f>
        <v/>
      </c>
      <c r="O1674" s="5">
        <f>IF(J1674="","",Parametros!$B$6-J1674)</f>
        <v/>
      </c>
      <c r="P1674" s="5">
        <f>IF(O1674="","",IF(O1674&gt;0,1,0))</f>
        <v/>
      </c>
    </row>
    <row r="1675">
      <c r="A1675" s="5" t="n">
        <v>2111000000</v>
      </c>
      <c r="B1675" s="5" t="inlineStr">
        <is>
          <t>101463</t>
        </is>
      </c>
      <c r="C1675" s="5" t="inlineStr">
        <is>
          <t>ZURICH MINAS BRASIL SEGUROS S A</t>
        </is>
      </c>
      <c r="D1675" s="5" t="inlineStr">
        <is>
          <t>RE</t>
        </is>
      </c>
      <c r="E1675" s="5" t="n">
        <v>5011791</v>
      </c>
      <c r="F1675" s="5" t="inlineStr">
        <is>
          <t>0871/25</t>
        </is>
      </c>
      <c r="G1675" s="5" t="inlineStr">
        <is>
          <t>BRL</t>
        </is>
      </c>
      <c r="H1675" s="9" t="n">
        <v>-4249.49</v>
      </c>
      <c r="I1675" s="16" t="n">
        <v>46104</v>
      </c>
      <c r="J1675" s="16" t="n">
        <v>46235</v>
      </c>
      <c r="K1675" s="5" t="inlineStr">
        <is>
          <t>Invoice Payment. SP: 16268</t>
        </is>
      </c>
      <c r="L1675" s="5" t="inlineStr">
        <is>
          <t>0871/25</t>
        </is>
      </c>
      <c r="M1675" s="5">
        <f>IF(YEAR(I1675)&lt;=2020,"Até 2020",TEXT(YEAR(I1675),"0"))</f>
        <v/>
      </c>
      <c r="N1675" s="5">
        <f>IFERROR(INDEX(DePara!$A:$A,MATCH(TEXT(B1675,"0"),DePara!$D:$D,0)),"(sem categoria)")</f>
        <v/>
      </c>
      <c r="O1675" s="5">
        <f>IF(J1675="","",Parametros!$B$6-J1675)</f>
        <v/>
      </c>
      <c r="P1675" s="5">
        <f>IF(O1675="","",IF(O1675&gt;0,1,0))</f>
        <v/>
      </c>
    </row>
    <row r="1676">
      <c r="A1676" s="5" t="n">
        <v>2111000000</v>
      </c>
      <c r="B1676" s="5" t="inlineStr">
        <is>
          <t>101463</t>
        </is>
      </c>
      <c r="C1676" s="5" t="inlineStr">
        <is>
          <t>ZURICH MINAS BRASIL SEGUROS S A</t>
        </is>
      </c>
      <c r="D1676" s="5" t="inlineStr">
        <is>
          <t>RE</t>
        </is>
      </c>
      <c r="E1676" s="5" t="n">
        <v>5011810</v>
      </c>
      <c r="F1676" s="5" t="inlineStr">
        <is>
          <t>0354/26</t>
        </is>
      </c>
      <c r="G1676" s="5" t="inlineStr">
        <is>
          <t>BRL</t>
        </is>
      </c>
      <c r="H1676" s="9" t="n">
        <v>-49.97</v>
      </c>
      <c r="I1676" s="16" t="n">
        <v>46197</v>
      </c>
      <c r="J1676" s="16" t="n">
        <v>46235</v>
      </c>
      <c r="K1676" s="5" t="inlineStr">
        <is>
          <t>Invoice Payment. SP: 19459</t>
        </is>
      </c>
      <c r="L1676" s="5" t="inlineStr">
        <is>
          <t>0354/26</t>
        </is>
      </c>
      <c r="M1676" s="5">
        <f>IF(YEAR(I1676)&lt;=2020,"Até 2020",TEXT(YEAR(I1676),"0"))</f>
        <v/>
      </c>
      <c r="N1676" s="5">
        <f>IFERROR(INDEX(DePara!$A:$A,MATCH(TEXT(B1676,"0"),DePara!$D:$D,0)),"(sem categoria)")</f>
        <v/>
      </c>
      <c r="O1676" s="5">
        <f>IF(J1676="","",Parametros!$B$6-J1676)</f>
        <v/>
      </c>
      <c r="P1676" s="5">
        <f>IF(O1676="","",IF(O1676&gt;0,1,0))</f>
        <v/>
      </c>
    </row>
    <row r="1677">
      <c r="A1677" s="5" t="n">
        <v>2111000000</v>
      </c>
      <c r="B1677" s="5" t="inlineStr">
        <is>
          <t>101463</t>
        </is>
      </c>
      <c r="C1677" s="5" t="inlineStr">
        <is>
          <t>ZURICH MINAS BRASIL SEGUROS S A</t>
        </is>
      </c>
      <c r="D1677" s="5" t="inlineStr">
        <is>
          <t>RE</t>
        </is>
      </c>
      <c r="E1677" s="5" t="n">
        <v>5011811</v>
      </c>
      <c r="F1677" s="5" t="inlineStr">
        <is>
          <t>0939/25</t>
        </is>
      </c>
      <c r="G1677" s="5" t="inlineStr">
        <is>
          <t>BRL</t>
        </is>
      </c>
      <c r="H1677" s="9" t="n">
        <v>-482.58</v>
      </c>
      <c r="I1677" s="16" t="n">
        <v>46160</v>
      </c>
      <c r="J1677" s="16" t="n">
        <v>46235</v>
      </c>
      <c r="K1677" s="5" t="inlineStr">
        <is>
          <t>Invoice Payment. SP: 18183</t>
        </is>
      </c>
      <c r="L1677" s="5" t="inlineStr">
        <is>
          <t>0939/25</t>
        </is>
      </c>
      <c r="M1677" s="5">
        <f>IF(YEAR(I1677)&lt;=2020,"Até 2020",TEXT(YEAR(I1677),"0"))</f>
        <v/>
      </c>
      <c r="N1677" s="5">
        <f>IFERROR(INDEX(DePara!$A:$A,MATCH(TEXT(B1677,"0"),DePara!$D:$D,0)),"(sem categoria)")</f>
        <v/>
      </c>
      <c r="O1677" s="5">
        <f>IF(J1677="","",Parametros!$B$6-J1677)</f>
        <v/>
      </c>
      <c r="P1677" s="5">
        <f>IF(O1677="","",IF(O1677&gt;0,1,0))</f>
        <v/>
      </c>
    </row>
    <row r="1678">
      <c r="A1678" s="5" t="n">
        <v>2111000000</v>
      </c>
      <c r="B1678" s="5" t="inlineStr">
        <is>
          <t>101560</t>
        </is>
      </c>
      <c r="C1678" s="5" t="inlineStr">
        <is>
          <t>SINDICATO DOS DESPACHANTES ADUANEIR DE SAO PAULO SINDASP</t>
        </is>
      </c>
      <c r="D1678" s="5" t="inlineStr">
        <is>
          <t>RE</t>
        </is>
      </c>
      <c r="E1678" s="5" t="n">
        <v>5011856</v>
      </c>
      <c r="F1678" s="5" t="inlineStr">
        <is>
          <t>0127/25</t>
        </is>
      </c>
      <c r="G1678" s="5" t="inlineStr">
        <is>
          <t>BRL</t>
        </is>
      </c>
      <c r="H1678" s="9" t="n">
        <v>-500</v>
      </c>
      <c r="I1678" s="16" t="n">
        <v>45764</v>
      </c>
      <c r="J1678" s="16" t="n">
        <v>46236</v>
      </c>
      <c r="K1678" s="5" t="inlineStr">
        <is>
          <t>Invoice Payment. SP: 7651</t>
        </is>
      </c>
      <c r="L1678" s="5" t="inlineStr">
        <is>
          <t>0127/25</t>
        </is>
      </c>
      <c r="M1678" s="5">
        <f>IF(YEAR(I1678)&lt;=2020,"Até 2020",TEXT(YEAR(I1678),"0"))</f>
        <v/>
      </c>
      <c r="N1678" s="5">
        <f>IFERROR(INDEX(DePara!$A:$A,MATCH(TEXT(B1678,"0"),DePara!$D:$D,0)),"(sem categoria)")</f>
        <v/>
      </c>
      <c r="O1678" s="5">
        <f>IF(J1678="","",Parametros!$B$6-J1678)</f>
        <v/>
      </c>
      <c r="P1678" s="5">
        <f>IF(O1678="","",IF(O1678&gt;0,1,0))</f>
        <v/>
      </c>
    </row>
    <row r="1679">
      <c r="A1679" s="5" t="n">
        <v>2111000000</v>
      </c>
      <c r="B1679" s="5" t="inlineStr">
        <is>
          <t>100621</t>
        </is>
      </c>
      <c r="C1679" s="5" t="inlineStr">
        <is>
          <t>CALTER ENGENHARIA LTDA</t>
        </is>
      </c>
      <c r="D1679" s="5" t="inlineStr">
        <is>
          <t>RE</t>
        </is>
      </c>
      <c r="E1679" s="5" t="n">
        <v>5011873</v>
      </c>
      <c r="F1679" s="5" t="inlineStr">
        <is>
          <t>29</t>
        </is>
      </c>
      <c r="G1679" s="5" t="inlineStr">
        <is>
          <t>BRL</t>
        </is>
      </c>
      <c r="H1679" s="9" t="n">
        <v>-89551.08</v>
      </c>
      <c r="I1679" s="16" t="n">
        <v>46191</v>
      </c>
      <c r="J1679" s="16" t="n">
        <v>46270</v>
      </c>
      <c r="K1679" s="5" t="inlineStr">
        <is>
          <t>Fatura - bruto CALTER ENGENHARIA LTDA 29</t>
        </is>
      </c>
      <c r="L1679" s="5" t="inlineStr">
        <is>
          <t>08092026</t>
        </is>
      </c>
      <c r="M1679" s="5">
        <f>IF(YEAR(I1679)&lt;=2020,"Até 2020",TEXT(YEAR(I1679),"0"))</f>
        <v/>
      </c>
      <c r="N1679" s="5">
        <f>IFERROR(INDEX(DePara!$A:$A,MATCH(TEXT(B1679,"0"),DePara!$D:$D,0)),"(sem categoria)")</f>
        <v/>
      </c>
      <c r="O1679" s="5">
        <f>IF(J1679="","",Parametros!$B$6-J1679)</f>
        <v/>
      </c>
      <c r="P1679" s="5">
        <f>IF(O1679="","",IF(O1679&gt;0,1,0))</f>
        <v/>
      </c>
    </row>
    <row r="1680">
      <c r="A1680" s="5" t="n">
        <v>2111000000</v>
      </c>
      <c r="B1680" s="5" t="inlineStr">
        <is>
          <t>100621</t>
        </is>
      </c>
      <c r="C1680" s="5" t="inlineStr">
        <is>
          <t>CALTER ENGENHARIA LTDA</t>
        </is>
      </c>
      <c r="D1680" s="5" t="inlineStr">
        <is>
          <t>RE</t>
        </is>
      </c>
      <c r="E1680" s="5" t="n">
        <v>5011874</v>
      </c>
      <c r="F1680" s="5" t="inlineStr">
        <is>
          <t>31</t>
        </is>
      </c>
      <c r="G1680" s="5" t="inlineStr">
        <is>
          <t>BRL</t>
        </is>
      </c>
      <c r="H1680" s="9" t="n">
        <v>-22405.41</v>
      </c>
      <c r="I1680" s="16" t="n">
        <v>46191</v>
      </c>
      <c r="J1680" s="16" t="n">
        <v>46270</v>
      </c>
      <c r="K1680" s="5" t="inlineStr">
        <is>
          <t>Fatura - bruto CALTER ENGENHARIA LTDA 31</t>
        </is>
      </c>
      <c r="L1680" s="5" t="inlineStr">
        <is>
          <t>08092026</t>
        </is>
      </c>
      <c r="M1680" s="5">
        <f>IF(YEAR(I1680)&lt;=2020,"Até 2020",TEXT(YEAR(I1680),"0"))</f>
        <v/>
      </c>
      <c r="N1680" s="5">
        <f>IFERROR(INDEX(DePara!$A:$A,MATCH(TEXT(B1680,"0"),DePara!$D:$D,0)),"(sem categoria)")</f>
        <v/>
      </c>
      <c r="O1680" s="5">
        <f>IF(J1680="","",Parametros!$B$6-J1680)</f>
        <v/>
      </c>
      <c r="P1680" s="5">
        <f>IF(O1680="","",IF(O1680&gt;0,1,0))</f>
        <v/>
      </c>
    </row>
    <row r="1681">
      <c r="A1681" s="5" t="n">
        <v>2111000000</v>
      </c>
      <c r="B1681" s="5" t="inlineStr">
        <is>
          <t>101333</t>
        </is>
      </c>
      <c r="C1681" s="5" t="inlineStr">
        <is>
          <t>CONCESSIONARIA DO AEROPORTO DE SALV</t>
        </is>
      </c>
      <c r="D1681" s="5" t="inlineStr">
        <is>
          <t>RE</t>
        </is>
      </c>
      <c r="E1681" s="5" t="n">
        <v>5011882</v>
      </c>
      <c r="F1681" s="5" t="inlineStr">
        <is>
          <t>1183/24</t>
        </is>
      </c>
      <c r="G1681" s="5" t="inlineStr">
        <is>
          <t>BRL</t>
        </is>
      </c>
      <c r="H1681" s="9" t="n">
        <v>-6737.27</v>
      </c>
      <c r="I1681" s="16" t="n">
        <v>45684</v>
      </c>
      <c r="J1681" s="16" t="n">
        <v>46236</v>
      </c>
      <c r="K1681" s="5" t="inlineStr">
        <is>
          <t>Invoice Payment. SP: 4521</t>
        </is>
      </c>
      <c r="L1681" s="5" t="inlineStr">
        <is>
          <t>1183/24</t>
        </is>
      </c>
      <c r="M1681" s="5">
        <f>IF(YEAR(I1681)&lt;=2020,"Até 2020",TEXT(YEAR(I1681),"0"))</f>
        <v/>
      </c>
      <c r="N1681" s="5">
        <f>IFERROR(INDEX(DePara!$A:$A,MATCH(TEXT(B1681,"0"),DePara!$D:$D,0)),"(sem categoria)")</f>
        <v/>
      </c>
      <c r="O1681" s="5">
        <f>IF(J1681="","",Parametros!$B$6-J1681)</f>
        <v/>
      </c>
      <c r="P1681" s="5">
        <f>IF(O1681="","",IF(O1681&gt;0,1,0))</f>
        <v/>
      </c>
    </row>
    <row r="1682">
      <c r="A1682" s="5" t="n">
        <v>2111000000</v>
      </c>
      <c r="B1682" s="5" t="inlineStr">
        <is>
          <t>101463</t>
        </is>
      </c>
      <c r="C1682" s="5" t="inlineStr">
        <is>
          <t>ZURICH MINAS BRASIL SEGUROS S A</t>
        </is>
      </c>
      <c r="D1682" s="5" t="inlineStr">
        <is>
          <t>RE</t>
        </is>
      </c>
      <c r="E1682" s="5" t="n">
        <v>5011892</v>
      </c>
      <c r="F1682" s="5" t="inlineStr">
        <is>
          <t>0031/26E</t>
        </is>
      </c>
      <c r="G1682" s="5" t="inlineStr">
        <is>
          <t>BRL</t>
        </is>
      </c>
      <c r="H1682" s="9" t="n">
        <v>-7106.08</v>
      </c>
      <c r="I1682" s="16" t="n">
        <v>46099</v>
      </c>
      <c r="J1682" s="16" t="n">
        <v>46206</v>
      </c>
      <c r="K1682" s="5" t="inlineStr">
        <is>
          <t>Invoice Payment. SP: 16084</t>
        </is>
      </c>
      <c r="L1682" s="5" t="inlineStr">
        <is>
          <t>0031/26E</t>
        </is>
      </c>
      <c r="M1682" s="5">
        <f>IF(YEAR(I1682)&lt;=2020,"Até 2020",TEXT(YEAR(I1682),"0"))</f>
        <v/>
      </c>
      <c r="N1682" s="5">
        <f>IFERROR(INDEX(DePara!$A:$A,MATCH(TEXT(B1682,"0"),DePara!$D:$D,0)),"(sem categoria)")</f>
        <v/>
      </c>
      <c r="O1682" s="5">
        <f>IF(J1682="","",Parametros!$B$6-J1682)</f>
        <v/>
      </c>
      <c r="P1682" s="5">
        <f>IF(O1682="","",IF(O1682&gt;0,1,0))</f>
        <v/>
      </c>
    </row>
    <row r="1683">
      <c r="A1683" s="5" t="n">
        <v>2111000000</v>
      </c>
      <c r="B1683" s="5" t="inlineStr">
        <is>
          <t>101463</t>
        </is>
      </c>
      <c r="C1683" s="5" t="inlineStr">
        <is>
          <t>ZURICH MINAS BRASIL SEGUROS S A</t>
        </is>
      </c>
      <c r="D1683" s="5" t="inlineStr">
        <is>
          <t>RE</t>
        </is>
      </c>
      <c r="E1683" s="5" t="n">
        <v>5011894</v>
      </c>
      <c r="F1683" s="5" t="inlineStr">
        <is>
          <t>0044/26</t>
        </is>
      </c>
      <c r="G1683" s="5" t="inlineStr">
        <is>
          <t>BRL</t>
        </is>
      </c>
      <c r="H1683" s="9" t="n">
        <v>-4029.38</v>
      </c>
      <c r="I1683" s="16" t="n">
        <v>46113</v>
      </c>
      <c r="J1683" s="16" t="n">
        <v>46236</v>
      </c>
      <c r="K1683" s="5" t="inlineStr">
        <is>
          <t>Invoice Payment. SP: 16540</t>
        </is>
      </c>
      <c r="L1683" s="5" t="inlineStr">
        <is>
          <t>0044/26</t>
        </is>
      </c>
      <c r="M1683" s="5">
        <f>IF(YEAR(I1683)&lt;=2020,"Até 2020",TEXT(YEAR(I1683),"0"))</f>
        <v/>
      </c>
      <c r="N1683" s="5">
        <f>IFERROR(INDEX(DePara!$A:$A,MATCH(TEXT(B1683,"0"),DePara!$D:$D,0)),"(sem categoria)")</f>
        <v/>
      </c>
      <c r="O1683" s="5">
        <f>IF(J1683="","",Parametros!$B$6-J1683)</f>
        <v/>
      </c>
      <c r="P1683" s="5">
        <f>IF(O1683="","",IF(O1683&gt;0,1,0))</f>
        <v/>
      </c>
    </row>
    <row r="1684">
      <c r="A1684" s="5" t="n">
        <v>2111000000</v>
      </c>
      <c r="B1684" s="5" t="inlineStr">
        <is>
          <t>101463</t>
        </is>
      </c>
      <c r="C1684" s="5" t="inlineStr">
        <is>
          <t>ZURICH MINAS BRASIL SEGUROS S A</t>
        </is>
      </c>
      <c r="D1684" s="5" t="inlineStr">
        <is>
          <t>RE</t>
        </is>
      </c>
      <c r="E1684" s="5" t="n">
        <v>5011895</v>
      </c>
      <c r="F1684" s="5" t="inlineStr">
        <is>
          <t>0044/26</t>
        </is>
      </c>
      <c r="G1684" s="5" t="inlineStr">
        <is>
          <t>BRL</t>
        </is>
      </c>
      <c r="H1684" s="9" t="n">
        <v>-436.22</v>
      </c>
      <c r="I1684" s="16" t="n">
        <v>46113</v>
      </c>
      <c r="J1684" s="16" t="n">
        <v>46236</v>
      </c>
      <c r="K1684" s="5" t="inlineStr">
        <is>
          <t>Invoice Payment. SP: 16540</t>
        </is>
      </c>
      <c r="L1684" s="5" t="inlineStr">
        <is>
          <t>0044/26</t>
        </is>
      </c>
      <c r="M1684" s="5">
        <f>IF(YEAR(I1684)&lt;=2020,"Até 2020",TEXT(YEAR(I1684),"0"))</f>
        <v/>
      </c>
      <c r="N1684" s="5">
        <f>IFERROR(INDEX(DePara!$A:$A,MATCH(TEXT(B1684,"0"),DePara!$D:$D,0)),"(sem categoria)")</f>
        <v/>
      </c>
      <c r="O1684" s="5">
        <f>IF(J1684="","",Parametros!$B$6-J1684)</f>
        <v/>
      </c>
      <c r="P1684" s="5">
        <f>IF(O1684="","",IF(O1684&gt;0,1,0))</f>
        <v/>
      </c>
    </row>
    <row r="1685">
      <c r="A1685" s="5" t="n">
        <v>2111000000</v>
      </c>
      <c r="B1685" s="5" t="inlineStr">
        <is>
          <t>101463</t>
        </is>
      </c>
      <c r="C1685" s="5" t="inlineStr">
        <is>
          <t>ZURICH MINAS BRASIL SEGUROS S A</t>
        </is>
      </c>
      <c r="D1685" s="5" t="inlineStr">
        <is>
          <t>RE</t>
        </is>
      </c>
      <c r="E1685" s="5" t="n">
        <v>5011898</v>
      </c>
      <c r="F1685" s="5" t="inlineStr">
        <is>
          <t>0044/26</t>
        </is>
      </c>
      <c r="G1685" s="5" t="inlineStr">
        <is>
          <t>BRL</t>
        </is>
      </c>
      <c r="H1685" s="9" t="n">
        <v>-2991.19</v>
      </c>
      <c r="I1685" s="16" t="n">
        <v>46113</v>
      </c>
      <c r="J1685" s="16" t="n">
        <v>46236</v>
      </c>
      <c r="K1685" s="5" t="inlineStr">
        <is>
          <t>Invoice Payment. SP: 16540</t>
        </is>
      </c>
      <c r="L1685" s="5" t="inlineStr">
        <is>
          <t>0044/26</t>
        </is>
      </c>
      <c r="M1685" s="5">
        <f>IF(YEAR(I1685)&lt;=2020,"Até 2020",TEXT(YEAR(I1685),"0"))</f>
        <v/>
      </c>
      <c r="N1685" s="5">
        <f>IFERROR(INDEX(DePara!$A:$A,MATCH(TEXT(B1685,"0"),DePara!$D:$D,0)),"(sem categoria)")</f>
        <v/>
      </c>
      <c r="O1685" s="5">
        <f>IF(J1685="","",Parametros!$B$6-J1685)</f>
        <v/>
      </c>
      <c r="P1685" s="5">
        <f>IF(O1685="","",IF(O1685&gt;0,1,0))</f>
        <v/>
      </c>
    </row>
    <row r="1686">
      <c r="A1686" s="5" t="n">
        <v>2111000000</v>
      </c>
      <c r="B1686" s="5" t="inlineStr">
        <is>
          <t>101463</t>
        </is>
      </c>
      <c r="C1686" s="5" t="inlineStr">
        <is>
          <t>ZURICH MINAS BRASIL SEGUROS S A</t>
        </is>
      </c>
      <c r="D1686" s="5" t="inlineStr">
        <is>
          <t>RE</t>
        </is>
      </c>
      <c r="E1686" s="5" t="n">
        <v>5011902</v>
      </c>
      <c r="F1686" s="5" t="inlineStr">
        <is>
          <t>0044/26</t>
        </is>
      </c>
      <c r="G1686" s="5" t="inlineStr">
        <is>
          <t>BRL</t>
        </is>
      </c>
      <c r="H1686" s="9" t="n">
        <v>-6532.65</v>
      </c>
      <c r="I1686" s="16" t="n">
        <v>46113</v>
      </c>
      <c r="J1686" s="16" t="n">
        <v>46236</v>
      </c>
      <c r="K1686" s="5" t="inlineStr">
        <is>
          <t>Invoice Payment. SP: 16540</t>
        </is>
      </c>
      <c r="L1686" s="5" t="inlineStr">
        <is>
          <t>0044/26</t>
        </is>
      </c>
      <c r="M1686" s="5">
        <f>IF(YEAR(I1686)&lt;=2020,"Até 2020",TEXT(YEAR(I1686),"0"))</f>
        <v/>
      </c>
      <c r="N1686" s="5">
        <f>IFERROR(INDEX(DePara!$A:$A,MATCH(TEXT(B1686,"0"),DePara!$D:$D,0)),"(sem categoria)")</f>
        <v/>
      </c>
      <c r="O1686" s="5">
        <f>IF(J1686="","",Parametros!$B$6-J1686)</f>
        <v/>
      </c>
      <c r="P1686" s="5">
        <f>IF(O1686="","",IF(O1686&gt;0,1,0))</f>
        <v/>
      </c>
    </row>
    <row r="1687">
      <c r="A1687" s="5" t="n">
        <v>2111000000</v>
      </c>
      <c r="B1687" s="5" t="inlineStr">
        <is>
          <t>101331</t>
        </is>
      </c>
      <c r="C1687" s="5" t="inlineStr">
        <is>
          <t>GEODIS GERENCI DE FRETES DO BRASIL</t>
        </is>
      </c>
      <c r="D1687" s="5" t="inlineStr">
        <is>
          <t>RE</t>
        </is>
      </c>
      <c r="E1687" s="5" t="n">
        <v>5011912</v>
      </c>
      <c r="F1687" s="5" t="inlineStr">
        <is>
          <t>0091/25</t>
        </is>
      </c>
      <c r="G1687" s="5" t="inlineStr">
        <is>
          <t>BRL</t>
        </is>
      </c>
      <c r="H1687" s="9" t="n">
        <v>-1813.52</v>
      </c>
      <c r="I1687" s="16" t="n">
        <v>45708</v>
      </c>
      <c r="J1687" s="16" t="n">
        <v>46236</v>
      </c>
      <c r="K1687" s="5" t="inlineStr">
        <is>
          <t>Invoice Payment. SP: 5865</t>
        </is>
      </c>
      <c r="L1687" s="5" t="inlineStr">
        <is>
          <t>0091/25</t>
        </is>
      </c>
      <c r="M1687" s="5">
        <f>IF(YEAR(I1687)&lt;=2020,"Até 2020",TEXT(YEAR(I1687),"0"))</f>
        <v/>
      </c>
      <c r="N1687" s="5">
        <f>IFERROR(INDEX(DePara!$A:$A,MATCH(TEXT(B1687,"0"),DePara!$D:$D,0)),"(sem categoria)")</f>
        <v/>
      </c>
      <c r="O1687" s="5">
        <f>IF(J1687="","",Parametros!$B$6-J1687)</f>
        <v/>
      </c>
      <c r="P1687" s="5">
        <f>IF(O1687="","",IF(O1687&gt;0,1,0))</f>
        <v/>
      </c>
    </row>
    <row r="1688">
      <c r="A1688" s="5" t="n">
        <v>2111000000</v>
      </c>
      <c r="B1688" s="5" t="inlineStr">
        <is>
          <t>101463</t>
        </is>
      </c>
      <c r="C1688" s="5" t="inlineStr">
        <is>
          <t>ZURICH MINAS BRASIL SEGUROS S A</t>
        </is>
      </c>
      <c r="D1688" s="5" t="inlineStr">
        <is>
          <t>RE</t>
        </is>
      </c>
      <c r="E1688" s="5" t="n">
        <v>5011918</v>
      </c>
      <c r="F1688" s="5" t="inlineStr">
        <is>
          <t>1137/24</t>
        </is>
      </c>
      <c r="G1688" s="5" t="inlineStr">
        <is>
          <t>BRL</t>
        </is>
      </c>
      <c r="H1688" s="9" t="n">
        <v>-583.14</v>
      </c>
      <c r="I1688" s="16" t="n">
        <v>45709</v>
      </c>
      <c r="J1688" s="16" t="n">
        <v>46236</v>
      </c>
      <c r="K1688" s="5" t="inlineStr">
        <is>
          <t>Invoice Payment. SP: 5939</t>
        </is>
      </c>
      <c r="L1688" s="5" t="inlineStr">
        <is>
          <t>1137/24</t>
        </is>
      </c>
      <c r="M1688" s="5">
        <f>IF(YEAR(I1688)&lt;=2020,"Até 2020",TEXT(YEAR(I1688),"0"))</f>
        <v/>
      </c>
      <c r="N1688" s="5">
        <f>IFERROR(INDEX(DePara!$A:$A,MATCH(TEXT(B1688,"0"),DePara!$D:$D,0)),"(sem categoria)")</f>
        <v/>
      </c>
      <c r="O1688" s="5">
        <f>IF(J1688="","",Parametros!$B$6-J1688)</f>
        <v/>
      </c>
      <c r="P1688" s="5">
        <f>IF(O1688="","",IF(O1688&gt;0,1,0))</f>
        <v/>
      </c>
    </row>
    <row r="1689">
      <c r="A1689" s="5" t="n">
        <v>2111000000</v>
      </c>
      <c r="B1689" s="5" t="inlineStr">
        <is>
          <t>101463</t>
        </is>
      </c>
      <c r="C1689" s="5" t="inlineStr">
        <is>
          <t>ZURICH MINAS BRASIL SEGUROS S A</t>
        </is>
      </c>
      <c r="D1689" s="5" t="inlineStr">
        <is>
          <t>RE</t>
        </is>
      </c>
      <c r="E1689" s="5" t="n">
        <v>5011935</v>
      </c>
      <c r="F1689" s="5" t="inlineStr">
        <is>
          <t>0290/24</t>
        </is>
      </c>
      <c r="G1689" s="5" t="inlineStr">
        <is>
          <t>BRL</t>
        </is>
      </c>
      <c r="H1689" s="9" t="n">
        <v>-1410.16</v>
      </c>
      <c r="I1689" s="16" t="n">
        <v>45485</v>
      </c>
      <c r="J1689" s="16" t="n">
        <v>46266</v>
      </c>
      <c r="K1689" s="5" t="inlineStr">
        <is>
          <t>Invoice Payment. SP: 2147</t>
        </is>
      </c>
      <c r="L1689" s="5" t="inlineStr">
        <is>
          <t>0290/24</t>
        </is>
      </c>
      <c r="M1689" s="5">
        <f>IF(YEAR(I1689)&lt;=2020,"Até 2020",TEXT(YEAR(I1689),"0"))</f>
        <v/>
      </c>
      <c r="N1689" s="5">
        <f>IFERROR(INDEX(DePara!$A:$A,MATCH(TEXT(B1689,"0"),DePara!$D:$D,0)),"(sem categoria)")</f>
        <v/>
      </c>
      <c r="O1689" s="5">
        <f>IF(J1689="","",Parametros!$B$6-J1689)</f>
        <v/>
      </c>
      <c r="P1689" s="5">
        <f>IF(O1689="","",IF(O1689&gt;0,1,0))</f>
        <v/>
      </c>
    </row>
    <row r="1690">
      <c r="A1690" s="5" t="n">
        <v>2111000000</v>
      </c>
      <c r="B1690" s="5" t="inlineStr">
        <is>
          <t>101463</t>
        </is>
      </c>
      <c r="C1690" s="5" t="inlineStr">
        <is>
          <t>ZURICH MINAS BRASIL SEGUROS S A</t>
        </is>
      </c>
      <c r="D1690" s="5" t="inlineStr">
        <is>
          <t>RE</t>
        </is>
      </c>
      <c r="E1690" s="5" t="n">
        <v>5011941</v>
      </c>
      <c r="F1690" s="5" t="inlineStr">
        <is>
          <t>0522/23</t>
        </is>
      </c>
      <c r="G1690" s="5" t="inlineStr">
        <is>
          <t>BRL</t>
        </is>
      </c>
      <c r="H1690" s="9" t="n">
        <v>-1857.38</v>
      </c>
      <c r="I1690" s="16" t="n">
        <v>45502</v>
      </c>
      <c r="J1690" s="16" t="n">
        <v>46266</v>
      </c>
      <c r="K1690" s="5" t="inlineStr">
        <is>
          <t>Invoice Payment. SP: 2327</t>
        </is>
      </c>
      <c r="L1690" s="5" t="inlineStr">
        <is>
          <t>0522/23</t>
        </is>
      </c>
      <c r="M1690" s="5">
        <f>IF(YEAR(I1690)&lt;=2020,"Até 2020",TEXT(YEAR(I1690),"0"))</f>
        <v/>
      </c>
      <c r="N1690" s="5">
        <f>IFERROR(INDEX(DePara!$A:$A,MATCH(TEXT(B1690,"0"),DePara!$D:$D,0)),"(sem categoria)")</f>
        <v/>
      </c>
      <c r="O1690" s="5">
        <f>IF(J1690="","",Parametros!$B$6-J1690)</f>
        <v/>
      </c>
      <c r="P1690" s="5">
        <f>IF(O1690="","",IF(O1690&gt;0,1,0))</f>
        <v/>
      </c>
    </row>
    <row r="1691">
      <c r="A1691" s="5" t="n">
        <v>2111000000</v>
      </c>
      <c r="B1691" s="5" t="inlineStr">
        <is>
          <t>101463</t>
        </is>
      </c>
      <c r="C1691" s="5" t="inlineStr">
        <is>
          <t>ZURICH MINAS BRASIL SEGUROS S A</t>
        </is>
      </c>
      <c r="D1691" s="5" t="inlineStr">
        <is>
          <t>RE</t>
        </is>
      </c>
      <c r="E1691" s="5" t="n">
        <v>5011943</v>
      </c>
      <c r="F1691" s="5" t="inlineStr">
        <is>
          <t>0584/24</t>
        </is>
      </c>
      <c r="G1691" s="5" t="inlineStr">
        <is>
          <t>BRL</t>
        </is>
      </c>
      <c r="H1691" s="9" t="n">
        <v>-4397.98</v>
      </c>
      <c r="I1691" s="16" t="n">
        <v>45513</v>
      </c>
      <c r="J1691" s="16" t="n">
        <v>46236</v>
      </c>
      <c r="K1691" s="5" t="inlineStr">
        <is>
          <t>Invoice Payment. SP: 2426</t>
        </is>
      </c>
      <c r="L1691" s="5" t="inlineStr">
        <is>
          <t>0584/24</t>
        </is>
      </c>
      <c r="M1691" s="5">
        <f>IF(YEAR(I1691)&lt;=2020,"Até 2020",TEXT(YEAR(I1691),"0"))</f>
        <v/>
      </c>
      <c r="N1691" s="5">
        <f>IFERROR(INDEX(DePara!$A:$A,MATCH(TEXT(B1691,"0"),DePara!$D:$D,0)),"(sem categoria)")</f>
        <v/>
      </c>
      <c r="O1691" s="5">
        <f>IF(J1691="","",Parametros!$B$6-J1691)</f>
        <v/>
      </c>
      <c r="P1691" s="5">
        <f>IF(O1691="","",IF(O1691&gt;0,1,0))</f>
        <v/>
      </c>
    </row>
    <row r="1692">
      <c r="A1692" s="5" t="n">
        <v>2111000000</v>
      </c>
      <c r="B1692" s="5" t="inlineStr">
        <is>
          <t>101463</t>
        </is>
      </c>
      <c r="C1692" s="5" t="inlineStr">
        <is>
          <t>ZURICH MINAS BRASIL SEGUROS S A</t>
        </is>
      </c>
      <c r="D1692" s="5" t="inlineStr">
        <is>
          <t>RE</t>
        </is>
      </c>
      <c r="E1692" s="5" t="n">
        <v>5011945</v>
      </c>
      <c r="F1692" s="5" t="inlineStr">
        <is>
          <t>0558/23</t>
        </is>
      </c>
      <c r="G1692" s="5" t="inlineStr">
        <is>
          <t>BRL</t>
        </is>
      </c>
      <c r="H1692" s="9" t="n">
        <v>-1195.89</v>
      </c>
      <c r="I1692" s="16" t="n">
        <v>45512</v>
      </c>
      <c r="J1692" s="16" t="n">
        <v>46266</v>
      </c>
      <c r="K1692" s="5" t="inlineStr">
        <is>
          <t>Invoice Payment. SP: 2420</t>
        </is>
      </c>
      <c r="L1692" s="5" t="inlineStr">
        <is>
          <t>0558/23</t>
        </is>
      </c>
      <c r="M1692" s="5">
        <f>IF(YEAR(I1692)&lt;=2020,"Até 2020",TEXT(YEAR(I1692),"0"))</f>
        <v/>
      </c>
      <c r="N1692" s="5">
        <f>IFERROR(INDEX(DePara!$A:$A,MATCH(TEXT(B1692,"0"),DePara!$D:$D,0)),"(sem categoria)")</f>
        <v/>
      </c>
      <c r="O1692" s="5">
        <f>IF(J1692="","",Parametros!$B$6-J1692)</f>
        <v/>
      </c>
      <c r="P1692" s="5">
        <f>IF(O1692="","",IF(O1692&gt;0,1,0))</f>
        <v/>
      </c>
    </row>
    <row r="1693">
      <c r="A1693" s="5" t="n">
        <v>2111000000</v>
      </c>
      <c r="B1693" s="5" t="inlineStr">
        <is>
          <t>101463</t>
        </is>
      </c>
      <c r="C1693" s="5" t="inlineStr">
        <is>
          <t>ZURICH MINAS BRASIL SEGUROS S A</t>
        </is>
      </c>
      <c r="D1693" s="5" t="inlineStr">
        <is>
          <t>RE</t>
        </is>
      </c>
      <c r="E1693" s="5" t="n">
        <v>5011947</v>
      </c>
      <c r="F1693" s="5" t="inlineStr">
        <is>
          <t>0560/24</t>
        </is>
      </c>
      <c r="G1693" s="5" t="inlineStr">
        <is>
          <t>BRL</t>
        </is>
      </c>
      <c r="H1693" s="9" t="n">
        <v>-7307.25</v>
      </c>
      <c r="I1693" s="16" t="n">
        <v>45539</v>
      </c>
      <c r="J1693" s="16" t="n">
        <v>46236</v>
      </c>
      <c r="K1693" s="5" t="inlineStr">
        <is>
          <t>Invoice Payment. SP: 2786</t>
        </is>
      </c>
      <c r="L1693" s="5" t="inlineStr">
        <is>
          <t>0560/24</t>
        </is>
      </c>
      <c r="M1693" s="5">
        <f>IF(YEAR(I1693)&lt;=2020,"Até 2020",TEXT(YEAR(I1693),"0"))</f>
        <v/>
      </c>
      <c r="N1693" s="5">
        <f>IFERROR(INDEX(DePara!$A:$A,MATCH(TEXT(B1693,"0"),DePara!$D:$D,0)),"(sem categoria)")</f>
        <v/>
      </c>
      <c r="O1693" s="5">
        <f>IF(J1693="","",Parametros!$B$6-J1693)</f>
        <v/>
      </c>
      <c r="P1693" s="5">
        <f>IF(O1693="","",IF(O1693&gt;0,1,0))</f>
        <v/>
      </c>
    </row>
    <row r="1694">
      <c r="A1694" s="5" t="n">
        <v>2111000000</v>
      </c>
      <c r="B1694" s="5" t="inlineStr">
        <is>
          <t>101463</t>
        </is>
      </c>
      <c r="C1694" s="5" t="inlineStr">
        <is>
          <t>ZURICH MINAS BRASIL SEGUROS S A</t>
        </is>
      </c>
      <c r="D1694" s="5" t="inlineStr">
        <is>
          <t>RE</t>
        </is>
      </c>
      <c r="E1694" s="5" t="n">
        <v>5011954</v>
      </c>
      <c r="F1694" s="5" t="inlineStr">
        <is>
          <t>0057/24</t>
        </is>
      </c>
      <c r="G1694" s="5" t="inlineStr">
        <is>
          <t>BRL</t>
        </is>
      </c>
      <c r="H1694" s="9" t="n">
        <v>-425.02</v>
      </c>
      <c r="I1694" s="16" t="n">
        <v>45532</v>
      </c>
      <c r="J1694" s="16" t="n">
        <v>46206</v>
      </c>
      <c r="K1694" s="5" t="inlineStr">
        <is>
          <t>Invoice Payment. SP: 2761</t>
        </is>
      </c>
      <c r="L1694" s="5" t="inlineStr">
        <is>
          <t>0057/24</t>
        </is>
      </c>
      <c r="M1694" s="5">
        <f>IF(YEAR(I1694)&lt;=2020,"Até 2020",TEXT(YEAR(I1694),"0"))</f>
        <v/>
      </c>
      <c r="N1694" s="5">
        <f>IFERROR(INDEX(DePara!$A:$A,MATCH(TEXT(B1694,"0"),DePara!$D:$D,0)),"(sem categoria)")</f>
        <v/>
      </c>
      <c r="O1694" s="5">
        <f>IF(J1694="","",Parametros!$B$6-J1694)</f>
        <v/>
      </c>
      <c r="P1694" s="5">
        <f>IF(O1694="","",IF(O1694&gt;0,1,0))</f>
        <v/>
      </c>
    </row>
    <row r="1695">
      <c r="A1695" s="5" t="n">
        <v>2111000000</v>
      </c>
      <c r="B1695" s="5" t="inlineStr">
        <is>
          <t>102011</t>
        </is>
      </c>
      <c r="C1695" s="5" t="inlineStr">
        <is>
          <t>COMPANHIA D COMPLEXO I P PECEM C SA</t>
        </is>
      </c>
      <c r="D1695" s="5" t="inlineStr">
        <is>
          <t>RE</t>
        </is>
      </c>
      <c r="E1695" s="5" t="n">
        <v>5011955</v>
      </c>
      <c r="F1695" s="5" t="inlineStr">
        <is>
          <t>0908/24</t>
        </is>
      </c>
      <c r="G1695" s="5" t="inlineStr">
        <is>
          <t>BRL</t>
        </is>
      </c>
      <c r="H1695" s="9" t="n">
        <v>-664.55</v>
      </c>
      <c r="I1695" s="16" t="n">
        <v>45776</v>
      </c>
      <c r="J1695" s="16" t="n">
        <v>46206</v>
      </c>
      <c r="K1695" s="5" t="inlineStr">
        <is>
          <t>Invoice Payment. SP: 7985</t>
        </is>
      </c>
      <c r="L1695" s="5" t="inlineStr">
        <is>
          <t>0908/24</t>
        </is>
      </c>
      <c r="M1695" s="5">
        <f>IF(YEAR(I1695)&lt;=2020,"Até 2020",TEXT(YEAR(I1695),"0"))</f>
        <v/>
      </c>
      <c r="N1695" s="5">
        <f>IFERROR(INDEX(DePara!$A:$A,MATCH(TEXT(B1695,"0"),DePara!$D:$D,0)),"(sem categoria)")</f>
        <v/>
      </c>
      <c r="O1695" s="5">
        <f>IF(J1695="","",Parametros!$B$6-J1695)</f>
        <v/>
      </c>
      <c r="P1695" s="5">
        <f>IF(O1695="","",IF(O1695&gt;0,1,0))</f>
        <v/>
      </c>
    </row>
    <row r="1696">
      <c r="A1696" s="5" t="n">
        <v>2111000000</v>
      </c>
      <c r="B1696" s="5" t="inlineStr">
        <is>
          <t>101569</t>
        </is>
      </c>
      <c r="C1696" s="5" t="inlineStr">
        <is>
          <t>SECRETARIA DA FAZENDA CEARA</t>
        </is>
      </c>
      <c r="D1696" s="5" t="inlineStr">
        <is>
          <t>RE</t>
        </is>
      </c>
      <c r="E1696" s="5" t="n">
        <v>5011956</v>
      </c>
      <c r="F1696" s="5" t="inlineStr">
        <is>
          <t>0908/24</t>
        </is>
      </c>
      <c r="G1696" s="5" t="inlineStr">
        <is>
          <t>BRL</t>
        </is>
      </c>
      <c r="H1696" s="9" t="n">
        <v>-28.56</v>
      </c>
      <c r="I1696" s="16" t="n">
        <v>45776</v>
      </c>
      <c r="J1696" s="16" t="n">
        <v>46206</v>
      </c>
      <c r="K1696" s="5" t="inlineStr">
        <is>
          <t>Invoice Payment. SP: 7983</t>
        </is>
      </c>
      <c r="L1696" s="5" t="inlineStr">
        <is>
          <t>0908/24</t>
        </is>
      </c>
      <c r="M1696" s="5">
        <f>IF(YEAR(I1696)&lt;=2020,"Até 2020",TEXT(YEAR(I1696),"0"))</f>
        <v/>
      </c>
      <c r="N1696" s="5">
        <f>IFERROR(INDEX(DePara!$A:$A,MATCH(TEXT(B1696,"0"),DePara!$D:$D,0)),"(sem categoria)")</f>
        <v/>
      </c>
      <c r="O1696" s="5">
        <f>IF(J1696="","",Parametros!$B$6-J1696)</f>
        <v/>
      </c>
      <c r="P1696" s="5">
        <f>IF(O1696="","",IF(O1696&gt;0,1,0))</f>
        <v/>
      </c>
    </row>
    <row r="1697">
      <c r="A1697" s="5" t="n">
        <v>2111000000</v>
      </c>
      <c r="B1697" s="5" t="inlineStr">
        <is>
          <t>101463</t>
        </is>
      </c>
      <c r="C1697" s="5" t="inlineStr">
        <is>
          <t>ZURICH MINAS BRASIL SEGUROS S A</t>
        </is>
      </c>
      <c r="D1697" s="5" t="inlineStr">
        <is>
          <t>RE</t>
        </is>
      </c>
      <c r="E1697" s="5" t="n">
        <v>5011957</v>
      </c>
      <c r="F1697" s="5" t="inlineStr">
        <is>
          <t>0646/23</t>
        </is>
      </c>
      <c r="G1697" s="5" t="inlineStr">
        <is>
          <t>BRL</t>
        </is>
      </c>
      <c r="H1697" s="9" t="n">
        <v>-6135.73</v>
      </c>
      <c r="I1697" s="16" t="n">
        <v>45518</v>
      </c>
      <c r="J1697" s="16" t="n">
        <v>46236</v>
      </c>
      <c r="K1697" s="5" t="inlineStr">
        <is>
          <t>Invoice Payment. SP: 2479</t>
        </is>
      </c>
      <c r="L1697" s="5" t="inlineStr">
        <is>
          <t>0646/23</t>
        </is>
      </c>
      <c r="M1697" s="5">
        <f>IF(YEAR(I1697)&lt;=2020,"Até 2020",TEXT(YEAR(I1697),"0"))</f>
        <v/>
      </c>
      <c r="N1697" s="5">
        <f>IFERROR(INDEX(DePara!$A:$A,MATCH(TEXT(B1697,"0"),DePara!$D:$D,0)),"(sem categoria)")</f>
        <v/>
      </c>
      <c r="O1697" s="5">
        <f>IF(J1697="","",Parametros!$B$6-J1697)</f>
        <v/>
      </c>
      <c r="P1697" s="5">
        <f>IF(O1697="","",IF(O1697&gt;0,1,0))</f>
        <v/>
      </c>
    </row>
    <row r="1698">
      <c r="A1698" s="5" t="n">
        <v>2111000000</v>
      </c>
      <c r="B1698" s="5" t="inlineStr">
        <is>
          <t>102011</t>
        </is>
      </c>
      <c r="C1698" s="5" t="inlineStr">
        <is>
          <t>COMPANHIA D COMPLEXO I P PECEM C SA</t>
        </is>
      </c>
      <c r="D1698" s="5" t="inlineStr">
        <is>
          <t>RE</t>
        </is>
      </c>
      <c r="E1698" s="5" t="n">
        <v>5011976</v>
      </c>
      <c r="F1698" s="5" t="inlineStr">
        <is>
          <t>0908/24</t>
        </is>
      </c>
      <c r="G1698" s="5" t="inlineStr">
        <is>
          <t>BRL</t>
        </is>
      </c>
      <c r="H1698" s="9" t="n">
        <v>-2023.89</v>
      </c>
      <c r="I1698" s="16" t="n">
        <v>45776</v>
      </c>
      <c r="J1698" s="16" t="n">
        <v>46207</v>
      </c>
      <c r="K1698" s="5" t="inlineStr">
        <is>
          <t>Invoice Payment. SP: 7984</t>
        </is>
      </c>
      <c r="L1698" s="5" t="inlineStr">
        <is>
          <t>0908/24</t>
        </is>
      </c>
      <c r="M1698" s="5">
        <f>IF(YEAR(I1698)&lt;=2020,"Até 2020",TEXT(YEAR(I1698),"0"))</f>
        <v/>
      </c>
      <c r="N1698" s="5">
        <f>IFERROR(INDEX(DePara!$A:$A,MATCH(TEXT(B1698,"0"),DePara!$D:$D,0)),"(sem categoria)")</f>
        <v/>
      </c>
      <c r="O1698" s="5">
        <f>IF(J1698="","",Parametros!$B$6-J1698)</f>
        <v/>
      </c>
      <c r="P1698" s="5">
        <f>IF(O1698="","",IF(O1698&gt;0,1,0))</f>
        <v/>
      </c>
    </row>
    <row r="1699">
      <c r="A1699" s="5" t="n">
        <v>2111000000</v>
      </c>
      <c r="B1699" s="5" t="inlineStr">
        <is>
          <t>100396</t>
        </is>
      </c>
      <c r="C1699" s="5" t="inlineStr">
        <is>
          <t>DISTRIBUI LOGISTICA LTDA 03592033000166</t>
        </is>
      </c>
      <c r="D1699" s="5" t="inlineStr">
        <is>
          <t>RE</t>
        </is>
      </c>
      <c r="E1699" s="5" t="n">
        <v>5012058</v>
      </c>
      <c r="F1699" s="5" t="inlineStr">
        <is>
          <t>10882-4</t>
        </is>
      </c>
      <c r="G1699" s="5" t="inlineStr">
        <is>
          <t>BRL</t>
        </is>
      </c>
      <c r="H1699" s="9" t="n">
        <v>-2000.76</v>
      </c>
      <c r="I1699" s="16" t="n">
        <v>46203</v>
      </c>
      <c r="J1699" s="16" t="n">
        <v>46270</v>
      </c>
      <c r="K1699" s="5" t="inlineStr">
        <is>
          <t>Fatura - bruto DISTRIBUI LOGISTICA LTDA 0359203300</t>
        </is>
      </c>
      <c r="L1699" s="5" t="inlineStr">
        <is>
          <t>08092026</t>
        </is>
      </c>
      <c r="M1699" s="5">
        <f>IF(YEAR(I1699)&lt;=2020,"Até 2020",TEXT(YEAR(I1699),"0"))</f>
        <v/>
      </c>
      <c r="N1699" s="5">
        <f>IFERROR(INDEX(DePara!$A:$A,MATCH(TEXT(B1699,"0"),DePara!$D:$D,0)),"(sem categoria)")</f>
        <v/>
      </c>
      <c r="O1699" s="5">
        <f>IF(J1699="","",Parametros!$B$6-J1699)</f>
        <v/>
      </c>
      <c r="P1699" s="5">
        <f>IF(O1699="","",IF(O1699&gt;0,1,0))</f>
        <v/>
      </c>
    </row>
    <row r="1700">
      <c r="A1700" s="5" t="n">
        <v>2111000000</v>
      </c>
      <c r="B1700" s="5" t="inlineStr">
        <is>
          <t>100396</t>
        </is>
      </c>
      <c r="C1700" s="5" t="inlineStr">
        <is>
          <t>DISTRIBUI LOGISTICA LTDA 03592033000166</t>
        </is>
      </c>
      <c r="D1700" s="5" t="inlineStr">
        <is>
          <t>RE</t>
        </is>
      </c>
      <c r="E1700" s="5" t="n">
        <v>5012062</v>
      </c>
      <c r="F1700" s="5" t="inlineStr">
        <is>
          <t>10872-4</t>
        </is>
      </c>
      <c r="G1700" s="5" t="inlineStr">
        <is>
          <t>BRL</t>
        </is>
      </c>
      <c r="H1700" s="9" t="n">
        <v>-2001.41</v>
      </c>
      <c r="I1700" s="16" t="n">
        <v>46198</v>
      </c>
      <c r="J1700" s="16" t="n">
        <v>46270</v>
      </c>
      <c r="K1700" s="5" t="inlineStr">
        <is>
          <t>Fatura - bruto DISTRIBUI LOGISTICA LTDA 0359203300</t>
        </is>
      </c>
      <c r="L1700" s="5" t="inlineStr">
        <is>
          <t>08092026</t>
        </is>
      </c>
      <c r="M1700" s="5">
        <f>IF(YEAR(I1700)&lt;=2020,"Até 2020",TEXT(YEAR(I1700),"0"))</f>
        <v/>
      </c>
      <c r="N1700" s="5">
        <f>IFERROR(INDEX(DePara!$A:$A,MATCH(TEXT(B1700,"0"),DePara!$D:$D,0)),"(sem categoria)")</f>
        <v/>
      </c>
      <c r="O1700" s="5">
        <f>IF(J1700="","",Parametros!$B$6-J1700)</f>
        <v/>
      </c>
      <c r="P1700" s="5">
        <f>IF(O1700="","",IF(O1700&gt;0,1,0))</f>
        <v/>
      </c>
    </row>
    <row r="1701">
      <c r="A1701" s="5" t="n">
        <v>2111000000</v>
      </c>
      <c r="B1701" s="5" t="inlineStr">
        <is>
          <t>101018</t>
        </is>
      </c>
      <c r="C1701" s="5" t="inlineStr">
        <is>
          <t>CELMAR COMERCIAL E IMPORTADORA LIMI</t>
        </is>
      </c>
      <c r="D1701" s="5" t="inlineStr">
        <is>
          <t>RE</t>
        </is>
      </c>
      <c r="E1701" s="5" t="n">
        <v>5012065</v>
      </c>
      <c r="F1701" s="5" t="inlineStr">
        <is>
          <t>763783-1</t>
        </is>
      </c>
      <c r="G1701" s="5" t="inlineStr">
        <is>
          <t>BRL</t>
        </is>
      </c>
      <c r="H1701" s="9" t="n">
        <v>8860.719999999999</v>
      </c>
      <c r="I1701" s="16" t="n">
        <v>46209</v>
      </c>
      <c r="J1701" s="16" t="n">
        <v>46209</v>
      </c>
      <c r="K1701" s="5" t="inlineStr">
        <is>
          <t>Fatura - bruto CELMAR COMERCIAL E IMPORTADORA LIMI</t>
        </is>
      </c>
      <c r="L1701" s="5" t="inlineStr">
        <is>
          <t>NOTA DE CRÉDITO</t>
        </is>
      </c>
      <c r="M1701" s="5">
        <f>IF(YEAR(I1701)&lt;=2020,"Até 2020",TEXT(YEAR(I1701),"0"))</f>
        <v/>
      </c>
      <c r="N1701" s="5">
        <f>IFERROR(INDEX(DePara!$A:$A,MATCH(TEXT(B1701,"0"),DePara!$D:$D,0)),"(sem categoria)")</f>
        <v/>
      </c>
      <c r="O1701" s="5">
        <f>IF(J1701="","",Parametros!$B$6-J1701)</f>
        <v/>
      </c>
      <c r="P1701" s="5">
        <f>IF(O1701="","",IF(O1701&gt;0,1,0))</f>
        <v/>
      </c>
    </row>
    <row r="1702">
      <c r="A1702" s="5" t="n">
        <v>2111000000</v>
      </c>
      <c r="B1702" s="5" t="inlineStr">
        <is>
          <t>102060</t>
        </is>
      </c>
      <c r="C1702" s="5" t="inlineStr">
        <is>
          <t>INGETEAM LTDA 03306629000152</t>
        </is>
      </c>
      <c r="D1702" s="5" t="inlineStr">
        <is>
          <t>RE</t>
        </is>
      </c>
      <c r="E1702" s="5" t="n">
        <v>5012220</v>
      </c>
      <c r="F1702" s="5" t="inlineStr">
        <is>
          <t>000018383-1</t>
        </is>
      </c>
      <c r="G1702" s="5" t="inlineStr">
        <is>
          <t>BRL</t>
        </is>
      </c>
      <c r="H1702" s="9" t="n">
        <v>-568.91</v>
      </c>
      <c r="I1702" s="16" t="n">
        <v>46197</v>
      </c>
      <c r="J1702" s="16" t="n">
        <v>46270</v>
      </c>
      <c r="K1702" s="5" t="inlineStr">
        <is>
          <t>Fatura - bruto INGETEAM LTDA 03306629000152 000018</t>
        </is>
      </c>
      <c r="L1702" s="5" t="inlineStr">
        <is>
          <t>08092026</t>
        </is>
      </c>
      <c r="M1702" s="5">
        <f>IF(YEAR(I1702)&lt;=2020,"Até 2020",TEXT(YEAR(I1702),"0"))</f>
        <v/>
      </c>
      <c r="N1702" s="5">
        <f>IFERROR(INDEX(DePara!$A:$A,MATCH(TEXT(B1702,"0"),DePara!$D:$D,0)),"(sem categoria)")</f>
        <v/>
      </c>
      <c r="O1702" s="5">
        <f>IF(J1702="","",Parametros!$B$6-J1702)</f>
        <v/>
      </c>
      <c r="P1702" s="5">
        <f>IF(O1702="","",IF(O1702&gt;0,1,0))</f>
        <v/>
      </c>
    </row>
    <row r="1703">
      <c r="A1703" s="5" t="n">
        <v>2111000000</v>
      </c>
      <c r="B1703" s="5" t="inlineStr">
        <is>
          <t>100621</t>
        </is>
      </c>
      <c r="C1703" s="5" t="inlineStr">
        <is>
          <t>CALTER ENGENHARIA LTDA</t>
        </is>
      </c>
      <c r="D1703" s="5" t="inlineStr">
        <is>
          <t>RE</t>
        </is>
      </c>
      <c r="E1703" s="5" t="n">
        <v>5012229</v>
      </c>
      <c r="F1703" s="5" t="inlineStr">
        <is>
          <t>30</t>
        </is>
      </c>
      <c r="G1703" s="5" t="inlineStr">
        <is>
          <t>BRL</t>
        </is>
      </c>
      <c r="H1703" s="9" t="n">
        <v>-32449.4</v>
      </c>
      <c r="I1703" s="16" t="n">
        <v>46191</v>
      </c>
      <c r="J1703" s="16" t="n">
        <v>46270</v>
      </c>
      <c r="K1703" s="5" t="inlineStr">
        <is>
          <t>Fatura - bruto CALTER ENGENHARIA LTDA 30</t>
        </is>
      </c>
      <c r="L1703" s="5" t="inlineStr">
        <is>
          <t>08092026</t>
        </is>
      </c>
      <c r="M1703" s="5">
        <f>IF(YEAR(I1703)&lt;=2020,"Até 2020",TEXT(YEAR(I1703),"0"))</f>
        <v/>
      </c>
      <c r="N1703" s="5">
        <f>IFERROR(INDEX(DePara!$A:$A,MATCH(TEXT(B1703,"0"),DePara!$D:$D,0)),"(sem categoria)")</f>
        <v/>
      </c>
      <c r="O1703" s="5">
        <f>IF(J1703="","",Parametros!$B$6-J1703)</f>
        <v/>
      </c>
      <c r="P1703" s="5">
        <f>IF(O1703="","",IF(O1703&gt;0,1,0))</f>
        <v/>
      </c>
    </row>
    <row r="1704">
      <c r="A1704" s="5" t="n">
        <v>2111000000</v>
      </c>
      <c r="B1704" s="5" t="inlineStr">
        <is>
          <t>100621</t>
        </is>
      </c>
      <c r="C1704" s="5" t="inlineStr">
        <is>
          <t>CALTER ENGENHARIA LTDA</t>
        </is>
      </c>
      <c r="D1704" s="5" t="inlineStr">
        <is>
          <t>RE</t>
        </is>
      </c>
      <c r="E1704" s="5" t="n">
        <v>5012231</v>
      </c>
      <c r="F1704" s="5" t="inlineStr">
        <is>
          <t>33</t>
        </is>
      </c>
      <c r="G1704" s="5" t="inlineStr">
        <is>
          <t>BRL</t>
        </is>
      </c>
      <c r="H1704" s="9" t="n">
        <v>-5720.21</v>
      </c>
      <c r="I1704" s="16" t="n">
        <v>46205</v>
      </c>
      <c r="J1704" s="16" t="n">
        <v>46270</v>
      </c>
      <c r="K1704" s="5" t="inlineStr">
        <is>
          <t>Fatura - bruto CALTER ENGENHARIA LTDA 33</t>
        </is>
      </c>
      <c r="L1704" s="5" t="inlineStr">
        <is>
          <t>08092026</t>
        </is>
      </c>
      <c r="M1704" s="5">
        <f>IF(YEAR(I1704)&lt;=2020,"Até 2020",TEXT(YEAR(I1704),"0"))</f>
        <v/>
      </c>
      <c r="N1704" s="5">
        <f>IFERROR(INDEX(DePara!$A:$A,MATCH(TEXT(B1704,"0"),DePara!$D:$D,0)),"(sem categoria)")</f>
        <v/>
      </c>
      <c r="O1704" s="5">
        <f>IF(J1704="","",Parametros!$B$6-J1704)</f>
        <v/>
      </c>
      <c r="P1704" s="5">
        <f>IF(O1704="","",IF(O1704&gt;0,1,0))</f>
        <v/>
      </c>
    </row>
    <row r="1705">
      <c r="A1705" s="5" t="n">
        <v>2111000000</v>
      </c>
      <c r="B1705" s="5" t="inlineStr">
        <is>
          <t>100621</t>
        </is>
      </c>
      <c r="C1705" s="5" t="inlineStr">
        <is>
          <t>CALTER ENGENHARIA LTDA</t>
        </is>
      </c>
      <c r="D1705" s="5" t="inlineStr">
        <is>
          <t>RE</t>
        </is>
      </c>
      <c r="E1705" s="5" t="n">
        <v>5012234</v>
      </c>
      <c r="F1705" s="5" t="inlineStr">
        <is>
          <t>34</t>
        </is>
      </c>
      <c r="G1705" s="5" t="inlineStr">
        <is>
          <t>BRL</t>
        </is>
      </c>
      <c r="H1705" s="9" t="n">
        <v>-245695.92</v>
      </c>
      <c r="I1705" s="16" t="n">
        <v>46209</v>
      </c>
      <c r="J1705" s="16" t="n">
        <v>46270</v>
      </c>
      <c r="K1705" s="5" t="inlineStr">
        <is>
          <t>Fatura - bruto CALTER ENGENHARIA LTDA 34</t>
        </is>
      </c>
      <c r="L1705" s="5" t="inlineStr">
        <is>
          <t>08092026</t>
        </is>
      </c>
      <c r="M1705" s="5">
        <f>IF(YEAR(I1705)&lt;=2020,"Até 2020",TEXT(YEAR(I1705),"0"))</f>
        <v/>
      </c>
      <c r="N1705" s="5">
        <f>IFERROR(INDEX(DePara!$A:$A,MATCH(TEXT(B1705,"0"),DePara!$D:$D,0)),"(sem categoria)")</f>
        <v/>
      </c>
      <c r="O1705" s="5">
        <f>IF(J1705="","",Parametros!$B$6-J1705)</f>
        <v/>
      </c>
      <c r="P1705" s="5">
        <f>IF(O1705="","",IF(O1705&gt;0,1,0))</f>
        <v/>
      </c>
    </row>
    <row r="1706">
      <c r="A1706" s="5" t="n">
        <v>2111000000</v>
      </c>
      <c r="B1706" s="5" t="inlineStr">
        <is>
          <t>101463</t>
        </is>
      </c>
      <c r="C1706" s="5" t="inlineStr">
        <is>
          <t>ZURICH MINAS BRASIL SEGUROS S A</t>
        </is>
      </c>
      <c r="D1706" s="5" t="inlineStr">
        <is>
          <t>RE</t>
        </is>
      </c>
      <c r="E1706" s="5" t="n">
        <v>5012304</v>
      </c>
      <c r="F1706" s="5" t="inlineStr">
        <is>
          <t>0195/26</t>
        </is>
      </c>
      <c r="G1706" s="5" t="inlineStr">
        <is>
          <t>BRL</t>
        </is>
      </c>
      <c r="H1706" s="9" t="n">
        <v>-1202.31</v>
      </c>
      <c r="I1706" s="16" t="n">
        <v>46156</v>
      </c>
      <c r="J1706" s="16" t="n">
        <v>46242</v>
      </c>
      <c r="K1706" s="5" t="inlineStr">
        <is>
          <t>Invoice Payment. SP: 17963</t>
        </is>
      </c>
      <c r="L1706" s="5" t="inlineStr">
        <is>
          <t>0195/26</t>
        </is>
      </c>
      <c r="M1706" s="5">
        <f>IF(YEAR(I1706)&lt;=2020,"Até 2020",TEXT(YEAR(I1706),"0"))</f>
        <v/>
      </c>
      <c r="N1706" s="5">
        <f>IFERROR(INDEX(DePara!$A:$A,MATCH(TEXT(B1706,"0"),DePara!$D:$D,0)),"(sem categoria)")</f>
        <v/>
      </c>
      <c r="O1706" s="5">
        <f>IF(J1706="","",Parametros!$B$6-J1706)</f>
        <v/>
      </c>
      <c r="P1706" s="5">
        <f>IF(O1706="","",IF(O1706&gt;0,1,0))</f>
        <v/>
      </c>
    </row>
    <row r="1707">
      <c r="A1707" s="5" t="n">
        <v>2111000000</v>
      </c>
      <c r="B1707" s="5" t="inlineStr">
        <is>
          <t>100621</t>
        </is>
      </c>
      <c r="C1707" s="5" t="inlineStr">
        <is>
          <t>CALTER ENGENHARIA LTDA</t>
        </is>
      </c>
      <c r="D1707" s="5" t="inlineStr">
        <is>
          <t>RE</t>
        </is>
      </c>
      <c r="E1707" s="5" t="n">
        <v>5012323</v>
      </c>
      <c r="F1707" s="5" t="inlineStr">
        <is>
          <t>37</t>
        </is>
      </c>
      <c r="G1707" s="5" t="inlineStr">
        <is>
          <t>BRL</t>
        </is>
      </c>
      <c r="H1707" s="9" t="n">
        <v>-415741.46</v>
      </c>
      <c r="I1707" s="16" t="n">
        <v>46211</v>
      </c>
      <c r="J1707" s="16" t="n">
        <v>46270</v>
      </c>
      <c r="K1707" s="5" t="inlineStr">
        <is>
          <t>Fatura - bruto CALTER ENGENHARIA LTDA 37</t>
        </is>
      </c>
      <c r="L1707" s="5" t="inlineStr">
        <is>
          <t>08092026</t>
        </is>
      </c>
      <c r="M1707" s="5">
        <f>IF(YEAR(I1707)&lt;=2020,"Até 2020",TEXT(YEAR(I1707),"0"))</f>
        <v/>
      </c>
      <c r="N1707" s="5">
        <f>IFERROR(INDEX(DePara!$A:$A,MATCH(TEXT(B1707,"0"),DePara!$D:$D,0)),"(sem categoria)")</f>
        <v/>
      </c>
      <c r="O1707" s="5">
        <f>IF(J1707="","",Parametros!$B$6-J1707)</f>
        <v/>
      </c>
      <c r="P1707" s="5">
        <f>IF(O1707="","",IF(O1707&gt;0,1,0))</f>
        <v/>
      </c>
    </row>
    <row r="1708">
      <c r="A1708" s="5" t="n">
        <v>2111000000</v>
      </c>
      <c r="B1708" s="5" t="inlineStr">
        <is>
          <t>101826</t>
        </is>
      </c>
      <c r="C1708" s="5" t="inlineStr">
        <is>
          <t>BUNZL EQUIP DE PROTECÃO INDIVIDUAL</t>
        </is>
      </c>
      <c r="D1708" s="5" t="inlineStr">
        <is>
          <t>RE</t>
        </is>
      </c>
      <c r="E1708" s="5" t="n">
        <v>5012333</v>
      </c>
      <c r="F1708" s="5" t="inlineStr">
        <is>
          <t>001813422-1</t>
        </is>
      </c>
      <c r="G1708" s="5" t="inlineStr">
        <is>
          <t>BRL</t>
        </is>
      </c>
      <c r="H1708" s="9" t="n">
        <v>-39600</v>
      </c>
      <c r="I1708" s="16" t="n">
        <v>46182</v>
      </c>
      <c r="J1708" s="16" t="n">
        <v>46270</v>
      </c>
      <c r="K1708" s="5" t="inlineStr">
        <is>
          <t>Fatura - bruto BUNZL EQUIP DE PROTECÃO INDIVIDUAL</t>
        </is>
      </c>
      <c r="L1708" s="5" t="inlineStr">
        <is>
          <t>08092026</t>
        </is>
      </c>
      <c r="M1708" s="5">
        <f>IF(YEAR(I1708)&lt;=2020,"Até 2020",TEXT(YEAR(I1708),"0"))</f>
        <v/>
      </c>
      <c r="N1708" s="5">
        <f>IFERROR(INDEX(DePara!$A:$A,MATCH(TEXT(B1708,"0"),DePara!$D:$D,0)),"(sem categoria)")</f>
        <v/>
      </c>
      <c r="O1708" s="5">
        <f>IF(J1708="","",Parametros!$B$6-J1708)</f>
        <v/>
      </c>
      <c r="P1708" s="5">
        <f>IF(O1708="","",IF(O1708&gt;0,1,0))</f>
        <v/>
      </c>
    </row>
    <row r="1709">
      <c r="A1709" s="5" t="n">
        <v>2111000000</v>
      </c>
      <c r="B1709" s="5" t="inlineStr">
        <is>
          <t>103805</t>
        </is>
      </c>
      <c r="C1709" s="5" t="inlineStr">
        <is>
          <t>NUMEN IT SOLUCOES EM TECNOLOGIA LTD</t>
        </is>
      </c>
      <c r="D1709" s="5" t="inlineStr">
        <is>
          <t>RE</t>
        </is>
      </c>
      <c r="E1709" s="5" t="n">
        <v>5012422</v>
      </c>
      <c r="F1709" s="5" t="inlineStr">
        <is>
          <t>18171</t>
        </is>
      </c>
      <c r="G1709" s="5" t="inlineStr">
        <is>
          <t>BRL</t>
        </is>
      </c>
      <c r="H1709" s="9" t="n">
        <v>-8248.780000000001</v>
      </c>
      <c r="I1709" s="16" t="n">
        <v>46210</v>
      </c>
      <c r="J1709" s="16" t="n">
        <v>46273</v>
      </c>
      <c r="K1709" s="5" t="inlineStr">
        <is>
          <t>Fatura - bruto NUMEN IT SOLUCOES EM TECNOLOGIA LTD</t>
        </is>
      </c>
      <c r="L1709" s="5" t="inlineStr">
        <is>
          <t>09092026</t>
        </is>
      </c>
      <c r="M1709" s="5">
        <f>IF(YEAR(I1709)&lt;=2020,"Até 2020",TEXT(YEAR(I1709),"0"))</f>
        <v/>
      </c>
      <c r="N1709" s="5">
        <f>IFERROR(INDEX(DePara!$A:$A,MATCH(TEXT(B1709,"0"),DePara!$D:$D,0)),"(sem categoria)")</f>
        <v/>
      </c>
      <c r="O1709" s="5">
        <f>IF(J1709="","",Parametros!$B$6-J1709)</f>
        <v/>
      </c>
      <c r="P1709" s="5">
        <f>IF(O1709="","",IF(O1709&gt;0,1,0))</f>
        <v/>
      </c>
    </row>
    <row r="1710">
      <c r="A1710" s="5" t="n">
        <v>2111000000</v>
      </c>
      <c r="B1710" s="5" t="inlineStr">
        <is>
          <t>100621</t>
        </is>
      </c>
      <c r="C1710" s="5" t="inlineStr">
        <is>
          <t>CALTER ENGENHARIA LTDA</t>
        </is>
      </c>
      <c r="D1710" s="5" t="inlineStr">
        <is>
          <t>RE</t>
        </is>
      </c>
      <c r="E1710" s="5" t="n">
        <v>5012480</v>
      </c>
      <c r="F1710" s="5" t="inlineStr">
        <is>
          <t>35</t>
        </is>
      </c>
      <c r="G1710" s="5" t="inlineStr">
        <is>
          <t>BRL</t>
        </is>
      </c>
      <c r="H1710" s="9" t="n">
        <v>-187804.87</v>
      </c>
      <c r="I1710" s="16" t="n">
        <v>46210</v>
      </c>
      <c r="J1710" s="16" t="n">
        <v>46270</v>
      </c>
      <c r="K1710" s="5" t="inlineStr">
        <is>
          <t>Fatura - bruto CALTER ENGENHARIA LTDA 35</t>
        </is>
      </c>
      <c r="L1710" s="5" t="inlineStr">
        <is>
          <t>08092026</t>
        </is>
      </c>
      <c r="M1710" s="5">
        <f>IF(YEAR(I1710)&lt;=2020,"Até 2020",TEXT(YEAR(I1710),"0"))</f>
        <v/>
      </c>
      <c r="N1710" s="5">
        <f>IFERROR(INDEX(DePara!$A:$A,MATCH(TEXT(B1710,"0"),DePara!$D:$D,0)),"(sem categoria)")</f>
        <v/>
      </c>
      <c r="O1710" s="5">
        <f>IF(J1710="","",Parametros!$B$6-J1710)</f>
        <v/>
      </c>
      <c r="P1710" s="5">
        <f>IF(O1710="","",IF(O1710&gt;0,1,0))</f>
        <v/>
      </c>
    </row>
    <row r="1711">
      <c r="A1711" s="5" t="n">
        <v>2111000000</v>
      </c>
      <c r="B1711" s="5" t="inlineStr">
        <is>
          <t>107626</t>
        </is>
      </c>
      <c r="C1711" s="5" t="inlineStr">
        <is>
          <t>DELTHA SERVICOS LTDA</t>
        </is>
      </c>
      <c r="D1711" s="5" t="inlineStr">
        <is>
          <t>RE</t>
        </is>
      </c>
      <c r="E1711" s="5" t="n">
        <v>5012481</v>
      </c>
      <c r="F1711" s="5" t="inlineStr">
        <is>
          <t>224</t>
        </is>
      </c>
      <c r="G1711" s="5" t="inlineStr">
        <is>
          <t>BRL</t>
        </is>
      </c>
      <c r="H1711" s="9" t="n">
        <v>-60042.52</v>
      </c>
      <c r="I1711" s="16" t="n">
        <v>46213</v>
      </c>
      <c r="J1711" s="16" t="n">
        <v>46270</v>
      </c>
      <c r="K1711" s="5" t="inlineStr">
        <is>
          <t>Fatura - bruto DELTHA SERVICOS LTDA 224</t>
        </is>
      </c>
      <c r="L1711" s="5" t="inlineStr">
        <is>
          <t>08092026</t>
        </is>
      </c>
      <c r="M1711" s="5">
        <f>IF(YEAR(I1711)&lt;=2020,"Até 2020",TEXT(YEAR(I1711),"0"))</f>
        <v/>
      </c>
      <c r="N1711" s="5">
        <f>IFERROR(INDEX(DePara!$A:$A,MATCH(TEXT(B1711,"0"),DePara!$D:$D,0)),"(sem categoria)")</f>
        <v/>
      </c>
      <c r="O1711" s="5">
        <f>IF(J1711="","",Parametros!$B$6-J1711)</f>
        <v/>
      </c>
      <c r="P1711" s="5">
        <f>IF(O1711="","",IF(O1711&gt;0,1,0))</f>
        <v/>
      </c>
    </row>
    <row r="1712">
      <c r="A1712" s="5" t="n">
        <v>2111000000</v>
      </c>
      <c r="B1712" s="5" t="inlineStr">
        <is>
          <t>107626</t>
        </is>
      </c>
      <c r="C1712" s="5" t="inlineStr">
        <is>
          <t>DELTHA SERVICOS LTDA</t>
        </is>
      </c>
      <c r="D1712" s="5" t="inlineStr">
        <is>
          <t>RE</t>
        </is>
      </c>
      <c r="E1712" s="5" t="n">
        <v>5012482</v>
      </c>
      <c r="F1712" s="5" t="inlineStr">
        <is>
          <t>225</t>
        </is>
      </c>
      <c r="G1712" s="5" t="inlineStr">
        <is>
          <t>BRL</t>
        </is>
      </c>
      <c r="H1712" s="9" t="n">
        <v>-1946.87</v>
      </c>
      <c r="I1712" s="16" t="n">
        <v>46213</v>
      </c>
      <c r="J1712" s="16" t="n">
        <v>46270</v>
      </c>
      <c r="K1712" s="5" t="inlineStr">
        <is>
          <t>Fatura - bruto DELTHA SERVICOS LTDA 225</t>
        </is>
      </c>
      <c r="L1712" s="5" t="inlineStr">
        <is>
          <t>08092026</t>
        </is>
      </c>
      <c r="M1712" s="5">
        <f>IF(YEAR(I1712)&lt;=2020,"Até 2020",TEXT(YEAR(I1712),"0"))</f>
        <v/>
      </c>
      <c r="N1712" s="5">
        <f>IFERROR(INDEX(DePara!$A:$A,MATCH(TEXT(B1712,"0"),DePara!$D:$D,0)),"(sem categoria)")</f>
        <v/>
      </c>
      <c r="O1712" s="5">
        <f>IF(J1712="","",Parametros!$B$6-J1712)</f>
        <v/>
      </c>
      <c r="P1712" s="5">
        <f>IF(O1712="","",IF(O1712&gt;0,1,0))</f>
        <v/>
      </c>
    </row>
    <row r="1713">
      <c r="A1713" s="5" t="n">
        <v>2111000000</v>
      </c>
      <c r="B1713" s="5" t="inlineStr">
        <is>
          <t>101400</t>
        </is>
      </c>
      <c r="C1713" s="5" t="inlineStr">
        <is>
          <t>I. V. TRANSPORTES E LOCAÇÕES LTDA</t>
        </is>
      </c>
      <c r="D1713" s="5" t="inlineStr">
        <is>
          <t>RE</t>
        </is>
      </c>
      <c r="E1713" s="5" t="n">
        <v>5012491</v>
      </c>
      <c r="F1713" s="5" t="inlineStr">
        <is>
          <t>3630</t>
        </is>
      </c>
      <c r="G1713" s="5" t="inlineStr">
        <is>
          <t>BRL</t>
        </is>
      </c>
      <c r="H1713" s="9" t="n">
        <v>-2027199.34</v>
      </c>
      <c r="I1713" s="16" t="n">
        <v>46210</v>
      </c>
      <c r="J1713" s="16" t="n">
        <v>46300</v>
      </c>
      <c r="K1713" s="5" t="inlineStr">
        <is>
          <t>Fatura - bruto I. V. TRANSPORTES E LOCAÇÕES LTDA 3</t>
        </is>
      </c>
      <c r="L1713" s="5" t="inlineStr">
        <is>
          <t>05102026</t>
        </is>
      </c>
      <c r="M1713" s="5">
        <f>IF(YEAR(I1713)&lt;=2020,"Até 2020",TEXT(YEAR(I1713),"0"))</f>
        <v/>
      </c>
      <c r="N1713" s="5">
        <f>IFERROR(INDEX(DePara!$A:$A,MATCH(TEXT(B1713,"0"),DePara!$D:$D,0)),"(sem categoria)")</f>
        <v/>
      </c>
      <c r="O1713" s="5">
        <f>IF(J1713="","",Parametros!$B$6-J1713)</f>
        <v/>
      </c>
      <c r="P1713" s="5">
        <f>IF(O1713="","",IF(O1713&gt;0,1,0))</f>
        <v/>
      </c>
    </row>
    <row r="1714">
      <c r="A1714" s="5" t="n">
        <v>2111000000</v>
      </c>
      <c r="B1714" s="5" t="inlineStr">
        <is>
          <t>102113</t>
        </is>
      </c>
      <c r="C1714" s="5" t="inlineStr">
        <is>
          <t>3Z MOVIMENTACAO INTELIGENTE LTDA 94772233000237</t>
        </is>
      </c>
      <c r="D1714" s="5" t="inlineStr">
        <is>
          <t>RE</t>
        </is>
      </c>
      <c r="E1714" s="5" t="n">
        <v>5012492</v>
      </c>
      <c r="F1714" s="5" t="inlineStr">
        <is>
          <t>246</t>
        </is>
      </c>
      <c r="G1714" s="5" t="inlineStr">
        <is>
          <t>BRL</t>
        </is>
      </c>
      <c r="H1714" s="9" t="n">
        <v>-584400.1</v>
      </c>
      <c r="I1714" s="16" t="n">
        <v>46212</v>
      </c>
      <c r="J1714" s="16" t="n">
        <v>46270</v>
      </c>
      <c r="K1714" s="5" t="inlineStr">
        <is>
          <t>Fatura - bruto 3Z MOVIMENTACAO INTELIGENTE LTDA 94</t>
        </is>
      </c>
      <c r="L1714" s="5" t="inlineStr">
        <is>
          <t>08092026</t>
        </is>
      </c>
      <c r="M1714" s="5">
        <f>IF(YEAR(I1714)&lt;=2020,"Até 2020",TEXT(YEAR(I1714),"0"))</f>
        <v/>
      </c>
      <c r="N1714" s="5">
        <f>IFERROR(INDEX(DePara!$A:$A,MATCH(TEXT(B1714,"0"),DePara!$D:$D,0)),"(sem categoria)")</f>
        <v/>
      </c>
      <c r="O1714" s="5">
        <f>IF(J1714="","",Parametros!$B$6-J1714)</f>
        <v/>
      </c>
      <c r="P1714" s="5">
        <f>IF(O1714="","",IF(O1714&gt;0,1,0))</f>
        <v/>
      </c>
    </row>
    <row r="1715">
      <c r="A1715" s="5" t="n">
        <v>2111000000</v>
      </c>
      <c r="B1715" s="5" t="inlineStr">
        <is>
          <t>101420</t>
        </is>
      </c>
      <c r="C1715" s="5" t="inlineStr">
        <is>
          <t>MEDEIROS GALVAO SOLUÇÕES LTDA</t>
        </is>
      </c>
      <c r="D1715" s="5" t="inlineStr">
        <is>
          <t>RE</t>
        </is>
      </c>
      <c r="E1715" s="5" t="n">
        <v>5012546</v>
      </c>
      <c r="F1715" s="5" t="inlineStr">
        <is>
          <t>29757-2</t>
        </is>
      </c>
      <c r="G1715" s="5" t="inlineStr">
        <is>
          <t>BRL</t>
        </is>
      </c>
      <c r="H1715" s="9" t="n">
        <v>-17988</v>
      </c>
      <c r="I1715" s="16" t="n">
        <v>46211</v>
      </c>
      <c r="J1715" s="16" t="n">
        <v>46270</v>
      </c>
      <c r="K1715" s="5" t="inlineStr">
        <is>
          <t>Fatura - bruto MEDEIROS GALVAO SOLUÇÕES LTDA 29757</t>
        </is>
      </c>
      <c r="L1715" s="5" t="inlineStr">
        <is>
          <t>02092026</t>
        </is>
      </c>
      <c r="M1715" s="5">
        <f>IF(YEAR(I1715)&lt;=2020,"Até 2020",TEXT(YEAR(I1715),"0"))</f>
        <v/>
      </c>
      <c r="N1715" s="5">
        <f>IFERROR(INDEX(DePara!$A:$A,MATCH(TEXT(B1715,"0"),DePara!$D:$D,0)),"(sem categoria)")</f>
        <v/>
      </c>
      <c r="O1715" s="5">
        <f>IF(J1715="","",Parametros!$B$6-J1715)</f>
        <v/>
      </c>
      <c r="P1715" s="5">
        <f>IF(O1715="","",IF(O1715&gt;0,1,0))</f>
        <v/>
      </c>
    </row>
    <row r="1716">
      <c r="A1716" s="5" t="n">
        <v>2111000000</v>
      </c>
      <c r="B1716" s="5" t="inlineStr">
        <is>
          <t>101826</t>
        </is>
      </c>
      <c r="C1716" s="5" t="inlineStr">
        <is>
          <t>BUNZL EQUIP DE PROTECÃO INDIVIDUAL</t>
        </is>
      </c>
      <c r="D1716" s="5" t="inlineStr">
        <is>
          <t>RE</t>
        </is>
      </c>
      <c r="E1716" s="5" t="n">
        <v>5012607</v>
      </c>
      <c r="F1716" s="5" t="inlineStr">
        <is>
          <t>1820776-1</t>
        </is>
      </c>
      <c r="G1716" s="5" t="inlineStr">
        <is>
          <t>BRL</t>
        </is>
      </c>
      <c r="H1716" s="9" t="n">
        <v>-105600</v>
      </c>
      <c r="I1716" s="16" t="n">
        <v>46198</v>
      </c>
      <c r="J1716" s="16" t="n">
        <v>46270</v>
      </c>
      <c r="K1716" s="5" t="inlineStr">
        <is>
          <t>Fatura - bruto BUNZL EQUIP DE PROTECÃO INDIVIDUAL</t>
        </is>
      </c>
      <c r="L1716" s="5" t="inlineStr">
        <is>
          <t>08092026</t>
        </is>
      </c>
      <c r="M1716" s="5">
        <f>IF(YEAR(I1716)&lt;=2020,"Até 2020",TEXT(YEAR(I1716),"0"))</f>
        <v/>
      </c>
      <c r="N1716" s="5">
        <f>IFERROR(INDEX(DePara!$A:$A,MATCH(TEXT(B1716,"0"),DePara!$D:$D,0)),"(sem categoria)")</f>
        <v/>
      </c>
      <c r="O1716" s="5">
        <f>IF(J1716="","",Parametros!$B$6-J1716)</f>
        <v/>
      </c>
      <c r="P1716" s="5">
        <f>IF(O1716="","",IF(O1716&gt;0,1,0))</f>
        <v/>
      </c>
    </row>
    <row r="1717">
      <c r="A1717" s="5" t="n">
        <v>2111000000</v>
      </c>
      <c r="B1717" s="5" t="inlineStr">
        <is>
          <t>101420</t>
        </is>
      </c>
      <c r="C1717" s="5" t="inlineStr">
        <is>
          <t>MEDEIROS GALVAO SOLUÇÕES LTDA</t>
        </is>
      </c>
      <c r="D1717" s="5" t="inlineStr">
        <is>
          <t>RE</t>
        </is>
      </c>
      <c r="E1717" s="5" t="n">
        <v>5012618</v>
      </c>
      <c r="F1717" s="5" t="inlineStr">
        <is>
          <t>29786-2</t>
        </is>
      </c>
      <c r="G1717" s="5" t="inlineStr">
        <is>
          <t>BRL</t>
        </is>
      </c>
      <c r="H1717" s="9" t="n">
        <v>-2359.47</v>
      </c>
      <c r="I1717" s="16" t="n">
        <v>46212</v>
      </c>
      <c r="J1717" s="16" t="n">
        <v>46270</v>
      </c>
      <c r="K1717" s="5" t="inlineStr">
        <is>
          <t>Fatura - bruto MEDEIROS GALVAO SOLUÇÕES LTDA 29786</t>
        </is>
      </c>
      <c r="L1717" s="5" t="inlineStr">
        <is>
          <t>02092026</t>
        </is>
      </c>
      <c r="M1717" s="5">
        <f>IF(YEAR(I1717)&lt;=2020,"Até 2020",TEXT(YEAR(I1717),"0"))</f>
        <v/>
      </c>
      <c r="N1717" s="5">
        <f>IFERROR(INDEX(DePara!$A:$A,MATCH(TEXT(B1717,"0"),DePara!$D:$D,0)),"(sem categoria)")</f>
        <v/>
      </c>
      <c r="O1717" s="5">
        <f>IF(J1717="","",Parametros!$B$6-J1717)</f>
        <v/>
      </c>
      <c r="P1717" s="5">
        <f>IF(O1717="","",IF(O1717&gt;0,1,0))</f>
        <v/>
      </c>
    </row>
    <row r="1718">
      <c r="A1718" s="5" t="n">
        <v>2111000000</v>
      </c>
      <c r="B1718" s="5" t="inlineStr">
        <is>
          <t>103999</t>
        </is>
      </c>
      <c r="C1718" s="5" t="inlineStr">
        <is>
          <t>TECNOCON SOLUCOES PARA ENERGIAS REN</t>
        </is>
      </c>
      <c r="D1718" s="5" t="inlineStr">
        <is>
          <t>RE</t>
        </is>
      </c>
      <c r="E1718" s="5" t="n">
        <v>5012656</v>
      </c>
      <c r="F1718" s="5" t="inlineStr">
        <is>
          <t>000019838-000</t>
        </is>
      </c>
      <c r="G1718" s="5" t="inlineStr">
        <is>
          <t>BRL</t>
        </is>
      </c>
      <c r="H1718" s="9" t="n">
        <v>-1937.82</v>
      </c>
      <c r="I1718" s="16" t="n">
        <v>46217</v>
      </c>
      <c r="J1718" s="16" t="n">
        <v>46270</v>
      </c>
      <c r="K1718" s="5" t="inlineStr">
        <is>
          <t>Fatura - bruto TECNOCON SOLUCOES PARA ENERGIAS REN</t>
        </is>
      </c>
      <c r="L1718" s="5" t="inlineStr">
        <is>
          <t>08092026</t>
        </is>
      </c>
      <c r="M1718" s="5">
        <f>IF(YEAR(I1718)&lt;=2020,"Até 2020",TEXT(YEAR(I1718),"0"))</f>
        <v/>
      </c>
      <c r="N1718" s="5">
        <f>IFERROR(INDEX(DePara!$A:$A,MATCH(TEXT(B1718,"0"),DePara!$D:$D,0)),"(sem categoria)")</f>
        <v/>
      </c>
      <c r="O1718" s="5">
        <f>IF(J1718="","",Parametros!$B$6-J1718)</f>
        <v/>
      </c>
      <c r="P1718" s="5">
        <f>IF(O1718="","",IF(O1718&gt;0,1,0))</f>
        <v/>
      </c>
    </row>
    <row r="1719">
      <c r="A1719" s="5" t="n">
        <v>2111000000</v>
      </c>
      <c r="B1719" s="5" t="inlineStr">
        <is>
          <t>100396</t>
        </is>
      </c>
      <c r="C1719" s="5" t="inlineStr">
        <is>
          <t>DISTRIBUI LOGISTICA LTDA 03592033000166</t>
        </is>
      </c>
      <c r="D1719" s="5" t="inlineStr">
        <is>
          <t>RE</t>
        </is>
      </c>
      <c r="E1719" s="5" t="n">
        <v>5012734</v>
      </c>
      <c r="F1719" s="5" t="inlineStr">
        <is>
          <t>10900-4</t>
        </is>
      </c>
      <c r="G1719" s="5" t="inlineStr">
        <is>
          <t>BRL</t>
        </is>
      </c>
      <c r="H1719" s="9" t="n">
        <v>-2021.06</v>
      </c>
      <c r="I1719" s="16" t="n">
        <v>46210</v>
      </c>
      <c r="J1719" s="16" t="n">
        <v>46270</v>
      </c>
      <c r="K1719" s="5" t="inlineStr">
        <is>
          <t>Fatura - bruto DISTRIBUI LOGISTICA LTDA 0359203300</t>
        </is>
      </c>
      <c r="L1719" s="5" t="inlineStr">
        <is>
          <t>08092026</t>
        </is>
      </c>
      <c r="M1719" s="5">
        <f>IF(YEAR(I1719)&lt;=2020,"Até 2020",TEXT(YEAR(I1719),"0"))</f>
        <v/>
      </c>
      <c r="N1719" s="5">
        <f>IFERROR(INDEX(DePara!$A:$A,MATCH(TEXT(B1719,"0"),DePara!$D:$D,0)),"(sem categoria)")</f>
        <v/>
      </c>
      <c r="O1719" s="5">
        <f>IF(J1719="","",Parametros!$B$6-J1719)</f>
        <v/>
      </c>
      <c r="P1719" s="5">
        <f>IF(O1719="","",IF(O1719&gt;0,1,0))</f>
        <v/>
      </c>
    </row>
    <row r="1720">
      <c r="A1720" s="5" t="n">
        <v>2111000000</v>
      </c>
      <c r="B1720" s="5" t="inlineStr">
        <is>
          <t>102113</t>
        </is>
      </c>
      <c r="C1720" s="5" t="inlineStr">
        <is>
          <t>3Z MOVIMENTACAO INTELIGENTE LTDA 94772233000237</t>
        </is>
      </c>
      <c r="D1720" s="5" t="inlineStr">
        <is>
          <t>RE</t>
        </is>
      </c>
      <c r="E1720" s="5" t="n">
        <v>5012762</v>
      </c>
      <c r="F1720" s="5" t="inlineStr">
        <is>
          <t>247</t>
        </is>
      </c>
      <c r="G1720" s="5" t="inlineStr">
        <is>
          <t>BRL</t>
        </is>
      </c>
      <c r="H1720" s="9" t="n">
        <v>-1519503.07</v>
      </c>
      <c r="I1720" s="16" t="n">
        <v>46212</v>
      </c>
      <c r="J1720" s="16" t="n">
        <v>46302</v>
      </c>
      <c r="K1720" s="5" t="inlineStr">
        <is>
          <t>Fatura - bruto 3Z MOVIMENTACAO INTELIGENTE LTDA 94</t>
        </is>
      </c>
      <c r="L1720" s="5" t="inlineStr">
        <is>
          <t>07102026</t>
        </is>
      </c>
      <c r="M1720" s="5">
        <f>IF(YEAR(I1720)&lt;=2020,"Até 2020",TEXT(YEAR(I1720),"0"))</f>
        <v/>
      </c>
      <c r="N1720" s="5">
        <f>IFERROR(INDEX(DePara!$A:$A,MATCH(TEXT(B1720,"0"),DePara!$D:$D,0)),"(sem categoria)")</f>
        <v/>
      </c>
      <c r="O1720" s="5">
        <f>IF(J1720="","",Parametros!$B$6-J1720)</f>
        <v/>
      </c>
      <c r="P1720" s="5">
        <f>IF(O1720="","",IF(O1720&gt;0,1,0))</f>
        <v/>
      </c>
    </row>
    <row r="1721">
      <c r="A1721" s="5" t="n">
        <v>2111000000</v>
      </c>
      <c r="B1721" s="5" t="inlineStr">
        <is>
          <t>101463</t>
        </is>
      </c>
      <c r="C1721" s="5" t="inlineStr">
        <is>
          <t>ZURICH MINAS BRASIL SEGUROS S A</t>
        </is>
      </c>
      <c r="D1721" s="5" t="inlineStr">
        <is>
          <t>RE</t>
        </is>
      </c>
      <c r="E1721" s="5" t="n">
        <v>5012801</v>
      </c>
      <c r="F1721" s="5" t="inlineStr">
        <is>
          <t>0029/26E</t>
        </is>
      </c>
      <c r="G1721" s="5" t="inlineStr">
        <is>
          <t>BRL</t>
        </is>
      </c>
      <c r="H1721" s="9" t="n">
        <v>-7074.5</v>
      </c>
      <c r="I1721" s="16" t="n">
        <v>46099</v>
      </c>
      <c r="J1721" s="16" t="n">
        <v>46219</v>
      </c>
      <c r="K1721" s="5" t="inlineStr">
        <is>
          <t>Invoice Payment. SP: 16082</t>
        </is>
      </c>
      <c r="L1721" s="5" t="inlineStr">
        <is>
          <t>0029/26E</t>
        </is>
      </c>
      <c r="M1721" s="5">
        <f>IF(YEAR(I1721)&lt;=2020,"Até 2020",TEXT(YEAR(I1721),"0"))</f>
        <v/>
      </c>
      <c r="N1721" s="5">
        <f>IFERROR(INDEX(DePara!$A:$A,MATCH(TEXT(B1721,"0"),DePara!$D:$D,0)),"(sem categoria)")</f>
        <v/>
      </c>
      <c r="O1721" s="5">
        <f>IF(J1721="","",Parametros!$B$6-J1721)</f>
        <v/>
      </c>
      <c r="P1721" s="5">
        <f>IF(O1721="","",IF(O1721&gt;0,1,0))</f>
        <v/>
      </c>
    </row>
    <row r="1722">
      <c r="A1722" s="5" t="n">
        <v>2111000000</v>
      </c>
      <c r="B1722" s="5" t="inlineStr">
        <is>
          <t>101645</t>
        </is>
      </c>
      <c r="C1722" s="5" t="inlineStr">
        <is>
          <t>LUITEX MAQUINAS E FERRAMENTAS LTDA</t>
        </is>
      </c>
      <c r="D1722" s="5" t="inlineStr">
        <is>
          <t>RE</t>
        </is>
      </c>
      <c r="E1722" s="5" t="n">
        <v>5012802</v>
      </c>
      <c r="F1722" s="5" t="inlineStr">
        <is>
          <t>624297-1</t>
        </is>
      </c>
      <c r="G1722" s="5" t="inlineStr">
        <is>
          <t>BRL</t>
        </is>
      </c>
      <c r="H1722" s="9" t="n">
        <v>-13172.96</v>
      </c>
      <c r="I1722" s="16" t="n">
        <v>46191</v>
      </c>
      <c r="J1722" s="16" t="n">
        <v>46270</v>
      </c>
      <c r="K1722" s="5" t="inlineStr">
        <is>
          <t>Fatura - bruto LUITEX MAQUINAS E FERRAMENTAS LTDA</t>
        </is>
      </c>
      <c r="L1722" s="5" t="inlineStr">
        <is>
          <t>08092026</t>
        </is>
      </c>
      <c r="M1722" s="5">
        <f>IF(YEAR(I1722)&lt;=2020,"Até 2020",TEXT(YEAR(I1722),"0"))</f>
        <v/>
      </c>
      <c r="N1722" s="5">
        <f>IFERROR(INDEX(DePara!$A:$A,MATCH(TEXT(B1722,"0"),DePara!$D:$D,0)),"(sem categoria)")</f>
        <v/>
      </c>
      <c r="O1722" s="5">
        <f>IF(J1722="","",Parametros!$B$6-J1722)</f>
        <v/>
      </c>
      <c r="P1722" s="5">
        <f>IF(O1722="","",IF(O1722&gt;0,1,0))</f>
        <v/>
      </c>
    </row>
    <row r="1723">
      <c r="A1723" s="5" t="n">
        <v>2111000000</v>
      </c>
      <c r="B1723" s="5" t="inlineStr">
        <is>
          <t>104050</t>
        </is>
      </c>
      <c r="C1723" s="5" t="inlineStr">
        <is>
          <t>DEFENSY SEGURANCA E SERVICOS LTDA 49758078000169</t>
        </is>
      </c>
      <c r="D1723" s="5" t="inlineStr">
        <is>
          <t>RE</t>
        </is>
      </c>
      <c r="E1723" s="5" t="n">
        <v>5012842</v>
      </c>
      <c r="F1723" s="5" t="inlineStr">
        <is>
          <t>12</t>
        </is>
      </c>
      <c r="G1723" s="5" t="inlineStr">
        <is>
          <t>BRL</t>
        </is>
      </c>
      <c r="H1723" s="9" t="n">
        <v>-71881.34</v>
      </c>
      <c r="I1723" s="16" t="n">
        <v>46218</v>
      </c>
      <c r="J1723" s="16" t="n">
        <v>46270</v>
      </c>
      <c r="K1723" s="5" t="inlineStr">
        <is>
          <t>Fatura - bruto DEFENSY SEGURANCA E SERVICOS LTDA 4</t>
        </is>
      </c>
      <c r="L1723" s="5" t="inlineStr">
        <is>
          <t>08092026</t>
        </is>
      </c>
      <c r="M1723" s="5">
        <f>IF(YEAR(I1723)&lt;=2020,"Até 2020",TEXT(YEAR(I1723),"0"))</f>
        <v/>
      </c>
      <c r="N1723" s="5">
        <f>IFERROR(INDEX(DePara!$A:$A,MATCH(TEXT(B1723,"0"),DePara!$D:$D,0)),"(sem categoria)")</f>
        <v/>
      </c>
      <c r="O1723" s="5">
        <f>IF(J1723="","",Parametros!$B$6-J1723)</f>
        <v/>
      </c>
      <c r="P1723" s="5">
        <f>IF(O1723="","",IF(O1723&gt;0,1,0))</f>
        <v/>
      </c>
    </row>
    <row r="1724">
      <c r="A1724" s="5" t="n">
        <v>2111000000</v>
      </c>
      <c r="B1724" s="5" t="inlineStr">
        <is>
          <t>101929</t>
        </is>
      </c>
      <c r="C1724" s="5" t="inlineStr">
        <is>
          <t>TECNOFIX INDUSTRIA E COMERCIO DE PA</t>
        </is>
      </c>
      <c r="D1724" s="5" t="inlineStr">
        <is>
          <t>RE</t>
        </is>
      </c>
      <c r="E1724" s="5" t="n">
        <v>5012896</v>
      </c>
      <c r="F1724" s="5" t="inlineStr">
        <is>
          <t>000031351-1</t>
        </is>
      </c>
      <c r="G1724" s="5" t="inlineStr">
        <is>
          <t>BRL</t>
        </is>
      </c>
      <c r="H1724" s="9" t="n">
        <v>-66690.3</v>
      </c>
      <c r="I1724" s="16" t="n">
        <v>46219</v>
      </c>
      <c r="J1724" s="16" t="n">
        <v>46270</v>
      </c>
      <c r="K1724" s="5" t="inlineStr">
        <is>
          <t>Fatura - bruto TECNOFIX INDUSTRIA E COMERCIO DE PA</t>
        </is>
      </c>
      <c r="L1724" s="5" t="inlineStr">
        <is>
          <t>02092026</t>
        </is>
      </c>
      <c r="M1724" s="5">
        <f>IF(YEAR(I1724)&lt;=2020,"Até 2020",TEXT(YEAR(I1724),"0"))</f>
        <v/>
      </c>
      <c r="N1724" s="5">
        <f>IFERROR(INDEX(DePara!$A:$A,MATCH(TEXT(B1724,"0"),DePara!$D:$D,0)),"(sem categoria)")</f>
        <v/>
      </c>
      <c r="O1724" s="5">
        <f>IF(J1724="","",Parametros!$B$6-J1724)</f>
        <v/>
      </c>
      <c r="P1724" s="5">
        <f>IF(O1724="","",IF(O1724&gt;0,1,0))</f>
        <v/>
      </c>
    </row>
    <row r="1725">
      <c r="A1725" s="5" t="n">
        <v>2111000000</v>
      </c>
      <c r="B1725" s="5" t="inlineStr">
        <is>
          <t>101929</t>
        </is>
      </c>
      <c r="C1725" s="5" t="inlineStr">
        <is>
          <t>TECNOFIX INDUSTRIA E COMERCIO DE PA</t>
        </is>
      </c>
      <c r="D1725" s="5" t="inlineStr">
        <is>
          <t>RS</t>
        </is>
      </c>
      <c r="E1725" s="5" t="n">
        <v>5012900</v>
      </c>
      <c r="F1725" s="5" t="inlineStr">
        <is>
          <t>000031351-1</t>
        </is>
      </c>
      <c r="G1725" s="5" t="inlineStr">
        <is>
          <t>BRL</t>
        </is>
      </c>
      <c r="H1725" s="9" t="n">
        <v>66690.3</v>
      </c>
      <c r="I1725" s="16" t="n">
        <v>46219</v>
      </c>
      <c r="J1725" s="16" t="n">
        <v>46270</v>
      </c>
      <c r="K1725" s="5" t="inlineStr">
        <is>
          <t>MR8M</t>
        </is>
      </c>
      <c r="L1725" s="5" t="inlineStr">
        <is>
          <t>02092026</t>
        </is>
      </c>
      <c r="M1725" s="5">
        <f>IF(YEAR(I1725)&lt;=2020,"Até 2020",TEXT(YEAR(I1725),"0"))</f>
        <v/>
      </c>
      <c r="N1725" s="5">
        <f>IFERROR(INDEX(DePara!$A:$A,MATCH(TEXT(B1725,"0"),DePara!$D:$D,0)),"(sem categoria)")</f>
        <v/>
      </c>
      <c r="O1725" s="5">
        <f>IF(J1725="","",Parametros!$B$6-J1725)</f>
        <v/>
      </c>
      <c r="P1725" s="5">
        <f>IF(O1725="","",IF(O1725&gt;0,1,0))</f>
        <v/>
      </c>
    </row>
    <row r="1726">
      <c r="A1726" s="5" t="n">
        <v>2111000000</v>
      </c>
      <c r="B1726" s="5" t="inlineStr">
        <is>
          <t>101929</t>
        </is>
      </c>
      <c r="C1726" s="5" t="inlineStr">
        <is>
          <t>TECNOFIX INDUSTRIA E COMERCIO DE PA</t>
        </is>
      </c>
      <c r="D1726" s="5" t="inlineStr">
        <is>
          <t>RE</t>
        </is>
      </c>
      <c r="E1726" s="5" t="n">
        <v>5012903</v>
      </c>
      <c r="F1726" s="5" t="inlineStr">
        <is>
          <t>000031351-1</t>
        </is>
      </c>
      <c r="G1726" s="5" t="inlineStr">
        <is>
          <t>BRL</t>
        </is>
      </c>
      <c r="H1726" s="9" t="n">
        <v>-66690.3</v>
      </c>
      <c r="I1726" s="16" t="n">
        <v>46219</v>
      </c>
      <c r="J1726" s="16" t="n">
        <v>46270</v>
      </c>
      <c r="K1726" s="5" t="inlineStr">
        <is>
          <t>Fatura - bruto TECNOFIX INDUSTRIA E COMERCIO DE PA</t>
        </is>
      </c>
      <c r="L1726" s="5" t="inlineStr">
        <is>
          <t>02092026</t>
        </is>
      </c>
      <c r="M1726" s="5">
        <f>IF(YEAR(I1726)&lt;=2020,"Até 2020",TEXT(YEAR(I1726),"0"))</f>
        <v/>
      </c>
      <c r="N1726" s="5">
        <f>IFERROR(INDEX(DePara!$A:$A,MATCH(TEXT(B1726,"0"),DePara!$D:$D,0)),"(sem categoria)")</f>
        <v/>
      </c>
      <c r="O1726" s="5">
        <f>IF(J1726="","",Parametros!$B$6-J1726)</f>
        <v/>
      </c>
      <c r="P1726" s="5">
        <f>IF(O1726="","",IF(O1726&gt;0,1,0))</f>
        <v/>
      </c>
    </row>
    <row r="1727">
      <c r="A1727" s="5" t="n">
        <v>2111000000</v>
      </c>
      <c r="B1727" s="5" t="inlineStr">
        <is>
          <t>100379</t>
        </is>
      </c>
      <c r="C1727" s="5" t="inlineStr">
        <is>
          <t>RAK LOG TRANSPORTES E LOGISTICA EIR</t>
        </is>
      </c>
      <c r="D1727" s="5" t="inlineStr">
        <is>
          <t>RE</t>
        </is>
      </c>
      <c r="E1727" s="5" t="n">
        <v>5012936</v>
      </c>
      <c r="F1727" s="5" t="inlineStr">
        <is>
          <t>332521-1</t>
        </is>
      </c>
      <c r="G1727" s="5" t="inlineStr">
        <is>
          <t>BRL</t>
        </is>
      </c>
      <c r="H1727" s="9" t="n">
        <v>-13140.67</v>
      </c>
      <c r="I1727" s="16" t="n">
        <v>46182</v>
      </c>
      <c r="J1727" s="16" t="n">
        <v>46270</v>
      </c>
      <c r="K1727" s="5" t="inlineStr">
        <is>
          <t>Fatura - bruto RAK LOG TRANSPORTES E LOGISTICA EIR</t>
        </is>
      </c>
      <c r="L1727" s="5" t="inlineStr">
        <is>
          <t>08092026</t>
        </is>
      </c>
      <c r="M1727" s="5">
        <f>IF(YEAR(I1727)&lt;=2020,"Até 2020",TEXT(YEAR(I1727),"0"))</f>
        <v/>
      </c>
      <c r="N1727" s="5">
        <f>IFERROR(INDEX(DePara!$A:$A,MATCH(TEXT(B1727,"0"),DePara!$D:$D,0)),"(sem categoria)")</f>
        <v/>
      </c>
      <c r="O1727" s="5">
        <f>IF(J1727="","",Parametros!$B$6-J1727)</f>
        <v/>
      </c>
      <c r="P1727" s="5">
        <f>IF(O1727="","",IF(O1727&gt;0,1,0))</f>
        <v/>
      </c>
    </row>
    <row r="1728">
      <c r="A1728" s="5" t="n">
        <v>2111000000</v>
      </c>
      <c r="B1728" s="5" t="inlineStr">
        <is>
          <t>100379</t>
        </is>
      </c>
      <c r="C1728" s="5" t="inlineStr">
        <is>
          <t>RAK LOG TRANSPORTES E LOGISTICA EIR</t>
        </is>
      </c>
      <c r="D1728" s="5" t="inlineStr">
        <is>
          <t>RE</t>
        </is>
      </c>
      <c r="E1728" s="5" t="n">
        <v>5012937</v>
      </c>
      <c r="F1728" s="5" t="inlineStr">
        <is>
          <t>332525-1</t>
        </is>
      </c>
      <c r="G1728" s="5" t="inlineStr">
        <is>
          <t>BRL</t>
        </is>
      </c>
      <c r="H1728" s="9" t="n">
        <v>-13140.67</v>
      </c>
      <c r="I1728" s="16" t="n">
        <v>46182</v>
      </c>
      <c r="J1728" s="16" t="n">
        <v>46270</v>
      </c>
      <c r="K1728" s="5" t="inlineStr">
        <is>
          <t>Fatura - bruto RAK LOG TRANSPORTES E LOGISTICA EIR</t>
        </is>
      </c>
      <c r="L1728" s="5" t="inlineStr">
        <is>
          <t>08092026</t>
        </is>
      </c>
      <c r="M1728" s="5">
        <f>IF(YEAR(I1728)&lt;=2020,"Até 2020",TEXT(YEAR(I1728),"0"))</f>
        <v/>
      </c>
      <c r="N1728" s="5">
        <f>IFERROR(INDEX(DePara!$A:$A,MATCH(TEXT(B1728,"0"),DePara!$D:$D,0)),"(sem categoria)")</f>
        <v/>
      </c>
      <c r="O1728" s="5">
        <f>IF(J1728="","",Parametros!$B$6-J1728)</f>
        <v/>
      </c>
      <c r="P1728" s="5">
        <f>IF(O1728="","",IF(O1728&gt;0,1,0))</f>
        <v/>
      </c>
    </row>
    <row r="1729">
      <c r="A1729" s="5" t="n">
        <v>2111000000</v>
      </c>
      <c r="B1729" s="5" t="inlineStr">
        <is>
          <t>100379</t>
        </is>
      </c>
      <c r="C1729" s="5" t="inlineStr">
        <is>
          <t>RAK LOG TRANSPORTES E LOGISTICA EIR</t>
        </is>
      </c>
      <c r="D1729" s="5" t="inlineStr">
        <is>
          <t>RE</t>
        </is>
      </c>
      <c r="E1729" s="5" t="n">
        <v>5012938</v>
      </c>
      <c r="F1729" s="5" t="inlineStr">
        <is>
          <t>332689-1</t>
        </is>
      </c>
      <c r="G1729" s="5" t="inlineStr">
        <is>
          <t>BRL</t>
        </is>
      </c>
      <c r="H1729" s="9" t="n">
        <v>-13090.01</v>
      </c>
      <c r="I1729" s="16" t="n">
        <v>46183</v>
      </c>
      <c r="J1729" s="16" t="n">
        <v>46270</v>
      </c>
      <c r="K1729" s="5" t="inlineStr">
        <is>
          <t>Fatura - bruto RAK LOG TRANSPORTES E LOGISTICA EIR</t>
        </is>
      </c>
      <c r="L1729" s="5" t="inlineStr">
        <is>
          <t>08092026</t>
        </is>
      </c>
      <c r="M1729" s="5">
        <f>IF(YEAR(I1729)&lt;=2020,"Até 2020",TEXT(YEAR(I1729),"0"))</f>
        <v/>
      </c>
      <c r="N1729" s="5">
        <f>IFERROR(INDEX(DePara!$A:$A,MATCH(TEXT(B1729,"0"),DePara!$D:$D,0)),"(sem categoria)")</f>
        <v/>
      </c>
      <c r="O1729" s="5">
        <f>IF(J1729="","",Parametros!$B$6-J1729)</f>
        <v/>
      </c>
      <c r="P1729" s="5">
        <f>IF(O1729="","",IF(O1729&gt;0,1,0))</f>
        <v/>
      </c>
    </row>
    <row r="1730">
      <c r="A1730" s="5" t="n">
        <v>2111000000</v>
      </c>
      <c r="B1730" s="5" t="inlineStr">
        <is>
          <t>100379</t>
        </is>
      </c>
      <c r="C1730" s="5" t="inlineStr">
        <is>
          <t>RAK LOG TRANSPORTES E LOGISTICA EIR</t>
        </is>
      </c>
      <c r="D1730" s="5" t="inlineStr">
        <is>
          <t>RE</t>
        </is>
      </c>
      <c r="E1730" s="5" t="n">
        <v>5012939</v>
      </c>
      <c r="F1730" s="5" t="inlineStr">
        <is>
          <t>332695-1</t>
        </is>
      </c>
      <c r="G1730" s="5" t="inlineStr">
        <is>
          <t>BRL</t>
        </is>
      </c>
      <c r="H1730" s="9" t="n">
        <v>-13090.01</v>
      </c>
      <c r="I1730" s="16" t="n">
        <v>46183</v>
      </c>
      <c r="J1730" s="16" t="n">
        <v>46270</v>
      </c>
      <c r="K1730" s="5" t="inlineStr">
        <is>
          <t>Fatura - bruto RAK LOG TRANSPORTES E LOGISTICA EIR</t>
        </is>
      </c>
      <c r="L1730" s="5" t="inlineStr">
        <is>
          <t>08092026</t>
        </is>
      </c>
      <c r="M1730" s="5">
        <f>IF(YEAR(I1730)&lt;=2020,"Até 2020",TEXT(YEAR(I1730),"0"))</f>
        <v/>
      </c>
      <c r="N1730" s="5">
        <f>IFERROR(INDEX(DePara!$A:$A,MATCH(TEXT(B1730,"0"),DePara!$D:$D,0)),"(sem categoria)")</f>
        <v/>
      </c>
      <c r="O1730" s="5">
        <f>IF(J1730="","",Parametros!$B$6-J1730)</f>
        <v/>
      </c>
      <c r="P1730" s="5">
        <f>IF(O1730="","",IF(O1730&gt;0,1,0))</f>
        <v/>
      </c>
    </row>
    <row r="1731">
      <c r="A1731" s="5" t="n">
        <v>2111000000</v>
      </c>
      <c r="B1731" s="5" t="inlineStr">
        <is>
          <t>100379</t>
        </is>
      </c>
      <c r="C1731" s="5" t="inlineStr">
        <is>
          <t>RAK LOG TRANSPORTES E LOGISTICA EIR</t>
        </is>
      </c>
      <c r="D1731" s="5" t="inlineStr">
        <is>
          <t>RE</t>
        </is>
      </c>
      <c r="E1731" s="5" t="n">
        <v>5012940</v>
      </c>
      <c r="F1731" s="5" t="inlineStr">
        <is>
          <t>332778-1</t>
        </is>
      </c>
      <c r="G1731" s="5" t="inlineStr">
        <is>
          <t>BRL</t>
        </is>
      </c>
      <c r="H1731" s="9" t="n">
        <v>-13189.54</v>
      </c>
      <c r="I1731" s="16" t="n">
        <v>46184</v>
      </c>
      <c r="J1731" s="16" t="n">
        <v>46270</v>
      </c>
      <c r="K1731" s="5" t="inlineStr">
        <is>
          <t>Fatura - bruto RAK LOG TRANSPORTES E LOGISTICA EIR</t>
        </is>
      </c>
      <c r="L1731" s="5" t="inlineStr">
        <is>
          <t>08092026</t>
        </is>
      </c>
      <c r="M1731" s="5">
        <f>IF(YEAR(I1731)&lt;=2020,"Até 2020",TEXT(YEAR(I1731),"0"))</f>
        <v/>
      </c>
      <c r="N1731" s="5">
        <f>IFERROR(INDEX(DePara!$A:$A,MATCH(TEXT(B1731,"0"),DePara!$D:$D,0)),"(sem categoria)")</f>
        <v/>
      </c>
      <c r="O1731" s="5">
        <f>IF(J1731="","",Parametros!$B$6-J1731)</f>
        <v/>
      </c>
      <c r="P1731" s="5">
        <f>IF(O1731="","",IF(O1731&gt;0,1,0))</f>
        <v/>
      </c>
    </row>
    <row r="1732">
      <c r="A1732" s="5" t="n">
        <v>2111000000</v>
      </c>
      <c r="B1732" s="5" t="inlineStr">
        <is>
          <t>100379</t>
        </is>
      </c>
      <c r="C1732" s="5" t="inlineStr">
        <is>
          <t>RAK LOG TRANSPORTES E LOGISTICA EIR</t>
        </is>
      </c>
      <c r="D1732" s="5" t="inlineStr">
        <is>
          <t>RE</t>
        </is>
      </c>
      <c r="E1732" s="5" t="n">
        <v>5012941</v>
      </c>
      <c r="F1732" s="5" t="inlineStr">
        <is>
          <t>332852-1</t>
        </is>
      </c>
      <c r="G1732" s="5" t="inlineStr">
        <is>
          <t>BRL</t>
        </is>
      </c>
      <c r="H1732" s="9" t="n">
        <v>-13189.54</v>
      </c>
      <c r="I1732" s="16" t="n">
        <v>46184</v>
      </c>
      <c r="J1732" s="16" t="n">
        <v>46270</v>
      </c>
      <c r="K1732" s="5" t="inlineStr">
        <is>
          <t>Fatura - bruto RAK LOG TRANSPORTES E LOGISTICA EIR</t>
        </is>
      </c>
      <c r="L1732" s="5" t="inlineStr">
        <is>
          <t>08092026</t>
        </is>
      </c>
      <c r="M1732" s="5">
        <f>IF(YEAR(I1732)&lt;=2020,"Até 2020",TEXT(YEAR(I1732),"0"))</f>
        <v/>
      </c>
      <c r="N1732" s="5">
        <f>IFERROR(INDEX(DePara!$A:$A,MATCH(TEXT(B1732,"0"),DePara!$D:$D,0)),"(sem categoria)")</f>
        <v/>
      </c>
      <c r="O1732" s="5">
        <f>IF(J1732="","",Parametros!$B$6-J1732)</f>
        <v/>
      </c>
      <c r="P1732" s="5">
        <f>IF(O1732="","",IF(O1732&gt;0,1,0))</f>
        <v/>
      </c>
    </row>
    <row r="1733">
      <c r="A1733" s="5" t="n">
        <v>2111000000</v>
      </c>
      <c r="B1733" s="5" t="inlineStr">
        <is>
          <t>100379</t>
        </is>
      </c>
      <c r="C1733" s="5" t="inlineStr">
        <is>
          <t>RAK LOG TRANSPORTES E LOGISTICA EIR</t>
        </is>
      </c>
      <c r="D1733" s="5" t="inlineStr">
        <is>
          <t>RE</t>
        </is>
      </c>
      <c r="E1733" s="5" t="n">
        <v>5012942</v>
      </c>
      <c r="F1733" s="5" t="inlineStr">
        <is>
          <t>333255-1</t>
        </is>
      </c>
      <c r="G1733" s="5" t="inlineStr">
        <is>
          <t>BRL</t>
        </is>
      </c>
      <c r="H1733" s="9" t="n">
        <v>-13163.07</v>
      </c>
      <c r="I1733" s="16" t="n">
        <v>46189</v>
      </c>
      <c r="J1733" s="16" t="n">
        <v>46270</v>
      </c>
      <c r="K1733" s="5" t="inlineStr">
        <is>
          <t>Fatura - bruto RAK LOG TRANSPORTES E LOGISTICA EIR</t>
        </is>
      </c>
      <c r="L1733" s="5" t="inlineStr">
        <is>
          <t>08092026</t>
        </is>
      </c>
      <c r="M1733" s="5">
        <f>IF(YEAR(I1733)&lt;=2020,"Até 2020",TEXT(YEAR(I1733),"0"))</f>
        <v/>
      </c>
      <c r="N1733" s="5">
        <f>IFERROR(INDEX(DePara!$A:$A,MATCH(TEXT(B1733,"0"),DePara!$D:$D,0)),"(sem categoria)")</f>
        <v/>
      </c>
      <c r="O1733" s="5">
        <f>IF(J1733="","",Parametros!$B$6-J1733)</f>
        <v/>
      </c>
      <c r="P1733" s="5">
        <f>IF(O1733="","",IF(O1733&gt;0,1,0))</f>
        <v/>
      </c>
    </row>
    <row r="1734">
      <c r="A1734" s="5" t="n">
        <v>2111000000</v>
      </c>
      <c r="B1734" s="5" t="inlineStr">
        <is>
          <t>100379</t>
        </is>
      </c>
      <c r="C1734" s="5" t="inlineStr">
        <is>
          <t>RAK LOG TRANSPORTES E LOGISTICA EIR</t>
        </is>
      </c>
      <c r="D1734" s="5" t="inlineStr">
        <is>
          <t>RE</t>
        </is>
      </c>
      <c r="E1734" s="5" t="n">
        <v>5012943</v>
      </c>
      <c r="F1734" s="5" t="inlineStr">
        <is>
          <t>333361-1</t>
        </is>
      </c>
      <c r="G1734" s="5" t="inlineStr">
        <is>
          <t>BRL</t>
        </is>
      </c>
      <c r="H1734" s="9" t="n">
        <v>-13163.07</v>
      </c>
      <c r="I1734" s="16" t="n">
        <v>46190</v>
      </c>
      <c r="J1734" s="16" t="n">
        <v>46270</v>
      </c>
      <c r="K1734" s="5" t="inlineStr">
        <is>
          <t>Fatura - bruto RAK LOG TRANSPORTES E LOGISTICA EIR</t>
        </is>
      </c>
      <c r="L1734" s="5" t="inlineStr">
        <is>
          <t>08092026</t>
        </is>
      </c>
      <c r="M1734" s="5">
        <f>IF(YEAR(I1734)&lt;=2020,"Até 2020",TEXT(YEAR(I1734),"0"))</f>
        <v/>
      </c>
      <c r="N1734" s="5">
        <f>IFERROR(INDEX(DePara!$A:$A,MATCH(TEXT(B1734,"0"),DePara!$D:$D,0)),"(sem categoria)")</f>
        <v/>
      </c>
      <c r="O1734" s="5">
        <f>IF(J1734="","",Parametros!$B$6-J1734)</f>
        <v/>
      </c>
      <c r="P1734" s="5">
        <f>IF(O1734="","",IF(O1734&gt;0,1,0))</f>
        <v/>
      </c>
    </row>
    <row r="1735">
      <c r="A1735" s="5" t="n">
        <v>2111000000</v>
      </c>
      <c r="B1735" s="5" t="inlineStr">
        <is>
          <t>100379</t>
        </is>
      </c>
      <c r="C1735" s="5" t="inlineStr">
        <is>
          <t>RAK LOG TRANSPORTES E LOGISTICA EIR</t>
        </is>
      </c>
      <c r="D1735" s="5" t="inlineStr">
        <is>
          <t>RE</t>
        </is>
      </c>
      <c r="E1735" s="5" t="n">
        <v>5012944</v>
      </c>
      <c r="F1735" s="5" t="inlineStr">
        <is>
          <t>333363-1</t>
        </is>
      </c>
      <c r="G1735" s="5" t="inlineStr">
        <is>
          <t>BRL</t>
        </is>
      </c>
      <c r="H1735" s="9" t="n">
        <v>-13163.07</v>
      </c>
      <c r="I1735" s="16" t="n">
        <v>46190</v>
      </c>
      <c r="J1735" s="16" t="n">
        <v>46270</v>
      </c>
      <c r="K1735" s="5" t="inlineStr">
        <is>
          <t>Fatura - bruto RAK LOG TRANSPORTES E LOGISTICA EIR</t>
        </is>
      </c>
      <c r="L1735" s="5" t="inlineStr">
        <is>
          <t>08092026</t>
        </is>
      </c>
      <c r="M1735" s="5">
        <f>IF(YEAR(I1735)&lt;=2020,"Até 2020",TEXT(YEAR(I1735),"0"))</f>
        <v/>
      </c>
      <c r="N1735" s="5">
        <f>IFERROR(INDEX(DePara!$A:$A,MATCH(TEXT(B1735,"0"),DePara!$D:$D,0)),"(sem categoria)")</f>
        <v/>
      </c>
      <c r="O1735" s="5">
        <f>IF(J1735="","",Parametros!$B$6-J1735)</f>
        <v/>
      </c>
      <c r="P1735" s="5">
        <f>IF(O1735="","",IF(O1735&gt;0,1,0))</f>
        <v/>
      </c>
    </row>
    <row r="1736">
      <c r="A1736" s="5" t="n">
        <v>2111000000</v>
      </c>
      <c r="B1736" s="5" t="inlineStr">
        <is>
          <t>100379</t>
        </is>
      </c>
      <c r="C1736" s="5" t="inlineStr">
        <is>
          <t>RAK LOG TRANSPORTES E LOGISTICA EIR</t>
        </is>
      </c>
      <c r="D1736" s="5" t="inlineStr">
        <is>
          <t>RE</t>
        </is>
      </c>
      <c r="E1736" s="5" t="n">
        <v>5012945</v>
      </c>
      <c r="F1736" s="5" t="inlineStr">
        <is>
          <t>333430-1</t>
        </is>
      </c>
      <c r="G1736" s="5" t="inlineStr">
        <is>
          <t>BRL</t>
        </is>
      </c>
      <c r="H1736" s="9" t="n">
        <v>-13028.12</v>
      </c>
      <c r="I1736" s="16" t="n">
        <v>46191</v>
      </c>
      <c r="J1736" s="16" t="n">
        <v>46270</v>
      </c>
      <c r="K1736" s="5" t="inlineStr">
        <is>
          <t>Fatura - bruto RAK LOG TRANSPORTES E LOGISTICA EIR</t>
        </is>
      </c>
      <c r="L1736" s="5" t="inlineStr">
        <is>
          <t>08092026</t>
        </is>
      </c>
      <c r="M1736" s="5">
        <f>IF(YEAR(I1736)&lt;=2020,"Até 2020",TEXT(YEAR(I1736),"0"))</f>
        <v/>
      </c>
      <c r="N1736" s="5">
        <f>IFERROR(INDEX(DePara!$A:$A,MATCH(TEXT(B1736,"0"),DePara!$D:$D,0)),"(sem categoria)")</f>
        <v/>
      </c>
      <c r="O1736" s="5">
        <f>IF(J1736="","",Parametros!$B$6-J1736)</f>
        <v/>
      </c>
      <c r="P1736" s="5">
        <f>IF(O1736="","",IF(O1736&gt;0,1,0))</f>
        <v/>
      </c>
    </row>
    <row r="1737">
      <c r="A1737" s="5" t="n">
        <v>2111000000</v>
      </c>
      <c r="B1737" s="5" t="inlineStr">
        <is>
          <t>100379</t>
        </is>
      </c>
      <c r="C1737" s="5" t="inlineStr">
        <is>
          <t>RAK LOG TRANSPORTES E LOGISTICA EIR</t>
        </is>
      </c>
      <c r="D1737" s="5" t="inlineStr">
        <is>
          <t>RE</t>
        </is>
      </c>
      <c r="E1737" s="5" t="n">
        <v>5012946</v>
      </c>
      <c r="F1737" s="5" t="inlineStr">
        <is>
          <t>333435-1</t>
        </is>
      </c>
      <c r="G1737" s="5" t="inlineStr">
        <is>
          <t>BRL</t>
        </is>
      </c>
      <c r="H1737" s="9" t="n">
        <v>-13028.12</v>
      </c>
      <c r="I1737" s="16" t="n">
        <v>46191</v>
      </c>
      <c r="J1737" s="16" t="n">
        <v>46270</v>
      </c>
      <c r="K1737" s="5" t="inlineStr">
        <is>
          <t>Fatura - bruto RAK LOG TRANSPORTES E LOGISTICA EIR</t>
        </is>
      </c>
      <c r="L1737" s="5" t="inlineStr">
        <is>
          <t>08092026</t>
        </is>
      </c>
      <c r="M1737" s="5">
        <f>IF(YEAR(I1737)&lt;=2020,"Até 2020",TEXT(YEAR(I1737),"0"))</f>
        <v/>
      </c>
      <c r="N1737" s="5">
        <f>IFERROR(INDEX(DePara!$A:$A,MATCH(TEXT(B1737,"0"),DePara!$D:$D,0)),"(sem categoria)")</f>
        <v/>
      </c>
      <c r="O1737" s="5">
        <f>IF(J1737="","",Parametros!$B$6-J1737)</f>
        <v/>
      </c>
      <c r="P1737" s="5">
        <f>IF(O1737="","",IF(O1737&gt;0,1,0))</f>
        <v/>
      </c>
    </row>
    <row r="1738">
      <c r="A1738" s="5" t="n">
        <v>2111000000</v>
      </c>
      <c r="B1738" s="5" t="inlineStr">
        <is>
          <t>100379</t>
        </is>
      </c>
      <c r="C1738" s="5" t="inlineStr">
        <is>
          <t>RAK LOG TRANSPORTES E LOGISTICA EIR</t>
        </is>
      </c>
      <c r="D1738" s="5" t="inlineStr">
        <is>
          <t>RE</t>
        </is>
      </c>
      <c r="E1738" s="5" t="n">
        <v>5012947</v>
      </c>
      <c r="F1738" s="5" t="inlineStr">
        <is>
          <t>333576-1</t>
        </is>
      </c>
      <c r="G1738" s="5" t="inlineStr">
        <is>
          <t>BRL</t>
        </is>
      </c>
      <c r="H1738" s="9" t="n">
        <v>-13310.58</v>
      </c>
      <c r="I1738" s="16" t="n">
        <v>46192</v>
      </c>
      <c r="J1738" s="16" t="n">
        <v>46270</v>
      </c>
      <c r="K1738" s="5" t="inlineStr">
        <is>
          <t>Fatura - bruto RAK LOG TRANSPORTES E LOGISTICA EIR</t>
        </is>
      </c>
      <c r="L1738" s="5" t="inlineStr">
        <is>
          <t>08092026</t>
        </is>
      </c>
      <c r="M1738" s="5">
        <f>IF(YEAR(I1738)&lt;=2020,"Até 2020",TEXT(YEAR(I1738),"0"))</f>
        <v/>
      </c>
      <c r="N1738" s="5">
        <f>IFERROR(INDEX(DePara!$A:$A,MATCH(TEXT(B1738,"0"),DePara!$D:$D,0)),"(sem categoria)")</f>
        <v/>
      </c>
      <c r="O1738" s="5">
        <f>IF(J1738="","",Parametros!$B$6-J1738)</f>
        <v/>
      </c>
      <c r="P1738" s="5">
        <f>IF(O1738="","",IF(O1738&gt;0,1,0))</f>
        <v/>
      </c>
    </row>
    <row r="1739">
      <c r="A1739" s="5" t="n">
        <v>2111000000</v>
      </c>
      <c r="B1739" s="5" t="inlineStr">
        <is>
          <t>100379</t>
        </is>
      </c>
      <c r="C1739" s="5" t="inlineStr">
        <is>
          <t>RAK LOG TRANSPORTES E LOGISTICA EIR</t>
        </is>
      </c>
      <c r="D1739" s="5" t="inlineStr">
        <is>
          <t>RE</t>
        </is>
      </c>
      <c r="E1739" s="5" t="n">
        <v>5012948</v>
      </c>
      <c r="F1739" s="5" t="inlineStr">
        <is>
          <t>333579-1</t>
        </is>
      </c>
      <c r="G1739" s="5" t="inlineStr">
        <is>
          <t>BRL</t>
        </is>
      </c>
      <c r="H1739" s="9" t="n">
        <v>-13169.52</v>
      </c>
      <c r="I1739" s="16" t="n">
        <v>46192</v>
      </c>
      <c r="J1739" s="16" t="n">
        <v>46270</v>
      </c>
      <c r="K1739" s="5" t="inlineStr">
        <is>
          <t>Fatura - bruto RAK LOG TRANSPORTES E LOGISTICA EIR</t>
        </is>
      </c>
      <c r="L1739" s="5" t="inlineStr">
        <is>
          <t>08092026</t>
        </is>
      </c>
      <c r="M1739" s="5">
        <f>IF(YEAR(I1739)&lt;=2020,"Até 2020",TEXT(YEAR(I1739),"0"))</f>
        <v/>
      </c>
      <c r="N1739" s="5">
        <f>IFERROR(INDEX(DePara!$A:$A,MATCH(TEXT(B1739,"0"),DePara!$D:$D,0)),"(sem categoria)")</f>
        <v/>
      </c>
      <c r="O1739" s="5">
        <f>IF(J1739="","",Parametros!$B$6-J1739)</f>
        <v/>
      </c>
      <c r="P1739" s="5">
        <f>IF(O1739="","",IF(O1739&gt;0,1,0))</f>
        <v/>
      </c>
    </row>
    <row r="1740">
      <c r="A1740" s="5" t="n">
        <v>2111000000</v>
      </c>
      <c r="B1740" s="5" t="inlineStr">
        <is>
          <t>100379</t>
        </is>
      </c>
      <c r="C1740" s="5" t="inlineStr">
        <is>
          <t>RAK LOG TRANSPORTES E LOGISTICA EIR</t>
        </is>
      </c>
      <c r="D1740" s="5" t="inlineStr">
        <is>
          <t>RE</t>
        </is>
      </c>
      <c r="E1740" s="5" t="n">
        <v>5012955</v>
      </c>
      <c r="F1740" s="5" t="inlineStr">
        <is>
          <t>334056-1</t>
        </is>
      </c>
      <c r="G1740" s="5" t="inlineStr">
        <is>
          <t>BRL</t>
        </is>
      </c>
      <c r="H1740" s="9" t="n">
        <v>-13242.46</v>
      </c>
      <c r="I1740" s="16" t="n">
        <v>46197</v>
      </c>
      <c r="J1740" s="16" t="n">
        <v>46270</v>
      </c>
      <c r="K1740" s="5" t="inlineStr">
        <is>
          <t>Fatura - bruto RAK LOG TRANSPORTES E LOGISTICA EIR</t>
        </is>
      </c>
      <c r="L1740" s="5" t="inlineStr">
        <is>
          <t>08092026</t>
        </is>
      </c>
      <c r="M1740" s="5">
        <f>IF(YEAR(I1740)&lt;=2020,"Até 2020",TEXT(YEAR(I1740),"0"))</f>
        <v/>
      </c>
      <c r="N1740" s="5">
        <f>IFERROR(INDEX(DePara!$A:$A,MATCH(TEXT(B1740,"0"),DePara!$D:$D,0)),"(sem categoria)")</f>
        <v/>
      </c>
      <c r="O1740" s="5">
        <f>IF(J1740="","",Parametros!$B$6-J1740)</f>
        <v/>
      </c>
      <c r="P1740" s="5">
        <f>IF(O1740="","",IF(O1740&gt;0,1,0))</f>
        <v/>
      </c>
    </row>
    <row r="1741">
      <c r="A1741" s="5" t="n">
        <v>2111000000</v>
      </c>
      <c r="B1741" s="5" t="inlineStr">
        <is>
          <t>100379</t>
        </is>
      </c>
      <c r="C1741" s="5" t="inlineStr">
        <is>
          <t>RAK LOG TRANSPORTES E LOGISTICA EIR</t>
        </is>
      </c>
      <c r="D1741" s="5" t="inlineStr">
        <is>
          <t>RE</t>
        </is>
      </c>
      <c r="E1741" s="5" t="n">
        <v>5012956</v>
      </c>
      <c r="F1741" s="5" t="inlineStr">
        <is>
          <t>334333-1</t>
        </is>
      </c>
      <c r="G1741" s="5" t="inlineStr">
        <is>
          <t>BRL</t>
        </is>
      </c>
      <c r="H1741" s="9" t="n">
        <v>-13253.8</v>
      </c>
      <c r="I1741" s="16" t="n">
        <v>46199</v>
      </c>
      <c r="J1741" s="16" t="n">
        <v>46270</v>
      </c>
      <c r="K1741" s="5" t="inlineStr">
        <is>
          <t>Fatura - bruto RAK LOG TRANSPORTES E LOGISTICA EIR</t>
        </is>
      </c>
      <c r="L1741" s="5" t="inlineStr">
        <is>
          <t>08092026</t>
        </is>
      </c>
      <c r="M1741" s="5">
        <f>IF(YEAR(I1741)&lt;=2020,"Até 2020",TEXT(YEAR(I1741),"0"))</f>
        <v/>
      </c>
      <c r="N1741" s="5">
        <f>IFERROR(INDEX(DePara!$A:$A,MATCH(TEXT(B1741,"0"),DePara!$D:$D,0)),"(sem categoria)")</f>
        <v/>
      </c>
      <c r="O1741" s="5">
        <f>IF(J1741="","",Parametros!$B$6-J1741)</f>
        <v/>
      </c>
      <c r="P1741" s="5">
        <f>IF(O1741="","",IF(O1741&gt;0,1,0))</f>
        <v/>
      </c>
    </row>
    <row r="1742">
      <c r="A1742" s="5" t="n">
        <v>2111000000</v>
      </c>
      <c r="B1742" s="5" t="inlineStr">
        <is>
          <t>100379</t>
        </is>
      </c>
      <c r="C1742" s="5" t="inlineStr">
        <is>
          <t>RAK LOG TRANSPORTES E LOGISTICA EIR</t>
        </is>
      </c>
      <c r="D1742" s="5" t="inlineStr">
        <is>
          <t>RE</t>
        </is>
      </c>
      <c r="E1742" s="5" t="n">
        <v>5012957</v>
      </c>
      <c r="F1742" s="5" t="inlineStr">
        <is>
          <t>334334-1</t>
        </is>
      </c>
      <c r="G1742" s="5" t="inlineStr">
        <is>
          <t>BRL</t>
        </is>
      </c>
      <c r="H1742" s="9" t="n">
        <v>-13192.99</v>
      </c>
      <c r="I1742" s="16" t="n">
        <v>46199</v>
      </c>
      <c r="J1742" s="16" t="n">
        <v>46270</v>
      </c>
      <c r="K1742" s="5" t="inlineStr">
        <is>
          <t>Fatura - bruto RAK LOG TRANSPORTES E LOGISTICA EIR</t>
        </is>
      </c>
      <c r="L1742" s="5" t="inlineStr">
        <is>
          <t>08092026</t>
        </is>
      </c>
      <c r="M1742" s="5">
        <f>IF(YEAR(I1742)&lt;=2020,"Até 2020",TEXT(YEAR(I1742),"0"))</f>
        <v/>
      </c>
      <c r="N1742" s="5">
        <f>IFERROR(INDEX(DePara!$A:$A,MATCH(TEXT(B1742,"0"),DePara!$D:$D,0)),"(sem categoria)")</f>
        <v/>
      </c>
      <c r="O1742" s="5">
        <f>IF(J1742="","",Parametros!$B$6-J1742)</f>
        <v/>
      </c>
      <c r="P1742" s="5">
        <f>IF(O1742="","",IF(O1742&gt;0,1,0))</f>
        <v/>
      </c>
    </row>
    <row r="1743">
      <c r="A1743" s="5" t="n">
        <v>2111000000</v>
      </c>
      <c r="B1743" s="5" t="inlineStr">
        <is>
          <t>100379</t>
        </is>
      </c>
      <c r="C1743" s="5" t="inlineStr">
        <is>
          <t>RAK LOG TRANSPORTES E LOGISTICA EIR</t>
        </is>
      </c>
      <c r="D1743" s="5" t="inlineStr">
        <is>
          <t>RE</t>
        </is>
      </c>
      <c r="E1743" s="5" t="n">
        <v>5012958</v>
      </c>
      <c r="F1743" s="5" t="inlineStr">
        <is>
          <t>334335-1</t>
        </is>
      </c>
      <c r="G1743" s="5" t="inlineStr">
        <is>
          <t>BRL</t>
        </is>
      </c>
      <c r="H1743" s="9" t="n">
        <v>-14192.12</v>
      </c>
      <c r="I1743" s="16" t="n">
        <v>46199</v>
      </c>
      <c r="J1743" s="16" t="n">
        <v>46270</v>
      </c>
      <c r="K1743" s="5" t="inlineStr">
        <is>
          <t>Fatura - bruto RAK LOG TRANSPORTES E LOGISTICA EIR</t>
        </is>
      </c>
      <c r="L1743" s="5" t="inlineStr">
        <is>
          <t>08092026</t>
        </is>
      </c>
      <c r="M1743" s="5">
        <f>IF(YEAR(I1743)&lt;=2020,"Até 2020",TEXT(YEAR(I1743),"0"))</f>
        <v/>
      </c>
      <c r="N1743" s="5">
        <f>IFERROR(INDEX(DePara!$A:$A,MATCH(TEXT(B1743,"0"),DePara!$D:$D,0)),"(sem categoria)")</f>
        <v/>
      </c>
      <c r="O1743" s="5">
        <f>IF(J1743="","",Parametros!$B$6-J1743)</f>
        <v/>
      </c>
      <c r="P1743" s="5">
        <f>IF(O1743="","",IF(O1743&gt;0,1,0))</f>
        <v/>
      </c>
    </row>
    <row r="1744">
      <c r="A1744" s="5" t="n">
        <v>2111000000</v>
      </c>
      <c r="B1744" s="5" t="inlineStr">
        <is>
          <t>100379</t>
        </is>
      </c>
      <c r="C1744" s="5" t="inlineStr">
        <is>
          <t>RAK LOG TRANSPORTES E LOGISTICA EIR</t>
        </is>
      </c>
      <c r="D1744" s="5" t="inlineStr">
        <is>
          <t>RE</t>
        </is>
      </c>
      <c r="E1744" s="5" t="n">
        <v>5012959</v>
      </c>
      <c r="F1744" s="5" t="inlineStr">
        <is>
          <t>334859-1</t>
        </is>
      </c>
      <c r="G1744" s="5" t="inlineStr">
        <is>
          <t>BRL</t>
        </is>
      </c>
      <c r="H1744" s="9" t="n">
        <v>-13175.44</v>
      </c>
      <c r="I1744" s="16" t="n">
        <v>46205</v>
      </c>
      <c r="J1744" s="16" t="n">
        <v>46270</v>
      </c>
      <c r="K1744" s="5" t="inlineStr">
        <is>
          <t>Fatura - bruto RAK LOG TRANSPORTES E LOGISTICA EIR</t>
        </is>
      </c>
      <c r="L1744" s="5" t="inlineStr">
        <is>
          <t>08092026</t>
        </is>
      </c>
      <c r="M1744" s="5">
        <f>IF(YEAR(I1744)&lt;=2020,"Até 2020",TEXT(YEAR(I1744),"0"))</f>
        <v/>
      </c>
      <c r="N1744" s="5">
        <f>IFERROR(INDEX(DePara!$A:$A,MATCH(TEXT(B1744,"0"),DePara!$D:$D,0)),"(sem categoria)")</f>
        <v/>
      </c>
      <c r="O1744" s="5">
        <f>IF(J1744="","",Parametros!$B$6-J1744)</f>
        <v/>
      </c>
      <c r="P1744" s="5">
        <f>IF(O1744="","",IF(O1744&gt;0,1,0))</f>
        <v/>
      </c>
    </row>
    <row r="1745">
      <c r="A1745" s="5" t="n">
        <v>2111000000</v>
      </c>
      <c r="B1745" s="5" t="inlineStr">
        <is>
          <t>100379</t>
        </is>
      </c>
      <c r="C1745" s="5" t="inlineStr">
        <is>
          <t>RAK LOG TRANSPORTES E LOGISTICA EIR</t>
        </is>
      </c>
      <c r="D1745" s="5" t="inlineStr">
        <is>
          <t>RE</t>
        </is>
      </c>
      <c r="E1745" s="5" t="n">
        <v>5012960</v>
      </c>
      <c r="F1745" s="5" t="inlineStr">
        <is>
          <t>334872-1</t>
        </is>
      </c>
      <c r="G1745" s="5" t="inlineStr">
        <is>
          <t>BRL</t>
        </is>
      </c>
      <c r="H1745" s="9" t="n">
        <v>-13209.02</v>
      </c>
      <c r="I1745" s="16" t="n">
        <v>46205</v>
      </c>
      <c r="J1745" s="16" t="n">
        <v>46270</v>
      </c>
      <c r="K1745" s="5" t="inlineStr">
        <is>
          <t>Fatura - bruto RAK LOG TRANSPORTES E LOGISTICA EIR</t>
        </is>
      </c>
      <c r="L1745" s="5" t="inlineStr">
        <is>
          <t>08092026</t>
        </is>
      </c>
      <c r="M1745" s="5">
        <f>IF(YEAR(I1745)&lt;=2020,"Até 2020",TEXT(YEAR(I1745),"0"))</f>
        <v/>
      </c>
      <c r="N1745" s="5">
        <f>IFERROR(INDEX(DePara!$A:$A,MATCH(TEXT(B1745,"0"),DePara!$D:$D,0)),"(sem categoria)")</f>
        <v/>
      </c>
      <c r="O1745" s="5">
        <f>IF(J1745="","",Parametros!$B$6-J1745)</f>
        <v/>
      </c>
      <c r="P1745" s="5">
        <f>IF(O1745="","",IF(O1745&gt;0,1,0))</f>
        <v/>
      </c>
    </row>
    <row r="1746">
      <c r="A1746" s="5" t="n">
        <v>2111000000</v>
      </c>
      <c r="B1746" s="5" t="inlineStr">
        <is>
          <t>100379</t>
        </is>
      </c>
      <c r="C1746" s="5" t="inlineStr">
        <is>
          <t>RAK LOG TRANSPORTES E LOGISTICA EIR</t>
        </is>
      </c>
      <c r="D1746" s="5" t="inlineStr">
        <is>
          <t>RE</t>
        </is>
      </c>
      <c r="E1746" s="5" t="n">
        <v>5013026</v>
      </c>
      <c r="F1746" s="5" t="inlineStr">
        <is>
          <t>335064-1</t>
        </is>
      </c>
      <c r="G1746" s="5" t="inlineStr">
        <is>
          <t>BRL</t>
        </is>
      </c>
      <c r="H1746" s="9" t="n">
        <v>-13072.53</v>
      </c>
      <c r="I1746" s="16" t="n">
        <v>46206</v>
      </c>
      <c r="J1746" s="16" t="n">
        <v>46270</v>
      </c>
      <c r="K1746" s="5" t="inlineStr">
        <is>
          <t>Fatura - bruto RAK LOG TRANSPORTES E LOGISTICA EIR</t>
        </is>
      </c>
      <c r="L1746" s="5" t="inlineStr">
        <is>
          <t>08092026</t>
        </is>
      </c>
      <c r="M1746" s="5">
        <f>IF(YEAR(I1746)&lt;=2020,"Até 2020",TEXT(YEAR(I1746),"0"))</f>
        <v/>
      </c>
      <c r="N1746" s="5">
        <f>IFERROR(INDEX(DePara!$A:$A,MATCH(TEXT(B1746,"0"),DePara!$D:$D,0)),"(sem categoria)")</f>
        <v/>
      </c>
      <c r="O1746" s="5">
        <f>IF(J1746="","",Parametros!$B$6-J1746)</f>
        <v/>
      </c>
      <c r="P1746" s="5">
        <f>IF(O1746="","",IF(O1746&gt;0,1,0))</f>
        <v/>
      </c>
    </row>
    <row r="1747">
      <c r="A1747" s="5" t="n">
        <v>2111000000</v>
      </c>
      <c r="B1747" s="5" t="inlineStr">
        <is>
          <t>100379</t>
        </is>
      </c>
      <c r="C1747" s="5" t="inlineStr">
        <is>
          <t>RAK LOG TRANSPORTES E LOGISTICA EIR</t>
        </is>
      </c>
      <c r="D1747" s="5" t="inlineStr">
        <is>
          <t>RE</t>
        </is>
      </c>
      <c r="E1747" s="5" t="n">
        <v>5013028</v>
      </c>
      <c r="F1747" s="5" t="inlineStr">
        <is>
          <t>332642-1</t>
        </is>
      </c>
      <c r="G1747" s="5" t="inlineStr">
        <is>
          <t>BRL</t>
        </is>
      </c>
      <c r="H1747" s="9" t="n">
        <v>-13090.01</v>
      </c>
      <c r="I1747" s="16" t="n">
        <v>46183</v>
      </c>
      <c r="J1747" s="16" t="n">
        <v>46270</v>
      </c>
      <c r="K1747" s="5" t="inlineStr">
        <is>
          <t>Fatura - bruto RAK LOG TRANSPORTES E LOGISTICA EIR</t>
        </is>
      </c>
      <c r="L1747" s="5" t="inlineStr">
        <is>
          <t>08092026</t>
        </is>
      </c>
      <c r="M1747" s="5">
        <f>IF(YEAR(I1747)&lt;=2020,"Até 2020",TEXT(YEAR(I1747),"0"))</f>
        <v/>
      </c>
      <c r="N1747" s="5">
        <f>IFERROR(INDEX(DePara!$A:$A,MATCH(TEXT(B1747,"0"),DePara!$D:$D,0)),"(sem categoria)")</f>
        <v/>
      </c>
      <c r="O1747" s="5">
        <f>IF(J1747="","",Parametros!$B$6-J1747)</f>
        <v/>
      </c>
      <c r="P1747" s="5">
        <f>IF(O1747="","",IF(O1747&gt;0,1,0))</f>
        <v/>
      </c>
    </row>
    <row r="1748">
      <c r="A1748" s="5" t="n">
        <v>2111000000</v>
      </c>
      <c r="B1748" s="5" t="inlineStr">
        <is>
          <t>100379</t>
        </is>
      </c>
      <c r="C1748" s="5" t="inlineStr">
        <is>
          <t>RAK LOG TRANSPORTES E LOGISTICA EIR</t>
        </is>
      </c>
      <c r="D1748" s="5" t="inlineStr">
        <is>
          <t>RE</t>
        </is>
      </c>
      <c r="E1748" s="5" t="n">
        <v>5013031</v>
      </c>
      <c r="F1748" s="5" t="inlineStr">
        <is>
          <t>333912-1</t>
        </is>
      </c>
      <c r="G1748" s="5" t="inlineStr">
        <is>
          <t>BRL</t>
        </is>
      </c>
      <c r="H1748" s="9" t="n">
        <v>-13031.34</v>
      </c>
      <c r="I1748" s="16" t="n">
        <v>46196</v>
      </c>
      <c r="J1748" s="16" t="n">
        <v>46270</v>
      </c>
      <c r="K1748" s="5" t="inlineStr">
        <is>
          <t>Fatura - bruto RAK LOG TRANSPORTES E LOGISTICA EIR</t>
        </is>
      </c>
      <c r="L1748" s="5" t="inlineStr">
        <is>
          <t>08092026</t>
        </is>
      </c>
      <c r="M1748" s="5">
        <f>IF(YEAR(I1748)&lt;=2020,"Até 2020",TEXT(YEAR(I1748),"0"))</f>
        <v/>
      </c>
      <c r="N1748" s="5">
        <f>IFERROR(INDEX(DePara!$A:$A,MATCH(TEXT(B1748,"0"),DePara!$D:$D,0)),"(sem categoria)")</f>
        <v/>
      </c>
      <c r="O1748" s="5">
        <f>IF(J1748="","",Parametros!$B$6-J1748)</f>
        <v/>
      </c>
      <c r="P1748" s="5">
        <f>IF(O1748="","",IF(O1748&gt;0,1,0))</f>
        <v/>
      </c>
    </row>
    <row r="1749">
      <c r="A1749" s="5" t="n">
        <v>2111000000</v>
      </c>
      <c r="B1749" s="5" t="inlineStr">
        <is>
          <t>100379</t>
        </is>
      </c>
      <c r="C1749" s="5" t="inlineStr">
        <is>
          <t>RAK LOG TRANSPORTES E LOGISTICA EIR</t>
        </is>
      </c>
      <c r="D1749" s="5" t="inlineStr">
        <is>
          <t>RE</t>
        </is>
      </c>
      <c r="E1749" s="5" t="n">
        <v>5013033</v>
      </c>
      <c r="F1749" s="5" t="inlineStr">
        <is>
          <t>333940-1</t>
        </is>
      </c>
      <c r="G1749" s="5" t="inlineStr">
        <is>
          <t>BRL</t>
        </is>
      </c>
      <c r="H1749" s="9" t="n">
        <v>-12965.89</v>
      </c>
      <c r="I1749" s="16" t="n">
        <v>46196</v>
      </c>
      <c r="J1749" s="16" t="n">
        <v>46270</v>
      </c>
      <c r="K1749" s="5" t="inlineStr">
        <is>
          <t>Fatura - bruto RAK LOG TRANSPORTES E LOGISTICA EIR</t>
        </is>
      </c>
      <c r="L1749" s="5" t="inlineStr">
        <is>
          <t>08092026</t>
        </is>
      </c>
      <c r="M1749" s="5">
        <f>IF(YEAR(I1749)&lt;=2020,"Até 2020",TEXT(YEAR(I1749),"0"))</f>
        <v/>
      </c>
      <c r="N1749" s="5">
        <f>IFERROR(INDEX(DePara!$A:$A,MATCH(TEXT(B1749,"0"),DePara!$D:$D,0)),"(sem categoria)")</f>
        <v/>
      </c>
      <c r="O1749" s="5">
        <f>IF(J1749="","",Parametros!$B$6-J1749)</f>
        <v/>
      </c>
      <c r="P1749" s="5">
        <f>IF(O1749="","",IF(O1749&gt;0,1,0))</f>
        <v/>
      </c>
    </row>
    <row r="1750">
      <c r="A1750" s="5" t="n">
        <v>2111000000</v>
      </c>
      <c r="B1750" s="5" t="inlineStr">
        <is>
          <t>100379</t>
        </is>
      </c>
      <c r="C1750" s="5" t="inlineStr">
        <is>
          <t>RAK LOG TRANSPORTES E LOGISTICA EIR</t>
        </is>
      </c>
      <c r="D1750" s="5" t="inlineStr">
        <is>
          <t>RE</t>
        </is>
      </c>
      <c r="E1750" s="5" t="n">
        <v>5013038</v>
      </c>
      <c r="F1750" s="5" t="inlineStr">
        <is>
          <t>333942-1</t>
        </is>
      </c>
      <c r="G1750" s="5" t="inlineStr">
        <is>
          <t>BRL</t>
        </is>
      </c>
      <c r="H1750" s="9" t="n">
        <v>-13065.27</v>
      </c>
      <c r="I1750" s="16" t="n">
        <v>46196</v>
      </c>
      <c r="J1750" s="16" t="n">
        <v>46270</v>
      </c>
      <c r="K1750" s="5" t="inlineStr">
        <is>
          <t>Fatura - bruto RAK LOG TRANSPORTES E LOGISTICA EIR</t>
        </is>
      </c>
      <c r="L1750" s="5" t="inlineStr">
        <is>
          <t>08092026</t>
        </is>
      </c>
      <c r="M1750" s="5">
        <f>IF(YEAR(I1750)&lt;=2020,"Até 2020",TEXT(YEAR(I1750),"0"))</f>
        <v/>
      </c>
      <c r="N1750" s="5">
        <f>IFERROR(INDEX(DePara!$A:$A,MATCH(TEXT(B1750,"0"),DePara!$D:$D,0)),"(sem categoria)")</f>
        <v/>
      </c>
      <c r="O1750" s="5">
        <f>IF(J1750="","",Parametros!$B$6-J1750)</f>
        <v/>
      </c>
      <c r="P1750" s="5">
        <f>IF(O1750="","",IF(O1750&gt;0,1,0))</f>
        <v/>
      </c>
    </row>
    <row r="1751">
      <c r="A1751" s="5" t="n">
        <v>2111000000</v>
      </c>
      <c r="B1751" s="5" t="inlineStr">
        <is>
          <t>100379</t>
        </is>
      </c>
      <c r="C1751" s="5" t="inlineStr">
        <is>
          <t>RAK LOG TRANSPORTES E LOGISTICA EIR</t>
        </is>
      </c>
      <c r="D1751" s="5" t="inlineStr">
        <is>
          <t>RE</t>
        </is>
      </c>
      <c r="E1751" s="5" t="n">
        <v>5013040</v>
      </c>
      <c r="F1751" s="5" t="inlineStr">
        <is>
          <t>335084-1</t>
        </is>
      </c>
      <c r="G1751" s="5" t="inlineStr">
        <is>
          <t>BRL</t>
        </is>
      </c>
      <c r="H1751" s="9" t="n">
        <v>-13224.63</v>
      </c>
      <c r="I1751" s="16" t="n">
        <v>46206</v>
      </c>
      <c r="J1751" s="16" t="n">
        <v>46270</v>
      </c>
      <c r="K1751" s="5" t="inlineStr">
        <is>
          <t>Fatura - bruto RAK LOG TRANSPORTES E LOGISTICA EIR</t>
        </is>
      </c>
      <c r="L1751" s="5" t="inlineStr">
        <is>
          <t>08092026</t>
        </is>
      </c>
      <c r="M1751" s="5">
        <f>IF(YEAR(I1751)&lt;=2020,"Até 2020",TEXT(YEAR(I1751),"0"))</f>
        <v/>
      </c>
      <c r="N1751" s="5">
        <f>IFERROR(INDEX(DePara!$A:$A,MATCH(TEXT(B1751,"0"),DePara!$D:$D,0)),"(sem categoria)")</f>
        <v/>
      </c>
      <c r="O1751" s="5">
        <f>IF(J1751="","",Parametros!$B$6-J1751)</f>
        <v/>
      </c>
      <c r="P1751" s="5">
        <f>IF(O1751="","",IF(O1751&gt;0,1,0))</f>
        <v/>
      </c>
    </row>
    <row r="1752">
      <c r="A1752" s="5" t="n">
        <v>2111000000</v>
      </c>
      <c r="B1752" s="5" t="inlineStr">
        <is>
          <t>100379</t>
        </is>
      </c>
      <c r="C1752" s="5" t="inlineStr">
        <is>
          <t>RAK LOG TRANSPORTES E LOGISTICA EIR</t>
        </is>
      </c>
      <c r="D1752" s="5" t="inlineStr">
        <is>
          <t>RE</t>
        </is>
      </c>
      <c r="E1752" s="5" t="n">
        <v>5013042</v>
      </c>
      <c r="F1752" s="5" t="inlineStr">
        <is>
          <t>335085-1</t>
        </is>
      </c>
      <c r="G1752" s="5" t="inlineStr">
        <is>
          <t>BRL</t>
        </is>
      </c>
      <c r="H1752" s="9" t="n">
        <v>-13222.38</v>
      </c>
      <c r="I1752" s="16" t="n">
        <v>46206</v>
      </c>
      <c r="J1752" s="16" t="n">
        <v>46270</v>
      </c>
      <c r="K1752" s="5" t="inlineStr">
        <is>
          <t>Fatura - bruto RAK LOG TRANSPORTES E LOGISTICA EIR</t>
        </is>
      </c>
      <c r="L1752" s="5" t="inlineStr">
        <is>
          <t>08092026</t>
        </is>
      </c>
      <c r="M1752" s="5">
        <f>IF(YEAR(I1752)&lt;=2020,"Até 2020",TEXT(YEAR(I1752),"0"))</f>
        <v/>
      </c>
      <c r="N1752" s="5">
        <f>IFERROR(INDEX(DePara!$A:$A,MATCH(TEXT(B1752,"0"),DePara!$D:$D,0)),"(sem categoria)")</f>
        <v/>
      </c>
      <c r="O1752" s="5">
        <f>IF(J1752="","",Parametros!$B$6-J1752)</f>
        <v/>
      </c>
      <c r="P1752" s="5">
        <f>IF(O1752="","",IF(O1752&gt;0,1,0))</f>
        <v/>
      </c>
    </row>
    <row r="1753">
      <c r="A1753" s="5" t="n">
        <v>2111000000</v>
      </c>
      <c r="B1753" s="5" t="inlineStr">
        <is>
          <t>100379</t>
        </is>
      </c>
      <c r="C1753" s="5" t="inlineStr">
        <is>
          <t>RAK LOG TRANSPORTES E LOGISTICA EIR</t>
        </is>
      </c>
      <c r="D1753" s="5" t="inlineStr">
        <is>
          <t>RE</t>
        </is>
      </c>
      <c r="E1753" s="5" t="n">
        <v>5013044</v>
      </c>
      <c r="F1753" s="5" t="inlineStr">
        <is>
          <t>335335-1</t>
        </is>
      </c>
      <c r="G1753" s="5" t="inlineStr">
        <is>
          <t>BRL</t>
        </is>
      </c>
      <c r="H1753" s="9" t="n">
        <v>-13863.43</v>
      </c>
      <c r="I1753" s="16" t="n">
        <v>46210</v>
      </c>
      <c r="J1753" s="16" t="n">
        <v>46270</v>
      </c>
      <c r="K1753" s="5" t="inlineStr">
        <is>
          <t>Fatura - bruto RAK LOG TRANSPORTES E LOGISTICA EIR</t>
        </is>
      </c>
      <c r="L1753" s="5" t="inlineStr">
        <is>
          <t>08092026</t>
        </is>
      </c>
      <c r="M1753" s="5">
        <f>IF(YEAR(I1753)&lt;=2020,"Até 2020",TEXT(YEAR(I1753),"0"))</f>
        <v/>
      </c>
      <c r="N1753" s="5">
        <f>IFERROR(INDEX(DePara!$A:$A,MATCH(TEXT(B1753,"0"),DePara!$D:$D,0)),"(sem categoria)")</f>
        <v/>
      </c>
      <c r="O1753" s="5">
        <f>IF(J1753="","",Parametros!$B$6-J1753)</f>
        <v/>
      </c>
      <c r="P1753" s="5">
        <f>IF(O1753="","",IF(O1753&gt;0,1,0))</f>
        <v/>
      </c>
    </row>
    <row r="1754">
      <c r="A1754" s="5" t="n">
        <v>2111000000</v>
      </c>
      <c r="B1754" s="5" t="inlineStr">
        <is>
          <t>100379</t>
        </is>
      </c>
      <c r="C1754" s="5" t="inlineStr">
        <is>
          <t>RAK LOG TRANSPORTES E LOGISTICA EIR</t>
        </is>
      </c>
      <c r="D1754" s="5" t="inlineStr">
        <is>
          <t>RE</t>
        </is>
      </c>
      <c r="E1754" s="5" t="n">
        <v>5013046</v>
      </c>
      <c r="F1754" s="5" t="inlineStr">
        <is>
          <t>335432-1</t>
        </is>
      </c>
      <c r="G1754" s="5" t="inlineStr">
        <is>
          <t>BRL</t>
        </is>
      </c>
      <c r="H1754" s="9" t="n">
        <v>-13085.01</v>
      </c>
      <c r="I1754" s="16" t="n">
        <v>46211</v>
      </c>
      <c r="J1754" s="16" t="n">
        <v>46270</v>
      </c>
      <c r="K1754" s="5" t="inlineStr">
        <is>
          <t>Fatura - bruto RAK LOG TRANSPORTES E LOGISTICA EIR</t>
        </is>
      </c>
      <c r="L1754" s="5" t="inlineStr">
        <is>
          <t>08092026</t>
        </is>
      </c>
      <c r="M1754" s="5">
        <f>IF(YEAR(I1754)&lt;=2020,"Até 2020",TEXT(YEAR(I1754),"0"))</f>
        <v/>
      </c>
      <c r="N1754" s="5">
        <f>IFERROR(INDEX(DePara!$A:$A,MATCH(TEXT(B1754,"0"),DePara!$D:$D,0)),"(sem categoria)")</f>
        <v/>
      </c>
      <c r="O1754" s="5">
        <f>IF(J1754="","",Parametros!$B$6-J1754)</f>
        <v/>
      </c>
      <c r="P1754" s="5">
        <f>IF(O1754="","",IF(O1754&gt;0,1,0))</f>
        <v/>
      </c>
    </row>
    <row r="1755">
      <c r="A1755" s="5" t="n">
        <v>2111000000</v>
      </c>
      <c r="B1755" s="5" t="inlineStr">
        <is>
          <t>101463</t>
        </is>
      </c>
      <c r="C1755" s="5" t="inlineStr">
        <is>
          <t>ZURICH MINAS BRASIL SEGUROS S A</t>
        </is>
      </c>
      <c r="D1755" s="5" t="inlineStr">
        <is>
          <t>RE</t>
        </is>
      </c>
      <c r="E1755" s="5" t="n">
        <v>5013077</v>
      </c>
      <c r="F1755" s="5" t="inlineStr">
        <is>
          <t>0138/26E</t>
        </is>
      </c>
      <c r="G1755" s="5" t="inlineStr">
        <is>
          <t>BRL</t>
        </is>
      </c>
      <c r="H1755" s="9" t="n">
        <v>-236.58</v>
      </c>
      <c r="I1755" s="16" t="n">
        <v>46224</v>
      </c>
      <c r="J1755" s="16" t="n">
        <v>46224</v>
      </c>
      <c r="K1755" s="5" t="inlineStr">
        <is>
          <t>Invoice Payment. SP: 19918</t>
        </is>
      </c>
      <c r="L1755" s="5" t="inlineStr">
        <is>
          <t>0138/26E</t>
        </is>
      </c>
      <c r="M1755" s="5">
        <f>IF(YEAR(I1755)&lt;=2020,"Até 2020",TEXT(YEAR(I1755),"0"))</f>
        <v/>
      </c>
      <c r="N1755" s="5">
        <f>IFERROR(INDEX(DePara!$A:$A,MATCH(TEXT(B1755,"0"),DePara!$D:$D,0)),"(sem categoria)")</f>
        <v/>
      </c>
      <c r="O1755" s="5">
        <f>IF(J1755="","",Parametros!$B$6-J1755)</f>
        <v/>
      </c>
      <c r="P1755" s="5">
        <f>IF(O1755="","",IF(O1755&gt;0,1,0))</f>
        <v/>
      </c>
    </row>
    <row r="1756">
      <c r="A1756" s="5" t="n">
        <v>2111000000</v>
      </c>
      <c r="B1756" s="5" t="inlineStr">
        <is>
          <t>101463</t>
        </is>
      </c>
      <c r="C1756" s="5" t="inlineStr">
        <is>
          <t>ZURICH MINAS BRASIL SEGUROS S A</t>
        </is>
      </c>
      <c r="D1756" s="5" t="inlineStr">
        <is>
          <t>RE</t>
        </is>
      </c>
      <c r="E1756" s="5" t="n">
        <v>5013078</v>
      </c>
      <c r="F1756" s="5" t="inlineStr">
        <is>
          <t>0953/25E</t>
        </is>
      </c>
      <c r="G1756" s="5" t="inlineStr">
        <is>
          <t>BRL</t>
        </is>
      </c>
      <c r="H1756" s="9" t="n">
        <v>-608.85</v>
      </c>
      <c r="I1756" s="16" t="n">
        <v>46224</v>
      </c>
      <c r="J1756" s="16" t="n">
        <v>46224</v>
      </c>
      <c r="K1756" s="5" t="inlineStr">
        <is>
          <t>Invoice Payment. SP: 19919</t>
        </is>
      </c>
      <c r="L1756" s="5" t="inlineStr">
        <is>
          <t>0953/25E</t>
        </is>
      </c>
      <c r="M1756" s="5">
        <f>IF(YEAR(I1756)&lt;=2020,"Até 2020",TEXT(YEAR(I1756),"0"))</f>
        <v/>
      </c>
      <c r="N1756" s="5">
        <f>IFERROR(INDEX(DePara!$A:$A,MATCH(TEXT(B1756,"0"),DePara!$D:$D,0)),"(sem categoria)")</f>
        <v/>
      </c>
      <c r="O1756" s="5">
        <f>IF(J1756="","",Parametros!$B$6-J1756)</f>
        <v/>
      </c>
      <c r="P1756" s="5">
        <f>IF(O1756="","",IF(O1756&gt;0,1,0))</f>
        <v/>
      </c>
    </row>
    <row r="1757">
      <c r="A1757" s="5" t="n">
        <v>2111000000</v>
      </c>
      <c r="B1757" s="5" t="inlineStr">
        <is>
          <t>100867</t>
        </is>
      </c>
      <c r="C1757" s="5" t="inlineStr">
        <is>
          <t>CSA - CASE SOLUCOES AMBIENTAIS LTDA</t>
        </is>
      </c>
      <c r="D1757" s="5" t="inlineStr">
        <is>
          <t>RE</t>
        </is>
      </c>
      <c r="E1757" s="5" t="n">
        <v>5013080</v>
      </c>
      <c r="F1757" s="5" t="inlineStr">
        <is>
          <t>198</t>
        </is>
      </c>
      <c r="G1757" s="5" t="inlineStr">
        <is>
          <t>BRL</t>
        </is>
      </c>
      <c r="H1757" s="9" t="n">
        <v>-4925</v>
      </c>
      <c r="I1757" s="16" t="n">
        <v>46219</v>
      </c>
      <c r="J1757" s="16" t="n">
        <v>46270</v>
      </c>
      <c r="K1757" s="5" t="inlineStr">
        <is>
          <t>Fatura - bruto CSA - CASE SOLUCOES AMBIENTAIS LTDA</t>
        </is>
      </c>
      <c r="L1757" s="5" t="inlineStr">
        <is>
          <t>08092026</t>
        </is>
      </c>
      <c r="M1757" s="5">
        <f>IF(YEAR(I1757)&lt;=2020,"Até 2020",TEXT(YEAR(I1757),"0"))</f>
        <v/>
      </c>
      <c r="N1757" s="5">
        <f>IFERROR(INDEX(DePara!$A:$A,MATCH(TEXT(B1757,"0"),DePara!$D:$D,0)),"(sem categoria)")</f>
        <v/>
      </c>
      <c r="O1757" s="5">
        <f>IF(J1757="","",Parametros!$B$6-J1757)</f>
        <v/>
      </c>
      <c r="P1757" s="5">
        <f>IF(O1757="","",IF(O1757&gt;0,1,0))</f>
        <v/>
      </c>
    </row>
    <row r="1758">
      <c r="A1758" s="5" t="n">
        <v>2111000000</v>
      </c>
      <c r="B1758" s="5" t="inlineStr">
        <is>
          <t>101463</t>
        </is>
      </c>
      <c r="C1758" s="5" t="inlineStr">
        <is>
          <t>ZURICH MINAS BRASIL SEGUROS S A</t>
        </is>
      </c>
      <c r="D1758" s="5" t="inlineStr">
        <is>
          <t>RE</t>
        </is>
      </c>
      <c r="E1758" s="5" t="n">
        <v>5013087</v>
      </c>
      <c r="F1758" s="5" t="inlineStr">
        <is>
          <t>0278/26</t>
        </is>
      </c>
      <c r="G1758" s="5" t="inlineStr">
        <is>
          <t>BRL</t>
        </is>
      </c>
      <c r="H1758" s="9" t="n">
        <v>-560.72</v>
      </c>
      <c r="I1758" s="16" t="n">
        <v>46224</v>
      </c>
      <c r="J1758" s="16" t="n">
        <v>46254</v>
      </c>
      <c r="K1758" s="5" t="inlineStr">
        <is>
          <t>Invoice Payment. SP: 19938</t>
        </is>
      </c>
      <c r="L1758" s="5" t="inlineStr">
        <is>
          <t>0278/26</t>
        </is>
      </c>
      <c r="M1758" s="5">
        <f>IF(YEAR(I1758)&lt;=2020,"Até 2020",TEXT(YEAR(I1758),"0"))</f>
        <v/>
      </c>
      <c r="N1758" s="5">
        <f>IFERROR(INDEX(DePara!$A:$A,MATCH(TEXT(B1758,"0"),DePara!$D:$D,0)),"(sem categoria)")</f>
        <v/>
      </c>
      <c r="O1758" s="5">
        <f>IF(J1758="","",Parametros!$B$6-J1758)</f>
        <v/>
      </c>
      <c r="P1758" s="5">
        <f>IF(O1758="","",IF(O1758&gt;0,1,0))</f>
        <v/>
      </c>
    </row>
    <row r="1759">
      <c r="A1759" s="5" t="n">
        <v>2111000000</v>
      </c>
      <c r="B1759" s="5" t="inlineStr">
        <is>
          <t>101463</t>
        </is>
      </c>
      <c r="C1759" s="5" t="inlineStr">
        <is>
          <t>ZURICH MINAS BRASIL SEGUROS S A</t>
        </is>
      </c>
      <c r="D1759" s="5" t="inlineStr">
        <is>
          <t>RE</t>
        </is>
      </c>
      <c r="E1759" s="5" t="n">
        <v>5013090</v>
      </c>
      <c r="F1759" s="5" t="inlineStr">
        <is>
          <t>0294/26</t>
        </is>
      </c>
      <c r="G1759" s="5" t="inlineStr">
        <is>
          <t>BRL</t>
        </is>
      </c>
      <c r="H1759" s="9" t="n">
        <v>-67.73999999999999</v>
      </c>
      <c r="I1759" s="16" t="n">
        <v>46224</v>
      </c>
      <c r="J1759" s="16" t="n">
        <v>46254</v>
      </c>
      <c r="K1759" s="5" t="inlineStr">
        <is>
          <t>Invoice Payment. SP: 19958</t>
        </is>
      </c>
      <c r="L1759" s="5" t="inlineStr">
        <is>
          <t>0294/26</t>
        </is>
      </c>
      <c r="M1759" s="5">
        <f>IF(YEAR(I1759)&lt;=2020,"Até 2020",TEXT(YEAR(I1759),"0"))</f>
        <v/>
      </c>
      <c r="N1759" s="5">
        <f>IFERROR(INDEX(DePara!$A:$A,MATCH(TEXT(B1759,"0"),DePara!$D:$D,0)),"(sem categoria)")</f>
        <v/>
      </c>
      <c r="O1759" s="5">
        <f>IF(J1759="","",Parametros!$B$6-J1759)</f>
        <v/>
      </c>
      <c r="P1759" s="5">
        <f>IF(O1759="","",IF(O1759&gt;0,1,0))</f>
        <v/>
      </c>
    </row>
    <row r="1760">
      <c r="A1760" s="5" t="n">
        <v>2111000000</v>
      </c>
      <c r="B1760" s="5" t="inlineStr">
        <is>
          <t>101887</t>
        </is>
      </c>
      <c r="C1760" s="5" t="inlineStr">
        <is>
          <t>MGO DE FREITAS</t>
        </is>
      </c>
      <c r="D1760" s="5" t="inlineStr">
        <is>
          <t>RE</t>
        </is>
      </c>
      <c r="E1760" s="5" t="n">
        <v>5013094</v>
      </c>
      <c r="F1760" s="5" t="inlineStr">
        <is>
          <t>1311</t>
        </is>
      </c>
      <c r="G1760" s="5" t="inlineStr">
        <is>
          <t>BRL</t>
        </is>
      </c>
      <c r="H1760" s="9" t="n">
        <v>-9714.440000000001</v>
      </c>
      <c r="I1760" s="16" t="n">
        <v>46223</v>
      </c>
      <c r="J1760" s="16" t="n">
        <v>46270</v>
      </c>
      <c r="K1760" s="5" t="inlineStr">
        <is>
          <t>Fatura - bruto MGO DE FREITAS 1311</t>
        </is>
      </c>
      <c r="L1760" s="5" t="inlineStr">
        <is>
          <t>08092026</t>
        </is>
      </c>
      <c r="M1760" s="5">
        <f>IF(YEAR(I1760)&lt;=2020,"Até 2020",TEXT(YEAR(I1760),"0"))</f>
        <v/>
      </c>
      <c r="N1760" s="5">
        <f>IFERROR(INDEX(DePara!$A:$A,MATCH(TEXT(B1760,"0"),DePara!$D:$D,0)),"(sem categoria)")</f>
        <v/>
      </c>
      <c r="O1760" s="5">
        <f>IF(J1760="","",Parametros!$B$6-J1760)</f>
        <v/>
      </c>
      <c r="P1760" s="5">
        <f>IF(O1760="","",IF(O1760&gt;0,1,0))</f>
        <v/>
      </c>
    </row>
    <row r="1761">
      <c r="A1761" s="5" t="n">
        <v>2111000000</v>
      </c>
      <c r="B1761" s="5" t="inlineStr">
        <is>
          <t>101463</t>
        </is>
      </c>
      <c r="C1761" s="5" t="inlineStr">
        <is>
          <t>ZURICH MINAS BRASIL SEGUROS S A</t>
        </is>
      </c>
      <c r="D1761" s="5" t="inlineStr">
        <is>
          <t>RE</t>
        </is>
      </c>
      <c r="E1761" s="5" t="n">
        <v>5013097</v>
      </c>
      <c r="F1761" s="5" t="inlineStr">
        <is>
          <t>0295/26</t>
        </is>
      </c>
      <c r="G1761" s="5" t="inlineStr">
        <is>
          <t>BRL</t>
        </is>
      </c>
      <c r="H1761" s="9" t="n">
        <v>-202.26</v>
      </c>
      <c r="I1761" s="16" t="n">
        <v>46224</v>
      </c>
      <c r="J1761" s="16" t="n">
        <v>46254</v>
      </c>
      <c r="K1761" s="5" t="inlineStr">
        <is>
          <t>Invoice Payment. SP: 19960</t>
        </is>
      </c>
      <c r="L1761" s="5" t="inlineStr">
        <is>
          <t>0295/26</t>
        </is>
      </c>
      <c r="M1761" s="5">
        <f>IF(YEAR(I1761)&lt;=2020,"Até 2020",TEXT(YEAR(I1761),"0"))</f>
        <v/>
      </c>
      <c r="N1761" s="5">
        <f>IFERROR(INDEX(DePara!$A:$A,MATCH(TEXT(B1761,"0"),DePara!$D:$D,0)),"(sem categoria)")</f>
        <v/>
      </c>
      <c r="O1761" s="5">
        <f>IF(J1761="","",Parametros!$B$6-J1761)</f>
        <v/>
      </c>
      <c r="P1761" s="5">
        <f>IF(O1761="","",IF(O1761&gt;0,1,0))</f>
        <v/>
      </c>
    </row>
    <row r="1762">
      <c r="A1762" s="5" t="n">
        <v>2111000000</v>
      </c>
      <c r="B1762" s="5" t="inlineStr">
        <is>
          <t>101463</t>
        </is>
      </c>
      <c r="C1762" s="5" t="inlineStr">
        <is>
          <t>ZURICH MINAS BRASIL SEGUROS S A</t>
        </is>
      </c>
      <c r="D1762" s="5" t="inlineStr">
        <is>
          <t>RE</t>
        </is>
      </c>
      <c r="E1762" s="5" t="n">
        <v>5013100</v>
      </c>
      <c r="F1762" s="5" t="inlineStr">
        <is>
          <t>0300/26</t>
        </is>
      </c>
      <c r="G1762" s="5" t="inlineStr">
        <is>
          <t>BRL</t>
        </is>
      </c>
      <c r="H1762" s="9" t="n">
        <v>-3245.2</v>
      </c>
      <c r="I1762" s="16" t="n">
        <v>46224</v>
      </c>
      <c r="J1762" s="16" t="n">
        <v>46254</v>
      </c>
      <c r="K1762" s="5" t="inlineStr">
        <is>
          <t>Invoice Payment. SP: 19962</t>
        </is>
      </c>
      <c r="L1762" s="5" t="inlineStr">
        <is>
          <t>0300/26</t>
        </is>
      </c>
      <c r="M1762" s="5">
        <f>IF(YEAR(I1762)&lt;=2020,"Até 2020",TEXT(YEAR(I1762),"0"))</f>
        <v/>
      </c>
      <c r="N1762" s="5">
        <f>IFERROR(INDEX(DePara!$A:$A,MATCH(TEXT(B1762,"0"),DePara!$D:$D,0)),"(sem categoria)")</f>
        <v/>
      </c>
      <c r="O1762" s="5">
        <f>IF(J1762="","",Parametros!$B$6-J1762)</f>
        <v/>
      </c>
      <c r="P1762" s="5">
        <f>IF(O1762="","",IF(O1762&gt;0,1,0))</f>
        <v/>
      </c>
    </row>
    <row r="1763">
      <c r="A1763" s="5" t="n">
        <v>2111000000</v>
      </c>
      <c r="B1763" s="5" t="inlineStr">
        <is>
          <t>101463</t>
        </is>
      </c>
      <c r="C1763" s="5" t="inlineStr">
        <is>
          <t>ZURICH MINAS BRASIL SEGUROS S A</t>
        </is>
      </c>
      <c r="D1763" s="5" t="inlineStr">
        <is>
          <t>RE</t>
        </is>
      </c>
      <c r="E1763" s="5" t="n">
        <v>5013102</v>
      </c>
      <c r="F1763" s="5" t="inlineStr">
        <is>
          <t>0311/26</t>
        </is>
      </c>
      <c r="G1763" s="5" t="inlineStr">
        <is>
          <t>BRL</t>
        </is>
      </c>
      <c r="H1763" s="9" t="n">
        <v>-1.34</v>
      </c>
      <c r="I1763" s="16" t="n">
        <v>46224</v>
      </c>
      <c r="J1763" s="16" t="n">
        <v>46254</v>
      </c>
      <c r="K1763" s="5" t="inlineStr">
        <is>
          <t>Invoice Payment. SP: 19964</t>
        </is>
      </c>
      <c r="L1763" s="5" t="inlineStr">
        <is>
          <t>0311/26</t>
        </is>
      </c>
      <c r="M1763" s="5">
        <f>IF(YEAR(I1763)&lt;=2020,"Até 2020",TEXT(YEAR(I1763),"0"))</f>
        <v/>
      </c>
      <c r="N1763" s="5">
        <f>IFERROR(INDEX(DePara!$A:$A,MATCH(TEXT(B1763,"0"),DePara!$D:$D,0)),"(sem categoria)")</f>
        <v/>
      </c>
      <c r="O1763" s="5">
        <f>IF(J1763="","",Parametros!$B$6-J1763)</f>
        <v/>
      </c>
      <c r="P1763" s="5">
        <f>IF(O1763="","",IF(O1763&gt;0,1,0))</f>
        <v/>
      </c>
    </row>
    <row r="1764">
      <c r="A1764" s="5" t="n">
        <v>2111000000</v>
      </c>
      <c r="B1764" s="5" t="inlineStr">
        <is>
          <t>101463</t>
        </is>
      </c>
      <c r="C1764" s="5" t="inlineStr">
        <is>
          <t>ZURICH MINAS BRASIL SEGUROS S A</t>
        </is>
      </c>
      <c r="D1764" s="5" t="inlineStr">
        <is>
          <t>RE</t>
        </is>
      </c>
      <c r="E1764" s="5" t="n">
        <v>5013105</v>
      </c>
      <c r="F1764" s="5" t="inlineStr">
        <is>
          <t>0316/26</t>
        </is>
      </c>
      <c r="G1764" s="5" t="inlineStr">
        <is>
          <t>BRL</t>
        </is>
      </c>
      <c r="H1764" s="9" t="n">
        <v>-964.9400000000001</v>
      </c>
      <c r="I1764" s="16" t="n">
        <v>46224</v>
      </c>
      <c r="J1764" s="16" t="n">
        <v>46254</v>
      </c>
      <c r="K1764" s="5" t="inlineStr">
        <is>
          <t>Invoice Payment. SP: 19978</t>
        </is>
      </c>
      <c r="L1764" s="5" t="inlineStr">
        <is>
          <t>0316/26</t>
        </is>
      </c>
      <c r="M1764" s="5">
        <f>IF(YEAR(I1764)&lt;=2020,"Até 2020",TEXT(YEAR(I1764),"0"))</f>
        <v/>
      </c>
      <c r="N1764" s="5">
        <f>IFERROR(INDEX(DePara!$A:$A,MATCH(TEXT(B1764,"0"),DePara!$D:$D,0)),"(sem categoria)")</f>
        <v/>
      </c>
      <c r="O1764" s="5">
        <f>IF(J1764="","",Parametros!$B$6-J1764)</f>
        <v/>
      </c>
      <c r="P1764" s="5">
        <f>IF(O1764="","",IF(O1764&gt;0,1,0))</f>
        <v/>
      </c>
    </row>
    <row r="1765">
      <c r="A1765" s="5" t="n">
        <v>2111000000</v>
      </c>
      <c r="B1765" s="5" t="inlineStr">
        <is>
          <t>101463</t>
        </is>
      </c>
      <c r="C1765" s="5" t="inlineStr">
        <is>
          <t>ZURICH MINAS BRASIL SEGUROS S A</t>
        </is>
      </c>
      <c r="D1765" s="5" t="inlineStr">
        <is>
          <t>RE</t>
        </is>
      </c>
      <c r="E1765" s="5" t="n">
        <v>5013107</v>
      </c>
      <c r="F1765" s="5" t="inlineStr">
        <is>
          <t>0319/26</t>
        </is>
      </c>
      <c r="G1765" s="5" t="inlineStr">
        <is>
          <t>BRL</t>
        </is>
      </c>
      <c r="H1765" s="9" t="n">
        <v>-424.29</v>
      </c>
      <c r="I1765" s="16" t="n">
        <v>46224</v>
      </c>
      <c r="J1765" s="16" t="n">
        <v>46254</v>
      </c>
      <c r="K1765" s="5" t="inlineStr">
        <is>
          <t>Invoice Payment. SP: 19980</t>
        </is>
      </c>
      <c r="L1765" s="5" t="inlineStr">
        <is>
          <t>0319/26</t>
        </is>
      </c>
      <c r="M1765" s="5">
        <f>IF(YEAR(I1765)&lt;=2020,"Até 2020",TEXT(YEAR(I1765),"0"))</f>
        <v/>
      </c>
      <c r="N1765" s="5">
        <f>IFERROR(INDEX(DePara!$A:$A,MATCH(TEXT(B1765,"0"),DePara!$D:$D,0)),"(sem categoria)")</f>
        <v/>
      </c>
      <c r="O1765" s="5">
        <f>IF(J1765="","",Parametros!$B$6-J1765)</f>
        <v/>
      </c>
      <c r="P1765" s="5">
        <f>IF(O1765="","",IF(O1765&gt;0,1,0))</f>
        <v/>
      </c>
    </row>
    <row r="1766">
      <c r="A1766" s="5" t="n">
        <v>2111000000</v>
      </c>
      <c r="B1766" s="5" t="inlineStr">
        <is>
          <t>101463</t>
        </is>
      </c>
      <c r="C1766" s="5" t="inlineStr">
        <is>
          <t>ZURICH MINAS BRASIL SEGUROS S A</t>
        </is>
      </c>
      <c r="D1766" s="5" t="inlineStr">
        <is>
          <t>RE</t>
        </is>
      </c>
      <c r="E1766" s="5" t="n">
        <v>5013109</v>
      </c>
      <c r="F1766" s="5" t="inlineStr">
        <is>
          <t>0321/26</t>
        </is>
      </c>
      <c r="G1766" s="5" t="inlineStr">
        <is>
          <t>BRL</t>
        </is>
      </c>
      <c r="H1766" s="9" t="n">
        <v>-2515.07</v>
      </c>
      <c r="I1766" s="16" t="n">
        <v>46224</v>
      </c>
      <c r="J1766" s="16" t="n">
        <v>46254</v>
      </c>
      <c r="K1766" s="5" t="inlineStr">
        <is>
          <t>Invoice Payment. SP: 19982</t>
        </is>
      </c>
      <c r="L1766" s="5" t="inlineStr">
        <is>
          <t>0321/26</t>
        </is>
      </c>
      <c r="M1766" s="5">
        <f>IF(YEAR(I1766)&lt;=2020,"Até 2020",TEXT(YEAR(I1766),"0"))</f>
        <v/>
      </c>
      <c r="N1766" s="5">
        <f>IFERROR(INDEX(DePara!$A:$A,MATCH(TEXT(B1766,"0"),DePara!$D:$D,0)),"(sem categoria)")</f>
        <v/>
      </c>
      <c r="O1766" s="5">
        <f>IF(J1766="","",Parametros!$B$6-J1766)</f>
        <v/>
      </c>
      <c r="P1766" s="5">
        <f>IF(O1766="","",IF(O1766&gt;0,1,0))</f>
        <v/>
      </c>
    </row>
    <row r="1767">
      <c r="A1767" s="5" t="n">
        <v>2111000000</v>
      </c>
      <c r="B1767" s="5" t="inlineStr">
        <is>
          <t>101463</t>
        </is>
      </c>
      <c r="C1767" s="5" t="inlineStr">
        <is>
          <t>ZURICH MINAS BRASIL SEGUROS S A</t>
        </is>
      </c>
      <c r="D1767" s="5" t="inlineStr">
        <is>
          <t>RE</t>
        </is>
      </c>
      <c r="E1767" s="5" t="n">
        <v>5013117</v>
      </c>
      <c r="F1767" s="5" t="inlineStr">
        <is>
          <t>0348/26</t>
        </is>
      </c>
      <c r="G1767" s="5" t="inlineStr">
        <is>
          <t>BRL</t>
        </is>
      </c>
      <c r="H1767" s="9" t="n">
        <v>-3067.81</v>
      </c>
      <c r="I1767" s="16" t="n">
        <v>46224</v>
      </c>
      <c r="J1767" s="16" t="n">
        <v>46254</v>
      </c>
      <c r="K1767" s="5" t="inlineStr">
        <is>
          <t>Invoice Payment. SP: 19985</t>
        </is>
      </c>
      <c r="L1767" s="5" t="inlineStr">
        <is>
          <t>0348/26</t>
        </is>
      </c>
      <c r="M1767" s="5">
        <f>IF(YEAR(I1767)&lt;=2020,"Até 2020",TEXT(YEAR(I1767),"0"))</f>
        <v/>
      </c>
      <c r="N1767" s="5">
        <f>IFERROR(INDEX(DePara!$A:$A,MATCH(TEXT(B1767,"0"),DePara!$D:$D,0)),"(sem categoria)")</f>
        <v/>
      </c>
      <c r="O1767" s="5">
        <f>IF(J1767="","",Parametros!$B$6-J1767)</f>
        <v/>
      </c>
      <c r="P1767" s="5">
        <f>IF(O1767="","",IF(O1767&gt;0,1,0))</f>
        <v/>
      </c>
    </row>
    <row r="1768">
      <c r="A1768" s="5" t="n">
        <v>2111000000</v>
      </c>
      <c r="B1768" s="5" t="inlineStr">
        <is>
          <t>101463</t>
        </is>
      </c>
      <c r="C1768" s="5" t="inlineStr">
        <is>
          <t>ZURICH MINAS BRASIL SEGUROS S A</t>
        </is>
      </c>
      <c r="D1768" s="5" t="inlineStr">
        <is>
          <t>RE</t>
        </is>
      </c>
      <c r="E1768" s="5" t="n">
        <v>5013126</v>
      </c>
      <c r="F1768" s="5" t="inlineStr">
        <is>
          <t>0377/26</t>
        </is>
      </c>
      <c r="G1768" s="5" t="inlineStr">
        <is>
          <t>BRL</t>
        </is>
      </c>
      <c r="H1768" s="9" t="n">
        <v>-132.53</v>
      </c>
      <c r="I1768" s="16" t="n">
        <v>46224</v>
      </c>
      <c r="J1768" s="16" t="n">
        <v>46254</v>
      </c>
      <c r="K1768" s="5" t="inlineStr">
        <is>
          <t>Invoice Payment. SP: 19988</t>
        </is>
      </c>
      <c r="L1768" s="5" t="inlineStr">
        <is>
          <t>0377/26</t>
        </is>
      </c>
      <c r="M1768" s="5">
        <f>IF(YEAR(I1768)&lt;=2020,"Até 2020",TEXT(YEAR(I1768),"0"))</f>
        <v/>
      </c>
      <c r="N1768" s="5">
        <f>IFERROR(INDEX(DePara!$A:$A,MATCH(TEXT(B1768,"0"),DePara!$D:$D,0)),"(sem categoria)")</f>
        <v/>
      </c>
      <c r="O1768" s="5">
        <f>IF(J1768="","",Parametros!$B$6-J1768)</f>
        <v/>
      </c>
      <c r="P1768" s="5">
        <f>IF(O1768="","",IF(O1768&gt;0,1,0))</f>
        <v/>
      </c>
    </row>
    <row r="1769">
      <c r="A1769" s="5" t="n">
        <v>2111000000</v>
      </c>
      <c r="B1769" s="5" t="inlineStr">
        <is>
          <t>100883</t>
        </is>
      </c>
      <c r="C1769" s="5" t="inlineStr">
        <is>
          <t>QUELMAR TRANSPORTES LTDA</t>
        </is>
      </c>
      <c r="D1769" s="5" t="inlineStr">
        <is>
          <t>RE</t>
        </is>
      </c>
      <c r="E1769" s="5" t="n">
        <v>5013133</v>
      </c>
      <c r="F1769" s="5" t="inlineStr">
        <is>
          <t>6187-2</t>
        </is>
      </c>
      <c r="G1769" s="5" t="inlineStr">
        <is>
          <t>BRL</t>
        </is>
      </c>
      <c r="H1769" s="9" t="n">
        <v>-3980</v>
      </c>
      <c r="I1769" s="16" t="n">
        <v>46210</v>
      </c>
      <c r="J1769" s="16" t="n">
        <v>46270</v>
      </c>
      <c r="K1769" s="5" t="inlineStr">
        <is>
          <t>Fatura - bruto QUELMAR TRANSPORTES LTDA 6187-2</t>
        </is>
      </c>
      <c r="L1769" s="5" t="inlineStr">
        <is>
          <t>08092026</t>
        </is>
      </c>
      <c r="M1769" s="5">
        <f>IF(YEAR(I1769)&lt;=2020,"Até 2020",TEXT(YEAR(I1769),"0"))</f>
        <v/>
      </c>
      <c r="N1769" s="5">
        <f>IFERROR(INDEX(DePara!$A:$A,MATCH(TEXT(B1769,"0"),DePara!$D:$D,0)),"(sem categoria)")</f>
        <v/>
      </c>
      <c r="O1769" s="5">
        <f>IF(J1769="","",Parametros!$B$6-J1769)</f>
        <v/>
      </c>
      <c r="P1769" s="5">
        <f>IF(O1769="","",IF(O1769&gt;0,1,0))</f>
        <v/>
      </c>
    </row>
    <row r="1770">
      <c r="A1770" s="5" t="n">
        <v>2111000000</v>
      </c>
      <c r="B1770" s="5" t="inlineStr">
        <is>
          <t>100883</t>
        </is>
      </c>
      <c r="C1770" s="5" t="inlineStr">
        <is>
          <t>QUELMAR TRANSPORTES LTDA</t>
        </is>
      </c>
      <c r="D1770" s="5" t="inlineStr">
        <is>
          <t>RE</t>
        </is>
      </c>
      <c r="E1770" s="5" t="n">
        <v>5013134</v>
      </c>
      <c r="F1770" s="5" t="inlineStr">
        <is>
          <t>6212-2</t>
        </is>
      </c>
      <c r="G1770" s="5" t="inlineStr">
        <is>
          <t>BRL</t>
        </is>
      </c>
      <c r="H1770" s="9" t="n">
        <v>-980</v>
      </c>
      <c r="I1770" s="16" t="n">
        <v>46216</v>
      </c>
      <c r="J1770" s="16" t="n">
        <v>46270</v>
      </c>
      <c r="K1770" s="5" t="inlineStr">
        <is>
          <t>Fatura - bruto QUELMAR TRANSPORTES LTDA 6212-2</t>
        </is>
      </c>
      <c r="L1770" s="5" t="inlineStr">
        <is>
          <t>08092026</t>
        </is>
      </c>
      <c r="M1770" s="5">
        <f>IF(YEAR(I1770)&lt;=2020,"Até 2020",TEXT(YEAR(I1770),"0"))</f>
        <v/>
      </c>
      <c r="N1770" s="5">
        <f>IFERROR(INDEX(DePara!$A:$A,MATCH(TEXT(B1770,"0"),DePara!$D:$D,0)),"(sem categoria)")</f>
        <v/>
      </c>
      <c r="O1770" s="5">
        <f>IF(J1770="","",Parametros!$B$6-J1770)</f>
        <v/>
      </c>
      <c r="P1770" s="5">
        <f>IF(O1770="","",IF(O1770&gt;0,1,0))</f>
        <v/>
      </c>
    </row>
    <row r="1771">
      <c r="A1771" s="5" t="n">
        <v>2111000000</v>
      </c>
      <c r="B1771" s="5" t="inlineStr">
        <is>
          <t>100883</t>
        </is>
      </c>
      <c r="C1771" s="5" t="inlineStr">
        <is>
          <t>QUELMAR TRANSPORTES LTDA</t>
        </is>
      </c>
      <c r="D1771" s="5" t="inlineStr">
        <is>
          <t>RE</t>
        </is>
      </c>
      <c r="E1771" s="5" t="n">
        <v>5013135</v>
      </c>
      <c r="F1771" s="5" t="inlineStr">
        <is>
          <t>6231-2</t>
        </is>
      </c>
      <c r="G1771" s="5" t="inlineStr">
        <is>
          <t>BRL</t>
        </is>
      </c>
      <c r="H1771" s="9" t="n">
        <v>-1190</v>
      </c>
      <c r="I1771" s="16" t="n">
        <v>46217</v>
      </c>
      <c r="J1771" s="16" t="n">
        <v>46270</v>
      </c>
      <c r="K1771" s="5" t="inlineStr">
        <is>
          <t>Fatura - bruto QUELMAR TRANSPORTES LTDA 6231-2</t>
        </is>
      </c>
      <c r="L1771" s="5" t="inlineStr">
        <is>
          <t>08092026</t>
        </is>
      </c>
      <c r="M1771" s="5">
        <f>IF(YEAR(I1771)&lt;=2020,"Até 2020",TEXT(YEAR(I1771),"0"))</f>
        <v/>
      </c>
      <c r="N1771" s="5">
        <f>IFERROR(INDEX(DePara!$A:$A,MATCH(TEXT(B1771,"0"),DePara!$D:$D,0)),"(sem categoria)")</f>
        <v/>
      </c>
      <c r="O1771" s="5">
        <f>IF(J1771="","",Parametros!$B$6-J1771)</f>
        <v/>
      </c>
      <c r="P1771" s="5">
        <f>IF(O1771="","",IF(O1771&gt;0,1,0))</f>
        <v/>
      </c>
    </row>
    <row r="1772">
      <c r="A1772" s="5" t="n">
        <v>2111000000</v>
      </c>
      <c r="B1772" s="5" t="inlineStr">
        <is>
          <t>100883</t>
        </is>
      </c>
      <c r="C1772" s="5" t="inlineStr">
        <is>
          <t>QUELMAR TRANSPORTES LTDA</t>
        </is>
      </c>
      <c r="D1772" s="5" t="inlineStr">
        <is>
          <t>RE</t>
        </is>
      </c>
      <c r="E1772" s="5" t="n">
        <v>5013136</v>
      </c>
      <c r="F1772" s="5" t="inlineStr">
        <is>
          <t>6233-2</t>
        </is>
      </c>
      <c r="G1772" s="5" t="inlineStr">
        <is>
          <t>BRL</t>
        </is>
      </c>
      <c r="H1772" s="9" t="n">
        <v>-3970</v>
      </c>
      <c r="I1772" s="16" t="n">
        <v>46217</v>
      </c>
      <c r="J1772" s="16" t="n">
        <v>46270</v>
      </c>
      <c r="K1772" s="5" t="inlineStr">
        <is>
          <t>Fatura - bruto QUELMAR TRANSPORTES LTDA 6233-2</t>
        </is>
      </c>
      <c r="L1772" s="5" t="inlineStr">
        <is>
          <t>08092026</t>
        </is>
      </c>
      <c r="M1772" s="5">
        <f>IF(YEAR(I1772)&lt;=2020,"Até 2020",TEXT(YEAR(I1772),"0"))</f>
        <v/>
      </c>
      <c r="N1772" s="5">
        <f>IFERROR(INDEX(DePara!$A:$A,MATCH(TEXT(B1772,"0"),DePara!$D:$D,0)),"(sem categoria)")</f>
        <v/>
      </c>
      <c r="O1772" s="5">
        <f>IF(J1772="","",Parametros!$B$6-J1772)</f>
        <v/>
      </c>
      <c r="P1772" s="5">
        <f>IF(O1772="","",IF(O1772&gt;0,1,0))</f>
        <v/>
      </c>
    </row>
    <row r="1773">
      <c r="A1773" s="5" t="n">
        <v>2111000000</v>
      </c>
      <c r="B1773" s="5" t="inlineStr">
        <is>
          <t>100883</t>
        </is>
      </c>
      <c r="C1773" s="5" t="inlineStr">
        <is>
          <t>QUELMAR TRANSPORTES LTDA</t>
        </is>
      </c>
      <c r="D1773" s="5" t="inlineStr">
        <is>
          <t>RE</t>
        </is>
      </c>
      <c r="E1773" s="5" t="n">
        <v>5013137</v>
      </c>
      <c r="F1773" s="5" t="inlineStr">
        <is>
          <t>6234-2</t>
        </is>
      </c>
      <c r="G1773" s="5" t="inlineStr">
        <is>
          <t>BRL</t>
        </is>
      </c>
      <c r="H1773" s="9" t="n">
        <v>-980</v>
      </c>
      <c r="I1773" s="16" t="n">
        <v>46217</v>
      </c>
      <c r="J1773" s="16" t="n">
        <v>46270</v>
      </c>
      <c r="K1773" s="5" t="inlineStr">
        <is>
          <t>Fatura - bruto QUELMAR TRANSPORTES LTDA 6234-2</t>
        </is>
      </c>
      <c r="L1773" s="5" t="inlineStr">
        <is>
          <t>08092026</t>
        </is>
      </c>
      <c r="M1773" s="5">
        <f>IF(YEAR(I1773)&lt;=2020,"Até 2020",TEXT(YEAR(I1773),"0"))</f>
        <v/>
      </c>
      <c r="N1773" s="5">
        <f>IFERROR(INDEX(DePara!$A:$A,MATCH(TEXT(B1773,"0"),DePara!$D:$D,0)),"(sem categoria)")</f>
        <v/>
      </c>
      <c r="O1773" s="5">
        <f>IF(J1773="","",Parametros!$B$6-J1773)</f>
        <v/>
      </c>
      <c r="P1773" s="5">
        <f>IF(O1773="","",IF(O1773&gt;0,1,0))</f>
        <v/>
      </c>
    </row>
    <row r="1774">
      <c r="A1774" s="5" t="n">
        <v>2111000000</v>
      </c>
      <c r="B1774" s="5" t="inlineStr">
        <is>
          <t>100883</t>
        </is>
      </c>
      <c r="C1774" s="5" t="inlineStr">
        <is>
          <t>QUELMAR TRANSPORTES LTDA</t>
        </is>
      </c>
      <c r="D1774" s="5" t="inlineStr">
        <is>
          <t>RE</t>
        </is>
      </c>
      <c r="E1774" s="5" t="n">
        <v>5013138</v>
      </c>
      <c r="F1774" s="5" t="inlineStr">
        <is>
          <t>6210-2</t>
        </is>
      </c>
      <c r="G1774" s="5" t="inlineStr">
        <is>
          <t>BRL</t>
        </is>
      </c>
      <c r="H1774" s="9" t="n">
        <v>-1750</v>
      </c>
      <c r="I1774" s="16" t="n">
        <v>46216</v>
      </c>
      <c r="J1774" s="16" t="n">
        <v>46270</v>
      </c>
      <c r="K1774" s="5" t="inlineStr">
        <is>
          <t>Fatura - bruto QUELMAR TRANSPORTES LTDA 6210-2</t>
        </is>
      </c>
      <c r="L1774" s="5" t="inlineStr">
        <is>
          <t>08092026</t>
        </is>
      </c>
      <c r="M1774" s="5">
        <f>IF(YEAR(I1774)&lt;=2020,"Até 2020",TEXT(YEAR(I1774),"0"))</f>
        <v/>
      </c>
      <c r="N1774" s="5">
        <f>IFERROR(INDEX(DePara!$A:$A,MATCH(TEXT(B1774,"0"),DePara!$D:$D,0)),"(sem categoria)")</f>
        <v/>
      </c>
      <c r="O1774" s="5">
        <f>IF(J1774="","",Parametros!$B$6-J1774)</f>
        <v/>
      </c>
      <c r="P1774" s="5">
        <f>IF(O1774="","",IF(O1774&gt;0,1,0))</f>
        <v/>
      </c>
    </row>
    <row r="1775">
      <c r="A1775" s="5" t="n">
        <v>2111000000</v>
      </c>
      <c r="B1775" s="5" t="inlineStr">
        <is>
          <t>100883</t>
        </is>
      </c>
      <c r="C1775" s="5" t="inlineStr">
        <is>
          <t>QUELMAR TRANSPORTES LTDA</t>
        </is>
      </c>
      <c r="D1775" s="5" t="inlineStr">
        <is>
          <t>RE</t>
        </is>
      </c>
      <c r="E1775" s="5" t="n">
        <v>5013139</v>
      </c>
      <c r="F1775" s="5" t="inlineStr">
        <is>
          <t>6223-2</t>
        </is>
      </c>
      <c r="G1775" s="5" t="inlineStr">
        <is>
          <t>BRL</t>
        </is>
      </c>
      <c r="H1775" s="9" t="n">
        <v>-4430</v>
      </c>
      <c r="I1775" s="16" t="n">
        <v>46217</v>
      </c>
      <c r="J1775" s="16" t="n">
        <v>46270</v>
      </c>
      <c r="K1775" s="5" t="inlineStr">
        <is>
          <t>Fatura - bruto QUELMAR TRANSPORTES LTDA 6223-2</t>
        </is>
      </c>
      <c r="L1775" s="5" t="inlineStr">
        <is>
          <t>08092026</t>
        </is>
      </c>
      <c r="M1775" s="5">
        <f>IF(YEAR(I1775)&lt;=2020,"Até 2020",TEXT(YEAR(I1775),"0"))</f>
        <v/>
      </c>
      <c r="N1775" s="5">
        <f>IFERROR(INDEX(DePara!$A:$A,MATCH(TEXT(B1775,"0"),DePara!$D:$D,0)),"(sem categoria)")</f>
        <v/>
      </c>
      <c r="O1775" s="5">
        <f>IF(J1775="","",Parametros!$B$6-J1775)</f>
        <v/>
      </c>
      <c r="P1775" s="5">
        <f>IF(O1775="","",IF(O1775&gt;0,1,0))</f>
        <v/>
      </c>
    </row>
    <row r="1776">
      <c r="A1776" s="5" t="n">
        <v>2111000000</v>
      </c>
      <c r="B1776" s="5" t="inlineStr">
        <is>
          <t>100883</t>
        </is>
      </c>
      <c r="C1776" s="5" t="inlineStr">
        <is>
          <t>QUELMAR TRANSPORTES LTDA</t>
        </is>
      </c>
      <c r="D1776" s="5" t="inlineStr">
        <is>
          <t>RE</t>
        </is>
      </c>
      <c r="E1776" s="5" t="n">
        <v>5013140</v>
      </c>
      <c r="F1776" s="5" t="inlineStr">
        <is>
          <t>6184-2</t>
        </is>
      </c>
      <c r="G1776" s="5" t="inlineStr">
        <is>
          <t>BRL</t>
        </is>
      </c>
      <c r="H1776" s="9" t="n">
        <v>-3980</v>
      </c>
      <c r="I1776" s="16" t="n">
        <v>46210</v>
      </c>
      <c r="J1776" s="16" t="n">
        <v>46270</v>
      </c>
      <c r="K1776" s="5" t="inlineStr">
        <is>
          <t>Fatura - bruto QUELMAR TRANSPORTES LTDA 6184-2</t>
        </is>
      </c>
      <c r="L1776" s="5" t="inlineStr">
        <is>
          <t>08092026</t>
        </is>
      </c>
      <c r="M1776" s="5">
        <f>IF(YEAR(I1776)&lt;=2020,"Até 2020",TEXT(YEAR(I1776),"0"))</f>
        <v/>
      </c>
      <c r="N1776" s="5">
        <f>IFERROR(INDEX(DePara!$A:$A,MATCH(TEXT(B1776,"0"),DePara!$D:$D,0)),"(sem categoria)")</f>
        <v/>
      </c>
      <c r="O1776" s="5">
        <f>IF(J1776="","",Parametros!$B$6-J1776)</f>
        <v/>
      </c>
      <c r="P1776" s="5">
        <f>IF(O1776="","",IF(O1776&gt;0,1,0))</f>
        <v/>
      </c>
    </row>
    <row r="1777">
      <c r="A1777" s="5" t="n">
        <v>2111000000</v>
      </c>
      <c r="B1777" s="5" t="inlineStr">
        <is>
          <t>100883</t>
        </is>
      </c>
      <c r="C1777" s="5" t="inlineStr">
        <is>
          <t>QUELMAR TRANSPORTES LTDA</t>
        </is>
      </c>
      <c r="D1777" s="5" t="inlineStr">
        <is>
          <t>RE</t>
        </is>
      </c>
      <c r="E1777" s="5" t="n">
        <v>5013141</v>
      </c>
      <c r="F1777" s="5" t="inlineStr">
        <is>
          <t>6185-2</t>
        </is>
      </c>
      <c r="G1777" s="5" t="inlineStr">
        <is>
          <t>BRL</t>
        </is>
      </c>
      <c r="H1777" s="9" t="n">
        <v>-3980</v>
      </c>
      <c r="I1777" s="16" t="n">
        <v>46210</v>
      </c>
      <c r="J1777" s="16" t="n">
        <v>46270</v>
      </c>
      <c r="K1777" s="5" t="inlineStr">
        <is>
          <t>Fatura - bruto QUELMAR TRANSPORTES LTDA 6185-2</t>
        </is>
      </c>
      <c r="L1777" s="5" t="inlineStr">
        <is>
          <t>08092026</t>
        </is>
      </c>
      <c r="M1777" s="5">
        <f>IF(YEAR(I1777)&lt;=2020,"Até 2020",TEXT(YEAR(I1777),"0"))</f>
        <v/>
      </c>
      <c r="N1777" s="5">
        <f>IFERROR(INDEX(DePara!$A:$A,MATCH(TEXT(B1777,"0"),DePara!$D:$D,0)),"(sem categoria)")</f>
        <v/>
      </c>
      <c r="O1777" s="5">
        <f>IF(J1777="","",Parametros!$B$6-J1777)</f>
        <v/>
      </c>
      <c r="P1777" s="5">
        <f>IF(O1777="","",IF(O1777&gt;0,1,0))</f>
        <v/>
      </c>
    </row>
    <row r="1778">
      <c r="A1778" s="5" t="n">
        <v>2111000000</v>
      </c>
      <c r="B1778" s="5" t="inlineStr">
        <is>
          <t>100883</t>
        </is>
      </c>
      <c r="C1778" s="5" t="inlineStr">
        <is>
          <t>QUELMAR TRANSPORTES LTDA</t>
        </is>
      </c>
      <c r="D1778" s="5" t="inlineStr">
        <is>
          <t>RE</t>
        </is>
      </c>
      <c r="E1778" s="5" t="n">
        <v>5013142</v>
      </c>
      <c r="F1778" s="5" t="inlineStr">
        <is>
          <t>6195-2</t>
        </is>
      </c>
      <c r="G1778" s="5" t="inlineStr">
        <is>
          <t>BRL</t>
        </is>
      </c>
      <c r="H1778" s="9" t="n">
        <v>-2980</v>
      </c>
      <c r="I1778" s="16" t="n">
        <v>46211</v>
      </c>
      <c r="J1778" s="16" t="n">
        <v>46270</v>
      </c>
      <c r="K1778" s="5" t="inlineStr">
        <is>
          <t>Fatura - bruto QUELMAR TRANSPORTES LTDA 6195-2</t>
        </is>
      </c>
      <c r="L1778" s="5" t="inlineStr">
        <is>
          <t>08092026</t>
        </is>
      </c>
      <c r="M1778" s="5">
        <f>IF(YEAR(I1778)&lt;=2020,"Até 2020",TEXT(YEAR(I1778),"0"))</f>
        <v/>
      </c>
      <c r="N1778" s="5">
        <f>IFERROR(INDEX(DePara!$A:$A,MATCH(TEXT(B1778,"0"),DePara!$D:$D,0)),"(sem categoria)")</f>
        <v/>
      </c>
      <c r="O1778" s="5">
        <f>IF(J1778="","",Parametros!$B$6-J1778)</f>
        <v/>
      </c>
      <c r="P1778" s="5">
        <f>IF(O1778="","",IF(O1778&gt;0,1,0))</f>
        <v/>
      </c>
    </row>
    <row r="1779">
      <c r="A1779" s="5" t="n">
        <v>2111000000</v>
      </c>
      <c r="B1779" s="5" t="inlineStr">
        <is>
          <t>100883</t>
        </is>
      </c>
      <c r="C1779" s="5" t="inlineStr">
        <is>
          <t>QUELMAR TRANSPORTES LTDA</t>
        </is>
      </c>
      <c r="D1779" s="5" t="inlineStr">
        <is>
          <t>RE</t>
        </is>
      </c>
      <c r="E1779" s="5" t="n">
        <v>5013143</v>
      </c>
      <c r="F1779" s="5" t="inlineStr">
        <is>
          <t>6176-2</t>
        </is>
      </c>
      <c r="G1779" s="5" t="inlineStr">
        <is>
          <t>BRL</t>
        </is>
      </c>
      <c r="H1779" s="9" t="n">
        <v>-1380</v>
      </c>
      <c r="I1779" s="16" t="n">
        <v>46205</v>
      </c>
      <c r="J1779" s="16" t="n">
        <v>46270</v>
      </c>
      <c r="K1779" s="5" t="inlineStr">
        <is>
          <t>Fatura - bruto QUELMAR TRANSPORTES LTDA 6176-2</t>
        </is>
      </c>
      <c r="L1779" s="5" t="inlineStr">
        <is>
          <t>08092026</t>
        </is>
      </c>
      <c r="M1779" s="5">
        <f>IF(YEAR(I1779)&lt;=2020,"Até 2020",TEXT(YEAR(I1779),"0"))</f>
        <v/>
      </c>
      <c r="N1779" s="5">
        <f>IFERROR(INDEX(DePara!$A:$A,MATCH(TEXT(B1779,"0"),DePara!$D:$D,0)),"(sem categoria)")</f>
        <v/>
      </c>
      <c r="O1779" s="5">
        <f>IF(J1779="","",Parametros!$B$6-J1779)</f>
        <v/>
      </c>
      <c r="P1779" s="5">
        <f>IF(O1779="","",IF(O1779&gt;0,1,0))</f>
        <v/>
      </c>
    </row>
    <row r="1780">
      <c r="A1780" s="5" t="n">
        <v>2111000000</v>
      </c>
      <c r="B1780" s="5" t="inlineStr">
        <is>
          <t>100883</t>
        </is>
      </c>
      <c r="C1780" s="5" t="inlineStr">
        <is>
          <t>QUELMAR TRANSPORTES LTDA</t>
        </is>
      </c>
      <c r="D1780" s="5" t="inlineStr">
        <is>
          <t>RE</t>
        </is>
      </c>
      <c r="E1780" s="5" t="n">
        <v>5013144</v>
      </c>
      <c r="F1780" s="5" t="inlineStr">
        <is>
          <t>6183-2</t>
        </is>
      </c>
      <c r="G1780" s="5" t="inlineStr">
        <is>
          <t>BRL</t>
        </is>
      </c>
      <c r="H1780" s="9" t="n">
        <v>-6200</v>
      </c>
      <c r="I1780" s="16" t="n">
        <v>46209</v>
      </c>
      <c r="J1780" s="16" t="n">
        <v>46270</v>
      </c>
      <c r="K1780" s="5" t="inlineStr">
        <is>
          <t>Fatura - bruto QUELMAR TRANSPORTES LTDA 6183-2</t>
        </is>
      </c>
      <c r="L1780" s="5" t="inlineStr">
        <is>
          <t>08092026</t>
        </is>
      </c>
      <c r="M1780" s="5">
        <f>IF(YEAR(I1780)&lt;=2020,"Até 2020",TEXT(YEAR(I1780),"0"))</f>
        <v/>
      </c>
      <c r="N1780" s="5">
        <f>IFERROR(INDEX(DePara!$A:$A,MATCH(TEXT(B1780,"0"),DePara!$D:$D,0)),"(sem categoria)")</f>
        <v/>
      </c>
      <c r="O1780" s="5">
        <f>IF(J1780="","",Parametros!$B$6-J1780)</f>
        <v/>
      </c>
      <c r="P1780" s="5">
        <f>IF(O1780="","",IF(O1780&gt;0,1,0))</f>
        <v/>
      </c>
    </row>
    <row r="1781">
      <c r="A1781" s="5" t="n">
        <v>2111000000</v>
      </c>
      <c r="B1781" s="5" t="inlineStr">
        <is>
          <t>100883</t>
        </is>
      </c>
      <c r="C1781" s="5" t="inlineStr">
        <is>
          <t>QUELMAR TRANSPORTES LTDA</t>
        </is>
      </c>
      <c r="D1781" s="5" t="inlineStr">
        <is>
          <t>RE</t>
        </is>
      </c>
      <c r="E1781" s="5" t="n">
        <v>5013145</v>
      </c>
      <c r="F1781" s="5" t="inlineStr">
        <is>
          <t>6219-2</t>
        </is>
      </c>
      <c r="G1781" s="5" t="inlineStr">
        <is>
          <t>BRL</t>
        </is>
      </c>
      <c r="H1781" s="9" t="n">
        <v>-11402</v>
      </c>
      <c r="I1781" s="16" t="n">
        <v>46217</v>
      </c>
      <c r="J1781" s="16" t="n">
        <v>46270</v>
      </c>
      <c r="K1781" s="5" t="inlineStr">
        <is>
          <t>Fatura - bruto QUELMAR TRANSPORTES LTDA 6219-2</t>
        </is>
      </c>
      <c r="L1781" s="5" t="inlineStr">
        <is>
          <t>08092026</t>
        </is>
      </c>
      <c r="M1781" s="5">
        <f>IF(YEAR(I1781)&lt;=2020,"Até 2020",TEXT(YEAR(I1781),"0"))</f>
        <v/>
      </c>
      <c r="N1781" s="5">
        <f>IFERROR(INDEX(DePara!$A:$A,MATCH(TEXT(B1781,"0"),DePara!$D:$D,0)),"(sem categoria)")</f>
        <v/>
      </c>
      <c r="O1781" s="5">
        <f>IF(J1781="","",Parametros!$B$6-J1781)</f>
        <v/>
      </c>
      <c r="P1781" s="5">
        <f>IF(O1781="","",IF(O1781&gt;0,1,0))</f>
        <v/>
      </c>
    </row>
    <row r="1782">
      <c r="A1782" s="5" t="n">
        <v>2111000000</v>
      </c>
      <c r="B1782" s="5" t="inlineStr">
        <is>
          <t>101576</t>
        </is>
      </c>
      <c r="C1782" s="5" t="inlineStr">
        <is>
          <t>CLARO S.A</t>
        </is>
      </c>
      <c r="D1782" s="5" t="inlineStr">
        <is>
          <t>RE</t>
        </is>
      </c>
      <c r="E1782" s="5" t="n">
        <v>5013153</v>
      </c>
      <c r="F1782" s="5" t="inlineStr">
        <is>
          <t>82473</t>
        </is>
      </c>
      <c r="G1782" s="5" t="inlineStr">
        <is>
          <t>BRL</t>
        </is>
      </c>
      <c r="H1782" s="9" t="n">
        <v>-1514.76</v>
      </c>
      <c r="I1782" s="16" t="n">
        <v>45131</v>
      </c>
      <c r="J1782" s="16" t="n">
        <v>45131</v>
      </c>
      <c r="K1782" s="5" t="inlineStr">
        <is>
          <t>REGULARIZAÇÃO CFE LETICIA, TEAMS 16.04</t>
        </is>
      </c>
      <c r="L1782" s="5" t="inlineStr">
        <is>
          <t>NÃO PAGAR</t>
        </is>
      </c>
      <c r="M1782" s="5">
        <f>IF(YEAR(I1782)&lt;=2020,"Até 2020",TEXT(YEAR(I1782),"0"))</f>
        <v/>
      </c>
      <c r="N1782" s="5">
        <f>IFERROR(INDEX(DePara!$A:$A,MATCH(TEXT(B1782,"0"),DePara!$D:$D,0)),"(sem categoria)")</f>
        <v/>
      </c>
      <c r="O1782" s="5">
        <f>IF(J1782="","",Parametros!$B$6-J1782)</f>
        <v/>
      </c>
      <c r="P1782" s="5">
        <f>IF(O1782="","",IF(O1782&gt;0,1,0))</f>
        <v/>
      </c>
    </row>
    <row r="1783">
      <c r="A1783" s="5" t="n">
        <v>2111000000</v>
      </c>
      <c r="B1783" s="5" t="inlineStr">
        <is>
          <t>100031</t>
        </is>
      </c>
      <c r="C1783" s="5" t="inlineStr">
        <is>
          <t>MEGAWIND INDUSTRIA E COMERCIO</t>
        </is>
      </c>
      <c r="D1783" s="5" t="inlineStr">
        <is>
          <t>RE</t>
        </is>
      </c>
      <c r="E1783" s="5" t="n">
        <v>5013155</v>
      </c>
      <c r="F1783" s="5" t="inlineStr">
        <is>
          <t>1415</t>
        </is>
      </c>
      <c r="G1783" s="5" t="inlineStr">
        <is>
          <t>BRL</t>
        </is>
      </c>
      <c r="H1783" s="9" t="n">
        <v>-29840.95</v>
      </c>
      <c r="I1783" s="16" t="n">
        <v>46223</v>
      </c>
      <c r="J1783" s="16" t="n">
        <v>46270</v>
      </c>
      <c r="K1783" s="5" t="inlineStr">
        <is>
          <t>Fatura - bruto MEGAWIND INDUSTRIA E COMERCIO 1415</t>
        </is>
      </c>
      <c r="L1783" s="5" t="inlineStr">
        <is>
          <t>08092026</t>
        </is>
      </c>
      <c r="M1783" s="5">
        <f>IF(YEAR(I1783)&lt;=2020,"Até 2020",TEXT(YEAR(I1783),"0"))</f>
        <v/>
      </c>
      <c r="N1783" s="5">
        <f>IFERROR(INDEX(DePara!$A:$A,MATCH(TEXT(B1783,"0"),DePara!$D:$D,0)),"(sem categoria)")</f>
        <v/>
      </c>
      <c r="O1783" s="5">
        <f>IF(J1783="","",Parametros!$B$6-J1783)</f>
        <v/>
      </c>
      <c r="P1783" s="5">
        <f>IF(O1783="","",IF(O1783&gt;0,1,0))</f>
        <v/>
      </c>
    </row>
    <row r="1784">
      <c r="A1784" s="5" t="n">
        <v>2111000000</v>
      </c>
      <c r="B1784" s="5" t="inlineStr">
        <is>
          <t>100031</t>
        </is>
      </c>
      <c r="C1784" s="5" t="inlineStr">
        <is>
          <t>MEGAWIND INDUSTRIA E COMERCIO</t>
        </is>
      </c>
      <c r="D1784" s="5" t="inlineStr">
        <is>
          <t>RE</t>
        </is>
      </c>
      <c r="E1784" s="5" t="n">
        <v>5013156</v>
      </c>
      <c r="F1784" s="5" t="inlineStr">
        <is>
          <t>1416</t>
        </is>
      </c>
      <c r="G1784" s="5" t="inlineStr">
        <is>
          <t>BRL</t>
        </is>
      </c>
      <c r="H1784" s="9" t="n">
        <v>-2876.61</v>
      </c>
      <c r="I1784" s="16" t="n">
        <v>46223</v>
      </c>
      <c r="J1784" s="16" t="n">
        <v>46270</v>
      </c>
      <c r="K1784" s="5" t="inlineStr">
        <is>
          <t>Fatura - bruto MEGAWIND INDUSTRIA E COMERCIO 1416</t>
        </is>
      </c>
      <c r="L1784" s="5" t="inlineStr">
        <is>
          <t>08092026</t>
        </is>
      </c>
      <c r="M1784" s="5">
        <f>IF(YEAR(I1784)&lt;=2020,"Até 2020",TEXT(YEAR(I1784),"0"))</f>
        <v/>
      </c>
      <c r="N1784" s="5">
        <f>IFERROR(INDEX(DePara!$A:$A,MATCH(TEXT(B1784,"0"),DePara!$D:$D,0)),"(sem categoria)")</f>
        <v/>
      </c>
      <c r="O1784" s="5">
        <f>IF(J1784="","",Parametros!$B$6-J1784)</f>
        <v/>
      </c>
      <c r="P1784" s="5">
        <f>IF(O1784="","",IF(O1784&gt;0,1,0))</f>
        <v/>
      </c>
    </row>
    <row r="1785">
      <c r="A1785" s="5" t="n">
        <v>2111000000</v>
      </c>
      <c r="B1785" s="5" t="inlineStr">
        <is>
          <t>100031</t>
        </is>
      </c>
      <c r="C1785" s="5" t="inlineStr">
        <is>
          <t>MEGAWIND INDUSTRIA E COMERCIO</t>
        </is>
      </c>
      <c r="D1785" s="5" t="inlineStr">
        <is>
          <t>RE</t>
        </is>
      </c>
      <c r="E1785" s="5" t="n">
        <v>5013157</v>
      </c>
      <c r="F1785" s="5" t="inlineStr">
        <is>
          <t>1417</t>
        </is>
      </c>
      <c r="G1785" s="5" t="inlineStr">
        <is>
          <t>BRL</t>
        </is>
      </c>
      <c r="H1785" s="9" t="n">
        <v>-2386.49</v>
      </c>
      <c r="I1785" s="16" t="n">
        <v>46223</v>
      </c>
      <c r="J1785" s="16" t="n">
        <v>46270</v>
      </c>
      <c r="K1785" s="5" t="inlineStr">
        <is>
          <t>Fatura - bruto MEGAWIND INDUSTRIA E COMERCIO 1417</t>
        </is>
      </c>
      <c r="L1785" s="5" t="inlineStr">
        <is>
          <t>08092026</t>
        </is>
      </c>
      <c r="M1785" s="5">
        <f>IF(YEAR(I1785)&lt;=2020,"Até 2020",TEXT(YEAR(I1785),"0"))</f>
        <v/>
      </c>
      <c r="N1785" s="5">
        <f>IFERROR(INDEX(DePara!$A:$A,MATCH(TEXT(B1785,"0"),DePara!$D:$D,0)),"(sem categoria)")</f>
        <v/>
      </c>
      <c r="O1785" s="5">
        <f>IF(J1785="","",Parametros!$B$6-J1785)</f>
        <v/>
      </c>
      <c r="P1785" s="5">
        <f>IF(O1785="","",IF(O1785&gt;0,1,0))</f>
        <v/>
      </c>
    </row>
    <row r="1786">
      <c r="A1786" s="5" t="n">
        <v>2111000000</v>
      </c>
      <c r="B1786" s="5" t="inlineStr">
        <is>
          <t>100031</t>
        </is>
      </c>
      <c r="C1786" s="5" t="inlineStr">
        <is>
          <t>MEGAWIND INDUSTRIA E COMERCIO</t>
        </is>
      </c>
      <c r="D1786" s="5" t="inlineStr">
        <is>
          <t>RE</t>
        </is>
      </c>
      <c r="E1786" s="5" t="n">
        <v>5013158</v>
      </c>
      <c r="F1786" s="5" t="inlineStr">
        <is>
          <t>1418</t>
        </is>
      </c>
      <c r="G1786" s="5" t="inlineStr">
        <is>
          <t>BRL</t>
        </is>
      </c>
      <c r="H1786" s="9" t="n">
        <v>-33596.49</v>
      </c>
      <c r="I1786" s="16" t="n">
        <v>46223</v>
      </c>
      <c r="J1786" s="16" t="n">
        <v>46270</v>
      </c>
      <c r="K1786" s="5" t="inlineStr">
        <is>
          <t>Fatura - bruto MEGAWIND INDUSTRIA E COMERCIO 1418</t>
        </is>
      </c>
      <c r="L1786" s="5" t="inlineStr">
        <is>
          <t>08092026</t>
        </is>
      </c>
      <c r="M1786" s="5">
        <f>IF(YEAR(I1786)&lt;=2020,"Até 2020",TEXT(YEAR(I1786),"0"))</f>
        <v/>
      </c>
      <c r="N1786" s="5">
        <f>IFERROR(INDEX(DePara!$A:$A,MATCH(TEXT(B1786,"0"),DePara!$D:$D,0)),"(sem categoria)")</f>
        <v/>
      </c>
      <c r="O1786" s="5">
        <f>IF(J1786="","",Parametros!$B$6-J1786)</f>
        <v/>
      </c>
      <c r="P1786" s="5">
        <f>IF(O1786="","",IF(O1786&gt;0,1,0))</f>
        <v/>
      </c>
    </row>
    <row r="1787">
      <c r="A1787" s="5" t="n">
        <v>2111000000</v>
      </c>
      <c r="B1787" s="5" t="inlineStr">
        <is>
          <t>100031</t>
        </is>
      </c>
      <c r="C1787" s="5" t="inlineStr">
        <is>
          <t>MEGAWIND INDUSTRIA E COMERCIO</t>
        </is>
      </c>
      <c r="D1787" s="5" t="inlineStr">
        <is>
          <t>RE</t>
        </is>
      </c>
      <c r="E1787" s="5" t="n">
        <v>5013159</v>
      </c>
      <c r="F1787" s="5" t="inlineStr">
        <is>
          <t>1419</t>
        </is>
      </c>
      <c r="G1787" s="5" t="inlineStr">
        <is>
          <t>BRL</t>
        </is>
      </c>
      <c r="H1787" s="9" t="n">
        <v>-1664.92</v>
      </c>
      <c r="I1787" s="16" t="n">
        <v>46223</v>
      </c>
      <c r="J1787" s="16" t="n">
        <v>46270</v>
      </c>
      <c r="K1787" s="5" t="inlineStr">
        <is>
          <t>Fatura - bruto MEGAWIND INDUSTRIA E COMERCIO 1419</t>
        </is>
      </c>
      <c r="L1787" s="5" t="inlineStr">
        <is>
          <t>08092026</t>
        </is>
      </c>
      <c r="M1787" s="5">
        <f>IF(YEAR(I1787)&lt;=2020,"Até 2020",TEXT(YEAR(I1787),"0"))</f>
        <v/>
      </c>
      <c r="N1787" s="5">
        <f>IFERROR(INDEX(DePara!$A:$A,MATCH(TEXT(B1787,"0"),DePara!$D:$D,0)),"(sem categoria)")</f>
        <v/>
      </c>
      <c r="O1787" s="5">
        <f>IF(J1787="","",Parametros!$B$6-J1787)</f>
        <v/>
      </c>
      <c r="P1787" s="5">
        <f>IF(O1787="","",IF(O1787&gt;0,1,0))</f>
        <v/>
      </c>
    </row>
    <row r="1788">
      <c r="A1788" s="5" t="n">
        <v>2111000000</v>
      </c>
      <c r="B1788" s="5" t="inlineStr">
        <is>
          <t>100031</t>
        </is>
      </c>
      <c r="C1788" s="5" t="inlineStr">
        <is>
          <t>MEGAWIND INDUSTRIA E COMERCIO</t>
        </is>
      </c>
      <c r="D1788" s="5" t="inlineStr">
        <is>
          <t>RE</t>
        </is>
      </c>
      <c r="E1788" s="5" t="n">
        <v>5013160</v>
      </c>
      <c r="F1788" s="5" t="inlineStr">
        <is>
          <t>1420</t>
        </is>
      </c>
      <c r="G1788" s="5" t="inlineStr">
        <is>
          <t>BRL</t>
        </is>
      </c>
      <c r="H1788" s="9" t="n">
        <v>-4828.47</v>
      </c>
      <c r="I1788" s="16" t="n">
        <v>46223</v>
      </c>
      <c r="J1788" s="16" t="n">
        <v>46270</v>
      </c>
      <c r="K1788" s="5" t="inlineStr">
        <is>
          <t>Fatura - bruto MEGAWIND INDUSTRIA E COMERCIO 1420</t>
        </is>
      </c>
      <c r="L1788" s="5" t="inlineStr">
        <is>
          <t>08092026</t>
        </is>
      </c>
      <c r="M1788" s="5">
        <f>IF(YEAR(I1788)&lt;=2020,"Até 2020",TEXT(YEAR(I1788),"0"))</f>
        <v/>
      </c>
      <c r="N1788" s="5">
        <f>IFERROR(INDEX(DePara!$A:$A,MATCH(TEXT(B1788,"0"),DePara!$D:$D,0)),"(sem categoria)")</f>
        <v/>
      </c>
      <c r="O1788" s="5">
        <f>IF(J1788="","",Parametros!$B$6-J1788)</f>
        <v/>
      </c>
      <c r="P1788" s="5">
        <f>IF(O1788="","",IF(O1788&gt;0,1,0))</f>
        <v/>
      </c>
    </row>
    <row r="1789">
      <c r="A1789" s="5" t="n">
        <v>2111000000</v>
      </c>
      <c r="B1789" s="5" t="inlineStr">
        <is>
          <t>101463</t>
        </is>
      </c>
      <c r="C1789" s="5" t="inlineStr">
        <is>
          <t>ZURICH MINAS BRASIL SEGUROS S A</t>
        </is>
      </c>
      <c r="D1789" s="5" t="inlineStr">
        <is>
          <t>RE</t>
        </is>
      </c>
      <c r="E1789" s="5" t="n">
        <v>5013206</v>
      </c>
      <c r="F1789" s="5" t="inlineStr">
        <is>
          <t>0102/26E</t>
        </is>
      </c>
      <c r="G1789" s="5" t="inlineStr">
        <is>
          <t>BRL</t>
        </is>
      </c>
      <c r="H1789" s="9" t="n">
        <v>-5583.99</v>
      </c>
      <c r="I1789" s="16" t="n">
        <v>46225</v>
      </c>
      <c r="J1789" s="16" t="n">
        <v>46225</v>
      </c>
      <c r="K1789" s="5" t="inlineStr">
        <is>
          <t>Invoice Payment. SP: 20038</t>
        </is>
      </c>
      <c r="L1789" s="5" t="inlineStr">
        <is>
          <t>0102/26E</t>
        </is>
      </c>
      <c r="M1789" s="5">
        <f>IF(YEAR(I1789)&lt;=2020,"Até 2020",TEXT(YEAR(I1789),"0"))</f>
        <v/>
      </c>
      <c r="N1789" s="5">
        <f>IFERROR(INDEX(DePara!$A:$A,MATCH(TEXT(B1789,"0"),DePara!$D:$D,0)),"(sem categoria)")</f>
        <v/>
      </c>
      <c r="O1789" s="5">
        <f>IF(J1789="","",Parametros!$B$6-J1789)</f>
        <v/>
      </c>
      <c r="P1789" s="5">
        <f>IF(O1789="","",IF(O1789&gt;0,1,0))</f>
        <v/>
      </c>
    </row>
    <row r="1790">
      <c r="A1790" s="5" t="n">
        <v>2111000000</v>
      </c>
      <c r="B1790" s="5" t="inlineStr">
        <is>
          <t>101463</t>
        </is>
      </c>
      <c r="C1790" s="5" t="inlineStr">
        <is>
          <t>ZURICH MINAS BRASIL SEGUROS S A</t>
        </is>
      </c>
      <c r="D1790" s="5" t="inlineStr">
        <is>
          <t>RE</t>
        </is>
      </c>
      <c r="E1790" s="5" t="n">
        <v>5013210</v>
      </c>
      <c r="F1790" s="5" t="inlineStr">
        <is>
          <t>0251/26</t>
        </is>
      </c>
      <c r="G1790" s="5" t="inlineStr">
        <is>
          <t>BRL</t>
        </is>
      </c>
      <c r="H1790" s="9" t="n">
        <v>-780.49</v>
      </c>
      <c r="I1790" s="16" t="n">
        <v>46225</v>
      </c>
      <c r="J1790" s="16" t="n">
        <v>46255</v>
      </c>
      <c r="K1790" s="5" t="inlineStr">
        <is>
          <t>Invoice Payment. SP: 20058</t>
        </is>
      </c>
      <c r="L1790" s="5" t="inlineStr">
        <is>
          <t>0251/26</t>
        </is>
      </c>
      <c r="M1790" s="5">
        <f>IF(YEAR(I1790)&lt;=2020,"Até 2020",TEXT(YEAR(I1790),"0"))</f>
        <v/>
      </c>
      <c r="N1790" s="5">
        <f>IFERROR(INDEX(DePara!$A:$A,MATCH(TEXT(B1790,"0"),DePara!$D:$D,0)),"(sem categoria)")</f>
        <v/>
      </c>
      <c r="O1790" s="5">
        <f>IF(J1790="","",Parametros!$B$6-J1790)</f>
        <v/>
      </c>
      <c r="P1790" s="5">
        <f>IF(O1790="","",IF(O1790&gt;0,1,0))</f>
        <v/>
      </c>
    </row>
    <row r="1791">
      <c r="A1791" s="5" t="n">
        <v>2111000000</v>
      </c>
      <c r="B1791" s="5" t="inlineStr">
        <is>
          <t>101463</t>
        </is>
      </c>
      <c r="C1791" s="5" t="inlineStr">
        <is>
          <t>ZURICH MINAS BRASIL SEGUROS S A</t>
        </is>
      </c>
      <c r="D1791" s="5" t="inlineStr">
        <is>
          <t>RE</t>
        </is>
      </c>
      <c r="E1791" s="5" t="n">
        <v>5013213</v>
      </c>
      <c r="F1791" s="5" t="inlineStr">
        <is>
          <t>0256/26</t>
        </is>
      </c>
      <c r="G1791" s="5" t="inlineStr">
        <is>
          <t>BRL</t>
        </is>
      </c>
      <c r="H1791" s="9" t="n">
        <v>-35.81</v>
      </c>
      <c r="I1791" s="16" t="n">
        <v>46225</v>
      </c>
      <c r="J1791" s="16" t="n">
        <v>46255</v>
      </c>
      <c r="K1791" s="5" t="inlineStr">
        <is>
          <t>Invoice Payment. SP: 20080</t>
        </is>
      </c>
      <c r="L1791" s="5" t="inlineStr">
        <is>
          <t>0256/26</t>
        </is>
      </c>
      <c r="M1791" s="5">
        <f>IF(YEAR(I1791)&lt;=2020,"Até 2020",TEXT(YEAR(I1791),"0"))</f>
        <v/>
      </c>
      <c r="N1791" s="5">
        <f>IFERROR(INDEX(DePara!$A:$A,MATCH(TEXT(B1791,"0"),DePara!$D:$D,0)),"(sem categoria)")</f>
        <v/>
      </c>
      <c r="O1791" s="5">
        <f>IF(J1791="","",Parametros!$B$6-J1791)</f>
        <v/>
      </c>
      <c r="P1791" s="5">
        <f>IF(O1791="","",IF(O1791&gt;0,1,0))</f>
        <v/>
      </c>
    </row>
    <row r="1792">
      <c r="A1792" s="5" t="n">
        <v>2111000000</v>
      </c>
      <c r="B1792" s="5" t="inlineStr">
        <is>
          <t>101463</t>
        </is>
      </c>
      <c r="C1792" s="5" t="inlineStr">
        <is>
          <t>ZURICH MINAS BRASIL SEGUROS S A</t>
        </is>
      </c>
      <c r="D1792" s="5" t="inlineStr">
        <is>
          <t>RE</t>
        </is>
      </c>
      <c r="E1792" s="5" t="n">
        <v>5013215</v>
      </c>
      <c r="F1792" s="5" t="inlineStr">
        <is>
          <t>0272/26</t>
        </is>
      </c>
      <c r="G1792" s="5" t="inlineStr">
        <is>
          <t>BRL</t>
        </is>
      </c>
      <c r="H1792" s="9" t="n">
        <v>-1202.17</v>
      </c>
      <c r="I1792" s="16" t="n">
        <v>46225</v>
      </c>
      <c r="J1792" s="16" t="n">
        <v>46255</v>
      </c>
      <c r="K1792" s="5" t="inlineStr">
        <is>
          <t>Invoice Payment. SP: 20081</t>
        </is>
      </c>
      <c r="L1792" s="5" t="inlineStr">
        <is>
          <t>0272/26</t>
        </is>
      </c>
      <c r="M1792" s="5">
        <f>IF(YEAR(I1792)&lt;=2020,"Até 2020",TEXT(YEAR(I1792),"0"))</f>
        <v/>
      </c>
      <c r="N1792" s="5">
        <f>IFERROR(INDEX(DePara!$A:$A,MATCH(TEXT(B1792,"0"),DePara!$D:$D,0)),"(sem categoria)")</f>
        <v/>
      </c>
      <c r="O1792" s="5">
        <f>IF(J1792="","",Parametros!$B$6-J1792)</f>
        <v/>
      </c>
      <c r="P1792" s="5">
        <f>IF(O1792="","",IF(O1792&gt;0,1,0))</f>
        <v/>
      </c>
    </row>
    <row r="1793">
      <c r="A1793" s="5" t="n">
        <v>2111000000</v>
      </c>
      <c r="B1793" s="5" t="inlineStr">
        <is>
          <t>101463</t>
        </is>
      </c>
      <c r="C1793" s="5" t="inlineStr">
        <is>
          <t>ZURICH MINAS BRASIL SEGUROS S A</t>
        </is>
      </c>
      <c r="D1793" s="5" t="inlineStr">
        <is>
          <t>RE</t>
        </is>
      </c>
      <c r="E1793" s="5" t="n">
        <v>5013221</v>
      </c>
      <c r="F1793" s="5" t="inlineStr">
        <is>
          <t>0273/26</t>
        </is>
      </c>
      <c r="G1793" s="5" t="inlineStr">
        <is>
          <t>BRL</t>
        </is>
      </c>
      <c r="H1793" s="9" t="n">
        <v>-182.6</v>
      </c>
      <c r="I1793" s="16" t="n">
        <v>46225</v>
      </c>
      <c r="J1793" s="16" t="n">
        <v>46255</v>
      </c>
      <c r="K1793" s="5" t="inlineStr">
        <is>
          <t>Invoice Payment. SP: 20083</t>
        </is>
      </c>
      <c r="L1793" s="5" t="inlineStr">
        <is>
          <t>0273/26</t>
        </is>
      </c>
      <c r="M1793" s="5">
        <f>IF(YEAR(I1793)&lt;=2020,"Até 2020",TEXT(YEAR(I1793),"0"))</f>
        <v/>
      </c>
      <c r="N1793" s="5">
        <f>IFERROR(INDEX(DePara!$A:$A,MATCH(TEXT(B1793,"0"),DePara!$D:$D,0)),"(sem categoria)")</f>
        <v/>
      </c>
      <c r="O1793" s="5">
        <f>IF(J1793="","",Parametros!$B$6-J1793)</f>
        <v/>
      </c>
      <c r="P1793" s="5">
        <f>IF(O1793="","",IF(O1793&gt;0,1,0))</f>
        <v/>
      </c>
    </row>
    <row r="1794">
      <c r="A1794" s="5" t="n">
        <v>2111000000</v>
      </c>
      <c r="B1794" s="5" t="inlineStr">
        <is>
          <t>100773</t>
        </is>
      </c>
      <c r="C1794" s="5" t="inlineStr">
        <is>
          <t>G WIND SOLUCOES EOLICAS LTDA</t>
        </is>
      </c>
      <c r="D1794" s="5" t="inlineStr">
        <is>
          <t>RE</t>
        </is>
      </c>
      <c r="E1794" s="5" t="n">
        <v>5013227</v>
      </c>
      <c r="F1794" s="5" t="inlineStr">
        <is>
          <t>415</t>
        </is>
      </c>
      <c r="G1794" s="5" t="inlineStr">
        <is>
          <t>BRL</t>
        </is>
      </c>
      <c r="H1794" s="9" t="n">
        <v>-97200</v>
      </c>
      <c r="I1794" s="16" t="n">
        <v>46223</v>
      </c>
      <c r="J1794" s="16" t="n">
        <v>46270</v>
      </c>
      <c r="K1794" s="5" t="inlineStr">
        <is>
          <t>Fatura - bruto G WIND SOLUCOES EOLICAS LTDA 415</t>
        </is>
      </c>
      <c r="L1794" s="5" t="inlineStr">
        <is>
          <t>08092026</t>
        </is>
      </c>
      <c r="M1794" s="5">
        <f>IF(YEAR(I1794)&lt;=2020,"Até 2020",TEXT(YEAR(I1794),"0"))</f>
        <v/>
      </c>
      <c r="N1794" s="5">
        <f>IFERROR(INDEX(DePara!$A:$A,MATCH(TEXT(B1794,"0"),DePara!$D:$D,0)),"(sem categoria)")</f>
        <v/>
      </c>
      <c r="O1794" s="5">
        <f>IF(J1794="","",Parametros!$B$6-J1794)</f>
        <v/>
      </c>
      <c r="P1794" s="5">
        <f>IF(O1794="","",IF(O1794&gt;0,1,0))</f>
        <v/>
      </c>
    </row>
    <row r="1795">
      <c r="A1795" s="5" t="n">
        <v>2111000000</v>
      </c>
      <c r="B1795" s="5" t="inlineStr">
        <is>
          <t>101463</t>
        </is>
      </c>
      <c r="C1795" s="5" t="inlineStr">
        <is>
          <t>ZURICH MINAS BRASIL SEGUROS S A</t>
        </is>
      </c>
      <c r="D1795" s="5" t="inlineStr">
        <is>
          <t>RE</t>
        </is>
      </c>
      <c r="E1795" s="5" t="n">
        <v>5013228</v>
      </c>
      <c r="F1795" s="5" t="inlineStr">
        <is>
          <t>0276/26</t>
        </is>
      </c>
      <c r="G1795" s="5" t="inlineStr">
        <is>
          <t>BRL</t>
        </is>
      </c>
      <c r="H1795" s="9" t="n">
        <v>-14.78</v>
      </c>
      <c r="I1795" s="16" t="n">
        <v>46225</v>
      </c>
      <c r="J1795" s="16" t="n">
        <v>46255</v>
      </c>
      <c r="K1795" s="5" t="inlineStr">
        <is>
          <t>Invoice Payment. SP: 20118</t>
        </is>
      </c>
      <c r="L1795" s="5" t="inlineStr">
        <is>
          <t>0276/26</t>
        </is>
      </c>
      <c r="M1795" s="5">
        <f>IF(YEAR(I1795)&lt;=2020,"Até 2020",TEXT(YEAR(I1795),"0"))</f>
        <v/>
      </c>
      <c r="N1795" s="5">
        <f>IFERROR(INDEX(DePara!$A:$A,MATCH(TEXT(B1795,"0"),DePara!$D:$D,0)),"(sem categoria)")</f>
        <v/>
      </c>
      <c r="O1795" s="5">
        <f>IF(J1795="","",Parametros!$B$6-J1795)</f>
        <v/>
      </c>
      <c r="P1795" s="5">
        <f>IF(O1795="","",IF(O1795&gt;0,1,0))</f>
        <v/>
      </c>
    </row>
    <row r="1796">
      <c r="A1796" s="5" t="n">
        <v>2111000000</v>
      </c>
      <c r="B1796" s="5" t="inlineStr">
        <is>
          <t>100773</t>
        </is>
      </c>
      <c r="C1796" s="5" t="inlineStr">
        <is>
          <t>G WIND SOLUCOES EOLICAS LTDA</t>
        </is>
      </c>
      <c r="D1796" s="5" t="inlineStr">
        <is>
          <t>RE</t>
        </is>
      </c>
      <c r="E1796" s="5" t="n">
        <v>5013229</v>
      </c>
      <c r="F1796" s="5" t="inlineStr">
        <is>
          <t>416</t>
        </is>
      </c>
      <c r="G1796" s="5" t="inlineStr">
        <is>
          <t>BRL</t>
        </is>
      </c>
      <c r="H1796" s="9" t="n">
        <v>-17099.5</v>
      </c>
      <c r="I1796" s="16" t="n">
        <v>46223</v>
      </c>
      <c r="J1796" s="16" t="n">
        <v>46270</v>
      </c>
      <c r="K1796" s="5" t="inlineStr">
        <is>
          <t>Fatura - bruto G WIND SOLUCOES EOLICAS LTDA 416</t>
        </is>
      </c>
      <c r="L1796" s="5" t="inlineStr">
        <is>
          <t>08092026</t>
        </is>
      </c>
      <c r="M1796" s="5">
        <f>IF(YEAR(I1796)&lt;=2020,"Até 2020",TEXT(YEAR(I1796),"0"))</f>
        <v/>
      </c>
      <c r="N1796" s="5">
        <f>IFERROR(INDEX(DePara!$A:$A,MATCH(TEXT(B1796,"0"),DePara!$D:$D,0)),"(sem categoria)")</f>
        <v/>
      </c>
      <c r="O1796" s="5">
        <f>IF(J1796="","",Parametros!$B$6-J1796)</f>
        <v/>
      </c>
      <c r="P1796" s="5">
        <f>IF(O1796="","",IF(O1796&gt;0,1,0))</f>
        <v/>
      </c>
    </row>
    <row r="1797">
      <c r="A1797" s="5" t="n">
        <v>2111000000</v>
      </c>
      <c r="B1797" s="5" t="inlineStr">
        <is>
          <t>101463</t>
        </is>
      </c>
      <c r="C1797" s="5" t="inlineStr">
        <is>
          <t>ZURICH MINAS BRASIL SEGUROS S A</t>
        </is>
      </c>
      <c r="D1797" s="5" t="inlineStr">
        <is>
          <t>RE</t>
        </is>
      </c>
      <c r="E1797" s="5" t="n">
        <v>5013231</v>
      </c>
      <c r="F1797" s="5" t="inlineStr">
        <is>
          <t>0281/26</t>
        </is>
      </c>
      <c r="G1797" s="5" t="inlineStr">
        <is>
          <t>BRL</t>
        </is>
      </c>
      <c r="H1797" s="9" t="n">
        <v>-2.8</v>
      </c>
      <c r="I1797" s="16" t="n">
        <v>46225</v>
      </c>
      <c r="J1797" s="16" t="n">
        <v>46255</v>
      </c>
      <c r="K1797" s="5" t="inlineStr">
        <is>
          <t>Invoice Payment. SP: 20120</t>
        </is>
      </c>
      <c r="L1797" s="5" t="inlineStr">
        <is>
          <t>0281/26</t>
        </is>
      </c>
      <c r="M1797" s="5">
        <f>IF(YEAR(I1797)&lt;=2020,"Até 2020",TEXT(YEAR(I1797),"0"))</f>
        <v/>
      </c>
      <c r="N1797" s="5">
        <f>IFERROR(INDEX(DePara!$A:$A,MATCH(TEXT(B1797,"0"),DePara!$D:$D,0)),"(sem categoria)")</f>
        <v/>
      </c>
      <c r="O1797" s="5">
        <f>IF(J1797="","",Parametros!$B$6-J1797)</f>
        <v/>
      </c>
      <c r="P1797" s="5">
        <f>IF(O1797="","",IF(O1797&gt;0,1,0))</f>
        <v/>
      </c>
    </row>
    <row r="1798">
      <c r="A1798" s="5" t="n">
        <v>2111000000</v>
      </c>
      <c r="B1798" s="5" t="inlineStr">
        <is>
          <t>100773</t>
        </is>
      </c>
      <c r="C1798" s="5" t="inlineStr">
        <is>
          <t>G WIND SOLUCOES EOLICAS LTDA</t>
        </is>
      </c>
      <c r="D1798" s="5" t="inlineStr">
        <is>
          <t>RE</t>
        </is>
      </c>
      <c r="E1798" s="5" t="n">
        <v>5013232</v>
      </c>
      <c r="F1798" s="5" t="inlineStr">
        <is>
          <t>417</t>
        </is>
      </c>
      <c r="G1798" s="5" t="inlineStr">
        <is>
          <t>BRL</t>
        </is>
      </c>
      <c r="H1798" s="9" t="n">
        <v>-7500</v>
      </c>
      <c r="I1798" s="16" t="n">
        <v>46223</v>
      </c>
      <c r="J1798" s="16" t="n">
        <v>46270</v>
      </c>
      <c r="K1798" s="5" t="inlineStr">
        <is>
          <t>Fatura - bruto G WIND SOLUCOES EOLICAS LTDA 417</t>
        </is>
      </c>
      <c r="L1798" s="5" t="inlineStr">
        <is>
          <t>08092026</t>
        </is>
      </c>
      <c r="M1798" s="5">
        <f>IF(YEAR(I1798)&lt;=2020,"Até 2020",TEXT(YEAR(I1798),"0"))</f>
        <v/>
      </c>
      <c r="N1798" s="5">
        <f>IFERROR(INDEX(DePara!$A:$A,MATCH(TEXT(B1798,"0"),DePara!$D:$D,0)),"(sem categoria)")</f>
        <v/>
      </c>
      <c r="O1798" s="5">
        <f>IF(J1798="","",Parametros!$B$6-J1798)</f>
        <v/>
      </c>
      <c r="P1798" s="5">
        <f>IF(O1798="","",IF(O1798&gt;0,1,0))</f>
        <v/>
      </c>
    </row>
    <row r="1799">
      <c r="A1799" s="5" t="n">
        <v>2111000000</v>
      </c>
      <c r="B1799" s="5" t="inlineStr">
        <is>
          <t>100773</t>
        </is>
      </c>
      <c r="C1799" s="5" t="inlineStr">
        <is>
          <t>G WIND SOLUCOES EOLICAS LTDA</t>
        </is>
      </c>
      <c r="D1799" s="5" t="inlineStr">
        <is>
          <t>RE</t>
        </is>
      </c>
      <c r="E1799" s="5" t="n">
        <v>5013234</v>
      </c>
      <c r="F1799" s="5" t="inlineStr">
        <is>
          <t>418</t>
        </is>
      </c>
      <c r="G1799" s="5" t="inlineStr">
        <is>
          <t>BRL</t>
        </is>
      </c>
      <c r="H1799" s="9" t="n">
        <v>-1250.01</v>
      </c>
      <c r="I1799" s="16" t="n">
        <v>46223</v>
      </c>
      <c r="J1799" s="16" t="n">
        <v>46270</v>
      </c>
      <c r="K1799" s="5" t="inlineStr">
        <is>
          <t>Fatura - bruto G WIND SOLUCOES EOLICAS LTDA 418</t>
        </is>
      </c>
      <c r="L1799" s="5" t="inlineStr">
        <is>
          <t>08092026</t>
        </is>
      </c>
      <c r="M1799" s="5">
        <f>IF(YEAR(I1799)&lt;=2020,"Até 2020",TEXT(YEAR(I1799),"0"))</f>
        <v/>
      </c>
      <c r="N1799" s="5">
        <f>IFERROR(INDEX(DePara!$A:$A,MATCH(TEXT(B1799,"0"),DePara!$D:$D,0)),"(sem categoria)")</f>
        <v/>
      </c>
      <c r="O1799" s="5">
        <f>IF(J1799="","",Parametros!$B$6-J1799)</f>
        <v/>
      </c>
      <c r="P1799" s="5">
        <f>IF(O1799="","",IF(O1799&gt;0,1,0))</f>
        <v/>
      </c>
    </row>
    <row r="1800">
      <c r="A1800" s="5" t="n">
        <v>2111000000</v>
      </c>
      <c r="B1800" s="5" t="inlineStr">
        <is>
          <t>101463</t>
        </is>
      </c>
      <c r="C1800" s="5" t="inlineStr">
        <is>
          <t>ZURICH MINAS BRASIL SEGUROS S A</t>
        </is>
      </c>
      <c r="D1800" s="5" t="inlineStr">
        <is>
          <t>RE</t>
        </is>
      </c>
      <c r="E1800" s="5" t="n">
        <v>5013238</v>
      </c>
      <c r="F1800" s="5" t="inlineStr">
        <is>
          <t>0284/26</t>
        </is>
      </c>
      <c r="G1800" s="5" t="inlineStr">
        <is>
          <t>BRL</t>
        </is>
      </c>
      <c r="H1800" s="9" t="n">
        <v>-570.05</v>
      </c>
      <c r="I1800" s="16" t="n">
        <v>46225</v>
      </c>
      <c r="J1800" s="16" t="n">
        <v>46255</v>
      </c>
      <c r="K1800" s="5" t="inlineStr">
        <is>
          <t>Invoice Payment. SP: 20123</t>
        </is>
      </c>
      <c r="L1800" s="5" t="inlineStr">
        <is>
          <t>0284/26</t>
        </is>
      </c>
      <c r="M1800" s="5">
        <f>IF(YEAR(I1800)&lt;=2020,"Até 2020",TEXT(YEAR(I1800),"0"))</f>
        <v/>
      </c>
      <c r="N1800" s="5">
        <f>IFERROR(INDEX(DePara!$A:$A,MATCH(TEXT(B1800,"0"),DePara!$D:$D,0)),"(sem categoria)")</f>
        <v/>
      </c>
      <c r="O1800" s="5">
        <f>IF(J1800="","",Parametros!$B$6-J1800)</f>
        <v/>
      </c>
      <c r="P1800" s="5">
        <f>IF(O1800="","",IF(O1800&gt;0,1,0))</f>
        <v/>
      </c>
    </row>
    <row r="1801">
      <c r="A1801" s="5" t="n">
        <v>2111000000</v>
      </c>
      <c r="B1801" s="5" t="inlineStr">
        <is>
          <t>101463</t>
        </is>
      </c>
      <c r="C1801" s="5" t="inlineStr">
        <is>
          <t>ZURICH MINAS BRASIL SEGUROS S A</t>
        </is>
      </c>
      <c r="D1801" s="5" t="inlineStr">
        <is>
          <t>RE</t>
        </is>
      </c>
      <c r="E1801" s="5" t="n">
        <v>5013241</v>
      </c>
      <c r="F1801" s="5" t="inlineStr">
        <is>
          <t>0288/26</t>
        </is>
      </c>
      <c r="G1801" s="5" t="inlineStr">
        <is>
          <t>BRL</t>
        </is>
      </c>
      <c r="H1801" s="9" t="n">
        <v>-947.41</v>
      </c>
      <c r="I1801" s="16" t="n">
        <v>46225</v>
      </c>
      <c r="J1801" s="16" t="n">
        <v>46255</v>
      </c>
      <c r="K1801" s="5" t="inlineStr">
        <is>
          <t>Invoice Payment. SP: 20125</t>
        </is>
      </c>
      <c r="L1801" s="5" t="inlineStr">
        <is>
          <t>0288/26</t>
        </is>
      </c>
      <c r="M1801" s="5">
        <f>IF(YEAR(I1801)&lt;=2020,"Até 2020",TEXT(YEAR(I1801),"0"))</f>
        <v/>
      </c>
      <c r="N1801" s="5">
        <f>IFERROR(INDEX(DePara!$A:$A,MATCH(TEXT(B1801,"0"),DePara!$D:$D,0)),"(sem categoria)")</f>
        <v/>
      </c>
      <c r="O1801" s="5">
        <f>IF(J1801="","",Parametros!$B$6-J1801)</f>
        <v/>
      </c>
      <c r="P1801" s="5">
        <f>IF(O1801="","",IF(O1801&gt;0,1,0))</f>
        <v/>
      </c>
    </row>
    <row r="1802">
      <c r="A1802" s="5" t="n">
        <v>2111000000</v>
      </c>
      <c r="B1802" s="5" t="inlineStr">
        <is>
          <t>101463</t>
        </is>
      </c>
      <c r="C1802" s="5" t="inlineStr">
        <is>
          <t>ZURICH MINAS BRASIL SEGUROS S A</t>
        </is>
      </c>
      <c r="D1802" s="5" t="inlineStr">
        <is>
          <t>RE</t>
        </is>
      </c>
      <c r="E1802" s="5" t="n">
        <v>5013245</v>
      </c>
      <c r="F1802" s="5" t="inlineStr">
        <is>
          <t>0291/26</t>
        </is>
      </c>
      <c r="G1802" s="5" t="inlineStr">
        <is>
          <t>BRL</t>
        </is>
      </c>
      <c r="H1802" s="9" t="n">
        <v>-10.65</v>
      </c>
      <c r="I1802" s="16" t="n">
        <v>46225</v>
      </c>
      <c r="J1802" s="16" t="n">
        <v>46255</v>
      </c>
      <c r="K1802" s="5" t="inlineStr">
        <is>
          <t>Invoice Payment. SP: 20127</t>
        </is>
      </c>
      <c r="L1802" s="5" t="inlineStr">
        <is>
          <t>0291/26</t>
        </is>
      </c>
      <c r="M1802" s="5">
        <f>IF(YEAR(I1802)&lt;=2020,"Até 2020",TEXT(YEAR(I1802),"0"))</f>
        <v/>
      </c>
      <c r="N1802" s="5">
        <f>IFERROR(INDEX(DePara!$A:$A,MATCH(TEXT(B1802,"0"),DePara!$D:$D,0)),"(sem categoria)")</f>
        <v/>
      </c>
      <c r="O1802" s="5">
        <f>IF(J1802="","",Parametros!$B$6-J1802)</f>
        <v/>
      </c>
      <c r="P1802" s="5">
        <f>IF(O1802="","",IF(O1802&gt;0,1,0))</f>
        <v/>
      </c>
    </row>
    <row r="1803">
      <c r="A1803" s="5" t="n">
        <v>2111000000</v>
      </c>
      <c r="B1803" s="5" t="inlineStr">
        <is>
          <t>101463</t>
        </is>
      </c>
      <c r="C1803" s="5" t="inlineStr">
        <is>
          <t>ZURICH MINAS BRASIL SEGUROS S A</t>
        </is>
      </c>
      <c r="D1803" s="5" t="inlineStr">
        <is>
          <t>RE</t>
        </is>
      </c>
      <c r="E1803" s="5" t="n">
        <v>5013247</v>
      </c>
      <c r="F1803" s="5" t="inlineStr">
        <is>
          <t>0299/26</t>
        </is>
      </c>
      <c r="G1803" s="5" t="inlineStr">
        <is>
          <t>BRL</t>
        </is>
      </c>
      <c r="H1803" s="9" t="n">
        <v>-0.59</v>
      </c>
      <c r="I1803" s="16" t="n">
        <v>46225</v>
      </c>
      <c r="J1803" s="16" t="n">
        <v>46255</v>
      </c>
      <c r="K1803" s="5" t="inlineStr">
        <is>
          <t>Invoice Payment. SP: 20129</t>
        </is>
      </c>
      <c r="L1803" s="5" t="inlineStr">
        <is>
          <t>0299/26</t>
        </is>
      </c>
      <c r="M1803" s="5">
        <f>IF(YEAR(I1803)&lt;=2020,"Até 2020",TEXT(YEAR(I1803),"0"))</f>
        <v/>
      </c>
      <c r="N1803" s="5">
        <f>IFERROR(INDEX(DePara!$A:$A,MATCH(TEXT(B1803,"0"),DePara!$D:$D,0)),"(sem categoria)")</f>
        <v/>
      </c>
      <c r="O1803" s="5">
        <f>IF(J1803="","",Parametros!$B$6-J1803)</f>
        <v/>
      </c>
      <c r="P1803" s="5">
        <f>IF(O1803="","",IF(O1803&gt;0,1,0))</f>
        <v/>
      </c>
    </row>
    <row r="1804">
      <c r="A1804" s="5" t="n">
        <v>2111000000</v>
      </c>
      <c r="B1804" s="5" t="inlineStr">
        <is>
          <t>101463</t>
        </is>
      </c>
      <c r="C1804" s="5" t="inlineStr">
        <is>
          <t>ZURICH MINAS BRASIL SEGUROS S A</t>
        </is>
      </c>
      <c r="D1804" s="5" t="inlineStr">
        <is>
          <t>RE</t>
        </is>
      </c>
      <c r="E1804" s="5" t="n">
        <v>5013275</v>
      </c>
      <c r="F1804" s="5" t="inlineStr">
        <is>
          <t>0307/26</t>
        </is>
      </c>
      <c r="G1804" s="5" t="inlineStr">
        <is>
          <t>BRL</t>
        </is>
      </c>
      <c r="H1804" s="9" t="n">
        <v>-144.48</v>
      </c>
      <c r="I1804" s="16" t="n">
        <v>46225</v>
      </c>
      <c r="J1804" s="16" t="n">
        <v>46255</v>
      </c>
      <c r="K1804" s="5" t="inlineStr">
        <is>
          <t>Invoice Payment. SP: 20138</t>
        </is>
      </c>
      <c r="L1804" s="5" t="inlineStr">
        <is>
          <t>0307/26</t>
        </is>
      </c>
      <c r="M1804" s="5">
        <f>IF(YEAR(I1804)&lt;=2020,"Até 2020",TEXT(YEAR(I1804),"0"))</f>
        <v/>
      </c>
      <c r="N1804" s="5">
        <f>IFERROR(INDEX(DePara!$A:$A,MATCH(TEXT(B1804,"0"),DePara!$D:$D,0)),"(sem categoria)")</f>
        <v/>
      </c>
      <c r="O1804" s="5">
        <f>IF(J1804="","",Parametros!$B$6-J1804)</f>
        <v/>
      </c>
      <c r="P1804" s="5">
        <f>IF(O1804="","",IF(O1804&gt;0,1,0))</f>
        <v/>
      </c>
    </row>
    <row r="1805">
      <c r="A1805" s="5" t="n">
        <v>2111000000</v>
      </c>
      <c r="B1805" s="5" t="inlineStr">
        <is>
          <t>101463</t>
        </is>
      </c>
      <c r="C1805" s="5" t="inlineStr">
        <is>
          <t>ZURICH MINAS BRASIL SEGUROS S A</t>
        </is>
      </c>
      <c r="D1805" s="5" t="inlineStr">
        <is>
          <t>RE</t>
        </is>
      </c>
      <c r="E1805" s="5" t="n">
        <v>5013279</v>
      </c>
      <c r="F1805" s="5" t="inlineStr">
        <is>
          <t>0308/26</t>
        </is>
      </c>
      <c r="G1805" s="5" t="inlineStr">
        <is>
          <t>BRL</t>
        </is>
      </c>
      <c r="H1805" s="9" t="n">
        <v>-144.48</v>
      </c>
      <c r="I1805" s="16" t="n">
        <v>46225</v>
      </c>
      <c r="J1805" s="16" t="n">
        <v>46255</v>
      </c>
      <c r="K1805" s="5" t="inlineStr">
        <is>
          <t>Invoice Payment. SP: 20159</t>
        </is>
      </c>
      <c r="L1805" s="5" t="inlineStr">
        <is>
          <t>0308/26</t>
        </is>
      </c>
      <c r="M1805" s="5">
        <f>IF(YEAR(I1805)&lt;=2020,"Até 2020",TEXT(YEAR(I1805),"0"))</f>
        <v/>
      </c>
      <c r="N1805" s="5">
        <f>IFERROR(INDEX(DePara!$A:$A,MATCH(TEXT(B1805,"0"),DePara!$D:$D,0)),"(sem categoria)")</f>
        <v/>
      </c>
      <c r="O1805" s="5">
        <f>IF(J1805="","",Parametros!$B$6-J1805)</f>
        <v/>
      </c>
      <c r="P1805" s="5">
        <f>IF(O1805="","",IF(O1805&gt;0,1,0))</f>
        <v/>
      </c>
    </row>
    <row r="1806">
      <c r="A1806" s="5" t="n">
        <v>2111000000</v>
      </c>
      <c r="B1806" s="5" t="inlineStr">
        <is>
          <t>100883</t>
        </is>
      </c>
      <c r="C1806" s="5" t="inlineStr">
        <is>
          <t>QUELMAR TRANSPORTES LTDA</t>
        </is>
      </c>
      <c r="D1806" s="5" t="inlineStr">
        <is>
          <t>RE</t>
        </is>
      </c>
      <c r="E1806" s="5" t="n">
        <v>5013284</v>
      </c>
      <c r="F1806" s="5" t="inlineStr">
        <is>
          <t>6221-2</t>
        </is>
      </c>
      <c r="G1806" s="5" t="inlineStr">
        <is>
          <t>BRL</t>
        </is>
      </c>
      <c r="H1806" s="9" t="n">
        <v>-4320</v>
      </c>
      <c r="I1806" s="16" t="n">
        <v>46217</v>
      </c>
      <c r="J1806" s="16" t="n">
        <v>46270</v>
      </c>
      <c r="K1806" s="5" t="inlineStr">
        <is>
          <t>Fatura - bruto QUELMAR TRANSPORTES LTDA 6221-2</t>
        </is>
      </c>
      <c r="L1806" s="5" t="inlineStr">
        <is>
          <t>08092026</t>
        </is>
      </c>
      <c r="M1806" s="5">
        <f>IF(YEAR(I1806)&lt;=2020,"Até 2020",TEXT(YEAR(I1806),"0"))</f>
        <v/>
      </c>
      <c r="N1806" s="5">
        <f>IFERROR(INDEX(DePara!$A:$A,MATCH(TEXT(B1806,"0"),DePara!$D:$D,0)),"(sem categoria)")</f>
        <v/>
      </c>
      <c r="O1806" s="5">
        <f>IF(J1806="","",Parametros!$B$6-J1806)</f>
        <v/>
      </c>
      <c r="P1806" s="5">
        <f>IF(O1806="","",IF(O1806&gt;0,1,0))</f>
        <v/>
      </c>
    </row>
    <row r="1807">
      <c r="A1807" s="5" t="n">
        <v>2111000000</v>
      </c>
      <c r="B1807" s="5" t="inlineStr">
        <is>
          <t>100883</t>
        </is>
      </c>
      <c r="C1807" s="5" t="inlineStr">
        <is>
          <t>QUELMAR TRANSPORTES LTDA</t>
        </is>
      </c>
      <c r="D1807" s="5" t="inlineStr">
        <is>
          <t>RE</t>
        </is>
      </c>
      <c r="E1807" s="5" t="n">
        <v>5013285</v>
      </c>
      <c r="F1807" s="5" t="inlineStr">
        <is>
          <t>6222-2</t>
        </is>
      </c>
      <c r="G1807" s="5" t="inlineStr">
        <is>
          <t>BRL</t>
        </is>
      </c>
      <c r="H1807" s="9" t="n">
        <v>-4205</v>
      </c>
      <c r="I1807" s="16" t="n">
        <v>46217</v>
      </c>
      <c r="J1807" s="16" t="n">
        <v>46270</v>
      </c>
      <c r="K1807" s="5" t="inlineStr">
        <is>
          <t>Fatura - bruto QUELMAR TRANSPORTES LTDA 6222-2</t>
        </is>
      </c>
      <c r="L1807" s="5" t="inlineStr">
        <is>
          <t>08092026</t>
        </is>
      </c>
      <c r="M1807" s="5">
        <f>IF(YEAR(I1807)&lt;=2020,"Até 2020",TEXT(YEAR(I1807),"0"))</f>
        <v/>
      </c>
      <c r="N1807" s="5">
        <f>IFERROR(INDEX(DePara!$A:$A,MATCH(TEXT(B1807,"0"),DePara!$D:$D,0)),"(sem categoria)")</f>
        <v/>
      </c>
      <c r="O1807" s="5">
        <f>IF(J1807="","",Parametros!$B$6-J1807)</f>
        <v/>
      </c>
      <c r="P1807" s="5">
        <f>IF(O1807="","",IF(O1807&gt;0,1,0))</f>
        <v/>
      </c>
    </row>
    <row r="1808">
      <c r="A1808" s="5" t="n">
        <v>2111000000</v>
      </c>
      <c r="B1808" s="5" t="inlineStr">
        <is>
          <t>100883</t>
        </is>
      </c>
      <c r="C1808" s="5" t="inlineStr">
        <is>
          <t>QUELMAR TRANSPORTES LTDA</t>
        </is>
      </c>
      <c r="D1808" s="5" t="inlineStr">
        <is>
          <t>RE</t>
        </is>
      </c>
      <c r="E1808" s="5" t="n">
        <v>5013286</v>
      </c>
      <c r="F1808" s="5" t="inlineStr">
        <is>
          <t>107941-1</t>
        </is>
      </c>
      <c r="G1808" s="5" t="inlineStr">
        <is>
          <t>BRL</t>
        </is>
      </c>
      <c r="H1808" s="9" t="n">
        <v>-4550</v>
      </c>
      <c r="I1808" s="16" t="n">
        <v>46217</v>
      </c>
      <c r="J1808" s="16" t="n">
        <v>46270</v>
      </c>
      <c r="K1808" s="5" t="inlineStr">
        <is>
          <t>Fatura - bruto QUELMAR TRANSPORTES LTDA 107941-1</t>
        </is>
      </c>
      <c r="L1808" s="5" t="inlineStr">
        <is>
          <t>08092026</t>
        </is>
      </c>
      <c r="M1808" s="5">
        <f>IF(YEAR(I1808)&lt;=2020,"Até 2020",TEXT(YEAR(I1808),"0"))</f>
        <v/>
      </c>
      <c r="N1808" s="5">
        <f>IFERROR(INDEX(DePara!$A:$A,MATCH(TEXT(B1808,"0"),DePara!$D:$D,0)),"(sem categoria)")</f>
        <v/>
      </c>
      <c r="O1808" s="5">
        <f>IF(J1808="","",Parametros!$B$6-J1808)</f>
        <v/>
      </c>
      <c r="P1808" s="5">
        <f>IF(O1808="","",IF(O1808&gt;0,1,0))</f>
        <v/>
      </c>
    </row>
    <row r="1809">
      <c r="A1809" s="5" t="n">
        <v>2111000000</v>
      </c>
      <c r="B1809" s="5" t="inlineStr">
        <is>
          <t>100883</t>
        </is>
      </c>
      <c r="C1809" s="5" t="inlineStr">
        <is>
          <t>QUELMAR TRANSPORTES LTDA</t>
        </is>
      </c>
      <c r="D1809" s="5" t="inlineStr">
        <is>
          <t>RE</t>
        </is>
      </c>
      <c r="E1809" s="5" t="n">
        <v>5013287</v>
      </c>
      <c r="F1809" s="5" t="inlineStr">
        <is>
          <t>107942-1</t>
        </is>
      </c>
      <c r="G1809" s="5" t="inlineStr">
        <is>
          <t>BRL</t>
        </is>
      </c>
      <c r="H1809" s="9" t="n">
        <v>-1250</v>
      </c>
      <c r="I1809" s="16" t="n">
        <v>46217</v>
      </c>
      <c r="J1809" s="16" t="n">
        <v>46270</v>
      </c>
      <c r="K1809" s="5" t="inlineStr">
        <is>
          <t>Fatura - bruto QUELMAR TRANSPORTES LTDA 107942-1</t>
        </is>
      </c>
      <c r="L1809" s="5" t="inlineStr">
        <is>
          <t>08092026</t>
        </is>
      </c>
      <c r="M1809" s="5">
        <f>IF(YEAR(I1809)&lt;=2020,"Até 2020",TEXT(YEAR(I1809),"0"))</f>
        <v/>
      </c>
      <c r="N1809" s="5">
        <f>IFERROR(INDEX(DePara!$A:$A,MATCH(TEXT(B1809,"0"),DePara!$D:$D,0)),"(sem categoria)")</f>
        <v/>
      </c>
      <c r="O1809" s="5">
        <f>IF(J1809="","",Parametros!$B$6-J1809)</f>
        <v/>
      </c>
      <c r="P1809" s="5">
        <f>IF(O1809="","",IF(O1809&gt;0,1,0))</f>
        <v/>
      </c>
    </row>
    <row r="1810">
      <c r="A1810" s="5" t="n">
        <v>2111000000</v>
      </c>
      <c r="B1810" s="5" t="inlineStr">
        <is>
          <t>100883</t>
        </is>
      </c>
      <c r="C1810" s="5" t="inlineStr">
        <is>
          <t>QUELMAR TRANSPORTES LTDA</t>
        </is>
      </c>
      <c r="D1810" s="5" t="inlineStr">
        <is>
          <t>RE</t>
        </is>
      </c>
      <c r="E1810" s="5" t="n">
        <v>5013288</v>
      </c>
      <c r="F1810" s="5" t="inlineStr">
        <is>
          <t>6228-2</t>
        </is>
      </c>
      <c r="G1810" s="5" t="inlineStr">
        <is>
          <t>BRL</t>
        </is>
      </c>
      <c r="H1810" s="9" t="n">
        <v>-1980</v>
      </c>
      <c r="I1810" s="16" t="n">
        <v>46217</v>
      </c>
      <c r="J1810" s="16" t="n">
        <v>46270</v>
      </c>
      <c r="K1810" s="5" t="inlineStr">
        <is>
          <t>Fatura - bruto QUELMAR TRANSPORTES LTDA 6228-2</t>
        </is>
      </c>
      <c r="L1810" s="5" t="inlineStr">
        <is>
          <t>08092026</t>
        </is>
      </c>
      <c r="M1810" s="5">
        <f>IF(YEAR(I1810)&lt;=2020,"Até 2020",TEXT(YEAR(I1810),"0"))</f>
        <v/>
      </c>
      <c r="N1810" s="5">
        <f>IFERROR(INDEX(DePara!$A:$A,MATCH(TEXT(B1810,"0"),DePara!$D:$D,0)),"(sem categoria)")</f>
        <v/>
      </c>
      <c r="O1810" s="5">
        <f>IF(J1810="","",Parametros!$B$6-J1810)</f>
        <v/>
      </c>
      <c r="P1810" s="5">
        <f>IF(O1810="","",IF(O1810&gt;0,1,0))</f>
        <v/>
      </c>
    </row>
    <row r="1811">
      <c r="A1811" s="5" t="n">
        <v>2111000000</v>
      </c>
      <c r="B1811" s="5" t="inlineStr">
        <is>
          <t>100883</t>
        </is>
      </c>
      <c r="C1811" s="5" t="inlineStr">
        <is>
          <t>QUELMAR TRANSPORTES LTDA</t>
        </is>
      </c>
      <c r="D1811" s="5" t="inlineStr">
        <is>
          <t>RE</t>
        </is>
      </c>
      <c r="E1811" s="5" t="n">
        <v>5013289</v>
      </c>
      <c r="F1811" s="5" t="inlineStr">
        <is>
          <t>107943-1</t>
        </is>
      </c>
      <c r="G1811" s="5" t="inlineStr">
        <is>
          <t>BRL</t>
        </is>
      </c>
      <c r="H1811" s="9" t="n">
        <v>-1380</v>
      </c>
      <c r="I1811" s="16" t="n">
        <v>46217</v>
      </c>
      <c r="J1811" s="16" t="n">
        <v>46270</v>
      </c>
      <c r="K1811" s="5" t="inlineStr">
        <is>
          <t>Fatura - bruto QUELMAR TRANSPORTES LTDA 107943-1</t>
        </is>
      </c>
      <c r="L1811" s="5" t="inlineStr">
        <is>
          <t>08092026</t>
        </is>
      </c>
      <c r="M1811" s="5">
        <f>IF(YEAR(I1811)&lt;=2020,"Até 2020",TEXT(YEAR(I1811),"0"))</f>
        <v/>
      </c>
      <c r="N1811" s="5">
        <f>IFERROR(INDEX(DePara!$A:$A,MATCH(TEXT(B1811,"0"),DePara!$D:$D,0)),"(sem categoria)")</f>
        <v/>
      </c>
      <c r="O1811" s="5">
        <f>IF(J1811="","",Parametros!$B$6-J1811)</f>
        <v/>
      </c>
      <c r="P1811" s="5">
        <f>IF(O1811="","",IF(O1811&gt;0,1,0))</f>
        <v/>
      </c>
    </row>
    <row r="1812">
      <c r="A1812" s="5" t="n">
        <v>2111000000</v>
      </c>
      <c r="B1812" s="5" t="inlineStr">
        <is>
          <t>100883</t>
        </is>
      </c>
      <c r="C1812" s="5" t="inlineStr">
        <is>
          <t>QUELMAR TRANSPORTES LTDA</t>
        </is>
      </c>
      <c r="D1812" s="5" t="inlineStr">
        <is>
          <t>RE</t>
        </is>
      </c>
      <c r="E1812" s="5" t="n">
        <v>5013290</v>
      </c>
      <c r="F1812" s="5" t="inlineStr">
        <is>
          <t>6229-2</t>
        </is>
      </c>
      <c r="G1812" s="5" t="inlineStr">
        <is>
          <t>BRL</t>
        </is>
      </c>
      <c r="H1812" s="9" t="n">
        <v>-8950</v>
      </c>
      <c r="I1812" s="16" t="n">
        <v>46217</v>
      </c>
      <c r="J1812" s="16" t="n">
        <v>46270</v>
      </c>
      <c r="K1812" s="5" t="inlineStr">
        <is>
          <t>Fatura - bruto QUELMAR TRANSPORTES LTDA 6229-2</t>
        </is>
      </c>
      <c r="L1812" s="5" t="inlineStr">
        <is>
          <t>08092026</t>
        </is>
      </c>
      <c r="M1812" s="5">
        <f>IF(YEAR(I1812)&lt;=2020,"Até 2020",TEXT(YEAR(I1812),"0"))</f>
        <v/>
      </c>
      <c r="N1812" s="5">
        <f>IFERROR(INDEX(DePara!$A:$A,MATCH(TEXT(B1812,"0"),DePara!$D:$D,0)),"(sem categoria)")</f>
        <v/>
      </c>
      <c r="O1812" s="5">
        <f>IF(J1812="","",Parametros!$B$6-J1812)</f>
        <v/>
      </c>
      <c r="P1812" s="5">
        <f>IF(O1812="","",IF(O1812&gt;0,1,0))</f>
        <v/>
      </c>
    </row>
    <row r="1813">
      <c r="A1813" s="5" t="n">
        <v>2111000000</v>
      </c>
      <c r="B1813" s="5" t="inlineStr">
        <is>
          <t>100396</t>
        </is>
      </c>
      <c r="C1813" s="5" t="inlineStr">
        <is>
          <t>DISTRIBUI LOGISTICA LTDA 03592033000166</t>
        </is>
      </c>
      <c r="D1813" s="5" t="inlineStr">
        <is>
          <t>RE</t>
        </is>
      </c>
      <c r="E1813" s="5" t="n">
        <v>5013291</v>
      </c>
      <c r="F1813" s="5" t="inlineStr">
        <is>
          <t>10917-4</t>
        </is>
      </c>
      <c r="G1813" s="5" t="inlineStr">
        <is>
          <t>BRL</t>
        </is>
      </c>
      <c r="H1813" s="9" t="n">
        <v>-2000.81</v>
      </c>
      <c r="I1813" s="16" t="n">
        <v>46216</v>
      </c>
      <c r="J1813" s="16" t="n">
        <v>46270</v>
      </c>
      <c r="K1813" s="5" t="inlineStr">
        <is>
          <t>Fatura - bruto DISTRIBUI LOGISTICA LTDA 0359203300</t>
        </is>
      </c>
      <c r="L1813" s="5" t="inlineStr">
        <is>
          <t>08092026</t>
        </is>
      </c>
      <c r="M1813" s="5">
        <f>IF(YEAR(I1813)&lt;=2020,"Até 2020",TEXT(YEAR(I1813),"0"))</f>
        <v/>
      </c>
      <c r="N1813" s="5">
        <f>IFERROR(INDEX(DePara!$A:$A,MATCH(TEXT(B1813,"0"),DePara!$D:$D,0)),"(sem categoria)")</f>
        <v/>
      </c>
      <c r="O1813" s="5">
        <f>IF(J1813="","",Parametros!$B$6-J1813)</f>
        <v/>
      </c>
      <c r="P1813" s="5">
        <f>IF(O1813="","",IF(O1813&gt;0,1,0))</f>
        <v/>
      </c>
    </row>
    <row r="1814">
      <c r="A1814" s="5" t="n">
        <v>2111000000</v>
      </c>
      <c r="B1814" s="5" t="inlineStr">
        <is>
          <t>101463</t>
        </is>
      </c>
      <c r="C1814" s="5" t="inlineStr">
        <is>
          <t>ZURICH MINAS BRASIL SEGUROS S A</t>
        </is>
      </c>
      <c r="D1814" s="5" t="inlineStr">
        <is>
          <t>RE</t>
        </is>
      </c>
      <c r="E1814" s="5" t="n">
        <v>5013293</v>
      </c>
      <c r="F1814" s="5" t="inlineStr">
        <is>
          <t>0327/26</t>
        </is>
      </c>
      <c r="G1814" s="5" t="inlineStr">
        <is>
          <t>BRL</t>
        </is>
      </c>
      <c r="H1814" s="9" t="n">
        <v>-87.40000000000001</v>
      </c>
      <c r="I1814" s="16" t="n">
        <v>46225</v>
      </c>
      <c r="J1814" s="16" t="n">
        <v>46255</v>
      </c>
      <c r="K1814" s="5" t="inlineStr">
        <is>
          <t>Invoice Payment. SP: 20179</t>
        </is>
      </c>
      <c r="L1814" s="5" t="inlineStr">
        <is>
          <t>0327/26</t>
        </is>
      </c>
      <c r="M1814" s="5">
        <f>IF(YEAR(I1814)&lt;=2020,"Até 2020",TEXT(YEAR(I1814),"0"))</f>
        <v/>
      </c>
      <c r="N1814" s="5">
        <f>IFERROR(INDEX(DePara!$A:$A,MATCH(TEXT(B1814,"0"),DePara!$D:$D,0)),"(sem categoria)")</f>
        <v/>
      </c>
      <c r="O1814" s="5">
        <f>IF(J1814="","",Parametros!$B$6-J1814)</f>
        <v/>
      </c>
      <c r="P1814" s="5">
        <f>IF(O1814="","",IF(O1814&gt;0,1,0))</f>
        <v/>
      </c>
    </row>
    <row r="1815">
      <c r="A1815" s="5" t="n">
        <v>2111000000</v>
      </c>
      <c r="B1815" s="5" t="inlineStr">
        <is>
          <t>101463</t>
        </is>
      </c>
      <c r="C1815" s="5" t="inlineStr">
        <is>
          <t>ZURICH MINAS BRASIL SEGUROS S A</t>
        </is>
      </c>
      <c r="D1815" s="5" t="inlineStr">
        <is>
          <t>RE</t>
        </is>
      </c>
      <c r="E1815" s="5" t="n">
        <v>5013295</v>
      </c>
      <c r="F1815" s="5" t="inlineStr">
        <is>
          <t>0361/26</t>
        </is>
      </c>
      <c r="G1815" s="5" t="inlineStr">
        <is>
          <t>BRL</t>
        </is>
      </c>
      <c r="H1815" s="9" t="n">
        <v>-412.2</v>
      </c>
      <c r="I1815" s="16" t="n">
        <v>46225</v>
      </c>
      <c r="J1815" s="16" t="n">
        <v>46255</v>
      </c>
      <c r="K1815" s="5" t="inlineStr">
        <is>
          <t>Invoice Payment. SP: 20181</t>
        </is>
      </c>
      <c r="L1815" s="5" t="inlineStr">
        <is>
          <t>0361/26</t>
        </is>
      </c>
      <c r="M1815" s="5">
        <f>IF(YEAR(I1815)&lt;=2020,"Até 2020",TEXT(YEAR(I1815),"0"))</f>
        <v/>
      </c>
      <c r="N1815" s="5">
        <f>IFERROR(INDEX(DePara!$A:$A,MATCH(TEXT(B1815,"0"),DePara!$D:$D,0)),"(sem categoria)")</f>
        <v/>
      </c>
      <c r="O1815" s="5">
        <f>IF(J1815="","",Parametros!$B$6-J1815)</f>
        <v/>
      </c>
      <c r="P1815" s="5">
        <f>IF(O1815="","",IF(O1815&gt;0,1,0))</f>
        <v/>
      </c>
    </row>
    <row r="1816">
      <c r="A1816" s="5" t="n">
        <v>2111000000</v>
      </c>
      <c r="B1816" s="5" t="inlineStr">
        <is>
          <t>101463</t>
        </is>
      </c>
      <c r="C1816" s="5" t="inlineStr">
        <is>
          <t>ZURICH MINAS BRASIL SEGUROS S A</t>
        </is>
      </c>
      <c r="D1816" s="5" t="inlineStr">
        <is>
          <t>RE</t>
        </is>
      </c>
      <c r="E1816" s="5" t="n">
        <v>5013300</v>
      </c>
      <c r="F1816" s="5" t="inlineStr">
        <is>
          <t>0366/26</t>
        </is>
      </c>
      <c r="G1816" s="5" t="inlineStr">
        <is>
          <t>BRL</t>
        </is>
      </c>
      <c r="H1816" s="9" t="n">
        <v>-22.76</v>
      </c>
      <c r="I1816" s="16" t="n">
        <v>46225</v>
      </c>
      <c r="J1816" s="16" t="n">
        <v>46255</v>
      </c>
      <c r="K1816" s="5" t="inlineStr">
        <is>
          <t>Invoice Payment. SP: 20199</t>
        </is>
      </c>
      <c r="L1816" s="5" t="inlineStr">
        <is>
          <t>0366/26</t>
        </is>
      </c>
      <c r="M1816" s="5">
        <f>IF(YEAR(I1816)&lt;=2020,"Até 2020",TEXT(YEAR(I1816),"0"))</f>
        <v/>
      </c>
      <c r="N1816" s="5">
        <f>IFERROR(INDEX(DePara!$A:$A,MATCH(TEXT(B1816,"0"),DePara!$D:$D,0)),"(sem categoria)")</f>
        <v/>
      </c>
      <c r="O1816" s="5">
        <f>IF(J1816="","",Parametros!$B$6-J1816)</f>
        <v/>
      </c>
      <c r="P1816" s="5">
        <f>IF(O1816="","",IF(O1816&gt;0,1,0))</f>
        <v/>
      </c>
    </row>
    <row r="1817">
      <c r="A1817" s="5" t="n">
        <v>2111000000</v>
      </c>
      <c r="B1817" s="5" t="inlineStr">
        <is>
          <t>101463</t>
        </is>
      </c>
      <c r="C1817" s="5" t="inlineStr">
        <is>
          <t>ZURICH MINAS BRASIL SEGUROS S A</t>
        </is>
      </c>
      <c r="D1817" s="5" t="inlineStr">
        <is>
          <t>RE</t>
        </is>
      </c>
      <c r="E1817" s="5" t="n">
        <v>5013302</v>
      </c>
      <c r="F1817" s="5" t="inlineStr">
        <is>
          <t>0302/26</t>
        </is>
      </c>
      <c r="G1817" s="5" t="inlineStr">
        <is>
          <t>BRL</t>
        </is>
      </c>
      <c r="H1817" s="9" t="n">
        <v>-29.33</v>
      </c>
      <c r="I1817" s="16" t="n">
        <v>46225</v>
      </c>
      <c r="J1817" s="16" t="n">
        <v>46255</v>
      </c>
      <c r="K1817" s="5" t="inlineStr">
        <is>
          <t>Invoice Payment. SP: 20201</t>
        </is>
      </c>
      <c r="L1817" s="5" t="inlineStr">
        <is>
          <t>0302/26</t>
        </is>
      </c>
      <c r="M1817" s="5">
        <f>IF(YEAR(I1817)&lt;=2020,"Até 2020",TEXT(YEAR(I1817),"0"))</f>
        <v/>
      </c>
      <c r="N1817" s="5">
        <f>IFERROR(INDEX(DePara!$A:$A,MATCH(TEXT(B1817,"0"),DePara!$D:$D,0)),"(sem categoria)")</f>
        <v/>
      </c>
      <c r="O1817" s="5">
        <f>IF(J1817="","",Parametros!$B$6-J1817)</f>
        <v/>
      </c>
      <c r="P1817" s="5">
        <f>IF(O1817="","",IF(O1817&gt;0,1,0))</f>
        <v/>
      </c>
    </row>
    <row r="1818">
      <c r="A1818" s="5" t="n">
        <v>2111000000</v>
      </c>
      <c r="B1818" s="5" t="inlineStr">
        <is>
          <t>100883</t>
        </is>
      </c>
      <c r="C1818" s="5" t="inlineStr">
        <is>
          <t>QUELMAR TRANSPORTES LTDA</t>
        </is>
      </c>
      <c r="D1818" s="5" t="inlineStr">
        <is>
          <t>RE</t>
        </is>
      </c>
      <c r="E1818" s="5" t="n">
        <v>5013307</v>
      </c>
      <c r="F1818" s="5" t="inlineStr">
        <is>
          <t>6199-2</t>
        </is>
      </c>
      <c r="G1818" s="5" t="inlineStr">
        <is>
          <t>BRL</t>
        </is>
      </c>
      <c r="H1818" s="9" t="n">
        <v>-2980</v>
      </c>
      <c r="I1818" s="16" t="n">
        <v>46213</v>
      </c>
      <c r="J1818" s="16" t="n">
        <v>46270</v>
      </c>
      <c r="K1818" s="5" t="inlineStr">
        <is>
          <t>Fatura - bruto QUELMAR TRANSPORTES LTDA 6199-2</t>
        </is>
      </c>
      <c r="L1818" s="5" t="inlineStr">
        <is>
          <t>08092026</t>
        </is>
      </c>
      <c r="M1818" s="5">
        <f>IF(YEAR(I1818)&lt;=2020,"Até 2020",TEXT(YEAR(I1818),"0"))</f>
        <v/>
      </c>
      <c r="N1818" s="5">
        <f>IFERROR(INDEX(DePara!$A:$A,MATCH(TEXT(B1818,"0"),DePara!$D:$D,0)),"(sem categoria)")</f>
        <v/>
      </c>
      <c r="O1818" s="5">
        <f>IF(J1818="","",Parametros!$B$6-J1818)</f>
        <v/>
      </c>
      <c r="P1818" s="5">
        <f>IF(O1818="","",IF(O1818&gt;0,1,0))</f>
        <v/>
      </c>
    </row>
    <row r="1819">
      <c r="A1819" s="5" t="n">
        <v>2111000000</v>
      </c>
      <c r="B1819" s="5" t="inlineStr">
        <is>
          <t>100883</t>
        </is>
      </c>
      <c r="C1819" s="5" t="inlineStr">
        <is>
          <t>QUELMAR TRANSPORTES LTDA</t>
        </is>
      </c>
      <c r="D1819" s="5" t="inlineStr">
        <is>
          <t>RE</t>
        </is>
      </c>
      <c r="E1819" s="5" t="n">
        <v>5013308</v>
      </c>
      <c r="F1819" s="5" t="inlineStr">
        <is>
          <t>6203-2</t>
        </is>
      </c>
      <c r="G1819" s="5" t="inlineStr">
        <is>
          <t>BRL</t>
        </is>
      </c>
      <c r="H1819" s="9" t="n">
        <v>-6990</v>
      </c>
      <c r="I1819" s="16" t="n">
        <v>46213</v>
      </c>
      <c r="J1819" s="16" t="n">
        <v>46270</v>
      </c>
      <c r="K1819" s="5" t="inlineStr">
        <is>
          <t>Fatura - bruto QUELMAR TRANSPORTES LTDA 6203-2</t>
        </is>
      </c>
      <c r="L1819" s="5" t="inlineStr">
        <is>
          <t>08092026</t>
        </is>
      </c>
      <c r="M1819" s="5">
        <f>IF(YEAR(I1819)&lt;=2020,"Até 2020",TEXT(YEAR(I1819),"0"))</f>
        <v/>
      </c>
      <c r="N1819" s="5">
        <f>IFERROR(INDEX(DePara!$A:$A,MATCH(TEXT(B1819,"0"),DePara!$D:$D,0)),"(sem categoria)")</f>
        <v/>
      </c>
      <c r="O1819" s="5">
        <f>IF(J1819="","",Parametros!$B$6-J1819)</f>
        <v/>
      </c>
      <c r="P1819" s="5">
        <f>IF(O1819="","",IF(O1819&gt;0,1,0))</f>
        <v/>
      </c>
    </row>
    <row r="1820">
      <c r="A1820" s="5" t="n">
        <v>2111000000</v>
      </c>
      <c r="B1820" s="5" t="inlineStr">
        <is>
          <t>100621</t>
        </is>
      </c>
      <c r="C1820" s="5" t="inlineStr">
        <is>
          <t>CALTER ENGENHARIA LTDA</t>
        </is>
      </c>
      <c r="D1820" s="5" t="inlineStr">
        <is>
          <t>RE</t>
        </is>
      </c>
      <c r="E1820" s="5" t="n">
        <v>5013311</v>
      </c>
      <c r="F1820" s="5" t="inlineStr">
        <is>
          <t>38</t>
        </is>
      </c>
      <c r="G1820" s="5" t="inlineStr">
        <is>
          <t>BRL</t>
        </is>
      </c>
      <c r="H1820" s="9" t="n">
        <v>-20142.43</v>
      </c>
      <c r="I1820" s="16" t="n">
        <v>46225</v>
      </c>
      <c r="J1820" s="16" t="n">
        <v>46270</v>
      </c>
      <c r="K1820" s="5" t="inlineStr">
        <is>
          <t>Fatura - bruto CALTER ENGENHARIA LTDA 38</t>
        </is>
      </c>
      <c r="L1820" s="5" t="inlineStr">
        <is>
          <t>08092026</t>
        </is>
      </c>
      <c r="M1820" s="5">
        <f>IF(YEAR(I1820)&lt;=2020,"Até 2020",TEXT(YEAR(I1820),"0"))</f>
        <v/>
      </c>
      <c r="N1820" s="5">
        <f>IFERROR(INDEX(DePara!$A:$A,MATCH(TEXT(B1820,"0"),DePara!$D:$D,0)),"(sem categoria)")</f>
        <v/>
      </c>
      <c r="O1820" s="5">
        <f>IF(J1820="","",Parametros!$B$6-J1820)</f>
        <v/>
      </c>
      <c r="P1820" s="5">
        <f>IF(O1820="","",IF(O1820&gt;0,1,0))</f>
        <v/>
      </c>
    </row>
    <row r="1821">
      <c r="A1821" s="5" t="n">
        <v>2111000000</v>
      </c>
      <c r="B1821" s="5" t="inlineStr">
        <is>
          <t>100883</t>
        </is>
      </c>
      <c r="C1821" s="5" t="inlineStr">
        <is>
          <t>QUELMAR TRANSPORTES LTDA</t>
        </is>
      </c>
      <c r="D1821" s="5" t="inlineStr">
        <is>
          <t>RE</t>
        </is>
      </c>
      <c r="E1821" s="5" t="n">
        <v>5013313</v>
      </c>
      <c r="F1821" s="5" t="inlineStr">
        <is>
          <t>6182-2</t>
        </is>
      </c>
      <c r="G1821" s="5" t="inlineStr">
        <is>
          <t>BRL</t>
        </is>
      </c>
      <c r="H1821" s="9" t="n">
        <v>-10199.2</v>
      </c>
      <c r="I1821" s="16" t="n">
        <v>46209</v>
      </c>
      <c r="J1821" s="16" t="n">
        <v>46270</v>
      </c>
      <c r="K1821" s="5" t="inlineStr">
        <is>
          <t>Fatura - bruto QUELMAR TRANSPORTES LTDA 6182-2</t>
        </is>
      </c>
      <c r="L1821" s="5" t="inlineStr">
        <is>
          <t>08092026</t>
        </is>
      </c>
      <c r="M1821" s="5">
        <f>IF(YEAR(I1821)&lt;=2020,"Até 2020",TEXT(YEAR(I1821),"0"))</f>
        <v/>
      </c>
      <c r="N1821" s="5">
        <f>IFERROR(INDEX(DePara!$A:$A,MATCH(TEXT(B1821,"0"),DePara!$D:$D,0)),"(sem categoria)")</f>
        <v/>
      </c>
      <c r="O1821" s="5">
        <f>IF(J1821="","",Parametros!$B$6-J1821)</f>
        <v/>
      </c>
      <c r="P1821" s="5">
        <f>IF(O1821="","",IF(O1821&gt;0,1,0))</f>
        <v/>
      </c>
    </row>
    <row r="1822">
      <c r="A1822" s="5" t="n">
        <v>2111000000</v>
      </c>
      <c r="B1822" s="5" t="inlineStr">
        <is>
          <t>100883</t>
        </is>
      </c>
      <c r="C1822" s="5" t="inlineStr">
        <is>
          <t>QUELMAR TRANSPORTES LTDA</t>
        </is>
      </c>
      <c r="D1822" s="5" t="inlineStr">
        <is>
          <t>RE</t>
        </is>
      </c>
      <c r="E1822" s="5" t="n">
        <v>5013314</v>
      </c>
      <c r="F1822" s="5" t="inlineStr">
        <is>
          <t>6188-2</t>
        </is>
      </c>
      <c r="G1822" s="5" t="inlineStr">
        <is>
          <t>BRL</t>
        </is>
      </c>
      <c r="H1822" s="9" t="n">
        <v>-980</v>
      </c>
      <c r="I1822" s="16" t="n">
        <v>46210</v>
      </c>
      <c r="J1822" s="16" t="n">
        <v>46270</v>
      </c>
      <c r="K1822" s="5" t="inlineStr">
        <is>
          <t>Fatura - bruto QUELMAR TRANSPORTES LTDA 6188-2</t>
        </is>
      </c>
      <c r="L1822" s="5" t="inlineStr">
        <is>
          <t>08092026</t>
        </is>
      </c>
      <c r="M1822" s="5">
        <f>IF(YEAR(I1822)&lt;=2020,"Até 2020",TEXT(YEAR(I1822),"0"))</f>
        <v/>
      </c>
      <c r="N1822" s="5">
        <f>IFERROR(INDEX(DePara!$A:$A,MATCH(TEXT(B1822,"0"),DePara!$D:$D,0)),"(sem categoria)")</f>
        <v/>
      </c>
      <c r="O1822" s="5">
        <f>IF(J1822="","",Parametros!$B$6-J1822)</f>
        <v/>
      </c>
      <c r="P1822" s="5">
        <f>IF(O1822="","",IF(O1822&gt;0,1,0))</f>
        <v/>
      </c>
    </row>
    <row r="1823">
      <c r="A1823" s="5" t="n">
        <v>2111000000</v>
      </c>
      <c r="B1823" s="5" t="inlineStr">
        <is>
          <t>100883</t>
        </is>
      </c>
      <c r="C1823" s="5" t="inlineStr">
        <is>
          <t>QUELMAR TRANSPORTES LTDA</t>
        </is>
      </c>
      <c r="D1823" s="5" t="inlineStr">
        <is>
          <t>RE</t>
        </is>
      </c>
      <c r="E1823" s="5" t="n">
        <v>5013315</v>
      </c>
      <c r="F1823" s="5" t="inlineStr">
        <is>
          <t>6189-2</t>
        </is>
      </c>
      <c r="G1823" s="5" t="inlineStr">
        <is>
          <t>BRL</t>
        </is>
      </c>
      <c r="H1823" s="9" t="n">
        <v>-2980</v>
      </c>
      <c r="I1823" s="16" t="n">
        <v>46210</v>
      </c>
      <c r="J1823" s="16" t="n">
        <v>46270</v>
      </c>
      <c r="K1823" s="5" t="inlineStr">
        <is>
          <t>Fatura - bruto QUELMAR TRANSPORTES LTDA 6189-2</t>
        </is>
      </c>
      <c r="L1823" s="5" t="inlineStr">
        <is>
          <t>08092026</t>
        </is>
      </c>
      <c r="M1823" s="5">
        <f>IF(YEAR(I1823)&lt;=2020,"Até 2020",TEXT(YEAR(I1823),"0"))</f>
        <v/>
      </c>
      <c r="N1823" s="5">
        <f>IFERROR(INDEX(DePara!$A:$A,MATCH(TEXT(B1823,"0"),DePara!$D:$D,0)),"(sem categoria)")</f>
        <v/>
      </c>
      <c r="O1823" s="5">
        <f>IF(J1823="","",Parametros!$B$6-J1823)</f>
        <v/>
      </c>
      <c r="P1823" s="5">
        <f>IF(O1823="","",IF(O1823&gt;0,1,0))</f>
        <v/>
      </c>
    </row>
    <row r="1824">
      <c r="A1824" s="5" t="n">
        <v>2111000000</v>
      </c>
      <c r="B1824" s="5" t="inlineStr">
        <is>
          <t>100883</t>
        </is>
      </c>
      <c r="C1824" s="5" t="inlineStr">
        <is>
          <t>QUELMAR TRANSPORTES LTDA</t>
        </is>
      </c>
      <c r="D1824" s="5" t="inlineStr">
        <is>
          <t>RE</t>
        </is>
      </c>
      <c r="E1824" s="5" t="n">
        <v>5013316</v>
      </c>
      <c r="F1824" s="5" t="inlineStr">
        <is>
          <t>6202-2</t>
        </is>
      </c>
      <c r="G1824" s="5" t="inlineStr">
        <is>
          <t>BRL</t>
        </is>
      </c>
      <c r="H1824" s="9" t="n">
        <v>-2250</v>
      </c>
      <c r="I1824" s="16" t="n">
        <v>46213</v>
      </c>
      <c r="J1824" s="16" t="n">
        <v>46270</v>
      </c>
      <c r="K1824" s="5" t="inlineStr">
        <is>
          <t>Fatura - bruto QUELMAR TRANSPORTES LTDA 6202-2</t>
        </is>
      </c>
      <c r="L1824" s="5" t="inlineStr">
        <is>
          <t>08092026</t>
        </is>
      </c>
      <c r="M1824" s="5">
        <f>IF(YEAR(I1824)&lt;=2020,"Até 2020",TEXT(YEAR(I1824),"0"))</f>
        <v/>
      </c>
      <c r="N1824" s="5">
        <f>IFERROR(INDEX(DePara!$A:$A,MATCH(TEXT(B1824,"0"),DePara!$D:$D,0)),"(sem categoria)")</f>
        <v/>
      </c>
      <c r="O1824" s="5">
        <f>IF(J1824="","",Parametros!$B$6-J1824)</f>
        <v/>
      </c>
      <c r="P1824" s="5">
        <f>IF(O1824="","",IF(O1824&gt;0,1,0))</f>
        <v/>
      </c>
    </row>
    <row r="1825">
      <c r="A1825" s="5" t="n">
        <v>2111000000</v>
      </c>
      <c r="B1825" s="5" t="inlineStr">
        <is>
          <t>100883</t>
        </is>
      </c>
      <c r="C1825" s="5" t="inlineStr">
        <is>
          <t>QUELMAR TRANSPORTES LTDA</t>
        </is>
      </c>
      <c r="D1825" s="5" t="inlineStr">
        <is>
          <t>RE</t>
        </is>
      </c>
      <c r="E1825" s="5" t="n">
        <v>5013317</v>
      </c>
      <c r="F1825" s="5" t="inlineStr">
        <is>
          <t>6214-2</t>
        </is>
      </c>
      <c r="G1825" s="5" t="inlineStr">
        <is>
          <t>BRL</t>
        </is>
      </c>
      <c r="H1825" s="9" t="n">
        <v>-1380</v>
      </c>
      <c r="I1825" s="16" t="n">
        <v>46216</v>
      </c>
      <c r="J1825" s="16" t="n">
        <v>46270</v>
      </c>
      <c r="K1825" s="5" t="inlineStr">
        <is>
          <t>Fatura - bruto QUELMAR TRANSPORTES LTDA 6214-2</t>
        </is>
      </c>
      <c r="L1825" s="5" t="inlineStr">
        <is>
          <t>08092026</t>
        </is>
      </c>
      <c r="M1825" s="5">
        <f>IF(YEAR(I1825)&lt;=2020,"Até 2020",TEXT(YEAR(I1825),"0"))</f>
        <v/>
      </c>
      <c r="N1825" s="5">
        <f>IFERROR(INDEX(DePara!$A:$A,MATCH(TEXT(B1825,"0"),DePara!$D:$D,0)),"(sem categoria)")</f>
        <v/>
      </c>
      <c r="O1825" s="5">
        <f>IF(J1825="","",Parametros!$B$6-J1825)</f>
        <v/>
      </c>
      <c r="P1825" s="5">
        <f>IF(O1825="","",IF(O1825&gt;0,1,0))</f>
        <v/>
      </c>
    </row>
    <row r="1826">
      <c r="A1826" s="5" t="n">
        <v>2111000000</v>
      </c>
      <c r="B1826" s="5" t="inlineStr">
        <is>
          <t>100883</t>
        </is>
      </c>
      <c r="C1826" s="5" t="inlineStr">
        <is>
          <t>QUELMAR TRANSPORTES LTDA</t>
        </is>
      </c>
      <c r="D1826" s="5" t="inlineStr">
        <is>
          <t>RE</t>
        </is>
      </c>
      <c r="E1826" s="5" t="n">
        <v>5013318</v>
      </c>
      <c r="F1826" s="5" t="inlineStr">
        <is>
          <t>6227-2</t>
        </is>
      </c>
      <c r="G1826" s="5" t="inlineStr">
        <is>
          <t>BRL</t>
        </is>
      </c>
      <c r="H1826" s="9" t="n">
        <v>-3835.92</v>
      </c>
      <c r="I1826" s="16" t="n">
        <v>46217</v>
      </c>
      <c r="J1826" s="16" t="n">
        <v>46270</v>
      </c>
      <c r="K1826" s="5" t="inlineStr">
        <is>
          <t>Fatura - bruto QUELMAR TRANSPORTES LTDA 6227-2</t>
        </is>
      </c>
      <c r="L1826" s="5" t="inlineStr">
        <is>
          <t>08092026</t>
        </is>
      </c>
      <c r="M1826" s="5">
        <f>IF(YEAR(I1826)&lt;=2020,"Até 2020",TEXT(YEAR(I1826),"0"))</f>
        <v/>
      </c>
      <c r="N1826" s="5">
        <f>IFERROR(INDEX(DePara!$A:$A,MATCH(TEXT(B1826,"0"),DePara!$D:$D,0)),"(sem categoria)")</f>
        <v/>
      </c>
      <c r="O1826" s="5">
        <f>IF(J1826="","",Parametros!$B$6-J1826)</f>
        <v/>
      </c>
      <c r="P1826" s="5">
        <f>IF(O1826="","",IF(O1826&gt;0,1,0))</f>
        <v/>
      </c>
    </row>
    <row r="1827">
      <c r="A1827" s="5" t="n">
        <v>2111000000</v>
      </c>
      <c r="B1827" s="5" t="inlineStr">
        <is>
          <t>100883</t>
        </is>
      </c>
      <c r="C1827" s="5" t="inlineStr">
        <is>
          <t>QUELMAR TRANSPORTES LTDA</t>
        </is>
      </c>
      <c r="D1827" s="5" t="inlineStr">
        <is>
          <t>RE</t>
        </is>
      </c>
      <c r="E1827" s="5" t="n">
        <v>5013322</v>
      </c>
      <c r="F1827" s="5" t="inlineStr">
        <is>
          <t>6215-2</t>
        </is>
      </c>
      <c r="G1827" s="5" t="inlineStr">
        <is>
          <t>BRL</t>
        </is>
      </c>
      <c r="H1827" s="9" t="n">
        <v>-1059</v>
      </c>
      <c r="I1827" s="16" t="n">
        <v>46216</v>
      </c>
      <c r="J1827" s="16" t="n">
        <v>46270</v>
      </c>
      <c r="K1827" s="5" t="inlineStr">
        <is>
          <t>Fatura - bruto QUELMAR TRANSPORTES LTDA 6215-2</t>
        </is>
      </c>
      <c r="L1827" s="5" t="inlineStr">
        <is>
          <t>08092026</t>
        </is>
      </c>
      <c r="M1827" s="5">
        <f>IF(YEAR(I1827)&lt;=2020,"Até 2020",TEXT(YEAR(I1827),"0"))</f>
        <v/>
      </c>
      <c r="N1827" s="5">
        <f>IFERROR(INDEX(DePara!$A:$A,MATCH(TEXT(B1827,"0"),DePara!$D:$D,0)),"(sem categoria)")</f>
        <v/>
      </c>
      <c r="O1827" s="5">
        <f>IF(J1827="","",Parametros!$B$6-J1827)</f>
        <v/>
      </c>
      <c r="P1827" s="5">
        <f>IF(O1827="","",IF(O1827&gt;0,1,0))</f>
        <v/>
      </c>
    </row>
    <row r="1828">
      <c r="A1828" s="5" t="n">
        <v>2111000000</v>
      </c>
      <c r="B1828" s="5" t="inlineStr">
        <is>
          <t>100883</t>
        </is>
      </c>
      <c r="C1828" s="5" t="inlineStr">
        <is>
          <t>QUELMAR TRANSPORTES LTDA</t>
        </is>
      </c>
      <c r="D1828" s="5" t="inlineStr">
        <is>
          <t>RE</t>
        </is>
      </c>
      <c r="E1828" s="5" t="n">
        <v>5013323</v>
      </c>
      <c r="F1828" s="5" t="inlineStr">
        <is>
          <t>6216-2</t>
        </is>
      </c>
      <c r="G1828" s="5" t="inlineStr">
        <is>
          <t>BRL</t>
        </is>
      </c>
      <c r="H1828" s="9" t="n">
        <v>-5950</v>
      </c>
      <c r="I1828" s="16" t="n">
        <v>46216</v>
      </c>
      <c r="J1828" s="16" t="n">
        <v>46270</v>
      </c>
      <c r="K1828" s="5" t="inlineStr">
        <is>
          <t>Fatura - bruto QUELMAR TRANSPORTES LTDA 6216-2</t>
        </is>
      </c>
      <c r="L1828" s="5" t="inlineStr">
        <is>
          <t>08092026</t>
        </is>
      </c>
      <c r="M1828" s="5">
        <f>IF(YEAR(I1828)&lt;=2020,"Até 2020",TEXT(YEAR(I1828),"0"))</f>
        <v/>
      </c>
      <c r="N1828" s="5">
        <f>IFERROR(INDEX(DePara!$A:$A,MATCH(TEXT(B1828,"0"),DePara!$D:$D,0)),"(sem categoria)")</f>
        <v/>
      </c>
      <c r="O1828" s="5">
        <f>IF(J1828="","",Parametros!$B$6-J1828)</f>
        <v/>
      </c>
      <c r="P1828" s="5">
        <f>IF(O1828="","",IF(O1828&gt;0,1,0))</f>
        <v/>
      </c>
    </row>
    <row r="1829">
      <c r="A1829" s="5" t="n">
        <v>2111000000</v>
      </c>
      <c r="B1829" s="5" t="inlineStr">
        <is>
          <t>100883</t>
        </is>
      </c>
      <c r="C1829" s="5" t="inlineStr">
        <is>
          <t>QUELMAR TRANSPORTES LTDA</t>
        </is>
      </c>
      <c r="D1829" s="5" t="inlineStr">
        <is>
          <t>RE</t>
        </is>
      </c>
      <c r="E1829" s="5" t="n">
        <v>5013324</v>
      </c>
      <c r="F1829" s="5" t="inlineStr">
        <is>
          <t>6217-2</t>
        </is>
      </c>
      <c r="G1829" s="5" t="inlineStr">
        <is>
          <t>BRL</t>
        </is>
      </c>
      <c r="H1829" s="9" t="n">
        <v>-817</v>
      </c>
      <c r="I1829" s="16" t="n">
        <v>46216</v>
      </c>
      <c r="J1829" s="16" t="n">
        <v>46270</v>
      </c>
      <c r="K1829" s="5" t="inlineStr">
        <is>
          <t>Fatura - bruto QUELMAR TRANSPORTES LTDA 6217-2</t>
        </is>
      </c>
      <c r="L1829" s="5" t="inlineStr">
        <is>
          <t>08092026</t>
        </is>
      </c>
      <c r="M1829" s="5">
        <f>IF(YEAR(I1829)&lt;=2020,"Até 2020",TEXT(YEAR(I1829),"0"))</f>
        <v/>
      </c>
      <c r="N1829" s="5">
        <f>IFERROR(INDEX(DePara!$A:$A,MATCH(TEXT(B1829,"0"),DePara!$D:$D,0)),"(sem categoria)")</f>
        <v/>
      </c>
      <c r="O1829" s="5">
        <f>IF(J1829="","",Parametros!$B$6-J1829)</f>
        <v/>
      </c>
      <c r="P1829" s="5">
        <f>IF(O1829="","",IF(O1829&gt;0,1,0))</f>
        <v/>
      </c>
    </row>
    <row r="1830">
      <c r="A1830" s="5" t="n">
        <v>2111000000</v>
      </c>
      <c r="B1830" s="5" t="inlineStr">
        <is>
          <t>100883</t>
        </is>
      </c>
      <c r="C1830" s="5" t="inlineStr">
        <is>
          <t>QUELMAR TRANSPORTES LTDA</t>
        </is>
      </c>
      <c r="D1830" s="5" t="inlineStr">
        <is>
          <t>RE</t>
        </is>
      </c>
      <c r="E1830" s="5" t="n">
        <v>5013325</v>
      </c>
      <c r="F1830" s="5" t="inlineStr">
        <is>
          <t>6218-2</t>
        </is>
      </c>
      <c r="G1830" s="5" t="inlineStr">
        <is>
          <t>BRL</t>
        </is>
      </c>
      <c r="H1830" s="9" t="n">
        <v>-2990</v>
      </c>
      <c r="I1830" s="16" t="n">
        <v>46216</v>
      </c>
      <c r="J1830" s="16" t="n">
        <v>46270</v>
      </c>
      <c r="K1830" s="5" t="inlineStr">
        <is>
          <t>Fatura - bruto QUELMAR TRANSPORTES LTDA 6218-2</t>
        </is>
      </c>
      <c r="L1830" s="5" t="inlineStr">
        <is>
          <t>08092026</t>
        </is>
      </c>
      <c r="M1830" s="5">
        <f>IF(YEAR(I1830)&lt;=2020,"Até 2020",TEXT(YEAR(I1830),"0"))</f>
        <v/>
      </c>
      <c r="N1830" s="5">
        <f>IFERROR(INDEX(DePara!$A:$A,MATCH(TEXT(B1830,"0"),DePara!$D:$D,0)),"(sem categoria)")</f>
        <v/>
      </c>
      <c r="O1830" s="5">
        <f>IF(J1830="","",Parametros!$B$6-J1830)</f>
        <v/>
      </c>
      <c r="P1830" s="5">
        <f>IF(O1830="","",IF(O1830&gt;0,1,0))</f>
        <v/>
      </c>
    </row>
    <row r="1831">
      <c r="A1831" s="5" t="n">
        <v>2111000000</v>
      </c>
      <c r="B1831" s="5" t="inlineStr">
        <is>
          <t>101463</t>
        </is>
      </c>
      <c r="C1831" s="5" t="inlineStr">
        <is>
          <t>ZURICH MINAS BRASIL SEGUROS S A</t>
        </is>
      </c>
      <c r="D1831" s="5" t="inlineStr">
        <is>
          <t>RE</t>
        </is>
      </c>
      <c r="E1831" s="5" t="n">
        <v>5013332</v>
      </c>
      <c r="F1831" s="5" t="inlineStr">
        <is>
          <t>0282/26</t>
        </is>
      </c>
      <c r="G1831" s="5" t="inlineStr">
        <is>
          <t>BRL</t>
        </is>
      </c>
      <c r="H1831" s="9" t="n">
        <v>-968.35</v>
      </c>
      <c r="I1831" s="16" t="n">
        <v>46226</v>
      </c>
      <c r="J1831" s="16" t="n">
        <v>46256</v>
      </c>
      <c r="K1831" s="5" t="inlineStr">
        <is>
          <t>Invoice Payment. SP: 20218</t>
        </is>
      </c>
      <c r="L1831" s="5" t="inlineStr">
        <is>
          <t>0282/26</t>
        </is>
      </c>
      <c r="M1831" s="5">
        <f>IF(YEAR(I1831)&lt;=2020,"Até 2020",TEXT(YEAR(I1831),"0"))</f>
        <v/>
      </c>
      <c r="N1831" s="5">
        <f>IFERROR(INDEX(DePara!$A:$A,MATCH(TEXT(B1831,"0"),DePara!$D:$D,0)),"(sem categoria)")</f>
        <v/>
      </c>
      <c r="O1831" s="5">
        <f>IF(J1831="","",Parametros!$B$6-J1831)</f>
        <v/>
      </c>
      <c r="P1831" s="5">
        <f>IF(O1831="","",IF(O1831&gt;0,1,0))</f>
        <v/>
      </c>
    </row>
    <row r="1832">
      <c r="A1832" s="5" t="n">
        <v>2111000000</v>
      </c>
      <c r="B1832" s="5" t="inlineStr">
        <is>
          <t>104143</t>
        </is>
      </c>
      <c r="C1832" s="5" t="inlineStr">
        <is>
          <t>H K ABDOUNI INSPECOES LTDA 10620234000195</t>
        </is>
      </c>
      <c r="D1832" s="5" t="inlineStr">
        <is>
          <t>RE</t>
        </is>
      </c>
      <c r="E1832" s="5" t="n">
        <v>5013334</v>
      </c>
      <c r="F1832" s="5" t="inlineStr">
        <is>
          <t>360</t>
        </is>
      </c>
      <c r="G1832" s="5" t="inlineStr">
        <is>
          <t>BRL</t>
        </is>
      </c>
      <c r="H1832" s="9" t="n">
        <v>-40832.19</v>
      </c>
      <c r="I1832" s="16" t="n">
        <v>46225</v>
      </c>
      <c r="J1832" s="16" t="n">
        <v>46302</v>
      </c>
      <c r="K1832" s="5" t="inlineStr">
        <is>
          <t>Fatura - bruto H K ABDOUNI INSPECOES LTDA 10620234</t>
        </is>
      </c>
      <c r="L1832" s="5" t="inlineStr">
        <is>
          <t>07102026</t>
        </is>
      </c>
      <c r="M1832" s="5">
        <f>IF(YEAR(I1832)&lt;=2020,"Até 2020",TEXT(YEAR(I1832),"0"))</f>
        <v/>
      </c>
      <c r="N1832" s="5">
        <f>IFERROR(INDEX(DePara!$A:$A,MATCH(TEXT(B1832,"0"),DePara!$D:$D,0)),"(sem categoria)")</f>
        <v/>
      </c>
      <c r="O1832" s="5">
        <f>IF(J1832="","",Parametros!$B$6-J1832)</f>
        <v/>
      </c>
      <c r="P1832" s="5">
        <f>IF(O1832="","",IF(O1832&gt;0,1,0))</f>
        <v/>
      </c>
    </row>
    <row r="1833">
      <c r="A1833" s="5" t="n">
        <v>2111000000</v>
      </c>
      <c r="B1833" s="5" t="inlineStr">
        <is>
          <t>104143</t>
        </is>
      </c>
      <c r="C1833" s="5" t="inlineStr">
        <is>
          <t>H K ABDOUNI INSPECOES LTDA 10620234000195</t>
        </is>
      </c>
      <c r="D1833" s="5" t="inlineStr">
        <is>
          <t>RE</t>
        </is>
      </c>
      <c r="E1833" s="5" t="n">
        <v>5013335</v>
      </c>
      <c r="F1833" s="5" t="inlineStr">
        <is>
          <t>361</t>
        </is>
      </c>
      <c r="G1833" s="5" t="inlineStr">
        <is>
          <t>BRL</t>
        </is>
      </c>
      <c r="H1833" s="9" t="n">
        <v>-99377.64</v>
      </c>
      <c r="I1833" s="16" t="n">
        <v>46225</v>
      </c>
      <c r="J1833" s="16" t="n">
        <v>46302</v>
      </c>
      <c r="K1833" s="5" t="inlineStr">
        <is>
          <t>Fatura - bruto H K ABDOUNI INSPECOES LTDA 10620234</t>
        </is>
      </c>
      <c r="L1833" s="5" t="inlineStr">
        <is>
          <t>07102026</t>
        </is>
      </c>
      <c r="M1833" s="5">
        <f>IF(YEAR(I1833)&lt;=2020,"Até 2020",TEXT(YEAR(I1833),"0"))</f>
        <v/>
      </c>
      <c r="N1833" s="5">
        <f>IFERROR(INDEX(DePara!$A:$A,MATCH(TEXT(B1833,"0"),DePara!$D:$D,0)),"(sem categoria)")</f>
        <v/>
      </c>
      <c r="O1833" s="5">
        <f>IF(J1833="","",Parametros!$B$6-J1833)</f>
        <v/>
      </c>
      <c r="P1833" s="5">
        <f>IF(O1833="","",IF(O1833&gt;0,1,0))</f>
        <v/>
      </c>
    </row>
    <row r="1834">
      <c r="A1834" s="5" t="n">
        <v>2111000000</v>
      </c>
      <c r="B1834" s="5" t="inlineStr">
        <is>
          <t>104143</t>
        </is>
      </c>
      <c r="C1834" s="5" t="inlineStr">
        <is>
          <t>H K ABDOUNI INSPECOES LTDA 10620234000195</t>
        </is>
      </c>
      <c r="D1834" s="5" t="inlineStr">
        <is>
          <t>RE</t>
        </is>
      </c>
      <c r="E1834" s="5" t="n">
        <v>5013336</v>
      </c>
      <c r="F1834" s="5" t="inlineStr">
        <is>
          <t>359</t>
        </is>
      </c>
      <c r="G1834" s="5" t="inlineStr">
        <is>
          <t>BRL</t>
        </is>
      </c>
      <c r="H1834" s="9" t="n">
        <v>-30637.44</v>
      </c>
      <c r="I1834" s="16" t="n">
        <v>46225</v>
      </c>
      <c r="J1834" s="16" t="n">
        <v>46302</v>
      </c>
      <c r="K1834" s="5" t="inlineStr">
        <is>
          <t>Fatura - bruto H K ABDOUNI INSPECOES LTDA 10620234</t>
        </is>
      </c>
      <c r="L1834" s="5" t="inlineStr">
        <is>
          <t>07102026</t>
        </is>
      </c>
      <c r="M1834" s="5">
        <f>IF(YEAR(I1834)&lt;=2020,"Até 2020",TEXT(YEAR(I1834),"0"))</f>
        <v/>
      </c>
      <c r="N1834" s="5">
        <f>IFERROR(INDEX(DePara!$A:$A,MATCH(TEXT(B1834,"0"),DePara!$D:$D,0)),"(sem categoria)")</f>
        <v/>
      </c>
      <c r="O1834" s="5">
        <f>IF(J1834="","",Parametros!$B$6-J1834)</f>
        <v/>
      </c>
      <c r="P1834" s="5">
        <f>IF(O1834="","",IF(O1834&gt;0,1,0))</f>
        <v/>
      </c>
    </row>
    <row r="1835">
      <c r="A1835" s="5" t="n">
        <v>2111000000</v>
      </c>
      <c r="B1835" s="5" t="inlineStr">
        <is>
          <t>101463</t>
        </is>
      </c>
      <c r="C1835" s="5" t="inlineStr">
        <is>
          <t>ZURICH MINAS BRASIL SEGUROS S A</t>
        </is>
      </c>
      <c r="D1835" s="5" t="inlineStr">
        <is>
          <t>RE</t>
        </is>
      </c>
      <c r="E1835" s="5" t="n">
        <v>5013339</v>
      </c>
      <c r="F1835" s="5" t="inlineStr">
        <is>
          <t>0356/26</t>
        </is>
      </c>
      <c r="G1835" s="5" t="inlineStr">
        <is>
          <t>BRL</t>
        </is>
      </c>
      <c r="H1835" s="9" t="n">
        <v>-32372.73</v>
      </c>
      <c r="I1835" s="16" t="n">
        <v>46226</v>
      </c>
      <c r="J1835" s="16" t="n">
        <v>46256</v>
      </c>
      <c r="K1835" s="5" t="inlineStr">
        <is>
          <t>Invoice Payment. SP: 20220</t>
        </is>
      </c>
      <c r="L1835" s="5" t="inlineStr">
        <is>
          <t>0356/26</t>
        </is>
      </c>
      <c r="M1835" s="5">
        <f>IF(YEAR(I1835)&lt;=2020,"Até 2020",TEXT(YEAR(I1835),"0"))</f>
        <v/>
      </c>
      <c r="N1835" s="5">
        <f>IFERROR(INDEX(DePara!$A:$A,MATCH(TEXT(B1835,"0"),DePara!$D:$D,0)),"(sem categoria)")</f>
        <v/>
      </c>
      <c r="O1835" s="5">
        <f>IF(J1835="","",Parametros!$B$6-J1835)</f>
        <v/>
      </c>
      <c r="P1835" s="5">
        <f>IF(O1835="","",IF(O1835&gt;0,1,0))</f>
        <v/>
      </c>
    </row>
    <row r="1836">
      <c r="A1836" s="5" t="n">
        <v>2111000000</v>
      </c>
      <c r="B1836" s="5" t="inlineStr">
        <is>
          <t>101463</t>
        </is>
      </c>
      <c r="C1836" s="5" t="inlineStr">
        <is>
          <t>ZURICH MINAS BRASIL SEGUROS S A</t>
        </is>
      </c>
      <c r="D1836" s="5" t="inlineStr">
        <is>
          <t>RE</t>
        </is>
      </c>
      <c r="E1836" s="5" t="n">
        <v>5013340</v>
      </c>
      <c r="F1836" s="5" t="inlineStr">
        <is>
          <t>0405/26</t>
        </is>
      </c>
      <c r="G1836" s="5" t="inlineStr">
        <is>
          <t>BRL</t>
        </is>
      </c>
      <c r="H1836" s="9" t="n">
        <v>-194.71</v>
      </c>
      <c r="I1836" s="16" t="n">
        <v>46226</v>
      </c>
      <c r="J1836" s="16" t="n">
        <v>46256</v>
      </c>
      <c r="K1836" s="5" t="inlineStr">
        <is>
          <t>Invoice Payment. SP: 20248</t>
        </is>
      </c>
      <c r="L1836" s="5" t="inlineStr">
        <is>
          <t>0405/26</t>
        </is>
      </c>
      <c r="M1836" s="5">
        <f>IF(YEAR(I1836)&lt;=2020,"Até 2020",TEXT(YEAR(I1836),"0"))</f>
        <v/>
      </c>
      <c r="N1836" s="5">
        <f>IFERROR(INDEX(DePara!$A:$A,MATCH(TEXT(B1836,"0"),DePara!$D:$D,0)),"(sem categoria)")</f>
        <v/>
      </c>
      <c r="O1836" s="5">
        <f>IF(J1836="","",Parametros!$B$6-J1836)</f>
        <v/>
      </c>
      <c r="P1836" s="5">
        <f>IF(O1836="","",IF(O1836&gt;0,1,0))</f>
        <v/>
      </c>
    </row>
    <row r="1837">
      <c r="A1837" s="5" t="n">
        <v>2111000000</v>
      </c>
      <c r="B1837" s="5" t="inlineStr">
        <is>
          <t>101463</t>
        </is>
      </c>
      <c r="C1837" s="5" t="inlineStr">
        <is>
          <t>ZURICH MINAS BRASIL SEGUROS S A</t>
        </is>
      </c>
      <c r="D1837" s="5" t="inlineStr">
        <is>
          <t>RE</t>
        </is>
      </c>
      <c r="E1837" s="5" t="n">
        <v>5013343</v>
      </c>
      <c r="F1837" s="5" t="inlineStr">
        <is>
          <t>0318/26</t>
        </is>
      </c>
      <c r="G1837" s="5" t="inlineStr">
        <is>
          <t>BRL</t>
        </is>
      </c>
      <c r="H1837" s="9" t="n">
        <v>-321.14</v>
      </c>
      <c r="I1837" s="16" t="n">
        <v>46226</v>
      </c>
      <c r="J1837" s="16" t="n">
        <v>46256</v>
      </c>
      <c r="K1837" s="5" t="inlineStr">
        <is>
          <t>Invoice Payment. SP: 20265</t>
        </is>
      </c>
      <c r="L1837" s="5" t="inlineStr">
        <is>
          <t>0318/26</t>
        </is>
      </c>
      <c r="M1837" s="5">
        <f>IF(YEAR(I1837)&lt;=2020,"Até 2020",TEXT(YEAR(I1837),"0"))</f>
        <v/>
      </c>
      <c r="N1837" s="5">
        <f>IFERROR(INDEX(DePara!$A:$A,MATCH(TEXT(B1837,"0"),DePara!$D:$D,0)),"(sem categoria)")</f>
        <v/>
      </c>
      <c r="O1837" s="5">
        <f>IF(J1837="","",Parametros!$B$6-J1837)</f>
        <v/>
      </c>
      <c r="P1837" s="5">
        <f>IF(O1837="","",IF(O1837&gt;0,1,0))</f>
        <v/>
      </c>
    </row>
    <row r="1838">
      <c r="A1838" s="5" t="n">
        <v>2111000000</v>
      </c>
      <c r="B1838" s="5" t="inlineStr">
        <is>
          <t>101463</t>
        </is>
      </c>
      <c r="C1838" s="5" t="inlineStr">
        <is>
          <t>ZURICH MINAS BRASIL SEGUROS S A</t>
        </is>
      </c>
      <c r="D1838" s="5" t="inlineStr">
        <is>
          <t>RE</t>
        </is>
      </c>
      <c r="E1838" s="5" t="n">
        <v>5013344</v>
      </c>
      <c r="F1838" s="5" t="inlineStr">
        <is>
          <t>0362/26</t>
        </is>
      </c>
      <c r="G1838" s="5" t="inlineStr">
        <is>
          <t>BRL</t>
        </is>
      </c>
      <c r="H1838" s="9" t="n">
        <v>-311.09</v>
      </c>
      <c r="I1838" s="16" t="n">
        <v>46226</v>
      </c>
      <c r="J1838" s="16" t="n">
        <v>46256</v>
      </c>
      <c r="K1838" s="5" t="inlineStr">
        <is>
          <t>Invoice Payment. SP: 20300</t>
        </is>
      </c>
      <c r="L1838" s="5" t="inlineStr">
        <is>
          <t>0362/26</t>
        </is>
      </c>
      <c r="M1838" s="5">
        <f>IF(YEAR(I1838)&lt;=2020,"Até 2020",TEXT(YEAR(I1838),"0"))</f>
        <v/>
      </c>
      <c r="N1838" s="5">
        <f>IFERROR(INDEX(DePara!$A:$A,MATCH(TEXT(B1838,"0"),DePara!$D:$D,0)),"(sem categoria)")</f>
        <v/>
      </c>
      <c r="O1838" s="5">
        <f>IF(J1838="","",Parametros!$B$6-J1838)</f>
        <v/>
      </c>
      <c r="P1838" s="5">
        <f>IF(O1838="","",IF(O1838&gt;0,1,0))</f>
        <v/>
      </c>
    </row>
    <row r="1839">
      <c r="A1839" s="5" t="n">
        <v>2111000000</v>
      </c>
      <c r="B1839" s="5" t="inlineStr">
        <is>
          <t>101463</t>
        </is>
      </c>
      <c r="C1839" s="5" t="inlineStr">
        <is>
          <t>ZURICH MINAS BRASIL SEGUROS S A</t>
        </is>
      </c>
      <c r="D1839" s="5" t="inlineStr">
        <is>
          <t>RE</t>
        </is>
      </c>
      <c r="E1839" s="5" t="n">
        <v>5013351</v>
      </c>
      <c r="F1839" s="5" t="inlineStr">
        <is>
          <t>0363/26</t>
        </is>
      </c>
      <c r="G1839" s="5" t="inlineStr">
        <is>
          <t>BRL</t>
        </is>
      </c>
      <c r="H1839" s="9" t="n">
        <v>-0.83</v>
      </c>
      <c r="I1839" s="16" t="n">
        <v>46226</v>
      </c>
      <c r="J1839" s="16" t="n">
        <v>46256</v>
      </c>
      <c r="K1839" s="5" t="inlineStr">
        <is>
          <t>Invoice Payment. SP: 20260</t>
        </is>
      </c>
      <c r="L1839" s="5" t="inlineStr">
        <is>
          <t>0363/26</t>
        </is>
      </c>
      <c r="M1839" s="5">
        <f>IF(YEAR(I1839)&lt;=2020,"Até 2020",TEXT(YEAR(I1839),"0"))</f>
        <v/>
      </c>
      <c r="N1839" s="5">
        <f>IFERROR(INDEX(DePara!$A:$A,MATCH(TEXT(B1839,"0"),DePara!$D:$D,0)),"(sem categoria)")</f>
        <v/>
      </c>
      <c r="O1839" s="5">
        <f>IF(J1839="","",Parametros!$B$6-J1839)</f>
        <v/>
      </c>
      <c r="P1839" s="5">
        <f>IF(O1839="","",IF(O1839&gt;0,1,0))</f>
        <v/>
      </c>
    </row>
    <row r="1840">
      <c r="A1840" s="5" t="n">
        <v>2111000000</v>
      </c>
      <c r="B1840" s="5" t="inlineStr">
        <is>
          <t>101463</t>
        </is>
      </c>
      <c r="C1840" s="5" t="inlineStr">
        <is>
          <t>ZURICH MINAS BRASIL SEGUROS S A</t>
        </is>
      </c>
      <c r="D1840" s="5" t="inlineStr">
        <is>
          <t>RE</t>
        </is>
      </c>
      <c r="E1840" s="5" t="n">
        <v>5013353</v>
      </c>
      <c r="F1840" s="5" t="inlineStr">
        <is>
          <t>0400/26</t>
        </is>
      </c>
      <c r="G1840" s="5" t="inlineStr">
        <is>
          <t>BRL</t>
        </is>
      </c>
      <c r="H1840" s="9" t="n">
        <v>-287.22</v>
      </c>
      <c r="I1840" s="16" t="n">
        <v>46226</v>
      </c>
      <c r="J1840" s="16" t="n">
        <v>46256</v>
      </c>
      <c r="K1840" s="5" t="inlineStr">
        <is>
          <t>Invoice Payment. SP: 20246</t>
        </is>
      </c>
      <c r="L1840" s="5" t="inlineStr">
        <is>
          <t>0400/26</t>
        </is>
      </c>
      <c r="M1840" s="5">
        <f>IF(YEAR(I1840)&lt;=2020,"Até 2020",TEXT(YEAR(I1840),"0"))</f>
        <v/>
      </c>
      <c r="N1840" s="5">
        <f>IFERROR(INDEX(DePara!$A:$A,MATCH(TEXT(B1840,"0"),DePara!$D:$D,0)),"(sem categoria)")</f>
        <v/>
      </c>
      <c r="O1840" s="5">
        <f>IF(J1840="","",Parametros!$B$6-J1840)</f>
        <v/>
      </c>
      <c r="P1840" s="5">
        <f>IF(O1840="","",IF(O1840&gt;0,1,0))</f>
        <v/>
      </c>
    </row>
    <row r="1841">
      <c r="A1841" s="5" t="n">
        <v>2111000000</v>
      </c>
      <c r="B1841" s="5" t="inlineStr">
        <is>
          <t>101463</t>
        </is>
      </c>
      <c r="C1841" s="5" t="inlineStr">
        <is>
          <t>ZURICH MINAS BRASIL SEGUROS S A</t>
        </is>
      </c>
      <c r="D1841" s="5" t="inlineStr">
        <is>
          <t>RE</t>
        </is>
      </c>
      <c r="E1841" s="5" t="n">
        <v>5013354</v>
      </c>
      <c r="F1841" s="5" t="inlineStr">
        <is>
          <t>0439/26</t>
        </is>
      </c>
      <c r="G1841" s="5" t="inlineStr">
        <is>
          <t>BRL</t>
        </is>
      </c>
      <c r="H1841" s="9" t="n">
        <v>-641.76</v>
      </c>
      <c r="I1841" s="16" t="n">
        <v>46226</v>
      </c>
      <c r="J1841" s="16" t="n">
        <v>46256</v>
      </c>
      <c r="K1841" s="5" t="inlineStr">
        <is>
          <t>Invoice Payment. SP: 20278</t>
        </is>
      </c>
      <c r="L1841" s="5" t="inlineStr">
        <is>
          <t>0439/26</t>
        </is>
      </c>
      <c r="M1841" s="5">
        <f>IF(YEAR(I1841)&lt;=2020,"Até 2020",TEXT(YEAR(I1841),"0"))</f>
        <v/>
      </c>
      <c r="N1841" s="5">
        <f>IFERROR(INDEX(DePara!$A:$A,MATCH(TEXT(B1841,"0"),DePara!$D:$D,0)),"(sem categoria)")</f>
        <v/>
      </c>
      <c r="O1841" s="5">
        <f>IF(J1841="","",Parametros!$B$6-J1841)</f>
        <v/>
      </c>
      <c r="P1841" s="5">
        <f>IF(O1841="","",IF(O1841&gt;0,1,0))</f>
        <v/>
      </c>
    </row>
    <row r="1842">
      <c r="A1842" s="5" t="n">
        <v>2111000000</v>
      </c>
      <c r="B1842" s="5" t="inlineStr">
        <is>
          <t>101463</t>
        </is>
      </c>
      <c r="C1842" s="5" t="inlineStr">
        <is>
          <t>ZURICH MINAS BRASIL SEGUROS S A</t>
        </is>
      </c>
      <c r="D1842" s="5" t="inlineStr">
        <is>
          <t>RE</t>
        </is>
      </c>
      <c r="E1842" s="5" t="n">
        <v>5013355</v>
      </c>
      <c r="F1842" s="5" t="inlineStr">
        <is>
          <t>0355/26</t>
        </is>
      </c>
      <c r="G1842" s="5" t="inlineStr">
        <is>
          <t>BRL</t>
        </is>
      </c>
      <c r="H1842" s="9" t="n">
        <v>-5325.1</v>
      </c>
      <c r="I1842" s="16" t="n">
        <v>46226</v>
      </c>
      <c r="J1842" s="16" t="n">
        <v>46256</v>
      </c>
      <c r="K1842" s="5" t="inlineStr">
        <is>
          <t>Invoice Payment. SP: 20298</t>
        </is>
      </c>
      <c r="L1842" s="5" t="inlineStr">
        <is>
          <t>0355/26</t>
        </is>
      </c>
      <c r="M1842" s="5">
        <f>IF(YEAR(I1842)&lt;=2020,"Até 2020",TEXT(YEAR(I1842),"0"))</f>
        <v/>
      </c>
      <c r="N1842" s="5">
        <f>IFERROR(INDEX(DePara!$A:$A,MATCH(TEXT(B1842,"0"),DePara!$D:$D,0)),"(sem categoria)")</f>
        <v/>
      </c>
      <c r="O1842" s="5">
        <f>IF(J1842="","",Parametros!$B$6-J1842)</f>
        <v/>
      </c>
      <c r="P1842" s="5">
        <f>IF(O1842="","",IF(O1842&gt;0,1,0))</f>
        <v/>
      </c>
    </row>
    <row r="1843">
      <c r="A1843" s="5" t="n">
        <v>2111000000</v>
      </c>
      <c r="B1843" s="5" t="inlineStr">
        <is>
          <t>101463</t>
        </is>
      </c>
      <c r="C1843" s="5" t="inlineStr">
        <is>
          <t>ZURICH MINAS BRASIL SEGUROS S A</t>
        </is>
      </c>
      <c r="D1843" s="5" t="inlineStr">
        <is>
          <t>RE</t>
        </is>
      </c>
      <c r="E1843" s="5" t="n">
        <v>5013357</v>
      </c>
      <c r="F1843" s="5" t="inlineStr">
        <is>
          <t>0379/26</t>
        </is>
      </c>
      <c r="G1843" s="5" t="inlineStr">
        <is>
          <t>BRL</t>
        </is>
      </c>
      <c r="H1843" s="9" t="n">
        <v>-0.29</v>
      </c>
      <c r="I1843" s="16" t="n">
        <v>46226</v>
      </c>
      <c r="J1843" s="16" t="n">
        <v>46256</v>
      </c>
      <c r="K1843" s="5" t="inlineStr">
        <is>
          <t>Invoice Payment. SP: 20240</t>
        </is>
      </c>
      <c r="L1843" s="5" t="inlineStr">
        <is>
          <t>0379/26</t>
        </is>
      </c>
      <c r="M1843" s="5">
        <f>IF(YEAR(I1843)&lt;=2020,"Até 2020",TEXT(YEAR(I1843),"0"))</f>
        <v/>
      </c>
      <c r="N1843" s="5">
        <f>IFERROR(INDEX(DePara!$A:$A,MATCH(TEXT(B1843,"0"),DePara!$D:$D,0)),"(sem categoria)")</f>
        <v/>
      </c>
      <c r="O1843" s="5">
        <f>IF(J1843="","",Parametros!$B$6-J1843)</f>
        <v/>
      </c>
      <c r="P1843" s="5">
        <f>IF(O1843="","",IF(O1843&gt;0,1,0))</f>
        <v/>
      </c>
    </row>
    <row r="1844">
      <c r="A1844" s="5" t="n">
        <v>2111000000</v>
      </c>
      <c r="B1844" s="5" t="inlineStr">
        <is>
          <t>101463</t>
        </is>
      </c>
      <c r="C1844" s="5" t="inlineStr">
        <is>
          <t>ZURICH MINAS BRASIL SEGUROS S A</t>
        </is>
      </c>
      <c r="D1844" s="5" t="inlineStr">
        <is>
          <t>RE</t>
        </is>
      </c>
      <c r="E1844" s="5" t="n">
        <v>5013364</v>
      </c>
      <c r="F1844" s="5" t="inlineStr">
        <is>
          <t>0395/26</t>
        </is>
      </c>
      <c r="G1844" s="5" t="inlineStr">
        <is>
          <t>BRL</t>
        </is>
      </c>
      <c r="H1844" s="9" t="n">
        <v>-0.12</v>
      </c>
      <c r="I1844" s="16" t="n">
        <v>46226</v>
      </c>
      <c r="J1844" s="16" t="n">
        <v>46256</v>
      </c>
      <c r="K1844" s="5" t="inlineStr">
        <is>
          <t>Invoice Payment. SP: 20242</t>
        </is>
      </c>
      <c r="L1844" s="5" t="inlineStr">
        <is>
          <t>0395/26</t>
        </is>
      </c>
      <c r="M1844" s="5">
        <f>IF(YEAR(I1844)&lt;=2020,"Até 2020",TEXT(YEAR(I1844),"0"))</f>
        <v/>
      </c>
      <c r="N1844" s="5">
        <f>IFERROR(INDEX(DePara!$A:$A,MATCH(TEXT(B1844,"0"),DePara!$D:$D,0)),"(sem categoria)")</f>
        <v/>
      </c>
      <c r="O1844" s="5">
        <f>IF(J1844="","",Parametros!$B$6-J1844)</f>
        <v/>
      </c>
      <c r="P1844" s="5">
        <f>IF(O1844="","",IF(O1844&gt;0,1,0))</f>
        <v/>
      </c>
    </row>
    <row r="1845">
      <c r="A1845" s="5" t="n">
        <v>2111000000</v>
      </c>
      <c r="B1845" s="5" t="inlineStr">
        <is>
          <t>101463</t>
        </is>
      </c>
      <c r="C1845" s="5" t="inlineStr">
        <is>
          <t>ZURICH MINAS BRASIL SEGUROS S A</t>
        </is>
      </c>
      <c r="D1845" s="5" t="inlineStr">
        <is>
          <t>RE</t>
        </is>
      </c>
      <c r="E1845" s="5" t="n">
        <v>5013365</v>
      </c>
      <c r="F1845" s="5" t="inlineStr">
        <is>
          <t>0438/26</t>
        </is>
      </c>
      <c r="G1845" s="5" t="inlineStr">
        <is>
          <t>BRL</t>
        </is>
      </c>
      <c r="H1845" s="9" t="n">
        <v>-125.17</v>
      </c>
      <c r="I1845" s="16" t="n">
        <v>46226</v>
      </c>
      <c r="J1845" s="16" t="n">
        <v>46256</v>
      </c>
      <c r="K1845" s="5" t="inlineStr">
        <is>
          <t>Invoice Payment. SP: 20271</t>
        </is>
      </c>
      <c r="L1845" s="5" t="inlineStr">
        <is>
          <t>0438/26</t>
        </is>
      </c>
      <c r="M1845" s="5">
        <f>IF(YEAR(I1845)&lt;=2020,"Até 2020",TEXT(YEAR(I1845),"0"))</f>
        <v/>
      </c>
      <c r="N1845" s="5">
        <f>IFERROR(INDEX(DePara!$A:$A,MATCH(TEXT(B1845,"0"),DePara!$D:$D,0)),"(sem categoria)")</f>
        <v/>
      </c>
      <c r="O1845" s="5">
        <f>IF(J1845="","",Parametros!$B$6-J1845)</f>
        <v/>
      </c>
      <c r="P1845" s="5">
        <f>IF(O1845="","",IF(O1845&gt;0,1,0))</f>
        <v/>
      </c>
    </row>
    <row r="1846">
      <c r="A1846" s="5" t="n">
        <v>2111000000</v>
      </c>
      <c r="B1846" s="5" t="inlineStr">
        <is>
          <t>101463</t>
        </is>
      </c>
      <c r="C1846" s="5" t="inlineStr">
        <is>
          <t>ZURICH MINAS BRASIL SEGUROS S A</t>
        </is>
      </c>
      <c r="D1846" s="5" t="inlineStr">
        <is>
          <t>RE</t>
        </is>
      </c>
      <c r="E1846" s="5" t="n">
        <v>5013366</v>
      </c>
      <c r="F1846" s="5" t="inlineStr">
        <is>
          <t>0416/26</t>
        </is>
      </c>
      <c r="G1846" s="5" t="inlineStr">
        <is>
          <t>BRL</t>
        </is>
      </c>
      <c r="H1846" s="9" t="n">
        <v>-52.31</v>
      </c>
      <c r="I1846" s="16" t="n">
        <v>46226</v>
      </c>
      <c r="J1846" s="16" t="n">
        <v>46256</v>
      </c>
      <c r="K1846" s="5" t="inlineStr">
        <is>
          <t>Invoice Payment. SP: 20244</t>
        </is>
      </c>
      <c r="L1846" s="5" t="inlineStr">
        <is>
          <t>0416/26</t>
        </is>
      </c>
      <c r="M1846" s="5">
        <f>IF(YEAR(I1846)&lt;=2020,"Até 2020",TEXT(YEAR(I1846),"0"))</f>
        <v/>
      </c>
      <c r="N1846" s="5">
        <f>IFERROR(INDEX(DePara!$A:$A,MATCH(TEXT(B1846,"0"),DePara!$D:$D,0)),"(sem categoria)")</f>
        <v/>
      </c>
      <c r="O1846" s="5">
        <f>IF(J1846="","",Parametros!$B$6-J1846)</f>
        <v/>
      </c>
      <c r="P1846" s="5">
        <f>IF(O1846="","",IF(O1846&gt;0,1,0))</f>
        <v/>
      </c>
    </row>
    <row r="1847">
      <c r="A1847" s="5" t="n">
        <v>2111000000</v>
      </c>
      <c r="B1847" s="5" t="inlineStr">
        <is>
          <t>101463</t>
        </is>
      </c>
      <c r="C1847" s="5" t="inlineStr">
        <is>
          <t>ZURICH MINAS BRASIL SEGUROS S A</t>
        </is>
      </c>
      <c r="D1847" s="5" t="inlineStr">
        <is>
          <t>RE</t>
        </is>
      </c>
      <c r="E1847" s="5" t="n">
        <v>5013368</v>
      </c>
      <c r="F1847" s="5" t="inlineStr">
        <is>
          <t>0384/26</t>
        </is>
      </c>
      <c r="G1847" s="5" t="inlineStr">
        <is>
          <t>BRL</t>
        </is>
      </c>
      <c r="H1847" s="9" t="n">
        <v>-848.04</v>
      </c>
      <c r="I1847" s="16" t="n">
        <v>46226</v>
      </c>
      <c r="J1847" s="16" t="n">
        <v>46256</v>
      </c>
      <c r="K1847" s="5" t="inlineStr">
        <is>
          <t>Invoice Payment. SP: 20269</t>
        </is>
      </c>
      <c r="L1847" s="5" t="inlineStr">
        <is>
          <t>0384/26</t>
        </is>
      </c>
      <c r="M1847" s="5">
        <f>IF(YEAR(I1847)&lt;=2020,"Até 2020",TEXT(YEAR(I1847),"0"))</f>
        <v/>
      </c>
      <c r="N1847" s="5">
        <f>IFERROR(INDEX(DePara!$A:$A,MATCH(TEXT(B1847,"0"),DePara!$D:$D,0)),"(sem categoria)")</f>
        <v/>
      </c>
      <c r="O1847" s="5">
        <f>IF(J1847="","",Parametros!$B$6-J1847)</f>
        <v/>
      </c>
      <c r="P1847" s="5">
        <f>IF(O1847="","",IF(O1847&gt;0,1,0))</f>
        <v/>
      </c>
    </row>
    <row r="1848">
      <c r="A1848" s="5" t="n">
        <v>2111000000</v>
      </c>
      <c r="B1848" s="5" t="inlineStr">
        <is>
          <t>101463</t>
        </is>
      </c>
      <c r="C1848" s="5" t="inlineStr">
        <is>
          <t>ZURICH MINAS BRASIL SEGUROS S A</t>
        </is>
      </c>
      <c r="D1848" s="5" t="inlineStr">
        <is>
          <t>RE</t>
        </is>
      </c>
      <c r="E1848" s="5" t="n">
        <v>5013369</v>
      </c>
      <c r="F1848" s="5" t="inlineStr">
        <is>
          <t>0387/26</t>
        </is>
      </c>
      <c r="G1848" s="5" t="inlineStr">
        <is>
          <t>BRL</t>
        </is>
      </c>
      <c r="H1848" s="9" t="n">
        <v>-608.48</v>
      </c>
      <c r="I1848" s="16" t="n">
        <v>46226</v>
      </c>
      <c r="J1848" s="16" t="n">
        <v>46256</v>
      </c>
      <c r="K1848" s="5" t="inlineStr">
        <is>
          <t>Invoice Payment. SP: 20267</t>
        </is>
      </c>
      <c r="L1848" s="5" t="inlineStr">
        <is>
          <t>0387/26</t>
        </is>
      </c>
      <c r="M1848" s="5">
        <f>IF(YEAR(I1848)&lt;=2020,"Até 2020",TEXT(YEAR(I1848),"0"))</f>
        <v/>
      </c>
      <c r="N1848" s="5">
        <f>IFERROR(INDEX(DePara!$A:$A,MATCH(TEXT(B1848,"0"),DePara!$D:$D,0)),"(sem categoria)")</f>
        <v/>
      </c>
      <c r="O1848" s="5">
        <f>IF(J1848="","",Parametros!$B$6-J1848)</f>
        <v/>
      </c>
      <c r="P1848" s="5">
        <f>IF(O1848="","",IF(O1848&gt;0,1,0))</f>
        <v/>
      </c>
    </row>
    <row r="1849">
      <c r="A1849" s="5" t="n">
        <v>2111000000</v>
      </c>
      <c r="B1849" s="5" t="inlineStr">
        <is>
          <t>101463</t>
        </is>
      </c>
      <c r="C1849" s="5" t="inlineStr">
        <is>
          <t>ZURICH MINAS BRASIL SEGUROS S A</t>
        </is>
      </c>
      <c r="D1849" s="5" t="inlineStr">
        <is>
          <t>RE</t>
        </is>
      </c>
      <c r="E1849" s="5" t="n">
        <v>5013370</v>
      </c>
      <c r="F1849" s="5" t="inlineStr">
        <is>
          <t>0394/26</t>
        </is>
      </c>
      <c r="G1849" s="5" t="inlineStr">
        <is>
          <t>BRL</t>
        </is>
      </c>
      <c r="H1849" s="9" t="n">
        <v>-778.66</v>
      </c>
      <c r="I1849" s="16" t="n">
        <v>46226</v>
      </c>
      <c r="J1849" s="16" t="n">
        <v>46256</v>
      </c>
      <c r="K1849" s="5" t="inlineStr">
        <is>
          <t>Invoice Payment. SP: 20258</t>
        </is>
      </c>
      <c r="L1849" s="5" t="inlineStr">
        <is>
          <t>0394/26</t>
        </is>
      </c>
      <c r="M1849" s="5">
        <f>IF(YEAR(I1849)&lt;=2020,"Até 2020",TEXT(YEAR(I1849),"0"))</f>
        <v/>
      </c>
      <c r="N1849" s="5">
        <f>IFERROR(INDEX(DePara!$A:$A,MATCH(TEXT(B1849,"0"),DePara!$D:$D,0)),"(sem categoria)")</f>
        <v/>
      </c>
      <c r="O1849" s="5">
        <f>IF(J1849="","",Parametros!$B$6-J1849)</f>
        <v/>
      </c>
      <c r="P1849" s="5">
        <f>IF(O1849="","",IF(O1849&gt;0,1,0))</f>
        <v/>
      </c>
    </row>
    <row r="1850">
      <c r="A1850" s="5" t="n">
        <v>2111000000</v>
      </c>
      <c r="B1850" s="5" t="inlineStr">
        <is>
          <t>101463</t>
        </is>
      </c>
      <c r="C1850" s="5" t="inlineStr">
        <is>
          <t>ZURICH MINAS BRASIL SEGUROS S A</t>
        </is>
      </c>
      <c r="D1850" s="5" t="inlineStr">
        <is>
          <t>RE</t>
        </is>
      </c>
      <c r="E1850" s="5" t="n">
        <v>5013371</v>
      </c>
      <c r="F1850" s="5" t="inlineStr">
        <is>
          <t>0356/26E</t>
        </is>
      </c>
      <c r="G1850" s="5" t="inlineStr">
        <is>
          <t>BRL</t>
        </is>
      </c>
      <c r="H1850" s="9" t="n">
        <v>-346.17</v>
      </c>
      <c r="I1850" s="16" t="n">
        <v>46226</v>
      </c>
      <c r="J1850" s="16" t="n">
        <v>46226</v>
      </c>
      <c r="K1850" s="5" t="inlineStr">
        <is>
          <t>Invoice Payment. SP: 20239</t>
        </is>
      </c>
      <c r="L1850" s="5" t="inlineStr">
        <is>
          <t>0356/26E</t>
        </is>
      </c>
      <c r="M1850" s="5">
        <f>IF(YEAR(I1850)&lt;=2020,"Até 2020",TEXT(YEAR(I1850),"0"))</f>
        <v/>
      </c>
      <c r="N1850" s="5">
        <f>IFERROR(INDEX(DePara!$A:$A,MATCH(TEXT(B1850,"0"),DePara!$D:$D,0)),"(sem categoria)")</f>
        <v/>
      </c>
      <c r="O1850" s="5">
        <f>IF(J1850="","",Parametros!$B$6-J1850)</f>
        <v/>
      </c>
      <c r="P1850" s="5">
        <f>IF(O1850="","",IF(O1850&gt;0,1,0))</f>
        <v/>
      </c>
    </row>
    <row r="1851">
      <c r="A1851" s="5" t="n">
        <v>2111000000</v>
      </c>
      <c r="B1851" s="5" t="inlineStr">
        <is>
          <t>100883</t>
        </is>
      </c>
      <c r="C1851" s="5" t="inlineStr">
        <is>
          <t>QUELMAR TRANSPORTES LTDA</t>
        </is>
      </c>
      <c r="D1851" s="5" t="inlineStr">
        <is>
          <t>RE</t>
        </is>
      </c>
      <c r="E1851" s="5" t="n">
        <v>5013374</v>
      </c>
      <c r="F1851" s="5" t="inlineStr">
        <is>
          <t>6178-2</t>
        </is>
      </c>
      <c r="G1851" s="5" t="inlineStr">
        <is>
          <t>BRL</t>
        </is>
      </c>
      <c r="H1851" s="9" t="n">
        <v>-2980</v>
      </c>
      <c r="I1851" s="16" t="n">
        <v>46206</v>
      </c>
      <c r="J1851" s="16" t="n">
        <v>46270</v>
      </c>
      <c r="K1851" s="5" t="inlineStr">
        <is>
          <t>Fatura - bruto QUELMAR TRANSPORTES LTDA 6178-2</t>
        </is>
      </c>
      <c r="L1851" s="5" t="inlineStr">
        <is>
          <t>08092026</t>
        </is>
      </c>
      <c r="M1851" s="5">
        <f>IF(YEAR(I1851)&lt;=2020,"Até 2020",TEXT(YEAR(I1851),"0"))</f>
        <v/>
      </c>
      <c r="N1851" s="5">
        <f>IFERROR(INDEX(DePara!$A:$A,MATCH(TEXT(B1851,"0"),DePara!$D:$D,0)),"(sem categoria)")</f>
        <v/>
      </c>
      <c r="O1851" s="5">
        <f>IF(J1851="","",Parametros!$B$6-J1851)</f>
        <v/>
      </c>
      <c r="P1851" s="5">
        <f>IF(O1851="","",IF(O1851&gt;0,1,0))</f>
        <v/>
      </c>
    </row>
    <row r="1852">
      <c r="A1852" s="5" t="n">
        <v>2111000000</v>
      </c>
      <c r="B1852" s="5" t="inlineStr">
        <is>
          <t>100883</t>
        </is>
      </c>
      <c r="C1852" s="5" t="inlineStr">
        <is>
          <t>QUELMAR TRANSPORTES LTDA</t>
        </is>
      </c>
      <c r="D1852" s="5" t="inlineStr">
        <is>
          <t>RE</t>
        </is>
      </c>
      <c r="E1852" s="5" t="n">
        <v>5013375</v>
      </c>
      <c r="F1852" s="5" t="inlineStr">
        <is>
          <t>6179-2</t>
        </is>
      </c>
      <c r="G1852" s="5" t="inlineStr">
        <is>
          <t>BRL</t>
        </is>
      </c>
      <c r="H1852" s="9" t="n">
        <v>-5795</v>
      </c>
      <c r="I1852" s="16" t="n">
        <v>46206</v>
      </c>
      <c r="J1852" s="16" t="n">
        <v>46270</v>
      </c>
      <c r="K1852" s="5" t="inlineStr">
        <is>
          <t>Fatura - bruto QUELMAR TRANSPORTES LTDA 6179-2</t>
        </is>
      </c>
      <c r="L1852" s="5" t="inlineStr">
        <is>
          <t>08092026</t>
        </is>
      </c>
      <c r="M1852" s="5">
        <f>IF(YEAR(I1852)&lt;=2020,"Até 2020",TEXT(YEAR(I1852),"0"))</f>
        <v/>
      </c>
      <c r="N1852" s="5">
        <f>IFERROR(INDEX(DePara!$A:$A,MATCH(TEXT(B1852,"0"),DePara!$D:$D,0)),"(sem categoria)")</f>
        <v/>
      </c>
      <c r="O1852" s="5">
        <f>IF(J1852="","",Parametros!$B$6-J1852)</f>
        <v/>
      </c>
      <c r="P1852" s="5">
        <f>IF(O1852="","",IF(O1852&gt;0,1,0))</f>
        <v/>
      </c>
    </row>
    <row r="1853">
      <c r="A1853" s="5" t="n">
        <v>2111000000</v>
      </c>
      <c r="B1853" s="5" t="inlineStr">
        <is>
          <t>100883</t>
        </is>
      </c>
      <c r="C1853" s="5" t="inlineStr">
        <is>
          <t>QUELMAR TRANSPORTES LTDA</t>
        </is>
      </c>
      <c r="D1853" s="5" t="inlineStr">
        <is>
          <t>RE</t>
        </is>
      </c>
      <c r="E1853" s="5" t="n">
        <v>5013376</v>
      </c>
      <c r="F1853" s="5" t="inlineStr">
        <is>
          <t>6198-2</t>
        </is>
      </c>
      <c r="G1853" s="5" t="inlineStr">
        <is>
          <t>BRL</t>
        </is>
      </c>
      <c r="H1853" s="9" t="n">
        <v>-5790</v>
      </c>
      <c r="I1853" s="16" t="n">
        <v>46213</v>
      </c>
      <c r="J1853" s="16" t="n">
        <v>46270</v>
      </c>
      <c r="K1853" s="5" t="inlineStr">
        <is>
          <t>Fatura - bruto QUELMAR TRANSPORTES LTDA 6198-2</t>
        </is>
      </c>
      <c r="L1853" s="5" t="inlineStr">
        <is>
          <t>08092026</t>
        </is>
      </c>
      <c r="M1853" s="5">
        <f>IF(YEAR(I1853)&lt;=2020,"Até 2020",TEXT(YEAR(I1853),"0"))</f>
        <v/>
      </c>
      <c r="N1853" s="5">
        <f>IFERROR(INDEX(DePara!$A:$A,MATCH(TEXT(B1853,"0"),DePara!$D:$D,0)),"(sem categoria)")</f>
        <v/>
      </c>
      <c r="O1853" s="5">
        <f>IF(J1853="","",Parametros!$B$6-J1853)</f>
        <v/>
      </c>
      <c r="P1853" s="5">
        <f>IF(O1853="","",IF(O1853&gt;0,1,0))</f>
        <v/>
      </c>
    </row>
    <row r="1854">
      <c r="A1854" s="5" t="n">
        <v>2111000000</v>
      </c>
      <c r="B1854" s="5" t="inlineStr">
        <is>
          <t>100883</t>
        </is>
      </c>
      <c r="C1854" s="5" t="inlineStr">
        <is>
          <t>QUELMAR TRANSPORTES LTDA</t>
        </is>
      </c>
      <c r="D1854" s="5" t="inlineStr">
        <is>
          <t>RE</t>
        </is>
      </c>
      <c r="E1854" s="5" t="n">
        <v>5013377</v>
      </c>
      <c r="F1854" s="5" t="inlineStr">
        <is>
          <t>6211-2</t>
        </is>
      </c>
      <c r="G1854" s="5" t="inlineStr">
        <is>
          <t>BRL</t>
        </is>
      </c>
      <c r="H1854" s="9" t="n">
        <v>-3750</v>
      </c>
      <c r="I1854" s="16" t="n">
        <v>46216</v>
      </c>
      <c r="J1854" s="16" t="n">
        <v>46270</v>
      </c>
      <c r="K1854" s="5" t="inlineStr">
        <is>
          <t>Fatura - bruto QUELMAR TRANSPORTES LTDA 6211-2</t>
        </is>
      </c>
      <c r="L1854" s="5" t="inlineStr">
        <is>
          <t>08092026</t>
        </is>
      </c>
      <c r="M1854" s="5">
        <f>IF(YEAR(I1854)&lt;=2020,"Até 2020",TEXT(YEAR(I1854),"0"))</f>
        <v/>
      </c>
      <c r="N1854" s="5">
        <f>IFERROR(INDEX(DePara!$A:$A,MATCH(TEXT(B1854,"0"),DePara!$D:$D,0)),"(sem categoria)")</f>
        <v/>
      </c>
      <c r="O1854" s="5">
        <f>IF(J1854="","",Parametros!$B$6-J1854)</f>
        <v/>
      </c>
      <c r="P1854" s="5">
        <f>IF(O1854="","",IF(O1854&gt;0,1,0))</f>
        <v/>
      </c>
    </row>
    <row r="1855">
      <c r="A1855" s="5" t="n">
        <v>2111000000</v>
      </c>
      <c r="B1855" s="5" t="inlineStr">
        <is>
          <t>101463</t>
        </is>
      </c>
      <c r="C1855" s="5" t="inlineStr">
        <is>
          <t>ZURICH MINAS BRASIL SEGUROS S A</t>
        </is>
      </c>
      <c r="D1855" s="5" t="inlineStr">
        <is>
          <t>RE</t>
        </is>
      </c>
      <c r="E1855" s="5" t="n">
        <v>5013392</v>
      </c>
      <c r="F1855" s="5" t="inlineStr">
        <is>
          <t>0193/26</t>
        </is>
      </c>
      <c r="G1855" s="5" t="inlineStr">
        <is>
          <t>BRL</t>
        </is>
      </c>
      <c r="H1855" s="9" t="n">
        <v>-3302.94</v>
      </c>
      <c r="I1855" s="16" t="n">
        <v>46226</v>
      </c>
      <c r="J1855" s="16" t="n">
        <v>46256</v>
      </c>
      <c r="K1855" s="5" t="inlineStr">
        <is>
          <t>Invoice Payment. SP: 20338</t>
        </is>
      </c>
      <c r="L1855" s="5" t="inlineStr">
        <is>
          <t>0193/26</t>
        </is>
      </c>
      <c r="M1855" s="5">
        <f>IF(YEAR(I1855)&lt;=2020,"Até 2020",TEXT(YEAR(I1855),"0"))</f>
        <v/>
      </c>
      <c r="N1855" s="5">
        <f>IFERROR(INDEX(DePara!$A:$A,MATCH(TEXT(B1855,"0"),DePara!$D:$D,0)),"(sem categoria)")</f>
        <v/>
      </c>
      <c r="O1855" s="5">
        <f>IF(J1855="","",Parametros!$B$6-J1855)</f>
        <v/>
      </c>
      <c r="P1855" s="5">
        <f>IF(O1855="","",IF(O1855&gt;0,1,0))</f>
        <v/>
      </c>
    </row>
    <row r="1856">
      <c r="A1856" s="5" t="n">
        <v>2111000000</v>
      </c>
      <c r="B1856" s="5" t="inlineStr">
        <is>
          <t>101463</t>
        </is>
      </c>
      <c r="C1856" s="5" t="inlineStr">
        <is>
          <t>ZURICH MINAS BRASIL SEGUROS S A</t>
        </is>
      </c>
      <c r="D1856" s="5" t="inlineStr">
        <is>
          <t>RE</t>
        </is>
      </c>
      <c r="E1856" s="5" t="n">
        <v>5013396</v>
      </c>
      <c r="F1856" s="5" t="inlineStr">
        <is>
          <t>0199/26</t>
        </is>
      </c>
      <c r="G1856" s="5" t="inlineStr">
        <is>
          <t>BRL</t>
        </is>
      </c>
      <c r="H1856" s="9" t="n">
        <v>-46226.12</v>
      </c>
      <c r="I1856" s="16" t="n">
        <v>46227</v>
      </c>
      <c r="J1856" s="16" t="n">
        <v>46257</v>
      </c>
      <c r="K1856" s="5" t="inlineStr">
        <is>
          <t>Invoice Payment. SP: 20358</t>
        </is>
      </c>
      <c r="L1856" s="5" t="inlineStr">
        <is>
          <t>0199/26</t>
        </is>
      </c>
      <c r="M1856" s="5">
        <f>IF(YEAR(I1856)&lt;=2020,"Até 2020",TEXT(YEAR(I1856),"0"))</f>
        <v/>
      </c>
      <c r="N1856" s="5">
        <f>IFERROR(INDEX(DePara!$A:$A,MATCH(TEXT(B1856,"0"),DePara!$D:$D,0)),"(sem categoria)")</f>
        <v/>
      </c>
      <c r="O1856" s="5">
        <f>IF(J1856="","",Parametros!$B$6-J1856)</f>
        <v/>
      </c>
      <c r="P1856" s="5">
        <f>IF(O1856="","",IF(O1856&gt;0,1,0))</f>
        <v/>
      </c>
    </row>
    <row r="1857">
      <c r="A1857" s="5" t="n">
        <v>2111000000</v>
      </c>
      <c r="B1857" s="5" t="inlineStr">
        <is>
          <t>101463</t>
        </is>
      </c>
      <c r="C1857" s="5" t="inlineStr">
        <is>
          <t>ZURICH MINAS BRASIL SEGUROS S A</t>
        </is>
      </c>
      <c r="D1857" s="5" t="inlineStr">
        <is>
          <t>RE</t>
        </is>
      </c>
      <c r="E1857" s="5" t="n">
        <v>5013400</v>
      </c>
      <c r="F1857" s="5" t="inlineStr">
        <is>
          <t>0271/26</t>
        </is>
      </c>
      <c r="G1857" s="5" t="inlineStr">
        <is>
          <t>BRL</t>
        </is>
      </c>
      <c r="H1857" s="9" t="n">
        <v>-20903.39</v>
      </c>
      <c r="I1857" s="16" t="n">
        <v>46227</v>
      </c>
      <c r="J1857" s="16" t="n">
        <v>46257</v>
      </c>
      <c r="K1857" s="5" t="inlineStr">
        <is>
          <t>Invoice Payment. SP: 20360</t>
        </is>
      </c>
      <c r="L1857" s="5" t="inlineStr">
        <is>
          <t>0271/26</t>
        </is>
      </c>
      <c r="M1857" s="5">
        <f>IF(YEAR(I1857)&lt;=2020,"Até 2020",TEXT(YEAR(I1857),"0"))</f>
        <v/>
      </c>
      <c r="N1857" s="5">
        <f>IFERROR(INDEX(DePara!$A:$A,MATCH(TEXT(B1857,"0"),DePara!$D:$D,0)),"(sem categoria)")</f>
        <v/>
      </c>
      <c r="O1857" s="5">
        <f>IF(J1857="","",Parametros!$B$6-J1857)</f>
        <v/>
      </c>
      <c r="P1857" s="5">
        <f>IF(O1857="","",IF(O1857&gt;0,1,0))</f>
        <v/>
      </c>
    </row>
    <row r="1858">
      <c r="A1858" s="5" t="n">
        <v>2111000000</v>
      </c>
      <c r="B1858" s="5" t="inlineStr">
        <is>
          <t>100883</t>
        </is>
      </c>
      <c r="C1858" s="5" t="inlineStr">
        <is>
          <t>QUELMAR TRANSPORTES LTDA</t>
        </is>
      </c>
      <c r="D1858" s="5" t="inlineStr">
        <is>
          <t>RE</t>
        </is>
      </c>
      <c r="E1858" s="5" t="n">
        <v>5013406</v>
      </c>
      <c r="F1858" s="5" t="inlineStr">
        <is>
          <t>6177-2</t>
        </is>
      </c>
      <c r="G1858" s="5" t="inlineStr">
        <is>
          <t>BRL</t>
        </is>
      </c>
      <c r="H1858" s="9" t="n">
        <v>-5900</v>
      </c>
      <c r="I1858" s="16" t="n">
        <v>46206</v>
      </c>
      <c r="J1858" s="16" t="n">
        <v>46270</v>
      </c>
      <c r="K1858" s="5" t="inlineStr">
        <is>
          <t>Fatura - bruto QUELMAR TRANSPORTES LTDA 6177-2</t>
        </is>
      </c>
      <c r="L1858" s="5" t="inlineStr">
        <is>
          <t>08092026</t>
        </is>
      </c>
      <c r="M1858" s="5">
        <f>IF(YEAR(I1858)&lt;=2020,"Até 2020",TEXT(YEAR(I1858),"0"))</f>
        <v/>
      </c>
      <c r="N1858" s="5">
        <f>IFERROR(INDEX(DePara!$A:$A,MATCH(TEXT(B1858,"0"),DePara!$D:$D,0)),"(sem categoria)")</f>
        <v/>
      </c>
      <c r="O1858" s="5">
        <f>IF(J1858="","",Parametros!$B$6-J1858)</f>
        <v/>
      </c>
      <c r="P1858" s="5">
        <f>IF(O1858="","",IF(O1858&gt;0,1,0))</f>
        <v/>
      </c>
    </row>
    <row r="1859">
      <c r="A1859" s="5" t="n">
        <v>2111000000</v>
      </c>
      <c r="B1859" s="5" t="inlineStr">
        <is>
          <t>100883</t>
        </is>
      </c>
      <c r="C1859" s="5" t="inlineStr">
        <is>
          <t>QUELMAR TRANSPORTES LTDA</t>
        </is>
      </c>
      <c r="D1859" s="5" t="inlineStr">
        <is>
          <t>RE</t>
        </is>
      </c>
      <c r="E1859" s="5" t="n">
        <v>5013407</v>
      </c>
      <c r="F1859" s="5" t="inlineStr">
        <is>
          <t>6192-2</t>
        </is>
      </c>
      <c r="G1859" s="5" t="inlineStr">
        <is>
          <t>BRL</t>
        </is>
      </c>
      <c r="H1859" s="9" t="n">
        <v>-5702.4</v>
      </c>
      <c r="I1859" s="16" t="n">
        <v>46211</v>
      </c>
      <c r="J1859" s="16" t="n">
        <v>46270</v>
      </c>
      <c r="K1859" s="5" t="inlineStr">
        <is>
          <t>Fatura - bruto QUELMAR TRANSPORTES LTDA 6192-2</t>
        </is>
      </c>
      <c r="L1859" s="5" t="inlineStr">
        <is>
          <t>08092026</t>
        </is>
      </c>
      <c r="M1859" s="5">
        <f>IF(YEAR(I1859)&lt;=2020,"Até 2020",TEXT(YEAR(I1859),"0"))</f>
        <v/>
      </c>
      <c r="N1859" s="5">
        <f>IFERROR(INDEX(DePara!$A:$A,MATCH(TEXT(B1859,"0"),DePara!$D:$D,0)),"(sem categoria)")</f>
        <v/>
      </c>
      <c r="O1859" s="5">
        <f>IF(J1859="","",Parametros!$B$6-J1859)</f>
        <v/>
      </c>
      <c r="P1859" s="5">
        <f>IF(O1859="","",IF(O1859&gt;0,1,0))</f>
        <v/>
      </c>
    </row>
    <row r="1860">
      <c r="A1860" s="5" t="n">
        <v>2111000000</v>
      </c>
      <c r="B1860" s="5" t="inlineStr">
        <is>
          <t>100883</t>
        </is>
      </c>
      <c r="C1860" s="5" t="inlineStr">
        <is>
          <t>QUELMAR TRANSPORTES LTDA</t>
        </is>
      </c>
      <c r="D1860" s="5" t="inlineStr">
        <is>
          <t>RE</t>
        </is>
      </c>
      <c r="E1860" s="5" t="n">
        <v>5013408</v>
      </c>
      <c r="F1860" s="5" t="inlineStr">
        <is>
          <t>6193-2</t>
        </is>
      </c>
      <c r="G1860" s="5" t="inlineStr">
        <is>
          <t>BRL</t>
        </is>
      </c>
      <c r="H1860" s="9" t="n">
        <v>-5760</v>
      </c>
      <c r="I1860" s="16" t="n">
        <v>46211</v>
      </c>
      <c r="J1860" s="16" t="n">
        <v>46270</v>
      </c>
      <c r="K1860" s="5" t="inlineStr">
        <is>
          <t>Fatura - bruto QUELMAR TRANSPORTES LTDA 6193-2</t>
        </is>
      </c>
      <c r="L1860" s="5" t="inlineStr">
        <is>
          <t>08092026</t>
        </is>
      </c>
      <c r="M1860" s="5">
        <f>IF(YEAR(I1860)&lt;=2020,"Até 2020",TEXT(YEAR(I1860),"0"))</f>
        <v/>
      </c>
      <c r="N1860" s="5">
        <f>IFERROR(INDEX(DePara!$A:$A,MATCH(TEXT(B1860,"0"),DePara!$D:$D,0)),"(sem categoria)")</f>
        <v/>
      </c>
      <c r="O1860" s="5">
        <f>IF(J1860="","",Parametros!$B$6-J1860)</f>
        <v/>
      </c>
      <c r="P1860" s="5">
        <f>IF(O1860="","",IF(O1860&gt;0,1,0))</f>
        <v/>
      </c>
    </row>
    <row r="1861">
      <c r="A1861" s="5" t="n">
        <v>2111000000</v>
      </c>
      <c r="B1861" s="5" t="inlineStr">
        <is>
          <t>101463</t>
        </is>
      </c>
      <c r="C1861" s="5" t="inlineStr">
        <is>
          <t>ZURICH MINAS BRASIL SEGUROS S A</t>
        </is>
      </c>
      <c r="D1861" s="5" t="inlineStr">
        <is>
          <t>RE</t>
        </is>
      </c>
      <c r="E1861" s="5" t="n">
        <v>5013410</v>
      </c>
      <c r="F1861" s="5" t="inlineStr">
        <is>
          <t>0360/26</t>
        </is>
      </c>
      <c r="G1861" s="5" t="inlineStr">
        <is>
          <t>BRL</t>
        </is>
      </c>
      <c r="H1861" s="9" t="n">
        <v>-292.32</v>
      </c>
      <c r="I1861" s="16" t="n">
        <v>46227</v>
      </c>
      <c r="J1861" s="16" t="n">
        <v>46257</v>
      </c>
      <c r="K1861" s="5" t="inlineStr">
        <is>
          <t>Invoice Payment. SP: 20378</t>
        </is>
      </c>
      <c r="L1861" s="5" t="inlineStr">
        <is>
          <t>0360/26</t>
        </is>
      </c>
      <c r="M1861" s="5">
        <f>IF(YEAR(I1861)&lt;=2020,"Até 2020",TEXT(YEAR(I1861),"0"))</f>
        <v/>
      </c>
      <c r="N1861" s="5">
        <f>IFERROR(INDEX(DePara!$A:$A,MATCH(TEXT(B1861,"0"),DePara!$D:$D,0)),"(sem categoria)")</f>
        <v/>
      </c>
      <c r="O1861" s="5">
        <f>IF(J1861="","",Parametros!$B$6-J1861)</f>
        <v/>
      </c>
      <c r="P1861" s="5">
        <f>IF(O1861="","",IF(O1861&gt;0,1,0))</f>
        <v/>
      </c>
    </row>
    <row r="1862">
      <c r="A1862" s="5" t="n">
        <v>2111000000</v>
      </c>
      <c r="B1862" s="5" t="inlineStr">
        <is>
          <t>100883</t>
        </is>
      </c>
      <c r="C1862" s="5" t="inlineStr">
        <is>
          <t>QUELMAR TRANSPORTES LTDA</t>
        </is>
      </c>
      <c r="D1862" s="5" t="inlineStr">
        <is>
          <t>RE</t>
        </is>
      </c>
      <c r="E1862" s="5" t="n">
        <v>5013413</v>
      </c>
      <c r="F1862" s="5" t="inlineStr">
        <is>
          <t>6194-2</t>
        </is>
      </c>
      <c r="G1862" s="5" t="inlineStr">
        <is>
          <t>BRL</t>
        </is>
      </c>
      <c r="H1862" s="9" t="n">
        <v>-3300</v>
      </c>
      <c r="I1862" s="16" t="n">
        <v>46211</v>
      </c>
      <c r="J1862" s="16" t="n">
        <v>46270</v>
      </c>
      <c r="K1862" s="5" t="inlineStr">
        <is>
          <t>Fatura - bruto QUELMAR TRANSPORTES LTDA 6194-2</t>
        </is>
      </c>
      <c r="L1862" s="5" t="inlineStr">
        <is>
          <t>08092026</t>
        </is>
      </c>
      <c r="M1862" s="5">
        <f>IF(YEAR(I1862)&lt;=2020,"Até 2020",TEXT(YEAR(I1862),"0"))</f>
        <v/>
      </c>
      <c r="N1862" s="5">
        <f>IFERROR(INDEX(DePara!$A:$A,MATCH(TEXT(B1862,"0"),DePara!$D:$D,0)),"(sem categoria)")</f>
        <v/>
      </c>
      <c r="O1862" s="5">
        <f>IF(J1862="","",Parametros!$B$6-J1862)</f>
        <v/>
      </c>
      <c r="P1862" s="5">
        <f>IF(O1862="","",IF(O1862&gt;0,1,0))</f>
        <v/>
      </c>
    </row>
    <row r="1863">
      <c r="A1863" s="5" t="n">
        <v>2111000000</v>
      </c>
      <c r="B1863" s="5" t="inlineStr">
        <is>
          <t>101463</t>
        </is>
      </c>
      <c r="C1863" s="5" t="inlineStr">
        <is>
          <t>ZURICH MINAS BRASIL SEGUROS S A</t>
        </is>
      </c>
      <c r="D1863" s="5" t="inlineStr">
        <is>
          <t>RE</t>
        </is>
      </c>
      <c r="E1863" s="5" t="n">
        <v>5013414</v>
      </c>
      <c r="F1863" s="5" t="inlineStr">
        <is>
          <t>0386/26</t>
        </is>
      </c>
      <c r="G1863" s="5" t="inlineStr">
        <is>
          <t>BRL</t>
        </is>
      </c>
      <c r="H1863" s="9" t="n">
        <v>-1.18</v>
      </c>
      <c r="I1863" s="16" t="n">
        <v>46227</v>
      </c>
      <c r="J1863" s="16" t="n">
        <v>46257</v>
      </c>
      <c r="K1863" s="5" t="inlineStr">
        <is>
          <t>Invoice Payment. SP: 20380</t>
        </is>
      </c>
      <c r="L1863" s="5" t="inlineStr">
        <is>
          <t>0386/26</t>
        </is>
      </c>
      <c r="M1863" s="5">
        <f>IF(YEAR(I1863)&lt;=2020,"Até 2020",TEXT(YEAR(I1863),"0"))</f>
        <v/>
      </c>
      <c r="N1863" s="5">
        <f>IFERROR(INDEX(DePara!$A:$A,MATCH(TEXT(B1863,"0"),DePara!$D:$D,0)),"(sem categoria)")</f>
        <v/>
      </c>
      <c r="O1863" s="5">
        <f>IF(J1863="","",Parametros!$B$6-J1863)</f>
        <v/>
      </c>
      <c r="P1863" s="5">
        <f>IF(O1863="","",IF(O1863&gt;0,1,0))</f>
        <v/>
      </c>
    </row>
    <row r="1864">
      <c r="A1864" s="5" t="n">
        <v>2111000000</v>
      </c>
      <c r="B1864" s="5" t="inlineStr">
        <is>
          <t>100883</t>
        </is>
      </c>
      <c r="C1864" s="5" t="inlineStr">
        <is>
          <t>QUELMAR TRANSPORTES LTDA</t>
        </is>
      </c>
      <c r="D1864" s="5" t="inlineStr">
        <is>
          <t>RE</t>
        </is>
      </c>
      <c r="E1864" s="5" t="n">
        <v>5013415</v>
      </c>
      <c r="F1864" s="5" t="inlineStr">
        <is>
          <t>6196-2</t>
        </is>
      </c>
      <c r="G1864" s="5" t="inlineStr">
        <is>
          <t>BRL</t>
        </is>
      </c>
      <c r="H1864" s="9" t="n">
        <v>-8980</v>
      </c>
      <c r="I1864" s="16" t="n">
        <v>46213</v>
      </c>
      <c r="J1864" s="16" t="n">
        <v>46270</v>
      </c>
      <c r="K1864" s="5" t="inlineStr">
        <is>
          <t>Fatura - bruto QUELMAR TRANSPORTES LTDA 6196-2</t>
        </is>
      </c>
      <c r="L1864" s="5" t="inlineStr">
        <is>
          <t>08092026</t>
        </is>
      </c>
      <c r="M1864" s="5">
        <f>IF(YEAR(I1864)&lt;=2020,"Até 2020",TEXT(YEAR(I1864),"0"))</f>
        <v/>
      </c>
      <c r="N1864" s="5">
        <f>IFERROR(INDEX(DePara!$A:$A,MATCH(TEXT(B1864,"0"),DePara!$D:$D,0)),"(sem categoria)")</f>
        <v/>
      </c>
      <c r="O1864" s="5">
        <f>IF(J1864="","",Parametros!$B$6-J1864)</f>
        <v/>
      </c>
      <c r="P1864" s="5">
        <f>IF(O1864="","",IF(O1864&gt;0,1,0))</f>
        <v/>
      </c>
    </row>
    <row r="1865">
      <c r="A1865" s="5" t="n">
        <v>2111000000</v>
      </c>
      <c r="B1865" s="5" t="inlineStr">
        <is>
          <t>100883</t>
        </is>
      </c>
      <c r="C1865" s="5" t="inlineStr">
        <is>
          <t>QUELMAR TRANSPORTES LTDA</t>
        </is>
      </c>
      <c r="D1865" s="5" t="inlineStr">
        <is>
          <t>RE</t>
        </is>
      </c>
      <c r="E1865" s="5" t="n">
        <v>5013419</v>
      </c>
      <c r="F1865" s="5" t="inlineStr">
        <is>
          <t>6197-2</t>
        </is>
      </c>
      <c r="G1865" s="5" t="inlineStr">
        <is>
          <t>BRL</t>
        </is>
      </c>
      <c r="H1865" s="9" t="n">
        <v>-5850</v>
      </c>
      <c r="I1865" s="16" t="n">
        <v>46213</v>
      </c>
      <c r="J1865" s="16" t="n">
        <v>46270</v>
      </c>
      <c r="K1865" s="5" t="inlineStr">
        <is>
          <t>Fatura - bruto QUELMAR TRANSPORTES LTDA 6197-2</t>
        </is>
      </c>
      <c r="L1865" s="5" t="inlineStr">
        <is>
          <t>08092026</t>
        </is>
      </c>
      <c r="M1865" s="5">
        <f>IF(YEAR(I1865)&lt;=2020,"Até 2020",TEXT(YEAR(I1865),"0"))</f>
        <v/>
      </c>
      <c r="N1865" s="5">
        <f>IFERROR(INDEX(DePara!$A:$A,MATCH(TEXT(B1865,"0"),DePara!$D:$D,0)),"(sem categoria)")</f>
        <v/>
      </c>
      <c r="O1865" s="5">
        <f>IF(J1865="","",Parametros!$B$6-J1865)</f>
        <v/>
      </c>
      <c r="P1865" s="5">
        <f>IF(O1865="","",IF(O1865&gt;0,1,0))</f>
        <v/>
      </c>
    </row>
    <row r="1866">
      <c r="A1866" s="5" t="n">
        <v>2111000000</v>
      </c>
      <c r="B1866" s="5" t="inlineStr">
        <is>
          <t>101463</t>
        </is>
      </c>
      <c r="C1866" s="5" t="inlineStr">
        <is>
          <t>ZURICH MINAS BRASIL SEGUROS S A</t>
        </is>
      </c>
      <c r="D1866" s="5" t="inlineStr">
        <is>
          <t>RE</t>
        </is>
      </c>
      <c r="E1866" s="5" t="n">
        <v>5013420</v>
      </c>
      <c r="F1866" s="5" t="inlineStr">
        <is>
          <t>0422/26</t>
        </is>
      </c>
      <c r="G1866" s="5" t="inlineStr">
        <is>
          <t>BRL</t>
        </is>
      </c>
      <c r="H1866" s="9" t="n">
        <v>-47.61</v>
      </c>
      <c r="I1866" s="16" t="n">
        <v>46227</v>
      </c>
      <c r="J1866" s="16" t="n">
        <v>46257</v>
      </c>
      <c r="K1866" s="5" t="inlineStr">
        <is>
          <t>Invoice Payment. SP: 20382</t>
        </is>
      </c>
      <c r="L1866" s="5" t="inlineStr">
        <is>
          <t>0422/26</t>
        </is>
      </c>
      <c r="M1866" s="5">
        <f>IF(YEAR(I1866)&lt;=2020,"Até 2020",TEXT(YEAR(I1866),"0"))</f>
        <v/>
      </c>
      <c r="N1866" s="5">
        <f>IFERROR(INDEX(DePara!$A:$A,MATCH(TEXT(B1866,"0"),DePara!$D:$D,0)),"(sem categoria)")</f>
        <v/>
      </c>
      <c r="O1866" s="5">
        <f>IF(J1866="","",Parametros!$B$6-J1866)</f>
        <v/>
      </c>
      <c r="P1866" s="5">
        <f>IF(O1866="","",IF(O1866&gt;0,1,0))</f>
        <v/>
      </c>
    </row>
    <row r="1867">
      <c r="A1867" s="5" t="n">
        <v>2111000000</v>
      </c>
      <c r="B1867" s="5" t="inlineStr">
        <is>
          <t>100883</t>
        </is>
      </c>
      <c r="C1867" s="5" t="inlineStr">
        <is>
          <t>QUELMAR TRANSPORTES LTDA</t>
        </is>
      </c>
      <c r="D1867" s="5" t="inlineStr">
        <is>
          <t>RE</t>
        </is>
      </c>
      <c r="E1867" s="5" t="n">
        <v>5013421</v>
      </c>
      <c r="F1867" s="5" t="inlineStr">
        <is>
          <t>6225-2</t>
        </is>
      </c>
      <c r="G1867" s="5" t="inlineStr">
        <is>
          <t>BRL</t>
        </is>
      </c>
      <c r="H1867" s="9" t="n">
        <v>-6800</v>
      </c>
      <c r="I1867" s="16" t="n">
        <v>46217</v>
      </c>
      <c r="J1867" s="16" t="n">
        <v>46270</v>
      </c>
      <c r="K1867" s="5" t="inlineStr">
        <is>
          <t>Fatura - bruto QUELMAR TRANSPORTES LTDA 6225-2</t>
        </is>
      </c>
      <c r="L1867" s="5" t="inlineStr">
        <is>
          <t>08092026</t>
        </is>
      </c>
      <c r="M1867" s="5">
        <f>IF(YEAR(I1867)&lt;=2020,"Até 2020",TEXT(YEAR(I1867),"0"))</f>
        <v/>
      </c>
      <c r="N1867" s="5">
        <f>IFERROR(INDEX(DePara!$A:$A,MATCH(TEXT(B1867,"0"),DePara!$D:$D,0)),"(sem categoria)")</f>
        <v/>
      </c>
      <c r="O1867" s="5">
        <f>IF(J1867="","",Parametros!$B$6-J1867)</f>
        <v/>
      </c>
      <c r="P1867" s="5">
        <f>IF(O1867="","",IF(O1867&gt;0,1,0))</f>
        <v/>
      </c>
    </row>
    <row r="1868">
      <c r="A1868" s="5" t="n">
        <v>2111000000</v>
      </c>
      <c r="B1868" s="5" t="inlineStr">
        <is>
          <t>100883</t>
        </is>
      </c>
      <c r="C1868" s="5" t="inlineStr">
        <is>
          <t>QUELMAR TRANSPORTES LTDA</t>
        </is>
      </c>
      <c r="D1868" s="5" t="inlineStr">
        <is>
          <t>RE</t>
        </is>
      </c>
      <c r="E1868" s="5" t="n">
        <v>5013423</v>
      </c>
      <c r="F1868" s="5" t="inlineStr">
        <is>
          <t>6235-2</t>
        </is>
      </c>
      <c r="G1868" s="5" t="inlineStr">
        <is>
          <t>BRL</t>
        </is>
      </c>
      <c r="H1868" s="9" t="n">
        <v>-1450</v>
      </c>
      <c r="I1868" s="16" t="n">
        <v>46218</v>
      </c>
      <c r="J1868" s="16" t="n">
        <v>46270</v>
      </c>
      <c r="K1868" s="5" t="inlineStr">
        <is>
          <t>Fatura - bruto QUELMAR TRANSPORTES LTDA 6235-2</t>
        </is>
      </c>
      <c r="L1868" s="5" t="inlineStr">
        <is>
          <t>08092026</t>
        </is>
      </c>
      <c r="M1868" s="5">
        <f>IF(YEAR(I1868)&lt;=2020,"Até 2020",TEXT(YEAR(I1868),"0"))</f>
        <v/>
      </c>
      <c r="N1868" s="5">
        <f>IFERROR(INDEX(DePara!$A:$A,MATCH(TEXT(B1868,"0"),DePara!$D:$D,0)),"(sem categoria)")</f>
        <v/>
      </c>
      <c r="O1868" s="5">
        <f>IF(J1868="","",Parametros!$B$6-J1868)</f>
        <v/>
      </c>
      <c r="P1868" s="5">
        <f>IF(O1868="","",IF(O1868&gt;0,1,0))</f>
        <v/>
      </c>
    </row>
    <row r="1869">
      <c r="A1869" s="5" t="n">
        <v>2111000000</v>
      </c>
      <c r="B1869" s="5" t="inlineStr">
        <is>
          <t>100883</t>
        </is>
      </c>
      <c r="C1869" s="5" t="inlineStr">
        <is>
          <t>QUELMAR TRANSPORTES LTDA</t>
        </is>
      </c>
      <c r="D1869" s="5" t="inlineStr">
        <is>
          <t>RE</t>
        </is>
      </c>
      <c r="E1869" s="5" t="n">
        <v>5013425</v>
      </c>
      <c r="F1869" s="5" t="inlineStr">
        <is>
          <t>6238-2</t>
        </is>
      </c>
      <c r="G1869" s="5" t="inlineStr">
        <is>
          <t>BRL</t>
        </is>
      </c>
      <c r="H1869" s="9" t="n">
        <v>-1380</v>
      </c>
      <c r="I1869" s="16" t="n">
        <v>46218</v>
      </c>
      <c r="J1869" s="16" t="n">
        <v>46270</v>
      </c>
      <c r="K1869" s="5" t="inlineStr">
        <is>
          <t>Fatura - bruto QUELMAR TRANSPORTES LTDA 6238-2</t>
        </is>
      </c>
      <c r="L1869" s="5" t="inlineStr">
        <is>
          <t>08092026</t>
        </is>
      </c>
      <c r="M1869" s="5">
        <f>IF(YEAR(I1869)&lt;=2020,"Até 2020",TEXT(YEAR(I1869),"0"))</f>
        <v/>
      </c>
      <c r="N1869" s="5">
        <f>IFERROR(INDEX(DePara!$A:$A,MATCH(TEXT(B1869,"0"),DePara!$D:$D,0)),"(sem categoria)")</f>
        <v/>
      </c>
      <c r="O1869" s="5">
        <f>IF(J1869="","",Parametros!$B$6-J1869)</f>
        <v/>
      </c>
      <c r="P1869" s="5">
        <f>IF(O1869="","",IF(O1869&gt;0,1,0))</f>
        <v/>
      </c>
    </row>
    <row r="1870">
      <c r="A1870" s="5" t="n">
        <v>2111000000</v>
      </c>
      <c r="B1870" s="5" t="inlineStr">
        <is>
          <t>103936</t>
        </is>
      </c>
      <c r="C1870" s="5" t="inlineStr">
        <is>
          <t>BELA VISTA RENOVAVEIS II LTDA</t>
        </is>
      </c>
      <c r="D1870" s="5" t="inlineStr">
        <is>
          <t>RE</t>
        </is>
      </c>
      <c r="E1870" s="5" t="n">
        <v>5013427</v>
      </c>
      <c r="F1870" s="5" t="inlineStr">
        <is>
          <t>1693</t>
        </is>
      </c>
      <c r="G1870" s="5" t="inlineStr">
        <is>
          <t>BRL</t>
        </is>
      </c>
      <c r="H1870" s="9" t="n">
        <v>-104771.8</v>
      </c>
      <c r="I1870" s="16" t="n">
        <v>46225</v>
      </c>
      <c r="J1870" s="16" t="n">
        <v>46270</v>
      </c>
      <c r="K1870" s="5" t="inlineStr">
        <is>
          <t>Fatura - bruto BELA VISTA RENOVAVEIS II LTDA 1693</t>
        </is>
      </c>
      <c r="L1870" s="5" t="inlineStr">
        <is>
          <t>02092026</t>
        </is>
      </c>
      <c r="M1870" s="5">
        <f>IF(YEAR(I1870)&lt;=2020,"Até 2020",TEXT(YEAR(I1870),"0"))</f>
        <v/>
      </c>
      <c r="N1870" s="5">
        <f>IFERROR(INDEX(DePara!$A:$A,MATCH(TEXT(B1870,"0"),DePara!$D:$D,0)),"(sem categoria)")</f>
        <v/>
      </c>
      <c r="O1870" s="5">
        <f>IF(J1870="","",Parametros!$B$6-J1870)</f>
        <v/>
      </c>
      <c r="P1870" s="5">
        <f>IF(O1870="","",IF(O1870&gt;0,1,0))</f>
        <v/>
      </c>
    </row>
    <row r="1871">
      <c r="A1871" s="5" t="n">
        <v>2111000000</v>
      </c>
      <c r="B1871" s="5" t="inlineStr">
        <is>
          <t>100883</t>
        </is>
      </c>
      <c r="C1871" s="5" t="inlineStr">
        <is>
          <t>QUELMAR TRANSPORTES LTDA</t>
        </is>
      </c>
      <c r="D1871" s="5" t="inlineStr">
        <is>
          <t>RE</t>
        </is>
      </c>
      <c r="E1871" s="5" t="n">
        <v>5013428</v>
      </c>
      <c r="F1871" s="5" t="inlineStr">
        <is>
          <t>6241-2</t>
        </is>
      </c>
      <c r="G1871" s="5" t="inlineStr">
        <is>
          <t>BRL</t>
        </is>
      </c>
      <c r="H1871" s="9" t="n">
        <v>-16409</v>
      </c>
      <c r="I1871" s="16" t="n">
        <v>46220</v>
      </c>
      <c r="J1871" s="16" t="n">
        <v>46270</v>
      </c>
      <c r="K1871" s="5" t="inlineStr">
        <is>
          <t>Fatura - bruto QUELMAR TRANSPORTES LTDA 6241-2</t>
        </is>
      </c>
      <c r="L1871" s="5" t="inlineStr">
        <is>
          <t>08092026</t>
        </is>
      </c>
      <c r="M1871" s="5">
        <f>IF(YEAR(I1871)&lt;=2020,"Até 2020",TEXT(YEAR(I1871),"0"))</f>
        <v/>
      </c>
      <c r="N1871" s="5">
        <f>IFERROR(INDEX(DePara!$A:$A,MATCH(TEXT(B1871,"0"),DePara!$D:$D,0)),"(sem categoria)")</f>
        <v/>
      </c>
      <c r="O1871" s="5">
        <f>IF(J1871="","",Parametros!$B$6-J1871)</f>
        <v/>
      </c>
      <c r="P1871" s="5">
        <f>IF(O1871="","",IF(O1871&gt;0,1,0))</f>
        <v/>
      </c>
    </row>
    <row r="1872">
      <c r="A1872" s="5" t="n">
        <v>2111000000</v>
      </c>
      <c r="B1872" s="5" t="inlineStr">
        <is>
          <t>100883</t>
        </is>
      </c>
      <c r="C1872" s="5" t="inlineStr">
        <is>
          <t>QUELMAR TRANSPORTES LTDA</t>
        </is>
      </c>
      <c r="D1872" s="5" t="inlineStr">
        <is>
          <t>RE</t>
        </is>
      </c>
      <c r="E1872" s="5" t="n">
        <v>5013429</v>
      </c>
      <c r="F1872" s="5" t="inlineStr">
        <is>
          <t>107994-1</t>
        </is>
      </c>
      <c r="G1872" s="5" t="inlineStr">
        <is>
          <t>BRL</t>
        </is>
      </c>
      <c r="H1872" s="9" t="n">
        <v>-1445.67</v>
      </c>
      <c r="I1872" s="16" t="n">
        <v>46220</v>
      </c>
      <c r="J1872" s="16" t="n">
        <v>46270</v>
      </c>
      <c r="K1872" s="5" t="inlineStr">
        <is>
          <t>Fatura - bruto QUELMAR TRANSPORTES LTDA 107994-1</t>
        </is>
      </c>
      <c r="L1872" s="5" t="inlineStr">
        <is>
          <t>08092026</t>
        </is>
      </c>
      <c r="M1872" s="5">
        <f>IF(YEAR(I1872)&lt;=2020,"Até 2020",TEXT(YEAR(I1872),"0"))</f>
        <v/>
      </c>
      <c r="N1872" s="5">
        <f>IFERROR(INDEX(DePara!$A:$A,MATCH(TEXT(B1872,"0"),DePara!$D:$D,0)),"(sem categoria)")</f>
        <v/>
      </c>
      <c r="O1872" s="5">
        <f>IF(J1872="","",Parametros!$B$6-J1872)</f>
        <v/>
      </c>
      <c r="P1872" s="5">
        <f>IF(O1872="","",IF(O1872&gt;0,1,0))</f>
        <v/>
      </c>
    </row>
    <row r="1873">
      <c r="A1873" s="5" t="n">
        <v>2111000000</v>
      </c>
      <c r="B1873" s="5" t="inlineStr">
        <is>
          <t>100883</t>
        </is>
      </c>
      <c r="C1873" s="5" t="inlineStr">
        <is>
          <t>QUELMAR TRANSPORTES LTDA</t>
        </is>
      </c>
      <c r="D1873" s="5" t="inlineStr">
        <is>
          <t>RE</t>
        </is>
      </c>
      <c r="E1873" s="5" t="n">
        <v>5013430</v>
      </c>
      <c r="F1873" s="5" t="inlineStr">
        <is>
          <t>107996-1</t>
        </is>
      </c>
      <c r="G1873" s="5" t="inlineStr">
        <is>
          <t>BRL</t>
        </is>
      </c>
      <c r="H1873" s="9" t="n">
        <v>-784.79</v>
      </c>
      <c r="I1873" s="16" t="n">
        <v>46220</v>
      </c>
      <c r="J1873" s="16" t="n">
        <v>46270</v>
      </c>
      <c r="K1873" s="5" t="inlineStr">
        <is>
          <t>Fatura - bruto QUELMAR TRANSPORTES LTDA 107996-1</t>
        </is>
      </c>
      <c r="L1873" s="5" t="inlineStr">
        <is>
          <t>08092026</t>
        </is>
      </c>
      <c r="M1873" s="5">
        <f>IF(YEAR(I1873)&lt;=2020,"Até 2020",TEXT(YEAR(I1873),"0"))</f>
        <v/>
      </c>
      <c r="N1873" s="5">
        <f>IFERROR(INDEX(DePara!$A:$A,MATCH(TEXT(B1873,"0"),DePara!$D:$D,0)),"(sem categoria)")</f>
        <v/>
      </c>
      <c r="O1873" s="5">
        <f>IF(J1873="","",Parametros!$B$6-J1873)</f>
        <v/>
      </c>
      <c r="P1873" s="5">
        <f>IF(O1873="","",IF(O1873&gt;0,1,0))</f>
        <v/>
      </c>
    </row>
    <row r="1874">
      <c r="A1874" s="5" t="n">
        <v>2111000000</v>
      </c>
      <c r="B1874" s="5" t="inlineStr">
        <is>
          <t>100883</t>
        </is>
      </c>
      <c r="C1874" s="5" t="inlineStr">
        <is>
          <t>QUELMAR TRANSPORTES LTDA</t>
        </is>
      </c>
      <c r="D1874" s="5" t="inlineStr">
        <is>
          <t>RE</t>
        </is>
      </c>
      <c r="E1874" s="5" t="n">
        <v>5013431</v>
      </c>
      <c r="F1874" s="5" t="inlineStr">
        <is>
          <t>107997-1</t>
        </is>
      </c>
      <c r="G1874" s="5" t="inlineStr">
        <is>
          <t>BRL</t>
        </is>
      </c>
      <c r="H1874" s="9" t="n">
        <v>-538.62</v>
      </c>
      <c r="I1874" s="16" t="n">
        <v>46220</v>
      </c>
      <c r="J1874" s="16" t="n">
        <v>46270</v>
      </c>
      <c r="K1874" s="5" t="inlineStr">
        <is>
          <t>Fatura - bruto QUELMAR TRANSPORTES LTDA 107997-1</t>
        </is>
      </c>
      <c r="L1874" s="5" t="inlineStr">
        <is>
          <t>08092026</t>
        </is>
      </c>
      <c r="M1874" s="5">
        <f>IF(YEAR(I1874)&lt;=2020,"Até 2020",TEXT(YEAR(I1874),"0"))</f>
        <v/>
      </c>
      <c r="N1874" s="5">
        <f>IFERROR(INDEX(DePara!$A:$A,MATCH(TEXT(B1874,"0"),DePara!$D:$D,0)),"(sem categoria)")</f>
        <v/>
      </c>
      <c r="O1874" s="5">
        <f>IF(J1874="","",Parametros!$B$6-J1874)</f>
        <v/>
      </c>
      <c r="P1874" s="5">
        <f>IF(O1874="","",IF(O1874&gt;0,1,0))</f>
        <v/>
      </c>
    </row>
    <row r="1875">
      <c r="A1875" s="5" t="n">
        <v>2111000000</v>
      </c>
      <c r="B1875" s="5" t="inlineStr">
        <is>
          <t>101463</t>
        </is>
      </c>
      <c r="C1875" s="5" t="inlineStr">
        <is>
          <t>ZURICH MINAS BRASIL SEGUROS S A</t>
        </is>
      </c>
      <c r="D1875" s="5" t="inlineStr">
        <is>
          <t>RE</t>
        </is>
      </c>
      <c r="E1875" s="5" t="n">
        <v>5013432</v>
      </c>
      <c r="F1875" s="5" t="inlineStr">
        <is>
          <t>0365/26</t>
        </is>
      </c>
      <c r="G1875" s="5" t="inlineStr">
        <is>
          <t>BRL</t>
        </is>
      </c>
      <c r="H1875" s="9" t="n">
        <v>-563.55</v>
      </c>
      <c r="I1875" s="16" t="n">
        <v>46227</v>
      </c>
      <c r="J1875" s="16" t="n">
        <v>46257</v>
      </c>
      <c r="K1875" s="5" t="inlineStr">
        <is>
          <t>Invoice Payment. SP: 20398</t>
        </is>
      </c>
      <c r="L1875" s="5" t="inlineStr">
        <is>
          <t>0365/26</t>
        </is>
      </c>
      <c r="M1875" s="5">
        <f>IF(YEAR(I1875)&lt;=2020,"Até 2020",TEXT(YEAR(I1875),"0"))</f>
        <v/>
      </c>
      <c r="N1875" s="5">
        <f>IFERROR(INDEX(DePara!$A:$A,MATCH(TEXT(B1875,"0"),DePara!$D:$D,0)),"(sem categoria)")</f>
        <v/>
      </c>
      <c r="O1875" s="5">
        <f>IF(J1875="","",Parametros!$B$6-J1875)</f>
        <v/>
      </c>
      <c r="P1875" s="5">
        <f>IF(O1875="","",IF(O1875&gt;0,1,0))</f>
        <v/>
      </c>
    </row>
    <row r="1876">
      <c r="A1876" s="5" t="n">
        <v>2111000000</v>
      </c>
      <c r="B1876" s="5" t="inlineStr">
        <is>
          <t>100883</t>
        </is>
      </c>
      <c r="C1876" s="5" t="inlineStr">
        <is>
          <t>QUELMAR TRANSPORTES LTDA</t>
        </is>
      </c>
      <c r="D1876" s="5" t="inlineStr">
        <is>
          <t>RE</t>
        </is>
      </c>
      <c r="E1876" s="5" t="n">
        <v>5013434</v>
      </c>
      <c r="F1876" s="5" t="inlineStr">
        <is>
          <t>108000-1</t>
        </is>
      </c>
      <c r="G1876" s="5" t="inlineStr">
        <is>
          <t>BRL</t>
        </is>
      </c>
      <c r="H1876" s="9" t="n">
        <v>-1008.67</v>
      </c>
      <c r="I1876" s="16" t="n">
        <v>46220</v>
      </c>
      <c r="J1876" s="16" t="n">
        <v>46270</v>
      </c>
      <c r="K1876" s="5" t="inlineStr">
        <is>
          <t>Fatura - bruto QUELMAR TRANSPORTES LTDA 108000-1</t>
        </is>
      </c>
      <c r="L1876" s="5" t="inlineStr">
        <is>
          <t>08092026</t>
        </is>
      </c>
      <c r="M1876" s="5">
        <f>IF(YEAR(I1876)&lt;=2020,"Até 2020",TEXT(YEAR(I1876),"0"))</f>
        <v/>
      </c>
      <c r="N1876" s="5">
        <f>IFERROR(INDEX(DePara!$A:$A,MATCH(TEXT(B1876,"0"),DePara!$D:$D,0)),"(sem categoria)")</f>
        <v/>
      </c>
      <c r="O1876" s="5">
        <f>IF(J1876="","",Parametros!$B$6-J1876)</f>
        <v/>
      </c>
      <c r="P1876" s="5">
        <f>IF(O1876="","",IF(O1876&gt;0,1,0))</f>
        <v/>
      </c>
    </row>
    <row r="1877">
      <c r="A1877" s="5" t="n">
        <v>2111000000</v>
      </c>
      <c r="B1877" s="5" t="inlineStr">
        <is>
          <t>100883</t>
        </is>
      </c>
      <c r="C1877" s="5" t="inlineStr">
        <is>
          <t>QUELMAR TRANSPORTES LTDA</t>
        </is>
      </c>
      <c r="D1877" s="5" t="inlineStr">
        <is>
          <t>RE</t>
        </is>
      </c>
      <c r="E1877" s="5" t="n">
        <v>5013436</v>
      </c>
      <c r="F1877" s="5" t="inlineStr">
        <is>
          <t>108005-1</t>
        </is>
      </c>
      <c r="G1877" s="5" t="inlineStr">
        <is>
          <t>BRL</t>
        </is>
      </c>
      <c r="H1877" s="9" t="n">
        <v>-2602.21</v>
      </c>
      <c r="I1877" s="16" t="n">
        <v>46220</v>
      </c>
      <c r="J1877" s="16" t="n">
        <v>46270</v>
      </c>
      <c r="K1877" s="5" t="inlineStr">
        <is>
          <t>Fatura - bruto QUELMAR TRANSPORTES LTDA 108005-1</t>
        </is>
      </c>
      <c r="L1877" s="5" t="inlineStr">
        <is>
          <t>08092026</t>
        </is>
      </c>
      <c r="M1877" s="5">
        <f>IF(YEAR(I1877)&lt;=2020,"Até 2020",TEXT(YEAR(I1877),"0"))</f>
        <v/>
      </c>
      <c r="N1877" s="5">
        <f>IFERROR(INDEX(DePara!$A:$A,MATCH(TEXT(B1877,"0"),DePara!$D:$D,0)),"(sem categoria)")</f>
        <v/>
      </c>
      <c r="O1877" s="5">
        <f>IF(J1877="","",Parametros!$B$6-J1877)</f>
        <v/>
      </c>
      <c r="P1877" s="5">
        <f>IF(O1877="","",IF(O1877&gt;0,1,0))</f>
        <v/>
      </c>
    </row>
    <row r="1878">
      <c r="A1878" s="5" t="n">
        <v>2111000000</v>
      </c>
      <c r="B1878" s="5" t="inlineStr">
        <is>
          <t>100883</t>
        </is>
      </c>
      <c r="C1878" s="5" t="inlineStr">
        <is>
          <t>QUELMAR TRANSPORTES LTDA</t>
        </is>
      </c>
      <c r="D1878" s="5" t="inlineStr">
        <is>
          <t>RE</t>
        </is>
      </c>
      <c r="E1878" s="5" t="n">
        <v>5013437</v>
      </c>
      <c r="F1878" s="5" t="inlineStr">
        <is>
          <t>108016-1</t>
        </is>
      </c>
      <c r="G1878" s="5" t="inlineStr">
        <is>
          <t>BRL</t>
        </is>
      </c>
      <c r="H1878" s="9" t="n">
        <v>-1528.28</v>
      </c>
      <c r="I1878" s="16" t="n">
        <v>46220</v>
      </c>
      <c r="J1878" s="16" t="n">
        <v>46270</v>
      </c>
      <c r="K1878" s="5" t="inlineStr">
        <is>
          <t>Fatura - bruto QUELMAR TRANSPORTES LTDA 108016-1</t>
        </is>
      </c>
      <c r="L1878" s="5" t="inlineStr">
        <is>
          <t>08092026</t>
        </is>
      </c>
      <c r="M1878" s="5">
        <f>IF(YEAR(I1878)&lt;=2020,"Até 2020",TEXT(YEAR(I1878),"0"))</f>
        <v/>
      </c>
      <c r="N1878" s="5">
        <f>IFERROR(INDEX(DePara!$A:$A,MATCH(TEXT(B1878,"0"),DePara!$D:$D,0)),"(sem categoria)")</f>
        <v/>
      </c>
      <c r="O1878" s="5">
        <f>IF(J1878="","",Parametros!$B$6-J1878)</f>
        <v/>
      </c>
      <c r="P1878" s="5">
        <f>IF(O1878="","",IF(O1878&gt;0,1,0))</f>
        <v/>
      </c>
    </row>
    <row r="1879">
      <c r="A1879" s="5" t="n">
        <v>2111000000</v>
      </c>
      <c r="B1879" s="5" t="inlineStr">
        <is>
          <t>100883</t>
        </is>
      </c>
      <c r="C1879" s="5" t="inlineStr">
        <is>
          <t>QUELMAR TRANSPORTES LTDA</t>
        </is>
      </c>
      <c r="D1879" s="5" t="inlineStr">
        <is>
          <t>RE</t>
        </is>
      </c>
      <c r="E1879" s="5" t="n">
        <v>5013440</v>
      </c>
      <c r="F1879" s="5" t="inlineStr">
        <is>
          <t>108017-1</t>
        </is>
      </c>
      <c r="G1879" s="5" t="inlineStr">
        <is>
          <t>BRL</t>
        </is>
      </c>
      <c r="H1879" s="9" t="n">
        <v>-1528.28</v>
      </c>
      <c r="I1879" s="16" t="n">
        <v>46220</v>
      </c>
      <c r="J1879" s="16" t="n">
        <v>46270</v>
      </c>
      <c r="K1879" s="5" t="inlineStr">
        <is>
          <t>Fatura - bruto QUELMAR TRANSPORTES LTDA 108017-1</t>
        </is>
      </c>
      <c r="L1879" s="5" t="inlineStr">
        <is>
          <t>08092026</t>
        </is>
      </c>
      <c r="M1879" s="5">
        <f>IF(YEAR(I1879)&lt;=2020,"Até 2020",TEXT(YEAR(I1879),"0"))</f>
        <v/>
      </c>
      <c r="N1879" s="5">
        <f>IFERROR(INDEX(DePara!$A:$A,MATCH(TEXT(B1879,"0"),DePara!$D:$D,0)),"(sem categoria)")</f>
        <v/>
      </c>
      <c r="O1879" s="5">
        <f>IF(J1879="","",Parametros!$B$6-J1879)</f>
        <v/>
      </c>
      <c r="P1879" s="5">
        <f>IF(O1879="","",IF(O1879&gt;0,1,0))</f>
        <v/>
      </c>
    </row>
    <row r="1880">
      <c r="A1880" s="5" t="n">
        <v>2111000000</v>
      </c>
      <c r="B1880" s="5" t="inlineStr">
        <is>
          <t>100883</t>
        </is>
      </c>
      <c r="C1880" s="5" t="inlineStr">
        <is>
          <t>QUELMAR TRANSPORTES LTDA</t>
        </is>
      </c>
      <c r="D1880" s="5" t="inlineStr">
        <is>
          <t>RE</t>
        </is>
      </c>
      <c r="E1880" s="5" t="n">
        <v>5013441</v>
      </c>
      <c r="F1880" s="5" t="inlineStr">
        <is>
          <t>108019-1</t>
        </is>
      </c>
      <c r="G1880" s="5" t="inlineStr">
        <is>
          <t>BRL</t>
        </is>
      </c>
      <c r="H1880" s="9" t="n">
        <v>-1073.93</v>
      </c>
      <c r="I1880" s="16" t="n">
        <v>46220</v>
      </c>
      <c r="J1880" s="16" t="n">
        <v>46270</v>
      </c>
      <c r="K1880" s="5" t="inlineStr">
        <is>
          <t>Fatura - bruto QUELMAR TRANSPORTES LTDA 108019-1</t>
        </is>
      </c>
      <c r="L1880" s="5" t="inlineStr">
        <is>
          <t>08092026</t>
        </is>
      </c>
      <c r="M1880" s="5">
        <f>IF(YEAR(I1880)&lt;=2020,"Até 2020",TEXT(YEAR(I1880),"0"))</f>
        <v/>
      </c>
      <c r="N1880" s="5">
        <f>IFERROR(INDEX(DePara!$A:$A,MATCH(TEXT(B1880,"0"),DePara!$D:$D,0)),"(sem categoria)")</f>
        <v/>
      </c>
      <c r="O1880" s="5">
        <f>IF(J1880="","",Parametros!$B$6-J1880)</f>
        <v/>
      </c>
      <c r="P1880" s="5">
        <f>IF(O1880="","",IF(O1880&gt;0,1,0))</f>
        <v/>
      </c>
    </row>
    <row r="1881">
      <c r="A1881" s="5" t="n">
        <v>2111000000</v>
      </c>
      <c r="B1881" s="5" t="inlineStr">
        <is>
          <t>100883</t>
        </is>
      </c>
      <c r="C1881" s="5" t="inlineStr">
        <is>
          <t>QUELMAR TRANSPORTES LTDA</t>
        </is>
      </c>
      <c r="D1881" s="5" t="inlineStr">
        <is>
          <t>RE</t>
        </is>
      </c>
      <c r="E1881" s="5" t="n">
        <v>5013442</v>
      </c>
      <c r="F1881" s="5" t="inlineStr">
        <is>
          <t>108053-1</t>
        </is>
      </c>
      <c r="G1881" s="5" t="inlineStr">
        <is>
          <t>BRL</t>
        </is>
      </c>
      <c r="H1881" s="9" t="n">
        <v>-1680</v>
      </c>
      <c r="I1881" s="16" t="n">
        <v>46220</v>
      </c>
      <c r="J1881" s="16" t="n">
        <v>46270</v>
      </c>
      <c r="K1881" s="5" t="inlineStr">
        <is>
          <t>Fatura - bruto QUELMAR TRANSPORTES LTDA 108053-1</t>
        </is>
      </c>
      <c r="L1881" s="5" t="inlineStr">
        <is>
          <t>08092026</t>
        </is>
      </c>
      <c r="M1881" s="5">
        <f>IF(YEAR(I1881)&lt;=2020,"Até 2020",TEXT(YEAR(I1881),"0"))</f>
        <v/>
      </c>
      <c r="N1881" s="5">
        <f>IFERROR(INDEX(DePara!$A:$A,MATCH(TEXT(B1881,"0"),DePara!$D:$D,0)),"(sem categoria)")</f>
        <v/>
      </c>
      <c r="O1881" s="5">
        <f>IF(J1881="","",Parametros!$B$6-J1881)</f>
        <v/>
      </c>
      <c r="P1881" s="5">
        <f>IF(O1881="","",IF(O1881&gt;0,1,0))</f>
        <v/>
      </c>
    </row>
    <row r="1882">
      <c r="A1882" s="5" t="n">
        <v>2111000000</v>
      </c>
      <c r="B1882" s="5" t="inlineStr">
        <is>
          <t>100883</t>
        </is>
      </c>
      <c r="C1882" s="5" t="inlineStr">
        <is>
          <t>QUELMAR TRANSPORTES LTDA</t>
        </is>
      </c>
      <c r="D1882" s="5" t="inlineStr">
        <is>
          <t>RE</t>
        </is>
      </c>
      <c r="E1882" s="5" t="n">
        <v>5013443</v>
      </c>
      <c r="F1882" s="5" t="inlineStr">
        <is>
          <t>108054-1</t>
        </is>
      </c>
      <c r="G1882" s="5" t="inlineStr">
        <is>
          <t>BRL</t>
        </is>
      </c>
      <c r="H1882" s="9" t="n">
        <v>-1590</v>
      </c>
      <c r="I1882" s="16" t="n">
        <v>46220</v>
      </c>
      <c r="J1882" s="16" t="n">
        <v>46270</v>
      </c>
      <c r="K1882" s="5" t="inlineStr">
        <is>
          <t>Fatura - bruto QUELMAR TRANSPORTES LTDA 108054-1</t>
        </is>
      </c>
      <c r="L1882" s="5" t="inlineStr">
        <is>
          <t>08092026</t>
        </is>
      </c>
      <c r="M1882" s="5">
        <f>IF(YEAR(I1882)&lt;=2020,"Até 2020",TEXT(YEAR(I1882),"0"))</f>
        <v/>
      </c>
      <c r="N1882" s="5">
        <f>IFERROR(INDEX(DePara!$A:$A,MATCH(TEXT(B1882,"0"),DePara!$D:$D,0)),"(sem categoria)")</f>
        <v/>
      </c>
      <c r="O1882" s="5">
        <f>IF(J1882="","",Parametros!$B$6-J1882)</f>
        <v/>
      </c>
      <c r="P1882" s="5">
        <f>IF(O1882="","",IF(O1882&gt;0,1,0))</f>
        <v/>
      </c>
    </row>
    <row r="1883">
      <c r="A1883" s="5" t="n">
        <v>2111000000</v>
      </c>
      <c r="B1883" s="5" t="inlineStr">
        <is>
          <t>100883</t>
        </is>
      </c>
      <c r="C1883" s="5" t="inlineStr">
        <is>
          <t>QUELMAR TRANSPORTES LTDA</t>
        </is>
      </c>
      <c r="D1883" s="5" t="inlineStr">
        <is>
          <t>RE</t>
        </is>
      </c>
      <c r="E1883" s="5" t="n">
        <v>5013444</v>
      </c>
      <c r="F1883" s="5" t="inlineStr">
        <is>
          <t>108022-1</t>
        </is>
      </c>
      <c r="G1883" s="5" t="inlineStr">
        <is>
          <t>BRL</t>
        </is>
      </c>
      <c r="H1883" s="9" t="n">
        <v>-3015.26</v>
      </c>
      <c r="I1883" s="16" t="n">
        <v>46220</v>
      </c>
      <c r="J1883" s="16" t="n">
        <v>46270</v>
      </c>
      <c r="K1883" s="5" t="inlineStr">
        <is>
          <t>Fatura - bruto QUELMAR TRANSPORTES LTDA 108022-1</t>
        </is>
      </c>
      <c r="L1883" s="5" t="inlineStr">
        <is>
          <t>08092026</t>
        </is>
      </c>
      <c r="M1883" s="5">
        <f>IF(YEAR(I1883)&lt;=2020,"Até 2020",TEXT(YEAR(I1883),"0"))</f>
        <v/>
      </c>
      <c r="N1883" s="5">
        <f>IFERROR(INDEX(DePara!$A:$A,MATCH(TEXT(B1883,"0"),DePara!$D:$D,0)),"(sem categoria)")</f>
        <v/>
      </c>
      <c r="O1883" s="5">
        <f>IF(J1883="","",Parametros!$B$6-J1883)</f>
        <v/>
      </c>
      <c r="P1883" s="5">
        <f>IF(O1883="","",IF(O1883&gt;0,1,0))</f>
        <v/>
      </c>
    </row>
    <row r="1884">
      <c r="A1884" s="5" t="n">
        <v>2111000000</v>
      </c>
      <c r="B1884" s="5" t="inlineStr">
        <is>
          <t>101463</t>
        </is>
      </c>
      <c r="C1884" s="5" t="inlineStr">
        <is>
          <t>ZURICH MINAS BRASIL SEGUROS S A</t>
        </is>
      </c>
      <c r="D1884" s="5" t="inlineStr">
        <is>
          <t>RE</t>
        </is>
      </c>
      <c r="E1884" s="5" t="n">
        <v>5013445</v>
      </c>
      <c r="F1884" s="5" t="inlineStr">
        <is>
          <t>0367/26</t>
        </is>
      </c>
      <c r="G1884" s="5" t="inlineStr">
        <is>
          <t>BRL</t>
        </is>
      </c>
      <c r="H1884" s="9" t="n">
        <v>-231.24</v>
      </c>
      <c r="I1884" s="16" t="n">
        <v>46227</v>
      </c>
      <c r="J1884" s="16" t="n">
        <v>46257</v>
      </c>
      <c r="K1884" s="5" t="inlineStr">
        <is>
          <t>Invoice Payment. SP: 20400</t>
        </is>
      </c>
      <c r="L1884" s="5" t="inlineStr">
        <is>
          <t>0367/26</t>
        </is>
      </c>
      <c r="M1884" s="5">
        <f>IF(YEAR(I1884)&lt;=2020,"Até 2020",TEXT(YEAR(I1884),"0"))</f>
        <v/>
      </c>
      <c r="N1884" s="5">
        <f>IFERROR(INDEX(DePara!$A:$A,MATCH(TEXT(B1884,"0"),DePara!$D:$D,0)),"(sem categoria)")</f>
        <v/>
      </c>
      <c r="O1884" s="5">
        <f>IF(J1884="","",Parametros!$B$6-J1884)</f>
        <v/>
      </c>
      <c r="P1884" s="5">
        <f>IF(O1884="","",IF(O1884&gt;0,1,0))</f>
        <v/>
      </c>
    </row>
    <row r="1885">
      <c r="A1885" s="5" t="n">
        <v>2111000000</v>
      </c>
      <c r="B1885" s="5" t="inlineStr">
        <is>
          <t>101463</t>
        </is>
      </c>
      <c r="C1885" s="5" t="inlineStr">
        <is>
          <t>ZURICH MINAS BRASIL SEGUROS S A</t>
        </is>
      </c>
      <c r="D1885" s="5" t="inlineStr">
        <is>
          <t>RE</t>
        </is>
      </c>
      <c r="E1885" s="5" t="n">
        <v>5013452</v>
      </c>
      <c r="F1885" s="5" t="inlineStr">
        <is>
          <t>0380/26</t>
        </is>
      </c>
      <c r="G1885" s="5" t="inlineStr">
        <is>
          <t>BRL</t>
        </is>
      </c>
      <c r="H1885" s="9" t="n">
        <v>-162.96</v>
      </c>
      <c r="I1885" s="16" t="n">
        <v>46227</v>
      </c>
      <c r="J1885" s="16" t="n">
        <v>46257</v>
      </c>
      <c r="K1885" s="5" t="inlineStr">
        <is>
          <t>Invoice Payment. SP: 20403</t>
        </is>
      </c>
      <c r="L1885" s="5" t="inlineStr">
        <is>
          <t>0380/26</t>
        </is>
      </c>
      <c r="M1885" s="5">
        <f>IF(YEAR(I1885)&lt;=2020,"Até 2020",TEXT(YEAR(I1885),"0"))</f>
        <v/>
      </c>
      <c r="N1885" s="5">
        <f>IFERROR(INDEX(DePara!$A:$A,MATCH(TEXT(B1885,"0"),DePara!$D:$D,0)),"(sem categoria)")</f>
        <v/>
      </c>
      <c r="O1885" s="5">
        <f>IF(J1885="","",Parametros!$B$6-J1885)</f>
        <v/>
      </c>
      <c r="P1885" s="5">
        <f>IF(O1885="","",IF(O1885&gt;0,1,0))</f>
        <v/>
      </c>
    </row>
    <row r="1886">
      <c r="A1886" s="5" t="n">
        <v>2111000000</v>
      </c>
      <c r="B1886" s="5" t="inlineStr">
        <is>
          <t>101463</t>
        </is>
      </c>
      <c r="C1886" s="5" t="inlineStr">
        <is>
          <t>ZURICH MINAS BRASIL SEGUROS S A</t>
        </is>
      </c>
      <c r="D1886" s="5" t="inlineStr">
        <is>
          <t>RE</t>
        </is>
      </c>
      <c r="E1886" s="5" t="n">
        <v>5013454</v>
      </c>
      <c r="F1886" s="5" t="inlineStr">
        <is>
          <t>0401/26</t>
        </is>
      </c>
      <c r="G1886" s="5" t="inlineStr">
        <is>
          <t>BRL</t>
        </is>
      </c>
      <c r="H1886" s="9" t="n">
        <v>-448.41</v>
      </c>
      <c r="I1886" s="16" t="n">
        <v>46227</v>
      </c>
      <c r="J1886" s="16" t="n">
        <v>46257</v>
      </c>
      <c r="K1886" s="5" t="inlineStr">
        <is>
          <t>Invoice Payment. SP: 20405</t>
        </is>
      </c>
      <c r="L1886" s="5" t="inlineStr">
        <is>
          <t>0401/26</t>
        </is>
      </c>
      <c r="M1886" s="5">
        <f>IF(YEAR(I1886)&lt;=2020,"Até 2020",TEXT(YEAR(I1886),"0"))</f>
        <v/>
      </c>
      <c r="N1886" s="5">
        <f>IFERROR(INDEX(DePara!$A:$A,MATCH(TEXT(B1886,"0"),DePara!$D:$D,0)),"(sem categoria)")</f>
        <v/>
      </c>
      <c r="O1886" s="5">
        <f>IF(J1886="","",Parametros!$B$6-J1886)</f>
        <v/>
      </c>
      <c r="P1886" s="5">
        <f>IF(O1886="","",IF(O1886&gt;0,1,0))</f>
        <v/>
      </c>
    </row>
    <row r="1887">
      <c r="A1887" s="5" t="n">
        <v>2111000000</v>
      </c>
      <c r="B1887" s="5" t="inlineStr">
        <is>
          <t>101463</t>
        </is>
      </c>
      <c r="C1887" s="5" t="inlineStr">
        <is>
          <t>ZURICH MINAS BRASIL SEGUROS S A</t>
        </is>
      </c>
      <c r="D1887" s="5" t="inlineStr">
        <is>
          <t>RE</t>
        </is>
      </c>
      <c r="E1887" s="5" t="n">
        <v>5013458</v>
      </c>
      <c r="F1887" s="5" t="inlineStr">
        <is>
          <t>0310/26</t>
        </is>
      </c>
      <c r="G1887" s="5" t="inlineStr">
        <is>
          <t>BRL</t>
        </is>
      </c>
      <c r="H1887" s="9" t="n">
        <v>-3233.25</v>
      </c>
      <c r="I1887" s="16" t="n">
        <v>46227</v>
      </c>
      <c r="J1887" s="16" t="n">
        <v>46257</v>
      </c>
      <c r="K1887" s="5" t="inlineStr">
        <is>
          <t>Invoice Payment. SP: 20418</t>
        </is>
      </c>
      <c r="L1887" s="5" t="inlineStr">
        <is>
          <t>0310/26</t>
        </is>
      </c>
      <c r="M1887" s="5">
        <f>IF(YEAR(I1887)&lt;=2020,"Até 2020",TEXT(YEAR(I1887),"0"))</f>
        <v/>
      </c>
      <c r="N1887" s="5">
        <f>IFERROR(INDEX(DePara!$A:$A,MATCH(TEXT(B1887,"0"),DePara!$D:$D,0)),"(sem categoria)")</f>
        <v/>
      </c>
      <c r="O1887" s="5">
        <f>IF(J1887="","",Parametros!$B$6-J1887)</f>
        <v/>
      </c>
      <c r="P1887" s="5">
        <f>IF(O1887="","",IF(O1887&gt;0,1,0))</f>
        <v/>
      </c>
    </row>
    <row r="1888">
      <c r="A1888" s="5" t="n">
        <v>2111000000</v>
      </c>
      <c r="B1888" s="5" t="inlineStr">
        <is>
          <t>103936</t>
        </is>
      </c>
      <c r="C1888" s="5" t="inlineStr">
        <is>
          <t>BELA VISTA RENOVAVEIS II LTDA</t>
        </is>
      </c>
      <c r="D1888" s="5" t="inlineStr">
        <is>
          <t>RE</t>
        </is>
      </c>
      <c r="E1888" s="5" t="n">
        <v>5013460</v>
      </c>
      <c r="F1888" s="5" t="inlineStr">
        <is>
          <t>1694</t>
        </is>
      </c>
      <c r="G1888" s="5" t="inlineStr">
        <is>
          <t>BRL</t>
        </is>
      </c>
      <c r="H1888" s="9" t="n">
        <v>-18242.32</v>
      </c>
      <c r="I1888" s="16" t="n">
        <v>46225</v>
      </c>
      <c r="J1888" s="16" t="n">
        <v>46270</v>
      </c>
      <c r="K1888" s="5" t="inlineStr">
        <is>
          <t>Fatura - bruto BELA VISTA RENOVAVEIS II LTDA 1694</t>
        </is>
      </c>
      <c r="L1888" s="5" t="inlineStr">
        <is>
          <t>02092026</t>
        </is>
      </c>
      <c r="M1888" s="5">
        <f>IF(YEAR(I1888)&lt;=2020,"Até 2020",TEXT(YEAR(I1888),"0"))</f>
        <v/>
      </c>
      <c r="N1888" s="5">
        <f>IFERROR(INDEX(DePara!$A:$A,MATCH(TEXT(B1888,"0"),DePara!$D:$D,0)),"(sem categoria)")</f>
        <v/>
      </c>
      <c r="O1888" s="5">
        <f>IF(J1888="","",Parametros!$B$6-J1888)</f>
        <v/>
      </c>
      <c r="P1888" s="5">
        <f>IF(O1888="","",IF(O1888&gt;0,1,0))</f>
        <v/>
      </c>
    </row>
    <row r="1889">
      <c r="A1889" s="5" t="n">
        <v>2111000000</v>
      </c>
      <c r="B1889" s="5" t="inlineStr">
        <is>
          <t>100883</t>
        </is>
      </c>
      <c r="C1889" s="5" t="inlineStr">
        <is>
          <t>QUELMAR TRANSPORTES LTDA</t>
        </is>
      </c>
      <c r="D1889" s="5" t="inlineStr">
        <is>
          <t>RE</t>
        </is>
      </c>
      <c r="E1889" s="5" t="n">
        <v>5013461</v>
      </c>
      <c r="F1889" s="5" t="inlineStr">
        <is>
          <t>6236-2</t>
        </is>
      </c>
      <c r="G1889" s="5" t="inlineStr">
        <is>
          <t>BRL</t>
        </is>
      </c>
      <c r="H1889" s="9" t="n">
        <v>-2426</v>
      </c>
      <c r="I1889" s="16" t="n">
        <v>46218</v>
      </c>
      <c r="J1889" s="16" t="n">
        <v>46270</v>
      </c>
      <c r="K1889" s="5" t="inlineStr">
        <is>
          <t>Fatura - bruto QUELMAR TRANSPORTES LTDA 6236-2</t>
        </is>
      </c>
      <c r="L1889" s="5" t="inlineStr">
        <is>
          <t>08092026</t>
        </is>
      </c>
      <c r="M1889" s="5">
        <f>IF(YEAR(I1889)&lt;=2020,"Até 2020",TEXT(YEAR(I1889),"0"))</f>
        <v/>
      </c>
      <c r="N1889" s="5">
        <f>IFERROR(INDEX(DePara!$A:$A,MATCH(TEXT(B1889,"0"),DePara!$D:$D,0)),"(sem categoria)")</f>
        <v/>
      </c>
      <c r="O1889" s="5">
        <f>IF(J1889="","",Parametros!$B$6-J1889)</f>
        <v/>
      </c>
      <c r="P1889" s="5">
        <f>IF(O1889="","",IF(O1889&gt;0,1,0))</f>
        <v/>
      </c>
    </row>
    <row r="1890">
      <c r="A1890" s="5" t="n">
        <v>2111000000</v>
      </c>
      <c r="B1890" s="5" t="inlineStr">
        <is>
          <t>100883</t>
        </is>
      </c>
      <c r="C1890" s="5" t="inlineStr">
        <is>
          <t>QUELMAR TRANSPORTES LTDA</t>
        </is>
      </c>
      <c r="D1890" s="5" t="inlineStr">
        <is>
          <t>RE</t>
        </is>
      </c>
      <c r="E1890" s="5" t="n">
        <v>5013462</v>
      </c>
      <c r="F1890" s="5" t="inlineStr">
        <is>
          <t>6237-2</t>
        </is>
      </c>
      <c r="G1890" s="5" t="inlineStr">
        <is>
          <t>BRL</t>
        </is>
      </c>
      <c r="H1890" s="9" t="n">
        <v>-3400.32</v>
      </c>
      <c r="I1890" s="16" t="n">
        <v>46218</v>
      </c>
      <c r="J1890" s="16" t="n">
        <v>46270</v>
      </c>
      <c r="K1890" s="5" t="inlineStr">
        <is>
          <t>Fatura - bruto QUELMAR TRANSPORTES LTDA 6237-2</t>
        </is>
      </c>
      <c r="L1890" s="5" t="inlineStr">
        <is>
          <t>08092026</t>
        </is>
      </c>
      <c r="M1890" s="5">
        <f>IF(YEAR(I1890)&lt;=2020,"Até 2020",TEXT(YEAR(I1890),"0"))</f>
        <v/>
      </c>
      <c r="N1890" s="5">
        <f>IFERROR(INDEX(DePara!$A:$A,MATCH(TEXT(B1890,"0"),DePara!$D:$D,0)),"(sem categoria)")</f>
        <v/>
      </c>
      <c r="O1890" s="5">
        <f>IF(J1890="","",Parametros!$B$6-J1890)</f>
        <v/>
      </c>
      <c r="P1890" s="5">
        <f>IF(O1890="","",IF(O1890&gt;0,1,0))</f>
        <v/>
      </c>
    </row>
    <row r="1891">
      <c r="A1891" s="5" t="n">
        <v>2111000000</v>
      </c>
      <c r="B1891" s="5" t="inlineStr">
        <is>
          <t>100883</t>
        </is>
      </c>
      <c r="C1891" s="5" t="inlineStr">
        <is>
          <t>QUELMAR TRANSPORTES LTDA</t>
        </is>
      </c>
      <c r="D1891" s="5" t="inlineStr">
        <is>
          <t>RE</t>
        </is>
      </c>
      <c r="E1891" s="5" t="n">
        <v>5013463</v>
      </c>
      <c r="F1891" s="5" t="inlineStr">
        <is>
          <t>108029-1</t>
        </is>
      </c>
      <c r="G1891" s="5" t="inlineStr">
        <is>
          <t>BRL</t>
        </is>
      </c>
      <c r="H1891" s="9" t="n">
        <v>-2430.02</v>
      </c>
      <c r="I1891" s="16" t="n">
        <v>46220</v>
      </c>
      <c r="J1891" s="16" t="n">
        <v>46270</v>
      </c>
      <c r="K1891" s="5" t="inlineStr">
        <is>
          <t>Fatura - bruto QUELMAR TRANSPORTES LTDA 108029-1</t>
        </is>
      </c>
      <c r="L1891" s="5" t="inlineStr">
        <is>
          <t>08092026</t>
        </is>
      </c>
      <c r="M1891" s="5">
        <f>IF(YEAR(I1891)&lt;=2020,"Até 2020",TEXT(YEAR(I1891),"0"))</f>
        <v/>
      </c>
      <c r="N1891" s="5">
        <f>IFERROR(INDEX(DePara!$A:$A,MATCH(TEXT(B1891,"0"),DePara!$D:$D,0)),"(sem categoria)")</f>
        <v/>
      </c>
      <c r="O1891" s="5">
        <f>IF(J1891="","",Parametros!$B$6-J1891)</f>
        <v/>
      </c>
      <c r="P1891" s="5">
        <f>IF(O1891="","",IF(O1891&gt;0,1,0))</f>
        <v/>
      </c>
    </row>
    <row r="1892">
      <c r="A1892" s="5" t="n">
        <v>2111000000</v>
      </c>
      <c r="B1892" s="5" t="inlineStr">
        <is>
          <t>100883</t>
        </is>
      </c>
      <c r="C1892" s="5" t="inlineStr">
        <is>
          <t>QUELMAR TRANSPORTES LTDA</t>
        </is>
      </c>
      <c r="D1892" s="5" t="inlineStr">
        <is>
          <t>RE</t>
        </is>
      </c>
      <c r="E1892" s="5" t="n">
        <v>5013464</v>
      </c>
      <c r="F1892" s="5" t="inlineStr">
        <is>
          <t>108030-1</t>
        </is>
      </c>
      <c r="G1892" s="5" t="inlineStr">
        <is>
          <t>BRL</t>
        </is>
      </c>
      <c r="H1892" s="9" t="n">
        <v>-2493.18</v>
      </c>
      <c r="I1892" s="16" t="n">
        <v>46220</v>
      </c>
      <c r="J1892" s="16" t="n">
        <v>46270</v>
      </c>
      <c r="K1892" s="5" t="inlineStr">
        <is>
          <t>Fatura - bruto QUELMAR TRANSPORTES LTDA 108030-1</t>
        </is>
      </c>
      <c r="L1892" s="5" t="inlineStr">
        <is>
          <t>08092026</t>
        </is>
      </c>
      <c r="M1892" s="5">
        <f>IF(YEAR(I1892)&lt;=2020,"Até 2020",TEXT(YEAR(I1892),"0"))</f>
        <v/>
      </c>
      <c r="N1892" s="5">
        <f>IFERROR(INDEX(DePara!$A:$A,MATCH(TEXT(B1892,"0"),DePara!$D:$D,0)),"(sem categoria)")</f>
        <v/>
      </c>
      <c r="O1892" s="5">
        <f>IF(J1892="","",Parametros!$B$6-J1892)</f>
        <v/>
      </c>
      <c r="P1892" s="5">
        <f>IF(O1892="","",IF(O1892&gt;0,1,0))</f>
        <v/>
      </c>
    </row>
    <row r="1893">
      <c r="A1893" s="5" t="n">
        <v>2111000000</v>
      </c>
      <c r="B1893" s="5" t="inlineStr">
        <is>
          <t>100883</t>
        </is>
      </c>
      <c r="C1893" s="5" t="inlineStr">
        <is>
          <t>QUELMAR TRANSPORTES LTDA</t>
        </is>
      </c>
      <c r="D1893" s="5" t="inlineStr">
        <is>
          <t>RE</t>
        </is>
      </c>
      <c r="E1893" s="5" t="n">
        <v>5013465</v>
      </c>
      <c r="F1893" s="5" t="inlineStr">
        <is>
          <t>108031-1</t>
        </is>
      </c>
      <c r="G1893" s="5" t="inlineStr">
        <is>
          <t>BRL</t>
        </is>
      </c>
      <c r="H1893" s="9" t="n">
        <v>-2576.29</v>
      </c>
      <c r="I1893" s="16" t="n">
        <v>46220</v>
      </c>
      <c r="J1893" s="16" t="n">
        <v>46270</v>
      </c>
      <c r="K1893" s="5" t="inlineStr">
        <is>
          <t>Fatura - bruto QUELMAR TRANSPORTES LTDA 108031-1</t>
        </is>
      </c>
      <c r="L1893" s="5" t="inlineStr">
        <is>
          <t>08092026</t>
        </is>
      </c>
      <c r="M1893" s="5">
        <f>IF(YEAR(I1893)&lt;=2020,"Até 2020",TEXT(YEAR(I1893),"0"))</f>
        <v/>
      </c>
      <c r="N1893" s="5">
        <f>IFERROR(INDEX(DePara!$A:$A,MATCH(TEXT(B1893,"0"),DePara!$D:$D,0)),"(sem categoria)")</f>
        <v/>
      </c>
      <c r="O1893" s="5">
        <f>IF(J1893="","",Parametros!$B$6-J1893)</f>
        <v/>
      </c>
      <c r="P1893" s="5">
        <f>IF(O1893="","",IF(O1893&gt;0,1,0))</f>
        <v/>
      </c>
    </row>
    <row r="1894">
      <c r="A1894" s="5" t="n">
        <v>2111000000</v>
      </c>
      <c r="B1894" s="5" t="inlineStr">
        <is>
          <t>100883</t>
        </is>
      </c>
      <c r="C1894" s="5" t="inlineStr">
        <is>
          <t>QUELMAR TRANSPORTES LTDA</t>
        </is>
      </c>
      <c r="D1894" s="5" t="inlineStr">
        <is>
          <t>RE</t>
        </is>
      </c>
      <c r="E1894" s="5" t="n">
        <v>5013466</v>
      </c>
      <c r="F1894" s="5" t="inlineStr">
        <is>
          <t>108032-1</t>
        </is>
      </c>
      <c r="G1894" s="5" t="inlineStr">
        <is>
          <t>BRL</t>
        </is>
      </c>
      <c r="H1894" s="9" t="n">
        <v>-2216.16</v>
      </c>
      <c r="I1894" s="16" t="n">
        <v>46220</v>
      </c>
      <c r="J1894" s="16" t="n">
        <v>46270</v>
      </c>
      <c r="K1894" s="5" t="inlineStr">
        <is>
          <t>Fatura - bruto QUELMAR TRANSPORTES LTDA 108032-1</t>
        </is>
      </c>
      <c r="L1894" s="5" t="inlineStr">
        <is>
          <t>08092026</t>
        </is>
      </c>
      <c r="M1894" s="5">
        <f>IF(YEAR(I1894)&lt;=2020,"Até 2020",TEXT(YEAR(I1894),"0"))</f>
        <v/>
      </c>
      <c r="N1894" s="5">
        <f>IFERROR(INDEX(DePara!$A:$A,MATCH(TEXT(B1894,"0"),DePara!$D:$D,0)),"(sem categoria)")</f>
        <v/>
      </c>
      <c r="O1894" s="5">
        <f>IF(J1894="","",Parametros!$B$6-J1894)</f>
        <v/>
      </c>
      <c r="P1894" s="5">
        <f>IF(O1894="","",IF(O1894&gt;0,1,0))</f>
        <v/>
      </c>
    </row>
    <row r="1895">
      <c r="A1895" s="5" t="n">
        <v>2111000000</v>
      </c>
      <c r="B1895" s="5" t="inlineStr">
        <is>
          <t>101463</t>
        </is>
      </c>
      <c r="C1895" s="5" t="inlineStr">
        <is>
          <t>ZURICH MINAS BRASIL SEGUROS S A</t>
        </is>
      </c>
      <c r="D1895" s="5" t="inlineStr">
        <is>
          <t>RE</t>
        </is>
      </c>
      <c r="E1895" s="5" t="n">
        <v>5013467</v>
      </c>
      <c r="F1895" s="5" t="inlineStr">
        <is>
          <t>0421/26</t>
        </is>
      </c>
      <c r="G1895" s="5" t="inlineStr">
        <is>
          <t>BRL</t>
        </is>
      </c>
      <c r="H1895" s="9" t="n">
        <v>-577.62</v>
      </c>
      <c r="I1895" s="16" t="n">
        <v>46227</v>
      </c>
      <c r="J1895" s="16" t="n">
        <v>46257</v>
      </c>
      <c r="K1895" s="5" t="inlineStr">
        <is>
          <t>Invoice Payment. SP: 20438</t>
        </is>
      </c>
      <c r="L1895" s="5" t="inlineStr">
        <is>
          <t>0421/26</t>
        </is>
      </c>
      <c r="M1895" s="5">
        <f>IF(YEAR(I1895)&lt;=2020,"Até 2020",TEXT(YEAR(I1895),"0"))</f>
        <v/>
      </c>
      <c r="N1895" s="5">
        <f>IFERROR(INDEX(DePara!$A:$A,MATCH(TEXT(B1895,"0"),DePara!$D:$D,0)),"(sem categoria)")</f>
        <v/>
      </c>
      <c r="O1895" s="5">
        <f>IF(J1895="","",Parametros!$B$6-J1895)</f>
        <v/>
      </c>
      <c r="P1895" s="5">
        <f>IF(O1895="","",IF(O1895&gt;0,1,0))</f>
        <v/>
      </c>
    </row>
    <row r="1896">
      <c r="A1896" s="5" t="n">
        <v>2111000000</v>
      </c>
      <c r="B1896" s="5" t="inlineStr">
        <is>
          <t>101463</t>
        </is>
      </c>
      <c r="C1896" s="5" t="inlineStr">
        <is>
          <t>ZURICH MINAS BRASIL SEGUROS S A</t>
        </is>
      </c>
      <c r="D1896" s="5" t="inlineStr">
        <is>
          <t>RE</t>
        </is>
      </c>
      <c r="E1896" s="5" t="n">
        <v>5013469</v>
      </c>
      <c r="F1896" s="5" t="inlineStr">
        <is>
          <t>0389/26</t>
        </is>
      </c>
      <c r="G1896" s="5" t="inlineStr">
        <is>
          <t>BRL</t>
        </is>
      </c>
      <c r="H1896" s="9" t="n">
        <v>-62.08</v>
      </c>
      <c r="I1896" s="16" t="n">
        <v>46227</v>
      </c>
      <c r="J1896" s="16" t="n">
        <v>46257</v>
      </c>
      <c r="K1896" s="5" t="inlineStr">
        <is>
          <t>Invoice Payment. SP: 20458</t>
        </is>
      </c>
      <c r="L1896" s="5" t="inlineStr">
        <is>
          <t>0389/26</t>
        </is>
      </c>
      <c r="M1896" s="5">
        <f>IF(YEAR(I1896)&lt;=2020,"Até 2020",TEXT(YEAR(I1896),"0"))</f>
        <v/>
      </c>
      <c r="N1896" s="5">
        <f>IFERROR(INDEX(DePara!$A:$A,MATCH(TEXT(B1896,"0"),DePara!$D:$D,0)),"(sem categoria)")</f>
        <v/>
      </c>
      <c r="O1896" s="5">
        <f>IF(J1896="","",Parametros!$B$6-J1896)</f>
        <v/>
      </c>
      <c r="P1896" s="5">
        <f>IF(O1896="","",IF(O1896&gt;0,1,0))</f>
        <v/>
      </c>
    </row>
    <row r="1897">
      <c r="A1897" s="5" t="n">
        <v>2111000000</v>
      </c>
      <c r="B1897" s="5" t="inlineStr">
        <is>
          <t>101463</t>
        </is>
      </c>
      <c r="C1897" s="5" t="inlineStr">
        <is>
          <t>ZURICH MINAS BRASIL SEGUROS S A</t>
        </is>
      </c>
      <c r="D1897" s="5" t="inlineStr">
        <is>
          <t>RE</t>
        </is>
      </c>
      <c r="E1897" s="5" t="n">
        <v>5013473</v>
      </c>
      <c r="F1897" s="5" t="inlineStr">
        <is>
          <t>0353/26</t>
        </is>
      </c>
      <c r="G1897" s="5" t="inlineStr">
        <is>
          <t>BRL</t>
        </is>
      </c>
      <c r="H1897" s="9" t="n">
        <v>-1.61</v>
      </c>
      <c r="I1897" s="16" t="n">
        <v>46227</v>
      </c>
      <c r="J1897" s="16" t="n">
        <v>46257</v>
      </c>
      <c r="K1897" s="5" t="inlineStr">
        <is>
          <t>Invoice Payment. SP: 20460</t>
        </is>
      </c>
      <c r="L1897" s="5" t="inlineStr">
        <is>
          <t>0353/26</t>
        </is>
      </c>
      <c r="M1897" s="5">
        <f>IF(YEAR(I1897)&lt;=2020,"Até 2020",TEXT(YEAR(I1897),"0"))</f>
        <v/>
      </c>
      <c r="N1897" s="5">
        <f>IFERROR(INDEX(DePara!$A:$A,MATCH(TEXT(B1897,"0"),DePara!$D:$D,0)),"(sem categoria)")</f>
        <v/>
      </c>
      <c r="O1897" s="5">
        <f>IF(J1897="","",Parametros!$B$6-J1897)</f>
        <v/>
      </c>
      <c r="P1897" s="5">
        <f>IF(O1897="","",IF(O1897&gt;0,1,0))</f>
        <v/>
      </c>
    </row>
    <row r="1898">
      <c r="A1898" s="5" t="n">
        <v>2111000000</v>
      </c>
      <c r="B1898" s="5" t="inlineStr">
        <is>
          <t>101463</t>
        </is>
      </c>
      <c r="C1898" s="5" t="inlineStr">
        <is>
          <t>ZURICH MINAS BRASIL SEGUROS S A</t>
        </is>
      </c>
      <c r="D1898" s="5" t="inlineStr">
        <is>
          <t>RE</t>
        </is>
      </c>
      <c r="E1898" s="5" t="n">
        <v>5013475</v>
      </c>
      <c r="F1898" s="5" t="inlineStr">
        <is>
          <t>0364/26</t>
        </is>
      </c>
      <c r="G1898" s="5" t="inlineStr">
        <is>
          <t>BRL</t>
        </is>
      </c>
      <c r="H1898" s="9" t="n">
        <v>-80.3</v>
      </c>
      <c r="I1898" s="16" t="n">
        <v>46227</v>
      </c>
      <c r="J1898" s="16" t="n">
        <v>46257</v>
      </c>
      <c r="K1898" s="5" t="inlineStr">
        <is>
          <t>Invoice Payment. SP: 20462</t>
        </is>
      </c>
      <c r="L1898" s="5" t="inlineStr">
        <is>
          <t>0364/26</t>
        </is>
      </c>
      <c r="M1898" s="5">
        <f>IF(YEAR(I1898)&lt;=2020,"Até 2020",TEXT(YEAR(I1898),"0"))</f>
        <v/>
      </c>
      <c r="N1898" s="5">
        <f>IFERROR(INDEX(DePara!$A:$A,MATCH(TEXT(B1898,"0"),DePara!$D:$D,0)),"(sem categoria)")</f>
        <v/>
      </c>
      <c r="O1898" s="5">
        <f>IF(J1898="","",Parametros!$B$6-J1898)</f>
        <v/>
      </c>
      <c r="P1898" s="5">
        <f>IF(O1898="","",IF(O1898&gt;0,1,0))</f>
        <v/>
      </c>
    </row>
    <row r="1899">
      <c r="A1899" s="5" t="n">
        <v>2111000000</v>
      </c>
      <c r="B1899" s="5" t="inlineStr">
        <is>
          <t>101463</t>
        </is>
      </c>
      <c r="C1899" s="5" t="inlineStr">
        <is>
          <t>ZURICH MINAS BRASIL SEGUROS S A</t>
        </is>
      </c>
      <c r="D1899" s="5" t="inlineStr">
        <is>
          <t>RE</t>
        </is>
      </c>
      <c r="E1899" s="5" t="n">
        <v>5013478</v>
      </c>
      <c r="F1899" s="5" t="inlineStr">
        <is>
          <t>0388/26</t>
        </is>
      </c>
      <c r="G1899" s="5" t="inlineStr">
        <is>
          <t>BRL</t>
        </is>
      </c>
      <c r="H1899" s="9" t="n">
        <v>-119.32</v>
      </c>
      <c r="I1899" s="16" t="n">
        <v>46227</v>
      </c>
      <c r="J1899" s="16" t="n">
        <v>46257</v>
      </c>
      <c r="K1899" s="5" t="inlineStr">
        <is>
          <t>Invoice Payment. SP: 20464</t>
        </is>
      </c>
      <c r="L1899" s="5" t="inlineStr">
        <is>
          <t>0388/26</t>
        </is>
      </c>
      <c r="M1899" s="5">
        <f>IF(YEAR(I1899)&lt;=2020,"Até 2020",TEXT(YEAR(I1899),"0"))</f>
        <v/>
      </c>
      <c r="N1899" s="5">
        <f>IFERROR(INDEX(DePara!$A:$A,MATCH(TEXT(B1899,"0"),DePara!$D:$D,0)),"(sem categoria)")</f>
        <v/>
      </c>
      <c r="O1899" s="5">
        <f>IF(J1899="","",Parametros!$B$6-J1899)</f>
        <v/>
      </c>
      <c r="P1899" s="5">
        <f>IF(O1899="","",IF(O1899&gt;0,1,0))</f>
        <v/>
      </c>
    </row>
    <row r="1900">
      <c r="A1900" s="5" t="n">
        <v>2111000000</v>
      </c>
      <c r="B1900" s="5" t="inlineStr">
        <is>
          <t>100883</t>
        </is>
      </c>
      <c r="C1900" s="5" t="inlineStr">
        <is>
          <t>QUELMAR TRANSPORTES LTDA</t>
        </is>
      </c>
      <c r="D1900" s="5" t="inlineStr">
        <is>
          <t>RE</t>
        </is>
      </c>
      <c r="E1900" s="5" t="n">
        <v>5013480</v>
      </c>
      <c r="F1900" s="5" t="inlineStr">
        <is>
          <t>108033-1</t>
        </is>
      </c>
      <c r="G1900" s="5" t="inlineStr">
        <is>
          <t>BRL</t>
        </is>
      </c>
      <c r="H1900" s="9" t="n">
        <v>-2022.25</v>
      </c>
      <c r="I1900" s="16" t="n">
        <v>46220</v>
      </c>
      <c r="J1900" s="16" t="n">
        <v>46270</v>
      </c>
      <c r="K1900" s="5" t="inlineStr">
        <is>
          <t>Fatura - bruto QUELMAR TRANSPORTES LTDA 108033-1</t>
        </is>
      </c>
      <c r="L1900" s="5" t="inlineStr">
        <is>
          <t>08092026</t>
        </is>
      </c>
      <c r="M1900" s="5">
        <f>IF(YEAR(I1900)&lt;=2020,"Até 2020",TEXT(YEAR(I1900),"0"))</f>
        <v/>
      </c>
      <c r="N1900" s="5">
        <f>IFERROR(INDEX(DePara!$A:$A,MATCH(TEXT(B1900,"0"),DePara!$D:$D,0)),"(sem categoria)")</f>
        <v/>
      </c>
      <c r="O1900" s="5">
        <f>IF(J1900="","",Parametros!$B$6-J1900)</f>
        <v/>
      </c>
      <c r="P1900" s="5">
        <f>IF(O1900="","",IF(O1900&gt;0,1,0))</f>
        <v/>
      </c>
    </row>
    <row r="1901">
      <c r="A1901" s="5" t="n">
        <v>2111000000</v>
      </c>
      <c r="B1901" s="5" t="inlineStr">
        <is>
          <t>100883</t>
        </is>
      </c>
      <c r="C1901" s="5" t="inlineStr">
        <is>
          <t>QUELMAR TRANSPORTES LTDA</t>
        </is>
      </c>
      <c r="D1901" s="5" t="inlineStr">
        <is>
          <t>RE</t>
        </is>
      </c>
      <c r="E1901" s="5" t="n">
        <v>5013481</v>
      </c>
      <c r="F1901" s="5" t="inlineStr">
        <is>
          <t>6246-2</t>
        </is>
      </c>
      <c r="G1901" s="5" t="inlineStr">
        <is>
          <t>BRL</t>
        </is>
      </c>
      <c r="H1901" s="9" t="n">
        <v>-6800</v>
      </c>
      <c r="I1901" s="16" t="n">
        <v>46223</v>
      </c>
      <c r="J1901" s="16" t="n">
        <v>46270</v>
      </c>
      <c r="K1901" s="5" t="inlineStr">
        <is>
          <t>Fatura - bruto QUELMAR TRANSPORTES LTDA 6246-2</t>
        </is>
      </c>
      <c r="L1901" s="5" t="inlineStr">
        <is>
          <t>08092026</t>
        </is>
      </c>
      <c r="M1901" s="5">
        <f>IF(YEAR(I1901)&lt;=2020,"Até 2020",TEXT(YEAR(I1901),"0"))</f>
        <v/>
      </c>
      <c r="N1901" s="5">
        <f>IFERROR(INDEX(DePara!$A:$A,MATCH(TEXT(B1901,"0"),DePara!$D:$D,0)),"(sem categoria)")</f>
        <v/>
      </c>
      <c r="O1901" s="5">
        <f>IF(J1901="","",Parametros!$B$6-J1901)</f>
        <v/>
      </c>
      <c r="P1901" s="5">
        <f>IF(O1901="","",IF(O1901&gt;0,1,0))</f>
        <v/>
      </c>
    </row>
    <row r="1902">
      <c r="A1902" s="5" t="n">
        <v>2111000000</v>
      </c>
      <c r="B1902" s="5" t="inlineStr">
        <is>
          <t>100883</t>
        </is>
      </c>
      <c r="C1902" s="5" t="inlineStr">
        <is>
          <t>QUELMAR TRANSPORTES LTDA</t>
        </is>
      </c>
      <c r="D1902" s="5" t="inlineStr">
        <is>
          <t>RE</t>
        </is>
      </c>
      <c r="E1902" s="5" t="n">
        <v>5013482</v>
      </c>
      <c r="F1902" s="5" t="inlineStr">
        <is>
          <t>6248-2</t>
        </is>
      </c>
      <c r="G1902" s="5" t="inlineStr">
        <is>
          <t>BRL</t>
        </is>
      </c>
      <c r="H1902" s="9" t="n">
        <v>-2950</v>
      </c>
      <c r="I1902" s="16" t="n">
        <v>46223</v>
      </c>
      <c r="J1902" s="16" t="n">
        <v>46270</v>
      </c>
      <c r="K1902" s="5" t="inlineStr">
        <is>
          <t>Fatura - bruto QUELMAR TRANSPORTES LTDA 6248-2</t>
        </is>
      </c>
      <c r="L1902" s="5" t="inlineStr">
        <is>
          <t>08092026</t>
        </is>
      </c>
      <c r="M1902" s="5">
        <f>IF(YEAR(I1902)&lt;=2020,"Até 2020",TEXT(YEAR(I1902),"0"))</f>
        <v/>
      </c>
      <c r="N1902" s="5">
        <f>IFERROR(INDEX(DePara!$A:$A,MATCH(TEXT(B1902,"0"),DePara!$D:$D,0)),"(sem categoria)")</f>
        <v/>
      </c>
      <c r="O1902" s="5">
        <f>IF(J1902="","",Parametros!$B$6-J1902)</f>
        <v/>
      </c>
      <c r="P1902" s="5">
        <f>IF(O1902="","",IF(O1902&gt;0,1,0))</f>
        <v/>
      </c>
    </row>
    <row r="1903">
      <c r="A1903" s="5" t="n">
        <v>2111000000</v>
      </c>
      <c r="B1903" s="5" t="inlineStr">
        <is>
          <t>101463</t>
        </is>
      </c>
      <c r="C1903" s="5" t="inlineStr">
        <is>
          <t>ZURICH MINAS BRASIL SEGUROS S A</t>
        </is>
      </c>
      <c r="D1903" s="5" t="inlineStr">
        <is>
          <t>RE</t>
        </is>
      </c>
      <c r="E1903" s="5" t="n">
        <v>5013486</v>
      </c>
      <c r="F1903" s="5" t="inlineStr">
        <is>
          <t>0326/26</t>
        </is>
      </c>
      <c r="G1903" s="5" t="inlineStr">
        <is>
          <t>BRL</t>
        </is>
      </c>
      <c r="H1903" s="9" t="n">
        <v>-138.35</v>
      </c>
      <c r="I1903" s="16" t="n">
        <v>46227</v>
      </c>
      <c r="J1903" s="16" t="n">
        <v>46257</v>
      </c>
      <c r="K1903" s="5" t="inlineStr">
        <is>
          <t>Invoice Payment. SP: 20478</t>
        </is>
      </c>
      <c r="L1903" s="5" t="inlineStr">
        <is>
          <t>0326/26</t>
        </is>
      </c>
      <c r="M1903" s="5">
        <f>IF(YEAR(I1903)&lt;=2020,"Até 2020",TEXT(YEAR(I1903),"0"))</f>
        <v/>
      </c>
      <c r="N1903" s="5">
        <f>IFERROR(INDEX(DePara!$A:$A,MATCH(TEXT(B1903,"0"),DePara!$D:$D,0)),"(sem categoria)")</f>
        <v/>
      </c>
      <c r="O1903" s="5">
        <f>IF(J1903="","",Parametros!$B$6-J1903)</f>
        <v/>
      </c>
      <c r="P1903" s="5">
        <f>IF(O1903="","",IF(O1903&gt;0,1,0))</f>
        <v/>
      </c>
    </row>
    <row r="1904">
      <c r="A1904" s="5" t="n">
        <v>2111000000</v>
      </c>
      <c r="B1904" s="5" t="inlineStr">
        <is>
          <t>100031</t>
        </is>
      </c>
      <c r="C1904" s="5" t="inlineStr">
        <is>
          <t>MEGAWIND INDUSTRIA E COMERCIO</t>
        </is>
      </c>
      <c r="D1904" s="5" t="inlineStr">
        <is>
          <t>RE</t>
        </is>
      </c>
      <c r="E1904" s="5" t="n">
        <v>5013490</v>
      </c>
      <c r="F1904" s="5" t="inlineStr">
        <is>
          <t>1425</t>
        </is>
      </c>
      <c r="G1904" s="5" t="inlineStr">
        <is>
          <t>BRL</t>
        </is>
      </c>
      <c r="H1904" s="9" t="n">
        <v>-210000</v>
      </c>
      <c r="I1904" s="16" t="n">
        <v>46226</v>
      </c>
      <c r="J1904" s="16" t="n">
        <v>46270</v>
      </c>
      <c r="K1904" s="5" t="inlineStr">
        <is>
          <t>Fatura - bruto MEGAWIND INDUSTRIA E COMERCIO 1425</t>
        </is>
      </c>
      <c r="L1904" s="5" t="inlineStr">
        <is>
          <t>08092026</t>
        </is>
      </c>
      <c r="M1904" s="5">
        <f>IF(YEAR(I1904)&lt;=2020,"Até 2020",TEXT(YEAR(I1904),"0"))</f>
        <v/>
      </c>
      <c r="N1904" s="5">
        <f>IFERROR(INDEX(DePara!$A:$A,MATCH(TEXT(B1904,"0"),DePara!$D:$D,0)),"(sem categoria)")</f>
        <v/>
      </c>
      <c r="O1904" s="5">
        <f>IF(J1904="","",Parametros!$B$6-J1904)</f>
        <v/>
      </c>
      <c r="P1904" s="5">
        <f>IF(O1904="","",IF(O1904&gt;0,1,0))</f>
        <v/>
      </c>
    </row>
    <row r="1905">
      <c r="A1905" s="5" t="n">
        <v>2111000000</v>
      </c>
      <c r="B1905" s="5" t="inlineStr">
        <is>
          <t>101913</t>
        </is>
      </c>
      <c r="C1905" s="5" t="inlineStr">
        <is>
          <t>ELETRO TECNICA INTERLAGOS IND E COM</t>
        </is>
      </c>
      <c r="D1905" s="5" t="inlineStr">
        <is>
          <t>RE</t>
        </is>
      </c>
      <c r="E1905" s="5" t="n">
        <v>5013491</v>
      </c>
      <c r="F1905" s="5" t="inlineStr">
        <is>
          <t>323</t>
        </is>
      </c>
      <c r="G1905" s="5" t="inlineStr">
        <is>
          <t>BRL</t>
        </is>
      </c>
      <c r="H1905" s="9" t="n">
        <v>-30163.77</v>
      </c>
      <c r="I1905" s="16" t="n">
        <v>46225</v>
      </c>
      <c r="J1905" s="16" t="n">
        <v>46255</v>
      </c>
      <c r="K1905" s="5" t="inlineStr">
        <is>
          <t>DADOS BANCARIOS RECEBIDOS</t>
        </is>
      </c>
      <c r="L1905" s="5" t="inlineStr">
        <is>
          <t>02092026</t>
        </is>
      </c>
      <c r="M1905" s="5">
        <f>IF(YEAR(I1905)&lt;=2020,"Até 2020",TEXT(YEAR(I1905),"0"))</f>
        <v/>
      </c>
      <c r="N1905" s="5">
        <f>IFERROR(INDEX(DePara!$A:$A,MATCH(TEXT(B1905,"0"),DePara!$D:$D,0)),"(sem categoria)")</f>
        <v/>
      </c>
      <c r="O1905" s="5">
        <f>IF(J1905="","",Parametros!$B$6-J1905)</f>
        <v/>
      </c>
      <c r="P1905" s="5">
        <f>IF(O1905="","",IF(O1905&gt;0,1,0))</f>
        <v/>
      </c>
    </row>
    <row r="1906">
      <c r="A1906" s="5" t="n">
        <v>2111000000</v>
      </c>
      <c r="B1906" s="5" t="inlineStr">
        <is>
          <t>101911</t>
        </is>
      </c>
      <c r="C1906" s="5" t="inlineStr">
        <is>
          <t>INTERLAGOS SERVICE MOTORES LTDA  ME</t>
        </is>
      </c>
      <c r="D1906" s="5" t="inlineStr">
        <is>
          <t>RE</t>
        </is>
      </c>
      <c r="E1906" s="5" t="n">
        <v>5013497</v>
      </c>
      <c r="F1906" s="5" t="inlineStr">
        <is>
          <t>791</t>
        </is>
      </c>
      <c r="G1906" s="5" t="inlineStr">
        <is>
          <t>BRL</t>
        </is>
      </c>
      <c r="H1906" s="9" t="n">
        <v>-2415.61</v>
      </c>
      <c r="I1906" s="16" t="n">
        <v>46225</v>
      </c>
      <c r="J1906" s="16" t="n">
        <v>46255</v>
      </c>
      <c r="K1906" s="5" t="inlineStr">
        <is>
          <t>Fatura - bruto INTERLAGOS SERVICE MOTORES LTDA  ME</t>
        </is>
      </c>
      <c r="L1906" s="5" t="inlineStr">
        <is>
          <t>02092026</t>
        </is>
      </c>
      <c r="M1906" s="5">
        <f>IF(YEAR(I1906)&lt;=2020,"Até 2020",TEXT(YEAR(I1906),"0"))</f>
        <v/>
      </c>
      <c r="N1906" s="5">
        <f>IFERROR(INDEX(DePara!$A:$A,MATCH(TEXT(B1906,"0"),DePara!$D:$D,0)),"(sem categoria)")</f>
        <v/>
      </c>
      <c r="O1906" s="5">
        <f>IF(J1906="","",Parametros!$B$6-J1906)</f>
        <v/>
      </c>
      <c r="P1906" s="5">
        <f>IF(O1906="","",IF(O1906&gt;0,1,0))</f>
        <v/>
      </c>
    </row>
    <row r="1907">
      <c r="A1907" s="5" t="n">
        <v>2111000000</v>
      </c>
      <c r="B1907" s="5" t="inlineStr">
        <is>
          <t>101463</t>
        </is>
      </c>
      <c r="C1907" s="5" t="inlineStr">
        <is>
          <t>ZURICH MINAS BRASIL SEGUROS S A</t>
        </is>
      </c>
      <c r="D1907" s="5" t="inlineStr">
        <is>
          <t>RE</t>
        </is>
      </c>
      <c r="E1907" s="5" t="n">
        <v>5013535</v>
      </c>
      <c r="F1907" s="5" t="inlineStr">
        <is>
          <t>0351/26</t>
        </is>
      </c>
      <c r="G1907" s="5" t="inlineStr">
        <is>
          <t>BRL</t>
        </is>
      </c>
      <c r="H1907" s="9" t="n">
        <v>-25.83</v>
      </c>
      <c r="I1907" s="16" t="n">
        <v>46227</v>
      </c>
      <c r="J1907" s="16" t="n">
        <v>46257</v>
      </c>
      <c r="K1907" s="5" t="inlineStr">
        <is>
          <t>Invoice Payment. SP: 20509</t>
        </is>
      </c>
      <c r="L1907" s="5" t="inlineStr">
        <is>
          <t>0351/26</t>
        </is>
      </c>
      <c r="M1907" s="5">
        <f>IF(YEAR(I1907)&lt;=2020,"Até 2020",TEXT(YEAR(I1907),"0"))</f>
        <v/>
      </c>
      <c r="N1907" s="5">
        <f>IFERROR(INDEX(DePara!$A:$A,MATCH(TEXT(B1907,"0"),DePara!$D:$D,0)),"(sem categoria)")</f>
        <v/>
      </c>
      <c r="O1907" s="5">
        <f>IF(J1907="","",Parametros!$B$6-J1907)</f>
        <v/>
      </c>
      <c r="P1907" s="5">
        <f>IF(O1907="","",IF(O1907&gt;0,1,0))</f>
        <v/>
      </c>
    </row>
    <row r="1908">
      <c r="A1908" s="5" t="n">
        <v>2111000000</v>
      </c>
      <c r="B1908" s="5" t="inlineStr">
        <is>
          <t>101463</t>
        </is>
      </c>
      <c r="C1908" s="5" t="inlineStr">
        <is>
          <t>ZURICH MINAS BRASIL SEGUROS S A</t>
        </is>
      </c>
      <c r="D1908" s="5" t="inlineStr">
        <is>
          <t>RE</t>
        </is>
      </c>
      <c r="E1908" s="5" t="n">
        <v>5013542</v>
      </c>
      <c r="F1908" s="5" t="inlineStr">
        <is>
          <t>0378/26</t>
        </is>
      </c>
      <c r="G1908" s="5" t="inlineStr">
        <is>
          <t>BRL</t>
        </is>
      </c>
      <c r="H1908" s="9" t="n">
        <v>-4.01</v>
      </c>
      <c r="I1908" s="16" t="n">
        <v>46227</v>
      </c>
      <c r="J1908" s="16" t="n">
        <v>46257</v>
      </c>
      <c r="K1908" s="5" t="inlineStr">
        <is>
          <t>Invoice Payment. SP: 20511</t>
        </is>
      </c>
      <c r="L1908" s="5" t="inlineStr">
        <is>
          <t>0378/26</t>
        </is>
      </c>
      <c r="M1908" s="5">
        <f>IF(YEAR(I1908)&lt;=2020,"Até 2020",TEXT(YEAR(I1908),"0"))</f>
        <v/>
      </c>
      <c r="N1908" s="5">
        <f>IFERROR(INDEX(DePara!$A:$A,MATCH(TEXT(B1908,"0"),DePara!$D:$D,0)),"(sem categoria)")</f>
        <v/>
      </c>
      <c r="O1908" s="5">
        <f>IF(J1908="","",Parametros!$B$6-J1908)</f>
        <v/>
      </c>
      <c r="P1908" s="5">
        <f>IF(O1908="","",IF(O1908&gt;0,1,0))</f>
        <v/>
      </c>
    </row>
    <row r="1909">
      <c r="A1909" s="5" t="n">
        <v>2111000000</v>
      </c>
      <c r="B1909" s="5" t="inlineStr">
        <is>
          <t>100031</t>
        </is>
      </c>
      <c r="C1909" s="5" t="inlineStr">
        <is>
          <t>MEGAWIND INDUSTRIA E COMERCIO</t>
        </is>
      </c>
      <c r="D1909" s="5" t="inlineStr">
        <is>
          <t>RE</t>
        </is>
      </c>
      <c r="E1909" s="5" t="n">
        <v>5013547</v>
      </c>
      <c r="F1909" s="5" t="inlineStr">
        <is>
          <t>1424</t>
        </is>
      </c>
      <c r="G1909" s="5" t="inlineStr">
        <is>
          <t>BRL</t>
        </is>
      </c>
      <c r="H1909" s="9" t="n">
        <v>-105000</v>
      </c>
      <c r="I1909" s="16" t="n">
        <v>46225</v>
      </c>
      <c r="J1909" s="16" t="n">
        <v>46270</v>
      </c>
      <c r="K1909" s="5" t="inlineStr">
        <is>
          <t>Fatura - bruto MEGAWIND INDUSTRIA E COMERCIO 1424</t>
        </is>
      </c>
      <c r="L1909" s="5" t="inlineStr">
        <is>
          <t>08092026</t>
        </is>
      </c>
      <c r="M1909" s="5">
        <f>IF(YEAR(I1909)&lt;=2020,"Até 2020",TEXT(YEAR(I1909),"0"))</f>
        <v/>
      </c>
      <c r="N1909" s="5">
        <f>IFERROR(INDEX(DePara!$A:$A,MATCH(TEXT(B1909,"0"),DePara!$D:$D,0)),"(sem categoria)")</f>
        <v/>
      </c>
      <c r="O1909" s="5">
        <f>IF(J1909="","",Parametros!$B$6-J1909)</f>
        <v/>
      </c>
      <c r="P1909" s="5">
        <f>IF(O1909="","",IF(O1909&gt;0,1,0))</f>
        <v/>
      </c>
    </row>
    <row r="1910">
      <c r="A1910" s="5" t="n">
        <v>2111000000</v>
      </c>
      <c r="B1910" s="5" t="inlineStr">
        <is>
          <t>102052</t>
        </is>
      </c>
      <c r="C1910" s="5" t="inlineStr">
        <is>
          <t>TOME EQUIPAMENTOS E TRANSPORTES LTD 44384832000124</t>
        </is>
      </c>
      <c r="D1910" s="5" t="inlineStr">
        <is>
          <t>RE</t>
        </is>
      </c>
      <c r="E1910" s="5" t="n">
        <v>5013548</v>
      </c>
      <c r="F1910" s="5" t="inlineStr">
        <is>
          <t>10260</t>
        </is>
      </c>
      <c r="G1910" s="5" t="inlineStr">
        <is>
          <t>BRL</t>
        </is>
      </c>
      <c r="H1910" s="9" t="n">
        <v>-219764.11</v>
      </c>
      <c r="I1910" s="16" t="n">
        <v>46225</v>
      </c>
      <c r="J1910" s="16" t="n">
        <v>46300</v>
      </c>
      <c r="K1910" s="5" t="inlineStr">
        <is>
          <t>Fatura - bruto TOME EQUIPAMENTOS E TRANSPORTES LTD</t>
        </is>
      </c>
      <c r="L1910" s="5" t="inlineStr">
        <is>
          <t>05102026</t>
        </is>
      </c>
      <c r="M1910" s="5">
        <f>IF(YEAR(I1910)&lt;=2020,"Até 2020",TEXT(YEAR(I1910),"0"))</f>
        <v/>
      </c>
      <c r="N1910" s="5">
        <f>IFERROR(INDEX(DePara!$A:$A,MATCH(TEXT(B1910,"0"),DePara!$D:$D,0)),"(sem categoria)")</f>
        <v/>
      </c>
      <c r="O1910" s="5">
        <f>IF(J1910="","",Parametros!$B$6-J1910)</f>
        <v/>
      </c>
      <c r="P1910" s="5">
        <f>IF(O1910="","",IF(O1910&gt;0,1,0))</f>
        <v/>
      </c>
    </row>
    <row r="1911">
      <c r="A1911" s="5" t="n">
        <v>2111000000</v>
      </c>
      <c r="B1911" s="5" t="inlineStr">
        <is>
          <t>101463</t>
        </is>
      </c>
      <c r="C1911" s="5" t="inlineStr">
        <is>
          <t>ZURICH MINAS BRASIL SEGUROS S A</t>
        </is>
      </c>
      <c r="D1911" s="5" t="inlineStr">
        <is>
          <t>RE</t>
        </is>
      </c>
      <c r="E1911" s="5" t="n">
        <v>5013549</v>
      </c>
      <c r="F1911" s="5" t="inlineStr">
        <is>
          <t>0418/26</t>
        </is>
      </c>
      <c r="G1911" s="5" t="inlineStr">
        <is>
          <t>BRL</t>
        </is>
      </c>
      <c r="H1911" s="9" t="n">
        <v>-4.01</v>
      </c>
      <c r="I1911" s="16" t="n">
        <v>46227</v>
      </c>
      <c r="J1911" s="16" t="n">
        <v>46257</v>
      </c>
      <c r="K1911" s="5" t="inlineStr">
        <is>
          <t>Invoice Payment. SP: 20517</t>
        </is>
      </c>
      <c r="L1911" s="5" t="inlineStr">
        <is>
          <t>0418/26</t>
        </is>
      </c>
      <c r="M1911" s="5">
        <f>IF(YEAR(I1911)&lt;=2020,"Até 2020",TEXT(YEAR(I1911),"0"))</f>
        <v/>
      </c>
      <c r="N1911" s="5">
        <f>IFERROR(INDEX(DePara!$A:$A,MATCH(TEXT(B1911,"0"),DePara!$D:$D,0)),"(sem categoria)")</f>
        <v/>
      </c>
      <c r="O1911" s="5">
        <f>IF(J1911="","",Parametros!$B$6-J1911)</f>
        <v/>
      </c>
      <c r="P1911" s="5">
        <f>IF(O1911="","",IF(O1911&gt;0,1,0))</f>
        <v/>
      </c>
    </row>
    <row r="1912">
      <c r="A1912" s="5" t="n">
        <v>2111000000</v>
      </c>
      <c r="B1912" s="5" t="inlineStr">
        <is>
          <t>101463</t>
        </is>
      </c>
      <c r="C1912" s="5" t="inlineStr">
        <is>
          <t>ZURICH MINAS BRASIL SEGUROS S A</t>
        </is>
      </c>
      <c r="D1912" s="5" t="inlineStr">
        <is>
          <t>RE</t>
        </is>
      </c>
      <c r="E1912" s="5" t="n">
        <v>5013554</v>
      </c>
      <c r="F1912" s="5" t="inlineStr">
        <is>
          <t>0440/26</t>
        </is>
      </c>
      <c r="G1912" s="5" t="inlineStr">
        <is>
          <t>BRL</t>
        </is>
      </c>
      <c r="H1912" s="9" t="n">
        <v>-8.93</v>
      </c>
      <c r="I1912" s="16" t="n">
        <v>46227</v>
      </c>
      <c r="J1912" s="16" t="n">
        <v>46257</v>
      </c>
      <c r="K1912" s="5" t="inlineStr">
        <is>
          <t>Invoice Payment. SP: 20520</t>
        </is>
      </c>
      <c r="L1912" s="5" t="inlineStr">
        <is>
          <t>0440/26</t>
        </is>
      </c>
      <c r="M1912" s="5">
        <f>IF(YEAR(I1912)&lt;=2020,"Até 2020",TEXT(YEAR(I1912),"0"))</f>
        <v/>
      </c>
      <c r="N1912" s="5">
        <f>IFERROR(INDEX(DePara!$A:$A,MATCH(TEXT(B1912,"0"),DePara!$D:$D,0)),"(sem categoria)")</f>
        <v/>
      </c>
      <c r="O1912" s="5">
        <f>IF(J1912="","",Parametros!$B$6-J1912)</f>
        <v/>
      </c>
      <c r="P1912" s="5">
        <f>IF(O1912="","",IF(O1912&gt;0,1,0))</f>
        <v/>
      </c>
    </row>
    <row r="1913">
      <c r="A1913" s="5" t="n">
        <v>2111000000</v>
      </c>
      <c r="B1913" s="5" t="inlineStr">
        <is>
          <t>101463</t>
        </is>
      </c>
      <c r="C1913" s="5" t="inlineStr">
        <is>
          <t>ZURICH MINAS BRASIL SEGUROS S A</t>
        </is>
      </c>
      <c r="D1913" s="5" t="inlineStr">
        <is>
          <t>RE</t>
        </is>
      </c>
      <c r="E1913" s="5" t="n">
        <v>5013557</v>
      </c>
      <c r="F1913" s="5" t="inlineStr">
        <is>
          <t>0444/26</t>
        </is>
      </c>
      <c r="G1913" s="5" t="inlineStr">
        <is>
          <t>BRL</t>
        </is>
      </c>
      <c r="H1913" s="9" t="n">
        <v>-54.64</v>
      </c>
      <c r="I1913" s="16" t="n">
        <v>46227</v>
      </c>
      <c r="J1913" s="16" t="n">
        <v>46257</v>
      </c>
      <c r="K1913" s="5" t="inlineStr">
        <is>
          <t>Invoice Payment. SP: 20522</t>
        </is>
      </c>
      <c r="L1913" s="5" t="inlineStr">
        <is>
          <t>0444/26</t>
        </is>
      </c>
      <c r="M1913" s="5">
        <f>IF(YEAR(I1913)&lt;=2020,"Até 2020",TEXT(YEAR(I1913),"0"))</f>
        <v/>
      </c>
      <c r="N1913" s="5">
        <f>IFERROR(INDEX(DePara!$A:$A,MATCH(TEXT(B1913,"0"),DePara!$D:$D,0)),"(sem categoria)")</f>
        <v/>
      </c>
      <c r="O1913" s="5">
        <f>IF(J1913="","",Parametros!$B$6-J1913)</f>
        <v/>
      </c>
      <c r="P1913" s="5">
        <f>IF(O1913="","",IF(O1913&gt;0,1,0))</f>
        <v/>
      </c>
    </row>
    <row r="1914">
      <c r="A1914" s="5" t="n">
        <v>2111000000</v>
      </c>
      <c r="B1914" s="5" t="inlineStr">
        <is>
          <t>101463</t>
        </is>
      </c>
      <c r="C1914" s="5" t="inlineStr">
        <is>
          <t>ZURICH MINAS BRASIL SEGUROS S A</t>
        </is>
      </c>
      <c r="D1914" s="5" t="inlineStr">
        <is>
          <t>RE</t>
        </is>
      </c>
      <c r="E1914" s="5" t="n">
        <v>5013559</v>
      </c>
      <c r="F1914" s="5" t="inlineStr">
        <is>
          <t>0359/26</t>
        </is>
      </c>
      <c r="G1914" s="5" t="inlineStr">
        <is>
          <t>BRL</t>
        </is>
      </c>
      <c r="H1914" s="9" t="n">
        <v>-0.54</v>
      </c>
      <c r="I1914" s="16" t="n">
        <v>46227</v>
      </c>
      <c r="J1914" s="16" t="n">
        <v>46257</v>
      </c>
      <c r="K1914" s="5" t="inlineStr">
        <is>
          <t>Invoice Payment. SP: 20524</t>
        </is>
      </c>
      <c r="L1914" s="5" t="inlineStr">
        <is>
          <t>0359/26</t>
        </is>
      </c>
      <c r="M1914" s="5">
        <f>IF(YEAR(I1914)&lt;=2020,"Até 2020",TEXT(YEAR(I1914),"0"))</f>
        <v/>
      </c>
      <c r="N1914" s="5">
        <f>IFERROR(INDEX(DePara!$A:$A,MATCH(TEXT(B1914,"0"),DePara!$D:$D,0)),"(sem categoria)")</f>
        <v/>
      </c>
      <c r="O1914" s="5">
        <f>IF(J1914="","",Parametros!$B$6-J1914)</f>
        <v/>
      </c>
      <c r="P1914" s="5">
        <f>IF(O1914="","",IF(O1914&gt;0,1,0))</f>
        <v/>
      </c>
    </row>
    <row r="1915">
      <c r="A1915" s="5" t="n">
        <v>2111000000</v>
      </c>
      <c r="B1915" s="5" t="inlineStr">
        <is>
          <t>101463</t>
        </is>
      </c>
      <c r="C1915" s="5" t="inlineStr">
        <is>
          <t>ZURICH MINAS BRASIL SEGUROS S A</t>
        </is>
      </c>
      <c r="D1915" s="5" t="inlineStr">
        <is>
          <t>RE</t>
        </is>
      </c>
      <c r="E1915" s="5" t="n">
        <v>5013561</v>
      </c>
      <c r="F1915" s="5" t="inlineStr">
        <is>
          <t>0408/26</t>
        </is>
      </c>
      <c r="G1915" s="5" t="inlineStr">
        <is>
          <t>BRL</t>
        </is>
      </c>
      <c r="H1915" s="9" t="n">
        <v>-181.69</v>
      </c>
      <c r="I1915" s="16" t="n">
        <v>46227</v>
      </c>
      <c r="J1915" s="16" t="n">
        <v>46257</v>
      </c>
      <c r="K1915" s="5" t="inlineStr">
        <is>
          <t>Invoice Payment. SP: 20526</t>
        </is>
      </c>
      <c r="L1915" s="5" t="inlineStr">
        <is>
          <t>0408/26</t>
        </is>
      </c>
      <c r="M1915" s="5">
        <f>IF(YEAR(I1915)&lt;=2020,"Até 2020",TEXT(YEAR(I1915),"0"))</f>
        <v/>
      </c>
      <c r="N1915" s="5">
        <f>IFERROR(INDEX(DePara!$A:$A,MATCH(TEXT(B1915,"0"),DePara!$D:$D,0)),"(sem categoria)")</f>
        <v/>
      </c>
      <c r="O1915" s="5">
        <f>IF(J1915="","",Parametros!$B$6-J1915)</f>
        <v/>
      </c>
      <c r="P1915" s="5">
        <f>IF(O1915="","",IF(O1915&gt;0,1,0))</f>
        <v/>
      </c>
    </row>
    <row r="1916">
      <c r="A1916" s="5" t="n">
        <v>2111000000</v>
      </c>
      <c r="B1916" s="5" t="inlineStr">
        <is>
          <t>101463</t>
        </is>
      </c>
      <c r="C1916" s="5" t="inlineStr">
        <is>
          <t>ZURICH MINAS BRASIL SEGUROS S A</t>
        </is>
      </c>
      <c r="D1916" s="5" t="inlineStr">
        <is>
          <t>RE</t>
        </is>
      </c>
      <c r="E1916" s="5" t="n">
        <v>5013578</v>
      </c>
      <c r="F1916" s="5" t="inlineStr">
        <is>
          <t>0369/26</t>
        </is>
      </c>
      <c r="G1916" s="5" t="inlineStr">
        <is>
          <t>BRL</t>
        </is>
      </c>
      <c r="H1916" s="9" t="n">
        <v>-9.380000000000001</v>
      </c>
      <c r="I1916" s="16" t="n">
        <v>46227</v>
      </c>
      <c r="J1916" s="16" t="n">
        <v>46257</v>
      </c>
      <c r="K1916" s="5" t="inlineStr">
        <is>
          <t>Invoice Payment. SP: 20528</t>
        </is>
      </c>
      <c r="L1916" s="5" t="inlineStr">
        <is>
          <t>0369/26</t>
        </is>
      </c>
      <c r="M1916" s="5">
        <f>IF(YEAR(I1916)&lt;=2020,"Até 2020",TEXT(YEAR(I1916),"0"))</f>
        <v/>
      </c>
      <c r="N1916" s="5">
        <f>IFERROR(INDEX(DePara!$A:$A,MATCH(TEXT(B1916,"0"),DePara!$D:$D,0)),"(sem categoria)")</f>
        <v/>
      </c>
      <c r="O1916" s="5">
        <f>IF(J1916="","",Parametros!$B$6-J1916)</f>
        <v/>
      </c>
      <c r="P1916" s="5">
        <f>IF(O1916="","",IF(O1916&gt;0,1,0))</f>
        <v/>
      </c>
    </row>
    <row r="1917">
      <c r="A1917" s="5" t="n">
        <v>2111000000</v>
      </c>
      <c r="B1917" s="5" t="inlineStr">
        <is>
          <t>102060</t>
        </is>
      </c>
      <c r="C1917" s="5" t="inlineStr">
        <is>
          <t>INGETEAM LTDA 03306629000152</t>
        </is>
      </c>
      <c r="D1917" s="5" t="inlineStr">
        <is>
          <t>RE</t>
        </is>
      </c>
      <c r="E1917" s="5" t="n">
        <v>5013583</v>
      </c>
      <c r="F1917" s="5" t="inlineStr">
        <is>
          <t>000018388-1</t>
        </is>
      </c>
      <c r="G1917" s="5" t="inlineStr">
        <is>
          <t>BRL</t>
        </is>
      </c>
      <c r="H1917" s="9" t="n">
        <v>-1137.82</v>
      </c>
      <c r="I1917" s="16" t="n">
        <v>46198</v>
      </c>
      <c r="J1917" s="16" t="n">
        <v>46270</v>
      </c>
      <c r="K1917" s="5" t="inlineStr">
        <is>
          <t>Fatura - bruto INGETEAM LTDA 03306629000152 000018</t>
        </is>
      </c>
      <c r="L1917" s="5" t="inlineStr">
        <is>
          <t>08092026</t>
        </is>
      </c>
      <c r="M1917" s="5">
        <f>IF(YEAR(I1917)&lt;=2020,"Até 2020",TEXT(YEAR(I1917),"0"))</f>
        <v/>
      </c>
      <c r="N1917" s="5">
        <f>IFERROR(INDEX(DePara!$A:$A,MATCH(TEXT(B1917,"0"),DePara!$D:$D,0)),"(sem categoria)")</f>
        <v/>
      </c>
      <c r="O1917" s="5">
        <f>IF(J1917="","",Parametros!$B$6-J1917)</f>
        <v/>
      </c>
      <c r="P1917" s="5">
        <f>IF(O1917="","",IF(O1917&gt;0,1,0))</f>
        <v/>
      </c>
    </row>
    <row r="1918">
      <c r="A1918" s="5" t="n">
        <v>2111000000</v>
      </c>
      <c r="B1918" s="5" t="inlineStr">
        <is>
          <t>102017</t>
        </is>
      </c>
      <c r="C1918" s="5" t="inlineStr">
        <is>
          <t>GLOBO COMERCIO DE MAQUINAS E FERRAM</t>
        </is>
      </c>
      <c r="D1918" s="5" t="inlineStr">
        <is>
          <t>RE</t>
        </is>
      </c>
      <c r="E1918" s="5" t="n">
        <v>5013586</v>
      </c>
      <c r="F1918" s="5" t="inlineStr">
        <is>
          <t>000022390-1</t>
        </is>
      </c>
      <c r="G1918" s="5" t="inlineStr">
        <is>
          <t>BRL</t>
        </is>
      </c>
      <c r="H1918" s="9" t="n">
        <v>-8772.299999999999</v>
      </c>
      <c r="I1918" s="16" t="n">
        <v>46219</v>
      </c>
      <c r="J1918" s="16" t="n">
        <v>46270</v>
      </c>
      <c r="K1918" s="5" t="inlineStr">
        <is>
          <t>Fatura - bruto GLOBO COMERCIO DE MAQUINAS E FERRAM</t>
        </is>
      </c>
      <c r="L1918" s="5" t="inlineStr">
        <is>
          <t>09092026</t>
        </is>
      </c>
      <c r="M1918" s="5">
        <f>IF(YEAR(I1918)&lt;=2020,"Até 2020",TEXT(YEAR(I1918),"0"))</f>
        <v/>
      </c>
      <c r="N1918" s="5">
        <f>IFERROR(INDEX(DePara!$A:$A,MATCH(TEXT(B1918,"0"),DePara!$D:$D,0)),"(sem categoria)")</f>
        <v/>
      </c>
      <c r="O1918" s="5">
        <f>IF(J1918="","",Parametros!$B$6-J1918)</f>
        <v/>
      </c>
      <c r="P1918" s="5">
        <f>IF(O1918="","",IF(O1918&gt;0,1,0))</f>
        <v/>
      </c>
    </row>
    <row r="1919">
      <c r="A1919" s="5" t="n">
        <v>2111000000</v>
      </c>
      <c r="B1919" s="5" t="inlineStr">
        <is>
          <t>101929</t>
        </is>
      </c>
      <c r="C1919" s="5" t="inlineStr">
        <is>
          <t>TECNOFIX INDUSTRIA E COMERCIO DE PA</t>
        </is>
      </c>
      <c r="D1919" s="5" t="inlineStr">
        <is>
          <t>RE</t>
        </is>
      </c>
      <c r="E1919" s="5" t="n">
        <v>5013592</v>
      </c>
      <c r="F1919" s="5" t="inlineStr">
        <is>
          <t>000031363-1</t>
        </is>
      </c>
      <c r="G1919" s="5" t="inlineStr">
        <is>
          <t>BRL</t>
        </is>
      </c>
      <c r="H1919" s="9" t="n">
        <v>-24748.31</v>
      </c>
      <c r="I1919" s="16" t="n">
        <v>46223</v>
      </c>
      <c r="J1919" s="16" t="n">
        <v>46300</v>
      </c>
      <c r="K1919" s="5" t="inlineStr">
        <is>
          <t>Fatura - bruto TECNOFIX INDUSTRIA E COMERCIO DE PA</t>
        </is>
      </c>
      <c r="L1919" s="5" t="inlineStr">
        <is>
          <t>30092026</t>
        </is>
      </c>
      <c r="M1919" s="5">
        <f>IF(YEAR(I1919)&lt;=2020,"Até 2020",TEXT(YEAR(I1919),"0"))</f>
        <v/>
      </c>
      <c r="N1919" s="5">
        <f>IFERROR(INDEX(DePara!$A:$A,MATCH(TEXT(B1919,"0"),DePara!$D:$D,0)),"(sem categoria)")</f>
        <v/>
      </c>
      <c r="O1919" s="5">
        <f>IF(J1919="","",Parametros!$B$6-J1919)</f>
        <v/>
      </c>
      <c r="P1919" s="5">
        <f>IF(O1919="","",IF(O1919&gt;0,1,0))</f>
        <v/>
      </c>
    </row>
    <row r="1920">
      <c r="A1920" s="5" t="n">
        <v>2111000000</v>
      </c>
      <c r="B1920" s="5" t="inlineStr">
        <is>
          <t>101907</t>
        </is>
      </c>
      <c r="C1920" s="5" t="inlineStr">
        <is>
          <t>F H F DE LIMA</t>
        </is>
      </c>
      <c r="D1920" s="5" t="inlineStr">
        <is>
          <t>RE</t>
        </is>
      </c>
      <c r="E1920" s="5" t="n">
        <v>5013594</v>
      </c>
      <c r="F1920" s="5" t="inlineStr">
        <is>
          <t>000034700-1</t>
        </is>
      </c>
      <c r="G1920" s="5" t="inlineStr">
        <is>
          <t>BRL</t>
        </is>
      </c>
      <c r="H1920" s="9" t="n">
        <v>-1250</v>
      </c>
      <c r="I1920" s="16" t="n">
        <v>46224</v>
      </c>
      <c r="J1920" s="16" t="n">
        <v>46270</v>
      </c>
      <c r="K1920" s="5" t="inlineStr">
        <is>
          <t>Fatura - bruto F H F DE LIMA 000034700-1</t>
        </is>
      </c>
      <c r="L1920" s="5" t="inlineStr">
        <is>
          <t>08092026</t>
        </is>
      </c>
      <c r="M1920" s="5">
        <f>IF(YEAR(I1920)&lt;=2020,"Até 2020",TEXT(YEAR(I1920),"0"))</f>
        <v/>
      </c>
      <c r="N1920" s="5">
        <f>IFERROR(INDEX(DePara!$A:$A,MATCH(TEXT(B1920,"0"),DePara!$D:$D,0)),"(sem categoria)")</f>
        <v/>
      </c>
      <c r="O1920" s="5">
        <f>IF(J1920="","",Parametros!$B$6-J1920)</f>
        <v/>
      </c>
      <c r="P1920" s="5">
        <f>IF(O1920="","",IF(O1920&gt;0,1,0))</f>
        <v/>
      </c>
    </row>
    <row r="1921">
      <c r="A1921" s="5" t="n">
        <v>2111000000</v>
      </c>
      <c r="B1921" s="5" t="inlineStr">
        <is>
          <t>101907</t>
        </is>
      </c>
      <c r="C1921" s="5" t="inlineStr">
        <is>
          <t>F H F DE LIMA</t>
        </is>
      </c>
      <c r="D1921" s="5" t="inlineStr">
        <is>
          <t>RE</t>
        </is>
      </c>
      <c r="E1921" s="5" t="n">
        <v>5013595</v>
      </c>
      <c r="F1921" s="5" t="inlineStr">
        <is>
          <t>000034704-1</t>
        </is>
      </c>
      <c r="G1921" s="5" t="inlineStr">
        <is>
          <t>BRL</t>
        </is>
      </c>
      <c r="H1921" s="9" t="n">
        <v>-1250</v>
      </c>
      <c r="I1921" s="16" t="n">
        <v>46224</v>
      </c>
      <c r="J1921" s="16" t="n">
        <v>46270</v>
      </c>
      <c r="K1921" s="5" t="inlineStr">
        <is>
          <t>Fatura - bruto F H F DE LIMA 000034704-1</t>
        </is>
      </c>
      <c r="L1921" s="5" t="inlineStr">
        <is>
          <t>08092026</t>
        </is>
      </c>
      <c r="M1921" s="5">
        <f>IF(YEAR(I1921)&lt;=2020,"Até 2020",TEXT(YEAR(I1921),"0"))</f>
        <v/>
      </c>
      <c r="N1921" s="5">
        <f>IFERROR(INDEX(DePara!$A:$A,MATCH(TEXT(B1921,"0"),DePara!$D:$D,0)),"(sem categoria)")</f>
        <v/>
      </c>
      <c r="O1921" s="5">
        <f>IF(J1921="","",Parametros!$B$6-J1921)</f>
        <v/>
      </c>
      <c r="P1921" s="5">
        <f>IF(O1921="","",IF(O1921&gt;0,1,0))</f>
        <v/>
      </c>
    </row>
    <row r="1922">
      <c r="A1922" s="5" t="n">
        <v>2111000000</v>
      </c>
      <c r="B1922" s="5" t="inlineStr">
        <is>
          <t>101176</t>
        </is>
      </c>
      <c r="C1922" s="5" t="inlineStr">
        <is>
          <t>DEUBLIN BRASIL JUNTAS ROTATIVAS DE</t>
        </is>
      </c>
      <c r="D1922" s="5" t="inlineStr">
        <is>
          <t>RE</t>
        </is>
      </c>
      <c r="E1922" s="5" t="n">
        <v>5013619</v>
      </c>
      <c r="F1922" s="5" t="inlineStr">
        <is>
          <t>000045251-2</t>
        </is>
      </c>
      <c r="G1922" s="5" t="inlineStr">
        <is>
          <t>BRL</t>
        </is>
      </c>
      <c r="H1922" s="9" t="n">
        <v>-134337.48</v>
      </c>
      <c r="I1922" s="16" t="n">
        <v>46203</v>
      </c>
      <c r="J1922" s="16" t="n">
        <v>46270</v>
      </c>
      <c r="K1922" s="5" t="inlineStr">
        <is>
          <t>Fatura - bruto DEUBLIN BRASIL JUNTAS ROTATIVAS DE</t>
        </is>
      </c>
      <c r="L1922" s="5" t="inlineStr">
        <is>
          <t>08092026</t>
        </is>
      </c>
      <c r="M1922" s="5">
        <f>IF(YEAR(I1922)&lt;=2020,"Até 2020",TEXT(YEAR(I1922),"0"))</f>
        <v/>
      </c>
      <c r="N1922" s="5">
        <f>IFERROR(INDEX(DePara!$A:$A,MATCH(TEXT(B1922,"0"),DePara!$D:$D,0)),"(sem categoria)")</f>
        <v/>
      </c>
      <c r="O1922" s="5">
        <f>IF(J1922="","",Parametros!$B$6-J1922)</f>
        <v/>
      </c>
      <c r="P1922" s="5">
        <f>IF(O1922="","",IF(O1922&gt;0,1,0))</f>
        <v/>
      </c>
    </row>
    <row r="1923">
      <c r="A1923" s="5" t="n">
        <v>2111000000</v>
      </c>
      <c r="B1923" s="5" t="inlineStr">
        <is>
          <t>101176</t>
        </is>
      </c>
      <c r="C1923" s="5" t="inlineStr">
        <is>
          <t>DEUBLIN BRASIL JUNTAS ROTATIVAS DE</t>
        </is>
      </c>
      <c r="D1923" s="5" t="inlineStr">
        <is>
          <t>RE</t>
        </is>
      </c>
      <c r="E1923" s="5" t="n">
        <v>5013620</v>
      </c>
      <c r="F1923" s="5" t="inlineStr">
        <is>
          <t>000045252-2</t>
        </is>
      </c>
      <c r="G1923" s="5" t="inlineStr">
        <is>
          <t>BRL</t>
        </is>
      </c>
      <c r="H1923" s="9" t="n">
        <v>-213406.8</v>
      </c>
      <c r="I1923" s="16" t="n">
        <v>46203</v>
      </c>
      <c r="J1923" s="16" t="n">
        <v>46270</v>
      </c>
      <c r="K1923" s="5" t="inlineStr">
        <is>
          <t>Fatura - bruto DEUBLIN BRASIL JUNTAS ROTATIVAS DE</t>
        </is>
      </c>
      <c r="L1923" s="5" t="inlineStr">
        <is>
          <t>08092026</t>
        </is>
      </c>
      <c r="M1923" s="5">
        <f>IF(YEAR(I1923)&lt;=2020,"Até 2020",TEXT(YEAR(I1923),"0"))</f>
        <v/>
      </c>
      <c r="N1923" s="5">
        <f>IFERROR(INDEX(DePara!$A:$A,MATCH(TEXT(B1923,"0"),DePara!$D:$D,0)),"(sem categoria)")</f>
        <v/>
      </c>
      <c r="O1923" s="5">
        <f>IF(J1923="","",Parametros!$B$6-J1923)</f>
        <v/>
      </c>
      <c r="P1923" s="5">
        <f>IF(O1923="","",IF(O1923&gt;0,1,0))</f>
        <v/>
      </c>
    </row>
    <row r="1924">
      <c r="A1924" s="5" t="n">
        <v>2111000000</v>
      </c>
      <c r="B1924" s="5" t="inlineStr">
        <is>
          <t>100485</t>
        </is>
      </c>
      <c r="C1924" s="5" t="inlineStr">
        <is>
          <t>FUCHS LUBRIFICANTES DO BRASIL LTDA</t>
        </is>
      </c>
      <c r="D1924" s="5" t="inlineStr">
        <is>
          <t>RE</t>
        </is>
      </c>
      <c r="E1924" s="5" t="n">
        <v>5013622</v>
      </c>
      <c r="F1924" s="5" t="inlineStr">
        <is>
          <t>000102868-000</t>
        </is>
      </c>
      <c r="G1924" s="5" t="inlineStr">
        <is>
          <t>BRL</t>
        </is>
      </c>
      <c r="H1924" s="9" t="n">
        <v>-54898</v>
      </c>
      <c r="I1924" s="16" t="n">
        <v>46211</v>
      </c>
      <c r="J1924" s="16" t="n">
        <v>46270</v>
      </c>
      <c r="K1924" s="5" t="inlineStr">
        <is>
          <t>Fatura - bruto FUCHS LUBRIFICANTES DO BRASIL LTDA</t>
        </is>
      </c>
      <c r="L1924" s="5" t="inlineStr">
        <is>
          <t>08092026</t>
        </is>
      </c>
      <c r="M1924" s="5">
        <f>IF(YEAR(I1924)&lt;=2020,"Até 2020",TEXT(YEAR(I1924),"0"))</f>
        <v/>
      </c>
      <c r="N1924" s="5">
        <f>IFERROR(INDEX(DePara!$A:$A,MATCH(TEXT(B1924,"0"),DePara!$D:$D,0)),"(sem categoria)")</f>
        <v/>
      </c>
      <c r="O1924" s="5">
        <f>IF(J1924="","",Parametros!$B$6-J1924)</f>
        <v/>
      </c>
      <c r="P1924" s="5">
        <f>IF(O1924="","",IF(O1924&gt;0,1,0))</f>
        <v/>
      </c>
    </row>
    <row r="1925">
      <c r="A1925" s="5" t="n">
        <v>2111000000</v>
      </c>
      <c r="B1925" s="5" t="inlineStr">
        <is>
          <t>101463</t>
        </is>
      </c>
      <c r="C1925" s="5" t="inlineStr">
        <is>
          <t>ZURICH MINAS BRASIL SEGUROS S A</t>
        </is>
      </c>
      <c r="D1925" s="5" t="inlineStr">
        <is>
          <t>RE</t>
        </is>
      </c>
      <c r="E1925" s="5" t="n">
        <v>5013623</v>
      </c>
      <c r="F1925" s="5" t="inlineStr">
        <is>
          <t>0322/26</t>
        </is>
      </c>
      <c r="G1925" s="5" t="inlineStr">
        <is>
          <t>BRL</t>
        </is>
      </c>
      <c r="H1925" s="9" t="n">
        <v>-11.85</v>
      </c>
      <c r="I1925" s="16" t="n">
        <v>46230</v>
      </c>
      <c r="J1925" s="16" t="n">
        <v>46260</v>
      </c>
      <c r="K1925" s="5" t="inlineStr">
        <is>
          <t>Invoice Payment. SP: 20538</t>
        </is>
      </c>
      <c r="L1925" s="5" t="inlineStr">
        <is>
          <t>0322/26</t>
        </is>
      </c>
      <c r="M1925" s="5">
        <f>IF(YEAR(I1925)&lt;=2020,"Até 2020",TEXT(YEAR(I1925),"0"))</f>
        <v/>
      </c>
      <c r="N1925" s="5">
        <f>IFERROR(INDEX(DePara!$A:$A,MATCH(TEXT(B1925,"0"),DePara!$D:$D,0)),"(sem categoria)")</f>
        <v/>
      </c>
      <c r="O1925" s="5">
        <f>IF(J1925="","",Parametros!$B$6-J1925)</f>
        <v/>
      </c>
      <c r="P1925" s="5">
        <f>IF(O1925="","",IF(O1925&gt;0,1,0))</f>
        <v/>
      </c>
    </row>
    <row r="1926">
      <c r="A1926" s="5" t="n">
        <v>2111000000</v>
      </c>
      <c r="B1926" s="5" t="inlineStr">
        <is>
          <t>101463</t>
        </is>
      </c>
      <c r="C1926" s="5" t="inlineStr">
        <is>
          <t>ZURICH MINAS BRASIL SEGUROS S A</t>
        </is>
      </c>
      <c r="D1926" s="5" t="inlineStr">
        <is>
          <t>RE</t>
        </is>
      </c>
      <c r="E1926" s="5" t="n">
        <v>5013625</v>
      </c>
      <c r="F1926" s="5" t="inlineStr">
        <is>
          <t>0349/26</t>
        </is>
      </c>
      <c r="G1926" s="5" t="inlineStr">
        <is>
          <t>BRL</t>
        </is>
      </c>
      <c r="H1926" s="9" t="n">
        <v>-73.95999999999999</v>
      </c>
      <c r="I1926" s="16" t="n">
        <v>46230</v>
      </c>
      <c r="J1926" s="16" t="n">
        <v>46260</v>
      </c>
      <c r="K1926" s="5" t="inlineStr">
        <is>
          <t>Invoice Payment. SP: 20540</t>
        </is>
      </c>
      <c r="L1926" s="5" t="inlineStr">
        <is>
          <t>0349/26</t>
        </is>
      </c>
      <c r="M1926" s="5">
        <f>IF(YEAR(I1926)&lt;=2020,"Até 2020",TEXT(YEAR(I1926),"0"))</f>
        <v/>
      </c>
      <c r="N1926" s="5">
        <f>IFERROR(INDEX(DePara!$A:$A,MATCH(TEXT(B1926,"0"),DePara!$D:$D,0)),"(sem categoria)")</f>
        <v/>
      </c>
      <c r="O1926" s="5">
        <f>IF(J1926="","",Parametros!$B$6-J1926)</f>
        <v/>
      </c>
      <c r="P1926" s="5">
        <f>IF(O1926="","",IF(O1926&gt;0,1,0))</f>
        <v/>
      </c>
    </row>
    <row r="1927">
      <c r="A1927" s="5" t="n">
        <v>2111000000</v>
      </c>
      <c r="B1927" s="5" t="inlineStr">
        <is>
          <t>101463</t>
        </is>
      </c>
      <c r="C1927" s="5" t="inlineStr">
        <is>
          <t>ZURICH MINAS BRASIL SEGUROS S A</t>
        </is>
      </c>
      <c r="D1927" s="5" t="inlineStr">
        <is>
          <t>RE</t>
        </is>
      </c>
      <c r="E1927" s="5" t="n">
        <v>5013627</v>
      </c>
      <c r="F1927" s="5" t="inlineStr">
        <is>
          <t>0415/26</t>
        </is>
      </c>
      <c r="G1927" s="5" t="inlineStr">
        <is>
          <t>BRL</t>
        </is>
      </c>
      <c r="H1927" s="9" t="n">
        <v>-233.24</v>
      </c>
      <c r="I1927" s="16" t="n">
        <v>46230</v>
      </c>
      <c r="J1927" s="16" t="n">
        <v>46260</v>
      </c>
      <c r="K1927" s="5" t="inlineStr">
        <is>
          <t>Invoice Payment. SP: 20542</t>
        </is>
      </c>
      <c r="L1927" s="5" t="inlineStr">
        <is>
          <t>0415/26</t>
        </is>
      </c>
      <c r="M1927" s="5">
        <f>IF(YEAR(I1927)&lt;=2020,"Até 2020",TEXT(YEAR(I1927),"0"))</f>
        <v/>
      </c>
      <c r="N1927" s="5">
        <f>IFERROR(INDEX(DePara!$A:$A,MATCH(TEXT(B1927,"0"),DePara!$D:$D,0)),"(sem categoria)")</f>
        <v/>
      </c>
      <c r="O1927" s="5">
        <f>IF(J1927="","",Parametros!$B$6-J1927)</f>
        <v/>
      </c>
      <c r="P1927" s="5">
        <f>IF(O1927="","",IF(O1927&gt;0,1,0))</f>
        <v/>
      </c>
    </row>
    <row r="1928">
      <c r="A1928" s="5" t="n">
        <v>2111000000</v>
      </c>
      <c r="B1928" s="5" t="inlineStr">
        <is>
          <t>101463</t>
        </is>
      </c>
      <c r="C1928" s="5" t="inlineStr">
        <is>
          <t>ZURICH MINAS BRASIL SEGUROS S A</t>
        </is>
      </c>
      <c r="D1928" s="5" t="inlineStr">
        <is>
          <t>RE</t>
        </is>
      </c>
      <c r="E1928" s="5" t="n">
        <v>5013629</v>
      </c>
      <c r="F1928" s="5" t="inlineStr">
        <is>
          <t>0420/26</t>
        </is>
      </c>
      <c r="G1928" s="5" t="inlineStr">
        <is>
          <t>BRL</t>
        </is>
      </c>
      <c r="H1928" s="9" t="n">
        <v>-46.17</v>
      </c>
      <c r="I1928" s="16" t="n">
        <v>46230</v>
      </c>
      <c r="J1928" s="16" t="n">
        <v>46260</v>
      </c>
      <c r="K1928" s="5" t="inlineStr">
        <is>
          <t>Invoice Payment. SP: 20544</t>
        </is>
      </c>
      <c r="L1928" s="5" t="inlineStr">
        <is>
          <t>0420/26</t>
        </is>
      </c>
      <c r="M1928" s="5">
        <f>IF(YEAR(I1928)&lt;=2020,"Até 2020",TEXT(YEAR(I1928),"0"))</f>
        <v/>
      </c>
      <c r="N1928" s="5">
        <f>IFERROR(INDEX(DePara!$A:$A,MATCH(TEXT(B1928,"0"),DePara!$D:$D,0)),"(sem categoria)")</f>
        <v/>
      </c>
      <c r="O1928" s="5">
        <f>IF(J1928="","",Parametros!$B$6-J1928)</f>
        <v/>
      </c>
      <c r="P1928" s="5">
        <f>IF(O1928="","",IF(O1928&gt;0,1,0))</f>
        <v/>
      </c>
    </row>
    <row r="1929">
      <c r="A1929" s="5" t="n">
        <v>2111000000</v>
      </c>
      <c r="B1929" s="5" t="inlineStr">
        <is>
          <t>101463</t>
        </is>
      </c>
      <c r="C1929" s="5" t="inlineStr">
        <is>
          <t>ZURICH MINAS BRASIL SEGUROS S A</t>
        </is>
      </c>
      <c r="D1929" s="5" t="inlineStr">
        <is>
          <t>RE</t>
        </is>
      </c>
      <c r="E1929" s="5" t="n">
        <v>5013631</v>
      </c>
      <c r="F1929" s="5" t="inlineStr">
        <is>
          <t>0325/26</t>
        </is>
      </c>
      <c r="G1929" s="5" t="inlineStr">
        <is>
          <t>BRL</t>
        </is>
      </c>
      <c r="H1929" s="9" t="n">
        <v>-48.24</v>
      </c>
      <c r="I1929" s="16" t="n">
        <v>46230</v>
      </c>
      <c r="J1929" s="16" t="n">
        <v>46260</v>
      </c>
      <c r="K1929" s="5" t="inlineStr">
        <is>
          <t>Invoice Payment. SP: 20546</t>
        </is>
      </c>
      <c r="L1929" s="5" t="inlineStr">
        <is>
          <t>0325/26</t>
        </is>
      </c>
      <c r="M1929" s="5">
        <f>IF(YEAR(I1929)&lt;=2020,"Até 2020",TEXT(YEAR(I1929),"0"))</f>
        <v/>
      </c>
      <c r="N1929" s="5">
        <f>IFERROR(INDEX(DePara!$A:$A,MATCH(TEXT(B1929,"0"),DePara!$D:$D,0)),"(sem categoria)")</f>
        <v/>
      </c>
      <c r="O1929" s="5">
        <f>IF(J1929="","",Parametros!$B$6-J1929)</f>
        <v/>
      </c>
      <c r="P1929" s="5">
        <f>IF(O1929="","",IF(O1929&gt;0,1,0))</f>
        <v/>
      </c>
    </row>
    <row r="1930">
      <c r="A1930" s="5" t="n">
        <v>2111000000</v>
      </c>
      <c r="B1930" s="5" t="inlineStr">
        <is>
          <t>102017</t>
        </is>
      </c>
      <c r="C1930" s="5" t="inlineStr">
        <is>
          <t>GLOBO COMERCIO DE MAQUINAS E FERRAM</t>
        </is>
      </c>
      <c r="D1930" s="5" t="inlineStr">
        <is>
          <t>RE</t>
        </is>
      </c>
      <c r="E1930" s="5" t="n">
        <v>5013632</v>
      </c>
      <c r="F1930" s="5" t="inlineStr">
        <is>
          <t>22377-1</t>
        </is>
      </c>
      <c r="G1930" s="5" t="inlineStr">
        <is>
          <t>BRL</t>
        </is>
      </c>
      <c r="H1930" s="9" t="n">
        <v>-34822</v>
      </c>
      <c r="I1930" s="16" t="n">
        <v>46217</v>
      </c>
      <c r="J1930" s="16" t="n">
        <v>46274</v>
      </c>
      <c r="K1930" s="5" t="inlineStr">
        <is>
          <t>Fatura - bruto GLOBO COMERCIO DE MAQUINAS E FERRAM</t>
        </is>
      </c>
      <c r="L1930" s="5" t="inlineStr">
        <is>
          <t>09092026</t>
        </is>
      </c>
      <c r="M1930" s="5">
        <f>IF(YEAR(I1930)&lt;=2020,"Até 2020",TEXT(YEAR(I1930),"0"))</f>
        <v/>
      </c>
      <c r="N1930" s="5">
        <f>IFERROR(INDEX(DePara!$A:$A,MATCH(TEXT(B1930,"0"),DePara!$D:$D,0)),"(sem categoria)")</f>
        <v/>
      </c>
      <c r="O1930" s="5">
        <f>IF(J1930="","",Parametros!$B$6-J1930)</f>
        <v/>
      </c>
      <c r="P1930" s="5">
        <f>IF(O1930="","",IF(O1930&gt;0,1,0))</f>
        <v/>
      </c>
    </row>
    <row r="1931">
      <c r="A1931" s="5" t="n">
        <v>2111000000</v>
      </c>
      <c r="B1931" s="5" t="inlineStr">
        <is>
          <t>101463</t>
        </is>
      </c>
      <c r="C1931" s="5" t="inlineStr">
        <is>
          <t>ZURICH MINAS BRASIL SEGUROS S A</t>
        </is>
      </c>
      <c r="D1931" s="5" t="inlineStr">
        <is>
          <t>RE</t>
        </is>
      </c>
      <c r="E1931" s="5" t="n">
        <v>5013639</v>
      </c>
      <c r="F1931" s="5" t="inlineStr">
        <is>
          <t>0350/26</t>
        </is>
      </c>
      <c r="G1931" s="5" t="inlineStr">
        <is>
          <t>BRL</t>
        </is>
      </c>
      <c r="H1931" s="9" t="n">
        <v>-246.88</v>
      </c>
      <c r="I1931" s="16" t="n">
        <v>46230</v>
      </c>
      <c r="J1931" s="16" t="n">
        <v>46260</v>
      </c>
      <c r="K1931" s="5" t="inlineStr">
        <is>
          <t>Invoice Payment. SP: 20549</t>
        </is>
      </c>
      <c r="L1931" s="5" t="inlineStr">
        <is>
          <t>0350/26</t>
        </is>
      </c>
      <c r="M1931" s="5">
        <f>IF(YEAR(I1931)&lt;=2020,"Até 2020",TEXT(YEAR(I1931),"0"))</f>
        <v/>
      </c>
      <c r="N1931" s="5">
        <f>IFERROR(INDEX(DePara!$A:$A,MATCH(TEXT(B1931,"0"),DePara!$D:$D,0)),"(sem categoria)")</f>
        <v/>
      </c>
      <c r="O1931" s="5">
        <f>IF(J1931="","",Parametros!$B$6-J1931)</f>
        <v/>
      </c>
      <c r="P1931" s="5">
        <f>IF(O1931="","",IF(O1931&gt;0,1,0))</f>
        <v/>
      </c>
    </row>
    <row r="1932">
      <c r="A1932" s="5" t="n">
        <v>2111000000</v>
      </c>
      <c r="B1932" s="5" t="inlineStr">
        <is>
          <t>101463</t>
        </is>
      </c>
      <c r="C1932" s="5" t="inlineStr">
        <is>
          <t>ZURICH MINAS BRASIL SEGUROS S A</t>
        </is>
      </c>
      <c r="D1932" s="5" t="inlineStr">
        <is>
          <t>RE</t>
        </is>
      </c>
      <c r="E1932" s="5" t="n">
        <v>5013648</v>
      </c>
      <c r="F1932" s="5" t="inlineStr">
        <is>
          <t>0437/26</t>
        </is>
      </c>
      <c r="G1932" s="5" t="inlineStr">
        <is>
          <t>BRL</t>
        </is>
      </c>
      <c r="H1932" s="9" t="n">
        <v>-717.65</v>
      </c>
      <c r="I1932" s="16" t="n">
        <v>46230</v>
      </c>
      <c r="J1932" s="16" t="n">
        <v>46260</v>
      </c>
      <c r="K1932" s="5" t="inlineStr">
        <is>
          <t>Invoice Payment. SP: 20551</t>
        </is>
      </c>
      <c r="L1932" s="5" t="inlineStr">
        <is>
          <t>0437/26</t>
        </is>
      </c>
      <c r="M1932" s="5">
        <f>IF(YEAR(I1932)&lt;=2020,"Até 2020",TEXT(YEAR(I1932),"0"))</f>
        <v/>
      </c>
      <c r="N1932" s="5">
        <f>IFERROR(INDEX(DePara!$A:$A,MATCH(TEXT(B1932,"0"),DePara!$D:$D,0)),"(sem categoria)")</f>
        <v/>
      </c>
      <c r="O1932" s="5">
        <f>IF(J1932="","",Parametros!$B$6-J1932)</f>
        <v/>
      </c>
      <c r="P1932" s="5">
        <f>IF(O1932="","",IF(O1932&gt;0,1,0))</f>
        <v/>
      </c>
    </row>
    <row r="1933">
      <c r="A1933" s="5" t="n">
        <v>2111000000</v>
      </c>
      <c r="B1933" s="5" t="inlineStr">
        <is>
          <t>101463</t>
        </is>
      </c>
      <c r="C1933" s="5" t="inlineStr">
        <is>
          <t>ZURICH MINAS BRASIL SEGUROS S A</t>
        </is>
      </c>
      <c r="D1933" s="5" t="inlineStr">
        <is>
          <t>RE</t>
        </is>
      </c>
      <c r="E1933" s="5" t="n">
        <v>5013652</v>
      </c>
      <c r="F1933" s="5" t="inlineStr">
        <is>
          <t>0315/26</t>
        </is>
      </c>
      <c r="G1933" s="5" t="inlineStr">
        <is>
          <t>BRL</t>
        </is>
      </c>
      <c r="H1933" s="9" t="n">
        <v>-25.41</v>
      </c>
      <c r="I1933" s="16" t="n">
        <v>46230</v>
      </c>
      <c r="J1933" s="16" t="n">
        <v>46260</v>
      </c>
      <c r="K1933" s="5" t="inlineStr">
        <is>
          <t>Invoice Payment. SP: 20553</t>
        </is>
      </c>
      <c r="L1933" s="5" t="inlineStr">
        <is>
          <t>0315/26</t>
        </is>
      </c>
      <c r="M1933" s="5">
        <f>IF(YEAR(I1933)&lt;=2020,"Até 2020",TEXT(YEAR(I1933),"0"))</f>
        <v/>
      </c>
      <c r="N1933" s="5">
        <f>IFERROR(INDEX(DePara!$A:$A,MATCH(TEXT(B1933,"0"),DePara!$D:$D,0)),"(sem categoria)")</f>
        <v/>
      </c>
      <c r="O1933" s="5">
        <f>IF(J1933="","",Parametros!$B$6-J1933)</f>
        <v/>
      </c>
      <c r="P1933" s="5">
        <f>IF(O1933="","",IF(O1933&gt;0,1,0))</f>
        <v/>
      </c>
    </row>
    <row r="1934">
      <c r="A1934" s="5" t="n">
        <v>2111000000</v>
      </c>
      <c r="B1934" s="5" t="inlineStr">
        <is>
          <t>101463</t>
        </is>
      </c>
      <c r="C1934" s="5" t="inlineStr">
        <is>
          <t>ZURICH MINAS BRASIL SEGUROS S A</t>
        </is>
      </c>
      <c r="D1934" s="5" t="inlineStr">
        <is>
          <t>RE</t>
        </is>
      </c>
      <c r="E1934" s="5" t="n">
        <v>5013658</v>
      </c>
      <c r="F1934" s="5" t="inlineStr">
        <is>
          <t>0391/26</t>
        </is>
      </c>
      <c r="G1934" s="5" t="inlineStr">
        <is>
          <t>BRL</t>
        </is>
      </c>
      <c r="H1934" s="9" t="n">
        <v>-15.61</v>
      </c>
      <c r="I1934" s="16" t="n">
        <v>46230</v>
      </c>
      <c r="J1934" s="16" t="n">
        <v>46260</v>
      </c>
      <c r="K1934" s="5" t="inlineStr">
        <is>
          <t>Invoice Payment. SP: 20555</t>
        </is>
      </c>
      <c r="L1934" s="5" t="inlineStr">
        <is>
          <t>0391/26</t>
        </is>
      </c>
      <c r="M1934" s="5">
        <f>IF(YEAR(I1934)&lt;=2020,"Até 2020",TEXT(YEAR(I1934),"0"))</f>
        <v/>
      </c>
      <c r="N1934" s="5">
        <f>IFERROR(INDEX(DePara!$A:$A,MATCH(TEXT(B1934,"0"),DePara!$D:$D,0)),"(sem categoria)")</f>
        <v/>
      </c>
      <c r="O1934" s="5">
        <f>IF(J1934="","",Parametros!$B$6-J1934)</f>
        <v/>
      </c>
      <c r="P1934" s="5">
        <f>IF(O1934="","",IF(O1934&gt;0,1,0))</f>
        <v/>
      </c>
    </row>
    <row r="1935">
      <c r="A1935" s="5" t="n">
        <v>2111000000</v>
      </c>
      <c r="B1935" s="5" t="inlineStr">
        <is>
          <t>101463</t>
        </is>
      </c>
      <c r="C1935" s="5" t="inlineStr">
        <is>
          <t>ZURICH MINAS BRASIL SEGUROS S A</t>
        </is>
      </c>
      <c r="D1935" s="5" t="inlineStr">
        <is>
          <t>RE</t>
        </is>
      </c>
      <c r="E1935" s="5" t="n">
        <v>5013662</v>
      </c>
      <c r="F1935" s="5" t="inlineStr">
        <is>
          <t>0309/26</t>
        </is>
      </c>
      <c r="G1935" s="5" t="inlineStr">
        <is>
          <t>BRL</t>
        </is>
      </c>
      <c r="H1935" s="9" t="n">
        <v>-218.47</v>
      </c>
      <c r="I1935" s="16" t="n">
        <v>46230</v>
      </c>
      <c r="J1935" s="16" t="n">
        <v>46260</v>
      </c>
      <c r="K1935" s="5" t="inlineStr">
        <is>
          <t>Invoice Payment. SP: 20557</t>
        </is>
      </c>
      <c r="L1935" s="5" t="inlineStr">
        <is>
          <t>0309/26</t>
        </is>
      </c>
      <c r="M1935" s="5">
        <f>IF(YEAR(I1935)&lt;=2020,"Até 2020",TEXT(YEAR(I1935),"0"))</f>
        <v/>
      </c>
      <c r="N1935" s="5">
        <f>IFERROR(INDEX(DePara!$A:$A,MATCH(TEXT(B1935,"0"),DePara!$D:$D,0)),"(sem categoria)")</f>
        <v/>
      </c>
      <c r="O1935" s="5">
        <f>IF(J1935="","",Parametros!$B$6-J1935)</f>
        <v/>
      </c>
      <c r="P1935" s="5">
        <f>IF(O1935="","",IF(O1935&gt;0,1,0))</f>
        <v/>
      </c>
    </row>
    <row r="1936">
      <c r="A1936" s="5" t="n">
        <v>2111000000</v>
      </c>
      <c r="B1936" s="5" t="inlineStr">
        <is>
          <t>101463</t>
        </is>
      </c>
      <c r="C1936" s="5" t="inlineStr">
        <is>
          <t>ZURICH MINAS BRASIL SEGUROS S A</t>
        </is>
      </c>
      <c r="D1936" s="5" t="inlineStr">
        <is>
          <t>RE</t>
        </is>
      </c>
      <c r="E1936" s="5" t="n">
        <v>5013667</v>
      </c>
      <c r="F1936" s="5" t="inlineStr">
        <is>
          <t>0392/26</t>
        </is>
      </c>
      <c r="G1936" s="5" t="inlineStr">
        <is>
          <t>BRL</t>
        </is>
      </c>
      <c r="H1936" s="9" t="n">
        <v>-249.98</v>
      </c>
      <c r="I1936" s="16" t="n">
        <v>46230</v>
      </c>
      <c r="J1936" s="16" t="n">
        <v>46260</v>
      </c>
      <c r="K1936" s="5" t="inlineStr">
        <is>
          <t>Invoice Payment. SP: 20559</t>
        </is>
      </c>
      <c r="L1936" s="5" t="inlineStr">
        <is>
          <t>0392/26</t>
        </is>
      </c>
      <c r="M1936" s="5">
        <f>IF(YEAR(I1936)&lt;=2020,"Até 2020",TEXT(YEAR(I1936),"0"))</f>
        <v/>
      </c>
      <c r="N1936" s="5">
        <f>IFERROR(INDEX(DePara!$A:$A,MATCH(TEXT(B1936,"0"),DePara!$D:$D,0)),"(sem categoria)")</f>
        <v/>
      </c>
      <c r="O1936" s="5">
        <f>IF(J1936="","",Parametros!$B$6-J1936)</f>
        <v/>
      </c>
      <c r="P1936" s="5">
        <f>IF(O1936="","",IF(O1936&gt;0,1,0))</f>
        <v/>
      </c>
    </row>
    <row r="1937">
      <c r="A1937" s="5" t="n">
        <v>2111000000</v>
      </c>
      <c r="B1937" s="5" t="inlineStr">
        <is>
          <t>101463</t>
        </is>
      </c>
      <c r="C1937" s="5" t="inlineStr">
        <is>
          <t>ZURICH MINAS BRASIL SEGUROS S A</t>
        </is>
      </c>
      <c r="D1937" s="5" t="inlineStr">
        <is>
          <t>RE</t>
        </is>
      </c>
      <c r="E1937" s="5" t="n">
        <v>5013677</v>
      </c>
      <c r="F1937" s="5" t="inlineStr">
        <is>
          <t>0357/26</t>
        </is>
      </c>
      <c r="G1937" s="5" t="inlineStr">
        <is>
          <t>BRL</t>
        </is>
      </c>
      <c r="H1937" s="9" t="n">
        <v>-1010.29</v>
      </c>
      <c r="I1937" s="16" t="n">
        <v>46230</v>
      </c>
      <c r="J1937" s="16" t="n">
        <v>46260</v>
      </c>
      <c r="K1937" s="5" t="inlineStr">
        <is>
          <t>Invoice Payment. SP: 20579</t>
        </is>
      </c>
      <c r="L1937" s="5" t="inlineStr">
        <is>
          <t>0357/26</t>
        </is>
      </c>
      <c r="M1937" s="5">
        <f>IF(YEAR(I1937)&lt;=2020,"Até 2020",TEXT(YEAR(I1937),"0"))</f>
        <v/>
      </c>
      <c r="N1937" s="5">
        <f>IFERROR(INDEX(DePara!$A:$A,MATCH(TEXT(B1937,"0"),DePara!$D:$D,0)),"(sem categoria)")</f>
        <v/>
      </c>
      <c r="O1937" s="5">
        <f>IF(J1937="","",Parametros!$B$6-J1937)</f>
        <v/>
      </c>
      <c r="P1937" s="5">
        <f>IF(O1937="","",IF(O1937&gt;0,1,0))</f>
        <v/>
      </c>
    </row>
    <row r="1938">
      <c r="A1938" s="5" t="n">
        <v>2111000000</v>
      </c>
      <c r="B1938" s="5" t="inlineStr">
        <is>
          <t>101463</t>
        </is>
      </c>
      <c r="C1938" s="5" t="inlineStr">
        <is>
          <t>ZURICH MINAS BRASIL SEGUROS S A</t>
        </is>
      </c>
      <c r="D1938" s="5" t="inlineStr">
        <is>
          <t>RE</t>
        </is>
      </c>
      <c r="E1938" s="5" t="n">
        <v>5013679</v>
      </c>
      <c r="F1938" s="5" t="inlineStr">
        <is>
          <t>0376/26</t>
        </is>
      </c>
      <c r="G1938" s="5" t="inlineStr">
        <is>
          <t>BRL</t>
        </is>
      </c>
      <c r="H1938" s="9" t="n">
        <v>-152.62</v>
      </c>
      <c r="I1938" s="16" t="n">
        <v>46230</v>
      </c>
      <c r="J1938" s="16" t="n">
        <v>46260</v>
      </c>
      <c r="K1938" s="5" t="inlineStr">
        <is>
          <t>Invoice Payment. SP: 20581</t>
        </is>
      </c>
      <c r="L1938" s="5" t="inlineStr">
        <is>
          <t>0376/26</t>
        </is>
      </c>
      <c r="M1938" s="5">
        <f>IF(YEAR(I1938)&lt;=2020,"Até 2020",TEXT(YEAR(I1938),"0"))</f>
        <v/>
      </c>
      <c r="N1938" s="5">
        <f>IFERROR(INDEX(DePara!$A:$A,MATCH(TEXT(B1938,"0"),DePara!$D:$D,0)),"(sem categoria)")</f>
        <v/>
      </c>
      <c r="O1938" s="5">
        <f>IF(J1938="","",Parametros!$B$6-J1938)</f>
        <v/>
      </c>
      <c r="P1938" s="5">
        <f>IF(O1938="","",IF(O1938&gt;0,1,0))</f>
        <v/>
      </c>
    </row>
    <row r="1939">
      <c r="A1939" s="5" t="n">
        <v>2111000000</v>
      </c>
      <c r="B1939" s="5" t="inlineStr">
        <is>
          <t>101463</t>
        </is>
      </c>
      <c r="C1939" s="5" t="inlineStr">
        <is>
          <t>ZURICH MINAS BRASIL SEGUROS S A</t>
        </is>
      </c>
      <c r="D1939" s="5" t="inlineStr">
        <is>
          <t>RE</t>
        </is>
      </c>
      <c r="E1939" s="5" t="n">
        <v>5013682</v>
      </c>
      <c r="F1939" s="5" t="inlineStr">
        <is>
          <t>0390/26</t>
        </is>
      </c>
      <c r="G1939" s="5" t="inlineStr">
        <is>
          <t>BRL</t>
        </is>
      </c>
      <c r="H1939" s="9" t="n">
        <v>-128.01</v>
      </c>
      <c r="I1939" s="16" t="n">
        <v>46230</v>
      </c>
      <c r="J1939" s="16" t="n">
        <v>46260</v>
      </c>
      <c r="K1939" s="5" t="inlineStr">
        <is>
          <t>Invoice Payment. SP: 20584</t>
        </is>
      </c>
      <c r="L1939" s="5" t="inlineStr">
        <is>
          <t>0390/26</t>
        </is>
      </c>
      <c r="M1939" s="5">
        <f>IF(YEAR(I1939)&lt;=2020,"Até 2020",TEXT(YEAR(I1939),"0"))</f>
        <v/>
      </c>
      <c r="N1939" s="5">
        <f>IFERROR(INDEX(DePara!$A:$A,MATCH(TEXT(B1939,"0"),DePara!$D:$D,0)),"(sem categoria)")</f>
        <v/>
      </c>
      <c r="O1939" s="5">
        <f>IF(J1939="","",Parametros!$B$6-J1939)</f>
        <v/>
      </c>
      <c r="P1939" s="5">
        <f>IF(O1939="","",IF(O1939&gt;0,1,0))</f>
        <v/>
      </c>
    </row>
    <row r="1940">
      <c r="A1940" s="5" t="n">
        <v>2111000000</v>
      </c>
      <c r="B1940" s="5" t="inlineStr">
        <is>
          <t>101826</t>
        </is>
      </c>
      <c r="C1940" s="5" t="inlineStr">
        <is>
          <t>BUNZL EQUIP DE PROTECÃO INDIVIDUAL</t>
        </is>
      </c>
      <c r="D1940" s="5" t="inlineStr">
        <is>
          <t>RE</t>
        </is>
      </c>
      <c r="E1940" s="5" t="n">
        <v>5013683</v>
      </c>
      <c r="F1940" s="5" t="inlineStr">
        <is>
          <t>1820775-1</t>
        </is>
      </c>
      <c r="G1940" s="5" t="inlineStr">
        <is>
          <t>BRL</t>
        </is>
      </c>
      <c r="H1940" s="9" t="n">
        <v>-13200</v>
      </c>
      <c r="I1940" s="16" t="n">
        <v>46198</v>
      </c>
      <c r="J1940" s="16" t="n">
        <v>46270</v>
      </c>
      <c r="K1940" s="5" t="inlineStr">
        <is>
          <t>Fatura - bruto BUNZL EQUIP DE PROTECÃO INDIVIDUAL</t>
        </is>
      </c>
      <c r="L1940" s="5" t="inlineStr">
        <is>
          <t>08092026</t>
        </is>
      </c>
      <c r="M1940" s="5">
        <f>IF(YEAR(I1940)&lt;=2020,"Até 2020",TEXT(YEAR(I1940),"0"))</f>
        <v/>
      </c>
      <c r="N1940" s="5">
        <f>IFERROR(INDEX(DePara!$A:$A,MATCH(TEXT(B1940,"0"),DePara!$D:$D,0)),"(sem categoria)")</f>
        <v/>
      </c>
      <c r="O1940" s="5">
        <f>IF(J1940="","",Parametros!$B$6-J1940)</f>
        <v/>
      </c>
      <c r="P1940" s="5">
        <f>IF(O1940="","",IF(O1940&gt;0,1,0))</f>
        <v/>
      </c>
    </row>
    <row r="1941">
      <c r="A1941" s="5" t="n">
        <v>2111000000</v>
      </c>
      <c r="B1941" s="5" t="inlineStr">
        <is>
          <t>101463</t>
        </is>
      </c>
      <c r="C1941" s="5" t="inlineStr">
        <is>
          <t>ZURICH MINAS BRASIL SEGUROS S A</t>
        </is>
      </c>
      <c r="D1941" s="5" t="inlineStr">
        <is>
          <t>RE</t>
        </is>
      </c>
      <c r="E1941" s="5" t="n">
        <v>5013685</v>
      </c>
      <c r="F1941" s="5" t="inlineStr">
        <is>
          <t>0406/26</t>
        </is>
      </c>
      <c r="G1941" s="5" t="inlineStr">
        <is>
          <t>BRL</t>
        </is>
      </c>
      <c r="H1941" s="9" t="n">
        <v>-248.54</v>
      </c>
      <c r="I1941" s="16" t="n">
        <v>46230</v>
      </c>
      <c r="J1941" s="16" t="n">
        <v>46260</v>
      </c>
      <c r="K1941" s="5" t="inlineStr">
        <is>
          <t>Invoice Payment. SP: 20586</t>
        </is>
      </c>
      <c r="L1941" s="5" t="inlineStr">
        <is>
          <t>0406/26</t>
        </is>
      </c>
      <c r="M1941" s="5">
        <f>IF(YEAR(I1941)&lt;=2020,"Até 2020",TEXT(YEAR(I1941),"0"))</f>
        <v/>
      </c>
      <c r="N1941" s="5">
        <f>IFERROR(INDEX(DePara!$A:$A,MATCH(TEXT(B1941,"0"),DePara!$D:$D,0)),"(sem categoria)")</f>
        <v/>
      </c>
      <c r="O1941" s="5">
        <f>IF(J1941="","",Parametros!$B$6-J1941)</f>
        <v/>
      </c>
      <c r="P1941" s="5">
        <f>IF(O1941="","",IF(O1941&gt;0,1,0))</f>
        <v/>
      </c>
    </row>
    <row r="1942">
      <c r="A1942" s="5" t="n">
        <v>2111000000</v>
      </c>
      <c r="B1942" s="5" t="inlineStr">
        <is>
          <t>100031</t>
        </is>
      </c>
      <c r="C1942" s="5" t="inlineStr">
        <is>
          <t>MEGAWIND INDUSTRIA E COMERCIO</t>
        </is>
      </c>
      <c r="D1942" s="5" t="inlineStr">
        <is>
          <t>RE</t>
        </is>
      </c>
      <c r="E1942" s="5" t="n">
        <v>5013688</v>
      </c>
      <c r="F1942" s="5" t="inlineStr">
        <is>
          <t>1426</t>
        </is>
      </c>
      <c r="G1942" s="5" t="inlineStr">
        <is>
          <t>BRL</t>
        </is>
      </c>
      <c r="H1942" s="9" t="n">
        <v>-132000</v>
      </c>
      <c r="I1942" s="16" t="n">
        <v>46227</v>
      </c>
      <c r="J1942" s="16" t="n">
        <v>46270</v>
      </c>
      <c r="K1942" s="5" t="inlineStr">
        <is>
          <t>Fatura - bruto MEGAWIND INDUSTRIA E COMERCIO 1426</t>
        </is>
      </c>
      <c r="L1942" s="5" t="inlineStr">
        <is>
          <t>08092026</t>
        </is>
      </c>
      <c r="M1942" s="5">
        <f>IF(YEAR(I1942)&lt;=2020,"Até 2020",TEXT(YEAR(I1942),"0"))</f>
        <v/>
      </c>
      <c r="N1942" s="5">
        <f>IFERROR(INDEX(DePara!$A:$A,MATCH(TEXT(B1942,"0"),DePara!$D:$D,0)),"(sem categoria)")</f>
        <v/>
      </c>
      <c r="O1942" s="5">
        <f>IF(J1942="","",Parametros!$B$6-J1942)</f>
        <v/>
      </c>
      <c r="P1942" s="5">
        <f>IF(O1942="","",IF(O1942&gt;0,1,0))</f>
        <v/>
      </c>
    </row>
    <row r="1943">
      <c r="A1943" s="5" t="n">
        <v>2111000000</v>
      </c>
      <c r="B1943" s="5" t="inlineStr">
        <is>
          <t>100031</t>
        </is>
      </c>
      <c r="C1943" s="5" t="inlineStr">
        <is>
          <t>MEGAWIND INDUSTRIA E COMERCIO</t>
        </is>
      </c>
      <c r="D1943" s="5" t="inlineStr">
        <is>
          <t>RE</t>
        </is>
      </c>
      <c r="E1943" s="5" t="n">
        <v>5013689</v>
      </c>
      <c r="F1943" s="5" t="inlineStr">
        <is>
          <t>1428</t>
        </is>
      </c>
      <c r="G1943" s="5" t="inlineStr">
        <is>
          <t>BRL</t>
        </is>
      </c>
      <c r="H1943" s="9" t="n">
        <v>-5500</v>
      </c>
      <c r="I1943" s="16" t="n">
        <v>46227</v>
      </c>
      <c r="J1943" s="16" t="n">
        <v>46270</v>
      </c>
      <c r="K1943" s="5" t="inlineStr">
        <is>
          <t>Fatura - bruto MEGAWIND INDUSTRIA E COMERCIO 1428</t>
        </is>
      </c>
      <c r="L1943" s="5" t="inlineStr">
        <is>
          <t>08092026</t>
        </is>
      </c>
      <c r="M1943" s="5">
        <f>IF(YEAR(I1943)&lt;=2020,"Até 2020",TEXT(YEAR(I1943),"0"))</f>
        <v/>
      </c>
      <c r="N1943" s="5">
        <f>IFERROR(INDEX(DePara!$A:$A,MATCH(TEXT(B1943,"0"),DePara!$D:$D,0)),"(sem categoria)")</f>
        <v/>
      </c>
      <c r="O1943" s="5">
        <f>IF(J1943="","",Parametros!$B$6-J1943)</f>
        <v/>
      </c>
      <c r="P1943" s="5">
        <f>IF(O1943="","",IF(O1943&gt;0,1,0))</f>
        <v/>
      </c>
    </row>
    <row r="1944">
      <c r="A1944" s="5" t="n">
        <v>2111000000</v>
      </c>
      <c r="B1944" s="5" t="inlineStr">
        <is>
          <t>101559</t>
        </is>
      </c>
      <c r="C1944" s="5" t="inlineStr">
        <is>
          <t>SIND DOS DESPACH ADUANEIROS DE SANT</t>
        </is>
      </c>
      <c r="D1944" s="5" t="inlineStr">
        <is>
          <t>KR</t>
        </is>
      </c>
      <c r="E1944" s="5" t="n">
        <v>5013710</v>
      </c>
      <c r="F1944" s="5" t="inlineStr">
        <is>
          <t>6588885</t>
        </is>
      </c>
      <c r="G1944" s="5" t="inlineStr">
        <is>
          <t>BRL</t>
        </is>
      </c>
      <c r="H1944" s="9" t="n">
        <v>-500</v>
      </c>
      <c r="I1944" s="16" t="n">
        <v>44894</v>
      </c>
      <c r="J1944" s="16" t="n">
        <v>44894</v>
      </c>
      <c r="K1944" s="5" t="inlineStr">
        <is>
          <t>LDVVNLZ0088</t>
        </is>
      </c>
      <c r="L1944" s="5" t="n"/>
      <c r="M1944" s="5">
        <f>IF(YEAR(I1944)&lt;=2020,"Até 2020",TEXT(YEAR(I1944),"0"))</f>
        <v/>
      </c>
      <c r="N1944" s="5">
        <f>IFERROR(INDEX(DePara!$A:$A,MATCH(TEXT(B1944,"0"),DePara!$D:$D,0)),"(sem categoria)")</f>
        <v/>
      </c>
      <c r="O1944" s="5">
        <f>IF(J1944="","",Parametros!$B$6-J1944)</f>
        <v/>
      </c>
      <c r="P1944" s="5">
        <f>IF(O1944="","",IF(O1944&gt;0,1,0))</f>
        <v/>
      </c>
    </row>
    <row r="1945">
      <c r="A1945" s="5" t="n">
        <v>2111000000</v>
      </c>
      <c r="B1945" s="5" t="inlineStr">
        <is>
          <t>100883</t>
        </is>
      </c>
      <c r="C1945" s="5" t="inlineStr">
        <is>
          <t>QUELMAR TRANSPORTES LTDA</t>
        </is>
      </c>
      <c r="D1945" s="5" t="inlineStr">
        <is>
          <t>RE</t>
        </is>
      </c>
      <c r="E1945" s="5" t="n">
        <v>5013719</v>
      </c>
      <c r="F1945" s="5" t="inlineStr">
        <is>
          <t>6186-2</t>
        </is>
      </c>
      <c r="G1945" s="5" t="inlineStr">
        <is>
          <t>BRL</t>
        </is>
      </c>
      <c r="H1945" s="9" t="n">
        <v>-980</v>
      </c>
      <c r="I1945" s="16" t="n">
        <v>46210</v>
      </c>
      <c r="J1945" s="16" t="n">
        <v>46270</v>
      </c>
      <c r="K1945" s="5" t="inlineStr">
        <is>
          <t>Fatura - bruto QUELMAR TRANSPORTES LTDA 6186-2</t>
        </is>
      </c>
      <c r="L1945" s="5" t="inlineStr">
        <is>
          <t>08092026</t>
        </is>
      </c>
      <c r="M1945" s="5">
        <f>IF(YEAR(I1945)&lt;=2020,"Até 2020",TEXT(YEAR(I1945),"0"))</f>
        <v/>
      </c>
      <c r="N1945" s="5">
        <f>IFERROR(INDEX(DePara!$A:$A,MATCH(TEXT(B1945,"0"),DePara!$D:$D,0)),"(sem categoria)")</f>
        <v/>
      </c>
      <c r="O1945" s="5">
        <f>IF(J1945="","",Parametros!$B$6-J1945)</f>
        <v/>
      </c>
      <c r="P1945" s="5">
        <f>IF(O1945="","",IF(O1945&gt;0,1,0))</f>
        <v/>
      </c>
    </row>
    <row r="1946">
      <c r="A1946" s="5" t="n">
        <v>2111000000</v>
      </c>
      <c r="B1946" s="5" t="inlineStr">
        <is>
          <t>100883</t>
        </is>
      </c>
      <c r="C1946" s="5" t="inlineStr">
        <is>
          <t>QUELMAR TRANSPORTES LTDA</t>
        </is>
      </c>
      <c r="D1946" s="5" t="inlineStr">
        <is>
          <t>RE</t>
        </is>
      </c>
      <c r="E1946" s="5" t="n">
        <v>5013720</v>
      </c>
      <c r="F1946" s="5" t="inlineStr">
        <is>
          <t>6190-2</t>
        </is>
      </c>
      <c r="G1946" s="5" t="inlineStr">
        <is>
          <t>BRL</t>
        </is>
      </c>
      <c r="H1946" s="9" t="n">
        <v>-3980</v>
      </c>
      <c r="I1946" s="16" t="n">
        <v>46211</v>
      </c>
      <c r="J1946" s="16" t="n">
        <v>46270</v>
      </c>
      <c r="K1946" s="5" t="inlineStr">
        <is>
          <t>Fatura - bruto QUELMAR TRANSPORTES LTDA 6190-2</t>
        </is>
      </c>
      <c r="L1946" s="5" t="inlineStr">
        <is>
          <t>08092026</t>
        </is>
      </c>
      <c r="M1946" s="5">
        <f>IF(YEAR(I1946)&lt;=2020,"Até 2020",TEXT(YEAR(I1946),"0"))</f>
        <v/>
      </c>
      <c r="N1946" s="5">
        <f>IFERROR(INDEX(DePara!$A:$A,MATCH(TEXT(B1946,"0"),DePara!$D:$D,0)),"(sem categoria)")</f>
        <v/>
      </c>
      <c r="O1946" s="5">
        <f>IF(J1946="","",Parametros!$B$6-J1946)</f>
        <v/>
      </c>
      <c r="P1946" s="5">
        <f>IF(O1946="","",IF(O1946&gt;0,1,0))</f>
        <v/>
      </c>
    </row>
    <row r="1947">
      <c r="A1947" s="5" t="n">
        <v>2111000000</v>
      </c>
      <c r="B1947" s="5" t="inlineStr">
        <is>
          <t>100883</t>
        </is>
      </c>
      <c r="C1947" s="5" t="inlineStr">
        <is>
          <t>QUELMAR TRANSPORTES LTDA</t>
        </is>
      </c>
      <c r="D1947" s="5" t="inlineStr">
        <is>
          <t>RE</t>
        </is>
      </c>
      <c r="E1947" s="5" t="n">
        <v>5013721</v>
      </c>
      <c r="F1947" s="5" t="inlineStr">
        <is>
          <t>6191-2</t>
        </is>
      </c>
      <c r="G1947" s="5" t="inlineStr">
        <is>
          <t>BRL</t>
        </is>
      </c>
      <c r="H1947" s="9" t="n">
        <v>-3520</v>
      </c>
      <c r="I1947" s="16" t="n">
        <v>46211</v>
      </c>
      <c r="J1947" s="16" t="n">
        <v>46270</v>
      </c>
      <c r="K1947" s="5" t="inlineStr">
        <is>
          <t>Fatura - bruto QUELMAR TRANSPORTES LTDA 6191-2</t>
        </is>
      </c>
      <c r="L1947" s="5" t="inlineStr">
        <is>
          <t>08092026</t>
        </is>
      </c>
      <c r="M1947" s="5">
        <f>IF(YEAR(I1947)&lt;=2020,"Até 2020",TEXT(YEAR(I1947),"0"))</f>
        <v/>
      </c>
      <c r="N1947" s="5">
        <f>IFERROR(INDEX(DePara!$A:$A,MATCH(TEXT(B1947,"0"),DePara!$D:$D,0)),"(sem categoria)")</f>
        <v/>
      </c>
      <c r="O1947" s="5">
        <f>IF(J1947="","",Parametros!$B$6-J1947)</f>
        <v/>
      </c>
      <c r="P1947" s="5">
        <f>IF(O1947="","",IF(O1947&gt;0,1,0))</f>
        <v/>
      </c>
    </row>
    <row r="1948">
      <c r="A1948" s="5" t="n">
        <v>2111000000</v>
      </c>
      <c r="B1948" s="5" t="inlineStr">
        <is>
          <t>100883</t>
        </is>
      </c>
      <c r="C1948" s="5" t="inlineStr">
        <is>
          <t>QUELMAR TRANSPORTES LTDA</t>
        </is>
      </c>
      <c r="D1948" s="5" t="inlineStr">
        <is>
          <t>RE</t>
        </is>
      </c>
      <c r="E1948" s="5" t="n">
        <v>5013722</v>
      </c>
      <c r="F1948" s="5" t="inlineStr">
        <is>
          <t>6213-2</t>
        </is>
      </c>
      <c r="G1948" s="5" t="inlineStr">
        <is>
          <t>BRL</t>
        </is>
      </c>
      <c r="H1948" s="9" t="n">
        <v>-1450</v>
      </c>
      <c r="I1948" s="16" t="n">
        <v>46216</v>
      </c>
      <c r="J1948" s="16" t="n">
        <v>46270</v>
      </c>
      <c r="K1948" s="5" t="inlineStr">
        <is>
          <t>Fatura - bruto QUELMAR TRANSPORTES LTDA 6213-2</t>
        </is>
      </c>
      <c r="L1948" s="5" t="inlineStr">
        <is>
          <t>08092026</t>
        </is>
      </c>
      <c r="M1948" s="5">
        <f>IF(YEAR(I1948)&lt;=2020,"Até 2020",TEXT(YEAR(I1948),"0"))</f>
        <v/>
      </c>
      <c r="N1948" s="5">
        <f>IFERROR(INDEX(DePara!$A:$A,MATCH(TEXT(B1948,"0"),DePara!$D:$D,0)),"(sem categoria)")</f>
        <v/>
      </c>
      <c r="O1948" s="5">
        <f>IF(J1948="","",Parametros!$B$6-J1948)</f>
        <v/>
      </c>
      <c r="P1948" s="5">
        <f>IF(O1948="","",IF(O1948&gt;0,1,0))</f>
        <v/>
      </c>
    </row>
    <row r="1949">
      <c r="A1949" s="5" t="n">
        <v>2111000000</v>
      </c>
      <c r="B1949" s="5" t="inlineStr">
        <is>
          <t>100883</t>
        </is>
      </c>
      <c r="C1949" s="5" t="inlineStr">
        <is>
          <t>QUELMAR TRANSPORTES LTDA</t>
        </is>
      </c>
      <c r="D1949" s="5" t="inlineStr">
        <is>
          <t>RE</t>
        </is>
      </c>
      <c r="E1949" s="5" t="n">
        <v>5013723</v>
      </c>
      <c r="F1949" s="5" t="inlineStr">
        <is>
          <t>6226-2</t>
        </is>
      </c>
      <c r="G1949" s="5" t="inlineStr">
        <is>
          <t>BRL</t>
        </is>
      </c>
      <c r="H1949" s="9" t="n">
        <v>-2200</v>
      </c>
      <c r="I1949" s="16" t="n">
        <v>46217</v>
      </c>
      <c r="J1949" s="16" t="n">
        <v>46270</v>
      </c>
      <c r="K1949" s="5" t="inlineStr">
        <is>
          <t>Fatura - bruto QUELMAR TRANSPORTES LTDA 6226-2</t>
        </is>
      </c>
      <c r="L1949" s="5" t="inlineStr">
        <is>
          <t>08092026</t>
        </is>
      </c>
      <c r="M1949" s="5">
        <f>IF(YEAR(I1949)&lt;=2020,"Até 2020",TEXT(YEAR(I1949),"0"))</f>
        <v/>
      </c>
      <c r="N1949" s="5">
        <f>IFERROR(INDEX(DePara!$A:$A,MATCH(TEXT(B1949,"0"),DePara!$D:$D,0)),"(sem categoria)")</f>
        <v/>
      </c>
      <c r="O1949" s="5">
        <f>IF(J1949="","",Parametros!$B$6-J1949)</f>
        <v/>
      </c>
      <c r="P1949" s="5">
        <f>IF(O1949="","",IF(O1949&gt;0,1,0))</f>
        <v/>
      </c>
    </row>
    <row r="1950">
      <c r="A1950" s="5" t="n">
        <v>2111000000</v>
      </c>
      <c r="B1950" s="5" t="inlineStr">
        <is>
          <t>100883</t>
        </is>
      </c>
      <c r="C1950" s="5" t="inlineStr">
        <is>
          <t>QUELMAR TRANSPORTES LTDA</t>
        </is>
      </c>
      <c r="D1950" s="5" t="inlineStr">
        <is>
          <t>RE</t>
        </is>
      </c>
      <c r="E1950" s="5" t="n">
        <v>5013724</v>
      </c>
      <c r="F1950" s="5" t="inlineStr">
        <is>
          <t>6230-2</t>
        </is>
      </c>
      <c r="G1950" s="5" t="inlineStr">
        <is>
          <t>BRL</t>
        </is>
      </c>
      <c r="H1950" s="9" t="n">
        <v>-6200</v>
      </c>
      <c r="I1950" s="16" t="n">
        <v>46217</v>
      </c>
      <c r="J1950" s="16" t="n">
        <v>46270</v>
      </c>
      <c r="K1950" s="5" t="inlineStr">
        <is>
          <t>Fatura - bruto QUELMAR TRANSPORTES LTDA 6230-2</t>
        </is>
      </c>
      <c r="L1950" s="5" t="inlineStr">
        <is>
          <t>08092026</t>
        </is>
      </c>
      <c r="M1950" s="5">
        <f>IF(YEAR(I1950)&lt;=2020,"Até 2020",TEXT(YEAR(I1950),"0"))</f>
        <v/>
      </c>
      <c r="N1950" s="5">
        <f>IFERROR(INDEX(DePara!$A:$A,MATCH(TEXT(B1950,"0"),DePara!$D:$D,0)),"(sem categoria)")</f>
        <v/>
      </c>
      <c r="O1950" s="5">
        <f>IF(J1950="","",Parametros!$B$6-J1950)</f>
        <v/>
      </c>
      <c r="P1950" s="5">
        <f>IF(O1950="","",IF(O1950&gt;0,1,0))</f>
        <v/>
      </c>
    </row>
    <row r="1951">
      <c r="A1951" s="5" t="n">
        <v>2111000000</v>
      </c>
      <c r="B1951" s="5" t="inlineStr">
        <is>
          <t>100883</t>
        </is>
      </c>
      <c r="C1951" s="5" t="inlineStr">
        <is>
          <t>QUELMAR TRANSPORTES LTDA</t>
        </is>
      </c>
      <c r="D1951" s="5" t="inlineStr">
        <is>
          <t>RE</t>
        </is>
      </c>
      <c r="E1951" s="5" t="n">
        <v>5013725</v>
      </c>
      <c r="F1951" s="5" t="inlineStr">
        <is>
          <t>6232-2</t>
        </is>
      </c>
      <c r="G1951" s="5" t="inlineStr">
        <is>
          <t>BRL</t>
        </is>
      </c>
      <c r="H1951" s="9" t="n">
        <v>-980</v>
      </c>
      <c r="I1951" s="16" t="n">
        <v>46217</v>
      </c>
      <c r="J1951" s="16" t="n">
        <v>46270</v>
      </c>
      <c r="K1951" s="5" t="inlineStr">
        <is>
          <t>Fatura - bruto QUELMAR TRANSPORTES LTDA 6232-2</t>
        </is>
      </c>
      <c r="L1951" s="5" t="inlineStr">
        <is>
          <t>08092026</t>
        </is>
      </c>
      <c r="M1951" s="5">
        <f>IF(YEAR(I1951)&lt;=2020,"Até 2020",TEXT(YEAR(I1951),"0"))</f>
        <v/>
      </c>
      <c r="N1951" s="5">
        <f>IFERROR(INDEX(DePara!$A:$A,MATCH(TEXT(B1951,"0"),DePara!$D:$D,0)),"(sem categoria)")</f>
        <v/>
      </c>
      <c r="O1951" s="5">
        <f>IF(J1951="","",Parametros!$B$6-J1951)</f>
        <v/>
      </c>
      <c r="P1951" s="5">
        <f>IF(O1951="","",IF(O1951&gt;0,1,0))</f>
        <v/>
      </c>
    </row>
    <row r="1952">
      <c r="A1952" s="5" t="n">
        <v>2111000000</v>
      </c>
      <c r="B1952" s="5" t="inlineStr">
        <is>
          <t>101463</t>
        </is>
      </c>
      <c r="C1952" s="5" t="inlineStr">
        <is>
          <t>ZURICH MINAS BRASIL SEGUROS S A</t>
        </is>
      </c>
      <c r="D1952" s="5" t="inlineStr">
        <is>
          <t>RE</t>
        </is>
      </c>
      <c r="E1952" s="5" t="n">
        <v>5013727</v>
      </c>
      <c r="F1952" s="5" t="inlineStr">
        <is>
          <t>0290/26</t>
        </is>
      </c>
      <c r="G1952" s="5" t="inlineStr">
        <is>
          <t>BRL</t>
        </is>
      </c>
      <c r="H1952" s="9" t="n">
        <v>-1223.48</v>
      </c>
      <c r="I1952" s="16" t="n">
        <v>46230</v>
      </c>
      <c r="J1952" s="16" t="n">
        <v>46260</v>
      </c>
      <c r="K1952" s="5" t="inlineStr">
        <is>
          <t>Invoice Payment. SP: 20598</t>
        </is>
      </c>
      <c r="L1952" s="5" t="inlineStr">
        <is>
          <t>0290/26</t>
        </is>
      </c>
      <c r="M1952" s="5">
        <f>IF(YEAR(I1952)&lt;=2020,"Até 2020",TEXT(YEAR(I1952),"0"))</f>
        <v/>
      </c>
      <c r="N1952" s="5">
        <f>IFERROR(INDEX(DePara!$A:$A,MATCH(TEXT(B1952,"0"),DePara!$D:$D,0)),"(sem categoria)")</f>
        <v/>
      </c>
      <c r="O1952" s="5">
        <f>IF(J1952="","",Parametros!$B$6-J1952)</f>
        <v/>
      </c>
      <c r="P1952" s="5">
        <f>IF(O1952="","",IF(O1952&gt;0,1,0))</f>
        <v/>
      </c>
    </row>
    <row r="1953">
      <c r="A1953" s="5" t="n">
        <v>2111000000</v>
      </c>
      <c r="B1953" s="5" t="inlineStr">
        <is>
          <t>101463</t>
        </is>
      </c>
      <c r="C1953" s="5" t="inlineStr">
        <is>
          <t>ZURICH MINAS BRASIL SEGUROS S A</t>
        </is>
      </c>
      <c r="D1953" s="5" t="inlineStr">
        <is>
          <t>RE</t>
        </is>
      </c>
      <c r="E1953" s="5" t="n">
        <v>5013730</v>
      </c>
      <c r="F1953" s="5" t="inlineStr">
        <is>
          <t>0393/26</t>
        </is>
      </c>
      <c r="G1953" s="5" t="inlineStr">
        <is>
          <t>BRL</t>
        </is>
      </c>
      <c r="H1953" s="9" t="n">
        <v>-43.94</v>
      </c>
      <c r="I1953" s="16" t="n">
        <v>46230</v>
      </c>
      <c r="J1953" s="16" t="n">
        <v>46260</v>
      </c>
      <c r="K1953" s="5" t="inlineStr">
        <is>
          <t>Invoice Payment. SP: 20601</t>
        </is>
      </c>
      <c r="L1953" s="5" t="inlineStr">
        <is>
          <t>0393/26</t>
        </is>
      </c>
      <c r="M1953" s="5">
        <f>IF(YEAR(I1953)&lt;=2020,"Até 2020",TEXT(YEAR(I1953),"0"))</f>
        <v/>
      </c>
      <c r="N1953" s="5">
        <f>IFERROR(INDEX(DePara!$A:$A,MATCH(TEXT(B1953,"0"),DePara!$D:$D,0)),"(sem categoria)")</f>
        <v/>
      </c>
      <c r="O1953" s="5">
        <f>IF(J1953="","",Parametros!$B$6-J1953)</f>
        <v/>
      </c>
      <c r="P1953" s="5">
        <f>IF(O1953="","",IF(O1953&gt;0,1,0))</f>
        <v/>
      </c>
    </row>
    <row r="1954">
      <c r="A1954" s="5" t="n">
        <v>2111000000</v>
      </c>
      <c r="B1954" s="5" t="inlineStr">
        <is>
          <t>100883</t>
        </is>
      </c>
      <c r="C1954" s="5" t="inlineStr">
        <is>
          <t>QUELMAR TRANSPORTES LTDA</t>
        </is>
      </c>
      <c r="D1954" s="5" t="inlineStr">
        <is>
          <t>RE</t>
        </is>
      </c>
      <c r="E1954" s="5" t="n">
        <v>5013732</v>
      </c>
      <c r="F1954" s="5" t="inlineStr">
        <is>
          <t>6239-2</t>
        </is>
      </c>
      <c r="G1954" s="5" t="inlineStr">
        <is>
          <t>BRL</t>
        </is>
      </c>
      <c r="H1954" s="9" t="n">
        <v>-1380</v>
      </c>
      <c r="I1954" s="16" t="n">
        <v>46218</v>
      </c>
      <c r="J1954" s="16" t="n">
        <v>46270</v>
      </c>
      <c r="K1954" s="5" t="inlineStr">
        <is>
          <t>Fatura - bruto QUELMAR TRANSPORTES LTDA 6239-2</t>
        </is>
      </c>
      <c r="L1954" s="5" t="inlineStr">
        <is>
          <t>08092026</t>
        </is>
      </c>
      <c r="M1954" s="5">
        <f>IF(YEAR(I1954)&lt;=2020,"Até 2020",TEXT(YEAR(I1954),"0"))</f>
        <v/>
      </c>
      <c r="N1954" s="5">
        <f>IFERROR(INDEX(DePara!$A:$A,MATCH(TEXT(B1954,"0"),DePara!$D:$D,0)),"(sem categoria)")</f>
        <v/>
      </c>
      <c r="O1954" s="5">
        <f>IF(J1954="","",Parametros!$B$6-J1954)</f>
        <v/>
      </c>
      <c r="P1954" s="5">
        <f>IF(O1954="","",IF(O1954&gt;0,1,0))</f>
        <v/>
      </c>
    </row>
    <row r="1955">
      <c r="A1955" s="5" t="n">
        <v>2111000000</v>
      </c>
      <c r="B1955" s="5" t="inlineStr">
        <is>
          <t>100883</t>
        </is>
      </c>
      <c r="C1955" s="5" t="inlineStr">
        <is>
          <t>QUELMAR TRANSPORTES LTDA</t>
        </is>
      </c>
      <c r="D1955" s="5" t="inlineStr">
        <is>
          <t>RE</t>
        </is>
      </c>
      <c r="E1955" s="5" t="n">
        <v>5013733</v>
      </c>
      <c r="F1955" s="5" t="inlineStr">
        <is>
          <t>6245-2</t>
        </is>
      </c>
      <c r="G1955" s="5" t="inlineStr">
        <is>
          <t>BRL</t>
        </is>
      </c>
      <c r="H1955" s="9" t="n">
        <v>-3308</v>
      </c>
      <c r="I1955" s="16" t="n">
        <v>46220</v>
      </c>
      <c r="J1955" s="16" t="n">
        <v>46270</v>
      </c>
      <c r="K1955" s="5" t="inlineStr">
        <is>
          <t>Fatura - bruto QUELMAR TRANSPORTES LTDA 6245-2</t>
        </is>
      </c>
      <c r="L1955" s="5" t="inlineStr">
        <is>
          <t>08092026</t>
        </is>
      </c>
      <c r="M1955" s="5">
        <f>IF(YEAR(I1955)&lt;=2020,"Até 2020",TEXT(YEAR(I1955),"0"))</f>
        <v/>
      </c>
      <c r="N1955" s="5">
        <f>IFERROR(INDEX(DePara!$A:$A,MATCH(TEXT(B1955,"0"),DePara!$D:$D,0)),"(sem categoria)")</f>
        <v/>
      </c>
      <c r="O1955" s="5">
        <f>IF(J1955="","",Parametros!$B$6-J1955)</f>
        <v/>
      </c>
      <c r="P1955" s="5">
        <f>IF(O1955="","",IF(O1955&gt;0,1,0))</f>
        <v/>
      </c>
    </row>
    <row r="1956">
      <c r="A1956" s="5" t="n">
        <v>2111000000</v>
      </c>
      <c r="B1956" s="5" t="inlineStr">
        <is>
          <t>100031</t>
        </is>
      </c>
      <c r="C1956" s="5" t="inlineStr">
        <is>
          <t>MEGAWIND INDUSTRIA E COMERCIO</t>
        </is>
      </c>
      <c r="D1956" s="5" t="inlineStr">
        <is>
          <t>RE</t>
        </is>
      </c>
      <c r="E1956" s="5" t="n">
        <v>5013735</v>
      </c>
      <c r="F1956" s="5" t="inlineStr">
        <is>
          <t>1427</t>
        </is>
      </c>
      <c r="G1956" s="5" t="inlineStr">
        <is>
          <t>BRL</t>
        </is>
      </c>
      <c r="H1956" s="9" t="n">
        <v>-8000</v>
      </c>
      <c r="I1956" s="16" t="n">
        <v>46227</v>
      </c>
      <c r="J1956" s="16" t="n">
        <v>46270</v>
      </c>
      <c r="K1956" s="5" t="inlineStr">
        <is>
          <t>Fatura - bruto MEGAWIND INDUSTRIA E COMERCIO 1427</t>
        </is>
      </c>
      <c r="L1956" s="5" t="inlineStr">
        <is>
          <t>08092026</t>
        </is>
      </c>
      <c r="M1956" s="5">
        <f>IF(YEAR(I1956)&lt;=2020,"Até 2020",TEXT(YEAR(I1956),"0"))</f>
        <v/>
      </c>
      <c r="N1956" s="5">
        <f>IFERROR(INDEX(DePara!$A:$A,MATCH(TEXT(B1956,"0"),DePara!$D:$D,0)),"(sem categoria)")</f>
        <v/>
      </c>
      <c r="O1956" s="5">
        <f>IF(J1956="","",Parametros!$B$6-J1956)</f>
        <v/>
      </c>
      <c r="P1956" s="5">
        <f>IF(O1956="","",IF(O1956&gt;0,1,0))</f>
        <v/>
      </c>
    </row>
    <row r="1957">
      <c r="A1957" s="5" t="n">
        <v>2111000000</v>
      </c>
      <c r="B1957" s="5" t="inlineStr">
        <is>
          <t>101463</t>
        </is>
      </c>
      <c r="C1957" s="5" t="inlineStr">
        <is>
          <t>ZURICH MINAS BRASIL SEGUROS S A</t>
        </is>
      </c>
      <c r="D1957" s="5" t="inlineStr">
        <is>
          <t>RE</t>
        </is>
      </c>
      <c r="E1957" s="5" t="n">
        <v>5013739</v>
      </c>
      <c r="F1957" s="5" t="inlineStr">
        <is>
          <t>0286/26</t>
        </is>
      </c>
      <c r="G1957" s="5" t="inlineStr">
        <is>
          <t>BRL</t>
        </is>
      </c>
      <c r="H1957" s="9" t="n">
        <v>-194.36</v>
      </c>
      <c r="I1957" s="16" t="n">
        <v>46230</v>
      </c>
      <c r="J1957" s="16" t="n">
        <v>46260</v>
      </c>
      <c r="K1957" s="5" t="inlineStr">
        <is>
          <t>Invoice Payment. SP: 20618</t>
        </is>
      </c>
      <c r="L1957" s="5" t="inlineStr">
        <is>
          <t>0286/26</t>
        </is>
      </c>
      <c r="M1957" s="5">
        <f>IF(YEAR(I1957)&lt;=2020,"Até 2020",TEXT(YEAR(I1957),"0"))</f>
        <v/>
      </c>
      <c r="N1957" s="5">
        <f>IFERROR(INDEX(DePara!$A:$A,MATCH(TEXT(B1957,"0"),DePara!$D:$D,0)),"(sem categoria)")</f>
        <v/>
      </c>
      <c r="O1957" s="5">
        <f>IF(J1957="","",Parametros!$B$6-J1957)</f>
        <v/>
      </c>
      <c r="P1957" s="5">
        <f>IF(O1957="","",IF(O1957&gt;0,1,0))</f>
        <v/>
      </c>
    </row>
    <row r="1958">
      <c r="A1958" s="5" t="n">
        <v>2111000000</v>
      </c>
      <c r="B1958" s="5" t="inlineStr">
        <is>
          <t>101463</t>
        </is>
      </c>
      <c r="C1958" s="5" t="inlineStr">
        <is>
          <t>ZURICH MINAS BRASIL SEGUROS S A</t>
        </is>
      </c>
      <c r="D1958" s="5" t="inlineStr">
        <is>
          <t>RE</t>
        </is>
      </c>
      <c r="E1958" s="5" t="n">
        <v>5013742</v>
      </c>
      <c r="F1958" s="5" t="inlineStr">
        <is>
          <t>0441/26</t>
        </is>
      </c>
      <c r="G1958" s="5" t="inlineStr">
        <is>
          <t>BRL</t>
        </is>
      </c>
      <c r="H1958" s="9" t="n">
        <v>-0.06</v>
      </c>
      <c r="I1958" s="16" t="n">
        <v>46230</v>
      </c>
      <c r="J1958" s="16" t="n">
        <v>46260</v>
      </c>
      <c r="K1958" s="5" t="inlineStr">
        <is>
          <t>Invoice Payment. SP: 20622</t>
        </is>
      </c>
      <c r="L1958" s="5" t="inlineStr">
        <is>
          <t>0441/26</t>
        </is>
      </c>
      <c r="M1958" s="5">
        <f>IF(YEAR(I1958)&lt;=2020,"Até 2020",TEXT(YEAR(I1958),"0"))</f>
        <v/>
      </c>
      <c r="N1958" s="5">
        <f>IFERROR(INDEX(DePara!$A:$A,MATCH(TEXT(B1958,"0"),DePara!$D:$D,0)),"(sem categoria)")</f>
        <v/>
      </c>
      <c r="O1958" s="5">
        <f>IF(J1958="","",Parametros!$B$6-J1958)</f>
        <v/>
      </c>
      <c r="P1958" s="5">
        <f>IF(O1958="","",IF(O1958&gt;0,1,0))</f>
        <v/>
      </c>
    </row>
    <row r="1959">
      <c r="A1959" s="5" t="n">
        <v>2111000000</v>
      </c>
      <c r="B1959" s="5" t="inlineStr">
        <is>
          <t>101463</t>
        </is>
      </c>
      <c r="C1959" s="5" t="inlineStr">
        <is>
          <t>ZURICH MINAS BRASIL SEGUROS S A</t>
        </is>
      </c>
      <c r="D1959" s="5" t="inlineStr">
        <is>
          <t>RE</t>
        </is>
      </c>
      <c r="E1959" s="5" t="n">
        <v>5013745</v>
      </c>
      <c r="F1959" s="5" t="inlineStr">
        <is>
          <t>0442/26</t>
        </is>
      </c>
      <c r="G1959" s="5" t="inlineStr">
        <is>
          <t>BRL</t>
        </is>
      </c>
      <c r="H1959" s="9" t="n">
        <v>-51.65</v>
      </c>
      <c r="I1959" s="16" t="n">
        <v>46230</v>
      </c>
      <c r="J1959" s="16" t="n">
        <v>46260</v>
      </c>
      <c r="K1959" s="5" t="inlineStr">
        <is>
          <t>Invoice Payment. SP: 20624</t>
        </is>
      </c>
      <c r="L1959" s="5" t="inlineStr">
        <is>
          <t>0442/26</t>
        </is>
      </c>
      <c r="M1959" s="5">
        <f>IF(YEAR(I1959)&lt;=2020,"Até 2020",TEXT(YEAR(I1959),"0"))</f>
        <v/>
      </c>
      <c r="N1959" s="5">
        <f>IFERROR(INDEX(DePara!$A:$A,MATCH(TEXT(B1959,"0"),DePara!$D:$D,0)),"(sem categoria)")</f>
        <v/>
      </c>
      <c r="O1959" s="5">
        <f>IF(J1959="","",Parametros!$B$6-J1959)</f>
        <v/>
      </c>
      <c r="P1959" s="5">
        <f>IF(O1959="","",IF(O1959&gt;0,1,0))</f>
        <v/>
      </c>
    </row>
    <row r="1960">
      <c r="A1960" s="5" t="n">
        <v>2111000000</v>
      </c>
      <c r="B1960" s="5" t="inlineStr">
        <is>
          <t>100883</t>
        </is>
      </c>
      <c r="C1960" s="5" t="inlineStr">
        <is>
          <t>QUELMAR TRANSPORTES LTDA</t>
        </is>
      </c>
      <c r="D1960" s="5" t="inlineStr">
        <is>
          <t>RE</t>
        </is>
      </c>
      <c r="E1960" s="5" t="n">
        <v>5013758</v>
      </c>
      <c r="F1960" s="5" t="inlineStr">
        <is>
          <t>107993-1</t>
        </is>
      </c>
      <c r="G1960" s="5" t="inlineStr">
        <is>
          <t>BRL</t>
        </is>
      </c>
      <c r="H1960" s="9" t="n">
        <v>-6980</v>
      </c>
      <c r="I1960" s="16" t="n">
        <v>46220</v>
      </c>
      <c r="J1960" s="16" t="n">
        <v>46270</v>
      </c>
      <c r="K1960" s="5" t="inlineStr">
        <is>
          <t>Fatura - bruto QUELMAR TRANSPORTES LTDA 107993-1</t>
        </is>
      </c>
      <c r="L1960" s="5" t="inlineStr">
        <is>
          <t>08092026</t>
        </is>
      </c>
      <c r="M1960" s="5">
        <f>IF(YEAR(I1960)&lt;=2020,"Até 2020",TEXT(YEAR(I1960),"0"))</f>
        <v/>
      </c>
      <c r="N1960" s="5">
        <f>IFERROR(INDEX(DePara!$A:$A,MATCH(TEXT(B1960,"0"),DePara!$D:$D,0)),"(sem categoria)")</f>
        <v/>
      </c>
      <c r="O1960" s="5">
        <f>IF(J1960="","",Parametros!$B$6-J1960)</f>
        <v/>
      </c>
      <c r="P1960" s="5">
        <f>IF(O1960="","",IF(O1960&gt;0,1,0))</f>
        <v/>
      </c>
    </row>
    <row r="1961">
      <c r="A1961" s="5" t="n">
        <v>2111000000</v>
      </c>
      <c r="B1961" s="5" t="inlineStr">
        <is>
          <t>100883</t>
        </is>
      </c>
      <c r="C1961" s="5" t="inlineStr">
        <is>
          <t>QUELMAR TRANSPORTES LTDA</t>
        </is>
      </c>
      <c r="D1961" s="5" t="inlineStr">
        <is>
          <t>RE</t>
        </is>
      </c>
      <c r="E1961" s="5" t="n">
        <v>5013759</v>
      </c>
      <c r="F1961" s="5" t="inlineStr">
        <is>
          <t>107995-1</t>
        </is>
      </c>
      <c r="G1961" s="5" t="inlineStr">
        <is>
          <t>BRL</t>
        </is>
      </c>
      <c r="H1961" s="9" t="n">
        <v>-1662.11</v>
      </c>
      <c r="I1961" s="16" t="n">
        <v>46220</v>
      </c>
      <c r="J1961" s="16" t="n">
        <v>46270</v>
      </c>
      <c r="K1961" s="5" t="inlineStr">
        <is>
          <t>Fatura - bruto QUELMAR TRANSPORTES LTDA 107995-1</t>
        </is>
      </c>
      <c r="L1961" s="5" t="inlineStr">
        <is>
          <t>08092026</t>
        </is>
      </c>
      <c r="M1961" s="5">
        <f>IF(YEAR(I1961)&lt;=2020,"Até 2020",TEXT(YEAR(I1961),"0"))</f>
        <v/>
      </c>
      <c r="N1961" s="5">
        <f>IFERROR(INDEX(DePara!$A:$A,MATCH(TEXT(B1961,"0"),DePara!$D:$D,0)),"(sem categoria)")</f>
        <v/>
      </c>
      <c r="O1961" s="5">
        <f>IF(J1961="","",Parametros!$B$6-J1961)</f>
        <v/>
      </c>
      <c r="P1961" s="5">
        <f>IF(O1961="","",IF(O1961&gt;0,1,0))</f>
        <v/>
      </c>
    </row>
    <row r="1962">
      <c r="A1962" s="5" t="n">
        <v>2111000000</v>
      </c>
      <c r="B1962" s="5" t="inlineStr">
        <is>
          <t>100883</t>
        </is>
      </c>
      <c r="C1962" s="5" t="inlineStr">
        <is>
          <t>QUELMAR TRANSPORTES LTDA</t>
        </is>
      </c>
      <c r="D1962" s="5" t="inlineStr">
        <is>
          <t>RE</t>
        </is>
      </c>
      <c r="E1962" s="5" t="n">
        <v>5013760</v>
      </c>
      <c r="F1962" s="5" t="inlineStr">
        <is>
          <t>107998-1</t>
        </is>
      </c>
      <c r="G1962" s="5" t="inlineStr">
        <is>
          <t>BRL</t>
        </is>
      </c>
      <c r="H1962" s="9" t="n">
        <v>-1550</v>
      </c>
      <c r="I1962" s="16" t="n">
        <v>46220</v>
      </c>
      <c r="J1962" s="16" t="n">
        <v>46270</v>
      </c>
      <c r="K1962" s="5" t="inlineStr">
        <is>
          <t>Fatura - bruto QUELMAR TRANSPORTES LTDA 107998-1</t>
        </is>
      </c>
      <c r="L1962" s="5" t="inlineStr">
        <is>
          <t>08092026</t>
        </is>
      </c>
      <c r="M1962" s="5">
        <f>IF(YEAR(I1962)&lt;=2020,"Até 2020",TEXT(YEAR(I1962),"0"))</f>
        <v/>
      </c>
      <c r="N1962" s="5">
        <f>IFERROR(INDEX(DePara!$A:$A,MATCH(TEXT(B1962,"0"),DePara!$D:$D,0)),"(sem categoria)")</f>
        <v/>
      </c>
      <c r="O1962" s="5">
        <f>IF(J1962="","",Parametros!$B$6-J1962)</f>
        <v/>
      </c>
      <c r="P1962" s="5">
        <f>IF(O1962="","",IF(O1962&gt;0,1,0))</f>
        <v/>
      </c>
    </row>
    <row r="1963">
      <c r="A1963" s="5" t="n">
        <v>2111000000</v>
      </c>
      <c r="B1963" s="5" t="inlineStr">
        <is>
          <t>100883</t>
        </is>
      </c>
      <c r="C1963" s="5" t="inlineStr">
        <is>
          <t>QUELMAR TRANSPORTES LTDA</t>
        </is>
      </c>
      <c r="D1963" s="5" t="inlineStr">
        <is>
          <t>RE</t>
        </is>
      </c>
      <c r="E1963" s="5" t="n">
        <v>5013761</v>
      </c>
      <c r="F1963" s="5" t="inlineStr">
        <is>
          <t>108021-1</t>
        </is>
      </c>
      <c r="G1963" s="5" t="inlineStr">
        <is>
          <t>BRL</t>
        </is>
      </c>
      <c r="H1963" s="9" t="n">
        <v>-1561.33</v>
      </c>
      <c r="I1963" s="16" t="n">
        <v>46220</v>
      </c>
      <c r="J1963" s="16" t="n">
        <v>46270</v>
      </c>
      <c r="K1963" s="5" t="inlineStr">
        <is>
          <t>Fatura - bruto QUELMAR TRANSPORTES LTDA 108021-1</t>
        </is>
      </c>
      <c r="L1963" s="5" t="inlineStr">
        <is>
          <t>08092026</t>
        </is>
      </c>
      <c r="M1963" s="5">
        <f>IF(YEAR(I1963)&lt;=2020,"Até 2020",TEXT(YEAR(I1963),"0"))</f>
        <v/>
      </c>
      <c r="N1963" s="5">
        <f>IFERROR(INDEX(DePara!$A:$A,MATCH(TEXT(B1963,"0"),DePara!$D:$D,0)),"(sem categoria)")</f>
        <v/>
      </c>
      <c r="O1963" s="5">
        <f>IF(J1963="","",Parametros!$B$6-J1963)</f>
        <v/>
      </c>
      <c r="P1963" s="5">
        <f>IF(O1963="","",IF(O1963&gt;0,1,0))</f>
        <v/>
      </c>
    </row>
    <row r="1964">
      <c r="A1964" s="5" t="n">
        <v>2111000000</v>
      </c>
      <c r="B1964" s="5" t="inlineStr">
        <is>
          <t>100883</t>
        </is>
      </c>
      <c r="C1964" s="5" t="inlineStr">
        <is>
          <t>QUELMAR TRANSPORTES LTDA</t>
        </is>
      </c>
      <c r="D1964" s="5" t="inlineStr">
        <is>
          <t>RE</t>
        </is>
      </c>
      <c r="E1964" s="5" t="n">
        <v>5013762</v>
      </c>
      <c r="F1964" s="5" t="inlineStr">
        <is>
          <t>108003-1</t>
        </is>
      </c>
      <c r="G1964" s="5" t="inlineStr">
        <is>
          <t>BRL</t>
        </is>
      </c>
      <c r="H1964" s="9" t="n">
        <v>-2271.77</v>
      </c>
      <c r="I1964" s="16" t="n">
        <v>46220</v>
      </c>
      <c r="J1964" s="16" t="n">
        <v>46270</v>
      </c>
      <c r="K1964" s="5" t="inlineStr">
        <is>
          <t>Fatura - bruto QUELMAR TRANSPORTES LTDA 108003-1</t>
        </is>
      </c>
      <c r="L1964" s="5" t="inlineStr">
        <is>
          <t>08092026</t>
        </is>
      </c>
      <c r="M1964" s="5">
        <f>IF(YEAR(I1964)&lt;=2020,"Até 2020",TEXT(YEAR(I1964),"0"))</f>
        <v/>
      </c>
      <c r="N1964" s="5">
        <f>IFERROR(INDEX(DePara!$A:$A,MATCH(TEXT(B1964,"0"),DePara!$D:$D,0)),"(sem categoria)")</f>
        <v/>
      </c>
      <c r="O1964" s="5">
        <f>IF(J1964="","",Parametros!$B$6-J1964)</f>
        <v/>
      </c>
      <c r="P1964" s="5">
        <f>IF(O1964="","",IF(O1964&gt;0,1,0))</f>
        <v/>
      </c>
    </row>
    <row r="1965">
      <c r="A1965" s="5" t="n">
        <v>2111000000</v>
      </c>
      <c r="B1965" s="5" t="inlineStr">
        <is>
          <t>100883</t>
        </is>
      </c>
      <c r="C1965" s="5" t="inlineStr">
        <is>
          <t>QUELMAR TRANSPORTES LTDA</t>
        </is>
      </c>
      <c r="D1965" s="5" t="inlineStr">
        <is>
          <t>RE</t>
        </is>
      </c>
      <c r="E1965" s="5" t="n">
        <v>5013767</v>
      </c>
      <c r="F1965" s="5" t="inlineStr">
        <is>
          <t>108002-1</t>
        </is>
      </c>
      <c r="G1965" s="5" t="inlineStr">
        <is>
          <t>BRL</t>
        </is>
      </c>
      <c r="H1965" s="9" t="n">
        <v>-2189.16</v>
      </c>
      <c r="I1965" s="16" t="n">
        <v>46220</v>
      </c>
      <c r="J1965" s="16" t="n">
        <v>46270</v>
      </c>
      <c r="K1965" s="5" t="inlineStr">
        <is>
          <t>Fatura - bruto QUELMAR TRANSPORTES LTDA 108002-1</t>
        </is>
      </c>
      <c r="L1965" s="5" t="inlineStr">
        <is>
          <t>08092026</t>
        </is>
      </c>
      <c r="M1965" s="5">
        <f>IF(YEAR(I1965)&lt;=2020,"Até 2020",TEXT(YEAR(I1965),"0"))</f>
        <v/>
      </c>
      <c r="N1965" s="5">
        <f>IFERROR(INDEX(DePara!$A:$A,MATCH(TEXT(B1965,"0"),DePara!$D:$D,0)),"(sem categoria)")</f>
        <v/>
      </c>
      <c r="O1965" s="5">
        <f>IF(J1965="","",Parametros!$B$6-J1965)</f>
        <v/>
      </c>
      <c r="P1965" s="5">
        <f>IF(O1965="","",IF(O1965&gt;0,1,0))</f>
        <v/>
      </c>
    </row>
    <row r="1966">
      <c r="A1966" s="5" t="n">
        <v>2111000000</v>
      </c>
      <c r="B1966" s="5" t="inlineStr">
        <is>
          <t>100883</t>
        </is>
      </c>
      <c r="C1966" s="5" t="inlineStr">
        <is>
          <t>QUELMAR TRANSPORTES LTDA</t>
        </is>
      </c>
      <c r="D1966" s="5" t="inlineStr">
        <is>
          <t>RE</t>
        </is>
      </c>
      <c r="E1966" s="5" t="n">
        <v>5013768</v>
      </c>
      <c r="F1966" s="5" t="inlineStr">
        <is>
          <t>108006-1</t>
        </is>
      </c>
      <c r="G1966" s="5" t="inlineStr">
        <is>
          <t>BRL</t>
        </is>
      </c>
      <c r="H1966" s="9" t="n">
        <v>-1548.94</v>
      </c>
      <c r="I1966" s="16" t="n">
        <v>46220</v>
      </c>
      <c r="J1966" s="16" t="n">
        <v>46270</v>
      </c>
      <c r="K1966" s="5" t="inlineStr">
        <is>
          <t>Fatura - bruto QUELMAR TRANSPORTES LTDA 108006-1</t>
        </is>
      </c>
      <c r="L1966" s="5" t="inlineStr">
        <is>
          <t>08092026</t>
        </is>
      </c>
      <c r="M1966" s="5">
        <f>IF(YEAR(I1966)&lt;=2020,"Até 2020",TEXT(YEAR(I1966),"0"))</f>
        <v/>
      </c>
      <c r="N1966" s="5">
        <f>IFERROR(INDEX(DePara!$A:$A,MATCH(TEXT(B1966,"0"),DePara!$D:$D,0)),"(sem categoria)")</f>
        <v/>
      </c>
      <c r="O1966" s="5">
        <f>IF(J1966="","",Parametros!$B$6-J1966)</f>
        <v/>
      </c>
      <c r="P1966" s="5">
        <f>IF(O1966="","",IF(O1966&gt;0,1,0))</f>
        <v/>
      </c>
    </row>
    <row r="1967">
      <c r="A1967" s="5" t="n">
        <v>2111000000</v>
      </c>
      <c r="B1967" s="5" t="inlineStr">
        <is>
          <t>100883</t>
        </is>
      </c>
      <c r="C1967" s="5" t="inlineStr">
        <is>
          <t>QUELMAR TRANSPORTES LTDA</t>
        </is>
      </c>
      <c r="D1967" s="5" t="inlineStr">
        <is>
          <t>RE</t>
        </is>
      </c>
      <c r="E1967" s="5" t="n">
        <v>5013769</v>
      </c>
      <c r="F1967" s="5" t="inlineStr">
        <is>
          <t>108011-1</t>
        </is>
      </c>
      <c r="G1967" s="5" t="inlineStr">
        <is>
          <t>BRL</t>
        </is>
      </c>
      <c r="H1967" s="9" t="n">
        <v>-2891.35</v>
      </c>
      <c r="I1967" s="16" t="n">
        <v>46220</v>
      </c>
      <c r="J1967" s="16" t="n">
        <v>46270</v>
      </c>
      <c r="K1967" s="5" t="inlineStr">
        <is>
          <t>Fatura - bruto QUELMAR TRANSPORTES LTDA 108011-1</t>
        </is>
      </c>
      <c r="L1967" s="5" t="inlineStr">
        <is>
          <t>08092026</t>
        </is>
      </c>
      <c r="M1967" s="5">
        <f>IF(YEAR(I1967)&lt;=2020,"Até 2020",TEXT(YEAR(I1967),"0"))</f>
        <v/>
      </c>
      <c r="N1967" s="5">
        <f>IFERROR(INDEX(DePara!$A:$A,MATCH(TEXT(B1967,"0"),DePara!$D:$D,0)),"(sem categoria)")</f>
        <v/>
      </c>
      <c r="O1967" s="5">
        <f>IF(J1967="","",Parametros!$B$6-J1967)</f>
        <v/>
      </c>
      <c r="P1967" s="5">
        <f>IF(O1967="","",IF(O1967&gt;0,1,0))</f>
        <v/>
      </c>
    </row>
    <row r="1968">
      <c r="A1968" s="5" t="n">
        <v>2111000000</v>
      </c>
      <c r="B1968" s="5" t="inlineStr">
        <is>
          <t>100883</t>
        </is>
      </c>
      <c r="C1968" s="5" t="inlineStr">
        <is>
          <t>QUELMAR TRANSPORTES LTDA</t>
        </is>
      </c>
      <c r="D1968" s="5" t="inlineStr">
        <is>
          <t>RE</t>
        </is>
      </c>
      <c r="E1968" s="5" t="n">
        <v>5013770</v>
      </c>
      <c r="F1968" s="5" t="inlineStr">
        <is>
          <t>108013-1</t>
        </is>
      </c>
      <c r="G1968" s="5" t="inlineStr">
        <is>
          <t>BRL</t>
        </is>
      </c>
      <c r="H1968" s="9" t="n">
        <v>-6072</v>
      </c>
      <c r="I1968" s="16" t="n">
        <v>46220</v>
      </c>
      <c r="J1968" s="16" t="n">
        <v>46270</v>
      </c>
      <c r="K1968" s="5" t="inlineStr">
        <is>
          <t>Fatura - bruto QUELMAR TRANSPORTES LTDA 108013-1</t>
        </is>
      </c>
      <c r="L1968" s="5" t="inlineStr">
        <is>
          <t>08092026</t>
        </is>
      </c>
      <c r="M1968" s="5">
        <f>IF(YEAR(I1968)&lt;=2020,"Até 2020",TEXT(YEAR(I1968),"0"))</f>
        <v/>
      </c>
      <c r="N1968" s="5">
        <f>IFERROR(INDEX(DePara!$A:$A,MATCH(TEXT(B1968,"0"),DePara!$D:$D,0)),"(sem categoria)")</f>
        <v/>
      </c>
      <c r="O1968" s="5">
        <f>IF(J1968="","",Parametros!$B$6-J1968)</f>
        <v/>
      </c>
      <c r="P1968" s="5">
        <f>IF(O1968="","",IF(O1968&gt;0,1,0))</f>
        <v/>
      </c>
    </row>
    <row r="1969">
      <c r="A1969" s="5" t="n">
        <v>2111000000</v>
      </c>
      <c r="B1969" s="5" t="inlineStr">
        <is>
          <t>100883</t>
        </is>
      </c>
      <c r="C1969" s="5" t="inlineStr">
        <is>
          <t>QUELMAR TRANSPORTES LTDA</t>
        </is>
      </c>
      <c r="D1969" s="5" t="inlineStr">
        <is>
          <t>RE</t>
        </is>
      </c>
      <c r="E1969" s="5" t="n">
        <v>5013771</v>
      </c>
      <c r="F1969" s="5" t="inlineStr">
        <is>
          <t>108014-1</t>
        </is>
      </c>
      <c r="G1969" s="5" t="inlineStr">
        <is>
          <t>BRL</t>
        </is>
      </c>
      <c r="H1969" s="9" t="n">
        <v>-4089.19</v>
      </c>
      <c r="I1969" s="16" t="n">
        <v>46220</v>
      </c>
      <c r="J1969" s="16" t="n">
        <v>46270</v>
      </c>
      <c r="K1969" s="5" t="inlineStr">
        <is>
          <t>Fatura - bruto QUELMAR TRANSPORTES LTDA 108014-1</t>
        </is>
      </c>
      <c r="L1969" s="5" t="inlineStr">
        <is>
          <t>08092026</t>
        </is>
      </c>
      <c r="M1969" s="5">
        <f>IF(YEAR(I1969)&lt;=2020,"Até 2020",TEXT(YEAR(I1969),"0"))</f>
        <v/>
      </c>
      <c r="N1969" s="5">
        <f>IFERROR(INDEX(DePara!$A:$A,MATCH(TEXT(B1969,"0"),DePara!$D:$D,0)),"(sem categoria)")</f>
        <v/>
      </c>
      <c r="O1969" s="5">
        <f>IF(J1969="","",Parametros!$B$6-J1969)</f>
        <v/>
      </c>
      <c r="P1969" s="5">
        <f>IF(O1969="","",IF(O1969&gt;0,1,0))</f>
        <v/>
      </c>
    </row>
    <row r="1970">
      <c r="A1970" s="5" t="n">
        <v>2111000000</v>
      </c>
      <c r="B1970" s="5" t="inlineStr">
        <is>
          <t>100883</t>
        </is>
      </c>
      <c r="C1970" s="5" t="inlineStr">
        <is>
          <t>QUELMAR TRANSPORTES LTDA</t>
        </is>
      </c>
      <c r="D1970" s="5" t="inlineStr">
        <is>
          <t>RE</t>
        </is>
      </c>
      <c r="E1970" s="5" t="n">
        <v>5013772</v>
      </c>
      <c r="F1970" s="5" t="inlineStr">
        <is>
          <t>108015-1</t>
        </is>
      </c>
      <c r="G1970" s="5" t="inlineStr">
        <is>
          <t>BRL</t>
        </is>
      </c>
      <c r="H1970" s="9" t="n">
        <v>-2891.35</v>
      </c>
      <c r="I1970" s="16" t="n">
        <v>46220</v>
      </c>
      <c r="J1970" s="16" t="n">
        <v>46270</v>
      </c>
      <c r="K1970" s="5" t="inlineStr">
        <is>
          <t>Fatura - bruto QUELMAR TRANSPORTES LTDA 108015-1</t>
        </is>
      </c>
      <c r="L1970" s="5" t="inlineStr">
        <is>
          <t>08092026</t>
        </is>
      </c>
      <c r="M1970" s="5">
        <f>IF(YEAR(I1970)&lt;=2020,"Até 2020",TEXT(YEAR(I1970),"0"))</f>
        <v/>
      </c>
      <c r="N1970" s="5">
        <f>IFERROR(INDEX(DePara!$A:$A,MATCH(TEXT(B1970,"0"),DePara!$D:$D,0)),"(sem categoria)")</f>
        <v/>
      </c>
      <c r="O1970" s="5">
        <f>IF(J1970="","",Parametros!$B$6-J1970)</f>
        <v/>
      </c>
      <c r="P1970" s="5">
        <f>IF(O1970="","",IF(O1970&gt;0,1,0))</f>
        <v/>
      </c>
    </row>
    <row r="1971">
      <c r="A1971" s="5" t="n">
        <v>2111000000</v>
      </c>
      <c r="B1971" s="5" t="inlineStr">
        <is>
          <t>100883</t>
        </is>
      </c>
      <c r="C1971" s="5" t="inlineStr">
        <is>
          <t>QUELMAR TRANSPORTES LTDA</t>
        </is>
      </c>
      <c r="D1971" s="5" t="inlineStr">
        <is>
          <t>RE</t>
        </is>
      </c>
      <c r="E1971" s="5" t="n">
        <v>5013773</v>
      </c>
      <c r="F1971" s="5" t="inlineStr">
        <is>
          <t>108020-1</t>
        </is>
      </c>
      <c r="G1971" s="5" t="inlineStr">
        <is>
          <t>BRL</t>
        </is>
      </c>
      <c r="H1971" s="9" t="n">
        <v>-631.97</v>
      </c>
      <c r="I1971" s="16" t="n">
        <v>46220</v>
      </c>
      <c r="J1971" s="16" t="n">
        <v>46270</v>
      </c>
      <c r="K1971" s="5" t="inlineStr">
        <is>
          <t>Fatura - bruto QUELMAR TRANSPORTES LTDA 108020-1</t>
        </is>
      </c>
      <c r="L1971" s="5" t="inlineStr">
        <is>
          <t>08092026</t>
        </is>
      </c>
      <c r="M1971" s="5">
        <f>IF(YEAR(I1971)&lt;=2020,"Até 2020",TEXT(YEAR(I1971),"0"))</f>
        <v/>
      </c>
      <c r="N1971" s="5">
        <f>IFERROR(INDEX(DePara!$A:$A,MATCH(TEXT(B1971,"0"),DePara!$D:$D,0)),"(sem categoria)")</f>
        <v/>
      </c>
      <c r="O1971" s="5">
        <f>IF(J1971="","",Parametros!$B$6-J1971)</f>
        <v/>
      </c>
      <c r="P1971" s="5">
        <f>IF(O1971="","",IF(O1971&gt;0,1,0))</f>
        <v/>
      </c>
    </row>
    <row r="1972">
      <c r="A1972" s="5" t="n">
        <v>2111000000</v>
      </c>
      <c r="B1972" s="5" t="inlineStr">
        <is>
          <t>100883</t>
        </is>
      </c>
      <c r="C1972" s="5" t="inlineStr">
        <is>
          <t>QUELMAR TRANSPORTES LTDA</t>
        </is>
      </c>
      <c r="D1972" s="5" t="inlineStr">
        <is>
          <t>RE</t>
        </is>
      </c>
      <c r="E1972" s="5" t="n">
        <v>5013774</v>
      </c>
      <c r="F1972" s="5" t="inlineStr">
        <is>
          <t>108034-1</t>
        </is>
      </c>
      <c r="G1972" s="5" t="inlineStr">
        <is>
          <t>BRL</t>
        </is>
      </c>
      <c r="H1972" s="9" t="n">
        <v>-2687.1</v>
      </c>
      <c r="I1972" s="16" t="n">
        <v>46220</v>
      </c>
      <c r="J1972" s="16" t="n">
        <v>46270</v>
      </c>
      <c r="K1972" s="5" t="inlineStr">
        <is>
          <t>Fatura - bruto QUELMAR TRANSPORTES LTDA 108034-1</t>
        </is>
      </c>
      <c r="L1972" s="5" t="inlineStr">
        <is>
          <t>08092026</t>
        </is>
      </c>
      <c r="M1972" s="5">
        <f>IF(YEAR(I1972)&lt;=2020,"Até 2020",TEXT(YEAR(I1972),"0"))</f>
        <v/>
      </c>
      <c r="N1972" s="5">
        <f>IFERROR(INDEX(DePara!$A:$A,MATCH(TEXT(B1972,"0"),DePara!$D:$D,0)),"(sem categoria)")</f>
        <v/>
      </c>
      <c r="O1972" s="5">
        <f>IF(J1972="","",Parametros!$B$6-J1972)</f>
        <v/>
      </c>
      <c r="P1972" s="5">
        <f>IF(O1972="","",IF(O1972&gt;0,1,0))</f>
        <v/>
      </c>
    </row>
    <row r="1973">
      <c r="A1973" s="5" t="n">
        <v>2111000000</v>
      </c>
      <c r="B1973" s="5" t="inlineStr">
        <is>
          <t>100883</t>
        </is>
      </c>
      <c r="C1973" s="5" t="inlineStr">
        <is>
          <t>QUELMAR TRANSPORTES LTDA</t>
        </is>
      </c>
      <c r="D1973" s="5" t="inlineStr">
        <is>
          <t>RE</t>
        </is>
      </c>
      <c r="E1973" s="5" t="n">
        <v>5013775</v>
      </c>
      <c r="F1973" s="5" t="inlineStr">
        <is>
          <t>108035-1</t>
        </is>
      </c>
      <c r="G1973" s="5" t="inlineStr">
        <is>
          <t>BRL</t>
        </is>
      </c>
      <c r="H1973" s="9" t="n">
        <v>-1501.82</v>
      </c>
      <c r="I1973" s="16" t="n">
        <v>46220</v>
      </c>
      <c r="J1973" s="16" t="n">
        <v>46270</v>
      </c>
      <c r="K1973" s="5" t="inlineStr">
        <is>
          <t>Fatura - bruto QUELMAR TRANSPORTES LTDA 108035-1</t>
        </is>
      </c>
      <c r="L1973" s="5" t="inlineStr">
        <is>
          <t>08092026</t>
        </is>
      </c>
      <c r="M1973" s="5">
        <f>IF(YEAR(I1973)&lt;=2020,"Até 2020",TEXT(YEAR(I1973),"0"))</f>
        <v/>
      </c>
      <c r="N1973" s="5">
        <f>IFERROR(INDEX(DePara!$A:$A,MATCH(TEXT(B1973,"0"),DePara!$D:$D,0)),"(sem categoria)")</f>
        <v/>
      </c>
      <c r="O1973" s="5">
        <f>IF(J1973="","",Parametros!$B$6-J1973)</f>
        <v/>
      </c>
      <c r="P1973" s="5">
        <f>IF(O1973="","",IF(O1973&gt;0,1,0))</f>
        <v/>
      </c>
    </row>
    <row r="1974">
      <c r="A1974" s="5" t="n">
        <v>2111000000</v>
      </c>
      <c r="B1974" s="5" t="inlineStr">
        <is>
          <t>100883</t>
        </is>
      </c>
      <c r="C1974" s="5" t="inlineStr">
        <is>
          <t>QUELMAR TRANSPORTES LTDA</t>
        </is>
      </c>
      <c r="D1974" s="5" t="inlineStr">
        <is>
          <t>RE</t>
        </is>
      </c>
      <c r="E1974" s="5" t="n">
        <v>5013776</v>
      </c>
      <c r="F1974" s="5" t="inlineStr">
        <is>
          <t>108036-1</t>
        </is>
      </c>
      <c r="G1974" s="5" t="inlineStr">
        <is>
          <t>BRL</t>
        </is>
      </c>
      <c r="H1974" s="9" t="n">
        <v>-1448.18</v>
      </c>
      <c r="I1974" s="16" t="n">
        <v>46220</v>
      </c>
      <c r="J1974" s="16" t="n">
        <v>46270</v>
      </c>
      <c r="K1974" s="5" t="inlineStr">
        <is>
          <t>Fatura - bruto QUELMAR TRANSPORTES LTDA 108036-1</t>
        </is>
      </c>
      <c r="L1974" s="5" t="inlineStr">
        <is>
          <t>08092026</t>
        </is>
      </c>
      <c r="M1974" s="5">
        <f>IF(YEAR(I1974)&lt;=2020,"Até 2020",TEXT(YEAR(I1974),"0"))</f>
        <v/>
      </c>
      <c r="N1974" s="5">
        <f>IFERROR(INDEX(DePara!$A:$A,MATCH(TEXT(B1974,"0"),DePara!$D:$D,0)),"(sem categoria)")</f>
        <v/>
      </c>
      <c r="O1974" s="5">
        <f>IF(J1974="","",Parametros!$B$6-J1974)</f>
        <v/>
      </c>
      <c r="P1974" s="5">
        <f>IF(O1974="","",IF(O1974&gt;0,1,0))</f>
        <v/>
      </c>
    </row>
    <row r="1975">
      <c r="A1975" s="5" t="n">
        <v>2111000000</v>
      </c>
      <c r="B1975" s="5" t="inlineStr">
        <is>
          <t>100883</t>
        </is>
      </c>
      <c r="C1975" s="5" t="inlineStr">
        <is>
          <t>QUELMAR TRANSPORTES LTDA</t>
        </is>
      </c>
      <c r="D1975" s="5" t="inlineStr">
        <is>
          <t>RE</t>
        </is>
      </c>
      <c r="E1975" s="5" t="n">
        <v>5013777</v>
      </c>
      <c r="F1975" s="5" t="inlineStr">
        <is>
          <t>108039-1</t>
        </is>
      </c>
      <c r="G1975" s="5" t="inlineStr">
        <is>
          <t>BRL</t>
        </is>
      </c>
      <c r="H1975" s="9" t="n">
        <v>-2130.76</v>
      </c>
      <c r="I1975" s="16" t="n">
        <v>46220</v>
      </c>
      <c r="J1975" s="16" t="n">
        <v>46270</v>
      </c>
      <c r="K1975" s="5" t="inlineStr">
        <is>
          <t>Fatura - bruto QUELMAR TRANSPORTES LTDA 108039-1</t>
        </is>
      </c>
      <c r="L1975" s="5" t="inlineStr">
        <is>
          <t>08092026</t>
        </is>
      </c>
      <c r="M1975" s="5">
        <f>IF(YEAR(I1975)&lt;=2020,"Até 2020",TEXT(YEAR(I1975),"0"))</f>
        <v/>
      </c>
      <c r="N1975" s="5">
        <f>IFERROR(INDEX(DePara!$A:$A,MATCH(TEXT(B1975,"0"),DePara!$D:$D,0)),"(sem categoria)")</f>
        <v/>
      </c>
      <c r="O1975" s="5">
        <f>IF(J1975="","",Parametros!$B$6-J1975)</f>
        <v/>
      </c>
      <c r="P1975" s="5">
        <f>IF(O1975="","",IF(O1975&gt;0,1,0))</f>
        <v/>
      </c>
    </row>
    <row r="1976">
      <c r="A1976" s="5" t="n">
        <v>2111000000</v>
      </c>
      <c r="B1976" s="5" t="inlineStr">
        <is>
          <t>100883</t>
        </is>
      </c>
      <c r="C1976" s="5" t="inlineStr">
        <is>
          <t>QUELMAR TRANSPORTES LTDA</t>
        </is>
      </c>
      <c r="D1976" s="5" t="inlineStr">
        <is>
          <t>RE</t>
        </is>
      </c>
      <c r="E1976" s="5" t="n">
        <v>5013778</v>
      </c>
      <c r="F1976" s="5" t="inlineStr">
        <is>
          <t>108040-1</t>
        </is>
      </c>
      <c r="G1976" s="5" t="inlineStr">
        <is>
          <t>BRL</t>
        </is>
      </c>
      <c r="H1976" s="9" t="n">
        <v>-1103.68</v>
      </c>
      <c r="I1976" s="16" t="n">
        <v>46220</v>
      </c>
      <c r="J1976" s="16" t="n">
        <v>46270</v>
      </c>
      <c r="K1976" s="5" t="inlineStr">
        <is>
          <t>Fatura - bruto QUELMAR TRANSPORTES LTDA 108040-1</t>
        </is>
      </c>
      <c r="L1976" s="5" t="inlineStr">
        <is>
          <t>08092026</t>
        </is>
      </c>
      <c r="M1976" s="5">
        <f>IF(YEAR(I1976)&lt;=2020,"Até 2020",TEXT(YEAR(I1976),"0"))</f>
        <v/>
      </c>
      <c r="N1976" s="5">
        <f>IFERROR(INDEX(DePara!$A:$A,MATCH(TEXT(B1976,"0"),DePara!$D:$D,0)),"(sem categoria)")</f>
        <v/>
      </c>
      <c r="O1976" s="5">
        <f>IF(J1976="","",Parametros!$B$6-J1976)</f>
        <v/>
      </c>
      <c r="P1976" s="5">
        <f>IF(O1976="","",IF(O1976&gt;0,1,0))</f>
        <v/>
      </c>
    </row>
    <row r="1977">
      <c r="A1977" s="5" t="n">
        <v>2111000000</v>
      </c>
      <c r="B1977" s="5" t="inlineStr">
        <is>
          <t>100883</t>
        </is>
      </c>
      <c r="C1977" s="5" t="inlineStr">
        <is>
          <t>QUELMAR TRANSPORTES LTDA</t>
        </is>
      </c>
      <c r="D1977" s="5" t="inlineStr">
        <is>
          <t>RE</t>
        </is>
      </c>
      <c r="E1977" s="5" t="n">
        <v>5013779</v>
      </c>
      <c r="F1977" s="5" t="inlineStr">
        <is>
          <t>108041-1</t>
        </is>
      </c>
      <c r="G1977" s="5" t="inlineStr">
        <is>
          <t>BRL</t>
        </is>
      </c>
      <c r="H1977" s="9" t="n">
        <v>-1250.83</v>
      </c>
      <c r="I1977" s="16" t="n">
        <v>46220</v>
      </c>
      <c r="J1977" s="16" t="n">
        <v>46270</v>
      </c>
      <c r="K1977" s="5" t="inlineStr">
        <is>
          <t>Fatura - bruto QUELMAR TRANSPORTES LTDA 108041-1</t>
        </is>
      </c>
      <c r="L1977" s="5" t="inlineStr">
        <is>
          <t>08092026</t>
        </is>
      </c>
      <c r="M1977" s="5">
        <f>IF(YEAR(I1977)&lt;=2020,"Até 2020",TEXT(YEAR(I1977),"0"))</f>
        <v/>
      </c>
      <c r="N1977" s="5">
        <f>IFERROR(INDEX(DePara!$A:$A,MATCH(TEXT(B1977,"0"),DePara!$D:$D,0)),"(sem categoria)")</f>
        <v/>
      </c>
      <c r="O1977" s="5">
        <f>IF(J1977="","",Parametros!$B$6-J1977)</f>
        <v/>
      </c>
      <c r="P1977" s="5">
        <f>IF(O1977="","",IF(O1977&gt;0,1,0))</f>
        <v/>
      </c>
    </row>
    <row r="1978">
      <c r="A1978" s="5" t="n">
        <v>2111000000</v>
      </c>
      <c r="B1978" s="5" t="inlineStr">
        <is>
          <t>100883</t>
        </is>
      </c>
      <c r="C1978" s="5" t="inlineStr">
        <is>
          <t>QUELMAR TRANSPORTES LTDA</t>
        </is>
      </c>
      <c r="D1978" s="5" t="inlineStr">
        <is>
          <t>RE</t>
        </is>
      </c>
      <c r="E1978" s="5" t="n">
        <v>5013780</v>
      </c>
      <c r="F1978" s="5" t="inlineStr">
        <is>
          <t>108042-1</t>
        </is>
      </c>
      <c r="G1978" s="5" t="inlineStr">
        <is>
          <t>BRL</t>
        </is>
      </c>
      <c r="H1978" s="9" t="n">
        <v>-5244.67</v>
      </c>
      <c r="I1978" s="16" t="n">
        <v>46220</v>
      </c>
      <c r="J1978" s="16" t="n">
        <v>46270</v>
      </c>
      <c r="K1978" s="5" t="inlineStr">
        <is>
          <t>Fatura - bruto QUELMAR TRANSPORTES LTDA 108042-1</t>
        </is>
      </c>
      <c r="L1978" s="5" t="inlineStr">
        <is>
          <t>08092026</t>
        </is>
      </c>
      <c r="M1978" s="5">
        <f>IF(YEAR(I1978)&lt;=2020,"Até 2020",TEXT(YEAR(I1978),"0"))</f>
        <v/>
      </c>
      <c r="N1978" s="5">
        <f>IFERROR(INDEX(DePara!$A:$A,MATCH(TEXT(B1978,"0"),DePara!$D:$D,0)),"(sem categoria)")</f>
        <v/>
      </c>
      <c r="O1978" s="5">
        <f>IF(J1978="","",Parametros!$B$6-J1978)</f>
        <v/>
      </c>
      <c r="P1978" s="5">
        <f>IF(O1978="","",IF(O1978&gt;0,1,0))</f>
        <v/>
      </c>
    </row>
    <row r="1979">
      <c r="A1979" s="5" t="n">
        <v>2111000000</v>
      </c>
      <c r="B1979" s="5" t="inlineStr">
        <is>
          <t>100883</t>
        </is>
      </c>
      <c r="C1979" s="5" t="inlineStr">
        <is>
          <t>QUELMAR TRANSPORTES LTDA</t>
        </is>
      </c>
      <c r="D1979" s="5" t="inlineStr">
        <is>
          <t>RE</t>
        </is>
      </c>
      <c r="E1979" s="5" t="n">
        <v>5013781</v>
      </c>
      <c r="F1979" s="5" t="inlineStr">
        <is>
          <t>108043-1</t>
        </is>
      </c>
      <c r="G1979" s="5" t="inlineStr">
        <is>
          <t>BRL</t>
        </is>
      </c>
      <c r="H1979" s="9" t="n">
        <v>-1618.72</v>
      </c>
      <c r="I1979" s="16" t="n">
        <v>46220</v>
      </c>
      <c r="J1979" s="16" t="n">
        <v>46270</v>
      </c>
      <c r="K1979" s="5" t="inlineStr">
        <is>
          <t>Fatura - bruto QUELMAR TRANSPORTES LTDA 108043-1</t>
        </is>
      </c>
      <c r="L1979" s="5" t="inlineStr">
        <is>
          <t>08092026</t>
        </is>
      </c>
      <c r="M1979" s="5">
        <f>IF(YEAR(I1979)&lt;=2020,"Até 2020",TEXT(YEAR(I1979),"0"))</f>
        <v/>
      </c>
      <c r="N1979" s="5">
        <f>IFERROR(INDEX(DePara!$A:$A,MATCH(TEXT(B1979,"0"),DePara!$D:$D,0)),"(sem categoria)")</f>
        <v/>
      </c>
      <c r="O1979" s="5">
        <f>IF(J1979="","",Parametros!$B$6-J1979)</f>
        <v/>
      </c>
      <c r="P1979" s="5">
        <f>IF(O1979="","",IF(O1979&gt;0,1,0))</f>
        <v/>
      </c>
    </row>
    <row r="1980">
      <c r="A1980" s="5" t="n">
        <v>2111000000</v>
      </c>
      <c r="B1980" s="5" t="inlineStr">
        <is>
          <t>100883</t>
        </is>
      </c>
      <c r="C1980" s="5" t="inlineStr">
        <is>
          <t>QUELMAR TRANSPORTES LTDA</t>
        </is>
      </c>
      <c r="D1980" s="5" t="inlineStr">
        <is>
          <t>RE</t>
        </is>
      </c>
      <c r="E1980" s="5" t="n">
        <v>5013782</v>
      </c>
      <c r="F1980" s="5" t="inlineStr">
        <is>
          <t>108044-1</t>
        </is>
      </c>
      <c r="G1980" s="5" t="inlineStr">
        <is>
          <t>BRL</t>
        </is>
      </c>
      <c r="H1980" s="9" t="n">
        <v>-2207.35</v>
      </c>
      <c r="I1980" s="16" t="n">
        <v>46220</v>
      </c>
      <c r="J1980" s="16" t="n">
        <v>46270</v>
      </c>
      <c r="K1980" s="5" t="inlineStr">
        <is>
          <t>Fatura - bruto QUELMAR TRANSPORTES LTDA 108044-1</t>
        </is>
      </c>
      <c r="L1980" s="5" t="inlineStr">
        <is>
          <t>08092026</t>
        </is>
      </c>
      <c r="M1980" s="5">
        <f>IF(YEAR(I1980)&lt;=2020,"Até 2020",TEXT(YEAR(I1980),"0"))</f>
        <v/>
      </c>
      <c r="N1980" s="5">
        <f>IFERROR(INDEX(DePara!$A:$A,MATCH(TEXT(B1980,"0"),DePara!$D:$D,0)),"(sem categoria)")</f>
        <v/>
      </c>
      <c r="O1980" s="5">
        <f>IF(J1980="","",Parametros!$B$6-J1980)</f>
        <v/>
      </c>
      <c r="P1980" s="5">
        <f>IF(O1980="","",IF(O1980&gt;0,1,0))</f>
        <v/>
      </c>
    </row>
    <row r="1981">
      <c r="A1981" s="5" t="n">
        <v>2111000000</v>
      </c>
      <c r="B1981" s="5" t="inlineStr">
        <is>
          <t>100883</t>
        </is>
      </c>
      <c r="C1981" s="5" t="inlineStr">
        <is>
          <t>QUELMAR TRANSPORTES LTDA</t>
        </is>
      </c>
      <c r="D1981" s="5" t="inlineStr">
        <is>
          <t>RE</t>
        </is>
      </c>
      <c r="E1981" s="5" t="n">
        <v>5013783</v>
      </c>
      <c r="F1981" s="5" t="inlineStr">
        <is>
          <t>108045-1</t>
        </is>
      </c>
      <c r="G1981" s="5" t="inlineStr">
        <is>
          <t>BRL</t>
        </is>
      </c>
      <c r="H1981" s="9" t="n">
        <v>-6004.01</v>
      </c>
      <c r="I1981" s="16" t="n">
        <v>46220</v>
      </c>
      <c r="J1981" s="16" t="n">
        <v>46270</v>
      </c>
      <c r="K1981" s="5" t="inlineStr">
        <is>
          <t>Fatura - bruto QUELMAR TRANSPORTES LTDA 108045-1</t>
        </is>
      </c>
      <c r="L1981" s="5" t="inlineStr">
        <is>
          <t>08092026</t>
        </is>
      </c>
      <c r="M1981" s="5">
        <f>IF(YEAR(I1981)&lt;=2020,"Até 2020",TEXT(YEAR(I1981),"0"))</f>
        <v/>
      </c>
      <c r="N1981" s="5">
        <f>IFERROR(INDEX(DePara!$A:$A,MATCH(TEXT(B1981,"0"),DePara!$D:$D,0)),"(sem categoria)")</f>
        <v/>
      </c>
      <c r="O1981" s="5">
        <f>IF(J1981="","",Parametros!$B$6-J1981)</f>
        <v/>
      </c>
      <c r="P1981" s="5">
        <f>IF(O1981="","",IF(O1981&gt;0,1,0))</f>
        <v/>
      </c>
    </row>
    <row r="1982">
      <c r="A1982" s="5" t="n">
        <v>2111000000</v>
      </c>
      <c r="B1982" s="5" t="inlineStr">
        <is>
          <t>100883</t>
        </is>
      </c>
      <c r="C1982" s="5" t="inlineStr">
        <is>
          <t>QUELMAR TRANSPORTES LTDA</t>
        </is>
      </c>
      <c r="D1982" s="5" t="inlineStr">
        <is>
          <t>RE</t>
        </is>
      </c>
      <c r="E1982" s="5" t="n">
        <v>5013786</v>
      </c>
      <c r="F1982" s="5" t="inlineStr">
        <is>
          <t>108046-1</t>
        </is>
      </c>
      <c r="G1982" s="5" t="inlineStr">
        <is>
          <t>BRL</t>
        </is>
      </c>
      <c r="H1982" s="9" t="n">
        <v>-2111.7</v>
      </c>
      <c r="I1982" s="16" t="n">
        <v>46220</v>
      </c>
      <c r="J1982" s="16" t="n">
        <v>46270</v>
      </c>
      <c r="K1982" s="5" t="inlineStr">
        <is>
          <t>Fatura - bruto QUELMAR TRANSPORTES LTDA 108046-1</t>
        </is>
      </c>
      <c r="L1982" s="5" t="inlineStr">
        <is>
          <t>08092026</t>
        </is>
      </c>
      <c r="M1982" s="5">
        <f>IF(YEAR(I1982)&lt;=2020,"Até 2020",TEXT(YEAR(I1982),"0"))</f>
        <v/>
      </c>
      <c r="N1982" s="5">
        <f>IFERROR(INDEX(DePara!$A:$A,MATCH(TEXT(B1982,"0"),DePara!$D:$D,0)),"(sem categoria)")</f>
        <v/>
      </c>
      <c r="O1982" s="5">
        <f>IF(J1982="","",Parametros!$B$6-J1982)</f>
        <v/>
      </c>
      <c r="P1982" s="5">
        <f>IF(O1982="","",IF(O1982&gt;0,1,0))</f>
        <v/>
      </c>
    </row>
    <row r="1983">
      <c r="A1983" s="5" t="n">
        <v>2111000000</v>
      </c>
      <c r="B1983" s="5" t="inlineStr">
        <is>
          <t>100883</t>
        </is>
      </c>
      <c r="C1983" s="5" t="inlineStr">
        <is>
          <t>QUELMAR TRANSPORTES LTDA</t>
        </is>
      </c>
      <c r="D1983" s="5" t="inlineStr">
        <is>
          <t>RE</t>
        </is>
      </c>
      <c r="E1983" s="5" t="n">
        <v>5013787</v>
      </c>
      <c r="F1983" s="5" t="inlineStr">
        <is>
          <t>108047-1</t>
        </is>
      </c>
      <c r="G1983" s="5" t="inlineStr">
        <is>
          <t>BRL</t>
        </is>
      </c>
      <c r="H1983" s="9" t="n">
        <v>-2170.56</v>
      </c>
      <c r="I1983" s="16" t="n">
        <v>46220</v>
      </c>
      <c r="J1983" s="16" t="n">
        <v>46270</v>
      </c>
      <c r="K1983" s="5" t="inlineStr">
        <is>
          <t>Fatura - bruto QUELMAR TRANSPORTES LTDA 108047-1</t>
        </is>
      </c>
      <c r="L1983" s="5" t="inlineStr">
        <is>
          <t>08092026</t>
        </is>
      </c>
      <c r="M1983" s="5">
        <f>IF(YEAR(I1983)&lt;=2020,"Até 2020",TEXT(YEAR(I1983),"0"))</f>
        <v/>
      </c>
      <c r="N1983" s="5">
        <f>IFERROR(INDEX(DePara!$A:$A,MATCH(TEXT(B1983,"0"),DePara!$D:$D,0)),"(sem categoria)")</f>
        <v/>
      </c>
      <c r="O1983" s="5">
        <f>IF(J1983="","",Parametros!$B$6-J1983)</f>
        <v/>
      </c>
      <c r="P1983" s="5">
        <f>IF(O1983="","",IF(O1983&gt;0,1,0))</f>
        <v/>
      </c>
    </row>
    <row r="1984">
      <c r="A1984" s="5" t="n">
        <v>2111000000</v>
      </c>
      <c r="B1984" s="5" t="inlineStr">
        <is>
          <t>100883</t>
        </is>
      </c>
      <c r="C1984" s="5" t="inlineStr">
        <is>
          <t>QUELMAR TRANSPORTES LTDA</t>
        </is>
      </c>
      <c r="D1984" s="5" t="inlineStr">
        <is>
          <t>RE</t>
        </is>
      </c>
      <c r="E1984" s="5" t="n">
        <v>5013788</v>
      </c>
      <c r="F1984" s="5" t="inlineStr">
        <is>
          <t>108048-1</t>
        </is>
      </c>
      <c r="G1984" s="5" t="inlineStr">
        <is>
          <t>BRL</t>
        </is>
      </c>
      <c r="H1984" s="9" t="n">
        <v>-727.76</v>
      </c>
      <c r="I1984" s="16" t="n">
        <v>46220</v>
      </c>
      <c r="J1984" s="16" t="n">
        <v>46270</v>
      </c>
      <c r="K1984" s="5" t="inlineStr">
        <is>
          <t>Fatura - bruto QUELMAR TRANSPORTES LTDA 108048-1</t>
        </is>
      </c>
      <c r="L1984" s="5" t="inlineStr">
        <is>
          <t>08092026</t>
        </is>
      </c>
      <c r="M1984" s="5">
        <f>IF(YEAR(I1984)&lt;=2020,"Até 2020",TEXT(YEAR(I1984),"0"))</f>
        <v/>
      </c>
      <c r="N1984" s="5">
        <f>IFERROR(INDEX(DePara!$A:$A,MATCH(TEXT(B1984,"0"),DePara!$D:$D,0)),"(sem categoria)")</f>
        <v/>
      </c>
      <c r="O1984" s="5">
        <f>IF(J1984="","",Parametros!$B$6-J1984)</f>
        <v/>
      </c>
      <c r="P1984" s="5">
        <f>IF(O1984="","",IF(O1984&gt;0,1,0))</f>
        <v/>
      </c>
    </row>
    <row r="1985">
      <c r="A1985" s="5" t="n">
        <v>2111000000</v>
      </c>
      <c r="B1985" s="5" t="inlineStr">
        <is>
          <t>100883</t>
        </is>
      </c>
      <c r="C1985" s="5" t="inlineStr">
        <is>
          <t>QUELMAR TRANSPORTES LTDA</t>
        </is>
      </c>
      <c r="D1985" s="5" t="inlineStr">
        <is>
          <t>RE</t>
        </is>
      </c>
      <c r="E1985" s="5" t="n">
        <v>5013789</v>
      </c>
      <c r="F1985" s="5" t="inlineStr">
        <is>
          <t>108049-1</t>
        </is>
      </c>
      <c r="G1985" s="5" t="inlineStr">
        <is>
          <t>BRL</t>
        </is>
      </c>
      <c r="H1985" s="9" t="n">
        <v>-900.6</v>
      </c>
      <c r="I1985" s="16" t="n">
        <v>46220</v>
      </c>
      <c r="J1985" s="16" t="n">
        <v>46270</v>
      </c>
      <c r="K1985" s="5" t="inlineStr">
        <is>
          <t>Fatura - bruto QUELMAR TRANSPORTES LTDA 108049-1</t>
        </is>
      </c>
      <c r="L1985" s="5" t="inlineStr">
        <is>
          <t>08092026</t>
        </is>
      </c>
      <c r="M1985" s="5">
        <f>IF(YEAR(I1985)&lt;=2020,"Até 2020",TEXT(YEAR(I1985),"0"))</f>
        <v/>
      </c>
      <c r="N1985" s="5">
        <f>IFERROR(INDEX(DePara!$A:$A,MATCH(TEXT(B1985,"0"),DePara!$D:$D,0)),"(sem categoria)")</f>
        <v/>
      </c>
      <c r="O1985" s="5">
        <f>IF(J1985="","",Parametros!$B$6-J1985)</f>
        <v/>
      </c>
      <c r="P1985" s="5">
        <f>IF(O1985="","",IF(O1985&gt;0,1,0))</f>
        <v/>
      </c>
    </row>
    <row r="1986">
      <c r="A1986" s="5" t="n">
        <v>2111000000</v>
      </c>
      <c r="B1986" s="5" t="inlineStr">
        <is>
          <t>100883</t>
        </is>
      </c>
      <c r="C1986" s="5" t="inlineStr">
        <is>
          <t>QUELMAR TRANSPORTES LTDA</t>
        </is>
      </c>
      <c r="D1986" s="5" t="inlineStr">
        <is>
          <t>RE</t>
        </is>
      </c>
      <c r="E1986" s="5" t="n">
        <v>5013790</v>
      </c>
      <c r="F1986" s="5" t="inlineStr">
        <is>
          <t>108050-1</t>
        </is>
      </c>
      <c r="G1986" s="5" t="inlineStr">
        <is>
          <t>BRL</t>
        </is>
      </c>
      <c r="H1986" s="9" t="n">
        <v>-699.36</v>
      </c>
      <c r="I1986" s="16" t="n">
        <v>46220</v>
      </c>
      <c r="J1986" s="16" t="n">
        <v>46270</v>
      </c>
      <c r="K1986" s="5" t="inlineStr">
        <is>
          <t>Fatura - bruto QUELMAR TRANSPORTES LTDA 108050-1</t>
        </is>
      </c>
      <c r="L1986" s="5" t="inlineStr">
        <is>
          <t>08092026</t>
        </is>
      </c>
      <c r="M1986" s="5">
        <f>IF(YEAR(I1986)&lt;=2020,"Até 2020",TEXT(YEAR(I1986),"0"))</f>
        <v/>
      </c>
      <c r="N1986" s="5">
        <f>IFERROR(INDEX(DePara!$A:$A,MATCH(TEXT(B1986,"0"),DePara!$D:$D,0)),"(sem categoria)")</f>
        <v/>
      </c>
      <c r="O1986" s="5">
        <f>IF(J1986="","",Parametros!$B$6-J1986)</f>
        <v/>
      </c>
      <c r="P1986" s="5">
        <f>IF(O1986="","",IF(O1986&gt;0,1,0))</f>
        <v/>
      </c>
    </row>
    <row r="1987">
      <c r="A1987" s="5" t="n">
        <v>2111000000</v>
      </c>
      <c r="B1987" s="5" t="inlineStr">
        <is>
          <t>101095</t>
        </is>
      </c>
      <c r="C1987" s="5" t="inlineStr">
        <is>
          <t>HAILO SISTEMAS METALICOS LTDA</t>
        </is>
      </c>
      <c r="D1987" s="5" t="inlineStr">
        <is>
          <t>RE</t>
        </is>
      </c>
      <c r="E1987" s="5" t="n">
        <v>5013860</v>
      </c>
      <c r="F1987" s="5" t="inlineStr">
        <is>
          <t>000009839-1</t>
        </is>
      </c>
      <c r="G1987" s="5" t="inlineStr">
        <is>
          <t>BRL</t>
        </is>
      </c>
      <c r="H1987" s="9" t="n">
        <v>-1548.75</v>
      </c>
      <c r="I1987" s="16" t="n">
        <v>46217</v>
      </c>
      <c r="J1987" s="16" t="n">
        <v>46270</v>
      </c>
      <c r="K1987" s="5" t="inlineStr">
        <is>
          <t>Fatura - bruto HAILO SISTEMAS METALICOS LTDA 00000</t>
        </is>
      </c>
      <c r="L1987" s="5" t="inlineStr">
        <is>
          <t>02092026</t>
        </is>
      </c>
      <c r="M1987" s="5">
        <f>IF(YEAR(I1987)&lt;=2020,"Até 2020",TEXT(YEAR(I1987),"0"))</f>
        <v/>
      </c>
      <c r="N1987" s="5">
        <f>IFERROR(INDEX(DePara!$A:$A,MATCH(TEXT(B1987,"0"),DePara!$D:$D,0)),"(sem categoria)")</f>
        <v/>
      </c>
      <c r="O1987" s="5">
        <f>IF(J1987="","",Parametros!$B$6-J1987)</f>
        <v/>
      </c>
      <c r="P1987" s="5">
        <f>IF(O1987="","",IF(O1987&gt;0,1,0))</f>
        <v/>
      </c>
    </row>
    <row r="1988">
      <c r="A1988" s="5" t="n">
        <v>2111000000</v>
      </c>
      <c r="B1988" s="5" t="inlineStr">
        <is>
          <t>100379</t>
        </is>
      </c>
      <c r="C1988" s="5" t="inlineStr">
        <is>
          <t>RAK LOG TRANSPORTES E LOGISTICA EIR</t>
        </is>
      </c>
      <c r="D1988" s="5" t="inlineStr">
        <is>
          <t>RE</t>
        </is>
      </c>
      <c r="E1988" s="5" t="n">
        <v>5013868</v>
      </c>
      <c r="F1988" s="5" t="inlineStr">
        <is>
          <t>335292-1</t>
        </is>
      </c>
      <c r="G1988" s="5" t="inlineStr">
        <is>
          <t>BRL</t>
        </is>
      </c>
      <c r="H1988" s="9" t="n">
        <v>-9609.49</v>
      </c>
      <c r="I1988" s="16" t="n">
        <v>46210</v>
      </c>
      <c r="J1988" s="16" t="n">
        <v>46270</v>
      </c>
      <c r="K1988" s="5" t="inlineStr">
        <is>
          <t>Fatura - bruto RAK LOG TRANSPORTES E LOGISTICA EIR</t>
        </is>
      </c>
      <c r="L1988" s="5" t="inlineStr">
        <is>
          <t>08092026</t>
        </is>
      </c>
      <c r="M1988" s="5">
        <f>IF(YEAR(I1988)&lt;=2020,"Até 2020",TEXT(YEAR(I1988),"0"))</f>
        <v/>
      </c>
      <c r="N1988" s="5">
        <f>IFERROR(INDEX(DePara!$A:$A,MATCH(TEXT(B1988,"0"),DePara!$D:$D,0)),"(sem categoria)")</f>
        <v/>
      </c>
      <c r="O1988" s="5">
        <f>IF(J1988="","",Parametros!$B$6-J1988)</f>
        <v/>
      </c>
      <c r="P1988" s="5">
        <f>IF(O1988="","",IF(O1988&gt;0,1,0))</f>
        <v/>
      </c>
    </row>
    <row r="1989">
      <c r="A1989" s="5" t="n">
        <v>2111000000</v>
      </c>
      <c r="B1989" s="5" t="inlineStr">
        <is>
          <t>100379</t>
        </is>
      </c>
      <c r="C1989" s="5" t="inlineStr">
        <is>
          <t>RAK LOG TRANSPORTES E LOGISTICA EIR</t>
        </is>
      </c>
      <c r="D1989" s="5" t="inlineStr">
        <is>
          <t>RE</t>
        </is>
      </c>
      <c r="E1989" s="5" t="n">
        <v>5013869</v>
      </c>
      <c r="F1989" s="5" t="inlineStr">
        <is>
          <t>335293-1</t>
        </is>
      </c>
      <c r="G1989" s="5" t="inlineStr">
        <is>
          <t>BRL</t>
        </is>
      </c>
      <c r="H1989" s="9" t="n">
        <v>-9607.780000000001</v>
      </c>
      <c r="I1989" s="16" t="n">
        <v>46210</v>
      </c>
      <c r="J1989" s="16" t="n">
        <v>46270</v>
      </c>
      <c r="K1989" s="5" t="inlineStr">
        <is>
          <t>Fatura - bruto RAK LOG TRANSPORTES E LOGISTICA EIR</t>
        </is>
      </c>
      <c r="L1989" s="5" t="inlineStr">
        <is>
          <t>08092026</t>
        </is>
      </c>
      <c r="M1989" s="5">
        <f>IF(YEAR(I1989)&lt;=2020,"Até 2020",TEXT(YEAR(I1989),"0"))</f>
        <v/>
      </c>
      <c r="N1989" s="5">
        <f>IFERROR(INDEX(DePara!$A:$A,MATCH(TEXT(B1989,"0"),DePara!$D:$D,0)),"(sem categoria)")</f>
        <v/>
      </c>
      <c r="O1989" s="5">
        <f>IF(J1989="","",Parametros!$B$6-J1989)</f>
        <v/>
      </c>
      <c r="P1989" s="5">
        <f>IF(O1989="","",IF(O1989&gt;0,1,0))</f>
        <v/>
      </c>
    </row>
    <row r="1990">
      <c r="A1990" s="5" t="n">
        <v>2111000000</v>
      </c>
      <c r="B1990" s="5" t="inlineStr">
        <is>
          <t>100883</t>
        </is>
      </c>
      <c r="C1990" s="5" t="inlineStr">
        <is>
          <t>QUELMAR TRANSPORTES LTDA</t>
        </is>
      </c>
      <c r="D1990" s="5" t="inlineStr">
        <is>
          <t>RE</t>
        </is>
      </c>
      <c r="E1990" s="5" t="n">
        <v>5013898</v>
      </c>
      <c r="F1990" s="5" t="inlineStr">
        <is>
          <t>6249-2</t>
        </is>
      </c>
      <c r="G1990" s="5" t="inlineStr">
        <is>
          <t>BRL</t>
        </is>
      </c>
      <c r="H1990" s="9" t="n">
        <v>-10000</v>
      </c>
      <c r="I1990" s="16" t="n">
        <v>46224</v>
      </c>
      <c r="J1990" s="16" t="n">
        <v>46270</v>
      </c>
      <c r="K1990" s="5" t="inlineStr">
        <is>
          <t>Fatura - bruto QUELMAR TRANSPORTES LTDA 6249-2</t>
        </is>
      </c>
      <c r="L1990" s="5" t="inlineStr">
        <is>
          <t>08092026</t>
        </is>
      </c>
      <c r="M1990" s="5">
        <f>IF(YEAR(I1990)&lt;=2020,"Até 2020",TEXT(YEAR(I1990),"0"))</f>
        <v/>
      </c>
      <c r="N1990" s="5">
        <f>IFERROR(INDEX(DePara!$A:$A,MATCH(TEXT(B1990,"0"),DePara!$D:$D,0)),"(sem categoria)")</f>
        <v/>
      </c>
      <c r="O1990" s="5">
        <f>IF(J1990="","",Parametros!$B$6-J1990)</f>
        <v/>
      </c>
      <c r="P1990" s="5">
        <f>IF(O1990="","",IF(O1990&gt;0,1,0))</f>
        <v/>
      </c>
    </row>
    <row r="1991">
      <c r="A1991" s="5" t="n">
        <v>2111000000</v>
      </c>
      <c r="B1991" s="5" t="inlineStr">
        <is>
          <t>100883</t>
        </is>
      </c>
      <c r="C1991" s="5" t="inlineStr">
        <is>
          <t>QUELMAR TRANSPORTES LTDA</t>
        </is>
      </c>
      <c r="D1991" s="5" t="inlineStr">
        <is>
          <t>RE</t>
        </is>
      </c>
      <c r="E1991" s="5" t="n">
        <v>5013899</v>
      </c>
      <c r="F1991" s="5" t="inlineStr">
        <is>
          <t>6250-2</t>
        </is>
      </c>
      <c r="G1991" s="5" t="inlineStr">
        <is>
          <t>BRL</t>
        </is>
      </c>
      <c r="H1991" s="9" t="n">
        <v>-2780</v>
      </c>
      <c r="I1991" s="16" t="n">
        <v>46224</v>
      </c>
      <c r="J1991" s="16" t="n">
        <v>46270</v>
      </c>
      <c r="K1991" s="5" t="inlineStr">
        <is>
          <t>Fatura - bruto QUELMAR TRANSPORTES LTDA 6250-2</t>
        </is>
      </c>
      <c r="L1991" s="5" t="inlineStr">
        <is>
          <t>08092026</t>
        </is>
      </c>
      <c r="M1991" s="5">
        <f>IF(YEAR(I1991)&lt;=2020,"Até 2020",TEXT(YEAR(I1991),"0"))</f>
        <v/>
      </c>
      <c r="N1991" s="5">
        <f>IFERROR(INDEX(DePara!$A:$A,MATCH(TEXT(B1991,"0"),DePara!$D:$D,0)),"(sem categoria)")</f>
        <v/>
      </c>
      <c r="O1991" s="5">
        <f>IF(J1991="","",Parametros!$B$6-J1991)</f>
        <v/>
      </c>
      <c r="P1991" s="5">
        <f>IF(O1991="","",IF(O1991&gt;0,1,0))</f>
        <v/>
      </c>
    </row>
    <row r="1992">
      <c r="A1992" s="5" t="n">
        <v>2111000000</v>
      </c>
      <c r="B1992" s="5" t="inlineStr">
        <is>
          <t>100883</t>
        </is>
      </c>
      <c r="C1992" s="5" t="inlineStr">
        <is>
          <t>QUELMAR TRANSPORTES LTDA</t>
        </is>
      </c>
      <c r="D1992" s="5" t="inlineStr">
        <is>
          <t>RE</t>
        </is>
      </c>
      <c r="E1992" s="5" t="n">
        <v>5013900</v>
      </c>
      <c r="F1992" s="5" t="inlineStr">
        <is>
          <t>6308-2</t>
        </is>
      </c>
      <c r="G1992" s="5" t="inlineStr">
        <is>
          <t>BRL</t>
        </is>
      </c>
      <c r="H1992" s="9" t="n">
        <v>-4980</v>
      </c>
      <c r="I1992" s="16" t="n">
        <v>46230</v>
      </c>
      <c r="J1992" s="16" t="n">
        <v>46270</v>
      </c>
      <c r="K1992" s="5" t="inlineStr">
        <is>
          <t>Fatura - bruto QUELMAR TRANSPORTES LTDA 6308-2</t>
        </is>
      </c>
      <c r="L1992" s="5" t="inlineStr">
        <is>
          <t>08092026</t>
        </is>
      </c>
      <c r="M1992" s="5">
        <f>IF(YEAR(I1992)&lt;=2020,"Até 2020",TEXT(YEAR(I1992),"0"))</f>
        <v/>
      </c>
      <c r="N1992" s="5">
        <f>IFERROR(INDEX(DePara!$A:$A,MATCH(TEXT(B1992,"0"),DePara!$D:$D,0)),"(sem categoria)")</f>
        <v/>
      </c>
      <c r="O1992" s="5">
        <f>IF(J1992="","",Parametros!$B$6-J1992)</f>
        <v/>
      </c>
      <c r="P1992" s="5">
        <f>IF(O1992="","",IF(O1992&gt;0,1,0))</f>
        <v/>
      </c>
    </row>
    <row r="1993">
      <c r="A1993" s="5" t="n">
        <v>2111000000</v>
      </c>
      <c r="B1993" s="5" t="inlineStr">
        <is>
          <t>101463</t>
        </is>
      </c>
      <c r="C1993" s="5" t="inlineStr">
        <is>
          <t>ZURICH MINAS BRASIL SEGUROS S A</t>
        </is>
      </c>
      <c r="D1993" s="5" t="inlineStr">
        <is>
          <t>RE</t>
        </is>
      </c>
      <c r="E1993" s="5" t="n">
        <v>5013901</v>
      </c>
      <c r="F1993" s="5" t="inlineStr">
        <is>
          <t>0403/26</t>
        </is>
      </c>
      <c r="G1993" s="5" t="inlineStr">
        <is>
          <t>BRL</t>
        </is>
      </c>
      <c r="H1993" s="9" t="n">
        <v>-10.63</v>
      </c>
      <c r="I1993" s="16" t="n">
        <v>46231</v>
      </c>
      <c r="J1993" s="16" t="n">
        <v>46261</v>
      </c>
      <c r="K1993" s="5" t="inlineStr">
        <is>
          <t>Invoice Payment. SP: 20698</t>
        </is>
      </c>
      <c r="L1993" s="5" t="inlineStr">
        <is>
          <t>0403/26</t>
        </is>
      </c>
      <c r="M1993" s="5">
        <f>IF(YEAR(I1993)&lt;=2020,"Até 2020",TEXT(YEAR(I1993),"0"))</f>
        <v/>
      </c>
      <c r="N1993" s="5">
        <f>IFERROR(INDEX(DePara!$A:$A,MATCH(TEXT(B1993,"0"),DePara!$D:$D,0)),"(sem categoria)")</f>
        <v/>
      </c>
      <c r="O1993" s="5">
        <f>IF(J1993="","",Parametros!$B$6-J1993)</f>
        <v/>
      </c>
      <c r="P1993" s="5">
        <f>IF(O1993="","",IF(O1993&gt;0,1,0))</f>
        <v/>
      </c>
    </row>
    <row r="1994">
      <c r="A1994" s="5" t="n">
        <v>2111000000</v>
      </c>
      <c r="B1994" s="5" t="inlineStr">
        <is>
          <t>100883</t>
        </is>
      </c>
      <c r="C1994" s="5" t="inlineStr">
        <is>
          <t>QUELMAR TRANSPORTES LTDA</t>
        </is>
      </c>
      <c r="D1994" s="5" t="inlineStr">
        <is>
          <t>RE</t>
        </is>
      </c>
      <c r="E1994" s="5" t="n">
        <v>5013902</v>
      </c>
      <c r="F1994" s="5" t="inlineStr">
        <is>
          <t>6263-2</t>
        </is>
      </c>
      <c r="G1994" s="5" t="inlineStr">
        <is>
          <t>BRL</t>
        </is>
      </c>
      <c r="H1994" s="9" t="n">
        <v>-980</v>
      </c>
      <c r="I1994" s="16" t="n">
        <v>46225</v>
      </c>
      <c r="J1994" s="16" t="n">
        <v>46270</v>
      </c>
      <c r="K1994" s="5" t="inlineStr">
        <is>
          <t>Fatura - bruto QUELMAR TRANSPORTES LTDA 6263-2</t>
        </is>
      </c>
      <c r="L1994" s="5" t="inlineStr">
        <is>
          <t>08092026</t>
        </is>
      </c>
      <c r="M1994" s="5">
        <f>IF(YEAR(I1994)&lt;=2020,"Até 2020",TEXT(YEAR(I1994),"0"))</f>
        <v/>
      </c>
      <c r="N1994" s="5">
        <f>IFERROR(INDEX(DePara!$A:$A,MATCH(TEXT(B1994,"0"),DePara!$D:$D,0)),"(sem categoria)")</f>
        <v/>
      </c>
      <c r="O1994" s="5">
        <f>IF(J1994="","",Parametros!$B$6-J1994)</f>
        <v/>
      </c>
      <c r="P1994" s="5">
        <f>IF(O1994="","",IF(O1994&gt;0,1,0))</f>
        <v/>
      </c>
    </row>
    <row r="1995">
      <c r="A1995" s="5" t="n">
        <v>2111000000</v>
      </c>
      <c r="B1995" s="5" t="inlineStr">
        <is>
          <t>100883</t>
        </is>
      </c>
      <c r="C1995" s="5" t="inlineStr">
        <is>
          <t>QUELMAR TRANSPORTES LTDA</t>
        </is>
      </c>
      <c r="D1995" s="5" t="inlineStr">
        <is>
          <t>RE</t>
        </is>
      </c>
      <c r="E1995" s="5" t="n">
        <v>5013904</v>
      </c>
      <c r="F1995" s="5" t="inlineStr">
        <is>
          <t>6265-2</t>
        </is>
      </c>
      <c r="G1995" s="5" t="inlineStr">
        <is>
          <t>BRL</t>
        </is>
      </c>
      <c r="H1995" s="9" t="n">
        <v>-4970</v>
      </c>
      <c r="I1995" s="16" t="n">
        <v>46225</v>
      </c>
      <c r="J1995" s="16" t="n">
        <v>46270</v>
      </c>
      <c r="K1995" s="5" t="inlineStr">
        <is>
          <t>Fatura - bruto QUELMAR TRANSPORTES LTDA 6265-2</t>
        </is>
      </c>
      <c r="L1995" s="5" t="inlineStr">
        <is>
          <t>08092026</t>
        </is>
      </c>
      <c r="M1995" s="5">
        <f>IF(YEAR(I1995)&lt;=2020,"Até 2020",TEXT(YEAR(I1995),"0"))</f>
        <v/>
      </c>
      <c r="N1995" s="5">
        <f>IFERROR(INDEX(DePara!$A:$A,MATCH(TEXT(B1995,"0"),DePara!$D:$D,0)),"(sem categoria)")</f>
        <v/>
      </c>
      <c r="O1995" s="5">
        <f>IF(J1995="","",Parametros!$B$6-J1995)</f>
        <v/>
      </c>
      <c r="P1995" s="5">
        <f>IF(O1995="","",IF(O1995&gt;0,1,0))</f>
        <v/>
      </c>
    </row>
    <row r="1996">
      <c r="A1996" s="5" t="n">
        <v>2111000000</v>
      </c>
      <c r="B1996" s="5" t="inlineStr">
        <is>
          <t>100883</t>
        </is>
      </c>
      <c r="C1996" s="5" t="inlineStr">
        <is>
          <t>QUELMAR TRANSPORTES LTDA</t>
        </is>
      </c>
      <c r="D1996" s="5" t="inlineStr">
        <is>
          <t>RE</t>
        </is>
      </c>
      <c r="E1996" s="5" t="n">
        <v>5013905</v>
      </c>
      <c r="F1996" s="5" t="inlineStr">
        <is>
          <t>6268-2</t>
        </is>
      </c>
      <c r="G1996" s="5" t="inlineStr">
        <is>
          <t>BRL</t>
        </is>
      </c>
      <c r="H1996" s="9" t="n">
        <v>-2798.4</v>
      </c>
      <c r="I1996" s="16" t="n">
        <v>46225</v>
      </c>
      <c r="J1996" s="16" t="n">
        <v>46270</v>
      </c>
      <c r="K1996" s="5" t="inlineStr">
        <is>
          <t>Fatura - bruto QUELMAR TRANSPORTES LTDA 6268-2</t>
        </is>
      </c>
      <c r="L1996" s="5" t="inlineStr">
        <is>
          <t>08092026</t>
        </is>
      </c>
      <c r="M1996" s="5">
        <f>IF(YEAR(I1996)&lt;=2020,"Até 2020",TEXT(YEAR(I1996),"0"))</f>
        <v/>
      </c>
      <c r="N1996" s="5">
        <f>IFERROR(INDEX(DePara!$A:$A,MATCH(TEXT(B1996,"0"),DePara!$D:$D,0)),"(sem categoria)")</f>
        <v/>
      </c>
      <c r="O1996" s="5">
        <f>IF(J1996="","",Parametros!$B$6-J1996)</f>
        <v/>
      </c>
      <c r="P1996" s="5">
        <f>IF(O1996="","",IF(O1996&gt;0,1,0))</f>
        <v/>
      </c>
    </row>
    <row r="1997">
      <c r="A1997" s="5" t="n">
        <v>2111000000</v>
      </c>
      <c r="B1997" s="5" t="inlineStr">
        <is>
          <t>100883</t>
        </is>
      </c>
      <c r="C1997" s="5" t="inlineStr">
        <is>
          <t>QUELMAR TRANSPORTES LTDA</t>
        </is>
      </c>
      <c r="D1997" s="5" t="inlineStr">
        <is>
          <t>RE</t>
        </is>
      </c>
      <c r="E1997" s="5" t="n">
        <v>5013906</v>
      </c>
      <c r="F1997" s="5" t="inlineStr">
        <is>
          <t>6271-2</t>
        </is>
      </c>
      <c r="G1997" s="5" t="inlineStr">
        <is>
          <t>BRL</t>
        </is>
      </c>
      <c r="H1997" s="9" t="n">
        <v>-3864</v>
      </c>
      <c r="I1997" s="16" t="n">
        <v>46225</v>
      </c>
      <c r="J1997" s="16" t="n">
        <v>46270</v>
      </c>
      <c r="K1997" s="5" t="inlineStr">
        <is>
          <t>Fatura - bruto QUELMAR TRANSPORTES LTDA 6271-2</t>
        </is>
      </c>
      <c r="L1997" s="5" t="inlineStr">
        <is>
          <t>08092026</t>
        </is>
      </c>
      <c r="M1997" s="5">
        <f>IF(YEAR(I1997)&lt;=2020,"Até 2020",TEXT(YEAR(I1997),"0"))</f>
        <v/>
      </c>
      <c r="N1997" s="5">
        <f>IFERROR(INDEX(DePara!$A:$A,MATCH(TEXT(B1997,"0"),DePara!$D:$D,0)),"(sem categoria)")</f>
        <v/>
      </c>
      <c r="O1997" s="5">
        <f>IF(J1997="","",Parametros!$B$6-J1997)</f>
        <v/>
      </c>
      <c r="P1997" s="5">
        <f>IF(O1997="","",IF(O1997&gt;0,1,0))</f>
        <v/>
      </c>
    </row>
    <row r="1998">
      <c r="A1998" s="5" t="n">
        <v>2111000000</v>
      </c>
      <c r="B1998" s="5" t="inlineStr">
        <is>
          <t>100883</t>
        </is>
      </c>
      <c r="C1998" s="5" t="inlineStr">
        <is>
          <t>QUELMAR TRANSPORTES LTDA</t>
        </is>
      </c>
      <c r="D1998" s="5" t="inlineStr">
        <is>
          <t>RE</t>
        </is>
      </c>
      <c r="E1998" s="5" t="n">
        <v>5013907</v>
      </c>
      <c r="F1998" s="5" t="inlineStr">
        <is>
          <t>6290-2</t>
        </is>
      </c>
      <c r="G1998" s="5" t="inlineStr">
        <is>
          <t>BRL</t>
        </is>
      </c>
      <c r="H1998" s="9" t="n">
        <v>-5780</v>
      </c>
      <c r="I1998" s="16" t="n">
        <v>46226</v>
      </c>
      <c r="J1998" s="16" t="n">
        <v>46270</v>
      </c>
      <c r="K1998" s="5" t="inlineStr">
        <is>
          <t>Fatura - bruto QUELMAR TRANSPORTES LTDA 6290-2</t>
        </is>
      </c>
      <c r="L1998" s="5" t="inlineStr">
        <is>
          <t>08092026</t>
        </is>
      </c>
      <c r="M1998" s="5">
        <f>IF(YEAR(I1998)&lt;=2020,"Até 2020",TEXT(YEAR(I1998),"0"))</f>
        <v/>
      </c>
      <c r="N1998" s="5">
        <f>IFERROR(INDEX(DePara!$A:$A,MATCH(TEXT(B1998,"0"),DePara!$D:$D,0)),"(sem categoria)")</f>
        <v/>
      </c>
      <c r="O1998" s="5">
        <f>IF(J1998="","",Parametros!$B$6-J1998)</f>
        <v/>
      </c>
      <c r="P1998" s="5">
        <f>IF(O1998="","",IF(O1998&gt;0,1,0))</f>
        <v/>
      </c>
    </row>
    <row r="1999">
      <c r="A1999" s="5" t="n">
        <v>2111000000</v>
      </c>
      <c r="B1999" s="5" t="inlineStr">
        <is>
          <t>100883</t>
        </is>
      </c>
      <c r="C1999" s="5" t="inlineStr">
        <is>
          <t>QUELMAR TRANSPORTES LTDA</t>
        </is>
      </c>
      <c r="D1999" s="5" t="inlineStr">
        <is>
          <t>RE</t>
        </is>
      </c>
      <c r="E1999" s="5" t="n">
        <v>5013908</v>
      </c>
      <c r="F1999" s="5" t="inlineStr">
        <is>
          <t>6291-2</t>
        </is>
      </c>
      <c r="G1999" s="5" t="inlineStr">
        <is>
          <t>BRL</t>
        </is>
      </c>
      <c r="H1999" s="9" t="n">
        <v>-6900</v>
      </c>
      <c r="I1999" s="16" t="n">
        <v>46226</v>
      </c>
      <c r="J1999" s="16" t="n">
        <v>46270</v>
      </c>
      <c r="K1999" s="5" t="inlineStr">
        <is>
          <t>Fatura - bruto QUELMAR TRANSPORTES LTDA 6291-2</t>
        </is>
      </c>
      <c r="L1999" s="5" t="inlineStr">
        <is>
          <t>08092026</t>
        </is>
      </c>
      <c r="M1999" s="5">
        <f>IF(YEAR(I1999)&lt;=2020,"Até 2020",TEXT(YEAR(I1999),"0"))</f>
        <v/>
      </c>
      <c r="N1999" s="5">
        <f>IFERROR(INDEX(DePara!$A:$A,MATCH(TEXT(B1999,"0"),DePara!$D:$D,0)),"(sem categoria)")</f>
        <v/>
      </c>
      <c r="O1999" s="5">
        <f>IF(J1999="","",Parametros!$B$6-J1999)</f>
        <v/>
      </c>
      <c r="P1999" s="5">
        <f>IF(O1999="","",IF(O1999&gt;0,1,0))</f>
        <v/>
      </c>
    </row>
    <row r="2000">
      <c r="A2000" s="5" t="n">
        <v>2111000000</v>
      </c>
      <c r="B2000" s="5" t="inlineStr">
        <is>
          <t>100883</t>
        </is>
      </c>
      <c r="C2000" s="5" t="inlineStr">
        <is>
          <t>QUELMAR TRANSPORTES LTDA</t>
        </is>
      </c>
      <c r="D2000" s="5" t="inlineStr">
        <is>
          <t>RE</t>
        </is>
      </c>
      <c r="E2000" s="5" t="n">
        <v>5013909</v>
      </c>
      <c r="F2000" s="5" t="inlineStr">
        <is>
          <t>6304-2</t>
        </is>
      </c>
      <c r="G2000" s="5" t="inlineStr">
        <is>
          <t>BRL</t>
        </is>
      </c>
      <c r="H2000" s="9" t="n">
        <v>-3980</v>
      </c>
      <c r="I2000" s="16" t="n">
        <v>46227</v>
      </c>
      <c r="J2000" s="16" t="n">
        <v>46270</v>
      </c>
      <c r="K2000" s="5" t="inlineStr">
        <is>
          <t>Fatura - bruto QUELMAR TRANSPORTES LTDA 6304-2</t>
        </is>
      </c>
      <c r="L2000" s="5" t="inlineStr">
        <is>
          <t>08092026</t>
        </is>
      </c>
      <c r="M2000" s="5">
        <f>IF(YEAR(I2000)&lt;=2020,"Até 2020",TEXT(YEAR(I2000),"0"))</f>
        <v/>
      </c>
      <c r="N2000" s="5">
        <f>IFERROR(INDEX(DePara!$A:$A,MATCH(TEXT(B2000,"0"),DePara!$D:$D,0)),"(sem categoria)")</f>
        <v/>
      </c>
      <c r="O2000" s="5">
        <f>IF(J2000="","",Parametros!$B$6-J2000)</f>
        <v/>
      </c>
      <c r="P2000" s="5">
        <f>IF(O2000="","",IF(O2000&gt;0,1,0))</f>
        <v/>
      </c>
    </row>
    <row r="2001">
      <c r="A2001" s="5" t="n">
        <v>2111000000</v>
      </c>
      <c r="B2001" s="5" t="inlineStr">
        <is>
          <t>100883</t>
        </is>
      </c>
      <c r="C2001" s="5" t="inlineStr">
        <is>
          <t>QUELMAR TRANSPORTES LTDA</t>
        </is>
      </c>
      <c r="D2001" s="5" t="inlineStr">
        <is>
          <t>RE</t>
        </is>
      </c>
      <c r="E2001" s="5" t="n">
        <v>5013910</v>
      </c>
      <c r="F2001" s="5" t="inlineStr">
        <is>
          <t>6305-2</t>
        </is>
      </c>
      <c r="G2001" s="5" t="inlineStr">
        <is>
          <t>BRL</t>
        </is>
      </c>
      <c r="H2001" s="9" t="n">
        <v>-6950</v>
      </c>
      <c r="I2001" s="16" t="n">
        <v>46227</v>
      </c>
      <c r="J2001" s="16" t="n">
        <v>46270</v>
      </c>
      <c r="K2001" s="5" t="inlineStr">
        <is>
          <t>Fatura - bruto QUELMAR TRANSPORTES LTDA 6305-2</t>
        </is>
      </c>
      <c r="L2001" s="5" t="inlineStr">
        <is>
          <t>08092026</t>
        </is>
      </c>
      <c r="M2001" s="5">
        <f>IF(YEAR(I2001)&lt;=2020,"Até 2020",TEXT(YEAR(I2001),"0"))</f>
        <v/>
      </c>
      <c r="N2001" s="5">
        <f>IFERROR(INDEX(DePara!$A:$A,MATCH(TEXT(B2001,"0"),DePara!$D:$D,0)),"(sem categoria)")</f>
        <v/>
      </c>
      <c r="O2001" s="5">
        <f>IF(J2001="","",Parametros!$B$6-J2001)</f>
        <v/>
      </c>
      <c r="P2001" s="5">
        <f>IF(O2001="","",IF(O2001&gt;0,1,0))</f>
        <v/>
      </c>
    </row>
    <row r="2002">
      <c r="A2002" s="5" t="n">
        <v>2111000000</v>
      </c>
      <c r="B2002" s="5" t="inlineStr">
        <is>
          <t>100883</t>
        </is>
      </c>
      <c r="C2002" s="5" t="inlineStr">
        <is>
          <t>QUELMAR TRANSPORTES LTDA</t>
        </is>
      </c>
      <c r="D2002" s="5" t="inlineStr">
        <is>
          <t>RE</t>
        </is>
      </c>
      <c r="E2002" s="5" t="n">
        <v>5013911</v>
      </c>
      <c r="F2002" s="5" t="inlineStr">
        <is>
          <t>6306-2</t>
        </is>
      </c>
      <c r="G2002" s="5" t="inlineStr">
        <is>
          <t>BRL</t>
        </is>
      </c>
      <c r="H2002" s="9" t="n">
        <v>-7087</v>
      </c>
      <c r="I2002" s="16" t="n">
        <v>46227</v>
      </c>
      <c r="J2002" s="16" t="n">
        <v>46270</v>
      </c>
      <c r="K2002" s="5" t="inlineStr">
        <is>
          <t>Fatura - bruto QUELMAR TRANSPORTES LTDA 6306-2</t>
        </is>
      </c>
      <c r="L2002" s="5" t="inlineStr">
        <is>
          <t>08092026</t>
        </is>
      </c>
      <c r="M2002" s="5">
        <f>IF(YEAR(I2002)&lt;=2020,"Até 2020",TEXT(YEAR(I2002),"0"))</f>
        <v/>
      </c>
      <c r="N2002" s="5">
        <f>IFERROR(INDEX(DePara!$A:$A,MATCH(TEXT(B2002,"0"),DePara!$D:$D,0)),"(sem categoria)")</f>
        <v/>
      </c>
      <c r="O2002" s="5">
        <f>IF(J2002="","",Parametros!$B$6-J2002)</f>
        <v/>
      </c>
      <c r="P2002" s="5">
        <f>IF(O2002="","",IF(O2002&gt;0,1,0))</f>
        <v/>
      </c>
    </row>
    <row r="2003">
      <c r="A2003" s="5" t="n">
        <v>2111000000</v>
      </c>
      <c r="B2003" s="5" t="inlineStr">
        <is>
          <t>100883</t>
        </is>
      </c>
      <c r="C2003" s="5" t="inlineStr">
        <is>
          <t>QUELMAR TRANSPORTES LTDA</t>
        </is>
      </c>
      <c r="D2003" s="5" t="inlineStr">
        <is>
          <t>RE</t>
        </is>
      </c>
      <c r="E2003" s="5" t="n">
        <v>5013912</v>
      </c>
      <c r="F2003" s="5" t="inlineStr">
        <is>
          <t>6307-2</t>
        </is>
      </c>
      <c r="G2003" s="5" t="inlineStr">
        <is>
          <t>BRL</t>
        </is>
      </c>
      <c r="H2003" s="9" t="n">
        <v>-6200</v>
      </c>
      <c r="I2003" s="16" t="n">
        <v>46227</v>
      </c>
      <c r="J2003" s="16" t="n">
        <v>46270</v>
      </c>
      <c r="K2003" s="5" t="inlineStr">
        <is>
          <t>Fatura - bruto QUELMAR TRANSPORTES LTDA 6307-2</t>
        </is>
      </c>
      <c r="L2003" s="5" t="inlineStr">
        <is>
          <t>08092026</t>
        </is>
      </c>
      <c r="M2003" s="5">
        <f>IF(YEAR(I2003)&lt;=2020,"Até 2020",TEXT(YEAR(I2003),"0"))</f>
        <v/>
      </c>
      <c r="N2003" s="5">
        <f>IFERROR(INDEX(DePara!$A:$A,MATCH(TEXT(B2003,"0"),DePara!$D:$D,0)),"(sem categoria)")</f>
        <v/>
      </c>
      <c r="O2003" s="5">
        <f>IF(J2003="","",Parametros!$B$6-J2003)</f>
        <v/>
      </c>
      <c r="P2003" s="5">
        <f>IF(O2003="","",IF(O2003&gt;0,1,0))</f>
        <v/>
      </c>
    </row>
    <row r="2004">
      <c r="A2004" s="5" t="n">
        <v>2111000000</v>
      </c>
      <c r="B2004" s="5" t="inlineStr">
        <is>
          <t>100883</t>
        </is>
      </c>
      <c r="C2004" s="5" t="inlineStr">
        <is>
          <t>QUELMAR TRANSPORTES LTDA</t>
        </is>
      </c>
      <c r="D2004" s="5" t="inlineStr">
        <is>
          <t>RE</t>
        </is>
      </c>
      <c r="E2004" s="5" t="n">
        <v>5013913</v>
      </c>
      <c r="F2004" s="5" t="inlineStr">
        <is>
          <t>6309-2</t>
        </is>
      </c>
      <c r="G2004" s="5" t="inlineStr">
        <is>
          <t>BRL</t>
        </is>
      </c>
      <c r="H2004" s="9" t="n">
        <v>-5948.8</v>
      </c>
      <c r="I2004" s="16" t="n">
        <v>46230</v>
      </c>
      <c r="J2004" s="16" t="n">
        <v>46270</v>
      </c>
      <c r="K2004" s="5" t="inlineStr">
        <is>
          <t>Fatura - bruto QUELMAR TRANSPORTES LTDA 6309-2</t>
        </is>
      </c>
      <c r="L2004" s="5" t="inlineStr">
        <is>
          <t>08092026</t>
        </is>
      </c>
      <c r="M2004" s="5">
        <f>IF(YEAR(I2004)&lt;=2020,"Até 2020",TEXT(YEAR(I2004),"0"))</f>
        <v/>
      </c>
      <c r="N2004" s="5">
        <f>IFERROR(INDEX(DePara!$A:$A,MATCH(TEXT(B2004,"0"),DePara!$D:$D,0)),"(sem categoria)")</f>
        <v/>
      </c>
      <c r="O2004" s="5">
        <f>IF(J2004="","",Parametros!$B$6-J2004)</f>
        <v/>
      </c>
      <c r="P2004" s="5">
        <f>IF(O2004="","",IF(O2004&gt;0,1,0))</f>
        <v/>
      </c>
    </row>
    <row r="2005">
      <c r="A2005" s="5" t="n">
        <v>2111000000</v>
      </c>
      <c r="B2005" s="5" t="inlineStr">
        <is>
          <t>100883</t>
        </is>
      </c>
      <c r="C2005" s="5" t="inlineStr">
        <is>
          <t>QUELMAR TRANSPORTES LTDA</t>
        </is>
      </c>
      <c r="D2005" s="5" t="inlineStr">
        <is>
          <t>RE</t>
        </is>
      </c>
      <c r="E2005" s="5" t="n">
        <v>5013914</v>
      </c>
      <c r="F2005" s="5" t="inlineStr">
        <is>
          <t>108105-1</t>
        </is>
      </c>
      <c r="G2005" s="5" t="inlineStr">
        <is>
          <t>BRL</t>
        </is>
      </c>
      <c r="H2005" s="9" t="n">
        <v>-1390</v>
      </c>
      <c r="I2005" s="16" t="n">
        <v>46224</v>
      </c>
      <c r="J2005" s="16" t="n">
        <v>46270</v>
      </c>
      <c r="K2005" s="5" t="inlineStr">
        <is>
          <t>Fatura - bruto QUELMAR TRANSPORTES LTDA 108105-1</t>
        </is>
      </c>
      <c r="L2005" s="5" t="inlineStr">
        <is>
          <t>08092026</t>
        </is>
      </c>
      <c r="M2005" s="5">
        <f>IF(YEAR(I2005)&lt;=2020,"Até 2020",TEXT(YEAR(I2005),"0"))</f>
        <v/>
      </c>
      <c r="N2005" s="5">
        <f>IFERROR(INDEX(DePara!$A:$A,MATCH(TEXT(B2005,"0"),DePara!$D:$D,0)),"(sem categoria)")</f>
        <v/>
      </c>
      <c r="O2005" s="5">
        <f>IF(J2005="","",Parametros!$B$6-J2005)</f>
        <v/>
      </c>
      <c r="P2005" s="5">
        <f>IF(O2005="","",IF(O2005&gt;0,1,0))</f>
        <v/>
      </c>
    </row>
    <row r="2006">
      <c r="A2006" s="5" t="n">
        <v>2111000000</v>
      </c>
      <c r="B2006" s="5" t="inlineStr">
        <is>
          <t>100883</t>
        </is>
      </c>
      <c r="C2006" s="5" t="inlineStr">
        <is>
          <t>QUELMAR TRANSPORTES LTDA</t>
        </is>
      </c>
      <c r="D2006" s="5" t="inlineStr">
        <is>
          <t>RE</t>
        </is>
      </c>
      <c r="E2006" s="5" t="n">
        <v>5013915</v>
      </c>
      <c r="F2006" s="5" t="inlineStr">
        <is>
          <t>6257-2</t>
        </is>
      </c>
      <c r="G2006" s="5" t="inlineStr">
        <is>
          <t>BRL</t>
        </is>
      </c>
      <c r="H2006" s="9" t="n">
        <v>-2930</v>
      </c>
      <c r="I2006" s="16" t="n">
        <v>46225</v>
      </c>
      <c r="J2006" s="16" t="n">
        <v>46270</v>
      </c>
      <c r="K2006" s="5" t="inlineStr">
        <is>
          <t>Fatura - bruto QUELMAR TRANSPORTES LTDA 6257-2</t>
        </is>
      </c>
      <c r="L2006" s="5" t="inlineStr">
        <is>
          <t>08092026</t>
        </is>
      </c>
      <c r="M2006" s="5">
        <f>IF(YEAR(I2006)&lt;=2020,"Até 2020",TEXT(YEAR(I2006),"0"))</f>
        <v/>
      </c>
      <c r="N2006" s="5">
        <f>IFERROR(INDEX(DePara!$A:$A,MATCH(TEXT(B2006,"0"),DePara!$D:$D,0)),"(sem categoria)")</f>
        <v/>
      </c>
      <c r="O2006" s="5">
        <f>IF(J2006="","",Parametros!$B$6-J2006)</f>
        <v/>
      </c>
      <c r="P2006" s="5">
        <f>IF(O2006="","",IF(O2006&gt;0,1,0))</f>
        <v/>
      </c>
    </row>
    <row r="2007">
      <c r="A2007" s="5" t="n">
        <v>2111000000</v>
      </c>
      <c r="B2007" s="5" t="inlineStr">
        <is>
          <t>100883</t>
        </is>
      </c>
      <c r="C2007" s="5" t="inlineStr">
        <is>
          <t>QUELMAR TRANSPORTES LTDA</t>
        </is>
      </c>
      <c r="D2007" s="5" t="inlineStr">
        <is>
          <t>RE</t>
        </is>
      </c>
      <c r="E2007" s="5" t="n">
        <v>5013916</v>
      </c>
      <c r="F2007" s="5" t="inlineStr">
        <is>
          <t>6258-2</t>
        </is>
      </c>
      <c r="G2007" s="5" t="inlineStr">
        <is>
          <t>BRL</t>
        </is>
      </c>
      <c r="H2007" s="9" t="n">
        <v>-3950</v>
      </c>
      <c r="I2007" s="16" t="n">
        <v>46225</v>
      </c>
      <c r="J2007" s="16" t="n">
        <v>46270</v>
      </c>
      <c r="K2007" s="5" t="inlineStr">
        <is>
          <t>Fatura - bruto QUELMAR TRANSPORTES LTDA 6258-2</t>
        </is>
      </c>
      <c r="L2007" s="5" t="inlineStr">
        <is>
          <t>08092026</t>
        </is>
      </c>
      <c r="M2007" s="5">
        <f>IF(YEAR(I2007)&lt;=2020,"Até 2020",TEXT(YEAR(I2007),"0"))</f>
        <v/>
      </c>
      <c r="N2007" s="5">
        <f>IFERROR(INDEX(DePara!$A:$A,MATCH(TEXT(B2007,"0"),DePara!$D:$D,0)),"(sem categoria)")</f>
        <v/>
      </c>
      <c r="O2007" s="5">
        <f>IF(J2007="","",Parametros!$B$6-J2007)</f>
        <v/>
      </c>
      <c r="P2007" s="5">
        <f>IF(O2007="","",IF(O2007&gt;0,1,0))</f>
        <v/>
      </c>
    </row>
    <row r="2008">
      <c r="A2008" s="5" t="n">
        <v>2111000000</v>
      </c>
      <c r="B2008" s="5" t="inlineStr">
        <is>
          <t>100883</t>
        </is>
      </c>
      <c r="C2008" s="5" t="inlineStr">
        <is>
          <t>QUELMAR TRANSPORTES LTDA</t>
        </is>
      </c>
      <c r="D2008" s="5" t="inlineStr">
        <is>
          <t>RE</t>
        </is>
      </c>
      <c r="E2008" s="5" t="n">
        <v>5013917</v>
      </c>
      <c r="F2008" s="5" t="inlineStr">
        <is>
          <t>6259-2</t>
        </is>
      </c>
      <c r="G2008" s="5" t="inlineStr">
        <is>
          <t>BRL</t>
        </is>
      </c>
      <c r="H2008" s="9" t="n">
        <v>-3330</v>
      </c>
      <c r="I2008" s="16" t="n">
        <v>46225</v>
      </c>
      <c r="J2008" s="16" t="n">
        <v>46270</v>
      </c>
      <c r="K2008" s="5" t="inlineStr">
        <is>
          <t>Fatura - bruto QUELMAR TRANSPORTES LTDA 6259-2</t>
        </is>
      </c>
      <c r="L2008" s="5" t="inlineStr">
        <is>
          <t>08092026</t>
        </is>
      </c>
      <c r="M2008" s="5">
        <f>IF(YEAR(I2008)&lt;=2020,"Até 2020",TEXT(YEAR(I2008),"0"))</f>
        <v/>
      </c>
      <c r="N2008" s="5">
        <f>IFERROR(INDEX(DePara!$A:$A,MATCH(TEXT(B2008,"0"),DePara!$D:$D,0)),"(sem categoria)")</f>
        <v/>
      </c>
      <c r="O2008" s="5">
        <f>IF(J2008="","",Parametros!$B$6-J2008)</f>
        <v/>
      </c>
      <c r="P2008" s="5">
        <f>IF(O2008="","",IF(O2008&gt;0,1,0))</f>
        <v/>
      </c>
    </row>
    <row r="2009">
      <c r="A2009" s="5" t="n">
        <v>2111000000</v>
      </c>
      <c r="B2009" s="5" t="inlineStr">
        <is>
          <t>100883</t>
        </is>
      </c>
      <c r="C2009" s="5" t="inlineStr">
        <is>
          <t>QUELMAR TRANSPORTES LTDA</t>
        </is>
      </c>
      <c r="D2009" s="5" t="inlineStr">
        <is>
          <t>RE</t>
        </is>
      </c>
      <c r="E2009" s="5" t="n">
        <v>5013918</v>
      </c>
      <c r="F2009" s="5" t="inlineStr">
        <is>
          <t>6261-2</t>
        </is>
      </c>
      <c r="G2009" s="5" t="inlineStr">
        <is>
          <t>BRL</t>
        </is>
      </c>
      <c r="H2009" s="9" t="n">
        <v>-550</v>
      </c>
      <c r="I2009" s="16" t="n">
        <v>46225</v>
      </c>
      <c r="J2009" s="16" t="n">
        <v>46270</v>
      </c>
      <c r="K2009" s="5" t="inlineStr">
        <is>
          <t>Fatura - bruto QUELMAR TRANSPORTES LTDA 6261-2</t>
        </is>
      </c>
      <c r="L2009" s="5" t="inlineStr">
        <is>
          <t>08092026</t>
        </is>
      </c>
      <c r="M2009" s="5">
        <f>IF(YEAR(I2009)&lt;=2020,"Até 2020",TEXT(YEAR(I2009),"0"))</f>
        <v/>
      </c>
      <c r="N2009" s="5">
        <f>IFERROR(INDEX(DePara!$A:$A,MATCH(TEXT(B2009,"0"),DePara!$D:$D,0)),"(sem categoria)")</f>
        <v/>
      </c>
      <c r="O2009" s="5">
        <f>IF(J2009="","",Parametros!$B$6-J2009)</f>
        <v/>
      </c>
      <c r="P2009" s="5">
        <f>IF(O2009="","",IF(O2009&gt;0,1,0))</f>
        <v/>
      </c>
    </row>
    <row r="2010">
      <c r="A2010" s="5" t="n">
        <v>2111000000</v>
      </c>
      <c r="B2010" s="5" t="inlineStr">
        <is>
          <t>100883</t>
        </is>
      </c>
      <c r="C2010" s="5" t="inlineStr">
        <is>
          <t>QUELMAR TRANSPORTES LTDA</t>
        </is>
      </c>
      <c r="D2010" s="5" t="inlineStr">
        <is>
          <t>RE</t>
        </is>
      </c>
      <c r="E2010" s="5" t="n">
        <v>5013919</v>
      </c>
      <c r="F2010" s="5" t="inlineStr">
        <is>
          <t>6266-2</t>
        </is>
      </c>
      <c r="G2010" s="5" t="inlineStr">
        <is>
          <t>BRL</t>
        </is>
      </c>
      <c r="H2010" s="9" t="n">
        <v>-4950</v>
      </c>
      <c r="I2010" s="16" t="n">
        <v>46225</v>
      </c>
      <c r="J2010" s="16" t="n">
        <v>46270</v>
      </c>
      <c r="K2010" s="5" t="inlineStr">
        <is>
          <t>Fatura - bruto QUELMAR TRANSPORTES LTDA 6266-2</t>
        </is>
      </c>
      <c r="L2010" s="5" t="inlineStr">
        <is>
          <t>08092026</t>
        </is>
      </c>
      <c r="M2010" s="5">
        <f>IF(YEAR(I2010)&lt;=2020,"Até 2020",TEXT(YEAR(I2010),"0"))</f>
        <v/>
      </c>
      <c r="N2010" s="5">
        <f>IFERROR(INDEX(DePara!$A:$A,MATCH(TEXT(B2010,"0"),DePara!$D:$D,0)),"(sem categoria)")</f>
        <v/>
      </c>
      <c r="O2010" s="5">
        <f>IF(J2010="","",Parametros!$B$6-J2010)</f>
        <v/>
      </c>
      <c r="P2010" s="5">
        <f>IF(O2010="","",IF(O2010&gt;0,1,0))</f>
        <v/>
      </c>
    </row>
    <row r="2011">
      <c r="A2011" s="5" t="n">
        <v>2111000000</v>
      </c>
      <c r="B2011" s="5" t="inlineStr">
        <is>
          <t>100883</t>
        </is>
      </c>
      <c r="C2011" s="5" t="inlineStr">
        <is>
          <t>QUELMAR TRANSPORTES LTDA</t>
        </is>
      </c>
      <c r="D2011" s="5" t="inlineStr">
        <is>
          <t>RE</t>
        </is>
      </c>
      <c r="E2011" s="5" t="n">
        <v>5013920</v>
      </c>
      <c r="F2011" s="5" t="inlineStr">
        <is>
          <t>6270-2</t>
        </is>
      </c>
      <c r="G2011" s="5" t="inlineStr">
        <is>
          <t>BRL</t>
        </is>
      </c>
      <c r="H2011" s="9" t="n">
        <v>-4830</v>
      </c>
      <c r="I2011" s="16" t="n">
        <v>46225</v>
      </c>
      <c r="J2011" s="16" t="n">
        <v>46270</v>
      </c>
      <c r="K2011" s="5" t="inlineStr">
        <is>
          <t>Fatura - bruto QUELMAR TRANSPORTES LTDA 6270-2</t>
        </is>
      </c>
      <c r="L2011" s="5" t="inlineStr">
        <is>
          <t>08092026</t>
        </is>
      </c>
      <c r="M2011" s="5">
        <f>IF(YEAR(I2011)&lt;=2020,"Até 2020",TEXT(YEAR(I2011),"0"))</f>
        <v/>
      </c>
      <c r="N2011" s="5">
        <f>IFERROR(INDEX(DePara!$A:$A,MATCH(TEXT(B2011,"0"),DePara!$D:$D,0)),"(sem categoria)")</f>
        <v/>
      </c>
      <c r="O2011" s="5">
        <f>IF(J2011="","",Parametros!$B$6-J2011)</f>
        <v/>
      </c>
      <c r="P2011" s="5">
        <f>IF(O2011="","",IF(O2011&gt;0,1,0))</f>
        <v/>
      </c>
    </row>
    <row r="2012">
      <c r="A2012" s="5" t="n">
        <v>2111000000</v>
      </c>
      <c r="B2012" s="5" t="inlineStr">
        <is>
          <t>100883</t>
        </is>
      </c>
      <c r="C2012" s="5" t="inlineStr">
        <is>
          <t>QUELMAR TRANSPORTES LTDA</t>
        </is>
      </c>
      <c r="D2012" s="5" t="inlineStr">
        <is>
          <t>RE</t>
        </is>
      </c>
      <c r="E2012" s="5" t="n">
        <v>5013921</v>
      </c>
      <c r="F2012" s="5" t="inlineStr">
        <is>
          <t>6273-2</t>
        </is>
      </c>
      <c r="G2012" s="5" t="inlineStr">
        <is>
          <t>BRL</t>
        </is>
      </c>
      <c r="H2012" s="9" t="n">
        <v>-5880</v>
      </c>
      <c r="I2012" s="16" t="n">
        <v>46226</v>
      </c>
      <c r="J2012" s="16" t="n">
        <v>46270</v>
      </c>
      <c r="K2012" s="5" t="inlineStr">
        <is>
          <t>Fatura - bruto QUELMAR TRANSPORTES LTDA 6273-2</t>
        </is>
      </c>
      <c r="L2012" s="5" t="inlineStr">
        <is>
          <t>08092026</t>
        </is>
      </c>
      <c r="M2012" s="5">
        <f>IF(YEAR(I2012)&lt;=2020,"Até 2020",TEXT(YEAR(I2012),"0"))</f>
        <v/>
      </c>
      <c r="N2012" s="5">
        <f>IFERROR(INDEX(DePara!$A:$A,MATCH(TEXT(B2012,"0"),DePara!$D:$D,0)),"(sem categoria)")</f>
        <v/>
      </c>
      <c r="O2012" s="5">
        <f>IF(J2012="","",Parametros!$B$6-J2012)</f>
        <v/>
      </c>
      <c r="P2012" s="5">
        <f>IF(O2012="","",IF(O2012&gt;0,1,0))</f>
        <v/>
      </c>
    </row>
    <row r="2013">
      <c r="A2013" s="5" t="n">
        <v>2111000000</v>
      </c>
      <c r="B2013" s="5" t="inlineStr">
        <is>
          <t>100883</t>
        </is>
      </c>
      <c r="C2013" s="5" t="inlineStr">
        <is>
          <t>QUELMAR TRANSPORTES LTDA</t>
        </is>
      </c>
      <c r="D2013" s="5" t="inlineStr">
        <is>
          <t>RE</t>
        </is>
      </c>
      <c r="E2013" s="5" t="n">
        <v>5013922</v>
      </c>
      <c r="F2013" s="5" t="inlineStr">
        <is>
          <t>6277-2</t>
        </is>
      </c>
      <c r="G2013" s="5" t="inlineStr">
        <is>
          <t>BRL</t>
        </is>
      </c>
      <c r="H2013" s="9" t="n">
        <v>-3990</v>
      </c>
      <c r="I2013" s="16" t="n">
        <v>46226</v>
      </c>
      <c r="J2013" s="16" t="n">
        <v>46270</v>
      </c>
      <c r="K2013" s="5" t="inlineStr">
        <is>
          <t>Fatura - bruto QUELMAR TRANSPORTES LTDA 6277-2</t>
        </is>
      </c>
      <c r="L2013" s="5" t="inlineStr">
        <is>
          <t>08092026</t>
        </is>
      </c>
      <c r="M2013" s="5">
        <f>IF(YEAR(I2013)&lt;=2020,"Até 2020",TEXT(YEAR(I2013),"0"))</f>
        <v/>
      </c>
      <c r="N2013" s="5">
        <f>IFERROR(INDEX(DePara!$A:$A,MATCH(TEXT(B2013,"0"),DePara!$D:$D,0)),"(sem categoria)")</f>
        <v/>
      </c>
      <c r="O2013" s="5">
        <f>IF(J2013="","",Parametros!$B$6-J2013)</f>
        <v/>
      </c>
      <c r="P2013" s="5">
        <f>IF(O2013="","",IF(O2013&gt;0,1,0))</f>
        <v/>
      </c>
    </row>
    <row r="2014">
      <c r="A2014" s="5" t="n">
        <v>2111000000</v>
      </c>
      <c r="B2014" s="5" t="inlineStr">
        <is>
          <t>100883</t>
        </is>
      </c>
      <c r="C2014" s="5" t="inlineStr">
        <is>
          <t>QUELMAR TRANSPORTES LTDA</t>
        </is>
      </c>
      <c r="D2014" s="5" t="inlineStr">
        <is>
          <t>RE</t>
        </is>
      </c>
      <c r="E2014" s="5" t="n">
        <v>5013923</v>
      </c>
      <c r="F2014" s="5" t="inlineStr">
        <is>
          <t>6278-2</t>
        </is>
      </c>
      <c r="G2014" s="5" t="inlineStr">
        <is>
          <t>BRL</t>
        </is>
      </c>
      <c r="H2014" s="9" t="n">
        <v>-570</v>
      </c>
      <c r="I2014" s="16" t="n">
        <v>46226</v>
      </c>
      <c r="J2014" s="16" t="n">
        <v>46270</v>
      </c>
      <c r="K2014" s="5" t="inlineStr">
        <is>
          <t>Fatura - bruto QUELMAR TRANSPORTES LTDA 6278-2</t>
        </is>
      </c>
      <c r="L2014" s="5" t="inlineStr">
        <is>
          <t>08092026</t>
        </is>
      </c>
      <c r="M2014" s="5">
        <f>IF(YEAR(I2014)&lt;=2020,"Até 2020",TEXT(YEAR(I2014),"0"))</f>
        <v/>
      </c>
      <c r="N2014" s="5">
        <f>IFERROR(INDEX(DePara!$A:$A,MATCH(TEXT(B2014,"0"),DePara!$D:$D,0)),"(sem categoria)")</f>
        <v/>
      </c>
      <c r="O2014" s="5">
        <f>IF(J2014="","",Parametros!$B$6-J2014)</f>
        <v/>
      </c>
      <c r="P2014" s="5">
        <f>IF(O2014="","",IF(O2014&gt;0,1,0))</f>
        <v/>
      </c>
    </row>
    <row r="2015">
      <c r="A2015" s="5" t="n">
        <v>2111000000</v>
      </c>
      <c r="B2015" s="5" t="inlineStr">
        <is>
          <t>100883</t>
        </is>
      </c>
      <c r="C2015" s="5" t="inlineStr">
        <is>
          <t>QUELMAR TRANSPORTES LTDA</t>
        </is>
      </c>
      <c r="D2015" s="5" t="inlineStr">
        <is>
          <t>RE</t>
        </is>
      </c>
      <c r="E2015" s="5" t="n">
        <v>5013924</v>
      </c>
      <c r="F2015" s="5" t="inlineStr">
        <is>
          <t>6279-2</t>
        </is>
      </c>
      <c r="G2015" s="5" t="inlineStr">
        <is>
          <t>BRL</t>
        </is>
      </c>
      <c r="H2015" s="9" t="n">
        <v>-4980</v>
      </c>
      <c r="I2015" s="16" t="n">
        <v>46226</v>
      </c>
      <c r="J2015" s="16" t="n">
        <v>46270</v>
      </c>
      <c r="K2015" s="5" t="inlineStr">
        <is>
          <t>Fatura - bruto QUELMAR TRANSPORTES LTDA 6279-2</t>
        </is>
      </c>
      <c r="L2015" s="5" t="inlineStr">
        <is>
          <t>08092026</t>
        </is>
      </c>
      <c r="M2015" s="5">
        <f>IF(YEAR(I2015)&lt;=2020,"Até 2020",TEXT(YEAR(I2015),"0"))</f>
        <v/>
      </c>
      <c r="N2015" s="5">
        <f>IFERROR(INDEX(DePara!$A:$A,MATCH(TEXT(B2015,"0"),DePara!$D:$D,0)),"(sem categoria)")</f>
        <v/>
      </c>
      <c r="O2015" s="5">
        <f>IF(J2015="","",Parametros!$B$6-J2015)</f>
        <v/>
      </c>
      <c r="P2015" s="5">
        <f>IF(O2015="","",IF(O2015&gt;0,1,0))</f>
        <v/>
      </c>
    </row>
    <row r="2016">
      <c r="A2016" s="5" t="n">
        <v>2111000000</v>
      </c>
      <c r="B2016" s="5" t="inlineStr">
        <is>
          <t>100883</t>
        </is>
      </c>
      <c r="C2016" s="5" t="inlineStr">
        <is>
          <t>QUELMAR TRANSPORTES LTDA</t>
        </is>
      </c>
      <c r="D2016" s="5" t="inlineStr">
        <is>
          <t>RE</t>
        </is>
      </c>
      <c r="E2016" s="5" t="n">
        <v>5013925</v>
      </c>
      <c r="F2016" s="5" t="inlineStr">
        <is>
          <t>6280-2</t>
        </is>
      </c>
      <c r="G2016" s="5" t="inlineStr">
        <is>
          <t>BRL</t>
        </is>
      </c>
      <c r="H2016" s="9" t="n">
        <v>-4545</v>
      </c>
      <c r="I2016" s="16" t="n">
        <v>46226</v>
      </c>
      <c r="J2016" s="16" t="n">
        <v>46270</v>
      </c>
      <c r="K2016" s="5" t="inlineStr">
        <is>
          <t>Fatura - bruto QUELMAR TRANSPORTES LTDA 6280-2</t>
        </is>
      </c>
      <c r="L2016" s="5" t="inlineStr">
        <is>
          <t>08092026</t>
        </is>
      </c>
      <c r="M2016" s="5">
        <f>IF(YEAR(I2016)&lt;=2020,"Até 2020",TEXT(YEAR(I2016),"0"))</f>
        <v/>
      </c>
      <c r="N2016" s="5">
        <f>IFERROR(INDEX(DePara!$A:$A,MATCH(TEXT(B2016,"0"),DePara!$D:$D,0)),"(sem categoria)")</f>
        <v/>
      </c>
      <c r="O2016" s="5">
        <f>IF(J2016="","",Parametros!$B$6-J2016)</f>
        <v/>
      </c>
      <c r="P2016" s="5">
        <f>IF(O2016="","",IF(O2016&gt;0,1,0))</f>
        <v/>
      </c>
    </row>
    <row r="2017">
      <c r="A2017" s="5" t="n">
        <v>2111000000</v>
      </c>
      <c r="B2017" s="5" t="inlineStr">
        <is>
          <t>100883</t>
        </is>
      </c>
      <c r="C2017" s="5" t="inlineStr">
        <is>
          <t>QUELMAR TRANSPORTES LTDA</t>
        </is>
      </c>
      <c r="D2017" s="5" t="inlineStr">
        <is>
          <t>RE</t>
        </is>
      </c>
      <c r="E2017" s="5" t="n">
        <v>5013926</v>
      </c>
      <c r="F2017" s="5" t="inlineStr">
        <is>
          <t>6284-2</t>
        </is>
      </c>
      <c r="G2017" s="5" t="inlineStr">
        <is>
          <t>BRL</t>
        </is>
      </c>
      <c r="H2017" s="9" t="n">
        <v>-4970</v>
      </c>
      <c r="I2017" s="16" t="n">
        <v>46226</v>
      </c>
      <c r="J2017" s="16" t="n">
        <v>46270</v>
      </c>
      <c r="K2017" s="5" t="inlineStr">
        <is>
          <t>Fatura - bruto QUELMAR TRANSPORTES LTDA 6284-2</t>
        </is>
      </c>
      <c r="L2017" s="5" t="inlineStr">
        <is>
          <t>08092026</t>
        </is>
      </c>
      <c r="M2017" s="5">
        <f>IF(YEAR(I2017)&lt;=2020,"Até 2020",TEXT(YEAR(I2017),"0"))</f>
        <v/>
      </c>
      <c r="N2017" s="5">
        <f>IFERROR(INDEX(DePara!$A:$A,MATCH(TEXT(B2017,"0"),DePara!$D:$D,0)),"(sem categoria)")</f>
        <v/>
      </c>
      <c r="O2017" s="5">
        <f>IF(J2017="","",Parametros!$B$6-J2017)</f>
        <v/>
      </c>
      <c r="P2017" s="5">
        <f>IF(O2017="","",IF(O2017&gt;0,1,0))</f>
        <v/>
      </c>
    </row>
    <row r="2018">
      <c r="A2018" s="5" t="n">
        <v>2111000000</v>
      </c>
      <c r="B2018" s="5" t="inlineStr">
        <is>
          <t>100883</t>
        </is>
      </c>
      <c r="C2018" s="5" t="inlineStr">
        <is>
          <t>QUELMAR TRANSPORTES LTDA</t>
        </is>
      </c>
      <c r="D2018" s="5" t="inlineStr">
        <is>
          <t>RE</t>
        </is>
      </c>
      <c r="E2018" s="5" t="n">
        <v>5013927</v>
      </c>
      <c r="F2018" s="5" t="inlineStr">
        <is>
          <t>6286-2</t>
        </is>
      </c>
      <c r="G2018" s="5" t="inlineStr">
        <is>
          <t>BRL</t>
        </is>
      </c>
      <c r="H2018" s="9" t="n">
        <v>-3950</v>
      </c>
      <c r="I2018" s="16" t="n">
        <v>46226</v>
      </c>
      <c r="J2018" s="16" t="n">
        <v>46270</v>
      </c>
      <c r="K2018" s="5" t="inlineStr">
        <is>
          <t>Fatura - bruto QUELMAR TRANSPORTES LTDA 6286-2</t>
        </is>
      </c>
      <c r="L2018" s="5" t="inlineStr">
        <is>
          <t>08092026</t>
        </is>
      </c>
      <c r="M2018" s="5">
        <f>IF(YEAR(I2018)&lt;=2020,"Até 2020",TEXT(YEAR(I2018),"0"))</f>
        <v/>
      </c>
      <c r="N2018" s="5">
        <f>IFERROR(INDEX(DePara!$A:$A,MATCH(TEXT(B2018,"0"),DePara!$D:$D,0)),"(sem categoria)")</f>
        <v/>
      </c>
      <c r="O2018" s="5">
        <f>IF(J2018="","",Parametros!$B$6-J2018)</f>
        <v/>
      </c>
      <c r="P2018" s="5">
        <f>IF(O2018="","",IF(O2018&gt;0,1,0))</f>
        <v/>
      </c>
    </row>
    <row r="2019">
      <c r="A2019" s="5" t="n">
        <v>2111000000</v>
      </c>
      <c r="B2019" s="5" t="inlineStr">
        <is>
          <t>100883</t>
        </is>
      </c>
      <c r="C2019" s="5" t="inlineStr">
        <is>
          <t>QUELMAR TRANSPORTES LTDA</t>
        </is>
      </c>
      <c r="D2019" s="5" t="inlineStr">
        <is>
          <t>RE</t>
        </is>
      </c>
      <c r="E2019" s="5" t="n">
        <v>5013928</v>
      </c>
      <c r="F2019" s="5" t="inlineStr">
        <is>
          <t>6287-2</t>
        </is>
      </c>
      <c r="G2019" s="5" t="inlineStr">
        <is>
          <t>BRL</t>
        </is>
      </c>
      <c r="H2019" s="9" t="n">
        <v>-3280</v>
      </c>
      <c r="I2019" s="16" t="n">
        <v>46226</v>
      </c>
      <c r="J2019" s="16" t="n">
        <v>46270</v>
      </c>
      <c r="K2019" s="5" t="inlineStr">
        <is>
          <t>Fatura - bruto QUELMAR TRANSPORTES LTDA 6287-2</t>
        </is>
      </c>
      <c r="L2019" s="5" t="inlineStr">
        <is>
          <t>08092026</t>
        </is>
      </c>
      <c r="M2019" s="5">
        <f>IF(YEAR(I2019)&lt;=2020,"Até 2020",TEXT(YEAR(I2019),"0"))</f>
        <v/>
      </c>
      <c r="N2019" s="5">
        <f>IFERROR(INDEX(DePara!$A:$A,MATCH(TEXT(B2019,"0"),DePara!$D:$D,0)),"(sem categoria)")</f>
        <v/>
      </c>
      <c r="O2019" s="5">
        <f>IF(J2019="","",Parametros!$B$6-J2019)</f>
        <v/>
      </c>
      <c r="P2019" s="5">
        <f>IF(O2019="","",IF(O2019&gt;0,1,0))</f>
        <v/>
      </c>
    </row>
    <row r="2020">
      <c r="A2020" s="5" t="n">
        <v>2111000000</v>
      </c>
      <c r="B2020" s="5" t="inlineStr">
        <is>
          <t>100883</t>
        </is>
      </c>
      <c r="C2020" s="5" t="inlineStr">
        <is>
          <t>QUELMAR TRANSPORTES LTDA</t>
        </is>
      </c>
      <c r="D2020" s="5" t="inlineStr">
        <is>
          <t>RE</t>
        </is>
      </c>
      <c r="E2020" s="5" t="n">
        <v>5013929</v>
      </c>
      <c r="F2020" s="5" t="inlineStr">
        <is>
          <t>6289-2</t>
        </is>
      </c>
      <c r="G2020" s="5" t="inlineStr">
        <is>
          <t>BRL</t>
        </is>
      </c>
      <c r="H2020" s="9" t="n">
        <v>-8500</v>
      </c>
      <c r="I2020" s="16" t="n">
        <v>46226</v>
      </c>
      <c r="J2020" s="16" t="n">
        <v>46270</v>
      </c>
      <c r="K2020" s="5" t="inlineStr">
        <is>
          <t>Fatura - bruto QUELMAR TRANSPORTES LTDA 6289-2</t>
        </is>
      </c>
      <c r="L2020" s="5" t="inlineStr">
        <is>
          <t>08092026</t>
        </is>
      </c>
      <c r="M2020" s="5">
        <f>IF(YEAR(I2020)&lt;=2020,"Até 2020",TEXT(YEAR(I2020),"0"))</f>
        <v/>
      </c>
      <c r="N2020" s="5">
        <f>IFERROR(INDEX(DePara!$A:$A,MATCH(TEXT(B2020,"0"),DePara!$D:$D,0)),"(sem categoria)")</f>
        <v/>
      </c>
      <c r="O2020" s="5">
        <f>IF(J2020="","",Parametros!$B$6-J2020)</f>
        <v/>
      </c>
      <c r="P2020" s="5">
        <f>IF(O2020="","",IF(O2020&gt;0,1,0))</f>
        <v/>
      </c>
    </row>
    <row r="2021">
      <c r="A2021" s="5" t="n">
        <v>2111000000</v>
      </c>
      <c r="B2021" s="5" t="inlineStr">
        <is>
          <t>100883</t>
        </is>
      </c>
      <c r="C2021" s="5" t="inlineStr">
        <is>
          <t>QUELMAR TRANSPORTES LTDA</t>
        </is>
      </c>
      <c r="D2021" s="5" t="inlineStr">
        <is>
          <t>RE</t>
        </is>
      </c>
      <c r="E2021" s="5" t="n">
        <v>5013930</v>
      </c>
      <c r="F2021" s="5" t="inlineStr">
        <is>
          <t>6302-2</t>
        </is>
      </c>
      <c r="G2021" s="5" t="inlineStr">
        <is>
          <t>BRL</t>
        </is>
      </c>
      <c r="H2021" s="9" t="n">
        <v>-6350</v>
      </c>
      <c r="I2021" s="16" t="n">
        <v>46227</v>
      </c>
      <c r="J2021" s="16" t="n">
        <v>46270</v>
      </c>
      <c r="K2021" s="5" t="inlineStr">
        <is>
          <t>Fatura - bruto QUELMAR TRANSPORTES LTDA 6302-2</t>
        </is>
      </c>
      <c r="L2021" s="5" t="inlineStr">
        <is>
          <t>08092026</t>
        </is>
      </c>
      <c r="M2021" s="5">
        <f>IF(YEAR(I2021)&lt;=2020,"Até 2020",TEXT(YEAR(I2021),"0"))</f>
        <v/>
      </c>
      <c r="N2021" s="5">
        <f>IFERROR(INDEX(DePara!$A:$A,MATCH(TEXT(B2021,"0"),DePara!$D:$D,0)),"(sem categoria)")</f>
        <v/>
      </c>
      <c r="O2021" s="5">
        <f>IF(J2021="","",Parametros!$B$6-J2021)</f>
        <v/>
      </c>
      <c r="P2021" s="5">
        <f>IF(O2021="","",IF(O2021&gt;0,1,0))</f>
        <v/>
      </c>
    </row>
    <row r="2022">
      <c r="A2022" s="5" t="n">
        <v>2111000000</v>
      </c>
      <c r="B2022" s="5" t="inlineStr">
        <is>
          <t>100883</t>
        </is>
      </c>
      <c r="C2022" s="5" t="inlineStr">
        <is>
          <t>QUELMAR TRANSPORTES LTDA</t>
        </is>
      </c>
      <c r="D2022" s="5" t="inlineStr">
        <is>
          <t>RE</t>
        </is>
      </c>
      <c r="E2022" s="5" t="n">
        <v>5013931</v>
      </c>
      <c r="F2022" s="5" t="inlineStr">
        <is>
          <t>6303-2</t>
        </is>
      </c>
      <c r="G2022" s="5" t="inlineStr">
        <is>
          <t>BRL</t>
        </is>
      </c>
      <c r="H2022" s="9" t="n">
        <v>-4980</v>
      </c>
      <c r="I2022" s="16" t="n">
        <v>46227</v>
      </c>
      <c r="J2022" s="16" t="n">
        <v>46270</v>
      </c>
      <c r="K2022" s="5" t="inlineStr">
        <is>
          <t>Fatura - bruto QUELMAR TRANSPORTES LTDA 6303-2</t>
        </is>
      </c>
      <c r="L2022" s="5" t="inlineStr">
        <is>
          <t>08092026</t>
        </is>
      </c>
      <c r="M2022" s="5">
        <f>IF(YEAR(I2022)&lt;=2020,"Até 2020",TEXT(YEAR(I2022),"0"))</f>
        <v/>
      </c>
      <c r="N2022" s="5">
        <f>IFERROR(INDEX(DePara!$A:$A,MATCH(TEXT(B2022,"0"),DePara!$D:$D,0)),"(sem categoria)")</f>
        <v/>
      </c>
      <c r="O2022" s="5">
        <f>IF(J2022="","",Parametros!$B$6-J2022)</f>
        <v/>
      </c>
      <c r="P2022" s="5">
        <f>IF(O2022="","",IF(O2022&gt;0,1,0))</f>
        <v/>
      </c>
    </row>
    <row r="2023">
      <c r="A2023" s="5" t="n">
        <v>2111000000</v>
      </c>
      <c r="B2023" s="5" t="inlineStr">
        <is>
          <t>100883</t>
        </is>
      </c>
      <c r="C2023" s="5" t="inlineStr">
        <is>
          <t>QUELMAR TRANSPORTES LTDA</t>
        </is>
      </c>
      <c r="D2023" s="5" t="inlineStr">
        <is>
          <t>RE</t>
        </is>
      </c>
      <c r="E2023" s="5" t="n">
        <v>5013957</v>
      </c>
      <c r="F2023" s="5" t="inlineStr">
        <is>
          <t>108106-1</t>
        </is>
      </c>
      <c r="G2023" s="5" t="inlineStr">
        <is>
          <t>BRL</t>
        </is>
      </c>
      <c r="H2023" s="9" t="n">
        <v>-1530</v>
      </c>
      <c r="I2023" s="16" t="n">
        <v>46224</v>
      </c>
      <c r="J2023" s="16" t="n">
        <v>46270</v>
      </c>
      <c r="K2023" s="5" t="inlineStr">
        <is>
          <t>Fatura - bruto QUELMAR TRANSPORTES LTDA 108106-1</t>
        </is>
      </c>
      <c r="L2023" s="5" t="inlineStr">
        <is>
          <t>08092026</t>
        </is>
      </c>
      <c r="M2023" s="5">
        <f>IF(YEAR(I2023)&lt;=2020,"Até 2020",TEXT(YEAR(I2023),"0"))</f>
        <v/>
      </c>
      <c r="N2023" s="5">
        <f>IFERROR(INDEX(DePara!$A:$A,MATCH(TEXT(B2023,"0"),DePara!$D:$D,0)),"(sem categoria)")</f>
        <v/>
      </c>
      <c r="O2023" s="5">
        <f>IF(J2023="","",Parametros!$B$6-J2023)</f>
        <v/>
      </c>
      <c r="P2023" s="5">
        <f>IF(O2023="","",IF(O2023&gt;0,1,0))</f>
        <v/>
      </c>
    </row>
    <row r="2024">
      <c r="A2024" s="5" t="n">
        <v>2111000000</v>
      </c>
      <c r="B2024" s="5" t="inlineStr">
        <is>
          <t>100883</t>
        </is>
      </c>
      <c r="C2024" s="5" t="inlineStr">
        <is>
          <t>QUELMAR TRANSPORTES LTDA</t>
        </is>
      </c>
      <c r="D2024" s="5" t="inlineStr">
        <is>
          <t>RE</t>
        </is>
      </c>
      <c r="E2024" s="5" t="n">
        <v>5013958</v>
      </c>
      <c r="F2024" s="5" t="inlineStr">
        <is>
          <t>107999-1</t>
        </is>
      </c>
      <c r="G2024" s="5" t="inlineStr">
        <is>
          <t>BRL</t>
        </is>
      </c>
      <c r="H2024" s="9" t="n">
        <v>-1941.33</v>
      </c>
      <c r="I2024" s="16" t="n">
        <v>46220</v>
      </c>
      <c r="J2024" s="16" t="n">
        <v>46270</v>
      </c>
      <c r="K2024" s="5" t="inlineStr">
        <is>
          <t>Fatura - bruto QUELMAR TRANSPORTES LTDA 107999-1</t>
        </is>
      </c>
      <c r="L2024" s="5" t="inlineStr">
        <is>
          <t>08092026</t>
        </is>
      </c>
      <c r="M2024" s="5">
        <f>IF(YEAR(I2024)&lt;=2020,"Até 2020",TEXT(YEAR(I2024),"0"))</f>
        <v/>
      </c>
      <c r="N2024" s="5">
        <f>IFERROR(INDEX(DePara!$A:$A,MATCH(TEXT(B2024,"0"),DePara!$D:$D,0)),"(sem categoria)")</f>
        <v/>
      </c>
      <c r="O2024" s="5">
        <f>IF(J2024="","",Parametros!$B$6-J2024)</f>
        <v/>
      </c>
      <c r="P2024" s="5">
        <f>IF(O2024="","",IF(O2024&gt;0,1,0))</f>
        <v/>
      </c>
    </row>
    <row r="2025">
      <c r="A2025" s="5" t="n">
        <v>2111000000</v>
      </c>
      <c r="B2025" s="5" t="inlineStr">
        <is>
          <t>100883</t>
        </is>
      </c>
      <c r="C2025" s="5" t="inlineStr">
        <is>
          <t>QUELMAR TRANSPORTES LTDA</t>
        </is>
      </c>
      <c r="D2025" s="5" t="inlineStr">
        <is>
          <t>RE</t>
        </is>
      </c>
      <c r="E2025" s="5" t="n">
        <v>5013963</v>
      </c>
      <c r="F2025" s="5" t="inlineStr">
        <is>
          <t>6267-2</t>
        </is>
      </c>
      <c r="G2025" s="5" t="inlineStr">
        <is>
          <t>BRL</t>
        </is>
      </c>
      <c r="H2025" s="9" t="n">
        <v>-4250</v>
      </c>
      <c r="I2025" s="16" t="n">
        <v>46225</v>
      </c>
      <c r="J2025" s="16" t="n">
        <v>46270</v>
      </c>
      <c r="K2025" s="5" t="inlineStr">
        <is>
          <t>Fatura - bruto QUELMAR TRANSPORTES LTDA 6267-2</t>
        </is>
      </c>
      <c r="L2025" s="5" t="inlineStr">
        <is>
          <t>08092026</t>
        </is>
      </c>
      <c r="M2025" s="5">
        <f>IF(YEAR(I2025)&lt;=2020,"Até 2020",TEXT(YEAR(I2025),"0"))</f>
        <v/>
      </c>
      <c r="N2025" s="5">
        <f>IFERROR(INDEX(DePara!$A:$A,MATCH(TEXT(B2025,"0"),DePara!$D:$D,0)),"(sem categoria)")</f>
        <v/>
      </c>
      <c r="O2025" s="5">
        <f>IF(J2025="","",Parametros!$B$6-J2025)</f>
        <v/>
      </c>
      <c r="P2025" s="5">
        <f>IF(O2025="","",IF(O2025&gt;0,1,0))</f>
        <v/>
      </c>
    </row>
    <row r="2026">
      <c r="A2026" s="5" t="n">
        <v>2111000000</v>
      </c>
      <c r="B2026" s="5" t="inlineStr">
        <is>
          <t>100883</t>
        </is>
      </c>
      <c r="C2026" s="5" t="inlineStr">
        <is>
          <t>QUELMAR TRANSPORTES LTDA</t>
        </is>
      </c>
      <c r="D2026" s="5" t="inlineStr">
        <is>
          <t>RE</t>
        </is>
      </c>
      <c r="E2026" s="5" t="n">
        <v>5013964</v>
      </c>
      <c r="F2026" s="5" t="inlineStr">
        <is>
          <t>6274-2</t>
        </is>
      </c>
      <c r="G2026" s="5" t="inlineStr">
        <is>
          <t>BRL</t>
        </is>
      </c>
      <c r="H2026" s="9" t="n">
        <v>-7650</v>
      </c>
      <c r="I2026" s="16" t="n">
        <v>46226</v>
      </c>
      <c r="J2026" s="16" t="n">
        <v>46270</v>
      </c>
      <c r="K2026" s="5" t="inlineStr">
        <is>
          <t>Fatura - bruto QUELMAR TRANSPORTES LTDA 6274-2</t>
        </is>
      </c>
      <c r="L2026" s="5" t="inlineStr">
        <is>
          <t>08092026</t>
        </is>
      </c>
      <c r="M2026" s="5">
        <f>IF(YEAR(I2026)&lt;=2020,"Até 2020",TEXT(YEAR(I2026),"0"))</f>
        <v/>
      </c>
      <c r="N2026" s="5">
        <f>IFERROR(INDEX(DePara!$A:$A,MATCH(TEXT(B2026,"0"),DePara!$D:$D,0)),"(sem categoria)")</f>
        <v/>
      </c>
      <c r="O2026" s="5">
        <f>IF(J2026="","",Parametros!$B$6-J2026)</f>
        <v/>
      </c>
      <c r="P2026" s="5">
        <f>IF(O2026="","",IF(O2026&gt;0,1,0))</f>
        <v/>
      </c>
    </row>
    <row r="2027">
      <c r="A2027" s="5" t="n">
        <v>2111000000</v>
      </c>
      <c r="B2027" s="5" t="inlineStr">
        <is>
          <t>100883</t>
        </is>
      </c>
      <c r="C2027" s="5" t="inlineStr">
        <is>
          <t>QUELMAR TRANSPORTES LTDA</t>
        </is>
      </c>
      <c r="D2027" s="5" t="inlineStr">
        <is>
          <t>RE</t>
        </is>
      </c>
      <c r="E2027" s="5" t="n">
        <v>5013966</v>
      </c>
      <c r="F2027" s="5" t="inlineStr">
        <is>
          <t>6264-2</t>
        </is>
      </c>
      <c r="G2027" s="5" t="inlineStr">
        <is>
          <t>BRL</t>
        </is>
      </c>
      <c r="H2027" s="9" t="n">
        <v>-1650</v>
      </c>
      <c r="I2027" s="16" t="n">
        <v>46225</v>
      </c>
      <c r="J2027" s="16" t="n">
        <v>46270</v>
      </c>
      <c r="K2027" s="5" t="inlineStr">
        <is>
          <t>Fatura - bruto QUELMAR TRANSPORTES LTDA 6264-2</t>
        </is>
      </c>
      <c r="L2027" s="5" t="inlineStr">
        <is>
          <t>08092026</t>
        </is>
      </c>
      <c r="M2027" s="5">
        <f>IF(YEAR(I2027)&lt;=2020,"Até 2020",TEXT(YEAR(I2027),"0"))</f>
        <v/>
      </c>
      <c r="N2027" s="5">
        <f>IFERROR(INDEX(DePara!$A:$A,MATCH(TEXT(B2027,"0"),DePara!$D:$D,0)),"(sem categoria)")</f>
        <v/>
      </c>
      <c r="O2027" s="5">
        <f>IF(J2027="","",Parametros!$B$6-J2027)</f>
        <v/>
      </c>
      <c r="P2027" s="5">
        <f>IF(O2027="","",IF(O2027&gt;0,1,0))</f>
        <v/>
      </c>
    </row>
    <row r="2028">
      <c r="A2028" s="5" t="n">
        <v>2111000000</v>
      </c>
      <c r="B2028" s="5" t="inlineStr">
        <is>
          <t>100883</t>
        </is>
      </c>
      <c r="C2028" s="5" t="inlineStr">
        <is>
          <t>QUELMAR TRANSPORTES LTDA</t>
        </is>
      </c>
      <c r="D2028" s="5" t="inlineStr">
        <is>
          <t>RE</t>
        </is>
      </c>
      <c r="E2028" s="5" t="n">
        <v>5013967</v>
      </c>
      <c r="F2028" s="5" t="inlineStr">
        <is>
          <t>6275-2</t>
        </is>
      </c>
      <c r="G2028" s="5" t="inlineStr">
        <is>
          <t>BRL</t>
        </is>
      </c>
      <c r="H2028" s="9" t="n">
        <v>-3970</v>
      </c>
      <c r="I2028" s="16" t="n">
        <v>46226</v>
      </c>
      <c r="J2028" s="16" t="n">
        <v>46270</v>
      </c>
      <c r="K2028" s="5" t="inlineStr">
        <is>
          <t>Fatura - bruto QUELMAR TRANSPORTES LTDA 6275-2</t>
        </is>
      </c>
      <c r="L2028" s="5" t="inlineStr">
        <is>
          <t>08092026</t>
        </is>
      </c>
      <c r="M2028" s="5">
        <f>IF(YEAR(I2028)&lt;=2020,"Até 2020",TEXT(YEAR(I2028),"0"))</f>
        <v/>
      </c>
      <c r="N2028" s="5">
        <f>IFERROR(INDEX(DePara!$A:$A,MATCH(TEXT(B2028,"0"),DePara!$D:$D,0)),"(sem categoria)")</f>
        <v/>
      </c>
      <c r="O2028" s="5">
        <f>IF(J2028="","",Parametros!$B$6-J2028)</f>
        <v/>
      </c>
      <c r="P2028" s="5">
        <f>IF(O2028="","",IF(O2028&gt;0,1,0))</f>
        <v/>
      </c>
    </row>
    <row r="2029">
      <c r="A2029" s="5" t="n">
        <v>2111000000</v>
      </c>
      <c r="B2029" s="5" t="inlineStr">
        <is>
          <t>100883</t>
        </is>
      </c>
      <c r="C2029" s="5" t="inlineStr">
        <is>
          <t>QUELMAR TRANSPORTES LTDA</t>
        </is>
      </c>
      <c r="D2029" s="5" t="inlineStr">
        <is>
          <t>RE</t>
        </is>
      </c>
      <c r="E2029" s="5" t="n">
        <v>5013968</v>
      </c>
      <c r="F2029" s="5" t="inlineStr">
        <is>
          <t>6285-2</t>
        </is>
      </c>
      <c r="G2029" s="5" t="inlineStr">
        <is>
          <t>BRL</t>
        </is>
      </c>
      <c r="H2029" s="9" t="n">
        <v>-4880</v>
      </c>
      <c r="I2029" s="16" t="n">
        <v>46226</v>
      </c>
      <c r="J2029" s="16" t="n">
        <v>46270</v>
      </c>
      <c r="K2029" s="5" t="inlineStr">
        <is>
          <t>Fatura - bruto QUELMAR TRANSPORTES LTDA 6285-2</t>
        </is>
      </c>
      <c r="L2029" s="5" t="inlineStr">
        <is>
          <t>08092026</t>
        </is>
      </c>
      <c r="M2029" s="5">
        <f>IF(YEAR(I2029)&lt;=2020,"Até 2020",TEXT(YEAR(I2029),"0"))</f>
        <v/>
      </c>
      <c r="N2029" s="5">
        <f>IFERROR(INDEX(DePara!$A:$A,MATCH(TEXT(B2029,"0"),DePara!$D:$D,0)),"(sem categoria)")</f>
        <v/>
      </c>
      <c r="O2029" s="5">
        <f>IF(J2029="","",Parametros!$B$6-J2029)</f>
        <v/>
      </c>
      <c r="P2029" s="5">
        <f>IF(O2029="","",IF(O2029&gt;0,1,0))</f>
        <v/>
      </c>
    </row>
    <row r="2030">
      <c r="A2030" s="5" t="n">
        <v>2111000000</v>
      </c>
      <c r="B2030" s="5" t="inlineStr">
        <is>
          <t>100883</t>
        </is>
      </c>
      <c r="C2030" s="5" t="inlineStr">
        <is>
          <t>QUELMAR TRANSPORTES LTDA</t>
        </is>
      </c>
      <c r="D2030" s="5" t="inlineStr">
        <is>
          <t>RE</t>
        </is>
      </c>
      <c r="E2030" s="5" t="n">
        <v>5013979</v>
      </c>
      <c r="F2030" s="5" t="inlineStr">
        <is>
          <t>108007-1</t>
        </is>
      </c>
      <c r="G2030" s="5" t="inlineStr">
        <is>
          <t>BRL</t>
        </is>
      </c>
      <c r="H2030" s="9" t="n">
        <v>-772</v>
      </c>
      <c r="I2030" s="16" t="n">
        <v>46220</v>
      </c>
      <c r="J2030" s="16" t="n">
        <v>46270</v>
      </c>
      <c r="K2030" s="5" t="inlineStr">
        <is>
          <t>Fatura - bruto QUELMAR TRANSPORTES LTDA 108007-1</t>
        </is>
      </c>
      <c r="L2030" s="5" t="inlineStr">
        <is>
          <t>08092026</t>
        </is>
      </c>
      <c r="M2030" s="5">
        <f>IF(YEAR(I2030)&lt;=2020,"Até 2020",TEXT(YEAR(I2030),"0"))</f>
        <v/>
      </c>
      <c r="N2030" s="5">
        <f>IFERROR(INDEX(DePara!$A:$A,MATCH(TEXT(B2030,"0"),DePara!$D:$D,0)),"(sem categoria)")</f>
        <v/>
      </c>
      <c r="O2030" s="5">
        <f>IF(J2030="","",Parametros!$B$6-J2030)</f>
        <v/>
      </c>
      <c r="P2030" s="5">
        <f>IF(O2030="","",IF(O2030&gt;0,1,0))</f>
        <v/>
      </c>
    </row>
    <row r="2031">
      <c r="A2031" s="5" t="n">
        <v>2111000000</v>
      </c>
      <c r="B2031" s="5" t="inlineStr">
        <is>
          <t>100883</t>
        </is>
      </c>
      <c r="C2031" s="5" t="inlineStr">
        <is>
          <t>QUELMAR TRANSPORTES LTDA</t>
        </is>
      </c>
      <c r="D2031" s="5" t="inlineStr">
        <is>
          <t>RE</t>
        </is>
      </c>
      <c r="E2031" s="5" t="n">
        <v>5013980</v>
      </c>
      <c r="F2031" s="5" t="inlineStr">
        <is>
          <t>108008-1</t>
        </is>
      </c>
      <c r="G2031" s="5" t="inlineStr">
        <is>
          <t>BRL</t>
        </is>
      </c>
      <c r="H2031" s="9" t="n">
        <v>-2624.52</v>
      </c>
      <c r="I2031" s="16" t="n">
        <v>46220</v>
      </c>
      <c r="J2031" s="16" t="n">
        <v>46270</v>
      </c>
      <c r="K2031" s="5" t="inlineStr">
        <is>
          <t>Fatura - bruto QUELMAR TRANSPORTES LTDA 108008-1</t>
        </is>
      </c>
      <c r="L2031" s="5" t="inlineStr">
        <is>
          <t>08092026</t>
        </is>
      </c>
      <c r="M2031" s="5">
        <f>IF(YEAR(I2031)&lt;=2020,"Até 2020",TEXT(YEAR(I2031),"0"))</f>
        <v/>
      </c>
      <c r="N2031" s="5">
        <f>IFERROR(INDEX(DePara!$A:$A,MATCH(TEXT(B2031,"0"),DePara!$D:$D,0)),"(sem categoria)")</f>
        <v/>
      </c>
      <c r="O2031" s="5">
        <f>IF(J2031="","",Parametros!$B$6-J2031)</f>
        <v/>
      </c>
      <c r="P2031" s="5">
        <f>IF(O2031="","",IF(O2031&gt;0,1,0))</f>
        <v/>
      </c>
    </row>
    <row r="2032">
      <c r="A2032" s="5" t="n">
        <v>2111000000</v>
      </c>
      <c r="B2032" s="5" t="inlineStr">
        <is>
          <t>100883</t>
        </is>
      </c>
      <c r="C2032" s="5" t="inlineStr">
        <is>
          <t>QUELMAR TRANSPORTES LTDA</t>
        </is>
      </c>
      <c r="D2032" s="5" t="inlineStr">
        <is>
          <t>RE</t>
        </is>
      </c>
      <c r="E2032" s="5" t="n">
        <v>5013981</v>
      </c>
      <c r="F2032" s="5" t="inlineStr">
        <is>
          <t>108023-1</t>
        </is>
      </c>
      <c r="G2032" s="5" t="inlineStr">
        <is>
          <t>BRL</t>
        </is>
      </c>
      <c r="H2032" s="9" t="n">
        <v>-1590</v>
      </c>
      <c r="I2032" s="16" t="n">
        <v>46220</v>
      </c>
      <c r="J2032" s="16" t="n">
        <v>46270</v>
      </c>
      <c r="K2032" s="5" t="inlineStr">
        <is>
          <t>Fatura - bruto QUELMAR TRANSPORTES LTDA 108023-1</t>
        </is>
      </c>
      <c r="L2032" s="5" t="inlineStr">
        <is>
          <t>08092026</t>
        </is>
      </c>
      <c r="M2032" s="5">
        <f>IF(YEAR(I2032)&lt;=2020,"Até 2020",TEXT(YEAR(I2032),"0"))</f>
        <v/>
      </c>
      <c r="N2032" s="5">
        <f>IFERROR(INDEX(DePara!$A:$A,MATCH(TEXT(B2032,"0"),DePara!$D:$D,0)),"(sem categoria)")</f>
        <v/>
      </c>
      <c r="O2032" s="5">
        <f>IF(J2032="","",Parametros!$B$6-J2032)</f>
        <v/>
      </c>
      <c r="P2032" s="5">
        <f>IF(O2032="","",IF(O2032&gt;0,1,0))</f>
        <v/>
      </c>
    </row>
    <row r="2033">
      <c r="A2033" s="5" t="n">
        <v>2111000000</v>
      </c>
      <c r="B2033" s="5" t="inlineStr">
        <is>
          <t>100883</t>
        </is>
      </c>
      <c r="C2033" s="5" t="inlineStr">
        <is>
          <t>QUELMAR TRANSPORTES LTDA</t>
        </is>
      </c>
      <c r="D2033" s="5" t="inlineStr">
        <is>
          <t>RE</t>
        </is>
      </c>
      <c r="E2033" s="5" t="n">
        <v>5013982</v>
      </c>
      <c r="F2033" s="5" t="inlineStr">
        <is>
          <t>108009-1</t>
        </is>
      </c>
      <c r="G2033" s="5" t="inlineStr">
        <is>
          <t>BRL</t>
        </is>
      </c>
      <c r="H2033" s="9" t="n">
        <v>-4085.47</v>
      </c>
      <c r="I2033" s="16" t="n">
        <v>46220</v>
      </c>
      <c r="J2033" s="16" t="n">
        <v>46270</v>
      </c>
      <c r="K2033" s="5" t="inlineStr">
        <is>
          <t>Fatura - bruto QUELMAR TRANSPORTES LTDA 108009-1</t>
        </is>
      </c>
      <c r="L2033" s="5" t="inlineStr">
        <is>
          <t>08092026</t>
        </is>
      </c>
      <c r="M2033" s="5">
        <f>IF(YEAR(I2033)&lt;=2020,"Até 2020",TEXT(YEAR(I2033),"0"))</f>
        <v/>
      </c>
      <c r="N2033" s="5">
        <f>IFERROR(INDEX(DePara!$A:$A,MATCH(TEXT(B2033,"0"),DePara!$D:$D,0)),"(sem categoria)")</f>
        <v/>
      </c>
      <c r="O2033" s="5">
        <f>IF(J2033="","",Parametros!$B$6-J2033)</f>
        <v/>
      </c>
      <c r="P2033" s="5">
        <f>IF(O2033="","",IF(O2033&gt;0,1,0))</f>
        <v/>
      </c>
    </row>
    <row r="2034">
      <c r="A2034" s="5" t="n">
        <v>2111000000</v>
      </c>
      <c r="B2034" s="5" t="inlineStr">
        <is>
          <t>100883</t>
        </is>
      </c>
      <c r="C2034" s="5" t="inlineStr">
        <is>
          <t>QUELMAR TRANSPORTES LTDA</t>
        </is>
      </c>
      <c r="D2034" s="5" t="inlineStr">
        <is>
          <t>RE</t>
        </is>
      </c>
      <c r="E2034" s="5" t="n">
        <v>5013983</v>
      </c>
      <c r="F2034" s="5" t="inlineStr">
        <is>
          <t>108010-1</t>
        </is>
      </c>
      <c r="G2034" s="5" t="inlineStr">
        <is>
          <t>BRL</t>
        </is>
      </c>
      <c r="H2034" s="9" t="n">
        <v>-413.05</v>
      </c>
      <c r="I2034" s="16" t="n">
        <v>46220</v>
      </c>
      <c r="J2034" s="16" t="n">
        <v>46270</v>
      </c>
      <c r="K2034" s="5" t="inlineStr">
        <is>
          <t>Fatura - bruto QUELMAR TRANSPORTES LTDA 108010-1</t>
        </is>
      </c>
      <c r="L2034" s="5" t="inlineStr">
        <is>
          <t>08092026</t>
        </is>
      </c>
      <c r="M2034" s="5">
        <f>IF(YEAR(I2034)&lt;=2020,"Até 2020",TEXT(YEAR(I2034),"0"))</f>
        <v/>
      </c>
      <c r="N2034" s="5">
        <f>IFERROR(INDEX(DePara!$A:$A,MATCH(TEXT(B2034,"0"),DePara!$D:$D,0)),"(sem categoria)")</f>
        <v/>
      </c>
      <c r="O2034" s="5">
        <f>IF(J2034="","",Parametros!$B$6-J2034)</f>
        <v/>
      </c>
      <c r="P2034" s="5">
        <f>IF(O2034="","",IF(O2034&gt;0,1,0))</f>
        <v/>
      </c>
    </row>
    <row r="2035">
      <c r="A2035" s="5" t="n">
        <v>2111000000</v>
      </c>
      <c r="B2035" s="5" t="inlineStr">
        <is>
          <t>100883</t>
        </is>
      </c>
      <c r="C2035" s="5" t="inlineStr">
        <is>
          <t>QUELMAR TRANSPORTES LTDA</t>
        </is>
      </c>
      <c r="D2035" s="5" t="inlineStr">
        <is>
          <t>RE</t>
        </is>
      </c>
      <c r="E2035" s="5" t="n">
        <v>5013984</v>
      </c>
      <c r="F2035" s="5" t="inlineStr">
        <is>
          <t>108024-1</t>
        </is>
      </c>
      <c r="G2035" s="5" t="inlineStr">
        <is>
          <t>BRL</t>
        </is>
      </c>
      <c r="H2035" s="9" t="n">
        <v>-12.91</v>
      </c>
      <c r="I2035" s="16" t="n">
        <v>46220</v>
      </c>
      <c r="J2035" s="16" t="n">
        <v>46270</v>
      </c>
      <c r="K2035" s="5" t="inlineStr">
        <is>
          <t>Fatura - bruto QUELMAR TRANSPORTES LTDA 108024-1</t>
        </is>
      </c>
      <c r="L2035" s="5" t="inlineStr">
        <is>
          <t>08092026</t>
        </is>
      </c>
      <c r="M2035" s="5">
        <f>IF(YEAR(I2035)&lt;=2020,"Até 2020",TEXT(YEAR(I2035),"0"))</f>
        <v/>
      </c>
      <c r="N2035" s="5">
        <f>IFERROR(INDEX(DePara!$A:$A,MATCH(TEXT(B2035,"0"),DePara!$D:$D,0)),"(sem categoria)")</f>
        <v/>
      </c>
      <c r="O2035" s="5">
        <f>IF(J2035="","",Parametros!$B$6-J2035)</f>
        <v/>
      </c>
      <c r="P2035" s="5">
        <f>IF(O2035="","",IF(O2035&gt;0,1,0))</f>
        <v/>
      </c>
    </row>
    <row r="2036">
      <c r="A2036" s="5" t="n">
        <v>2111000000</v>
      </c>
      <c r="B2036" s="5" t="inlineStr">
        <is>
          <t>100883</t>
        </is>
      </c>
      <c r="C2036" s="5" t="inlineStr">
        <is>
          <t>QUELMAR TRANSPORTES LTDA</t>
        </is>
      </c>
      <c r="D2036" s="5" t="inlineStr">
        <is>
          <t>RE</t>
        </is>
      </c>
      <c r="E2036" s="5" t="n">
        <v>5013985</v>
      </c>
      <c r="F2036" s="5" t="inlineStr">
        <is>
          <t>108025-1</t>
        </is>
      </c>
      <c r="G2036" s="5" t="inlineStr">
        <is>
          <t>BRL</t>
        </is>
      </c>
      <c r="H2036" s="9" t="n">
        <v>-1338.22</v>
      </c>
      <c r="I2036" s="16" t="n">
        <v>46220</v>
      </c>
      <c r="J2036" s="16" t="n">
        <v>46270</v>
      </c>
      <c r="K2036" s="5" t="inlineStr">
        <is>
          <t>Fatura - bruto QUELMAR TRANSPORTES LTDA 108025-1</t>
        </is>
      </c>
      <c r="L2036" s="5" t="inlineStr">
        <is>
          <t>08092026</t>
        </is>
      </c>
      <c r="M2036" s="5">
        <f>IF(YEAR(I2036)&lt;=2020,"Até 2020",TEXT(YEAR(I2036),"0"))</f>
        <v/>
      </c>
      <c r="N2036" s="5">
        <f>IFERROR(INDEX(DePara!$A:$A,MATCH(TEXT(B2036,"0"),DePara!$D:$D,0)),"(sem categoria)")</f>
        <v/>
      </c>
      <c r="O2036" s="5">
        <f>IF(J2036="","",Parametros!$B$6-J2036)</f>
        <v/>
      </c>
      <c r="P2036" s="5">
        <f>IF(O2036="","",IF(O2036&gt;0,1,0))</f>
        <v/>
      </c>
    </row>
    <row r="2037">
      <c r="A2037" s="5" t="n">
        <v>2111000000</v>
      </c>
      <c r="B2037" s="5" t="inlineStr">
        <is>
          <t>100883</t>
        </is>
      </c>
      <c r="C2037" s="5" t="inlineStr">
        <is>
          <t>QUELMAR TRANSPORTES LTDA</t>
        </is>
      </c>
      <c r="D2037" s="5" t="inlineStr">
        <is>
          <t>RE</t>
        </is>
      </c>
      <c r="E2037" s="5" t="n">
        <v>5013986</v>
      </c>
      <c r="F2037" s="5" t="inlineStr">
        <is>
          <t>108026-1</t>
        </is>
      </c>
      <c r="G2037" s="5" t="inlineStr">
        <is>
          <t>BRL</t>
        </is>
      </c>
      <c r="H2037" s="9" t="n">
        <v>-1848.87</v>
      </c>
      <c r="I2037" s="16" t="n">
        <v>46220</v>
      </c>
      <c r="J2037" s="16" t="n">
        <v>46270</v>
      </c>
      <c r="K2037" s="5" t="inlineStr">
        <is>
          <t>Fatura - bruto QUELMAR TRANSPORTES LTDA 108026-1</t>
        </is>
      </c>
      <c r="L2037" s="5" t="inlineStr">
        <is>
          <t>08092026</t>
        </is>
      </c>
      <c r="M2037" s="5">
        <f>IF(YEAR(I2037)&lt;=2020,"Até 2020",TEXT(YEAR(I2037),"0"))</f>
        <v/>
      </c>
      <c r="N2037" s="5">
        <f>IFERROR(INDEX(DePara!$A:$A,MATCH(TEXT(B2037,"0"),DePara!$D:$D,0)),"(sem categoria)")</f>
        <v/>
      </c>
      <c r="O2037" s="5">
        <f>IF(J2037="","",Parametros!$B$6-J2037)</f>
        <v/>
      </c>
      <c r="P2037" s="5">
        <f>IF(O2037="","",IF(O2037&gt;0,1,0))</f>
        <v/>
      </c>
    </row>
    <row r="2038">
      <c r="A2038" s="5" t="n">
        <v>2111000000</v>
      </c>
      <c r="B2038" s="5" t="inlineStr">
        <is>
          <t>100883</t>
        </is>
      </c>
      <c r="C2038" s="5" t="inlineStr">
        <is>
          <t>QUELMAR TRANSPORTES LTDA</t>
        </is>
      </c>
      <c r="D2038" s="5" t="inlineStr">
        <is>
          <t>RE</t>
        </is>
      </c>
      <c r="E2038" s="5" t="n">
        <v>5013987</v>
      </c>
      <c r="F2038" s="5" t="inlineStr">
        <is>
          <t>108037-1</t>
        </is>
      </c>
      <c r="G2038" s="5" t="inlineStr">
        <is>
          <t>BRL</t>
        </is>
      </c>
      <c r="H2038" s="9" t="n">
        <v>-3501.09</v>
      </c>
      <c r="I2038" s="16" t="n">
        <v>46220</v>
      </c>
      <c r="J2038" s="16" t="n">
        <v>46270</v>
      </c>
      <c r="K2038" s="5" t="inlineStr">
        <is>
          <t>Fatura - bruto QUELMAR TRANSPORTES LTDA 108037-1</t>
        </is>
      </c>
      <c r="L2038" s="5" t="inlineStr">
        <is>
          <t>08092026</t>
        </is>
      </c>
      <c r="M2038" s="5">
        <f>IF(YEAR(I2038)&lt;=2020,"Até 2020",TEXT(YEAR(I2038),"0"))</f>
        <v/>
      </c>
      <c r="N2038" s="5">
        <f>IFERROR(INDEX(DePara!$A:$A,MATCH(TEXT(B2038,"0"),DePara!$D:$D,0)),"(sem categoria)")</f>
        <v/>
      </c>
      <c r="O2038" s="5">
        <f>IF(J2038="","",Parametros!$B$6-J2038)</f>
        <v/>
      </c>
      <c r="P2038" s="5">
        <f>IF(O2038="","",IF(O2038&gt;0,1,0))</f>
        <v/>
      </c>
    </row>
    <row r="2039">
      <c r="A2039" s="5" t="n">
        <v>2111000000</v>
      </c>
      <c r="B2039" s="5" t="inlineStr">
        <is>
          <t>100883</t>
        </is>
      </c>
      <c r="C2039" s="5" t="inlineStr">
        <is>
          <t>QUELMAR TRANSPORTES LTDA</t>
        </is>
      </c>
      <c r="D2039" s="5" t="inlineStr">
        <is>
          <t>RE</t>
        </is>
      </c>
      <c r="E2039" s="5" t="n">
        <v>5013988</v>
      </c>
      <c r="F2039" s="5" t="inlineStr">
        <is>
          <t>108038-1</t>
        </is>
      </c>
      <c r="G2039" s="5" t="inlineStr">
        <is>
          <t>BRL</t>
        </is>
      </c>
      <c r="H2039" s="9" t="n">
        <v>-3967.91</v>
      </c>
      <c r="I2039" s="16" t="n">
        <v>46220</v>
      </c>
      <c r="J2039" s="16" t="n">
        <v>46270</v>
      </c>
      <c r="K2039" s="5" t="inlineStr">
        <is>
          <t>Fatura - bruto QUELMAR TRANSPORTES LTDA 108038-1</t>
        </is>
      </c>
      <c r="L2039" s="5" t="inlineStr">
        <is>
          <t>08092026</t>
        </is>
      </c>
      <c r="M2039" s="5">
        <f>IF(YEAR(I2039)&lt;=2020,"Até 2020",TEXT(YEAR(I2039),"0"))</f>
        <v/>
      </c>
      <c r="N2039" s="5">
        <f>IFERROR(INDEX(DePara!$A:$A,MATCH(TEXT(B2039,"0"),DePara!$D:$D,0)),"(sem categoria)")</f>
        <v/>
      </c>
      <c r="O2039" s="5">
        <f>IF(J2039="","",Parametros!$B$6-J2039)</f>
        <v/>
      </c>
      <c r="P2039" s="5">
        <f>IF(O2039="","",IF(O2039&gt;0,1,0))</f>
        <v/>
      </c>
    </row>
    <row r="2040">
      <c r="A2040" s="5" t="n">
        <v>2111000000</v>
      </c>
      <c r="B2040" s="5" t="inlineStr">
        <is>
          <t>101801</t>
        </is>
      </c>
      <c r="C2040" s="5" t="inlineStr">
        <is>
          <t>DARCY PACHECO SOLUCOES DE PESO LTDA 89396121000108</t>
        </is>
      </c>
      <c r="D2040" s="5" t="inlineStr">
        <is>
          <t>RE</t>
        </is>
      </c>
      <c r="E2040" s="5" t="n">
        <v>5013996</v>
      </c>
      <c r="F2040" s="5" t="inlineStr">
        <is>
          <t>8719</t>
        </is>
      </c>
      <c r="G2040" s="5" t="inlineStr">
        <is>
          <t>BRL</t>
        </is>
      </c>
      <c r="H2040" s="9" t="n">
        <v>-459174.51</v>
      </c>
      <c r="I2040" s="16" t="n">
        <v>46231</v>
      </c>
      <c r="J2040" s="16" t="n">
        <v>46300</v>
      </c>
      <c r="K2040" s="5" t="inlineStr">
        <is>
          <t>Fatura - bruto DARCY PACHECO SOLUCOES DE PESO LTDA</t>
        </is>
      </c>
      <c r="L2040" s="5" t="inlineStr">
        <is>
          <t>05102026</t>
        </is>
      </c>
      <c r="M2040" s="5">
        <f>IF(YEAR(I2040)&lt;=2020,"Até 2020",TEXT(YEAR(I2040),"0"))</f>
        <v/>
      </c>
      <c r="N2040" s="5">
        <f>IFERROR(INDEX(DePara!$A:$A,MATCH(TEXT(B2040,"0"),DePara!$D:$D,0)),"(sem categoria)")</f>
        <v/>
      </c>
      <c r="O2040" s="5">
        <f>IF(J2040="","",Parametros!$B$6-J2040)</f>
        <v/>
      </c>
      <c r="P2040" s="5">
        <f>IF(O2040="","",IF(O2040&gt;0,1,0))</f>
        <v/>
      </c>
    </row>
    <row r="2041">
      <c r="A2041" s="5" t="n">
        <v>2111000000</v>
      </c>
      <c r="B2041" s="5" t="inlineStr">
        <is>
          <t>100031</t>
        </is>
      </c>
      <c r="C2041" s="5" t="inlineStr">
        <is>
          <t>MEGAWIND INDUSTRIA E COMERCIO</t>
        </is>
      </c>
      <c r="D2041" s="5" t="inlineStr">
        <is>
          <t>RE</t>
        </is>
      </c>
      <c r="E2041" s="5" t="n">
        <v>5014007</v>
      </c>
      <c r="F2041" s="5" t="inlineStr">
        <is>
          <t>1429</t>
        </is>
      </c>
      <c r="G2041" s="5" t="inlineStr">
        <is>
          <t>BRL</t>
        </is>
      </c>
      <c r="H2041" s="9" t="n">
        <v>-105000</v>
      </c>
      <c r="I2041" s="16" t="n">
        <v>46232</v>
      </c>
      <c r="J2041" s="16" t="n">
        <v>46270</v>
      </c>
      <c r="K2041" s="5" t="inlineStr">
        <is>
          <t>Fatura - bruto MEGAWIND INDUSTRIA E COMERCIO 1429</t>
        </is>
      </c>
      <c r="L2041" s="5" t="inlineStr">
        <is>
          <t>08092026</t>
        </is>
      </c>
      <c r="M2041" s="5">
        <f>IF(YEAR(I2041)&lt;=2020,"Até 2020",TEXT(YEAR(I2041),"0"))</f>
        <v/>
      </c>
      <c r="N2041" s="5">
        <f>IFERROR(INDEX(DePara!$A:$A,MATCH(TEXT(B2041,"0"),DePara!$D:$D,0)),"(sem categoria)")</f>
        <v/>
      </c>
      <c r="O2041" s="5">
        <f>IF(J2041="","",Parametros!$B$6-J2041)</f>
        <v/>
      </c>
      <c r="P2041" s="5">
        <f>IF(O2041="","",IF(O2041&gt;0,1,0))</f>
        <v/>
      </c>
    </row>
    <row r="2042">
      <c r="A2042" s="5" t="n">
        <v>2111000000</v>
      </c>
      <c r="B2042" s="5" t="inlineStr">
        <is>
          <t>106471</t>
        </is>
      </c>
      <c r="C2042" s="5" t="inlineStr">
        <is>
          <t>P M C FERNANDES</t>
        </is>
      </c>
      <c r="D2042" s="5" t="inlineStr">
        <is>
          <t>RE</t>
        </is>
      </c>
      <c r="E2042" s="5" t="n">
        <v>5014019</v>
      </c>
      <c r="F2042" s="5" t="inlineStr">
        <is>
          <t>247</t>
        </is>
      </c>
      <c r="G2042" s="5" t="inlineStr">
        <is>
          <t>BRL</t>
        </is>
      </c>
      <c r="H2042" s="9" t="n">
        <v>-2450.25</v>
      </c>
      <c r="I2042" s="16" t="n">
        <v>46211</v>
      </c>
      <c r="J2042" s="16" t="n">
        <v>46270</v>
      </c>
      <c r="K2042" s="5" t="inlineStr">
        <is>
          <t>Fatura - bruto P M C FERNANDES 247</t>
        </is>
      </c>
      <c r="L2042" s="5" t="inlineStr">
        <is>
          <t>02092026</t>
        </is>
      </c>
      <c r="M2042" s="5">
        <f>IF(YEAR(I2042)&lt;=2020,"Até 2020",TEXT(YEAR(I2042),"0"))</f>
        <v/>
      </c>
      <c r="N2042" s="5">
        <f>IFERROR(INDEX(DePara!$A:$A,MATCH(TEXT(B2042,"0"),DePara!$D:$D,0)),"(sem categoria)")</f>
        <v/>
      </c>
      <c r="O2042" s="5">
        <f>IF(J2042="","",Parametros!$B$6-J2042)</f>
        <v/>
      </c>
      <c r="P2042" s="5">
        <f>IF(O2042="","",IF(O2042&gt;0,1,0))</f>
        <v/>
      </c>
    </row>
    <row r="2043">
      <c r="A2043" s="5" t="n">
        <v>2111000000</v>
      </c>
      <c r="B2043" s="5" t="inlineStr">
        <is>
          <t>102052</t>
        </is>
      </c>
      <c r="C2043" s="5" t="inlineStr">
        <is>
          <t>TOME EQUIPAMENTOS E TRANSPORTES LTD 44384832000124</t>
        </is>
      </c>
      <c r="D2043" s="5" t="inlineStr">
        <is>
          <t>RE</t>
        </is>
      </c>
      <c r="E2043" s="5" t="n">
        <v>5014021</v>
      </c>
      <c r="F2043" s="5" t="inlineStr">
        <is>
          <t>10208</t>
        </is>
      </c>
      <c r="G2043" s="5" t="inlineStr">
        <is>
          <t>BRL</t>
        </is>
      </c>
      <c r="H2043" s="9" t="n">
        <v>-36034.49</v>
      </c>
      <c r="I2043" s="16" t="n">
        <v>46195</v>
      </c>
      <c r="J2043" s="16" t="n">
        <v>46270</v>
      </c>
      <c r="K2043" s="5" t="inlineStr">
        <is>
          <t>Fatura - bruto TOME EQUIPAMENTOS E TRANSPORTES LTD</t>
        </is>
      </c>
      <c r="L2043" s="5" t="inlineStr">
        <is>
          <t>08092026</t>
        </is>
      </c>
      <c r="M2043" s="5">
        <f>IF(YEAR(I2043)&lt;=2020,"Até 2020",TEXT(YEAR(I2043),"0"))</f>
        <v/>
      </c>
      <c r="N2043" s="5">
        <f>IFERROR(INDEX(DePara!$A:$A,MATCH(TEXT(B2043,"0"),DePara!$D:$D,0)),"(sem categoria)")</f>
        <v/>
      </c>
      <c r="O2043" s="5">
        <f>IF(J2043="","",Parametros!$B$6-J2043)</f>
        <v/>
      </c>
      <c r="P2043" s="5">
        <f>IF(O2043="","",IF(O2043&gt;0,1,0))</f>
        <v/>
      </c>
    </row>
    <row r="2044">
      <c r="A2044" s="5" t="n">
        <v>2111000000</v>
      </c>
      <c r="B2044" s="5" t="inlineStr">
        <is>
          <t>103727</t>
        </is>
      </c>
      <c r="C2044" s="5" t="inlineStr">
        <is>
          <t>COMECIAL NGS LTDA</t>
        </is>
      </c>
      <c r="D2044" s="5" t="inlineStr">
        <is>
          <t>RE</t>
        </is>
      </c>
      <c r="E2044" s="5" t="n">
        <v>5014026</v>
      </c>
      <c r="F2044" s="5" t="inlineStr">
        <is>
          <t>000001150-2</t>
        </is>
      </c>
      <c r="G2044" s="5" t="inlineStr">
        <is>
          <t>BRL</t>
        </is>
      </c>
      <c r="H2044" s="9" t="n">
        <v>-3734.37</v>
      </c>
      <c r="I2044" s="16" t="n">
        <v>46226</v>
      </c>
      <c r="J2044" s="16" t="n">
        <v>46270</v>
      </c>
      <c r="K2044" s="5" t="inlineStr">
        <is>
          <t>Fatura - bruto COMECIAL NGS LTDA 000001150-2</t>
        </is>
      </c>
      <c r="L2044" s="5" t="inlineStr">
        <is>
          <t>02092026</t>
        </is>
      </c>
      <c r="M2044" s="5">
        <f>IF(YEAR(I2044)&lt;=2020,"Até 2020",TEXT(YEAR(I2044),"0"))</f>
        <v/>
      </c>
      <c r="N2044" s="5">
        <f>IFERROR(INDEX(DePara!$A:$A,MATCH(TEXT(B2044,"0"),DePara!$D:$D,0)),"(sem categoria)")</f>
        <v/>
      </c>
      <c r="O2044" s="5">
        <f>IF(J2044="","",Parametros!$B$6-J2044)</f>
        <v/>
      </c>
      <c r="P2044" s="5">
        <f>IF(O2044="","",IF(O2044&gt;0,1,0))</f>
        <v/>
      </c>
    </row>
    <row r="2045">
      <c r="A2045" s="5" t="n">
        <v>2111000000</v>
      </c>
      <c r="B2045" s="5" t="inlineStr">
        <is>
          <t>100883</t>
        </is>
      </c>
      <c r="C2045" s="5" t="inlineStr">
        <is>
          <t>QUELMAR TRANSPORTES LTDA</t>
        </is>
      </c>
      <c r="D2045" s="5" t="inlineStr">
        <is>
          <t>RE</t>
        </is>
      </c>
      <c r="E2045" s="5" t="n">
        <v>5014033</v>
      </c>
      <c r="F2045" s="5" t="inlineStr">
        <is>
          <t>6200-2</t>
        </is>
      </c>
      <c r="G2045" s="5" t="inlineStr">
        <is>
          <t>BRL</t>
        </is>
      </c>
      <c r="H2045" s="9" t="n">
        <v>-1980</v>
      </c>
      <c r="I2045" s="16" t="n">
        <v>46213</v>
      </c>
      <c r="J2045" s="16" t="n">
        <v>46270</v>
      </c>
      <c r="K2045" s="5" t="inlineStr">
        <is>
          <t>Fatura - bruto QUELMAR TRANSPORTES LTDA 6200-2</t>
        </is>
      </c>
      <c r="L2045" s="5" t="inlineStr">
        <is>
          <t>08092026</t>
        </is>
      </c>
      <c r="M2045" s="5">
        <f>IF(YEAR(I2045)&lt;=2020,"Até 2020",TEXT(YEAR(I2045),"0"))</f>
        <v/>
      </c>
      <c r="N2045" s="5">
        <f>IFERROR(INDEX(DePara!$A:$A,MATCH(TEXT(B2045,"0"),DePara!$D:$D,0)),"(sem categoria)")</f>
        <v/>
      </c>
      <c r="O2045" s="5">
        <f>IF(J2045="","",Parametros!$B$6-J2045)</f>
        <v/>
      </c>
      <c r="P2045" s="5">
        <f>IF(O2045="","",IF(O2045&gt;0,1,0))</f>
        <v/>
      </c>
    </row>
    <row r="2046">
      <c r="A2046" s="5" t="n">
        <v>2111000000</v>
      </c>
      <c r="B2046" s="5" t="inlineStr">
        <is>
          <t>100883</t>
        </is>
      </c>
      <c r="C2046" s="5" t="inlineStr">
        <is>
          <t>QUELMAR TRANSPORTES LTDA</t>
        </is>
      </c>
      <c r="D2046" s="5" t="inlineStr">
        <is>
          <t>RE</t>
        </is>
      </c>
      <c r="E2046" s="5" t="n">
        <v>5014034</v>
      </c>
      <c r="F2046" s="5" t="inlineStr">
        <is>
          <t>6201-2</t>
        </is>
      </c>
      <c r="G2046" s="5" t="inlineStr">
        <is>
          <t>BRL</t>
        </is>
      </c>
      <c r="H2046" s="9" t="n">
        <v>-5980</v>
      </c>
      <c r="I2046" s="16" t="n">
        <v>46213</v>
      </c>
      <c r="J2046" s="16" t="n">
        <v>46270</v>
      </c>
      <c r="K2046" s="5" t="inlineStr">
        <is>
          <t>Fatura - bruto QUELMAR TRANSPORTES LTDA 6201-2</t>
        </is>
      </c>
      <c r="L2046" s="5" t="inlineStr">
        <is>
          <t>08092026</t>
        </is>
      </c>
      <c r="M2046" s="5">
        <f>IF(YEAR(I2046)&lt;=2020,"Até 2020",TEXT(YEAR(I2046),"0"))</f>
        <v/>
      </c>
      <c r="N2046" s="5">
        <f>IFERROR(INDEX(DePara!$A:$A,MATCH(TEXT(B2046,"0"),DePara!$D:$D,0)),"(sem categoria)")</f>
        <v/>
      </c>
      <c r="O2046" s="5">
        <f>IF(J2046="","",Parametros!$B$6-J2046)</f>
        <v/>
      </c>
      <c r="P2046" s="5">
        <f>IF(O2046="","",IF(O2046&gt;0,1,0))</f>
        <v/>
      </c>
    </row>
    <row r="2047">
      <c r="A2047" s="5" t="n">
        <v>2111000000</v>
      </c>
      <c r="B2047" s="5" t="inlineStr">
        <is>
          <t>100883</t>
        </is>
      </c>
      <c r="C2047" s="5" t="inlineStr">
        <is>
          <t>QUELMAR TRANSPORTES LTDA</t>
        </is>
      </c>
      <c r="D2047" s="5" t="inlineStr">
        <is>
          <t>RE</t>
        </is>
      </c>
      <c r="E2047" s="5" t="n">
        <v>5014035</v>
      </c>
      <c r="F2047" s="5" t="inlineStr">
        <is>
          <t>6209-2</t>
        </is>
      </c>
      <c r="G2047" s="5" t="inlineStr">
        <is>
          <t>BRL</t>
        </is>
      </c>
      <c r="H2047" s="9" t="n">
        <v>-2790</v>
      </c>
      <c r="I2047" s="16" t="n">
        <v>46216</v>
      </c>
      <c r="J2047" s="16" t="n">
        <v>46270</v>
      </c>
      <c r="K2047" s="5" t="inlineStr">
        <is>
          <t>Fatura - bruto QUELMAR TRANSPORTES LTDA 6209-2</t>
        </is>
      </c>
      <c r="L2047" s="5" t="inlineStr">
        <is>
          <t>08092026</t>
        </is>
      </c>
      <c r="M2047" s="5">
        <f>IF(YEAR(I2047)&lt;=2020,"Até 2020",TEXT(YEAR(I2047),"0"))</f>
        <v/>
      </c>
      <c r="N2047" s="5">
        <f>IFERROR(INDEX(DePara!$A:$A,MATCH(TEXT(B2047,"0"),DePara!$D:$D,0)),"(sem categoria)")</f>
        <v/>
      </c>
      <c r="O2047" s="5">
        <f>IF(J2047="","",Parametros!$B$6-J2047)</f>
        <v/>
      </c>
      <c r="P2047" s="5">
        <f>IF(O2047="","",IF(O2047&gt;0,1,0))</f>
        <v/>
      </c>
    </row>
    <row r="2048">
      <c r="A2048" s="5" t="n">
        <v>2111000000</v>
      </c>
      <c r="B2048" s="5" t="inlineStr">
        <is>
          <t>100883</t>
        </is>
      </c>
      <c r="C2048" s="5" t="inlineStr">
        <is>
          <t>QUELMAR TRANSPORTES LTDA</t>
        </is>
      </c>
      <c r="D2048" s="5" t="inlineStr">
        <is>
          <t>RE</t>
        </is>
      </c>
      <c r="E2048" s="5" t="n">
        <v>5014036</v>
      </c>
      <c r="F2048" s="5" t="inlineStr">
        <is>
          <t>6204-2</t>
        </is>
      </c>
      <c r="G2048" s="5" t="inlineStr">
        <is>
          <t>BRL</t>
        </is>
      </c>
      <c r="H2048" s="9" t="n">
        <v>-7480</v>
      </c>
      <c r="I2048" s="16" t="n">
        <v>46213</v>
      </c>
      <c r="J2048" s="16" t="n">
        <v>46270</v>
      </c>
      <c r="K2048" s="5" t="inlineStr">
        <is>
          <t>Fatura - bruto QUELMAR TRANSPORTES LTDA 6204-2</t>
        </is>
      </c>
      <c r="L2048" s="5" t="inlineStr">
        <is>
          <t>08092026</t>
        </is>
      </c>
      <c r="M2048" s="5">
        <f>IF(YEAR(I2048)&lt;=2020,"Até 2020",TEXT(YEAR(I2048),"0"))</f>
        <v/>
      </c>
      <c r="N2048" s="5">
        <f>IFERROR(INDEX(DePara!$A:$A,MATCH(TEXT(B2048,"0"),DePara!$D:$D,0)),"(sem categoria)")</f>
        <v/>
      </c>
      <c r="O2048" s="5">
        <f>IF(J2048="","",Parametros!$B$6-J2048)</f>
        <v/>
      </c>
      <c r="P2048" s="5">
        <f>IF(O2048="","",IF(O2048&gt;0,1,0))</f>
        <v/>
      </c>
    </row>
    <row r="2049">
      <c r="A2049" s="5" t="n">
        <v>2111000000</v>
      </c>
      <c r="B2049" s="5" t="inlineStr">
        <is>
          <t>100883</t>
        </is>
      </c>
      <c r="C2049" s="5" t="inlineStr">
        <is>
          <t>QUELMAR TRANSPORTES LTDA</t>
        </is>
      </c>
      <c r="D2049" s="5" t="inlineStr">
        <is>
          <t>RE</t>
        </is>
      </c>
      <c r="E2049" s="5" t="n">
        <v>5014037</v>
      </c>
      <c r="F2049" s="5" t="inlineStr">
        <is>
          <t>6205-2</t>
        </is>
      </c>
      <c r="G2049" s="5" t="inlineStr">
        <is>
          <t>BRL</t>
        </is>
      </c>
      <c r="H2049" s="9" t="n">
        <v>-8492</v>
      </c>
      <c r="I2049" s="16" t="n">
        <v>46213</v>
      </c>
      <c r="J2049" s="16" t="n">
        <v>46270</v>
      </c>
      <c r="K2049" s="5" t="inlineStr">
        <is>
          <t>Fatura - bruto QUELMAR TRANSPORTES LTDA 6205-2</t>
        </is>
      </c>
      <c r="L2049" s="5" t="inlineStr">
        <is>
          <t>08092026</t>
        </is>
      </c>
      <c r="M2049" s="5">
        <f>IF(YEAR(I2049)&lt;=2020,"Até 2020",TEXT(YEAR(I2049),"0"))</f>
        <v/>
      </c>
      <c r="N2049" s="5">
        <f>IFERROR(INDEX(DePara!$A:$A,MATCH(TEXT(B2049,"0"),DePara!$D:$D,0)),"(sem categoria)")</f>
        <v/>
      </c>
      <c r="O2049" s="5">
        <f>IF(J2049="","",Parametros!$B$6-J2049)</f>
        <v/>
      </c>
      <c r="P2049" s="5">
        <f>IF(O2049="","",IF(O2049&gt;0,1,0))</f>
        <v/>
      </c>
    </row>
    <row r="2050">
      <c r="A2050" s="5" t="n">
        <v>2111000000</v>
      </c>
      <c r="B2050" s="5" t="inlineStr">
        <is>
          <t>100883</t>
        </is>
      </c>
      <c r="C2050" s="5" t="inlineStr">
        <is>
          <t>QUELMAR TRANSPORTES LTDA</t>
        </is>
      </c>
      <c r="D2050" s="5" t="inlineStr">
        <is>
          <t>RE</t>
        </is>
      </c>
      <c r="E2050" s="5" t="n">
        <v>5014038</v>
      </c>
      <c r="F2050" s="5" t="inlineStr">
        <is>
          <t>6181-2</t>
        </is>
      </c>
      <c r="G2050" s="5" t="inlineStr">
        <is>
          <t>BRL</t>
        </is>
      </c>
      <c r="H2050" s="9" t="n">
        <v>-1962</v>
      </c>
      <c r="I2050" s="16" t="n">
        <v>46209</v>
      </c>
      <c r="J2050" s="16" t="n">
        <v>46270</v>
      </c>
      <c r="K2050" s="5" t="inlineStr">
        <is>
          <t>Fatura - bruto QUELMAR TRANSPORTES LTDA 6181-2</t>
        </is>
      </c>
      <c r="L2050" s="5" t="inlineStr">
        <is>
          <t>08092026</t>
        </is>
      </c>
      <c r="M2050" s="5">
        <f>IF(YEAR(I2050)&lt;=2020,"Até 2020",TEXT(YEAR(I2050),"0"))</f>
        <v/>
      </c>
      <c r="N2050" s="5">
        <f>IFERROR(INDEX(DePara!$A:$A,MATCH(TEXT(B2050,"0"),DePara!$D:$D,0)),"(sem categoria)")</f>
        <v/>
      </c>
      <c r="O2050" s="5">
        <f>IF(J2050="","",Parametros!$B$6-J2050)</f>
        <v/>
      </c>
      <c r="P2050" s="5">
        <f>IF(O2050="","",IF(O2050&gt;0,1,0))</f>
        <v/>
      </c>
    </row>
    <row r="2051">
      <c r="A2051" s="5" t="n">
        <v>2111000000</v>
      </c>
      <c r="B2051" s="5" t="inlineStr">
        <is>
          <t>100883</t>
        </is>
      </c>
      <c r="C2051" s="5" t="inlineStr">
        <is>
          <t>QUELMAR TRANSPORTES LTDA</t>
        </is>
      </c>
      <c r="D2051" s="5" t="inlineStr">
        <is>
          <t>RE</t>
        </is>
      </c>
      <c r="E2051" s="5" t="n">
        <v>5014040</v>
      </c>
      <c r="F2051" s="5" t="inlineStr">
        <is>
          <t>6208-2</t>
        </is>
      </c>
      <c r="G2051" s="5" t="inlineStr">
        <is>
          <t>BRL</t>
        </is>
      </c>
      <c r="H2051" s="9" t="n">
        <v>-4740</v>
      </c>
      <c r="I2051" s="16" t="n">
        <v>46216</v>
      </c>
      <c r="J2051" s="16" t="n">
        <v>46270</v>
      </c>
      <c r="K2051" s="5" t="inlineStr">
        <is>
          <t>Fatura - bruto QUELMAR TRANSPORTES LTDA 6208-2</t>
        </is>
      </c>
      <c r="L2051" s="5" t="inlineStr">
        <is>
          <t>08092026</t>
        </is>
      </c>
      <c r="M2051" s="5">
        <f>IF(YEAR(I2051)&lt;=2020,"Até 2020",TEXT(YEAR(I2051),"0"))</f>
        <v/>
      </c>
      <c r="N2051" s="5">
        <f>IFERROR(INDEX(DePara!$A:$A,MATCH(TEXT(B2051,"0"),DePara!$D:$D,0)),"(sem categoria)")</f>
        <v/>
      </c>
      <c r="O2051" s="5">
        <f>IF(J2051="","",Parametros!$B$6-J2051)</f>
        <v/>
      </c>
      <c r="P2051" s="5">
        <f>IF(O2051="","",IF(O2051&gt;0,1,0))</f>
        <v/>
      </c>
    </row>
    <row r="2052">
      <c r="A2052" s="5" t="n">
        <v>2111000000</v>
      </c>
      <c r="B2052" s="5" t="inlineStr">
        <is>
          <t>101463</t>
        </is>
      </c>
      <c r="C2052" s="5" t="inlineStr">
        <is>
          <t>ZURICH MINAS BRASIL SEGUROS S A</t>
        </is>
      </c>
      <c r="D2052" s="5" t="inlineStr">
        <is>
          <t>RE</t>
        </is>
      </c>
      <c r="E2052" s="5" t="n">
        <v>5014044</v>
      </c>
      <c r="F2052" s="5" t="inlineStr">
        <is>
          <t>0372/26</t>
        </is>
      </c>
      <c r="G2052" s="5" t="inlineStr">
        <is>
          <t>BRL</t>
        </is>
      </c>
      <c r="H2052" s="9" t="n">
        <v>-496.02</v>
      </c>
      <c r="I2052" s="16" t="n">
        <v>46230</v>
      </c>
      <c r="J2052" s="16" t="n">
        <v>46262</v>
      </c>
      <c r="K2052" s="5" t="inlineStr">
        <is>
          <t>Invoice Payment. SP: 20620</t>
        </is>
      </c>
      <c r="L2052" s="5" t="inlineStr">
        <is>
          <t>0372/26</t>
        </is>
      </c>
      <c r="M2052" s="5">
        <f>IF(YEAR(I2052)&lt;=2020,"Até 2020",TEXT(YEAR(I2052),"0"))</f>
        <v/>
      </c>
      <c r="N2052" s="5">
        <f>IFERROR(INDEX(DePara!$A:$A,MATCH(TEXT(B2052,"0"),DePara!$D:$D,0)),"(sem categoria)")</f>
        <v/>
      </c>
      <c r="O2052" s="5">
        <f>IF(J2052="","",Parametros!$B$6-J2052)</f>
        <v/>
      </c>
      <c r="P2052" s="5">
        <f>IF(O2052="","",IF(O2052&gt;0,1,0))</f>
        <v/>
      </c>
    </row>
    <row r="2053">
      <c r="A2053" s="5" t="n">
        <v>2111000000</v>
      </c>
      <c r="B2053" s="5" t="inlineStr">
        <is>
          <t>101420</t>
        </is>
      </c>
      <c r="C2053" s="5" t="inlineStr">
        <is>
          <t>MEDEIROS GALVAO SOLUÇÕES LTDA</t>
        </is>
      </c>
      <c r="D2053" s="5" t="inlineStr">
        <is>
          <t>RE</t>
        </is>
      </c>
      <c r="E2053" s="5" t="n">
        <v>5014049</v>
      </c>
      <c r="F2053" s="5" t="inlineStr">
        <is>
          <t>000030092-2</t>
        </is>
      </c>
      <c r="G2053" s="5" t="inlineStr">
        <is>
          <t>BRL</t>
        </is>
      </c>
      <c r="H2053" s="9" t="n">
        <v>-2706.78</v>
      </c>
      <c r="I2053" s="16" t="n">
        <v>46227</v>
      </c>
      <c r="J2053" s="16" t="n">
        <v>46270</v>
      </c>
      <c r="K2053" s="5" t="inlineStr">
        <is>
          <t>Fatura - bruto MEDEIROS GALVAO SOLUÇÕES LTDA 00003</t>
        </is>
      </c>
      <c r="L2053" s="5" t="inlineStr">
        <is>
          <t>02092026</t>
        </is>
      </c>
      <c r="M2053" s="5">
        <f>IF(YEAR(I2053)&lt;=2020,"Até 2020",TEXT(YEAR(I2053),"0"))</f>
        <v/>
      </c>
      <c r="N2053" s="5">
        <f>IFERROR(INDEX(DePara!$A:$A,MATCH(TEXT(B2053,"0"),DePara!$D:$D,0)),"(sem categoria)")</f>
        <v/>
      </c>
      <c r="O2053" s="5">
        <f>IF(J2053="","",Parametros!$B$6-J2053)</f>
        <v/>
      </c>
      <c r="P2053" s="5">
        <f>IF(O2053="","",IF(O2053&gt;0,1,0))</f>
        <v/>
      </c>
    </row>
    <row r="2054">
      <c r="A2054" s="5" t="n">
        <v>2111000000</v>
      </c>
      <c r="B2054" s="5" t="inlineStr">
        <is>
          <t>100485</t>
        </is>
      </c>
      <c r="C2054" s="5" t="inlineStr">
        <is>
          <t>FUCHS LUBRIFICANTES DO BRASIL LTDA</t>
        </is>
      </c>
      <c r="D2054" s="5" t="inlineStr">
        <is>
          <t>RE</t>
        </is>
      </c>
      <c r="E2054" s="5" t="n">
        <v>5014051</v>
      </c>
      <c r="F2054" s="5" t="inlineStr">
        <is>
          <t>000103044-000</t>
        </is>
      </c>
      <c r="G2054" s="5" t="inlineStr">
        <is>
          <t>BRL</t>
        </is>
      </c>
      <c r="H2054" s="9" t="n">
        <v>-113350.16</v>
      </c>
      <c r="I2054" s="16" t="n">
        <v>46216</v>
      </c>
      <c r="J2054" s="16" t="n">
        <v>46270</v>
      </c>
      <c r="K2054" s="5" t="inlineStr">
        <is>
          <t>Fatura - bruto FUCHS LUBRIFICANTES DO BRASIL LTDA</t>
        </is>
      </c>
      <c r="L2054" s="5" t="inlineStr">
        <is>
          <t>02092026</t>
        </is>
      </c>
      <c r="M2054" s="5">
        <f>IF(YEAR(I2054)&lt;=2020,"Até 2020",TEXT(YEAR(I2054),"0"))</f>
        <v/>
      </c>
      <c r="N2054" s="5">
        <f>IFERROR(INDEX(DePara!$A:$A,MATCH(TEXT(B2054,"0"),DePara!$D:$D,0)),"(sem categoria)")</f>
        <v/>
      </c>
      <c r="O2054" s="5">
        <f>IF(J2054="","",Parametros!$B$6-J2054)</f>
        <v/>
      </c>
      <c r="P2054" s="5">
        <f>IF(O2054="","",IF(O2054&gt;0,1,0))</f>
        <v/>
      </c>
    </row>
    <row r="2055">
      <c r="A2055" s="5" t="n">
        <v>2111000000</v>
      </c>
      <c r="B2055" s="5" t="inlineStr">
        <is>
          <t>101463</t>
        </is>
      </c>
      <c r="C2055" s="5" t="inlineStr">
        <is>
          <t>ZURICH MINAS BRASIL SEGUROS S A</t>
        </is>
      </c>
      <c r="D2055" s="5" t="inlineStr">
        <is>
          <t>RE</t>
        </is>
      </c>
      <c r="E2055" s="5" t="n">
        <v>5014057</v>
      </c>
      <c r="F2055" s="5" t="inlineStr">
        <is>
          <t>0413/26</t>
        </is>
      </c>
      <c r="G2055" s="5" t="inlineStr">
        <is>
          <t>BRL</t>
        </is>
      </c>
      <c r="H2055" s="9" t="n">
        <v>-1485.54</v>
      </c>
      <c r="I2055" s="16" t="n">
        <v>46232</v>
      </c>
      <c r="J2055" s="16" t="n">
        <v>46262</v>
      </c>
      <c r="K2055" s="5" t="inlineStr">
        <is>
          <t>Invoice Payment. SP: 20798</t>
        </is>
      </c>
      <c r="L2055" s="5" t="inlineStr">
        <is>
          <t>0413/26</t>
        </is>
      </c>
      <c r="M2055" s="5">
        <f>IF(YEAR(I2055)&lt;=2020,"Até 2020",TEXT(YEAR(I2055),"0"))</f>
        <v/>
      </c>
      <c r="N2055" s="5">
        <f>IFERROR(INDEX(DePara!$A:$A,MATCH(TEXT(B2055,"0"),DePara!$D:$D,0)),"(sem categoria)")</f>
        <v/>
      </c>
      <c r="O2055" s="5">
        <f>IF(J2055="","",Parametros!$B$6-J2055)</f>
        <v/>
      </c>
      <c r="P2055" s="5">
        <f>IF(O2055="","",IF(O2055&gt;0,1,0))</f>
        <v/>
      </c>
    </row>
    <row r="2056">
      <c r="A2056" s="5" t="n">
        <v>2111000000</v>
      </c>
      <c r="B2056" s="5" t="inlineStr">
        <is>
          <t>101463</t>
        </is>
      </c>
      <c r="C2056" s="5" t="inlineStr">
        <is>
          <t>ZURICH MINAS BRASIL SEGUROS S A</t>
        </is>
      </c>
      <c r="D2056" s="5" t="inlineStr">
        <is>
          <t>RE</t>
        </is>
      </c>
      <c r="E2056" s="5" t="n">
        <v>5014058</v>
      </c>
      <c r="F2056" s="5" t="inlineStr">
        <is>
          <t>0423/26</t>
        </is>
      </c>
      <c r="G2056" s="5" t="inlineStr">
        <is>
          <t>BRL</t>
        </is>
      </c>
      <c r="H2056" s="9" t="n">
        <v>-124.93</v>
      </c>
      <c r="I2056" s="16" t="n">
        <v>46232</v>
      </c>
      <c r="J2056" s="16" t="n">
        <v>46262</v>
      </c>
      <c r="K2056" s="5" t="inlineStr">
        <is>
          <t>Invoice Payment. SP: 20799</t>
        </is>
      </c>
      <c r="L2056" s="5" t="inlineStr">
        <is>
          <t>0423/26</t>
        </is>
      </c>
      <c r="M2056" s="5">
        <f>IF(YEAR(I2056)&lt;=2020,"Até 2020",TEXT(YEAR(I2056),"0"))</f>
        <v/>
      </c>
      <c r="N2056" s="5">
        <f>IFERROR(INDEX(DePara!$A:$A,MATCH(TEXT(B2056,"0"),DePara!$D:$D,0)),"(sem categoria)")</f>
        <v/>
      </c>
      <c r="O2056" s="5">
        <f>IF(J2056="","",Parametros!$B$6-J2056)</f>
        <v/>
      </c>
      <c r="P2056" s="5">
        <f>IF(O2056="","",IF(O2056&gt;0,1,0))</f>
        <v/>
      </c>
    </row>
    <row r="2057">
      <c r="A2057" s="5" t="n">
        <v>2111000000</v>
      </c>
      <c r="B2057" s="5" t="inlineStr">
        <is>
          <t>100883</t>
        </is>
      </c>
      <c r="C2057" s="5" t="inlineStr">
        <is>
          <t>QUELMAR TRANSPORTES LTDA</t>
        </is>
      </c>
      <c r="D2057" s="5" t="inlineStr">
        <is>
          <t>RE</t>
        </is>
      </c>
      <c r="E2057" s="5" t="n">
        <v>5014062</v>
      </c>
      <c r="F2057" s="5" t="inlineStr">
        <is>
          <t>6247-2</t>
        </is>
      </c>
      <c r="G2057" s="5" t="inlineStr">
        <is>
          <t>BRL</t>
        </is>
      </c>
      <c r="H2057" s="9" t="n">
        <v>-1790</v>
      </c>
      <c r="I2057" s="16" t="n">
        <v>46223</v>
      </c>
      <c r="J2057" s="16" t="n">
        <v>46270</v>
      </c>
      <c r="K2057" s="5" t="inlineStr">
        <is>
          <t>Fatura - bruto QUELMAR TRANSPORTES LTDA 6247-2</t>
        </is>
      </c>
      <c r="L2057" s="5" t="inlineStr">
        <is>
          <t>08092026</t>
        </is>
      </c>
      <c r="M2057" s="5">
        <f>IF(YEAR(I2057)&lt;=2020,"Até 2020",TEXT(YEAR(I2057),"0"))</f>
        <v/>
      </c>
      <c r="N2057" s="5">
        <f>IFERROR(INDEX(DePara!$A:$A,MATCH(TEXT(B2057,"0"),DePara!$D:$D,0)),"(sem categoria)")</f>
        <v/>
      </c>
      <c r="O2057" s="5">
        <f>IF(J2057="","",Parametros!$B$6-J2057)</f>
        <v/>
      </c>
      <c r="P2057" s="5">
        <f>IF(O2057="","",IF(O2057&gt;0,1,0))</f>
        <v/>
      </c>
    </row>
    <row r="2058">
      <c r="A2058" s="5" t="n">
        <v>2111000000</v>
      </c>
      <c r="B2058" s="5" t="inlineStr">
        <is>
          <t>100883</t>
        </is>
      </c>
      <c r="C2058" s="5" t="inlineStr">
        <is>
          <t>QUELMAR TRANSPORTES LTDA</t>
        </is>
      </c>
      <c r="D2058" s="5" t="inlineStr">
        <is>
          <t>RE</t>
        </is>
      </c>
      <c r="E2058" s="5" t="n">
        <v>5014063</v>
      </c>
      <c r="F2058" s="5" t="inlineStr">
        <is>
          <t>108051-1</t>
        </is>
      </c>
      <c r="G2058" s="5" t="inlineStr">
        <is>
          <t>BRL</t>
        </is>
      </c>
      <c r="H2058" s="9" t="n">
        <v>-6360</v>
      </c>
      <c r="I2058" s="16" t="n">
        <v>46220</v>
      </c>
      <c r="J2058" s="16" t="n">
        <v>46270</v>
      </c>
      <c r="K2058" s="5" t="inlineStr">
        <is>
          <t>Fatura - bruto QUELMAR TRANSPORTES LTDA 108051-1</t>
        </is>
      </c>
      <c r="L2058" s="5" t="inlineStr">
        <is>
          <t>08092026</t>
        </is>
      </c>
      <c r="M2058" s="5">
        <f>IF(YEAR(I2058)&lt;=2020,"Até 2020",TEXT(YEAR(I2058),"0"))</f>
        <v/>
      </c>
      <c r="N2058" s="5">
        <f>IFERROR(INDEX(DePara!$A:$A,MATCH(TEXT(B2058,"0"),DePara!$D:$D,0)),"(sem categoria)")</f>
        <v/>
      </c>
      <c r="O2058" s="5">
        <f>IF(J2058="","",Parametros!$B$6-J2058)</f>
        <v/>
      </c>
      <c r="P2058" s="5">
        <f>IF(O2058="","",IF(O2058&gt;0,1,0))</f>
        <v/>
      </c>
    </row>
    <row r="2059">
      <c r="A2059" s="5" t="n">
        <v>2111000000</v>
      </c>
      <c r="B2059" s="5" t="inlineStr">
        <is>
          <t>106471</t>
        </is>
      </c>
      <c r="C2059" s="5" t="inlineStr">
        <is>
          <t>P M C FERNANDES</t>
        </is>
      </c>
      <c r="D2059" s="5" t="inlineStr">
        <is>
          <t>RE</t>
        </is>
      </c>
      <c r="E2059" s="5" t="n">
        <v>5014151</v>
      </c>
      <c r="F2059" s="5" t="inlineStr">
        <is>
          <t>256</t>
        </is>
      </c>
      <c r="G2059" s="5" t="inlineStr">
        <is>
          <t>BRL</t>
        </is>
      </c>
      <c r="H2059" s="9" t="n">
        <v>-2470</v>
      </c>
      <c r="I2059" s="16" t="n">
        <v>46235</v>
      </c>
      <c r="J2059" s="16" t="n">
        <v>46270</v>
      </c>
      <c r="K2059" s="5" t="inlineStr">
        <is>
          <t>Fatura - bruto P M C FERNANDES 256</t>
        </is>
      </c>
      <c r="L2059" s="5" t="inlineStr">
        <is>
          <t>02092026</t>
        </is>
      </c>
      <c r="M2059" s="5">
        <f>IF(YEAR(I2059)&lt;=2020,"Até 2020",TEXT(YEAR(I2059),"0"))</f>
        <v/>
      </c>
      <c r="N2059" s="5">
        <f>IFERROR(INDEX(DePara!$A:$A,MATCH(TEXT(B2059,"0"),DePara!$D:$D,0)),"(sem categoria)")</f>
        <v/>
      </c>
      <c r="O2059" s="5">
        <f>IF(J2059="","",Parametros!$B$6-J2059)</f>
        <v/>
      </c>
      <c r="P2059" s="5">
        <f>IF(O2059="","",IF(O2059&gt;0,1,0))</f>
        <v/>
      </c>
    </row>
    <row r="2060">
      <c r="A2060" s="5" t="n">
        <v>2111000000</v>
      </c>
      <c r="B2060" s="5" t="inlineStr">
        <is>
          <t>101463</t>
        </is>
      </c>
      <c r="C2060" s="5" t="inlineStr">
        <is>
          <t>ZURICH MINAS BRASIL SEGUROS S A</t>
        </is>
      </c>
      <c r="D2060" s="5" t="inlineStr">
        <is>
          <t>RE</t>
        </is>
      </c>
      <c r="E2060" s="5" t="n">
        <v>5014162</v>
      </c>
      <c r="F2060" s="5" t="inlineStr">
        <is>
          <t>0224/26</t>
        </is>
      </c>
      <c r="G2060" s="5" t="inlineStr">
        <is>
          <t>BRL</t>
        </is>
      </c>
      <c r="H2060" s="9" t="n">
        <v>-2.31</v>
      </c>
      <c r="I2060" s="16" t="n">
        <v>46237</v>
      </c>
      <c r="J2060" s="16" t="n">
        <v>46267</v>
      </c>
      <c r="K2060" s="5" t="inlineStr">
        <is>
          <t>Invoice Payment. SP: 20879</t>
        </is>
      </c>
      <c r="L2060" s="5" t="inlineStr">
        <is>
          <t>0224/26</t>
        </is>
      </c>
      <c r="M2060" s="5">
        <f>IF(YEAR(I2060)&lt;=2020,"Até 2020",TEXT(YEAR(I2060),"0"))</f>
        <v/>
      </c>
      <c r="N2060" s="5">
        <f>IFERROR(INDEX(DePara!$A:$A,MATCH(TEXT(B2060,"0"),DePara!$D:$D,0)),"(sem categoria)")</f>
        <v/>
      </c>
      <c r="O2060" s="5">
        <f>IF(J2060="","",Parametros!$B$6-J2060)</f>
        <v/>
      </c>
      <c r="P2060" s="5">
        <f>IF(O2060="","",IF(O2060&gt;0,1,0))</f>
        <v/>
      </c>
    </row>
    <row r="2061">
      <c r="A2061" s="5" t="n">
        <v>2111000000</v>
      </c>
      <c r="B2061" s="5" t="inlineStr">
        <is>
          <t>100994</t>
        </is>
      </c>
      <c r="C2061" s="5" t="inlineStr">
        <is>
          <t>P W TREINAMENTO E CAPACITACOES LTDA</t>
        </is>
      </c>
      <c r="D2061" s="5" t="inlineStr">
        <is>
          <t>RE</t>
        </is>
      </c>
      <c r="E2061" s="5" t="n">
        <v>5014167</v>
      </c>
      <c r="F2061" s="5" t="inlineStr">
        <is>
          <t>107</t>
        </is>
      </c>
      <c r="G2061" s="5" t="inlineStr">
        <is>
          <t>BRL</t>
        </is>
      </c>
      <c r="H2061" s="9" t="n">
        <v>-310000</v>
      </c>
      <c r="I2061" s="16" t="n">
        <v>46237</v>
      </c>
      <c r="J2061" s="16" t="n">
        <v>46270</v>
      </c>
      <c r="K2061" s="5" t="inlineStr">
        <is>
          <t>Fatura - bruto P W TREINAMENTO E CAPACITACOES LTDA</t>
        </is>
      </c>
      <c r="L2061" s="5" t="inlineStr">
        <is>
          <t>08092026</t>
        </is>
      </c>
      <c r="M2061" s="5">
        <f>IF(YEAR(I2061)&lt;=2020,"Até 2020",TEXT(YEAR(I2061),"0"))</f>
        <v/>
      </c>
      <c r="N2061" s="5">
        <f>IFERROR(INDEX(DePara!$A:$A,MATCH(TEXT(B2061,"0"),DePara!$D:$D,0)),"(sem categoria)")</f>
        <v/>
      </c>
      <c r="O2061" s="5">
        <f>IF(J2061="","",Parametros!$B$6-J2061)</f>
        <v/>
      </c>
      <c r="P2061" s="5">
        <f>IF(O2061="","",IF(O2061&gt;0,1,0))</f>
        <v/>
      </c>
    </row>
    <row r="2062">
      <c r="A2062" s="5" t="n">
        <v>2111000000</v>
      </c>
      <c r="B2062" s="5" t="inlineStr">
        <is>
          <t>100994</t>
        </is>
      </c>
      <c r="C2062" s="5" t="inlineStr">
        <is>
          <t>P W TREINAMENTO E CAPACITACOES LTDA</t>
        </is>
      </c>
      <c r="D2062" s="5" t="inlineStr">
        <is>
          <t>RE</t>
        </is>
      </c>
      <c r="E2062" s="5" t="n">
        <v>5014168</v>
      </c>
      <c r="F2062" s="5" t="inlineStr">
        <is>
          <t>127</t>
        </is>
      </c>
      <c r="G2062" s="5" t="inlineStr">
        <is>
          <t>BRL</t>
        </is>
      </c>
      <c r="H2062" s="9" t="n">
        <v>-25093</v>
      </c>
      <c r="I2062" s="16" t="n">
        <v>46237</v>
      </c>
      <c r="J2062" s="16" t="n">
        <v>46270</v>
      </c>
      <c r="K2062" s="5" t="inlineStr">
        <is>
          <t>Fatura - bruto P W TREINAMENTO E CAPACITACOES LTDA</t>
        </is>
      </c>
      <c r="L2062" s="5" t="inlineStr">
        <is>
          <t>08092026</t>
        </is>
      </c>
      <c r="M2062" s="5">
        <f>IF(YEAR(I2062)&lt;=2020,"Até 2020",TEXT(YEAR(I2062),"0"))</f>
        <v/>
      </c>
      <c r="N2062" s="5">
        <f>IFERROR(INDEX(DePara!$A:$A,MATCH(TEXT(B2062,"0"),DePara!$D:$D,0)),"(sem categoria)")</f>
        <v/>
      </c>
      <c r="O2062" s="5">
        <f>IF(J2062="","",Parametros!$B$6-J2062)</f>
        <v/>
      </c>
      <c r="P2062" s="5">
        <f>IF(O2062="","",IF(O2062&gt;0,1,0))</f>
        <v/>
      </c>
    </row>
    <row r="2063">
      <c r="A2063" s="5" t="n">
        <v>2111000000</v>
      </c>
      <c r="B2063" s="5" t="inlineStr">
        <is>
          <t>100994</t>
        </is>
      </c>
      <c r="C2063" s="5" t="inlineStr">
        <is>
          <t>P W TREINAMENTO E CAPACITACOES LTDA</t>
        </is>
      </c>
      <c r="D2063" s="5" t="inlineStr">
        <is>
          <t>RE</t>
        </is>
      </c>
      <c r="E2063" s="5" t="n">
        <v>5014169</v>
      </c>
      <c r="F2063" s="5" t="inlineStr">
        <is>
          <t>129</t>
        </is>
      </c>
      <c r="G2063" s="5" t="inlineStr">
        <is>
          <t>BRL</t>
        </is>
      </c>
      <c r="H2063" s="9" t="n">
        <v>-3500</v>
      </c>
      <c r="I2063" s="16" t="n">
        <v>46237</v>
      </c>
      <c r="J2063" s="16" t="n">
        <v>46270</v>
      </c>
      <c r="K2063" s="5" t="inlineStr">
        <is>
          <t>Fatura - bruto P W TREINAMENTO E CAPACITACOES LTDA</t>
        </is>
      </c>
      <c r="L2063" s="5" t="inlineStr">
        <is>
          <t>08092026</t>
        </is>
      </c>
      <c r="M2063" s="5">
        <f>IF(YEAR(I2063)&lt;=2020,"Até 2020",TEXT(YEAR(I2063),"0"))</f>
        <v/>
      </c>
      <c r="N2063" s="5">
        <f>IFERROR(INDEX(DePara!$A:$A,MATCH(TEXT(B2063,"0"),DePara!$D:$D,0)),"(sem categoria)")</f>
        <v/>
      </c>
      <c r="O2063" s="5">
        <f>IF(J2063="","",Parametros!$B$6-J2063)</f>
        <v/>
      </c>
      <c r="P2063" s="5">
        <f>IF(O2063="","",IF(O2063&gt;0,1,0))</f>
        <v/>
      </c>
    </row>
    <row r="2064">
      <c r="A2064" s="5" t="n">
        <v>2111000000</v>
      </c>
      <c r="B2064" s="5" t="inlineStr">
        <is>
          <t>101005</t>
        </is>
      </c>
      <c r="C2064" s="5" t="inlineStr">
        <is>
          <t>SOLO PROJETOS LTDA</t>
        </is>
      </c>
      <c r="D2064" s="5" t="inlineStr">
        <is>
          <t>RE</t>
        </is>
      </c>
      <c r="E2064" s="5" t="n">
        <v>5014178</v>
      </c>
      <c r="F2064" s="5" t="inlineStr">
        <is>
          <t>16</t>
        </is>
      </c>
      <c r="G2064" s="5" t="inlineStr">
        <is>
          <t>BRL</t>
        </is>
      </c>
      <c r="H2064" s="9" t="n">
        <v>-38500</v>
      </c>
      <c r="I2064" s="16" t="n">
        <v>46234</v>
      </c>
      <c r="J2064" s="16" t="n">
        <v>46269</v>
      </c>
      <c r="K2064" s="5" t="inlineStr">
        <is>
          <t>Fatura - bruto SOLO PROJETOS LTDA 16</t>
        </is>
      </c>
      <c r="L2064" s="5" t="inlineStr">
        <is>
          <t>02092026</t>
        </is>
      </c>
      <c r="M2064" s="5">
        <f>IF(YEAR(I2064)&lt;=2020,"Até 2020",TEXT(YEAR(I2064),"0"))</f>
        <v/>
      </c>
      <c r="N2064" s="5">
        <f>IFERROR(INDEX(DePara!$A:$A,MATCH(TEXT(B2064,"0"),DePara!$D:$D,0)),"(sem categoria)")</f>
        <v/>
      </c>
      <c r="O2064" s="5">
        <f>IF(J2064="","",Parametros!$B$6-J2064)</f>
        <v/>
      </c>
      <c r="P2064" s="5">
        <f>IF(O2064="","",IF(O2064&gt;0,1,0))</f>
        <v/>
      </c>
    </row>
    <row r="2065">
      <c r="A2065" s="5" t="n">
        <v>2111000000</v>
      </c>
      <c r="B2065" s="5" t="inlineStr">
        <is>
          <t>101005</t>
        </is>
      </c>
      <c r="C2065" s="5" t="inlineStr">
        <is>
          <t>SOLO PROJETOS LTDA</t>
        </is>
      </c>
      <c r="D2065" s="5" t="inlineStr">
        <is>
          <t>RE</t>
        </is>
      </c>
      <c r="E2065" s="5" t="n">
        <v>5014179</v>
      </c>
      <c r="F2065" s="5" t="inlineStr">
        <is>
          <t>17</t>
        </is>
      </c>
      <c r="G2065" s="5" t="inlineStr">
        <is>
          <t>BRL</t>
        </is>
      </c>
      <c r="H2065" s="9" t="n">
        <v>-66770</v>
      </c>
      <c r="I2065" s="16" t="n">
        <v>46234</v>
      </c>
      <c r="J2065" s="16" t="n">
        <v>46269</v>
      </c>
      <c r="K2065" s="5" t="inlineStr">
        <is>
          <t>Fatura - bruto SOLO PROJETOS LTDA 17</t>
        </is>
      </c>
      <c r="L2065" s="5" t="inlineStr">
        <is>
          <t>02092026</t>
        </is>
      </c>
      <c r="M2065" s="5">
        <f>IF(YEAR(I2065)&lt;=2020,"Até 2020",TEXT(YEAR(I2065),"0"))</f>
        <v/>
      </c>
      <c r="N2065" s="5">
        <f>IFERROR(INDEX(DePara!$A:$A,MATCH(TEXT(B2065,"0"),DePara!$D:$D,0)),"(sem categoria)")</f>
        <v/>
      </c>
      <c r="O2065" s="5">
        <f>IF(J2065="","",Parametros!$B$6-J2065)</f>
        <v/>
      </c>
      <c r="P2065" s="5">
        <f>IF(O2065="","",IF(O2065&gt;0,1,0))</f>
        <v/>
      </c>
    </row>
    <row r="2066">
      <c r="A2066" s="5" t="n">
        <v>2111000000</v>
      </c>
      <c r="B2066" s="5" t="inlineStr">
        <is>
          <t>102017</t>
        </is>
      </c>
      <c r="C2066" s="5" t="inlineStr">
        <is>
          <t>GLOBO COMERCIO DE MAQUINAS E FERRAM</t>
        </is>
      </c>
      <c r="D2066" s="5" t="inlineStr">
        <is>
          <t>RE</t>
        </is>
      </c>
      <c r="E2066" s="5" t="n">
        <v>5014207</v>
      </c>
      <c r="F2066" s="5" t="inlineStr">
        <is>
          <t>22376-1</t>
        </is>
      </c>
      <c r="G2066" s="5" t="inlineStr">
        <is>
          <t>BRL</t>
        </is>
      </c>
      <c r="H2066" s="9" t="n">
        <v>-1427</v>
      </c>
      <c r="I2066" s="16" t="n">
        <v>46217</v>
      </c>
      <c r="J2066" s="16" t="n">
        <v>46274</v>
      </c>
      <c r="K2066" s="5" t="inlineStr">
        <is>
          <t>Fatura - bruto GLOBO COMERCIO DE MAQUINAS E FERRAM</t>
        </is>
      </c>
      <c r="L2066" s="5" t="inlineStr">
        <is>
          <t>09092026</t>
        </is>
      </c>
      <c r="M2066" s="5">
        <f>IF(YEAR(I2066)&lt;=2020,"Até 2020",TEXT(YEAR(I2066),"0"))</f>
        <v/>
      </c>
      <c r="N2066" s="5">
        <f>IFERROR(INDEX(DePara!$A:$A,MATCH(TEXT(B2066,"0"),DePara!$D:$D,0)),"(sem categoria)")</f>
        <v/>
      </c>
      <c r="O2066" s="5">
        <f>IF(J2066="","",Parametros!$B$6-J2066)</f>
        <v/>
      </c>
      <c r="P2066" s="5">
        <f>IF(O2066="","",IF(O2066&gt;0,1,0))</f>
        <v/>
      </c>
    </row>
    <row r="2067">
      <c r="A2067" s="5" t="n">
        <v>2111000000</v>
      </c>
      <c r="B2067" s="5" t="inlineStr">
        <is>
          <t>102017</t>
        </is>
      </c>
      <c r="C2067" s="5" t="inlineStr">
        <is>
          <t>GLOBO COMERCIO DE MAQUINAS E FERRAM</t>
        </is>
      </c>
      <c r="D2067" s="5" t="inlineStr">
        <is>
          <t>RE</t>
        </is>
      </c>
      <c r="E2067" s="5" t="n">
        <v>5014208</v>
      </c>
      <c r="F2067" s="5" t="inlineStr">
        <is>
          <t>22376-1</t>
        </is>
      </c>
      <c r="G2067" s="5" t="inlineStr">
        <is>
          <t>BRL</t>
        </is>
      </c>
      <c r="H2067" s="9" t="n">
        <v>1427</v>
      </c>
      <c r="I2067" s="16" t="n">
        <v>46237</v>
      </c>
      <c r="J2067" s="16" t="n">
        <v>46274</v>
      </c>
      <c r="K2067" s="5" t="inlineStr">
        <is>
          <t>Fatura - bruto GLOBO COMERCIO DE MAQUINAS E FERRAM</t>
        </is>
      </c>
      <c r="L2067" s="5" t="inlineStr">
        <is>
          <t>09092026</t>
        </is>
      </c>
      <c r="M2067" s="5">
        <f>IF(YEAR(I2067)&lt;=2020,"Até 2020",TEXT(YEAR(I2067),"0"))</f>
        <v/>
      </c>
      <c r="N2067" s="5">
        <f>IFERROR(INDEX(DePara!$A:$A,MATCH(TEXT(B2067,"0"),DePara!$D:$D,0)),"(sem categoria)")</f>
        <v/>
      </c>
      <c r="O2067" s="5">
        <f>IF(J2067="","",Parametros!$B$6-J2067)</f>
        <v/>
      </c>
      <c r="P2067" s="5">
        <f>IF(O2067="","",IF(O2067&gt;0,1,0))</f>
        <v/>
      </c>
    </row>
    <row r="2068">
      <c r="A2068" s="5" t="n">
        <v>2111000000</v>
      </c>
      <c r="B2068" s="5" t="inlineStr">
        <is>
          <t>100031</t>
        </is>
      </c>
      <c r="C2068" s="5" t="inlineStr">
        <is>
          <t>MEGAWIND INDUSTRIA E COMERCIO</t>
        </is>
      </c>
      <c r="D2068" s="5" t="inlineStr">
        <is>
          <t>RE</t>
        </is>
      </c>
      <c r="E2068" s="5" t="n">
        <v>5014210</v>
      </c>
      <c r="F2068" s="5" t="inlineStr">
        <is>
          <t>1430</t>
        </is>
      </c>
      <c r="G2068" s="5" t="inlineStr">
        <is>
          <t>BRL</t>
        </is>
      </c>
      <c r="H2068" s="9" t="n">
        <v>-80929.78999999999</v>
      </c>
      <c r="I2068" s="16" t="n">
        <v>46233</v>
      </c>
      <c r="J2068" s="16" t="n">
        <v>46270</v>
      </c>
      <c r="K2068" s="5" t="inlineStr">
        <is>
          <t>Fatura - bruto MEGAWIND INDUSTRIA E COMERCIO 1430</t>
        </is>
      </c>
      <c r="L2068" s="5" t="inlineStr">
        <is>
          <t>08092026</t>
        </is>
      </c>
      <c r="M2068" s="5">
        <f>IF(YEAR(I2068)&lt;=2020,"Até 2020",TEXT(YEAR(I2068),"0"))</f>
        <v/>
      </c>
      <c r="N2068" s="5">
        <f>IFERROR(INDEX(DePara!$A:$A,MATCH(TEXT(B2068,"0"),DePara!$D:$D,0)),"(sem categoria)")</f>
        <v/>
      </c>
      <c r="O2068" s="5">
        <f>IF(J2068="","",Parametros!$B$6-J2068)</f>
        <v/>
      </c>
      <c r="P2068" s="5">
        <f>IF(O2068="","",IF(O2068&gt;0,1,0))</f>
        <v/>
      </c>
    </row>
    <row r="2069">
      <c r="A2069" s="5" t="n">
        <v>2111000000</v>
      </c>
      <c r="B2069" s="5" t="inlineStr">
        <is>
          <t>100031</t>
        </is>
      </c>
      <c r="C2069" s="5" t="inlineStr">
        <is>
          <t>MEGAWIND INDUSTRIA E COMERCIO</t>
        </is>
      </c>
      <c r="D2069" s="5" t="inlineStr">
        <is>
          <t>RE</t>
        </is>
      </c>
      <c r="E2069" s="5" t="n">
        <v>5014211</v>
      </c>
      <c r="F2069" s="5" t="inlineStr">
        <is>
          <t>1431</t>
        </is>
      </c>
      <c r="G2069" s="5" t="inlineStr">
        <is>
          <t>BRL</t>
        </is>
      </c>
      <c r="H2069" s="9" t="n">
        <v>-26626.32</v>
      </c>
      <c r="I2069" s="16" t="n">
        <v>46233</v>
      </c>
      <c r="J2069" s="16" t="n">
        <v>46270</v>
      </c>
      <c r="K2069" s="5" t="inlineStr">
        <is>
          <t>Fatura - bruto MEGAWIND INDUSTRIA E COMERCIO 1431</t>
        </is>
      </c>
      <c r="L2069" s="5" t="inlineStr">
        <is>
          <t>08092026</t>
        </is>
      </c>
      <c r="M2069" s="5">
        <f>IF(YEAR(I2069)&lt;=2020,"Até 2020",TEXT(YEAR(I2069),"0"))</f>
        <v/>
      </c>
      <c r="N2069" s="5">
        <f>IFERROR(INDEX(DePara!$A:$A,MATCH(TEXT(B2069,"0"),DePara!$D:$D,0)),"(sem categoria)")</f>
        <v/>
      </c>
      <c r="O2069" s="5">
        <f>IF(J2069="","",Parametros!$B$6-J2069)</f>
        <v/>
      </c>
      <c r="P2069" s="5">
        <f>IF(O2069="","",IF(O2069&gt;0,1,0))</f>
        <v/>
      </c>
    </row>
    <row r="2070">
      <c r="A2070" s="5" t="n">
        <v>2111000000</v>
      </c>
      <c r="B2070" s="5" t="inlineStr">
        <is>
          <t>101463</t>
        </is>
      </c>
      <c r="C2070" s="5" t="inlineStr">
        <is>
          <t>ZURICH MINAS BRASIL SEGUROS S A</t>
        </is>
      </c>
      <c r="D2070" s="5" t="inlineStr">
        <is>
          <t>RE</t>
        </is>
      </c>
      <c r="E2070" s="5" t="n">
        <v>5014230</v>
      </c>
      <c r="F2070" s="5" t="inlineStr">
        <is>
          <t>0417/26</t>
        </is>
      </c>
      <c r="G2070" s="5" t="inlineStr">
        <is>
          <t>BRL</t>
        </is>
      </c>
      <c r="H2070" s="9" t="n">
        <v>-68.5</v>
      </c>
      <c r="I2070" s="16" t="n">
        <v>46237</v>
      </c>
      <c r="J2070" s="16" t="n">
        <v>46267</v>
      </c>
      <c r="K2070" s="5" t="inlineStr">
        <is>
          <t>Invoice Payment. SP: 20918</t>
        </is>
      </c>
      <c r="L2070" s="5" t="inlineStr">
        <is>
          <t>0417/26</t>
        </is>
      </c>
      <c r="M2070" s="5">
        <f>IF(YEAR(I2070)&lt;=2020,"Até 2020",TEXT(YEAR(I2070),"0"))</f>
        <v/>
      </c>
      <c r="N2070" s="5">
        <f>IFERROR(INDEX(DePara!$A:$A,MATCH(TEXT(B2070,"0"),DePara!$D:$D,0)),"(sem categoria)")</f>
        <v/>
      </c>
      <c r="O2070" s="5">
        <f>IF(J2070="","",Parametros!$B$6-J2070)</f>
        <v/>
      </c>
      <c r="P2070" s="5">
        <f>IF(O2070="","",IF(O2070&gt;0,1,0))</f>
        <v/>
      </c>
    </row>
    <row r="2071">
      <c r="A2071" s="5" t="n">
        <v>2111000000</v>
      </c>
      <c r="B2071" s="5" t="inlineStr">
        <is>
          <t>100883</t>
        </is>
      </c>
      <c r="C2071" s="5" t="inlineStr">
        <is>
          <t>QUELMAR TRANSPORTES LTDA</t>
        </is>
      </c>
      <c r="D2071" s="5" t="inlineStr">
        <is>
          <t>RE</t>
        </is>
      </c>
      <c r="E2071" s="5" t="n">
        <v>5014236</v>
      </c>
      <c r="F2071" s="5" t="inlineStr">
        <is>
          <t>108107-1</t>
        </is>
      </c>
      <c r="G2071" s="5" t="inlineStr">
        <is>
          <t>BRL</t>
        </is>
      </c>
      <c r="H2071" s="9" t="n">
        <v>-620</v>
      </c>
      <c r="I2071" s="16" t="n">
        <v>46224</v>
      </c>
      <c r="J2071" s="16" t="n">
        <v>46270</v>
      </c>
      <c r="K2071" s="5" t="inlineStr">
        <is>
          <t>Fatura - bruto QUELMAR TRANSPORTES LTDA 108107-1</t>
        </is>
      </c>
      <c r="L2071" s="5" t="inlineStr">
        <is>
          <t>08092026</t>
        </is>
      </c>
      <c r="M2071" s="5">
        <f>IF(YEAR(I2071)&lt;=2020,"Até 2020",TEXT(YEAR(I2071),"0"))</f>
        <v/>
      </c>
      <c r="N2071" s="5">
        <f>IFERROR(INDEX(DePara!$A:$A,MATCH(TEXT(B2071,"0"),DePara!$D:$D,0)),"(sem categoria)")</f>
        <v/>
      </c>
      <c r="O2071" s="5">
        <f>IF(J2071="","",Parametros!$B$6-J2071)</f>
        <v/>
      </c>
      <c r="P2071" s="5">
        <f>IF(O2071="","",IF(O2071&gt;0,1,0))</f>
        <v/>
      </c>
    </row>
    <row r="2072">
      <c r="A2072" s="5" t="n">
        <v>2111000000</v>
      </c>
      <c r="B2072" s="5" t="inlineStr">
        <is>
          <t>100883</t>
        </is>
      </c>
      <c r="C2072" s="5" t="inlineStr">
        <is>
          <t>QUELMAR TRANSPORTES LTDA</t>
        </is>
      </c>
      <c r="D2072" s="5" t="inlineStr">
        <is>
          <t>RE</t>
        </is>
      </c>
      <c r="E2072" s="5" t="n">
        <v>5014238</v>
      </c>
      <c r="F2072" s="5" t="inlineStr">
        <is>
          <t>108190-1</t>
        </is>
      </c>
      <c r="G2072" s="5" t="inlineStr">
        <is>
          <t>BRL</t>
        </is>
      </c>
      <c r="H2072" s="9" t="n">
        <v>-1576.25</v>
      </c>
      <c r="I2072" s="16" t="n">
        <v>46231</v>
      </c>
      <c r="J2072" s="16" t="n">
        <v>46270</v>
      </c>
      <c r="K2072" s="5" t="inlineStr">
        <is>
          <t>Fatura - bruto QUELMAR TRANSPORTES LTDA 108190-1</t>
        </is>
      </c>
      <c r="L2072" s="5" t="inlineStr">
        <is>
          <t>08092026</t>
        </is>
      </c>
      <c r="M2072" s="5">
        <f>IF(YEAR(I2072)&lt;=2020,"Até 2020",TEXT(YEAR(I2072),"0"))</f>
        <v/>
      </c>
      <c r="N2072" s="5">
        <f>IFERROR(INDEX(DePara!$A:$A,MATCH(TEXT(B2072,"0"),DePara!$D:$D,0)),"(sem categoria)")</f>
        <v/>
      </c>
      <c r="O2072" s="5">
        <f>IF(J2072="","",Parametros!$B$6-J2072)</f>
        <v/>
      </c>
      <c r="P2072" s="5">
        <f>IF(O2072="","",IF(O2072&gt;0,1,0))</f>
        <v/>
      </c>
    </row>
    <row r="2073">
      <c r="A2073" s="5" t="n">
        <v>2111000000</v>
      </c>
      <c r="B2073" s="5" t="inlineStr">
        <is>
          <t>100883</t>
        </is>
      </c>
      <c r="C2073" s="5" t="inlineStr">
        <is>
          <t>QUELMAR TRANSPORTES LTDA</t>
        </is>
      </c>
      <c r="D2073" s="5" t="inlineStr">
        <is>
          <t>RE</t>
        </is>
      </c>
      <c r="E2073" s="5" t="n">
        <v>5014239</v>
      </c>
      <c r="F2073" s="5" t="inlineStr">
        <is>
          <t>108188-1</t>
        </is>
      </c>
      <c r="G2073" s="5" t="inlineStr">
        <is>
          <t>BRL</t>
        </is>
      </c>
      <c r="H2073" s="9" t="n">
        <v>-1623.09</v>
      </c>
      <c r="I2073" s="16" t="n">
        <v>46231</v>
      </c>
      <c r="J2073" s="16" t="n">
        <v>46270</v>
      </c>
      <c r="K2073" s="5" t="inlineStr">
        <is>
          <t>Fatura - bruto QUELMAR TRANSPORTES LTDA 108188-1</t>
        </is>
      </c>
      <c r="L2073" s="5" t="inlineStr">
        <is>
          <t>08092026</t>
        </is>
      </c>
      <c r="M2073" s="5">
        <f>IF(YEAR(I2073)&lt;=2020,"Até 2020",TEXT(YEAR(I2073),"0"))</f>
        <v/>
      </c>
      <c r="N2073" s="5">
        <f>IFERROR(INDEX(DePara!$A:$A,MATCH(TEXT(B2073,"0"),DePara!$D:$D,0)),"(sem categoria)")</f>
        <v/>
      </c>
      <c r="O2073" s="5">
        <f>IF(J2073="","",Parametros!$B$6-J2073)</f>
        <v/>
      </c>
      <c r="P2073" s="5">
        <f>IF(O2073="","",IF(O2073&gt;0,1,0))</f>
        <v/>
      </c>
    </row>
    <row r="2074">
      <c r="A2074" s="5" t="n">
        <v>2111000000</v>
      </c>
      <c r="B2074" s="5" t="inlineStr">
        <is>
          <t>100883</t>
        </is>
      </c>
      <c r="C2074" s="5" t="inlineStr">
        <is>
          <t>QUELMAR TRANSPORTES LTDA</t>
        </is>
      </c>
      <c r="D2074" s="5" t="inlineStr">
        <is>
          <t>RE</t>
        </is>
      </c>
      <c r="E2074" s="5" t="n">
        <v>5014240</v>
      </c>
      <c r="F2074" s="5" t="inlineStr">
        <is>
          <t>108191-1</t>
        </is>
      </c>
      <c r="G2074" s="5" t="inlineStr">
        <is>
          <t>BRL</t>
        </is>
      </c>
      <c r="H2074" s="9" t="n">
        <v>-1653.41</v>
      </c>
      <c r="I2074" s="16" t="n">
        <v>46231</v>
      </c>
      <c r="J2074" s="16" t="n">
        <v>46270</v>
      </c>
      <c r="K2074" s="5" t="inlineStr">
        <is>
          <t>Fatura - bruto QUELMAR TRANSPORTES LTDA 108191-1</t>
        </is>
      </c>
      <c r="L2074" s="5" t="inlineStr">
        <is>
          <t>08092026</t>
        </is>
      </c>
      <c r="M2074" s="5">
        <f>IF(YEAR(I2074)&lt;=2020,"Até 2020",TEXT(YEAR(I2074),"0"))</f>
        <v/>
      </c>
      <c r="N2074" s="5">
        <f>IFERROR(INDEX(DePara!$A:$A,MATCH(TEXT(B2074,"0"),DePara!$D:$D,0)),"(sem categoria)")</f>
        <v/>
      </c>
      <c r="O2074" s="5">
        <f>IF(J2074="","",Parametros!$B$6-J2074)</f>
        <v/>
      </c>
      <c r="P2074" s="5">
        <f>IF(O2074="","",IF(O2074&gt;0,1,0))</f>
        <v/>
      </c>
    </row>
    <row r="2075">
      <c r="A2075" s="5" t="n">
        <v>2111000000</v>
      </c>
      <c r="B2075" s="5" t="inlineStr">
        <is>
          <t>100883</t>
        </is>
      </c>
      <c r="C2075" s="5" t="inlineStr">
        <is>
          <t>QUELMAR TRANSPORTES LTDA</t>
        </is>
      </c>
      <c r="D2075" s="5" t="inlineStr">
        <is>
          <t>RE</t>
        </is>
      </c>
      <c r="E2075" s="5" t="n">
        <v>5014241</v>
      </c>
      <c r="F2075" s="5" t="inlineStr">
        <is>
          <t>108196-1</t>
        </is>
      </c>
      <c r="G2075" s="5" t="inlineStr">
        <is>
          <t>BRL</t>
        </is>
      </c>
      <c r="H2075" s="9" t="n">
        <v>-1942.75</v>
      </c>
      <c r="I2075" s="16" t="n">
        <v>46231</v>
      </c>
      <c r="J2075" s="16" t="n">
        <v>46270</v>
      </c>
      <c r="K2075" s="5" t="inlineStr">
        <is>
          <t>Fatura - bruto QUELMAR TRANSPORTES LTDA 108196-1</t>
        </is>
      </c>
      <c r="L2075" s="5" t="inlineStr">
        <is>
          <t>08092026</t>
        </is>
      </c>
      <c r="M2075" s="5">
        <f>IF(YEAR(I2075)&lt;=2020,"Até 2020",TEXT(YEAR(I2075),"0"))</f>
        <v/>
      </c>
      <c r="N2075" s="5">
        <f>IFERROR(INDEX(DePara!$A:$A,MATCH(TEXT(B2075,"0"),DePara!$D:$D,0)),"(sem categoria)")</f>
        <v/>
      </c>
      <c r="O2075" s="5">
        <f>IF(J2075="","",Parametros!$B$6-J2075)</f>
        <v/>
      </c>
      <c r="P2075" s="5">
        <f>IF(O2075="","",IF(O2075&gt;0,1,0))</f>
        <v/>
      </c>
    </row>
    <row r="2076">
      <c r="A2076" s="5" t="n">
        <v>2111000000</v>
      </c>
      <c r="B2076" s="5" t="inlineStr">
        <is>
          <t>100883</t>
        </is>
      </c>
      <c r="C2076" s="5" t="inlineStr">
        <is>
          <t>QUELMAR TRANSPORTES LTDA</t>
        </is>
      </c>
      <c r="D2076" s="5" t="inlineStr">
        <is>
          <t>RE</t>
        </is>
      </c>
      <c r="E2076" s="5" t="n">
        <v>5014242</v>
      </c>
      <c r="F2076" s="5" t="inlineStr">
        <is>
          <t>108200-1</t>
        </is>
      </c>
      <c r="G2076" s="5" t="inlineStr">
        <is>
          <t>BRL</t>
        </is>
      </c>
      <c r="H2076" s="9" t="n">
        <v>-1479.81</v>
      </c>
      <c r="I2076" s="16" t="n">
        <v>46231</v>
      </c>
      <c r="J2076" s="16" t="n">
        <v>46270</v>
      </c>
      <c r="K2076" s="5" t="inlineStr">
        <is>
          <t>Fatura - bruto QUELMAR TRANSPORTES LTDA 108200-1</t>
        </is>
      </c>
      <c r="L2076" s="5" t="inlineStr">
        <is>
          <t>08092026</t>
        </is>
      </c>
      <c r="M2076" s="5">
        <f>IF(YEAR(I2076)&lt;=2020,"Até 2020",TEXT(YEAR(I2076),"0"))</f>
        <v/>
      </c>
      <c r="N2076" s="5">
        <f>IFERROR(INDEX(DePara!$A:$A,MATCH(TEXT(B2076,"0"),DePara!$D:$D,0)),"(sem categoria)")</f>
        <v/>
      </c>
      <c r="O2076" s="5">
        <f>IF(J2076="","",Parametros!$B$6-J2076)</f>
        <v/>
      </c>
      <c r="P2076" s="5">
        <f>IF(O2076="","",IF(O2076&gt;0,1,0))</f>
        <v/>
      </c>
    </row>
    <row r="2077">
      <c r="A2077" s="5" t="n">
        <v>2111000000</v>
      </c>
      <c r="B2077" s="5" t="inlineStr">
        <is>
          <t>100883</t>
        </is>
      </c>
      <c r="C2077" s="5" t="inlineStr">
        <is>
          <t>QUELMAR TRANSPORTES LTDA</t>
        </is>
      </c>
      <c r="D2077" s="5" t="inlineStr">
        <is>
          <t>RE</t>
        </is>
      </c>
      <c r="E2077" s="5" t="n">
        <v>5014243</v>
      </c>
      <c r="F2077" s="5" t="inlineStr">
        <is>
          <t>108195-1</t>
        </is>
      </c>
      <c r="G2077" s="5" t="inlineStr">
        <is>
          <t>BRL</t>
        </is>
      </c>
      <c r="H2077" s="9" t="n">
        <v>-1653.41</v>
      </c>
      <c r="I2077" s="16" t="n">
        <v>46231</v>
      </c>
      <c r="J2077" s="16" t="n">
        <v>46270</v>
      </c>
      <c r="K2077" s="5" t="inlineStr">
        <is>
          <t>Fatura - bruto QUELMAR TRANSPORTES LTDA 108195-1</t>
        </is>
      </c>
      <c r="L2077" s="5" t="inlineStr">
        <is>
          <t>08092026</t>
        </is>
      </c>
      <c r="M2077" s="5">
        <f>IF(YEAR(I2077)&lt;=2020,"Até 2020",TEXT(YEAR(I2077),"0"))</f>
        <v/>
      </c>
      <c r="N2077" s="5">
        <f>IFERROR(INDEX(DePara!$A:$A,MATCH(TEXT(B2077,"0"),DePara!$D:$D,0)),"(sem categoria)")</f>
        <v/>
      </c>
      <c r="O2077" s="5">
        <f>IF(J2077="","",Parametros!$B$6-J2077)</f>
        <v/>
      </c>
      <c r="P2077" s="5">
        <f>IF(O2077="","",IF(O2077&gt;0,1,0))</f>
        <v/>
      </c>
    </row>
    <row r="2078">
      <c r="A2078" s="5" t="n">
        <v>2111000000</v>
      </c>
      <c r="B2078" s="5" t="inlineStr">
        <is>
          <t>100883</t>
        </is>
      </c>
      <c r="C2078" s="5" t="inlineStr">
        <is>
          <t>QUELMAR TRANSPORTES LTDA</t>
        </is>
      </c>
      <c r="D2078" s="5" t="inlineStr">
        <is>
          <t>RE</t>
        </is>
      </c>
      <c r="E2078" s="5" t="n">
        <v>5014244</v>
      </c>
      <c r="F2078" s="5" t="inlineStr">
        <is>
          <t>108198-1</t>
        </is>
      </c>
      <c r="G2078" s="5" t="inlineStr">
        <is>
          <t>BRL</t>
        </is>
      </c>
      <c r="H2078" s="9" t="n">
        <v>-1956.53</v>
      </c>
      <c r="I2078" s="16" t="n">
        <v>46231</v>
      </c>
      <c r="J2078" s="16" t="n">
        <v>46270</v>
      </c>
      <c r="K2078" s="5" t="inlineStr">
        <is>
          <t>Fatura - bruto QUELMAR TRANSPORTES LTDA 108198-1</t>
        </is>
      </c>
      <c r="L2078" s="5" t="inlineStr">
        <is>
          <t>08092026</t>
        </is>
      </c>
      <c r="M2078" s="5">
        <f>IF(YEAR(I2078)&lt;=2020,"Até 2020",TEXT(YEAR(I2078),"0"))</f>
        <v/>
      </c>
      <c r="N2078" s="5">
        <f>IFERROR(INDEX(DePara!$A:$A,MATCH(TEXT(B2078,"0"),DePara!$D:$D,0)),"(sem categoria)")</f>
        <v/>
      </c>
      <c r="O2078" s="5">
        <f>IF(J2078="","",Parametros!$B$6-J2078)</f>
        <v/>
      </c>
      <c r="P2078" s="5">
        <f>IF(O2078="","",IF(O2078&gt;0,1,0))</f>
        <v/>
      </c>
    </row>
    <row r="2079">
      <c r="A2079" s="5" t="n">
        <v>2111000000</v>
      </c>
      <c r="B2079" s="5" t="inlineStr">
        <is>
          <t>100883</t>
        </is>
      </c>
      <c r="C2079" s="5" t="inlineStr">
        <is>
          <t>QUELMAR TRANSPORTES LTDA</t>
        </is>
      </c>
      <c r="D2079" s="5" t="inlineStr">
        <is>
          <t>RE</t>
        </is>
      </c>
      <c r="E2079" s="5" t="n">
        <v>5014245</v>
      </c>
      <c r="F2079" s="5" t="inlineStr">
        <is>
          <t>108206-1</t>
        </is>
      </c>
      <c r="G2079" s="5" t="inlineStr">
        <is>
          <t>BRL</t>
        </is>
      </c>
      <c r="H2079" s="9" t="n">
        <v>-1980</v>
      </c>
      <c r="I2079" s="16" t="n">
        <v>46231</v>
      </c>
      <c r="J2079" s="16" t="n">
        <v>46270</v>
      </c>
      <c r="K2079" s="5" t="inlineStr">
        <is>
          <t>Fatura - bruto QUELMAR TRANSPORTES LTDA 108206-1</t>
        </is>
      </c>
      <c r="L2079" s="5" t="inlineStr">
        <is>
          <t>08092026</t>
        </is>
      </c>
      <c r="M2079" s="5">
        <f>IF(YEAR(I2079)&lt;=2020,"Até 2020",TEXT(YEAR(I2079),"0"))</f>
        <v/>
      </c>
      <c r="N2079" s="5">
        <f>IFERROR(INDEX(DePara!$A:$A,MATCH(TEXT(B2079,"0"),DePara!$D:$D,0)),"(sem categoria)")</f>
        <v/>
      </c>
      <c r="O2079" s="5">
        <f>IF(J2079="","",Parametros!$B$6-J2079)</f>
        <v/>
      </c>
      <c r="P2079" s="5">
        <f>IF(O2079="","",IF(O2079&gt;0,1,0))</f>
        <v/>
      </c>
    </row>
    <row r="2080">
      <c r="A2080" s="5" t="n">
        <v>2111000000</v>
      </c>
      <c r="B2080" s="5" t="inlineStr">
        <is>
          <t>100883</t>
        </is>
      </c>
      <c r="C2080" s="5" t="inlineStr">
        <is>
          <t>QUELMAR TRANSPORTES LTDA</t>
        </is>
      </c>
      <c r="D2080" s="5" t="inlineStr">
        <is>
          <t>RE</t>
        </is>
      </c>
      <c r="E2080" s="5" t="n">
        <v>5014246</v>
      </c>
      <c r="F2080" s="5" t="inlineStr">
        <is>
          <t>108187-1</t>
        </is>
      </c>
      <c r="G2080" s="5" t="inlineStr">
        <is>
          <t>BRL</t>
        </is>
      </c>
      <c r="H2080" s="9" t="n">
        <v>-1606.56</v>
      </c>
      <c r="I2080" s="16" t="n">
        <v>46231</v>
      </c>
      <c r="J2080" s="16" t="n">
        <v>46270</v>
      </c>
      <c r="K2080" s="5" t="inlineStr">
        <is>
          <t>Fatura - bruto QUELMAR TRANSPORTES LTDA 108187-1</t>
        </is>
      </c>
      <c r="L2080" s="5" t="inlineStr">
        <is>
          <t>08092026</t>
        </is>
      </c>
      <c r="M2080" s="5">
        <f>IF(YEAR(I2080)&lt;=2020,"Até 2020",TEXT(YEAR(I2080),"0"))</f>
        <v/>
      </c>
      <c r="N2080" s="5">
        <f>IFERROR(INDEX(DePara!$A:$A,MATCH(TEXT(B2080,"0"),DePara!$D:$D,0)),"(sem categoria)")</f>
        <v/>
      </c>
      <c r="O2080" s="5">
        <f>IF(J2080="","",Parametros!$B$6-J2080)</f>
        <v/>
      </c>
      <c r="P2080" s="5">
        <f>IF(O2080="","",IF(O2080&gt;0,1,0))</f>
        <v/>
      </c>
    </row>
    <row r="2081">
      <c r="A2081" s="5" t="n">
        <v>2111000000</v>
      </c>
      <c r="B2081" s="5" t="inlineStr">
        <is>
          <t>101929</t>
        </is>
      </c>
      <c r="C2081" s="5" t="inlineStr">
        <is>
          <t>TECNOFIX INDUSTRIA E COMERCIO DE PA</t>
        </is>
      </c>
      <c r="D2081" s="5" t="inlineStr">
        <is>
          <t>RE</t>
        </is>
      </c>
      <c r="E2081" s="5" t="n">
        <v>5014249</v>
      </c>
      <c r="F2081" s="5" t="inlineStr">
        <is>
          <t>000031361-1</t>
        </is>
      </c>
      <c r="G2081" s="5" t="inlineStr">
        <is>
          <t>BRL</t>
        </is>
      </c>
      <c r="H2081" s="9" t="n">
        <v>-497541.39</v>
      </c>
      <c r="I2081" s="16" t="n">
        <v>46223</v>
      </c>
      <c r="J2081" s="16" t="n">
        <v>46300</v>
      </c>
      <c r="K2081" s="5" t="inlineStr">
        <is>
          <t>Fatura - bruto TECNOFIX INDUSTRIA E COMERCIO DE PA</t>
        </is>
      </c>
      <c r="L2081" s="5" t="inlineStr">
        <is>
          <t>30092026</t>
        </is>
      </c>
      <c r="M2081" s="5">
        <f>IF(YEAR(I2081)&lt;=2020,"Até 2020",TEXT(YEAR(I2081),"0"))</f>
        <v/>
      </c>
      <c r="N2081" s="5">
        <f>IFERROR(INDEX(DePara!$A:$A,MATCH(TEXT(B2081,"0"),DePara!$D:$D,0)),"(sem categoria)")</f>
        <v/>
      </c>
      <c r="O2081" s="5">
        <f>IF(J2081="","",Parametros!$B$6-J2081)</f>
        <v/>
      </c>
      <c r="P2081" s="5">
        <f>IF(O2081="","",IF(O2081&gt;0,1,0))</f>
        <v/>
      </c>
    </row>
    <row r="2082">
      <c r="A2082" s="5" t="n">
        <v>2111000000</v>
      </c>
      <c r="B2082" s="5" t="inlineStr">
        <is>
          <t>102105</t>
        </is>
      </c>
      <c r="C2082" s="5" t="inlineStr">
        <is>
          <t>THOMSON REUTERS BRASIL C T LTDA</t>
        </is>
      </c>
      <c r="D2082" s="5" t="inlineStr">
        <is>
          <t>RE</t>
        </is>
      </c>
      <c r="E2082" s="5" t="n">
        <v>5014251</v>
      </c>
      <c r="F2082" s="5" t="inlineStr">
        <is>
          <t>221314</t>
        </is>
      </c>
      <c r="G2082" s="5" t="inlineStr">
        <is>
          <t>BRL</t>
        </is>
      </c>
      <c r="H2082" s="9" t="n">
        <v>-14125.29</v>
      </c>
      <c r="I2082" s="16" t="n">
        <v>46237</v>
      </c>
      <c r="J2082" s="16" t="n">
        <v>46327</v>
      </c>
      <c r="K2082" s="5" t="inlineStr">
        <is>
          <t>Fatura - bruto THOMSON REUTERS BRASIL C T LTDA 221</t>
        </is>
      </c>
      <c r="L2082" s="5" t="inlineStr">
        <is>
          <t>28102026</t>
        </is>
      </c>
      <c r="M2082" s="5">
        <f>IF(YEAR(I2082)&lt;=2020,"Até 2020",TEXT(YEAR(I2082),"0"))</f>
        <v/>
      </c>
      <c r="N2082" s="5">
        <f>IFERROR(INDEX(DePara!$A:$A,MATCH(TEXT(B2082,"0"),DePara!$D:$D,0)),"(sem categoria)")</f>
        <v/>
      </c>
      <c r="O2082" s="5">
        <f>IF(J2082="","",Parametros!$B$6-J2082)</f>
        <v/>
      </c>
      <c r="P2082" s="5">
        <f>IF(O2082="","",IF(O2082&gt;0,1,0))</f>
        <v/>
      </c>
    </row>
    <row r="2083">
      <c r="A2083" s="5" t="n">
        <v>2111000000</v>
      </c>
      <c r="B2083" s="5" t="inlineStr">
        <is>
          <t>104003</t>
        </is>
      </c>
      <c r="C2083" s="5" t="inlineStr">
        <is>
          <t>THIAGO DE MORAES 21707151000154</t>
        </is>
      </c>
      <c r="D2083" s="5" t="inlineStr">
        <is>
          <t>RE</t>
        </is>
      </c>
      <c r="E2083" s="5" t="n">
        <v>5014252</v>
      </c>
      <c r="F2083" s="5" t="inlineStr">
        <is>
          <t>147</t>
        </is>
      </c>
      <c r="G2083" s="5" t="inlineStr">
        <is>
          <t>BRL</t>
        </is>
      </c>
      <c r="H2083" s="9" t="n">
        <v>-39500</v>
      </c>
      <c r="I2083" s="16" t="n">
        <v>46237</v>
      </c>
      <c r="J2083" s="16" t="n">
        <v>46270</v>
      </c>
      <c r="K2083" s="5" t="inlineStr">
        <is>
          <t>Fatura - bruto THIAGO DE MORAES 21707151000154 147</t>
        </is>
      </c>
      <c r="L2083" s="5" t="inlineStr">
        <is>
          <t>08092026</t>
        </is>
      </c>
      <c r="M2083" s="5">
        <f>IF(YEAR(I2083)&lt;=2020,"Até 2020",TEXT(YEAR(I2083),"0"))</f>
        <v/>
      </c>
      <c r="N2083" s="5">
        <f>IFERROR(INDEX(DePara!$A:$A,MATCH(TEXT(B2083,"0"),DePara!$D:$D,0)),"(sem categoria)")</f>
        <v/>
      </c>
      <c r="O2083" s="5">
        <f>IF(J2083="","",Parametros!$B$6-J2083)</f>
        <v/>
      </c>
      <c r="P2083" s="5">
        <f>IF(O2083="","",IF(O2083&gt;0,1,0))</f>
        <v/>
      </c>
    </row>
    <row r="2084">
      <c r="A2084" s="5" t="n">
        <v>2111000000</v>
      </c>
      <c r="B2084" s="5" t="inlineStr">
        <is>
          <t>100883</t>
        </is>
      </c>
      <c r="C2084" s="5" t="inlineStr">
        <is>
          <t>QUELMAR TRANSPORTES LTDA</t>
        </is>
      </c>
      <c r="D2084" s="5" t="inlineStr">
        <is>
          <t>RE</t>
        </is>
      </c>
      <c r="E2084" s="5" t="n">
        <v>5014255</v>
      </c>
      <c r="F2084" s="5" t="inlineStr">
        <is>
          <t>108197-1</t>
        </is>
      </c>
      <c r="G2084" s="5" t="inlineStr">
        <is>
          <t>BRL</t>
        </is>
      </c>
      <c r="H2084" s="9" t="n">
        <v>-1667.19</v>
      </c>
      <c r="I2084" s="16" t="n">
        <v>46231</v>
      </c>
      <c r="J2084" s="16" t="n">
        <v>46270</v>
      </c>
      <c r="K2084" s="5" t="inlineStr">
        <is>
          <t>Fatura - bruto QUELMAR TRANSPORTES LTDA 108197-1</t>
        </is>
      </c>
      <c r="L2084" s="5" t="inlineStr">
        <is>
          <t>08092026</t>
        </is>
      </c>
      <c r="M2084" s="5">
        <f>IF(YEAR(I2084)&lt;=2020,"Até 2020",TEXT(YEAR(I2084),"0"))</f>
        <v/>
      </c>
      <c r="N2084" s="5">
        <f>IFERROR(INDEX(DePara!$A:$A,MATCH(TEXT(B2084,"0"),DePara!$D:$D,0)),"(sem categoria)")</f>
        <v/>
      </c>
      <c r="O2084" s="5">
        <f>IF(J2084="","",Parametros!$B$6-J2084)</f>
        <v/>
      </c>
      <c r="P2084" s="5">
        <f>IF(O2084="","",IF(O2084&gt;0,1,0))</f>
        <v/>
      </c>
    </row>
    <row r="2085">
      <c r="A2085" s="5" t="n">
        <v>2111000000</v>
      </c>
      <c r="B2085" s="5" t="inlineStr">
        <is>
          <t>101463</t>
        </is>
      </c>
      <c r="C2085" s="5" t="inlineStr">
        <is>
          <t>ZURICH MINAS BRASIL SEGUROS S A</t>
        </is>
      </c>
      <c r="D2085" s="5" t="inlineStr">
        <is>
          <t>RE</t>
        </is>
      </c>
      <c r="E2085" s="5" t="n">
        <v>5014256</v>
      </c>
      <c r="F2085" s="5" t="inlineStr">
        <is>
          <t>0414/26</t>
        </is>
      </c>
      <c r="G2085" s="5" t="inlineStr">
        <is>
          <t>BRL</t>
        </is>
      </c>
      <c r="H2085" s="9" t="n">
        <v>-255.57</v>
      </c>
      <c r="I2085" s="16" t="n">
        <v>46237</v>
      </c>
      <c r="J2085" s="16" t="n">
        <v>46267</v>
      </c>
      <c r="K2085" s="5" t="inlineStr">
        <is>
          <t>Invoice Payment. SP: 20920</t>
        </is>
      </c>
      <c r="L2085" s="5" t="inlineStr">
        <is>
          <t>0414/26</t>
        </is>
      </c>
      <c r="M2085" s="5">
        <f>IF(YEAR(I2085)&lt;=2020,"Até 2020",TEXT(YEAR(I2085),"0"))</f>
        <v/>
      </c>
      <c r="N2085" s="5">
        <f>IFERROR(INDEX(DePara!$A:$A,MATCH(TEXT(B2085,"0"),DePara!$D:$D,0)),"(sem categoria)")</f>
        <v/>
      </c>
      <c r="O2085" s="5">
        <f>IF(J2085="","",Parametros!$B$6-J2085)</f>
        <v/>
      </c>
      <c r="P2085" s="5">
        <f>IF(O2085="","",IF(O2085&gt;0,1,0))</f>
        <v/>
      </c>
    </row>
    <row r="2086">
      <c r="A2086" s="5" t="n">
        <v>2111000000</v>
      </c>
      <c r="B2086" s="5" t="inlineStr">
        <is>
          <t>100883</t>
        </is>
      </c>
      <c r="C2086" s="5" t="inlineStr">
        <is>
          <t>QUELMAR TRANSPORTES LTDA</t>
        </is>
      </c>
      <c r="D2086" s="5" t="inlineStr">
        <is>
          <t>RE</t>
        </is>
      </c>
      <c r="E2086" s="5" t="n">
        <v>5014257</v>
      </c>
      <c r="F2086" s="5" t="inlineStr">
        <is>
          <t>108194-1</t>
        </is>
      </c>
      <c r="G2086" s="5" t="inlineStr">
        <is>
          <t>BRL</t>
        </is>
      </c>
      <c r="H2086" s="9" t="n">
        <v>-2025.42</v>
      </c>
      <c r="I2086" s="16" t="n">
        <v>46231</v>
      </c>
      <c r="J2086" s="16" t="n">
        <v>46270</v>
      </c>
      <c r="K2086" s="5" t="inlineStr">
        <is>
          <t>Fatura - bruto QUELMAR TRANSPORTES LTDA 108194-1</t>
        </is>
      </c>
      <c r="L2086" s="5" t="inlineStr">
        <is>
          <t>08092026</t>
        </is>
      </c>
      <c r="M2086" s="5">
        <f>IF(YEAR(I2086)&lt;=2020,"Até 2020",TEXT(YEAR(I2086),"0"))</f>
        <v/>
      </c>
      <c r="N2086" s="5">
        <f>IFERROR(INDEX(DePara!$A:$A,MATCH(TEXT(B2086,"0"),DePara!$D:$D,0)),"(sem categoria)")</f>
        <v/>
      </c>
      <c r="O2086" s="5">
        <f>IF(J2086="","",Parametros!$B$6-J2086)</f>
        <v/>
      </c>
      <c r="P2086" s="5">
        <f>IF(O2086="","",IF(O2086&gt;0,1,0))</f>
        <v/>
      </c>
    </row>
    <row r="2087">
      <c r="A2087" s="5" t="n">
        <v>2111000000</v>
      </c>
      <c r="B2087" s="5" t="inlineStr">
        <is>
          <t>100883</t>
        </is>
      </c>
      <c r="C2087" s="5" t="inlineStr">
        <is>
          <t>QUELMAR TRANSPORTES LTDA</t>
        </is>
      </c>
      <c r="D2087" s="5" t="inlineStr">
        <is>
          <t>RE</t>
        </is>
      </c>
      <c r="E2087" s="5" t="n">
        <v>5014259</v>
      </c>
      <c r="F2087" s="5" t="inlineStr">
        <is>
          <t>108189-1</t>
        </is>
      </c>
      <c r="G2087" s="5" t="inlineStr">
        <is>
          <t>BRL</t>
        </is>
      </c>
      <c r="H2087" s="9" t="n">
        <v>-1176.67</v>
      </c>
      <c r="I2087" s="16" t="n">
        <v>46231</v>
      </c>
      <c r="J2087" s="16" t="n">
        <v>46270</v>
      </c>
      <c r="K2087" s="5" t="inlineStr">
        <is>
          <t>Fatura - bruto QUELMAR TRANSPORTES LTDA 108189-1</t>
        </is>
      </c>
      <c r="L2087" s="5" t="inlineStr">
        <is>
          <t>08092026</t>
        </is>
      </c>
      <c r="M2087" s="5">
        <f>IF(YEAR(I2087)&lt;=2020,"Até 2020",TEXT(YEAR(I2087),"0"))</f>
        <v/>
      </c>
      <c r="N2087" s="5">
        <f>IFERROR(INDEX(DePara!$A:$A,MATCH(TEXT(B2087,"0"),DePara!$D:$D,0)),"(sem categoria)")</f>
        <v/>
      </c>
      <c r="O2087" s="5">
        <f>IF(J2087="","",Parametros!$B$6-J2087)</f>
        <v/>
      </c>
      <c r="P2087" s="5">
        <f>IF(O2087="","",IF(O2087&gt;0,1,0))</f>
        <v/>
      </c>
    </row>
    <row r="2088">
      <c r="A2088" s="5" t="n">
        <v>2111000000</v>
      </c>
      <c r="B2088" s="5" t="inlineStr">
        <is>
          <t>100883</t>
        </is>
      </c>
      <c r="C2088" s="5" t="inlineStr">
        <is>
          <t>QUELMAR TRANSPORTES LTDA</t>
        </is>
      </c>
      <c r="D2088" s="5" t="inlineStr">
        <is>
          <t>RE</t>
        </is>
      </c>
      <c r="E2088" s="5" t="n">
        <v>5014260</v>
      </c>
      <c r="F2088" s="5" t="inlineStr">
        <is>
          <t>108018-1</t>
        </is>
      </c>
      <c r="G2088" s="5" t="inlineStr">
        <is>
          <t>BRL</t>
        </is>
      </c>
      <c r="H2088" s="9" t="n">
        <v>-1528.28</v>
      </c>
      <c r="I2088" s="16" t="n">
        <v>46220</v>
      </c>
      <c r="J2088" s="16" t="n">
        <v>46270</v>
      </c>
      <c r="K2088" s="5" t="inlineStr">
        <is>
          <t>Fatura - bruto QUELMAR TRANSPORTES LTDA 108018-1</t>
        </is>
      </c>
      <c r="L2088" s="5" t="inlineStr">
        <is>
          <t>08092026</t>
        </is>
      </c>
      <c r="M2088" s="5">
        <f>IF(YEAR(I2088)&lt;=2020,"Até 2020",TEXT(YEAR(I2088),"0"))</f>
        <v/>
      </c>
      <c r="N2088" s="5">
        <f>IFERROR(INDEX(DePara!$A:$A,MATCH(TEXT(B2088,"0"),DePara!$D:$D,0)),"(sem categoria)")</f>
        <v/>
      </c>
      <c r="O2088" s="5">
        <f>IF(J2088="","",Parametros!$B$6-J2088)</f>
        <v/>
      </c>
      <c r="P2088" s="5">
        <f>IF(O2088="","",IF(O2088&gt;0,1,0))</f>
        <v/>
      </c>
    </row>
    <row r="2089">
      <c r="A2089" s="5" t="n">
        <v>2111000000</v>
      </c>
      <c r="B2089" s="5" t="inlineStr">
        <is>
          <t>100883</t>
        </is>
      </c>
      <c r="C2089" s="5" t="inlineStr">
        <is>
          <t>QUELMAR TRANSPORTES LTDA</t>
        </is>
      </c>
      <c r="D2089" s="5" t="inlineStr">
        <is>
          <t>RE</t>
        </is>
      </c>
      <c r="E2089" s="5" t="n">
        <v>5014261</v>
      </c>
      <c r="F2089" s="5" t="inlineStr">
        <is>
          <t>108192-1</t>
        </is>
      </c>
      <c r="G2089" s="5" t="inlineStr">
        <is>
          <t>BRL</t>
        </is>
      </c>
      <c r="H2089" s="9" t="n">
        <v>-1860.08</v>
      </c>
      <c r="I2089" s="16" t="n">
        <v>46231</v>
      </c>
      <c r="J2089" s="16" t="n">
        <v>46270</v>
      </c>
      <c r="K2089" s="5" t="inlineStr">
        <is>
          <t>Fatura - bruto QUELMAR TRANSPORTES LTDA 108192-1</t>
        </is>
      </c>
      <c r="L2089" s="5" t="inlineStr">
        <is>
          <t>08092026</t>
        </is>
      </c>
      <c r="M2089" s="5">
        <f>IF(YEAR(I2089)&lt;=2020,"Até 2020",TEXT(YEAR(I2089),"0"))</f>
        <v/>
      </c>
      <c r="N2089" s="5">
        <f>IFERROR(INDEX(DePara!$A:$A,MATCH(TEXT(B2089,"0"),DePara!$D:$D,0)),"(sem categoria)")</f>
        <v/>
      </c>
      <c r="O2089" s="5">
        <f>IF(J2089="","",Parametros!$B$6-J2089)</f>
        <v/>
      </c>
      <c r="P2089" s="5">
        <f>IF(O2089="","",IF(O2089&gt;0,1,0))</f>
        <v/>
      </c>
    </row>
    <row r="2090">
      <c r="A2090" s="5" t="n">
        <v>2111000000</v>
      </c>
      <c r="B2090" s="5" t="inlineStr">
        <is>
          <t>100883</t>
        </is>
      </c>
      <c r="C2090" s="5" t="inlineStr">
        <is>
          <t>QUELMAR TRANSPORTES LTDA</t>
        </is>
      </c>
      <c r="D2090" s="5" t="inlineStr">
        <is>
          <t>RE</t>
        </is>
      </c>
      <c r="E2090" s="5" t="n">
        <v>5014262</v>
      </c>
      <c r="F2090" s="5" t="inlineStr">
        <is>
          <t>108001-1</t>
        </is>
      </c>
      <c r="G2090" s="5" t="inlineStr">
        <is>
          <t>BRL</t>
        </is>
      </c>
      <c r="H2090" s="9" t="n">
        <v>-1982.64</v>
      </c>
      <c r="I2090" s="16" t="n">
        <v>46220</v>
      </c>
      <c r="J2090" s="16" t="n">
        <v>46270</v>
      </c>
      <c r="K2090" s="5" t="inlineStr">
        <is>
          <t>Fatura - bruto QUELMAR TRANSPORTES LTDA 108001-1</t>
        </is>
      </c>
      <c r="L2090" s="5" t="inlineStr">
        <is>
          <t>08092026</t>
        </is>
      </c>
      <c r="M2090" s="5">
        <f>IF(YEAR(I2090)&lt;=2020,"Até 2020",TEXT(YEAR(I2090),"0"))</f>
        <v/>
      </c>
      <c r="N2090" s="5">
        <f>IFERROR(INDEX(DePara!$A:$A,MATCH(TEXT(B2090,"0"),DePara!$D:$D,0)),"(sem categoria)")</f>
        <v/>
      </c>
      <c r="O2090" s="5">
        <f>IF(J2090="","",Parametros!$B$6-J2090)</f>
        <v/>
      </c>
      <c r="P2090" s="5">
        <f>IF(O2090="","",IF(O2090&gt;0,1,0))</f>
        <v/>
      </c>
    </row>
    <row r="2091">
      <c r="A2091" s="5" t="n">
        <v>2111000000</v>
      </c>
      <c r="B2091" s="5" t="inlineStr">
        <is>
          <t>101463</t>
        </is>
      </c>
      <c r="C2091" s="5" t="inlineStr">
        <is>
          <t>ZURICH MINAS BRASIL SEGUROS S A</t>
        </is>
      </c>
      <c r="D2091" s="5" t="inlineStr">
        <is>
          <t>RE</t>
        </is>
      </c>
      <c r="E2091" s="5" t="n">
        <v>5014274</v>
      </c>
      <c r="F2091" s="5" t="inlineStr">
        <is>
          <t>0404/26</t>
        </is>
      </c>
      <c r="G2091" s="5" t="inlineStr">
        <is>
          <t>BRL</t>
        </is>
      </c>
      <c r="H2091" s="9" t="n">
        <v>-871.0599999999999</v>
      </c>
      <c r="I2091" s="16" t="n">
        <v>46227</v>
      </c>
      <c r="J2091" s="16" t="n">
        <v>46268</v>
      </c>
      <c r="K2091" s="5" t="inlineStr">
        <is>
          <t>Invoice Payment. SP: 20466</t>
        </is>
      </c>
      <c r="L2091" s="5" t="inlineStr">
        <is>
          <t>0404/26</t>
        </is>
      </c>
      <c r="M2091" s="5">
        <f>IF(YEAR(I2091)&lt;=2020,"Até 2020",TEXT(YEAR(I2091),"0"))</f>
        <v/>
      </c>
      <c r="N2091" s="5">
        <f>IFERROR(INDEX(DePara!$A:$A,MATCH(TEXT(B2091,"0"),DePara!$D:$D,0)),"(sem categoria)")</f>
        <v/>
      </c>
      <c r="O2091" s="5">
        <f>IF(J2091="","",Parametros!$B$6-J2091)</f>
        <v/>
      </c>
      <c r="P2091" s="5">
        <f>IF(O2091="","",IF(O2091&gt;0,1,0))</f>
        <v/>
      </c>
    </row>
    <row r="2092">
      <c r="A2092" s="5" t="n">
        <v>2111000000</v>
      </c>
      <c r="B2092" s="5" t="inlineStr">
        <is>
          <t>101982</t>
        </is>
      </c>
      <c r="C2092" s="5" t="inlineStr">
        <is>
          <t>NEW ENERGY TECH LTDA</t>
        </is>
      </c>
      <c r="D2092" s="5" t="inlineStr">
        <is>
          <t>RE</t>
        </is>
      </c>
      <c r="E2092" s="5" t="n">
        <v>5014275</v>
      </c>
      <c r="F2092" s="5" t="inlineStr">
        <is>
          <t>81</t>
        </is>
      </c>
      <c r="G2092" s="5" t="inlineStr">
        <is>
          <t>BRL</t>
        </is>
      </c>
      <c r="H2092" s="9" t="n">
        <v>-41500</v>
      </c>
      <c r="I2092" s="16" t="n">
        <v>46237</v>
      </c>
      <c r="J2092" s="16" t="n">
        <v>46270</v>
      </c>
      <c r="K2092" s="5" t="inlineStr">
        <is>
          <t>Fatura - bruto NEW ENERGY TECH LTDA 81</t>
        </is>
      </c>
      <c r="L2092" s="5" t="inlineStr">
        <is>
          <t>08092026</t>
        </is>
      </c>
      <c r="M2092" s="5">
        <f>IF(YEAR(I2092)&lt;=2020,"Até 2020",TEXT(YEAR(I2092),"0"))</f>
        <v/>
      </c>
      <c r="N2092" s="5">
        <f>IFERROR(INDEX(DePara!$A:$A,MATCH(TEXT(B2092,"0"),DePara!$D:$D,0)),"(sem categoria)")</f>
        <v/>
      </c>
      <c r="O2092" s="5">
        <f>IF(J2092="","",Parametros!$B$6-J2092)</f>
        <v/>
      </c>
      <c r="P2092" s="5">
        <f>IF(O2092="","",IF(O2092&gt;0,1,0))</f>
        <v/>
      </c>
    </row>
    <row r="2093">
      <c r="A2093" s="5" t="n">
        <v>2111000000</v>
      </c>
      <c r="B2093" s="5" t="inlineStr">
        <is>
          <t>100883</t>
        </is>
      </c>
      <c r="C2093" s="5" t="inlineStr">
        <is>
          <t>QUELMAR TRANSPORTES LTDA</t>
        </is>
      </c>
      <c r="D2093" s="5" t="inlineStr">
        <is>
          <t>RE</t>
        </is>
      </c>
      <c r="E2093" s="5" t="n">
        <v>5014284</v>
      </c>
      <c r="F2093" s="5" t="inlineStr">
        <is>
          <t>108224-1</t>
        </is>
      </c>
      <c r="G2093" s="5" t="inlineStr">
        <is>
          <t>BRL</t>
        </is>
      </c>
      <c r="H2093" s="9" t="n">
        <v>-980</v>
      </c>
      <c r="I2093" s="16" t="n">
        <v>46232</v>
      </c>
      <c r="J2093" s="16" t="n">
        <v>46270</v>
      </c>
      <c r="K2093" s="5" t="inlineStr">
        <is>
          <t>Fatura - bruto QUELMAR TRANSPORTES LTDA 108224-1</t>
        </is>
      </c>
      <c r="L2093" s="5" t="inlineStr">
        <is>
          <t>08092026</t>
        </is>
      </c>
      <c r="M2093" s="5">
        <f>IF(YEAR(I2093)&lt;=2020,"Até 2020",TEXT(YEAR(I2093),"0"))</f>
        <v/>
      </c>
      <c r="N2093" s="5">
        <f>IFERROR(INDEX(DePara!$A:$A,MATCH(TEXT(B2093,"0"),DePara!$D:$D,0)),"(sem categoria)")</f>
        <v/>
      </c>
      <c r="O2093" s="5">
        <f>IF(J2093="","",Parametros!$B$6-J2093)</f>
        <v/>
      </c>
      <c r="P2093" s="5">
        <f>IF(O2093="","",IF(O2093&gt;0,1,0))</f>
        <v/>
      </c>
    </row>
    <row r="2094">
      <c r="A2094" s="5" t="n">
        <v>2111000000</v>
      </c>
      <c r="B2094" s="5" t="inlineStr">
        <is>
          <t>100883</t>
        </is>
      </c>
      <c r="C2094" s="5" t="inlineStr">
        <is>
          <t>QUELMAR TRANSPORTES LTDA</t>
        </is>
      </c>
      <c r="D2094" s="5" t="inlineStr">
        <is>
          <t>RE</t>
        </is>
      </c>
      <c r="E2094" s="5" t="n">
        <v>5014286</v>
      </c>
      <c r="F2094" s="5" t="inlineStr">
        <is>
          <t>108027-1</t>
        </is>
      </c>
      <c r="G2094" s="5" t="inlineStr">
        <is>
          <t>BRL</t>
        </is>
      </c>
      <c r="H2094" s="9" t="n">
        <v>-4617</v>
      </c>
      <c r="I2094" s="16" t="n">
        <v>46220</v>
      </c>
      <c r="J2094" s="16" t="n">
        <v>46270</v>
      </c>
      <c r="K2094" s="5" t="inlineStr">
        <is>
          <t>Fatura - bruto QUELMAR TRANSPORTES LTDA 108027-1</t>
        </is>
      </c>
      <c r="L2094" s="5" t="inlineStr">
        <is>
          <t>08092026</t>
        </is>
      </c>
      <c r="M2094" s="5">
        <f>IF(YEAR(I2094)&lt;=2020,"Até 2020",TEXT(YEAR(I2094),"0"))</f>
        <v/>
      </c>
      <c r="N2094" s="5">
        <f>IFERROR(INDEX(DePara!$A:$A,MATCH(TEXT(B2094,"0"),DePara!$D:$D,0)),"(sem categoria)")</f>
        <v/>
      </c>
      <c r="O2094" s="5">
        <f>IF(J2094="","",Parametros!$B$6-J2094)</f>
        <v/>
      </c>
      <c r="P2094" s="5">
        <f>IF(O2094="","",IF(O2094&gt;0,1,0))</f>
        <v/>
      </c>
    </row>
    <row r="2095">
      <c r="A2095" s="5" t="n">
        <v>2111000000</v>
      </c>
      <c r="B2095" s="5" t="inlineStr">
        <is>
          <t>103730</t>
        </is>
      </c>
      <c r="C2095" s="5" t="inlineStr">
        <is>
          <t>RAK LOG TRANSPORTES E LOGISTICA LTD</t>
        </is>
      </c>
      <c r="D2095" s="5" t="inlineStr">
        <is>
          <t>RE</t>
        </is>
      </c>
      <c r="E2095" s="5" t="n">
        <v>5014288</v>
      </c>
      <c r="F2095" s="5" t="inlineStr">
        <is>
          <t>2001-1</t>
        </is>
      </c>
      <c r="G2095" s="5" t="inlineStr">
        <is>
          <t>BRL</t>
        </is>
      </c>
      <c r="H2095" s="9" t="n">
        <v>-20778.26</v>
      </c>
      <c r="I2095" s="16" t="n">
        <v>46225</v>
      </c>
      <c r="J2095" s="16" t="n">
        <v>46300</v>
      </c>
      <c r="K2095" s="5" t="inlineStr">
        <is>
          <t>Fatura - bruto RAK LOG TRANSPORTES E LOGISTICA LTD</t>
        </is>
      </c>
      <c r="L2095" s="5" t="inlineStr">
        <is>
          <t>05102026</t>
        </is>
      </c>
      <c r="M2095" s="5">
        <f>IF(YEAR(I2095)&lt;=2020,"Até 2020",TEXT(YEAR(I2095),"0"))</f>
        <v/>
      </c>
      <c r="N2095" s="5">
        <f>IFERROR(INDEX(DePara!$A:$A,MATCH(TEXT(B2095,"0"),DePara!$D:$D,0)),"(sem categoria)")</f>
        <v/>
      </c>
      <c r="O2095" s="5">
        <f>IF(J2095="","",Parametros!$B$6-J2095)</f>
        <v/>
      </c>
      <c r="P2095" s="5">
        <f>IF(O2095="","",IF(O2095&gt;0,1,0))</f>
        <v/>
      </c>
    </row>
    <row r="2096">
      <c r="A2096" s="5" t="n">
        <v>2111000000</v>
      </c>
      <c r="B2096" s="5" t="inlineStr">
        <is>
          <t>101095</t>
        </is>
      </c>
      <c r="C2096" s="5" t="inlineStr">
        <is>
          <t>HAILO SISTEMAS METALICOS LTDA</t>
        </is>
      </c>
      <c r="D2096" s="5" t="inlineStr">
        <is>
          <t>RE</t>
        </is>
      </c>
      <c r="E2096" s="5" t="n">
        <v>5014289</v>
      </c>
      <c r="F2096" s="5" t="inlineStr">
        <is>
          <t>9838-1</t>
        </is>
      </c>
      <c r="G2096" s="5" t="inlineStr">
        <is>
          <t>BRL</t>
        </is>
      </c>
      <c r="H2096" s="9" t="n">
        <v>-1548.75</v>
      </c>
      <c r="I2096" s="16" t="n">
        <v>46217</v>
      </c>
      <c r="J2096" s="16" t="n">
        <v>46270</v>
      </c>
      <c r="K2096" s="5" t="inlineStr">
        <is>
          <t>Fatura - bruto HAILO SISTEMAS METALICOS LTDA 9838-</t>
        </is>
      </c>
      <c r="L2096" s="5" t="inlineStr">
        <is>
          <t>02092026</t>
        </is>
      </c>
      <c r="M2096" s="5">
        <f>IF(YEAR(I2096)&lt;=2020,"Até 2020",TEXT(YEAR(I2096),"0"))</f>
        <v/>
      </c>
      <c r="N2096" s="5">
        <f>IFERROR(INDEX(DePara!$A:$A,MATCH(TEXT(B2096,"0"),DePara!$D:$D,0)),"(sem categoria)")</f>
        <v/>
      </c>
      <c r="O2096" s="5">
        <f>IF(J2096="","",Parametros!$B$6-J2096)</f>
        <v/>
      </c>
      <c r="P2096" s="5">
        <f>IF(O2096="","",IF(O2096&gt;0,1,0))</f>
        <v/>
      </c>
    </row>
    <row r="2097">
      <c r="A2097" s="5" t="n">
        <v>2111000000</v>
      </c>
      <c r="B2097" s="5" t="inlineStr">
        <is>
          <t>104002</t>
        </is>
      </c>
      <c r="C2097" s="5" t="inlineStr">
        <is>
          <t>TOP LOCACOES LTDA 43452661000160</t>
        </is>
      </c>
      <c r="D2097" s="5" t="inlineStr">
        <is>
          <t>RE</t>
        </is>
      </c>
      <c r="E2097" s="5" t="n">
        <v>5014290</v>
      </c>
      <c r="F2097" s="5" t="inlineStr">
        <is>
          <t>311</t>
        </is>
      </c>
      <c r="G2097" s="5" t="inlineStr">
        <is>
          <t>BRL</t>
        </is>
      </c>
      <c r="H2097" s="9" t="n">
        <v>-7900</v>
      </c>
      <c r="I2097" s="16" t="n">
        <v>46237</v>
      </c>
      <c r="J2097" s="16" t="n">
        <v>46273</v>
      </c>
      <c r="K2097" s="5" t="inlineStr">
        <is>
          <t>Fatura - bruto TOP LOCACOES LTDA 43452661000160 31</t>
        </is>
      </c>
      <c r="L2097" s="5" t="inlineStr">
        <is>
          <t>09092026</t>
        </is>
      </c>
      <c r="M2097" s="5">
        <f>IF(YEAR(I2097)&lt;=2020,"Até 2020",TEXT(YEAR(I2097),"0"))</f>
        <v/>
      </c>
      <c r="N2097" s="5">
        <f>IFERROR(INDEX(DePara!$A:$A,MATCH(TEXT(B2097,"0"),DePara!$D:$D,0)),"(sem categoria)")</f>
        <v/>
      </c>
      <c r="O2097" s="5">
        <f>IF(J2097="","",Parametros!$B$6-J2097)</f>
        <v/>
      </c>
      <c r="P2097" s="5">
        <f>IF(O2097="","",IF(O2097&gt;0,1,0))</f>
        <v/>
      </c>
    </row>
    <row r="2098">
      <c r="A2098" s="5" t="n">
        <v>2111000000</v>
      </c>
      <c r="B2098" s="5" t="inlineStr">
        <is>
          <t>100917</t>
        </is>
      </c>
      <c r="C2098" s="5" t="inlineStr">
        <is>
          <t>GREENLEGIS SERVIÇOS EM MANUTENÇÃO</t>
        </is>
      </c>
      <c r="D2098" s="5" t="inlineStr">
        <is>
          <t>RE</t>
        </is>
      </c>
      <c r="E2098" s="5" t="n">
        <v>5014295</v>
      </c>
      <c r="F2098" s="5" t="inlineStr">
        <is>
          <t>7822</t>
        </is>
      </c>
      <c r="G2098" s="5" t="inlineStr">
        <is>
          <t>BRL</t>
        </is>
      </c>
      <c r="H2098" s="9" t="n">
        <v>-14441.28</v>
      </c>
      <c r="I2098" s="16" t="n">
        <v>46237</v>
      </c>
      <c r="J2098" s="16" t="n">
        <v>46302</v>
      </c>
      <c r="K2098" s="5" t="inlineStr">
        <is>
          <t>Fatura - bruto GREENLEGIS SERVIÇOS EM MANUTENÇÃO 7</t>
        </is>
      </c>
      <c r="L2098" s="5" t="inlineStr">
        <is>
          <t>07102026</t>
        </is>
      </c>
      <c r="M2098" s="5">
        <f>IF(YEAR(I2098)&lt;=2020,"Até 2020",TEXT(YEAR(I2098),"0"))</f>
        <v/>
      </c>
      <c r="N2098" s="5">
        <f>IFERROR(INDEX(DePara!$A:$A,MATCH(TEXT(B2098,"0"),DePara!$D:$D,0)),"(sem categoria)")</f>
        <v/>
      </c>
      <c r="O2098" s="5">
        <f>IF(J2098="","",Parametros!$B$6-J2098)</f>
        <v/>
      </c>
      <c r="P2098" s="5">
        <f>IF(O2098="","",IF(O2098&gt;0,1,0))</f>
        <v/>
      </c>
    </row>
    <row r="2099">
      <c r="A2099" s="5" t="n">
        <v>2111000000</v>
      </c>
      <c r="B2099" s="5" t="inlineStr">
        <is>
          <t>101560</t>
        </is>
      </c>
      <c r="C2099" s="5" t="inlineStr">
        <is>
          <t>SINDICATO DOS DESPACHANTES ADUANEIR DE SAO PAULO SINDASP</t>
        </is>
      </c>
      <c r="D2099" s="5" t="inlineStr">
        <is>
          <t>KR</t>
        </is>
      </c>
      <c r="E2099" s="5" t="n">
        <v>5014306</v>
      </c>
      <c r="F2099" s="5" t="inlineStr">
        <is>
          <t>6564166</t>
        </is>
      </c>
      <c r="G2099" s="5" t="inlineStr">
        <is>
          <t>BRL</t>
        </is>
      </c>
      <c r="H2099" s="9" t="n">
        <v>-500</v>
      </c>
      <c r="I2099" s="16" t="n">
        <v>44861</v>
      </c>
      <c r="J2099" s="16" t="n">
        <v>44861</v>
      </c>
      <c r="K2099" s="5" t="inlineStr">
        <is>
          <t>LDVVNLZ0047</t>
        </is>
      </c>
      <c r="L2099" s="5" t="n"/>
      <c r="M2099" s="5">
        <f>IF(YEAR(I2099)&lt;=2020,"Até 2020",TEXT(YEAR(I2099),"0"))</f>
        <v/>
      </c>
      <c r="N2099" s="5">
        <f>IFERROR(INDEX(DePara!$A:$A,MATCH(TEXT(B2099,"0"),DePara!$D:$D,0)),"(sem categoria)")</f>
        <v/>
      </c>
      <c r="O2099" s="5">
        <f>IF(J2099="","",Parametros!$B$6-J2099)</f>
        <v/>
      </c>
      <c r="P2099" s="5">
        <f>IF(O2099="","",IF(O2099&gt;0,1,0))</f>
        <v/>
      </c>
    </row>
    <row r="2100">
      <c r="A2100" s="5" t="n">
        <v>2111000000</v>
      </c>
      <c r="B2100" s="5" t="inlineStr">
        <is>
          <t>101560</t>
        </is>
      </c>
      <c r="C2100" s="5" t="inlineStr">
        <is>
          <t>SINDICATO DOS DESPACHANTES ADUANEIR DE SAO PAULO SINDASP</t>
        </is>
      </c>
      <c r="D2100" s="5" t="inlineStr">
        <is>
          <t>KR</t>
        </is>
      </c>
      <c r="E2100" s="5" t="n">
        <v>5014319</v>
      </c>
      <c r="F2100" s="5" t="inlineStr">
        <is>
          <t>6582194</t>
        </is>
      </c>
      <c r="G2100" s="5" t="inlineStr">
        <is>
          <t>BRL</t>
        </is>
      </c>
      <c r="H2100" s="9" t="n">
        <v>-500</v>
      </c>
      <c r="I2100" s="16" t="n">
        <v>45251</v>
      </c>
      <c r="J2100" s="16" t="n">
        <v>45251</v>
      </c>
      <c r="K2100" s="5" t="inlineStr">
        <is>
          <t>LDVVNLZ0074</t>
        </is>
      </c>
      <c r="L2100" s="5" t="n"/>
      <c r="M2100" s="5">
        <f>IF(YEAR(I2100)&lt;=2020,"Até 2020",TEXT(YEAR(I2100),"0"))</f>
        <v/>
      </c>
      <c r="N2100" s="5">
        <f>IFERROR(INDEX(DePara!$A:$A,MATCH(TEXT(B2100,"0"),DePara!$D:$D,0)),"(sem categoria)")</f>
        <v/>
      </c>
      <c r="O2100" s="5">
        <f>IF(J2100="","",Parametros!$B$6-J2100)</f>
        <v/>
      </c>
      <c r="P2100" s="5">
        <f>IF(O2100="","",IF(O2100&gt;0,1,0))</f>
        <v/>
      </c>
    </row>
    <row r="2101">
      <c r="A2101" s="5" t="n">
        <v>2111000000</v>
      </c>
      <c r="B2101" s="5" t="inlineStr">
        <is>
          <t>101317</t>
        </is>
      </c>
      <c r="C2101" s="5" t="inlineStr">
        <is>
          <t>JOAO VANDERLEI ROYER</t>
        </is>
      </c>
      <c r="D2101" s="5" t="inlineStr">
        <is>
          <t>RE</t>
        </is>
      </c>
      <c r="E2101" s="5" t="n">
        <v>5014335</v>
      </c>
      <c r="F2101" s="5" t="inlineStr">
        <is>
          <t>75</t>
        </is>
      </c>
      <c r="G2101" s="5" t="inlineStr">
        <is>
          <t>BRL</t>
        </is>
      </c>
      <c r="H2101" s="9" t="n">
        <v>-7000</v>
      </c>
      <c r="I2101" s="16" t="n">
        <v>46228</v>
      </c>
      <c r="J2101" s="16" t="n">
        <v>46270</v>
      </c>
      <c r="K2101" s="5" t="inlineStr">
        <is>
          <t>Fatura - bruto JOAO VANDERLEI ROYER 75</t>
        </is>
      </c>
      <c r="L2101" s="5" t="inlineStr">
        <is>
          <t>08092026</t>
        </is>
      </c>
      <c r="M2101" s="5">
        <f>IF(YEAR(I2101)&lt;=2020,"Até 2020",TEXT(YEAR(I2101),"0"))</f>
        <v/>
      </c>
      <c r="N2101" s="5">
        <f>IFERROR(INDEX(DePara!$A:$A,MATCH(TEXT(B2101,"0"),DePara!$D:$D,0)),"(sem categoria)")</f>
        <v/>
      </c>
      <c r="O2101" s="5">
        <f>IF(J2101="","",Parametros!$B$6-J2101)</f>
        <v/>
      </c>
      <c r="P2101" s="5">
        <f>IF(O2101="","",IF(O2101&gt;0,1,0))</f>
        <v/>
      </c>
    </row>
    <row r="2102">
      <c r="A2102" s="5" t="n">
        <v>2111000000</v>
      </c>
      <c r="B2102" s="5" t="inlineStr">
        <is>
          <t>100379</t>
        </is>
      </c>
      <c r="C2102" s="5" t="inlineStr">
        <is>
          <t>RAK LOG TRANSPORTES E LOGISTICA EIR</t>
        </is>
      </c>
      <c r="D2102" s="5" t="inlineStr">
        <is>
          <t>RE</t>
        </is>
      </c>
      <c r="E2102" s="5" t="n">
        <v>5014337</v>
      </c>
      <c r="F2102" s="5" t="inlineStr">
        <is>
          <t>335295-1</t>
        </is>
      </c>
      <c r="G2102" s="5" t="inlineStr">
        <is>
          <t>BRL</t>
        </is>
      </c>
      <c r="H2102" s="9" t="n">
        <v>-9630.27</v>
      </c>
      <c r="I2102" s="16" t="n">
        <v>46210</v>
      </c>
      <c r="J2102" s="16" t="n">
        <v>46300</v>
      </c>
      <c r="K2102" s="5" t="inlineStr">
        <is>
          <t>Fatura - bruto RAK LOG TRANSPORTES E LOGISTICA EIR</t>
        </is>
      </c>
      <c r="L2102" s="5" t="inlineStr">
        <is>
          <t>05102026</t>
        </is>
      </c>
      <c r="M2102" s="5">
        <f>IF(YEAR(I2102)&lt;=2020,"Até 2020",TEXT(YEAR(I2102),"0"))</f>
        <v/>
      </c>
      <c r="N2102" s="5">
        <f>IFERROR(INDEX(DePara!$A:$A,MATCH(TEXT(B2102,"0"),DePara!$D:$D,0)),"(sem categoria)")</f>
        <v/>
      </c>
      <c r="O2102" s="5">
        <f>IF(J2102="","",Parametros!$B$6-J2102)</f>
        <v/>
      </c>
      <c r="P2102" s="5">
        <f>IF(O2102="","",IF(O2102&gt;0,1,0))</f>
        <v/>
      </c>
    </row>
    <row r="2103">
      <c r="A2103" s="5" t="n">
        <v>2111000000</v>
      </c>
      <c r="B2103" s="5" t="inlineStr">
        <is>
          <t>100379</t>
        </is>
      </c>
      <c r="C2103" s="5" t="inlineStr">
        <is>
          <t>RAK LOG TRANSPORTES E LOGISTICA EIR</t>
        </is>
      </c>
      <c r="D2103" s="5" t="inlineStr">
        <is>
          <t>RE</t>
        </is>
      </c>
      <c r="E2103" s="5" t="n">
        <v>5014338</v>
      </c>
      <c r="F2103" s="5" t="inlineStr">
        <is>
          <t>335306-1</t>
        </is>
      </c>
      <c r="G2103" s="5" t="inlineStr">
        <is>
          <t>BRL</t>
        </is>
      </c>
      <c r="H2103" s="9" t="n">
        <v>-9613.219999999999</v>
      </c>
      <c r="I2103" s="16" t="n">
        <v>46210</v>
      </c>
      <c r="J2103" s="16" t="n">
        <v>46300</v>
      </c>
      <c r="K2103" s="5" t="inlineStr">
        <is>
          <t>Fatura - bruto RAK LOG TRANSPORTES E LOGISTICA EIR</t>
        </is>
      </c>
      <c r="L2103" s="5" t="inlineStr">
        <is>
          <t>05102026</t>
        </is>
      </c>
      <c r="M2103" s="5">
        <f>IF(YEAR(I2103)&lt;=2020,"Até 2020",TEXT(YEAR(I2103),"0"))</f>
        <v/>
      </c>
      <c r="N2103" s="5">
        <f>IFERROR(INDEX(DePara!$A:$A,MATCH(TEXT(B2103,"0"),DePara!$D:$D,0)),"(sem categoria)")</f>
        <v/>
      </c>
      <c r="O2103" s="5">
        <f>IF(J2103="","",Parametros!$B$6-J2103)</f>
        <v/>
      </c>
      <c r="P2103" s="5">
        <f>IF(O2103="","",IF(O2103&gt;0,1,0))</f>
        <v/>
      </c>
    </row>
    <row r="2104">
      <c r="A2104" s="5" t="n">
        <v>2111000000</v>
      </c>
      <c r="B2104" s="5" t="inlineStr">
        <is>
          <t>100379</t>
        </is>
      </c>
      <c r="C2104" s="5" t="inlineStr">
        <is>
          <t>RAK LOG TRANSPORTES E LOGISTICA EIR</t>
        </is>
      </c>
      <c r="D2104" s="5" t="inlineStr">
        <is>
          <t>RE</t>
        </is>
      </c>
      <c r="E2104" s="5" t="n">
        <v>5014339</v>
      </c>
      <c r="F2104" s="5" t="inlineStr">
        <is>
          <t>335308-1</t>
        </is>
      </c>
      <c r="G2104" s="5" t="inlineStr">
        <is>
          <t>BRL</t>
        </is>
      </c>
      <c r="H2104" s="9" t="n">
        <v>-9609.049999999999</v>
      </c>
      <c r="I2104" s="16" t="n">
        <v>46210</v>
      </c>
      <c r="J2104" s="16" t="n">
        <v>46300</v>
      </c>
      <c r="K2104" s="5" t="inlineStr">
        <is>
          <t>Fatura - bruto RAK LOG TRANSPORTES E LOGISTICA EIR</t>
        </is>
      </c>
      <c r="L2104" s="5" t="inlineStr">
        <is>
          <t>05102026</t>
        </is>
      </c>
      <c r="M2104" s="5">
        <f>IF(YEAR(I2104)&lt;=2020,"Até 2020",TEXT(YEAR(I2104),"0"))</f>
        <v/>
      </c>
      <c r="N2104" s="5">
        <f>IFERROR(INDEX(DePara!$A:$A,MATCH(TEXT(B2104,"0"),DePara!$D:$D,0)),"(sem categoria)")</f>
        <v/>
      </c>
      <c r="O2104" s="5">
        <f>IF(J2104="","",Parametros!$B$6-J2104)</f>
        <v/>
      </c>
      <c r="P2104" s="5">
        <f>IF(O2104="","",IF(O2104&gt;0,1,0))</f>
        <v/>
      </c>
    </row>
    <row r="2105">
      <c r="A2105" s="5" t="n">
        <v>2111000000</v>
      </c>
      <c r="B2105" s="5" t="inlineStr">
        <is>
          <t>100379</t>
        </is>
      </c>
      <c r="C2105" s="5" t="inlineStr">
        <is>
          <t>RAK LOG TRANSPORTES E LOGISTICA EIR</t>
        </is>
      </c>
      <c r="D2105" s="5" t="inlineStr">
        <is>
          <t>RE</t>
        </is>
      </c>
      <c r="E2105" s="5" t="n">
        <v>5014340</v>
      </c>
      <c r="F2105" s="5" t="inlineStr">
        <is>
          <t>336010-1</t>
        </is>
      </c>
      <c r="G2105" s="5" t="inlineStr">
        <is>
          <t>BRL</t>
        </is>
      </c>
      <c r="H2105" s="9" t="n">
        <v>-9389.719999999999</v>
      </c>
      <c r="I2105" s="16" t="n">
        <v>46218</v>
      </c>
      <c r="J2105" s="16" t="n">
        <v>46300</v>
      </c>
      <c r="K2105" s="5" t="inlineStr">
        <is>
          <t>Fatura - bruto RAK LOG TRANSPORTES E LOGISTICA EIR</t>
        </is>
      </c>
      <c r="L2105" s="5" t="inlineStr">
        <is>
          <t>05102026</t>
        </is>
      </c>
      <c r="M2105" s="5">
        <f>IF(YEAR(I2105)&lt;=2020,"Até 2020",TEXT(YEAR(I2105),"0"))</f>
        <v/>
      </c>
      <c r="N2105" s="5">
        <f>IFERROR(INDEX(DePara!$A:$A,MATCH(TEXT(B2105,"0"),DePara!$D:$D,0)),"(sem categoria)")</f>
        <v/>
      </c>
      <c r="O2105" s="5">
        <f>IF(J2105="","",Parametros!$B$6-J2105)</f>
        <v/>
      </c>
      <c r="P2105" s="5">
        <f>IF(O2105="","",IF(O2105&gt;0,1,0))</f>
        <v/>
      </c>
    </row>
    <row r="2106">
      <c r="A2106" s="5" t="n">
        <v>2111000000</v>
      </c>
      <c r="B2106" s="5" t="inlineStr">
        <is>
          <t>100379</t>
        </is>
      </c>
      <c r="C2106" s="5" t="inlineStr">
        <is>
          <t>RAK LOG TRANSPORTES E LOGISTICA EIR</t>
        </is>
      </c>
      <c r="D2106" s="5" t="inlineStr">
        <is>
          <t>RE</t>
        </is>
      </c>
      <c r="E2106" s="5" t="n">
        <v>5014341</v>
      </c>
      <c r="F2106" s="5" t="inlineStr">
        <is>
          <t>336017-1</t>
        </is>
      </c>
      <c r="G2106" s="5" t="inlineStr">
        <is>
          <t>BRL</t>
        </is>
      </c>
      <c r="H2106" s="9" t="n">
        <v>-9389.719999999999</v>
      </c>
      <c r="I2106" s="16" t="n">
        <v>46218</v>
      </c>
      <c r="J2106" s="16" t="n">
        <v>46300</v>
      </c>
      <c r="K2106" s="5" t="inlineStr">
        <is>
          <t>Fatura - bruto RAK LOG TRANSPORTES E LOGISTICA EIR</t>
        </is>
      </c>
      <c r="L2106" s="5" t="inlineStr">
        <is>
          <t>05102026</t>
        </is>
      </c>
      <c r="M2106" s="5">
        <f>IF(YEAR(I2106)&lt;=2020,"Até 2020",TEXT(YEAR(I2106),"0"))</f>
        <v/>
      </c>
      <c r="N2106" s="5">
        <f>IFERROR(INDEX(DePara!$A:$A,MATCH(TEXT(B2106,"0"),DePara!$D:$D,0)),"(sem categoria)")</f>
        <v/>
      </c>
      <c r="O2106" s="5">
        <f>IF(J2106="","",Parametros!$B$6-J2106)</f>
        <v/>
      </c>
      <c r="P2106" s="5">
        <f>IF(O2106="","",IF(O2106&gt;0,1,0))</f>
        <v/>
      </c>
    </row>
    <row r="2107">
      <c r="A2107" s="5" t="n">
        <v>2111000000</v>
      </c>
      <c r="B2107" s="5" t="inlineStr">
        <is>
          <t>100379</t>
        </is>
      </c>
      <c r="C2107" s="5" t="inlineStr">
        <is>
          <t>RAK LOG TRANSPORTES E LOGISTICA EIR</t>
        </is>
      </c>
      <c r="D2107" s="5" t="inlineStr">
        <is>
          <t>RE</t>
        </is>
      </c>
      <c r="E2107" s="5" t="n">
        <v>5014342</v>
      </c>
      <c r="F2107" s="5" t="inlineStr">
        <is>
          <t>336021-1</t>
        </is>
      </c>
      <c r="G2107" s="5" t="inlineStr">
        <is>
          <t>BRL</t>
        </is>
      </c>
      <c r="H2107" s="9" t="n">
        <v>-9389.719999999999</v>
      </c>
      <c r="I2107" s="16" t="n">
        <v>46218</v>
      </c>
      <c r="J2107" s="16" t="n">
        <v>46300</v>
      </c>
      <c r="K2107" s="5" t="inlineStr">
        <is>
          <t>Fatura - bruto RAK LOG TRANSPORTES E LOGISTICA EIR</t>
        </is>
      </c>
      <c r="L2107" s="5" t="inlineStr">
        <is>
          <t>05102026</t>
        </is>
      </c>
      <c r="M2107" s="5">
        <f>IF(YEAR(I2107)&lt;=2020,"Até 2020",TEXT(YEAR(I2107),"0"))</f>
        <v/>
      </c>
      <c r="N2107" s="5">
        <f>IFERROR(INDEX(DePara!$A:$A,MATCH(TEXT(B2107,"0"),DePara!$D:$D,0)),"(sem categoria)")</f>
        <v/>
      </c>
      <c r="O2107" s="5">
        <f>IF(J2107="","",Parametros!$B$6-J2107)</f>
        <v/>
      </c>
      <c r="P2107" s="5">
        <f>IF(O2107="","",IF(O2107&gt;0,1,0))</f>
        <v/>
      </c>
    </row>
    <row r="2108">
      <c r="A2108" s="5" t="n">
        <v>2111000000</v>
      </c>
      <c r="B2108" s="5" t="inlineStr">
        <is>
          <t>100379</t>
        </is>
      </c>
      <c r="C2108" s="5" t="inlineStr">
        <is>
          <t>RAK LOG TRANSPORTES E LOGISTICA EIR</t>
        </is>
      </c>
      <c r="D2108" s="5" t="inlineStr">
        <is>
          <t>RE</t>
        </is>
      </c>
      <c r="E2108" s="5" t="n">
        <v>5014343</v>
      </c>
      <c r="F2108" s="5" t="inlineStr">
        <is>
          <t>336492-1</t>
        </is>
      </c>
      <c r="G2108" s="5" t="inlineStr">
        <is>
          <t>BRL</t>
        </is>
      </c>
      <c r="H2108" s="9" t="n">
        <v>-9389.530000000001</v>
      </c>
      <c r="I2108" s="16" t="n">
        <v>46223</v>
      </c>
      <c r="J2108" s="16" t="n">
        <v>46300</v>
      </c>
      <c r="K2108" s="5" t="inlineStr">
        <is>
          <t>Fatura - bruto RAK LOG TRANSPORTES E LOGISTICA EIR</t>
        </is>
      </c>
      <c r="L2108" s="5" t="inlineStr">
        <is>
          <t>05102026</t>
        </is>
      </c>
      <c r="M2108" s="5">
        <f>IF(YEAR(I2108)&lt;=2020,"Até 2020",TEXT(YEAR(I2108),"0"))</f>
        <v/>
      </c>
      <c r="N2108" s="5">
        <f>IFERROR(INDEX(DePara!$A:$A,MATCH(TEXT(B2108,"0"),DePara!$D:$D,0)),"(sem categoria)")</f>
        <v/>
      </c>
      <c r="O2108" s="5">
        <f>IF(J2108="","",Parametros!$B$6-J2108)</f>
        <v/>
      </c>
      <c r="P2108" s="5">
        <f>IF(O2108="","",IF(O2108&gt;0,1,0))</f>
        <v/>
      </c>
    </row>
    <row r="2109">
      <c r="A2109" s="5" t="n">
        <v>2111000000</v>
      </c>
      <c r="B2109" s="5" t="inlineStr">
        <is>
          <t>100379</t>
        </is>
      </c>
      <c r="C2109" s="5" t="inlineStr">
        <is>
          <t>RAK LOG TRANSPORTES E LOGISTICA EIR</t>
        </is>
      </c>
      <c r="D2109" s="5" t="inlineStr">
        <is>
          <t>RE</t>
        </is>
      </c>
      <c r="E2109" s="5" t="n">
        <v>5014344</v>
      </c>
      <c r="F2109" s="5" t="inlineStr">
        <is>
          <t>336523-1</t>
        </is>
      </c>
      <c r="G2109" s="5" t="inlineStr">
        <is>
          <t>BRL</t>
        </is>
      </c>
      <c r="H2109" s="9" t="n">
        <v>-9389.530000000001</v>
      </c>
      <c r="I2109" s="16" t="n">
        <v>46223</v>
      </c>
      <c r="J2109" s="16" t="n">
        <v>46300</v>
      </c>
      <c r="K2109" s="5" t="inlineStr">
        <is>
          <t>Fatura - bruto RAK LOG TRANSPORTES E LOGISTICA EIR</t>
        </is>
      </c>
      <c r="L2109" s="5" t="inlineStr">
        <is>
          <t>05102026</t>
        </is>
      </c>
      <c r="M2109" s="5">
        <f>IF(YEAR(I2109)&lt;=2020,"Até 2020",TEXT(YEAR(I2109),"0"))</f>
        <v/>
      </c>
      <c r="N2109" s="5">
        <f>IFERROR(INDEX(DePara!$A:$A,MATCH(TEXT(B2109,"0"),DePara!$D:$D,0)),"(sem categoria)")</f>
        <v/>
      </c>
      <c r="O2109" s="5">
        <f>IF(J2109="","",Parametros!$B$6-J2109)</f>
        <v/>
      </c>
      <c r="P2109" s="5">
        <f>IF(O2109="","",IF(O2109&gt;0,1,0))</f>
        <v/>
      </c>
    </row>
    <row r="2110">
      <c r="A2110" s="5" t="n">
        <v>2111000000</v>
      </c>
      <c r="B2110" s="5" t="inlineStr">
        <is>
          <t>100379</t>
        </is>
      </c>
      <c r="C2110" s="5" t="inlineStr">
        <is>
          <t>RAK LOG TRANSPORTES E LOGISTICA EIR</t>
        </is>
      </c>
      <c r="D2110" s="5" t="inlineStr">
        <is>
          <t>RE</t>
        </is>
      </c>
      <c r="E2110" s="5" t="n">
        <v>5014345</v>
      </c>
      <c r="F2110" s="5" t="inlineStr">
        <is>
          <t>336530-1</t>
        </is>
      </c>
      <c r="G2110" s="5" t="inlineStr">
        <is>
          <t>BRL</t>
        </is>
      </c>
      <c r="H2110" s="9" t="n">
        <v>-9415.75</v>
      </c>
      <c r="I2110" s="16" t="n">
        <v>46223</v>
      </c>
      <c r="J2110" s="16" t="n">
        <v>46300</v>
      </c>
      <c r="K2110" s="5" t="inlineStr">
        <is>
          <t>Fatura - bruto RAK LOG TRANSPORTES E LOGISTICA EIR</t>
        </is>
      </c>
      <c r="L2110" s="5" t="inlineStr">
        <is>
          <t>05102026</t>
        </is>
      </c>
      <c r="M2110" s="5">
        <f>IF(YEAR(I2110)&lt;=2020,"Até 2020",TEXT(YEAR(I2110),"0"))</f>
        <v/>
      </c>
      <c r="N2110" s="5">
        <f>IFERROR(INDEX(DePara!$A:$A,MATCH(TEXT(B2110,"0"),DePara!$D:$D,0)),"(sem categoria)")</f>
        <v/>
      </c>
      <c r="O2110" s="5">
        <f>IF(J2110="","",Parametros!$B$6-J2110)</f>
        <v/>
      </c>
      <c r="P2110" s="5">
        <f>IF(O2110="","",IF(O2110&gt;0,1,0))</f>
        <v/>
      </c>
    </row>
    <row r="2111">
      <c r="A2111" s="5" t="n">
        <v>2111000000</v>
      </c>
      <c r="B2111" s="5" t="inlineStr">
        <is>
          <t>100379</t>
        </is>
      </c>
      <c r="C2111" s="5" t="inlineStr">
        <is>
          <t>RAK LOG TRANSPORTES E LOGISTICA EIR</t>
        </is>
      </c>
      <c r="D2111" s="5" t="inlineStr">
        <is>
          <t>RE</t>
        </is>
      </c>
      <c r="E2111" s="5" t="n">
        <v>5014346</v>
      </c>
      <c r="F2111" s="5" t="inlineStr">
        <is>
          <t>336535-1</t>
        </is>
      </c>
      <c r="G2111" s="5" t="inlineStr">
        <is>
          <t>BRL</t>
        </is>
      </c>
      <c r="H2111" s="9" t="n">
        <v>-9415.52</v>
      </c>
      <c r="I2111" s="16" t="n">
        <v>46223</v>
      </c>
      <c r="J2111" s="16" t="n">
        <v>46300</v>
      </c>
      <c r="K2111" s="5" t="inlineStr">
        <is>
          <t>Fatura - bruto RAK LOG TRANSPORTES E LOGISTICA EIR</t>
        </is>
      </c>
      <c r="L2111" s="5" t="inlineStr">
        <is>
          <t>05102026</t>
        </is>
      </c>
      <c r="M2111" s="5">
        <f>IF(YEAR(I2111)&lt;=2020,"Até 2020",TEXT(YEAR(I2111),"0"))</f>
        <v/>
      </c>
      <c r="N2111" s="5">
        <f>IFERROR(INDEX(DePara!$A:$A,MATCH(TEXT(B2111,"0"),DePara!$D:$D,0)),"(sem categoria)")</f>
        <v/>
      </c>
      <c r="O2111" s="5">
        <f>IF(J2111="","",Parametros!$B$6-J2111)</f>
        <v/>
      </c>
      <c r="P2111" s="5">
        <f>IF(O2111="","",IF(O2111&gt;0,1,0))</f>
        <v/>
      </c>
    </row>
    <row r="2112">
      <c r="A2112" s="5" t="n">
        <v>2111000000</v>
      </c>
      <c r="B2112" s="5" t="inlineStr">
        <is>
          <t>100379</t>
        </is>
      </c>
      <c r="C2112" s="5" t="inlineStr">
        <is>
          <t>RAK LOG TRANSPORTES E LOGISTICA EIR</t>
        </is>
      </c>
      <c r="D2112" s="5" t="inlineStr">
        <is>
          <t>RE</t>
        </is>
      </c>
      <c r="E2112" s="5" t="n">
        <v>5014347</v>
      </c>
      <c r="F2112" s="5" t="inlineStr">
        <is>
          <t>336592-1</t>
        </is>
      </c>
      <c r="G2112" s="5" t="inlineStr">
        <is>
          <t>BRL</t>
        </is>
      </c>
      <c r="H2112" s="9" t="n">
        <v>-9415.52</v>
      </c>
      <c r="I2112" s="16" t="n">
        <v>46223</v>
      </c>
      <c r="J2112" s="16" t="n">
        <v>46300</v>
      </c>
      <c r="K2112" s="5" t="inlineStr">
        <is>
          <t>Fatura - bruto RAK LOG TRANSPORTES E LOGISTICA EIR</t>
        </is>
      </c>
      <c r="L2112" s="5" t="inlineStr">
        <is>
          <t>05102026</t>
        </is>
      </c>
      <c r="M2112" s="5">
        <f>IF(YEAR(I2112)&lt;=2020,"Até 2020",TEXT(YEAR(I2112),"0"))</f>
        <v/>
      </c>
      <c r="N2112" s="5">
        <f>IFERROR(INDEX(DePara!$A:$A,MATCH(TEXT(B2112,"0"),DePara!$D:$D,0)),"(sem categoria)")</f>
        <v/>
      </c>
      <c r="O2112" s="5">
        <f>IF(J2112="","",Parametros!$B$6-J2112)</f>
        <v/>
      </c>
      <c r="P2112" s="5">
        <f>IF(O2112="","",IF(O2112&gt;0,1,0))</f>
        <v/>
      </c>
    </row>
    <row r="2113">
      <c r="A2113" s="5" t="n">
        <v>2111000000</v>
      </c>
      <c r="B2113" s="5" t="inlineStr">
        <is>
          <t>102116</t>
        </is>
      </c>
      <c r="C2113" s="5" t="inlineStr">
        <is>
          <t>COMPANHIA DE ELETR DO ESTADO DA BAH</t>
        </is>
      </c>
      <c r="D2113" s="5" t="inlineStr">
        <is>
          <t>RE</t>
        </is>
      </c>
      <c r="E2113" s="5" t="n">
        <v>5014348</v>
      </c>
      <c r="F2113" s="5" t="inlineStr">
        <is>
          <t>978057641</t>
        </is>
      </c>
      <c r="G2113" s="5" t="inlineStr">
        <is>
          <t>BRL</t>
        </is>
      </c>
      <c r="H2113" s="9" t="n">
        <v>-7736.44</v>
      </c>
      <c r="I2113" s="16" t="n">
        <v>46219</v>
      </c>
      <c r="J2113" s="16" t="n">
        <v>46276</v>
      </c>
      <c r="K2113" s="5" t="inlineStr">
        <is>
          <t>Fatura - bruto COMPANHIA DE ELETR DO ESTADO DA BAH</t>
        </is>
      </c>
      <c r="L2113" s="5" t="inlineStr">
        <is>
          <t>09092026</t>
        </is>
      </c>
      <c r="M2113" s="5">
        <f>IF(YEAR(I2113)&lt;=2020,"Até 2020",TEXT(YEAR(I2113),"0"))</f>
        <v/>
      </c>
      <c r="N2113" s="5">
        <f>IFERROR(INDEX(DePara!$A:$A,MATCH(TEXT(B2113,"0"),DePara!$D:$D,0)),"(sem categoria)")</f>
        <v/>
      </c>
      <c r="O2113" s="5">
        <f>IF(J2113="","",Parametros!$B$6-J2113)</f>
        <v/>
      </c>
      <c r="P2113" s="5">
        <f>IF(O2113="","",IF(O2113&gt;0,1,0))</f>
        <v/>
      </c>
    </row>
    <row r="2114">
      <c r="A2114" s="5" t="n">
        <v>2111000000</v>
      </c>
      <c r="B2114" s="5" t="inlineStr">
        <is>
          <t>102069</t>
        </is>
      </c>
      <c r="C2114" s="5" t="inlineStr">
        <is>
          <t>AMBAR PATRIMONIAL LTDA</t>
        </is>
      </c>
      <c r="D2114" s="5" t="inlineStr">
        <is>
          <t>RE</t>
        </is>
      </c>
      <c r="E2114" s="5" t="n">
        <v>5014349</v>
      </c>
      <c r="F2114" s="5" t="inlineStr">
        <is>
          <t>15</t>
        </is>
      </c>
      <c r="G2114" s="5" t="inlineStr">
        <is>
          <t>BRL</t>
        </is>
      </c>
      <c r="H2114" s="9" t="n">
        <v>-128248.22</v>
      </c>
      <c r="I2114" s="16" t="n">
        <v>46237</v>
      </c>
      <c r="J2114" s="16" t="n">
        <v>46270</v>
      </c>
      <c r="K2114" s="5" t="inlineStr">
        <is>
          <t>Fatura - bruto AMBAR PATRIMONIAL LTDA 15</t>
        </is>
      </c>
      <c r="L2114" s="5" t="inlineStr">
        <is>
          <t>08092026</t>
        </is>
      </c>
      <c r="M2114" s="5">
        <f>IF(YEAR(I2114)&lt;=2020,"Até 2020",TEXT(YEAR(I2114),"0"))</f>
        <v/>
      </c>
      <c r="N2114" s="5">
        <f>IFERROR(INDEX(DePara!$A:$A,MATCH(TEXT(B2114,"0"),DePara!$D:$D,0)),"(sem categoria)")</f>
        <v/>
      </c>
      <c r="O2114" s="5">
        <f>IF(J2114="","",Parametros!$B$6-J2114)</f>
        <v/>
      </c>
      <c r="P2114" s="5">
        <f>IF(O2114="","",IF(O2114&gt;0,1,0))</f>
        <v/>
      </c>
    </row>
    <row r="2115">
      <c r="A2115" s="5" t="n">
        <v>2111000000</v>
      </c>
      <c r="B2115" s="5" t="inlineStr">
        <is>
          <t>103745</t>
        </is>
      </c>
      <c r="C2115" s="5" t="inlineStr">
        <is>
          <t>AIR LIDER COMERCIO E TRANSPORTE DE</t>
        </is>
      </c>
      <c r="D2115" s="5" t="inlineStr">
        <is>
          <t>RE</t>
        </is>
      </c>
      <c r="E2115" s="5" t="n">
        <v>5014361</v>
      </c>
      <c r="F2115" s="5" t="inlineStr">
        <is>
          <t>12363</t>
        </is>
      </c>
      <c r="G2115" s="5" t="inlineStr">
        <is>
          <t>BRL</t>
        </is>
      </c>
      <c r="H2115" s="9" t="n">
        <v>-673.92</v>
      </c>
      <c r="I2115" s="16" t="n">
        <v>46237</v>
      </c>
      <c r="J2115" s="16" t="n">
        <v>46270</v>
      </c>
      <c r="K2115" s="5" t="inlineStr">
        <is>
          <t>Fatura - bruto AIR LIDER COMERCIO E TRANSPORTE DE</t>
        </is>
      </c>
      <c r="L2115" s="5" t="inlineStr">
        <is>
          <t>08092026</t>
        </is>
      </c>
      <c r="M2115" s="5">
        <f>IF(YEAR(I2115)&lt;=2020,"Até 2020",TEXT(YEAR(I2115),"0"))</f>
        <v/>
      </c>
      <c r="N2115" s="5">
        <f>IFERROR(INDEX(DePara!$A:$A,MATCH(TEXT(B2115,"0"),DePara!$D:$D,0)),"(sem categoria)")</f>
        <v/>
      </c>
      <c r="O2115" s="5">
        <f>IF(J2115="","",Parametros!$B$6-J2115)</f>
        <v/>
      </c>
      <c r="P2115" s="5">
        <f>IF(O2115="","",IF(O2115&gt;0,1,0))</f>
        <v/>
      </c>
    </row>
    <row r="2116">
      <c r="A2116" s="5" t="n">
        <v>2111000000</v>
      </c>
      <c r="B2116" s="5" t="inlineStr">
        <is>
          <t>100883</t>
        </is>
      </c>
      <c r="C2116" s="5" t="inlineStr">
        <is>
          <t>QUELMAR TRANSPORTES LTDA</t>
        </is>
      </c>
      <c r="D2116" s="5" t="inlineStr">
        <is>
          <t>RE</t>
        </is>
      </c>
      <c r="E2116" s="5" t="n">
        <v>5014364</v>
      </c>
      <c r="F2116" s="5" t="inlineStr">
        <is>
          <t>108052-1</t>
        </is>
      </c>
      <c r="G2116" s="5" t="inlineStr">
        <is>
          <t>BRL</t>
        </is>
      </c>
      <c r="H2116" s="9" t="n">
        <v>-970</v>
      </c>
      <c r="I2116" s="16" t="n">
        <v>46220</v>
      </c>
      <c r="J2116" s="16" t="n">
        <v>46270</v>
      </c>
      <c r="K2116" s="5" t="inlineStr">
        <is>
          <t>Fatura - bruto QUELMAR TRANSPORTES LTDA 108052-1</t>
        </is>
      </c>
      <c r="L2116" s="5" t="inlineStr">
        <is>
          <t>08092026</t>
        </is>
      </c>
      <c r="M2116" s="5">
        <f>IF(YEAR(I2116)&lt;=2020,"Até 2020",TEXT(YEAR(I2116),"0"))</f>
        <v/>
      </c>
      <c r="N2116" s="5">
        <f>IFERROR(INDEX(DePara!$A:$A,MATCH(TEXT(B2116,"0"),DePara!$D:$D,0)),"(sem categoria)")</f>
        <v/>
      </c>
      <c r="O2116" s="5">
        <f>IF(J2116="","",Parametros!$B$6-J2116)</f>
        <v/>
      </c>
      <c r="P2116" s="5">
        <f>IF(O2116="","",IF(O2116&gt;0,1,0))</f>
        <v/>
      </c>
    </row>
    <row r="2117">
      <c r="A2117" s="5" t="n">
        <v>2111000000</v>
      </c>
      <c r="B2117" s="5" t="inlineStr">
        <is>
          <t>100883</t>
        </is>
      </c>
      <c r="C2117" s="5" t="inlineStr">
        <is>
          <t>QUELMAR TRANSPORTES LTDA</t>
        </is>
      </c>
      <c r="D2117" s="5" t="inlineStr">
        <is>
          <t>RE</t>
        </is>
      </c>
      <c r="E2117" s="5" t="n">
        <v>5014365</v>
      </c>
      <c r="F2117" s="5" t="inlineStr">
        <is>
          <t>108201-1</t>
        </is>
      </c>
      <c r="G2117" s="5" t="inlineStr">
        <is>
          <t>BRL</t>
        </is>
      </c>
      <c r="H2117" s="9" t="n">
        <v>-3200</v>
      </c>
      <c r="I2117" s="16" t="n">
        <v>46231</v>
      </c>
      <c r="J2117" s="16" t="n">
        <v>46270</v>
      </c>
      <c r="K2117" s="5" t="inlineStr">
        <is>
          <t>Fatura - bruto QUELMAR TRANSPORTES LTDA 108201-1</t>
        </is>
      </c>
      <c r="L2117" s="5" t="inlineStr">
        <is>
          <t>08092026</t>
        </is>
      </c>
      <c r="M2117" s="5">
        <f>IF(YEAR(I2117)&lt;=2020,"Até 2020",TEXT(YEAR(I2117),"0"))</f>
        <v/>
      </c>
      <c r="N2117" s="5">
        <f>IFERROR(INDEX(DePara!$A:$A,MATCH(TEXT(B2117,"0"),DePara!$D:$D,0)),"(sem categoria)")</f>
        <v/>
      </c>
      <c r="O2117" s="5">
        <f>IF(J2117="","",Parametros!$B$6-J2117)</f>
        <v/>
      </c>
      <c r="P2117" s="5">
        <f>IF(O2117="","",IF(O2117&gt;0,1,0))</f>
        <v/>
      </c>
    </row>
    <row r="2118">
      <c r="A2118" s="5" t="n">
        <v>2111000000</v>
      </c>
      <c r="B2118" s="5" t="inlineStr">
        <is>
          <t>100883</t>
        </is>
      </c>
      <c r="C2118" s="5" t="inlineStr">
        <is>
          <t>QUELMAR TRANSPORTES LTDA</t>
        </is>
      </c>
      <c r="D2118" s="5" t="inlineStr">
        <is>
          <t>RE</t>
        </is>
      </c>
      <c r="E2118" s="5" t="n">
        <v>5014366</v>
      </c>
      <c r="F2118" s="5" t="inlineStr">
        <is>
          <t>108229-1</t>
        </is>
      </c>
      <c r="G2118" s="5" t="inlineStr">
        <is>
          <t>BRL</t>
        </is>
      </c>
      <c r="H2118" s="9" t="n">
        <v>-1390</v>
      </c>
      <c r="I2118" s="16" t="n">
        <v>46232</v>
      </c>
      <c r="J2118" s="16" t="n">
        <v>46270</v>
      </c>
      <c r="K2118" s="5" t="inlineStr">
        <is>
          <t>Fatura - bruto QUELMAR TRANSPORTES LTDA 108229-1</t>
        </is>
      </c>
      <c r="L2118" s="5" t="inlineStr">
        <is>
          <t>08092026</t>
        </is>
      </c>
      <c r="M2118" s="5">
        <f>IF(YEAR(I2118)&lt;=2020,"Até 2020",TEXT(YEAR(I2118),"0"))</f>
        <v/>
      </c>
      <c r="N2118" s="5">
        <f>IFERROR(INDEX(DePara!$A:$A,MATCH(TEXT(B2118,"0"),DePara!$D:$D,0)),"(sem categoria)")</f>
        <v/>
      </c>
      <c r="O2118" s="5">
        <f>IF(J2118="","",Parametros!$B$6-J2118)</f>
        <v/>
      </c>
      <c r="P2118" s="5">
        <f>IF(O2118="","",IF(O2118&gt;0,1,0))</f>
        <v/>
      </c>
    </row>
    <row r="2119">
      <c r="A2119" s="5" t="n">
        <v>2111000000</v>
      </c>
      <c r="B2119" s="5" t="inlineStr">
        <is>
          <t>100883</t>
        </is>
      </c>
      <c r="C2119" s="5" t="inlineStr">
        <is>
          <t>QUELMAR TRANSPORTES LTDA</t>
        </is>
      </c>
      <c r="D2119" s="5" t="inlineStr">
        <is>
          <t>RE</t>
        </is>
      </c>
      <c r="E2119" s="5" t="n">
        <v>5014367</v>
      </c>
      <c r="F2119" s="5" t="inlineStr">
        <is>
          <t>108228-1</t>
        </is>
      </c>
      <c r="G2119" s="5" t="inlineStr">
        <is>
          <t>BRL</t>
        </is>
      </c>
      <c r="H2119" s="9" t="n">
        <v>-3350</v>
      </c>
      <c r="I2119" s="16" t="n">
        <v>46232</v>
      </c>
      <c r="J2119" s="16" t="n">
        <v>46270</v>
      </c>
      <c r="K2119" s="5" t="inlineStr">
        <is>
          <t>Fatura - bruto QUELMAR TRANSPORTES LTDA 108228-1</t>
        </is>
      </c>
      <c r="L2119" s="5" t="inlineStr">
        <is>
          <t>08092026</t>
        </is>
      </c>
      <c r="M2119" s="5">
        <f>IF(YEAR(I2119)&lt;=2020,"Até 2020",TEXT(YEAR(I2119),"0"))</f>
        <v/>
      </c>
      <c r="N2119" s="5">
        <f>IFERROR(INDEX(DePara!$A:$A,MATCH(TEXT(B2119,"0"),DePara!$D:$D,0)),"(sem categoria)")</f>
        <v/>
      </c>
      <c r="O2119" s="5">
        <f>IF(J2119="","",Parametros!$B$6-J2119)</f>
        <v/>
      </c>
      <c r="P2119" s="5">
        <f>IF(O2119="","",IF(O2119&gt;0,1,0))</f>
        <v/>
      </c>
    </row>
    <row r="2120">
      <c r="A2120" s="5" t="n">
        <v>2111000000</v>
      </c>
      <c r="B2120" s="5" t="inlineStr">
        <is>
          <t>100883</t>
        </is>
      </c>
      <c r="C2120" s="5" t="inlineStr">
        <is>
          <t>QUELMAR TRANSPORTES LTDA</t>
        </is>
      </c>
      <c r="D2120" s="5" t="inlineStr">
        <is>
          <t>RE</t>
        </is>
      </c>
      <c r="E2120" s="5" t="n">
        <v>5014368</v>
      </c>
      <c r="F2120" s="5" t="inlineStr">
        <is>
          <t>108226-1</t>
        </is>
      </c>
      <c r="G2120" s="5" t="inlineStr">
        <is>
          <t>BRL</t>
        </is>
      </c>
      <c r="H2120" s="9" t="n">
        <v>-980</v>
      </c>
      <c r="I2120" s="16" t="n">
        <v>46232</v>
      </c>
      <c r="J2120" s="16" t="n">
        <v>46270</v>
      </c>
      <c r="K2120" s="5" t="inlineStr">
        <is>
          <t>Fatura - bruto QUELMAR TRANSPORTES LTDA 108226-1</t>
        </is>
      </c>
      <c r="L2120" s="5" t="inlineStr">
        <is>
          <t>08092026</t>
        </is>
      </c>
      <c r="M2120" s="5">
        <f>IF(YEAR(I2120)&lt;=2020,"Até 2020",TEXT(YEAR(I2120),"0"))</f>
        <v/>
      </c>
      <c r="N2120" s="5">
        <f>IFERROR(INDEX(DePara!$A:$A,MATCH(TEXT(B2120,"0"),DePara!$D:$D,0)),"(sem categoria)")</f>
        <v/>
      </c>
      <c r="O2120" s="5">
        <f>IF(J2120="","",Parametros!$B$6-J2120)</f>
        <v/>
      </c>
      <c r="P2120" s="5">
        <f>IF(O2120="","",IF(O2120&gt;0,1,0))</f>
        <v/>
      </c>
    </row>
    <row r="2121">
      <c r="A2121" s="5" t="n">
        <v>2111000000</v>
      </c>
      <c r="B2121" s="5" t="inlineStr">
        <is>
          <t>100883</t>
        </is>
      </c>
      <c r="C2121" s="5" t="inlineStr">
        <is>
          <t>QUELMAR TRANSPORTES LTDA</t>
        </is>
      </c>
      <c r="D2121" s="5" t="inlineStr">
        <is>
          <t>RE</t>
        </is>
      </c>
      <c r="E2121" s="5" t="n">
        <v>5014369</v>
      </c>
      <c r="F2121" s="5" t="inlineStr">
        <is>
          <t>108207-1</t>
        </is>
      </c>
      <c r="G2121" s="5" t="inlineStr">
        <is>
          <t>BRL</t>
        </is>
      </c>
      <c r="H2121" s="9" t="n">
        <v>-1970</v>
      </c>
      <c r="I2121" s="16" t="n">
        <v>46231</v>
      </c>
      <c r="J2121" s="16" t="n">
        <v>46270</v>
      </c>
      <c r="K2121" s="5" t="inlineStr">
        <is>
          <t>Fatura - bruto QUELMAR TRANSPORTES LTDA 108207-1</t>
        </is>
      </c>
      <c r="L2121" s="5" t="inlineStr">
        <is>
          <t>08092026</t>
        </is>
      </c>
      <c r="M2121" s="5">
        <f>IF(YEAR(I2121)&lt;=2020,"Até 2020",TEXT(YEAR(I2121),"0"))</f>
        <v/>
      </c>
      <c r="N2121" s="5">
        <f>IFERROR(INDEX(DePara!$A:$A,MATCH(TEXT(B2121,"0"),DePara!$D:$D,0)),"(sem categoria)")</f>
        <v/>
      </c>
      <c r="O2121" s="5">
        <f>IF(J2121="","",Parametros!$B$6-J2121)</f>
        <v/>
      </c>
      <c r="P2121" s="5">
        <f>IF(O2121="","",IF(O2121&gt;0,1,0))</f>
        <v/>
      </c>
    </row>
    <row r="2122">
      <c r="A2122" s="5" t="n">
        <v>2111000000</v>
      </c>
      <c r="B2122" s="5" t="inlineStr">
        <is>
          <t>100883</t>
        </is>
      </c>
      <c r="C2122" s="5" t="inlineStr">
        <is>
          <t>QUELMAR TRANSPORTES LTDA</t>
        </is>
      </c>
      <c r="D2122" s="5" t="inlineStr">
        <is>
          <t>RE</t>
        </is>
      </c>
      <c r="E2122" s="5" t="n">
        <v>5014370</v>
      </c>
      <c r="F2122" s="5" t="inlineStr">
        <is>
          <t>108204-1</t>
        </is>
      </c>
      <c r="G2122" s="5" t="inlineStr">
        <is>
          <t>BRL</t>
        </is>
      </c>
      <c r="H2122" s="9" t="n">
        <v>-5882.15</v>
      </c>
      <c r="I2122" s="16" t="n">
        <v>46231</v>
      </c>
      <c r="J2122" s="16" t="n">
        <v>46270</v>
      </c>
      <c r="K2122" s="5" t="inlineStr">
        <is>
          <t>Fatura - bruto QUELMAR TRANSPORTES LTDA 108204-1</t>
        </is>
      </c>
      <c r="L2122" s="5" t="inlineStr">
        <is>
          <t>08092026</t>
        </is>
      </c>
      <c r="M2122" s="5">
        <f>IF(YEAR(I2122)&lt;=2020,"Até 2020",TEXT(YEAR(I2122),"0"))</f>
        <v/>
      </c>
      <c r="N2122" s="5">
        <f>IFERROR(INDEX(DePara!$A:$A,MATCH(TEXT(B2122,"0"),DePara!$D:$D,0)),"(sem categoria)")</f>
        <v/>
      </c>
      <c r="O2122" s="5">
        <f>IF(J2122="","",Parametros!$B$6-J2122)</f>
        <v/>
      </c>
      <c r="P2122" s="5">
        <f>IF(O2122="","",IF(O2122&gt;0,1,0))</f>
        <v/>
      </c>
    </row>
    <row r="2123">
      <c r="A2123" s="5" t="n">
        <v>2111000000</v>
      </c>
      <c r="B2123" s="5" t="inlineStr">
        <is>
          <t>100883</t>
        </is>
      </c>
      <c r="C2123" s="5" t="inlineStr">
        <is>
          <t>QUELMAR TRANSPORTES LTDA</t>
        </is>
      </c>
      <c r="D2123" s="5" t="inlineStr">
        <is>
          <t>RE</t>
        </is>
      </c>
      <c r="E2123" s="5" t="n">
        <v>5014371</v>
      </c>
      <c r="F2123" s="5" t="inlineStr">
        <is>
          <t>108203-1</t>
        </is>
      </c>
      <c r="G2123" s="5" t="inlineStr">
        <is>
          <t>BRL</t>
        </is>
      </c>
      <c r="H2123" s="9" t="n">
        <v>-6617.85</v>
      </c>
      <c r="I2123" s="16" t="n">
        <v>46231</v>
      </c>
      <c r="J2123" s="16" t="n">
        <v>46270</v>
      </c>
      <c r="K2123" s="5" t="inlineStr">
        <is>
          <t>Fatura - bruto QUELMAR TRANSPORTES LTDA 108203-1</t>
        </is>
      </c>
      <c r="L2123" s="5" t="inlineStr">
        <is>
          <t>08092026</t>
        </is>
      </c>
      <c r="M2123" s="5">
        <f>IF(YEAR(I2123)&lt;=2020,"Até 2020",TEXT(YEAR(I2123),"0"))</f>
        <v/>
      </c>
      <c r="N2123" s="5">
        <f>IFERROR(INDEX(DePara!$A:$A,MATCH(TEXT(B2123,"0"),DePara!$D:$D,0)),"(sem categoria)")</f>
        <v/>
      </c>
      <c r="O2123" s="5">
        <f>IF(J2123="","",Parametros!$B$6-J2123)</f>
        <v/>
      </c>
      <c r="P2123" s="5">
        <f>IF(O2123="","",IF(O2123&gt;0,1,0))</f>
        <v/>
      </c>
    </row>
    <row r="2124">
      <c r="A2124" s="5" t="n">
        <v>2111000000</v>
      </c>
      <c r="B2124" s="5" t="inlineStr">
        <is>
          <t>102105</t>
        </is>
      </c>
      <c r="C2124" s="5" t="inlineStr">
        <is>
          <t>THOMSON REUTERS BRASIL C T LTDA</t>
        </is>
      </c>
      <c r="D2124" s="5" t="inlineStr">
        <is>
          <t>RE</t>
        </is>
      </c>
      <c r="E2124" s="5" t="n">
        <v>5014373</v>
      </c>
      <c r="F2124" s="5" t="inlineStr">
        <is>
          <t>221475</t>
        </is>
      </c>
      <c r="G2124" s="5" t="inlineStr">
        <is>
          <t>BRL</t>
        </is>
      </c>
      <c r="H2124" s="9" t="n">
        <v>-3811.07</v>
      </c>
      <c r="I2124" s="16" t="n">
        <v>46237</v>
      </c>
      <c r="J2124" s="16" t="n">
        <v>46267</v>
      </c>
      <c r="K2124" s="5" t="inlineStr">
        <is>
          <t>Fatura - bruto THOMSON REUTERS BRASIL C T LTDA 221</t>
        </is>
      </c>
      <c r="L2124" s="5" t="inlineStr">
        <is>
          <t>02092026</t>
        </is>
      </c>
      <c r="M2124" s="5">
        <f>IF(YEAR(I2124)&lt;=2020,"Até 2020",TEXT(YEAR(I2124),"0"))</f>
        <v/>
      </c>
      <c r="N2124" s="5">
        <f>IFERROR(INDEX(DePara!$A:$A,MATCH(TEXT(B2124,"0"),DePara!$D:$D,0)),"(sem categoria)")</f>
        <v/>
      </c>
      <c r="O2124" s="5">
        <f>IF(J2124="","",Parametros!$B$6-J2124)</f>
        <v/>
      </c>
      <c r="P2124" s="5">
        <f>IF(O2124="","",IF(O2124&gt;0,1,0))</f>
        <v/>
      </c>
    </row>
    <row r="2125">
      <c r="A2125" s="5" t="n">
        <v>2111000000</v>
      </c>
      <c r="B2125" s="5" t="inlineStr">
        <is>
          <t>100883</t>
        </is>
      </c>
      <c r="C2125" s="5" t="inlineStr">
        <is>
          <t>QUELMAR TRANSPORTES LTDA</t>
        </is>
      </c>
      <c r="D2125" s="5" t="inlineStr">
        <is>
          <t>RE</t>
        </is>
      </c>
      <c r="E2125" s="5" t="n">
        <v>5014374</v>
      </c>
      <c r="F2125" s="5" t="inlineStr">
        <is>
          <t>108028-1</t>
        </is>
      </c>
      <c r="G2125" s="5" t="inlineStr">
        <is>
          <t>BRL</t>
        </is>
      </c>
      <c r="H2125" s="9" t="n">
        <v>-1887</v>
      </c>
      <c r="I2125" s="16" t="n">
        <v>46220</v>
      </c>
      <c r="J2125" s="16" t="n">
        <v>46270</v>
      </c>
      <c r="K2125" s="5" t="inlineStr">
        <is>
          <t>Fatura - bruto QUELMAR TRANSPORTES LTDA 108028-1</t>
        </is>
      </c>
      <c r="L2125" s="5" t="inlineStr">
        <is>
          <t>08092026</t>
        </is>
      </c>
      <c r="M2125" s="5">
        <f>IF(YEAR(I2125)&lt;=2020,"Até 2020",TEXT(YEAR(I2125),"0"))</f>
        <v/>
      </c>
      <c r="N2125" s="5">
        <f>IFERROR(INDEX(DePara!$A:$A,MATCH(TEXT(B2125,"0"),DePara!$D:$D,0)),"(sem categoria)")</f>
        <v/>
      </c>
      <c r="O2125" s="5">
        <f>IF(J2125="","",Parametros!$B$6-J2125)</f>
        <v/>
      </c>
      <c r="P2125" s="5">
        <f>IF(O2125="","",IF(O2125&gt;0,1,0))</f>
        <v/>
      </c>
    </row>
    <row r="2126">
      <c r="A2126" s="5" t="n">
        <v>2111000000</v>
      </c>
      <c r="B2126" s="5" t="inlineStr">
        <is>
          <t>101021</t>
        </is>
      </c>
      <c r="C2126" s="5" t="inlineStr">
        <is>
          <t>CSI SERVICOS DE BPO E TECN DA INFOR</t>
        </is>
      </c>
      <c r="D2126" s="5" t="inlineStr">
        <is>
          <t>RE</t>
        </is>
      </c>
      <c r="E2126" s="5" t="n">
        <v>5014375</v>
      </c>
      <c r="F2126" s="5" t="inlineStr">
        <is>
          <t>2020</t>
        </is>
      </c>
      <c r="G2126" s="5" t="inlineStr">
        <is>
          <t>BRL</t>
        </is>
      </c>
      <c r="H2126" s="9" t="n">
        <v>-18382.5</v>
      </c>
      <c r="I2126" s="16" t="n">
        <v>46238</v>
      </c>
      <c r="J2126" s="16" t="n">
        <v>46268</v>
      </c>
      <c r="K2126" s="5" t="inlineStr">
        <is>
          <t>Fatura - bruto CSI SERVICOS DE BPO E TECN DA INFOR</t>
        </is>
      </c>
      <c r="L2126" s="5" t="inlineStr">
        <is>
          <t>02092026</t>
        </is>
      </c>
      <c r="M2126" s="5">
        <f>IF(YEAR(I2126)&lt;=2020,"Até 2020",TEXT(YEAR(I2126),"0"))</f>
        <v/>
      </c>
      <c r="N2126" s="5">
        <f>IFERROR(INDEX(DePara!$A:$A,MATCH(TEXT(B2126,"0"),DePara!$D:$D,0)),"(sem categoria)")</f>
        <v/>
      </c>
      <c r="O2126" s="5">
        <f>IF(J2126="","",Parametros!$B$6-J2126)</f>
        <v/>
      </c>
      <c r="P2126" s="5">
        <f>IF(O2126="","",IF(O2126&gt;0,1,0))</f>
        <v/>
      </c>
    </row>
    <row r="2127">
      <c r="A2127" s="5" t="n">
        <v>2111000000</v>
      </c>
      <c r="B2127" s="5" t="inlineStr">
        <is>
          <t>110770</t>
        </is>
      </c>
      <c r="C2127" s="5" t="inlineStr">
        <is>
          <t>A DE SN CARVALHO REFRIGERAÇÃO ME</t>
        </is>
      </c>
      <c r="D2127" s="5" t="inlineStr">
        <is>
          <t>RE</t>
        </is>
      </c>
      <c r="E2127" s="5" t="n">
        <v>5014382</v>
      </c>
      <c r="F2127" s="5" t="inlineStr">
        <is>
          <t>1573</t>
        </is>
      </c>
      <c r="G2127" s="5" t="inlineStr">
        <is>
          <t>BRL</t>
        </is>
      </c>
      <c r="H2127" s="9" t="n">
        <v>-5562.85</v>
      </c>
      <c r="I2127" s="16" t="n">
        <v>46237</v>
      </c>
      <c r="J2127" s="16" t="n">
        <v>46267</v>
      </c>
      <c r="K2127" s="5" t="inlineStr">
        <is>
          <t>Fatura - bruto A DE SN CARVALHO REFRIGERAÇÃO ME 15</t>
        </is>
      </c>
      <c r="L2127" s="5" t="inlineStr">
        <is>
          <t>02092026</t>
        </is>
      </c>
      <c r="M2127" s="5">
        <f>IF(YEAR(I2127)&lt;=2020,"Até 2020",TEXT(YEAR(I2127),"0"))</f>
        <v/>
      </c>
      <c r="N2127" s="5">
        <f>IFERROR(INDEX(DePara!$A:$A,MATCH(TEXT(B2127,"0"),DePara!$D:$D,0)),"(sem categoria)")</f>
        <v/>
      </c>
      <c r="O2127" s="5">
        <f>IF(J2127="","",Parametros!$B$6-J2127)</f>
        <v/>
      </c>
      <c r="P2127" s="5">
        <f>IF(O2127="","",IF(O2127&gt;0,1,0))</f>
        <v/>
      </c>
    </row>
    <row r="2128">
      <c r="A2128" s="5" t="n">
        <v>2111000000</v>
      </c>
      <c r="B2128" s="5" t="inlineStr">
        <is>
          <t>100994</t>
        </is>
      </c>
      <c r="C2128" s="5" t="inlineStr">
        <is>
          <t>P W TREINAMENTO E CAPACITACOES LTDA</t>
        </is>
      </c>
      <c r="D2128" s="5" t="inlineStr">
        <is>
          <t>RE</t>
        </is>
      </c>
      <c r="E2128" s="5" t="n">
        <v>5014386</v>
      </c>
      <c r="F2128" s="5" t="inlineStr">
        <is>
          <t>128</t>
        </is>
      </c>
      <c r="G2128" s="5" t="inlineStr">
        <is>
          <t>BRL</t>
        </is>
      </c>
      <c r="H2128" s="9" t="n">
        <v>-37953</v>
      </c>
      <c r="I2128" s="16" t="n">
        <v>46237</v>
      </c>
      <c r="J2128" s="16" t="n">
        <v>46268</v>
      </c>
      <c r="K2128" s="5" t="inlineStr">
        <is>
          <t>Fatura - bruto P W TREINAMENTO E CAPACITACOES LTDA</t>
        </is>
      </c>
      <c r="L2128" s="5" t="inlineStr">
        <is>
          <t>02092026</t>
        </is>
      </c>
      <c r="M2128" s="5">
        <f>IF(YEAR(I2128)&lt;=2020,"Até 2020",TEXT(YEAR(I2128),"0"))</f>
        <v/>
      </c>
      <c r="N2128" s="5">
        <f>IFERROR(INDEX(DePara!$A:$A,MATCH(TEXT(B2128,"0"),DePara!$D:$D,0)),"(sem categoria)")</f>
        <v/>
      </c>
      <c r="O2128" s="5">
        <f>IF(J2128="","",Parametros!$B$6-J2128)</f>
        <v/>
      </c>
      <c r="P2128" s="5">
        <f>IF(O2128="","",IF(O2128&gt;0,1,0))</f>
        <v/>
      </c>
    </row>
    <row r="2129">
      <c r="A2129" s="5" t="n">
        <v>2111000000</v>
      </c>
      <c r="B2129" s="5" t="inlineStr">
        <is>
          <t>100883</t>
        </is>
      </c>
      <c r="C2129" s="5" t="inlineStr">
        <is>
          <t>QUELMAR TRANSPORTES LTDA</t>
        </is>
      </c>
      <c r="D2129" s="5" t="inlineStr">
        <is>
          <t>RE</t>
        </is>
      </c>
      <c r="E2129" s="5" t="n">
        <v>5014388</v>
      </c>
      <c r="F2129" s="5" t="inlineStr">
        <is>
          <t>108185-1</t>
        </is>
      </c>
      <c r="G2129" s="5" t="inlineStr">
        <is>
          <t>BRL</t>
        </is>
      </c>
      <c r="H2129" s="9" t="n">
        <v>-5626.25</v>
      </c>
      <c r="I2129" s="16" t="n">
        <v>46231</v>
      </c>
      <c r="J2129" s="16" t="n">
        <v>46270</v>
      </c>
      <c r="K2129" s="5" t="inlineStr">
        <is>
          <t>Fatura - bruto QUELMAR TRANSPORTES LTDA 108185-1</t>
        </is>
      </c>
      <c r="L2129" s="5" t="inlineStr">
        <is>
          <t>08092026</t>
        </is>
      </c>
      <c r="M2129" s="5">
        <f>IF(YEAR(I2129)&lt;=2020,"Até 2020",TEXT(YEAR(I2129),"0"))</f>
        <v/>
      </c>
      <c r="N2129" s="5">
        <f>IFERROR(INDEX(DePara!$A:$A,MATCH(TEXT(B2129,"0"),DePara!$D:$D,0)),"(sem categoria)")</f>
        <v/>
      </c>
      <c r="O2129" s="5">
        <f>IF(J2129="","",Parametros!$B$6-J2129)</f>
        <v/>
      </c>
      <c r="P2129" s="5">
        <f>IF(O2129="","",IF(O2129&gt;0,1,0))</f>
        <v/>
      </c>
    </row>
    <row r="2130">
      <c r="A2130" s="5" t="n">
        <v>2111000000</v>
      </c>
      <c r="B2130" s="5" t="inlineStr">
        <is>
          <t>100883</t>
        </is>
      </c>
      <c r="C2130" s="5" t="inlineStr">
        <is>
          <t>QUELMAR TRANSPORTES LTDA</t>
        </is>
      </c>
      <c r="D2130" s="5" t="inlineStr">
        <is>
          <t>RE</t>
        </is>
      </c>
      <c r="E2130" s="5" t="n">
        <v>5014390</v>
      </c>
      <c r="F2130" s="5" t="inlineStr">
        <is>
          <t>6314-2</t>
        </is>
      </c>
      <c r="G2130" s="5" t="inlineStr">
        <is>
          <t>BRL</t>
        </is>
      </c>
      <c r="H2130" s="9" t="n">
        <v>-2494</v>
      </c>
      <c r="I2130" s="16" t="n">
        <v>46231</v>
      </c>
      <c r="J2130" s="16" t="n">
        <v>46270</v>
      </c>
      <c r="K2130" s="5" t="inlineStr">
        <is>
          <t>Fatura - bruto QUELMAR TRANSPORTES LTDA 6314-2</t>
        </is>
      </c>
      <c r="L2130" s="5" t="inlineStr">
        <is>
          <t>08092026</t>
        </is>
      </c>
      <c r="M2130" s="5">
        <f>IF(YEAR(I2130)&lt;=2020,"Até 2020",TEXT(YEAR(I2130),"0"))</f>
        <v/>
      </c>
      <c r="N2130" s="5">
        <f>IFERROR(INDEX(DePara!$A:$A,MATCH(TEXT(B2130,"0"),DePara!$D:$D,0)),"(sem categoria)")</f>
        <v/>
      </c>
      <c r="O2130" s="5">
        <f>IF(J2130="","",Parametros!$B$6-J2130)</f>
        <v/>
      </c>
      <c r="P2130" s="5">
        <f>IF(O2130="","",IF(O2130&gt;0,1,0))</f>
        <v/>
      </c>
    </row>
    <row r="2131">
      <c r="A2131" s="5" t="n">
        <v>2111000000</v>
      </c>
      <c r="B2131" s="5" t="inlineStr">
        <is>
          <t>100883</t>
        </is>
      </c>
      <c r="C2131" s="5" t="inlineStr">
        <is>
          <t>QUELMAR TRANSPORTES LTDA</t>
        </is>
      </c>
      <c r="D2131" s="5" t="inlineStr">
        <is>
          <t>RE</t>
        </is>
      </c>
      <c r="E2131" s="5" t="n">
        <v>5014391</v>
      </c>
      <c r="F2131" s="5" t="inlineStr">
        <is>
          <t>6317-2</t>
        </is>
      </c>
      <c r="G2131" s="5" t="inlineStr">
        <is>
          <t>BRL</t>
        </is>
      </c>
      <c r="H2131" s="9" t="n">
        <v>-2494</v>
      </c>
      <c r="I2131" s="16" t="n">
        <v>46231</v>
      </c>
      <c r="J2131" s="16" t="n">
        <v>46270</v>
      </c>
      <c r="K2131" s="5" t="inlineStr">
        <is>
          <t>Fatura - bruto QUELMAR TRANSPORTES LTDA 6317-2</t>
        </is>
      </c>
      <c r="L2131" s="5" t="inlineStr">
        <is>
          <t>08092026</t>
        </is>
      </c>
      <c r="M2131" s="5">
        <f>IF(YEAR(I2131)&lt;=2020,"Até 2020",TEXT(YEAR(I2131),"0"))</f>
        <v/>
      </c>
      <c r="N2131" s="5">
        <f>IFERROR(INDEX(DePara!$A:$A,MATCH(TEXT(B2131,"0"),DePara!$D:$D,0)),"(sem categoria)")</f>
        <v/>
      </c>
      <c r="O2131" s="5">
        <f>IF(J2131="","",Parametros!$B$6-J2131)</f>
        <v/>
      </c>
      <c r="P2131" s="5">
        <f>IF(O2131="","",IF(O2131&gt;0,1,0))</f>
        <v/>
      </c>
    </row>
    <row r="2132">
      <c r="A2132" s="5" t="n">
        <v>2111000000</v>
      </c>
      <c r="B2132" s="5" t="inlineStr">
        <is>
          <t>100883</t>
        </is>
      </c>
      <c r="C2132" s="5" t="inlineStr">
        <is>
          <t>QUELMAR TRANSPORTES LTDA</t>
        </is>
      </c>
      <c r="D2132" s="5" t="inlineStr">
        <is>
          <t>RE</t>
        </is>
      </c>
      <c r="E2132" s="5" t="n">
        <v>5014395</v>
      </c>
      <c r="F2132" s="5" t="inlineStr">
        <is>
          <t>6255-2</t>
        </is>
      </c>
      <c r="G2132" s="5" t="inlineStr">
        <is>
          <t>BRL</t>
        </is>
      </c>
      <c r="H2132" s="9" t="n">
        <v>-1980</v>
      </c>
      <c r="I2132" s="16" t="n">
        <v>46225</v>
      </c>
      <c r="J2132" s="16" t="n">
        <v>46270</v>
      </c>
      <c r="K2132" s="5" t="inlineStr">
        <is>
          <t>Fatura - bruto QUELMAR TRANSPORTES LTDA 6255-2</t>
        </is>
      </c>
      <c r="L2132" s="5" t="inlineStr">
        <is>
          <t>08092026</t>
        </is>
      </c>
      <c r="M2132" s="5">
        <f>IF(YEAR(I2132)&lt;=2020,"Até 2020",TEXT(YEAR(I2132),"0"))</f>
        <v/>
      </c>
      <c r="N2132" s="5">
        <f>IFERROR(INDEX(DePara!$A:$A,MATCH(TEXT(B2132,"0"),DePara!$D:$D,0)),"(sem categoria)")</f>
        <v/>
      </c>
      <c r="O2132" s="5">
        <f>IF(J2132="","",Parametros!$B$6-J2132)</f>
        <v/>
      </c>
      <c r="P2132" s="5">
        <f>IF(O2132="","",IF(O2132&gt;0,1,0))</f>
        <v/>
      </c>
    </row>
    <row r="2133">
      <c r="A2133" s="5" t="n">
        <v>2111000000</v>
      </c>
      <c r="B2133" s="5" t="inlineStr">
        <is>
          <t>100883</t>
        </is>
      </c>
      <c r="C2133" s="5" t="inlineStr">
        <is>
          <t>QUELMAR TRANSPORTES LTDA</t>
        </is>
      </c>
      <c r="D2133" s="5" t="inlineStr">
        <is>
          <t>RE</t>
        </is>
      </c>
      <c r="E2133" s="5" t="n">
        <v>5014396</v>
      </c>
      <c r="F2133" s="5" t="inlineStr">
        <is>
          <t>6301-2</t>
        </is>
      </c>
      <c r="G2133" s="5" t="inlineStr">
        <is>
          <t>BRL</t>
        </is>
      </c>
      <c r="H2133" s="9" t="n">
        <v>-2280</v>
      </c>
      <c r="I2133" s="16" t="n">
        <v>46227</v>
      </c>
      <c r="J2133" s="16" t="n">
        <v>46270</v>
      </c>
      <c r="K2133" s="5" t="inlineStr">
        <is>
          <t>Fatura - bruto QUELMAR TRANSPORTES LTDA 6301-2</t>
        </is>
      </c>
      <c r="L2133" s="5" t="inlineStr">
        <is>
          <t>08092026</t>
        </is>
      </c>
      <c r="M2133" s="5">
        <f>IF(YEAR(I2133)&lt;=2020,"Até 2020",TEXT(YEAR(I2133),"0"))</f>
        <v/>
      </c>
      <c r="N2133" s="5">
        <f>IFERROR(INDEX(DePara!$A:$A,MATCH(TEXT(B2133,"0"),DePara!$D:$D,0)),"(sem categoria)")</f>
        <v/>
      </c>
      <c r="O2133" s="5">
        <f>IF(J2133="","",Parametros!$B$6-J2133)</f>
        <v/>
      </c>
      <c r="P2133" s="5">
        <f>IF(O2133="","",IF(O2133&gt;0,1,0))</f>
        <v/>
      </c>
    </row>
    <row r="2134">
      <c r="A2134" s="5" t="n">
        <v>2111000000</v>
      </c>
      <c r="B2134" s="5" t="inlineStr">
        <is>
          <t>100883</t>
        </is>
      </c>
      <c r="C2134" s="5" t="inlineStr">
        <is>
          <t>QUELMAR TRANSPORTES LTDA</t>
        </is>
      </c>
      <c r="D2134" s="5" t="inlineStr">
        <is>
          <t>RE</t>
        </is>
      </c>
      <c r="E2134" s="5" t="n">
        <v>5014397</v>
      </c>
      <c r="F2134" s="5" t="inlineStr">
        <is>
          <t>6288-2</t>
        </is>
      </c>
      <c r="G2134" s="5" t="inlineStr">
        <is>
          <t>BRL</t>
        </is>
      </c>
      <c r="H2134" s="9" t="n">
        <v>-2784</v>
      </c>
      <c r="I2134" s="16" t="n">
        <v>46226</v>
      </c>
      <c r="J2134" s="16" t="n">
        <v>46270</v>
      </c>
      <c r="K2134" s="5" t="inlineStr">
        <is>
          <t>Fatura - bruto QUELMAR TRANSPORTES LTDA 6288-2</t>
        </is>
      </c>
      <c r="L2134" s="5" t="inlineStr">
        <is>
          <t>08092026</t>
        </is>
      </c>
      <c r="M2134" s="5">
        <f>IF(YEAR(I2134)&lt;=2020,"Até 2020",TEXT(YEAR(I2134),"0"))</f>
        <v/>
      </c>
      <c r="N2134" s="5">
        <f>IFERROR(INDEX(DePara!$A:$A,MATCH(TEXT(B2134,"0"),DePara!$D:$D,0)),"(sem categoria)")</f>
        <v/>
      </c>
      <c r="O2134" s="5">
        <f>IF(J2134="","",Parametros!$B$6-J2134)</f>
        <v/>
      </c>
      <c r="P2134" s="5">
        <f>IF(O2134="","",IF(O2134&gt;0,1,0))</f>
        <v/>
      </c>
    </row>
    <row r="2135">
      <c r="A2135" s="5" t="n">
        <v>2111000000</v>
      </c>
      <c r="B2135" s="5" t="inlineStr">
        <is>
          <t>100883</t>
        </is>
      </c>
      <c r="C2135" s="5" t="inlineStr">
        <is>
          <t>QUELMAR TRANSPORTES LTDA</t>
        </is>
      </c>
      <c r="D2135" s="5" t="inlineStr">
        <is>
          <t>RE</t>
        </is>
      </c>
      <c r="E2135" s="5" t="n">
        <v>5014398</v>
      </c>
      <c r="F2135" s="5" t="inlineStr">
        <is>
          <t>6316-2</t>
        </is>
      </c>
      <c r="G2135" s="5" t="inlineStr">
        <is>
          <t>BRL</t>
        </is>
      </c>
      <c r="H2135" s="9" t="n">
        <v>-4303</v>
      </c>
      <c r="I2135" s="16" t="n">
        <v>46231</v>
      </c>
      <c r="J2135" s="16" t="n">
        <v>46270</v>
      </c>
      <c r="K2135" s="5" t="inlineStr">
        <is>
          <t>Fatura - bruto QUELMAR TRANSPORTES LTDA 6316-2</t>
        </is>
      </c>
      <c r="L2135" s="5" t="inlineStr">
        <is>
          <t>08092026</t>
        </is>
      </c>
      <c r="M2135" s="5">
        <f>IF(YEAR(I2135)&lt;=2020,"Até 2020",TEXT(YEAR(I2135),"0"))</f>
        <v/>
      </c>
      <c r="N2135" s="5">
        <f>IFERROR(INDEX(DePara!$A:$A,MATCH(TEXT(B2135,"0"),DePara!$D:$D,0)),"(sem categoria)")</f>
        <v/>
      </c>
      <c r="O2135" s="5">
        <f>IF(J2135="","",Parametros!$B$6-J2135)</f>
        <v/>
      </c>
      <c r="P2135" s="5">
        <f>IF(O2135="","",IF(O2135&gt;0,1,0))</f>
        <v/>
      </c>
    </row>
    <row r="2136">
      <c r="A2136" s="5" t="n">
        <v>2111000000</v>
      </c>
      <c r="B2136" s="5" t="inlineStr">
        <is>
          <t>101764</t>
        </is>
      </c>
      <c r="C2136" s="5" t="inlineStr">
        <is>
          <t>INTERJATO TELECOM LTDA - ME</t>
        </is>
      </c>
      <c r="D2136" s="5" t="inlineStr">
        <is>
          <t>RE</t>
        </is>
      </c>
      <c r="E2136" s="5" t="n">
        <v>5014399</v>
      </c>
      <c r="F2136" s="5" t="inlineStr">
        <is>
          <t>1435</t>
        </is>
      </c>
      <c r="G2136" s="5" t="inlineStr">
        <is>
          <t>BRL</t>
        </is>
      </c>
      <c r="H2136" s="9" t="n">
        <v>-1825</v>
      </c>
      <c r="I2136" s="16" t="n">
        <v>46238</v>
      </c>
      <c r="J2136" s="16" t="n">
        <v>46273</v>
      </c>
      <c r="K2136" s="5" t="inlineStr">
        <is>
          <t>Fatura - bruto INTERJATO TELECOM LTDA - ME 1435</t>
        </is>
      </c>
      <c r="L2136" s="5" t="inlineStr">
        <is>
          <t>09092026</t>
        </is>
      </c>
      <c r="M2136" s="5">
        <f>IF(YEAR(I2136)&lt;=2020,"Até 2020",TEXT(YEAR(I2136),"0"))</f>
        <v/>
      </c>
      <c r="N2136" s="5">
        <f>IFERROR(INDEX(DePara!$A:$A,MATCH(TEXT(B2136,"0"),DePara!$D:$D,0)),"(sem categoria)")</f>
        <v/>
      </c>
      <c r="O2136" s="5">
        <f>IF(J2136="","",Parametros!$B$6-J2136)</f>
        <v/>
      </c>
      <c r="P2136" s="5">
        <f>IF(O2136="","",IF(O2136&gt;0,1,0))</f>
        <v/>
      </c>
    </row>
    <row r="2137">
      <c r="A2137" s="5" t="n">
        <v>2111000000</v>
      </c>
      <c r="B2137" s="5" t="inlineStr">
        <is>
          <t>101764</t>
        </is>
      </c>
      <c r="C2137" s="5" t="inlineStr">
        <is>
          <t>INTERJATO TELECOM LTDA - ME</t>
        </is>
      </c>
      <c r="D2137" s="5" t="inlineStr">
        <is>
          <t>RE</t>
        </is>
      </c>
      <c r="E2137" s="5" t="n">
        <v>5014400</v>
      </c>
      <c r="F2137" s="5" t="inlineStr">
        <is>
          <t>1434</t>
        </is>
      </c>
      <c r="G2137" s="5" t="inlineStr">
        <is>
          <t>BRL</t>
        </is>
      </c>
      <c r="H2137" s="9" t="n">
        <v>-1184</v>
      </c>
      <c r="I2137" s="16" t="n">
        <v>46238</v>
      </c>
      <c r="J2137" s="16" t="n">
        <v>46273</v>
      </c>
      <c r="K2137" s="5" t="inlineStr">
        <is>
          <t>Fatura - bruto INTERJATO TELECOM LTDA - ME 1434</t>
        </is>
      </c>
      <c r="L2137" s="5" t="inlineStr">
        <is>
          <t>09092026</t>
        </is>
      </c>
      <c r="M2137" s="5">
        <f>IF(YEAR(I2137)&lt;=2020,"Até 2020",TEXT(YEAR(I2137),"0"))</f>
        <v/>
      </c>
      <c r="N2137" s="5">
        <f>IFERROR(INDEX(DePara!$A:$A,MATCH(TEXT(B2137,"0"),DePara!$D:$D,0)),"(sem categoria)")</f>
        <v/>
      </c>
      <c r="O2137" s="5">
        <f>IF(J2137="","",Parametros!$B$6-J2137)</f>
        <v/>
      </c>
      <c r="P2137" s="5">
        <f>IF(O2137="","",IF(O2137&gt;0,1,0))</f>
        <v/>
      </c>
    </row>
    <row r="2138">
      <c r="A2138" s="5" t="n">
        <v>2111000000</v>
      </c>
      <c r="B2138" s="5" t="inlineStr">
        <is>
          <t>101764</t>
        </is>
      </c>
      <c r="C2138" s="5" t="inlineStr">
        <is>
          <t>INTERJATO TELECOM LTDA - ME</t>
        </is>
      </c>
      <c r="D2138" s="5" t="inlineStr">
        <is>
          <t>RE</t>
        </is>
      </c>
      <c r="E2138" s="5" t="n">
        <v>5014401</v>
      </c>
      <c r="F2138" s="5" t="inlineStr">
        <is>
          <t>1433</t>
        </is>
      </c>
      <c r="G2138" s="5" t="inlineStr">
        <is>
          <t>BRL</t>
        </is>
      </c>
      <c r="H2138" s="9" t="n">
        <v>-1590</v>
      </c>
      <c r="I2138" s="16" t="n">
        <v>46238</v>
      </c>
      <c r="J2138" s="16" t="n">
        <v>46273</v>
      </c>
      <c r="K2138" s="5" t="inlineStr">
        <is>
          <t>Fatura - bruto INTERJATO TELECOM LTDA - ME 1433</t>
        </is>
      </c>
      <c r="L2138" s="5" t="inlineStr">
        <is>
          <t>09092026</t>
        </is>
      </c>
      <c r="M2138" s="5">
        <f>IF(YEAR(I2138)&lt;=2020,"Até 2020",TEXT(YEAR(I2138),"0"))</f>
        <v/>
      </c>
      <c r="N2138" s="5">
        <f>IFERROR(INDEX(DePara!$A:$A,MATCH(TEXT(B2138,"0"),DePara!$D:$D,0)),"(sem categoria)")</f>
        <v/>
      </c>
      <c r="O2138" s="5">
        <f>IF(J2138="","",Parametros!$B$6-J2138)</f>
        <v/>
      </c>
      <c r="P2138" s="5">
        <f>IF(O2138="","",IF(O2138&gt;0,1,0))</f>
        <v/>
      </c>
    </row>
    <row r="2139">
      <c r="A2139" s="5" t="n">
        <v>2111000000</v>
      </c>
      <c r="B2139" s="5" t="inlineStr">
        <is>
          <t>100883</t>
        </is>
      </c>
      <c r="C2139" s="5" t="inlineStr">
        <is>
          <t>QUELMAR TRANSPORTES LTDA</t>
        </is>
      </c>
      <c r="D2139" s="5" t="inlineStr">
        <is>
          <t>RE</t>
        </is>
      </c>
      <c r="E2139" s="5" t="n">
        <v>5014402</v>
      </c>
      <c r="F2139" s="5" t="inlineStr">
        <is>
          <t>108227-1</t>
        </is>
      </c>
      <c r="G2139" s="5" t="inlineStr">
        <is>
          <t>BRL</t>
        </is>
      </c>
      <c r="H2139" s="9" t="n">
        <v>-1100</v>
      </c>
      <c r="I2139" s="16" t="n">
        <v>46232</v>
      </c>
      <c r="J2139" s="16" t="n">
        <v>46270</v>
      </c>
      <c r="K2139" s="5" t="inlineStr">
        <is>
          <t>Fatura - bruto QUELMAR TRANSPORTES LTDA 108227-1</t>
        </is>
      </c>
      <c r="L2139" s="5" t="inlineStr">
        <is>
          <t>08092026</t>
        </is>
      </c>
      <c r="M2139" s="5">
        <f>IF(YEAR(I2139)&lt;=2020,"Até 2020",TEXT(YEAR(I2139),"0"))</f>
        <v/>
      </c>
      <c r="N2139" s="5">
        <f>IFERROR(INDEX(DePara!$A:$A,MATCH(TEXT(B2139,"0"),DePara!$D:$D,0)),"(sem categoria)")</f>
        <v/>
      </c>
      <c r="O2139" s="5">
        <f>IF(J2139="","",Parametros!$B$6-J2139)</f>
        <v/>
      </c>
      <c r="P2139" s="5">
        <f>IF(O2139="","",IF(O2139&gt;0,1,0))</f>
        <v/>
      </c>
    </row>
    <row r="2140">
      <c r="A2140" s="5" t="n">
        <v>2111000000</v>
      </c>
      <c r="B2140" s="5" t="inlineStr">
        <is>
          <t>100883</t>
        </is>
      </c>
      <c r="C2140" s="5" t="inlineStr">
        <is>
          <t>QUELMAR TRANSPORTES LTDA</t>
        </is>
      </c>
      <c r="D2140" s="5" t="inlineStr">
        <is>
          <t>RE</t>
        </is>
      </c>
      <c r="E2140" s="5" t="n">
        <v>5014403</v>
      </c>
      <c r="F2140" s="5" t="inlineStr">
        <is>
          <t>108186-1</t>
        </is>
      </c>
      <c r="G2140" s="5" t="inlineStr">
        <is>
          <t>BRL</t>
        </is>
      </c>
      <c r="H2140" s="9" t="n">
        <v>-6313.75</v>
      </c>
      <c r="I2140" s="16" t="n">
        <v>46231</v>
      </c>
      <c r="J2140" s="16" t="n">
        <v>46270</v>
      </c>
      <c r="K2140" s="5" t="inlineStr">
        <is>
          <t>Fatura - bruto QUELMAR TRANSPORTES LTDA 108186-1</t>
        </is>
      </c>
      <c r="L2140" s="5" t="inlineStr">
        <is>
          <t>08092026</t>
        </is>
      </c>
      <c r="M2140" s="5">
        <f>IF(YEAR(I2140)&lt;=2020,"Até 2020",TEXT(YEAR(I2140),"0"))</f>
        <v/>
      </c>
      <c r="N2140" s="5">
        <f>IFERROR(INDEX(DePara!$A:$A,MATCH(TEXT(B2140,"0"),DePara!$D:$D,0)),"(sem categoria)")</f>
        <v/>
      </c>
      <c r="O2140" s="5">
        <f>IF(J2140="","",Parametros!$B$6-J2140)</f>
        <v/>
      </c>
      <c r="P2140" s="5">
        <f>IF(O2140="","",IF(O2140&gt;0,1,0))</f>
        <v/>
      </c>
    </row>
    <row r="2141">
      <c r="A2141" s="5" t="n">
        <v>2111000000</v>
      </c>
      <c r="B2141" s="5" t="inlineStr">
        <is>
          <t>100421</t>
        </is>
      </c>
      <c r="C2141" s="5" t="inlineStr">
        <is>
          <t>CENTRO DE ESTAGIOS PPM HUMAN RESOUR</t>
        </is>
      </c>
      <c r="D2141" s="5" t="inlineStr">
        <is>
          <t>RE</t>
        </is>
      </c>
      <c r="E2141" s="5" t="n">
        <v>5014406</v>
      </c>
      <c r="F2141" s="5" t="inlineStr">
        <is>
          <t>61117</t>
        </is>
      </c>
      <c r="G2141" s="5" t="inlineStr">
        <is>
          <t>BRL</t>
        </is>
      </c>
      <c r="H2141" s="9" t="n">
        <v>-789.75</v>
      </c>
      <c r="I2141" s="16" t="n">
        <v>46235</v>
      </c>
      <c r="J2141" s="16" t="n">
        <v>46294</v>
      </c>
      <c r="K2141" s="5" t="inlineStr">
        <is>
          <t>Fatura - bruto CENTRO DE ESTAGIOS PPM HUMAN RESOUR</t>
        </is>
      </c>
      <c r="L2141" s="5" t="inlineStr">
        <is>
          <t>23092026</t>
        </is>
      </c>
      <c r="M2141" s="5">
        <f>IF(YEAR(I2141)&lt;=2020,"Até 2020",TEXT(YEAR(I2141),"0"))</f>
        <v/>
      </c>
      <c r="N2141" s="5">
        <f>IFERROR(INDEX(DePara!$A:$A,MATCH(TEXT(B2141,"0"),DePara!$D:$D,0)),"(sem categoria)")</f>
        <v/>
      </c>
      <c r="O2141" s="5">
        <f>IF(J2141="","",Parametros!$B$6-J2141)</f>
        <v/>
      </c>
      <c r="P2141" s="5">
        <f>IF(O2141="","",IF(O2141&gt;0,1,0))</f>
        <v/>
      </c>
    </row>
    <row r="2142">
      <c r="A2142" s="5" t="n">
        <v>2111000000</v>
      </c>
      <c r="B2142" s="5" t="inlineStr">
        <is>
          <t>101764</t>
        </is>
      </c>
      <c r="C2142" s="5" t="inlineStr">
        <is>
          <t>INTERJATO TELECOM LTDA - ME</t>
        </is>
      </c>
      <c r="D2142" s="5" t="inlineStr">
        <is>
          <t>RE</t>
        </is>
      </c>
      <c r="E2142" s="5" t="n">
        <v>5014407</v>
      </c>
      <c r="F2142" s="5" t="inlineStr">
        <is>
          <t>1432</t>
        </is>
      </c>
      <c r="G2142" s="5" t="inlineStr">
        <is>
          <t>BRL</t>
        </is>
      </c>
      <c r="H2142" s="9" t="n">
        <v>-1196</v>
      </c>
      <c r="I2142" s="16" t="n">
        <v>46238</v>
      </c>
      <c r="J2142" s="16" t="n">
        <v>46273</v>
      </c>
      <c r="K2142" s="5" t="inlineStr">
        <is>
          <t>Fatura - bruto INTERJATO TELECOM LTDA - ME 1432</t>
        </is>
      </c>
      <c r="L2142" s="5" t="inlineStr">
        <is>
          <t>09092026</t>
        </is>
      </c>
      <c r="M2142" s="5">
        <f>IF(YEAR(I2142)&lt;=2020,"Até 2020",TEXT(YEAR(I2142),"0"))</f>
        <v/>
      </c>
      <c r="N2142" s="5">
        <f>IFERROR(INDEX(DePara!$A:$A,MATCH(TEXT(B2142,"0"),DePara!$D:$D,0)),"(sem categoria)")</f>
        <v/>
      </c>
      <c r="O2142" s="5">
        <f>IF(J2142="","",Parametros!$B$6-J2142)</f>
        <v/>
      </c>
      <c r="P2142" s="5">
        <f>IF(O2142="","",IF(O2142&gt;0,1,0))</f>
        <v/>
      </c>
    </row>
    <row r="2143">
      <c r="A2143" s="5" t="n">
        <v>2111000000</v>
      </c>
      <c r="B2143" s="5" t="inlineStr">
        <is>
          <t>101764</t>
        </is>
      </c>
      <c r="C2143" s="5" t="inlineStr">
        <is>
          <t>INTERJATO TELECOM LTDA - ME</t>
        </is>
      </c>
      <c r="D2143" s="5" t="inlineStr">
        <is>
          <t>RE</t>
        </is>
      </c>
      <c r="E2143" s="5" t="n">
        <v>5014409</v>
      </c>
      <c r="F2143" s="5" t="inlineStr">
        <is>
          <t>1431</t>
        </is>
      </c>
      <c r="G2143" s="5" t="inlineStr">
        <is>
          <t>BRL</t>
        </is>
      </c>
      <c r="H2143" s="9" t="n">
        <v>-960</v>
      </c>
      <c r="I2143" s="16" t="n">
        <v>46238</v>
      </c>
      <c r="J2143" s="16" t="n">
        <v>46273</v>
      </c>
      <c r="K2143" s="5" t="inlineStr">
        <is>
          <t>Fatura - bruto INTERJATO TELECOM LTDA - ME 1431</t>
        </is>
      </c>
      <c r="L2143" s="5" t="inlineStr">
        <is>
          <t>09092026</t>
        </is>
      </c>
      <c r="M2143" s="5">
        <f>IF(YEAR(I2143)&lt;=2020,"Até 2020",TEXT(YEAR(I2143),"0"))</f>
        <v/>
      </c>
      <c r="N2143" s="5">
        <f>IFERROR(INDEX(DePara!$A:$A,MATCH(TEXT(B2143,"0"),DePara!$D:$D,0)),"(sem categoria)")</f>
        <v/>
      </c>
      <c r="O2143" s="5">
        <f>IF(J2143="","",Parametros!$B$6-J2143)</f>
        <v/>
      </c>
      <c r="P2143" s="5">
        <f>IF(O2143="","",IF(O2143&gt;0,1,0))</f>
        <v/>
      </c>
    </row>
    <row r="2144">
      <c r="A2144" s="5" t="n">
        <v>2111000000</v>
      </c>
      <c r="B2144" s="5" t="inlineStr">
        <is>
          <t>101764</t>
        </is>
      </c>
      <c r="C2144" s="5" t="inlineStr">
        <is>
          <t>INTERJATO TELECOM LTDA - ME</t>
        </is>
      </c>
      <c r="D2144" s="5" t="inlineStr">
        <is>
          <t>RE</t>
        </is>
      </c>
      <c r="E2144" s="5" t="n">
        <v>5014411</v>
      </c>
      <c r="F2144" s="5" t="inlineStr">
        <is>
          <t>1430</t>
        </is>
      </c>
      <c r="G2144" s="5" t="inlineStr">
        <is>
          <t>BRL</t>
        </is>
      </c>
      <c r="H2144" s="9" t="n">
        <v>-2500</v>
      </c>
      <c r="I2144" s="16" t="n">
        <v>46238</v>
      </c>
      <c r="J2144" s="16" t="n">
        <v>46273</v>
      </c>
      <c r="K2144" s="5" t="inlineStr">
        <is>
          <t>Fatura - bruto INTERJATO TELECOM LTDA - ME 1430</t>
        </is>
      </c>
      <c r="L2144" s="5" t="inlineStr">
        <is>
          <t>09092026</t>
        </is>
      </c>
      <c r="M2144" s="5">
        <f>IF(YEAR(I2144)&lt;=2020,"Até 2020",TEXT(YEAR(I2144),"0"))</f>
        <v/>
      </c>
      <c r="N2144" s="5">
        <f>IFERROR(INDEX(DePara!$A:$A,MATCH(TEXT(B2144,"0"),DePara!$D:$D,0)),"(sem categoria)")</f>
        <v/>
      </c>
      <c r="O2144" s="5">
        <f>IF(J2144="","",Parametros!$B$6-J2144)</f>
        <v/>
      </c>
      <c r="P2144" s="5">
        <f>IF(O2144="","",IF(O2144&gt;0,1,0))</f>
        <v/>
      </c>
    </row>
    <row r="2145">
      <c r="A2145" s="5" t="n">
        <v>2111000000</v>
      </c>
      <c r="B2145" s="5" t="inlineStr">
        <is>
          <t>101897</t>
        </is>
      </c>
      <c r="C2145" s="5" t="inlineStr">
        <is>
          <t>KL LOCACOES E SOLUCOES AMBIENTAIS L KL CONSTRUCOES E SERVICOS IMOBILIAR</t>
        </is>
      </c>
      <c r="D2145" s="5" t="inlineStr">
        <is>
          <t>RE</t>
        </is>
      </c>
      <c r="E2145" s="5" t="n">
        <v>5014412</v>
      </c>
      <c r="F2145" s="5" t="inlineStr">
        <is>
          <t>2034-1</t>
        </is>
      </c>
      <c r="G2145" s="5" t="inlineStr">
        <is>
          <t>BRL</t>
        </is>
      </c>
      <c r="H2145" s="9" t="n">
        <v>-2000</v>
      </c>
      <c r="I2145" s="16" t="n">
        <v>46238</v>
      </c>
      <c r="J2145" s="16" t="n">
        <v>46270</v>
      </c>
      <c r="K2145" s="5" t="inlineStr">
        <is>
          <t>Fatura - bruto KL LOCACOES E SOLUCOES AMBIENTAIS L</t>
        </is>
      </c>
      <c r="L2145" s="5" t="inlineStr">
        <is>
          <t>08092026</t>
        </is>
      </c>
      <c r="M2145" s="5">
        <f>IF(YEAR(I2145)&lt;=2020,"Até 2020",TEXT(YEAR(I2145),"0"))</f>
        <v/>
      </c>
      <c r="N2145" s="5">
        <f>IFERROR(INDEX(DePara!$A:$A,MATCH(TEXT(B2145,"0"),DePara!$D:$D,0)),"(sem categoria)")</f>
        <v/>
      </c>
      <c r="O2145" s="5">
        <f>IF(J2145="","",Parametros!$B$6-J2145)</f>
        <v/>
      </c>
      <c r="P2145" s="5">
        <f>IF(O2145="","",IF(O2145&gt;0,1,0))</f>
        <v/>
      </c>
    </row>
    <row r="2146">
      <c r="A2146" s="5" t="n">
        <v>2111000000</v>
      </c>
      <c r="B2146" s="5" t="inlineStr">
        <is>
          <t>101897</t>
        </is>
      </c>
      <c r="C2146" s="5" t="inlineStr">
        <is>
          <t>KL LOCACOES E SOLUCOES AMBIENTAIS L KL CONSTRUCOES E SERVICOS IMOBILIAR</t>
        </is>
      </c>
      <c r="D2146" s="5" t="inlineStr">
        <is>
          <t>RE</t>
        </is>
      </c>
      <c r="E2146" s="5" t="n">
        <v>5014413</v>
      </c>
      <c r="F2146" s="5" t="inlineStr">
        <is>
          <t>2035-1</t>
        </is>
      </c>
      <c r="G2146" s="5" t="inlineStr">
        <is>
          <t>BRL</t>
        </is>
      </c>
      <c r="H2146" s="9" t="n">
        <v>-1500</v>
      </c>
      <c r="I2146" s="16" t="n">
        <v>46238</v>
      </c>
      <c r="J2146" s="16" t="n">
        <v>46270</v>
      </c>
      <c r="K2146" s="5" t="inlineStr">
        <is>
          <t>Fatura - bruto KL LOCACOES E SOLUCOES AMBIENTAIS L</t>
        </is>
      </c>
      <c r="L2146" s="5" t="inlineStr">
        <is>
          <t>08092026</t>
        </is>
      </c>
      <c r="M2146" s="5">
        <f>IF(YEAR(I2146)&lt;=2020,"Até 2020",TEXT(YEAR(I2146),"0"))</f>
        <v/>
      </c>
      <c r="N2146" s="5">
        <f>IFERROR(INDEX(DePara!$A:$A,MATCH(TEXT(B2146,"0"),DePara!$D:$D,0)),"(sem categoria)")</f>
        <v/>
      </c>
      <c r="O2146" s="5">
        <f>IF(J2146="","",Parametros!$B$6-J2146)</f>
        <v/>
      </c>
      <c r="P2146" s="5">
        <f>IF(O2146="","",IF(O2146&gt;0,1,0))</f>
        <v/>
      </c>
    </row>
    <row r="2147">
      <c r="A2147" s="5" t="n">
        <v>2111000000</v>
      </c>
      <c r="B2147" s="5" t="inlineStr">
        <is>
          <t>101897</t>
        </is>
      </c>
      <c r="C2147" s="5" t="inlineStr">
        <is>
          <t>KL LOCACOES E SOLUCOES AMBIENTAIS L KL CONSTRUCOES E SERVICOS IMOBILIAR</t>
        </is>
      </c>
      <c r="D2147" s="5" t="inlineStr">
        <is>
          <t>RE</t>
        </is>
      </c>
      <c r="E2147" s="5" t="n">
        <v>5014414</v>
      </c>
      <c r="F2147" s="5" t="inlineStr">
        <is>
          <t>2036-1</t>
        </is>
      </c>
      <c r="G2147" s="5" t="inlineStr">
        <is>
          <t>BRL</t>
        </is>
      </c>
      <c r="H2147" s="9" t="n">
        <v>-1500</v>
      </c>
      <c r="I2147" s="16" t="n">
        <v>46238</v>
      </c>
      <c r="J2147" s="16" t="n">
        <v>46270</v>
      </c>
      <c r="K2147" s="5" t="inlineStr">
        <is>
          <t>Fatura - bruto KL LOCACOES E SOLUCOES AMBIENTAIS L</t>
        </is>
      </c>
      <c r="L2147" s="5" t="inlineStr">
        <is>
          <t>08092026</t>
        </is>
      </c>
      <c r="M2147" s="5">
        <f>IF(YEAR(I2147)&lt;=2020,"Até 2020",TEXT(YEAR(I2147),"0"))</f>
        <v/>
      </c>
      <c r="N2147" s="5">
        <f>IFERROR(INDEX(DePara!$A:$A,MATCH(TEXT(B2147,"0"),DePara!$D:$D,0)),"(sem categoria)")</f>
        <v/>
      </c>
      <c r="O2147" s="5">
        <f>IF(J2147="","",Parametros!$B$6-J2147)</f>
        <v/>
      </c>
      <c r="P2147" s="5">
        <f>IF(O2147="","",IF(O2147&gt;0,1,0))</f>
        <v/>
      </c>
    </row>
    <row r="2148">
      <c r="A2148" s="5" t="n">
        <v>2111000000</v>
      </c>
      <c r="B2148" s="5" t="inlineStr">
        <is>
          <t>101897</t>
        </is>
      </c>
      <c r="C2148" s="5" t="inlineStr">
        <is>
          <t>KL LOCACOES E SOLUCOES AMBIENTAIS L KL CONSTRUCOES E SERVICOS IMOBILIAR</t>
        </is>
      </c>
      <c r="D2148" s="5" t="inlineStr">
        <is>
          <t>RE</t>
        </is>
      </c>
      <c r="E2148" s="5" t="n">
        <v>5014415</v>
      </c>
      <c r="F2148" s="5" t="inlineStr">
        <is>
          <t>2037-1</t>
        </is>
      </c>
      <c r="G2148" s="5" t="inlineStr">
        <is>
          <t>BRL</t>
        </is>
      </c>
      <c r="H2148" s="9" t="n">
        <v>-1500</v>
      </c>
      <c r="I2148" s="16" t="n">
        <v>46238</v>
      </c>
      <c r="J2148" s="16" t="n">
        <v>46270</v>
      </c>
      <c r="K2148" s="5" t="inlineStr">
        <is>
          <t>Fatura - bruto KL LOCACOES E SOLUCOES AMBIENTAIS L</t>
        </is>
      </c>
      <c r="L2148" s="5" t="inlineStr">
        <is>
          <t>08092026</t>
        </is>
      </c>
      <c r="M2148" s="5">
        <f>IF(YEAR(I2148)&lt;=2020,"Até 2020",TEXT(YEAR(I2148),"0"))</f>
        <v/>
      </c>
      <c r="N2148" s="5">
        <f>IFERROR(INDEX(DePara!$A:$A,MATCH(TEXT(B2148,"0"),DePara!$D:$D,0)),"(sem categoria)")</f>
        <v/>
      </c>
      <c r="O2148" s="5">
        <f>IF(J2148="","",Parametros!$B$6-J2148)</f>
        <v/>
      </c>
      <c r="P2148" s="5">
        <f>IF(O2148="","",IF(O2148&gt;0,1,0))</f>
        <v/>
      </c>
    </row>
    <row r="2149">
      <c r="A2149" s="5" t="n">
        <v>2111000000</v>
      </c>
      <c r="B2149" s="5" t="inlineStr">
        <is>
          <t>101897</t>
        </is>
      </c>
      <c r="C2149" s="5" t="inlineStr">
        <is>
          <t>KL LOCACOES E SOLUCOES AMBIENTAIS L KL CONSTRUCOES E SERVICOS IMOBILIAR</t>
        </is>
      </c>
      <c r="D2149" s="5" t="inlineStr">
        <is>
          <t>RE</t>
        </is>
      </c>
      <c r="E2149" s="5" t="n">
        <v>5014416</v>
      </c>
      <c r="F2149" s="5" t="inlineStr">
        <is>
          <t>2039-1</t>
        </is>
      </c>
      <c r="G2149" s="5" t="inlineStr">
        <is>
          <t>BRL</t>
        </is>
      </c>
      <c r="H2149" s="9" t="n">
        <v>-1500</v>
      </c>
      <c r="I2149" s="16" t="n">
        <v>46238</v>
      </c>
      <c r="J2149" s="16" t="n">
        <v>46270</v>
      </c>
      <c r="K2149" s="5" t="inlineStr">
        <is>
          <t>Fatura - bruto KL LOCACOES E SOLUCOES AMBIENTAIS L</t>
        </is>
      </c>
      <c r="L2149" s="5" t="inlineStr">
        <is>
          <t>08092026</t>
        </is>
      </c>
      <c r="M2149" s="5">
        <f>IF(YEAR(I2149)&lt;=2020,"Até 2020",TEXT(YEAR(I2149),"0"))</f>
        <v/>
      </c>
      <c r="N2149" s="5">
        <f>IFERROR(INDEX(DePara!$A:$A,MATCH(TEXT(B2149,"0"),DePara!$D:$D,0)),"(sem categoria)")</f>
        <v/>
      </c>
      <c r="O2149" s="5">
        <f>IF(J2149="","",Parametros!$B$6-J2149)</f>
        <v/>
      </c>
      <c r="P2149" s="5">
        <f>IF(O2149="","",IF(O2149&gt;0,1,0))</f>
        <v/>
      </c>
    </row>
    <row r="2150">
      <c r="A2150" s="5" t="n">
        <v>2111000000</v>
      </c>
      <c r="B2150" s="5" t="inlineStr">
        <is>
          <t>101897</t>
        </is>
      </c>
      <c r="C2150" s="5" t="inlineStr">
        <is>
          <t>KL LOCACOES E SOLUCOES AMBIENTAIS L KL CONSTRUCOES E SERVICOS IMOBILIAR</t>
        </is>
      </c>
      <c r="D2150" s="5" t="inlineStr">
        <is>
          <t>RE</t>
        </is>
      </c>
      <c r="E2150" s="5" t="n">
        <v>5014417</v>
      </c>
      <c r="F2150" s="5" t="inlineStr">
        <is>
          <t>2038-1</t>
        </is>
      </c>
      <c r="G2150" s="5" t="inlineStr">
        <is>
          <t>BRL</t>
        </is>
      </c>
      <c r="H2150" s="9" t="n">
        <v>-1500</v>
      </c>
      <c r="I2150" s="16" t="n">
        <v>46238</v>
      </c>
      <c r="J2150" s="16" t="n">
        <v>46270</v>
      </c>
      <c r="K2150" s="5" t="inlineStr">
        <is>
          <t>Fatura - bruto KL LOCACOES E SOLUCOES AMBIENTAIS L</t>
        </is>
      </c>
      <c r="L2150" s="5" t="inlineStr">
        <is>
          <t>08092026</t>
        </is>
      </c>
      <c r="M2150" s="5">
        <f>IF(YEAR(I2150)&lt;=2020,"Até 2020",TEXT(YEAR(I2150),"0"))</f>
        <v/>
      </c>
      <c r="N2150" s="5">
        <f>IFERROR(INDEX(DePara!$A:$A,MATCH(TEXT(B2150,"0"),DePara!$D:$D,0)),"(sem categoria)")</f>
        <v/>
      </c>
      <c r="O2150" s="5">
        <f>IF(J2150="","",Parametros!$B$6-J2150)</f>
        <v/>
      </c>
      <c r="P2150" s="5">
        <f>IF(O2150="","",IF(O2150&gt;0,1,0))</f>
        <v/>
      </c>
    </row>
    <row r="2151">
      <c r="A2151" s="5" t="n">
        <v>2111000000</v>
      </c>
      <c r="B2151" s="5" t="inlineStr">
        <is>
          <t>101764</t>
        </is>
      </c>
      <c r="C2151" s="5" t="inlineStr">
        <is>
          <t>INTERJATO TELECOM LTDA - ME</t>
        </is>
      </c>
      <c r="D2151" s="5" t="inlineStr">
        <is>
          <t>RE</t>
        </is>
      </c>
      <c r="E2151" s="5" t="n">
        <v>5014421</v>
      </c>
      <c r="F2151" s="5" t="inlineStr">
        <is>
          <t>1428</t>
        </is>
      </c>
      <c r="G2151" s="5" t="inlineStr">
        <is>
          <t>BRL</t>
        </is>
      </c>
      <c r="H2151" s="9" t="n">
        <v>-1184</v>
      </c>
      <c r="I2151" s="16" t="n">
        <v>46238</v>
      </c>
      <c r="J2151" s="16" t="n">
        <v>46273</v>
      </c>
      <c r="K2151" s="5" t="inlineStr">
        <is>
          <t>Fatura - bruto INTERJATO TELECOM LTDA - ME 1428</t>
        </is>
      </c>
      <c r="L2151" s="5" t="inlineStr">
        <is>
          <t>09092026</t>
        </is>
      </c>
      <c r="M2151" s="5">
        <f>IF(YEAR(I2151)&lt;=2020,"Até 2020",TEXT(YEAR(I2151),"0"))</f>
        <v/>
      </c>
      <c r="N2151" s="5">
        <f>IFERROR(INDEX(DePara!$A:$A,MATCH(TEXT(B2151,"0"),DePara!$D:$D,0)),"(sem categoria)")</f>
        <v/>
      </c>
      <c r="O2151" s="5">
        <f>IF(J2151="","",Parametros!$B$6-J2151)</f>
        <v/>
      </c>
      <c r="P2151" s="5">
        <f>IF(O2151="","",IF(O2151&gt;0,1,0))</f>
        <v/>
      </c>
    </row>
    <row r="2152">
      <c r="A2152" s="5" t="n">
        <v>2111000000</v>
      </c>
      <c r="B2152" s="5" t="inlineStr">
        <is>
          <t>101764</t>
        </is>
      </c>
      <c r="C2152" s="5" t="inlineStr">
        <is>
          <t>INTERJATO TELECOM LTDA - ME</t>
        </is>
      </c>
      <c r="D2152" s="5" t="inlineStr">
        <is>
          <t>RE</t>
        </is>
      </c>
      <c r="E2152" s="5" t="n">
        <v>5014422</v>
      </c>
      <c r="F2152" s="5" t="inlineStr">
        <is>
          <t>1429</t>
        </is>
      </c>
      <c r="G2152" s="5" t="inlineStr">
        <is>
          <t>BRL</t>
        </is>
      </c>
      <c r="H2152" s="9" t="n">
        <v>-934</v>
      </c>
      <c r="I2152" s="16" t="n">
        <v>46238</v>
      </c>
      <c r="J2152" s="16" t="n">
        <v>46273</v>
      </c>
      <c r="K2152" s="5" t="inlineStr">
        <is>
          <t>Fatura - bruto INTERJATO TELECOM LTDA - ME 1429</t>
        </is>
      </c>
      <c r="L2152" s="5" t="inlineStr">
        <is>
          <t>09092026</t>
        </is>
      </c>
      <c r="M2152" s="5">
        <f>IF(YEAR(I2152)&lt;=2020,"Até 2020",TEXT(YEAR(I2152),"0"))</f>
        <v/>
      </c>
      <c r="N2152" s="5">
        <f>IFERROR(INDEX(DePara!$A:$A,MATCH(TEXT(B2152,"0"),DePara!$D:$D,0)),"(sem categoria)")</f>
        <v/>
      </c>
      <c r="O2152" s="5">
        <f>IF(J2152="","",Parametros!$B$6-J2152)</f>
        <v/>
      </c>
      <c r="P2152" s="5">
        <f>IF(O2152="","",IF(O2152&gt;0,1,0))</f>
        <v/>
      </c>
    </row>
    <row r="2153">
      <c r="A2153" s="5" t="n">
        <v>2111000000</v>
      </c>
      <c r="B2153" s="5" t="inlineStr">
        <is>
          <t>103789</t>
        </is>
      </c>
      <c r="C2153" s="5" t="inlineStr">
        <is>
          <t>GSW SUL SOLUCOES DE INFORMATICA LTD</t>
        </is>
      </c>
      <c r="D2153" s="5" t="inlineStr">
        <is>
          <t>RE</t>
        </is>
      </c>
      <c r="E2153" s="5" t="n">
        <v>5014423</v>
      </c>
      <c r="F2153" s="5" t="inlineStr">
        <is>
          <t>22</t>
        </is>
      </c>
      <c r="G2153" s="5" t="inlineStr">
        <is>
          <t>BRL</t>
        </is>
      </c>
      <c r="H2153" s="9" t="n">
        <v>-9721.950000000001</v>
      </c>
      <c r="I2153" s="16" t="n">
        <v>46238</v>
      </c>
      <c r="J2153" s="16" t="n">
        <v>46273</v>
      </c>
      <c r="K2153" s="5" t="inlineStr">
        <is>
          <t>Fatura - bruto GSW SUL SOLUCOES DE INFORMATICA LTD</t>
        </is>
      </c>
      <c r="L2153" s="5" t="inlineStr">
        <is>
          <t>09092026</t>
        </is>
      </c>
      <c r="M2153" s="5">
        <f>IF(YEAR(I2153)&lt;=2020,"Até 2020",TEXT(YEAR(I2153),"0"))</f>
        <v/>
      </c>
      <c r="N2153" s="5">
        <f>IFERROR(INDEX(DePara!$A:$A,MATCH(TEXT(B2153,"0"),DePara!$D:$D,0)),"(sem categoria)")</f>
        <v/>
      </c>
      <c r="O2153" s="5">
        <f>IF(J2153="","",Parametros!$B$6-J2153)</f>
        <v/>
      </c>
      <c r="P2153" s="5">
        <f>IF(O2153="","",IF(O2153&gt;0,1,0))</f>
        <v/>
      </c>
    </row>
    <row r="2154">
      <c r="A2154" s="5" t="n">
        <v>2111000000</v>
      </c>
      <c r="B2154" s="5" t="inlineStr">
        <is>
          <t>101703</t>
        </is>
      </c>
      <c r="C2154" s="5" t="inlineStr">
        <is>
          <t>ARK TEC GUARDA DE DOCUMENTOS LTDA</t>
        </is>
      </c>
      <c r="D2154" s="5" t="inlineStr">
        <is>
          <t>RE</t>
        </is>
      </c>
      <c r="E2154" s="5" t="n">
        <v>5014425</v>
      </c>
      <c r="F2154" s="5" t="inlineStr">
        <is>
          <t>555351</t>
        </is>
      </c>
      <c r="G2154" s="5" t="inlineStr">
        <is>
          <t>BRL</t>
        </is>
      </c>
      <c r="H2154" s="9" t="n">
        <v>-1303.64</v>
      </c>
      <c r="I2154" s="16" t="n">
        <v>46235</v>
      </c>
      <c r="J2154" s="16" t="n">
        <v>46276</v>
      </c>
      <c r="K2154" s="5" t="inlineStr">
        <is>
          <t>Fatura - bruto ARK TEC GUARDA DE DOCUMENTOS LTDA 5</t>
        </is>
      </c>
      <c r="L2154" s="5" t="inlineStr">
        <is>
          <t>09092026</t>
        </is>
      </c>
      <c r="M2154" s="5">
        <f>IF(YEAR(I2154)&lt;=2020,"Até 2020",TEXT(YEAR(I2154),"0"))</f>
        <v/>
      </c>
      <c r="N2154" s="5">
        <f>IFERROR(INDEX(DePara!$A:$A,MATCH(TEXT(B2154,"0"),DePara!$D:$D,0)),"(sem categoria)")</f>
        <v/>
      </c>
      <c r="O2154" s="5">
        <f>IF(J2154="","",Parametros!$B$6-J2154)</f>
        <v/>
      </c>
      <c r="P2154" s="5">
        <f>IF(O2154="","",IF(O2154&gt;0,1,0))</f>
        <v/>
      </c>
    </row>
    <row r="2155">
      <c r="A2155" s="5" t="n">
        <v>2111000000</v>
      </c>
      <c r="B2155" s="5" t="inlineStr">
        <is>
          <t>101703</t>
        </is>
      </c>
      <c r="C2155" s="5" t="inlineStr">
        <is>
          <t>ARK TEC GUARDA DE DOCUMENTOS LTDA</t>
        </is>
      </c>
      <c r="D2155" s="5" t="inlineStr">
        <is>
          <t>RE</t>
        </is>
      </c>
      <c r="E2155" s="5" t="n">
        <v>5014426</v>
      </c>
      <c r="F2155" s="5" t="inlineStr">
        <is>
          <t>163219</t>
        </is>
      </c>
      <c r="G2155" s="5" t="inlineStr">
        <is>
          <t>BRL</t>
        </is>
      </c>
      <c r="H2155" s="9" t="n">
        <v>-393.39</v>
      </c>
      <c r="I2155" s="16" t="n">
        <v>46239</v>
      </c>
      <c r="J2155" s="16" t="n">
        <v>46276</v>
      </c>
      <c r="K2155" s="5" t="inlineStr">
        <is>
          <t>Fatura - bruto ARK TEC GUARDA DE DOCUMENTOS LTDA 1</t>
        </is>
      </c>
      <c r="L2155" s="5" t="inlineStr">
        <is>
          <t>09092026</t>
        </is>
      </c>
      <c r="M2155" s="5">
        <f>IF(YEAR(I2155)&lt;=2020,"Até 2020",TEXT(YEAR(I2155),"0"))</f>
        <v/>
      </c>
      <c r="N2155" s="5">
        <f>IFERROR(INDEX(DePara!$A:$A,MATCH(TEXT(B2155,"0"),DePara!$D:$D,0)),"(sem categoria)")</f>
        <v/>
      </c>
      <c r="O2155" s="5">
        <f>IF(J2155="","",Parametros!$B$6-J2155)</f>
        <v/>
      </c>
      <c r="P2155" s="5">
        <f>IF(O2155="","",IF(O2155&gt;0,1,0))</f>
        <v/>
      </c>
    </row>
    <row r="2156">
      <c r="A2156" s="5" t="n">
        <v>2111000000</v>
      </c>
      <c r="B2156" s="5" t="inlineStr">
        <is>
          <t>100883</t>
        </is>
      </c>
      <c r="C2156" s="5" t="inlineStr">
        <is>
          <t>QUELMAR TRANSPORTES LTDA</t>
        </is>
      </c>
      <c r="D2156" s="5" t="inlineStr">
        <is>
          <t>RE</t>
        </is>
      </c>
      <c r="E2156" s="5" t="n">
        <v>5014429</v>
      </c>
      <c r="F2156" s="5" t="inlineStr">
        <is>
          <t>6295-2</t>
        </is>
      </c>
      <c r="G2156" s="5" t="inlineStr">
        <is>
          <t>BRL</t>
        </is>
      </c>
      <c r="H2156" s="9" t="n">
        <v>-5500</v>
      </c>
      <c r="I2156" s="16" t="n">
        <v>46226</v>
      </c>
      <c r="J2156" s="16" t="n">
        <v>46270</v>
      </c>
      <c r="K2156" s="5" t="inlineStr">
        <is>
          <t>Fatura - bruto QUELMAR TRANSPORTES LTDA 6295-2</t>
        </is>
      </c>
      <c r="L2156" s="5" t="inlineStr">
        <is>
          <t>08092026</t>
        </is>
      </c>
      <c r="M2156" s="5">
        <f>IF(YEAR(I2156)&lt;=2020,"Até 2020",TEXT(YEAR(I2156),"0"))</f>
        <v/>
      </c>
      <c r="N2156" s="5">
        <f>IFERROR(INDEX(DePara!$A:$A,MATCH(TEXT(B2156,"0"),DePara!$D:$D,0)),"(sem categoria)")</f>
        <v/>
      </c>
      <c r="O2156" s="5">
        <f>IF(J2156="","",Parametros!$B$6-J2156)</f>
        <v/>
      </c>
      <c r="P2156" s="5">
        <f>IF(O2156="","",IF(O2156&gt;0,1,0))</f>
        <v/>
      </c>
    </row>
    <row r="2157">
      <c r="A2157" s="5" t="n">
        <v>2111000000</v>
      </c>
      <c r="B2157" s="5" t="inlineStr">
        <is>
          <t>100883</t>
        </is>
      </c>
      <c r="C2157" s="5" t="inlineStr">
        <is>
          <t>QUELMAR TRANSPORTES LTDA</t>
        </is>
      </c>
      <c r="D2157" s="5" t="inlineStr">
        <is>
          <t>RE</t>
        </is>
      </c>
      <c r="E2157" s="5" t="n">
        <v>5014430</v>
      </c>
      <c r="F2157" s="5" t="inlineStr">
        <is>
          <t>6294-2</t>
        </is>
      </c>
      <c r="G2157" s="5" t="inlineStr">
        <is>
          <t>BRL</t>
        </is>
      </c>
      <c r="H2157" s="9" t="n">
        <v>-5559</v>
      </c>
      <c r="I2157" s="16" t="n">
        <v>46226</v>
      </c>
      <c r="J2157" s="16" t="n">
        <v>46270</v>
      </c>
      <c r="K2157" s="5" t="inlineStr">
        <is>
          <t>Fatura - bruto QUELMAR TRANSPORTES LTDA 6294-2</t>
        </is>
      </c>
      <c r="L2157" s="5" t="inlineStr">
        <is>
          <t>08092026</t>
        </is>
      </c>
      <c r="M2157" s="5">
        <f>IF(YEAR(I2157)&lt;=2020,"Até 2020",TEXT(YEAR(I2157),"0"))</f>
        <v/>
      </c>
      <c r="N2157" s="5">
        <f>IFERROR(INDEX(DePara!$A:$A,MATCH(TEXT(B2157,"0"),DePara!$D:$D,0)),"(sem categoria)")</f>
        <v/>
      </c>
      <c r="O2157" s="5">
        <f>IF(J2157="","",Parametros!$B$6-J2157)</f>
        <v/>
      </c>
      <c r="P2157" s="5">
        <f>IF(O2157="","",IF(O2157&gt;0,1,0))</f>
        <v/>
      </c>
    </row>
    <row r="2158">
      <c r="A2158" s="5" t="n">
        <v>2111000000</v>
      </c>
      <c r="B2158" s="5" t="inlineStr">
        <is>
          <t>100883</t>
        </is>
      </c>
      <c r="C2158" s="5" t="inlineStr">
        <is>
          <t>QUELMAR TRANSPORTES LTDA</t>
        </is>
      </c>
      <c r="D2158" s="5" t="inlineStr">
        <is>
          <t>RE</t>
        </is>
      </c>
      <c r="E2158" s="5" t="n">
        <v>5014431</v>
      </c>
      <c r="F2158" s="5" t="inlineStr">
        <is>
          <t>6262-2</t>
        </is>
      </c>
      <c r="G2158" s="5" t="inlineStr">
        <is>
          <t>BRL</t>
        </is>
      </c>
      <c r="H2158" s="9" t="n">
        <v>-3750</v>
      </c>
      <c r="I2158" s="16" t="n">
        <v>46225</v>
      </c>
      <c r="J2158" s="16" t="n">
        <v>46270</v>
      </c>
      <c r="K2158" s="5" t="inlineStr">
        <is>
          <t>Fatura - bruto QUELMAR TRANSPORTES LTDA 6262-2</t>
        </is>
      </c>
      <c r="L2158" s="5" t="inlineStr">
        <is>
          <t>08092026</t>
        </is>
      </c>
      <c r="M2158" s="5">
        <f>IF(YEAR(I2158)&lt;=2020,"Até 2020",TEXT(YEAR(I2158),"0"))</f>
        <v/>
      </c>
      <c r="N2158" s="5">
        <f>IFERROR(INDEX(DePara!$A:$A,MATCH(TEXT(B2158,"0"),DePara!$D:$D,0)),"(sem categoria)")</f>
        <v/>
      </c>
      <c r="O2158" s="5">
        <f>IF(J2158="","",Parametros!$B$6-J2158)</f>
        <v/>
      </c>
      <c r="P2158" s="5">
        <f>IF(O2158="","",IF(O2158&gt;0,1,0))</f>
        <v/>
      </c>
    </row>
    <row r="2159">
      <c r="A2159" s="5" t="n">
        <v>2111000000</v>
      </c>
      <c r="B2159" s="5" t="inlineStr">
        <is>
          <t>100883</t>
        </is>
      </c>
      <c r="C2159" s="5" t="inlineStr">
        <is>
          <t>QUELMAR TRANSPORTES LTDA</t>
        </is>
      </c>
      <c r="D2159" s="5" t="inlineStr">
        <is>
          <t>RE</t>
        </is>
      </c>
      <c r="E2159" s="5" t="n">
        <v>5014432</v>
      </c>
      <c r="F2159" s="5" t="inlineStr">
        <is>
          <t>6282-2</t>
        </is>
      </c>
      <c r="G2159" s="5" t="inlineStr">
        <is>
          <t>BRL</t>
        </is>
      </c>
      <c r="H2159" s="9" t="n">
        <v>-3960</v>
      </c>
      <c r="I2159" s="16" t="n">
        <v>46226</v>
      </c>
      <c r="J2159" s="16" t="n">
        <v>46270</v>
      </c>
      <c r="K2159" s="5" t="inlineStr">
        <is>
          <t>Fatura - bruto QUELMAR TRANSPORTES LTDA 6282-2</t>
        </is>
      </c>
      <c r="L2159" s="5" t="inlineStr">
        <is>
          <t>08092026</t>
        </is>
      </c>
      <c r="M2159" s="5">
        <f>IF(YEAR(I2159)&lt;=2020,"Até 2020",TEXT(YEAR(I2159),"0"))</f>
        <v/>
      </c>
      <c r="N2159" s="5">
        <f>IFERROR(INDEX(DePara!$A:$A,MATCH(TEXT(B2159,"0"),DePara!$D:$D,0)),"(sem categoria)")</f>
        <v/>
      </c>
      <c r="O2159" s="5">
        <f>IF(J2159="","",Parametros!$B$6-J2159)</f>
        <v/>
      </c>
      <c r="P2159" s="5">
        <f>IF(O2159="","",IF(O2159&gt;0,1,0))</f>
        <v/>
      </c>
    </row>
    <row r="2160">
      <c r="A2160" s="5" t="n">
        <v>2111000000</v>
      </c>
      <c r="B2160" s="5" t="inlineStr">
        <is>
          <t>100883</t>
        </is>
      </c>
      <c r="C2160" s="5" t="inlineStr">
        <is>
          <t>QUELMAR TRANSPORTES LTDA</t>
        </is>
      </c>
      <c r="D2160" s="5" t="inlineStr">
        <is>
          <t>RE</t>
        </is>
      </c>
      <c r="E2160" s="5" t="n">
        <v>5014433</v>
      </c>
      <c r="F2160" s="5" t="inlineStr">
        <is>
          <t>6256-2</t>
        </is>
      </c>
      <c r="G2160" s="5" t="inlineStr">
        <is>
          <t>BRL</t>
        </is>
      </c>
      <c r="H2160" s="9" t="n">
        <v>-4630</v>
      </c>
      <c r="I2160" s="16" t="n">
        <v>46225</v>
      </c>
      <c r="J2160" s="16" t="n">
        <v>46270</v>
      </c>
      <c r="K2160" s="5" t="inlineStr">
        <is>
          <t>Fatura - bruto QUELMAR TRANSPORTES LTDA 6256-2</t>
        </is>
      </c>
      <c r="L2160" s="5" t="inlineStr">
        <is>
          <t>08092026</t>
        </is>
      </c>
      <c r="M2160" s="5">
        <f>IF(YEAR(I2160)&lt;=2020,"Até 2020",TEXT(YEAR(I2160),"0"))</f>
        <v/>
      </c>
      <c r="N2160" s="5">
        <f>IFERROR(INDEX(DePara!$A:$A,MATCH(TEXT(B2160,"0"),DePara!$D:$D,0)),"(sem categoria)")</f>
        <v/>
      </c>
      <c r="O2160" s="5">
        <f>IF(J2160="","",Parametros!$B$6-J2160)</f>
        <v/>
      </c>
      <c r="P2160" s="5">
        <f>IF(O2160="","",IF(O2160&gt;0,1,0))</f>
        <v/>
      </c>
    </row>
    <row r="2161">
      <c r="A2161" s="5" t="n">
        <v>2111000000</v>
      </c>
      <c r="B2161" s="5" t="inlineStr">
        <is>
          <t>100883</t>
        </is>
      </c>
      <c r="C2161" s="5" t="inlineStr">
        <is>
          <t>QUELMAR TRANSPORTES LTDA</t>
        </is>
      </c>
      <c r="D2161" s="5" t="inlineStr">
        <is>
          <t>RE</t>
        </is>
      </c>
      <c r="E2161" s="5" t="n">
        <v>5014434</v>
      </c>
      <c r="F2161" s="5" t="inlineStr">
        <is>
          <t>6283-2</t>
        </is>
      </c>
      <c r="G2161" s="5" t="inlineStr">
        <is>
          <t>BRL</t>
        </is>
      </c>
      <c r="H2161" s="9" t="n">
        <v>-4750</v>
      </c>
      <c r="I2161" s="16" t="n">
        <v>46226</v>
      </c>
      <c r="J2161" s="16" t="n">
        <v>46270</v>
      </c>
      <c r="K2161" s="5" t="inlineStr">
        <is>
          <t>Fatura - bruto QUELMAR TRANSPORTES LTDA 6283-2</t>
        </is>
      </c>
      <c r="L2161" s="5" t="inlineStr">
        <is>
          <t>08092026</t>
        </is>
      </c>
      <c r="M2161" s="5">
        <f>IF(YEAR(I2161)&lt;=2020,"Até 2020",TEXT(YEAR(I2161),"0"))</f>
        <v/>
      </c>
      <c r="N2161" s="5">
        <f>IFERROR(INDEX(DePara!$A:$A,MATCH(TEXT(B2161,"0"),DePara!$D:$D,0)),"(sem categoria)")</f>
        <v/>
      </c>
      <c r="O2161" s="5">
        <f>IF(J2161="","",Parametros!$B$6-J2161)</f>
        <v/>
      </c>
      <c r="P2161" s="5">
        <f>IF(O2161="","",IF(O2161&gt;0,1,0))</f>
        <v/>
      </c>
    </row>
    <row r="2162">
      <c r="A2162" s="5" t="n">
        <v>2111000000</v>
      </c>
      <c r="B2162" s="5" t="inlineStr">
        <is>
          <t>100883</t>
        </is>
      </c>
      <c r="C2162" s="5" t="inlineStr">
        <is>
          <t>QUELMAR TRANSPORTES LTDA</t>
        </is>
      </c>
      <c r="D2162" s="5" t="inlineStr">
        <is>
          <t>RE</t>
        </is>
      </c>
      <c r="E2162" s="5" t="n">
        <v>5014435</v>
      </c>
      <c r="F2162" s="5" t="inlineStr">
        <is>
          <t>6272-2</t>
        </is>
      </c>
      <c r="G2162" s="5" t="inlineStr">
        <is>
          <t>BRL</t>
        </is>
      </c>
      <c r="H2162" s="9" t="n">
        <v>-5975</v>
      </c>
      <c r="I2162" s="16" t="n">
        <v>46226</v>
      </c>
      <c r="J2162" s="16" t="n">
        <v>46270</v>
      </c>
      <c r="K2162" s="5" t="inlineStr">
        <is>
          <t>Fatura - bruto QUELMAR TRANSPORTES LTDA 6272-2</t>
        </is>
      </c>
      <c r="L2162" s="5" t="inlineStr">
        <is>
          <t>08092026</t>
        </is>
      </c>
      <c r="M2162" s="5">
        <f>IF(YEAR(I2162)&lt;=2020,"Até 2020",TEXT(YEAR(I2162),"0"))</f>
        <v/>
      </c>
      <c r="N2162" s="5">
        <f>IFERROR(INDEX(DePara!$A:$A,MATCH(TEXT(B2162,"0"),DePara!$D:$D,0)),"(sem categoria)")</f>
        <v/>
      </c>
      <c r="O2162" s="5">
        <f>IF(J2162="","",Parametros!$B$6-J2162)</f>
        <v/>
      </c>
      <c r="P2162" s="5">
        <f>IF(O2162="","",IF(O2162&gt;0,1,0))</f>
        <v/>
      </c>
    </row>
    <row r="2163">
      <c r="A2163" s="5" t="n">
        <v>2111000000</v>
      </c>
      <c r="B2163" s="5" t="inlineStr">
        <is>
          <t>100883</t>
        </is>
      </c>
      <c r="C2163" s="5" t="inlineStr">
        <is>
          <t>QUELMAR TRANSPORTES LTDA</t>
        </is>
      </c>
      <c r="D2163" s="5" t="inlineStr">
        <is>
          <t>RE</t>
        </is>
      </c>
      <c r="E2163" s="5" t="n">
        <v>5014436</v>
      </c>
      <c r="F2163" s="5" t="inlineStr">
        <is>
          <t>6276-2</t>
        </is>
      </c>
      <c r="G2163" s="5" t="inlineStr">
        <is>
          <t>BRL</t>
        </is>
      </c>
      <c r="H2163" s="9" t="n">
        <v>-1880</v>
      </c>
      <c r="I2163" s="16" t="n">
        <v>46226</v>
      </c>
      <c r="J2163" s="16" t="n">
        <v>46270</v>
      </c>
      <c r="K2163" s="5" t="inlineStr">
        <is>
          <t>Fatura - bruto QUELMAR TRANSPORTES LTDA 6276-2</t>
        </is>
      </c>
      <c r="L2163" s="5" t="inlineStr">
        <is>
          <t>08092026</t>
        </is>
      </c>
      <c r="M2163" s="5">
        <f>IF(YEAR(I2163)&lt;=2020,"Até 2020",TEXT(YEAR(I2163),"0"))</f>
        <v/>
      </c>
      <c r="N2163" s="5">
        <f>IFERROR(INDEX(DePara!$A:$A,MATCH(TEXT(B2163,"0"),DePara!$D:$D,0)),"(sem categoria)")</f>
        <v/>
      </c>
      <c r="O2163" s="5">
        <f>IF(J2163="","",Parametros!$B$6-J2163)</f>
        <v/>
      </c>
      <c r="P2163" s="5">
        <f>IF(O2163="","",IF(O2163&gt;0,1,0))</f>
        <v/>
      </c>
    </row>
    <row r="2164">
      <c r="A2164" s="5" t="n">
        <v>2111000000</v>
      </c>
      <c r="B2164" s="5" t="inlineStr">
        <is>
          <t>100883</t>
        </is>
      </c>
      <c r="C2164" s="5" t="inlineStr">
        <is>
          <t>QUELMAR TRANSPORTES LTDA</t>
        </is>
      </c>
      <c r="D2164" s="5" t="inlineStr">
        <is>
          <t>RE</t>
        </is>
      </c>
      <c r="E2164" s="5" t="n">
        <v>5014437</v>
      </c>
      <c r="F2164" s="5" t="inlineStr">
        <is>
          <t>6260-2</t>
        </is>
      </c>
      <c r="G2164" s="5" t="inlineStr">
        <is>
          <t>BRL</t>
        </is>
      </c>
      <c r="H2164" s="9" t="n">
        <v>-4950</v>
      </c>
      <c r="I2164" s="16" t="n">
        <v>46225</v>
      </c>
      <c r="J2164" s="16" t="n">
        <v>46270</v>
      </c>
      <c r="K2164" s="5" t="inlineStr">
        <is>
          <t>Fatura - bruto QUELMAR TRANSPORTES LTDA 6260-2</t>
        </is>
      </c>
      <c r="L2164" s="5" t="inlineStr">
        <is>
          <t>08092026</t>
        </is>
      </c>
      <c r="M2164" s="5">
        <f>IF(YEAR(I2164)&lt;=2020,"Até 2020",TEXT(YEAR(I2164),"0"))</f>
        <v/>
      </c>
      <c r="N2164" s="5">
        <f>IFERROR(INDEX(DePara!$A:$A,MATCH(TEXT(B2164,"0"),DePara!$D:$D,0)),"(sem categoria)")</f>
        <v/>
      </c>
      <c r="O2164" s="5">
        <f>IF(J2164="","",Parametros!$B$6-J2164)</f>
        <v/>
      </c>
      <c r="P2164" s="5">
        <f>IF(O2164="","",IF(O2164&gt;0,1,0))</f>
        <v/>
      </c>
    </row>
    <row r="2165">
      <c r="A2165" s="5" t="n">
        <v>2111000000</v>
      </c>
      <c r="B2165" s="5" t="inlineStr">
        <is>
          <t>100128</t>
        </is>
      </c>
      <c r="C2165" s="5" t="inlineStr">
        <is>
          <t>LENGUAE LANGUAGE SERVICES LTDA</t>
        </is>
      </c>
      <c r="D2165" s="5" t="inlineStr">
        <is>
          <t>RE</t>
        </is>
      </c>
      <c r="E2165" s="5" t="n">
        <v>5014438</v>
      </c>
      <c r="F2165" s="5" t="inlineStr">
        <is>
          <t>5259</t>
        </is>
      </c>
      <c r="G2165" s="5" t="inlineStr">
        <is>
          <t>BRL</t>
        </is>
      </c>
      <c r="H2165" s="9" t="n">
        <v>-7140</v>
      </c>
      <c r="I2165" s="16" t="n">
        <v>46237</v>
      </c>
      <c r="J2165" s="16" t="n">
        <v>46270</v>
      </c>
      <c r="K2165" s="5" t="inlineStr">
        <is>
          <t>Fatura - bruto LENGUAE LANGUAGE SERVICES LTDA 5259</t>
        </is>
      </c>
      <c r="L2165" s="5" t="inlineStr">
        <is>
          <t>08092026</t>
        </is>
      </c>
      <c r="M2165" s="5">
        <f>IF(YEAR(I2165)&lt;=2020,"Até 2020",TEXT(YEAR(I2165),"0"))</f>
        <v/>
      </c>
      <c r="N2165" s="5">
        <f>IFERROR(INDEX(DePara!$A:$A,MATCH(TEXT(B2165,"0"),DePara!$D:$D,0)),"(sem categoria)")</f>
        <v/>
      </c>
      <c r="O2165" s="5">
        <f>IF(J2165="","",Parametros!$B$6-J2165)</f>
        <v/>
      </c>
      <c r="P2165" s="5">
        <f>IF(O2165="","",IF(O2165&gt;0,1,0))</f>
        <v/>
      </c>
    </row>
    <row r="2166">
      <c r="A2166" s="5" t="n">
        <v>2111000000</v>
      </c>
      <c r="B2166" s="5" t="inlineStr">
        <is>
          <t>103805</t>
        </is>
      </c>
      <c r="C2166" s="5" t="inlineStr">
        <is>
          <t>NUMEN IT SOLUCOES EM TECNOLOGIA LTD</t>
        </is>
      </c>
      <c r="D2166" s="5" t="inlineStr">
        <is>
          <t>RE</t>
        </is>
      </c>
      <c r="E2166" s="5" t="n">
        <v>5014440</v>
      </c>
      <c r="F2166" s="5" t="inlineStr">
        <is>
          <t>18378</t>
        </is>
      </c>
      <c r="G2166" s="5" t="inlineStr">
        <is>
          <t>BRL</t>
        </is>
      </c>
      <c r="H2166" s="9" t="n">
        <v>-8248.780000000001</v>
      </c>
      <c r="I2166" s="16" t="n">
        <v>46238</v>
      </c>
      <c r="J2166" s="16" t="n">
        <v>46273</v>
      </c>
      <c r="K2166" s="5" t="inlineStr">
        <is>
          <t>Fatura - bruto NUMEN IT SOLUCOES EM TECNOLOGIA LTD</t>
        </is>
      </c>
      <c r="L2166" s="5" t="inlineStr">
        <is>
          <t>09092026</t>
        </is>
      </c>
      <c r="M2166" s="5">
        <f>IF(YEAR(I2166)&lt;=2020,"Até 2020",TEXT(YEAR(I2166),"0"))</f>
        <v/>
      </c>
      <c r="N2166" s="5">
        <f>IFERROR(INDEX(DePara!$A:$A,MATCH(TEXT(B2166,"0"),DePara!$D:$D,0)),"(sem categoria)")</f>
        <v/>
      </c>
      <c r="O2166" s="5">
        <f>IF(J2166="","",Parametros!$B$6-J2166)</f>
        <v/>
      </c>
      <c r="P2166" s="5">
        <f>IF(O2166="","",IF(O2166&gt;0,1,0))</f>
        <v/>
      </c>
    </row>
    <row r="2167">
      <c r="A2167" s="5" t="n">
        <v>2111000000</v>
      </c>
      <c r="B2167" s="5" t="inlineStr">
        <is>
          <t>104077</t>
        </is>
      </c>
      <c r="C2167" s="5" t="inlineStr">
        <is>
          <t>XRS SERVICOS AUXILIARES DE PORTARIA 31996152000110</t>
        </is>
      </c>
      <c r="D2167" s="5" t="inlineStr">
        <is>
          <t>RE</t>
        </is>
      </c>
      <c r="E2167" s="5" t="n">
        <v>5014441</v>
      </c>
      <c r="F2167" s="5" t="inlineStr">
        <is>
          <t>53993</t>
        </is>
      </c>
      <c r="G2167" s="5" t="inlineStr">
        <is>
          <t>BRL</t>
        </is>
      </c>
      <c r="H2167" s="9" t="n">
        <v>-7023.6</v>
      </c>
      <c r="I2167" s="16" t="n">
        <v>46237</v>
      </c>
      <c r="J2167" s="16" t="n">
        <v>46266</v>
      </c>
      <c r="K2167" s="5" t="inlineStr">
        <is>
          <t>*23790368059000000026635001224209915560000664382</t>
        </is>
      </c>
      <c r="L2167" s="5" t="inlineStr">
        <is>
          <t>02092026</t>
        </is>
      </c>
      <c r="M2167" s="5">
        <f>IF(YEAR(I2167)&lt;=2020,"Até 2020",TEXT(YEAR(I2167),"0"))</f>
        <v/>
      </c>
      <c r="N2167" s="5">
        <f>IFERROR(INDEX(DePara!$A:$A,MATCH(TEXT(B2167,"0"),DePara!$D:$D,0)),"(sem categoria)")</f>
        <v/>
      </c>
      <c r="O2167" s="5">
        <f>IF(J2167="","",Parametros!$B$6-J2167)</f>
        <v/>
      </c>
      <c r="P2167" s="5">
        <f>IF(O2167="","",IF(O2167&gt;0,1,0))</f>
        <v/>
      </c>
    </row>
    <row r="2168">
      <c r="A2168" s="5" t="n">
        <v>2111000000</v>
      </c>
      <c r="B2168" s="5" t="inlineStr">
        <is>
          <t>102113</t>
        </is>
      </c>
      <c r="C2168" s="5" t="inlineStr">
        <is>
          <t>3Z MOVIMENTACAO INTELIGENTE LTDA 94772233000237</t>
        </is>
      </c>
      <c r="D2168" s="5" t="inlineStr">
        <is>
          <t>RE</t>
        </is>
      </c>
      <c r="E2168" s="5" t="n">
        <v>5014444</v>
      </c>
      <c r="F2168" s="5" t="inlineStr">
        <is>
          <t>248</t>
        </is>
      </c>
      <c r="G2168" s="5" t="inlineStr">
        <is>
          <t>BRL</t>
        </is>
      </c>
      <c r="H2168" s="9" t="n">
        <v>-1102340.46</v>
      </c>
      <c r="I2168" s="16" t="n">
        <v>46213</v>
      </c>
      <c r="J2168" s="16" t="n">
        <v>46303</v>
      </c>
      <c r="K2168" s="5" t="inlineStr">
        <is>
          <t>Fatura - bruto 3Z MOVIMENTACAO INTELIGENTE LTDA 94</t>
        </is>
      </c>
      <c r="L2168" s="5" t="inlineStr">
        <is>
          <t>07102026</t>
        </is>
      </c>
      <c r="M2168" s="5">
        <f>IF(YEAR(I2168)&lt;=2020,"Até 2020",TEXT(YEAR(I2168),"0"))</f>
        <v/>
      </c>
      <c r="N2168" s="5">
        <f>IFERROR(INDEX(DePara!$A:$A,MATCH(TEXT(B2168,"0"),DePara!$D:$D,0)),"(sem categoria)")</f>
        <v/>
      </c>
      <c r="O2168" s="5">
        <f>IF(J2168="","",Parametros!$B$6-J2168)</f>
        <v/>
      </c>
      <c r="P2168" s="5">
        <f>IF(O2168="","",IF(O2168&gt;0,1,0))</f>
        <v/>
      </c>
    </row>
    <row r="2169">
      <c r="A2169" s="5" t="n">
        <v>2111000000</v>
      </c>
      <c r="B2169" s="5" t="inlineStr">
        <is>
          <t>107696</t>
        </is>
      </c>
      <c r="C2169" s="5" t="inlineStr">
        <is>
          <t>SIMM MONTAGENS EOLICAS LTDA</t>
        </is>
      </c>
      <c r="D2169" s="5" t="inlineStr">
        <is>
          <t>RE</t>
        </is>
      </c>
      <c r="E2169" s="5" t="n">
        <v>5014445</v>
      </c>
      <c r="F2169" s="5" t="inlineStr">
        <is>
          <t>80</t>
        </is>
      </c>
      <c r="G2169" s="5" t="inlineStr">
        <is>
          <t>BRL</t>
        </is>
      </c>
      <c r="H2169" s="9" t="n">
        <v>-382520.08</v>
      </c>
      <c r="I2169" s="16" t="n">
        <v>46238</v>
      </c>
      <c r="J2169" s="16" t="n">
        <v>46268</v>
      </c>
      <c r="K2169" s="5" t="inlineStr">
        <is>
          <t>PGTO BLOQ ATE REG DE SEGURO</t>
        </is>
      </c>
      <c r="L2169" s="5" t="inlineStr">
        <is>
          <t>NÃO PAGAR</t>
        </is>
      </c>
      <c r="M2169" s="5">
        <f>IF(YEAR(I2169)&lt;=2020,"Até 2020",TEXT(YEAR(I2169),"0"))</f>
        <v/>
      </c>
      <c r="N2169" s="5">
        <f>IFERROR(INDEX(DePara!$A:$A,MATCH(TEXT(B2169,"0"),DePara!$D:$D,0)),"(sem categoria)")</f>
        <v/>
      </c>
      <c r="O2169" s="5">
        <f>IF(J2169="","",Parametros!$B$6-J2169)</f>
        <v/>
      </c>
      <c r="P2169" s="5">
        <f>IF(O2169="","",IF(O2169&gt;0,1,0))</f>
        <v/>
      </c>
    </row>
    <row r="2170">
      <c r="A2170" s="5" t="n">
        <v>2111000000</v>
      </c>
      <c r="B2170" s="5" t="inlineStr">
        <is>
          <t>101499</t>
        </is>
      </c>
      <c r="C2170" s="5" t="inlineStr">
        <is>
          <t>NEW ENERGY LOGISTIC EIRELI</t>
        </is>
      </c>
      <c r="D2170" s="5" t="inlineStr">
        <is>
          <t>RE</t>
        </is>
      </c>
      <c r="E2170" s="5" t="n">
        <v>5014446</v>
      </c>
      <c r="F2170" s="5" t="inlineStr">
        <is>
          <t>445</t>
        </is>
      </c>
      <c r="G2170" s="5" t="inlineStr">
        <is>
          <t>BRL</t>
        </is>
      </c>
      <c r="H2170" s="9" t="n">
        <v>-750</v>
      </c>
      <c r="I2170" s="16" t="n">
        <v>46239</v>
      </c>
      <c r="J2170" s="16" t="n">
        <v>46270</v>
      </c>
      <c r="K2170" s="5" t="inlineStr">
        <is>
          <t>Fatura - bruto NEW ENERGY LOGISTIC EIRELI 445</t>
        </is>
      </c>
      <c r="L2170" s="5" t="inlineStr">
        <is>
          <t>08092026</t>
        </is>
      </c>
      <c r="M2170" s="5">
        <f>IF(YEAR(I2170)&lt;=2020,"Até 2020",TEXT(YEAR(I2170),"0"))</f>
        <v/>
      </c>
      <c r="N2170" s="5">
        <f>IFERROR(INDEX(DePara!$A:$A,MATCH(TEXT(B2170,"0"),DePara!$D:$D,0)),"(sem categoria)")</f>
        <v/>
      </c>
      <c r="O2170" s="5">
        <f>IF(J2170="","",Parametros!$B$6-J2170)</f>
        <v/>
      </c>
      <c r="P2170" s="5">
        <f>IF(O2170="","",IF(O2170&gt;0,1,0))</f>
        <v/>
      </c>
    </row>
    <row r="2171">
      <c r="A2171" s="5" t="n">
        <v>2111000000</v>
      </c>
      <c r="B2171" s="5" t="inlineStr">
        <is>
          <t>100906</t>
        </is>
      </c>
      <c r="C2171" s="5" t="inlineStr">
        <is>
          <t>R &amp; G TELECOM LTDA</t>
        </is>
      </c>
      <c r="D2171" s="5" t="inlineStr">
        <is>
          <t>RE</t>
        </is>
      </c>
      <c r="E2171" s="5" t="n">
        <v>5014448</v>
      </c>
      <c r="F2171" s="5" t="inlineStr">
        <is>
          <t>5336</t>
        </is>
      </c>
      <c r="G2171" s="5" t="inlineStr">
        <is>
          <t>BRL</t>
        </is>
      </c>
      <c r="H2171" s="9" t="n">
        <v>-525</v>
      </c>
      <c r="I2171" s="16" t="n">
        <v>46238</v>
      </c>
      <c r="J2171" s="16" t="n">
        <v>46270</v>
      </c>
      <c r="K2171" s="5" t="inlineStr">
        <is>
          <t>Fatura - bruto R &amp; G TELECOM LTDA 5336</t>
        </is>
      </c>
      <c r="L2171" s="5" t="inlineStr">
        <is>
          <t>08092026</t>
        </is>
      </c>
      <c r="M2171" s="5">
        <f>IF(YEAR(I2171)&lt;=2020,"Até 2020",TEXT(YEAR(I2171),"0"))</f>
        <v/>
      </c>
      <c r="N2171" s="5">
        <f>IFERROR(INDEX(DePara!$A:$A,MATCH(TEXT(B2171,"0"),DePara!$D:$D,0)),"(sem categoria)")</f>
        <v/>
      </c>
      <c r="O2171" s="5">
        <f>IF(J2171="","",Parametros!$B$6-J2171)</f>
        <v/>
      </c>
      <c r="P2171" s="5">
        <f>IF(O2171="","",IF(O2171&gt;0,1,0))</f>
        <v/>
      </c>
    </row>
    <row r="2172">
      <c r="A2172" s="5" t="n">
        <v>2111000000</v>
      </c>
      <c r="B2172" s="5" t="inlineStr">
        <is>
          <t>103931</t>
        </is>
      </c>
      <c r="C2172" s="5" t="inlineStr">
        <is>
          <t>WPK SERVICOS E MONITORAMENTO LTDA 43980265000106</t>
        </is>
      </c>
      <c r="D2172" s="5" t="inlineStr">
        <is>
          <t>RE</t>
        </is>
      </c>
      <c r="E2172" s="5" t="n">
        <v>5014449</v>
      </c>
      <c r="F2172" s="5" t="inlineStr">
        <is>
          <t>1237</t>
        </is>
      </c>
      <c r="G2172" s="5" t="inlineStr">
        <is>
          <t>BRL</t>
        </is>
      </c>
      <c r="H2172" s="9" t="n">
        <v>-21912</v>
      </c>
      <c r="I2172" s="16" t="n">
        <v>46238</v>
      </c>
      <c r="J2172" s="16" t="n">
        <v>46268</v>
      </c>
      <c r="K2172" s="5" t="inlineStr">
        <is>
          <t>Fatura - bruto WPK SERVICOS E MONITORAMENTO LTDA 4</t>
        </is>
      </c>
      <c r="L2172" s="5" t="inlineStr">
        <is>
          <t>02092026</t>
        </is>
      </c>
      <c r="M2172" s="5">
        <f>IF(YEAR(I2172)&lt;=2020,"Até 2020",TEXT(YEAR(I2172),"0"))</f>
        <v/>
      </c>
      <c r="N2172" s="5">
        <f>IFERROR(INDEX(DePara!$A:$A,MATCH(TEXT(B2172,"0"),DePara!$D:$D,0)),"(sem categoria)")</f>
        <v/>
      </c>
      <c r="O2172" s="5">
        <f>IF(J2172="","",Parametros!$B$6-J2172)</f>
        <v/>
      </c>
      <c r="P2172" s="5">
        <f>IF(O2172="","",IF(O2172&gt;0,1,0))</f>
        <v/>
      </c>
    </row>
    <row r="2173">
      <c r="A2173" s="5" t="n">
        <v>2111000000</v>
      </c>
      <c r="B2173" s="5" t="inlineStr">
        <is>
          <t>103996</t>
        </is>
      </c>
      <c r="C2173" s="5" t="inlineStr">
        <is>
          <t>SS SECURITY SERVICE E ADMINISTRATIV 52856037000110</t>
        </is>
      </c>
      <c r="D2173" s="5" t="inlineStr">
        <is>
          <t>RE</t>
        </is>
      </c>
      <c r="E2173" s="5" t="n">
        <v>5014451</v>
      </c>
      <c r="F2173" s="5" t="inlineStr">
        <is>
          <t>17</t>
        </is>
      </c>
      <c r="G2173" s="5" t="inlineStr">
        <is>
          <t>BRL</t>
        </is>
      </c>
      <c r="H2173" s="9" t="n">
        <v>-13027.35</v>
      </c>
      <c r="I2173" s="16" t="n">
        <v>46237</v>
      </c>
      <c r="J2173" s="16" t="n">
        <v>46270</v>
      </c>
      <c r="K2173" s="5" t="inlineStr">
        <is>
          <t>Fatura - bruto SS SECURITY SERVICE E ADMINISTRATIV</t>
        </is>
      </c>
      <c r="L2173" s="5" t="inlineStr">
        <is>
          <t>08092026</t>
        </is>
      </c>
      <c r="M2173" s="5">
        <f>IF(YEAR(I2173)&lt;=2020,"Até 2020",TEXT(YEAR(I2173),"0"))</f>
        <v/>
      </c>
      <c r="N2173" s="5">
        <f>IFERROR(INDEX(DePara!$A:$A,MATCH(TEXT(B2173,"0"),DePara!$D:$D,0)),"(sem categoria)")</f>
        <v/>
      </c>
      <c r="O2173" s="5">
        <f>IF(J2173="","",Parametros!$B$6-J2173)</f>
        <v/>
      </c>
      <c r="P2173" s="5">
        <f>IF(O2173="","",IF(O2173&gt;0,1,0))</f>
        <v/>
      </c>
    </row>
    <row r="2174">
      <c r="A2174" s="5" t="n">
        <v>2111000000</v>
      </c>
      <c r="B2174" s="5" t="inlineStr">
        <is>
          <t>102068</t>
        </is>
      </c>
      <c r="C2174" s="5" t="inlineStr">
        <is>
          <t>ASSESSORIA TECNICA ATENE LIMITADA</t>
        </is>
      </c>
      <c r="D2174" s="5" t="inlineStr">
        <is>
          <t>RE</t>
        </is>
      </c>
      <c r="E2174" s="5" t="n">
        <v>5014453</v>
      </c>
      <c r="F2174" s="5" t="inlineStr">
        <is>
          <t>120520</t>
        </is>
      </c>
      <c r="G2174" s="5" t="inlineStr">
        <is>
          <t>BRL</t>
        </is>
      </c>
      <c r="H2174" s="9" t="n">
        <v>-1991.03</v>
      </c>
      <c r="I2174" s="16" t="n">
        <v>46238</v>
      </c>
      <c r="J2174" s="16" t="n">
        <v>46268</v>
      </c>
      <c r="K2174" s="5" t="inlineStr">
        <is>
          <t>Fatura - bruto ASSESSORIA TECNICA ATENE LIMITADA 1</t>
        </is>
      </c>
      <c r="L2174" s="5" t="inlineStr">
        <is>
          <t>02092026</t>
        </is>
      </c>
      <c r="M2174" s="5">
        <f>IF(YEAR(I2174)&lt;=2020,"Até 2020",TEXT(YEAR(I2174),"0"))</f>
        <v/>
      </c>
      <c r="N2174" s="5">
        <f>IFERROR(INDEX(DePara!$A:$A,MATCH(TEXT(B2174,"0"),DePara!$D:$D,0)),"(sem categoria)")</f>
        <v/>
      </c>
      <c r="O2174" s="5">
        <f>IF(J2174="","",Parametros!$B$6-J2174)</f>
        <v/>
      </c>
      <c r="P2174" s="5">
        <f>IF(O2174="","",IF(O2174&gt;0,1,0))</f>
        <v/>
      </c>
    </row>
    <row r="2175">
      <c r="A2175" s="5" t="n">
        <v>2111000000</v>
      </c>
      <c r="B2175" s="5" t="inlineStr">
        <is>
          <t>100883</t>
        </is>
      </c>
      <c r="C2175" s="5" t="inlineStr">
        <is>
          <t>QUELMAR TRANSPORTES LTDA</t>
        </is>
      </c>
      <c r="D2175" s="5" t="inlineStr">
        <is>
          <t>RE</t>
        </is>
      </c>
      <c r="E2175" s="5" t="n">
        <v>5014454</v>
      </c>
      <c r="F2175" s="5" t="inlineStr">
        <is>
          <t>107975-1</t>
        </is>
      </c>
      <c r="G2175" s="5" t="inlineStr">
        <is>
          <t>BRL</t>
        </is>
      </c>
      <c r="H2175" s="9" t="n">
        <v>-5340</v>
      </c>
      <c r="I2175" s="16" t="n">
        <v>46219</v>
      </c>
      <c r="J2175" s="16" t="n">
        <v>46270</v>
      </c>
      <c r="K2175" s="5" t="inlineStr">
        <is>
          <t>Fatura - bruto QUELMAR TRANSPORTES LTDA 107975-1</t>
        </is>
      </c>
      <c r="L2175" s="5" t="inlineStr">
        <is>
          <t>08092026</t>
        </is>
      </c>
      <c r="M2175" s="5">
        <f>IF(YEAR(I2175)&lt;=2020,"Até 2020",TEXT(YEAR(I2175),"0"))</f>
        <v/>
      </c>
      <c r="N2175" s="5">
        <f>IFERROR(INDEX(DePara!$A:$A,MATCH(TEXT(B2175,"0"),DePara!$D:$D,0)),"(sem categoria)")</f>
        <v/>
      </c>
      <c r="O2175" s="5">
        <f>IF(J2175="","",Parametros!$B$6-J2175)</f>
        <v/>
      </c>
      <c r="P2175" s="5">
        <f>IF(O2175="","",IF(O2175&gt;0,1,0))</f>
        <v/>
      </c>
    </row>
    <row r="2176">
      <c r="A2176" s="5" t="n">
        <v>2111000000</v>
      </c>
      <c r="B2176" s="5" t="inlineStr">
        <is>
          <t>103966</t>
        </is>
      </c>
      <c r="C2176" s="5" t="inlineStr">
        <is>
          <t>HINE DO BRASIL IND E COM HIDR E PN 12482538000754</t>
        </is>
      </c>
      <c r="D2176" s="5" t="inlineStr">
        <is>
          <t>RE</t>
        </is>
      </c>
      <c r="E2176" s="5" t="n">
        <v>5014455</v>
      </c>
      <c r="F2176" s="5" t="inlineStr">
        <is>
          <t>000004242-1</t>
        </is>
      </c>
      <c r="G2176" s="5" t="inlineStr">
        <is>
          <t>BRL</t>
        </is>
      </c>
      <c r="H2176" s="9" t="n">
        <v>-112204.6</v>
      </c>
      <c r="I2176" s="16" t="n">
        <v>46224</v>
      </c>
      <c r="J2176" s="16" t="n">
        <v>46270</v>
      </c>
      <c r="K2176" s="5" t="inlineStr">
        <is>
          <t>Fatura - bruto HINE DO BRASIL IND E COM HIDR E PN</t>
        </is>
      </c>
      <c r="L2176" s="5" t="inlineStr">
        <is>
          <t>08092026</t>
        </is>
      </c>
      <c r="M2176" s="5">
        <f>IF(YEAR(I2176)&lt;=2020,"Até 2020",TEXT(YEAR(I2176),"0"))</f>
        <v/>
      </c>
      <c r="N2176" s="5">
        <f>IFERROR(INDEX(DePara!$A:$A,MATCH(TEXT(B2176,"0"),DePara!$D:$D,0)),"(sem categoria)")</f>
        <v/>
      </c>
      <c r="O2176" s="5">
        <f>IF(J2176="","",Parametros!$B$6-J2176)</f>
        <v/>
      </c>
      <c r="P2176" s="5">
        <f>IF(O2176="","",IF(O2176&gt;0,1,0))</f>
        <v/>
      </c>
    </row>
    <row r="2177">
      <c r="A2177" s="5" t="n">
        <v>2111000000</v>
      </c>
      <c r="B2177" s="5" t="inlineStr">
        <is>
          <t>101253</t>
        </is>
      </c>
      <c r="C2177" s="5" t="inlineStr">
        <is>
          <t>ALTUS SISTEMAS DE AUTOMACAO SA</t>
        </is>
      </c>
      <c r="D2177" s="5" t="inlineStr">
        <is>
          <t>RE</t>
        </is>
      </c>
      <c r="E2177" s="5" t="n">
        <v>5014459</v>
      </c>
      <c r="F2177" s="5" t="inlineStr">
        <is>
          <t>000076176-1</t>
        </is>
      </c>
      <c r="G2177" s="5" t="inlineStr">
        <is>
          <t>BRL</t>
        </is>
      </c>
      <c r="H2177" s="9" t="n">
        <v>-31979.72</v>
      </c>
      <c r="I2177" s="16" t="n">
        <v>46231</v>
      </c>
      <c r="J2177" s="16" t="n">
        <v>46270</v>
      </c>
      <c r="K2177" s="5" t="inlineStr">
        <is>
          <t>Fatura - bruto ALTUS SISTEMAS DE AUTOMACAO SA 0000</t>
        </is>
      </c>
      <c r="L2177" s="5" t="inlineStr">
        <is>
          <t>08092026</t>
        </is>
      </c>
      <c r="M2177" s="5">
        <f>IF(YEAR(I2177)&lt;=2020,"Até 2020",TEXT(YEAR(I2177),"0"))</f>
        <v/>
      </c>
      <c r="N2177" s="5">
        <f>IFERROR(INDEX(DePara!$A:$A,MATCH(TEXT(B2177,"0"),DePara!$D:$D,0)),"(sem categoria)")</f>
        <v/>
      </c>
      <c r="O2177" s="5">
        <f>IF(J2177="","",Parametros!$B$6-J2177)</f>
        <v/>
      </c>
      <c r="P2177" s="5">
        <f>IF(O2177="","",IF(O2177&gt;0,1,0))</f>
        <v/>
      </c>
    </row>
    <row r="2178">
      <c r="A2178" s="5" t="n">
        <v>2111000000</v>
      </c>
      <c r="B2178" s="5" t="inlineStr">
        <is>
          <t>103966</t>
        </is>
      </c>
      <c r="C2178" s="5" t="inlineStr">
        <is>
          <t>HINE DO BRASIL IND E COM HIDR E PN 12482538000754</t>
        </is>
      </c>
      <c r="D2178" s="5" t="inlineStr">
        <is>
          <t>RE</t>
        </is>
      </c>
      <c r="E2178" s="5" t="n">
        <v>5014462</v>
      </c>
      <c r="F2178" s="5" t="inlineStr">
        <is>
          <t>000004244-1</t>
        </is>
      </c>
      <c r="G2178" s="5" t="inlineStr">
        <is>
          <t>BRL</t>
        </is>
      </c>
      <c r="H2178" s="9" t="n">
        <v>-7646</v>
      </c>
      <c r="I2178" s="16" t="n">
        <v>46224</v>
      </c>
      <c r="J2178" s="16" t="n">
        <v>46270</v>
      </c>
      <c r="K2178" s="5" t="inlineStr">
        <is>
          <t>Fatura - bruto HINE DO BRASIL IND E COM HIDR E PN</t>
        </is>
      </c>
      <c r="L2178" s="5" t="inlineStr">
        <is>
          <t>08092026</t>
        </is>
      </c>
      <c r="M2178" s="5">
        <f>IF(YEAR(I2178)&lt;=2020,"Até 2020",TEXT(YEAR(I2178),"0"))</f>
        <v/>
      </c>
      <c r="N2178" s="5">
        <f>IFERROR(INDEX(DePara!$A:$A,MATCH(TEXT(B2178,"0"),DePara!$D:$D,0)),"(sem categoria)")</f>
        <v/>
      </c>
      <c r="O2178" s="5">
        <f>IF(J2178="","",Parametros!$B$6-J2178)</f>
        <v/>
      </c>
      <c r="P2178" s="5">
        <f>IF(O2178="","",IF(O2178&gt;0,1,0))</f>
        <v/>
      </c>
    </row>
    <row r="2179">
      <c r="A2179" s="5" t="n">
        <v>2111000000</v>
      </c>
      <c r="B2179" s="5" t="inlineStr">
        <is>
          <t>100621</t>
        </is>
      </c>
      <c r="C2179" s="5" t="inlineStr">
        <is>
          <t>CALTER ENGENHARIA LTDA</t>
        </is>
      </c>
      <c r="D2179" s="5" t="inlineStr">
        <is>
          <t>RE</t>
        </is>
      </c>
      <c r="E2179" s="5" t="n">
        <v>5014464</v>
      </c>
      <c r="F2179" s="5" t="inlineStr">
        <is>
          <t>40</t>
        </is>
      </c>
      <c r="G2179" s="5" t="inlineStr">
        <is>
          <t>BRL</t>
        </is>
      </c>
      <c r="H2179" s="9" t="n">
        <v>-22002.26</v>
      </c>
      <c r="I2179" s="16" t="n">
        <v>46233</v>
      </c>
      <c r="J2179" s="16" t="n">
        <v>46300</v>
      </c>
      <c r="K2179" s="5" t="inlineStr">
        <is>
          <t>Fatura - bruto CALTER ENGENHARIA LTDA 40</t>
        </is>
      </c>
      <c r="L2179" s="5" t="inlineStr">
        <is>
          <t>05102026</t>
        </is>
      </c>
      <c r="M2179" s="5">
        <f>IF(YEAR(I2179)&lt;=2020,"Até 2020",TEXT(YEAR(I2179),"0"))</f>
        <v/>
      </c>
      <c r="N2179" s="5">
        <f>IFERROR(INDEX(DePara!$A:$A,MATCH(TEXT(B2179,"0"),DePara!$D:$D,0)),"(sem categoria)")</f>
        <v/>
      </c>
      <c r="O2179" s="5">
        <f>IF(J2179="","",Parametros!$B$6-J2179)</f>
        <v/>
      </c>
      <c r="P2179" s="5">
        <f>IF(O2179="","",IF(O2179&gt;0,1,0))</f>
        <v/>
      </c>
    </row>
    <row r="2180">
      <c r="A2180" s="5" t="n">
        <v>2111000000</v>
      </c>
      <c r="B2180" s="5" t="inlineStr">
        <is>
          <t>101775</t>
        </is>
      </c>
      <c r="C2180" s="5" t="inlineStr">
        <is>
          <t>SOUSATEC.NET LTDA  ME</t>
        </is>
      </c>
      <c r="D2180" s="5" t="inlineStr">
        <is>
          <t>RE</t>
        </is>
      </c>
      <c r="E2180" s="5" t="n">
        <v>5014469</v>
      </c>
      <c r="F2180" s="5" t="inlineStr">
        <is>
          <t>5510</t>
        </is>
      </c>
      <c r="G2180" s="5" t="inlineStr">
        <is>
          <t>BRL</t>
        </is>
      </c>
      <c r="H2180" s="9" t="n">
        <v>-1600</v>
      </c>
      <c r="I2180" s="16" t="n">
        <v>46239</v>
      </c>
      <c r="J2180" s="16" t="n">
        <v>46269</v>
      </c>
      <c r="K2180" s="5" t="inlineStr">
        <is>
          <t>Fatura - bruto SOUSATEC.NET LTDA  ME 5510</t>
        </is>
      </c>
      <c r="L2180" s="5" t="inlineStr">
        <is>
          <t>02092026</t>
        </is>
      </c>
      <c r="M2180" s="5">
        <f>IF(YEAR(I2180)&lt;=2020,"Até 2020",TEXT(YEAR(I2180),"0"))</f>
        <v/>
      </c>
      <c r="N2180" s="5">
        <f>IFERROR(INDEX(DePara!$A:$A,MATCH(TEXT(B2180,"0"),DePara!$D:$D,0)),"(sem categoria)")</f>
        <v/>
      </c>
      <c r="O2180" s="5">
        <f>IF(J2180="","",Parametros!$B$6-J2180)</f>
        <v/>
      </c>
      <c r="P2180" s="5">
        <f>IF(O2180="","",IF(O2180&gt;0,1,0))</f>
        <v/>
      </c>
    </row>
    <row r="2181">
      <c r="A2181" s="5" t="n">
        <v>2111000000</v>
      </c>
      <c r="B2181" s="5" t="inlineStr">
        <is>
          <t>101463</t>
        </is>
      </c>
      <c r="C2181" s="5" t="inlineStr">
        <is>
          <t>ZURICH MINAS BRASIL SEGUROS S A</t>
        </is>
      </c>
      <c r="D2181" s="5" t="inlineStr">
        <is>
          <t>RE</t>
        </is>
      </c>
      <c r="E2181" s="5" t="n">
        <v>5014471</v>
      </c>
      <c r="F2181" s="5" t="inlineStr">
        <is>
          <t>0335/26</t>
        </is>
      </c>
      <c r="G2181" s="5" t="inlineStr">
        <is>
          <t>BRL</t>
        </is>
      </c>
      <c r="H2181" s="9" t="n">
        <v>-730.0700000000001</v>
      </c>
      <c r="I2181" s="16" t="n">
        <v>46240</v>
      </c>
      <c r="J2181" s="16" t="n">
        <v>46270</v>
      </c>
      <c r="K2181" s="5" t="inlineStr">
        <is>
          <t>Invoice Payment. SP: 20978</t>
        </is>
      </c>
      <c r="L2181" s="5" t="inlineStr">
        <is>
          <t>0335/26</t>
        </is>
      </c>
      <c r="M2181" s="5">
        <f>IF(YEAR(I2181)&lt;=2020,"Até 2020",TEXT(YEAR(I2181),"0"))</f>
        <v/>
      </c>
      <c r="N2181" s="5">
        <f>IFERROR(INDEX(DePara!$A:$A,MATCH(TEXT(B2181,"0"),DePara!$D:$D,0)),"(sem categoria)")</f>
        <v/>
      </c>
      <c r="O2181" s="5">
        <f>IF(J2181="","",Parametros!$B$6-J2181)</f>
        <v/>
      </c>
      <c r="P2181" s="5">
        <f>IF(O2181="","",IF(O2181&gt;0,1,0))</f>
        <v/>
      </c>
    </row>
    <row r="2182">
      <c r="A2182" s="5" t="n">
        <v>2111000000</v>
      </c>
      <c r="B2182" s="5" t="inlineStr">
        <is>
          <t>101775</t>
        </is>
      </c>
      <c r="C2182" s="5" t="inlineStr">
        <is>
          <t>SOUSATEC.NET LTDA  ME</t>
        </is>
      </c>
      <c r="D2182" s="5" t="inlineStr">
        <is>
          <t>RE</t>
        </is>
      </c>
      <c r="E2182" s="5" t="n">
        <v>5014477</v>
      </c>
      <c r="F2182" s="5" t="inlineStr">
        <is>
          <t>251</t>
        </is>
      </c>
      <c r="G2182" s="5" t="inlineStr">
        <is>
          <t>BRL</t>
        </is>
      </c>
      <c r="H2182" s="9" t="n">
        <v>-890</v>
      </c>
      <c r="I2182" s="16" t="n">
        <v>46239</v>
      </c>
      <c r="J2182" s="16" t="n">
        <v>46269</v>
      </c>
      <c r="K2182" s="5" t="inlineStr">
        <is>
          <t>Fatura - bruto SOUSATEC.NET LTDA  ME 251</t>
        </is>
      </c>
      <c r="L2182" s="5" t="inlineStr">
        <is>
          <t>02092026</t>
        </is>
      </c>
      <c r="M2182" s="5">
        <f>IF(YEAR(I2182)&lt;=2020,"Até 2020",TEXT(YEAR(I2182),"0"))</f>
        <v/>
      </c>
      <c r="N2182" s="5">
        <f>IFERROR(INDEX(DePara!$A:$A,MATCH(TEXT(B2182,"0"),DePara!$D:$D,0)),"(sem categoria)")</f>
        <v/>
      </c>
      <c r="O2182" s="5">
        <f>IF(J2182="","",Parametros!$B$6-J2182)</f>
        <v/>
      </c>
      <c r="P2182" s="5">
        <f>IF(O2182="","",IF(O2182&gt;0,1,0))</f>
        <v/>
      </c>
    </row>
    <row r="2183">
      <c r="A2183" s="5" t="n">
        <v>2111000000</v>
      </c>
      <c r="B2183" s="5" t="inlineStr">
        <is>
          <t>101463</t>
        </is>
      </c>
      <c r="C2183" s="5" t="inlineStr">
        <is>
          <t>ZURICH MINAS BRASIL SEGUROS S A</t>
        </is>
      </c>
      <c r="D2183" s="5" t="inlineStr">
        <is>
          <t>RE</t>
        </is>
      </c>
      <c r="E2183" s="5" t="n">
        <v>5014478</v>
      </c>
      <c r="F2183" s="5" t="inlineStr">
        <is>
          <t>0230/26</t>
        </is>
      </c>
      <c r="G2183" s="5" t="inlineStr">
        <is>
          <t>BRL</t>
        </is>
      </c>
      <c r="H2183" s="9" t="n">
        <v>-1.54</v>
      </c>
      <c r="I2183" s="16" t="n">
        <v>46240</v>
      </c>
      <c r="J2183" s="16" t="n">
        <v>46270</v>
      </c>
      <c r="K2183" s="5" t="inlineStr">
        <is>
          <t>Invoice Payment. SP: 20979</t>
        </is>
      </c>
      <c r="L2183" s="5" t="inlineStr">
        <is>
          <t>0230/26</t>
        </is>
      </c>
      <c r="M2183" s="5">
        <f>IF(YEAR(I2183)&lt;=2020,"Até 2020",TEXT(YEAR(I2183),"0"))</f>
        <v/>
      </c>
      <c r="N2183" s="5">
        <f>IFERROR(INDEX(DePara!$A:$A,MATCH(TEXT(B2183,"0"),DePara!$D:$D,0)),"(sem categoria)")</f>
        <v/>
      </c>
      <c r="O2183" s="5">
        <f>IF(J2183="","",Parametros!$B$6-J2183)</f>
        <v/>
      </c>
      <c r="P2183" s="5">
        <f>IF(O2183="","",IF(O2183&gt;0,1,0))</f>
        <v/>
      </c>
    </row>
    <row r="2184">
      <c r="A2184" s="5" t="n">
        <v>2111000000</v>
      </c>
      <c r="B2184" s="5" t="inlineStr">
        <is>
          <t>101463</t>
        </is>
      </c>
      <c r="C2184" s="5" t="inlineStr">
        <is>
          <t>ZURICH MINAS BRASIL SEGUROS S A</t>
        </is>
      </c>
      <c r="D2184" s="5" t="inlineStr">
        <is>
          <t>RE</t>
        </is>
      </c>
      <c r="E2184" s="5" t="n">
        <v>5014481</v>
      </c>
      <c r="F2184" s="5" t="inlineStr">
        <is>
          <t>0454/26</t>
        </is>
      </c>
      <c r="G2184" s="5" t="inlineStr">
        <is>
          <t>BRL</t>
        </is>
      </c>
      <c r="H2184" s="9" t="n">
        <v>-2.69</v>
      </c>
      <c r="I2184" s="16" t="n">
        <v>46240</v>
      </c>
      <c r="J2184" s="16" t="n">
        <v>46270</v>
      </c>
      <c r="K2184" s="5" t="inlineStr">
        <is>
          <t>Invoice Payment. SP: 20998</t>
        </is>
      </c>
      <c r="L2184" s="5" t="inlineStr">
        <is>
          <t>0454/26</t>
        </is>
      </c>
      <c r="M2184" s="5">
        <f>IF(YEAR(I2184)&lt;=2020,"Até 2020",TEXT(YEAR(I2184),"0"))</f>
        <v/>
      </c>
      <c r="N2184" s="5">
        <f>IFERROR(INDEX(DePara!$A:$A,MATCH(TEXT(B2184,"0"),DePara!$D:$D,0)),"(sem categoria)")</f>
        <v/>
      </c>
      <c r="O2184" s="5">
        <f>IF(J2184="","",Parametros!$B$6-J2184)</f>
        <v/>
      </c>
      <c r="P2184" s="5">
        <f>IF(O2184="","",IF(O2184&gt;0,1,0))</f>
        <v/>
      </c>
    </row>
    <row r="2185">
      <c r="A2185" s="5" t="n">
        <v>2111000000</v>
      </c>
      <c r="B2185" s="5" t="inlineStr">
        <is>
          <t>101226</t>
        </is>
      </c>
      <c r="C2185" s="5" t="inlineStr">
        <is>
          <t>AL WIND SOLUCOES LTDA</t>
        </is>
      </c>
      <c r="D2185" s="5" t="inlineStr">
        <is>
          <t>RE</t>
        </is>
      </c>
      <c r="E2185" s="5" t="n">
        <v>5014482</v>
      </c>
      <c r="F2185" s="5" t="inlineStr">
        <is>
          <t>39</t>
        </is>
      </c>
      <c r="G2185" s="5" t="inlineStr">
        <is>
          <t>BRL</t>
        </is>
      </c>
      <c r="H2185" s="9" t="n">
        <v>-22155.38</v>
      </c>
      <c r="I2185" s="16" t="n">
        <v>46238</v>
      </c>
      <c r="J2185" s="16" t="n">
        <v>46268</v>
      </c>
      <c r="K2185" s="5" t="inlineStr">
        <is>
          <t>Fatura - bruto AL WIND SOLUCOES LTDA 39</t>
        </is>
      </c>
      <c r="L2185" s="5" t="inlineStr">
        <is>
          <t>02092026</t>
        </is>
      </c>
      <c r="M2185" s="5">
        <f>IF(YEAR(I2185)&lt;=2020,"Até 2020",TEXT(YEAR(I2185),"0"))</f>
        <v/>
      </c>
      <c r="N2185" s="5">
        <f>IFERROR(INDEX(DePara!$A:$A,MATCH(TEXT(B2185,"0"),DePara!$D:$D,0)),"(sem categoria)")</f>
        <v/>
      </c>
      <c r="O2185" s="5">
        <f>IF(J2185="","",Parametros!$B$6-J2185)</f>
        <v/>
      </c>
      <c r="P2185" s="5">
        <f>IF(O2185="","",IF(O2185&gt;0,1,0))</f>
        <v/>
      </c>
    </row>
    <row r="2186">
      <c r="A2186" s="5" t="n">
        <v>2111000000</v>
      </c>
      <c r="B2186" s="5" t="inlineStr">
        <is>
          <t>100454</t>
        </is>
      </c>
      <c r="C2186" s="5" t="inlineStr">
        <is>
          <t>GEOMATICS GESTAO DE FROTAS LTDA</t>
        </is>
      </c>
      <c r="D2186" s="5" t="inlineStr">
        <is>
          <t>RE</t>
        </is>
      </c>
      <c r="E2186" s="5" t="n">
        <v>5014483</v>
      </c>
      <c r="F2186" s="5" t="inlineStr">
        <is>
          <t>2796</t>
        </is>
      </c>
      <c r="G2186" s="5" t="inlineStr">
        <is>
          <t>BRL</t>
        </is>
      </c>
      <c r="H2186" s="9" t="n">
        <v>-1980.16</v>
      </c>
      <c r="I2186" s="16" t="n">
        <v>46239</v>
      </c>
      <c r="J2186" s="16" t="n">
        <v>46276</v>
      </c>
      <c r="K2186" s="5" t="inlineStr">
        <is>
          <t>Fatura - bruto GEOMATICS GESTAO DE FROTAS LTDA 279</t>
        </is>
      </c>
      <c r="L2186" s="5" t="inlineStr">
        <is>
          <t>09092026</t>
        </is>
      </c>
      <c r="M2186" s="5">
        <f>IF(YEAR(I2186)&lt;=2020,"Até 2020",TEXT(YEAR(I2186),"0"))</f>
        <v/>
      </c>
      <c r="N2186" s="5">
        <f>IFERROR(INDEX(DePara!$A:$A,MATCH(TEXT(B2186,"0"),DePara!$D:$D,0)),"(sem categoria)")</f>
        <v/>
      </c>
      <c r="O2186" s="5">
        <f>IF(J2186="","",Parametros!$B$6-J2186)</f>
        <v/>
      </c>
      <c r="P2186" s="5">
        <f>IF(O2186="","",IF(O2186&gt;0,1,0))</f>
        <v/>
      </c>
    </row>
    <row r="2187">
      <c r="A2187" s="5" t="n">
        <v>2111000000</v>
      </c>
      <c r="B2187" s="5" t="inlineStr">
        <is>
          <t>100454</t>
        </is>
      </c>
      <c r="C2187" s="5" t="inlineStr">
        <is>
          <t>GEOMATICS GESTAO DE FROTAS LTDA</t>
        </is>
      </c>
      <c r="D2187" s="5" t="inlineStr">
        <is>
          <t>RE</t>
        </is>
      </c>
      <c r="E2187" s="5" t="n">
        <v>5014485</v>
      </c>
      <c r="F2187" s="5" t="inlineStr">
        <is>
          <t>5900</t>
        </is>
      </c>
      <c r="G2187" s="5" t="inlineStr">
        <is>
          <t>BRL</t>
        </is>
      </c>
      <c r="H2187" s="9" t="n">
        <v>-1157.45</v>
      </c>
      <c r="I2187" s="16" t="n">
        <v>46239</v>
      </c>
      <c r="J2187" s="16" t="n">
        <v>46276</v>
      </c>
      <c r="K2187" s="5" t="inlineStr">
        <is>
          <t>Fatura - bruto GEOMATICS GESTAO DE FROTAS LTDA 590</t>
        </is>
      </c>
      <c r="L2187" s="5" t="inlineStr">
        <is>
          <t>09092026</t>
        </is>
      </c>
      <c r="M2187" s="5">
        <f>IF(YEAR(I2187)&lt;=2020,"Até 2020",TEXT(YEAR(I2187),"0"))</f>
        <v/>
      </c>
      <c r="N2187" s="5">
        <f>IFERROR(INDEX(DePara!$A:$A,MATCH(TEXT(B2187,"0"),DePara!$D:$D,0)),"(sem categoria)")</f>
        <v/>
      </c>
      <c r="O2187" s="5">
        <f>IF(J2187="","",Parametros!$B$6-J2187)</f>
        <v/>
      </c>
      <c r="P2187" s="5">
        <f>IF(O2187="","",IF(O2187&gt;0,1,0))</f>
        <v/>
      </c>
    </row>
    <row r="2188">
      <c r="A2188" s="5" t="n">
        <v>2111000000</v>
      </c>
      <c r="B2188" s="5" t="inlineStr">
        <is>
          <t>100379</t>
        </is>
      </c>
      <c r="C2188" s="5" t="inlineStr">
        <is>
          <t>RAK LOG TRANSPORTES E LOGISTICA EIR</t>
        </is>
      </c>
      <c r="D2188" s="5" t="inlineStr">
        <is>
          <t>RE</t>
        </is>
      </c>
      <c r="E2188" s="5" t="n">
        <v>5014488</v>
      </c>
      <c r="F2188" s="5" t="inlineStr">
        <is>
          <t>332980-1</t>
        </is>
      </c>
      <c r="G2188" s="5" t="inlineStr">
        <is>
          <t>BRL</t>
        </is>
      </c>
      <c r="H2188" s="9" t="n">
        <v>-13030.05</v>
      </c>
      <c r="I2188" s="16" t="n">
        <v>46185</v>
      </c>
      <c r="J2188" s="16" t="n">
        <v>46270</v>
      </c>
      <c r="K2188" s="5" t="inlineStr">
        <is>
          <t>Fatura - bruto RAK LOG TRANSPORTES E LOGISTICA EIR</t>
        </is>
      </c>
      <c r="L2188" s="5" t="inlineStr">
        <is>
          <t>08092026</t>
        </is>
      </c>
      <c r="M2188" s="5">
        <f>IF(YEAR(I2188)&lt;=2020,"Até 2020",TEXT(YEAR(I2188),"0"))</f>
        <v/>
      </c>
      <c r="N2188" s="5">
        <f>IFERROR(INDEX(DePara!$A:$A,MATCH(TEXT(B2188,"0"),DePara!$D:$D,0)),"(sem categoria)")</f>
        <v/>
      </c>
      <c r="O2188" s="5">
        <f>IF(J2188="","",Parametros!$B$6-J2188)</f>
        <v/>
      </c>
      <c r="P2188" s="5">
        <f>IF(O2188="","",IF(O2188&gt;0,1,0))</f>
        <v/>
      </c>
    </row>
    <row r="2189">
      <c r="A2189" s="5" t="n">
        <v>2111000000</v>
      </c>
      <c r="B2189" s="5" t="inlineStr">
        <is>
          <t>100379</t>
        </is>
      </c>
      <c r="C2189" s="5" t="inlineStr">
        <is>
          <t>RAK LOG TRANSPORTES E LOGISTICA EIR</t>
        </is>
      </c>
      <c r="D2189" s="5" t="inlineStr">
        <is>
          <t>RE</t>
        </is>
      </c>
      <c r="E2189" s="5" t="n">
        <v>5014489</v>
      </c>
      <c r="F2189" s="5" t="inlineStr">
        <is>
          <t>332982-1</t>
        </is>
      </c>
      <c r="G2189" s="5" t="inlineStr">
        <is>
          <t>BRL</t>
        </is>
      </c>
      <c r="H2189" s="9" t="n">
        <v>-13207.84</v>
      </c>
      <c r="I2189" s="16" t="n">
        <v>46185</v>
      </c>
      <c r="J2189" s="16" t="n">
        <v>46270</v>
      </c>
      <c r="K2189" s="5" t="inlineStr">
        <is>
          <t>Fatura - bruto RAK LOG TRANSPORTES E LOGISTICA EIR</t>
        </is>
      </c>
      <c r="L2189" s="5" t="inlineStr">
        <is>
          <t>08092026</t>
        </is>
      </c>
      <c r="M2189" s="5">
        <f>IF(YEAR(I2189)&lt;=2020,"Até 2020",TEXT(YEAR(I2189),"0"))</f>
        <v/>
      </c>
      <c r="N2189" s="5">
        <f>IFERROR(INDEX(DePara!$A:$A,MATCH(TEXT(B2189,"0"),DePara!$D:$D,0)),"(sem categoria)")</f>
        <v/>
      </c>
      <c r="O2189" s="5">
        <f>IF(J2189="","",Parametros!$B$6-J2189)</f>
        <v/>
      </c>
      <c r="P2189" s="5">
        <f>IF(O2189="","",IF(O2189&gt;0,1,0))</f>
        <v/>
      </c>
    </row>
    <row r="2190">
      <c r="A2190" s="5" t="n">
        <v>2111000000</v>
      </c>
      <c r="B2190" s="5" t="inlineStr">
        <is>
          <t>100379</t>
        </is>
      </c>
      <c r="C2190" s="5" t="inlineStr">
        <is>
          <t>RAK LOG TRANSPORTES E LOGISTICA EIR</t>
        </is>
      </c>
      <c r="D2190" s="5" t="inlineStr">
        <is>
          <t>RE</t>
        </is>
      </c>
      <c r="E2190" s="5" t="n">
        <v>5014490</v>
      </c>
      <c r="F2190" s="5" t="inlineStr">
        <is>
          <t>332983-1</t>
        </is>
      </c>
      <c r="G2190" s="5" t="inlineStr">
        <is>
          <t>BRL</t>
        </is>
      </c>
      <c r="H2190" s="9" t="n">
        <v>-13101.16</v>
      </c>
      <c r="I2190" s="16" t="n">
        <v>46185</v>
      </c>
      <c r="J2190" s="16" t="n">
        <v>46270</v>
      </c>
      <c r="K2190" s="5" t="inlineStr">
        <is>
          <t>Fatura - bruto RAK LOG TRANSPORTES E LOGISTICA EIR</t>
        </is>
      </c>
      <c r="L2190" s="5" t="inlineStr">
        <is>
          <t>08092026</t>
        </is>
      </c>
      <c r="M2190" s="5">
        <f>IF(YEAR(I2190)&lt;=2020,"Até 2020",TEXT(YEAR(I2190),"0"))</f>
        <v/>
      </c>
      <c r="N2190" s="5">
        <f>IFERROR(INDEX(DePara!$A:$A,MATCH(TEXT(B2190,"0"),DePara!$D:$D,0)),"(sem categoria)")</f>
        <v/>
      </c>
      <c r="O2190" s="5">
        <f>IF(J2190="","",Parametros!$B$6-J2190)</f>
        <v/>
      </c>
      <c r="P2190" s="5">
        <f>IF(O2190="","",IF(O2190&gt;0,1,0))</f>
        <v/>
      </c>
    </row>
    <row r="2191">
      <c r="A2191" s="5" t="n">
        <v>2111000000</v>
      </c>
      <c r="B2191" s="5" t="inlineStr">
        <is>
          <t>100379</t>
        </is>
      </c>
      <c r="C2191" s="5" t="inlineStr">
        <is>
          <t>RAK LOG TRANSPORTES E LOGISTICA EIR</t>
        </is>
      </c>
      <c r="D2191" s="5" t="inlineStr">
        <is>
          <t>RE</t>
        </is>
      </c>
      <c r="E2191" s="5" t="n">
        <v>5014491</v>
      </c>
      <c r="F2191" s="5" t="inlineStr">
        <is>
          <t>332984-1</t>
        </is>
      </c>
      <c r="G2191" s="5" t="inlineStr">
        <is>
          <t>BRL</t>
        </is>
      </c>
      <c r="H2191" s="9" t="n">
        <v>-13030.05</v>
      </c>
      <c r="I2191" s="16" t="n">
        <v>46185</v>
      </c>
      <c r="J2191" s="16" t="n">
        <v>46270</v>
      </c>
      <c r="K2191" s="5" t="inlineStr">
        <is>
          <t>Fatura - bruto RAK LOG TRANSPORTES E LOGISTICA EIR</t>
        </is>
      </c>
      <c r="L2191" s="5" t="inlineStr">
        <is>
          <t>08092026</t>
        </is>
      </c>
      <c r="M2191" s="5">
        <f>IF(YEAR(I2191)&lt;=2020,"Até 2020",TEXT(YEAR(I2191),"0"))</f>
        <v/>
      </c>
      <c r="N2191" s="5">
        <f>IFERROR(INDEX(DePara!$A:$A,MATCH(TEXT(B2191,"0"),DePara!$D:$D,0)),"(sem categoria)")</f>
        <v/>
      </c>
      <c r="O2191" s="5">
        <f>IF(J2191="","",Parametros!$B$6-J2191)</f>
        <v/>
      </c>
      <c r="P2191" s="5">
        <f>IF(O2191="","",IF(O2191&gt;0,1,0))</f>
        <v/>
      </c>
    </row>
    <row r="2192">
      <c r="A2192" s="5" t="n">
        <v>2111000000</v>
      </c>
      <c r="B2192" s="5" t="inlineStr">
        <is>
          <t>100379</t>
        </is>
      </c>
      <c r="C2192" s="5" t="inlineStr">
        <is>
          <t>RAK LOG TRANSPORTES E LOGISTICA EIR</t>
        </is>
      </c>
      <c r="D2192" s="5" t="inlineStr">
        <is>
          <t>RE</t>
        </is>
      </c>
      <c r="E2192" s="5" t="n">
        <v>5014492</v>
      </c>
      <c r="F2192" s="5" t="inlineStr">
        <is>
          <t>332399-1</t>
        </is>
      </c>
      <c r="G2192" s="5" t="inlineStr">
        <is>
          <t>BRL</t>
        </is>
      </c>
      <c r="H2192" s="9" t="n">
        <v>-13296.66</v>
      </c>
      <c r="I2192" s="16" t="n">
        <v>46181</v>
      </c>
      <c r="J2192" s="16" t="n">
        <v>46270</v>
      </c>
      <c r="K2192" s="5" t="inlineStr">
        <is>
          <t>Fatura - bruto RAK LOG TRANSPORTES E LOGISTICA EIR</t>
        </is>
      </c>
      <c r="L2192" s="5" t="inlineStr">
        <is>
          <t>08092026</t>
        </is>
      </c>
      <c r="M2192" s="5">
        <f>IF(YEAR(I2192)&lt;=2020,"Até 2020",TEXT(YEAR(I2192),"0"))</f>
        <v/>
      </c>
      <c r="N2192" s="5">
        <f>IFERROR(INDEX(DePara!$A:$A,MATCH(TEXT(B2192,"0"),DePara!$D:$D,0)),"(sem categoria)")</f>
        <v/>
      </c>
      <c r="O2192" s="5">
        <f>IF(J2192="","",Parametros!$B$6-J2192)</f>
        <v/>
      </c>
      <c r="P2192" s="5">
        <f>IF(O2192="","",IF(O2192&gt;0,1,0))</f>
        <v/>
      </c>
    </row>
    <row r="2193">
      <c r="A2193" s="5" t="n">
        <v>2111000000</v>
      </c>
      <c r="B2193" s="5" t="inlineStr">
        <is>
          <t>100379</t>
        </is>
      </c>
      <c r="C2193" s="5" t="inlineStr">
        <is>
          <t>RAK LOG TRANSPORTES E LOGISTICA EIR</t>
        </is>
      </c>
      <c r="D2193" s="5" t="inlineStr">
        <is>
          <t>RE</t>
        </is>
      </c>
      <c r="E2193" s="5" t="n">
        <v>5014493</v>
      </c>
      <c r="F2193" s="5" t="inlineStr">
        <is>
          <t>336583-1</t>
        </is>
      </c>
      <c r="G2193" s="5" t="inlineStr">
        <is>
          <t>BRL</t>
        </is>
      </c>
      <c r="H2193" s="9" t="n">
        <v>-13413.31</v>
      </c>
      <c r="I2193" s="16" t="n">
        <v>46223</v>
      </c>
      <c r="J2193" s="16" t="n">
        <v>46300</v>
      </c>
      <c r="K2193" s="5" t="inlineStr">
        <is>
          <t>Fatura - bruto RAK LOG TRANSPORTES E LOGISTICA EIR</t>
        </is>
      </c>
      <c r="L2193" s="5" t="inlineStr">
        <is>
          <t>05102026</t>
        </is>
      </c>
      <c r="M2193" s="5">
        <f>IF(YEAR(I2193)&lt;=2020,"Até 2020",TEXT(YEAR(I2193),"0"))</f>
        <v/>
      </c>
      <c r="N2193" s="5">
        <f>IFERROR(INDEX(DePara!$A:$A,MATCH(TEXT(B2193,"0"),DePara!$D:$D,0)),"(sem categoria)")</f>
        <v/>
      </c>
      <c r="O2193" s="5">
        <f>IF(J2193="","",Parametros!$B$6-J2193)</f>
        <v/>
      </c>
      <c r="P2193" s="5">
        <f>IF(O2193="","",IF(O2193&gt;0,1,0))</f>
        <v/>
      </c>
    </row>
    <row r="2194">
      <c r="A2194" s="5" t="n">
        <v>2111000000</v>
      </c>
      <c r="B2194" s="5" t="inlineStr">
        <is>
          <t>100379</t>
        </is>
      </c>
      <c r="C2194" s="5" t="inlineStr">
        <is>
          <t>RAK LOG TRANSPORTES E LOGISTICA EIR</t>
        </is>
      </c>
      <c r="D2194" s="5" t="inlineStr">
        <is>
          <t>RE</t>
        </is>
      </c>
      <c r="E2194" s="5" t="n">
        <v>5014494</v>
      </c>
      <c r="F2194" s="5" t="inlineStr">
        <is>
          <t>332432-1</t>
        </is>
      </c>
      <c r="G2194" s="5" t="inlineStr">
        <is>
          <t>BRL</t>
        </is>
      </c>
      <c r="H2194" s="9" t="n">
        <v>-13557.07</v>
      </c>
      <c r="I2194" s="16" t="n">
        <v>46181</v>
      </c>
      <c r="J2194" s="16" t="n">
        <v>46270</v>
      </c>
      <c r="K2194" s="5" t="inlineStr">
        <is>
          <t>Fatura - bruto RAK LOG TRANSPORTES E LOGISTICA EIR</t>
        </is>
      </c>
      <c r="L2194" s="5" t="inlineStr">
        <is>
          <t>08092026</t>
        </is>
      </c>
      <c r="M2194" s="5">
        <f>IF(YEAR(I2194)&lt;=2020,"Até 2020",TEXT(YEAR(I2194),"0"))</f>
        <v/>
      </c>
      <c r="N2194" s="5">
        <f>IFERROR(INDEX(DePara!$A:$A,MATCH(TEXT(B2194,"0"),DePara!$D:$D,0)),"(sem categoria)")</f>
        <v/>
      </c>
      <c r="O2194" s="5">
        <f>IF(J2194="","",Parametros!$B$6-J2194)</f>
        <v/>
      </c>
      <c r="P2194" s="5">
        <f>IF(O2194="","",IF(O2194&gt;0,1,0))</f>
        <v/>
      </c>
    </row>
    <row r="2195">
      <c r="A2195" s="5" t="n">
        <v>2111000000</v>
      </c>
      <c r="B2195" s="5" t="inlineStr">
        <is>
          <t>100379</t>
        </is>
      </c>
      <c r="C2195" s="5" t="inlineStr">
        <is>
          <t>RAK LOG TRANSPORTES E LOGISTICA EIR</t>
        </is>
      </c>
      <c r="D2195" s="5" t="inlineStr">
        <is>
          <t>RE</t>
        </is>
      </c>
      <c r="E2195" s="5" t="n">
        <v>5014495</v>
      </c>
      <c r="F2195" s="5" t="inlineStr">
        <is>
          <t>336580-1</t>
        </is>
      </c>
      <c r="G2195" s="5" t="inlineStr">
        <is>
          <t>BRL</t>
        </is>
      </c>
      <c r="H2195" s="9" t="n">
        <v>-12958.03</v>
      </c>
      <c r="I2195" s="16" t="n">
        <v>46223</v>
      </c>
      <c r="J2195" s="16" t="n">
        <v>46300</v>
      </c>
      <c r="K2195" s="5" t="inlineStr">
        <is>
          <t>Fatura - bruto RAK LOG TRANSPORTES E LOGISTICA EIR</t>
        </is>
      </c>
      <c r="L2195" s="5" t="inlineStr">
        <is>
          <t>05102026</t>
        </is>
      </c>
      <c r="M2195" s="5">
        <f>IF(YEAR(I2195)&lt;=2020,"Até 2020",TEXT(YEAR(I2195),"0"))</f>
        <v/>
      </c>
      <c r="N2195" s="5">
        <f>IFERROR(INDEX(DePara!$A:$A,MATCH(TEXT(B2195,"0"),DePara!$D:$D,0)),"(sem categoria)")</f>
        <v/>
      </c>
      <c r="O2195" s="5">
        <f>IF(J2195="","",Parametros!$B$6-J2195)</f>
        <v/>
      </c>
      <c r="P2195" s="5">
        <f>IF(O2195="","",IF(O2195&gt;0,1,0))</f>
        <v/>
      </c>
    </row>
    <row r="2196">
      <c r="A2196" s="5" t="n">
        <v>2111000000</v>
      </c>
      <c r="B2196" s="5" t="inlineStr">
        <is>
          <t>100379</t>
        </is>
      </c>
      <c r="C2196" s="5" t="inlineStr">
        <is>
          <t>RAK LOG TRANSPORTES E LOGISTICA EIR</t>
        </is>
      </c>
      <c r="D2196" s="5" t="inlineStr">
        <is>
          <t>RE</t>
        </is>
      </c>
      <c r="E2196" s="5" t="n">
        <v>5014496</v>
      </c>
      <c r="F2196" s="5" t="inlineStr">
        <is>
          <t>336579-1</t>
        </is>
      </c>
      <c r="G2196" s="5" t="inlineStr">
        <is>
          <t>BRL</t>
        </is>
      </c>
      <c r="H2196" s="9" t="n">
        <v>-13027.62</v>
      </c>
      <c r="I2196" s="16" t="n">
        <v>46223</v>
      </c>
      <c r="J2196" s="16" t="n">
        <v>46300</v>
      </c>
      <c r="K2196" s="5" t="inlineStr">
        <is>
          <t>Fatura - bruto RAK LOG TRANSPORTES E LOGISTICA EIR</t>
        </is>
      </c>
      <c r="L2196" s="5" t="inlineStr">
        <is>
          <t>05102026</t>
        </is>
      </c>
      <c r="M2196" s="5">
        <f>IF(YEAR(I2196)&lt;=2020,"Até 2020",TEXT(YEAR(I2196),"0"))</f>
        <v/>
      </c>
      <c r="N2196" s="5">
        <f>IFERROR(INDEX(DePara!$A:$A,MATCH(TEXT(B2196,"0"),DePara!$D:$D,0)),"(sem categoria)")</f>
        <v/>
      </c>
      <c r="O2196" s="5">
        <f>IF(J2196="","",Parametros!$B$6-J2196)</f>
        <v/>
      </c>
      <c r="P2196" s="5">
        <f>IF(O2196="","",IF(O2196&gt;0,1,0))</f>
        <v/>
      </c>
    </row>
    <row r="2197">
      <c r="A2197" s="5" t="n">
        <v>2111000000</v>
      </c>
      <c r="B2197" s="5" t="inlineStr">
        <is>
          <t>100379</t>
        </is>
      </c>
      <c r="C2197" s="5" t="inlineStr">
        <is>
          <t>RAK LOG TRANSPORTES E LOGISTICA EIR</t>
        </is>
      </c>
      <c r="D2197" s="5" t="inlineStr">
        <is>
          <t>RE</t>
        </is>
      </c>
      <c r="E2197" s="5" t="n">
        <v>5014497</v>
      </c>
      <c r="F2197" s="5" t="inlineStr">
        <is>
          <t>336575-1</t>
        </is>
      </c>
      <c r="G2197" s="5" t="inlineStr">
        <is>
          <t>BRL</t>
        </is>
      </c>
      <c r="H2197" s="9" t="n">
        <v>-13027.62</v>
      </c>
      <c r="I2197" s="16" t="n">
        <v>46223</v>
      </c>
      <c r="J2197" s="16" t="n">
        <v>46300</v>
      </c>
      <c r="K2197" s="5" t="inlineStr">
        <is>
          <t>Fatura - bruto RAK LOG TRANSPORTES E LOGISTICA EIR</t>
        </is>
      </c>
      <c r="L2197" s="5" t="inlineStr">
        <is>
          <t>05102026</t>
        </is>
      </c>
      <c r="M2197" s="5">
        <f>IF(YEAR(I2197)&lt;=2020,"Até 2020",TEXT(YEAR(I2197),"0"))</f>
        <v/>
      </c>
      <c r="N2197" s="5">
        <f>IFERROR(INDEX(DePara!$A:$A,MATCH(TEXT(B2197,"0"),DePara!$D:$D,0)),"(sem categoria)")</f>
        <v/>
      </c>
      <c r="O2197" s="5">
        <f>IF(J2197="","",Parametros!$B$6-J2197)</f>
        <v/>
      </c>
      <c r="P2197" s="5">
        <f>IF(O2197="","",IF(O2197&gt;0,1,0))</f>
        <v/>
      </c>
    </row>
    <row r="2198">
      <c r="A2198" s="5" t="n">
        <v>2111000000</v>
      </c>
      <c r="B2198" s="5" t="inlineStr">
        <is>
          <t>100379</t>
        </is>
      </c>
      <c r="C2198" s="5" t="inlineStr">
        <is>
          <t>RAK LOG TRANSPORTES E LOGISTICA EIR</t>
        </is>
      </c>
      <c r="D2198" s="5" t="inlineStr">
        <is>
          <t>RE</t>
        </is>
      </c>
      <c r="E2198" s="5" t="n">
        <v>5014498</v>
      </c>
      <c r="F2198" s="5" t="inlineStr">
        <is>
          <t>336550-1</t>
        </is>
      </c>
      <c r="G2198" s="5" t="inlineStr">
        <is>
          <t>BRL</t>
        </is>
      </c>
      <c r="H2198" s="9" t="n">
        <v>-13086.02</v>
      </c>
      <c r="I2198" s="16" t="n">
        <v>46223</v>
      </c>
      <c r="J2198" s="16" t="n">
        <v>46300</v>
      </c>
      <c r="K2198" s="5" t="inlineStr">
        <is>
          <t>Fatura - bruto RAK LOG TRANSPORTES E LOGISTICA EIR</t>
        </is>
      </c>
      <c r="L2198" s="5" t="inlineStr">
        <is>
          <t>05102026</t>
        </is>
      </c>
      <c r="M2198" s="5">
        <f>IF(YEAR(I2198)&lt;=2020,"Até 2020",TEXT(YEAR(I2198),"0"))</f>
        <v/>
      </c>
      <c r="N2198" s="5">
        <f>IFERROR(INDEX(DePara!$A:$A,MATCH(TEXT(B2198,"0"),DePara!$D:$D,0)),"(sem categoria)")</f>
        <v/>
      </c>
      <c r="O2198" s="5">
        <f>IF(J2198="","",Parametros!$B$6-J2198)</f>
        <v/>
      </c>
      <c r="P2198" s="5">
        <f>IF(O2198="","",IF(O2198&gt;0,1,0))</f>
        <v/>
      </c>
    </row>
    <row r="2199">
      <c r="A2199" s="5" t="n">
        <v>2111000000</v>
      </c>
      <c r="B2199" s="5" t="inlineStr">
        <is>
          <t>100379</t>
        </is>
      </c>
      <c r="C2199" s="5" t="inlineStr">
        <is>
          <t>RAK LOG TRANSPORTES E LOGISTICA EIR</t>
        </is>
      </c>
      <c r="D2199" s="5" t="inlineStr">
        <is>
          <t>RE</t>
        </is>
      </c>
      <c r="E2199" s="5" t="n">
        <v>5014499</v>
      </c>
      <c r="F2199" s="5" t="inlineStr">
        <is>
          <t>336537-1</t>
        </is>
      </c>
      <c r="G2199" s="5" t="inlineStr">
        <is>
          <t>BRL</t>
        </is>
      </c>
      <c r="H2199" s="9" t="n">
        <v>-13027.62</v>
      </c>
      <c r="I2199" s="16" t="n">
        <v>46223</v>
      </c>
      <c r="J2199" s="16" t="n">
        <v>46300</v>
      </c>
      <c r="K2199" s="5" t="inlineStr">
        <is>
          <t>Fatura - bruto RAK LOG TRANSPORTES E LOGISTICA EIR</t>
        </is>
      </c>
      <c r="L2199" s="5" t="inlineStr">
        <is>
          <t>05102026</t>
        </is>
      </c>
      <c r="M2199" s="5">
        <f>IF(YEAR(I2199)&lt;=2020,"Até 2020",TEXT(YEAR(I2199),"0"))</f>
        <v/>
      </c>
      <c r="N2199" s="5">
        <f>IFERROR(INDEX(DePara!$A:$A,MATCH(TEXT(B2199,"0"),DePara!$D:$D,0)),"(sem categoria)")</f>
        <v/>
      </c>
      <c r="O2199" s="5">
        <f>IF(J2199="","",Parametros!$B$6-J2199)</f>
        <v/>
      </c>
      <c r="P2199" s="5">
        <f>IF(O2199="","",IF(O2199&gt;0,1,0))</f>
        <v/>
      </c>
    </row>
    <row r="2200">
      <c r="A2200" s="5" t="n">
        <v>2111000000</v>
      </c>
      <c r="B2200" s="5" t="inlineStr">
        <is>
          <t>100379</t>
        </is>
      </c>
      <c r="C2200" s="5" t="inlineStr">
        <is>
          <t>RAK LOG TRANSPORTES E LOGISTICA EIR</t>
        </is>
      </c>
      <c r="D2200" s="5" t="inlineStr">
        <is>
          <t>RE</t>
        </is>
      </c>
      <c r="E2200" s="5" t="n">
        <v>5014500</v>
      </c>
      <c r="F2200" s="5" t="inlineStr">
        <is>
          <t>336771-1</t>
        </is>
      </c>
      <c r="G2200" s="5" t="inlineStr">
        <is>
          <t>BRL</t>
        </is>
      </c>
      <c r="H2200" s="9" t="n">
        <v>-13836.97</v>
      </c>
      <c r="I2200" s="16" t="n">
        <v>46225</v>
      </c>
      <c r="J2200" s="16" t="n">
        <v>46300</v>
      </c>
      <c r="K2200" s="5" t="inlineStr">
        <is>
          <t>Fatura - bruto RAK LOG TRANSPORTES E LOGISTICA EIR</t>
        </is>
      </c>
      <c r="L2200" s="5" t="inlineStr">
        <is>
          <t>05102026</t>
        </is>
      </c>
      <c r="M2200" s="5">
        <f>IF(YEAR(I2200)&lt;=2020,"Até 2020",TEXT(YEAR(I2200),"0"))</f>
        <v/>
      </c>
      <c r="N2200" s="5">
        <f>IFERROR(INDEX(DePara!$A:$A,MATCH(TEXT(B2200,"0"),DePara!$D:$D,0)),"(sem categoria)")</f>
        <v/>
      </c>
      <c r="O2200" s="5">
        <f>IF(J2200="","",Parametros!$B$6-J2200)</f>
        <v/>
      </c>
      <c r="P2200" s="5">
        <f>IF(O2200="","",IF(O2200&gt;0,1,0))</f>
        <v/>
      </c>
    </row>
    <row r="2201">
      <c r="A2201" s="5" t="n">
        <v>2111000000</v>
      </c>
      <c r="B2201" s="5" t="inlineStr">
        <is>
          <t>100379</t>
        </is>
      </c>
      <c r="C2201" s="5" t="inlineStr">
        <is>
          <t>RAK LOG TRANSPORTES E LOGISTICA EIR</t>
        </is>
      </c>
      <c r="D2201" s="5" t="inlineStr">
        <is>
          <t>RE</t>
        </is>
      </c>
      <c r="E2201" s="5" t="n">
        <v>5014501</v>
      </c>
      <c r="F2201" s="5" t="inlineStr">
        <is>
          <t>336548-1</t>
        </is>
      </c>
      <c r="G2201" s="5" t="inlineStr">
        <is>
          <t>BRL</t>
        </is>
      </c>
      <c r="H2201" s="9" t="n">
        <v>-13027.62</v>
      </c>
      <c r="I2201" s="16" t="n">
        <v>46223</v>
      </c>
      <c r="J2201" s="16" t="n">
        <v>46300</v>
      </c>
      <c r="K2201" s="5" t="inlineStr">
        <is>
          <t>Fatura - bruto RAK LOG TRANSPORTES E LOGISTICA EIR</t>
        </is>
      </c>
      <c r="L2201" s="5" t="inlineStr">
        <is>
          <t>05102026</t>
        </is>
      </c>
      <c r="M2201" s="5">
        <f>IF(YEAR(I2201)&lt;=2020,"Até 2020",TEXT(YEAR(I2201),"0"))</f>
        <v/>
      </c>
      <c r="N2201" s="5">
        <f>IFERROR(INDEX(DePara!$A:$A,MATCH(TEXT(B2201,"0"),DePara!$D:$D,0)),"(sem categoria)")</f>
        <v/>
      </c>
      <c r="O2201" s="5">
        <f>IF(J2201="","",Parametros!$B$6-J2201)</f>
        <v/>
      </c>
      <c r="P2201" s="5">
        <f>IF(O2201="","",IF(O2201&gt;0,1,0))</f>
        <v/>
      </c>
    </row>
    <row r="2202">
      <c r="A2202" s="5" t="n">
        <v>2111000000</v>
      </c>
      <c r="B2202" s="5" t="inlineStr">
        <is>
          <t>101211</t>
        </is>
      </c>
      <c r="C2202" s="5" t="inlineStr">
        <is>
          <t>SHEKINAH SERVICOS DE USINAGEM E CAL</t>
        </is>
      </c>
      <c r="D2202" s="5" t="inlineStr">
        <is>
          <t>RE</t>
        </is>
      </c>
      <c r="E2202" s="5" t="n">
        <v>5014502</v>
      </c>
      <c r="F2202" s="5" t="inlineStr">
        <is>
          <t>246</t>
        </is>
      </c>
      <c r="G2202" s="5" t="inlineStr">
        <is>
          <t>BRL</t>
        </is>
      </c>
      <c r="H2202" s="9" t="n">
        <v>-5703.99</v>
      </c>
      <c r="I2202" s="16" t="n">
        <v>46237</v>
      </c>
      <c r="J2202" s="16" t="n">
        <v>46270</v>
      </c>
      <c r="K2202" s="5" t="inlineStr">
        <is>
          <t>Fatura - bruto SHEKINAH SERVICOS DE USINAGEM E CAL</t>
        </is>
      </c>
      <c r="L2202" s="5" t="inlineStr">
        <is>
          <t>08092026</t>
        </is>
      </c>
      <c r="M2202" s="5">
        <f>IF(YEAR(I2202)&lt;=2020,"Até 2020",TEXT(YEAR(I2202),"0"))</f>
        <v/>
      </c>
      <c r="N2202" s="5">
        <f>IFERROR(INDEX(DePara!$A:$A,MATCH(TEXT(B2202,"0"),DePara!$D:$D,0)),"(sem categoria)")</f>
        <v/>
      </c>
      <c r="O2202" s="5">
        <f>IF(J2202="","",Parametros!$B$6-J2202)</f>
        <v/>
      </c>
      <c r="P2202" s="5">
        <f>IF(O2202="","",IF(O2202&gt;0,1,0))</f>
        <v/>
      </c>
    </row>
    <row r="2203">
      <c r="A2203" s="5" t="n">
        <v>2111000000</v>
      </c>
      <c r="B2203" s="5" t="inlineStr">
        <is>
          <t>100553</t>
        </is>
      </c>
      <c r="C2203" s="5" t="inlineStr">
        <is>
          <t>LYCEG SEGURANCA PATRIMONIAL EIRELI</t>
        </is>
      </c>
      <c r="D2203" s="5" t="inlineStr">
        <is>
          <t>RE</t>
        </is>
      </c>
      <c r="E2203" s="5" t="n">
        <v>5014503</v>
      </c>
      <c r="F2203" s="5" t="inlineStr">
        <is>
          <t>20262158</t>
        </is>
      </c>
      <c r="G2203" s="5" t="inlineStr">
        <is>
          <t>BRL</t>
        </is>
      </c>
      <c r="H2203" s="9" t="n">
        <v>-17200</v>
      </c>
      <c r="I2203" s="16" t="n">
        <v>46230</v>
      </c>
      <c r="J2203" s="16" t="n">
        <v>46270</v>
      </c>
      <c r="K2203" s="5" t="inlineStr">
        <is>
          <t>Fatura - bruto LYCEG SEGURANCA PATRIMONIAL EIRELI</t>
        </is>
      </c>
      <c r="L2203" s="5" t="inlineStr">
        <is>
          <t>08092026</t>
        </is>
      </c>
      <c r="M2203" s="5">
        <f>IF(YEAR(I2203)&lt;=2020,"Até 2020",TEXT(YEAR(I2203),"0"))</f>
        <v/>
      </c>
      <c r="N2203" s="5">
        <f>IFERROR(INDEX(DePara!$A:$A,MATCH(TEXT(B2203,"0"),DePara!$D:$D,0)),"(sem categoria)")</f>
        <v/>
      </c>
      <c r="O2203" s="5">
        <f>IF(J2203="","",Parametros!$B$6-J2203)</f>
        <v/>
      </c>
      <c r="P2203" s="5">
        <f>IF(O2203="","",IF(O2203&gt;0,1,0))</f>
        <v/>
      </c>
    </row>
    <row r="2204">
      <c r="A2204" s="5" t="n">
        <v>2111000000</v>
      </c>
      <c r="B2204" s="5" t="inlineStr">
        <is>
          <t>101775</t>
        </is>
      </c>
      <c r="C2204" s="5" t="inlineStr">
        <is>
          <t>SOUSATEC.NET LTDA  ME</t>
        </is>
      </c>
      <c r="D2204" s="5" t="inlineStr">
        <is>
          <t>RE</t>
        </is>
      </c>
      <c r="E2204" s="5" t="n">
        <v>5014509</v>
      </c>
      <c r="F2204" s="5" t="inlineStr">
        <is>
          <t>5511</t>
        </is>
      </c>
      <c r="G2204" s="5" t="inlineStr">
        <is>
          <t>BRL</t>
        </is>
      </c>
      <c r="H2204" s="9" t="n">
        <v>-1300</v>
      </c>
      <c r="I2204" s="16" t="n">
        <v>46239</v>
      </c>
      <c r="J2204" s="16" t="n">
        <v>46269</v>
      </c>
      <c r="K2204" s="5" t="inlineStr">
        <is>
          <t>Fatura - bruto SOUSATEC.NET LTDA  ME 5511</t>
        </is>
      </c>
      <c r="L2204" s="5" t="inlineStr">
        <is>
          <t>02092026</t>
        </is>
      </c>
      <c r="M2204" s="5">
        <f>IF(YEAR(I2204)&lt;=2020,"Até 2020",TEXT(YEAR(I2204),"0"))</f>
        <v/>
      </c>
      <c r="N2204" s="5">
        <f>IFERROR(INDEX(DePara!$A:$A,MATCH(TEXT(B2204,"0"),DePara!$D:$D,0)),"(sem categoria)")</f>
        <v/>
      </c>
      <c r="O2204" s="5">
        <f>IF(J2204="","",Parametros!$B$6-J2204)</f>
        <v/>
      </c>
      <c r="P2204" s="5">
        <f>IF(O2204="","",IF(O2204&gt;0,1,0))</f>
        <v/>
      </c>
    </row>
    <row r="2205">
      <c r="A2205" s="5" t="n">
        <v>2111000000</v>
      </c>
      <c r="B2205" s="5" t="inlineStr">
        <is>
          <t>101775</t>
        </is>
      </c>
      <c r="C2205" s="5" t="inlineStr">
        <is>
          <t>SOUSATEC.NET LTDA  ME</t>
        </is>
      </c>
      <c r="D2205" s="5" t="inlineStr">
        <is>
          <t>RE</t>
        </is>
      </c>
      <c r="E2205" s="5" t="n">
        <v>5014515</v>
      </c>
      <c r="F2205" s="5" t="inlineStr">
        <is>
          <t>5515</t>
        </is>
      </c>
      <c r="G2205" s="5" t="inlineStr">
        <is>
          <t>BRL</t>
        </is>
      </c>
      <c r="H2205" s="9" t="n">
        <v>-1710</v>
      </c>
      <c r="I2205" s="16" t="n">
        <v>46239</v>
      </c>
      <c r="J2205" s="16" t="n">
        <v>46269</v>
      </c>
      <c r="K2205" s="5" t="inlineStr">
        <is>
          <t>Fatura - bruto SOUSATEC.NET LTDA  ME 5515</t>
        </is>
      </c>
      <c r="L2205" s="5" t="inlineStr">
        <is>
          <t>02092026</t>
        </is>
      </c>
      <c r="M2205" s="5">
        <f>IF(YEAR(I2205)&lt;=2020,"Até 2020",TEXT(YEAR(I2205),"0"))</f>
        <v/>
      </c>
      <c r="N2205" s="5">
        <f>IFERROR(INDEX(DePara!$A:$A,MATCH(TEXT(B2205,"0"),DePara!$D:$D,0)),"(sem categoria)")</f>
        <v/>
      </c>
      <c r="O2205" s="5">
        <f>IF(J2205="","",Parametros!$B$6-J2205)</f>
        <v/>
      </c>
      <c r="P2205" s="5">
        <f>IF(O2205="","",IF(O2205&gt;0,1,0))</f>
        <v/>
      </c>
    </row>
    <row r="2206">
      <c r="A2206" s="5" t="n">
        <v>2111000000</v>
      </c>
      <c r="B2206" s="5" t="inlineStr">
        <is>
          <t>101508</t>
        </is>
      </c>
      <c r="C2206" s="5" t="inlineStr">
        <is>
          <t>RANDSTAD BRASIL RECURSOS HUMANOS LT</t>
        </is>
      </c>
      <c r="D2206" s="5" t="inlineStr">
        <is>
          <t>RE</t>
        </is>
      </c>
      <c r="E2206" s="5" t="n">
        <v>5014516</v>
      </c>
      <c r="F2206" s="5" t="inlineStr">
        <is>
          <t>255380</t>
        </is>
      </c>
      <c r="G2206" s="5" t="inlineStr">
        <is>
          <t>BRL</t>
        </is>
      </c>
      <c r="H2206" s="9" t="n">
        <v>-20210.36</v>
      </c>
      <c r="I2206" s="16" t="n">
        <v>46239</v>
      </c>
      <c r="J2206" s="16" t="n">
        <v>46269</v>
      </c>
      <c r="K2206" s="5" t="inlineStr">
        <is>
          <t>Fatura - bruto RANDSTAD BRASIL RECURSOS HUMANOS LT</t>
        </is>
      </c>
      <c r="L2206" s="5" t="inlineStr">
        <is>
          <t>02092026</t>
        </is>
      </c>
      <c r="M2206" s="5">
        <f>IF(YEAR(I2206)&lt;=2020,"Até 2020",TEXT(YEAR(I2206),"0"))</f>
        <v/>
      </c>
      <c r="N2206" s="5">
        <f>IFERROR(INDEX(DePara!$A:$A,MATCH(TEXT(B2206,"0"),DePara!$D:$D,0)),"(sem categoria)")</f>
        <v/>
      </c>
      <c r="O2206" s="5">
        <f>IF(J2206="","",Parametros!$B$6-J2206)</f>
        <v/>
      </c>
      <c r="P2206" s="5">
        <f>IF(O2206="","",IF(O2206&gt;0,1,0))</f>
        <v/>
      </c>
    </row>
    <row r="2207">
      <c r="A2207" s="5" t="n">
        <v>2111000000</v>
      </c>
      <c r="B2207" s="5" t="inlineStr">
        <is>
          <t>101508</t>
        </is>
      </c>
      <c r="C2207" s="5" t="inlineStr">
        <is>
          <t>RANDSTAD BRASIL RECURSOS HUMANOS LT</t>
        </is>
      </c>
      <c r="D2207" s="5" t="inlineStr">
        <is>
          <t>RE</t>
        </is>
      </c>
      <c r="E2207" s="5" t="n">
        <v>5014517</v>
      </c>
      <c r="F2207" s="5" t="inlineStr">
        <is>
          <t>255373</t>
        </is>
      </c>
      <c r="G2207" s="5" t="inlineStr">
        <is>
          <t>BRL</t>
        </is>
      </c>
      <c r="H2207" s="9" t="n">
        <v>-15684.83</v>
      </c>
      <c r="I2207" s="16" t="n">
        <v>46239</v>
      </c>
      <c r="J2207" s="16" t="n">
        <v>46269</v>
      </c>
      <c r="K2207" s="5" t="inlineStr">
        <is>
          <t>Fatura - bruto RANDSTAD BRASIL RECURSOS HUMANOS LT</t>
        </is>
      </c>
      <c r="L2207" s="5" t="inlineStr">
        <is>
          <t>02092026</t>
        </is>
      </c>
      <c r="M2207" s="5">
        <f>IF(YEAR(I2207)&lt;=2020,"Até 2020",TEXT(YEAR(I2207),"0"))</f>
        <v/>
      </c>
      <c r="N2207" s="5">
        <f>IFERROR(INDEX(DePara!$A:$A,MATCH(TEXT(B2207,"0"),DePara!$D:$D,0)),"(sem categoria)")</f>
        <v/>
      </c>
      <c r="O2207" s="5">
        <f>IF(J2207="","",Parametros!$B$6-J2207)</f>
        <v/>
      </c>
      <c r="P2207" s="5">
        <f>IF(O2207="","",IF(O2207&gt;0,1,0))</f>
        <v/>
      </c>
    </row>
    <row r="2208">
      <c r="A2208" s="5" t="n">
        <v>2111000000</v>
      </c>
      <c r="B2208" s="5" t="inlineStr">
        <is>
          <t>100359</t>
        </is>
      </c>
      <c r="C2208" s="5" t="inlineStr">
        <is>
          <t>INOVAR LOCACOES MOSSORO LTDA</t>
        </is>
      </c>
      <c r="D2208" s="5" t="inlineStr">
        <is>
          <t>RE</t>
        </is>
      </c>
      <c r="E2208" s="5" t="n">
        <v>5014518</v>
      </c>
      <c r="F2208" s="5" t="inlineStr">
        <is>
          <t>3069</t>
        </is>
      </c>
      <c r="G2208" s="5" t="inlineStr">
        <is>
          <t>BRL</t>
        </is>
      </c>
      <c r="H2208" s="9" t="n">
        <v>-950</v>
      </c>
      <c r="I2208" s="16" t="n">
        <v>46239</v>
      </c>
      <c r="J2208" s="16" t="n">
        <v>46270</v>
      </c>
      <c r="K2208" s="5" t="inlineStr">
        <is>
          <t>Fatura - bruto INOVAR LOCACOES MOSSORO LTDA 3069</t>
        </is>
      </c>
      <c r="L2208" s="5" t="inlineStr">
        <is>
          <t>08092026</t>
        </is>
      </c>
      <c r="M2208" s="5">
        <f>IF(YEAR(I2208)&lt;=2020,"Até 2020",TEXT(YEAR(I2208),"0"))</f>
        <v/>
      </c>
      <c r="N2208" s="5">
        <f>IFERROR(INDEX(DePara!$A:$A,MATCH(TEXT(B2208,"0"),DePara!$D:$D,0)),"(sem categoria)")</f>
        <v/>
      </c>
      <c r="O2208" s="5">
        <f>IF(J2208="","",Parametros!$B$6-J2208)</f>
        <v/>
      </c>
      <c r="P2208" s="5">
        <f>IF(O2208="","",IF(O2208&gt;0,1,0))</f>
        <v/>
      </c>
    </row>
    <row r="2209">
      <c r="A2209" s="5" t="n">
        <v>2111000000</v>
      </c>
      <c r="B2209" s="5" t="inlineStr">
        <is>
          <t>100359</t>
        </is>
      </c>
      <c r="C2209" s="5" t="inlineStr">
        <is>
          <t>INOVAR LOCACOES MOSSORO LTDA</t>
        </is>
      </c>
      <c r="D2209" s="5" t="inlineStr">
        <is>
          <t>RE</t>
        </is>
      </c>
      <c r="E2209" s="5" t="n">
        <v>5014519</v>
      </c>
      <c r="F2209" s="5" t="inlineStr">
        <is>
          <t>3070</t>
        </is>
      </c>
      <c r="G2209" s="5" t="inlineStr">
        <is>
          <t>BRL</t>
        </is>
      </c>
      <c r="H2209" s="9" t="n">
        <v>-1600</v>
      </c>
      <c r="I2209" s="16" t="n">
        <v>46239</v>
      </c>
      <c r="J2209" s="16" t="n">
        <v>46270</v>
      </c>
      <c r="K2209" s="5" t="inlineStr">
        <is>
          <t>Fatura - bruto INOVAR LOCACOES MOSSORO LTDA 3070</t>
        </is>
      </c>
      <c r="L2209" s="5" t="inlineStr">
        <is>
          <t>08092026</t>
        </is>
      </c>
      <c r="M2209" s="5">
        <f>IF(YEAR(I2209)&lt;=2020,"Até 2020",TEXT(YEAR(I2209),"0"))</f>
        <v/>
      </c>
      <c r="N2209" s="5">
        <f>IFERROR(INDEX(DePara!$A:$A,MATCH(TEXT(B2209,"0"),DePara!$D:$D,0)),"(sem categoria)")</f>
        <v/>
      </c>
      <c r="O2209" s="5">
        <f>IF(J2209="","",Parametros!$B$6-J2209)</f>
        <v/>
      </c>
      <c r="P2209" s="5">
        <f>IF(O2209="","",IF(O2209&gt;0,1,0))</f>
        <v/>
      </c>
    </row>
    <row r="2210">
      <c r="A2210" s="5" t="n">
        <v>2111000000</v>
      </c>
      <c r="B2210" s="5" t="inlineStr">
        <is>
          <t>101714</t>
        </is>
      </c>
      <c r="C2210" s="5" t="inlineStr">
        <is>
          <t>VCI DO BRASIL IND E COMERC DE COMP</t>
        </is>
      </c>
      <c r="D2210" s="5" t="inlineStr">
        <is>
          <t>RE</t>
        </is>
      </c>
      <c r="E2210" s="5" t="n">
        <v>5014520</v>
      </c>
      <c r="F2210" s="5" t="inlineStr">
        <is>
          <t>468</t>
        </is>
      </c>
      <c r="G2210" s="5" t="inlineStr">
        <is>
          <t>BRL</t>
        </is>
      </c>
      <c r="H2210" s="9" t="n">
        <v>-110030.47</v>
      </c>
      <c r="I2210" s="16" t="n">
        <v>46238</v>
      </c>
      <c r="J2210" s="16" t="n">
        <v>46270</v>
      </c>
      <c r="K2210" s="5" t="inlineStr">
        <is>
          <t>Fatura - bruto VCI DO BRASIL IND E COMERC DE COMP</t>
        </is>
      </c>
      <c r="L2210" s="5" t="inlineStr">
        <is>
          <t>08092026</t>
        </is>
      </c>
      <c r="M2210" s="5">
        <f>IF(YEAR(I2210)&lt;=2020,"Até 2020",TEXT(YEAR(I2210),"0"))</f>
        <v/>
      </c>
      <c r="N2210" s="5">
        <f>IFERROR(INDEX(DePara!$A:$A,MATCH(TEXT(B2210,"0"),DePara!$D:$D,0)),"(sem categoria)")</f>
        <v/>
      </c>
      <c r="O2210" s="5">
        <f>IF(J2210="","",Parametros!$B$6-J2210)</f>
        <v/>
      </c>
      <c r="P2210" s="5">
        <f>IF(O2210="","",IF(O2210&gt;0,1,0))</f>
        <v/>
      </c>
    </row>
    <row r="2211">
      <c r="A2211" s="5" t="n">
        <v>2111000000</v>
      </c>
      <c r="B2211" s="5" t="inlineStr">
        <is>
          <t>102452</t>
        </is>
      </c>
      <c r="C2211" s="5" t="inlineStr">
        <is>
          <t>ANTONIO FERNANDES VIEIRA</t>
        </is>
      </c>
      <c r="D2211" s="5" t="inlineStr">
        <is>
          <t>RE</t>
        </is>
      </c>
      <c r="E2211" s="5" t="n">
        <v>5014521</v>
      </c>
      <c r="F2211" s="5" t="inlineStr">
        <is>
          <t>2026-08</t>
        </is>
      </c>
      <c r="G2211" s="5" t="inlineStr">
        <is>
          <t>BRL</t>
        </is>
      </c>
      <c r="H2211" s="9" t="n">
        <v>-12500</v>
      </c>
      <c r="I2211" s="16" t="n">
        <v>46239</v>
      </c>
      <c r="J2211" s="16" t="n">
        <v>46270</v>
      </c>
      <c r="K2211" s="5" t="inlineStr">
        <is>
          <t>Fatura - bruto ANTONIO FERNANDES VIEIRA 2026-08</t>
        </is>
      </c>
      <c r="L2211" s="5" t="inlineStr">
        <is>
          <t>08092026</t>
        </is>
      </c>
      <c r="M2211" s="5">
        <f>IF(YEAR(I2211)&lt;=2020,"Até 2020",TEXT(YEAR(I2211),"0"))</f>
        <v/>
      </c>
      <c r="N2211" s="5">
        <f>IFERROR(INDEX(DePara!$A:$A,MATCH(TEXT(B2211,"0"),DePara!$D:$D,0)),"(sem categoria)")</f>
        <v/>
      </c>
      <c r="O2211" s="5">
        <f>IF(J2211="","",Parametros!$B$6-J2211)</f>
        <v/>
      </c>
      <c r="P2211" s="5">
        <f>IF(O2211="","",IF(O2211&gt;0,1,0))</f>
        <v/>
      </c>
    </row>
    <row r="2212">
      <c r="A2212" s="5" t="n">
        <v>2111000000</v>
      </c>
      <c r="B2212" s="5" t="inlineStr">
        <is>
          <t>101463</t>
        </is>
      </c>
      <c r="C2212" s="5" t="inlineStr">
        <is>
          <t>ZURICH MINAS BRASIL SEGUROS S A</t>
        </is>
      </c>
      <c r="D2212" s="5" t="inlineStr">
        <is>
          <t>RE</t>
        </is>
      </c>
      <c r="E2212" s="5" t="n">
        <v>5014523</v>
      </c>
      <c r="F2212" s="5" t="inlineStr">
        <is>
          <t>0223/26</t>
        </is>
      </c>
      <c r="G2212" s="5" t="inlineStr">
        <is>
          <t>BRL</t>
        </is>
      </c>
      <c r="H2212" s="9" t="n">
        <v>-300.85</v>
      </c>
      <c r="I2212" s="16" t="n">
        <v>46240</v>
      </c>
      <c r="J2212" s="16" t="n">
        <v>46270</v>
      </c>
      <c r="K2212" s="5" t="inlineStr">
        <is>
          <t>Invoice Payment. SP: 21058</t>
        </is>
      </c>
      <c r="L2212" s="5" t="inlineStr">
        <is>
          <t>0223/26</t>
        </is>
      </c>
      <c r="M2212" s="5">
        <f>IF(YEAR(I2212)&lt;=2020,"Até 2020",TEXT(YEAR(I2212),"0"))</f>
        <v/>
      </c>
      <c r="N2212" s="5">
        <f>IFERROR(INDEX(DePara!$A:$A,MATCH(TEXT(B2212,"0"),DePara!$D:$D,0)),"(sem categoria)")</f>
        <v/>
      </c>
      <c r="O2212" s="5">
        <f>IF(J2212="","",Parametros!$B$6-J2212)</f>
        <v/>
      </c>
      <c r="P2212" s="5">
        <f>IF(O2212="","",IF(O2212&gt;0,1,0))</f>
        <v/>
      </c>
    </row>
    <row r="2213">
      <c r="A2213" s="5" t="n">
        <v>2111000000</v>
      </c>
      <c r="B2213" s="5" t="inlineStr">
        <is>
          <t>101463</t>
        </is>
      </c>
      <c r="C2213" s="5" t="inlineStr">
        <is>
          <t>ZURICH MINAS BRASIL SEGUROS S A</t>
        </is>
      </c>
      <c r="D2213" s="5" t="inlineStr">
        <is>
          <t>RE</t>
        </is>
      </c>
      <c r="E2213" s="5" t="n">
        <v>5014525</v>
      </c>
      <c r="F2213" s="5" t="inlineStr">
        <is>
          <t>0474/26</t>
        </is>
      </c>
      <c r="G2213" s="5" t="inlineStr">
        <is>
          <t>BRL</t>
        </is>
      </c>
      <c r="H2213" s="9" t="n">
        <v>-197.72</v>
      </c>
      <c r="I2213" s="16" t="n">
        <v>46240</v>
      </c>
      <c r="J2213" s="16" t="n">
        <v>46270</v>
      </c>
      <c r="K2213" s="5" t="inlineStr">
        <is>
          <t>Invoice Payment. SP: 21060</t>
        </is>
      </c>
      <c r="L2213" s="5" t="inlineStr">
        <is>
          <t>0474/26</t>
        </is>
      </c>
      <c r="M2213" s="5">
        <f>IF(YEAR(I2213)&lt;=2020,"Até 2020",TEXT(YEAR(I2213),"0"))</f>
        <v/>
      </c>
      <c r="N2213" s="5">
        <f>IFERROR(INDEX(DePara!$A:$A,MATCH(TEXT(B2213,"0"),DePara!$D:$D,0)),"(sem categoria)")</f>
        <v/>
      </c>
      <c r="O2213" s="5">
        <f>IF(J2213="","",Parametros!$B$6-J2213)</f>
        <v/>
      </c>
      <c r="P2213" s="5">
        <f>IF(O2213="","",IF(O2213&gt;0,1,0))</f>
        <v/>
      </c>
    </row>
    <row r="2214">
      <c r="A2214" s="5" t="n">
        <v>2111000000</v>
      </c>
      <c r="B2214" s="5" t="inlineStr">
        <is>
          <t>101463</t>
        </is>
      </c>
      <c r="C2214" s="5" t="inlineStr">
        <is>
          <t>ZURICH MINAS BRASIL SEGUROS S A</t>
        </is>
      </c>
      <c r="D2214" s="5" t="inlineStr">
        <is>
          <t>RE</t>
        </is>
      </c>
      <c r="E2214" s="5" t="n">
        <v>5014527</v>
      </c>
      <c r="F2214" s="5" t="inlineStr">
        <is>
          <t>0462/26</t>
        </is>
      </c>
      <c r="G2214" s="5" t="inlineStr">
        <is>
          <t>BRL</t>
        </is>
      </c>
      <c r="H2214" s="9" t="n">
        <v>-179.24</v>
      </c>
      <c r="I2214" s="16" t="n">
        <v>46240</v>
      </c>
      <c r="J2214" s="16" t="n">
        <v>46270</v>
      </c>
      <c r="K2214" s="5" t="inlineStr">
        <is>
          <t>Invoice Payment. SP: 21062</t>
        </is>
      </c>
      <c r="L2214" s="5" t="inlineStr">
        <is>
          <t>0462/26</t>
        </is>
      </c>
      <c r="M2214" s="5">
        <f>IF(YEAR(I2214)&lt;=2020,"Até 2020",TEXT(YEAR(I2214),"0"))</f>
        <v/>
      </c>
      <c r="N2214" s="5">
        <f>IFERROR(INDEX(DePara!$A:$A,MATCH(TEXT(B2214,"0"),DePara!$D:$D,0)),"(sem categoria)")</f>
        <v/>
      </c>
      <c r="O2214" s="5">
        <f>IF(J2214="","",Parametros!$B$6-J2214)</f>
        <v/>
      </c>
      <c r="P2214" s="5">
        <f>IF(O2214="","",IF(O2214&gt;0,1,0))</f>
        <v/>
      </c>
    </row>
    <row r="2215">
      <c r="A2215" s="5" t="n">
        <v>2111000000</v>
      </c>
      <c r="B2215" s="5" t="inlineStr">
        <is>
          <t>102290</t>
        </is>
      </c>
      <c r="C2215" s="5" t="inlineStr">
        <is>
          <t>GILDO MARQUES RIBEIRO</t>
        </is>
      </c>
      <c r="D2215" s="5" t="inlineStr">
        <is>
          <t>RE</t>
        </is>
      </c>
      <c r="E2215" s="5" t="n">
        <v>5014528</v>
      </c>
      <c r="F2215" s="5" t="inlineStr">
        <is>
          <t>2026-08</t>
        </is>
      </c>
      <c r="G2215" s="5" t="inlineStr">
        <is>
          <t>BRL</t>
        </is>
      </c>
      <c r="H2215" s="9" t="n">
        <v>-12343.7</v>
      </c>
      <c r="I2215" s="16" t="n">
        <v>46239</v>
      </c>
      <c r="J2215" s="16" t="n">
        <v>46270</v>
      </c>
      <c r="K2215" s="5" t="inlineStr">
        <is>
          <t>Fatura - bruto GILDO MARQUES RIBEIRO 2026-08</t>
        </is>
      </c>
      <c r="L2215" s="5" t="inlineStr">
        <is>
          <t>08092026</t>
        </is>
      </c>
      <c r="M2215" s="5">
        <f>IF(YEAR(I2215)&lt;=2020,"Até 2020",TEXT(YEAR(I2215),"0"))</f>
        <v/>
      </c>
      <c r="N2215" s="5">
        <f>IFERROR(INDEX(DePara!$A:$A,MATCH(TEXT(B2215,"0"),DePara!$D:$D,0)),"(sem categoria)")</f>
        <v/>
      </c>
      <c r="O2215" s="5">
        <f>IF(J2215="","",Parametros!$B$6-J2215)</f>
        <v/>
      </c>
      <c r="P2215" s="5">
        <f>IF(O2215="","",IF(O2215&gt;0,1,0))</f>
        <v/>
      </c>
    </row>
    <row r="2216">
      <c r="A2216" s="5" t="n">
        <v>2111000000</v>
      </c>
      <c r="B2216" s="5" t="inlineStr">
        <is>
          <t>100490</t>
        </is>
      </c>
      <c r="C2216" s="5" t="inlineStr">
        <is>
          <t>LAGOA EMPREENDIMENTOS E PARTICIPACO</t>
        </is>
      </c>
      <c r="D2216" s="5" t="inlineStr">
        <is>
          <t>RE</t>
        </is>
      </c>
      <c r="E2216" s="5" t="n">
        <v>5014529</v>
      </c>
      <c r="F2216" s="5" t="inlineStr">
        <is>
          <t>2026-08</t>
        </is>
      </c>
      <c r="G2216" s="5" t="inlineStr">
        <is>
          <t>BRL</t>
        </is>
      </c>
      <c r="H2216" s="9" t="n">
        <v>-29787.03</v>
      </c>
      <c r="I2216" s="16" t="n">
        <v>46239</v>
      </c>
      <c r="J2216" s="16" t="n">
        <v>46270</v>
      </c>
      <c r="K2216" s="5" t="inlineStr">
        <is>
          <t>Fatura - bruto LAGOA EMPREENDIMENTOS E PARTICIPACO</t>
        </is>
      </c>
      <c r="L2216" s="5" t="inlineStr">
        <is>
          <t>08092026</t>
        </is>
      </c>
      <c r="M2216" s="5">
        <f>IF(YEAR(I2216)&lt;=2020,"Até 2020",TEXT(YEAR(I2216),"0"))</f>
        <v/>
      </c>
      <c r="N2216" s="5">
        <f>IFERROR(INDEX(DePara!$A:$A,MATCH(TEXT(B2216,"0"),DePara!$D:$D,0)),"(sem categoria)")</f>
        <v/>
      </c>
      <c r="O2216" s="5">
        <f>IF(J2216="","",Parametros!$B$6-J2216)</f>
        <v/>
      </c>
      <c r="P2216" s="5">
        <f>IF(O2216="","",IF(O2216&gt;0,1,0))</f>
        <v/>
      </c>
    </row>
    <row r="2217">
      <c r="A2217" s="5" t="n">
        <v>2111000000</v>
      </c>
      <c r="B2217" s="5" t="inlineStr">
        <is>
          <t>102287</t>
        </is>
      </c>
      <c r="C2217" s="5" t="inlineStr">
        <is>
          <t>MAURICIO FREDERICO SIMOES</t>
        </is>
      </c>
      <c r="D2217" s="5" t="inlineStr">
        <is>
          <t>RE</t>
        </is>
      </c>
      <c r="E2217" s="5" t="n">
        <v>5014530</v>
      </c>
      <c r="F2217" s="5" t="inlineStr">
        <is>
          <t>2026-08</t>
        </is>
      </c>
      <c r="G2217" s="5" t="inlineStr">
        <is>
          <t>BRL</t>
        </is>
      </c>
      <c r="H2217" s="9" t="n">
        <v>-3113</v>
      </c>
      <c r="I2217" s="16" t="n">
        <v>46239</v>
      </c>
      <c r="J2217" s="16" t="n">
        <v>46270</v>
      </c>
      <c r="K2217" s="5" t="inlineStr">
        <is>
          <t>Fatura - bruto MAURICIO FREDERICO SIMOES 2026-08</t>
        </is>
      </c>
      <c r="L2217" s="5" t="inlineStr">
        <is>
          <t>08092026</t>
        </is>
      </c>
      <c r="M2217" s="5">
        <f>IF(YEAR(I2217)&lt;=2020,"Até 2020",TEXT(YEAR(I2217),"0"))</f>
        <v/>
      </c>
      <c r="N2217" s="5">
        <f>IFERROR(INDEX(DePara!$A:$A,MATCH(TEXT(B2217,"0"),DePara!$D:$D,0)),"(sem categoria)")</f>
        <v/>
      </c>
      <c r="O2217" s="5">
        <f>IF(J2217="","",Parametros!$B$6-J2217)</f>
        <v/>
      </c>
      <c r="P2217" s="5">
        <f>IF(O2217="","",IF(O2217&gt;0,1,0))</f>
        <v/>
      </c>
    </row>
    <row r="2218">
      <c r="A2218" s="5" t="n">
        <v>2111000000</v>
      </c>
      <c r="B2218" s="5" t="inlineStr">
        <is>
          <t>101202</t>
        </is>
      </c>
      <c r="C2218" s="5" t="inlineStr">
        <is>
          <t>FUNDACAO EZUTE</t>
        </is>
      </c>
      <c r="D2218" s="5" t="inlineStr">
        <is>
          <t>RE</t>
        </is>
      </c>
      <c r="E2218" s="5" t="n">
        <v>5014531</v>
      </c>
      <c r="F2218" s="5" t="inlineStr">
        <is>
          <t>2026-08</t>
        </is>
      </c>
      <c r="G2218" s="5" t="inlineStr">
        <is>
          <t>BRL</t>
        </is>
      </c>
      <c r="H2218" s="9" t="n">
        <v>-41603.91</v>
      </c>
      <c r="I2218" s="16" t="n">
        <v>46239</v>
      </c>
      <c r="J2218" s="16" t="n">
        <v>46270</v>
      </c>
      <c r="K2218" s="5" t="inlineStr">
        <is>
          <t>Fatura - bruto FUNDACAO EZUTE 2026-08</t>
        </is>
      </c>
      <c r="L2218" s="5" t="inlineStr">
        <is>
          <t>08092026</t>
        </is>
      </c>
      <c r="M2218" s="5">
        <f>IF(YEAR(I2218)&lt;=2020,"Até 2020",TEXT(YEAR(I2218),"0"))</f>
        <v/>
      </c>
      <c r="N2218" s="5">
        <f>IFERROR(INDEX(DePara!$A:$A,MATCH(TEXT(B2218,"0"),DePara!$D:$D,0)),"(sem categoria)")</f>
        <v/>
      </c>
      <c r="O2218" s="5">
        <f>IF(J2218="","",Parametros!$B$6-J2218)</f>
        <v/>
      </c>
      <c r="P2218" s="5">
        <f>IF(O2218="","",IF(O2218&gt;0,1,0))</f>
        <v/>
      </c>
    </row>
    <row r="2219">
      <c r="A2219" s="5" t="n">
        <v>2111000000</v>
      </c>
      <c r="B2219" s="5" t="inlineStr">
        <is>
          <t>101463</t>
        </is>
      </c>
      <c r="C2219" s="5" t="inlineStr">
        <is>
          <t>ZURICH MINAS BRASIL SEGUROS S A</t>
        </is>
      </c>
      <c r="D2219" s="5" t="inlineStr">
        <is>
          <t>RE</t>
        </is>
      </c>
      <c r="E2219" s="5" t="n">
        <v>5014533</v>
      </c>
      <c r="F2219" s="5" t="inlineStr">
        <is>
          <t>0455/26</t>
        </is>
      </c>
      <c r="G2219" s="5" t="inlineStr">
        <is>
          <t>BRL</t>
        </is>
      </c>
      <c r="H2219" s="9" t="n">
        <v>-20.88</v>
      </c>
      <c r="I2219" s="16" t="n">
        <v>46240</v>
      </c>
      <c r="J2219" s="16" t="n">
        <v>46270</v>
      </c>
      <c r="K2219" s="5" t="inlineStr">
        <is>
          <t>Invoice Payment. SP: 21078</t>
        </is>
      </c>
      <c r="L2219" s="5" t="inlineStr">
        <is>
          <t>0455/26</t>
        </is>
      </c>
      <c r="M2219" s="5">
        <f>IF(YEAR(I2219)&lt;=2020,"Até 2020",TEXT(YEAR(I2219),"0"))</f>
        <v/>
      </c>
      <c r="N2219" s="5">
        <f>IFERROR(INDEX(DePara!$A:$A,MATCH(TEXT(B2219,"0"),DePara!$D:$D,0)),"(sem categoria)")</f>
        <v/>
      </c>
      <c r="O2219" s="5">
        <f>IF(J2219="","",Parametros!$B$6-J2219)</f>
        <v/>
      </c>
      <c r="P2219" s="5">
        <f>IF(O2219="","",IF(O2219&gt;0,1,0))</f>
        <v/>
      </c>
    </row>
    <row r="2220">
      <c r="A2220" s="5" t="n">
        <v>2111000000</v>
      </c>
      <c r="B2220" s="5" t="inlineStr">
        <is>
          <t>100359</t>
        </is>
      </c>
      <c r="C2220" s="5" t="inlineStr">
        <is>
          <t>INOVAR LOCACOES MOSSORO LTDA</t>
        </is>
      </c>
      <c r="D2220" s="5" t="inlineStr">
        <is>
          <t>RE</t>
        </is>
      </c>
      <c r="E2220" s="5" t="n">
        <v>5014537</v>
      </c>
      <c r="F2220" s="5" t="inlineStr">
        <is>
          <t>3071</t>
        </is>
      </c>
      <c r="G2220" s="5" t="inlineStr">
        <is>
          <t>BRL</t>
        </is>
      </c>
      <c r="H2220" s="9" t="n">
        <v>-600</v>
      </c>
      <c r="I2220" s="16" t="n">
        <v>46239</v>
      </c>
      <c r="J2220" s="16" t="n">
        <v>46270</v>
      </c>
      <c r="K2220" s="5" t="inlineStr">
        <is>
          <t>Fatura - bruto INOVAR LOCACOES MOSSORO LTDA 3071</t>
        </is>
      </c>
      <c r="L2220" s="5" t="inlineStr">
        <is>
          <t>08092026</t>
        </is>
      </c>
      <c r="M2220" s="5">
        <f>IF(YEAR(I2220)&lt;=2020,"Até 2020",TEXT(YEAR(I2220),"0"))</f>
        <v/>
      </c>
      <c r="N2220" s="5">
        <f>IFERROR(INDEX(DePara!$A:$A,MATCH(TEXT(B2220,"0"),DePara!$D:$D,0)),"(sem categoria)")</f>
        <v/>
      </c>
      <c r="O2220" s="5">
        <f>IF(J2220="","",Parametros!$B$6-J2220)</f>
        <v/>
      </c>
      <c r="P2220" s="5">
        <f>IF(O2220="","",IF(O2220&gt;0,1,0))</f>
        <v/>
      </c>
    </row>
    <row r="2221">
      <c r="A2221" s="5" t="n">
        <v>2111000000</v>
      </c>
      <c r="B2221" s="5" t="inlineStr">
        <is>
          <t>101463</t>
        </is>
      </c>
      <c r="C2221" s="5" t="inlineStr">
        <is>
          <t>ZURICH MINAS BRASIL SEGUROS S A</t>
        </is>
      </c>
      <c r="D2221" s="5" t="inlineStr">
        <is>
          <t>RE</t>
        </is>
      </c>
      <c r="E2221" s="5" t="n">
        <v>5014538</v>
      </c>
      <c r="F2221" s="5" t="inlineStr">
        <is>
          <t>0463/26</t>
        </is>
      </c>
      <c r="G2221" s="5" t="inlineStr">
        <is>
          <t>BRL</t>
        </is>
      </c>
      <c r="H2221" s="9" t="n">
        <v>-293.83</v>
      </c>
      <c r="I2221" s="16" t="n">
        <v>46240</v>
      </c>
      <c r="J2221" s="16" t="n">
        <v>46270</v>
      </c>
      <c r="K2221" s="5" t="inlineStr">
        <is>
          <t>Invoice Payment. SP: 21080</t>
        </is>
      </c>
      <c r="L2221" s="5" t="inlineStr">
        <is>
          <t>0463/26</t>
        </is>
      </c>
      <c r="M2221" s="5">
        <f>IF(YEAR(I2221)&lt;=2020,"Até 2020",TEXT(YEAR(I2221),"0"))</f>
        <v/>
      </c>
      <c r="N2221" s="5">
        <f>IFERROR(INDEX(DePara!$A:$A,MATCH(TEXT(B2221,"0"),DePara!$D:$D,0)),"(sem categoria)")</f>
        <v/>
      </c>
      <c r="O2221" s="5">
        <f>IF(J2221="","",Parametros!$B$6-J2221)</f>
        <v/>
      </c>
      <c r="P2221" s="5">
        <f>IF(O2221="","",IF(O2221&gt;0,1,0))</f>
        <v/>
      </c>
    </row>
    <row r="2222">
      <c r="A2222" s="5" t="n">
        <v>2111000000</v>
      </c>
      <c r="B2222" s="5" t="inlineStr">
        <is>
          <t>101718</t>
        </is>
      </c>
      <c r="C2222" s="5" t="inlineStr">
        <is>
          <t>ITS TELECOMUNICACOES LTDA</t>
        </is>
      </c>
      <c r="D2222" s="5" t="inlineStr">
        <is>
          <t>RE</t>
        </is>
      </c>
      <c r="E2222" s="5" t="n">
        <v>5014560</v>
      </c>
      <c r="F2222" s="5" t="inlineStr">
        <is>
          <t>2930686</t>
        </is>
      </c>
      <c r="G2222" s="5" t="inlineStr">
        <is>
          <t>BRL</t>
        </is>
      </c>
      <c r="H2222" s="9" t="n">
        <v>-2790</v>
      </c>
      <c r="I2222" s="16" t="n">
        <v>46240</v>
      </c>
      <c r="J2222" s="16" t="n">
        <v>46270</v>
      </c>
      <c r="K2222" s="5" t="inlineStr">
        <is>
          <t>*00190000090371666200600209073170115600000279000</t>
        </is>
      </c>
      <c r="L2222" s="5" t="inlineStr">
        <is>
          <t>02092026</t>
        </is>
      </c>
      <c r="M2222" s="5">
        <f>IF(YEAR(I2222)&lt;=2020,"Até 2020",TEXT(YEAR(I2222),"0"))</f>
        <v/>
      </c>
      <c r="N2222" s="5">
        <f>IFERROR(INDEX(DePara!$A:$A,MATCH(TEXT(B2222,"0"),DePara!$D:$D,0)),"(sem categoria)")</f>
        <v/>
      </c>
      <c r="O2222" s="5">
        <f>IF(J2222="","",Parametros!$B$6-J2222)</f>
        <v/>
      </c>
      <c r="P2222" s="5">
        <f>IF(O2222="","",IF(O2222&gt;0,1,0))</f>
        <v/>
      </c>
    </row>
    <row r="2223">
      <c r="A2223" s="5" t="n">
        <v>2111000000</v>
      </c>
      <c r="B2223" s="5" t="inlineStr">
        <is>
          <t>100561</t>
        </is>
      </c>
      <c r="C2223" s="5" t="inlineStr">
        <is>
          <t>CONECTA TREINE LTDA</t>
        </is>
      </c>
      <c r="D2223" s="5" t="inlineStr">
        <is>
          <t>RE</t>
        </is>
      </c>
      <c r="E2223" s="5" t="n">
        <v>5014568</v>
      </c>
      <c r="F2223" s="5" t="inlineStr">
        <is>
          <t>5595</t>
        </is>
      </c>
      <c r="G2223" s="5" t="inlineStr">
        <is>
          <t>BRL</t>
        </is>
      </c>
      <c r="H2223" s="9" t="n">
        <v>-5811.5</v>
      </c>
      <c r="I2223" s="16" t="n">
        <v>46240</v>
      </c>
      <c r="J2223" s="16" t="n">
        <v>46270</v>
      </c>
      <c r="K2223" s="5" t="inlineStr">
        <is>
          <t>Fatura - bruto CONECTA TREINE LTDA 5595</t>
        </is>
      </c>
      <c r="L2223" s="5" t="inlineStr">
        <is>
          <t>08092026</t>
        </is>
      </c>
      <c r="M2223" s="5">
        <f>IF(YEAR(I2223)&lt;=2020,"Até 2020",TEXT(YEAR(I2223),"0"))</f>
        <v/>
      </c>
      <c r="N2223" s="5">
        <f>IFERROR(INDEX(DePara!$A:$A,MATCH(TEXT(B2223,"0"),DePara!$D:$D,0)),"(sem categoria)")</f>
        <v/>
      </c>
      <c r="O2223" s="5">
        <f>IF(J2223="","",Parametros!$B$6-J2223)</f>
        <v/>
      </c>
      <c r="P2223" s="5">
        <f>IF(O2223="","",IF(O2223&gt;0,1,0))</f>
        <v/>
      </c>
    </row>
    <row r="2224">
      <c r="A2224" s="5" t="n">
        <v>2111000000</v>
      </c>
      <c r="B2224" s="5" t="inlineStr">
        <is>
          <t>100883</t>
        </is>
      </c>
      <c r="C2224" s="5" t="inlineStr">
        <is>
          <t>QUELMAR TRANSPORTES LTDA</t>
        </is>
      </c>
      <c r="D2224" s="5" t="inlineStr">
        <is>
          <t>RE</t>
        </is>
      </c>
      <c r="E2224" s="5" t="n">
        <v>5014572</v>
      </c>
      <c r="F2224" s="5" t="inlineStr">
        <is>
          <t>6297-2</t>
        </is>
      </c>
      <c r="G2224" s="5" t="inlineStr">
        <is>
          <t>BRL</t>
        </is>
      </c>
      <c r="H2224" s="9" t="n">
        <v>-5770</v>
      </c>
      <c r="I2224" s="16" t="n">
        <v>46226</v>
      </c>
      <c r="J2224" s="16" t="n">
        <v>46270</v>
      </c>
      <c r="K2224" s="5" t="inlineStr">
        <is>
          <t>Fatura - bruto QUELMAR TRANSPORTES LTDA 6297-2</t>
        </is>
      </c>
      <c r="L2224" s="5" t="inlineStr">
        <is>
          <t>08092026</t>
        </is>
      </c>
      <c r="M2224" s="5">
        <f>IF(YEAR(I2224)&lt;=2020,"Até 2020",TEXT(YEAR(I2224),"0"))</f>
        <v/>
      </c>
      <c r="N2224" s="5">
        <f>IFERROR(INDEX(DePara!$A:$A,MATCH(TEXT(B2224,"0"),DePara!$D:$D,0)),"(sem categoria)")</f>
        <v/>
      </c>
      <c r="O2224" s="5">
        <f>IF(J2224="","",Parametros!$B$6-J2224)</f>
        <v/>
      </c>
      <c r="P2224" s="5">
        <f>IF(O2224="","",IF(O2224&gt;0,1,0))</f>
        <v/>
      </c>
    </row>
    <row r="2225">
      <c r="A2225" s="5" t="n">
        <v>2111000000</v>
      </c>
      <c r="B2225" s="5" t="inlineStr">
        <is>
          <t>100883</t>
        </is>
      </c>
      <c r="C2225" s="5" t="inlineStr">
        <is>
          <t>QUELMAR TRANSPORTES LTDA</t>
        </is>
      </c>
      <c r="D2225" s="5" t="inlineStr">
        <is>
          <t>RE</t>
        </is>
      </c>
      <c r="E2225" s="5" t="n">
        <v>5014573</v>
      </c>
      <c r="F2225" s="5" t="inlineStr">
        <is>
          <t>6299-2</t>
        </is>
      </c>
      <c r="G2225" s="5" t="inlineStr">
        <is>
          <t>BRL</t>
        </is>
      </c>
      <c r="H2225" s="9" t="n">
        <v>-6900</v>
      </c>
      <c r="I2225" s="16" t="n">
        <v>46226</v>
      </c>
      <c r="J2225" s="16" t="n">
        <v>46270</v>
      </c>
      <c r="K2225" s="5" t="inlineStr">
        <is>
          <t>Fatura - bruto QUELMAR TRANSPORTES LTDA 6299-2</t>
        </is>
      </c>
      <c r="L2225" s="5" t="inlineStr">
        <is>
          <t>08092026</t>
        </is>
      </c>
      <c r="M2225" s="5">
        <f>IF(YEAR(I2225)&lt;=2020,"Até 2020",TEXT(YEAR(I2225),"0"))</f>
        <v/>
      </c>
      <c r="N2225" s="5">
        <f>IFERROR(INDEX(DePara!$A:$A,MATCH(TEXT(B2225,"0"),DePara!$D:$D,0)),"(sem categoria)")</f>
        <v/>
      </c>
      <c r="O2225" s="5">
        <f>IF(J2225="","",Parametros!$B$6-J2225)</f>
        <v/>
      </c>
      <c r="P2225" s="5">
        <f>IF(O2225="","",IF(O2225&gt;0,1,0))</f>
        <v/>
      </c>
    </row>
    <row r="2226">
      <c r="A2226" s="5" t="n">
        <v>2111000000</v>
      </c>
      <c r="B2226" s="5" t="inlineStr">
        <is>
          <t>100379</t>
        </is>
      </c>
      <c r="C2226" s="5" t="inlineStr">
        <is>
          <t>RAK LOG TRANSPORTES E LOGISTICA EIR</t>
        </is>
      </c>
      <c r="D2226" s="5" t="inlineStr">
        <is>
          <t>RE</t>
        </is>
      </c>
      <c r="E2226" s="5" t="n">
        <v>5014575</v>
      </c>
      <c r="F2226" s="5" t="inlineStr">
        <is>
          <t>335527-1</t>
        </is>
      </c>
      <c r="G2226" s="5" t="inlineStr">
        <is>
          <t>BRL</t>
        </is>
      </c>
      <c r="H2226" s="9" t="n">
        <v>-13891.45</v>
      </c>
      <c r="I2226" s="16" t="n">
        <v>46212</v>
      </c>
      <c r="J2226" s="16" t="n">
        <v>46300</v>
      </c>
      <c r="K2226" s="5" t="inlineStr">
        <is>
          <t>Fatura - bruto RAK LOG TRANSPORTES E LOGISTICA EIR</t>
        </is>
      </c>
      <c r="L2226" s="5" t="inlineStr">
        <is>
          <t>05102026</t>
        </is>
      </c>
      <c r="M2226" s="5">
        <f>IF(YEAR(I2226)&lt;=2020,"Até 2020",TEXT(YEAR(I2226),"0"))</f>
        <v/>
      </c>
      <c r="N2226" s="5">
        <f>IFERROR(INDEX(DePara!$A:$A,MATCH(TEXT(B2226,"0"),DePara!$D:$D,0)),"(sem categoria)")</f>
        <v/>
      </c>
      <c r="O2226" s="5">
        <f>IF(J2226="","",Parametros!$B$6-J2226)</f>
        <v/>
      </c>
      <c r="P2226" s="5">
        <f>IF(O2226="","",IF(O2226&gt;0,1,0))</f>
        <v/>
      </c>
    </row>
    <row r="2227">
      <c r="A2227" s="5" t="n">
        <v>2111000000</v>
      </c>
      <c r="B2227" s="5" t="inlineStr">
        <is>
          <t>100379</t>
        </is>
      </c>
      <c r="C2227" s="5" t="inlineStr">
        <is>
          <t>RAK LOG TRANSPORTES E LOGISTICA EIR</t>
        </is>
      </c>
      <c r="D2227" s="5" t="inlineStr">
        <is>
          <t>RE</t>
        </is>
      </c>
      <c r="E2227" s="5" t="n">
        <v>5014576</v>
      </c>
      <c r="F2227" s="5" t="inlineStr">
        <is>
          <t>335582-1</t>
        </is>
      </c>
      <c r="G2227" s="5" t="inlineStr">
        <is>
          <t>BRL</t>
        </is>
      </c>
      <c r="H2227" s="9" t="n">
        <v>-13268.08</v>
      </c>
      <c r="I2227" s="16" t="n">
        <v>46213</v>
      </c>
      <c r="J2227" s="16" t="n">
        <v>46300</v>
      </c>
      <c r="K2227" s="5" t="inlineStr">
        <is>
          <t>Fatura - bruto RAK LOG TRANSPORTES E LOGISTICA EIR</t>
        </is>
      </c>
      <c r="L2227" s="5" t="inlineStr">
        <is>
          <t>05102026</t>
        </is>
      </c>
      <c r="M2227" s="5">
        <f>IF(YEAR(I2227)&lt;=2020,"Até 2020",TEXT(YEAR(I2227),"0"))</f>
        <v/>
      </c>
      <c r="N2227" s="5">
        <f>IFERROR(INDEX(DePara!$A:$A,MATCH(TEXT(B2227,"0"),DePara!$D:$D,0)),"(sem categoria)")</f>
        <v/>
      </c>
      <c r="O2227" s="5">
        <f>IF(J2227="","",Parametros!$B$6-J2227)</f>
        <v/>
      </c>
      <c r="P2227" s="5">
        <f>IF(O2227="","",IF(O2227&gt;0,1,0))</f>
        <v/>
      </c>
    </row>
    <row r="2228">
      <c r="A2228" s="5" t="n">
        <v>2111000000</v>
      </c>
      <c r="B2228" s="5" t="inlineStr">
        <is>
          <t>100379</t>
        </is>
      </c>
      <c r="C2228" s="5" t="inlineStr">
        <is>
          <t>RAK LOG TRANSPORTES E LOGISTICA EIR</t>
        </is>
      </c>
      <c r="D2228" s="5" t="inlineStr">
        <is>
          <t>RE</t>
        </is>
      </c>
      <c r="E2228" s="5" t="n">
        <v>5014577</v>
      </c>
      <c r="F2228" s="5" t="inlineStr">
        <is>
          <t>335584-1</t>
        </is>
      </c>
      <c r="G2228" s="5" t="inlineStr">
        <is>
          <t>BRL</t>
        </is>
      </c>
      <c r="H2228" s="9" t="n">
        <v>-13104.33</v>
      </c>
      <c r="I2228" s="16" t="n">
        <v>46213</v>
      </c>
      <c r="J2228" s="16" t="n">
        <v>46300</v>
      </c>
      <c r="K2228" s="5" t="inlineStr">
        <is>
          <t>Fatura - bruto RAK LOG TRANSPORTES E LOGISTICA EIR</t>
        </is>
      </c>
      <c r="L2228" s="5" t="inlineStr">
        <is>
          <t>05102026</t>
        </is>
      </c>
      <c r="M2228" s="5">
        <f>IF(YEAR(I2228)&lt;=2020,"Até 2020",TEXT(YEAR(I2228),"0"))</f>
        <v/>
      </c>
      <c r="N2228" s="5">
        <f>IFERROR(INDEX(DePara!$A:$A,MATCH(TEXT(B2228,"0"),DePara!$D:$D,0)),"(sem categoria)")</f>
        <v/>
      </c>
      <c r="O2228" s="5">
        <f>IF(J2228="","",Parametros!$B$6-J2228)</f>
        <v/>
      </c>
      <c r="P2228" s="5">
        <f>IF(O2228="","",IF(O2228&gt;0,1,0))</f>
        <v/>
      </c>
    </row>
    <row r="2229">
      <c r="A2229" s="5" t="n">
        <v>2111000000</v>
      </c>
      <c r="B2229" s="5" t="inlineStr">
        <is>
          <t>100379</t>
        </is>
      </c>
      <c r="C2229" s="5" t="inlineStr">
        <is>
          <t>RAK LOG TRANSPORTES E LOGISTICA EIR</t>
        </is>
      </c>
      <c r="D2229" s="5" t="inlineStr">
        <is>
          <t>RE</t>
        </is>
      </c>
      <c r="E2229" s="5" t="n">
        <v>5014578</v>
      </c>
      <c r="F2229" s="5" t="inlineStr">
        <is>
          <t>335866-1</t>
        </is>
      </c>
      <c r="G2229" s="5" t="inlineStr">
        <is>
          <t>BRL</t>
        </is>
      </c>
      <c r="H2229" s="9" t="n">
        <v>-12911.57</v>
      </c>
      <c r="I2229" s="16" t="n">
        <v>46217</v>
      </c>
      <c r="J2229" s="16" t="n">
        <v>46300</v>
      </c>
      <c r="K2229" s="5" t="inlineStr">
        <is>
          <t>Fatura - bruto RAK LOG TRANSPORTES E LOGISTICA EIR</t>
        </is>
      </c>
      <c r="L2229" s="5" t="inlineStr">
        <is>
          <t>05102026</t>
        </is>
      </c>
      <c r="M2229" s="5">
        <f>IF(YEAR(I2229)&lt;=2020,"Até 2020",TEXT(YEAR(I2229),"0"))</f>
        <v/>
      </c>
      <c r="N2229" s="5">
        <f>IFERROR(INDEX(DePara!$A:$A,MATCH(TEXT(B2229,"0"),DePara!$D:$D,0)),"(sem categoria)")</f>
        <v/>
      </c>
      <c r="O2229" s="5">
        <f>IF(J2229="","",Parametros!$B$6-J2229)</f>
        <v/>
      </c>
      <c r="P2229" s="5">
        <f>IF(O2229="","",IF(O2229&gt;0,1,0))</f>
        <v/>
      </c>
    </row>
    <row r="2230">
      <c r="A2230" s="5" t="n">
        <v>2111000000</v>
      </c>
      <c r="B2230" s="5" t="inlineStr">
        <is>
          <t>100379</t>
        </is>
      </c>
      <c r="C2230" s="5" t="inlineStr">
        <is>
          <t>RAK LOG TRANSPORTES E LOGISTICA EIR</t>
        </is>
      </c>
      <c r="D2230" s="5" t="inlineStr">
        <is>
          <t>RE</t>
        </is>
      </c>
      <c r="E2230" s="5" t="n">
        <v>5014579</v>
      </c>
      <c r="F2230" s="5" t="inlineStr">
        <is>
          <t>335877-1</t>
        </is>
      </c>
      <c r="G2230" s="5" t="inlineStr">
        <is>
          <t>BRL</t>
        </is>
      </c>
      <c r="H2230" s="9" t="n">
        <v>-13985.7</v>
      </c>
      <c r="I2230" s="16" t="n">
        <v>46217</v>
      </c>
      <c r="J2230" s="16" t="n">
        <v>46300</v>
      </c>
      <c r="K2230" s="5" t="inlineStr">
        <is>
          <t>Fatura - bruto RAK LOG TRANSPORTES E LOGISTICA EIR</t>
        </is>
      </c>
      <c r="L2230" s="5" t="inlineStr">
        <is>
          <t>05102026</t>
        </is>
      </c>
      <c r="M2230" s="5">
        <f>IF(YEAR(I2230)&lt;=2020,"Até 2020",TEXT(YEAR(I2230),"0"))</f>
        <v/>
      </c>
      <c r="N2230" s="5">
        <f>IFERROR(INDEX(DePara!$A:$A,MATCH(TEXT(B2230,"0"),DePara!$D:$D,0)),"(sem categoria)")</f>
        <v/>
      </c>
      <c r="O2230" s="5">
        <f>IF(J2230="","",Parametros!$B$6-J2230)</f>
        <v/>
      </c>
      <c r="P2230" s="5">
        <f>IF(O2230="","",IF(O2230&gt;0,1,0))</f>
        <v/>
      </c>
    </row>
    <row r="2231">
      <c r="A2231" s="5" t="n">
        <v>2111000000</v>
      </c>
      <c r="B2231" s="5" t="inlineStr">
        <is>
          <t>100379</t>
        </is>
      </c>
      <c r="C2231" s="5" t="inlineStr">
        <is>
          <t>RAK LOG TRANSPORTES E LOGISTICA EIR</t>
        </is>
      </c>
      <c r="D2231" s="5" t="inlineStr">
        <is>
          <t>RE</t>
        </is>
      </c>
      <c r="E2231" s="5" t="n">
        <v>5014580</v>
      </c>
      <c r="F2231" s="5" t="inlineStr">
        <is>
          <t>336872-1</t>
        </is>
      </c>
      <c r="G2231" s="5" t="inlineStr">
        <is>
          <t>BRL</t>
        </is>
      </c>
      <c r="H2231" s="9" t="n">
        <v>-13127.98</v>
      </c>
      <c r="I2231" s="16" t="n">
        <v>46226</v>
      </c>
      <c r="J2231" s="16" t="n">
        <v>46300</v>
      </c>
      <c r="K2231" s="5" t="inlineStr">
        <is>
          <t>Fatura - bruto RAK LOG TRANSPORTES E LOGISTICA EIR</t>
        </is>
      </c>
      <c r="L2231" s="5" t="inlineStr">
        <is>
          <t>05102026</t>
        </is>
      </c>
      <c r="M2231" s="5">
        <f>IF(YEAR(I2231)&lt;=2020,"Até 2020",TEXT(YEAR(I2231),"0"))</f>
        <v/>
      </c>
      <c r="N2231" s="5">
        <f>IFERROR(INDEX(DePara!$A:$A,MATCH(TEXT(B2231,"0"),DePara!$D:$D,0)),"(sem categoria)")</f>
        <v/>
      </c>
      <c r="O2231" s="5">
        <f>IF(J2231="","",Parametros!$B$6-J2231)</f>
        <v/>
      </c>
      <c r="P2231" s="5">
        <f>IF(O2231="","",IF(O2231&gt;0,1,0))</f>
        <v/>
      </c>
    </row>
    <row r="2232">
      <c r="A2232" s="5" t="n">
        <v>2111000000</v>
      </c>
      <c r="B2232" s="5" t="inlineStr">
        <is>
          <t>100379</t>
        </is>
      </c>
      <c r="C2232" s="5" t="inlineStr">
        <is>
          <t>RAK LOG TRANSPORTES E LOGISTICA EIR</t>
        </is>
      </c>
      <c r="D2232" s="5" t="inlineStr">
        <is>
          <t>RE</t>
        </is>
      </c>
      <c r="E2232" s="5" t="n">
        <v>5014581</v>
      </c>
      <c r="F2232" s="5" t="inlineStr">
        <is>
          <t>336877-1</t>
        </is>
      </c>
      <c r="G2232" s="5" t="inlineStr">
        <is>
          <t>BRL</t>
        </is>
      </c>
      <c r="H2232" s="9" t="n">
        <v>-13127.98</v>
      </c>
      <c r="I2232" s="16" t="n">
        <v>46226</v>
      </c>
      <c r="J2232" s="16" t="n">
        <v>46300</v>
      </c>
      <c r="K2232" s="5" t="inlineStr">
        <is>
          <t>Fatura - bruto RAK LOG TRANSPORTES E LOGISTICA EIR</t>
        </is>
      </c>
      <c r="L2232" s="5" t="inlineStr">
        <is>
          <t>05102026</t>
        </is>
      </c>
      <c r="M2232" s="5">
        <f>IF(YEAR(I2232)&lt;=2020,"Até 2020",TEXT(YEAR(I2232),"0"))</f>
        <v/>
      </c>
      <c r="N2232" s="5">
        <f>IFERROR(INDEX(DePara!$A:$A,MATCH(TEXT(B2232,"0"),DePara!$D:$D,0)),"(sem categoria)")</f>
        <v/>
      </c>
      <c r="O2232" s="5">
        <f>IF(J2232="","",Parametros!$B$6-J2232)</f>
        <v/>
      </c>
      <c r="P2232" s="5">
        <f>IF(O2232="","",IF(O2232&gt;0,1,0))</f>
        <v/>
      </c>
    </row>
    <row r="2233">
      <c r="A2233" s="5" t="n">
        <v>2111000000</v>
      </c>
      <c r="B2233" s="5" t="inlineStr">
        <is>
          <t>100379</t>
        </is>
      </c>
      <c r="C2233" s="5" t="inlineStr">
        <is>
          <t>RAK LOG TRANSPORTES E LOGISTICA EIR</t>
        </is>
      </c>
      <c r="D2233" s="5" t="inlineStr">
        <is>
          <t>RE</t>
        </is>
      </c>
      <c r="E2233" s="5" t="n">
        <v>5014582</v>
      </c>
      <c r="F2233" s="5" t="inlineStr">
        <is>
          <t>336882-1</t>
        </is>
      </c>
      <c r="G2233" s="5" t="inlineStr">
        <is>
          <t>BRL</t>
        </is>
      </c>
      <c r="H2233" s="9" t="n">
        <v>-13127.98</v>
      </c>
      <c r="I2233" s="16" t="n">
        <v>46226</v>
      </c>
      <c r="J2233" s="16" t="n">
        <v>46300</v>
      </c>
      <c r="K2233" s="5" t="inlineStr">
        <is>
          <t>Fatura - bruto RAK LOG TRANSPORTES E LOGISTICA EIR</t>
        </is>
      </c>
      <c r="L2233" s="5" t="inlineStr">
        <is>
          <t>05102026</t>
        </is>
      </c>
      <c r="M2233" s="5">
        <f>IF(YEAR(I2233)&lt;=2020,"Até 2020",TEXT(YEAR(I2233),"0"))</f>
        <v/>
      </c>
      <c r="N2233" s="5">
        <f>IFERROR(INDEX(DePara!$A:$A,MATCH(TEXT(B2233,"0"),DePara!$D:$D,0)),"(sem categoria)")</f>
        <v/>
      </c>
      <c r="O2233" s="5">
        <f>IF(J2233="","",Parametros!$B$6-J2233)</f>
        <v/>
      </c>
      <c r="P2233" s="5">
        <f>IF(O2233="","",IF(O2233&gt;0,1,0))</f>
        <v/>
      </c>
    </row>
    <row r="2234">
      <c r="A2234" s="5" t="n">
        <v>2111000000</v>
      </c>
      <c r="B2234" s="5" t="inlineStr">
        <is>
          <t>100379</t>
        </is>
      </c>
      <c r="C2234" s="5" t="inlineStr">
        <is>
          <t>RAK LOG TRANSPORTES E LOGISTICA EIR</t>
        </is>
      </c>
      <c r="D2234" s="5" t="inlineStr">
        <is>
          <t>RE</t>
        </is>
      </c>
      <c r="E2234" s="5" t="n">
        <v>5014583</v>
      </c>
      <c r="F2234" s="5" t="inlineStr">
        <is>
          <t>336883-1</t>
        </is>
      </c>
      <c r="G2234" s="5" t="inlineStr">
        <is>
          <t>BRL</t>
        </is>
      </c>
      <c r="H2234" s="9" t="n">
        <v>-13127.98</v>
      </c>
      <c r="I2234" s="16" t="n">
        <v>46226</v>
      </c>
      <c r="J2234" s="16" t="n">
        <v>46300</v>
      </c>
      <c r="K2234" s="5" t="inlineStr">
        <is>
          <t>Fatura - bruto RAK LOG TRANSPORTES E LOGISTICA EIR</t>
        </is>
      </c>
      <c r="L2234" s="5" t="inlineStr">
        <is>
          <t>05102026</t>
        </is>
      </c>
      <c r="M2234" s="5">
        <f>IF(YEAR(I2234)&lt;=2020,"Até 2020",TEXT(YEAR(I2234),"0"))</f>
        <v/>
      </c>
      <c r="N2234" s="5">
        <f>IFERROR(INDEX(DePara!$A:$A,MATCH(TEXT(B2234,"0"),DePara!$D:$D,0)),"(sem categoria)")</f>
        <v/>
      </c>
      <c r="O2234" s="5">
        <f>IF(J2234="","",Parametros!$B$6-J2234)</f>
        <v/>
      </c>
      <c r="P2234" s="5">
        <f>IF(O2234="","",IF(O2234&gt;0,1,0))</f>
        <v/>
      </c>
    </row>
    <row r="2235">
      <c r="A2235" s="5" t="n">
        <v>2111000000</v>
      </c>
      <c r="B2235" s="5" t="inlineStr">
        <is>
          <t>100379</t>
        </is>
      </c>
      <c r="C2235" s="5" t="inlineStr">
        <is>
          <t>RAK LOG TRANSPORTES E LOGISTICA EIR</t>
        </is>
      </c>
      <c r="D2235" s="5" t="inlineStr">
        <is>
          <t>RE</t>
        </is>
      </c>
      <c r="E2235" s="5" t="n">
        <v>5014584</v>
      </c>
      <c r="F2235" s="5" t="inlineStr">
        <is>
          <t>336934-1</t>
        </is>
      </c>
      <c r="G2235" s="5" t="inlineStr">
        <is>
          <t>BRL</t>
        </is>
      </c>
      <c r="H2235" s="9" t="n">
        <v>-13127.98</v>
      </c>
      <c r="I2235" s="16" t="n">
        <v>46226</v>
      </c>
      <c r="J2235" s="16" t="n">
        <v>46300</v>
      </c>
      <c r="K2235" s="5" t="inlineStr">
        <is>
          <t>Fatura - bruto RAK LOG TRANSPORTES E LOGISTICA EIR</t>
        </is>
      </c>
      <c r="L2235" s="5" t="inlineStr">
        <is>
          <t>05102026</t>
        </is>
      </c>
      <c r="M2235" s="5">
        <f>IF(YEAR(I2235)&lt;=2020,"Até 2020",TEXT(YEAR(I2235),"0"))</f>
        <v/>
      </c>
      <c r="N2235" s="5">
        <f>IFERROR(INDEX(DePara!$A:$A,MATCH(TEXT(B2235,"0"),DePara!$D:$D,0)),"(sem categoria)")</f>
        <v/>
      </c>
      <c r="O2235" s="5">
        <f>IF(J2235="","",Parametros!$B$6-J2235)</f>
        <v/>
      </c>
      <c r="P2235" s="5">
        <f>IF(O2235="","",IF(O2235&gt;0,1,0))</f>
        <v/>
      </c>
    </row>
    <row r="2236">
      <c r="A2236" s="5" t="n">
        <v>2111000000</v>
      </c>
      <c r="B2236" s="5" t="inlineStr">
        <is>
          <t>100379</t>
        </is>
      </c>
      <c r="C2236" s="5" t="inlineStr">
        <is>
          <t>RAK LOG TRANSPORTES E LOGISTICA EIR</t>
        </is>
      </c>
      <c r="D2236" s="5" t="inlineStr">
        <is>
          <t>RE</t>
        </is>
      </c>
      <c r="E2236" s="5" t="n">
        <v>5014585</v>
      </c>
      <c r="F2236" s="5" t="inlineStr">
        <is>
          <t>336986-1</t>
        </is>
      </c>
      <c r="G2236" s="5" t="inlineStr">
        <is>
          <t>BRL</t>
        </is>
      </c>
      <c r="H2236" s="9" t="n">
        <v>-13127.98</v>
      </c>
      <c r="I2236" s="16" t="n">
        <v>46227</v>
      </c>
      <c r="J2236" s="16" t="n">
        <v>46300</v>
      </c>
      <c r="K2236" s="5" t="inlineStr">
        <is>
          <t>Fatura - bruto RAK LOG TRANSPORTES E LOGISTICA EIR</t>
        </is>
      </c>
      <c r="L2236" s="5" t="inlineStr">
        <is>
          <t>05102026</t>
        </is>
      </c>
      <c r="M2236" s="5">
        <f>IF(YEAR(I2236)&lt;=2020,"Até 2020",TEXT(YEAR(I2236),"0"))</f>
        <v/>
      </c>
      <c r="N2236" s="5">
        <f>IFERROR(INDEX(DePara!$A:$A,MATCH(TEXT(B2236,"0"),DePara!$D:$D,0)),"(sem categoria)")</f>
        <v/>
      </c>
      <c r="O2236" s="5">
        <f>IF(J2236="","",Parametros!$B$6-J2236)</f>
        <v/>
      </c>
      <c r="P2236" s="5">
        <f>IF(O2236="","",IF(O2236&gt;0,1,0))</f>
        <v/>
      </c>
    </row>
    <row r="2237">
      <c r="A2237" s="5" t="n">
        <v>2111000000</v>
      </c>
      <c r="B2237" s="5" t="inlineStr">
        <is>
          <t>100379</t>
        </is>
      </c>
      <c r="C2237" s="5" t="inlineStr">
        <is>
          <t>RAK LOG TRANSPORTES E LOGISTICA EIR</t>
        </is>
      </c>
      <c r="D2237" s="5" t="inlineStr">
        <is>
          <t>RE</t>
        </is>
      </c>
      <c r="E2237" s="5" t="n">
        <v>5014586</v>
      </c>
      <c r="F2237" s="5" t="inlineStr">
        <is>
          <t>337012-1</t>
        </is>
      </c>
      <c r="G2237" s="5" t="inlineStr">
        <is>
          <t>BRL</t>
        </is>
      </c>
      <c r="H2237" s="9" t="n">
        <v>-13127.98</v>
      </c>
      <c r="I2237" s="16" t="n">
        <v>46227</v>
      </c>
      <c r="J2237" s="16" t="n">
        <v>46300</v>
      </c>
      <c r="K2237" s="5" t="inlineStr">
        <is>
          <t>Fatura - bruto RAK LOG TRANSPORTES E LOGISTICA EIR</t>
        </is>
      </c>
      <c r="L2237" s="5" t="inlineStr">
        <is>
          <t>05102026</t>
        </is>
      </c>
      <c r="M2237" s="5">
        <f>IF(YEAR(I2237)&lt;=2020,"Até 2020",TEXT(YEAR(I2237),"0"))</f>
        <v/>
      </c>
      <c r="N2237" s="5">
        <f>IFERROR(INDEX(DePara!$A:$A,MATCH(TEXT(B2237,"0"),DePara!$D:$D,0)),"(sem categoria)")</f>
        <v/>
      </c>
      <c r="O2237" s="5">
        <f>IF(J2237="","",Parametros!$B$6-J2237)</f>
        <v/>
      </c>
      <c r="P2237" s="5">
        <f>IF(O2237="","",IF(O2237&gt;0,1,0))</f>
        <v/>
      </c>
    </row>
    <row r="2238">
      <c r="A2238" s="5" t="n">
        <v>2111000000</v>
      </c>
      <c r="B2238" s="5" t="inlineStr">
        <is>
          <t>100379</t>
        </is>
      </c>
      <c r="C2238" s="5" t="inlineStr">
        <is>
          <t>RAK LOG TRANSPORTES E LOGISTICA EIR</t>
        </is>
      </c>
      <c r="D2238" s="5" t="inlineStr">
        <is>
          <t>RE</t>
        </is>
      </c>
      <c r="E2238" s="5" t="n">
        <v>5014587</v>
      </c>
      <c r="F2238" s="5" t="inlineStr">
        <is>
          <t>337654-1</t>
        </is>
      </c>
      <c r="G2238" s="5" t="inlineStr">
        <is>
          <t>BRL</t>
        </is>
      </c>
      <c r="H2238" s="9" t="n">
        <v>-13571.16</v>
      </c>
      <c r="I2238" s="16" t="n">
        <v>46233</v>
      </c>
      <c r="J2238" s="16" t="n">
        <v>46300</v>
      </c>
      <c r="K2238" s="5" t="inlineStr">
        <is>
          <t>Fatura - bruto RAK LOG TRANSPORTES E LOGISTICA EIR</t>
        </is>
      </c>
      <c r="L2238" s="5" t="inlineStr">
        <is>
          <t>05102026</t>
        </is>
      </c>
      <c r="M2238" s="5">
        <f>IF(YEAR(I2238)&lt;=2020,"Até 2020",TEXT(YEAR(I2238),"0"))</f>
        <v/>
      </c>
      <c r="N2238" s="5">
        <f>IFERROR(INDEX(DePara!$A:$A,MATCH(TEXT(B2238,"0"),DePara!$D:$D,0)),"(sem categoria)")</f>
        <v/>
      </c>
      <c r="O2238" s="5">
        <f>IF(J2238="","",Parametros!$B$6-J2238)</f>
        <v/>
      </c>
      <c r="P2238" s="5">
        <f>IF(O2238="","",IF(O2238&gt;0,1,0))</f>
        <v/>
      </c>
    </row>
    <row r="2239">
      <c r="A2239" s="5" t="n">
        <v>2111000000</v>
      </c>
      <c r="B2239" s="5" t="inlineStr">
        <is>
          <t>100379</t>
        </is>
      </c>
      <c r="C2239" s="5" t="inlineStr">
        <is>
          <t>RAK LOG TRANSPORTES E LOGISTICA EIR</t>
        </is>
      </c>
      <c r="D2239" s="5" t="inlineStr">
        <is>
          <t>RE</t>
        </is>
      </c>
      <c r="E2239" s="5" t="n">
        <v>5014588</v>
      </c>
      <c r="F2239" s="5" t="inlineStr">
        <is>
          <t>337681-1</t>
        </is>
      </c>
      <c r="G2239" s="5" t="inlineStr">
        <is>
          <t>BRL</t>
        </is>
      </c>
      <c r="H2239" s="9" t="n">
        <v>-13202.84</v>
      </c>
      <c r="I2239" s="16" t="n">
        <v>46233</v>
      </c>
      <c r="J2239" s="16" t="n">
        <v>46300</v>
      </c>
      <c r="K2239" s="5" t="inlineStr">
        <is>
          <t>Fatura - bruto RAK LOG TRANSPORTES E LOGISTICA EIR</t>
        </is>
      </c>
      <c r="L2239" s="5" t="inlineStr">
        <is>
          <t>05102026</t>
        </is>
      </c>
      <c r="M2239" s="5">
        <f>IF(YEAR(I2239)&lt;=2020,"Até 2020",TEXT(YEAR(I2239),"0"))</f>
        <v/>
      </c>
      <c r="N2239" s="5">
        <f>IFERROR(INDEX(DePara!$A:$A,MATCH(TEXT(B2239,"0"),DePara!$D:$D,0)),"(sem categoria)")</f>
        <v/>
      </c>
      <c r="O2239" s="5">
        <f>IF(J2239="","",Parametros!$B$6-J2239)</f>
        <v/>
      </c>
      <c r="P2239" s="5">
        <f>IF(O2239="","",IF(O2239&gt;0,1,0))</f>
        <v/>
      </c>
    </row>
    <row r="2240">
      <c r="A2240" s="5" t="n">
        <v>2111000000</v>
      </c>
      <c r="B2240" s="5" t="inlineStr">
        <is>
          <t>100379</t>
        </is>
      </c>
      <c r="C2240" s="5" t="inlineStr">
        <is>
          <t>RAK LOG TRANSPORTES E LOGISTICA EIR</t>
        </is>
      </c>
      <c r="D2240" s="5" t="inlineStr">
        <is>
          <t>RE</t>
        </is>
      </c>
      <c r="E2240" s="5" t="n">
        <v>5014589</v>
      </c>
      <c r="F2240" s="5" t="inlineStr">
        <is>
          <t>337132-1</t>
        </is>
      </c>
      <c r="G2240" s="5" t="inlineStr">
        <is>
          <t>BRL</t>
        </is>
      </c>
      <c r="H2240" s="9" t="n">
        <v>-13020.87</v>
      </c>
      <c r="I2240" s="16" t="n">
        <v>46230</v>
      </c>
      <c r="J2240" s="16" t="n">
        <v>46300</v>
      </c>
      <c r="K2240" s="5" t="inlineStr">
        <is>
          <t>Fatura - bruto RAK LOG TRANSPORTES E LOGISTICA EIR</t>
        </is>
      </c>
      <c r="L2240" s="5" t="inlineStr">
        <is>
          <t>05102026</t>
        </is>
      </c>
      <c r="M2240" s="5">
        <f>IF(YEAR(I2240)&lt;=2020,"Até 2020",TEXT(YEAR(I2240),"0"))</f>
        <v/>
      </c>
      <c r="N2240" s="5">
        <f>IFERROR(INDEX(DePara!$A:$A,MATCH(TEXT(B2240,"0"),DePara!$D:$D,0)),"(sem categoria)")</f>
        <v/>
      </c>
      <c r="O2240" s="5">
        <f>IF(J2240="","",Parametros!$B$6-J2240)</f>
        <v/>
      </c>
      <c r="P2240" s="5">
        <f>IF(O2240="","",IF(O2240&gt;0,1,0))</f>
        <v/>
      </c>
    </row>
    <row r="2241">
      <c r="A2241" s="5" t="n">
        <v>2111000000</v>
      </c>
      <c r="B2241" s="5" t="inlineStr">
        <is>
          <t>100379</t>
        </is>
      </c>
      <c r="C2241" s="5" t="inlineStr">
        <is>
          <t>RAK LOG TRANSPORTES E LOGISTICA EIR</t>
        </is>
      </c>
      <c r="D2241" s="5" t="inlineStr">
        <is>
          <t>RE</t>
        </is>
      </c>
      <c r="E2241" s="5" t="n">
        <v>5014590</v>
      </c>
      <c r="F2241" s="5" t="inlineStr">
        <is>
          <t>337136-1</t>
        </is>
      </c>
      <c r="G2241" s="5" t="inlineStr">
        <is>
          <t>BRL</t>
        </is>
      </c>
      <c r="H2241" s="9" t="n">
        <v>-13001.2</v>
      </c>
      <c r="I2241" s="16" t="n">
        <v>46230</v>
      </c>
      <c r="J2241" s="16" t="n">
        <v>46300</v>
      </c>
      <c r="K2241" s="5" t="inlineStr">
        <is>
          <t>Fatura - bruto RAK LOG TRANSPORTES E LOGISTICA EIR</t>
        </is>
      </c>
      <c r="L2241" s="5" t="inlineStr">
        <is>
          <t>05102026</t>
        </is>
      </c>
      <c r="M2241" s="5">
        <f>IF(YEAR(I2241)&lt;=2020,"Até 2020",TEXT(YEAR(I2241),"0"))</f>
        <v/>
      </c>
      <c r="N2241" s="5">
        <f>IFERROR(INDEX(DePara!$A:$A,MATCH(TEXT(B2241,"0"),DePara!$D:$D,0)),"(sem categoria)")</f>
        <v/>
      </c>
      <c r="O2241" s="5">
        <f>IF(J2241="","",Parametros!$B$6-J2241)</f>
        <v/>
      </c>
      <c r="P2241" s="5">
        <f>IF(O2241="","",IF(O2241&gt;0,1,0))</f>
        <v/>
      </c>
    </row>
    <row r="2242">
      <c r="A2242" s="5" t="n">
        <v>2111000000</v>
      </c>
      <c r="B2242" s="5" t="inlineStr">
        <is>
          <t>100379</t>
        </is>
      </c>
      <c r="C2242" s="5" t="inlineStr">
        <is>
          <t>RAK LOG TRANSPORTES E LOGISTICA EIR</t>
        </is>
      </c>
      <c r="D2242" s="5" t="inlineStr">
        <is>
          <t>RE</t>
        </is>
      </c>
      <c r="E2242" s="5" t="n">
        <v>5014591</v>
      </c>
      <c r="F2242" s="5" t="inlineStr">
        <is>
          <t>337137-1</t>
        </is>
      </c>
      <c r="G2242" s="5" t="inlineStr">
        <is>
          <t>BRL</t>
        </is>
      </c>
      <c r="H2242" s="9" t="n">
        <v>-12976.63</v>
      </c>
      <c r="I2242" s="16" t="n">
        <v>46230</v>
      </c>
      <c r="J2242" s="16" t="n">
        <v>46300</v>
      </c>
      <c r="K2242" s="5" t="inlineStr">
        <is>
          <t>Fatura - bruto RAK LOG TRANSPORTES E LOGISTICA EIR</t>
        </is>
      </c>
      <c r="L2242" s="5" t="inlineStr">
        <is>
          <t>05102026</t>
        </is>
      </c>
      <c r="M2242" s="5">
        <f>IF(YEAR(I2242)&lt;=2020,"Até 2020",TEXT(YEAR(I2242),"0"))</f>
        <v/>
      </c>
      <c r="N2242" s="5">
        <f>IFERROR(INDEX(DePara!$A:$A,MATCH(TEXT(B2242,"0"),DePara!$D:$D,0)),"(sem categoria)")</f>
        <v/>
      </c>
      <c r="O2242" s="5">
        <f>IF(J2242="","",Parametros!$B$6-J2242)</f>
        <v/>
      </c>
      <c r="P2242" s="5">
        <f>IF(O2242="","",IF(O2242&gt;0,1,0))</f>
        <v/>
      </c>
    </row>
    <row r="2243">
      <c r="A2243" s="5" t="n">
        <v>2111000000</v>
      </c>
      <c r="B2243" s="5" t="inlineStr">
        <is>
          <t>100379</t>
        </is>
      </c>
      <c r="C2243" s="5" t="inlineStr">
        <is>
          <t>RAK LOG TRANSPORTES E LOGISTICA EIR</t>
        </is>
      </c>
      <c r="D2243" s="5" t="inlineStr">
        <is>
          <t>RE</t>
        </is>
      </c>
      <c r="E2243" s="5" t="n">
        <v>5014592</v>
      </c>
      <c r="F2243" s="5" t="inlineStr">
        <is>
          <t>337138-1</t>
        </is>
      </c>
      <c r="G2243" s="5" t="inlineStr">
        <is>
          <t>BRL</t>
        </is>
      </c>
      <c r="H2243" s="9" t="n">
        <v>-12939.67</v>
      </c>
      <c r="I2243" s="16" t="n">
        <v>46230</v>
      </c>
      <c r="J2243" s="16" t="n">
        <v>46300</v>
      </c>
      <c r="K2243" s="5" t="inlineStr">
        <is>
          <t>Fatura - bruto RAK LOG TRANSPORTES E LOGISTICA EIR</t>
        </is>
      </c>
      <c r="L2243" s="5" t="inlineStr">
        <is>
          <t>05102026</t>
        </is>
      </c>
      <c r="M2243" s="5">
        <f>IF(YEAR(I2243)&lt;=2020,"Até 2020",TEXT(YEAR(I2243),"0"))</f>
        <v/>
      </c>
      <c r="N2243" s="5">
        <f>IFERROR(INDEX(DePara!$A:$A,MATCH(TEXT(B2243,"0"),DePara!$D:$D,0)),"(sem categoria)")</f>
        <v/>
      </c>
      <c r="O2243" s="5">
        <f>IF(J2243="","",Parametros!$B$6-J2243)</f>
        <v/>
      </c>
      <c r="P2243" s="5">
        <f>IF(O2243="","",IF(O2243&gt;0,1,0))</f>
        <v/>
      </c>
    </row>
    <row r="2244">
      <c r="A2244" s="5" t="n">
        <v>2111000000</v>
      </c>
      <c r="B2244" s="5" t="inlineStr">
        <is>
          <t>101463</t>
        </is>
      </c>
      <c r="C2244" s="5" t="inlineStr">
        <is>
          <t>ZURICH MINAS BRASIL SEGUROS S A</t>
        </is>
      </c>
      <c r="D2244" s="5" t="inlineStr">
        <is>
          <t>RE</t>
        </is>
      </c>
      <c r="E2244" s="5" t="n">
        <v>5014593</v>
      </c>
      <c r="F2244" s="5" t="inlineStr">
        <is>
          <t>0456/26</t>
        </is>
      </c>
      <c r="G2244" s="5" t="inlineStr">
        <is>
          <t>BRL</t>
        </is>
      </c>
      <c r="H2244" s="9" t="n">
        <v>-79.59</v>
      </c>
      <c r="I2244" s="16" t="n">
        <v>46241</v>
      </c>
      <c r="J2244" s="16" t="n">
        <v>46271</v>
      </c>
      <c r="K2244" s="5" t="inlineStr">
        <is>
          <t>Invoice Payment. SP: 21158</t>
        </is>
      </c>
      <c r="L2244" s="5" t="inlineStr">
        <is>
          <t>0456/26</t>
        </is>
      </c>
      <c r="M2244" s="5">
        <f>IF(YEAR(I2244)&lt;=2020,"Até 2020",TEXT(YEAR(I2244),"0"))</f>
        <v/>
      </c>
      <c r="N2244" s="5">
        <f>IFERROR(INDEX(DePara!$A:$A,MATCH(TEXT(B2244,"0"),DePara!$D:$D,0)),"(sem categoria)")</f>
        <v/>
      </c>
      <c r="O2244" s="5">
        <f>IF(J2244="","",Parametros!$B$6-J2244)</f>
        <v/>
      </c>
      <c r="P2244" s="5">
        <f>IF(O2244="","",IF(O2244&gt;0,1,0))</f>
        <v/>
      </c>
    </row>
    <row r="2245">
      <c r="A2245" s="5" t="n">
        <v>2111000000</v>
      </c>
      <c r="B2245" s="5" t="inlineStr">
        <is>
          <t>100031</t>
        </is>
      </c>
      <c r="C2245" s="5" t="inlineStr">
        <is>
          <t>MEGAWIND INDUSTRIA E COMERCIO</t>
        </is>
      </c>
      <c r="D2245" s="5" t="inlineStr">
        <is>
          <t>RE</t>
        </is>
      </c>
      <c r="E2245" s="5" t="n">
        <v>5014594</v>
      </c>
      <c r="F2245" s="5" t="inlineStr">
        <is>
          <t>1437</t>
        </is>
      </c>
      <c r="G2245" s="5" t="inlineStr">
        <is>
          <t>BRL</t>
        </is>
      </c>
      <c r="H2245" s="9" t="n">
        <v>-16835.25</v>
      </c>
      <c r="I2245" s="16" t="n">
        <v>46240</v>
      </c>
      <c r="J2245" s="16" t="n">
        <v>46300</v>
      </c>
      <c r="K2245" s="5" t="inlineStr">
        <is>
          <t>Fatura - bruto MEGAWIND INDUSTRIA E COMERCIO 1437</t>
        </is>
      </c>
      <c r="L2245" s="5" t="inlineStr">
        <is>
          <t>05102026</t>
        </is>
      </c>
      <c r="M2245" s="5">
        <f>IF(YEAR(I2245)&lt;=2020,"Até 2020",TEXT(YEAR(I2245),"0"))</f>
        <v/>
      </c>
      <c r="N2245" s="5">
        <f>IFERROR(INDEX(DePara!$A:$A,MATCH(TEXT(B2245,"0"),DePara!$D:$D,0)),"(sem categoria)")</f>
        <v/>
      </c>
      <c r="O2245" s="5">
        <f>IF(J2245="","",Parametros!$B$6-J2245)</f>
        <v/>
      </c>
      <c r="P2245" s="5">
        <f>IF(O2245="","",IF(O2245&gt;0,1,0))</f>
        <v/>
      </c>
    </row>
    <row r="2246">
      <c r="A2246" s="5" t="n">
        <v>2111000000</v>
      </c>
      <c r="B2246" s="5" t="inlineStr">
        <is>
          <t>100031</t>
        </is>
      </c>
      <c r="C2246" s="5" t="inlineStr">
        <is>
          <t>MEGAWIND INDUSTRIA E COMERCIO</t>
        </is>
      </c>
      <c r="D2246" s="5" t="inlineStr">
        <is>
          <t>RE</t>
        </is>
      </c>
      <c r="E2246" s="5" t="n">
        <v>5014596</v>
      </c>
      <c r="F2246" s="5" t="inlineStr">
        <is>
          <t>1438</t>
        </is>
      </c>
      <c r="G2246" s="5" t="inlineStr">
        <is>
          <t>BRL</t>
        </is>
      </c>
      <c r="H2246" s="9" t="n">
        <v>-11315.02</v>
      </c>
      <c r="I2246" s="16" t="n">
        <v>46240</v>
      </c>
      <c r="J2246" s="16" t="n">
        <v>46300</v>
      </c>
      <c r="K2246" s="5" t="inlineStr">
        <is>
          <t>Fatura - bruto MEGAWIND INDUSTRIA E COMERCIO 1438</t>
        </is>
      </c>
      <c r="L2246" s="5" t="inlineStr">
        <is>
          <t>05102026</t>
        </is>
      </c>
      <c r="M2246" s="5">
        <f>IF(YEAR(I2246)&lt;=2020,"Até 2020",TEXT(YEAR(I2246),"0"))</f>
        <v/>
      </c>
      <c r="N2246" s="5">
        <f>IFERROR(INDEX(DePara!$A:$A,MATCH(TEXT(B2246,"0"),DePara!$D:$D,0)),"(sem categoria)")</f>
        <v/>
      </c>
      <c r="O2246" s="5">
        <f>IF(J2246="","",Parametros!$B$6-J2246)</f>
        <v/>
      </c>
      <c r="P2246" s="5">
        <f>IF(O2246="","",IF(O2246&gt;0,1,0))</f>
        <v/>
      </c>
    </row>
    <row r="2247">
      <c r="A2247" s="5" t="n">
        <v>2111000000</v>
      </c>
      <c r="B2247" s="5" t="inlineStr">
        <is>
          <t>100031</t>
        </is>
      </c>
      <c r="C2247" s="5" t="inlineStr">
        <is>
          <t>MEGAWIND INDUSTRIA E COMERCIO</t>
        </is>
      </c>
      <c r="D2247" s="5" t="inlineStr">
        <is>
          <t>RE</t>
        </is>
      </c>
      <c r="E2247" s="5" t="n">
        <v>5014597</v>
      </c>
      <c r="F2247" s="5" t="inlineStr">
        <is>
          <t>1439</t>
        </is>
      </c>
      <c r="G2247" s="5" t="inlineStr">
        <is>
          <t>BRL</t>
        </is>
      </c>
      <c r="H2247" s="9" t="n">
        <v>-2758.33</v>
      </c>
      <c r="I2247" s="16" t="n">
        <v>46240</v>
      </c>
      <c r="J2247" s="16" t="n">
        <v>46300</v>
      </c>
      <c r="K2247" s="5" t="inlineStr">
        <is>
          <t>Fatura - bruto MEGAWIND INDUSTRIA E COMERCIO 1439</t>
        </is>
      </c>
      <c r="L2247" s="5" t="inlineStr">
        <is>
          <t>05102026</t>
        </is>
      </c>
      <c r="M2247" s="5">
        <f>IF(YEAR(I2247)&lt;=2020,"Até 2020",TEXT(YEAR(I2247),"0"))</f>
        <v/>
      </c>
      <c r="N2247" s="5">
        <f>IFERROR(INDEX(DePara!$A:$A,MATCH(TEXT(B2247,"0"),DePara!$D:$D,0)),"(sem categoria)")</f>
        <v/>
      </c>
      <c r="O2247" s="5">
        <f>IF(J2247="","",Parametros!$B$6-J2247)</f>
        <v/>
      </c>
      <c r="P2247" s="5">
        <f>IF(O2247="","",IF(O2247&gt;0,1,0))</f>
        <v/>
      </c>
    </row>
    <row r="2248">
      <c r="A2248" s="5" t="n">
        <v>2111000000</v>
      </c>
      <c r="B2248" s="5" t="inlineStr">
        <is>
          <t>100379</t>
        </is>
      </c>
      <c r="C2248" s="5" t="inlineStr">
        <is>
          <t>RAK LOG TRANSPORTES E LOGISTICA EIR</t>
        </is>
      </c>
      <c r="D2248" s="5" t="inlineStr">
        <is>
          <t>RE</t>
        </is>
      </c>
      <c r="E2248" s="5" t="n">
        <v>5014599</v>
      </c>
      <c r="F2248" s="5" t="inlineStr">
        <is>
          <t>337145-1</t>
        </is>
      </c>
      <c r="G2248" s="5" t="inlineStr">
        <is>
          <t>BRL</t>
        </is>
      </c>
      <c r="H2248" s="9" t="n">
        <v>-13910.16</v>
      </c>
      <c r="I2248" s="16" t="n">
        <v>46230</v>
      </c>
      <c r="J2248" s="16" t="n">
        <v>46300</v>
      </c>
      <c r="K2248" s="5" t="inlineStr">
        <is>
          <t>Fatura - bruto RAK LOG TRANSPORTES E LOGISTICA EIR</t>
        </is>
      </c>
      <c r="L2248" s="5" t="inlineStr">
        <is>
          <t>05102026</t>
        </is>
      </c>
      <c r="M2248" s="5">
        <f>IF(YEAR(I2248)&lt;=2020,"Até 2020",TEXT(YEAR(I2248),"0"))</f>
        <v/>
      </c>
      <c r="N2248" s="5">
        <f>IFERROR(INDEX(DePara!$A:$A,MATCH(TEXT(B2248,"0"),DePara!$D:$D,0)),"(sem categoria)")</f>
        <v/>
      </c>
      <c r="O2248" s="5">
        <f>IF(J2248="","",Parametros!$B$6-J2248)</f>
        <v/>
      </c>
      <c r="P2248" s="5">
        <f>IF(O2248="","",IF(O2248&gt;0,1,0))</f>
        <v/>
      </c>
    </row>
    <row r="2249">
      <c r="A2249" s="5" t="n">
        <v>2111000000</v>
      </c>
      <c r="B2249" s="5" t="inlineStr">
        <is>
          <t>100379</t>
        </is>
      </c>
      <c r="C2249" s="5" t="inlineStr">
        <is>
          <t>RAK LOG TRANSPORTES E LOGISTICA EIR</t>
        </is>
      </c>
      <c r="D2249" s="5" t="inlineStr">
        <is>
          <t>RE</t>
        </is>
      </c>
      <c r="E2249" s="5" t="n">
        <v>5014600</v>
      </c>
      <c r="F2249" s="5" t="inlineStr">
        <is>
          <t>337348-1</t>
        </is>
      </c>
      <c r="G2249" s="5" t="inlineStr">
        <is>
          <t>BRL</t>
        </is>
      </c>
      <c r="H2249" s="9" t="n">
        <v>-12957.35</v>
      </c>
      <c r="I2249" s="16" t="n">
        <v>46231</v>
      </c>
      <c r="J2249" s="16" t="n">
        <v>46300</v>
      </c>
      <c r="K2249" s="5" t="inlineStr">
        <is>
          <t>Fatura - bruto RAK LOG TRANSPORTES E LOGISTICA EIR</t>
        </is>
      </c>
      <c r="L2249" s="5" t="inlineStr">
        <is>
          <t>05102026</t>
        </is>
      </c>
      <c r="M2249" s="5">
        <f>IF(YEAR(I2249)&lt;=2020,"Até 2020",TEXT(YEAR(I2249),"0"))</f>
        <v/>
      </c>
      <c r="N2249" s="5">
        <f>IFERROR(INDEX(DePara!$A:$A,MATCH(TEXT(B2249,"0"),DePara!$D:$D,0)),"(sem categoria)")</f>
        <v/>
      </c>
      <c r="O2249" s="5">
        <f>IF(J2249="","",Parametros!$B$6-J2249)</f>
        <v/>
      </c>
      <c r="P2249" s="5">
        <f>IF(O2249="","",IF(O2249&gt;0,1,0))</f>
        <v/>
      </c>
    </row>
    <row r="2250">
      <c r="A2250" s="5" t="n">
        <v>2111000000</v>
      </c>
      <c r="B2250" s="5" t="inlineStr">
        <is>
          <t>100379</t>
        </is>
      </c>
      <c r="C2250" s="5" t="inlineStr">
        <is>
          <t>RAK LOG TRANSPORTES E LOGISTICA EIR</t>
        </is>
      </c>
      <c r="D2250" s="5" t="inlineStr">
        <is>
          <t>RE</t>
        </is>
      </c>
      <c r="E2250" s="5" t="n">
        <v>5014601</v>
      </c>
      <c r="F2250" s="5" t="inlineStr">
        <is>
          <t>337351-1</t>
        </is>
      </c>
      <c r="G2250" s="5" t="inlineStr">
        <is>
          <t>BRL</t>
        </is>
      </c>
      <c r="H2250" s="9" t="n">
        <v>-12950.3</v>
      </c>
      <c r="I2250" s="16" t="n">
        <v>46231</v>
      </c>
      <c r="J2250" s="16" t="n">
        <v>46300</v>
      </c>
      <c r="K2250" s="5" t="inlineStr">
        <is>
          <t>Fatura - bruto RAK LOG TRANSPORTES E LOGISTICA EIR</t>
        </is>
      </c>
      <c r="L2250" s="5" t="inlineStr">
        <is>
          <t>05102026</t>
        </is>
      </c>
      <c r="M2250" s="5">
        <f>IF(YEAR(I2250)&lt;=2020,"Até 2020",TEXT(YEAR(I2250),"0"))</f>
        <v/>
      </c>
      <c r="N2250" s="5">
        <f>IFERROR(INDEX(DePara!$A:$A,MATCH(TEXT(B2250,"0"),DePara!$D:$D,0)),"(sem categoria)")</f>
        <v/>
      </c>
      <c r="O2250" s="5">
        <f>IF(J2250="","",Parametros!$B$6-J2250)</f>
        <v/>
      </c>
      <c r="P2250" s="5">
        <f>IF(O2250="","",IF(O2250&gt;0,1,0))</f>
        <v/>
      </c>
    </row>
    <row r="2251">
      <c r="A2251" s="5" t="n">
        <v>2111000000</v>
      </c>
      <c r="B2251" s="5" t="inlineStr">
        <is>
          <t>100379</t>
        </is>
      </c>
      <c r="C2251" s="5" t="inlineStr">
        <is>
          <t>RAK LOG TRANSPORTES E LOGISTICA EIR</t>
        </is>
      </c>
      <c r="D2251" s="5" t="inlineStr">
        <is>
          <t>RE</t>
        </is>
      </c>
      <c r="E2251" s="5" t="n">
        <v>5014602</v>
      </c>
      <c r="F2251" s="5" t="inlineStr">
        <is>
          <t>337355-1</t>
        </is>
      </c>
      <c r="G2251" s="5" t="inlineStr">
        <is>
          <t>BRL</t>
        </is>
      </c>
      <c r="H2251" s="9" t="n">
        <v>-13283.54</v>
      </c>
      <c r="I2251" s="16" t="n">
        <v>46231</v>
      </c>
      <c r="J2251" s="16" t="n">
        <v>46300</v>
      </c>
      <c r="K2251" s="5" t="inlineStr">
        <is>
          <t>Fatura - bruto RAK LOG TRANSPORTES E LOGISTICA EIR</t>
        </is>
      </c>
      <c r="L2251" s="5" t="inlineStr">
        <is>
          <t>05102026</t>
        </is>
      </c>
      <c r="M2251" s="5">
        <f>IF(YEAR(I2251)&lt;=2020,"Até 2020",TEXT(YEAR(I2251),"0"))</f>
        <v/>
      </c>
      <c r="N2251" s="5">
        <f>IFERROR(INDEX(DePara!$A:$A,MATCH(TEXT(B2251,"0"),DePara!$D:$D,0)),"(sem categoria)")</f>
        <v/>
      </c>
      <c r="O2251" s="5">
        <f>IF(J2251="","",Parametros!$B$6-J2251)</f>
        <v/>
      </c>
      <c r="P2251" s="5">
        <f>IF(O2251="","",IF(O2251&gt;0,1,0))</f>
        <v/>
      </c>
    </row>
    <row r="2252">
      <c r="A2252" s="5" t="n">
        <v>2111000000</v>
      </c>
      <c r="B2252" s="5" t="inlineStr">
        <is>
          <t>100379</t>
        </is>
      </c>
      <c r="C2252" s="5" t="inlineStr">
        <is>
          <t>RAK LOG TRANSPORTES E LOGISTICA EIR</t>
        </is>
      </c>
      <c r="D2252" s="5" t="inlineStr">
        <is>
          <t>RE</t>
        </is>
      </c>
      <c r="E2252" s="5" t="n">
        <v>5014603</v>
      </c>
      <c r="F2252" s="5" t="inlineStr">
        <is>
          <t>337384-1</t>
        </is>
      </c>
      <c r="G2252" s="5" t="inlineStr">
        <is>
          <t>BRL</t>
        </is>
      </c>
      <c r="H2252" s="9" t="n">
        <v>-13141.57</v>
      </c>
      <c r="I2252" s="16" t="n">
        <v>46231</v>
      </c>
      <c r="J2252" s="16" t="n">
        <v>46300</v>
      </c>
      <c r="K2252" s="5" t="inlineStr">
        <is>
          <t>Fatura - bruto RAK LOG TRANSPORTES E LOGISTICA EIR</t>
        </is>
      </c>
      <c r="L2252" s="5" t="inlineStr">
        <is>
          <t>05102026</t>
        </is>
      </c>
      <c r="M2252" s="5">
        <f>IF(YEAR(I2252)&lt;=2020,"Até 2020",TEXT(YEAR(I2252),"0"))</f>
        <v/>
      </c>
      <c r="N2252" s="5">
        <f>IFERROR(INDEX(DePara!$A:$A,MATCH(TEXT(B2252,"0"),DePara!$D:$D,0)),"(sem categoria)")</f>
        <v/>
      </c>
      <c r="O2252" s="5">
        <f>IF(J2252="","",Parametros!$B$6-J2252)</f>
        <v/>
      </c>
      <c r="P2252" s="5">
        <f>IF(O2252="","",IF(O2252&gt;0,1,0))</f>
        <v/>
      </c>
    </row>
    <row r="2253">
      <c r="A2253" s="5" t="n">
        <v>2111000000</v>
      </c>
      <c r="B2253" s="5" t="inlineStr">
        <is>
          <t>101463</t>
        </is>
      </c>
      <c r="C2253" s="5" t="inlineStr">
        <is>
          <t>ZURICH MINAS BRASIL SEGUROS S A</t>
        </is>
      </c>
      <c r="D2253" s="5" t="inlineStr">
        <is>
          <t>RE</t>
        </is>
      </c>
      <c r="E2253" s="5" t="n">
        <v>5014604</v>
      </c>
      <c r="F2253" s="5" t="inlineStr">
        <is>
          <t>0467/26</t>
        </is>
      </c>
      <c r="G2253" s="5" t="inlineStr">
        <is>
          <t>BRL</t>
        </is>
      </c>
      <c r="H2253" s="9" t="n">
        <v>-34.68</v>
      </c>
      <c r="I2253" s="16" t="n">
        <v>46241</v>
      </c>
      <c r="J2253" s="16" t="n">
        <v>46271</v>
      </c>
      <c r="K2253" s="5" t="inlineStr">
        <is>
          <t>Invoice Payment. SP: 21160</t>
        </is>
      </c>
      <c r="L2253" s="5" t="inlineStr">
        <is>
          <t>0467/26</t>
        </is>
      </c>
      <c r="M2253" s="5">
        <f>IF(YEAR(I2253)&lt;=2020,"Até 2020",TEXT(YEAR(I2253),"0"))</f>
        <v/>
      </c>
      <c r="N2253" s="5">
        <f>IFERROR(INDEX(DePara!$A:$A,MATCH(TEXT(B2253,"0"),DePara!$D:$D,0)),"(sem categoria)")</f>
        <v/>
      </c>
      <c r="O2253" s="5">
        <f>IF(J2253="","",Parametros!$B$6-J2253)</f>
        <v/>
      </c>
      <c r="P2253" s="5">
        <f>IF(O2253="","",IF(O2253&gt;0,1,0))</f>
        <v/>
      </c>
    </row>
    <row r="2254">
      <c r="A2254" s="5" t="n">
        <v>2111000000</v>
      </c>
      <c r="B2254" s="5" t="inlineStr">
        <is>
          <t>100379</t>
        </is>
      </c>
      <c r="C2254" s="5" t="inlineStr">
        <is>
          <t>RAK LOG TRANSPORTES E LOGISTICA EIR</t>
        </is>
      </c>
      <c r="D2254" s="5" t="inlineStr">
        <is>
          <t>RE</t>
        </is>
      </c>
      <c r="E2254" s="5" t="n">
        <v>5014605</v>
      </c>
      <c r="F2254" s="5" t="inlineStr">
        <is>
          <t>337386-1</t>
        </is>
      </c>
      <c r="G2254" s="5" t="inlineStr">
        <is>
          <t>BRL</t>
        </is>
      </c>
      <c r="H2254" s="9" t="n">
        <v>-12994.87</v>
      </c>
      <c r="I2254" s="16" t="n">
        <v>46231</v>
      </c>
      <c r="J2254" s="16" t="n">
        <v>46300</v>
      </c>
      <c r="K2254" s="5" t="inlineStr">
        <is>
          <t>Fatura - bruto RAK LOG TRANSPORTES E LOGISTICA EIR</t>
        </is>
      </c>
      <c r="L2254" s="5" t="inlineStr">
        <is>
          <t>05102026</t>
        </is>
      </c>
      <c r="M2254" s="5">
        <f>IF(YEAR(I2254)&lt;=2020,"Até 2020",TEXT(YEAR(I2254),"0"))</f>
        <v/>
      </c>
      <c r="N2254" s="5">
        <f>IFERROR(INDEX(DePara!$A:$A,MATCH(TEXT(B2254,"0"),DePara!$D:$D,0)),"(sem categoria)")</f>
        <v/>
      </c>
      <c r="O2254" s="5">
        <f>IF(J2254="","",Parametros!$B$6-J2254)</f>
        <v/>
      </c>
      <c r="P2254" s="5">
        <f>IF(O2254="","",IF(O2254&gt;0,1,0))</f>
        <v/>
      </c>
    </row>
    <row r="2255">
      <c r="A2255" s="5" t="n">
        <v>2111000000</v>
      </c>
      <c r="B2255" s="5" t="inlineStr">
        <is>
          <t>100379</t>
        </is>
      </c>
      <c r="C2255" s="5" t="inlineStr">
        <is>
          <t>RAK LOG TRANSPORTES E LOGISTICA EIR</t>
        </is>
      </c>
      <c r="D2255" s="5" t="inlineStr">
        <is>
          <t>RE</t>
        </is>
      </c>
      <c r="E2255" s="5" t="n">
        <v>5014606</v>
      </c>
      <c r="F2255" s="5" t="inlineStr">
        <is>
          <t>337493-1</t>
        </is>
      </c>
      <c r="G2255" s="5" t="inlineStr">
        <is>
          <t>BRL</t>
        </is>
      </c>
      <c r="H2255" s="9" t="n">
        <v>-12923.67</v>
      </c>
      <c r="I2255" s="16" t="n">
        <v>46232</v>
      </c>
      <c r="J2255" s="16" t="n">
        <v>46300</v>
      </c>
      <c r="K2255" s="5" t="inlineStr">
        <is>
          <t>Fatura - bruto RAK LOG TRANSPORTES E LOGISTICA EIR</t>
        </is>
      </c>
      <c r="L2255" s="5" t="inlineStr">
        <is>
          <t>05102026</t>
        </is>
      </c>
      <c r="M2255" s="5">
        <f>IF(YEAR(I2255)&lt;=2020,"Até 2020",TEXT(YEAR(I2255),"0"))</f>
        <v/>
      </c>
      <c r="N2255" s="5">
        <f>IFERROR(INDEX(DePara!$A:$A,MATCH(TEXT(B2255,"0"),DePara!$D:$D,0)),"(sem categoria)")</f>
        <v/>
      </c>
      <c r="O2255" s="5">
        <f>IF(J2255="","",Parametros!$B$6-J2255)</f>
        <v/>
      </c>
      <c r="P2255" s="5">
        <f>IF(O2255="","",IF(O2255&gt;0,1,0))</f>
        <v/>
      </c>
    </row>
    <row r="2256">
      <c r="A2256" s="5" t="n">
        <v>2111000000</v>
      </c>
      <c r="B2256" s="5" t="inlineStr">
        <is>
          <t>100379</t>
        </is>
      </c>
      <c r="C2256" s="5" t="inlineStr">
        <is>
          <t>RAK LOG TRANSPORTES E LOGISTICA EIR</t>
        </is>
      </c>
      <c r="D2256" s="5" t="inlineStr">
        <is>
          <t>RE</t>
        </is>
      </c>
      <c r="E2256" s="5" t="n">
        <v>5014607</v>
      </c>
      <c r="F2256" s="5" t="inlineStr">
        <is>
          <t>337495-1</t>
        </is>
      </c>
      <c r="G2256" s="5" t="inlineStr">
        <is>
          <t>BRL</t>
        </is>
      </c>
      <c r="H2256" s="9" t="n">
        <v>-12923.67</v>
      </c>
      <c r="I2256" s="16" t="n">
        <v>46232</v>
      </c>
      <c r="J2256" s="16" t="n">
        <v>46300</v>
      </c>
      <c r="K2256" s="5" t="inlineStr">
        <is>
          <t>Fatura - bruto RAK LOG TRANSPORTES E LOGISTICA EIR</t>
        </is>
      </c>
      <c r="L2256" s="5" t="inlineStr">
        <is>
          <t>05102026</t>
        </is>
      </c>
      <c r="M2256" s="5">
        <f>IF(YEAR(I2256)&lt;=2020,"Até 2020",TEXT(YEAR(I2256),"0"))</f>
        <v/>
      </c>
      <c r="N2256" s="5">
        <f>IFERROR(INDEX(DePara!$A:$A,MATCH(TEXT(B2256,"0"),DePara!$D:$D,0)),"(sem categoria)")</f>
        <v/>
      </c>
      <c r="O2256" s="5">
        <f>IF(J2256="","",Parametros!$B$6-J2256)</f>
        <v/>
      </c>
      <c r="P2256" s="5">
        <f>IF(O2256="","",IF(O2256&gt;0,1,0))</f>
        <v/>
      </c>
    </row>
    <row r="2257">
      <c r="A2257" s="5" t="n">
        <v>2111000000</v>
      </c>
      <c r="B2257" s="5" t="inlineStr">
        <is>
          <t>101463</t>
        </is>
      </c>
      <c r="C2257" s="5" t="inlineStr">
        <is>
          <t>ZURICH MINAS BRASIL SEGUROS S A</t>
        </is>
      </c>
      <c r="D2257" s="5" t="inlineStr">
        <is>
          <t>RE</t>
        </is>
      </c>
      <c r="E2257" s="5" t="n">
        <v>5014612</v>
      </c>
      <c r="F2257" s="5" t="inlineStr">
        <is>
          <t>0472/26</t>
        </is>
      </c>
      <c r="G2257" s="5" t="inlineStr">
        <is>
          <t>BRL</t>
        </is>
      </c>
      <c r="H2257" s="9" t="n">
        <v>-223.54</v>
      </c>
      <c r="I2257" s="16" t="n">
        <v>46241</v>
      </c>
      <c r="J2257" s="16" t="n">
        <v>46271</v>
      </c>
      <c r="K2257" s="5" t="inlineStr">
        <is>
          <t>Invoice Payment. SP: 21163</t>
        </is>
      </c>
      <c r="L2257" s="5" t="inlineStr">
        <is>
          <t>0472/26</t>
        </is>
      </c>
      <c r="M2257" s="5">
        <f>IF(YEAR(I2257)&lt;=2020,"Até 2020",TEXT(YEAR(I2257),"0"))</f>
        <v/>
      </c>
      <c r="N2257" s="5">
        <f>IFERROR(INDEX(DePara!$A:$A,MATCH(TEXT(B2257,"0"),DePara!$D:$D,0)),"(sem categoria)")</f>
        <v/>
      </c>
      <c r="O2257" s="5">
        <f>IF(J2257="","",Parametros!$B$6-J2257)</f>
        <v/>
      </c>
      <c r="P2257" s="5">
        <f>IF(O2257="","",IF(O2257&gt;0,1,0))</f>
        <v/>
      </c>
    </row>
    <row r="2258">
      <c r="A2258" s="5" t="n">
        <v>2111000000</v>
      </c>
      <c r="B2258" s="5" t="inlineStr">
        <is>
          <t>101463</t>
        </is>
      </c>
      <c r="C2258" s="5" t="inlineStr">
        <is>
          <t>ZURICH MINAS BRASIL SEGUROS S A</t>
        </is>
      </c>
      <c r="D2258" s="5" t="inlineStr">
        <is>
          <t>RE</t>
        </is>
      </c>
      <c r="E2258" s="5" t="n">
        <v>5014626</v>
      </c>
      <c r="F2258" s="5" t="inlineStr">
        <is>
          <t>0340/26</t>
        </is>
      </c>
      <c r="G2258" s="5" t="inlineStr">
        <is>
          <t>BRL</t>
        </is>
      </c>
      <c r="H2258" s="9" t="n">
        <v>-638.51</v>
      </c>
      <c r="I2258" s="16" t="n">
        <v>46241</v>
      </c>
      <c r="J2258" s="16" t="n">
        <v>46271</v>
      </c>
      <c r="K2258" s="5" t="inlineStr">
        <is>
          <t>Invoice Payment. SP: 21167</t>
        </is>
      </c>
      <c r="L2258" s="5" t="inlineStr">
        <is>
          <t>0340/26</t>
        </is>
      </c>
      <c r="M2258" s="5">
        <f>IF(YEAR(I2258)&lt;=2020,"Até 2020",TEXT(YEAR(I2258),"0"))</f>
        <v/>
      </c>
      <c r="N2258" s="5">
        <f>IFERROR(INDEX(DePara!$A:$A,MATCH(TEXT(B2258,"0"),DePara!$D:$D,0)),"(sem categoria)")</f>
        <v/>
      </c>
      <c r="O2258" s="5">
        <f>IF(J2258="","",Parametros!$B$6-J2258)</f>
        <v/>
      </c>
      <c r="P2258" s="5">
        <f>IF(O2258="","",IF(O2258&gt;0,1,0))</f>
        <v/>
      </c>
    </row>
    <row r="2259">
      <c r="A2259" s="5" t="n">
        <v>2111000000</v>
      </c>
      <c r="B2259" s="5" t="inlineStr">
        <is>
          <t>107720</t>
        </is>
      </c>
      <c r="C2259" s="5" t="inlineStr">
        <is>
          <t>DAYCOVAL LEASING SOCIEDADE DE ARRENDAMENTO MERCANTIL S.A</t>
        </is>
      </c>
      <c r="D2259" s="5" t="inlineStr">
        <is>
          <t>RE</t>
        </is>
      </c>
      <c r="E2259" s="5" t="n">
        <v>5014628</v>
      </c>
      <c r="F2259" s="5" t="inlineStr">
        <is>
          <t>997039</t>
        </is>
      </c>
      <c r="G2259" s="5" t="inlineStr">
        <is>
          <t>BRL</t>
        </is>
      </c>
      <c r="H2259" s="9" t="n">
        <v>-3325.26</v>
      </c>
      <c r="I2259" s="16" t="n">
        <v>46232</v>
      </c>
      <c r="J2259" s="16" t="n">
        <v>46291</v>
      </c>
      <c r="K2259" s="5" t="inlineStr">
        <is>
          <t>Fatura - bruto DAYCOVAL LEASING SOCIEDADE DE ARREN</t>
        </is>
      </c>
      <c r="L2259" s="5" t="inlineStr">
        <is>
          <t>23092026</t>
        </is>
      </c>
      <c r="M2259" s="5">
        <f>IF(YEAR(I2259)&lt;=2020,"Até 2020",TEXT(YEAR(I2259),"0"))</f>
        <v/>
      </c>
      <c r="N2259" s="5">
        <f>IFERROR(INDEX(DePara!$A:$A,MATCH(TEXT(B2259,"0"),DePara!$D:$D,0)),"(sem categoria)")</f>
        <v/>
      </c>
      <c r="O2259" s="5">
        <f>IF(J2259="","",Parametros!$B$6-J2259)</f>
        <v/>
      </c>
      <c r="P2259" s="5">
        <f>IF(O2259="","",IF(O2259&gt;0,1,0))</f>
        <v/>
      </c>
    </row>
    <row r="2260">
      <c r="A2260" s="5" t="n">
        <v>2111000000</v>
      </c>
      <c r="B2260" s="5" t="inlineStr">
        <is>
          <t>107720</t>
        </is>
      </c>
      <c r="C2260" s="5" t="inlineStr">
        <is>
          <t>DAYCOVAL LEASING SOCIEDADE DE ARRENDAMENTO MERCANTIL S.A</t>
        </is>
      </c>
      <c r="D2260" s="5" t="inlineStr">
        <is>
          <t>RE</t>
        </is>
      </c>
      <c r="E2260" s="5" t="n">
        <v>5014629</v>
      </c>
      <c r="F2260" s="5" t="inlineStr">
        <is>
          <t>806064</t>
        </is>
      </c>
      <c r="G2260" s="5" t="inlineStr">
        <is>
          <t>BRL</t>
        </is>
      </c>
      <c r="H2260" s="9" t="n">
        <v>-1421.2</v>
      </c>
      <c r="I2260" s="16" t="n">
        <v>46230</v>
      </c>
      <c r="J2260" s="16" t="n">
        <v>46289</v>
      </c>
      <c r="K2260" s="5" t="inlineStr">
        <is>
          <t>Fatura - bruto DAYCOVAL LEASING SOCIEDADE DE ARREN</t>
        </is>
      </c>
      <c r="L2260" s="5" t="inlineStr">
        <is>
          <t>23092026</t>
        </is>
      </c>
      <c r="M2260" s="5">
        <f>IF(YEAR(I2260)&lt;=2020,"Até 2020",TEXT(YEAR(I2260),"0"))</f>
        <v/>
      </c>
      <c r="N2260" s="5">
        <f>IFERROR(INDEX(DePara!$A:$A,MATCH(TEXT(B2260,"0"),DePara!$D:$D,0)),"(sem categoria)")</f>
        <v/>
      </c>
      <c r="O2260" s="5">
        <f>IF(J2260="","",Parametros!$B$6-J2260)</f>
        <v/>
      </c>
      <c r="P2260" s="5">
        <f>IF(O2260="","",IF(O2260&gt;0,1,0))</f>
        <v/>
      </c>
    </row>
    <row r="2261">
      <c r="A2261" s="5" t="n">
        <v>2111000000</v>
      </c>
      <c r="B2261" s="5" t="inlineStr">
        <is>
          <t>101435</t>
        </is>
      </c>
      <c r="C2261" s="5" t="inlineStr">
        <is>
          <t>DAYCOVAL LEASING BANCO MULTIPLO S A</t>
        </is>
      </c>
      <c r="D2261" s="5" t="inlineStr">
        <is>
          <t>RE</t>
        </is>
      </c>
      <c r="E2261" s="5" t="n">
        <v>5014630</v>
      </c>
      <c r="F2261" s="5" t="inlineStr">
        <is>
          <t>060055</t>
        </is>
      </c>
      <c r="G2261" s="5" t="inlineStr">
        <is>
          <t>BRL</t>
        </is>
      </c>
      <c r="H2261" s="9" t="n">
        <v>-3678.2</v>
      </c>
      <c r="I2261" s="16" t="n">
        <v>46223</v>
      </c>
      <c r="J2261" s="16" t="n">
        <v>46283</v>
      </c>
      <c r="K2261" s="5" t="inlineStr">
        <is>
          <t>*23792374039620100000508000429103415730000367820</t>
        </is>
      </c>
      <c r="L2261" s="5" t="inlineStr">
        <is>
          <t>16092026</t>
        </is>
      </c>
      <c r="M2261" s="5">
        <f>IF(YEAR(I2261)&lt;=2020,"Até 2020",TEXT(YEAR(I2261),"0"))</f>
        <v/>
      </c>
      <c r="N2261" s="5">
        <f>IFERROR(INDEX(DePara!$A:$A,MATCH(TEXT(B2261,"0"),DePara!$D:$D,0)),"(sem categoria)")</f>
        <v/>
      </c>
      <c r="O2261" s="5">
        <f>IF(J2261="","",Parametros!$B$6-J2261)</f>
        <v/>
      </c>
      <c r="P2261" s="5">
        <f>IF(O2261="","",IF(O2261&gt;0,1,0))</f>
        <v/>
      </c>
    </row>
    <row r="2262">
      <c r="A2262" s="5" t="n">
        <v>2111000000</v>
      </c>
      <c r="B2262" s="5" t="inlineStr">
        <is>
          <t>101435</t>
        </is>
      </c>
      <c r="C2262" s="5" t="inlineStr">
        <is>
          <t>DAYCOVAL LEASING BANCO MULTIPLO S A</t>
        </is>
      </c>
      <c r="D2262" s="5" t="inlineStr">
        <is>
          <t>RE</t>
        </is>
      </c>
      <c r="E2262" s="5" t="n">
        <v>5014631</v>
      </c>
      <c r="F2262" s="5" t="inlineStr">
        <is>
          <t>651082</t>
        </is>
      </c>
      <c r="G2262" s="5" t="inlineStr">
        <is>
          <t>BRL</t>
        </is>
      </c>
      <c r="H2262" s="9" t="n">
        <v>-359.67</v>
      </c>
      <c r="I2262" s="16" t="n">
        <v>46223</v>
      </c>
      <c r="J2262" s="16" t="n">
        <v>46283</v>
      </c>
      <c r="K2262" s="5" t="inlineStr">
        <is>
          <t>*23792374039620100000507000429105115730000035967</t>
        </is>
      </c>
      <c r="L2262" s="5" t="inlineStr">
        <is>
          <t>16092026</t>
        </is>
      </c>
      <c r="M2262" s="5">
        <f>IF(YEAR(I2262)&lt;=2020,"Até 2020",TEXT(YEAR(I2262),"0"))</f>
        <v/>
      </c>
      <c r="N2262" s="5">
        <f>IFERROR(INDEX(DePara!$A:$A,MATCH(TEXT(B2262,"0"),DePara!$D:$D,0)),"(sem categoria)")</f>
        <v/>
      </c>
      <c r="O2262" s="5">
        <f>IF(J2262="","",Parametros!$B$6-J2262)</f>
        <v/>
      </c>
      <c r="P2262" s="5">
        <f>IF(O2262="","",IF(O2262&gt;0,1,0))</f>
        <v/>
      </c>
    </row>
    <row r="2263">
      <c r="A2263" s="5" t="n">
        <v>2111000000</v>
      </c>
      <c r="B2263" s="5" t="inlineStr">
        <is>
          <t>107720</t>
        </is>
      </c>
      <c r="C2263" s="5" t="inlineStr">
        <is>
          <t>DAYCOVAL LEASING SOCIEDADE DE ARRENDAMENTO MERCANTIL S.A</t>
        </is>
      </c>
      <c r="D2263" s="5" t="inlineStr">
        <is>
          <t>RE</t>
        </is>
      </c>
      <c r="E2263" s="5" t="n">
        <v>5014632</v>
      </c>
      <c r="F2263" s="5" t="inlineStr">
        <is>
          <t>984086</t>
        </is>
      </c>
      <c r="G2263" s="5" t="inlineStr">
        <is>
          <t>BRL</t>
        </is>
      </c>
      <c r="H2263" s="9" t="n">
        <v>-639.95</v>
      </c>
      <c r="I2263" s="16" t="n">
        <v>46232</v>
      </c>
      <c r="J2263" s="16" t="n">
        <v>46291</v>
      </c>
      <c r="K2263" s="5" t="inlineStr">
        <is>
          <t>Fatura - bruto DAYCOVAL LEASING SOCIEDADE DE ARREN</t>
        </is>
      </c>
      <c r="L2263" s="5" t="inlineStr">
        <is>
          <t>23092026</t>
        </is>
      </c>
      <c r="M2263" s="5">
        <f>IF(YEAR(I2263)&lt;=2020,"Até 2020",TEXT(YEAR(I2263),"0"))</f>
        <v/>
      </c>
      <c r="N2263" s="5">
        <f>IFERROR(INDEX(DePara!$A:$A,MATCH(TEXT(B2263,"0"),DePara!$D:$D,0)),"(sem categoria)")</f>
        <v/>
      </c>
      <c r="O2263" s="5">
        <f>IF(J2263="","",Parametros!$B$6-J2263)</f>
        <v/>
      </c>
      <c r="P2263" s="5">
        <f>IF(O2263="","",IF(O2263&gt;0,1,0))</f>
        <v/>
      </c>
    </row>
    <row r="2264">
      <c r="A2264" s="5" t="n">
        <v>2111000000</v>
      </c>
      <c r="B2264" s="5" t="inlineStr">
        <is>
          <t>101435</t>
        </is>
      </c>
      <c r="C2264" s="5" t="inlineStr">
        <is>
          <t>DAYCOVAL LEASING BANCO MULTIPLO S A</t>
        </is>
      </c>
      <c r="D2264" s="5" t="inlineStr">
        <is>
          <t>RE</t>
        </is>
      </c>
      <c r="E2264" s="5" t="n">
        <v>5014633</v>
      </c>
      <c r="F2264" s="5" t="inlineStr">
        <is>
          <t>568059</t>
        </is>
      </c>
      <c r="G2264" s="5" t="inlineStr">
        <is>
          <t>BRL</t>
        </is>
      </c>
      <c r="H2264" s="9" t="n">
        <v>-1070.29</v>
      </c>
      <c r="I2264" s="16" t="n">
        <v>46239</v>
      </c>
      <c r="J2264" s="16" t="n">
        <v>46294</v>
      </c>
      <c r="K2264" s="5" t="inlineStr">
        <is>
          <t>Fatura - bruto DAYCOVAL LEASING BANCO MULTIPLO S A</t>
        </is>
      </c>
      <c r="L2264" s="5" t="inlineStr">
        <is>
          <t>23092026</t>
        </is>
      </c>
      <c r="M2264" s="5">
        <f>IF(YEAR(I2264)&lt;=2020,"Até 2020",TEXT(YEAR(I2264),"0"))</f>
        <v/>
      </c>
      <c r="N2264" s="5">
        <f>IFERROR(INDEX(DePara!$A:$A,MATCH(TEXT(B2264,"0"),DePara!$D:$D,0)),"(sem categoria)")</f>
        <v/>
      </c>
      <c r="O2264" s="5">
        <f>IF(J2264="","",Parametros!$B$6-J2264)</f>
        <v/>
      </c>
      <c r="P2264" s="5">
        <f>IF(O2264="","",IF(O2264&gt;0,1,0))</f>
        <v/>
      </c>
    </row>
    <row r="2265">
      <c r="A2265" s="5" t="n">
        <v>2111000000</v>
      </c>
      <c r="B2265" s="5" t="inlineStr">
        <is>
          <t>101463</t>
        </is>
      </c>
      <c r="C2265" s="5" t="inlineStr">
        <is>
          <t>ZURICH MINAS BRASIL SEGUROS S A</t>
        </is>
      </c>
      <c r="D2265" s="5" t="inlineStr">
        <is>
          <t>RE</t>
        </is>
      </c>
      <c r="E2265" s="5" t="n">
        <v>5014634</v>
      </c>
      <c r="F2265" s="5" t="inlineStr">
        <is>
          <t>0457/26</t>
        </is>
      </c>
      <c r="G2265" s="5" t="inlineStr">
        <is>
          <t>BRL</t>
        </is>
      </c>
      <c r="H2265" s="9" t="n">
        <v>-15.12</v>
      </c>
      <c r="I2265" s="16" t="n">
        <v>46241</v>
      </c>
      <c r="J2265" s="16" t="n">
        <v>46271</v>
      </c>
      <c r="K2265" s="5" t="inlineStr">
        <is>
          <t>Invoice Payment. SP: 21169</t>
        </is>
      </c>
      <c r="L2265" s="5" t="inlineStr">
        <is>
          <t>0457/26</t>
        </is>
      </c>
      <c r="M2265" s="5">
        <f>IF(YEAR(I2265)&lt;=2020,"Até 2020",TEXT(YEAR(I2265),"0"))</f>
        <v/>
      </c>
      <c r="N2265" s="5">
        <f>IFERROR(INDEX(DePara!$A:$A,MATCH(TEXT(B2265,"0"),DePara!$D:$D,0)),"(sem categoria)")</f>
        <v/>
      </c>
      <c r="O2265" s="5">
        <f>IF(J2265="","",Parametros!$B$6-J2265)</f>
        <v/>
      </c>
      <c r="P2265" s="5">
        <f>IF(O2265="","",IF(O2265&gt;0,1,0))</f>
        <v/>
      </c>
    </row>
    <row r="2266">
      <c r="A2266" s="5" t="n">
        <v>2111000000</v>
      </c>
      <c r="B2266" s="5" t="inlineStr">
        <is>
          <t>100746</t>
        </is>
      </c>
      <c r="C2266" s="5" t="inlineStr">
        <is>
          <t>PAPERCLEAN DISTRIBUIDORA LTDA ME</t>
        </is>
      </c>
      <c r="D2266" s="5" t="inlineStr">
        <is>
          <t>RE</t>
        </is>
      </c>
      <c r="E2266" s="5" t="n">
        <v>5014637</v>
      </c>
      <c r="F2266" s="5" t="inlineStr">
        <is>
          <t>000031329-1</t>
        </is>
      </c>
      <c r="G2266" s="5" t="inlineStr">
        <is>
          <t>BRL</t>
        </is>
      </c>
      <c r="H2266" s="9" t="n">
        <v>-2557.75</v>
      </c>
      <c r="I2266" s="16" t="n">
        <v>46237</v>
      </c>
      <c r="J2266" s="16" t="n">
        <v>46270</v>
      </c>
      <c r="K2266" s="5" t="inlineStr">
        <is>
          <t>Fatura - bruto PAPERCLEAN DISTRIBUIDORA LTDA ME 00</t>
        </is>
      </c>
      <c r="L2266" s="5" t="inlineStr">
        <is>
          <t>08092026</t>
        </is>
      </c>
      <c r="M2266" s="5">
        <f>IF(YEAR(I2266)&lt;=2020,"Até 2020",TEXT(YEAR(I2266),"0"))</f>
        <v/>
      </c>
      <c r="N2266" s="5">
        <f>IFERROR(INDEX(DePara!$A:$A,MATCH(TEXT(B2266,"0"),DePara!$D:$D,0)),"(sem categoria)")</f>
        <v/>
      </c>
      <c r="O2266" s="5">
        <f>IF(J2266="","",Parametros!$B$6-J2266)</f>
        <v/>
      </c>
      <c r="P2266" s="5">
        <f>IF(O2266="","",IF(O2266&gt;0,1,0))</f>
        <v/>
      </c>
    </row>
    <row r="2267">
      <c r="A2267" s="5" t="n">
        <v>2111000000</v>
      </c>
      <c r="B2267" s="5" t="inlineStr">
        <is>
          <t>101135</t>
        </is>
      </c>
      <c r="C2267" s="5" t="inlineStr">
        <is>
          <t>IDEAL WORK UNIFORMES E E.P.I.S LTDA</t>
        </is>
      </c>
      <c r="D2267" s="5" t="inlineStr">
        <is>
          <t>RE</t>
        </is>
      </c>
      <c r="E2267" s="5" t="n">
        <v>5014638</v>
      </c>
      <c r="F2267" s="5" t="inlineStr">
        <is>
          <t>000092234-2</t>
        </is>
      </c>
      <c r="G2267" s="5" t="inlineStr">
        <is>
          <t>BRL</t>
        </is>
      </c>
      <c r="H2267" s="9" t="n">
        <v>-7878</v>
      </c>
      <c r="I2267" s="16" t="n">
        <v>46227</v>
      </c>
      <c r="J2267" s="16" t="n">
        <v>46270</v>
      </c>
      <c r="K2267" s="5" t="inlineStr">
        <is>
          <t>Fatura - bruto IDEAL WORK UNIFORMES E E.P.I.S LTDA</t>
        </is>
      </c>
      <c r="L2267" s="5" t="inlineStr">
        <is>
          <t>08092026</t>
        </is>
      </c>
      <c r="M2267" s="5">
        <f>IF(YEAR(I2267)&lt;=2020,"Até 2020",TEXT(YEAR(I2267),"0"))</f>
        <v/>
      </c>
      <c r="N2267" s="5">
        <f>IFERROR(INDEX(DePara!$A:$A,MATCH(TEXT(B2267,"0"),DePara!$D:$D,0)),"(sem categoria)")</f>
        <v/>
      </c>
      <c r="O2267" s="5">
        <f>IF(J2267="","",Parametros!$B$6-J2267)</f>
        <v/>
      </c>
      <c r="P2267" s="5">
        <f>IF(O2267="","",IF(O2267&gt;0,1,0))</f>
        <v/>
      </c>
    </row>
    <row r="2268">
      <c r="A2268" s="5" t="n">
        <v>2111000000</v>
      </c>
      <c r="B2268" s="5" t="inlineStr">
        <is>
          <t>101463</t>
        </is>
      </c>
      <c r="C2268" s="5" t="inlineStr">
        <is>
          <t>ZURICH MINAS BRASIL SEGUROS S A</t>
        </is>
      </c>
      <c r="D2268" s="5" t="inlineStr">
        <is>
          <t>RE</t>
        </is>
      </c>
      <c r="E2268" s="5" t="n">
        <v>5014643</v>
      </c>
      <c r="F2268" s="5" t="inlineStr">
        <is>
          <t>0233/26</t>
        </is>
      </c>
      <c r="G2268" s="5" t="inlineStr">
        <is>
          <t>BRL</t>
        </is>
      </c>
      <c r="H2268" s="9" t="n">
        <v>-461.51</v>
      </c>
      <c r="I2268" s="16" t="n">
        <v>46241</v>
      </c>
      <c r="J2268" s="16" t="n">
        <v>46271</v>
      </c>
      <c r="K2268" s="5" t="inlineStr">
        <is>
          <t>Invoice Payment. SP: 21175</t>
        </is>
      </c>
      <c r="L2268" s="5" t="inlineStr">
        <is>
          <t>0233/26</t>
        </is>
      </c>
      <c r="M2268" s="5">
        <f>IF(YEAR(I2268)&lt;=2020,"Até 2020",TEXT(YEAR(I2268),"0"))</f>
        <v/>
      </c>
      <c r="N2268" s="5">
        <f>IFERROR(INDEX(DePara!$A:$A,MATCH(TEXT(B2268,"0"),DePara!$D:$D,0)),"(sem categoria)")</f>
        <v/>
      </c>
      <c r="O2268" s="5">
        <f>IF(J2268="","",Parametros!$B$6-J2268)</f>
        <v/>
      </c>
      <c r="P2268" s="5">
        <f>IF(O2268="","",IF(O2268&gt;0,1,0))</f>
        <v/>
      </c>
    </row>
    <row r="2269">
      <c r="A2269" s="5" t="n">
        <v>2111000000</v>
      </c>
      <c r="B2269" s="5" t="inlineStr">
        <is>
          <t>101030</t>
        </is>
      </c>
      <c r="C2269" s="5" t="inlineStr">
        <is>
          <t>ISAAC ALCANTARA SOC INDIV DE ADVOCA</t>
        </is>
      </c>
      <c r="D2269" s="5" t="inlineStr">
        <is>
          <t>RE</t>
        </is>
      </c>
      <c r="E2269" s="5" t="n">
        <v>5014644</v>
      </c>
      <c r="F2269" s="5" t="inlineStr">
        <is>
          <t>70</t>
        </is>
      </c>
      <c r="G2269" s="5" t="inlineStr">
        <is>
          <t>BRL</t>
        </is>
      </c>
      <c r="H2269" s="9" t="n">
        <v>-23113.2</v>
      </c>
      <c r="I2269" s="16" t="n">
        <v>46237</v>
      </c>
      <c r="J2269" s="16" t="n">
        <v>46267</v>
      </c>
      <c r="K2269" s="5" t="inlineStr">
        <is>
          <t>Fatura - bruto ISAAC ALCANTARA SOC INDIV DE ADVOCA</t>
        </is>
      </c>
      <c r="L2269" s="5" t="inlineStr">
        <is>
          <t>02092026</t>
        </is>
      </c>
      <c r="M2269" s="5">
        <f>IF(YEAR(I2269)&lt;=2020,"Até 2020",TEXT(YEAR(I2269),"0"))</f>
        <v/>
      </c>
      <c r="N2269" s="5">
        <f>IFERROR(INDEX(DePara!$A:$A,MATCH(TEXT(B2269,"0"),DePara!$D:$D,0)),"(sem categoria)")</f>
        <v/>
      </c>
      <c r="O2269" s="5">
        <f>IF(J2269="","",Parametros!$B$6-J2269)</f>
        <v/>
      </c>
      <c r="P2269" s="5">
        <f>IF(O2269="","",IF(O2269&gt;0,1,0))</f>
        <v/>
      </c>
    </row>
    <row r="2270">
      <c r="A2270" s="5" t="n">
        <v>2111000000</v>
      </c>
      <c r="B2270" s="5" t="inlineStr">
        <is>
          <t>101030</t>
        </is>
      </c>
      <c r="C2270" s="5" t="inlineStr">
        <is>
          <t>ISAAC ALCANTARA SOC INDIV DE ADVOCA</t>
        </is>
      </c>
      <c r="D2270" s="5" t="inlineStr">
        <is>
          <t>RE</t>
        </is>
      </c>
      <c r="E2270" s="5" t="n">
        <v>5014645</v>
      </c>
      <c r="F2270" s="5" t="inlineStr">
        <is>
          <t>71</t>
        </is>
      </c>
      <c r="G2270" s="5" t="inlineStr">
        <is>
          <t>BRL</t>
        </is>
      </c>
      <c r="H2270" s="9" t="n">
        <v>-1805.12</v>
      </c>
      <c r="I2270" s="16" t="n">
        <v>46237</v>
      </c>
      <c r="J2270" s="16" t="n">
        <v>46267</v>
      </c>
      <c r="K2270" s="5" t="inlineStr">
        <is>
          <t>Fatura - bruto ISAAC ALCANTARA SOC INDIV DE ADVOCA</t>
        </is>
      </c>
      <c r="L2270" s="5" t="inlineStr">
        <is>
          <t>02092026</t>
        </is>
      </c>
      <c r="M2270" s="5">
        <f>IF(YEAR(I2270)&lt;=2020,"Até 2020",TEXT(YEAR(I2270),"0"))</f>
        <v/>
      </c>
      <c r="N2270" s="5">
        <f>IFERROR(INDEX(DePara!$A:$A,MATCH(TEXT(B2270,"0"),DePara!$D:$D,0)),"(sem categoria)")</f>
        <v/>
      </c>
      <c r="O2270" s="5">
        <f>IF(J2270="","",Parametros!$B$6-J2270)</f>
        <v/>
      </c>
      <c r="P2270" s="5">
        <f>IF(O2270="","",IF(O2270&gt;0,1,0))</f>
        <v/>
      </c>
    </row>
    <row r="2271">
      <c r="A2271" s="5" t="n">
        <v>2111000000</v>
      </c>
      <c r="B2271" s="5" t="inlineStr">
        <is>
          <t>101463</t>
        </is>
      </c>
      <c r="C2271" s="5" t="inlineStr">
        <is>
          <t>ZURICH MINAS BRASIL SEGUROS S A</t>
        </is>
      </c>
      <c r="D2271" s="5" t="inlineStr">
        <is>
          <t>RE</t>
        </is>
      </c>
      <c r="E2271" s="5" t="n">
        <v>5014658</v>
      </c>
      <c r="F2271" s="5" t="inlineStr">
        <is>
          <t>0466/26</t>
        </is>
      </c>
      <c r="G2271" s="5" t="inlineStr">
        <is>
          <t>BRL</t>
        </is>
      </c>
      <c r="H2271" s="9" t="n">
        <v>-7.14</v>
      </c>
      <c r="I2271" s="16" t="n">
        <v>46241</v>
      </c>
      <c r="J2271" s="16" t="n">
        <v>46271</v>
      </c>
      <c r="K2271" s="5" t="inlineStr">
        <is>
          <t>Invoice Payment. SP: 21198</t>
        </is>
      </c>
      <c r="L2271" s="5" t="inlineStr">
        <is>
          <t>0466/26</t>
        </is>
      </c>
      <c r="M2271" s="5">
        <f>IF(YEAR(I2271)&lt;=2020,"Até 2020",TEXT(YEAR(I2271),"0"))</f>
        <v/>
      </c>
      <c r="N2271" s="5">
        <f>IFERROR(INDEX(DePara!$A:$A,MATCH(TEXT(B2271,"0"),DePara!$D:$D,0)),"(sem categoria)")</f>
        <v/>
      </c>
      <c r="O2271" s="5">
        <f>IF(J2271="","",Parametros!$B$6-J2271)</f>
        <v/>
      </c>
      <c r="P2271" s="5">
        <f>IF(O2271="","",IF(O2271&gt;0,1,0))</f>
        <v/>
      </c>
    </row>
    <row r="2272">
      <c r="A2272" s="5" t="n">
        <v>2111000000</v>
      </c>
      <c r="B2272" s="5" t="inlineStr">
        <is>
          <t>101463</t>
        </is>
      </c>
      <c r="C2272" s="5" t="inlineStr">
        <is>
          <t>ZURICH MINAS BRASIL SEGUROS S A</t>
        </is>
      </c>
      <c r="D2272" s="5" t="inlineStr">
        <is>
          <t>RE</t>
        </is>
      </c>
      <c r="E2272" s="5" t="n">
        <v>5014660</v>
      </c>
      <c r="F2272" s="5" t="inlineStr">
        <is>
          <t>0383/26</t>
        </is>
      </c>
      <c r="G2272" s="5" t="inlineStr">
        <is>
          <t>BRL</t>
        </is>
      </c>
      <c r="H2272" s="9" t="n">
        <v>-7.67</v>
      </c>
      <c r="I2272" s="16" t="n">
        <v>46241</v>
      </c>
      <c r="J2272" s="16" t="n">
        <v>46271</v>
      </c>
      <c r="K2272" s="5" t="inlineStr">
        <is>
          <t>Invoice Payment. SP: 21200</t>
        </is>
      </c>
      <c r="L2272" s="5" t="inlineStr">
        <is>
          <t>0383/26</t>
        </is>
      </c>
      <c r="M2272" s="5">
        <f>IF(YEAR(I2272)&lt;=2020,"Até 2020",TEXT(YEAR(I2272),"0"))</f>
        <v/>
      </c>
      <c r="N2272" s="5">
        <f>IFERROR(INDEX(DePara!$A:$A,MATCH(TEXT(B2272,"0"),DePara!$D:$D,0)),"(sem categoria)")</f>
        <v/>
      </c>
      <c r="O2272" s="5">
        <f>IF(J2272="","",Parametros!$B$6-J2272)</f>
        <v/>
      </c>
      <c r="P2272" s="5">
        <f>IF(O2272="","",IF(O2272&gt;0,1,0))</f>
        <v/>
      </c>
    </row>
    <row r="2273">
      <c r="A2273" s="5" t="n">
        <v>2111000000</v>
      </c>
      <c r="B2273" s="5" t="inlineStr">
        <is>
          <t>101463</t>
        </is>
      </c>
      <c r="C2273" s="5" t="inlineStr">
        <is>
          <t>ZURICH MINAS BRASIL SEGUROS S A</t>
        </is>
      </c>
      <c r="D2273" s="5" t="inlineStr">
        <is>
          <t>RE</t>
        </is>
      </c>
      <c r="E2273" s="5" t="n">
        <v>5014666</v>
      </c>
      <c r="F2273" s="5" t="inlineStr">
        <is>
          <t>0238/26E</t>
        </is>
      </c>
      <c r="G2273" s="5" t="inlineStr">
        <is>
          <t>BRL</t>
        </is>
      </c>
      <c r="H2273" s="9" t="n">
        <v>-197.3</v>
      </c>
      <c r="I2273" s="16" t="n">
        <v>46241</v>
      </c>
      <c r="J2273" s="16" t="n">
        <v>46241</v>
      </c>
      <c r="K2273" s="5" t="inlineStr">
        <is>
          <t>Invoice Payment. SP: 21201</t>
        </is>
      </c>
      <c r="L2273" s="5" t="inlineStr">
        <is>
          <t>0238/26E</t>
        </is>
      </c>
      <c r="M2273" s="5">
        <f>IF(YEAR(I2273)&lt;=2020,"Até 2020",TEXT(YEAR(I2273),"0"))</f>
        <v/>
      </c>
      <c r="N2273" s="5">
        <f>IFERROR(INDEX(DePara!$A:$A,MATCH(TEXT(B2273,"0"),DePara!$D:$D,0)),"(sem categoria)")</f>
        <v/>
      </c>
      <c r="O2273" s="5">
        <f>IF(J2273="","",Parametros!$B$6-J2273)</f>
        <v/>
      </c>
      <c r="P2273" s="5">
        <f>IF(O2273="","",IF(O2273&gt;0,1,0))</f>
        <v/>
      </c>
    </row>
    <row r="2274">
      <c r="A2274" s="5" t="n">
        <v>2111000000</v>
      </c>
      <c r="B2274" s="5" t="inlineStr">
        <is>
          <t>101846</t>
        </is>
      </c>
      <c r="C2274" s="5" t="inlineStr">
        <is>
          <t>INNOVARE CONTABILIDADE LTDA EPP</t>
        </is>
      </c>
      <c r="D2274" s="5" t="inlineStr">
        <is>
          <t>RE</t>
        </is>
      </c>
      <c r="E2274" s="5" t="n">
        <v>5014667</v>
      </c>
      <c r="F2274" s="5" t="inlineStr">
        <is>
          <t>8156</t>
        </is>
      </c>
      <c r="G2274" s="5" t="inlineStr">
        <is>
          <t>BRL</t>
        </is>
      </c>
      <c r="H2274" s="9" t="n">
        <v>-22889.43</v>
      </c>
      <c r="I2274" s="16" t="n">
        <v>46241</v>
      </c>
      <c r="J2274" s="16" t="n">
        <v>46268</v>
      </c>
      <c r="K2274" s="5" t="inlineStr">
        <is>
          <t>Fatura - bruto INNOVARE CONTABILIDADE LTDA EPP 815</t>
        </is>
      </c>
      <c r="L2274" s="5" t="inlineStr">
        <is>
          <t>02092026</t>
        </is>
      </c>
      <c r="M2274" s="5">
        <f>IF(YEAR(I2274)&lt;=2020,"Até 2020",TEXT(YEAR(I2274),"0"))</f>
        <v/>
      </c>
      <c r="N2274" s="5">
        <f>IFERROR(INDEX(DePara!$A:$A,MATCH(TEXT(B2274,"0"),DePara!$D:$D,0)),"(sem categoria)")</f>
        <v/>
      </c>
      <c r="O2274" s="5">
        <f>IF(J2274="","",Parametros!$B$6-J2274)</f>
        <v/>
      </c>
      <c r="P2274" s="5">
        <f>IF(O2274="","",IF(O2274&gt;0,1,0))</f>
        <v/>
      </c>
    </row>
    <row r="2275">
      <c r="A2275" s="5" t="n">
        <v>2111000000</v>
      </c>
      <c r="B2275" s="5" t="inlineStr">
        <is>
          <t>101846</t>
        </is>
      </c>
      <c r="C2275" s="5" t="inlineStr">
        <is>
          <t>INNOVARE CONTABILIDADE LTDA EPP</t>
        </is>
      </c>
      <c r="D2275" s="5" t="inlineStr">
        <is>
          <t>RE</t>
        </is>
      </c>
      <c r="E2275" s="5" t="n">
        <v>5014668</v>
      </c>
      <c r="F2275" s="5" t="inlineStr">
        <is>
          <t>010</t>
        </is>
      </c>
      <c r="G2275" s="5" t="inlineStr">
        <is>
          <t>BRL</t>
        </is>
      </c>
      <c r="H2275" s="9" t="n">
        <v>-61.1</v>
      </c>
      <c r="I2275" s="16" t="n">
        <v>46241</v>
      </c>
      <c r="J2275" s="16" t="n">
        <v>46268</v>
      </c>
      <c r="K2275" s="5" t="inlineStr">
        <is>
          <t>Fatura - bruto INNOVARE CONTABILIDADE LTDA EPP 010</t>
        </is>
      </c>
      <c r="L2275" s="5" t="inlineStr">
        <is>
          <t>02092026</t>
        </is>
      </c>
      <c r="M2275" s="5">
        <f>IF(YEAR(I2275)&lt;=2020,"Até 2020",TEXT(YEAR(I2275),"0"))</f>
        <v/>
      </c>
      <c r="N2275" s="5">
        <f>IFERROR(INDEX(DePara!$A:$A,MATCH(TEXT(B2275,"0"),DePara!$D:$D,0)),"(sem categoria)")</f>
        <v/>
      </c>
      <c r="O2275" s="5">
        <f>IF(J2275="","",Parametros!$B$6-J2275)</f>
        <v/>
      </c>
      <c r="P2275" s="5">
        <f>IF(O2275="","",IF(O2275&gt;0,1,0))</f>
        <v/>
      </c>
    </row>
    <row r="2276">
      <c r="A2276" s="5" t="n">
        <v>2111000000</v>
      </c>
      <c r="B2276" s="5" t="inlineStr">
        <is>
          <t>103727</t>
        </is>
      </c>
      <c r="C2276" s="5" t="inlineStr">
        <is>
          <t>COMECIAL NGS LTDA</t>
        </is>
      </c>
      <c r="D2276" s="5" t="inlineStr">
        <is>
          <t>RE</t>
        </is>
      </c>
      <c r="E2276" s="5" t="n">
        <v>5014670</v>
      </c>
      <c r="F2276" s="5" t="inlineStr">
        <is>
          <t>000001151-2</t>
        </is>
      </c>
      <c r="G2276" s="5" t="inlineStr">
        <is>
          <t>BRL</t>
        </is>
      </c>
      <c r="H2276" s="9" t="n">
        <v>-6068.35</v>
      </c>
      <c r="I2276" s="16" t="n">
        <v>46226</v>
      </c>
      <c r="J2276" s="16" t="n">
        <v>46270</v>
      </c>
      <c r="K2276" s="5" t="inlineStr">
        <is>
          <t>Fatura - bruto COMECIAL NGS LTDA 000001151-2</t>
        </is>
      </c>
      <c r="L2276" s="5" t="inlineStr">
        <is>
          <t>08092026</t>
        </is>
      </c>
      <c r="M2276" s="5">
        <f>IF(YEAR(I2276)&lt;=2020,"Até 2020",TEXT(YEAR(I2276),"0"))</f>
        <v/>
      </c>
      <c r="N2276" s="5">
        <f>IFERROR(INDEX(DePara!$A:$A,MATCH(TEXT(B2276,"0"),DePara!$D:$D,0)),"(sem categoria)")</f>
        <v/>
      </c>
      <c r="O2276" s="5">
        <f>IF(J2276="","",Parametros!$B$6-J2276)</f>
        <v/>
      </c>
      <c r="P2276" s="5">
        <f>IF(O2276="","",IF(O2276&gt;0,1,0))</f>
        <v/>
      </c>
    </row>
    <row r="2277">
      <c r="A2277" s="5" t="n">
        <v>2111000000</v>
      </c>
      <c r="B2277" s="5" t="inlineStr">
        <is>
          <t>103727</t>
        </is>
      </c>
      <c r="C2277" s="5" t="inlineStr">
        <is>
          <t>COMECIAL NGS LTDA</t>
        </is>
      </c>
      <c r="D2277" s="5" t="inlineStr">
        <is>
          <t>RE</t>
        </is>
      </c>
      <c r="E2277" s="5" t="n">
        <v>5014671</v>
      </c>
      <c r="F2277" s="5" t="inlineStr">
        <is>
          <t>000001163-2</t>
        </is>
      </c>
      <c r="G2277" s="5" t="inlineStr">
        <is>
          <t>BRL</t>
        </is>
      </c>
      <c r="H2277" s="9" t="n">
        <v>-3734.37</v>
      </c>
      <c r="I2277" s="16" t="n">
        <v>46232</v>
      </c>
      <c r="J2277" s="16" t="n">
        <v>46270</v>
      </c>
      <c r="K2277" s="5" t="inlineStr">
        <is>
          <t>Fatura - bruto COMECIAL NGS LTDA 000001163-2</t>
        </is>
      </c>
      <c r="L2277" s="5" t="inlineStr">
        <is>
          <t>08092026</t>
        </is>
      </c>
      <c r="M2277" s="5">
        <f>IF(YEAR(I2277)&lt;=2020,"Até 2020",TEXT(YEAR(I2277),"0"))</f>
        <v/>
      </c>
      <c r="N2277" s="5">
        <f>IFERROR(INDEX(DePara!$A:$A,MATCH(TEXT(B2277,"0"),DePara!$D:$D,0)),"(sem categoria)")</f>
        <v/>
      </c>
      <c r="O2277" s="5">
        <f>IF(J2277="","",Parametros!$B$6-J2277)</f>
        <v/>
      </c>
      <c r="P2277" s="5">
        <f>IF(O2277="","",IF(O2277&gt;0,1,0))</f>
        <v/>
      </c>
    </row>
    <row r="2278">
      <c r="A2278" s="5" t="n">
        <v>2111000000</v>
      </c>
      <c r="B2278" s="5" t="inlineStr">
        <is>
          <t>103727</t>
        </is>
      </c>
      <c r="C2278" s="5" t="inlineStr">
        <is>
          <t>COMECIAL NGS LTDA</t>
        </is>
      </c>
      <c r="D2278" s="5" t="inlineStr">
        <is>
          <t>RE</t>
        </is>
      </c>
      <c r="E2278" s="5" t="n">
        <v>5014672</v>
      </c>
      <c r="F2278" s="5" t="inlineStr">
        <is>
          <t>000001164-2</t>
        </is>
      </c>
      <c r="G2278" s="5" t="inlineStr">
        <is>
          <t>BRL</t>
        </is>
      </c>
      <c r="H2278" s="9" t="n">
        <v>-1867.18</v>
      </c>
      <c r="I2278" s="16" t="n">
        <v>46232</v>
      </c>
      <c r="J2278" s="16" t="n">
        <v>46270</v>
      </c>
      <c r="K2278" s="5" t="inlineStr">
        <is>
          <t>Fatura - bruto COMECIAL NGS LTDA 000001164-2</t>
        </is>
      </c>
      <c r="L2278" s="5" t="inlineStr">
        <is>
          <t>08092026</t>
        </is>
      </c>
      <c r="M2278" s="5">
        <f>IF(YEAR(I2278)&lt;=2020,"Até 2020",TEXT(YEAR(I2278),"0"))</f>
        <v/>
      </c>
      <c r="N2278" s="5">
        <f>IFERROR(INDEX(DePara!$A:$A,MATCH(TEXT(B2278,"0"),DePara!$D:$D,0)),"(sem categoria)")</f>
        <v/>
      </c>
      <c r="O2278" s="5">
        <f>IF(J2278="","",Parametros!$B$6-J2278)</f>
        <v/>
      </c>
      <c r="P2278" s="5">
        <f>IF(O2278="","",IF(O2278&gt;0,1,0))</f>
        <v/>
      </c>
    </row>
    <row r="2279">
      <c r="A2279" s="5" t="n">
        <v>2111000000</v>
      </c>
      <c r="B2279" s="5" t="inlineStr">
        <is>
          <t>101460</t>
        </is>
      </c>
      <c r="C2279" s="5" t="inlineStr">
        <is>
          <t>NS AUTOMACAO E INSTRUMENTAÇAO LTDA</t>
        </is>
      </c>
      <c r="D2279" s="5" t="inlineStr">
        <is>
          <t>RE</t>
        </is>
      </c>
      <c r="E2279" s="5" t="n">
        <v>5014675</v>
      </c>
      <c r="F2279" s="5" t="inlineStr">
        <is>
          <t>000005785-1</t>
        </is>
      </c>
      <c r="G2279" s="5" t="inlineStr">
        <is>
          <t>BRL</t>
        </is>
      </c>
      <c r="H2279" s="9" t="n">
        <v>-19300</v>
      </c>
      <c r="I2279" s="16" t="n">
        <v>46225</v>
      </c>
      <c r="J2279" s="16" t="n">
        <v>46270</v>
      </c>
      <c r="K2279" s="5" t="inlineStr">
        <is>
          <t>Fatura - bruto NS AUTOMACAO E INSTRUMENTAÇAO LTDA</t>
        </is>
      </c>
      <c r="L2279" s="5" t="inlineStr">
        <is>
          <t>08092026</t>
        </is>
      </c>
      <c r="M2279" s="5">
        <f>IF(YEAR(I2279)&lt;=2020,"Até 2020",TEXT(YEAR(I2279),"0"))</f>
        <v/>
      </c>
      <c r="N2279" s="5">
        <f>IFERROR(INDEX(DePara!$A:$A,MATCH(TEXT(B2279,"0"),DePara!$D:$D,0)),"(sem categoria)")</f>
        <v/>
      </c>
      <c r="O2279" s="5">
        <f>IF(J2279="","",Parametros!$B$6-J2279)</f>
        <v/>
      </c>
      <c r="P2279" s="5">
        <f>IF(O2279="","",IF(O2279&gt;0,1,0))</f>
        <v/>
      </c>
    </row>
    <row r="2280">
      <c r="A2280" s="5" t="n">
        <v>2111000000</v>
      </c>
      <c r="B2280" s="5" t="inlineStr">
        <is>
          <t>102017</t>
        </is>
      </c>
      <c r="C2280" s="5" t="inlineStr">
        <is>
          <t>GLOBO COMERCIO DE MAQUINAS E FERRAM</t>
        </is>
      </c>
      <c r="D2280" s="5" t="inlineStr">
        <is>
          <t>RE</t>
        </is>
      </c>
      <c r="E2280" s="5" t="n">
        <v>5014677</v>
      </c>
      <c r="F2280" s="5" t="inlineStr">
        <is>
          <t>000022378-1</t>
        </is>
      </c>
      <c r="G2280" s="5" t="inlineStr">
        <is>
          <t>BRL</t>
        </is>
      </c>
      <c r="H2280" s="9" t="n">
        <v>-22742.85</v>
      </c>
      <c r="I2280" s="16" t="n">
        <v>46217</v>
      </c>
      <c r="J2280" s="16" t="n">
        <v>46270</v>
      </c>
      <c r="K2280" s="5" t="inlineStr">
        <is>
          <t>Fatura - bruto GLOBO COMERCIO DE MAQUINAS E FERRAM</t>
        </is>
      </c>
      <c r="L2280" s="5" t="inlineStr">
        <is>
          <t>09092026</t>
        </is>
      </c>
      <c r="M2280" s="5">
        <f>IF(YEAR(I2280)&lt;=2020,"Até 2020",TEXT(YEAR(I2280),"0"))</f>
        <v/>
      </c>
      <c r="N2280" s="5">
        <f>IFERROR(INDEX(DePara!$A:$A,MATCH(TEXT(B2280,"0"),DePara!$D:$D,0)),"(sem categoria)")</f>
        <v/>
      </c>
      <c r="O2280" s="5">
        <f>IF(J2280="","",Parametros!$B$6-J2280)</f>
        <v/>
      </c>
      <c r="P2280" s="5">
        <f>IF(O2280="","",IF(O2280&gt;0,1,0))</f>
        <v/>
      </c>
    </row>
    <row r="2281">
      <c r="A2281" s="5" t="n">
        <v>2111000000</v>
      </c>
      <c r="B2281" s="5" t="inlineStr">
        <is>
          <t>101929</t>
        </is>
      </c>
      <c r="C2281" s="5" t="inlineStr">
        <is>
          <t>TECNOFIX INDUSTRIA E COMERCIO DE PA</t>
        </is>
      </c>
      <c r="D2281" s="5" t="inlineStr">
        <is>
          <t>RE</t>
        </is>
      </c>
      <c r="E2281" s="5" t="n">
        <v>5014681</v>
      </c>
      <c r="F2281" s="5" t="inlineStr">
        <is>
          <t>000031362-1</t>
        </is>
      </c>
      <c r="G2281" s="5" t="inlineStr">
        <is>
          <t>BRL</t>
        </is>
      </c>
      <c r="H2281" s="9" t="n">
        <v>-4089.39</v>
      </c>
      <c r="I2281" s="16" t="n">
        <v>46223</v>
      </c>
      <c r="J2281" s="16" t="n">
        <v>46300</v>
      </c>
      <c r="K2281" s="5" t="inlineStr">
        <is>
          <t>Fatura - bruto TECNOFIX INDUSTRIA E COMERCIO DE PA</t>
        </is>
      </c>
      <c r="L2281" s="5" t="inlineStr">
        <is>
          <t>05102026</t>
        </is>
      </c>
      <c r="M2281" s="5">
        <f>IF(YEAR(I2281)&lt;=2020,"Até 2020",TEXT(YEAR(I2281),"0"))</f>
        <v/>
      </c>
      <c r="N2281" s="5">
        <f>IFERROR(INDEX(DePara!$A:$A,MATCH(TEXT(B2281,"0"),DePara!$D:$D,0)),"(sem categoria)")</f>
        <v/>
      </c>
      <c r="O2281" s="5">
        <f>IF(J2281="","",Parametros!$B$6-J2281)</f>
        <v/>
      </c>
      <c r="P2281" s="5">
        <f>IF(O2281="","",IF(O2281&gt;0,1,0))</f>
        <v/>
      </c>
    </row>
    <row r="2282">
      <c r="A2282" s="5" t="n">
        <v>2111000000</v>
      </c>
      <c r="B2282" s="5" t="inlineStr">
        <is>
          <t>101929</t>
        </is>
      </c>
      <c r="C2282" s="5" t="inlineStr">
        <is>
          <t>TECNOFIX INDUSTRIA E COMERCIO DE PA</t>
        </is>
      </c>
      <c r="D2282" s="5" t="inlineStr">
        <is>
          <t>RE</t>
        </is>
      </c>
      <c r="E2282" s="5" t="n">
        <v>5014682</v>
      </c>
      <c r="F2282" s="5" t="inlineStr">
        <is>
          <t>000031376-1</t>
        </is>
      </c>
      <c r="G2282" s="5" t="inlineStr">
        <is>
          <t>BRL</t>
        </is>
      </c>
      <c r="H2282" s="9" t="n">
        <v>-17404.83</v>
      </c>
      <c r="I2282" s="16" t="n">
        <v>46227</v>
      </c>
      <c r="J2282" s="16" t="n">
        <v>46300</v>
      </c>
      <c r="K2282" s="5" t="inlineStr">
        <is>
          <t>Fatura - bruto TECNOFIX INDUSTRIA E COMERCIO DE PA</t>
        </is>
      </c>
      <c r="L2282" s="5" t="inlineStr">
        <is>
          <t>05102026</t>
        </is>
      </c>
      <c r="M2282" s="5">
        <f>IF(YEAR(I2282)&lt;=2020,"Até 2020",TEXT(YEAR(I2282),"0"))</f>
        <v/>
      </c>
      <c r="N2282" s="5">
        <f>IFERROR(INDEX(DePara!$A:$A,MATCH(TEXT(B2282,"0"),DePara!$D:$D,0)),"(sem categoria)")</f>
        <v/>
      </c>
      <c r="O2282" s="5">
        <f>IF(J2282="","",Parametros!$B$6-J2282)</f>
        <v/>
      </c>
      <c r="P2282" s="5">
        <f>IF(O2282="","",IF(O2282&gt;0,1,0))</f>
        <v/>
      </c>
    </row>
    <row r="2283">
      <c r="A2283" s="5" t="n">
        <v>2111000000</v>
      </c>
      <c r="B2283" s="5" t="inlineStr">
        <is>
          <t>101929</t>
        </is>
      </c>
      <c r="C2283" s="5" t="inlineStr">
        <is>
          <t>TECNOFIX INDUSTRIA E COMERCIO DE PA</t>
        </is>
      </c>
      <c r="D2283" s="5" t="inlineStr">
        <is>
          <t>RE</t>
        </is>
      </c>
      <c r="E2283" s="5" t="n">
        <v>5014683</v>
      </c>
      <c r="F2283" s="5" t="inlineStr">
        <is>
          <t>000031379-1</t>
        </is>
      </c>
      <c r="G2283" s="5" t="inlineStr">
        <is>
          <t>BRL</t>
        </is>
      </c>
      <c r="H2283" s="9" t="n">
        <v>-42492.38</v>
      </c>
      <c r="I2283" s="16" t="n">
        <v>46227</v>
      </c>
      <c r="J2283" s="16" t="n">
        <v>46300</v>
      </c>
      <c r="K2283" s="5" t="inlineStr">
        <is>
          <t>Fatura - bruto TECNOFIX INDUSTRIA E COMERCIO DE PA</t>
        </is>
      </c>
      <c r="L2283" s="5" t="inlineStr">
        <is>
          <t>05102026</t>
        </is>
      </c>
      <c r="M2283" s="5">
        <f>IF(YEAR(I2283)&lt;=2020,"Até 2020",TEXT(YEAR(I2283),"0"))</f>
        <v/>
      </c>
      <c r="N2283" s="5">
        <f>IFERROR(INDEX(DePara!$A:$A,MATCH(TEXT(B2283,"0"),DePara!$D:$D,0)),"(sem categoria)")</f>
        <v/>
      </c>
      <c r="O2283" s="5">
        <f>IF(J2283="","",Parametros!$B$6-J2283)</f>
        <v/>
      </c>
      <c r="P2283" s="5">
        <f>IF(O2283="","",IF(O2283&gt;0,1,0))</f>
        <v/>
      </c>
    </row>
    <row r="2284">
      <c r="A2284" s="5" t="n">
        <v>2111000000</v>
      </c>
      <c r="B2284" s="5" t="inlineStr">
        <is>
          <t>101929</t>
        </is>
      </c>
      <c r="C2284" s="5" t="inlineStr">
        <is>
          <t>TECNOFIX INDUSTRIA E COMERCIO DE PA</t>
        </is>
      </c>
      <c r="D2284" s="5" t="inlineStr">
        <is>
          <t>RE</t>
        </is>
      </c>
      <c r="E2284" s="5" t="n">
        <v>5014684</v>
      </c>
      <c r="F2284" s="5" t="inlineStr">
        <is>
          <t>000031383-1</t>
        </is>
      </c>
      <c r="G2284" s="5" t="inlineStr">
        <is>
          <t>BRL</t>
        </is>
      </c>
      <c r="H2284" s="9" t="n">
        <v>-50542.28</v>
      </c>
      <c r="I2284" s="16" t="n">
        <v>46231</v>
      </c>
      <c r="J2284" s="16" t="n">
        <v>46300</v>
      </c>
      <c r="K2284" s="5" t="inlineStr">
        <is>
          <t>Fatura - bruto TECNOFIX INDUSTRIA E COMERCIO DE PA</t>
        </is>
      </c>
      <c r="L2284" s="5" t="inlineStr">
        <is>
          <t>05102026</t>
        </is>
      </c>
      <c r="M2284" s="5">
        <f>IF(YEAR(I2284)&lt;=2020,"Até 2020",TEXT(YEAR(I2284),"0"))</f>
        <v/>
      </c>
      <c r="N2284" s="5">
        <f>IFERROR(INDEX(DePara!$A:$A,MATCH(TEXT(B2284,"0"),DePara!$D:$D,0)),"(sem categoria)")</f>
        <v/>
      </c>
      <c r="O2284" s="5">
        <f>IF(J2284="","",Parametros!$B$6-J2284)</f>
        <v/>
      </c>
      <c r="P2284" s="5">
        <f>IF(O2284="","",IF(O2284&gt;0,1,0))</f>
        <v/>
      </c>
    </row>
    <row r="2285">
      <c r="A2285" s="5" t="n">
        <v>2111000000</v>
      </c>
      <c r="B2285" s="5" t="inlineStr">
        <is>
          <t>102114</t>
        </is>
      </c>
      <c r="C2285" s="5" t="inlineStr">
        <is>
          <t>LUBRISINT LUBR SINTETICOS ESPECIAS 50484476000113</t>
        </is>
      </c>
      <c r="D2285" s="5" t="inlineStr">
        <is>
          <t>RE</t>
        </is>
      </c>
      <c r="E2285" s="5" t="n">
        <v>5014686</v>
      </c>
      <c r="F2285" s="5" t="inlineStr">
        <is>
          <t>000046835-1</t>
        </is>
      </c>
      <c r="G2285" s="5" t="inlineStr">
        <is>
          <t>BRL</t>
        </is>
      </c>
      <c r="H2285" s="9" t="n">
        <v>-3671.76</v>
      </c>
      <c r="I2285" s="16" t="n">
        <v>46230</v>
      </c>
      <c r="J2285" s="16" t="n">
        <v>46270</v>
      </c>
      <c r="K2285" s="5" t="inlineStr">
        <is>
          <t>Fatura - bruto LUBRISINT LUBR SINTETICOS ESPECIAS</t>
        </is>
      </c>
      <c r="L2285" s="5" t="inlineStr">
        <is>
          <t>08092026</t>
        </is>
      </c>
      <c r="M2285" s="5">
        <f>IF(YEAR(I2285)&lt;=2020,"Até 2020",TEXT(YEAR(I2285),"0"))</f>
        <v/>
      </c>
      <c r="N2285" s="5">
        <f>IFERROR(INDEX(DePara!$A:$A,MATCH(TEXT(B2285,"0"),DePara!$D:$D,0)),"(sem categoria)")</f>
        <v/>
      </c>
      <c r="O2285" s="5">
        <f>IF(J2285="","",Parametros!$B$6-J2285)</f>
        <v/>
      </c>
      <c r="P2285" s="5">
        <f>IF(O2285="","",IF(O2285&gt;0,1,0))</f>
        <v/>
      </c>
    </row>
    <row r="2286">
      <c r="A2286" s="5" t="n">
        <v>2111000000</v>
      </c>
      <c r="B2286" s="5" t="inlineStr">
        <is>
          <t>103839</t>
        </is>
      </c>
      <c r="C2286" s="5" t="inlineStr">
        <is>
          <t>NORTEL SUPRIMENTOS INDUSTRIAIS LTDA</t>
        </is>
      </c>
      <c r="D2286" s="5" t="inlineStr">
        <is>
          <t>RE</t>
        </is>
      </c>
      <c r="E2286" s="5" t="n">
        <v>5014687</v>
      </c>
      <c r="F2286" s="5" t="inlineStr">
        <is>
          <t>000200898-1</t>
        </is>
      </c>
      <c r="G2286" s="5" t="inlineStr">
        <is>
          <t>BRL</t>
        </is>
      </c>
      <c r="H2286" s="9" t="n">
        <v>-41612.95</v>
      </c>
      <c r="I2286" s="16" t="n">
        <v>46220</v>
      </c>
      <c r="J2286" s="16" t="n">
        <v>46270</v>
      </c>
      <c r="K2286" s="5" t="inlineStr">
        <is>
          <t>Fatura - bruto NORTEL SUPRIMENTOS INDUSTRIAIS LTDA</t>
        </is>
      </c>
      <c r="L2286" s="5" t="inlineStr">
        <is>
          <t>08092026</t>
        </is>
      </c>
      <c r="M2286" s="5">
        <f>IF(YEAR(I2286)&lt;=2020,"Até 2020",TEXT(YEAR(I2286),"0"))</f>
        <v/>
      </c>
      <c r="N2286" s="5">
        <f>IFERROR(INDEX(DePara!$A:$A,MATCH(TEXT(B2286,"0"),DePara!$D:$D,0)),"(sem categoria)")</f>
        <v/>
      </c>
      <c r="O2286" s="5">
        <f>IF(J2286="","",Parametros!$B$6-J2286)</f>
        <v/>
      </c>
      <c r="P2286" s="5">
        <f>IF(O2286="","",IF(O2286&gt;0,1,0))</f>
        <v/>
      </c>
    </row>
    <row r="2287">
      <c r="A2287" s="5" t="n">
        <v>2111000000</v>
      </c>
      <c r="B2287" s="5" t="inlineStr">
        <is>
          <t>101848</t>
        </is>
      </c>
      <c r="C2287" s="5" t="inlineStr">
        <is>
          <t>KLUBER LUBRICATION LUBRIF ESPECIAIS</t>
        </is>
      </c>
      <c r="D2287" s="5" t="inlineStr">
        <is>
          <t>RE</t>
        </is>
      </c>
      <c r="E2287" s="5" t="n">
        <v>5014691</v>
      </c>
      <c r="F2287" s="5" t="inlineStr">
        <is>
          <t>000772607-1</t>
        </is>
      </c>
      <c r="G2287" s="5" t="inlineStr">
        <is>
          <t>BRL</t>
        </is>
      </c>
      <c r="H2287" s="9" t="n">
        <v>-87974.92999999999</v>
      </c>
      <c r="I2287" s="16" t="n">
        <v>46225</v>
      </c>
      <c r="J2287" s="16" t="n">
        <v>46270</v>
      </c>
      <c r="K2287" s="5" t="inlineStr">
        <is>
          <t>Fatura - bruto KLUBER LUBRICATION LUBRIF ESPECIAIS</t>
        </is>
      </c>
      <c r="L2287" s="5" t="inlineStr">
        <is>
          <t>08092026</t>
        </is>
      </c>
      <c r="M2287" s="5">
        <f>IF(YEAR(I2287)&lt;=2020,"Até 2020",TEXT(YEAR(I2287),"0"))</f>
        <v/>
      </c>
      <c r="N2287" s="5">
        <f>IFERROR(INDEX(DePara!$A:$A,MATCH(TEXT(B2287,"0"),DePara!$D:$D,0)),"(sem categoria)")</f>
        <v/>
      </c>
      <c r="O2287" s="5">
        <f>IF(J2287="","",Parametros!$B$6-J2287)</f>
        <v/>
      </c>
      <c r="P2287" s="5">
        <f>IF(O2287="","",IF(O2287&gt;0,1,0))</f>
        <v/>
      </c>
    </row>
    <row r="2288">
      <c r="A2288" s="5" t="n">
        <v>2111000000</v>
      </c>
      <c r="B2288" s="5" t="inlineStr">
        <is>
          <t>101848</t>
        </is>
      </c>
      <c r="C2288" s="5" t="inlineStr">
        <is>
          <t>KLUBER LUBRICATION LUBRIF ESPECIAIS</t>
        </is>
      </c>
      <c r="D2288" s="5" t="inlineStr">
        <is>
          <t>RE</t>
        </is>
      </c>
      <c r="E2288" s="5" t="n">
        <v>5014692</v>
      </c>
      <c r="F2288" s="5" t="inlineStr">
        <is>
          <t>000772723-1</t>
        </is>
      </c>
      <c r="G2288" s="5" t="inlineStr">
        <is>
          <t>BRL</t>
        </is>
      </c>
      <c r="H2288" s="9" t="n">
        <v>-58649.95</v>
      </c>
      <c r="I2288" s="16" t="n">
        <v>46226</v>
      </c>
      <c r="J2288" s="16" t="n">
        <v>46270</v>
      </c>
      <c r="K2288" s="5" t="inlineStr">
        <is>
          <t>Fatura - bruto KLUBER LUBRICATION LUBRIF ESPECIAIS</t>
        </is>
      </c>
      <c r="L2288" s="5" t="inlineStr">
        <is>
          <t>08092026</t>
        </is>
      </c>
      <c r="M2288" s="5">
        <f>IF(YEAR(I2288)&lt;=2020,"Até 2020",TEXT(YEAR(I2288),"0"))</f>
        <v/>
      </c>
      <c r="N2288" s="5">
        <f>IFERROR(INDEX(DePara!$A:$A,MATCH(TEXT(B2288,"0"),DePara!$D:$D,0)),"(sem categoria)")</f>
        <v/>
      </c>
      <c r="O2288" s="5">
        <f>IF(J2288="","",Parametros!$B$6-J2288)</f>
        <v/>
      </c>
      <c r="P2288" s="5">
        <f>IF(O2288="","",IF(O2288&gt;0,1,0))</f>
        <v/>
      </c>
    </row>
    <row r="2289">
      <c r="A2289" s="5" t="n">
        <v>2111000000</v>
      </c>
      <c r="B2289" s="5" t="inlineStr">
        <is>
          <t>103966</t>
        </is>
      </c>
      <c r="C2289" s="5" t="inlineStr">
        <is>
          <t>HINE DO BRASIL IND E COM HIDR E PN 12482538000754</t>
        </is>
      </c>
      <c r="D2289" s="5" t="inlineStr">
        <is>
          <t>RE</t>
        </is>
      </c>
      <c r="E2289" s="5" t="n">
        <v>5014694</v>
      </c>
      <c r="F2289" s="5" t="inlineStr">
        <is>
          <t>000004243-1</t>
        </is>
      </c>
      <c r="G2289" s="5" t="inlineStr">
        <is>
          <t>BRL</t>
        </is>
      </c>
      <c r="H2289" s="9" t="n">
        <v>-93503.8</v>
      </c>
      <c r="I2289" s="16" t="n">
        <v>46224</v>
      </c>
      <c r="J2289" s="16" t="n">
        <v>46270</v>
      </c>
      <c r="K2289" s="5" t="inlineStr">
        <is>
          <t>Fatura - bruto HINE DO BRASIL IND E COM HIDR E PN</t>
        </is>
      </c>
      <c r="L2289" s="5" t="inlineStr">
        <is>
          <t>08092026</t>
        </is>
      </c>
      <c r="M2289" s="5">
        <f>IF(YEAR(I2289)&lt;=2020,"Até 2020",TEXT(YEAR(I2289),"0"))</f>
        <v/>
      </c>
      <c r="N2289" s="5">
        <f>IFERROR(INDEX(DePara!$A:$A,MATCH(TEXT(B2289,"0"),DePara!$D:$D,0)),"(sem categoria)")</f>
        <v/>
      </c>
      <c r="O2289" s="5">
        <f>IF(J2289="","",Parametros!$B$6-J2289)</f>
        <v/>
      </c>
      <c r="P2289" s="5">
        <f>IF(O2289="","",IF(O2289&gt;0,1,0))</f>
        <v/>
      </c>
    </row>
    <row r="2290">
      <c r="A2290" s="5" t="n">
        <v>2111000000</v>
      </c>
      <c r="B2290" s="5" t="inlineStr">
        <is>
          <t>101420</t>
        </is>
      </c>
      <c r="C2290" s="5" t="inlineStr">
        <is>
          <t>MEDEIROS GALVAO SOLUÇÕES LTDA</t>
        </is>
      </c>
      <c r="D2290" s="5" t="inlineStr">
        <is>
          <t>RE</t>
        </is>
      </c>
      <c r="E2290" s="5" t="n">
        <v>5014695</v>
      </c>
      <c r="F2290" s="5" t="inlineStr">
        <is>
          <t>000030211-2</t>
        </is>
      </c>
      <c r="G2290" s="5" t="inlineStr">
        <is>
          <t>BRL</t>
        </is>
      </c>
      <c r="H2290" s="9" t="n">
        <v>-11056.98</v>
      </c>
      <c r="I2290" s="16" t="n">
        <v>46234</v>
      </c>
      <c r="J2290" s="16" t="n">
        <v>46270</v>
      </c>
      <c r="K2290" s="5" t="inlineStr">
        <is>
          <t>Fatura - bruto MEDEIROS GALVAO SOLUÇÕES LTDA 00003</t>
        </is>
      </c>
      <c r="L2290" s="5" t="inlineStr">
        <is>
          <t>02092026</t>
        </is>
      </c>
      <c r="M2290" s="5">
        <f>IF(YEAR(I2290)&lt;=2020,"Até 2020",TEXT(YEAR(I2290),"0"))</f>
        <v/>
      </c>
      <c r="N2290" s="5">
        <f>IFERROR(INDEX(DePara!$A:$A,MATCH(TEXT(B2290,"0"),DePara!$D:$D,0)),"(sem categoria)")</f>
        <v/>
      </c>
      <c r="O2290" s="5">
        <f>IF(J2290="","",Parametros!$B$6-J2290)</f>
        <v/>
      </c>
      <c r="P2290" s="5">
        <f>IF(O2290="","",IF(O2290&gt;0,1,0))</f>
        <v/>
      </c>
    </row>
    <row r="2291">
      <c r="A2291" s="5" t="n">
        <v>2111000000</v>
      </c>
      <c r="B2291" s="5" t="inlineStr">
        <is>
          <t>101253</t>
        </is>
      </c>
      <c r="C2291" s="5" t="inlineStr">
        <is>
          <t>ALTUS SISTEMAS DE AUTOMACAO SA</t>
        </is>
      </c>
      <c r="D2291" s="5" t="inlineStr">
        <is>
          <t>RE</t>
        </is>
      </c>
      <c r="E2291" s="5" t="n">
        <v>5014696</v>
      </c>
      <c r="F2291" s="5" t="inlineStr">
        <is>
          <t>000076162-1</t>
        </is>
      </c>
      <c r="G2291" s="5" t="inlineStr">
        <is>
          <t>BRL</t>
        </is>
      </c>
      <c r="H2291" s="9" t="n">
        <v>-15989.86</v>
      </c>
      <c r="I2291" s="16" t="n">
        <v>46231</v>
      </c>
      <c r="J2291" s="16" t="n">
        <v>46270</v>
      </c>
      <c r="K2291" s="5" t="inlineStr">
        <is>
          <t>Fatura - bruto ALTUS SISTEMAS DE AUTOMACAO SA 0000</t>
        </is>
      </c>
      <c r="L2291" s="5" t="inlineStr">
        <is>
          <t>08092026</t>
        </is>
      </c>
      <c r="M2291" s="5">
        <f>IF(YEAR(I2291)&lt;=2020,"Até 2020",TEXT(YEAR(I2291),"0"))</f>
        <v/>
      </c>
      <c r="N2291" s="5">
        <f>IFERROR(INDEX(DePara!$A:$A,MATCH(TEXT(B2291,"0"),DePara!$D:$D,0)),"(sem categoria)")</f>
        <v/>
      </c>
      <c r="O2291" s="5">
        <f>IF(J2291="","",Parametros!$B$6-J2291)</f>
        <v/>
      </c>
      <c r="P2291" s="5">
        <f>IF(O2291="","",IF(O2291&gt;0,1,0))</f>
        <v/>
      </c>
    </row>
    <row r="2292">
      <c r="A2292" s="5" t="n">
        <v>2111000000</v>
      </c>
      <c r="B2292" s="5" t="inlineStr">
        <is>
          <t>101218</t>
        </is>
      </c>
      <c r="C2292" s="5" t="inlineStr">
        <is>
          <t>CARLSONS PRODUTOS INDUSTRIAIS LTDA</t>
        </is>
      </c>
      <c r="D2292" s="5" t="inlineStr">
        <is>
          <t>RE</t>
        </is>
      </c>
      <c r="E2292" s="5" t="n">
        <v>5014698</v>
      </c>
      <c r="F2292" s="5" t="inlineStr">
        <is>
          <t>000210018-2</t>
        </is>
      </c>
      <c r="G2292" s="5" t="inlineStr">
        <is>
          <t>BRL</t>
        </is>
      </c>
      <c r="H2292" s="9" t="n">
        <v>-6177.36</v>
      </c>
      <c r="I2292" s="16" t="n">
        <v>46225</v>
      </c>
      <c r="J2292" s="16" t="n">
        <v>46270</v>
      </c>
      <c r="K2292" s="5" t="inlineStr">
        <is>
          <t>Fatura - bruto CARLSONS PRODUTOS INDUSTRIAIS LTDA</t>
        </is>
      </c>
      <c r="L2292" s="5" t="inlineStr">
        <is>
          <t>08092026</t>
        </is>
      </c>
      <c r="M2292" s="5">
        <f>IF(YEAR(I2292)&lt;=2020,"Até 2020",TEXT(YEAR(I2292),"0"))</f>
        <v/>
      </c>
      <c r="N2292" s="5">
        <f>IFERROR(INDEX(DePara!$A:$A,MATCH(TEXT(B2292,"0"),DePara!$D:$D,0)),"(sem categoria)")</f>
        <v/>
      </c>
      <c r="O2292" s="5">
        <f>IF(J2292="","",Parametros!$B$6-J2292)</f>
        <v/>
      </c>
      <c r="P2292" s="5">
        <f>IF(O2292="","",IF(O2292&gt;0,1,0))</f>
        <v/>
      </c>
    </row>
    <row r="2293">
      <c r="A2293" s="5" t="n">
        <v>2111000000</v>
      </c>
      <c r="B2293" s="5" t="inlineStr">
        <is>
          <t>101460</t>
        </is>
      </c>
      <c r="C2293" s="5" t="inlineStr">
        <is>
          <t>NS AUTOMACAO E INSTRUMENTAÇAO LTDA</t>
        </is>
      </c>
      <c r="D2293" s="5" t="inlineStr">
        <is>
          <t>RE</t>
        </is>
      </c>
      <c r="E2293" s="5" t="n">
        <v>5014702</v>
      </c>
      <c r="F2293" s="5" t="inlineStr">
        <is>
          <t>000005786-1</t>
        </is>
      </c>
      <c r="G2293" s="5" t="inlineStr">
        <is>
          <t>BRL</t>
        </is>
      </c>
      <c r="H2293" s="9" t="n">
        <v>-7720</v>
      </c>
      <c r="I2293" s="16" t="n">
        <v>46225</v>
      </c>
      <c r="J2293" s="16" t="n">
        <v>46270</v>
      </c>
      <c r="K2293" s="5" t="inlineStr">
        <is>
          <t>Fatura - bruto NS AUTOMACAO E INSTRUMENTAÇAO LTDA</t>
        </is>
      </c>
      <c r="L2293" s="5" t="inlineStr">
        <is>
          <t>08092026</t>
        </is>
      </c>
      <c r="M2293" s="5">
        <f>IF(YEAR(I2293)&lt;=2020,"Até 2020",TEXT(YEAR(I2293),"0"))</f>
        <v/>
      </c>
      <c r="N2293" s="5">
        <f>IFERROR(INDEX(DePara!$A:$A,MATCH(TEXT(B2293,"0"),DePara!$D:$D,0)),"(sem categoria)")</f>
        <v/>
      </c>
      <c r="O2293" s="5">
        <f>IF(J2293="","",Parametros!$B$6-J2293)</f>
        <v/>
      </c>
      <c r="P2293" s="5">
        <f>IF(O2293="","",IF(O2293&gt;0,1,0))</f>
        <v/>
      </c>
    </row>
    <row r="2294">
      <c r="A2294" s="5" t="n">
        <v>2111000000</v>
      </c>
      <c r="B2294" s="5" t="inlineStr">
        <is>
          <t>101929</t>
        </is>
      </c>
      <c r="C2294" s="5" t="inlineStr">
        <is>
          <t>TECNOFIX INDUSTRIA E COMERCIO DE PA</t>
        </is>
      </c>
      <c r="D2294" s="5" t="inlineStr">
        <is>
          <t>RE</t>
        </is>
      </c>
      <c r="E2294" s="5" t="n">
        <v>5014704</v>
      </c>
      <c r="F2294" s="5" t="inlineStr">
        <is>
          <t>000031377-1</t>
        </is>
      </c>
      <c r="G2294" s="5" t="inlineStr">
        <is>
          <t>BRL</t>
        </is>
      </c>
      <c r="H2294" s="9" t="n">
        <v>-72859.85000000001</v>
      </c>
      <c r="I2294" s="16" t="n">
        <v>46227</v>
      </c>
      <c r="J2294" s="16" t="n">
        <v>46300</v>
      </c>
      <c r="K2294" s="5" t="inlineStr">
        <is>
          <t>Fatura - bruto TECNOFIX INDUSTRIA E COMERCIO DE PA</t>
        </is>
      </c>
      <c r="L2294" s="5" t="inlineStr">
        <is>
          <t>05102026</t>
        </is>
      </c>
      <c r="M2294" s="5">
        <f>IF(YEAR(I2294)&lt;=2020,"Até 2020",TEXT(YEAR(I2294),"0"))</f>
        <v/>
      </c>
      <c r="N2294" s="5">
        <f>IFERROR(INDEX(DePara!$A:$A,MATCH(TEXT(B2294,"0"),DePara!$D:$D,0)),"(sem categoria)")</f>
        <v/>
      </c>
      <c r="O2294" s="5">
        <f>IF(J2294="","",Parametros!$B$6-J2294)</f>
        <v/>
      </c>
      <c r="P2294" s="5">
        <f>IF(O2294="","",IF(O2294&gt;0,1,0))</f>
        <v/>
      </c>
    </row>
    <row r="2295">
      <c r="A2295" s="5" t="n">
        <v>2111000000</v>
      </c>
      <c r="B2295" s="5" t="inlineStr">
        <is>
          <t>101099</t>
        </is>
      </c>
      <c r="C2295" s="5" t="inlineStr">
        <is>
          <t>HYDAC TECNOLOGIA LTDA</t>
        </is>
      </c>
      <c r="D2295" s="5" t="inlineStr">
        <is>
          <t>RE</t>
        </is>
      </c>
      <c r="E2295" s="5" t="n">
        <v>5014706</v>
      </c>
      <c r="F2295" s="5" t="inlineStr">
        <is>
          <t>000088064-20</t>
        </is>
      </c>
      <c r="G2295" s="5" t="inlineStr">
        <is>
          <t>BRL</t>
        </is>
      </c>
      <c r="H2295" s="9" t="n">
        <v>-39758.99</v>
      </c>
      <c r="I2295" s="16" t="n">
        <v>46211</v>
      </c>
      <c r="J2295" s="16" t="n">
        <v>46270</v>
      </c>
      <c r="K2295" s="5" t="inlineStr">
        <is>
          <t>Fatura - bruto HYDAC TECNOLOGIA LTDA 000088064-20</t>
        </is>
      </c>
      <c r="L2295" s="5" t="inlineStr">
        <is>
          <t>08092026</t>
        </is>
      </c>
      <c r="M2295" s="5">
        <f>IF(YEAR(I2295)&lt;=2020,"Até 2020",TEXT(YEAR(I2295),"0"))</f>
        <v/>
      </c>
      <c r="N2295" s="5">
        <f>IFERROR(INDEX(DePara!$A:$A,MATCH(TEXT(B2295,"0"),DePara!$D:$D,0)),"(sem categoria)")</f>
        <v/>
      </c>
      <c r="O2295" s="5">
        <f>IF(J2295="","",Parametros!$B$6-J2295)</f>
        <v/>
      </c>
      <c r="P2295" s="5">
        <f>IF(O2295="","",IF(O2295&gt;0,1,0))</f>
        <v/>
      </c>
    </row>
    <row r="2296">
      <c r="A2296" s="5" t="n">
        <v>2111000000</v>
      </c>
      <c r="B2296" s="5" t="inlineStr">
        <is>
          <t>103839</t>
        </is>
      </c>
      <c r="C2296" s="5" t="inlineStr">
        <is>
          <t>NORTEL SUPRIMENTOS INDUSTRIAIS LTDA</t>
        </is>
      </c>
      <c r="D2296" s="5" t="inlineStr">
        <is>
          <t>RE</t>
        </is>
      </c>
      <c r="E2296" s="5" t="n">
        <v>5014707</v>
      </c>
      <c r="F2296" s="5" t="inlineStr">
        <is>
          <t>000200896-1</t>
        </is>
      </c>
      <c r="G2296" s="5" t="inlineStr">
        <is>
          <t>BRL</t>
        </is>
      </c>
      <c r="H2296" s="9" t="n">
        <v>-12585.38</v>
      </c>
      <c r="I2296" s="16" t="n">
        <v>46220</v>
      </c>
      <c r="J2296" s="16" t="n">
        <v>46270</v>
      </c>
      <c r="K2296" s="5" t="inlineStr">
        <is>
          <t>Fatura - bruto NORTEL SUPRIMENTOS INDUSTRIAIS LTDA</t>
        </is>
      </c>
      <c r="L2296" s="5" t="inlineStr">
        <is>
          <t>08092026</t>
        </is>
      </c>
      <c r="M2296" s="5">
        <f>IF(YEAR(I2296)&lt;=2020,"Até 2020",TEXT(YEAR(I2296),"0"))</f>
        <v/>
      </c>
      <c r="N2296" s="5">
        <f>IFERROR(INDEX(DePara!$A:$A,MATCH(TEXT(B2296,"0"),DePara!$D:$D,0)),"(sem categoria)")</f>
        <v/>
      </c>
      <c r="O2296" s="5">
        <f>IF(J2296="","",Parametros!$B$6-J2296)</f>
        <v/>
      </c>
      <c r="P2296" s="5">
        <f>IF(O2296="","",IF(O2296&gt;0,1,0))</f>
        <v/>
      </c>
    </row>
    <row r="2297">
      <c r="A2297" s="5" t="n">
        <v>2111000000</v>
      </c>
      <c r="B2297" s="5" t="inlineStr">
        <is>
          <t>101420</t>
        </is>
      </c>
      <c r="C2297" s="5" t="inlineStr">
        <is>
          <t>MEDEIROS GALVAO SOLUÇÕES LTDA</t>
        </is>
      </c>
      <c r="D2297" s="5" t="inlineStr">
        <is>
          <t>RE</t>
        </is>
      </c>
      <c r="E2297" s="5" t="n">
        <v>5014708</v>
      </c>
      <c r="F2297" s="5" t="inlineStr">
        <is>
          <t>000030007-2</t>
        </is>
      </c>
      <c r="G2297" s="5" t="inlineStr">
        <is>
          <t>BRL</t>
        </is>
      </c>
      <c r="H2297" s="9" t="n">
        <v>-17820</v>
      </c>
      <c r="I2297" s="16" t="n">
        <v>46225</v>
      </c>
      <c r="J2297" s="16" t="n">
        <v>46270</v>
      </c>
      <c r="K2297" s="5" t="inlineStr">
        <is>
          <t>Fatura - bruto MEDEIROS GALVAO SOLUÇÕES LTDA 00003</t>
        </is>
      </c>
      <c r="L2297" s="5" t="inlineStr">
        <is>
          <t>02092026</t>
        </is>
      </c>
      <c r="M2297" s="5">
        <f>IF(YEAR(I2297)&lt;=2020,"Até 2020",TEXT(YEAR(I2297),"0"))</f>
        <v/>
      </c>
      <c r="N2297" s="5">
        <f>IFERROR(INDEX(DePara!$A:$A,MATCH(TEXT(B2297,"0"),DePara!$D:$D,0)),"(sem categoria)")</f>
        <v/>
      </c>
      <c r="O2297" s="5">
        <f>IF(J2297="","",Parametros!$B$6-J2297)</f>
        <v/>
      </c>
      <c r="P2297" s="5">
        <f>IF(O2297="","",IF(O2297&gt;0,1,0))</f>
        <v/>
      </c>
    </row>
    <row r="2298">
      <c r="A2298" s="5" t="n">
        <v>2111000000</v>
      </c>
      <c r="B2298" s="5" t="inlineStr">
        <is>
          <t>101420</t>
        </is>
      </c>
      <c r="C2298" s="5" t="inlineStr">
        <is>
          <t>MEDEIROS GALVAO SOLUÇÕES LTDA</t>
        </is>
      </c>
      <c r="D2298" s="5" t="inlineStr">
        <is>
          <t>RE</t>
        </is>
      </c>
      <c r="E2298" s="5" t="n">
        <v>5014709</v>
      </c>
      <c r="F2298" s="5" t="inlineStr">
        <is>
          <t>000030080-2</t>
        </is>
      </c>
      <c r="G2298" s="5" t="inlineStr">
        <is>
          <t>BRL</t>
        </is>
      </c>
      <c r="H2298" s="9" t="n">
        <v>-17780</v>
      </c>
      <c r="I2298" s="16" t="n">
        <v>46227</v>
      </c>
      <c r="J2298" s="16" t="n">
        <v>46270</v>
      </c>
      <c r="K2298" s="5" t="inlineStr">
        <is>
          <t>Fatura - bruto MEDEIROS GALVAO SOLUÇÕES LTDA 00003</t>
        </is>
      </c>
      <c r="L2298" s="5" t="inlineStr">
        <is>
          <t>02092026</t>
        </is>
      </c>
      <c r="M2298" s="5">
        <f>IF(YEAR(I2298)&lt;=2020,"Até 2020",TEXT(YEAR(I2298),"0"))</f>
        <v/>
      </c>
      <c r="N2298" s="5">
        <f>IFERROR(INDEX(DePara!$A:$A,MATCH(TEXT(B2298,"0"),DePara!$D:$D,0)),"(sem categoria)")</f>
        <v/>
      </c>
      <c r="O2298" s="5">
        <f>IF(J2298="","",Parametros!$B$6-J2298)</f>
        <v/>
      </c>
      <c r="P2298" s="5">
        <f>IF(O2298="","",IF(O2298&gt;0,1,0))</f>
        <v/>
      </c>
    </row>
    <row r="2299">
      <c r="A2299" s="5" t="n">
        <v>2111000000</v>
      </c>
      <c r="B2299" s="5" t="inlineStr">
        <is>
          <t>101420</t>
        </is>
      </c>
      <c r="C2299" s="5" t="inlineStr">
        <is>
          <t>MEDEIROS GALVAO SOLUÇÕES LTDA</t>
        </is>
      </c>
      <c r="D2299" s="5" t="inlineStr">
        <is>
          <t>RE</t>
        </is>
      </c>
      <c r="E2299" s="5" t="n">
        <v>5014710</v>
      </c>
      <c r="F2299" s="5" t="inlineStr">
        <is>
          <t>000030117-2</t>
        </is>
      </c>
      <c r="G2299" s="5" t="inlineStr">
        <is>
          <t>BRL</t>
        </is>
      </c>
      <c r="H2299" s="9" t="n">
        <v>-3381</v>
      </c>
      <c r="I2299" s="16" t="n">
        <v>46230</v>
      </c>
      <c r="J2299" s="16" t="n">
        <v>46270</v>
      </c>
      <c r="K2299" s="5" t="inlineStr">
        <is>
          <t>Fatura - bruto MEDEIROS GALVAO SOLUÇÕES LTDA 00003</t>
        </is>
      </c>
      <c r="L2299" s="5" t="inlineStr">
        <is>
          <t>02092026</t>
        </is>
      </c>
      <c r="M2299" s="5">
        <f>IF(YEAR(I2299)&lt;=2020,"Até 2020",TEXT(YEAR(I2299),"0"))</f>
        <v/>
      </c>
      <c r="N2299" s="5">
        <f>IFERROR(INDEX(DePara!$A:$A,MATCH(TEXT(B2299,"0"),DePara!$D:$D,0)),"(sem categoria)")</f>
        <v/>
      </c>
      <c r="O2299" s="5">
        <f>IF(J2299="","",Parametros!$B$6-J2299)</f>
        <v/>
      </c>
      <c r="P2299" s="5">
        <f>IF(O2299="","",IF(O2299&gt;0,1,0))</f>
        <v/>
      </c>
    </row>
    <row r="2300">
      <c r="A2300" s="5" t="n">
        <v>2111000000</v>
      </c>
      <c r="B2300" s="5" t="inlineStr">
        <is>
          <t>101420</t>
        </is>
      </c>
      <c r="C2300" s="5" t="inlineStr">
        <is>
          <t>MEDEIROS GALVAO SOLUÇÕES LTDA</t>
        </is>
      </c>
      <c r="D2300" s="5" t="inlineStr">
        <is>
          <t>RE</t>
        </is>
      </c>
      <c r="E2300" s="5" t="n">
        <v>5014711</v>
      </c>
      <c r="F2300" s="5" t="inlineStr">
        <is>
          <t>000030218-2</t>
        </is>
      </c>
      <c r="G2300" s="5" t="inlineStr">
        <is>
          <t>BRL</t>
        </is>
      </c>
      <c r="H2300" s="9" t="n">
        <v>-6900</v>
      </c>
      <c r="I2300" s="16" t="n">
        <v>46234</v>
      </c>
      <c r="J2300" s="16" t="n">
        <v>46270</v>
      </c>
      <c r="K2300" s="5" t="inlineStr">
        <is>
          <t>Fatura - bruto MEDEIROS GALVAO SOLUÇÕES LTDA 00003</t>
        </is>
      </c>
      <c r="L2300" s="5" t="inlineStr">
        <is>
          <t>02092026</t>
        </is>
      </c>
      <c r="M2300" s="5">
        <f>IF(YEAR(I2300)&lt;=2020,"Até 2020",TEXT(YEAR(I2300),"0"))</f>
        <v/>
      </c>
      <c r="N2300" s="5">
        <f>IFERROR(INDEX(DePara!$A:$A,MATCH(TEXT(B2300,"0"),DePara!$D:$D,0)),"(sem categoria)")</f>
        <v/>
      </c>
      <c r="O2300" s="5">
        <f>IF(J2300="","",Parametros!$B$6-J2300)</f>
        <v/>
      </c>
      <c r="P2300" s="5">
        <f>IF(O2300="","",IF(O2300&gt;0,1,0))</f>
        <v/>
      </c>
    </row>
    <row r="2301">
      <c r="A2301" s="5" t="n">
        <v>2111000000</v>
      </c>
      <c r="B2301" s="5" t="inlineStr">
        <is>
          <t>101420</t>
        </is>
      </c>
      <c r="C2301" s="5" t="inlineStr">
        <is>
          <t>MEDEIROS GALVAO SOLUÇÕES LTDA</t>
        </is>
      </c>
      <c r="D2301" s="5" t="inlineStr">
        <is>
          <t>RE</t>
        </is>
      </c>
      <c r="E2301" s="5" t="n">
        <v>5014712</v>
      </c>
      <c r="F2301" s="5" t="inlineStr">
        <is>
          <t>000030289-2</t>
        </is>
      </c>
      <c r="G2301" s="5" t="inlineStr">
        <is>
          <t>BRL</t>
        </is>
      </c>
      <c r="H2301" s="9" t="n">
        <v>-690</v>
      </c>
      <c r="I2301" s="16" t="n">
        <v>46238</v>
      </c>
      <c r="J2301" s="16" t="n">
        <v>46270</v>
      </c>
      <c r="K2301" s="5" t="inlineStr">
        <is>
          <t>Fatura - bruto MEDEIROS GALVAO SOLUÇÕES LTDA 00003</t>
        </is>
      </c>
      <c r="L2301" s="5" t="inlineStr">
        <is>
          <t>02092026</t>
        </is>
      </c>
      <c r="M2301" s="5">
        <f>IF(YEAR(I2301)&lt;=2020,"Até 2020",TEXT(YEAR(I2301),"0"))</f>
        <v/>
      </c>
      <c r="N2301" s="5">
        <f>IFERROR(INDEX(DePara!$A:$A,MATCH(TEXT(B2301,"0"),DePara!$D:$D,0)),"(sem categoria)")</f>
        <v/>
      </c>
      <c r="O2301" s="5">
        <f>IF(J2301="","",Parametros!$B$6-J2301)</f>
        <v/>
      </c>
      <c r="P2301" s="5">
        <f>IF(O2301="","",IF(O2301&gt;0,1,0))</f>
        <v/>
      </c>
    </row>
    <row r="2302">
      <c r="A2302" s="5" t="n">
        <v>2111000000</v>
      </c>
      <c r="B2302" s="5" t="inlineStr">
        <is>
          <t>101967</t>
        </is>
      </c>
      <c r="C2302" s="5" t="inlineStr">
        <is>
          <t>JR EQUIPAMENTOS E SERVICOS LTDA  ME</t>
        </is>
      </c>
      <c r="D2302" s="5" t="inlineStr">
        <is>
          <t>RE</t>
        </is>
      </c>
      <c r="E2302" s="5" t="n">
        <v>5014713</v>
      </c>
      <c r="F2302" s="5" t="inlineStr">
        <is>
          <t>000039992-1</t>
        </is>
      </c>
      <c r="G2302" s="5" t="inlineStr">
        <is>
          <t>BRL</t>
        </is>
      </c>
      <c r="H2302" s="9" t="n">
        <v>-10545</v>
      </c>
      <c r="I2302" s="16" t="n">
        <v>46230</v>
      </c>
      <c r="J2302" s="16" t="n">
        <v>46270</v>
      </c>
      <c r="K2302" s="5" t="inlineStr">
        <is>
          <t>Fatura - bruto JR EQUIPAMENTOS E SERVICOS LTDA  ME</t>
        </is>
      </c>
      <c r="L2302" s="5" t="inlineStr">
        <is>
          <t>02092026</t>
        </is>
      </c>
      <c r="M2302" s="5">
        <f>IF(YEAR(I2302)&lt;=2020,"Até 2020",TEXT(YEAR(I2302),"0"))</f>
        <v/>
      </c>
      <c r="N2302" s="5">
        <f>IFERROR(INDEX(DePara!$A:$A,MATCH(TEXT(B2302,"0"),DePara!$D:$D,0)),"(sem categoria)")</f>
        <v/>
      </c>
      <c r="O2302" s="5">
        <f>IF(J2302="","",Parametros!$B$6-J2302)</f>
        <v/>
      </c>
      <c r="P2302" s="5">
        <f>IF(O2302="","",IF(O2302&gt;0,1,0))</f>
        <v/>
      </c>
    </row>
    <row r="2303">
      <c r="A2303" s="5" t="n">
        <v>2111000000</v>
      </c>
      <c r="B2303" s="5" t="inlineStr">
        <is>
          <t>101967</t>
        </is>
      </c>
      <c r="C2303" s="5" t="inlineStr">
        <is>
          <t>JR EQUIPAMENTOS E SERVICOS LTDA  ME</t>
        </is>
      </c>
      <c r="D2303" s="5" t="inlineStr">
        <is>
          <t>RE</t>
        </is>
      </c>
      <c r="E2303" s="5" t="n">
        <v>5014714</v>
      </c>
      <c r="F2303" s="5" t="inlineStr">
        <is>
          <t>000039993-1</t>
        </is>
      </c>
      <c r="G2303" s="5" t="inlineStr">
        <is>
          <t>BRL</t>
        </is>
      </c>
      <c r="H2303" s="9" t="n">
        <v>-6418</v>
      </c>
      <c r="I2303" s="16" t="n">
        <v>46230</v>
      </c>
      <c r="J2303" s="16" t="n">
        <v>46270</v>
      </c>
      <c r="K2303" s="5" t="inlineStr">
        <is>
          <t>Fatura - bruto JR EQUIPAMENTOS E SERVICOS LTDA  ME</t>
        </is>
      </c>
      <c r="L2303" s="5" t="inlineStr">
        <is>
          <t>02092026</t>
        </is>
      </c>
      <c r="M2303" s="5">
        <f>IF(YEAR(I2303)&lt;=2020,"Até 2020",TEXT(YEAR(I2303),"0"))</f>
        <v/>
      </c>
      <c r="N2303" s="5">
        <f>IFERROR(INDEX(DePara!$A:$A,MATCH(TEXT(B2303,"0"),DePara!$D:$D,0)),"(sem categoria)")</f>
        <v/>
      </c>
      <c r="O2303" s="5">
        <f>IF(J2303="","",Parametros!$B$6-J2303)</f>
        <v/>
      </c>
      <c r="P2303" s="5">
        <f>IF(O2303="","",IF(O2303&gt;0,1,0))</f>
        <v/>
      </c>
    </row>
    <row r="2304">
      <c r="A2304" s="5" t="n">
        <v>2111000000</v>
      </c>
      <c r="B2304" s="5" t="inlineStr">
        <is>
          <t>101967</t>
        </is>
      </c>
      <c r="C2304" s="5" t="inlineStr">
        <is>
          <t>JR EQUIPAMENTOS E SERVICOS LTDA  ME</t>
        </is>
      </c>
      <c r="D2304" s="5" t="inlineStr">
        <is>
          <t>RE</t>
        </is>
      </c>
      <c r="E2304" s="5" t="n">
        <v>5014715</v>
      </c>
      <c r="F2304" s="5" t="inlineStr">
        <is>
          <t>000039994-1</t>
        </is>
      </c>
      <c r="G2304" s="5" t="inlineStr">
        <is>
          <t>BRL</t>
        </is>
      </c>
      <c r="H2304" s="9" t="n">
        <v>-8512</v>
      </c>
      <c r="I2304" s="16" t="n">
        <v>46230</v>
      </c>
      <c r="J2304" s="16" t="n">
        <v>46270</v>
      </c>
      <c r="K2304" s="5" t="inlineStr">
        <is>
          <t>Fatura - bruto JR EQUIPAMENTOS E SERVICOS LTDA  ME</t>
        </is>
      </c>
      <c r="L2304" s="5" t="inlineStr">
        <is>
          <t>02092026</t>
        </is>
      </c>
      <c r="M2304" s="5">
        <f>IF(YEAR(I2304)&lt;=2020,"Até 2020",TEXT(YEAR(I2304),"0"))</f>
        <v/>
      </c>
      <c r="N2304" s="5">
        <f>IFERROR(INDEX(DePara!$A:$A,MATCH(TEXT(B2304,"0"),DePara!$D:$D,0)),"(sem categoria)")</f>
        <v/>
      </c>
      <c r="O2304" s="5">
        <f>IF(J2304="","",Parametros!$B$6-J2304)</f>
        <v/>
      </c>
      <c r="P2304" s="5">
        <f>IF(O2304="","",IF(O2304&gt;0,1,0))</f>
        <v/>
      </c>
    </row>
    <row r="2305">
      <c r="A2305" s="5" t="n">
        <v>2111000000</v>
      </c>
      <c r="B2305" s="5" t="inlineStr">
        <is>
          <t>101218</t>
        </is>
      </c>
      <c r="C2305" s="5" t="inlineStr">
        <is>
          <t>CARLSONS PRODUTOS INDUSTRIAIS LTDA</t>
        </is>
      </c>
      <c r="D2305" s="5" t="inlineStr">
        <is>
          <t>RE</t>
        </is>
      </c>
      <c r="E2305" s="5" t="n">
        <v>5014718</v>
      </c>
      <c r="F2305" s="5" t="inlineStr">
        <is>
          <t>000210057-2</t>
        </is>
      </c>
      <c r="G2305" s="5" t="inlineStr">
        <is>
          <t>BRL</t>
        </is>
      </c>
      <c r="H2305" s="9" t="n">
        <v>-1056.27</v>
      </c>
      <c r="I2305" s="16" t="n">
        <v>46225</v>
      </c>
      <c r="J2305" s="16" t="n">
        <v>46270</v>
      </c>
      <c r="K2305" s="5" t="inlineStr">
        <is>
          <t>Fatura - bruto CARLSONS PRODUTOS INDUSTRIAIS LTDA</t>
        </is>
      </c>
      <c r="L2305" s="5" t="inlineStr">
        <is>
          <t>08092026</t>
        </is>
      </c>
      <c r="M2305" s="5">
        <f>IF(YEAR(I2305)&lt;=2020,"Até 2020",TEXT(YEAR(I2305),"0"))</f>
        <v/>
      </c>
      <c r="N2305" s="5">
        <f>IFERROR(INDEX(DePara!$A:$A,MATCH(TEXT(B2305,"0"),DePara!$D:$D,0)),"(sem categoria)")</f>
        <v/>
      </c>
      <c r="O2305" s="5">
        <f>IF(J2305="","",Parametros!$B$6-J2305)</f>
        <v/>
      </c>
      <c r="P2305" s="5">
        <f>IF(O2305="","",IF(O2305&gt;0,1,0))</f>
        <v/>
      </c>
    </row>
    <row r="2306">
      <c r="A2306" s="5" t="n">
        <v>2111000000</v>
      </c>
      <c r="B2306" s="5" t="inlineStr">
        <is>
          <t>101688</t>
        </is>
      </c>
      <c r="C2306" s="5" t="inlineStr">
        <is>
          <t>AGIS EQUIPAMENTOS E SERVIÇOS DE INFORMATICA LTDA</t>
        </is>
      </c>
      <c r="D2306" s="5" t="inlineStr">
        <is>
          <t>RE</t>
        </is>
      </c>
      <c r="E2306" s="5" t="n">
        <v>5014719</v>
      </c>
      <c r="F2306" s="5" t="inlineStr">
        <is>
          <t>000617622-1</t>
        </is>
      </c>
      <c r="G2306" s="5" t="inlineStr">
        <is>
          <t>BRL</t>
        </is>
      </c>
      <c r="H2306" s="9" t="n">
        <v>-2242</v>
      </c>
      <c r="I2306" s="16" t="n">
        <v>46230</v>
      </c>
      <c r="J2306" s="16" t="n">
        <v>46270</v>
      </c>
      <c r="K2306" s="5" t="inlineStr">
        <is>
          <t>Fatura - bruto AGIS EQUIPAMENTOS E SERVIÇOS DE INF</t>
        </is>
      </c>
      <c r="L2306" s="5" t="inlineStr">
        <is>
          <t>08092026</t>
        </is>
      </c>
      <c r="M2306" s="5">
        <f>IF(YEAR(I2306)&lt;=2020,"Até 2020",TEXT(YEAR(I2306),"0"))</f>
        <v/>
      </c>
      <c r="N2306" s="5">
        <f>IFERROR(INDEX(DePara!$A:$A,MATCH(TEXT(B2306,"0"),DePara!$D:$D,0)),"(sem categoria)")</f>
        <v/>
      </c>
      <c r="O2306" s="5">
        <f>IF(J2306="","",Parametros!$B$6-J2306)</f>
        <v/>
      </c>
      <c r="P2306" s="5">
        <f>IF(O2306="","",IF(O2306&gt;0,1,0))</f>
        <v/>
      </c>
    </row>
    <row r="2307">
      <c r="A2307" s="5" t="n">
        <v>2111000000</v>
      </c>
      <c r="B2307" s="5" t="inlineStr">
        <is>
          <t>103999</t>
        </is>
      </c>
      <c r="C2307" s="5" t="inlineStr">
        <is>
          <t>TECNOCON SOLUCOES PARA ENERGIAS REN</t>
        </is>
      </c>
      <c r="D2307" s="5" t="inlineStr">
        <is>
          <t>RE</t>
        </is>
      </c>
      <c r="E2307" s="5" t="n">
        <v>5014723</v>
      </c>
      <c r="F2307" s="5" t="inlineStr">
        <is>
          <t>000019822-000</t>
        </is>
      </c>
      <c r="G2307" s="5" t="inlineStr">
        <is>
          <t>BRL</t>
        </is>
      </c>
      <c r="H2307" s="9" t="n">
        <v>-28959.7</v>
      </c>
      <c r="I2307" s="16" t="n">
        <v>46210</v>
      </c>
      <c r="J2307" s="16" t="n">
        <v>46270</v>
      </c>
      <c r="K2307" s="5" t="inlineStr">
        <is>
          <t>Fatura - bruto TECNOCON SOLUCOES PARA ENERGIAS REN</t>
        </is>
      </c>
      <c r="L2307" s="5" t="inlineStr">
        <is>
          <t>08092026</t>
        </is>
      </c>
      <c r="M2307" s="5">
        <f>IF(YEAR(I2307)&lt;=2020,"Até 2020",TEXT(YEAR(I2307),"0"))</f>
        <v/>
      </c>
      <c r="N2307" s="5">
        <f>IFERROR(INDEX(DePara!$A:$A,MATCH(TEXT(B2307,"0"),DePara!$D:$D,0)),"(sem categoria)")</f>
        <v/>
      </c>
      <c r="O2307" s="5">
        <f>IF(J2307="","",Parametros!$B$6-J2307)</f>
        <v/>
      </c>
      <c r="P2307" s="5">
        <f>IF(O2307="","",IF(O2307&gt;0,1,0))</f>
        <v/>
      </c>
    </row>
    <row r="2308">
      <c r="A2308" s="5" t="n">
        <v>2111000000</v>
      </c>
      <c r="B2308" s="5" t="inlineStr">
        <is>
          <t>100485</t>
        </is>
      </c>
      <c r="C2308" s="5" t="inlineStr">
        <is>
          <t>FUCHS LUBRIFICANTES DO BRASIL LTDA</t>
        </is>
      </c>
      <c r="D2308" s="5" t="inlineStr">
        <is>
          <t>RE</t>
        </is>
      </c>
      <c r="E2308" s="5" t="n">
        <v>5014729</v>
      </c>
      <c r="F2308" s="5" t="inlineStr">
        <is>
          <t>000102881-000</t>
        </is>
      </c>
      <c r="G2308" s="5" t="inlineStr">
        <is>
          <t>BRL</t>
        </is>
      </c>
      <c r="H2308" s="9" t="n">
        <v>-28334.45</v>
      </c>
      <c r="I2308" s="16" t="n">
        <v>46211</v>
      </c>
      <c r="J2308" s="16" t="n">
        <v>46270</v>
      </c>
      <c r="K2308" s="5" t="inlineStr">
        <is>
          <t>Fatura - bruto FUCHS LUBRIFICANTES DO BRASIL LTDA</t>
        </is>
      </c>
      <c r="L2308" s="5" t="inlineStr">
        <is>
          <t>08092026</t>
        </is>
      </c>
      <c r="M2308" s="5">
        <f>IF(YEAR(I2308)&lt;=2020,"Até 2020",TEXT(YEAR(I2308),"0"))</f>
        <v/>
      </c>
      <c r="N2308" s="5">
        <f>IFERROR(INDEX(DePara!$A:$A,MATCH(TEXT(B2308,"0"),DePara!$D:$D,0)),"(sem categoria)")</f>
        <v/>
      </c>
      <c r="O2308" s="5">
        <f>IF(J2308="","",Parametros!$B$6-J2308)</f>
        <v/>
      </c>
      <c r="P2308" s="5">
        <f>IF(O2308="","",IF(O2308&gt;0,1,0))</f>
        <v/>
      </c>
    </row>
    <row r="2309">
      <c r="A2309" s="5" t="n">
        <v>2111000000</v>
      </c>
      <c r="B2309" s="5" t="inlineStr">
        <is>
          <t>101826</t>
        </is>
      </c>
      <c r="C2309" s="5" t="inlineStr">
        <is>
          <t>BUNZL EQUIP DE PROTECÃO INDIVIDUAL</t>
        </is>
      </c>
      <c r="D2309" s="5" t="inlineStr">
        <is>
          <t>RE</t>
        </is>
      </c>
      <c r="E2309" s="5" t="n">
        <v>5014752</v>
      </c>
      <c r="F2309" s="5" t="inlineStr">
        <is>
          <t>1831061-1</t>
        </is>
      </c>
      <c r="G2309" s="5" t="inlineStr">
        <is>
          <t>BRL</t>
        </is>
      </c>
      <c r="H2309" s="9" t="n">
        <v>-105600</v>
      </c>
      <c r="I2309" s="16" t="n">
        <v>46225</v>
      </c>
      <c r="J2309" s="16" t="n">
        <v>46300</v>
      </c>
      <c r="K2309" s="5" t="inlineStr">
        <is>
          <t>Fatura - bruto BUNZL EQUIP DE PROTECÃO INDIVIDUAL</t>
        </is>
      </c>
      <c r="L2309" s="5" t="inlineStr">
        <is>
          <t>05102026</t>
        </is>
      </c>
      <c r="M2309" s="5">
        <f>IF(YEAR(I2309)&lt;=2020,"Até 2020",TEXT(YEAR(I2309),"0"))</f>
        <v/>
      </c>
      <c r="N2309" s="5">
        <f>IFERROR(INDEX(DePara!$A:$A,MATCH(TEXT(B2309,"0"),DePara!$D:$D,0)),"(sem categoria)")</f>
        <v/>
      </c>
      <c r="O2309" s="5">
        <f>IF(J2309="","",Parametros!$B$6-J2309)</f>
        <v/>
      </c>
      <c r="P2309" s="5">
        <f>IF(O2309="","",IF(O2309&gt;0,1,0))</f>
        <v/>
      </c>
    </row>
    <row r="2310">
      <c r="A2310" s="5" t="n">
        <v>2111000000</v>
      </c>
      <c r="B2310" s="5" t="inlineStr">
        <is>
          <t>100883</t>
        </is>
      </c>
      <c r="C2310" s="5" t="inlineStr">
        <is>
          <t>QUELMAR TRANSPORTES LTDA</t>
        </is>
      </c>
      <c r="D2310" s="5" t="inlineStr">
        <is>
          <t>RE</t>
        </is>
      </c>
      <c r="E2310" s="5" t="n">
        <v>5014759</v>
      </c>
      <c r="F2310" s="5" t="inlineStr">
        <is>
          <t>6323-2</t>
        </is>
      </c>
      <c r="G2310" s="5" t="inlineStr">
        <is>
          <t>BRL</t>
        </is>
      </c>
      <c r="H2310" s="9" t="n">
        <v>-690</v>
      </c>
      <c r="I2310" s="16" t="n">
        <v>46232</v>
      </c>
      <c r="J2310" s="16" t="n">
        <v>46270</v>
      </c>
      <c r="K2310" s="5" t="inlineStr">
        <is>
          <t>Fatura - bruto QUELMAR TRANSPORTES LTDA 6323-2</t>
        </is>
      </c>
      <c r="L2310" s="5" t="inlineStr">
        <is>
          <t>08092026</t>
        </is>
      </c>
      <c r="M2310" s="5">
        <f>IF(YEAR(I2310)&lt;=2020,"Até 2020",TEXT(YEAR(I2310),"0"))</f>
        <v/>
      </c>
      <c r="N2310" s="5">
        <f>IFERROR(INDEX(DePara!$A:$A,MATCH(TEXT(B2310,"0"),DePara!$D:$D,0)),"(sem categoria)")</f>
        <v/>
      </c>
      <c r="O2310" s="5">
        <f>IF(J2310="","",Parametros!$B$6-J2310)</f>
        <v/>
      </c>
      <c r="P2310" s="5">
        <f>IF(O2310="","",IF(O2310&gt;0,1,0))</f>
        <v/>
      </c>
    </row>
    <row r="2311">
      <c r="A2311" s="5" t="n">
        <v>2111000000</v>
      </c>
      <c r="B2311" s="5" t="inlineStr">
        <is>
          <t>102113</t>
        </is>
      </c>
      <c r="C2311" s="5" t="inlineStr">
        <is>
          <t>3Z MOVIMENTACAO INTELIGENTE LTDA 94772233000237</t>
        </is>
      </c>
      <c r="D2311" s="5" t="inlineStr">
        <is>
          <t>RE</t>
        </is>
      </c>
      <c r="E2311" s="5" t="n">
        <v>5014760</v>
      </c>
      <c r="F2311" s="5" t="inlineStr">
        <is>
          <t>266</t>
        </is>
      </c>
      <c r="G2311" s="5" t="inlineStr">
        <is>
          <t>BRL</t>
        </is>
      </c>
      <c r="H2311" s="9" t="n">
        <v>-303341.57</v>
      </c>
      <c r="I2311" s="16" t="n">
        <v>46240</v>
      </c>
      <c r="J2311" s="16" t="n">
        <v>46330</v>
      </c>
      <c r="K2311" s="5" t="inlineStr">
        <is>
          <t>Fatura - bruto 3Z MOVIMENTACAO INTELIGENTE LTDA 94</t>
        </is>
      </c>
      <c r="L2311" s="5" t="inlineStr">
        <is>
          <t>04112026</t>
        </is>
      </c>
      <c r="M2311" s="5">
        <f>IF(YEAR(I2311)&lt;=2020,"Até 2020",TEXT(YEAR(I2311),"0"))</f>
        <v/>
      </c>
      <c r="N2311" s="5">
        <f>IFERROR(INDEX(DePara!$A:$A,MATCH(TEXT(B2311,"0"),DePara!$D:$D,0)),"(sem categoria)")</f>
        <v/>
      </c>
      <c r="O2311" s="5">
        <f>IF(J2311="","",Parametros!$B$6-J2311)</f>
        <v/>
      </c>
      <c r="P2311" s="5">
        <f>IF(O2311="","",IF(O2311&gt;0,1,0))</f>
        <v/>
      </c>
    </row>
    <row r="2312">
      <c r="A2312" s="5" t="n">
        <v>2111000000</v>
      </c>
      <c r="B2312" s="5" t="inlineStr">
        <is>
          <t>101944</t>
        </is>
      </c>
      <c r="C2312" s="5" t="inlineStr">
        <is>
          <t>TEXAS CONTROLS DO BRASIL LTDA</t>
        </is>
      </c>
      <c r="D2312" s="5" t="inlineStr">
        <is>
          <t>RE</t>
        </is>
      </c>
      <c r="E2312" s="5" t="n">
        <v>5014761</v>
      </c>
      <c r="F2312" s="5" t="inlineStr">
        <is>
          <t>1163</t>
        </is>
      </c>
      <c r="G2312" s="5" t="inlineStr">
        <is>
          <t>BRL</t>
        </is>
      </c>
      <c r="H2312" s="9" t="n">
        <v>-9070</v>
      </c>
      <c r="I2312" s="16" t="n">
        <v>46240</v>
      </c>
      <c r="J2312" s="16" t="n">
        <v>46271</v>
      </c>
      <c r="K2312" s="5" t="inlineStr">
        <is>
          <t>Fatura - bruto TEXAS CONTROLS DO BRASIL LTDA 1163</t>
        </is>
      </c>
      <c r="L2312" s="5" t="inlineStr">
        <is>
          <t>09092026</t>
        </is>
      </c>
      <c r="M2312" s="5">
        <f>IF(YEAR(I2312)&lt;=2020,"Até 2020",TEXT(YEAR(I2312),"0"))</f>
        <v/>
      </c>
      <c r="N2312" s="5">
        <f>IFERROR(INDEX(DePara!$A:$A,MATCH(TEXT(B2312,"0"),DePara!$D:$D,0)),"(sem categoria)")</f>
        <v/>
      </c>
      <c r="O2312" s="5">
        <f>IF(J2312="","",Parametros!$B$6-J2312)</f>
        <v/>
      </c>
      <c r="P2312" s="5">
        <f>IF(O2312="","",IF(O2312&gt;0,1,0))</f>
        <v/>
      </c>
    </row>
    <row r="2313">
      <c r="A2313" s="5" t="n">
        <v>2111000000</v>
      </c>
      <c r="B2313" s="5" t="inlineStr">
        <is>
          <t>103767</t>
        </is>
      </c>
      <c r="C2313" s="5" t="inlineStr">
        <is>
          <t>ROBERT HALF TRABALHO TEMPORARIO</t>
        </is>
      </c>
      <c r="D2313" s="5" t="inlineStr">
        <is>
          <t>RE</t>
        </is>
      </c>
      <c r="E2313" s="5" t="n">
        <v>5014766</v>
      </c>
      <c r="F2313" s="5" t="inlineStr">
        <is>
          <t>83898</t>
        </is>
      </c>
      <c r="G2313" s="5" t="inlineStr">
        <is>
          <t>BRL</t>
        </is>
      </c>
      <c r="H2313" s="9" t="n">
        <v>-19770.52</v>
      </c>
      <c r="I2313" s="16" t="n">
        <v>46242</v>
      </c>
      <c r="J2313" s="16" t="n">
        <v>46272</v>
      </c>
      <c r="K2313" s="5" t="inlineStr">
        <is>
          <t>MARCELO SILVA SANTANA - 07/2026</t>
        </is>
      </c>
      <c r="L2313" s="5" t="inlineStr">
        <is>
          <t>09092026</t>
        </is>
      </c>
      <c r="M2313" s="5">
        <f>IF(YEAR(I2313)&lt;=2020,"Até 2020",TEXT(YEAR(I2313),"0"))</f>
        <v/>
      </c>
      <c r="N2313" s="5">
        <f>IFERROR(INDEX(DePara!$A:$A,MATCH(TEXT(B2313,"0"),DePara!$D:$D,0)),"(sem categoria)")</f>
        <v/>
      </c>
      <c r="O2313" s="5">
        <f>IF(J2313="","",Parametros!$B$6-J2313)</f>
        <v/>
      </c>
      <c r="P2313" s="5">
        <f>IF(O2313="","",IF(O2313&gt;0,1,0))</f>
        <v/>
      </c>
    </row>
    <row r="2314">
      <c r="A2314" s="5" t="n">
        <v>2111000000</v>
      </c>
      <c r="B2314" s="5" t="inlineStr">
        <is>
          <t>100036</t>
        </is>
      </c>
      <c r="C2314" s="5" t="inlineStr">
        <is>
          <t>EMBRAPORT EMPRESA BRASILEIRA DE TER</t>
        </is>
      </c>
      <c r="D2314" s="5" t="inlineStr">
        <is>
          <t>KR</t>
        </is>
      </c>
      <c r="E2314" s="5" t="n">
        <v>5014767</v>
      </c>
      <c r="F2314" s="5" t="inlineStr">
        <is>
          <t>392731</t>
        </is>
      </c>
      <c r="G2314" s="5" t="inlineStr">
        <is>
          <t>BRL</t>
        </is>
      </c>
      <c r="H2314" s="9" t="n">
        <v>-59063.6</v>
      </c>
      <c r="I2314" s="16" t="n">
        <v>44691</v>
      </c>
      <c r="J2314" s="16" t="n">
        <v>44747</v>
      </c>
      <c r="K2314" s="5" t="inlineStr">
        <is>
          <t>VESA087N2</t>
        </is>
      </c>
      <c r="L2314" s="5" t="n"/>
      <c r="M2314" s="5">
        <f>IF(YEAR(I2314)&lt;=2020,"Até 2020",TEXT(YEAR(I2314),"0"))</f>
        <v/>
      </c>
      <c r="N2314" s="5">
        <f>IFERROR(INDEX(DePara!$A:$A,MATCH(TEXT(B2314,"0"),DePara!$D:$D,0)),"(sem categoria)")</f>
        <v/>
      </c>
      <c r="O2314" s="5">
        <f>IF(J2314="","",Parametros!$B$6-J2314)</f>
        <v/>
      </c>
      <c r="P2314" s="5">
        <f>IF(O2314="","",IF(O2314&gt;0,1,0))</f>
        <v/>
      </c>
    </row>
    <row r="2315">
      <c r="A2315" s="5" t="n">
        <v>2111000000</v>
      </c>
      <c r="B2315" s="5" t="inlineStr">
        <is>
          <t>100036</t>
        </is>
      </c>
      <c r="C2315" s="5" t="inlineStr">
        <is>
          <t>EMBRAPORT EMPRESA BRASILEIRA DE TER</t>
        </is>
      </c>
      <c r="D2315" s="5" t="inlineStr">
        <is>
          <t>KR</t>
        </is>
      </c>
      <c r="E2315" s="5" t="n">
        <v>5014768</v>
      </c>
      <c r="F2315" s="5" t="inlineStr">
        <is>
          <t>392080</t>
        </is>
      </c>
      <c r="G2315" s="5" t="inlineStr">
        <is>
          <t>BRL</t>
        </is>
      </c>
      <c r="H2315" s="9" t="n">
        <v>-167805.96</v>
      </c>
      <c r="I2315" s="16" t="n">
        <v>44698</v>
      </c>
      <c r="J2315" s="16" t="n">
        <v>44747</v>
      </c>
      <c r="K2315" s="5" t="inlineStr">
        <is>
          <t>VESA087N2</t>
        </is>
      </c>
      <c r="L2315" s="5" t="n"/>
      <c r="M2315" s="5">
        <f>IF(YEAR(I2315)&lt;=2020,"Até 2020",TEXT(YEAR(I2315),"0"))</f>
        <v/>
      </c>
      <c r="N2315" s="5">
        <f>IFERROR(INDEX(DePara!$A:$A,MATCH(TEXT(B2315,"0"),DePara!$D:$D,0)),"(sem categoria)")</f>
        <v/>
      </c>
      <c r="O2315" s="5">
        <f>IF(J2315="","",Parametros!$B$6-J2315)</f>
        <v/>
      </c>
      <c r="P2315" s="5">
        <f>IF(O2315="","",IF(O2315&gt;0,1,0))</f>
        <v/>
      </c>
    </row>
    <row r="2316">
      <c r="A2316" s="5" t="n">
        <v>2111000000</v>
      </c>
      <c r="B2316" s="5" t="inlineStr">
        <is>
          <t>100031</t>
        </is>
      </c>
      <c r="C2316" s="5" t="inlineStr">
        <is>
          <t>MEGAWIND INDUSTRIA E COMERCIO</t>
        </is>
      </c>
      <c r="D2316" s="5" t="inlineStr">
        <is>
          <t>RE</t>
        </is>
      </c>
      <c r="E2316" s="5" t="n">
        <v>5014782</v>
      </c>
      <c r="F2316" s="5" t="inlineStr">
        <is>
          <t>1440</t>
        </is>
      </c>
      <c r="G2316" s="5" t="inlineStr">
        <is>
          <t>BRL</t>
        </is>
      </c>
      <c r="H2316" s="9" t="n">
        <v>-105000</v>
      </c>
      <c r="I2316" s="16" t="n">
        <v>46241</v>
      </c>
      <c r="J2316" s="16" t="n">
        <v>46300</v>
      </c>
      <c r="K2316" s="5" t="inlineStr">
        <is>
          <t>Fatura - bruto MEGAWIND INDUSTRIA E COMERCIO 1440</t>
        </is>
      </c>
      <c r="L2316" s="5" t="inlineStr">
        <is>
          <t>05102026</t>
        </is>
      </c>
      <c r="M2316" s="5">
        <f>IF(YEAR(I2316)&lt;=2020,"Até 2020",TEXT(YEAR(I2316),"0"))</f>
        <v/>
      </c>
      <c r="N2316" s="5">
        <f>IFERROR(INDEX(DePara!$A:$A,MATCH(TEXT(B2316,"0"),DePara!$D:$D,0)),"(sem categoria)")</f>
        <v/>
      </c>
      <c r="O2316" s="5">
        <f>IF(J2316="","",Parametros!$B$6-J2316)</f>
        <v/>
      </c>
      <c r="P2316" s="5">
        <f>IF(O2316="","",IF(O2316&gt;0,1,0))</f>
        <v/>
      </c>
    </row>
    <row r="2317">
      <c r="A2317" s="5" t="n">
        <v>2111000000</v>
      </c>
      <c r="B2317" s="5" t="inlineStr">
        <is>
          <t>106471</t>
        </is>
      </c>
      <c r="C2317" s="5" t="inlineStr">
        <is>
          <t>P M C FERNANDES</t>
        </is>
      </c>
      <c r="D2317" s="5" t="inlineStr">
        <is>
          <t>RE</t>
        </is>
      </c>
      <c r="E2317" s="5" t="n">
        <v>5014783</v>
      </c>
      <c r="F2317" s="5" t="inlineStr">
        <is>
          <t>259</t>
        </is>
      </c>
      <c r="G2317" s="5" t="inlineStr">
        <is>
          <t>BRL</t>
        </is>
      </c>
      <c r="H2317" s="9" t="n">
        <v>-2620</v>
      </c>
      <c r="I2317" s="16" t="n">
        <v>46240</v>
      </c>
      <c r="J2317" s="16" t="n">
        <v>46300</v>
      </c>
      <c r="K2317" s="5" t="inlineStr">
        <is>
          <t>Fatura - bruto P M C FERNANDES 259</t>
        </is>
      </c>
      <c r="L2317" s="5" t="inlineStr">
        <is>
          <t>07102026</t>
        </is>
      </c>
      <c r="M2317" s="5">
        <f>IF(YEAR(I2317)&lt;=2020,"Até 2020",TEXT(YEAR(I2317),"0"))</f>
        <v/>
      </c>
      <c r="N2317" s="5">
        <f>IFERROR(INDEX(DePara!$A:$A,MATCH(TEXT(B2317,"0"),DePara!$D:$D,0)),"(sem categoria)")</f>
        <v/>
      </c>
      <c r="O2317" s="5">
        <f>IF(J2317="","",Parametros!$B$6-J2317)</f>
        <v/>
      </c>
      <c r="P2317" s="5">
        <f>IF(O2317="","",IF(O2317&gt;0,1,0))</f>
        <v/>
      </c>
    </row>
    <row r="2318">
      <c r="A2318" s="5" t="n">
        <v>2111000000</v>
      </c>
      <c r="B2318" s="5" t="inlineStr">
        <is>
          <t>100031</t>
        </is>
      </c>
      <c r="C2318" s="5" t="inlineStr">
        <is>
          <t>MEGAWIND INDUSTRIA E COMERCIO</t>
        </is>
      </c>
      <c r="D2318" s="5" t="inlineStr">
        <is>
          <t>RE</t>
        </is>
      </c>
      <c r="E2318" s="5" t="n">
        <v>5014787</v>
      </c>
      <c r="F2318" s="5" t="inlineStr">
        <is>
          <t>1443</t>
        </is>
      </c>
      <c r="G2318" s="5" t="inlineStr">
        <is>
          <t>BRL</t>
        </is>
      </c>
      <c r="H2318" s="9" t="n">
        <v>-10357.74</v>
      </c>
      <c r="I2318" s="16" t="n">
        <v>46244</v>
      </c>
      <c r="J2318" s="16" t="n">
        <v>46300</v>
      </c>
      <c r="K2318" s="5" t="inlineStr">
        <is>
          <t>Fatura - bruto MEGAWIND INDUSTRIA E COMERCIO 1443</t>
        </is>
      </c>
      <c r="L2318" s="5" t="inlineStr">
        <is>
          <t>05102026</t>
        </is>
      </c>
      <c r="M2318" s="5">
        <f>IF(YEAR(I2318)&lt;=2020,"Até 2020",TEXT(YEAR(I2318),"0"))</f>
        <v/>
      </c>
      <c r="N2318" s="5">
        <f>IFERROR(INDEX(DePara!$A:$A,MATCH(TEXT(B2318,"0"),DePara!$D:$D,0)),"(sem categoria)")</f>
        <v/>
      </c>
      <c r="O2318" s="5">
        <f>IF(J2318="","",Parametros!$B$6-J2318)</f>
        <v/>
      </c>
      <c r="P2318" s="5">
        <f>IF(O2318="","",IF(O2318&gt;0,1,0))</f>
        <v/>
      </c>
    </row>
    <row r="2319">
      <c r="A2319" s="5" t="n">
        <v>2111000000</v>
      </c>
      <c r="B2319" s="5" t="inlineStr">
        <is>
          <t>100883</t>
        </is>
      </c>
      <c r="C2319" s="5" t="inlineStr">
        <is>
          <t>QUELMAR TRANSPORTES LTDA</t>
        </is>
      </c>
      <c r="D2319" s="5" t="inlineStr">
        <is>
          <t>RE</t>
        </is>
      </c>
      <c r="E2319" s="5" t="n">
        <v>5014788</v>
      </c>
      <c r="F2319" s="5" t="inlineStr">
        <is>
          <t>108225-1</t>
        </is>
      </c>
      <c r="G2319" s="5" t="inlineStr">
        <is>
          <t>BRL</t>
        </is>
      </c>
      <c r="H2319" s="9" t="n">
        <v>-980</v>
      </c>
      <c r="I2319" s="16" t="n">
        <v>46232</v>
      </c>
      <c r="J2319" s="16" t="n">
        <v>46270</v>
      </c>
      <c r="K2319" s="5" t="inlineStr">
        <is>
          <t>Fatura - bruto QUELMAR TRANSPORTES LTDA 108225-1</t>
        </is>
      </c>
      <c r="L2319" s="5" t="inlineStr">
        <is>
          <t>08092026</t>
        </is>
      </c>
      <c r="M2319" s="5">
        <f>IF(YEAR(I2319)&lt;=2020,"Até 2020",TEXT(YEAR(I2319),"0"))</f>
        <v/>
      </c>
      <c r="N2319" s="5">
        <f>IFERROR(INDEX(DePara!$A:$A,MATCH(TEXT(B2319,"0"),DePara!$D:$D,0)),"(sem categoria)")</f>
        <v/>
      </c>
      <c r="O2319" s="5">
        <f>IF(J2319="","",Parametros!$B$6-J2319)</f>
        <v/>
      </c>
      <c r="P2319" s="5">
        <f>IF(O2319="","",IF(O2319&gt;0,1,0))</f>
        <v/>
      </c>
    </row>
    <row r="2320">
      <c r="A2320" s="5" t="n">
        <v>2111000000</v>
      </c>
      <c r="B2320" s="5" t="inlineStr">
        <is>
          <t>100883</t>
        </is>
      </c>
      <c r="C2320" s="5" t="inlineStr">
        <is>
          <t>QUELMAR TRANSPORTES LTDA</t>
        </is>
      </c>
      <c r="D2320" s="5" t="inlineStr">
        <is>
          <t>RE</t>
        </is>
      </c>
      <c r="E2320" s="5" t="n">
        <v>5014789</v>
      </c>
      <c r="F2320" s="5" t="inlineStr">
        <is>
          <t>108199-1</t>
        </is>
      </c>
      <c r="G2320" s="5" t="inlineStr">
        <is>
          <t>BRL</t>
        </is>
      </c>
      <c r="H2320" s="9" t="n">
        <v>-1474.29</v>
      </c>
      <c r="I2320" s="16" t="n">
        <v>46231</v>
      </c>
      <c r="J2320" s="16" t="n">
        <v>46270</v>
      </c>
      <c r="K2320" s="5" t="inlineStr">
        <is>
          <t>Fatura - bruto QUELMAR TRANSPORTES LTDA 108199-1</t>
        </is>
      </c>
      <c r="L2320" s="5" t="inlineStr">
        <is>
          <t>08092026</t>
        </is>
      </c>
      <c r="M2320" s="5">
        <f>IF(YEAR(I2320)&lt;=2020,"Até 2020",TEXT(YEAR(I2320),"0"))</f>
        <v/>
      </c>
      <c r="N2320" s="5">
        <f>IFERROR(INDEX(DePara!$A:$A,MATCH(TEXT(B2320,"0"),DePara!$D:$D,0)),"(sem categoria)")</f>
        <v/>
      </c>
      <c r="O2320" s="5">
        <f>IF(J2320="","",Parametros!$B$6-J2320)</f>
        <v/>
      </c>
      <c r="P2320" s="5">
        <f>IF(O2320="","",IF(O2320&gt;0,1,0))</f>
        <v/>
      </c>
    </row>
    <row r="2321">
      <c r="A2321" s="5" t="n">
        <v>2111000000</v>
      </c>
      <c r="B2321" s="5" t="inlineStr">
        <is>
          <t>100479</t>
        </is>
      </c>
      <c r="C2321" s="5" t="inlineStr">
        <is>
          <t>POUSADA ITARETAMA LTDA</t>
        </is>
      </c>
      <c r="D2321" s="5" t="inlineStr">
        <is>
          <t>RE</t>
        </is>
      </c>
      <c r="E2321" s="5" t="n">
        <v>5014792</v>
      </c>
      <c r="F2321" s="5" t="inlineStr">
        <is>
          <t>598</t>
        </is>
      </c>
      <c r="G2321" s="5" t="inlineStr">
        <is>
          <t>BRL</t>
        </is>
      </c>
      <c r="H2321" s="9" t="n">
        <v>-1983.63</v>
      </c>
      <c r="I2321" s="16" t="n">
        <v>46244</v>
      </c>
      <c r="J2321" s="16" t="n">
        <v>46270</v>
      </c>
      <c r="K2321" s="5" t="inlineStr">
        <is>
          <t>Fatura - bruto POUSADA ITARETAMA LTDA 598</t>
        </is>
      </c>
      <c r="L2321" s="5" t="inlineStr">
        <is>
          <t>08092026</t>
        </is>
      </c>
      <c r="M2321" s="5">
        <f>IF(YEAR(I2321)&lt;=2020,"Até 2020",TEXT(YEAR(I2321),"0"))</f>
        <v/>
      </c>
      <c r="N2321" s="5">
        <f>IFERROR(INDEX(DePara!$A:$A,MATCH(TEXT(B2321,"0"),DePara!$D:$D,0)),"(sem categoria)")</f>
        <v/>
      </c>
      <c r="O2321" s="5">
        <f>IF(J2321="","",Parametros!$B$6-J2321)</f>
        <v/>
      </c>
      <c r="P2321" s="5">
        <f>IF(O2321="","",IF(O2321&gt;0,1,0))</f>
        <v/>
      </c>
    </row>
    <row r="2322">
      <c r="A2322" s="5" t="n">
        <v>2111000000</v>
      </c>
      <c r="B2322" s="5" t="inlineStr">
        <is>
          <t>100031</t>
        </is>
      </c>
      <c r="C2322" s="5" t="inlineStr">
        <is>
          <t>MEGAWIND INDUSTRIA E COMERCIO</t>
        </is>
      </c>
      <c r="D2322" s="5" t="inlineStr">
        <is>
          <t>RE</t>
        </is>
      </c>
      <c r="E2322" s="5" t="n">
        <v>5014807</v>
      </c>
      <c r="F2322" s="5" t="inlineStr">
        <is>
          <t>1442</t>
        </is>
      </c>
      <c r="G2322" s="5" t="inlineStr">
        <is>
          <t>BRL</t>
        </is>
      </c>
      <c r="H2322" s="9" t="n">
        <v>-67174.92</v>
      </c>
      <c r="I2322" s="16" t="n">
        <v>46244</v>
      </c>
      <c r="J2322" s="16" t="n">
        <v>46300</v>
      </c>
      <c r="K2322" s="5" t="inlineStr">
        <is>
          <t>Fatura - bruto MEGAWIND INDUSTRIA E COMERCIO 1442</t>
        </is>
      </c>
      <c r="L2322" s="5" t="inlineStr">
        <is>
          <t>05102026</t>
        </is>
      </c>
      <c r="M2322" s="5">
        <f>IF(YEAR(I2322)&lt;=2020,"Até 2020",TEXT(YEAR(I2322),"0"))</f>
        <v/>
      </c>
      <c r="N2322" s="5">
        <f>IFERROR(INDEX(DePara!$A:$A,MATCH(TEXT(B2322,"0"),DePara!$D:$D,0)),"(sem categoria)")</f>
        <v/>
      </c>
      <c r="O2322" s="5">
        <f>IF(J2322="","",Parametros!$B$6-J2322)</f>
        <v/>
      </c>
      <c r="P2322" s="5">
        <f>IF(O2322="","",IF(O2322&gt;0,1,0))</f>
        <v/>
      </c>
    </row>
    <row r="2323">
      <c r="A2323" s="5" t="n">
        <v>2111000000</v>
      </c>
      <c r="B2323" s="5" t="inlineStr">
        <is>
          <t>101463</t>
        </is>
      </c>
      <c r="C2323" s="5" t="inlineStr">
        <is>
          <t>ZURICH MINAS BRASIL SEGUROS S A</t>
        </is>
      </c>
      <c r="D2323" s="5" t="inlineStr">
        <is>
          <t>RE</t>
        </is>
      </c>
      <c r="E2323" s="5" t="n">
        <v>5014809</v>
      </c>
      <c r="F2323" s="5" t="inlineStr">
        <is>
          <t>0226/26</t>
        </is>
      </c>
      <c r="G2323" s="5" t="inlineStr">
        <is>
          <t>BRL</t>
        </is>
      </c>
      <c r="H2323" s="9" t="n">
        <v>-127.02</v>
      </c>
      <c r="I2323" s="16" t="n">
        <v>46244</v>
      </c>
      <c r="J2323" s="16" t="n">
        <v>46274</v>
      </c>
      <c r="K2323" s="5" t="inlineStr">
        <is>
          <t>Invoice Payment. SP: 21219</t>
        </is>
      </c>
      <c r="L2323" s="5" t="inlineStr">
        <is>
          <t>0226/26</t>
        </is>
      </c>
      <c r="M2323" s="5">
        <f>IF(YEAR(I2323)&lt;=2020,"Até 2020",TEXT(YEAR(I2323),"0"))</f>
        <v/>
      </c>
      <c r="N2323" s="5">
        <f>IFERROR(INDEX(DePara!$A:$A,MATCH(TEXT(B2323,"0"),DePara!$D:$D,0)),"(sem categoria)")</f>
        <v/>
      </c>
      <c r="O2323" s="5">
        <f>IF(J2323="","",Parametros!$B$6-J2323)</f>
        <v/>
      </c>
      <c r="P2323" s="5">
        <f>IF(O2323="","",IF(O2323&gt;0,1,0))</f>
        <v/>
      </c>
    </row>
    <row r="2324">
      <c r="A2324" s="5" t="n">
        <v>2111000000</v>
      </c>
      <c r="B2324" s="5" t="inlineStr">
        <is>
          <t>100031</t>
        </is>
      </c>
      <c r="C2324" s="5" t="inlineStr">
        <is>
          <t>MEGAWIND INDUSTRIA E COMERCIO</t>
        </is>
      </c>
      <c r="D2324" s="5" t="inlineStr">
        <is>
          <t>RE</t>
        </is>
      </c>
      <c r="E2324" s="5" t="n">
        <v>5014810</v>
      </c>
      <c r="F2324" s="5" t="inlineStr">
        <is>
          <t>1435</t>
        </is>
      </c>
      <c r="G2324" s="5" t="inlineStr">
        <is>
          <t>BRL</t>
        </is>
      </c>
      <c r="H2324" s="9" t="n">
        <v>-175289.04</v>
      </c>
      <c r="I2324" s="16" t="n">
        <v>46237</v>
      </c>
      <c r="J2324" s="16" t="n">
        <v>46300</v>
      </c>
      <c r="K2324" s="5" t="inlineStr">
        <is>
          <t>Fatura - bruto MEGAWIND INDUSTRIA E COMERCIO 1435</t>
        </is>
      </c>
      <c r="L2324" s="5" t="inlineStr">
        <is>
          <t>05102026</t>
        </is>
      </c>
      <c r="M2324" s="5">
        <f>IF(YEAR(I2324)&lt;=2020,"Até 2020",TEXT(YEAR(I2324),"0"))</f>
        <v/>
      </c>
      <c r="N2324" s="5">
        <f>IFERROR(INDEX(DePara!$A:$A,MATCH(TEXT(B2324,"0"),DePara!$D:$D,0)),"(sem categoria)")</f>
        <v/>
      </c>
      <c r="O2324" s="5">
        <f>IF(J2324="","",Parametros!$B$6-J2324)</f>
        <v/>
      </c>
      <c r="P2324" s="5">
        <f>IF(O2324="","",IF(O2324&gt;0,1,0))</f>
        <v/>
      </c>
    </row>
    <row r="2325">
      <c r="A2325" s="5" t="n">
        <v>2111000000</v>
      </c>
      <c r="B2325" s="5" t="inlineStr">
        <is>
          <t>101463</t>
        </is>
      </c>
      <c r="C2325" s="5" t="inlineStr">
        <is>
          <t>ZURICH MINAS BRASIL SEGUROS S A</t>
        </is>
      </c>
      <c r="D2325" s="5" t="inlineStr">
        <is>
          <t>RE</t>
        </is>
      </c>
      <c r="E2325" s="5" t="n">
        <v>5014812</v>
      </c>
      <c r="F2325" s="5" t="inlineStr">
        <is>
          <t>0341/26</t>
        </is>
      </c>
      <c r="G2325" s="5" t="inlineStr">
        <is>
          <t>BRL</t>
        </is>
      </c>
      <c r="H2325" s="9" t="n">
        <v>-1278.37</v>
      </c>
      <c r="I2325" s="16" t="n">
        <v>46244</v>
      </c>
      <c r="J2325" s="16" t="n">
        <v>46274</v>
      </c>
      <c r="K2325" s="5" t="inlineStr">
        <is>
          <t>Invoice Payment. SP: 21221</t>
        </is>
      </c>
      <c r="L2325" s="5" t="inlineStr">
        <is>
          <t>0341/26</t>
        </is>
      </c>
      <c r="M2325" s="5">
        <f>IF(YEAR(I2325)&lt;=2020,"Até 2020",TEXT(YEAR(I2325),"0"))</f>
        <v/>
      </c>
      <c r="N2325" s="5">
        <f>IFERROR(INDEX(DePara!$A:$A,MATCH(TEXT(B2325,"0"),DePara!$D:$D,0)),"(sem categoria)")</f>
        <v/>
      </c>
      <c r="O2325" s="5">
        <f>IF(J2325="","",Parametros!$B$6-J2325)</f>
        <v/>
      </c>
      <c r="P2325" s="5">
        <f>IF(O2325="","",IF(O2325&gt;0,1,0))</f>
        <v/>
      </c>
    </row>
    <row r="2326">
      <c r="A2326" s="5" t="n">
        <v>2111000000</v>
      </c>
      <c r="B2326" s="5" t="inlineStr">
        <is>
          <t>107696</t>
        </is>
      </c>
      <c r="C2326" s="5" t="inlineStr">
        <is>
          <t>SIMM MONTAGENS EOLICAS LTDA</t>
        </is>
      </c>
      <c r="D2326" s="5" t="inlineStr">
        <is>
          <t>RE</t>
        </is>
      </c>
      <c r="E2326" s="5" t="n">
        <v>5014813</v>
      </c>
      <c r="F2326" s="5" t="inlineStr">
        <is>
          <t>81</t>
        </is>
      </c>
      <c r="G2326" s="5" t="inlineStr">
        <is>
          <t>BRL</t>
        </is>
      </c>
      <c r="H2326" s="9" t="n">
        <v>-26750.38</v>
      </c>
      <c r="I2326" s="16" t="n">
        <v>46239</v>
      </c>
      <c r="J2326" s="16" t="n">
        <v>46269</v>
      </c>
      <c r="K2326" s="5" t="inlineStr">
        <is>
          <t>PGTO BLOQ ATE REG DE SEGURO</t>
        </is>
      </c>
      <c r="L2326" s="5" t="inlineStr">
        <is>
          <t>NÃO PAGAR</t>
        </is>
      </c>
      <c r="M2326" s="5">
        <f>IF(YEAR(I2326)&lt;=2020,"Até 2020",TEXT(YEAR(I2326),"0"))</f>
        <v/>
      </c>
      <c r="N2326" s="5">
        <f>IFERROR(INDEX(DePara!$A:$A,MATCH(TEXT(B2326,"0"),DePara!$D:$D,0)),"(sem categoria)")</f>
        <v/>
      </c>
      <c r="O2326" s="5">
        <f>IF(J2326="","",Parametros!$B$6-J2326)</f>
        <v/>
      </c>
      <c r="P2326" s="5">
        <f>IF(O2326="","",IF(O2326&gt;0,1,0))</f>
        <v/>
      </c>
    </row>
    <row r="2327">
      <c r="A2327" s="5" t="n">
        <v>2111000000</v>
      </c>
      <c r="B2327" s="5" t="inlineStr">
        <is>
          <t>107696</t>
        </is>
      </c>
      <c r="C2327" s="5" t="inlineStr">
        <is>
          <t>SIMM MONTAGENS EOLICAS LTDA</t>
        </is>
      </c>
      <c r="D2327" s="5" t="inlineStr">
        <is>
          <t>RE</t>
        </is>
      </c>
      <c r="E2327" s="5" t="n">
        <v>5014815</v>
      </c>
      <c r="F2327" s="5" t="inlineStr">
        <is>
          <t>79</t>
        </is>
      </c>
      <c r="G2327" s="5" t="inlineStr">
        <is>
          <t>BRL</t>
        </is>
      </c>
      <c r="H2327" s="9" t="n">
        <v>-43133.14</v>
      </c>
      <c r="I2327" s="16" t="n">
        <v>46238</v>
      </c>
      <c r="J2327" s="16" t="n">
        <v>46268</v>
      </c>
      <c r="K2327" s="5" t="inlineStr">
        <is>
          <t>PGTO BLOQ ATE REG DE SEGURO</t>
        </is>
      </c>
      <c r="L2327" s="5" t="inlineStr">
        <is>
          <t>NÃO PAGAR</t>
        </is>
      </c>
      <c r="M2327" s="5">
        <f>IF(YEAR(I2327)&lt;=2020,"Até 2020",TEXT(YEAR(I2327),"0"))</f>
        <v/>
      </c>
      <c r="N2327" s="5">
        <f>IFERROR(INDEX(DePara!$A:$A,MATCH(TEXT(B2327,"0"),DePara!$D:$D,0)),"(sem categoria)")</f>
        <v/>
      </c>
      <c r="O2327" s="5">
        <f>IF(J2327="","",Parametros!$B$6-J2327)</f>
        <v/>
      </c>
      <c r="P2327" s="5">
        <f>IF(O2327="","",IF(O2327&gt;0,1,0))</f>
        <v/>
      </c>
    </row>
    <row r="2328">
      <c r="A2328" s="5" t="n">
        <v>2111000000</v>
      </c>
      <c r="B2328" s="5" t="inlineStr">
        <is>
          <t>101463</t>
        </is>
      </c>
      <c r="C2328" s="5" t="inlineStr">
        <is>
          <t>ZURICH MINAS BRASIL SEGUROS S A</t>
        </is>
      </c>
      <c r="D2328" s="5" t="inlineStr">
        <is>
          <t>RE</t>
        </is>
      </c>
      <c r="E2328" s="5" t="n">
        <v>5014818</v>
      </c>
      <c r="F2328" s="5" t="inlineStr">
        <is>
          <t>0347/26</t>
        </is>
      </c>
      <c r="G2328" s="5" t="inlineStr">
        <is>
          <t>BRL</t>
        </is>
      </c>
      <c r="H2328" s="9" t="n">
        <v>-347.9</v>
      </c>
      <c r="I2328" s="16" t="n">
        <v>46244</v>
      </c>
      <c r="J2328" s="16" t="n">
        <v>46274</v>
      </c>
      <c r="K2328" s="5" t="inlineStr">
        <is>
          <t>Invoice Payment. SP: 21223</t>
        </is>
      </c>
      <c r="L2328" s="5" t="inlineStr">
        <is>
          <t>0347/26</t>
        </is>
      </c>
      <c r="M2328" s="5">
        <f>IF(YEAR(I2328)&lt;=2020,"Até 2020",TEXT(YEAR(I2328),"0"))</f>
        <v/>
      </c>
      <c r="N2328" s="5">
        <f>IFERROR(INDEX(DePara!$A:$A,MATCH(TEXT(B2328,"0"),DePara!$D:$D,0)),"(sem categoria)")</f>
        <v/>
      </c>
      <c r="O2328" s="5">
        <f>IF(J2328="","",Parametros!$B$6-J2328)</f>
        <v/>
      </c>
      <c r="P2328" s="5">
        <f>IF(O2328="","",IF(O2328&gt;0,1,0))</f>
        <v/>
      </c>
    </row>
    <row r="2329">
      <c r="A2329" s="5" t="n">
        <v>2111000000</v>
      </c>
      <c r="B2329" s="5" t="inlineStr">
        <is>
          <t>104050</t>
        </is>
      </c>
      <c r="C2329" s="5" t="inlineStr">
        <is>
          <t>DEFENSY SEGURANCA E SERVICOS LTDA 49758078000169</t>
        </is>
      </c>
      <c r="D2329" s="5" t="inlineStr">
        <is>
          <t>RE</t>
        </is>
      </c>
      <c r="E2329" s="5" t="n">
        <v>5014819</v>
      </c>
      <c r="F2329" s="5" t="inlineStr">
        <is>
          <t>17</t>
        </is>
      </c>
      <c r="G2329" s="5" t="inlineStr">
        <is>
          <t>BRL</t>
        </is>
      </c>
      <c r="H2329" s="9" t="n">
        <v>-71881.34</v>
      </c>
      <c r="I2329" s="16" t="n">
        <v>46244</v>
      </c>
      <c r="J2329" s="16" t="n">
        <v>46300</v>
      </c>
      <c r="K2329" s="5" t="inlineStr">
        <is>
          <t>Fatura - bruto DEFENSY SEGURANCA E SERVICOS LTDA 4</t>
        </is>
      </c>
      <c r="L2329" s="5" t="inlineStr">
        <is>
          <t>05102026</t>
        </is>
      </c>
      <c r="M2329" s="5">
        <f>IF(YEAR(I2329)&lt;=2020,"Até 2020",TEXT(YEAR(I2329),"0"))</f>
        <v/>
      </c>
      <c r="N2329" s="5">
        <f>IFERROR(INDEX(DePara!$A:$A,MATCH(TEXT(B2329,"0"),DePara!$D:$D,0)),"(sem categoria)")</f>
        <v/>
      </c>
      <c r="O2329" s="5">
        <f>IF(J2329="","",Parametros!$B$6-J2329)</f>
        <v/>
      </c>
      <c r="P2329" s="5">
        <f>IF(O2329="","",IF(O2329&gt;0,1,0))</f>
        <v/>
      </c>
    </row>
    <row r="2330">
      <c r="A2330" s="5" t="n">
        <v>2111000000</v>
      </c>
      <c r="B2330" s="5" t="inlineStr">
        <is>
          <t>101775</t>
        </is>
      </c>
      <c r="C2330" s="5" t="inlineStr">
        <is>
          <t>SOUSATEC.NET LTDA  ME</t>
        </is>
      </c>
      <c r="D2330" s="5" t="inlineStr">
        <is>
          <t>RE</t>
        </is>
      </c>
      <c r="E2330" s="5" t="n">
        <v>5014823</v>
      </c>
      <c r="F2330" s="5" t="inlineStr">
        <is>
          <t>5509</t>
        </is>
      </c>
      <c r="G2330" s="5" t="inlineStr">
        <is>
          <t>BRL</t>
        </is>
      </c>
      <c r="H2330" s="9" t="n">
        <v>-1390</v>
      </c>
      <c r="I2330" s="16" t="n">
        <v>46239</v>
      </c>
      <c r="J2330" s="16" t="n">
        <v>46269</v>
      </c>
      <c r="K2330" s="5" t="inlineStr">
        <is>
          <t>Fatura - bruto SOUSATEC.NET LTDA  ME 5509</t>
        </is>
      </c>
      <c r="L2330" s="5" t="inlineStr">
        <is>
          <t>02092026</t>
        </is>
      </c>
      <c r="M2330" s="5">
        <f>IF(YEAR(I2330)&lt;=2020,"Até 2020",TEXT(YEAR(I2330),"0"))</f>
        <v/>
      </c>
      <c r="N2330" s="5">
        <f>IFERROR(INDEX(DePara!$A:$A,MATCH(TEXT(B2330,"0"),DePara!$D:$D,0)),"(sem categoria)")</f>
        <v/>
      </c>
      <c r="O2330" s="5">
        <f>IF(J2330="","",Parametros!$B$6-J2330)</f>
        <v/>
      </c>
      <c r="P2330" s="5">
        <f>IF(O2330="","",IF(O2330&gt;0,1,0))</f>
        <v/>
      </c>
    </row>
    <row r="2331">
      <c r="A2331" s="5" t="n">
        <v>2111000000</v>
      </c>
      <c r="B2331" s="5" t="inlineStr">
        <is>
          <t>101553</t>
        </is>
      </c>
      <c r="C2331" s="5" t="inlineStr">
        <is>
          <t>LABOTECH METROLOGIA LTDA ME</t>
        </is>
      </c>
      <c r="D2331" s="5" t="inlineStr">
        <is>
          <t>RE</t>
        </is>
      </c>
      <c r="E2331" s="5" t="n">
        <v>5014824</v>
      </c>
      <c r="F2331" s="5" t="inlineStr">
        <is>
          <t>970</t>
        </is>
      </c>
      <c r="G2331" s="5" t="inlineStr">
        <is>
          <t>BRL</t>
        </is>
      </c>
      <c r="H2331" s="9" t="n">
        <v>-8505</v>
      </c>
      <c r="I2331" s="16" t="n">
        <v>46239</v>
      </c>
      <c r="J2331" s="16" t="n">
        <v>46270</v>
      </c>
      <c r="K2331" s="5" t="inlineStr">
        <is>
          <t>Fatura - bruto LABOTECH METROLOGIA LTDA ME 970</t>
        </is>
      </c>
      <c r="L2331" s="5" t="inlineStr">
        <is>
          <t>08092026</t>
        </is>
      </c>
      <c r="M2331" s="5">
        <f>IF(YEAR(I2331)&lt;=2020,"Até 2020",TEXT(YEAR(I2331),"0"))</f>
        <v/>
      </c>
      <c r="N2331" s="5">
        <f>IFERROR(INDEX(DePara!$A:$A,MATCH(TEXT(B2331,"0"),DePara!$D:$D,0)),"(sem categoria)")</f>
        <v/>
      </c>
      <c r="O2331" s="5">
        <f>IF(J2331="","",Parametros!$B$6-J2331)</f>
        <v/>
      </c>
      <c r="P2331" s="5">
        <f>IF(O2331="","",IF(O2331&gt;0,1,0))</f>
        <v/>
      </c>
    </row>
    <row r="2332">
      <c r="A2332" s="5" t="n">
        <v>2111000000</v>
      </c>
      <c r="B2332" s="5" t="inlineStr">
        <is>
          <t>101553</t>
        </is>
      </c>
      <c r="C2332" s="5" t="inlineStr">
        <is>
          <t>LABOTECH METROLOGIA LTDA ME</t>
        </is>
      </c>
      <c r="D2332" s="5" t="inlineStr">
        <is>
          <t>RE</t>
        </is>
      </c>
      <c r="E2332" s="5" t="n">
        <v>5014825</v>
      </c>
      <c r="F2332" s="5" t="inlineStr">
        <is>
          <t>955</t>
        </is>
      </c>
      <c r="G2332" s="5" t="inlineStr">
        <is>
          <t>BRL</t>
        </is>
      </c>
      <c r="H2332" s="9" t="n">
        <v>-623</v>
      </c>
      <c r="I2332" s="16" t="n">
        <v>46238</v>
      </c>
      <c r="J2332" s="16" t="n">
        <v>46270</v>
      </c>
      <c r="K2332" s="5" t="inlineStr">
        <is>
          <t>Fatura - bruto LABOTECH METROLOGIA LTDA ME 955</t>
        </is>
      </c>
      <c r="L2332" s="5" t="inlineStr">
        <is>
          <t>08092026</t>
        </is>
      </c>
      <c r="M2332" s="5">
        <f>IF(YEAR(I2332)&lt;=2020,"Até 2020",TEXT(YEAR(I2332),"0"))</f>
        <v/>
      </c>
      <c r="N2332" s="5">
        <f>IFERROR(INDEX(DePara!$A:$A,MATCH(TEXT(B2332,"0"),DePara!$D:$D,0)),"(sem categoria)")</f>
        <v/>
      </c>
      <c r="O2332" s="5">
        <f>IF(J2332="","",Parametros!$B$6-J2332)</f>
        <v/>
      </c>
      <c r="P2332" s="5">
        <f>IF(O2332="","",IF(O2332&gt;0,1,0))</f>
        <v/>
      </c>
    </row>
    <row r="2333">
      <c r="A2333" s="5" t="n">
        <v>2111000000</v>
      </c>
      <c r="B2333" s="5" t="inlineStr">
        <is>
          <t>101553</t>
        </is>
      </c>
      <c r="C2333" s="5" t="inlineStr">
        <is>
          <t>LABOTECH METROLOGIA LTDA ME</t>
        </is>
      </c>
      <c r="D2333" s="5" t="inlineStr">
        <is>
          <t>RE</t>
        </is>
      </c>
      <c r="E2333" s="5" t="n">
        <v>5014826</v>
      </c>
      <c r="F2333" s="5" t="inlineStr">
        <is>
          <t>956</t>
        </is>
      </c>
      <c r="G2333" s="5" t="inlineStr">
        <is>
          <t>BRL</t>
        </is>
      </c>
      <c r="H2333" s="9" t="n">
        <v>-1143</v>
      </c>
      <c r="I2333" s="16" t="n">
        <v>46238</v>
      </c>
      <c r="J2333" s="16" t="n">
        <v>46270</v>
      </c>
      <c r="K2333" s="5" t="inlineStr">
        <is>
          <t>Fatura - bruto LABOTECH METROLOGIA LTDA ME 956</t>
        </is>
      </c>
      <c r="L2333" s="5" t="inlineStr">
        <is>
          <t>08092026</t>
        </is>
      </c>
      <c r="M2333" s="5">
        <f>IF(YEAR(I2333)&lt;=2020,"Até 2020",TEXT(YEAR(I2333),"0"))</f>
        <v/>
      </c>
      <c r="N2333" s="5">
        <f>IFERROR(INDEX(DePara!$A:$A,MATCH(TEXT(B2333,"0"),DePara!$D:$D,0)),"(sem categoria)")</f>
        <v/>
      </c>
      <c r="O2333" s="5">
        <f>IF(J2333="","",Parametros!$B$6-J2333)</f>
        <v/>
      </c>
      <c r="P2333" s="5">
        <f>IF(O2333="","",IF(O2333&gt;0,1,0))</f>
        <v/>
      </c>
    </row>
    <row r="2334">
      <c r="A2334" s="5" t="n">
        <v>2111000000</v>
      </c>
      <c r="B2334" s="5" t="inlineStr">
        <is>
          <t>102433</t>
        </is>
      </c>
      <c r="C2334" s="5" t="inlineStr">
        <is>
          <t>BECOMEX CONSULTORIA LTDA</t>
        </is>
      </c>
      <c r="D2334" s="5" t="inlineStr">
        <is>
          <t>RE</t>
        </is>
      </c>
      <c r="E2334" s="5" t="n">
        <v>5014828</v>
      </c>
      <c r="F2334" s="5" t="inlineStr">
        <is>
          <t>437</t>
        </is>
      </c>
      <c r="G2334" s="5" t="inlineStr">
        <is>
          <t>BRL</t>
        </is>
      </c>
      <c r="H2334" s="9" t="n">
        <v>-4432.3</v>
      </c>
      <c r="I2334" s="16" t="n">
        <v>46238</v>
      </c>
      <c r="J2334" s="16" t="n">
        <v>46273</v>
      </c>
      <c r="K2334" s="5" t="inlineStr">
        <is>
          <t>Fatura - bruto BECOMEX CONSULTORIA LTDA 437</t>
        </is>
      </c>
      <c r="L2334" s="5" t="inlineStr">
        <is>
          <t>09092026</t>
        </is>
      </c>
      <c r="M2334" s="5">
        <f>IF(YEAR(I2334)&lt;=2020,"Até 2020",TEXT(YEAR(I2334),"0"))</f>
        <v/>
      </c>
      <c r="N2334" s="5">
        <f>IFERROR(INDEX(DePara!$A:$A,MATCH(TEXT(B2334,"0"),DePara!$D:$D,0)),"(sem categoria)")</f>
        <v/>
      </c>
      <c r="O2334" s="5">
        <f>IF(J2334="","",Parametros!$B$6-J2334)</f>
        <v/>
      </c>
      <c r="P2334" s="5">
        <f>IF(O2334="","",IF(O2334&gt;0,1,0))</f>
        <v/>
      </c>
    </row>
    <row r="2335">
      <c r="A2335" s="5" t="n">
        <v>2111000000</v>
      </c>
      <c r="B2335" s="5" t="inlineStr">
        <is>
          <t>101463</t>
        </is>
      </c>
      <c r="C2335" s="5" t="inlineStr">
        <is>
          <t>ZURICH MINAS BRASIL SEGUROS S A</t>
        </is>
      </c>
      <c r="D2335" s="5" t="inlineStr">
        <is>
          <t>RE</t>
        </is>
      </c>
      <c r="E2335" s="5" t="n">
        <v>5014831</v>
      </c>
      <c r="F2335" s="5" t="inlineStr">
        <is>
          <t>0235/26</t>
        </is>
      </c>
      <c r="G2335" s="5" t="inlineStr">
        <is>
          <t>BRL</t>
        </is>
      </c>
      <c r="H2335" s="9" t="n">
        <v>-6886.49</v>
      </c>
      <c r="I2335" s="16" t="n">
        <v>46244</v>
      </c>
      <c r="J2335" s="16" t="n">
        <v>46274</v>
      </c>
      <c r="K2335" s="5" t="inlineStr">
        <is>
          <t>Invoice Payment. SP: 21226</t>
        </is>
      </c>
      <c r="L2335" s="5" t="inlineStr">
        <is>
          <t>0235/26</t>
        </is>
      </c>
      <c r="M2335" s="5">
        <f>IF(YEAR(I2335)&lt;=2020,"Até 2020",TEXT(YEAR(I2335),"0"))</f>
        <v/>
      </c>
      <c r="N2335" s="5">
        <f>IFERROR(INDEX(DePara!$A:$A,MATCH(TEXT(B2335,"0"),DePara!$D:$D,0)),"(sem categoria)")</f>
        <v/>
      </c>
      <c r="O2335" s="5">
        <f>IF(J2335="","",Parametros!$B$6-J2335)</f>
        <v/>
      </c>
      <c r="P2335" s="5">
        <f>IF(O2335="","",IF(O2335&gt;0,1,0))</f>
        <v/>
      </c>
    </row>
    <row r="2336">
      <c r="A2336" s="5" t="n">
        <v>2111000000</v>
      </c>
      <c r="B2336" s="5" t="inlineStr">
        <is>
          <t>102433</t>
        </is>
      </c>
      <c r="C2336" s="5" t="inlineStr">
        <is>
          <t>BECOMEX CONSULTORIA LTDA</t>
        </is>
      </c>
      <c r="D2336" s="5" t="inlineStr">
        <is>
          <t>RE</t>
        </is>
      </c>
      <c r="E2336" s="5" t="n">
        <v>5014832</v>
      </c>
      <c r="F2336" s="5" t="inlineStr">
        <is>
          <t>244</t>
        </is>
      </c>
      <c r="G2336" s="5" t="inlineStr">
        <is>
          <t>BRL</t>
        </is>
      </c>
      <c r="H2336" s="9" t="n">
        <v>-6648.44</v>
      </c>
      <c r="I2336" s="16" t="n">
        <v>46237</v>
      </c>
      <c r="J2336" s="16" t="n">
        <v>46272</v>
      </c>
      <c r="K2336" s="5" t="inlineStr">
        <is>
          <t>Fatura - bruto BECOMEX CONSULTORIA LTDA 244</t>
        </is>
      </c>
      <c r="L2336" s="5" t="inlineStr">
        <is>
          <t>09092026</t>
        </is>
      </c>
      <c r="M2336" s="5">
        <f>IF(YEAR(I2336)&lt;=2020,"Até 2020",TEXT(YEAR(I2336),"0"))</f>
        <v/>
      </c>
      <c r="N2336" s="5">
        <f>IFERROR(INDEX(DePara!$A:$A,MATCH(TEXT(B2336,"0"),DePara!$D:$D,0)),"(sem categoria)")</f>
        <v/>
      </c>
      <c r="O2336" s="5">
        <f>IF(J2336="","",Parametros!$B$6-J2336)</f>
        <v/>
      </c>
      <c r="P2336" s="5">
        <f>IF(O2336="","",IF(O2336&gt;0,1,0))</f>
        <v/>
      </c>
    </row>
    <row r="2337">
      <c r="A2337" s="5" t="n">
        <v>2111000000</v>
      </c>
      <c r="B2337" s="5" t="inlineStr">
        <is>
          <t>100883</t>
        </is>
      </c>
      <c r="C2337" s="5" t="inlineStr">
        <is>
          <t>QUELMAR TRANSPORTES LTDA</t>
        </is>
      </c>
      <c r="D2337" s="5" t="inlineStr">
        <is>
          <t>RE</t>
        </is>
      </c>
      <c r="E2337" s="5" t="n">
        <v>5014839</v>
      </c>
      <c r="F2337" s="5" t="inlineStr">
        <is>
          <t>108004-1</t>
        </is>
      </c>
      <c r="G2337" s="5" t="inlineStr">
        <is>
          <t>BRL</t>
        </is>
      </c>
      <c r="H2337" s="9" t="n">
        <v>-2395.69</v>
      </c>
      <c r="I2337" s="16" t="n">
        <v>46220</v>
      </c>
      <c r="J2337" s="16" t="n">
        <v>46270</v>
      </c>
      <c r="K2337" s="5" t="inlineStr">
        <is>
          <t>Fatura - bruto QUELMAR TRANSPORTES LTDA 108004-1</t>
        </is>
      </c>
      <c r="L2337" s="5" t="inlineStr">
        <is>
          <t>08092026</t>
        </is>
      </c>
      <c r="M2337" s="5">
        <f>IF(YEAR(I2337)&lt;=2020,"Até 2020",TEXT(YEAR(I2337),"0"))</f>
        <v/>
      </c>
      <c r="N2337" s="5">
        <f>IFERROR(INDEX(DePara!$A:$A,MATCH(TEXT(B2337,"0"),DePara!$D:$D,0)),"(sem categoria)")</f>
        <v/>
      </c>
      <c r="O2337" s="5">
        <f>IF(J2337="","",Parametros!$B$6-J2337)</f>
        <v/>
      </c>
      <c r="P2337" s="5">
        <f>IF(O2337="","",IF(O2337&gt;0,1,0))</f>
        <v/>
      </c>
    </row>
    <row r="2338">
      <c r="A2338" s="5" t="n">
        <v>2111000000</v>
      </c>
      <c r="B2338" s="5" t="inlineStr">
        <is>
          <t>100883</t>
        </is>
      </c>
      <c r="C2338" s="5" t="inlineStr">
        <is>
          <t>QUELMAR TRANSPORTES LTDA</t>
        </is>
      </c>
      <c r="D2338" s="5" t="inlineStr">
        <is>
          <t>RE</t>
        </is>
      </c>
      <c r="E2338" s="5" t="n">
        <v>5014841</v>
      </c>
      <c r="F2338" s="5" t="inlineStr">
        <is>
          <t>108012-1</t>
        </is>
      </c>
      <c r="G2338" s="5" t="inlineStr">
        <is>
          <t>BRL</t>
        </is>
      </c>
      <c r="H2338" s="9" t="n">
        <v>-289.13</v>
      </c>
      <c r="I2338" s="16" t="n">
        <v>46220</v>
      </c>
      <c r="J2338" s="16" t="n">
        <v>46270</v>
      </c>
      <c r="K2338" s="5" t="inlineStr">
        <is>
          <t>Fatura - bruto QUELMAR TRANSPORTES LTDA 108012-1</t>
        </is>
      </c>
      <c r="L2338" s="5" t="inlineStr">
        <is>
          <t>08092026</t>
        </is>
      </c>
      <c r="M2338" s="5">
        <f>IF(YEAR(I2338)&lt;=2020,"Até 2020",TEXT(YEAR(I2338),"0"))</f>
        <v/>
      </c>
      <c r="N2338" s="5">
        <f>IFERROR(INDEX(DePara!$A:$A,MATCH(TEXT(B2338,"0"),DePara!$D:$D,0)),"(sem categoria)")</f>
        <v/>
      </c>
      <c r="O2338" s="5">
        <f>IF(J2338="","",Parametros!$B$6-J2338)</f>
        <v/>
      </c>
      <c r="P2338" s="5">
        <f>IF(O2338="","",IF(O2338&gt;0,1,0))</f>
        <v/>
      </c>
    </row>
    <row r="2339">
      <c r="A2339" s="5" t="n">
        <v>2111000000</v>
      </c>
      <c r="B2339" s="5" t="inlineStr">
        <is>
          <t>100883</t>
        </is>
      </c>
      <c r="C2339" s="5" t="inlineStr">
        <is>
          <t>QUELMAR TRANSPORTES LTDA</t>
        </is>
      </c>
      <c r="D2339" s="5" t="inlineStr">
        <is>
          <t>RE</t>
        </is>
      </c>
      <c r="E2339" s="5" t="n">
        <v>5014845</v>
      </c>
      <c r="F2339" s="5" t="inlineStr">
        <is>
          <t>6281-2</t>
        </is>
      </c>
      <c r="G2339" s="5" t="inlineStr">
        <is>
          <t>BRL</t>
        </is>
      </c>
      <c r="H2339" s="9" t="n">
        <v>-4980</v>
      </c>
      <c r="I2339" s="16" t="n">
        <v>46226</v>
      </c>
      <c r="J2339" s="16" t="n">
        <v>46270</v>
      </c>
      <c r="K2339" s="5" t="inlineStr">
        <is>
          <t>Fatura - bruto QUELMAR TRANSPORTES LTDA 6281-2</t>
        </is>
      </c>
      <c r="L2339" s="5" t="inlineStr">
        <is>
          <t>08092026</t>
        </is>
      </c>
      <c r="M2339" s="5">
        <f>IF(YEAR(I2339)&lt;=2020,"Até 2020",TEXT(YEAR(I2339),"0"))</f>
        <v/>
      </c>
      <c r="N2339" s="5">
        <f>IFERROR(INDEX(DePara!$A:$A,MATCH(TEXT(B2339,"0"),DePara!$D:$D,0)),"(sem categoria)")</f>
        <v/>
      </c>
      <c r="O2339" s="5">
        <f>IF(J2339="","",Parametros!$B$6-J2339)</f>
        <v/>
      </c>
      <c r="P2339" s="5">
        <f>IF(O2339="","",IF(O2339&gt;0,1,0))</f>
        <v/>
      </c>
    </row>
    <row r="2340">
      <c r="A2340" s="5" t="n">
        <v>2111000000</v>
      </c>
      <c r="B2340" s="5" t="inlineStr">
        <is>
          <t>101463</t>
        </is>
      </c>
      <c r="C2340" s="5" t="inlineStr">
        <is>
          <t>ZURICH MINAS BRASIL SEGUROS S A</t>
        </is>
      </c>
      <c r="D2340" s="5" t="inlineStr">
        <is>
          <t>RE</t>
        </is>
      </c>
      <c r="E2340" s="5" t="n">
        <v>5014847</v>
      </c>
      <c r="F2340" s="5" t="inlineStr">
        <is>
          <t>0229/26</t>
        </is>
      </c>
      <c r="G2340" s="5" t="inlineStr">
        <is>
          <t>BRL</t>
        </is>
      </c>
      <c r="H2340" s="9" t="n">
        <v>-26.83</v>
      </c>
      <c r="I2340" s="16" t="n">
        <v>46244</v>
      </c>
      <c r="J2340" s="16" t="n">
        <v>46274</v>
      </c>
      <c r="K2340" s="5" t="inlineStr">
        <is>
          <t>Invoice Payment. SP: 21228</t>
        </is>
      </c>
      <c r="L2340" s="5" t="inlineStr">
        <is>
          <t>0229/26</t>
        </is>
      </c>
      <c r="M2340" s="5">
        <f>IF(YEAR(I2340)&lt;=2020,"Até 2020",TEXT(YEAR(I2340),"0"))</f>
        <v/>
      </c>
      <c r="N2340" s="5">
        <f>IFERROR(INDEX(DePara!$A:$A,MATCH(TEXT(B2340,"0"),DePara!$D:$D,0)),"(sem categoria)")</f>
        <v/>
      </c>
      <c r="O2340" s="5">
        <f>IF(J2340="","",Parametros!$B$6-J2340)</f>
        <v/>
      </c>
      <c r="P2340" s="5">
        <f>IF(O2340="","",IF(O2340&gt;0,1,0))</f>
        <v/>
      </c>
    </row>
    <row r="2341">
      <c r="A2341" s="5" t="n">
        <v>2111000000</v>
      </c>
      <c r="B2341" s="5" t="inlineStr">
        <is>
          <t>101463</t>
        </is>
      </c>
      <c r="C2341" s="5" t="inlineStr">
        <is>
          <t>ZURICH MINAS BRASIL SEGUROS S A</t>
        </is>
      </c>
      <c r="D2341" s="5" t="inlineStr">
        <is>
          <t>RE</t>
        </is>
      </c>
      <c r="E2341" s="5" t="n">
        <v>5014854</v>
      </c>
      <c r="F2341" s="5" t="inlineStr">
        <is>
          <t>0237/26</t>
        </is>
      </c>
      <c r="G2341" s="5" t="inlineStr">
        <is>
          <t>BRL</t>
        </is>
      </c>
      <c r="H2341" s="9" t="n">
        <v>-313.93</v>
      </c>
      <c r="I2341" s="16" t="n">
        <v>46244</v>
      </c>
      <c r="J2341" s="16" t="n">
        <v>46274</v>
      </c>
      <c r="K2341" s="5" t="inlineStr">
        <is>
          <t>Invoice Payment. SP: 21232</t>
        </is>
      </c>
      <c r="L2341" s="5" t="inlineStr">
        <is>
          <t>0237/26</t>
        </is>
      </c>
      <c r="M2341" s="5">
        <f>IF(YEAR(I2341)&lt;=2020,"Até 2020",TEXT(YEAR(I2341),"0"))</f>
        <v/>
      </c>
      <c r="N2341" s="5">
        <f>IFERROR(INDEX(DePara!$A:$A,MATCH(TEXT(B2341,"0"),DePara!$D:$D,0)),"(sem categoria)")</f>
        <v/>
      </c>
      <c r="O2341" s="5">
        <f>IF(J2341="","",Parametros!$B$6-J2341)</f>
        <v/>
      </c>
      <c r="P2341" s="5">
        <f>IF(O2341="","",IF(O2341&gt;0,1,0))</f>
        <v/>
      </c>
    </row>
    <row r="2342">
      <c r="A2342" s="5" t="n">
        <v>2111000000</v>
      </c>
      <c r="B2342" s="5" t="inlineStr">
        <is>
          <t>101463</t>
        </is>
      </c>
      <c r="C2342" s="5" t="inlineStr">
        <is>
          <t>ZURICH MINAS BRASIL SEGUROS S A</t>
        </is>
      </c>
      <c r="D2342" s="5" t="inlineStr">
        <is>
          <t>RE</t>
        </is>
      </c>
      <c r="E2342" s="5" t="n">
        <v>5014857</v>
      </c>
      <c r="F2342" s="5" t="inlineStr">
        <is>
          <t>0232/26</t>
        </is>
      </c>
      <c r="G2342" s="5" t="inlineStr">
        <is>
          <t>BRL</t>
        </is>
      </c>
      <c r="H2342" s="9" t="n">
        <v>-94.63</v>
      </c>
      <c r="I2342" s="16" t="n">
        <v>46244</v>
      </c>
      <c r="J2342" s="16" t="n">
        <v>46274</v>
      </c>
      <c r="K2342" s="5" t="inlineStr">
        <is>
          <t>Invoice Payment. SP: 21234</t>
        </is>
      </c>
      <c r="L2342" s="5" t="inlineStr">
        <is>
          <t>0232/26</t>
        </is>
      </c>
      <c r="M2342" s="5">
        <f>IF(YEAR(I2342)&lt;=2020,"Até 2020",TEXT(YEAR(I2342),"0"))</f>
        <v/>
      </c>
      <c r="N2342" s="5">
        <f>IFERROR(INDEX(DePara!$A:$A,MATCH(TEXT(B2342,"0"),DePara!$D:$D,0)),"(sem categoria)")</f>
        <v/>
      </c>
      <c r="O2342" s="5">
        <f>IF(J2342="","",Parametros!$B$6-J2342)</f>
        <v/>
      </c>
      <c r="P2342" s="5">
        <f>IF(O2342="","",IF(O2342&gt;0,1,0))</f>
        <v/>
      </c>
    </row>
    <row r="2343">
      <c r="A2343" s="5" t="n">
        <v>2111000000</v>
      </c>
      <c r="B2343" s="5" t="inlineStr">
        <is>
          <t>101463</t>
        </is>
      </c>
      <c r="C2343" s="5" t="inlineStr">
        <is>
          <t>ZURICH MINAS BRASIL SEGUROS S A</t>
        </is>
      </c>
      <c r="D2343" s="5" t="inlineStr">
        <is>
          <t>RE</t>
        </is>
      </c>
      <c r="E2343" s="5" t="n">
        <v>5014861</v>
      </c>
      <c r="F2343" s="5" t="inlineStr">
        <is>
          <t>0330/26</t>
        </is>
      </c>
      <c r="G2343" s="5" t="inlineStr">
        <is>
          <t>BRL</t>
        </is>
      </c>
      <c r="H2343" s="9" t="n">
        <v>-1006.99</v>
      </c>
      <c r="I2343" s="16" t="n">
        <v>46244</v>
      </c>
      <c r="J2343" s="16" t="n">
        <v>46274</v>
      </c>
      <c r="K2343" s="5" t="inlineStr">
        <is>
          <t>Invoice Payment. SP: 21236</t>
        </is>
      </c>
      <c r="L2343" s="5" t="inlineStr">
        <is>
          <t>0330/26</t>
        </is>
      </c>
      <c r="M2343" s="5">
        <f>IF(YEAR(I2343)&lt;=2020,"Até 2020",TEXT(YEAR(I2343),"0"))</f>
        <v/>
      </c>
      <c r="N2343" s="5">
        <f>IFERROR(INDEX(DePara!$A:$A,MATCH(TEXT(B2343,"0"),DePara!$D:$D,0)),"(sem categoria)")</f>
        <v/>
      </c>
      <c r="O2343" s="5">
        <f>IF(J2343="","",Parametros!$B$6-J2343)</f>
        <v/>
      </c>
      <c r="P2343" s="5">
        <f>IF(O2343="","",IF(O2343&gt;0,1,0))</f>
        <v/>
      </c>
    </row>
    <row r="2344">
      <c r="A2344" s="5" t="n">
        <v>2111000000</v>
      </c>
      <c r="B2344" s="5" t="inlineStr">
        <is>
          <t>101463</t>
        </is>
      </c>
      <c r="C2344" s="5" t="inlineStr">
        <is>
          <t>ZURICH MINAS BRASIL SEGUROS S A</t>
        </is>
      </c>
      <c r="D2344" s="5" t="inlineStr">
        <is>
          <t>RE</t>
        </is>
      </c>
      <c r="E2344" s="5" t="n">
        <v>5014863</v>
      </c>
      <c r="F2344" s="5" t="inlineStr">
        <is>
          <t>0227/26</t>
        </is>
      </c>
      <c r="G2344" s="5" t="inlineStr">
        <is>
          <t>BRL</t>
        </is>
      </c>
      <c r="H2344" s="9" t="n">
        <v>-117.03</v>
      </c>
      <c r="I2344" s="16" t="n">
        <v>46244</v>
      </c>
      <c r="J2344" s="16" t="n">
        <v>46274</v>
      </c>
      <c r="K2344" s="5" t="inlineStr">
        <is>
          <t>Invoice Payment. SP: 21238</t>
        </is>
      </c>
      <c r="L2344" s="5" t="inlineStr">
        <is>
          <t>0227/26</t>
        </is>
      </c>
      <c r="M2344" s="5">
        <f>IF(YEAR(I2344)&lt;=2020,"Até 2020",TEXT(YEAR(I2344),"0"))</f>
        <v/>
      </c>
      <c r="N2344" s="5">
        <f>IFERROR(INDEX(DePara!$A:$A,MATCH(TEXT(B2344,"0"),DePara!$D:$D,0)),"(sem categoria)")</f>
        <v/>
      </c>
      <c r="O2344" s="5">
        <f>IF(J2344="","",Parametros!$B$6-J2344)</f>
        <v/>
      </c>
      <c r="P2344" s="5">
        <f>IF(O2344="","",IF(O2344&gt;0,1,0))</f>
        <v/>
      </c>
    </row>
    <row r="2345">
      <c r="A2345" s="5" t="n">
        <v>2111000000</v>
      </c>
      <c r="B2345" s="5" t="inlineStr">
        <is>
          <t>101463</t>
        </is>
      </c>
      <c r="C2345" s="5" t="inlineStr">
        <is>
          <t>ZURICH MINAS BRASIL SEGUROS S A</t>
        </is>
      </c>
      <c r="D2345" s="5" t="inlineStr">
        <is>
          <t>RE</t>
        </is>
      </c>
      <c r="E2345" s="5" t="n">
        <v>5014865</v>
      </c>
      <c r="F2345" s="5" t="inlineStr">
        <is>
          <t>0343/26</t>
        </is>
      </c>
      <c r="G2345" s="5" t="inlineStr">
        <is>
          <t>BRL</t>
        </is>
      </c>
      <c r="H2345" s="9" t="n">
        <v>-1191.7</v>
      </c>
      <c r="I2345" s="16" t="n">
        <v>46244</v>
      </c>
      <c r="J2345" s="16" t="n">
        <v>46274</v>
      </c>
      <c r="K2345" s="5" t="inlineStr">
        <is>
          <t>Invoice Payment. SP: 21240</t>
        </is>
      </c>
      <c r="L2345" s="5" t="inlineStr">
        <is>
          <t>0343/26</t>
        </is>
      </c>
      <c r="M2345" s="5">
        <f>IF(YEAR(I2345)&lt;=2020,"Até 2020",TEXT(YEAR(I2345),"0"))</f>
        <v/>
      </c>
      <c r="N2345" s="5">
        <f>IFERROR(INDEX(DePara!$A:$A,MATCH(TEXT(B2345,"0"),DePara!$D:$D,0)),"(sem categoria)")</f>
        <v/>
      </c>
      <c r="O2345" s="5">
        <f>IF(J2345="","",Parametros!$B$6-J2345)</f>
        <v/>
      </c>
      <c r="P2345" s="5">
        <f>IF(O2345="","",IF(O2345&gt;0,1,0))</f>
        <v/>
      </c>
    </row>
    <row r="2346">
      <c r="A2346" s="5" t="n">
        <v>2111000000</v>
      </c>
      <c r="B2346" s="5" t="inlineStr">
        <is>
          <t>101560</t>
        </is>
      </c>
      <c r="C2346" s="5" t="inlineStr">
        <is>
          <t>SINDICATO DOS DESPACHANTES ADUANEIR DE SAO PAULO SINDASP</t>
        </is>
      </c>
      <c r="D2346" s="5" t="inlineStr">
        <is>
          <t>RE</t>
        </is>
      </c>
      <c r="E2346" s="5" t="n">
        <v>5014869</v>
      </c>
      <c r="F2346" s="5" t="inlineStr">
        <is>
          <t>0060/25</t>
        </is>
      </c>
      <c r="G2346" s="5" t="inlineStr">
        <is>
          <t>BRL</t>
        </is>
      </c>
      <c r="H2346" s="9" t="n">
        <v>-500</v>
      </c>
      <c r="I2346" s="16" t="n">
        <v>45764</v>
      </c>
      <c r="J2346" s="16" t="n">
        <v>45794</v>
      </c>
      <c r="K2346" s="5" t="inlineStr">
        <is>
          <t>Invoice Payment. SP: 7597</t>
        </is>
      </c>
      <c r="L2346" s="5" t="inlineStr">
        <is>
          <t>0060/25</t>
        </is>
      </c>
      <c r="M2346" s="5">
        <f>IF(YEAR(I2346)&lt;=2020,"Até 2020",TEXT(YEAR(I2346),"0"))</f>
        <v/>
      </c>
      <c r="N2346" s="5">
        <f>IFERROR(INDEX(DePara!$A:$A,MATCH(TEXT(B2346,"0"),DePara!$D:$D,0)),"(sem categoria)")</f>
        <v/>
      </c>
      <c r="O2346" s="5">
        <f>IF(J2346="","",Parametros!$B$6-J2346)</f>
        <v/>
      </c>
      <c r="P2346" s="5">
        <f>IF(O2346="","",IF(O2346&gt;0,1,0))</f>
        <v/>
      </c>
    </row>
    <row r="2347">
      <c r="A2347" s="5" t="n">
        <v>2111000000</v>
      </c>
      <c r="B2347" s="5" t="inlineStr">
        <is>
          <t>103936</t>
        </is>
      </c>
      <c r="C2347" s="5" t="inlineStr">
        <is>
          <t>BELA VISTA RENOVAVEIS II LTDA</t>
        </is>
      </c>
      <c r="D2347" s="5" t="inlineStr">
        <is>
          <t>RE</t>
        </is>
      </c>
      <c r="E2347" s="5" t="n">
        <v>5014872</v>
      </c>
      <c r="F2347" s="5" t="inlineStr">
        <is>
          <t>1730</t>
        </is>
      </c>
      <c r="G2347" s="5" t="inlineStr">
        <is>
          <t>BRL</t>
        </is>
      </c>
      <c r="H2347" s="9" t="n">
        <v>-109486.05</v>
      </c>
      <c r="I2347" s="16" t="n">
        <v>46240</v>
      </c>
      <c r="J2347" s="16" t="n">
        <v>46270</v>
      </c>
      <c r="K2347" s="5" t="inlineStr">
        <is>
          <t>Fatura - bruto BELA VISTA RENOVAVEIS II LTDA 1730</t>
        </is>
      </c>
      <c r="L2347" s="5" t="inlineStr">
        <is>
          <t>08092026</t>
        </is>
      </c>
      <c r="M2347" s="5">
        <f>IF(YEAR(I2347)&lt;=2020,"Até 2020",TEXT(YEAR(I2347),"0"))</f>
        <v/>
      </c>
      <c r="N2347" s="5">
        <f>IFERROR(INDEX(DePara!$A:$A,MATCH(TEXT(B2347,"0"),DePara!$D:$D,0)),"(sem categoria)")</f>
        <v/>
      </c>
      <c r="O2347" s="5">
        <f>IF(J2347="","",Parametros!$B$6-J2347)</f>
        <v/>
      </c>
      <c r="P2347" s="5">
        <f>IF(O2347="","",IF(O2347&gt;0,1,0))</f>
        <v/>
      </c>
    </row>
    <row r="2348">
      <c r="A2348" s="5" t="n">
        <v>2111000000</v>
      </c>
      <c r="B2348" s="5" t="inlineStr">
        <is>
          <t>100031</t>
        </is>
      </c>
      <c r="C2348" s="5" t="inlineStr">
        <is>
          <t>MEGAWIND INDUSTRIA E COMERCIO</t>
        </is>
      </c>
      <c r="D2348" s="5" t="inlineStr">
        <is>
          <t>RE</t>
        </is>
      </c>
      <c r="E2348" s="5" t="n">
        <v>5014875</v>
      </c>
      <c r="F2348" s="5" t="inlineStr">
        <is>
          <t>1441</t>
        </is>
      </c>
      <c r="G2348" s="5" t="inlineStr">
        <is>
          <t>BRL</t>
        </is>
      </c>
      <c r="H2348" s="9" t="n">
        <v>-39450</v>
      </c>
      <c r="I2348" s="16" t="n">
        <v>46241</v>
      </c>
      <c r="J2348" s="16" t="n">
        <v>46300</v>
      </c>
      <c r="K2348" s="5" t="inlineStr">
        <is>
          <t>Fatura - bruto MEGAWIND INDUSTRIA E COMERCIO 1441</t>
        </is>
      </c>
      <c r="L2348" s="5" t="inlineStr">
        <is>
          <t>05102026</t>
        </is>
      </c>
      <c r="M2348" s="5">
        <f>IF(YEAR(I2348)&lt;=2020,"Até 2020",TEXT(YEAR(I2348),"0"))</f>
        <v/>
      </c>
      <c r="N2348" s="5">
        <f>IFERROR(INDEX(DePara!$A:$A,MATCH(TEXT(B2348,"0"),DePara!$D:$D,0)),"(sem categoria)")</f>
        <v/>
      </c>
      <c r="O2348" s="5">
        <f>IF(J2348="","",Parametros!$B$6-J2348)</f>
        <v/>
      </c>
      <c r="P2348" s="5">
        <f>IF(O2348="","",IF(O2348&gt;0,1,0))</f>
        <v/>
      </c>
    </row>
    <row r="2349">
      <c r="A2349" s="5" t="n">
        <v>2111000000</v>
      </c>
      <c r="B2349" s="5" t="inlineStr">
        <is>
          <t>101115</t>
        </is>
      </c>
      <c r="C2349" s="5" t="inlineStr">
        <is>
          <t>WAITMAN &amp; SKOLIMOVSKI ADVOGADOS</t>
        </is>
      </c>
      <c r="D2349" s="5" t="inlineStr">
        <is>
          <t>RE</t>
        </is>
      </c>
      <c r="E2349" s="5" t="n">
        <v>5014881</v>
      </c>
      <c r="F2349" s="5" t="inlineStr">
        <is>
          <t>671</t>
        </is>
      </c>
      <c r="G2349" s="5" t="inlineStr">
        <is>
          <t>BRL</t>
        </is>
      </c>
      <c r="H2349" s="9" t="n">
        <v>-3743</v>
      </c>
      <c r="I2349" s="16" t="n">
        <v>46222</v>
      </c>
      <c r="J2349" s="16" t="n">
        <v>46270</v>
      </c>
      <c r="K2349" s="5" t="inlineStr">
        <is>
          <t>Fatura - bruto WAITMAN &amp; SKOLIMOVSKI ADVOGADOS 671</t>
        </is>
      </c>
      <c r="L2349" s="5" t="inlineStr">
        <is>
          <t>02092026</t>
        </is>
      </c>
      <c r="M2349" s="5">
        <f>IF(YEAR(I2349)&lt;=2020,"Até 2020",TEXT(YEAR(I2349),"0"))</f>
        <v/>
      </c>
      <c r="N2349" s="5">
        <f>IFERROR(INDEX(DePara!$A:$A,MATCH(TEXT(B2349,"0"),DePara!$D:$D,0)),"(sem categoria)")</f>
        <v/>
      </c>
      <c r="O2349" s="5">
        <f>IF(J2349="","",Parametros!$B$6-J2349)</f>
        <v/>
      </c>
      <c r="P2349" s="5">
        <f>IF(O2349="","",IF(O2349&gt;0,1,0))</f>
        <v/>
      </c>
    </row>
    <row r="2350">
      <c r="A2350" s="5" t="n">
        <v>2111000000</v>
      </c>
      <c r="B2350" s="5" t="inlineStr">
        <is>
          <t>101115</t>
        </is>
      </c>
      <c r="C2350" s="5" t="inlineStr">
        <is>
          <t>WAITMAN &amp; SKOLIMOVSKI ADVOGADOS</t>
        </is>
      </c>
      <c r="D2350" s="5" t="inlineStr">
        <is>
          <t>RE</t>
        </is>
      </c>
      <c r="E2350" s="5" t="n">
        <v>5014882</v>
      </c>
      <c r="F2350" s="5" t="inlineStr">
        <is>
          <t>670</t>
        </is>
      </c>
      <c r="G2350" s="5" t="inlineStr">
        <is>
          <t>BRL</t>
        </is>
      </c>
      <c r="H2350" s="9" t="n">
        <v>-443.25</v>
      </c>
      <c r="I2350" s="16" t="n">
        <v>46222</v>
      </c>
      <c r="J2350" s="16" t="n">
        <v>46270</v>
      </c>
      <c r="K2350" s="5" t="inlineStr">
        <is>
          <t>Fatura - bruto WAITMAN &amp; SKOLIMOVSKI ADVOGADOS 670</t>
        </is>
      </c>
      <c r="L2350" s="5" t="inlineStr">
        <is>
          <t>02092026</t>
        </is>
      </c>
      <c r="M2350" s="5">
        <f>IF(YEAR(I2350)&lt;=2020,"Até 2020",TEXT(YEAR(I2350),"0"))</f>
        <v/>
      </c>
      <c r="N2350" s="5">
        <f>IFERROR(INDEX(DePara!$A:$A,MATCH(TEXT(B2350,"0"),DePara!$D:$D,0)),"(sem categoria)")</f>
        <v/>
      </c>
      <c r="O2350" s="5">
        <f>IF(J2350="","",Parametros!$B$6-J2350)</f>
        <v/>
      </c>
      <c r="P2350" s="5">
        <f>IF(O2350="","",IF(O2350&gt;0,1,0))</f>
        <v/>
      </c>
    </row>
    <row r="2351">
      <c r="A2351" s="5" t="n">
        <v>2111000000</v>
      </c>
      <c r="B2351" s="5" t="inlineStr">
        <is>
          <t>101463</t>
        </is>
      </c>
      <c r="C2351" s="5" t="inlineStr">
        <is>
          <t>ZURICH MINAS BRASIL SEGUROS S A</t>
        </is>
      </c>
      <c r="D2351" s="5" t="inlineStr">
        <is>
          <t>RE</t>
        </is>
      </c>
      <c r="E2351" s="5" t="n">
        <v>5014886</v>
      </c>
      <c r="F2351" s="5" t="inlineStr">
        <is>
          <t>0453/26</t>
        </is>
      </c>
      <c r="G2351" s="5" t="inlineStr">
        <is>
          <t>BRL</t>
        </is>
      </c>
      <c r="H2351" s="9" t="n">
        <v>-1100.18</v>
      </c>
      <c r="I2351" s="16" t="n">
        <v>46245</v>
      </c>
      <c r="J2351" s="16" t="n">
        <v>46275</v>
      </c>
      <c r="K2351" s="5" t="inlineStr">
        <is>
          <t>Invoice Payment. SP: 21278</t>
        </is>
      </c>
      <c r="L2351" s="5" t="inlineStr">
        <is>
          <t>0453/26</t>
        </is>
      </c>
      <c r="M2351" s="5">
        <f>IF(YEAR(I2351)&lt;=2020,"Até 2020",TEXT(YEAR(I2351),"0"))</f>
        <v/>
      </c>
      <c r="N2351" s="5">
        <f>IFERROR(INDEX(DePara!$A:$A,MATCH(TEXT(B2351,"0"),DePara!$D:$D,0)),"(sem categoria)")</f>
        <v/>
      </c>
      <c r="O2351" s="5">
        <f>IF(J2351="","",Parametros!$B$6-J2351)</f>
        <v/>
      </c>
      <c r="P2351" s="5">
        <f>IF(O2351="","",IF(O2351&gt;0,1,0))</f>
        <v/>
      </c>
    </row>
    <row r="2352">
      <c r="A2352" s="5" t="n">
        <v>2111000000</v>
      </c>
      <c r="B2352" s="5" t="inlineStr">
        <is>
          <t>101463</t>
        </is>
      </c>
      <c r="C2352" s="5" t="inlineStr">
        <is>
          <t>ZURICH MINAS BRASIL SEGUROS S A</t>
        </is>
      </c>
      <c r="D2352" s="5" t="inlineStr">
        <is>
          <t>RE</t>
        </is>
      </c>
      <c r="E2352" s="5" t="n">
        <v>5014890</v>
      </c>
      <c r="F2352" s="5" t="inlineStr">
        <is>
          <t>0231/26</t>
        </is>
      </c>
      <c r="G2352" s="5" t="inlineStr">
        <is>
          <t>BRL</t>
        </is>
      </c>
      <c r="H2352" s="9" t="n">
        <v>-800.39</v>
      </c>
      <c r="I2352" s="16" t="n">
        <v>46245</v>
      </c>
      <c r="J2352" s="16" t="n">
        <v>46275</v>
      </c>
      <c r="K2352" s="5" t="inlineStr">
        <is>
          <t>Invoice Payment. SP: 21280</t>
        </is>
      </c>
      <c r="L2352" s="5" t="inlineStr">
        <is>
          <t>0231/26</t>
        </is>
      </c>
      <c r="M2352" s="5">
        <f>IF(YEAR(I2352)&lt;=2020,"Até 2020",TEXT(YEAR(I2352),"0"))</f>
        <v/>
      </c>
      <c r="N2352" s="5">
        <f>IFERROR(INDEX(DePara!$A:$A,MATCH(TEXT(B2352,"0"),DePara!$D:$D,0)),"(sem categoria)")</f>
        <v/>
      </c>
      <c r="O2352" s="5">
        <f>IF(J2352="","",Parametros!$B$6-J2352)</f>
        <v/>
      </c>
      <c r="P2352" s="5">
        <f>IF(O2352="","",IF(O2352&gt;0,1,0))</f>
        <v/>
      </c>
    </row>
    <row r="2353">
      <c r="A2353" s="5" t="n">
        <v>2111000000</v>
      </c>
      <c r="B2353" s="5" t="inlineStr">
        <is>
          <t>101946</t>
        </is>
      </c>
      <c r="C2353" s="5" t="inlineStr">
        <is>
          <t>EXTINSERVICE EQUIPAMENTOS E SERVIÇO</t>
        </is>
      </c>
      <c r="D2353" s="5" t="inlineStr">
        <is>
          <t>RE</t>
        </is>
      </c>
      <c r="E2353" s="5" t="n">
        <v>5014893</v>
      </c>
      <c r="F2353" s="5" t="inlineStr">
        <is>
          <t>16</t>
        </is>
      </c>
      <c r="G2353" s="5" t="inlineStr">
        <is>
          <t>BRL</t>
        </is>
      </c>
      <c r="H2353" s="9" t="n">
        <v>-1310</v>
      </c>
      <c r="I2353" s="16" t="n">
        <v>46240</v>
      </c>
      <c r="J2353" s="16" t="n">
        <v>46270</v>
      </c>
      <c r="K2353" s="5" t="inlineStr">
        <is>
          <t>Fatura - bruto EXTINSERVICE EQUIPAMENTOS E SERVIÇO</t>
        </is>
      </c>
      <c r="L2353" s="5" t="inlineStr">
        <is>
          <t>02092026</t>
        </is>
      </c>
      <c r="M2353" s="5">
        <f>IF(YEAR(I2353)&lt;=2020,"Até 2020",TEXT(YEAR(I2353),"0"))</f>
        <v/>
      </c>
      <c r="N2353" s="5">
        <f>IFERROR(INDEX(DePara!$A:$A,MATCH(TEXT(B2353,"0"),DePara!$D:$D,0)),"(sem categoria)")</f>
        <v/>
      </c>
      <c r="O2353" s="5">
        <f>IF(J2353="","",Parametros!$B$6-J2353)</f>
        <v/>
      </c>
      <c r="P2353" s="5">
        <f>IF(O2353="","",IF(O2353&gt;0,1,0))</f>
        <v/>
      </c>
    </row>
    <row r="2354">
      <c r="A2354" s="5" t="n">
        <v>2111000000</v>
      </c>
      <c r="B2354" s="5" t="inlineStr">
        <is>
          <t>107274</t>
        </is>
      </c>
      <c r="C2354" s="5" t="inlineStr">
        <is>
          <t>OBJECTA LIFTING LASHING AND TECHNIC</t>
        </is>
      </c>
      <c r="D2354" s="5" t="inlineStr">
        <is>
          <t>RE</t>
        </is>
      </c>
      <c r="E2354" s="5" t="n">
        <v>5014896</v>
      </c>
      <c r="F2354" s="5" t="inlineStr">
        <is>
          <t>147</t>
        </is>
      </c>
      <c r="G2354" s="5" t="inlineStr">
        <is>
          <t>BRL</t>
        </is>
      </c>
      <c r="H2354" s="9" t="n">
        <v>-8200</v>
      </c>
      <c r="I2354" s="16" t="n">
        <v>46244</v>
      </c>
      <c r="J2354" s="16" t="n">
        <v>46274</v>
      </c>
      <c r="K2354" s="5" t="inlineStr">
        <is>
          <t>Fatura - bruto OBJECTA LIFTING LASHING AND TECHNIC</t>
        </is>
      </c>
      <c r="L2354" s="5" t="inlineStr">
        <is>
          <t>09092026</t>
        </is>
      </c>
      <c r="M2354" s="5">
        <f>IF(YEAR(I2354)&lt;=2020,"Até 2020",TEXT(YEAR(I2354),"0"))</f>
        <v/>
      </c>
      <c r="N2354" s="5">
        <f>IFERROR(INDEX(DePara!$A:$A,MATCH(TEXT(B2354,"0"),DePara!$D:$D,0)),"(sem categoria)")</f>
        <v/>
      </c>
      <c r="O2354" s="5">
        <f>IF(J2354="","",Parametros!$B$6-J2354)</f>
        <v/>
      </c>
      <c r="P2354" s="5">
        <f>IF(O2354="","",IF(O2354&gt;0,1,0))</f>
        <v/>
      </c>
    </row>
    <row r="2355">
      <c r="A2355" s="5" t="n">
        <v>2111000000</v>
      </c>
      <c r="B2355" s="5" t="inlineStr">
        <is>
          <t>107274</t>
        </is>
      </c>
      <c r="C2355" s="5" t="inlineStr">
        <is>
          <t>OBJECTA LIFTING LASHING AND TECHNIC</t>
        </is>
      </c>
      <c r="D2355" s="5" t="inlineStr">
        <is>
          <t>RE</t>
        </is>
      </c>
      <c r="E2355" s="5" t="n">
        <v>5014900</v>
      </c>
      <c r="F2355" s="5" t="inlineStr">
        <is>
          <t>148</t>
        </is>
      </c>
      <c r="G2355" s="5" t="inlineStr">
        <is>
          <t>BRL</t>
        </is>
      </c>
      <c r="H2355" s="9" t="n">
        <v>-7300</v>
      </c>
      <c r="I2355" s="16" t="n">
        <v>46244</v>
      </c>
      <c r="J2355" s="16" t="n">
        <v>46274</v>
      </c>
      <c r="K2355" s="5" t="inlineStr">
        <is>
          <t>Fatura - bruto OBJECTA LIFTING LASHING AND TECHNIC</t>
        </is>
      </c>
      <c r="L2355" s="5" t="inlineStr">
        <is>
          <t>09092026</t>
        </is>
      </c>
      <c r="M2355" s="5">
        <f>IF(YEAR(I2355)&lt;=2020,"Até 2020",TEXT(YEAR(I2355),"0"))</f>
        <v/>
      </c>
      <c r="N2355" s="5">
        <f>IFERROR(INDEX(DePara!$A:$A,MATCH(TEXT(B2355,"0"),DePara!$D:$D,0)),"(sem categoria)")</f>
        <v/>
      </c>
      <c r="O2355" s="5">
        <f>IF(J2355="","",Parametros!$B$6-J2355)</f>
        <v/>
      </c>
      <c r="P2355" s="5">
        <f>IF(O2355="","",IF(O2355&gt;0,1,0))</f>
        <v/>
      </c>
    </row>
    <row r="2356">
      <c r="A2356" s="5" t="n">
        <v>2111000000</v>
      </c>
      <c r="B2356" s="5" t="inlineStr">
        <is>
          <t>101463</t>
        </is>
      </c>
      <c r="C2356" s="5" t="inlineStr">
        <is>
          <t>ZURICH MINAS BRASIL SEGUROS S A</t>
        </is>
      </c>
      <c r="D2356" s="5" t="inlineStr">
        <is>
          <t>RE</t>
        </is>
      </c>
      <c r="E2356" s="5" t="n">
        <v>5014906</v>
      </c>
      <c r="F2356" s="5" t="inlineStr">
        <is>
          <t>0464/26</t>
        </is>
      </c>
      <c r="G2356" s="5" t="inlineStr">
        <is>
          <t>BRL</t>
        </is>
      </c>
      <c r="H2356" s="9" t="n">
        <v>-1366.97</v>
      </c>
      <c r="I2356" s="16" t="n">
        <v>46245</v>
      </c>
      <c r="J2356" s="16" t="n">
        <v>46275</v>
      </c>
      <c r="K2356" s="5" t="inlineStr">
        <is>
          <t>Invoice Payment. SP: 21282</t>
        </is>
      </c>
      <c r="L2356" s="5" t="inlineStr">
        <is>
          <t>0464/26</t>
        </is>
      </c>
      <c r="M2356" s="5">
        <f>IF(YEAR(I2356)&lt;=2020,"Até 2020",TEXT(YEAR(I2356),"0"))</f>
        <v/>
      </c>
      <c r="N2356" s="5">
        <f>IFERROR(INDEX(DePara!$A:$A,MATCH(TEXT(B2356,"0"),DePara!$D:$D,0)),"(sem categoria)")</f>
        <v/>
      </c>
      <c r="O2356" s="5">
        <f>IF(J2356="","",Parametros!$B$6-J2356)</f>
        <v/>
      </c>
      <c r="P2356" s="5">
        <f>IF(O2356="","",IF(O2356&gt;0,1,0))</f>
        <v/>
      </c>
    </row>
    <row r="2357">
      <c r="A2357" s="5" t="n">
        <v>2111000000</v>
      </c>
      <c r="B2357" s="5" t="inlineStr">
        <is>
          <t>101463</t>
        </is>
      </c>
      <c r="C2357" s="5" t="inlineStr">
        <is>
          <t>ZURICH MINAS BRASIL SEGUROS S A</t>
        </is>
      </c>
      <c r="D2357" s="5" t="inlineStr">
        <is>
          <t>RE</t>
        </is>
      </c>
      <c r="E2357" s="5" t="n">
        <v>5014920</v>
      </c>
      <c r="F2357" s="5" t="inlineStr">
        <is>
          <t>0234/26</t>
        </is>
      </c>
      <c r="G2357" s="5" t="inlineStr">
        <is>
          <t>BRL</t>
        </is>
      </c>
      <c r="H2357" s="9" t="n">
        <v>-182.52</v>
      </c>
      <c r="I2357" s="16" t="n">
        <v>46245</v>
      </c>
      <c r="J2357" s="16" t="n">
        <v>46275</v>
      </c>
      <c r="K2357" s="5" t="inlineStr">
        <is>
          <t>Invoice Payment. SP: 21284</t>
        </is>
      </c>
      <c r="L2357" s="5" t="inlineStr">
        <is>
          <t>0234/26</t>
        </is>
      </c>
      <c r="M2357" s="5">
        <f>IF(YEAR(I2357)&lt;=2020,"Até 2020",TEXT(YEAR(I2357),"0"))</f>
        <v/>
      </c>
      <c r="N2357" s="5">
        <f>IFERROR(INDEX(DePara!$A:$A,MATCH(TEXT(B2357,"0"),DePara!$D:$D,0)),"(sem categoria)")</f>
        <v/>
      </c>
      <c r="O2357" s="5">
        <f>IF(J2357="","",Parametros!$B$6-J2357)</f>
        <v/>
      </c>
      <c r="P2357" s="5">
        <f>IF(O2357="","",IF(O2357&gt;0,1,0))</f>
        <v/>
      </c>
    </row>
    <row r="2358">
      <c r="A2358" s="5" t="n">
        <v>2111000000</v>
      </c>
      <c r="B2358" s="5" t="inlineStr">
        <is>
          <t>101463</t>
        </is>
      </c>
      <c r="C2358" s="5" t="inlineStr">
        <is>
          <t>ZURICH MINAS BRASIL SEGUROS S A</t>
        </is>
      </c>
      <c r="D2358" s="5" t="inlineStr">
        <is>
          <t>RE</t>
        </is>
      </c>
      <c r="E2358" s="5" t="n">
        <v>5014922</v>
      </c>
      <c r="F2358" s="5" t="inlineStr">
        <is>
          <t>0228/26</t>
        </is>
      </c>
      <c r="G2358" s="5" t="inlineStr">
        <is>
          <t>BRL</t>
        </is>
      </c>
      <c r="H2358" s="9" t="n">
        <v>-39</v>
      </c>
      <c r="I2358" s="16" t="n">
        <v>46245</v>
      </c>
      <c r="J2358" s="16" t="n">
        <v>46275</v>
      </c>
      <c r="K2358" s="5" t="inlineStr">
        <is>
          <t>Invoice Payment. SP: 21286</t>
        </is>
      </c>
      <c r="L2358" s="5" t="inlineStr">
        <is>
          <t>0228/26</t>
        </is>
      </c>
      <c r="M2358" s="5">
        <f>IF(YEAR(I2358)&lt;=2020,"Até 2020",TEXT(YEAR(I2358),"0"))</f>
        <v/>
      </c>
      <c r="N2358" s="5">
        <f>IFERROR(INDEX(DePara!$A:$A,MATCH(TEXT(B2358,"0"),DePara!$D:$D,0)),"(sem categoria)")</f>
        <v/>
      </c>
      <c r="O2358" s="5">
        <f>IF(J2358="","",Parametros!$B$6-J2358)</f>
        <v/>
      </c>
      <c r="P2358" s="5">
        <f>IF(O2358="","",IF(O2358&gt;0,1,0))</f>
        <v/>
      </c>
    </row>
    <row r="2359">
      <c r="A2359" s="5" t="n">
        <v>2111000000</v>
      </c>
      <c r="B2359" s="5" t="inlineStr">
        <is>
          <t>100031</t>
        </is>
      </c>
      <c r="C2359" s="5" t="inlineStr">
        <is>
          <t>MEGAWIND INDUSTRIA E COMERCIO</t>
        </is>
      </c>
      <c r="D2359" s="5" t="inlineStr">
        <is>
          <t>RE</t>
        </is>
      </c>
      <c r="E2359" s="5" t="n">
        <v>5014923</v>
      </c>
      <c r="F2359" s="5" t="inlineStr">
        <is>
          <t>1445</t>
        </is>
      </c>
      <c r="G2359" s="5" t="inlineStr">
        <is>
          <t>BRL</t>
        </is>
      </c>
      <c r="H2359" s="9" t="n">
        <v>-9545.450000000001</v>
      </c>
      <c r="I2359" s="16" t="n">
        <v>46245</v>
      </c>
      <c r="J2359" s="16" t="n">
        <v>46300</v>
      </c>
      <c r="K2359" s="5" t="inlineStr">
        <is>
          <t>Fatura - bruto MEGAWIND INDUSTRIA E COMERCIO 1445</t>
        </is>
      </c>
      <c r="L2359" s="5" t="inlineStr">
        <is>
          <t>05102026</t>
        </is>
      </c>
      <c r="M2359" s="5">
        <f>IF(YEAR(I2359)&lt;=2020,"Até 2020",TEXT(YEAR(I2359),"0"))</f>
        <v/>
      </c>
      <c r="N2359" s="5">
        <f>IFERROR(INDEX(DePara!$A:$A,MATCH(TEXT(B2359,"0"),DePara!$D:$D,0)),"(sem categoria)")</f>
        <v/>
      </c>
      <c r="O2359" s="5">
        <f>IF(J2359="","",Parametros!$B$6-J2359)</f>
        <v/>
      </c>
      <c r="P2359" s="5">
        <f>IF(O2359="","",IF(O2359&gt;0,1,0))</f>
        <v/>
      </c>
    </row>
    <row r="2360">
      <c r="A2360" s="5" t="n">
        <v>2111000000</v>
      </c>
      <c r="B2360" s="5" t="inlineStr">
        <is>
          <t>100031</t>
        </is>
      </c>
      <c r="C2360" s="5" t="inlineStr">
        <is>
          <t>MEGAWIND INDUSTRIA E COMERCIO</t>
        </is>
      </c>
      <c r="D2360" s="5" t="inlineStr">
        <is>
          <t>RE</t>
        </is>
      </c>
      <c r="E2360" s="5" t="n">
        <v>5014925</v>
      </c>
      <c r="F2360" s="5" t="inlineStr">
        <is>
          <t>1446</t>
        </is>
      </c>
      <c r="G2360" s="5" t="inlineStr">
        <is>
          <t>BRL</t>
        </is>
      </c>
      <c r="H2360" s="9" t="n">
        <v>-55118.16</v>
      </c>
      <c r="I2360" s="16" t="n">
        <v>46245</v>
      </c>
      <c r="J2360" s="16" t="n">
        <v>46300</v>
      </c>
      <c r="K2360" s="5" t="inlineStr">
        <is>
          <t>Fatura - bruto MEGAWIND INDUSTRIA E COMERCIO 1446</t>
        </is>
      </c>
      <c r="L2360" s="5" t="inlineStr">
        <is>
          <t>05102026</t>
        </is>
      </c>
      <c r="M2360" s="5">
        <f>IF(YEAR(I2360)&lt;=2020,"Até 2020",TEXT(YEAR(I2360),"0"))</f>
        <v/>
      </c>
      <c r="N2360" s="5">
        <f>IFERROR(INDEX(DePara!$A:$A,MATCH(TEXT(B2360,"0"),DePara!$D:$D,0)),"(sem categoria)")</f>
        <v/>
      </c>
      <c r="O2360" s="5">
        <f>IF(J2360="","",Parametros!$B$6-J2360)</f>
        <v/>
      </c>
      <c r="P2360" s="5">
        <f>IF(O2360="","",IF(O2360&gt;0,1,0))</f>
        <v/>
      </c>
    </row>
    <row r="2361">
      <c r="A2361" s="5" t="n">
        <v>2111000000</v>
      </c>
      <c r="B2361" s="5" t="inlineStr">
        <is>
          <t>100883</t>
        </is>
      </c>
      <c r="C2361" s="5" t="inlineStr">
        <is>
          <t>QUELMAR TRANSPORTES LTDA</t>
        </is>
      </c>
      <c r="D2361" s="5" t="inlineStr">
        <is>
          <t>RE</t>
        </is>
      </c>
      <c r="E2361" s="5" t="n">
        <v>5014926</v>
      </c>
      <c r="F2361" s="5" t="inlineStr">
        <is>
          <t>6252-2</t>
        </is>
      </c>
      <c r="G2361" s="5" t="inlineStr">
        <is>
          <t>BRL</t>
        </is>
      </c>
      <c r="H2361" s="9" t="n">
        <v>-3200</v>
      </c>
      <c r="I2361" s="16" t="n">
        <v>46225</v>
      </c>
      <c r="J2361" s="16" t="n">
        <v>46270</v>
      </c>
      <c r="K2361" s="5" t="inlineStr">
        <is>
          <t>Fatura - bruto QUELMAR TRANSPORTES LTDA 6252-2</t>
        </is>
      </c>
      <c r="L2361" s="5" t="inlineStr">
        <is>
          <t>08092026</t>
        </is>
      </c>
      <c r="M2361" s="5">
        <f>IF(YEAR(I2361)&lt;=2020,"Até 2020",TEXT(YEAR(I2361),"0"))</f>
        <v/>
      </c>
      <c r="N2361" s="5">
        <f>IFERROR(INDEX(DePara!$A:$A,MATCH(TEXT(B2361,"0"),DePara!$D:$D,0)),"(sem categoria)")</f>
        <v/>
      </c>
      <c r="O2361" s="5">
        <f>IF(J2361="","",Parametros!$B$6-J2361)</f>
        <v/>
      </c>
      <c r="P2361" s="5">
        <f>IF(O2361="","",IF(O2361&gt;0,1,0))</f>
        <v/>
      </c>
    </row>
    <row r="2362">
      <c r="A2362" s="5" t="n">
        <v>2111000000</v>
      </c>
      <c r="B2362" s="5" t="inlineStr">
        <is>
          <t>100883</t>
        </is>
      </c>
      <c r="C2362" s="5" t="inlineStr">
        <is>
          <t>QUELMAR TRANSPORTES LTDA</t>
        </is>
      </c>
      <c r="D2362" s="5" t="inlineStr">
        <is>
          <t>RE</t>
        </is>
      </c>
      <c r="E2362" s="5" t="n">
        <v>5014927</v>
      </c>
      <c r="F2362" s="5" t="inlineStr">
        <is>
          <t>6180-2</t>
        </is>
      </c>
      <c r="G2362" s="5" t="inlineStr">
        <is>
          <t>BRL</t>
        </is>
      </c>
      <c r="H2362" s="9" t="n">
        <v>-1580</v>
      </c>
      <c r="I2362" s="16" t="n">
        <v>46206</v>
      </c>
      <c r="J2362" s="16" t="n">
        <v>46270</v>
      </c>
      <c r="K2362" s="5" t="inlineStr">
        <is>
          <t>Fatura - bruto QUELMAR TRANSPORTES LTDA 6180-2</t>
        </is>
      </c>
      <c r="L2362" s="5" t="inlineStr">
        <is>
          <t>08092026</t>
        </is>
      </c>
      <c r="M2362" s="5">
        <f>IF(YEAR(I2362)&lt;=2020,"Até 2020",TEXT(YEAR(I2362),"0"))</f>
        <v/>
      </c>
      <c r="N2362" s="5">
        <f>IFERROR(INDEX(DePara!$A:$A,MATCH(TEXT(B2362,"0"),DePara!$D:$D,0)),"(sem categoria)")</f>
        <v/>
      </c>
      <c r="O2362" s="5">
        <f>IF(J2362="","",Parametros!$B$6-J2362)</f>
        <v/>
      </c>
      <c r="P2362" s="5">
        <f>IF(O2362="","",IF(O2362&gt;0,1,0))</f>
        <v/>
      </c>
    </row>
    <row r="2363">
      <c r="A2363" s="5" t="n">
        <v>2111000000</v>
      </c>
      <c r="B2363" s="5" t="inlineStr">
        <is>
          <t>101463</t>
        </is>
      </c>
      <c r="C2363" s="5" t="inlineStr">
        <is>
          <t>ZURICH MINAS BRASIL SEGUROS S A</t>
        </is>
      </c>
      <c r="D2363" s="5" t="inlineStr">
        <is>
          <t>RE</t>
        </is>
      </c>
      <c r="E2363" s="5" t="n">
        <v>5014928</v>
      </c>
      <c r="F2363" s="5" t="inlineStr">
        <is>
          <t>0339/26</t>
        </is>
      </c>
      <c r="G2363" s="5" t="inlineStr">
        <is>
          <t>BRL</t>
        </is>
      </c>
      <c r="H2363" s="9" t="n">
        <v>-1034.42</v>
      </c>
      <c r="I2363" s="16" t="n">
        <v>46245</v>
      </c>
      <c r="J2363" s="16" t="n">
        <v>46275</v>
      </c>
      <c r="K2363" s="5" t="inlineStr">
        <is>
          <t>Invoice Payment. SP: 21288</t>
        </is>
      </c>
      <c r="L2363" s="5" t="inlineStr">
        <is>
          <t>0339/26</t>
        </is>
      </c>
      <c r="M2363" s="5">
        <f>IF(YEAR(I2363)&lt;=2020,"Até 2020",TEXT(YEAR(I2363),"0"))</f>
        <v/>
      </c>
      <c r="N2363" s="5">
        <f>IFERROR(INDEX(DePara!$A:$A,MATCH(TEXT(B2363,"0"),DePara!$D:$D,0)),"(sem categoria)")</f>
        <v/>
      </c>
      <c r="O2363" s="5">
        <f>IF(J2363="","",Parametros!$B$6-J2363)</f>
        <v/>
      </c>
      <c r="P2363" s="5">
        <f>IF(O2363="","",IF(O2363&gt;0,1,0))</f>
        <v/>
      </c>
    </row>
    <row r="2364">
      <c r="A2364" s="5" t="n">
        <v>2111000000</v>
      </c>
      <c r="B2364" s="5" t="inlineStr">
        <is>
          <t>101463</t>
        </is>
      </c>
      <c r="C2364" s="5" t="inlineStr">
        <is>
          <t>ZURICH MINAS BRASIL SEGUROS S A</t>
        </is>
      </c>
      <c r="D2364" s="5" t="inlineStr">
        <is>
          <t>RE</t>
        </is>
      </c>
      <c r="E2364" s="5" t="n">
        <v>5014933</v>
      </c>
      <c r="F2364" s="5" t="inlineStr">
        <is>
          <t>0448/26</t>
        </is>
      </c>
      <c r="G2364" s="5" t="inlineStr">
        <is>
          <t>BRL</t>
        </is>
      </c>
      <c r="H2364" s="9" t="n">
        <v>-3.02</v>
      </c>
      <c r="I2364" s="16" t="n">
        <v>46245</v>
      </c>
      <c r="J2364" s="16" t="n">
        <v>46275</v>
      </c>
      <c r="K2364" s="5" t="inlineStr">
        <is>
          <t>Invoice Payment. SP: 21290</t>
        </is>
      </c>
      <c r="L2364" s="5" t="inlineStr">
        <is>
          <t>0448/26</t>
        </is>
      </c>
      <c r="M2364" s="5">
        <f>IF(YEAR(I2364)&lt;=2020,"Até 2020",TEXT(YEAR(I2364),"0"))</f>
        <v/>
      </c>
      <c r="N2364" s="5">
        <f>IFERROR(INDEX(DePara!$A:$A,MATCH(TEXT(B2364,"0"),DePara!$D:$D,0)),"(sem categoria)")</f>
        <v/>
      </c>
      <c r="O2364" s="5">
        <f>IF(J2364="","",Parametros!$B$6-J2364)</f>
        <v/>
      </c>
      <c r="P2364" s="5">
        <f>IF(O2364="","",IF(O2364&gt;0,1,0))</f>
        <v/>
      </c>
    </row>
    <row r="2365">
      <c r="A2365" s="5" t="n">
        <v>2111000000</v>
      </c>
      <c r="B2365" s="5" t="inlineStr">
        <is>
          <t>101463</t>
        </is>
      </c>
      <c r="C2365" s="5" t="inlineStr">
        <is>
          <t>ZURICH MINAS BRASIL SEGUROS S A</t>
        </is>
      </c>
      <c r="D2365" s="5" t="inlineStr">
        <is>
          <t>RE</t>
        </is>
      </c>
      <c r="E2365" s="5" t="n">
        <v>5014945</v>
      </c>
      <c r="F2365" s="5" t="inlineStr">
        <is>
          <t>0332/26</t>
        </is>
      </c>
      <c r="G2365" s="5" t="inlineStr">
        <is>
          <t>BRL</t>
        </is>
      </c>
      <c r="H2365" s="9" t="n">
        <v>-104.23</v>
      </c>
      <c r="I2365" s="16" t="n">
        <v>46245</v>
      </c>
      <c r="J2365" s="16" t="n">
        <v>46275</v>
      </c>
      <c r="K2365" s="5" t="inlineStr">
        <is>
          <t>Invoice Payment. SP: 21292</t>
        </is>
      </c>
      <c r="L2365" s="5" t="inlineStr">
        <is>
          <t>0332/26</t>
        </is>
      </c>
      <c r="M2365" s="5">
        <f>IF(YEAR(I2365)&lt;=2020,"Até 2020",TEXT(YEAR(I2365),"0"))</f>
        <v/>
      </c>
      <c r="N2365" s="5">
        <f>IFERROR(INDEX(DePara!$A:$A,MATCH(TEXT(B2365,"0"),DePara!$D:$D,0)),"(sem categoria)")</f>
        <v/>
      </c>
      <c r="O2365" s="5">
        <f>IF(J2365="","",Parametros!$B$6-J2365)</f>
        <v/>
      </c>
      <c r="P2365" s="5">
        <f>IF(O2365="","",IF(O2365&gt;0,1,0))</f>
        <v/>
      </c>
    </row>
    <row r="2366">
      <c r="A2366" s="5" t="n">
        <v>2111000000</v>
      </c>
      <c r="B2366" s="5" t="inlineStr">
        <is>
          <t>101463</t>
        </is>
      </c>
      <c r="C2366" s="5" t="inlineStr">
        <is>
          <t>ZURICH MINAS BRASIL SEGUROS S A</t>
        </is>
      </c>
      <c r="D2366" s="5" t="inlineStr">
        <is>
          <t>RE</t>
        </is>
      </c>
      <c r="E2366" s="5" t="n">
        <v>5014953</v>
      </c>
      <c r="F2366" s="5" t="inlineStr">
        <is>
          <t>0452/26</t>
        </is>
      </c>
      <c r="G2366" s="5" t="inlineStr">
        <is>
          <t>BRL</t>
        </is>
      </c>
      <c r="H2366" s="9" t="n">
        <v>-90.86</v>
      </c>
      <c r="I2366" s="16" t="n">
        <v>46245</v>
      </c>
      <c r="J2366" s="16" t="n">
        <v>46245</v>
      </c>
      <c r="K2366" s="5" t="inlineStr">
        <is>
          <t>Invoice Payment. SP: 21294</t>
        </is>
      </c>
      <c r="L2366" s="5" t="inlineStr">
        <is>
          <t>0452/26</t>
        </is>
      </c>
      <c r="M2366" s="5">
        <f>IF(YEAR(I2366)&lt;=2020,"Até 2020",TEXT(YEAR(I2366),"0"))</f>
        <v/>
      </c>
      <c r="N2366" s="5">
        <f>IFERROR(INDEX(DePara!$A:$A,MATCH(TEXT(B2366,"0"),DePara!$D:$D,0)),"(sem categoria)")</f>
        <v/>
      </c>
      <c r="O2366" s="5">
        <f>IF(J2366="","",Parametros!$B$6-J2366)</f>
        <v/>
      </c>
      <c r="P2366" s="5">
        <f>IF(O2366="","",IF(O2366&gt;0,1,0))</f>
        <v/>
      </c>
    </row>
    <row r="2367">
      <c r="A2367" s="5" t="n">
        <v>2111000000</v>
      </c>
      <c r="B2367" s="5" t="inlineStr">
        <is>
          <t>105982</t>
        </is>
      </c>
      <c r="C2367" s="5" t="inlineStr">
        <is>
          <t>TELES &amp; VILANOVA ADVOGADOS 57783429000110</t>
        </is>
      </c>
      <c r="D2367" s="5" t="inlineStr">
        <is>
          <t>RE</t>
        </is>
      </c>
      <c r="E2367" s="5" t="n">
        <v>5014964</v>
      </c>
      <c r="F2367" s="5" t="inlineStr">
        <is>
          <t>10127</t>
        </is>
      </c>
      <c r="G2367" s="5" t="inlineStr">
        <is>
          <t>BRL</t>
        </is>
      </c>
      <c r="H2367" s="9" t="n">
        <v>-4500</v>
      </c>
      <c r="I2367" s="16" t="n">
        <v>46244</v>
      </c>
      <c r="J2367" s="16" t="n">
        <v>46274</v>
      </c>
      <c r="K2367" s="5" t="inlineStr">
        <is>
          <t>Fatura - bruto TELES &amp; VILANOVA ADVOGADOS 57783429</t>
        </is>
      </c>
      <c r="L2367" s="5" t="inlineStr">
        <is>
          <t>09092026</t>
        </is>
      </c>
      <c r="M2367" s="5">
        <f>IF(YEAR(I2367)&lt;=2020,"Até 2020",TEXT(YEAR(I2367),"0"))</f>
        <v/>
      </c>
      <c r="N2367" s="5">
        <f>IFERROR(INDEX(DePara!$A:$A,MATCH(TEXT(B2367,"0"),DePara!$D:$D,0)),"(sem categoria)")</f>
        <v/>
      </c>
      <c r="O2367" s="5">
        <f>IF(J2367="","",Parametros!$B$6-J2367)</f>
        <v/>
      </c>
      <c r="P2367" s="5">
        <f>IF(O2367="","",IF(O2367&gt;0,1,0))</f>
        <v/>
      </c>
    </row>
    <row r="2368">
      <c r="A2368" s="5" t="n">
        <v>2111000000</v>
      </c>
      <c r="B2368" s="5" t="inlineStr">
        <is>
          <t>105982</t>
        </is>
      </c>
      <c r="C2368" s="5" t="inlineStr">
        <is>
          <t>TELES &amp; VILANOVA ADVOGADOS 57783429000110</t>
        </is>
      </c>
      <c r="D2368" s="5" t="inlineStr">
        <is>
          <t>RE</t>
        </is>
      </c>
      <c r="E2368" s="5" t="n">
        <v>5014965</v>
      </c>
      <c r="F2368" s="5" t="inlineStr">
        <is>
          <t>10126</t>
        </is>
      </c>
      <c r="G2368" s="5" t="inlineStr">
        <is>
          <t>BRL</t>
        </is>
      </c>
      <c r="H2368" s="9" t="n">
        <v>-4793.9</v>
      </c>
      <c r="I2368" s="16" t="n">
        <v>46244</v>
      </c>
      <c r="J2368" s="16" t="n">
        <v>46274</v>
      </c>
      <c r="K2368" s="5" t="inlineStr">
        <is>
          <t>Fatura - bruto TELES &amp; VILANOVA ADVOGADOS 57783429</t>
        </is>
      </c>
      <c r="L2368" s="5" t="inlineStr">
        <is>
          <t>09092026</t>
        </is>
      </c>
      <c r="M2368" s="5">
        <f>IF(YEAR(I2368)&lt;=2020,"Até 2020",TEXT(YEAR(I2368),"0"))</f>
        <v/>
      </c>
      <c r="N2368" s="5">
        <f>IFERROR(INDEX(DePara!$A:$A,MATCH(TEXT(B2368,"0"),DePara!$D:$D,0)),"(sem categoria)")</f>
        <v/>
      </c>
      <c r="O2368" s="5">
        <f>IF(J2368="","",Parametros!$B$6-J2368)</f>
        <v/>
      </c>
      <c r="P2368" s="5">
        <f>IF(O2368="","",IF(O2368&gt;0,1,0))</f>
        <v/>
      </c>
    </row>
    <row r="2369">
      <c r="A2369" s="5" t="n">
        <v>2111000000</v>
      </c>
      <c r="B2369" s="5" t="inlineStr">
        <is>
          <t>101958</t>
        </is>
      </c>
      <c r="C2369" s="5" t="inlineStr">
        <is>
          <t>PREFEITURA DE SAO PAULO</t>
        </is>
      </c>
      <c r="D2369" s="5" t="inlineStr">
        <is>
          <t>KR</t>
        </is>
      </c>
      <c r="E2369" s="5" t="n">
        <v>5014966</v>
      </c>
      <c r="F2369" s="5" t="inlineStr">
        <is>
          <t>IMP FCAMBIO LINK</t>
        </is>
      </c>
      <c r="G2369" s="5" t="inlineStr">
        <is>
          <t>BRL</t>
        </is>
      </c>
      <c r="H2369" s="9" t="n">
        <v>-2857.72</v>
      </c>
      <c r="I2369" s="16" t="n">
        <v>46238</v>
      </c>
      <c r="J2369" s="16" t="n">
        <v>46274</v>
      </c>
      <c r="K2369" s="5" t="inlineStr">
        <is>
          <t>ISS FCAMBIO LINKEDIN INV 78112889228</t>
        </is>
      </c>
      <c r="L2369" s="5" t="inlineStr">
        <is>
          <t>09092026</t>
        </is>
      </c>
      <c r="M2369" s="5">
        <f>IF(YEAR(I2369)&lt;=2020,"Até 2020",TEXT(YEAR(I2369),"0"))</f>
        <v/>
      </c>
      <c r="N2369" s="5">
        <f>IFERROR(INDEX(DePara!$A:$A,MATCH(TEXT(B2369,"0"),DePara!$D:$D,0)),"(sem categoria)")</f>
        <v/>
      </c>
      <c r="O2369" s="5">
        <f>IF(J2369="","",Parametros!$B$6-J2369)</f>
        <v/>
      </c>
      <c r="P2369" s="5">
        <f>IF(O2369="","",IF(O2369&gt;0,1,0))</f>
        <v/>
      </c>
    </row>
    <row r="2370">
      <c r="A2370" s="5" t="n">
        <v>2111000000</v>
      </c>
      <c r="B2370" s="5" t="inlineStr">
        <is>
          <t>100617</t>
        </is>
      </c>
      <c r="C2370" s="5" t="inlineStr">
        <is>
          <t>PREST SERVICOS DE SISTEMAS DE SEGUR</t>
        </is>
      </c>
      <c r="D2370" s="5" t="inlineStr">
        <is>
          <t>RE</t>
        </is>
      </c>
      <c r="E2370" s="5" t="n">
        <v>5014967</v>
      </c>
      <c r="F2370" s="5" t="inlineStr">
        <is>
          <t>31</t>
        </is>
      </c>
      <c r="G2370" s="5" t="inlineStr">
        <is>
          <t>BRL</t>
        </is>
      </c>
      <c r="H2370" s="9" t="n">
        <v>-14880.83</v>
      </c>
      <c r="I2370" s="16" t="n">
        <v>46244</v>
      </c>
      <c r="J2370" s="16" t="n">
        <v>46300</v>
      </c>
      <c r="K2370" s="5" t="inlineStr">
        <is>
          <t>Fatura - bruto PREST SERVICOS DE SISTEMAS DE SEGUR</t>
        </is>
      </c>
      <c r="L2370" s="5" t="inlineStr">
        <is>
          <t>05102026</t>
        </is>
      </c>
      <c r="M2370" s="5">
        <f>IF(YEAR(I2370)&lt;=2020,"Até 2020",TEXT(YEAR(I2370),"0"))</f>
        <v/>
      </c>
      <c r="N2370" s="5">
        <f>IFERROR(INDEX(DePara!$A:$A,MATCH(TEXT(B2370,"0"),DePara!$D:$D,0)),"(sem categoria)")</f>
        <v/>
      </c>
      <c r="O2370" s="5">
        <f>IF(J2370="","",Parametros!$B$6-J2370)</f>
        <v/>
      </c>
      <c r="P2370" s="5">
        <f>IF(O2370="","",IF(O2370&gt;0,1,0))</f>
        <v/>
      </c>
    </row>
    <row r="2371">
      <c r="A2371" s="5" t="n">
        <v>2111000000</v>
      </c>
      <c r="B2371" s="5" t="inlineStr">
        <is>
          <t>100883</t>
        </is>
      </c>
      <c r="C2371" s="5" t="inlineStr">
        <is>
          <t>QUELMAR TRANSPORTES LTDA</t>
        </is>
      </c>
      <c r="D2371" s="5" t="inlineStr">
        <is>
          <t>RE</t>
        </is>
      </c>
      <c r="E2371" s="5" t="n">
        <v>5014968</v>
      </c>
      <c r="F2371" s="5" t="inlineStr">
        <is>
          <t>6326-2</t>
        </is>
      </c>
      <c r="G2371" s="5" t="inlineStr">
        <is>
          <t>BRL</t>
        </is>
      </c>
      <c r="H2371" s="9" t="n">
        <v>-1980</v>
      </c>
      <c r="I2371" s="16" t="n">
        <v>46232</v>
      </c>
      <c r="J2371" s="16" t="n">
        <v>46270</v>
      </c>
      <c r="K2371" s="5" t="inlineStr">
        <is>
          <t>Fatura - bruto QUELMAR TRANSPORTES LTDA 6326-2</t>
        </is>
      </c>
      <c r="L2371" s="5" t="inlineStr">
        <is>
          <t>08092026</t>
        </is>
      </c>
      <c r="M2371" s="5">
        <f>IF(YEAR(I2371)&lt;=2020,"Até 2020",TEXT(YEAR(I2371),"0"))</f>
        <v/>
      </c>
      <c r="N2371" s="5">
        <f>IFERROR(INDEX(DePara!$A:$A,MATCH(TEXT(B2371,"0"),DePara!$D:$D,0)),"(sem categoria)")</f>
        <v/>
      </c>
      <c r="O2371" s="5">
        <f>IF(J2371="","",Parametros!$B$6-J2371)</f>
        <v/>
      </c>
      <c r="P2371" s="5">
        <f>IF(O2371="","",IF(O2371&gt;0,1,0))</f>
        <v/>
      </c>
    </row>
    <row r="2372">
      <c r="A2372" s="5" t="n">
        <v>2111000000</v>
      </c>
      <c r="B2372" s="5" t="inlineStr">
        <is>
          <t>101958</t>
        </is>
      </c>
      <c r="C2372" s="5" t="inlineStr">
        <is>
          <t>PREFEITURA DE SAO PAULO</t>
        </is>
      </c>
      <c r="D2372" s="5" t="inlineStr">
        <is>
          <t>KR</t>
        </is>
      </c>
      <c r="E2372" s="5" t="n">
        <v>5014973</v>
      </c>
      <c r="F2372" s="5" t="inlineStr">
        <is>
          <t>IMP FCAMBIO HIDR</t>
        </is>
      </c>
      <c r="G2372" s="5" t="inlineStr">
        <is>
          <t>BRL</t>
        </is>
      </c>
      <c r="H2372" s="9" t="n">
        <v>-112089.82</v>
      </c>
      <c r="I2372" s="16" t="n">
        <v>46240</v>
      </c>
      <c r="J2372" s="16" t="n">
        <v>46274</v>
      </c>
      <c r="K2372" s="5" t="inlineStr">
        <is>
          <t>ISS FCAMBIO HIDRAULICA INV 17/30/45/46-26</t>
        </is>
      </c>
      <c r="L2372" s="5" t="inlineStr">
        <is>
          <t>09092026</t>
        </is>
      </c>
      <c r="M2372" s="5">
        <f>IF(YEAR(I2372)&lt;=2020,"Até 2020",TEXT(YEAR(I2372),"0"))</f>
        <v/>
      </c>
      <c r="N2372" s="5">
        <f>IFERROR(INDEX(DePara!$A:$A,MATCH(TEXT(B2372,"0"),DePara!$D:$D,0)),"(sem categoria)")</f>
        <v/>
      </c>
      <c r="O2372" s="5">
        <f>IF(J2372="","",Parametros!$B$6-J2372)</f>
        <v/>
      </c>
      <c r="P2372" s="5">
        <f>IF(O2372="","",IF(O2372&gt;0,1,0))</f>
        <v/>
      </c>
    </row>
    <row r="2373">
      <c r="A2373" s="5" t="n">
        <v>2111000000</v>
      </c>
      <c r="B2373" s="5" t="inlineStr">
        <is>
          <t>101463</t>
        </is>
      </c>
      <c r="C2373" s="5" t="inlineStr">
        <is>
          <t>ZURICH MINAS BRASIL SEGUROS S A</t>
        </is>
      </c>
      <c r="D2373" s="5" t="inlineStr">
        <is>
          <t>RE</t>
        </is>
      </c>
      <c r="E2373" s="5" t="n">
        <v>5014976</v>
      </c>
      <c r="F2373" s="5" t="inlineStr">
        <is>
          <t>0465/26</t>
        </is>
      </c>
      <c r="G2373" s="5" t="inlineStr">
        <is>
          <t>BRL</t>
        </is>
      </c>
      <c r="H2373" s="9" t="n">
        <v>-18.8</v>
      </c>
      <c r="I2373" s="16" t="n">
        <v>46245</v>
      </c>
      <c r="J2373" s="16" t="n">
        <v>46275</v>
      </c>
      <c r="K2373" s="5" t="inlineStr">
        <is>
          <t>Invoice Payment. SP: 21298</t>
        </is>
      </c>
      <c r="L2373" s="5" t="inlineStr">
        <is>
          <t>0465/26</t>
        </is>
      </c>
      <c r="M2373" s="5">
        <f>IF(YEAR(I2373)&lt;=2020,"Até 2020",TEXT(YEAR(I2373),"0"))</f>
        <v/>
      </c>
      <c r="N2373" s="5">
        <f>IFERROR(INDEX(DePara!$A:$A,MATCH(TEXT(B2373,"0"),DePara!$D:$D,0)),"(sem categoria)")</f>
        <v/>
      </c>
      <c r="O2373" s="5">
        <f>IF(J2373="","",Parametros!$B$6-J2373)</f>
        <v/>
      </c>
      <c r="P2373" s="5">
        <f>IF(O2373="","",IF(O2373&gt;0,1,0))</f>
        <v/>
      </c>
    </row>
    <row r="2374">
      <c r="A2374" s="5" t="n">
        <v>2111000000</v>
      </c>
      <c r="B2374" s="5" t="inlineStr">
        <is>
          <t>101958</t>
        </is>
      </c>
      <c r="C2374" s="5" t="inlineStr">
        <is>
          <t>PREFEITURA DE SAO PAULO</t>
        </is>
      </c>
      <c r="D2374" s="5" t="inlineStr">
        <is>
          <t>KR</t>
        </is>
      </c>
      <c r="E2374" s="5" t="n">
        <v>5014981</v>
      </c>
      <c r="F2374" s="5" t="inlineStr">
        <is>
          <t>IMP FCAMBIO SECR</t>
        </is>
      </c>
      <c r="G2374" s="5" t="inlineStr">
        <is>
          <t>BRL</t>
        </is>
      </c>
      <c r="H2374" s="9" t="n">
        <v>-14592.99</v>
      </c>
      <c r="I2374" s="16" t="n">
        <v>46240</v>
      </c>
      <c r="J2374" s="16" t="n">
        <v>46274</v>
      </c>
      <c r="K2374" s="5" t="inlineStr">
        <is>
          <t>ISS FCAMBIO SECRETARIAT INV 620/645/783</t>
        </is>
      </c>
      <c r="L2374" s="5" t="inlineStr">
        <is>
          <t>09092026</t>
        </is>
      </c>
      <c r="M2374" s="5">
        <f>IF(YEAR(I2374)&lt;=2020,"Até 2020",TEXT(YEAR(I2374),"0"))</f>
        <v/>
      </c>
      <c r="N2374" s="5">
        <f>IFERROR(INDEX(DePara!$A:$A,MATCH(TEXT(B2374,"0"),DePara!$D:$D,0)),"(sem categoria)")</f>
        <v/>
      </c>
      <c r="O2374" s="5">
        <f>IF(J2374="","",Parametros!$B$6-J2374)</f>
        <v/>
      </c>
      <c r="P2374" s="5">
        <f>IF(O2374="","",IF(O2374&gt;0,1,0))</f>
        <v/>
      </c>
    </row>
    <row r="2375">
      <c r="A2375" s="5" t="n">
        <v>2111000000</v>
      </c>
      <c r="B2375" s="5" t="inlineStr">
        <is>
          <t>101958</t>
        </is>
      </c>
      <c r="C2375" s="5" t="inlineStr">
        <is>
          <t>PREFEITURA DE SAO PAULO</t>
        </is>
      </c>
      <c r="D2375" s="5" t="inlineStr">
        <is>
          <t>KR</t>
        </is>
      </c>
      <c r="E2375" s="5" t="n">
        <v>5014984</v>
      </c>
      <c r="F2375" s="5" t="inlineStr">
        <is>
          <t>IMP FCAMBIO NORD</t>
        </is>
      </c>
      <c r="G2375" s="5" t="inlineStr">
        <is>
          <t>BRL</t>
        </is>
      </c>
      <c r="H2375" s="9" t="n">
        <v>-4418.49</v>
      </c>
      <c r="I2375" s="16" t="n">
        <v>46241</v>
      </c>
      <c r="J2375" s="16" t="n">
        <v>46274</v>
      </c>
      <c r="K2375" s="5" t="inlineStr">
        <is>
          <t>ISS FCAMBIO NORDEX OY INV 6000244</t>
        </is>
      </c>
      <c r="L2375" s="5" t="inlineStr">
        <is>
          <t>09092026</t>
        </is>
      </c>
      <c r="M2375" s="5">
        <f>IF(YEAR(I2375)&lt;=2020,"Até 2020",TEXT(YEAR(I2375),"0"))</f>
        <v/>
      </c>
      <c r="N2375" s="5">
        <f>IFERROR(INDEX(DePara!$A:$A,MATCH(TEXT(B2375,"0"),DePara!$D:$D,0)),"(sem categoria)")</f>
        <v/>
      </c>
      <c r="O2375" s="5">
        <f>IF(J2375="","",Parametros!$B$6-J2375)</f>
        <v/>
      </c>
      <c r="P2375" s="5">
        <f>IF(O2375="","",IF(O2375&gt;0,1,0))</f>
        <v/>
      </c>
    </row>
    <row r="2376">
      <c r="A2376" s="5" t="n">
        <v>2111000000</v>
      </c>
      <c r="B2376" s="5" t="inlineStr">
        <is>
          <t>101463</t>
        </is>
      </c>
      <c r="C2376" s="5" t="inlineStr">
        <is>
          <t>ZURICH MINAS BRASIL SEGUROS S A</t>
        </is>
      </c>
      <c r="D2376" s="5" t="inlineStr">
        <is>
          <t>RE</t>
        </is>
      </c>
      <c r="E2376" s="5" t="n">
        <v>5014985</v>
      </c>
      <c r="F2376" s="5" t="inlineStr">
        <is>
          <t>0469/26</t>
        </is>
      </c>
      <c r="G2376" s="5" t="inlineStr">
        <is>
          <t>BRL</t>
        </is>
      </c>
      <c r="H2376" s="9" t="n">
        <v>-63.29</v>
      </c>
      <c r="I2376" s="16" t="n">
        <v>46245</v>
      </c>
      <c r="J2376" s="16" t="n">
        <v>46275</v>
      </c>
      <c r="K2376" s="5" t="inlineStr">
        <is>
          <t>Invoice Payment. SP: 21302</t>
        </is>
      </c>
      <c r="L2376" s="5" t="inlineStr">
        <is>
          <t>0469/26</t>
        </is>
      </c>
      <c r="M2376" s="5">
        <f>IF(YEAR(I2376)&lt;=2020,"Até 2020",TEXT(YEAR(I2376),"0"))</f>
        <v/>
      </c>
      <c r="N2376" s="5">
        <f>IFERROR(INDEX(DePara!$A:$A,MATCH(TEXT(B2376,"0"),DePara!$D:$D,0)),"(sem categoria)")</f>
        <v/>
      </c>
      <c r="O2376" s="5">
        <f>IF(J2376="","",Parametros!$B$6-J2376)</f>
        <v/>
      </c>
      <c r="P2376" s="5">
        <f>IF(O2376="","",IF(O2376&gt;0,1,0))</f>
        <v/>
      </c>
    </row>
    <row r="2377">
      <c r="A2377" s="5" t="n">
        <v>2111000000</v>
      </c>
      <c r="B2377" s="5" t="inlineStr">
        <is>
          <t>100883</t>
        </is>
      </c>
      <c r="C2377" s="5" t="inlineStr">
        <is>
          <t>QUELMAR TRANSPORTES LTDA</t>
        </is>
      </c>
      <c r="D2377" s="5" t="inlineStr">
        <is>
          <t>RE</t>
        </is>
      </c>
      <c r="E2377" s="5" t="n">
        <v>5014986</v>
      </c>
      <c r="F2377" s="5" t="inlineStr">
        <is>
          <t>108193-1</t>
        </is>
      </c>
      <c r="G2377" s="5" t="inlineStr">
        <is>
          <t>BRL</t>
        </is>
      </c>
      <c r="H2377" s="9" t="n">
        <v>-2204.54</v>
      </c>
      <c r="I2377" s="16" t="n">
        <v>46231</v>
      </c>
      <c r="J2377" s="16" t="n">
        <v>46270</v>
      </c>
      <c r="K2377" s="5" t="inlineStr">
        <is>
          <t>Fatura - bruto QUELMAR TRANSPORTES LTDA 108193-1</t>
        </is>
      </c>
      <c r="L2377" s="5" t="inlineStr">
        <is>
          <t>08092026</t>
        </is>
      </c>
      <c r="M2377" s="5">
        <f>IF(YEAR(I2377)&lt;=2020,"Até 2020",TEXT(YEAR(I2377),"0"))</f>
        <v/>
      </c>
      <c r="N2377" s="5">
        <f>IFERROR(INDEX(DePara!$A:$A,MATCH(TEXT(B2377,"0"),DePara!$D:$D,0)),"(sem categoria)")</f>
        <v/>
      </c>
      <c r="O2377" s="5">
        <f>IF(J2377="","",Parametros!$B$6-J2377)</f>
        <v/>
      </c>
      <c r="P2377" s="5">
        <f>IF(O2377="","",IF(O2377&gt;0,1,0))</f>
        <v/>
      </c>
    </row>
    <row r="2378">
      <c r="A2378" s="5" t="n">
        <v>2111000000</v>
      </c>
      <c r="B2378" s="5" t="inlineStr">
        <is>
          <t>101463</t>
        </is>
      </c>
      <c r="C2378" s="5" t="inlineStr">
        <is>
          <t>ZURICH MINAS BRASIL SEGUROS S A</t>
        </is>
      </c>
      <c r="D2378" s="5" t="inlineStr">
        <is>
          <t>RE</t>
        </is>
      </c>
      <c r="E2378" s="5" t="n">
        <v>5014990</v>
      </c>
      <c r="F2378" s="5" t="inlineStr">
        <is>
          <t>0402/26</t>
        </is>
      </c>
      <c r="G2378" s="5" t="inlineStr">
        <is>
          <t>BRL</t>
        </is>
      </c>
      <c r="H2378" s="9" t="n">
        <v>-27969.5</v>
      </c>
      <c r="I2378" s="16" t="n">
        <v>46245</v>
      </c>
      <c r="J2378" s="16" t="n">
        <v>46275</v>
      </c>
      <c r="K2378" s="5" t="inlineStr">
        <is>
          <t>Invoice Payment. SP: 21304</t>
        </is>
      </c>
      <c r="L2378" s="5" t="inlineStr">
        <is>
          <t>0402/26</t>
        </is>
      </c>
      <c r="M2378" s="5">
        <f>IF(YEAR(I2378)&lt;=2020,"Até 2020",TEXT(YEAR(I2378),"0"))</f>
        <v/>
      </c>
      <c r="N2378" s="5">
        <f>IFERROR(INDEX(DePara!$A:$A,MATCH(TEXT(B2378,"0"),DePara!$D:$D,0)),"(sem categoria)")</f>
        <v/>
      </c>
      <c r="O2378" s="5">
        <f>IF(J2378="","",Parametros!$B$6-J2378)</f>
        <v/>
      </c>
      <c r="P2378" s="5">
        <f>IF(O2378="","",IF(O2378&gt;0,1,0))</f>
        <v/>
      </c>
    </row>
    <row r="2379">
      <c r="A2379" s="5" t="n">
        <v>2111000000</v>
      </c>
      <c r="B2379" s="5" t="inlineStr">
        <is>
          <t>101463</t>
        </is>
      </c>
      <c r="C2379" s="5" t="inlineStr">
        <is>
          <t>ZURICH MINAS BRASIL SEGUROS S A</t>
        </is>
      </c>
      <c r="D2379" s="5" t="inlineStr">
        <is>
          <t>RE</t>
        </is>
      </c>
      <c r="E2379" s="5" t="n">
        <v>5014992</v>
      </c>
      <c r="F2379" s="5" t="inlineStr">
        <is>
          <t>0468/26</t>
        </is>
      </c>
      <c r="G2379" s="5" t="inlineStr">
        <is>
          <t>BRL</t>
        </is>
      </c>
      <c r="H2379" s="9" t="n">
        <v>-1005.88</v>
      </c>
      <c r="I2379" s="16" t="n">
        <v>46245</v>
      </c>
      <c r="J2379" s="16" t="n">
        <v>46275</v>
      </c>
      <c r="K2379" s="5" t="inlineStr">
        <is>
          <t>Invoice Payment. SP: 21306</t>
        </is>
      </c>
      <c r="L2379" s="5" t="inlineStr">
        <is>
          <t>0468/26</t>
        </is>
      </c>
      <c r="M2379" s="5">
        <f>IF(YEAR(I2379)&lt;=2020,"Até 2020",TEXT(YEAR(I2379),"0"))</f>
        <v/>
      </c>
      <c r="N2379" s="5">
        <f>IFERROR(INDEX(DePara!$A:$A,MATCH(TEXT(B2379,"0"),DePara!$D:$D,0)),"(sem categoria)")</f>
        <v/>
      </c>
      <c r="O2379" s="5">
        <f>IF(J2379="","",Parametros!$B$6-J2379)</f>
        <v/>
      </c>
      <c r="P2379" s="5">
        <f>IF(O2379="","",IF(O2379&gt;0,1,0))</f>
        <v/>
      </c>
    </row>
    <row r="2380">
      <c r="A2380" s="5" t="n">
        <v>2111000000</v>
      </c>
      <c r="B2380" s="5" t="inlineStr">
        <is>
          <t>101463</t>
        </is>
      </c>
      <c r="C2380" s="5" t="inlineStr">
        <is>
          <t>ZURICH MINAS BRASIL SEGUROS S A</t>
        </is>
      </c>
      <c r="D2380" s="5" t="inlineStr">
        <is>
          <t>RE</t>
        </is>
      </c>
      <c r="E2380" s="5" t="n">
        <v>5014994</v>
      </c>
      <c r="F2380" s="5" t="inlineStr">
        <is>
          <t>0317/26</t>
        </is>
      </c>
      <c r="G2380" s="5" t="inlineStr">
        <is>
          <t>BRL</t>
        </is>
      </c>
      <c r="H2380" s="9" t="n">
        <v>-1513.45</v>
      </c>
      <c r="I2380" s="16" t="n">
        <v>46245</v>
      </c>
      <c r="J2380" s="16" t="n">
        <v>46275</v>
      </c>
      <c r="K2380" s="5" t="inlineStr">
        <is>
          <t>Invoice Payment. SP: 21308</t>
        </is>
      </c>
      <c r="L2380" s="5" t="inlineStr">
        <is>
          <t>0317/26</t>
        </is>
      </c>
      <c r="M2380" s="5">
        <f>IF(YEAR(I2380)&lt;=2020,"Até 2020",TEXT(YEAR(I2380),"0"))</f>
        <v/>
      </c>
      <c r="N2380" s="5">
        <f>IFERROR(INDEX(DePara!$A:$A,MATCH(TEXT(B2380,"0"),DePara!$D:$D,0)),"(sem categoria)")</f>
        <v/>
      </c>
      <c r="O2380" s="5">
        <f>IF(J2380="","",Parametros!$B$6-J2380)</f>
        <v/>
      </c>
      <c r="P2380" s="5">
        <f>IF(O2380="","",IF(O2380&gt;0,1,0))</f>
        <v/>
      </c>
    </row>
    <row r="2381">
      <c r="A2381" s="5" t="n">
        <v>2111000000</v>
      </c>
      <c r="B2381" s="5" t="inlineStr">
        <is>
          <t>100192</t>
        </is>
      </c>
      <c r="C2381" s="5" t="inlineStr">
        <is>
          <t>EPHARMA PBM DO BRASIL SA</t>
        </is>
      </c>
      <c r="D2381" s="5" t="inlineStr">
        <is>
          <t>RE</t>
        </is>
      </c>
      <c r="E2381" s="5" t="n">
        <v>5015004</v>
      </c>
      <c r="F2381" s="5" t="inlineStr">
        <is>
          <t>5836</t>
        </is>
      </c>
      <c r="G2381" s="5" t="inlineStr">
        <is>
          <t>BRL</t>
        </is>
      </c>
      <c r="H2381" s="9" t="n">
        <v>-20830.78</v>
      </c>
      <c r="I2381" s="16" t="n">
        <v>46239</v>
      </c>
      <c r="J2381" s="16" t="n">
        <v>46269</v>
      </c>
      <c r="K2381" s="5" t="inlineStr">
        <is>
          <t>Fatura - bruto EPHARMA PBM DO BRASIL SA 5836</t>
        </is>
      </c>
      <c r="L2381" s="5" t="inlineStr">
        <is>
          <t>02092026</t>
        </is>
      </c>
      <c r="M2381" s="5">
        <f>IF(YEAR(I2381)&lt;=2020,"Até 2020",TEXT(YEAR(I2381),"0"))</f>
        <v/>
      </c>
      <c r="N2381" s="5">
        <f>IFERROR(INDEX(DePara!$A:$A,MATCH(TEXT(B2381,"0"),DePara!$D:$D,0)),"(sem categoria)")</f>
        <v/>
      </c>
      <c r="O2381" s="5">
        <f>IF(J2381="","",Parametros!$B$6-J2381)</f>
        <v/>
      </c>
      <c r="P2381" s="5">
        <f>IF(O2381="","",IF(O2381&gt;0,1,0))</f>
        <v/>
      </c>
    </row>
    <row r="2382">
      <c r="A2382" s="5" t="n">
        <v>2111000000</v>
      </c>
      <c r="B2382" s="5" t="inlineStr">
        <is>
          <t>101508</t>
        </is>
      </c>
      <c r="C2382" s="5" t="inlineStr">
        <is>
          <t>RANDSTAD BRASIL RECURSOS HUMANOS LT</t>
        </is>
      </c>
      <c r="D2382" s="5" t="inlineStr">
        <is>
          <t>RE</t>
        </is>
      </c>
      <c r="E2382" s="5" t="n">
        <v>5015006</v>
      </c>
      <c r="F2382" s="5" t="inlineStr">
        <is>
          <t>255381</t>
        </is>
      </c>
      <c r="G2382" s="5" t="inlineStr">
        <is>
          <t>BRL</t>
        </is>
      </c>
      <c r="H2382" s="9" t="n">
        <v>-17722.12</v>
      </c>
      <c r="I2382" s="16" t="n">
        <v>46239</v>
      </c>
      <c r="J2382" s="16" t="n">
        <v>46269</v>
      </c>
      <c r="K2382" s="5" t="inlineStr">
        <is>
          <t>Fatura - bruto RANDSTAD BRASIL RECURSOS HUMANOS LT</t>
        </is>
      </c>
      <c r="L2382" s="5" t="inlineStr">
        <is>
          <t>02092026</t>
        </is>
      </c>
      <c r="M2382" s="5">
        <f>IF(YEAR(I2382)&lt;=2020,"Até 2020",TEXT(YEAR(I2382),"0"))</f>
        <v/>
      </c>
      <c r="N2382" s="5">
        <f>IFERROR(INDEX(DePara!$A:$A,MATCH(TEXT(B2382,"0"),DePara!$D:$D,0)),"(sem categoria)")</f>
        <v/>
      </c>
      <c r="O2382" s="5">
        <f>IF(J2382="","",Parametros!$B$6-J2382)</f>
        <v/>
      </c>
      <c r="P2382" s="5">
        <f>IF(O2382="","",IF(O2382&gt;0,1,0))</f>
        <v/>
      </c>
    </row>
    <row r="2383">
      <c r="A2383" s="5" t="n">
        <v>2111000000</v>
      </c>
      <c r="B2383" s="5" t="inlineStr">
        <is>
          <t>101887</t>
        </is>
      </c>
      <c r="C2383" s="5" t="inlineStr">
        <is>
          <t>MGO DE FREITAS</t>
        </is>
      </c>
      <c r="D2383" s="5" t="inlineStr">
        <is>
          <t>RE</t>
        </is>
      </c>
      <c r="E2383" s="5" t="n">
        <v>5015008</v>
      </c>
      <c r="F2383" s="5" t="inlineStr">
        <is>
          <t>1411</t>
        </is>
      </c>
      <c r="G2383" s="5" t="inlineStr">
        <is>
          <t>BRL</t>
        </is>
      </c>
      <c r="H2383" s="9" t="n">
        <v>-10701.05</v>
      </c>
      <c r="I2383" s="16" t="n">
        <v>46237</v>
      </c>
      <c r="J2383" s="16" t="n">
        <v>46270</v>
      </c>
      <c r="K2383" s="5" t="inlineStr">
        <is>
          <t>Fatura - bruto MGO DE FREITAS 1411</t>
        </is>
      </c>
      <c r="L2383" s="5" t="inlineStr">
        <is>
          <t>08092026</t>
        </is>
      </c>
      <c r="M2383" s="5">
        <f>IF(YEAR(I2383)&lt;=2020,"Até 2020",TEXT(YEAR(I2383),"0"))</f>
        <v/>
      </c>
      <c r="N2383" s="5">
        <f>IFERROR(INDEX(DePara!$A:$A,MATCH(TEXT(B2383,"0"),DePara!$D:$D,0)),"(sem categoria)")</f>
        <v/>
      </c>
      <c r="O2383" s="5">
        <f>IF(J2383="","",Parametros!$B$6-J2383)</f>
        <v/>
      </c>
      <c r="P2383" s="5">
        <f>IF(O2383="","",IF(O2383&gt;0,1,0))</f>
        <v/>
      </c>
    </row>
    <row r="2384">
      <c r="A2384" s="5" t="n">
        <v>2111000000</v>
      </c>
      <c r="B2384" s="5" t="inlineStr">
        <is>
          <t>103936</t>
        </is>
      </c>
      <c r="C2384" s="5" t="inlineStr">
        <is>
          <t>BELA VISTA RENOVAVEIS II LTDA</t>
        </is>
      </c>
      <c r="D2384" s="5" t="inlineStr">
        <is>
          <t>RE</t>
        </is>
      </c>
      <c r="E2384" s="5" t="n">
        <v>5015009</v>
      </c>
      <c r="F2384" s="5" t="inlineStr">
        <is>
          <t>1736</t>
        </is>
      </c>
      <c r="G2384" s="5" t="inlineStr">
        <is>
          <t>BRL</t>
        </is>
      </c>
      <c r="H2384" s="9" t="n">
        <v>-103312.96</v>
      </c>
      <c r="I2384" s="16" t="n">
        <v>46245</v>
      </c>
      <c r="J2384" s="16" t="n">
        <v>46270</v>
      </c>
      <c r="K2384" s="5" t="inlineStr">
        <is>
          <t>Fatura - bruto BELA VISTA RENOVAVEIS II LTDA 1736</t>
        </is>
      </c>
      <c r="L2384" s="5" t="inlineStr">
        <is>
          <t>08092026</t>
        </is>
      </c>
      <c r="M2384" s="5">
        <f>IF(YEAR(I2384)&lt;=2020,"Até 2020",TEXT(YEAR(I2384),"0"))</f>
        <v/>
      </c>
      <c r="N2384" s="5">
        <f>IFERROR(INDEX(DePara!$A:$A,MATCH(TEXT(B2384,"0"),DePara!$D:$D,0)),"(sem categoria)")</f>
        <v/>
      </c>
      <c r="O2384" s="5">
        <f>IF(J2384="","",Parametros!$B$6-J2384)</f>
        <v/>
      </c>
      <c r="P2384" s="5">
        <f>IF(O2384="","",IF(O2384&gt;0,1,0))</f>
        <v/>
      </c>
    </row>
    <row r="2385">
      <c r="A2385" s="5" t="n">
        <v>2111000000</v>
      </c>
      <c r="B2385" s="5" t="inlineStr">
        <is>
          <t>101463</t>
        </is>
      </c>
      <c r="C2385" s="5" t="inlineStr">
        <is>
          <t>ZURICH MINAS BRASIL SEGUROS S A</t>
        </is>
      </c>
      <c r="D2385" s="5" t="inlineStr">
        <is>
          <t>RE</t>
        </is>
      </c>
      <c r="E2385" s="5" t="n">
        <v>5015010</v>
      </c>
      <c r="F2385" s="5" t="inlineStr">
        <is>
          <t>0492/26</t>
        </is>
      </c>
      <c r="G2385" s="5" t="inlineStr">
        <is>
          <t>BRL</t>
        </is>
      </c>
      <c r="H2385" s="9" t="n">
        <v>-0.35</v>
      </c>
      <c r="I2385" s="16" t="n">
        <v>46246</v>
      </c>
      <c r="J2385" s="16" t="n">
        <v>46276</v>
      </c>
      <c r="K2385" s="5" t="inlineStr">
        <is>
          <t>Invoice Payment. SP: 21318</t>
        </is>
      </c>
      <c r="L2385" s="5" t="inlineStr">
        <is>
          <t>0492/26</t>
        </is>
      </c>
      <c r="M2385" s="5">
        <f>IF(YEAR(I2385)&lt;=2020,"Até 2020",TEXT(YEAR(I2385),"0"))</f>
        <v/>
      </c>
      <c r="N2385" s="5">
        <f>IFERROR(INDEX(DePara!$A:$A,MATCH(TEXT(B2385,"0"),DePara!$D:$D,0)),"(sem categoria)")</f>
        <v/>
      </c>
      <c r="O2385" s="5">
        <f>IF(J2385="","",Parametros!$B$6-J2385)</f>
        <v/>
      </c>
      <c r="P2385" s="5">
        <f>IF(O2385="","",IF(O2385&gt;0,1,0))</f>
        <v/>
      </c>
    </row>
    <row r="2386">
      <c r="A2386" s="5" t="n">
        <v>2111000000</v>
      </c>
      <c r="B2386" s="5" t="inlineStr">
        <is>
          <t>101887</t>
        </is>
      </c>
      <c r="C2386" s="5" t="inlineStr">
        <is>
          <t>MGO DE FREITAS</t>
        </is>
      </c>
      <c r="D2386" s="5" t="inlineStr">
        <is>
          <t>RE</t>
        </is>
      </c>
      <c r="E2386" s="5" t="n">
        <v>5015013</v>
      </c>
      <c r="F2386" s="5" t="inlineStr">
        <is>
          <t>1413</t>
        </is>
      </c>
      <c r="G2386" s="5" t="inlineStr">
        <is>
          <t>BRL</t>
        </is>
      </c>
      <c r="H2386" s="9" t="n">
        <v>-6640</v>
      </c>
      <c r="I2386" s="16" t="n">
        <v>46237</v>
      </c>
      <c r="J2386" s="16" t="n">
        <v>46270</v>
      </c>
      <c r="K2386" s="5" t="inlineStr">
        <is>
          <t>Fatura - bruto MGO DE FREITAS 1413</t>
        </is>
      </c>
      <c r="L2386" s="5" t="inlineStr">
        <is>
          <t>08092026</t>
        </is>
      </c>
      <c r="M2386" s="5">
        <f>IF(YEAR(I2386)&lt;=2020,"Até 2020",TEXT(YEAR(I2386),"0"))</f>
        <v/>
      </c>
      <c r="N2386" s="5">
        <f>IFERROR(INDEX(DePara!$A:$A,MATCH(TEXT(B2386,"0"),DePara!$D:$D,0)),"(sem categoria)")</f>
        <v/>
      </c>
      <c r="O2386" s="5">
        <f>IF(J2386="","",Parametros!$B$6-J2386)</f>
        <v/>
      </c>
      <c r="P2386" s="5">
        <f>IF(O2386="","",IF(O2386&gt;0,1,0))</f>
        <v/>
      </c>
    </row>
    <row r="2387">
      <c r="A2387" s="5" t="n">
        <v>2111000000</v>
      </c>
      <c r="B2387" s="5" t="inlineStr">
        <is>
          <t>100621</t>
        </is>
      </c>
      <c r="C2387" s="5" t="inlineStr">
        <is>
          <t>CALTER ENGENHARIA LTDA</t>
        </is>
      </c>
      <c r="D2387" s="5" t="inlineStr">
        <is>
          <t>RE</t>
        </is>
      </c>
      <c r="E2387" s="5" t="n">
        <v>5015016</v>
      </c>
      <c r="F2387" s="5" t="inlineStr">
        <is>
          <t>41</t>
        </is>
      </c>
      <c r="G2387" s="5" t="inlineStr">
        <is>
          <t>BRL</t>
        </is>
      </c>
      <c r="H2387" s="9" t="n">
        <v>-15191.67</v>
      </c>
      <c r="I2387" s="16" t="n">
        <v>46238</v>
      </c>
      <c r="J2387" s="16" t="n">
        <v>46331</v>
      </c>
      <c r="K2387" s="5" t="inlineStr">
        <is>
          <t>Fatura - bruto CALTER ENGENHARIA LTDA 41</t>
        </is>
      </c>
      <c r="L2387" s="5" t="inlineStr">
        <is>
          <t>05112026</t>
        </is>
      </c>
      <c r="M2387" s="5">
        <f>IF(YEAR(I2387)&lt;=2020,"Até 2020",TEXT(YEAR(I2387),"0"))</f>
        <v/>
      </c>
      <c r="N2387" s="5">
        <f>IFERROR(INDEX(DePara!$A:$A,MATCH(TEXT(B2387,"0"),DePara!$D:$D,0)),"(sem categoria)")</f>
        <v/>
      </c>
      <c r="O2387" s="5">
        <f>IF(J2387="","",Parametros!$B$6-J2387)</f>
        <v/>
      </c>
      <c r="P2387" s="5">
        <f>IF(O2387="","",IF(O2387&gt;0,1,0))</f>
        <v/>
      </c>
    </row>
    <row r="2388">
      <c r="A2388" s="5" t="n">
        <v>2111000000</v>
      </c>
      <c r="B2388" s="5" t="inlineStr">
        <is>
          <t>100621</t>
        </is>
      </c>
      <c r="C2388" s="5" t="inlineStr">
        <is>
          <t>CALTER ENGENHARIA LTDA</t>
        </is>
      </c>
      <c r="D2388" s="5" t="inlineStr">
        <is>
          <t>RE</t>
        </is>
      </c>
      <c r="E2388" s="5" t="n">
        <v>5015017</v>
      </c>
      <c r="F2388" s="5" t="inlineStr">
        <is>
          <t>42</t>
        </is>
      </c>
      <c r="G2388" s="5" t="inlineStr">
        <is>
          <t>BRL</t>
        </is>
      </c>
      <c r="H2388" s="9" t="n">
        <v>-405744.27</v>
      </c>
      <c r="I2388" s="16" t="n">
        <v>46238</v>
      </c>
      <c r="J2388" s="16" t="n">
        <v>46300</v>
      </c>
      <c r="K2388" s="5" t="inlineStr">
        <is>
          <t>Fatura - bruto CALTER ENGENHARIA LTDA 42</t>
        </is>
      </c>
      <c r="L2388" s="5" t="inlineStr">
        <is>
          <t>05102026</t>
        </is>
      </c>
      <c r="M2388" s="5">
        <f>IF(YEAR(I2388)&lt;=2020,"Até 2020",TEXT(YEAR(I2388),"0"))</f>
        <v/>
      </c>
      <c r="N2388" s="5">
        <f>IFERROR(INDEX(DePara!$A:$A,MATCH(TEXT(B2388,"0"),DePara!$D:$D,0)),"(sem categoria)")</f>
        <v/>
      </c>
      <c r="O2388" s="5">
        <f>IF(J2388="","",Parametros!$B$6-J2388)</f>
        <v/>
      </c>
      <c r="P2388" s="5">
        <f>IF(O2388="","",IF(O2388&gt;0,1,0))</f>
        <v/>
      </c>
    </row>
    <row r="2389">
      <c r="A2389" s="5" t="n">
        <v>2111000000</v>
      </c>
      <c r="B2389" s="5" t="inlineStr">
        <is>
          <t>101463</t>
        </is>
      </c>
      <c r="C2389" s="5" t="inlineStr">
        <is>
          <t>ZURICH MINAS BRASIL SEGUROS S A</t>
        </is>
      </c>
      <c r="D2389" s="5" t="inlineStr">
        <is>
          <t>RE</t>
        </is>
      </c>
      <c r="E2389" s="5" t="n">
        <v>5015019</v>
      </c>
      <c r="F2389" s="5" t="inlineStr">
        <is>
          <t>0473/26</t>
        </is>
      </c>
      <c r="G2389" s="5" t="inlineStr">
        <is>
          <t>BRL</t>
        </is>
      </c>
      <c r="H2389" s="9" t="n">
        <v>-122.75</v>
      </c>
      <c r="I2389" s="16" t="n">
        <v>46246</v>
      </c>
      <c r="J2389" s="16" t="n">
        <v>46276</v>
      </c>
      <c r="K2389" s="5" t="inlineStr">
        <is>
          <t>Invoice Payment. SP: 21320</t>
        </is>
      </c>
      <c r="L2389" s="5" t="inlineStr">
        <is>
          <t>0473/26</t>
        </is>
      </c>
      <c r="M2389" s="5">
        <f>IF(YEAR(I2389)&lt;=2020,"Até 2020",TEXT(YEAR(I2389),"0"))</f>
        <v/>
      </c>
      <c r="N2389" s="5">
        <f>IFERROR(INDEX(DePara!$A:$A,MATCH(TEXT(B2389,"0"),DePara!$D:$D,0)),"(sem categoria)")</f>
        <v/>
      </c>
      <c r="O2389" s="5">
        <f>IF(J2389="","",Parametros!$B$6-J2389)</f>
        <v/>
      </c>
      <c r="P2389" s="5">
        <f>IF(O2389="","",IF(O2389&gt;0,1,0))</f>
        <v/>
      </c>
    </row>
    <row r="2390">
      <c r="A2390" s="5" t="n">
        <v>2111000000</v>
      </c>
      <c r="B2390" s="5" t="inlineStr">
        <is>
          <t>100621</t>
        </is>
      </c>
      <c r="C2390" s="5" t="inlineStr">
        <is>
          <t>CALTER ENGENHARIA LTDA</t>
        </is>
      </c>
      <c r="D2390" s="5" t="inlineStr">
        <is>
          <t>RE</t>
        </is>
      </c>
      <c r="E2390" s="5" t="n">
        <v>5015020</v>
      </c>
      <c r="F2390" s="5" t="inlineStr">
        <is>
          <t>44</t>
        </is>
      </c>
      <c r="G2390" s="5" t="inlineStr">
        <is>
          <t>BRL</t>
        </is>
      </c>
      <c r="H2390" s="9" t="n">
        <v>-246027.63</v>
      </c>
      <c r="I2390" s="16" t="n">
        <v>46238</v>
      </c>
      <c r="J2390" s="16" t="n">
        <v>46331</v>
      </c>
      <c r="K2390" s="5" t="inlineStr">
        <is>
          <t>Fatura - bruto CALTER ENGENHARIA LTDA 44</t>
        </is>
      </c>
      <c r="L2390" s="5" t="inlineStr">
        <is>
          <t>05112026</t>
        </is>
      </c>
      <c r="M2390" s="5">
        <f>IF(YEAR(I2390)&lt;=2020,"Até 2020",TEXT(YEAR(I2390),"0"))</f>
        <v/>
      </c>
      <c r="N2390" s="5">
        <f>IFERROR(INDEX(DePara!$A:$A,MATCH(TEXT(B2390,"0"),DePara!$D:$D,0)),"(sem categoria)")</f>
        <v/>
      </c>
      <c r="O2390" s="5">
        <f>IF(J2390="","",Parametros!$B$6-J2390)</f>
        <v/>
      </c>
      <c r="P2390" s="5">
        <f>IF(O2390="","",IF(O2390&gt;0,1,0))</f>
        <v/>
      </c>
    </row>
    <row r="2391">
      <c r="A2391" s="5" t="n">
        <v>2111000000</v>
      </c>
      <c r="B2391" s="5" t="inlineStr">
        <is>
          <t>100621</t>
        </is>
      </c>
      <c r="C2391" s="5" t="inlineStr">
        <is>
          <t>CALTER ENGENHARIA LTDA</t>
        </is>
      </c>
      <c r="D2391" s="5" t="inlineStr">
        <is>
          <t>RE</t>
        </is>
      </c>
      <c r="E2391" s="5" t="n">
        <v>5015022</v>
      </c>
      <c r="F2391" s="5" t="inlineStr">
        <is>
          <t>45</t>
        </is>
      </c>
      <c r="G2391" s="5" t="inlineStr">
        <is>
          <t>BRL</t>
        </is>
      </c>
      <c r="H2391" s="9" t="n">
        <v>-5720.21</v>
      </c>
      <c r="I2391" s="16" t="n">
        <v>46240</v>
      </c>
      <c r="J2391" s="16" t="n">
        <v>46300</v>
      </c>
      <c r="K2391" s="5" t="inlineStr">
        <is>
          <t>Fatura - bruto CALTER ENGENHARIA LTDA 45</t>
        </is>
      </c>
      <c r="L2391" s="5" t="inlineStr">
        <is>
          <t>05102026</t>
        </is>
      </c>
      <c r="M2391" s="5">
        <f>IF(YEAR(I2391)&lt;=2020,"Até 2020",TEXT(YEAR(I2391),"0"))</f>
        <v/>
      </c>
      <c r="N2391" s="5">
        <f>IFERROR(INDEX(DePara!$A:$A,MATCH(TEXT(B2391,"0"),DePara!$D:$D,0)),"(sem categoria)")</f>
        <v/>
      </c>
      <c r="O2391" s="5">
        <f>IF(J2391="","",Parametros!$B$6-J2391)</f>
        <v/>
      </c>
      <c r="P2391" s="5">
        <f>IF(O2391="","",IF(O2391&gt;0,1,0))</f>
        <v/>
      </c>
    </row>
    <row r="2392">
      <c r="A2392" s="5" t="n">
        <v>2111000000</v>
      </c>
      <c r="B2392" s="5" t="inlineStr">
        <is>
          <t>101463</t>
        </is>
      </c>
      <c r="C2392" s="5" t="inlineStr">
        <is>
          <t>ZURICH MINAS BRASIL SEGUROS S A</t>
        </is>
      </c>
      <c r="D2392" s="5" t="inlineStr">
        <is>
          <t>RE</t>
        </is>
      </c>
      <c r="E2392" s="5" t="n">
        <v>5015024</v>
      </c>
      <c r="F2392" s="5" t="inlineStr">
        <is>
          <t>0352/26</t>
        </is>
      </c>
      <c r="G2392" s="5" t="inlineStr">
        <is>
          <t>BRL</t>
        </is>
      </c>
      <c r="H2392" s="9" t="n">
        <v>-25.83</v>
      </c>
      <c r="I2392" s="16" t="n">
        <v>46246</v>
      </c>
      <c r="J2392" s="16" t="n">
        <v>46276</v>
      </c>
      <c r="K2392" s="5" t="inlineStr">
        <is>
          <t>Invoice Payment. SP: 21322</t>
        </is>
      </c>
      <c r="L2392" s="5" t="inlineStr">
        <is>
          <t>0352/26</t>
        </is>
      </c>
      <c r="M2392" s="5">
        <f>IF(YEAR(I2392)&lt;=2020,"Até 2020",TEXT(YEAR(I2392),"0"))</f>
        <v/>
      </c>
      <c r="N2392" s="5">
        <f>IFERROR(INDEX(DePara!$A:$A,MATCH(TEXT(B2392,"0"),DePara!$D:$D,0)),"(sem categoria)")</f>
        <v/>
      </c>
      <c r="O2392" s="5">
        <f>IF(J2392="","",Parametros!$B$6-J2392)</f>
        <v/>
      </c>
      <c r="P2392" s="5">
        <f>IF(O2392="","",IF(O2392&gt;0,1,0))</f>
        <v/>
      </c>
    </row>
    <row r="2393">
      <c r="A2393" s="5" t="n">
        <v>2111000000</v>
      </c>
      <c r="B2393" s="5" t="inlineStr">
        <is>
          <t>101982</t>
        </is>
      </c>
      <c r="C2393" s="5" t="inlineStr">
        <is>
          <t>NEW ENERGY TECH LTDA</t>
        </is>
      </c>
      <c r="D2393" s="5" t="inlineStr">
        <is>
          <t>RE</t>
        </is>
      </c>
      <c r="E2393" s="5" t="n">
        <v>5015025</v>
      </c>
      <c r="F2393" s="5" t="inlineStr">
        <is>
          <t>88</t>
        </is>
      </c>
      <c r="G2393" s="5" t="inlineStr">
        <is>
          <t>BRL</t>
        </is>
      </c>
      <c r="H2393" s="9" t="n">
        <v>-10400</v>
      </c>
      <c r="I2393" s="16" t="n">
        <v>46240</v>
      </c>
      <c r="J2393" s="16" t="n">
        <v>46270</v>
      </c>
      <c r="K2393" s="5" t="inlineStr">
        <is>
          <t>Fatura - bruto NEW ENERGY TECH LTDA 88</t>
        </is>
      </c>
      <c r="L2393" s="5" t="inlineStr">
        <is>
          <t>08092026</t>
        </is>
      </c>
      <c r="M2393" s="5">
        <f>IF(YEAR(I2393)&lt;=2020,"Até 2020",TEXT(YEAR(I2393),"0"))</f>
        <v/>
      </c>
      <c r="N2393" s="5">
        <f>IFERROR(INDEX(DePara!$A:$A,MATCH(TEXT(B2393,"0"),DePara!$D:$D,0)),"(sem categoria)")</f>
        <v/>
      </c>
      <c r="O2393" s="5">
        <f>IF(J2393="","",Parametros!$B$6-J2393)</f>
        <v/>
      </c>
      <c r="P2393" s="5">
        <f>IF(O2393="","",IF(O2393&gt;0,1,0))</f>
        <v/>
      </c>
    </row>
    <row r="2394">
      <c r="A2394" s="5" t="n">
        <v>2111000000</v>
      </c>
      <c r="B2394" s="5" t="inlineStr">
        <is>
          <t>107696</t>
        </is>
      </c>
      <c r="C2394" s="5" t="inlineStr">
        <is>
          <t>SIMM MONTAGENS EOLICAS LTDA</t>
        </is>
      </c>
      <c r="D2394" s="5" t="inlineStr">
        <is>
          <t>RE</t>
        </is>
      </c>
      <c r="E2394" s="5" t="n">
        <v>5015026</v>
      </c>
      <c r="F2394" s="5" t="inlineStr">
        <is>
          <t>96</t>
        </is>
      </c>
      <c r="G2394" s="5" t="inlineStr">
        <is>
          <t>BRL</t>
        </is>
      </c>
      <c r="H2394" s="9" t="n">
        <v>-8653.57</v>
      </c>
      <c r="I2394" s="16" t="n">
        <v>46244</v>
      </c>
      <c r="J2394" s="16" t="n">
        <v>46274</v>
      </c>
      <c r="K2394" s="5" t="inlineStr">
        <is>
          <t>PGTO BLOQ ATE REG DE SEGURO</t>
        </is>
      </c>
      <c r="L2394" s="5" t="inlineStr">
        <is>
          <t>NÃO PAGAR</t>
        </is>
      </c>
      <c r="M2394" s="5">
        <f>IF(YEAR(I2394)&lt;=2020,"Até 2020",TEXT(YEAR(I2394),"0"))</f>
        <v/>
      </c>
      <c r="N2394" s="5">
        <f>IFERROR(INDEX(DePara!$A:$A,MATCH(TEXT(B2394,"0"),DePara!$D:$D,0)),"(sem categoria)")</f>
        <v/>
      </c>
      <c r="O2394" s="5">
        <f>IF(J2394="","",Parametros!$B$6-J2394)</f>
        <v/>
      </c>
      <c r="P2394" s="5">
        <f>IF(O2394="","",IF(O2394&gt;0,1,0))</f>
        <v/>
      </c>
    </row>
    <row r="2395">
      <c r="A2395" s="5" t="n">
        <v>2111000000</v>
      </c>
      <c r="B2395" s="5" t="inlineStr">
        <is>
          <t>104077</t>
        </is>
      </c>
      <c r="C2395" s="5" t="inlineStr">
        <is>
          <t>XRS SERVICOS AUXILIARES DE PORTARIA 31996152000110</t>
        </is>
      </c>
      <c r="D2395" s="5" t="inlineStr">
        <is>
          <t>RE</t>
        </is>
      </c>
      <c r="E2395" s="5" t="n">
        <v>5015027</v>
      </c>
      <c r="F2395" s="5" t="inlineStr">
        <is>
          <t>55002</t>
        </is>
      </c>
      <c r="G2395" s="5" t="inlineStr">
        <is>
          <t>BRL</t>
        </is>
      </c>
      <c r="H2395" s="9" t="n">
        <v>-810.9299999999999</v>
      </c>
      <c r="I2395" s="16" t="n">
        <v>46245</v>
      </c>
      <c r="J2395" s="16" t="n">
        <v>46275</v>
      </c>
      <c r="K2395" s="5" t="inlineStr">
        <is>
          <t>*34191090080034297019119978570000115490000076759</t>
        </is>
      </c>
      <c r="L2395" s="5" t="inlineStr">
        <is>
          <t>02092026</t>
        </is>
      </c>
      <c r="M2395" s="5">
        <f>IF(YEAR(I2395)&lt;=2020,"Até 2020",TEXT(YEAR(I2395),"0"))</f>
        <v/>
      </c>
      <c r="N2395" s="5">
        <f>IFERROR(INDEX(DePara!$A:$A,MATCH(TEXT(B2395,"0"),DePara!$D:$D,0)),"(sem categoria)")</f>
        <v/>
      </c>
      <c r="O2395" s="5">
        <f>IF(J2395="","",Parametros!$B$6-J2395)</f>
        <v/>
      </c>
      <c r="P2395" s="5">
        <f>IF(O2395="","",IF(O2395&gt;0,1,0))</f>
        <v/>
      </c>
    </row>
    <row r="2396">
      <c r="A2396" s="5" t="n">
        <v>2111000000</v>
      </c>
      <c r="B2396" s="5" t="inlineStr">
        <is>
          <t>101463</t>
        </is>
      </c>
      <c r="C2396" s="5" t="inlineStr">
        <is>
          <t>ZURICH MINAS BRASIL SEGUROS S A</t>
        </is>
      </c>
      <c r="D2396" s="5" t="inlineStr">
        <is>
          <t>RE</t>
        </is>
      </c>
      <c r="E2396" s="5" t="n">
        <v>5015030</v>
      </c>
      <c r="F2396" s="5" t="inlineStr">
        <is>
          <t>0331/26</t>
        </is>
      </c>
      <c r="G2396" s="5" t="inlineStr">
        <is>
          <t>BRL</t>
        </is>
      </c>
      <c r="H2396" s="9" t="n">
        <v>-27.29</v>
      </c>
      <c r="I2396" s="16" t="n">
        <v>46246</v>
      </c>
      <c r="J2396" s="16" t="n">
        <v>46276</v>
      </c>
      <c r="K2396" s="5" t="inlineStr">
        <is>
          <t>Invoice Payment. SP: 21325</t>
        </is>
      </c>
      <c r="L2396" s="5" t="inlineStr">
        <is>
          <t>0331/26</t>
        </is>
      </c>
      <c r="M2396" s="5">
        <f>IF(YEAR(I2396)&lt;=2020,"Até 2020",TEXT(YEAR(I2396),"0"))</f>
        <v/>
      </c>
      <c r="N2396" s="5">
        <f>IFERROR(INDEX(DePara!$A:$A,MATCH(TEXT(B2396,"0"),DePara!$D:$D,0)),"(sem categoria)")</f>
        <v/>
      </c>
      <c r="O2396" s="5">
        <f>IF(J2396="","",Parametros!$B$6-J2396)</f>
        <v/>
      </c>
      <c r="P2396" s="5">
        <f>IF(O2396="","",IF(O2396&gt;0,1,0))</f>
        <v/>
      </c>
    </row>
    <row r="2397">
      <c r="A2397" s="5" t="n">
        <v>2111000000</v>
      </c>
      <c r="B2397" s="5" t="inlineStr">
        <is>
          <t>101463</t>
        </is>
      </c>
      <c r="C2397" s="5" t="inlineStr">
        <is>
          <t>ZURICH MINAS BRASIL SEGUROS S A</t>
        </is>
      </c>
      <c r="D2397" s="5" t="inlineStr">
        <is>
          <t>RE</t>
        </is>
      </c>
      <c r="E2397" s="5" t="n">
        <v>5015033</v>
      </c>
      <c r="F2397" s="5" t="inlineStr">
        <is>
          <t>0333/26</t>
        </is>
      </c>
      <c r="G2397" s="5" t="inlineStr">
        <is>
          <t>BRL</t>
        </is>
      </c>
      <c r="H2397" s="9" t="n">
        <v>-272.77</v>
      </c>
      <c r="I2397" s="16" t="n">
        <v>46246</v>
      </c>
      <c r="J2397" s="16" t="n">
        <v>46276</v>
      </c>
      <c r="K2397" s="5" t="inlineStr">
        <is>
          <t>Invoice Payment. SP: 21328</t>
        </is>
      </c>
      <c r="L2397" s="5" t="inlineStr">
        <is>
          <t>0333/26</t>
        </is>
      </c>
      <c r="M2397" s="5">
        <f>IF(YEAR(I2397)&lt;=2020,"Até 2020",TEXT(YEAR(I2397),"0"))</f>
        <v/>
      </c>
      <c r="N2397" s="5">
        <f>IFERROR(INDEX(DePara!$A:$A,MATCH(TEXT(B2397,"0"),DePara!$D:$D,0)),"(sem categoria)")</f>
        <v/>
      </c>
      <c r="O2397" s="5">
        <f>IF(J2397="","",Parametros!$B$6-J2397)</f>
        <v/>
      </c>
      <c r="P2397" s="5">
        <f>IF(O2397="","",IF(O2397&gt;0,1,0))</f>
        <v/>
      </c>
    </row>
    <row r="2398">
      <c r="A2398" s="5" t="n">
        <v>2111000000</v>
      </c>
      <c r="B2398" s="5" t="inlineStr">
        <is>
          <t>101463</t>
        </is>
      </c>
      <c r="C2398" s="5" t="inlineStr">
        <is>
          <t>ZURICH MINAS BRASIL SEGUROS S A</t>
        </is>
      </c>
      <c r="D2398" s="5" t="inlineStr">
        <is>
          <t>RE</t>
        </is>
      </c>
      <c r="E2398" s="5" t="n">
        <v>5015035</v>
      </c>
      <c r="F2398" s="5" t="inlineStr">
        <is>
          <t>0320/26</t>
        </is>
      </c>
      <c r="G2398" s="5" t="inlineStr">
        <is>
          <t>BRL</t>
        </is>
      </c>
      <c r="H2398" s="9" t="n">
        <v>-10493.67</v>
      </c>
      <c r="I2398" s="16" t="n">
        <v>46246</v>
      </c>
      <c r="J2398" s="16" t="n">
        <v>46276</v>
      </c>
      <c r="K2398" s="5" t="inlineStr">
        <is>
          <t>Invoice Payment. SP: 21330</t>
        </is>
      </c>
      <c r="L2398" s="5" t="inlineStr">
        <is>
          <t>0320/26</t>
        </is>
      </c>
      <c r="M2398" s="5">
        <f>IF(YEAR(I2398)&lt;=2020,"Até 2020",TEXT(YEAR(I2398),"0"))</f>
        <v/>
      </c>
      <c r="N2398" s="5">
        <f>IFERROR(INDEX(DePara!$A:$A,MATCH(TEXT(B2398,"0"),DePara!$D:$D,0)),"(sem categoria)")</f>
        <v/>
      </c>
      <c r="O2398" s="5">
        <f>IF(J2398="","",Parametros!$B$6-J2398)</f>
        <v/>
      </c>
      <c r="P2398" s="5">
        <f>IF(O2398="","",IF(O2398&gt;0,1,0))</f>
        <v/>
      </c>
    </row>
    <row r="2399">
      <c r="A2399" s="5" t="n">
        <v>2111000000</v>
      </c>
      <c r="B2399" s="5" t="inlineStr">
        <is>
          <t>101463</t>
        </is>
      </c>
      <c r="C2399" s="5" t="inlineStr">
        <is>
          <t>ZURICH MINAS BRASIL SEGUROS S A</t>
        </is>
      </c>
      <c r="D2399" s="5" t="inlineStr">
        <is>
          <t>RE</t>
        </is>
      </c>
      <c r="E2399" s="5" t="n">
        <v>5015037</v>
      </c>
      <c r="F2399" s="5" t="inlineStr">
        <is>
          <t>0293/26</t>
        </is>
      </c>
      <c r="G2399" s="5" t="inlineStr">
        <is>
          <t>BRL</t>
        </is>
      </c>
      <c r="H2399" s="9" t="n">
        <v>-52.56</v>
      </c>
      <c r="I2399" s="16" t="n">
        <v>46246</v>
      </c>
      <c r="J2399" s="16" t="n">
        <v>46276</v>
      </c>
      <c r="K2399" s="5" t="inlineStr">
        <is>
          <t>Invoice Payment. SP: 21332</t>
        </is>
      </c>
      <c r="L2399" s="5" t="inlineStr">
        <is>
          <t>0293/26</t>
        </is>
      </c>
      <c r="M2399" s="5">
        <f>IF(YEAR(I2399)&lt;=2020,"Até 2020",TEXT(YEAR(I2399),"0"))</f>
        <v/>
      </c>
      <c r="N2399" s="5">
        <f>IFERROR(INDEX(DePara!$A:$A,MATCH(TEXT(B2399,"0"),DePara!$D:$D,0)),"(sem categoria)")</f>
        <v/>
      </c>
      <c r="O2399" s="5">
        <f>IF(J2399="","",Parametros!$B$6-J2399)</f>
        <v/>
      </c>
      <c r="P2399" s="5">
        <f>IF(O2399="","",IF(O2399&gt;0,1,0))</f>
        <v/>
      </c>
    </row>
    <row r="2400">
      <c r="A2400" s="5" t="n">
        <v>2111000000</v>
      </c>
      <c r="B2400" s="5" t="inlineStr">
        <is>
          <t>101463</t>
        </is>
      </c>
      <c r="C2400" s="5" t="inlineStr">
        <is>
          <t>ZURICH MINAS BRASIL SEGUROS S A</t>
        </is>
      </c>
      <c r="D2400" s="5" t="inlineStr">
        <is>
          <t>RE</t>
        </is>
      </c>
      <c r="E2400" s="5" t="n">
        <v>5015040</v>
      </c>
      <c r="F2400" s="5" t="inlineStr">
        <is>
          <t>0338/26</t>
        </is>
      </c>
      <c r="G2400" s="5" t="inlineStr">
        <is>
          <t>BRL</t>
        </is>
      </c>
      <c r="H2400" s="9" t="n">
        <v>-284.63</v>
      </c>
      <c r="I2400" s="16" t="n">
        <v>46246</v>
      </c>
      <c r="J2400" s="16" t="n">
        <v>46276</v>
      </c>
      <c r="K2400" s="5" t="inlineStr">
        <is>
          <t>Invoice Payment. SP: 21335</t>
        </is>
      </c>
      <c r="L2400" s="5" t="inlineStr">
        <is>
          <t>0338/26</t>
        </is>
      </c>
      <c r="M2400" s="5">
        <f>IF(YEAR(I2400)&lt;=2020,"Até 2020",TEXT(YEAR(I2400),"0"))</f>
        <v/>
      </c>
      <c r="N2400" s="5">
        <f>IFERROR(INDEX(DePara!$A:$A,MATCH(TEXT(B2400,"0"),DePara!$D:$D,0)),"(sem categoria)")</f>
        <v/>
      </c>
      <c r="O2400" s="5">
        <f>IF(J2400="","",Parametros!$B$6-J2400)</f>
        <v/>
      </c>
      <c r="P2400" s="5">
        <f>IF(O2400="","",IF(O2400&gt;0,1,0))</f>
        <v/>
      </c>
    </row>
    <row r="2401">
      <c r="A2401" s="5" t="n">
        <v>2111000000</v>
      </c>
      <c r="B2401" s="5" t="inlineStr">
        <is>
          <t>101848</t>
        </is>
      </c>
      <c r="C2401" s="5" t="inlineStr">
        <is>
          <t>KLUBER LUBRICATION LUBRIF ESPECIAIS</t>
        </is>
      </c>
      <c r="D2401" s="5" t="inlineStr">
        <is>
          <t>RE</t>
        </is>
      </c>
      <c r="E2401" s="5" t="n">
        <v>5015047</v>
      </c>
      <c r="F2401" s="5" t="inlineStr">
        <is>
          <t>000772727-1</t>
        </is>
      </c>
      <c r="G2401" s="5" t="inlineStr">
        <is>
          <t>BRL</t>
        </is>
      </c>
      <c r="H2401" s="9" t="n">
        <v>-215440.02</v>
      </c>
      <c r="I2401" s="16" t="n">
        <v>46226</v>
      </c>
      <c r="J2401" s="16" t="n">
        <v>46270</v>
      </c>
      <c r="K2401" s="5" t="inlineStr">
        <is>
          <t>Fatura - bruto KLUBER LUBRICATION LUBRIF ESPECIAIS</t>
        </is>
      </c>
      <c r="L2401" s="5" t="inlineStr">
        <is>
          <t>08092026</t>
        </is>
      </c>
      <c r="M2401" s="5">
        <f>IF(YEAR(I2401)&lt;=2020,"Até 2020",TEXT(YEAR(I2401),"0"))</f>
        <v/>
      </c>
      <c r="N2401" s="5">
        <f>IFERROR(INDEX(DePara!$A:$A,MATCH(TEXT(B2401,"0"),DePara!$D:$D,0)),"(sem categoria)")</f>
        <v/>
      </c>
      <c r="O2401" s="5">
        <f>IF(J2401="","",Parametros!$B$6-J2401)</f>
        <v/>
      </c>
      <c r="P2401" s="5">
        <f>IF(O2401="","",IF(O2401&gt;0,1,0))</f>
        <v/>
      </c>
    </row>
    <row r="2402">
      <c r="A2402" s="5" t="n">
        <v>2111000000</v>
      </c>
      <c r="B2402" s="5" t="inlineStr">
        <is>
          <t>101848</t>
        </is>
      </c>
      <c r="C2402" s="5" t="inlineStr">
        <is>
          <t>KLUBER LUBRICATION LUBRIF ESPECIAIS</t>
        </is>
      </c>
      <c r="D2402" s="5" t="inlineStr">
        <is>
          <t>RE</t>
        </is>
      </c>
      <c r="E2402" s="5" t="n">
        <v>5015051</v>
      </c>
      <c r="F2402" s="5" t="inlineStr">
        <is>
          <t>000772153-1</t>
        </is>
      </c>
      <c r="G2402" s="5" t="inlineStr">
        <is>
          <t>BRL</t>
        </is>
      </c>
      <c r="H2402" s="9" t="n">
        <v>-43987.46</v>
      </c>
      <c r="I2402" s="16" t="n">
        <v>46220</v>
      </c>
      <c r="J2402" s="16" t="n">
        <v>46270</v>
      </c>
      <c r="K2402" s="5" t="inlineStr">
        <is>
          <t>Fatura - bruto KLUBER LUBRICATION LUBRIF ESPECIAIS</t>
        </is>
      </c>
      <c r="L2402" s="5" t="inlineStr">
        <is>
          <t>08092026</t>
        </is>
      </c>
      <c r="M2402" s="5">
        <f>IF(YEAR(I2402)&lt;=2020,"Até 2020",TEXT(YEAR(I2402),"0"))</f>
        <v/>
      </c>
      <c r="N2402" s="5">
        <f>IFERROR(INDEX(DePara!$A:$A,MATCH(TEXT(B2402,"0"),DePara!$D:$D,0)),"(sem categoria)")</f>
        <v/>
      </c>
      <c r="O2402" s="5">
        <f>IF(J2402="","",Parametros!$B$6-J2402)</f>
        <v/>
      </c>
      <c r="P2402" s="5">
        <f>IF(O2402="","",IF(O2402&gt;0,1,0))</f>
        <v/>
      </c>
    </row>
    <row r="2403">
      <c r="A2403" s="5" t="n">
        <v>2111000000</v>
      </c>
      <c r="B2403" s="5" t="inlineStr">
        <is>
          <t>101529</t>
        </is>
      </c>
      <c r="C2403" s="5" t="inlineStr">
        <is>
          <t>COOP DE RADIO TAXI E TRANSP EXEC DE SIMOES FILHO - COOTRANSPEX</t>
        </is>
      </c>
      <c r="D2403" s="5" t="inlineStr">
        <is>
          <t>RE</t>
        </is>
      </c>
      <c r="E2403" s="5" t="n">
        <v>5015058</v>
      </c>
      <c r="F2403" s="5" t="inlineStr">
        <is>
          <t>281-3</t>
        </is>
      </c>
      <c r="G2403" s="5" t="inlineStr">
        <is>
          <t>BRL</t>
        </is>
      </c>
      <c r="H2403" s="9" t="n">
        <v>-907.7</v>
      </c>
      <c r="I2403" s="16" t="n">
        <v>46241</v>
      </c>
      <c r="J2403" s="16" t="n">
        <v>46272</v>
      </c>
      <c r="K2403" s="5" t="inlineStr">
        <is>
          <t>Fatura - bruto COOP DE RADIO TAXI E TRANSP EXEC DE</t>
        </is>
      </c>
      <c r="L2403" s="5" t="inlineStr">
        <is>
          <t>09092026</t>
        </is>
      </c>
      <c r="M2403" s="5">
        <f>IF(YEAR(I2403)&lt;=2020,"Até 2020",TEXT(YEAR(I2403),"0"))</f>
        <v/>
      </c>
      <c r="N2403" s="5">
        <f>IFERROR(INDEX(DePara!$A:$A,MATCH(TEXT(B2403,"0"),DePara!$D:$D,0)),"(sem categoria)")</f>
        <v/>
      </c>
      <c r="O2403" s="5">
        <f>IF(J2403="","",Parametros!$B$6-J2403)</f>
        <v/>
      </c>
      <c r="P2403" s="5">
        <f>IF(O2403="","",IF(O2403&gt;0,1,0))</f>
        <v/>
      </c>
    </row>
    <row r="2404">
      <c r="A2404" s="5" t="n">
        <v>2111000000</v>
      </c>
      <c r="B2404" s="5" t="inlineStr">
        <is>
          <t>104059</t>
        </is>
      </c>
      <c r="C2404" s="5" t="inlineStr">
        <is>
          <t>MG SERVICOS E SAUDE LTDA 48515732000140</t>
        </is>
      </c>
      <c r="D2404" s="5" t="inlineStr">
        <is>
          <t>RE</t>
        </is>
      </c>
      <c r="E2404" s="5" t="n">
        <v>5015061</v>
      </c>
      <c r="F2404" s="5" t="inlineStr">
        <is>
          <t>1</t>
        </is>
      </c>
      <c r="G2404" s="5" t="inlineStr">
        <is>
          <t>BRL</t>
        </is>
      </c>
      <c r="H2404" s="9" t="n">
        <v>-9542.299999999999</v>
      </c>
      <c r="I2404" s="16" t="n">
        <v>46237</v>
      </c>
      <c r="J2404" s="16" t="n">
        <v>46331</v>
      </c>
      <c r="K2404" s="5" t="inlineStr">
        <is>
          <t>Fatura - bruto MG SERVICOS E SAUDE LTDA 4851573200</t>
        </is>
      </c>
      <c r="L2404" s="5" t="inlineStr">
        <is>
          <t>05112026</t>
        </is>
      </c>
      <c r="M2404" s="5">
        <f>IF(YEAR(I2404)&lt;=2020,"Até 2020",TEXT(YEAR(I2404),"0"))</f>
        <v/>
      </c>
      <c r="N2404" s="5">
        <f>IFERROR(INDEX(DePara!$A:$A,MATCH(TEXT(B2404,"0"),DePara!$D:$D,0)),"(sem categoria)")</f>
        <v/>
      </c>
      <c r="O2404" s="5">
        <f>IF(J2404="","",Parametros!$B$6-J2404)</f>
        <v/>
      </c>
      <c r="P2404" s="5">
        <f>IF(O2404="","",IF(O2404&gt;0,1,0))</f>
        <v/>
      </c>
    </row>
    <row r="2405">
      <c r="A2405" s="5" t="n">
        <v>2111000000</v>
      </c>
      <c r="B2405" s="5" t="inlineStr">
        <is>
          <t>104059</t>
        </is>
      </c>
      <c r="C2405" s="5" t="inlineStr">
        <is>
          <t>MG SERVICOS E SAUDE LTDA 48515732000140</t>
        </is>
      </c>
      <c r="D2405" s="5" t="inlineStr">
        <is>
          <t>RE</t>
        </is>
      </c>
      <c r="E2405" s="5" t="n">
        <v>5015062</v>
      </c>
      <c r="F2405" s="5" t="inlineStr">
        <is>
          <t>2</t>
        </is>
      </c>
      <c r="G2405" s="5" t="inlineStr">
        <is>
          <t>BRL</t>
        </is>
      </c>
      <c r="H2405" s="9" t="n">
        <v>-665.28</v>
      </c>
      <c r="I2405" s="16" t="n">
        <v>46237</v>
      </c>
      <c r="J2405" s="16" t="n">
        <v>46331</v>
      </c>
      <c r="K2405" s="5" t="inlineStr">
        <is>
          <t>Fatura - bruto MG SERVICOS E SAUDE LTDA 4851573200</t>
        </is>
      </c>
      <c r="L2405" s="5" t="inlineStr">
        <is>
          <t>05112026</t>
        </is>
      </c>
      <c r="M2405" s="5">
        <f>IF(YEAR(I2405)&lt;=2020,"Até 2020",TEXT(YEAR(I2405),"0"))</f>
        <v/>
      </c>
      <c r="N2405" s="5">
        <f>IFERROR(INDEX(DePara!$A:$A,MATCH(TEXT(B2405,"0"),DePara!$D:$D,0)),"(sem categoria)")</f>
        <v/>
      </c>
      <c r="O2405" s="5">
        <f>IF(J2405="","",Parametros!$B$6-J2405)</f>
        <v/>
      </c>
      <c r="P2405" s="5">
        <f>IF(O2405="","",IF(O2405&gt;0,1,0))</f>
        <v/>
      </c>
    </row>
    <row r="2406">
      <c r="A2406" s="5" t="n">
        <v>2111000000</v>
      </c>
      <c r="B2406" s="5" t="inlineStr">
        <is>
          <t>104059</t>
        </is>
      </c>
      <c r="C2406" s="5" t="inlineStr">
        <is>
          <t>MG SERVICOS E SAUDE LTDA 48515732000140</t>
        </is>
      </c>
      <c r="D2406" s="5" t="inlineStr">
        <is>
          <t>RE</t>
        </is>
      </c>
      <c r="E2406" s="5" t="n">
        <v>5015063</v>
      </c>
      <c r="F2406" s="5" t="inlineStr">
        <is>
          <t>944</t>
        </is>
      </c>
      <c r="G2406" s="5" t="inlineStr">
        <is>
          <t>BRL</t>
        </is>
      </c>
      <c r="H2406" s="9" t="n">
        <v>-12030</v>
      </c>
      <c r="I2406" s="16" t="n">
        <v>46237</v>
      </c>
      <c r="J2406" s="16" t="n">
        <v>46267</v>
      </c>
      <c r="K2406" s="5" t="inlineStr">
        <is>
          <t>Fatura - bruto MG SERVICOS E SAUDE LTDA 4851573200</t>
        </is>
      </c>
      <c r="L2406" s="5" t="inlineStr">
        <is>
          <t>02092026</t>
        </is>
      </c>
      <c r="M2406" s="5">
        <f>IF(YEAR(I2406)&lt;=2020,"Até 2020",TEXT(YEAR(I2406),"0"))</f>
        <v/>
      </c>
      <c r="N2406" s="5">
        <f>IFERROR(INDEX(DePara!$A:$A,MATCH(TEXT(B2406,"0"),DePara!$D:$D,0)),"(sem categoria)")</f>
        <v/>
      </c>
      <c r="O2406" s="5">
        <f>IF(J2406="","",Parametros!$B$6-J2406)</f>
        <v/>
      </c>
      <c r="P2406" s="5">
        <f>IF(O2406="","",IF(O2406&gt;0,1,0))</f>
        <v/>
      </c>
    </row>
    <row r="2407">
      <c r="A2407" s="5" t="n">
        <v>2111000000</v>
      </c>
      <c r="B2407" s="5" t="inlineStr">
        <is>
          <t>104059</t>
        </is>
      </c>
      <c r="C2407" s="5" t="inlineStr">
        <is>
          <t>MG SERVICOS E SAUDE LTDA 48515732000140</t>
        </is>
      </c>
      <c r="D2407" s="5" t="inlineStr">
        <is>
          <t>RE</t>
        </is>
      </c>
      <c r="E2407" s="5" t="n">
        <v>5015064</v>
      </c>
      <c r="F2407" s="5" t="inlineStr">
        <is>
          <t>945</t>
        </is>
      </c>
      <c r="G2407" s="5" t="inlineStr">
        <is>
          <t>BRL</t>
        </is>
      </c>
      <c r="H2407" s="9" t="n">
        <v>-26000</v>
      </c>
      <c r="I2407" s="16" t="n">
        <v>46238</v>
      </c>
      <c r="J2407" s="16" t="n">
        <v>46269</v>
      </c>
      <c r="K2407" s="5" t="inlineStr">
        <is>
          <t>Fatura - bruto MG SERVICOS E SAUDE LTDA 4851573200</t>
        </is>
      </c>
      <c r="L2407" s="5" t="inlineStr">
        <is>
          <t>02092026</t>
        </is>
      </c>
      <c r="M2407" s="5">
        <f>IF(YEAR(I2407)&lt;=2020,"Até 2020",TEXT(YEAR(I2407),"0"))</f>
        <v/>
      </c>
      <c r="N2407" s="5">
        <f>IFERROR(INDEX(DePara!$A:$A,MATCH(TEXT(B2407,"0"),DePara!$D:$D,0)),"(sem categoria)")</f>
        <v/>
      </c>
      <c r="O2407" s="5">
        <f>IF(J2407="","",Parametros!$B$6-J2407)</f>
        <v/>
      </c>
      <c r="P2407" s="5">
        <f>IF(O2407="","",IF(O2407&gt;0,1,0))</f>
        <v/>
      </c>
    </row>
    <row r="2408">
      <c r="A2408" s="5" t="n">
        <v>2111000000</v>
      </c>
      <c r="B2408" s="5" t="inlineStr">
        <is>
          <t>101463</t>
        </is>
      </c>
      <c r="C2408" s="5" t="inlineStr">
        <is>
          <t>ZURICH MINAS BRASIL SEGUROS S A</t>
        </is>
      </c>
      <c r="D2408" s="5" t="inlineStr">
        <is>
          <t>RE</t>
        </is>
      </c>
      <c r="E2408" s="5" t="n">
        <v>5015065</v>
      </c>
      <c r="F2408" s="5" t="inlineStr">
        <is>
          <t>0337/26</t>
        </is>
      </c>
      <c r="G2408" s="5" t="inlineStr">
        <is>
          <t>BRL</t>
        </is>
      </c>
      <c r="H2408" s="9" t="n">
        <v>-153.85</v>
      </c>
      <c r="I2408" s="16" t="n">
        <v>46246</v>
      </c>
      <c r="J2408" s="16" t="n">
        <v>46276</v>
      </c>
      <c r="K2408" s="5" t="inlineStr">
        <is>
          <t>Invoice Payment. SP: 21338</t>
        </is>
      </c>
      <c r="L2408" s="5" t="inlineStr">
        <is>
          <t>0337/26</t>
        </is>
      </c>
      <c r="M2408" s="5">
        <f>IF(YEAR(I2408)&lt;=2020,"Até 2020",TEXT(YEAR(I2408),"0"))</f>
        <v/>
      </c>
      <c r="N2408" s="5">
        <f>IFERROR(INDEX(DePara!$A:$A,MATCH(TEXT(B2408,"0"),DePara!$D:$D,0)),"(sem categoria)")</f>
        <v/>
      </c>
      <c r="O2408" s="5">
        <f>IF(J2408="","",Parametros!$B$6-J2408)</f>
        <v/>
      </c>
      <c r="P2408" s="5">
        <f>IF(O2408="","",IF(O2408&gt;0,1,0))</f>
        <v/>
      </c>
    </row>
    <row r="2409">
      <c r="A2409" s="5" t="n">
        <v>2111000000</v>
      </c>
      <c r="B2409" s="5" t="inlineStr">
        <is>
          <t>104059</t>
        </is>
      </c>
      <c r="C2409" s="5" t="inlineStr">
        <is>
          <t>MG SERVICOS E SAUDE LTDA 48515732000140</t>
        </is>
      </c>
      <c r="D2409" s="5" t="inlineStr">
        <is>
          <t>RE</t>
        </is>
      </c>
      <c r="E2409" s="5" t="n">
        <v>5015067</v>
      </c>
      <c r="F2409" s="5" t="inlineStr">
        <is>
          <t>4</t>
        </is>
      </c>
      <c r="G2409" s="5" t="inlineStr">
        <is>
          <t>BRL</t>
        </is>
      </c>
      <c r="H2409" s="9" t="n">
        <v>-3223.5</v>
      </c>
      <c r="I2409" s="16" t="n">
        <v>46238</v>
      </c>
      <c r="J2409" s="16" t="n">
        <v>46331</v>
      </c>
      <c r="K2409" s="5" t="inlineStr">
        <is>
          <t>Fatura - bruto MG SERVICOS E SAUDE LTDA 4851573200</t>
        </is>
      </c>
      <c r="L2409" s="5" t="inlineStr">
        <is>
          <t>05112026</t>
        </is>
      </c>
      <c r="M2409" s="5">
        <f>IF(YEAR(I2409)&lt;=2020,"Até 2020",TEXT(YEAR(I2409),"0"))</f>
        <v/>
      </c>
      <c r="N2409" s="5">
        <f>IFERROR(INDEX(DePara!$A:$A,MATCH(TEXT(B2409,"0"),DePara!$D:$D,0)),"(sem categoria)")</f>
        <v/>
      </c>
      <c r="O2409" s="5">
        <f>IF(J2409="","",Parametros!$B$6-J2409)</f>
        <v/>
      </c>
      <c r="P2409" s="5">
        <f>IF(O2409="","",IF(O2409&gt;0,1,0))</f>
        <v/>
      </c>
    </row>
    <row r="2410">
      <c r="A2410" s="5" t="n">
        <v>2111000000</v>
      </c>
      <c r="B2410" s="5" t="inlineStr">
        <is>
          <t>104059</t>
        </is>
      </c>
      <c r="C2410" s="5" t="inlineStr">
        <is>
          <t>MG SERVICOS E SAUDE LTDA 48515732000140</t>
        </is>
      </c>
      <c r="D2410" s="5" t="inlineStr">
        <is>
          <t>RE</t>
        </is>
      </c>
      <c r="E2410" s="5" t="n">
        <v>5015068</v>
      </c>
      <c r="F2410" s="5" t="inlineStr">
        <is>
          <t>5</t>
        </is>
      </c>
      <c r="G2410" s="5" t="inlineStr">
        <is>
          <t>BRL</t>
        </is>
      </c>
      <c r="H2410" s="9" t="n">
        <v>-37744.31</v>
      </c>
      <c r="I2410" s="16" t="n">
        <v>46238</v>
      </c>
      <c r="J2410" s="16" t="n">
        <v>46331</v>
      </c>
      <c r="K2410" s="5" t="inlineStr">
        <is>
          <t>Fatura - bruto MG SERVICOS E SAUDE LTDA 4851573200</t>
        </is>
      </c>
      <c r="L2410" s="5" t="inlineStr">
        <is>
          <t>05112026</t>
        </is>
      </c>
      <c r="M2410" s="5">
        <f>IF(YEAR(I2410)&lt;=2020,"Até 2020",TEXT(YEAR(I2410),"0"))</f>
        <v/>
      </c>
      <c r="N2410" s="5">
        <f>IFERROR(INDEX(DePara!$A:$A,MATCH(TEXT(B2410,"0"),DePara!$D:$D,0)),"(sem categoria)")</f>
        <v/>
      </c>
      <c r="O2410" s="5">
        <f>IF(J2410="","",Parametros!$B$6-J2410)</f>
        <v/>
      </c>
      <c r="P2410" s="5">
        <f>IF(O2410="","",IF(O2410&gt;0,1,0))</f>
        <v/>
      </c>
    </row>
    <row r="2411">
      <c r="A2411" s="5" t="n">
        <v>2111000000</v>
      </c>
      <c r="B2411" s="5" t="inlineStr">
        <is>
          <t>104059</t>
        </is>
      </c>
      <c r="C2411" s="5" t="inlineStr">
        <is>
          <t>MG SERVICOS E SAUDE LTDA 48515732000140</t>
        </is>
      </c>
      <c r="D2411" s="5" t="inlineStr">
        <is>
          <t>RE</t>
        </is>
      </c>
      <c r="E2411" s="5" t="n">
        <v>5015069</v>
      </c>
      <c r="F2411" s="5" t="inlineStr">
        <is>
          <t>946</t>
        </is>
      </c>
      <c r="G2411" s="5" t="inlineStr">
        <is>
          <t>BRL</t>
        </is>
      </c>
      <c r="H2411" s="9" t="n">
        <v>-30510</v>
      </c>
      <c r="I2411" s="16" t="n">
        <v>46238</v>
      </c>
      <c r="J2411" s="16" t="n">
        <v>46269</v>
      </c>
      <c r="K2411" s="5" t="inlineStr">
        <is>
          <t>Fatura - bruto MG SERVICOS E SAUDE LTDA 4851573200</t>
        </is>
      </c>
      <c r="L2411" s="5" t="inlineStr">
        <is>
          <t>02092026</t>
        </is>
      </c>
      <c r="M2411" s="5">
        <f>IF(YEAR(I2411)&lt;=2020,"Até 2020",TEXT(YEAR(I2411),"0"))</f>
        <v/>
      </c>
      <c r="N2411" s="5">
        <f>IFERROR(INDEX(DePara!$A:$A,MATCH(TEXT(B2411,"0"),DePara!$D:$D,0)),"(sem categoria)")</f>
        <v/>
      </c>
      <c r="O2411" s="5">
        <f>IF(J2411="","",Parametros!$B$6-J2411)</f>
        <v/>
      </c>
      <c r="P2411" s="5">
        <f>IF(O2411="","",IF(O2411&gt;0,1,0))</f>
        <v/>
      </c>
    </row>
    <row r="2412">
      <c r="A2412" s="5" t="n">
        <v>2111000000</v>
      </c>
      <c r="B2412" s="5" t="inlineStr">
        <is>
          <t>101463</t>
        </is>
      </c>
      <c r="C2412" s="5" t="inlineStr">
        <is>
          <t>ZURICH MINAS BRASIL SEGUROS S A</t>
        </is>
      </c>
      <c r="D2412" s="5" t="inlineStr">
        <is>
          <t>RE</t>
        </is>
      </c>
      <c r="E2412" s="5" t="n">
        <v>5015070</v>
      </c>
      <c r="F2412" s="5" t="inlineStr">
        <is>
          <t>0336/26</t>
        </is>
      </c>
      <c r="G2412" s="5" t="inlineStr">
        <is>
          <t>BRL</t>
        </is>
      </c>
      <c r="H2412" s="9" t="n">
        <v>-448.39</v>
      </c>
      <c r="I2412" s="16" t="n">
        <v>46246</v>
      </c>
      <c r="J2412" s="16" t="n">
        <v>46276</v>
      </c>
      <c r="K2412" s="5" t="inlineStr">
        <is>
          <t>Invoice Payment. SP: 21340</t>
        </is>
      </c>
      <c r="L2412" s="5" t="inlineStr">
        <is>
          <t>0336/26</t>
        </is>
      </c>
      <c r="M2412" s="5">
        <f>IF(YEAR(I2412)&lt;=2020,"Até 2020",TEXT(YEAR(I2412),"0"))</f>
        <v/>
      </c>
      <c r="N2412" s="5">
        <f>IFERROR(INDEX(DePara!$A:$A,MATCH(TEXT(B2412,"0"),DePara!$D:$D,0)),"(sem categoria)")</f>
        <v/>
      </c>
      <c r="O2412" s="5">
        <f>IF(J2412="","",Parametros!$B$6-J2412)</f>
        <v/>
      </c>
      <c r="P2412" s="5">
        <f>IF(O2412="","",IF(O2412&gt;0,1,0))</f>
        <v/>
      </c>
    </row>
    <row r="2413">
      <c r="A2413" s="5" t="n">
        <v>2111000000</v>
      </c>
      <c r="B2413" s="5" t="inlineStr">
        <is>
          <t>104059</t>
        </is>
      </c>
      <c r="C2413" s="5" t="inlineStr">
        <is>
          <t>MG SERVICOS E SAUDE LTDA 48515732000140</t>
        </is>
      </c>
      <c r="D2413" s="5" t="inlineStr">
        <is>
          <t>RE</t>
        </is>
      </c>
      <c r="E2413" s="5" t="n">
        <v>5015072</v>
      </c>
      <c r="F2413" s="5" t="inlineStr">
        <is>
          <t>11</t>
        </is>
      </c>
      <c r="G2413" s="5" t="inlineStr">
        <is>
          <t>BRL</t>
        </is>
      </c>
      <c r="H2413" s="9" t="n">
        <v>-12018.49</v>
      </c>
      <c r="I2413" s="16" t="n">
        <v>46239</v>
      </c>
      <c r="J2413" s="16" t="n">
        <v>46331</v>
      </c>
      <c r="K2413" s="5" t="inlineStr">
        <is>
          <t>Fatura - bruto MG SERVICOS E SAUDE LTDA 4851573200</t>
        </is>
      </c>
      <c r="L2413" s="5" t="inlineStr">
        <is>
          <t>05112026</t>
        </is>
      </c>
      <c r="M2413" s="5">
        <f>IF(YEAR(I2413)&lt;=2020,"Até 2020",TEXT(YEAR(I2413),"0"))</f>
        <v/>
      </c>
      <c r="N2413" s="5">
        <f>IFERROR(INDEX(DePara!$A:$A,MATCH(TEXT(B2413,"0"),DePara!$D:$D,0)),"(sem categoria)")</f>
        <v/>
      </c>
      <c r="O2413" s="5">
        <f>IF(J2413="","",Parametros!$B$6-J2413)</f>
        <v/>
      </c>
      <c r="P2413" s="5">
        <f>IF(O2413="","",IF(O2413&gt;0,1,0))</f>
        <v/>
      </c>
    </row>
    <row r="2414">
      <c r="A2414" s="5" t="n">
        <v>2111000000</v>
      </c>
      <c r="B2414" s="5" t="inlineStr">
        <is>
          <t>104002</t>
        </is>
      </c>
      <c r="C2414" s="5" t="inlineStr">
        <is>
          <t>TOP LOCACOES LTDA 43452661000160</t>
        </is>
      </c>
      <c r="D2414" s="5" t="inlineStr">
        <is>
          <t>RE</t>
        </is>
      </c>
      <c r="E2414" s="5" t="n">
        <v>5015073</v>
      </c>
      <c r="F2414" s="5" t="inlineStr">
        <is>
          <t>315</t>
        </is>
      </c>
      <c r="G2414" s="5" t="inlineStr">
        <is>
          <t>BRL</t>
        </is>
      </c>
      <c r="H2414" s="9" t="n">
        <v>-14000</v>
      </c>
      <c r="I2414" s="16" t="n">
        <v>46238</v>
      </c>
      <c r="J2414" s="16" t="n">
        <v>46280</v>
      </c>
      <c r="K2414" s="5" t="inlineStr">
        <is>
          <t>Fatura - bruto TOP LOCACOES LTDA 43452661000160 31</t>
        </is>
      </c>
      <c r="L2414" s="5" t="inlineStr">
        <is>
          <t>09092026</t>
        </is>
      </c>
      <c r="M2414" s="5">
        <f>IF(YEAR(I2414)&lt;=2020,"Até 2020",TEXT(YEAR(I2414),"0"))</f>
        <v/>
      </c>
      <c r="N2414" s="5">
        <f>IFERROR(INDEX(DePara!$A:$A,MATCH(TEXT(B2414,"0"),DePara!$D:$D,0)),"(sem categoria)")</f>
        <v/>
      </c>
      <c r="O2414" s="5">
        <f>IF(J2414="","",Parametros!$B$6-J2414)</f>
        <v/>
      </c>
      <c r="P2414" s="5">
        <f>IF(O2414="","",IF(O2414&gt;0,1,0))</f>
        <v/>
      </c>
    </row>
    <row r="2415">
      <c r="A2415" s="5" t="n">
        <v>2111000000</v>
      </c>
      <c r="B2415" s="5" t="inlineStr">
        <is>
          <t>104059</t>
        </is>
      </c>
      <c r="C2415" s="5" t="inlineStr">
        <is>
          <t>MG SERVICOS E SAUDE LTDA 48515732000140</t>
        </is>
      </c>
      <c r="D2415" s="5" t="inlineStr">
        <is>
          <t>RE</t>
        </is>
      </c>
      <c r="E2415" s="5" t="n">
        <v>5015074</v>
      </c>
      <c r="F2415" s="5" t="inlineStr">
        <is>
          <t>399</t>
        </is>
      </c>
      <c r="G2415" s="5" t="inlineStr">
        <is>
          <t>BRL</t>
        </is>
      </c>
      <c r="H2415" s="9" t="n">
        <v>-12931.18</v>
      </c>
      <c r="I2415" s="16" t="n">
        <v>46205</v>
      </c>
      <c r="J2415" s="16" t="n">
        <v>46270</v>
      </c>
      <c r="K2415" s="5" t="inlineStr">
        <is>
          <t>Fatura - bruto MG SERVICOS E SAUDE LTDA 4851573200</t>
        </is>
      </c>
      <c r="L2415" s="5" t="inlineStr">
        <is>
          <t>08092026</t>
        </is>
      </c>
      <c r="M2415" s="5">
        <f>IF(YEAR(I2415)&lt;=2020,"Até 2020",TEXT(YEAR(I2415),"0"))</f>
        <v/>
      </c>
      <c r="N2415" s="5">
        <f>IFERROR(INDEX(DePara!$A:$A,MATCH(TEXT(B2415,"0"),DePara!$D:$D,0)),"(sem categoria)")</f>
        <v/>
      </c>
      <c r="O2415" s="5">
        <f>IF(J2415="","",Parametros!$B$6-J2415)</f>
        <v/>
      </c>
      <c r="P2415" s="5">
        <f>IF(O2415="","",IF(O2415&gt;0,1,0))</f>
        <v/>
      </c>
    </row>
    <row r="2416">
      <c r="A2416" s="5" t="n">
        <v>2111000000</v>
      </c>
      <c r="B2416" s="5" t="inlineStr">
        <is>
          <t>104059</t>
        </is>
      </c>
      <c r="C2416" s="5" t="inlineStr">
        <is>
          <t>MG SERVICOS E SAUDE LTDA 48515732000140</t>
        </is>
      </c>
      <c r="D2416" s="5" t="inlineStr">
        <is>
          <t>RE</t>
        </is>
      </c>
      <c r="E2416" s="5" t="n">
        <v>5015075</v>
      </c>
      <c r="F2416" s="5" t="inlineStr">
        <is>
          <t>400</t>
        </is>
      </c>
      <c r="G2416" s="5" t="inlineStr">
        <is>
          <t>BRL</t>
        </is>
      </c>
      <c r="H2416" s="9" t="n">
        <v>-11023.32</v>
      </c>
      <c r="I2416" s="16" t="n">
        <v>46205</v>
      </c>
      <c r="J2416" s="16" t="n">
        <v>46270</v>
      </c>
      <c r="K2416" s="5" t="inlineStr">
        <is>
          <t>Fatura - bruto MG SERVICOS E SAUDE LTDA 4851573200</t>
        </is>
      </c>
      <c r="L2416" s="5" t="inlineStr">
        <is>
          <t>08092026</t>
        </is>
      </c>
      <c r="M2416" s="5">
        <f>IF(YEAR(I2416)&lt;=2020,"Até 2020",TEXT(YEAR(I2416),"0"))</f>
        <v/>
      </c>
      <c r="N2416" s="5">
        <f>IFERROR(INDEX(DePara!$A:$A,MATCH(TEXT(B2416,"0"),DePara!$D:$D,0)),"(sem categoria)")</f>
        <v/>
      </c>
      <c r="O2416" s="5">
        <f>IF(J2416="","",Parametros!$B$6-J2416)</f>
        <v/>
      </c>
      <c r="P2416" s="5">
        <f>IF(O2416="","",IF(O2416&gt;0,1,0))</f>
        <v/>
      </c>
    </row>
    <row r="2417">
      <c r="A2417" s="5" t="n">
        <v>2111000000</v>
      </c>
      <c r="B2417" s="5" t="inlineStr">
        <is>
          <t>101887</t>
        </is>
      </c>
      <c r="C2417" s="5" t="inlineStr">
        <is>
          <t>MGO DE FREITAS</t>
        </is>
      </c>
      <c r="D2417" s="5" t="inlineStr">
        <is>
          <t>RE</t>
        </is>
      </c>
      <c r="E2417" s="5" t="n">
        <v>5015077</v>
      </c>
      <c r="F2417" s="5" t="inlineStr">
        <is>
          <t>1414</t>
        </is>
      </c>
      <c r="G2417" s="5" t="inlineStr">
        <is>
          <t>BRL</t>
        </is>
      </c>
      <c r="H2417" s="9" t="n">
        <v>-9013.799999999999</v>
      </c>
      <c r="I2417" s="16" t="n">
        <v>46237</v>
      </c>
      <c r="J2417" s="16" t="n">
        <v>46270</v>
      </c>
      <c r="K2417" s="5" t="inlineStr">
        <is>
          <t>Fatura - bruto MGO DE FREITAS 1414</t>
        </is>
      </c>
      <c r="L2417" s="5" t="inlineStr">
        <is>
          <t>08092026</t>
        </is>
      </c>
      <c r="M2417" s="5">
        <f>IF(YEAR(I2417)&lt;=2020,"Até 2020",TEXT(YEAR(I2417),"0"))</f>
        <v/>
      </c>
      <c r="N2417" s="5">
        <f>IFERROR(INDEX(DePara!$A:$A,MATCH(TEXT(B2417,"0"),DePara!$D:$D,0)),"(sem categoria)")</f>
        <v/>
      </c>
      <c r="O2417" s="5">
        <f>IF(J2417="","",Parametros!$B$6-J2417)</f>
        <v/>
      </c>
      <c r="P2417" s="5">
        <f>IF(O2417="","",IF(O2417&gt;0,1,0))</f>
        <v/>
      </c>
    </row>
    <row r="2418">
      <c r="A2418" s="5" t="n">
        <v>2111000000</v>
      </c>
      <c r="B2418" s="5" t="inlineStr">
        <is>
          <t>103931</t>
        </is>
      </c>
      <c r="C2418" s="5" t="inlineStr">
        <is>
          <t>WPK SERVICOS E MONITORAMENTO LTDA 43980265000106</t>
        </is>
      </c>
      <c r="D2418" s="5" t="inlineStr">
        <is>
          <t>RE</t>
        </is>
      </c>
      <c r="E2418" s="5" t="n">
        <v>5015081</v>
      </c>
      <c r="F2418" s="5" t="inlineStr">
        <is>
          <t>1238</t>
        </is>
      </c>
      <c r="G2418" s="5" t="inlineStr">
        <is>
          <t>BRL</t>
        </is>
      </c>
      <c r="H2418" s="9" t="n">
        <v>-14442</v>
      </c>
      <c r="I2418" s="16" t="n">
        <v>46238</v>
      </c>
      <c r="J2418" s="16" t="n">
        <v>46268</v>
      </c>
      <c r="K2418" s="5" t="inlineStr">
        <is>
          <t>Fatura - bruto WPK SERVICOS E MONITORAMENTO LTDA 4</t>
        </is>
      </c>
      <c r="L2418" s="5" t="inlineStr">
        <is>
          <t>02092026</t>
        </is>
      </c>
      <c r="M2418" s="5">
        <f>IF(YEAR(I2418)&lt;=2020,"Até 2020",TEXT(YEAR(I2418),"0"))</f>
        <v/>
      </c>
      <c r="N2418" s="5">
        <f>IFERROR(INDEX(DePara!$A:$A,MATCH(TEXT(B2418,"0"),DePara!$D:$D,0)),"(sem categoria)")</f>
        <v/>
      </c>
      <c r="O2418" s="5">
        <f>IF(J2418="","",Parametros!$B$6-J2418)</f>
        <v/>
      </c>
      <c r="P2418" s="5">
        <f>IF(O2418="","",IF(O2418&gt;0,1,0))</f>
        <v/>
      </c>
    </row>
    <row r="2419">
      <c r="A2419" s="5" t="n">
        <v>2111000000</v>
      </c>
      <c r="B2419" s="5" t="inlineStr">
        <is>
          <t>101887</t>
        </is>
      </c>
      <c r="C2419" s="5" t="inlineStr">
        <is>
          <t>MGO DE FREITAS</t>
        </is>
      </c>
      <c r="D2419" s="5" t="inlineStr">
        <is>
          <t>RE</t>
        </is>
      </c>
      <c r="E2419" s="5" t="n">
        <v>5015082</v>
      </c>
      <c r="F2419" s="5" t="inlineStr">
        <is>
          <t>1402</t>
        </is>
      </c>
      <c r="G2419" s="5" t="inlineStr">
        <is>
          <t>BRL</t>
        </is>
      </c>
      <c r="H2419" s="9" t="n">
        <v>-4265.96</v>
      </c>
      <c r="I2419" s="16" t="n">
        <v>46237</v>
      </c>
      <c r="J2419" s="16" t="n">
        <v>46270</v>
      </c>
      <c r="K2419" s="5" t="inlineStr">
        <is>
          <t>Fatura - bruto MGO DE FREITAS 1402</t>
        </is>
      </c>
      <c r="L2419" s="5" t="inlineStr">
        <is>
          <t>08092026</t>
        </is>
      </c>
      <c r="M2419" s="5">
        <f>IF(YEAR(I2419)&lt;=2020,"Até 2020",TEXT(YEAR(I2419),"0"))</f>
        <v/>
      </c>
      <c r="N2419" s="5">
        <f>IFERROR(INDEX(DePara!$A:$A,MATCH(TEXT(B2419,"0"),DePara!$D:$D,0)),"(sem categoria)")</f>
        <v/>
      </c>
      <c r="O2419" s="5">
        <f>IF(J2419="","",Parametros!$B$6-J2419)</f>
        <v/>
      </c>
      <c r="P2419" s="5">
        <f>IF(O2419="","",IF(O2419&gt;0,1,0))</f>
        <v/>
      </c>
    </row>
    <row r="2420">
      <c r="A2420" s="5" t="n">
        <v>2111000000</v>
      </c>
      <c r="B2420" s="5" t="inlineStr">
        <is>
          <t>101887</t>
        </is>
      </c>
      <c r="C2420" s="5" t="inlineStr">
        <is>
          <t>MGO DE FREITAS</t>
        </is>
      </c>
      <c r="D2420" s="5" t="inlineStr">
        <is>
          <t>RE</t>
        </is>
      </c>
      <c r="E2420" s="5" t="n">
        <v>5015083</v>
      </c>
      <c r="F2420" s="5" t="inlineStr">
        <is>
          <t>1400</t>
        </is>
      </c>
      <c r="G2420" s="5" t="inlineStr">
        <is>
          <t>BRL</t>
        </is>
      </c>
      <c r="H2420" s="9" t="n">
        <v>-5778.58</v>
      </c>
      <c r="I2420" s="16" t="n">
        <v>46237</v>
      </c>
      <c r="J2420" s="16" t="n">
        <v>46270</v>
      </c>
      <c r="K2420" s="5" t="inlineStr">
        <is>
          <t>Fatura - bruto MGO DE FREITAS 1400</t>
        </is>
      </c>
      <c r="L2420" s="5" t="inlineStr">
        <is>
          <t>08092026</t>
        </is>
      </c>
      <c r="M2420" s="5">
        <f>IF(YEAR(I2420)&lt;=2020,"Até 2020",TEXT(YEAR(I2420),"0"))</f>
        <v/>
      </c>
      <c r="N2420" s="5">
        <f>IFERROR(INDEX(DePara!$A:$A,MATCH(TEXT(B2420,"0"),DePara!$D:$D,0)),"(sem categoria)")</f>
        <v/>
      </c>
      <c r="O2420" s="5">
        <f>IF(J2420="","",Parametros!$B$6-J2420)</f>
        <v/>
      </c>
      <c r="P2420" s="5">
        <f>IF(O2420="","",IF(O2420&gt;0,1,0))</f>
        <v/>
      </c>
    </row>
    <row r="2421">
      <c r="A2421" s="5" t="n">
        <v>2111000000</v>
      </c>
      <c r="B2421" s="5" t="inlineStr">
        <is>
          <t>100883</t>
        </is>
      </c>
      <c r="C2421" s="5" t="inlineStr">
        <is>
          <t>QUELMAR TRANSPORTES LTDA</t>
        </is>
      </c>
      <c r="D2421" s="5" t="inlineStr">
        <is>
          <t>RE</t>
        </is>
      </c>
      <c r="E2421" s="5" t="n">
        <v>5015085</v>
      </c>
      <c r="F2421" s="5" t="inlineStr">
        <is>
          <t>6244-2</t>
        </is>
      </c>
      <c r="G2421" s="5" t="inlineStr">
        <is>
          <t>BRL</t>
        </is>
      </c>
      <c r="H2421" s="9" t="n">
        <v>-15583</v>
      </c>
      <c r="I2421" s="16" t="n">
        <v>46220</v>
      </c>
      <c r="J2421" s="16" t="n">
        <v>46270</v>
      </c>
      <c r="K2421" s="5" t="inlineStr">
        <is>
          <t>Fatura - bruto QUELMAR TRANSPORTES LTDA 6244-2</t>
        </is>
      </c>
      <c r="L2421" s="5" t="inlineStr">
        <is>
          <t>08092026</t>
        </is>
      </c>
      <c r="M2421" s="5">
        <f>IF(YEAR(I2421)&lt;=2020,"Até 2020",TEXT(YEAR(I2421),"0"))</f>
        <v/>
      </c>
      <c r="N2421" s="5">
        <f>IFERROR(INDEX(DePara!$A:$A,MATCH(TEXT(B2421,"0"),DePara!$D:$D,0)),"(sem categoria)")</f>
        <v/>
      </c>
      <c r="O2421" s="5">
        <f>IF(J2421="","",Parametros!$B$6-J2421)</f>
        <v/>
      </c>
      <c r="P2421" s="5">
        <f>IF(O2421="","",IF(O2421&gt;0,1,0))</f>
        <v/>
      </c>
    </row>
    <row r="2422">
      <c r="A2422" s="5" t="n">
        <v>2111000000</v>
      </c>
      <c r="B2422" s="5" t="inlineStr">
        <is>
          <t>101887</t>
        </is>
      </c>
      <c r="C2422" s="5" t="inlineStr">
        <is>
          <t>MGO DE FREITAS</t>
        </is>
      </c>
      <c r="D2422" s="5" t="inlineStr">
        <is>
          <t>RE</t>
        </is>
      </c>
      <c r="E2422" s="5" t="n">
        <v>5015086</v>
      </c>
      <c r="F2422" s="5" t="inlineStr">
        <is>
          <t>1406</t>
        </is>
      </c>
      <c r="G2422" s="5" t="inlineStr">
        <is>
          <t>BRL</t>
        </is>
      </c>
      <c r="H2422" s="9" t="n">
        <v>-4265.96</v>
      </c>
      <c r="I2422" s="16" t="n">
        <v>46237</v>
      </c>
      <c r="J2422" s="16" t="n">
        <v>46270</v>
      </c>
      <c r="K2422" s="5" t="inlineStr">
        <is>
          <t>Fatura - bruto MGO DE FREITAS 1406</t>
        </is>
      </c>
      <c r="L2422" s="5" t="inlineStr">
        <is>
          <t>08092026</t>
        </is>
      </c>
      <c r="M2422" s="5">
        <f>IF(YEAR(I2422)&lt;=2020,"Até 2020",TEXT(YEAR(I2422),"0"))</f>
        <v/>
      </c>
      <c r="N2422" s="5">
        <f>IFERROR(INDEX(DePara!$A:$A,MATCH(TEXT(B2422,"0"),DePara!$D:$D,0)),"(sem categoria)")</f>
        <v/>
      </c>
      <c r="O2422" s="5">
        <f>IF(J2422="","",Parametros!$B$6-J2422)</f>
        <v/>
      </c>
      <c r="P2422" s="5">
        <f>IF(O2422="","",IF(O2422&gt;0,1,0))</f>
        <v/>
      </c>
    </row>
    <row r="2423">
      <c r="A2423" s="5" t="n">
        <v>2111000000</v>
      </c>
      <c r="B2423" s="5" t="inlineStr">
        <is>
          <t>101887</t>
        </is>
      </c>
      <c r="C2423" s="5" t="inlineStr">
        <is>
          <t>MGO DE FREITAS</t>
        </is>
      </c>
      <c r="D2423" s="5" t="inlineStr">
        <is>
          <t>RE</t>
        </is>
      </c>
      <c r="E2423" s="5" t="n">
        <v>5015087</v>
      </c>
      <c r="F2423" s="5" t="inlineStr">
        <is>
          <t>1397</t>
        </is>
      </c>
      <c r="G2423" s="5" t="inlineStr">
        <is>
          <t>BRL</t>
        </is>
      </c>
      <c r="H2423" s="9" t="n">
        <v>-5803.03</v>
      </c>
      <c r="I2423" s="16" t="n">
        <v>46237</v>
      </c>
      <c r="J2423" s="16" t="n">
        <v>46270</v>
      </c>
      <c r="K2423" s="5" t="inlineStr">
        <is>
          <t>Fatura - bruto MGO DE FREITAS 1397</t>
        </is>
      </c>
      <c r="L2423" s="5" t="inlineStr">
        <is>
          <t>08092026</t>
        </is>
      </c>
      <c r="M2423" s="5">
        <f>IF(YEAR(I2423)&lt;=2020,"Até 2020",TEXT(YEAR(I2423),"0"))</f>
        <v/>
      </c>
      <c r="N2423" s="5">
        <f>IFERROR(INDEX(DePara!$A:$A,MATCH(TEXT(B2423,"0"),DePara!$D:$D,0)),"(sem categoria)")</f>
        <v/>
      </c>
      <c r="O2423" s="5">
        <f>IF(J2423="","",Parametros!$B$6-J2423)</f>
        <v/>
      </c>
      <c r="P2423" s="5">
        <f>IF(O2423="","",IF(O2423&gt;0,1,0))</f>
        <v/>
      </c>
    </row>
    <row r="2424">
      <c r="A2424" s="5" t="n">
        <v>2111000000</v>
      </c>
      <c r="B2424" s="5" t="inlineStr">
        <is>
          <t>101887</t>
        </is>
      </c>
      <c r="C2424" s="5" t="inlineStr">
        <is>
          <t>MGO DE FREITAS</t>
        </is>
      </c>
      <c r="D2424" s="5" t="inlineStr">
        <is>
          <t>RE</t>
        </is>
      </c>
      <c r="E2424" s="5" t="n">
        <v>5015088</v>
      </c>
      <c r="F2424" s="5" t="inlineStr">
        <is>
          <t>1401</t>
        </is>
      </c>
      <c r="G2424" s="5" t="inlineStr">
        <is>
          <t>BRL</t>
        </is>
      </c>
      <c r="H2424" s="9" t="n">
        <v>-5778.58</v>
      </c>
      <c r="I2424" s="16" t="n">
        <v>46237</v>
      </c>
      <c r="J2424" s="16" t="n">
        <v>46270</v>
      </c>
      <c r="K2424" s="5" t="inlineStr">
        <is>
          <t>Fatura - bruto MGO DE FREITAS 1401</t>
        </is>
      </c>
      <c r="L2424" s="5" t="inlineStr">
        <is>
          <t>08092026</t>
        </is>
      </c>
      <c r="M2424" s="5">
        <f>IF(YEAR(I2424)&lt;=2020,"Até 2020",TEXT(YEAR(I2424),"0"))</f>
        <v/>
      </c>
      <c r="N2424" s="5">
        <f>IFERROR(INDEX(DePara!$A:$A,MATCH(TEXT(B2424,"0"),DePara!$D:$D,0)),"(sem categoria)")</f>
        <v/>
      </c>
      <c r="O2424" s="5">
        <f>IF(J2424="","",Parametros!$B$6-J2424)</f>
        <v/>
      </c>
      <c r="P2424" s="5">
        <f>IF(O2424="","",IF(O2424&gt;0,1,0))</f>
        <v/>
      </c>
    </row>
    <row r="2425">
      <c r="A2425" s="5" t="n">
        <v>2111000000</v>
      </c>
      <c r="B2425" s="5" t="inlineStr">
        <is>
          <t>101887</t>
        </is>
      </c>
      <c r="C2425" s="5" t="inlineStr">
        <is>
          <t>MGO DE FREITAS</t>
        </is>
      </c>
      <c r="D2425" s="5" t="inlineStr">
        <is>
          <t>RE</t>
        </is>
      </c>
      <c r="E2425" s="5" t="n">
        <v>5015091</v>
      </c>
      <c r="F2425" s="5" t="inlineStr">
        <is>
          <t>1398</t>
        </is>
      </c>
      <c r="G2425" s="5" t="inlineStr">
        <is>
          <t>BRL</t>
        </is>
      </c>
      <c r="H2425" s="9" t="n">
        <v>-5383.73</v>
      </c>
      <c r="I2425" s="16" t="n">
        <v>46237</v>
      </c>
      <c r="J2425" s="16" t="n">
        <v>46270</v>
      </c>
      <c r="K2425" s="5" t="inlineStr">
        <is>
          <t>Fatura - bruto MGO DE FREITAS 1398</t>
        </is>
      </c>
      <c r="L2425" s="5" t="inlineStr">
        <is>
          <t>08092026</t>
        </is>
      </c>
      <c r="M2425" s="5">
        <f>IF(YEAR(I2425)&lt;=2020,"Até 2020",TEXT(YEAR(I2425),"0"))</f>
        <v/>
      </c>
      <c r="N2425" s="5">
        <f>IFERROR(INDEX(DePara!$A:$A,MATCH(TEXT(B2425,"0"),DePara!$D:$D,0)),"(sem categoria)")</f>
        <v/>
      </c>
      <c r="O2425" s="5">
        <f>IF(J2425="","",Parametros!$B$6-J2425)</f>
        <v/>
      </c>
      <c r="P2425" s="5">
        <f>IF(O2425="","",IF(O2425&gt;0,1,0))</f>
        <v/>
      </c>
    </row>
    <row r="2426">
      <c r="A2426" s="5" t="n">
        <v>2111000000</v>
      </c>
      <c r="B2426" s="5" t="inlineStr">
        <is>
          <t>101887</t>
        </is>
      </c>
      <c r="C2426" s="5" t="inlineStr">
        <is>
          <t>MGO DE FREITAS</t>
        </is>
      </c>
      <c r="D2426" s="5" t="inlineStr">
        <is>
          <t>RE</t>
        </is>
      </c>
      <c r="E2426" s="5" t="n">
        <v>5015092</v>
      </c>
      <c r="F2426" s="5" t="inlineStr">
        <is>
          <t>1399</t>
        </is>
      </c>
      <c r="G2426" s="5" t="inlineStr">
        <is>
          <t>BRL</t>
        </is>
      </c>
      <c r="H2426" s="9" t="n">
        <v>-5383.73</v>
      </c>
      <c r="I2426" s="16" t="n">
        <v>46237</v>
      </c>
      <c r="J2426" s="16" t="n">
        <v>46270</v>
      </c>
      <c r="K2426" s="5" t="inlineStr">
        <is>
          <t>Fatura - bruto MGO DE FREITAS 1399</t>
        </is>
      </c>
      <c r="L2426" s="5" t="inlineStr">
        <is>
          <t>08092026</t>
        </is>
      </c>
      <c r="M2426" s="5">
        <f>IF(YEAR(I2426)&lt;=2020,"Até 2020",TEXT(YEAR(I2426),"0"))</f>
        <v/>
      </c>
      <c r="N2426" s="5">
        <f>IFERROR(INDEX(DePara!$A:$A,MATCH(TEXT(B2426,"0"),DePara!$D:$D,0)),"(sem categoria)")</f>
        <v/>
      </c>
      <c r="O2426" s="5">
        <f>IF(J2426="","",Parametros!$B$6-J2426)</f>
        <v/>
      </c>
      <c r="P2426" s="5">
        <f>IF(O2426="","",IF(O2426&gt;0,1,0))</f>
        <v/>
      </c>
    </row>
    <row r="2427">
      <c r="A2427" s="5" t="n">
        <v>2111000000</v>
      </c>
      <c r="B2427" s="5" t="inlineStr">
        <is>
          <t>101887</t>
        </is>
      </c>
      <c r="C2427" s="5" t="inlineStr">
        <is>
          <t>MGO DE FREITAS</t>
        </is>
      </c>
      <c r="D2427" s="5" t="inlineStr">
        <is>
          <t>RE</t>
        </is>
      </c>
      <c r="E2427" s="5" t="n">
        <v>5015093</v>
      </c>
      <c r="F2427" s="5" t="inlineStr">
        <is>
          <t>1408</t>
        </is>
      </c>
      <c r="G2427" s="5" t="inlineStr">
        <is>
          <t>BRL</t>
        </is>
      </c>
      <c r="H2427" s="9" t="n">
        <v>-5976</v>
      </c>
      <c r="I2427" s="16" t="n">
        <v>46237</v>
      </c>
      <c r="J2427" s="16" t="n">
        <v>46270</v>
      </c>
      <c r="K2427" s="5" t="inlineStr">
        <is>
          <t>Fatura - bruto MGO DE FREITAS 1408</t>
        </is>
      </c>
      <c r="L2427" s="5" t="inlineStr">
        <is>
          <t>08092026</t>
        </is>
      </c>
      <c r="M2427" s="5">
        <f>IF(YEAR(I2427)&lt;=2020,"Até 2020",TEXT(YEAR(I2427),"0"))</f>
        <v/>
      </c>
      <c r="N2427" s="5">
        <f>IFERROR(INDEX(DePara!$A:$A,MATCH(TEXT(B2427,"0"),DePara!$D:$D,0)),"(sem categoria)")</f>
        <v/>
      </c>
      <c r="O2427" s="5">
        <f>IF(J2427="","",Parametros!$B$6-J2427)</f>
        <v/>
      </c>
      <c r="P2427" s="5">
        <f>IF(O2427="","",IF(O2427&gt;0,1,0))</f>
        <v/>
      </c>
    </row>
    <row r="2428">
      <c r="A2428" s="5" t="n">
        <v>2111000000</v>
      </c>
      <c r="B2428" s="5" t="inlineStr">
        <is>
          <t>100883</t>
        </is>
      </c>
      <c r="C2428" s="5" t="inlineStr">
        <is>
          <t>QUELMAR TRANSPORTES LTDA</t>
        </is>
      </c>
      <c r="D2428" s="5" t="inlineStr">
        <is>
          <t>RE</t>
        </is>
      </c>
      <c r="E2428" s="5" t="n">
        <v>5015094</v>
      </c>
      <c r="F2428" s="5" t="inlineStr">
        <is>
          <t>6224-2</t>
        </is>
      </c>
      <c r="G2428" s="5" t="inlineStr">
        <is>
          <t>BRL</t>
        </is>
      </c>
      <c r="H2428" s="9" t="n">
        <v>-2670</v>
      </c>
      <c r="I2428" s="16" t="n">
        <v>46217</v>
      </c>
      <c r="J2428" s="16" t="n">
        <v>46270</v>
      </c>
      <c r="K2428" s="5" t="inlineStr">
        <is>
          <t>Fatura - bruto QUELMAR TRANSPORTES LTDA 6224-2</t>
        </is>
      </c>
      <c r="L2428" s="5" t="inlineStr">
        <is>
          <t>08092026</t>
        </is>
      </c>
      <c r="M2428" s="5">
        <f>IF(YEAR(I2428)&lt;=2020,"Até 2020",TEXT(YEAR(I2428),"0"))</f>
        <v/>
      </c>
      <c r="N2428" s="5">
        <f>IFERROR(INDEX(DePara!$A:$A,MATCH(TEXT(B2428,"0"),DePara!$D:$D,0)),"(sem categoria)")</f>
        <v/>
      </c>
      <c r="O2428" s="5">
        <f>IF(J2428="","",Parametros!$B$6-J2428)</f>
        <v/>
      </c>
      <c r="P2428" s="5">
        <f>IF(O2428="","",IF(O2428&gt;0,1,0))</f>
        <v/>
      </c>
    </row>
    <row r="2429">
      <c r="A2429" s="5" t="n">
        <v>2111000000</v>
      </c>
      <c r="B2429" s="5" t="inlineStr">
        <is>
          <t>100883</t>
        </is>
      </c>
      <c r="C2429" s="5" t="inlineStr">
        <is>
          <t>QUELMAR TRANSPORTES LTDA</t>
        </is>
      </c>
      <c r="D2429" s="5" t="inlineStr">
        <is>
          <t>RE</t>
        </is>
      </c>
      <c r="E2429" s="5" t="n">
        <v>5015095</v>
      </c>
      <c r="F2429" s="5" t="inlineStr">
        <is>
          <t>6318-2</t>
        </is>
      </c>
      <c r="G2429" s="5" t="inlineStr">
        <is>
          <t>BRL</t>
        </is>
      </c>
      <c r="H2429" s="9" t="n">
        <v>-2798.4</v>
      </c>
      <c r="I2429" s="16" t="n">
        <v>46232</v>
      </c>
      <c r="J2429" s="16" t="n">
        <v>46270</v>
      </c>
      <c r="K2429" s="5" t="inlineStr">
        <is>
          <t>Fatura - bruto QUELMAR TRANSPORTES LTDA 6318-2</t>
        </is>
      </c>
      <c r="L2429" s="5" t="inlineStr">
        <is>
          <t>08092026</t>
        </is>
      </c>
      <c r="M2429" s="5">
        <f>IF(YEAR(I2429)&lt;=2020,"Até 2020",TEXT(YEAR(I2429),"0"))</f>
        <v/>
      </c>
      <c r="N2429" s="5">
        <f>IFERROR(INDEX(DePara!$A:$A,MATCH(TEXT(B2429,"0"),DePara!$D:$D,0)),"(sem categoria)")</f>
        <v/>
      </c>
      <c r="O2429" s="5">
        <f>IF(J2429="","",Parametros!$B$6-J2429)</f>
        <v/>
      </c>
      <c r="P2429" s="5">
        <f>IF(O2429="","",IF(O2429&gt;0,1,0))</f>
        <v/>
      </c>
    </row>
    <row r="2430">
      <c r="A2430" s="5" t="n">
        <v>2111000000</v>
      </c>
      <c r="B2430" s="5" t="inlineStr">
        <is>
          <t>100883</t>
        </is>
      </c>
      <c r="C2430" s="5" t="inlineStr">
        <is>
          <t>QUELMAR TRANSPORTES LTDA</t>
        </is>
      </c>
      <c r="D2430" s="5" t="inlineStr">
        <is>
          <t>RE</t>
        </is>
      </c>
      <c r="E2430" s="5" t="n">
        <v>5015096</v>
      </c>
      <c r="F2430" s="5" t="inlineStr">
        <is>
          <t>6325-2</t>
        </is>
      </c>
      <c r="G2430" s="5" t="inlineStr">
        <is>
          <t>BRL</t>
        </is>
      </c>
      <c r="H2430" s="9" t="n">
        <v>-5984</v>
      </c>
      <c r="I2430" s="16" t="n">
        <v>46232</v>
      </c>
      <c r="J2430" s="16" t="n">
        <v>46270</v>
      </c>
      <c r="K2430" s="5" t="inlineStr">
        <is>
          <t>Fatura - bruto QUELMAR TRANSPORTES LTDA 6325-2</t>
        </is>
      </c>
      <c r="L2430" s="5" t="inlineStr">
        <is>
          <t>08092026</t>
        </is>
      </c>
      <c r="M2430" s="5">
        <f>IF(YEAR(I2430)&lt;=2020,"Até 2020",TEXT(YEAR(I2430),"0"))</f>
        <v/>
      </c>
      <c r="N2430" s="5">
        <f>IFERROR(INDEX(DePara!$A:$A,MATCH(TEXT(B2430,"0"),DePara!$D:$D,0)),"(sem categoria)")</f>
        <v/>
      </c>
      <c r="O2430" s="5">
        <f>IF(J2430="","",Parametros!$B$6-J2430)</f>
        <v/>
      </c>
      <c r="P2430" s="5">
        <f>IF(O2430="","",IF(O2430&gt;0,1,0))</f>
        <v/>
      </c>
    </row>
    <row r="2431">
      <c r="A2431" s="5" t="n">
        <v>2111000000</v>
      </c>
      <c r="B2431" s="5" t="inlineStr">
        <is>
          <t>100883</t>
        </is>
      </c>
      <c r="C2431" s="5" t="inlineStr">
        <is>
          <t>QUELMAR TRANSPORTES LTDA</t>
        </is>
      </c>
      <c r="D2431" s="5" t="inlineStr">
        <is>
          <t>RE</t>
        </is>
      </c>
      <c r="E2431" s="5" t="n">
        <v>5015097</v>
      </c>
      <c r="F2431" s="5" t="inlineStr">
        <is>
          <t>6331-2</t>
        </is>
      </c>
      <c r="G2431" s="5" t="inlineStr">
        <is>
          <t>BRL</t>
        </is>
      </c>
      <c r="H2431" s="9" t="n">
        <v>-6142.4</v>
      </c>
      <c r="I2431" s="16" t="n">
        <v>46234</v>
      </c>
      <c r="J2431" s="16" t="n">
        <v>46270</v>
      </c>
      <c r="K2431" s="5" t="inlineStr">
        <is>
          <t>Fatura - bruto QUELMAR TRANSPORTES LTDA 6331-2</t>
        </is>
      </c>
      <c r="L2431" s="5" t="inlineStr">
        <is>
          <t>08092026</t>
        </is>
      </c>
      <c r="M2431" s="5">
        <f>IF(YEAR(I2431)&lt;=2020,"Até 2020",TEXT(YEAR(I2431),"0"))</f>
        <v/>
      </c>
      <c r="N2431" s="5">
        <f>IFERROR(INDEX(DePara!$A:$A,MATCH(TEXT(B2431,"0"),DePara!$D:$D,0)),"(sem categoria)")</f>
        <v/>
      </c>
      <c r="O2431" s="5">
        <f>IF(J2431="","",Parametros!$B$6-J2431)</f>
        <v/>
      </c>
      <c r="P2431" s="5">
        <f>IF(O2431="","",IF(O2431&gt;0,1,0))</f>
        <v/>
      </c>
    </row>
    <row r="2432">
      <c r="A2432" s="5" t="n">
        <v>2111000000</v>
      </c>
      <c r="B2432" s="5" t="inlineStr">
        <is>
          <t>100883</t>
        </is>
      </c>
      <c r="C2432" s="5" t="inlineStr">
        <is>
          <t>QUELMAR TRANSPORTES LTDA</t>
        </is>
      </c>
      <c r="D2432" s="5" t="inlineStr">
        <is>
          <t>RE</t>
        </is>
      </c>
      <c r="E2432" s="5" t="n">
        <v>5015098</v>
      </c>
      <c r="F2432" s="5" t="inlineStr">
        <is>
          <t>6333-2</t>
        </is>
      </c>
      <c r="G2432" s="5" t="inlineStr">
        <is>
          <t>BRL</t>
        </is>
      </c>
      <c r="H2432" s="9" t="n">
        <v>-12590</v>
      </c>
      <c r="I2432" s="16" t="n">
        <v>46234</v>
      </c>
      <c r="J2432" s="16" t="n">
        <v>46270</v>
      </c>
      <c r="K2432" s="5" t="inlineStr">
        <is>
          <t>Fatura - bruto QUELMAR TRANSPORTES LTDA 6333-2</t>
        </is>
      </c>
      <c r="L2432" s="5" t="inlineStr">
        <is>
          <t>08092026</t>
        </is>
      </c>
      <c r="M2432" s="5">
        <f>IF(YEAR(I2432)&lt;=2020,"Até 2020",TEXT(YEAR(I2432),"0"))</f>
        <v/>
      </c>
      <c r="N2432" s="5">
        <f>IFERROR(INDEX(DePara!$A:$A,MATCH(TEXT(B2432,"0"),DePara!$D:$D,0)),"(sem categoria)")</f>
        <v/>
      </c>
      <c r="O2432" s="5">
        <f>IF(J2432="","",Parametros!$B$6-J2432)</f>
        <v/>
      </c>
      <c r="P2432" s="5">
        <f>IF(O2432="","",IF(O2432&gt;0,1,0))</f>
        <v/>
      </c>
    </row>
    <row r="2433">
      <c r="A2433" s="5" t="n">
        <v>2111000000</v>
      </c>
      <c r="B2433" s="5" t="inlineStr">
        <is>
          <t>101777</t>
        </is>
      </c>
      <c r="C2433" s="5" t="inlineStr">
        <is>
          <t>INGRAM MICRO BRASIL LTDA</t>
        </is>
      </c>
      <c r="D2433" s="5" t="inlineStr">
        <is>
          <t>RE</t>
        </is>
      </c>
      <c r="E2433" s="5" t="n">
        <v>5015099</v>
      </c>
      <c r="F2433" s="5" t="inlineStr">
        <is>
          <t>508611-16</t>
        </is>
      </c>
      <c r="G2433" s="5" t="inlineStr">
        <is>
          <t>BRL</t>
        </is>
      </c>
      <c r="H2433" s="9" t="n">
        <v>-10120</v>
      </c>
      <c r="I2433" s="16" t="n">
        <v>46244</v>
      </c>
      <c r="J2433" s="16" t="n">
        <v>46273</v>
      </c>
      <c r="K2433" s="5" t="inlineStr">
        <is>
          <t>Fatura - bruto INGRAM MICRO BRASIL LTDA 508611-16</t>
        </is>
      </c>
      <c r="L2433" s="5" t="inlineStr">
        <is>
          <t>09092026</t>
        </is>
      </c>
      <c r="M2433" s="5">
        <f>IF(YEAR(I2433)&lt;=2020,"Até 2020",TEXT(YEAR(I2433),"0"))</f>
        <v/>
      </c>
      <c r="N2433" s="5">
        <f>IFERROR(INDEX(DePara!$A:$A,MATCH(TEXT(B2433,"0"),DePara!$D:$D,0)),"(sem categoria)")</f>
        <v/>
      </c>
      <c r="O2433" s="5">
        <f>IF(J2433="","",Parametros!$B$6-J2433)</f>
        <v/>
      </c>
      <c r="P2433" s="5">
        <f>IF(O2433="","",IF(O2433&gt;0,1,0))</f>
        <v/>
      </c>
    </row>
    <row r="2434">
      <c r="A2434" s="5" t="n">
        <v>2111000000</v>
      </c>
      <c r="B2434" s="5" t="inlineStr">
        <is>
          <t>100961</t>
        </is>
      </c>
      <c r="C2434" s="5" t="inlineStr">
        <is>
          <t>VPS BRASIL SUPRIMENTOS INDUSTRIAIS</t>
        </is>
      </c>
      <c r="D2434" s="5" t="inlineStr">
        <is>
          <t>RE</t>
        </is>
      </c>
      <c r="E2434" s="5" t="n">
        <v>5015104</v>
      </c>
      <c r="F2434" s="5" t="inlineStr">
        <is>
          <t>000053330-1</t>
        </is>
      </c>
      <c r="G2434" s="5" t="inlineStr">
        <is>
          <t>BRL</t>
        </is>
      </c>
      <c r="H2434" s="9" t="n">
        <v>21359.4</v>
      </c>
      <c r="I2434" s="16" t="n">
        <v>46247</v>
      </c>
      <c r="J2434" s="16" t="n">
        <v>46247</v>
      </c>
      <c r="K2434" s="5" t="inlineStr">
        <is>
          <t>NF 2894 - DEVOLUÇÃO DA NF 53330.pdf</t>
        </is>
      </c>
      <c r="L2434" s="5" t="inlineStr">
        <is>
          <t>aguardando devoluç</t>
        </is>
      </c>
      <c r="M2434" s="5">
        <f>IF(YEAR(I2434)&lt;=2020,"Até 2020",TEXT(YEAR(I2434),"0"))</f>
        <v/>
      </c>
      <c r="N2434" s="5">
        <f>IFERROR(INDEX(DePara!$A:$A,MATCH(TEXT(B2434,"0"),DePara!$D:$D,0)),"(sem categoria)")</f>
        <v/>
      </c>
      <c r="O2434" s="5">
        <f>IF(J2434="","",Parametros!$B$6-J2434)</f>
        <v/>
      </c>
      <c r="P2434" s="5">
        <f>IF(O2434="","",IF(O2434&gt;0,1,0))</f>
        <v/>
      </c>
    </row>
    <row r="2435">
      <c r="A2435" s="5" t="n">
        <v>2111000000</v>
      </c>
      <c r="B2435" s="5" t="inlineStr">
        <is>
          <t>104059</t>
        </is>
      </c>
      <c r="C2435" s="5" t="inlineStr">
        <is>
          <t>MG SERVICOS E SAUDE LTDA 48515732000140</t>
        </is>
      </c>
      <c r="D2435" s="5" t="inlineStr">
        <is>
          <t>RE</t>
        </is>
      </c>
      <c r="E2435" s="5" t="n">
        <v>5015106</v>
      </c>
      <c r="F2435" s="5" t="inlineStr">
        <is>
          <t>3</t>
        </is>
      </c>
      <c r="G2435" s="5" t="inlineStr">
        <is>
          <t>BRL</t>
        </is>
      </c>
      <c r="H2435" s="9" t="n">
        <v>-50937.6</v>
      </c>
      <c r="I2435" s="16" t="n">
        <v>46238</v>
      </c>
      <c r="J2435" s="16" t="n">
        <v>46331</v>
      </c>
      <c r="K2435" s="5" t="inlineStr">
        <is>
          <t>Fatura - bruto MG SERVICOS E SAUDE LTDA 4851573200</t>
        </is>
      </c>
      <c r="L2435" s="5" t="inlineStr">
        <is>
          <t>05112026</t>
        </is>
      </c>
      <c r="M2435" s="5">
        <f>IF(YEAR(I2435)&lt;=2020,"Até 2020",TEXT(YEAR(I2435),"0"))</f>
        <v/>
      </c>
      <c r="N2435" s="5">
        <f>IFERROR(INDEX(DePara!$A:$A,MATCH(TEXT(B2435,"0"),DePara!$D:$D,0)),"(sem categoria)")</f>
        <v/>
      </c>
      <c r="O2435" s="5">
        <f>IF(J2435="","",Parametros!$B$6-J2435)</f>
        <v/>
      </c>
      <c r="P2435" s="5">
        <f>IF(O2435="","",IF(O2435&gt;0,1,0))</f>
        <v/>
      </c>
    </row>
    <row r="2436">
      <c r="A2436" s="5" t="n">
        <v>2111000000</v>
      </c>
      <c r="B2436" s="5" t="inlineStr">
        <is>
          <t>101982</t>
        </is>
      </c>
      <c r="C2436" s="5" t="inlineStr">
        <is>
          <t>NEW ENERGY TECH LTDA</t>
        </is>
      </c>
      <c r="D2436" s="5" t="inlineStr">
        <is>
          <t>RE</t>
        </is>
      </c>
      <c r="E2436" s="5" t="n">
        <v>5015108</v>
      </c>
      <c r="F2436" s="5" t="inlineStr">
        <is>
          <t>85</t>
        </is>
      </c>
      <c r="G2436" s="5" t="inlineStr">
        <is>
          <t>BRL</t>
        </is>
      </c>
      <c r="H2436" s="9" t="n">
        <v>-16000</v>
      </c>
      <c r="I2436" s="16" t="n">
        <v>46238</v>
      </c>
      <c r="J2436" s="16" t="n">
        <v>46270</v>
      </c>
      <c r="K2436" s="5" t="inlineStr">
        <is>
          <t>Fatura - bruto NEW ENERGY TECH LTDA 85</t>
        </is>
      </c>
      <c r="L2436" s="5" t="inlineStr">
        <is>
          <t>08092026</t>
        </is>
      </c>
      <c r="M2436" s="5">
        <f>IF(YEAR(I2436)&lt;=2020,"Até 2020",TEXT(YEAR(I2436),"0"))</f>
        <v/>
      </c>
      <c r="N2436" s="5">
        <f>IFERROR(INDEX(DePara!$A:$A,MATCH(TEXT(B2436,"0"),DePara!$D:$D,0)),"(sem categoria)")</f>
        <v/>
      </c>
      <c r="O2436" s="5">
        <f>IF(J2436="","",Parametros!$B$6-J2436)</f>
        <v/>
      </c>
      <c r="P2436" s="5">
        <f>IF(O2436="","",IF(O2436&gt;0,1,0))</f>
        <v/>
      </c>
    </row>
    <row r="2437">
      <c r="A2437" s="5" t="n">
        <v>2111000000</v>
      </c>
      <c r="B2437" s="5" t="inlineStr">
        <is>
          <t>101982</t>
        </is>
      </c>
      <c r="C2437" s="5" t="inlineStr">
        <is>
          <t>NEW ENERGY TECH LTDA</t>
        </is>
      </c>
      <c r="D2437" s="5" t="inlineStr">
        <is>
          <t>RE</t>
        </is>
      </c>
      <c r="E2437" s="5" t="n">
        <v>5015109</v>
      </c>
      <c r="F2437" s="5" t="inlineStr">
        <is>
          <t>89</t>
        </is>
      </c>
      <c r="G2437" s="5" t="inlineStr">
        <is>
          <t>BRL</t>
        </is>
      </c>
      <c r="H2437" s="9" t="n">
        <v>-13000</v>
      </c>
      <c r="I2437" s="16" t="n">
        <v>46241</v>
      </c>
      <c r="J2437" s="16" t="n">
        <v>46270</v>
      </c>
      <c r="K2437" s="5" t="inlineStr">
        <is>
          <t>Fatura - bruto NEW ENERGY TECH LTDA 89</t>
        </is>
      </c>
      <c r="L2437" s="5" t="inlineStr">
        <is>
          <t>08092026</t>
        </is>
      </c>
      <c r="M2437" s="5">
        <f>IF(YEAR(I2437)&lt;=2020,"Até 2020",TEXT(YEAR(I2437),"0"))</f>
        <v/>
      </c>
      <c r="N2437" s="5">
        <f>IFERROR(INDEX(DePara!$A:$A,MATCH(TEXT(B2437,"0"),DePara!$D:$D,0)),"(sem categoria)")</f>
        <v/>
      </c>
      <c r="O2437" s="5">
        <f>IF(J2437="","",Parametros!$B$6-J2437)</f>
        <v/>
      </c>
      <c r="P2437" s="5">
        <f>IF(O2437="","",IF(O2437&gt;0,1,0))</f>
        <v/>
      </c>
    </row>
    <row r="2438">
      <c r="A2438" s="5" t="n">
        <v>2111000000</v>
      </c>
      <c r="B2438" s="5" t="inlineStr">
        <is>
          <t>107720</t>
        </is>
      </c>
      <c r="C2438" s="5" t="inlineStr">
        <is>
          <t>DAYCOVAL LEASING SOCIEDADE DE ARRENDAMENTO MERCANTIL S.A</t>
        </is>
      </c>
      <c r="D2438" s="5" t="inlineStr">
        <is>
          <t>RE</t>
        </is>
      </c>
      <c r="E2438" s="5" t="n">
        <v>5015110</v>
      </c>
      <c r="F2438" s="5" t="inlineStr">
        <is>
          <t>002038</t>
        </is>
      </c>
      <c r="G2438" s="5" t="inlineStr">
        <is>
          <t>BRL</t>
        </is>
      </c>
      <c r="H2438" s="9" t="n">
        <v>-11872.56</v>
      </c>
      <c r="I2438" s="16" t="n">
        <v>46245</v>
      </c>
      <c r="J2438" s="16" t="n">
        <v>46269</v>
      </c>
      <c r="K2438" s="5" t="inlineStr">
        <is>
          <t>*23792374039622300000971000507708115590001187256</t>
        </is>
      </c>
      <c r="L2438" s="5" t="inlineStr">
        <is>
          <t>02092026</t>
        </is>
      </c>
      <c r="M2438" s="5">
        <f>IF(YEAR(I2438)&lt;=2020,"Até 2020",TEXT(YEAR(I2438),"0"))</f>
        <v/>
      </c>
      <c r="N2438" s="5">
        <f>IFERROR(INDEX(DePara!$A:$A,MATCH(TEXT(B2438,"0"),DePara!$D:$D,0)),"(sem categoria)")</f>
        <v/>
      </c>
      <c r="O2438" s="5">
        <f>IF(J2438="","",Parametros!$B$6-J2438)</f>
        <v/>
      </c>
      <c r="P2438" s="5">
        <f>IF(O2438="","",IF(O2438&gt;0,1,0))</f>
        <v/>
      </c>
    </row>
    <row r="2439">
      <c r="A2439" s="5" t="n">
        <v>2111000000</v>
      </c>
      <c r="B2439" s="5" t="inlineStr">
        <is>
          <t>107720</t>
        </is>
      </c>
      <c r="C2439" s="5" t="inlineStr">
        <is>
          <t>DAYCOVAL LEASING SOCIEDADE DE ARRENDAMENTO MERCANTIL S.A</t>
        </is>
      </c>
      <c r="D2439" s="5" t="inlineStr">
        <is>
          <t>RE</t>
        </is>
      </c>
      <c r="E2439" s="5" t="n">
        <v>5015111</v>
      </c>
      <c r="F2439" s="5" t="inlineStr">
        <is>
          <t>910048</t>
        </is>
      </c>
      <c r="G2439" s="5" t="inlineStr">
        <is>
          <t>BRL</t>
        </is>
      </c>
      <c r="H2439" s="9" t="n">
        <v>-16820.31</v>
      </c>
      <c r="I2439" s="16" t="n">
        <v>46245</v>
      </c>
      <c r="J2439" s="16" t="n">
        <v>46271</v>
      </c>
      <c r="K2439" s="5" t="inlineStr">
        <is>
          <t>Fatura - bruto DAYCOVAL LEASING SOCIEDADE DE ARREN</t>
        </is>
      </c>
      <c r="L2439" s="5" t="inlineStr">
        <is>
          <t>09092026</t>
        </is>
      </c>
      <c r="M2439" s="5">
        <f>IF(YEAR(I2439)&lt;=2020,"Até 2020",TEXT(YEAR(I2439),"0"))</f>
        <v/>
      </c>
      <c r="N2439" s="5">
        <f>IFERROR(INDEX(DePara!$A:$A,MATCH(TEXT(B2439,"0"),DePara!$D:$D,0)),"(sem categoria)")</f>
        <v/>
      </c>
      <c r="O2439" s="5">
        <f>IF(J2439="","",Parametros!$B$6-J2439)</f>
        <v/>
      </c>
      <c r="P2439" s="5">
        <f>IF(O2439="","",IF(O2439&gt;0,1,0))</f>
        <v/>
      </c>
    </row>
    <row r="2440">
      <c r="A2440" s="5" t="n">
        <v>2111000000</v>
      </c>
      <c r="B2440" s="5" t="inlineStr">
        <is>
          <t>102052</t>
        </is>
      </c>
      <c r="C2440" s="5" t="inlineStr">
        <is>
          <t>TOME EQUIPAMENTOS E TRANSPORTES LTD 44384832000124</t>
        </is>
      </c>
      <c r="D2440" s="5" t="inlineStr">
        <is>
          <t>RE</t>
        </is>
      </c>
      <c r="E2440" s="5" t="n">
        <v>5015116</v>
      </c>
      <c r="F2440" s="5" t="inlineStr">
        <is>
          <t>10277</t>
        </is>
      </c>
      <c r="G2440" s="5" t="inlineStr">
        <is>
          <t>BRL</t>
        </is>
      </c>
      <c r="H2440" s="9" t="n">
        <v>-289466.89</v>
      </c>
      <c r="I2440" s="16" t="n">
        <v>46245</v>
      </c>
      <c r="J2440" s="16" t="n">
        <v>46331</v>
      </c>
      <c r="K2440" s="5" t="inlineStr">
        <is>
          <t>Fatura - bruto TOME EQUIPAMENTOS E TRANSPORTES LTD</t>
        </is>
      </c>
      <c r="L2440" s="5" t="inlineStr">
        <is>
          <t>05112026</t>
        </is>
      </c>
      <c r="M2440" s="5">
        <f>IF(YEAR(I2440)&lt;=2020,"Até 2020",TEXT(YEAR(I2440),"0"))</f>
        <v/>
      </c>
      <c r="N2440" s="5">
        <f>IFERROR(INDEX(DePara!$A:$A,MATCH(TEXT(B2440,"0"),DePara!$D:$D,0)),"(sem categoria)")</f>
        <v/>
      </c>
      <c r="O2440" s="5">
        <f>IF(J2440="","",Parametros!$B$6-J2440)</f>
        <v/>
      </c>
      <c r="P2440" s="5">
        <f>IF(O2440="","",IF(O2440&gt;0,1,0))</f>
        <v/>
      </c>
    </row>
    <row r="2441">
      <c r="A2441" s="5" t="n">
        <v>2111000000</v>
      </c>
      <c r="B2441" s="5" t="inlineStr">
        <is>
          <t>100498</t>
        </is>
      </c>
      <c r="C2441" s="5" t="inlineStr">
        <is>
          <t>JESSYCA MARIA LIMA DE MOURA</t>
        </is>
      </c>
      <c r="D2441" s="5" t="inlineStr">
        <is>
          <t>RE</t>
        </is>
      </c>
      <c r="E2441" s="5" t="n">
        <v>5015117</v>
      </c>
      <c r="F2441" s="5" t="inlineStr">
        <is>
          <t>4027</t>
        </is>
      </c>
      <c r="G2441" s="5" t="inlineStr">
        <is>
          <t>BRL</t>
        </is>
      </c>
      <c r="H2441" s="9" t="n">
        <v>-20169.68</v>
      </c>
      <c r="I2441" s="16" t="n">
        <v>46231</v>
      </c>
      <c r="J2441" s="16" t="n">
        <v>46270</v>
      </c>
      <c r="K2441" s="5" t="inlineStr">
        <is>
          <t>Fatura - bruto JESSYCA MARIA LIMA DE MOURA 4027</t>
        </is>
      </c>
      <c r="L2441" s="5" t="inlineStr">
        <is>
          <t>08092026</t>
        </is>
      </c>
      <c r="M2441" s="5">
        <f>IF(YEAR(I2441)&lt;=2020,"Até 2020",TEXT(YEAR(I2441),"0"))</f>
        <v/>
      </c>
      <c r="N2441" s="5">
        <f>IFERROR(INDEX(DePara!$A:$A,MATCH(TEXT(B2441,"0"),DePara!$D:$D,0)),"(sem categoria)")</f>
        <v/>
      </c>
      <c r="O2441" s="5">
        <f>IF(J2441="","",Parametros!$B$6-J2441)</f>
        <v/>
      </c>
      <c r="P2441" s="5">
        <f>IF(O2441="","",IF(O2441&gt;0,1,0))</f>
        <v/>
      </c>
    </row>
    <row r="2442">
      <c r="A2442" s="5" t="n">
        <v>2111000000</v>
      </c>
      <c r="B2442" s="5" t="inlineStr">
        <is>
          <t>100906</t>
        </is>
      </c>
      <c r="C2442" s="5" t="inlineStr">
        <is>
          <t>R &amp; G TELECOM LTDA</t>
        </is>
      </c>
      <c r="D2442" s="5" t="inlineStr">
        <is>
          <t>RE</t>
        </is>
      </c>
      <c r="E2442" s="5" t="n">
        <v>5015120</v>
      </c>
      <c r="F2442" s="5" t="inlineStr">
        <is>
          <t>5356</t>
        </is>
      </c>
      <c r="G2442" s="5" t="inlineStr">
        <is>
          <t>BRL</t>
        </is>
      </c>
      <c r="H2442" s="9" t="n">
        <v>-1225</v>
      </c>
      <c r="I2442" s="16" t="n">
        <v>46245</v>
      </c>
      <c r="J2442" s="16" t="n">
        <v>46280</v>
      </c>
      <c r="K2442" s="5" t="inlineStr">
        <is>
          <t>Fatura - bruto R &amp; G TELECOM LTDA 5356</t>
        </is>
      </c>
      <c r="L2442" s="5" t="inlineStr">
        <is>
          <t>09092026</t>
        </is>
      </c>
      <c r="M2442" s="5">
        <f>IF(YEAR(I2442)&lt;=2020,"Até 2020",TEXT(YEAR(I2442),"0"))</f>
        <v/>
      </c>
      <c r="N2442" s="5">
        <f>IFERROR(INDEX(DePara!$A:$A,MATCH(TEXT(B2442,"0"),DePara!$D:$D,0)),"(sem categoria)")</f>
        <v/>
      </c>
      <c r="O2442" s="5">
        <f>IF(J2442="","",Parametros!$B$6-J2442)</f>
        <v/>
      </c>
      <c r="P2442" s="5">
        <f>IF(O2442="","",IF(O2442&gt;0,1,0))</f>
        <v/>
      </c>
    </row>
    <row r="2443">
      <c r="A2443" s="5" t="n">
        <v>2111000000</v>
      </c>
      <c r="B2443" s="5" t="inlineStr">
        <is>
          <t>105984</t>
        </is>
      </c>
      <c r="C2443" s="5" t="inlineStr">
        <is>
          <t>TRADEWORKS SERVICOS DE COMERCIO EXT 04955748000107</t>
        </is>
      </c>
      <c r="D2443" s="5" t="inlineStr">
        <is>
          <t>RE</t>
        </is>
      </c>
      <c r="E2443" s="5" t="n">
        <v>5015121</v>
      </c>
      <c r="F2443" s="5" t="inlineStr">
        <is>
          <t>93613</t>
        </is>
      </c>
      <c r="G2443" s="5" t="inlineStr">
        <is>
          <t>BRL</t>
        </is>
      </c>
      <c r="H2443" s="9" t="n">
        <v>-1337.76</v>
      </c>
      <c r="I2443" s="16" t="n">
        <v>46245</v>
      </c>
      <c r="J2443" s="16" t="n">
        <v>46275</v>
      </c>
      <c r="K2443" s="5" t="inlineStr">
        <is>
          <t>Fatura - bruto TRADEWORKS SERVICOS DE COMERCIO EXT</t>
        </is>
      </c>
      <c r="L2443" s="5" t="inlineStr">
        <is>
          <t>08092026</t>
        </is>
      </c>
      <c r="M2443" s="5">
        <f>IF(YEAR(I2443)&lt;=2020,"Até 2020",TEXT(YEAR(I2443),"0"))</f>
        <v/>
      </c>
      <c r="N2443" s="5">
        <f>IFERROR(INDEX(DePara!$A:$A,MATCH(TEXT(B2443,"0"),DePara!$D:$D,0)),"(sem categoria)")</f>
        <v/>
      </c>
      <c r="O2443" s="5">
        <f>IF(J2443="","",Parametros!$B$6-J2443)</f>
        <v/>
      </c>
      <c r="P2443" s="5">
        <f>IF(O2443="","",IF(O2443&gt;0,1,0))</f>
        <v/>
      </c>
    </row>
    <row r="2444">
      <c r="A2444" s="5" t="n">
        <v>2111000000</v>
      </c>
      <c r="B2444" s="5" t="inlineStr">
        <is>
          <t>105984</t>
        </is>
      </c>
      <c r="C2444" s="5" t="inlineStr">
        <is>
          <t>TRADEWORKS SERVICOS DE COMERCIO EXT 04955748000107</t>
        </is>
      </c>
      <c r="D2444" s="5" t="inlineStr">
        <is>
          <t>RE</t>
        </is>
      </c>
      <c r="E2444" s="5" t="n">
        <v>5015122</v>
      </c>
      <c r="F2444" s="5" t="inlineStr">
        <is>
          <t>93500</t>
        </is>
      </c>
      <c r="G2444" s="5" t="inlineStr">
        <is>
          <t>BRL</t>
        </is>
      </c>
      <c r="H2444" s="9" t="n">
        <v>-1337.76</v>
      </c>
      <c r="I2444" s="16" t="n">
        <v>46239</v>
      </c>
      <c r="J2444" s="16" t="n">
        <v>46269</v>
      </c>
      <c r="K2444" s="5" t="inlineStr">
        <is>
          <t>Fatura - bruto TRADEWORKS SERVICOS DE COMERCIO EXT</t>
        </is>
      </c>
      <c r="L2444" s="5" t="inlineStr">
        <is>
          <t>02092026</t>
        </is>
      </c>
      <c r="M2444" s="5">
        <f>IF(YEAR(I2444)&lt;=2020,"Até 2020",TEXT(YEAR(I2444),"0"))</f>
        <v/>
      </c>
      <c r="N2444" s="5">
        <f>IFERROR(INDEX(DePara!$A:$A,MATCH(TEXT(B2444,"0"),DePara!$D:$D,0)),"(sem categoria)")</f>
        <v/>
      </c>
      <c r="O2444" s="5">
        <f>IF(J2444="","",Parametros!$B$6-J2444)</f>
        <v/>
      </c>
      <c r="P2444" s="5">
        <f>IF(O2444="","",IF(O2444&gt;0,1,0))</f>
        <v/>
      </c>
    </row>
    <row r="2445">
      <c r="A2445" s="5" t="n">
        <v>2111000000</v>
      </c>
      <c r="B2445" s="5" t="inlineStr">
        <is>
          <t>105984</t>
        </is>
      </c>
      <c r="C2445" s="5" t="inlineStr">
        <is>
          <t>TRADEWORKS SERVICOS DE COMERCIO EXT 04955748000107</t>
        </is>
      </c>
      <c r="D2445" s="5" t="inlineStr">
        <is>
          <t>RE</t>
        </is>
      </c>
      <c r="E2445" s="5" t="n">
        <v>5015123</v>
      </c>
      <c r="F2445" s="5" t="inlineStr">
        <is>
          <t>93568</t>
        </is>
      </c>
      <c r="G2445" s="5" t="inlineStr">
        <is>
          <t>BRL</t>
        </is>
      </c>
      <c r="H2445" s="9" t="n">
        <v>-1337.76</v>
      </c>
      <c r="I2445" s="16" t="n">
        <v>46241</v>
      </c>
      <c r="J2445" s="16" t="n">
        <v>46271</v>
      </c>
      <c r="K2445" s="5" t="inlineStr">
        <is>
          <t>Fatura - bruto TRADEWORKS SERVICOS DE COMERCIO EXT</t>
        </is>
      </c>
      <c r="L2445" s="5" t="inlineStr">
        <is>
          <t>08092026</t>
        </is>
      </c>
      <c r="M2445" s="5">
        <f>IF(YEAR(I2445)&lt;=2020,"Até 2020",TEXT(YEAR(I2445),"0"))</f>
        <v/>
      </c>
      <c r="N2445" s="5">
        <f>IFERROR(INDEX(DePara!$A:$A,MATCH(TEXT(B2445,"0"),DePara!$D:$D,0)),"(sem categoria)")</f>
        <v/>
      </c>
      <c r="O2445" s="5">
        <f>IF(J2445="","",Parametros!$B$6-J2445)</f>
        <v/>
      </c>
      <c r="P2445" s="5">
        <f>IF(O2445="","",IF(O2445&gt;0,1,0))</f>
        <v/>
      </c>
    </row>
    <row r="2446">
      <c r="A2446" s="5" t="n">
        <v>2111000000</v>
      </c>
      <c r="B2446" s="5" t="inlineStr">
        <is>
          <t>105984</t>
        </is>
      </c>
      <c r="C2446" s="5" t="inlineStr">
        <is>
          <t>TRADEWORKS SERVICOS DE COMERCIO EXT 04955748000107</t>
        </is>
      </c>
      <c r="D2446" s="5" t="inlineStr">
        <is>
          <t>RE</t>
        </is>
      </c>
      <c r="E2446" s="5" t="n">
        <v>5015124</v>
      </c>
      <c r="F2446" s="5" t="inlineStr">
        <is>
          <t>93512</t>
        </is>
      </c>
      <c r="G2446" s="5" t="inlineStr">
        <is>
          <t>BRL</t>
        </is>
      </c>
      <c r="H2446" s="9" t="n">
        <v>-1337.76</v>
      </c>
      <c r="I2446" s="16" t="n">
        <v>46239</v>
      </c>
      <c r="J2446" s="16" t="n">
        <v>46269</v>
      </c>
      <c r="K2446" s="5" t="inlineStr">
        <is>
          <t>Fatura - bruto TRADEWORKS SERVICOS DE COMERCIO EXT</t>
        </is>
      </c>
      <c r="L2446" s="5" t="inlineStr">
        <is>
          <t>02092026</t>
        </is>
      </c>
      <c r="M2446" s="5">
        <f>IF(YEAR(I2446)&lt;=2020,"Até 2020",TEXT(YEAR(I2446),"0"))</f>
        <v/>
      </c>
      <c r="N2446" s="5">
        <f>IFERROR(INDEX(DePara!$A:$A,MATCH(TEXT(B2446,"0"),DePara!$D:$D,0)),"(sem categoria)")</f>
        <v/>
      </c>
      <c r="O2446" s="5">
        <f>IF(J2446="","",Parametros!$B$6-J2446)</f>
        <v/>
      </c>
      <c r="P2446" s="5">
        <f>IF(O2446="","",IF(O2446&gt;0,1,0))</f>
        <v/>
      </c>
    </row>
    <row r="2447">
      <c r="A2447" s="5" t="n">
        <v>2111000000</v>
      </c>
      <c r="B2447" s="5" t="inlineStr">
        <is>
          <t>105984</t>
        </is>
      </c>
      <c r="C2447" s="5" t="inlineStr">
        <is>
          <t>TRADEWORKS SERVICOS DE COMERCIO EXT 04955748000107</t>
        </is>
      </c>
      <c r="D2447" s="5" t="inlineStr">
        <is>
          <t>RE</t>
        </is>
      </c>
      <c r="E2447" s="5" t="n">
        <v>5015125</v>
      </c>
      <c r="F2447" s="5" t="inlineStr">
        <is>
          <t>93570</t>
        </is>
      </c>
      <c r="G2447" s="5" t="inlineStr">
        <is>
          <t>BRL</t>
        </is>
      </c>
      <c r="H2447" s="9" t="n">
        <v>-1337.76</v>
      </c>
      <c r="I2447" s="16" t="n">
        <v>46241</v>
      </c>
      <c r="J2447" s="16" t="n">
        <v>46271</v>
      </c>
      <c r="K2447" s="5" t="inlineStr">
        <is>
          <t>Fatura - bruto TRADEWORKS SERVICOS DE COMERCIO EXT</t>
        </is>
      </c>
      <c r="L2447" s="5" t="inlineStr">
        <is>
          <t>08092026</t>
        </is>
      </c>
      <c r="M2447" s="5">
        <f>IF(YEAR(I2447)&lt;=2020,"Até 2020",TEXT(YEAR(I2447),"0"))</f>
        <v/>
      </c>
      <c r="N2447" s="5">
        <f>IFERROR(INDEX(DePara!$A:$A,MATCH(TEXT(B2447,"0"),DePara!$D:$D,0)),"(sem categoria)")</f>
        <v/>
      </c>
      <c r="O2447" s="5">
        <f>IF(J2447="","",Parametros!$B$6-J2447)</f>
        <v/>
      </c>
      <c r="P2447" s="5">
        <f>IF(O2447="","",IF(O2447&gt;0,1,0))</f>
        <v/>
      </c>
    </row>
    <row r="2448">
      <c r="A2448" s="5" t="n">
        <v>2111000000</v>
      </c>
      <c r="B2448" s="5" t="inlineStr">
        <is>
          <t>105984</t>
        </is>
      </c>
      <c r="C2448" s="5" t="inlineStr">
        <is>
          <t>TRADEWORKS SERVICOS DE COMERCIO EXT 04955748000107</t>
        </is>
      </c>
      <c r="D2448" s="5" t="inlineStr">
        <is>
          <t>RE</t>
        </is>
      </c>
      <c r="E2448" s="5" t="n">
        <v>5015126</v>
      </c>
      <c r="F2448" s="5" t="inlineStr">
        <is>
          <t>93604</t>
        </is>
      </c>
      <c r="G2448" s="5" t="inlineStr">
        <is>
          <t>BRL</t>
        </is>
      </c>
      <c r="H2448" s="9" t="n">
        <v>-1337.76</v>
      </c>
      <c r="I2448" s="16" t="n">
        <v>46245</v>
      </c>
      <c r="J2448" s="16" t="n">
        <v>46275</v>
      </c>
      <c r="K2448" s="5" t="inlineStr">
        <is>
          <t>Fatura - bruto TRADEWORKS SERVICOS DE COMERCIO EXT</t>
        </is>
      </c>
      <c r="L2448" s="5" t="inlineStr">
        <is>
          <t>08092026</t>
        </is>
      </c>
      <c r="M2448" s="5">
        <f>IF(YEAR(I2448)&lt;=2020,"Até 2020",TEXT(YEAR(I2448),"0"))</f>
        <v/>
      </c>
      <c r="N2448" s="5">
        <f>IFERROR(INDEX(DePara!$A:$A,MATCH(TEXT(B2448,"0"),DePara!$D:$D,0)),"(sem categoria)")</f>
        <v/>
      </c>
      <c r="O2448" s="5">
        <f>IF(J2448="","",Parametros!$B$6-J2448)</f>
        <v/>
      </c>
      <c r="P2448" s="5">
        <f>IF(O2448="","",IF(O2448&gt;0,1,0))</f>
        <v/>
      </c>
    </row>
    <row r="2449">
      <c r="A2449" s="5" t="n">
        <v>2111000000</v>
      </c>
      <c r="B2449" s="5" t="inlineStr">
        <is>
          <t>105984</t>
        </is>
      </c>
      <c r="C2449" s="5" t="inlineStr">
        <is>
          <t>TRADEWORKS SERVICOS DE COMERCIO EXT 04955748000107</t>
        </is>
      </c>
      <c r="D2449" s="5" t="inlineStr">
        <is>
          <t>RE</t>
        </is>
      </c>
      <c r="E2449" s="5" t="n">
        <v>5015127</v>
      </c>
      <c r="F2449" s="5" t="inlineStr">
        <is>
          <t>93497</t>
        </is>
      </c>
      <c r="G2449" s="5" t="inlineStr">
        <is>
          <t>BRL</t>
        </is>
      </c>
      <c r="H2449" s="9" t="n">
        <v>-1337.76</v>
      </c>
      <c r="I2449" s="16" t="n">
        <v>46239</v>
      </c>
      <c r="J2449" s="16" t="n">
        <v>46269</v>
      </c>
      <c r="K2449" s="5" t="inlineStr">
        <is>
          <t>Fatura - bruto TRADEWORKS SERVICOS DE COMERCIO EXT</t>
        </is>
      </c>
      <c r="L2449" s="5" t="inlineStr">
        <is>
          <t>02092026</t>
        </is>
      </c>
      <c r="M2449" s="5">
        <f>IF(YEAR(I2449)&lt;=2020,"Até 2020",TEXT(YEAR(I2449),"0"))</f>
        <v/>
      </c>
      <c r="N2449" s="5">
        <f>IFERROR(INDEX(DePara!$A:$A,MATCH(TEXT(B2449,"0"),DePara!$D:$D,0)),"(sem categoria)")</f>
        <v/>
      </c>
      <c r="O2449" s="5">
        <f>IF(J2449="","",Parametros!$B$6-J2449)</f>
        <v/>
      </c>
      <c r="P2449" s="5">
        <f>IF(O2449="","",IF(O2449&gt;0,1,0))</f>
        <v/>
      </c>
    </row>
    <row r="2450">
      <c r="A2450" s="5" t="n">
        <v>2111000000</v>
      </c>
      <c r="B2450" s="5" t="inlineStr">
        <is>
          <t>105984</t>
        </is>
      </c>
      <c r="C2450" s="5" t="inlineStr">
        <is>
          <t>TRADEWORKS SERVICOS DE COMERCIO EXT 04955748000107</t>
        </is>
      </c>
      <c r="D2450" s="5" t="inlineStr">
        <is>
          <t>RE</t>
        </is>
      </c>
      <c r="E2450" s="5" t="n">
        <v>5015128</v>
      </c>
      <c r="F2450" s="5" t="inlineStr">
        <is>
          <t>93513</t>
        </is>
      </c>
      <c r="G2450" s="5" t="inlineStr">
        <is>
          <t>BRL</t>
        </is>
      </c>
      <c r="H2450" s="9" t="n">
        <v>-1337.76</v>
      </c>
      <c r="I2450" s="16" t="n">
        <v>46239</v>
      </c>
      <c r="J2450" s="16" t="n">
        <v>46269</v>
      </c>
      <c r="K2450" s="5" t="inlineStr">
        <is>
          <t>Fatura - bruto TRADEWORKS SERVICOS DE COMERCIO EXT</t>
        </is>
      </c>
      <c r="L2450" s="5" t="inlineStr">
        <is>
          <t>02092026</t>
        </is>
      </c>
      <c r="M2450" s="5">
        <f>IF(YEAR(I2450)&lt;=2020,"Até 2020",TEXT(YEAR(I2450),"0"))</f>
        <v/>
      </c>
      <c r="N2450" s="5">
        <f>IFERROR(INDEX(DePara!$A:$A,MATCH(TEXT(B2450,"0"),DePara!$D:$D,0)),"(sem categoria)")</f>
        <v/>
      </c>
      <c r="O2450" s="5">
        <f>IF(J2450="","",Parametros!$B$6-J2450)</f>
        <v/>
      </c>
      <c r="P2450" s="5">
        <f>IF(O2450="","",IF(O2450&gt;0,1,0))</f>
        <v/>
      </c>
    </row>
    <row r="2451">
      <c r="A2451" s="5" t="n">
        <v>2111000000</v>
      </c>
      <c r="B2451" s="5" t="inlineStr">
        <is>
          <t>105984</t>
        </is>
      </c>
      <c r="C2451" s="5" t="inlineStr">
        <is>
          <t>TRADEWORKS SERVICOS DE COMERCIO EXT 04955748000107</t>
        </is>
      </c>
      <c r="D2451" s="5" t="inlineStr">
        <is>
          <t>RE</t>
        </is>
      </c>
      <c r="E2451" s="5" t="n">
        <v>5015129</v>
      </c>
      <c r="F2451" s="5" t="inlineStr">
        <is>
          <t>93508</t>
        </is>
      </c>
      <c r="G2451" s="5" t="inlineStr">
        <is>
          <t>BRL</t>
        </is>
      </c>
      <c r="H2451" s="9" t="n">
        <v>-1337.76</v>
      </c>
      <c r="I2451" s="16" t="n">
        <v>46239</v>
      </c>
      <c r="J2451" s="16" t="n">
        <v>46269</v>
      </c>
      <c r="K2451" s="5" t="inlineStr">
        <is>
          <t>Fatura - bruto TRADEWORKS SERVICOS DE COMERCIO EXT</t>
        </is>
      </c>
      <c r="L2451" s="5" t="inlineStr">
        <is>
          <t>02092026</t>
        </is>
      </c>
      <c r="M2451" s="5">
        <f>IF(YEAR(I2451)&lt;=2020,"Até 2020",TEXT(YEAR(I2451),"0"))</f>
        <v/>
      </c>
      <c r="N2451" s="5">
        <f>IFERROR(INDEX(DePara!$A:$A,MATCH(TEXT(B2451,"0"),DePara!$D:$D,0)),"(sem categoria)")</f>
        <v/>
      </c>
      <c r="O2451" s="5">
        <f>IF(J2451="","",Parametros!$B$6-J2451)</f>
        <v/>
      </c>
      <c r="P2451" s="5">
        <f>IF(O2451="","",IF(O2451&gt;0,1,0))</f>
        <v/>
      </c>
    </row>
    <row r="2452">
      <c r="A2452" s="5" t="n">
        <v>2111000000</v>
      </c>
      <c r="B2452" s="5" t="inlineStr">
        <is>
          <t>105984</t>
        </is>
      </c>
      <c r="C2452" s="5" t="inlineStr">
        <is>
          <t>TRADEWORKS SERVICOS DE COMERCIO EXT 04955748000107</t>
        </is>
      </c>
      <c r="D2452" s="5" t="inlineStr">
        <is>
          <t>RE</t>
        </is>
      </c>
      <c r="E2452" s="5" t="n">
        <v>5015130</v>
      </c>
      <c r="F2452" s="5" t="inlineStr">
        <is>
          <t>93569</t>
        </is>
      </c>
      <c r="G2452" s="5" t="inlineStr">
        <is>
          <t>BRL</t>
        </is>
      </c>
      <c r="H2452" s="9" t="n">
        <v>-1337.76</v>
      </c>
      <c r="I2452" s="16" t="n">
        <v>46241</v>
      </c>
      <c r="J2452" s="16" t="n">
        <v>46271</v>
      </c>
      <c r="K2452" s="5" t="inlineStr">
        <is>
          <t>Fatura - bruto TRADEWORKS SERVICOS DE COMERCIO EXT</t>
        </is>
      </c>
      <c r="L2452" s="5" t="inlineStr">
        <is>
          <t>08092026</t>
        </is>
      </c>
      <c r="M2452" s="5">
        <f>IF(YEAR(I2452)&lt;=2020,"Até 2020",TEXT(YEAR(I2452),"0"))</f>
        <v/>
      </c>
      <c r="N2452" s="5">
        <f>IFERROR(INDEX(DePara!$A:$A,MATCH(TEXT(B2452,"0"),DePara!$D:$D,0)),"(sem categoria)")</f>
        <v/>
      </c>
      <c r="O2452" s="5">
        <f>IF(J2452="","",Parametros!$B$6-J2452)</f>
        <v/>
      </c>
      <c r="P2452" s="5">
        <f>IF(O2452="","",IF(O2452&gt;0,1,0))</f>
        <v/>
      </c>
    </row>
    <row r="2453">
      <c r="A2453" s="5" t="n">
        <v>2111000000</v>
      </c>
      <c r="B2453" s="5" t="inlineStr">
        <is>
          <t>105984</t>
        </is>
      </c>
      <c r="C2453" s="5" t="inlineStr">
        <is>
          <t>TRADEWORKS SERVICOS DE COMERCIO EXT 04955748000107</t>
        </is>
      </c>
      <c r="D2453" s="5" t="inlineStr">
        <is>
          <t>RE</t>
        </is>
      </c>
      <c r="E2453" s="5" t="n">
        <v>5015131</v>
      </c>
      <c r="F2453" s="5" t="inlineStr">
        <is>
          <t>93481</t>
        </is>
      </c>
      <c r="G2453" s="5" t="inlineStr">
        <is>
          <t>BRL</t>
        </is>
      </c>
      <c r="H2453" s="9" t="n">
        <v>-1337.76</v>
      </c>
      <c r="I2453" s="16" t="n">
        <v>46239</v>
      </c>
      <c r="J2453" s="16" t="n">
        <v>46269</v>
      </c>
      <c r="K2453" s="5" t="inlineStr">
        <is>
          <t>Fatura - bruto TRADEWORKS SERVICOS DE COMERCIO EXT</t>
        </is>
      </c>
      <c r="L2453" s="5" t="inlineStr">
        <is>
          <t>02092026</t>
        </is>
      </c>
      <c r="M2453" s="5">
        <f>IF(YEAR(I2453)&lt;=2020,"Até 2020",TEXT(YEAR(I2453),"0"))</f>
        <v/>
      </c>
      <c r="N2453" s="5">
        <f>IFERROR(INDEX(DePara!$A:$A,MATCH(TEXT(B2453,"0"),DePara!$D:$D,0)),"(sem categoria)")</f>
        <v/>
      </c>
      <c r="O2453" s="5">
        <f>IF(J2453="","",Parametros!$B$6-J2453)</f>
        <v/>
      </c>
      <c r="P2453" s="5">
        <f>IF(O2453="","",IF(O2453&gt;0,1,0))</f>
        <v/>
      </c>
    </row>
    <row r="2454">
      <c r="A2454" s="5" t="n">
        <v>2111000000</v>
      </c>
      <c r="B2454" s="5" t="inlineStr">
        <is>
          <t>105984</t>
        </is>
      </c>
      <c r="C2454" s="5" t="inlineStr">
        <is>
          <t>TRADEWORKS SERVICOS DE COMERCIO EXT 04955748000107</t>
        </is>
      </c>
      <c r="D2454" s="5" t="inlineStr">
        <is>
          <t>RE</t>
        </is>
      </c>
      <c r="E2454" s="5" t="n">
        <v>5015132</v>
      </c>
      <c r="F2454" s="5" t="inlineStr">
        <is>
          <t>93609</t>
        </is>
      </c>
      <c r="G2454" s="5" t="inlineStr">
        <is>
          <t>BRL</t>
        </is>
      </c>
      <c r="H2454" s="9" t="n">
        <v>-1337.76</v>
      </c>
      <c r="I2454" s="16" t="n">
        <v>46245</v>
      </c>
      <c r="J2454" s="16" t="n">
        <v>46275</v>
      </c>
      <c r="K2454" s="5" t="inlineStr">
        <is>
          <t>Fatura - bruto TRADEWORKS SERVICOS DE COMERCIO EXT</t>
        </is>
      </c>
      <c r="L2454" s="5" t="inlineStr">
        <is>
          <t>08092026</t>
        </is>
      </c>
      <c r="M2454" s="5">
        <f>IF(YEAR(I2454)&lt;=2020,"Até 2020",TEXT(YEAR(I2454),"0"))</f>
        <v/>
      </c>
      <c r="N2454" s="5">
        <f>IFERROR(INDEX(DePara!$A:$A,MATCH(TEXT(B2454,"0"),DePara!$D:$D,0)),"(sem categoria)")</f>
        <v/>
      </c>
      <c r="O2454" s="5">
        <f>IF(J2454="","",Parametros!$B$6-J2454)</f>
        <v/>
      </c>
      <c r="P2454" s="5">
        <f>IF(O2454="","",IF(O2454&gt;0,1,0))</f>
        <v/>
      </c>
    </row>
    <row r="2455">
      <c r="A2455" s="5" t="n">
        <v>2111000000</v>
      </c>
      <c r="B2455" s="5" t="inlineStr">
        <is>
          <t>105984</t>
        </is>
      </c>
      <c r="C2455" s="5" t="inlineStr">
        <is>
          <t>TRADEWORKS SERVICOS DE COMERCIO EXT 04955748000107</t>
        </is>
      </c>
      <c r="D2455" s="5" t="inlineStr">
        <is>
          <t>RE</t>
        </is>
      </c>
      <c r="E2455" s="5" t="n">
        <v>5015133</v>
      </c>
      <c r="F2455" s="5" t="inlineStr">
        <is>
          <t>93503</t>
        </is>
      </c>
      <c r="G2455" s="5" t="inlineStr">
        <is>
          <t>BRL</t>
        </is>
      </c>
      <c r="H2455" s="9" t="n">
        <v>-1337.76</v>
      </c>
      <c r="I2455" s="16" t="n">
        <v>46239</v>
      </c>
      <c r="J2455" s="16" t="n">
        <v>46269</v>
      </c>
      <c r="K2455" s="5" t="inlineStr">
        <is>
          <t>Fatura - bruto TRADEWORKS SERVICOS DE COMERCIO EXT</t>
        </is>
      </c>
      <c r="L2455" s="5" t="inlineStr">
        <is>
          <t>02092026</t>
        </is>
      </c>
      <c r="M2455" s="5">
        <f>IF(YEAR(I2455)&lt;=2020,"Até 2020",TEXT(YEAR(I2455),"0"))</f>
        <v/>
      </c>
      <c r="N2455" s="5">
        <f>IFERROR(INDEX(DePara!$A:$A,MATCH(TEXT(B2455,"0"),DePara!$D:$D,0)),"(sem categoria)")</f>
        <v/>
      </c>
      <c r="O2455" s="5">
        <f>IF(J2455="","",Parametros!$B$6-J2455)</f>
        <v/>
      </c>
      <c r="P2455" s="5">
        <f>IF(O2455="","",IF(O2455&gt;0,1,0))</f>
        <v/>
      </c>
    </row>
    <row r="2456">
      <c r="A2456" s="5" t="n">
        <v>2111000000</v>
      </c>
      <c r="B2456" s="5" t="inlineStr">
        <is>
          <t>105984</t>
        </is>
      </c>
      <c r="C2456" s="5" t="inlineStr">
        <is>
          <t>TRADEWORKS SERVICOS DE COMERCIO EXT 04955748000107</t>
        </is>
      </c>
      <c r="D2456" s="5" t="inlineStr">
        <is>
          <t>RE</t>
        </is>
      </c>
      <c r="E2456" s="5" t="n">
        <v>5015134</v>
      </c>
      <c r="F2456" s="5" t="inlineStr">
        <is>
          <t>93487</t>
        </is>
      </c>
      <c r="G2456" s="5" t="inlineStr">
        <is>
          <t>BRL</t>
        </is>
      </c>
      <c r="H2456" s="9" t="n">
        <v>-1337.76</v>
      </c>
      <c r="I2456" s="16" t="n">
        <v>46239</v>
      </c>
      <c r="J2456" s="16" t="n">
        <v>46269</v>
      </c>
      <c r="K2456" s="5" t="inlineStr">
        <is>
          <t>Fatura - bruto TRADEWORKS SERVICOS DE COMERCIO EXT</t>
        </is>
      </c>
      <c r="L2456" s="5" t="inlineStr">
        <is>
          <t>02092026</t>
        </is>
      </c>
      <c r="M2456" s="5">
        <f>IF(YEAR(I2456)&lt;=2020,"Até 2020",TEXT(YEAR(I2456),"0"))</f>
        <v/>
      </c>
      <c r="N2456" s="5">
        <f>IFERROR(INDEX(DePara!$A:$A,MATCH(TEXT(B2456,"0"),DePara!$D:$D,0)),"(sem categoria)")</f>
        <v/>
      </c>
      <c r="O2456" s="5">
        <f>IF(J2456="","",Parametros!$B$6-J2456)</f>
        <v/>
      </c>
      <c r="P2456" s="5">
        <f>IF(O2456="","",IF(O2456&gt;0,1,0))</f>
        <v/>
      </c>
    </row>
    <row r="2457">
      <c r="A2457" s="5" t="n">
        <v>2111000000</v>
      </c>
      <c r="B2457" s="5" t="inlineStr">
        <is>
          <t>105984</t>
        </is>
      </c>
      <c r="C2457" s="5" t="inlineStr">
        <is>
          <t>TRADEWORKS SERVICOS DE COMERCIO EXT 04955748000107</t>
        </is>
      </c>
      <c r="D2457" s="5" t="inlineStr">
        <is>
          <t>RE</t>
        </is>
      </c>
      <c r="E2457" s="5" t="n">
        <v>5015135</v>
      </c>
      <c r="F2457" s="5" t="inlineStr">
        <is>
          <t>93507</t>
        </is>
      </c>
      <c r="G2457" s="5" t="inlineStr">
        <is>
          <t>BRL</t>
        </is>
      </c>
      <c r="H2457" s="9" t="n">
        <v>-1337.76</v>
      </c>
      <c r="I2457" s="16" t="n">
        <v>46239</v>
      </c>
      <c r="J2457" s="16" t="n">
        <v>46269</v>
      </c>
      <c r="K2457" s="5" t="inlineStr">
        <is>
          <t>Fatura - bruto TRADEWORKS SERVICOS DE COMERCIO EXT</t>
        </is>
      </c>
      <c r="L2457" s="5" t="inlineStr">
        <is>
          <t>02092026</t>
        </is>
      </c>
      <c r="M2457" s="5">
        <f>IF(YEAR(I2457)&lt;=2020,"Até 2020",TEXT(YEAR(I2457),"0"))</f>
        <v/>
      </c>
      <c r="N2457" s="5">
        <f>IFERROR(INDEX(DePara!$A:$A,MATCH(TEXT(B2457,"0"),DePara!$D:$D,0)),"(sem categoria)")</f>
        <v/>
      </c>
      <c r="O2457" s="5">
        <f>IF(J2457="","",Parametros!$B$6-J2457)</f>
        <v/>
      </c>
      <c r="P2457" s="5">
        <f>IF(O2457="","",IF(O2457&gt;0,1,0))</f>
        <v/>
      </c>
    </row>
    <row r="2458">
      <c r="A2458" s="5" t="n">
        <v>2111000000</v>
      </c>
      <c r="B2458" s="5" t="inlineStr">
        <is>
          <t>105984</t>
        </is>
      </c>
      <c r="C2458" s="5" t="inlineStr">
        <is>
          <t>TRADEWORKS SERVICOS DE COMERCIO EXT 04955748000107</t>
        </is>
      </c>
      <c r="D2458" s="5" t="inlineStr">
        <is>
          <t>RE</t>
        </is>
      </c>
      <c r="E2458" s="5" t="n">
        <v>5015137</v>
      </c>
      <c r="F2458" s="5" t="inlineStr">
        <is>
          <t>93566</t>
        </is>
      </c>
      <c r="G2458" s="5" t="inlineStr">
        <is>
          <t>BRL</t>
        </is>
      </c>
      <c r="H2458" s="9" t="n">
        <v>-1337.76</v>
      </c>
      <c r="I2458" s="16" t="n">
        <v>46241</v>
      </c>
      <c r="J2458" s="16" t="n">
        <v>46271</v>
      </c>
      <c r="K2458" s="5" t="inlineStr">
        <is>
          <t>Fatura - bruto TRADEWORKS SERVICOS DE COMERCIO EXT</t>
        </is>
      </c>
      <c r="L2458" s="5" t="inlineStr">
        <is>
          <t>08092026</t>
        </is>
      </c>
      <c r="M2458" s="5">
        <f>IF(YEAR(I2458)&lt;=2020,"Até 2020",TEXT(YEAR(I2458),"0"))</f>
        <v/>
      </c>
      <c r="N2458" s="5">
        <f>IFERROR(INDEX(DePara!$A:$A,MATCH(TEXT(B2458,"0"),DePara!$D:$D,0)),"(sem categoria)")</f>
        <v/>
      </c>
      <c r="O2458" s="5">
        <f>IF(J2458="","",Parametros!$B$6-J2458)</f>
        <v/>
      </c>
      <c r="P2458" s="5">
        <f>IF(O2458="","",IF(O2458&gt;0,1,0))</f>
        <v/>
      </c>
    </row>
    <row r="2459">
      <c r="A2459" s="5" t="n">
        <v>2111000000</v>
      </c>
      <c r="B2459" s="5" t="inlineStr">
        <is>
          <t>105984</t>
        </is>
      </c>
      <c r="C2459" s="5" t="inlineStr">
        <is>
          <t>TRADEWORKS SERVICOS DE COMERCIO EXT 04955748000107</t>
        </is>
      </c>
      <c r="D2459" s="5" t="inlineStr">
        <is>
          <t>RE</t>
        </is>
      </c>
      <c r="E2459" s="5" t="n">
        <v>5015138</v>
      </c>
      <c r="F2459" s="5" t="inlineStr">
        <is>
          <t>93499</t>
        </is>
      </c>
      <c r="G2459" s="5" t="inlineStr">
        <is>
          <t>BRL</t>
        </is>
      </c>
      <c r="H2459" s="9" t="n">
        <v>-1337.76</v>
      </c>
      <c r="I2459" s="16" t="n">
        <v>46239</v>
      </c>
      <c r="J2459" s="16" t="n">
        <v>46269</v>
      </c>
      <c r="K2459" s="5" t="inlineStr">
        <is>
          <t>Fatura - bruto TRADEWORKS SERVICOS DE COMERCIO EXT</t>
        </is>
      </c>
      <c r="L2459" s="5" t="inlineStr">
        <is>
          <t>02092026</t>
        </is>
      </c>
      <c r="M2459" s="5">
        <f>IF(YEAR(I2459)&lt;=2020,"Até 2020",TEXT(YEAR(I2459),"0"))</f>
        <v/>
      </c>
      <c r="N2459" s="5">
        <f>IFERROR(INDEX(DePara!$A:$A,MATCH(TEXT(B2459,"0"),DePara!$D:$D,0)),"(sem categoria)")</f>
        <v/>
      </c>
      <c r="O2459" s="5">
        <f>IF(J2459="","",Parametros!$B$6-J2459)</f>
        <v/>
      </c>
      <c r="P2459" s="5">
        <f>IF(O2459="","",IF(O2459&gt;0,1,0))</f>
        <v/>
      </c>
    </row>
    <row r="2460">
      <c r="A2460" s="5" t="n">
        <v>2111000000</v>
      </c>
      <c r="B2460" s="5" t="inlineStr">
        <is>
          <t>105984</t>
        </is>
      </c>
      <c r="C2460" s="5" t="inlineStr">
        <is>
          <t>TRADEWORKS SERVICOS DE COMERCIO EXT 04955748000107</t>
        </is>
      </c>
      <c r="D2460" s="5" t="inlineStr">
        <is>
          <t>RE</t>
        </is>
      </c>
      <c r="E2460" s="5" t="n">
        <v>5015139</v>
      </c>
      <c r="F2460" s="5" t="inlineStr">
        <is>
          <t>93492</t>
        </is>
      </c>
      <c r="G2460" s="5" t="inlineStr">
        <is>
          <t>BRL</t>
        </is>
      </c>
      <c r="H2460" s="9" t="n">
        <v>-1337.76</v>
      </c>
      <c r="I2460" s="16" t="n">
        <v>46239</v>
      </c>
      <c r="J2460" s="16" t="n">
        <v>46269</v>
      </c>
      <c r="K2460" s="5" t="inlineStr">
        <is>
          <t>Fatura - bruto TRADEWORKS SERVICOS DE COMERCIO EXT</t>
        </is>
      </c>
      <c r="L2460" s="5" t="inlineStr">
        <is>
          <t>02092026</t>
        </is>
      </c>
      <c r="M2460" s="5">
        <f>IF(YEAR(I2460)&lt;=2020,"Até 2020",TEXT(YEAR(I2460),"0"))</f>
        <v/>
      </c>
      <c r="N2460" s="5">
        <f>IFERROR(INDEX(DePara!$A:$A,MATCH(TEXT(B2460,"0"),DePara!$D:$D,0)),"(sem categoria)")</f>
        <v/>
      </c>
      <c r="O2460" s="5">
        <f>IF(J2460="","",Parametros!$B$6-J2460)</f>
        <v/>
      </c>
      <c r="P2460" s="5">
        <f>IF(O2460="","",IF(O2460&gt;0,1,0))</f>
        <v/>
      </c>
    </row>
    <row r="2461">
      <c r="A2461" s="5" t="n">
        <v>2111000000</v>
      </c>
      <c r="B2461" s="5" t="inlineStr">
        <is>
          <t>105984</t>
        </is>
      </c>
      <c r="C2461" s="5" t="inlineStr">
        <is>
          <t>TRADEWORKS SERVICOS DE COMERCIO EXT 04955748000107</t>
        </is>
      </c>
      <c r="D2461" s="5" t="inlineStr">
        <is>
          <t>RE</t>
        </is>
      </c>
      <c r="E2461" s="5" t="n">
        <v>5015140</v>
      </c>
      <c r="F2461" s="5" t="inlineStr">
        <is>
          <t>93564</t>
        </is>
      </c>
      <c r="G2461" s="5" t="inlineStr">
        <is>
          <t>BRL</t>
        </is>
      </c>
      <c r="H2461" s="9" t="n">
        <v>-1337.76</v>
      </c>
      <c r="I2461" s="16" t="n">
        <v>46241</v>
      </c>
      <c r="J2461" s="16" t="n">
        <v>46271</v>
      </c>
      <c r="K2461" s="5" t="inlineStr">
        <is>
          <t>Fatura - bruto TRADEWORKS SERVICOS DE COMERCIO EXT</t>
        </is>
      </c>
      <c r="L2461" s="5" t="inlineStr">
        <is>
          <t>08092026</t>
        </is>
      </c>
      <c r="M2461" s="5">
        <f>IF(YEAR(I2461)&lt;=2020,"Até 2020",TEXT(YEAR(I2461),"0"))</f>
        <v/>
      </c>
      <c r="N2461" s="5">
        <f>IFERROR(INDEX(DePara!$A:$A,MATCH(TEXT(B2461,"0"),DePara!$D:$D,0)),"(sem categoria)")</f>
        <v/>
      </c>
      <c r="O2461" s="5">
        <f>IF(J2461="","",Parametros!$B$6-J2461)</f>
        <v/>
      </c>
      <c r="P2461" s="5">
        <f>IF(O2461="","",IF(O2461&gt;0,1,0))</f>
        <v/>
      </c>
    </row>
    <row r="2462">
      <c r="A2462" s="5" t="n">
        <v>2111000000</v>
      </c>
      <c r="B2462" s="5" t="inlineStr">
        <is>
          <t>105984</t>
        </is>
      </c>
      <c r="C2462" s="5" t="inlineStr">
        <is>
          <t>TRADEWORKS SERVICOS DE COMERCIO EXT 04955748000107</t>
        </is>
      </c>
      <c r="D2462" s="5" t="inlineStr">
        <is>
          <t>RE</t>
        </is>
      </c>
      <c r="E2462" s="5" t="n">
        <v>5015141</v>
      </c>
      <c r="F2462" s="5" t="inlineStr">
        <is>
          <t>93496</t>
        </is>
      </c>
      <c r="G2462" s="5" t="inlineStr">
        <is>
          <t>BRL</t>
        </is>
      </c>
      <c r="H2462" s="9" t="n">
        <v>-1337.76</v>
      </c>
      <c r="I2462" s="16" t="n">
        <v>46239</v>
      </c>
      <c r="J2462" s="16" t="n">
        <v>46269</v>
      </c>
      <c r="K2462" s="5" t="inlineStr">
        <is>
          <t>Fatura - bruto TRADEWORKS SERVICOS DE COMERCIO EXT</t>
        </is>
      </c>
      <c r="L2462" s="5" t="inlineStr">
        <is>
          <t>02092026</t>
        </is>
      </c>
      <c r="M2462" s="5">
        <f>IF(YEAR(I2462)&lt;=2020,"Até 2020",TEXT(YEAR(I2462),"0"))</f>
        <v/>
      </c>
      <c r="N2462" s="5">
        <f>IFERROR(INDEX(DePara!$A:$A,MATCH(TEXT(B2462,"0"),DePara!$D:$D,0)),"(sem categoria)")</f>
        <v/>
      </c>
      <c r="O2462" s="5">
        <f>IF(J2462="","",Parametros!$B$6-J2462)</f>
        <v/>
      </c>
      <c r="P2462" s="5">
        <f>IF(O2462="","",IF(O2462&gt;0,1,0))</f>
        <v/>
      </c>
    </row>
    <row r="2463">
      <c r="A2463" s="5" t="n">
        <v>2111000000</v>
      </c>
      <c r="B2463" s="5" t="inlineStr">
        <is>
          <t>105984</t>
        </is>
      </c>
      <c r="C2463" s="5" t="inlineStr">
        <is>
          <t>TRADEWORKS SERVICOS DE COMERCIO EXT 04955748000107</t>
        </is>
      </c>
      <c r="D2463" s="5" t="inlineStr">
        <is>
          <t>RE</t>
        </is>
      </c>
      <c r="E2463" s="5" t="n">
        <v>5015142</v>
      </c>
      <c r="F2463" s="5" t="inlineStr">
        <is>
          <t>93504</t>
        </is>
      </c>
      <c r="G2463" s="5" t="inlineStr">
        <is>
          <t>BRL</t>
        </is>
      </c>
      <c r="H2463" s="9" t="n">
        <v>-1337.76</v>
      </c>
      <c r="I2463" s="16" t="n">
        <v>46239</v>
      </c>
      <c r="J2463" s="16" t="n">
        <v>46269</v>
      </c>
      <c r="K2463" s="5" t="inlineStr">
        <is>
          <t>Fatura - bruto TRADEWORKS SERVICOS DE COMERCIO EXT</t>
        </is>
      </c>
      <c r="L2463" s="5" t="inlineStr">
        <is>
          <t>02092026</t>
        </is>
      </c>
      <c r="M2463" s="5">
        <f>IF(YEAR(I2463)&lt;=2020,"Até 2020",TEXT(YEAR(I2463),"0"))</f>
        <v/>
      </c>
      <c r="N2463" s="5">
        <f>IFERROR(INDEX(DePara!$A:$A,MATCH(TEXT(B2463,"0"),DePara!$D:$D,0)),"(sem categoria)")</f>
        <v/>
      </c>
      <c r="O2463" s="5">
        <f>IF(J2463="","",Parametros!$B$6-J2463)</f>
        <v/>
      </c>
      <c r="P2463" s="5">
        <f>IF(O2463="","",IF(O2463&gt;0,1,0))</f>
        <v/>
      </c>
    </row>
    <row r="2464">
      <c r="A2464" s="5" t="n">
        <v>2111000000</v>
      </c>
      <c r="B2464" s="5" t="inlineStr">
        <is>
          <t>105984</t>
        </is>
      </c>
      <c r="C2464" s="5" t="inlineStr">
        <is>
          <t>TRADEWORKS SERVICOS DE COMERCIO EXT 04955748000107</t>
        </is>
      </c>
      <c r="D2464" s="5" t="inlineStr">
        <is>
          <t>RE</t>
        </is>
      </c>
      <c r="E2464" s="5" t="n">
        <v>5015143</v>
      </c>
      <c r="F2464" s="5" t="inlineStr">
        <is>
          <t>93485</t>
        </is>
      </c>
      <c r="G2464" s="5" t="inlineStr">
        <is>
          <t>BRL</t>
        </is>
      </c>
      <c r="H2464" s="9" t="n">
        <v>-1337.76</v>
      </c>
      <c r="I2464" s="16" t="n">
        <v>46239</v>
      </c>
      <c r="J2464" s="16" t="n">
        <v>46269</v>
      </c>
      <c r="K2464" s="5" t="inlineStr">
        <is>
          <t>Fatura - bruto TRADEWORKS SERVICOS DE COMERCIO EXT</t>
        </is>
      </c>
      <c r="L2464" s="5" t="inlineStr">
        <is>
          <t>02092026</t>
        </is>
      </c>
      <c r="M2464" s="5">
        <f>IF(YEAR(I2464)&lt;=2020,"Até 2020",TEXT(YEAR(I2464),"0"))</f>
        <v/>
      </c>
      <c r="N2464" s="5">
        <f>IFERROR(INDEX(DePara!$A:$A,MATCH(TEXT(B2464,"0"),DePara!$D:$D,0)),"(sem categoria)")</f>
        <v/>
      </c>
      <c r="O2464" s="5">
        <f>IF(J2464="","",Parametros!$B$6-J2464)</f>
        <v/>
      </c>
      <c r="P2464" s="5">
        <f>IF(O2464="","",IF(O2464&gt;0,1,0))</f>
        <v/>
      </c>
    </row>
    <row r="2465">
      <c r="A2465" s="5" t="n">
        <v>2111000000</v>
      </c>
      <c r="B2465" s="5" t="inlineStr">
        <is>
          <t>100883</t>
        </is>
      </c>
      <c r="C2465" s="5" t="inlineStr">
        <is>
          <t>QUELMAR TRANSPORTES LTDA</t>
        </is>
      </c>
      <c r="D2465" s="5" t="inlineStr">
        <is>
          <t>RE</t>
        </is>
      </c>
      <c r="E2465" s="5" t="n">
        <v>5015153</v>
      </c>
      <c r="F2465" s="5" t="inlineStr">
        <is>
          <t>6322-2</t>
        </is>
      </c>
      <c r="G2465" s="5" t="inlineStr">
        <is>
          <t>BRL</t>
        </is>
      </c>
      <c r="H2465" s="9" t="n">
        <v>-4280</v>
      </c>
      <c r="I2465" s="16" t="n">
        <v>46232</v>
      </c>
      <c r="J2465" s="16" t="n">
        <v>46270</v>
      </c>
      <c r="K2465" s="5" t="inlineStr">
        <is>
          <t>Fatura - bruto QUELMAR TRANSPORTES LTDA 6322-2</t>
        </is>
      </c>
      <c r="L2465" s="5" t="inlineStr">
        <is>
          <t>08092026</t>
        </is>
      </c>
      <c r="M2465" s="5">
        <f>IF(YEAR(I2465)&lt;=2020,"Até 2020",TEXT(YEAR(I2465),"0"))</f>
        <v/>
      </c>
      <c r="N2465" s="5">
        <f>IFERROR(INDEX(DePara!$A:$A,MATCH(TEXT(B2465,"0"),DePara!$D:$D,0)),"(sem categoria)")</f>
        <v/>
      </c>
      <c r="O2465" s="5">
        <f>IF(J2465="","",Parametros!$B$6-J2465)</f>
        <v/>
      </c>
      <c r="P2465" s="5">
        <f>IF(O2465="","",IF(O2465&gt;0,1,0))</f>
        <v/>
      </c>
    </row>
    <row r="2466">
      <c r="A2466" s="5" t="n">
        <v>2111000000</v>
      </c>
      <c r="B2466" s="5" t="inlineStr">
        <is>
          <t>100883</t>
        </is>
      </c>
      <c r="C2466" s="5" t="inlineStr">
        <is>
          <t>QUELMAR TRANSPORTES LTDA</t>
        </is>
      </c>
      <c r="D2466" s="5" t="inlineStr">
        <is>
          <t>RE</t>
        </is>
      </c>
      <c r="E2466" s="5" t="n">
        <v>5015154</v>
      </c>
      <c r="F2466" s="5" t="inlineStr">
        <is>
          <t>6327-2</t>
        </is>
      </c>
      <c r="G2466" s="5" t="inlineStr">
        <is>
          <t>BRL</t>
        </is>
      </c>
      <c r="H2466" s="9" t="n">
        <v>-7800</v>
      </c>
      <c r="I2466" s="16" t="n">
        <v>46232</v>
      </c>
      <c r="J2466" s="16" t="n">
        <v>46270</v>
      </c>
      <c r="K2466" s="5" t="inlineStr">
        <is>
          <t>Fatura - bruto QUELMAR TRANSPORTES LTDA 6327-2</t>
        </is>
      </c>
      <c r="L2466" s="5" t="inlineStr">
        <is>
          <t>08092026</t>
        </is>
      </c>
      <c r="M2466" s="5">
        <f>IF(YEAR(I2466)&lt;=2020,"Até 2020",TEXT(YEAR(I2466),"0"))</f>
        <v/>
      </c>
      <c r="N2466" s="5">
        <f>IFERROR(INDEX(DePara!$A:$A,MATCH(TEXT(B2466,"0"),DePara!$D:$D,0)),"(sem categoria)")</f>
        <v/>
      </c>
      <c r="O2466" s="5">
        <f>IF(J2466="","",Parametros!$B$6-J2466)</f>
        <v/>
      </c>
      <c r="P2466" s="5">
        <f>IF(O2466="","",IF(O2466&gt;0,1,0))</f>
        <v/>
      </c>
    </row>
    <row r="2467">
      <c r="A2467" s="5" t="n">
        <v>2111000000</v>
      </c>
      <c r="B2467" s="5" t="inlineStr">
        <is>
          <t>100883</t>
        </is>
      </c>
      <c r="C2467" s="5" t="inlineStr">
        <is>
          <t>QUELMAR TRANSPORTES LTDA</t>
        </is>
      </c>
      <c r="D2467" s="5" t="inlineStr">
        <is>
          <t>RE</t>
        </is>
      </c>
      <c r="E2467" s="5" t="n">
        <v>5015155</v>
      </c>
      <c r="F2467" s="5" t="inlineStr">
        <is>
          <t>6220-2</t>
        </is>
      </c>
      <c r="G2467" s="5" t="inlineStr">
        <is>
          <t>BRL</t>
        </is>
      </c>
      <c r="H2467" s="9" t="n">
        <v>-18423</v>
      </c>
      <c r="I2467" s="16" t="n">
        <v>46217</v>
      </c>
      <c r="J2467" s="16" t="n">
        <v>46270</v>
      </c>
      <c r="K2467" s="5" t="inlineStr">
        <is>
          <t>Fatura - bruto QUELMAR TRANSPORTES LTDA 6220-2</t>
        </is>
      </c>
      <c r="L2467" s="5" t="inlineStr">
        <is>
          <t>08092026</t>
        </is>
      </c>
      <c r="M2467" s="5">
        <f>IF(YEAR(I2467)&lt;=2020,"Até 2020",TEXT(YEAR(I2467),"0"))</f>
        <v/>
      </c>
      <c r="N2467" s="5">
        <f>IFERROR(INDEX(DePara!$A:$A,MATCH(TEXT(B2467,"0"),DePara!$D:$D,0)),"(sem categoria)")</f>
        <v/>
      </c>
      <c r="O2467" s="5">
        <f>IF(J2467="","",Parametros!$B$6-J2467)</f>
        <v/>
      </c>
      <c r="P2467" s="5">
        <f>IF(O2467="","",IF(O2467&gt;0,1,0))</f>
        <v/>
      </c>
    </row>
    <row r="2468">
      <c r="A2468" s="5" t="n">
        <v>2111000000</v>
      </c>
      <c r="B2468" s="5" t="inlineStr">
        <is>
          <t>100883</t>
        </is>
      </c>
      <c r="C2468" s="5" t="inlineStr">
        <is>
          <t>QUELMAR TRANSPORTES LTDA</t>
        </is>
      </c>
      <c r="D2468" s="5" t="inlineStr">
        <is>
          <t>RE</t>
        </is>
      </c>
      <c r="E2468" s="5" t="n">
        <v>5015156</v>
      </c>
      <c r="F2468" s="5" t="inlineStr">
        <is>
          <t>108202-1</t>
        </is>
      </c>
      <c r="G2468" s="5" t="inlineStr">
        <is>
          <t>BRL</t>
        </is>
      </c>
      <c r="H2468" s="9" t="n">
        <v>-3160</v>
      </c>
      <c r="I2468" s="16" t="n">
        <v>46231</v>
      </c>
      <c r="J2468" s="16" t="n">
        <v>46270</v>
      </c>
      <c r="K2468" s="5" t="inlineStr">
        <is>
          <t>Fatura - bruto QUELMAR TRANSPORTES LTDA 108202-1</t>
        </is>
      </c>
      <c r="L2468" s="5" t="inlineStr">
        <is>
          <t>08092026</t>
        </is>
      </c>
      <c r="M2468" s="5">
        <f>IF(YEAR(I2468)&lt;=2020,"Até 2020",TEXT(YEAR(I2468),"0"))</f>
        <v/>
      </c>
      <c r="N2468" s="5">
        <f>IFERROR(INDEX(DePara!$A:$A,MATCH(TEXT(B2468,"0"),DePara!$D:$D,0)),"(sem categoria)")</f>
        <v/>
      </c>
      <c r="O2468" s="5">
        <f>IF(J2468="","",Parametros!$B$6-J2468)</f>
        <v/>
      </c>
      <c r="P2468" s="5">
        <f>IF(O2468="","",IF(O2468&gt;0,1,0))</f>
        <v/>
      </c>
    </row>
    <row r="2469">
      <c r="A2469" s="5" t="n">
        <v>2111000000</v>
      </c>
      <c r="B2469" s="5" t="inlineStr">
        <is>
          <t>100883</t>
        </is>
      </c>
      <c r="C2469" s="5" t="inlineStr">
        <is>
          <t>QUELMAR TRANSPORTES LTDA</t>
        </is>
      </c>
      <c r="D2469" s="5" t="inlineStr">
        <is>
          <t>RE</t>
        </is>
      </c>
      <c r="E2469" s="5" t="n">
        <v>5015157</v>
      </c>
      <c r="F2469" s="5" t="inlineStr">
        <is>
          <t>6298-2</t>
        </is>
      </c>
      <c r="G2469" s="5" t="inlineStr">
        <is>
          <t>BRL</t>
        </is>
      </c>
      <c r="H2469" s="9" t="n">
        <v>-4200</v>
      </c>
      <c r="I2469" s="16" t="n">
        <v>46226</v>
      </c>
      <c r="J2469" s="16" t="n">
        <v>46270</v>
      </c>
      <c r="K2469" s="5" t="inlineStr">
        <is>
          <t>Fatura - bruto QUELMAR TRANSPORTES LTDA 6298-2</t>
        </is>
      </c>
      <c r="L2469" s="5" t="inlineStr">
        <is>
          <t>08092026</t>
        </is>
      </c>
      <c r="M2469" s="5">
        <f>IF(YEAR(I2469)&lt;=2020,"Até 2020",TEXT(YEAR(I2469),"0"))</f>
        <v/>
      </c>
      <c r="N2469" s="5">
        <f>IFERROR(INDEX(DePara!$A:$A,MATCH(TEXT(B2469,"0"),DePara!$D:$D,0)),"(sem categoria)")</f>
        <v/>
      </c>
      <c r="O2469" s="5">
        <f>IF(J2469="","",Parametros!$B$6-J2469)</f>
        <v/>
      </c>
      <c r="P2469" s="5">
        <f>IF(O2469="","",IF(O2469&gt;0,1,0))</f>
        <v/>
      </c>
    </row>
    <row r="2470">
      <c r="A2470" s="5" t="n">
        <v>2111000000</v>
      </c>
      <c r="B2470" s="5" t="inlineStr">
        <is>
          <t>100883</t>
        </is>
      </c>
      <c r="C2470" s="5" t="inlineStr">
        <is>
          <t>QUELMAR TRANSPORTES LTDA</t>
        </is>
      </c>
      <c r="D2470" s="5" t="inlineStr">
        <is>
          <t>RE</t>
        </is>
      </c>
      <c r="E2470" s="5" t="n">
        <v>5015158</v>
      </c>
      <c r="F2470" s="5" t="inlineStr">
        <is>
          <t>6296-2</t>
        </is>
      </c>
      <c r="G2470" s="5" t="inlineStr">
        <is>
          <t>BRL</t>
        </is>
      </c>
      <c r="H2470" s="9" t="n">
        <v>-5680</v>
      </c>
      <c r="I2470" s="16" t="n">
        <v>46226</v>
      </c>
      <c r="J2470" s="16" t="n">
        <v>46270</v>
      </c>
      <c r="K2470" s="5" t="inlineStr">
        <is>
          <t>Fatura - bruto QUELMAR TRANSPORTES LTDA 6296-2</t>
        </is>
      </c>
      <c r="L2470" s="5" t="inlineStr">
        <is>
          <t>08092026</t>
        </is>
      </c>
      <c r="M2470" s="5">
        <f>IF(YEAR(I2470)&lt;=2020,"Até 2020",TEXT(YEAR(I2470),"0"))</f>
        <v/>
      </c>
      <c r="N2470" s="5">
        <f>IFERROR(INDEX(DePara!$A:$A,MATCH(TEXT(B2470,"0"),DePara!$D:$D,0)),"(sem categoria)")</f>
        <v/>
      </c>
      <c r="O2470" s="5">
        <f>IF(J2470="","",Parametros!$B$6-J2470)</f>
        <v/>
      </c>
      <c r="P2470" s="5">
        <f>IF(O2470="","",IF(O2470&gt;0,1,0))</f>
        <v/>
      </c>
    </row>
    <row r="2471">
      <c r="A2471" s="5" t="n">
        <v>2111000000</v>
      </c>
      <c r="B2471" s="5" t="inlineStr">
        <is>
          <t>101387</t>
        </is>
      </c>
      <c r="C2471" s="5" t="inlineStr">
        <is>
          <t>AZEVEDO ENGENHARIA E PARTICIPAÇÕES</t>
        </is>
      </c>
      <c r="D2471" s="5" t="inlineStr">
        <is>
          <t>RE</t>
        </is>
      </c>
      <c r="E2471" s="5" t="n">
        <v>5015159</v>
      </c>
      <c r="F2471" s="5" t="inlineStr">
        <is>
          <t>17</t>
        </is>
      </c>
      <c r="G2471" s="5" t="inlineStr">
        <is>
          <t>BRL</t>
        </is>
      </c>
      <c r="H2471" s="9" t="n">
        <v>-26631.52</v>
      </c>
      <c r="I2471" s="16" t="n">
        <v>46246</v>
      </c>
      <c r="J2471" s="16" t="n">
        <v>46270</v>
      </c>
      <c r="K2471" s="5" t="inlineStr">
        <is>
          <t>Fatura - bruto AZEVEDO ENGENHARIA E PARTICIPAÇÕES</t>
        </is>
      </c>
      <c r="L2471" s="5" t="inlineStr">
        <is>
          <t>08092026</t>
        </is>
      </c>
      <c r="M2471" s="5">
        <f>IF(YEAR(I2471)&lt;=2020,"Até 2020",TEXT(YEAR(I2471),"0"))</f>
        <v/>
      </c>
      <c r="N2471" s="5">
        <f>IFERROR(INDEX(DePara!$A:$A,MATCH(TEXT(B2471,"0"),DePara!$D:$D,0)),"(sem categoria)")</f>
        <v/>
      </c>
      <c r="O2471" s="5">
        <f>IF(J2471="","",Parametros!$B$6-J2471)</f>
        <v/>
      </c>
      <c r="P2471" s="5">
        <f>IF(O2471="","",IF(O2471&gt;0,1,0))</f>
        <v/>
      </c>
    </row>
    <row r="2472">
      <c r="A2472" s="5" t="n">
        <v>2111000000</v>
      </c>
      <c r="B2472" s="5" t="inlineStr">
        <is>
          <t>105984</t>
        </is>
      </c>
      <c r="C2472" s="5" t="inlineStr">
        <is>
          <t>TRADEWORKS SERVICOS DE COMERCIO EXT 04955748000107</t>
        </is>
      </c>
      <c r="D2472" s="5" t="inlineStr">
        <is>
          <t>RE</t>
        </is>
      </c>
      <c r="E2472" s="5" t="n">
        <v>5015160</v>
      </c>
      <c r="F2472" s="5" t="inlineStr">
        <is>
          <t>93612</t>
        </is>
      </c>
      <c r="G2472" s="5" t="inlineStr">
        <is>
          <t>BRL</t>
        </is>
      </c>
      <c r="H2472" s="9" t="n">
        <v>-1337.76</v>
      </c>
      <c r="I2472" s="16" t="n">
        <v>46245</v>
      </c>
      <c r="J2472" s="16" t="n">
        <v>46275</v>
      </c>
      <c r="K2472" s="5" t="inlineStr">
        <is>
          <t>Fatura - bruto TRADEWORKS SERVICOS DE COMERCIO EXT</t>
        </is>
      </c>
      <c r="L2472" s="5" t="inlineStr">
        <is>
          <t>08092026</t>
        </is>
      </c>
      <c r="M2472" s="5">
        <f>IF(YEAR(I2472)&lt;=2020,"Até 2020",TEXT(YEAR(I2472),"0"))</f>
        <v/>
      </c>
      <c r="N2472" s="5">
        <f>IFERROR(INDEX(DePara!$A:$A,MATCH(TEXT(B2472,"0"),DePara!$D:$D,0)),"(sem categoria)")</f>
        <v/>
      </c>
      <c r="O2472" s="5">
        <f>IF(J2472="","",Parametros!$B$6-J2472)</f>
        <v/>
      </c>
      <c r="P2472" s="5">
        <f>IF(O2472="","",IF(O2472&gt;0,1,0))</f>
        <v/>
      </c>
    </row>
    <row r="2473">
      <c r="A2473" s="5" t="n">
        <v>2111000000</v>
      </c>
      <c r="B2473" s="5" t="inlineStr">
        <is>
          <t>105984</t>
        </is>
      </c>
      <c r="C2473" s="5" t="inlineStr">
        <is>
          <t>TRADEWORKS SERVICOS DE COMERCIO EXT 04955748000107</t>
        </is>
      </c>
      <c r="D2473" s="5" t="inlineStr">
        <is>
          <t>RE</t>
        </is>
      </c>
      <c r="E2473" s="5" t="n">
        <v>5015161</v>
      </c>
      <c r="F2473" s="5" t="inlineStr">
        <is>
          <t>93565</t>
        </is>
      </c>
      <c r="G2473" s="5" t="inlineStr">
        <is>
          <t>BRL</t>
        </is>
      </c>
      <c r="H2473" s="9" t="n">
        <v>-1337.76</v>
      </c>
      <c r="I2473" s="16" t="n">
        <v>46241</v>
      </c>
      <c r="J2473" s="16" t="n">
        <v>46271</v>
      </c>
      <c r="K2473" s="5" t="inlineStr">
        <is>
          <t>Fatura - bruto TRADEWORKS SERVICOS DE COMERCIO EXT</t>
        </is>
      </c>
      <c r="L2473" s="5" t="inlineStr">
        <is>
          <t>08092026</t>
        </is>
      </c>
      <c r="M2473" s="5">
        <f>IF(YEAR(I2473)&lt;=2020,"Até 2020",TEXT(YEAR(I2473),"0"))</f>
        <v/>
      </c>
      <c r="N2473" s="5">
        <f>IFERROR(INDEX(DePara!$A:$A,MATCH(TEXT(B2473,"0"),DePara!$D:$D,0)),"(sem categoria)")</f>
        <v/>
      </c>
      <c r="O2473" s="5">
        <f>IF(J2473="","",Parametros!$B$6-J2473)</f>
        <v/>
      </c>
      <c r="P2473" s="5">
        <f>IF(O2473="","",IF(O2473&gt;0,1,0))</f>
        <v/>
      </c>
    </row>
    <row r="2474">
      <c r="A2474" s="5" t="n">
        <v>2111000000</v>
      </c>
      <c r="B2474" s="5" t="inlineStr">
        <is>
          <t>105984</t>
        </is>
      </c>
      <c r="C2474" s="5" t="inlineStr">
        <is>
          <t>TRADEWORKS SERVICOS DE COMERCIO EXT 04955748000107</t>
        </is>
      </c>
      <c r="D2474" s="5" t="inlineStr">
        <is>
          <t>RE</t>
        </is>
      </c>
      <c r="E2474" s="5" t="n">
        <v>5015162</v>
      </c>
      <c r="F2474" s="5" t="inlineStr">
        <is>
          <t>93482</t>
        </is>
      </c>
      <c r="G2474" s="5" t="inlineStr">
        <is>
          <t>BRL</t>
        </is>
      </c>
      <c r="H2474" s="9" t="n">
        <v>-1337.76</v>
      </c>
      <c r="I2474" s="16" t="n">
        <v>46239</v>
      </c>
      <c r="J2474" s="16" t="n">
        <v>46269</v>
      </c>
      <c r="K2474" s="5" t="inlineStr">
        <is>
          <t>Fatura - bruto TRADEWORKS SERVICOS DE COMERCIO EXT</t>
        </is>
      </c>
      <c r="L2474" s="5" t="inlineStr">
        <is>
          <t>02092026</t>
        </is>
      </c>
      <c r="M2474" s="5">
        <f>IF(YEAR(I2474)&lt;=2020,"Até 2020",TEXT(YEAR(I2474),"0"))</f>
        <v/>
      </c>
      <c r="N2474" s="5">
        <f>IFERROR(INDEX(DePara!$A:$A,MATCH(TEXT(B2474,"0"),DePara!$D:$D,0)),"(sem categoria)")</f>
        <v/>
      </c>
      <c r="O2474" s="5">
        <f>IF(J2474="","",Parametros!$B$6-J2474)</f>
        <v/>
      </c>
      <c r="P2474" s="5">
        <f>IF(O2474="","",IF(O2474&gt;0,1,0))</f>
        <v/>
      </c>
    </row>
    <row r="2475">
      <c r="A2475" s="5" t="n">
        <v>2111000000</v>
      </c>
      <c r="B2475" s="5" t="inlineStr">
        <is>
          <t>101317</t>
        </is>
      </c>
      <c r="C2475" s="5" t="inlineStr">
        <is>
          <t>JOAO VANDERLEI ROYER</t>
        </is>
      </c>
      <c r="D2475" s="5" t="inlineStr">
        <is>
          <t>RE</t>
        </is>
      </c>
      <c r="E2475" s="5" t="n">
        <v>5015163</v>
      </c>
      <c r="F2475" s="5" t="inlineStr">
        <is>
          <t>78</t>
        </is>
      </c>
      <c r="G2475" s="5" t="inlineStr">
        <is>
          <t>BRL</t>
        </is>
      </c>
      <c r="H2475" s="9" t="n">
        <v>-10500</v>
      </c>
      <c r="I2475" s="16" t="n">
        <v>46238</v>
      </c>
      <c r="J2475" s="16" t="n">
        <v>46270</v>
      </c>
      <c r="K2475" s="5" t="inlineStr">
        <is>
          <t>Fatura - bruto JOAO VANDERLEI ROYER 78</t>
        </is>
      </c>
      <c r="L2475" s="5" t="inlineStr">
        <is>
          <t>08092026</t>
        </is>
      </c>
      <c r="M2475" s="5">
        <f>IF(YEAR(I2475)&lt;=2020,"Até 2020",TEXT(YEAR(I2475),"0"))</f>
        <v/>
      </c>
      <c r="N2475" s="5">
        <f>IFERROR(INDEX(DePara!$A:$A,MATCH(TEXT(B2475,"0"),DePara!$D:$D,0)),"(sem categoria)")</f>
        <v/>
      </c>
      <c r="O2475" s="5">
        <f>IF(J2475="","",Parametros!$B$6-J2475)</f>
        <v/>
      </c>
      <c r="P2475" s="5">
        <f>IF(O2475="","",IF(O2475&gt;0,1,0))</f>
        <v/>
      </c>
    </row>
    <row r="2476">
      <c r="A2476" s="5" t="n">
        <v>2111000000</v>
      </c>
      <c r="B2476" s="5" t="inlineStr">
        <is>
          <t>101982</t>
        </is>
      </c>
      <c r="C2476" s="5" t="inlineStr">
        <is>
          <t>NEW ENERGY TECH LTDA</t>
        </is>
      </c>
      <c r="D2476" s="5" t="inlineStr">
        <is>
          <t>RE</t>
        </is>
      </c>
      <c r="E2476" s="5" t="n">
        <v>5015164</v>
      </c>
      <c r="F2476" s="5" t="inlineStr">
        <is>
          <t>449</t>
        </is>
      </c>
      <c r="G2476" s="5" t="inlineStr">
        <is>
          <t>BRL</t>
        </is>
      </c>
      <c r="H2476" s="9" t="n">
        <v>-75366.66</v>
      </c>
      <c r="I2476" s="16" t="n">
        <v>46241</v>
      </c>
      <c r="J2476" s="16" t="n">
        <v>46270</v>
      </c>
      <c r="K2476" s="5" t="inlineStr">
        <is>
          <t>Fatura - bruto NEW ENERGY TECH LTDA 449</t>
        </is>
      </c>
      <c r="L2476" s="5" t="inlineStr">
        <is>
          <t>08092026</t>
        </is>
      </c>
      <c r="M2476" s="5">
        <f>IF(YEAR(I2476)&lt;=2020,"Até 2020",TEXT(YEAR(I2476),"0"))</f>
        <v/>
      </c>
      <c r="N2476" s="5">
        <f>IFERROR(INDEX(DePara!$A:$A,MATCH(TEXT(B2476,"0"),DePara!$D:$D,0)),"(sem categoria)")</f>
        <v/>
      </c>
      <c r="O2476" s="5">
        <f>IF(J2476="","",Parametros!$B$6-J2476)</f>
        <v/>
      </c>
      <c r="P2476" s="5">
        <f>IF(O2476="","",IF(O2476&gt;0,1,0))</f>
        <v/>
      </c>
    </row>
    <row r="2477">
      <c r="A2477" s="5" t="n">
        <v>2111000000</v>
      </c>
      <c r="B2477" s="5" t="inlineStr">
        <is>
          <t>105984</t>
        </is>
      </c>
      <c r="C2477" s="5" t="inlineStr">
        <is>
          <t>TRADEWORKS SERVICOS DE COMERCIO EXT 04955748000107</t>
        </is>
      </c>
      <c r="D2477" s="5" t="inlineStr">
        <is>
          <t>RE</t>
        </is>
      </c>
      <c r="E2477" s="5" t="n">
        <v>5015165</v>
      </c>
      <c r="F2477" s="5" t="inlineStr">
        <is>
          <t>93488</t>
        </is>
      </c>
      <c r="G2477" s="5" t="inlineStr">
        <is>
          <t>BRL</t>
        </is>
      </c>
      <c r="H2477" s="9" t="n">
        <v>-1337.76</v>
      </c>
      <c r="I2477" s="16" t="n">
        <v>46239</v>
      </c>
      <c r="J2477" s="16" t="n">
        <v>46269</v>
      </c>
      <c r="K2477" s="5" t="inlineStr">
        <is>
          <t>Fatura - bruto TRADEWORKS SERVICOS DE COMERCIO EXT</t>
        </is>
      </c>
      <c r="L2477" s="5" t="inlineStr">
        <is>
          <t>02092026</t>
        </is>
      </c>
      <c r="M2477" s="5">
        <f>IF(YEAR(I2477)&lt;=2020,"Até 2020",TEXT(YEAR(I2477),"0"))</f>
        <v/>
      </c>
      <c r="N2477" s="5">
        <f>IFERROR(INDEX(DePara!$A:$A,MATCH(TEXT(B2477,"0"),DePara!$D:$D,0)),"(sem categoria)")</f>
        <v/>
      </c>
      <c r="O2477" s="5">
        <f>IF(J2477="","",Parametros!$B$6-J2477)</f>
        <v/>
      </c>
      <c r="P2477" s="5">
        <f>IF(O2477="","",IF(O2477&gt;0,1,0))</f>
        <v/>
      </c>
    </row>
    <row r="2478">
      <c r="A2478" s="5" t="n">
        <v>2111000000</v>
      </c>
      <c r="B2478" s="5" t="inlineStr">
        <is>
          <t>105984</t>
        </is>
      </c>
      <c r="C2478" s="5" t="inlineStr">
        <is>
          <t>TRADEWORKS SERVICOS DE COMERCIO EXT 04955748000107</t>
        </is>
      </c>
      <c r="D2478" s="5" t="inlineStr">
        <is>
          <t>RE</t>
        </is>
      </c>
      <c r="E2478" s="5" t="n">
        <v>5015166</v>
      </c>
      <c r="F2478" s="5" t="inlineStr">
        <is>
          <t>93611</t>
        </is>
      </c>
      <c r="G2478" s="5" t="inlineStr">
        <is>
          <t>BRL</t>
        </is>
      </c>
      <c r="H2478" s="9" t="n">
        <v>-1337.76</v>
      </c>
      <c r="I2478" s="16" t="n">
        <v>46245</v>
      </c>
      <c r="J2478" s="16" t="n">
        <v>46275</v>
      </c>
      <c r="K2478" s="5" t="inlineStr">
        <is>
          <t>Fatura - bruto TRADEWORKS SERVICOS DE COMERCIO EXT</t>
        </is>
      </c>
      <c r="L2478" s="5" t="inlineStr">
        <is>
          <t>08092026</t>
        </is>
      </c>
      <c r="M2478" s="5">
        <f>IF(YEAR(I2478)&lt;=2020,"Até 2020",TEXT(YEAR(I2478),"0"))</f>
        <v/>
      </c>
      <c r="N2478" s="5">
        <f>IFERROR(INDEX(DePara!$A:$A,MATCH(TEXT(B2478,"0"),DePara!$D:$D,0)),"(sem categoria)")</f>
        <v/>
      </c>
      <c r="O2478" s="5">
        <f>IF(J2478="","",Parametros!$B$6-J2478)</f>
        <v/>
      </c>
      <c r="P2478" s="5">
        <f>IF(O2478="","",IF(O2478&gt;0,1,0))</f>
        <v/>
      </c>
    </row>
    <row r="2479">
      <c r="A2479" s="5" t="n">
        <v>2111000000</v>
      </c>
      <c r="B2479" s="5" t="inlineStr">
        <is>
          <t>101290</t>
        </is>
      </c>
      <c r="C2479" s="5" t="inlineStr">
        <is>
          <t>ARTH WIND SERVICES&amp;CONSULTING EIREL</t>
        </is>
      </c>
      <c r="D2479" s="5" t="inlineStr">
        <is>
          <t>RE</t>
        </is>
      </c>
      <c r="E2479" s="5" t="n">
        <v>5015167</v>
      </c>
      <c r="F2479" s="5" t="inlineStr">
        <is>
          <t>6409</t>
        </is>
      </c>
      <c r="G2479" s="5" t="inlineStr">
        <is>
          <t>BRL</t>
        </is>
      </c>
      <c r="H2479" s="9" t="n">
        <v>-132975</v>
      </c>
      <c r="I2479" s="16" t="n">
        <v>46241</v>
      </c>
      <c r="J2479" s="16" t="n">
        <v>46270</v>
      </c>
      <c r="K2479" s="5" t="inlineStr">
        <is>
          <t>Fatura - bruto ARTH WIND SERVICES&amp;CONSULTING EIREL</t>
        </is>
      </c>
      <c r="L2479" s="5" t="inlineStr">
        <is>
          <t>08092026</t>
        </is>
      </c>
      <c r="M2479" s="5">
        <f>IF(YEAR(I2479)&lt;=2020,"Até 2020",TEXT(YEAR(I2479),"0"))</f>
        <v/>
      </c>
      <c r="N2479" s="5">
        <f>IFERROR(INDEX(DePara!$A:$A,MATCH(TEXT(B2479,"0"),DePara!$D:$D,0)),"(sem categoria)")</f>
        <v/>
      </c>
      <c r="O2479" s="5">
        <f>IF(J2479="","",Parametros!$B$6-J2479)</f>
        <v/>
      </c>
      <c r="P2479" s="5">
        <f>IF(O2479="","",IF(O2479&gt;0,1,0))</f>
        <v/>
      </c>
    </row>
    <row r="2480">
      <c r="A2480" s="5" t="n">
        <v>2111000000</v>
      </c>
      <c r="B2480" s="5" t="inlineStr">
        <is>
          <t>101334</t>
        </is>
      </c>
      <c r="C2480" s="5" t="inlineStr">
        <is>
          <t>ABRILSAN ASSES EM CART DE PROT LTDA</t>
        </is>
      </c>
      <c r="D2480" s="5" t="inlineStr">
        <is>
          <t>RE</t>
        </is>
      </c>
      <c r="E2480" s="5" t="n">
        <v>5015171</v>
      </c>
      <c r="F2480" s="5" t="inlineStr">
        <is>
          <t>136837</t>
        </is>
      </c>
      <c r="G2480" s="5" t="inlineStr">
        <is>
          <t>BRL</t>
        </is>
      </c>
      <c r="H2480" s="9" t="n">
        <v>-7.3</v>
      </c>
      <c r="I2480" s="16" t="n">
        <v>46237</v>
      </c>
      <c r="J2480" s="16" t="n">
        <v>46268</v>
      </c>
      <c r="K2480" s="5" t="inlineStr">
        <is>
          <t>Fatura - bruto ABRILSAN ASSES EM CART DE PROT LTDA</t>
        </is>
      </c>
      <c r="L2480" s="5" t="inlineStr">
        <is>
          <t>02092026</t>
        </is>
      </c>
      <c r="M2480" s="5">
        <f>IF(YEAR(I2480)&lt;=2020,"Até 2020",TEXT(YEAR(I2480),"0"))</f>
        <v/>
      </c>
      <c r="N2480" s="5">
        <f>IFERROR(INDEX(DePara!$A:$A,MATCH(TEXT(B2480,"0"),DePara!$D:$D,0)),"(sem categoria)")</f>
        <v/>
      </c>
      <c r="O2480" s="5">
        <f>IF(J2480="","",Parametros!$B$6-J2480)</f>
        <v/>
      </c>
      <c r="P2480" s="5">
        <f>IF(O2480="","",IF(O2480&gt;0,1,0))</f>
        <v/>
      </c>
    </row>
    <row r="2481">
      <c r="A2481" s="5" t="n">
        <v>2111000000</v>
      </c>
      <c r="B2481" s="5" t="inlineStr">
        <is>
          <t>107274</t>
        </is>
      </c>
      <c r="C2481" s="5" t="inlineStr">
        <is>
          <t>OBJECTA LIFTING LASHING AND TECHNIC</t>
        </is>
      </c>
      <c r="D2481" s="5" t="inlineStr">
        <is>
          <t>RS</t>
        </is>
      </c>
      <c r="E2481" s="5" t="n">
        <v>5015176</v>
      </c>
      <c r="F2481" s="5" t="inlineStr">
        <is>
          <t>147</t>
        </is>
      </c>
      <c r="G2481" s="5" t="inlineStr">
        <is>
          <t>BRL</t>
        </is>
      </c>
      <c r="H2481" s="9" t="n">
        <v>8200</v>
      </c>
      <c r="I2481" s="16" t="n">
        <v>46244</v>
      </c>
      <c r="J2481" s="16" t="n">
        <v>46274</v>
      </c>
      <c r="K2481" s="5" t="inlineStr">
        <is>
          <t>MR8M</t>
        </is>
      </c>
      <c r="L2481" s="5" t="inlineStr">
        <is>
          <t>09092026</t>
        </is>
      </c>
      <c r="M2481" s="5">
        <f>IF(YEAR(I2481)&lt;=2020,"Até 2020",TEXT(YEAR(I2481),"0"))</f>
        <v/>
      </c>
      <c r="N2481" s="5">
        <f>IFERROR(INDEX(DePara!$A:$A,MATCH(TEXT(B2481,"0"),DePara!$D:$D,0)),"(sem categoria)")</f>
        <v/>
      </c>
      <c r="O2481" s="5">
        <f>IF(J2481="","",Parametros!$B$6-J2481)</f>
        <v/>
      </c>
      <c r="P2481" s="5">
        <f>IF(O2481="","",IF(O2481&gt;0,1,0))</f>
        <v/>
      </c>
    </row>
    <row r="2482">
      <c r="A2482" s="5" t="n">
        <v>2111000000</v>
      </c>
      <c r="B2482" s="5" t="inlineStr">
        <is>
          <t>107274</t>
        </is>
      </c>
      <c r="C2482" s="5" t="inlineStr">
        <is>
          <t>OBJECTA LIFTING LASHING AND TECHNIC</t>
        </is>
      </c>
      <c r="D2482" s="5" t="inlineStr">
        <is>
          <t>RS</t>
        </is>
      </c>
      <c r="E2482" s="5" t="n">
        <v>5015177</v>
      </c>
      <c r="F2482" s="5" t="inlineStr">
        <is>
          <t>148</t>
        </is>
      </c>
      <c r="G2482" s="5" t="inlineStr">
        <is>
          <t>BRL</t>
        </is>
      </c>
      <c r="H2482" s="9" t="n">
        <v>7300</v>
      </c>
      <c r="I2482" s="16" t="n">
        <v>46244</v>
      </c>
      <c r="J2482" s="16" t="n">
        <v>46274</v>
      </c>
      <c r="K2482" s="5" t="inlineStr">
        <is>
          <t>MR8M</t>
        </is>
      </c>
      <c r="L2482" s="5" t="inlineStr">
        <is>
          <t>09092026</t>
        </is>
      </c>
      <c r="M2482" s="5">
        <f>IF(YEAR(I2482)&lt;=2020,"Até 2020",TEXT(YEAR(I2482),"0"))</f>
        <v/>
      </c>
      <c r="N2482" s="5">
        <f>IFERROR(INDEX(DePara!$A:$A,MATCH(TEXT(B2482,"0"),DePara!$D:$D,0)),"(sem categoria)")</f>
        <v/>
      </c>
      <c r="O2482" s="5">
        <f>IF(J2482="","",Parametros!$B$6-J2482)</f>
        <v/>
      </c>
      <c r="P2482" s="5">
        <f>IF(O2482="","",IF(O2482&gt;0,1,0))</f>
        <v/>
      </c>
    </row>
    <row r="2483">
      <c r="A2483" s="5" t="n">
        <v>2111000000</v>
      </c>
      <c r="B2483" s="5" t="inlineStr">
        <is>
          <t>103936</t>
        </is>
      </c>
      <c r="C2483" s="5" t="inlineStr">
        <is>
          <t>BELA VISTA RENOVAVEIS II LTDA</t>
        </is>
      </c>
      <c r="D2483" s="5" t="inlineStr">
        <is>
          <t>RE</t>
        </is>
      </c>
      <c r="E2483" s="5" t="n">
        <v>5015188</v>
      </c>
      <c r="F2483" s="5" t="inlineStr">
        <is>
          <t>1723</t>
        </is>
      </c>
      <c r="G2483" s="5" t="inlineStr">
        <is>
          <t>BRL</t>
        </is>
      </c>
      <c r="H2483" s="9" t="n">
        <v>-193075.74</v>
      </c>
      <c r="I2483" s="16" t="n">
        <v>46237</v>
      </c>
      <c r="J2483" s="16" t="n">
        <v>46270</v>
      </c>
      <c r="K2483" s="5" t="inlineStr">
        <is>
          <t>Fatura - bruto BELA VISTA RENOVAVEIS II LTDA 1723</t>
        </is>
      </c>
      <c r="L2483" s="5" t="inlineStr">
        <is>
          <t>02092026</t>
        </is>
      </c>
      <c r="M2483" s="5">
        <f>IF(YEAR(I2483)&lt;=2020,"Até 2020",TEXT(YEAR(I2483),"0"))</f>
        <v/>
      </c>
      <c r="N2483" s="5">
        <f>IFERROR(INDEX(DePara!$A:$A,MATCH(TEXT(B2483,"0"),DePara!$D:$D,0)),"(sem categoria)")</f>
        <v/>
      </c>
      <c r="O2483" s="5">
        <f>IF(J2483="","",Parametros!$B$6-J2483)</f>
        <v/>
      </c>
      <c r="P2483" s="5">
        <f>IF(O2483="","",IF(O2483&gt;0,1,0))</f>
        <v/>
      </c>
    </row>
    <row r="2484">
      <c r="A2484" s="5" t="n">
        <v>2111000000</v>
      </c>
      <c r="B2484" s="5" t="inlineStr">
        <is>
          <t>103936</t>
        </is>
      </c>
      <c r="C2484" s="5" t="inlineStr">
        <is>
          <t>BELA VISTA RENOVAVEIS II LTDA</t>
        </is>
      </c>
      <c r="D2484" s="5" t="inlineStr">
        <is>
          <t>RE</t>
        </is>
      </c>
      <c r="E2484" s="5" t="n">
        <v>5015189</v>
      </c>
      <c r="F2484" s="5" t="inlineStr">
        <is>
          <t>1724</t>
        </is>
      </c>
      <c r="G2484" s="5" t="inlineStr">
        <is>
          <t>BRL</t>
        </is>
      </c>
      <c r="H2484" s="9" t="n">
        <v>-73048.42999999999</v>
      </c>
      <c r="I2484" s="16" t="n">
        <v>46237</v>
      </c>
      <c r="J2484" s="16" t="n">
        <v>46270</v>
      </c>
      <c r="K2484" s="5" t="inlineStr">
        <is>
          <t>Fatura - bruto BELA VISTA RENOVAVEIS II LTDA 1724</t>
        </is>
      </c>
      <c r="L2484" s="5" t="inlineStr">
        <is>
          <t>02092026</t>
        </is>
      </c>
      <c r="M2484" s="5">
        <f>IF(YEAR(I2484)&lt;=2020,"Até 2020",TEXT(YEAR(I2484),"0"))</f>
        <v/>
      </c>
      <c r="N2484" s="5">
        <f>IFERROR(INDEX(DePara!$A:$A,MATCH(TEXT(B2484,"0"),DePara!$D:$D,0)),"(sem categoria)")</f>
        <v/>
      </c>
      <c r="O2484" s="5">
        <f>IF(J2484="","",Parametros!$B$6-J2484)</f>
        <v/>
      </c>
      <c r="P2484" s="5">
        <f>IF(O2484="","",IF(O2484&gt;0,1,0))</f>
        <v/>
      </c>
    </row>
    <row r="2485">
      <c r="A2485" s="5" t="n">
        <v>2111000000</v>
      </c>
      <c r="B2485" s="5" t="inlineStr">
        <is>
          <t>101775</t>
        </is>
      </c>
      <c r="C2485" s="5" t="inlineStr">
        <is>
          <t>SOUSATEC.NET LTDA  ME</t>
        </is>
      </c>
      <c r="D2485" s="5" t="inlineStr">
        <is>
          <t>RE</t>
        </is>
      </c>
      <c r="E2485" s="5" t="n">
        <v>5015191</v>
      </c>
      <c r="F2485" s="5" t="inlineStr">
        <is>
          <t>5512</t>
        </is>
      </c>
      <c r="G2485" s="5" t="inlineStr">
        <is>
          <t>BRL</t>
        </is>
      </c>
      <c r="H2485" s="9" t="n">
        <v>-2900</v>
      </c>
      <c r="I2485" s="16" t="n">
        <v>46239</v>
      </c>
      <c r="J2485" s="16" t="n">
        <v>46269</v>
      </c>
      <c r="K2485" s="5" t="inlineStr">
        <is>
          <t>Fatura - bruto SOUSATEC.NET LTDA  ME 5512</t>
        </is>
      </c>
      <c r="L2485" s="5" t="inlineStr">
        <is>
          <t>02092026</t>
        </is>
      </c>
      <c r="M2485" s="5">
        <f>IF(YEAR(I2485)&lt;=2020,"Até 2020",TEXT(YEAR(I2485),"0"))</f>
        <v/>
      </c>
      <c r="N2485" s="5">
        <f>IFERROR(INDEX(DePara!$A:$A,MATCH(TEXT(B2485,"0"),DePara!$D:$D,0)),"(sem categoria)")</f>
        <v/>
      </c>
      <c r="O2485" s="5">
        <f>IF(J2485="","",Parametros!$B$6-J2485)</f>
        <v/>
      </c>
      <c r="P2485" s="5">
        <f>IF(O2485="","",IF(O2485&gt;0,1,0))</f>
        <v/>
      </c>
    </row>
    <row r="2486">
      <c r="A2486" s="5" t="n">
        <v>2111000000</v>
      </c>
      <c r="B2486" s="5" t="inlineStr">
        <is>
          <t>103936</t>
        </is>
      </c>
      <c r="C2486" s="5" t="inlineStr">
        <is>
          <t>BELA VISTA RENOVAVEIS II LTDA</t>
        </is>
      </c>
      <c r="D2486" s="5" t="inlineStr">
        <is>
          <t>RE</t>
        </is>
      </c>
      <c r="E2486" s="5" t="n">
        <v>5015198</v>
      </c>
      <c r="F2486" s="5" t="inlineStr">
        <is>
          <t>1722</t>
        </is>
      </c>
      <c r="G2486" s="5" t="inlineStr">
        <is>
          <t>BRL</t>
        </is>
      </c>
      <c r="H2486" s="9" t="n">
        <v>-130568.89</v>
      </c>
      <c r="I2486" s="16" t="n">
        <v>46237</v>
      </c>
      <c r="J2486" s="16" t="n">
        <v>46270</v>
      </c>
      <c r="K2486" s="5" t="inlineStr">
        <is>
          <t>Fatura - bruto BELA VISTA RENOVAVEIS II LTDA 1722</t>
        </is>
      </c>
      <c r="L2486" s="5" t="inlineStr">
        <is>
          <t>02092026</t>
        </is>
      </c>
      <c r="M2486" s="5">
        <f>IF(YEAR(I2486)&lt;=2020,"Até 2020",TEXT(YEAR(I2486),"0"))</f>
        <v/>
      </c>
      <c r="N2486" s="5">
        <f>IFERROR(INDEX(DePara!$A:$A,MATCH(TEXT(B2486,"0"),DePara!$D:$D,0)),"(sem categoria)")</f>
        <v/>
      </c>
      <c r="O2486" s="5">
        <f>IF(J2486="","",Parametros!$B$6-J2486)</f>
        <v/>
      </c>
      <c r="P2486" s="5">
        <f>IF(O2486="","",IF(O2486&gt;0,1,0))</f>
        <v/>
      </c>
    </row>
    <row r="2487">
      <c r="A2487" s="5" t="n">
        <v>2111000000</v>
      </c>
      <c r="B2487" s="5" t="inlineStr">
        <is>
          <t>103936</t>
        </is>
      </c>
      <c r="C2487" s="5" t="inlineStr">
        <is>
          <t>BELA VISTA RENOVAVEIS II LTDA</t>
        </is>
      </c>
      <c r="D2487" s="5" t="inlineStr">
        <is>
          <t>RE</t>
        </is>
      </c>
      <c r="E2487" s="5" t="n">
        <v>5015199</v>
      </c>
      <c r="F2487" s="5" t="inlineStr">
        <is>
          <t>1725</t>
        </is>
      </c>
      <c r="G2487" s="5" t="inlineStr">
        <is>
          <t>BRL</t>
        </is>
      </c>
      <c r="H2487" s="9" t="n">
        <v>-103152.74</v>
      </c>
      <c r="I2487" s="16" t="n">
        <v>46237</v>
      </c>
      <c r="J2487" s="16" t="n">
        <v>46270</v>
      </c>
      <c r="K2487" s="5" t="inlineStr">
        <is>
          <t>Fatura - bruto BELA VISTA RENOVAVEIS II LTDA 1725</t>
        </is>
      </c>
      <c r="L2487" s="5" t="inlineStr">
        <is>
          <t>02092026</t>
        </is>
      </c>
      <c r="M2487" s="5">
        <f>IF(YEAR(I2487)&lt;=2020,"Até 2020",TEXT(YEAR(I2487),"0"))</f>
        <v/>
      </c>
      <c r="N2487" s="5">
        <f>IFERROR(INDEX(DePara!$A:$A,MATCH(TEXT(B2487,"0"),DePara!$D:$D,0)),"(sem categoria)")</f>
        <v/>
      </c>
      <c r="O2487" s="5">
        <f>IF(J2487="","",Parametros!$B$6-J2487)</f>
        <v/>
      </c>
      <c r="P2487" s="5">
        <f>IF(O2487="","",IF(O2487&gt;0,1,0))</f>
        <v/>
      </c>
    </row>
    <row r="2488">
      <c r="A2488" s="5" t="n">
        <v>2111000000</v>
      </c>
      <c r="B2488" s="5" t="inlineStr">
        <is>
          <t>103936</t>
        </is>
      </c>
      <c r="C2488" s="5" t="inlineStr">
        <is>
          <t>BELA VISTA RENOVAVEIS II LTDA</t>
        </is>
      </c>
      <c r="D2488" s="5" t="inlineStr">
        <is>
          <t>RE</t>
        </is>
      </c>
      <c r="E2488" s="5" t="n">
        <v>5015200</v>
      </c>
      <c r="F2488" s="5" t="inlineStr">
        <is>
          <t>1726</t>
        </is>
      </c>
      <c r="G2488" s="5" t="inlineStr">
        <is>
          <t>BRL</t>
        </is>
      </c>
      <c r="H2488" s="9" t="n">
        <v>-111176.73</v>
      </c>
      <c r="I2488" s="16" t="n">
        <v>46237</v>
      </c>
      <c r="J2488" s="16" t="n">
        <v>46270</v>
      </c>
      <c r="K2488" s="5" t="inlineStr">
        <is>
          <t>Fatura - bruto BELA VISTA RENOVAVEIS II LTDA 1726</t>
        </is>
      </c>
      <c r="L2488" s="5" t="inlineStr">
        <is>
          <t>02092026</t>
        </is>
      </c>
      <c r="M2488" s="5">
        <f>IF(YEAR(I2488)&lt;=2020,"Até 2020",TEXT(YEAR(I2488),"0"))</f>
        <v/>
      </c>
      <c r="N2488" s="5">
        <f>IFERROR(INDEX(DePara!$A:$A,MATCH(TEXT(B2488,"0"),DePara!$D:$D,0)),"(sem categoria)")</f>
        <v/>
      </c>
      <c r="O2488" s="5">
        <f>IF(J2488="","",Parametros!$B$6-J2488)</f>
        <v/>
      </c>
      <c r="P2488" s="5">
        <f>IF(O2488="","",IF(O2488&gt;0,1,0))</f>
        <v/>
      </c>
    </row>
    <row r="2489">
      <c r="A2489" s="5" t="n">
        <v>2111000000</v>
      </c>
      <c r="B2489" s="5" t="inlineStr">
        <is>
          <t>105751</t>
        </is>
      </c>
      <c r="C2489" s="5" t="inlineStr">
        <is>
          <t>SULZER SCHMID BRAZIL LTDA 57465227000120</t>
        </is>
      </c>
      <c r="D2489" s="5" t="inlineStr">
        <is>
          <t>RE</t>
        </is>
      </c>
      <c r="E2489" s="5" t="n">
        <v>5015201</v>
      </c>
      <c r="F2489" s="5" t="inlineStr">
        <is>
          <t>86</t>
        </is>
      </c>
      <c r="G2489" s="5" t="inlineStr">
        <is>
          <t>BRL</t>
        </is>
      </c>
      <c r="H2489" s="9" t="n">
        <v>-9850</v>
      </c>
      <c r="I2489" s="16" t="n">
        <v>46240</v>
      </c>
      <c r="J2489" s="16" t="n">
        <v>46300</v>
      </c>
      <c r="K2489" s="5" t="inlineStr">
        <is>
          <t>Fatura - bruto SULZER SCHMID BRAZIL LTDA 574652270</t>
        </is>
      </c>
      <c r="L2489" s="5" t="inlineStr">
        <is>
          <t>05102026</t>
        </is>
      </c>
      <c r="M2489" s="5">
        <f>IF(YEAR(I2489)&lt;=2020,"Até 2020",TEXT(YEAR(I2489),"0"))</f>
        <v/>
      </c>
      <c r="N2489" s="5">
        <f>IFERROR(INDEX(DePara!$A:$A,MATCH(TEXT(B2489,"0"),DePara!$D:$D,0)),"(sem categoria)")</f>
        <v/>
      </c>
      <c r="O2489" s="5">
        <f>IF(J2489="","",Parametros!$B$6-J2489)</f>
        <v/>
      </c>
      <c r="P2489" s="5">
        <f>IF(O2489="","",IF(O2489&gt;0,1,0))</f>
        <v/>
      </c>
    </row>
    <row r="2490">
      <c r="A2490" s="5" t="n">
        <v>2111000000</v>
      </c>
      <c r="B2490" s="5" t="inlineStr">
        <is>
          <t>101008</t>
        </is>
      </c>
      <c r="C2490" s="5" t="inlineStr">
        <is>
          <t>OXIGENIO IRECE LTDA</t>
        </is>
      </c>
      <c r="D2490" s="5" t="inlineStr">
        <is>
          <t>RE</t>
        </is>
      </c>
      <c r="E2490" s="5" t="n">
        <v>5015202</v>
      </c>
      <c r="F2490" s="5" t="inlineStr">
        <is>
          <t>395</t>
        </is>
      </c>
      <c r="G2490" s="5" t="inlineStr">
        <is>
          <t>BRL</t>
        </is>
      </c>
      <c r="H2490" s="9" t="n">
        <v>-600</v>
      </c>
      <c r="I2490" s="16" t="n">
        <v>46240</v>
      </c>
      <c r="J2490" s="16" t="n">
        <v>46300</v>
      </c>
      <c r="K2490" s="5" t="inlineStr">
        <is>
          <t>Fatura - bruto OXIGENIO IRECE LTDA 395</t>
        </is>
      </c>
      <c r="L2490" s="5" t="inlineStr">
        <is>
          <t>05102026</t>
        </is>
      </c>
      <c r="M2490" s="5">
        <f>IF(YEAR(I2490)&lt;=2020,"Até 2020",TEXT(YEAR(I2490),"0"))</f>
        <v/>
      </c>
      <c r="N2490" s="5">
        <f>IFERROR(INDEX(DePara!$A:$A,MATCH(TEXT(B2490,"0"),DePara!$D:$D,0)),"(sem categoria)")</f>
        <v/>
      </c>
      <c r="O2490" s="5">
        <f>IF(J2490="","",Parametros!$B$6-J2490)</f>
        <v/>
      </c>
      <c r="P2490" s="5">
        <f>IF(O2490="","",IF(O2490&gt;0,1,0))</f>
        <v/>
      </c>
    </row>
    <row r="2491">
      <c r="A2491" s="5" t="n">
        <v>2111000000</v>
      </c>
      <c r="B2491" s="5" t="inlineStr">
        <is>
          <t>101887</t>
        </is>
      </c>
      <c r="C2491" s="5" t="inlineStr">
        <is>
          <t>MGO DE FREITAS</t>
        </is>
      </c>
      <c r="D2491" s="5" t="inlineStr">
        <is>
          <t>RE</t>
        </is>
      </c>
      <c r="E2491" s="5" t="n">
        <v>5015203</v>
      </c>
      <c r="F2491" s="5" t="inlineStr">
        <is>
          <t>1407</t>
        </is>
      </c>
      <c r="G2491" s="5" t="inlineStr">
        <is>
          <t>BRL</t>
        </is>
      </c>
      <c r="H2491" s="9" t="n">
        <v>-4265.96</v>
      </c>
      <c r="I2491" s="16" t="n">
        <v>46237</v>
      </c>
      <c r="J2491" s="16" t="n">
        <v>46270</v>
      </c>
      <c r="K2491" s="5" t="inlineStr">
        <is>
          <t>Fatura - bruto MGO DE FREITAS 1407</t>
        </is>
      </c>
      <c r="L2491" s="5" t="inlineStr">
        <is>
          <t>08092026</t>
        </is>
      </c>
      <c r="M2491" s="5">
        <f>IF(YEAR(I2491)&lt;=2020,"Até 2020",TEXT(YEAR(I2491),"0"))</f>
        <v/>
      </c>
      <c r="N2491" s="5">
        <f>IFERROR(INDEX(DePara!$A:$A,MATCH(TEXT(B2491,"0"),DePara!$D:$D,0)),"(sem categoria)")</f>
        <v/>
      </c>
      <c r="O2491" s="5">
        <f>IF(J2491="","",Parametros!$B$6-J2491)</f>
        <v/>
      </c>
      <c r="P2491" s="5">
        <f>IF(O2491="","",IF(O2491&gt;0,1,0))</f>
        <v/>
      </c>
    </row>
    <row r="2492">
      <c r="A2492" s="5" t="n">
        <v>2111000000</v>
      </c>
      <c r="B2492" s="5" t="inlineStr">
        <is>
          <t>100519</t>
        </is>
      </c>
      <c r="C2492" s="5" t="inlineStr">
        <is>
          <t>CORDEIRO TRANSPORTES LTDA 13043748000113</t>
        </is>
      </c>
      <c r="D2492" s="5" t="inlineStr">
        <is>
          <t>RE</t>
        </is>
      </c>
      <c r="E2492" s="5" t="n">
        <v>5015204</v>
      </c>
      <c r="F2492" s="5" t="inlineStr">
        <is>
          <t>910</t>
        </is>
      </c>
      <c r="G2492" s="5" t="inlineStr">
        <is>
          <t>BRL</t>
        </is>
      </c>
      <c r="H2492" s="9" t="n">
        <v>-29141.18</v>
      </c>
      <c r="I2492" s="16" t="n">
        <v>46223</v>
      </c>
      <c r="J2492" s="16" t="n">
        <v>46270</v>
      </c>
      <c r="K2492" s="5" t="inlineStr">
        <is>
          <t>Fatura - bruto CORDEIRO TRANSPORTES LTDA 130437480</t>
        </is>
      </c>
      <c r="L2492" s="5" t="inlineStr">
        <is>
          <t>08092026</t>
        </is>
      </c>
      <c r="M2492" s="5">
        <f>IF(YEAR(I2492)&lt;=2020,"Até 2020",TEXT(YEAR(I2492),"0"))</f>
        <v/>
      </c>
      <c r="N2492" s="5">
        <f>IFERROR(INDEX(DePara!$A:$A,MATCH(TEXT(B2492,"0"),DePara!$D:$D,0)),"(sem categoria)")</f>
        <v/>
      </c>
      <c r="O2492" s="5">
        <f>IF(J2492="","",Parametros!$B$6-J2492)</f>
        <v/>
      </c>
      <c r="P2492" s="5">
        <f>IF(O2492="","",IF(O2492&gt;0,1,0))</f>
        <v/>
      </c>
    </row>
    <row r="2493">
      <c r="A2493" s="5" t="n">
        <v>2111000000</v>
      </c>
      <c r="B2493" s="5" t="inlineStr">
        <is>
          <t>101387</t>
        </is>
      </c>
      <c r="C2493" s="5" t="inlineStr">
        <is>
          <t>AZEVEDO ENGENHARIA E PARTICIPAÇÕES</t>
        </is>
      </c>
      <c r="D2493" s="5" t="inlineStr">
        <is>
          <t>RE</t>
        </is>
      </c>
      <c r="E2493" s="5" t="n">
        <v>5015207</v>
      </c>
      <c r="F2493" s="5" t="inlineStr">
        <is>
          <t>18</t>
        </is>
      </c>
      <c r="G2493" s="5" t="inlineStr">
        <is>
          <t>BRL</t>
        </is>
      </c>
      <c r="H2493" s="9" t="n">
        <v>-24855.6</v>
      </c>
      <c r="I2493" s="16" t="n">
        <v>46246</v>
      </c>
      <c r="J2493" s="16" t="n">
        <v>46270</v>
      </c>
      <c r="K2493" s="5" t="inlineStr">
        <is>
          <t>Fatura - bruto AZEVEDO ENGENHARIA E PARTICIPAÇÕES</t>
        </is>
      </c>
      <c r="L2493" s="5" t="inlineStr">
        <is>
          <t>08092026</t>
        </is>
      </c>
      <c r="M2493" s="5">
        <f>IF(YEAR(I2493)&lt;=2020,"Até 2020",TEXT(YEAR(I2493),"0"))</f>
        <v/>
      </c>
      <c r="N2493" s="5">
        <f>IFERROR(INDEX(DePara!$A:$A,MATCH(TEXT(B2493,"0"),DePara!$D:$D,0)),"(sem categoria)")</f>
        <v/>
      </c>
      <c r="O2493" s="5">
        <f>IF(J2493="","",Parametros!$B$6-J2493)</f>
        <v/>
      </c>
      <c r="P2493" s="5">
        <f>IF(O2493="","",IF(O2493&gt;0,1,0))</f>
        <v/>
      </c>
    </row>
    <row r="2494">
      <c r="A2494" s="5" t="n">
        <v>2111000000</v>
      </c>
      <c r="B2494" s="5" t="inlineStr">
        <is>
          <t>101463</t>
        </is>
      </c>
      <c r="C2494" s="5" t="inlineStr">
        <is>
          <t>ZURICH MINAS BRASIL SEGUROS S A</t>
        </is>
      </c>
      <c r="D2494" s="5" t="inlineStr">
        <is>
          <t>RE</t>
        </is>
      </c>
      <c r="E2494" s="5" t="n">
        <v>5015209</v>
      </c>
      <c r="F2494" s="5" t="inlineStr">
        <is>
          <t>0385/26</t>
        </is>
      </c>
      <c r="G2494" s="5" t="inlineStr">
        <is>
          <t>BRL</t>
        </is>
      </c>
      <c r="H2494" s="9" t="n">
        <v>-11303.32</v>
      </c>
      <c r="I2494" s="16" t="n">
        <v>46248</v>
      </c>
      <c r="J2494" s="16" t="n">
        <v>46278</v>
      </c>
      <c r="K2494" s="5" t="inlineStr">
        <is>
          <t>Invoice Payment. SP: 21458</t>
        </is>
      </c>
      <c r="L2494" s="5" t="inlineStr">
        <is>
          <t>0385/26</t>
        </is>
      </c>
      <c r="M2494" s="5">
        <f>IF(YEAR(I2494)&lt;=2020,"Até 2020",TEXT(YEAR(I2494),"0"))</f>
        <v/>
      </c>
      <c r="N2494" s="5">
        <f>IFERROR(INDEX(DePara!$A:$A,MATCH(TEXT(B2494,"0"),DePara!$D:$D,0)),"(sem categoria)")</f>
        <v/>
      </c>
      <c r="O2494" s="5">
        <f>IF(J2494="","",Parametros!$B$6-J2494)</f>
        <v/>
      </c>
      <c r="P2494" s="5">
        <f>IF(O2494="","",IF(O2494&gt;0,1,0))</f>
        <v/>
      </c>
    </row>
    <row r="2495">
      <c r="A2495" s="5" t="n">
        <v>2111000000</v>
      </c>
      <c r="B2495" s="5" t="inlineStr">
        <is>
          <t>101463</t>
        </is>
      </c>
      <c r="C2495" s="5" t="inlineStr">
        <is>
          <t>ZURICH MINAS BRASIL SEGUROS S A</t>
        </is>
      </c>
      <c r="D2495" s="5" t="inlineStr">
        <is>
          <t>RE</t>
        </is>
      </c>
      <c r="E2495" s="5" t="n">
        <v>5015211</v>
      </c>
      <c r="F2495" s="5" t="inlineStr">
        <is>
          <t>0373/26</t>
        </is>
      </c>
      <c r="G2495" s="5" t="inlineStr">
        <is>
          <t>BRL</t>
        </is>
      </c>
      <c r="H2495" s="9" t="n">
        <v>-10574.68</v>
      </c>
      <c r="I2495" s="16" t="n">
        <v>46248</v>
      </c>
      <c r="J2495" s="16" t="n">
        <v>46278</v>
      </c>
      <c r="K2495" s="5" t="inlineStr">
        <is>
          <t>Invoice Payment. SP: 21460</t>
        </is>
      </c>
      <c r="L2495" s="5" t="inlineStr">
        <is>
          <t>0373/26</t>
        </is>
      </c>
      <c r="M2495" s="5">
        <f>IF(YEAR(I2495)&lt;=2020,"Até 2020",TEXT(YEAR(I2495),"0"))</f>
        <v/>
      </c>
      <c r="N2495" s="5">
        <f>IFERROR(INDEX(DePara!$A:$A,MATCH(TEXT(B2495,"0"),DePara!$D:$D,0)),"(sem categoria)")</f>
        <v/>
      </c>
      <c r="O2495" s="5">
        <f>IF(J2495="","",Parametros!$B$6-J2495)</f>
        <v/>
      </c>
      <c r="P2495" s="5">
        <f>IF(O2495="","",IF(O2495&gt;0,1,0))</f>
        <v/>
      </c>
    </row>
    <row r="2496">
      <c r="A2496" s="5" t="n">
        <v>2111000000</v>
      </c>
      <c r="B2496" s="5" t="inlineStr">
        <is>
          <t>101463</t>
        </is>
      </c>
      <c r="C2496" s="5" t="inlineStr">
        <is>
          <t>ZURICH MINAS BRASIL SEGUROS S A</t>
        </is>
      </c>
      <c r="D2496" s="5" t="inlineStr">
        <is>
          <t>RE</t>
        </is>
      </c>
      <c r="E2496" s="5" t="n">
        <v>5015212</v>
      </c>
      <c r="F2496" s="5" t="inlineStr">
        <is>
          <t>0371/26</t>
        </is>
      </c>
      <c r="G2496" s="5" t="inlineStr">
        <is>
          <t>BRL</t>
        </is>
      </c>
      <c r="H2496" s="9" t="n">
        <v>-3364.51</v>
      </c>
      <c r="I2496" s="16" t="n">
        <v>46248</v>
      </c>
      <c r="J2496" s="16" t="n">
        <v>46278</v>
      </c>
      <c r="K2496" s="5" t="inlineStr">
        <is>
          <t>Invoice Payment. SP: 21478</t>
        </is>
      </c>
      <c r="L2496" s="5" t="inlineStr">
        <is>
          <t>0371/26</t>
        </is>
      </c>
      <c r="M2496" s="5">
        <f>IF(YEAR(I2496)&lt;=2020,"Até 2020",TEXT(YEAR(I2496),"0"))</f>
        <v/>
      </c>
      <c r="N2496" s="5">
        <f>IFERROR(INDEX(DePara!$A:$A,MATCH(TEXT(B2496,"0"),DePara!$D:$D,0)),"(sem categoria)")</f>
        <v/>
      </c>
      <c r="O2496" s="5">
        <f>IF(J2496="","",Parametros!$B$6-J2496)</f>
        <v/>
      </c>
      <c r="P2496" s="5">
        <f>IF(O2496="","",IF(O2496&gt;0,1,0))</f>
        <v/>
      </c>
    </row>
    <row r="2497">
      <c r="A2497" s="5" t="n">
        <v>2111000000</v>
      </c>
      <c r="B2497" s="5" t="inlineStr">
        <is>
          <t>101463</t>
        </is>
      </c>
      <c r="C2497" s="5" t="inlineStr">
        <is>
          <t>ZURICH MINAS BRASIL SEGUROS S A</t>
        </is>
      </c>
      <c r="D2497" s="5" t="inlineStr">
        <is>
          <t>RE</t>
        </is>
      </c>
      <c r="E2497" s="5" t="n">
        <v>5015216</v>
      </c>
      <c r="F2497" s="5" t="inlineStr">
        <is>
          <t>0450/26</t>
        </is>
      </c>
      <c r="G2497" s="5" t="inlineStr">
        <is>
          <t>BRL</t>
        </is>
      </c>
      <c r="H2497" s="9" t="n">
        <v>-2.21</v>
      </c>
      <c r="I2497" s="16" t="n">
        <v>46248</v>
      </c>
      <c r="J2497" s="16" t="n">
        <v>46278</v>
      </c>
      <c r="K2497" s="5" t="inlineStr">
        <is>
          <t>Invoice Payment. SP: 21480</t>
        </is>
      </c>
      <c r="L2497" s="5" t="inlineStr">
        <is>
          <t>0450/26</t>
        </is>
      </c>
      <c r="M2497" s="5">
        <f>IF(YEAR(I2497)&lt;=2020,"Até 2020",TEXT(YEAR(I2497),"0"))</f>
        <v/>
      </c>
      <c r="N2497" s="5">
        <f>IFERROR(INDEX(DePara!$A:$A,MATCH(TEXT(B2497,"0"),DePara!$D:$D,0)),"(sem categoria)")</f>
        <v/>
      </c>
      <c r="O2497" s="5">
        <f>IF(J2497="","",Parametros!$B$6-J2497)</f>
        <v/>
      </c>
      <c r="P2497" s="5">
        <f>IF(O2497="","",IF(O2497&gt;0,1,0))</f>
        <v/>
      </c>
    </row>
    <row r="2498">
      <c r="A2498" s="5" t="n">
        <v>2111000000</v>
      </c>
      <c r="B2498" s="5" t="inlineStr">
        <is>
          <t>101463</t>
        </is>
      </c>
      <c r="C2498" s="5" t="inlineStr">
        <is>
          <t>ZURICH MINAS BRASIL SEGUROS S A</t>
        </is>
      </c>
      <c r="D2498" s="5" t="inlineStr">
        <is>
          <t>RE</t>
        </is>
      </c>
      <c r="E2498" s="5" t="n">
        <v>5015220</v>
      </c>
      <c r="F2498" s="5" t="inlineStr">
        <is>
          <t>0494/26</t>
        </is>
      </c>
      <c r="G2498" s="5" t="inlineStr">
        <is>
          <t>BRL</t>
        </is>
      </c>
      <c r="H2498" s="9" t="n">
        <v>-122.71</v>
      </c>
      <c r="I2498" s="16" t="n">
        <v>46248</v>
      </c>
      <c r="J2498" s="16" t="n">
        <v>46278</v>
      </c>
      <c r="K2498" s="5" t="inlineStr">
        <is>
          <t>Invoice Payment. SP: 21482</t>
        </is>
      </c>
      <c r="L2498" s="5" t="inlineStr">
        <is>
          <t>0494/26</t>
        </is>
      </c>
      <c r="M2498" s="5">
        <f>IF(YEAR(I2498)&lt;=2020,"Até 2020",TEXT(YEAR(I2498),"0"))</f>
        <v/>
      </c>
      <c r="N2498" s="5">
        <f>IFERROR(INDEX(DePara!$A:$A,MATCH(TEXT(B2498,"0"),DePara!$D:$D,0)),"(sem categoria)")</f>
        <v/>
      </c>
      <c r="O2498" s="5">
        <f>IF(J2498="","",Parametros!$B$6-J2498)</f>
        <v/>
      </c>
      <c r="P2498" s="5">
        <f>IF(O2498="","",IF(O2498&gt;0,1,0))</f>
        <v/>
      </c>
    </row>
    <row r="2499">
      <c r="A2499" s="5" t="n">
        <v>2111000000</v>
      </c>
      <c r="B2499" s="5" t="inlineStr">
        <is>
          <t>101226</t>
        </is>
      </c>
      <c r="C2499" s="5" t="inlineStr">
        <is>
          <t>AL WIND SOLUCOES LTDA</t>
        </is>
      </c>
      <c r="D2499" s="5" t="inlineStr">
        <is>
          <t>RE</t>
        </is>
      </c>
      <c r="E2499" s="5" t="n">
        <v>5015222</v>
      </c>
      <c r="F2499" s="5" t="inlineStr">
        <is>
          <t>61</t>
        </is>
      </c>
      <c r="G2499" s="5" t="inlineStr">
        <is>
          <t>BRL</t>
        </is>
      </c>
      <c r="H2499" s="9" t="n">
        <v>-19479.26</v>
      </c>
      <c r="I2499" s="16" t="n">
        <v>46246</v>
      </c>
      <c r="J2499" s="16" t="n">
        <v>46276</v>
      </c>
      <c r="K2499" s="5" t="inlineStr">
        <is>
          <t>Fatura - bruto AL WIND SOLUCOES LTDA 61</t>
        </is>
      </c>
      <c r="L2499" s="5" t="inlineStr">
        <is>
          <t>09092026</t>
        </is>
      </c>
      <c r="M2499" s="5">
        <f>IF(YEAR(I2499)&lt;=2020,"Até 2020",TEXT(YEAR(I2499),"0"))</f>
        <v/>
      </c>
      <c r="N2499" s="5">
        <f>IFERROR(INDEX(DePara!$A:$A,MATCH(TEXT(B2499,"0"),DePara!$D:$D,0)),"(sem categoria)")</f>
        <v/>
      </c>
      <c r="O2499" s="5">
        <f>IF(J2499="","",Parametros!$B$6-J2499)</f>
        <v/>
      </c>
      <c r="P2499" s="5">
        <f>IF(O2499="","",IF(O2499&gt;0,1,0))</f>
        <v/>
      </c>
    </row>
    <row r="2500">
      <c r="A2500" s="5" t="n">
        <v>2111000000</v>
      </c>
      <c r="B2500" s="5" t="inlineStr">
        <is>
          <t>101226</t>
        </is>
      </c>
      <c r="C2500" s="5" t="inlineStr">
        <is>
          <t>AL WIND SOLUCOES LTDA</t>
        </is>
      </c>
      <c r="D2500" s="5" t="inlineStr">
        <is>
          <t>RE</t>
        </is>
      </c>
      <c r="E2500" s="5" t="n">
        <v>5015223</v>
      </c>
      <c r="F2500" s="5" t="inlineStr">
        <is>
          <t>63</t>
        </is>
      </c>
      <c r="G2500" s="5" t="inlineStr">
        <is>
          <t>BRL</t>
        </is>
      </c>
      <c r="H2500" s="9" t="n">
        <v>-21037.5</v>
      </c>
      <c r="I2500" s="16" t="n">
        <v>46247</v>
      </c>
      <c r="J2500" s="16" t="n">
        <v>46277</v>
      </c>
      <c r="K2500" s="5" t="inlineStr">
        <is>
          <t>Fatura - bruto AL WIND SOLUCOES LTDA 63</t>
        </is>
      </c>
      <c r="L2500" s="5" t="inlineStr">
        <is>
          <t>09092026</t>
        </is>
      </c>
      <c r="M2500" s="5">
        <f>IF(YEAR(I2500)&lt;=2020,"Até 2020",TEXT(YEAR(I2500),"0"))</f>
        <v/>
      </c>
      <c r="N2500" s="5">
        <f>IFERROR(INDEX(DePara!$A:$A,MATCH(TEXT(B2500,"0"),DePara!$D:$D,0)),"(sem categoria)")</f>
        <v/>
      </c>
      <c r="O2500" s="5">
        <f>IF(J2500="","",Parametros!$B$6-J2500)</f>
        <v/>
      </c>
      <c r="P2500" s="5">
        <f>IF(O2500="","",IF(O2500&gt;0,1,0))</f>
        <v/>
      </c>
    </row>
    <row r="2501">
      <c r="A2501" s="5" t="n">
        <v>2111000000</v>
      </c>
      <c r="B2501" s="5" t="inlineStr">
        <is>
          <t>101226</t>
        </is>
      </c>
      <c r="C2501" s="5" t="inlineStr">
        <is>
          <t>AL WIND SOLUCOES LTDA</t>
        </is>
      </c>
      <c r="D2501" s="5" t="inlineStr">
        <is>
          <t>RE</t>
        </is>
      </c>
      <c r="E2501" s="5" t="n">
        <v>5015224</v>
      </c>
      <c r="F2501" s="5" t="inlineStr">
        <is>
          <t>7</t>
        </is>
      </c>
      <c r="G2501" s="5" t="inlineStr">
        <is>
          <t>BRL</t>
        </is>
      </c>
      <c r="H2501" s="9" t="n">
        <v>-8004.76</v>
      </c>
      <c r="I2501" s="16" t="n">
        <v>46246</v>
      </c>
      <c r="J2501" s="16" t="n">
        <v>46277</v>
      </c>
      <c r="K2501" s="5" t="inlineStr">
        <is>
          <t>Fatura - bruto AL WIND SOLUCOES LTDA 7</t>
        </is>
      </c>
      <c r="L2501" s="5" t="inlineStr">
        <is>
          <t>09092026</t>
        </is>
      </c>
      <c r="M2501" s="5">
        <f>IF(YEAR(I2501)&lt;=2020,"Até 2020",TEXT(YEAR(I2501),"0"))</f>
        <v/>
      </c>
      <c r="N2501" s="5">
        <f>IFERROR(INDEX(DePara!$A:$A,MATCH(TEXT(B2501,"0"),DePara!$D:$D,0)),"(sem categoria)")</f>
        <v/>
      </c>
      <c r="O2501" s="5">
        <f>IF(J2501="","",Parametros!$B$6-J2501)</f>
        <v/>
      </c>
      <c r="P2501" s="5">
        <f>IF(O2501="","",IF(O2501&gt;0,1,0))</f>
        <v/>
      </c>
    </row>
    <row r="2502">
      <c r="A2502" s="5" t="n">
        <v>2111000000</v>
      </c>
      <c r="B2502" s="5" t="inlineStr">
        <is>
          <t>101226</t>
        </is>
      </c>
      <c r="C2502" s="5" t="inlineStr">
        <is>
          <t>AL WIND SOLUCOES LTDA</t>
        </is>
      </c>
      <c r="D2502" s="5" t="inlineStr">
        <is>
          <t>RE</t>
        </is>
      </c>
      <c r="E2502" s="5" t="n">
        <v>5015225</v>
      </c>
      <c r="F2502" s="5" t="inlineStr">
        <is>
          <t>62</t>
        </is>
      </c>
      <c r="G2502" s="5" t="inlineStr">
        <is>
          <t>BRL</t>
        </is>
      </c>
      <c r="H2502" s="9" t="n">
        <v>-14033.36</v>
      </c>
      <c r="I2502" s="16" t="n">
        <v>46246</v>
      </c>
      <c r="J2502" s="16" t="n">
        <v>46276</v>
      </c>
      <c r="K2502" s="5" t="inlineStr">
        <is>
          <t>Fatura - bruto AL WIND SOLUCOES LTDA 62</t>
        </is>
      </c>
      <c r="L2502" s="5" t="inlineStr">
        <is>
          <t>09092026</t>
        </is>
      </c>
      <c r="M2502" s="5">
        <f>IF(YEAR(I2502)&lt;=2020,"Até 2020",TEXT(YEAR(I2502),"0"))</f>
        <v/>
      </c>
      <c r="N2502" s="5">
        <f>IFERROR(INDEX(DePara!$A:$A,MATCH(TEXT(B2502,"0"),DePara!$D:$D,0)),"(sem categoria)")</f>
        <v/>
      </c>
      <c r="O2502" s="5">
        <f>IF(J2502="","",Parametros!$B$6-J2502)</f>
        <v/>
      </c>
      <c r="P2502" s="5">
        <f>IF(O2502="","",IF(O2502&gt;0,1,0))</f>
        <v/>
      </c>
    </row>
    <row r="2503">
      <c r="A2503" s="5" t="n">
        <v>2111000000</v>
      </c>
      <c r="B2503" s="5" t="inlineStr">
        <is>
          <t>101226</t>
        </is>
      </c>
      <c r="C2503" s="5" t="inlineStr">
        <is>
          <t>AL WIND SOLUCOES LTDA</t>
        </is>
      </c>
      <c r="D2503" s="5" t="inlineStr">
        <is>
          <t>RS</t>
        </is>
      </c>
      <c r="E2503" s="5" t="n">
        <v>5015227</v>
      </c>
      <c r="F2503" s="5" t="inlineStr">
        <is>
          <t>63</t>
        </is>
      </c>
      <c r="G2503" s="5" t="inlineStr">
        <is>
          <t>BRL</t>
        </is>
      </c>
      <c r="H2503" s="9" t="n">
        <v>21037.5</v>
      </c>
      <c r="I2503" s="16" t="n">
        <v>46247</v>
      </c>
      <c r="J2503" s="16" t="n">
        <v>46277</v>
      </c>
      <c r="K2503" s="5" t="inlineStr">
        <is>
          <t>MR8M</t>
        </is>
      </c>
      <c r="L2503" s="5" t="inlineStr">
        <is>
          <t>09092026</t>
        </is>
      </c>
      <c r="M2503" s="5">
        <f>IF(YEAR(I2503)&lt;=2020,"Até 2020",TEXT(YEAR(I2503),"0"))</f>
        <v/>
      </c>
      <c r="N2503" s="5">
        <f>IFERROR(INDEX(DePara!$A:$A,MATCH(TEXT(B2503,"0"),DePara!$D:$D,0)),"(sem categoria)")</f>
        <v/>
      </c>
      <c r="O2503" s="5">
        <f>IF(J2503="","",Parametros!$B$6-J2503)</f>
        <v/>
      </c>
      <c r="P2503" s="5">
        <f>IF(O2503="","",IF(O2503&gt;0,1,0))</f>
        <v/>
      </c>
    </row>
    <row r="2504">
      <c r="A2504" s="5" t="n">
        <v>2111000000</v>
      </c>
      <c r="B2504" s="5" t="inlineStr">
        <is>
          <t>101226</t>
        </is>
      </c>
      <c r="C2504" s="5" t="inlineStr">
        <is>
          <t>AL WIND SOLUCOES LTDA</t>
        </is>
      </c>
      <c r="D2504" s="5" t="inlineStr">
        <is>
          <t>RE</t>
        </is>
      </c>
      <c r="E2504" s="5" t="n">
        <v>5015228</v>
      </c>
      <c r="F2504" s="5" t="inlineStr">
        <is>
          <t>63</t>
        </is>
      </c>
      <c r="G2504" s="5" t="inlineStr">
        <is>
          <t>BRL</t>
        </is>
      </c>
      <c r="H2504" s="9" t="n">
        <v>-21037.5</v>
      </c>
      <c r="I2504" s="16" t="n">
        <v>46247</v>
      </c>
      <c r="J2504" s="16" t="n">
        <v>46277</v>
      </c>
      <c r="K2504" s="5" t="inlineStr">
        <is>
          <t>Fatura - bruto AL WIND SOLUCOES LTDA 63</t>
        </is>
      </c>
      <c r="L2504" s="5" t="inlineStr">
        <is>
          <t>09092026</t>
        </is>
      </c>
      <c r="M2504" s="5">
        <f>IF(YEAR(I2504)&lt;=2020,"Até 2020",TEXT(YEAR(I2504),"0"))</f>
        <v/>
      </c>
      <c r="N2504" s="5">
        <f>IFERROR(INDEX(DePara!$A:$A,MATCH(TEXT(B2504,"0"),DePara!$D:$D,0)),"(sem categoria)")</f>
        <v/>
      </c>
      <c r="O2504" s="5">
        <f>IF(J2504="","",Parametros!$B$6-J2504)</f>
        <v/>
      </c>
      <c r="P2504" s="5">
        <f>IF(O2504="","",IF(O2504&gt;0,1,0))</f>
        <v/>
      </c>
    </row>
    <row r="2505">
      <c r="A2505" s="5" t="n">
        <v>2111000000</v>
      </c>
      <c r="B2505" s="5" t="inlineStr">
        <is>
          <t>101463</t>
        </is>
      </c>
      <c r="C2505" s="5" t="inlineStr">
        <is>
          <t>ZURICH MINAS BRASIL SEGUROS S A</t>
        </is>
      </c>
      <c r="D2505" s="5" t="inlineStr">
        <is>
          <t>RE</t>
        </is>
      </c>
      <c r="E2505" s="5" t="n">
        <v>5015229</v>
      </c>
      <c r="F2505" s="5" t="inlineStr">
        <is>
          <t>0342/26</t>
        </is>
      </c>
      <c r="G2505" s="5" t="inlineStr">
        <is>
          <t>BRL</t>
        </is>
      </c>
      <c r="H2505" s="9" t="n">
        <v>-3797.77</v>
      </c>
      <c r="I2505" s="16" t="n">
        <v>46248</v>
      </c>
      <c r="J2505" s="16" t="n">
        <v>46278</v>
      </c>
      <c r="K2505" s="5" t="inlineStr">
        <is>
          <t>Invoice Payment. SP: 21489</t>
        </is>
      </c>
      <c r="L2505" s="5" t="inlineStr">
        <is>
          <t>0342/26</t>
        </is>
      </c>
      <c r="M2505" s="5">
        <f>IF(YEAR(I2505)&lt;=2020,"Até 2020",TEXT(YEAR(I2505),"0"))</f>
        <v/>
      </c>
      <c r="N2505" s="5">
        <f>IFERROR(INDEX(DePara!$A:$A,MATCH(TEXT(B2505,"0"),DePara!$D:$D,0)),"(sem categoria)")</f>
        <v/>
      </c>
      <c r="O2505" s="5">
        <f>IF(J2505="","",Parametros!$B$6-J2505)</f>
        <v/>
      </c>
      <c r="P2505" s="5">
        <f>IF(O2505="","",IF(O2505&gt;0,1,0))</f>
        <v/>
      </c>
    </row>
    <row r="2506">
      <c r="A2506" s="5" t="n">
        <v>2111000000</v>
      </c>
      <c r="B2506" s="5" t="inlineStr">
        <is>
          <t>101714</t>
        </is>
      </c>
      <c r="C2506" s="5" t="inlineStr">
        <is>
          <t>VCI DO BRASIL IND E COMERC DE COMP</t>
        </is>
      </c>
      <c r="D2506" s="5" t="inlineStr">
        <is>
          <t>RE</t>
        </is>
      </c>
      <c r="E2506" s="5" t="n">
        <v>5015232</v>
      </c>
      <c r="F2506" s="5" t="inlineStr">
        <is>
          <t>497</t>
        </is>
      </c>
      <c r="G2506" s="5" t="inlineStr">
        <is>
          <t>BRL</t>
        </is>
      </c>
      <c r="H2506" s="9" t="n">
        <v>-110030.47</v>
      </c>
      <c r="I2506" s="16" t="n">
        <v>46247</v>
      </c>
      <c r="J2506" s="16" t="n">
        <v>46270</v>
      </c>
      <c r="K2506" s="5" t="inlineStr">
        <is>
          <t>Fatura - bruto VCI DO BRASIL IND E COMERC DE COMP</t>
        </is>
      </c>
      <c r="L2506" s="5" t="inlineStr">
        <is>
          <t>08092026</t>
        </is>
      </c>
      <c r="M2506" s="5">
        <f>IF(YEAR(I2506)&lt;=2020,"Até 2020",TEXT(YEAR(I2506),"0"))</f>
        <v/>
      </c>
      <c r="N2506" s="5">
        <f>IFERROR(INDEX(DePara!$A:$A,MATCH(TEXT(B2506,"0"),DePara!$D:$D,0)),"(sem categoria)")</f>
        <v/>
      </c>
      <c r="O2506" s="5">
        <f>IF(J2506="","",Parametros!$B$6-J2506)</f>
        <v/>
      </c>
      <c r="P2506" s="5">
        <f>IF(O2506="","",IF(O2506&gt;0,1,0))</f>
        <v/>
      </c>
    </row>
    <row r="2507">
      <c r="A2507" s="5" t="n">
        <v>2111000000</v>
      </c>
      <c r="B2507" s="5" t="inlineStr">
        <is>
          <t>101944</t>
        </is>
      </c>
      <c r="C2507" s="5" t="inlineStr">
        <is>
          <t>TEXAS CONTROLS DO BRASIL LTDA</t>
        </is>
      </c>
      <c r="D2507" s="5" t="inlineStr">
        <is>
          <t>RE</t>
        </is>
      </c>
      <c r="E2507" s="5" t="n">
        <v>5015233</v>
      </c>
      <c r="F2507" s="5" t="inlineStr">
        <is>
          <t>1218</t>
        </is>
      </c>
      <c r="G2507" s="5" t="inlineStr">
        <is>
          <t>BRL</t>
        </is>
      </c>
      <c r="H2507" s="9" t="n">
        <v>-3733.83</v>
      </c>
      <c r="I2507" s="16" t="n">
        <v>46247</v>
      </c>
      <c r="J2507" s="16" t="n">
        <v>46278</v>
      </c>
      <c r="K2507" s="5" t="inlineStr">
        <is>
          <t>Fatura - bruto TEXAS CONTROLS DO BRASIL LTDA 1218</t>
        </is>
      </c>
      <c r="L2507" s="5" t="inlineStr">
        <is>
          <t>09092026</t>
        </is>
      </c>
      <c r="M2507" s="5">
        <f>IF(YEAR(I2507)&lt;=2020,"Até 2020",TEXT(YEAR(I2507),"0"))</f>
        <v/>
      </c>
      <c r="N2507" s="5">
        <f>IFERROR(INDEX(DePara!$A:$A,MATCH(TEXT(B2507,"0"),DePara!$D:$D,0)),"(sem categoria)")</f>
        <v/>
      </c>
      <c r="O2507" s="5">
        <f>IF(J2507="","",Parametros!$B$6-J2507)</f>
        <v/>
      </c>
      <c r="P2507" s="5">
        <f>IF(O2507="","",IF(O2507&gt;0,1,0))</f>
        <v/>
      </c>
    </row>
    <row r="2508">
      <c r="A2508" s="5" t="n">
        <v>2111000000</v>
      </c>
      <c r="B2508" s="5" t="inlineStr">
        <is>
          <t>101463</t>
        </is>
      </c>
      <c r="C2508" s="5" t="inlineStr">
        <is>
          <t>ZURICH MINAS BRASIL SEGUROS S A</t>
        </is>
      </c>
      <c r="D2508" s="5" t="inlineStr">
        <is>
          <t>RE</t>
        </is>
      </c>
      <c r="E2508" s="5" t="n">
        <v>5015234</v>
      </c>
      <c r="F2508" s="5" t="inlineStr">
        <is>
          <t>0411/26</t>
        </is>
      </c>
      <c r="G2508" s="5" t="inlineStr">
        <is>
          <t>BRL</t>
        </is>
      </c>
      <c r="H2508" s="9" t="n">
        <v>-46.98</v>
      </c>
      <c r="I2508" s="16" t="n">
        <v>46251</v>
      </c>
      <c r="J2508" s="16" t="n">
        <v>46281</v>
      </c>
      <c r="K2508" s="5" t="inlineStr">
        <is>
          <t>Invoice Payment. SP: 21498</t>
        </is>
      </c>
      <c r="L2508" s="5" t="inlineStr">
        <is>
          <t>0411/26</t>
        </is>
      </c>
      <c r="M2508" s="5">
        <f>IF(YEAR(I2508)&lt;=2020,"Até 2020",TEXT(YEAR(I2508),"0"))</f>
        <v/>
      </c>
      <c r="N2508" s="5">
        <f>IFERROR(INDEX(DePara!$A:$A,MATCH(TEXT(B2508,"0"),DePara!$D:$D,0)),"(sem categoria)")</f>
        <v/>
      </c>
      <c r="O2508" s="5">
        <f>IF(J2508="","",Parametros!$B$6-J2508)</f>
        <v/>
      </c>
      <c r="P2508" s="5">
        <f>IF(O2508="","",IF(O2508&gt;0,1,0))</f>
        <v/>
      </c>
    </row>
    <row r="2509">
      <c r="A2509" s="5" t="n">
        <v>2111000000</v>
      </c>
      <c r="B2509" s="5" t="inlineStr">
        <is>
          <t>100906</t>
        </is>
      </c>
      <c r="C2509" s="5" t="inlineStr">
        <is>
          <t>R &amp; G TELECOM LTDA</t>
        </is>
      </c>
      <c r="D2509" s="5" t="inlineStr">
        <is>
          <t>RE</t>
        </is>
      </c>
      <c r="E2509" s="5" t="n">
        <v>5015235</v>
      </c>
      <c r="F2509" s="5" t="inlineStr">
        <is>
          <t>5360</t>
        </is>
      </c>
      <c r="G2509" s="5" t="inlineStr">
        <is>
          <t>BRL</t>
        </is>
      </c>
      <c r="H2509" s="9" t="n">
        <v>-1970</v>
      </c>
      <c r="I2509" s="16" t="n">
        <v>46247</v>
      </c>
      <c r="J2509" s="16" t="n">
        <v>46280</v>
      </c>
      <c r="K2509" s="5" t="inlineStr">
        <is>
          <t>Fatura - bruto R &amp; G TELECOM LTDA 5360</t>
        </is>
      </c>
      <c r="L2509" s="5" t="inlineStr">
        <is>
          <t>09092026</t>
        </is>
      </c>
      <c r="M2509" s="5">
        <f>IF(YEAR(I2509)&lt;=2020,"Até 2020",TEXT(YEAR(I2509),"0"))</f>
        <v/>
      </c>
      <c r="N2509" s="5">
        <f>IFERROR(INDEX(DePara!$A:$A,MATCH(TEXT(B2509,"0"),DePara!$D:$D,0)),"(sem categoria)")</f>
        <v/>
      </c>
      <c r="O2509" s="5">
        <f>IF(J2509="","",Parametros!$B$6-J2509)</f>
        <v/>
      </c>
      <c r="P2509" s="5">
        <f>IF(O2509="","",IF(O2509&gt;0,1,0))</f>
        <v/>
      </c>
    </row>
    <row r="2510">
      <c r="A2510" s="5" t="n">
        <v>2111000000</v>
      </c>
      <c r="B2510" s="5" t="inlineStr">
        <is>
          <t>101463</t>
        </is>
      </c>
      <c r="C2510" s="5" t="inlineStr">
        <is>
          <t>ZURICH MINAS BRASIL SEGUROS S A</t>
        </is>
      </c>
      <c r="D2510" s="5" t="inlineStr">
        <is>
          <t>RE</t>
        </is>
      </c>
      <c r="E2510" s="5" t="n">
        <v>5015236</v>
      </c>
      <c r="F2510" s="5" t="inlineStr">
        <is>
          <t>0461/26</t>
        </is>
      </c>
      <c r="G2510" s="5" t="inlineStr">
        <is>
          <t>BRL</t>
        </is>
      </c>
      <c r="H2510" s="9" t="n">
        <v>-467.15</v>
      </c>
      <c r="I2510" s="16" t="n">
        <v>46251</v>
      </c>
      <c r="J2510" s="16" t="n">
        <v>46281</v>
      </c>
      <c r="K2510" s="5" t="inlineStr">
        <is>
          <t>Invoice Payment. SP: 21499</t>
        </is>
      </c>
      <c r="L2510" s="5" t="inlineStr">
        <is>
          <t>0461/26</t>
        </is>
      </c>
      <c r="M2510" s="5">
        <f>IF(YEAR(I2510)&lt;=2020,"Até 2020",TEXT(YEAR(I2510),"0"))</f>
        <v/>
      </c>
      <c r="N2510" s="5">
        <f>IFERROR(INDEX(DePara!$A:$A,MATCH(TEXT(B2510,"0"),DePara!$D:$D,0)),"(sem categoria)")</f>
        <v/>
      </c>
      <c r="O2510" s="5">
        <f>IF(J2510="","",Parametros!$B$6-J2510)</f>
        <v/>
      </c>
      <c r="P2510" s="5">
        <f>IF(O2510="","",IF(O2510&gt;0,1,0))</f>
        <v/>
      </c>
    </row>
    <row r="2511">
      <c r="A2511" s="5" t="n">
        <v>2111000000</v>
      </c>
      <c r="B2511" s="5" t="inlineStr">
        <is>
          <t>101463</t>
        </is>
      </c>
      <c r="C2511" s="5" t="inlineStr">
        <is>
          <t>ZURICH MINAS BRASIL SEGUROS S A</t>
        </is>
      </c>
      <c r="D2511" s="5" t="inlineStr">
        <is>
          <t>RE</t>
        </is>
      </c>
      <c r="E2511" s="5" t="n">
        <v>5015240</v>
      </c>
      <c r="F2511" s="5" t="inlineStr">
        <is>
          <t>0459/26</t>
        </is>
      </c>
      <c r="G2511" s="5" t="inlineStr">
        <is>
          <t>BRL</t>
        </is>
      </c>
      <c r="H2511" s="9" t="n">
        <v>-278.71</v>
      </c>
      <c r="I2511" s="16" t="n">
        <v>46251</v>
      </c>
      <c r="J2511" s="16" t="n">
        <v>46281</v>
      </c>
      <c r="K2511" s="5" t="inlineStr">
        <is>
          <t>Invoice Payment. SP: 21501</t>
        </is>
      </c>
      <c r="L2511" s="5" t="inlineStr">
        <is>
          <t>0459/26</t>
        </is>
      </c>
      <c r="M2511" s="5">
        <f>IF(YEAR(I2511)&lt;=2020,"Até 2020",TEXT(YEAR(I2511),"0"))</f>
        <v/>
      </c>
      <c r="N2511" s="5">
        <f>IFERROR(INDEX(DePara!$A:$A,MATCH(TEXT(B2511,"0"),DePara!$D:$D,0)),"(sem categoria)")</f>
        <v/>
      </c>
      <c r="O2511" s="5">
        <f>IF(J2511="","",Parametros!$B$6-J2511)</f>
        <v/>
      </c>
      <c r="P2511" s="5">
        <f>IF(O2511="","",IF(O2511&gt;0,1,0))</f>
        <v/>
      </c>
    </row>
    <row r="2512">
      <c r="A2512" s="5" t="n">
        <v>2111000000</v>
      </c>
      <c r="B2512" s="5" t="inlineStr">
        <is>
          <t>100883</t>
        </is>
      </c>
      <c r="C2512" s="5" t="inlineStr">
        <is>
          <t>QUELMAR TRANSPORTES LTDA</t>
        </is>
      </c>
      <c r="D2512" s="5" t="inlineStr">
        <is>
          <t>RE</t>
        </is>
      </c>
      <c r="E2512" s="5" t="n">
        <v>5015249</v>
      </c>
      <c r="F2512" s="5" t="inlineStr">
        <is>
          <t>6357-2</t>
        </is>
      </c>
      <c r="G2512" s="5" t="inlineStr">
        <is>
          <t>BRL</t>
        </is>
      </c>
      <c r="H2512" s="9" t="n">
        <v>-1380</v>
      </c>
      <c r="I2512" s="16" t="n">
        <v>46240</v>
      </c>
      <c r="J2512" s="16" t="n">
        <v>46300</v>
      </c>
      <c r="K2512" s="5" t="inlineStr">
        <is>
          <t>Fatura - bruto QUELMAR TRANSPORTES LTDA 6357-2</t>
        </is>
      </c>
      <c r="L2512" s="5" t="inlineStr">
        <is>
          <t>05102026</t>
        </is>
      </c>
      <c r="M2512" s="5">
        <f>IF(YEAR(I2512)&lt;=2020,"Até 2020",TEXT(YEAR(I2512),"0"))</f>
        <v/>
      </c>
      <c r="N2512" s="5">
        <f>IFERROR(INDEX(DePara!$A:$A,MATCH(TEXT(B2512,"0"),DePara!$D:$D,0)),"(sem categoria)")</f>
        <v/>
      </c>
      <c r="O2512" s="5">
        <f>IF(J2512="","",Parametros!$B$6-J2512)</f>
        <v/>
      </c>
      <c r="P2512" s="5">
        <f>IF(O2512="","",IF(O2512&gt;0,1,0))</f>
        <v/>
      </c>
    </row>
    <row r="2513">
      <c r="A2513" s="5" t="n">
        <v>2111000000</v>
      </c>
      <c r="B2513" s="5" t="inlineStr">
        <is>
          <t>100883</t>
        </is>
      </c>
      <c r="C2513" s="5" t="inlineStr">
        <is>
          <t>QUELMAR TRANSPORTES LTDA</t>
        </is>
      </c>
      <c r="D2513" s="5" t="inlineStr">
        <is>
          <t>RE</t>
        </is>
      </c>
      <c r="E2513" s="5" t="n">
        <v>5015250</v>
      </c>
      <c r="F2513" s="5" t="inlineStr">
        <is>
          <t>6380-2</t>
        </is>
      </c>
      <c r="G2513" s="5" t="inlineStr">
        <is>
          <t>BRL</t>
        </is>
      </c>
      <c r="H2513" s="9" t="n">
        <v>-3970</v>
      </c>
      <c r="I2513" s="16" t="n">
        <v>46245</v>
      </c>
      <c r="J2513" s="16" t="n">
        <v>46300</v>
      </c>
      <c r="K2513" s="5" t="inlineStr">
        <is>
          <t>Fatura - bruto QUELMAR TRANSPORTES LTDA 6380-2</t>
        </is>
      </c>
      <c r="L2513" s="5" t="inlineStr">
        <is>
          <t>05102026</t>
        </is>
      </c>
      <c r="M2513" s="5">
        <f>IF(YEAR(I2513)&lt;=2020,"Até 2020",TEXT(YEAR(I2513),"0"))</f>
        <v/>
      </c>
      <c r="N2513" s="5">
        <f>IFERROR(INDEX(DePara!$A:$A,MATCH(TEXT(B2513,"0"),DePara!$D:$D,0)),"(sem categoria)")</f>
        <v/>
      </c>
      <c r="O2513" s="5">
        <f>IF(J2513="","",Parametros!$B$6-J2513)</f>
        <v/>
      </c>
      <c r="P2513" s="5">
        <f>IF(O2513="","",IF(O2513&gt;0,1,0))</f>
        <v/>
      </c>
    </row>
    <row r="2514">
      <c r="A2514" s="5" t="n">
        <v>2111000000</v>
      </c>
      <c r="B2514" s="5" t="inlineStr">
        <is>
          <t>100883</t>
        </is>
      </c>
      <c r="C2514" s="5" t="inlineStr">
        <is>
          <t>QUELMAR TRANSPORTES LTDA</t>
        </is>
      </c>
      <c r="D2514" s="5" t="inlineStr">
        <is>
          <t>RE</t>
        </is>
      </c>
      <c r="E2514" s="5" t="n">
        <v>5015251</v>
      </c>
      <c r="F2514" s="5" t="inlineStr">
        <is>
          <t>6385-2</t>
        </is>
      </c>
      <c r="G2514" s="5" t="inlineStr">
        <is>
          <t>BRL</t>
        </is>
      </c>
      <c r="H2514" s="9" t="n">
        <v>-3970</v>
      </c>
      <c r="I2514" s="16" t="n">
        <v>46245</v>
      </c>
      <c r="J2514" s="16" t="n">
        <v>46300</v>
      </c>
      <c r="K2514" s="5" t="inlineStr">
        <is>
          <t>Fatura - bruto QUELMAR TRANSPORTES LTDA 6385-2</t>
        </is>
      </c>
      <c r="L2514" s="5" t="inlineStr">
        <is>
          <t>05102026</t>
        </is>
      </c>
      <c r="M2514" s="5">
        <f>IF(YEAR(I2514)&lt;=2020,"Até 2020",TEXT(YEAR(I2514),"0"))</f>
        <v/>
      </c>
      <c r="N2514" s="5">
        <f>IFERROR(INDEX(DePara!$A:$A,MATCH(TEXT(B2514,"0"),DePara!$D:$D,0)),"(sem categoria)")</f>
        <v/>
      </c>
      <c r="O2514" s="5">
        <f>IF(J2514="","",Parametros!$B$6-J2514)</f>
        <v/>
      </c>
      <c r="P2514" s="5">
        <f>IF(O2514="","",IF(O2514&gt;0,1,0))</f>
        <v/>
      </c>
    </row>
    <row r="2515">
      <c r="A2515" s="5" t="n">
        <v>2111000000</v>
      </c>
      <c r="B2515" s="5" t="inlineStr">
        <is>
          <t>100883</t>
        </is>
      </c>
      <c r="C2515" s="5" t="inlineStr">
        <is>
          <t>QUELMAR TRANSPORTES LTDA</t>
        </is>
      </c>
      <c r="D2515" s="5" t="inlineStr">
        <is>
          <t>RE</t>
        </is>
      </c>
      <c r="E2515" s="5" t="n">
        <v>5015253</v>
      </c>
      <c r="F2515" s="5" t="inlineStr">
        <is>
          <t>6388-2</t>
        </is>
      </c>
      <c r="G2515" s="5" t="inlineStr">
        <is>
          <t>BRL</t>
        </is>
      </c>
      <c r="H2515" s="9" t="n">
        <v>-4850</v>
      </c>
      <c r="I2515" s="16" t="n">
        <v>46245</v>
      </c>
      <c r="J2515" s="16" t="n">
        <v>46300</v>
      </c>
      <c r="K2515" s="5" t="inlineStr">
        <is>
          <t>Fatura - bruto QUELMAR TRANSPORTES LTDA 6388-2</t>
        </is>
      </c>
      <c r="L2515" s="5" t="inlineStr">
        <is>
          <t>05102026</t>
        </is>
      </c>
      <c r="M2515" s="5">
        <f>IF(YEAR(I2515)&lt;=2020,"Até 2020",TEXT(YEAR(I2515),"0"))</f>
        <v/>
      </c>
      <c r="N2515" s="5">
        <f>IFERROR(INDEX(DePara!$A:$A,MATCH(TEXT(B2515,"0"),DePara!$D:$D,0)),"(sem categoria)")</f>
        <v/>
      </c>
      <c r="O2515" s="5">
        <f>IF(J2515="","",Parametros!$B$6-J2515)</f>
        <v/>
      </c>
      <c r="P2515" s="5">
        <f>IF(O2515="","",IF(O2515&gt;0,1,0))</f>
        <v/>
      </c>
    </row>
    <row r="2516">
      <c r="A2516" s="5" t="n">
        <v>2111000000</v>
      </c>
      <c r="B2516" s="5" t="inlineStr">
        <is>
          <t>100454</t>
        </is>
      </c>
      <c r="C2516" s="5" t="inlineStr">
        <is>
          <t>GEOMATICS GESTAO DE FROTAS LTDA</t>
        </is>
      </c>
      <c r="D2516" s="5" t="inlineStr">
        <is>
          <t>RE</t>
        </is>
      </c>
      <c r="E2516" s="5" t="n">
        <v>5015254</v>
      </c>
      <c r="F2516" s="5" t="inlineStr">
        <is>
          <t>2809</t>
        </is>
      </c>
      <c r="G2516" s="5" t="inlineStr">
        <is>
          <t>BRL</t>
        </is>
      </c>
      <c r="H2516" s="9" t="n">
        <v>-73.05</v>
      </c>
      <c r="I2516" s="16" t="n">
        <v>46248</v>
      </c>
      <c r="J2516" s="16" t="n">
        <v>46278</v>
      </c>
      <c r="K2516" s="5" t="inlineStr">
        <is>
          <t>Fatura - bruto GEOMATICS GESTAO DE FROTAS LTDA 280</t>
        </is>
      </c>
      <c r="L2516" s="5" t="inlineStr">
        <is>
          <t>09092026</t>
        </is>
      </c>
      <c r="M2516" s="5">
        <f>IF(YEAR(I2516)&lt;=2020,"Até 2020",TEXT(YEAR(I2516),"0"))</f>
        <v/>
      </c>
      <c r="N2516" s="5">
        <f>IFERROR(INDEX(DePara!$A:$A,MATCH(TEXT(B2516,"0"),DePara!$D:$D,0)),"(sem categoria)")</f>
        <v/>
      </c>
      <c r="O2516" s="5">
        <f>IF(J2516="","",Parametros!$B$6-J2516)</f>
        <v/>
      </c>
      <c r="P2516" s="5">
        <f>IF(O2516="","",IF(O2516&gt;0,1,0))</f>
        <v/>
      </c>
    </row>
    <row r="2517">
      <c r="A2517" s="5" t="n">
        <v>2111000000</v>
      </c>
      <c r="B2517" s="5" t="inlineStr">
        <is>
          <t>100454</t>
        </is>
      </c>
      <c r="C2517" s="5" t="inlineStr">
        <is>
          <t>GEOMATICS GESTAO DE FROTAS LTDA</t>
        </is>
      </c>
      <c r="D2517" s="5" t="inlineStr">
        <is>
          <t>RE</t>
        </is>
      </c>
      <c r="E2517" s="5" t="n">
        <v>5015255</v>
      </c>
      <c r="F2517" s="5" t="inlineStr">
        <is>
          <t>2810</t>
        </is>
      </c>
      <c r="G2517" s="5" t="inlineStr">
        <is>
          <t>BRL</t>
        </is>
      </c>
      <c r="H2517" s="9" t="n">
        <v>-228.48</v>
      </c>
      <c r="I2517" s="16" t="n">
        <v>46248</v>
      </c>
      <c r="J2517" s="16" t="n">
        <v>46278</v>
      </c>
      <c r="K2517" s="5" t="inlineStr">
        <is>
          <t>Fatura - bruto GEOMATICS GESTAO DE FROTAS LTDA 281</t>
        </is>
      </c>
      <c r="L2517" s="5" t="inlineStr">
        <is>
          <t>09092026</t>
        </is>
      </c>
      <c r="M2517" s="5">
        <f>IF(YEAR(I2517)&lt;=2020,"Até 2020",TEXT(YEAR(I2517),"0"))</f>
        <v/>
      </c>
      <c r="N2517" s="5">
        <f>IFERROR(INDEX(DePara!$A:$A,MATCH(TEXT(B2517,"0"),DePara!$D:$D,0)),"(sem categoria)")</f>
        <v/>
      </c>
      <c r="O2517" s="5">
        <f>IF(J2517="","",Parametros!$B$6-J2517)</f>
        <v/>
      </c>
      <c r="P2517" s="5">
        <f>IF(O2517="","",IF(O2517&gt;0,1,0))</f>
        <v/>
      </c>
    </row>
    <row r="2518">
      <c r="A2518" s="5" t="n">
        <v>2111000000</v>
      </c>
      <c r="B2518" s="5" t="inlineStr">
        <is>
          <t>100454</t>
        </is>
      </c>
      <c r="C2518" s="5" t="inlineStr">
        <is>
          <t>GEOMATICS GESTAO DE FROTAS LTDA</t>
        </is>
      </c>
      <c r="D2518" s="5" t="inlineStr">
        <is>
          <t>RE</t>
        </is>
      </c>
      <c r="E2518" s="5" t="n">
        <v>5015256</v>
      </c>
      <c r="F2518" s="5" t="inlineStr">
        <is>
          <t>2811</t>
        </is>
      </c>
      <c r="G2518" s="5" t="inlineStr">
        <is>
          <t>BRL</t>
        </is>
      </c>
      <c r="H2518" s="9" t="n">
        <v>-76.16</v>
      </c>
      <c r="I2518" s="16" t="n">
        <v>46248</v>
      </c>
      <c r="J2518" s="16" t="n">
        <v>46278</v>
      </c>
      <c r="K2518" s="5" t="inlineStr">
        <is>
          <t>Fatura - bruto GEOMATICS GESTAO DE FROTAS LTDA 281</t>
        </is>
      </c>
      <c r="L2518" s="5" t="inlineStr">
        <is>
          <t>09092026</t>
        </is>
      </c>
      <c r="M2518" s="5">
        <f>IF(YEAR(I2518)&lt;=2020,"Até 2020",TEXT(YEAR(I2518),"0"))</f>
        <v/>
      </c>
      <c r="N2518" s="5">
        <f>IFERROR(INDEX(DePara!$A:$A,MATCH(TEXT(B2518,"0"),DePara!$D:$D,0)),"(sem categoria)")</f>
        <v/>
      </c>
      <c r="O2518" s="5">
        <f>IF(J2518="","",Parametros!$B$6-J2518)</f>
        <v/>
      </c>
      <c r="P2518" s="5">
        <f>IF(O2518="","",IF(O2518&gt;0,1,0))</f>
        <v/>
      </c>
    </row>
    <row r="2519">
      <c r="A2519" s="5" t="n">
        <v>2111000000</v>
      </c>
      <c r="B2519" s="5" t="inlineStr">
        <is>
          <t>100454</t>
        </is>
      </c>
      <c r="C2519" s="5" t="inlineStr">
        <is>
          <t>GEOMATICS GESTAO DE FROTAS LTDA</t>
        </is>
      </c>
      <c r="D2519" s="5" t="inlineStr">
        <is>
          <t>RE</t>
        </is>
      </c>
      <c r="E2519" s="5" t="n">
        <v>5015257</v>
      </c>
      <c r="F2519" s="5" t="inlineStr">
        <is>
          <t>5904</t>
        </is>
      </c>
      <c r="G2519" s="5" t="inlineStr">
        <is>
          <t>BRL</t>
        </is>
      </c>
      <c r="H2519" s="9" t="n">
        <v>-400.66</v>
      </c>
      <c r="I2519" s="16" t="n">
        <v>46248</v>
      </c>
      <c r="J2519" s="16" t="n">
        <v>46278</v>
      </c>
      <c r="K2519" s="5" t="inlineStr">
        <is>
          <t>Fatura - bruto GEOMATICS GESTAO DE FROTAS LTDA 590</t>
        </is>
      </c>
      <c r="L2519" s="5" t="inlineStr">
        <is>
          <t>09092026</t>
        </is>
      </c>
      <c r="M2519" s="5">
        <f>IF(YEAR(I2519)&lt;=2020,"Até 2020",TEXT(YEAR(I2519),"0"))</f>
        <v/>
      </c>
      <c r="N2519" s="5">
        <f>IFERROR(INDEX(DePara!$A:$A,MATCH(TEXT(B2519,"0"),DePara!$D:$D,0)),"(sem categoria)")</f>
        <v/>
      </c>
      <c r="O2519" s="5">
        <f>IF(J2519="","",Parametros!$B$6-J2519)</f>
        <v/>
      </c>
      <c r="P2519" s="5">
        <f>IF(O2519="","",IF(O2519&gt;0,1,0))</f>
        <v/>
      </c>
    </row>
    <row r="2520">
      <c r="A2520" s="5" t="n">
        <v>2111000000</v>
      </c>
      <c r="B2520" s="5" t="inlineStr">
        <is>
          <t>100454</t>
        </is>
      </c>
      <c r="C2520" s="5" t="inlineStr">
        <is>
          <t>GEOMATICS GESTAO DE FROTAS LTDA</t>
        </is>
      </c>
      <c r="D2520" s="5" t="inlineStr">
        <is>
          <t>RE</t>
        </is>
      </c>
      <c r="E2520" s="5" t="n">
        <v>5015258</v>
      </c>
      <c r="F2520" s="5" t="inlineStr">
        <is>
          <t>2812</t>
        </is>
      </c>
      <c r="G2520" s="5" t="inlineStr">
        <is>
          <t>BRL</t>
        </is>
      </c>
      <c r="H2520" s="9" t="n">
        <v>-685.4400000000001</v>
      </c>
      <c r="I2520" s="16" t="n">
        <v>46248</v>
      </c>
      <c r="J2520" s="16" t="n">
        <v>46278</v>
      </c>
      <c r="K2520" s="5" t="inlineStr">
        <is>
          <t>Fatura - bruto GEOMATICS GESTAO DE FROTAS LTDA 281</t>
        </is>
      </c>
      <c r="L2520" s="5" t="inlineStr">
        <is>
          <t>09092026</t>
        </is>
      </c>
      <c r="M2520" s="5">
        <f>IF(YEAR(I2520)&lt;=2020,"Até 2020",TEXT(YEAR(I2520),"0"))</f>
        <v/>
      </c>
      <c r="N2520" s="5">
        <f>IFERROR(INDEX(DePara!$A:$A,MATCH(TEXT(B2520,"0"),DePara!$D:$D,0)),"(sem categoria)")</f>
        <v/>
      </c>
      <c r="O2520" s="5">
        <f>IF(J2520="","",Parametros!$B$6-J2520)</f>
        <v/>
      </c>
      <c r="P2520" s="5">
        <f>IF(O2520="","",IF(O2520&gt;0,1,0))</f>
        <v/>
      </c>
    </row>
    <row r="2521">
      <c r="A2521" s="5" t="n">
        <v>2111000000</v>
      </c>
      <c r="B2521" s="5" t="inlineStr">
        <is>
          <t>100454</t>
        </is>
      </c>
      <c r="C2521" s="5" t="inlineStr">
        <is>
          <t>GEOMATICS GESTAO DE FROTAS LTDA</t>
        </is>
      </c>
      <c r="D2521" s="5" t="inlineStr">
        <is>
          <t>RE</t>
        </is>
      </c>
      <c r="E2521" s="5" t="n">
        <v>5015259</v>
      </c>
      <c r="F2521" s="5" t="inlineStr">
        <is>
          <t>2813</t>
        </is>
      </c>
      <c r="G2521" s="5" t="inlineStr">
        <is>
          <t>BRL</t>
        </is>
      </c>
      <c r="H2521" s="9" t="n">
        <v>-76.16</v>
      </c>
      <c r="I2521" s="16" t="n">
        <v>46248</v>
      </c>
      <c r="J2521" s="16" t="n">
        <v>46278</v>
      </c>
      <c r="K2521" s="5" t="inlineStr">
        <is>
          <t>Fatura - bruto GEOMATICS GESTAO DE FROTAS LTDA 281</t>
        </is>
      </c>
      <c r="L2521" s="5" t="inlineStr">
        <is>
          <t>09092026</t>
        </is>
      </c>
      <c r="M2521" s="5">
        <f>IF(YEAR(I2521)&lt;=2020,"Até 2020",TEXT(YEAR(I2521),"0"))</f>
        <v/>
      </c>
      <c r="N2521" s="5">
        <f>IFERROR(INDEX(DePara!$A:$A,MATCH(TEXT(B2521,"0"),DePara!$D:$D,0)),"(sem categoria)")</f>
        <v/>
      </c>
      <c r="O2521" s="5">
        <f>IF(J2521="","",Parametros!$B$6-J2521)</f>
        <v/>
      </c>
      <c r="P2521" s="5">
        <f>IF(O2521="","",IF(O2521&gt;0,1,0))</f>
        <v/>
      </c>
    </row>
    <row r="2522">
      <c r="A2522" s="5" t="n">
        <v>2111000000</v>
      </c>
      <c r="B2522" s="5" t="inlineStr">
        <is>
          <t>100454</t>
        </is>
      </c>
      <c r="C2522" s="5" t="inlineStr">
        <is>
          <t>GEOMATICS GESTAO DE FROTAS LTDA</t>
        </is>
      </c>
      <c r="D2522" s="5" t="inlineStr">
        <is>
          <t>RE</t>
        </is>
      </c>
      <c r="E2522" s="5" t="n">
        <v>5015264</v>
      </c>
      <c r="F2522" s="5" t="inlineStr">
        <is>
          <t>2814</t>
        </is>
      </c>
      <c r="G2522" s="5" t="inlineStr">
        <is>
          <t>BRL</t>
        </is>
      </c>
      <c r="H2522" s="9" t="n">
        <v>-456.96</v>
      </c>
      <c r="I2522" s="16" t="n">
        <v>46248</v>
      </c>
      <c r="J2522" s="16" t="n">
        <v>46278</v>
      </c>
      <c r="K2522" s="5" t="inlineStr">
        <is>
          <t>Fatura - bruto GEOMATICS GESTAO DE FROTAS LTDA 281</t>
        </is>
      </c>
      <c r="L2522" s="5" t="inlineStr">
        <is>
          <t>09092026</t>
        </is>
      </c>
      <c r="M2522" s="5">
        <f>IF(YEAR(I2522)&lt;=2020,"Até 2020",TEXT(YEAR(I2522),"0"))</f>
        <v/>
      </c>
      <c r="N2522" s="5">
        <f>IFERROR(INDEX(DePara!$A:$A,MATCH(TEXT(B2522,"0"),DePara!$D:$D,0)),"(sem categoria)")</f>
        <v/>
      </c>
      <c r="O2522" s="5">
        <f>IF(J2522="","",Parametros!$B$6-J2522)</f>
        <v/>
      </c>
      <c r="P2522" s="5">
        <f>IF(O2522="","",IF(O2522&gt;0,1,0))</f>
        <v/>
      </c>
    </row>
    <row r="2523">
      <c r="A2523" s="5" t="n">
        <v>2111000000</v>
      </c>
      <c r="B2523" s="5" t="inlineStr">
        <is>
          <t>100454</t>
        </is>
      </c>
      <c r="C2523" s="5" t="inlineStr">
        <is>
          <t>GEOMATICS GESTAO DE FROTAS LTDA</t>
        </is>
      </c>
      <c r="D2523" s="5" t="inlineStr">
        <is>
          <t>RE</t>
        </is>
      </c>
      <c r="E2523" s="5" t="n">
        <v>5015266</v>
      </c>
      <c r="F2523" s="5" t="inlineStr">
        <is>
          <t>5905</t>
        </is>
      </c>
      <c r="G2523" s="5" t="inlineStr">
        <is>
          <t>BRL</t>
        </is>
      </c>
      <c r="H2523" s="9" t="n">
        <v>-44.52</v>
      </c>
      <c r="I2523" s="16" t="n">
        <v>46248</v>
      </c>
      <c r="J2523" s="16" t="n">
        <v>46278</v>
      </c>
      <c r="K2523" s="5" t="inlineStr">
        <is>
          <t>Fatura - bruto GEOMATICS GESTAO DE FROTAS LTDA 590</t>
        </is>
      </c>
      <c r="L2523" s="5" t="inlineStr">
        <is>
          <t>09092026</t>
        </is>
      </c>
      <c r="M2523" s="5">
        <f>IF(YEAR(I2523)&lt;=2020,"Até 2020",TEXT(YEAR(I2523),"0"))</f>
        <v/>
      </c>
      <c r="N2523" s="5">
        <f>IFERROR(INDEX(DePara!$A:$A,MATCH(TEXT(B2523,"0"),DePara!$D:$D,0)),"(sem categoria)")</f>
        <v/>
      </c>
      <c r="O2523" s="5">
        <f>IF(J2523="","",Parametros!$B$6-J2523)</f>
        <v/>
      </c>
      <c r="P2523" s="5">
        <f>IF(O2523="","",IF(O2523&gt;0,1,0))</f>
        <v/>
      </c>
    </row>
    <row r="2524">
      <c r="A2524" s="5" t="n">
        <v>2111000000</v>
      </c>
      <c r="B2524" s="5" t="inlineStr">
        <is>
          <t>100454</t>
        </is>
      </c>
      <c r="C2524" s="5" t="inlineStr">
        <is>
          <t>GEOMATICS GESTAO DE FROTAS LTDA</t>
        </is>
      </c>
      <c r="D2524" s="5" t="inlineStr">
        <is>
          <t>RE</t>
        </is>
      </c>
      <c r="E2524" s="5" t="n">
        <v>5015269</v>
      </c>
      <c r="F2524" s="5" t="inlineStr">
        <is>
          <t>2815</t>
        </is>
      </c>
      <c r="G2524" s="5" t="inlineStr">
        <is>
          <t>BRL</t>
        </is>
      </c>
      <c r="H2524" s="9" t="n">
        <v>-304.64</v>
      </c>
      <c r="I2524" s="16" t="n">
        <v>46248</v>
      </c>
      <c r="J2524" s="16" t="n">
        <v>46278</v>
      </c>
      <c r="K2524" s="5" t="inlineStr">
        <is>
          <t>Fatura - bruto GEOMATICS GESTAO DE FROTAS LTDA 281</t>
        </is>
      </c>
      <c r="L2524" s="5" t="inlineStr">
        <is>
          <t>09092026</t>
        </is>
      </c>
      <c r="M2524" s="5">
        <f>IF(YEAR(I2524)&lt;=2020,"Até 2020",TEXT(YEAR(I2524),"0"))</f>
        <v/>
      </c>
      <c r="N2524" s="5">
        <f>IFERROR(INDEX(DePara!$A:$A,MATCH(TEXT(B2524,"0"),DePara!$D:$D,0)),"(sem categoria)")</f>
        <v/>
      </c>
      <c r="O2524" s="5">
        <f>IF(J2524="","",Parametros!$B$6-J2524)</f>
        <v/>
      </c>
      <c r="P2524" s="5">
        <f>IF(O2524="","",IF(O2524&gt;0,1,0))</f>
        <v/>
      </c>
    </row>
    <row r="2525">
      <c r="A2525" s="5" t="n">
        <v>2111000000</v>
      </c>
      <c r="B2525" s="5" t="inlineStr">
        <is>
          <t>100454</t>
        </is>
      </c>
      <c r="C2525" s="5" t="inlineStr">
        <is>
          <t>GEOMATICS GESTAO DE FROTAS LTDA</t>
        </is>
      </c>
      <c r="D2525" s="5" t="inlineStr">
        <is>
          <t>RE</t>
        </is>
      </c>
      <c r="E2525" s="5" t="n">
        <v>5015270</v>
      </c>
      <c r="F2525" s="5" t="inlineStr">
        <is>
          <t>5906</t>
        </is>
      </c>
      <c r="G2525" s="5" t="inlineStr">
        <is>
          <t>BRL</t>
        </is>
      </c>
      <c r="H2525" s="9" t="n">
        <v>-267.11</v>
      </c>
      <c r="I2525" s="16" t="n">
        <v>46248</v>
      </c>
      <c r="J2525" s="16" t="n">
        <v>46278</v>
      </c>
      <c r="K2525" s="5" t="inlineStr">
        <is>
          <t>Fatura - bruto GEOMATICS GESTAO DE FROTAS LTDA 590</t>
        </is>
      </c>
      <c r="L2525" s="5" t="inlineStr">
        <is>
          <t>09092026</t>
        </is>
      </c>
      <c r="M2525" s="5">
        <f>IF(YEAR(I2525)&lt;=2020,"Até 2020",TEXT(YEAR(I2525),"0"))</f>
        <v/>
      </c>
      <c r="N2525" s="5">
        <f>IFERROR(INDEX(DePara!$A:$A,MATCH(TEXT(B2525,"0"),DePara!$D:$D,0)),"(sem categoria)")</f>
        <v/>
      </c>
      <c r="O2525" s="5">
        <f>IF(J2525="","",Parametros!$B$6-J2525)</f>
        <v/>
      </c>
      <c r="P2525" s="5">
        <f>IF(O2525="","",IF(O2525&gt;0,1,0))</f>
        <v/>
      </c>
    </row>
    <row r="2526">
      <c r="A2526" s="5" t="n">
        <v>2111000000</v>
      </c>
      <c r="B2526" s="5" t="inlineStr">
        <is>
          <t>100454</t>
        </is>
      </c>
      <c r="C2526" s="5" t="inlineStr">
        <is>
          <t>GEOMATICS GESTAO DE FROTAS LTDA</t>
        </is>
      </c>
      <c r="D2526" s="5" t="inlineStr">
        <is>
          <t>RE</t>
        </is>
      </c>
      <c r="E2526" s="5" t="n">
        <v>5015271</v>
      </c>
      <c r="F2526" s="5" t="inlineStr">
        <is>
          <t>2816</t>
        </is>
      </c>
      <c r="G2526" s="5" t="inlineStr">
        <is>
          <t>BRL</t>
        </is>
      </c>
      <c r="H2526" s="9" t="n">
        <v>-533.12</v>
      </c>
      <c r="I2526" s="16" t="n">
        <v>46248</v>
      </c>
      <c r="J2526" s="16" t="n">
        <v>46278</v>
      </c>
      <c r="K2526" s="5" t="inlineStr">
        <is>
          <t>Fatura - bruto GEOMATICS GESTAO DE FROTAS LTDA 281</t>
        </is>
      </c>
      <c r="L2526" s="5" t="inlineStr">
        <is>
          <t>09092026</t>
        </is>
      </c>
      <c r="M2526" s="5">
        <f>IF(YEAR(I2526)&lt;=2020,"Até 2020",TEXT(YEAR(I2526),"0"))</f>
        <v/>
      </c>
      <c r="N2526" s="5">
        <f>IFERROR(INDEX(DePara!$A:$A,MATCH(TEXT(B2526,"0"),DePara!$D:$D,0)),"(sem categoria)")</f>
        <v/>
      </c>
      <c r="O2526" s="5">
        <f>IF(J2526="","",Parametros!$B$6-J2526)</f>
        <v/>
      </c>
      <c r="P2526" s="5">
        <f>IF(O2526="","",IF(O2526&gt;0,1,0))</f>
        <v/>
      </c>
    </row>
    <row r="2527">
      <c r="A2527" s="5" t="n">
        <v>2111000000</v>
      </c>
      <c r="B2527" s="5" t="inlineStr">
        <is>
          <t>100454</t>
        </is>
      </c>
      <c r="C2527" s="5" t="inlineStr">
        <is>
          <t>GEOMATICS GESTAO DE FROTAS LTDA</t>
        </is>
      </c>
      <c r="D2527" s="5" t="inlineStr">
        <is>
          <t>RE</t>
        </is>
      </c>
      <c r="E2527" s="5" t="n">
        <v>5015272</v>
      </c>
      <c r="F2527" s="5" t="inlineStr">
        <is>
          <t>2817</t>
        </is>
      </c>
      <c r="G2527" s="5" t="inlineStr">
        <is>
          <t>BRL</t>
        </is>
      </c>
      <c r="H2527" s="9" t="n">
        <v>-228.48</v>
      </c>
      <c r="I2527" s="16" t="n">
        <v>46248</v>
      </c>
      <c r="J2527" s="16" t="n">
        <v>46278</v>
      </c>
      <c r="K2527" s="5" t="inlineStr">
        <is>
          <t>Fatura - bruto GEOMATICS GESTAO DE FROTAS LTDA 281</t>
        </is>
      </c>
      <c r="L2527" s="5" t="inlineStr">
        <is>
          <t>09092026</t>
        </is>
      </c>
      <c r="M2527" s="5">
        <f>IF(YEAR(I2527)&lt;=2020,"Até 2020",TEXT(YEAR(I2527),"0"))</f>
        <v/>
      </c>
      <c r="N2527" s="5">
        <f>IFERROR(INDEX(DePara!$A:$A,MATCH(TEXT(B2527,"0"),DePara!$D:$D,0)),"(sem categoria)")</f>
        <v/>
      </c>
      <c r="O2527" s="5">
        <f>IF(J2527="","",Parametros!$B$6-J2527)</f>
        <v/>
      </c>
      <c r="P2527" s="5">
        <f>IF(O2527="","",IF(O2527&gt;0,1,0))</f>
        <v/>
      </c>
    </row>
    <row r="2528">
      <c r="A2528" s="5" t="n">
        <v>2111000000</v>
      </c>
      <c r="B2528" s="5" t="inlineStr">
        <is>
          <t>100454</t>
        </is>
      </c>
      <c r="C2528" s="5" t="inlineStr">
        <is>
          <t>GEOMATICS GESTAO DE FROTAS LTDA</t>
        </is>
      </c>
      <c r="D2528" s="5" t="inlineStr">
        <is>
          <t>RE</t>
        </is>
      </c>
      <c r="E2528" s="5" t="n">
        <v>5015273</v>
      </c>
      <c r="F2528" s="5" t="inlineStr">
        <is>
          <t>5907</t>
        </is>
      </c>
      <c r="G2528" s="5" t="inlineStr">
        <is>
          <t>BRL</t>
        </is>
      </c>
      <c r="H2528" s="9" t="n">
        <v>-133.56</v>
      </c>
      <c r="I2528" s="16" t="n">
        <v>46248</v>
      </c>
      <c r="J2528" s="16" t="n">
        <v>46278</v>
      </c>
      <c r="K2528" s="5" t="inlineStr">
        <is>
          <t>Fatura - bruto GEOMATICS GESTAO DE FROTAS LTDA 590</t>
        </is>
      </c>
      <c r="L2528" s="5" t="inlineStr">
        <is>
          <t>09092026</t>
        </is>
      </c>
      <c r="M2528" s="5">
        <f>IF(YEAR(I2528)&lt;=2020,"Até 2020",TEXT(YEAR(I2528),"0"))</f>
        <v/>
      </c>
      <c r="N2528" s="5">
        <f>IFERROR(INDEX(DePara!$A:$A,MATCH(TEXT(B2528,"0"),DePara!$D:$D,0)),"(sem categoria)")</f>
        <v/>
      </c>
      <c r="O2528" s="5">
        <f>IF(J2528="","",Parametros!$B$6-J2528)</f>
        <v/>
      </c>
      <c r="P2528" s="5">
        <f>IF(O2528="","",IF(O2528&gt;0,1,0))</f>
        <v/>
      </c>
    </row>
    <row r="2529">
      <c r="A2529" s="5" t="n">
        <v>2111000000</v>
      </c>
      <c r="B2529" s="5" t="inlineStr">
        <is>
          <t>100454</t>
        </is>
      </c>
      <c r="C2529" s="5" t="inlineStr">
        <is>
          <t>GEOMATICS GESTAO DE FROTAS LTDA</t>
        </is>
      </c>
      <c r="D2529" s="5" t="inlineStr">
        <is>
          <t>RE</t>
        </is>
      </c>
      <c r="E2529" s="5" t="n">
        <v>5015274</v>
      </c>
      <c r="F2529" s="5" t="inlineStr">
        <is>
          <t>5909</t>
        </is>
      </c>
      <c r="G2529" s="5" t="inlineStr">
        <is>
          <t>BRL</t>
        </is>
      </c>
      <c r="H2529" s="9" t="n">
        <v>-178.07</v>
      </c>
      <c r="I2529" s="16" t="n">
        <v>46248</v>
      </c>
      <c r="J2529" s="16" t="n">
        <v>46278</v>
      </c>
      <c r="K2529" s="5" t="inlineStr">
        <is>
          <t>Fatura - bruto GEOMATICS GESTAO DE FROTAS LTDA 590</t>
        </is>
      </c>
      <c r="L2529" s="5" t="inlineStr">
        <is>
          <t>09092026</t>
        </is>
      </c>
      <c r="M2529" s="5">
        <f>IF(YEAR(I2529)&lt;=2020,"Até 2020",TEXT(YEAR(I2529),"0"))</f>
        <v/>
      </c>
      <c r="N2529" s="5">
        <f>IFERROR(INDEX(DePara!$A:$A,MATCH(TEXT(B2529,"0"),DePara!$D:$D,0)),"(sem categoria)")</f>
        <v/>
      </c>
      <c r="O2529" s="5">
        <f>IF(J2529="","",Parametros!$B$6-J2529)</f>
        <v/>
      </c>
      <c r="P2529" s="5">
        <f>IF(O2529="","",IF(O2529&gt;0,1,0))</f>
        <v/>
      </c>
    </row>
    <row r="2530">
      <c r="A2530" s="5" t="n">
        <v>2111000000</v>
      </c>
      <c r="B2530" s="5" t="inlineStr">
        <is>
          <t>100454</t>
        </is>
      </c>
      <c r="C2530" s="5" t="inlineStr">
        <is>
          <t>GEOMATICS GESTAO DE FROTAS LTDA</t>
        </is>
      </c>
      <c r="D2530" s="5" t="inlineStr">
        <is>
          <t>RE</t>
        </is>
      </c>
      <c r="E2530" s="5" t="n">
        <v>5015275</v>
      </c>
      <c r="F2530" s="5" t="inlineStr">
        <is>
          <t>5908</t>
        </is>
      </c>
      <c r="G2530" s="5" t="inlineStr">
        <is>
          <t>BRL</t>
        </is>
      </c>
      <c r="H2530" s="9" t="n">
        <v>-311.62</v>
      </c>
      <c r="I2530" s="16" t="n">
        <v>46248</v>
      </c>
      <c r="J2530" s="16" t="n">
        <v>46278</v>
      </c>
      <c r="K2530" s="5" t="inlineStr">
        <is>
          <t>Fatura - bruto GEOMATICS GESTAO DE FROTAS LTDA 590</t>
        </is>
      </c>
      <c r="L2530" s="5" t="inlineStr">
        <is>
          <t>09092026</t>
        </is>
      </c>
      <c r="M2530" s="5">
        <f>IF(YEAR(I2530)&lt;=2020,"Até 2020",TEXT(YEAR(I2530),"0"))</f>
        <v/>
      </c>
      <c r="N2530" s="5">
        <f>IFERROR(INDEX(DePara!$A:$A,MATCH(TEXT(B2530,"0"),DePara!$D:$D,0)),"(sem categoria)")</f>
        <v/>
      </c>
      <c r="O2530" s="5">
        <f>IF(J2530="","",Parametros!$B$6-J2530)</f>
        <v/>
      </c>
      <c r="P2530" s="5">
        <f>IF(O2530="","",IF(O2530&gt;0,1,0))</f>
        <v/>
      </c>
    </row>
    <row r="2531">
      <c r="A2531" s="5" t="n">
        <v>2111000000</v>
      </c>
      <c r="B2531" s="5" t="inlineStr">
        <is>
          <t>100454</t>
        </is>
      </c>
      <c r="C2531" s="5" t="inlineStr">
        <is>
          <t>GEOMATICS GESTAO DE FROTAS LTDA</t>
        </is>
      </c>
      <c r="D2531" s="5" t="inlineStr">
        <is>
          <t>RE</t>
        </is>
      </c>
      <c r="E2531" s="5" t="n">
        <v>5015276</v>
      </c>
      <c r="F2531" s="5" t="inlineStr">
        <is>
          <t>2818</t>
        </is>
      </c>
      <c r="G2531" s="5" t="inlineStr">
        <is>
          <t>BRL</t>
        </is>
      </c>
      <c r="H2531" s="9" t="n">
        <v>-609.28</v>
      </c>
      <c r="I2531" s="16" t="n">
        <v>46248</v>
      </c>
      <c r="J2531" s="16" t="n">
        <v>46278</v>
      </c>
      <c r="K2531" s="5" t="inlineStr">
        <is>
          <t>Fatura - bruto GEOMATICS GESTAO DE FROTAS LTDA 281</t>
        </is>
      </c>
      <c r="L2531" s="5" t="inlineStr">
        <is>
          <t>09092026</t>
        </is>
      </c>
      <c r="M2531" s="5">
        <f>IF(YEAR(I2531)&lt;=2020,"Até 2020",TEXT(YEAR(I2531),"0"))</f>
        <v/>
      </c>
      <c r="N2531" s="5">
        <f>IFERROR(INDEX(DePara!$A:$A,MATCH(TEXT(B2531,"0"),DePara!$D:$D,0)),"(sem categoria)")</f>
        <v/>
      </c>
      <c r="O2531" s="5">
        <f>IF(J2531="","",Parametros!$B$6-J2531)</f>
        <v/>
      </c>
      <c r="P2531" s="5">
        <f>IF(O2531="","",IF(O2531&gt;0,1,0))</f>
        <v/>
      </c>
    </row>
    <row r="2532">
      <c r="A2532" s="5" t="n">
        <v>2111000000</v>
      </c>
      <c r="B2532" s="5" t="inlineStr">
        <is>
          <t>100454</t>
        </is>
      </c>
      <c r="C2532" s="5" t="inlineStr">
        <is>
          <t>GEOMATICS GESTAO DE FROTAS LTDA</t>
        </is>
      </c>
      <c r="D2532" s="5" t="inlineStr">
        <is>
          <t>RE</t>
        </is>
      </c>
      <c r="E2532" s="5" t="n">
        <v>5015277</v>
      </c>
      <c r="F2532" s="5" t="inlineStr">
        <is>
          <t>5910</t>
        </is>
      </c>
      <c r="G2532" s="5" t="inlineStr">
        <is>
          <t>BRL</t>
        </is>
      </c>
      <c r="H2532" s="9" t="n">
        <v>-356.14</v>
      </c>
      <c r="I2532" s="16" t="n">
        <v>46248</v>
      </c>
      <c r="J2532" s="16" t="n">
        <v>46278</v>
      </c>
      <c r="K2532" s="5" t="inlineStr">
        <is>
          <t>Fatura - bruto GEOMATICS GESTAO DE FROTAS LTDA 591</t>
        </is>
      </c>
      <c r="L2532" s="5" t="inlineStr">
        <is>
          <t>09092026</t>
        </is>
      </c>
      <c r="M2532" s="5">
        <f>IF(YEAR(I2532)&lt;=2020,"Até 2020",TEXT(YEAR(I2532),"0"))</f>
        <v/>
      </c>
      <c r="N2532" s="5">
        <f>IFERROR(INDEX(DePara!$A:$A,MATCH(TEXT(B2532,"0"),DePara!$D:$D,0)),"(sem categoria)")</f>
        <v/>
      </c>
      <c r="O2532" s="5">
        <f>IF(J2532="","",Parametros!$B$6-J2532)</f>
        <v/>
      </c>
      <c r="P2532" s="5">
        <f>IF(O2532="","",IF(O2532&gt;0,1,0))</f>
        <v/>
      </c>
    </row>
    <row r="2533">
      <c r="A2533" s="5" t="n">
        <v>2111000000</v>
      </c>
      <c r="B2533" s="5" t="inlineStr">
        <is>
          <t>100454</t>
        </is>
      </c>
      <c r="C2533" s="5" t="inlineStr">
        <is>
          <t>GEOMATICS GESTAO DE FROTAS LTDA</t>
        </is>
      </c>
      <c r="D2533" s="5" t="inlineStr">
        <is>
          <t>RE</t>
        </is>
      </c>
      <c r="E2533" s="5" t="n">
        <v>5015278</v>
      </c>
      <c r="F2533" s="5" t="inlineStr">
        <is>
          <t>2819</t>
        </is>
      </c>
      <c r="G2533" s="5" t="inlineStr">
        <is>
          <t>BRL</t>
        </is>
      </c>
      <c r="H2533" s="9" t="n">
        <v>-1599.36</v>
      </c>
      <c r="I2533" s="16" t="n">
        <v>46248</v>
      </c>
      <c r="J2533" s="16" t="n">
        <v>46278</v>
      </c>
      <c r="K2533" s="5" t="inlineStr">
        <is>
          <t>Fatura - bruto GEOMATICS GESTAO DE FROTAS LTDA 281</t>
        </is>
      </c>
      <c r="L2533" s="5" t="inlineStr">
        <is>
          <t>09092026</t>
        </is>
      </c>
      <c r="M2533" s="5">
        <f>IF(YEAR(I2533)&lt;=2020,"Até 2020",TEXT(YEAR(I2533),"0"))</f>
        <v/>
      </c>
      <c r="N2533" s="5">
        <f>IFERROR(INDEX(DePara!$A:$A,MATCH(TEXT(B2533,"0"),DePara!$D:$D,0)),"(sem categoria)")</f>
        <v/>
      </c>
      <c r="O2533" s="5">
        <f>IF(J2533="","",Parametros!$B$6-J2533)</f>
        <v/>
      </c>
      <c r="P2533" s="5">
        <f>IF(O2533="","",IF(O2533&gt;0,1,0))</f>
        <v/>
      </c>
    </row>
    <row r="2534">
      <c r="A2534" s="5" t="n">
        <v>2111000000</v>
      </c>
      <c r="B2534" s="5" t="inlineStr">
        <is>
          <t>100454</t>
        </is>
      </c>
      <c r="C2534" s="5" t="inlineStr">
        <is>
          <t>GEOMATICS GESTAO DE FROTAS LTDA</t>
        </is>
      </c>
      <c r="D2534" s="5" t="inlineStr">
        <is>
          <t>RE</t>
        </is>
      </c>
      <c r="E2534" s="5" t="n">
        <v>5015279</v>
      </c>
      <c r="F2534" s="5" t="inlineStr">
        <is>
          <t>2820</t>
        </is>
      </c>
      <c r="G2534" s="5" t="inlineStr">
        <is>
          <t>BRL</t>
        </is>
      </c>
      <c r="H2534" s="9" t="n">
        <v>-456.96</v>
      </c>
      <c r="I2534" s="16" t="n">
        <v>46248</v>
      </c>
      <c r="J2534" s="16" t="n">
        <v>46278</v>
      </c>
      <c r="K2534" s="5" t="inlineStr">
        <is>
          <t>Fatura - bruto GEOMATICS GESTAO DE FROTAS LTDA 282</t>
        </is>
      </c>
      <c r="L2534" s="5" t="inlineStr">
        <is>
          <t>09092026</t>
        </is>
      </c>
      <c r="M2534" s="5">
        <f>IF(YEAR(I2534)&lt;=2020,"Até 2020",TEXT(YEAR(I2534),"0"))</f>
        <v/>
      </c>
      <c r="N2534" s="5">
        <f>IFERROR(INDEX(DePara!$A:$A,MATCH(TEXT(B2534,"0"),DePara!$D:$D,0)),"(sem categoria)")</f>
        <v/>
      </c>
      <c r="O2534" s="5">
        <f>IF(J2534="","",Parametros!$B$6-J2534)</f>
        <v/>
      </c>
      <c r="P2534" s="5">
        <f>IF(O2534="","",IF(O2534&gt;0,1,0))</f>
        <v/>
      </c>
    </row>
    <row r="2535">
      <c r="A2535" s="5" t="n">
        <v>2111000000</v>
      </c>
      <c r="B2535" s="5" t="inlineStr">
        <is>
          <t>101529</t>
        </is>
      </c>
      <c r="C2535" s="5" t="inlineStr">
        <is>
          <t>COOP DE RADIO TAXI E TRANSP EXEC DE SIMOES FILHO - COOTRANSPEX</t>
        </is>
      </c>
      <c r="D2535" s="5" t="inlineStr">
        <is>
          <t>RE</t>
        </is>
      </c>
      <c r="E2535" s="5" t="n">
        <v>5015281</v>
      </c>
      <c r="F2535" s="5" t="inlineStr">
        <is>
          <t>282-3</t>
        </is>
      </c>
      <c r="G2535" s="5" t="inlineStr">
        <is>
          <t>BRL</t>
        </is>
      </c>
      <c r="H2535" s="9" t="n">
        <v>-1359.7</v>
      </c>
      <c r="I2535" s="16" t="n">
        <v>46246</v>
      </c>
      <c r="J2535" s="16" t="n">
        <v>46277</v>
      </c>
      <c r="K2535" s="5" t="inlineStr">
        <is>
          <t>Fatura - bruto COOP DE RADIO TAXI E TRANSP EXEC DE</t>
        </is>
      </c>
      <c r="L2535" s="5" t="inlineStr">
        <is>
          <t>09092026</t>
        </is>
      </c>
      <c r="M2535" s="5">
        <f>IF(YEAR(I2535)&lt;=2020,"Até 2020",TEXT(YEAR(I2535),"0"))</f>
        <v/>
      </c>
      <c r="N2535" s="5">
        <f>IFERROR(INDEX(DePara!$A:$A,MATCH(TEXT(B2535,"0"),DePara!$D:$D,0)),"(sem categoria)")</f>
        <v/>
      </c>
      <c r="O2535" s="5">
        <f>IF(J2535="","",Parametros!$B$6-J2535)</f>
        <v/>
      </c>
      <c r="P2535" s="5">
        <f>IF(O2535="","",IF(O2535&gt;0,1,0))</f>
        <v/>
      </c>
    </row>
    <row r="2536">
      <c r="A2536" s="5" t="n">
        <v>2111000000</v>
      </c>
      <c r="B2536" s="5" t="inlineStr">
        <is>
          <t>101848</t>
        </is>
      </c>
      <c r="C2536" s="5" t="inlineStr">
        <is>
          <t>KLUBER LUBRICATION LUBRIF ESPECIAIS</t>
        </is>
      </c>
      <c r="D2536" s="5" t="inlineStr">
        <is>
          <t>RE</t>
        </is>
      </c>
      <c r="E2536" s="5" t="n">
        <v>5015291</v>
      </c>
      <c r="F2536" s="5" t="inlineStr">
        <is>
          <t>000772151-1</t>
        </is>
      </c>
      <c r="G2536" s="5" t="inlineStr">
        <is>
          <t>BRL</t>
        </is>
      </c>
      <c r="H2536" s="9" t="n">
        <v>-58649.95</v>
      </c>
      <c r="I2536" s="16" t="n">
        <v>46220</v>
      </c>
      <c r="J2536" s="16" t="n">
        <v>46270</v>
      </c>
      <c r="K2536" s="5" t="inlineStr">
        <is>
          <t>Fatura - bruto KLUBER LUBRICATION LUBRIF ESPECIAIS</t>
        </is>
      </c>
      <c r="L2536" s="5" t="inlineStr">
        <is>
          <t>02092026</t>
        </is>
      </c>
      <c r="M2536" s="5">
        <f>IF(YEAR(I2536)&lt;=2020,"Até 2020",TEXT(YEAR(I2536),"0"))</f>
        <v/>
      </c>
      <c r="N2536" s="5">
        <f>IFERROR(INDEX(DePara!$A:$A,MATCH(TEXT(B2536,"0"),DePara!$D:$D,0)),"(sem categoria)")</f>
        <v/>
      </c>
      <c r="O2536" s="5">
        <f>IF(J2536="","",Parametros!$B$6-J2536)</f>
        <v/>
      </c>
      <c r="P2536" s="5">
        <f>IF(O2536="","",IF(O2536&gt;0,1,0))</f>
        <v/>
      </c>
    </row>
    <row r="2537">
      <c r="A2537" s="5" t="n">
        <v>2111000000</v>
      </c>
      <c r="B2537" s="5" t="inlineStr">
        <is>
          <t>111041</t>
        </is>
      </c>
      <c r="C2537" s="5" t="inlineStr">
        <is>
          <t>PROXIMA ENGENHARIA E CONSULTORIA LT</t>
        </is>
      </c>
      <c r="D2537" s="5" t="inlineStr">
        <is>
          <t>RE</t>
        </is>
      </c>
      <c r="E2537" s="5" t="n">
        <v>5015294</v>
      </c>
      <c r="F2537" s="5" t="inlineStr">
        <is>
          <t>7</t>
        </is>
      </c>
      <c r="G2537" s="5" t="inlineStr">
        <is>
          <t>BRL</t>
        </is>
      </c>
      <c r="H2537" s="9" t="n">
        <v>-24000</v>
      </c>
      <c r="I2537" s="16" t="n">
        <v>46247</v>
      </c>
      <c r="J2537" s="16" t="n">
        <v>46262</v>
      </c>
      <c r="K2537" s="5" t="inlineStr">
        <is>
          <t>Pgto devolv, aguardando dados banc</t>
        </is>
      </c>
      <c r="L2537" s="5" t="inlineStr">
        <is>
          <t>09092026</t>
        </is>
      </c>
      <c r="M2537" s="5">
        <f>IF(YEAR(I2537)&lt;=2020,"Até 2020",TEXT(YEAR(I2537),"0"))</f>
        <v/>
      </c>
      <c r="N2537" s="5">
        <f>IFERROR(INDEX(DePara!$A:$A,MATCH(TEXT(B2537,"0"),DePara!$D:$D,0)),"(sem categoria)")</f>
        <v/>
      </c>
      <c r="O2537" s="5">
        <f>IF(J2537="","",Parametros!$B$6-J2537)</f>
        <v/>
      </c>
      <c r="P2537" s="5">
        <f>IF(O2537="","",IF(O2537&gt;0,1,0))</f>
        <v/>
      </c>
    </row>
    <row r="2538">
      <c r="A2538" s="5" t="n">
        <v>2111000000</v>
      </c>
      <c r="B2538" s="5" t="inlineStr">
        <is>
          <t>101944</t>
        </is>
      </c>
      <c r="C2538" s="5" t="inlineStr">
        <is>
          <t>TEXAS CONTROLS DO BRASIL LTDA</t>
        </is>
      </c>
      <c r="D2538" s="5" t="inlineStr">
        <is>
          <t>RE</t>
        </is>
      </c>
      <c r="E2538" s="5" t="n">
        <v>5015298</v>
      </c>
      <c r="F2538" s="5" t="inlineStr">
        <is>
          <t>1192</t>
        </is>
      </c>
      <c r="G2538" s="5" t="inlineStr">
        <is>
          <t>BRL</t>
        </is>
      </c>
      <c r="H2538" s="9" t="n">
        <v>-24522.37</v>
      </c>
      <c r="I2538" s="16" t="n">
        <v>46245</v>
      </c>
      <c r="J2538" s="16" t="n">
        <v>46276</v>
      </c>
      <c r="K2538" s="5" t="inlineStr">
        <is>
          <t>Fatura - bruto TEXAS CONTROLS DO BRASIL LTDA 1192</t>
        </is>
      </c>
      <c r="L2538" s="5" t="inlineStr">
        <is>
          <t>09092026</t>
        </is>
      </c>
      <c r="M2538" s="5">
        <f>IF(YEAR(I2538)&lt;=2020,"Até 2020",TEXT(YEAR(I2538),"0"))</f>
        <v/>
      </c>
      <c r="N2538" s="5">
        <f>IFERROR(INDEX(DePara!$A:$A,MATCH(TEXT(B2538,"0"),DePara!$D:$D,0)),"(sem categoria)")</f>
        <v/>
      </c>
      <c r="O2538" s="5">
        <f>IF(J2538="","",Parametros!$B$6-J2538)</f>
        <v/>
      </c>
      <c r="P2538" s="5">
        <f>IF(O2538="","",IF(O2538&gt;0,1,0))</f>
        <v/>
      </c>
    </row>
    <row r="2539">
      <c r="A2539" s="5" t="n">
        <v>2111000000</v>
      </c>
      <c r="B2539" s="5" t="inlineStr">
        <is>
          <t>101944</t>
        </is>
      </c>
      <c r="C2539" s="5" t="inlineStr">
        <is>
          <t>TEXAS CONTROLS DO BRASIL LTDA</t>
        </is>
      </c>
      <c r="D2539" s="5" t="inlineStr">
        <is>
          <t>RE</t>
        </is>
      </c>
      <c r="E2539" s="5" t="n">
        <v>5015299</v>
      </c>
      <c r="F2539" s="5" t="inlineStr">
        <is>
          <t>1191</t>
        </is>
      </c>
      <c r="G2539" s="5" t="inlineStr">
        <is>
          <t>BRL</t>
        </is>
      </c>
      <c r="H2539" s="9" t="n">
        <v>-14950</v>
      </c>
      <c r="I2539" s="16" t="n">
        <v>46245</v>
      </c>
      <c r="J2539" s="16" t="n">
        <v>46276</v>
      </c>
      <c r="K2539" s="5" t="inlineStr">
        <is>
          <t>Fatura - bruto TEXAS CONTROLS DO BRASIL LTDA 1191</t>
        </is>
      </c>
      <c r="L2539" s="5" t="inlineStr">
        <is>
          <t>09092026</t>
        </is>
      </c>
      <c r="M2539" s="5">
        <f>IF(YEAR(I2539)&lt;=2020,"Até 2020",TEXT(YEAR(I2539),"0"))</f>
        <v/>
      </c>
      <c r="N2539" s="5">
        <f>IFERROR(INDEX(DePara!$A:$A,MATCH(TEXT(B2539,"0"),DePara!$D:$D,0)),"(sem categoria)")</f>
        <v/>
      </c>
      <c r="O2539" s="5">
        <f>IF(J2539="","",Parametros!$B$6-J2539)</f>
        <v/>
      </c>
      <c r="P2539" s="5">
        <f>IF(O2539="","",IF(O2539&gt;0,1,0))</f>
        <v/>
      </c>
    </row>
    <row r="2540">
      <c r="A2540" s="5" t="n">
        <v>2111000000</v>
      </c>
      <c r="B2540" s="5" t="inlineStr">
        <is>
          <t>100454</t>
        </is>
      </c>
      <c r="C2540" s="5" t="inlineStr">
        <is>
          <t>GEOMATICS GESTAO DE FROTAS LTDA</t>
        </is>
      </c>
      <c r="D2540" s="5" t="inlineStr">
        <is>
          <t>RE</t>
        </is>
      </c>
      <c r="E2540" s="5" t="n">
        <v>5015311</v>
      </c>
      <c r="F2540" s="5" t="inlineStr">
        <is>
          <t>5912</t>
        </is>
      </c>
      <c r="G2540" s="5" t="inlineStr">
        <is>
          <t>BRL</t>
        </is>
      </c>
      <c r="H2540" s="9" t="n">
        <v>-267.11</v>
      </c>
      <c r="I2540" s="16" t="n">
        <v>46248</v>
      </c>
      <c r="J2540" s="16" t="n">
        <v>46278</v>
      </c>
      <c r="K2540" s="5" t="inlineStr">
        <is>
          <t>Fatura - bruto GEOMATICS GESTAO DE FROTAS LTDA 591</t>
        </is>
      </c>
      <c r="L2540" s="5" t="inlineStr">
        <is>
          <t>09092026</t>
        </is>
      </c>
      <c r="M2540" s="5">
        <f>IF(YEAR(I2540)&lt;=2020,"Até 2020",TEXT(YEAR(I2540),"0"))</f>
        <v/>
      </c>
      <c r="N2540" s="5">
        <f>IFERROR(INDEX(DePara!$A:$A,MATCH(TEXT(B2540,"0"),DePara!$D:$D,0)),"(sem categoria)")</f>
        <v/>
      </c>
      <c r="O2540" s="5">
        <f>IF(J2540="","",Parametros!$B$6-J2540)</f>
        <v/>
      </c>
      <c r="P2540" s="5">
        <f>IF(O2540="","",IF(O2540&gt;0,1,0))</f>
        <v/>
      </c>
    </row>
    <row r="2541">
      <c r="A2541" s="5" t="n">
        <v>2111000000</v>
      </c>
      <c r="B2541" s="5" t="inlineStr">
        <is>
          <t>100454</t>
        </is>
      </c>
      <c r="C2541" s="5" t="inlineStr">
        <is>
          <t>GEOMATICS GESTAO DE FROTAS LTDA</t>
        </is>
      </c>
      <c r="D2541" s="5" t="inlineStr">
        <is>
          <t>RE</t>
        </is>
      </c>
      <c r="E2541" s="5" t="n">
        <v>5015313</v>
      </c>
      <c r="F2541" s="5" t="inlineStr">
        <is>
          <t>5911</t>
        </is>
      </c>
      <c r="G2541" s="5" t="inlineStr">
        <is>
          <t>BRL</t>
        </is>
      </c>
      <c r="H2541" s="9" t="n">
        <v>-934.86</v>
      </c>
      <c r="I2541" s="16" t="n">
        <v>46248</v>
      </c>
      <c r="J2541" s="16" t="n">
        <v>46278</v>
      </c>
      <c r="K2541" s="5" t="inlineStr">
        <is>
          <t>Fatura - bruto GEOMATICS GESTAO DE FROTAS LTDA 591</t>
        </is>
      </c>
      <c r="L2541" s="5" t="inlineStr">
        <is>
          <t>09092026</t>
        </is>
      </c>
      <c r="M2541" s="5">
        <f>IF(YEAR(I2541)&lt;=2020,"Até 2020",TEXT(YEAR(I2541),"0"))</f>
        <v/>
      </c>
      <c r="N2541" s="5">
        <f>IFERROR(INDEX(DePara!$A:$A,MATCH(TEXT(B2541,"0"),DePara!$D:$D,0)),"(sem categoria)")</f>
        <v/>
      </c>
      <c r="O2541" s="5">
        <f>IF(J2541="","",Parametros!$B$6-J2541)</f>
        <v/>
      </c>
      <c r="P2541" s="5">
        <f>IF(O2541="","",IF(O2541&gt;0,1,0))</f>
        <v/>
      </c>
    </row>
    <row r="2542">
      <c r="A2542" s="5" t="n">
        <v>2111000000</v>
      </c>
      <c r="B2542" s="5" t="inlineStr">
        <is>
          <t>100454</t>
        </is>
      </c>
      <c r="C2542" s="5" t="inlineStr">
        <is>
          <t>GEOMATICS GESTAO DE FROTAS LTDA</t>
        </is>
      </c>
      <c r="D2542" s="5" t="inlineStr">
        <is>
          <t>RE</t>
        </is>
      </c>
      <c r="E2542" s="5" t="n">
        <v>5015314</v>
      </c>
      <c r="F2542" s="5" t="inlineStr">
        <is>
          <t>2821</t>
        </is>
      </c>
      <c r="G2542" s="5" t="inlineStr">
        <is>
          <t>BRL</t>
        </is>
      </c>
      <c r="H2542" s="9" t="n">
        <v>-609.28</v>
      </c>
      <c r="I2542" s="16" t="n">
        <v>46248</v>
      </c>
      <c r="J2542" s="16" t="n">
        <v>46278</v>
      </c>
      <c r="K2542" s="5" t="inlineStr">
        <is>
          <t>Fatura - bruto GEOMATICS GESTAO DE FROTAS LTDA 282</t>
        </is>
      </c>
      <c r="L2542" s="5" t="inlineStr">
        <is>
          <t>09092026</t>
        </is>
      </c>
      <c r="M2542" s="5">
        <f>IF(YEAR(I2542)&lt;=2020,"Até 2020",TEXT(YEAR(I2542),"0"))</f>
        <v/>
      </c>
      <c r="N2542" s="5">
        <f>IFERROR(INDEX(DePara!$A:$A,MATCH(TEXT(B2542,"0"),DePara!$D:$D,0)),"(sem categoria)")</f>
        <v/>
      </c>
      <c r="O2542" s="5">
        <f>IF(J2542="","",Parametros!$B$6-J2542)</f>
        <v/>
      </c>
      <c r="P2542" s="5">
        <f>IF(O2542="","",IF(O2542&gt;0,1,0))</f>
        <v/>
      </c>
    </row>
    <row r="2543">
      <c r="A2543" s="5" t="n">
        <v>2111000000</v>
      </c>
      <c r="B2543" s="5" t="inlineStr">
        <is>
          <t>100454</t>
        </is>
      </c>
      <c r="C2543" s="5" t="inlineStr">
        <is>
          <t>GEOMATICS GESTAO DE FROTAS LTDA</t>
        </is>
      </c>
      <c r="D2543" s="5" t="inlineStr">
        <is>
          <t>RE</t>
        </is>
      </c>
      <c r="E2543" s="5" t="n">
        <v>5015315</v>
      </c>
      <c r="F2543" s="5" t="inlineStr">
        <is>
          <t>2822</t>
        </is>
      </c>
      <c r="G2543" s="5" t="inlineStr">
        <is>
          <t>BRL</t>
        </is>
      </c>
      <c r="H2543" s="9" t="n">
        <v>-228.48</v>
      </c>
      <c r="I2543" s="16" t="n">
        <v>46248</v>
      </c>
      <c r="J2543" s="16" t="n">
        <v>46278</v>
      </c>
      <c r="K2543" s="5" t="inlineStr">
        <is>
          <t>Fatura - bruto GEOMATICS GESTAO DE FROTAS LTDA 282</t>
        </is>
      </c>
      <c r="L2543" s="5" t="inlineStr">
        <is>
          <t>09092026</t>
        </is>
      </c>
      <c r="M2543" s="5">
        <f>IF(YEAR(I2543)&lt;=2020,"Até 2020",TEXT(YEAR(I2543),"0"))</f>
        <v/>
      </c>
      <c r="N2543" s="5">
        <f>IFERROR(INDEX(DePara!$A:$A,MATCH(TEXT(B2543,"0"),DePara!$D:$D,0)),"(sem categoria)")</f>
        <v/>
      </c>
      <c r="O2543" s="5">
        <f>IF(J2543="","",Parametros!$B$6-J2543)</f>
        <v/>
      </c>
      <c r="P2543" s="5">
        <f>IF(O2543="","",IF(O2543&gt;0,1,0))</f>
        <v/>
      </c>
    </row>
    <row r="2544">
      <c r="A2544" s="5" t="n">
        <v>2111000000</v>
      </c>
      <c r="B2544" s="5" t="inlineStr">
        <is>
          <t>100454</t>
        </is>
      </c>
      <c r="C2544" s="5" t="inlineStr">
        <is>
          <t>GEOMATICS GESTAO DE FROTAS LTDA</t>
        </is>
      </c>
      <c r="D2544" s="5" t="inlineStr">
        <is>
          <t>RE</t>
        </is>
      </c>
      <c r="E2544" s="5" t="n">
        <v>5015316</v>
      </c>
      <c r="F2544" s="5" t="inlineStr">
        <is>
          <t>5914</t>
        </is>
      </c>
      <c r="G2544" s="5" t="inlineStr">
        <is>
          <t>BRL</t>
        </is>
      </c>
      <c r="H2544" s="9" t="n">
        <v>-133.56</v>
      </c>
      <c r="I2544" s="16" t="n">
        <v>46248</v>
      </c>
      <c r="J2544" s="16" t="n">
        <v>46278</v>
      </c>
      <c r="K2544" s="5" t="inlineStr">
        <is>
          <t>Fatura - bruto GEOMATICS GESTAO DE FROTAS LTDA 591</t>
        </is>
      </c>
      <c r="L2544" s="5" t="inlineStr">
        <is>
          <t>09092026</t>
        </is>
      </c>
      <c r="M2544" s="5">
        <f>IF(YEAR(I2544)&lt;=2020,"Até 2020",TEXT(YEAR(I2544),"0"))</f>
        <v/>
      </c>
      <c r="N2544" s="5">
        <f>IFERROR(INDEX(DePara!$A:$A,MATCH(TEXT(B2544,"0"),DePara!$D:$D,0)),"(sem categoria)")</f>
        <v/>
      </c>
      <c r="O2544" s="5">
        <f>IF(J2544="","",Parametros!$B$6-J2544)</f>
        <v/>
      </c>
      <c r="P2544" s="5">
        <f>IF(O2544="","",IF(O2544&gt;0,1,0))</f>
        <v/>
      </c>
    </row>
    <row r="2545">
      <c r="A2545" s="5" t="n">
        <v>2111000000</v>
      </c>
      <c r="B2545" s="5" t="inlineStr">
        <is>
          <t>100454</t>
        </is>
      </c>
      <c r="C2545" s="5" t="inlineStr">
        <is>
          <t>GEOMATICS GESTAO DE FROTAS LTDA</t>
        </is>
      </c>
      <c r="D2545" s="5" t="inlineStr">
        <is>
          <t>RE</t>
        </is>
      </c>
      <c r="E2545" s="5" t="n">
        <v>5015317</v>
      </c>
      <c r="F2545" s="5" t="inlineStr">
        <is>
          <t>2823</t>
        </is>
      </c>
      <c r="G2545" s="5" t="inlineStr">
        <is>
          <t>BRL</t>
        </is>
      </c>
      <c r="H2545" s="9" t="n">
        <v>-533.12</v>
      </c>
      <c r="I2545" s="16" t="n">
        <v>46248</v>
      </c>
      <c r="J2545" s="16" t="n">
        <v>46278</v>
      </c>
      <c r="K2545" s="5" t="inlineStr">
        <is>
          <t>Fatura - bruto GEOMATICS GESTAO DE FROTAS LTDA 282</t>
        </is>
      </c>
      <c r="L2545" s="5" t="inlineStr">
        <is>
          <t>09092026</t>
        </is>
      </c>
      <c r="M2545" s="5">
        <f>IF(YEAR(I2545)&lt;=2020,"Até 2020",TEXT(YEAR(I2545),"0"))</f>
        <v/>
      </c>
      <c r="N2545" s="5">
        <f>IFERROR(INDEX(DePara!$A:$A,MATCH(TEXT(B2545,"0"),DePara!$D:$D,0)),"(sem categoria)")</f>
        <v/>
      </c>
      <c r="O2545" s="5">
        <f>IF(J2545="","",Parametros!$B$6-J2545)</f>
        <v/>
      </c>
      <c r="P2545" s="5">
        <f>IF(O2545="","",IF(O2545&gt;0,1,0))</f>
        <v/>
      </c>
    </row>
    <row r="2546">
      <c r="A2546" s="5" t="n">
        <v>2111000000</v>
      </c>
      <c r="B2546" s="5" t="inlineStr">
        <is>
          <t>100454</t>
        </is>
      </c>
      <c r="C2546" s="5" t="inlineStr">
        <is>
          <t>GEOMATICS GESTAO DE FROTAS LTDA</t>
        </is>
      </c>
      <c r="D2546" s="5" t="inlineStr">
        <is>
          <t>RE</t>
        </is>
      </c>
      <c r="E2546" s="5" t="n">
        <v>5015320</v>
      </c>
      <c r="F2546" s="5" t="inlineStr">
        <is>
          <t>5915</t>
        </is>
      </c>
      <c r="G2546" s="5" t="inlineStr">
        <is>
          <t>BRL</t>
        </is>
      </c>
      <c r="H2546" s="9" t="n">
        <v>-311.62</v>
      </c>
      <c r="I2546" s="16" t="n">
        <v>46248</v>
      </c>
      <c r="J2546" s="16" t="n">
        <v>46278</v>
      </c>
      <c r="K2546" s="5" t="inlineStr">
        <is>
          <t>Fatura - bruto GEOMATICS GESTAO DE FROTAS LTDA 591</t>
        </is>
      </c>
      <c r="L2546" s="5" t="inlineStr">
        <is>
          <t>09092026</t>
        </is>
      </c>
      <c r="M2546" s="5">
        <f>IF(YEAR(I2546)&lt;=2020,"Até 2020",TEXT(YEAR(I2546),"0"))</f>
        <v/>
      </c>
      <c r="N2546" s="5">
        <f>IFERROR(INDEX(DePara!$A:$A,MATCH(TEXT(B2546,"0"),DePara!$D:$D,0)),"(sem categoria)")</f>
        <v/>
      </c>
      <c r="O2546" s="5">
        <f>IF(J2546="","",Parametros!$B$6-J2546)</f>
        <v/>
      </c>
      <c r="P2546" s="5">
        <f>IF(O2546="","",IF(O2546&gt;0,1,0))</f>
        <v/>
      </c>
    </row>
    <row r="2547">
      <c r="A2547" s="5" t="n">
        <v>2111000000</v>
      </c>
      <c r="B2547" s="5" t="inlineStr">
        <is>
          <t>100454</t>
        </is>
      </c>
      <c r="C2547" s="5" t="inlineStr">
        <is>
          <t>GEOMATICS GESTAO DE FROTAS LTDA</t>
        </is>
      </c>
      <c r="D2547" s="5" t="inlineStr">
        <is>
          <t>RE</t>
        </is>
      </c>
      <c r="E2547" s="5" t="n">
        <v>5015322</v>
      </c>
      <c r="F2547" s="5" t="inlineStr">
        <is>
          <t>2824</t>
        </is>
      </c>
      <c r="G2547" s="5" t="inlineStr">
        <is>
          <t>BRL</t>
        </is>
      </c>
      <c r="H2547" s="9" t="n">
        <v>-304.64</v>
      </c>
      <c r="I2547" s="16" t="n">
        <v>46248</v>
      </c>
      <c r="J2547" s="16" t="n">
        <v>46278</v>
      </c>
      <c r="K2547" s="5" t="inlineStr">
        <is>
          <t>Fatura - bruto GEOMATICS GESTAO DE FROTAS LTDA 282</t>
        </is>
      </c>
      <c r="L2547" s="5" t="inlineStr">
        <is>
          <t>09092026</t>
        </is>
      </c>
      <c r="M2547" s="5">
        <f>IF(YEAR(I2547)&lt;=2020,"Até 2020",TEXT(YEAR(I2547),"0"))</f>
        <v/>
      </c>
      <c r="N2547" s="5">
        <f>IFERROR(INDEX(DePara!$A:$A,MATCH(TEXT(B2547,"0"),DePara!$D:$D,0)),"(sem categoria)")</f>
        <v/>
      </c>
      <c r="O2547" s="5">
        <f>IF(J2547="","",Parametros!$B$6-J2547)</f>
        <v/>
      </c>
      <c r="P2547" s="5">
        <f>IF(O2547="","",IF(O2547&gt;0,1,0))</f>
        <v/>
      </c>
    </row>
    <row r="2548">
      <c r="A2548" s="5" t="n">
        <v>2111000000</v>
      </c>
      <c r="B2548" s="5" t="inlineStr">
        <is>
          <t>100454</t>
        </is>
      </c>
      <c r="C2548" s="5" t="inlineStr">
        <is>
          <t>GEOMATICS GESTAO DE FROTAS LTDA</t>
        </is>
      </c>
      <c r="D2548" s="5" t="inlineStr">
        <is>
          <t>RE</t>
        </is>
      </c>
      <c r="E2548" s="5" t="n">
        <v>5015324</v>
      </c>
      <c r="F2548" s="5" t="inlineStr">
        <is>
          <t>2825</t>
        </is>
      </c>
      <c r="G2548" s="5" t="inlineStr">
        <is>
          <t>BRL</t>
        </is>
      </c>
      <c r="H2548" s="9" t="n">
        <v>-228.48</v>
      </c>
      <c r="I2548" s="16" t="n">
        <v>46248</v>
      </c>
      <c r="J2548" s="16" t="n">
        <v>46278</v>
      </c>
      <c r="K2548" s="5" t="inlineStr">
        <is>
          <t>Fatura - bruto GEOMATICS GESTAO DE FROTAS LTDA 282</t>
        </is>
      </c>
      <c r="L2548" s="5" t="inlineStr">
        <is>
          <t>09092026</t>
        </is>
      </c>
      <c r="M2548" s="5">
        <f>IF(YEAR(I2548)&lt;=2020,"Até 2020",TEXT(YEAR(I2548),"0"))</f>
        <v/>
      </c>
      <c r="N2548" s="5">
        <f>IFERROR(INDEX(DePara!$A:$A,MATCH(TEXT(B2548,"0"),DePara!$D:$D,0)),"(sem categoria)")</f>
        <v/>
      </c>
      <c r="O2548" s="5">
        <f>IF(J2548="","",Parametros!$B$6-J2548)</f>
        <v/>
      </c>
      <c r="P2548" s="5">
        <f>IF(O2548="","",IF(O2548&gt;0,1,0))</f>
        <v/>
      </c>
    </row>
    <row r="2549">
      <c r="A2549" s="5" t="n">
        <v>2111000000</v>
      </c>
      <c r="B2549" s="5" t="inlineStr">
        <is>
          <t>100454</t>
        </is>
      </c>
      <c r="C2549" s="5" t="inlineStr">
        <is>
          <t>GEOMATICS GESTAO DE FROTAS LTDA</t>
        </is>
      </c>
      <c r="D2549" s="5" t="inlineStr">
        <is>
          <t>RE</t>
        </is>
      </c>
      <c r="E2549" s="5" t="n">
        <v>5015325</v>
      </c>
      <c r="F2549" s="5" t="inlineStr">
        <is>
          <t>2826</t>
        </is>
      </c>
      <c r="G2549" s="5" t="inlineStr">
        <is>
          <t>BRL</t>
        </is>
      </c>
      <c r="H2549" s="9" t="n">
        <v>-837.76</v>
      </c>
      <c r="I2549" s="16" t="n">
        <v>46248</v>
      </c>
      <c r="J2549" s="16" t="n">
        <v>46278</v>
      </c>
      <c r="K2549" s="5" t="inlineStr">
        <is>
          <t>Fatura - bruto GEOMATICS GESTAO DE FROTAS LTDA 282</t>
        </is>
      </c>
      <c r="L2549" s="5" t="inlineStr">
        <is>
          <t>09092026</t>
        </is>
      </c>
      <c r="M2549" s="5">
        <f>IF(YEAR(I2549)&lt;=2020,"Até 2020",TEXT(YEAR(I2549),"0"))</f>
        <v/>
      </c>
      <c r="N2549" s="5">
        <f>IFERROR(INDEX(DePara!$A:$A,MATCH(TEXT(B2549,"0"),DePara!$D:$D,0)),"(sem categoria)")</f>
        <v/>
      </c>
      <c r="O2549" s="5">
        <f>IF(J2549="","",Parametros!$B$6-J2549)</f>
        <v/>
      </c>
      <c r="P2549" s="5">
        <f>IF(O2549="","",IF(O2549&gt;0,1,0))</f>
        <v/>
      </c>
    </row>
    <row r="2550">
      <c r="A2550" s="5" t="n">
        <v>2111000000</v>
      </c>
      <c r="B2550" s="5" t="inlineStr">
        <is>
          <t>101463</t>
        </is>
      </c>
      <c r="C2550" s="5" t="inlineStr">
        <is>
          <t>ZURICH MINAS BRASIL SEGUROS S A</t>
        </is>
      </c>
      <c r="D2550" s="5" t="inlineStr">
        <is>
          <t>RE</t>
        </is>
      </c>
      <c r="E2550" s="5" t="n">
        <v>5015326</v>
      </c>
      <c r="F2550" s="5" t="inlineStr">
        <is>
          <t>0225/26</t>
        </is>
      </c>
      <c r="G2550" s="5" t="inlineStr">
        <is>
          <t>BRL</t>
        </is>
      </c>
      <c r="H2550" s="9" t="n">
        <v>-214.14</v>
      </c>
      <c r="I2550" s="16" t="n">
        <v>46252</v>
      </c>
      <c r="J2550" s="16" t="n">
        <v>46282</v>
      </c>
      <c r="K2550" s="5" t="inlineStr">
        <is>
          <t>Invoice Payment. SP: 21578</t>
        </is>
      </c>
      <c r="L2550" s="5" t="inlineStr">
        <is>
          <t>0225/26</t>
        </is>
      </c>
      <c r="M2550" s="5">
        <f>IF(YEAR(I2550)&lt;=2020,"Até 2020",TEXT(YEAR(I2550),"0"))</f>
        <v/>
      </c>
      <c r="N2550" s="5">
        <f>IFERROR(INDEX(DePara!$A:$A,MATCH(TEXT(B2550,"0"),DePara!$D:$D,0)),"(sem categoria)")</f>
        <v/>
      </c>
      <c r="O2550" s="5">
        <f>IF(J2550="","",Parametros!$B$6-J2550)</f>
        <v/>
      </c>
      <c r="P2550" s="5">
        <f>IF(O2550="","",IF(O2550&gt;0,1,0))</f>
        <v/>
      </c>
    </row>
    <row r="2551">
      <c r="A2551" s="5" t="n">
        <v>2111000000</v>
      </c>
      <c r="B2551" s="5" t="inlineStr">
        <is>
          <t>100454</t>
        </is>
      </c>
      <c r="C2551" s="5" t="inlineStr">
        <is>
          <t>GEOMATICS GESTAO DE FROTAS LTDA</t>
        </is>
      </c>
      <c r="D2551" s="5" t="inlineStr">
        <is>
          <t>RE</t>
        </is>
      </c>
      <c r="E2551" s="5" t="n">
        <v>5015327</v>
      </c>
      <c r="F2551" s="5" t="inlineStr">
        <is>
          <t>5916</t>
        </is>
      </c>
      <c r="G2551" s="5" t="inlineStr">
        <is>
          <t>BRL</t>
        </is>
      </c>
      <c r="H2551" s="9" t="n">
        <v>-178.07</v>
      </c>
      <c r="I2551" s="16" t="n">
        <v>46248</v>
      </c>
      <c r="J2551" s="16" t="n">
        <v>46278</v>
      </c>
      <c r="K2551" s="5" t="inlineStr">
        <is>
          <t>Fatura - bruto GEOMATICS GESTAO DE FROTAS LTDA 591</t>
        </is>
      </c>
      <c r="L2551" s="5" t="inlineStr">
        <is>
          <t>09092026</t>
        </is>
      </c>
      <c r="M2551" s="5">
        <f>IF(YEAR(I2551)&lt;=2020,"Até 2020",TEXT(YEAR(I2551),"0"))</f>
        <v/>
      </c>
      <c r="N2551" s="5">
        <f>IFERROR(INDEX(DePara!$A:$A,MATCH(TEXT(B2551,"0"),DePara!$D:$D,0)),"(sem categoria)")</f>
        <v/>
      </c>
      <c r="O2551" s="5">
        <f>IF(J2551="","",Parametros!$B$6-J2551)</f>
        <v/>
      </c>
      <c r="P2551" s="5">
        <f>IF(O2551="","",IF(O2551&gt;0,1,0))</f>
        <v/>
      </c>
    </row>
    <row r="2552">
      <c r="A2552" s="5" t="n">
        <v>2111000000</v>
      </c>
      <c r="B2552" s="5" t="inlineStr">
        <is>
          <t>100454</t>
        </is>
      </c>
      <c r="C2552" s="5" t="inlineStr">
        <is>
          <t>GEOMATICS GESTAO DE FROTAS LTDA</t>
        </is>
      </c>
      <c r="D2552" s="5" t="inlineStr">
        <is>
          <t>RE</t>
        </is>
      </c>
      <c r="E2552" s="5" t="n">
        <v>5015329</v>
      </c>
      <c r="F2552" s="5" t="inlineStr">
        <is>
          <t>5917</t>
        </is>
      </c>
      <c r="G2552" s="5" t="inlineStr">
        <is>
          <t>BRL</t>
        </is>
      </c>
      <c r="H2552" s="9" t="n">
        <v>-489.69</v>
      </c>
      <c r="I2552" s="16" t="n">
        <v>46248</v>
      </c>
      <c r="J2552" s="16" t="n">
        <v>46278</v>
      </c>
      <c r="K2552" s="5" t="inlineStr">
        <is>
          <t>Fatura - bruto GEOMATICS GESTAO DE FROTAS LTDA 591</t>
        </is>
      </c>
      <c r="L2552" s="5" t="inlineStr">
        <is>
          <t>09092026</t>
        </is>
      </c>
      <c r="M2552" s="5">
        <f>IF(YEAR(I2552)&lt;=2020,"Até 2020",TEXT(YEAR(I2552),"0"))</f>
        <v/>
      </c>
      <c r="N2552" s="5">
        <f>IFERROR(INDEX(DePara!$A:$A,MATCH(TEXT(B2552,"0"),DePara!$D:$D,0)),"(sem categoria)")</f>
        <v/>
      </c>
      <c r="O2552" s="5">
        <f>IF(J2552="","",Parametros!$B$6-J2552)</f>
        <v/>
      </c>
      <c r="P2552" s="5">
        <f>IF(O2552="","",IF(O2552&gt;0,1,0))</f>
        <v/>
      </c>
    </row>
    <row r="2553">
      <c r="A2553" s="5" t="n">
        <v>2111000000</v>
      </c>
      <c r="B2553" s="5" t="inlineStr">
        <is>
          <t>100454</t>
        </is>
      </c>
      <c r="C2553" s="5" t="inlineStr">
        <is>
          <t>GEOMATICS GESTAO DE FROTAS LTDA</t>
        </is>
      </c>
      <c r="D2553" s="5" t="inlineStr">
        <is>
          <t>RE</t>
        </is>
      </c>
      <c r="E2553" s="5" t="n">
        <v>5015331</v>
      </c>
      <c r="F2553" s="5" t="inlineStr">
        <is>
          <t>2827</t>
        </is>
      </c>
      <c r="G2553" s="5" t="inlineStr">
        <is>
          <t>BRL</t>
        </is>
      </c>
      <c r="H2553" s="9" t="n">
        <v>-152.32</v>
      </c>
      <c r="I2553" s="16" t="n">
        <v>46248</v>
      </c>
      <c r="J2553" s="16" t="n">
        <v>46278</v>
      </c>
      <c r="K2553" s="5" t="inlineStr">
        <is>
          <t>Fatura - bruto GEOMATICS GESTAO DE FROTAS LTDA 282</t>
        </is>
      </c>
      <c r="L2553" s="5" t="inlineStr">
        <is>
          <t>09092026</t>
        </is>
      </c>
      <c r="M2553" s="5">
        <f>IF(YEAR(I2553)&lt;=2020,"Até 2020",TEXT(YEAR(I2553),"0"))</f>
        <v/>
      </c>
      <c r="N2553" s="5">
        <f>IFERROR(INDEX(DePara!$A:$A,MATCH(TEXT(B2553,"0"),DePara!$D:$D,0)),"(sem categoria)")</f>
        <v/>
      </c>
      <c r="O2553" s="5">
        <f>IF(J2553="","",Parametros!$B$6-J2553)</f>
        <v/>
      </c>
      <c r="P2553" s="5">
        <f>IF(O2553="","",IF(O2553&gt;0,1,0))</f>
        <v/>
      </c>
    </row>
    <row r="2554">
      <c r="A2554" s="5" t="n">
        <v>2111000000</v>
      </c>
      <c r="B2554" s="5" t="inlineStr">
        <is>
          <t>101463</t>
        </is>
      </c>
      <c r="C2554" s="5" t="inlineStr">
        <is>
          <t>ZURICH MINAS BRASIL SEGUROS S A</t>
        </is>
      </c>
      <c r="D2554" s="5" t="inlineStr">
        <is>
          <t>RE</t>
        </is>
      </c>
      <c r="E2554" s="5" t="n">
        <v>5015342</v>
      </c>
      <c r="F2554" s="5" t="inlineStr">
        <is>
          <t>0236/26</t>
        </is>
      </c>
      <c r="G2554" s="5" t="inlineStr">
        <is>
          <t>BRL</t>
        </is>
      </c>
      <c r="H2554" s="9" t="n">
        <v>-1301.51</v>
      </c>
      <c r="I2554" s="16" t="n">
        <v>46252</v>
      </c>
      <c r="J2554" s="16" t="n">
        <v>46282</v>
      </c>
      <c r="K2554" s="5" t="inlineStr">
        <is>
          <t>Invoice Payment. SP: 21582</t>
        </is>
      </c>
      <c r="L2554" s="5" t="inlineStr">
        <is>
          <t>0236/26</t>
        </is>
      </c>
      <c r="M2554" s="5">
        <f>IF(YEAR(I2554)&lt;=2020,"Até 2020",TEXT(YEAR(I2554),"0"))</f>
        <v/>
      </c>
      <c r="N2554" s="5">
        <f>IFERROR(INDEX(DePara!$A:$A,MATCH(TEXT(B2554,"0"),DePara!$D:$D,0)),"(sem categoria)")</f>
        <v/>
      </c>
      <c r="O2554" s="5">
        <f>IF(J2554="","",Parametros!$B$6-J2554)</f>
        <v/>
      </c>
      <c r="P2554" s="5">
        <f>IF(O2554="","",IF(O2554&gt;0,1,0))</f>
        <v/>
      </c>
    </row>
    <row r="2555">
      <c r="A2555" s="5" t="n">
        <v>2111000000</v>
      </c>
      <c r="B2555" s="5" t="inlineStr">
        <is>
          <t>101463</t>
        </is>
      </c>
      <c r="C2555" s="5" t="inlineStr">
        <is>
          <t>ZURICH MINAS BRASIL SEGUROS S A</t>
        </is>
      </c>
      <c r="D2555" s="5" t="inlineStr">
        <is>
          <t>RE</t>
        </is>
      </c>
      <c r="E2555" s="5" t="n">
        <v>5015366</v>
      </c>
      <c r="F2555" s="5" t="inlineStr">
        <is>
          <t>0329/26</t>
        </is>
      </c>
      <c r="G2555" s="5" t="inlineStr">
        <is>
          <t>BRL</t>
        </is>
      </c>
      <c r="H2555" s="9" t="n">
        <v>-188.9</v>
      </c>
      <c r="I2555" s="16" t="n">
        <v>46252</v>
      </c>
      <c r="J2555" s="16" t="n">
        <v>46282</v>
      </c>
      <c r="K2555" s="5" t="inlineStr">
        <is>
          <t>Invoice Payment. SP: 21598</t>
        </is>
      </c>
      <c r="L2555" s="5" t="inlineStr">
        <is>
          <t>0329/26</t>
        </is>
      </c>
      <c r="M2555" s="5">
        <f>IF(YEAR(I2555)&lt;=2020,"Até 2020",TEXT(YEAR(I2555),"0"))</f>
        <v/>
      </c>
      <c r="N2555" s="5">
        <f>IFERROR(INDEX(DePara!$A:$A,MATCH(TEXT(B2555,"0"),DePara!$D:$D,0)),"(sem categoria)")</f>
        <v/>
      </c>
      <c r="O2555" s="5">
        <f>IF(J2555="","",Parametros!$B$6-J2555)</f>
        <v/>
      </c>
      <c r="P2555" s="5">
        <f>IF(O2555="","",IF(O2555&gt;0,1,0))</f>
        <v/>
      </c>
    </row>
    <row r="2556">
      <c r="A2556" s="5" t="n">
        <v>2111000000</v>
      </c>
      <c r="B2556" s="5" t="inlineStr">
        <is>
          <t>101057</t>
        </is>
      </c>
      <c r="C2556" s="5" t="inlineStr">
        <is>
          <t>NC ENERGIA S A</t>
        </is>
      </c>
      <c r="D2556" s="5" t="inlineStr">
        <is>
          <t>RE</t>
        </is>
      </c>
      <c r="E2556" s="5" t="n">
        <v>5015376</v>
      </c>
      <c r="F2556" s="5" t="inlineStr">
        <is>
          <t>7475</t>
        </is>
      </c>
      <c r="G2556" s="5" t="inlineStr">
        <is>
          <t>BRL</t>
        </is>
      </c>
      <c r="H2556" s="9" t="n">
        <v>-1133.36</v>
      </c>
      <c r="I2556" s="16" t="n">
        <v>46251</v>
      </c>
      <c r="J2556" s="16" t="n">
        <v>46275</v>
      </c>
      <c r="K2556" s="5" t="inlineStr">
        <is>
          <t>*00190000090295669100600279165179215650000113336</t>
        </is>
      </c>
      <c r="L2556" s="5" t="inlineStr">
        <is>
          <t>09092026</t>
        </is>
      </c>
      <c r="M2556" s="5">
        <f>IF(YEAR(I2556)&lt;=2020,"Até 2020",TEXT(YEAR(I2556),"0"))</f>
        <v/>
      </c>
      <c r="N2556" s="5">
        <f>IFERROR(INDEX(DePara!$A:$A,MATCH(TEXT(B2556,"0"),DePara!$D:$D,0)),"(sem categoria)")</f>
        <v/>
      </c>
      <c r="O2556" s="5">
        <f>IF(J2556="","",Parametros!$B$6-J2556)</f>
        <v/>
      </c>
      <c r="P2556" s="5">
        <f>IF(O2556="","",IF(O2556&gt;0,1,0))</f>
        <v/>
      </c>
    </row>
    <row r="2557">
      <c r="A2557" s="5" t="n">
        <v>2111000000</v>
      </c>
      <c r="B2557" s="5" t="inlineStr">
        <is>
          <t>101057</t>
        </is>
      </c>
      <c r="C2557" s="5" t="inlineStr">
        <is>
          <t>NC ENERGIA S A</t>
        </is>
      </c>
      <c r="D2557" s="5" t="inlineStr">
        <is>
          <t>RE</t>
        </is>
      </c>
      <c r="E2557" s="5" t="n">
        <v>5015377</v>
      </c>
      <c r="F2557" s="5" t="inlineStr">
        <is>
          <t>7479</t>
        </is>
      </c>
      <c r="G2557" s="5" t="inlineStr">
        <is>
          <t>BRL</t>
        </is>
      </c>
      <c r="H2557" s="9" t="n">
        <v>-1311.42</v>
      </c>
      <c r="I2557" s="16" t="n">
        <v>46251</v>
      </c>
      <c r="J2557" s="16" t="n">
        <v>46275</v>
      </c>
      <c r="K2557" s="5" t="inlineStr">
        <is>
          <t>*00190000090295669100600279177174515650000131142</t>
        </is>
      </c>
      <c r="L2557" s="5" t="inlineStr">
        <is>
          <t>09092026</t>
        </is>
      </c>
      <c r="M2557" s="5">
        <f>IF(YEAR(I2557)&lt;=2020,"Até 2020",TEXT(YEAR(I2557),"0"))</f>
        <v/>
      </c>
      <c r="N2557" s="5">
        <f>IFERROR(INDEX(DePara!$A:$A,MATCH(TEXT(B2557,"0"),DePara!$D:$D,0)),"(sem categoria)")</f>
        <v/>
      </c>
      <c r="O2557" s="5">
        <f>IF(J2557="","",Parametros!$B$6-J2557)</f>
        <v/>
      </c>
      <c r="P2557" s="5">
        <f>IF(O2557="","",IF(O2557&gt;0,1,0))</f>
        <v/>
      </c>
    </row>
    <row r="2558">
      <c r="A2558" s="5" t="n">
        <v>2111000000</v>
      </c>
      <c r="B2558" s="5" t="inlineStr">
        <is>
          <t>101463</t>
        </is>
      </c>
      <c r="C2558" s="5" t="inlineStr">
        <is>
          <t>ZURICH MINAS BRASIL SEGUROS S A</t>
        </is>
      </c>
      <c r="D2558" s="5" t="inlineStr">
        <is>
          <t>RE</t>
        </is>
      </c>
      <c r="E2558" s="5" t="n">
        <v>5015378</v>
      </c>
      <c r="F2558" s="5" t="inlineStr">
        <is>
          <t>0471/26</t>
        </is>
      </c>
      <c r="G2558" s="5" t="inlineStr">
        <is>
          <t>BRL</t>
        </is>
      </c>
      <c r="H2558" s="9" t="n">
        <v>-5.5</v>
      </c>
      <c r="I2558" s="16" t="n">
        <v>46252</v>
      </c>
      <c r="J2558" s="16" t="n">
        <v>46282</v>
      </c>
      <c r="K2558" s="5" t="inlineStr">
        <is>
          <t>Invoice Payment. SP: 21619</t>
        </is>
      </c>
      <c r="L2558" s="5" t="inlineStr">
        <is>
          <t>0471/26</t>
        </is>
      </c>
      <c r="M2558" s="5">
        <f>IF(YEAR(I2558)&lt;=2020,"Até 2020",TEXT(YEAR(I2558),"0"))</f>
        <v/>
      </c>
      <c r="N2558" s="5">
        <f>IFERROR(INDEX(DePara!$A:$A,MATCH(TEXT(B2558,"0"),DePara!$D:$D,0)),"(sem categoria)")</f>
        <v/>
      </c>
      <c r="O2558" s="5">
        <f>IF(J2558="","",Parametros!$B$6-J2558)</f>
        <v/>
      </c>
      <c r="P2558" s="5">
        <f>IF(O2558="","",IF(O2558&gt;0,1,0))</f>
        <v/>
      </c>
    </row>
    <row r="2559">
      <c r="A2559" s="5" t="n">
        <v>2111000000</v>
      </c>
      <c r="B2559" s="5" t="inlineStr">
        <is>
          <t>101057</t>
        </is>
      </c>
      <c r="C2559" s="5" t="inlineStr">
        <is>
          <t>NC ENERGIA S A</t>
        </is>
      </c>
      <c r="D2559" s="5" t="inlineStr">
        <is>
          <t>RE</t>
        </is>
      </c>
      <c r="E2559" s="5" t="n">
        <v>5015379</v>
      </c>
      <c r="F2559" s="5" t="inlineStr">
        <is>
          <t>7474</t>
        </is>
      </c>
      <c r="G2559" s="5" t="inlineStr">
        <is>
          <t>BRL</t>
        </is>
      </c>
      <c r="H2559" s="9" t="n">
        <v>-1394.33</v>
      </c>
      <c r="I2559" s="16" t="n">
        <v>46251</v>
      </c>
      <c r="J2559" s="16" t="n">
        <v>46275</v>
      </c>
      <c r="K2559" s="5" t="inlineStr">
        <is>
          <t>*00190000090295669100600279162176115650000139433</t>
        </is>
      </c>
      <c r="L2559" s="5" t="inlineStr">
        <is>
          <t>09092026</t>
        </is>
      </c>
      <c r="M2559" s="5">
        <f>IF(YEAR(I2559)&lt;=2020,"Até 2020",TEXT(YEAR(I2559),"0"))</f>
        <v/>
      </c>
      <c r="N2559" s="5">
        <f>IFERROR(INDEX(DePara!$A:$A,MATCH(TEXT(B2559,"0"),DePara!$D:$D,0)),"(sem categoria)")</f>
        <v/>
      </c>
      <c r="O2559" s="5">
        <f>IF(J2559="","",Parametros!$B$6-J2559)</f>
        <v/>
      </c>
      <c r="P2559" s="5">
        <f>IF(O2559="","",IF(O2559&gt;0,1,0))</f>
        <v/>
      </c>
    </row>
    <row r="2560">
      <c r="A2560" s="5" t="n">
        <v>2111000000</v>
      </c>
      <c r="B2560" s="5" t="inlineStr">
        <is>
          <t>100454</t>
        </is>
      </c>
      <c r="C2560" s="5" t="inlineStr">
        <is>
          <t>GEOMATICS GESTAO DE FROTAS LTDA</t>
        </is>
      </c>
      <c r="D2560" s="5" t="inlineStr">
        <is>
          <t>RE</t>
        </is>
      </c>
      <c r="E2560" s="5" t="n">
        <v>5015380</v>
      </c>
      <c r="F2560" s="5" t="inlineStr">
        <is>
          <t>5913</t>
        </is>
      </c>
      <c r="G2560" s="5" t="inlineStr">
        <is>
          <t>BRL</t>
        </is>
      </c>
      <c r="H2560" s="9" t="n">
        <v>-363.64</v>
      </c>
      <c r="I2560" s="16" t="n">
        <v>46248</v>
      </c>
      <c r="J2560" s="16" t="n">
        <v>46278</v>
      </c>
      <c r="K2560" s="5" t="inlineStr">
        <is>
          <t>Fatura - bruto GEOMATICS GESTAO DE FROTAS LTDA 591</t>
        </is>
      </c>
      <c r="L2560" s="5" t="inlineStr">
        <is>
          <t>09092026</t>
        </is>
      </c>
      <c r="M2560" s="5">
        <f>IF(YEAR(I2560)&lt;=2020,"Até 2020",TEXT(YEAR(I2560),"0"))</f>
        <v/>
      </c>
      <c r="N2560" s="5">
        <f>IFERROR(INDEX(DePara!$A:$A,MATCH(TEXT(B2560,"0"),DePara!$D:$D,0)),"(sem categoria)")</f>
        <v/>
      </c>
      <c r="O2560" s="5">
        <f>IF(J2560="","",Parametros!$B$6-J2560)</f>
        <v/>
      </c>
      <c r="P2560" s="5">
        <f>IF(O2560="","",IF(O2560&gt;0,1,0))</f>
        <v/>
      </c>
    </row>
    <row r="2561">
      <c r="A2561" s="5" t="n">
        <v>2111000000</v>
      </c>
      <c r="B2561" s="5" t="inlineStr">
        <is>
          <t>100454</t>
        </is>
      </c>
      <c r="C2561" s="5" t="inlineStr">
        <is>
          <t>GEOMATICS GESTAO DE FROTAS LTDA</t>
        </is>
      </c>
      <c r="D2561" s="5" t="inlineStr">
        <is>
          <t>RE</t>
        </is>
      </c>
      <c r="E2561" s="5" t="n">
        <v>5015381</v>
      </c>
      <c r="F2561" s="5" t="inlineStr">
        <is>
          <t>5920</t>
        </is>
      </c>
      <c r="G2561" s="5" t="inlineStr">
        <is>
          <t>BRL</t>
        </is>
      </c>
      <c r="H2561" s="9" t="n">
        <v>-89.04000000000001</v>
      </c>
      <c r="I2561" s="16" t="n">
        <v>46248</v>
      </c>
      <c r="J2561" s="16" t="n">
        <v>46278</v>
      </c>
      <c r="K2561" s="5" t="inlineStr">
        <is>
          <t>Fatura - bruto GEOMATICS GESTAO DE FROTAS LTDA 592</t>
        </is>
      </c>
      <c r="L2561" s="5" t="inlineStr">
        <is>
          <t>09092026</t>
        </is>
      </c>
      <c r="M2561" s="5">
        <f>IF(YEAR(I2561)&lt;=2020,"Até 2020",TEXT(YEAR(I2561),"0"))</f>
        <v/>
      </c>
      <c r="N2561" s="5">
        <f>IFERROR(INDEX(DePara!$A:$A,MATCH(TEXT(B2561,"0"),DePara!$D:$D,0)),"(sem categoria)")</f>
        <v/>
      </c>
      <c r="O2561" s="5">
        <f>IF(J2561="","",Parametros!$B$6-J2561)</f>
        <v/>
      </c>
      <c r="P2561" s="5">
        <f>IF(O2561="","",IF(O2561&gt;0,1,0))</f>
        <v/>
      </c>
    </row>
    <row r="2562">
      <c r="A2562" s="5" t="n">
        <v>2111000000</v>
      </c>
      <c r="B2562" s="5" t="inlineStr">
        <is>
          <t>100454</t>
        </is>
      </c>
      <c r="C2562" s="5" t="inlineStr">
        <is>
          <t>GEOMATICS GESTAO DE FROTAS LTDA</t>
        </is>
      </c>
      <c r="D2562" s="5" t="inlineStr">
        <is>
          <t>RE</t>
        </is>
      </c>
      <c r="E2562" s="5" t="n">
        <v>5015382</v>
      </c>
      <c r="F2562" s="5" t="inlineStr">
        <is>
          <t>2829</t>
        </is>
      </c>
      <c r="G2562" s="5" t="inlineStr">
        <is>
          <t>BRL</t>
        </is>
      </c>
      <c r="H2562" s="9" t="n">
        <v>-152.32</v>
      </c>
      <c r="I2562" s="16" t="n">
        <v>46248</v>
      </c>
      <c r="J2562" s="16" t="n">
        <v>46278</v>
      </c>
      <c r="K2562" s="5" t="inlineStr">
        <is>
          <t>Fatura - bruto GEOMATICS GESTAO DE FROTAS LTDA 282</t>
        </is>
      </c>
      <c r="L2562" s="5" t="inlineStr">
        <is>
          <t>09092026</t>
        </is>
      </c>
      <c r="M2562" s="5">
        <f>IF(YEAR(I2562)&lt;=2020,"Até 2020",TEXT(YEAR(I2562),"0"))</f>
        <v/>
      </c>
      <c r="N2562" s="5">
        <f>IFERROR(INDEX(DePara!$A:$A,MATCH(TEXT(B2562,"0"),DePara!$D:$D,0)),"(sem categoria)")</f>
        <v/>
      </c>
      <c r="O2562" s="5">
        <f>IF(J2562="","",Parametros!$B$6-J2562)</f>
        <v/>
      </c>
      <c r="P2562" s="5">
        <f>IF(O2562="","",IF(O2562&gt;0,1,0))</f>
        <v/>
      </c>
    </row>
    <row r="2563">
      <c r="A2563" s="5" t="n">
        <v>2111000000</v>
      </c>
      <c r="B2563" s="5" t="inlineStr">
        <is>
          <t>101897</t>
        </is>
      </c>
      <c r="C2563" s="5" t="inlineStr">
        <is>
          <t>KL LOCACOES E SOLUCOES AMBIENTAIS L KL CONSTRUCOES E SERVICOS IMOBILIAR</t>
        </is>
      </c>
      <c r="D2563" s="5" t="inlineStr">
        <is>
          <t>RE</t>
        </is>
      </c>
      <c r="E2563" s="5" t="n">
        <v>5015384</v>
      </c>
      <c r="F2563" s="5" t="inlineStr">
        <is>
          <t>2041-1</t>
        </is>
      </c>
      <c r="G2563" s="5" t="inlineStr">
        <is>
          <t>BRL</t>
        </is>
      </c>
      <c r="H2563" s="9" t="n">
        <v>-1500</v>
      </c>
      <c r="I2563" s="16" t="n">
        <v>46241</v>
      </c>
      <c r="J2563" s="16" t="n">
        <v>46270</v>
      </c>
      <c r="K2563" s="5" t="inlineStr">
        <is>
          <t>Fatura - bruto KL LOCACOES E SOLUCOES AMBIENTAIS L</t>
        </is>
      </c>
      <c r="L2563" s="5" t="inlineStr">
        <is>
          <t>08092026</t>
        </is>
      </c>
      <c r="M2563" s="5">
        <f>IF(YEAR(I2563)&lt;=2020,"Até 2020",TEXT(YEAR(I2563),"0"))</f>
        <v/>
      </c>
      <c r="N2563" s="5">
        <f>IFERROR(INDEX(DePara!$A:$A,MATCH(TEXT(B2563,"0"),DePara!$D:$D,0)),"(sem categoria)")</f>
        <v/>
      </c>
      <c r="O2563" s="5">
        <f>IF(J2563="","",Parametros!$B$6-J2563)</f>
        <v/>
      </c>
      <c r="P2563" s="5">
        <f>IF(O2563="","",IF(O2563&gt;0,1,0))</f>
        <v/>
      </c>
    </row>
    <row r="2564">
      <c r="A2564" s="5" t="n">
        <v>2111000000</v>
      </c>
      <c r="B2564" s="5" t="inlineStr">
        <is>
          <t>101897</t>
        </is>
      </c>
      <c r="C2564" s="5" t="inlineStr">
        <is>
          <t>KL LOCACOES E SOLUCOES AMBIENTAIS L KL CONSTRUCOES E SERVICOS IMOBILIAR</t>
        </is>
      </c>
      <c r="D2564" s="5" t="inlineStr">
        <is>
          <t>RE</t>
        </is>
      </c>
      <c r="E2564" s="5" t="n">
        <v>5015385</v>
      </c>
      <c r="F2564" s="5" t="inlineStr">
        <is>
          <t>2047-1</t>
        </is>
      </c>
      <c r="G2564" s="5" t="inlineStr">
        <is>
          <t>BRL</t>
        </is>
      </c>
      <c r="H2564" s="9" t="n">
        <v>-2000</v>
      </c>
      <c r="I2564" s="16" t="n">
        <v>46251</v>
      </c>
      <c r="J2564" s="16" t="n">
        <v>46300</v>
      </c>
      <c r="K2564" s="5" t="inlineStr">
        <is>
          <t>Fatura - bruto KL LOCACOES E SOLUCOES AMBIENTAIS L</t>
        </is>
      </c>
      <c r="L2564" s="5" t="inlineStr">
        <is>
          <t>05102026</t>
        </is>
      </c>
      <c r="M2564" s="5">
        <f>IF(YEAR(I2564)&lt;=2020,"Até 2020",TEXT(YEAR(I2564),"0"))</f>
        <v/>
      </c>
      <c r="N2564" s="5">
        <f>IFERROR(INDEX(DePara!$A:$A,MATCH(TEXT(B2564,"0"),DePara!$D:$D,0)),"(sem categoria)")</f>
        <v/>
      </c>
      <c r="O2564" s="5">
        <f>IF(J2564="","",Parametros!$B$6-J2564)</f>
        <v/>
      </c>
      <c r="P2564" s="5">
        <f>IF(O2564="","",IF(O2564&gt;0,1,0))</f>
        <v/>
      </c>
    </row>
    <row r="2565">
      <c r="A2565" s="5" t="n">
        <v>2111000000</v>
      </c>
      <c r="B2565" s="5" t="inlineStr">
        <is>
          <t>100454</t>
        </is>
      </c>
      <c r="C2565" s="5" t="inlineStr">
        <is>
          <t>GEOMATICS GESTAO DE FROTAS LTDA</t>
        </is>
      </c>
      <c r="D2565" s="5" t="inlineStr">
        <is>
          <t>RE</t>
        </is>
      </c>
      <c r="E2565" s="5" t="n">
        <v>5015387</v>
      </c>
      <c r="F2565" s="5" t="inlineStr">
        <is>
          <t>5919</t>
        </is>
      </c>
      <c r="G2565" s="5" t="inlineStr">
        <is>
          <t>BRL</t>
        </is>
      </c>
      <c r="H2565" s="9" t="n">
        <v>-318.18</v>
      </c>
      <c r="I2565" s="16" t="n">
        <v>46248</v>
      </c>
      <c r="J2565" s="16" t="n">
        <v>46278</v>
      </c>
      <c r="K2565" s="5" t="inlineStr">
        <is>
          <t>Fatura - bruto GEOMATICS GESTAO DE FROTAS LTDA 591</t>
        </is>
      </c>
      <c r="L2565" s="5" t="inlineStr">
        <is>
          <t>09092026</t>
        </is>
      </c>
      <c r="M2565" s="5">
        <f>IF(YEAR(I2565)&lt;=2020,"Até 2020",TEXT(YEAR(I2565),"0"))</f>
        <v/>
      </c>
      <c r="N2565" s="5">
        <f>IFERROR(INDEX(DePara!$A:$A,MATCH(TEXT(B2565,"0"),DePara!$D:$D,0)),"(sem categoria)")</f>
        <v/>
      </c>
      <c r="O2565" s="5">
        <f>IF(J2565="","",Parametros!$B$6-J2565)</f>
        <v/>
      </c>
      <c r="P2565" s="5">
        <f>IF(O2565="","",IF(O2565&gt;0,1,0))</f>
        <v/>
      </c>
    </row>
    <row r="2566">
      <c r="A2566" s="5" t="n">
        <v>2111000000</v>
      </c>
      <c r="B2566" s="5" t="inlineStr">
        <is>
          <t>100454</t>
        </is>
      </c>
      <c r="C2566" s="5" t="inlineStr">
        <is>
          <t>GEOMATICS GESTAO DE FROTAS LTDA</t>
        </is>
      </c>
      <c r="D2566" s="5" t="inlineStr">
        <is>
          <t>RE</t>
        </is>
      </c>
      <c r="E2566" s="5" t="n">
        <v>5015388</v>
      </c>
      <c r="F2566" s="5" t="inlineStr">
        <is>
          <t>2828</t>
        </is>
      </c>
      <c r="G2566" s="5" t="inlineStr">
        <is>
          <t>BRL</t>
        </is>
      </c>
      <c r="H2566" s="9" t="n">
        <v>-533.12</v>
      </c>
      <c r="I2566" s="16" t="n">
        <v>46248</v>
      </c>
      <c r="J2566" s="16" t="n">
        <v>46278</v>
      </c>
      <c r="K2566" s="5" t="inlineStr">
        <is>
          <t>Fatura - bruto GEOMATICS GESTAO DE FROTAS LTDA 282</t>
        </is>
      </c>
      <c r="L2566" s="5" t="inlineStr">
        <is>
          <t>09092026</t>
        </is>
      </c>
      <c r="M2566" s="5">
        <f>IF(YEAR(I2566)&lt;=2020,"Até 2020",TEXT(YEAR(I2566),"0"))</f>
        <v/>
      </c>
      <c r="N2566" s="5">
        <f>IFERROR(INDEX(DePara!$A:$A,MATCH(TEXT(B2566,"0"),DePara!$D:$D,0)),"(sem categoria)")</f>
        <v/>
      </c>
      <c r="O2566" s="5">
        <f>IF(J2566="","",Parametros!$B$6-J2566)</f>
        <v/>
      </c>
      <c r="P2566" s="5">
        <f>IF(O2566="","",IF(O2566&gt;0,1,0))</f>
        <v/>
      </c>
    </row>
    <row r="2567">
      <c r="A2567" s="5" t="n">
        <v>2111000000</v>
      </c>
      <c r="B2567" s="5" t="inlineStr">
        <is>
          <t>100454</t>
        </is>
      </c>
      <c r="C2567" s="5" t="inlineStr">
        <is>
          <t>GEOMATICS GESTAO DE FROTAS LTDA</t>
        </is>
      </c>
      <c r="D2567" s="5" t="inlineStr">
        <is>
          <t>RE</t>
        </is>
      </c>
      <c r="E2567" s="5" t="n">
        <v>5015389</v>
      </c>
      <c r="F2567" s="5" t="inlineStr">
        <is>
          <t>2830</t>
        </is>
      </c>
      <c r="G2567" s="5" t="inlineStr">
        <is>
          <t>BRL</t>
        </is>
      </c>
      <c r="H2567" s="9" t="n">
        <v>-152.32</v>
      </c>
      <c r="I2567" s="16" t="n">
        <v>46248</v>
      </c>
      <c r="J2567" s="16" t="n">
        <v>46278</v>
      </c>
      <c r="K2567" s="5" t="inlineStr">
        <is>
          <t>Fatura - bruto GEOMATICS GESTAO DE FROTAS LTDA 283</t>
        </is>
      </c>
      <c r="L2567" s="5" t="inlineStr">
        <is>
          <t>09092026</t>
        </is>
      </c>
      <c r="M2567" s="5">
        <f>IF(YEAR(I2567)&lt;=2020,"Até 2020",TEXT(YEAR(I2567),"0"))</f>
        <v/>
      </c>
      <c r="N2567" s="5">
        <f>IFERROR(INDEX(DePara!$A:$A,MATCH(TEXT(B2567,"0"),DePara!$D:$D,0)),"(sem categoria)")</f>
        <v/>
      </c>
      <c r="O2567" s="5">
        <f>IF(J2567="","",Parametros!$B$6-J2567)</f>
        <v/>
      </c>
      <c r="P2567" s="5">
        <f>IF(O2567="","",IF(O2567&gt;0,1,0))</f>
        <v/>
      </c>
    </row>
    <row r="2568">
      <c r="A2568" s="5" t="n">
        <v>2111000000</v>
      </c>
      <c r="B2568" s="5" t="inlineStr">
        <is>
          <t>101463</t>
        </is>
      </c>
      <c r="C2568" s="5" t="inlineStr">
        <is>
          <t>ZURICH MINAS BRASIL SEGUROS S A</t>
        </is>
      </c>
      <c r="D2568" s="5" t="inlineStr">
        <is>
          <t>RE</t>
        </is>
      </c>
      <c r="E2568" s="5" t="n">
        <v>5015390</v>
      </c>
      <c r="F2568" s="5" t="inlineStr">
        <is>
          <t>0475/26</t>
        </is>
      </c>
      <c r="G2568" s="5" t="inlineStr">
        <is>
          <t>BRL</t>
        </is>
      </c>
      <c r="H2568" s="9" t="n">
        <v>-9.92</v>
      </c>
      <c r="I2568" s="16" t="n">
        <v>46252</v>
      </c>
      <c r="J2568" s="16" t="n">
        <v>46282</v>
      </c>
      <c r="K2568" s="5" t="inlineStr">
        <is>
          <t>Invoice Payment. SP: 21638</t>
        </is>
      </c>
      <c r="L2568" s="5" t="inlineStr">
        <is>
          <t>0475/26</t>
        </is>
      </c>
      <c r="M2568" s="5">
        <f>IF(YEAR(I2568)&lt;=2020,"Até 2020",TEXT(YEAR(I2568),"0"))</f>
        <v/>
      </c>
      <c r="N2568" s="5">
        <f>IFERROR(INDEX(DePara!$A:$A,MATCH(TEXT(B2568,"0"),DePara!$D:$D,0)),"(sem categoria)")</f>
        <v/>
      </c>
      <c r="O2568" s="5">
        <f>IF(J2568="","",Parametros!$B$6-J2568)</f>
        <v/>
      </c>
      <c r="P2568" s="5">
        <f>IF(O2568="","",IF(O2568&gt;0,1,0))</f>
        <v/>
      </c>
    </row>
    <row r="2569">
      <c r="A2569" s="5" t="n">
        <v>2111000000</v>
      </c>
      <c r="B2569" s="5" t="inlineStr">
        <is>
          <t>100454</t>
        </is>
      </c>
      <c r="C2569" s="5" t="inlineStr">
        <is>
          <t>GEOMATICS GESTAO DE FROTAS LTDA</t>
        </is>
      </c>
      <c r="D2569" s="5" t="inlineStr">
        <is>
          <t>RE</t>
        </is>
      </c>
      <c r="E2569" s="5" t="n">
        <v>5015391</v>
      </c>
      <c r="F2569" s="5" t="inlineStr">
        <is>
          <t>5921</t>
        </is>
      </c>
      <c r="G2569" s="5" t="inlineStr">
        <is>
          <t>BRL</t>
        </is>
      </c>
      <c r="H2569" s="9" t="n">
        <v>-89.04000000000001</v>
      </c>
      <c r="I2569" s="16" t="n">
        <v>46248</v>
      </c>
      <c r="J2569" s="16" t="n">
        <v>46278</v>
      </c>
      <c r="K2569" s="5" t="inlineStr">
        <is>
          <t>Fatura - bruto GEOMATICS GESTAO DE FROTAS LTDA 592</t>
        </is>
      </c>
      <c r="L2569" s="5" t="inlineStr">
        <is>
          <t>09092026</t>
        </is>
      </c>
      <c r="M2569" s="5">
        <f>IF(YEAR(I2569)&lt;=2020,"Até 2020",TEXT(YEAR(I2569),"0"))</f>
        <v/>
      </c>
      <c r="N2569" s="5">
        <f>IFERROR(INDEX(DePara!$A:$A,MATCH(TEXT(B2569,"0"),DePara!$D:$D,0)),"(sem categoria)")</f>
        <v/>
      </c>
      <c r="O2569" s="5">
        <f>IF(J2569="","",Parametros!$B$6-J2569)</f>
        <v/>
      </c>
      <c r="P2569" s="5">
        <f>IF(O2569="","",IF(O2569&gt;0,1,0))</f>
        <v/>
      </c>
    </row>
    <row r="2570">
      <c r="A2570" s="5" t="n">
        <v>2111000000</v>
      </c>
      <c r="B2570" s="5" t="inlineStr">
        <is>
          <t>100454</t>
        </is>
      </c>
      <c r="C2570" s="5" t="inlineStr">
        <is>
          <t>GEOMATICS GESTAO DE FROTAS LTDA</t>
        </is>
      </c>
      <c r="D2570" s="5" t="inlineStr">
        <is>
          <t>RE</t>
        </is>
      </c>
      <c r="E2570" s="5" t="n">
        <v>5015393</v>
      </c>
      <c r="F2570" s="5" t="inlineStr">
        <is>
          <t>5922</t>
        </is>
      </c>
      <c r="G2570" s="5" t="inlineStr">
        <is>
          <t>BRL</t>
        </is>
      </c>
      <c r="H2570" s="9" t="n">
        <v>-89.04000000000001</v>
      </c>
      <c r="I2570" s="16" t="n">
        <v>46248</v>
      </c>
      <c r="J2570" s="16" t="n">
        <v>46278</v>
      </c>
      <c r="K2570" s="5" t="inlineStr">
        <is>
          <t>Fatura - bruto GEOMATICS GESTAO DE FROTAS LTDA 592</t>
        </is>
      </c>
      <c r="L2570" s="5" t="inlineStr">
        <is>
          <t>09092026</t>
        </is>
      </c>
      <c r="M2570" s="5">
        <f>IF(YEAR(I2570)&lt;=2020,"Até 2020",TEXT(YEAR(I2570),"0"))</f>
        <v/>
      </c>
      <c r="N2570" s="5">
        <f>IFERROR(INDEX(DePara!$A:$A,MATCH(TEXT(B2570,"0"),DePara!$D:$D,0)),"(sem categoria)")</f>
        <v/>
      </c>
      <c r="O2570" s="5">
        <f>IF(J2570="","",Parametros!$B$6-J2570)</f>
        <v/>
      </c>
      <c r="P2570" s="5">
        <f>IF(O2570="","",IF(O2570&gt;0,1,0))</f>
        <v/>
      </c>
    </row>
    <row r="2571">
      <c r="A2571" s="5" t="n">
        <v>2111000000</v>
      </c>
      <c r="B2571" s="5" t="inlineStr">
        <is>
          <t>100454</t>
        </is>
      </c>
      <c r="C2571" s="5" t="inlineStr">
        <is>
          <t>GEOMATICS GESTAO DE FROTAS LTDA</t>
        </is>
      </c>
      <c r="D2571" s="5" t="inlineStr">
        <is>
          <t>RE</t>
        </is>
      </c>
      <c r="E2571" s="5" t="n">
        <v>5015394</v>
      </c>
      <c r="F2571" s="5" t="inlineStr">
        <is>
          <t>2832</t>
        </is>
      </c>
      <c r="G2571" s="5" t="inlineStr">
        <is>
          <t>BRL</t>
        </is>
      </c>
      <c r="H2571" s="9" t="n">
        <v>-76.16</v>
      </c>
      <c r="I2571" s="16" t="n">
        <v>46248</v>
      </c>
      <c r="J2571" s="16" t="n">
        <v>46278</v>
      </c>
      <c r="K2571" s="5" t="inlineStr">
        <is>
          <t>Fatura - bruto GEOMATICS GESTAO DE FROTAS LTDA 283</t>
        </is>
      </c>
      <c r="L2571" s="5" t="inlineStr">
        <is>
          <t>09092026</t>
        </is>
      </c>
      <c r="M2571" s="5">
        <f>IF(YEAR(I2571)&lt;=2020,"Até 2020",TEXT(YEAR(I2571),"0"))</f>
        <v/>
      </c>
      <c r="N2571" s="5">
        <f>IFERROR(INDEX(DePara!$A:$A,MATCH(TEXT(B2571,"0"),DePara!$D:$D,0)),"(sem categoria)")</f>
        <v/>
      </c>
      <c r="O2571" s="5">
        <f>IF(J2571="","",Parametros!$B$6-J2571)</f>
        <v/>
      </c>
      <c r="P2571" s="5">
        <f>IF(O2571="","",IF(O2571&gt;0,1,0))</f>
        <v/>
      </c>
    </row>
    <row r="2572">
      <c r="A2572" s="5" t="n">
        <v>2111000000</v>
      </c>
      <c r="B2572" s="5" t="inlineStr">
        <is>
          <t>100454</t>
        </is>
      </c>
      <c r="C2572" s="5" t="inlineStr">
        <is>
          <t>GEOMATICS GESTAO DE FROTAS LTDA</t>
        </is>
      </c>
      <c r="D2572" s="5" t="inlineStr">
        <is>
          <t>RE</t>
        </is>
      </c>
      <c r="E2572" s="5" t="n">
        <v>5015395</v>
      </c>
      <c r="F2572" s="5" t="inlineStr">
        <is>
          <t>5923</t>
        </is>
      </c>
      <c r="G2572" s="5" t="inlineStr">
        <is>
          <t>BRL</t>
        </is>
      </c>
      <c r="H2572" s="9" t="n">
        <v>-89.04000000000001</v>
      </c>
      <c r="I2572" s="16" t="n">
        <v>46248</v>
      </c>
      <c r="J2572" s="16" t="n">
        <v>46278</v>
      </c>
      <c r="K2572" s="5" t="inlineStr">
        <is>
          <t>Fatura - bruto GEOMATICS GESTAO DE FROTAS LTDA 592</t>
        </is>
      </c>
      <c r="L2572" s="5" t="inlineStr">
        <is>
          <t>09092026</t>
        </is>
      </c>
      <c r="M2572" s="5">
        <f>IF(YEAR(I2572)&lt;=2020,"Até 2020",TEXT(YEAR(I2572),"0"))</f>
        <v/>
      </c>
      <c r="N2572" s="5">
        <f>IFERROR(INDEX(DePara!$A:$A,MATCH(TEXT(B2572,"0"),DePara!$D:$D,0)),"(sem categoria)")</f>
        <v/>
      </c>
      <c r="O2572" s="5">
        <f>IF(J2572="","",Parametros!$B$6-J2572)</f>
        <v/>
      </c>
      <c r="P2572" s="5">
        <f>IF(O2572="","",IF(O2572&gt;0,1,0))</f>
        <v/>
      </c>
    </row>
    <row r="2573">
      <c r="A2573" s="5" t="n">
        <v>2111000000</v>
      </c>
      <c r="B2573" s="5" t="inlineStr">
        <is>
          <t>100454</t>
        </is>
      </c>
      <c r="C2573" s="5" t="inlineStr">
        <is>
          <t>GEOMATICS GESTAO DE FROTAS LTDA</t>
        </is>
      </c>
      <c r="D2573" s="5" t="inlineStr">
        <is>
          <t>RE</t>
        </is>
      </c>
      <c r="E2573" s="5" t="n">
        <v>5015396</v>
      </c>
      <c r="F2573" s="5" t="inlineStr">
        <is>
          <t>2831</t>
        </is>
      </c>
      <c r="G2573" s="5" t="inlineStr">
        <is>
          <t>BRL</t>
        </is>
      </c>
      <c r="H2573" s="9" t="n">
        <v>-152.32</v>
      </c>
      <c r="I2573" s="16" t="n">
        <v>46248</v>
      </c>
      <c r="J2573" s="16" t="n">
        <v>46278</v>
      </c>
      <c r="K2573" s="5" t="inlineStr">
        <is>
          <t>Fatura - bruto GEOMATICS GESTAO DE FROTAS LTDA 283</t>
        </is>
      </c>
      <c r="L2573" s="5" t="inlineStr">
        <is>
          <t>09092026</t>
        </is>
      </c>
      <c r="M2573" s="5">
        <f>IF(YEAR(I2573)&lt;=2020,"Até 2020",TEXT(YEAR(I2573),"0"))</f>
        <v/>
      </c>
      <c r="N2573" s="5">
        <f>IFERROR(INDEX(DePara!$A:$A,MATCH(TEXT(B2573,"0"),DePara!$D:$D,0)),"(sem categoria)")</f>
        <v/>
      </c>
      <c r="O2573" s="5">
        <f>IF(J2573="","",Parametros!$B$6-J2573)</f>
        <v/>
      </c>
      <c r="P2573" s="5">
        <f>IF(O2573="","",IF(O2573&gt;0,1,0))</f>
        <v/>
      </c>
    </row>
    <row r="2574">
      <c r="A2574" s="5" t="n">
        <v>2111000000</v>
      </c>
      <c r="B2574" s="5" t="inlineStr">
        <is>
          <t>100454</t>
        </is>
      </c>
      <c r="C2574" s="5" t="inlineStr">
        <is>
          <t>GEOMATICS GESTAO DE FROTAS LTDA</t>
        </is>
      </c>
      <c r="D2574" s="5" t="inlineStr">
        <is>
          <t>RE</t>
        </is>
      </c>
      <c r="E2574" s="5" t="n">
        <v>5015397</v>
      </c>
      <c r="F2574" s="5" t="inlineStr">
        <is>
          <t>5924</t>
        </is>
      </c>
      <c r="G2574" s="5" t="inlineStr">
        <is>
          <t>BRL</t>
        </is>
      </c>
      <c r="H2574" s="9" t="n">
        <v>-44.52</v>
      </c>
      <c r="I2574" s="16" t="n">
        <v>46248</v>
      </c>
      <c r="J2574" s="16" t="n">
        <v>46278</v>
      </c>
      <c r="K2574" s="5" t="inlineStr">
        <is>
          <t>Fatura - bruto GEOMATICS GESTAO DE FROTAS LTDA 592</t>
        </is>
      </c>
      <c r="L2574" s="5" t="inlineStr">
        <is>
          <t>09092026</t>
        </is>
      </c>
      <c r="M2574" s="5">
        <f>IF(YEAR(I2574)&lt;=2020,"Até 2020",TEXT(YEAR(I2574),"0"))</f>
        <v/>
      </c>
      <c r="N2574" s="5">
        <f>IFERROR(INDEX(DePara!$A:$A,MATCH(TEXT(B2574,"0"),DePara!$D:$D,0)),"(sem categoria)")</f>
        <v/>
      </c>
      <c r="O2574" s="5">
        <f>IF(J2574="","",Parametros!$B$6-J2574)</f>
        <v/>
      </c>
      <c r="P2574" s="5">
        <f>IF(O2574="","",IF(O2574&gt;0,1,0))</f>
        <v/>
      </c>
    </row>
    <row r="2575">
      <c r="A2575" s="5" t="n">
        <v>2111000000</v>
      </c>
      <c r="B2575" s="5" t="inlineStr">
        <is>
          <t>100454</t>
        </is>
      </c>
      <c r="C2575" s="5" t="inlineStr">
        <is>
          <t>GEOMATICS GESTAO DE FROTAS LTDA</t>
        </is>
      </c>
      <c r="D2575" s="5" t="inlineStr">
        <is>
          <t>RE</t>
        </is>
      </c>
      <c r="E2575" s="5" t="n">
        <v>5015398</v>
      </c>
      <c r="F2575" s="5" t="inlineStr">
        <is>
          <t>2833</t>
        </is>
      </c>
      <c r="G2575" s="5" t="inlineStr">
        <is>
          <t>BRL</t>
        </is>
      </c>
      <c r="H2575" s="9" t="n">
        <v>-228.48</v>
      </c>
      <c r="I2575" s="16" t="n">
        <v>46248</v>
      </c>
      <c r="J2575" s="16" t="n">
        <v>46278</v>
      </c>
      <c r="K2575" s="5" t="inlineStr">
        <is>
          <t>Fatura - bruto GEOMATICS GESTAO DE FROTAS LTDA 283</t>
        </is>
      </c>
      <c r="L2575" s="5" t="inlineStr">
        <is>
          <t>09092026</t>
        </is>
      </c>
      <c r="M2575" s="5">
        <f>IF(YEAR(I2575)&lt;=2020,"Até 2020",TEXT(YEAR(I2575),"0"))</f>
        <v/>
      </c>
      <c r="N2575" s="5">
        <f>IFERROR(INDEX(DePara!$A:$A,MATCH(TEXT(B2575,"0"),DePara!$D:$D,0)),"(sem categoria)")</f>
        <v/>
      </c>
      <c r="O2575" s="5">
        <f>IF(J2575="","",Parametros!$B$6-J2575)</f>
        <v/>
      </c>
      <c r="P2575" s="5">
        <f>IF(O2575="","",IF(O2575&gt;0,1,0))</f>
        <v/>
      </c>
    </row>
    <row r="2576">
      <c r="A2576" s="5" t="n">
        <v>2111000000</v>
      </c>
      <c r="B2576" s="5" t="inlineStr">
        <is>
          <t>100454</t>
        </is>
      </c>
      <c r="C2576" s="5" t="inlineStr">
        <is>
          <t>GEOMATICS GESTAO DE FROTAS LTDA</t>
        </is>
      </c>
      <c r="D2576" s="5" t="inlineStr">
        <is>
          <t>RE</t>
        </is>
      </c>
      <c r="E2576" s="5" t="n">
        <v>5015399</v>
      </c>
      <c r="F2576" s="5" t="inlineStr">
        <is>
          <t>5925</t>
        </is>
      </c>
      <c r="G2576" s="5" t="inlineStr">
        <is>
          <t>BRL</t>
        </is>
      </c>
      <c r="H2576" s="9" t="n">
        <v>-133.56</v>
      </c>
      <c r="I2576" s="16" t="n">
        <v>46248</v>
      </c>
      <c r="J2576" s="16" t="n">
        <v>46278</v>
      </c>
      <c r="K2576" s="5" t="inlineStr">
        <is>
          <t>Fatura - bruto GEOMATICS GESTAO DE FROTAS LTDA 592</t>
        </is>
      </c>
      <c r="L2576" s="5" t="inlineStr">
        <is>
          <t>09092026</t>
        </is>
      </c>
      <c r="M2576" s="5">
        <f>IF(YEAR(I2576)&lt;=2020,"Até 2020",TEXT(YEAR(I2576),"0"))</f>
        <v/>
      </c>
      <c r="N2576" s="5">
        <f>IFERROR(INDEX(DePara!$A:$A,MATCH(TEXT(B2576,"0"),DePara!$D:$D,0)),"(sem categoria)")</f>
        <v/>
      </c>
      <c r="O2576" s="5">
        <f>IF(J2576="","",Parametros!$B$6-J2576)</f>
        <v/>
      </c>
      <c r="P2576" s="5">
        <f>IF(O2576="","",IF(O2576&gt;0,1,0))</f>
        <v/>
      </c>
    </row>
    <row r="2577">
      <c r="A2577" s="5" t="n">
        <v>2111000000</v>
      </c>
      <c r="B2577" s="5" t="inlineStr">
        <is>
          <t>100454</t>
        </is>
      </c>
      <c r="C2577" s="5" t="inlineStr">
        <is>
          <t>GEOMATICS GESTAO DE FROTAS LTDA</t>
        </is>
      </c>
      <c r="D2577" s="5" t="inlineStr">
        <is>
          <t>RE</t>
        </is>
      </c>
      <c r="E2577" s="5" t="n">
        <v>5015400</v>
      </c>
      <c r="F2577" s="5" t="inlineStr">
        <is>
          <t>5926</t>
        </is>
      </c>
      <c r="G2577" s="5" t="inlineStr">
        <is>
          <t>BRL</t>
        </is>
      </c>
      <c r="H2577" s="9" t="n">
        <v>-42.71</v>
      </c>
      <c r="I2577" s="16" t="n">
        <v>46248</v>
      </c>
      <c r="J2577" s="16" t="n">
        <v>46278</v>
      </c>
      <c r="K2577" s="5" t="inlineStr">
        <is>
          <t>Fatura - bruto GEOMATICS GESTAO DE FROTAS LTDA 592</t>
        </is>
      </c>
      <c r="L2577" s="5" t="inlineStr">
        <is>
          <t>09092026</t>
        </is>
      </c>
      <c r="M2577" s="5">
        <f>IF(YEAR(I2577)&lt;=2020,"Até 2020",TEXT(YEAR(I2577),"0"))</f>
        <v/>
      </c>
      <c r="N2577" s="5">
        <f>IFERROR(INDEX(DePara!$A:$A,MATCH(TEXT(B2577,"0"),DePara!$D:$D,0)),"(sem categoria)")</f>
        <v/>
      </c>
      <c r="O2577" s="5">
        <f>IF(J2577="","",Parametros!$B$6-J2577)</f>
        <v/>
      </c>
      <c r="P2577" s="5">
        <f>IF(O2577="","",IF(O2577&gt;0,1,0))</f>
        <v/>
      </c>
    </row>
    <row r="2578">
      <c r="A2578" s="5" t="n">
        <v>2111000000</v>
      </c>
      <c r="B2578" s="5" t="inlineStr">
        <is>
          <t>100454</t>
        </is>
      </c>
      <c r="C2578" s="5" t="inlineStr">
        <is>
          <t>GEOMATICS GESTAO DE FROTAS LTDA</t>
        </is>
      </c>
      <c r="D2578" s="5" t="inlineStr">
        <is>
          <t>RE</t>
        </is>
      </c>
      <c r="E2578" s="5" t="n">
        <v>5015401</v>
      </c>
      <c r="F2578" s="5" t="inlineStr">
        <is>
          <t>5927</t>
        </is>
      </c>
      <c r="G2578" s="5" t="inlineStr">
        <is>
          <t>BRL</t>
        </is>
      </c>
      <c r="H2578" s="9" t="n">
        <v>-128.11</v>
      </c>
      <c r="I2578" s="16" t="n">
        <v>46248</v>
      </c>
      <c r="J2578" s="16" t="n">
        <v>46278</v>
      </c>
      <c r="K2578" s="5" t="inlineStr">
        <is>
          <t>Fatura - bruto GEOMATICS GESTAO DE FROTAS LTDA 592</t>
        </is>
      </c>
      <c r="L2578" s="5" t="inlineStr">
        <is>
          <t>09092026</t>
        </is>
      </c>
      <c r="M2578" s="5">
        <f>IF(YEAR(I2578)&lt;=2020,"Até 2020",TEXT(YEAR(I2578),"0"))</f>
        <v/>
      </c>
      <c r="N2578" s="5">
        <f>IFERROR(INDEX(DePara!$A:$A,MATCH(TEXT(B2578,"0"),DePara!$D:$D,0)),"(sem categoria)")</f>
        <v/>
      </c>
      <c r="O2578" s="5">
        <f>IF(J2578="","",Parametros!$B$6-J2578)</f>
        <v/>
      </c>
      <c r="P2578" s="5">
        <f>IF(O2578="","",IF(O2578&gt;0,1,0))</f>
        <v/>
      </c>
    </row>
    <row r="2579">
      <c r="A2579" s="5" t="n">
        <v>2111000000</v>
      </c>
      <c r="B2579" s="5" t="inlineStr">
        <is>
          <t>100454</t>
        </is>
      </c>
      <c r="C2579" s="5" t="inlineStr">
        <is>
          <t>GEOMATICS GESTAO DE FROTAS LTDA</t>
        </is>
      </c>
      <c r="D2579" s="5" t="inlineStr">
        <is>
          <t>RE</t>
        </is>
      </c>
      <c r="E2579" s="5" t="n">
        <v>5015405</v>
      </c>
      <c r="F2579" s="5" t="inlineStr">
        <is>
          <t>5928</t>
        </is>
      </c>
      <c r="G2579" s="5" t="inlineStr">
        <is>
          <t>BRL</t>
        </is>
      </c>
      <c r="H2579" s="9" t="n">
        <v>-45.46</v>
      </c>
      <c r="I2579" s="16" t="n">
        <v>46248</v>
      </c>
      <c r="J2579" s="16" t="n">
        <v>46278</v>
      </c>
      <c r="K2579" s="5" t="inlineStr">
        <is>
          <t>Fatura - bruto GEOMATICS GESTAO DE FROTAS LTDA 592</t>
        </is>
      </c>
      <c r="L2579" s="5" t="inlineStr">
        <is>
          <t>09092026</t>
        </is>
      </c>
      <c r="M2579" s="5">
        <f>IF(YEAR(I2579)&lt;=2020,"Até 2020",TEXT(YEAR(I2579),"0"))</f>
        <v/>
      </c>
      <c r="N2579" s="5">
        <f>IFERROR(INDEX(DePara!$A:$A,MATCH(TEXT(B2579,"0"),DePara!$D:$D,0)),"(sem categoria)")</f>
        <v/>
      </c>
      <c r="O2579" s="5">
        <f>IF(J2579="","",Parametros!$B$6-J2579)</f>
        <v/>
      </c>
      <c r="P2579" s="5">
        <f>IF(O2579="","",IF(O2579&gt;0,1,0))</f>
        <v/>
      </c>
    </row>
    <row r="2580">
      <c r="A2580" s="5" t="n">
        <v>2111000000</v>
      </c>
      <c r="B2580" s="5" t="inlineStr">
        <is>
          <t>100542</t>
        </is>
      </c>
      <c r="C2580" s="5" t="inlineStr">
        <is>
          <t>EXTREME WIND SERVICOS DE MANUTENCAO</t>
        </is>
      </c>
      <c r="D2580" s="5" t="inlineStr">
        <is>
          <t>RE</t>
        </is>
      </c>
      <c r="E2580" s="5" t="n">
        <v>5015407</v>
      </c>
      <c r="F2580" s="5" t="inlineStr">
        <is>
          <t>673</t>
        </is>
      </c>
      <c r="G2580" s="5" t="inlineStr">
        <is>
          <t>BRL</t>
        </is>
      </c>
      <c r="H2580" s="9" t="n">
        <v>-108999.98</v>
      </c>
      <c r="I2580" s="16" t="n">
        <v>46239</v>
      </c>
      <c r="J2580" s="16" t="n">
        <v>46300</v>
      </c>
      <c r="K2580" s="5" t="inlineStr">
        <is>
          <t>Fatura - bruto EXTREME WIND SERVICOS DE MANUTENCAO</t>
        </is>
      </c>
      <c r="L2580" s="5" t="inlineStr">
        <is>
          <t>05102026</t>
        </is>
      </c>
      <c r="M2580" s="5">
        <f>IF(YEAR(I2580)&lt;=2020,"Até 2020",TEXT(YEAR(I2580),"0"))</f>
        <v/>
      </c>
      <c r="N2580" s="5">
        <f>IFERROR(INDEX(DePara!$A:$A,MATCH(TEXT(B2580,"0"),DePara!$D:$D,0)),"(sem categoria)")</f>
        <v/>
      </c>
      <c r="O2580" s="5">
        <f>IF(J2580="","",Parametros!$B$6-J2580)</f>
        <v/>
      </c>
      <c r="P2580" s="5">
        <f>IF(O2580="","",IF(O2580&gt;0,1,0))</f>
        <v/>
      </c>
    </row>
    <row r="2581">
      <c r="A2581" s="5" t="n">
        <v>2111000000</v>
      </c>
      <c r="B2581" s="5" t="inlineStr">
        <is>
          <t>100969</t>
        </is>
      </c>
      <c r="C2581" s="5" t="inlineStr">
        <is>
          <t>RONALDO LUIS DE SOUSA</t>
        </is>
      </c>
      <c r="D2581" s="5" t="inlineStr">
        <is>
          <t>RE</t>
        </is>
      </c>
      <c r="E2581" s="5" t="n">
        <v>5015409</v>
      </c>
      <c r="F2581" s="5" t="inlineStr">
        <is>
          <t>72</t>
        </is>
      </c>
      <c r="G2581" s="5" t="inlineStr">
        <is>
          <t>BRL</t>
        </is>
      </c>
      <c r="H2581" s="9" t="n">
        <v>-1211</v>
      </c>
      <c r="I2581" s="16" t="n">
        <v>46245</v>
      </c>
      <c r="J2581" s="16" t="n">
        <v>46270</v>
      </c>
      <c r="K2581" s="5" t="inlineStr">
        <is>
          <t>Fatura - bruto RONALDO LUIS DE SOUSA 72</t>
        </is>
      </c>
      <c r="L2581" s="5" t="inlineStr">
        <is>
          <t>02092026</t>
        </is>
      </c>
      <c r="M2581" s="5">
        <f>IF(YEAR(I2581)&lt;=2020,"Até 2020",TEXT(YEAR(I2581),"0"))</f>
        <v/>
      </c>
      <c r="N2581" s="5">
        <f>IFERROR(INDEX(DePara!$A:$A,MATCH(TEXT(B2581,"0"),DePara!$D:$D,0)),"(sem categoria)")</f>
        <v/>
      </c>
      <c r="O2581" s="5">
        <f>IF(J2581="","",Parametros!$B$6-J2581)</f>
        <v/>
      </c>
      <c r="P2581" s="5">
        <f>IF(O2581="","",IF(O2581&gt;0,1,0))</f>
        <v/>
      </c>
    </row>
    <row r="2582">
      <c r="A2582" s="5" t="n">
        <v>2111000000</v>
      </c>
      <c r="B2582" s="5" t="inlineStr">
        <is>
          <t>101692</t>
        </is>
      </c>
      <c r="C2582" s="5" t="inlineStr">
        <is>
          <t>SETE RADIOCOMUNICACAO LTDA ME</t>
        </is>
      </c>
      <c r="D2582" s="5" t="inlineStr">
        <is>
          <t>RE</t>
        </is>
      </c>
      <c r="E2582" s="5" t="n">
        <v>5015412</v>
      </c>
      <c r="F2582" s="5" t="inlineStr">
        <is>
          <t>6857</t>
        </is>
      </c>
      <c r="G2582" s="5" t="inlineStr">
        <is>
          <t>BRL</t>
        </is>
      </c>
      <c r="H2582" s="9" t="n">
        <v>-1000</v>
      </c>
      <c r="I2582" s="16" t="n">
        <v>46246</v>
      </c>
      <c r="J2582" s="16" t="n">
        <v>46267</v>
      </c>
      <c r="K2582" s="5" t="inlineStr">
        <is>
          <t>*34191570070414933445231019920003415570000100000</t>
        </is>
      </c>
      <c r="L2582" s="5" t="inlineStr">
        <is>
          <t>02092026</t>
        </is>
      </c>
      <c r="M2582" s="5">
        <f>IF(YEAR(I2582)&lt;=2020,"Até 2020",TEXT(YEAR(I2582),"0"))</f>
        <v/>
      </c>
      <c r="N2582" s="5">
        <f>IFERROR(INDEX(DePara!$A:$A,MATCH(TEXT(B2582,"0"),DePara!$D:$D,0)),"(sem categoria)")</f>
        <v/>
      </c>
      <c r="O2582" s="5">
        <f>IF(J2582="","",Parametros!$B$6-J2582)</f>
        <v/>
      </c>
      <c r="P2582" s="5">
        <f>IF(O2582="","",IF(O2582&gt;0,1,0))</f>
        <v/>
      </c>
    </row>
    <row r="2583">
      <c r="A2583" s="5" t="n">
        <v>2111000000</v>
      </c>
      <c r="B2583" s="5" t="inlineStr">
        <is>
          <t>101692</t>
        </is>
      </c>
      <c r="C2583" s="5" t="inlineStr">
        <is>
          <t>SETE RADIOCOMUNICACAO LTDA ME</t>
        </is>
      </c>
      <c r="D2583" s="5" t="inlineStr">
        <is>
          <t>RE</t>
        </is>
      </c>
      <c r="E2583" s="5" t="n">
        <v>5015413</v>
      </c>
      <c r="F2583" s="5" t="inlineStr">
        <is>
          <t>6858</t>
        </is>
      </c>
      <c r="G2583" s="5" t="inlineStr">
        <is>
          <t>BRL</t>
        </is>
      </c>
      <c r="H2583" s="9" t="n">
        <v>-1000</v>
      </c>
      <c r="I2583" s="16" t="n">
        <v>46246</v>
      </c>
      <c r="J2583" s="16" t="n">
        <v>46267</v>
      </c>
      <c r="K2583" s="5" t="inlineStr">
        <is>
          <t>*34191570070414941445231019920003115570000100000</t>
        </is>
      </c>
      <c r="L2583" s="5" t="inlineStr">
        <is>
          <t>02092026</t>
        </is>
      </c>
      <c r="M2583" s="5">
        <f>IF(YEAR(I2583)&lt;=2020,"Até 2020",TEXT(YEAR(I2583),"0"))</f>
        <v/>
      </c>
      <c r="N2583" s="5">
        <f>IFERROR(INDEX(DePara!$A:$A,MATCH(TEXT(B2583,"0"),DePara!$D:$D,0)),"(sem categoria)")</f>
        <v/>
      </c>
      <c r="O2583" s="5">
        <f>IF(J2583="","",Parametros!$B$6-J2583)</f>
        <v/>
      </c>
      <c r="P2583" s="5">
        <f>IF(O2583="","",IF(O2583&gt;0,1,0))</f>
        <v/>
      </c>
    </row>
    <row r="2584">
      <c r="A2584" s="5" t="n">
        <v>2111000000</v>
      </c>
      <c r="B2584" s="5" t="inlineStr">
        <is>
          <t>101897</t>
        </is>
      </c>
      <c r="C2584" s="5" t="inlineStr">
        <is>
          <t>KL LOCACOES E SOLUCOES AMBIENTAIS L KL CONSTRUCOES E SERVICOS IMOBILIAR</t>
        </is>
      </c>
      <c r="D2584" s="5" t="inlineStr">
        <is>
          <t>RE</t>
        </is>
      </c>
      <c r="E2584" s="5" t="n">
        <v>5015415</v>
      </c>
      <c r="F2584" s="5" t="inlineStr">
        <is>
          <t>2043-1</t>
        </is>
      </c>
      <c r="G2584" s="5" t="inlineStr">
        <is>
          <t>BRL</t>
        </is>
      </c>
      <c r="H2584" s="9" t="n">
        <v>-4350</v>
      </c>
      <c r="I2584" s="16" t="n">
        <v>46246</v>
      </c>
      <c r="J2584" s="16" t="n">
        <v>46270</v>
      </c>
      <c r="K2584" s="5" t="inlineStr">
        <is>
          <t>Fatura - bruto KL LOCACOES E SOLUCOES AMBIENTAIS L</t>
        </is>
      </c>
      <c r="L2584" s="5" t="inlineStr">
        <is>
          <t>08092026</t>
        </is>
      </c>
      <c r="M2584" s="5">
        <f>IF(YEAR(I2584)&lt;=2020,"Até 2020",TEXT(YEAR(I2584),"0"))</f>
        <v/>
      </c>
      <c r="N2584" s="5">
        <f>IFERROR(INDEX(DePara!$A:$A,MATCH(TEXT(B2584,"0"),DePara!$D:$D,0)),"(sem categoria)")</f>
        <v/>
      </c>
      <c r="O2584" s="5">
        <f>IF(J2584="","",Parametros!$B$6-J2584)</f>
        <v/>
      </c>
      <c r="P2584" s="5">
        <f>IF(O2584="","",IF(O2584&gt;0,1,0))</f>
        <v/>
      </c>
    </row>
    <row r="2585">
      <c r="A2585" s="5" t="n">
        <v>2111000000</v>
      </c>
      <c r="B2585" s="5" t="inlineStr">
        <is>
          <t>101463</t>
        </is>
      </c>
      <c r="C2585" s="5" t="inlineStr">
        <is>
          <t>ZURICH MINAS BRASIL SEGUROS S A</t>
        </is>
      </c>
      <c r="D2585" s="5" t="inlineStr">
        <is>
          <t>RE</t>
        </is>
      </c>
      <c r="E2585" s="5" t="n">
        <v>5015416</v>
      </c>
      <c r="F2585" s="5" t="inlineStr">
        <is>
          <t>0495/26</t>
        </is>
      </c>
      <c r="G2585" s="5" t="inlineStr">
        <is>
          <t>BRL</t>
        </is>
      </c>
      <c r="H2585" s="9" t="n">
        <v>-91.59999999999999</v>
      </c>
      <c r="I2585" s="16" t="n">
        <v>46252</v>
      </c>
      <c r="J2585" s="16" t="n">
        <v>46282</v>
      </c>
      <c r="K2585" s="5" t="inlineStr">
        <is>
          <t>Invoice Payment. SP: 21658</t>
        </is>
      </c>
      <c r="L2585" s="5" t="inlineStr">
        <is>
          <t>0495/26</t>
        </is>
      </c>
      <c r="M2585" s="5">
        <f>IF(YEAR(I2585)&lt;=2020,"Até 2020",TEXT(YEAR(I2585),"0"))</f>
        <v/>
      </c>
      <c r="N2585" s="5">
        <f>IFERROR(INDEX(DePara!$A:$A,MATCH(TEXT(B2585,"0"),DePara!$D:$D,0)),"(sem categoria)")</f>
        <v/>
      </c>
      <c r="O2585" s="5">
        <f>IF(J2585="","",Parametros!$B$6-J2585)</f>
        <v/>
      </c>
      <c r="P2585" s="5">
        <f>IF(O2585="","",IF(O2585&gt;0,1,0))</f>
        <v/>
      </c>
    </row>
    <row r="2586">
      <c r="A2586" s="5" t="n">
        <v>2111000000</v>
      </c>
      <c r="B2586" s="5" t="inlineStr">
        <is>
          <t>101897</t>
        </is>
      </c>
      <c r="C2586" s="5" t="inlineStr">
        <is>
          <t>KL LOCACOES E SOLUCOES AMBIENTAIS L KL CONSTRUCOES E SERVICOS IMOBILIAR</t>
        </is>
      </c>
      <c r="D2586" s="5" t="inlineStr">
        <is>
          <t>RE</t>
        </is>
      </c>
      <c r="E2586" s="5" t="n">
        <v>5015418</v>
      </c>
      <c r="F2586" s="5" t="inlineStr">
        <is>
          <t>2029-1</t>
        </is>
      </c>
      <c r="G2586" s="5" t="inlineStr">
        <is>
          <t>BRL</t>
        </is>
      </c>
      <c r="H2586" s="9" t="n">
        <v>-18602</v>
      </c>
      <c r="I2586" s="16" t="n">
        <v>46221</v>
      </c>
      <c r="J2586" s="16" t="n">
        <v>46270</v>
      </c>
      <c r="K2586" s="5" t="inlineStr">
        <is>
          <t>Fatura - bruto KL LOCACOES E SOLUCOES AMBIENTAIS L</t>
        </is>
      </c>
      <c r="L2586" s="5" t="inlineStr">
        <is>
          <t>08092026</t>
        </is>
      </c>
      <c r="M2586" s="5">
        <f>IF(YEAR(I2586)&lt;=2020,"Até 2020",TEXT(YEAR(I2586),"0"))</f>
        <v/>
      </c>
      <c r="N2586" s="5">
        <f>IFERROR(INDEX(DePara!$A:$A,MATCH(TEXT(B2586,"0"),DePara!$D:$D,0)),"(sem categoria)")</f>
        <v/>
      </c>
      <c r="O2586" s="5">
        <f>IF(J2586="","",Parametros!$B$6-J2586)</f>
        <v/>
      </c>
      <c r="P2586" s="5">
        <f>IF(O2586="","",IF(O2586&gt;0,1,0))</f>
        <v/>
      </c>
    </row>
    <row r="2587">
      <c r="A2587" s="5" t="n">
        <v>2111000000</v>
      </c>
      <c r="B2587" s="5" t="inlineStr">
        <is>
          <t>101463</t>
        </is>
      </c>
      <c r="C2587" s="5" t="inlineStr">
        <is>
          <t>ZURICH MINAS BRASIL SEGUROS S A</t>
        </is>
      </c>
      <c r="D2587" s="5" t="inlineStr">
        <is>
          <t>RE</t>
        </is>
      </c>
      <c r="E2587" s="5" t="n">
        <v>5015419</v>
      </c>
      <c r="F2587" s="5" t="inlineStr">
        <is>
          <t>0458/26</t>
        </is>
      </c>
      <c r="G2587" s="5" t="inlineStr">
        <is>
          <t>BRL</t>
        </is>
      </c>
      <c r="H2587" s="9" t="n">
        <v>-259.57</v>
      </c>
      <c r="I2587" s="16" t="n">
        <v>46252</v>
      </c>
      <c r="J2587" s="16" t="n">
        <v>46282</v>
      </c>
      <c r="K2587" s="5" t="inlineStr">
        <is>
          <t>Invoice Payment. SP: 21660</t>
        </is>
      </c>
      <c r="L2587" s="5" t="inlineStr">
        <is>
          <t>0458/26</t>
        </is>
      </c>
      <c r="M2587" s="5">
        <f>IF(YEAR(I2587)&lt;=2020,"Até 2020",TEXT(YEAR(I2587),"0"))</f>
        <v/>
      </c>
      <c r="N2587" s="5">
        <f>IFERROR(INDEX(DePara!$A:$A,MATCH(TEXT(B2587,"0"),DePara!$D:$D,0)),"(sem categoria)")</f>
        <v/>
      </c>
      <c r="O2587" s="5">
        <f>IF(J2587="","",Parametros!$B$6-J2587)</f>
        <v/>
      </c>
      <c r="P2587" s="5">
        <f>IF(O2587="","",IF(O2587&gt;0,1,0))</f>
        <v/>
      </c>
    </row>
    <row r="2588">
      <c r="A2588" s="5" t="n">
        <v>2111000000</v>
      </c>
      <c r="B2588" s="5" t="inlineStr">
        <is>
          <t>101897</t>
        </is>
      </c>
      <c r="C2588" s="5" t="inlineStr">
        <is>
          <t>KL LOCACOES E SOLUCOES AMBIENTAIS L KL CONSTRUCOES E SERVICOS IMOBILIAR</t>
        </is>
      </c>
      <c r="D2588" s="5" t="inlineStr">
        <is>
          <t>RE</t>
        </is>
      </c>
      <c r="E2588" s="5" t="n">
        <v>5015420</v>
      </c>
      <c r="F2588" s="5" t="inlineStr">
        <is>
          <t>2042-1</t>
        </is>
      </c>
      <c r="G2588" s="5" t="inlineStr">
        <is>
          <t>BRL</t>
        </is>
      </c>
      <c r="H2588" s="9" t="n">
        <v>-1500</v>
      </c>
      <c r="I2588" s="16" t="n">
        <v>46241</v>
      </c>
      <c r="J2588" s="16" t="n">
        <v>46270</v>
      </c>
      <c r="K2588" s="5" t="inlineStr">
        <is>
          <t>Fatura - bruto KL LOCACOES E SOLUCOES AMBIENTAIS L</t>
        </is>
      </c>
      <c r="L2588" s="5" t="inlineStr">
        <is>
          <t>08092026</t>
        </is>
      </c>
      <c r="M2588" s="5">
        <f>IF(YEAR(I2588)&lt;=2020,"Até 2020",TEXT(YEAR(I2588),"0"))</f>
        <v/>
      </c>
      <c r="N2588" s="5">
        <f>IFERROR(INDEX(DePara!$A:$A,MATCH(TEXT(B2588,"0"),DePara!$D:$D,0)),"(sem categoria)")</f>
        <v/>
      </c>
      <c r="O2588" s="5">
        <f>IF(J2588="","",Parametros!$B$6-J2588)</f>
        <v/>
      </c>
      <c r="P2588" s="5">
        <f>IF(O2588="","",IF(O2588&gt;0,1,0))</f>
        <v/>
      </c>
    </row>
    <row r="2589">
      <c r="A2589" s="5" t="n">
        <v>2111000000</v>
      </c>
      <c r="B2589" s="5" t="inlineStr">
        <is>
          <t>101172</t>
        </is>
      </c>
      <c r="C2589" s="5" t="inlineStr">
        <is>
          <t>N D S ENGENHARIA LTDA</t>
        </is>
      </c>
      <c r="D2589" s="5" t="inlineStr">
        <is>
          <t>RE</t>
        </is>
      </c>
      <c r="E2589" s="5" t="n">
        <v>5015421</v>
      </c>
      <c r="F2589" s="5" t="inlineStr">
        <is>
          <t>288</t>
        </is>
      </c>
      <c r="G2589" s="5" t="inlineStr">
        <is>
          <t>BRL</t>
        </is>
      </c>
      <c r="H2589" s="9" t="n">
        <v>-92471</v>
      </c>
      <c r="I2589" s="16" t="n">
        <v>46247</v>
      </c>
      <c r="J2589" s="16" t="n">
        <v>46278</v>
      </c>
      <c r="K2589" s="5" t="inlineStr">
        <is>
          <t>Fatura - bruto N D S ENGENHARIA LTDA 288</t>
        </is>
      </c>
      <c r="L2589" s="5" t="inlineStr">
        <is>
          <t>09092026</t>
        </is>
      </c>
      <c r="M2589" s="5">
        <f>IF(YEAR(I2589)&lt;=2020,"Até 2020",TEXT(YEAR(I2589),"0"))</f>
        <v/>
      </c>
      <c r="N2589" s="5">
        <f>IFERROR(INDEX(DePara!$A:$A,MATCH(TEXT(B2589,"0"),DePara!$D:$D,0)),"(sem categoria)")</f>
        <v/>
      </c>
      <c r="O2589" s="5">
        <f>IF(J2589="","",Parametros!$B$6-J2589)</f>
        <v/>
      </c>
      <c r="P2589" s="5">
        <f>IF(O2589="","",IF(O2589&gt;0,1,0))</f>
        <v/>
      </c>
    </row>
    <row r="2590">
      <c r="A2590" s="5" t="n">
        <v>2111000000</v>
      </c>
      <c r="B2590" s="5" t="inlineStr">
        <is>
          <t>101897</t>
        </is>
      </c>
      <c r="C2590" s="5" t="inlineStr">
        <is>
          <t>KL LOCACOES E SOLUCOES AMBIENTAIS L KL CONSTRUCOES E SERVICOS IMOBILIAR</t>
        </is>
      </c>
      <c r="D2590" s="5" t="inlineStr">
        <is>
          <t>RE</t>
        </is>
      </c>
      <c r="E2590" s="5" t="n">
        <v>5015422</v>
      </c>
      <c r="F2590" s="5" t="inlineStr">
        <is>
          <t>2046-1</t>
        </is>
      </c>
      <c r="G2590" s="5" t="inlineStr">
        <is>
          <t>BRL</t>
        </is>
      </c>
      <c r="H2590" s="9" t="n">
        <v>-2000</v>
      </c>
      <c r="I2590" s="16" t="n">
        <v>46251</v>
      </c>
      <c r="J2590" s="16" t="n">
        <v>46300</v>
      </c>
      <c r="K2590" s="5" t="inlineStr">
        <is>
          <t>Fatura - bruto KL LOCACOES E SOLUCOES AMBIENTAIS L</t>
        </is>
      </c>
      <c r="L2590" s="5" t="inlineStr">
        <is>
          <t>05102026</t>
        </is>
      </c>
      <c r="M2590" s="5">
        <f>IF(YEAR(I2590)&lt;=2020,"Até 2020",TEXT(YEAR(I2590),"0"))</f>
        <v/>
      </c>
      <c r="N2590" s="5">
        <f>IFERROR(INDEX(DePara!$A:$A,MATCH(TEXT(B2590,"0"),DePara!$D:$D,0)),"(sem categoria)")</f>
        <v/>
      </c>
      <c r="O2590" s="5">
        <f>IF(J2590="","",Parametros!$B$6-J2590)</f>
        <v/>
      </c>
      <c r="P2590" s="5">
        <f>IF(O2590="","",IF(O2590&gt;0,1,0))</f>
        <v/>
      </c>
    </row>
    <row r="2591">
      <c r="A2591" s="5" t="n">
        <v>2111000000</v>
      </c>
      <c r="B2591" s="5" t="inlineStr">
        <is>
          <t>101897</t>
        </is>
      </c>
      <c r="C2591" s="5" t="inlineStr">
        <is>
          <t>KL LOCACOES E SOLUCOES AMBIENTAIS L KL CONSTRUCOES E SERVICOS IMOBILIAR</t>
        </is>
      </c>
      <c r="D2591" s="5" t="inlineStr">
        <is>
          <t>RE</t>
        </is>
      </c>
      <c r="E2591" s="5" t="n">
        <v>5015423</v>
      </c>
      <c r="F2591" s="5" t="inlineStr">
        <is>
          <t>2045-1</t>
        </is>
      </c>
      <c r="G2591" s="5" t="inlineStr">
        <is>
          <t>BRL</t>
        </is>
      </c>
      <c r="H2591" s="9" t="n">
        <v>-5000</v>
      </c>
      <c r="I2591" s="16" t="n">
        <v>46248</v>
      </c>
      <c r="J2591" s="16" t="n">
        <v>46270</v>
      </c>
      <c r="K2591" s="5" t="inlineStr">
        <is>
          <t>Fatura - bruto KL LOCACOES E SOLUCOES AMBIENTAIS L</t>
        </is>
      </c>
      <c r="L2591" s="5" t="inlineStr">
        <is>
          <t>05102026</t>
        </is>
      </c>
      <c r="M2591" s="5">
        <f>IF(YEAR(I2591)&lt;=2020,"Até 2020",TEXT(YEAR(I2591),"0"))</f>
        <v/>
      </c>
      <c r="N2591" s="5">
        <f>IFERROR(INDEX(DePara!$A:$A,MATCH(TEXT(B2591,"0"),DePara!$D:$D,0)),"(sem categoria)")</f>
        <v/>
      </c>
      <c r="O2591" s="5">
        <f>IF(J2591="","",Parametros!$B$6-J2591)</f>
        <v/>
      </c>
      <c r="P2591" s="5">
        <f>IF(O2591="","",IF(O2591&gt;0,1,0))</f>
        <v/>
      </c>
    </row>
    <row r="2592">
      <c r="A2592" s="5" t="n">
        <v>2111000000</v>
      </c>
      <c r="B2592" s="5" t="inlineStr">
        <is>
          <t>101897</t>
        </is>
      </c>
      <c r="C2592" s="5" t="inlineStr">
        <is>
          <t>KL LOCACOES E SOLUCOES AMBIENTAIS L KL CONSTRUCOES E SERVICOS IMOBILIAR</t>
        </is>
      </c>
      <c r="D2592" s="5" t="inlineStr">
        <is>
          <t>RE</t>
        </is>
      </c>
      <c r="E2592" s="5" t="n">
        <v>5015424</v>
      </c>
      <c r="F2592" s="5" t="inlineStr">
        <is>
          <t>2044-1</t>
        </is>
      </c>
      <c r="G2592" s="5" t="inlineStr">
        <is>
          <t>BRL</t>
        </is>
      </c>
      <c r="H2592" s="9" t="n">
        <v>-9060</v>
      </c>
      <c r="I2592" s="16" t="n">
        <v>46246</v>
      </c>
      <c r="J2592" s="16" t="n">
        <v>46270</v>
      </c>
      <c r="K2592" s="5" t="inlineStr">
        <is>
          <t>Fatura - bruto KL LOCACOES E SOLUCOES AMBIENTAIS L</t>
        </is>
      </c>
      <c r="L2592" s="5" t="inlineStr">
        <is>
          <t>08092026</t>
        </is>
      </c>
      <c r="M2592" s="5">
        <f>IF(YEAR(I2592)&lt;=2020,"Até 2020",TEXT(YEAR(I2592),"0"))</f>
        <v/>
      </c>
      <c r="N2592" s="5">
        <f>IFERROR(INDEX(DePara!$A:$A,MATCH(TEXT(B2592,"0"),DePara!$D:$D,0)),"(sem categoria)")</f>
        <v/>
      </c>
      <c r="O2592" s="5">
        <f>IF(J2592="","",Parametros!$B$6-J2592)</f>
        <v/>
      </c>
      <c r="P2592" s="5">
        <f>IF(O2592="","",IF(O2592&gt;0,1,0))</f>
        <v/>
      </c>
    </row>
    <row r="2593">
      <c r="A2593" s="5" t="n">
        <v>2111000000</v>
      </c>
      <c r="B2593" s="5" t="inlineStr">
        <is>
          <t>101897</t>
        </is>
      </c>
      <c r="C2593" s="5" t="inlineStr">
        <is>
          <t>KL LOCACOES E SOLUCOES AMBIENTAIS L KL CONSTRUCOES E SERVICOS IMOBILIAR</t>
        </is>
      </c>
      <c r="D2593" s="5" t="inlineStr">
        <is>
          <t>RE</t>
        </is>
      </c>
      <c r="E2593" s="5" t="n">
        <v>5015425</v>
      </c>
      <c r="F2593" s="5" t="inlineStr">
        <is>
          <t>2048-1</t>
        </is>
      </c>
      <c r="G2593" s="5" t="inlineStr">
        <is>
          <t>BRL</t>
        </is>
      </c>
      <c r="H2593" s="9" t="n">
        <v>-9090</v>
      </c>
      <c r="I2593" s="16" t="n">
        <v>46251</v>
      </c>
      <c r="J2593" s="16" t="n">
        <v>46300</v>
      </c>
      <c r="K2593" s="5" t="inlineStr">
        <is>
          <t>Fatura - bruto KL LOCACOES E SOLUCOES AMBIENTAIS L</t>
        </is>
      </c>
      <c r="L2593" s="5" t="inlineStr">
        <is>
          <t>05102026</t>
        </is>
      </c>
      <c r="M2593" s="5">
        <f>IF(YEAR(I2593)&lt;=2020,"Até 2020",TEXT(YEAR(I2593),"0"))</f>
        <v/>
      </c>
      <c r="N2593" s="5">
        <f>IFERROR(INDEX(DePara!$A:$A,MATCH(TEXT(B2593,"0"),DePara!$D:$D,0)),"(sem categoria)")</f>
        <v/>
      </c>
      <c r="O2593" s="5">
        <f>IF(J2593="","",Parametros!$B$6-J2593)</f>
        <v/>
      </c>
      <c r="P2593" s="5">
        <f>IF(O2593="","",IF(O2593&gt;0,1,0))</f>
        <v/>
      </c>
    </row>
    <row r="2594">
      <c r="A2594" s="5" t="n">
        <v>2111000000</v>
      </c>
      <c r="B2594" s="5" t="inlineStr">
        <is>
          <t>100883</t>
        </is>
      </c>
      <c r="C2594" s="5" t="inlineStr">
        <is>
          <t>QUELMAR TRANSPORTES LTDA</t>
        </is>
      </c>
      <c r="D2594" s="5" t="inlineStr">
        <is>
          <t>RE</t>
        </is>
      </c>
      <c r="E2594" s="5" t="n">
        <v>5015427</v>
      </c>
      <c r="F2594" s="5" t="inlineStr">
        <is>
          <t>6381-2</t>
        </is>
      </c>
      <c r="G2594" s="5" t="inlineStr">
        <is>
          <t>BRL</t>
        </is>
      </c>
      <c r="H2594" s="9" t="n">
        <v>-880</v>
      </c>
      <c r="I2594" s="16" t="n">
        <v>46245</v>
      </c>
      <c r="J2594" s="16" t="n">
        <v>46300</v>
      </c>
      <c r="K2594" s="5" t="inlineStr">
        <is>
          <t>Fatura - bruto QUELMAR TRANSPORTES LTDA 6381-2</t>
        </is>
      </c>
      <c r="L2594" s="5" t="inlineStr">
        <is>
          <t>05102026</t>
        </is>
      </c>
      <c r="M2594" s="5">
        <f>IF(YEAR(I2594)&lt;=2020,"Até 2020",TEXT(YEAR(I2594),"0"))</f>
        <v/>
      </c>
      <c r="N2594" s="5">
        <f>IFERROR(INDEX(DePara!$A:$A,MATCH(TEXT(B2594,"0"),DePara!$D:$D,0)),"(sem categoria)")</f>
        <v/>
      </c>
      <c r="O2594" s="5">
        <f>IF(J2594="","",Parametros!$B$6-J2594)</f>
        <v/>
      </c>
      <c r="P2594" s="5">
        <f>IF(O2594="","",IF(O2594&gt;0,1,0))</f>
        <v/>
      </c>
    </row>
    <row r="2595">
      <c r="A2595" s="5" t="n">
        <v>2111000000</v>
      </c>
      <c r="B2595" s="5" t="inlineStr">
        <is>
          <t>100883</t>
        </is>
      </c>
      <c r="C2595" s="5" t="inlineStr">
        <is>
          <t>QUELMAR TRANSPORTES LTDA</t>
        </is>
      </c>
      <c r="D2595" s="5" t="inlineStr">
        <is>
          <t>RE</t>
        </is>
      </c>
      <c r="E2595" s="5" t="n">
        <v>5015428</v>
      </c>
      <c r="F2595" s="5" t="inlineStr">
        <is>
          <t>6348-2</t>
        </is>
      </c>
      <c r="G2595" s="5" t="inlineStr">
        <is>
          <t>BRL</t>
        </is>
      </c>
      <c r="H2595" s="9" t="n">
        <v>-3900</v>
      </c>
      <c r="I2595" s="16" t="n">
        <v>46239</v>
      </c>
      <c r="J2595" s="16" t="n">
        <v>46300</v>
      </c>
      <c r="K2595" s="5" t="inlineStr">
        <is>
          <t>Fatura - bruto QUELMAR TRANSPORTES LTDA 6348-2</t>
        </is>
      </c>
      <c r="L2595" s="5" t="inlineStr">
        <is>
          <t>05102026</t>
        </is>
      </c>
      <c r="M2595" s="5">
        <f>IF(YEAR(I2595)&lt;=2020,"Até 2020",TEXT(YEAR(I2595),"0"))</f>
        <v/>
      </c>
      <c r="N2595" s="5">
        <f>IFERROR(INDEX(DePara!$A:$A,MATCH(TEXT(B2595,"0"),DePara!$D:$D,0)),"(sem categoria)")</f>
        <v/>
      </c>
      <c r="O2595" s="5">
        <f>IF(J2595="","",Parametros!$B$6-J2595)</f>
        <v/>
      </c>
      <c r="P2595" s="5">
        <f>IF(O2595="","",IF(O2595&gt;0,1,0))</f>
        <v/>
      </c>
    </row>
    <row r="2596">
      <c r="A2596" s="5" t="n">
        <v>2111000000</v>
      </c>
      <c r="B2596" s="5" t="inlineStr">
        <is>
          <t>100883</t>
        </is>
      </c>
      <c r="C2596" s="5" t="inlineStr">
        <is>
          <t>QUELMAR TRANSPORTES LTDA</t>
        </is>
      </c>
      <c r="D2596" s="5" t="inlineStr">
        <is>
          <t>RE</t>
        </is>
      </c>
      <c r="E2596" s="5" t="n">
        <v>5015429</v>
      </c>
      <c r="F2596" s="5" t="inlineStr">
        <is>
          <t>6355-2</t>
        </is>
      </c>
      <c r="G2596" s="5" t="inlineStr">
        <is>
          <t>BRL</t>
        </is>
      </c>
      <c r="H2596" s="9" t="n">
        <v>-3950</v>
      </c>
      <c r="I2596" s="16" t="n">
        <v>46239</v>
      </c>
      <c r="J2596" s="16" t="n">
        <v>46300</v>
      </c>
      <c r="K2596" s="5" t="inlineStr">
        <is>
          <t>Fatura - bruto QUELMAR TRANSPORTES LTDA 6355-2</t>
        </is>
      </c>
      <c r="L2596" s="5" t="inlineStr">
        <is>
          <t>05102026</t>
        </is>
      </c>
      <c r="M2596" s="5">
        <f>IF(YEAR(I2596)&lt;=2020,"Até 2020",TEXT(YEAR(I2596),"0"))</f>
        <v/>
      </c>
      <c r="N2596" s="5">
        <f>IFERROR(INDEX(DePara!$A:$A,MATCH(TEXT(B2596,"0"),DePara!$D:$D,0)),"(sem categoria)")</f>
        <v/>
      </c>
      <c r="O2596" s="5">
        <f>IF(J2596="","",Parametros!$B$6-J2596)</f>
        <v/>
      </c>
      <c r="P2596" s="5">
        <f>IF(O2596="","",IF(O2596&gt;0,1,0))</f>
        <v/>
      </c>
    </row>
    <row r="2597">
      <c r="A2597" s="5" t="n">
        <v>2111000000</v>
      </c>
      <c r="B2597" s="5" t="inlineStr">
        <is>
          <t>100883</t>
        </is>
      </c>
      <c r="C2597" s="5" t="inlineStr">
        <is>
          <t>QUELMAR TRANSPORTES LTDA</t>
        </is>
      </c>
      <c r="D2597" s="5" t="inlineStr">
        <is>
          <t>RE</t>
        </is>
      </c>
      <c r="E2597" s="5" t="n">
        <v>5015430</v>
      </c>
      <c r="F2597" s="5" t="inlineStr">
        <is>
          <t>6361-2</t>
        </is>
      </c>
      <c r="G2597" s="5" t="inlineStr">
        <is>
          <t>BRL</t>
        </is>
      </c>
      <c r="H2597" s="9" t="n">
        <v>-5560</v>
      </c>
      <c r="I2597" s="16" t="n">
        <v>46241</v>
      </c>
      <c r="J2597" s="16" t="n">
        <v>46300</v>
      </c>
      <c r="K2597" s="5" t="inlineStr">
        <is>
          <t>Fatura - bruto QUELMAR TRANSPORTES LTDA 6361-2</t>
        </is>
      </c>
      <c r="L2597" s="5" t="inlineStr">
        <is>
          <t>05102026</t>
        </is>
      </c>
      <c r="M2597" s="5">
        <f>IF(YEAR(I2597)&lt;=2020,"Até 2020",TEXT(YEAR(I2597),"0"))</f>
        <v/>
      </c>
      <c r="N2597" s="5">
        <f>IFERROR(INDEX(DePara!$A:$A,MATCH(TEXT(B2597,"0"),DePara!$D:$D,0)),"(sem categoria)")</f>
        <v/>
      </c>
      <c r="O2597" s="5">
        <f>IF(J2597="","",Parametros!$B$6-J2597)</f>
        <v/>
      </c>
      <c r="P2597" s="5">
        <f>IF(O2597="","",IF(O2597&gt;0,1,0))</f>
        <v/>
      </c>
    </row>
    <row r="2598">
      <c r="A2598" s="5" t="n">
        <v>2111000000</v>
      </c>
      <c r="B2598" s="5" t="inlineStr">
        <is>
          <t>100883</t>
        </is>
      </c>
      <c r="C2598" s="5" t="inlineStr">
        <is>
          <t>QUELMAR TRANSPORTES LTDA</t>
        </is>
      </c>
      <c r="D2598" s="5" t="inlineStr">
        <is>
          <t>RE</t>
        </is>
      </c>
      <c r="E2598" s="5" t="n">
        <v>5015431</v>
      </c>
      <c r="F2598" s="5" t="inlineStr">
        <is>
          <t>108327-1</t>
        </is>
      </c>
      <c r="G2598" s="5" t="inlineStr">
        <is>
          <t>BRL</t>
        </is>
      </c>
      <c r="H2598" s="9" t="n">
        <v>-5700</v>
      </c>
      <c r="I2598" s="16" t="n">
        <v>46240</v>
      </c>
      <c r="J2598" s="16" t="n">
        <v>46300</v>
      </c>
      <c r="K2598" s="5" t="inlineStr">
        <is>
          <t>Fatura - bruto QUELMAR TRANSPORTES LTDA 108327-1</t>
        </is>
      </c>
      <c r="L2598" s="5" t="inlineStr">
        <is>
          <t>05102026</t>
        </is>
      </c>
      <c r="M2598" s="5">
        <f>IF(YEAR(I2598)&lt;=2020,"Até 2020",TEXT(YEAR(I2598),"0"))</f>
        <v/>
      </c>
      <c r="N2598" s="5">
        <f>IFERROR(INDEX(DePara!$A:$A,MATCH(TEXT(B2598,"0"),DePara!$D:$D,0)),"(sem categoria)")</f>
        <v/>
      </c>
      <c r="O2598" s="5">
        <f>IF(J2598="","",Parametros!$B$6-J2598)</f>
        <v/>
      </c>
      <c r="P2598" s="5">
        <f>IF(O2598="","",IF(O2598&gt;0,1,0))</f>
        <v/>
      </c>
    </row>
    <row r="2599">
      <c r="A2599" s="5" t="n">
        <v>2111000000</v>
      </c>
      <c r="B2599" s="5" t="inlineStr">
        <is>
          <t>100883</t>
        </is>
      </c>
      <c r="C2599" s="5" t="inlineStr">
        <is>
          <t>QUELMAR TRANSPORTES LTDA</t>
        </is>
      </c>
      <c r="D2599" s="5" t="inlineStr">
        <is>
          <t>RE</t>
        </is>
      </c>
      <c r="E2599" s="5" t="n">
        <v>5015432</v>
      </c>
      <c r="F2599" s="5" t="inlineStr">
        <is>
          <t>6372-2</t>
        </is>
      </c>
      <c r="G2599" s="5" t="inlineStr">
        <is>
          <t>BRL</t>
        </is>
      </c>
      <c r="H2599" s="9" t="n">
        <v>-6730</v>
      </c>
      <c r="I2599" s="16" t="n">
        <v>46241</v>
      </c>
      <c r="J2599" s="16" t="n">
        <v>46300</v>
      </c>
      <c r="K2599" s="5" t="inlineStr">
        <is>
          <t>Fatura - bruto QUELMAR TRANSPORTES LTDA 6372-2</t>
        </is>
      </c>
      <c r="L2599" s="5" t="inlineStr">
        <is>
          <t>05102026</t>
        </is>
      </c>
      <c r="M2599" s="5">
        <f>IF(YEAR(I2599)&lt;=2020,"Até 2020",TEXT(YEAR(I2599),"0"))</f>
        <v/>
      </c>
      <c r="N2599" s="5">
        <f>IFERROR(INDEX(DePara!$A:$A,MATCH(TEXT(B2599,"0"),DePara!$D:$D,0)),"(sem categoria)")</f>
        <v/>
      </c>
      <c r="O2599" s="5">
        <f>IF(J2599="","",Parametros!$B$6-J2599)</f>
        <v/>
      </c>
      <c r="P2599" s="5">
        <f>IF(O2599="","",IF(O2599&gt;0,1,0))</f>
        <v/>
      </c>
    </row>
    <row r="2600">
      <c r="A2600" s="5" t="n">
        <v>2111000000</v>
      </c>
      <c r="B2600" s="5" t="inlineStr">
        <is>
          <t>100883</t>
        </is>
      </c>
      <c r="C2600" s="5" t="inlineStr">
        <is>
          <t>QUELMAR TRANSPORTES LTDA</t>
        </is>
      </c>
      <c r="D2600" s="5" t="inlineStr">
        <is>
          <t>RE</t>
        </is>
      </c>
      <c r="E2600" s="5" t="n">
        <v>5015433</v>
      </c>
      <c r="F2600" s="5" t="inlineStr">
        <is>
          <t>6360-2</t>
        </is>
      </c>
      <c r="G2600" s="5" t="inlineStr">
        <is>
          <t>BRL</t>
        </is>
      </c>
      <c r="H2600" s="9" t="n">
        <v>-1480</v>
      </c>
      <c r="I2600" s="16" t="n">
        <v>46241</v>
      </c>
      <c r="J2600" s="16" t="n">
        <v>46300</v>
      </c>
      <c r="K2600" s="5" t="inlineStr">
        <is>
          <t>Fatura - bruto QUELMAR TRANSPORTES LTDA 6360-2</t>
        </is>
      </c>
      <c r="L2600" s="5" t="inlineStr">
        <is>
          <t>05102026</t>
        </is>
      </c>
      <c r="M2600" s="5">
        <f>IF(YEAR(I2600)&lt;=2020,"Até 2020",TEXT(YEAR(I2600),"0"))</f>
        <v/>
      </c>
      <c r="N2600" s="5">
        <f>IFERROR(INDEX(DePara!$A:$A,MATCH(TEXT(B2600,"0"),DePara!$D:$D,0)),"(sem categoria)")</f>
        <v/>
      </c>
      <c r="O2600" s="5">
        <f>IF(J2600="","",Parametros!$B$6-J2600)</f>
        <v/>
      </c>
      <c r="P2600" s="5">
        <f>IF(O2600="","",IF(O2600&gt;0,1,0))</f>
        <v/>
      </c>
    </row>
    <row r="2601">
      <c r="A2601" s="5" t="n">
        <v>2111000000</v>
      </c>
      <c r="B2601" s="5" t="inlineStr">
        <is>
          <t>100883</t>
        </is>
      </c>
      <c r="C2601" s="5" t="inlineStr">
        <is>
          <t>QUELMAR TRANSPORTES LTDA</t>
        </is>
      </c>
      <c r="D2601" s="5" t="inlineStr">
        <is>
          <t>RE</t>
        </is>
      </c>
      <c r="E2601" s="5" t="n">
        <v>5015434</v>
      </c>
      <c r="F2601" s="5" t="inlineStr">
        <is>
          <t>6378-2</t>
        </is>
      </c>
      <c r="G2601" s="5" t="inlineStr">
        <is>
          <t>BRL</t>
        </is>
      </c>
      <c r="H2601" s="9" t="n">
        <v>-2300</v>
      </c>
      <c r="I2601" s="16" t="n">
        <v>46245</v>
      </c>
      <c r="J2601" s="16" t="n">
        <v>46300</v>
      </c>
      <c r="K2601" s="5" t="inlineStr">
        <is>
          <t>Fatura - bruto QUELMAR TRANSPORTES LTDA 6378-2</t>
        </is>
      </c>
      <c r="L2601" s="5" t="inlineStr">
        <is>
          <t>05102026</t>
        </is>
      </c>
      <c r="M2601" s="5">
        <f>IF(YEAR(I2601)&lt;=2020,"Até 2020",TEXT(YEAR(I2601),"0"))</f>
        <v/>
      </c>
      <c r="N2601" s="5">
        <f>IFERROR(INDEX(DePara!$A:$A,MATCH(TEXT(B2601,"0"),DePara!$D:$D,0)),"(sem categoria)")</f>
        <v/>
      </c>
      <c r="O2601" s="5">
        <f>IF(J2601="","",Parametros!$B$6-J2601)</f>
        <v/>
      </c>
      <c r="P2601" s="5">
        <f>IF(O2601="","",IF(O2601&gt;0,1,0))</f>
        <v/>
      </c>
    </row>
    <row r="2602">
      <c r="A2602" s="5" t="n">
        <v>2111000000</v>
      </c>
      <c r="B2602" s="5" t="inlineStr">
        <is>
          <t>100883</t>
        </is>
      </c>
      <c r="C2602" s="5" t="inlineStr">
        <is>
          <t>QUELMAR TRANSPORTES LTDA</t>
        </is>
      </c>
      <c r="D2602" s="5" t="inlineStr">
        <is>
          <t>RE</t>
        </is>
      </c>
      <c r="E2602" s="5" t="n">
        <v>5015435</v>
      </c>
      <c r="F2602" s="5" t="inlineStr">
        <is>
          <t>108350-1</t>
        </is>
      </c>
      <c r="G2602" s="5" t="inlineStr">
        <is>
          <t>BRL</t>
        </is>
      </c>
      <c r="H2602" s="9" t="n">
        <v>-6848</v>
      </c>
      <c r="I2602" s="16" t="n">
        <v>46244</v>
      </c>
      <c r="J2602" s="16" t="n">
        <v>46300</v>
      </c>
      <c r="K2602" s="5" t="inlineStr">
        <is>
          <t>Fatura - bruto QUELMAR TRANSPORTES LTDA 108350-1</t>
        </is>
      </c>
      <c r="L2602" s="5" t="inlineStr">
        <is>
          <t>05102026</t>
        </is>
      </c>
      <c r="M2602" s="5">
        <f>IF(YEAR(I2602)&lt;=2020,"Até 2020",TEXT(YEAR(I2602),"0"))</f>
        <v/>
      </c>
      <c r="N2602" s="5">
        <f>IFERROR(INDEX(DePara!$A:$A,MATCH(TEXT(B2602,"0"),DePara!$D:$D,0)),"(sem categoria)")</f>
        <v/>
      </c>
      <c r="O2602" s="5">
        <f>IF(J2602="","",Parametros!$B$6-J2602)</f>
        <v/>
      </c>
      <c r="P2602" s="5">
        <f>IF(O2602="","",IF(O2602&gt;0,1,0))</f>
        <v/>
      </c>
    </row>
    <row r="2603">
      <c r="A2603" s="5" t="n">
        <v>2111000000</v>
      </c>
      <c r="B2603" s="5" t="inlineStr">
        <is>
          <t>100883</t>
        </is>
      </c>
      <c r="C2603" s="5" t="inlineStr">
        <is>
          <t>QUELMAR TRANSPORTES LTDA</t>
        </is>
      </c>
      <c r="D2603" s="5" t="inlineStr">
        <is>
          <t>RE</t>
        </is>
      </c>
      <c r="E2603" s="5" t="n">
        <v>5015436</v>
      </c>
      <c r="F2603" s="5" t="inlineStr">
        <is>
          <t>108344-1</t>
        </is>
      </c>
      <c r="G2603" s="5" t="inlineStr">
        <is>
          <t>BRL</t>
        </is>
      </c>
      <c r="H2603" s="9" t="n">
        <v>-6970</v>
      </c>
      <c r="I2603" s="16" t="n">
        <v>46241</v>
      </c>
      <c r="J2603" s="16" t="n">
        <v>46300</v>
      </c>
      <c r="K2603" s="5" t="inlineStr">
        <is>
          <t>Fatura - bruto QUELMAR TRANSPORTES LTDA 108344-1</t>
        </is>
      </c>
      <c r="L2603" s="5" t="inlineStr">
        <is>
          <t>05102026</t>
        </is>
      </c>
      <c r="M2603" s="5">
        <f>IF(YEAR(I2603)&lt;=2020,"Até 2020",TEXT(YEAR(I2603),"0"))</f>
        <v/>
      </c>
      <c r="N2603" s="5">
        <f>IFERROR(INDEX(DePara!$A:$A,MATCH(TEXT(B2603,"0"),DePara!$D:$D,0)),"(sem categoria)")</f>
        <v/>
      </c>
      <c r="O2603" s="5">
        <f>IF(J2603="","",Parametros!$B$6-J2603)</f>
        <v/>
      </c>
      <c r="P2603" s="5">
        <f>IF(O2603="","",IF(O2603&gt;0,1,0))</f>
        <v/>
      </c>
    </row>
    <row r="2604">
      <c r="A2604" s="5" t="n">
        <v>2111000000</v>
      </c>
      <c r="B2604" s="5" t="inlineStr">
        <is>
          <t>100883</t>
        </is>
      </c>
      <c r="C2604" s="5" t="inlineStr">
        <is>
          <t>QUELMAR TRANSPORTES LTDA</t>
        </is>
      </c>
      <c r="D2604" s="5" t="inlineStr">
        <is>
          <t>RE</t>
        </is>
      </c>
      <c r="E2604" s="5" t="n">
        <v>5015437</v>
      </c>
      <c r="F2604" s="5" t="inlineStr">
        <is>
          <t>6345-2</t>
        </is>
      </c>
      <c r="G2604" s="5" t="inlineStr">
        <is>
          <t>BRL</t>
        </is>
      </c>
      <c r="H2604" s="9" t="n">
        <v>-2750</v>
      </c>
      <c r="I2604" s="16" t="n">
        <v>46239</v>
      </c>
      <c r="J2604" s="16" t="n">
        <v>46300</v>
      </c>
      <c r="K2604" s="5" t="inlineStr">
        <is>
          <t>Fatura - bruto QUELMAR TRANSPORTES LTDA 6345-2</t>
        </is>
      </c>
      <c r="L2604" s="5" t="inlineStr">
        <is>
          <t>05102026</t>
        </is>
      </c>
      <c r="M2604" s="5">
        <f>IF(YEAR(I2604)&lt;=2020,"Até 2020",TEXT(YEAR(I2604),"0"))</f>
        <v/>
      </c>
      <c r="N2604" s="5">
        <f>IFERROR(INDEX(DePara!$A:$A,MATCH(TEXT(B2604,"0"),DePara!$D:$D,0)),"(sem categoria)")</f>
        <v/>
      </c>
      <c r="O2604" s="5">
        <f>IF(J2604="","",Parametros!$B$6-J2604)</f>
        <v/>
      </c>
      <c r="P2604" s="5">
        <f>IF(O2604="","",IF(O2604&gt;0,1,0))</f>
        <v/>
      </c>
    </row>
    <row r="2605">
      <c r="A2605" s="5" t="n">
        <v>2111000000</v>
      </c>
      <c r="B2605" s="5" t="inlineStr">
        <is>
          <t>100883</t>
        </is>
      </c>
      <c r="C2605" s="5" t="inlineStr">
        <is>
          <t>QUELMAR TRANSPORTES LTDA</t>
        </is>
      </c>
      <c r="D2605" s="5" t="inlineStr">
        <is>
          <t>RE</t>
        </is>
      </c>
      <c r="E2605" s="5" t="n">
        <v>5015438</v>
      </c>
      <c r="F2605" s="5" t="inlineStr">
        <is>
          <t>6344-2</t>
        </is>
      </c>
      <c r="G2605" s="5" t="inlineStr">
        <is>
          <t>BRL</t>
        </is>
      </c>
      <c r="H2605" s="9" t="n">
        <v>-2980</v>
      </c>
      <c r="I2605" s="16" t="n">
        <v>46239</v>
      </c>
      <c r="J2605" s="16" t="n">
        <v>46300</v>
      </c>
      <c r="K2605" s="5" t="inlineStr">
        <is>
          <t>Fatura - bruto QUELMAR TRANSPORTES LTDA 6344-2</t>
        </is>
      </c>
      <c r="L2605" s="5" t="inlineStr">
        <is>
          <t>05102026</t>
        </is>
      </c>
      <c r="M2605" s="5">
        <f>IF(YEAR(I2605)&lt;=2020,"Até 2020",TEXT(YEAR(I2605),"0"))</f>
        <v/>
      </c>
      <c r="N2605" s="5">
        <f>IFERROR(INDEX(DePara!$A:$A,MATCH(TEXT(B2605,"0"),DePara!$D:$D,0)),"(sem categoria)")</f>
        <v/>
      </c>
      <c r="O2605" s="5">
        <f>IF(J2605="","",Parametros!$B$6-J2605)</f>
        <v/>
      </c>
      <c r="P2605" s="5">
        <f>IF(O2605="","",IF(O2605&gt;0,1,0))</f>
        <v/>
      </c>
    </row>
    <row r="2606">
      <c r="A2606" s="5" t="n">
        <v>2111000000</v>
      </c>
      <c r="B2606" s="5" t="inlineStr">
        <is>
          <t>100883</t>
        </is>
      </c>
      <c r="C2606" s="5" t="inlineStr">
        <is>
          <t>QUELMAR TRANSPORTES LTDA</t>
        </is>
      </c>
      <c r="D2606" s="5" t="inlineStr">
        <is>
          <t>RE</t>
        </is>
      </c>
      <c r="E2606" s="5" t="n">
        <v>5015440</v>
      </c>
      <c r="F2606" s="5" t="inlineStr">
        <is>
          <t>6346-2</t>
        </is>
      </c>
      <c r="G2606" s="5" t="inlineStr">
        <is>
          <t>BRL</t>
        </is>
      </c>
      <c r="H2606" s="9" t="n">
        <v>-4980</v>
      </c>
      <c r="I2606" s="16" t="n">
        <v>46239</v>
      </c>
      <c r="J2606" s="16" t="n">
        <v>46300</v>
      </c>
      <c r="K2606" s="5" t="inlineStr">
        <is>
          <t>Fatura - bruto QUELMAR TRANSPORTES LTDA 6346-2</t>
        </is>
      </c>
      <c r="L2606" s="5" t="inlineStr">
        <is>
          <t>05102026</t>
        </is>
      </c>
      <c r="M2606" s="5">
        <f>IF(YEAR(I2606)&lt;=2020,"Até 2020",TEXT(YEAR(I2606),"0"))</f>
        <v/>
      </c>
      <c r="N2606" s="5">
        <f>IFERROR(INDEX(DePara!$A:$A,MATCH(TEXT(B2606,"0"),DePara!$D:$D,0)),"(sem categoria)")</f>
        <v/>
      </c>
      <c r="O2606" s="5">
        <f>IF(J2606="","",Parametros!$B$6-J2606)</f>
        <v/>
      </c>
      <c r="P2606" s="5">
        <f>IF(O2606="","",IF(O2606&gt;0,1,0))</f>
        <v/>
      </c>
    </row>
    <row r="2607">
      <c r="A2607" s="5" t="n">
        <v>2111000000</v>
      </c>
      <c r="B2607" s="5" t="inlineStr">
        <is>
          <t>101463</t>
        </is>
      </c>
      <c r="C2607" s="5" t="inlineStr">
        <is>
          <t>ZURICH MINAS BRASIL SEGUROS S A</t>
        </is>
      </c>
      <c r="D2607" s="5" t="inlineStr">
        <is>
          <t>RE</t>
        </is>
      </c>
      <c r="E2607" s="5" t="n">
        <v>5015441</v>
      </c>
      <c r="F2607" s="5" t="inlineStr">
        <is>
          <t>0374/26</t>
        </is>
      </c>
      <c r="G2607" s="5" t="inlineStr">
        <is>
          <t>BRL</t>
        </is>
      </c>
      <c r="H2607" s="9" t="n">
        <v>-57294.87</v>
      </c>
      <c r="I2607" s="16" t="n">
        <v>46252</v>
      </c>
      <c r="J2607" s="16" t="n">
        <v>46282</v>
      </c>
      <c r="K2607" s="5" t="inlineStr">
        <is>
          <t>Invoice Payment. SP: 21679</t>
        </is>
      </c>
      <c r="L2607" s="5" t="inlineStr">
        <is>
          <t>0374/26</t>
        </is>
      </c>
      <c r="M2607" s="5">
        <f>IF(YEAR(I2607)&lt;=2020,"Até 2020",TEXT(YEAR(I2607),"0"))</f>
        <v/>
      </c>
      <c r="N2607" s="5">
        <f>IFERROR(INDEX(DePara!$A:$A,MATCH(TEXT(B2607,"0"),DePara!$D:$D,0)),"(sem categoria)")</f>
        <v/>
      </c>
      <c r="O2607" s="5">
        <f>IF(J2607="","",Parametros!$B$6-J2607)</f>
        <v/>
      </c>
      <c r="P2607" s="5">
        <f>IF(O2607="","",IF(O2607&gt;0,1,0))</f>
        <v/>
      </c>
    </row>
    <row r="2608">
      <c r="A2608" s="5" t="n">
        <v>2111000000</v>
      </c>
      <c r="B2608" s="5" t="inlineStr">
        <is>
          <t>100883</t>
        </is>
      </c>
      <c r="C2608" s="5" t="inlineStr">
        <is>
          <t>QUELMAR TRANSPORTES LTDA</t>
        </is>
      </c>
      <c r="D2608" s="5" t="inlineStr">
        <is>
          <t>RE</t>
        </is>
      </c>
      <c r="E2608" s="5" t="n">
        <v>5015442</v>
      </c>
      <c r="F2608" s="5" t="inlineStr">
        <is>
          <t>6342-2</t>
        </is>
      </c>
      <c r="G2608" s="5" t="inlineStr">
        <is>
          <t>BRL</t>
        </is>
      </c>
      <c r="H2608" s="9" t="n">
        <v>-2400</v>
      </c>
      <c r="I2608" s="16" t="n">
        <v>46239</v>
      </c>
      <c r="J2608" s="16" t="n">
        <v>46300</v>
      </c>
      <c r="K2608" s="5" t="inlineStr">
        <is>
          <t>Fatura - bruto QUELMAR TRANSPORTES LTDA 6342-2</t>
        </is>
      </c>
      <c r="L2608" s="5" t="inlineStr">
        <is>
          <t>05102026</t>
        </is>
      </c>
      <c r="M2608" s="5">
        <f>IF(YEAR(I2608)&lt;=2020,"Até 2020",TEXT(YEAR(I2608),"0"))</f>
        <v/>
      </c>
      <c r="N2608" s="5">
        <f>IFERROR(INDEX(DePara!$A:$A,MATCH(TEXT(B2608,"0"),DePara!$D:$D,0)),"(sem categoria)")</f>
        <v/>
      </c>
      <c r="O2608" s="5">
        <f>IF(J2608="","",Parametros!$B$6-J2608)</f>
        <v/>
      </c>
      <c r="P2608" s="5">
        <f>IF(O2608="","",IF(O2608&gt;0,1,0))</f>
        <v/>
      </c>
    </row>
    <row r="2609">
      <c r="A2609" s="5" t="n">
        <v>2111000000</v>
      </c>
      <c r="B2609" s="5" t="inlineStr">
        <is>
          <t>100883</t>
        </is>
      </c>
      <c r="C2609" s="5" t="inlineStr">
        <is>
          <t>QUELMAR TRANSPORTES LTDA</t>
        </is>
      </c>
      <c r="D2609" s="5" t="inlineStr">
        <is>
          <t>RE</t>
        </is>
      </c>
      <c r="E2609" s="5" t="n">
        <v>5015443</v>
      </c>
      <c r="F2609" s="5" t="inlineStr">
        <is>
          <t>6379-2</t>
        </is>
      </c>
      <c r="G2609" s="5" t="inlineStr">
        <is>
          <t>BRL</t>
        </is>
      </c>
      <c r="H2609" s="9" t="n">
        <v>-2550</v>
      </c>
      <c r="I2609" s="16" t="n">
        <v>46245</v>
      </c>
      <c r="J2609" s="16" t="n">
        <v>46300</v>
      </c>
      <c r="K2609" s="5" t="inlineStr">
        <is>
          <t>Fatura - bruto QUELMAR TRANSPORTES LTDA 6379-2</t>
        </is>
      </c>
      <c r="L2609" s="5" t="inlineStr">
        <is>
          <t>05102026</t>
        </is>
      </c>
      <c r="M2609" s="5">
        <f>IF(YEAR(I2609)&lt;=2020,"Até 2020",TEXT(YEAR(I2609),"0"))</f>
        <v/>
      </c>
      <c r="N2609" s="5">
        <f>IFERROR(INDEX(DePara!$A:$A,MATCH(TEXT(B2609,"0"),DePara!$D:$D,0)),"(sem categoria)")</f>
        <v/>
      </c>
      <c r="O2609" s="5">
        <f>IF(J2609="","",Parametros!$B$6-J2609)</f>
        <v/>
      </c>
      <c r="P2609" s="5">
        <f>IF(O2609="","",IF(O2609&gt;0,1,0))</f>
        <v/>
      </c>
    </row>
    <row r="2610">
      <c r="A2610" s="5" t="n">
        <v>2111000000</v>
      </c>
      <c r="B2610" s="5" t="inlineStr">
        <is>
          <t>100883</t>
        </is>
      </c>
      <c r="C2610" s="5" t="inlineStr">
        <is>
          <t>QUELMAR TRANSPORTES LTDA</t>
        </is>
      </c>
      <c r="D2610" s="5" t="inlineStr">
        <is>
          <t>RE</t>
        </is>
      </c>
      <c r="E2610" s="5" t="n">
        <v>5015445</v>
      </c>
      <c r="F2610" s="5" t="inlineStr">
        <is>
          <t>6343-2</t>
        </is>
      </c>
      <c r="G2610" s="5" t="inlineStr">
        <is>
          <t>BRL</t>
        </is>
      </c>
      <c r="H2610" s="9" t="n">
        <v>-2580</v>
      </c>
      <c r="I2610" s="16" t="n">
        <v>46239</v>
      </c>
      <c r="J2610" s="16" t="n">
        <v>46300</v>
      </c>
      <c r="K2610" s="5" t="inlineStr">
        <is>
          <t>Fatura - bruto QUELMAR TRANSPORTES LTDA 6343-2</t>
        </is>
      </c>
      <c r="L2610" s="5" t="inlineStr">
        <is>
          <t>05102026</t>
        </is>
      </c>
      <c r="M2610" s="5">
        <f>IF(YEAR(I2610)&lt;=2020,"Até 2020",TEXT(YEAR(I2610),"0"))</f>
        <v/>
      </c>
      <c r="N2610" s="5">
        <f>IFERROR(INDEX(DePara!$A:$A,MATCH(TEXT(B2610,"0"),DePara!$D:$D,0)),"(sem categoria)")</f>
        <v/>
      </c>
      <c r="O2610" s="5">
        <f>IF(J2610="","",Parametros!$B$6-J2610)</f>
        <v/>
      </c>
      <c r="P2610" s="5">
        <f>IF(O2610="","",IF(O2610&gt;0,1,0))</f>
        <v/>
      </c>
    </row>
    <row r="2611">
      <c r="A2611" s="5" t="n">
        <v>2111000000</v>
      </c>
      <c r="B2611" s="5" t="inlineStr">
        <is>
          <t>100883</t>
        </is>
      </c>
      <c r="C2611" s="5" t="inlineStr">
        <is>
          <t>QUELMAR TRANSPORTES LTDA</t>
        </is>
      </c>
      <c r="D2611" s="5" t="inlineStr">
        <is>
          <t>RE</t>
        </is>
      </c>
      <c r="E2611" s="5" t="n">
        <v>5015446</v>
      </c>
      <c r="F2611" s="5" t="inlineStr">
        <is>
          <t>6353-2</t>
        </is>
      </c>
      <c r="G2611" s="5" t="inlineStr">
        <is>
          <t>BRL</t>
        </is>
      </c>
      <c r="H2611" s="9" t="n">
        <v>-1700</v>
      </c>
      <c r="I2611" s="16" t="n">
        <v>46239</v>
      </c>
      <c r="J2611" s="16" t="n">
        <v>46300</v>
      </c>
      <c r="K2611" s="5" t="inlineStr">
        <is>
          <t>Fatura - bruto QUELMAR TRANSPORTES LTDA 6353-2</t>
        </is>
      </c>
      <c r="L2611" s="5" t="inlineStr">
        <is>
          <t>05102026</t>
        </is>
      </c>
      <c r="M2611" s="5">
        <f>IF(YEAR(I2611)&lt;=2020,"Até 2020",TEXT(YEAR(I2611),"0"))</f>
        <v/>
      </c>
      <c r="N2611" s="5">
        <f>IFERROR(INDEX(DePara!$A:$A,MATCH(TEXT(B2611,"0"),DePara!$D:$D,0)),"(sem categoria)")</f>
        <v/>
      </c>
      <c r="O2611" s="5">
        <f>IF(J2611="","",Parametros!$B$6-J2611)</f>
        <v/>
      </c>
      <c r="P2611" s="5">
        <f>IF(O2611="","",IF(O2611&gt;0,1,0))</f>
        <v/>
      </c>
    </row>
    <row r="2612">
      <c r="A2612" s="5" t="n">
        <v>2111000000</v>
      </c>
      <c r="B2612" s="5" t="inlineStr">
        <is>
          <t>100883</t>
        </is>
      </c>
      <c r="C2612" s="5" t="inlineStr">
        <is>
          <t>QUELMAR TRANSPORTES LTDA</t>
        </is>
      </c>
      <c r="D2612" s="5" t="inlineStr">
        <is>
          <t>RE</t>
        </is>
      </c>
      <c r="E2612" s="5" t="n">
        <v>5015447</v>
      </c>
      <c r="F2612" s="5" t="inlineStr">
        <is>
          <t>6347-2</t>
        </is>
      </c>
      <c r="G2612" s="5" t="inlineStr">
        <is>
          <t>BRL</t>
        </is>
      </c>
      <c r="H2612" s="9" t="n">
        <v>-1790</v>
      </c>
      <c r="I2612" s="16" t="n">
        <v>46239</v>
      </c>
      <c r="J2612" s="16" t="n">
        <v>46300</v>
      </c>
      <c r="K2612" s="5" t="inlineStr">
        <is>
          <t>Fatura - bruto QUELMAR TRANSPORTES LTDA 6347-2</t>
        </is>
      </c>
      <c r="L2612" s="5" t="inlineStr">
        <is>
          <t>05102026</t>
        </is>
      </c>
      <c r="M2612" s="5">
        <f>IF(YEAR(I2612)&lt;=2020,"Até 2020",TEXT(YEAR(I2612),"0"))</f>
        <v/>
      </c>
      <c r="N2612" s="5">
        <f>IFERROR(INDEX(DePara!$A:$A,MATCH(TEXT(B2612,"0"),DePara!$D:$D,0)),"(sem categoria)")</f>
        <v/>
      </c>
      <c r="O2612" s="5">
        <f>IF(J2612="","",Parametros!$B$6-J2612)</f>
        <v/>
      </c>
      <c r="P2612" s="5">
        <f>IF(O2612="","",IF(O2612&gt;0,1,0))</f>
        <v/>
      </c>
    </row>
    <row r="2613">
      <c r="A2613" s="5" t="n">
        <v>2111000000</v>
      </c>
      <c r="B2613" s="5" t="inlineStr">
        <is>
          <t>100883</t>
        </is>
      </c>
      <c r="C2613" s="5" t="inlineStr">
        <is>
          <t>QUELMAR TRANSPORTES LTDA</t>
        </is>
      </c>
      <c r="D2613" s="5" t="inlineStr">
        <is>
          <t>RE</t>
        </is>
      </c>
      <c r="E2613" s="5" t="n">
        <v>5015448</v>
      </c>
      <c r="F2613" s="5" t="inlineStr">
        <is>
          <t>6371-2</t>
        </is>
      </c>
      <c r="G2613" s="5" t="inlineStr">
        <is>
          <t>BRL</t>
        </is>
      </c>
      <c r="H2613" s="9" t="n">
        <v>-1800</v>
      </c>
      <c r="I2613" s="16" t="n">
        <v>46241</v>
      </c>
      <c r="J2613" s="16" t="n">
        <v>46300</v>
      </c>
      <c r="K2613" s="5" t="inlineStr">
        <is>
          <t>Fatura - bruto QUELMAR TRANSPORTES LTDA 6371-2</t>
        </is>
      </c>
      <c r="L2613" s="5" t="inlineStr">
        <is>
          <t>05102026</t>
        </is>
      </c>
      <c r="M2613" s="5">
        <f>IF(YEAR(I2613)&lt;=2020,"Até 2020",TEXT(YEAR(I2613),"0"))</f>
        <v/>
      </c>
      <c r="N2613" s="5">
        <f>IFERROR(INDEX(DePara!$A:$A,MATCH(TEXT(B2613,"0"),DePara!$D:$D,0)),"(sem categoria)")</f>
        <v/>
      </c>
      <c r="O2613" s="5">
        <f>IF(J2613="","",Parametros!$B$6-J2613)</f>
        <v/>
      </c>
      <c r="P2613" s="5">
        <f>IF(O2613="","",IF(O2613&gt;0,1,0))</f>
        <v/>
      </c>
    </row>
    <row r="2614">
      <c r="A2614" s="5" t="n">
        <v>2111000000</v>
      </c>
      <c r="B2614" s="5" t="inlineStr">
        <is>
          <t>100883</t>
        </is>
      </c>
      <c r="C2614" s="5" t="inlineStr">
        <is>
          <t>QUELMAR TRANSPORTES LTDA</t>
        </is>
      </c>
      <c r="D2614" s="5" t="inlineStr">
        <is>
          <t>RE</t>
        </is>
      </c>
      <c r="E2614" s="5" t="n">
        <v>5015449</v>
      </c>
      <c r="F2614" s="5" t="inlineStr">
        <is>
          <t>6374-2</t>
        </is>
      </c>
      <c r="G2614" s="5" t="inlineStr">
        <is>
          <t>BRL</t>
        </is>
      </c>
      <c r="H2614" s="9" t="n">
        <v>-4200</v>
      </c>
      <c r="I2614" s="16" t="n">
        <v>46244</v>
      </c>
      <c r="J2614" s="16" t="n">
        <v>46300</v>
      </c>
      <c r="K2614" s="5" t="inlineStr">
        <is>
          <t>Fatura - bruto QUELMAR TRANSPORTES LTDA 6374-2</t>
        </is>
      </c>
      <c r="L2614" s="5" t="inlineStr">
        <is>
          <t>05102026</t>
        </is>
      </c>
      <c r="M2614" s="5">
        <f>IF(YEAR(I2614)&lt;=2020,"Até 2020",TEXT(YEAR(I2614),"0"))</f>
        <v/>
      </c>
      <c r="N2614" s="5">
        <f>IFERROR(INDEX(DePara!$A:$A,MATCH(TEXT(B2614,"0"),DePara!$D:$D,0)),"(sem categoria)")</f>
        <v/>
      </c>
      <c r="O2614" s="5">
        <f>IF(J2614="","",Parametros!$B$6-J2614)</f>
        <v/>
      </c>
      <c r="P2614" s="5">
        <f>IF(O2614="","",IF(O2614&gt;0,1,0))</f>
        <v/>
      </c>
    </row>
    <row r="2615">
      <c r="A2615" s="5" t="n">
        <v>2111000000</v>
      </c>
      <c r="B2615" s="5" t="inlineStr">
        <is>
          <t>100883</t>
        </is>
      </c>
      <c r="C2615" s="5" t="inlineStr">
        <is>
          <t>QUELMAR TRANSPORTES LTDA</t>
        </is>
      </c>
      <c r="D2615" s="5" t="inlineStr">
        <is>
          <t>RE</t>
        </is>
      </c>
      <c r="E2615" s="5" t="n">
        <v>5015450</v>
      </c>
      <c r="F2615" s="5" t="inlineStr">
        <is>
          <t>6340-2</t>
        </is>
      </c>
      <c r="G2615" s="5" t="inlineStr">
        <is>
          <t>BRL</t>
        </is>
      </c>
      <c r="H2615" s="9" t="n">
        <v>-6470</v>
      </c>
      <c r="I2615" s="16" t="n">
        <v>46239</v>
      </c>
      <c r="J2615" s="16" t="n">
        <v>46300</v>
      </c>
      <c r="K2615" s="5" t="inlineStr">
        <is>
          <t>Fatura - bruto QUELMAR TRANSPORTES LTDA 6340-2</t>
        </is>
      </c>
      <c r="L2615" s="5" t="inlineStr">
        <is>
          <t>05102026</t>
        </is>
      </c>
      <c r="M2615" s="5">
        <f>IF(YEAR(I2615)&lt;=2020,"Até 2020",TEXT(YEAR(I2615),"0"))</f>
        <v/>
      </c>
      <c r="N2615" s="5">
        <f>IFERROR(INDEX(DePara!$A:$A,MATCH(TEXT(B2615,"0"),DePara!$D:$D,0)),"(sem categoria)")</f>
        <v/>
      </c>
      <c r="O2615" s="5">
        <f>IF(J2615="","",Parametros!$B$6-J2615)</f>
        <v/>
      </c>
      <c r="P2615" s="5">
        <f>IF(O2615="","",IF(O2615&gt;0,1,0))</f>
        <v/>
      </c>
    </row>
    <row r="2616">
      <c r="A2616" s="5" t="n">
        <v>2111000000</v>
      </c>
      <c r="B2616" s="5" t="inlineStr">
        <is>
          <t>100883</t>
        </is>
      </c>
      <c r="C2616" s="5" t="inlineStr">
        <is>
          <t>QUELMAR TRANSPORTES LTDA</t>
        </is>
      </c>
      <c r="D2616" s="5" t="inlineStr">
        <is>
          <t>RE</t>
        </is>
      </c>
      <c r="E2616" s="5" t="n">
        <v>5015451</v>
      </c>
      <c r="F2616" s="5" t="inlineStr">
        <is>
          <t>6376-2</t>
        </is>
      </c>
      <c r="G2616" s="5" t="inlineStr">
        <is>
          <t>BRL</t>
        </is>
      </c>
      <c r="H2616" s="9" t="n">
        <v>-1723</v>
      </c>
      <c r="I2616" s="16" t="n">
        <v>46245</v>
      </c>
      <c r="J2616" s="16" t="n">
        <v>46300</v>
      </c>
      <c r="K2616" s="5" t="inlineStr">
        <is>
          <t>Fatura - bruto QUELMAR TRANSPORTES LTDA 6376-2</t>
        </is>
      </c>
      <c r="L2616" s="5" t="inlineStr">
        <is>
          <t>05102026</t>
        </is>
      </c>
      <c r="M2616" s="5">
        <f>IF(YEAR(I2616)&lt;=2020,"Até 2020",TEXT(YEAR(I2616),"0"))</f>
        <v/>
      </c>
      <c r="N2616" s="5">
        <f>IFERROR(INDEX(DePara!$A:$A,MATCH(TEXT(B2616,"0"),DePara!$D:$D,0)),"(sem categoria)")</f>
        <v/>
      </c>
      <c r="O2616" s="5">
        <f>IF(J2616="","",Parametros!$B$6-J2616)</f>
        <v/>
      </c>
      <c r="P2616" s="5">
        <f>IF(O2616="","",IF(O2616&gt;0,1,0))</f>
        <v/>
      </c>
    </row>
    <row r="2617">
      <c r="A2617" s="5" t="n">
        <v>2111000000</v>
      </c>
      <c r="B2617" s="5" t="inlineStr">
        <is>
          <t>100883</t>
        </is>
      </c>
      <c r="C2617" s="5" t="inlineStr">
        <is>
          <t>QUELMAR TRANSPORTES LTDA</t>
        </is>
      </c>
      <c r="D2617" s="5" t="inlineStr">
        <is>
          <t>RE</t>
        </is>
      </c>
      <c r="E2617" s="5" t="n">
        <v>5015452</v>
      </c>
      <c r="F2617" s="5" t="inlineStr">
        <is>
          <t>6375-2</t>
        </is>
      </c>
      <c r="G2617" s="5" t="inlineStr">
        <is>
          <t>BRL</t>
        </is>
      </c>
      <c r="H2617" s="9" t="n">
        <v>-1780</v>
      </c>
      <c r="I2617" s="16" t="n">
        <v>46244</v>
      </c>
      <c r="J2617" s="16" t="n">
        <v>46300</v>
      </c>
      <c r="K2617" s="5" t="inlineStr">
        <is>
          <t>Fatura - bruto QUELMAR TRANSPORTES LTDA 6375-2</t>
        </is>
      </c>
      <c r="L2617" s="5" t="inlineStr">
        <is>
          <t>05102026</t>
        </is>
      </c>
      <c r="M2617" s="5">
        <f>IF(YEAR(I2617)&lt;=2020,"Até 2020",TEXT(YEAR(I2617),"0"))</f>
        <v/>
      </c>
      <c r="N2617" s="5">
        <f>IFERROR(INDEX(DePara!$A:$A,MATCH(TEXT(B2617,"0"),DePara!$D:$D,0)),"(sem categoria)")</f>
        <v/>
      </c>
      <c r="O2617" s="5">
        <f>IF(J2617="","",Parametros!$B$6-J2617)</f>
        <v/>
      </c>
      <c r="P2617" s="5">
        <f>IF(O2617="","",IF(O2617&gt;0,1,0))</f>
        <v/>
      </c>
    </row>
    <row r="2618">
      <c r="A2618" s="5" t="n">
        <v>2111000000</v>
      </c>
      <c r="B2618" s="5" t="inlineStr">
        <is>
          <t>100883</t>
        </is>
      </c>
      <c r="C2618" s="5" t="inlineStr">
        <is>
          <t>QUELMAR TRANSPORTES LTDA</t>
        </is>
      </c>
      <c r="D2618" s="5" t="inlineStr">
        <is>
          <t>RE</t>
        </is>
      </c>
      <c r="E2618" s="5" t="n">
        <v>5015453</v>
      </c>
      <c r="F2618" s="5" t="inlineStr">
        <is>
          <t>6383-2</t>
        </is>
      </c>
      <c r="G2618" s="5" t="inlineStr">
        <is>
          <t>BRL</t>
        </is>
      </c>
      <c r="H2618" s="9" t="n">
        <v>-1970</v>
      </c>
      <c r="I2618" s="16" t="n">
        <v>46245</v>
      </c>
      <c r="J2618" s="16" t="n">
        <v>46300</v>
      </c>
      <c r="K2618" s="5" t="inlineStr">
        <is>
          <t>Fatura - bruto QUELMAR TRANSPORTES LTDA 6383-2</t>
        </is>
      </c>
      <c r="L2618" s="5" t="inlineStr">
        <is>
          <t>05102026</t>
        </is>
      </c>
      <c r="M2618" s="5">
        <f>IF(YEAR(I2618)&lt;=2020,"Até 2020",TEXT(YEAR(I2618),"0"))</f>
        <v/>
      </c>
      <c r="N2618" s="5">
        <f>IFERROR(INDEX(DePara!$A:$A,MATCH(TEXT(B2618,"0"),DePara!$D:$D,0)),"(sem categoria)")</f>
        <v/>
      </c>
      <c r="O2618" s="5">
        <f>IF(J2618="","",Parametros!$B$6-J2618)</f>
        <v/>
      </c>
      <c r="P2618" s="5">
        <f>IF(O2618="","",IF(O2618&gt;0,1,0))</f>
        <v/>
      </c>
    </row>
    <row r="2619">
      <c r="A2619" s="5" t="n">
        <v>2111000000</v>
      </c>
      <c r="B2619" s="5" t="inlineStr">
        <is>
          <t>101463</t>
        </is>
      </c>
      <c r="C2619" s="5" t="inlineStr">
        <is>
          <t>ZURICH MINAS BRASIL SEGUROS S A</t>
        </is>
      </c>
      <c r="D2619" s="5" t="inlineStr">
        <is>
          <t>RE</t>
        </is>
      </c>
      <c r="E2619" s="5" t="n">
        <v>5015454</v>
      </c>
      <c r="F2619" s="5" t="inlineStr">
        <is>
          <t>0238/26</t>
        </is>
      </c>
      <c r="G2619" s="5" t="inlineStr">
        <is>
          <t>BRL</t>
        </is>
      </c>
      <c r="H2619" s="9" t="n">
        <v>-3109.57</v>
      </c>
      <c r="I2619" s="16" t="n">
        <v>46252</v>
      </c>
      <c r="J2619" s="16" t="n">
        <v>46282</v>
      </c>
      <c r="K2619" s="5" t="inlineStr">
        <is>
          <t>Invoice Payment. SP: 21682</t>
        </is>
      </c>
      <c r="L2619" s="5" t="inlineStr">
        <is>
          <t>0238/26</t>
        </is>
      </c>
      <c r="M2619" s="5">
        <f>IF(YEAR(I2619)&lt;=2020,"Até 2020",TEXT(YEAR(I2619),"0"))</f>
        <v/>
      </c>
      <c r="N2619" s="5">
        <f>IFERROR(INDEX(DePara!$A:$A,MATCH(TEXT(B2619,"0"),DePara!$D:$D,0)),"(sem categoria)")</f>
        <v/>
      </c>
      <c r="O2619" s="5">
        <f>IF(J2619="","",Parametros!$B$6-J2619)</f>
        <v/>
      </c>
      <c r="P2619" s="5">
        <f>IF(O2619="","",IF(O2619&gt;0,1,0))</f>
        <v/>
      </c>
    </row>
    <row r="2620">
      <c r="A2620" s="5" t="n">
        <v>2111000000</v>
      </c>
      <c r="B2620" s="5" t="inlineStr">
        <is>
          <t>100883</t>
        </is>
      </c>
      <c r="C2620" s="5" t="inlineStr">
        <is>
          <t>QUELMAR TRANSPORTES LTDA</t>
        </is>
      </c>
      <c r="D2620" s="5" t="inlineStr">
        <is>
          <t>RE</t>
        </is>
      </c>
      <c r="E2620" s="5" t="n">
        <v>5015455</v>
      </c>
      <c r="F2620" s="5" t="inlineStr">
        <is>
          <t>6356-2</t>
        </is>
      </c>
      <c r="G2620" s="5" t="inlineStr">
        <is>
          <t>BRL</t>
        </is>
      </c>
      <c r="H2620" s="9" t="n">
        <v>-2950</v>
      </c>
      <c r="I2620" s="16" t="n">
        <v>46239</v>
      </c>
      <c r="J2620" s="16" t="n">
        <v>46300</v>
      </c>
      <c r="K2620" s="5" t="inlineStr">
        <is>
          <t>Fatura - bruto QUELMAR TRANSPORTES LTDA 6356-2</t>
        </is>
      </c>
      <c r="L2620" s="5" t="inlineStr">
        <is>
          <t>05102026</t>
        </is>
      </c>
      <c r="M2620" s="5">
        <f>IF(YEAR(I2620)&lt;=2020,"Até 2020",TEXT(YEAR(I2620),"0"))</f>
        <v/>
      </c>
      <c r="N2620" s="5">
        <f>IFERROR(INDEX(DePara!$A:$A,MATCH(TEXT(B2620,"0"),DePara!$D:$D,0)),"(sem categoria)")</f>
        <v/>
      </c>
      <c r="O2620" s="5">
        <f>IF(J2620="","",Parametros!$B$6-J2620)</f>
        <v/>
      </c>
      <c r="P2620" s="5">
        <f>IF(O2620="","",IF(O2620&gt;0,1,0))</f>
        <v/>
      </c>
    </row>
    <row r="2621">
      <c r="A2621" s="5" t="n">
        <v>2111000000</v>
      </c>
      <c r="B2621" s="5" t="inlineStr">
        <is>
          <t>101463</t>
        </is>
      </c>
      <c r="C2621" s="5" t="inlineStr">
        <is>
          <t>ZURICH MINAS BRASIL SEGUROS S A</t>
        </is>
      </c>
      <c r="D2621" s="5" t="inlineStr">
        <is>
          <t>RE</t>
        </is>
      </c>
      <c r="E2621" s="5" t="n">
        <v>5015458</v>
      </c>
      <c r="F2621" s="5" t="inlineStr">
        <is>
          <t>0493/26</t>
        </is>
      </c>
      <c r="G2621" s="5" t="inlineStr">
        <is>
          <t>BRL</t>
        </is>
      </c>
      <c r="H2621" s="9" t="n">
        <v>-39.89</v>
      </c>
      <c r="I2621" s="16" t="n">
        <v>46252</v>
      </c>
      <c r="J2621" s="16" t="n">
        <v>46282</v>
      </c>
      <c r="K2621" s="5" t="inlineStr">
        <is>
          <t>Invoice Payment. SP: 21684</t>
        </is>
      </c>
      <c r="L2621" s="5" t="inlineStr">
        <is>
          <t>0493/26</t>
        </is>
      </c>
      <c r="M2621" s="5">
        <f>IF(YEAR(I2621)&lt;=2020,"Até 2020",TEXT(YEAR(I2621),"0"))</f>
        <v/>
      </c>
      <c r="N2621" s="5">
        <f>IFERROR(INDEX(DePara!$A:$A,MATCH(TEXT(B2621,"0"),DePara!$D:$D,0)),"(sem categoria)")</f>
        <v/>
      </c>
      <c r="O2621" s="5">
        <f>IF(J2621="","",Parametros!$B$6-J2621)</f>
        <v/>
      </c>
      <c r="P2621" s="5">
        <f>IF(O2621="","",IF(O2621&gt;0,1,0))</f>
        <v/>
      </c>
    </row>
    <row r="2622">
      <c r="A2622" s="5" t="n">
        <v>2111000000</v>
      </c>
      <c r="B2622" s="5" t="inlineStr">
        <is>
          <t>101463</t>
        </is>
      </c>
      <c r="C2622" s="5" t="inlineStr">
        <is>
          <t>ZURICH MINAS BRASIL SEGUROS S A</t>
        </is>
      </c>
      <c r="D2622" s="5" t="inlineStr">
        <is>
          <t>RE</t>
        </is>
      </c>
      <c r="E2622" s="5" t="n">
        <v>5015467</v>
      </c>
      <c r="F2622" s="5" t="inlineStr">
        <is>
          <t>0375/26</t>
        </is>
      </c>
      <c r="G2622" s="5" t="inlineStr">
        <is>
          <t>BRL</t>
        </is>
      </c>
      <c r="H2622" s="9" t="n">
        <v>-5684.04</v>
      </c>
      <c r="I2622" s="16" t="n">
        <v>46252</v>
      </c>
      <c r="J2622" s="16" t="n">
        <v>46252</v>
      </c>
      <c r="K2622" s="5" t="inlineStr">
        <is>
          <t>Invoice Payment. SP: 21688</t>
        </is>
      </c>
      <c r="L2622" s="5" t="inlineStr">
        <is>
          <t>0375/26</t>
        </is>
      </c>
      <c r="M2622" s="5">
        <f>IF(YEAR(I2622)&lt;=2020,"Até 2020",TEXT(YEAR(I2622),"0"))</f>
        <v/>
      </c>
      <c r="N2622" s="5">
        <f>IFERROR(INDEX(DePara!$A:$A,MATCH(TEXT(B2622,"0"),DePara!$D:$D,0)),"(sem categoria)")</f>
        <v/>
      </c>
      <c r="O2622" s="5">
        <f>IF(J2622="","",Parametros!$B$6-J2622)</f>
        <v/>
      </c>
      <c r="P2622" s="5">
        <f>IF(O2622="","",IF(O2622&gt;0,1,0))</f>
        <v/>
      </c>
    </row>
    <row r="2623">
      <c r="A2623" s="5" t="n">
        <v>2111000000</v>
      </c>
      <c r="B2623" s="5" t="inlineStr">
        <is>
          <t>107720</t>
        </is>
      </c>
      <c r="C2623" s="5" t="inlineStr">
        <is>
          <t>DAYCOVAL LEASING SOCIEDADE DE ARRENDAMENTO MERCANTIL S.A</t>
        </is>
      </c>
      <c r="D2623" s="5" t="inlineStr">
        <is>
          <t>RE</t>
        </is>
      </c>
      <c r="E2623" s="5" t="n">
        <v>5015471</v>
      </c>
      <c r="F2623" s="5" t="inlineStr">
        <is>
          <t>776064</t>
        </is>
      </c>
      <c r="G2623" s="5" t="inlineStr">
        <is>
          <t>BRL</t>
        </is>
      </c>
      <c r="H2623" s="9" t="n">
        <v>-3552.98</v>
      </c>
      <c r="I2623" s="16" t="n">
        <v>46247</v>
      </c>
      <c r="J2623" s="16" t="n">
        <v>46269</v>
      </c>
      <c r="K2623" s="5" t="inlineStr">
        <is>
          <t>*34191570070057558713401352670002115590000355298</t>
        </is>
      </c>
      <c r="L2623" s="5" t="inlineStr">
        <is>
          <t>02092026</t>
        </is>
      </c>
      <c r="M2623" s="5">
        <f>IF(YEAR(I2623)&lt;=2020,"Até 2020",TEXT(YEAR(I2623),"0"))</f>
        <v/>
      </c>
      <c r="N2623" s="5">
        <f>IFERROR(INDEX(DePara!$A:$A,MATCH(TEXT(B2623,"0"),DePara!$D:$D,0)),"(sem categoria)")</f>
        <v/>
      </c>
      <c r="O2623" s="5">
        <f>IF(J2623="","",Parametros!$B$6-J2623)</f>
        <v/>
      </c>
      <c r="P2623" s="5">
        <f>IF(O2623="","",IF(O2623&gt;0,1,0))</f>
        <v/>
      </c>
    </row>
    <row r="2624">
      <c r="A2624" s="5" t="n">
        <v>2111000000</v>
      </c>
      <c r="B2624" s="5" t="inlineStr">
        <is>
          <t>107720</t>
        </is>
      </c>
      <c r="C2624" s="5" t="inlineStr">
        <is>
          <t>DAYCOVAL LEASING SOCIEDADE DE ARRENDAMENTO MERCANTIL S.A</t>
        </is>
      </c>
      <c r="D2624" s="5" t="inlineStr">
        <is>
          <t>RE</t>
        </is>
      </c>
      <c r="E2624" s="5" t="n">
        <v>5015472</v>
      </c>
      <c r="F2624" s="5" t="inlineStr">
        <is>
          <t>593050</t>
        </is>
      </c>
      <c r="G2624" s="5" t="inlineStr">
        <is>
          <t>BRL</t>
        </is>
      </c>
      <c r="H2624" s="9" t="n">
        <v>-8104.66</v>
      </c>
      <c r="I2624" s="16" t="n">
        <v>46247</v>
      </c>
      <c r="J2624" s="16" t="n">
        <v>46270</v>
      </c>
      <c r="K2624" s="5" t="inlineStr">
        <is>
          <t>*34191570070057566713401352670002415600000810466</t>
        </is>
      </c>
      <c r="L2624" s="5" t="inlineStr">
        <is>
          <t>02092026</t>
        </is>
      </c>
      <c r="M2624" s="5">
        <f>IF(YEAR(I2624)&lt;=2020,"Até 2020",TEXT(YEAR(I2624),"0"))</f>
        <v/>
      </c>
      <c r="N2624" s="5">
        <f>IFERROR(INDEX(DePara!$A:$A,MATCH(TEXT(B2624,"0"),DePara!$D:$D,0)),"(sem categoria)")</f>
        <v/>
      </c>
      <c r="O2624" s="5">
        <f>IF(J2624="","",Parametros!$B$6-J2624)</f>
        <v/>
      </c>
      <c r="P2624" s="5">
        <f>IF(O2624="","",IF(O2624&gt;0,1,0))</f>
        <v/>
      </c>
    </row>
    <row r="2625">
      <c r="A2625" s="5" t="n">
        <v>2111000000</v>
      </c>
      <c r="B2625" s="5" t="inlineStr">
        <is>
          <t>100018</t>
        </is>
      </c>
      <c r="C2625" s="5" t="inlineStr">
        <is>
          <t>HOST TECNOLOGIA LTDA</t>
        </is>
      </c>
      <c r="D2625" s="5" t="inlineStr">
        <is>
          <t>RE</t>
        </is>
      </c>
      <c r="E2625" s="5" t="n">
        <v>5015473</v>
      </c>
      <c r="F2625" s="5" t="inlineStr">
        <is>
          <t>97283</t>
        </is>
      </c>
      <c r="G2625" s="5" t="inlineStr">
        <is>
          <t>BRL</t>
        </is>
      </c>
      <c r="H2625" s="9" t="n">
        <v>-622.3099999999999</v>
      </c>
      <c r="I2625" s="16" t="n">
        <v>46250</v>
      </c>
      <c r="J2625" s="16" t="n">
        <v>46280</v>
      </c>
      <c r="K2625" s="5" t="inlineStr">
        <is>
          <t>Fatura - bruto HOST TECNOLOGIA LTDA 97283</t>
        </is>
      </c>
      <c r="L2625" s="5" t="inlineStr">
        <is>
          <t>09092026</t>
        </is>
      </c>
      <c r="M2625" s="5">
        <f>IF(YEAR(I2625)&lt;=2020,"Até 2020",TEXT(YEAR(I2625),"0"))</f>
        <v/>
      </c>
      <c r="N2625" s="5">
        <f>IFERROR(INDEX(DePara!$A:$A,MATCH(TEXT(B2625,"0"),DePara!$D:$D,0)),"(sem categoria)")</f>
        <v/>
      </c>
      <c r="O2625" s="5">
        <f>IF(J2625="","",Parametros!$B$6-J2625)</f>
        <v/>
      </c>
      <c r="P2625" s="5">
        <f>IF(O2625="","",IF(O2625&gt;0,1,0))</f>
        <v/>
      </c>
    </row>
    <row r="2626">
      <c r="A2626" s="5" t="n">
        <v>2111000000</v>
      </c>
      <c r="B2626" s="5" t="inlineStr">
        <is>
          <t>100411</t>
        </is>
      </c>
      <c r="C2626" s="5" t="inlineStr">
        <is>
          <t>HOSTFIBER COMUNICACAO MULTIMIDIA LT</t>
        </is>
      </c>
      <c r="D2626" s="5" t="inlineStr">
        <is>
          <t>RE</t>
        </is>
      </c>
      <c r="E2626" s="5" t="n">
        <v>5015474</v>
      </c>
      <c r="F2626" s="5" t="inlineStr">
        <is>
          <t>200530-1</t>
        </is>
      </c>
      <c r="G2626" s="5" t="inlineStr">
        <is>
          <t>BRL</t>
        </is>
      </c>
      <c r="H2626" s="9" t="n">
        <v>-1452.06</v>
      </c>
      <c r="I2626" s="16" t="n">
        <v>46252</v>
      </c>
      <c r="J2626" s="16" t="n">
        <v>46280</v>
      </c>
      <c r="K2626" s="5" t="inlineStr">
        <is>
          <t>Fatura - bruto HOSTFIBER COMUNICACAO MULTIMIDIA LT</t>
        </is>
      </c>
      <c r="L2626" s="5" t="inlineStr">
        <is>
          <t>09092026</t>
        </is>
      </c>
      <c r="M2626" s="5">
        <f>IF(YEAR(I2626)&lt;=2020,"Até 2020",TEXT(YEAR(I2626),"0"))</f>
        <v/>
      </c>
      <c r="N2626" s="5">
        <f>IFERROR(INDEX(DePara!$A:$A,MATCH(TEXT(B2626,"0"),DePara!$D:$D,0)),"(sem categoria)")</f>
        <v/>
      </c>
      <c r="O2626" s="5">
        <f>IF(J2626="","",Parametros!$B$6-J2626)</f>
        <v/>
      </c>
      <c r="P2626" s="5">
        <f>IF(O2626="","",IF(O2626&gt;0,1,0))</f>
        <v/>
      </c>
    </row>
    <row r="2627">
      <c r="A2627" s="5" t="n">
        <v>2111000000</v>
      </c>
      <c r="B2627" s="5" t="inlineStr">
        <is>
          <t>105693</t>
        </is>
      </c>
      <c r="C2627" s="5" t="inlineStr">
        <is>
          <t>WINSERVICE SOLUTION INFORMATICA LTD 02598005000193</t>
        </is>
      </c>
      <c r="D2627" s="5" t="inlineStr">
        <is>
          <t>RE</t>
        </is>
      </c>
      <c r="E2627" s="5" t="n">
        <v>5015475</v>
      </c>
      <c r="F2627" s="5" t="inlineStr">
        <is>
          <t>6591</t>
        </is>
      </c>
      <c r="G2627" s="5" t="inlineStr">
        <is>
          <t>BRL</t>
        </is>
      </c>
      <c r="H2627" s="9" t="n">
        <v>-424.2</v>
      </c>
      <c r="I2627" s="16" t="n">
        <v>46237</v>
      </c>
      <c r="J2627" s="16" t="n">
        <v>46272</v>
      </c>
      <c r="K2627" s="5" t="inlineStr">
        <is>
          <t>Fatura - bruto WINSERVICE SOLUTION INFORMATICA LTD</t>
        </is>
      </c>
      <c r="L2627" s="5" t="inlineStr">
        <is>
          <t>09092026</t>
        </is>
      </c>
      <c r="M2627" s="5">
        <f>IF(YEAR(I2627)&lt;=2020,"Até 2020",TEXT(YEAR(I2627),"0"))</f>
        <v/>
      </c>
      <c r="N2627" s="5">
        <f>IFERROR(INDEX(DePara!$A:$A,MATCH(TEXT(B2627,"0"),DePara!$D:$D,0)),"(sem categoria)")</f>
        <v/>
      </c>
      <c r="O2627" s="5">
        <f>IF(J2627="","",Parametros!$B$6-J2627)</f>
        <v/>
      </c>
      <c r="P2627" s="5">
        <f>IF(O2627="","",IF(O2627&gt;0,1,0))</f>
        <v/>
      </c>
    </row>
    <row r="2628">
      <c r="A2628" s="5" t="n">
        <v>2111000000</v>
      </c>
      <c r="B2628" s="5" t="inlineStr">
        <is>
          <t>101105</t>
        </is>
      </c>
      <c r="C2628" s="5" t="inlineStr">
        <is>
          <t>IMUNIZADORA POTYGUAR E SERVICOS LTD</t>
        </is>
      </c>
      <c r="D2628" s="5" t="inlineStr">
        <is>
          <t>RE</t>
        </is>
      </c>
      <c r="E2628" s="5" t="n">
        <v>5015476</v>
      </c>
      <c r="F2628" s="5" t="inlineStr">
        <is>
          <t>989</t>
        </is>
      </c>
      <c r="G2628" s="5" t="inlineStr">
        <is>
          <t>BRL</t>
        </is>
      </c>
      <c r="H2628" s="9" t="n">
        <v>-12000</v>
      </c>
      <c r="I2628" s="16" t="n">
        <v>46246</v>
      </c>
      <c r="J2628" s="16" t="n">
        <v>46270</v>
      </c>
      <c r="K2628" s="5" t="inlineStr">
        <is>
          <t>Fatura - bruto IMUNIZADORA POTYGUAR E SERVICOS LTD</t>
        </is>
      </c>
      <c r="L2628" s="5" t="inlineStr">
        <is>
          <t>08092026</t>
        </is>
      </c>
      <c r="M2628" s="5">
        <f>IF(YEAR(I2628)&lt;=2020,"Até 2020",TEXT(YEAR(I2628),"0"))</f>
        <v/>
      </c>
      <c r="N2628" s="5">
        <f>IFERROR(INDEX(DePara!$A:$A,MATCH(TEXT(B2628,"0"),DePara!$D:$D,0)),"(sem categoria)")</f>
        <v/>
      </c>
      <c r="O2628" s="5">
        <f>IF(J2628="","",Parametros!$B$6-J2628)</f>
        <v/>
      </c>
      <c r="P2628" s="5">
        <f>IF(O2628="","",IF(O2628&gt;0,1,0))</f>
        <v/>
      </c>
    </row>
    <row r="2629">
      <c r="A2629" s="5" t="n">
        <v>2111000000</v>
      </c>
      <c r="B2629" s="5" t="inlineStr">
        <is>
          <t>104059</t>
        </is>
      </c>
      <c r="C2629" s="5" t="inlineStr">
        <is>
          <t>MG SERVICOS E SAUDE LTDA 48515732000140</t>
        </is>
      </c>
      <c r="D2629" s="5" t="inlineStr">
        <is>
          <t>RE</t>
        </is>
      </c>
      <c r="E2629" s="5" t="n">
        <v>5015477</v>
      </c>
      <c r="F2629" s="5" t="inlineStr">
        <is>
          <t>958</t>
        </is>
      </c>
      <c r="G2629" s="5" t="inlineStr">
        <is>
          <t>BRL</t>
        </is>
      </c>
      <c r="H2629" s="9" t="n">
        <v>-30510</v>
      </c>
      <c r="I2629" s="16" t="n">
        <v>46247</v>
      </c>
      <c r="J2629" s="16" t="n">
        <v>46278</v>
      </c>
      <c r="K2629" s="5" t="inlineStr">
        <is>
          <t>Fatura - bruto MG SERVICOS E SAUDE LTDA 4851573200</t>
        </is>
      </c>
      <c r="L2629" s="5" t="inlineStr">
        <is>
          <t>09092026</t>
        </is>
      </c>
      <c r="M2629" s="5">
        <f>IF(YEAR(I2629)&lt;=2020,"Até 2020",TEXT(YEAR(I2629),"0"))</f>
        <v/>
      </c>
      <c r="N2629" s="5">
        <f>IFERROR(INDEX(DePara!$A:$A,MATCH(TEXT(B2629,"0"),DePara!$D:$D,0)),"(sem categoria)")</f>
        <v/>
      </c>
      <c r="O2629" s="5">
        <f>IF(J2629="","",Parametros!$B$6-J2629)</f>
        <v/>
      </c>
      <c r="P2629" s="5">
        <f>IF(O2629="","",IF(O2629&gt;0,1,0))</f>
        <v/>
      </c>
    </row>
    <row r="2630">
      <c r="A2630" s="5" t="n">
        <v>2111000000</v>
      </c>
      <c r="B2630" s="5" t="inlineStr">
        <is>
          <t>104059</t>
        </is>
      </c>
      <c r="C2630" s="5" t="inlineStr">
        <is>
          <t>MG SERVICOS E SAUDE LTDA 48515732000140</t>
        </is>
      </c>
      <c r="D2630" s="5" t="inlineStr">
        <is>
          <t>RE</t>
        </is>
      </c>
      <c r="E2630" s="5" t="n">
        <v>5015478</v>
      </c>
      <c r="F2630" s="5" t="inlineStr">
        <is>
          <t>26</t>
        </is>
      </c>
      <c r="G2630" s="5" t="inlineStr">
        <is>
          <t>BRL</t>
        </is>
      </c>
      <c r="H2630" s="9" t="n">
        <v>-20969.06</v>
      </c>
      <c r="I2630" s="16" t="n">
        <v>46247</v>
      </c>
      <c r="J2630" s="16" t="n">
        <v>46278</v>
      </c>
      <c r="K2630" s="5" t="inlineStr">
        <is>
          <t>Fatura - bruto MG SERVICOS E SAUDE LTDA 4851573200</t>
        </is>
      </c>
      <c r="L2630" s="5" t="inlineStr">
        <is>
          <t>09092026</t>
        </is>
      </c>
      <c r="M2630" s="5">
        <f>IF(YEAR(I2630)&lt;=2020,"Até 2020",TEXT(YEAR(I2630),"0"))</f>
        <v/>
      </c>
      <c r="N2630" s="5">
        <f>IFERROR(INDEX(DePara!$A:$A,MATCH(TEXT(B2630,"0"),DePara!$D:$D,0)),"(sem categoria)")</f>
        <v/>
      </c>
      <c r="O2630" s="5">
        <f>IF(J2630="","",Parametros!$B$6-J2630)</f>
        <v/>
      </c>
      <c r="P2630" s="5">
        <f>IF(O2630="","",IF(O2630&gt;0,1,0))</f>
        <v/>
      </c>
    </row>
    <row r="2631">
      <c r="A2631" s="5" t="n">
        <v>2111000000</v>
      </c>
      <c r="B2631" s="5" t="inlineStr">
        <is>
          <t>104059</t>
        </is>
      </c>
      <c r="C2631" s="5" t="inlineStr">
        <is>
          <t>MG SERVICOS E SAUDE LTDA 48515732000140</t>
        </is>
      </c>
      <c r="D2631" s="5" t="inlineStr">
        <is>
          <t>RE</t>
        </is>
      </c>
      <c r="E2631" s="5" t="n">
        <v>5015479</v>
      </c>
      <c r="F2631" s="5" t="inlineStr">
        <is>
          <t>27</t>
        </is>
      </c>
      <c r="G2631" s="5" t="inlineStr">
        <is>
          <t>BRL</t>
        </is>
      </c>
      <c r="H2631" s="9" t="n">
        <v>-4835.5</v>
      </c>
      <c r="I2631" s="16" t="n">
        <v>46247</v>
      </c>
      <c r="J2631" s="16" t="n">
        <v>46278</v>
      </c>
      <c r="K2631" s="5" t="inlineStr">
        <is>
          <t>Fatura - bruto MG SERVICOS E SAUDE LTDA 4851573200</t>
        </is>
      </c>
      <c r="L2631" s="5" t="inlineStr">
        <is>
          <t>09092026</t>
        </is>
      </c>
      <c r="M2631" s="5">
        <f>IF(YEAR(I2631)&lt;=2020,"Até 2020",TEXT(YEAR(I2631),"0"))</f>
        <v/>
      </c>
      <c r="N2631" s="5">
        <f>IFERROR(INDEX(DePara!$A:$A,MATCH(TEXT(B2631,"0"),DePara!$D:$D,0)),"(sem categoria)")</f>
        <v/>
      </c>
      <c r="O2631" s="5">
        <f>IF(J2631="","",Parametros!$B$6-J2631)</f>
        <v/>
      </c>
      <c r="P2631" s="5">
        <f>IF(O2631="","",IF(O2631&gt;0,1,0))</f>
        <v/>
      </c>
    </row>
    <row r="2632">
      <c r="A2632" s="5" t="n">
        <v>2111000000</v>
      </c>
      <c r="B2632" s="5" t="inlineStr">
        <is>
          <t>104059</t>
        </is>
      </c>
      <c r="C2632" s="5" t="inlineStr">
        <is>
          <t>MG SERVICOS E SAUDE LTDA 48515732000140</t>
        </is>
      </c>
      <c r="D2632" s="5" t="inlineStr">
        <is>
          <t>RE</t>
        </is>
      </c>
      <c r="E2632" s="5" t="n">
        <v>5015480</v>
      </c>
      <c r="F2632" s="5" t="inlineStr">
        <is>
          <t>29</t>
        </is>
      </c>
      <c r="G2632" s="5" t="inlineStr">
        <is>
          <t>BRL</t>
        </is>
      </c>
      <c r="H2632" s="9" t="n">
        <v>-4512.5</v>
      </c>
      <c r="I2632" s="16" t="n">
        <v>46247</v>
      </c>
      <c r="J2632" s="16" t="n">
        <v>46278</v>
      </c>
      <c r="K2632" s="5" t="inlineStr">
        <is>
          <t>Fatura - bruto MG SERVICOS E SAUDE LTDA 4851573200</t>
        </is>
      </c>
      <c r="L2632" s="5" t="inlineStr">
        <is>
          <t>09092026</t>
        </is>
      </c>
      <c r="M2632" s="5">
        <f>IF(YEAR(I2632)&lt;=2020,"Até 2020",TEXT(YEAR(I2632),"0"))</f>
        <v/>
      </c>
      <c r="N2632" s="5">
        <f>IFERROR(INDEX(DePara!$A:$A,MATCH(TEXT(B2632,"0"),DePara!$D:$D,0)),"(sem categoria)")</f>
        <v/>
      </c>
      <c r="O2632" s="5">
        <f>IF(J2632="","",Parametros!$B$6-J2632)</f>
        <v/>
      </c>
      <c r="P2632" s="5">
        <f>IF(O2632="","",IF(O2632&gt;0,1,0))</f>
        <v/>
      </c>
    </row>
    <row r="2633">
      <c r="A2633" s="5" t="n">
        <v>2111000000</v>
      </c>
      <c r="B2633" s="5" t="inlineStr">
        <is>
          <t>104059</t>
        </is>
      </c>
      <c r="C2633" s="5" t="inlineStr">
        <is>
          <t>MG SERVICOS E SAUDE LTDA 48515732000140</t>
        </is>
      </c>
      <c r="D2633" s="5" t="inlineStr">
        <is>
          <t>RE</t>
        </is>
      </c>
      <c r="E2633" s="5" t="n">
        <v>5015481</v>
      </c>
      <c r="F2633" s="5" t="inlineStr">
        <is>
          <t>25</t>
        </is>
      </c>
      <c r="G2633" s="5" t="inlineStr">
        <is>
          <t>BRL</t>
        </is>
      </c>
      <c r="H2633" s="9" t="n">
        <v>-50937.6</v>
      </c>
      <c r="I2633" s="16" t="n">
        <v>46247</v>
      </c>
      <c r="J2633" s="16" t="n">
        <v>46278</v>
      </c>
      <c r="K2633" s="5" t="inlineStr">
        <is>
          <t>Fatura - bruto MG SERVICOS E SAUDE LTDA 4851573200</t>
        </is>
      </c>
      <c r="L2633" s="5" t="inlineStr">
        <is>
          <t>09092026</t>
        </is>
      </c>
      <c r="M2633" s="5">
        <f>IF(YEAR(I2633)&lt;=2020,"Até 2020",TEXT(YEAR(I2633),"0"))</f>
        <v/>
      </c>
      <c r="N2633" s="5">
        <f>IFERROR(INDEX(DePara!$A:$A,MATCH(TEXT(B2633,"0"),DePara!$D:$D,0)),"(sem categoria)")</f>
        <v/>
      </c>
      <c r="O2633" s="5">
        <f>IF(J2633="","",Parametros!$B$6-J2633)</f>
        <v/>
      </c>
      <c r="P2633" s="5">
        <f>IF(O2633="","",IF(O2633&gt;0,1,0))</f>
        <v/>
      </c>
    </row>
    <row r="2634">
      <c r="A2634" s="5" t="n">
        <v>2111000000</v>
      </c>
      <c r="B2634" s="5" t="inlineStr">
        <is>
          <t>104059</t>
        </is>
      </c>
      <c r="C2634" s="5" t="inlineStr">
        <is>
          <t>MG SERVICOS E SAUDE LTDA 48515732000140</t>
        </is>
      </c>
      <c r="D2634" s="5" t="inlineStr">
        <is>
          <t>RE</t>
        </is>
      </c>
      <c r="E2634" s="5" t="n">
        <v>5015482</v>
      </c>
      <c r="F2634" s="5" t="inlineStr">
        <is>
          <t>22</t>
        </is>
      </c>
      <c r="G2634" s="5" t="inlineStr">
        <is>
          <t>BRL</t>
        </is>
      </c>
      <c r="H2634" s="9" t="n">
        <v>-1600.2</v>
      </c>
      <c r="I2634" s="16" t="n">
        <v>46247</v>
      </c>
      <c r="J2634" s="16" t="n">
        <v>46278</v>
      </c>
      <c r="K2634" s="5" t="inlineStr">
        <is>
          <t>Fatura - bruto MG SERVICOS E SAUDE LTDA 4851573200</t>
        </is>
      </c>
      <c r="L2634" s="5" t="inlineStr">
        <is>
          <t>09092026</t>
        </is>
      </c>
      <c r="M2634" s="5">
        <f>IF(YEAR(I2634)&lt;=2020,"Até 2020",TEXT(YEAR(I2634),"0"))</f>
        <v/>
      </c>
      <c r="N2634" s="5">
        <f>IFERROR(INDEX(DePara!$A:$A,MATCH(TEXT(B2634,"0"),DePara!$D:$D,0)),"(sem categoria)")</f>
        <v/>
      </c>
      <c r="O2634" s="5">
        <f>IF(J2634="","",Parametros!$B$6-J2634)</f>
        <v/>
      </c>
      <c r="P2634" s="5">
        <f>IF(O2634="","",IF(O2634&gt;0,1,0))</f>
        <v/>
      </c>
    </row>
    <row r="2635">
      <c r="A2635" s="5" t="n">
        <v>2111000000</v>
      </c>
      <c r="B2635" s="5" t="inlineStr">
        <is>
          <t>104059</t>
        </is>
      </c>
      <c r="C2635" s="5" t="inlineStr">
        <is>
          <t>MG SERVICOS E SAUDE LTDA 48515732000140</t>
        </is>
      </c>
      <c r="D2635" s="5" t="inlineStr">
        <is>
          <t>RE</t>
        </is>
      </c>
      <c r="E2635" s="5" t="n">
        <v>5015483</v>
      </c>
      <c r="F2635" s="5" t="inlineStr">
        <is>
          <t>23</t>
        </is>
      </c>
      <c r="G2635" s="5" t="inlineStr">
        <is>
          <t>BRL</t>
        </is>
      </c>
      <c r="H2635" s="9" t="n">
        <v>-1765.98</v>
      </c>
      <c r="I2635" s="16" t="n">
        <v>46247</v>
      </c>
      <c r="J2635" s="16" t="n">
        <v>46278</v>
      </c>
      <c r="K2635" s="5" t="inlineStr">
        <is>
          <t>Fatura - bruto MG SERVICOS E SAUDE LTDA 4851573200</t>
        </is>
      </c>
      <c r="L2635" s="5" t="inlineStr">
        <is>
          <t>09092026</t>
        </is>
      </c>
      <c r="M2635" s="5">
        <f>IF(YEAR(I2635)&lt;=2020,"Até 2020",TEXT(YEAR(I2635),"0"))</f>
        <v/>
      </c>
      <c r="N2635" s="5">
        <f>IFERROR(INDEX(DePara!$A:$A,MATCH(TEXT(B2635,"0"),DePara!$D:$D,0)),"(sem categoria)")</f>
        <v/>
      </c>
      <c r="O2635" s="5">
        <f>IF(J2635="","",Parametros!$B$6-J2635)</f>
        <v/>
      </c>
      <c r="P2635" s="5">
        <f>IF(O2635="","",IF(O2635&gt;0,1,0))</f>
        <v/>
      </c>
    </row>
    <row r="2636">
      <c r="A2636" s="5" t="n">
        <v>2111000000</v>
      </c>
      <c r="B2636" s="5" t="inlineStr">
        <is>
          <t>104059</t>
        </is>
      </c>
      <c r="C2636" s="5" t="inlineStr">
        <is>
          <t>MG SERVICOS E SAUDE LTDA 48515732000140</t>
        </is>
      </c>
      <c r="D2636" s="5" t="inlineStr">
        <is>
          <t>RE</t>
        </is>
      </c>
      <c r="E2636" s="5" t="n">
        <v>5015484</v>
      </c>
      <c r="F2636" s="5" t="inlineStr">
        <is>
          <t>957</t>
        </is>
      </c>
      <c r="G2636" s="5" t="inlineStr">
        <is>
          <t>BRL</t>
        </is>
      </c>
      <c r="H2636" s="9" t="n">
        <v>-26000</v>
      </c>
      <c r="I2636" s="16" t="n">
        <v>46247</v>
      </c>
      <c r="J2636" s="16" t="n">
        <v>46278</v>
      </c>
      <c r="K2636" s="5" t="inlineStr">
        <is>
          <t>Fatura - bruto MG SERVICOS E SAUDE LTDA 4851573200</t>
        </is>
      </c>
      <c r="L2636" s="5" t="inlineStr">
        <is>
          <t>09092026</t>
        </is>
      </c>
      <c r="M2636" s="5">
        <f>IF(YEAR(I2636)&lt;=2020,"Até 2020",TEXT(YEAR(I2636),"0"))</f>
        <v/>
      </c>
      <c r="N2636" s="5">
        <f>IFERROR(INDEX(DePara!$A:$A,MATCH(TEXT(B2636,"0"),DePara!$D:$D,0)),"(sem categoria)")</f>
        <v/>
      </c>
      <c r="O2636" s="5">
        <f>IF(J2636="","",Parametros!$B$6-J2636)</f>
        <v/>
      </c>
      <c r="P2636" s="5">
        <f>IF(O2636="","",IF(O2636&gt;0,1,0))</f>
        <v/>
      </c>
    </row>
    <row r="2637">
      <c r="A2637" s="5" t="n">
        <v>2111000000</v>
      </c>
      <c r="B2637" s="5" t="inlineStr">
        <is>
          <t>104059</t>
        </is>
      </c>
      <c r="C2637" s="5" t="inlineStr">
        <is>
          <t>MG SERVICOS E SAUDE LTDA 48515732000140</t>
        </is>
      </c>
      <c r="D2637" s="5" t="inlineStr">
        <is>
          <t>RE</t>
        </is>
      </c>
      <c r="E2637" s="5" t="n">
        <v>5015485</v>
      </c>
      <c r="F2637" s="5" t="inlineStr">
        <is>
          <t>24</t>
        </is>
      </c>
      <c r="G2637" s="5" t="inlineStr">
        <is>
          <t>BRL</t>
        </is>
      </c>
      <c r="H2637" s="9" t="n">
        <v>-9542.299999999999</v>
      </c>
      <c r="I2637" s="16" t="n">
        <v>46247</v>
      </c>
      <c r="J2637" s="16" t="n">
        <v>46278</v>
      </c>
      <c r="K2637" s="5" t="inlineStr">
        <is>
          <t>Fatura - bruto MG SERVICOS E SAUDE LTDA 4851573200</t>
        </is>
      </c>
      <c r="L2637" s="5" t="inlineStr">
        <is>
          <t>09092026</t>
        </is>
      </c>
      <c r="M2637" s="5">
        <f>IF(YEAR(I2637)&lt;=2020,"Até 2020",TEXT(YEAR(I2637),"0"))</f>
        <v/>
      </c>
      <c r="N2637" s="5">
        <f>IFERROR(INDEX(DePara!$A:$A,MATCH(TEXT(B2637,"0"),DePara!$D:$D,0)),"(sem categoria)")</f>
        <v/>
      </c>
      <c r="O2637" s="5">
        <f>IF(J2637="","",Parametros!$B$6-J2637)</f>
        <v/>
      </c>
      <c r="P2637" s="5">
        <f>IF(O2637="","",IF(O2637&gt;0,1,0))</f>
        <v/>
      </c>
    </row>
    <row r="2638">
      <c r="A2638" s="5" t="n">
        <v>2111000000</v>
      </c>
      <c r="B2638" s="5" t="inlineStr">
        <is>
          <t>101226</t>
        </is>
      </c>
      <c r="C2638" s="5" t="inlineStr">
        <is>
          <t>AL WIND SOLUCOES LTDA</t>
        </is>
      </c>
      <c r="D2638" s="5" t="inlineStr">
        <is>
          <t>RE</t>
        </is>
      </c>
      <c r="E2638" s="5" t="n">
        <v>5015486</v>
      </c>
      <c r="F2638" s="5" t="inlineStr">
        <is>
          <t>64</t>
        </is>
      </c>
      <c r="G2638" s="5" t="inlineStr">
        <is>
          <t>BRL</t>
        </is>
      </c>
      <c r="H2638" s="9" t="n">
        <v>-2125.01</v>
      </c>
      <c r="I2638" s="16" t="n">
        <v>46248</v>
      </c>
      <c r="J2638" s="16" t="n">
        <v>46278</v>
      </c>
      <c r="K2638" s="5" t="inlineStr">
        <is>
          <t>Fatura - bruto AL WIND SOLUCOES LTDA 64</t>
        </is>
      </c>
      <c r="L2638" s="5" t="inlineStr">
        <is>
          <t>09092026</t>
        </is>
      </c>
      <c r="M2638" s="5">
        <f>IF(YEAR(I2638)&lt;=2020,"Até 2020",TEXT(YEAR(I2638),"0"))</f>
        <v/>
      </c>
      <c r="N2638" s="5">
        <f>IFERROR(INDEX(DePara!$A:$A,MATCH(TEXT(B2638,"0"),DePara!$D:$D,0)),"(sem categoria)")</f>
        <v/>
      </c>
      <c r="O2638" s="5">
        <f>IF(J2638="","",Parametros!$B$6-J2638)</f>
        <v/>
      </c>
      <c r="P2638" s="5">
        <f>IF(O2638="","",IF(O2638&gt;0,1,0))</f>
        <v/>
      </c>
    </row>
    <row r="2639">
      <c r="A2639" s="5" t="n">
        <v>2111000000</v>
      </c>
      <c r="B2639" s="5" t="inlineStr">
        <is>
          <t>101508</t>
        </is>
      </c>
      <c r="C2639" s="5" t="inlineStr">
        <is>
          <t>RANDSTAD BRASIL RECURSOS HUMANOS LT</t>
        </is>
      </c>
      <c r="D2639" s="5" t="inlineStr">
        <is>
          <t>RE</t>
        </is>
      </c>
      <c r="E2639" s="5" t="n">
        <v>5015488</v>
      </c>
      <c r="F2639" s="5" t="inlineStr">
        <is>
          <t>256405</t>
        </is>
      </c>
      <c r="G2639" s="5" t="inlineStr">
        <is>
          <t>BRL</t>
        </is>
      </c>
      <c r="H2639" s="9" t="n">
        <v>-10458.59</v>
      </c>
      <c r="I2639" s="16" t="n">
        <v>46252</v>
      </c>
      <c r="J2639" s="16" t="n">
        <v>46282</v>
      </c>
      <c r="K2639" s="5" t="inlineStr">
        <is>
          <t>Fatura - bruto RANDSTAD BRASIL RECURSOS HUMANOS LT</t>
        </is>
      </c>
      <c r="L2639" s="5" t="inlineStr">
        <is>
          <t>16092026</t>
        </is>
      </c>
      <c r="M2639" s="5">
        <f>IF(YEAR(I2639)&lt;=2020,"Até 2020",TEXT(YEAR(I2639),"0"))</f>
        <v/>
      </c>
      <c r="N2639" s="5">
        <f>IFERROR(INDEX(DePara!$A:$A,MATCH(TEXT(B2639,"0"),DePara!$D:$D,0)),"(sem categoria)")</f>
        <v/>
      </c>
      <c r="O2639" s="5">
        <f>IF(J2639="","",Parametros!$B$6-J2639)</f>
        <v/>
      </c>
      <c r="P2639" s="5">
        <f>IF(O2639="","",IF(O2639&gt;0,1,0))</f>
        <v/>
      </c>
    </row>
    <row r="2640">
      <c r="A2640" s="5" t="n">
        <v>2111000000</v>
      </c>
      <c r="B2640" s="5" t="inlineStr">
        <is>
          <t>100883</t>
        </is>
      </c>
      <c r="C2640" s="5" t="inlineStr">
        <is>
          <t>QUELMAR TRANSPORTES LTDA</t>
        </is>
      </c>
      <c r="D2640" s="5" t="inlineStr">
        <is>
          <t>RE</t>
        </is>
      </c>
      <c r="E2640" s="5" t="n">
        <v>5015489</v>
      </c>
      <c r="F2640" s="5" t="inlineStr">
        <is>
          <t>6369-2</t>
        </is>
      </c>
      <c r="G2640" s="5" t="inlineStr">
        <is>
          <t>BRL</t>
        </is>
      </c>
      <c r="H2640" s="9" t="n">
        <v>-2400</v>
      </c>
      <c r="I2640" s="16" t="n">
        <v>46241</v>
      </c>
      <c r="J2640" s="16" t="n">
        <v>46300</v>
      </c>
      <c r="K2640" s="5" t="inlineStr">
        <is>
          <t>Fatura - bruto QUELMAR TRANSPORTES LTDA 6369-2</t>
        </is>
      </c>
      <c r="L2640" s="5" t="inlineStr">
        <is>
          <t>05102026</t>
        </is>
      </c>
      <c r="M2640" s="5">
        <f>IF(YEAR(I2640)&lt;=2020,"Até 2020",TEXT(YEAR(I2640),"0"))</f>
        <v/>
      </c>
      <c r="N2640" s="5">
        <f>IFERROR(INDEX(DePara!$A:$A,MATCH(TEXT(B2640,"0"),DePara!$D:$D,0)),"(sem categoria)")</f>
        <v/>
      </c>
      <c r="O2640" s="5">
        <f>IF(J2640="","",Parametros!$B$6-J2640)</f>
        <v/>
      </c>
      <c r="P2640" s="5">
        <f>IF(O2640="","",IF(O2640&gt;0,1,0))</f>
        <v/>
      </c>
    </row>
    <row r="2641">
      <c r="A2641" s="5" t="n">
        <v>2111000000</v>
      </c>
      <c r="B2641" s="5" t="inlineStr">
        <is>
          <t>100883</t>
        </is>
      </c>
      <c r="C2641" s="5" t="inlineStr">
        <is>
          <t>QUELMAR TRANSPORTES LTDA</t>
        </is>
      </c>
      <c r="D2641" s="5" t="inlineStr">
        <is>
          <t>RE</t>
        </is>
      </c>
      <c r="E2641" s="5" t="n">
        <v>5015490</v>
      </c>
      <c r="F2641" s="5" t="inlineStr">
        <is>
          <t>6350-2</t>
        </is>
      </c>
      <c r="G2641" s="5" t="inlineStr">
        <is>
          <t>BRL</t>
        </is>
      </c>
      <c r="H2641" s="9" t="n">
        <v>-3400</v>
      </c>
      <c r="I2641" s="16" t="n">
        <v>46239</v>
      </c>
      <c r="J2641" s="16" t="n">
        <v>46300</v>
      </c>
      <c r="K2641" s="5" t="inlineStr">
        <is>
          <t>Fatura - bruto QUELMAR TRANSPORTES LTDA 6350-2</t>
        </is>
      </c>
      <c r="L2641" s="5" t="inlineStr">
        <is>
          <t>05102026</t>
        </is>
      </c>
      <c r="M2641" s="5">
        <f>IF(YEAR(I2641)&lt;=2020,"Até 2020",TEXT(YEAR(I2641),"0"))</f>
        <v/>
      </c>
      <c r="N2641" s="5">
        <f>IFERROR(INDEX(DePara!$A:$A,MATCH(TEXT(B2641,"0"),DePara!$D:$D,0)),"(sem categoria)")</f>
        <v/>
      </c>
      <c r="O2641" s="5">
        <f>IF(J2641="","",Parametros!$B$6-J2641)</f>
        <v/>
      </c>
      <c r="P2641" s="5">
        <f>IF(O2641="","",IF(O2641&gt;0,1,0))</f>
        <v/>
      </c>
    </row>
    <row r="2642">
      <c r="A2642" s="5" t="n">
        <v>2111000000</v>
      </c>
      <c r="B2642" s="5" t="inlineStr">
        <is>
          <t>100883</t>
        </is>
      </c>
      <c r="C2642" s="5" t="inlineStr">
        <is>
          <t>QUELMAR TRANSPORTES LTDA</t>
        </is>
      </c>
      <c r="D2642" s="5" t="inlineStr">
        <is>
          <t>RE</t>
        </is>
      </c>
      <c r="E2642" s="5" t="n">
        <v>5015491</v>
      </c>
      <c r="F2642" s="5" t="inlineStr">
        <is>
          <t>6351-2</t>
        </is>
      </c>
      <c r="G2642" s="5" t="inlineStr">
        <is>
          <t>BRL</t>
        </is>
      </c>
      <c r="H2642" s="9" t="n">
        <v>-3980</v>
      </c>
      <c r="I2642" s="16" t="n">
        <v>46239</v>
      </c>
      <c r="J2642" s="16" t="n">
        <v>46300</v>
      </c>
      <c r="K2642" s="5" t="inlineStr">
        <is>
          <t>Fatura - bruto QUELMAR TRANSPORTES LTDA 6351-2</t>
        </is>
      </c>
      <c r="L2642" s="5" t="inlineStr">
        <is>
          <t>05102026</t>
        </is>
      </c>
      <c r="M2642" s="5">
        <f>IF(YEAR(I2642)&lt;=2020,"Até 2020",TEXT(YEAR(I2642),"0"))</f>
        <v/>
      </c>
      <c r="N2642" s="5">
        <f>IFERROR(INDEX(DePara!$A:$A,MATCH(TEXT(B2642,"0"),DePara!$D:$D,0)),"(sem categoria)")</f>
        <v/>
      </c>
      <c r="O2642" s="5">
        <f>IF(J2642="","",Parametros!$B$6-J2642)</f>
        <v/>
      </c>
      <c r="P2642" s="5">
        <f>IF(O2642="","",IF(O2642&gt;0,1,0))</f>
        <v/>
      </c>
    </row>
    <row r="2643">
      <c r="A2643" s="5" t="n">
        <v>2111000000</v>
      </c>
      <c r="B2643" s="5" t="inlineStr">
        <is>
          <t>100883</t>
        </is>
      </c>
      <c r="C2643" s="5" t="inlineStr">
        <is>
          <t>QUELMAR TRANSPORTES LTDA</t>
        </is>
      </c>
      <c r="D2643" s="5" t="inlineStr">
        <is>
          <t>RE</t>
        </is>
      </c>
      <c r="E2643" s="5" t="n">
        <v>5015492</v>
      </c>
      <c r="F2643" s="5" t="inlineStr">
        <is>
          <t>6384-2</t>
        </is>
      </c>
      <c r="G2643" s="5" t="inlineStr">
        <is>
          <t>BRL</t>
        </is>
      </c>
      <c r="H2643" s="9" t="n">
        <v>-3500</v>
      </c>
      <c r="I2643" s="16" t="n">
        <v>46245</v>
      </c>
      <c r="J2643" s="16" t="n">
        <v>46300</v>
      </c>
      <c r="K2643" s="5" t="inlineStr">
        <is>
          <t>Fatura - bruto QUELMAR TRANSPORTES LTDA 6384-2</t>
        </is>
      </c>
      <c r="L2643" s="5" t="inlineStr">
        <is>
          <t>05102026</t>
        </is>
      </c>
      <c r="M2643" s="5">
        <f>IF(YEAR(I2643)&lt;=2020,"Até 2020",TEXT(YEAR(I2643),"0"))</f>
        <v/>
      </c>
      <c r="N2643" s="5">
        <f>IFERROR(INDEX(DePara!$A:$A,MATCH(TEXT(B2643,"0"),DePara!$D:$D,0)),"(sem categoria)")</f>
        <v/>
      </c>
      <c r="O2643" s="5">
        <f>IF(J2643="","",Parametros!$B$6-J2643)</f>
        <v/>
      </c>
      <c r="P2643" s="5">
        <f>IF(O2643="","",IF(O2643&gt;0,1,0))</f>
        <v/>
      </c>
    </row>
    <row r="2644">
      <c r="A2644" s="5" t="n">
        <v>2111000000</v>
      </c>
      <c r="B2644" s="5" t="inlineStr">
        <is>
          <t>100883</t>
        </is>
      </c>
      <c r="C2644" s="5" t="inlineStr">
        <is>
          <t>QUELMAR TRANSPORTES LTDA</t>
        </is>
      </c>
      <c r="D2644" s="5" t="inlineStr">
        <is>
          <t>RE</t>
        </is>
      </c>
      <c r="E2644" s="5" t="n">
        <v>5015493</v>
      </c>
      <c r="F2644" s="5" t="inlineStr">
        <is>
          <t>108326-1</t>
        </is>
      </c>
      <c r="G2644" s="5" t="inlineStr">
        <is>
          <t>BRL</t>
        </is>
      </c>
      <c r="H2644" s="9" t="n">
        <v>-3590</v>
      </c>
      <c r="I2644" s="16" t="n">
        <v>46240</v>
      </c>
      <c r="J2644" s="16" t="n">
        <v>46300</v>
      </c>
      <c r="K2644" s="5" t="inlineStr">
        <is>
          <t>Fatura - bruto QUELMAR TRANSPORTES LTDA 108326-1</t>
        </is>
      </c>
      <c r="L2644" s="5" t="inlineStr">
        <is>
          <t>05102026</t>
        </is>
      </c>
      <c r="M2644" s="5">
        <f>IF(YEAR(I2644)&lt;=2020,"Até 2020",TEXT(YEAR(I2644),"0"))</f>
        <v/>
      </c>
      <c r="N2644" s="5">
        <f>IFERROR(INDEX(DePara!$A:$A,MATCH(TEXT(B2644,"0"),DePara!$D:$D,0)),"(sem categoria)")</f>
        <v/>
      </c>
      <c r="O2644" s="5">
        <f>IF(J2644="","",Parametros!$B$6-J2644)</f>
        <v/>
      </c>
      <c r="P2644" s="5">
        <f>IF(O2644="","",IF(O2644&gt;0,1,0))</f>
        <v/>
      </c>
    </row>
    <row r="2645">
      <c r="A2645" s="5" t="n">
        <v>2111000000</v>
      </c>
      <c r="B2645" s="5" t="inlineStr">
        <is>
          <t>100883</t>
        </is>
      </c>
      <c r="C2645" s="5" t="inlineStr">
        <is>
          <t>QUELMAR TRANSPORTES LTDA</t>
        </is>
      </c>
      <c r="D2645" s="5" t="inlineStr">
        <is>
          <t>RE</t>
        </is>
      </c>
      <c r="E2645" s="5" t="n">
        <v>5015494</v>
      </c>
      <c r="F2645" s="5" t="inlineStr">
        <is>
          <t>6386-2</t>
        </is>
      </c>
      <c r="G2645" s="5" t="inlineStr">
        <is>
          <t>BRL</t>
        </is>
      </c>
      <c r="H2645" s="9" t="n">
        <v>-3980</v>
      </c>
      <c r="I2645" s="16" t="n">
        <v>46245</v>
      </c>
      <c r="J2645" s="16" t="n">
        <v>46300</v>
      </c>
      <c r="K2645" s="5" t="inlineStr">
        <is>
          <t>Fatura - bruto QUELMAR TRANSPORTES LTDA 6386-2</t>
        </is>
      </c>
      <c r="L2645" s="5" t="inlineStr">
        <is>
          <t>05102026</t>
        </is>
      </c>
      <c r="M2645" s="5">
        <f>IF(YEAR(I2645)&lt;=2020,"Até 2020",TEXT(YEAR(I2645),"0"))</f>
        <v/>
      </c>
      <c r="N2645" s="5">
        <f>IFERROR(INDEX(DePara!$A:$A,MATCH(TEXT(B2645,"0"),DePara!$D:$D,0)),"(sem categoria)")</f>
        <v/>
      </c>
      <c r="O2645" s="5">
        <f>IF(J2645="","",Parametros!$B$6-J2645)</f>
        <v/>
      </c>
      <c r="P2645" s="5">
        <f>IF(O2645="","",IF(O2645&gt;0,1,0))</f>
        <v/>
      </c>
    </row>
    <row r="2646">
      <c r="A2646" s="5" t="n">
        <v>2111000000</v>
      </c>
      <c r="B2646" s="5" t="inlineStr">
        <is>
          <t>104059</t>
        </is>
      </c>
      <c r="C2646" s="5" t="inlineStr">
        <is>
          <t>MG SERVICOS E SAUDE LTDA 48515732000140</t>
        </is>
      </c>
      <c r="D2646" s="5" t="inlineStr">
        <is>
          <t>RE</t>
        </is>
      </c>
      <c r="E2646" s="5" t="n">
        <v>5015496</v>
      </c>
      <c r="F2646" s="5" t="inlineStr">
        <is>
          <t>28</t>
        </is>
      </c>
      <c r="G2646" s="5" t="inlineStr">
        <is>
          <t>BRL</t>
        </is>
      </c>
      <c r="H2646" s="9" t="n">
        <v>-5229.83</v>
      </c>
      <c r="I2646" s="16" t="n">
        <v>46247</v>
      </c>
      <c r="J2646" s="16" t="n">
        <v>46278</v>
      </c>
      <c r="K2646" s="5" t="inlineStr">
        <is>
          <t>Fatura - bruto MG SERVICOS E SAUDE LTDA 4851573200</t>
        </is>
      </c>
      <c r="L2646" s="5" t="inlineStr">
        <is>
          <t>09092026</t>
        </is>
      </c>
      <c r="M2646" s="5">
        <f>IF(YEAR(I2646)&lt;=2020,"Até 2020",TEXT(YEAR(I2646),"0"))</f>
        <v/>
      </c>
      <c r="N2646" s="5">
        <f>IFERROR(INDEX(DePara!$A:$A,MATCH(TEXT(B2646,"0"),DePara!$D:$D,0)),"(sem categoria)")</f>
        <v/>
      </c>
      <c r="O2646" s="5">
        <f>IF(J2646="","",Parametros!$B$6-J2646)</f>
        <v/>
      </c>
      <c r="P2646" s="5">
        <f>IF(O2646="","",IF(O2646&gt;0,1,0))</f>
        <v/>
      </c>
    </row>
    <row r="2647">
      <c r="A2647" s="5" t="n">
        <v>2111000000</v>
      </c>
      <c r="B2647" s="5" t="inlineStr">
        <is>
          <t>103767</t>
        </is>
      </c>
      <c r="C2647" s="5" t="inlineStr">
        <is>
          <t>ROBERT HALF TRABALHO TEMPORARIO</t>
        </is>
      </c>
      <c r="D2647" s="5" t="inlineStr">
        <is>
          <t>RE</t>
        </is>
      </c>
      <c r="E2647" s="5" t="n">
        <v>5015498</v>
      </c>
      <c r="F2647" s="5" t="inlineStr">
        <is>
          <t>84047</t>
        </is>
      </c>
      <c r="G2647" s="5" t="inlineStr">
        <is>
          <t>BRL</t>
        </is>
      </c>
      <c r="H2647" s="9" t="n">
        <v>-24273.92</v>
      </c>
      <c r="I2647" s="16" t="n">
        <v>46248</v>
      </c>
      <c r="J2647" s="16" t="n">
        <v>46278</v>
      </c>
      <c r="K2647" s="5" t="inlineStr">
        <is>
          <t>GILMAR SOARES ANTUNES - 06/2026</t>
        </is>
      </c>
      <c r="L2647" s="5" t="inlineStr">
        <is>
          <t>09092026</t>
        </is>
      </c>
      <c r="M2647" s="5">
        <f>IF(YEAR(I2647)&lt;=2020,"Até 2020",TEXT(YEAR(I2647),"0"))</f>
        <v/>
      </c>
      <c r="N2647" s="5">
        <f>IFERROR(INDEX(DePara!$A:$A,MATCH(TEXT(B2647,"0"),DePara!$D:$D,0)),"(sem categoria)")</f>
        <v/>
      </c>
      <c r="O2647" s="5">
        <f>IF(J2647="","",Parametros!$B$6-J2647)</f>
        <v/>
      </c>
      <c r="P2647" s="5">
        <f>IF(O2647="","",IF(O2647&gt;0,1,0))</f>
        <v/>
      </c>
    </row>
    <row r="2648">
      <c r="A2648" s="5" t="n">
        <v>2111000000</v>
      </c>
      <c r="B2648" s="5" t="inlineStr">
        <is>
          <t>103767</t>
        </is>
      </c>
      <c r="C2648" s="5" t="inlineStr">
        <is>
          <t>ROBERT HALF TRABALHO TEMPORARIO</t>
        </is>
      </c>
      <c r="D2648" s="5" t="inlineStr">
        <is>
          <t>RE</t>
        </is>
      </c>
      <c r="E2648" s="5" t="n">
        <v>5015499</v>
      </c>
      <c r="F2648" s="5" t="inlineStr">
        <is>
          <t>84045</t>
        </is>
      </c>
      <c r="G2648" s="5" t="inlineStr">
        <is>
          <t>BRL</t>
        </is>
      </c>
      <c r="H2648" s="9" t="n">
        <v>-25775.39</v>
      </c>
      <c r="I2648" s="16" t="n">
        <v>46248</v>
      </c>
      <c r="J2648" s="16" t="n">
        <v>46278</v>
      </c>
      <c r="K2648" s="5" t="inlineStr">
        <is>
          <t>GILMAR SOARES ANTUNES - 07/2026</t>
        </is>
      </c>
      <c r="L2648" s="5" t="inlineStr">
        <is>
          <t>09092026</t>
        </is>
      </c>
      <c r="M2648" s="5">
        <f>IF(YEAR(I2648)&lt;=2020,"Até 2020",TEXT(YEAR(I2648),"0"))</f>
        <v/>
      </c>
      <c r="N2648" s="5">
        <f>IFERROR(INDEX(DePara!$A:$A,MATCH(TEXT(B2648,"0"),DePara!$D:$D,0)),"(sem categoria)")</f>
        <v/>
      </c>
      <c r="O2648" s="5">
        <f>IF(J2648="","",Parametros!$B$6-J2648)</f>
        <v/>
      </c>
      <c r="P2648" s="5">
        <f>IF(O2648="","",IF(O2648&gt;0,1,0))</f>
        <v/>
      </c>
    </row>
    <row r="2649">
      <c r="A2649" s="5" t="n">
        <v>2111000000</v>
      </c>
      <c r="B2649" s="5" t="inlineStr">
        <is>
          <t>103767</t>
        </is>
      </c>
      <c r="C2649" s="5" t="inlineStr">
        <is>
          <t>ROBERT HALF TRABALHO TEMPORARIO</t>
        </is>
      </c>
      <c r="D2649" s="5" t="inlineStr">
        <is>
          <t>RE</t>
        </is>
      </c>
      <c r="E2649" s="5" t="n">
        <v>5015500</v>
      </c>
      <c r="F2649" s="5" t="inlineStr">
        <is>
          <t>84046</t>
        </is>
      </c>
      <c r="G2649" s="5" t="inlineStr">
        <is>
          <t>BRL</t>
        </is>
      </c>
      <c r="H2649" s="9" t="n">
        <v>-17472.68</v>
      </c>
      <c r="I2649" s="16" t="n">
        <v>46248</v>
      </c>
      <c r="J2649" s="16" t="n">
        <v>46278</v>
      </c>
      <c r="K2649" s="5" t="inlineStr">
        <is>
          <t>MARCELO SILVA SANTANA - 06/2026</t>
        </is>
      </c>
      <c r="L2649" s="5" t="inlineStr">
        <is>
          <t>09092026</t>
        </is>
      </c>
      <c r="M2649" s="5">
        <f>IF(YEAR(I2649)&lt;=2020,"Até 2020",TEXT(YEAR(I2649),"0"))</f>
        <v/>
      </c>
      <c r="N2649" s="5">
        <f>IFERROR(INDEX(DePara!$A:$A,MATCH(TEXT(B2649,"0"),DePara!$D:$D,0)),"(sem categoria)")</f>
        <v/>
      </c>
      <c r="O2649" s="5">
        <f>IF(J2649="","",Parametros!$B$6-J2649)</f>
        <v/>
      </c>
      <c r="P2649" s="5">
        <f>IF(O2649="","",IF(O2649&gt;0,1,0))</f>
        <v/>
      </c>
    </row>
    <row r="2650">
      <c r="A2650" s="5" t="n">
        <v>2111000000</v>
      </c>
      <c r="B2650" s="5" t="inlineStr">
        <is>
          <t>100883</t>
        </is>
      </c>
      <c r="C2650" s="5" t="inlineStr">
        <is>
          <t>QUELMAR TRANSPORTES LTDA</t>
        </is>
      </c>
      <c r="D2650" s="5" t="inlineStr">
        <is>
          <t>RE</t>
        </is>
      </c>
      <c r="E2650" s="5" t="n">
        <v>5015501</v>
      </c>
      <c r="F2650" s="5" t="inlineStr">
        <is>
          <t>6352-2</t>
        </is>
      </c>
      <c r="G2650" s="5" t="inlineStr">
        <is>
          <t>BRL</t>
        </is>
      </c>
      <c r="H2650" s="9" t="n">
        <v>-3560</v>
      </c>
      <c r="I2650" s="16" t="n">
        <v>46239</v>
      </c>
      <c r="J2650" s="16" t="n">
        <v>46300</v>
      </c>
      <c r="K2650" s="5" t="inlineStr">
        <is>
          <t>Fatura - bruto QUELMAR TRANSPORTES LTDA 6352-2</t>
        </is>
      </c>
      <c r="L2650" s="5" t="inlineStr">
        <is>
          <t>05102026</t>
        </is>
      </c>
      <c r="M2650" s="5">
        <f>IF(YEAR(I2650)&lt;=2020,"Até 2020",TEXT(YEAR(I2650),"0"))</f>
        <v/>
      </c>
      <c r="N2650" s="5">
        <f>IFERROR(INDEX(DePara!$A:$A,MATCH(TEXT(B2650,"0"),DePara!$D:$D,0)),"(sem categoria)")</f>
        <v/>
      </c>
      <c r="O2650" s="5">
        <f>IF(J2650="","",Parametros!$B$6-J2650)</f>
        <v/>
      </c>
      <c r="P2650" s="5">
        <f>IF(O2650="","",IF(O2650&gt;0,1,0))</f>
        <v/>
      </c>
    </row>
    <row r="2651">
      <c r="A2651" s="5" t="n">
        <v>2111000000</v>
      </c>
      <c r="B2651" s="5" t="inlineStr">
        <is>
          <t>100883</t>
        </is>
      </c>
      <c r="C2651" s="5" t="inlineStr">
        <is>
          <t>QUELMAR TRANSPORTES LTDA</t>
        </is>
      </c>
      <c r="D2651" s="5" t="inlineStr">
        <is>
          <t>RE</t>
        </is>
      </c>
      <c r="E2651" s="5" t="n">
        <v>5015502</v>
      </c>
      <c r="F2651" s="5" t="inlineStr">
        <is>
          <t>6338-2</t>
        </is>
      </c>
      <c r="G2651" s="5" t="inlineStr">
        <is>
          <t>BRL</t>
        </is>
      </c>
      <c r="H2651" s="9" t="n">
        <v>-6800</v>
      </c>
      <c r="I2651" s="16" t="n">
        <v>46238</v>
      </c>
      <c r="J2651" s="16" t="n">
        <v>46300</v>
      </c>
      <c r="K2651" s="5" t="inlineStr">
        <is>
          <t>Fatura - bruto QUELMAR TRANSPORTES LTDA 6338-2</t>
        </is>
      </c>
      <c r="L2651" s="5" t="inlineStr">
        <is>
          <t>05102026</t>
        </is>
      </c>
      <c r="M2651" s="5">
        <f>IF(YEAR(I2651)&lt;=2020,"Até 2020",TEXT(YEAR(I2651),"0"))</f>
        <v/>
      </c>
      <c r="N2651" s="5">
        <f>IFERROR(INDEX(DePara!$A:$A,MATCH(TEXT(B2651,"0"),DePara!$D:$D,0)),"(sem categoria)")</f>
        <v/>
      </c>
      <c r="O2651" s="5">
        <f>IF(J2651="","",Parametros!$B$6-J2651)</f>
        <v/>
      </c>
      <c r="P2651" s="5">
        <f>IF(O2651="","",IF(O2651&gt;0,1,0))</f>
        <v/>
      </c>
    </row>
    <row r="2652">
      <c r="A2652" s="5" t="n">
        <v>2111000000</v>
      </c>
      <c r="B2652" s="5" t="inlineStr">
        <is>
          <t>100883</t>
        </is>
      </c>
      <c r="C2652" s="5" t="inlineStr">
        <is>
          <t>QUELMAR TRANSPORTES LTDA</t>
        </is>
      </c>
      <c r="D2652" s="5" t="inlineStr">
        <is>
          <t>RE</t>
        </is>
      </c>
      <c r="E2652" s="5" t="n">
        <v>5015503</v>
      </c>
      <c r="F2652" s="5" t="inlineStr">
        <is>
          <t>6370-2</t>
        </is>
      </c>
      <c r="G2652" s="5" t="inlineStr">
        <is>
          <t>BRL</t>
        </is>
      </c>
      <c r="H2652" s="9" t="n">
        <v>-3420</v>
      </c>
      <c r="I2652" s="16" t="n">
        <v>46241</v>
      </c>
      <c r="J2652" s="16" t="n">
        <v>46300</v>
      </c>
      <c r="K2652" s="5" t="inlineStr">
        <is>
          <t>Fatura - bruto QUELMAR TRANSPORTES LTDA 6370-2</t>
        </is>
      </c>
      <c r="L2652" s="5" t="inlineStr">
        <is>
          <t>05102026</t>
        </is>
      </c>
      <c r="M2652" s="5">
        <f>IF(YEAR(I2652)&lt;=2020,"Até 2020",TEXT(YEAR(I2652),"0"))</f>
        <v/>
      </c>
      <c r="N2652" s="5">
        <f>IFERROR(INDEX(DePara!$A:$A,MATCH(TEXT(B2652,"0"),DePara!$D:$D,0)),"(sem categoria)")</f>
        <v/>
      </c>
      <c r="O2652" s="5">
        <f>IF(J2652="","",Parametros!$B$6-J2652)</f>
        <v/>
      </c>
      <c r="P2652" s="5">
        <f>IF(O2652="","",IF(O2652&gt;0,1,0))</f>
        <v/>
      </c>
    </row>
    <row r="2653">
      <c r="A2653" s="5" t="n">
        <v>2111000000</v>
      </c>
      <c r="B2653" s="5" t="inlineStr">
        <is>
          <t>100883</t>
        </is>
      </c>
      <c r="C2653" s="5" t="inlineStr">
        <is>
          <t>QUELMAR TRANSPORTES LTDA</t>
        </is>
      </c>
      <c r="D2653" s="5" t="inlineStr">
        <is>
          <t>RE</t>
        </is>
      </c>
      <c r="E2653" s="5" t="n">
        <v>5015504</v>
      </c>
      <c r="F2653" s="5" t="inlineStr">
        <is>
          <t>6349-2</t>
        </is>
      </c>
      <c r="G2653" s="5" t="inlineStr">
        <is>
          <t>BRL</t>
        </is>
      </c>
      <c r="H2653" s="9" t="n">
        <v>-3930</v>
      </c>
      <c r="I2653" s="16" t="n">
        <v>46239</v>
      </c>
      <c r="J2653" s="16" t="n">
        <v>46300</v>
      </c>
      <c r="K2653" s="5" t="inlineStr">
        <is>
          <t>Fatura - bruto QUELMAR TRANSPORTES LTDA 6349-2</t>
        </is>
      </c>
      <c r="L2653" s="5" t="inlineStr">
        <is>
          <t>05102026</t>
        </is>
      </c>
      <c r="M2653" s="5">
        <f>IF(YEAR(I2653)&lt;=2020,"Até 2020",TEXT(YEAR(I2653),"0"))</f>
        <v/>
      </c>
      <c r="N2653" s="5">
        <f>IFERROR(INDEX(DePara!$A:$A,MATCH(TEXT(B2653,"0"),DePara!$D:$D,0)),"(sem categoria)")</f>
        <v/>
      </c>
      <c r="O2653" s="5">
        <f>IF(J2653="","",Parametros!$B$6-J2653)</f>
        <v/>
      </c>
      <c r="P2653" s="5">
        <f>IF(O2653="","",IF(O2653&gt;0,1,0))</f>
        <v/>
      </c>
    </row>
    <row r="2654">
      <c r="A2654" s="5" t="n">
        <v>2111000000</v>
      </c>
      <c r="B2654" s="5" t="inlineStr">
        <is>
          <t>100883</t>
        </is>
      </c>
      <c r="C2654" s="5" t="inlineStr">
        <is>
          <t>QUELMAR TRANSPORTES LTDA</t>
        </is>
      </c>
      <c r="D2654" s="5" t="inlineStr">
        <is>
          <t>RE</t>
        </is>
      </c>
      <c r="E2654" s="5" t="n">
        <v>5015505</v>
      </c>
      <c r="F2654" s="5" t="inlineStr">
        <is>
          <t>6377-2</t>
        </is>
      </c>
      <c r="G2654" s="5" t="inlineStr">
        <is>
          <t>BRL</t>
        </is>
      </c>
      <c r="H2654" s="9" t="n">
        <v>-1850</v>
      </c>
      <c r="I2654" s="16" t="n">
        <v>46245</v>
      </c>
      <c r="J2654" s="16" t="n">
        <v>46300</v>
      </c>
      <c r="K2654" s="5" t="inlineStr">
        <is>
          <t>Fatura - bruto QUELMAR TRANSPORTES LTDA 6377-2</t>
        </is>
      </c>
      <c r="L2654" s="5" t="inlineStr">
        <is>
          <t>05102026</t>
        </is>
      </c>
      <c r="M2654" s="5">
        <f>IF(YEAR(I2654)&lt;=2020,"Até 2020",TEXT(YEAR(I2654),"0"))</f>
        <v/>
      </c>
      <c r="N2654" s="5">
        <f>IFERROR(INDEX(DePara!$A:$A,MATCH(TEXT(B2654,"0"),DePara!$D:$D,0)),"(sem categoria)")</f>
        <v/>
      </c>
      <c r="O2654" s="5">
        <f>IF(J2654="","",Parametros!$B$6-J2654)</f>
        <v/>
      </c>
      <c r="P2654" s="5">
        <f>IF(O2654="","",IF(O2654&gt;0,1,0))</f>
        <v/>
      </c>
    </row>
    <row r="2655">
      <c r="A2655" s="5" t="n">
        <v>2111000000</v>
      </c>
      <c r="B2655" s="5" t="inlineStr">
        <is>
          <t>101470</t>
        </is>
      </c>
      <c r="C2655" s="5" t="inlineStr">
        <is>
          <t>CRIL EMPREENDIMENTO AMBIENTAL LTDA</t>
        </is>
      </c>
      <c r="D2655" s="5" t="inlineStr">
        <is>
          <t>RE</t>
        </is>
      </c>
      <c r="E2655" s="5" t="n">
        <v>5015506</v>
      </c>
      <c r="F2655" s="5" t="inlineStr">
        <is>
          <t>1045</t>
        </is>
      </c>
      <c r="G2655" s="5" t="inlineStr">
        <is>
          <t>BRL</t>
        </is>
      </c>
      <c r="H2655" s="9" t="n">
        <v>-2366.67</v>
      </c>
      <c r="I2655" s="16" t="n">
        <v>46251</v>
      </c>
      <c r="J2655" s="16" t="n">
        <v>46281</v>
      </c>
      <c r="K2655" s="5" t="inlineStr">
        <is>
          <t>Fatura - bruto CRIL EMPREENDIMENTO AMBIENTAL LTDA</t>
        </is>
      </c>
      <c r="L2655" s="5" t="inlineStr">
        <is>
          <t>16092026</t>
        </is>
      </c>
      <c r="M2655" s="5">
        <f>IF(YEAR(I2655)&lt;=2020,"Até 2020",TEXT(YEAR(I2655),"0"))</f>
        <v/>
      </c>
      <c r="N2655" s="5">
        <f>IFERROR(INDEX(DePara!$A:$A,MATCH(TEXT(B2655,"0"),DePara!$D:$D,0)),"(sem categoria)")</f>
        <v/>
      </c>
      <c r="O2655" s="5">
        <f>IF(J2655="","",Parametros!$B$6-J2655)</f>
        <v/>
      </c>
      <c r="P2655" s="5">
        <f>IF(O2655="","",IF(O2655&gt;0,1,0))</f>
        <v/>
      </c>
    </row>
    <row r="2656">
      <c r="A2656" s="5" t="n">
        <v>2111000000</v>
      </c>
      <c r="B2656" s="5" t="inlineStr">
        <is>
          <t>101470</t>
        </is>
      </c>
      <c r="C2656" s="5" t="inlineStr">
        <is>
          <t>CRIL EMPREENDIMENTO AMBIENTAL LTDA</t>
        </is>
      </c>
      <c r="D2656" s="5" t="inlineStr">
        <is>
          <t>RE</t>
        </is>
      </c>
      <c r="E2656" s="5" t="n">
        <v>5015507</v>
      </c>
      <c r="F2656" s="5" t="inlineStr">
        <is>
          <t>166007</t>
        </is>
      </c>
      <c r="G2656" s="5" t="inlineStr">
        <is>
          <t>BRL</t>
        </is>
      </c>
      <c r="H2656" s="9" t="n">
        <v>-10545</v>
      </c>
      <c r="I2656" s="16" t="n">
        <v>46251</v>
      </c>
      <c r="J2656" s="16" t="n">
        <v>46281</v>
      </c>
      <c r="K2656" s="5" t="inlineStr">
        <is>
          <t>Fatura - bruto CRIL EMPREENDIMENTO AMBIENTAL LTDA</t>
        </is>
      </c>
      <c r="L2656" s="5" t="inlineStr">
        <is>
          <t>16092026</t>
        </is>
      </c>
      <c r="M2656" s="5">
        <f>IF(YEAR(I2656)&lt;=2020,"Até 2020",TEXT(YEAR(I2656),"0"))</f>
        <v/>
      </c>
      <c r="N2656" s="5">
        <f>IFERROR(INDEX(DePara!$A:$A,MATCH(TEXT(B2656,"0"),DePara!$D:$D,0)),"(sem categoria)")</f>
        <v/>
      </c>
      <c r="O2656" s="5">
        <f>IF(J2656="","",Parametros!$B$6-J2656)</f>
        <v/>
      </c>
      <c r="P2656" s="5">
        <f>IF(O2656="","",IF(O2656&gt;0,1,0))</f>
        <v/>
      </c>
    </row>
    <row r="2657">
      <c r="A2657" s="5" t="n">
        <v>2111000000</v>
      </c>
      <c r="B2657" s="5" t="inlineStr">
        <is>
          <t>101470</t>
        </is>
      </c>
      <c r="C2657" s="5" t="inlineStr">
        <is>
          <t>CRIL EMPREENDIMENTO AMBIENTAL LTDA</t>
        </is>
      </c>
      <c r="D2657" s="5" t="inlineStr">
        <is>
          <t>RE</t>
        </is>
      </c>
      <c r="E2657" s="5" t="n">
        <v>5015508</v>
      </c>
      <c r="F2657" s="5" t="inlineStr">
        <is>
          <t>166006</t>
        </is>
      </c>
      <c r="G2657" s="5" t="inlineStr">
        <is>
          <t>BRL</t>
        </is>
      </c>
      <c r="H2657" s="9" t="n">
        <v>-4065.25</v>
      </c>
      <c r="I2657" s="16" t="n">
        <v>46251</v>
      </c>
      <c r="J2657" s="16" t="n">
        <v>46281</v>
      </c>
      <c r="K2657" s="5" t="inlineStr">
        <is>
          <t>Fatura - bruto CRIL EMPREENDIMENTO AMBIENTAL LTDA</t>
        </is>
      </c>
      <c r="L2657" s="5" t="inlineStr">
        <is>
          <t>16092026</t>
        </is>
      </c>
      <c r="M2657" s="5">
        <f>IF(YEAR(I2657)&lt;=2020,"Até 2020",TEXT(YEAR(I2657),"0"))</f>
        <v/>
      </c>
      <c r="N2657" s="5">
        <f>IFERROR(INDEX(DePara!$A:$A,MATCH(TEXT(B2657,"0"),DePara!$D:$D,0)),"(sem categoria)")</f>
        <v/>
      </c>
      <c r="O2657" s="5">
        <f>IF(J2657="","",Parametros!$B$6-J2657)</f>
        <v/>
      </c>
      <c r="P2657" s="5">
        <f>IF(O2657="","",IF(O2657&gt;0,1,0))</f>
        <v/>
      </c>
    </row>
    <row r="2658">
      <c r="A2658" s="5" t="n">
        <v>2111000000</v>
      </c>
      <c r="B2658" s="5" t="inlineStr">
        <is>
          <t>104143</t>
        </is>
      </c>
      <c r="C2658" s="5" t="inlineStr">
        <is>
          <t>H K ABDOUNI INSPECOES LTDA 10620234000195</t>
        </is>
      </c>
      <c r="D2658" s="5" t="inlineStr">
        <is>
          <t>RE</t>
        </is>
      </c>
      <c r="E2658" s="5" t="n">
        <v>5015509</v>
      </c>
      <c r="F2658" s="5" t="inlineStr">
        <is>
          <t>393</t>
        </is>
      </c>
      <c r="G2658" s="5" t="inlineStr">
        <is>
          <t>BRL</t>
        </is>
      </c>
      <c r="H2658" s="9" t="n">
        <v>-91052.08</v>
      </c>
      <c r="I2658" s="16" t="n">
        <v>46252</v>
      </c>
      <c r="J2658" s="16" t="n">
        <v>46332</v>
      </c>
      <c r="K2658" s="5" t="inlineStr">
        <is>
          <t>Fatura - bruto H K ABDOUNI INSPECOES LTDA 10620234</t>
        </is>
      </c>
      <c r="L2658" s="5" t="inlineStr">
        <is>
          <t>05112026</t>
        </is>
      </c>
      <c r="M2658" s="5">
        <f>IF(YEAR(I2658)&lt;=2020,"Até 2020",TEXT(YEAR(I2658),"0"))</f>
        <v/>
      </c>
      <c r="N2658" s="5">
        <f>IFERROR(INDEX(DePara!$A:$A,MATCH(TEXT(B2658,"0"),DePara!$D:$D,0)),"(sem categoria)")</f>
        <v/>
      </c>
      <c r="O2658" s="5">
        <f>IF(J2658="","",Parametros!$B$6-J2658)</f>
        <v/>
      </c>
      <c r="P2658" s="5">
        <f>IF(O2658="","",IF(O2658&gt;0,1,0))</f>
        <v/>
      </c>
    </row>
    <row r="2659">
      <c r="A2659" s="5" t="n">
        <v>2111000000</v>
      </c>
      <c r="B2659" s="5" t="inlineStr">
        <is>
          <t>100031</t>
        </is>
      </c>
      <c r="C2659" s="5" t="inlineStr">
        <is>
          <t>MEGAWIND INDUSTRIA E COMERCIO</t>
        </is>
      </c>
      <c r="D2659" s="5" t="inlineStr">
        <is>
          <t>RE</t>
        </is>
      </c>
      <c r="E2659" s="5" t="n">
        <v>5015510</v>
      </c>
      <c r="F2659" s="5" t="inlineStr">
        <is>
          <t>1477</t>
        </is>
      </c>
      <c r="G2659" s="5" t="inlineStr">
        <is>
          <t>BRL</t>
        </is>
      </c>
      <c r="H2659" s="9" t="n">
        <v>-66359.09</v>
      </c>
      <c r="I2659" s="16" t="n">
        <v>46253</v>
      </c>
      <c r="J2659" s="16" t="n">
        <v>46300</v>
      </c>
      <c r="K2659" s="5" t="inlineStr">
        <is>
          <t>Fatura - bruto MEGAWIND INDUSTRIA E COMERCIO 1477</t>
        </is>
      </c>
      <c r="L2659" s="5" t="inlineStr">
        <is>
          <t>05102026</t>
        </is>
      </c>
      <c r="M2659" s="5">
        <f>IF(YEAR(I2659)&lt;=2020,"Até 2020",TEXT(YEAR(I2659),"0"))</f>
        <v/>
      </c>
      <c r="N2659" s="5">
        <f>IFERROR(INDEX(DePara!$A:$A,MATCH(TEXT(B2659,"0"),DePara!$D:$D,0)),"(sem categoria)")</f>
        <v/>
      </c>
      <c r="O2659" s="5">
        <f>IF(J2659="","",Parametros!$B$6-J2659)</f>
        <v/>
      </c>
      <c r="P2659" s="5">
        <f>IF(O2659="","",IF(O2659&gt;0,1,0))</f>
        <v/>
      </c>
    </row>
    <row r="2660">
      <c r="A2660" s="5" t="n">
        <v>2111000000</v>
      </c>
      <c r="B2660" s="5" t="inlineStr">
        <is>
          <t>101775</t>
        </is>
      </c>
      <c r="C2660" s="5" t="inlineStr">
        <is>
          <t>SOUSATEC.NET LTDA  ME</t>
        </is>
      </c>
      <c r="D2660" s="5" t="inlineStr">
        <is>
          <t>RE</t>
        </is>
      </c>
      <c r="E2660" s="5" t="n">
        <v>5015511</v>
      </c>
      <c r="F2660" s="5" t="inlineStr">
        <is>
          <t>253</t>
        </is>
      </c>
      <c r="G2660" s="5" t="inlineStr">
        <is>
          <t>BRL</t>
        </is>
      </c>
      <c r="H2660" s="9" t="n">
        <v>-1250</v>
      </c>
      <c r="I2660" s="16" t="n">
        <v>46239</v>
      </c>
      <c r="J2660" s="16" t="n">
        <v>46269</v>
      </c>
      <c r="K2660" s="5" t="inlineStr">
        <is>
          <t>Fatura - bruto SOUSATEC.NET LTDA  ME 253</t>
        </is>
      </c>
      <c r="L2660" s="5" t="inlineStr">
        <is>
          <t>02092026</t>
        </is>
      </c>
      <c r="M2660" s="5">
        <f>IF(YEAR(I2660)&lt;=2020,"Até 2020",TEXT(YEAR(I2660),"0"))</f>
        <v/>
      </c>
      <c r="N2660" s="5">
        <f>IFERROR(INDEX(DePara!$A:$A,MATCH(TEXT(B2660,"0"),DePara!$D:$D,0)),"(sem categoria)")</f>
        <v/>
      </c>
      <c r="O2660" s="5">
        <f>IF(J2660="","",Parametros!$B$6-J2660)</f>
        <v/>
      </c>
      <c r="P2660" s="5">
        <f>IF(O2660="","",IF(O2660&gt;0,1,0))</f>
        <v/>
      </c>
    </row>
    <row r="2661">
      <c r="A2661" s="5" t="n">
        <v>2111000000</v>
      </c>
      <c r="B2661" s="5" t="inlineStr">
        <is>
          <t>100883</t>
        </is>
      </c>
      <c r="C2661" s="5" t="inlineStr">
        <is>
          <t>QUELMAR TRANSPORTES LTDA</t>
        </is>
      </c>
      <c r="D2661" s="5" t="inlineStr">
        <is>
          <t>RE</t>
        </is>
      </c>
      <c r="E2661" s="5" t="n">
        <v>5015512</v>
      </c>
      <c r="F2661" s="5" t="inlineStr">
        <is>
          <t>6363-2</t>
        </is>
      </c>
      <c r="G2661" s="5" t="inlineStr">
        <is>
          <t>BRL</t>
        </is>
      </c>
      <c r="H2661" s="9" t="n">
        <v>-3740</v>
      </c>
      <c r="I2661" s="16" t="n">
        <v>46241</v>
      </c>
      <c r="J2661" s="16" t="n">
        <v>46300</v>
      </c>
      <c r="K2661" s="5" t="inlineStr">
        <is>
          <t>Fatura - bruto QUELMAR TRANSPORTES LTDA 6363-2</t>
        </is>
      </c>
      <c r="L2661" s="5" t="inlineStr">
        <is>
          <t>05102026</t>
        </is>
      </c>
      <c r="M2661" s="5">
        <f>IF(YEAR(I2661)&lt;=2020,"Até 2020",TEXT(YEAR(I2661),"0"))</f>
        <v/>
      </c>
      <c r="N2661" s="5">
        <f>IFERROR(INDEX(DePara!$A:$A,MATCH(TEXT(B2661,"0"),DePara!$D:$D,0)),"(sem categoria)")</f>
        <v/>
      </c>
      <c r="O2661" s="5">
        <f>IF(J2661="","",Parametros!$B$6-J2661)</f>
        <v/>
      </c>
      <c r="P2661" s="5">
        <f>IF(O2661="","",IF(O2661&gt;0,1,0))</f>
        <v/>
      </c>
    </row>
    <row r="2662">
      <c r="A2662" s="5" t="n">
        <v>2111000000</v>
      </c>
      <c r="B2662" s="5" t="inlineStr">
        <is>
          <t>100883</t>
        </is>
      </c>
      <c r="C2662" s="5" t="inlineStr">
        <is>
          <t>QUELMAR TRANSPORTES LTDA</t>
        </is>
      </c>
      <c r="D2662" s="5" t="inlineStr">
        <is>
          <t>RE</t>
        </is>
      </c>
      <c r="E2662" s="5" t="n">
        <v>5015513</v>
      </c>
      <c r="F2662" s="5" t="inlineStr">
        <is>
          <t>6364-2</t>
        </is>
      </c>
      <c r="G2662" s="5" t="inlineStr">
        <is>
          <t>BRL</t>
        </is>
      </c>
      <c r="H2662" s="9" t="n">
        <v>-3740</v>
      </c>
      <c r="I2662" s="16" t="n">
        <v>46241</v>
      </c>
      <c r="J2662" s="16" t="n">
        <v>46300</v>
      </c>
      <c r="K2662" s="5" t="inlineStr">
        <is>
          <t>Fatura - bruto QUELMAR TRANSPORTES LTDA 6364-2</t>
        </is>
      </c>
      <c r="L2662" s="5" t="inlineStr">
        <is>
          <t>05102026</t>
        </is>
      </c>
      <c r="M2662" s="5">
        <f>IF(YEAR(I2662)&lt;=2020,"Até 2020",TEXT(YEAR(I2662),"0"))</f>
        <v/>
      </c>
      <c r="N2662" s="5">
        <f>IFERROR(INDEX(DePara!$A:$A,MATCH(TEXT(B2662,"0"),DePara!$D:$D,0)),"(sem categoria)")</f>
        <v/>
      </c>
      <c r="O2662" s="5">
        <f>IF(J2662="","",Parametros!$B$6-J2662)</f>
        <v/>
      </c>
      <c r="P2662" s="5">
        <f>IF(O2662="","",IF(O2662&gt;0,1,0))</f>
        <v/>
      </c>
    </row>
    <row r="2663">
      <c r="A2663" s="5" t="n">
        <v>2111000000</v>
      </c>
      <c r="B2663" s="5" t="inlineStr">
        <is>
          <t>100450</t>
        </is>
      </c>
      <c r="C2663" s="5" t="inlineStr">
        <is>
          <t>SAMLIFE MSC LTDA</t>
        </is>
      </c>
      <c r="D2663" s="5" t="inlineStr">
        <is>
          <t>RE</t>
        </is>
      </c>
      <c r="E2663" s="5" t="n">
        <v>5015514</v>
      </c>
      <c r="F2663" s="5" t="inlineStr">
        <is>
          <t>866</t>
        </is>
      </c>
      <c r="G2663" s="5" t="inlineStr">
        <is>
          <t>BRL</t>
        </is>
      </c>
      <c r="H2663" s="9" t="n">
        <v>-17852.21</v>
      </c>
      <c r="I2663" s="16" t="n">
        <v>46248</v>
      </c>
      <c r="J2663" s="16" t="n">
        <v>46270</v>
      </c>
      <c r="K2663" s="5" t="inlineStr">
        <is>
          <t>Fatura - bruto SAMLIFE MSC LTDA 866</t>
        </is>
      </c>
      <c r="L2663" s="5" t="inlineStr">
        <is>
          <t>08092026</t>
        </is>
      </c>
      <c r="M2663" s="5">
        <f>IF(YEAR(I2663)&lt;=2020,"Até 2020",TEXT(YEAR(I2663),"0"))</f>
        <v/>
      </c>
      <c r="N2663" s="5">
        <f>IFERROR(INDEX(DePara!$A:$A,MATCH(TEXT(B2663,"0"),DePara!$D:$D,0)),"(sem categoria)")</f>
        <v/>
      </c>
      <c r="O2663" s="5">
        <f>IF(J2663="","",Parametros!$B$6-J2663)</f>
        <v/>
      </c>
      <c r="P2663" s="5">
        <f>IF(O2663="","",IF(O2663&gt;0,1,0))</f>
        <v/>
      </c>
    </row>
    <row r="2664">
      <c r="A2664" s="5" t="n">
        <v>2111000000</v>
      </c>
      <c r="B2664" s="5" t="inlineStr">
        <is>
          <t>100883</t>
        </is>
      </c>
      <c r="C2664" s="5" t="inlineStr">
        <is>
          <t>QUELMAR TRANSPORTES LTDA</t>
        </is>
      </c>
      <c r="D2664" s="5" t="inlineStr">
        <is>
          <t>RE</t>
        </is>
      </c>
      <c r="E2664" s="5" t="n">
        <v>5015515</v>
      </c>
      <c r="F2664" s="5" t="inlineStr">
        <is>
          <t>6368-2</t>
        </is>
      </c>
      <c r="G2664" s="5" t="inlineStr">
        <is>
          <t>BRL</t>
        </is>
      </c>
      <c r="H2664" s="9" t="n">
        <v>-3970</v>
      </c>
      <c r="I2664" s="16" t="n">
        <v>46241</v>
      </c>
      <c r="J2664" s="16" t="n">
        <v>46300</v>
      </c>
      <c r="K2664" s="5" t="inlineStr">
        <is>
          <t>Fatura - bruto QUELMAR TRANSPORTES LTDA 6368-2</t>
        </is>
      </c>
      <c r="L2664" s="5" t="inlineStr">
        <is>
          <t>05102026</t>
        </is>
      </c>
      <c r="M2664" s="5">
        <f>IF(YEAR(I2664)&lt;=2020,"Até 2020",TEXT(YEAR(I2664),"0"))</f>
        <v/>
      </c>
      <c r="N2664" s="5">
        <f>IFERROR(INDEX(DePara!$A:$A,MATCH(TEXT(B2664,"0"),DePara!$D:$D,0)),"(sem categoria)")</f>
        <v/>
      </c>
      <c r="O2664" s="5">
        <f>IF(J2664="","",Parametros!$B$6-J2664)</f>
        <v/>
      </c>
      <c r="P2664" s="5">
        <f>IF(O2664="","",IF(O2664&gt;0,1,0))</f>
        <v/>
      </c>
    </row>
    <row r="2665">
      <c r="A2665" s="5" t="n">
        <v>2111000000</v>
      </c>
      <c r="B2665" s="5" t="inlineStr">
        <is>
          <t>100883</t>
        </is>
      </c>
      <c r="C2665" s="5" t="inlineStr">
        <is>
          <t>QUELMAR TRANSPORTES LTDA</t>
        </is>
      </c>
      <c r="D2665" s="5" t="inlineStr">
        <is>
          <t>RE</t>
        </is>
      </c>
      <c r="E2665" s="5" t="n">
        <v>5015516</v>
      </c>
      <c r="F2665" s="5" t="inlineStr">
        <is>
          <t>6366-2</t>
        </is>
      </c>
      <c r="G2665" s="5" t="inlineStr">
        <is>
          <t>BRL</t>
        </is>
      </c>
      <c r="H2665" s="9" t="n">
        <v>-3980</v>
      </c>
      <c r="I2665" s="16" t="n">
        <v>46241</v>
      </c>
      <c r="J2665" s="16" t="n">
        <v>46300</v>
      </c>
      <c r="K2665" s="5" t="inlineStr">
        <is>
          <t>Fatura - bruto QUELMAR TRANSPORTES LTDA 6366-2</t>
        </is>
      </c>
      <c r="L2665" s="5" t="inlineStr">
        <is>
          <t>05102026</t>
        </is>
      </c>
      <c r="M2665" s="5">
        <f>IF(YEAR(I2665)&lt;=2020,"Até 2020",TEXT(YEAR(I2665),"0"))</f>
        <v/>
      </c>
      <c r="N2665" s="5">
        <f>IFERROR(INDEX(DePara!$A:$A,MATCH(TEXT(B2665,"0"),DePara!$D:$D,0)),"(sem categoria)")</f>
        <v/>
      </c>
      <c r="O2665" s="5">
        <f>IF(J2665="","",Parametros!$B$6-J2665)</f>
        <v/>
      </c>
      <c r="P2665" s="5">
        <f>IF(O2665="","",IF(O2665&gt;0,1,0))</f>
        <v/>
      </c>
    </row>
    <row r="2666">
      <c r="A2666" s="5" t="n">
        <v>2111000000</v>
      </c>
      <c r="B2666" s="5" t="inlineStr">
        <is>
          <t>100883</t>
        </is>
      </c>
      <c r="C2666" s="5" t="inlineStr">
        <is>
          <t>QUELMAR TRANSPORTES LTDA</t>
        </is>
      </c>
      <c r="D2666" s="5" t="inlineStr">
        <is>
          <t>RE</t>
        </is>
      </c>
      <c r="E2666" s="5" t="n">
        <v>5015517</v>
      </c>
      <c r="F2666" s="5" t="inlineStr">
        <is>
          <t>6367-2</t>
        </is>
      </c>
      <c r="G2666" s="5" t="inlineStr">
        <is>
          <t>BRL</t>
        </is>
      </c>
      <c r="H2666" s="9" t="n">
        <v>-5720</v>
      </c>
      <c r="I2666" s="16" t="n">
        <v>46241</v>
      </c>
      <c r="J2666" s="16" t="n">
        <v>46300</v>
      </c>
      <c r="K2666" s="5" t="inlineStr">
        <is>
          <t>Fatura - bruto QUELMAR TRANSPORTES LTDA 6367-2</t>
        </is>
      </c>
      <c r="L2666" s="5" t="inlineStr">
        <is>
          <t>05102026</t>
        </is>
      </c>
      <c r="M2666" s="5">
        <f>IF(YEAR(I2666)&lt;=2020,"Até 2020",TEXT(YEAR(I2666),"0"))</f>
        <v/>
      </c>
      <c r="N2666" s="5">
        <f>IFERROR(INDEX(DePara!$A:$A,MATCH(TEXT(B2666,"0"),DePara!$D:$D,0)),"(sem categoria)")</f>
        <v/>
      </c>
      <c r="O2666" s="5">
        <f>IF(J2666="","",Parametros!$B$6-J2666)</f>
        <v/>
      </c>
      <c r="P2666" s="5">
        <f>IF(O2666="","",IF(O2666&gt;0,1,0))</f>
        <v/>
      </c>
    </row>
    <row r="2667">
      <c r="A2667" s="5" t="n">
        <v>2111000000</v>
      </c>
      <c r="B2667" s="5" t="inlineStr">
        <is>
          <t>101726</t>
        </is>
      </c>
      <c r="C2667" s="5" t="inlineStr">
        <is>
          <t>TRANSFORTECH ENGENHARIA LTDA</t>
        </is>
      </c>
      <c r="D2667" s="5" t="inlineStr">
        <is>
          <t>RE</t>
        </is>
      </c>
      <c r="E2667" s="5" t="n">
        <v>5015518</v>
      </c>
      <c r="F2667" s="5" t="inlineStr">
        <is>
          <t>9162</t>
        </is>
      </c>
      <c r="G2667" s="5" t="inlineStr">
        <is>
          <t>BRL</t>
        </is>
      </c>
      <c r="H2667" s="9" t="n">
        <v>-34710</v>
      </c>
      <c r="I2667" s="16" t="n">
        <v>46252</v>
      </c>
      <c r="J2667" s="16" t="n">
        <v>46267</v>
      </c>
      <c r="K2667" s="5" t="inlineStr">
        <is>
          <t>Fatura - bruto TRANSFORTECH ENGENHARIA LTDA 9162</t>
        </is>
      </c>
      <c r="L2667" s="5" t="inlineStr">
        <is>
          <t>02092026</t>
        </is>
      </c>
      <c r="M2667" s="5">
        <f>IF(YEAR(I2667)&lt;=2020,"Até 2020",TEXT(YEAR(I2667),"0"))</f>
        <v/>
      </c>
      <c r="N2667" s="5">
        <f>IFERROR(INDEX(DePara!$A:$A,MATCH(TEXT(B2667,"0"),DePara!$D:$D,0)),"(sem categoria)")</f>
        <v/>
      </c>
      <c r="O2667" s="5">
        <f>IF(J2667="","",Parametros!$B$6-J2667)</f>
        <v/>
      </c>
      <c r="P2667" s="5">
        <f>IF(O2667="","",IF(O2667&gt;0,1,0))</f>
        <v/>
      </c>
    </row>
    <row r="2668">
      <c r="A2668" s="5" t="n">
        <v>2111000000</v>
      </c>
      <c r="B2668" s="5" t="inlineStr">
        <is>
          <t>100883</t>
        </is>
      </c>
      <c r="C2668" s="5" t="inlineStr">
        <is>
          <t>QUELMAR TRANSPORTES LTDA</t>
        </is>
      </c>
      <c r="D2668" s="5" t="inlineStr">
        <is>
          <t>RE</t>
        </is>
      </c>
      <c r="E2668" s="5" t="n">
        <v>5015519</v>
      </c>
      <c r="F2668" s="5" t="inlineStr">
        <is>
          <t>6362-2</t>
        </is>
      </c>
      <c r="G2668" s="5" t="inlineStr">
        <is>
          <t>BRL</t>
        </is>
      </c>
      <c r="H2668" s="9" t="n">
        <v>-5800</v>
      </c>
      <c r="I2668" s="16" t="n">
        <v>46241</v>
      </c>
      <c r="J2668" s="16" t="n">
        <v>46300</v>
      </c>
      <c r="K2668" s="5" t="inlineStr">
        <is>
          <t>Fatura - bruto QUELMAR TRANSPORTES LTDA 6362-2</t>
        </is>
      </c>
      <c r="L2668" s="5" t="inlineStr">
        <is>
          <t>05102026</t>
        </is>
      </c>
      <c r="M2668" s="5">
        <f>IF(YEAR(I2668)&lt;=2020,"Até 2020",TEXT(YEAR(I2668),"0"))</f>
        <v/>
      </c>
      <c r="N2668" s="5">
        <f>IFERROR(INDEX(DePara!$A:$A,MATCH(TEXT(B2668,"0"),DePara!$D:$D,0)),"(sem categoria)")</f>
        <v/>
      </c>
      <c r="O2668" s="5">
        <f>IF(J2668="","",Parametros!$B$6-J2668)</f>
        <v/>
      </c>
      <c r="P2668" s="5">
        <f>IF(O2668="","",IF(O2668&gt;0,1,0))</f>
        <v/>
      </c>
    </row>
    <row r="2669">
      <c r="A2669" s="5" t="n">
        <v>2111000000</v>
      </c>
      <c r="B2669" s="5" t="inlineStr">
        <is>
          <t>100031</t>
        </is>
      </c>
      <c r="C2669" s="5" t="inlineStr">
        <is>
          <t>MEGAWIND INDUSTRIA E COMERCIO</t>
        </is>
      </c>
      <c r="D2669" s="5" t="inlineStr">
        <is>
          <t>RE</t>
        </is>
      </c>
      <c r="E2669" s="5" t="n">
        <v>5015520</v>
      </c>
      <c r="F2669" s="5" t="inlineStr">
        <is>
          <t>1469</t>
        </is>
      </c>
      <c r="G2669" s="5" t="inlineStr">
        <is>
          <t>BRL</t>
        </is>
      </c>
      <c r="H2669" s="9" t="n">
        <v>-44000</v>
      </c>
      <c r="I2669" s="16" t="n">
        <v>46252</v>
      </c>
      <c r="J2669" s="16" t="n">
        <v>46300</v>
      </c>
      <c r="K2669" s="5" t="inlineStr">
        <is>
          <t>Fatura - bruto MEGAWIND INDUSTRIA E COMERCIO 1469</t>
        </is>
      </c>
      <c r="L2669" s="5" t="inlineStr">
        <is>
          <t>05102026</t>
        </is>
      </c>
      <c r="M2669" s="5">
        <f>IF(YEAR(I2669)&lt;=2020,"Até 2020",TEXT(YEAR(I2669),"0"))</f>
        <v/>
      </c>
      <c r="N2669" s="5">
        <f>IFERROR(INDEX(DePara!$A:$A,MATCH(TEXT(B2669,"0"),DePara!$D:$D,0)),"(sem categoria)")</f>
        <v/>
      </c>
      <c r="O2669" s="5">
        <f>IF(J2669="","",Parametros!$B$6-J2669)</f>
        <v/>
      </c>
      <c r="P2669" s="5">
        <f>IF(O2669="","",IF(O2669&gt;0,1,0))</f>
        <v/>
      </c>
    </row>
    <row r="2670">
      <c r="A2670" s="5" t="n">
        <v>2111000000</v>
      </c>
      <c r="B2670" s="5" t="inlineStr">
        <is>
          <t>101869</t>
        </is>
      </c>
      <c r="C2670" s="5" t="inlineStr">
        <is>
          <t>ASSOCIACAO BRASILEIRA DA IND DE MAQ</t>
        </is>
      </c>
      <c r="D2670" s="5" t="inlineStr">
        <is>
          <t>KR</t>
        </is>
      </c>
      <c r="E2670" s="5" t="n">
        <v>5015521</v>
      </c>
      <c r="F2670" s="5" t="inlineStr">
        <is>
          <t>227249 1</t>
        </is>
      </c>
      <c r="G2670" s="5" t="inlineStr">
        <is>
          <t>BRL</t>
        </is>
      </c>
      <c r="H2670" s="9" t="n">
        <v>-3121.67</v>
      </c>
      <c r="I2670" s="16" t="n">
        <v>46244</v>
      </c>
      <c r="J2670" s="16" t="n">
        <v>46275</v>
      </c>
      <c r="K2670" s="5" t="inlineStr">
        <is>
          <t>*00190000090281228600900075581173515650000312167</t>
        </is>
      </c>
      <c r="L2670" s="5" t="inlineStr">
        <is>
          <t>09092026</t>
        </is>
      </c>
      <c r="M2670" s="5">
        <f>IF(YEAR(I2670)&lt;=2020,"Até 2020",TEXT(YEAR(I2670),"0"))</f>
        <v/>
      </c>
      <c r="N2670" s="5">
        <f>IFERROR(INDEX(DePara!$A:$A,MATCH(TEXT(B2670,"0"),DePara!$D:$D,0)),"(sem categoria)")</f>
        <v/>
      </c>
      <c r="O2670" s="5">
        <f>IF(J2670="","",Parametros!$B$6-J2670)</f>
        <v/>
      </c>
      <c r="P2670" s="5">
        <f>IF(O2670="","",IF(O2670&gt;0,1,0))</f>
        <v/>
      </c>
    </row>
    <row r="2671">
      <c r="A2671" s="5" t="n">
        <v>2111000000</v>
      </c>
      <c r="B2671" s="5" t="inlineStr">
        <is>
          <t>100994</t>
        </is>
      </c>
      <c r="C2671" s="5" t="inlineStr">
        <is>
          <t>P W TREINAMENTO E CAPACITACOES LTDA</t>
        </is>
      </c>
      <c r="D2671" s="5" t="inlineStr">
        <is>
          <t>RE</t>
        </is>
      </c>
      <c r="E2671" s="5" t="n">
        <v>5015522</v>
      </c>
      <c r="F2671" s="5" t="inlineStr">
        <is>
          <t>148</t>
        </is>
      </c>
      <c r="G2671" s="5" t="inlineStr">
        <is>
          <t>BRL</t>
        </is>
      </c>
      <c r="H2671" s="9" t="n">
        <v>-10665</v>
      </c>
      <c r="I2671" s="16" t="n">
        <v>46246</v>
      </c>
      <c r="J2671" s="16" t="n">
        <v>46277</v>
      </c>
      <c r="K2671" s="5" t="inlineStr">
        <is>
          <t>Fatura - bruto P W TREINAMENTO E CAPACITACOES LTDA</t>
        </is>
      </c>
      <c r="L2671" s="5" t="inlineStr">
        <is>
          <t>09092026</t>
        </is>
      </c>
      <c r="M2671" s="5">
        <f>IF(YEAR(I2671)&lt;=2020,"Até 2020",TEXT(YEAR(I2671),"0"))</f>
        <v/>
      </c>
      <c r="N2671" s="5">
        <f>IFERROR(INDEX(DePara!$A:$A,MATCH(TEXT(B2671,"0"),DePara!$D:$D,0)),"(sem categoria)")</f>
        <v/>
      </c>
      <c r="O2671" s="5">
        <f>IF(J2671="","",Parametros!$B$6-J2671)</f>
        <v/>
      </c>
      <c r="P2671" s="5">
        <f>IF(O2671="","",IF(O2671&gt;0,1,0))</f>
        <v/>
      </c>
    </row>
    <row r="2672">
      <c r="A2672" s="5" t="n">
        <v>2111000000</v>
      </c>
      <c r="B2672" s="5" t="inlineStr">
        <is>
          <t>101463</t>
        </is>
      </c>
      <c r="C2672" s="5" t="inlineStr">
        <is>
          <t>ZURICH MINAS BRASIL SEGUROS S A</t>
        </is>
      </c>
      <c r="D2672" s="5" t="inlineStr">
        <is>
          <t>RE</t>
        </is>
      </c>
      <c r="E2672" s="5" t="n">
        <v>5015523</v>
      </c>
      <c r="F2672" s="5" t="inlineStr">
        <is>
          <t>0409/26</t>
        </is>
      </c>
      <c r="G2672" s="5" t="inlineStr">
        <is>
          <t>BRL</t>
        </is>
      </c>
      <c r="H2672" s="9" t="n">
        <v>-61.3</v>
      </c>
      <c r="I2672" s="16" t="n">
        <v>46253</v>
      </c>
      <c r="J2672" s="16" t="n">
        <v>46283</v>
      </c>
      <c r="K2672" s="5" t="inlineStr">
        <is>
          <t>Invoice Payment. SP: 21719</t>
        </is>
      </c>
      <c r="L2672" s="5" t="inlineStr">
        <is>
          <t>0409/26</t>
        </is>
      </c>
      <c r="M2672" s="5">
        <f>IF(YEAR(I2672)&lt;=2020,"Até 2020",TEXT(YEAR(I2672),"0"))</f>
        <v/>
      </c>
      <c r="N2672" s="5">
        <f>IFERROR(INDEX(DePara!$A:$A,MATCH(TEXT(B2672,"0"),DePara!$D:$D,0)),"(sem categoria)")</f>
        <v/>
      </c>
      <c r="O2672" s="5">
        <f>IF(J2672="","",Parametros!$B$6-J2672)</f>
        <v/>
      </c>
      <c r="P2672" s="5">
        <f>IF(O2672="","",IF(O2672&gt;0,1,0))</f>
        <v/>
      </c>
    </row>
    <row r="2673">
      <c r="A2673" s="5" t="n">
        <v>2111000000</v>
      </c>
      <c r="B2673" s="5" t="inlineStr">
        <is>
          <t>101982</t>
        </is>
      </c>
      <c r="C2673" s="5" t="inlineStr">
        <is>
          <t>NEW ENERGY TECH LTDA</t>
        </is>
      </c>
      <c r="D2673" s="5" t="inlineStr">
        <is>
          <t>RE</t>
        </is>
      </c>
      <c r="E2673" s="5" t="n">
        <v>5015524</v>
      </c>
      <c r="F2673" s="5" t="inlineStr">
        <is>
          <t>90</t>
        </is>
      </c>
      <c r="G2673" s="5" t="inlineStr">
        <is>
          <t>BRL</t>
        </is>
      </c>
      <c r="H2673" s="9" t="n">
        <v>-94800</v>
      </c>
      <c r="I2673" s="16" t="n">
        <v>46251</v>
      </c>
      <c r="J2673" s="16" t="n">
        <v>46300</v>
      </c>
      <c r="K2673" s="5" t="inlineStr">
        <is>
          <t>Fatura - bruto NEW ENERGY TECH LTDA 90</t>
        </is>
      </c>
      <c r="L2673" s="5" t="inlineStr">
        <is>
          <t>05102026</t>
        </is>
      </c>
      <c r="M2673" s="5">
        <f>IF(YEAR(I2673)&lt;=2020,"Até 2020",TEXT(YEAR(I2673),"0"))</f>
        <v/>
      </c>
      <c r="N2673" s="5">
        <f>IFERROR(INDEX(DePara!$A:$A,MATCH(TEXT(B2673,"0"),DePara!$D:$D,0)),"(sem categoria)")</f>
        <v/>
      </c>
      <c r="O2673" s="5">
        <f>IF(J2673="","",Parametros!$B$6-J2673)</f>
        <v/>
      </c>
      <c r="P2673" s="5">
        <f>IF(O2673="","",IF(O2673&gt;0,1,0))</f>
        <v/>
      </c>
    </row>
    <row r="2674">
      <c r="A2674" s="5" t="n">
        <v>2111000000</v>
      </c>
      <c r="B2674" s="5" t="inlineStr">
        <is>
          <t>101552</t>
        </is>
      </c>
      <c r="C2674" s="5" t="inlineStr">
        <is>
          <t>KUEHNENAGEL SERVICOS LOGISTICOS LTD</t>
        </is>
      </c>
      <c r="D2674" s="5" t="inlineStr">
        <is>
          <t>KR</t>
        </is>
      </c>
      <c r="E2674" s="5" t="n">
        <v>5015529</v>
      </c>
      <c r="F2674" s="5" t="inlineStr">
        <is>
          <t>FA50324B</t>
        </is>
      </c>
      <c r="G2674" s="5" t="inlineStr">
        <is>
          <t>BRL</t>
        </is>
      </c>
      <c r="H2674" s="9" t="n">
        <v>-8982.17</v>
      </c>
      <c r="I2674" s="16" t="n">
        <v>45763</v>
      </c>
      <c r="J2674" s="16" t="n">
        <v>45813</v>
      </c>
      <c r="K2674" s="5" t="inlineStr">
        <is>
          <t>Fatura do fornecedor KUEHNENAGEL SERVICOS LOGISTIC</t>
        </is>
      </c>
      <c r="L2674" s="5" t="inlineStr">
        <is>
          <t>ESTORNAR</t>
        </is>
      </c>
      <c r="M2674" s="5">
        <f>IF(YEAR(I2674)&lt;=2020,"Até 2020",TEXT(YEAR(I2674),"0"))</f>
        <v/>
      </c>
      <c r="N2674" s="5">
        <f>IFERROR(INDEX(DePara!$A:$A,MATCH(TEXT(B2674,"0"),DePara!$D:$D,0)),"(sem categoria)")</f>
        <v/>
      </c>
      <c r="O2674" s="5">
        <f>IF(J2674="","",Parametros!$B$6-J2674)</f>
        <v/>
      </c>
      <c r="P2674" s="5">
        <f>IF(O2674="","",IF(O2674&gt;0,1,0))</f>
        <v/>
      </c>
    </row>
    <row r="2675">
      <c r="A2675" s="5" t="n">
        <v>2111000000</v>
      </c>
      <c r="B2675" s="5" t="inlineStr">
        <is>
          <t>101048</t>
        </is>
      </c>
      <c r="C2675" s="5" t="inlineStr">
        <is>
          <t>M R DE MEDEIROS</t>
        </is>
      </c>
      <c r="D2675" s="5" t="inlineStr">
        <is>
          <t>RE</t>
        </is>
      </c>
      <c r="E2675" s="5" t="n">
        <v>5015530</v>
      </c>
      <c r="F2675" s="5" t="inlineStr">
        <is>
          <t>2638-1</t>
        </is>
      </c>
      <c r="G2675" s="5" t="inlineStr">
        <is>
          <t>BRL</t>
        </is>
      </c>
      <c r="H2675" s="9" t="n">
        <v>-5460.1</v>
      </c>
      <c r="I2675" s="16" t="n">
        <v>46252</v>
      </c>
      <c r="J2675" s="16" t="n">
        <v>46267</v>
      </c>
      <c r="K2675" s="5" t="inlineStr">
        <is>
          <t>Fatura - bruto M R DE MEDEIROS 2638-1</t>
        </is>
      </c>
      <c r="L2675" s="5" t="inlineStr">
        <is>
          <t>02092026</t>
        </is>
      </c>
      <c r="M2675" s="5">
        <f>IF(YEAR(I2675)&lt;=2020,"Até 2020",TEXT(YEAR(I2675),"0"))</f>
        <v/>
      </c>
      <c r="N2675" s="5">
        <f>IFERROR(INDEX(DePara!$A:$A,MATCH(TEXT(B2675,"0"),DePara!$D:$D,0)),"(sem categoria)")</f>
        <v/>
      </c>
      <c r="O2675" s="5">
        <f>IF(J2675="","",Parametros!$B$6-J2675)</f>
        <v/>
      </c>
      <c r="P2675" s="5">
        <f>IF(O2675="","",IF(O2675&gt;0,1,0))</f>
        <v/>
      </c>
    </row>
    <row r="2676">
      <c r="A2676" s="5" t="n">
        <v>2111000000</v>
      </c>
      <c r="B2676" s="5" t="inlineStr">
        <is>
          <t>101463</t>
        </is>
      </c>
      <c r="C2676" s="5" t="inlineStr">
        <is>
          <t>ZURICH MINAS BRASIL SEGUROS S A</t>
        </is>
      </c>
      <c r="D2676" s="5" t="inlineStr">
        <is>
          <t>RE</t>
        </is>
      </c>
      <c r="E2676" s="5" t="n">
        <v>5015531</v>
      </c>
      <c r="F2676" s="5" t="inlineStr">
        <is>
          <t>0477/26</t>
        </is>
      </c>
      <c r="G2676" s="5" t="inlineStr">
        <is>
          <t>BRL</t>
        </is>
      </c>
      <c r="H2676" s="9" t="n">
        <v>-48.22</v>
      </c>
      <c r="I2676" s="16" t="n">
        <v>46253</v>
      </c>
      <c r="J2676" s="16" t="n">
        <v>46283</v>
      </c>
      <c r="K2676" s="5" t="inlineStr">
        <is>
          <t>Invoice Payment. SP: 21721</t>
        </is>
      </c>
      <c r="L2676" s="5" t="inlineStr">
        <is>
          <t>0477/26</t>
        </is>
      </c>
      <c r="M2676" s="5">
        <f>IF(YEAR(I2676)&lt;=2020,"Até 2020",TEXT(YEAR(I2676),"0"))</f>
        <v/>
      </c>
      <c r="N2676" s="5">
        <f>IFERROR(INDEX(DePara!$A:$A,MATCH(TEXT(B2676,"0"),DePara!$D:$D,0)),"(sem categoria)")</f>
        <v/>
      </c>
      <c r="O2676" s="5">
        <f>IF(J2676="","",Parametros!$B$6-J2676)</f>
        <v/>
      </c>
      <c r="P2676" s="5">
        <f>IF(O2676="","",IF(O2676&gt;0,1,0))</f>
        <v/>
      </c>
    </row>
    <row r="2677">
      <c r="A2677" s="5" t="n">
        <v>2111000000</v>
      </c>
      <c r="B2677" s="5" t="inlineStr">
        <is>
          <t>101340</t>
        </is>
      </c>
      <c r="C2677" s="5" t="inlineStr">
        <is>
          <t>ALS TRIBOLOGY BRASIL ANALISE DE FLU</t>
        </is>
      </c>
      <c r="D2677" s="5" t="inlineStr">
        <is>
          <t>RE</t>
        </is>
      </c>
      <c r="E2677" s="5" t="n">
        <v>5015533</v>
      </c>
      <c r="F2677" s="5" t="inlineStr">
        <is>
          <t>2743</t>
        </is>
      </c>
      <c r="G2677" s="5" t="inlineStr">
        <is>
          <t>BRL</t>
        </is>
      </c>
      <c r="H2677" s="9" t="n">
        <v>-83.5</v>
      </c>
      <c r="I2677" s="16" t="n">
        <v>46253</v>
      </c>
      <c r="J2677" s="16" t="n">
        <v>46281</v>
      </c>
      <c r="K2677" s="5" t="inlineStr">
        <is>
          <t>Fatura - bruto ALS TRIBOLOGY BRASIL ANALISE DE FLU</t>
        </is>
      </c>
      <c r="L2677" s="5" t="inlineStr">
        <is>
          <t>16092026</t>
        </is>
      </c>
      <c r="M2677" s="5">
        <f>IF(YEAR(I2677)&lt;=2020,"Até 2020",TEXT(YEAR(I2677),"0"))</f>
        <v/>
      </c>
      <c r="N2677" s="5">
        <f>IFERROR(INDEX(DePara!$A:$A,MATCH(TEXT(B2677,"0"),DePara!$D:$D,0)),"(sem categoria)")</f>
        <v/>
      </c>
      <c r="O2677" s="5">
        <f>IF(J2677="","",Parametros!$B$6-J2677)</f>
        <v/>
      </c>
      <c r="P2677" s="5">
        <f>IF(O2677="","",IF(O2677&gt;0,1,0))</f>
        <v/>
      </c>
    </row>
    <row r="2678">
      <c r="A2678" s="5" t="n">
        <v>2111000000</v>
      </c>
      <c r="B2678" s="5" t="inlineStr">
        <is>
          <t>100883</t>
        </is>
      </c>
      <c r="C2678" s="5" t="inlineStr">
        <is>
          <t>QUELMAR TRANSPORTES LTDA</t>
        </is>
      </c>
      <c r="D2678" s="5" t="inlineStr">
        <is>
          <t>RE</t>
        </is>
      </c>
      <c r="E2678" s="5" t="n">
        <v>5015534</v>
      </c>
      <c r="F2678" s="5" t="inlineStr">
        <is>
          <t>6413-2</t>
        </is>
      </c>
      <c r="G2678" s="5" t="inlineStr">
        <is>
          <t>BRL</t>
        </is>
      </c>
      <c r="H2678" s="9" t="n">
        <v>-1490</v>
      </c>
      <c r="I2678" s="16" t="n">
        <v>46252</v>
      </c>
      <c r="J2678" s="16" t="n">
        <v>46300</v>
      </c>
      <c r="K2678" s="5" t="inlineStr">
        <is>
          <t>Fatura - bruto QUELMAR TRANSPORTES LTDA 6413-2</t>
        </is>
      </c>
      <c r="L2678" s="5" t="inlineStr">
        <is>
          <t>05102026</t>
        </is>
      </c>
      <c r="M2678" s="5">
        <f>IF(YEAR(I2678)&lt;=2020,"Até 2020",TEXT(YEAR(I2678),"0"))</f>
        <v/>
      </c>
      <c r="N2678" s="5">
        <f>IFERROR(INDEX(DePara!$A:$A,MATCH(TEXT(B2678,"0"),DePara!$D:$D,0)),"(sem categoria)")</f>
        <v/>
      </c>
      <c r="O2678" s="5">
        <f>IF(J2678="","",Parametros!$B$6-J2678)</f>
        <v/>
      </c>
      <c r="P2678" s="5">
        <f>IF(O2678="","",IF(O2678&gt;0,1,0))</f>
        <v/>
      </c>
    </row>
    <row r="2679">
      <c r="A2679" s="5" t="n">
        <v>2111000000</v>
      </c>
      <c r="B2679" s="5" t="inlineStr">
        <is>
          <t>100883</t>
        </is>
      </c>
      <c r="C2679" s="5" t="inlineStr">
        <is>
          <t>QUELMAR TRANSPORTES LTDA</t>
        </is>
      </c>
      <c r="D2679" s="5" t="inlineStr">
        <is>
          <t>RE</t>
        </is>
      </c>
      <c r="E2679" s="5" t="n">
        <v>5015535</v>
      </c>
      <c r="F2679" s="5" t="inlineStr">
        <is>
          <t>108425-1</t>
        </is>
      </c>
      <c r="G2679" s="5" t="inlineStr">
        <is>
          <t>BRL</t>
        </is>
      </c>
      <c r="H2679" s="9" t="n">
        <v>-2636.25</v>
      </c>
      <c r="I2679" s="16" t="n">
        <v>46248</v>
      </c>
      <c r="J2679" s="16" t="n">
        <v>46300</v>
      </c>
      <c r="K2679" s="5" t="inlineStr">
        <is>
          <t>Fatura - bruto QUELMAR TRANSPORTES LTDA 108425-1</t>
        </is>
      </c>
      <c r="L2679" s="5" t="inlineStr">
        <is>
          <t>05102026</t>
        </is>
      </c>
      <c r="M2679" s="5">
        <f>IF(YEAR(I2679)&lt;=2020,"Até 2020",TEXT(YEAR(I2679),"0"))</f>
        <v/>
      </c>
      <c r="N2679" s="5">
        <f>IFERROR(INDEX(DePara!$A:$A,MATCH(TEXT(B2679,"0"),DePara!$D:$D,0)),"(sem categoria)")</f>
        <v/>
      </c>
      <c r="O2679" s="5">
        <f>IF(J2679="","",Parametros!$B$6-J2679)</f>
        <v/>
      </c>
      <c r="P2679" s="5">
        <f>IF(O2679="","",IF(O2679&gt;0,1,0))</f>
        <v/>
      </c>
    </row>
    <row r="2680">
      <c r="A2680" s="5" t="n">
        <v>2111000000</v>
      </c>
      <c r="B2680" s="5" t="inlineStr">
        <is>
          <t>101340</t>
        </is>
      </c>
      <c r="C2680" s="5" t="inlineStr">
        <is>
          <t>ALS TRIBOLOGY BRASIL ANALISE DE FLU</t>
        </is>
      </c>
      <c r="D2680" s="5" t="inlineStr">
        <is>
          <t>RE</t>
        </is>
      </c>
      <c r="E2680" s="5" t="n">
        <v>5015536</v>
      </c>
      <c r="F2680" s="5" t="inlineStr">
        <is>
          <t>2745</t>
        </is>
      </c>
      <c r="G2680" s="5" t="inlineStr">
        <is>
          <t>BRL</t>
        </is>
      </c>
      <c r="H2680" s="9" t="n">
        <v>-83.5</v>
      </c>
      <c r="I2680" s="16" t="n">
        <v>46253</v>
      </c>
      <c r="J2680" s="16" t="n">
        <v>46281</v>
      </c>
      <c r="K2680" s="5" t="inlineStr">
        <is>
          <t>Fatura - bruto ALS TRIBOLOGY BRASIL ANALISE DE FLU</t>
        </is>
      </c>
      <c r="L2680" s="5" t="inlineStr">
        <is>
          <t>16092026</t>
        </is>
      </c>
      <c r="M2680" s="5">
        <f>IF(YEAR(I2680)&lt;=2020,"Até 2020",TEXT(YEAR(I2680),"0"))</f>
        <v/>
      </c>
      <c r="N2680" s="5">
        <f>IFERROR(INDEX(DePara!$A:$A,MATCH(TEXT(B2680,"0"),DePara!$D:$D,0)),"(sem categoria)")</f>
        <v/>
      </c>
      <c r="O2680" s="5">
        <f>IF(J2680="","",Parametros!$B$6-J2680)</f>
        <v/>
      </c>
      <c r="P2680" s="5">
        <f>IF(O2680="","",IF(O2680&gt;0,1,0))</f>
        <v/>
      </c>
    </row>
    <row r="2681">
      <c r="A2681" s="5" t="n">
        <v>2111000000</v>
      </c>
      <c r="B2681" s="5" t="inlineStr">
        <is>
          <t>101340</t>
        </is>
      </c>
      <c r="C2681" s="5" t="inlineStr">
        <is>
          <t>ALS TRIBOLOGY BRASIL ANALISE DE FLU</t>
        </is>
      </c>
      <c r="D2681" s="5" t="inlineStr">
        <is>
          <t>RE</t>
        </is>
      </c>
      <c r="E2681" s="5" t="n">
        <v>5015537</v>
      </c>
      <c r="F2681" s="5" t="inlineStr">
        <is>
          <t>2748</t>
        </is>
      </c>
      <c r="G2681" s="5" t="inlineStr">
        <is>
          <t>BRL</t>
        </is>
      </c>
      <c r="H2681" s="9" t="n">
        <v>-2056.19</v>
      </c>
      <c r="I2681" s="16" t="n">
        <v>46253</v>
      </c>
      <c r="J2681" s="16" t="n">
        <v>46283</v>
      </c>
      <c r="K2681" s="5" t="inlineStr">
        <is>
          <t>Fatura - bruto ALS TRIBOLOGY BRASIL ANALISE DE FLU</t>
        </is>
      </c>
      <c r="L2681" s="5" t="inlineStr">
        <is>
          <t>16092026</t>
        </is>
      </c>
      <c r="M2681" s="5">
        <f>IF(YEAR(I2681)&lt;=2020,"Até 2020",TEXT(YEAR(I2681),"0"))</f>
        <v/>
      </c>
      <c r="N2681" s="5">
        <f>IFERROR(INDEX(DePara!$A:$A,MATCH(TEXT(B2681,"0"),DePara!$D:$D,0)),"(sem categoria)")</f>
        <v/>
      </c>
      <c r="O2681" s="5">
        <f>IF(J2681="","",Parametros!$B$6-J2681)</f>
        <v/>
      </c>
      <c r="P2681" s="5">
        <f>IF(O2681="","",IF(O2681&gt;0,1,0))</f>
        <v/>
      </c>
    </row>
    <row r="2682">
      <c r="A2682" s="5" t="n">
        <v>2111000000</v>
      </c>
      <c r="B2682" s="5" t="inlineStr">
        <is>
          <t>101340</t>
        </is>
      </c>
      <c r="C2682" s="5" t="inlineStr">
        <is>
          <t>ALS TRIBOLOGY BRASIL ANALISE DE FLU</t>
        </is>
      </c>
      <c r="D2682" s="5" t="inlineStr">
        <is>
          <t>RE</t>
        </is>
      </c>
      <c r="E2682" s="5" t="n">
        <v>5015538</v>
      </c>
      <c r="F2682" s="5" t="inlineStr">
        <is>
          <t>2751</t>
        </is>
      </c>
      <c r="G2682" s="5" t="inlineStr">
        <is>
          <t>BRL</t>
        </is>
      </c>
      <c r="H2682" s="9" t="n">
        <v>-3618.89</v>
      </c>
      <c r="I2682" s="16" t="n">
        <v>46253</v>
      </c>
      <c r="J2682" s="16" t="n">
        <v>46283</v>
      </c>
      <c r="K2682" s="5" t="inlineStr">
        <is>
          <t>Fatura - bruto ALS TRIBOLOGY BRASIL ANALISE DE FLU</t>
        </is>
      </c>
      <c r="L2682" s="5" t="inlineStr">
        <is>
          <t>16092026</t>
        </is>
      </c>
      <c r="M2682" s="5">
        <f>IF(YEAR(I2682)&lt;=2020,"Até 2020",TEXT(YEAR(I2682),"0"))</f>
        <v/>
      </c>
      <c r="N2682" s="5">
        <f>IFERROR(INDEX(DePara!$A:$A,MATCH(TEXT(B2682,"0"),DePara!$D:$D,0)),"(sem categoria)")</f>
        <v/>
      </c>
      <c r="O2682" s="5">
        <f>IF(J2682="","",Parametros!$B$6-J2682)</f>
        <v/>
      </c>
      <c r="P2682" s="5">
        <f>IF(O2682="","",IF(O2682&gt;0,1,0))</f>
        <v/>
      </c>
    </row>
    <row r="2683">
      <c r="A2683" s="5" t="n">
        <v>2111000000</v>
      </c>
      <c r="B2683" s="5" t="inlineStr">
        <is>
          <t>101340</t>
        </is>
      </c>
      <c r="C2683" s="5" t="inlineStr">
        <is>
          <t>ALS TRIBOLOGY BRASIL ANALISE DE FLU</t>
        </is>
      </c>
      <c r="D2683" s="5" t="inlineStr">
        <is>
          <t>RE</t>
        </is>
      </c>
      <c r="E2683" s="5" t="n">
        <v>5015539</v>
      </c>
      <c r="F2683" s="5" t="inlineStr">
        <is>
          <t>2754</t>
        </is>
      </c>
      <c r="G2683" s="5" t="inlineStr">
        <is>
          <t>BRL</t>
        </is>
      </c>
      <c r="H2683" s="9" t="n">
        <v>-986.97</v>
      </c>
      <c r="I2683" s="16" t="n">
        <v>46253</v>
      </c>
      <c r="J2683" s="16" t="n">
        <v>46283</v>
      </c>
      <c r="K2683" s="5" t="inlineStr">
        <is>
          <t>Fatura - bruto ALS TRIBOLOGY BRASIL ANALISE DE FLU</t>
        </is>
      </c>
      <c r="L2683" s="5" t="inlineStr">
        <is>
          <t>16092026</t>
        </is>
      </c>
      <c r="M2683" s="5">
        <f>IF(YEAR(I2683)&lt;=2020,"Até 2020",TEXT(YEAR(I2683),"0"))</f>
        <v/>
      </c>
      <c r="N2683" s="5">
        <f>IFERROR(INDEX(DePara!$A:$A,MATCH(TEXT(B2683,"0"),DePara!$D:$D,0)),"(sem categoria)")</f>
        <v/>
      </c>
      <c r="O2683" s="5">
        <f>IF(J2683="","",Parametros!$B$6-J2683)</f>
        <v/>
      </c>
      <c r="P2683" s="5">
        <f>IF(O2683="","",IF(O2683&gt;0,1,0))</f>
        <v/>
      </c>
    </row>
    <row r="2684">
      <c r="A2684" s="5" t="n">
        <v>2111000000</v>
      </c>
      <c r="B2684" s="5" t="inlineStr">
        <is>
          <t>104002</t>
        </is>
      </c>
      <c r="C2684" s="5" t="inlineStr">
        <is>
          <t>TOP LOCACOES LTDA 43452661000160</t>
        </is>
      </c>
      <c r="D2684" s="5" t="inlineStr">
        <is>
          <t>RE</t>
        </is>
      </c>
      <c r="E2684" s="5" t="n">
        <v>5015540</v>
      </c>
      <c r="F2684" s="5" t="inlineStr">
        <is>
          <t>323</t>
        </is>
      </c>
      <c r="G2684" s="5" t="inlineStr">
        <is>
          <t>BRL</t>
        </is>
      </c>
      <c r="H2684" s="9" t="n">
        <v>-9000</v>
      </c>
      <c r="I2684" s="16" t="n">
        <v>46247</v>
      </c>
      <c r="J2684" s="16" t="n">
        <v>46280</v>
      </c>
      <c r="K2684" s="5" t="inlineStr">
        <is>
          <t>Fatura - bruto TOP LOCACOES LTDA 43452661000160 32</t>
        </is>
      </c>
      <c r="L2684" s="5" t="inlineStr">
        <is>
          <t>09092026</t>
        </is>
      </c>
      <c r="M2684" s="5">
        <f>IF(YEAR(I2684)&lt;=2020,"Até 2020",TEXT(YEAR(I2684),"0"))</f>
        <v/>
      </c>
      <c r="N2684" s="5">
        <f>IFERROR(INDEX(DePara!$A:$A,MATCH(TEXT(B2684,"0"),DePara!$D:$D,0)),"(sem categoria)")</f>
        <v/>
      </c>
      <c r="O2684" s="5">
        <f>IF(J2684="","",Parametros!$B$6-J2684)</f>
        <v/>
      </c>
      <c r="P2684" s="5">
        <f>IF(O2684="","",IF(O2684&gt;0,1,0))</f>
        <v/>
      </c>
    </row>
    <row r="2685">
      <c r="A2685" s="5" t="n">
        <v>2111000000</v>
      </c>
      <c r="B2685" s="5" t="inlineStr">
        <is>
          <t>101340</t>
        </is>
      </c>
      <c r="C2685" s="5" t="inlineStr">
        <is>
          <t>ALS TRIBOLOGY BRASIL ANALISE DE FLU</t>
        </is>
      </c>
      <c r="D2685" s="5" t="inlineStr">
        <is>
          <t>RE</t>
        </is>
      </c>
      <c r="E2685" s="5" t="n">
        <v>5015541</v>
      </c>
      <c r="F2685" s="5" t="inlineStr">
        <is>
          <t>2746</t>
        </is>
      </c>
      <c r="G2685" s="5" t="inlineStr">
        <is>
          <t>BRL</t>
        </is>
      </c>
      <c r="H2685" s="9" t="n">
        <v>-4934.85</v>
      </c>
      <c r="I2685" s="16" t="n">
        <v>46253</v>
      </c>
      <c r="J2685" s="16" t="n">
        <v>46281</v>
      </c>
      <c r="K2685" s="5" t="inlineStr">
        <is>
          <t>Fatura - bruto ALS TRIBOLOGY BRASIL ANALISE DE FLU</t>
        </is>
      </c>
      <c r="L2685" s="5" t="inlineStr">
        <is>
          <t>16092026</t>
        </is>
      </c>
      <c r="M2685" s="5">
        <f>IF(YEAR(I2685)&lt;=2020,"Até 2020",TEXT(YEAR(I2685),"0"))</f>
        <v/>
      </c>
      <c r="N2685" s="5">
        <f>IFERROR(INDEX(DePara!$A:$A,MATCH(TEXT(B2685,"0"),DePara!$D:$D,0)),"(sem categoria)")</f>
        <v/>
      </c>
      <c r="O2685" s="5">
        <f>IF(J2685="","",Parametros!$B$6-J2685)</f>
        <v/>
      </c>
      <c r="P2685" s="5">
        <f>IF(O2685="","",IF(O2685&gt;0,1,0))</f>
        <v/>
      </c>
    </row>
    <row r="2686">
      <c r="A2686" s="5" t="n">
        <v>2111000000</v>
      </c>
      <c r="B2686" s="5" t="inlineStr">
        <is>
          <t>101340</t>
        </is>
      </c>
      <c r="C2686" s="5" t="inlineStr">
        <is>
          <t>ALS TRIBOLOGY BRASIL ANALISE DE FLU</t>
        </is>
      </c>
      <c r="D2686" s="5" t="inlineStr">
        <is>
          <t>RE</t>
        </is>
      </c>
      <c r="E2686" s="5" t="n">
        <v>5015542</v>
      </c>
      <c r="F2686" s="5" t="inlineStr">
        <is>
          <t>2744</t>
        </is>
      </c>
      <c r="G2686" s="5" t="inlineStr">
        <is>
          <t>BRL</t>
        </is>
      </c>
      <c r="H2686" s="9" t="n">
        <v>-1069.22</v>
      </c>
      <c r="I2686" s="16" t="n">
        <v>46253</v>
      </c>
      <c r="J2686" s="16" t="n">
        <v>46281</v>
      </c>
      <c r="K2686" s="5" t="inlineStr">
        <is>
          <t>Fatura - bruto ALS TRIBOLOGY BRASIL ANALISE DE FLU</t>
        </is>
      </c>
      <c r="L2686" s="5" t="inlineStr">
        <is>
          <t>16092026</t>
        </is>
      </c>
      <c r="M2686" s="5">
        <f>IF(YEAR(I2686)&lt;=2020,"Até 2020",TEXT(YEAR(I2686),"0"))</f>
        <v/>
      </c>
      <c r="N2686" s="5">
        <f>IFERROR(INDEX(DePara!$A:$A,MATCH(TEXT(B2686,"0"),DePara!$D:$D,0)),"(sem categoria)")</f>
        <v/>
      </c>
      <c r="O2686" s="5">
        <f>IF(J2686="","",Parametros!$B$6-J2686)</f>
        <v/>
      </c>
      <c r="P2686" s="5">
        <f>IF(O2686="","",IF(O2686&gt;0,1,0))</f>
        <v/>
      </c>
    </row>
    <row r="2687">
      <c r="A2687" s="5" t="n">
        <v>2111000000</v>
      </c>
      <c r="B2687" s="5" t="inlineStr">
        <is>
          <t>101982</t>
        </is>
      </c>
      <c r="C2687" s="5" t="inlineStr">
        <is>
          <t>NEW ENERGY TECH LTDA</t>
        </is>
      </c>
      <c r="D2687" s="5" t="inlineStr">
        <is>
          <t>RE</t>
        </is>
      </c>
      <c r="E2687" s="5" t="n">
        <v>5015543</v>
      </c>
      <c r="F2687" s="5" t="inlineStr">
        <is>
          <t>448</t>
        </is>
      </c>
      <c r="G2687" s="5" t="inlineStr">
        <is>
          <t>BRL</t>
        </is>
      </c>
      <c r="H2687" s="9" t="n">
        <v>-15650</v>
      </c>
      <c r="I2687" s="16" t="n">
        <v>46241</v>
      </c>
      <c r="J2687" s="16" t="n">
        <v>46270</v>
      </c>
      <c r="K2687" s="5" t="inlineStr">
        <is>
          <t>Fatura - bruto NEW ENERGY TECH LTDA 448</t>
        </is>
      </c>
      <c r="L2687" s="5" t="inlineStr">
        <is>
          <t>08092026</t>
        </is>
      </c>
      <c r="M2687" s="5">
        <f>IF(YEAR(I2687)&lt;=2020,"Até 2020",TEXT(YEAR(I2687),"0"))</f>
        <v/>
      </c>
      <c r="N2687" s="5">
        <f>IFERROR(INDEX(DePara!$A:$A,MATCH(TEXT(B2687,"0"),DePara!$D:$D,0)),"(sem categoria)")</f>
        <v/>
      </c>
      <c r="O2687" s="5">
        <f>IF(J2687="","",Parametros!$B$6-J2687)</f>
        <v/>
      </c>
      <c r="P2687" s="5">
        <f>IF(O2687="","",IF(O2687&gt;0,1,0))</f>
        <v/>
      </c>
    </row>
    <row r="2688">
      <c r="A2688" s="5" t="n">
        <v>2111000000</v>
      </c>
      <c r="B2688" s="5" t="inlineStr">
        <is>
          <t>100883</t>
        </is>
      </c>
      <c r="C2688" s="5" t="inlineStr">
        <is>
          <t>QUELMAR TRANSPORTES LTDA</t>
        </is>
      </c>
      <c r="D2688" s="5" t="inlineStr">
        <is>
          <t>RE</t>
        </is>
      </c>
      <c r="E2688" s="5" t="n">
        <v>5015544</v>
      </c>
      <c r="F2688" s="5" t="inlineStr">
        <is>
          <t>6398-2</t>
        </is>
      </c>
      <c r="G2688" s="5" t="inlineStr">
        <is>
          <t>BRL</t>
        </is>
      </c>
      <c r="H2688" s="9" t="n">
        <v>-3200</v>
      </c>
      <c r="I2688" s="16" t="n">
        <v>46247</v>
      </c>
      <c r="J2688" s="16" t="n">
        <v>46300</v>
      </c>
      <c r="K2688" s="5" t="inlineStr">
        <is>
          <t>Fatura - bruto QUELMAR TRANSPORTES LTDA 6398-2</t>
        </is>
      </c>
      <c r="L2688" s="5" t="inlineStr">
        <is>
          <t>05102026</t>
        </is>
      </c>
      <c r="M2688" s="5">
        <f>IF(YEAR(I2688)&lt;=2020,"Até 2020",TEXT(YEAR(I2688),"0"))</f>
        <v/>
      </c>
      <c r="N2688" s="5">
        <f>IFERROR(INDEX(DePara!$A:$A,MATCH(TEXT(B2688,"0"),DePara!$D:$D,0)),"(sem categoria)")</f>
        <v/>
      </c>
      <c r="O2688" s="5">
        <f>IF(J2688="","",Parametros!$B$6-J2688)</f>
        <v/>
      </c>
      <c r="P2688" s="5">
        <f>IF(O2688="","",IF(O2688&gt;0,1,0))</f>
        <v/>
      </c>
    </row>
    <row r="2689">
      <c r="A2689" s="5" t="n">
        <v>2111000000</v>
      </c>
      <c r="B2689" s="5" t="inlineStr">
        <is>
          <t>100883</t>
        </is>
      </c>
      <c r="C2689" s="5" t="inlineStr">
        <is>
          <t>QUELMAR TRANSPORTES LTDA</t>
        </is>
      </c>
      <c r="D2689" s="5" t="inlineStr">
        <is>
          <t>RE</t>
        </is>
      </c>
      <c r="E2689" s="5" t="n">
        <v>5015545</v>
      </c>
      <c r="F2689" s="5" t="inlineStr">
        <is>
          <t>6397-2</t>
        </is>
      </c>
      <c r="G2689" s="5" t="inlineStr">
        <is>
          <t>BRL</t>
        </is>
      </c>
      <c r="H2689" s="9" t="n">
        <v>-3900</v>
      </c>
      <c r="I2689" s="16" t="n">
        <v>46247</v>
      </c>
      <c r="J2689" s="16" t="n">
        <v>46300</v>
      </c>
      <c r="K2689" s="5" t="inlineStr">
        <is>
          <t>Fatura - bruto QUELMAR TRANSPORTES LTDA 6397-2</t>
        </is>
      </c>
      <c r="L2689" s="5" t="inlineStr">
        <is>
          <t>05102026</t>
        </is>
      </c>
      <c r="M2689" s="5">
        <f>IF(YEAR(I2689)&lt;=2020,"Até 2020",TEXT(YEAR(I2689),"0"))</f>
        <v/>
      </c>
      <c r="N2689" s="5">
        <f>IFERROR(INDEX(DePara!$A:$A,MATCH(TEXT(B2689,"0"),DePara!$D:$D,0)),"(sem categoria)")</f>
        <v/>
      </c>
      <c r="O2689" s="5">
        <f>IF(J2689="","",Parametros!$B$6-J2689)</f>
        <v/>
      </c>
      <c r="P2689" s="5">
        <f>IF(O2689="","",IF(O2689&gt;0,1,0))</f>
        <v/>
      </c>
    </row>
    <row r="2690">
      <c r="A2690" s="5" t="n">
        <v>2111000000</v>
      </c>
      <c r="B2690" s="5" t="inlineStr">
        <is>
          <t>100883</t>
        </is>
      </c>
      <c r="C2690" s="5" t="inlineStr">
        <is>
          <t>QUELMAR TRANSPORTES LTDA</t>
        </is>
      </c>
      <c r="D2690" s="5" t="inlineStr">
        <is>
          <t>RE</t>
        </is>
      </c>
      <c r="E2690" s="5" t="n">
        <v>5015546</v>
      </c>
      <c r="F2690" s="5" t="inlineStr">
        <is>
          <t>6395-2</t>
        </is>
      </c>
      <c r="G2690" s="5" t="inlineStr">
        <is>
          <t>BRL</t>
        </is>
      </c>
      <c r="H2690" s="9" t="n">
        <v>-4200</v>
      </c>
      <c r="I2690" s="16" t="n">
        <v>46247</v>
      </c>
      <c r="J2690" s="16" t="n">
        <v>46300</v>
      </c>
      <c r="K2690" s="5" t="inlineStr">
        <is>
          <t>Fatura - bruto QUELMAR TRANSPORTES LTDA 6395-2</t>
        </is>
      </c>
      <c r="L2690" s="5" t="inlineStr">
        <is>
          <t>05102026</t>
        </is>
      </c>
      <c r="M2690" s="5">
        <f>IF(YEAR(I2690)&lt;=2020,"Até 2020",TEXT(YEAR(I2690),"0"))</f>
        <v/>
      </c>
      <c r="N2690" s="5">
        <f>IFERROR(INDEX(DePara!$A:$A,MATCH(TEXT(B2690,"0"),DePara!$D:$D,0)),"(sem categoria)")</f>
        <v/>
      </c>
      <c r="O2690" s="5">
        <f>IF(J2690="","",Parametros!$B$6-J2690)</f>
        <v/>
      </c>
      <c r="P2690" s="5">
        <f>IF(O2690="","",IF(O2690&gt;0,1,0))</f>
        <v/>
      </c>
    </row>
    <row r="2691">
      <c r="A2691" s="5" t="n">
        <v>2111000000</v>
      </c>
      <c r="B2691" s="5" t="inlineStr">
        <is>
          <t>100883</t>
        </is>
      </c>
      <c r="C2691" s="5" t="inlineStr">
        <is>
          <t>QUELMAR TRANSPORTES LTDA</t>
        </is>
      </c>
      <c r="D2691" s="5" t="inlineStr">
        <is>
          <t>RE</t>
        </is>
      </c>
      <c r="E2691" s="5" t="n">
        <v>5015547</v>
      </c>
      <c r="F2691" s="5" t="inlineStr">
        <is>
          <t>6399-2</t>
        </is>
      </c>
      <c r="G2691" s="5" t="inlineStr">
        <is>
          <t>BRL</t>
        </is>
      </c>
      <c r="H2691" s="9" t="n">
        <v>-4200</v>
      </c>
      <c r="I2691" s="16" t="n">
        <v>46247</v>
      </c>
      <c r="J2691" s="16" t="n">
        <v>46300</v>
      </c>
      <c r="K2691" s="5" t="inlineStr">
        <is>
          <t>Fatura - bruto QUELMAR TRANSPORTES LTDA 6399-2</t>
        </is>
      </c>
      <c r="L2691" s="5" t="inlineStr">
        <is>
          <t>05102026</t>
        </is>
      </c>
      <c r="M2691" s="5">
        <f>IF(YEAR(I2691)&lt;=2020,"Até 2020",TEXT(YEAR(I2691),"0"))</f>
        <v/>
      </c>
      <c r="N2691" s="5">
        <f>IFERROR(INDEX(DePara!$A:$A,MATCH(TEXT(B2691,"0"),DePara!$D:$D,0)),"(sem categoria)")</f>
        <v/>
      </c>
      <c r="O2691" s="5">
        <f>IF(J2691="","",Parametros!$B$6-J2691)</f>
        <v/>
      </c>
      <c r="P2691" s="5">
        <f>IF(O2691="","",IF(O2691&gt;0,1,0))</f>
        <v/>
      </c>
    </row>
    <row r="2692">
      <c r="A2692" s="5" t="n">
        <v>2111000000</v>
      </c>
      <c r="B2692" s="5" t="inlineStr">
        <is>
          <t>100883</t>
        </is>
      </c>
      <c r="C2692" s="5" t="inlineStr">
        <is>
          <t>QUELMAR TRANSPORTES LTDA</t>
        </is>
      </c>
      <c r="D2692" s="5" t="inlineStr">
        <is>
          <t>RE</t>
        </is>
      </c>
      <c r="E2692" s="5" t="n">
        <v>5015548</v>
      </c>
      <c r="F2692" s="5" t="inlineStr">
        <is>
          <t>6396-2</t>
        </is>
      </c>
      <c r="G2692" s="5" t="inlineStr">
        <is>
          <t>BRL</t>
        </is>
      </c>
      <c r="H2692" s="9" t="n">
        <v>-4300</v>
      </c>
      <c r="I2692" s="16" t="n">
        <v>46247</v>
      </c>
      <c r="J2692" s="16" t="n">
        <v>46300</v>
      </c>
      <c r="K2692" s="5" t="inlineStr">
        <is>
          <t>Fatura - bruto QUELMAR TRANSPORTES LTDA 6396-2</t>
        </is>
      </c>
      <c r="L2692" s="5" t="inlineStr">
        <is>
          <t>05102026</t>
        </is>
      </c>
      <c r="M2692" s="5">
        <f>IF(YEAR(I2692)&lt;=2020,"Até 2020",TEXT(YEAR(I2692),"0"))</f>
        <v/>
      </c>
      <c r="N2692" s="5">
        <f>IFERROR(INDEX(DePara!$A:$A,MATCH(TEXT(B2692,"0"),DePara!$D:$D,0)),"(sem categoria)")</f>
        <v/>
      </c>
      <c r="O2692" s="5">
        <f>IF(J2692="","",Parametros!$B$6-J2692)</f>
        <v/>
      </c>
      <c r="P2692" s="5">
        <f>IF(O2692="","",IF(O2692&gt;0,1,0))</f>
        <v/>
      </c>
    </row>
    <row r="2693">
      <c r="A2693" s="5" t="n">
        <v>2111000000</v>
      </c>
      <c r="B2693" s="5" t="inlineStr">
        <is>
          <t>100883</t>
        </is>
      </c>
      <c r="C2693" s="5" t="inlineStr">
        <is>
          <t>QUELMAR TRANSPORTES LTDA</t>
        </is>
      </c>
      <c r="D2693" s="5" t="inlineStr">
        <is>
          <t>RE</t>
        </is>
      </c>
      <c r="E2693" s="5" t="n">
        <v>5015549</v>
      </c>
      <c r="F2693" s="5" t="inlineStr">
        <is>
          <t>6382-2</t>
        </is>
      </c>
      <c r="G2693" s="5" t="inlineStr">
        <is>
          <t>BRL</t>
        </is>
      </c>
      <c r="H2693" s="9" t="n">
        <v>-5648</v>
      </c>
      <c r="I2693" s="16" t="n">
        <v>46245</v>
      </c>
      <c r="J2693" s="16" t="n">
        <v>46300</v>
      </c>
      <c r="K2693" s="5" t="inlineStr">
        <is>
          <t>Fatura - bruto QUELMAR TRANSPORTES LTDA 6382-2</t>
        </is>
      </c>
      <c r="L2693" s="5" t="inlineStr">
        <is>
          <t>05102026</t>
        </is>
      </c>
      <c r="M2693" s="5">
        <f>IF(YEAR(I2693)&lt;=2020,"Até 2020",TEXT(YEAR(I2693),"0"))</f>
        <v/>
      </c>
      <c r="N2693" s="5">
        <f>IFERROR(INDEX(DePara!$A:$A,MATCH(TEXT(B2693,"0"),DePara!$D:$D,0)),"(sem categoria)")</f>
        <v/>
      </c>
      <c r="O2693" s="5">
        <f>IF(J2693="","",Parametros!$B$6-J2693)</f>
        <v/>
      </c>
      <c r="P2693" s="5">
        <f>IF(O2693="","",IF(O2693&gt;0,1,0))</f>
        <v/>
      </c>
    </row>
    <row r="2694">
      <c r="A2694" s="5" t="n">
        <v>2111000000</v>
      </c>
      <c r="B2694" s="5" t="inlineStr">
        <is>
          <t>101340</t>
        </is>
      </c>
      <c r="C2694" s="5" t="inlineStr">
        <is>
          <t>ALS TRIBOLOGY BRASIL ANALISE DE FLU</t>
        </is>
      </c>
      <c r="D2694" s="5" t="inlineStr">
        <is>
          <t>RE</t>
        </is>
      </c>
      <c r="E2694" s="5" t="n">
        <v>5015550</v>
      </c>
      <c r="F2694" s="5" t="inlineStr">
        <is>
          <t>2752</t>
        </is>
      </c>
      <c r="G2694" s="5" t="inlineStr">
        <is>
          <t>BRL</t>
        </is>
      </c>
      <c r="H2694" s="9" t="n">
        <v>-584.5</v>
      </c>
      <c r="I2694" s="16" t="n">
        <v>46253</v>
      </c>
      <c r="J2694" s="16" t="n">
        <v>46281</v>
      </c>
      <c r="K2694" s="5" t="inlineStr">
        <is>
          <t>Fatura - bruto ALS TRIBOLOGY BRASIL ANALISE DE FLU</t>
        </is>
      </c>
      <c r="L2694" s="5" t="inlineStr">
        <is>
          <t>16092026</t>
        </is>
      </c>
      <c r="M2694" s="5">
        <f>IF(YEAR(I2694)&lt;=2020,"Até 2020",TEXT(YEAR(I2694),"0"))</f>
        <v/>
      </c>
      <c r="N2694" s="5">
        <f>IFERROR(INDEX(DePara!$A:$A,MATCH(TEXT(B2694,"0"),DePara!$D:$D,0)),"(sem categoria)")</f>
        <v/>
      </c>
      <c r="O2694" s="5">
        <f>IF(J2694="","",Parametros!$B$6-J2694)</f>
        <v/>
      </c>
      <c r="P2694" s="5">
        <f>IF(O2694="","",IF(O2694&gt;0,1,0))</f>
        <v/>
      </c>
    </row>
    <row r="2695">
      <c r="A2695" s="5" t="n">
        <v>2111000000</v>
      </c>
      <c r="B2695" s="5" t="inlineStr">
        <is>
          <t>101340</t>
        </is>
      </c>
      <c r="C2695" s="5" t="inlineStr">
        <is>
          <t>ALS TRIBOLOGY BRASIL ANALISE DE FLU</t>
        </is>
      </c>
      <c r="D2695" s="5" t="inlineStr">
        <is>
          <t>RE</t>
        </is>
      </c>
      <c r="E2695" s="5" t="n">
        <v>5015551</v>
      </c>
      <c r="F2695" s="5" t="inlineStr">
        <is>
          <t>2753</t>
        </is>
      </c>
      <c r="G2695" s="5" t="inlineStr">
        <is>
          <t>BRL</t>
        </is>
      </c>
      <c r="H2695" s="9" t="n">
        <v>-1480.46</v>
      </c>
      <c r="I2695" s="16" t="n">
        <v>46253</v>
      </c>
      <c r="J2695" s="16" t="n">
        <v>46283</v>
      </c>
      <c r="K2695" s="5" t="inlineStr">
        <is>
          <t>Fatura - bruto ALS TRIBOLOGY BRASIL ANALISE DE FLU</t>
        </is>
      </c>
      <c r="L2695" s="5" t="inlineStr">
        <is>
          <t>16092026</t>
        </is>
      </c>
      <c r="M2695" s="5">
        <f>IF(YEAR(I2695)&lt;=2020,"Até 2020",TEXT(YEAR(I2695),"0"))</f>
        <v/>
      </c>
      <c r="N2695" s="5">
        <f>IFERROR(INDEX(DePara!$A:$A,MATCH(TEXT(B2695,"0"),DePara!$D:$D,0)),"(sem categoria)")</f>
        <v/>
      </c>
      <c r="O2695" s="5">
        <f>IF(J2695="","",Parametros!$B$6-J2695)</f>
        <v/>
      </c>
      <c r="P2695" s="5">
        <f>IF(O2695="","",IF(O2695&gt;0,1,0))</f>
        <v/>
      </c>
    </row>
    <row r="2696">
      <c r="A2696" s="5" t="n">
        <v>2111000000</v>
      </c>
      <c r="B2696" s="5" t="inlineStr">
        <is>
          <t>101340</t>
        </is>
      </c>
      <c r="C2696" s="5" t="inlineStr">
        <is>
          <t>ALS TRIBOLOGY BRASIL ANALISE DE FLU</t>
        </is>
      </c>
      <c r="D2696" s="5" t="inlineStr">
        <is>
          <t>RE</t>
        </is>
      </c>
      <c r="E2696" s="5" t="n">
        <v>5015553</v>
      </c>
      <c r="F2696" s="5" t="inlineStr">
        <is>
          <t>2747</t>
        </is>
      </c>
      <c r="G2696" s="5" t="inlineStr">
        <is>
          <t>BRL</t>
        </is>
      </c>
      <c r="H2696" s="9" t="n">
        <v>-83.5</v>
      </c>
      <c r="I2696" s="16" t="n">
        <v>46253</v>
      </c>
      <c r="J2696" s="16" t="n">
        <v>46281</v>
      </c>
      <c r="K2696" s="5" t="inlineStr">
        <is>
          <t>Fatura - bruto ALS TRIBOLOGY BRASIL ANALISE DE FLU</t>
        </is>
      </c>
      <c r="L2696" s="5" t="inlineStr">
        <is>
          <t>16092026</t>
        </is>
      </c>
      <c r="M2696" s="5">
        <f>IF(YEAR(I2696)&lt;=2020,"Até 2020",TEXT(YEAR(I2696),"0"))</f>
        <v/>
      </c>
      <c r="N2696" s="5">
        <f>IFERROR(INDEX(DePara!$A:$A,MATCH(TEXT(B2696,"0"),DePara!$D:$D,0)),"(sem categoria)")</f>
        <v/>
      </c>
      <c r="O2696" s="5">
        <f>IF(J2696="","",Parametros!$B$6-J2696)</f>
        <v/>
      </c>
      <c r="P2696" s="5">
        <f>IF(O2696="","",IF(O2696&gt;0,1,0))</f>
        <v/>
      </c>
    </row>
    <row r="2697">
      <c r="A2697" s="5" t="n">
        <v>2111000000</v>
      </c>
      <c r="B2697" s="5" t="inlineStr">
        <is>
          <t>101340</t>
        </is>
      </c>
      <c r="C2697" s="5" t="inlineStr">
        <is>
          <t>ALS TRIBOLOGY BRASIL ANALISE DE FLU</t>
        </is>
      </c>
      <c r="D2697" s="5" t="inlineStr">
        <is>
          <t>RE</t>
        </is>
      </c>
      <c r="E2697" s="5" t="n">
        <v>5015554</v>
      </c>
      <c r="F2697" s="5" t="inlineStr">
        <is>
          <t>2749</t>
        </is>
      </c>
      <c r="G2697" s="5" t="inlineStr">
        <is>
          <t>BRL</t>
        </is>
      </c>
      <c r="H2697" s="9" t="n">
        <v>-250.5</v>
      </c>
      <c r="I2697" s="16" t="n">
        <v>46253</v>
      </c>
      <c r="J2697" s="16" t="n">
        <v>46283</v>
      </c>
      <c r="K2697" s="5" t="inlineStr">
        <is>
          <t>Fatura - bruto ALS TRIBOLOGY BRASIL ANALISE DE FLU</t>
        </is>
      </c>
      <c r="L2697" s="5" t="inlineStr">
        <is>
          <t>16092026</t>
        </is>
      </c>
      <c r="M2697" s="5">
        <f>IF(YEAR(I2697)&lt;=2020,"Até 2020",TEXT(YEAR(I2697),"0"))</f>
        <v/>
      </c>
      <c r="N2697" s="5">
        <f>IFERROR(INDEX(DePara!$A:$A,MATCH(TEXT(B2697,"0"),DePara!$D:$D,0)),"(sem categoria)")</f>
        <v/>
      </c>
      <c r="O2697" s="5">
        <f>IF(J2697="","",Parametros!$B$6-J2697)</f>
        <v/>
      </c>
      <c r="P2697" s="5">
        <f>IF(O2697="","",IF(O2697&gt;0,1,0))</f>
        <v/>
      </c>
    </row>
    <row r="2698">
      <c r="A2698" s="5" t="n">
        <v>2111000000</v>
      </c>
      <c r="B2698" s="5" t="inlineStr">
        <is>
          <t>101340</t>
        </is>
      </c>
      <c r="C2698" s="5" t="inlineStr">
        <is>
          <t>ALS TRIBOLOGY BRASIL ANALISE DE FLU</t>
        </is>
      </c>
      <c r="D2698" s="5" t="inlineStr">
        <is>
          <t>RE</t>
        </is>
      </c>
      <c r="E2698" s="5" t="n">
        <v>5015555</v>
      </c>
      <c r="F2698" s="5" t="inlineStr">
        <is>
          <t>2750</t>
        </is>
      </c>
      <c r="G2698" s="5" t="inlineStr">
        <is>
          <t>BRL</t>
        </is>
      </c>
      <c r="H2698" s="9" t="n">
        <v>-986.97</v>
      </c>
      <c r="I2698" s="16" t="n">
        <v>46253</v>
      </c>
      <c r="J2698" s="16" t="n">
        <v>46281</v>
      </c>
      <c r="K2698" s="5" t="inlineStr">
        <is>
          <t>Fatura - bruto ALS TRIBOLOGY BRASIL ANALISE DE FLU</t>
        </is>
      </c>
      <c r="L2698" s="5" t="inlineStr">
        <is>
          <t>16092026</t>
        </is>
      </c>
      <c r="M2698" s="5">
        <f>IF(YEAR(I2698)&lt;=2020,"Até 2020",TEXT(YEAR(I2698),"0"))</f>
        <v/>
      </c>
      <c r="N2698" s="5">
        <f>IFERROR(INDEX(DePara!$A:$A,MATCH(TEXT(B2698,"0"),DePara!$D:$D,0)),"(sem categoria)")</f>
        <v/>
      </c>
      <c r="O2698" s="5">
        <f>IF(J2698="","",Parametros!$B$6-J2698)</f>
        <v/>
      </c>
      <c r="P2698" s="5">
        <f>IF(O2698="","",IF(O2698&gt;0,1,0))</f>
        <v/>
      </c>
    </row>
    <row r="2699">
      <c r="A2699" s="5" t="n">
        <v>2111000000</v>
      </c>
      <c r="B2699" s="5" t="inlineStr">
        <is>
          <t>104002</t>
        </is>
      </c>
      <c r="C2699" s="5" t="inlineStr">
        <is>
          <t>TOP LOCACOES LTDA 43452661000160</t>
        </is>
      </c>
      <c r="D2699" s="5" t="inlineStr">
        <is>
          <t>RE</t>
        </is>
      </c>
      <c r="E2699" s="5" t="n">
        <v>5015556</v>
      </c>
      <c r="F2699" s="5" t="inlineStr">
        <is>
          <t>321</t>
        </is>
      </c>
      <c r="G2699" s="5" t="inlineStr">
        <is>
          <t>BRL</t>
        </is>
      </c>
      <c r="H2699" s="9" t="n">
        <v>-7900</v>
      </c>
      <c r="I2699" s="16" t="n">
        <v>46247</v>
      </c>
      <c r="J2699" s="16" t="n">
        <v>46280</v>
      </c>
      <c r="K2699" s="5" t="inlineStr">
        <is>
          <t>Fatura - bruto TOP LOCACOES LTDA 43452661000160 32</t>
        </is>
      </c>
      <c r="L2699" s="5" t="inlineStr">
        <is>
          <t>09092026</t>
        </is>
      </c>
      <c r="M2699" s="5">
        <f>IF(YEAR(I2699)&lt;=2020,"Até 2020",TEXT(YEAR(I2699),"0"))</f>
        <v/>
      </c>
      <c r="N2699" s="5">
        <f>IFERROR(INDEX(DePara!$A:$A,MATCH(TEXT(B2699,"0"),DePara!$D:$D,0)),"(sem categoria)")</f>
        <v/>
      </c>
      <c r="O2699" s="5">
        <f>IF(J2699="","",Parametros!$B$6-J2699)</f>
        <v/>
      </c>
      <c r="P2699" s="5">
        <f>IF(O2699="","",IF(O2699&gt;0,1,0))</f>
        <v/>
      </c>
    </row>
    <row r="2700">
      <c r="A2700" s="5" t="n">
        <v>2111000000</v>
      </c>
      <c r="B2700" s="5" t="inlineStr">
        <is>
          <t>104002</t>
        </is>
      </c>
      <c r="C2700" s="5" t="inlineStr">
        <is>
          <t>TOP LOCACOES LTDA 43452661000160</t>
        </is>
      </c>
      <c r="D2700" s="5" t="inlineStr">
        <is>
          <t>RE</t>
        </is>
      </c>
      <c r="E2700" s="5" t="n">
        <v>5015558</v>
      </c>
      <c r="F2700" s="5" t="inlineStr">
        <is>
          <t>322</t>
        </is>
      </c>
      <c r="G2700" s="5" t="inlineStr">
        <is>
          <t>BRL</t>
        </is>
      </c>
      <c r="H2700" s="9" t="n">
        <v>-7900</v>
      </c>
      <c r="I2700" s="16" t="n">
        <v>46247</v>
      </c>
      <c r="J2700" s="16" t="n">
        <v>46280</v>
      </c>
      <c r="K2700" s="5" t="inlineStr">
        <is>
          <t>Fatura - bruto TOP LOCACOES LTDA 43452661000160 32</t>
        </is>
      </c>
      <c r="L2700" s="5" t="inlineStr">
        <is>
          <t>09092026</t>
        </is>
      </c>
      <c r="M2700" s="5">
        <f>IF(YEAR(I2700)&lt;=2020,"Até 2020",TEXT(YEAR(I2700),"0"))</f>
        <v/>
      </c>
      <c r="N2700" s="5">
        <f>IFERROR(INDEX(DePara!$A:$A,MATCH(TEXT(B2700,"0"),DePara!$D:$D,0)),"(sem categoria)")</f>
        <v/>
      </c>
      <c r="O2700" s="5">
        <f>IF(J2700="","",Parametros!$B$6-J2700)</f>
        <v/>
      </c>
      <c r="P2700" s="5">
        <f>IF(O2700="","",IF(O2700&gt;0,1,0))</f>
        <v/>
      </c>
    </row>
    <row r="2701">
      <c r="A2701" s="5" t="n">
        <v>2111000000</v>
      </c>
      <c r="B2701" s="5" t="inlineStr">
        <is>
          <t>104002</t>
        </is>
      </c>
      <c r="C2701" s="5" t="inlineStr">
        <is>
          <t>TOP LOCACOES LTDA 43452661000160</t>
        </is>
      </c>
      <c r="D2701" s="5" t="inlineStr">
        <is>
          <t>RE</t>
        </is>
      </c>
      <c r="E2701" s="5" t="n">
        <v>5015559</v>
      </c>
      <c r="F2701" s="5" t="inlineStr">
        <is>
          <t>312</t>
        </is>
      </c>
      <c r="G2701" s="5" t="inlineStr">
        <is>
          <t>BRL</t>
        </is>
      </c>
      <c r="H2701" s="9" t="n">
        <v>-3800</v>
      </c>
      <c r="I2701" s="16" t="n">
        <v>46238</v>
      </c>
      <c r="J2701" s="16" t="n">
        <v>46280</v>
      </c>
      <c r="K2701" s="5" t="inlineStr">
        <is>
          <t>Fatura - bruto TOP LOCACOES LTDA 43452661000160 31</t>
        </is>
      </c>
      <c r="L2701" s="5" t="inlineStr">
        <is>
          <t>09092026</t>
        </is>
      </c>
      <c r="M2701" s="5">
        <f>IF(YEAR(I2701)&lt;=2020,"Até 2020",TEXT(YEAR(I2701),"0"))</f>
        <v/>
      </c>
      <c r="N2701" s="5">
        <f>IFERROR(INDEX(DePara!$A:$A,MATCH(TEXT(B2701,"0"),DePara!$D:$D,0)),"(sem categoria)")</f>
        <v/>
      </c>
      <c r="O2701" s="5">
        <f>IF(J2701="","",Parametros!$B$6-J2701)</f>
        <v/>
      </c>
      <c r="P2701" s="5">
        <f>IF(O2701="","",IF(O2701&gt;0,1,0))</f>
        <v/>
      </c>
    </row>
    <row r="2702">
      <c r="A2702" s="5" t="n">
        <v>2111000000</v>
      </c>
      <c r="B2702" s="5" t="inlineStr">
        <is>
          <t>104002</t>
        </is>
      </c>
      <c r="C2702" s="5" t="inlineStr">
        <is>
          <t>TOP LOCACOES LTDA 43452661000160</t>
        </is>
      </c>
      <c r="D2702" s="5" t="inlineStr">
        <is>
          <t>RE</t>
        </is>
      </c>
      <c r="E2702" s="5" t="n">
        <v>5015560</v>
      </c>
      <c r="F2702" s="5" t="inlineStr">
        <is>
          <t>317</t>
        </is>
      </c>
      <c r="G2702" s="5" t="inlineStr">
        <is>
          <t>BRL</t>
        </is>
      </c>
      <c r="H2702" s="9" t="n">
        <v>-1200</v>
      </c>
      <c r="I2702" s="16" t="n">
        <v>46238</v>
      </c>
      <c r="J2702" s="16" t="n">
        <v>46280</v>
      </c>
      <c r="K2702" s="5" t="inlineStr">
        <is>
          <t>Fatura - bruto TOP LOCACOES LTDA 43452661000160 31</t>
        </is>
      </c>
      <c r="L2702" s="5" t="inlineStr">
        <is>
          <t>09092026</t>
        </is>
      </c>
      <c r="M2702" s="5">
        <f>IF(YEAR(I2702)&lt;=2020,"Até 2020",TEXT(YEAR(I2702),"0"))</f>
        <v/>
      </c>
      <c r="N2702" s="5">
        <f>IFERROR(INDEX(DePara!$A:$A,MATCH(TEXT(B2702,"0"),DePara!$D:$D,0)),"(sem categoria)")</f>
        <v/>
      </c>
      <c r="O2702" s="5">
        <f>IF(J2702="","",Parametros!$B$6-J2702)</f>
        <v/>
      </c>
      <c r="P2702" s="5">
        <f>IF(O2702="","",IF(O2702&gt;0,1,0))</f>
        <v/>
      </c>
    </row>
    <row r="2703">
      <c r="A2703" s="5" t="n">
        <v>2111000000</v>
      </c>
      <c r="B2703" s="5" t="inlineStr">
        <is>
          <t>104002</t>
        </is>
      </c>
      <c r="C2703" s="5" t="inlineStr">
        <is>
          <t>TOP LOCACOES LTDA 43452661000160</t>
        </is>
      </c>
      <c r="D2703" s="5" t="inlineStr">
        <is>
          <t>RE</t>
        </is>
      </c>
      <c r="E2703" s="5" t="n">
        <v>5015561</v>
      </c>
      <c r="F2703" s="5" t="inlineStr">
        <is>
          <t>318</t>
        </is>
      </c>
      <c r="G2703" s="5" t="inlineStr">
        <is>
          <t>BRL</t>
        </is>
      </c>
      <c r="H2703" s="9" t="n">
        <v>-1200</v>
      </c>
      <c r="I2703" s="16" t="n">
        <v>46238</v>
      </c>
      <c r="J2703" s="16" t="n">
        <v>46280</v>
      </c>
      <c r="K2703" s="5" t="inlineStr">
        <is>
          <t>Fatura - bruto TOP LOCACOES LTDA 43452661000160 31</t>
        </is>
      </c>
      <c r="L2703" s="5" t="inlineStr">
        <is>
          <t>09092026</t>
        </is>
      </c>
      <c r="M2703" s="5">
        <f>IF(YEAR(I2703)&lt;=2020,"Até 2020",TEXT(YEAR(I2703),"0"))</f>
        <v/>
      </c>
      <c r="N2703" s="5">
        <f>IFERROR(INDEX(DePara!$A:$A,MATCH(TEXT(B2703,"0"),DePara!$D:$D,0)),"(sem categoria)")</f>
        <v/>
      </c>
      <c r="O2703" s="5">
        <f>IF(J2703="","",Parametros!$B$6-J2703)</f>
        <v/>
      </c>
      <c r="P2703" s="5">
        <f>IF(O2703="","",IF(O2703&gt;0,1,0))</f>
        <v/>
      </c>
    </row>
    <row r="2704">
      <c r="A2704" s="5" t="n">
        <v>2111000000</v>
      </c>
      <c r="B2704" s="5" t="inlineStr">
        <is>
          <t>104002</t>
        </is>
      </c>
      <c r="C2704" s="5" t="inlineStr">
        <is>
          <t>TOP LOCACOES LTDA 43452661000160</t>
        </is>
      </c>
      <c r="D2704" s="5" t="inlineStr">
        <is>
          <t>RE</t>
        </is>
      </c>
      <c r="E2704" s="5" t="n">
        <v>5015566</v>
      </c>
      <c r="F2704" s="5" t="inlineStr">
        <is>
          <t>316</t>
        </is>
      </c>
      <c r="G2704" s="5" t="inlineStr">
        <is>
          <t>BRL</t>
        </is>
      </c>
      <c r="H2704" s="9" t="n">
        <v>-1200</v>
      </c>
      <c r="I2704" s="16" t="n">
        <v>46235</v>
      </c>
      <c r="J2704" s="16" t="n">
        <v>46280</v>
      </c>
      <c r="K2704" s="5" t="inlineStr">
        <is>
          <t>Fatura - bruto TOP LOCACOES LTDA 43452661000160 31</t>
        </is>
      </c>
      <c r="L2704" s="5" t="inlineStr">
        <is>
          <t>09092026</t>
        </is>
      </c>
      <c r="M2704" s="5">
        <f>IF(YEAR(I2704)&lt;=2020,"Até 2020",TEXT(YEAR(I2704),"0"))</f>
        <v/>
      </c>
      <c r="N2704" s="5">
        <f>IFERROR(INDEX(DePara!$A:$A,MATCH(TEXT(B2704,"0"),DePara!$D:$D,0)),"(sem categoria)")</f>
        <v/>
      </c>
      <c r="O2704" s="5">
        <f>IF(J2704="","",Parametros!$B$6-J2704)</f>
        <v/>
      </c>
      <c r="P2704" s="5">
        <f>IF(O2704="","",IF(O2704&gt;0,1,0))</f>
        <v/>
      </c>
    </row>
    <row r="2705">
      <c r="A2705" s="5" t="n">
        <v>2111000000</v>
      </c>
      <c r="B2705" s="5" t="inlineStr">
        <is>
          <t>105984</t>
        </is>
      </c>
      <c r="C2705" s="5" t="inlineStr">
        <is>
          <t>TRADEWORKS SERVICOS DE COMERCIO EXT 04955748000107</t>
        </is>
      </c>
      <c r="D2705" s="5" t="inlineStr">
        <is>
          <t>RE</t>
        </is>
      </c>
      <c r="E2705" s="5" t="n">
        <v>5015575</v>
      </c>
      <c r="F2705" s="5" t="inlineStr">
        <is>
          <t>93708</t>
        </is>
      </c>
      <c r="G2705" s="5" t="inlineStr">
        <is>
          <t>BRL</t>
        </is>
      </c>
      <c r="H2705" s="9" t="n">
        <v>-1337.76</v>
      </c>
      <c r="I2705" s="16" t="n">
        <v>46251</v>
      </c>
      <c r="J2705" s="16" t="n">
        <v>46281</v>
      </c>
      <c r="K2705" s="5" t="inlineStr">
        <is>
          <t>Fatura - bruto TRADEWORKS SERVICOS DE COMERCIO EXT</t>
        </is>
      </c>
      <c r="L2705" s="5" t="inlineStr">
        <is>
          <t>16092026</t>
        </is>
      </c>
      <c r="M2705" s="5">
        <f>IF(YEAR(I2705)&lt;=2020,"Até 2020",TEXT(YEAR(I2705),"0"))</f>
        <v/>
      </c>
      <c r="N2705" s="5">
        <f>IFERROR(INDEX(DePara!$A:$A,MATCH(TEXT(B2705,"0"),DePara!$D:$D,0)),"(sem categoria)")</f>
        <v/>
      </c>
      <c r="O2705" s="5">
        <f>IF(J2705="","",Parametros!$B$6-J2705)</f>
        <v/>
      </c>
      <c r="P2705" s="5">
        <f>IF(O2705="","",IF(O2705&gt;0,1,0))</f>
        <v/>
      </c>
    </row>
    <row r="2706">
      <c r="A2706" s="5" t="n">
        <v>2111000000</v>
      </c>
      <c r="B2706" s="5" t="inlineStr">
        <is>
          <t>105984</t>
        </is>
      </c>
      <c r="C2706" s="5" t="inlineStr">
        <is>
          <t>TRADEWORKS SERVICOS DE COMERCIO EXT 04955748000107</t>
        </is>
      </c>
      <c r="D2706" s="5" t="inlineStr">
        <is>
          <t>RE</t>
        </is>
      </c>
      <c r="E2706" s="5" t="n">
        <v>5015576</v>
      </c>
      <c r="F2706" s="5" t="inlineStr">
        <is>
          <t>93703</t>
        </is>
      </c>
      <c r="G2706" s="5" t="inlineStr">
        <is>
          <t>BRL</t>
        </is>
      </c>
      <c r="H2706" s="9" t="n">
        <v>-1337.76</v>
      </c>
      <c r="I2706" s="16" t="n">
        <v>46251</v>
      </c>
      <c r="J2706" s="16" t="n">
        <v>46281</v>
      </c>
      <c r="K2706" s="5" t="inlineStr">
        <is>
          <t>Fatura - bruto TRADEWORKS SERVICOS DE COMERCIO EXT</t>
        </is>
      </c>
      <c r="L2706" s="5" t="inlineStr">
        <is>
          <t>16092026</t>
        </is>
      </c>
      <c r="M2706" s="5">
        <f>IF(YEAR(I2706)&lt;=2020,"Até 2020",TEXT(YEAR(I2706),"0"))</f>
        <v/>
      </c>
      <c r="N2706" s="5">
        <f>IFERROR(INDEX(DePara!$A:$A,MATCH(TEXT(B2706,"0"),DePara!$D:$D,0)),"(sem categoria)")</f>
        <v/>
      </c>
      <c r="O2706" s="5">
        <f>IF(J2706="","",Parametros!$B$6-J2706)</f>
        <v/>
      </c>
      <c r="P2706" s="5">
        <f>IF(O2706="","",IF(O2706&gt;0,1,0))</f>
        <v/>
      </c>
    </row>
    <row r="2707">
      <c r="A2707" s="5" t="n">
        <v>2111000000</v>
      </c>
      <c r="B2707" s="5" t="inlineStr">
        <is>
          <t>105984</t>
        </is>
      </c>
      <c r="C2707" s="5" t="inlineStr">
        <is>
          <t>TRADEWORKS SERVICOS DE COMERCIO EXT 04955748000107</t>
        </is>
      </c>
      <c r="D2707" s="5" t="inlineStr">
        <is>
          <t>RE</t>
        </is>
      </c>
      <c r="E2707" s="5" t="n">
        <v>5015577</v>
      </c>
      <c r="F2707" s="5" t="inlineStr">
        <is>
          <t>93641</t>
        </is>
      </c>
      <c r="G2707" s="5" t="inlineStr">
        <is>
          <t>BRL</t>
        </is>
      </c>
      <c r="H2707" s="9" t="n">
        <v>-1337.76</v>
      </c>
      <c r="I2707" s="16" t="n">
        <v>46247</v>
      </c>
      <c r="J2707" s="16" t="n">
        <v>46277</v>
      </c>
      <c r="K2707" s="5" t="inlineStr">
        <is>
          <t>Fatura - bruto TRADEWORKS SERVICOS DE COMERCIO EXT</t>
        </is>
      </c>
      <c r="L2707" s="5" t="inlineStr">
        <is>
          <t>08092026</t>
        </is>
      </c>
      <c r="M2707" s="5">
        <f>IF(YEAR(I2707)&lt;=2020,"Até 2020",TEXT(YEAR(I2707),"0"))</f>
        <v/>
      </c>
      <c r="N2707" s="5">
        <f>IFERROR(INDEX(DePara!$A:$A,MATCH(TEXT(B2707,"0"),DePara!$D:$D,0)),"(sem categoria)")</f>
        <v/>
      </c>
      <c r="O2707" s="5">
        <f>IF(J2707="","",Parametros!$B$6-J2707)</f>
        <v/>
      </c>
      <c r="P2707" s="5">
        <f>IF(O2707="","",IF(O2707&gt;0,1,0))</f>
        <v/>
      </c>
    </row>
    <row r="2708">
      <c r="A2708" s="5" t="n">
        <v>2111000000</v>
      </c>
      <c r="B2708" s="5" t="inlineStr">
        <is>
          <t>105984</t>
        </is>
      </c>
      <c r="C2708" s="5" t="inlineStr">
        <is>
          <t>TRADEWORKS SERVICOS DE COMERCIO EXT 04955748000107</t>
        </is>
      </c>
      <c r="D2708" s="5" t="inlineStr">
        <is>
          <t>RE</t>
        </is>
      </c>
      <c r="E2708" s="5" t="n">
        <v>5015578</v>
      </c>
      <c r="F2708" s="5" t="inlineStr">
        <is>
          <t>93710</t>
        </is>
      </c>
      <c r="G2708" s="5" t="inlineStr">
        <is>
          <t>BRL</t>
        </is>
      </c>
      <c r="H2708" s="9" t="n">
        <v>-1337.76</v>
      </c>
      <c r="I2708" s="16" t="n">
        <v>46251</v>
      </c>
      <c r="J2708" s="16" t="n">
        <v>46281</v>
      </c>
      <c r="K2708" s="5" t="inlineStr">
        <is>
          <t>Fatura - bruto TRADEWORKS SERVICOS DE COMERCIO EXT</t>
        </is>
      </c>
      <c r="L2708" s="5" t="inlineStr">
        <is>
          <t>16092026</t>
        </is>
      </c>
      <c r="M2708" s="5">
        <f>IF(YEAR(I2708)&lt;=2020,"Até 2020",TEXT(YEAR(I2708),"0"))</f>
        <v/>
      </c>
      <c r="N2708" s="5">
        <f>IFERROR(INDEX(DePara!$A:$A,MATCH(TEXT(B2708,"0"),DePara!$D:$D,0)),"(sem categoria)")</f>
        <v/>
      </c>
      <c r="O2708" s="5">
        <f>IF(J2708="","",Parametros!$B$6-J2708)</f>
        <v/>
      </c>
      <c r="P2708" s="5">
        <f>IF(O2708="","",IF(O2708&gt;0,1,0))</f>
        <v/>
      </c>
    </row>
    <row r="2709">
      <c r="A2709" s="5" t="n">
        <v>2111000000</v>
      </c>
      <c r="B2709" s="5" t="inlineStr">
        <is>
          <t>105984</t>
        </is>
      </c>
      <c r="C2709" s="5" t="inlineStr">
        <is>
          <t>TRADEWORKS SERVICOS DE COMERCIO EXT 04955748000107</t>
        </is>
      </c>
      <c r="D2709" s="5" t="inlineStr">
        <is>
          <t>RE</t>
        </is>
      </c>
      <c r="E2709" s="5" t="n">
        <v>5015579</v>
      </c>
      <c r="F2709" s="5" t="inlineStr">
        <is>
          <t>93704</t>
        </is>
      </c>
      <c r="G2709" s="5" t="inlineStr">
        <is>
          <t>BRL</t>
        </is>
      </c>
      <c r="H2709" s="9" t="n">
        <v>-1337.76</v>
      </c>
      <c r="I2709" s="16" t="n">
        <v>46251</v>
      </c>
      <c r="J2709" s="16" t="n">
        <v>46281</v>
      </c>
      <c r="K2709" s="5" t="inlineStr">
        <is>
          <t>Fatura - bruto TRADEWORKS SERVICOS DE COMERCIO EXT</t>
        </is>
      </c>
      <c r="L2709" s="5" t="inlineStr">
        <is>
          <t>16092026</t>
        </is>
      </c>
      <c r="M2709" s="5">
        <f>IF(YEAR(I2709)&lt;=2020,"Até 2020",TEXT(YEAR(I2709),"0"))</f>
        <v/>
      </c>
      <c r="N2709" s="5">
        <f>IFERROR(INDEX(DePara!$A:$A,MATCH(TEXT(B2709,"0"),DePara!$D:$D,0)),"(sem categoria)")</f>
        <v/>
      </c>
      <c r="O2709" s="5">
        <f>IF(J2709="","",Parametros!$B$6-J2709)</f>
        <v/>
      </c>
      <c r="P2709" s="5">
        <f>IF(O2709="","",IF(O2709&gt;0,1,0))</f>
        <v/>
      </c>
    </row>
    <row r="2710">
      <c r="A2710" s="5" t="n">
        <v>2111000000</v>
      </c>
      <c r="B2710" s="5" t="inlineStr">
        <is>
          <t>105984</t>
        </is>
      </c>
      <c r="C2710" s="5" t="inlineStr">
        <is>
          <t>TRADEWORKS SERVICOS DE COMERCIO EXT 04955748000107</t>
        </is>
      </c>
      <c r="D2710" s="5" t="inlineStr">
        <is>
          <t>RE</t>
        </is>
      </c>
      <c r="E2710" s="5" t="n">
        <v>5015580</v>
      </c>
      <c r="F2710" s="5" t="inlineStr">
        <is>
          <t>93640</t>
        </is>
      </c>
      <c r="G2710" s="5" t="inlineStr">
        <is>
          <t>BRL</t>
        </is>
      </c>
      <c r="H2710" s="9" t="n">
        <v>-1337.76</v>
      </c>
      <c r="I2710" s="16" t="n">
        <v>46247</v>
      </c>
      <c r="J2710" s="16" t="n">
        <v>46277</v>
      </c>
      <c r="K2710" s="5" t="inlineStr">
        <is>
          <t>Fatura - bruto TRADEWORKS SERVICOS DE COMERCIO EXT</t>
        </is>
      </c>
      <c r="L2710" s="5" t="inlineStr">
        <is>
          <t>08092026</t>
        </is>
      </c>
      <c r="M2710" s="5">
        <f>IF(YEAR(I2710)&lt;=2020,"Até 2020",TEXT(YEAR(I2710),"0"))</f>
        <v/>
      </c>
      <c r="N2710" s="5">
        <f>IFERROR(INDEX(DePara!$A:$A,MATCH(TEXT(B2710,"0"),DePara!$D:$D,0)),"(sem categoria)")</f>
        <v/>
      </c>
      <c r="O2710" s="5">
        <f>IF(J2710="","",Parametros!$B$6-J2710)</f>
        <v/>
      </c>
      <c r="P2710" s="5">
        <f>IF(O2710="","",IF(O2710&gt;0,1,0))</f>
        <v/>
      </c>
    </row>
    <row r="2711">
      <c r="A2711" s="5" t="n">
        <v>2111000000</v>
      </c>
      <c r="B2711" s="5" t="inlineStr">
        <is>
          <t>101801</t>
        </is>
      </c>
      <c r="C2711" s="5" t="inlineStr">
        <is>
          <t>DARCY PACHECO SOLUCOES DE PESO LTDA 89396121000108</t>
        </is>
      </c>
      <c r="D2711" s="5" t="inlineStr">
        <is>
          <t>RE</t>
        </is>
      </c>
      <c r="E2711" s="5" t="n">
        <v>5015592</v>
      </c>
      <c r="F2711" s="5" t="inlineStr">
        <is>
          <t>8776</t>
        </is>
      </c>
      <c r="G2711" s="5" t="inlineStr">
        <is>
          <t>BRL</t>
        </is>
      </c>
      <c r="H2711" s="9" t="n">
        <v>-396999.47</v>
      </c>
      <c r="I2711" s="16" t="n">
        <v>46253</v>
      </c>
      <c r="J2711" s="16" t="n">
        <v>46331</v>
      </c>
      <c r="K2711" s="5" t="inlineStr">
        <is>
          <t>Fatura - bruto DARCY PACHECO SOLUCOES DE PESO LTDA</t>
        </is>
      </c>
      <c r="L2711" s="5" t="inlineStr">
        <is>
          <t>05112026</t>
        </is>
      </c>
      <c r="M2711" s="5">
        <f>IF(YEAR(I2711)&lt;=2020,"Até 2020",TEXT(YEAR(I2711),"0"))</f>
        <v/>
      </c>
      <c r="N2711" s="5">
        <f>IFERROR(INDEX(DePara!$A:$A,MATCH(TEXT(B2711,"0"),DePara!$D:$D,0)),"(sem categoria)")</f>
        <v/>
      </c>
      <c r="O2711" s="5">
        <f>IF(J2711="","",Parametros!$B$6-J2711)</f>
        <v/>
      </c>
      <c r="P2711" s="5">
        <f>IF(O2711="","",IF(O2711&gt;0,1,0))</f>
        <v/>
      </c>
    </row>
    <row r="2712">
      <c r="A2712" s="5" t="n">
        <v>2111000000</v>
      </c>
      <c r="B2712" s="5" t="inlineStr">
        <is>
          <t>101156</t>
        </is>
      </c>
      <c r="C2712" s="5" t="inlineStr">
        <is>
          <t>TEKHELIUS PRESTAÇÃO DE SERVIÇOS LTD 37245993000171</t>
        </is>
      </c>
      <c r="D2712" s="5" t="inlineStr">
        <is>
          <t>RE</t>
        </is>
      </c>
      <c r="E2712" s="5" t="n">
        <v>5015593</v>
      </c>
      <c r="F2712" s="5" t="inlineStr">
        <is>
          <t>17</t>
        </is>
      </c>
      <c r="G2712" s="5" t="inlineStr">
        <is>
          <t>BRL</t>
        </is>
      </c>
      <c r="H2712" s="9" t="n">
        <v>-56743.02</v>
      </c>
      <c r="I2712" s="16" t="n">
        <v>46247</v>
      </c>
      <c r="J2712" s="16" t="n">
        <v>46270</v>
      </c>
      <c r="K2712" s="5" t="inlineStr">
        <is>
          <t>Fatura - bruto TEKHELIUS PRESTAÇÃO DE SERVIÇOS LTD</t>
        </is>
      </c>
      <c r="L2712" s="5" t="inlineStr">
        <is>
          <t>02092026</t>
        </is>
      </c>
      <c r="M2712" s="5">
        <f>IF(YEAR(I2712)&lt;=2020,"Até 2020",TEXT(YEAR(I2712),"0"))</f>
        <v/>
      </c>
      <c r="N2712" s="5">
        <f>IFERROR(INDEX(DePara!$A:$A,MATCH(TEXT(B2712,"0"),DePara!$D:$D,0)),"(sem categoria)")</f>
        <v/>
      </c>
      <c r="O2712" s="5">
        <f>IF(J2712="","",Parametros!$B$6-J2712)</f>
        <v/>
      </c>
      <c r="P2712" s="5">
        <f>IF(O2712="","",IF(O2712&gt;0,1,0))</f>
        <v/>
      </c>
    </row>
    <row r="2713">
      <c r="A2713" s="5" t="n">
        <v>2111000000</v>
      </c>
      <c r="B2713" s="5" t="inlineStr">
        <is>
          <t>101156</t>
        </is>
      </c>
      <c r="C2713" s="5" t="inlineStr">
        <is>
          <t>TEKHELIUS PRESTAÇÃO DE SERVIÇOS LTD 37245993000171</t>
        </is>
      </c>
      <c r="D2713" s="5" t="inlineStr">
        <is>
          <t>RE</t>
        </is>
      </c>
      <c r="E2713" s="5" t="n">
        <v>5015594</v>
      </c>
      <c r="F2713" s="5" t="inlineStr">
        <is>
          <t>19</t>
        </is>
      </c>
      <c r="G2713" s="5" t="inlineStr">
        <is>
          <t>BRL</t>
        </is>
      </c>
      <c r="H2713" s="9" t="n">
        <v>-49890.28</v>
      </c>
      <c r="I2713" s="16" t="n">
        <v>46247</v>
      </c>
      <c r="J2713" s="16" t="n">
        <v>46270</v>
      </c>
      <c r="K2713" s="5" t="inlineStr">
        <is>
          <t>Fatura - bruto TEKHELIUS PRESTAÇÃO DE SERVIÇOS LTD</t>
        </is>
      </c>
      <c r="L2713" s="5" t="inlineStr">
        <is>
          <t>02092026</t>
        </is>
      </c>
      <c r="M2713" s="5">
        <f>IF(YEAR(I2713)&lt;=2020,"Até 2020",TEXT(YEAR(I2713),"0"))</f>
        <v/>
      </c>
      <c r="N2713" s="5">
        <f>IFERROR(INDEX(DePara!$A:$A,MATCH(TEXT(B2713,"0"),DePara!$D:$D,0)),"(sem categoria)")</f>
        <v/>
      </c>
      <c r="O2713" s="5">
        <f>IF(J2713="","",Parametros!$B$6-J2713)</f>
        <v/>
      </c>
      <c r="P2713" s="5">
        <f>IF(O2713="","",IF(O2713&gt;0,1,0))</f>
        <v/>
      </c>
    </row>
    <row r="2714">
      <c r="A2714" s="5" t="n">
        <v>2111000000</v>
      </c>
      <c r="B2714" s="5" t="inlineStr">
        <is>
          <t>101156</t>
        </is>
      </c>
      <c r="C2714" s="5" t="inlineStr">
        <is>
          <t>TEKHELIUS PRESTAÇÃO DE SERVIÇOS LTD 37245993000171</t>
        </is>
      </c>
      <c r="D2714" s="5" t="inlineStr">
        <is>
          <t>RE</t>
        </is>
      </c>
      <c r="E2714" s="5" t="n">
        <v>5015595</v>
      </c>
      <c r="F2714" s="5" t="inlineStr">
        <is>
          <t>14</t>
        </is>
      </c>
      <c r="G2714" s="5" t="inlineStr">
        <is>
          <t>BRL</t>
        </is>
      </c>
      <c r="H2714" s="9" t="n">
        <v>-124996.62</v>
      </c>
      <c r="I2714" s="16" t="n">
        <v>46247</v>
      </c>
      <c r="J2714" s="16" t="n">
        <v>46270</v>
      </c>
      <c r="K2714" s="5" t="inlineStr">
        <is>
          <t>Fatura - bruto TEKHELIUS PRESTAÇÃO DE SERVIÇOS LTD</t>
        </is>
      </c>
      <c r="L2714" s="5" t="inlineStr">
        <is>
          <t>02092026</t>
        </is>
      </c>
      <c r="M2714" s="5">
        <f>IF(YEAR(I2714)&lt;=2020,"Até 2020",TEXT(YEAR(I2714),"0"))</f>
        <v/>
      </c>
      <c r="N2714" s="5">
        <f>IFERROR(INDEX(DePara!$A:$A,MATCH(TEXT(B2714,"0"),DePara!$D:$D,0)),"(sem categoria)")</f>
        <v/>
      </c>
      <c r="O2714" s="5">
        <f>IF(J2714="","",Parametros!$B$6-J2714)</f>
        <v/>
      </c>
      <c r="P2714" s="5">
        <f>IF(O2714="","",IF(O2714&gt;0,1,0))</f>
        <v/>
      </c>
    </row>
    <row r="2715">
      <c r="A2715" s="5" t="n">
        <v>2111000000</v>
      </c>
      <c r="B2715" s="5" t="inlineStr">
        <is>
          <t>101156</t>
        </is>
      </c>
      <c r="C2715" s="5" t="inlineStr">
        <is>
          <t>TEKHELIUS PRESTAÇÃO DE SERVIÇOS LTD 37245993000171</t>
        </is>
      </c>
      <c r="D2715" s="5" t="inlineStr">
        <is>
          <t>RE</t>
        </is>
      </c>
      <c r="E2715" s="5" t="n">
        <v>5015601</v>
      </c>
      <c r="F2715" s="5" t="inlineStr">
        <is>
          <t>15</t>
        </is>
      </c>
      <c r="G2715" s="5" t="inlineStr">
        <is>
          <t>BRL</t>
        </is>
      </c>
      <c r="H2715" s="9" t="n">
        <v>-85909.98</v>
      </c>
      <c r="I2715" s="16" t="n">
        <v>46247</v>
      </c>
      <c r="J2715" s="16" t="n">
        <v>46270</v>
      </c>
      <c r="K2715" s="5" t="inlineStr">
        <is>
          <t>Fatura - bruto TEKHELIUS PRESTAÇÃO DE SERVIÇOS LTD</t>
        </is>
      </c>
      <c r="L2715" s="5" t="inlineStr">
        <is>
          <t>02092026</t>
        </is>
      </c>
      <c r="M2715" s="5">
        <f>IF(YEAR(I2715)&lt;=2020,"Até 2020",TEXT(YEAR(I2715),"0"))</f>
        <v/>
      </c>
      <c r="N2715" s="5">
        <f>IFERROR(INDEX(DePara!$A:$A,MATCH(TEXT(B2715,"0"),DePara!$D:$D,0)),"(sem categoria)")</f>
        <v/>
      </c>
      <c r="O2715" s="5">
        <f>IF(J2715="","",Parametros!$B$6-J2715)</f>
        <v/>
      </c>
      <c r="P2715" s="5">
        <f>IF(O2715="","",IF(O2715&gt;0,1,0))</f>
        <v/>
      </c>
    </row>
    <row r="2716">
      <c r="A2716" s="5" t="n">
        <v>2111000000</v>
      </c>
      <c r="B2716" s="5" t="inlineStr">
        <is>
          <t>101463</t>
        </is>
      </c>
      <c r="C2716" s="5" t="inlineStr">
        <is>
          <t>ZURICH MINAS BRASIL SEGUROS S A</t>
        </is>
      </c>
      <c r="D2716" s="5" t="inlineStr">
        <is>
          <t>RE</t>
        </is>
      </c>
      <c r="E2716" s="5" t="n">
        <v>5015608</v>
      </c>
      <c r="F2716" s="5" t="inlineStr">
        <is>
          <t>0443/26</t>
        </is>
      </c>
      <c r="G2716" s="5" t="inlineStr">
        <is>
          <t>BRL</t>
        </is>
      </c>
      <c r="H2716" s="9" t="n">
        <v>-176.81</v>
      </c>
      <c r="I2716" s="16" t="n">
        <v>46253</v>
      </c>
      <c r="J2716" s="16" t="n">
        <v>46284</v>
      </c>
      <c r="K2716" s="5" t="inlineStr">
        <is>
          <t>Invoice Payment. SP: 21698</t>
        </is>
      </c>
      <c r="L2716" s="5" t="inlineStr">
        <is>
          <t>0443/26</t>
        </is>
      </c>
      <c r="M2716" s="5">
        <f>IF(YEAR(I2716)&lt;=2020,"Até 2020",TEXT(YEAR(I2716),"0"))</f>
        <v/>
      </c>
      <c r="N2716" s="5">
        <f>IFERROR(INDEX(DePara!$A:$A,MATCH(TEXT(B2716,"0"),DePara!$D:$D,0)),"(sem categoria)")</f>
        <v/>
      </c>
      <c r="O2716" s="5">
        <f>IF(J2716="","",Parametros!$B$6-J2716)</f>
        <v/>
      </c>
      <c r="P2716" s="5">
        <f>IF(O2716="","",IF(O2716&gt;0,1,0))</f>
        <v/>
      </c>
    </row>
    <row r="2717">
      <c r="A2717" s="5" t="n">
        <v>2111000000</v>
      </c>
      <c r="B2717" s="5" t="inlineStr">
        <is>
          <t>101463</t>
        </is>
      </c>
      <c r="C2717" s="5" t="inlineStr">
        <is>
          <t>ZURICH MINAS BRASIL SEGUROS S A</t>
        </is>
      </c>
      <c r="D2717" s="5" t="inlineStr">
        <is>
          <t>RE</t>
        </is>
      </c>
      <c r="E2717" s="5" t="n">
        <v>5015609</v>
      </c>
      <c r="F2717" s="5" t="inlineStr">
        <is>
          <t>0447/26</t>
        </is>
      </c>
      <c r="G2717" s="5" t="inlineStr">
        <is>
          <t>BRL</t>
        </is>
      </c>
      <c r="H2717" s="9" t="n">
        <v>-3178.25</v>
      </c>
      <c r="I2717" s="16" t="n">
        <v>46248</v>
      </c>
      <c r="J2717" s="16" t="n">
        <v>46284</v>
      </c>
      <c r="K2717" s="5" t="inlineStr">
        <is>
          <t>Invoice Payment. SP: 21484</t>
        </is>
      </c>
      <c r="L2717" s="5" t="inlineStr">
        <is>
          <t>0447/26</t>
        </is>
      </c>
      <c r="M2717" s="5">
        <f>IF(YEAR(I2717)&lt;=2020,"Até 2020",TEXT(YEAR(I2717),"0"))</f>
        <v/>
      </c>
      <c r="N2717" s="5">
        <f>IFERROR(INDEX(DePara!$A:$A,MATCH(TEXT(B2717,"0"),DePara!$D:$D,0)),"(sem categoria)")</f>
        <v/>
      </c>
      <c r="O2717" s="5">
        <f>IF(J2717="","",Parametros!$B$6-J2717)</f>
        <v/>
      </c>
      <c r="P2717" s="5">
        <f>IF(O2717="","",IF(O2717&gt;0,1,0))</f>
        <v/>
      </c>
    </row>
    <row r="2718">
      <c r="A2718" s="5" t="n">
        <v>2111000000</v>
      </c>
      <c r="B2718" s="5" t="inlineStr">
        <is>
          <t>101156</t>
        </is>
      </c>
      <c r="C2718" s="5" t="inlineStr">
        <is>
          <t>TEKHELIUS PRESTAÇÃO DE SERVIÇOS LTD 37245993000171</t>
        </is>
      </c>
      <c r="D2718" s="5" t="inlineStr">
        <is>
          <t>RE</t>
        </is>
      </c>
      <c r="E2718" s="5" t="n">
        <v>5015612</v>
      </c>
      <c r="F2718" s="5" t="inlineStr">
        <is>
          <t>16</t>
        </is>
      </c>
      <c r="G2718" s="5" t="inlineStr">
        <is>
          <t>BRL</t>
        </is>
      </c>
      <c r="H2718" s="9" t="n">
        <v>-44040.48</v>
      </c>
      <c r="I2718" s="16" t="n">
        <v>46247</v>
      </c>
      <c r="J2718" s="16" t="n">
        <v>46270</v>
      </c>
      <c r="K2718" s="5" t="inlineStr">
        <is>
          <t>Fatura - bruto TEKHELIUS PRESTAÇÃO DE SERVIÇOS LTD</t>
        </is>
      </c>
      <c r="L2718" s="5" t="inlineStr">
        <is>
          <t>02092026</t>
        </is>
      </c>
      <c r="M2718" s="5">
        <f>IF(YEAR(I2718)&lt;=2020,"Até 2020",TEXT(YEAR(I2718),"0"))</f>
        <v/>
      </c>
      <c r="N2718" s="5">
        <f>IFERROR(INDEX(DePara!$A:$A,MATCH(TEXT(B2718,"0"),DePara!$D:$D,0)),"(sem categoria)")</f>
        <v/>
      </c>
      <c r="O2718" s="5">
        <f>IF(J2718="","",Parametros!$B$6-J2718)</f>
        <v/>
      </c>
      <c r="P2718" s="5">
        <f>IF(O2718="","",IF(O2718&gt;0,1,0))</f>
        <v/>
      </c>
    </row>
    <row r="2719">
      <c r="A2719" s="5" t="n">
        <v>2111000000</v>
      </c>
      <c r="B2719" s="5" t="inlineStr">
        <is>
          <t>101156</t>
        </is>
      </c>
      <c r="C2719" s="5" t="inlineStr">
        <is>
          <t>TEKHELIUS PRESTAÇÃO DE SERVIÇOS LTD 37245993000171</t>
        </is>
      </c>
      <c r="D2719" s="5" t="inlineStr">
        <is>
          <t>RE</t>
        </is>
      </c>
      <c r="E2719" s="5" t="n">
        <v>5015613</v>
      </c>
      <c r="F2719" s="5" t="inlineStr">
        <is>
          <t>20</t>
        </is>
      </c>
      <c r="G2719" s="5" t="inlineStr">
        <is>
          <t>BRL</t>
        </is>
      </c>
      <c r="H2719" s="9" t="n">
        <v>-16859.72</v>
      </c>
      <c r="I2719" s="16" t="n">
        <v>46247</v>
      </c>
      <c r="J2719" s="16" t="n">
        <v>46270</v>
      </c>
      <c r="K2719" s="5" t="inlineStr">
        <is>
          <t>Fatura - bruto TEKHELIUS PRESTAÇÃO DE SERVIÇOS LTD</t>
        </is>
      </c>
      <c r="L2719" s="5" t="inlineStr">
        <is>
          <t>02092026</t>
        </is>
      </c>
      <c r="M2719" s="5">
        <f>IF(YEAR(I2719)&lt;=2020,"Até 2020",TEXT(YEAR(I2719),"0"))</f>
        <v/>
      </c>
      <c r="N2719" s="5">
        <f>IFERROR(INDEX(DePara!$A:$A,MATCH(TEXT(B2719,"0"),DePara!$D:$D,0)),"(sem categoria)")</f>
        <v/>
      </c>
      <c r="O2719" s="5">
        <f>IF(J2719="","",Parametros!$B$6-J2719)</f>
        <v/>
      </c>
      <c r="P2719" s="5">
        <f>IF(O2719="","",IF(O2719&gt;0,1,0))</f>
        <v/>
      </c>
    </row>
    <row r="2720">
      <c r="A2720" s="5" t="n">
        <v>2111000000</v>
      </c>
      <c r="B2720" s="5" t="inlineStr">
        <is>
          <t>101156</t>
        </is>
      </c>
      <c r="C2720" s="5" t="inlineStr">
        <is>
          <t>TEKHELIUS PRESTAÇÃO DE SERVIÇOS LTD 37245993000171</t>
        </is>
      </c>
      <c r="D2720" s="5" t="inlineStr">
        <is>
          <t>RE</t>
        </is>
      </c>
      <c r="E2720" s="5" t="n">
        <v>5015614</v>
      </c>
      <c r="F2720" s="5" t="inlineStr">
        <is>
          <t>21</t>
        </is>
      </c>
      <c r="G2720" s="5" t="inlineStr">
        <is>
          <t>BRL</t>
        </is>
      </c>
      <c r="H2720" s="9" t="n">
        <v>-25729.62</v>
      </c>
      <c r="I2720" s="16" t="n">
        <v>46247</v>
      </c>
      <c r="J2720" s="16" t="n">
        <v>46270</v>
      </c>
      <c r="K2720" s="5" t="inlineStr">
        <is>
          <t>Fatura - bruto TEKHELIUS PRESTAÇÃO DE SERVIÇOS LTD</t>
        </is>
      </c>
      <c r="L2720" s="5" t="inlineStr">
        <is>
          <t>02092026</t>
        </is>
      </c>
      <c r="M2720" s="5">
        <f>IF(YEAR(I2720)&lt;=2020,"Até 2020",TEXT(YEAR(I2720),"0"))</f>
        <v/>
      </c>
      <c r="N2720" s="5">
        <f>IFERROR(INDEX(DePara!$A:$A,MATCH(TEXT(B2720,"0"),DePara!$D:$D,0)),"(sem categoria)")</f>
        <v/>
      </c>
      <c r="O2720" s="5">
        <f>IF(J2720="","",Parametros!$B$6-J2720)</f>
        <v/>
      </c>
      <c r="P2720" s="5">
        <f>IF(O2720="","",IF(O2720&gt;0,1,0))</f>
        <v/>
      </c>
    </row>
    <row r="2721">
      <c r="A2721" s="5" t="n">
        <v>2111000000</v>
      </c>
      <c r="B2721" s="5" t="inlineStr">
        <is>
          <t>101156</t>
        </is>
      </c>
      <c r="C2721" s="5" t="inlineStr">
        <is>
          <t>TEKHELIUS PRESTAÇÃO DE SERVIÇOS LTD 37245993000171</t>
        </is>
      </c>
      <c r="D2721" s="5" t="inlineStr">
        <is>
          <t>RE</t>
        </is>
      </c>
      <c r="E2721" s="5" t="n">
        <v>5015615</v>
      </c>
      <c r="F2721" s="5" t="inlineStr">
        <is>
          <t>22</t>
        </is>
      </c>
      <c r="G2721" s="5" t="inlineStr">
        <is>
          <t>BRL</t>
        </is>
      </c>
      <c r="H2721" s="9" t="n">
        <v>-134506.75</v>
      </c>
      <c r="I2721" s="16" t="n">
        <v>46247</v>
      </c>
      <c r="J2721" s="16" t="n">
        <v>46270</v>
      </c>
      <c r="K2721" s="5" t="inlineStr">
        <is>
          <t>Fatura - bruto TEKHELIUS PRESTAÇÃO DE SERVIÇOS LTD</t>
        </is>
      </c>
      <c r="L2721" s="5" t="inlineStr">
        <is>
          <t>02092026</t>
        </is>
      </c>
      <c r="M2721" s="5">
        <f>IF(YEAR(I2721)&lt;=2020,"Até 2020",TEXT(YEAR(I2721),"0"))</f>
        <v/>
      </c>
      <c r="N2721" s="5">
        <f>IFERROR(INDEX(DePara!$A:$A,MATCH(TEXT(B2721,"0"),DePara!$D:$D,0)),"(sem categoria)")</f>
        <v/>
      </c>
      <c r="O2721" s="5">
        <f>IF(J2721="","",Parametros!$B$6-J2721)</f>
        <v/>
      </c>
      <c r="P2721" s="5">
        <f>IF(O2721="","",IF(O2721&gt;0,1,0))</f>
        <v/>
      </c>
    </row>
    <row r="2722">
      <c r="A2722" s="5" t="n">
        <v>2111000000</v>
      </c>
      <c r="B2722" s="5" t="inlineStr">
        <is>
          <t>100026</t>
        </is>
      </c>
      <c r="C2722" s="5" t="inlineStr">
        <is>
          <t>PAIVA SERVICOS LTDA</t>
        </is>
      </c>
      <c r="D2722" s="5" t="inlineStr">
        <is>
          <t>RE</t>
        </is>
      </c>
      <c r="E2722" s="5" t="n">
        <v>5015616</v>
      </c>
      <c r="F2722" s="5" t="inlineStr">
        <is>
          <t>830</t>
        </is>
      </c>
      <c r="G2722" s="5" t="inlineStr">
        <is>
          <t>BRL</t>
        </is>
      </c>
      <c r="H2722" s="9" t="n">
        <v>-44141.78</v>
      </c>
      <c r="I2722" s="16" t="n">
        <v>46254</v>
      </c>
      <c r="J2722" s="16" t="n">
        <v>46300</v>
      </c>
      <c r="K2722" s="5" t="inlineStr">
        <is>
          <t>Fatura - bruto PAIVA SERVICOS LTDA 830</t>
        </is>
      </c>
      <c r="L2722" s="5" t="inlineStr">
        <is>
          <t>05102026</t>
        </is>
      </c>
      <c r="M2722" s="5">
        <f>IF(YEAR(I2722)&lt;=2020,"Até 2020",TEXT(YEAR(I2722),"0"))</f>
        <v/>
      </c>
      <c r="N2722" s="5">
        <f>IFERROR(INDEX(DePara!$A:$A,MATCH(TEXT(B2722,"0"),DePara!$D:$D,0)),"(sem categoria)")</f>
        <v/>
      </c>
      <c r="O2722" s="5">
        <f>IF(J2722="","",Parametros!$B$6-J2722)</f>
        <v/>
      </c>
      <c r="P2722" s="5">
        <f>IF(O2722="","",IF(O2722&gt;0,1,0))</f>
        <v/>
      </c>
    </row>
    <row r="2723">
      <c r="A2723" s="5" t="n">
        <v>2111000000</v>
      </c>
      <c r="B2723" s="5" t="inlineStr">
        <is>
          <t>101463</t>
        </is>
      </c>
      <c r="C2723" s="5" t="inlineStr">
        <is>
          <t>ZURICH MINAS BRASIL SEGUROS S A</t>
        </is>
      </c>
      <c r="D2723" s="5" t="inlineStr">
        <is>
          <t>RE</t>
        </is>
      </c>
      <c r="E2723" s="5" t="n">
        <v>5015617</v>
      </c>
      <c r="F2723" s="5" t="inlineStr">
        <is>
          <t>0419/26</t>
        </is>
      </c>
      <c r="G2723" s="5" t="inlineStr">
        <is>
          <t>BRL</t>
        </is>
      </c>
      <c r="H2723" s="9" t="n">
        <v>-3146.74</v>
      </c>
      <c r="I2723" s="16" t="n">
        <v>46248</v>
      </c>
      <c r="J2723" s="16" t="n">
        <v>46284</v>
      </c>
      <c r="K2723" s="5" t="inlineStr">
        <is>
          <t>Invoice Payment. SP: 21487</t>
        </is>
      </c>
      <c r="L2723" s="5" t="inlineStr">
        <is>
          <t>0419/26</t>
        </is>
      </c>
      <c r="M2723" s="5">
        <f>IF(YEAR(I2723)&lt;=2020,"Até 2020",TEXT(YEAR(I2723),"0"))</f>
        <v/>
      </c>
      <c r="N2723" s="5">
        <f>IFERROR(INDEX(DePara!$A:$A,MATCH(TEXT(B2723,"0"),DePara!$D:$D,0)),"(sem categoria)")</f>
        <v/>
      </c>
      <c r="O2723" s="5">
        <f>IF(J2723="","",Parametros!$B$6-J2723)</f>
        <v/>
      </c>
      <c r="P2723" s="5">
        <f>IF(O2723="","",IF(O2723&gt;0,1,0))</f>
        <v/>
      </c>
    </row>
    <row r="2724">
      <c r="A2724" s="5" t="n">
        <v>2111000000</v>
      </c>
      <c r="B2724" s="5" t="inlineStr">
        <is>
          <t>100026</t>
        </is>
      </c>
      <c r="C2724" s="5" t="inlineStr">
        <is>
          <t>PAIVA SERVICOS LTDA</t>
        </is>
      </c>
      <c r="D2724" s="5" t="inlineStr">
        <is>
          <t>RE</t>
        </is>
      </c>
      <c r="E2724" s="5" t="n">
        <v>5015618</v>
      </c>
      <c r="F2724" s="5" t="inlineStr">
        <is>
          <t>829</t>
        </is>
      </c>
      <c r="G2724" s="5" t="inlineStr">
        <is>
          <t>BRL</t>
        </is>
      </c>
      <c r="H2724" s="9" t="n">
        <v>-41107.99</v>
      </c>
      <c r="I2724" s="16" t="n">
        <v>46254</v>
      </c>
      <c r="J2724" s="16" t="n">
        <v>46300</v>
      </c>
      <c r="K2724" s="5" t="inlineStr">
        <is>
          <t>Fatura - bruto PAIVA SERVICOS LTDA 829</t>
        </is>
      </c>
      <c r="L2724" s="5" t="inlineStr">
        <is>
          <t>05102026</t>
        </is>
      </c>
      <c r="M2724" s="5">
        <f>IF(YEAR(I2724)&lt;=2020,"Até 2020",TEXT(YEAR(I2724),"0"))</f>
        <v/>
      </c>
      <c r="N2724" s="5">
        <f>IFERROR(INDEX(DePara!$A:$A,MATCH(TEXT(B2724,"0"),DePara!$D:$D,0)),"(sem categoria)")</f>
        <v/>
      </c>
      <c r="O2724" s="5">
        <f>IF(J2724="","",Parametros!$B$6-J2724)</f>
        <v/>
      </c>
      <c r="P2724" s="5">
        <f>IF(O2724="","",IF(O2724&gt;0,1,0))</f>
        <v/>
      </c>
    </row>
    <row r="2725">
      <c r="A2725" s="5" t="n">
        <v>2111000000</v>
      </c>
      <c r="B2725" s="5" t="inlineStr">
        <is>
          <t>104059</t>
        </is>
      </c>
      <c r="C2725" s="5" t="inlineStr">
        <is>
          <t>MG SERVICOS E SAUDE LTDA 48515732000140</t>
        </is>
      </c>
      <c r="D2725" s="5" t="inlineStr">
        <is>
          <t>RE</t>
        </is>
      </c>
      <c r="E2725" s="5" t="n">
        <v>5015619</v>
      </c>
      <c r="F2725" s="5" t="inlineStr">
        <is>
          <t>37</t>
        </is>
      </c>
      <c r="G2725" s="5" t="inlineStr">
        <is>
          <t>BRL</t>
        </is>
      </c>
      <c r="H2725" s="9" t="n">
        <v>-2656.33</v>
      </c>
      <c r="I2725" s="16" t="n">
        <v>46253</v>
      </c>
      <c r="J2725" s="16" t="n">
        <v>46331</v>
      </c>
      <c r="K2725" s="5" t="inlineStr">
        <is>
          <t>Fatura - bruto MG SERVICOS E SAUDE LTDA 4851573200</t>
        </is>
      </c>
      <c r="L2725" s="5" t="inlineStr">
        <is>
          <t>05112026</t>
        </is>
      </c>
      <c r="M2725" s="5">
        <f>IF(YEAR(I2725)&lt;=2020,"Até 2020",TEXT(YEAR(I2725),"0"))</f>
        <v/>
      </c>
      <c r="N2725" s="5">
        <f>IFERROR(INDEX(DePara!$A:$A,MATCH(TEXT(B2725,"0"),DePara!$D:$D,0)),"(sem categoria)")</f>
        <v/>
      </c>
      <c r="O2725" s="5">
        <f>IF(J2725="","",Parametros!$B$6-J2725)</f>
        <v/>
      </c>
      <c r="P2725" s="5">
        <f>IF(O2725="","",IF(O2725&gt;0,1,0))</f>
        <v/>
      </c>
    </row>
    <row r="2726">
      <c r="A2726" s="5" t="n">
        <v>2111000000</v>
      </c>
      <c r="B2726" s="5" t="inlineStr">
        <is>
          <t>105984</t>
        </is>
      </c>
      <c r="C2726" s="5" t="inlineStr">
        <is>
          <t>TRADEWORKS SERVICOS DE COMERCIO EXT 04955748000107</t>
        </is>
      </c>
      <c r="D2726" s="5" t="inlineStr">
        <is>
          <t>RE</t>
        </is>
      </c>
      <c r="E2726" s="5" t="n">
        <v>5015620</v>
      </c>
      <c r="F2726" s="5" t="inlineStr">
        <is>
          <t>0419/26</t>
        </is>
      </c>
      <c r="G2726" s="5" t="inlineStr">
        <is>
          <t>BRL</t>
        </is>
      </c>
      <c r="H2726" s="9" t="n">
        <v>-145558.22</v>
      </c>
      <c r="I2726" s="16" t="n">
        <v>46248</v>
      </c>
      <c r="J2726" s="16" t="n">
        <v>46284</v>
      </c>
      <c r="K2726" s="5" t="inlineStr">
        <is>
          <t>Invoice Payment. SP: 21488</t>
        </is>
      </c>
      <c r="L2726" s="5" t="inlineStr">
        <is>
          <t>VERIFICAR</t>
        </is>
      </c>
      <c r="M2726" s="5">
        <f>IF(YEAR(I2726)&lt;=2020,"Até 2020",TEXT(YEAR(I2726),"0"))</f>
        <v/>
      </c>
      <c r="N2726" s="5">
        <f>IFERROR(INDEX(DePara!$A:$A,MATCH(TEXT(B2726,"0"),DePara!$D:$D,0)),"(sem categoria)")</f>
        <v/>
      </c>
      <c r="O2726" s="5">
        <f>IF(J2726="","",Parametros!$B$6-J2726)</f>
        <v/>
      </c>
      <c r="P2726" s="5">
        <f>IF(O2726="","",IF(O2726&gt;0,1,0))</f>
        <v/>
      </c>
    </row>
    <row r="2727">
      <c r="A2727" s="5" t="n">
        <v>2111000000</v>
      </c>
      <c r="B2727" s="5" t="inlineStr">
        <is>
          <t>104059</t>
        </is>
      </c>
      <c r="C2727" s="5" t="inlineStr">
        <is>
          <t>MG SERVICOS E SAUDE LTDA 48515732000140</t>
        </is>
      </c>
      <c r="D2727" s="5" t="inlineStr">
        <is>
          <t>RE</t>
        </is>
      </c>
      <c r="E2727" s="5" t="n">
        <v>5015621</v>
      </c>
      <c r="F2727" s="5" t="inlineStr">
        <is>
          <t>36</t>
        </is>
      </c>
      <c r="G2727" s="5" t="inlineStr">
        <is>
          <t>BRL</t>
        </is>
      </c>
      <c r="H2727" s="9" t="n">
        <v>-1544.06</v>
      </c>
      <c r="I2727" s="16" t="n">
        <v>46253</v>
      </c>
      <c r="J2727" s="16" t="n">
        <v>46331</v>
      </c>
      <c r="K2727" s="5" t="inlineStr">
        <is>
          <t>Fatura - bruto MG SERVICOS E SAUDE LTDA 4851573200</t>
        </is>
      </c>
      <c r="L2727" s="5" t="inlineStr">
        <is>
          <t>05112026</t>
        </is>
      </c>
      <c r="M2727" s="5">
        <f>IF(YEAR(I2727)&lt;=2020,"Até 2020",TEXT(YEAR(I2727),"0"))</f>
        <v/>
      </c>
      <c r="N2727" s="5">
        <f>IFERROR(INDEX(DePara!$A:$A,MATCH(TEXT(B2727,"0"),DePara!$D:$D,0)),"(sem categoria)")</f>
        <v/>
      </c>
      <c r="O2727" s="5">
        <f>IF(J2727="","",Parametros!$B$6-J2727)</f>
        <v/>
      </c>
      <c r="P2727" s="5">
        <f>IF(O2727="","",IF(O2727&gt;0,1,0))</f>
        <v/>
      </c>
    </row>
    <row r="2728">
      <c r="A2728" s="5" t="n">
        <v>2111000000</v>
      </c>
      <c r="B2728" s="5" t="inlineStr">
        <is>
          <t>102052</t>
        </is>
      </c>
      <c r="C2728" s="5" t="inlineStr">
        <is>
          <t>TOME EQUIPAMENTOS E TRANSPORTES LTD 44384832000124</t>
        </is>
      </c>
      <c r="D2728" s="5" t="inlineStr">
        <is>
          <t>RE</t>
        </is>
      </c>
      <c r="E2728" s="5" t="n">
        <v>5015627</v>
      </c>
      <c r="F2728" s="5" t="inlineStr">
        <is>
          <t>10280</t>
        </is>
      </c>
      <c r="G2728" s="5" t="inlineStr">
        <is>
          <t>BRL</t>
        </is>
      </c>
      <c r="H2728" s="9" t="n">
        <v>-7838.2</v>
      </c>
      <c r="I2728" s="16" t="n">
        <v>46246</v>
      </c>
      <c r="J2728" s="16" t="n">
        <v>46331</v>
      </c>
      <c r="K2728" s="5" t="inlineStr">
        <is>
          <t>Fatura - bruto TOME EQUIPAMENTOS E TRANSPORTES LTD</t>
        </is>
      </c>
      <c r="L2728" s="5" t="inlineStr">
        <is>
          <t>05112026</t>
        </is>
      </c>
      <c r="M2728" s="5">
        <f>IF(YEAR(I2728)&lt;=2020,"Até 2020",TEXT(YEAR(I2728),"0"))</f>
        <v/>
      </c>
      <c r="N2728" s="5">
        <f>IFERROR(INDEX(DePara!$A:$A,MATCH(TEXT(B2728,"0"),DePara!$D:$D,0)),"(sem categoria)")</f>
        <v/>
      </c>
      <c r="O2728" s="5">
        <f>IF(J2728="","",Parametros!$B$6-J2728)</f>
        <v/>
      </c>
      <c r="P2728" s="5">
        <f>IF(O2728="","",IF(O2728&gt;0,1,0))</f>
        <v/>
      </c>
    </row>
    <row r="2729">
      <c r="A2729" s="5" t="n">
        <v>2111000000</v>
      </c>
      <c r="B2729" s="5" t="inlineStr">
        <is>
          <t>101156</t>
        </is>
      </c>
      <c r="C2729" s="5" t="inlineStr">
        <is>
          <t>TEKHELIUS PRESTAÇÃO DE SERVIÇOS LTD 37245993000171</t>
        </is>
      </c>
      <c r="D2729" s="5" t="inlineStr">
        <is>
          <t>RE</t>
        </is>
      </c>
      <c r="E2729" s="5" t="n">
        <v>5015628</v>
      </c>
      <c r="F2729" s="5" t="inlineStr">
        <is>
          <t>18</t>
        </is>
      </c>
      <c r="G2729" s="5" t="inlineStr">
        <is>
          <t>BRL</t>
        </is>
      </c>
      <c r="H2729" s="9" t="n">
        <v>-32716.5</v>
      </c>
      <c r="I2729" s="16" t="n">
        <v>46247</v>
      </c>
      <c r="J2729" s="16" t="n">
        <v>46270</v>
      </c>
      <c r="K2729" s="5" t="inlineStr">
        <is>
          <t>Fatura - bruto TEKHELIUS PRESTAÇÃO DE SERVIÇOS LTD</t>
        </is>
      </c>
      <c r="L2729" s="5" t="inlineStr">
        <is>
          <t>02092026</t>
        </is>
      </c>
      <c r="M2729" s="5">
        <f>IF(YEAR(I2729)&lt;=2020,"Até 2020",TEXT(YEAR(I2729),"0"))</f>
        <v/>
      </c>
      <c r="N2729" s="5">
        <f>IFERROR(INDEX(DePara!$A:$A,MATCH(TEXT(B2729,"0"),DePara!$D:$D,0)),"(sem categoria)")</f>
        <v/>
      </c>
      <c r="O2729" s="5">
        <f>IF(J2729="","",Parametros!$B$6-J2729)</f>
        <v/>
      </c>
      <c r="P2729" s="5">
        <f>IF(O2729="","",IF(O2729&gt;0,1,0))</f>
        <v/>
      </c>
    </row>
    <row r="2730">
      <c r="A2730" s="5" t="n">
        <v>2111000000</v>
      </c>
      <c r="B2730" s="5" t="inlineStr">
        <is>
          <t>101463</t>
        </is>
      </c>
      <c r="C2730" s="5" t="inlineStr">
        <is>
          <t>ZURICH MINAS BRASIL SEGUROS S A</t>
        </is>
      </c>
      <c r="D2730" s="5" t="inlineStr">
        <is>
          <t>RE</t>
        </is>
      </c>
      <c r="E2730" s="5" t="n">
        <v>5015629</v>
      </c>
      <c r="F2730" s="5" t="inlineStr">
        <is>
          <t>0222/26</t>
        </is>
      </c>
      <c r="G2730" s="5" t="inlineStr">
        <is>
          <t>BRL</t>
        </is>
      </c>
      <c r="H2730" s="9" t="n">
        <v>-492.94</v>
      </c>
      <c r="I2730" s="16" t="n">
        <v>46251</v>
      </c>
      <c r="J2730" s="16" t="n">
        <v>46284</v>
      </c>
      <c r="K2730" s="5" t="inlineStr">
        <is>
          <t>Invoice Payment. SP: 21560</t>
        </is>
      </c>
      <c r="L2730" s="5" t="inlineStr">
        <is>
          <t>0222/26</t>
        </is>
      </c>
      <c r="M2730" s="5">
        <f>IF(YEAR(I2730)&lt;=2020,"Até 2020",TEXT(YEAR(I2730),"0"))</f>
        <v/>
      </c>
      <c r="N2730" s="5">
        <f>IFERROR(INDEX(DePara!$A:$A,MATCH(TEXT(B2730,"0"),DePara!$D:$D,0)),"(sem categoria)")</f>
        <v/>
      </c>
      <c r="O2730" s="5">
        <f>IF(J2730="","",Parametros!$B$6-J2730)</f>
        <v/>
      </c>
      <c r="P2730" s="5">
        <f>IF(O2730="","",IF(O2730&gt;0,1,0))</f>
        <v/>
      </c>
    </row>
    <row r="2731">
      <c r="A2731" s="5" t="n">
        <v>2111000000</v>
      </c>
      <c r="B2731" s="5" t="inlineStr">
        <is>
          <t>101463</t>
        </is>
      </c>
      <c r="C2731" s="5" t="inlineStr">
        <is>
          <t>ZURICH MINAS BRASIL SEGUROS S A</t>
        </is>
      </c>
      <c r="D2731" s="5" t="inlineStr">
        <is>
          <t>RE</t>
        </is>
      </c>
      <c r="E2731" s="5" t="n">
        <v>5015630</v>
      </c>
      <c r="F2731" s="5" t="inlineStr">
        <is>
          <t>0817/25</t>
        </is>
      </c>
      <c r="G2731" s="5" t="inlineStr">
        <is>
          <t>BRL</t>
        </is>
      </c>
      <c r="H2731" s="9" t="n">
        <v>-245.21</v>
      </c>
      <c r="I2731" s="16" t="n">
        <v>46010</v>
      </c>
      <c r="J2731" s="16" t="n">
        <v>46040</v>
      </c>
      <c r="K2731" s="5" t="inlineStr">
        <is>
          <t>Invoice Payment. SP: 13939</t>
        </is>
      </c>
      <c r="L2731" s="5" t="inlineStr">
        <is>
          <t>0817/25</t>
        </is>
      </c>
      <c r="M2731" s="5">
        <f>IF(YEAR(I2731)&lt;=2020,"Até 2020",TEXT(YEAR(I2731),"0"))</f>
        <v/>
      </c>
      <c r="N2731" s="5">
        <f>IFERROR(INDEX(DePara!$A:$A,MATCH(TEXT(B2731,"0"),DePara!$D:$D,0)),"(sem categoria)")</f>
        <v/>
      </c>
      <c r="O2731" s="5">
        <f>IF(J2731="","",Parametros!$B$6-J2731)</f>
        <v/>
      </c>
      <c r="P2731" s="5">
        <f>IF(O2731="","",IF(O2731&gt;0,1,0))</f>
        <v/>
      </c>
    </row>
    <row r="2732">
      <c r="A2732" s="5" t="n">
        <v>2111000000</v>
      </c>
      <c r="B2732" s="5" t="inlineStr">
        <is>
          <t>101463</t>
        </is>
      </c>
      <c r="C2732" s="5" t="inlineStr">
        <is>
          <t>ZURICH MINAS BRASIL SEGUROS S A</t>
        </is>
      </c>
      <c r="D2732" s="5" t="inlineStr">
        <is>
          <t>RE</t>
        </is>
      </c>
      <c r="E2732" s="5" t="n">
        <v>5015631</v>
      </c>
      <c r="F2732" s="5" t="inlineStr">
        <is>
          <t>0710/25</t>
        </is>
      </c>
      <c r="G2732" s="5" t="inlineStr">
        <is>
          <t>BRL</t>
        </is>
      </c>
      <c r="H2732" s="9" t="n">
        <v>-40.26</v>
      </c>
      <c r="I2732" s="16" t="n">
        <v>45943</v>
      </c>
      <c r="J2732" s="16" t="n">
        <v>45973</v>
      </c>
      <c r="K2732" s="5" t="inlineStr">
        <is>
          <t>Invoice Payment. SP: 11842</t>
        </is>
      </c>
      <c r="L2732" s="5" t="inlineStr">
        <is>
          <t>0710/25</t>
        </is>
      </c>
      <c r="M2732" s="5">
        <f>IF(YEAR(I2732)&lt;=2020,"Até 2020",TEXT(YEAR(I2732),"0"))</f>
        <v/>
      </c>
      <c r="N2732" s="5">
        <f>IFERROR(INDEX(DePara!$A:$A,MATCH(TEXT(B2732,"0"),DePara!$D:$D,0)),"(sem categoria)")</f>
        <v/>
      </c>
      <c r="O2732" s="5">
        <f>IF(J2732="","",Parametros!$B$6-J2732)</f>
        <v/>
      </c>
      <c r="P2732" s="5">
        <f>IF(O2732="","",IF(O2732&gt;0,1,0))</f>
        <v/>
      </c>
    </row>
    <row r="2733">
      <c r="A2733" s="5" t="n">
        <v>2111000000</v>
      </c>
      <c r="B2733" s="5" t="inlineStr">
        <is>
          <t>105984</t>
        </is>
      </c>
      <c r="C2733" s="5" t="inlineStr">
        <is>
          <t>TRADEWORKS SERVICOS DE COMERCIO EXT 04955748000107</t>
        </is>
      </c>
      <c r="D2733" s="5" t="inlineStr">
        <is>
          <t>RE</t>
        </is>
      </c>
      <c r="E2733" s="5" t="n">
        <v>5015632</v>
      </c>
      <c r="F2733" s="5" t="inlineStr">
        <is>
          <t>0710/25</t>
        </is>
      </c>
      <c r="G2733" s="5" t="inlineStr">
        <is>
          <t>BRL</t>
        </is>
      </c>
      <c r="H2733" s="9" t="n">
        <v>-3713.04</v>
      </c>
      <c r="I2733" s="16" t="n">
        <v>45965</v>
      </c>
      <c r="J2733" s="16" t="n">
        <v>45995</v>
      </c>
      <c r="K2733" s="5" t="inlineStr">
        <is>
          <t>Invoice Payment. SP: 12428</t>
        </is>
      </c>
      <c r="L2733" s="5" t="inlineStr">
        <is>
          <t>0710/25</t>
        </is>
      </c>
      <c r="M2733" s="5">
        <f>IF(YEAR(I2733)&lt;=2020,"Até 2020",TEXT(YEAR(I2733),"0"))</f>
        <v/>
      </c>
      <c r="N2733" s="5">
        <f>IFERROR(INDEX(DePara!$A:$A,MATCH(TEXT(B2733,"0"),DePara!$D:$D,0)),"(sem categoria)")</f>
        <v/>
      </c>
      <c r="O2733" s="5">
        <f>IF(J2733="","",Parametros!$B$6-J2733)</f>
        <v/>
      </c>
      <c r="P2733" s="5">
        <f>IF(O2733="","",IF(O2733&gt;0,1,0))</f>
        <v/>
      </c>
    </row>
    <row r="2734">
      <c r="A2734" s="5" t="n">
        <v>2111000000</v>
      </c>
      <c r="B2734" s="5" t="inlineStr">
        <is>
          <t>101463</t>
        </is>
      </c>
      <c r="C2734" s="5" t="inlineStr">
        <is>
          <t>ZURICH MINAS BRASIL SEGUROS S A</t>
        </is>
      </c>
      <c r="D2734" s="5" t="inlineStr">
        <is>
          <t>RE</t>
        </is>
      </c>
      <c r="E2734" s="5" t="n">
        <v>5015634</v>
      </c>
      <c r="F2734" s="5" t="inlineStr">
        <is>
          <t>0886/25</t>
        </is>
      </c>
      <c r="G2734" s="5" t="inlineStr">
        <is>
          <t>BRL</t>
        </is>
      </c>
      <c r="H2734" s="9" t="n">
        <v>-629.89</v>
      </c>
      <c r="I2734" s="16" t="n">
        <v>46014</v>
      </c>
      <c r="J2734" s="16" t="n">
        <v>46044</v>
      </c>
      <c r="K2734" s="5" t="inlineStr">
        <is>
          <t>Invoice Payment. SP: 14039</t>
        </is>
      </c>
      <c r="L2734" s="5" t="inlineStr">
        <is>
          <t>0886/25</t>
        </is>
      </c>
      <c r="M2734" s="5">
        <f>IF(YEAR(I2734)&lt;=2020,"Até 2020",TEXT(YEAR(I2734),"0"))</f>
        <v/>
      </c>
      <c r="N2734" s="5">
        <f>IFERROR(INDEX(DePara!$A:$A,MATCH(TEXT(B2734,"0"),DePara!$D:$D,0)),"(sem categoria)")</f>
        <v/>
      </c>
      <c r="O2734" s="5">
        <f>IF(J2734="","",Parametros!$B$6-J2734)</f>
        <v/>
      </c>
      <c r="P2734" s="5">
        <f>IF(O2734="","",IF(O2734&gt;0,1,0))</f>
        <v/>
      </c>
    </row>
    <row r="2735">
      <c r="A2735" s="5" t="n">
        <v>2111000000</v>
      </c>
      <c r="B2735" s="5" t="inlineStr">
        <is>
          <t>101463</t>
        </is>
      </c>
      <c r="C2735" s="5" t="inlineStr">
        <is>
          <t>ZURICH MINAS BRASIL SEGUROS S A</t>
        </is>
      </c>
      <c r="D2735" s="5" t="inlineStr">
        <is>
          <t>RE</t>
        </is>
      </c>
      <c r="E2735" s="5" t="n">
        <v>5015636</v>
      </c>
      <c r="F2735" s="5" t="inlineStr">
        <is>
          <t>0162/26</t>
        </is>
      </c>
      <c r="G2735" s="5" t="inlineStr">
        <is>
          <t>BRL</t>
        </is>
      </c>
      <c r="H2735" s="9" t="n">
        <v>-116.72</v>
      </c>
      <c r="I2735" s="16" t="n">
        <v>46251</v>
      </c>
      <c r="J2735" s="16" t="n">
        <v>46284</v>
      </c>
      <c r="K2735" s="5" t="inlineStr">
        <is>
          <t>Invoice Payment. SP: 21558</t>
        </is>
      </c>
      <c r="L2735" s="5" t="inlineStr">
        <is>
          <t>0162/26</t>
        </is>
      </c>
      <c r="M2735" s="5">
        <f>IF(YEAR(I2735)&lt;=2020,"Até 2020",TEXT(YEAR(I2735),"0"))</f>
        <v/>
      </c>
      <c r="N2735" s="5">
        <f>IFERROR(INDEX(DePara!$A:$A,MATCH(TEXT(B2735,"0"),DePara!$D:$D,0)),"(sem categoria)")</f>
        <v/>
      </c>
      <c r="O2735" s="5">
        <f>IF(J2735="","",Parametros!$B$6-J2735)</f>
        <v/>
      </c>
      <c r="P2735" s="5">
        <f>IF(O2735="","",IF(O2735&gt;0,1,0))</f>
        <v/>
      </c>
    </row>
    <row r="2736">
      <c r="A2736" s="5" t="n">
        <v>2111000000</v>
      </c>
      <c r="B2736" s="5" t="inlineStr">
        <is>
          <t>101484</t>
        </is>
      </c>
      <c r="C2736" s="5" t="inlineStr">
        <is>
          <t>SANTIN EMPRESA DE TRANSP. ESPECIAIS 22902476000401</t>
        </is>
      </c>
      <c r="D2736" s="5" t="inlineStr">
        <is>
          <t>RE</t>
        </is>
      </c>
      <c r="E2736" s="5" t="n">
        <v>5015638</v>
      </c>
      <c r="F2736" s="5" t="inlineStr">
        <is>
          <t>4171-1</t>
        </is>
      </c>
      <c r="G2736" s="5" t="inlineStr">
        <is>
          <t>BRL</t>
        </is>
      </c>
      <c r="H2736" s="9" t="n">
        <v>-104462.73</v>
      </c>
      <c r="I2736" s="16" t="n">
        <v>46213</v>
      </c>
      <c r="J2736" s="16" t="n">
        <v>46300</v>
      </c>
      <c r="K2736" s="5" t="inlineStr">
        <is>
          <t>Fatura - bruto SANTIN EMPRESA DE TRANSP. ESPECIAIS</t>
        </is>
      </c>
      <c r="L2736" s="5" t="inlineStr">
        <is>
          <t>05102026</t>
        </is>
      </c>
      <c r="M2736" s="5">
        <f>IF(YEAR(I2736)&lt;=2020,"Até 2020",TEXT(YEAR(I2736),"0"))</f>
        <v/>
      </c>
      <c r="N2736" s="5">
        <f>IFERROR(INDEX(DePara!$A:$A,MATCH(TEXT(B2736,"0"),DePara!$D:$D,0)),"(sem categoria)")</f>
        <v/>
      </c>
      <c r="O2736" s="5">
        <f>IF(J2736="","",Parametros!$B$6-J2736)</f>
        <v/>
      </c>
      <c r="P2736" s="5">
        <f>IF(O2736="","",IF(O2736&gt;0,1,0))</f>
        <v/>
      </c>
    </row>
    <row r="2737">
      <c r="A2737" s="5" t="n">
        <v>2111000000</v>
      </c>
      <c r="B2737" s="5" t="inlineStr">
        <is>
          <t>105984</t>
        </is>
      </c>
      <c r="C2737" s="5" t="inlineStr">
        <is>
          <t>TRADEWORKS SERVICOS DE COMERCIO EXT 04955748000107</t>
        </is>
      </c>
      <c r="D2737" s="5" t="inlineStr">
        <is>
          <t>RE</t>
        </is>
      </c>
      <c r="E2737" s="5" t="n">
        <v>5015639</v>
      </c>
      <c r="F2737" s="5" t="inlineStr">
        <is>
          <t>0044/26</t>
        </is>
      </c>
      <c r="G2737" s="5" t="inlineStr">
        <is>
          <t>BRL</t>
        </is>
      </c>
      <c r="H2737" s="9" t="n">
        <v>-0.03</v>
      </c>
      <c r="I2737" s="16" t="n">
        <v>46113</v>
      </c>
      <c r="J2737" s="16" t="n">
        <v>46284</v>
      </c>
      <c r="K2737" s="5" t="inlineStr">
        <is>
          <t>Invoice Payment. SP: 16542</t>
        </is>
      </c>
      <c r="L2737" s="5" t="inlineStr">
        <is>
          <t>VERIFICAR</t>
        </is>
      </c>
      <c r="M2737" s="5">
        <f>IF(YEAR(I2737)&lt;=2020,"Até 2020",TEXT(YEAR(I2737),"0"))</f>
        <v/>
      </c>
      <c r="N2737" s="5">
        <f>IFERROR(INDEX(DePara!$A:$A,MATCH(TEXT(B2737,"0"),DePara!$D:$D,0)),"(sem categoria)")</f>
        <v/>
      </c>
      <c r="O2737" s="5">
        <f>IF(J2737="","",Parametros!$B$6-J2737)</f>
        <v/>
      </c>
      <c r="P2737" s="5">
        <f>IF(O2737="","",IF(O2737&gt;0,1,0))</f>
        <v/>
      </c>
    </row>
    <row r="2738">
      <c r="A2738" s="5" t="n">
        <v>2111000000</v>
      </c>
      <c r="B2738" s="5" t="inlineStr">
        <is>
          <t>105984</t>
        </is>
      </c>
      <c r="C2738" s="5" t="inlineStr">
        <is>
          <t>TRADEWORKS SERVICOS DE COMERCIO EXT 04955748000107</t>
        </is>
      </c>
      <c r="D2738" s="5" t="inlineStr">
        <is>
          <t>RE</t>
        </is>
      </c>
      <c r="E2738" s="5" t="n">
        <v>5015640</v>
      </c>
      <c r="F2738" s="5" t="inlineStr">
        <is>
          <t>0044/26</t>
        </is>
      </c>
      <c r="G2738" s="5" t="inlineStr">
        <is>
          <t>BRL</t>
        </is>
      </c>
      <c r="H2738" s="9" t="n">
        <v>-0.42</v>
      </c>
      <c r="I2738" s="16" t="n">
        <v>46113</v>
      </c>
      <c r="J2738" s="16" t="n">
        <v>46284</v>
      </c>
      <c r="K2738" s="5" t="inlineStr">
        <is>
          <t>Invoice Payment. SP: 16542</t>
        </is>
      </c>
      <c r="L2738" s="5" t="inlineStr">
        <is>
          <t>VERIFICAR</t>
        </is>
      </c>
      <c r="M2738" s="5">
        <f>IF(YEAR(I2738)&lt;=2020,"Até 2020",TEXT(YEAR(I2738),"0"))</f>
        <v/>
      </c>
      <c r="N2738" s="5">
        <f>IFERROR(INDEX(DePara!$A:$A,MATCH(TEXT(B2738,"0"),DePara!$D:$D,0)),"(sem categoria)")</f>
        <v/>
      </c>
      <c r="O2738" s="5">
        <f>IF(J2738="","",Parametros!$B$6-J2738)</f>
        <v/>
      </c>
      <c r="P2738" s="5">
        <f>IF(O2738="","",IF(O2738&gt;0,1,0))</f>
        <v/>
      </c>
    </row>
    <row r="2739">
      <c r="A2739" s="5" t="n">
        <v>2111000000</v>
      </c>
      <c r="B2739" s="5" t="inlineStr">
        <is>
          <t>100379</t>
        </is>
      </c>
      <c r="C2739" s="5" t="inlineStr">
        <is>
          <t>RAK LOG TRANSPORTES E LOGISTICA EIR</t>
        </is>
      </c>
      <c r="D2739" s="5" t="inlineStr">
        <is>
          <t>RE</t>
        </is>
      </c>
      <c r="E2739" s="5" t="n">
        <v>5015641</v>
      </c>
      <c r="F2739" s="5" t="inlineStr">
        <is>
          <t>339869-1</t>
        </is>
      </c>
      <c r="G2739" s="5" t="inlineStr">
        <is>
          <t>BRL</t>
        </is>
      </c>
      <c r="H2739" s="9" t="n">
        <v>-7349.45</v>
      </c>
      <c r="I2739" s="16" t="n">
        <v>46253</v>
      </c>
      <c r="J2739" s="16" t="n">
        <v>46331</v>
      </c>
      <c r="K2739" s="5" t="inlineStr">
        <is>
          <t>Fatura - bruto RAK LOG TRANSPORTES E LOGISTICA EIR</t>
        </is>
      </c>
      <c r="L2739" s="5" t="inlineStr">
        <is>
          <t>05112026</t>
        </is>
      </c>
      <c r="M2739" s="5">
        <f>IF(YEAR(I2739)&lt;=2020,"Até 2020",TEXT(YEAR(I2739),"0"))</f>
        <v/>
      </c>
      <c r="N2739" s="5">
        <f>IFERROR(INDEX(DePara!$A:$A,MATCH(TEXT(B2739,"0"),DePara!$D:$D,0)),"(sem categoria)")</f>
        <v/>
      </c>
      <c r="O2739" s="5">
        <f>IF(J2739="","",Parametros!$B$6-J2739)</f>
        <v/>
      </c>
      <c r="P2739" s="5">
        <f>IF(O2739="","",IF(O2739&gt;0,1,0))</f>
        <v/>
      </c>
    </row>
    <row r="2740">
      <c r="A2740" s="5" t="n">
        <v>2111000000</v>
      </c>
      <c r="B2740" s="5" t="inlineStr">
        <is>
          <t>100379</t>
        </is>
      </c>
      <c r="C2740" s="5" t="inlineStr">
        <is>
          <t>RAK LOG TRANSPORTES E LOGISTICA EIR</t>
        </is>
      </c>
      <c r="D2740" s="5" t="inlineStr">
        <is>
          <t>RE</t>
        </is>
      </c>
      <c r="E2740" s="5" t="n">
        <v>5015643</v>
      </c>
      <c r="F2740" s="5" t="inlineStr">
        <is>
          <t>339018-1</t>
        </is>
      </c>
      <c r="G2740" s="5" t="inlineStr">
        <is>
          <t>BRL</t>
        </is>
      </c>
      <c r="H2740" s="9" t="n">
        <v>-1400</v>
      </c>
      <c r="I2740" s="16" t="n">
        <v>46246</v>
      </c>
      <c r="J2740" s="16" t="n">
        <v>46331</v>
      </c>
      <c r="K2740" s="5" t="inlineStr">
        <is>
          <t>Fatura - bruto RAK LOG TRANSPORTES E LOGISTICA EIR</t>
        </is>
      </c>
      <c r="L2740" s="5" t="inlineStr">
        <is>
          <t>05112026</t>
        </is>
      </c>
      <c r="M2740" s="5">
        <f>IF(YEAR(I2740)&lt;=2020,"Até 2020",TEXT(YEAR(I2740),"0"))</f>
        <v/>
      </c>
      <c r="N2740" s="5">
        <f>IFERROR(INDEX(DePara!$A:$A,MATCH(TEXT(B2740,"0"),DePara!$D:$D,0)),"(sem categoria)")</f>
        <v/>
      </c>
      <c r="O2740" s="5">
        <f>IF(J2740="","",Parametros!$B$6-J2740)</f>
        <v/>
      </c>
      <c r="P2740" s="5">
        <f>IF(O2740="","",IF(O2740&gt;0,1,0))</f>
        <v/>
      </c>
    </row>
    <row r="2741">
      <c r="A2741" s="5" t="n">
        <v>2111000000</v>
      </c>
      <c r="B2741" s="5" t="inlineStr">
        <is>
          <t>101463</t>
        </is>
      </c>
      <c r="C2741" s="5" t="inlineStr">
        <is>
          <t>ZURICH MINAS BRASIL SEGUROS S A</t>
        </is>
      </c>
      <c r="D2741" s="5" t="inlineStr">
        <is>
          <t>RE</t>
        </is>
      </c>
      <c r="E2741" s="5" t="n">
        <v>5015644</v>
      </c>
      <c r="F2741" s="5" t="inlineStr">
        <is>
          <t>0093/26</t>
        </is>
      </c>
      <c r="G2741" s="5" t="inlineStr">
        <is>
          <t>BRL</t>
        </is>
      </c>
      <c r="H2741" s="9" t="n">
        <v>-7741.59</v>
      </c>
      <c r="I2741" s="16" t="n">
        <v>46192</v>
      </c>
      <c r="J2741" s="16" t="n">
        <v>46284</v>
      </c>
      <c r="K2741" s="5" t="inlineStr">
        <is>
          <t>Invoice Payment. SP: 19139</t>
        </is>
      </c>
      <c r="L2741" s="5" t="inlineStr">
        <is>
          <t>0093/26</t>
        </is>
      </c>
      <c r="M2741" s="5">
        <f>IF(YEAR(I2741)&lt;=2020,"Até 2020",TEXT(YEAR(I2741),"0"))</f>
        <v/>
      </c>
      <c r="N2741" s="5">
        <f>IFERROR(INDEX(DePara!$A:$A,MATCH(TEXT(B2741,"0"),DePara!$D:$D,0)),"(sem categoria)")</f>
        <v/>
      </c>
      <c r="O2741" s="5">
        <f>IF(J2741="","",Parametros!$B$6-J2741)</f>
        <v/>
      </c>
      <c r="P2741" s="5">
        <f>IF(O2741="","",IF(O2741&gt;0,1,0))</f>
        <v/>
      </c>
    </row>
    <row r="2742">
      <c r="A2742" s="5" t="n">
        <v>2111000000</v>
      </c>
      <c r="B2742" s="5" t="inlineStr">
        <is>
          <t>100396</t>
        </is>
      </c>
      <c r="C2742" s="5" t="inlineStr">
        <is>
          <t>DISTRIBUI LOGISTICA LTDA 03592033000166</t>
        </is>
      </c>
      <c r="D2742" s="5" t="inlineStr">
        <is>
          <t>RE</t>
        </is>
      </c>
      <c r="E2742" s="5" t="n">
        <v>5015647</v>
      </c>
      <c r="F2742" s="5" t="inlineStr">
        <is>
          <t>11034-4</t>
        </is>
      </c>
      <c r="G2742" s="5" t="inlineStr">
        <is>
          <t>BRL</t>
        </is>
      </c>
      <c r="H2742" s="9" t="n">
        <v>-4067.14</v>
      </c>
      <c r="I2742" s="16" t="n">
        <v>46246</v>
      </c>
      <c r="J2742" s="16" t="n">
        <v>46331</v>
      </c>
      <c r="K2742" s="5" t="inlineStr">
        <is>
          <t>Fatura - bruto DISTRIBUI LOGISTICA LTDA 0359203300</t>
        </is>
      </c>
      <c r="L2742" s="5" t="inlineStr">
        <is>
          <t>05112026</t>
        </is>
      </c>
      <c r="M2742" s="5">
        <f>IF(YEAR(I2742)&lt;=2020,"Até 2020",TEXT(YEAR(I2742),"0"))</f>
        <v/>
      </c>
      <c r="N2742" s="5">
        <f>IFERROR(INDEX(DePara!$A:$A,MATCH(TEXT(B2742,"0"),DePara!$D:$D,0)),"(sem categoria)")</f>
        <v/>
      </c>
      <c r="O2742" s="5">
        <f>IF(J2742="","",Parametros!$B$6-J2742)</f>
        <v/>
      </c>
      <c r="P2742" s="5">
        <f>IF(O2742="","",IF(O2742&gt;0,1,0))</f>
        <v/>
      </c>
    </row>
    <row r="2743">
      <c r="A2743" s="5" t="n">
        <v>2111000000</v>
      </c>
      <c r="B2743" s="5" t="inlineStr">
        <is>
          <t>115200</t>
        </is>
      </c>
      <c r="C2743" s="5" t="inlineStr">
        <is>
          <t>AIR LIDER GROUP COMERCIO DE GASES</t>
        </is>
      </c>
      <c r="D2743" s="5" t="inlineStr">
        <is>
          <t>RE</t>
        </is>
      </c>
      <c r="E2743" s="5" t="n">
        <v>5015650</v>
      </c>
      <c r="F2743" s="5" t="inlineStr">
        <is>
          <t>1277-1</t>
        </is>
      </c>
      <c r="G2743" s="5" t="inlineStr">
        <is>
          <t>BRL</t>
        </is>
      </c>
      <c r="H2743" s="9" t="n">
        <v>-1982.7</v>
      </c>
      <c r="I2743" s="16" t="n">
        <v>46254</v>
      </c>
      <c r="J2743" s="16" t="n">
        <v>46282</v>
      </c>
      <c r="K2743" s="5" t="inlineStr">
        <is>
          <t>Fatura - bruto AIR LIDER GROUP COMERCIO DE GASES 1</t>
        </is>
      </c>
      <c r="L2743" s="5" t="inlineStr">
        <is>
          <t>16092026</t>
        </is>
      </c>
      <c r="M2743" s="5">
        <f>IF(YEAR(I2743)&lt;=2020,"Até 2020",TEXT(YEAR(I2743),"0"))</f>
        <v/>
      </c>
      <c r="N2743" s="5">
        <f>IFERROR(INDEX(DePara!$A:$A,MATCH(TEXT(B2743,"0"),DePara!$D:$D,0)),"(sem categoria)")</f>
        <v/>
      </c>
      <c r="O2743" s="5">
        <f>IF(J2743="","",Parametros!$B$6-J2743)</f>
        <v/>
      </c>
      <c r="P2743" s="5">
        <f>IF(O2743="","",IF(O2743&gt;0,1,0))</f>
        <v/>
      </c>
    </row>
    <row r="2744">
      <c r="A2744" s="5" t="n">
        <v>2111000000</v>
      </c>
      <c r="B2744" s="5" t="inlineStr">
        <is>
          <t>100031</t>
        </is>
      </c>
      <c r="C2744" s="5" t="inlineStr">
        <is>
          <t>MEGAWIND INDUSTRIA E COMERCIO</t>
        </is>
      </c>
      <c r="D2744" s="5" t="inlineStr">
        <is>
          <t>RE</t>
        </is>
      </c>
      <c r="E2744" s="5" t="n">
        <v>5015651</v>
      </c>
      <c r="F2744" s="5" t="inlineStr">
        <is>
          <t>1479</t>
        </is>
      </c>
      <c r="G2744" s="5" t="inlineStr">
        <is>
          <t>BRL</t>
        </is>
      </c>
      <c r="H2744" s="9" t="n">
        <v>-41625</v>
      </c>
      <c r="I2744" s="16" t="n">
        <v>46254</v>
      </c>
      <c r="J2744" s="16" t="n">
        <v>46300</v>
      </c>
      <c r="K2744" s="5" t="inlineStr">
        <is>
          <t>Fatura - bruto MEGAWIND INDUSTRIA E COMERCIO 1479</t>
        </is>
      </c>
      <c r="L2744" s="5" t="inlineStr">
        <is>
          <t>05102026</t>
        </is>
      </c>
      <c r="M2744" s="5">
        <f>IF(YEAR(I2744)&lt;=2020,"Até 2020",TEXT(YEAR(I2744),"0"))</f>
        <v/>
      </c>
      <c r="N2744" s="5">
        <f>IFERROR(INDEX(DePara!$A:$A,MATCH(TEXT(B2744,"0"),DePara!$D:$D,0)),"(sem categoria)")</f>
        <v/>
      </c>
      <c r="O2744" s="5">
        <f>IF(J2744="","",Parametros!$B$6-J2744)</f>
        <v/>
      </c>
      <c r="P2744" s="5">
        <f>IF(O2744="","",IF(O2744&gt;0,1,0))</f>
        <v/>
      </c>
    </row>
    <row r="2745">
      <c r="A2745" s="5" t="n">
        <v>2111000000</v>
      </c>
      <c r="B2745" s="5" t="inlineStr">
        <is>
          <t>100031</t>
        </is>
      </c>
      <c r="C2745" s="5" t="inlineStr">
        <is>
          <t>MEGAWIND INDUSTRIA E COMERCIO</t>
        </is>
      </c>
      <c r="D2745" s="5" t="inlineStr">
        <is>
          <t>RE</t>
        </is>
      </c>
      <c r="E2745" s="5" t="n">
        <v>5015652</v>
      </c>
      <c r="F2745" s="5" t="inlineStr">
        <is>
          <t>1480</t>
        </is>
      </c>
      <c r="G2745" s="5" t="inlineStr">
        <is>
          <t>BRL</t>
        </is>
      </c>
      <c r="H2745" s="9" t="n">
        <v>-41497.81</v>
      </c>
      <c r="I2745" s="16" t="n">
        <v>46254</v>
      </c>
      <c r="J2745" s="16" t="n">
        <v>46300</v>
      </c>
      <c r="K2745" s="5" t="inlineStr">
        <is>
          <t>Fatura - bruto MEGAWIND INDUSTRIA E COMERCIO 1480</t>
        </is>
      </c>
      <c r="L2745" s="5" t="inlineStr">
        <is>
          <t>05102026</t>
        </is>
      </c>
      <c r="M2745" s="5">
        <f>IF(YEAR(I2745)&lt;=2020,"Até 2020",TEXT(YEAR(I2745),"0"))</f>
        <v/>
      </c>
      <c r="N2745" s="5">
        <f>IFERROR(INDEX(DePara!$A:$A,MATCH(TEXT(B2745,"0"),DePara!$D:$D,0)),"(sem categoria)")</f>
        <v/>
      </c>
      <c r="O2745" s="5">
        <f>IF(J2745="","",Parametros!$B$6-J2745)</f>
        <v/>
      </c>
      <c r="P2745" s="5">
        <f>IF(O2745="","",IF(O2745&gt;0,1,0))</f>
        <v/>
      </c>
    </row>
    <row r="2746">
      <c r="A2746" s="5" t="n">
        <v>2111000000</v>
      </c>
      <c r="B2746" s="5" t="inlineStr">
        <is>
          <t>101944</t>
        </is>
      </c>
      <c r="C2746" s="5" t="inlineStr">
        <is>
          <t>TEXAS CONTROLS DO BRASIL LTDA</t>
        </is>
      </c>
      <c r="D2746" s="5" t="inlineStr">
        <is>
          <t>RE</t>
        </is>
      </c>
      <c r="E2746" s="5" t="n">
        <v>5015653</v>
      </c>
      <c r="F2746" s="5" t="inlineStr">
        <is>
          <t>1227</t>
        </is>
      </c>
      <c r="G2746" s="5" t="inlineStr">
        <is>
          <t>BRL</t>
        </is>
      </c>
      <c r="H2746" s="9" t="n">
        <v>-21811</v>
      </c>
      <c r="I2746" s="16" t="n">
        <v>46251</v>
      </c>
      <c r="J2746" s="16" t="n">
        <v>46282</v>
      </c>
      <c r="K2746" s="5" t="inlineStr">
        <is>
          <t>Fatura - bruto TEXAS CONTROLS DO BRASIL LTDA 1227</t>
        </is>
      </c>
      <c r="L2746" s="5" t="inlineStr">
        <is>
          <t>16092026</t>
        </is>
      </c>
      <c r="M2746" s="5">
        <f>IF(YEAR(I2746)&lt;=2020,"Até 2020",TEXT(YEAR(I2746),"0"))</f>
        <v/>
      </c>
      <c r="N2746" s="5">
        <f>IFERROR(INDEX(DePara!$A:$A,MATCH(TEXT(B2746,"0"),DePara!$D:$D,0)),"(sem categoria)")</f>
        <v/>
      </c>
      <c r="O2746" s="5">
        <f>IF(J2746="","",Parametros!$B$6-J2746)</f>
        <v/>
      </c>
      <c r="P2746" s="5">
        <f>IF(O2746="","",IF(O2746&gt;0,1,0))</f>
        <v/>
      </c>
    </row>
    <row r="2747">
      <c r="A2747" s="5" t="n">
        <v>2111000000</v>
      </c>
      <c r="B2747" s="5" t="inlineStr">
        <is>
          <t>101944</t>
        </is>
      </c>
      <c r="C2747" s="5" t="inlineStr">
        <is>
          <t>TEXAS CONTROLS DO BRASIL LTDA</t>
        </is>
      </c>
      <c r="D2747" s="5" t="inlineStr">
        <is>
          <t>RE</t>
        </is>
      </c>
      <c r="E2747" s="5" t="n">
        <v>5015654</v>
      </c>
      <c r="F2747" s="5" t="inlineStr">
        <is>
          <t>1226</t>
        </is>
      </c>
      <c r="G2747" s="5" t="inlineStr">
        <is>
          <t>BRL</t>
        </is>
      </c>
      <c r="H2747" s="9" t="n">
        <v>-6497</v>
      </c>
      <c r="I2747" s="16" t="n">
        <v>46251</v>
      </c>
      <c r="J2747" s="16" t="n">
        <v>46282</v>
      </c>
      <c r="K2747" s="5" t="inlineStr">
        <is>
          <t>Fatura - bruto TEXAS CONTROLS DO BRASIL LTDA 1226</t>
        </is>
      </c>
      <c r="L2747" s="5" t="inlineStr">
        <is>
          <t>16092026</t>
        </is>
      </c>
      <c r="M2747" s="5">
        <f>IF(YEAR(I2747)&lt;=2020,"Até 2020",TEXT(YEAR(I2747),"0"))</f>
        <v/>
      </c>
      <c r="N2747" s="5">
        <f>IFERROR(INDEX(DePara!$A:$A,MATCH(TEXT(B2747,"0"),DePara!$D:$D,0)),"(sem categoria)")</f>
        <v/>
      </c>
      <c r="O2747" s="5">
        <f>IF(J2747="","",Parametros!$B$6-J2747)</f>
        <v/>
      </c>
      <c r="P2747" s="5">
        <f>IF(O2747="","",IF(O2747&gt;0,1,0))</f>
        <v/>
      </c>
    </row>
    <row r="2748">
      <c r="A2748" s="5" t="n">
        <v>2111000000</v>
      </c>
      <c r="B2748" s="5" t="inlineStr">
        <is>
          <t>101228</t>
        </is>
      </c>
      <c r="C2748" s="5" t="inlineStr">
        <is>
          <t>EDIFICIO ATRIUM VI COM</t>
        </is>
      </c>
      <c r="D2748" s="5" t="inlineStr">
        <is>
          <t>RE</t>
        </is>
      </c>
      <c r="E2748" s="5" t="n">
        <v>5015659</v>
      </c>
      <c r="F2748" s="5" t="inlineStr">
        <is>
          <t>779459</t>
        </is>
      </c>
      <c r="G2748" s="5" t="inlineStr">
        <is>
          <t>BRL</t>
        </is>
      </c>
      <c r="H2748" s="9" t="n">
        <v>-13729.45</v>
      </c>
      <c r="I2748" s="16" t="n">
        <v>46254</v>
      </c>
      <c r="J2748" s="16" t="n">
        <v>46275</v>
      </c>
      <c r="K2748" s="5" t="inlineStr">
        <is>
          <t>Fatura - bruto EDIFICIO ATRIUM VI COM 779459</t>
        </is>
      </c>
      <c r="L2748" s="5" t="inlineStr">
        <is>
          <t>09092026</t>
        </is>
      </c>
      <c r="M2748" s="5">
        <f>IF(YEAR(I2748)&lt;=2020,"Até 2020",TEXT(YEAR(I2748),"0"))</f>
        <v/>
      </c>
      <c r="N2748" s="5">
        <f>IFERROR(INDEX(DePara!$A:$A,MATCH(TEXT(B2748,"0"),DePara!$D:$D,0)),"(sem categoria)")</f>
        <v/>
      </c>
      <c r="O2748" s="5">
        <f>IF(J2748="","",Parametros!$B$6-J2748)</f>
        <v/>
      </c>
      <c r="P2748" s="5">
        <f>IF(O2748="","",IF(O2748&gt;0,1,0))</f>
        <v/>
      </c>
    </row>
    <row r="2749">
      <c r="A2749" s="5" t="n">
        <v>2111000000</v>
      </c>
      <c r="B2749" s="5" t="inlineStr">
        <is>
          <t>101944</t>
        </is>
      </c>
      <c r="C2749" s="5" t="inlineStr">
        <is>
          <t>TEXAS CONTROLS DO BRASIL LTDA</t>
        </is>
      </c>
      <c r="D2749" s="5" t="inlineStr">
        <is>
          <t>RE</t>
        </is>
      </c>
      <c r="E2749" s="5" t="n">
        <v>5015662</v>
      </c>
      <c r="F2749" s="5" t="inlineStr">
        <is>
          <t>1164</t>
        </is>
      </c>
      <c r="G2749" s="5" t="inlineStr">
        <is>
          <t>BRL</t>
        </is>
      </c>
      <c r="H2749" s="9" t="n">
        <v>-30293</v>
      </c>
      <c r="I2749" s="16" t="n">
        <v>46240</v>
      </c>
      <c r="J2749" s="16" t="n">
        <v>46271</v>
      </c>
      <c r="K2749" s="5" t="inlineStr">
        <is>
          <t>Fatura - bruto TEXAS CONTROLS DO BRASIL LTDA 1164</t>
        </is>
      </c>
      <c r="L2749" s="5" t="inlineStr">
        <is>
          <t>09092026</t>
        </is>
      </c>
      <c r="M2749" s="5">
        <f>IF(YEAR(I2749)&lt;=2020,"Até 2020",TEXT(YEAR(I2749),"0"))</f>
        <v/>
      </c>
      <c r="N2749" s="5">
        <f>IFERROR(INDEX(DePara!$A:$A,MATCH(TEXT(B2749,"0"),DePara!$D:$D,0)),"(sem categoria)")</f>
        <v/>
      </c>
      <c r="O2749" s="5">
        <f>IF(J2749="","",Parametros!$B$6-J2749)</f>
        <v/>
      </c>
      <c r="P2749" s="5">
        <f>IF(O2749="","",IF(O2749&gt;0,1,0))</f>
        <v/>
      </c>
    </row>
    <row r="2750">
      <c r="A2750" s="5" t="n">
        <v>2111000000</v>
      </c>
      <c r="B2750" s="5" t="inlineStr">
        <is>
          <t>104018</t>
        </is>
      </c>
      <c r="C2750" s="5" t="inlineStr">
        <is>
          <t>MC CONSULTORIA E SERVICOES LTDA</t>
        </is>
      </c>
      <c r="D2750" s="5" t="inlineStr">
        <is>
          <t>RE</t>
        </is>
      </c>
      <c r="E2750" s="5" t="n">
        <v>5015664</v>
      </c>
      <c r="F2750" s="5" t="inlineStr">
        <is>
          <t>46</t>
        </is>
      </c>
      <c r="G2750" s="5" t="inlineStr">
        <is>
          <t>BRL</t>
        </is>
      </c>
      <c r="H2750" s="9" t="n">
        <v>-13069.21</v>
      </c>
      <c r="I2750" s="16" t="n">
        <v>46251</v>
      </c>
      <c r="J2750" s="16" t="n">
        <v>46300</v>
      </c>
      <c r="K2750" s="5" t="inlineStr">
        <is>
          <t>Fatura - bruto MC CONSULTORIA E SERVICOES LTDA 46</t>
        </is>
      </c>
      <c r="L2750" s="5" t="inlineStr">
        <is>
          <t>05102026</t>
        </is>
      </c>
      <c r="M2750" s="5">
        <f>IF(YEAR(I2750)&lt;=2020,"Até 2020",TEXT(YEAR(I2750),"0"))</f>
        <v/>
      </c>
      <c r="N2750" s="5">
        <f>IFERROR(INDEX(DePara!$A:$A,MATCH(TEXT(B2750,"0"),DePara!$D:$D,0)),"(sem categoria)")</f>
        <v/>
      </c>
      <c r="O2750" s="5">
        <f>IF(J2750="","",Parametros!$B$6-J2750)</f>
        <v/>
      </c>
      <c r="P2750" s="5">
        <f>IF(O2750="","",IF(O2750&gt;0,1,0))</f>
        <v/>
      </c>
    </row>
    <row r="2751">
      <c r="A2751" s="5" t="n">
        <v>2111000000</v>
      </c>
      <c r="B2751" s="5" t="inlineStr">
        <is>
          <t>100867</t>
        </is>
      </c>
      <c r="C2751" s="5" t="inlineStr">
        <is>
          <t>CSA - CASE SOLUCOES AMBIENTAIS LTDA</t>
        </is>
      </c>
      <c r="D2751" s="5" t="inlineStr">
        <is>
          <t>RE</t>
        </is>
      </c>
      <c r="E2751" s="5" t="n">
        <v>5015665</v>
      </c>
      <c r="F2751" s="5" t="inlineStr">
        <is>
          <t>360</t>
        </is>
      </c>
      <c r="G2751" s="5" t="inlineStr">
        <is>
          <t>BRL</t>
        </is>
      </c>
      <c r="H2751" s="9" t="n">
        <v>-9817.1</v>
      </c>
      <c r="I2751" s="16" t="n">
        <v>46254</v>
      </c>
      <c r="J2751" s="16" t="n">
        <v>46300</v>
      </c>
      <c r="K2751" s="5" t="inlineStr">
        <is>
          <t>Fatura - bruto CSA - CASE SOLUCOES AMBIENTAIS LTDA</t>
        </is>
      </c>
      <c r="L2751" s="5" t="inlineStr">
        <is>
          <t>05102026</t>
        </is>
      </c>
      <c r="M2751" s="5">
        <f>IF(YEAR(I2751)&lt;=2020,"Até 2020",TEXT(YEAR(I2751),"0"))</f>
        <v/>
      </c>
      <c r="N2751" s="5">
        <f>IFERROR(INDEX(DePara!$A:$A,MATCH(TEXT(B2751,"0"),DePara!$D:$D,0)),"(sem categoria)")</f>
        <v/>
      </c>
      <c r="O2751" s="5">
        <f>IF(J2751="","",Parametros!$B$6-J2751)</f>
        <v/>
      </c>
      <c r="P2751" s="5">
        <f>IF(O2751="","",IF(O2751&gt;0,1,0))</f>
        <v/>
      </c>
    </row>
    <row r="2752">
      <c r="A2752" s="5" t="n">
        <v>2111000000</v>
      </c>
      <c r="B2752" s="5" t="inlineStr">
        <is>
          <t>102086</t>
        </is>
      </c>
      <c r="C2752" s="5" t="inlineStr">
        <is>
          <t>ASSOCIACAO BRASILEIRA E E ABEEOLICA</t>
        </is>
      </c>
      <c r="D2752" s="5" t="inlineStr">
        <is>
          <t>RE</t>
        </is>
      </c>
      <c r="E2752" s="5" t="n">
        <v>5015666</v>
      </c>
      <c r="F2752" s="5" t="inlineStr">
        <is>
          <t>1104</t>
        </is>
      </c>
      <c r="G2752" s="5" t="inlineStr">
        <is>
          <t>BRL</t>
        </is>
      </c>
      <c r="H2752" s="9" t="n">
        <v>-12879.35</v>
      </c>
      <c r="I2752" s="16" t="n">
        <v>46249</v>
      </c>
      <c r="J2752" s="16" t="n">
        <v>46275</v>
      </c>
      <c r="K2752" s="5" t="inlineStr">
        <is>
          <t>Fatura - bruto ASSOCIACAO BRASILEIRA E E ABEEOLICA</t>
        </is>
      </c>
      <c r="L2752" s="5" t="inlineStr">
        <is>
          <t>09092026</t>
        </is>
      </c>
      <c r="M2752" s="5">
        <f>IF(YEAR(I2752)&lt;=2020,"Até 2020",TEXT(YEAR(I2752),"0"))</f>
        <v/>
      </c>
      <c r="N2752" s="5">
        <f>IFERROR(INDEX(DePara!$A:$A,MATCH(TEXT(B2752,"0"),DePara!$D:$D,0)),"(sem categoria)")</f>
        <v/>
      </c>
      <c r="O2752" s="5">
        <f>IF(J2752="","",Parametros!$B$6-J2752)</f>
        <v/>
      </c>
      <c r="P2752" s="5">
        <f>IF(O2752="","",IF(O2752&gt;0,1,0))</f>
        <v/>
      </c>
    </row>
    <row r="2753">
      <c r="A2753" s="5" t="n">
        <v>2111000000</v>
      </c>
      <c r="B2753" s="5" t="inlineStr">
        <is>
          <t>101463</t>
        </is>
      </c>
      <c r="C2753" s="5" t="inlineStr">
        <is>
          <t>ZURICH MINAS BRASIL SEGUROS S A</t>
        </is>
      </c>
      <c r="D2753" s="5" t="inlineStr">
        <is>
          <t>RE</t>
        </is>
      </c>
      <c r="E2753" s="5" t="n">
        <v>5015669</v>
      </c>
      <c r="F2753" s="5" t="inlineStr">
        <is>
          <t>0410/26</t>
        </is>
      </c>
      <c r="G2753" s="5" t="inlineStr">
        <is>
          <t>BRL</t>
        </is>
      </c>
      <c r="H2753" s="9" t="n">
        <v>-389.84</v>
      </c>
      <c r="I2753" s="16" t="n">
        <v>46255</v>
      </c>
      <c r="J2753" s="16" t="n">
        <v>46285</v>
      </c>
      <c r="K2753" s="5" t="inlineStr">
        <is>
          <t>Invoice Payment. SP: 21778</t>
        </is>
      </c>
      <c r="L2753" s="5" t="inlineStr">
        <is>
          <t>0410/26</t>
        </is>
      </c>
      <c r="M2753" s="5">
        <f>IF(YEAR(I2753)&lt;=2020,"Até 2020",TEXT(YEAR(I2753),"0"))</f>
        <v/>
      </c>
      <c r="N2753" s="5">
        <f>IFERROR(INDEX(DePara!$A:$A,MATCH(TEXT(B2753,"0"),DePara!$D:$D,0)),"(sem categoria)")</f>
        <v/>
      </c>
      <c r="O2753" s="5">
        <f>IF(J2753="","",Parametros!$B$6-J2753)</f>
        <v/>
      </c>
      <c r="P2753" s="5">
        <f>IF(O2753="","",IF(O2753&gt;0,1,0))</f>
        <v/>
      </c>
    </row>
    <row r="2754">
      <c r="A2754" s="5" t="n">
        <v>2111000000</v>
      </c>
      <c r="B2754" s="5" t="inlineStr">
        <is>
          <t>101463</t>
        </is>
      </c>
      <c r="C2754" s="5" t="inlineStr">
        <is>
          <t>ZURICH MINAS BRASIL SEGUROS S A</t>
        </is>
      </c>
      <c r="D2754" s="5" t="inlineStr">
        <is>
          <t>RE</t>
        </is>
      </c>
      <c r="E2754" s="5" t="n">
        <v>5015671</v>
      </c>
      <c r="F2754" s="5" t="inlineStr">
        <is>
          <t>0488/26</t>
        </is>
      </c>
      <c r="G2754" s="5" t="inlineStr">
        <is>
          <t>BRL</t>
        </is>
      </c>
      <c r="H2754" s="9" t="n">
        <v>-33.07</v>
      </c>
      <c r="I2754" s="16" t="n">
        <v>46255</v>
      </c>
      <c r="J2754" s="16" t="n">
        <v>46285</v>
      </c>
      <c r="K2754" s="5" t="inlineStr">
        <is>
          <t>Invoice Payment. SP: 21792</t>
        </is>
      </c>
      <c r="L2754" s="5" t="inlineStr">
        <is>
          <t>0488/26</t>
        </is>
      </c>
      <c r="M2754" s="5">
        <f>IF(YEAR(I2754)&lt;=2020,"Até 2020",TEXT(YEAR(I2754),"0"))</f>
        <v/>
      </c>
      <c r="N2754" s="5">
        <f>IFERROR(INDEX(DePara!$A:$A,MATCH(TEXT(B2754,"0"),DePara!$D:$D,0)),"(sem categoria)")</f>
        <v/>
      </c>
      <c r="O2754" s="5">
        <f>IF(J2754="","",Parametros!$B$6-J2754)</f>
        <v/>
      </c>
      <c r="P2754" s="5">
        <f>IF(O2754="","",IF(O2754&gt;0,1,0))</f>
        <v/>
      </c>
    </row>
    <row r="2755">
      <c r="A2755" s="5" t="n">
        <v>2111000000</v>
      </c>
      <c r="B2755" s="5" t="inlineStr">
        <is>
          <t>101463</t>
        </is>
      </c>
      <c r="C2755" s="5" t="inlineStr">
        <is>
          <t>ZURICH MINAS BRASIL SEGUROS S A</t>
        </is>
      </c>
      <c r="D2755" s="5" t="inlineStr">
        <is>
          <t>RE</t>
        </is>
      </c>
      <c r="E2755" s="5" t="n">
        <v>5015675</v>
      </c>
      <c r="F2755" s="5" t="inlineStr">
        <is>
          <t>0334/26</t>
        </is>
      </c>
      <c r="G2755" s="5" t="inlineStr">
        <is>
          <t>BRL</t>
        </is>
      </c>
      <c r="H2755" s="9" t="n">
        <v>-142.81</v>
      </c>
      <c r="I2755" s="16" t="n">
        <v>46246</v>
      </c>
      <c r="J2755" s="16" t="n">
        <v>46285</v>
      </c>
      <c r="K2755" s="5" t="inlineStr">
        <is>
          <t>Invoice Payment. SP: 21342</t>
        </is>
      </c>
      <c r="L2755" s="5" t="inlineStr">
        <is>
          <t>0334/26</t>
        </is>
      </c>
      <c r="M2755" s="5">
        <f>IF(YEAR(I2755)&lt;=2020,"Até 2020",TEXT(YEAR(I2755),"0"))</f>
        <v/>
      </c>
      <c r="N2755" s="5">
        <f>IFERROR(INDEX(DePara!$A:$A,MATCH(TEXT(B2755,"0"),DePara!$D:$D,0)),"(sem categoria)")</f>
        <v/>
      </c>
      <c r="O2755" s="5">
        <f>IF(J2755="","",Parametros!$B$6-J2755)</f>
        <v/>
      </c>
      <c r="P2755" s="5">
        <f>IF(O2755="","",IF(O2755&gt;0,1,0))</f>
        <v/>
      </c>
    </row>
    <row r="2756">
      <c r="A2756" s="5" t="n">
        <v>2111000000</v>
      </c>
      <c r="B2756" s="5" t="inlineStr">
        <is>
          <t>105984</t>
        </is>
      </c>
      <c r="C2756" s="5" t="inlineStr">
        <is>
          <t>TRADEWORKS SERVICOS DE COMERCIO EXT 04955748000107</t>
        </is>
      </c>
      <c r="D2756" s="5" t="inlineStr">
        <is>
          <t>RE</t>
        </is>
      </c>
      <c r="E2756" s="5" t="n">
        <v>5015676</v>
      </c>
      <c r="F2756" s="5" t="inlineStr">
        <is>
          <t>0953/25</t>
        </is>
      </c>
      <c r="G2756" s="5" t="inlineStr">
        <is>
          <t>BRL</t>
        </is>
      </c>
      <c r="H2756" s="9" t="n">
        <v>-0.49</v>
      </c>
      <c r="I2756" s="16" t="n">
        <v>46063</v>
      </c>
      <c r="J2756" s="16" t="n">
        <v>46285</v>
      </c>
      <c r="K2756" s="5" t="inlineStr">
        <is>
          <t>Invoice Payment. SP: 15240</t>
        </is>
      </c>
      <c r="L2756" s="5" t="inlineStr">
        <is>
          <t>VERIFICAR</t>
        </is>
      </c>
      <c r="M2756" s="5">
        <f>IF(YEAR(I2756)&lt;=2020,"Até 2020",TEXT(YEAR(I2756),"0"))</f>
        <v/>
      </c>
      <c r="N2756" s="5">
        <f>IFERROR(INDEX(DePara!$A:$A,MATCH(TEXT(B2756,"0"),DePara!$D:$D,0)),"(sem categoria)")</f>
        <v/>
      </c>
      <c r="O2756" s="5">
        <f>IF(J2756="","",Parametros!$B$6-J2756)</f>
        <v/>
      </c>
      <c r="P2756" s="5">
        <f>IF(O2756="","",IF(O2756&gt;0,1,0))</f>
        <v/>
      </c>
    </row>
    <row r="2757">
      <c r="A2757" s="5" t="n">
        <v>2111000000</v>
      </c>
      <c r="B2757" s="5" t="inlineStr">
        <is>
          <t>101463</t>
        </is>
      </c>
      <c r="C2757" s="5" t="inlineStr">
        <is>
          <t>ZURICH MINAS BRASIL SEGUROS S A</t>
        </is>
      </c>
      <c r="D2757" s="5" t="inlineStr">
        <is>
          <t>RE</t>
        </is>
      </c>
      <c r="E2757" s="5" t="n">
        <v>5015677</v>
      </c>
      <c r="F2757" s="5" t="inlineStr">
        <is>
          <t>0478/26</t>
        </is>
      </c>
      <c r="G2757" s="5" t="inlineStr">
        <is>
          <t>BRL</t>
        </is>
      </c>
      <c r="H2757" s="9" t="n">
        <v>-85.75</v>
      </c>
      <c r="I2757" s="16" t="n">
        <v>46255</v>
      </c>
      <c r="J2757" s="16" t="n">
        <v>46285</v>
      </c>
      <c r="K2757" s="5" t="inlineStr">
        <is>
          <t>Invoice Payment. SP: 21785</t>
        </is>
      </c>
      <c r="L2757" s="5" t="inlineStr">
        <is>
          <t>0478/26</t>
        </is>
      </c>
      <c r="M2757" s="5">
        <f>IF(YEAR(I2757)&lt;=2020,"Até 2020",TEXT(YEAR(I2757),"0"))</f>
        <v/>
      </c>
      <c r="N2757" s="5">
        <f>IFERROR(INDEX(DePara!$A:$A,MATCH(TEXT(B2757,"0"),DePara!$D:$D,0)),"(sem categoria)")</f>
        <v/>
      </c>
      <c r="O2757" s="5">
        <f>IF(J2757="","",Parametros!$B$6-J2757)</f>
        <v/>
      </c>
      <c r="P2757" s="5">
        <f>IF(O2757="","",IF(O2757&gt;0,1,0))</f>
        <v/>
      </c>
    </row>
    <row r="2758">
      <c r="A2758" s="5" t="n">
        <v>2111000000</v>
      </c>
      <c r="B2758" s="5" t="inlineStr">
        <is>
          <t>101463</t>
        </is>
      </c>
      <c r="C2758" s="5" t="inlineStr">
        <is>
          <t>ZURICH MINAS BRASIL SEGUROS S A</t>
        </is>
      </c>
      <c r="D2758" s="5" t="inlineStr">
        <is>
          <t>RE</t>
        </is>
      </c>
      <c r="E2758" s="5" t="n">
        <v>5015679</v>
      </c>
      <c r="F2758" s="5" t="inlineStr">
        <is>
          <t>0445/26</t>
        </is>
      </c>
      <c r="G2758" s="5" t="inlineStr">
        <is>
          <t>BRL</t>
        </is>
      </c>
      <c r="H2758" s="9" t="n">
        <v>-253.28</v>
      </c>
      <c r="I2758" s="16" t="n">
        <v>46255</v>
      </c>
      <c r="J2758" s="16" t="n">
        <v>46285</v>
      </c>
      <c r="K2758" s="5" t="inlineStr">
        <is>
          <t>Invoice Payment. SP: 21783</t>
        </is>
      </c>
      <c r="L2758" s="5" t="inlineStr">
        <is>
          <t>0445/26</t>
        </is>
      </c>
      <c r="M2758" s="5">
        <f>IF(YEAR(I2758)&lt;=2020,"Até 2020",TEXT(YEAR(I2758),"0"))</f>
        <v/>
      </c>
      <c r="N2758" s="5">
        <f>IFERROR(INDEX(DePara!$A:$A,MATCH(TEXT(B2758,"0"),DePara!$D:$D,0)),"(sem categoria)")</f>
        <v/>
      </c>
      <c r="O2758" s="5">
        <f>IF(J2758="","",Parametros!$B$6-J2758)</f>
        <v/>
      </c>
      <c r="P2758" s="5">
        <f>IF(O2758="","",IF(O2758&gt;0,1,0))</f>
        <v/>
      </c>
    </row>
    <row r="2759">
      <c r="A2759" s="5" t="n">
        <v>2111000000</v>
      </c>
      <c r="B2759" s="5" t="inlineStr">
        <is>
          <t>101463</t>
        </is>
      </c>
      <c r="C2759" s="5" t="inlineStr">
        <is>
          <t>ZURICH MINAS BRASIL SEGUROS S A</t>
        </is>
      </c>
      <c r="D2759" s="5" t="inlineStr">
        <is>
          <t>RE</t>
        </is>
      </c>
      <c r="E2759" s="5" t="n">
        <v>5015681</v>
      </c>
      <c r="F2759" s="5" t="inlineStr">
        <is>
          <t>0481/26</t>
        </is>
      </c>
      <c r="G2759" s="5" t="inlineStr">
        <is>
          <t>BRL</t>
        </is>
      </c>
      <c r="H2759" s="9" t="n">
        <v>-26.37</v>
      </c>
      <c r="I2759" s="16" t="n">
        <v>46255</v>
      </c>
      <c r="J2759" s="16" t="n">
        <v>46285</v>
      </c>
      <c r="K2759" s="5" t="inlineStr">
        <is>
          <t>Invoice Payment. SP: 21787</t>
        </is>
      </c>
      <c r="L2759" s="5" t="inlineStr">
        <is>
          <t>0481/26</t>
        </is>
      </c>
      <c r="M2759" s="5">
        <f>IF(YEAR(I2759)&lt;=2020,"Até 2020",TEXT(YEAR(I2759),"0"))</f>
        <v/>
      </c>
      <c r="N2759" s="5">
        <f>IFERROR(INDEX(DePara!$A:$A,MATCH(TEXT(B2759,"0"),DePara!$D:$D,0)),"(sem categoria)")</f>
        <v/>
      </c>
      <c r="O2759" s="5">
        <f>IF(J2759="","",Parametros!$B$6-J2759)</f>
        <v/>
      </c>
      <c r="P2759" s="5">
        <f>IF(O2759="","",IF(O2759&gt;0,1,0))</f>
        <v/>
      </c>
    </row>
    <row r="2760">
      <c r="A2760" s="5" t="n">
        <v>2111000000</v>
      </c>
      <c r="B2760" s="5" t="inlineStr">
        <is>
          <t>101463</t>
        </is>
      </c>
      <c r="C2760" s="5" t="inlineStr">
        <is>
          <t>ZURICH MINAS BRASIL SEGUROS S A</t>
        </is>
      </c>
      <c r="D2760" s="5" t="inlineStr">
        <is>
          <t>RE</t>
        </is>
      </c>
      <c r="E2760" s="5" t="n">
        <v>5015682</v>
      </c>
      <c r="F2760" s="5" t="inlineStr">
        <is>
          <t>0412/26</t>
        </is>
      </c>
      <c r="G2760" s="5" t="inlineStr">
        <is>
          <t>BRL</t>
        </is>
      </c>
      <c r="H2760" s="9" t="n">
        <v>-58.02</v>
      </c>
      <c r="I2760" s="16" t="n">
        <v>46255</v>
      </c>
      <c r="J2760" s="16" t="n">
        <v>46285</v>
      </c>
      <c r="K2760" s="5" t="inlineStr">
        <is>
          <t>Invoice Payment. SP: 21780</t>
        </is>
      </c>
      <c r="L2760" s="5" t="inlineStr">
        <is>
          <t>0412/26</t>
        </is>
      </c>
      <c r="M2760" s="5">
        <f>IF(YEAR(I2760)&lt;=2020,"Até 2020",TEXT(YEAR(I2760),"0"))</f>
        <v/>
      </c>
      <c r="N2760" s="5">
        <f>IFERROR(INDEX(DePara!$A:$A,MATCH(TEXT(B2760,"0"),DePara!$D:$D,0)),"(sem categoria)")</f>
        <v/>
      </c>
      <c r="O2760" s="5">
        <f>IF(J2760="","",Parametros!$B$6-J2760)</f>
        <v/>
      </c>
      <c r="P2760" s="5">
        <f>IF(O2760="","",IF(O2760&gt;0,1,0))</f>
        <v/>
      </c>
    </row>
    <row r="2761">
      <c r="A2761" s="5" t="n">
        <v>2111000000</v>
      </c>
      <c r="B2761" s="5" t="inlineStr">
        <is>
          <t>101463</t>
        </is>
      </c>
      <c r="C2761" s="5" t="inlineStr">
        <is>
          <t>ZURICH MINAS BRASIL SEGUROS S A</t>
        </is>
      </c>
      <c r="D2761" s="5" t="inlineStr">
        <is>
          <t>RE</t>
        </is>
      </c>
      <c r="E2761" s="5" t="n">
        <v>5015685</v>
      </c>
      <c r="F2761" s="5" t="inlineStr">
        <is>
          <t>0486/26</t>
        </is>
      </c>
      <c r="G2761" s="5" t="inlineStr">
        <is>
          <t>BRL</t>
        </is>
      </c>
      <c r="H2761" s="9" t="n">
        <v>-4.35</v>
      </c>
      <c r="I2761" s="16" t="n">
        <v>46255</v>
      </c>
      <c r="J2761" s="16" t="n">
        <v>46285</v>
      </c>
      <c r="K2761" s="5" t="inlineStr">
        <is>
          <t>Invoice Payment. SP: 21789</t>
        </is>
      </c>
      <c r="L2761" s="5" t="inlineStr">
        <is>
          <t>0486/26</t>
        </is>
      </c>
      <c r="M2761" s="5">
        <f>IF(YEAR(I2761)&lt;=2020,"Até 2020",TEXT(YEAR(I2761),"0"))</f>
        <v/>
      </c>
      <c r="N2761" s="5">
        <f>IFERROR(INDEX(DePara!$A:$A,MATCH(TEXT(B2761,"0"),DePara!$D:$D,0)),"(sem categoria)")</f>
        <v/>
      </c>
      <c r="O2761" s="5">
        <f>IF(J2761="","",Parametros!$B$6-J2761)</f>
        <v/>
      </c>
      <c r="P2761" s="5">
        <f>IF(O2761="","",IF(O2761&gt;0,1,0))</f>
        <v/>
      </c>
    </row>
    <row r="2762">
      <c r="A2762" s="5" t="n">
        <v>2111000000</v>
      </c>
      <c r="B2762" s="5" t="inlineStr">
        <is>
          <t>101463</t>
        </is>
      </c>
      <c r="C2762" s="5" t="inlineStr">
        <is>
          <t>ZURICH MINAS BRASIL SEGUROS S A</t>
        </is>
      </c>
      <c r="D2762" s="5" t="inlineStr">
        <is>
          <t>RE</t>
        </is>
      </c>
      <c r="E2762" s="5" t="n">
        <v>5015691</v>
      </c>
      <c r="F2762" s="5" t="inlineStr">
        <is>
          <t>0470/26</t>
        </is>
      </c>
      <c r="G2762" s="5" t="inlineStr">
        <is>
          <t>BRL</t>
        </is>
      </c>
      <c r="H2762" s="9" t="n">
        <v>-5427</v>
      </c>
      <c r="I2762" s="16" t="n">
        <v>46245</v>
      </c>
      <c r="J2762" s="16" t="n">
        <v>46286</v>
      </c>
      <c r="K2762" s="5" t="inlineStr">
        <is>
          <t>Invoice Payment. SP: 21300</t>
        </is>
      </c>
      <c r="L2762" s="5" t="inlineStr">
        <is>
          <t>0470/26</t>
        </is>
      </c>
      <c r="M2762" s="5">
        <f>IF(YEAR(I2762)&lt;=2020,"Até 2020",TEXT(YEAR(I2762),"0"))</f>
        <v/>
      </c>
      <c r="N2762" s="5">
        <f>IFERROR(INDEX(DePara!$A:$A,MATCH(TEXT(B2762,"0"),DePara!$D:$D,0)),"(sem categoria)")</f>
        <v/>
      </c>
      <c r="O2762" s="5">
        <f>IF(J2762="","",Parametros!$B$6-J2762)</f>
        <v/>
      </c>
      <c r="P2762" s="5">
        <f>IF(O2762="","",IF(O2762&gt;0,1,0))</f>
        <v/>
      </c>
    </row>
    <row r="2763">
      <c r="A2763" s="5" t="n">
        <v>2111000000</v>
      </c>
      <c r="B2763" s="5" t="inlineStr">
        <is>
          <t>100845</t>
        </is>
      </c>
      <c r="C2763" s="5" t="inlineStr">
        <is>
          <t>DRIVEMEC MANUTENCAO INDUSTRIAL EIRE</t>
        </is>
      </c>
      <c r="D2763" s="5" t="inlineStr">
        <is>
          <t>RE</t>
        </is>
      </c>
      <c r="E2763" s="5" t="n">
        <v>5015694</v>
      </c>
      <c r="F2763" s="5" t="inlineStr">
        <is>
          <t>000002255-1</t>
        </is>
      </c>
      <c r="G2763" s="5" t="inlineStr">
        <is>
          <t>BRL</t>
        </is>
      </c>
      <c r="H2763" s="9" t="n">
        <v>-16130.79</v>
      </c>
      <c r="I2763" s="16" t="n">
        <v>46245</v>
      </c>
      <c r="J2763" s="16" t="n">
        <v>46331</v>
      </c>
      <c r="K2763" s="5" t="inlineStr">
        <is>
          <t>Fatura - bruto DRIVEMEC MANUTENCAO INDUSTRIAL EIRE</t>
        </is>
      </c>
      <c r="L2763" s="5" t="inlineStr">
        <is>
          <t>05112026</t>
        </is>
      </c>
      <c r="M2763" s="5">
        <f>IF(YEAR(I2763)&lt;=2020,"Até 2020",TEXT(YEAR(I2763),"0"))</f>
        <v/>
      </c>
      <c r="N2763" s="5">
        <f>IFERROR(INDEX(DePara!$A:$A,MATCH(TEXT(B2763,"0"),DePara!$D:$D,0)),"(sem categoria)")</f>
        <v/>
      </c>
      <c r="O2763" s="5">
        <f>IF(J2763="","",Parametros!$B$6-J2763)</f>
        <v/>
      </c>
      <c r="P2763" s="5">
        <f>IF(O2763="","",IF(O2763&gt;0,1,0))</f>
        <v/>
      </c>
    </row>
    <row r="2764">
      <c r="A2764" s="5" t="n">
        <v>2111000000</v>
      </c>
      <c r="B2764" s="5" t="inlineStr">
        <is>
          <t>114597</t>
        </is>
      </c>
      <c r="C2764" s="5" t="inlineStr">
        <is>
          <t>BLUEWAY TRADING IMPORTAÇAO E EXPORT SA</t>
        </is>
      </c>
      <c r="D2764" s="5" t="inlineStr">
        <is>
          <t>RE</t>
        </is>
      </c>
      <c r="E2764" s="5" t="n">
        <v>5015700</v>
      </c>
      <c r="F2764" s="5" t="inlineStr">
        <is>
          <t>000012302-1</t>
        </is>
      </c>
      <c r="G2764" s="5" t="inlineStr">
        <is>
          <t>BRL</t>
        </is>
      </c>
      <c r="H2764" s="9" t="n">
        <v>-17370</v>
      </c>
      <c r="I2764" s="16" t="n">
        <v>46244</v>
      </c>
      <c r="J2764" s="16" t="n">
        <v>46274</v>
      </c>
      <c r="K2764" s="5" t="inlineStr">
        <is>
          <t xml:space="preserve">dados banc CNPJ FILIAL
</t>
        </is>
      </c>
      <c r="L2764" s="5" t="inlineStr">
        <is>
          <t>09092026</t>
        </is>
      </c>
      <c r="M2764" s="5">
        <f>IF(YEAR(I2764)&lt;=2020,"Até 2020",TEXT(YEAR(I2764),"0"))</f>
        <v/>
      </c>
      <c r="N2764" s="5">
        <f>IFERROR(INDEX(DePara!$A:$A,MATCH(TEXT(B2764,"0"),DePara!$D:$D,0)),"(sem categoria)")</f>
        <v/>
      </c>
      <c r="O2764" s="5">
        <f>IF(J2764="","",Parametros!$B$6-J2764)</f>
        <v/>
      </c>
      <c r="P2764" s="5">
        <f>IF(O2764="","",IF(O2764&gt;0,1,0))</f>
        <v/>
      </c>
    </row>
    <row r="2765">
      <c r="A2765" s="5" t="n">
        <v>2111000000</v>
      </c>
      <c r="B2765" s="5" t="inlineStr">
        <is>
          <t>102017</t>
        </is>
      </c>
      <c r="C2765" s="5" t="inlineStr">
        <is>
          <t>GLOBO COMERCIO DE MAQUINAS E FERRAM</t>
        </is>
      </c>
      <c r="D2765" s="5" t="inlineStr">
        <is>
          <t>RE</t>
        </is>
      </c>
      <c r="E2765" s="5" t="n">
        <v>5015703</v>
      </c>
      <c r="F2765" s="5" t="inlineStr">
        <is>
          <t>000022481-1</t>
        </is>
      </c>
      <c r="G2765" s="5" t="inlineStr">
        <is>
          <t>BRL</t>
        </is>
      </c>
      <c r="H2765" s="9" t="n">
        <v>-4851</v>
      </c>
      <c r="I2765" s="16" t="n">
        <v>46247</v>
      </c>
      <c r="J2765" s="16" t="n">
        <v>46300</v>
      </c>
      <c r="K2765" s="5" t="inlineStr">
        <is>
          <t>Fatura - bruto GLOBO COMERCIO DE MAQUINAS E FERRAM</t>
        </is>
      </c>
      <c r="L2765" s="5" t="inlineStr">
        <is>
          <t>05102026</t>
        </is>
      </c>
      <c r="M2765" s="5">
        <f>IF(YEAR(I2765)&lt;=2020,"Até 2020",TEXT(YEAR(I2765),"0"))</f>
        <v/>
      </c>
      <c r="N2765" s="5">
        <f>IFERROR(INDEX(DePara!$A:$A,MATCH(TEXT(B2765,"0"),DePara!$D:$D,0)),"(sem categoria)")</f>
        <v/>
      </c>
      <c r="O2765" s="5">
        <f>IF(J2765="","",Parametros!$B$6-J2765)</f>
        <v/>
      </c>
      <c r="P2765" s="5">
        <f>IF(O2765="","",IF(O2765&gt;0,1,0))</f>
        <v/>
      </c>
    </row>
    <row r="2766">
      <c r="A2766" s="5" t="n">
        <v>2111000000</v>
      </c>
      <c r="B2766" s="5" t="inlineStr">
        <is>
          <t>102017</t>
        </is>
      </c>
      <c r="C2766" s="5" t="inlineStr">
        <is>
          <t>GLOBO COMERCIO DE MAQUINAS E FERRAM</t>
        </is>
      </c>
      <c r="D2766" s="5" t="inlineStr">
        <is>
          <t>RE</t>
        </is>
      </c>
      <c r="E2766" s="5" t="n">
        <v>5015704</v>
      </c>
      <c r="F2766" s="5" t="inlineStr">
        <is>
          <t>000022482-1</t>
        </is>
      </c>
      <c r="G2766" s="5" t="inlineStr">
        <is>
          <t>BRL</t>
        </is>
      </c>
      <c r="H2766" s="9" t="n">
        <v>-4851</v>
      </c>
      <c r="I2766" s="16" t="n">
        <v>46247</v>
      </c>
      <c r="J2766" s="16" t="n">
        <v>46300</v>
      </c>
      <c r="K2766" s="5" t="inlineStr">
        <is>
          <t>Fatura - bruto GLOBO COMERCIO DE MAQUINAS E FERRAM</t>
        </is>
      </c>
      <c r="L2766" s="5" t="inlineStr">
        <is>
          <t>05102026</t>
        </is>
      </c>
      <c r="M2766" s="5">
        <f>IF(YEAR(I2766)&lt;=2020,"Até 2020",TEXT(YEAR(I2766),"0"))</f>
        <v/>
      </c>
      <c r="N2766" s="5">
        <f>IFERROR(INDEX(DePara!$A:$A,MATCH(TEXT(B2766,"0"),DePara!$D:$D,0)),"(sem categoria)")</f>
        <v/>
      </c>
      <c r="O2766" s="5">
        <f>IF(J2766="","",Parametros!$B$6-J2766)</f>
        <v/>
      </c>
      <c r="P2766" s="5">
        <f>IF(O2766="","",IF(O2766&gt;0,1,0))</f>
        <v/>
      </c>
    </row>
    <row r="2767">
      <c r="A2767" s="5" t="n">
        <v>2111000000</v>
      </c>
      <c r="B2767" s="5" t="inlineStr">
        <is>
          <t>101929</t>
        </is>
      </c>
      <c r="C2767" s="5" t="inlineStr">
        <is>
          <t>TECNOFIX INDUSTRIA E COMERCIO DE PA</t>
        </is>
      </c>
      <c r="D2767" s="5" t="inlineStr">
        <is>
          <t>RE</t>
        </is>
      </c>
      <c r="E2767" s="5" t="n">
        <v>5015708</v>
      </c>
      <c r="F2767" s="5" t="inlineStr">
        <is>
          <t>000031433-1</t>
        </is>
      </c>
      <c r="G2767" s="5" t="inlineStr">
        <is>
          <t>BRL</t>
        </is>
      </c>
      <c r="H2767" s="9" t="n">
        <v>-59663.13</v>
      </c>
      <c r="I2767" s="16" t="n">
        <v>46248</v>
      </c>
      <c r="J2767" s="16" t="n">
        <v>46300</v>
      </c>
      <c r="K2767" s="5" t="inlineStr">
        <is>
          <t>Fatura - bruto TECNOFIX INDUSTRIA E COMERCIO DE PA</t>
        </is>
      </c>
      <c r="L2767" s="5" t="inlineStr">
        <is>
          <t>05102026</t>
        </is>
      </c>
      <c r="M2767" s="5">
        <f>IF(YEAR(I2767)&lt;=2020,"Até 2020",TEXT(YEAR(I2767),"0"))</f>
        <v/>
      </c>
      <c r="N2767" s="5">
        <f>IFERROR(INDEX(DePara!$A:$A,MATCH(TEXT(B2767,"0"),DePara!$D:$D,0)),"(sem categoria)")</f>
        <v/>
      </c>
      <c r="O2767" s="5">
        <f>IF(J2767="","",Parametros!$B$6-J2767)</f>
        <v/>
      </c>
      <c r="P2767" s="5">
        <f>IF(O2767="","",IF(O2767&gt;0,1,0))</f>
        <v/>
      </c>
    </row>
    <row r="2768">
      <c r="A2768" s="5" t="n">
        <v>2111000000</v>
      </c>
      <c r="B2768" s="5" t="inlineStr">
        <is>
          <t>100961</t>
        </is>
      </c>
      <c r="C2768" s="5" t="inlineStr">
        <is>
          <t>VPS BRASIL SUPRIMENTOS INDUSTRIAIS</t>
        </is>
      </c>
      <c r="D2768" s="5" t="inlineStr">
        <is>
          <t>RE</t>
        </is>
      </c>
      <c r="E2768" s="5" t="n">
        <v>5015713</v>
      </c>
      <c r="F2768" s="5" t="inlineStr">
        <is>
          <t>000053318-1</t>
        </is>
      </c>
      <c r="G2768" s="5" t="inlineStr">
        <is>
          <t>BRL</t>
        </is>
      </c>
      <c r="H2768" s="9" t="n">
        <v>-1539.8</v>
      </c>
      <c r="I2768" s="16" t="n">
        <v>46203</v>
      </c>
      <c r="J2768" s="16" t="n">
        <v>46239</v>
      </c>
      <c r="K2768" s="5" t="inlineStr">
        <is>
          <t>Fatura - bruto VPS BRASIL SUPRIMENTOS INDUSTRIAIS</t>
        </is>
      </c>
      <c r="L2768" s="5" t="inlineStr">
        <is>
          <t>02092026</t>
        </is>
      </c>
      <c r="M2768" s="5">
        <f>IF(YEAR(I2768)&lt;=2020,"Até 2020",TEXT(YEAR(I2768),"0"))</f>
        <v/>
      </c>
      <c r="N2768" s="5">
        <f>IFERROR(INDEX(DePara!$A:$A,MATCH(TEXT(B2768,"0"),DePara!$D:$D,0)),"(sem categoria)")</f>
        <v/>
      </c>
      <c r="O2768" s="5">
        <f>IF(J2768="","",Parametros!$B$6-J2768)</f>
        <v/>
      </c>
      <c r="P2768" s="5">
        <f>IF(O2768="","",IF(O2768&gt;0,1,0))</f>
        <v/>
      </c>
    </row>
    <row r="2769">
      <c r="A2769" s="5" t="n">
        <v>2111000000</v>
      </c>
      <c r="B2769" s="5" t="inlineStr">
        <is>
          <t>101099</t>
        </is>
      </c>
      <c r="C2769" s="5" t="inlineStr">
        <is>
          <t>HYDAC TECNOLOGIA LTDA</t>
        </is>
      </c>
      <c r="D2769" s="5" t="inlineStr">
        <is>
          <t>RE</t>
        </is>
      </c>
      <c r="E2769" s="5" t="n">
        <v>5015714</v>
      </c>
      <c r="F2769" s="5" t="inlineStr">
        <is>
          <t>000089212-20</t>
        </is>
      </c>
      <c r="G2769" s="5" t="inlineStr">
        <is>
          <t>BRL</t>
        </is>
      </c>
      <c r="H2769" s="9" t="n">
        <v>-29914.67</v>
      </c>
      <c r="I2769" s="16" t="n">
        <v>46238</v>
      </c>
      <c r="J2769" s="16" t="n">
        <v>46300</v>
      </c>
      <c r="K2769" s="5" t="inlineStr">
        <is>
          <t>Fatura - bruto HYDAC TECNOLOGIA LTDA 000089212-20</t>
        </is>
      </c>
      <c r="L2769" s="5" t="inlineStr">
        <is>
          <t>05102026</t>
        </is>
      </c>
      <c r="M2769" s="5">
        <f>IF(YEAR(I2769)&lt;=2020,"Até 2020",TEXT(YEAR(I2769),"0"))</f>
        <v/>
      </c>
      <c r="N2769" s="5">
        <f>IFERROR(INDEX(DePara!$A:$A,MATCH(TEXT(B2769,"0"),DePara!$D:$D,0)),"(sem categoria)")</f>
        <v/>
      </c>
      <c r="O2769" s="5">
        <f>IF(J2769="","",Parametros!$B$6-J2769)</f>
        <v/>
      </c>
      <c r="P2769" s="5">
        <f>IF(O2769="","",IF(O2769&gt;0,1,0))</f>
        <v/>
      </c>
    </row>
    <row r="2770">
      <c r="A2770" s="5" t="n">
        <v>2111000000</v>
      </c>
      <c r="B2770" s="5" t="inlineStr">
        <is>
          <t>100485</t>
        </is>
      </c>
      <c r="C2770" s="5" t="inlineStr">
        <is>
          <t>FUCHS LUBRIFICANTES DO BRASIL LTDA</t>
        </is>
      </c>
      <c r="D2770" s="5" t="inlineStr">
        <is>
          <t>RE</t>
        </is>
      </c>
      <c r="E2770" s="5" t="n">
        <v>5015716</v>
      </c>
      <c r="F2770" s="5" t="inlineStr">
        <is>
          <t>000104695-000</t>
        </is>
      </c>
      <c r="G2770" s="5" t="inlineStr">
        <is>
          <t>BRL</t>
        </is>
      </c>
      <c r="H2770" s="9" t="n">
        <v>-26456.87</v>
      </c>
      <c r="I2770" s="16" t="n">
        <v>46237</v>
      </c>
      <c r="J2770" s="16" t="n">
        <v>46300</v>
      </c>
      <c r="K2770" s="5" t="inlineStr">
        <is>
          <t>Fatura - bruto FUCHS LUBRIFICANTES DO BRASIL LTDA</t>
        </is>
      </c>
      <c r="L2770" s="5" t="inlineStr">
        <is>
          <t>05102026</t>
        </is>
      </c>
      <c r="M2770" s="5">
        <f>IF(YEAR(I2770)&lt;=2020,"Até 2020",TEXT(YEAR(I2770),"0"))</f>
        <v/>
      </c>
      <c r="N2770" s="5">
        <f>IFERROR(INDEX(DePara!$A:$A,MATCH(TEXT(B2770,"0"),DePara!$D:$D,0)),"(sem categoria)")</f>
        <v/>
      </c>
      <c r="O2770" s="5">
        <f>IF(J2770="","",Parametros!$B$6-J2770)</f>
        <v/>
      </c>
      <c r="P2770" s="5">
        <f>IF(O2770="","",IF(O2770&gt;0,1,0))</f>
        <v/>
      </c>
    </row>
    <row r="2771">
      <c r="A2771" s="5" t="n">
        <v>2111000000</v>
      </c>
      <c r="B2771" s="5" t="inlineStr">
        <is>
          <t>101696</t>
        </is>
      </c>
      <c r="C2771" s="5" t="inlineStr">
        <is>
          <t>LANA CALIBRACAO DE INST E MANUTENCO</t>
        </is>
      </c>
      <c r="D2771" s="5" t="inlineStr">
        <is>
          <t>RE</t>
        </is>
      </c>
      <c r="E2771" s="5" t="n">
        <v>5015726</v>
      </c>
      <c r="F2771" s="5" t="inlineStr">
        <is>
          <t>12780</t>
        </is>
      </c>
      <c r="G2771" s="5" t="inlineStr">
        <is>
          <t>BRL</t>
        </is>
      </c>
      <c r="H2771" s="9" t="n">
        <v>-1673.83</v>
      </c>
      <c r="I2771" s="16" t="n">
        <v>46237</v>
      </c>
      <c r="J2771" s="16" t="n">
        <v>46267</v>
      </c>
      <c r="K2771" s="5" t="inlineStr">
        <is>
          <t>Fatura - bruto LANA CALIBRACAO DE INST E MANUTENCO</t>
        </is>
      </c>
      <c r="L2771" s="5" t="inlineStr">
        <is>
          <t>02092026</t>
        </is>
      </c>
      <c r="M2771" s="5">
        <f>IF(YEAR(I2771)&lt;=2020,"Até 2020",TEXT(YEAR(I2771),"0"))</f>
        <v/>
      </c>
      <c r="N2771" s="5">
        <f>IFERROR(INDEX(DePara!$A:$A,MATCH(TEXT(B2771,"0"),DePara!$D:$D,0)),"(sem categoria)")</f>
        <v/>
      </c>
      <c r="O2771" s="5">
        <f>IF(J2771="","",Parametros!$B$6-J2771)</f>
        <v/>
      </c>
      <c r="P2771" s="5">
        <f>IF(O2771="","",IF(O2771&gt;0,1,0))</f>
        <v/>
      </c>
    </row>
    <row r="2772">
      <c r="A2772" s="5" t="n">
        <v>2111000000</v>
      </c>
      <c r="B2772" s="5" t="inlineStr">
        <is>
          <t>101463</t>
        </is>
      </c>
      <c r="C2772" s="5" t="inlineStr">
        <is>
          <t>ZURICH MINAS BRASIL SEGUROS S A</t>
        </is>
      </c>
      <c r="D2772" s="5" t="inlineStr">
        <is>
          <t>RE</t>
        </is>
      </c>
      <c r="E2772" s="5" t="n">
        <v>5015727</v>
      </c>
      <c r="F2772" s="5" t="inlineStr">
        <is>
          <t>0487/26</t>
        </is>
      </c>
      <c r="G2772" s="5" t="inlineStr">
        <is>
          <t>BRL</t>
        </is>
      </c>
      <c r="H2772" s="9" t="n">
        <v>-2501.26</v>
      </c>
      <c r="I2772" s="16" t="n">
        <v>46258</v>
      </c>
      <c r="J2772" s="16" t="n">
        <v>46288</v>
      </c>
      <c r="K2772" s="5" t="inlineStr">
        <is>
          <t>Invoice Payment. SP: 21798</t>
        </is>
      </c>
      <c r="L2772" s="5" t="inlineStr">
        <is>
          <t>0487/26</t>
        </is>
      </c>
      <c r="M2772" s="5">
        <f>IF(YEAR(I2772)&lt;=2020,"Até 2020",TEXT(YEAR(I2772),"0"))</f>
        <v/>
      </c>
      <c r="N2772" s="5">
        <f>IFERROR(INDEX(DePara!$A:$A,MATCH(TEXT(B2772,"0"),DePara!$D:$D,0)),"(sem categoria)")</f>
        <v/>
      </c>
      <c r="O2772" s="5">
        <f>IF(J2772="","",Parametros!$B$6-J2772)</f>
        <v/>
      </c>
      <c r="P2772" s="5">
        <f>IF(O2772="","",IF(O2772&gt;0,1,0))</f>
        <v/>
      </c>
    </row>
    <row r="2773">
      <c r="A2773" s="5" t="n">
        <v>2111000000</v>
      </c>
      <c r="B2773" s="5" t="inlineStr">
        <is>
          <t>101011</t>
        </is>
      </c>
      <c r="C2773" s="5" t="inlineStr">
        <is>
          <t>THYSSENKRUPP BRASIL LTDA</t>
        </is>
      </c>
      <c r="D2773" s="5" t="inlineStr">
        <is>
          <t>RE</t>
        </is>
      </c>
      <c r="E2773" s="5" t="n">
        <v>5015729</v>
      </c>
      <c r="F2773" s="5" t="inlineStr">
        <is>
          <t>000018051-2</t>
        </is>
      </c>
      <c r="G2773" s="5" t="inlineStr">
        <is>
          <t>BRL</t>
        </is>
      </c>
      <c r="H2773" s="9" t="n">
        <v>-1047119.01</v>
      </c>
      <c r="I2773" s="16" t="n">
        <v>46255</v>
      </c>
      <c r="J2773" s="16" t="n">
        <v>46285</v>
      </c>
      <c r="K2773" s="5" t="inlineStr">
        <is>
          <t>Fatura - bruto THYSSENKRUPP BRASIL LTDA 000018051-</t>
        </is>
      </c>
      <c r="L2773" s="5" t="inlineStr">
        <is>
          <t>16092026</t>
        </is>
      </c>
      <c r="M2773" s="5">
        <f>IF(YEAR(I2773)&lt;=2020,"Até 2020",TEXT(YEAR(I2773),"0"))</f>
        <v/>
      </c>
      <c r="N2773" s="5">
        <f>IFERROR(INDEX(DePara!$A:$A,MATCH(TEXT(B2773,"0"),DePara!$D:$D,0)),"(sem categoria)")</f>
        <v/>
      </c>
      <c r="O2773" s="5">
        <f>IF(J2773="","",Parametros!$B$6-J2773)</f>
        <v/>
      </c>
      <c r="P2773" s="5">
        <f>IF(O2773="","",IF(O2773&gt;0,1,0))</f>
        <v/>
      </c>
    </row>
    <row r="2774">
      <c r="A2774" s="5" t="n">
        <v>2111000000</v>
      </c>
      <c r="B2774" s="5" t="inlineStr">
        <is>
          <t>101696</t>
        </is>
      </c>
      <c r="C2774" s="5" t="inlineStr">
        <is>
          <t>LANA CALIBRACAO DE INST E MANUTENCO</t>
        </is>
      </c>
      <c r="D2774" s="5" t="inlineStr">
        <is>
          <t>RE</t>
        </is>
      </c>
      <c r="E2774" s="5" t="n">
        <v>5015730</v>
      </c>
      <c r="F2774" s="5" t="inlineStr">
        <is>
          <t>8745-1</t>
        </is>
      </c>
      <c r="G2774" s="5" t="inlineStr">
        <is>
          <t>BRL</t>
        </is>
      </c>
      <c r="H2774" s="9" t="n">
        <v>-1638</v>
      </c>
      <c r="I2774" s="16" t="n">
        <v>46237</v>
      </c>
      <c r="J2774" s="16" t="n">
        <v>46267</v>
      </c>
      <c r="K2774" s="5" t="inlineStr">
        <is>
          <t>Fatura - bruto LANA CALIBRACAO DE INST E MANUTENCO</t>
        </is>
      </c>
      <c r="L2774" s="5" t="inlineStr">
        <is>
          <t>02092026</t>
        </is>
      </c>
      <c r="M2774" s="5">
        <f>IF(YEAR(I2774)&lt;=2020,"Até 2020",TEXT(YEAR(I2774),"0"))</f>
        <v/>
      </c>
      <c r="N2774" s="5">
        <f>IFERROR(INDEX(DePara!$A:$A,MATCH(TEXT(B2774,"0"),DePara!$D:$D,0)),"(sem categoria)")</f>
        <v/>
      </c>
      <c r="O2774" s="5">
        <f>IF(J2774="","",Parametros!$B$6-J2774)</f>
        <v/>
      </c>
      <c r="P2774" s="5">
        <f>IF(O2774="","",IF(O2774&gt;0,1,0))</f>
        <v/>
      </c>
    </row>
    <row r="2775">
      <c r="A2775" s="5" t="n">
        <v>2111000000</v>
      </c>
      <c r="B2775" s="5" t="inlineStr">
        <is>
          <t>103849</t>
        </is>
      </c>
      <c r="C2775" s="5" t="inlineStr">
        <is>
          <t>SINOMA WIND POWER BLADE (BRAZIL) LT</t>
        </is>
      </c>
      <c r="D2775" s="5" t="inlineStr">
        <is>
          <t>RE</t>
        </is>
      </c>
      <c r="E2775" s="5" t="n">
        <v>5015731</v>
      </c>
      <c r="F2775" s="5" t="inlineStr">
        <is>
          <t>1999-1</t>
        </is>
      </c>
      <c r="G2775" s="5" t="inlineStr">
        <is>
          <t>BRL</t>
        </is>
      </c>
      <c r="H2775" s="9" t="n">
        <v>-4599632.79</v>
      </c>
      <c r="I2775" s="16" t="n">
        <v>46255</v>
      </c>
      <c r="J2775" s="16" t="n">
        <v>46270</v>
      </c>
      <c r="K2775" s="5" t="inlineStr">
        <is>
          <t>Segurar o fornecedor Sinoma até o SRC entrar</t>
        </is>
      </c>
      <c r="L2775" s="5" t="inlineStr">
        <is>
          <t>08092026</t>
        </is>
      </c>
      <c r="M2775" s="5">
        <f>IF(YEAR(I2775)&lt;=2020,"Até 2020",TEXT(YEAR(I2775),"0"))</f>
        <v/>
      </c>
      <c r="N2775" s="5">
        <f>IFERROR(INDEX(DePara!$A:$A,MATCH(TEXT(B2775,"0"),DePara!$D:$D,0)),"(sem categoria)")</f>
        <v/>
      </c>
      <c r="O2775" s="5">
        <f>IF(J2775="","",Parametros!$B$6-J2775)</f>
        <v/>
      </c>
      <c r="P2775" s="5">
        <f>IF(O2775="","",IF(O2775&gt;0,1,0))</f>
        <v/>
      </c>
    </row>
    <row r="2776">
      <c r="A2776" s="5" t="n">
        <v>2111000000</v>
      </c>
      <c r="B2776" s="5" t="inlineStr">
        <is>
          <t>108031</t>
        </is>
      </c>
      <c r="C2776" s="5" t="inlineStr">
        <is>
          <t>ISELETRICA LTDA -EPP</t>
        </is>
      </c>
      <c r="D2776" s="5" t="inlineStr">
        <is>
          <t>RE</t>
        </is>
      </c>
      <c r="E2776" s="5" t="n">
        <v>5015741</v>
      </c>
      <c r="F2776" s="5" t="inlineStr">
        <is>
          <t>47752</t>
        </is>
      </c>
      <c r="G2776" s="5" t="inlineStr">
        <is>
          <t>BRL</t>
        </is>
      </c>
      <c r="H2776" s="9" t="n">
        <v>-25476.79</v>
      </c>
      <c r="I2776" s="16" t="n">
        <v>46224</v>
      </c>
      <c r="J2776" s="16" t="n">
        <v>46252</v>
      </c>
      <c r="K2776" s="5" t="inlineStr">
        <is>
          <t>Fatura - bruto ISELETRICA LTDA -EPP 47752</t>
        </is>
      </c>
      <c r="L2776" s="5" t="inlineStr">
        <is>
          <t>02092026</t>
        </is>
      </c>
      <c r="M2776" s="5">
        <f>IF(YEAR(I2776)&lt;=2020,"Até 2020",TEXT(YEAR(I2776),"0"))</f>
        <v/>
      </c>
      <c r="N2776" s="5">
        <f>IFERROR(INDEX(DePara!$A:$A,MATCH(TEXT(B2776,"0"),DePara!$D:$D,0)),"(sem categoria)")</f>
        <v/>
      </c>
      <c r="O2776" s="5">
        <f>IF(J2776="","",Parametros!$B$6-J2776)</f>
        <v/>
      </c>
      <c r="P2776" s="5">
        <f>IF(O2776="","",IF(O2776&gt;0,1,0))</f>
        <v/>
      </c>
    </row>
    <row r="2777">
      <c r="A2777" s="5" t="n">
        <v>2111000000</v>
      </c>
      <c r="B2777" s="5" t="inlineStr">
        <is>
          <t>107626</t>
        </is>
      </c>
      <c r="C2777" s="5" t="inlineStr">
        <is>
          <t>DELTHA SERVICOS LTDA</t>
        </is>
      </c>
      <c r="D2777" s="5" t="inlineStr">
        <is>
          <t>RE</t>
        </is>
      </c>
      <c r="E2777" s="5" t="n">
        <v>5015744</v>
      </c>
      <c r="F2777" s="5" t="inlineStr">
        <is>
          <t>229</t>
        </is>
      </c>
      <c r="G2777" s="5" t="inlineStr">
        <is>
          <t>BRL</t>
        </is>
      </c>
      <c r="H2777" s="9" t="n">
        <v>-1946.86</v>
      </c>
      <c r="I2777" s="16" t="n">
        <v>46248</v>
      </c>
      <c r="J2777" s="16" t="n">
        <v>46300</v>
      </c>
      <c r="K2777" s="5" t="inlineStr">
        <is>
          <t>Fatura - bruto DELTHA SERVICOS LTDA 229</t>
        </is>
      </c>
      <c r="L2777" s="5" t="inlineStr">
        <is>
          <t>05102026</t>
        </is>
      </c>
      <c r="M2777" s="5">
        <f>IF(YEAR(I2777)&lt;=2020,"Até 2020",TEXT(YEAR(I2777),"0"))</f>
        <v/>
      </c>
      <c r="N2777" s="5">
        <f>IFERROR(INDEX(DePara!$A:$A,MATCH(TEXT(B2777,"0"),DePara!$D:$D,0)),"(sem categoria)")</f>
        <v/>
      </c>
      <c r="O2777" s="5">
        <f>IF(J2777="","",Parametros!$B$6-J2777)</f>
        <v/>
      </c>
      <c r="P2777" s="5">
        <f>IF(O2777="","",IF(O2777&gt;0,1,0))</f>
        <v/>
      </c>
    </row>
    <row r="2778">
      <c r="A2778" s="5" t="n">
        <v>2111000000</v>
      </c>
      <c r="B2778" s="5" t="inlineStr">
        <is>
          <t>107626</t>
        </is>
      </c>
      <c r="C2778" s="5" t="inlineStr">
        <is>
          <t>DELTHA SERVICOS LTDA</t>
        </is>
      </c>
      <c r="D2778" s="5" t="inlineStr">
        <is>
          <t>RE</t>
        </is>
      </c>
      <c r="E2778" s="5" t="n">
        <v>5015745</v>
      </c>
      <c r="F2778" s="5" t="inlineStr">
        <is>
          <t>228</t>
        </is>
      </c>
      <c r="G2778" s="5" t="inlineStr">
        <is>
          <t>BRL</t>
        </is>
      </c>
      <c r="H2778" s="9" t="n">
        <v>-60042.52</v>
      </c>
      <c r="I2778" s="16" t="n">
        <v>46248</v>
      </c>
      <c r="J2778" s="16" t="n">
        <v>46300</v>
      </c>
      <c r="K2778" s="5" t="inlineStr">
        <is>
          <t>Fatura - bruto DELTHA SERVICOS LTDA 228</t>
        </is>
      </c>
      <c r="L2778" s="5" t="inlineStr">
        <is>
          <t>05102026</t>
        </is>
      </c>
      <c r="M2778" s="5">
        <f>IF(YEAR(I2778)&lt;=2020,"Até 2020",TEXT(YEAR(I2778),"0"))</f>
        <v/>
      </c>
      <c r="N2778" s="5">
        <f>IFERROR(INDEX(DePara!$A:$A,MATCH(TEXT(B2778,"0"),DePara!$D:$D,0)),"(sem categoria)")</f>
        <v/>
      </c>
      <c r="O2778" s="5">
        <f>IF(J2778="","",Parametros!$B$6-J2778)</f>
        <v/>
      </c>
      <c r="P2778" s="5">
        <f>IF(O2778="","",IF(O2778&gt;0,1,0))</f>
        <v/>
      </c>
    </row>
    <row r="2779">
      <c r="A2779" s="5" t="n">
        <v>2111000000</v>
      </c>
      <c r="B2779" s="5" t="inlineStr">
        <is>
          <t>107626</t>
        </is>
      </c>
      <c r="C2779" s="5" t="inlineStr">
        <is>
          <t>DELTHA SERVICOS LTDA</t>
        </is>
      </c>
      <c r="D2779" s="5" t="inlineStr">
        <is>
          <t>RE</t>
        </is>
      </c>
      <c r="E2779" s="5" t="n">
        <v>5015746</v>
      </c>
      <c r="F2779" s="5" t="inlineStr">
        <is>
          <t>230</t>
        </is>
      </c>
      <c r="G2779" s="5" t="inlineStr">
        <is>
          <t>BRL</t>
        </is>
      </c>
      <c r="H2779" s="9" t="n">
        <v>-60042.52</v>
      </c>
      <c r="I2779" s="16" t="n">
        <v>46248</v>
      </c>
      <c r="J2779" s="16" t="n">
        <v>46300</v>
      </c>
      <c r="K2779" s="5" t="inlineStr">
        <is>
          <t>Fatura - bruto DELTHA SERVICOS LTDA 230</t>
        </is>
      </c>
      <c r="L2779" s="5" t="inlineStr">
        <is>
          <t>05102026</t>
        </is>
      </c>
      <c r="M2779" s="5">
        <f>IF(YEAR(I2779)&lt;=2020,"Até 2020",TEXT(YEAR(I2779),"0"))</f>
        <v/>
      </c>
      <c r="N2779" s="5">
        <f>IFERROR(INDEX(DePara!$A:$A,MATCH(TEXT(B2779,"0"),DePara!$D:$D,0)),"(sem categoria)")</f>
        <v/>
      </c>
      <c r="O2779" s="5">
        <f>IF(J2779="","",Parametros!$B$6-J2779)</f>
        <v/>
      </c>
      <c r="P2779" s="5">
        <f>IF(O2779="","",IF(O2779&gt;0,1,0))</f>
        <v/>
      </c>
    </row>
    <row r="2780">
      <c r="A2780" s="5" t="n">
        <v>2111000000</v>
      </c>
      <c r="B2780" s="5" t="inlineStr">
        <is>
          <t>107626</t>
        </is>
      </c>
      <c r="C2780" s="5" t="inlineStr">
        <is>
          <t>DELTHA SERVICOS LTDA</t>
        </is>
      </c>
      <c r="D2780" s="5" t="inlineStr">
        <is>
          <t>RE</t>
        </is>
      </c>
      <c r="E2780" s="5" t="n">
        <v>5015747</v>
      </c>
      <c r="F2780" s="5" t="inlineStr">
        <is>
          <t>231</t>
        </is>
      </c>
      <c r="G2780" s="5" t="inlineStr">
        <is>
          <t>BRL</t>
        </is>
      </c>
      <c r="H2780" s="9" t="n">
        <v>-1946.87</v>
      </c>
      <c r="I2780" s="16" t="n">
        <v>46248</v>
      </c>
      <c r="J2780" s="16" t="n">
        <v>46300</v>
      </c>
      <c r="K2780" s="5" t="inlineStr">
        <is>
          <t>Fatura - bruto DELTHA SERVICOS LTDA 231</t>
        </is>
      </c>
      <c r="L2780" s="5" t="inlineStr">
        <is>
          <t>05102026</t>
        </is>
      </c>
      <c r="M2780" s="5">
        <f>IF(YEAR(I2780)&lt;=2020,"Até 2020",TEXT(YEAR(I2780),"0"))</f>
        <v/>
      </c>
      <c r="N2780" s="5">
        <f>IFERROR(INDEX(DePara!$A:$A,MATCH(TEXT(B2780,"0"),DePara!$D:$D,0)),"(sem categoria)")</f>
        <v/>
      </c>
      <c r="O2780" s="5">
        <f>IF(J2780="","",Parametros!$B$6-J2780)</f>
        <v/>
      </c>
      <c r="P2780" s="5">
        <f>IF(O2780="","",IF(O2780&gt;0,1,0))</f>
        <v/>
      </c>
    </row>
    <row r="2781">
      <c r="A2781" s="5" t="n">
        <v>2111000000</v>
      </c>
      <c r="B2781" s="5" t="inlineStr">
        <is>
          <t>102109</t>
        </is>
      </c>
      <c r="C2781" s="5" t="inlineStr">
        <is>
          <t>L AMORIM LOCACAO DE EQUIPAMENTOS LT</t>
        </is>
      </c>
      <c r="D2781" s="5" t="inlineStr">
        <is>
          <t>RE</t>
        </is>
      </c>
      <c r="E2781" s="5" t="n">
        <v>5015748</v>
      </c>
      <c r="F2781" s="5" t="inlineStr">
        <is>
          <t>129785</t>
        </is>
      </c>
      <c r="G2781" s="5" t="inlineStr">
        <is>
          <t>BRL</t>
        </is>
      </c>
      <c r="H2781" s="9" t="n">
        <v>-4970</v>
      </c>
      <c r="I2781" s="16" t="n">
        <v>46252</v>
      </c>
      <c r="J2781" s="16" t="n">
        <v>46282</v>
      </c>
      <c r="K2781" s="5" t="inlineStr">
        <is>
          <t>Fatura - bruto L AMORIM LOCACAO DE EQUIPAMENTOS LT</t>
        </is>
      </c>
      <c r="L2781" s="5" t="inlineStr">
        <is>
          <t>16092026</t>
        </is>
      </c>
      <c r="M2781" s="5">
        <f>IF(YEAR(I2781)&lt;=2020,"Até 2020",TEXT(YEAR(I2781),"0"))</f>
        <v/>
      </c>
      <c r="N2781" s="5">
        <f>IFERROR(INDEX(DePara!$A:$A,MATCH(TEXT(B2781,"0"),DePara!$D:$D,0)),"(sem categoria)")</f>
        <v/>
      </c>
      <c r="O2781" s="5">
        <f>IF(J2781="","",Parametros!$B$6-J2781)</f>
        <v/>
      </c>
      <c r="P2781" s="5">
        <f>IF(O2781="","",IF(O2781&gt;0,1,0))</f>
        <v/>
      </c>
    </row>
    <row r="2782">
      <c r="A2782" s="5" t="n">
        <v>2111000000</v>
      </c>
      <c r="B2782" s="5" t="inlineStr">
        <is>
          <t>106332</t>
        </is>
      </c>
      <c r="C2782" s="5" t="inlineStr">
        <is>
          <t>CAROLINE LENICE DE SOUSA OLIVEIRA</t>
        </is>
      </c>
      <c r="D2782" s="5" t="inlineStr">
        <is>
          <t>RE</t>
        </is>
      </c>
      <c r="E2782" s="5" t="n">
        <v>5015749</v>
      </c>
      <c r="F2782" s="5" t="inlineStr">
        <is>
          <t>103</t>
        </is>
      </c>
      <c r="G2782" s="5" t="inlineStr">
        <is>
          <t>BRL</t>
        </is>
      </c>
      <c r="H2782" s="9" t="n">
        <v>-728.5</v>
      </c>
      <c r="I2782" s="16" t="n">
        <v>46241</v>
      </c>
      <c r="J2782" s="16" t="n">
        <v>46270</v>
      </c>
      <c r="K2782" s="5" t="inlineStr">
        <is>
          <t>Fatura - bruto CAROLINE LENICE DE SOUSA OLIVEIRA 1</t>
        </is>
      </c>
      <c r="L2782" s="5" t="inlineStr">
        <is>
          <t>08092026</t>
        </is>
      </c>
      <c r="M2782" s="5">
        <f>IF(YEAR(I2782)&lt;=2020,"Até 2020",TEXT(YEAR(I2782),"0"))</f>
        <v/>
      </c>
      <c r="N2782" s="5">
        <f>IFERROR(INDEX(DePara!$A:$A,MATCH(TEXT(B2782,"0"),DePara!$D:$D,0)),"(sem categoria)")</f>
        <v/>
      </c>
      <c r="O2782" s="5">
        <f>IF(J2782="","",Parametros!$B$6-J2782)</f>
        <v/>
      </c>
      <c r="P2782" s="5">
        <f>IF(O2782="","",IF(O2782&gt;0,1,0))</f>
        <v/>
      </c>
    </row>
    <row r="2783">
      <c r="A2783" s="5" t="n">
        <v>2111000000</v>
      </c>
      <c r="B2783" s="5" t="inlineStr">
        <is>
          <t>103966</t>
        </is>
      </c>
      <c r="C2783" s="5" t="inlineStr">
        <is>
          <t>HINE DO BRASIL IND E COM HIDR E PN 12482538000754</t>
        </is>
      </c>
      <c r="D2783" s="5" t="inlineStr">
        <is>
          <t>RE</t>
        </is>
      </c>
      <c r="E2783" s="5" t="n">
        <v>5015750</v>
      </c>
      <c r="F2783" s="5" t="inlineStr">
        <is>
          <t>8</t>
        </is>
      </c>
      <c r="G2783" s="5" t="inlineStr">
        <is>
          <t>BRL</t>
        </is>
      </c>
      <c r="H2783" s="9" t="n">
        <v>-122517.17</v>
      </c>
      <c r="I2783" s="16" t="n">
        <v>45763</v>
      </c>
      <c r="J2783" s="16" t="n">
        <v>45813</v>
      </c>
      <c r="K2783" s="5" t="inlineStr">
        <is>
          <t>Fatura - bruto HINE DO BRASIL IND E COM HIDR E PN</t>
        </is>
      </c>
      <c r="L2783" s="5" t="inlineStr">
        <is>
          <t>02092026</t>
        </is>
      </c>
      <c r="M2783" s="5">
        <f>IF(YEAR(I2783)&lt;=2020,"Até 2020",TEXT(YEAR(I2783),"0"))</f>
        <v/>
      </c>
      <c r="N2783" s="5">
        <f>IFERROR(INDEX(DePara!$A:$A,MATCH(TEXT(B2783,"0"),DePara!$D:$D,0)),"(sem categoria)")</f>
        <v/>
      </c>
      <c r="O2783" s="5">
        <f>IF(J2783="","",Parametros!$B$6-J2783)</f>
        <v/>
      </c>
      <c r="P2783" s="5">
        <f>IF(O2783="","",IF(O2783&gt;0,1,0))</f>
        <v/>
      </c>
    </row>
    <row r="2784">
      <c r="A2784" s="5" t="n">
        <v>2111000000</v>
      </c>
      <c r="B2784" s="5" t="inlineStr">
        <is>
          <t>100396</t>
        </is>
      </c>
      <c r="C2784" s="5" t="inlineStr">
        <is>
          <t>DISTRIBUI LOGISTICA LTDA 03592033000166</t>
        </is>
      </c>
      <c r="D2784" s="5" t="inlineStr">
        <is>
          <t>RE</t>
        </is>
      </c>
      <c r="E2784" s="5" t="n">
        <v>5015751</v>
      </c>
      <c r="F2784" s="5" t="inlineStr">
        <is>
          <t>11059-4</t>
        </is>
      </c>
      <c r="G2784" s="5" t="inlineStr">
        <is>
          <t>BRL</t>
        </is>
      </c>
      <c r="H2784" s="9" t="n">
        <v>-2027.98</v>
      </c>
      <c r="I2784" s="16" t="n">
        <v>46254</v>
      </c>
      <c r="J2784" s="16" t="n">
        <v>46331</v>
      </c>
      <c r="K2784" s="5" t="inlineStr">
        <is>
          <t>Fatura - bruto DISTRIBUI LOGISTICA LTDA 0359203300</t>
        </is>
      </c>
      <c r="L2784" s="5" t="inlineStr">
        <is>
          <t>05112026</t>
        </is>
      </c>
      <c r="M2784" s="5">
        <f>IF(YEAR(I2784)&lt;=2020,"Até 2020",TEXT(YEAR(I2784),"0"))</f>
        <v/>
      </c>
      <c r="N2784" s="5">
        <f>IFERROR(INDEX(DePara!$A:$A,MATCH(TEXT(B2784,"0"),DePara!$D:$D,0)),"(sem categoria)")</f>
        <v/>
      </c>
      <c r="O2784" s="5">
        <f>IF(J2784="","",Parametros!$B$6-J2784)</f>
        <v/>
      </c>
      <c r="P2784" s="5">
        <f>IF(O2784="","",IF(O2784&gt;0,1,0))</f>
        <v/>
      </c>
    </row>
    <row r="2785">
      <c r="A2785" s="5" t="n">
        <v>2111000000</v>
      </c>
      <c r="B2785" s="5" t="inlineStr">
        <is>
          <t>105984</t>
        </is>
      </c>
      <c r="C2785" s="5" t="inlineStr">
        <is>
          <t>TRADEWORKS SERVICOS DE COMERCIO EXT 04955748000107</t>
        </is>
      </c>
      <c r="D2785" s="5" t="inlineStr">
        <is>
          <t>RE</t>
        </is>
      </c>
      <c r="E2785" s="5" t="n">
        <v>5015752</v>
      </c>
      <c r="F2785" s="5" t="inlineStr">
        <is>
          <t>93635</t>
        </is>
      </c>
      <c r="G2785" s="5" t="inlineStr">
        <is>
          <t>BRL</t>
        </is>
      </c>
      <c r="H2785" s="9" t="n">
        <v>-1337.76</v>
      </c>
      <c r="I2785" s="16" t="n">
        <v>46247</v>
      </c>
      <c r="J2785" s="16" t="n">
        <v>46277</v>
      </c>
      <c r="K2785" s="5" t="inlineStr">
        <is>
          <t>Fatura - bruto TRADEWORKS SERVICOS DE COMERCIO EXT</t>
        </is>
      </c>
      <c r="L2785" s="5" t="inlineStr">
        <is>
          <t>08092026</t>
        </is>
      </c>
      <c r="M2785" s="5">
        <f>IF(YEAR(I2785)&lt;=2020,"Até 2020",TEXT(YEAR(I2785),"0"))</f>
        <v/>
      </c>
      <c r="N2785" s="5">
        <f>IFERROR(INDEX(DePara!$A:$A,MATCH(TEXT(B2785,"0"),DePara!$D:$D,0)),"(sem categoria)")</f>
        <v/>
      </c>
      <c r="O2785" s="5">
        <f>IF(J2785="","",Parametros!$B$6-J2785)</f>
        <v/>
      </c>
      <c r="P2785" s="5">
        <f>IF(O2785="","",IF(O2785&gt;0,1,0))</f>
        <v/>
      </c>
    </row>
    <row r="2786">
      <c r="A2786" s="5" t="n">
        <v>2111000000</v>
      </c>
      <c r="B2786" s="5" t="inlineStr">
        <is>
          <t>105984</t>
        </is>
      </c>
      <c r="C2786" s="5" t="inlineStr">
        <is>
          <t>TRADEWORKS SERVICOS DE COMERCIO EXT 04955748000107</t>
        </is>
      </c>
      <c r="D2786" s="5" t="inlineStr">
        <is>
          <t>RE</t>
        </is>
      </c>
      <c r="E2786" s="5" t="n">
        <v>5015753</v>
      </c>
      <c r="F2786" s="5" t="inlineStr">
        <is>
          <t>93725</t>
        </is>
      </c>
      <c r="G2786" s="5" t="inlineStr">
        <is>
          <t>BRL</t>
        </is>
      </c>
      <c r="H2786" s="9" t="n">
        <v>-1337.76</v>
      </c>
      <c r="I2786" s="16" t="n">
        <v>46252</v>
      </c>
      <c r="J2786" s="16" t="n">
        <v>46282</v>
      </c>
      <c r="K2786" s="5" t="inlineStr">
        <is>
          <t>Fatura - bruto TRADEWORKS SERVICOS DE COMERCIO EXT</t>
        </is>
      </c>
      <c r="L2786" s="5" t="inlineStr">
        <is>
          <t>16092026</t>
        </is>
      </c>
      <c r="M2786" s="5">
        <f>IF(YEAR(I2786)&lt;=2020,"Até 2020",TEXT(YEAR(I2786),"0"))</f>
        <v/>
      </c>
      <c r="N2786" s="5">
        <f>IFERROR(INDEX(DePara!$A:$A,MATCH(TEXT(B2786,"0"),DePara!$D:$D,0)),"(sem categoria)")</f>
        <v/>
      </c>
      <c r="O2786" s="5">
        <f>IF(J2786="","",Parametros!$B$6-J2786)</f>
        <v/>
      </c>
      <c r="P2786" s="5">
        <f>IF(O2786="","",IF(O2786&gt;0,1,0))</f>
        <v/>
      </c>
    </row>
    <row r="2787">
      <c r="A2787" s="5" t="n">
        <v>2111000000</v>
      </c>
      <c r="B2787" s="5" t="inlineStr">
        <is>
          <t>105984</t>
        </is>
      </c>
      <c r="C2787" s="5" t="inlineStr">
        <is>
          <t>TRADEWORKS SERVICOS DE COMERCIO EXT 04955748000107</t>
        </is>
      </c>
      <c r="D2787" s="5" t="inlineStr">
        <is>
          <t>RE</t>
        </is>
      </c>
      <c r="E2787" s="5" t="n">
        <v>5015754</v>
      </c>
      <c r="F2787" s="5" t="inlineStr">
        <is>
          <t>93645</t>
        </is>
      </c>
      <c r="G2787" s="5" t="inlineStr">
        <is>
          <t>BRL</t>
        </is>
      </c>
      <c r="H2787" s="9" t="n">
        <v>-1196.41</v>
      </c>
      <c r="I2787" s="16" t="n">
        <v>46247</v>
      </c>
      <c r="J2787" s="16" t="n">
        <v>46277</v>
      </c>
      <c r="K2787" s="5" t="inlineStr">
        <is>
          <t>Fatura - bruto TRADEWORKS SERVICOS DE COMERCIO EXT</t>
        </is>
      </c>
      <c r="L2787" s="5" t="inlineStr">
        <is>
          <t>08092026</t>
        </is>
      </c>
      <c r="M2787" s="5">
        <f>IF(YEAR(I2787)&lt;=2020,"Até 2020",TEXT(YEAR(I2787),"0"))</f>
        <v/>
      </c>
      <c r="N2787" s="5">
        <f>IFERROR(INDEX(DePara!$A:$A,MATCH(TEXT(B2787,"0"),DePara!$D:$D,0)),"(sem categoria)")</f>
        <v/>
      </c>
      <c r="O2787" s="5">
        <f>IF(J2787="","",Parametros!$B$6-J2787)</f>
        <v/>
      </c>
      <c r="P2787" s="5">
        <f>IF(O2787="","",IF(O2787&gt;0,1,0))</f>
        <v/>
      </c>
    </row>
    <row r="2788">
      <c r="A2788" s="5" t="n">
        <v>2111000000</v>
      </c>
      <c r="B2788" s="5" t="inlineStr">
        <is>
          <t>105984</t>
        </is>
      </c>
      <c r="C2788" s="5" t="inlineStr">
        <is>
          <t>TRADEWORKS SERVICOS DE COMERCIO EXT 04955748000107</t>
        </is>
      </c>
      <c r="D2788" s="5" t="inlineStr">
        <is>
          <t>RE</t>
        </is>
      </c>
      <c r="E2788" s="5" t="n">
        <v>5015755</v>
      </c>
      <c r="F2788" s="5" t="inlineStr">
        <is>
          <t>93644</t>
        </is>
      </c>
      <c r="G2788" s="5" t="inlineStr">
        <is>
          <t>BRL</t>
        </is>
      </c>
      <c r="H2788" s="9" t="n">
        <v>-1337.76</v>
      </c>
      <c r="I2788" s="16" t="n">
        <v>46247</v>
      </c>
      <c r="J2788" s="16" t="n">
        <v>46277</v>
      </c>
      <c r="K2788" s="5" t="inlineStr">
        <is>
          <t>Fatura - bruto TRADEWORKS SERVICOS DE COMERCIO EXT</t>
        </is>
      </c>
      <c r="L2788" s="5" t="inlineStr">
        <is>
          <t>08092026</t>
        </is>
      </c>
      <c r="M2788" s="5">
        <f>IF(YEAR(I2788)&lt;=2020,"Até 2020",TEXT(YEAR(I2788),"0"))</f>
        <v/>
      </c>
      <c r="N2788" s="5">
        <f>IFERROR(INDEX(DePara!$A:$A,MATCH(TEXT(B2788,"0"),DePara!$D:$D,0)),"(sem categoria)")</f>
        <v/>
      </c>
      <c r="O2788" s="5">
        <f>IF(J2788="","",Parametros!$B$6-J2788)</f>
        <v/>
      </c>
      <c r="P2788" s="5">
        <f>IF(O2788="","",IF(O2788&gt;0,1,0))</f>
        <v/>
      </c>
    </row>
    <row r="2789">
      <c r="A2789" s="5" t="n">
        <v>2111000000</v>
      </c>
      <c r="B2789" s="5" t="inlineStr">
        <is>
          <t>105984</t>
        </is>
      </c>
      <c r="C2789" s="5" t="inlineStr">
        <is>
          <t>TRADEWORKS SERVICOS DE COMERCIO EXT 04955748000107</t>
        </is>
      </c>
      <c r="D2789" s="5" t="inlineStr">
        <is>
          <t>RE</t>
        </is>
      </c>
      <c r="E2789" s="5" t="n">
        <v>5015756</v>
      </c>
      <c r="F2789" s="5" t="inlineStr">
        <is>
          <t>93705</t>
        </is>
      </c>
      <c r="G2789" s="5" t="inlineStr">
        <is>
          <t>BRL</t>
        </is>
      </c>
      <c r="H2789" s="9" t="n">
        <v>-1337.76</v>
      </c>
      <c r="I2789" s="16" t="n">
        <v>46251</v>
      </c>
      <c r="J2789" s="16" t="n">
        <v>46281</v>
      </c>
      <c r="K2789" s="5" t="inlineStr">
        <is>
          <t>Fatura - bruto TRADEWORKS SERVICOS DE COMERCIO EXT</t>
        </is>
      </c>
      <c r="L2789" s="5" t="inlineStr">
        <is>
          <t>16092026</t>
        </is>
      </c>
      <c r="M2789" s="5">
        <f>IF(YEAR(I2789)&lt;=2020,"Até 2020",TEXT(YEAR(I2789),"0"))</f>
        <v/>
      </c>
      <c r="N2789" s="5">
        <f>IFERROR(INDEX(DePara!$A:$A,MATCH(TEXT(B2789,"0"),DePara!$D:$D,0)),"(sem categoria)")</f>
        <v/>
      </c>
      <c r="O2789" s="5">
        <f>IF(J2789="","",Parametros!$B$6-J2789)</f>
        <v/>
      </c>
      <c r="P2789" s="5">
        <f>IF(O2789="","",IF(O2789&gt;0,1,0))</f>
        <v/>
      </c>
    </row>
    <row r="2790">
      <c r="A2790" s="5" t="n">
        <v>2111000000</v>
      </c>
      <c r="B2790" s="5" t="inlineStr">
        <is>
          <t>105984</t>
        </is>
      </c>
      <c r="C2790" s="5" t="inlineStr">
        <is>
          <t>TRADEWORKS SERVICOS DE COMERCIO EXT 04955748000107</t>
        </is>
      </c>
      <c r="D2790" s="5" t="inlineStr">
        <is>
          <t>RE</t>
        </is>
      </c>
      <c r="E2790" s="5" t="n">
        <v>5015757</v>
      </c>
      <c r="F2790" s="5" t="inlineStr">
        <is>
          <t>93726</t>
        </is>
      </c>
      <c r="G2790" s="5" t="inlineStr">
        <is>
          <t>BRL</t>
        </is>
      </c>
      <c r="H2790" s="9" t="n">
        <v>-1337.76</v>
      </c>
      <c r="I2790" s="16" t="n">
        <v>46252</v>
      </c>
      <c r="J2790" s="16" t="n">
        <v>46282</v>
      </c>
      <c r="K2790" s="5" t="inlineStr">
        <is>
          <t>Fatura - bruto TRADEWORKS SERVICOS DE COMERCIO EXT</t>
        </is>
      </c>
      <c r="L2790" s="5" t="inlineStr">
        <is>
          <t>16092026</t>
        </is>
      </c>
      <c r="M2790" s="5">
        <f>IF(YEAR(I2790)&lt;=2020,"Até 2020",TEXT(YEAR(I2790),"0"))</f>
        <v/>
      </c>
      <c r="N2790" s="5">
        <f>IFERROR(INDEX(DePara!$A:$A,MATCH(TEXT(B2790,"0"),DePara!$D:$D,0)),"(sem categoria)")</f>
        <v/>
      </c>
      <c r="O2790" s="5">
        <f>IF(J2790="","",Parametros!$B$6-J2790)</f>
        <v/>
      </c>
      <c r="P2790" s="5">
        <f>IF(O2790="","",IF(O2790&gt;0,1,0))</f>
        <v/>
      </c>
    </row>
    <row r="2791">
      <c r="A2791" s="5" t="n">
        <v>2111000000</v>
      </c>
      <c r="B2791" s="5" t="inlineStr">
        <is>
          <t>105984</t>
        </is>
      </c>
      <c r="C2791" s="5" t="inlineStr">
        <is>
          <t>TRADEWORKS SERVICOS DE COMERCIO EXT 04955748000107</t>
        </is>
      </c>
      <c r="D2791" s="5" t="inlineStr">
        <is>
          <t>RE</t>
        </is>
      </c>
      <c r="E2791" s="5" t="n">
        <v>5015758</v>
      </c>
      <c r="F2791" s="5" t="inlineStr">
        <is>
          <t>93706</t>
        </is>
      </c>
      <c r="G2791" s="5" t="inlineStr">
        <is>
          <t>BRL</t>
        </is>
      </c>
      <c r="H2791" s="9" t="n">
        <v>-1337.76</v>
      </c>
      <c r="I2791" s="16" t="n">
        <v>46251</v>
      </c>
      <c r="J2791" s="16" t="n">
        <v>46281</v>
      </c>
      <c r="K2791" s="5" t="inlineStr">
        <is>
          <t>Fatura - bruto TRADEWORKS SERVICOS DE COMERCIO EXT</t>
        </is>
      </c>
      <c r="L2791" s="5" t="inlineStr">
        <is>
          <t>16092026</t>
        </is>
      </c>
      <c r="M2791" s="5">
        <f>IF(YEAR(I2791)&lt;=2020,"Até 2020",TEXT(YEAR(I2791),"0"))</f>
        <v/>
      </c>
      <c r="N2791" s="5">
        <f>IFERROR(INDEX(DePara!$A:$A,MATCH(TEXT(B2791,"0"),DePara!$D:$D,0)),"(sem categoria)")</f>
        <v/>
      </c>
      <c r="O2791" s="5">
        <f>IF(J2791="","",Parametros!$B$6-J2791)</f>
        <v/>
      </c>
      <c r="P2791" s="5">
        <f>IF(O2791="","",IF(O2791&gt;0,1,0))</f>
        <v/>
      </c>
    </row>
    <row r="2792">
      <c r="A2792" s="5" t="n">
        <v>2111000000</v>
      </c>
      <c r="B2792" s="5" t="inlineStr">
        <is>
          <t>101463</t>
        </is>
      </c>
      <c r="C2792" s="5" t="inlineStr">
        <is>
          <t>ZURICH MINAS BRASIL SEGUROS S A</t>
        </is>
      </c>
      <c r="D2792" s="5" t="inlineStr">
        <is>
          <t>RE</t>
        </is>
      </c>
      <c r="E2792" s="5" t="n">
        <v>5015770</v>
      </c>
      <c r="F2792" s="5" t="inlineStr">
        <is>
          <t>0489/26</t>
        </is>
      </c>
      <c r="G2792" s="5" t="inlineStr">
        <is>
          <t>BRL</t>
        </is>
      </c>
      <c r="H2792" s="9" t="n">
        <v>-401.76</v>
      </c>
      <c r="I2792" s="16" t="n">
        <v>46259</v>
      </c>
      <c r="J2792" s="16" t="n">
        <v>46289</v>
      </c>
      <c r="K2792" s="5" t="inlineStr">
        <is>
          <t>Invoice Payment. SP: 21878</t>
        </is>
      </c>
      <c r="L2792" s="5" t="inlineStr">
        <is>
          <t>0489/26</t>
        </is>
      </c>
      <c r="M2792" s="5">
        <f>IF(YEAR(I2792)&lt;=2020,"Até 2020",TEXT(YEAR(I2792),"0"))</f>
        <v/>
      </c>
      <c r="N2792" s="5">
        <f>IFERROR(INDEX(DePara!$A:$A,MATCH(TEXT(B2792,"0"),DePara!$D:$D,0)),"(sem categoria)")</f>
        <v/>
      </c>
      <c r="O2792" s="5">
        <f>IF(J2792="","",Parametros!$B$6-J2792)</f>
        <v/>
      </c>
      <c r="P2792" s="5">
        <f>IF(O2792="","",IF(O2792&gt;0,1,0))</f>
        <v/>
      </c>
    </row>
    <row r="2793">
      <c r="A2793" s="5" t="n">
        <v>2111000000</v>
      </c>
      <c r="B2793" s="5" t="inlineStr">
        <is>
          <t>101463</t>
        </is>
      </c>
      <c r="C2793" s="5" t="inlineStr">
        <is>
          <t>ZURICH MINAS BRASIL SEGUROS S A</t>
        </is>
      </c>
      <c r="D2793" s="5" t="inlineStr">
        <is>
          <t>RE</t>
        </is>
      </c>
      <c r="E2793" s="5" t="n">
        <v>5015772</v>
      </c>
      <c r="F2793" s="5" t="inlineStr">
        <is>
          <t>0490/26</t>
        </is>
      </c>
      <c r="G2793" s="5" t="inlineStr">
        <is>
          <t>BRL</t>
        </is>
      </c>
      <c r="H2793" s="9" t="n">
        <v>-651.16</v>
      </c>
      <c r="I2793" s="16" t="n">
        <v>46259</v>
      </c>
      <c r="J2793" s="16" t="n">
        <v>46289</v>
      </c>
      <c r="K2793" s="5" t="inlineStr">
        <is>
          <t>Invoice Payment. SP: 21880</t>
        </is>
      </c>
      <c r="L2793" s="5" t="inlineStr">
        <is>
          <t>0490/26</t>
        </is>
      </c>
      <c r="M2793" s="5">
        <f>IF(YEAR(I2793)&lt;=2020,"Até 2020",TEXT(YEAR(I2793),"0"))</f>
        <v/>
      </c>
      <c r="N2793" s="5">
        <f>IFERROR(INDEX(DePara!$A:$A,MATCH(TEXT(B2793,"0"),DePara!$D:$D,0)),"(sem categoria)")</f>
        <v/>
      </c>
      <c r="O2793" s="5">
        <f>IF(J2793="","",Parametros!$B$6-J2793)</f>
        <v/>
      </c>
      <c r="P2793" s="5">
        <f>IF(O2793="","",IF(O2793&gt;0,1,0))</f>
        <v/>
      </c>
    </row>
    <row r="2794">
      <c r="A2794" s="5" t="n">
        <v>2111000000</v>
      </c>
      <c r="B2794" s="5" t="inlineStr">
        <is>
          <t>101463</t>
        </is>
      </c>
      <c r="C2794" s="5" t="inlineStr">
        <is>
          <t>ZURICH MINAS BRASIL SEGUROS S A</t>
        </is>
      </c>
      <c r="D2794" s="5" t="inlineStr">
        <is>
          <t>RE</t>
        </is>
      </c>
      <c r="E2794" s="5" t="n">
        <v>5015780</v>
      </c>
      <c r="F2794" s="5" t="inlineStr">
        <is>
          <t>0500/26</t>
        </is>
      </c>
      <c r="G2794" s="5" t="inlineStr">
        <is>
          <t>BRL</t>
        </is>
      </c>
      <c r="H2794" s="9" t="n">
        <v>-62.38</v>
      </c>
      <c r="I2794" s="16" t="n">
        <v>46259</v>
      </c>
      <c r="J2794" s="16" t="n">
        <v>46289</v>
      </c>
      <c r="K2794" s="5" t="inlineStr">
        <is>
          <t>Invoice Payment. SP: 21899</t>
        </is>
      </c>
      <c r="L2794" s="5" t="inlineStr">
        <is>
          <t>0500/26</t>
        </is>
      </c>
      <c r="M2794" s="5">
        <f>IF(YEAR(I2794)&lt;=2020,"Até 2020",TEXT(YEAR(I2794),"0"))</f>
        <v/>
      </c>
      <c r="N2794" s="5">
        <f>IFERROR(INDEX(DePara!$A:$A,MATCH(TEXT(B2794,"0"),DePara!$D:$D,0)),"(sem categoria)")</f>
        <v/>
      </c>
      <c r="O2794" s="5">
        <f>IF(J2794="","",Parametros!$B$6-J2794)</f>
        <v/>
      </c>
      <c r="P2794" s="5">
        <f>IF(O2794="","",IF(O2794&gt;0,1,0))</f>
        <v/>
      </c>
    </row>
    <row r="2795">
      <c r="A2795" s="5" t="n">
        <v>2111000000</v>
      </c>
      <c r="B2795" s="5" t="inlineStr">
        <is>
          <t>101897</t>
        </is>
      </c>
      <c r="C2795" s="5" t="inlineStr">
        <is>
          <t>KL LOCACOES E SOLUCOES AMBIENTAIS L KL CONSTRUCOES E SERVICOS IMOBILIAR</t>
        </is>
      </c>
      <c r="D2795" s="5" t="inlineStr">
        <is>
          <t>RE</t>
        </is>
      </c>
      <c r="E2795" s="5" t="n">
        <v>5015808</v>
      </c>
      <c r="F2795" s="5" t="inlineStr">
        <is>
          <t>1993-1</t>
        </is>
      </c>
      <c r="G2795" s="5" t="inlineStr">
        <is>
          <t>BRL</t>
        </is>
      </c>
      <c r="H2795" s="9" t="n">
        <v>-22669</v>
      </c>
      <c r="I2795" s="16" t="n">
        <v>46157</v>
      </c>
      <c r="J2795" s="16" t="n">
        <v>46178</v>
      </c>
      <c r="K2795" s="5" t="inlineStr">
        <is>
          <t>Fatura - bruto KL LOCACOES E SOLUCOES AMBIENTAIS L</t>
        </is>
      </c>
      <c r="L2795" s="5" t="inlineStr">
        <is>
          <t>02092026</t>
        </is>
      </c>
      <c r="M2795" s="5">
        <f>IF(YEAR(I2795)&lt;=2020,"Até 2020",TEXT(YEAR(I2795),"0"))</f>
        <v/>
      </c>
      <c r="N2795" s="5">
        <f>IFERROR(INDEX(DePara!$A:$A,MATCH(TEXT(B2795,"0"),DePara!$D:$D,0)),"(sem categoria)")</f>
        <v/>
      </c>
      <c r="O2795" s="5">
        <f>IF(J2795="","",Parametros!$B$6-J2795)</f>
        <v/>
      </c>
      <c r="P2795" s="5">
        <f>IF(O2795="","",IF(O2795&gt;0,1,0))</f>
        <v/>
      </c>
    </row>
    <row r="2796">
      <c r="A2796" s="5" t="n">
        <v>2111000000</v>
      </c>
      <c r="B2796" s="5" t="inlineStr">
        <is>
          <t>105984</t>
        </is>
      </c>
      <c r="C2796" s="5" t="inlineStr">
        <is>
          <t>TRADEWORKS SERVICOS DE COMERCIO EXT 04955748000107</t>
        </is>
      </c>
      <c r="D2796" s="5" t="inlineStr">
        <is>
          <t>RE</t>
        </is>
      </c>
      <c r="E2796" s="5" t="n">
        <v>5015810</v>
      </c>
      <c r="F2796" s="5" t="inlineStr">
        <is>
          <t>93720</t>
        </is>
      </c>
      <c r="G2796" s="5" t="inlineStr">
        <is>
          <t>BRL</t>
        </is>
      </c>
      <c r="H2796" s="9" t="n">
        <v>-1337.76</v>
      </c>
      <c r="I2796" s="16" t="n">
        <v>46252</v>
      </c>
      <c r="J2796" s="16" t="n">
        <v>46282</v>
      </c>
      <c r="K2796" s="5" t="inlineStr">
        <is>
          <t>Fatura - bruto TRADEWORKS SERVICOS DE COMERCIO EXT</t>
        </is>
      </c>
      <c r="L2796" s="5" t="inlineStr">
        <is>
          <t>16092026</t>
        </is>
      </c>
      <c r="M2796" s="5">
        <f>IF(YEAR(I2796)&lt;=2020,"Até 2020",TEXT(YEAR(I2796),"0"))</f>
        <v/>
      </c>
      <c r="N2796" s="5">
        <f>IFERROR(INDEX(DePara!$A:$A,MATCH(TEXT(B2796,"0"),DePara!$D:$D,0)),"(sem categoria)")</f>
        <v/>
      </c>
      <c r="O2796" s="5">
        <f>IF(J2796="","",Parametros!$B$6-J2796)</f>
        <v/>
      </c>
      <c r="P2796" s="5">
        <f>IF(O2796="","",IF(O2796&gt;0,1,0))</f>
        <v/>
      </c>
    </row>
    <row r="2797">
      <c r="A2797" s="5" t="n">
        <v>2111000000</v>
      </c>
      <c r="B2797" s="5" t="inlineStr">
        <is>
          <t>105984</t>
        </is>
      </c>
      <c r="C2797" s="5" t="inlineStr">
        <is>
          <t>TRADEWORKS SERVICOS DE COMERCIO EXT 04955748000107</t>
        </is>
      </c>
      <c r="D2797" s="5" t="inlineStr">
        <is>
          <t>RE</t>
        </is>
      </c>
      <c r="E2797" s="5" t="n">
        <v>5015811</v>
      </c>
      <c r="F2797" s="5" t="inlineStr">
        <is>
          <t>93637</t>
        </is>
      </c>
      <c r="G2797" s="5" t="inlineStr">
        <is>
          <t>BRL</t>
        </is>
      </c>
      <c r="H2797" s="9" t="n">
        <v>-1337.76</v>
      </c>
      <c r="I2797" s="16" t="n">
        <v>46247</v>
      </c>
      <c r="J2797" s="16" t="n">
        <v>46277</v>
      </c>
      <c r="K2797" s="5" t="inlineStr">
        <is>
          <t>Fatura - bruto TRADEWORKS SERVICOS DE COMERCIO EXT</t>
        </is>
      </c>
      <c r="L2797" s="5" t="inlineStr">
        <is>
          <t>08092026</t>
        </is>
      </c>
      <c r="M2797" s="5">
        <f>IF(YEAR(I2797)&lt;=2020,"Até 2020",TEXT(YEAR(I2797),"0"))</f>
        <v/>
      </c>
      <c r="N2797" s="5">
        <f>IFERROR(INDEX(DePara!$A:$A,MATCH(TEXT(B2797,"0"),DePara!$D:$D,0)),"(sem categoria)")</f>
        <v/>
      </c>
      <c r="O2797" s="5">
        <f>IF(J2797="","",Parametros!$B$6-J2797)</f>
        <v/>
      </c>
      <c r="P2797" s="5">
        <f>IF(O2797="","",IF(O2797&gt;0,1,0))</f>
        <v/>
      </c>
    </row>
    <row r="2798">
      <c r="A2798" s="5" t="n">
        <v>2111000000</v>
      </c>
      <c r="B2798" s="5" t="inlineStr">
        <is>
          <t>105984</t>
        </is>
      </c>
      <c r="C2798" s="5" t="inlineStr">
        <is>
          <t>TRADEWORKS SERVICOS DE COMERCIO EXT 04955748000107</t>
        </is>
      </c>
      <c r="D2798" s="5" t="inlineStr">
        <is>
          <t>RE</t>
        </is>
      </c>
      <c r="E2798" s="5" t="n">
        <v>5015812</v>
      </c>
      <c r="F2798" s="5" t="inlineStr">
        <is>
          <t>93636</t>
        </is>
      </c>
      <c r="G2798" s="5" t="inlineStr">
        <is>
          <t>BRL</t>
        </is>
      </c>
      <c r="H2798" s="9" t="n">
        <v>-1337.76</v>
      </c>
      <c r="I2798" s="16" t="n">
        <v>46247</v>
      </c>
      <c r="J2798" s="16" t="n">
        <v>46277</v>
      </c>
      <c r="K2798" s="5" t="inlineStr">
        <is>
          <t>Fatura - bruto TRADEWORKS SERVICOS DE COMERCIO EXT</t>
        </is>
      </c>
      <c r="L2798" s="5" t="inlineStr">
        <is>
          <t>08092026</t>
        </is>
      </c>
      <c r="M2798" s="5">
        <f>IF(YEAR(I2798)&lt;=2020,"Até 2020",TEXT(YEAR(I2798),"0"))</f>
        <v/>
      </c>
      <c r="N2798" s="5">
        <f>IFERROR(INDEX(DePara!$A:$A,MATCH(TEXT(B2798,"0"),DePara!$D:$D,0)),"(sem categoria)")</f>
        <v/>
      </c>
      <c r="O2798" s="5">
        <f>IF(J2798="","",Parametros!$B$6-J2798)</f>
        <v/>
      </c>
      <c r="P2798" s="5">
        <f>IF(O2798="","",IF(O2798&gt;0,1,0))</f>
        <v/>
      </c>
    </row>
    <row r="2799">
      <c r="A2799" s="5" t="n">
        <v>2111000000</v>
      </c>
      <c r="B2799" s="5" t="inlineStr">
        <is>
          <t>105984</t>
        </is>
      </c>
      <c r="C2799" s="5" t="inlineStr">
        <is>
          <t>TRADEWORKS SERVICOS DE COMERCIO EXT 04955748000107</t>
        </is>
      </c>
      <c r="D2799" s="5" t="inlineStr">
        <is>
          <t>RE</t>
        </is>
      </c>
      <c r="E2799" s="5" t="n">
        <v>5015813</v>
      </c>
      <c r="F2799" s="5" t="inlineStr">
        <is>
          <t>93711</t>
        </is>
      </c>
      <c r="G2799" s="5" t="inlineStr">
        <is>
          <t>BRL</t>
        </is>
      </c>
      <c r="H2799" s="9" t="n">
        <v>-1337.76</v>
      </c>
      <c r="I2799" s="16" t="n">
        <v>46251</v>
      </c>
      <c r="J2799" s="16" t="n">
        <v>46281</v>
      </c>
      <c r="K2799" s="5" t="inlineStr">
        <is>
          <t>Fatura - bruto TRADEWORKS SERVICOS DE COMERCIO EXT</t>
        </is>
      </c>
      <c r="L2799" s="5" t="inlineStr">
        <is>
          <t>16092026</t>
        </is>
      </c>
      <c r="M2799" s="5">
        <f>IF(YEAR(I2799)&lt;=2020,"Até 2020",TEXT(YEAR(I2799),"0"))</f>
        <v/>
      </c>
      <c r="N2799" s="5">
        <f>IFERROR(INDEX(DePara!$A:$A,MATCH(TEXT(B2799,"0"),DePara!$D:$D,0)),"(sem categoria)")</f>
        <v/>
      </c>
      <c r="O2799" s="5">
        <f>IF(J2799="","",Parametros!$B$6-J2799)</f>
        <v/>
      </c>
      <c r="P2799" s="5">
        <f>IF(O2799="","",IF(O2799&gt;0,1,0))</f>
        <v/>
      </c>
    </row>
    <row r="2800">
      <c r="A2800" s="5" t="n">
        <v>2111000000</v>
      </c>
      <c r="B2800" s="5" t="inlineStr">
        <is>
          <t>105984</t>
        </is>
      </c>
      <c r="C2800" s="5" t="inlineStr">
        <is>
          <t>TRADEWORKS SERVICOS DE COMERCIO EXT 04955748000107</t>
        </is>
      </c>
      <c r="D2800" s="5" t="inlineStr">
        <is>
          <t>RE</t>
        </is>
      </c>
      <c r="E2800" s="5" t="n">
        <v>5015814</v>
      </c>
      <c r="F2800" s="5" t="inlineStr">
        <is>
          <t>93709</t>
        </is>
      </c>
      <c r="G2800" s="5" t="inlineStr">
        <is>
          <t>BRL</t>
        </is>
      </c>
      <c r="H2800" s="9" t="n">
        <v>-1196.41</v>
      </c>
      <c r="I2800" s="16" t="n">
        <v>46251</v>
      </c>
      <c r="J2800" s="16" t="n">
        <v>46281</v>
      </c>
      <c r="K2800" s="5" t="inlineStr">
        <is>
          <t>Fatura - bruto TRADEWORKS SERVICOS DE COMERCIO EXT</t>
        </is>
      </c>
      <c r="L2800" s="5" t="inlineStr">
        <is>
          <t>16092026</t>
        </is>
      </c>
      <c r="M2800" s="5">
        <f>IF(YEAR(I2800)&lt;=2020,"Até 2020",TEXT(YEAR(I2800),"0"))</f>
        <v/>
      </c>
      <c r="N2800" s="5">
        <f>IFERROR(INDEX(DePara!$A:$A,MATCH(TEXT(B2800,"0"),DePara!$D:$D,0)),"(sem categoria)")</f>
        <v/>
      </c>
      <c r="O2800" s="5">
        <f>IF(J2800="","",Parametros!$B$6-J2800)</f>
        <v/>
      </c>
      <c r="P2800" s="5">
        <f>IF(O2800="","",IF(O2800&gt;0,1,0))</f>
        <v/>
      </c>
    </row>
    <row r="2801">
      <c r="A2801" s="5" t="n">
        <v>2111000000</v>
      </c>
      <c r="B2801" s="5" t="inlineStr">
        <is>
          <t>105984</t>
        </is>
      </c>
      <c r="C2801" s="5" t="inlineStr">
        <is>
          <t>TRADEWORKS SERVICOS DE COMERCIO EXT 04955748000107</t>
        </is>
      </c>
      <c r="D2801" s="5" t="inlineStr">
        <is>
          <t>RE</t>
        </is>
      </c>
      <c r="E2801" s="5" t="n">
        <v>5015815</v>
      </c>
      <c r="F2801" s="5" t="inlineStr">
        <is>
          <t>93648</t>
        </is>
      </c>
      <c r="G2801" s="5" t="inlineStr">
        <is>
          <t>BRL</t>
        </is>
      </c>
      <c r="H2801" s="9" t="n">
        <v>-1337.76</v>
      </c>
      <c r="I2801" s="16" t="n">
        <v>46247</v>
      </c>
      <c r="J2801" s="16" t="n">
        <v>46277</v>
      </c>
      <c r="K2801" s="5" t="inlineStr">
        <is>
          <t>Fatura - bruto TRADEWORKS SERVICOS DE COMERCIO EXT</t>
        </is>
      </c>
      <c r="L2801" s="5" t="inlineStr">
        <is>
          <t>08092026</t>
        </is>
      </c>
      <c r="M2801" s="5">
        <f>IF(YEAR(I2801)&lt;=2020,"Até 2020",TEXT(YEAR(I2801),"0"))</f>
        <v/>
      </c>
      <c r="N2801" s="5">
        <f>IFERROR(INDEX(DePara!$A:$A,MATCH(TEXT(B2801,"0"),DePara!$D:$D,0)),"(sem categoria)")</f>
        <v/>
      </c>
      <c r="O2801" s="5">
        <f>IF(J2801="","",Parametros!$B$6-J2801)</f>
        <v/>
      </c>
      <c r="P2801" s="5">
        <f>IF(O2801="","",IF(O2801&gt;0,1,0))</f>
        <v/>
      </c>
    </row>
    <row r="2802">
      <c r="A2802" s="5" t="n">
        <v>2111000000</v>
      </c>
      <c r="B2802" s="5" t="inlineStr">
        <is>
          <t>105984</t>
        </is>
      </c>
      <c r="C2802" s="5" t="inlineStr">
        <is>
          <t>TRADEWORKS SERVICOS DE COMERCIO EXT 04955748000107</t>
        </is>
      </c>
      <c r="D2802" s="5" t="inlineStr">
        <is>
          <t>RS</t>
        </is>
      </c>
      <c r="E2802" s="5" t="n">
        <v>5015816</v>
      </c>
      <c r="F2802" s="5" t="inlineStr">
        <is>
          <t>93635</t>
        </is>
      </c>
      <c r="G2802" s="5" t="inlineStr">
        <is>
          <t>BRL</t>
        </is>
      </c>
      <c r="H2802" s="9" t="n">
        <v>1337.76</v>
      </c>
      <c r="I2802" s="16" t="n">
        <v>46247</v>
      </c>
      <c r="J2802" s="16" t="n">
        <v>46277</v>
      </c>
      <c r="K2802" s="5" t="inlineStr">
        <is>
          <t>MR8M</t>
        </is>
      </c>
      <c r="L2802" s="5" t="inlineStr">
        <is>
          <t>08092026</t>
        </is>
      </c>
      <c r="M2802" s="5">
        <f>IF(YEAR(I2802)&lt;=2020,"Até 2020",TEXT(YEAR(I2802),"0"))</f>
        <v/>
      </c>
      <c r="N2802" s="5">
        <f>IFERROR(INDEX(DePara!$A:$A,MATCH(TEXT(B2802,"0"),DePara!$D:$D,0)),"(sem categoria)")</f>
        <v/>
      </c>
      <c r="O2802" s="5">
        <f>IF(J2802="","",Parametros!$B$6-J2802)</f>
        <v/>
      </c>
      <c r="P2802" s="5">
        <f>IF(O2802="","",IF(O2802&gt;0,1,0))</f>
        <v/>
      </c>
    </row>
    <row r="2803">
      <c r="A2803" s="5" t="n">
        <v>2111000000</v>
      </c>
      <c r="B2803" s="5" t="inlineStr">
        <is>
          <t>105984</t>
        </is>
      </c>
      <c r="C2803" s="5" t="inlineStr">
        <is>
          <t>TRADEWORKS SERVICOS DE COMERCIO EXT 04955748000107</t>
        </is>
      </c>
      <c r="D2803" s="5" t="inlineStr">
        <is>
          <t>RE</t>
        </is>
      </c>
      <c r="E2803" s="5" t="n">
        <v>5015817</v>
      </c>
      <c r="F2803" s="5" t="inlineStr">
        <is>
          <t>93635</t>
        </is>
      </c>
      <c r="G2803" s="5" t="inlineStr">
        <is>
          <t>BRL</t>
        </is>
      </c>
      <c r="H2803" s="9" t="n">
        <v>-1337.76</v>
      </c>
      <c r="I2803" s="16" t="n">
        <v>46247</v>
      </c>
      <c r="J2803" s="16" t="n">
        <v>46277</v>
      </c>
      <c r="K2803" s="5" t="inlineStr">
        <is>
          <t>Fatura - bruto TRADEWORKS SERVICOS DE COMERCIO EXT</t>
        </is>
      </c>
      <c r="L2803" s="5" t="inlineStr">
        <is>
          <t>08092026</t>
        </is>
      </c>
      <c r="M2803" s="5">
        <f>IF(YEAR(I2803)&lt;=2020,"Até 2020",TEXT(YEAR(I2803),"0"))</f>
        <v/>
      </c>
      <c r="N2803" s="5">
        <f>IFERROR(INDEX(DePara!$A:$A,MATCH(TEXT(B2803,"0"),DePara!$D:$D,0)),"(sem categoria)")</f>
        <v/>
      </c>
      <c r="O2803" s="5">
        <f>IF(J2803="","",Parametros!$B$6-J2803)</f>
        <v/>
      </c>
      <c r="P2803" s="5">
        <f>IF(O2803="","",IF(O2803&gt;0,1,0))</f>
        <v/>
      </c>
    </row>
    <row r="2804">
      <c r="A2804" s="5" t="n">
        <v>2111000000</v>
      </c>
      <c r="B2804" s="5" t="inlineStr">
        <is>
          <t>105984</t>
        </is>
      </c>
      <c r="C2804" s="5" t="inlineStr">
        <is>
          <t>TRADEWORKS SERVICOS DE COMERCIO EXT 04955748000107</t>
        </is>
      </c>
      <c r="D2804" s="5" t="inlineStr">
        <is>
          <t>RE</t>
        </is>
      </c>
      <c r="E2804" s="5" t="n">
        <v>5015818</v>
      </c>
      <c r="F2804" s="5" t="inlineStr">
        <is>
          <t>93840</t>
        </is>
      </c>
      <c r="G2804" s="5" t="inlineStr">
        <is>
          <t>BRL</t>
        </is>
      </c>
      <c r="H2804" s="9" t="n">
        <v>-1337.76</v>
      </c>
      <c r="I2804" s="16" t="n">
        <v>46258</v>
      </c>
      <c r="J2804" s="16" t="n">
        <v>46288</v>
      </c>
      <c r="K2804" s="5" t="inlineStr">
        <is>
          <t>Fatura - bruto TRADEWORKS SERVICOS DE COMERCIO EXT</t>
        </is>
      </c>
      <c r="L2804" s="5" t="inlineStr">
        <is>
          <t>23092026</t>
        </is>
      </c>
      <c r="M2804" s="5">
        <f>IF(YEAR(I2804)&lt;=2020,"Até 2020",TEXT(YEAR(I2804),"0"))</f>
        <v/>
      </c>
      <c r="N2804" s="5">
        <f>IFERROR(INDEX(DePara!$A:$A,MATCH(TEXT(B2804,"0"),DePara!$D:$D,0)),"(sem categoria)")</f>
        <v/>
      </c>
      <c r="O2804" s="5">
        <f>IF(J2804="","",Parametros!$B$6-J2804)</f>
        <v/>
      </c>
      <c r="P2804" s="5">
        <f>IF(O2804="","",IF(O2804&gt;0,1,0))</f>
        <v/>
      </c>
    </row>
    <row r="2805">
      <c r="A2805" s="5" t="n">
        <v>2111000000</v>
      </c>
      <c r="B2805" s="5" t="inlineStr">
        <is>
          <t>103761</t>
        </is>
      </c>
      <c r="C2805" s="5" t="inlineStr">
        <is>
          <t>CLEDSON RIBEIRO DOS SANTOS</t>
        </is>
      </c>
      <c r="D2805" s="5" t="inlineStr">
        <is>
          <t>RE</t>
        </is>
      </c>
      <c r="E2805" s="5" t="n">
        <v>5015819</v>
      </c>
      <c r="F2805" s="5" t="inlineStr">
        <is>
          <t>332-1</t>
        </is>
      </c>
      <c r="G2805" s="5" t="inlineStr">
        <is>
          <t>BRL</t>
        </is>
      </c>
      <c r="H2805" s="9" t="n">
        <v>-374</v>
      </c>
      <c r="I2805" s="16" t="n">
        <v>46205</v>
      </c>
      <c r="J2805" s="16" t="n">
        <v>46220</v>
      </c>
      <c r="K2805" s="5" t="inlineStr">
        <is>
          <t>Fatura - bruto CLEDSON RIBEIRO DOS SANTOS 332-1</t>
        </is>
      </c>
      <c r="L2805" s="5" t="inlineStr">
        <is>
          <t>02092026</t>
        </is>
      </c>
      <c r="M2805" s="5">
        <f>IF(YEAR(I2805)&lt;=2020,"Até 2020",TEXT(YEAR(I2805),"0"))</f>
        <v/>
      </c>
      <c r="N2805" s="5">
        <f>IFERROR(INDEX(DePara!$A:$A,MATCH(TEXT(B2805,"0"),DePara!$D:$D,0)),"(sem categoria)")</f>
        <v/>
      </c>
      <c r="O2805" s="5">
        <f>IF(J2805="","",Parametros!$B$6-J2805)</f>
        <v/>
      </c>
      <c r="P2805" s="5">
        <f>IF(O2805="","",IF(O2805&gt;0,1,0))</f>
        <v/>
      </c>
    </row>
    <row r="2806">
      <c r="A2806" s="5" t="n">
        <v>2111000000</v>
      </c>
      <c r="B2806" s="5" t="inlineStr">
        <is>
          <t>101463</t>
        </is>
      </c>
      <c r="C2806" s="5" t="inlineStr">
        <is>
          <t>ZURICH MINAS BRASIL SEGUROS S A</t>
        </is>
      </c>
      <c r="D2806" s="5" t="inlineStr">
        <is>
          <t>RE</t>
        </is>
      </c>
      <c r="E2806" s="5" t="n">
        <v>5015820</v>
      </c>
      <c r="F2806" s="5" t="inlineStr">
        <is>
          <t>0283/26</t>
        </is>
      </c>
      <c r="G2806" s="5" t="inlineStr">
        <is>
          <t>BRL</t>
        </is>
      </c>
      <c r="H2806" s="9" t="n">
        <v>-15413.66</v>
      </c>
      <c r="I2806" s="16" t="n">
        <v>46259</v>
      </c>
      <c r="J2806" s="16" t="n">
        <v>46289</v>
      </c>
      <c r="K2806" s="5" t="inlineStr">
        <is>
          <t>Invoice Payment. SP: 21918</t>
        </is>
      </c>
      <c r="L2806" s="5" t="inlineStr">
        <is>
          <t>0283/26</t>
        </is>
      </c>
      <c r="M2806" s="5">
        <f>IF(YEAR(I2806)&lt;=2020,"Até 2020",TEXT(YEAR(I2806),"0"))</f>
        <v/>
      </c>
      <c r="N2806" s="5">
        <f>IFERROR(INDEX(DePara!$A:$A,MATCH(TEXT(B2806,"0"),DePara!$D:$D,0)),"(sem categoria)")</f>
        <v/>
      </c>
      <c r="O2806" s="5">
        <f>IF(J2806="","",Parametros!$B$6-J2806)</f>
        <v/>
      </c>
      <c r="P2806" s="5">
        <f>IF(O2806="","",IF(O2806&gt;0,1,0))</f>
        <v/>
      </c>
    </row>
    <row r="2807">
      <c r="A2807" s="5" t="n">
        <v>2111000000</v>
      </c>
      <c r="B2807" s="5" t="inlineStr">
        <is>
          <t>105984</t>
        </is>
      </c>
      <c r="C2807" s="5" t="inlineStr">
        <is>
          <t>TRADEWORKS SERVICOS DE COMERCIO EXT 04955748000107</t>
        </is>
      </c>
      <c r="D2807" s="5" t="inlineStr">
        <is>
          <t>RE</t>
        </is>
      </c>
      <c r="E2807" s="5" t="n">
        <v>5015824</v>
      </c>
      <c r="F2807" s="5" t="inlineStr">
        <is>
          <t>93634</t>
        </is>
      </c>
      <c r="G2807" s="5" t="inlineStr">
        <is>
          <t>BRL</t>
        </is>
      </c>
      <c r="H2807" s="9" t="n">
        <v>-1337.76</v>
      </c>
      <c r="I2807" s="16" t="n">
        <v>46247</v>
      </c>
      <c r="J2807" s="16" t="n">
        <v>46277</v>
      </c>
      <c r="K2807" s="5" t="inlineStr">
        <is>
          <t>Fatura - bruto TRADEWORKS SERVICOS DE COMERCIO EXT</t>
        </is>
      </c>
      <c r="L2807" s="5" t="inlineStr">
        <is>
          <t>08092026</t>
        </is>
      </c>
      <c r="M2807" s="5">
        <f>IF(YEAR(I2807)&lt;=2020,"Até 2020",TEXT(YEAR(I2807),"0"))</f>
        <v/>
      </c>
      <c r="N2807" s="5">
        <f>IFERROR(INDEX(DePara!$A:$A,MATCH(TEXT(B2807,"0"),DePara!$D:$D,0)),"(sem categoria)")</f>
        <v/>
      </c>
      <c r="O2807" s="5">
        <f>IF(J2807="","",Parametros!$B$6-J2807)</f>
        <v/>
      </c>
      <c r="P2807" s="5">
        <f>IF(O2807="","",IF(O2807&gt;0,1,0))</f>
        <v/>
      </c>
    </row>
    <row r="2808">
      <c r="A2808" s="5" t="n">
        <v>2111000000</v>
      </c>
      <c r="B2808" s="5" t="inlineStr">
        <is>
          <t>108031</t>
        </is>
      </c>
      <c r="C2808" s="5" t="inlineStr">
        <is>
          <t>ISELETRICA LTDA -EPP</t>
        </is>
      </c>
      <c r="D2808" s="5" t="inlineStr">
        <is>
          <t>RE</t>
        </is>
      </c>
      <c r="E2808" s="5" t="n">
        <v>5015826</v>
      </c>
      <c r="F2808" s="5" t="inlineStr">
        <is>
          <t>47744</t>
        </is>
      </c>
      <c r="G2808" s="5" t="inlineStr">
        <is>
          <t>BRL</t>
        </is>
      </c>
      <c r="H2808" s="9" t="n">
        <v>-38843.28</v>
      </c>
      <c r="I2808" s="16" t="n">
        <v>46221</v>
      </c>
      <c r="J2808" s="16" t="n">
        <v>46251</v>
      </c>
      <c r="K2808" s="5" t="inlineStr">
        <is>
          <t>Fatura - bruto ISELETRICA LTDA -EPP 47744</t>
        </is>
      </c>
      <c r="L2808" s="5" t="inlineStr">
        <is>
          <t>02092026</t>
        </is>
      </c>
      <c r="M2808" s="5">
        <f>IF(YEAR(I2808)&lt;=2020,"Até 2020",TEXT(YEAR(I2808),"0"))</f>
        <v/>
      </c>
      <c r="N2808" s="5">
        <f>IFERROR(INDEX(DePara!$A:$A,MATCH(TEXT(B2808,"0"),DePara!$D:$D,0)),"(sem categoria)")</f>
        <v/>
      </c>
      <c r="O2808" s="5">
        <f>IF(J2808="","",Parametros!$B$6-J2808)</f>
        <v/>
      </c>
      <c r="P2808" s="5">
        <f>IF(O2808="","",IF(O2808&gt;0,1,0))</f>
        <v/>
      </c>
    </row>
    <row r="2809">
      <c r="A2809" s="5" t="n">
        <v>2111000000</v>
      </c>
      <c r="B2809" s="5" t="inlineStr">
        <is>
          <t>108017</t>
        </is>
      </c>
      <c r="C2809" s="5" t="inlineStr">
        <is>
          <t>CARLOS DIAS DOS SANTOS</t>
        </is>
      </c>
      <c r="D2809" s="5" t="inlineStr">
        <is>
          <t>RE</t>
        </is>
      </c>
      <c r="E2809" s="5" t="n">
        <v>5015827</v>
      </c>
      <c r="F2809" s="5" t="inlineStr">
        <is>
          <t>264</t>
        </is>
      </c>
      <c r="G2809" s="5" t="inlineStr">
        <is>
          <t>BRL</t>
        </is>
      </c>
      <c r="H2809" s="9" t="n">
        <v>-1400</v>
      </c>
      <c r="I2809" s="16" t="n">
        <v>46225</v>
      </c>
      <c r="J2809" s="16" t="n">
        <v>46225</v>
      </c>
      <c r="K2809" s="5" t="inlineStr">
        <is>
          <t>Fatura - bruto CARLOS DIAS DOS SANTOS 264</t>
        </is>
      </c>
      <c r="L2809" s="5" t="inlineStr">
        <is>
          <t>02092026</t>
        </is>
      </c>
      <c r="M2809" s="5">
        <f>IF(YEAR(I2809)&lt;=2020,"Até 2020",TEXT(YEAR(I2809),"0"))</f>
        <v/>
      </c>
      <c r="N2809" s="5">
        <f>IFERROR(INDEX(DePara!$A:$A,MATCH(TEXT(B2809,"0"),DePara!$D:$D,0)),"(sem categoria)")</f>
        <v/>
      </c>
      <c r="O2809" s="5">
        <f>IF(J2809="","",Parametros!$B$6-J2809)</f>
        <v/>
      </c>
      <c r="P2809" s="5">
        <f>IF(O2809="","",IF(O2809&gt;0,1,0))</f>
        <v/>
      </c>
    </row>
    <row r="2810">
      <c r="A2810" s="5" t="n">
        <v>2111000000</v>
      </c>
      <c r="B2810" s="5" t="inlineStr">
        <is>
          <t>101848</t>
        </is>
      </c>
      <c r="C2810" s="5" t="inlineStr">
        <is>
          <t>KLUBER LUBRICATION LUBRIF ESPECIAIS</t>
        </is>
      </c>
      <c r="D2810" s="5" t="inlineStr">
        <is>
          <t>RE</t>
        </is>
      </c>
      <c r="E2810" s="5" t="n">
        <v>5015833</v>
      </c>
      <c r="F2810" s="5" t="inlineStr">
        <is>
          <t>000772603-1</t>
        </is>
      </c>
      <c r="G2810" s="5" t="inlineStr">
        <is>
          <t>BRL</t>
        </is>
      </c>
      <c r="H2810" s="9" t="n">
        <v>-58888.85</v>
      </c>
      <c r="I2810" s="16" t="n">
        <v>46225</v>
      </c>
      <c r="J2810" s="16" t="n">
        <v>46270</v>
      </c>
      <c r="K2810" s="5" t="inlineStr">
        <is>
          <t>Fatura - bruto KLUBER LUBRICATION LUBRIF ESPECIAIS</t>
        </is>
      </c>
      <c r="L2810" s="5" t="inlineStr">
        <is>
          <t>08092026</t>
        </is>
      </c>
      <c r="M2810" s="5">
        <f>IF(YEAR(I2810)&lt;=2020,"Até 2020",TEXT(YEAR(I2810),"0"))</f>
        <v/>
      </c>
      <c r="N2810" s="5">
        <f>IFERROR(INDEX(DePara!$A:$A,MATCH(TEXT(B2810,"0"),DePara!$D:$D,0)),"(sem categoria)")</f>
        <v/>
      </c>
      <c r="O2810" s="5">
        <f>IF(J2810="","",Parametros!$B$6-J2810)</f>
        <v/>
      </c>
      <c r="P2810" s="5">
        <f>IF(O2810="","",IF(O2810&gt;0,1,0))</f>
        <v/>
      </c>
    </row>
    <row r="2811">
      <c r="A2811" s="5" t="n">
        <v>2111000000</v>
      </c>
      <c r="B2811" s="5" t="inlineStr">
        <is>
          <t>101848</t>
        </is>
      </c>
      <c r="C2811" s="5" t="inlineStr">
        <is>
          <t>KLUBER LUBRICATION LUBRIF ESPECIAIS</t>
        </is>
      </c>
      <c r="D2811" s="5" t="inlineStr">
        <is>
          <t>RE</t>
        </is>
      </c>
      <c r="E2811" s="5" t="n">
        <v>5015834</v>
      </c>
      <c r="F2811" s="5" t="inlineStr">
        <is>
          <t>000772728-1</t>
        </is>
      </c>
      <c r="G2811" s="5" t="inlineStr">
        <is>
          <t>BRL</t>
        </is>
      </c>
      <c r="H2811" s="9" t="n">
        <v>-29444.43</v>
      </c>
      <c r="I2811" s="16" t="n">
        <v>46226</v>
      </c>
      <c r="J2811" s="16" t="n">
        <v>46270</v>
      </c>
      <c r="K2811" s="5" t="inlineStr">
        <is>
          <t>Fatura - bruto KLUBER LUBRICATION LUBRIF ESPECIAIS</t>
        </is>
      </c>
      <c r="L2811" s="5" t="inlineStr">
        <is>
          <t>08092026</t>
        </is>
      </c>
      <c r="M2811" s="5">
        <f>IF(YEAR(I2811)&lt;=2020,"Até 2020",TEXT(YEAR(I2811),"0"))</f>
        <v/>
      </c>
      <c r="N2811" s="5">
        <f>IFERROR(INDEX(DePara!$A:$A,MATCH(TEXT(B2811,"0"),DePara!$D:$D,0)),"(sem categoria)")</f>
        <v/>
      </c>
      <c r="O2811" s="5">
        <f>IF(J2811="","",Parametros!$B$6-J2811)</f>
        <v/>
      </c>
      <c r="P2811" s="5">
        <f>IF(O2811="","",IF(O2811&gt;0,1,0))</f>
        <v/>
      </c>
    </row>
    <row r="2812">
      <c r="A2812" s="5" t="n">
        <v>2111000000</v>
      </c>
      <c r="B2812" s="5" t="inlineStr">
        <is>
          <t>101420</t>
        </is>
      </c>
      <c r="C2812" s="5" t="inlineStr">
        <is>
          <t>MEDEIROS GALVAO SOLUÇÕES LTDA</t>
        </is>
      </c>
      <c r="D2812" s="5" t="inlineStr">
        <is>
          <t>RE</t>
        </is>
      </c>
      <c r="E2812" s="5" t="n">
        <v>5015835</v>
      </c>
      <c r="F2812" s="5" t="inlineStr">
        <is>
          <t>29881-2</t>
        </is>
      </c>
      <c r="G2812" s="5" t="inlineStr">
        <is>
          <t>BRL</t>
        </is>
      </c>
      <c r="H2812" s="9" t="n">
        <v>-6505.8</v>
      </c>
      <c r="I2812" s="16" t="n">
        <v>46218</v>
      </c>
      <c r="J2812" s="16" t="n">
        <v>46270</v>
      </c>
      <c r="K2812" s="5" t="inlineStr">
        <is>
          <t>Fatura - bruto MEDEIROS GALVAO SOLUÇÕES LTDA 29881</t>
        </is>
      </c>
      <c r="L2812" s="5" t="inlineStr">
        <is>
          <t>02092026</t>
        </is>
      </c>
      <c r="M2812" s="5">
        <f>IF(YEAR(I2812)&lt;=2020,"Até 2020",TEXT(YEAR(I2812),"0"))</f>
        <v/>
      </c>
      <c r="N2812" s="5">
        <f>IFERROR(INDEX(DePara!$A:$A,MATCH(TEXT(B2812,"0"),DePara!$D:$D,0)),"(sem categoria)")</f>
        <v/>
      </c>
      <c r="O2812" s="5">
        <f>IF(J2812="","",Parametros!$B$6-J2812)</f>
        <v/>
      </c>
      <c r="P2812" s="5">
        <f>IF(O2812="","",IF(O2812&gt;0,1,0))</f>
        <v/>
      </c>
    </row>
    <row r="2813">
      <c r="A2813" s="5" t="n">
        <v>2111000000</v>
      </c>
      <c r="B2813" s="5" t="inlineStr">
        <is>
          <t>101944</t>
        </is>
      </c>
      <c r="C2813" s="5" t="inlineStr">
        <is>
          <t>TEXAS CONTROLS DO BRASIL LTDA</t>
        </is>
      </c>
      <c r="D2813" s="5" t="inlineStr">
        <is>
          <t>RE</t>
        </is>
      </c>
      <c r="E2813" s="5" t="n">
        <v>5015836</v>
      </c>
      <c r="F2813" s="5" t="inlineStr">
        <is>
          <t>2056</t>
        </is>
      </c>
      <c r="G2813" s="5" t="inlineStr">
        <is>
          <t>BRL</t>
        </is>
      </c>
      <c r="H2813" s="9" t="n">
        <v>-22510</v>
      </c>
      <c r="I2813" s="16" t="n">
        <v>45967</v>
      </c>
      <c r="J2813" s="16" t="n">
        <v>45996</v>
      </c>
      <c r="K2813" s="5" t="inlineStr">
        <is>
          <t>Fatura - bruto TEXAS CONTROLS DO BRASIL LTDA 2056</t>
        </is>
      </c>
      <c r="L2813" s="5" t="inlineStr">
        <is>
          <t>02092026</t>
        </is>
      </c>
      <c r="M2813" s="5">
        <f>IF(YEAR(I2813)&lt;=2020,"Até 2020",TEXT(YEAR(I2813),"0"))</f>
        <v/>
      </c>
      <c r="N2813" s="5">
        <f>IFERROR(INDEX(DePara!$A:$A,MATCH(TEXT(B2813,"0"),DePara!$D:$D,0)),"(sem categoria)")</f>
        <v/>
      </c>
      <c r="O2813" s="5">
        <f>IF(J2813="","",Parametros!$B$6-J2813)</f>
        <v/>
      </c>
      <c r="P2813" s="5">
        <f>IF(O2813="","",IF(O2813&gt;0,1,0))</f>
        <v/>
      </c>
    </row>
    <row r="2814">
      <c r="A2814" s="5" t="n">
        <v>2111000000</v>
      </c>
      <c r="B2814" s="5" t="inlineStr">
        <is>
          <t>101801</t>
        </is>
      </c>
      <c r="C2814" s="5" t="inlineStr">
        <is>
          <t>DARCY PACHECO SOLUCOES DE PESO LTDA 89396121000108</t>
        </is>
      </c>
      <c r="D2814" s="5" t="inlineStr">
        <is>
          <t>RE</t>
        </is>
      </c>
      <c r="E2814" s="5" t="n">
        <v>5015837</v>
      </c>
      <c r="F2814" s="5" t="inlineStr">
        <is>
          <t>8174</t>
        </is>
      </c>
      <c r="G2814" s="5" t="inlineStr">
        <is>
          <t>BRL</t>
        </is>
      </c>
      <c r="H2814" s="9" t="n">
        <v>-804015.95</v>
      </c>
      <c r="I2814" s="16" t="n">
        <v>46106</v>
      </c>
      <c r="J2814" s="16" t="n">
        <v>46178</v>
      </c>
      <c r="K2814" s="5" t="inlineStr">
        <is>
          <t>Fatura - bruto DARCY PACHECO SOLUCOES DE PESO LTDA</t>
        </is>
      </c>
      <c r="L2814" s="5" t="inlineStr">
        <is>
          <t>02092026</t>
        </is>
      </c>
      <c r="M2814" s="5">
        <f>IF(YEAR(I2814)&lt;=2020,"Até 2020",TEXT(YEAR(I2814),"0"))</f>
        <v/>
      </c>
      <c r="N2814" s="5">
        <f>IFERROR(INDEX(DePara!$A:$A,MATCH(TEXT(B2814,"0"),DePara!$D:$D,0)),"(sem categoria)")</f>
        <v/>
      </c>
      <c r="O2814" s="5">
        <f>IF(J2814="","",Parametros!$B$6-J2814)</f>
        <v/>
      </c>
      <c r="P2814" s="5">
        <f>IF(O2814="","",IF(O2814&gt;0,1,0))</f>
        <v/>
      </c>
    </row>
    <row r="2815">
      <c r="A2815" s="5" t="n">
        <v>2111000000</v>
      </c>
      <c r="B2815" s="5" t="inlineStr">
        <is>
          <t>101801</t>
        </is>
      </c>
      <c r="C2815" s="5" t="inlineStr">
        <is>
          <t>DARCY PACHECO SOLUCOES DE PESO LTDA 89396121000108</t>
        </is>
      </c>
      <c r="D2815" s="5" t="inlineStr">
        <is>
          <t>RE</t>
        </is>
      </c>
      <c r="E2815" s="5" t="n">
        <v>5015838</v>
      </c>
      <c r="F2815" s="5" t="inlineStr">
        <is>
          <t>8178</t>
        </is>
      </c>
      <c r="G2815" s="5" t="inlineStr">
        <is>
          <t>BRL</t>
        </is>
      </c>
      <c r="H2815" s="9" t="n">
        <v>-472589.53</v>
      </c>
      <c r="I2815" s="16" t="n">
        <v>46106</v>
      </c>
      <c r="J2815" s="16" t="n">
        <v>46178</v>
      </c>
      <c r="K2815" s="5" t="inlineStr">
        <is>
          <t>Fatura - bruto DARCY PACHECO SOLUCOES DE PESO LTDA</t>
        </is>
      </c>
      <c r="L2815" s="5" t="inlineStr">
        <is>
          <t>08092026</t>
        </is>
      </c>
      <c r="M2815" s="5">
        <f>IF(YEAR(I2815)&lt;=2020,"Até 2020",TEXT(YEAR(I2815),"0"))</f>
        <v/>
      </c>
      <c r="N2815" s="5">
        <f>IFERROR(INDEX(DePara!$A:$A,MATCH(TEXT(B2815,"0"),DePara!$D:$D,0)),"(sem categoria)")</f>
        <v/>
      </c>
      <c r="O2815" s="5">
        <f>IF(J2815="","",Parametros!$B$6-J2815)</f>
        <v/>
      </c>
      <c r="P2815" s="5">
        <f>IF(O2815="","",IF(O2815&gt;0,1,0))</f>
        <v/>
      </c>
    </row>
    <row r="2816">
      <c r="A2816" s="5" t="n">
        <v>2111000000</v>
      </c>
      <c r="B2816" s="5" t="inlineStr">
        <is>
          <t>101463</t>
        </is>
      </c>
      <c r="C2816" s="5" t="inlineStr">
        <is>
          <t>ZURICH MINAS BRASIL SEGUROS S A</t>
        </is>
      </c>
      <c r="D2816" s="5" t="inlineStr">
        <is>
          <t>RE</t>
        </is>
      </c>
      <c r="E2816" s="5" t="n">
        <v>5015839</v>
      </c>
      <c r="F2816" s="5" t="inlineStr">
        <is>
          <t>0497/26</t>
        </is>
      </c>
      <c r="G2816" s="5" t="inlineStr">
        <is>
          <t>BRL</t>
        </is>
      </c>
      <c r="H2816" s="9" t="n">
        <v>-371.62</v>
      </c>
      <c r="I2816" s="16" t="n">
        <v>46259</v>
      </c>
      <c r="J2816" s="16" t="n">
        <v>46289</v>
      </c>
      <c r="K2816" s="5" t="inlineStr">
        <is>
          <t>Invoice Payment. SP: 21978</t>
        </is>
      </c>
      <c r="L2816" s="5" t="inlineStr">
        <is>
          <t>0497/26</t>
        </is>
      </c>
      <c r="M2816" s="5">
        <f>IF(YEAR(I2816)&lt;=2020,"Até 2020",TEXT(YEAR(I2816),"0"))</f>
        <v/>
      </c>
      <c r="N2816" s="5">
        <f>IFERROR(INDEX(DePara!$A:$A,MATCH(TEXT(B2816,"0"),DePara!$D:$D,0)),"(sem categoria)")</f>
        <v/>
      </c>
      <c r="O2816" s="5">
        <f>IF(J2816="","",Parametros!$B$6-J2816)</f>
        <v/>
      </c>
      <c r="P2816" s="5">
        <f>IF(O2816="","",IF(O2816&gt;0,1,0))</f>
        <v/>
      </c>
    </row>
    <row r="2817">
      <c r="A2817" s="5" t="n">
        <v>2111000000</v>
      </c>
      <c r="B2817" s="5" t="inlineStr">
        <is>
          <t>100757</t>
        </is>
      </c>
      <c r="C2817" s="5" t="inlineStr">
        <is>
          <t>OMI BRASIL ENGENHARIA</t>
        </is>
      </c>
      <c r="D2817" s="5" t="inlineStr">
        <is>
          <t>RE</t>
        </is>
      </c>
      <c r="E2817" s="5" t="n">
        <v>5015841</v>
      </c>
      <c r="F2817" s="5" t="inlineStr">
        <is>
          <t>71-1</t>
        </is>
      </c>
      <c r="G2817" s="5" t="inlineStr">
        <is>
          <t>BRL</t>
        </is>
      </c>
      <c r="H2817" s="9" t="n">
        <v>-1250</v>
      </c>
      <c r="I2817" s="16" t="n">
        <v>46244</v>
      </c>
      <c r="J2817" s="16" t="n">
        <v>46274</v>
      </c>
      <c r="K2817" s="5" t="inlineStr">
        <is>
          <t>Fatura - bruto OMI BRASIL ENGENHARIA 71-1</t>
        </is>
      </c>
      <c r="L2817" s="5" t="inlineStr">
        <is>
          <t>09092026</t>
        </is>
      </c>
      <c r="M2817" s="5">
        <f>IF(YEAR(I2817)&lt;=2020,"Até 2020",TEXT(YEAR(I2817),"0"))</f>
        <v/>
      </c>
      <c r="N2817" s="5">
        <f>IFERROR(INDEX(DePara!$A:$A,MATCH(TEXT(B2817,"0"),DePara!$D:$D,0)),"(sem categoria)")</f>
        <v/>
      </c>
      <c r="O2817" s="5">
        <f>IF(J2817="","",Parametros!$B$6-J2817)</f>
        <v/>
      </c>
      <c r="P2817" s="5">
        <f>IF(O2817="","",IF(O2817&gt;0,1,0))</f>
        <v/>
      </c>
    </row>
    <row r="2818">
      <c r="A2818" s="5" t="n">
        <v>2111000000</v>
      </c>
      <c r="B2818" s="5" t="inlineStr">
        <is>
          <t>100906</t>
        </is>
      </c>
      <c r="C2818" s="5" t="inlineStr">
        <is>
          <t>R &amp; G TELECOM LTDA</t>
        </is>
      </c>
      <c r="D2818" s="5" t="inlineStr">
        <is>
          <t>RE</t>
        </is>
      </c>
      <c r="E2818" s="5" t="n">
        <v>5015842</v>
      </c>
      <c r="F2818" s="5" t="inlineStr">
        <is>
          <t>5379</t>
        </is>
      </c>
      <c r="G2818" s="5" t="inlineStr">
        <is>
          <t>BRL</t>
        </is>
      </c>
      <c r="H2818" s="9" t="n">
        <v>-1225</v>
      </c>
      <c r="I2818" s="16" t="n">
        <v>46255</v>
      </c>
      <c r="J2818" s="16" t="n">
        <v>46290</v>
      </c>
      <c r="K2818" s="5" t="inlineStr">
        <is>
          <t>Fatura - bruto R &amp; G TELECOM LTDA 5379</t>
        </is>
      </c>
      <c r="L2818" s="5" t="inlineStr">
        <is>
          <t>23092026</t>
        </is>
      </c>
      <c r="M2818" s="5">
        <f>IF(YEAR(I2818)&lt;=2020,"Até 2020",TEXT(YEAR(I2818),"0"))</f>
        <v/>
      </c>
      <c r="N2818" s="5">
        <f>IFERROR(INDEX(DePara!$A:$A,MATCH(TEXT(B2818,"0"),DePara!$D:$D,0)),"(sem categoria)")</f>
        <v/>
      </c>
      <c r="O2818" s="5">
        <f>IF(J2818="","",Parametros!$B$6-J2818)</f>
        <v/>
      </c>
      <c r="P2818" s="5">
        <f>IF(O2818="","",IF(O2818&gt;0,1,0))</f>
        <v/>
      </c>
    </row>
    <row r="2819">
      <c r="A2819" s="5" t="n">
        <v>2111000000</v>
      </c>
      <c r="B2819" s="5" t="inlineStr">
        <is>
          <t>101247</t>
        </is>
      </c>
      <c r="C2819" s="5" t="inlineStr">
        <is>
          <t>CIA DE SANEAMENTO BASICO DO ESTADO</t>
        </is>
      </c>
      <c r="D2819" s="5" t="inlineStr">
        <is>
          <t>RE</t>
        </is>
      </c>
      <c r="E2819" s="5" t="n">
        <v>5015843</v>
      </c>
      <c r="F2819" s="5" t="inlineStr">
        <is>
          <t>444344</t>
        </is>
      </c>
      <c r="G2819" s="5" t="inlineStr">
        <is>
          <t>BRL</t>
        </is>
      </c>
      <c r="H2819" s="9" t="n">
        <v>-163.96</v>
      </c>
      <c r="I2819" s="16" t="n">
        <v>46255</v>
      </c>
      <c r="J2819" s="16" t="n">
        <v>46266</v>
      </c>
      <c r="K2819" s="5" t="inlineStr">
        <is>
          <t>Fatura - bruto CIA DE SANEAMENTO BASICO DO ESTADO</t>
        </is>
      </c>
      <c r="L2819" s="5" t="inlineStr">
        <is>
          <t>02092026</t>
        </is>
      </c>
      <c r="M2819" s="5">
        <f>IF(YEAR(I2819)&lt;=2020,"Até 2020",TEXT(YEAR(I2819),"0"))</f>
        <v/>
      </c>
      <c r="N2819" s="5">
        <f>IFERROR(INDEX(DePara!$A:$A,MATCH(TEXT(B2819,"0"),DePara!$D:$D,0)),"(sem categoria)")</f>
        <v/>
      </c>
      <c r="O2819" s="5">
        <f>IF(J2819="","",Parametros!$B$6-J2819)</f>
        <v/>
      </c>
      <c r="P2819" s="5">
        <f>IF(O2819="","",IF(O2819&gt;0,1,0))</f>
        <v/>
      </c>
    </row>
    <row r="2820">
      <c r="A2820" s="5" t="n">
        <v>2111000000</v>
      </c>
      <c r="B2820" s="5" t="inlineStr">
        <is>
          <t>101247</t>
        </is>
      </c>
      <c r="C2820" s="5" t="inlineStr">
        <is>
          <t>CIA DE SANEAMENTO BASICO DO ESTADO</t>
        </is>
      </c>
      <c r="D2820" s="5" t="inlineStr">
        <is>
          <t>RE</t>
        </is>
      </c>
      <c r="E2820" s="5" t="n">
        <v>5015844</v>
      </c>
      <c r="F2820" s="5" t="inlineStr">
        <is>
          <t>444345</t>
        </is>
      </c>
      <c r="G2820" s="5" t="inlineStr">
        <is>
          <t>BRL</t>
        </is>
      </c>
      <c r="H2820" s="9" t="n">
        <v>-677.49</v>
      </c>
      <c r="I2820" s="16" t="n">
        <v>46255</v>
      </c>
      <c r="J2820" s="16" t="n">
        <v>46266</v>
      </c>
      <c r="K2820" s="5" t="inlineStr">
        <is>
          <t>Fatura - bruto CIA DE SANEAMENTO BASICO DO ESTADO</t>
        </is>
      </c>
      <c r="L2820" s="5" t="inlineStr">
        <is>
          <t>02092026</t>
        </is>
      </c>
      <c r="M2820" s="5">
        <f>IF(YEAR(I2820)&lt;=2020,"Até 2020",TEXT(YEAR(I2820),"0"))</f>
        <v/>
      </c>
      <c r="N2820" s="5">
        <f>IFERROR(INDEX(DePara!$A:$A,MATCH(TEXT(B2820,"0"),DePara!$D:$D,0)),"(sem categoria)")</f>
        <v/>
      </c>
      <c r="O2820" s="5">
        <f>IF(J2820="","",Parametros!$B$6-J2820)</f>
        <v/>
      </c>
      <c r="P2820" s="5">
        <f>IF(O2820="","",IF(O2820&gt;0,1,0))</f>
        <v/>
      </c>
    </row>
    <row r="2821">
      <c r="A2821" s="5" t="n">
        <v>2111000000</v>
      </c>
      <c r="B2821" s="5" t="inlineStr">
        <is>
          <t>100883</t>
        </is>
      </c>
      <c r="C2821" s="5" t="inlineStr">
        <is>
          <t>QUELMAR TRANSPORTES LTDA</t>
        </is>
      </c>
      <c r="D2821" s="5" t="inlineStr">
        <is>
          <t>RE</t>
        </is>
      </c>
      <c r="E2821" s="5" t="n">
        <v>5015845</v>
      </c>
      <c r="F2821" s="5" t="inlineStr">
        <is>
          <t>108513-1</t>
        </is>
      </c>
      <c r="G2821" s="5" t="inlineStr">
        <is>
          <t>BRL</t>
        </is>
      </c>
      <c r="H2821" s="9" t="n">
        <v>-1748.78</v>
      </c>
      <c r="I2821" s="16" t="n">
        <v>46255</v>
      </c>
      <c r="J2821" s="16" t="n">
        <v>46300</v>
      </c>
      <c r="K2821" s="5" t="inlineStr">
        <is>
          <t>Fatura - bruto QUELMAR TRANSPORTES LTDA 108513-1</t>
        </is>
      </c>
      <c r="L2821" s="5" t="inlineStr">
        <is>
          <t>05102026</t>
        </is>
      </c>
      <c r="M2821" s="5">
        <f>IF(YEAR(I2821)&lt;=2020,"Até 2020",TEXT(YEAR(I2821),"0"))</f>
        <v/>
      </c>
      <c r="N2821" s="5">
        <f>IFERROR(INDEX(DePara!$A:$A,MATCH(TEXT(B2821,"0"),DePara!$D:$D,0)),"(sem categoria)")</f>
        <v/>
      </c>
      <c r="O2821" s="5">
        <f>IF(J2821="","",Parametros!$B$6-J2821)</f>
        <v/>
      </c>
      <c r="P2821" s="5">
        <f>IF(O2821="","",IF(O2821&gt;0,1,0))</f>
        <v/>
      </c>
    </row>
    <row r="2822">
      <c r="A2822" s="5" t="n">
        <v>2111000000</v>
      </c>
      <c r="B2822" s="5" t="inlineStr">
        <is>
          <t>100883</t>
        </is>
      </c>
      <c r="C2822" s="5" t="inlineStr">
        <is>
          <t>QUELMAR TRANSPORTES LTDA</t>
        </is>
      </c>
      <c r="D2822" s="5" t="inlineStr">
        <is>
          <t>RE</t>
        </is>
      </c>
      <c r="E2822" s="5" t="n">
        <v>5015847</v>
      </c>
      <c r="F2822" s="5" t="inlineStr">
        <is>
          <t>108522-1</t>
        </is>
      </c>
      <c r="G2822" s="5" t="inlineStr">
        <is>
          <t>BRL</t>
        </is>
      </c>
      <c r="H2822" s="9" t="n">
        <v>-1748.78</v>
      </c>
      <c r="I2822" s="16" t="n">
        <v>46255</v>
      </c>
      <c r="J2822" s="16" t="n">
        <v>46300</v>
      </c>
      <c r="K2822" s="5" t="inlineStr">
        <is>
          <t>Fatura - bruto QUELMAR TRANSPORTES LTDA 108522-1</t>
        </is>
      </c>
      <c r="L2822" s="5" t="inlineStr">
        <is>
          <t>05102026</t>
        </is>
      </c>
      <c r="M2822" s="5">
        <f>IF(YEAR(I2822)&lt;=2020,"Até 2020",TEXT(YEAR(I2822),"0"))</f>
        <v/>
      </c>
      <c r="N2822" s="5">
        <f>IFERROR(INDEX(DePara!$A:$A,MATCH(TEXT(B2822,"0"),DePara!$D:$D,0)),"(sem categoria)")</f>
        <v/>
      </c>
      <c r="O2822" s="5">
        <f>IF(J2822="","",Parametros!$B$6-J2822)</f>
        <v/>
      </c>
      <c r="P2822" s="5">
        <f>IF(O2822="","",IF(O2822&gt;0,1,0))</f>
        <v/>
      </c>
    </row>
    <row r="2823">
      <c r="A2823" s="5" t="n">
        <v>2111000000</v>
      </c>
      <c r="B2823" s="5" t="inlineStr">
        <is>
          <t>100883</t>
        </is>
      </c>
      <c r="C2823" s="5" t="inlineStr">
        <is>
          <t>QUELMAR TRANSPORTES LTDA</t>
        </is>
      </c>
      <c r="D2823" s="5" t="inlineStr">
        <is>
          <t>RE</t>
        </is>
      </c>
      <c r="E2823" s="5" t="n">
        <v>5015848</v>
      </c>
      <c r="F2823" s="5" t="inlineStr">
        <is>
          <t>108525-1</t>
        </is>
      </c>
      <c r="G2823" s="5" t="inlineStr">
        <is>
          <t>BRL</t>
        </is>
      </c>
      <c r="H2823" s="9" t="n">
        <v>-1748.78</v>
      </c>
      <c r="I2823" s="16" t="n">
        <v>46255</v>
      </c>
      <c r="J2823" s="16" t="n">
        <v>46300</v>
      </c>
      <c r="K2823" s="5" t="inlineStr">
        <is>
          <t>Fatura - bruto QUELMAR TRANSPORTES LTDA 108525-1</t>
        </is>
      </c>
      <c r="L2823" s="5" t="inlineStr">
        <is>
          <t>05102026</t>
        </is>
      </c>
      <c r="M2823" s="5">
        <f>IF(YEAR(I2823)&lt;=2020,"Até 2020",TEXT(YEAR(I2823),"0"))</f>
        <v/>
      </c>
      <c r="N2823" s="5">
        <f>IFERROR(INDEX(DePara!$A:$A,MATCH(TEXT(B2823,"0"),DePara!$D:$D,0)),"(sem categoria)")</f>
        <v/>
      </c>
      <c r="O2823" s="5">
        <f>IF(J2823="","",Parametros!$B$6-J2823)</f>
        <v/>
      </c>
      <c r="P2823" s="5">
        <f>IF(O2823="","",IF(O2823&gt;0,1,0))</f>
        <v/>
      </c>
    </row>
    <row r="2824">
      <c r="A2824" s="5" t="n">
        <v>2111000000</v>
      </c>
      <c r="B2824" s="5" t="inlineStr">
        <is>
          <t>100883</t>
        </is>
      </c>
      <c r="C2824" s="5" t="inlineStr">
        <is>
          <t>QUELMAR TRANSPORTES LTDA</t>
        </is>
      </c>
      <c r="D2824" s="5" t="inlineStr">
        <is>
          <t>RE</t>
        </is>
      </c>
      <c r="E2824" s="5" t="n">
        <v>5015849</v>
      </c>
      <c r="F2824" s="5" t="inlineStr">
        <is>
          <t>108527-1</t>
        </is>
      </c>
      <c r="G2824" s="5" t="inlineStr">
        <is>
          <t>BRL</t>
        </is>
      </c>
      <c r="H2824" s="9" t="n">
        <v>-1748.78</v>
      </c>
      <c r="I2824" s="16" t="n">
        <v>46255</v>
      </c>
      <c r="J2824" s="16" t="n">
        <v>46300</v>
      </c>
      <c r="K2824" s="5" t="inlineStr">
        <is>
          <t>Fatura - bruto QUELMAR TRANSPORTES LTDA 108527-1</t>
        </is>
      </c>
      <c r="L2824" s="5" t="inlineStr">
        <is>
          <t>05102026</t>
        </is>
      </c>
      <c r="M2824" s="5">
        <f>IF(YEAR(I2824)&lt;=2020,"Até 2020",TEXT(YEAR(I2824),"0"))</f>
        <v/>
      </c>
      <c r="N2824" s="5">
        <f>IFERROR(INDEX(DePara!$A:$A,MATCH(TEXT(B2824,"0"),DePara!$D:$D,0)),"(sem categoria)")</f>
        <v/>
      </c>
      <c r="O2824" s="5">
        <f>IF(J2824="","",Parametros!$B$6-J2824)</f>
        <v/>
      </c>
      <c r="P2824" s="5">
        <f>IF(O2824="","",IF(O2824&gt;0,1,0))</f>
        <v/>
      </c>
    </row>
    <row r="2825">
      <c r="A2825" s="5" t="n">
        <v>2111000000</v>
      </c>
      <c r="B2825" s="5" t="inlineStr">
        <is>
          <t>100883</t>
        </is>
      </c>
      <c r="C2825" s="5" t="inlineStr">
        <is>
          <t>QUELMAR TRANSPORTES LTDA</t>
        </is>
      </c>
      <c r="D2825" s="5" t="inlineStr">
        <is>
          <t>RE</t>
        </is>
      </c>
      <c r="E2825" s="5" t="n">
        <v>5015850</v>
      </c>
      <c r="F2825" s="5" t="inlineStr">
        <is>
          <t>108530-1</t>
        </is>
      </c>
      <c r="G2825" s="5" t="inlineStr">
        <is>
          <t>BRL</t>
        </is>
      </c>
      <c r="H2825" s="9" t="n">
        <v>-1748.78</v>
      </c>
      <c r="I2825" s="16" t="n">
        <v>46255</v>
      </c>
      <c r="J2825" s="16" t="n">
        <v>46300</v>
      </c>
      <c r="K2825" s="5" t="inlineStr">
        <is>
          <t>Fatura - bruto QUELMAR TRANSPORTES LTDA 108530-1</t>
        </is>
      </c>
      <c r="L2825" s="5" t="inlineStr">
        <is>
          <t>05102026</t>
        </is>
      </c>
      <c r="M2825" s="5">
        <f>IF(YEAR(I2825)&lt;=2020,"Até 2020",TEXT(YEAR(I2825),"0"))</f>
        <v/>
      </c>
      <c r="N2825" s="5">
        <f>IFERROR(INDEX(DePara!$A:$A,MATCH(TEXT(B2825,"0"),DePara!$D:$D,0)),"(sem categoria)")</f>
        <v/>
      </c>
      <c r="O2825" s="5">
        <f>IF(J2825="","",Parametros!$B$6-J2825)</f>
        <v/>
      </c>
      <c r="P2825" s="5">
        <f>IF(O2825="","",IF(O2825&gt;0,1,0))</f>
        <v/>
      </c>
    </row>
    <row r="2826">
      <c r="A2826" s="5" t="n">
        <v>2111000000</v>
      </c>
      <c r="B2826" s="5" t="inlineStr">
        <is>
          <t>100883</t>
        </is>
      </c>
      <c r="C2826" s="5" t="inlineStr">
        <is>
          <t>QUELMAR TRANSPORTES LTDA</t>
        </is>
      </c>
      <c r="D2826" s="5" t="inlineStr">
        <is>
          <t>RE</t>
        </is>
      </c>
      <c r="E2826" s="5" t="n">
        <v>5015851</v>
      </c>
      <c r="F2826" s="5" t="inlineStr">
        <is>
          <t>108544-1</t>
        </is>
      </c>
      <c r="G2826" s="5" t="inlineStr">
        <is>
          <t>BRL</t>
        </is>
      </c>
      <c r="H2826" s="9" t="n">
        <v>-1748.78</v>
      </c>
      <c r="I2826" s="16" t="n">
        <v>46255</v>
      </c>
      <c r="J2826" s="16" t="n">
        <v>46300</v>
      </c>
      <c r="K2826" s="5" t="inlineStr">
        <is>
          <t>Fatura - bruto QUELMAR TRANSPORTES LTDA 108544-1</t>
        </is>
      </c>
      <c r="L2826" s="5" t="inlineStr">
        <is>
          <t>05102026</t>
        </is>
      </c>
      <c r="M2826" s="5">
        <f>IF(YEAR(I2826)&lt;=2020,"Até 2020",TEXT(YEAR(I2826),"0"))</f>
        <v/>
      </c>
      <c r="N2826" s="5">
        <f>IFERROR(INDEX(DePara!$A:$A,MATCH(TEXT(B2826,"0"),DePara!$D:$D,0)),"(sem categoria)")</f>
        <v/>
      </c>
      <c r="O2826" s="5">
        <f>IF(J2826="","",Parametros!$B$6-J2826)</f>
        <v/>
      </c>
      <c r="P2826" s="5">
        <f>IF(O2826="","",IF(O2826&gt;0,1,0))</f>
        <v/>
      </c>
    </row>
    <row r="2827">
      <c r="A2827" s="5" t="n">
        <v>2111000000</v>
      </c>
      <c r="B2827" s="5" t="inlineStr">
        <is>
          <t>101317</t>
        </is>
      </c>
      <c r="C2827" s="5" t="inlineStr">
        <is>
          <t>JOAO VANDERLEI ROYER</t>
        </is>
      </c>
      <c r="D2827" s="5" t="inlineStr">
        <is>
          <t>RE</t>
        </is>
      </c>
      <c r="E2827" s="5" t="n">
        <v>5015852</v>
      </c>
      <c r="F2827" s="5" t="inlineStr">
        <is>
          <t>81</t>
        </is>
      </c>
      <c r="G2827" s="5" t="inlineStr">
        <is>
          <t>BRL</t>
        </is>
      </c>
      <c r="H2827" s="9" t="n">
        <v>-10500</v>
      </c>
      <c r="I2827" s="16" t="n">
        <v>46248</v>
      </c>
      <c r="J2827" s="16" t="n">
        <v>46270</v>
      </c>
      <c r="K2827" s="5" t="inlineStr">
        <is>
          <t>Fatura - bruto JOAO VANDERLEI ROYER 81</t>
        </is>
      </c>
      <c r="L2827" s="5" t="inlineStr">
        <is>
          <t>08092026</t>
        </is>
      </c>
      <c r="M2827" s="5">
        <f>IF(YEAR(I2827)&lt;=2020,"Até 2020",TEXT(YEAR(I2827),"0"))</f>
        <v/>
      </c>
      <c r="N2827" s="5">
        <f>IFERROR(INDEX(DePara!$A:$A,MATCH(TEXT(B2827,"0"),DePara!$D:$D,0)),"(sem categoria)")</f>
        <v/>
      </c>
      <c r="O2827" s="5">
        <f>IF(J2827="","",Parametros!$B$6-J2827)</f>
        <v/>
      </c>
      <c r="P2827" s="5">
        <f>IF(O2827="","",IF(O2827&gt;0,1,0))</f>
        <v/>
      </c>
    </row>
    <row r="2828">
      <c r="A2828" s="5" t="n">
        <v>2111000000</v>
      </c>
      <c r="B2828" s="5" t="inlineStr">
        <is>
          <t>100883</t>
        </is>
      </c>
      <c r="C2828" s="5" t="inlineStr">
        <is>
          <t>QUELMAR TRANSPORTES LTDA</t>
        </is>
      </c>
      <c r="D2828" s="5" t="inlineStr">
        <is>
          <t>RE</t>
        </is>
      </c>
      <c r="E2828" s="5" t="n">
        <v>5015853</v>
      </c>
      <c r="F2828" s="5" t="inlineStr">
        <is>
          <t>108516-1</t>
        </is>
      </c>
      <c r="G2828" s="5" t="inlineStr">
        <is>
          <t>BRL</t>
        </is>
      </c>
      <c r="H2828" s="9" t="n">
        <v>-1748.78</v>
      </c>
      <c r="I2828" s="16" t="n">
        <v>46255</v>
      </c>
      <c r="J2828" s="16" t="n">
        <v>46300</v>
      </c>
      <c r="K2828" s="5" t="inlineStr">
        <is>
          <t>Fatura - bruto QUELMAR TRANSPORTES LTDA 108516-1</t>
        </is>
      </c>
      <c r="L2828" s="5" t="inlineStr">
        <is>
          <t>05102026</t>
        </is>
      </c>
      <c r="M2828" s="5">
        <f>IF(YEAR(I2828)&lt;=2020,"Até 2020",TEXT(YEAR(I2828),"0"))</f>
        <v/>
      </c>
      <c r="N2828" s="5">
        <f>IFERROR(INDEX(DePara!$A:$A,MATCH(TEXT(B2828,"0"),DePara!$D:$D,0)),"(sem categoria)")</f>
        <v/>
      </c>
      <c r="O2828" s="5">
        <f>IF(J2828="","",Parametros!$B$6-J2828)</f>
        <v/>
      </c>
      <c r="P2828" s="5">
        <f>IF(O2828="","",IF(O2828&gt;0,1,0))</f>
        <v/>
      </c>
    </row>
    <row r="2829">
      <c r="A2829" s="5" t="n">
        <v>2111000000</v>
      </c>
      <c r="B2829" s="5" t="inlineStr">
        <is>
          <t>100883</t>
        </is>
      </c>
      <c r="C2829" s="5" t="inlineStr">
        <is>
          <t>QUELMAR TRANSPORTES LTDA</t>
        </is>
      </c>
      <c r="D2829" s="5" t="inlineStr">
        <is>
          <t>RE</t>
        </is>
      </c>
      <c r="E2829" s="5" t="n">
        <v>5015854</v>
      </c>
      <c r="F2829" s="5" t="inlineStr">
        <is>
          <t>108518-1</t>
        </is>
      </c>
      <c r="G2829" s="5" t="inlineStr">
        <is>
          <t>BRL</t>
        </is>
      </c>
      <c r="H2829" s="9" t="n">
        <v>-1748.78</v>
      </c>
      <c r="I2829" s="16" t="n">
        <v>46255</v>
      </c>
      <c r="J2829" s="16" t="n">
        <v>46300</v>
      </c>
      <c r="K2829" s="5" t="inlineStr">
        <is>
          <t>Fatura - bruto QUELMAR TRANSPORTES LTDA 108518-1</t>
        </is>
      </c>
      <c r="L2829" s="5" t="inlineStr">
        <is>
          <t>05102026</t>
        </is>
      </c>
      <c r="M2829" s="5">
        <f>IF(YEAR(I2829)&lt;=2020,"Até 2020",TEXT(YEAR(I2829),"0"))</f>
        <v/>
      </c>
      <c r="N2829" s="5">
        <f>IFERROR(INDEX(DePara!$A:$A,MATCH(TEXT(B2829,"0"),DePara!$D:$D,0)),"(sem categoria)")</f>
        <v/>
      </c>
      <c r="O2829" s="5">
        <f>IF(J2829="","",Parametros!$B$6-J2829)</f>
        <v/>
      </c>
      <c r="P2829" s="5">
        <f>IF(O2829="","",IF(O2829&gt;0,1,0))</f>
        <v/>
      </c>
    </row>
    <row r="2830">
      <c r="A2830" s="5" t="n">
        <v>2111000000</v>
      </c>
      <c r="B2830" s="5" t="inlineStr">
        <is>
          <t>100883</t>
        </is>
      </c>
      <c r="C2830" s="5" t="inlineStr">
        <is>
          <t>QUELMAR TRANSPORTES LTDA</t>
        </is>
      </c>
      <c r="D2830" s="5" t="inlineStr">
        <is>
          <t>RE</t>
        </is>
      </c>
      <c r="E2830" s="5" t="n">
        <v>5015855</v>
      </c>
      <c r="F2830" s="5" t="inlineStr">
        <is>
          <t>108528-1</t>
        </is>
      </c>
      <c r="G2830" s="5" t="inlineStr">
        <is>
          <t>BRL</t>
        </is>
      </c>
      <c r="H2830" s="9" t="n">
        <v>-1748.78</v>
      </c>
      <c r="I2830" s="16" t="n">
        <v>46255</v>
      </c>
      <c r="J2830" s="16" t="n">
        <v>46300</v>
      </c>
      <c r="K2830" s="5" t="inlineStr">
        <is>
          <t>Fatura - bruto QUELMAR TRANSPORTES LTDA 108528-1</t>
        </is>
      </c>
      <c r="L2830" s="5" t="inlineStr">
        <is>
          <t>05102026</t>
        </is>
      </c>
      <c r="M2830" s="5">
        <f>IF(YEAR(I2830)&lt;=2020,"Até 2020",TEXT(YEAR(I2830),"0"))</f>
        <v/>
      </c>
      <c r="N2830" s="5">
        <f>IFERROR(INDEX(DePara!$A:$A,MATCH(TEXT(B2830,"0"),DePara!$D:$D,0)),"(sem categoria)")</f>
        <v/>
      </c>
      <c r="O2830" s="5">
        <f>IF(J2830="","",Parametros!$B$6-J2830)</f>
        <v/>
      </c>
      <c r="P2830" s="5">
        <f>IF(O2830="","",IF(O2830&gt;0,1,0))</f>
        <v/>
      </c>
    </row>
    <row r="2831">
      <c r="A2831" s="5" t="n">
        <v>2111000000</v>
      </c>
      <c r="B2831" s="5" t="inlineStr">
        <is>
          <t>100883</t>
        </is>
      </c>
      <c r="C2831" s="5" t="inlineStr">
        <is>
          <t>QUELMAR TRANSPORTES LTDA</t>
        </is>
      </c>
      <c r="D2831" s="5" t="inlineStr">
        <is>
          <t>RE</t>
        </is>
      </c>
      <c r="E2831" s="5" t="n">
        <v>5015856</v>
      </c>
      <c r="F2831" s="5" t="inlineStr">
        <is>
          <t>108531-1</t>
        </is>
      </c>
      <c r="G2831" s="5" t="inlineStr">
        <is>
          <t>BRL</t>
        </is>
      </c>
      <c r="H2831" s="9" t="n">
        <v>-1748.78</v>
      </c>
      <c r="I2831" s="16" t="n">
        <v>46255</v>
      </c>
      <c r="J2831" s="16" t="n">
        <v>46300</v>
      </c>
      <c r="K2831" s="5" t="inlineStr">
        <is>
          <t>Fatura - bruto QUELMAR TRANSPORTES LTDA 108531-1</t>
        </is>
      </c>
      <c r="L2831" s="5" t="inlineStr">
        <is>
          <t>05102026</t>
        </is>
      </c>
      <c r="M2831" s="5">
        <f>IF(YEAR(I2831)&lt;=2020,"Até 2020",TEXT(YEAR(I2831),"0"))</f>
        <v/>
      </c>
      <c r="N2831" s="5">
        <f>IFERROR(INDEX(DePara!$A:$A,MATCH(TEXT(B2831,"0"),DePara!$D:$D,0)),"(sem categoria)")</f>
        <v/>
      </c>
      <c r="O2831" s="5">
        <f>IF(J2831="","",Parametros!$B$6-J2831)</f>
        <v/>
      </c>
      <c r="P2831" s="5">
        <f>IF(O2831="","",IF(O2831&gt;0,1,0))</f>
        <v/>
      </c>
    </row>
    <row r="2832">
      <c r="A2832" s="5" t="n">
        <v>2111000000</v>
      </c>
      <c r="B2832" s="5" t="inlineStr">
        <is>
          <t>100883</t>
        </is>
      </c>
      <c r="C2832" s="5" t="inlineStr">
        <is>
          <t>QUELMAR TRANSPORTES LTDA</t>
        </is>
      </c>
      <c r="D2832" s="5" t="inlineStr">
        <is>
          <t>RE</t>
        </is>
      </c>
      <c r="E2832" s="5" t="n">
        <v>5015857</v>
      </c>
      <c r="F2832" s="5" t="inlineStr">
        <is>
          <t>108533-1</t>
        </is>
      </c>
      <c r="G2832" s="5" t="inlineStr">
        <is>
          <t>BRL</t>
        </is>
      </c>
      <c r="H2832" s="9" t="n">
        <v>-1748.78</v>
      </c>
      <c r="I2832" s="16" t="n">
        <v>46255</v>
      </c>
      <c r="J2832" s="16" t="n">
        <v>46300</v>
      </c>
      <c r="K2832" s="5" t="inlineStr">
        <is>
          <t>Fatura - bruto QUELMAR TRANSPORTES LTDA 108533-1</t>
        </is>
      </c>
      <c r="L2832" s="5" t="inlineStr">
        <is>
          <t>05102026</t>
        </is>
      </c>
      <c r="M2832" s="5">
        <f>IF(YEAR(I2832)&lt;=2020,"Até 2020",TEXT(YEAR(I2832),"0"))</f>
        <v/>
      </c>
      <c r="N2832" s="5">
        <f>IFERROR(INDEX(DePara!$A:$A,MATCH(TEXT(B2832,"0"),DePara!$D:$D,0)),"(sem categoria)")</f>
        <v/>
      </c>
      <c r="O2832" s="5">
        <f>IF(J2832="","",Parametros!$B$6-J2832)</f>
        <v/>
      </c>
      <c r="P2832" s="5">
        <f>IF(O2832="","",IF(O2832&gt;0,1,0))</f>
        <v/>
      </c>
    </row>
    <row r="2833">
      <c r="A2833" s="5" t="n">
        <v>2111000000</v>
      </c>
      <c r="B2833" s="5" t="inlineStr">
        <is>
          <t>100883</t>
        </is>
      </c>
      <c r="C2833" s="5" t="inlineStr">
        <is>
          <t>QUELMAR TRANSPORTES LTDA</t>
        </is>
      </c>
      <c r="D2833" s="5" t="inlineStr">
        <is>
          <t>RE</t>
        </is>
      </c>
      <c r="E2833" s="5" t="n">
        <v>5015858</v>
      </c>
      <c r="F2833" s="5" t="inlineStr">
        <is>
          <t>108535-1</t>
        </is>
      </c>
      <c r="G2833" s="5" t="inlineStr">
        <is>
          <t>BRL</t>
        </is>
      </c>
      <c r="H2833" s="9" t="n">
        <v>-1748.78</v>
      </c>
      <c r="I2833" s="16" t="n">
        <v>46255</v>
      </c>
      <c r="J2833" s="16" t="n">
        <v>46300</v>
      </c>
      <c r="K2833" s="5" t="inlineStr">
        <is>
          <t>Fatura - bruto QUELMAR TRANSPORTES LTDA 108535-1</t>
        </is>
      </c>
      <c r="L2833" s="5" t="inlineStr">
        <is>
          <t>05102026</t>
        </is>
      </c>
      <c r="M2833" s="5">
        <f>IF(YEAR(I2833)&lt;=2020,"Até 2020",TEXT(YEAR(I2833),"0"))</f>
        <v/>
      </c>
      <c r="N2833" s="5">
        <f>IFERROR(INDEX(DePara!$A:$A,MATCH(TEXT(B2833,"0"),DePara!$D:$D,0)),"(sem categoria)")</f>
        <v/>
      </c>
      <c r="O2833" s="5">
        <f>IF(J2833="","",Parametros!$B$6-J2833)</f>
        <v/>
      </c>
      <c r="P2833" s="5">
        <f>IF(O2833="","",IF(O2833&gt;0,1,0))</f>
        <v/>
      </c>
    </row>
    <row r="2834">
      <c r="A2834" s="5" t="n">
        <v>2111000000</v>
      </c>
      <c r="B2834" s="5" t="inlineStr">
        <is>
          <t>100883</t>
        </is>
      </c>
      <c r="C2834" s="5" t="inlineStr">
        <is>
          <t>QUELMAR TRANSPORTES LTDA</t>
        </is>
      </c>
      <c r="D2834" s="5" t="inlineStr">
        <is>
          <t>RE</t>
        </is>
      </c>
      <c r="E2834" s="5" t="n">
        <v>5015859</v>
      </c>
      <c r="F2834" s="5" t="inlineStr">
        <is>
          <t>108539-1</t>
        </is>
      </c>
      <c r="G2834" s="5" t="inlineStr">
        <is>
          <t>BRL</t>
        </is>
      </c>
      <c r="H2834" s="9" t="n">
        <v>-3498.02</v>
      </c>
      <c r="I2834" s="16" t="n">
        <v>46255</v>
      </c>
      <c r="J2834" s="16" t="n">
        <v>46300</v>
      </c>
      <c r="K2834" s="5" t="inlineStr">
        <is>
          <t>Fatura - bruto QUELMAR TRANSPORTES LTDA 108539-1</t>
        </is>
      </c>
      <c r="L2834" s="5" t="inlineStr">
        <is>
          <t>05102026</t>
        </is>
      </c>
      <c r="M2834" s="5">
        <f>IF(YEAR(I2834)&lt;=2020,"Até 2020",TEXT(YEAR(I2834),"0"))</f>
        <v/>
      </c>
      <c r="N2834" s="5">
        <f>IFERROR(INDEX(DePara!$A:$A,MATCH(TEXT(B2834,"0"),DePara!$D:$D,0)),"(sem categoria)")</f>
        <v/>
      </c>
      <c r="O2834" s="5">
        <f>IF(J2834="","",Parametros!$B$6-J2834)</f>
        <v/>
      </c>
      <c r="P2834" s="5">
        <f>IF(O2834="","",IF(O2834&gt;0,1,0))</f>
        <v/>
      </c>
    </row>
    <row r="2835">
      <c r="A2835" s="5" t="n">
        <v>2111000000</v>
      </c>
      <c r="B2835" s="5" t="inlineStr">
        <is>
          <t>100883</t>
        </is>
      </c>
      <c r="C2835" s="5" t="inlineStr">
        <is>
          <t>QUELMAR TRANSPORTES LTDA</t>
        </is>
      </c>
      <c r="D2835" s="5" t="inlineStr">
        <is>
          <t>RE</t>
        </is>
      </c>
      <c r="E2835" s="5" t="n">
        <v>5015860</v>
      </c>
      <c r="F2835" s="5" t="inlineStr">
        <is>
          <t>108541-1</t>
        </is>
      </c>
      <c r="G2835" s="5" t="inlineStr">
        <is>
          <t>BRL</t>
        </is>
      </c>
      <c r="H2835" s="9" t="n">
        <v>-1748.78</v>
      </c>
      <c r="I2835" s="16" t="n">
        <v>46255</v>
      </c>
      <c r="J2835" s="16" t="n">
        <v>46300</v>
      </c>
      <c r="K2835" s="5" t="inlineStr">
        <is>
          <t>Fatura - bruto QUELMAR TRANSPORTES LTDA 108541-1</t>
        </is>
      </c>
      <c r="L2835" s="5" t="inlineStr">
        <is>
          <t>05102026</t>
        </is>
      </c>
      <c r="M2835" s="5">
        <f>IF(YEAR(I2835)&lt;=2020,"Até 2020",TEXT(YEAR(I2835),"0"))</f>
        <v/>
      </c>
      <c r="N2835" s="5">
        <f>IFERROR(INDEX(DePara!$A:$A,MATCH(TEXT(B2835,"0"),DePara!$D:$D,0)),"(sem categoria)")</f>
        <v/>
      </c>
      <c r="O2835" s="5">
        <f>IF(J2835="","",Parametros!$B$6-J2835)</f>
        <v/>
      </c>
      <c r="P2835" s="5">
        <f>IF(O2835="","",IF(O2835&gt;0,1,0))</f>
        <v/>
      </c>
    </row>
    <row r="2836">
      <c r="A2836" s="5" t="n">
        <v>2111000000</v>
      </c>
      <c r="B2836" s="5" t="inlineStr">
        <is>
          <t>100883</t>
        </is>
      </c>
      <c r="C2836" s="5" t="inlineStr">
        <is>
          <t>QUELMAR TRANSPORTES LTDA</t>
        </is>
      </c>
      <c r="D2836" s="5" t="inlineStr">
        <is>
          <t>RE</t>
        </is>
      </c>
      <c r="E2836" s="5" t="n">
        <v>5015861</v>
      </c>
      <c r="F2836" s="5" t="inlineStr">
        <is>
          <t>108551-1</t>
        </is>
      </c>
      <c r="G2836" s="5" t="inlineStr">
        <is>
          <t>BRL</t>
        </is>
      </c>
      <c r="H2836" s="9" t="n">
        <v>-3970</v>
      </c>
      <c r="I2836" s="16" t="n">
        <v>46255</v>
      </c>
      <c r="J2836" s="16" t="n">
        <v>46300</v>
      </c>
      <c r="K2836" s="5" t="inlineStr">
        <is>
          <t>Fatura - bruto QUELMAR TRANSPORTES LTDA 108551-1</t>
        </is>
      </c>
      <c r="L2836" s="5" t="inlineStr">
        <is>
          <t>05102026</t>
        </is>
      </c>
      <c r="M2836" s="5">
        <f>IF(YEAR(I2836)&lt;=2020,"Até 2020",TEXT(YEAR(I2836),"0"))</f>
        <v/>
      </c>
      <c r="N2836" s="5">
        <f>IFERROR(INDEX(DePara!$A:$A,MATCH(TEXT(B2836,"0"),DePara!$D:$D,0)),"(sem categoria)")</f>
        <v/>
      </c>
      <c r="O2836" s="5">
        <f>IF(J2836="","",Parametros!$B$6-J2836)</f>
        <v/>
      </c>
      <c r="P2836" s="5">
        <f>IF(O2836="","",IF(O2836&gt;0,1,0))</f>
        <v/>
      </c>
    </row>
    <row r="2837">
      <c r="A2837" s="5" t="n">
        <v>2111000000</v>
      </c>
      <c r="B2837" s="5" t="inlineStr">
        <is>
          <t>101463</t>
        </is>
      </c>
      <c r="C2837" s="5" t="inlineStr">
        <is>
          <t>ZURICH MINAS BRASIL SEGUROS S A</t>
        </is>
      </c>
      <c r="D2837" s="5" t="inlineStr">
        <is>
          <t>RE</t>
        </is>
      </c>
      <c r="E2837" s="5" t="n">
        <v>5015863</v>
      </c>
      <c r="F2837" s="5" t="inlineStr">
        <is>
          <t>0306/26</t>
        </is>
      </c>
      <c r="G2837" s="5" t="inlineStr">
        <is>
          <t>BRL</t>
        </is>
      </c>
      <c r="H2837" s="9" t="n">
        <v>-510.86</v>
      </c>
      <c r="I2837" s="16" t="n">
        <v>46259</v>
      </c>
      <c r="J2837" s="16" t="n">
        <v>46289</v>
      </c>
      <c r="K2837" s="5" t="inlineStr">
        <is>
          <t>Invoice Payment. SP: 21986</t>
        </is>
      </c>
      <c r="L2837" s="5" t="inlineStr">
        <is>
          <t>0306/26</t>
        </is>
      </c>
      <c r="M2837" s="5">
        <f>IF(YEAR(I2837)&lt;=2020,"Até 2020",TEXT(YEAR(I2837),"0"))</f>
        <v/>
      </c>
      <c r="N2837" s="5">
        <f>IFERROR(INDEX(DePara!$A:$A,MATCH(TEXT(B2837,"0"),DePara!$D:$D,0)),"(sem categoria)")</f>
        <v/>
      </c>
      <c r="O2837" s="5">
        <f>IF(J2837="","",Parametros!$B$6-J2837)</f>
        <v/>
      </c>
      <c r="P2837" s="5">
        <f>IF(O2837="","",IF(O2837&gt;0,1,0))</f>
        <v/>
      </c>
    </row>
    <row r="2838">
      <c r="A2838" s="5" t="n">
        <v>2111000000</v>
      </c>
      <c r="B2838" s="5" t="inlineStr">
        <is>
          <t>101463</t>
        </is>
      </c>
      <c r="C2838" s="5" t="inlineStr">
        <is>
          <t>ZURICH MINAS BRASIL SEGUROS S A</t>
        </is>
      </c>
      <c r="D2838" s="5" t="inlineStr">
        <is>
          <t>RE</t>
        </is>
      </c>
      <c r="E2838" s="5" t="n">
        <v>5015866</v>
      </c>
      <c r="F2838" s="5" t="inlineStr">
        <is>
          <t>0512/26</t>
        </is>
      </c>
      <c r="G2838" s="5" t="inlineStr">
        <is>
          <t>BRL</t>
        </is>
      </c>
      <c r="H2838" s="9" t="n">
        <v>-58.08</v>
      </c>
      <c r="I2838" s="16" t="n">
        <v>46259</v>
      </c>
      <c r="J2838" s="16" t="n">
        <v>46289</v>
      </c>
      <c r="K2838" s="5" t="inlineStr">
        <is>
          <t>Invoice Payment. SP: 21989</t>
        </is>
      </c>
      <c r="L2838" s="5" t="inlineStr">
        <is>
          <t>0512/26</t>
        </is>
      </c>
      <c r="M2838" s="5">
        <f>IF(YEAR(I2838)&lt;=2020,"Até 2020",TEXT(YEAR(I2838),"0"))</f>
        <v/>
      </c>
      <c r="N2838" s="5">
        <f>IFERROR(INDEX(DePara!$A:$A,MATCH(TEXT(B2838,"0"),DePara!$D:$D,0)),"(sem categoria)")</f>
        <v/>
      </c>
      <c r="O2838" s="5">
        <f>IF(J2838="","",Parametros!$B$6-J2838)</f>
        <v/>
      </c>
      <c r="P2838" s="5">
        <f>IF(O2838="","",IF(O2838&gt;0,1,0))</f>
        <v/>
      </c>
    </row>
    <row r="2839">
      <c r="A2839" s="5" t="n">
        <v>2111000000</v>
      </c>
      <c r="B2839" s="5" t="inlineStr">
        <is>
          <t>101463</t>
        </is>
      </c>
      <c r="C2839" s="5" t="inlineStr">
        <is>
          <t>ZURICH MINAS BRASIL SEGUROS S A</t>
        </is>
      </c>
      <c r="D2839" s="5" t="inlineStr">
        <is>
          <t>RE</t>
        </is>
      </c>
      <c r="E2839" s="5" t="n">
        <v>5015868</v>
      </c>
      <c r="F2839" s="5" t="inlineStr">
        <is>
          <t>0513/26</t>
        </is>
      </c>
      <c r="G2839" s="5" t="inlineStr">
        <is>
          <t>BRL</t>
        </is>
      </c>
      <c r="H2839" s="9" t="n">
        <v>-730.62</v>
      </c>
      <c r="I2839" s="16" t="n">
        <v>46259</v>
      </c>
      <c r="J2839" s="16" t="n">
        <v>46289</v>
      </c>
      <c r="K2839" s="5" t="inlineStr">
        <is>
          <t>Invoice Payment. SP: 21991</t>
        </is>
      </c>
      <c r="L2839" s="5" t="inlineStr">
        <is>
          <t>0513/26</t>
        </is>
      </c>
      <c r="M2839" s="5">
        <f>IF(YEAR(I2839)&lt;=2020,"Até 2020",TEXT(YEAR(I2839),"0"))</f>
        <v/>
      </c>
      <c r="N2839" s="5">
        <f>IFERROR(INDEX(DePara!$A:$A,MATCH(TEXT(B2839,"0"),DePara!$D:$D,0)),"(sem categoria)")</f>
        <v/>
      </c>
      <c r="O2839" s="5">
        <f>IF(J2839="","",Parametros!$B$6-J2839)</f>
        <v/>
      </c>
      <c r="P2839" s="5">
        <f>IF(O2839="","",IF(O2839&gt;0,1,0))</f>
        <v/>
      </c>
    </row>
    <row r="2840">
      <c r="A2840" s="5" t="n">
        <v>2111000000</v>
      </c>
      <c r="B2840" s="5" t="inlineStr">
        <is>
          <t>101463</t>
        </is>
      </c>
      <c r="C2840" s="5" t="inlineStr">
        <is>
          <t>ZURICH MINAS BRASIL SEGUROS S A</t>
        </is>
      </c>
      <c r="D2840" s="5" t="inlineStr">
        <is>
          <t>RE</t>
        </is>
      </c>
      <c r="E2840" s="5" t="n">
        <v>5015871</v>
      </c>
      <c r="F2840" s="5" t="inlineStr">
        <is>
          <t>0514/26</t>
        </is>
      </c>
      <c r="G2840" s="5" t="inlineStr">
        <is>
          <t>BRL</t>
        </is>
      </c>
      <c r="H2840" s="9" t="n">
        <v>-142.64</v>
      </c>
      <c r="I2840" s="16" t="n">
        <v>46259</v>
      </c>
      <c r="J2840" s="16" t="n">
        <v>46289</v>
      </c>
      <c r="K2840" s="5" t="inlineStr">
        <is>
          <t>Invoice Payment. SP: 21993</t>
        </is>
      </c>
      <c r="L2840" s="5" t="inlineStr">
        <is>
          <t>0514/26</t>
        </is>
      </c>
      <c r="M2840" s="5">
        <f>IF(YEAR(I2840)&lt;=2020,"Até 2020",TEXT(YEAR(I2840),"0"))</f>
        <v/>
      </c>
      <c r="N2840" s="5">
        <f>IFERROR(INDEX(DePara!$A:$A,MATCH(TEXT(B2840,"0"),DePara!$D:$D,0)),"(sem categoria)")</f>
        <v/>
      </c>
      <c r="O2840" s="5">
        <f>IF(J2840="","",Parametros!$B$6-J2840)</f>
        <v/>
      </c>
      <c r="P2840" s="5">
        <f>IF(O2840="","",IF(O2840&gt;0,1,0))</f>
        <v/>
      </c>
    </row>
    <row r="2841">
      <c r="A2841" s="5" t="n">
        <v>2111000000</v>
      </c>
      <c r="B2841" s="5" t="inlineStr">
        <is>
          <t>101463</t>
        </is>
      </c>
      <c r="C2841" s="5" t="inlineStr">
        <is>
          <t>ZURICH MINAS BRASIL SEGUROS S A</t>
        </is>
      </c>
      <c r="D2841" s="5" t="inlineStr">
        <is>
          <t>RE</t>
        </is>
      </c>
      <c r="E2841" s="5" t="n">
        <v>5015873</v>
      </c>
      <c r="F2841" s="5" t="inlineStr">
        <is>
          <t>0449/26</t>
        </is>
      </c>
      <c r="G2841" s="5" t="inlineStr">
        <is>
          <t>BRL</t>
        </is>
      </c>
      <c r="H2841" s="9" t="n">
        <v>-9.23</v>
      </c>
      <c r="I2841" s="16" t="n">
        <v>46259</v>
      </c>
      <c r="J2841" s="16" t="n">
        <v>46289</v>
      </c>
      <c r="K2841" s="5" t="inlineStr">
        <is>
          <t>Invoice Payment. SP: 21995</t>
        </is>
      </c>
      <c r="L2841" s="5" t="inlineStr">
        <is>
          <t>0449/26</t>
        </is>
      </c>
      <c r="M2841" s="5">
        <f>IF(YEAR(I2841)&lt;=2020,"Até 2020",TEXT(YEAR(I2841),"0"))</f>
        <v/>
      </c>
      <c r="N2841" s="5">
        <f>IFERROR(INDEX(DePara!$A:$A,MATCH(TEXT(B2841,"0"),DePara!$D:$D,0)),"(sem categoria)")</f>
        <v/>
      </c>
      <c r="O2841" s="5">
        <f>IF(J2841="","",Parametros!$B$6-J2841)</f>
        <v/>
      </c>
      <c r="P2841" s="5">
        <f>IF(O2841="","",IF(O2841&gt;0,1,0))</f>
        <v/>
      </c>
    </row>
    <row r="2842">
      <c r="A2842" s="5" t="n">
        <v>2111000000</v>
      </c>
      <c r="B2842" s="5" t="inlineStr">
        <is>
          <t>101463</t>
        </is>
      </c>
      <c r="C2842" s="5" t="inlineStr">
        <is>
          <t>ZURICH MINAS BRASIL SEGUROS S A</t>
        </is>
      </c>
      <c r="D2842" s="5" t="inlineStr">
        <is>
          <t>RE</t>
        </is>
      </c>
      <c r="E2842" s="5" t="n">
        <v>5015875</v>
      </c>
      <c r="F2842" s="5" t="inlineStr">
        <is>
          <t>0451/26</t>
        </is>
      </c>
      <c r="G2842" s="5" t="inlineStr">
        <is>
          <t>BRL</t>
        </is>
      </c>
      <c r="H2842" s="9" t="n">
        <v>-10342.2</v>
      </c>
      <c r="I2842" s="16" t="n">
        <v>46259</v>
      </c>
      <c r="J2842" s="16" t="n">
        <v>46289</v>
      </c>
      <c r="K2842" s="5" t="inlineStr">
        <is>
          <t>Invoice Payment. SP: 21997</t>
        </is>
      </c>
      <c r="L2842" s="5" t="inlineStr">
        <is>
          <t>0451/26</t>
        </is>
      </c>
      <c r="M2842" s="5">
        <f>IF(YEAR(I2842)&lt;=2020,"Até 2020",TEXT(YEAR(I2842),"0"))</f>
        <v/>
      </c>
      <c r="N2842" s="5">
        <f>IFERROR(INDEX(DePara!$A:$A,MATCH(TEXT(B2842,"0"),DePara!$D:$D,0)),"(sem categoria)")</f>
        <v/>
      </c>
      <c r="O2842" s="5">
        <f>IF(J2842="","",Parametros!$B$6-J2842)</f>
        <v/>
      </c>
      <c r="P2842" s="5">
        <f>IF(O2842="","",IF(O2842&gt;0,1,0))</f>
        <v/>
      </c>
    </row>
    <row r="2843">
      <c r="A2843" s="5" t="n">
        <v>2111000000</v>
      </c>
      <c r="B2843" s="5" t="inlineStr">
        <is>
          <t>101463</t>
        </is>
      </c>
      <c r="C2843" s="5" t="inlineStr">
        <is>
          <t>ZURICH MINAS BRASIL SEGUROS S A</t>
        </is>
      </c>
      <c r="D2843" s="5" t="inlineStr">
        <is>
          <t>RE</t>
        </is>
      </c>
      <c r="E2843" s="5" t="n">
        <v>5015877</v>
      </c>
      <c r="F2843" s="5" t="inlineStr">
        <is>
          <t>0516/26</t>
        </is>
      </c>
      <c r="G2843" s="5" t="inlineStr">
        <is>
          <t>BRL</t>
        </is>
      </c>
      <c r="H2843" s="9" t="n">
        <v>-242.21</v>
      </c>
      <c r="I2843" s="16" t="n">
        <v>46259</v>
      </c>
      <c r="J2843" s="16" t="n">
        <v>46289</v>
      </c>
      <c r="K2843" s="5" t="inlineStr">
        <is>
          <t>Invoice Payment. SP: 21999</t>
        </is>
      </c>
      <c r="L2843" s="5" t="inlineStr">
        <is>
          <t>0516/26</t>
        </is>
      </c>
      <c r="M2843" s="5">
        <f>IF(YEAR(I2843)&lt;=2020,"Até 2020",TEXT(YEAR(I2843),"0"))</f>
        <v/>
      </c>
      <c r="N2843" s="5">
        <f>IFERROR(INDEX(DePara!$A:$A,MATCH(TEXT(B2843,"0"),DePara!$D:$D,0)),"(sem categoria)")</f>
        <v/>
      </c>
      <c r="O2843" s="5">
        <f>IF(J2843="","",Parametros!$B$6-J2843)</f>
        <v/>
      </c>
      <c r="P2843" s="5">
        <f>IF(O2843="","",IF(O2843&gt;0,1,0))</f>
        <v/>
      </c>
    </row>
    <row r="2844">
      <c r="A2844" s="5" t="n">
        <v>2111000000</v>
      </c>
      <c r="B2844" s="5" t="inlineStr">
        <is>
          <t>101008</t>
        </is>
      </c>
      <c r="C2844" s="5" t="inlineStr">
        <is>
          <t>OXIGENIO IRECE LTDA</t>
        </is>
      </c>
      <c r="D2844" s="5" t="inlineStr">
        <is>
          <t>RE</t>
        </is>
      </c>
      <c r="E2844" s="5" t="n">
        <v>5015879</v>
      </c>
      <c r="F2844" s="5" t="inlineStr">
        <is>
          <t>368</t>
        </is>
      </c>
      <c r="G2844" s="5" t="inlineStr">
        <is>
          <t>BRL</t>
        </is>
      </c>
      <c r="H2844" s="9" t="n">
        <v>-600</v>
      </c>
      <c r="I2844" s="16" t="n">
        <v>46175</v>
      </c>
      <c r="J2844" s="16" t="n">
        <v>46239</v>
      </c>
      <c r="K2844" s="5" t="inlineStr">
        <is>
          <t>Fatura - bruto OXIGENIO IRECE LTDA 368</t>
        </is>
      </c>
      <c r="L2844" s="5" t="inlineStr">
        <is>
          <t>02092026</t>
        </is>
      </c>
      <c r="M2844" s="5">
        <f>IF(YEAR(I2844)&lt;=2020,"Até 2020",TEXT(YEAR(I2844),"0"))</f>
        <v/>
      </c>
      <c r="N2844" s="5">
        <f>IFERROR(INDEX(DePara!$A:$A,MATCH(TEXT(B2844,"0"),DePara!$D:$D,0)),"(sem categoria)")</f>
        <v/>
      </c>
      <c r="O2844" s="5">
        <f>IF(J2844="","",Parametros!$B$6-J2844)</f>
        <v/>
      </c>
      <c r="P2844" s="5">
        <f>IF(O2844="","",IF(O2844&gt;0,1,0))</f>
        <v/>
      </c>
    </row>
    <row r="2845">
      <c r="A2845" s="5" t="n">
        <v>2111000000</v>
      </c>
      <c r="B2845" s="5" t="inlineStr">
        <is>
          <t>101008</t>
        </is>
      </c>
      <c r="C2845" s="5" t="inlineStr">
        <is>
          <t>OXIGENIO IRECE LTDA</t>
        </is>
      </c>
      <c r="D2845" s="5" t="inlineStr">
        <is>
          <t>RE</t>
        </is>
      </c>
      <c r="E2845" s="5" t="n">
        <v>5015880</v>
      </c>
      <c r="F2845" s="5" t="inlineStr">
        <is>
          <t>378</t>
        </is>
      </c>
      <c r="G2845" s="5" t="inlineStr">
        <is>
          <t>BRL</t>
        </is>
      </c>
      <c r="H2845" s="9" t="n">
        <v>-600</v>
      </c>
      <c r="I2845" s="16" t="n">
        <v>46207</v>
      </c>
      <c r="J2845" s="16" t="n">
        <v>46270</v>
      </c>
      <c r="K2845" s="5" t="inlineStr">
        <is>
          <t>Fatura - bruto OXIGENIO IRECE LTDA 378</t>
        </is>
      </c>
      <c r="L2845" s="5" t="inlineStr">
        <is>
          <t>08092026</t>
        </is>
      </c>
      <c r="M2845" s="5">
        <f>IF(YEAR(I2845)&lt;=2020,"Até 2020",TEXT(YEAR(I2845),"0"))</f>
        <v/>
      </c>
      <c r="N2845" s="5">
        <f>IFERROR(INDEX(DePara!$A:$A,MATCH(TEXT(B2845,"0"),DePara!$D:$D,0)),"(sem categoria)")</f>
        <v/>
      </c>
      <c r="O2845" s="5">
        <f>IF(J2845="","",Parametros!$B$6-J2845)</f>
        <v/>
      </c>
      <c r="P2845" s="5">
        <f>IF(O2845="","",IF(O2845&gt;0,1,0))</f>
        <v/>
      </c>
    </row>
    <row r="2846">
      <c r="A2846" s="5" t="n">
        <v>2111000000</v>
      </c>
      <c r="B2846" s="5" t="inlineStr">
        <is>
          <t>101897</t>
        </is>
      </c>
      <c r="C2846" s="5" t="inlineStr">
        <is>
          <t>KL LOCACOES E SOLUCOES AMBIENTAIS L KL CONSTRUCOES E SERVICOS IMOBILIAR</t>
        </is>
      </c>
      <c r="D2846" s="5" t="inlineStr">
        <is>
          <t>RE</t>
        </is>
      </c>
      <c r="E2846" s="5" t="n">
        <v>5015881</v>
      </c>
      <c r="F2846" s="5" t="inlineStr">
        <is>
          <t>2541</t>
        </is>
      </c>
      <c r="G2846" s="5" t="inlineStr">
        <is>
          <t>BRL</t>
        </is>
      </c>
      <c r="H2846" s="9" t="n">
        <v>-58282.5</v>
      </c>
      <c r="I2846" s="16" t="n">
        <v>46204</v>
      </c>
      <c r="J2846" s="16" t="n">
        <v>46239</v>
      </c>
      <c r="K2846" s="5" t="inlineStr">
        <is>
          <t>Fatura - bruto KL LOCACOES E SOLUCOES AMBIENTAIS L</t>
        </is>
      </c>
      <c r="L2846" s="5" t="inlineStr">
        <is>
          <t>02092026</t>
        </is>
      </c>
      <c r="M2846" s="5">
        <f>IF(YEAR(I2846)&lt;=2020,"Até 2020",TEXT(YEAR(I2846),"0"))</f>
        <v/>
      </c>
      <c r="N2846" s="5">
        <f>IFERROR(INDEX(DePara!$A:$A,MATCH(TEXT(B2846,"0"),DePara!$D:$D,0)),"(sem categoria)")</f>
        <v/>
      </c>
      <c r="O2846" s="5">
        <f>IF(J2846="","",Parametros!$B$6-J2846)</f>
        <v/>
      </c>
      <c r="P2846" s="5">
        <f>IF(O2846="","",IF(O2846&gt;0,1,0))</f>
        <v/>
      </c>
    </row>
    <row r="2847">
      <c r="A2847" s="5" t="n">
        <v>2111000000</v>
      </c>
      <c r="B2847" s="5" t="inlineStr">
        <is>
          <t>100883</t>
        </is>
      </c>
      <c r="C2847" s="5" t="inlineStr">
        <is>
          <t>QUELMAR TRANSPORTES LTDA</t>
        </is>
      </c>
      <c r="D2847" s="5" t="inlineStr">
        <is>
          <t>RE</t>
        </is>
      </c>
      <c r="E2847" s="5" t="n">
        <v>5015882</v>
      </c>
      <c r="F2847" s="5" t="inlineStr">
        <is>
          <t>6005-2</t>
        </is>
      </c>
      <c r="G2847" s="5" t="inlineStr">
        <is>
          <t>BRL</t>
        </is>
      </c>
      <c r="H2847" s="9" t="n">
        <v>-9680</v>
      </c>
      <c r="I2847" s="16" t="n">
        <v>46171</v>
      </c>
      <c r="J2847" s="16" t="n">
        <v>46208</v>
      </c>
      <c r="K2847" s="5" t="inlineStr">
        <is>
          <t>Fatura - bruto QUELMAR TRANSPORTES LTDA 6005-2</t>
        </is>
      </c>
      <c r="L2847" s="5" t="inlineStr">
        <is>
          <t>02092026</t>
        </is>
      </c>
      <c r="M2847" s="5">
        <f>IF(YEAR(I2847)&lt;=2020,"Até 2020",TEXT(YEAR(I2847),"0"))</f>
        <v/>
      </c>
      <c r="N2847" s="5">
        <f>IFERROR(INDEX(DePara!$A:$A,MATCH(TEXT(B2847,"0"),DePara!$D:$D,0)),"(sem categoria)")</f>
        <v/>
      </c>
      <c r="O2847" s="5">
        <f>IF(J2847="","",Parametros!$B$6-J2847)</f>
        <v/>
      </c>
      <c r="P2847" s="5">
        <f>IF(O2847="","",IF(O2847&gt;0,1,0))</f>
        <v/>
      </c>
    </row>
    <row r="2848">
      <c r="A2848" s="5" t="n">
        <v>2111000000</v>
      </c>
      <c r="B2848" s="5" t="inlineStr">
        <is>
          <t>100883</t>
        </is>
      </c>
      <c r="C2848" s="5" t="inlineStr">
        <is>
          <t>QUELMAR TRANSPORTES LTDA</t>
        </is>
      </c>
      <c r="D2848" s="5" t="inlineStr">
        <is>
          <t>RE</t>
        </is>
      </c>
      <c r="E2848" s="5" t="n">
        <v>5015883</v>
      </c>
      <c r="F2848" s="5" t="inlineStr">
        <is>
          <t>6004-2</t>
        </is>
      </c>
      <c r="G2848" s="5" t="inlineStr">
        <is>
          <t>BRL</t>
        </is>
      </c>
      <c r="H2848" s="9" t="n">
        <v>-9720</v>
      </c>
      <c r="I2848" s="16" t="n">
        <v>46171</v>
      </c>
      <c r="J2848" s="16" t="n">
        <v>46208</v>
      </c>
      <c r="K2848" s="5" t="inlineStr">
        <is>
          <t>Fatura - bruto QUELMAR TRANSPORTES LTDA 6004-2</t>
        </is>
      </c>
      <c r="L2848" s="5" t="inlineStr">
        <is>
          <t>02092026</t>
        </is>
      </c>
      <c r="M2848" s="5">
        <f>IF(YEAR(I2848)&lt;=2020,"Até 2020",TEXT(YEAR(I2848),"0"))</f>
        <v/>
      </c>
      <c r="N2848" s="5">
        <f>IFERROR(INDEX(DePara!$A:$A,MATCH(TEXT(B2848,"0"),DePara!$D:$D,0)),"(sem categoria)")</f>
        <v/>
      </c>
      <c r="O2848" s="5">
        <f>IF(J2848="","",Parametros!$B$6-J2848)</f>
        <v/>
      </c>
      <c r="P2848" s="5">
        <f>IF(O2848="","",IF(O2848&gt;0,1,0))</f>
        <v/>
      </c>
    </row>
    <row r="2849">
      <c r="A2849" s="5" t="n">
        <v>2111000000</v>
      </c>
      <c r="B2849" s="5" t="inlineStr">
        <is>
          <t>100883</t>
        </is>
      </c>
      <c r="C2849" s="5" t="inlineStr">
        <is>
          <t>QUELMAR TRANSPORTES LTDA</t>
        </is>
      </c>
      <c r="D2849" s="5" t="inlineStr">
        <is>
          <t>RE</t>
        </is>
      </c>
      <c r="E2849" s="5" t="n">
        <v>5015884</v>
      </c>
      <c r="F2849" s="5" t="inlineStr">
        <is>
          <t>6319-2</t>
        </is>
      </c>
      <c r="G2849" s="5" t="inlineStr">
        <is>
          <t>BRL</t>
        </is>
      </c>
      <c r="H2849" s="9" t="n">
        <v>-12348</v>
      </c>
      <c r="I2849" s="16" t="n">
        <v>46232</v>
      </c>
      <c r="J2849" s="16" t="n">
        <v>46270</v>
      </c>
      <c r="K2849" s="5" t="inlineStr">
        <is>
          <t>Fatura - bruto QUELMAR TRANSPORTES LTDA 6319-2</t>
        </is>
      </c>
      <c r="L2849" s="5" t="inlineStr">
        <is>
          <t>08092026</t>
        </is>
      </c>
      <c r="M2849" s="5">
        <f>IF(YEAR(I2849)&lt;=2020,"Até 2020",TEXT(YEAR(I2849),"0"))</f>
        <v/>
      </c>
      <c r="N2849" s="5">
        <f>IFERROR(INDEX(DePara!$A:$A,MATCH(TEXT(B2849,"0"),DePara!$D:$D,0)),"(sem categoria)")</f>
        <v/>
      </c>
      <c r="O2849" s="5">
        <f>IF(J2849="","",Parametros!$B$6-J2849)</f>
        <v/>
      </c>
      <c r="P2849" s="5">
        <f>IF(O2849="","",IF(O2849&gt;0,1,0))</f>
        <v/>
      </c>
    </row>
    <row r="2850">
      <c r="A2850" s="5" t="n">
        <v>2111000000</v>
      </c>
      <c r="B2850" s="5" t="inlineStr">
        <is>
          <t>100883</t>
        </is>
      </c>
      <c r="C2850" s="5" t="inlineStr">
        <is>
          <t>QUELMAR TRANSPORTES LTDA</t>
        </is>
      </c>
      <c r="D2850" s="5" t="inlineStr">
        <is>
          <t>RE</t>
        </is>
      </c>
      <c r="E2850" s="5" t="n">
        <v>5015885</v>
      </c>
      <c r="F2850" s="5" t="inlineStr">
        <is>
          <t>6024-2</t>
        </is>
      </c>
      <c r="G2850" s="5" t="inlineStr">
        <is>
          <t>BRL</t>
        </is>
      </c>
      <c r="H2850" s="9" t="n">
        <v>-29890</v>
      </c>
      <c r="I2850" s="16" t="n">
        <v>46175</v>
      </c>
      <c r="J2850" s="16" t="n">
        <v>46239</v>
      </c>
      <c r="K2850" s="5" t="inlineStr">
        <is>
          <t>Fatura - bruto QUELMAR TRANSPORTES LTDA 6024-2</t>
        </is>
      </c>
      <c r="L2850" s="5" t="inlineStr">
        <is>
          <t>02092026</t>
        </is>
      </c>
      <c r="M2850" s="5">
        <f>IF(YEAR(I2850)&lt;=2020,"Até 2020",TEXT(YEAR(I2850),"0"))</f>
        <v/>
      </c>
      <c r="N2850" s="5">
        <f>IFERROR(INDEX(DePara!$A:$A,MATCH(TEXT(B2850,"0"),DePara!$D:$D,0)),"(sem categoria)")</f>
        <v/>
      </c>
      <c r="O2850" s="5">
        <f>IF(J2850="","",Parametros!$B$6-J2850)</f>
        <v/>
      </c>
      <c r="P2850" s="5">
        <f>IF(O2850="","",IF(O2850&gt;0,1,0))</f>
        <v/>
      </c>
    </row>
    <row r="2851">
      <c r="A2851" s="5" t="n">
        <v>2111000000</v>
      </c>
      <c r="B2851" s="5" t="inlineStr">
        <is>
          <t>100883</t>
        </is>
      </c>
      <c r="C2851" s="5" t="inlineStr">
        <is>
          <t>QUELMAR TRANSPORTES LTDA</t>
        </is>
      </c>
      <c r="D2851" s="5" t="inlineStr">
        <is>
          <t>RE</t>
        </is>
      </c>
      <c r="E2851" s="5" t="n">
        <v>5015886</v>
      </c>
      <c r="F2851" s="5" t="inlineStr">
        <is>
          <t>6161-2</t>
        </is>
      </c>
      <c r="G2851" s="5" t="inlineStr">
        <is>
          <t>BRL</t>
        </is>
      </c>
      <c r="H2851" s="9" t="n">
        <v>-29800</v>
      </c>
      <c r="I2851" s="16" t="n">
        <v>46203</v>
      </c>
      <c r="J2851" s="16" t="n">
        <v>46239</v>
      </c>
      <c r="K2851" s="5" t="inlineStr">
        <is>
          <t>Fatura - bruto QUELMAR TRANSPORTES LTDA 6161-2</t>
        </is>
      </c>
      <c r="L2851" s="5" t="inlineStr">
        <is>
          <t>08092026</t>
        </is>
      </c>
      <c r="M2851" s="5">
        <f>IF(YEAR(I2851)&lt;=2020,"Até 2020",TEXT(YEAR(I2851),"0"))</f>
        <v/>
      </c>
      <c r="N2851" s="5">
        <f>IFERROR(INDEX(DePara!$A:$A,MATCH(TEXT(B2851,"0"),DePara!$D:$D,0)),"(sem categoria)")</f>
        <v/>
      </c>
      <c r="O2851" s="5">
        <f>IF(J2851="","",Parametros!$B$6-J2851)</f>
        <v/>
      </c>
      <c r="P2851" s="5">
        <f>IF(O2851="","",IF(O2851&gt;0,1,0))</f>
        <v/>
      </c>
    </row>
    <row r="2852">
      <c r="A2852" s="5" t="n">
        <v>2111000000</v>
      </c>
      <c r="B2852" s="5" t="inlineStr">
        <is>
          <t>100883</t>
        </is>
      </c>
      <c r="C2852" s="5" t="inlineStr">
        <is>
          <t>QUELMAR TRANSPORTES LTDA</t>
        </is>
      </c>
      <c r="D2852" s="5" t="inlineStr">
        <is>
          <t>RE</t>
        </is>
      </c>
      <c r="E2852" s="5" t="n">
        <v>5015887</v>
      </c>
      <c r="F2852" s="5" t="inlineStr">
        <is>
          <t>6311-2</t>
        </is>
      </c>
      <c r="G2852" s="5" t="inlineStr">
        <is>
          <t>BRL</t>
        </is>
      </c>
      <c r="H2852" s="9" t="n">
        <v>-42500</v>
      </c>
      <c r="I2852" s="16" t="n">
        <v>46230</v>
      </c>
      <c r="J2852" s="16" t="n">
        <v>46270</v>
      </c>
      <c r="K2852" s="5" t="inlineStr">
        <is>
          <t>Fatura - bruto QUELMAR TRANSPORTES LTDA 6311-2</t>
        </is>
      </c>
      <c r="L2852" s="5" t="inlineStr">
        <is>
          <t>08092026</t>
        </is>
      </c>
      <c r="M2852" s="5">
        <f>IF(YEAR(I2852)&lt;=2020,"Até 2020",TEXT(YEAR(I2852),"0"))</f>
        <v/>
      </c>
      <c r="N2852" s="5">
        <f>IFERROR(INDEX(DePara!$A:$A,MATCH(TEXT(B2852,"0"),DePara!$D:$D,0)),"(sem categoria)")</f>
        <v/>
      </c>
      <c r="O2852" s="5">
        <f>IF(J2852="","",Parametros!$B$6-J2852)</f>
        <v/>
      </c>
      <c r="P2852" s="5">
        <f>IF(O2852="","",IF(O2852&gt;0,1,0))</f>
        <v/>
      </c>
    </row>
    <row r="2853">
      <c r="A2853" s="5" t="n">
        <v>2111000000</v>
      </c>
      <c r="B2853" s="5" t="inlineStr">
        <is>
          <t>100883</t>
        </is>
      </c>
      <c r="C2853" s="5" t="inlineStr">
        <is>
          <t>QUELMAR TRANSPORTES LTDA</t>
        </is>
      </c>
      <c r="D2853" s="5" t="inlineStr">
        <is>
          <t>RE</t>
        </is>
      </c>
      <c r="E2853" s="5" t="n">
        <v>5015888</v>
      </c>
      <c r="F2853" s="5" t="inlineStr">
        <is>
          <t>6320-2</t>
        </is>
      </c>
      <c r="G2853" s="5" t="inlineStr">
        <is>
          <t>BRL</t>
        </is>
      </c>
      <c r="H2853" s="9" t="n">
        <v>-8600</v>
      </c>
      <c r="I2853" s="16" t="n">
        <v>46232</v>
      </c>
      <c r="J2853" s="16" t="n">
        <v>46270</v>
      </c>
      <c r="K2853" s="5" t="inlineStr">
        <is>
          <t>Fatura - bruto QUELMAR TRANSPORTES LTDA 6320-2</t>
        </is>
      </c>
      <c r="L2853" s="5" t="inlineStr">
        <is>
          <t>08092026</t>
        </is>
      </c>
      <c r="M2853" s="5">
        <f>IF(YEAR(I2853)&lt;=2020,"Até 2020",TEXT(YEAR(I2853),"0"))</f>
        <v/>
      </c>
      <c r="N2853" s="5">
        <f>IFERROR(INDEX(DePara!$A:$A,MATCH(TEXT(B2853,"0"),DePara!$D:$D,0)),"(sem categoria)")</f>
        <v/>
      </c>
      <c r="O2853" s="5">
        <f>IF(J2853="","",Parametros!$B$6-J2853)</f>
        <v/>
      </c>
      <c r="P2853" s="5">
        <f>IF(O2853="","",IF(O2853&gt;0,1,0))</f>
        <v/>
      </c>
    </row>
    <row r="2854">
      <c r="A2854" s="5" t="n">
        <v>2111000000</v>
      </c>
      <c r="B2854" s="5" t="inlineStr">
        <is>
          <t>100883</t>
        </is>
      </c>
      <c r="C2854" s="5" t="inlineStr">
        <is>
          <t>QUELMAR TRANSPORTES LTDA</t>
        </is>
      </c>
      <c r="D2854" s="5" t="inlineStr">
        <is>
          <t>RE</t>
        </is>
      </c>
      <c r="E2854" s="5" t="n">
        <v>5015889</v>
      </c>
      <c r="F2854" s="5" t="inlineStr">
        <is>
          <t>6207-2</t>
        </is>
      </c>
      <c r="G2854" s="5" t="inlineStr">
        <is>
          <t>BRL</t>
        </is>
      </c>
      <c r="H2854" s="9" t="n">
        <v>-5950</v>
      </c>
      <c r="I2854" s="16" t="n">
        <v>46216</v>
      </c>
      <c r="J2854" s="16" t="n">
        <v>46270</v>
      </c>
      <c r="K2854" s="5" t="inlineStr">
        <is>
          <t>Fatura - bruto QUELMAR TRANSPORTES LTDA 6207-2</t>
        </is>
      </c>
      <c r="L2854" s="5" t="inlineStr">
        <is>
          <t>08092026</t>
        </is>
      </c>
      <c r="M2854" s="5">
        <f>IF(YEAR(I2854)&lt;=2020,"Até 2020",TEXT(YEAR(I2854),"0"))</f>
        <v/>
      </c>
      <c r="N2854" s="5">
        <f>IFERROR(INDEX(DePara!$A:$A,MATCH(TEXT(B2854,"0"),DePara!$D:$D,0)),"(sem categoria)")</f>
        <v/>
      </c>
      <c r="O2854" s="5">
        <f>IF(J2854="","",Parametros!$B$6-J2854)</f>
        <v/>
      </c>
      <c r="P2854" s="5">
        <f>IF(O2854="","",IF(O2854&gt;0,1,0))</f>
        <v/>
      </c>
    </row>
    <row r="2855">
      <c r="A2855" s="5" t="n">
        <v>2111000000</v>
      </c>
      <c r="B2855" s="5" t="inlineStr">
        <is>
          <t>103936</t>
        </is>
      </c>
      <c r="C2855" s="5" t="inlineStr">
        <is>
          <t>BELA VISTA RENOVAVEIS II LTDA</t>
        </is>
      </c>
      <c r="D2855" s="5" t="inlineStr">
        <is>
          <t>RE</t>
        </is>
      </c>
      <c r="E2855" s="5" t="n">
        <v>5015890</v>
      </c>
      <c r="F2855" s="5" t="inlineStr">
        <is>
          <t>1752</t>
        </is>
      </c>
      <c r="G2855" s="5" t="inlineStr">
        <is>
          <t>BRL</t>
        </is>
      </c>
      <c r="H2855" s="9" t="n">
        <v>-151339.13</v>
      </c>
      <c r="I2855" s="16" t="n">
        <v>46248</v>
      </c>
      <c r="J2855" s="16" t="n">
        <v>46270</v>
      </c>
      <c r="K2855" s="5" t="inlineStr">
        <is>
          <t>Fatura - bruto BELA VISTA RENOVAVEIS II LTDA 1752</t>
        </is>
      </c>
      <c r="L2855" s="5" t="inlineStr">
        <is>
          <t>08092026</t>
        </is>
      </c>
      <c r="M2855" s="5">
        <f>IF(YEAR(I2855)&lt;=2020,"Até 2020",TEXT(YEAR(I2855),"0"))</f>
        <v/>
      </c>
      <c r="N2855" s="5">
        <f>IFERROR(INDEX(DePara!$A:$A,MATCH(TEXT(B2855,"0"),DePara!$D:$D,0)),"(sem categoria)")</f>
        <v/>
      </c>
      <c r="O2855" s="5">
        <f>IF(J2855="","",Parametros!$B$6-J2855)</f>
        <v/>
      </c>
      <c r="P2855" s="5">
        <f>IF(O2855="","",IF(O2855&gt;0,1,0))</f>
        <v/>
      </c>
    </row>
    <row r="2856">
      <c r="A2856" s="5" t="n">
        <v>2111000000</v>
      </c>
      <c r="B2856" s="5" t="inlineStr">
        <is>
          <t>103936</t>
        </is>
      </c>
      <c r="C2856" s="5" t="inlineStr">
        <is>
          <t>BELA VISTA RENOVAVEIS II LTDA</t>
        </is>
      </c>
      <c r="D2856" s="5" t="inlineStr">
        <is>
          <t>RE</t>
        </is>
      </c>
      <c r="E2856" s="5" t="n">
        <v>5015891</v>
      </c>
      <c r="F2856" s="5" t="inlineStr">
        <is>
          <t>1753</t>
        </is>
      </c>
      <c r="G2856" s="5" t="inlineStr">
        <is>
          <t>BRL</t>
        </is>
      </c>
      <c r="H2856" s="9" t="n">
        <v>-22456.98</v>
      </c>
      <c r="I2856" s="16" t="n">
        <v>46248</v>
      </c>
      <c r="J2856" s="16" t="n">
        <v>46270</v>
      </c>
      <c r="K2856" s="5" t="inlineStr">
        <is>
          <t>Fatura - bruto BELA VISTA RENOVAVEIS II LTDA 1753</t>
        </is>
      </c>
      <c r="L2856" s="5" t="inlineStr">
        <is>
          <t>08092026</t>
        </is>
      </c>
      <c r="M2856" s="5">
        <f>IF(YEAR(I2856)&lt;=2020,"Até 2020",TEXT(YEAR(I2856),"0"))</f>
        <v/>
      </c>
      <c r="N2856" s="5">
        <f>IFERROR(INDEX(DePara!$A:$A,MATCH(TEXT(B2856,"0"),DePara!$D:$D,0)),"(sem categoria)")</f>
        <v/>
      </c>
      <c r="O2856" s="5">
        <f>IF(J2856="","",Parametros!$B$6-J2856)</f>
        <v/>
      </c>
      <c r="P2856" s="5">
        <f>IF(O2856="","",IF(O2856&gt;0,1,0))</f>
        <v/>
      </c>
    </row>
    <row r="2857">
      <c r="A2857" s="5" t="n">
        <v>2111000000</v>
      </c>
      <c r="B2857" s="5" t="inlineStr">
        <is>
          <t>103936</t>
        </is>
      </c>
      <c r="C2857" s="5" t="inlineStr">
        <is>
          <t>BELA VISTA RENOVAVEIS II LTDA</t>
        </is>
      </c>
      <c r="D2857" s="5" t="inlineStr">
        <is>
          <t>RE</t>
        </is>
      </c>
      <c r="E2857" s="5" t="n">
        <v>5015892</v>
      </c>
      <c r="F2857" s="5" t="inlineStr">
        <is>
          <t>1755</t>
        </is>
      </c>
      <c r="G2857" s="5" t="inlineStr">
        <is>
          <t>BRL</t>
        </is>
      </c>
      <c r="H2857" s="9" t="n">
        <v>-37698.91</v>
      </c>
      <c r="I2857" s="16" t="n">
        <v>46248</v>
      </c>
      <c r="J2857" s="16" t="n">
        <v>46270</v>
      </c>
      <c r="K2857" s="5" t="inlineStr">
        <is>
          <t>Fatura - bruto BELA VISTA RENOVAVEIS II LTDA 1755</t>
        </is>
      </c>
      <c r="L2857" s="5" t="inlineStr">
        <is>
          <t>08092026</t>
        </is>
      </c>
      <c r="M2857" s="5">
        <f>IF(YEAR(I2857)&lt;=2020,"Até 2020",TEXT(YEAR(I2857),"0"))</f>
        <v/>
      </c>
      <c r="N2857" s="5">
        <f>IFERROR(INDEX(DePara!$A:$A,MATCH(TEXT(B2857,"0"),DePara!$D:$D,0)),"(sem categoria)")</f>
        <v/>
      </c>
      <c r="O2857" s="5">
        <f>IF(J2857="","",Parametros!$B$6-J2857)</f>
        <v/>
      </c>
      <c r="P2857" s="5">
        <f>IF(O2857="","",IF(O2857&gt;0,1,0))</f>
        <v/>
      </c>
    </row>
    <row r="2858">
      <c r="A2858" s="5" t="n">
        <v>2111000000</v>
      </c>
      <c r="B2858" s="5" t="inlineStr">
        <is>
          <t>103936</t>
        </is>
      </c>
      <c r="C2858" s="5" t="inlineStr">
        <is>
          <t>BELA VISTA RENOVAVEIS II LTDA</t>
        </is>
      </c>
      <c r="D2858" s="5" t="inlineStr">
        <is>
          <t>RE</t>
        </is>
      </c>
      <c r="E2858" s="5" t="n">
        <v>5015893</v>
      </c>
      <c r="F2858" s="5" t="inlineStr">
        <is>
          <t>1756</t>
        </is>
      </c>
      <c r="G2858" s="5" t="inlineStr">
        <is>
          <t>BRL</t>
        </is>
      </c>
      <c r="H2858" s="9" t="n">
        <v>-69067.69</v>
      </c>
      <c r="I2858" s="16" t="n">
        <v>46248</v>
      </c>
      <c r="J2858" s="16" t="n">
        <v>46270</v>
      </c>
      <c r="K2858" s="5" t="inlineStr">
        <is>
          <t>Fatura - bruto BELA VISTA RENOVAVEIS II LTDA 1756</t>
        </is>
      </c>
      <c r="L2858" s="5" t="inlineStr">
        <is>
          <t>08092026</t>
        </is>
      </c>
      <c r="M2858" s="5">
        <f>IF(YEAR(I2858)&lt;=2020,"Até 2020",TEXT(YEAR(I2858),"0"))</f>
        <v/>
      </c>
      <c r="N2858" s="5">
        <f>IFERROR(INDEX(DePara!$A:$A,MATCH(TEXT(B2858,"0"),DePara!$D:$D,0)),"(sem categoria)")</f>
        <v/>
      </c>
      <c r="O2858" s="5">
        <f>IF(J2858="","",Parametros!$B$6-J2858)</f>
        <v/>
      </c>
      <c r="P2858" s="5">
        <f>IF(O2858="","",IF(O2858&gt;0,1,0))</f>
        <v/>
      </c>
    </row>
    <row r="2859">
      <c r="A2859" s="5" t="n">
        <v>2111000000</v>
      </c>
      <c r="B2859" s="5" t="inlineStr">
        <is>
          <t>103936</t>
        </is>
      </c>
      <c r="C2859" s="5" t="inlineStr">
        <is>
          <t>BELA VISTA RENOVAVEIS II LTDA</t>
        </is>
      </c>
      <c r="D2859" s="5" t="inlineStr">
        <is>
          <t>RE</t>
        </is>
      </c>
      <c r="E2859" s="5" t="n">
        <v>5015894</v>
      </c>
      <c r="F2859" s="5" t="inlineStr">
        <is>
          <t>1758</t>
        </is>
      </c>
      <c r="G2859" s="5" t="inlineStr">
        <is>
          <t>BRL</t>
        </is>
      </c>
      <c r="H2859" s="9" t="n">
        <v>-5853.76</v>
      </c>
      <c r="I2859" s="16" t="n">
        <v>46248</v>
      </c>
      <c r="J2859" s="16" t="n">
        <v>46270</v>
      </c>
      <c r="K2859" s="5" t="inlineStr">
        <is>
          <t>Fatura - bruto BELA VISTA RENOVAVEIS II LTDA 1758</t>
        </is>
      </c>
      <c r="L2859" s="5" t="inlineStr">
        <is>
          <t>08092026</t>
        </is>
      </c>
      <c r="M2859" s="5">
        <f>IF(YEAR(I2859)&lt;=2020,"Até 2020",TEXT(YEAR(I2859),"0"))</f>
        <v/>
      </c>
      <c r="N2859" s="5">
        <f>IFERROR(INDEX(DePara!$A:$A,MATCH(TEXT(B2859,"0"),DePara!$D:$D,0)),"(sem categoria)")</f>
        <v/>
      </c>
      <c r="O2859" s="5">
        <f>IF(J2859="","",Parametros!$B$6-J2859)</f>
        <v/>
      </c>
      <c r="P2859" s="5">
        <f>IF(O2859="","",IF(O2859&gt;0,1,0))</f>
        <v/>
      </c>
    </row>
    <row r="2860">
      <c r="A2860" s="5" t="n">
        <v>2111000000</v>
      </c>
      <c r="B2860" s="5" t="inlineStr">
        <is>
          <t>103936</t>
        </is>
      </c>
      <c r="C2860" s="5" t="inlineStr">
        <is>
          <t>BELA VISTA RENOVAVEIS II LTDA</t>
        </is>
      </c>
      <c r="D2860" s="5" t="inlineStr">
        <is>
          <t>RE</t>
        </is>
      </c>
      <c r="E2860" s="5" t="n">
        <v>5015895</v>
      </c>
      <c r="F2860" s="5" t="inlineStr">
        <is>
          <t>1759</t>
        </is>
      </c>
      <c r="G2860" s="5" t="inlineStr">
        <is>
          <t>BRL</t>
        </is>
      </c>
      <c r="H2860" s="9" t="n">
        <v>-42647.77</v>
      </c>
      <c r="I2860" s="16" t="n">
        <v>46248</v>
      </c>
      <c r="J2860" s="16" t="n">
        <v>46270</v>
      </c>
      <c r="K2860" s="5" t="inlineStr">
        <is>
          <t>Fatura - bruto BELA VISTA RENOVAVEIS II LTDA 1759</t>
        </is>
      </c>
      <c r="L2860" s="5" t="inlineStr">
        <is>
          <t>08092026</t>
        </is>
      </c>
      <c r="M2860" s="5">
        <f>IF(YEAR(I2860)&lt;=2020,"Até 2020",TEXT(YEAR(I2860),"0"))</f>
        <v/>
      </c>
      <c r="N2860" s="5">
        <f>IFERROR(INDEX(DePara!$A:$A,MATCH(TEXT(B2860,"0"),DePara!$D:$D,0)),"(sem categoria)")</f>
        <v/>
      </c>
      <c r="O2860" s="5">
        <f>IF(J2860="","",Parametros!$B$6-J2860)</f>
        <v/>
      </c>
      <c r="P2860" s="5">
        <f>IF(O2860="","",IF(O2860&gt;0,1,0))</f>
        <v/>
      </c>
    </row>
    <row r="2861">
      <c r="A2861" s="5" t="n">
        <v>2111000000</v>
      </c>
      <c r="B2861" s="5" t="inlineStr">
        <is>
          <t>103936</t>
        </is>
      </c>
      <c r="C2861" s="5" t="inlineStr">
        <is>
          <t>BELA VISTA RENOVAVEIS II LTDA</t>
        </is>
      </c>
      <c r="D2861" s="5" t="inlineStr">
        <is>
          <t>RE</t>
        </is>
      </c>
      <c r="E2861" s="5" t="n">
        <v>5015897</v>
      </c>
      <c r="F2861" s="5" t="inlineStr">
        <is>
          <t>1760</t>
        </is>
      </c>
      <c r="G2861" s="5" t="inlineStr">
        <is>
          <t>BRL</t>
        </is>
      </c>
      <c r="H2861" s="9" t="n">
        <v>-55156.92</v>
      </c>
      <c r="I2861" s="16" t="n">
        <v>46248</v>
      </c>
      <c r="J2861" s="16" t="n">
        <v>46270</v>
      </c>
      <c r="K2861" s="5" t="inlineStr">
        <is>
          <t>Fatura - bruto BELA VISTA RENOVAVEIS II LTDA 1760</t>
        </is>
      </c>
      <c r="L2861" s="5" t="inlineStr">
        <is>
          <t>08092026</t>
        </is>
      </c>
      <c r="M2861" s="5">
        <f>IF(YEAR(I2861)&lt;=2020,"Até 2020",TEXT(YEAR(I2861),"0"))</f>
        <v/>
      </c>
      <c r="N2861" s="5">
        <f>IFERROR(INDEX(DePara!$A:$A,MATCH(TEXT(B2861,"0"),DePara!$D:$D,0)),"(sem categoria)")</f>
        <v/>
      </c>
      <c r="O2861" s="5">
        <f>IF(J2861="","",Parametros!$B$6-J2861)</f>
        <v/>
      </c>
      <c r="P2861" s="5">
        <f>IF(O2861="","",IF(O2861&gt;0,1,0))</f>
        <v/>
      </c>
    </row>
    <row r="2862">
      <c r="A2862" s="5" t="n">
        <v>2111000000</v>
      </c>
      <c r="B2862" s="5" t="inlineStr">
        <is>
          <t>103936</t>
        </is>
      </c>
      <c r="C2862" s="5" t="inlineStr">
        <is>
          <t>BELA VISTA RENOVAVEIS II LTDA</t>
        </is>
      </c>
      <c r="D2862" s="5" t="inlineStr">
        <is>
          <t>RE</t>
        </is>
      </c>
      <c r="E2862" s="5" t="n">
        <v>5015898</v>
      </c>
      <c r="F2862" s="5" t="inlineStr">
        <is>
          <t>1761</t>
        </is>
      </c>
      <c r="G2862" s="5" t="inlineStr">
        <is>
          <t>BRL</t>
        </is>
      </c>
      <c r="H2862" s="9" t="n">
        <v>-35317.97</v>
      </c>
      <c r="I2862" s="16" t="n">
        <v>46248</v>
      </c>
      <c r="J2862" s="16" t="n">
        <v>46270</v>
      </c>
      <c r="K2862" s="5" t="inlineStr">
        <is>
          <t>Fatura - bruto BELA VISTA RENOVAVEIS II LTDA 1761</t>
        </is>
      </c>
      <c r="L2862" s="5" t="inlineStr">
        <is>
          <t>08092026</t>
        </is>
      </c>
      <c r="M2862" s="5">
        <f>IF(YEAR(I2862)&lt;=2020,"Até 2020",TEXT(YEAR(I2862),"0"))</f>
        <v/>
      </c>
      <c r="N2862" s="5">
        <f>IFERROR(INDEX(DePara!$A:$A,MATCH(TEXT(B2862,"0"),DePara!$D:$D,0)),"(sem categoria)")</f>
        <v/>
      </c>
      <c r="O2862" s="5">
        <f>IF(J2862="","",Parametros!$B$6-J2862)</f>
        <v/>
      </c>
      <c r="P2862" s="5">
        <f>IF(O2862="","",IF(O2862&gt;0,1,0))</f>
        <v/>
      </c>
    </row>
    <row r="2863">
      <c r="A2863" s="5" t="n">
        <v>2111000000</v>
      </c>
      <c r="B2863" s="5" t="inlineStr">
        <is>
          <t>103936</t>
        </is>
      </c>
      <c r="C2863" s="5" t="inlineStr">
        <is>
          <t>BELA VISTA RENOVAVEIS II LTDA</t>
        </is>
      </c>
      <c r="D2863" s="5" t="inlineStr">
        <is>
          <t>RE</t>
        </is>
      </c>
      <c r="E2863" s="5" t="n">
        <v>5015900</v>
      </c>
      <c r="F2863" s="5" t="inlineStr">
        <is>
          <t>1762</t>
        </is>
      </c>
      <c r="G2863" s="5" t="inlineStr">
        <is>
          <t>BRL</t>
        </is>
      </c>
      <c r="H2863" s="9" t="n">
        <v>-140390.88</v>
      </c>
      <c r="I2863" s="16" t="n">
        <v>46248</v>
      </c>
      <c r="J2863" s="16" t="n">
        <v>46270</v>
      </c>
      <c r="K2863" s="5" t="inlineStr">
        <is>
          <t>Fatura - bruto BELA VISTA RENOVAVEIS II LTDA 1762</t>
        </is>
      </c>
      <c r="L2863" s="5" t="inlineStr">
        <is>
          <t>08092026</t>
        </is>
      </c>
      <c r="M2863" s="5">
        <f>IF(YEAR(I2863)&lt;=2020,"Até 2020",TEXT(YEAR(I2863),"0"))</f>
        <v/>
      </c>
      <c r="N2863" s="5">
        <f>IFERROR(INDEX(DePara!$A:$A,MATCH(TEXT(B2863,"0"),DePara!$D:$D,0)),"(sem categoria)")</f>
        <v/>
      </c>
      <c r="O2863" s="5">
        <f>IF(J2863="","",Parametros!$B$6-J2863)</f>
        <v/>
      </c>
      <c r="P2863" s="5">
        <f>IF(O2863="","",IF(O2863&gt;0,1,0))</f>
        <v/>
      </c>
    </row>
    <row r="2864">
      <c r="A2864" s="5" t="n">
        <v>2111000000</v>
      </c>
      <c r="B2864" s="5" t="inlineStr">
        <is>
          <t>100883</t>
        </is>
      </c>
      <c r="C2864" s="5" t="inlineStr">
        <is>
          <t>QUELMAR TRANSPORTES LTDA</t>
        </is>
      </c>
      <c r="D2864" s="5" t="inlineStr">
        <is>
          <t>RE</t>
        </is>
      </c>
      <c r="E2864" s="5" t="n">
        <v>5015901</v>
      </c>
      <c r="F2864" s="5" t="inlineStr">
        <is>
          <t>6240-2</t>
        </is>
      </c>
      <c r="G2864" s="5" t="inlineStr">
        <is>
          <t>BRL</t>
        </is>
      </c>
      <c r="H2864" s="9" t="n">
        <v>-15140</v>
      </c>
      <c r="I2864" s="16" t="n">
        <v>46219</v>
      </c>
      <c r="J2864" s="16" t="n">
        <v>46270</v>
      </c>
      <c r="K2864" s="5" t="inlineStr">
        <is>
          <t>Fatura - bruto QUELMAR TRANSPORTES LTDA 6240-2</t>
        </is>
      </c>
      <c r="L2864" s="5" t="inlineStr">
        <is>
          <t>08092026</t>
        </is>
      </c>
      <c r="M2864" s="5">
        <f>IF(YEAR(I2864)&lt;=2020,"Até 2020",TEXT(YEAR(I2864),"0"))</f>
        <v/>
      </c>
      <c r="N2864" s="5">
        <f>IFERROR(INDEX(DePara!$A:$A,MATCH(TEXT(B2864,"0"),DePara!$D:$D,0)),"(sem categoria)")</f>
        <v/>
      </c>
      <c r="O2864" s="5">
        <f>IF(J2864="","",Parametros!$B$6-J2864)</f>
        <v/>
      </c>
      <c r="P2864" s="5">
        <f>IF(O2864="","",IF(O2864&gt;0,1,0))</f>
        <v/>
      </c>
    </row>
    <row r="2865">
      <c r="A2865" s="5" t="n">
        <v>2111000000</v>
      </c>
      <c r="B2865" s="5" t="inlineStr">
        <is>
          <t>101897</t>
        </is>
      </c>
      <c r="C2865" s="5" t="inlineStr">
        <is>
          <t>KL LOCACOES E SOLUCOES AMBIENTAIS L KL CONSTRUCOES E SERVICOS IMOBILIAR</t>
        </is>
      </c>
      <c r="D2865" s="5" t="inlineStr">
        <is>
          <t>RE</t>
        </is>
      </c>
      <c r="E2865" s="5" t="n">
        <v>5015902</v>
      </c>
      <c r="F2865" s="5" t="inlineStr">
        <is>
          <t>2040-1</t>
        </is>
      </c>
      <c r="G2865" s="5" t="inlineStr">
        <is>
          <t>BRL</t>
        </is>
      </c>
      <c r="H2865" s="9" t="n">
        <v>-1500</v>
      </c>
      <c r="I2865" s="16" t="n">
        <v>46238</v>
      </c>
      <c r="J2865" s="16" t="n">
        <v>46270</v>
      </c>
      <c r="K2865" s="5" t="inlineStr">
        <is>
          <t>Fatura - bruto KL LOCACOES E SOLUCOES AMBIENTAIS L</t>
        </is>
      </c>
      <c r="L2865" s="5" t="inlineStr">
        <is>
          <t>08092026</t>
        </is>
      </c>
      <c r="M2865" s="5">
        <f>IF(YEAR(I2865)&lt;=2020,"Até 2020",TEXT(YEAR(I2865),"0"))</f>
        <v/>
      </c>
      <c r="N2865" s="5">
        <f>IFERROR(INDEX(DePara!$A:$A,MATCH(TEXT(B2865,"0"),DePara!$D:$D,0)),"(sem categoria)")</f>
        <v/>
      </c>
      <c r="O2865" s="5">
        <f>IF(J2865="","",Parametros!$B$6-J2865)</f>
        <v/>
      </c>
      <c r="P2865" s="5">
        <f>IF(O2865="","",IF(O2865&gt;0,1,0))</f>
        <v/>
      </c>
    </row>
    <row r="2866">
      <c r="A2866" s="5" t="n">
        <v>2111000000</v>
      </c>
      <c r="B2866" s="5" t="inlineStr">
        <is>
          <t>101897</t>
        </is>
      </c>
      <c r="C2866" s="5" t="inlineStr">
        <is>
          <t>KL LOCACOES E SOLUCOES AMBIENTAIS L KL CONSTRUCOES E SERVICOS IMOBILIAR</t>
        </is>
      </c>
      <c r="D2866" s="5" t="inlineStr">
        <is>
          <t>RE</t>
        </is>
      </c>
      <c r="E2866" s="5" t="n">
        <v>5015903</v>
      </c>
      <c r="F2866" s="5" t="inlineStr">
        <is>
          <t>2032-1</t>
        </is>
      </c>
      <c r="G2866" s="5" t="inlineStr">
        <is>
          <t>BRL</t>
        </is>
      </c>
      <c r="H2866" s="9" t="n">
        <v>-2500</v>
      </c>
      <c r="I2866" s="16" t="n">
        <v>46230</v>
      </c>
      <c r="J2866" s="16" t="n">
        <v>46270</v>
      </c>
      <c r="K2866" s="5" t="inlineStr">
        <is>
          <t>Fatura - bruto KL LOCACOES E SOLUCOES AMBIENTAIS L</t>
        </is>
      </c>
      <c r="L2866" s="5" t="inlineStr">
        <is>
          <t>08092026</t>
        </is>
      </c>
      <c r="M2866" s="5">
        <f>IF(YEAR(I2866)&lt;=2020,"Até 2020",TEXT(YEAR(I2866),"0"))</f>
        <v/>
      </c>
      <c r="N2866" s="5">
        <f>IFERROR(INDEX(DePara!$A:$A,MATCH(TEXT(B2866,"0"),DePara!$D:$D,0)),"(sem categoria)")</f>
        <v/>
      </c>
      <c r="O2866" s="5">
        <f>IF(J2866="","",Parametros!$B$6-J2866)</f>
        <v/>
      </c>
      <c r="P2866" s="5">
        <f>IF(O2866="","",IF(O2866&gt;0,1,0))</f>
        <v/>
      </c>
    </row>
    <row r="2867">
      <c r="A2867" s="5" t="n">
        <v>2111000000</v>
      </c>
      <c r="B2867" s="5" t="inlineStr">
        <is>
          <t>101897</t>
        </is>
      </c>
      <c r="C2867" s="5" t="inlineStr">
        <is>
          <t>KL LOCACOES E SOLUCOES AMBIENTAIS L KL CONSTRUCOES E SERVICOS IMOBILIAR</t>
        </is>
      </c>
      <c r="D2867" s="5" t="inlineStr">
        <is>
          <t>RE</t>
        </is>
      </c>
      <c r="E2867" s="5" t="n">
        <v>5015904</v>
      </c>
      <c r="F2867" s="5" t="inlineStr">
        <is>
          <t>2033-1</t>
        </is>
      </c>
      <c r="G2867" s="5" t="inlineStr">
        <is>
          <t>BRL</t>
        </is>
      </c>
      <c r="H2867" s="9" t="n">
        <v>-2500</v>
      </c>
      <c r="I2867" s="16" t="n">
        <v>46230</v>
      </c>
      <c r="J2867" s="16" t="n">
        <v>46270</v>
      </c>
      <c r="K2867" s="5" t="inlineStr">
        <is>
          <t>Fatura - bruto KL LOCACOES E SOLUCOES AMBIENTAIS L</t>
        </is>
      </c>
      <c r="L2867" s="5" t="inlineStr">
        <is>
          <t>08092026</t>
        </is>
      </c>
      <c r="M2867" s="5">
        <f>IF(YEAR(I2867)&lt;=2020,"Até 2020",TEXT(YEAR(I2867),"0"))</f>
        <v/>
      </c>
      <c r="N2867" s="5">
        <f>IFERROR(INDEX(DePara!$A:$A,MATCH(TEXT(B2867,"0"),DePara!$D:$D,0)),"(sem categoria)")</f>
        <v/>
      </c>
      <c r="O2867" s="5">
        <f>IF(J2867="","",Parametros!$B$6-J2867)</f>
        <v/>
      </c>
      <c r="P2867" s="5">
        <f>IF(O2867="","",IF(O2867&gt;0,1,0))</f>
        <v/>
      </c>
    </row>
    <row r="2868">
      <c r="A2868" s="5" t="n">
        <v>2111000000</v>
      </c>
      <c r="B2868" s="5" t="inlineStr">
        <is>
          <t>100883</t>
        </is>
      </c>
      <c r="C2868" s="5" t="inlineStr">
        <is>
          <t>QUELMAR TRANSPORTES LTDA</t>
        </is>
      </c>
      <c r="D2868" s="5" t="inlineStr">
        <is>
          <t>RE</t>
        </is>
      </c>
      <c r="E2868" s="5" t="n">
        <v>5015905</v>
      </c>
      <c r="F2868" s="5" t="inlineStr">
        <is>
          <t>6409-2</t>
        </is>
      </c>
      <c r="G2868" s="5" t="inlineStr">
        <is>
          <t>BRL</t>
        </is>
      </c>
      <c r="H2868" s="9" t="n">
        <v>-9870</v>
      </c>
      <c r="I2868" s="16" t="n">
        <v>46251</v>
      </c>
      <c r="J2868" s="16" t="n">
        <v>46300</v>
      </c>
      <c r="K2868" s="5" t="inlineStr">
        <is>
          <t>Fatura - bruto QUELMAR TRANSPORTES LTDA 6409-2</t>
        </is>
      </c>
      <c r="L2868" s="5" t="inlineStr">
        <is>
          <t>05102026</t>
        </is>
      </c>
      <c r="M2868" s="5">
        <f>IF(YEAR(I2868)&lt;=2020,"Até 2020",TEXT(YEAR(I2868),"0"))</f>
        <v/>
      </c>
      <c r="N2868" s="5">
        <f>IFERROR(INDEX(DePara!$A:$A,MATCH(TEXT(B2868,"0"),DePara!$D:$D,0)),"(sem categoria)")</f>
        <v/>
      </c>
      <c r="O2868" s="5">
        <f>IF(J2868="","",Parametros!$B$6-J2868)</f>
        <v/>
      </c>
      <c r="P2868" s="5">
        <f>IF(O2868="","",IF(O2868&gt;0,1,0))</f>
        <v/>
      </c>
    </row>
    <row r="2869">
      <c r="A2869" s="5" t="n">
        <v>2111000000</v>
      </c>
      <c r="B2869" s="5" t="inlineStr">
        <is>
          <t>106044</t>
        </is>
      </c>
      <c r="C2869" s="5" t="inlineStr">
        <is>
          <t>ECOVIS NORDESTE LTDA 52979841000196</t>
        </is>
      </c>
      <c r="D2869" s="5" t="inlineStr">
        <is>
          <t>RE</t>
        </is>
      </c>
      <c r="E2869" s="5" t="n">
        <v>5015906</v>
      </c>
      <c r="F2869" s="5" t="inlineStr">
        <is>
          <t>15</t>
        </is>
      </c>
      <c r="G2869" s="5" t="inlineStr">
        <is>
          <t>BRL</t>
        </is>
      </c>
      <c r="H2869" s="9" t="n">
        <v>-62523</v>
      </c>
      <c r="I2869" s="16" t="n">
        <v>46251</v>
      </c>
      <c r="J2869" s="16" t="n">
        <v>46300</v>
      </c>
      <c r="K2869" s="5" t="inlineStr">
        <is>
          <t>Fatura - bruto ECOVIS NORDESTE LTDA 52979841000196</t>
        </is>
      </c>
      <c r="L2869" s="5" t="inlineStr">
        <is>
          <t>05102026</t>
        </is>
      </c>
      <c r="M2869" s="5">
        <f>IF(YEAR(I2869)&lt;=2020,"Até 2020",TEXT(YEAR(I2869),"0"))</f>
        <v/>
      </c>
      <c r="N2869" s="5">
        <f>IFERROR(INDEX(DePara!$A:$A,MATCH(TEXT(B2869,"0"),DePara!$D:$D,0)),"(sem categoria)")</f>
        <v/>
      </c>
      <c r="O2869" s="5">
        <f>IF(J2869="","",Parametros!$B$6-J2869)</f>
        <v/>
      </c>
      <c r="P2869" s="5">
        <f>IF(O2869="","",IF(O2869&gt;0,1,0))</f>
        <v/>
      </c>
    </row>
    <row r="2870">
      <c r="A2870" s="5" t="n">
        <v>2111000000</v>
      </c>
      <c r="B2870" s="5" t="inlineStr">
        <is>
          <t>101353</t>
        </is>
      </c>
      <c r="C2870" s="5" t="inlineStr">
        <is>
          <t>SOMAR GASES COMERCIO E SERVICOS LTD</t>
        </is>
      </c>
      <c r="D2870" s="5" t="inlineStr">
        <is>
          <t>RE</t>
        </is>
      </c>
      <c r="E2870" s="5" t="n">
        <v>5015907</v>
      </c>
      <c r="F2870" s="5" t="inlineStr">
        <is>
          <t>5939</t>
        </is>
      </c>
      <c r="G2870" s="5" t="inlineStr">
        <is>
          <t>BRL</t>
        </is>
      </c>
      <c r="H2870" s="9" t="n">
        <v>-1400</v>
      </c>
      <c r="I2870" s="16" t="n">
        <v>46251</v>
      </c>
      <c r="J2870" s="16" t="n">
        <v>46281</v>
      </c>
      <c r="K2870" s="5" t="inlineStr">
        <is>
          <t>Fatura - bruto SOMAR GASES COMERCIO E SERVICOS LTD</t>
        </is>
      </c>
      <c r="L2870" s="5" t="inlineStr">
        <is>
          <t>16092026</t>
        </is>
      </c>
      <c r="M2870" s="5">
        <f>IF(YEAR(I2870)&lt;=2020,"Até 2020",TEXT(YEAR(I2870),"0"))</f>
        <v/>
      </c>
      <c r="N2870" s="5">
        <f>IFERROR(INDEX(DePara!$A:$A,MATCH(TEXT(B2870,"0"),DePara!$D:$D,0)),"(sem categoria)")</f>
        <v/>
      </c>
      <c r="O2870" s="5">
        <f>IF(J2870="","",Parametros!$B$6-J2870)</f>
        <v/>
      </c>
      <c r="P2870" s="5">
        <f>IF(O2870="","",IF(O2870&gt;0,1,0))</f>
        <v/>
      </c>
    </row>
    <row r="2871">
      <c r="A2871" s="5" t="n">
        <v>2111000000</v>
      </c>
      <c r="B2871" s="5" t="inlineStr">
        <is>
          <t>100883</t>
        </is>
      </c>
      <c r="C2871" s="5" t="inlineStr">
        <is>
          <t>QUELMAR TRANSPORTES LTDA</t>
        </is>
      </c>
      <c r="D2871" s="5" t="inlineStr">
        <is>
          <t>RE</t>
        </is>
      </c>
      <c r="E2871" s="5" t="n">
        <v>5015908</v>
      </c>
      <c r="F2871" s="5" t="inlineStr">
        <is>
          <t>108545-1</t>
        </is>
      </c>
      <c r="G2871" s="5" t="inlineStr">
        <is>
          <t>BRL</t>
        </is>
      </c>
      <c r="H2871" s="9" t="n">
        <v>-2800</v>
      </c>
      <c r="I2871" s="16" t="n">
        <v>46255</v>
      </c>
      <c r="J2871" s="16" t="n">
        <v>46300</v>
      </c>
      <c r="K2871" s="5" t="inlineStr">
        <is>
          <t>Fatura - bruto QUELMAR TRANSPORTES LTDA 108545-1</t>
        </is>
      </c>
      <c r="L2871" s="5" t="inlineStr">
        <is>
          <t>05102026</t>
        </is>
      </c>
      <c r="M2871" s="5">
        <f>IF(YEAR(I2871)&lt;=2020,"Até 2020",TEXT(YEAR(I2871),"0"))</f>
        <v/>
      </c>
      <c r="N2871" s="5">
        <f>IFERROR(INDEX(DePara!$A:$A,MATCH(TEXT(B2871,"0"),DePara!$D:$D,0)),"(sem categoria)")</f>
        <v/>
      </c>
      <c r="O2871" s="5">
        <f>IF(J2871="","",Parametros!$B$6-J2871)</f>
        <v/>
      </c>
      <c r="P2871" s="5">
        <f>IF(O2871="","",IF(O2871&gt;0,1,0))</f>
        <v/>
      </c>
    </row>
    <row r="2872">
      <c r="A2872" s="5" t="n">
        <v>2111000000</v>
      </c>
      <c r="B2872" s="5" t="inlineStr">
        <is>
          <t>100883</t>
        </is>
      </c>
      <c r="C2872" s="5" t="inlineStr">
        <is>
          <t>QUELMAR TRANSPORTES LTDA</t>
        </is>
      </c>
      <c r="D2872" s="5" t="inlineStr">
        <is>
          <t>RE</t>
        </is>
      </c>
      <c r="E2872" s="5" t="n">
        <v>5015909</v>
      </c>
      <c r="F2872" s="5" t="inlineStr">
        <is>
          <t>108546-1</t>
        </is>
      </c>
      <c r="G2872" s="5" t="inlineStr">
        <is>
          <t>BRL</t>
        </is>
      </c>
      <c r="H2872" s="9" t="n">
        <v>-2800</v>
      </c>
      <c r="I2872" s="16" t="n">
        <v>46255</v>
      </c>
      <c r="J2872" s="16" t="n">
        <v>46300</v>
      </c>
      <c r="K2872" s="5" t="inlineStr">
        <is>
          <t>Fatura - bruto QUELMAR TRANSPORTES LTDA 108546-1</t>
        </is>
      </c>
      <c r="L2872" s="5" t="inlineStr">
        <is>
          <t>05102026</t>
        </is>
      </c>
      <c r="M2872" s="5">
        <f>IF(YEAR(I2872)&lt;=2020,"Até 2020",TEXT(YEAR(I2872),"0"))</f>
        <v/>
      </c>
      <c r="N2872" s="5">
        <f>IFERROR(INDEX(DePara!$A:$A,MATCH(TEXT(B2872,"0"),DePara!$D:$D,0)),"(sem categoria)")</f>
        <v/>
      </c>
      <c r="O2872" s="5">
        <f>IF(J2872="","",Parametros!$B$6-J2872)</f>
        <v/>
      </c>
      <c r="P2872" s="5">
        <f>IF(O2872="","",IF(O2872&gt;0,1,0))</f>
        <v/>
      </c>
    </row>
    <row r="2873">
      <c r="A2873" s="5" t="n">
        <v>2111000000</v>
      </c>
      <c r="B2873" s="5" t="inlineStr">
        <is>
          <t>100883</t>
        </is>
      </c>
      <c r="C2873" s="5" t="inlineStr">
        <is>
          <t>QUELMAR TRANSPORTES LTDA</t>
        </is>
      </c>
      <c r="D2873" s="5" t="inlineStr">
        <is>
          <t>RE</t>
        </is>
      </c>
      <c r="E2873" s="5" t="n">
        <v>5015910</v>
      </c>
      <c r="F2873" s="5" t="inlineStr">
        <is>
          <t>108547-1</t>
        </is>
      </c>
      <c r="G2873" s="5" t="inlineStr">
        <is>
          <t>BRL</t>
        </is>
      </c>
      <c r="H2873" s="9" t="n">
        <v>-2800</v>
      </c>
      <c r="I2873" s="16" t="n">
        <v>46255</v>
      </c>
      <c r="J2873" s="16" t="n">
        <v>46300</v>
      </c>
      <c r="K2873" s="5" t="inlineStr">
        <is>
          <t>Fatura - bruto QUELMAR TRANSPORTES LTDA 108547-1</t>
        </is>
      </c>
      <c r="L2873" s="5" t="inlineStr">
        <is>
          <t>05102026</t>
        </is>
      </c>
      <c r="M2873" s="5">
        <f>IF(YEAR(I2873)&lt;=2020,"Até 2020",TEXT(YEAR(I2873),"0"))</f>
        <v/>
      </c>
      <c r="N2873" s="5">
        <f>IFERROR(INDEX(DePara!$A:$A,MATCH(TEXT(B2873,"0"),DePara!$D:$D,0)),"(sem categoria)")</f>
        <v/>
      </c>
      <c r="O2873" s="5">
        <f>IF(J2873="","",Parametros!$B$6-J2873)</f>
        <v/>
      </c>
      <c r="P2873" s="5">
        <f>IF(O2873="","",IF(O2873&gt;0,1,0))</f>
        <v/>
      </c>
    </row>
    <row r="2874">
      <c r="A2874" s="5" t="n">
        <v>2111000000</v>
      </c>
      <c r="B2874" s="5" t="inlineStr">
        <is>
          <t>101353</t>
        </is>
      </c>
      <c r="C2874" s="5" t="inlineStr">
        <is>
          <t>SOMAR GASES COMERCIO E SERVICOS LTD</t>
        </is>
      </c>
      <c r="D2874" s="5" t="inlineStr">
        <is>
          <t>RE</t>
        </is>
      </c>
      <c r="E2874" s="5" t="n">
        <v>5015911</v>
      </c>
      <c r="F2874" s="5" t="inlineStr">
        <is>
          <t>5938</t>
        </is>
      </c>
      <c r="G2874" s="5" t="inlineStr">
        <is>
          <t>BRL</t>
        </is>
      </c>
      <c r="H2874" s="9" t="n">
        <v>-700</v>
      </c>
      <c r="I2874" s="16" t="n">
        <v>46257</v>
      </c>
      <c r="J2874" s="16" t="n">
        <v>46287</v>
      </c>
      <c r="K2874" s="5" t="inlineStr">
        <is>
          <t>Fatura - bruto SOMAR GASES COMERCIO E SERVICOS LTD</t>
        </is>
      </c>
      <c r="L2874" s="5" t="inlineStr">
        <is>
          <t>16092026</t>
        </is>
      </c>
      <c r="M2874" s="5">
        <f>IF(YEAR(I2874)&lt;=2020,"Até 2020",TEXT(YEAR(I2874),"0"))</f>
        <v/>
      </c>
      <c r="N2874" s="5">
        <f>IFERROR(INDEX(DePara!$A:$A,MATCH(TEXT(B2874,"0"),DePara!$D:$D,0)),"(sem categoria)")</f>
        <v/>
      </c>
      <c r="O2874" s="5">
        <f>IF(J2874="","",Parametros!$B$6-J2874)</f>
        <v/>
      </c>
      <c r="P2874" s="5">
        <f>IF(O2874="","",IF(O2874&gt;0,1,0))</f>
        <v/>
      </c>
    </row>
    <row r="2875">
      <c r="A2875" s="5" t="n">
        <v>2111000000</v>
      </c>
      <c r="B2875" s="5" t="inlineStr">
        <is>
          <t>101670</t>
        </is>
      </c>
      <c r="C2875" s="5" t="inlineStr">
        <is>
          <t>NSA BR ASSESSORIA TR E CO DE SE TO</t>
        </is>
      </c>
      <c r="D2875" s="5" t="inlineStr">
        <is>
          <t>RE</t>
        </is>
      </c>
      <c r="E2875" s="5" t="n">
        <v>5015914</v>
      </c>
      <c r="F2875" s="5" t="inlineStr">
        <is>
          <t>399</t>
        </is>
      </c>
      <c r="G2875" s="5" t="inlineStr">
        <is>
          <t>BRL</t>
        </is>
      </c>
      <c r="H2875" s="9" t="n">
        <v>-69892.87</v>
      </c>
      <c r="I2875" s="16" t="n">
        <v>46259</v>
      </c>
      <c r="J2875" s="16" t="n">
        <v>46269</v>
      </c>
      <c r="K2875" s="5" t="inlineStr">
        <is>
          <t>Fatura - bruto NSA BR ASSESSORIA TR E CO DE SE TO</t>
        </is>
      </c>
      <c r="L2875" s="5" t="inlineStr">
        <is>
          <t>02092026</t>
        </is>
      </c>
      <c r="M2875" s="5">
        <f>IF(YEAR(I2875)&lt;=2020,"Até 2020",TEXT(YEAR(I2875),"0"))</f>
        <v/>
      </c>
      <c r="N2875" s="5">
        <f>IFERROR(INDEX(DePara!$A:$A,MATCH(TEXT(B2875,"0"),DePara!$D:$D,0)),"(sem categoria)")</f>
        <v/>
      </c>
      <c r="O2875" s="5">
        <f>IF(J2875="","",Parametros!$B$6-J2875)</f>
        <v/>
      </c>
      <c r="P2875" s="5">
        <f>IF(O2875="","",IF(O2875&gt;0,1,0))</f>
        <v/>
      </c>
    </row>
    <row r="2876">
      <c r="A2876" s="5" t="n">
        <v>2111000000</v>
      </c>
      <c r="B2876" s="5" t="inlineStr">
        <is>
          <t>107759</t>
        </is>
      </c>
      <c r="C2876" s="5" t="inlineStr">
        <is>
          <t>AMBAR INOVAÇÕES SPE LTDA</t>
        </is>
      </c>
      <c r="D2876" s="5" t="inlineStr">
        <is>
          <t>RE</t>
        </is>
      </c>
      <c r="E2876" s="5" t="n">
        <v>5015915</v>
      </c>
      <c r="F2876" s="5" t="inlineStr">
        <is>
          <t>16794</t>
        </is>
      </c>
      <c r="G2876" s="5" t="inlineStr">
        <is>
          <t>BRL</t>
        </is>
      </c>
      <c r="H2876" s="9" t="n">
        <v>-2623.87</v>
      </c>
      <c r="I2876" s="16" t="n">
        <v>46205</v>
      </c>
      <c r="J2876" s="16" t="n">
        <v>46235</v>
      </c>
      <c r="K2876" s="5" t="inlineStr">
        <is>
          <t>Fatura - bruto AMBAR INOVAÇÕES SPE LTDA 16794</t>
        </is>
      </c>
      <c r="L2876" s="5" t="inlineStr">
        <is>
          <t>02092026</t>
        </is>
      </c>
      <c r="M2876" s="5">
        <f>IF(YEAR(I2876)&lt;=2020,"Até 2020",TEXT(YEAR(I2876),"0"))</f>
        <v/>
      </c>
      <c r="N2876" s="5">
        <f>IFERROR(INDEX(DePara!$A:$A,MATCH(TEXT(B2876,"0"),DePara!$D:$D,0)),"(sem categoria)")</f>
        <v/>
      </c>
      <c r="O2876" s="5">
        <f>IF(J2876="","",Parametros!$B$6-J2876)</f>
        <v/>
      </c>
      <c r="P2876" s="5">
        <f>IF(O2876="","",IF(O2876&gt;0,1,0))</f>
        <v/>
      </c>
    </row>
    <row r="2877">
      <c r="A2877" s="5" t="n">
        <v>2111000000</v>
      </c>
      <c r="B2877" s="5" t="inlineStr">
        <is>
          <t>101540</t>
        </is>
      </c>
      <c r="C2877" s="5" t="inlineStr">
        <is>
          <t>RICOH PY EQUIPAMENTOS DE INFORMATIC</t>
        </is>
      </c>
      <c r="D2877" s="5" t="inlineStr">
        <is>
          <t>RE</t>
        </is>
      </c>
      <c r="E2877" s="5" t="n">
        <v>5015916</v>
      </c>
      <c r="F2877" s="5" t="inlineStr">
        <is>
          <t>14586</t>
        </is>
      </c>
      <c r="G2877" s="5" t="inlineStr">
        <is>
          <t>BRL</t>
        </is>
      </c>
      <c r="H2877" s="9" t="n">
        <v>-1204.36</v>
      </c>
      <c r="I2877" s="16" t="n">
        <v>46136</v>
      </c>
      <c r="J2877" s="16" t="n">
        <v>46160</v>
      </c>
      <c r="K2877" s="5" t="inlineStr">
        <is>
          <t>Fatura - bruto RICOH PY EQUIPAMENTOS DE INFORMATIC</t>
        </is>
      </c>
      <c r="L2877" s="5" t="inlineStr">
        <is>
          <t>02092026</t>
        </is>
      </c>
      <c r="M2877" s="5">
        <f>IF(YEAR(I2877)&lt;=2020,"Até 2020",TEXT(YEAR(I2877),"0"))</f>
        <v/>
      </c>
      <c r="N2877" s="5">
        <f>IFERROR(INDEX(DePara!$A:$A,MATCH(TEXT(B2877,"0"),DePara!$D:$D,0)),"(sem categoria)")</f>
        <v/>
      </c>
      <c r="O2877" s="5">
        <f>IF(J2877="","",Parametros!$B$6-J2877)</f>
        <v/>
      </c>
      <c r="P2877" s="5">
        <f>IF(O2877="","",IF(O2877&gt;0,1,0))</f>
        <v/>
      </c>
    </row>
    <row r="2878">
      <c r="A2878" s="5" t="n">
        <v>2111000000</v>
      </c>
      <c r="B2878" s="5" t="inlineStr">
        <is>
          <t>100969</t>
        </is>
      </c>
      <c r="C2878" s="5" t="inlineStr">
        <is>
          <t>RONALDO LUIS DE SOUSA</t>
        </is>
      </c>
      <c r="D2878" s="5" t="inlineStr">
        <is>
          <t>RE</t>
        </is>
      </c>
      <c r="E2878" s="5" t="n">
        <v>5015917</v>
      </c>
      <c r="F2878" s="5" t="inlineStr">
        <is>
          <t>66</t>
        </is>
      </c>
      <c r="G2878" s="5" t="inlineStr">
        <is>
          <t>BRL</t>
        </is>
      </c>
      <c r="H2878" s="9" t="n">
        <v>-2305</v>
      </c>
      <c r="I2878" s="16" t="n">
        <v>46192</v>
      </c>
      <c r="J2878" s="16" t="n">
        <v>46239</v>
      </c>
      <c r="K2878" s="5" t="inlineStr">
        <is>
          <t>Fatura - bruto RONALDO LUIS DE SOUSA 66</t>
        </is>
      </c>
      <c r="L2878" s="5" t="inlineStr">
        <is>
          <t>02092026</t>
        </is>
      </c>
      <c r="M2878" s="5">
        <f>IF(YEAR(I2878)&lt;=2020,"Até 2020",TEXT(YEAR(I2878),"0"))</f>
        <v/>
      </c>
      <c r="N2878" s="5">
        <f>IFERROR(INDEX(DePara!$A:$A,MATCH(TEXT(B2878,"0"),DePara!$D:$D,0)),"(sem categoria)")</f>
        <v/>
      </c>
      <c r="O2878" s="5">
        <f>IF(J2878="","",Parametros!$B$6-J2878)</f>
        <v/>
      </c>
      <c r="P2878" s="5">
        <f>IF(O2878="","",IF(O2878&gt;0,1,0))</f>
        <v/>
      </c>
    </row>
    <row r="2879">
      <c r="A2879" s="5" t="n">
        <v>2111000000</v>
      </c>
      <c r="B2879" s="5" t="inlineStr">
        <is>
          <t>100883</t>
        </is>
      </c>
      <c r="C2879" s="5" t="inlineStr">
        <is>
          <t>QUELMAR TRANSPORTES LTDA</t>
        </is>
      </c>
      <c r="D2879" s="5" t="inlineStr">
        <is>
          <t>RE</t>
        </is>
      </c>
      <c r="E2879" s="5" t="n">
        <v>5015918</v>
      </c>
      <c r="F2879" s="5" t="inlineStr">
        <is>
          <t>108548-1</t>
        </is>
      </c>
      <c r="G2879" s="5" t="inlineStr">
        <is>
          <t>BRL</t>
        </is>
      </c>
      <c r="H2879" s="9" t="n">
        <v>-2800</v>
      </c>
      <c r="I2879" s="16" t="n">
        <v>46255</v>
      </c>
      <c r="J2879" s="16" t="n">
        <v>46300</v>
      </c>
      <c r="K2879" s="5" t="inlineStr">
        <is>
          <t>Fatura - bruto QUELMAR TRANSPORTES LTDA 108548-1</t>
        </is>
      </c>
      <c r="L2879" s="5" t="inlineStr">
        <is>
          <t>05102026</t>
        </is>
      </c>
      <c r="M2879" s="5">
        <f>IF(YEAR(I2879)&lt;=2020,"Até 2020",TEXT(YEAR(I2879),"0"))</f>
        <v/>
      </c>
      <c r="N2879" s="5">
        <f>IFERROR(INDEX(DePara!$A:$A,MATCH(TEXT(B2879,"0"),DePara!$D:$D,0)),"(sem categoria)")</f>
        <v/>
      </c>
      <c r="O2879" s="5">
        <f>IF(J2879="","",Parametros!$B$6-J2879)</f>
        <v/>
      </c>
      <c r="P2879" s="5">
        <f>IF(O2879="","",IF(O2879&gt;0,1,0))</f>
        <v/>
      </c>
    </row>
    <row r="2880">
      <c r="A2880" s="5" t="n">
        <v>2111000000</v>
      </c>
      <c r="B2880" s="5" t="inlineStr">
        <is>
          <t>101540</t>
        </is>
      </c>
      <c r="C2880" s="5" t="inlineStr">
        <is>
          <t>RICOH PY EQUIPAMENTOS DE INFORMATIC</t>
        </is>
      </c>
      <c r="D2880" s="5" t="inlineStr">
        <is>
          <t>RE</t>
        </is>
      </c>
      <c r="E2880" s="5" t="n">
        <v>5015919</v>
      </c>
      <c r="F2880" s="5" t="inlineStr">
        <is>
          <t>15036</t>
        </is>
      </c>
      <c r="G2880" s="5" t="inlineStr">
        <is>
          <t>BRL</t>
        </is>
      </c>
      <c r="H2880" s="9" t="n">
        <v>-1204.36</v>
      </c>
      <c r="I2880" s="16" t="n">
        <v>46230</v>
      </c>
      <c r="J2880" s="16" t="n">
        <v>46252</v>
      </c>
      <c r="K2880" s="5" t="inlineStr">
        <is>
          <t>Fatura - bruto RICOH PY EQUIPAMENTOS DE INFORMATIC</t>
        </is>
      </c>
      <c r="L2880" s="5" t="inlineStr">
        <is>
          <t>02092026</t>
        </is>
      </c>
      <c r="M2880" s="5">
        <f>IF(YEAR(I2880)&lt;=2020,"Até 2020",TEXT(YEAR(I2880),"0"))</f>
        <v/>
      </c>
      <c r="N2880" s="5">
        <f>IFERROR(INDEX(DePara!$A:$A,MATCH(TEXT(B2880,"0"),DePara!$D:$D,0)),"(sem categoria)")</f>
        <v/>
      </c>
      <c r="O2880" s="5">
        <f>IF(J2880="","",Parametros!$B$6-J2880)</f>
        <v/>
      </c>
      <c r="P2880" s="5">
        <f>IF(O2880="","",IF(O2880&gt;0,1,0))</f>
        <v/>
      </c>
    </row>
    <row r="2881">
      <c r="A2881" s="5" t="n">
        <v>2111000000</v>
      </c>
      <c r="B2881" s="5" t="inlineStr">
        <is>
          <t>100883</t>
        </is>
      </c>
      <c r="C2881" s="5" t="inlineStr">
        <is>
          <t>QUELMAR TRANSPORTES LTDA</t>
        </is>
      </c>
      <c r="D2881" s="5" t="inlineStr">
        <is>
          <t>RE</t>
        </is>
      </c>
      <c r="E2881" s="5" t="n">
        <v>5015920</v>
      </c>
      <c r="F2881" s="5" t="inlineStr">
        <is>
          <t>108549-1</t>
        </is>
      </c>
      <c r="G2881" s="5" t="inlineStr">
        <is>
          <t>BRL</t>
        </is>
      </c>
      <c r="H2881" s="9" t="n">
        <v>-2800</v>
      </c>
      <c r="I2881" s="16" t="n">
        <v>46255</v>
      </c>
      <c r="J2881" s="16" t="n">
        <v>46300</v>
      </c>
      <c r="K2881" s="5" t="inlineStr">
        <is>
          <t>Fatura - bruto QUELMAR TRANSPORTES LTDA 108549-1</t>
        </is>
      </c>
      <c r="L2881" s="5" t="inlineStr">
        <is>
          <t>05102026</t>
        </is>
      </c>
      <c r="M2881" s="5">
        <f>IF(YEAR(I2881)&lt;=2020,"Até 2020",TEXT(YEAR(I2881),"0"))</f>
        <v/>
      </c>
      <c r="N2881" s="5">
        <f>IFERROR(INDEX(DePara!$A:$A,MATCH(TEXT(B2881,"0"),DePara!$D:$D,0)),"(sem categoria)")</f>
        <v/>
      </c>
      <c r="O2881" s="5">
        <f>IF(J2881="","",Parametros!$B$6-J2881)</f>
        <v/>
      </c>
      <c r="P2881" s="5">
        <f>IF(O2881="","",IF(O2881&gt;0,1,0))</f>
        <v/>
      </c>
    </row>
    <row r="2882">
      <c r="A2882" s="5" t="n">
        <v>2111000000</v>
      </c>
      <c r="B2882" s="5" t="inlineStr">
        <is>
          <t>100883</t>
        </is>
      </c>
      <c r="C2882" s="5" t="inlineStr">
        <is>
          <t>QUELMAR TRANSPORTES LTDA</t>
        </is>
      </c>
      <c r="D2882" s="5" t="inlineStr">
        <is>
          <t>RE</t>
        </is>
      </c>
      <c r="E2882" s="5" t="n">
        <v>5015921</v>
      </c>
      <c r="F2882" s="5" t="inlineStr">
        <is>
          <t>108552-1</t>
        </is>
      </c>
      <c r="G2882" s="5" t="inlineStr">
        <is>
          <t>BRL</t>
        </is>
      </c>
      <c r="H2882" s="9" t="n">
        <v>-3980</v>
      </c>
      <c r="I2882" s="16" t="n">
        <v>46255</v>
      </c>
      <c r="J2882" s="16" t="n">
        <v>46300</v>
      </c>
      <c r="K2882" s="5" t="inlineStr">
        <is>
          <t>Fatura - bruto QUELMAR TRANSPORTES LTDA 108552-1</t>
        </is>
      </c>
      <c r="L2882" s="5" t="inlineStr">
        <is>
          <t>05102026</t>
        </is>
      </c>
      <c r="M2882" s="5">
        <f>IF(YEAR(I2882)&lt;=2020,"Até 2020",TEXT(YEAR(I2882),"0"))</f>
        <v/>
      </c>
      <c r="N2882" s="5">
        <f>IFERROR(INDEX(DePara!$A:$A,MATCH(TEXT(B2882,"0"),DePara!$D:$D,0)),"(sem categoria)")</f>
        <v/>
      </c>
      <c r="O2882" s="5">
        <f>IF(J2882="","",Parametros!$B$6-J2882)</f>
        <v/>
      </c>
      <c r="P2882" s="5">
        <f>IF(O2882="","",IF(O2882&gt;0,1,0))</f>
        <v/>
      </c>
    </row>
    <row r="2883">
      <c r="A2883" s="5" t="n">
        <v>2111000000</v>
      </c>
      <c r="B2883" s="5" t="inlineStr">
        <is>
          <t>101540</t>
        </is>
      </c>
      <c r="C2883" s="5" t="inlineStr">
        <is>
          <t>RICOH PY EQUIPAMENTOS DE INFORMATIC</t>
        </is>
      </c>
      <c r="D2883" s="5" t="inlineStr">
        <is>
          <t>RE</t>
        </is>
      </c>
      <c r="E2883" s="5" t="n">
        <v>5015922</v>
      </c>
      <c r="F2883" s="5" t="inlineStr">
        <is>
          <t>14813</t>
        </is>
      </c>
      <c r="G2883" s="5" t="inlineStr">
        <is>
          <t>BRL</t>
        </is>
      </c>
      <c r="H2883" s="9" t="n">
        <v>-1204.36</v>
      </c>
      <c r="I2883" s="16" t="n">
        <v>46195</v>
      </c>
      <c r="J2883" s="16" t="n">
        <v>46221</v>
      </c>
      <c r="K2883" s="5" t="inlineStr">
        <is>
          <t>Fatura - bruto RICOH PY EQUIPAMENTOS DE INFORMATIC</t>
        </is>
      </c>
      <c r="L2883" s="5" t="inlineStr">
        <is>
          <t>02092026</t>
        </is>
      </c>
      <c r="M2883" s="5">
        <f>IF(YEAR(I2883)&lt;=2020,"Até 2020",TEXT(YEAR(I2883),"0"))</f>
        <v/>
      </c>
      <c r="N2883" s="5">
        <f>IFERROR(INDEX(DePara!$A:$A,MATCH(TEXT(B2883,"0"),DePara!$D:$D,0)),"(sem categoria)")</f>
        <v/>
      </c>
      <c r="O2883" s="5">
        <f>IF(J2883="","",Parametros!$B$6-J2883)</f>
        <v/>
      </c>
      <c r="P2883" s="5">
        <f>IF(O2883="","",IF(O2883&gt;0,1,0))</f>
        <v/>
      </c>
    </row>
    <row r="2884">
      <c r="A2884" s="5" t="n">
        <v>2111000000</v>
      </c>
      <c r="B2884" s="5" t="inlineStr">
        <is>
          <t>101048</t>
        </is>
      </c>
      <c r="C2884" s="5" t="inlineStr">
        <is>
          <t>M R DE MEDEIROS</t>
        </is>
      </c>
      <c r="D2884" s="5" t="inlineStr">
        <is>
          <t>RE</t>
        </is>
      </c>
      <c r="E2884" s="5" t="n">
        <v>5015923</v>
      </c>
      <c r="F2884" s="5" t="inlineStr">
        <is>
          <t>2640-1</t>
        </is>
      </c>
      <c r="G2884" s="5" t="inlineStr">
        <is>
          <t>BRL</t>
        </is>
      </c>
      <c r="H2884" s="9" t="n">
        <v>-3494</v>
      </c>
      <c r="I2884" s="16" t="n">
        <v>46254</v>
      </c>
      <c r="J2884" s="16" t="n">
        <v>46269</v>
      </c>
      <c r="K2884" s="5" t="inlineStr">
        <is>
          <t>Fatura - bruto M R DE MEDEIROS 2640-1</t>
        </is>
      </c>
      <c r="L2884" s="5" t="inlineStr">
        <is>
          <t>02092026</t>
        </is>
      </c>
      <c r="M2884" s="5">
        <f>IF(YEAR(I2884)&lt;=2020,"Até 2020",TEXT(YEAR(I2884),"0"))</f>
        <v/>
      </c>
      <c r="N2884" s="5">
        <f>IFERROR(INDEX(DePara!$A:$A,MATCH(TEXT(B2884,"0"),DePara!$D:$D,0)),"(sem categoria)")</f>
        <v/>
      </c>
      <c r="O2884" s="5">
        <f>IF(J2884="","",Parametros!$B$6-J2884)</f>
        <v/>
      </c>
      <c r="P2884" s="5">
        <f>IF(O2884="","",IF(O2884&gt;0,1,0))</f>
        <v/>
      </c>
    </row>
    <row r="2885">
      <c r="A2885" s="5" t="n">
        <v>2111000000</v>
      </c>
      <c r="B2885" s="5" t="inlineStr">
        <is>
          <t>106040</t>
        </is>
      </c>
      <c r="C2885" s="5" t="inlineStr">
        <is>
          <t>WANTEL TECNOLOGIA LTDA</t>
        </is>
      </c>
      <c r="D2885" s="5" t="inlineStr">
        <is>
          <t>RE</t>
        </is>
      </c>
      <c r="E2885" s="5" t="n">
        <v>5015924</v>
      </c>
      <c r="F2885" s="5" t="inlineStr">
        <is>
          <t>1120257</t>
        </is>
      </c>
      <c r="G2885" s="5" t="inlineStr">
        <is>
          <t>BRL</t>
        </is>
      </c>
      <c r="H2885" s="9" t="n">
        <v>-240</v>
      </c>
      <c r="I2885" s="16" t="n">
        <v>46238</v>
      </c>
      <c r="J2885" s="16" t="n">
        <v>46238</v>
      </c>
      <c r="K2885" s="5" t="inlineStr">
        <is>
          <t>Fatura - bruto WANTEL TECNOLOGIA LTDA 1120257</t>
        </is>
      </c>
      <c r="L2885" s="5" t="inlineStr">
        <is>
          <t>02092026</t>
        </is>
      </c>
      <c r="M2885" s="5">
        <f>IF(YEAR(I2885)&lt;=2020,"Até 2020",TEXT(YEAR(I2885),"0"))</f>
        <v/>
      </c>
      <c r="N2885" s="5">
        <f>IFERROR(INDEX(DePara!$A:$A,MATCH(TEXT(B2885,"0"),DePara!$D:$D,0)),"(sem categoria)")</f>
        <v/>
      </c>
      <c r="O2885" s="5">
        <f>IF(J2885="","",Parametros!$B$6-J2885)</f>
        <v/>
      </c>
      <c r="P2885" s="5">
        <f>IF(O2885="","",IF(O2885&gt;0,1,0))</f>
        <v/>
      </c>
    </row>
    <row r="2886">
      <c r="A2886" s="5" t="n">
        <v>2111000000</v>
      </c>
      <c r="B2886" s="5" t="inlineStr">
        <is>
          <t>100883</t>
        </is>
      </c>
      <c r="C2886" s="5" t="inlineStr">
        <is>
          <t>QUELMAR TRANSPORTES LTDA</t>
        </is>
      </c>
      <c r="D2886" s="5" t="inlineStr">
        <is>
          <t>RE</t>
        </is>
      </c>
      <c r="E2886" s="5" t="n">
        <v>5015925</v>
      </c>
      <c r="F2886" s="5" t="inlineStr">
        <is>
          <t>108529-1</t>
        </is>
      </c>
      <c r="G2886" s="5" t="inlineStr">
        <is>
          <t>BRL</t>
        </is>
      </c>
      <c r="H2886" s="9" t="n">
        <v>-1748.78</v>
      </c>
      <c r="I2886" s="16" t="n">
        <v>46255</v>
      </c>
      <c r="J2886" s="16" t="n">
        <v>46300</v>
      </c>
      <c r="K2886" s="5" t="inlineStr">
        <is>
          <t>Fatura - bruto QUELMAR TRANSPORTES LTDA 108529-1</t>
        </is>
      </c>
      <c r="L2886" s="5" t="inlineStr">
        <is>
          <t>05102026</t>
        </is>
      </c>
      <c r="M2886" s="5">
        <f>IF(YEAR(I2886)&lt;=2020,"Até 2020",TEXT(YEAR(I2886),"0"))</f>
        <v/>
      </c>
      <c r="N2886" s="5">
        <f>IFERROR(INDEX(DePara!$A:$A,MATCH(TEXT(B2886,"0"),DePara!$D:$D,0)),"(sem categoria)")</f>
        <v/>
      </c>
      <c r="O2886" s="5">
        <f>IF(J2886="","",Parametros!$B$6-J2886)</f>
        <v/>
      </c>
      <c r="P2886" s="5">
        <f>IF(O2886="","",IF(O2886&gt;0,1,0))</f>
        <v/>
      </c>
    </row>
    <row r="2887">
      <c r="A2887" s="5" t="n">
        <v>2111000000</v>
      </c>
      <c r="B2887" s="5" t="inlineStr">
        <is>
          <t>100883</t>
        </is>
      </c>
      <c r="C2887" s="5" t="inlineStr">
        <is>
          <t>QUELMAR TRANSPORTES LTDA</t>
        </is>
      </c>
      <c r="D2887" s="5" t="inlineStr">
        <is>
          <t>RE</t>
        </is>
      </c>
      <c r="E2887" s="5" t="n">
        <v>5015926</v>
      </c>
      <c r="F2887" s="5" t="inlineStr">
        <is>
          <t>108534-1</t>
        </is>
      </c>
      <c r="G2887" s="5" t="inlineStr">
        <is>
          <t>BRL</t>
        </is>
      </c>
      <c r="H2887" s="9" t="n">
        <v>-1748.78</v>
      </c>
      <c r="I2887" s="16" t="n">
        <v>46255</v>
      </c>
      <c r="J2887" s="16" t="n">
        <v>46300</v>
      </c>
      <c r="K2887" s="5" t="inlineStr">
        <is>
          <t>Fatura - bruto QUELMAR TRANSPORTES LTDA 108534-1</t>
        </is>
      </c>
      <c r="L2887" s="5" t="inlineStr">
        <is>
          <t>05102026</t>
        </is>
      </c>
      <c r="M2887" s="5">
        <f>IF(YEAR(I2887)&lt;=2020,"Até 2020",TEXT(YEAR(I2887),"0"))</f>
        <v/>
      </c>
      <c r="N2887" s="5">
        <f>IFERROR(INDEX(DePara!$A:$A,MATCH(TEXT(B2887,"0"),DePara!$D:$D,0)),"(sem categoria)")</f>
        <v/>
      </c>
      <c r="O2887" s="5">
        <f>IF(J2887="","",Parametros!$B$6-J2887)</f>
        <v/>
      </c>
      <c r="P2887" s="5">
        <f>IF(O2887="","",IF(O2887&gt;0,1,0))</f>
        <v/>
      </c>
    </row>
    <row r="2888">
      <c r="A2888" s="5" t="n">
        <v>2111000000</v>
      </c>
      <c r="B2888" s="5" t="inlineStr">
        <is>
          <t>100883</t>
        </is>
      </c>
      <c r="C2888" s="5" t="inlineStr">
        <is>
          <t>QUELMAR TRANSPORTES LTDA</t>
        </is>
      </c>
      <c r="D2888" s="5" t="inlineStr">
        <is>
          <t>RE</t>
        </is>
      </c>
      <c r="E2888" s="5" t="n">
        <v>5015927</v>
      </c>
      <c r="F2888" s="5" t="inlineStr">
        <is>
          <t>108538-1</t>
        </is>
      </c>
      <c r="G2888" s="5" t="inlineStr">
        <is>
          <t>BRL</t>
        </is>
      </c>
      <c r="H2888" s="9" t="n">
        <v>-1748.78</v>
      </c>
      <c r="I2888" s="16" t="n">
        <v>46255</v>
      </c>
      <c r="J2888" s="16" t="n">
        <v>46300</v>
      </c>
      <c r="K2888" s="5" t="inlineStr">
        <is>
          <t>Fatura - bruto QUELMAR TRANSPORTES LTDA 108538-1</t>
        </is>
      </c>
      <c r="L2888" s="5" t="inlineStr">
        <is>
          <t>05102026</t>
        </is>
      </c>
      <c r="M2888" s="5">
        <f>IF(YEAR(I2888)&lt;=2020,"Até 2020",TEXT(YEAR(I2888),"0"))</f>
        <v/>
      </c>
      <c r="N2888" s="5">
        <f>IFERROR(INDEX(DePara!$A:$A,MATCH(TEXT(B2888,"0"),DePara!$D:$D,0)),"(sem categoria)")</f>
        <v/>
      </c>
      <c r="O2888" s="5">
        <f>IF(J2888="","",Parametros!$B$6-J2888)</f>
        <v/>
      </c>
      <c r="P2888" s="5">
        <f>IF(O2888="","",IF(O2888&gt;0,1,0))</f>
        <v/>
      </c>
    </row>
    <row r="2889">
      <c r="A2889" s="5" t="n">
        <v>2111000000</v>
      </c>
      <c r="B2889" s="5" t="inlineStr">
        <is>
          <t>107759</t>
        </is>
      </c>
      <c r="C2889" s="5" t="inlineStr">
        <is>
          <t>AMBAR INOVAÇÕES SPE LTDA</t>
        </is>
      </c>
      <c r="D2889" s="5" t="inlineStr">
        <is>
          <t>RE</t>
        </is>
      </c>
      <c r="E2889" s="5" t="n">
        <v>5015928</v>
      </c>
      <c r="F2889" s="5" t="inlineStr">
        <is>
          <t>18896</t>
        </is>
      </c>
      <c r="G2889" s="5" t="inlineStr">
        <is>
          <t>BRL</t>
        </is>
      </c>
      <c r="H2889" s="9" t="n">
        <v>-2500</v>
      </c>
      <c r="I2889" s="16" t="n">
        <v>46254</v>
      </c>
      <c r="J2889" s="16" t="n">
        <v>46284</v>
      </c>
      <c r="K2889" s="5" t="inlineStr">
        <is>
          <t>Fatura - bruto AMBAR INOVAÇÕES SPE LTDA 18896</t>
        </is>
      </c>
      <c r="L2889" s="5" t="inlineStr">
        <is>
          <t>16092026</t>
        </is>
      </c>
      <c r="M2889" s="5">
        <f>IF(YEAR(I2889)&lt;=2020,"Até 2020",TEXT(YEAR(I2889),"0"))</f>
        <v/>
      </c>
      <c r="N2889" s="5">
        <f>IFERROR(INDEX(DePara!$A:$A,MATCH(TEXT(B2889,"0"),DePara!$D:$D,0)),"(sem categoria)")</f>
        <v/>
      </c>
      <c r="O2889" s="5">
        <f>IF(J2889="","",Parametros!$B$6-J2889)</f>
        <v/>
      </c>
      <c r="P2889" s="5">
        <f>IF(O2889="","",IF(O2889&gt;0,1,0))</f>
        <v/>
      </c>
    </row>
    <row r="2890">
      <c r="A2890" s="5" t="n">
        <v>2111000000</v>
      </c>
      <c r="B2890" s="5" t="inlineStr">
        <is>
          <t>103927</t>
        </is>
      </c>
      <c r="C2890" s="5" t="inlineStr">
        <is>
          <t>MOVIDA PARTICIPACOES</t>
        </is>
      </c>
      <c r="D2890" s="5" t="inlineStr">
        <is>
          <t>RE</t>
        </is>
      </c>
      <c r="E2890" s="5" t="n">
        <v>5015929</v>
      </c>
      <c r="F2890" s="5" t="inlineStr">
        <is>
          <t>800181</t>
        </is>
      </c>
      <c r="G2890" s="5" t="inlineStr">
        <is>
          <t>BRL</t>
        </is>
      </c>
      <c r="H2890" s="9" t="n">
        <v>-390734.01</v>
      </c>
      <c r="I2890" s="16" t="n">
        <v>46245</v>
      </c>
      <c r="J2890" s="16" t="n">
        <v>46275</v>
      </c>
      <c r="K2890" s="5" t="inlineStr">
        <is>
          <t>Fatura - bruto MOVIDA PARTICIPACOES 800181</t>
        </is>
      </c>
      <c r="L2890" s="5" t="inlineStr">
        <is>
          <t>09092026</t>
        </is>
      </c>
      <c r="M2890" s="5">
        <f>IF(YEAR(I2890)&lt;=2020,"Até 2020",TEXT(YEAR(I2890),"0"))</f>
        <v/>
      </c>
      <c r="N2890" s="5">
        <f>IFERROR(INDEX(DePara!$A:$A,MATCH(TEXT(B2890,"0"),DePara!$D:$D,0)),"(sem categoria)")</f>
        <v/>
      </c>
      <c r="O2890" s="5">
        <f>IF(J2890="","",Parametros!$B$6-J2890)</f>
        <v/>
      </c>
      <c r="P2890" s="5">
        <f>IF(O2890="","",IF(O2890&gt;0,1,0))</f>
        <v/>
      </c>
    </row>
    <row r="2891">
      <c r="A2891" s="5" t="n">
        <v>2111000000</v>
      </c>
      <c r="B2891" s="5" t="inlineStr">
        <is>
          <t>100379</t>
        </is>
      </c>
      <c r="C2891" s="5" t="inlineStr">
        <is>
          <t>RAK LOG TRANSPORTES E LOGISTICA EIR</t>
        </is>
      </c>
      <c r="D2891" s="5" t="inlineStr">
        <is>
          <t>RE</t>
        </is>
      </c>
      <c r="E2891" s="5" t="n">
        <v>5015930</v>
      </c>
      <c r="F2891" s="5" t="inlineStr">
        <is>
          <t>337520-1</t>
        </is>
      </c>
      <c r="G2891" s="5" t="inlineStr">
        <is>
          <t>BRL</t>
        </is>
      </c>
      <c r="H2891" s="9" t="n">
        <v>-9396.26</v>
      </c>
      <c r="I2891" s="16" t="n">
        <v>46232</v>
      </c>
      <c r="J2891" s="16" t="n">
        <v>46300</v>
      </c>
      <c r="K2891" s="5" t="inlineStr">
        <is>
          <t>Fatura - bruto RAK LOG TRANSPORTES E LOGISTICA EIR</t>
        </is>
      </c>
      <c r="L2891" s="5" t="inlineStr">
        <is>
          <t>05102026</t>
        </is>
      </c>
      <c r="M2891" s="5">
        <f>IF(YEAR(I2891)&lt;=2020,"Até 2020",TEXT(YEAR(I2891),"0"))</f>
        <v/>
      </c>
      <c r="N2891" s="5">
        <f>IFERROR(INDEX(DePara!$A:$A,MATCH(TEXT(B2891,"0"),DePara!$D:$D,0)),"(sem categoria)")</f>
        <v/>
      </c>
      <c r="O2891" s="5">
        <f>IF(J2891="","",Parametros!$B$6-J2891)</f>
        <v/>
      </c>
      <c r="P2891" s="5">
        <f>IF(O2891="","",IF(O2891&gt;0,1,0))</f>
        <v/>
      </c>
    </row>
    <row r="2892">
      <c r="A2892" s="5" t="n">
        <v>2111000000</v>
      </c>
      <c r="B2892" s="5" t="inlineStr">
        <is>
          <t>100379</t>
        </is>
      </c>
      <c r="C2892" s="5" t="inlineStr">
        <is>
          <t>RAK LOG TRANSPORTES E LOGISTICA EIR</t>
        </is>
      </c>
      <c r="D2892" s="5" t="inlineStr">
        <is>
          <t>RE</t>
        </is>
      </c>
      <c r="E2892" s="5" t="n">
        <v>5015931</v>
      </c>
      <c r="F2892" s="5" t="inlineStr">
        <is>
          <t>337558-1</t>
        </is>
      </c>
      <c r="G2892" s="5" t="inlineStr">
        <is>
          <t>BRL</t>
        </is>
      </c>
      <c r="H2892" s="9" t="n">
        <v>-9396.26</v>
      </c>
      <c r="I2892" s="16" t="n">
        <v>46232</v>
      </c>
      <c r="J2892" s="16" t="n">
        <v>46300</v>
      </c>
      <c r="K2892" s="5" t="inlineStr">
        <is>
          <t>Fatura - bruto RAK LOG TRANSPORTES E LOGISTICA EIR</t>
        </is>
      </c>
      <c r="L2892" s="5" t="inlineStr">
        <is>
          <t>05102026</t>
        </is>
      </c>
      <c r="M2892" s="5">
        <f>IF(YEAR(I2892)&lt;=2020,"Até 2020",TEXT(YEAR(I2892),"0"))</f>
        <v/>
      </c>
      <c r="N2892" s="5">
        <f>IFERROR(INDEX(DePara!$A:$A,MATCH(TEXT(B2892,"0"),DePara!$D:$D,0)),"(sem categoria)")</f>
        <v/>
      </c>
      <c r="O2892" s="5">
        <f>IF(J2892="","",Parametros!$B$6-J2892)</f>
        <v/>
      </c>
      <c r="P2892" s="5">
        <f>IF(O2892="","",IF(O2892&gt;0,1,0))</f>
        <v/>
      </c>
    </row>
    <row r="2893">
      <c r="A2893" s="5" t="n">
        <v>2111000000</v>
      </c>
      <c r="B2893" s="5" t="inlineStr">
        <is>
          <t>100379</t>
        </is>
      </c>
      <c r="C2893" s="5" t="inlineStr">
        <is>
          <t>RAK LOG TRANSPORTES E LOGISTICA EIR</t>
        </is>
      </c>
      <c r="D2893" s="5" t="inlineStr">
        <is>
          <t>RE</t>
        </is>
      </c>
      <c r="E2893" s="5" t="n">
        <v>5015932</v>
      </c>
      <c r="F2893" s="5" t="inlineStr">
        <is>
          <t>337658-1</t>
        </is>
      </c>
      <c r="G2893" s="5" t="inlineStr">
        <is>
          <t>BRL</t>
        </is>
      </c>
      <c r="H2893" s="9" t="n">
        <v>-9396.26</v>
      </c>
      <c r="I2893" s="16" t="n">
        <v>46233</v>
      </c>
      <c r="J2893" s="16" t="n">
        <v>46300</v>
      </c>
      <c r="K2893" s="5" t="inlineStr">
        <is>
          <t>Fatura - bruto RAK LOG TRANSPORTES E LOGISTICA EIR</t>
        </is>
      </c>
      <c r="L2893" s="5" t="inlineStr">
        <is>
          <t>05102026</t>
        </is>
      </c>
      <c r="M2893" s="5">
        <f>IF(YEAR(I2893)&lt;=2020,"Até 2020",TEXT(YEAR(I2893),"0"))</f>
        <v/>
      </c>
      <c r="N2893" s="5">
        <f>IFERROR(INDEX(DePara!$A:$A,MATCH(TEXT(B2893,"0"),DePara!$D:$D,0)),"(sem categoria)")</f>
        <v/>
      </c>
      <c r="O2893" s="5">
        <f>IF(J2893="","",Parametros!$B$6-J2893)</f>
        <v/>
      </c>
      <c r="P2893" s="5">
        <f>IF(O2893="","",IF(O2893&gt;0,1,0))</f>
        <v/>
      </c>
    </row>
    <row r="2894">
      <c r="A2894" s="5" t="n">
        <v>2111000000</v>
      </c>
      <c r="B2894" s="5" t="inlineStr">
        <is>
          <t>100883</t>
        </is>
      </c>
      <c r="C2894" s="5" t="inlineStr">
        <is>
          <t>QUELMAR TRANSPORTES LTDA</t>
        </is>
      </c>
      <c r="D2894" s="5" t="inlineStr">
        <is>
          <t>RE</t>
        </is>
      </c>
      <c r="E2894" s="5" t="n">
        <v>5015933</v>
      </c>
      <c r="F2894" s="5" t="inlineStr">
        <is>
          <t>108542-1</t>
        </is>
      </c>
      <c r="G2894" s="5" t="inlineStr">
        <is>
          <t>BRL</t>
        </is>
      </c>
      <c r="H2894" s="9" t="n">
        <v>-1748.78</v>
      </c>
      <c r="I2894" s="16" t="n">
        <v>46255</v>
      </c>
      <c r="J2894" s="16" t="n">
        <v>46300</v>
      </c>
      <c r="K2894" s="5" t="inlineStr">
        <is>
          <t>Fatura - bruto QUELMAR TRANSPORTES LTDA 108542-1</t>
        </is>
      </c>
      <c r="L2894" s="5" t="inlineStr">
        <is>
          <t>05102026</t>
        </is>
      </c>
      <c r="M2894" s="5">
        <f>IF(YEAR(I2894)&lt;=2020,"Até 2020",TEXT(YEAR(I2894),"0"))</f>
        <v/>
      </c>
      <c r="N2894" s="5">
        <f>IFERROR(INDEX(DePara!$A:$A,MATCH(TEXT(B2894,"0"),DePara!$D:$D,0)),"(sem categoria)")</f>
        <v/>
      </c>
      <c r="O2894" s="5">
        <f>IF(J2894="","",Parametros!$B$6-J2894)</f>
        <v/>
      </c>
      <c r="P2894" s="5">
        <f>IF(O2894="","",IF(O2894&gt;0,1,0))</f>
        <v/>
      </c>
    </row>
    <row r="2895">
      <c r="A2895" s="5" t="n">
        <v>2111000000</v>
      </c>
      <c r="B2895" s="5" t="inlineStr">
        <is>
          <t>100031</t>
        </is>
      </c>
      <c r="C2895" s="5" t="inlineStr">
        <is>
          <t>MEGAWIND INDUSTRIA E COMERCIO</t>
        </is>
      </c>
      <c r="D2895" s="5" t="inlineStr">
        <is>
          <t>RE</t>
        </is>
      </c>
      <c r="E2895" s="5" t="n">
        <v>5015934</v>
      </c>
      <c r="F2895" s="5" t="inlineStr">
        <is>
          <t>1482</t>
        </is>
      </c>
      <c r="G2895" s="5" t="inlineStr">
        <is>
          <t>BRL</t>
        </is>
      </c>
      <c r="H2895" s="9" t="n">
        <v>-210000</v>
      </c>
      <c r="I2895" s="16" t="n">
        <v>46259</v>
      </c>
      <c r="J2895" s="16" t="n">
        <v>46300</v>
      </c>
      <c r="K2895" s="5" t="inlineStr">
        <is>
          <t>Fatura - bruto MEGAWIND INDUSTRIA E COMERCIO 1482</t>
        </is>
      </c>
      <c r="L2895" s="5" t="inlineStr">
        <is>
          <t>05102026</t>
        </is>
      </c>
      <c r="M2895" s="5">
        <f>IF(YEAR(I2895)&lt;=2020,"Até 2020",TEXT(YEAR(I2895),"0"))</f>
        <v/>
      </c>
      <c r="N2895" s="5">
        <f>IFERROR(INDEX(DePara!$A:$A,MATCH(TEXT(B2895,"0"),DePara!$D:$D,0)),"(sem categoria)")</f>
        <v/>
      </c>
      <c r="O2895" s="5">
        <f>IF(J2895="","",Parametros!$B$6-J2895)</f>
        <v/>
      </c>
      <c r="P2895" s="5">
        <f>IF(O2895="","",IF(O2895&gt;0,1,0))</f>
        <v/>
      </c>
    </row>
    <row r="2896">
      <c r="A2896" s="5" t="n">
        <v>2111000000</v>
      </c>
      <c r="B2896" s="5" t="inlineStr">
        <is>
          <t>107644</t>
        </is>
      </c>
      <c r="C2896" s="5" t="inlineStr">
        <is>
          <t>FIRST ENGLISH SCHOOL IDIOMAS LTDA</t>
        </is>
      </c>
      <c r="D2896" s="5" t="inlineStr">
        <is>
          <t>RE</t>
        </is>
      </c>
      <c r="E2896" s="5" t="n">
        <v>5015935</v>
      </c>
      <c r="F2896" s="5" t="inlineStr">
        <is>
          <t>243</t>
        </is>
      </c>
      <c r="G2896" s="5" t="inlineStr">
        <is>
          <t>BRL</t>
        </is>
      </c>
      <c r="H2896" s="9" t="n">
        <v>-3714</v>
      </c>
      <c r="I2896" s="16" t="n">
        <v>46254</v>
      </c>
      <c r="J2896" s="16" t="n">
        <v>46300</v>
      </c>
      <c r="K2896" s="5" t="inlineStr">
        <is>
          <t>Fatura - bruto FIRST ENGLISH SCHOOL IDIOMAS LTDA 2</t>
        </is>
      </c>
      <c r="L2896" s="5" t="inlineStr">
        <is>
          <t>05102026</t>
        </is>
      </c>
      <c r="M2896" s="5">
        <f>IF(YEAR(I2896)&lt;=2020,"Até 2020",TEXT(YEAR(I2896),"0"))</f>
        <v/>
      </c>
      <c r="N2896" s="5">
        <f>IFERROR(INDEX(DePara!$A:$A,MATCH(TEXT(B2896,"0"),DePara!$D:$D,0)),"(sem categoria)")</f>
        <v/>
      </c>
      <c r="O2896" s="5">
        <f>IF(J2896="","",Parametros!$B$6-J2896)</f>
        <v/>
      </c>
      <c r="P2896" s="5">
        <f>IF(O2896="","",IF(O2896&gt;0,1,0))</f>
        <v/>
      </c>
    </row>
    <row r="2897">
      <c r="A2897" s="5" t="n">
        <v>2111000000</v>
      </c>
      <c r="B2897" s="5" t="inlineStr">
        <is>
          <t>101703</t>
        </is>
      </c>
      <c r="C2897" s="5" t="inlineStr">
        <is>
          <t>ARK TEC GUARDA DE DOCUMENTOS LTDA</t>
        </is>
      </c>
      <c r="D2897" s="5" t="inlineStr">
        <is>
          <t>RE</t>
        </is>
      </c>
      <c r="E2897" s="5" t="n">
        <v>5015936</v>
      </c>
      <c r="F2897" s="5" t="inlineStr">
        <is>
          <t>559289</t>
        </is>
      </c>
      <c r="G2897" s="5" t="inlineStr">
        <is>
          <t>BRL</t>
        </is>
      </c>
      <c r="H2897" s="9" t="n">
        <v>-1303.64</v>
      </c>
      <c r="I2897" s="16" t="n">
        <v>46260</v>
      </c>
      <c r="J2897" s="16" t="n">
        <v>46307</v>
      </c>
      <c r="K2897" s="5" t="inlineStr">
        <is>
          <t>Fatura - bruto ARK TEC GUARDA DE DOCUMENTOS LTDA 5</t>
        </is>
      </c>
      <c r="L2897" s="5" t="inlineStr">
        <is>
          <t>07102026</t>
        </is>
      </c>
      <c r="M2897" s="5">
        <f>IF(YEAR(I2897)&lt;=2020,"Até 2020",TEXT(YEAR(I2897),"0"))</f>
        <v/>
      </c>
      <c r="N2897" s="5">
        <f>IFERROR(INDEX(DePara!$A:$A,MATCH(TEXT(B2897,"0"),DePara!$D:$D,0)),"(sem categoria)")</f>
        <v/>
      </c>
      <c r="O2897" s="5">
        <f>IF(J2897="","",Parametros!$B$6-J2897)</f>
        <v/>
      </c>
      <c r="P2897" s="5">
        <f>IF(O2897="","",IF(O2897&gt;0,1,0))</f>
        <v/>
      </c>
    </row>
    <row r="2898">
      <c r="A2898" s="5" t="n">
        <v>2111000000</v>
      </c>
      <c r="B2898" s="5" t="inlineStr">
        <is>
          <t>105984</t>
        </is>
      </c>
      <c r="C2898" s="5" t="inlineStr">
        <is>
          <t>TRADEWORKS SERVICOS DE COMERCIO EXT 04955748000107</t>
        </is>
      </c>
      <c r="D2898" s="5" t="inlineStr">
        <is>
          <t>RE</t>
        </is>
      </c>
      <c r="E2898" s="5" t="n">
        <v>5015946</v>
      </c>
      <c r="F2898" s="5" t="inlineStr">
        <is>
          <t>93702</t>
        </is>
      </c>
      <c r="G2898" s="5" t="inlineStr">
        <is>
          <t>BRL</t>
        </is>
      </c>
      <c r="H2898" s="9" t="n">
        <v>-1337.76</v>
      </c>
      <c r="I2898" s="16" t="n">
        <v>46251</v>
      </c>
      <c r="J2898" s="16" t="n">
        <v>46281</v>
      </c>
      <c r="K2898" s="5" t="inlineStr">
        <is>
          <t>Fatura - bruto TRADEWORKS SERVICOS DE COMERCIO EXT</t>
        </is>
      </c>
      <c r="L2898" s="5" t="inlineStr">
        <is>
          <t>16092026</t>
        </is>
      </c>
      <c r="M2898" s="5">
        <f>IF(YEAR(I2898)&lt;=2020,"Até 2020",TEXT(YEAR(I2898),"0"))</f>
        <v/>
      </c>
      <c r="N2898" s="5">
        <f>IFERROR(INDEX(DePara!$A:$A,MATCH(TEXT(B2898,"0"),DePara!$D:$D,0)),"(sem categoria)")</f>
        <v/>
      </c>
      <c r="O2898" s="5">
        <f>IF(J2898="","",Parametros!$B$6-J2898)</f>
        <v/>
      </c>
      <c r="P2898" s="5">
        <f>IF(O2898="","",IF(O2898&gt;0,1,0))</f>
        <v/>
      </c>
    </row>
    <row r="2899">
      <c r="A2899" s="5" t="n">
        <v>2111000000</v>
      </c>
      <c r="B2899" s="5" t="inlineStr">
        <is>
          <t>105984</t>
        </is>
      </c>
      <c r="C2899" s="5" t="inlineStr">
        <is>
          <t>TRADEWORKS SERVICOS DE COMERCIO EXT 04955748000107</t>
        </is>
      </c>
      <c r="D2899" s="5" t="inlineStr">
        <is>
          <t>RE</t>
        </is>
      </c>
      <c r="E2899" s="5" t="n">
        <v>5015947</v>
      </c>
      <c r="F2899" s="5" t="inlineStr">
        <is>
          <t>93649</t>
        </is>
      </c>
      <c r="G2899" s="5" t="inlineStr">
        <is>
          <t>BRL</t>
        </is>
      </c>
      <c r="H2899" s="9" t="n">
        <v>-1337.76</v>
      </c>
      <c r="I2899" s="16" t="n">
        <v>46247</v>
      </c>
      <c r="J2899" s="16" t="n">
        <v>46277</v>
      </c>
      <c r="K2899" s="5" t="inlineStr">
        <is>
          <t>Fatura - bruto TRADEWORKS SERVICOS DE COMERCIO EXT</t>
        </is>
      </c>
      <c r="L2899" s="5" t="inlineStr">
        <is>
          <t>08092026</t>
        </is>
      </c>
      <c r="M2899" s="5">
        <f>IF(YEAR(I2899)&lt;=2020,"Até 2020",TEXT(YEAR(I2899),"0"))</f>
        <v/>
      </c>
      <c r="N2899" s="5">
        <f>IFERROR(INDEX(DePara!$A:$A,MATCH(TEXT(B2899,"0"),DePara!$D:$D,0)),"(sem categoria)")</f>
        <v/>
      </c>
      <c r="O2899" s="5">
        <f>IF(J2899="","",Parametros!$B$6-J2899)</f>
        <v/>
      </c>
      <c r="P2899" s="5">
        <f>IF(O2899="","",IF(O2899&gt;0,1,0))</f>
        <v/>
      </c>
    </row>
    <row r="2900">
      <c r="A2900" s="5" t="n">
        <v>2111000000</v>
      </c>
      <c r="B2900" s="5" t="inlineStr">
        <is>
          <t>105984</t>
        </is>
      </c>
      <c r="C2900" s="5" t="inlineStr">
        <is>
          <t>TRADEWORKS SERVICOS DE COMERCIO EXT 04955748000107</t>
        </is>
      </c>
      <c r="D2900" s="5" t="inlineStr">
        <is>
          <t>RE</t>
        </is>
      </c>
      <c r="E2900" s="5" t="n">
        <v>5015948</v>
      </c>
      <c r="F2900" s="5" t="inlineStr">
        <is>
          <t>93839</t>
        </is>
      </c>
      <c r="G2900" s="5" t="inlineStr">
        <is>
          <t>BRL</t>
        </is>
      </c>
      <c r="H2900" s="9" t="n">
        <v>-1337.76</v>
      </c>
      <c r="I2900" s="16" t="n">
        <v>46258</v>
      </c>
      <c r="J2900" s="16" t="n">
        <v>46288</v>
      </c>
      <c r="K2900" s="5" t="inlineStr">
        <is>
          <t>Fatura - bruto TRADEWORKS SERVICOS DE COMERCIO EXT</t>
        </is>
      </c>
      <c r="L2900" s="5" t="inlineStr">
        <is>
          <t>23092026</t>
        </is>
      </c>
      <c r="M2900" s="5">
        <f>IF(YEAR(I2900)&lt;=2020,"Até 2020",TEXT(YEAR(I2900),"0"))</f>
        <v/>
      </c>
      <c r="N2900" s="5">
        <f>IFERROR(INDEX(DePara!$A:$A,MATCH(TEXT(B2900,"0"),DePara!$D:$D,0)),"(sem categoria)")</f>
        <v/>
      </c>
      <c r="O2900" s="5">
        <f>IF(J2900="","",Parametros!$B$6-J2900)</f>
        <v/>
      </c>
      <c r="P2900" s="5">
        <f>IF(O2900="","",IF(O2900&gt;0,1,0))</f>
        <v/>
      </c>
    </row>
    <row r="2901">
      <c r="A2901" s="5" t="n">
        <v>2111000000</v>
      </c>
      <c r="B2901" s="5" t="inlineStr">
        <is>
          <t>105984</t>
        </is>
      </c>
      <c r="C2901" s="5" t="inlineStr">
        <is>
          <t>TRADEWORKS SERVICOS DE COMERCIO EXT 04955748000107</t>
        </is>
      </c>
      <c r="D2901" s="5" t="inlineStr">
        <is>
          <t>RE</t>
        </is>
      </c>
      <c r="E2901" s="5" t="n">
        <v>5015949</v>
      </c>
      <c r="F2901" s="5" t="inlineStr">
        <is>
          <t>93638</t>
        </is>
      </c>
      <c r="G2901" s="5" t="inlineStr">
        <is>
          <t>BRL</t>
        </is>
      </c>
      <c r="H2901" s="9" t="n">
        <v>-1337.76</v>
      </c>
      <c r="I2901" s="16" t="n">
        <v>46247</v>
      </c>
      <c r="J2901" s="16" t="n">
        <v>46277</v>
      </c>
      <c r="K2901" s="5" t="inlineStr">
        <is>
          <t>Fatura - bruto TRADEWORKS SERVICOS DE COMERCIO EXT</t>
        </is>
      </c>
      <c r="L2901" s="5" t="inlineStr">
        <is>
          <t>08092026</t>
        </is>
      </c>
      <c r="M2901" s="5">
        <f>IF(YEAR(I2901)&lt;=2020,"Até 2020",TEXT(YEAR(I2901),"0"))</f>
        <v/>
      </c>
      <c r="N2901" s="5">
        <f>IFERROR(INDEX(DePara!$A:$A,MATCH(TEXT(B2901,"0"),DePara!$D:$D,0)),"(sem categoria)")</f>
        <v/>
      </c>
      <c r="O2901" s="5">
        <f>IF(J2901="","",Parametros!$B$6-J2901)</f>
        <v/>
      </c>
      <c r="P2901" s="5">
        <f>IF(O2901="","",IF(O2901&gt;0,1,0))</f>
        <v/>
      </c>
    </row>
    <row r="2902">
      <c r="A2902" s="5" t="n">
        <v>2111000000</v>
      </c>
      <c r="B2902" s="5" t="inlineStr">
        <is>
          <t>105984</t>
        </is>
      </c>
      <c r="C2902" s="5" t="inlineStr">
        <is>
          <t>TRADEWORKS SERVICOS DE COMERCIO EXT 04955748000107</t>
        </is>
      </c>
      <c r="D2902" s="5" t="inlineStr">
        <is>
          <t>RE</t>
        </is>
      </c>
      <c r="E2902" s="5" t="n">
        <v>5015950</v>
      </c>
      <c r="F2902" s="5" t="inlineStr">
        <is>
          <t>93729</t>
        </is>
      </c>
      <c r="G2902" s="5" t="inlineStr">
        <is>
          <t>BRL</t>
        </is>
      </c>
      <c r="H2902" s="9" t="n">
        <v>-1337.76</v>
      </c>
      <c r="I2902" s="16" t="n">
        <v>46252</v>
      </c>
      <c r="J2902" s="16" t="n">
        <v>46282</v>
      </c>
      <c r="K2902" s="5" t="inlineStr">
        <is>
          <t>Fatura - bruto TRADEWORKS SERVICOS DE COMERCIO EXT</t>
        </is>
      </c>
      <c r="L2902" s="5" t="inlineStr">
        <is>
          <t>16092026</t>
        </is>
      </c>
      <c r="M2902" s="5">
        <f>IF(YEAR(I2902)&lt;=2020,"Até 2020",TEXT(YEAR(I2902),"0"))</f>
        <v/>
      </c>
      <c r="N2902" s="5">
        <f>IFERROR(INDEX(DePara!$A:$A,MATCH(TEXT(B2902,"0"),DePara!$D:$D,0)),"(sem categoria)")</f>
        <v/>
      </c>
      <c r="O2902" s="5">
        <f>IF(J2902="","",Parametros!$B$6-J2902)</f>
        <v/>
      </c>
      <c r="P2902" s="5">
        <f>IF(O2902="","",IF(O2902&gt;0,1,0))</f>
        <v/>
      </c>
    </row>
    <row r="2903">
      <c r="A2903" s="5" t="n">
        <v>2111000000</v>
      </c>
      <c r="B2903" s="5" t="inlineStr">
        <is>
          <t>102074</t>
        </is>
      </c>
      <c r="C2903" s="5" t="inlineStr">
        <is>
          <t>TAGUS TEC SERVIÇOS TECNOLOGIA LTDA</t>
        </is>
      </c>
      <c r="D2903" s="5" t="inlineStr">
        <is>
          <t>RE</t>
        </is>
      </c>
      <c r="E2903" s="5" t="n">
        <v>5015951</v>
      </c>
      <c r="F2903" s="5" t="inlineStr">
        <is>
          <t>844099</t>
        </is>
      </c>
      <c r="G2903" s="5" t="inlineStr">
        <is>
          <t>BRL</t>
        </is>
      </c>
      <c r="H2903" s="9" t="n">
        <v>-250.4</v>
      </c>
      <c r="I2903" s="16" t="n">
        <v>46235</v>
      </c>
      <c r="J2903" s="16" t="n">
        <v>46294</v>
      </c>
      <c r="K2903" s="5" t="inlineStr">
        <is>
          <t>Fatura - bruto TAGUS TEC SERVIÇOS TECNOLOGIA LTDA</t>
        </is>
      </c>
      <c r="L2903" s="5" t="inlineStr">
        <is>
          <t>23092026</t>
        </is>
      </c>
      <c r="M2903" s="5">
        <f>IF(YEAR(I2903)&lt;=2020,"Até 2020",TEXT(YEAR(I2903),"0"))</f>
        <v/>
      </c>
      <c r="N2903" s="5">
        <f>IFERROR(INDEX(DePara!$A:$A,MATCH(TEXT(B2903,"0"),DePara!$D:$D,0)),"(sem categoria)")</f>
        <v/>
      </c>
      <c r="O2903" s="5">
        <f>IF(J2903="","",Parametros!$B$6-J2903)</f>
        <v/>
      </c>
      <c r="P2903" s="5">
        <f>IF(O2903="","",IF(O2903&gt;0,1,0))</f>
        <v/>
      </c>
    </row>
    <row r="2904">
      <c r="A2904" s="5" t="n">
        <v>2111000000</v>
      </c>
      <c r="B2904" s="5" t="inlineStr">
        <is>
          <t>101683</t>
        </is>
      </c>
      <c r="C2904" s="5" t="inlineStr">
        <is>
          <t>TF DANTAS</t>
        </is>
      </c>
      <c r="D2904" s="5" t="inlineStr">
        <is>
          <t>RE</t>
        </is>
      </c>
      <c r="E2904" s="5" t="n">
        <v>5015952</v>
      </c>
      <c r="F2904" s="5" t="inlineStr">
        <is>
          <t>87</t>
        </is>
      </c>
      <c r="G2904" s="5" t="inlineStr">
        <is>
          <t>BRL</t>
        </is>
      </c>
      <c r="H2904" s="9" t="n">
        <v>-9360</v>
      </c>
      <c r="I2904" s="16" t="n">
        <v>46240</v>
      </c>
      <c r="J2904" s="16" t="n">
        <v>46270</v>
      </c>
      <c r="K2904" s="5" t="inlineStr">
        <is>
          <t>Fatura - bruto TF DANTAS 87</t>
        </is>
      </c>
      <c r="L2904" s="5" t="inlineStr">
        <is>
          <t>08092026</t>
        </is>
      </c>
      <c r="M2904" s="5">
        <f>IF(YEAR(I2904)&lt;=2020,"Até 2020",TEXT(YEAR(I2904),"0"))</f>
        <v/>
      </c>
      <c r="N2904" s="5">
        <f>IFERROR(INDEX(DePara!$A:$A,MATCH(TEXT(B2904,"0"),DePara!$D:$D,0)),"(sem categoria)")</f>
        <v/>
      </c>
      <c r="O2904" s="5">
        <f>IF(J2904="","",Parametros!$B$6-J2904)</f>
        <v/>
      </c>
      <c r="P2904" s="5">
        <f>IF(O2904="","",IF(O2904&gt;0,1,0))</f>
        <v/>
      </c>
    </row>
    <row r="2905">
      <c r="A2905" s="5" t="n">
        <v>2111000000</v>
      </c>
      <c r="B2905" s="5" t="inlineStr">
        <is>
          <t>101156</t>
        </is>
      </c>
      <c r="C2905" s="5" t="inlineStr">
        <is>
          <t>TEKHELIUS PRESTAÇÃO DE SERVIÇOS LTD 37245993000171</t>
        </is>
      </c>
      <c r="D2905" s="5" t="inlineStr">
        <is>
          <t>RE</t>
        </is>
      </c>
      <c r="E2905" s="5" t="n">
        <v>5015953</v>
      </c>
      <c r="F2905" s="5" t="inlineStr">
        <is>
          <t>10</t>
        </is>
      </c>
      <c r="G2905" s="5" t="inlineStr">
        <is>
          <t>BRL</t>
        </is>
      </c>
      <c r="H2905" s="9" t="n">
        <v>-169184.81</v>
      </c>
      <c r="I2905" s="16" t="n">
        <v>46223</v>
      </c>
      <c r="J2905" s="16" t="n">
        <v>46270</v>
      </c>
      <c r="K2905" s="5" t="inlineStr">
        <is>
          <t>Fatura - bruto TEKHELIUS PRESTAÇÃO DE SERVIÇOS LTD</t>
        </is>
      </c>
      <c r="L2905" s="5" t="inlineStr">
        <is>
          <t>08092026</t>
        </is>
      </c>
      <c r="M2905" s="5">
        <f>IF(YEAR(I2905)&lt;=2020,"Até 2020",TEXT(YEAR(I2905),"0"))</f>
        <v/>
      </c>
      <c r="N2905" s="5">
        <f>IFERROR(INDEX(DePara!$A:$A,MATCH(TEXT(B2905,"0"),DePara!$D:$D,0)),"(sem categoria)")</f>
        <v/>
      </c>
      <c r="O2905" s="5">
        <f>IF(J2905="","",Parametros!$B$6-J2905)</f>
        <v/>
      </c>
      <c r="P2905" s="5">
        <f>IF(O2905="","",IF(O2905&gt;0,1,0))</f>
        <v/>
      </c>
    </row>
    <row r="2906">
      <c r="A2906" s="5" t="n">
        <v>2111000000</v>
      </c>
      <c r="B2906" s="5" t="inlineStr">
        <is>
          <t>101887</t>
        </is>
      </c>
      <c r="C2906" s="5" t="inlineStr">
        <is>
          <t>MGO DE FREITAS</t>
        </is>
      </c>
      <c r="D2906" s="5" t="inlineStr">
        <is>
          <t>RE</t>
        </is>
      </c>
      <c r="E2906" s="5" t="n">
        <v>5015954</v>
      </c>
      <c r="F2906" s="5" t="inlineStr">
        <is>
          <t>1410</t>
        </is>
      </c>
      <c r="G2906" s="5" t="inlineStr">
        <is>
          <t>BRL</t>
        </is>
      </c>
      <c r="H2906" s="9" t="n">
        <v>-12189.79</v>
      </c>
      <c r="I2906" s="16" t="n">
        <v>46237</v>
      </c>
      <c r="J2906" s="16" t="n">
        <v>46270</v>
      </c>
      <c r="K2906" s="5" t="inlineStr">
        <is>
          <t>Fatura - bruto MGO DE FREITAS 1410</t>
        </is>
      </c>
      <c r="L2906" s="5" t="inlineStr">
        <is>
          <t>08092026</t>
        </is>
      </c>
      <c r="M2906" s="5">
        <f>IF(YEAR(I2906)&lt;=2020,"Até 2020",TEXT(YEAR(I2906),"0"))</f>
        <v/>
      </c>
      <c r="N2906" s="5">
        <f>IFERROR(INDEX(DePara!$A:$A,MATCH(TEXT(B2906,"0"),DePara!$D:$D,0)),"(sem categoria)")</f>
        <v/>
      </c>
      <c r="O2906" s="5">
        <f>IF(J2906="","",Parametros!$B$6-J2906)</f>
        <v/>
      </c>
      <c r="P2906" s="5">
        <f>IF(O2906="","",IF(O2906&gt;0,1,0))</f>
        <v/>
      </c>
    </row>
    <row r="2907">
      <c r="A2907" s="5" t="n">
        <v>2111000000</v>
      </c>
      <c r="B2907" s="5" t="inlineStr">
        <is>
          <t>101214</t>
        </is>
      </c>
      <c r="C2907" s="5" t="inlineStr">
        <is>
          <t>PROTENDIDOS DYWIDAG LIMITADA</t>
        </is>
      </c>
      <c r="D2907" s="5" t="inlineStr">
        <is>
          <t>RE</t>
        </is>
      </c>
      <c r="E2907" s="5" t="n">
        <v>5015955</v>
      </c>
      <c r="F2907" s="5" t="inlineStr">
        <is>
          <t>1499</t>
        </is>
      </c>
      <c r="G2907" s="5" t="inlineStr">
        <is>
          <t>BRL</t>
        </is>
      </c>
      <c r="H2907" s="9" t="n">
        <v>-139789.52</v>
      </c>
      <c r="I2907" s="16" t="n">
        <v>46232</v>
      </c>
      <c r="J2907" s="16" t="n">
        <v>46270</v>
      </c>
      <c r="K2907" s="5" t="inlineStr">
        <is>
          <t>Fatura - bruto PROTENDIDOS DYWIDAG LIMITADA 1499</t>
        </is>
      </c>
      <c r="L2907" s="5" t="inlineStr">
        <is>
          <t>08092026</t>
        </is>
      </c>
      <c r="M2907" s="5">
        <f>IF(YEAR(I2907)&lt;=2020,"Até 2020",TEXT(YEAR(I2907),"0"))</f>
        <v/>
      </c>
      <c r="N2907" s="5">
        <f>IFERROR(INDEX(DePara!$A:$A,MATCH(TEXT(B2907,"0"),DePara!$D:$D,0)),"(sem categoria)")</f>
        <v/>
      </c>
      <c r="O2907" s="5">
        <f>IF(J2907="","",Parametros!$B$6-J2907)</f>
        <v/>
      </c>
      <c r="P2907" s="5">
        <f>IF(O2907="","",IF(O2907&gt;0,1,0))</f>
        <v/>
      </c>
    </row>
    <row r="2908">
      <c r="A2908" s="5" t="n">
        <v>2111000000</v>
      </c>
      <c r="B2908" s="5" t="inlineStr">
        <is>
          <t>100008</t>
        </is>
      </c>
      <c r="C2908" s="5" t="inlineStr">
        <is>
          <t>DB3 SERVICOS DE TELECOMUNICACOES SA</t>
        </is>
      </c>
      <c r="D2908" s="5" t="inlineStr">
        <is>
          <t>RE</t>
        </is>
      </c>
      <c r="E2908" s="5" t="n">
        <v>5015956</v>
      </c>
      <c r="F2908" s="5" t="inlineStr">
        <is>
          <t>1827134-2</t>
        </is>
      </c>
      <c r="G2908" s="5" t="inlineStr">
        <is>
          <t>BRL</t>
        </is>
      </c>
      <c r="H2908" s="9" t="n">
        <v>-1576.95</v>
      </c>
      <c r="I2908" s="16" t="n">
        <v>46241</v>
      </c>
      <c r="J2908" s="16" t="n">
        <v>46259</v>
      </c>
      <c r="K2908" s="5" t="inlineStr">
        <is>
          <t>*65590000020766850000700241651009415490000157695</t>
        </is>
      </c>
      <c r="L2908" s="5" t="inlineStr">
        <is>
          <t>02092026 LANC JUR</t>
        </is>
      </c>
      <c r="M2908" s="5">
        <f>IF(YEAR(I2908)&lt;=2020,"Até 2020",TEXT(YEAR(I2908),"0"))</f>
        <v/>
      </c>
      <c r="N2908" s="5">
        <f>IFERROR(INDEX(DePara!$A:$A,MATCH(TEXT(B2908,"0"),DePara!$D:$D,0)),"(sem categoria)")</f>
        <v/>
      </c>
      <c r="O2908" s="5">
        <f>IF(J2908="","",Parametros!$B$6-J2908)</f>
        <v/>
      </c>
      <c r="P2908" s="5">
        <f>IF(O2908="","",IF(O2908&gt;0,1,0))</f>
        <v/>
      </c>
    </row>
    <row r="2909">
      <c r="A2909" s="5" t="n">
        <v>2111000000</v>
      </c>
      <c r="B2909" s="5" t="inlineStr">
        <is>
          <t>102473</t>
        </is>
      </c>
      <c r="C2909" s="5" t="inlineStr">
        <is>
          <t>AMBIENTESEE COMERCIO E SERVICOS LTD 19246312000108</t>
        </is>
      </c>
      <c r="D2909" s="5" t="inlineStr">
        <is>
          <t>RE</t>
        </is>
      </c>
      <c r="E2909" s="5" t="n">
        <v>5015957</v>
      </c>
      <c r="F2909" s="5" t="inlineStr">
        <is>
          <t>68357313-890</t>
        </is>
      </c>
      <c r="G2909" s="5" t="inlineStr">
        <is>
          <t>BRL</t>
        </is>
      </c>
      <c r="H2909" s="9" t="n">
        <v>-6000</v>
      </c>
      <c r="I2909" s="16" t="n">
        <v>46239</v>
      </c>
      <c r="J2909" s="16" t="n">
        <v>46269</v>
      </c>
      <c r="K2909" s="5" t="inlineStr">
        <is>
          <t>Fatura - bruto AMBIENTESEE COMERCIO E SERVICOS LTD</t>
        </is>
      </c>
      <c r="L2909" s="5" t="inlineStr">
        <is>
          <t>02092026</t>
        </is>
      </c>
      <c r="M2909" s="5">
        <f>IF(YEAR(I2909)&lt;=2020,"Até 2020",TEXT(YEAR(I2909),"0"))</f>
        <v/>
      </c>
      <c r="N2909" s="5">
        <f>IFERROR(INDEX(DePara!$A:$A,MATCH(TEXT(B2909,"0"),DePara!$D:$D,0)),"(sem categoria)")</f>
        <v/>
      </c>
      <c r="O2909" s="5">
        <f>IF(J2909="","",Parametros!$B$6-J2909)</f>
        <v/>
      </c>
      <c r="P2909" s="5">
        <f>IF(O2909="","",IF(O2909&gt;0,1,0))</f>
        <v/>
      </c>
    </row>
    <row r="2910">
      <c r="A2910" s="5" t="n">
        <v>2111000000</v>
      </c>
      <c r="B2910" s="5" t="inlineStr">
        <is>
          <t>100883</t>
        </is>
      </c>
      <c r="C2910" s="5" t="inlineStr">
        <is>
          <t>QUELMAR TRANSPORTES LTDA</t>
        </is>
      </c>
      <c r="D2910" s="5" t="inlineStr">
        <is>
          <t>RE</t>
        </is>
      </c>
      <c r="E2910" s="5" t="n">
        <v>5015958</v>
      </c>
      <c r="F2910" s="5" t="inlineStr">
        <is>
          <t>108569-1</t>
        </is>
      </c>
      <c r="G2910" s="5" t="inlineStr">
        <is>
          <t>BRL</t>
        </is>
      </c>
      <c r="H2910" s="9" t="n">
        <v>-1940.52</v>
      </c>
      <c r="I2910" s="16" t="n">
        <v>46255</v>
      </c>
      <c r="J2910" s="16" t="n">
        <v>46300</v>
      </c>
      <c r="K2910" s="5" t="inlineStr">
        <is>
          <t>Fatura - bruto QUELMAR TRANSPORTES LTDA 108569-1</t>
        </is>
      </c>
      <c r="L2910" s="5" t="inlineStr">
        <is>
          <t>05102026</t>
        </is>
      </c>
      <c r="M2910" s="5">
        <f>IF(YEAR(I2910)&lt;=2020,"Até 2020",TEXT(YEAR(I2910),"0"))</f>
        <v/>
      </c>
      <c r="N2910" s="5">
        <f>IFERROR(INDEX(DePara!$A:$A,MATCH(TEXT(B2910,"0"),DePara!$D:$D,0)),"(sem categoria)")</f>
        <v/>
      </c>
      <c r="O2910" s="5">
        <f>IF(J2910="","",Parametros!$B$6-J2910)</f>
        <v/>
      </c>
      <c r="P2910" s="5">
        <f>IF(O2910="","",IF(O2910&gt;0,1,0))</f>
        <v/>
      </c>
    </row>
    <row r="2911">
      <c r="A2911" s="5" t="n">
        <v>2111000000</v>
      </c>
      <c r="B2911" s="5" t="inlineStr">
        <is>
          <t>100883</t>
        </is>
      </c>
      <c r="C2911" s="5" t="inlineStr">
        <is>
          <t>QUELMAR TRANSPORTES LTDA</t>
        </is>
      </c>
      <c r="D2911" s="5" t="inlineStr">
        <is>
          <t>RE</t>
        </is>
      </c>
      <c r="E2911" s="5" t="n">
        <v>5015959</v>
      </c>
      <c r="F2911" s="5" t="inlineStr">
        <is>
          <t>108570-1</t>
        </is>
      </c>
      <c r="G2911" s="5" t="inlineStr">
        <is>
          <t>BRL</t>
        </is>
      </c>
      <c r="H2911" s="9" t="n">
        <v>-1747.33</v>
      </c>
      <c r="I2911" s="16" t="n">
        <v>46255</v>
      </c>
      <c r="J2911" s="16" t="n">
        <v>46300</v>
      </c>
      <c r="K2911" s="5" t="inlineStr">
        <is>
          <t>Fatura - bruto QUELMAR TRANSPORTES LTDA 108570-1</t>
        </is>
      </c>
      <c r="L2911" s="5" t="inlineStr">
        <is>
          <t>05102026</t>
        </is>
      </c>
      <c r="M2911" s="5">
        <f>IF(YEAR(I2911)&lt;=2020,"Até 2020",TEXT(YEAR(I2911),"0"))</f>
        <v/>
      </c>
      <c r="N2911" s="5">
        <f>IFERROR(INDEX(DePara!$A:$A,MATCH(TEXT(B2911,"0"),DePara!$D:$D,0)),"(sem categoria)")</f>
        <v/>
      </c>
      <c r="O2911" s="5">
        <f>IF(J2911="","",Parametros!$B$6-J2911)</f>
        <v/>
      </c>
      <c r="P2911" s="5">
        <f>IF(O2911="","",IF(O2911&gt;0,1,0))</f>
        <v/>
      </c>
    </row>
    <row r="2912">
      <c r="A2912" s="5" t="n">
        <v>2111000000</v>
      </c>
      <c r="B2912" s="5" t="inlineStr">
        <is>
          <t>100883</t>
        </is>
      </c>
      <c r="C2912" s="5" t="inlineStr">
        <is>
          <t>QUELMAR TRANSPORTES LTDA</t>
        </is>
      </c>
      <c r="D2912" s="5" t="inlineStr">
        <is>
          <t>RE</t>
        </is>
      </c>
      <c r="E2912" s="5" t="n">
        <v>5015960</v>
      </c>
      <c r="F2912" s="5" t="inlineStr">
        <is>
          <t>108571-1</t>
        </is>
      </c>
      <c r="G2912" s="5" t="inlineStr">
        <is>
          <t>BRL</t>
        </is>
      </c>
      <c r="H2912" s="9" t="n">
        <v>-2491.06</v>
      </c>
      <c r="I2912" s="16" t="n">
        <v>46255</v>
      </c>
      <c r="J2912" s="16" t="n">
        <v>46300</v>
      </c>
      <c r="K2912" s="5" t="inlineStr">
        <is>
          <t>Fatura - bruto QUELMAR TRANSPORTES LTDA 108571-1</t>
        </is>
      </c>
      <c r="L2912" s="5" t="inlineStr">
        <is>
          <t>05102026</t>
        </is>
      </c>
      <c r="M2912" s="5">
        <f>IF(YEAR(I2912)&lt;=2020,"Até 2020",TEXT(YEAR(I2912),"0"))</f>
        <v/>
      </c>
      <c r="N2912" s="5">
        <f>IFERROR(INDEX(DePara!$A:$A,MATCH(TEXT(B2912,"0"),DePara!$D:$D,0)),"(sem categoria)")</f>
        <v/>
      </c>
      <c r="O2912" s="5">
        <f>IF(J2912="","",Parametros!$B$6-J2912)</f>
        <v/>
      </c>
      <c r="P2912" s="5">
        <f>IF(O2912="","",IF(O2912&gt;0,1,0))</f>
        <v/>
      </c>
    </row>
    <row r="2913">
      <c r="A2913" s="5" t="n">
        <v>2111000000</v>
      </c>
      <c r="B2913" s="5" t="inlineStr">
        <is>
          <t>100883</t>
        </is>
      </c>
      <c r="C2913" s="5" t="inlineStr">
        <is>
          <t>QUELMAR TRANSPORTES LTDA</t>
        </is>
      </c>
      <c r="D2913" s="5" t="inlineStr">
        <is>
          <t>RE</t>
        </is>
      </c>
      <c r="E2913" s="5" t="n">
        <v>5015961</v>
      </c>
      <c r="F2913" s="5" t="inlineStr">
        <is>
          <t>108572-1</t>
        </is>
      </c>
      <c r="G2913" s="5" t="inlineStr">
        <is>
          <t>BRL</t>
        </is>
      </c>
      <c r="H2913" s="9" t="n">
        <v>-2683.72</v>
      </c>
      <c r="I2913" s="16" t="n">
        <v>46255</v>
      </c>
      <c r="J2913" s="16" t="n">
        <v>46300</v>
      </c>
      <c r="K2913" s="5" t="inlineStr">
        <is>
          <t>Fatura - bruto QUELMAR TRANSPORTES LTDA 108572-1</t>
        </is>
      </c>
      <c r="L2913" s="5" t="inlineStr">
        <is>
          <t>05102026</t>
        </is>
      </c>
      <c r="M2913" s="5">
        <f>IF(YEAR(I2913)&lt;=2020,"Até 2020",TEXT(YEAR(I2913),"0"))</f>
        <v/>
      </c>
      <c r="N2913" s="5">
        <f>IFERROR(INDEX(DePara!$A:$A,MATCH(TEXT(B2913,"0"),DePara!$D:$D,0)),"(sem categoria)")</f>
        <v/>
      </c>
      <c r="O2913" s="5">
        <f>IF(J2913="","",Parametros!$B$6-J2913)</f>
        <v/>
      </c>
      <c r="P2913" s="5">
        <f>IF(O2913="","",IF(O2913&gt;0,1,0))</f>
        <v/>
      </c>
    </row>
    <row r="2914">
      <c r="A2914" s="5" t="n">
        <v>2111000000</v>
      </c>
      <c r="B2914" s="5" t="inlineStr">
        <is>
          <t>100883</t>
        </is>
      </c>
      <c r="C2914" s="5" t="inlineStr">
        <is>
          <t>QUELMAR TRANSPORTES LTDA</t>
        </is>
      </c>
      <c r="D2914" s="5" t="inlineStr">
        <is>
          <t>RE</t>
        </is>
      </c>
      <c r="E2914" s="5" t="n">
        <v>5015962</v>
      </c>
      <c r="F2914" s="5" t="inlineStr">
        <is>
          <t>108573-1</t>
        </is>
      </c>
      <c r="G2914" s="5" t="inlineStr">
        <is>
          <t>BRL</t>
        </is>
      </c>
      <c r="H2914" s="9" t="n">
        <v>-1017.03</v>
      </c>
      <c r="I2914" s="16" t="n">
        <v>46255</v>
      </c>
      <c r="J2914" s="16" t="n">
        <v>46300</v>
      </c>
      <c r="K2914" s="5" t="inlineStr">
        <is>
          <t>Fatura - bruto QUELMAR TRANSPORTES LTDA 108573-1</t>
        </is>
      </c>
      <c r="L2914" s="5" t="inlineStr">
        <is>
          <t>05102026</t>
        </is>
      </c>
      <c r="M2914" s="5">
        <f>IF(YEAR(I2914)&lt;=2020,"Até 2020",TEXT(YEAR(I2914),"0"))</f>
        <v/>
      </c>
      <c r="N2914" s="5">
        <f>IFERROR(INDEX(DePara!$A:$A,MATCH(TEXT(B2914,"0"),DePara!$D:$D,0)),"(sem categoria)")</f>
        <v/>
      </c>
      <c r="O2914" s="5">
        <f>IF(J2914="","",Parametros!$B$6-J2914)</f>
        <v/>
      </c>
      <c r="P2914" s="5">
        <f>IF(O2914="","",IF(O2914&gt;0,1,0))</f>
        <v/>
      </c>
    </row>
    <row r="2915">
      <c r="A2915" s="5" t="n">
        <v>2111000000</v>
      </c>
      <c r="B2915" s="5" t="inlineStr">
        <is>
          <t>100883</t>
        </is>
      </c>
      <c r="C2915" s="5" t="inlineStr">
        <is>
          <t>QUELMAR TRANSPORTES LTDA</t>
        </is>
      </c>
      <c r="D2915" s="5" t="inlineStr">
        <is>
          <t>RE</t>
        </is>
      </c>
      <c r="E2915" s="5" t="n">
        <v>5015963</v>
      </c>
      <c r="F2915" s="5" t="inlineStr">
        <is>
          <t>108574-1</t>
        </is>
      </c>
      <c r="G2915" s="5" t="inlineStr">
        <is>
          <t>BRL</t>
        </is>
      </c>
      <c r="H2915" s="9" t="n">
        <v>-1693.56</v>
      </c>
      <c r="I2915" s="16" t="n">
        <v>46255</v>
      </c>
      <c r="J2915" s="16" t="n">
        <v>46300</v>
      </c>
      <c r="K2915" s="5" t="inlineStr">
        <is>
          <t>Fatura - bruto QUELMAR TRANSPORTES LTDA 108574-1</t>
        </is>
      </c>
      <c r="L2915" s="5" t="inlineStr">
        <is>
          <t>05102026</t>
        </is>
      </c>
      <c r="M2915" s="5">
        <f>IF(YEAR(I2915)&lt;=2020,"Até 2020",TEXT(YEAR(I2915),"0"))</f>
        <v/>
      </c>
      <c r="N2915" s="5">
        <f>IFERROR(INDEX(DePara!$A:$A,MATCH(TEXT(B2915,"0"),DePara!$D:$D,0)),"(sem categoria)")</f>
        <v/>
      </c>
      <c r="O2915" s="5">
        <f>IF(J2915="","",Parametros!$B$6-J2915)</f>
        <v/>
      </c>
      <c r="P2915" s="5">
        <f>IF(O2915="","",IF(O2915&gt;0,1,0))</f>
        <v/>
      </c>
    </row>
    <row r="2916">
      <c r="A2916" s="5" t="n">
        <v>2111000000</v>
      </c>
      <c r="B2916" s="5" t="inlineStr">
        <is>
          <t>100883</t>
        </is>
      </c>
      <c r="C2916" s="5" t="inlineStr">
        <is>
          <t>QUELMAR TRANSPORTES LTDA</t>
        </is>
      </c>
      <c r="D2916" s="5" t="inlineStr">
        <is>
          <t>RE</t>
        </is>
      </c>
      <c r="E2916" s="5" t="n">
        <v>5015964</v>
      </c>
      <c r="F2916" s="5" t="inlineStr">
        <is>
          <t>108575-1</t>
        </is>
      </c>
      <c r="G2916" s="5" t="inlineStr">
        <is>
          <t>BRL</t>
        </is>
      </c>
      <c r="H2916" s="9" t="n">
        <v>-1303.78</v>
      </c>
      <c r="I2916" s="16" t="n">
        <v>46255</v>
      </c>
      <c r="J2916" s="16" t="n">
        <v>46300</v>
      </c>
      <c r="K2916" s="5" t="inlineStr">
        <is>
          <t>Fatura - bruto QUELMAR TRANSPORTES LTDA 108575-1</t>
        </is>
      </c>
      <c r="L2916" s="5" t="inlineStr">
        <is>
          <t>05102026</t>
        </is>
      </c>
      <c r="M2916" s="5">
        <f>IF(YEAR(I2916)&lt;=2020,"Até 2020",TEXT(YEAR(I2916),"0"))</f>
        <v/>
      </c>
      <c r="N2916" s="5">
        <f>IFERROR(INDEX(DePara!$A:$A,MATCH(TEXT(B2916,"0"),DePara!$D:$D,0)),"(sem categoria)")</f>
        <v/>
      </c>
      <c r="O2916" s="5">
        <f>IF(J2916="","",Parametros!$B$6-J2916)</f>
        <v/>
      </c>
      <c r="P2916" s="5">
        <f>IF(O2916="","",IF(O2916&gt;0,1,0))</f>
        <v/>
      </c>
    </row>
    <row r="2917">
      <c r="A2917" s="5" t="n">
        <v>2111000000</v>
      </c>
      <c r="B2917" s="5" t="inlineStr">
        <is>
          <t>101420</t>
        </is>
      </c>
      <c r="C2917" s="5" t="inlineStr">
        <is>
          <t>MEDEIROS GALVAO SOLUÇÕES LTDA</t>
        </is>
      </c>
      <c r="D2917" s="5" t="inlineStr">
        <is>
          <t>RE</t>
        </is>
      </c>
      <c r="E2917" s="5" t="n">
        <v>5015965</v>
      </c>
      <c r="F2917" s="5" t="inlineStr">
        <is>
          <t>000030155-2</t>
        </is>
      </c>
      <c r="G2917" s="5" t="inlineStr">
        <is>
          <t>BRL</t>
        </is>
      </c>
      <c r="H2917" s="9" t="n">
        <v>-38935.61</v>
      </c>
      <c r="I2917" s="16" t="n">
        <v>46232</v>
      </c>
      <c r="J2917" s="16" t="n">
        <v>46270</v>
      </c>
      <c r="K2917" s="5" t="inlineStr">
        <is>
          <t>Fatura - bruto MEDEIROS GALVAO SOLUÇÕES LTDA 00003</t>
        </is>
      </c>
      <c r="L2917" s="5" t="inlineStr">
        <is>
          <t>09092026</t>
        </is>
      </c>
      <c r="M2917" s="5">
        <f>IF(YEAR(I2917)&lt;=2020,"Até 2020",TEXT(YEAR(I2917),"0"))</f>
        <v/>
      </c>
      <c r="N2917" s="5">
        <f>IFERROR(INDEX(DePara!$A:$A,MATCH(TEXT(B2917,"0"),DePara!$D:$D,0)),"(sem categoria)")</f>
        <v/>
      </c>
      <c r="O2917" s="5">
        <f>IF(J2917="","",Parametros!$B$6-J2917)</f>
        <v/>
      </c>
      <c r="P2917" s="5">
        <f>IF(O2917="","",IF(O2917&gt;0,1,0))</f>
        <v/>
      </c>
    </row>
    <row r="2918">
      <c r="A2918" s="5" t="n">
        <v>2111000000</v>
      </c>
      <c r="B2918" s="5" t="inlineStr">
        <is>
          <t>101420</t>
        </is>
      </c>
      <c r="C2918" s="5" t="inlineStr">
        <is>
          <t>MEDEIROS GALVAO SOLUÇÕES LTDA</t>
        </is>
      </c>
      <c r="D2918" s="5" t="inlineStr">
        <is>
          <t>RE</t>
        </is>
      </c>
      <c r="E2918" s="5" t="n">
        <v>5015966</v>
      </c>
      <c r="F2918" s="5" t="inlineStr">
        <is>
          <t>000030365-2</t>
        </is>
      </c>
      <c r="G2918" s="5" t="inlineStr">
        <is>
          <t>BRL</t>
        </is>
      </c>
      <c r="H2918" s="9" t="n">
        <v>-1236.72</v>
      </c>
      <c r="I2918" s="16" t="n">
        <v>46241</v>
      </c>
      <c r="J2918" s="16" t="n">
        <v>46270</v>
      </c>
      <c r="K2918" s="5" t="inlineStr">
        <is>
          <t>Fatura - bruto MEDEIROS GALVAO SOLUÇÕES LTDA 00003</t>
        </is>
      </c>
      <c r="L2918" s="5" t="inlineStr">
        <is>
          <t>08092026</t>
        </is>
      </c>
      <c r="M2918" s="5">
        <f>IF(YEAR(I2918)&lt;=2020,"Até 2020",TEXT(YEAR(I2918),"0"))</f>
        <v/>
      </c>
      <c r="N2918" s="5">
        <f>IFERROR(INDEX(DePara!$A:$A,MATCH(TEXT(B2918,"0"),DePara!$D:$D,0)),"(sem categoria)")</f>
        <v/>
      </c>
      <c r="O2918" s="5">
        <f>IF(J2918="","",Parametros!$B$6-J2918)</f>
        <v/>
      </c>
      <c r="P2918" s="5">
        <f>IF(O2918="","",IF(O2918&gt;0,1,0))</f>
        <v/>
      </c>
    </row>
    <row r="2919">
      <c r="A2919" s="5" t="n">
        <v>2111000000</v>
      </c>
      <c r="B2919" s="5" t="inlineStr">
        <is>
          <t>101420</t>
        </is>
      </c>
      <c r="C2919" s="5" t="inlineStr">
        <is>
          <t>MEDEIROS GALVAO SOLUÇÕES LTDA</t>
        </is>
      </c>
      <c r="D2919" s="5" t="inlineStr">
        <is>
          <t>RE</t>
        </is>
      </c>
      <c r="E2919" s="5" t="n">
        <v>5015967</v>
      </c>
      <c r="F2919" s="5" t="inlineStr">
        <is>
          <t>000030368-2</t>
        </is>
      </c>
      <c r="G2919" s="5" t="inlineStr">
        <is>
          <t>BRL</t>
        </is>
      </c>
      <c r="H2919" s="9" t="n">
        <v>-51.92</v>
      </c>
      <c r="I2919" s="16" t="n">
        <v>46241</v>
      </c>
      <c r="J2919" s="16" t="n">
        <v>46270</v>
      </c>
      <c r="K2919" s="5" t="inlineStr">
        <is>
          <t>Fatura - bruto MEDEIROS GALVAO SOLUÇÕES LTDA 00003</t>
        </is>
      </c>
      <c r="L2919" s="5" t="inlineStr">
        <is>
          <t>08092026</t>
        </is>
      </c>
      <c r="M2919" s="5">
        <f>IF(YEAR(I2919)&lt;=2020,"Até 2020",TEXT(YEAR(I2919),"0"))</f>
        <v/>
      </c>
      <c r="N2919" s="5">
        <f>IFERROR(INDEX(DePara!$A:$A,MATCH(TEXT(B2919,"0"),DePara!$D:$D,0)),"(sem categoria)")</f>
        <v/>
      </c>
      <c r="O2919" s="5">
        <f>IF(J2919="","",Parametros!$B$6-J2919)</f>
        <v/>
      </c>
      <c r="P2919" s="5">
        <f>IF(O2919="","",IF(O2919&gt;0,1,0))</f>
        <v/>
      </c>
    </row>
    <row r="2920">
      <c r="A2920" s="5" t="n">
        <v>2111000000</v>
      </c>
      <c r="B2920" s="5" t="inlineStr">
        <is>
          <t>100883</t>
        </is>
      </c>
      <c r="C2920" s="5" t="inlineStr">
        <is>
          <t>QUELMAR TRANSPORTES LTDA</t>
        </is>
      </c>
      <c r="D2920" s="5" t="inlineStr">
        <is>
          <t>RE</t>
        </is>
      </c>
      <c r="E2920" s="5" t="n">
        <v>5015968</v>
      </c>
      <c r="F2920" s="5" t="inlineStr">
        <is>
          <t>108510-1</t>
        </is>
      </c>
      <c r="G2920" s="5" t="inlineStr">
        <is>
          <t>BRL</t>
        </is>
      </c>
      <c r="H2920" s="9" t="n">
        <v>-1748.78</v>
      </c>
      <c r="I2920" s="16" t="n">
        <v>46255</v>
      </c>
      <c r="J2920" s="16" t="n">
        <v>46300</v>
      </c>
      <c r="K2920" s="5" t="inlineStr">
        <is>
          <t>Fatura - bruto QUELMAR TRANSPORTES LTDA 108510-1</t>
        </is>
      </c>
      <c r="L2920" s="5" t="inlineStr">
        <is>
          <t>05102026</t>
        </is>
      </c>
      <c r="M2920" s="5">
        <f>IF(YEAR(I2920)&lt;=2020,"Até 2020",TEXT(YEAR(I2920),"0"))</f>
        <v/>
      </c>
      <c r="N2920" s="5">
        <f>IFERROR(INDEX(DePara!$A:$A,MATCH(TEXT(B2920,"0"),DePara!$D:$D,0)),"(sem categoria)")</f>
        <v/>
      </c>
      <c r="O2920" s="5">
        <f>IF(J2920="","",Parametros!$B$6-J2920)</f>
        <v/>
      </c>
      <c r="P2920" s="5">
        <f>IF(O2920="","",IF(O2920&gt;0,1,0))</f>
        <v/>
      </c>
    </row>
    <row r="2921">
      <c r="A2921" s="5" t="n">
        <v>2111000000</v>
      </c>
      <c r="B2921" s="5" t="inlineStr">
        <is>
          <t>101420</t>
        </is>
      </c>
      <c r="C2921" s="5" t="inlineStr">
        <is>
          <t>MEDEIROS GALVAO SOLUÇÕES LTDA</t>
        </is>
      </c>
      <c r="D2921" s="5" t="inlineStr">
        <is>
          <t>RE</t>
        </is>
      </c>
      <c r="E2921" s="5" t="n">
        <v>5015969</v>
      </c>
      <c r="F2921" s="5" t="inlineStr">
        <is>
          <t>000030371-2</t>
        </is>
      </c>
      <c r="G2921" s="5" t="inlineStr">
        <is>
          <t>BRL</t>
        </is>
      </c>
      <c r="H2921" s="9" t="n">
        <v>-64.64</v>
      </c>
      <c r="I2921" s="16" t="n">
        <v>46241</v>
      </c>
      <c r="J2921" s="16" t="n">
        <v>46270</v>
      </c>
      <c r="K2921" s="5" t="inlineStr">
        <is>
          <t>Fatura - bruto MEDEIROS GALVAO SOLUÇÕES LTDA 00003</t>
        </is>
      </c>
      <c r="L2921" s="5" t="inlineStr">
        <is>
          <t>09092026</t>
        </is>
      </c>
      <c r="M2921" s="5">
        <f>IF(YEAR(I2921)&lt;=2020,"Até 2020",TEXT(YEAR(I2921),"0"))</f>
        <v/>
      </c>
      <c r="N2921" s="5">
        <f>IFERROR(INDEX(DePara!$A:$A,MATCH(TEXT(B2921,"0"),DePara!$D:$D,0)),"(sem categoria)")</f>
        <v/>
      </c>
      <c r="O2921" s="5">
        <f>IF(J2921="","",Parametros!$B$6-J2921)</f>
        <v/>
      </c>
      <c r="P2921" s="5">
        <f>IF(O2921="","",IF(O2921&gt;0,1,0))</f>
        <v/>
      </c>
    </row>
    <row r="2922">
      <c r="A2922" s="5" t="n">
        <v>2111000000</v>
      </c>
      <c r="B2922" s="5" t="inlineStr">
        <is>
          <t>101420</t>
        </is>
      </c>
      <c r="C2922" s="5" t="inlineStr">
        <is>
          <t>MEDEIROS GALVAO SOLUÇÕES LTDA</t>
        </is>
      </c>
      <c r="D2922" s="5" t="inlineStr">
        <is>
          <t>RE</t>
        </is>
      </c>
      <c r="E2922" s="5" t="n">
        <v>5015970</v>
      </c>
      <c r="F2922" s="5" t="inlineStr">
        <is>
          <t>000030374-2</t>
        </is>
      </c>
      <c r="G2922" s="5" t="inlineStr">
        <is>
          <t>BRL</t>
        </is>
      </c>
      <c r="H2922" s="9" t="n">
        <v>-4761.72</v>
      </c>
      <c r="I2922" s="16" t="n">
        <v>46241</v>
      </c>
      <c r="J2922" s="16" t="n">
        <v>46270</v>
      </c>
      <c r="K2922" s="5" t="inlineStr">
        <is>
          <t>Fatura - bruto MEDEIROS GALVAO SOLUÇÕES LTDA 00003</t>
        </is>
      </c>
      <c r="L2922" s="5" t="inlineStr">
        <is>
          <t>08092026</t>
        </is>
      </c>
      <c r="M2922" s="5">
        <f>IF(YEAR(I2922)&lt;=2020,"Até 2020",TEXT(YEAR(I2922),"0"))</f>
        <v/>
      </c>
      <c r="N2922" s="5">
        <f>IFERROR(INDEX(DePara!$A:$A,MATCH(TEXT(B2922,"0"),DePara!$D:$D,0)),"(sem categoria)")</f>
        <v/>
      </c>
      <c r="O2922" s="5">
        <f>IF(J2922="","",Parametros!$B$6-J2922)</f>
        <v/>
      </c>
      <c r="P2922" s="5">
        <f>IF(O2922="","",IF(O2922&gt;0,1,0))</f>
        <v/>
      </c>
    </row>
    <row r="2923">
      <c r="A2923" s="5" t="n">
        <v>2111000000</v>
      </c>
      <c r="B2923" s="5" t="inlineStr">
        <is>
          <t>101420</t>
        </is>
      </c>
      <c r="C2923" s="5" t="inlineStr">
        <is>
          <t>MEDEIROS GALVAO SOLUÇÕES LTDA</t>
        </is>
      </c>
      <c r="D2923" s="5" t="inlineStr">
        <is>
          <t>RE</t>
        </is>
      </c>
      <c r="E2923" s="5" t="n">
        <v>5015971</v>
      </c>
      <c r="F2923" s="5" t="inlineStr">
        <is>
          <t>000030427-2</t>
        </is>
      </c>
      <c r="G2923" s="5" t="inlineStr">
        <is>
          <t>BRL</t>
        </is>
      </c>
      <c r="H2923" s="9" t="n">
        <v>-5757.4</v>
      </c>
      <c r="I2923" s="16" t="n">
        <v>46244</v>
      </c>
      <c r="J2923" s="16" t="n">
        <v>46270</v>
      </c>
      <c r="K2923" s="5" t="inlineStr">
        <is>
          <t>Fatura - bruto MEDEIROS GALVAO SOLUÇÕES LTDA 00003</t>
        </is>
      </c>
      <c r="L2923" s="5" t="inlineStr">
        <is>
          <t>08092026</t>
        </is>
      </c>
      <c r="M2923" s="5">
        <f>IF(YEAR(I2923)&lt;=2020,"Até 2020",TEXT(YEAR(I2923),"0"))</f>
        <v/>
      </c>
      <c r="N2923" s="5">
        <f>IFERROR(INDEX(DePara!$A:$A,MATCH(TEXT(B2923,"0"),DePara!$D:$D,0)),"(sem categoria)")</f>
        <v/>
      </c>
      <c r="O2923" s="5">
        <f>IF(J2923="","",Parametros!$B$6-J2923)</f>
        <v/>
      </c>
      <c r="P2923" s="5">
        <f>IF(O2923="","",IF(O2923&gt;0,1,0))</f>
        <v/>
      </c>
    </row>
    <row r="2924">
      <c r="A2924" s="5" t="n">
        <v>2111000000</v>
      </c>
      <c r="B2924" s="5" t="inlineStr">
        <is>
          <t>101420</t>
        </is>
      </c>
      <c r="C2924" s="5" t="inlineStr">
        <is>
          <t>MEDEIROS GALVAO SOLUÇÕES LTDA</t>
        </is>
      </c>
      <c r="D2924" s="5" t="inlineStr">
        <is>
          <t>RE</t>
        </is>
      </c>
      <c r="E2924" s="5" t="n">
        <v>5015972</v>
      </c>
      <c r="F2924" s="5" t="inlineStr">
        <is>
          <t>000030428-2</t>
        </is>
      </c>
      <c r="G2924" s="5" t="inlineStr">
        <is>
          <t>BRL</t>
        </is>
      </c>
      <c r="H2924" s="9" t="n">
        <v>-6348.96</v>
      </c>
      <c r="I2924" s="16" t="n">
        <v>46244</v>
      </c>
      <c r="J2924" s="16" t="n">
        <v>46270</v>
      </c>
      <c r="K2924" s="5" t="inlineStr">
        <is>
          <t>Fatura - bruto MEDEIROS GALVAO SOLUÇÕES LTDA 00003</t>
        </is>
      </c>
      <c r="L2924" s="5" t="inlineStr">
        <is>
          <t>08092026</t>
        </is>
      </c>
      <c r="M2924" s="5">
        <f>IF(YEAR(I2924)&lt;=2020,"Até 2020",TEXT(YEAR(I2924),"0"))</f>
        <v/>
      </c>
      <c r="N2924" s="5">
        <f>IFERROR(INDEX(DePara!$A:$A,MATCH(TEXT(B2924,"0"),DePara!$D:$D,0)),"(sem categoria)")</f>
        <v/>
      </c>
      <c r="O2924" s="5">
        <f>IF(J2924="","",Parametros!$B$6-J2924)</f>
        <v/>
      </c>
      <c r="P2924" s="5">
        <f>IF(O2924="","",IF(O2924&gt;0,1,0))</f>
        <v/>
      </c>
    </row>
    <row r="2925">
      <c r="A2925" s="5" t="n">
        <v>2111000000</v>
      </c>
      <c r="B2925" s="5" t="inlineStr">
        <is>
          <t>101420</t>
        </is>
      </c>
      <c r="C2925" s="5" t="inlineStr">
        <is>
          <t>MEDEIROS GALVAO SOLUÇÕES LTDA</t>
        </is>
      </c>
      <c r="D2925" s="5" t="inlineStr">
        <is>
          <t>RE</t>
        </is>
      </c>
      <c r="E2925" s="5" t="n">
        <v>5015973</v>
      </c>
      <c r="F2925" s="5" t="inlineStr">
        <is>
          <t>000030434-2</t>
        </is>
      </c>
      <c r="G2925" s="5" t="inlineStr">
        <is>
          <t>BRL</t>
        </is>
      </c>
      <c r="H2925" s="9" t="n">
        <v>-5505.01</v>
      </c>
      <c r="I2925" s="16" t="n">
        <v>46244</v>
      </c>
      <c r="J2925" s="16" t="n">
        <v>46270</v>
      </c>
      <c r="K2925" s="5" t="inlineStr">
        <is>
          <t>Fatura - bruto MEDEIROS GALVAO SOLUÇÕES LTDA 00003</t>
        </is>
      </c>
      <c r="L2925" s="5" t="inlineStr">
        <is>
          <t>08092026</t>
        </is>
      </c>
      <c r="M2925" s="5">
        <f>IF(YEAR(I2925)&lt;=2020,"Até 2020",TEXT(YEAR(I2925),"0"))</f>
        <v/>
      </c>
      <c r="N2925" s="5">
        <f>IFERROR(INDEX(DePara!$A:$A,MATCH(TEXT(B2925,"0"),DePara!$D:$D,0)),"(sem categoria)")</f>
        <v/>
      </c>
      <c r="O2925" s="5">
        <f>IF(J2925="","",Parametros!$B$6-J2925)</f>
        <v/>
      </c>
      <c r="P2925" s="5">
        <f>IF(O2925="","",IF(O2925&gt;0,1,0))</f>
        <v/>
      </c>
    </row>
    <row r="2926">
      <c r="A2926" s="5" t="n">
        <v>2111000000</v>
      </c>
      <c r="B2926" s="5" t="inlineStr">
        <is>
          <t>100883</t>
        </is>
      </c>
      <c r="C2926" s="5" t="inlineStr">
        <is>
          <t>QUELMAR TRANSPORTES LTDA</t>
        </is>
      </c>
      <c r="D2926" s="5" t="inlineStr">
        <is>
          <t>RE</t>
        </is>
      </c>
      <c r="E2926" s="5" t="n">
        <v>5015974</v>
      </c>
      <c r="F2926" s="5" t="inlineStr">
        <is>
          <t>108511-1</t>
        </is>
      </c>
      <c r="G2926" s="5" t="inlineStr">
        <is>
          <t>BRL</t>
        </is>
      </c>
      <c r="H2926" s="9" t="n">
        <v>-1748.78</v>
      </c>
      <c r="I2926" s="16" t="n">
        <v>46255</v>
      </c>
      <c r="J2926" s="16" t="n">
        <v>46300</v>
      </c>
      <c r="K2926" s="5" t="inlineStr">
        <is>
          <t>Fatura - bruto QUELMAR TRANSPORTES LTDA 108511-1</t>
        </is>
      </c>
      <c r="L2926" s="5" t="inlineStr">
        <is>
          <t>05102026</t>
        </is>
      </c>
      <c r="M2926" s="5">
        <f>IF(YEAR(I2926)&lt;=2020,"Até 2020",TEXT(YEAR(I2926),"0"))</f>
        <v/>
      </c>
      <c r="N2926" s="5">
        <f>IFERROR(INDEX(DePara!$A:$A,MATCH(TEXT(B2926,"0"),DePara!$D:$D,0)),"(sem categoria)")</f>
        <v/>
      </c>
      <c r="O2926" s="5">
        <f>IF(J2926="","",Parametros!$B$6-J2926)</f>
        <v/>
      </c>
      <c r="P2926" s="5">
        <f>IF(O2926="","",IF(O2926&gt;0,1,0))</f>
        <v/>
      </c>
    </row>
    <row r="2927">
      <c r="A2927" s="5" t="n">
        <v>2111000000</v>
      </c>
      <c r="B2927" s="5" t="inlineStr">
        <is>
          <t>100883</t>
        </is>
      </c>
      <c r="C2927" s="5" t="inlineStr">
        <is>
          <t>QUELMAR TRANSPORTES LTDA</t>
        </is>
      </c>
      <c r="D2927" s="5" t="inlineStr">
        <is>
          <t>RE</t>
        </is>
      </c>
      <c r="E2927" s="5" t="n">
        <v>5015975</v>
      </c>
      <c r="F2927" s="5" t="inlineStr">
        <is>
          <t>108514-1</t>
        </is>
      </c>
      <c r="G2927" s="5" t="inlineStr">
        <is>
          <t>BRL</t>
        </is>
      </c>
      <c r="H2927" s="9" t="n">
        <v>-1748.78</v>
      </c>
      <c r="I2927" s="16" t="n">
        <v>46255</v>
      </c>
      <c r="J2927" s="16" t="n">
        <v>46300</v>
      </c>
      <c r="K2927" s="5" t="inlineStr">
        <is>
          <t>Fatura - bruto QUELMAR TRANSPORTES LTDA 108514-1</t>
        </is>
      </c>
      <c r="L2927" s="5" t="inlineStr">
        <is>
          <t>05102026</t>
        </is>
      </c>
      <c r="M2927" s="5">
        <f>IF(YEAR(I2927)&lt;=2020,"Até 2020",TEXT(YEAR(I2927),"0"))</f>
        <v/>
      </c>
      <c r="N2927" s="5">
        <f>IFERROR(INDEX(DePara!$A:$A,MATCH(TEXT(B2927,"0"),DePara!$D:$D,0)),"(sem categoria)")</f>
        <v/>
      </c>
      <c r="O2927" s="5">
        <f>IF(J2927="","",Parametros!$B$6-J2927)</f>
        <v/>
      </c>
      <c r="P2927" s="5">
        <f>IF(O2927="","",IF(O2927&gt;0,1,0))</f>
        <v/>
      </c>
    </row>
    <row r="2928">
      <c r="A2928" s="5" t="n">
        <v>2111000000</v>
      </c>
      <c r="B2928" s="5" t="inlineStr">
        <is>
          <t>100883</t>
        </is>
      </c>
      <c r="C2928" s="5" t="inlineStr">
        <is>
          <t>QUELMAR TRANSPORTES LTDA</t>
        </is>
      </c>
      <c r="D2928" s="5" t="inlineStr">
        <is>
          <t>RE</t>
        </is>
      </c>
      <c r="E2928" s="5" t="n">
        <v>5015976</v>
      </c>
      <c r="F2928" s="5" t="inlineStr">
        <is>
          <t>108515-1</t>
        </is>
      </c>
      <c r="G2928" s="5" t="inlineStr">
        <is>
          <t>BRL</t>
        </is>
      </c>
      <c r="H2928" s="9" t="n">
        <v>-1748.78</v>
      </c>
      <c r="I2928" s="16" t="n">
        <v>46255</v>
      </c>
      <c r="J2928" s="16" t="n">
        <v>46300</v>
      </c>
      <c r="K2928" s="5" t="inlineStr">
        <is>
          <t>Fatura - bruto QUELMAR TRANSPORTES LTDA 108515-1</t>
        </is>
      </c>
      <c r="L2928" s="5" t="inlineStr">
        <is>
          <t>05102026</t>
        </is>
      </c>
      <c r="M2928" s="5">
        <f>IF(YEAR(I2928)&lt;=2020,"Até 2020",TEXT(YEAR(I2928),"0"))</f>
        <v/>
      </c>
      <c r="N2928" s="5">
        <f>IFERROR(INDEX(DePara!$A:$A,MATCH(TEXT(B2928,"0"),DePara!$D:$D,0)),"(sem categoria)")</f>
        <v/>
      </c>
      <c r="O2928" s="5">
        <f>IF(J2928="","",Parametros!$B$6-J2928)</f>
        <v/>
      </c>
      <c r="P2928" s="5">
        <f>IF(O2928="","",IF(O2928&gt;0,1,0))</f>
        <v/>
      </c>
    </row>
    <row r="2929">
      <c r="A2929" s="5" t="n">
        <v>2111000000</v>
      </c>
      <c r="B2929" s="5" t="inlineStr">
        <is>
          <t>100883</t>
        </is>
      </c>
      <c r="C2929" s="5" t="inlineStr">
        <is>
          <t>QUELMAR TRANSPORTES LTDA</t>
        </is>
      </c>
      <c r="D2929" s="5" t="inlineStr">
        <is>
          <t>RE</t>
        </is>
      </c>
      <c r="E2929" s="5" t="n">
        <v>5015977</v>
      </c>
      <c r="F2929" s="5" t="inlineStr">
        <is>
          <t>108532-1</t>
        </is>
      </c>
      <c r="G2929" s="5" t="inlineStr">
        <is>
          <t>BRL</t>
        </is>
      </c>
      <c r="H2929" s="9" t="n">
        <v>-1748.78</v>
      </c>
      <c r="I2929" s="16" t="n">
        <v>46255</v>
      </c>
      <c r="J2929" s="16" t="n">
        <v>46300</v>
      </c>
      <c r="K2929" s="5" t="inlineStr">
        <is>
          <t>Fatura - bruto QUELMAR TRANSPORTES LTDA 108532-1</t>
        </is>
      </c>
      <c r="L2929" s="5" t="inlineStr">
        <is>
          <t>05102026</t>
        </is>
      </c>
      <c r="M2929" s="5">
        <f>IF(YEAR(I2929)&lt;=2020,"Até 2020",TEXT(YEAR(I2929),"0"))</f>
        <v/>
      </c>
      <c r="N2929" s="5">
        <f>IFERROR(INDEX(DePara!$A:$A,MATCH(TEXT(B2929,"0"),DePara!$D:$D,0)),"(sem categoria)")</f>
        <v/>
      </c>
      <c r="O2929" s="5">
        <f>IF(J2929="","",Parametros!$B$6-J2929)</f>
        <v/>
      </c>
      <c r="P2929" s="5">
        <f>IF(O2929="","",IF(O2929&gt;0,1,0))</f>
        <v/>
      </c>
    </row>
    <row r="2930">
      <c r="A2930" s="5" t="n">
        <v>2111000000</v>
      </c>
      <c r="B2930" s="5" t="inlineStr">
        <is>
          <t>100883</t>
        </is>
      </c>
      <c r="C2930" s="5" t="inlineStr">
        <is>
          <t>QUELMAR TRANSPORTES LTDA</t>
        </is>
      </c>
      <c r="D2930" s="5" t="inlineStr">
        <is>
          <t>RE</t>
        </is>
      </c>
      <c r="E2930" s="5" t="n">
        <v>5015978</v>
      </c>
      <c r="F2930" s="5" t="inlineStr">
        <is>
          <t>108564-1</t>
        </is>
      </c>
      <c r="G2930" s="5" t="inlineStr">
        <is>
          <t>BRL</t>
        </is>
      </c>
      <c r="H2930" s="9" t="n">
        <v>-3009.93</v>
      </c>
      <c r="I2930" s="16" t="n">
        <v>46255</v>
      </c>
      <c r="J2930" s="16" t="n">
        <v>46300</v>
      </c>
      <c r="K2930" s="5" t="inlineStr">
        <is>
          <t>Fatura - bruto QUELMAR TRANSPORTES LTDA 108564-1</t>
        </is>
      </c>
      <c r="L2930" s="5" t="inlineStr">
        <is>
          <t>05102026</t>
        </is>
      </c>
      <c r="M2930" s="5">
        <f>IF(YEAR(I2930)&lt;=2020,"Até 2020",TEXT(YEAR(I2930),"0"))</f>
        <v/>
      </c>
      <c r="N2930" s="5">
        <f>IFERROR(INDEX(DePara!$A:$A,MATCH(TEXT(B2930,"0"),DePara!$D:$D,0)),"(sem categoria)")</f>
        <v/>
      </c>
      <c r="O2930" s="5">
        <f>IF(J2930="","",Parametros!$B$6-J2930)</f>
        <v/>
      </c>
      <c r="P2930" s="5">
        <f>IF(O2930="","",IF(O2930&gt;0,1,0))</f>
        <v/>
      </c>
    </row>
    <row r="2931">
      <c r="A2931" s="5" t="n">
        <v>2111000000</v>
      </c>
      <c r="B2931" s="5" t="inlineStr">
        <is>
          <t>100883</t>
        </is>
      </c>
      <c r="C2931" s="5" t="inlineStr">
        <is>
          <t>QUELMAR TRANSPORTES LTDA</t>
        </is>
      </c>
      <c r="D2931" s="5" t="inlineStr">
        <is>
          <t>RE</t>
        </is>
      </c>
      <c r="E2931" s="5" t="n">
        <v>5015979</v>
      </c>
      <c r="F2931" s="5" t="inlineStr">
        <is>
          <t>108565-1</t>
        </is>
      </c>
      <c r="G2931" s="5" t="inlineStr">
        <is>
          <t>BRL</t>
        </is>
      </c>
      <c r="H2931" s="9" t="n">
        <v>-1906.44</v>
      </c>
      <c r="I2931" s="16" t="n">
        <v>46255</v>
      </c>
      <c r="J2931" s="16" t="n">
        <v>46300</v>
      </c>
      <c r="K2931" s="5" t="inlineStr">
        <is>
          <t>Fatura - bruto QUELMAR TRANSPORTES LTDA 108565-1</t>
        </is>
      </c>
      <c r="L2931" s="5" t="inlineStr">
        <is>
          <t>05102026</t>
        </is>
      </c>
      <c r="M2931" s="5">
        <f>IF(YEAR(I2931)&lt;=2020,"Até 2020",TEXT(YEAR(I2931),"0"))</f>
        <v/>
      </c>
      <c r="N2931" s="5">
        <f>IFERROR(INDEX(DePara!$A:$A,MATCH(TEXT(B2931,"0"),DePara!$D:$D,0)),"(sem categoria)")</f>
        <v/>
      </c>
      <c r="O2931" s="5">
        <f>IF(J2931="","",Parametros!$B$6-J2931)</f>
        <v/>
      </c>
      <c r="P2931" s="5">
        <f>IF(O2931="","",IF(O2931&gt;0,1,0))</f>
        <v/>
      </c>
    </row>
    <row r="2932">
      <c r="A2932" s="5" t="n">
        <v>2111000000</v>
      </c>
      <c r="B2932" s="5" t="inlineStr">
        <is>
          <t>100883</t>
        </is>
      </c>
      <c r="C2932" s="5" t="inlineStr">
        <is>
          <t>QUELMAR TRANSPORTES LTDA</t>
        </is>
      </c>
      <c r="D2932" s="5" t="inlineStr">
        <is>
          <t>RE</t>
        </is>
      </c>
      <c r="E2932" s="5" t="n">
        <v>5015980</v>
      </c>
      <c r="F2932" s="5" t="inlineStr">
        <is>
          <t>108566-1</t>
        </is>
      </c>
      <c r="G2932" s="5" t="inlineStr">
        <is>
          <t>BRL</t>
        </is>
      </c>
      <c r="H2932" s="9" t="n">
        <v>-2311.39</v>
      </c>
      <c r="I2932" s="16" t="n">
        <v>46255</v>
      </c>
      <c r="J2932" s="16" t="n">
        <v>46300</v>
      </c>
      <c r="K2932" s="5" t="inlineStr">
        <is>
          <t>Fatura - bruto QUELMAR TRANSPORTES LTDA 108566-1</t>
        </is>
      </c>
      <c r="L2932" s="5" t="inlineStr">
        <is>
          <t>05102026</t>
        </is>
      </c>
      <c r="M2932" s="5">
        <f>IF(YEAR(I2932)&lt;=2020,"Até 2020",TEXT(YEAR(I2932),"0"))</f>
        <v/>
      </c>
      <c r="N2932" s="5">
        <f>IFERROR(INDEX(DePara!$A:$A,MATCH(TEXT(B2932,"0"),DePara!$D:$D,0)),"(sem categoria)")</f>
        <v/>
      </c>
      <c r="O2932" s="5">
        <f>IF(J2932="","",Parametros!$B$6-J2932)</f>
        <v/>
      </c>
      <c r="P2932" s="5">
        <f>IF(O2932="","",IF(O2932&gt;0,1,0))</f>
        <v/>
      </c>
    </row>
    <row r="2933">
      <c r="A2933" s="5" t="n">
        <v>2111000000</v>
      </c>
      <c r="B2933" s="5" t="inlineStr">
        <is>
          <t>100883</t>
        </is>
      </c>
      <c r="C2933" s="5" t="inlineStr">
        <is>
          <t>QUELMAR TRANSPORTES LTDA</t>
        </is>
      </c>
      <c r="D2933" s="5" t="inlineStr">
        <is>
          <t>RE</t>
        </is>
      </c>
      <c r="E2933" s="5" t="n">
        <v>5015981</v>
      </c>
      <c r="F2933" s="5" t="inlineStr">
        <is>
          <t>108567-1</t>
        </is>
      </c>
      <c r="G2933" s="5" t="inlineStr">
        <is>
          <t>BRL</t>
        </is>
      </c>
      <c r="H2933" s="9" t="n">
        <v>-2242.87</v>
      </c>
      <c r="I2933" s="16" t="n">
        <v>46255</v>
      </c>
      <c r="J2933" s="16" t="n">
        <v>46300</v>
      </c>
      <c r="K2933" s="5" t="inlineStr">
        <is>
          <t>Fatura - bruto QUELMAR TRANSPORTES LTDA 108567-1</t>
        </is>
      </c>
      <c r="L2933" s="5" t="inlineStr">
        <is>
          <t>05102026</t>
        </is>
      </c>
      <c r="M2933" s="5">
        <f>IF(YEAR(I2933)&lt;=2020,"Até 2020",TEXT(YEAR(I2933),"0"))</f>
        <v/>
      </c>
      <c r="N2933" s="5">
        <f>IFERROR(INDEX(DePara!$A:$A,MATCH(TEXT(B2933,"0"),DePara!$D:$D,0)),"(sem categoria)")</f>
        <v/>
      </c>
      <c r="O2933" s="5">
        <f>IF(J2933="","",Parametros!$B$6-J2933)</f>
        <v/>
      </c>
      <c r="P2933" s="5">
        <f>IF(O2933="","",IF(O2933&gt;0,1,0))</f>
        <v/>
      </c>
    </row>
    <row r="2934">
      <c r="A2934" s="5" t="n">
        <v>2111000000</v>
      </c>
      <c r="B2934" s="5" t="inlineStr">
        <is>
          <t>100883</t>
        </is>
      </c>
      <c r="C2934" s="5" t="inlineStr">
        <is>
          <t>QUELMAR TRANSPORTES LTDA</t>
        </is>
      </c>
      <c r="D2934" s="5" t="inlineStr">
        <is>
          <t>RE</t>
        </is>
      </c>
      <c r="E2934" s="5" t="n">
        <v>5015982</v>
      </c>
      <c r="F2934" s="5" t="inlineStr">
        <is>
          <t>108568-1</t>
        </is>
      </c>
      <c r="G2934" s="5" t="inlineStr">
        <is>
          <t>BRL</t>
        </is>
      </c>
      <c r="H2934" s="9" t="n">
        <v>-1850.37</v>
      </c>
      <c r="I2934" s="16" t="n">
        <v>46255</v>
      </c>
      <c r="J2934" s="16" t="n">
        <v>46300</v>
      </c>
      <c r="K2934" s="5" t="inlineStr">
        <is>
          <t>Fatura - bruto QUELMAR TRANSPORTES LTDA 108568-1</t>
        </is>
      </c>
      <c r="L2934" s="5" t="inlineStr">
        <is>
          <t>05102026</t>
        </is>
      </c>
      <c r="M2934" s="5">
        <f>IF(YEAR(I2934)&lt;=2020,"Até 2020",TEXT(YEAR(I2934),"0"))</f>
        <v/>
      </c>
      <c r="N2934" s="5">
        <f>IFERROR(INDEX(DePara!$A:$A,MATCH(TEXT(B2934,"0"),DePara!$D:$D,0)),"(sem categoria)")</f>
        <v/>
      </c>
      <c r="O2934" s="5">
        <f>IF(J2934="","",Parametros!$B$6-J2934)</f>
        <v/>
      </c>
      <c r="P2934" s="5">
        <f>IF(O2934="","",IF(O2934&gt;0,1,0))</f>
        <v/>
      </c>
    </row>
    <row r="2935">
      <c r="A2935" s="5" t="n">
        <v>2111000000</v>
      </c>
      <c r="B2935" s="5" t="inlineStr">
        <is>
          <t>100883</t>
        </is>
      </c>
      <c r="C2935" s="5" t="inlineStr">
        <is>
          <t>QUELMAR TRANSPORTES LTDA</t>
        </is>
      </c>
      <c r="D2935" s="5" t="inlineStr">
        <is>
          <t>RE</t>
        </is>
      </c>
      <c r="E2935" s="5" t="n">
        <v>5015984</v>
      </c>
      <c r="F2935" s="5" t="inlineStr">
        <is>
          <t>108521-1</t>
        </is>
      </c>
      <c r="G2935" s="5" t="inlineStr">
        <is>
          <t>BRL</t>
        </is>
      </c>
      <c r="H2935" s="9" t="n">
        <v>-1748.78</v>
      </c>
      <c r="I2935" s="16" t="n">
        <v>46255</v>
      </c>
      <c r="J2935" s="16" t="n">
        <v>46300</v>
      </c>
      <c r="K2935" s="5" t="inlineStr">
        <is>
          <t>Fatura - bruto QUELMAR TRANSPORTES LTDA 108521-1</t>
        </is>
      </c>
      <c r="L2935" s="5" t="inlineStr">
        <is>
          <t>05102026</t>
        </is>
      </c>
      <c r="M2935" s="5">
        <f>IF(YEAR(I2935)&lt;=2020,"Até 2020",TEXT(YEAR(I2935),"0"))</f>
        <v/>
      </c>
      <c r="N2935" s="5">
        <f>IFERROR(INDEX(DePara!$A:$A,MATCH(TEXT(B2935,"0"),DePara!$D:$D,0)),"(sem categoria)")</f>
        <v/>
      </c>
      <c r="O2935" s="5">
        <f>IF(J2935="","",Parametros!$B$6-J2935)</f>
        <v/>
      </c>
      <c r="P2935" s="5">
        <f>IF(O2935="","",IF(O2935&gt;0,1,0))</f>
        <v/>
      </c>
    </row>
    <row r="2936">
      <c r="A2936" s="5" t="n">
        <v>2111000000</v>
      </c>
      <c r="B2936" s="5" t="inlineStr">
        <is>
          <t>100883</t>
        </is>
      </c>
      <c r="C2936" s="5" t="inlineStr">
        <is>
          <t>QUELMAR TRANSPORTES LTDA</t>
        </is>
      </c>
      <c r="D2936" s="5" t="inlineStr">
        <is>
          <t>RE</t>
        </is>
      </c>
      <c r="E2936" s="5" t="n">
        <v>5015985</v>
      </c>
      <c r="F2936" s="5" t="inlineStr">
        <is>
          <t>108536-1</t>
        </is>
      </c>
      <c r="G2936" s="5" t="inlineStr">
        <is>
          <t>BRL</t>
        </is>
      </c>
      <c r="H2936" s="9" t="n">
        <v>-1748.78</v>
      </c>
      <c r="I2936" s="16" t="n">
        <v>46255</v>
      </c>
      <c r="J2936" s="16" t="n">
        <v>46300</v>
      </c>
      <c r="K2936" s="5" t="inlineStr">
        <is>
          <t>Fatura - bruto QUELMAR TRANSPORTES LTDA 108536-1</t>
        </is>
      </c>
      <c r="L2936" s="5" t="inlineStr">
        <is>
          <t>05102026</t>
        </is>
      </c>
      <c r="M2936" s="5">
        <f>IF(YEAR(I2936)&lt;=2020,"Até 2020",TEXT(YEAR(I2936),"0"))</f>
        <v/>
      </c>
      <c r="N2936" s="5">
        <f>IFERROR(INDEX(DePara!$A:$A,MATCH(TEXT(B2936,"0"),DePara!$D:$D,0)),"(sem categoria)")</f>
        <v/>
      </c>
      <c r="O2936" s="5">
        <f>IF(J2936="","",Parametros!$B$6-J2936)</f>
        <v/>
      </c>
      <c r="P2936" s="5">
        <f>IF(O2936="","",IF(O2936&gt;0,1,0))</f>
        <v/>
      </c>
    </row>
    <row r="2937">
      <c r="A2937" s="5" t="n">
        <v>2111000000</v>
      </c>
      <c r="B2937" s="5" t="inlineStr">
        <is>
          <t>100883</t>
        </is>
      </c>
      <c r="C2937" s="5" t="inlineStr">
        <is>
          <t>QUELMAR TRANSPORTES LTDA</t>
        </is>
      </c>
      <c r="D2937" s="5" t="inlineStr">
        <is>
          <t>RE</t>
        </is>
      </c>
      <c r="E2937" s="5" t="n">
        <v>5015986</v>
      </c>
      <c r="F2937" s="5" t="inlineStr">
        <is>
          <t>108540-1</t>
        </is>
      </c>
      <c r="G2937" s="5" t="inlineStr">
        <is>
          <t>BRL</t>
        </is>
      </c>
      <c r="H2937" s="9" t="n">
        <v>-1748.78</v>
      </c>
      <c r="I2937" s="16" t="n">
        <v>46255</v>
      </c>
      <c r="J2937" s="16" t="n">
        <v>46300</v>
      </c>
      <c r="K2937" s="5" t="inlineStr">
        <is>
          <t>Fatura - bruto QUELMAR TRANSPORTES LTDA 108540-1</t>
        </is>
      </c>
      <c r="L2937" s="5" t="inlineStr">
        <is>
          <t>05102026</t>
        </is>
      </c>
      <c r="M2937" s="5">
        <f>IF(YEAR(I2937)&lt;=2020,"Até 2020",TEXT(YEAR(I2937),"0"))</f>
        <v/>
      </c>
      <c r="N2937" s="5">
        <f>IFERROR(INDEX(DePara!$A:$A,MATCH(TEXT(B2937,"0"),DePara!$D:$D,0)),"(sem categoria)")</f>
        <v/>
      </c>
      <c r="O2937" s="5">
        <f>IF(J2937="","",Parametros!$B$6-J2937)</f>
        <v/>
      </c>
      <c r="P2937" s="5">
        <f>IF(O2937="","",IF(O2937&gt;0,1,0))</f>
        <v/>
      </c>
    </row>
    <row r="2938">
      <c r="A2938" s="5" t="n">
        <v>2111000000</v>
      </c>
      <c r="B2938" s="5" t="inlineStr">
        <is>
          <t>101801</t>
        </is>
      </c>
      <c r="C2938" s="5" t="inlineStr">
        <is>
          <t>DARCY PACHECO SOLUCOES DE PESO LTDA 89396121000108</t>
        </is>
      </c>
      <c r="D2938" s="5" t="inlineStr">
        <is>
          <t>RE</t>
        </is>
      </c>
      <c r="E2938" s="5" t="n">
        <v>5015987</v>
      </c>
      <c r="F2938" s="5" t="inlineStr">
        <is>
          <t>8779</t>
        </is>
      </c>
      <c r="G2938" s="5" t="inlineStr">
        <is>
          <t>BRL</t>
        </is>
      </c>
      <c r="H2938" s="9" t="n">
        <v>-450619.77</v>
      </c>
      <c r="I2938" s="16" t="n">
        <v>46254</v>
      </c>
      <c r="J2938" s="16" t="n">
        <v>46331</v>
      </c>
      <c r="K2938" s="5" t="inlineStr">
        <is>
          <t>Fatura - bruto DARCY PACHECO SOLUCOES DE PESO LTDA</t>
        </is>
      </c>
      <c r="L2938" s="5" t="inlineStr">
        <is>
          <t>05112026</t>
        </is>
      </c>
      <c r="M2938" s="5">
        <f>IF(YEAR(I2938)&lt;=2020,"Até 2020",TEXT(YEAR(I2938),"0"))</f>
        <v/>
      </c>
      <c r="N2938" s="5">
        <f>IFERROR(INDEX(DePara!$A:$A,MATCH(TEXT(B2938,"0"),DePara!$D:$D,0)),"(sem categoria)")</f>
        <v/>
      </c>
      <c r="O2938" s="5">
        <f>IF(J2938="","",Parametros!$B$6-J2938)</f>
        <v/>
      </c>
      <c r="P2938" s="5">
        <f>IF(O2938="","",IF(O2938&gt;0,1,0))</f>
        <v/>
      </c>
    </row>
    <row r="2939">
      <c r="A2939" s="5" t="n">
        <v>2111000000</v>
      </c>
      <c r="B2939" s="5" t="inlineStr">
        <is>
          <t>102005</t>
        </is>
      </c>
      <c r="C2939" s="5" t="inlineStr">
        <is>
          <t>COMPANHIA ENERGETICA RIO G N COSERN</t>
        </is>
      </c>
      <c r="D2939" s="5" t="inlineStr">
        <is>
          <t>RE</t>
        </is>
      </c>
      <c r="E2939" s="5" t="n">
        <v>5015988</v>
      </c>
      <c r="F2939" s="5" t="inlineStr">
        <is>
          <t>164698703</t>
        </is>
      </c>
      <c r="G2939" s="5" t="inlineStr">
        <is>
          <t>BRL</t>
        </is>
      </c>
      <c r="H2939" s="9" t="n">
        <v>-9620.66</v>
      </c>
      <c r="I2939" s="16" t="n">
        <v>46253</v>
      </c>
      <c r="J2939" s="16" t="n">
        <v>46262</v>
      </c>
      <c r="K2939" s="5" t="inlineStr">
        <is>
          <t>34191750828510393293685832890009115520000962066</t>
        </is>
      </c>
      <c r="L2939" s="5" t="inlineStr">
        <is>
          <t>02092026</t>
        </is>
      </c>
      <c r="M2939" s="5">
        <f>IF(YEAR(I2939)&lt;=2020,"Até 2020",TEXT(YEAR(I2939),"0"))</f>
        <v/>
      </c>
      <c r="N2939" s="5">
        <f>IFERROR(INDEX(DePara!$A:$A,MATCH(TEXT(B2939,"0"),DePara!$D:$D,0)),"(sem categoria)")</f>
        <v/>
      </c>
      <c r="O2939" s="5">
        <f>IF(J2939="","",Parametros!$B$6-J2939)</f>
        <v/>
      </c>
      <c r="P2939" s="5">
        <f>IF(O2939="","",IF(O2939&gt;0,1,0))</f>
        <v/>
      </c>
    </row>
    <row r="2940">
      <c r="A2940" s="5" t="n">
        <v>2111000000</v>
      </c>
      <c r="B2940" s="5" t="inlineStr">
        <is>
          <t>102038</t>
        </is>
      </c>
      <c r="C2940" s="5" t="inlineStr">
        <is>
          <t>WHITE MARTINS GASES INDUSTRIAIS DO</t>
        </is>
      </c>
      <c r="D2940" s="5" t="inlineStr">
        <is>
          <t>RE</t>
        </is>
      </c>
      <c r="E2940" s="5" t="n">
        <v>5015989</v>
      </c>
      <c r="F2940" s="5" t="inlineStr">
        <is>
          <t>258558</t>
        </is>
      </c>
      <c r="G2940" s="5" t="inlineStr">
        <is>
          <t>BRL</t>
        </is>
      </c>
      <c r="H2940" s="9" t="n">
        <v>-525.95</v>
      </c>
      <c r="I2940" s="16" t="n">
        <v>46253</v>
      </c>
      <c r="J2940" s="16" t="n">
        <v>46281</v>
      </c>
      <c r="K2940" s="5" t="inlineStr">
        <is>
          <t>Fatura - bruto WHITE MARTINS GASES INDUSTRIAIS DO</t>
        </is>
      </c>
      <c r="L2940" s="5" t="inlineStr">
        <is>
          <t>16092026</t>
        </is>
      </c>
      <c r="M2940" s="5">
        <f>IF(YEAR(I2940)&lt;=2020,"Até 2020",TEXT(YEAR(I2940),"0"))</f>
        <v/>
      </c>
      <c r="N2940" s="5">
        <f>IFERROR(INDEX(DePara!$A:$A,MATCH(TEXT(B2940,"0"),DePara!$D:$D,0)),"(sem categoria)")</f>
        <v/>
      </c>
      <c r="O2940" s="5">
        <f>IF(J2940="","",Parametros!$B$6-J2940)</f>
        <v/>
      </c>
      <c r="P2940" s="5">
        <f>IF(O2940="","",IF(O2940&gt;0,1,0))</f>
        <v/>
      </c>
    </row>
    <row r="2941">
      <c r="A2941" s="5" t="n">
        <v>2111000000</v>
      </c>
      <c r="B2941" s="5" t="inlineStr">
        <is>
          <t>101494</t>
        </is>
      </c>
      <c r="C2941" s="5" t="inlineStr">
        <is>
          <t>AG SOLVE MONITORAMENTO AMBIENTAL LT</t>
        </is>
      </c>
      <c r="D2941" s="5" t="inlineStr">
        <is>
          <t>RE</t>
        </is>
      </c>
      <c r="E2941" s="5" t="n">
        <v>5015999</v>
      </c>
      <c r="F2941" s="5" t="inlineStr">
        <is>
          <t>000013916-4</t>
        </is>
      </c>
      <c r="G2941" s="5" t="inlineStr">
        <is>
          <t>BRL</t>
        </is>
      </c>
      <c r="H2941" s="9" t="n">
        <v>-134225</v>
      </c>
      <c r="I2941" s="16" t="n">
        <v>46234</v>
      </c>
      <c r="J2941" s="16" t="n">
        <v>46270</v>
      </c>
      <c r="K2941" s="5" t="inlineStr">
        <is>
          <t>Fatura - bruto AG SOLVE MONITORAMENTO AMBIENTAL LT</t>
        </is>
      </c>
      <c r="L2941" s="5" t="inlineStr">
        <is>
          <t>08092026</t>
        </is>
      </c>
      <c r="M2941" s="5">
        <f>IF(YEAR(I2941)&lt;=2020,"Até 2020",TEXT(YEAR(I2941),"0"))</f>
        <v/>
      </c>
      <c r="N2941" s="5">
        <f>IFERROR(INDEX(DePara!$A:$A,MATCH(TEXT(B2941,"0"),DePara!$D:$D,0)),"(sem categoria)")</f>
        <v/>
      </c>
      <c r="O2941" s="5">
        <f>IF(J2941="","",Parametros!$B$6-J2941)</f>
        <v/>
      </c>
      <c r="P2941" s="5">
        <f>IF(O2941="","",IF(O2941&gt;0,1,0))</f>
        <v/>
      </c>
    </row>
    <row r="2942">
      <c r="A2942" s="5" t="n">
        <v>2111000000</v>
      </c>
      <c r="B2942" s="5" t="inlineStr">
        <is>
          <t>100867</t>
        </is>
      </c>
      <c r="C2942" s="5" t="inlineStr">
        <is>
          <t>CSA - CASE SOLUCOES AMBIENTAIS LTDA</t>
        </is>
      </c>
      <c r="D2942" s="5" t="inlineStr">
        <is>
          <t>RE</t>
        </is>
      </c>
      <c r="E2942" s="5" t="n">
        <v>5016000</v>
      </c>
      <c r="F2942" s="5" t="inlineStr">
        <is>
          <t>361</t>
        </is>
      </c>
      <c r="G2942" s="5" t="inlineStr">
        <is>
          <t>BRL</t>
        </is>
      </c>
      <c r="H2942" s="9" t="n">
        <v>-17212.88</v>
      </c>
      <c r="I2942" s="16" t="n">
        <v>46255</v>
      </c>
      <c r="J2942" s="16" t="n">
        <v>46300</v>
      </c>
      <c r="K2942" s="5" t="inlineStr">
        <is>
          <t>Fatura - bruto CSA - CASE SOLUCOES AMBIENTAIS LTDA</t>
        </is>
      </c>
      <c r="L2942" s="5" t="inlineStr">
        <is>
          <t>05102026</t>
        </is>
      </c>
      <c r="M2942" s="5">
        <f>IF(YEAR(I2942)&lt;=2020,"Até 2020",TEXT(YEAR(I2942),"0"))</f>
        <v/>
      </c>
      <c r="N2942" s="5">
        <f>IFERROR(INDEX(DePara!$A:$A,MATCH(TEXT(B2942,"0"),DePara!$D:$D,0)),"(sem categoria)")</f>
        <v/>
      </c>
      <c r="O2942" s="5">
        <f>IF(J2942="","",Parametros!$B$6-J2942)</f>
        <v/>
      </c>
      <c r="P2942" s="5">
        <f>IF(O2942="","",IF(O2942&gt;0,1,0))</f>
        <v/>
      </c>
    </row>
    <row r="2943">
      <c r="A2943" s="5" t="n">
        <v>2111000000</v>
      </c>
      <c r="B2943" s="5" t="inlineStr">
        <is>
          <t>102038</t>
        </is>
      </c>
      <c r="C2943" s="5" t="inlineStr">
        <is>
          <t>WHITE MARTINS GASES INDUSTRIAIS DO</t>
        </is>
      </c>
      <c r="D2943" s="5" t="inlineStr">
        <is>
          <t>RE</t>
        </is>
      </c>
      <c r="E2943" s="5" t="n">
        <v>5016001</v>
      </c>
      <c r="F2943" s="5" t="inlineStr">
        <is>
          <t>257496</t>
        </is>
      </c>
      <c r="G2943" s="5" t="inlineStr">
        <is>
          <t>BRL</t>
        </is>
      </c>
      <c r="H2943" s="9" t="n">
        <v>-1051.9</v>
      </c>
      <c r="I2943" s="16" t="n">
        <v>46253</v>
      </c>
      <c r="J2943" s="16" t="n">
        <v>46281</v>
      </c>
      <c r="K2943" s="5" t="inlineStr">
        <is>
          <t>Fatura - bruto WHITE MARTINS GASES INDUSTRIAIS DO</t>
        </is>
      </c>
      <c r="L2943" s="5" t="inlineStr">
        <is>
          <t>16092026</t>
        </is>
      </c>
      <c r="M2943" s="5">
        <f>IF(YEAR(I2943)&lt;=2020,"Até 2020",TEXT(YEAR(I2943),"0"))</f>
        <v/>
      </c>
      <c r="N2943" s="5">
        <f>IFERROR(INDEX(DePara!$A:$A,MATCH(TEXT(B2943,"0"),DePara!$D:$D,0)),"(sem categoria)")</f>
        <v/>
      </c>
      <c r="O2943" s="5">
        <f>IF(J2943="","",Parametros!$B$6-J2943)</f>
        <v/>
      </c>
      <c r="P2943" s="5">
        <f>IF(O2943="","",IF(O2943&gt;0,1,0))</f>
        <v/>
      </c>
    </row>
    <row r="2944">
      <c r="A2944" s="5" t="n">
        <v>2111000000</v>
      </c>
      <c r="B2944" s="5" t="inlineStr">
        <is>
          <t>101420</t>
        </is>
      </c>
      <c r="C2944" s="5" t="inlineStr">
        <is>
          <t>MEDEIROS GALVAO SOLUÇÕES LTDA</t>
        </is>
      </c>
      <c r="D2944" s="5" t="inlineStr">
        <is>
          <t>RE</t>
        </is>
      </c>
      <c r="E2944" s="5" t="n">
        <v>5016002</v>
      </c>
      <c r="F2944" s="5" t="inlineStr">
        <is>
          <t>000030384-2</t>
        </is>
      </c>
      <c r="G2944" s="5" t="inlineStr">
        <is>
          <t>BRL</t>
        </is>
      </c>
      <c r="H2944" s="9" t="n">
        <v>-2724.66</v>
      </c>
      <c r="I2944" s="16" t="n">
        <v>46244</v>
      </c>
      <c r="J2944" s="16" t="n">
        <v>46270</v>
      </c>
      <c r="K2944" s="5" t="inlineStr">
        <is>
          <t>Fatura - bruto MEDEIROS GALVAO SOLUÇÕES LTDA 00003</t>
        </is>
      </c>
      <c r="L2944" s="5" t="inlineStr">
        <is>
          <t>08092026</t>
        </is>
      </c>
      <c r="M2944" s="5">
        <f>IF(YEAR(I2944)&lt;=2020,"Até 2020",TEXT(YEAR(I2944),"0"))</f>
        <v/>
      </c>
      <c r="N2944" s="5">
        <f>IFERROR(INDEX(DePara!$A:$A,MATCH(TEXT(B2944,"0"),DePara!$D:$D,0)),"(sem categoria)")</f>
        <v/>
      </c>
      <c r="O2944" s="5">
        <f>IF(J2944="","",Parametros!$B$6-J2944)</f>
        <v/>
      </c>
      <c r="P2944" s="5">
        <f>IF(O2944="","",IF(O2944&gt;0,1,0))</f>
        <v/>
      </c>
    </row>
    <row r="2945">
      <c r="A2945" s="5" t="n">
        <v>2111000000</v>
      </c>
      <c r="B2945" s="5" t="inlineStr">
        <is>
          <t>101540</t>
        </is>
      </c>
      <c r="C2945" s="5" t="inlineStr">
        <is>
          <t>RICOH PY EQUIPAMENTOS DE INFORMATIC</t>
        </is>
      </c>
      <c r="D2945" s="5" t="inlineStr">
        <is>
          <t>RE</t>
        </is>
      </c>
      <c r="E2945" s="5" t="n">
        <v>5016003</v>
      </c>
      <c r="F2945" s="5" t="inlineStr">
        <is>
          <t>15160</t>
        </is>
      </c>
      <c r="G2945" s="5" t="inlineStr">
        <is>
          <t>BRL</t>
        </is>
      </c>
      <c r="H2945" s="9" t="n">
        <v>-1204.36</v>
      </c>
      <c r="I2945" s="16" t="n">
        <v>46260</v>
      </c>
      <c r="J2945" s="16" t="n">
        <v>46283</v>
      </c>
      <c r="K2945" s="5" t="inlineStr">
        <is>
          <t>Fatura - bruto RICOH PY EQUIPAMENTOS DE INFORMATIC</t>
        </is>
      </c>
      <c r="L2945" s="5" t="inlineStr">
        <is>
          <t>16092026</t>
        </is>
      </c>
      <c r="M2945" s="5">
        <f>IF(YEAR(I2945)&lt;=2020,"Até 2020",TEXT(YEAR(I2945),"0"))</f>
        <v/>
      </c>
      <c r="N2945" s="5">
        <f>IFERROR(INDEX(DePara!$A:$A,MATCH(TEXT(B2945,"0"),DePara!$D:$D,0)),"(sem categoria)")</f>
        <v/>
      </c>
      <c r="O2945" s="5">
        <f>IF(J2945="","",Parametros!$B$6-J2945)</f>
        <v/>
      </c>
      <c r="P2945" s="5">
        <f>IF(O2945="","",IF(O2945&gt;0,1,0))</f>
        <v/>
      </c>
    </row>
    <row r="2946">
      <c r="A2946" s="5" t="n">
        <v>2111000000</v>
      </c>
      <c r="B2946" s="5" t="inlineStr">
        <is>
          <t>101463</t>
        </is>
      </c>
      <c r="C2946" s="5" t="inlineStr">
        <is>
          <t>ZURICH MINAS BRASIL SEGUROS S A</t>
        </is>
      </c>
      <c r="D2946" s="5" t="inlineStr">
        <is>
          <t>RE</t>
        </is>
      </c>
      <c r="E2946" s="5" t="n">
        <v>5016005</v>
      </c>
      <c r="F2946" s="5" t="inlineStr">
        <is>
          <t>0521/26</t>
        </is>
      </c>
      <c r="G2946" s="5" t="inlineStr">
        <is>
          <t>BRL</t>
        </is>
      </c>
      <c r="H2946" s="9" t="n">
        <v>-127.57</v>
      </c>
      <c r="I2946" s="16" t="n">
        <v>46261</v>
      </c>
      <c r="J2946" s="16" t="n">
        <v>46291</v>
      </c>
      <c r="K2946" s="5" t="inlineStr">
        <is>
          <t>Invoice Payment. SP: 22038</t>
        </is>
      </c>
      <c r="L2946" s="5" t="inlineStr">
        <is>
          <t>0521/26</t>
        </is>
      </c>
      <c r="M2946" s="5">
        <f>IF(YEAR(I2946)&lt;=2020,"Até 2020",TEXT(YEAR(I2946),"0"))</f>
        <v/>
      </c>
      <c r="N2946" s="5">
        <f>IFERROR(INDEX(DePara!$A:$A,MATCH(TEXT(B2946,"0"),DePara!$D:$D,0)),"(sem categoria)")</f>
        <v/>
      </c>
      <c r="O2946" s="5">
        <f>IF(J2946="","",Parametros!$B$6-J2946)</f>
        <v/>
      </c>
      <c r="P2946" s="5">
        <f>IF(O2946="","",IF(O2946&gt;0,1,0))</f>
        <v/>
      </c>
    </row>
    <row r="2947">
      <c r="A2947" s="5" t="n">
        <v>2111000000</v>
      </c>
      <c r="B2947" s="5" t="inlineStr">
        <is>
          <t>101463</t>
        </is>
      </c>
      <c r="C2947" s="5" t="inlineStr">
        <is>
          <t>ZURICH MINAS BRASIL SEGUROS S A</t>
        </is>
      </c>
      <c r="D2947" s="5" t="inlineStr">
        <is>
          <t>RE</t>
        </is>
      </c>
      <c r="E2947" s="5" t="n">
        <v>5016007</v>
      </c>
      <c r="F2947" s="5" t="inlineStr">
        <is>
          <t>0381/26</t>
        </is>
      </c>
      <c r="G2947" s="5" t="inlineStr">
        <is>
          <t>BRL</t>
        </is>
      </c>
      <c r="H2947" s="9" t="n">
        <v>-5.13</v>
      </c>
      <c r="I2947" s="16" t="n">
        <v>46261</v>
      </c>
      <c r="J2947" s="16" t="n">
        <v>46291</v>
      </c>
      <c r="K2947" s="5" t="inlineStr">
        <is>
          <t>Invoice Payment. SP: 22040</t>
        </is>
      </c>
      <c r="L2947" s="5" t="inlineStr">
        <is>
          <t>0381/26</t>
        </is>
      </c>
      <c r="M2947" s="5">
        <f>IF(YEAR(I2947)&lt;=2020,"Até 2020",TEXT(YEAR(I2947),"0"))</f>
        <v/>
      </c>
      <c r="N2947" s="5">
        <f>IFERROR(INDEX(DePara!$A:$A,MATCH(TEXT(B2947,"0"),DePara!$D:$D,0)),"(sem categoria)")</f>
        <v/>
      </c>
      <c r="O2947" s="5">
        <f>IF(J2947="","",Parametros!$B$6-J2947)</f>
        <v/>
      </c>
      <c r="P2947" s="5">
        <f>IF(O2947="","",IF(O2947&gt;0,1,0))</f>
        <v/>
      </c>
    </row>
    <row r="2948">
      <c r="A2948" s="5" t="n">
        <v>2111000000</v>
      </c>
      <c r="B2948" s="5" t="inlineStr">
        <is>
          <t>101420</t>
        </is>
      </c>
      <c r="C2948" s="5" t="inlineStr">
        <is>
          <t>MEDEIROS GALVAO SOLUÇÕES LTDA</t>
        </is>
      </c>
      <c r="D2948" s="5" t="inlineStr">
        <is>
          <t>RE</t>
        </is>
      </c>
      <c r="E2948" s="5" t="n">
        <v>5016008</v>
      </c>
      <c r="F2948" s="5" t="inlineStr">
        <is>
          <t>30278-2</t>
        </is>
      </c>
      <c r="G2948" s="5" t="inlineStr">
        <is>
          <t>BRL</t>
        </is>
      </c>
      <c r="H2948" s="9" t="n">
        <v>-8758.73</v>
      </c>
      <c r="I2948" s="16" t="n">
        <v>46237</v>
      </c>
      <c r="J2948" s="16" t="n">
        <v>46270</v>
      </c>
      <c r="K2948" s="5" t="inlineStr">
        <is>
          <t>Fatura - bruto MEDEIROS GALVAO SOLUÇÕES LTDA 30278</t>
        </is>
      </c>
      <c r="L2948" s="5" t="inlineStr">
        <is>
          <t>08092026</t>
        </is>
      </c>
      <c r="M2948" s="5">
        <f>IF(YEAR(I2948)&lt;=2020,"Até 2020",TEXT(YEAR(I2948),"0"))</f>
        <v/>
      </c>
      <c r="N2948" s="5">
        <f>IFERROR(INDEX(DePara!$A:$A,MATCH(TEXT(B2948,"0"),DePara!$D:$D,0)),"(sem categoria)")</f>
        <v/>
      </c>
      <c r="O2948" s="5">
        <f>IF(J2948="","",Parametros!$B$6-J2948)</f>
        <v/>
      </c>
      <c r="P2948" s="5">
        <f>IF(O2948="","",IF(O2948&gt;0,1,0))</f>
        <v/>
      </c>
    </row>
    <row r="2949">
      <c r="A2949" s="5" t="n">
        <v>2111000000</v>
      </c>
      <c r="B2949" s="5" t="inlineStr">
        <is>
          <t>101420</t>
        </is>
      </c>
      <c r="C2949" s="5" t="inlineStr">
        <is>
          <t>MEDEIROS GALVAO SOLUÇÕES LTDA</t>
        </is>
      </c>
      <c r="D2949" s="5" t="inlineStr">
        <is>
          <t>RE</t>
        </is>
      </c>
      <c r="E2949" s="5" t="n">
        <v>5016010</v>
      </c>
      <c r="F2949" s="5" t="inlineStr">
        <is>
          <t>30437-2</t>
        </is>
      </c>
      <c r="G2949" s="5" t="inlineStr">
        <is>
          <t>BRL</t>
        </is>
      </c>
      <c r="H2949" s="9" t="n">
        <v>-3094.71</v>
      </c>
      <c r="I2949" s="16" t="n">
        <v>46244</v>
      </c>
      <c r="J2949" s="16" t="n">
        <v>46300</v>
      </c>
      <c r="K2949" s="5" t="inlineStr">
        <is>
          <t>Fatura - bruto MEDEIROS GALVAO SOLUÇÕES LTDA 30437</t>
        </is>
      </c>
      <c r="L2949" s="5" t="inlineStr">
        <is>
          <t>05102026</t>
        </is>
      </c>
      <c r="M2949" s="5">
        <f>IF(YEAR(I2949)&lt;=2020,"Até 2020",TEXT(YEAR(I2949),"0"))</f>
        <v/>
      </c>
      <c r="N2949" s="5">
        <f>IFERROR(INDEX(DePara!$A:$A,MATCH(TEXT(B2949,"0"),DePara!$D:$D,0)),"(sem categoria)")</f>
        <v/>
      </c>
      <c r="O2949" s="5">
        <f>IF(J2949="","",Parametros!$B$6-J2949)</f>
        <v/>
      </c>
      <c r="P2949" s="5">
        <f>IF(O2949="","",IF(O2949&gt;0,1,0))</f>
        <v/>
      </c>
    </row>
    <row r="2950">
      <c r="A2950" s="5" t="n">
        <v>2111000000</v>
      </c>
      <c r="B2950" s="5" t="inlineStr">
        <is>
          <t>101420</t>
        </is>
      </c>
      <c r="C2950" s="5" t="inlineStr">
        <is>
          <t>MEDEIROS GALVAO SOLUÇÕES LTDA</t>
        </is>
      </c>
      <c r="D2950" s="5" t="inlineStr">
        <is>
          <t>RE</t>
        </is>
      </c>
      <c r="E2950" s="5" t="n">
        <v>5016011</v>
      </c>
      <c r="F2950" s="5" t="inlineStr">
        <is>
          <t>30531-2</t>
        </is>
      </c>
      <c r="G2950" s="5" t="inlineStr">
        <is>
          <t>BRL</t>
        </is>
      </c>
      <c r="H2950" s="9" t="n">
        <v>-3405.24</v>
      </c>
      <c r="I2950" s="16" t="n">
        <v>46248</v>
      </c>
      <c r="J2950" s="16" t="n">
        <v>46300</v>
      </c>
      <c r="K2950" s="5" t="inlineStr">
        <is>
          <t>Fatura - bruto MEDEIROS GALVAO SOLUÇÕES LTDA 30531</t>
        </is>
      </c>
      <c r="L2950" s="5" t="inlineStr">
        <is>
          <t>05102026</t>
        </is>
      </c>
      <c r="M2950" s="5">
        <f>IF(YEAR(I2950)&lt;=2020,"Até 2020",TEXT(YEAR(I2950),"0"))</f>
        <v/>
      </c>
      <c r="N2950" s="5">
        <f>IFERROR(INDEX(DePara!$A:$A,MATCH(TEXT(B2950,"0"),DePara!$D:$D,0)),"(sem categoria)")</f>
        <v/>
      </c>
      <c r="O2950" s="5">
        <f>IF(J2950="","",Parametros!$B$6-J2950)</f>
        <v/>
      </c>
      <c r="P2950" s="5">
        <f>IF(O2950="","",IF(O2950&gt;0,1,0))</f>
        <v/>
      </c>
    </row>
    <row r="2951">
      <c r="A2951" s="5" t="n">
        <v>2111000000</v>
      </c>
      <c r="B2951" s="5" t="inlineStr">
        <is>
          <t>101420</t>
        </is>
      </c>
      <c r="C2951" s="5" t="inlineStr">
        <is>
          <t>MEDEIROS GALVAO SOLUÇÕES LTDA</t>
        </is>
      </c>
      <c r="D2951" s="5" t="inlineStr">
        <is>
          <t>RE</t>
        </is>
      </c>
      <c r="E2951" s="5" t="n">
        <v>5016012</v>
      </c>
      <c r="F2951" s="5" t="inlineStr">
        <is>
          <t>30535-2</t>
        </is>
      </c>
      <c r="G2951" s="5" t="inlineStr">
        <is>
          <t>BRL</t>
        </is>
      </c>
      <c r="H2951" s="9" t="n">
        <v>-549.6</v>
      </c>
      <c r="I2951" s="16" t="n">
        <v>46248</v>
      </c>
      <c r="J2951" s="16" t="n">
        <v>46300</v>
      </c>
      <c r="K2951" s="5" t="inlineStr">
        <is>
          <t>Fatura - bruto MEDEIROS GALVAO SOLUÇÕES LTDA 30535</t>
        </is>
      </c>
      <c r="L2951" s="5" t="inlineStr">
        <is>
          <t>05102026</t>
        </is>
      </c>
      <c r="M2951" s="5">
        <f>IF(YEAR(I2951)&lt;=2020,"Até 2020",TEXT(YEAR(I2951),"0"))</f>
        <v/>
      </c>
      <c r="N2951" s="5">
        <f>IFERROR(INDEX(DePara!$A:$A,MATCH(TEXT(B2951,"0"),DePara!$D:$D,0)),"(sem categoria)")</f>
        <v/>
      </c>
      <c r="O2951" s="5">
        <f>IF(J2951="","",Parametros!$B$6-J2951)</f>
        <v/>
      </c>
      <c r="P2951" s="5">
        <f>IF(O2951="","",IF(O2951&gt;0,1,0))</f>
        <v/>
      </c>
    </row>
    <row r="2952">
      <c r="A2952" s="5" t="n">
        <v>2111000000</v>
      </c>
      <c r="B2952" s="5" t="inlineStr">
        <is>
          <t>101463</t>
        </is>
      </c>
      <c r="C2952" s="5" t="inlineStr">
        <is>
          <t>ZURICH MINAS BRASIL SEGUROS S A</t>
        </is>
      </c>
      <c r="D2952" s="5" t="inlineStr">
        <is>
          <t>RE</t>
        </is>
      </c>
      <c r="E2952" s="5" t="n">
        <v>5016013</v>
      </c>
      <c r="F2952" s="5" t="inlineStr">
        <is>
          <t>0460/26</t>
        </is>
      </c>
      <c r="G2952" s="5" t="inlineStr">
        <is>
          <t>BRL</t>
        </is>
      </c>
      <c r="H2952" s="9" t="n">
        <v>-498.49</v>
      </c>
      <c r="I2952" s="16" t="n">
        <v>46261</v>
      </c>
      <c r="J2952" s="16" t="n">
        <v>46291</v>
      </c>
      <c r="K2952" s="5" t="inlineStr">
        <is>
          <t>Invoice Payment. SP: 22042</t>
        </is>
      </c>
      <c r="L2952" s="5" t="inlineStr">
        <is>
          <t>0460/26</t>
        </is>
      </c>
      <c r="M2952" s="5">
        <f>IF(YEAR(I2952)&lt;=2020,"Até 2020",TEXT(YEAR(I2952),"0"))</f>
        <v/>
      </c>
      <c r="N2952" s="5">
        <f>IFERROR(INDEX(DePara!$A:$A,MATCH(TEXT(B2952,"0"),DePara!$D:$D,0)),"(sem categoria)")</f>
        <v/>
      </c>
      <c r="O2952" s="5">
        <f>IF(J2952="","",Parametros!$B$6-J2952)</f>
        <v/>
      </c>
      <c r="P2952" s="5">
        <f>IF(O2952="","",IF(O2952&gt;0,1,0))</f>
        <v/>
      </c>
    </row>
    <row r="2953">
      <c r="A2953" s="5" t="n">
        <v>2111000000</v>
      </c>
      <c r="B2953" s="5" t="inlineStr">
        <is>
          <t>101540</t>
        </is>
      </c>
      <c r="C2953" s="5" t="inlineStr">
        <is>
          <t>RICOH PY EQUIPAMENTOS DE INFORMATIC</t>
        </is>
      </c>
      <c r="D2953" s="5" t="inlineStr">
        <is>
          <t>RE</t>
        </is>
      </c>
      <c r="E2953" s="5" t="n">
        <v>5016014</v>
      </c>
      <c r="F2953" s="5" t="inlineStr">
        <is>
          <t>15159</t>
        </is>
      </c>
      <c r="G2953" s="5" t="inlineStr">
        <is>
          <t>BRL</t>
        </is>
      </c>
      <c r="H2953" s="9" t="n">
        <v>-925.95</v>
      </c>
      <c r="I2953" s="16" t="n">
        <v>46259</v>
      </c>
      <c r="J2953" s="16" t="n">
        <v>46283</v>
      </c>
      <c r="K2953" s="5" t="inlineStr">
        <is>
          <t>Fatura - bruto RICOH PY EQUIPAMENTOS DE INFORMATIC</t>
        </is>
      </c>
      <c r="L2953" s="5" t="inlineStr">
        <is>
          <t>16092026</t>
        </is>
      </c>
      <c r="M2953" s="5">
        <f>IF(YEAR(I2953)&lt;=2020,"Até 2020",TEXT(YEAR(I2953),"0"))</f>
        <v/>
      </c>
      <c r="N2953" s="5">
        <f>IFERROR(INDEX(DePara!$A:$A,MATCH(TEXT(B2953,"0"),DePara!$D:$D,0)),"(sem categoria)")</f>
        <v/>
      </c>
      <c r="O2953" s="5">
        <f>IF(J2953="","",Parametros!$B$6-J2953)</f>
        <v/>
      </c>
      <c r="P2953" s="5">
        <f>IF(O2953="","",IF(O2953&gt;0,1,0))</f>
        <v/>
      </c>
    </row>
    <row r="2954">
      <c r="A2954" s="5" t="n">
        <v>2111000000</v>
      </c>
      <c r="B2954" s="5" t="inlineStr">
        <is>
          <t>101540</t>
        </is>
      </c>
      <c r="C2954" s="5" t="inlineStr">
        <is>
          <t>RICOH PY EQUIPAMENTOS DE INFORMATIC</t>
        </is>
      </c>
      <c r="D2954" s="5" t="inlineStr">
        <is>
          <t>RE</t>
        </is>
      </c>
      <c r="E2954" s="5" t="n">
        <v>5016015</v>
      </c>
      <c r="F2954" s="5" t="inlineStr">
        <is>
          <t>15158</t>
        </is>
      </c>
      <c r="G2954" s="5" t="inlineStr">
        <is>
          <t>BRL</t>
        </is>
      </c>
      <c r="H2954" s="9" t="n">
        <v>-796.95</v>
      </c>
      <c r="I2954" s="16" t="n">
        <v>46259</v>
      </c>
      <c r="J2954" s="16" t="n">
        <v>46283</v>
      </c>
      <c r="K2954" s="5" t="inlineStr">
        <is>
          <t>Fatura - bruto RICOH PY EQUIPAMENTOS DE INFORMATIC</t>
        </is>
      </c>
      <c r="L2954" s="5" t="inlineStr">
        <is>
          <t>16092026</t>
        </is>
      </c>
      <c r="M2954" s="5">
        <f>IF(YEAR(I2954)&lt;=2020,"Até 2020",TEXT(YEAR(I2954),"0"))</f>
        <v/>
      </c>
      <c r="N2954" s="5">
        <f>IFERROR(INDEX(DePara!$A:$A,MATCH(TEXT(B2954,"0"),DePara!$D:$D,0)),"(sem categoria)")</f>
        <v/>
      </c>
      <c r="O2954" s="5">
        <f>IF(J2954="","",Parametros!$B$6-J2954)</f>
        <v/>
      </c>
      <c r="P2954" s="5">
        <f>IF(O2954="","",IF(O2954&gt;0,1,0))</f>
        <v/>
      </c>
    </row>
    <row r="2955">
      <c r="A2955" s="5" t="n">
        <v>2111000000</v>
      </c>
      <c r="B2955" s="5" t="inlineStr">
        <is>
          <t>101540</t>
        </is>
      </c>
      <c r="C2955" s="5" t="inlineStr">
        <is>
          <t>RICOH PY EQUIPAMENTOS DE INFORMATIC</t>
        </is>
      </c>
      <c r="D2955" s="5" t="inlineStr">
        <is>
          <t>RE</t>
        </is>
      </c>
      <c r="E2955" s="5" t="n">
        <v>5016018</v>
      </c>
      <c r="F2955" s="5" t="inlineStr">
        <is>
          <t>15157</t>
        </is>
      </c>
      <c r="G2955" s="5" t="inlineStr">
        <is>
          <t>BRL</t>
        </is>
      </c>
      <c r="H2955" s="9" t="n">
        <v>-796.95</v>
      </c>
      <c r="I2955" s="16" t="n">
        <v>46259</v>
      </c>
      <c r="J2955" s="16" t="n">
        <v>46283</v>
      </c>
      <c r="K2955" s="5" t="inlineStr">
        <is>
          <t>Fatura - bruto RICOH PY EQUIPAMENTOS DE INFORMATIC</t>
        </is>
      </c>
      <c r="L2955" s="5" t="inlineStr">
        <is>
          <t>16092026</t>
        </is>
      </c>
      <c r="M2955" s="5">
        <f>IF(YEAR(I2955)&lt;=2020,"Até 2020",TEXT(YEAR(I2955),"0"))</f>
        <v/>
      </c>
      <c r="N2955" s="5">
        <f>IFERROR(INDEX(DePara!$A:$A,MATCH(TEXT(B2955,"0"),DePara!$D:$D,0)),"(sem categoria)")</f>
        <v/>
      </c>
      <c r="O2955" s="5">
        <f>IF(J2955="","",Parametros!$B$6-J2955)</f>
        <v/>
      </c>
      <c r="P2955" s="5">
        <f>IF(O2955="","",IF(O2955&gt;0,1,0))</f>
        <v/>
      </c>
    </row>
    <row r="2956">
      <c r="A2956" s="5" t="n">
        <v>2111000000</v>
      </c>
      <c r="B2956" s="5" t="inlineStr">
        <is>
          <t>101540</t>
        </is>
      </c>
      <c r="C2956" s="5" t="inlineStr">
        <is>
          <t>RICOH PY EQUIPAMENTOS DE INFORMATIC</t>
        </is>
      </c>
      <c r="D2956" s="5" t="inlineStr">
        <is>
          <t>RE</t>
        </is>
      </c>
      <c r="E2956" s="5" t="n">
        <v>5016019</v>
      </c>
      <c r="F2956" s="5" t="inlineStr">
        <is>
          <t>15156</t>
        </is>
      </c>
      <c r="G2956" s="5" t="inlineStr">
        <is>
          <t>BRL</t>
        </is>
      </c>
      <c r="H2956" s="9" t="n">
        <v>-796.95</v>
      </c>
      <c r="I2956" s="16" t="n">
        <v>46259</v>
      </c>
      <c r="J2956" s="16" t="n">
        <v>46283</v>
      </c>
      <c r="K2956" s="5" t="inlineStr">
        <is>
          <t>Fatura - bruto RICOH PY EQUIPAMENTOS DE INFORMATIC</t>
        </is>
      </c>
      <c r="L2956" s="5" t="inlineStr">
        <is>
          <t>16092026</t>
        </is>
      </c>
      <c r="M2956" s="5">
        <f>IF(YEAR(I2956)&lt;=2020,"Até 2020",TEXT(YEAR(I2956),"0"))</f>
        <v/>
      </c>
      <c r="N2956" s="5">
        <f>IFERROR(INDEX(DePara!$A:$A,MATCH(TEXT(B2956,"0"),DePara!$D:$D,0)),"(sem categoria)")</f>
        <v/>
      </c>
      <c r="O2956" s="5">
        <f>IF(J2956="","",Parametros!$B$6-J2956)</f>
        <v/>
      </c>
      <c r="P2956" s="5">
        <f>IF(O2956="","",IF(O2956&gt;0,1,0))</f>
        <v/>
      </c>
    </row>
    <row r="2957">
      <c r="A2957" s="5" t="n">
        <v>2111000000</v>
      </c>
      <c r="B2957" s="5" t="inlineStr">
        <is>
          <t>101540</t>
        </is>
      </c>
      <c r="C2957" s="5" t="inlineStr">
        <is>
          <t>RICOH PY EQUIPAMENTOS DE INFORMATIC</t>
        </is>
      </c>
      <c r="D2957" s="5" t="inlineStr">
        <is>
          <t>RE</t>
        </is>
      </c>
      <c r="E2957" s="5" t="n">
        <v>5016020</v>
      </c>
      <c r="F2957" s="5" t="inlineStr">
        <is>
          <t>15155</t>
        </is>
      </c>
      <c r="G2957" s="5" t="inlineStr">
        <is>
          <t>BRL</t>
        </is>
      </c>
      <c r="H2957" s="9" t="n">
        <v>-796.95</v>
      </c>
      <c r="I2957" s="16" t="n">
        <v>46259</v>
      </c>
      <c r="J2957" s="16" t="n">
        <v>46283</v>
      </c>
      <c r="K2957" s="5" t="inlineStr">
        <is>
          <t>Fatura - bruto RICOH PY EQUIPAMENTOS DE INFORMATIC</t>
        </is>
      </c>
      <c r="L2957" s="5" t="inlineStr">
        <is>
          <t>16092026</t>
        </is>
      </c>
      <c r="M2957" s="5">
        <f>IF(YEAR(I2957)&lt;=2020,"Até 2020",TEXT(YEAR(I2957),"0"))</f>
        <v/>
      </c>
      <c r="N2957" s="5">
        <f>IFERROR(INDEX(DePara!$A:$A,MATCH(TEXT(B2957,"0"),DePara!$D:$D,0)),"(sem categoria)")</f>
        <v/>
      </c>
      <c r="O2957" s="5">
        <f>IF(J2957="","",Parametros!$B$6-J2957)</f>
        <v/>
      </c>
      <c r="P2957" s="5">
        <f>IF(O2957="","",IF(O2957&gt;0,1,0))</f>
        <v/>
      </c>
    </row>
    <row r="2958">
      <c r="A2958" s="5" t="n">
        <v>2111000000</v>
      </c>
      <c r="B2958" s="5" t="inlineStr">
        <is>
          <t>101463</t>
        </is>
      </c>
      <c r="C2958" s="5" t="inlineStr">
        <is>
          <t>ZURICH MINAS BRASIL SEGUROS S A</t>
        </is>
      </c>
      <c r="D2958" s="5" t="inlineStr">
        <is>
          <t>RE</t>
        </is>
      </c>
      <c r="E2958" s="5" t="n">
        <v>5016021</v>
      </c>
      <c r="F2958" s="5" t="inlineStr">
        <is>
          <t>0496/26</t>
        </is>
      </c>
      <c r="G2958" s="5" t="inlineStr">
        <is>
          <t>BRL</t>
        </is>
      </c>
      <c r="H2958" s="9" t="n">
        <v>-22.24</v>
      </c>
      <c r="I2958" s="16" t="n">
        <v>46261</v>
      </c>
      <c r="J2958" s="16" t="n">
        <v>46291</v>
      </c>
      <c r="K2958" s="5" t="inlineStr">
        <is>
          <t>Invoice Payment. SP: 22047</t>
        </is>
      </c>
      <c r="L2958" s="5" t="inlineStr">
        <is>
          <t>0496/26</t>
        </is>
      </c>
      <c r="M2958" s="5">
        <f>IF(YEAR(I2958)&lt;=2020,"Até 2020",TEXT(YEAR(I2958),"0"))</f>
        <v/>
      </c>
      <c r="N2958" s="5">
        <f>IFERROR(INDEX(DePara!$A:$A,MATCH(TEXT(B2958,"0"),DePara!$D:$D,0)),"(sem categoria)")</f>
        <v/>
      </c>
      <c r="O2958" s="5">
        <f>IF(J2958="","",Parametros!$B$6-J2958)</f>
        <v/>
      </c>
      <c r="P2958" s="5">
        <f>IF(O2958="","",IF(O2958&gt;0,1,0))</f>
        <v/>
      </c>
    </row>
    <row r="2959">
      <c r="A2959" s="5" t="n">
        <v>2111000000</v>
      </c>
      <c r="B2959" s="5" t="inlineStr">
        <is>
          <t>101463</t>
        </is>
      </c>
      <c r="C2959" s="5" t="inlineStr">
        <is>
          <t>ZURICH MINAS BRASIL SEGUROS S A</t>
        </is>
      </c>
      <c r="D2959" s="5" t="inlineStr">
        <is>
          <t>RE</t>
        </is>
      </c>
      <c r="E2959" s="5" t="n">
        <v>5016023</v>
      </c>
      <c r="F2959" s="5" t="inlineStr">
        <is>
          <t>0498/26</t>
        </is>
      </c>
      <c r="G2959" s="5" t="inlineStr">
        <is>
          <t>BRL</t>
        </is>
      </c>
      <c r="H2959" s="9" t="n">
        <v>-23.36</v>
      </c>
      <c r="I2959" s="16" t="n">
        <v>46261</v>
      </c>
      <c r="J2959" s="16" t="n">
        <v>46291</v>
      </c>
      <c r="K2959" s="5" t="inlineStr">
        <is>
          <t>Invoice Payment. SP: 22049</t>
        </is>
      </c>
      <c r="L2959" s="5" t="inlineStr">
        <is>
          <t>0498/26</t>
        </is>
      </c>
      <c r="M2959" s="5">
        <f>IF(YEAR(I2959)&lt;=2020,"Até 2020",TEXT(YEAR(I2959),"0"))</f>
        <v/>
      </c>
      <c r="N2959" s="5">
        <f>IFERROR(INDEX(DePara!$A:$A,MATCH(TEXT(B2959,"0"),DePara!$D:$D,0)),"(sem categoria)")</f>
        <v/>
      </c>
      <c r="O2959" s="5">
        <f>IF(J2959="","",Parametros!$B$6-J2959)</f>
        <v/>
      </c>
      <c r="P2959" s="5">
        <f>IF(O2959="","",IF(O2959&gt;0,1,0))</f>
        <v/>
      </c>
    </row>
    <row r="2960">
      <c r="A2960" s="5" t="n">
        <v>2111000000</v>
      </c>
      <c r="B2960" s="5" t="inlineStr">
        <is>
          <t>101463</t>
        </is>
      </c>
      <c r="C2960" s="5" t="inlineStr">
        <is>
          <t>ZURICH MINAS BRASIL SEGUROS S A</t>
        </is>
      </c>
      <c r="D2960" s="5" t="inlineStr">
        <is>
          <t>RE</t>
        </is>
      </c>
      <c r="E2960" s="5" t="n">
        <v>5016025</v>
      </c>
      <c r="F2960" s="5" t="inlineStr">
        <is>
          <t>0499/26</t>
        </is>
      </c>
      <c r="G2960" s="5" t="inlineStr">
        <is>
          <t>BRL</t>
        </is>
      </c>
      <c r="H2960" s="9" t="n">
        <v>-247.53</v>
      </c>
      <c r="I2960" s="16" t="n">
        <v>46261</v>
      </c>
      <c r="J2960" s="16" t="n">
        <v>46291</v>
      </c>
      <c r="K2960" s="5" t="inlineStr">
        <is>
          <t>Invoice Payment. SP: 22051</t>
        </is>
      </c>
      <c r="L2960" s="5" t="inlineStr">
        <is>
          <t>0499/26</t>
        </is>
      </c>
      <c r="M2960" s="5">
        <f>IF(YEAR(I2960)&lt;=2020,"Até 2020",TEXT(YEAR(I2960),"0"))</f>
        <v/>
      </c>
      <c r="N2960" s="5">
        <f>IFERROR(INDEX(DePara!$A:$A,MATCH(TEXT(B2960,"0"),DePara!$D:$D,0)),"(sem categoria)")</f>
        <v/>
      </c>
      <c r="O2960" s="5">
        <f>IF(J2960="","",Parametros!$B$6-J2960)</f>
        <v/>
      </c>
      <c r="P2960" s="5">
        <f>IF(O2960="","",IF(O2960&gt;0,1,0))</f>
        <v/>
      </c>
    </row>
    <row r="2961">
      <c r="A2961" s="5" t="n">
        <v>2111000000</v>
      </c>
      <c r="B2961" s="5" t="inlineStr">
        <is>
          <t>101463</t>
        </is>
      </c>
      <c r="C2961" s="5" t="inlineStr">
        <is>
          <t>ZURICH MINAS BRASIL SEGUROS S A</t>
        </is>
      </c>
      <c r="D2961" s="5" t="inlineStr">
        <is>
          <t>RE</t>
        </is>
      </c>
      <c r="E2961" s="5" t="n">
        <v>5016027</v>
      </c>
      <c r="F2961" s="5" t="inlineStr">
        <is>
          <t>0522/26</t>
        </is>
      </c>
      <c r="G2961" s="5" t="inlineStr">
        <is>
          <t>BRL</t>
        </is>
      </c>
      <c r="H2961" s="9" t="n">
        <v>-5.97</v>
      </c>
      <c r="I2961" s="16" t="n">
        <v>46261</v>
      </c>
      <c r="J2961" s="16" t="n">
        <v>46291</v>
      </c>
      <c r="K2961" s="5" t="inlineStr">
        <is>
          <t>Invoice Payment. SP: 22053</t>
        </is>
      </c>
      <c r="L2961" s="5" t="inlineStr">
        <is>
          <t>0522/26</t>
        </is>
      </c>
      <c r="M2961" s="5">
        <f>IF(YEAR(I2961)&lt;=2020,"Até 2020",TEXT(YEAR(I2961),"0"))</f>
        <v/>
      </c>
      <c r="N2961" s="5">
        <f>IFERROR(INDEX(DePara!$A:$A,MATCH(TEXT(B2961,"0"),DePara!$D:$D,0)),"(sem categoria)")</f>
        <v/>
      </c>
      <c r="O2961" s="5">
        <f>IF(J2961="","",Parametros!$B$6-J2961)</f>
        <v/>
      </c>
      <c r="P2961" s="5">
        <f>IF(O2961="","",IF(O2961&gt;0,1,0))</f>
        <v/>
      </c>
    </row>
    <row r="2962">
      <c r="A2962" s="5" t="n">
        <v>2111000000</v>
      </c>
      <c r="B2962" s="5" t="inlineStr">
        <is>
          <t>102117</t>
        </is>
      </c>
      <c r="C2962" s="5" t="inlineStr">
        <is>
          <t>ELETROPAULO METRO ELETRICIDADE DE S</t>
        </is>
      </c>
      <c r="D2962" s="5" t="inlineStr">
        <is>
          <t>RE</t>
        </is>
      </c>
      <c r="E2962" s="5" t="n">
        <v>5016030</v>
      </c>
      <c r="F2962" s="5" t="inlineStr">
        <is>
          <t>94168200-2</t>
        </is>
      </c>
      <c r="G2962" s="5" t="inlineStr">
        <is>
          <t>BRL</t>
        </is>
      </c>
      <c r="H2962" s="9" t="n">
        <v>-1806.23</v>
      </c>
      <c r="I2962" s="16" t="n">
        <v>46261</v>
      </c>
      <c r="J2962" s="16" t="n">
        <v>46273</v>
      </c>
      <c r="K2962" s="5" t="inlineStr">
        <is>
          <t>Fatura - bruto ELETROPAULO METRO ELETRICIDADE DE S</t>
        </is>
      </c>
      <c r="L2962" s="5" t="inlineStr">
        <is>
          <t>09092026</t>
        </is>
      </c>
      <c r="M2962" s="5">
        <f>IF(YEAR(I2962)&lt;=2020,"Até 2020",TEXT(YEAR(I2962),"0"))</f>
        <v/>
      </c>
      <c r="N2962" s="5">
        <f>IFERROR(INDEX(DePara!$A:$A,MATCH(TEXT(B2962,"0"),DePara!$D:$D,0)),"(sem categoria)")</f>
        <v/>
      </c>
      <c r="O2962" s="5">
        <f>IF(J2962="","",Parametros!$B$6-J2962)</f>
        <v/>
      </c>
      <c r="P2962" s="5">
        <f>IF(O2962="","",IF(O2962&gt;0,1,0))</f>
        <v/>
      </c>
    </row>
    <row r="2963">
      <c r="A2963" s="5" t="n">
        <v>2111000000</v>
      </c>
      <c r="B2963" s="5" t="inlineStr">
        <is>
          <t>103927</t>
        </is>
      </c>
      <c r="C2963" s="5" t="inlineStr">
        <is>
          <t>MOVIDA PARTICIPACOES</t>
        </is>
      </c>
      <c r="D2963" s="5" t="inlineStr">
        <is>
          <t>RE</t>
        </is>
      </c>
      <c r="E2963" s="5" t="n">
        <v>5016031</v>
      </c>
      <c r="F2963" s="5" t="inlineStr">
        <is>
          <t>800180</t>
        </is>
      </c>
      <c r="G2963" s="5" t="inlineStr">
        <is>
          <t>BRL</t>
        </is>
      </c>
      <c r="H2963" s="9" t="n">
        <v>-24623.68</v>
      </c>
      <c r="I2963" s="16" t="n">
        <v>46245</v>
      </c>
      <c r="J2963" s="16" t="n">
        <v>46275</v>
      </c>
      <c r="K2963" s="5" t="inlineStr">
        <is>
          <t>Fatura - bruto MOVIDA PARTICIPACOES 800180</t>
        </is>
      </c>
      <c r="L2963" s="5" t="inlineStr">
        <is>
          <t>09092026</t>
        </is>
      </c>
      <c r="M2963" s="5">
        <f>IF(YEAR(I2963)&lt;=2020,"Até 2020",TEXT(YEAR(I2963),"0"))</f>
        <v/>
      </c>
      <c r="N2963" s="5">
        <f>IFERROR(INDEX(DePara!$A:$A,MATCH(TEXT(B2963,"0"),DePara!$D:$D,0)),"(sem categoria)")</f>
        <v/>
      </c>
      <c r="O2963" s="5">
        <f>IF(J2963="","",Parametros!$B$6-J2963)</f>
        <v/>
      </c>
      <c r="P2963" s="5">
        <f>IF(O2963="","",IF(O2963&gt;0,1,0))</f>
        <v/>
      </c>
    </row>
    <row r="2964">
      <c r="A2964" s="5" t="n">
        <v>2111000000</v>
      </c>
      <c r="B2964" s="5" t="inlineStr">
        <is>
          <t>101540</t>
        </is>
      </c>
      <c r="C2964" s="5" t="inlineStr">
        <is>
          <t>RICOH PY EQUIPAMENTOS DE INFORMATIC</t>
        </is>
      </c>
      <c r="D2964" s="5" t="inlineStr">
        <is>
          <t>RE</t>
        </is>
      </c>
      <c r="E2964" s="5" t="n">
        <v>5016032</v>
      </c>
      <c r="F2964" s="5" t="inlineStr">
        <is>
          <t>15154</t>
        </is>
      </c>
      <c r="G2964" s="5" t="inlineStr">
        <is>
          <t>BRL</t>
        </is>
      </c>
      <c r="H2964" s="9" t="n">
        <v>-797.36</v>
      </c>
      <c r="I2964" s="16" t="n">
        <v>46259</v>
      </c>
      <c r="J2964" s="16" t="n">
        <v>46283</v>
      </c>
      <c r="K2964" s="5" t="inlineStr">
        <is>
          <t>Fatura - bruto RICOH PY EQUIPAMENTOS DE INFORMATIC</t>
        </is>
      </c>
      <c r="L2964" s="5" t="inlineStr">
        <is>
          <t>16092026</t>
        </is>
      </c>
      <c r="M2964" s="5">
        <f>IF(YEAR(I2964)&lt;=2020,"Até 2020",TEXT(YEAR(I2964),"0"))</f>
        <v/>
      </c>
      <c r="N2964" s="5">
        <f>IFERROR(INDEX(DePara!$A:$A,MATCH(TEXT(B2964,"0"),DePara!$D:$D,0)),"(sem categoria)")</f>
        <v/>
      </c>
      <c r="O2964" s="5">
        <f>IF(J2964="","",Parametros!$B$6-J2964)</f>
        <v/>
      </c>
      <c r="P2964" s="5">
        <f>IF(O2964="","",IF(O2964&gt;0,1,0))</f>
        <v/>
      </c>
    </row>
    <row r="2965">
      <c r="A2965" s="5" t="n">
        <v>2111000000</v>
      </c>
      <c r="B2965" s="5" t="inlineStr">
        <is>
          <t>101540</t>
        </is>
      </c>
      <c r="C2965" s="5" t="inlineStr">
        <is>
          <t>RICOH PY EQUIPAMENTOS DE INFORMATIC</t>
        </is>
      </c>
      <c r="D2965" s="5" t="inlineStr">
        <is>
          <t>RE</t>
        </is>
      </c>
      <c r="E2965" s="5" t="n">
        <v>5016033</v>
      </c>
      <c r="F2965" s="5" t="inlineStr">
        <is>
          <t>15153</t>
        </is>
      </c>
      <c r="G2965" s="5" t="inlineStr">
        <is>
          <t>BRL</t>
        </is>
      </c>
      <c r="H2965" s="9" t="n">
        <v>-796.95</v>
      </c>
      <c r="I2965" s="16" t="n">
        <v>46259</v>
      </c>
      <c r="J2965" s="16" t="n">
        <v>46283</v>
      </c>
      <c r="K2965" s="5" t="inlineStr">
        <is>
          <t>Fatura - bruto RICOH PY EQUIPAMENTOS DE INFORMATIC</t>
        </is>
      </c>
      <c r="L2965" s="5" t="inlineStr">
        <is>
          <t>16092026</t>
        </is>
      </c>
      <c r="M2965" s="5">
        <f>IF(YEAR(I2965)&lt;=2020,"Até 2020",TEXT(YEAR(I2965),"0"))</f>
        <v/>
      </c>
      <c r="N2965" s="5">
        <f>IFERROR(INDEX(DePara!$A:$A,MATCH(TEXT(B2965,"0"),DePara!$D:$D,0)),"(sem categoria)")</f>
        <v/>
      </c>
      <c r="O2965" s="5">
        <f>IF(J2965="","",Parametros!$B$6-J2965)</f>
        <v/>
      </c>
      <c r="P2965" s="5">
        <f>IF(O2965="","",IF(O2965&gt;0,1,0))</f>
        <v/>
      </c>
    </row>
    <row r="2966">
      <c r="A2966" s="5" t="n">
        <v>2111000000</v>
      </c>
      <c r="B2966" s="5" t="inlineStr">
        <is>
          <t>101540</t>
        </is>
      </c>
      <c r="C2966" s="5" t="inlineStr">
        <is>
          <t>RICOH PY EQUIPAMENTOS DE INFORMATIC</t>
        </is>
      </c>
      <c r="D2966" s="5" t="inlineStr">
        <is>
          <t>RE</t>
        </is>
      </c>
      <c r="E2966" s="5" t="n">
        <v>5016034</v>
      </c>
      <c r="F2966" s="5" t="inlineStr">
        <is>
          <t>15152</t>
        </is>
      </c>
      <c r="G2966" s="5" t="inlineStr">
        <is>
          <t>BRL</t>
        </is>
      </c>
      <c r="H2966" s="9" t="n">
        <v>-997.5700000000001</v>
      </c>
      <c r="I2966" s="16" t="n">
        <v>46259</v>
      </c>
      <c r="J2966" s="16" t="n">
        <v>46283</v>
      </c>
      <c r="K2966" s="5" t="inlineStr">
        <is>
          <t>Fatura - bruto RICOH PY EQUIPAMENTOS DE INFORMATIC</t>
        </is>
      </c>
      <c r="L2966" s="5" t="inlineStr">
        <is>
          <t>16092026</t>
        </is>
      </c>
      <c r="M2966" s="5">
        <f>IF(YEAR(I2966)&lt;=2020,"Até 2020",TEXT(YEAR(I2966),"0"))</f>
        <v/>
      </c>
      <c r="N2966" s="5">
        <f>IFERROR(INDEX(DePara!$A:$A,MATCH(TEXT(B2966,"0"),DePara!$D:$D,0)),"(sem categoria)")</f>
        <v/>
      </c>
      <c r="O2966" s="5">
        <f>IF(J2966="","",Parametros!$B$6-J2966)</f>
        <v/>
      </c>
      <c r="P2966" s="5">
        <f>IF(O2966="","",IF(O2966&gt;0,1,0))</f>
        <v/>
      </c>
    </row>
    <row r="2967">
      <c r="A2967" s="5" t="n">
        <v>2111000000</v>
      </c>
      <c r="B2967" s="5" t="inlineStr">
        <is>
          <t>101540</t>
        </is>
      </c>
      <c r="C2967" s="5" t="inlineStr">
        <is>
          <t>RICOH PY EQUIPAMENTOS DE INFORMATIC</t>
        </is>
      </c>
      <c r="D2967" s="5" t="inlineStr">
        <is>
          <t>RE</t>
        </is>
      </c>
      <c r="E2967" s="5" t="n">
        <v>5016035</v>
      </c>
      <c r="F2967" s="5" t="inlineStr">
        <is>
          <t>15150</t>
        </is>
      </c>
      <c r="G2967" s="5" t="inlineStr">
        <is>
          <t>BRL</t>
        </is>
      </c>
      <c r="H2967" s="9" t="n">
        <v>-3196.86</v>
      </c>
      <c r="I2967" s="16" t="n">
        <v>46259</v>
      </c>
      <c r="J2967" s="16" t="n">
        <v>46289</v>
      </c>
      <c r="K2967" s="5" t="inlineStr">
        <is>
          <t>Fatura - bruto RICOH PY EQUIPAMENTOS DE INFORMATIC</t>
        </is>
      </c>
      <c r="L2967" s="5" t="inlineStr">
        <is>
          <t>23092026</t>
        </is>
      </c>
      <c r="M2967" s="5">
        <f>IF(YEAR(I2967)&lt;=2020,"Até 2020",TEXT(YEAR(I2967),"0"))</f>
        <v/>
      </c>
      <c r="N2967" s="5">
        <f>IFERROR(INDEX(DePara!$A:$A,MATCH(TEXT(B2967,"0"),DePara!$D:$D,0)),"(sem categoria)")</f>
        <v/>
      </c>
      <c r="O2967" s="5">
        <f>IF(J2967="","",Parametros!$B$6-J2967)</f>
        <v/>
      </c>
      <c r="P2967" s="5">
        <f>IF(O2967="","",IF(O2967&gt;0,1,0))</f>
        <v/>
      </c>
    </row>
    <row r="2968">
      <c r="A2968" s="5" t="n">
        <v>2111000000</v>
      </c>
      <c r="B2968" s="5" t="inlineStr">
        <is>
          <t>115365</t>
        </is>
      </c>
      <c r="C2968" s="5" t="inlineStr">
        <is>
          <t>IVANALDO DIAS DA SILVA 52.029.512</t>
        </is>
      </c>
      <c r="D2968" s="5" t="inlineStr">
        <is>
          <t>RE</t>
        </is>
      </c>
      <c r="E2968" s="5" t="n">
        <v>5016036</v>
      </c>
      <c r="F2968" s="5" t="inlineStr">
        <is>
          <t>1</t>
        </is>
      </c>
      <c r="G2968" s="5" t="inlineStr">
        <is>
          <t>BRL</t>
        </is>
      </c>
      <c r="H2968" s="9" t="n">
        <v>-4500</v>
      </c>
      <c r="I2968" s="16" t="n">
        <v>46260</v>
      </c>
      <c r="J2968" s="16" t="n">
        <v>46260</v>
      </c>
      <c r="K2968" s="5" t="inlineStr">
        <is>
          <t>Fatura - bruto IVANALDO DIAS DA SILVA 52.029.512 1</t>
        </is>
      </c>
      <c r="L2968" s="5" t="inlineStr">
        <is>
          <t>02092026</t>
        </is>
      </c>
      <c r="M2968" s="5">
        <f>IF(YEAR(I2968)&lt;=2020,"Até 2020",TEXT(YEAR(I2968),"0"))</f>
        <v/>
      </c>
      <c r="N2968" s="5">
        <f>IFERROR(INDEX(DePara!$A:$A,MATCH(TEXT(B2968,"0"),DePara!$D:$D,0)),"(sem categoria)")</f>
        <v/>
      </c>
      <c r="O2968" s="5">
        <f>IF(J2968="","",Parametros!$B$6-J2968)</f>
        <v/>
      </c>
      <c r="P2968" s="5">
        <f>IF(O2968="","",IF(O2968&gt;0,1,0))</f>
        <v/>
      </c>
    </row>
    <row r="2969">
      <c r="A2969" s="5" t="n">
        <v>2111000000</v>
      </c>
      <c r="B2969" s="5" t="inlineStr">
        <is>
          <t>101540</t>
        </is>
      </c>
      <c r="C2969" s="5" t="inlineStr">
        <is>
          <t>RICOH PY EQUIPAMENTOS DE INFORMATIC</t>
        </is>
      </c>
      <c r="D2969" s="5" t="inlineStr">
        <is>
          <t>RE</t>
        </is>
      </c>
      <c r="E2969" s="5" t="n">
        <v>5016037</v>
      </c>
      <c r="F2969" s="5" t="inlineStr">
        <is>
          <t>15128</t>
        </is>
      </c>
      <c r="G2969" s="5" t="inlineStr">
        <is>
          <t>BRL</t>
        </is>
      </c>
      <c r="H2969" s="9" t="n">
        <v>-2064.54</v>
      </c>
      <c r="I2969" s="16" t="n">
        <v>46254</v>
      </c>
      <c r="J2969" s="16" t="n">
        <v>46274</v>
      </c>
      <c r="K2969" s="5" t="inlineStr">
        <is>
          <t>Fatura - bruto RICOH PY EQUIPAMENTOS DE INFORMATIC</t>
        </is>
      </c>
      <c r="L2969" s="5" t="inlineStr">
        <is>
          <t>09092026</t>
        </is>
      </c>
      <c r="M2969" s="5">
        <f>IF(YEAR(I2969)&lt;=2020,"Até 2020",TEXT(YEAR(I2969),"0"))</f>
        <v/>
      </c>
      <c r="N2969" s="5">
        <f>IFERROR(INDEX(DePara!$A:$A,MATCH(TEXT(B2969,"0"),DePara!$D:$D,0)),"(sem categoria)")</f>
        <v/>
      </c>
      <c r="O2969" s="5">
        <f>IF(J2969="","",Parametros!$B$6-J2969)</f>
        <v/>
      </c>
      <c r="P2969" s="5">
        <f>IF(O2969="","",IF(O2969&gt;0,1,0))</f>
        <v/>
      </c>
    </row>
    <row r="2970">
      <c r="A2970" s="5" t="n">
        <v>2111000000</v>
      </c>
      <c r="B2970" s="5" t="inlineStr">
        <is>
          <t>101540</t>
        </is>
      </c>
      <c r="C2970" s="5" t="inlineStr">
        <is>
          <t>RICOH PY EQUIPAMENTOS DE INFORMATIC</t>
        </is>
      </c>
      <c r="D2970" s="5" t="inlineStr">
        <is>
          <t>RE</t>
        </is>
      </c>
      <c r="E2970" s="5" t="n">
        <v>5016038</v>
      </c>
      <c r="F2970" s="5" t="inlineStr">
        <is>
          <t>15129</t>
        </is>
      </c>
      <c r="G2970" s="5" t="inlineStr">
        <is>
          <t>BRL</t>
        </is>
      </c>
      <c r="H2970" s="9" t="n">
        <v>-1875.12</v>
      </c>
      <c r="I2970" s="16" t="n">
        <v>46254</v>
      </c>
      <c r="J2970" s="16" t="n">
        <v>46274</v>
      </c>
      <c r="K2970" s="5" t="inlineStr">
        <is>
          <t>Fatura - bruto RICOH PY EQUIPAMENTOS DE INFORMATIC</t>
        </is>
      </c>
      <c r="L2970" s="5" t="inlineStr">
        <is>
          <t>09092026</t>
        </is>
      </c>
      <c r="M2970" s="5">
        <f>IF(YEAR(I2970)&lt;=2020,"Até 2020",TEXT(YEAR(I2970),"0"))</f>
        <v/>
      </c>
      <c r="N2970" s="5">
        <f>IFERROR(INDEX(DePara!$A:$A,MATCH(TEXT(B2970,"0"),DePara!$D:$D,0)),"(sem categoria)")</f>
        <v/>
      </c>
      <c r="O2970" s="5">
        <f>IF(J2970="","",Parametros!$B$6-J2970)</f>
        <v/>
      </c>
      <c r="P2970" s="5">
        <f>IF(O2970="","",IF(O2970&gt;0,1,0))</f>
        <v/>
      </c>
    </row>
    <row r="2971">
      <c r="A2971" s="5" t="n">
        <v>2111000000</v>
      </c>
      <c r="B2971" s="5" t="inlineStr">
        <is>
          <t>101540</t>
        </is>
      </c>
      <c r="C2971" s="5" t="inlineStr">
        <is>
          <t>RICOH PY EQUIPAMENTOS DE INFORMATIC</t>
        </is>
      </c>
      <c r="D2971" s="5" t="inlineStr">
        <is>
          <t>RE</t>
        </is>
      </c>
      <c r="E2971" s="5" t="n">
        <v>5016039</v>
      </c>
      <c r="F2971" s="5" t="inlineStr">
        <is>
          <t>15130</t>
        </is>
      </c>
      <c r="G2971" s="5" t="inlineStr">
        <is>
          <t>BRL</t>
        </is>
      </c>
      <c r="H2971" s="9" t="n">
        <v>-1868.24</v>
      </c>
      <c r="I2971" s="16" t="n">
        <v>46254</v>
      </c>
      <c r="J2971" s="16" t="n">
        <v>46274</v>
      </c>
      <c r="K2971" s="5" t="inlineStr">
        <is>
          <t>Fatura - bruto RICOH PY EQUIPAMENTOS DE INFORMATIC</t>
        </is>
      </c>
      <c r="L2971" s="5" t="inlineStr">
        <is>
          <t>09092026</t>
        </is>
      </c>
      <c r="M2971" s="5">
        <f>IF(YEAR(I2971)&lt;=2020,"Até 2020",TEXT(YEAR(I2971),"0"))</f>
        <v/>
      </c>
      <c r="N2971" s="5">
        <f>IFERROR(INDEX(DePara!$A:$A,MATCH(TEXT(B2971,"0"),DePara!$D:$D,0)),"(sem categoria)")</f>
        <v/>
      </c>
      <c r="O2971" s="5">
        <f>IF(J2971="","",Parametros!$B$6-J2971)</f>
        <v/>
      </c>
      <c r="P2971" s="5">
        <f>IF(O2971="","",IF(O2971&gt;0,1,0))</f>
        <v/>
      </c>
    </row>
    <row r="2972">
      <c r="A2972" s="5" t="n">
        <v>2111000000</v>
      </c>
      <c r="B2972" s="5" t="inlineStr">
        <is>
          <t>103849</t>
        </is>
      </c>
      <c r="C2972" s="5" t="inlineStr">
        <is>
          <t>SINOMA WIND POWER BLADE (BRAZIL) LT</t>
        </is>
      </c>
      <c r="D2972" s="5" t="inlineStr">
        <is>
          <t>RE</t>
        </is>
      </c>
      <c r="E2972" s="5" t="n">
        <v>5016040</v>
      </c>
      <c r="F2972" s="5" t="inlineStr">
        <is>
          <t>2000-1</t>
        </is>
      </c>
      <c r="G2972" s="5" t="inlineStr">
        <is>
          <t>BRL</t>
        </is>
      </c>
      <c r="H2972" s="9" t="n">
        <v>-4599632.79</v>
      </c>
      <c r="I2972" s="16" t="n">
        <v>46255</v>
      </c>
      <c r="J2972" s="16" t="n">
        <v>46270</v>
      </c>
      <c r="K2972" s="5" t="inlineStr">
        <is>
          <t>Segurar o fornecedor Sinoma até o SRC entrar</t>
        </is>
      </c>
      <c r="L2972" s="5" t="inlineStr">
        <is>
          <t>08092026</t>
        </is>
      </c>
      <c r="M2972" s="5">
        <f>IF(YEAR(I2972)&lt;=2020,"Até 2020",TEXT(YEAR(I2972),"0"))</f>
        <v/>
      </c>
      <c r="N2972" s="5">
        <f>IFERROR(INDEX(DePara!$A:$A,MATCH(TEXT(B2972,"0"),DePara!$D:$D,0)),"(sem categoria)")</f>
        <v/>
      </c>
      <c r="O2972" s="5">
        <f>IF(J2972="","",Parametros!$B$6-J2972)</f>
        <v/>
      </c>
      <c r="P2972" s="5">
        <f>IF(O2972="","",IF(O2972&gt;0,1,0))</f>
        <v/>
      </c>
    </row>
    <row r="2973">
      <c r="A2973" s="5" t="n">
        <v>2111000000</v>
      </c>
      <c r="B2973" s="5" t="inlineStr">
        <is>
          <t>101115</t>
        </is>
      </c>
      <c r="C2973" s="5" t="inlineStr">
        <is>
          <t>WAITMAN &amp; SKOLIMOVSKI ADVOGADOS</t>
        </is>
      </c>
      <c r="D2973" s="5" t="inlineStr">
        <is>
          <t>RE</t>
        </is>
      </c>
      <c r="E2973" s="5" t="n">
        <v>5016041</v>
      </c>
      <c r="F2973" s="5" t="inlineStr">
        <is>
          <t>659</t>
        </is>
      </c>
      <c r="G2973" s="5" t="inlineStr">
        <is>
          <t>BRL</t>
        </is>
      </c>
      <c r="H2973" s="9" t="n">
        <v>-59484.15</v>
      </c>
      <c r="I2973" s="16" t="n">
        <v>46215</v>
      </c>
      <c r="J2973" s="16" t="n">
        <v>46239</v>
      </c>
      <c r="K2973" s="5" t="inlineStr">
        <is>
          <t>Fatura - bruto WAITMAN &amp; SKOLIMOVSKI ADVOGADOS 659</t>
        </is>
      </c>
      <c r="L2973" s="5" t="inlineStr">
        <is>
          <t>02092026</t>
        </is>
      </c>
      <c r="M2973" s="5">
        <f>IF(YEAR(I2973)&lt;=2020,"Até 2020",TEXT(YEAR(I2973),"0"))</f>
        <v/>
      </c>
      <c r="N2973" s="5">
        <f>IFERROR(INDEX(DePara!$A:$A,MATCH(TEXT(B2973,"0"),DePara!$D:$D,0)),"(sem categoria)")</f>
        <v/>
      </c>
      <c r="O2973" s="5">
        <f>IF(J2973="","",Parametros!$B$6-J2973)</f>
        <v/>
      </c>
      <c r="P2973" s="5">
        <f>IF(O2973="","",IF(O2973&gt;0,1,0))</f>
        <v/>
      </c>
    </row>
    <row r="2974">
      <c r="A2974" s="5" t="n">
        <v>2111000000</v>
      </c>
      <c r="B2974" s="5" t="inlineStr">
        <is>
          <t>101945</t>
        </is>
      </c>
      <c r="C2974" s="5" t="inlineStr">
        <is>
          <t>JOAO MARIA BARBOSA DE MOURA</t>
        </is>
      </c>
      <c r="D2974" s="5" t="inlineStr">
        <is>
          <t>RE</t>
        </is>
      </c>
      <c r="E2974" s="5" t="n">
        <v>5016043</v>
      </c>
      <c r="F2974" s="5" t="inlineStr">
        <is>
          <t>401</t>
        </is>
      </c>
      <c r="G2974" s="5" t="inlineStr">
        <is>
          <t>BRL</t>
        </is>
      </c>
      <c r="H2974" s="9" t="n">
        <v>-6561.2</v>
      </c>
      <c r="I2974" s="16" t="n">
        <v>46259</v>
      </c>
      <c r="J2974" s="16" t="n">
        <v>46300</v>
      </c>
      <c r="K2974" s="5" t="inlineStr">
        <is>
          <t>Fatura - bruto JOAO MARIA BARBOSA DE MOURA 401</t>
        </is>
      </c>
      <c r="L2974" s="5" t="inlineStr">
        <is>
          <t>05102026</t>
        </is>
      </c>
      <c r="M2974" s="5">
        <f>IF(YEAR(I2974)&lt;=2020,"Até 2020",TEXT(YEAR(I2974),"0"))</f>
        <v/>
      </c>
      <c r="N2974" s="5">
        <f>IFERROR(INDEX(DePara!$A:$A,MATCH(TEXT(B2974,"0"),DePara!$D:$D,0)),"(sem categoria)")</f>
        <v/>
      </c>
      <c r="O2974" s="5">
        <f>IF(J2974="","",Parametros!$B$6-J2974)</f>
        <v/>
      </c>
      <c r="P2974" s="5">
        <f>IF(O2974="","",IF(O2974&gt;0,1,0))</f>
        <v/>
      </c>
    </row>
    <row r="2975">
      <c r="A2975" s="5" t="n">
        <v>2111000000</v>
      </c>
      <c r="B2975" s="5" t="inlineStr">
        <is>
          <t>102032</t>
        </is>
      </c>
      <c r="C2975" s="5" t="inlineStr">
        <is>
          <t>COMPANHIA AGUAS ESGOTOS RIO GRANDE</t>
        </is>
      </c>
      <c r="D2975" s="5" t="inlineStr">
        <is>
          <t>RE</t>
        </is>
      </c>
      <c r="E2975" s="5" t="n">
        <v>5016044</v>
      </c>
      <c r="F2975" s="5" t="inlineStr">
        <is>
          <t>427470</t>
        </is>
      </c>
      <c r="G2975" s="5" t="inlineStr">
        <is>
          <t>BRL</t>
        </is>
      </c>
      <c r="H2975" s="9" t="n">
        <v>-92.42</v>
      </c>
      <c r="I2975" s="16" t="n">
        <v>46246</v>
      </c>
      <c r="J2975" s="16" t="n">
        <v>46253</v>
      </c>
      <c r="K2975" s="5" t="inlineStr">
        <is>
          <t>826300000005924200063056008124850010082026600039</t>
        </is>
      </c>
      <c r="L2975" s="5" t="inlineStr">
        <is>
          <t>02092026</t>
        </is>
      </c>
      <c r="M2975" s="5">
        <f>IF(YEAR(I2975)&lt;=2020,"Até 2020",TEXT(YEAR(I2975),"0"))</f>
        <v/>
      </c>
      <c r="N2975" s="5">
        <f>IFERROR(INDEX(DePara!$A:$A,MATCH(TEXT(B2975,"0"),DePara!$D:$D,0)),"(sem categoria)")</f>
        <v/>
      </c>
      <c r="O2975" s="5">
        <f>IF(J2975="","",Parametros!$B$6-J2975)</f>
        <v/>
      </c>
      <c r="P2975" s="5">
        <f>IF(O2975="","",IF(O2975&gt;0,1,0))</f>
        <v/>
      </c>
    </row>
    <row r="2976">
      <c r="A2976" s="5" t="n">
        <v>2111000000</v>
      </c>
      <c r="B2976" s="5" t="inlineStr">
        <is>
          <t>101377</t>
        </is>
      </c>
      <c r="C2976" s="5" t="inlineStr">
        <is>
          <t>APAGUE EQUIP DE COMBATE A INCENDIO</t>
        </is>
      </c>
      <c r="D2976" s="5" t="inlineStr">
        <is>
          <t>RE</t>
        </is>
      </c>
      <c r="E2976" s="5" t="n">
        <v>5016045</v>
      </c>
      <c r="F2976" s="5" t="inlineStr">
        <is>
          <t>153</t>
        </is>
      </c>
      <c r="G2976" s="5" t="inlineStr">
        <is>
          <t>BRL</t>
        </is>
      </c>
      <c r="H2976" s="9" t="n">
        <v>-3222</v>
      </c>
      <c r="I2976" s="16" t="n">
        <v>46255</v>
      </c>
      <c r="J2976" s="16" t="n">
        <v>46270</v>
      </c>
      <c r="K2976" s="5" t="inlineStr">
        <is>
          <t>Fatura - bruto APAGUE EQUIP DE COMBATE A INCENDIO</t>
        </is>
      </c>
      <c r="L2976" s="5" t="inlineStr">
        <is>
          <t>08092026</t>
        </is>
      </c>
      <c r="M2976" s="5">
        <f>IF(YEAR(I2976)&lt;=2020,"Até 2020",TEXT(YEAR(I2976),"0"))</f>
        <v/>
      </c>
      <c r="N2976" s="5">
        <f>IFERROR(INDEX(DePara!$A:$A,MATCH(TEXT(B2976,"0"),DePara!$D:$D,0)),"(sem categoria)")</f>
        <v/>
      </c>
      <c r="O2976" s="5">
        <f>IF(J2976="","",Parametros!$B$6-J2976)</f>
        <v/>
      </c>
      <c r="P2976" s="5">
        <f>IF(O2976="","",IF(O2976&gt;0,1,0))</f>
        <v/>
      </c>
    </row>
    <row r="2977">
      <c r="A2977" s="5" t="n">
        <v>2111000000</v>
      </c>
      <c r="B2977" s="5" t="inlineStr">
        <is>
          <t>100906</t>
        </is>
      </c>
      <c r="C2977" s="5" t="inlineStr">
        <is>
          <t>R &amp; G TELECOM LTDA</t>
        </is>
      </c>
      <c r="D2977" s="5" t="inlineStr">
        <is>
          <t>RE</t>
        </is>
      </c>
      <c r="E2977" s="5" t="n">
        <v>5016046</v>
      </c>
      <c r="F2977" s="5" t="inlineStr">
        <is>
          <t>5391</t>
        </is>
      </c>
      <c r="G2977" s="5" t="inlineStr">
        <is>
          <t>BRL</t>
        </is>
      </c>
      <c r="H2977" s="9" t="n">
        <v>-1970</v>
      </c>
      <c r="I2977" s="16" t="n">
        <v>46258</v>
      </c>
      <c r="J2977" s="16" t="n">
        <v>46290</v>
      </c>
      <c r="K2977" s="5" t="inlineStr">
        <is>
          <t>Fatura - bruto R &amp; G TELECOM LTDA 5391</t>
        </is>
      </c>
      <c r="L2977" s="5" t="inlineStr">
        <is>
          <t>23092026</t>
        </is>
      </c>
      <c r="M2977" s="5">
        <f>IF(YEAR(I2977)&lt;=2020,"Até 2020",TEXT(YEAR(I2977),"0"))</f>
        <v/>
      </c>
      <c r="N2977" s="5">
        <f>IFERROR(INDEX(DePara!$A:$A,MATCH(TEXT(B2977,"0"),DePara!$D:$D,0)),"(sem categoria)")</f>
        <v/>
      </c>
      <c r="O2977" s="5">
        <f>IF(J2977="","",Parametros!$B$6-J2977)</f>
        <v/>
      </c>
      <c r="P2977" s="5">
        <f>IF(O2977="","",IF(O2977&gt;0,1,0))</f>
        <v/>
      </c>
    </row>
    <row r="2978">
      <c r="A2978" s="5" t="n">
        <v>2111000000</v>
      </c>
      <c r="B2978" s="5" t="inlineStr">
        <is>
          <t>101115</t>
        </is>
      </c>
      <c r="C2978" s="5" t="inlineStr">
        <is>
          <t>WAITMAN &amp; SKOLIMOVSKI ADVOGADOS</t>
        </is>
      </c>
      <c r="D2978" s="5" t="inlineStr">
        <is>
          <t>RE</t>
        </is>
      </c>
      <c r="E2978" s="5" t="n">
        <v>5016047</v>
      </c>
      <c r="F2978" s="5" t="inlineStr">
        <is>
          <t>651</t>
        </is>
      </c>
      <c r="G2978" s="5" t="inlineStr">
        <is>
          <t>BRL</t>
        </is>
      </c>
      <c r="H2978" s="9" t="n">
        <v>-3743</v>
      </c>
      <c r="I2978" s="16" t="n">
        <v>46189</v>
      </c>
      <c r="J2978" s="16" t="n">
        <v>46239</v>
      </c>
      <c r="K2978" s="5" t="inlineStr">
        <is>
          <t>Fatura - bruto WAITMAN &amp; SKOLIMOVSKI ADVOGADOS 651</t>
        </is>
      </c>
      <c r="L2978" s="5" t="inlineStr">
        <is>
          <t>02092026</t>
        </is>
      </c>
      <c r="M2978" s="5">
        <f>IF(YEAR(I2978)&lt;=2020,"Até 2020",TEXT(YEAR(I2978),"0"))</f>
        <v/>
      </c>
      <c r="N2978" s="5">
        <f>IFERROR(INDEX(DePara!$A:$A,MATCH(TEXT(B2978,"0"),DePara!$D:$D,0)),"(sem categoria)")</f>
        <v/>
      </c>
      <c r="O2978" s="5">
        <f>IF(J2978="","",Parametros!$B$6-J2978)</f>
        <v/>
      </c>
      <c r="P2978" s="5">
        <f>IF(O2978="","",IF(O2978&gt;0,1,0))</f>
        <v/>
      </c>
    </row>
    <row r="2979">
      <c r="A2979" s="5" t="n">
        <v>2111000000</v>
      </c>
      <c r="B2979" s="5" t="inlineStr">
        <is>
          <t>101115</t>
        </is>
      </c>
      <c r="C2979" s="5" t="inlineStr">
        <is>
          <t>WAITMAN &amp; SKOLIMOVSKI ADVOGADOS</t>
        </is>
      </c>
      <c r="D2979" s="5" t="inlineStr">
        <is>
          <t>RE</t>
        </is>
      </c>
      <c r="E2979" s="5" t="n">
        <v>5016048</v>
      </c>
      <c r="F2979" s="5" t="inlineStr">
        <is>
          <t>652</t>
        </is>
      </c>
      <c r="G2979" s="5" t="inlineStr">
        <is>
          <t>BRL</t>
        </is>
      </c>
      <c r="H2979" s="9" t="n">
        <v>-443.25</v>
      </c>
      <c r="I2979" s="16" t="n">
        <v>46189</v>
      </c>
      <c r="J2979" s="16" t="n">
        <v>46239</v>
      </c>
      <c r="K2979" s="5" t="inlineStr">
        <is>
          <t>Fatura - bruto WAITMAN &amp; SKOLIMOVSKI ADVOGADOS 652</t>
        </is>
      </c>
      <c r="L2979" s="5" t="inlineStr">
        <is>
          <t>02092026</t>
        </is>
      </c>
      <c r="M2979" s="5">
        <f>IF(YEAR(I2979)&lt;=2020,"Até 2020",TEXT(YEAR(I2979),"0"))</f>
        <v/>
      </c>
      <c r="N2979" s="5">
        <f>IFERROR(INDEX(DePara!$A:$A,MATCH(TEXT(B2979,"0"),DePara!$D:$D,0)),"(sem categoria)")</f>
        <v/>
      </c>
      <c r="O2979" s="5">
        <f>IF(J2979="","",Parametros!$B$6-J2979)</f>
        <v/>
      </c>
      <c r="P2979" s="5">
        <f>IF(O2979="","",IF(O2979&gt;0,1,0))</f>
        <v/>
      </c>
    </row>
    <row r="2980">
      <c r="A2980" s="5" t="n">
        <v>2111000000</v>
      </c>
      <c r="B2980" s="5" t="inlineStr">
        <is>
          <t>101115</t>
        </is>
      </c>
      <c r="C2980" s="5" t="inlineStr">
        <is>
          <t>WAITMAN &amp; SKOLIMOVSKI ADVOGADOS</t>
        </is>
      </c>
      <c r="D2980" s="5" t="inlineStr">
        <is>
          <t>RE</t>
        </is>
      </c>
      <c r="E2980" s="5" t="n">
        <v>5016049</v>
      </c>
      <c r="F2980" s="5" t="inlineStr">
        <is>
          <t>669</t>
        </is>
      </c>
      <c r="G2980" s="5" t="inlineStr">
        <is>
          <t>BRL</t>
        </is>
      </c>
      <c r="H2980" s="9" t="n">
        <v>-15267.5</v>
      </c>
      <c r="I2980" s="16" t="n">
        <v>46222</v>
      </c>
      <c r="J2980" s="16" t="n">
        <v>46267</v>
      </c>
      <c r="K2980" s="5" t="inlineStr">
        <is>
          <t>Fatura - bruto WAITMAN &amp; SKOLIMOVSKI ADVOGADOS 669</t>
        </is>
      </c>
      <c r="L2980" s="5" t="inlineStr">
        <is>
          <t>02092026</t>
        </is>
      </c>
      <c r="M2980" s="5">
        <f>IF(YEAR(I2980)&lt;=2020,"Até 2020",TEXT(YEAR(I2980),"0"))</f>
        <v/>
      </c>
      <c r="N2980" s="5">
        <f>IFERROR(INDEX(DePara!$A:$A,MATCH(TEXT(B2980,"0"),DePara!$D:$D,0)),"(sem categoria)")</f>
        <v/>
      </c>
      <c r="O2980" s="5">
        <f>IF(J2980="","",Parametros!$B$6-J2980)</f>
        <v/>
      </c>
      <c r="P2980" s="5">
        <f>IF(O2980="","",IF(O2980&gt;0,1,0))</f>
        <v/>
      </c>
    </row>
    <row r="2981">
      <c r="A2981" s="5" t="n">
        <v>2111000000</v>
      </c>
      <c r="B2981" s="5" t="inlineStr">
        <is>
          <t>101115</t>
        </is>
      </c>
      <c r="C2981" s="5" t="inlineStr">
        <is>
          <t>WAITMAN &amp; SKOLIMOVSKI ADVOGADOS</t>
        </is>
      </c>
      <c r="D2981" s="5" t="inlineStr">
        <is>
          <t>RE</t>
        </is>
      </c>
      <c r="E2981" s="5" t="n">
        <v>5016050</v>
      </c>
      <c r="F2981" s="5" t="inlineStr">
        <is>
          <t>672</t>
        </is>
      </c>
      <c r="G2981" s="5" t="inlineStr">
        <is>
          <t>BRL</t>
        </is>
      </c>
      <c r="H2981" s="9" t="n">
        <v>-4925</v>
      </c>
      <c r="I2981" s="16" t="n">
        <v>46222</v>
      </c>
      <c r="J2981" s="16" t="n">
        <v>46267</v>
      </c>
      <c r="K2981" s="5" t="inlineStr">
        <is>
          <t>Fatura - bruto WAITMAN &amp; SKOLIMOVSKI ADVOGADOS 672</t>
        </is>
      </c>
      <c r="L2981" s="5" t="inlineStr">
        <is>
          <t>02092026</t>
        </is>
      </c>
      <c r="M2981" s="5">
        <f>IF(YEAR(I2981)&lt;=2020,"Até 2020",TEXT(YEAR(I2981),"0"))</f>
        <v/>
      </c>
      <c r="N2981" s="5">
        <f>IFERROR(INDEX(DePara!$A:$A,MATCH(TEXT(B2981,"0"),DePara!$D:$D,0)),"(sem categoria)")</f>
        <v/>
      </c>
      <c r="O2981" s="5">
        <f>IF(J2981="","",Parametros!$B$6-J2981)</f>
        <v/>
      </c>
      <c r="P2981" s="5">
        <f>IF(O2981="","",IF(O2981&gt;0,1,0))</f>
        <v/>
      </c>
    </row>
    <row r="2982">
      <c r="A2982" s="5" t="n">
        <v>2111000000</v>
      </c>
      <c r="B2982" s="5" t="inlineStr">
        <is>
          <t>101048</t>
        </is>
      </c>
      <c r="C2982" s="5" t="inlineStr">
        <is>
          <t>M R DE MEDEIROS</t>
        </is>
      </c>
      <c r="D2982" s="5" t="inlineStr">
        <is>
          <t>RE</t>
        </is>
      </c>
      <c r="E2982" s="5" t="n">
        <v>5016051</v>
      </c>
      <c r="F2982" s="5" t="inlineStr">
        <is>
          <t>2625-1</t>
        </is>
      </c>
      <c r="G2982" s="5" t="inlineStr">
        <is>
          <t>BRL</t>
        </is>
      </c>
      <c r="H2982" s="9" t="n">
        <v>-10074.85</v>
      </c>
      <c r="I2982" s="16" t="n">
        <v>46245</v>
      </c>
      <c r="J2982" s="16" t="n">
        <v>46260</v>
      </c>
      <c r="K2982" s="5" t="inlineStr">
        <is>
          <t>Fatura - bruto M R DE MEDEIROS 2625-1</t>
        </is>
      </c>
      <c r="L2982" s="5" t="inlineStr">
        <is>
          <t>02092026</t>
        </is>
      </c>
      <c r="M2982" s="5">
        <f>IF(YEAR(I2982)&lt;=2020,"Até 2020",TEXT(YEAR(I2982),"0"))</f>
        <v/>
      </c>
      <c r="N2982" s="5">
        <f>IFERROR(INDEX(DePara!$A:$A,MATCH(TEXT(B2982,"0"),DePara!$D:$D,0)),"(sem categoria)")</f>
        <v/>
      </c>
      <c r="O2982" s="5">
        <f>IF(J2982="","",Parametros!$B$6-J2982)</f>
        <v/>
      </c>
      <c r="P2982" s="5">
        <f>IF(O2982="","",IF(O2982&gt;0,1,0))</f>
        <v/>
      </c>
    </row>
    <row r="2983">
      <c r="A2983" s="5" t="n">
        <v>2111000000</v>
      </c>
      <c r="B2983" s="5" t="inlineStr">
        <is>
          <t>101290</t>
        </is>
      </c>
      <c r="C2983" s="5" t="inlineStr">
        <is>
          <t>ARTH WIND SERVICES&amp;CONSULTING EIREL</t>
        </is>
      </c>
      <c r="D2983" s="5" t="inlineStr">
        <is>
          <t>RE</t>
        </is>
      </c>
      <c r="E2983" s="5" t="n">
        <v>5016052</v>
      </c>
      <c r="F2983" s="5" t="inlineStr">
        <is>
          <t>6504</t>
        </is>
      </c>
      <c r="G2983" s="5" t="inlineStr">
        <is>
          <t>BRL</t>
        </is>
      </c>
      <c r="H2983" s="9" t="n">
        <v>-25856.25</v>
      </c>
      <c r="I2983" s="16" t="n">
        <v>46259</v>
      </c>
      <c r="J2983" s="16" t="n">
        <v>46300</v>
      </c>
      <c r="K2983" s="5" t="inlineStr">
        <is>
          <t>Fatura - bruto ARTH WIND SERVICES&amp;CONSULTING EIREL</t>
        </is>
      </c>
      <c r="L2983" s="5" t="inlineStr">
        <is>
          <t>05102026</t>
        </is>
      </c>
      <c r="M2983" s="5">
        <f>IF(YEAR(I2983)&lt;=2020,"Até 2020",TEXT(YEAR(I2983),"0"))</f>
        <v/>
      </c>
      <c r="N2983" s="5">
        <f>IFERROR(INDEX(DePara!$A:$A,MATCH(TEXT(B2983,"0"),DePara!$D:$D,0)),"(sem categoria)")</f>
        <v/>
      </c>
      <c r="O2983" s="5">
        <f>IF(J2983="","",Parametros!$B$6-J2983)</f>
        <v/>
      </c>
      <c r="P2983" s="5">
        <f>IF(O2983="","",IF(O2983&gt;0,1,0))</f>
        <v/>
      </c>
    </row>
    <row r="2984">
      <c r="A2984" s="5" t="n">
        <v>2111000000</v>
      </c>
      <c r="B2984" s="5" t="inlineStr">
        <is>
          <t>101290</t>
        </is>
      </c>
      <c r="C2984" s="5" t="inlineStr">
        <is>
          <t>ARTH WIND SERVICES&amp;CONSULTING EIREL</t>
        </is>
      </c>
      <c r="D2984" s="5" t="inlineStr">
        <is>
          <t>RE</t>
        </is>
      </c>
      <c r="E2984" s="5" t="n">
        <v>5016053</v>
      </c>
      <c r="F2984" s="5" t="inlineStr">
        <is>
          <t>6506</t>
        </is>
      </c>
      <c r="G2984" s="5" t="inlineStr">
        <is>
          <t>BRL</t>
        </is>
      </c>
      <c r="H2984" s="9" t="n">
        <v>-5795.74</v>
      </c>
      <c r="I2984" s="16" t="n">
        <v>46260</v>
      </c>
      <c r="J2984" s="16" t="n">
        <v>46300</v>
      </c>
      <c r="K2984" s="5" t="inlineStr">
        <is>
          <t>Fatura - bruto ARTH WIND SERVICES&amp;CONSULTING EIREL</t>
        </is>
      </c>
      <c r="L2984" s="5" t="inlineStr">
        <is>
          <t>05102026</t>
        </is>
      </c>
      <c r="M2984" s="5">
        <f>IF(YEAR(I2984)&lt;=2020,"Até 2020",TEXT(YEAR(I2984),"0"))</f>
        <v/>
      </c>
      <c r="N2984" s="5">
        <f>IFERROR(INDEX(DePara!$A:$A,MATCH(TEXT(B2984,"0"),DePara!$D:$D,0)),"(sem categoria)")</f>
        <v/>
      </c>
      <c r="O2984" s="5">
        <f>IF(J2984="","",Parametros!$B$6-J2984)</f>
        <v/>
      </c>
      <c r="P2984" s="5">
        <f>IF(O2984="","",IF(O2984&gt;0,1,0))</f>
        <v/>
      </c>
    </row>
    <row r="2985">
      <c r="A2985" s="5" t="n">
        <v>2111000000</v>
      </c>
      <c r="B2985" s="5" t="inlineStr">
        <is>
          <t>105984</t>
        </is>
      </c>
      <c r="C2985" s="5" t="inlineStr">
        <is>
          <t>TRADEWORKS SERVICOS DE COMERCIO EXT 04955748000107</t>
        </is>
      </c>
      <c r="D2985" s="5" t="inlineStr">
        <is>
          <t>RE</t>
        </is>
      </c>
      <c r="E2985" s="5" t="n">
        <v>5016054</v>
      </c>
      <c r="F2985" s="5" t="inlineStr">
        <is>
          <t>93495</t>
        </is>
      </c>
      <c r="G2985" s="5" t="inlineStr">
        <is>
          <t>BRL</t>
        </is>
      </c>
      <c r="H2985" s="9" t="n">
        <v>-1337.76</v>
      </c>
      <c r="I2985" s="16" t="n">
        <v>46239</v>
      </c>
      <c r="J2985" s="16" t="n">
        <v>46269</v>
      </c>
      <c r="K2985" s="5" t="inlineStr">
        <is>
          <t>Fatura - bruto TRADEWORKS SERVICOS DE COMERCIO EXT</t>
        </is>
      </c>
      <c r="L2985" s="5" t="inlineStr">
        <is>
          <t>02092026</t>
        </is>
      </c>
      <c r="M2985" s="5">
        <f>IF(YEAR(I2985)&lt;=2020,"Até 2020",TEXT(YEAR(I2985),"0"))</f>
        <v/>
      </c>
      <c r="N2985" s="5">
        <f>IFERROR(INDEX(DePara!$A:$A,MATCH(TEXT(B2985,"0"),DePara!$D:$D,0)),"(sem categoria)")</f>
        <v/>
      </c>
      <c r="O2985" s="5">
        <f>IF(J2985="","",Parametros!$B$6-J2985)</f>
        <v/>
      </c>
      <c r="P2985" s="5">
        <f>IF(O2985="","",IF(O2985&gt;0,1,0))</f>
        <v/>
      </c>
    </row>
    <row r="2986">
      <c r="A2986" s="5" t="n">
        <v>2111000000</v>
      </c>
      <c r="B2986" s="5" t="inlineStr">
        <is>
          <t>101353</t>
        </is>
      </c>
      <c r="C2986" s="5" t="inlineStr">
        <is>
          <t>SOMAR GASES COMERCIO E SERVICOS LTD</t>
        </is>
      </c>
      <c r="D2986" s="5" t="inlineStr">
        <is>
          <t>RE</t>
        </is>
      </c>
      <c r="E2986" s="5" t="n">
        <v>5016063</v>
      </c>
      <c r="F2986" s="5" t="inlineStr">
        <is>
          <t>000038714-3</t>
        </is>
      </c>
      <c r="G2986" s="5" t="inlineStr">
        <is>
          <t>BRL</t>
        </is>
      </c>
      <c r="H2986" s="9" t="n">
        <v>-4657.5</v>
      </c>
      <c r="I2986" s="16" t="n">
        <v>46219</v>
      </c>
      <c r="J2986" s="16" t="n">
        <v>46239</v>
      </c>
      <c r="K2986" s="5" t="inlineStr">
        <is>
          <t>Fatura - bruto SOMAR GASES COMERCIO E SERVICOS LTD</t>
        </is>
      </c>
      <c r="L2986" s="5" t="inlineStr">
        <is>
          <t>02092026</t>
        </is>
      </c>
      <c r="M2986" s="5">
        <f>IF(YEAR(I2986)&lt;=2020,"Até 2020",TEXT(YEAR(I2986),"0"))</f>
        <v/>
      </c>
      <c r="N2986" s="5">
        <f>IFERROR(INDEX(DePara!$A:$A,MATCH(TEXT(B2986,"0"),DePara!$D:$D,0)),"(sem categoria)")</f>
        <v/>
      </c>
      <c r="O2986" s="5">
        <f>IF(J2986="","",Parametros!$B$6-J2986)</f>
        <v/>
      </c>
      <c r="P2986" s="5">
        <f>IF(O2986="","",IF(O2986&gt;0,1,0))</f>
        <v/>
      </c>
    </row>
    <row r="2987">
      <c r="A2987" s="5" t="n">
        <v>2111000000</v>
      </c>
      <c r="B2987" s="5" t="inlineStr">
        <is>
          <t>101353</t>
        </is>
      </c>
      <c r="C2987" s="5" t="inlineStr">
        <is>
          <t>SOMAR GASES COMERCIO E SERVICOS LTD</t>
        </is>
      </c>
      <c r="D2987" s="5" t="inlineStr">
        <is>
          <t>RE</t>
        </is>
      </c>
      <c r="E2987" s="5" t="n">
        <v>5016064</v>
      </c>
      <c r="F2987" s="5" t="inlineStr">
        <is>
          <t>000038715-3</t>
        </is>
      </c>
      <c r="G2987" s="5" t="inlineStr">
        <is>
          <t>BRL</t>
        </is>
      </c>
      <c r="H2987" s="9" t="n">
        <v>-7815</v>
      </c>
      <c r="I2987" s="16" t="n">
        <v>46219</v>
      </c>
      <c r="J2987" s="16" t="n">
        <v>46239</v>
      </c>
      <c r="K2987" s="5" t="inlineStr">
        <is>
          <t>Fatura - bruto SOMAR GASES COMERCIO E SERVICOS LTD</t>
        </is>
      </c>
      <c r="L2987" s="5" t="inlineStr">
        <is>
          <t>09092026</t>
        </is>
      </c>
      <c r="M2987" s="5">
        <f>IF(YEAR(I2987)&lt;=2020,"Até 2020",TEXT(YEAR(I2987),"0"))</f>
        <v/>
      </c>
      <c r="N2987" s="5">
        <f>IFERROR(INDEX(DePara!$A:$A,MATCH(TEXT(B2987,"0"),DePara!$D:$D,0)),"(sem categoria)")</f>
        <v/>
      </c>
      <c r="O2987" s="5">
        <f>IF(J2987="","",Parametros!$B$6-J2987)</f>
        <v/>
      </c>
      <c r="P2987" s="5">
        <f>IF(O2987="","",IF(O2987&gt;0,1,0))</f>
        <v/>
      </c>
    </row>
    <row r="2988">
      <c r="A2988" s="5" t="n">
        <v>2111000000</v>
      </c>
      <c r="B2988" s="5" t="inlineStr">
        <is>
          <t>103727</t>
        </is>
      </c>
      <c r="C2988" s="5" t="inlineStr">
        <is>
          <t>COMECIAL NGS LTDA</t>
        </is>
      </c>
      <c r="D2988" s="5" t="inlineStr">
        <is>
          <t>RE</t>
        </is>
      </c>
      <c r="E2988" s="5" t="n">
        <v>5016066</v>
      </c>
      <c r="F2988" s="5" t="inlineStr">
        <is>
          <t>000001225-2</t>
        </is>
      </c>
      <c r="G2988" s="5" t="inlineStr">
        <is>
          <t>BRL</t>
        </is>
      </c>
      <c r="H2988" s="9" t="n">
        <v>-8402.33</v>
      </c>
      <c r="I2988" s="16" t="n">
        <v>46260</v>
      </c>
      <c r="J2988" s="16" t="n">
        <v>46300</v>
      </c>
      <c r="K2988" s="5" t="inlineStr">
        <is>
          <t>Fatura - bruto COMECIAL NGS LTDA 000001225-2</t>
        </is>
      </c>
      <c r="L2988" s="5" t="inlineStr">
        <is>
          <t>05102026</t>
        </is>
      </c>
      <c r="M2988" s="5">
        <f>IF(YEAR(I2988)&lt;=2020,"Até 2020",TEXT(YEAR(I2988),"0"))</f>
        <v/>
      </c>
      <c r="N2988" s="5">
        <f>IFERROR(INDEX(DePara!$A:$A,MATCH(TEXT(B2988,"0"),DePara!$D:$D,0)),"(sem categoria)")</f>
        <v/>
      </c>
      <c r="O2988" s="5">
        <f>IF(J2988="","",Parametros!$B$6-J2988)</f>
        <v/>
      </c>
      <c r="P2988" s="5">
        <f>IF(O2988="","",IF(O2988&gt;0,1,0))</f>
        <v/>
      </c>
    </row>
    <row r="2989">
      <c r="A2989" s="5" t="n">
        <v>2111000000</v>
      </c>
      <c r="B2989" s="5" t="inlineStr">
        <is>
          <t>103727</t>
        </is>
      </c>
      <c r="C2989" s="5" t="inlineStr">
        <is>
          <t>COMECIAL NGS LTDA</t>
        </is>
      </c>
      <c r="D2989" s="5" t="inlineStr">
        <is>
          <t>RE</t>
        </is>
      </c>
      <c r="E2989" s="5" t="n">
        <v>5016067</v>
      </c>
      <c r="F2989" s="5" t="inlineStr">
        <is>
          <t>000001226-2</t>
        </is>
      </c>
      <c r="G2989" s="5" t="inlineStr">
        <is>
          <t>BRL</t>
        </is>
      </c>
      <c r="H2989" s="9" t="n">
        <v>-933.59</v>
      </c>
      <c r="I2989" s="16" t="n">
        <v>46260</v>
      </c>
      <c r="J2989" s="16" t="n">
        <v>46300</v>
      </c>
      <c r="K2989" s="5" t="inlineStr">
        <is>
          <t>Fatura - bruto COMECIAL NGS LTDA 000001226-2</t>
        </is>
      </c>
      <c r="L2989" s="5" t="inlineStr">
        <is>
          <t>05102026</t>
        </is>
      </c>
      <c r="M2989" s="5">
        <f>IF(YEAR(I2989)&lt;=2020,"Até 2020",TEXT(YEAR(I2989),"0"))</f>
        <v/>
      </c>
      <c r="N2989" s="5">
        <f>IFERROR(INDEX(DePara!$A:$A,MATCH(TEXT(B2989,"0"),DePara!$D:$D,0)),"(sem categoria)")</f>
        <v/>
      </c>
      <c r="O2989" s="5">
        <f>IF(J2989="","",Parametros!$B$6-J2989)</f>
        <v/>
      </c>
      <c r="P2989" s="5">
        <f>IF(O2989="","",IF(O2989&gt;0,1,0))</f>
        <v/>
      </c>
    </row>
    <row r="2990">
      <c r="A2990" s="5" t="n">
        <v>2111000000</v>
      </c>
      <c r="B2990" s="5" t="inlineStr">
        <is>
          <t>115019</t>
        </is>
      </c>
      <c r="C2990" s="5" t="inlineStr">
        <is>
          <t>BLUEWAY TRADING IMPORTAÇAO E EXPORT SA</t>
        </is>
      </c>
      <c r="D2990" s="5" t="inlineStr">
        <is>
          <t>RE</t>
        </is>
      </c>
      <c r="E2990" s="5" t="n">
        <v>5016068</v>
      </c>
      <c r="F2990" s="5" t="inlineStr">
        <is>
          <t>000003735-1</t>
        </is>
      </c>
      <c r="G2990" s="5" t="inlineStr">
        <is>
          <t>BRL</t>
        </is>
      </c>
      <c r="H2990" s="9" t="n">
        <v>-84678.75</v>
      </c>
      <c r="I2990" s="16" t="n">
        <v>46210</v>
      </c>
      <c r="J2990" s="16" t="n">
        <v>46240</v>
      </c>
      <c r="K2990" s="5" t="inlineStr">
        <is>
          <t>Fatura - bruto BLUEWAY TRADING IMPORTAÇAO E EXPORT</t>
        </is>
      </c>
      <c r="L2990" s="5" t="inlineStr">
        <is>
          <t>02092026</t>
        </is>
      </c>
      <c r="M2990" s="5">
        <f>IF(YEAR(I2990)&lt;=2020,"Até 2020",TEXT(YEAR(I2990),"0"))</f>
        <v/>
      </c>
      <c r="N2990" s="5">
        <f>IFERROR(INDEX(DePara!$A:$A,MATCH(TEXT(B2990,"0"),DePara!$D:$D,0)),"(sem categoria)")</f>
        <v/>
      </c>
      <c r="O2990" s="5">
        <f>IF(J2990="","",Parametros!$B$6-J2990)</f>
        <v/>
      </c>
      <c r="P2990" s="5">
        <f>IF(O2990="","",IF(O2990&gt;0,1,0))</f>
        <v/>
      </c>
    </row>
    <row r="2991">
      <c r="A2991" s="5" t="n">
        <v>2111000000</v>
      </c>
      <c r="B2991" s="5" t="inlineStr">
        <is>
          <t>101222</t>
        </is>
      </c>
      <c r="C2991" s="5" t="inlineStr">
        <is>
          <t>AGROPECUARIA CANOA MIRIM SA</t>
        </is>
      </c>
      <c r="D2991" s="5" t="inlineStr">
        <is>
          <t>RE</t>
        </is>
      </c>
      <c r="E2991" s="5" t="n">
        <v>5016069</v>
      </c>
      <c r="F2991" s="5" t="inlineStr">
        <is>
          <t>202309</t>
        </is>
      </c>
      <c r="G2991" s="5" t="inlineStr">
        <is>
          <t>BRL</t>
        </is>
      </c>
      <c r="H2991" s="9" t="n">
        <v>-8000</v>
      </c>
      <c r="I2991" s="16" t="n">
        <v>45141</v>
      </c>
      <c r="J2991" s="16" t="n">
        <v>45174</v>
      </c>
      <c r="K2991" s="5" t="inlineStr">
        <is>
          <t>Invoice Receipt MM AGROPECUARIA CANOA MIRIM SA 202</t>
        </is>
      </c>
      <c r="L2991" s="5" t="inlineStr">
        <is>
          <t>BLOQUEADO, LUCIANA</t>
        </is>
      </c>
      <c r="M2991" s="5">
        <f>IF(YEAR(I2991)&lt;=2020,"Até 2020",TEXT(YEAR(I2991),"0"))</f>
        <v/>
      </c>
      <c r="N2991" s="5">
        <f>IFERROR(INDEX(DePara!$A:$A,MATCH(TEXT(B2991,"0"),DePara!$D:$D,0)),"(sem categoria)")</f>
        <v/>
      </c>
      <c r="O2991" s="5">
        <f>IF(J2991="","",Parametros!$B$6-J2991)</f>
        <v/>
      </c>
      <c r="P2991" s="5">
        <f>IF(O2991="","",IF(O2991&gt;0,1,0))</f>
        <v/>
      </c>
    </row>
    <row r="2992">
      <c r="A2992" s="5" t="n">
        <v>2111000000</v>
      </c>
      <c r="B2992" s="5" t="inlineStr">
        <is>
          <t>115019</t>
        </is>
      </c>
      <c r="C2992" s="5" t="inlineStr">
        <is>
          <t>BLUEWAY TRADING IMPORTAÇAO E EXPORT SA</t>
        </is>
      </c>
      <c r="D2992" s="5" t="inlineStr">
        <is>
          <t>RE</t>
        </is>
      </c>
      <c r="E2992" s="5" t="n">
        <v>5016069</v>
      </c>
      <c r="F2992" s="5" t="inlineStr">
        <is>
          <t>000003855-1</t>
        </is>
      </c>
      <c r="G2992" s="5" t="inlineStr">
        <is>
          <t>BRL</t>
        </is>
      </c>
      <c r="H2992" s="9" t="n">
        <v>-646000</v>
      </c>
      <c r="I2992" s="16" t="n">
        <v>46237</v>
      </c>
      <c r="J2992" s="16" t="n">
        <v>46267</v>
      </c>
      <c r="K2992" s="5" t="inlineStr">
        <is>
          <t>Fatura - bruto BLUEWAY TRADING IMPORTAÇAO E EXPORT</t>
        </is>
      </c>
      <c r="L2992" s="5" t="inlineStr">
        <is>
          <t>02092026</t>
        </is>
      </c>
      <c r="M2992" s="5">
        <f>IF(YEAR(I2992)&lt;=2020,"Até 2020",TEXT(YEAR(I2992),"0"))</f>
        <v/>
      </c>
      <c r="N2992" s="5">
        <f>IFERROR(INDEX(DePara!$A:$A,MATCH(TEXT(B2992,"0"),DePara!$D:$D,0)),"(sem categoria)")</f>
        <v/>
      </c>
      <c r="O2992" s="5">
        <f>IF(J2992="","",Parametros!$B$6-J2992)</f>
        <v/>
      </c>
      <c r="P2992" s="5">
        <f>IF(O2992="","",IF(O2992&gt;0,1,0))</f>
        <v/>
      </c>
    </row>
    <row r="2993">
      <c r="A2993" s="5" t="n">
        <v>2111000000</v>
      </c>
      <c r="B2993" s="5" t="inlineStr">
        <is>
          <t>101222</t>
        </is>
      </c>
      <c r="C2993" s="5" t="inlineStr">
        <is>
          <t>AGROPECUARIA CANOA MIRIM SA</t>
        </is>
      </c>
      <c r="D2993" s="5" t="inlineStr">
        <is>
          <t>RE</t>
        </is>
      </c>
      <c r="E2993" s="5" t="n">
        <v>5016070</v>
      </c>
      <c r="F2993" s="5" t="inlineStr">
        <is>
          <t>202310</t>
        </is>
      </c>
      <c r="G2993" s="5" t="inlineStr">
        <is>
          <t>BRL</t>
        </is>
      </c>
      <c r="H2993" s="9" t="n">
        <v>-8000</v>
      </c>
      <c r="I2993" s="16" t="n">
        <v>45172</v>
      </c>
      <c r="J2993" s="16" t="n">
        <v>45204</v>
      </c>
      <c r="K2993" s="5" t="inlineStr">
        <is>
          <t>Invoice Receipt MM AGROPECUARIA CANOA MIRIM SA 202</t>
        </is>
      </c>
      <c r="L2993" s="5" t="inlineStr">
        <is>
          <t>BLOQUEADO, LUCIANA</t>
        </is>
      </c>
      <c r="M2993" s="5">
        <f>IF(YEAR(I2993)&lt;=2020,"Até 2020",TEXT(YEAR(I2993),"0"))</f>
        <v/>
      </c>
      <c r="N2993" s="5">
        <f>IFERROR(INDEX(DePara!$A:$A,MATCH(TEXT(B2993,"0"),DePara!$D:$D,0)),"(sem categoria)")</f>
        <v/>
      </c>
      <c r="O2993" s="5">
        <f>IF(J2993="","",Parametros!$B$6-J2993)</f>
        <v/>
      </c>
      <c r="P2993" s="5">
        <f>IF(O2993="","",IF(O2993&gt;0,1,0))</f>
        <v/>
      </c>
    </row>
    <row r="2994">
      <c r="A2994" s="5" t="n">
        <v>2111000000</v>
      </c>
      <c r="B2994" s="5" t="inlineStr">
        <is>
          <t>103966</t>
        </is>
      </c>
      <c r="C2994" s="5" t="inlineStr">
        <is>
          <t>HINE DO BRASIL IND E COM HIDR E PN 12482538000754</t>
        </is>
      </c>
      <c r="D2994" s="5" t="inlineStr">
        <is>
          <t>RE</t>
        </is>
      </c>
      <c r="E2994" s="5" t="n">
        <v>5016070</v>
      </c>
      <c r="F2994" s="5" t="inlineStr">
        <is>
          <t>000004327-1</t>
        </is>
      </c>
      <c r="G2994" s="5" t="inlineStr">
        <is>
          <t>BRL</t>
        </is>
      </c>
      <c r="H2994" s="9" t="n">
        <v>-918.9</v>
      </c>
      <c r="I2994" s="16" t="n">
        <v>46232</v>
      </c>
      <c r="J2994" s="16" t="n">
        <v>46270</v>
      </c>
      <c r="K2994" s="5" t="inlineStr">
        <is>
          <t>Fatura - bruto HINE DO BRASIL IND E COM HIDR E PN</t>
        </is>
      </c>
      <c r="L2994" s="5" t="inlineStr">
        <is>
          <t>08092026</t>
        </is>
      </c>
      <c r="M2994" s="5">
        <f>IF(YEAR(I2994)&lt;=2020,"Até 2020",TEXT(YEAR(I2994),"0"))</f>
        <v/>
      </c>
      <c r="N2994" s="5">
        <f>IFERROR(INDEX(DePara!$A:$A,MATCH(TEXT(B2994,"0"),DePara!$D:$D,0)),"(sem categoria)")</f>
        <v/>
      </c>
      <c r="O2994" s="5">
        <f>IF(J2994="","",Parametros!$B$6-J2994)</f>
        <v/>
      </c>
      <c r="P2994" s="5">
        <f>IF(O2994="","",IF(O2994&gt;0,1,0))</f>
        <v/>
      </c>
    </row>
    <row r="2995">
      <c r="A2995" s="5" t="n">
        <v>2111000000</v>
      </c>
      <c r="B2995" s="5" t="inlineStr">
        <is>
          <t>101222</t>
        </is>
      </c>
      <c r="C2995" s="5" t="inlineStr">
        <is>
          <t>AGROPECUARIA CANOA MIRIM SA</t>
        </is>
      </c>
      <c r="D2995" s="5" t="inlineStr">
        <is>
          <t>RE</t>
        </is>
      </c>
      <c r="E2995" s="5" t="n">
        <v>5016071</v>
      </c>
      <c r="F2995" s="5" t="inlineStr">
        <is>
          <t>202311</t>
        </is>
      </c>
      <c r="G2995" s="5" t="inlineStr">
        <is>
          <t>BRL</t>
        </is>
      </c>
      <c r="H2995" s="9" t="n">
        <v>-8000</v>
      </c>
      <c r="I2995" s="16" t="n">
        <v>45204</v>
      </c>
      <c r="J2995" s="16" t="n">
        <v>45235</v>
      </c>
      <c r="K2995" s="5" t="inlineStr">
        <is>
          <t>Invoice Receipt MM AGROPECUARIA CANOA MIRIM SA 202</t>
        </is>
      </c>
      <c r="L2995" s="5" t="inlineStr">
        <is>
          <t>BLOQUEADO, LUCIANA</t>
        </is>
      </c>
      <c r="M2995" s="5">
        <f>IF(YEAR(I2995)&lt;=2020,"Até 2020",TEXT(YEAR(I2995),"0"))</f>
        <v/>
      </c>
      <c r="N2995" s="5">
        <f>IFERROR(INDEX(DePara!$A:$A,MATCH(TEXT(B2995,"0"),DePara!$D:$D,0)),"(sem categoria)")</f>
        <v/>
      </c>
      <c r="O2995" s="5">
        <f>IF(J2995="","",Parametros!$B$6-J2995)</f>
        <v/>
      </c>
      <c r="P2995" s="5">
        <f>IF(O2995="","",IF(O2995&gt;0,1,0))</f>
        <v/>
      </c>
    </row>
    <row r="2996">
      <c r="A2996" s="5" t="n">
        <v>2111000000</v>
      </c>
      <c r="B2996" s="5" t="inlineStr">
        <is>
          <t>103966</t>
        </is>
      </c>
      <c r="C2996" s="5" t="inlineStr">
        <is>
          <t>HINE DO BRASIL IND E COM HIDR E PN 12482538000754</t>
        </is>
      </c>
      <c r="D2996" s="5" t="inlineStr">
        <is>
          <t>RE</t>
        </is>
      </c>
      <c r="E2996" s="5" t="n">
        <v>5016071</v>
      </c>
      <c r="F2996" s="5" t="inlineStr">
        <is>
          <t>000004417-1</t>
        </is>
      </c>
      <c r="G2996" s="5" t="inlineStr">
        <is>
          <t>BRL</t>
        </is>
      </c>
      <c r="H2996" s="9" t="n">
        <v>-2687.07</v>
      </c>
      <c r="I2996" s="16" t="n">
        <v>46248</v>
      </c>
      <c r="J2996" s="16" t="n">
        <v>46300</v>
      </c>
      <c r="K2996" s="5" t="inlineStr">
        <is>
          <t>Fatura - bruto HINE DO BRASIL IND E COM HIDR E PN</t>
        </is>
      </c>
      <c r="L2996" s="5" t="inlineStr">
        <is>
          <t>05102026</t>
        </is>
      </c>
      <c r="M2996" s="5">
        <f>IF(YEAR(I2996)&lt;=2020,"Até 2020",TEXT(YEAR(I2996),"0"))</f>
        <v/>
      </c>
      <c r="N2996" s="5">
        <f>IFERROR(INDEX(DePara!$A:$A,MATCH(TEXT(B2996,"0"),DePara!$D:$D,0)),"(sem categoria)")</f>
        <v/>
      </c>
      <c r="O2996" s="5">
        <f>IF(J2996="","",Parametros!$B$6-J2996)</f>
        <v/>
      </c>
      <c r="P2996" s="5">
        <f>IF(O2996="","",IF(O2996&gt;0,1,0))</f>
        <v/>
      </c>
    </row>
    <row r="2997">
      <c r="A2997" s="5" t="n">
        <v>2111000000</v>
      </c>
      <c r="B2997" s="5" t="inlineStr">
        <is>
          <t>101222</t>
        </is>
      </c>
      <c r="C2997" s="5" t="inlineStr">
        <is>
          <t>AGROPECUARIA CANOA MIRIM SA</t>
        </is>
      </c>
      <c r="D2997" s="5" t="inlineStr">
        <is>
          <t>RE</t>
        </is>
      </c>
      <c r="E2997" s="5" t="n">
        <v>5016072</v>
      </c>
      <c r="F2997" s="5" t="inlineStr">
        <is>
          <t>202312</t>
        </is>
      </c>
      <c r="G2997" s="5" t="inlineStr">
        <is>
          <t>BRL</t>
        </is>
      </c>
      <c r="H2997" s="9" t="n">
        <v>-8000</v>
      </c>
      <c r="I2997" s="16" t="n">
        <v>45235</v>
      </c>
      <c r="J2997" s="16" t="n">
        <v>45265</v>
      </c>
      <c r="K2997" s="5" t="inlineStr">
        <is>
          <t>Invoice Receipt MM AGROPECUARIA CANOA MIRIM SA 202</t>
        </is>
      </c>
      <c r="L2997" s="5" t="inlineStr">
        <is>
          <t>BLOQUEADO, LUCIANA</t>
        </is>
      </c>
      <c r="M2997" s="5">
        <f>IF(YEAR(I2997)&lt;=2020,"Até 2020",TEXT(YEAR(I2997),"0"))</f>
        <v/>
      </c>
      <c r="N2997" s="5">
        <f>IFERROR(INDEX(DePara!$A:$A,MATCH(TEXT(B2997,"0"),DePara!$D:$D,0)),"(sem categoria)")</f>
        <v/>
      </c>
      <c r="O2997" s="5">
        <f>IF(J2997="","",Parametros!$B$6-J2997)</f>
        <v/>
      </c>
      <c r="P2997" s="5">
        <f>IF(O2997="","",IF(O2997&gt;0,1,0))</f>
        <v/>
      </c>
    </row>
    <row r="2998">
      <c r="A2998" s="5" t="n">
        <v>2111000000</v>
      </c>
      <c r="B2998" s="5" t="inlineStr">
        <is>
          <t>101460</t>
        </is>
      </c>
      <c r="C2998" s="5" t="inlineStr">
        <is>
          <t>NS AUTOMACAO E INSTRUMENTAÇAO LTDA</t>
        </is>
      </c>
      <c r="D2998" s="5" t="inlineStr">
        <is>
          <t>RE</t>
        </is>
      </c>
      <c r="E2998" s="5" t="n">
        <v>5016072</v>
      </c>
      <c r="F2998" s="5" t="inlineStr">
        <is>
          <t>000005787-1</t>
        </is>
      </c>
      <c r="G2998" s="5" t="inlineStr">
        <is>
          <t>BRL</t>
        </is>
      </c>
      <c r="H2998" s="9" t="n">
        <v>-23160</v>
      </c>
      <c r="I2998" s="16" t="n">
        <v>46225</v>
      </c>
      <c r="J2998" s="16" t="n">
        <v>46270</v>
      </c>
      <c r="K2998" s="5" t="inlineStr">
        <is>
          <t>Fatura - bruto NS AUTOMACAO E INSTRUMENTAÇAO LTDA</t>
        </is>
      </c>
      <c r="L2998" s="5" t="inlineStr">
        <is>
          <t>08092026</t>
        </is>
      </c>
      <c r="M2998" s="5">
        <f>IF(YEAR(I2998)&lt;=2020,"Até 2020",TEXT(YEAR(I2998),"0"))</f>
        <v/>
      </c>
      <c r="N2998" s="5">
        <f>IFERROR(INDEX(DePara!$A:$A,MATCH(TEXT(B2998,"0"),DePara!$D:$D,0)),"(sem categoria)")</f>
        <v/>
      </c>
      <c r="O2998" s="5">
        <f>IF(J2998="","",Parametros!$B$6-J2998)</f>
        <v/>
      </c>
      <c r="P2998" s="5">
        <f>IF(O2998="","",IF(O2998&gt;0,1,0))</f>
        <v/>
      </c>
    </row>
    <row r="2999">
      <c r="A2999" s="5" t="n">
        <v>2111000000</v>
      </c>
      <c r="B2999" s="5" t="inlineStr">
        <is>
          <t>101166</t>
        </is>
      </c>
      <c r="C2999" s="5" t="inlineStr">
        <is>
          <t>HANSA-FLEX DO BRASIL LTDA</t>
        </is>
      </c>
      <c r="D2999" s="5" t="inlineStr">
        <is>
          <t>RE</t>
        </is>
      </c>
      <c r="E2999" s="5" t="n">
        <v>5016073</v>
      </c>
      <c r="F2999" s="5" t="inlineStr">
        <is>
          <t>000024014-1</t>
        </is>
      </c>
      <c r="G2999" s="5" t="inlineStr">
        <is>
          <t>BRL</t>
        </is>
      </c>
      <c r="H2999" s="9" t="n">
        <v>-17632.14</v>
      </c>
      <c r="I2999" s="16" t="n">
        <v>46240</v>
      </c>
      <c r="J2999" s="16" t="n">
        <v>46300</v>
      </c>
      <c r="K2999" s="5" t="inlineStr">
        <is>
          <t>Fatura - bruto HANSA-FLEX DO BRASIL LTDA 000024014</t>
        </is>
      </c>
      <c r="L2999" s="5" t="inlineStr">
        <is>
          <t>05102026</t>
        </is>
      </c>
      <c r="M2999" s="5">
        <f>IF(YEAR(I2999)&lt;=2020,"Até 2020",TEXT(YEAR(I2999),"0"))</f>
        <v/>
      </c>
      <c r="N2999" s="5">
        <f>IFERROR(INDEX(DePara!$A:$A,MATCH(TEXT(B2999,"0"),DePara!$D:$D,0)),"(sem categoria)")</f>
        <v/>
      </c>
      <c r="O2999" s="5">
        <f>IF(J2999="","",Parametros!$B$6-J2999)</f>
        <v/>
      </c>
      <c r="P2999" s="5">
        <f>IF(O2999="","",IF(O2999&gt;0,1,0))</f>
        <v/>
      </c>
    </row>
    <row r="3000">
      <c r="A3000" s="5" t="n">
        <v>2111000000</v>
      </c>
      <c r="B3000" s="5" t="inlineStr">
        <is>
          <t>114597</t>
        </is>
      </c>
      <c r="C3000" s="5" t="inlineStr">
        <is>
          <t>BLUEWAY TRADING IMPORTAÇAO E EXPORT SA</t>
        </is>
      </c>
      <c r="D3000" s="5" t="inlineStr">
        <is>
          <t>RE</t>
        </is>
      </c>
      <c r="E3000" s="5" t="n">
        <v>5016074</v>
      </c>
      <c r="F3000" s="5" t="inlineStr">
        <is>
          <t>000012056-1</t>
        </is>
      </c>
      <c r="G3000" s="5" t="inlineStr">
        <is>
          <t>BRL</t>
        </is>
      </c>
      <c r="H3000" s="9" t="n">
        <v>-36160</v>
      </c>
      <c r="I3000" s="16" t="n">
        <v>46232</v>
      </c>
      <c r="J3000" s="16" t="n">
        <v>46262</v>
      </c>
      <c r="K3000" s="5" t="inlineStr">
        <is>
          <t>Fatura - bruto BLUEWAY TRADING IMPORTAÇAO E EXPORT</t>
        </is>
      </c>
      <c r="L3000" s="5" t="inlineStr">
        <is>
          <t>02092026</t>
        </is>
      </c>
      <c r="M3000" s="5">
        <f>IF(YEAR(I3000)&lt;=2020,"Até 2020",TEXT(YEAR(I3000),"0"))</f>
        <v/>
      </c>
      <c r="N3000" s="5">
        <f>IFERROR(INDEX(DePara!$A:$A,MATCH(TEXT(B3000,"0"),DePara!$D:$D,0)),"(sem categoria)")</f>
        <v/>
      </c>
      <c r="O3000" s="5">
        <f>IF(J3000="","",Parametros!$B$6-J3000)</f>
        <v/>
      </c>
      <c r="P3000" s="5">
        <f>IF(O3000="","",IF(O3000&gt;0,1,0))</f>
        <v/>
      </c>
    </row>
    <row r="3001">
      <c r="A3001" s="5" t="n">
        <v>2111000000</v>
      </c>
      <c r="B3001" s="5" t="inlineStr">
        <is>
          <t>106024</t>
        </is>
      </c>
      <c r="C3001" s="5" t="inlineStr">
        <is>
          <t>NS AUTOMACAO E INSTRUMENTACAO LTDA 13786265000290</t>
        </is>
      </c>
      <c r="D3001" s="5" t="inlineStr">
        <is>
          <t>RE</t>
        </is>
      </c>
      <c r="E3001" s="5" t="n">
        <v>5016075</v>
      </c>
      <c r="F3001" s="5" t="inlineStr">
        <is>
          <t>000000316-1</t>
        </is>
      </c>
      <c r="G3001" s="5" t="inlineStr">
        <is>
          <t>BRL</t>
        </is>
      </c>
      <c r="H3001" s="9" t="n">
        <v>-15840</v>
      </c>
      <c r="I3001" s="16" t="n">
        <v>46245</v>
      </c>
      <c r="J3001" s="16" t="n">
        <v>46300</v>
      </c>
      <c r="K3001" s="5" t="inlineStr">
        <is>
          <t>Fatura - bruto NS AUTOMACAO E INSTRUMENTACAO LTDA</t>
        </is>
      </c>
      <c r="L3001" s="5" t="inlineStr">
        <is>
          <t>05102026</t>
        </is>
      </c>
      <c r="M3001" s="5">
        <f>IF(YEAR(I3001)&lt;=2020,"Até 2020",TEXT(YEAR(I3001),"0"))</f>
        <v/>
      </c>
      <c r="N3001" s="5">
        <f>IFERROR(INDEX(DePara!$A:$A,MATCH(TEXT(B3001,"0"),DePara!$D:$D,0)),"(sem categoria)")</f>
        <v/>
      </c>
      <c r="O3001" s="5">
        <f>IF(J3001="","",Parametros!$B$6-J3001)</f>
        <v/>
      </c>
      <c r="P3001" s="5">
        <f>IF(O3001="","",IF(O3001&gt;0,1,0))</f>
        <v/>
      </c>
    </row>
    <row r="3002">
      <c r="A3002" s="5" t="n">
        <v>2111000000</v>
      </c>
      <c r="B3002" s="5" t="inlineStr">
        <is>
          <t>115019</t>
        </is>
      </c>
      <c r="C3002" s="5" t="inlineStr">
        <is>
          <t>BLUEWAY TRADING IMPORTAÇAO E EXPORT SA</t>
        </is>
      </c>
      <c r="D3002" s="5" t="inlineStr">
        <is>
          <t>RE</t>
        </is>
      </c>
      <c r="E3002" s="5" t="n">
        <v>5016076</v>
      </c>
      <c r="F3002" s="5" t="inlineStr">
        <is>
          <t>000003626-1</t>
        </is>
      </c>
      <c r="G3002" s="5" t="inlineStr">
        <is>
          <t>BRL</t>
        </is>
      </c>
      <c r="H3002" s="9" t="n">
        <v>-94999.98</v>
      </c>
      <c r="I3002" s="16" t="n">
        <v>46196</v>
      </c>
      <c r="J3002" s="16" t="n">
        <v>46226</v>
      </c>
      <c r="K3002" s="5" t="inlineStr">
        <is>
          <t>Fatura - bruto BLUEWAY TRADING IMPORTAÇAO E EXPORT</t>
        </is>
      </c>
      <c r="L3002" s="5" t="inlineStr">
        <is>
          <t>02092026</t>
        </is>
      </c>
      <c r="M3002" s="5">
        <f>IF(YEAR(I3002)&lt;=2020,"Até 2020",TEXT(YEAR(I3002),"0"))</f>
        <v/>
      </c>
      <c r="N3002" s="5">
        <f>IFERROR(INDEX(DePara!$A:$A,MATCH(TEXT(B3002,"0"),DePara!$D:$D,0)),"(sem categoria)")</f>
        <v/>
      </c>
      <c r="O3002" s="5">
        <f>IF(J3002="","",Parametros!$B$6-J3002)</f>
        <v/>
      </c>
      <c r="P3002" s="5">
        <f>IF(O3002="","",IF(O3002&gt;0,1,0))</f>
        <v/>
      </c>
    </row>
    <row r="3003">
      <c r="A3003" s="5" t="n">
        <v>2111000000</v>
      </c>
      <c r="B3003" s="5" t="inlineStr">
        <is>
          <t>101929</t>
        </is>
      </c>
      <c r="C3003" s="5" t="inlineStr">
        <is>
          <t>TECNOFIX INDUSTRIA E COMERCIO DE PA</t>
        </is>
      </c>
      <c r="D3003" s="5" t="inlineStr">
        <is>
          <t>RE</t>
        </is>
      </c>
      <c r="E3003" s="5" t="n">
        <v>5016077</v>
      </c>
      <c r="F3003" s="5" t="inlineStr">
        <is>
          <t>000031399-1</t>
        </is>
      </c>
      <c r="G3003" s="5" t="inlineStr">
        <is>
          <t>BRL</t>
        </is>
      </c>
      <c r="H3003" s="9" t="n">
        <v>-17556.53</v>
      </c>
      <c r="I3003" s="16" t="n">
        <v>46237</v>
      </c>
      <c r="J3003" s="16" t="n">
        <v>46300</v>
      </c>
      <c r="K3003" s="5" t="inlineStr">
        <is>
          <t>Fatura - bruto TECNOFIX INDUSTRIA E COMERCIO DE PA</t>
        </is>
      </c>
      <c r="L3003" s="5" t="inlineStr">
        <is>
          <t>05102026</t>
        </is>
      </c>
      <c r="M3003" s="5">
        <f>IF(YEAR(I3003)&lt;=2020,"Até 2020",TEXT(YEAR(I3003),"0"))</f>
        <v/>
      </c>
      <c r="N3003" s="5">
        <f>IFERROR(INDEX(DePara!$A:$A,MATCH(TEXT(B3003,"0"),DePara!$D:$D,0)),"(sem categoria)")</f>
        <v/>
      </c>
      <c r="O3003" s="5">
        <f>IF(J3003="","",Parametros!$B$6-J3003)</f>
        <v/>
      </c>
      <c r="P3003" s="5">
        <f>IF(O3003="","",IF(O3003&gt;0,1,0))</f>
        <v/>
      </c>
    </row>
    <row r="3004">
      <c r="A3004" s="5" t="n">
        <v>2111000000</v>
      </c>
      <c r="B3004" s="5" t="inlineStr">
        <is>
          <t>101929</t>
        </is>
      </c>
      <c r="C3004" s="5" t="inlineStr">
        <is>
          <t>TECNOFIX INDUSTRIA E COMERCIO DE PA</t>
        </is>
      </c>
      <c r="D3004" s="5" t="inlineStr">
        <is>
          <t>RE</t>
        </is>
      </c>
      <c r="E3004" s="5" t="n">
        <v>5016078</v>
      </c>
      <c r="F3004" s="5" t="inlineStr">
        <is>
          <t>000031438-1</t>
        </is>
      </c>
      <c r="G3004" s="5" t="inlineStr">
        <is>
          <t>BRL</t>
        </is>
      </c>
      <c r="H3004" s="9" t="n">
        <v>-497541.39</v>
      </c>
      <c r="I3004" s="16" t="n">
        <v>46252</v>
      </c>
      <c r="J3004" s="16" t="n">
        <v>46331</v>
      </c>
      <c r="K3004" s="5" t="inlineStr">
        <is>
          <t>Fatura - bruto TECNOFIX INDUSTRIA E COMERCIO DE PA</t>
        </is>
      </c>
      <c r="L3004" s="5" t="inlineStr">
        <is>
          <t>05112026</t>
        </is>
      </c>
      <c r="M3004" s="5">
        <f>IF(YEAR(I3004)&lt;=2020,"Até 2020",TEXT(YEAR(I3004),"0"))</f>
        <v/>
      </c>
      <c r="N3004" s="5">
        <f>IFERROR(INDEX(DePara!$A:$A,MATCH(TEXT(B3004,"0"),DePara!$D:$D,0)),"(sem categoria)")</f>
        <v/>
      </c>
      <c r="O3004" s="5">
        <f>IF(J3004="","",Parametros!$B$6-J3004)</f>
        <v/>
      </c>
      <c r="P3004" s="5">
        <f>IF(O3004="","",IF(O3004&gt;0,1,0))</f>
        <v/>
      </c>
    </row>
    <row r="3005">
      <c r="A3005" s="5" t="n">
        <v>2111000000</v>
      </c>
      <c r="B3005" s="5" t="inlineStr">
        <is>
          <t>101135</t>
        </is>
      </c>
      <c r="C3005" s="5" t="inlineStr">
        <is>
          <t>IDEAL WORK UNIFORMES E E.P.I.S LTDA</t>
        </is>
      </c>
      <c r="D3005" s="5" t="inlineStr">
        <is>
          <t>RE</t>
        </is>
      </c>
      <c r="E3005" s="5" t="n">
        <v>5016079</v>
      </c>
      <c r="F3005" s="5" t="inlineStr">
        <is>
          <t>000093705-2</t>
        </is>
      </c>
      <c r="G3005" s="5" t="inlineStr">
        <is>
          <t>BRL</t>
        </is>
      </c>
      <c r="H3005" s="9" t="n">
        <v>-7643.06</v>
      </c>
      <c r="I3005" s="16" t="n">
        <v>46234</v>
      </c>
      <c r="J3005" s="16" t="n">
        <v>46270</v>
      </c>
      <c r="K3005" s="5" t="inlineStr">
        <is>
          <t>Fatura - bruto IDEAL WORK UNIFORMES E E.P.I.S LTDA</t>
        </is>
      </c>
      <c r="L3005" s="5" t="inlineStr">
        <is>
          <t>08092026</t>
        </is>
      </c>
      <c r="M3005" s="5">
        <f>IF(YEAR(I3005)&lt;=2020,"Até 2020",TEXT(YEAR(I3005),"0"))</f>
        <v/>
      </c>
      <c r="N3005" s="5">
        <f>IFERROR(INDEX(DePara!$A:$A,MATCH(TEXT(B3005,"0"),DePara!$D:$D,0)),"(sem categoria)")</f>
        <v/>
      </c>
      <c r="O3005" s="5">
        <f>IF(J3005="","",Parametros!$B$6-J3005)</f>
        <v/>
      </c>
      <c r="P3005" s="5">
        <f>IF(O3005="","",IF(O3005&gt;0,1,0))</f>
        <v/>
      </c>
    </row>
    <row r="3006">
      <c r="A3006" s="5" t="n">
        <v>2111000000</v>
      </c>
      <c r="B3006" s="5" t="inlineStr">
        <is>
          <t>101135</t>
        </is>
      </c>
      <c r="C3006" s="5" t="inlineStr">
        <is>
          <t>IDEAL WORK UNIFORMES E E.P.I.S LTDA</t>
        </is>
      </c>
      <c r="D3006" s="5" t="inlineStr">
        <is>
          <t>RE</t>
        </is>
      </c>
      <c r="E3006" s="5" t="n">
        <v>5016080</v>
      </c>
      <c r="F3006" s="5" t="inlineStr">
        <is>
          <t>000093706-2</t>
        </is>
      </c>
      <c r="G3006" s="5" t="inlineStr">
        <is>
          <t>BRL</t>
        </is>
      </c>
      <c r="H3006" s="9" t="n">
        <v>-19764.15</v>
      </c>
      <c r="I3006" s="16" t="n">
        <v>46234</v>
      </c>
      <c r="J3006" s="16" t="n">
        <v>46270</v>
      </c>
      <c r="K3006" s="5" t="inlineStr">
        <is>
          <t>Fatura - bruto IDEAL WORK UNIFORMES E E.P.I.S LTDA</t>
        </is>
      </c>
      <c r="L3006" s="5" t="inlineStr">
        <is>
          <t>08092026</t>
        </is>
      </c>
      <c r="M3006" s="5">
        <f>IF(YEAR(I3006)&lt;=2020,"Até 2020",TEXT(YEAR(I3006),"0"))</f>
        <v/>
      </c>
      <c r="N3006" s="5">
        <f>IFERROR(INDEX(DePara!$A:$A,MATCH(TEXT(B3006,"0"),DePara!$D:$D,0)),"(sem categoria)")</f>
        <v/>
      </c>
      <c r="O3006" s="5">
        <f>IF(J3006="","",Parametros!$B$6-J3006)</f>
        <v/>
      </c>
      <c r="P3006" s="5">
        <f>IF(O3006="","",IF(O3006&gt;0,1,0))</f>
        <v/>
      </c>
    </row>
    <row r="3007">
      <c r="A3007" s="5" t="n">
        <v>2111000000</v>
      </c>
      <c r="B3007" s="5" t="inlineStr">
        <is>
          <t>101135</t>
        </is>
      </c>
      <c r="C3007" s="5" t="inlineStr">
        <is>
          <t>IDEAL WORK UNIFORMES E E.P.I.S LTDA</t>
        </is>
      </c>
      <c r="D3007" s="5" t="inlineStr">
        <is>
          <t>RE</t>
        </is>
      </c>
      <c r="E3007" s="5" t="n">
        <v>5016081</v>
      </c>
      <c r="F3007" s="5" t="inlineStr">
        <is>
          <t>000093721-2</t>
        </is>
      </c>
      <c r="G3007" s="5" t="inlineStr">
        <is>
          <t>BRL</t>
        </is>
      </c>
      <c r="H3007" s="9" t="n">
        <v>-22929.18</v>
      </c>
      <c r="I3007" s="16" t="n">
        <v>46234</v>
      </c>
      <c r="J3007" s="16" t="n">
        <v>46270</v>
      </c>
      <c r="K3007" s="5" t="inlineStr">
        <is>
          <t>Fatura - bruto IDEAL WORK UNIFORMES E E.P.I.S LTDA</t>
        </is>
      </c>
      <c r="L3007" s="5" t="inlineStr">
        <is>
          <t>08092026</t>
        </is>
      </c>
      <c r="M3007" s="5">
        <f>IF(YEAR(I3007)&lt;=2020,"Até 2020",TEXT(YEAR(I3007),"0"))</f>
        <v/>
      </c>
      <c r="N3007" s="5">
        <f>IFERROR(INDEX(DePara!$A:$A,MATCH(TEXT(B3007,"0"),DePara!$D:$D,0)),"(sem categoria)")</f>
        <v/>
      </c>
      <c r="O3007" s="5">
        <f>IF(J3007="","",Parametros!$B$6-J3007)</f>
        <v/>
      </c>
      <c r="P3007" s="5">
        <f>IF(O3007="","",IF(O3007&gt;0,1,0))</f>
        <v/>
      </c>
    </row>
    <row r="3008">
      <c r="A3008" s="5" t="n">
        <v>2111000000</v>
      </c>
      <c r="B3008" s="5" t="inlineStr">
        <is>
          <t>101135</t>
        </is>
      </c>
      <c r="C3008" s="5" t="inlineStr">
        <is>
          <t>IDEAL WORK UNIFORMES E E.P.I.S LTDA</t>
        </is>
      </c>
      <c r="D3008" s="5" t="inlineStr">
        <is>
          <t>RE</t>
        </is>
      </c>
      <c r="E3008" s="5" t="n">
        <v>5016082</v>
      </c>
      <c r="F3008" s="5" t="inlineStr">
        <is>
          <t>000093797-2</t>
        </is>
      </c>
      <c r="G3008" s="5" t="inlineStr">
        <is>
          <t>BRL</t>
        </is>
      </c>
      <c r="H3008" s="9" t="n">
        <v>-38754.33</v>
      </c>
      <c r="I3008" s="16" t="n">
        <v>46237</v>
      </c>
      <c r="J3008" s="16" t="n">
        <v>46270</v>
      </c>
      <c r="K3008" s="5" t="inlineStr">
        <is>
          <t>Fatura - bruto IDEAL WORK UNIFORMES E E.P.I.S LTDA</t>
        </is>
      </c>
      <c r="L3008" s="5" t="inlineStr">
        <is>
          <t>08092026</t>
        </is>
      </c>
      <c r="M3008" s="5">
        <f>IF(YEAR(I3008)&lt;=2020,"Até 2020",TEXT(YEAR(I3008),"0"))</f>
        <v/>
      </c>
      <c r="N3008" s="5">
        <f>IFERROR(INDEX(DePara!$A:$A,MATCH(TEXT(B3008,"0"),DePara!$D:$D,0)),"(sem categoria)")</f>
        <v/>
      </c>
      <c r="O3008" s="5">
        <f>IF(J3008="","",Parametros!$B$6-J3008)</f>
        <v/>
      </c>
      <c r="P3008" s="5">
        <f>IF(O3008="","",IF(O3008&gt;0,1,0))</f>
        <v/>
      </c>
    </row>
    <row r="3009">
      <c r="A3009" s="5" t="n">
        <v>2111000000</v>
      </c>
      <c r="B3009" s="5" t="inlineStr">
        <is>
          <t>101135</t>
        </is>
      </c>
      <c r="C3009" s="5" t="inlineStr">
        <is>
          <t>IDEAL WORK UNIFORMES E E.P.I.S LTDA</t>
        </is>
      </c>
      <c r="D3009" s="5" t="inlineStr">
        <is>
          <t>RE</t>
        </is>
      </c>
      <c r="E3009" s="5" t="n">
        <v>5016083</v>
      </c>
      <c r="F3009" s="5" t="inlineStr">
        <is>
          <t>000093809-2</t>
        </is>
      </c>
      <c r="G3009" s="5" t="inlineStr">
        <is>
          <t>BRL</t>
        </is>
      </c>
      <c r="H3009" s="9" t="n">
        <v>-49562.42</v>
      </c>
      <c r="I3009" s="16" t="n">
        <v>46237</v>
      </c>
      <c r="J3009" s="16" t="n">
        <v>46270</v>
      </c>
      <c r="K3009" s="5" t="inlineStr">
        <is>
          <t>Fatura - bruto IDEAL WORK UNIFORMES E E.P.I.S LTDA</t>
        </is>
      </c>
      <c r="L3009" s="5" t="inlineStr">
        <is>
          <t>08092026</t>
        </is>
      </c>
      <c r="M3009" s="5">
        <f>IF(YEAR(I3009)&lt;=2020,"Até 2020",TEXT(YEAR(I3009),"0"))</f>
        <v/>
      </c>
      <c r="N3009" s="5">
        <f>IFERROR(INDEX(DePara!$A:$A,MATCH(TEXT(B3009,"0"),DePara!$D:$D,0)),"(sem categoria)")</f>
        <v/>
      </c>
      <c r="O3009" s="5">
        <f>IF(J3009="","",Parametros!$B$6-J3009)</f>
        <v/>
      </c>
      <c r="P3009" s="5">
        <f>IF(O3009="","",IF(O3009&gt;0,1,0))</f>
        <v/>
      </c>
    </row>
    <row r="3010">
      <c r="A3010" s="5" t="n">
        <v>2111000000</v>
      </c>
      <c r="B3010" s="5" t="inlineStr">
        <is>
          <t>101135</t>
        </is>
      </c>
      <c r="C3010" s="5" t="inlineStr">
        <is>
          <t>IDEAL WORK UNIFORMES E E.P.I.S LTDA</t>
        </is>
      </c>
      <c r="D3010" s="5" t="inlineStr">
        <is>
          <t>RE</t>
        </is>
      </c>
      <c r="E3010" s="5" t="n">
        <v>5016084</v>
      </c>
      <c r="F3010" s="5" t="inlineStr">
        <is>
          <t>000093818-2</t>
        </is>
      </c>
      <c r="G3010" s="5" t="inlineStr">
        <is>
          <t>BRL</t>
        </is>
      </c>
      <c r="H3010" s="9" t="n">
        <v>-26094.21</v>
      </c>
      <c r="I3010" s="16" t="n">
        <v>46237</v>
      </c>
      <c r="J3010" s="16" t="n">
        <v>46270</v>
      </c>
      <c r="K3010" s="5" t="inlineStr">
        <is>
          <t>Fatura - bruto IDEAL WORK UNIFORMES E E.P.I.S LTDA</t>
        </is>
      </c>
      <c r="L3010" s="5" t="inlineStr">
        <is>
          <t>08092026</t>
        </is>
      </c>
      <c r="M3010" s="5">
        <f>IF(YEAR(I3010)&lt;=2020,"Até 2020",TEXT(YEAR(I3010),"0"))</f>
        <v/>
      </c>
      <c r="N3010" s="5">
        <f>IFERROR(INDEX(DePara!$A:$A,MATCH(TEXT(B3010,"0"),DePara!$D:$D,0)),"(sem categoria)")</f>
        <v/>
      </c>
      <c r="O3010" s="5">
        <f>IF(J3010="","",Parametros!$B$6-J3010)</f>
        <v/>
      </c>
      <c r="P3010" s="5">
        <f>IF(O3010="","",IF(O3010&gt;0,1,0))</f>
        <v/>
      </c>
    </row>
    <row r="3011">
      <c r="A3011" s="5" t="n">
        <v>2111000000</v>
      </c>
      <c r="B3011" s="5" t="inlineStr">
        <is>
          <t>101135</t>
        </is>
      </c>
      <c r="C3011" s="5" t="inlineStr">
        <is>
          <t>IDEAL WORK UNIFORMES E E.P.I.S LTDA</t>
        </is>
      </c>
      <c r="D3011" s="5" t="inlineStr">
        <is>
          <t>RE</t>
        </is>
      </c>
      <c r="E3011" s="5" t="n">
        <v>5016085</v>
      </c>
      <c r="F3011" s="5" t="inlineStr">
        <is>
          <t>000096190-2</t>
        </is>
      </c>
      <c r="G3011" s="5" t="inlineStr">
        <is>
          <t>BRL</t>
        </is>
      </c>
      <c r="H3011" s="9" t="n">
        <v>-13973.12</v>
      </c>
      <c r="I3011" s="16" t="n">
        <v>46246</v>
      </c>
      <c r="J3011" s="16" t="n">
        <v>46270</v>
      </c>
      <c r="K3011" s="5" t="inlineStr">
        <is>
          <t>Fatura - bruto IDEAL WORK UNIFORMES E E.P.I.S LTDA</t>
        </is>
      </c>
      <c r="L3011" s="5" t="inlineStr">
        <is>
          <t>08092026</t>
        </is>
      </c>
      <c r="M3011" s="5">
        <f>IF(YEAR(I3011)&lt;=2020,"Até 2020",TEXT(YEAR(I3011),"0"))</f>
        <v/>
      </c>
      <c r="N3011" s="5">
        <f>IFERROR(INDEX(DePara!$A:$A,MATCH(TEXT(B3011,"0"),DePara!$D:$D,0)),"(sem categoria)")</f>
        <v/>
      </c>
      <c r="O3011" s="5">
        <f>IF(J3011="","",Parametros!$B$6-J3011)</f>
        <v/>
      </c>
      <c r="P3011" s="5">
        <f>IF(O3011="","",IF(O3011&gt;0,1,0))</f>
        <v/>
      </c>
    </row>
    <row r="3012">
      <c r="A3012" s="5" t="n">
        <v>2111000000</v>
      </c>
      <c r="B3012" s="5" t="inlineStr">
        <is>
          <t>101848</t>
        </is>
      </c>
      <c r="C3012" s="5" t="inlineStr">
        <is>
          <t>KLUBER LUBRICATION LUBRIF ESPECIAIS</t>
        </is>
      </c>
      <c r="D3012" s="5" t="inlineStr">
        <is>
          <t>RE</t>
        </is>
      </c>
      <c r="E3012" s="5" t="n">
        <v>5016086</v>
      </c>
      <c r="F3012" s="5" t="inlineStr">
        <is>
          <t>000772602-1</t>
        </is>
      </c>
      <c r="G3012" s="5" t="inlineStr">
        <is>
          <t>BRL</t>
        </is>
      </c>
      <c r="H3012" s="9" t="n">
        <v>-58649.95</v>
      </c>
      <c r="I3012" s="16" t="n">
        <v>46225</v>
      </c>
      <c r="J3012" s="16" t="n">
        <v>46270</v>
      </c>
      <c r="K3012" s="5" t="inlineStr">
        <is>
          <t>Fatura - bruto KLUBER LUBRICATION LUBRIF ESPECIAIS</t>
        </is>
      </c>
      <c r="L3012" s="5" t="inlineStr">
        <is>
          <t>08092026</t>
        </is>
      </c>
      <c r="M3012" s="5">
        <f>IF(YEAR(I3012)&lt;=2020,"Até 2020",TEXT(YEAR(I3012),"0"))</f>
        <v/>
      </c>
      <c r="N3012" s="5">
        <f>IFERROR(INDEX(DePara!$A:$A,MATCH(TEXT(B3012,"0"),DePara!$D:$D,0)),"(sem categoria)")</f>
        <v/>
      </c>
      <c r="O3012" s="5">
        <f>IF(J3012="","",Parametros!$B$6-J3012)</f>
        <v/>
      </c>
      <c r="P3012" s="5">
        <f>IF(O3012="","",IF(O3012&gt;0,1,0))</f>
        <v/>
      </c>
    </row>
    <row r="3013">
      <c r="A3013" s="5" t="n">
        <v>2111000000</v>
      </c>
      <c r="B3013" s="5" t="inlineStr">
        <is>
          <t>101929</t>
        </is>
      </c>
      <c r="C3013" s="5" t="inlineStr">
        <is>
          <t>TECNOFIX INDUSTRIA E COMERCIO DE PA</t>
        </is>
      </c>
      <c r="D3013" s="5" t="inlineStr">
        <is>
          <t>RE</t>
        </is>
      </c>
      <c r="E3013" s="5" t="n">
        <v>5016087</v>
      </c>
      <c r="F3013" s="5" t="inlineStr">
        <is>
          <t>000031434-1</t>
        </is>
      </c>
      <c r="G3013" s="5" t="inlineStr">
        <is>
          <t>BRL</t>
        </is>
      </c>
      <c r="H3013" s="9" t="n">
        <v>-3175.25</v>
      </c>
      <c r="I3013" s="16" t="n">
        <v>46248</v>
      </c>
      <c r="J3013" s="16" t="n">
        <v>46300</v>
      </c>
      <c r="K3013" s="5" t="inlineStr">
        <is>
          <t>Fatura - bruto TECNOFIX INDUSTRIA E COMERCIO DE PA</t>
        </is>
      </c>
      <c r="L3013" s="5" t="inlineStr">
        <is>
          <t>05102026</t>
        </is>
      </c>
      <c r="M3013" s="5">
        <f>IF(YEAR(I3013)&lt;=2020,"Até 2020",TEXT(YEAR(I3013),"0"))</f>
        <v/>
      </c>
      <c r="N3013" s="5">
        <f>IFERROR(INDEX(DePara!$A:$A,MATCH(TEXT(B3013,"0"),DePara!$D:$D,0)),"(sem categoria)")</f>
        <v/>
      </c>
      <c r="O3013" s="5">
        <f>IF(J3013="","",Parametros!$B$6-J3013)</f>
        <v/>
      </c>
      <c r="P3013" s="5">
        <f>IF(O3013="","",IF(O3013&gt;0,1,0))</f>
        <v/>
      </c>
    </row>
    <row r="3014">
      <c r="A3014" s="5" t="n">
        <v>2111000000</v>
      </c>
      <c r="B3014" s="5" t="inlineStr">
        <is>
          <t>107723</t>
        </is>
      </c>
      <c r="C3014" s="5" t="inlineStr">
        <is>
          <t>BLUEWAY TRADING IMPORTACAO E EXPORT S.A</t>
        </is>
      </c>
      <c r="D3014" s="5" t="inlineStr">
        <is>
          <t>RE</t>
        </is>
      </c>
      <c r="E3014" s="5" t="n">
        <v>5016088</v>
      </c>
      <c r="F3014" s="5" t="inlineStr">
        <is>
          <t>000002816-1</t>
        </is>
      </c>
      <c r="G3014" s="5" t="inlineStr">
        <is>
          <t>BRL</t>
        </is>
      </c>
      <c r="H3014" s="9" t="n">
        <v>-89370.00999999999</v>
      </c>
      <c r="I3014" s="16" t="n">
        <v>46192</v>
      </c>
      <c r="J3014" s="16" t="n">
        <v>46239</v>
      </c>
      <c r="K3014" s="5" t="inlineStr">
        <is>
          <t>Fatura - bruto BLUEWAY TRADING IMPORTACAO E EXPORT</t>
        </is>
      </c>
      <c r="L3014" s="5" t="inlineStr">
        <is>
          <t>02092026</t>
        </is>
      </c>
      <c r="M3014" s="5">
        <f>IF(YEAR(I3014)&lt;=2020,"Até 2020",TEXT(YEAR(I3014),"0"))</f>
        <v/>
      </c>
      <c r="N3014" s="5">
        <f>IFERROR(INDEX(DePara!$A:$A,MATCH(TEXT(B3014,"0"),DePara!$D:$D,0)),"(sem categoria)")</f>
        <v/>
      </c>
      <c r="O3014" s="5">
        <f>IF(J3014="","",Parametros!$B$6-J3014)</f>
        <v/>
      </c>
      <c r="P3014" s="5">
        <f>IF(O3014="","",IF(O3014&gt;0,1,0))</f>
        <v/>
      </c>
    </row>
    <row r="3015">
      <c r="A3015" s="5" t="n">
        <v>2111000000</v>
      </c>
      <c r="B3015" s="5" t="inlineStr">
        <is>
          <t>105984</t>
        </is>
      </c>
      <c r="C3015" s="5" t="inlineStr">
        <is>
          <t>TRADEWORKS SERVICOS DE COMERCIO EXT 04955748000107</t>
        </is>
      </c>
      <c r="D3015" s="5" t="inlineStr">
        <is>
          <t>RE</t>
        </is>
      </c>
      <c r="E3015" s="5" t="n">
        <v>5016089</v>
      </c>
      <c r="F3015" s="5" t="inlineStr">
        <is>
          <t>93479</t>
        </is>
      </c>
      <c r="G3015" s="5" t="inlineStr">
        <is>
          <t>BRL</t>
        </is>
      </c>
      <c r="H3015" s="9" t="n">
        <v>-1337.76</v>
      </c>
      <c r="I3015" s="16" t="n">
        <v>46239</v>
      </c>
      <c r="J3015" s="16" t="n">
        <v>46269</v>
      </c>
      <c r="K3015" s="5" t="inlineStr">
        <is>
          <t>Fatura - bruto TRADEWORKS SERVICOS DE COMERCIO EXT</t>
        </is>
      </c>
      <c r="L3015" s="5" t="inlineStr">
        <is>
          <t>02092026</t>
        </is>
      </c>
      <c r="M3015" s="5">
        <f>IF(YEAR(I3015)&lt;=2020,"Até 2020",TEXT(YEAR(I3015),"0"))</f>
        <v/>
      </c>
      <c r="N3015" s="5">
        <f>IFERROR(INDEX(DePara!$A:$A,MATCH(TEXT(B3015,"0"),DePara!$D:$D,0)),"(sem categoria)")</f>
        <v/>
      </c>
      <c r="O3015" s="5">
        <f>IF(J3015="","",Parametros!$B$6-J3015)</f>
        <v/>
      </c>
      <c r="P3015" s="5">
        <f>IF(O3015="","",IF(O3015&gt;0,1,0))</f>
        <v/>
      </c>
    </row>
    <row r="3016">
      <c r="A3016" s="5" t="n">
        <v>2111000000</v>
      </c>
      <c r="B3016" s="5" t="inlineStr">
        <is>
          <t>105984</t>
        </is>
      </c>
      <c r="C3016" s="5" t="inlineStr">
        <is>
          <t>TRADEWORKS SERVICOS DE COMERCIO EXT 04955748000107</t>
        </is>
      </c>
      <c r="D3016" s="5" t="inlineStr">
        <is>
          <t>RE</t>
        </is>
      </c>
      <c r="E3016" s="5" t="n">
        <v>5016090</v>
      </c>
      <c r="F3016" s="5" t="inlineStr">
        <is>
          <t>93515</t>
        </is>
      </c>
      <c r="G3016" s="5" t="inlineStr">
        <is>
          <t>BRL</t>
        </is>
      </c>
      <c r="H3016" s="9" t="n">
        <v>-1337.76</v>
      </c>
      <c r="I3016" s="16" t="n">
        <v>46239</v>
      </c>
      <c r="J3016" s="16" t="n">
        <v>46269</v>
      </c>
      <c r="K3016" s="5" t="inlineStr">
        <is>
          <t>Fatura - bruto TRADEWORKS SERVICOS DE COMERCIO EXT</t>
        </is>
      </c>
      <c r="L3016" s="5" t="inlineStr">
        <is>
          <t>02092026</t>
        </is>
      </c>
      <c r="M3016" s="5">
        <f>IF(YEAR(I3016)&lt;=2020,"Até 2020",TEXT(YEAR(I3016),"0"))</f>
        <v/>
      </c>
      <c r="N3016" s="5">
        <f>IFERROR(INDEX(DePara!$A:$A,MATCH(TEXT(B3016,"0"),DePara!$D:$D,0)),"(sem categoria)")</f>
        <v/>
      </c>
      <c r="O3016" s="5">
        <f>IF(J3016="","",Parametros!$B$6-J3016)</f>
        <v/>
      </c>
      <c r="P3016" s="5">
        <f>IF(O3016="","",IF(O3016&gt;0,1,0))</f>
        <v/>
      </c>
    </row>
    <row r="3017">
      <c r="A3017" s="5" t="n">
        <v>2111000000</v>
      </c>
      <c r="B3017" s="5" t="inlineStr">
        <is>
          <t>105984</t>
        </is>
      </c>
      <c r="C3017" s="5" t="inlineStr">
        <is>
          <t>TRADEWORKS SERVICOS DE COMERCIO EXT 04955748000107</t>
        </is>
      </c>
      <c r="D3017" s="5" t="inlineStr">
        <is>
          <t>RE</t>
        </is>
      </c>
      <c r="E3017" s="5" t="n">
        <v>5016091</v>
      </c>
      <c r="F3017" s="5" t="inlineStr">
        <is>
          <t>93762</t>
        </is>
      </c>
      <c r="G3017" s="5" t="inlineStr">
        <is>
          <t>BRL</t>
        </is>
      </c>
      <c r="H3017" s="9" t="n">
        <v>-1196.41</v>
      </c>
      <c r="I3017" s="16" t="n">
        <v>46254</v>
      </c>
      <c r="J3017" s="16" t="n">
        <v>46284</v>
      </c>
      <c r="K3017" s="5" t="inlineStr">
        <is>
          <t>Fatura - bruto TRADEWORKS SERVICOS DE COMERCIO EXT</t>
        </is>
      </c>
      <c r="L3017" s="5" t="inlineStr">
        <is>
          <t>16092026</t>
        </is>
      </c>
      <c r="M3017" s="5">
        <f>IF(YEAR(I3017)&lt;=2020,"Até 2020",TEXT(YEAR(I3017),"0"))</f>
        <v/>
      </c>
      <c r="N3017" s="5">
        <f>IFERROR(INDEX(DePara!$A:$A,MATCH(TEXT(B3017,"0"),DePara!$D:$D,0)),"(sem categoria)")</f>
        <v/>
      </c>
      <c r="O3017" s="5">
        <f>IF(J3017="","",Parametros!$B$6-J3017)</f>
        <v/>
      </c>
      <c r="P3017" s="5">
        <f>IF(O3017="","",IF(O3017&gt;0,1,0))</f>
        <v/>
      </c>
    </row>
    <row r="3018">
      <c r="A3018" s="5" t="n">
        <v>2111000000</v>
      </c>
      <c r="B3018" s="5" t="inlineStr">
        <is>
          <t>101253</t>
        </is>
      </c>
      <c r="C3018" s="5" t="inlineStr">
        <is>
          <t>ALTUS SISTEMAS DE AUTOMACAO SA</t>
        </is>
      </c>
      <c r="D3018" s="5" t="inlineStr">
        <is>
          <t>RE</t>
        </is>
      </c>
      <c r="E3018" s="5" t="n">
        <v>5016092</v>
      </c>
      <c r="F3018" s="5" t="inlineStr">
        <is>
          <t>000075877-1</t>
        </is>
      </c>
      <c r="G3018" s="5" t="inlineStr">
        <is>
          <t>BRL</t>
        </is>
      </c>
      <c r="H3018" s="9" t="n">
        <v>-15989.86</v>
      </c>
      <c r="I3018" s="16" t="n">
        <v>46217</v>
      </c>
      <c r="J3018" s="16" t="n">
        <v>46239</v>
      </c>
      <c r="K3018" s="5" t="inlineStr">
        <is>
          <t>Fatura - bruto ALTUS SISTEMAS DE AUTOMACAO SA 0000</t>
        </is>
      </c>
      <c r="L3018" s="5" t="inlineStr">
        <is>
          <t>02092026</t>
        </is>
      </c>
      <c r="M3018" s="5">
        <f>IF(YEAR(I3018)&lt;=2020,"Até 2020",TEXT(YEAR(I3018),"0"))</f>
        <v/>
      </c>
      <c r="N3018" s="5">
        <f>IFERROR(INDEX(DePara!$A:$A,MATCH(TEXT(B3018,"0"),DePara!$D:$D,0)),"(sem categoria)")</f>
        <v/>
      </c>
      <c r="O3018" s="5">
        <f>IF(J3018="","",Parametros!$B$6-J3018)</f>
        <v/>
      </c>
      <c r="P3018" s="5">
        <f>IF(O3018="","",IF(O3018&gt;0,1,0))</f>
        <v/>
      </c>
    </row>
    <row r="3019">
      <c r="A3019" s="5" t="n">
        <v>2111000000</v>
      </c>
      <c r="B3019" s="5" t="inlineStr">
        <is>
          <t>100621</t>
        </is>
      </c>
      <c r="C3019" s="5" t="inlineStr">
        <is>
          <t>CALTER ENGENHARIA LTDA</t>
        </is>
      </c>
      <c r="D3019" s="5" t="inlineStr">
        <is>
          <t>RE</t>
        </is>
      </c>
      <c r="E3019" s="5" t="n">
        <v>5016093</v>
      </c>
      <c r="F3019" s="5" t="inlineStr">
        <is>
          <t>51</t>
        </is>
      </c>
      <c r="G3019" s="5" t="inlineStr">
        <is>
          <t>BRL</t>
        </is>
      </c>
      <c r="H3019" s="9" t="n">
        <v>-166147.34</v>
      </c>
      <c r="I3019" s="16" t="n">
        <v>46255</v>
      </c>
      <c r="J3019" s="16" t="n">
        <v>46331</v>
      </c>
      <c r="K3019" s="5" t="inlineStr">
        <is>
          <t>Fatura - bruto CALTER ENGENHARIA LTDA 51</t>
        </is>
      </c>
      <c r="L3019" s="5" t="inlineStr">
        <is>
          <t>05112026</t>
        </is>
      </c>
      <c r="M3019" s="5">
        <f>IF(YEAR(I3019)&lt;=2020,"Até 2020",TEXT(YEAR(I3019),"0"))</f>
        <v/>
      </c>
      <c r="N3019" s="5">
        <f>IFERROR(INDEX(DePara!$A:$A,MATCH(TEXT(B3019,"0"),DePara!$D:$D,0)),"(sem categoria)")</f>
        <v/>
      </c>
      <c r="O3019" s="5">
        <f>IF(J3019="","",Parametros!$B$6-J3019)</f>
        <v/>
      </c>
      <c r="P3019" s="5">
        <f>IF(O3019="","",IF(O3019&gt;0,1,0))</f>
        <v/>
      </c>
    </row>
    <row r="3020">
      <c r="A3020" s="5" t="n">
        <v>2111000000</v>
      </c>
      <c r="B3020" s="5" t="inlineStr">
        <is>
          <t>105635</t>
        </is>
      </c>
      <c r="C3020" s="5" t="inlineStr">
        <is>
          <t>DOIS A ENGENHARIA E TECNOLOGIA LTDA 03092799000181</t>
        </is>
      </c>
      <c r="D3020" s="5" t="inlineStr">
        <is>
          <t>RE</t>
        </is>
      </c>
      <c r="E3020" s="5" t="n">
        <v>5016094</v>
      </c>
      <c r="F3020" s="5" t="inlineStr">
        <is>
          <t>259</t>
        </is>
      </c>
      <c r="G3020" s="5" t="inlineStr">
        <is>
          <t>BRL</t>
        </is>
      </c>
      <c r="H3020" s="9" t="n">
        <v>-682604.89</v>
      </c>
      <c r="I3020" s="16" t="n">
        <v>46239</v>
      </c>
      <c r="J3020" s="16" t="n">
        <v>46300</v>
      </c>
      <c r="K3020" s="5" t="inlineStr">
        <is>
          <t>Fatura - bruto DOIS A ENGENHARIA E TECNOLOGIA LTDA</t>
        </is>
      </c>
      <c r="L3020" s="5" t="inlineStr">
        <is>
          <t>05102026</t>
        </is>
      </c>
      <c r="M3020" s="5">
        <f>IF(YEAR(I3020)&lt;=2020,"Até 2020",TEXT(YEAR(I3020),"0"))</f>
        <v/>
      </c>
      <c r="N3020" s="5">
        <f>IFERROR(INDEX(DePara!$A:$A,MATCH(TEXT(B3020,"0"),DePara!$D:$D,0)),"(sem categoria)")</f>
        <v/>
      </c>
      <c r="O3020" s="5">
        <f>IF(J3020="","",Parametros!$B$6-J3020)</f>
        <v/>
      </c>
      <c r="P3020" s="5">
        <f>IF(O3020="","",IF(O3020&gt;0,1,0))</f>
        <v/>
      </c>
    </row>
    <row r="3021">
      <c r="A3021" s="5" t="n">
        <v>2111000000</v>
      </c>
      <c r="B3021" s="5" t="inlineStr">
        <is>
          <t>100906</t>
        </is>
      </c>
      <c r="C3021" s="5" t="inlineStr">
        <is>
          <t>R &amp; G TELECOM LTDA</t>
        </is>
      </c>
      <c r="D3021" s="5" t="inlineStr">
        <is>
          <t>RE</t>
        </is>
      </c>
      <c r="E3021" s="5" t="n">
        <v>5016095</v>
      </c>
      <c r="F3021" s="5" t="inlineStr">
        <is>
          <t>5247</t>
        </is>
      </c>
      <c r="G3021" s="5" t="inlineStr">
        <is>
          <t>BRL</t>
        </is>
      </c>
      <c r="H3021" s="9" t="n">
        <v>-1225</v>
      </c>
      <c r="I3021" s="16" t="n">
        <v>46196</v>
      </c>
      <c r="J3021" s="16" t="n">
        <v>46228</v>
      </c>
      <c r="K3021" s="5" t="inlineStr">
        <is>
          <t>Fatura - bruto R &amp; G TELECOM LTDA 5247</t>
        </is>
      </c>
      <c r="L3021" s="5" t="inlineStr">
        <is>
          <t>02092026</t>
        </is>
      </c>
      <c r="M3021" s="5">
        <f>IF(YEAR(I3021)&lt;=2020,"Até 2020",TEXT(YEAR(I3021),"0"))</f>
        <v/>
      </c>
      <c r="N3021" s="5">
        <f>IFERROR(INDEX(DePara!$A:$A,MATCH(TEXT(B3021,"0"),DePara!$D:$D,0)),"(sem categoria)")</f>
        <v/>
      </c>
      <c r="O3021" s="5">
        <f>IF(J3021="","",Parametros!$B$6-J3021)</f>
        <v/>
      </c>
      <c r="P3021" s="5">
        <f>IF(O3021="","",IF(O3021&gt;0,1,0))</f>
        <v/>
      </c>
    </row>
    <row r="3022">
      <c r="A3022" s="5" t="n">
        <v>2111000000</v>
      </c>
      <c r="B3022" s="5" t="inlineStr">
        <is>
          <t>101176</t>
        </is>
      </c>
      <c r="C3022" s="5" t="inlineStr">
        <is>
          <t>DEUBLIN BRASIL JUNTAS ROTATIVAS DE</t>
        </is>
      </c>
      <c r="D3022" s="5" t="inlineStr">
        <is>
          <t>RE</t>
        </is>
      </c>
      <c r="E3022" s="5" t="n">
        <v>5016096</v>
      </c>
      <c r="F3022" s="5" t="inlineStr">
        <is>
          <t>000045583-2</t>
        </is>
      </c>
      <c r="G3022" s="5" t="inlineStr">
        <is>
          <t>BRL</t>
        </is>
      </c>
      <c r="H3022" s="9" t="n">
        <v>-111947.9</v>
      </c>
      <c r="I3022" s="16" t="n">
        <v>46234</v>
      </c>
      <c r="J3022" s="16" t="n">
        <v>46300</v>
      </c>
      <c r="K3022" s="5" t="inlineStr">
        <is>
          <t>Fatura - bruto DEUBLIN BRASIL JUNTAS ROTATIVAS DE</t>
        </is>
      </c>
      <c r="L3022" s="5" t="inlineStr">
        <is>
          <t>05102026</t>
        </is>
      </c>
      <c r="M3022" s="5">
        <f>IF(YEAR(I3022)&lt;=2020,"Até 2020",TEXT(YEAR(I3022),"0"))</f>
        <v/>
      </c>
      <c r="N3022" s="5">
        <f>IFERROR(INDEX(DePara!$A:$A,MATCH(TEXT(B3022,"0"),DePara!$D:$D,0)),"(sem categoria)")</f>
        <v/>
      </c>
      <c r="O3022" s="5">
        <f>IF(J3022="","",Parametros!$B$6-J3022)</f>
        <v/>
      </c>
      <c r="P3022" s="5">
        <f>IF(O3022="","",IF(O3022&gt;0,1,0))</f>
        <v/>
      </c>
    </row>
    <row r="3023">
      <c r="A3023" s="5" t="n">
        <v>2111000000</v>
      </c>
      <c r="B3023" s="5" t="inlineStr">
        <is>
          <t>101048</t>
        </is>
      </c>
      <c r="C3023" s="5" t="inlineStr">
        <is>
          <t>M R DE MEDEIROS</t>
        </is>
      </c>
      <c r="D3023" s="5" t="inlineStr">
        <is>
          <t>RE</t>
        </is>
      </c>
      <c r="E3023" s="5" t="n">
        <v>5016097</v>
      </c>
      <c r="F3023" s="5" t="inlineStr">
        <is>
          <t>2627-1</t>
        </is>
      </c>
      <c r="G3023" s="5" t="inlineStr">
        <is>
          <t>BRL</t>
        </is>
      </c>
      <c r="H3023" s="9" t="n">
        <v>-1434</v>
      </c>
      <c r="I3023" s="16" t="n">
        <v>46245</v>
      </c>
      <c r="J3023" s="16" t="n">
        <v>46260</v>
      </c>
      <c r="K3023" s="5" t="inlineStr">
        <is>
          <t>Fatura - bruto M R DE MEDEIROS 2627-1</t>
        </is>
      </c>
      <c r="L3023" s="5" t="inlineStr">
        <is>
          <t>02092026</t>
        </is>
      </c>
      <c r="M3023" s="5">
        <f>IF(YEAR(I3023)&lt;=2020,"Até 2020",TEXT(YEAR(I3023),"0"))</f>
        <v/>
      </c>
      <c r="N3023" s="5">
        <f>IFERROR(INDEX(DePara!$A:$A,MATCH(TEXT(B3023,"0"),DePara!$D:$D,0)),"(sem categoria)")</f>
        <v/>
      </c>
      <c r="O3023" s="5">
        <f>IF(J3023="","",Parametros!$B$6-J3023)</f>
        <v/>
      </c>
      <c r="P3023" s="5">
        <f>IF(O3023="","",IF(O3023&gt;0,1,0))</f>
        <v/>
      </c>
    </row>
    <row r="3024">
      <c r="A3024" s="5" t="n">
        <v>2111000000</v>
      </c>
      <c r="B3024" s="5" t="inlineStr">
        <is>
          <t>100498</t>
        </is>
      </c>
      <c r="C3024" s="5" t="inlineStr">
        <is>
          <t>JESSYCA MARIA LIMA DE MOURA</t>
        </is>
      </c>
      <c r="D3024" s="5" t="inlineStr">
        <is>
          <t>RE</t>
        </is>
      </c>
      <c r="E3024" s="5" t="n">
        <v>5016098</v>
      </c>
      <c r="F3024" s="5" t="inlineStr">
        <is>
          <t>4114</t>
        </is>
      </c>
      <c r="G3024" s="5" t="inlineStr">
        <is>
          <t>BRL</t>
        </is>
      </c>
      <c r="H3024" s="9" t="n">
        <v>-20169.68</v>
      </c>
      <c r="I3024" s="16" t="n">
        <v>46262</v>
      </c>
      <c r="J3024" s="16" t="n">
        <v>46300</v>
      </c>
      <c r="K3024" s="5" t="inlineStr">
        <is>
          <t>Fatura - bruto JESSYCA MARIA LIMA DE MOURA 4114</t>
        </is>
      </c>
      <c r="L3024" s="5" t="inlineStr">
        <is>
          <t>05102026</t>
        </is>
      </c>
      <c r="M3024" s="5">
        <f>IF(YEAR(I3024)&lt;=2020,"Até 2020",TEXT(YEAR(I3024),"0"))</f>
        <v/>
      </c>
      <c r="N3024" s="5">
        <f>IFERROR(INDEX(DePara!$A:$A,MATCH(TEXT(B3024,"0"),DePara!$D:$D,0)),"(sem categoria)")</f>
        <v/>
      </c>
      <c r="O3024" s="5">
        <f>IF(J3024="","",Parametros!$B$6-J3024)</f>
        <v/>
      </c>
      <c r="P3024" s="5">
        <f>IF(O3024="","",IF(O3024&gt;0,1,0))</f>
        <v/>
      </c>
    </row>
    <row r="3025">
      <c r="A3025" s="5" t="n">
        <v>2111000000</v>
      </c>
      <c r="B3025" s="5" t="inlineStr">
        <is>
          <t>100369</t>
        </is>
      </c>
      <c r="C3025" s="5" t="inlineStr">
        <is>
          <t>NUCLEO DE MONITORAMENTO DE DESCARGA</t>
        </is>
      </c>
      <c r="D3025" s="5" t="inlineStr">
        <is>
          <t>RE</t>
        </is>
      </c>
      <c r="E3025" s="5" t="n">
        <v>5016100</v>
      </c>
      <c r="F3025" s="5" t="inlineStr">
        <is>
          <t>3284</t>
        </is>
      </c>
      <c r="G3025" s="5" t="inlineStr">
        <is>
          <t>BRL</t>
        </is>
      </c>
      <c r="H3025" s="9" t="n">
        <v>-35750</v>
      </c>
      <c r="I3025" s="16" t="n">
        <v>46241</v>
      </c>
      <c r="J3025" s="16" t="n">
        <v>46270</v>
      </c>
      <c r="K3025" s="5" t="inlineStr">
        <is>
          <t>Fatura - bruto NUCLEO DE MONITORAMENTO DE DESCARGA</t>
        </is>
      </c>
      <c r="L3025" s="5" t="inlineStr">
        <is>
          <t>08092026</t>
        </is>
      </c>
      <c r="M3025" s="5">
        <f>IF(YEAR(I3025)&lt;=2020,"Até 2020",TEXT(YEAR(I3025),"0"))</f>
        <v/>
      </c>
      <c r="N3025" s="5">
        <f>IFERROR(INDEX(DePara!$A:$A,MATCH(TEXT(B3025,"0"),DePara!$D:$D,0)),"(sem categoria)")</f>
        <v/>
      </c>
      <c r="O3025" s="5">
        <f>IF(J3025="","",Parametros!$B$6-J3025)</f>
        <v/>
      </c>
      <c r="P3025" s="5">
        <f>IF(O3025="","",IF(O3025&gt;0,1,0))</f>
        <v/>
      </c>
    </row>
    <row r="3026">
      <c r="A3026" s="5" t="n">
        <v>2111000000</v>
      </c>
      <c r="B3026" s="5" t="inlineStr">
        <is>
          <t>100961</t>
        </is>
      </c>
      <c r="C3026" s="5" t="inlineStr">
        <is>
          <t>VPS BRASIL SUPRIMENTOS INDUSTRIAIS</t>
        </is>
      </c>
      <c r="D3026" s="5" t="inlineStr">
        <is>
          <t>RE</t>
        </is>
      </c>
      <c r="E3026" s="5" t="n">
        <v>5016101</v>
      </c>
      <c r="F3026" s="5" t="inlineStr">
        <is>
          <t>54844-1</t>
        </is>
      </c>
      <c r="G3026" s="5" t="inlineStr">
        <is>
          <t>BRL</t>
        </is>
      </c>
      <c r="H3026" s="9" t="n">
        <v>-16959.9</v>
      </c>
      <c r="I3026" s="16" t="n">
        <v>46234</v>
      </c>
      <c r="J3026" s="16" t="n">
        <v>46272</v>
      </c>
      <c r="K3026" s="5" t="inlineStr">
        <is>
          <t>Fatura - bruto VPS BRASIL SUPRIMENTOS INDUSTRIAIS</t>
        </is>
      </c>
      <c r="L3026" s="5" t="inlineStr">
        <is>
          <t>09092026</t>
        </is>
      </c>
      <c r="M3026" s="5">
        <f>IF(YEAR(I3026)&lt;=2020,"Até 2020",TEXT(YEAR(I3026),"0"))</f>
        <v/>
      </c>
      <c r="N3026" s="5">
        <f>IFERROR(INDEX(DePara!$A:$A,MATCH(TEXT(B3026,"0"),DePara!$D:$D,0)),"(sem categoria)")</f>
        <v/>
      </c>
      <c r="O3026" s="5">
        <f>IF(J3026="","",Parametros!$B$6-J3026)</f>
        <v/>
      </c>
      <c r="P3026" s="5">
        <f>IF(O3026="","",IF(O3026&gt;0,1,0))</f>
        <v/>
      </c>
    </row>
    <row r="3027">
      <c r="A3027" s="5" t="n">
        <v>2111000000</v>
      </c>
      <c r="B3027" s="5" t="inlineStr">
        <is>
          <t>102067</t>
        </is>
      </c>
      <c r="C3027" s="5" t="inlineStr">
        <is>
          <t>SUPRICORP SUPRIMENTOS LTDA</t>
        </is>
      </c>
      <c r="D3027" s="5" t="inlineStr">
        <is>
          <t>RE</t>
        </is>
      </c>
      <c r="E3027" s="5" t="n">
        <v>5016102</v>
      </c>
      <c r="F3027" s="5" t="inlineStr">
        <is>
          <t>8413844</t>
        </is>
      </c>
      <c r="G3027" s="5" t="inlineStr">
        <is>
          <t>BRL</t>
        </is>
      </c>
      <c r="H3027" s="9" t="n">
        <v>-1597.8</v>
      </c>
      <c r="I3027" s="16" t="n">
        <v>46238</v>
      </c>
      <c r="J3027" s="16" t="n">
        <v>46270</v>
      </c>
      <c r="K3027" s="5" t="inlineStr">
        <is>
          <t>Fatura - bruto SUPRICORP SUPRIMENTOS LTDA 8413844</t>
        </is>
      </c>
      <c r="L3027" s="5" t="inlineStr">
        <is>
          <t>08092026</t>
        </is>
      </c>
      <c r="M3027" s="5">
        <f>IF(YEAR(I3027)&lt;=2020,"Até 2020",TEXT(YEAR(I3027),"0"))</f>
        <v/>
      </c>
      <c r="N3027" s="5">
        <f>IFERROR(INDEX(DePara!$A:$A,MATCH(TEXT(B3027,"0"),DePara!$D:$D,0)),"(sem categoria)")</f>
        <v/>
      </c>
      <c r="O3027" s="5">
        <f>IF(J3027="","",Parametros!$B$6-J3027)</f>
        <v/>
      </c>
      <c r="P3027" s="5">
        <f>IF(O3027="","",IF(O3027&gt;0,1,0))</f>
        <v/>
      </c>
    </row>
    <row r="3028">
      <c r="A3028" s="5" t="n">
        <v>2111000000</v>
      </c>
      <c r="B3028" s="5" t="inlineStr">
        <is>
          <t>102067</t>
        </is>
      </c>
      <c r="C3028" s="5" t="inlineStr">
        <is>
          <t>SUPRICORP SUPRIMENTOS LTDA</t>
        </is>
      </c>
      <c r="D3028" s="5" t="inlineStr">
        <is>
          <t>RE</t>
        </is>
      </c>
      <c r="E3028" s="5" t="n">
        <v>5016103</v>
      </c>
      <c r="F3028" s="5" t="inlineStr">
        <is>
          <t>8414915</t>
        </is>
      </c>
      <c r="G3028" s="5" t="inlineStr">
        <is>
          <t>BRL</t>
        </is>
      </c>
      <c r="H3028" s="9" t="n">
        <v>-126.05</v>
      </c>
      <c r="I3028" s="16" t="n">
        <v>46239</v>
      </c>
      <c r="J3028" s="16" t="n">
        <v>46270</v>
      </c>
      <c r="K3028" s="5" t="inlineStr">
        <is>
          <t>Fatura - bruto SUPRICORP SUPRIMENTOS LTDA 8414915</t>
        </is>
      </c>
      <c r="L3028" s="5" t="inlineStr">
        <is>
          <t>08092026</t>
        </is>
      </c>
      <c r="M3028" s="5">
        <f>IF(YEAR(I3028)&lt;=2020,"Até 2020",TEXT(YEAR(I3028),"0"))</f>
        <v/>
      </c>
      <c r="N3028" s="5">
        <f>IFERROR(INDEX(DePara!$A:$A,MATCH(TEXT(B3028,"0"),DePara!$D:$D,0)),"(sem categoria)")</f>
        <v/>
      </c>
      <c r="O3028" s="5">
        <f>IF(J3028="","",Parametros!$B$6-J3028)</f>
        <v/>
      </c>
      <c r="P3028" s="5">
        <f>IF(O3028="","",IF(O3028&gt;0,1,0))</f>
        <v/>
      </c>
    </row>
    <row r="3029">
      <c r="A3029" s="5" t="n">
        <v>2111000000</v>
      </c>
      <c r="B3029" s="5" t="inlineStr">
        <is>
          <t>103927</t>
        </is>
      </c>
      <c r="C3029" s="5" t="inlineStr">
        <is>
          <t>MOVIDA PARTICIPACOES</t>
        </is>
      </c>
      <c r="D3029" s="5" t="inlineStr">
        <is>
          <t>RE</t>
        </is>
      </c>
      <c r="E3029" s="5" t="n">
        <v>5016104</v>
      </c>
      <c r="F3029" s="5" t="inlineStr">
        <is>
          <t>801070</t>
        </is>
      </c>
      <c r="G3029" s="5" t="inlineStr">
        <is>
          <t>BRL</t>
        </is>
      </c>
      <c r="H3029" s="9" t="n">
        <v>-2599</v>
      </c>
      <c r="I3029" s="16" t="n">
        <v>46245</v>
      </c>
      <c r="J3029" s="16" t="n">
        <v>46260</v>
      </c>
      <c r="K3029" s="5" t="inlineStr">
        <is>
          <t>Fatura - bruto MOVIDA PARTICIPACOES 801070</t>
        </is>
      </c>
      <c r="L3029" s="5" t="inlineStr">
        <is>
          <t>02092026</t>
        </is>
      </c>
      <c r="M3029" s="5">
        <f>IF(YEAR(I3029)&lt;=2020,"Até 2020",TEXT(YEAR(I3029),"0"))</f>
        <v/>
      </c>
      <c r="N3029" s="5">
        <f>IFERROR(INDEX(DePara!$A:$A,MATCH(TEXT(B3029,"0"),DePara!$D:$D,0)),"(sem categoria)")</f>
        <v/>
      </c>
      <c r="O3029" s="5">
        <f>IF(J3029="","",Parametros!$B$6-J3029)</f>
        <v/>
      </c>
      <c r="P3029" s="5">
        <f>IF(O3029="","",IF(O3029&gt;0,1,0))</f>
        <v/>
      </c>
    </row>
    <row r="3030">
      <c r="A3030" s="5" t="n">
        <v>2111000000</v>
      </c>
      <c r="B3030" s="5" t="inlineStr">
        <is>
          <t>101156</t>
        </is>
      </c>
      <c r="C3030" s="5" t="inlineStr">
        <is>
          <t>TEKHELIUS PRESTAÇÃO DE SERVIÇOS LTD 37245993000171</t>
        </is>
      </c>
      <c r="D3030" s="5" t="inlineStr">
        <is>
          <t>RE</t>
        </is>
      </c>
      <c r="E3030" s="5" t="n">
        <v>5016105</v>
      </c>
      <c r="F3030" s="5" t="inlineStr">
        <is>
          <t>11</t>
        </is>
      </c>
      <c r="G3030" s="5" t="inlineStr">
        <is>
          <t>BRL</t>
        </is>
      </c>
      <c r="H3030" s="9" t="n">
        <v>-63519.3</v>
      </c>
      <c r="I3030" s="16" t="n">
        <v>46244</v>
      </c>
      <c r="J3030" s="16" t="n">
        <v>46331</v>
      </c>
      <c r="K3030" s="5" t="inlineStr">
        <is>
          <t>Fatura - bruto TEKHELIUS PRESTAÇÃO DE SERVIÇOS LTD</t>
        </is>
      </c>
      <c r="L3030" s="5" t="inlineStr">
        <is>
          <t>05112026</t>
        </is>
      </c>
      <c r="M3030" s="5">
        <f>IF(YEAR(I3030)&lt;=2020,"Até 2020",TEXT(YEAR(I3030),"0"))</f>
        <v/>
      </c>
      <c r="N3030" s="5">
        <f>IFERROR(INDEX(DePara!$A:$A,MATCH(TEXT(B3030,"0"),DePara!$D:$D,0)),"(sem categoria)")</f>
        <v/>
      </c>
      <c r="O3030" s="5">
        <f>IF(J3030="","",Parametros!$B$6-J3030)</f>
        <v/>
      </c>
      <c r="P3030" s="5">
        <f>IF(O3030="","",IF(O3030&gt;0,1,0))</f>
        <v/>
      </c>
    </row>
    <row r="3031">
      <c r="A3031" s="5" t="n">
        <v>2111000000</v>
      </c>
      <c r="B3031" s="5" t="inlineStr">
        <is>
          <t>101156</t>
        </is>
      </c>
      <c r="C3031" s="5" t="inlineStr">
        <is>
          <t>TEKHELIUS PRESTAÇÃO DE SERVIÇOS LTD 37245993000171</t>
        </is>
      </c>
      <c r="D3031" s="5" t="inlineStr">
        <is>
          <t>RE</t>
        </is>
      </c>
      <c r="E3031" s="5" t="n">
        <v>5016106</v>
      </c>
      <c r="F3031" s="5" t="inlineStr">
        <is>
          <t>12</t>
        </is>
      </c>
      <c r="G3031" s="5" t="inlineStr">
        <is>
          <t>BRL</t>
        </is>
      </c>
      <c r="H3031" s="9" t="n">
        <v>-76062.74000000001</v>
      </c>
      <c r="I3031" s="16" t="n">
        <v>46244</v>
      </c>
      <c r="J3031" s="16" t="n">
        <v>46331</v>
      </c>
      <c r="K3031" s="5" t="inlineStr">
        <is>
          <t>Fatura - bruto TEKHELIUS PRESTAÇÃO DE SERVIÇOS LTD</t>
        </is>
      </c>
      <c r="L3031" s="5" t="inlineStr">
        <is>
          <t>05112026</t>
        </is>
      </c>
      <c r="M3031" s="5">
        <f>IF(YEAR(I3031)&lt;=2020,"Até 2020",TEXT(YEAR(I3031),"0"))</f>
        <v/>
      </c>
      <c r="N3031" s="5">
        <f>IFERROR(INDEX(DePara!$A:$A,MATCH(TEXT(B3031,"0"),DePara!$D:$D,0)),"(sem categoria)")</f>
        <v/>
      </c>
      <c r="O3031" s="5">
        <f>IF(J3031="","",Parametros!$B$6-J3031)</f>
        <v/>
      </c>
      <c r="P3031" s="5">
        <f>IF(O3031="","",IF(O3031&gt;0,1,0))</f>
        <v/>
      </c>
    </row>
    <row r="3032">
      <c r="A3032" s="5" t="n">
        <v>2111000000</v>
      </c>
      <c r="B3032" s="5" t="inlineStr">
        <is>
          <t>101156</t>
        </is>
      </c>
      <c r="C3032" s="5" t="inlineStr">
        <is>
          <t>TEKHELIUS PRESTAÇÃO DE SERVIÇOS LTD 37245993000171</t>
        </is>
      </c>
      <c r="D3032" s="5" t="inlineStr">
        <is>
          <t>RE</t>
        </is>
      </c>
      <c r="E3032" s="5" t="n">
        <v>5016107</v>
      </c>
      <c r="F3032" s="5" t="inlineStr">
        <is>
          <t>13</t>
        </is>
      </c>
      <c r="G3032" s="5" t="inlineStr">
        <is>
          <t>BRL</t>
        </is>
      </c>
      <c r="H3032" s="9" t="n">
        <v>-64535.72</v>
      </c>
      <c r="I3032" s="16" t="n">
        <v>46244</v>
      </c>
      <c r="J3032" s="16" t="n">
        <v>46331</v>
      </c>
      <c r="K3032" s="5" t="inlineStr">
        <is>
          <t>Fatura - bruto TEKHELIUS PRESTAÇÃO DE SERVIÇOS LTD</t>
        </is>
      </c>
      <c r="L3032" s="5" t="inlineStr">
        <is>
          <t>05112026</t>
        </is>
      </c>
      <c r="M3032" s="5">
        <f>IF(YEAR(I3032)&lt;=2020,"Até 2020",TEXT(YEAR(I3032),"0"))</f>
        <v/>
      </c>
      <c r="N3032" s="5">
        <f>IFERROR(INDEX(DePara!$A:$A,MATCH(TEXT(B3032,"0"),DePara!$D:$D,0)),"(sem categoria)")</f>
        <v/>
      </c>
      <c r="O3032" s="5">
        <f>IF(J3032="","",Parametros!$B$6-J3032)</f>
        <v/>
      </c>
      <c r="P3032" s="5">
        <f>IF(O3032="","",IF(O3032&gt;0,1,0))</f>
        <v/>
      </c>
    </row>
    <row r="3033">
      <c r="A3033" s="5" t="n">
        <v>2111000000</v>
      </c>
      <c r="B3033" s="5" t="inlineStr">
        <is>
          <t>102052</t>
        </is>
      </c>
      <c r="C3033" s="5" t="inlineStr">
        <is>
          <t>TOME EQUIPAMENTOS E TRANSPORTES LTD 44384832000124</t>
        </is>
      </c>
      <c r="D3033" s="5" t="inlineStr">
        <is>
          <t>RE</t>
        </is>
      </c>
      <c r="E3033" s="5" t="n">
        <v>5016109</v>
      </c>
      <c r="F3033" s="5" t="inlineStr">
        <is>
          <t>10290</t>
        </is>
      </c>
      <c r="G3033" s="5" t="inlineStr">
        <is>
          <t>BRL</t>
        </is>
      </c>
      <c r="H3033" s="9" t="n">
        <v>-85403.73</v>
      </c>
      <c r="I3033" s="16" t="n">
        <v>46259</v>
      </c>
      <c r="J3033" s="16" t="n">
        <v>46331</v>
      </c>
      <c r="K3033" s="5" t="inlineStr">
        <is>
          <t>Fatura - bruto TOME EQUIPAMENTOS E TRANSPORTES LTD</t>
        </is>
      </c>
      <c r="L3033" s="5" t="inlineStr">
        <is>
          <t>05112026</t>
        </is>
      </c>
      <c r="M3033" s="5">
        <f>IF(YEAR(I3033)&lt;=2020,"Até 2020",TEXT(YEAR(I3033),"0"))</f>
        <v/>
      </c>
      <c r="N3033" s="5">
        <f>IFERROR(INDEX(DePara!$A:$A,MATCH(TEXT(B3033,"0"),DePara!$D:$D,0)),"(sem categoria)")</f>
        <v/>
      </c>
      <c r="O3033" s="5">
        <f>IF(J3033="","",Parametros!$B$6-J3033)</f>
        <v/>
      </c>
      <c r="P3033" s="5">
        <f>IF(O3033="","",IF(O3033&gt;0,1,0))</f>
        <v/>
      </c>
    </row>
    <row r="3034">
      <c r="A3034" s="5" t="n">
        <v>2111000000</v>
      </c>
      <c r="B3034" s="5" t="inlineStr">
        <is>
          <t>101945</t>
        </is>
      </c>
      <c r="C3034" s="5" t="inlineStr">
        <is>
          <t>JOAO MARIA BARBOSA DE MOURA</t>
        </is>
      </c>
      <c r="D3034" s="5" t="inlineStr">
        <is>
          <t>RE</t>
        </is>
      </c>
      <c r="E3034" s="5" t="n">
        <v>5016110</v>
      </c>
      <c r="F3034" s="5" t="inlineStr">
        <is>
          <t>402</t>
        </is>
      </c>
      <c r="G3034" s="5" t="inlineStr">
        <is>
          <t>BRL</t>
        </is>
      </c>
      <c r="H3034" s="9" t="n">
        <v>-17248.1</v>
      </c>
      <c r="I3034" s="16" t="n">
        <v>46260</v>
      </c>
      <c r="J3034" s="16" t="n">
        <v>46300</v>
      </c>
      <c r="K3034" s="5" t="inlineStr">
        <is>
          <t>Fatura - bruto JOAO MARIA BARBOSA DE MOURA 402</t>
        </is>
      </c>
      <c r="L3034" s="5" t="inlineStr">
        <is>
          <t>05102026</t>
        </is>
      </c>
      <c r="M3034" s="5">
        <f>IF(YEAR(I3034)&lt;=2020,"Até 2020",TEXT(YEAR(I3034),"0"))</f>
        <v/>
      </c>
      <c r="N3034" s="5">
        <f>IFERROR(INDEX(DePara!$A:$A,MATCH(TEXT(B3034,"0"),DePara!$D:$D,0)),"(sem categoria)")</f>
        <v/>
      </c>
      <c r="O3034" s="5">
        <f>IF(J3034="","",Parametros!$B$6-J3034)</f>
        <v/>
      </c>
      <c r="P3034" s="5">
        <f>IF(O3034="","",IF(O3034&gt;0,1,0))</f>
        <v/>
      </c>
    </row>
    <row r="3035">
      <c r="A3035" s="5" t="n">
        <v>2111000000</v>
      </c>
      <c r="B3035" s="5" t="inlineStr">
        <is>
          <t>100542</t>
        </is>
      </c>
      <c r="C3035" s="5" t="inlineStr">
        <is>
          <t>EXTREME WIND SERVICOS DE MANUTENCAO</t>
        </is>
      </c>
      <c r="D3035" s="5" t="inlineStr">
        <is>
          <t>RE</t>
        </is>
      </c>
      <c r="E3035" s="5" t="n">
        <v>5016111</v>
      </c>
      <c r="F3035" s="5" t="inlineStr">
        <is>
          <t>516</t>
        </is>
      </c>
      <c r="G3035" s="5" t="inlineStr">
        <is>
          <t>BRL</t>
        </is>
      </c>
      <c r="H3035" s="9" t="n">
        <v>-108999.98</v>
      </c>
      <c r="I3035" s="16" t="n">
        <v>46175</v>
      </c>
      <c r="J3035" s="16" t="n">
        <v>46239</v>
      </c>
      <c r="K3035" s="5" t="inlineStr">
        <is>
          <t>Fatura - bruto EXTREME WIND SERVICOS DE MANUTENCAO</t>
        </is>
      </c>
      <c r="L3035" s="5" t="inlineStr">
        <is>
          <t>02092026</t>
        </is>
      </c>
      <c r="M3035" s="5">
        <f>IF(YEAR(I3035)&lt;=2020,"Até 2020",TEXT(YEAR(I3035),"0"))</f>
        <v/>
      </c>
      <c r="N3035" s="5">
        <f>IFERROR(INDEX(DePara!$A:$A,MATCH(TEXT(B3035,"0"),DePara!$D:$D,0)),"(sem categoria)")</f>
        <v/>
      </c>
      <c r="O3035" s="5">
        <f>IF(J3035="","",Parametros!$B$6-J3035)</f>
        <v/>
      </c>
      <c r="P3035" s="5">
        <f>IF(O3035="","",IF(O3035&gt;0,1,0))</f>
        <v/>
      </c>
    </row>
    <row r="3036">
      <c r="A3036" s="5" t="n">
        <v>2111000000</v>
      </c>
      <c r="B3036" s="5" t="inlineStr">
        <is>
          <t>100450</t>
        </is>
      </c>
      <c r="C3036" s="5" t="inlineStr">
        <is>
          <t>SAMLIFE MSC LTDA</t>
        </is>
      </c>
      <c r="D3036" s="5" t="inlineStr">
        <is>
          <t>RE</t>
        </is>
      </c>
      <c r="E3036" s="5" t="n">
        <v>5016112</v>
      </c>
      <c r="F3036" s="5" t="inlineStr">
        <is>
          <t>867</t>
        </is>
      </c>
      <c r="G3036" s="5" t="inlineStr">
        <is>
          <t>BRL</t>
        </is>
      </c>
      <c r="H3036" s="9" t="n">
        <v>-21982.78</v>
      </c>
      <c r="I3036" s="16" t="n">
        <v>46248</v>
      </c>
      <c r="J3036" s="16" t="n">
        <v>46270</v>
      </c>
      <c r="K3036" s="5" t="inlineStr">
        <is>
          <t>Fatura - bruto SAMLIFE MSC LTDA 867</t>
        </is>
      </c>
      <c r="L3036" s="5" t="inlineStr">
        <is>
          <t>08092026</t>
        </is>
      </c>
      <c r="M3036" s="5">
        <f>IF(YEAR(I3036)&lt;=2020,"Até 2020",TEXT(YEAR(I3036),"0"))</f>
        <v/>
      </c>
      <c r="N3036" s="5">
        <f>IFERROR(INDEX(DePara!$A:$A,MATCH(TEXT(B3036,"0"),DePara!$D:$D,0)),"(sem categoria)")</f>
        <v/>
      </c>
      <c r="O3036" s="5">
        <f>IF(J3036="","",Parametros!$B$6-J3036)</f>
        <v/>
      </c>
      <c r="P3036" s="5">
        <f>IF(O3036="","",IF(O3036&gt;0,1,0))</f>
        <v/>
      </c>
    </row>
    <row r="3037">
      <c r="A3037" s="5" t="n">
        <v>2111000000</v>
      </c>
      <c r="B3037" s="5" t="inlineStr">
        <is>
          <t>101048</t>
        </is>
      </c>
      <c r="C3037" s="5" t="inlineStr">
        <is>
          <t>M R DE MEDEIROS</t>
        </is>
      </c>
      <c r="D3037" s="5" t="inlineStr">
        <is>
          <t>RE</t>
        </is>
      </c>
      <c r="E3037" s="5" t="n">
        <v>5016114</v>
      </c>
      <c r="F3037" s="5" t="inlineStr">
        <is>
          <t>2651-1</t>
        </is>
      </c>
      <c r="G3037" s="5" t="inlineStr">
        <is>
          <t>BRL</t>
        </is>
      </c>
      <c r="H3037" s="9" t="n">
        <v>-464.3</v>
      </c>
      <c r="I3037" s="16" t="n">
        <v>46261</v>
      </c>
      <c r="J3037" s="16" t="n">
        <v>46276</v>
      </c>
      <c r="K3037" s="5" t="inlineStr">
        <is>
          <t>Fatura - bruto M R DE MEDEIROS 2651-1</t>
        </is>
      </c>
      <c r="L3037" s="5" t="inlineStr">
        <is>
          <t>09092026</t>
        </is>
      </c>
      <c r="M3037" s="5">
        <f>IF(YEAR(I3037)&lt;=2020,"Até 2020",TEXT(YEAR(I3037),"0"))</f>
        <v/>
      </c>
      <c r="N3037" s="5">
        <f>IFERROR(INDEX(DePara!$A:$A,MATCH(TEXT(B3037,"0"),DePara!$D:$D,0)),"(sem categoria)")</f>
        <v/>
      </c>
      <c r="O3037" s="5">
        <f>IF(J3037="","",Parametros!$B$6-J3037)</f>
        <v/>
      </c>
      <c r="P3037" s="5">
        <f>IF(O3037="","",IF(O3037&gt;0,1,0))</f>
        <v/>
      </c>
    </row>
    <row r="3038">
      <c r="A3038" s="5" t="n">
        <v>2111000000</v>
      </c>
      <c r="B3038" s="5" t="inlineStr">
        <is>
          <t>101048</t>
        </is>
      </c>
      <c r="C3038" s="5" t="inlineStr">
        <is>
          <t>M R DE MEDEIROS</t>
        </is>
      </c>
      <c r="D3038" s="5" t="inlineStr">
        <is>
          <t>RE</t>
        </is>
      </c>
      <c r="E3038" s="5" t="n">
        <v>5016115</v>
      </c>
      <c r="F3038" s="5" t="inlineStr">
        <is>
          <t>2650-1</t>
        </is>
      </c>
      <c r="G3038" s="5" t="inlineStr">
        <is>
          <t>BRL</t>
        </is>
      </c>
      <c r="H3038" s="9" t="n">
        <v>-389.5</v>
      </c>
      <c r="I3038" s="16" t="n">
        <v>46260</v>
      </c>
      <c r="J3038" s="16" t="n">
        <v>46275</v>
      </c>
      <c r="K3038" s="5" t="inlineStr">
        <is>
          <t>Fatura - bruto M R DE MEDEIROS 2650-1</t>
        </is>
      </c>
      <c r="L3038" s="5" t="inlineStr">
        <is>
          <t>09092026</t>
        </is>
      </c>
      <c r="M3038" s="5">
        <f>IF(YEAR(I3038)&lt;=2020,"Até 2020",TEXT(YEAR(I3038),"0"))</f>
        <v/>
      </c>
      <c r="N3038" s="5">
        <f>IFERROR(INDEX(DePara!$A:$A,MATCH(TEXT(B3038,"0"),DePara!$D:$D,0)),"(sem categoria)")</f>
        <v/>
      </c>
      <c r="O3038" s="5">
        <f>IF(J3038="","",Parametros!$B$6-J3038)</f>
        <v/>
      </c>
      <c r="P3038" s="5">
        <f>IF(O3038="","",IF(O3038&gt;0,1,0))</f>
        <v/>
      </c>
    </row>
    <row r="3039">
      <c r="A3039" s="5" t="n">
        <v>2111000000</v>
      </c>
      <c r="B3039" s="5" t="inlineStr">
        <is>
          <t>103966</t>
        </is>
      </c>
      <c r="C3039" s="5" t="inlineStr">
        <is>
          <t>HINE DO BRASIL IND E COM HIDR E PN 12482538000754</t>
        </is>
      </c>
      <c r="D3039" s="5" t="inlineStr">
        <is>
          <t>RE</t>
        </is>
      </c>
      <c r="E3039" s="5" t="n">
        <v>5016116</v>
      </c>
      <c r="F3039" s="5" t="inlineStr">
        <is>
          <t>000004407-1</t>
        </is>
      </c>
      <c r="G3039" s="5" t="inlineStr">
        <is>
          <t>BRL</t>
        </is>
      </c>
      <c r="H3039" s="9" t="n">
        <v>-3192.3</v>
      </c>
      <c r="I3039" s="16" t="n">
        <v>46245</v>
      </c>
      <c r="J3039" s="16" t="n">
        <v>46300</v>
      </c>
      <c r="K3039" s="5" t="inlineStr">
        <is>
          <t>Fatura - bruto HINE DO BRASIL IND E COM HIDR E PN</t>
        </is>
      </c>
      <c r="L3039" s="5" t="inlineStr">
        <is>
          <t>05102026</t>
        </is>
      </c>
      <c r="M3039" s="5">
        <f>IF(YEAR(I3039)&lt;=2020,"Até 2020",TEXT(YEAR(I3039),"0"))</f>
        <v/>
      </c>
      <c r="N3039" s="5">
        <f>IFERROR(INDEX(DePara!$A:$A,MATCH(TEXT(B3039,"0"),DePara!$D:$D,0)),"(sem categoria)")</f>
        <v/>
      </c>
      <c r="O3039" s="5">
        <f>IF(J3039="","",Parametros!$B$6-J3039)</f>
        <v/>
      </c>
      <c r="P3039" s="5">
        <f>IF(O3039="","",IF(O3039&gt;0,1,0))</f>
        <v/>
      </c>
    </row>
    <row r="3040">
      <c r="A3040" s="5" t="n">
        <v>2111000000</v>
      </c>
      <c r="B3040" s="5" t="inlineStr">
        <is>
          <t>103966</t>
        </is>
      </c>
      <c r="C3040" s="5" t="inlineStr">
        <is>
          <t>HINE DO BRASIL IND E COM HIDR E PN 12482538000754</t>
        </is>
      </c>
      <c r="D3040" s="5" t="inlineStr">
        <is>
          <t>RE</t>
        </is>
      </c>
      <c r="E3040" s="5" t="n">
        <v>5016117</v>
      </c>
      <c r="F3040" s="5" t="inlineStr">
        <is>
          <t>000004424-1</t>
        </is>
      </c>
      <c r="G3040" s="5" t="inlineStr">
        <is>
          <t>BRL</t>
        </is>
      </c>
      <c r="H3040" s="9" t="n">
        <v>-2387.89</v>
      </c>
      <c r="I3040" s="16" t="n">
        <v>46254</v>
      </c>
      <c r="J3040" s="16" t="n">
        <v>46300</v>
      </c>
      <c r="K3040" s="5" t="inlineStr">
        <is>
          <t>Fatura - bruto HINE DO BRASIL IND E COM HIDR E PN</t>
        </is>
      </c>
      <c r="L3040" s="5" t="inlineStr">
        <is>
          <t>05102026</t>
        </is>
      </c>
      <c r="M3040" s="5">
        <f>IF(YEAR(I3040)&lt;=2020,"Até 2020",TEXT(YEAR(I3040),"0"))</f>
        <v/>
      </c>
      <c r="N3040" s="5">
        <f>IFERROR(INDEX(DePara!$A:$A,MATCH(TEXT(B3040,"0"),DePara!$D:$D,0)),"(sem categoria)")</f>
        <v/>
      </c>
      <c r="O3040" s="5">
        <f>IF(J3040="","",Parametros!$B$6-J3040)</f>
        <v/>
      </c>
      <c r="P3040" s="5">
        <f>IF(O3040="","",IF(O3040&gt;0,1,0))</f>
        <v/>
      </c>
    </row>
    <row r="3041">
      <c r="A3041" s="5" t="n">
        <v>2111000000</v>
      </c>
      <c r="B3041" s="5" t="inlineStr">
        <is>
          <t>103966</t>
        </is>
      </c>
      <c r="C3041" s="5" t="inlineStr">
        <is>
          <t>HINE DO BRASIL IND E COM HIDR E PN 12482538000754</t>
        </is>
      </c>
      <c r="D3041" s="5" t="inlineStr">
        <is>
          <t>RE</t>
        </is>
      </c>
      <c r="E3041" s="5" t="n">
        <v>5016118</v>
      </c>
      <c r="F3041" s="5" t="inlineStr">
        <is>
          <t>000004399-1</t>
        </is>
      </c>
      <c r="G3041" s="5" t="inlineStr">
        <is>
          <t>BRL</t>
        </is>
      </c>
      <c r="H3041" s="9" t="n">
        <v>-64318.2</v>
      </c>
      <c r="I3041" s="16" t="n">
        <v>46245</v>
      </c>
      <c r="J3041" s="16" t="n">
        <v>46300</v>
      </c>
      <c r="K3041" s="5" t="inlineStr">
        <is>
          <t>Fatura - bruto HINE DO BRASIL IND E COM HIDR E PN</t>
        </is>
      </c>
      <c r="L3041" s="5" t="inlineStr">
        <is>
          <t>05102026</t>
        </is>
      </c>
      <c r="M3041" s="5">
        <f>IF(YEAR(I3041)&lt;=2020,"Até 2020",TEXT(YEAR(I3041),"0"))</f>
        <v/>
      </c>
      <c r="N3041" s="5">
        <f>IFERROR(INDEX(DePara!$A:$A,MATCH(TEXT(B3041,"0"),DePara!$D:$D,0)),"(sem categoria)")</f>
        <v/>
      </c>
      <c r="O3041" s="5">
        <f>IF(J3041="","",Parametros!$B$6-J3041)</f>
        <v/>
      </c>
      <c r="P3041" s="5">
        <f>IF(O3041="","",IF(O3041&gt;0,1,0))</f>
        <v/>
      </c>
    </row>
    <row r="3042">
      <c r="A3042" s="5" t="n">
        <v>2111000000</v>
      </c>
      <c r="B3042" s="5" t="inlineStr">
        <is>
          <t>100883</t>
        </is>
      </c>
      <c r="C3042" s="5" t="inlineStr">
        <is>
          <t>QUELMAR TRANSPORTES LTDA</t>
        </is>
      </c>
      <c r="D3042" s="5" t="inlineStr">
        <is>
          <t>RE</t>
        </is>
      </c>
      <c r="E3042" s="5" t="n">
        <v>5016119</v>
      </c>
      <c r="F3042" s="5" t="inlineStr">
        <is>
          <t>108519-1</t>
        </is>
      </c>
      <c r="G3042" s="5" t="inlineStr">
        <is>
          <t>BRL</t>
        </is>
      </c>
      <c r="H3042" s="9" t="n">
        <v>-1748.78</v>
      </c>
      <c r="I3042" s="16" t="n">
        <v>46255</v>
      </c>
      <c r="J3042" s="16" t="n">
        <v>46300</v>
      </c>
      <c r="K3042" s="5" t="inlineStr">
        <is>
          <t>Fatura - bruto QUELMAR TRANSPORTES LTDA 108519-1</t>
        </is>
      </c>
      <c r="L3042" s="5" t="inlineStr">
        <is>
          <t>05102026</t>
        </is>
      </c>
      <c r="M3042" s="5">
        <f>IF(YEAR(I3042)&lt;=2020,"Até 2020",TEXT(YEAR(I3042),"0"))</f>
        <v/>
      </c>
      <c r="N3042" s="5">
        <f>IFERROR(INDEX(DePara!$A:$A,MATCH(TEXT(B3042,"0"),DePara!$D:$D,0)),"(sem categoria)")</f>
        <v/>
      </c>
      <c r="O3042" s="5">
        <f>IF(J3042="","",Parametros!$B$6-J3042)</f>
        <v/>
      </c>
      <c r="P3042" s="5">
        <f>IF(O3042="","",IF(O3042&gt;0,1,0))</f>
        <v/>
      </c>
    </row>
    <row r="3043">
      <c r="A3043" s="5" t="n">
        <v>2111000000</v>
      </c>
      <c r="B3043" s="5" t="inlineStr">
        <is>
          <t>100883</t>
        </is>
      </c>
      <c r="C3043" s="5" t="inlineStr">
        <is>
          <t>QUELMAR TRANSPORTES LTDA</t>
        </is>
      </c>
      <c r="D3043" s="5" t="inlineStr">
        <is>
          <t>RE</t>
        </is>
      </c>
      <c r="E3043" s="5" t="n">
        <v>5016120</v>
      </c>
      <c r="F3043" s="5" t="inlineStr">
        <is>
          <t>108512-1</t>
        </is>
      </c>
      <c r="G3043" s="5" t="inlineStr">
        <is>
          <t>BRL</t>
        </is>
      </c>
      <c r="H3043" s="9" t="n">
        <v>-1748.78</v>
      </c>
      <c r="I3043" s="16" t="n">
        <v>46255</v>
      </c>
      <c r="J3043" s="16" t="n">
        <v>46300</v>
      </c>
      <c r="K3043" s="5" t="inlineStr">
        <is>
          <t>Fatura - bruto QUELMAR TRANSPORTES LTDA 108512-1</t>
        </is>
      </c>
      <c r="L3043" s="5" t="inlineStr">
        <is>
          <t>05102026</t>
        </is>
      </c>
      <c r="M3043" s="5">
        <f>IF(YEAR(I3043)&lt;=2020,"Até 2020",TEXT(YEAR(I3043),"0"))</f>
        <v/>
      </c>
      <c r="N3043" s="5">
        <f>IFERROR(INDEX(DePara!$A:$A,MATCH(TEXT(B3043,"0"),DePara!$D:$D,0)),"(sem categoria)")</f>
        <v/>
      </c>
      <c r="O3043" s="5">
        <f>IF(J3043="","",Parametros!$B$6-J3043)</f>
        <v/>
      </c>
      <c r="P3043" s="5">
        <f>IF(O3043="","",IF(O3043&gt;0,1,0))</f>
        <v/>
      </c>
    </row>
    <row r="3044">
      <c r="A3044" s="5" t="n">
        <v>2111000000</v>
      </c>
      <c r="B3044" s="5" t="inlineStr">
        <is>
          <t>100883</t>
        </is>
      </c>
      <c r="C3044" s="5" t="inlineStr">
        <is>
          <t>QUELMAR TRANSPORTES LTDA</t>
        </is>
      </c>
      <c r="D3044" s="5" t="inlineStr">
        <is>
          <t>RE</t>
        </is>
      </c>
      <c r="E3044" s="5" t="n">
        <v>5016121</v>
      </c>
      <c r="F3044" s="5" t="inlineStr">
        <is>
          <t>108524-1</t>
        </is>
      </c>
      <c r="G3044" s="5" t="inlineStr">
        <is>
          <t>BRL</t>
        </is>
      </c>
      <c r="H3044" s="9" t="n">
        <v>-1748.78</v>
      </c>
      <c r="I3044" s="16" t="n">
        <v>46255</v>
      </c>
      <c r="J3044" s="16" t="n">
        <v>46300</v>
      </c>
      <c r="K3044" s="5" t="inlineStr">
        <is>
          <t>Fatura - bruto QUELMAR TRANSPORTES LTDA 108524-1</t>
        </is>
      </c>
      <c r="L3044" s="5" t="inlineStr">
        <is>
          <t>05102026</t>
        </is>
      </c>
      <c r="M3044" s="5">
        <f>IF(YEAR(I3044)&lt;=2020,"Até 2020",TEXT(YEAR(I3044),"0"))</f>
        <v/>
      </c>
      <c r="N3044" s="5">
        <f>IFERROR(INDEX(DePara!$A:$A,MATCH(TEXT(B3044,"0"),DePara!$D:$D,0)),"(sem categoria)")</f>
        <v/>
      </c>
      <c r="O3044" s="5">
        <f>IF(J3044="","",Parametros!$B$6-J3044)</f>
        <v/>
      </c>
      <c r="P3044" s="5">
        <f>IF(O3044="","",IF(O3044&gt;0,1,0))</f>
        <v/>
      </c>
    </row>
    <row r="3045">
      <c r="A3045" s="5" t="n">
        <v>2111000000</v>
      </c>
      <c r="B3045" s="5" t="inlineStr">
        <is>
          <t>100883</t>
        </is>
      </c>
      <c r="C3045" s="5" t="inlineStr">
        <is>
          <t>QUELMAR TRANSPORTES LTDA</t>
        </is>
      </c>
      <c r="D3045" s="5" t="inlineStr">
        <is>
          <t>RE</t>
        </is>
      </c>
      <c r="E3045" s="5" t="n">
        <v>5016122</v>
      </c>
      <c r="F3045" s="5" t="inlineStr">
        <is>
          <t>108517-1</t>
        </is>
      </c>
      <c r="G3045" s="5" t="inlineStr">
        <is>
          <t>BRL</t>
        </is>
      </c>
      <c r="H3045" s="9" t="n">
        <v>-1748.78</v>
      </c>
      <c r="I3045" s="16" t="n">
        <v>46255</v>
      </c>
      <c r="J3045" s="16" t="n">
        <v>46300</v>
      </c>
      <c r="K3045" s="5" t="inlineStr">
        <is>
          <t>Fatura - bruto QUELMAR TRANSPORTES LTDA 108517-1</t>
        </is>
      </c>
      <c r="L3045" s="5" t="inlineStr">
        <is>
          <t>05102026</t>
        </is>
      </c>
      <c r="M3045" s="5">
        <f>IF(YEAR(I3045)&lt;=2020,"Até 2020",TEXT(YEAR(I3045),"0"))</f>
        <v/>
      </c>
      <c r="N3045" s="5">
        <f>IFERROR(INDEX(DePara!$A:$A,MATCH(TEXT(B3045,"0"),DePara!$D:$D,0)),"(sem categoria)")</f>
        <v/>
      </c>
      <c r="O3045" s="5">
        <f>IF(J3045="","",Parametros!$B$6-J3045)</f>
        <v/>
      </c>
      <c r="P3045" s="5">
        <f>IF(O3045="","",IF(O3045&gt;0,1,0))</f>
        <v/>
      </c>
    </row>
    <row r="3046">
      <c r="A3046" s="5" t="n">
        <v>2111000000</v>
      </c>
      <c r="B3046" s="5" t="inlineStr">
        <is>
          <t>101944</t>
        </is>
      </c>
      <c r="C3046" s="5" t="inlineStr">
        <is>
          <t>TEXAS CONTROLS DO BRASIL LTDA</t>
        </is>
      </c>
      <c r="D3046" s="5" t="inlineStr">
        <is>
          <t>RE</t>
        </is>
      </c>
      <c r="E3046" s="5" t="n">
        <v>5016123</v>
      </c>
      <c r="F3046" s="5" t="inlineStr">
        <is>
          <t>1275</t>
        </is>
      </c>
      <c r="G3046" s="5" t="inlineStr">
        <is>
          <t>BRL</t>
        </is>
      </c>
      <c r="H3046" s="9" t="n">
        <v>-192</v>
      </c>
      <c r="I3046" s="16" t="n">
        <v>46255</v>
      </c>
      <c r="J3046" s="16" t="n">
        <v>46286</v>
      </c>
      <c r="K3046" s="5" t="inlineStr">
        <is>
          <t>Fatura - bruto TEXAS CONTROLS DO BRASIL LTDA 1275</t>
        </is>
      </c>
      <c r="L3046" s="5" t="inlineStr">
        <is>
          <t>16092026</t>
        </is>
      </c>
      <c r="M3046" s="5">
        <f>IF(YEAR(I3046)&lt;=2020,"Até 2020",TEXT(YEAR(I3046),"0"))</f>
        <v/>
      </c>
      <c r="N3046" s="5">
        <f>IFERROR(INDEX(DePara!$A:$A,MATCH(TEXT(B3046,"0"),DePara!$D:$D,0)),"(sem categoria)")</f>
        <v/>
      </c>
      <c r="O3046" s="5">
        <f>IF(J3046="","",Parametros!$B$6-J3046)</f>
        <v/>
      </c>
      <c r="P3046" s="5">
        <f>IF(O3046="","",IF(O3046&gt;0,1,0))</f>
        <v/>
      </c>
    </row>
    <row r="3047">
      <c r="A3047" s="5" t="n">
        <v>2111000000</v>
      </c>
      <c r="B3047" s="5" t="inlineStr">
        <is>
          <t>100883</t>
        </is>
      </c>
      <c r="C3047" s="5" t="inlineStr">
        <is>
          <t>QUELMAR TRANSPORTES LTDA</t>
        </is>
      </c>
      <c r="D3047" s="5" t="inlineStr">
        <is>
          <t>RE</t>
        </is>
      </c>
      <c r="E3047" s="5" t="n">
        <v>5016124</v>
      </c>
      <c r="F3047" s="5" t="inlineStr">
        <is>
          <t>108553-1</t>
        </is>
      </c>
      <c r="G3047" s="5" t="inlineStr">
        <is>
          <t>BRL</t>
        </is>
      </c>
      <c r="H3047" s="9" t="n">
        <v>-3340</v>
      </c>
      <c r="I3047" s="16" t="n">
        <v>46255</v>
      </c>
      <c r="J3047" s="16" t="n">
        <v>46300</v>
      </c>
      <c r="K3047" s="5" t="inlineStr">
        <is>
          <t>Fatura - bruto QUELMAR TRANSPORTES LTDA 108553-1</t>
        </is>
      </c>
      <c r="L3047" s="5" t="inlineStr">
        <is>
          <t>05102026</t>
        </is>
      </c>
      <c r="M3047" s="5">
        <f>IF(YEAR(I3047)&lt;=2020,"Até 2020",TEXT(YEAR(I3047),"0"))</f>
        <v/>
      </c>
      <c r="N3047" s="5">
        <f>IFERROR(INDEX(DePara!$A:$A,MATCH(TEXT(B3047,"0"),DePara!$D:$D,0)),"(sem categoria)")</f>
        <v/>
      </c>
      <c r="O3047" s="5">
        <f>IF(J3047="","",Parametros!$B$6-J3047)</f>
        <v/>
      </c>
      <c r="P3047" s="5">
        <f>IF(O3047="","",IF(O3047&gt;0,1,0))</f>
        <v/>
      </c>
    </row>
    <row r="3048">
      <c r="A3048" s="5" t="n">
        <v>2111000000</v>
      </c>
      <c r="B3048" s="5" t="inlineStr">
        <is>
          <t>100883</t>
        </is>
      </c>
      <c r="C3048" s="5" t="inlineStr">
        <is>
          <t>QUELMAR TRANSPORTES LTDA</t>
        </is>
      </c>
      <c r="D3048" s="5" t="inlineStr">
        <is>
          <t>RE</t>
        </is>
      </c>
      <c r="E3048" s="5" t="n">
        <v>5016125</v>
      </c>
      <c r="F3048" s="5" t="inlineStr">
        <is>
          <t>108554-1</t>
        </is>
      </c>
      <c r="G3048" s="5" t="inlineStr">
        <is>
          <t>BRL</t>
        </is>
      </c>
      <c r="H3048" s="9" t="n">
        <v>-4770</v>
      </c>
      <c r="I3048" s="16" t="n">
        <v>46255</v>
      </c>
      <c r="J3048" s="16" t="n">
        <v>46300</v>
      </c>
      <c r="K3048" s="5" t="inlineStr">
        <is>
          <t>Fatura - bruto QUELMAR TRANSPORTES LTDA 108554-1</t>
        </is>
      </c>
      <c r="L3048" s="5" t="inlineStr">
        <is>
          <t>05102026</t>
        </is>
      </c>
      <c r="M3048" s="5">
        <f>IF(YEAR(I3048)&lt;=2020,"Até 2020",TEXT(YEAR(I3048),"0"))</f>
        <v/>
      </c>
      <c r="N3048" s="5">
        <f>IFERROR(INDEX(DePara!$A:$A,MATCH(TEXT(B3048,"0"),DePara!$D:$D,0)),"(sem categoria)")</f>
        <v/>
      </c>
      <c r="O3048" s="5">
        <f>IF(J3048="","",Parametros!$B$6-J3048)</f>
        <v/>
      </c>
      <c r="P3048" s="5">
        <f>IF(O3048="","",IF(O3048&gt;0,1,0))</f>
        <v/>
      </c>
    </row>
    <row r="3049">
      <c r="A3049" s="5" t="n">
        <v>2111000000</v>
      </c>
      <c r="B3049" s="5" t="inlineStr">
        <is>
          <t>100883</t>
        </is>
      </c>
      <c r="C3049" s="5" t="inlineStr">
        <is>
          <t>QUELMAR TRANSPORTES LTDA</t>
        </is>
      </c>
      <c r="D3049" s="5" t="inlineStr">
        <is>
          <t>RE</t>
        </is>
      </c>
      <c r="E3049" s="5" t="n">
        <v>5016126</v>
      </c>
      <c r="F3049" s="5" t="inlineStr">
        <is>
          <t>108555-1</t>
        </is>
      </c>
      <c r="G3049" s="5" t="inlineStr">
        <is>
          <t>BRL</t>
        </is>
      </c>
      <c r="H3049" s="9" t="n">
        <v>-4770</v>
      </c>
      <c r="I3049" s="16" t="n">
        <v>46255</v>
      </c>
      <c r="J3049" s="16" t="n">
        <v>46300</v>
      </c>
      <c r="K3049" s="5" t="inlineStr">
        <is>
          <t>Fatura - bruto QUELMAR TRANSPORTES LTDA 108555-1</t>
        </is>
      </c>
      <c r="L3049" s="5" t="inlineStr">
        <is>
          <t>05102026</t>
        </is>
      </c>
      <c r="M3049" s="5">
        <f>IF(YEAR(I3049)&lt;=2020,"Até 2020",TEXT(YEAR(I3049),"0"))</f>
        <v/>
      </c>
      <c r="N3049" s="5">
        <f>IFERROR(INDEX(DePara!$A:$A,MATCH(TEXT(B3049,"0"),DePara!$D:$D,0)),"(sem categoria)")</f>
        <v/>
      </c>
      <c r="O3049" s="5">
        <f>IF(J3049="","",Parametros!$B$6-J3049)</f>
        <v/>
      </c>
      <c r="P3049" s="5">
        <f>IF(O3049="","",IF(O3049&gt;0,1,0))</f>
        <v/>
      </c>
    </row>
    <row r="3050">
      <c r="A3050" s="5" t="n">
        <v>2111000000</v>
      </c>
      <c r="B3050" s="5" t="inlineStr">
        <is>
          <t>100883</t>
        </is>
      </c>
      <c r="C3050" s="5" t="inlineStr">
        <is>
          <t>QUELMAR TRANSPORTES LTDA</t>
        </is>
      </c>
      <c r="D3050" s="5" t="inlineStr">
        <is>
          <t>RE</t>
        </is>
      </c>
      <c r="E3050" s="5" t="n">
        <v>5016127</v>
      </c>
      <c r="F3050" s="5" t="inlineStr">
        <is>
          <t>108556-1</t>
        </is>
      </c>
      <c r="G3050" s="5" t="inlineStr">
        <is>
          <t>BRL</t>
        </is>
      </c>
      <c r="H3050" s="9" t="n">
        <v>-1360.98</v>
      </c>
      <c r="I3050" s="16" t="n">
        <v>46255</v>
      </c>
      <c r="J3050" s="16" t="n">
        <v>46300</v>
      </c>
      <c r="K3050" s="5" t="inlineStr">
        <is>
          <t>Fatura - bruto QUELMAR TRANSPORTES LTDA 108556-1</t>
        </is>
      </c>
      <c r="L3050" s="5" t="inlineStr">
        <is>
          <t>05102026</t>
        </is>
      </c>
      <c r="M3050" s="5">
        <f>IF(YEAR(I3050)&lt;=2020,"Até 2020",TEXT(YEAR(I3050),"0"))</f>
        <v/>
      </c>
      <c r="N3050" s="5">
        <f>IFERROR(INDEX(DePara!$A:$A,MATCH(TEXT(B3050,"0"),DePara!$D:$D,0)),"(sem categoria)")</f>
        <v/>
      </c>
      <c r="O3050" s="5">
        <f>IF(J3050="","",Parametros!$B$6-J3050)</f>
        <v/>
      </c>
      <c r="P3050" s="5">
        <f>IF(O3050="","",IF(O3050&gt;0,1,0))</f>
        <v/>
      </c>
    </row>
    <row r="3051">
      <c r="A3051" s="5" t="n">
        <v>2111000000</v>
      </c>
      <c r="B3051" s="5" t="inlineStr">
        <is>
          <t>100883</t>
        </is>
      </c>
      <c r="C3051" s="5" t="inlineStr">
        <is>
          <t>QUELMAR TRANSPORTES LTDA</t>
        </is>
      </c>
      <c r="D3051" s="5" t="inlineStr">
        <is>
          <t>RE</t>
        </is>
      </c>
      <c r="E3051" s="5" t="n">
        <v>5016128</v>
      </c>
      <c r="F3051" s="5" t="inlineStr">
        <is>
          <t>108557-1</t>
        </is>
      </c>
      <c r="G3051" s="5" t="inlineStr">
        <is>
          <t>BRL</t>
        </is>
      </c>
      <c r="H3051" s="9" t="n">
        <v>-918.5700000000001</v>
      </c>
      <c r="I3051" s="16" t="n">
        <v>46255</v>
      </c>
      <c r="J3051" s="16" t="n">
        <v>46300</v>
      </c>
      <c r="K3051" s="5" t="inlineStr">
        <is>
          <t>Fatura - bruto QUELMAR TRANSPORTES LTDA 108557-1</t>
        </is>
      </c>
      <c r="L3051" s="5" t="inlineStr">
        <is>
          <t>05102026</t>
        </is>
      </c>
      <c r="M3051" s="5">
        <f>IF(YEAR(I3051)&lt;=2020,"Até 2020",TEXT(YEAR(I3051),"0"))</f>
        <v/>
      </c>
      <c r="N3051" s="5">
        <f>IFERROR(INDEX(DePara!$A:$A,MATCH(TEXT(B3051,"0"),DePara!$D:$D,0)),"(sem categoria)")</f>
        <v/>
      </c>
      <c r="O3051" s="5">
        <f>IF(J3051="","",Parametros!$B$6-J3051)</f>
        <v/>
      </c>
      <c r="P3051" s="5">
        <f>IF(O3051="","",IF(O3051&gt;0,1,0))</f>
        <v/>
      </c>
    </row>
    <row r="3052">
      <c r="A3052" s="5" t="n">
        <v>2111000000</v>
      </c>
      <c r="B3052" s="5" t="inlineStr">
        <is>
          <t>100883</t>
        </is>
      </c>
      <c r="C3052" s="5" t="inlineStr">
        <is>
          <t>QUELMAR TRANSPORTES LTDA</t>
        </is>
      </c>
      <c r="D3052" s="5" t="inlineStr">
        <is>
          <t>RE</t>
        </is>
      </c>
      <c r="E3052" s="5" t="n">
        <v>5016129</v>
      </c>
      <c r="F3052" s="5" t="inlineStr">
        <is>
          <t>108558-1</t>
        </is>
      </c>
      <c r="G3052" s="5" t="inlineStr">
        <is>
          <t>BRL</t>
        </is>
      </c>
      <c r="H3052" s="9" t="n">
        <v>-700.45</v>
      </c>
      <c r="I3052" s="16" t="n">
        <v>46255</v>
      </c>
      <c r="J3052" s="16" t="n">
        <v>46300</v>
      </c>
      <c r="K3052" s="5" t="inlineStr">
        <is>
          <t>Fatura - bruto QUELMAR TRANSPORTES LTDA 108558-1</t>
        </is>
      </c>
      <c r="L3052" s="5" t="inlineStr">
        <is>
          <t>05102026</t>
        </is>
      </c>
      <c r="M3052" s="5">
        <f>IF(YEAR(I3052)&lt;=2020,"Até 2020",TEXT(YEAR(I3052),"0"))</f>
        <v/>
      </c>
      <c r="N3052" s="5">
        <f>IFERROR(INDEX(DePara!$A:$A,MATCH(TEXT(B3052,"0"),DePara!$D:$D,0)),"(sem categoria)")</f>
        <v/>
      </c>
      <c r="O3052" s="5">
        <f>IF(J3052="","",Parametros!$B$6-J3052)</f>
        <v/>
      </c>
      <c r="P3052" s="5">
        <f>IF(O3052="","",IF(O3052&gt;0,1,0))</f>
        <v/>
      </c>
    </row>
    <row r="3053">
      <c r="A3053" s="5" t="n">
        <v>2111000000</v>
      </c>
      <c r="B3053" s="5" t="inlineStr">
        <is>
          <t>103927</t>
        </is>
      </c>
      <c r="C3053" s="5" t="inlineStr">
        <is>
          <t>MOVIDA PARTICIPACOES</t>
        </is>
      </c>
      <c r="D3053" s="5" t="inlineStr">
        <is>
          <t>RE</t>
        </is>
      </c>
      <c r="E3053" s="5" t="n">
        <v>5016130</v>
      </c>
      <c r="F3053" s="5" t="inlineStr">
        <is>
          <t>173311</t>
        </is>
      </c>
      <c r="G3053" s="5" t="inlineStr">
        <is>
          <t>BRL</t>
        </is>
      </c>
      <c r="H3053" s="9" t="n">
        <v>-5457.9</v>
      </c>
      <c r="I3053" s="16" t="n">
        <v>46111</v>
      </c>
      <c r="J3053" s="16" t="n">
        <v>46147</v>
      </c>
      <c r="K3053" s="5" t="inlineStr">
        <is>
          <t>Fatura - bruto MOVIDA PARTICIPACOES 173311</t>
        </is>
      </c>
      <c r="L3053" s="5" t="inlineStr">
        <is>
          <t>02092026</t>
        </is>
      </c>
      <c r="M3053" s="5">
        <f>IF(YEAR(I3053)&lt;=2020,"Até 2020",TEXT(YEAR(I3053),"0"))</f>
        <v/>
      </c>
      <c r="N3053" s="5">
        <f>IFERROR(INDEX(DePara!$A:$A,MATCH(TEXT(B3053,"0"),DePara!$D:$D,0)),"(sem categoria)")</f>
        <v/>
      </c>
      <c r="O3053" s="5">
        <f>IF(J3053="","",Parametros!$B$6-J3053)</f>
        <v/>
      </c>
      <c r="P3053" s="5">
        <f>IF(O3053="","",IF(O3053&gt;0,1,0))</f>
        <v/>
      </c>
    </row>
    <row r="3054">
      <c r="A3054" s="5" t="n">
        <v>2111000000</v>
      </c>
      <c r="B3054" s="5" t="inlineStr">
        <is>
          <t>103927</t>
        </is>
      </c>
      <c r="C3054" s="5" t="inlineStr">
        <is>
          <t>MOVIDA PARTICIPACOES</t>
        </is>
      </c>
      <c r="D3054" s="5" t="inlineStr">
        <is>
          <t>RE</t>
        </is>
      </c>
      <c r="E3054" s="5" t="n">
        <v>5016131</v>
      </c>
      <c r="F3054" s="5" t="inlineStr">
        <is>
          <t>173312</t>
        </is>
      </c>
      <c r="G3054" s="5" t="inlineStr">
        <is>
          <t>BRL</t>
        </is>
      </c>
      <c r="H3054" s="9" t="n">
        <v>-1072.95</v>
      </c>
      <c r="I3054" s="16" t="n">
        <v>46111</v>
      </c>
      <c r="J3054" s="16" t="n">
        <v>46147</v>
      </c>
      <c r="K3054" s="5" t="inlineStr">
        <is>
          <t>Fatura - bruto MOVIDA PARTICIPACOES 173312</t>
        </is>
      </c>
      <c r="L3054" s="5" t="inlineStr">
        <is>
          <t>02092026</t>
        </is>
      </c>
      <c r="M3054" s="5">
        <f>IF(YEAR(I3054)&lt;=2020,"Até 2020",TEXT(YEAR(I3054),"0"))</f>
        <v/>
      </c>
      <c r="N3054" s="5">
        <f>IFERROR(INDEX(DePara!$A:$A,MATCH(TEXT(B3054,"0"),DePara!$D:$D,0)),"(sem categoria)")</f>
        <v/>
      </c>
      <c r="O3054" s="5">
        <f>IF(J3054="","",Parametros!$B$6-J3054)</f>
        <v/>
      </c>
      <c r="P3054" s="5">
        <f>IF(O3054="","",IF(O3054&gt;0,1,0))</f>
        <v/>
      </c>
    </row>
    <row r="3055">
      <c r="A3055" s="5" t="n">
        <v>2111000000</v>
      </c>
      <c r="B3055" s="5" t="inlineStr">
        <is>
          <t>103927</t>
        </is>
      </c>
      <c r="C3055" s="5" t="inlineStr">
        <is>
          <t>MOVIDA PARTICIPACOES</t>
        </is>
      </c>
      <c r="D3055" s="5" t="inlineStr">
        <is>
          <t>RE</t>
        </is>
      </c>
      <c r="E3055" s="5" t="n">
        <v>5016132</v>
      </c>
      <c r="F3055" s="5" t="inlineStr">
        <is>
          <t>173313</t>
        </is>
      </c>
      <c r="G3055" s="5" t="inlineStr">
        <is>
          <t>BRL</t>
        </is>
      </c>
      <c r="H3055" s="9" t="n">
        <v>-1937.18</v>
      </c>
      <c r="I3055" s="16" t="n">
        <v>46111</v>
      </c>
      <c r="J3055" s="16" t="n">
        <v>46147</v>
      </c>
      <c r="K3055" s="5" t="inlineStr">
        <is>
          <t>Fatura - bruto MOVIDA PARTICIPACOES 173313</t>
        </is>
      </c>
      <c r="L3055" s="5" t="inlineStr">
        <is>
          <t>02092026</t>
        </is>
      </c>
      <c r="M3055" s="5">
        <f>IF(YEAR(I3055)&lt;=2020,"Até 2020",TEXT(YEAR(I3055),"0"))</f>
        <v/>
      </c>
      <c r="N3055" s="5">
        <f>IFERROR(INDEX(DePara!$A:$A,MATCH(TEXT(B3055,"0"),DePara!$D:$D,0)),"(sem categoria)")</f>
        <v/>
      </c>
      <c r="O3055" s="5">
        <f>IF(J3055="","",Parametros!$B$6-J3055)</f>
        <v/>
      </c>
      <c r="P3055" s="5">
        <f>IF(O3055="","",IF(O3055&gt;0,1,0))</f>
        <v/>
      </c>
    </row>
    <row r="3056">
      <c r="A3056" s="5" t="n">
        <v>2111000000</v>
      </c>
      <c r="B3056" s="5" t="inlineStr">
        <is>
          <t>103927</t>
        </is>
      </c>
      <c r="C3056" s="5" t="inlineStr">
        <is>
          <t>MOVIDA PARTICIPACOES</t>
        </is>
      </c>
      <c r="D3056" s="5" t="inlineStr">
        <is>
          <t>RE</t>
        </is>
      </c>
      <c r="E3056" s="5" t="n">
        <v>5016134</v>
      </c>
      <c r="F3056" s="5" t="inlineStr">
        <is>
          <t>173315</t>
        </is>
      </c>
      <c r="G3056" s="5" t="inlineStr">
        <is>
          <t>BRL</t>
        </is>
      </c>
      <c r="H3056" s="9" t="n">
        <v>-3172.28</v>
      </c>
      <c r="I3056" s="16" t="n">
        <v>46111</v>
      </c>
      <c r="J3056" s="16" t="n">
        <v>46147</v>
      </c>
      <c r="K3056" s="5" t="inlineStr">
        <is>
          <t>Fatura - bruto MOVIDA PARTICIPACOES 173315</t>
        </is>
      </c>
      <c r="L3056" s="5" t="inlineStr">
        <is>
          <t>02092026</t>
        </is>
      </c>
      <c r="M3056" s="5">
        <f>IF(YEAR(I3056)&lt;=2020,"Até 2020",TEXT(YEAR(I3056),"0"))</f>
        <v/>
      </c>
      <c r="N3056" s="5">
        <f>IFERROR(INDEX(DePara!$A:$A,MATCH(TEXT(B3056,"0"),DePara!$D:$D,0)),"(sem categoria)")</f>
        <v/>
      </c>
      <c r="O3056" s="5">
        <f>IF(J3056="","",Parametros!$B$6-J3056)</f>
        <v/>
      </c>
      <c r="P3056" s="5">
        <f>IF(O3056="","",IF(O3056&gt;0,1,0))</f>
        <v/>
      </c>
    </row>
    <row r="3057">
      <c r="A3057" s="5" t="n">
        <v>2111000000</v>
      </c>
      <c r="B3057" s="5" t="inlineStr">
        <is>
          <t>103927</t>
        </is>
      </c>
      <c r="C3057" s="5" t="inlineStr">
        <is>
          <t>MOVIDA PARTICIPACOES</t>
        </is>
      </c>
      <c r="D3057" s="5" t="inlineStr">
        <is>
          <t>RE</t>
        </is>
      </c>
      <c r="E3057" s="5" t="n">
        <v>5016135</v>
      </c>
      <c r="F3057" s="5" t="inlineStr">
        <is>
          <t>250301</t>
        </is>
      </c>
      <c r="G3057" s="5" t="inlineStr">
        <is>
          <t>BRL</t>
        </is>
      </c>
      <c r="H3057" s="9" t="n">
        <v>-2659.95</v>
      </c>
      <c r="I3057" s="16" t="n">
        <v>46129</v>
      </c>
      <c r="J3057" s="16" t="n">
        <v>46178</v>
      </c>
      <c r="K3057" s="5" t="inlineStr">
        <is>
          <t>Fatura - bruto MOVIDA PARTICIPACOES 250301</t>
        </is>
      </c>
      <c r="L3057" s="5" t="inlineStr">
        <is>
          <t>02092026</t>
        </is>
      </c>
      <c r="M3057" s="5">
        <f>IF(YEAR(I3057)&lt;=2020,"Até 2020",TEXT(YEAR(I3057),"0"))</f>
        <v/>
      </c>
      <c r="N3057" s="5">
        <f>IFERROR(INDEX(DePara!$A:$A,MATCH(TEXT(B3057,"0"),DePara!$D:$D,0)),"(sem categoria)")</f>
        <v/>
      </c>
      <c r="O3057" s="5">
        <f>IF(J3057="","",Parametros!$B$6-J3057)</f>
        <v/>
      </c>
      <c r="P3057" s="5">
        <f>IF(O3057="","",IF(O3057&gt;0,1,0))</f>
        <v/>
      </c>
    </row>
    <row r="3058">
      <c r="A3058" s="5" t="n">
        <v>2111000000</v>
      </c>
      <c r="B3058" s="5" t="inlineStr">
        <is>
          <t>103927</t>
        </is>
      </c>
      <c r="C3058" s="5" t="inlineStr">
        <is>
          <t>MOVIDA PARTICIPACOES</t>
        </is>
      </c>
      <c r="D3058" s="5" t="inlineStr">
        <is>
          <t>RE</t>
        </is>
      </c>
      <c r="E3058" s="5" t="n">
        <v>5016136</v>
      </c>
      <c r="F3058" s="5" t="inlineStr">
        <is>
          <t>257685</t>
        </is>
      </c>
      <c r="G3058" s="5" t="inlineStr">
        <is>
          <t>BRL</t>
        </is>
      </c>
      <c r="H3058" s="9" t="n">
        <v>-1673.25</v>
      </c>
      <c r="I3058" s="16" t="n">
        <v>46131</v>
      </c>
      <c r="J3058" s="16" t="n">
        <v>46178</v>
      </c>
      <c r="K3058" s="5" t="inlineStr">
        <is>
          <t>Fatura - bruto MOVIDA PARTICIPACOES 257685</t>
        </is>
      </c>
      <c r="L3058" s="5" t="inlineStr">
        <is>
          <t>02092026</t>
        </is>
      </c>
      <c r="M3058" s="5">
        <f>IF(YEAR(I3058)&lt;=2020,"Até 2020",TEXT(YEAR(I3058),"0"))</f>
        <v/>
      </c>
      <c r="N3058" s="5">
        <f>IFERROR(INDEX(DePara!$A:$A,MATCH(TEXT(B3058,"0"),DePara!$D:$D,0)),"(sem categoria)")</f>
        <v/>
      </c>
      <c r="O3058" s="5">
        <f>IF(J3058="","",Parametros!$B$6-J3058)</f>
        <v/>
      </c>
      <c r="P3058" s="5">
        <f>IF(O3058="","",IF(O3058&gt;0,1,0))</f>
        <v/>
      </c>
    </row>
    <row r="3059">
      <c r="A3059" s="5" t="n">
        <v>2111000000</v>
      </c>
      <c r="B3059" s="5" t="inlineStr">
        <is>
          <t>103927</t>
        </is>
      </c>
      <c r="C3059" s="5" t="inlineStr">
        <is>
          <t>MOVIDA PARTICIPACOES</t>
        </is>
      </c>
      <c r="D3059" s="5" t="inlineStr">
        <is>
          <t>RE</t>
        </is>
      </c>
      <c r="E3059" s="5" t="n">
        <v>5016137</v>
      </c>
      <c r="F3059" s="5" t="inlineStr">
        <is>
          <t>259543</t>
        </is>
      </c>
      <c r="G3059" s="5" t="inlineStr">
        <is>
          <t>BRL</t>
        </is>
      </c>
      <c r="H3059" s="9" t="n">
        <v>-195.23</v>
      </c>
      <c r="I3059" s="16" t="n">
        <v>46132</v>
      </c>
      <c r="J3059" s="16" t="n">
        <v>46178</v>
      </c>
      <c r="K3059" s="5" t="inlineStr">
        <is>
          <t>Fatura - bruto MOVIDA PARTICIPACOES 259543</t>
        </is>
      </c>
      <c r="L3059" s="5" t="inlineStr">
        <is>
          <t>02092026</t>
        </is>
      </c>
      <c r="M3059" s="5">
        <f>IF(YEAR(I3059)&lt;=2020,"Até 2020",TEXT(YEAR(I3059),"0"))</f>
        <v/>
      </c>
      <c r="N3059" s="5">
        <f>IFERROR(INDEX(DePara!$A:$A,MATCH(TEXT(B3059,"0"),DePara!$D:$D,0)),"(sem categoria)")</f>
        <v/>
      </c>
      <c r="O3059" s="5">
        <f>IF(J3059="","",Parametros!$B$6-J3059)</f>
        <v/>
      </c>
      <c r="P3059" s="5">
        <f>IF(O3059="","",IF(O3059&gt;0,1,0))</f>
        <v/>
      </c>
    </row>
    <row r="3060">
      <c r="A3060" s="5" t="n">
        <v>2111000000</v>
      </c>
      <c r="B3060" s="5" t="inlineStr">
        <is>
          <t>103927</t>
        </is>
      </c>
      <c r="C3060" s="5" t="inlineStr">
        <is>
          <t>MOVIDA PARTICIPACOES</t>
        </is>
      </c>
      <c r="D3060" s="5" t="inlineStr">
        <is>
          <t>RE</t>
        </is>
      </c>
      <c r="E3060" s="5" t="n">
        <v>5016138</v>
      </c>
      <c r="F3060" s="5" t="inlineStr">
        <is>
          <t>282480</t>
        </is>
      </c>
      <c r="G3060" s="5" t="inlineStr">
        <is>
          <t>BRL</t>
        </is>
      </c>
      <c r="H3060" s="9" t="n">
        <v>-1756.05</v>
      </c>
      <c r="I3060" s="16" t="n">
        <v>46136</v>
      </c>
      <c r="J3060" s="16" t="n">
        <v>46178</v>
      </c>
      <c r="K3060" s="5" t="inlineStr">
        <is>
          <t>Fatura - bruto MOVIDA PARTICIPACOES 282480</t>
        </is>
      </c>
      <c r="L3060" s="5" t="inlineStr">
        <is>
          <t>02092026</t>
        </is>
      </c>
      <c r="M3060" s="5">
        <f>IF(YEAR(I3060)&lt;=2020,"Até 2020",TEXT(YEAR(I3060),"0"))</f>
        <v/>
      </c>
      <c r="N3060" s="5">
        <f>IFERROR(INDEX(DePara!$A:$A,MATCH(TEXT(B3060,"0"),DePara!$D:$D,0)),"(sem categoria)")</f>
        <v/>
      </c>
      <c r="O3060" s="5">
        <f>IF(J3060="","",Parametros!$B$6-J3060)</f>
        <v/>
      </c>
      <c r="P3060" s="5">
        <f>IF(O3060="","",IF(O3060&gt;0,1,0))</f>
        <v/>
      </c>
    </row>
    <row r="3061">
      <c r="A3061" s="5" t="n">
        <v>2111000000</v>
      </c>
      <c r="B3061" s="5" t="inlineStr">
        <is>
          <t>103927</t>
        </is>
      </c>
      <c r="C3061" s="5" t="inlineStr">
        <is>
          <t>MOVIDA PARTICIPACOES</t>
        </is>
      </c>
      <c r="D3061" s="5" t="inlineStr">
        <is>
          <t>RE</t>
        </is>
      </c>
      <c r="E3061" s="5" t="n">
        <v>5016139</v>
      </c>
      <c r="F3061" s="5" t="inlineStr">
        <is>
          <t>289940</t>
        </is>
      </c>
      <c r="G3061" s="5" t="inlineStr">
        <is>
          <t>BRL</t>
        </is>
      </c>
      <c r="H3061" s="9" t="n">
        <v>-293.46</v>
      </c>
      <c r="I3061" s="16" t="n">
        <v>46139</v>
      </c>
      <c r="J3061" s="16" t="n">
        <v>46178</v>
      </c>
      <c r="K3061" s="5" t="inlineStr">
        <is>
          <t>Fatura - bruto MOVIDA PARTICIPACOES 289940</t>
        </is>
      </c>
      <c r="L3061" s="5" t="inlineStr">
        <is>
          <t>02092026</t>
        </is>
      </c>
      <c r="M3061" s="5">
        <f>IF(YEAR(I3061)&lt;=2020,"Até 2020",TEXT(YEAR(I3061),"0"))</f>
        <v/>
      </c>
      <c r="N3061" s="5">
        <f>IFERROR(INDEX(DePara!$A:$A,MATCH(TEXT(B3061,"0"),DePara!$D:$D,0)),"(sem categoria)")</f>
        <v/>
      </c>
      <c r="O3061" s="5">
        <f>IF(J3061="","",Parametros!$B$6-J3061)</f>
        <v/>
      </c>
      <c r="P3061" s="5">
        <f>IF(O3061="","",IF(O3061&gt;0,1,0))</f>
        <v/>
      </c>
    </row>
    <row r="3062">
      <c r="A3062" s="5" t="n">
        <v>2111000000</v>
      </c>
      <c r="B3062" s="5" t="inlineStr">
        <is>
          <t>103927</t>
        </is>
      </c>
      <c r="C3062" s="5" t="inlineStr">
        <is>
          <t>MOVIDA PARTICIPACOES</t>
        </is>
      </c>
      <c r="D3062" s="5" t="inlineStr">
        <is>
          <t>RE</t>
        </is>
      </c>
      <c r="E3062" s="5" t="n">
        <v>5016140</v>
      </c>
      <c r="F3062" s="5" t="inlineStr">
        <is>
          <t>458123</t>
        </is>
      </c>
      <c r="G3062" s="5" t="inlineStr">
        <is>
          <t>BRL</t>
        </is>
      </c>
      <c r="H3062" s="9" t="n">
        <v>-550.85</v>
      </c>
      <c r="I3062" s="16" t="n">
        <v>46171</v>
      </c>
      <c r="J3062" s="16" t="n">
        <v>46208</v>
      </c>
      <c r="K3062" s="5" t="inlineStr">
        <is>
          <t>Fatura - bruto MOVIDA PARTICIPACOES 458123</t>
        </is>
      </c>
      <c r="L3062" s="5" t="inlineStr">
        <is>
          <t>02092026</t>
        </is>
      </c>
      <c r="M3062" s="5">
        <f>IF(YEAR(I3062)&lt;=2020,"Até 2020",TEXT(YEAR(I3062),"0"))</f>
        <v/>
      </c>
      <c r="N3062" s="5">
        <f>IFERROR(INDEX(DePara!$A:$A,MATCH(TEXT(B3062,"0"),DePara!$D:$D,0)),"(sem categoria)")</f>
        <v/>
      </c>
      <c r="O3062" s="5">
        <f>IF(J3062="","",Parametros!$B$6-J3062)</f>
        <v/>
      </c>
      <c r="P3062" s="5">
        <f>IF(O3062="","",IF(O3062&gt;0,1,0))</f>
        <v/>
      </c>
    </row>
    <row r="3063">
      <c r="A3063" s="5" t="n">
        <v>2111000000</v>
      </c>
      <c r="B3063" s="5" t="inlineStr">
        <is>
          <t>103927</t>
        </is>
      </c>
      <c r="C3063" s="5" t="inlineStr">
        <is>
          <t>MOVIDA PARTICIPACOES</t>
        </is>
      </c>
      <c r="D3063" s="5" t="inlineStr">
        <is>
          <t>RE</t>
        </is>
      </c>
      <c r="E3063" s="5" t="n">
        <v>5016141</v>
      </c>
      <c r="F3063" s="5" t="inlineStr">
        <is>
          <t>458124</t>
        </is>
      </c>
      <c r="G3063" s="5" t="inlineStr">
        <is>
          <t>BRL</t>
        </is>
      </c>
      <c r="H3063" s="9" t="n">
        <v>-2114.85</v>
      </c>
      <c r="I3063" s="16" t="n">
        <v>46171</v>
      </c>
      <c r="J3063" s="16" t="n">
        <v>46208</v>
      </c>
      <c r="K3063" s="5" t="inlineStr">
        <is>
          <t>Fatura - bruto MOVIDA PARTICIPACOES 458124</t>
        </is>
      </c>
      <c r="L3063" s="5" t="inlineStr">
        <is>
          <t>02092026</t>
        </is>
      </c>
      <c r="M3063" s="5">
        <f>IF(YEAR(I3063)&lt;=2020,"Até 2020",TEXT(YEAR(I3063),"0"))</f>
        <v/>
      </c>
      <c r="N3063" s="5">
        <f>IFERROR(INDEX(DePara!$A:$A,MATCH(TEXT(B3063,"0"),DePara!$D:$D,0)),"(sem categoria)")</f>
        <v/>
      </c>
      <c r="O3063" s="5">
        <f>IF(J3063="","",Parametros!$B$6-J3063)</f>
        <v/>
      </c>
      <c r="P3063" s="5">
        <f>IF(O3063="","",IF(O3063&gt;0,1,0))</f>
        <v/>
      </c>
    </row>
    <row r="3064">
      <c r="A3064" s="5" t="n">
        <v>2111000000</v>
      </c>
      <c r="B3064" s="5" t="inlineStr">
        <is>
          <t>103927</t>
        </is>
      </c>
      <c r="C3064" s="5" t="inlineStr">
        <is>
          <t>MOVIDA PARTICIPACOES</t>
        </is>
      </c>
      <c r="D3064" s="5" t="inlineStr">
        <is>
          <t>RE</t>
        </is>
      </c>
      <c r="E3064" s="5" t="n">
        <v>5016142</v>
      </c>
      <c r="F3064" s="5" t="inlineStr">
        <is>
          <t>567650</t>
        </is>
      </c>
      <c r="G3064" s="5" t="inlineStr">
        <is>
          <t>BRL</t>
        </is>
      </c>
      <c r="H3064" s="9" t="n">
        <v>-1988.93</v>
      </c>
      <c r="I3064" s="16" t="n">
        <v>46196</v>
      </c>
      <c r="J3064" s="16" t="n">
        <v>46239</v>
      </c>
      <c r="K3064" s="5" t="inlineStr">
        <is>
          <t>Fatura - bruto MOVIDA PARTICIPACOES 567650</t>
        </is>
      </c>
      <c r="L3064" s="5" t="inlineStr">
        <is>
          <t>02092026</t>
        </is>
      </c>
      <c r="M3064" s="5">
        <f>IF(YEAR(I3064)&lt;=2020,"Até 2020",TEXT(YEAR(I3064),"0"))</f>
        <v/>
      </c>
      <c r="N3064" s="5">
        <f>IFERROR(INDEX(DePara!$A:$A,MATCH(TEXT(B3064,"0"),DePara!$D:$D,0)),"(sem categoria)")</f>
        <v/>
      </c>
      <c r="O3064" s="5">
        <f>IF(J3064="","",Parametros!$B$6-J3064)</f>
        <v/>
      </c>
      <c r="P3064" s="5">
        <f>IF(O3064="","",IF(O3064&gt;0,1,0))</f>
        <v/>
      </c>
    </row>
    <row r="3065">
      <c r="A3065" s="5" t="n">
        <v>2111000000</v>
      </c>
      <c r="B3065" s="5" t="inlineStr">
        <is>
          <t>103927</t>
        </is>
      </c>
      <c r="C3065" s="5" t="inlineStr">
        <is>
          <t>MOVIDA PARTICIPACOES</t>
        </is>
      </c>
      <c r="D3065" s="5" t="inlineStr">
        <is>
          <t>RE</t>
        </is>
      </c>
      <c r="E3065" s="5" t="n">
        <v>5016144</v>
      </c>
      <c r="F3065" s="5" t="inlineStr">
        <is>
          <t>173314</t>
        </is>
      </c>
      <c r="G3065" s="5" t="inlineStr">
        <is>
          <t>BRL</t>
        </is>
      </c>
      <c r="H3065" s="9" t="n">
        <v>-5402.7</v>
      </c>
      <c r="I3065" s="16" t="n">
        <v>46111</v>
      </c>
      <c r="J3065" s="16" t="n">
        <v>46147</v>
      </c>
      <c r="K3065" s="5" t="inlineStr">
        <is>
          <t>Fatura - bruto MOVIDA PARTICIPACOES 173314</t>
        </is>
      </c>
      <c r="L3065" s="5" t="inlineStr">
        <is>
          <t>02092026</t>
        </is>
      </c>
      <c r="M3065" s="5">
        <f>IF(YEAR(I3065)&lt;=2020,"Até 2020",TEXT(YEAR(I3065),"0"))</f>
        <v/>
      </c>
      <c r="N3065" s="5">
        <f>IFERROR(INDEX(DePara!$A:$A,MATCH(TEXT(B3065,"0"),DePara!$D:$D,0)),"(sem categoria)")</f>
        <v/>
      </c>
      <c r="O3065" s="5">
        <f>IF(J3065="","",Parametros!$B$6-J3065)</f>
        <v/>
      </c>
      <c r="P3065" s="5">
        <f>IF(O3065="","",IF(O3065&gt;0,1,0))</f>
        <v/>
      </c>
    </row>
    <row r="3066">
      <c r="A3066" s="5" t="n">
        <v>2111000000</v>
      </c>
      <c r="B3066" s="5" t="inlineStr">
        <is>
          <t>100845</t>
        </is>
      </c>
      <c r="C3066" s="5" t="inlineStr">
        <is>
          <t>DRIVEMEC MANUTENCAO INDUSTRIAL EIRE</t>
        </is>
      </c>
      <c r="D3066" s="5" t="inlineStr">
        <is>
          <t>RE</t>
        </is>
      </c>
      <c r="E3066" s="5" t="n">
        <v>5016145</v>
      </c>
      <c r="F3066" s="5" t="inlineStr">
        <is>
          <t>1111</t>
        </is>
      </c>
      <c r="G3066" s="5" t="inlineStr">
        <is>
          <t>BRL</t>
        </is>
      </c>
      <c r="H3066" s="9" t="n">
        <v>-2669.5</v>
      </c>
      <c r="I3066" s="16" t="n">
        <v>46245</v>
      </c>
      <c r="J3066" s="16" t="n">
        <v>46308</v>
      </c>
      <c r="K3066" s="5" t="inlineStr">
        <is>
          <t>Fatura - bruto DRIVEMEC MANUTENCAO INDUSTRIAL EIRE</t>
        </is>
      </c>
      <c r="L3066" s="5" t="inlineStr">
        <is>
          <t>07102026</t>
        </is>
      </c>
      <c r="M3066" s="5">
        <f>IF(YEAR(I3066)&lt;=2020,"Até 2020",TEXT(YEAR(I3066),"0"))</f>
        <v/>
      </c>
      <c r="N3066" s="5">
        <f>IFERROR(INDEX(DePara!$A:$A,MATCH(TEXT(B3066,"0"),DePara!$D:$D,0)),"(sem categoria)")</f>
        <v/>
      </c>
      <c r="O3066" s="5">
        <f>IF(J3066="","",Parametros!$B$6-J3066)</f>
        <v/>
      </c>
      <c r="P3066" s="5">
        <f>IF(O3066="","",IF(O3066&gt;0,1,0))</f>
        <v/>
      </c>
    </row>
    <row r="3067">
      <c r="A3067" s="5" t="n">
        <v>2111000000</v>
      </c>
      <c r="B3067" s="5" t="inlineStr">
        <is>
          <t>101048</t>
        </is>
      </c>
      <c r="C3067" s="5" t="inlineStr">
        <is>
          <t>M R DE MEDEIROS</t>
        </is>
      </c>
      <c r="D3067" s="5" t="inlineStr">
        <is>
          <t>RE</t>
        </is>
      </c>
      <c r="E3067" s="5" t="n">
        <v>5016146</v>
      </c>
      <c r="F3067" s="5" t="inlineStr">
        <is>
          <t>2647-1</t>
        </is>
      </c>
      <c r="G3067" s="5" t="inlineStr">
        <is>
          <t>BRL</t>
        </is>
      </c>
      <c r="H3067" s="9" t="n">
        <v>-836.5</v>
      </c>
      <c r="I3067" s="16" t="n">
        <v>46259</v>
      </c>
      <c r="J3067" s="16" t="n">
        <v>46274</v>
      </c>
      <c r="K3067" s="5" t="inlineStr">
        <is>
          <t>Fatura - bruto M R DE MEDEIROS 2647-1</t>
        </is>
      </c>
      <c r="L3067" s="5" t="inlineStr">
        <is>
          <t>09092026</t>
        </is>
      </c>
      <c r="M3067" s="5">
        <f>IF(YEAR(I3067)&lt;=2020,"Até 2020",TEXT(YEAR(I3067),"0"))</f>
        <v/>
      </c>
      <c r="N3067" s="5">
        <f>IFERROR(INDEX(DePara!$A:$A,MATCH(TEXT(B3067,"0"),DePara!$D:$D,0)),"(sem categoria)")</f>
        <v/>
      </c>
      <c r="O3067" s="5">
        <f>IF(J3067="","",Parametros!$B$6-J3067)</f>
        <v/>
      </c>
      <c r="P3067" s="5">
        <f>IF(O3067="","",IF(O3067&gt;0,1,0))</f>
        <v/>
      </c>
    </row>
    <row r="3068">
      <c r="A3068" s="5" t="n">
        <v>2111000000</v>
      </c>
      <c r="B3068" s="5" t="inlineStr">
        <is>
          <t>100542</t>
        </is>
      </c>
      <c r="C3068" s="5" t="inlineStr">
        <is>
          <t>EXTREME WIND SERVICOS DE MANUTENCAO</t>
        </is>
      </c>
      <c r="D3068" s="5" t="inlineStr">
        <is>
          <t>RE</t>
        </is>
      </c>
      <c r="E3068" s="5" t="n">
        <v>5016147</v>
      </c>
      <c r="F3068" s="5" t="inlineStr">
        <is>
          <t>672</t>
        </is>
      </c>
      <c r="G3068" s="5" t="inlineStr">
        <is>
          <t>BRL</t>
        </is>
      </c>
      <c r="H3068" s="9" t="n">
        <v>-108999.98</v>
      </c>
      <c r="I3068" s="16" t="n">
        <v>46239</v>
      </c>
      <c r="J3068" s="16" t="n">
        <v>46300</v>
      </c>
      <c r="K3068" s="5" t="inlineStr">
        <is>
          <t>Fatura - bruto EXTREME WIND SERVICOS DE MANUTENCAO</t>
        </is>
      </c>
      <c r="L3068" s="5" t="inlineStr">
        <is>
          <t>05102026</t>
        </is>
      </c>
      <c r="M3068" s="5">
        <f>IF(YEAR(I3068)&lt;=2020,"Até 2020",TEXT(YEAR(I3068),"0"))</f>
        <v/>
      </c>
      <c r="N3068" s="5">
        <f>IFERROR(INDEX(DePara!$A:$A,MATCH(TEXT(B3068,"0"),DePara!$D:$D,0)),"(sem categoria)")</f>
        <v/>
      </c>
      <c r="O3068" s="5">
        <f>IF(J3068="","",Parametros!$B$6-J3068)</f>
        <v/>
      </c>
      <c r="P3068" s="5">
        <f>IF(O3068="","",IF(O3068&gt;0,1,0))</f>
        <v/>
      </c>
    </row>
    <row r="3069">
      <c r="A3069" s="5" t="n">
        <v>2111000000</v>
      </c>
      <c r="B3069" s="5" t="inlineStr">
        <is>
          <t>100031</t>
        </is>
      </c>
      <c r="C3069" s="5" t="inlineStr">
        <is>
          <t>MEGAWIND INDUSTRIA E COMERCIO</t>
        </is>
      </c>
      <c r="D3069" s="5" t="inlineStr">
        <is>
          <t>RE</t>
        </is>
      </c>
      <c r="E3069" s="5" t="n">
        <v>5016148</v>
      </c>
      <c r="F3069" s="5" t="inlineStr">
        <is>
          <t>1484</t>
        </is>
      </c>
      <c r="G3069" s="5" t="inlineStr">
        <is>
          <t>BRL</t>
        </is>
      </c>
      <c r="H3069" s="9" t="n">
        <v>-9773.700000000001</v>
      </c>
      <c r="I3069" s="16" t="n">
        <v>46246</v>
      </c>
      <c r="J3069" s="16" t="n">
        <v>46300</v>
      </c>
      <c r="K3069" s="5" t="inlineStr">
        <is>
          <t>Fatura - bruto MEGAWIND INDUSTRIA E COMERCIO 1484</t>
        </is>
      </c>
      <c r="L3069" s="5" t="inlineStr">
        <is>
          <t>05102026</t>
        </is>
      </c>
      <c r="M3069" s="5">
        <f>IF(YEAR(I3069)&lt;=2020,"Até 2020",TEXT(YEAR(I3069),"0"))</f>
        <v/>
      </c>
      <c r="N3069" s="5">
        <f>IFERROR(INDEX(DePara!$A:$A,MATCH(TEXT(B3069,"0"),DePara!$D:$D,0)),"(sem categoria)")</f>
        <v/>
      </c>
      <c r="O3069" s="5">
        <f>IF(J3069="","",Parametros!$B$6-J3069)</f>
        <v/>
      </c>
      <c r="P3069" s="5">
        <f>IF(O3069="","",IF(O3069&gt;0,1,0))</f>
        <v/>
      </c>
    </row>
    <row r="3070">
      <c r="A3070" s="5" t="n">
        <v>2111000000</v>
      </c>
      <c r="B3070" s="5" t="inlineStr">
        <is>
          <t>100031</t>
        </is>
      </c>
      <c r="C3070" s="5" t="inlineStr">
        <is>
          <t>MEGAWIND INDUSTRIA E COMERCIO</t>
        </is>
      </c>
      <c r="D3070" s="5" t="inlineStr">
        <is>
          <t>RE</t>
        </is>
      </c>
      <c r="E3070" s="5" t="n">
        <v>5016149</v>
      </c>
      <c r="F3070" s="5" t="inlineStr">
        <is>
          <t>1485</t>
        </is>
      </c>
      <c r="G3070" s="5" t="inlineStr">
        <is>
          <t>BRL</t>
        </is>
      </c>
      <c r="H3070" s="9" t="n">
        <v>-5596</v>
      </c>
      <c r="I3070" s="16" t="n">
        <v>46260</v>
      </c>
      <c r="J3070" s="16" t="n">
        <v>46300</v>
      </c>
      <c r="K3070" s="5" t="inlineStr">
        <is>
          <t>Fatura - bruto MEGAWIND INDUSTRIA E COMERCIO 1485</t>
        </is>
      </c>
      <c r="L3070" s="5" t="inlineStr">
        <is>
          <t>05102026</t>
        </is>
      </c>
      <c r="M3070" s="5">
        <f>IF(YEAR(I3070)&lt;=2020,"Até 2020",TEXT(YEAR(I3070),"0"))</f>
        <v/>
      </c>
      <c r="N3070" s="5">
        <f>IFERROR(INDEX(DePara!$A:$A,MATCH(TEXT(B3070,"0"),DePara!$D:$D,0)),"(sem categoria)")</f>
        <v/>
      </c>
      <c r="O3070" s="5">
        <f>IF(J3070="","",Parametros!$B$6-J3070)</f>
        <v/>
      </c>
      <c r="P3070" s="5">
        <f>IF(O3070="","",IF(O3070&gt;0,1,0))</f>
        <v/>
      </c>
    </row>
    <row r="3071">
      <c r="A3071" s="5" t="n">
        <v>2111000000</v>
      </c>
      <c r="B3071" s="5" t="inlineStr">
        <is>
          <t>100031</t>
        </is>
      </c>
      <c r="C3071" s="5" t="inlineStr">
        <is>
          <t>MEGAWIND INDUSTRIA E COMERCIO</t>
        </is>
      </c>
      <c r="D3071" s="5" t="inlineStr">
        <is>
          <t>RE</t>
        </is>
      </c>
      <c r="E3071" s="5" t="n">
        <v>5016150</v>
      </c>
      <c r="F3071" s="5" t="inlineStr">
        <is>
          <t>1486</t>
        </is>
      </c>
      <c r="G3071" s="5" t="inlineStr">
        <is>
          <t>BRL</t>
        </is>
      </c>
      <c r="H3071" s="9" t="n">
        <v>-4090.32</v>
      </c>
      <c r="I3071" s="16" t="n">
        <v>46260</v>
      </c>
      <c r="J3071" s="16" t="n">
        <v>46300</v>
      </c>
      <c r="K3071" s="5" t="inlineStr">
        <is>
          <t>Fatura - bruto MEGAWIND INDUSTRIA E COMERCIO 1486</t>
        </is>
      </c>
      <c r="L3071" s="5" t="inlineStr">
        <is>
          <t>05102026</t>
        </is>
      </c>
      <c r="M3071" s="5">
        <f>IF(YEAR(I3071)&lt;=2020,"Até 2020",TEXT(YEAR(I3071),"0"))</f>
        <v/>
      </c>
      <c r="N3071" s="5">
        <f>IFERROR(INDEX(DePara!$A:$A,MATCH(TEXT(B3071,"0"),DePara!$D:$D,0)),"(sem categoria)")</f>
        <v/>
      </c>
      <c r="O3071" s="5">
        <f>IF(J3071="","",Parametros!$B$6-J3071)</f>
        <v/>
      </c>
      <c r="P3071" s="5">
        <f>IF(O3071="","",IF(O3071&gt;0,1,0))</f>
        <v/>
      </c>
    </row>
    <row r="3072">
      <c r="A3072" s="5" t="n">
        <v>2111000000</v>
      </c>
      <c r="B3072" s="5" t="inlineStr">
        <is>
          <t>101801</t>
        </is>
      </c>
      <c r="C3072" s="5" t="inlineStr">
        <is>
          <t>DARCY PACHECO SOLUCOES DE PESO LTDA 89396121000108</t>
        </is>
      </c>
      <c r="D3072" s="5" t="inlineStr">
        <is>
          <t>RE</t>
        </is>
      </c>
      <c r="E3072" s="5" t="n">
        <v>5016151</v>
      </c>
      <c r="F3072" s="5" t="inlineStr">
        <is>
          <t>8833</t>
        </is>
      </c>
      <c r="G3072" s="5" t="inlineStr">
        <is>
          <t>BRL</t>
        </is>
      </c>
      <c r="H3072" s="9" t="n">
        <v>-401274.85</v>
      </c>
      <c r="I3072" s="16" t="n">
        <v>46260</v>
      </c>
      <c r="J3072" s="16" t="n">
        <v>46275</v>
      </c>
      <c r="K3072" s="5" t="inlineStr">
        <is>
          <t>Fatura - bruto DARCY PACHECO SOLUCOES DE PESO LTDA</t>
        </is>
      </c>
      <c r="L3072" s="5" t="inlineStr">
        <is>
          <t>16092026</t>
        </is>
      </c>
      <c r="M3072" s="5">
        <f>IF(YEAR(I3072)&lt;=2020,"Até 2020",TEXT(YEAR(I3072),"0"))</f>
        <v/>
      </c>
      <c r="N3072" s="5">
        <f>IFERROR(INDEX(DePara!$A:$A,MATCH(TEXT(B3072,"0"),DePara!$D:$D,0)),"(sem categoria)")</f>
        <v/>
      </c>
      <c r="O3072" s="5">
        <f>IF(J3072="","",Parametros!$B$6-J3072)</f>
        <v/>
      </c>
      <c r="P3072" s="5">
        <f>IF(O3072="","",IF(O3072&gt;0,1,0))</f>
        <v/>
      </c>
    </row>
    <row r="3073">
      <c r="A3073" s="5" t="n">
        <v>2111000000</v>
      </c>
      <c r="B3073" s="5" t="inlineStr">
        <is>
          <t>100883</t>
        </is>
      </c>
      <c r="C3073" s="5" t="inlineStr">
        <is>
          <t>QUELMAR TRANSPORTES LTDA</t>
        </is>
      </c>
      <c r="D3073" s="5" t="inlineStr">
        <is>
          <t>RE</t>
        </is>
      </c>
      <c r="E3073" s="5" t="n">
        <v>5016152</v>
      </c>
      <c r="F3073" s="5" t="inlineStr">
        <is>
          <t>108523-1</t>
        </is>
      </c>
      <c r="G3073" s="5" t="inlineStr">
        <is>
          <t>BRL</t>
        </is>
      </c>
      <c r="H3073" s="9" t="n">
        <v>-3498.02</v>
      </c>
      <c r="I3073" s="16" t="n">
        <v>46255</v>
      </c>
      <c r="J3073" s="16" t="n">
        <v>46300</v>
      </c>
      <c r="K3073" s="5" t="inlineStr">
        <is>
          <t>Fatura - bruto QUELMAR TRANSPORTES LTDA 108523-1</t>
        </is>
      </c>
      <c r="L3073" s="5" t="inlineStr">
        <is>
          <t>05102026</t>
        </is>
      </c>
      <c r="M3073" s="5">
        <f>IF(YEAR(I3073)&lt;=2020,"Até 2020",TEXT(YEAR(I3073),"0"))</f>
        <v/>
      </c>
      <c r="N3073" s="5">
        <f>IFERROR(INDEX(DePara!$A:$A,MATCH(TEXT(B3073,"0"),DePara!$D:$D,0)),"(sem categoria)")</f>
        <v/>
      </c>
      <c r="O3073" s="5">
        <f>IF(J3073="","",Parametros!$B$6-J3073)</f>
        <v/>
      </c>
      <c r="P3073" s="5">
        <f>IF(O3073="","",IF(O3073&gt;0,1,0))</f>
        <v/>
      </c>
    </row>
    <row r="3074">
      <c r="A3074" s="5" t="n">
        <v>2111000000</v>
      </c>
      <c r="B3074" s="5" t="inlineStr">
        <is>
          <t>100883</t>
        </is>
      </c>
      <c r="C3074" s="5" t="inlineStr">
        <is>
          <t>QUELMAR TRANSPORTES LTDA</t>
        </is>
      </c>
      <c r="D3074" s="5" t="inlineStr">
        <is>
          <t>RE</t>
        </is>
      </c>
      <c r="E3074" s="5" t="n">
        <v>5016153</v>
      </c>
      <c r="F3074" s="5" t="inlineStr">
        <is>
          <t>108526-1</t>
        </is>
      </c>
      <c r="G3074" s="5" t="inlineStr">
        <is>
          <t>BRL</t>
        </is>
      </c>
      <c r="H3074" s="9" t="n">
        <v>-1748.78</v>
      </c>
      <c r="I3074" s="16" t="n">
        <v>46255</v>
      </c>
      <c r="J3074" s="16" t="n">
        <v>46300</v>
      </c>
      <c r="K3074" s="5" t="inlineStr">
        <is>
          <t>Fatura - bruto QUELMAR TRANSPORTES LTDA 108526-1</t>
        </is>
      </c>
      <c r="L3074" s="5" t="inlineStr">
        <is>
          <t>05102026</t>
        </is>
      </c>
      <c r="M3074" s="5">
        <f>IF(YEAR(I3074)&lt;=2020,"Até 2020",TEXT(YEAR(I3074),"0"))</f>
        <v/>
      </c>
      <c r="N3074" s="5">
        <f>IFERROR(INDEX(DePara!$A:$A,MATCH(TEXT(B3074,"0"),DePara!$D:$D,0)),"(sem categoria)")</f>
        <v/>
      </c>
      <c r="O3074" s="5">
        <f>IF(J3074="","",Parametros!$B$6-J3074)</f>
        <v/>
      </c>
      <c r="P3074" s="5">
        <f>IF(O3074="","",IF(O3074&gt;0,1,0))</f>
        <v/>
      </c>
    </row>
    <row r="3075">
      <c r="A3075" s="5" t="n">
        <v>2111000000</v>
      </c>
      <c r="B3075" s="5" t="inlineStr">
        <is>
          <t>101222</t>
        </is>
      </c>
      <c r="C3075" s="5" t="inlineStr">
        <is>
          <t>AGROPECUARIA CANOA MIRIM SA</t>
        </is>
      </c>
      <c r="D3075" s="5" t="inlineStr">
        <is>
          <t>RE</t>
        </is>
      </c>
      <c r="E3075" s="5" t="n">
        <v>5016468</v>
      </c>
      <c r="F3075" s="5" t="inlineStr">
        <is>
          <t>202401</t>
        </is>
      </c>
      <c r="G3075" s="5" t="inlineStr">
        <is>
          <t>BRL</t>
        </is>
      </c>
      <c r="H3075" s="9" t="n">
        <v>-8000</v>
      </c>
      <c r="I3075" s="16" t="n">
        <v>45265</v>
      </c>
      <c r="J3075" s="16" t="n">
        <v>45296</v>
      </c>
      <c r="K3075" s="5" t="inlineStr">
        <is>
          <t>Fatura - bruto AGROPECUARIA CANOA MIRIM SA 202401</t>
        </is>
      </c>
      <c r="L3075" s="5" t="inlineStr">
        <is>
          <t>BLOQUEADO, LUCIANA</t>
        </is>
      </c>
      <c r="M3075" s="5">
        <f>IF(YEAR(I3075)&lt;=2020,"Até 2020",TEXT(YEAR(I3075),"0"))</f>
        <v/>
      </c>
      <c r="N3075" s="5">
        <f>IFERROR(INDEX(DePara!$A:$A,MATCH(TEXT(B3075,"0"),DePara!$D:$D,0)),"(sem categoria)")</f>
        <v/>
      </c>
      <c r="O3075" s="5">
        <f>IF(J3075="","",Parametros!$B$6-J3075)</f>
        <v/>
      </c>
      <c r="P3075" s="5">
        <f>IF(O3075="","",IF(O3075&gt;0,1,0))</f>
        <v/>
      </c>
    </row>
    <row r="3076">
      <c r="A3076" s="5" t="n">
        <v>2111000000</v>
      </c>
      <c r="B3076" s="5" t="inlineStr">
        <is>
          <t>101222</t>
        </is>
      </c>
      <c r="C3076" s="5" t="inlineStr">
        <is>
          <t>AGROPECUARIA CANOA MIRIM SA</t>
        </is>
      </c>
      <c r="D3076" s="5" t="inlineStr">
        <is>
          <t>RE</t>
        </is>
      </c>
      <c r="E3076" s="5" t="n">
        <v>5016470</v>
      </c>
      <c r="F3076" s="5" t="inlineStr">
        <is>
          <t>202402</t>
        </is>
      </c>
      <c r="G3076" s="5" t="inlineStr">
        <is>
          <t>BRL</t>
        </is>
      </c>
      <c r="H3076" s="9" t="n">
        <v>-8000</v>
      </c>
      <c r="I3076" s="16" t="n">
        <v>45296</v>
      </c>
      <c r="J3076" s="16" t="n">
        <v>45327</v>
      </c>
      <c r="K3076" s="5" t="inlineStr">
        <is>
          <t>Fatura - bruto AGROPECUARIA CANOA MIRIM SA 202402</t>
        </is>
      </c>
      <c r="L3076" s="5" t="inlineStr">
        <is>
          <t>BLOQUEADO, LUCIANA</t>
        </is>
      </c>
      <c r="M3076" s="5">
        <f>IF(YEAR(I3076)&lt;=2020,"Até 2020",TEXT(YEAR(I3076),"0"))</f>
        <v/>
      </c>
      <c r="N3076" s="5">
        <f>IFERROR(INDEX(DePara!$A:$A,MATCH(TEXT(B3076,"0"),DePara!$D:$D,0)),"(sem categoria)")</f>
        <v/>
      </c>
      <c r="O3076" s="5">
        <f>IF(J3076="","",Parametros!$B$6-J3076)</f>
        <v/>
      </c>
      <c r="P3076" s="5">
        <f>IF(O3076="","",IF(O3076&gt;0,1,0))</f>
        <v/>
      </c>
    </row>
    <row r="3077">
      <c r="A3077" s="5" t="n">
        <v>2111000000</v>
      </c>
      <c r="B3077" s="5" t="inlineStr">
        <is>
          <t>101222</t>
        </is>
      </c>
      <c r="C3077" s="5" t="inlineStr">
        <is>
          <t>AGROPECUARIA CANOA MIRIM SA</t>
        </is>
      </c>
      <c r="D3077" s="5" t="inlineStr">
        <is>
          <t>RE</t>
        </is>
      </c>
      <c r="E3077" s="5" t="n">
        <v>5016472</v>
      </c>
      <c r="F3077" s="5" t="inlineStr">
        <is>
          <t>202403</t>
        </is>
      </c>
      <c r="G3077" s="5" t="inlineStr">
        <is>
          <t>BRL</t>
        </is>
      </c>
      <c r="H3077" s="9" t="n">
        <v>-8000</v>
      </c>
      <c r="I3077" s="16" t="n">
        <v>45327</v>
      </c>
      <c r="J3077" s="16" t="n">
        <v>45356</v>
      </c>
      <c r="K3077" s="5" t="inlineStr">
        <is>
          <t>Fatura - bruto AGROPECUARIA CANOA MIRIM SA 202403</t>
        </is>
      </c>
      <c r="L3077" s="5" t="inlineStr">
        <is>
          <t>BLOQUEADO, LUCIANA</t>
        </is>
      </c>
      <c r="M3077" s="5">
        <f>IF(YEAR(I3077)&lt;=2020,"Até 2020",TEXT(YEAR(I3077),"0"))</f>
        <v/>
      </c>
      <c r="N3077" s="5">
        <f>IFERROR(INDEX(DePara!$A:$A,MATCH(TEXT(B3077,"0"),DePara!$D:$D,0)),"(sem categoria)")</f>
        <v/>
      </c>
      <c r="O3077" s="5">
        <f>IF(J3077="","",Parametros!$B$6-J3077)</f>
        <v/>
      </c>
      <c r="P3077" s="5">
        <f>IF(O3077="","",IF(O3077&gt;0,1,0))</f>
        <v/>
      </c>
    </row>
    <row r="3078">
      <c r="A3078" s="5" t="n">
        <v>2111000000</v>
      </c>
      <c r="B3078" s="5" t="inlineStr">
        <is>
          <t>101222</t>
        </is>
      </c>
      <c r="C3078" s="5" t="inlineStr">
        <is>
          <t>AGROPECUARIA CANOA MIRIM SA</t>
        </is>
      </c>
      <c r="D3078" s="5" t="inlineStr">
        <is>
          <t>RE</t>
        </is>
      </c>
      <c r="E3078" s="5" t="n">
        <v>5016474</v>
      </c>
      <c r="F3078" s="5" t="inlineStr">
        <is>
          <t>202404</t>
        </is>
      </c>
      <c r="G3078" s="5" t="inlineStr">
        <is>
          <t>BRL</t>
        </is>
      </c>
      <c r="H3078" s="9" t="n">
        <v>-8000</v>
      </c>
      <c r="I3078" s="16" t="n">
        <v>45327</v>
      </c>
      <c r="J3078" s="16" t="n">
        <v>45356</v>
      </c>
      <c r="K3078" s="5" t="inlineStr">
        <is>
          <t>Fatura - bruto AGROPECUARIA CANOA MIRIM SA 202404</t>
        </is>
      </c>
      <c r="L3078" s="5" t="inlineStr">
        <is>
          <t>BLOQUEADO, LUCIANA</t>
        </is>
      </c>
      <c r="M3078" s="5">
        <f>IF(YEAR(I3078)&lt;=2020,"Até 2020",TEXT(YEAR(I3078),"0"))</f>
        <v/>
      </c>
      <c r="N3078" s="5">
        <f>IFERROR(INDEX(DePara!$A:$A,MATCH(TEXT(B3078,"0"),DePara!$D:$D,0)),"(sem categoria)")</f>
        <v/>
      </c>
      <c r="O3078" s="5">
        <f>IF(J3078="","",Parametros!$B$6-J3078)</f>
        <v/>
      </c>
      <c r="P3078" s="5">
        <f>IF(O3078="","",IF(O3078&gt;0,1,0))</f>
        <v/>
      </c>
    </row>
    <row r="3079">
      <c r="A3079" s="5" t="n">
        <v>2111000000</v>
      </c>
      <c r="B3079" s="5" t="inlineStr">
        <is>
          <t>101222</t>
        </is>
      </c>
      <c r="C3079" s="5" t="inlineStr">
        <is>
          <t>AGROPECUARIA CANOA MIRIM SA</t>
        </is>
      </c>
      <c r="D3079" s="5" t="inlineStr">
        <is>
          <t>RE</t>
        </is>
      </c>
      <c r="E3079" s="5" t="n">
        <v>5016475</v>
      </c>
      <c r="F3079" s="5" t="inlineStr">
        <is>
          <t>202405</t>
        </is>
      </c>
      <c r="G3079" s="5" t="inlineStr">
        <is>
          <t>BRL</t>
        </is>
      </c>
      <c r="H3079" s="9" t="n">
        <v>-8000</v>
      </c>
      <c r="I3079" s="16" t="n">
        <v>45387</v>
      </c>
      <c r="J3079" s="16" t="n">
        <v>45417</v>
      </c>
      <c r="K3079" s="5" t="inlineStr">
        <is>
          <t>Fatura - bruto AGROPECUARIA CANOA MIRIM SA 202405</t>
        </is>
      </c>
      <c r="L3079" s="5" t="inlineStr">
        <is>
          <t>BLOQUEADO, LUCIANA</t>
        </is>
      </c>
      <c r="M3079" s="5">
        <f>IF(YEAR(I3079)&lt;=2020,"Até 2020",TEXT(YEAR(I3079),"0"))</f>
        <v/>
      </c>
      <c r="N3079" s="5">
        <f>IFERROR(INDEX(DePara!$A:$A,MATCH(TEXT(B3079,"0"),DePara!$D:$D,0)),"(sem categoria)")</f>
        <v/>
      </c>
      <c r="O3079" s="5">
        <f>IF(J3079="","",Parametros!$B$6-J3079)</f>
        <v/>
      </c>
      <c r="P3079" s="5">
        <f>IF(O3079="","",IF(O3079&gt;0,1,0))</f>
        <v/>
      </c>
    </row>
    <row r="3080">
      <c r="A3080" s="5" t="n">
        <v>2111000000</v>
      </c>
      <c r="B3080" s="5" t="inlineStr">
        <is>
          <t>101222</t>
        </is>
      </c>
      <c r="C3080" s="5" t="inlineStr">
        <is>
          <t>AGROPECUARIA CANOA MIRIM SA</t>
        </is>
      </c>
      <c r="D3080" s="5" t="inlineStr">
        <is>
          <t>RE</t>
        </is>
      </c>
      <c r="E3080" s="5" t="n">
        <v>5017196</v>
      </c>
      <c r="F3080" s="5" t="inlineStr">
        <is>
          <t>202406</t>
        </is>
      </c>
      <c r="G3080" s="5" t="inlineStr">
        <is>
          <t>BRL</t>
        </is>
      </c>
      <c r="H3080" s="9" t="n">
        <v>-8000</v>
      </c>
      <c r="I3080" s="16" t="n">
        <v>45417</v>
      </c>
      <c r="J3080" s="16" t="n">
        <v>45448</v>
      </c>
      <c r="K3080" s="5" t="inlineStr">
        <is>
          <t>Invoice Receipt MM AGROPECUARIA CANOA MIRIM SA 202</t>
        </is>
      </c>
      <c r="L3080" s="5" t="inlineStr">
        <is>
          <t>BLOQUEADO, LUCIANA</t>
        </is>
      </c>
      <c r="M3080" s="5">
        <f>IF(YEAR(I3080)&lt;=2020,"Até 2020",TEXT(YEAR(I3080),"0"))</f>
        <v/>
      </c>
      <c r="N3080" s="5">
        <f>IFERROR(INDEX(DePara!$A:$A,MATCH(TEXT(B3080,"0"),DePara!$D:$D,0)),"(sem categoria)")</f>
        <v/>
      </c>
      <c r="O3080" s="5">
        <f>IF(J3080="","",Parametros!$B$6-J3080)</f>
        <v/>
      </c>
      <c r="P3080" s="5">
        <f>IF(O3080="","",IF(O3080&gt;0,1,0))</f>
        <v/>
      </c>
    </row>
    <row r="3081">
      <c r="A3081" s="5" t="n">
        <v>2111000000</v>
      </c>
      <c r="B3081" s="5" t="inlineStr">
        <is>
          <t>106331</t>
        </is>
      </c>
      <c r="C3081" s="5" t="inlineStr">
        <is>
          <t>INTERCARGAS ENCOMENDAS E CARGAS LTD</t>
        </is>
      </c>
      <c r="D3081" s="5" t="inlineStr">
        <is>
          <t>RE</t>
        </is>
      </c>
      <c r="E3081" s="5" t="n">
        <v>5017201</v>
      </c>
      <c r="F3081" s="5" t="inlineStr">
        <is>
          <t>15598-2</t>
        </is>
      </c>
      <c r="G3081" s="5" t="inlineStr">
        <is>
          <t>BRL</t>
        </is>
      </c>
      <c r="H3081" s="9" t="n">
        <v>-6682.55</v>
      </c>
      <c r="I3081" s="16" t="n">
        <v>45092</v>
      </c>
      <c r="J3081" s="16" t="n">
        <v>45143</v>
      </c>
      <c r="K3081" s="5" t="inlineStr">
        <is>
          <t>Fatura - bruto INTERCARGAS ENCOMENDAS E CARGAS LTD</t>
        </is>
      </c>
      <c r="L3081" s="5" t="n"/>
      <c r="M3081" s="5">
        <f>IF(YEAR(I3081)&lt;=2020,"Até 2020",TEXT(YEAR(I3081),"0"))</f>
        <v/>
      </c>
      <c r="N3081" s="5">
        <f>IFERROR(INDEX(DePara!$A:$A,MATCH(TEXT(B3081,"0"),DePara!$D:$D,0)),"(sem categoria)")</f>
        <v/>
      </c>
      <c r="O3081" s="5">
        <f>IF(J3081="","",Parametros!$B$6-J3081)</f>
        <v/>
      </c>
      <c r="P3081" s="5">
        <f>IF(O3081="","",IF(O3081&gt;0,1,0))</f>
        <v/>
      </c>
    </row>
    <row r="3082">
      <c r="A3082" s="5" t="n">
        <v>2111000000</v>
      </c>
      <c r="B3082" s="5" t="inlineStr">
        <is>
          <t>101687</t>
        </is>
      </c>
      <c r="C3082" s="5" t="inlineStr">
        <is>
          <t>UNIAO EDUCACIONAL T IMPACTA U IMPAC</t>
        </is>
      </c>
      <c r="D3082" s="5" t="inlineStr">
        <is>
          <t>RE</t>
        </is>
      </c>
      <c r="E3082" s="5" t="n">
        <v>5017919</v>
      </c>
      <c r="F3082" s="5" t="inlineStr">
        <is>
          <t>157663</t>
        </is>
      </c>
      <c r="G3082" s="5" t="inlineStr">
        <is>
          <t>BRL</t>
        </is>
      </c>
      <c r="H3082" s="9" t="n">
        <v>-7918.45</v>
      </c>
      <c r="I3082" s="16" t="n">
        <v>45427</v>
      </c>
      <c r="J3082" s="16" t="n">
        <v>45442</v>
      </c>
      <c r="K3082" s="5" t="inlineStr">
        <is>
          <t>Fatura - bruto UNIAO EDUCACIONAL T IMPACTA U IMPAC</t>
        </is>
      </c>
      <c r="L3082" s="5" t="inlineStr">
        <is>
          <t>CANC NF, MARCELLA</t>
        </is>
      </c>
      <c r="M3082" s="5">
        <f>IF(YEAR(I3082)&lt;=2020,"Até 2020",TEXT(YEAR(I3082),"0"))</f>
        <v/>
      </c>
      <c r="N3082" s="5">
        <f>IFERROR(INDEX(DePara!$A:$A,MATCH(TEXT(B3082,"0"),DePara!$D:$D,0)),"(sem categoria)")</f>
        <v/>
      </c>
      <c r="O3082" s="5">
        <f>IF(J3082="","",Parametros!$B$6-J3082)</f>
        <v/>
      </c>
      <c r="P3082" s="5">
        <f>IF(O3082="","",IF(O3082&gt;0,1,0))</f>
        <v/>
      </c>
    </row>
    <row r="3083">
      <c r="A3083" s="5" t="n">
        <v>2111000000</v>
      </c>
      <c r="B3083" s="5" t="inlineStr">
        <is>
          <t>100883</t>
        </is>
      </c>
      <c r="C3083" s="5" t="inlineStr">
        <is>
          <t>QUELMAR TRANSPORTES LTDA</t>
        </is>
      </c>
      <c r="D3083" s="5" t="inlineStr">
        <is>
          <t>RE</t>
        </is>
      </c>
      <c r="E3083" s="5" t="n">
        <v>5018378</v>
      </c>
      <c r="F3083" s="5" t="inlineStr">
        <is>
          <t>102178-1</t>
        </is>
      </c>
      <c r="G3083" s="5" t="inlineStr">
        <is>
          <t>BRL</t>
        </is>
      </c>
      <c r="H3083" s="9" t="n">
        <v>-0.1</v>
      </c>
      <c r="I3083" s="16" t="n">
        <v>45786</v>
      </c>
      <c r="J3083" s="16" t="n">
        <v>45843</v>
      </c>
      <c r="K3083" s="5" t="inlineStr">
        <is>
          <t>Fatura - bruto QUELMAR TRANSPORTES LTDA 102178-1</t>
        </is>
      </c>
      <c r="L3083" s="5" t="inlineStr">
        <is>
          <t>?</t>
        </is>
      </c>
      <c r="M3083" s="5">
        <f>IF(YEAR(I3083)&lt;=2020,"Até 2020",TEXT(YEAR(I3083),"0"))</f>
        <v/>
      </c>
      <c r="N3083" s="5">
        <f>IFERROR(INDEX(DePara!$A:$A,MATCH(TEXT(B3083,"0"),DePara!$D:$D,0)),"(sem categoria)")</f>
        <v/>
      </c>
      <c r="O3083" s="5">
        <f>IF(J3083="","",Parametros!$B$6-J3083)</f>
        <v/>
      </c>
      <c r="P3083" s="5">
        <f>IF(O3083="","",IF(O3083&gt;0,1,0))</f>
        <v/>
      </c>
    </row>
    <row r="3084">
      <c r="A3084" s="5" t="n">
        <v>2111000000</v>
      </c>
      <c r="B3084" s="5" t="inlineStr">
        <is>
          <t>100883</t>
        </is>
      </c>
      <c r="C3084" s="5" t="inlineStr">
        <is>
          <t>QUELMAR TRANSPORTES LTDA</t>
        </is>
      </c>
      <c r="D3084" s="5" t="inlineStr">
        <is>
          <t>RE</t>
        </is>
      </c>
      <c r="E3084" s="5" t="n">
        <v>5018385</v>
      </c>
      <c r="F3084" s="5" t="inlineStr">
        <is>
          <t>102176-1</t>
        </is>
      </c>
      <c r="G3084" s="5" t="inlineStr">
        <is>
          <t>BRL</t>
        </is>
      </c>
      <c r="H3084" s="9" t="n">
        <v>-0.1</v>
      </c>
      <c r="I3084" s="16" t="n">
        <v>45786</v>
      </c>
      <c r="J3084" s="16" t="n">
        <v>45843</v>
      </c>
      <c r="K3084" s="5" t="inlineStr">
        <is>
          <t>Fatura - bruto QUELMAR TRANSPORTES LTDA 102176-1</t>
        </is>
      </c>
      <c r="L3084" s="5" t="inlineStr">
        <is>
          <t>?</t>
        </is>
      </c>
      <c r="M3084" s="5">
        <f>IF(YEAR(I3084)&lt;=2020,"Até 2020",TEXT(YEAR(I3084),"0"))</f>
        <v/>
      </c>
      <c r="N3084" s="5">
        <f>IFERROR(INDEX(DePara!$A:$A,MATCH(TEXT(B3084,"0"),DePara!$D:$D,0)),"(sem categoria)")</f>
        <v/>
      </c>
      <c r="O3084" s="5">
        <f>IF(J3084="","",Parametros!$B$6-J3084)</f>
        <v/>
      </c>
      <c r="P3084" s="5">
        <f>IF(O3084="","",IF(O3084&gt;0,1,0))</f>
        <v/>
      </c>
    </row>
    <row r="3085">
      <c r="A3085" s="5" t="n">
        <v>2111000000</v>
      </c>
      <c r="B3085" s="5" t="inlineStr">
        <is>
          <t>100883</t>
        </is>
      </c>
      <c r="C3085" s="5" t="inlineStr">
        <is>
          <t>QUELMAR TRANSPORTES LTDA</t>
        </is>
      </c>
      <c r="D3085" s="5" t="inlineStr">
        <is>
          <t>RE</t>
        </is>
      </c>
      <c r="E3085" s="5" t="n">
        <v>5018391</v>
      </c>
      <c r="F3085" s="5" t="inlineStr">
        <is>
          <t>102177-1</t>
        </is>
      </c>
      <c r="G3085" s="5" t="inlineStr">
        <is>
          <t>BRL</t>
        </is>
      </c>
      <c r="H3085" s="9" t="n">
        <v>-0.1</v>
      </c>
      <c r="I3085" s="16" t="n">
        <v>45786</v>
      </c>
      <c r="J3085" s="16" t="n">
        <v>45843</v>
      </c>
      <c r="K3085" s="5" t="inlineStr">
        <is>
          <t>Fatura - bruto QUELMAR TRANSPORTES LTDA 102177-1</t>
        </is>
      </c>
      <c r="L3085" s="5" t="inlineStr">
        <is>
          <t>?</t>
        </is>
      </c>
      <c r="M3085" s="5">
        <f>IF(YEAR(I3085)&lt;=2020,"Até 2020",TEXT(YEAR(I3085),"0"))</f>
        <v/>
      </c>
      <c r="N3085" s="5">
        <f>IFERROR(INDEX(DePara!$A:$A,MATCH(TEXT(B3085,"0"),DePara!$D:$D,0)),"(sem categoria)")</f>
        <v/>
      </c>
      <c r="O3085" s="5">
        <f>IF(J3085="","",Parametros!$B$6-J3085)</f>
        <v/>
      </c>
      <c r="P3085" s="5">
        <f>IF(O3085="","",IF(O3085&gt;0,1,0))</f>
        <v/>
      </c>
    </row>
    <row r="3086">
      <c r="A3086" s="5" t="n">
        <v>2111000000</v>
      </c>
      <c r="B3086" s="5" t="inlineStr">
        <is>
          <t>100883</t>
        </is>
      </c>
      <c r="C3086" s="5" t="inlineStr">
        <is>
          <t>QUELMAR TRANSPORTES LTDA</t>
        </is>
      </c>
      <c r="D3086" s="5" t="inlineStr">
        <is>
          <t>RE</t>
        </is>
      </c>
      <c r="E3086" s="5" t="n">
        <v>5018476</v>
      </c>
      <c r="F3086" s="5" t="inlineStr">
        <is>
          <t>102180-1</t>
        </is>
      </c>
      <c r="G3086" s="5" t="inlineStr">
        <is>
          <t>BRL</t>
        </is>
      </c>
      <c r="H3086" s="9" t="n">
        <v>-0.1</v>
      </c>
      <c r="I3086" s="16" t="n">
        <v>45786</v>
      </c>
      <c r="J3086" s="16" t="n">
        <v>45843</v>
      </c>
      <c r="K3086" s="5" t="inlineStr">
        <is>
          <t>Fatura - bruto QUELMAR TRANSPORTES LTDA 102180-1</t>
        </is>
      </c>
      <c r="L3086" s="5" t="inlineStr">
        <is>
          <t>?</t>
        </is>
      </c>
      <c r="M3086" s="5">
        <f>IF(YEAR(I3086)&lt;=2020,"Até 2020",TEXT(YEAR(I3086),"0"))</f>
        <v/>
      </c>
      <c r="N3086" s="5">
        <f>IFERROR(INDEX(DePara!$A:$A,MATCH(TEXT(B3086,"0"),DePara!$D:$D,0)),"(sem categoria)")</f>
        <v/>
      </c>
      <c r="O3086" s="5">
        <f>IF(J3086="","",Parametros!$B$6-J3086)</f>
        <v/>
      </c>
      <c r="P3086" s="5">
        <f>IF(O3086="","",IF(O3086&gt;0,1,0))</f>
        <v/>
      </c>
    </row>
    <row r="3087">
      <c r="A3087" s="5" t="n">
        <v>2111000000</v>
      </c>
      <c r="B3087" s="5" t="inlineStr">
        <is>
          <t>100883</t>
        </is>
      </c>
      <c r="C3087" s="5" t="inlineStr">
        <is>
          <t>QUELMAR TRANSPORTES LTDA</t>
        </is>
      </c>
      <c r="D3087" s="5" t="inlineStr">
        <is>
          <t>RE</t>
        </is>
      </c>
      <c r="E3087" s="5" t="n">
        <v>5018478</v>
      </c>
      <c r="F3087" s="5" t="inlineStr">
        <is>
          <t>102181-1</t>
        </is>
      </c>
      <c r="G3087" s="5" t="inlineStr">
        <is>
          <t>BRL</t>
        </is>
      </c>
      <c r="H3087" s="9" t="n">
        <v>-0.1</v>
      </c>
      <c r="I3087" s="16" t="n">
        <v>45786</v>
      </c>
      <c r="J3087" s="16" t="n">
        <v>45843</v>
      </c>
      <c r="K3087" s="5" t="inlineStr">
        <is>
          <t>Fatura - bruto QUELMAR TRANSPORTES LTDA 102181-1</t>
        </is>
      </c>
      <c r="L3087" s="5" t="inlineStr">
        <is>
          <t>?</t>
        </is>
      </c>
      <c r="M3087" s="5">
        <f>IF(YEAR(I3087)&lt;=2020,"Até 2020",TEXT(YEAR(I3087),"0"))</f>
        <v/>
      </c>
      <c r="N3087" s="5">
        <f>IFERROR(INDEX(DePara!$A:$A,MATCH(TEXT(B3087,"0"),DePara!$D:$D,0)),"(sem categoria)")</f>
        <v/>
      </c>
      <c r="O3087" s="5">
        <f>IF(J3087="","",Parametros!$B$6-J3087)</f>
        <v/>
      </c>
      <c r="P3087" s="5">
        <f>IF(O3087="","",IF(O3087&gt;0,1,0))</f>
        <v/>
      </c>
    </row>
    <row r="3088">
      <c r="A3088" s="5" t="n">
        <v>2111000000</v>
      </c>
      <c r="B3088" s="5" t="inlineStr">
        <is>
          <t>100883</t>
        </is>
      </c>
      <c r="C3088" s="5" t="inlineStr">
        <is>
          <t>QUELMAR TRANSPORTES LTDA</t>
        </is>
      </c>
      <c r="D3088" s="5" t="inlineStr">
        <is>
          <t>RE</t>
        </is>
      </c>
      <c r="E3088" s="5" t="n">
        <v>5018479</v>
      </c>
      <c r="F3088" s="5" t="inlineStr">
        <is>
          <t>102182-1</t>
        </is>
      </c>
      <c r="G3088" s="5" t="inlineStr">
        <is>
          <t>BRL</t>
        </is>
      </c>
      <c r="H3088" s="9" t="n">
        <v>-0.1</v>
      </c>
      <c r="I3088" s="16" t="n">
        <v>45786</v>
      </c>
      <c r="J3088" s="16" t="n">
        <v>45843</v>
      </c>
      <c r="K3088" s="5" t="inlineStr">
        <is>
          <t>Fatura - bruto QUELMAR TRANSPORTES LTDA 102182-1</t>
        </is>
      </c>
      <c r="L3088" s="5" t="inlineStr">
        <is>
          <t>?</t>
        </is>
      </c>
      <c r="M3088" s="5">
        <f>IF(YEAR(I3088)&lt;=2020,"Até 2020",TEXT(YEAR(I3088),"0"))</f>
        <v/>
      </c>
      <c r="N3088" s="5">
        <f>IFERROR(INDEX(DePara!$A:$A,MATCH(TEXT(B3088,"0"),DePara!$D:$D,0)),"(sem categoria)")</f>
        <v/>
      </c>
      <c r="O3088" s="5">
        <f>IF(J3088="","",Parametros!$B$6-J3088)</f>
        <v/>
      </c>
      <c r="P3088" s="5">
        <f>IF(O3088="","",IF(O3088&gt;0,1,0))</f>
        <v/>
      </c>
    </row>
    <row r="3089">
      <c r="A3089" s="5" t="n">
        <v>2111000000</v>
      </c>
      <c r="B3089" s="5" t="inlineStr">
        <is>
          <t>103681</t>
        </is>
      </c>
      <c r="C3089" s="5" t="inlineStr">
        <is>
          <t>SECRETARIA DA FAZENDA BAHIA</t>
        </is>
      </c>
      <c r="D3089" s="5" t="inlineStr">
        <is>
          <t>KR</t>
        </is>
      </c>
      <c r="E3089" s="5" t="n">
        <v>5019210</v>
      </c>
      <c r="F3089" s="5" t="inlineStr">
        <is>
          <t>E-2024-406E-2024</t>
        </is>
      </c>
      <c r="G3089" s="5" t="inlineStr">
        <is>
          <t>BRL</t>
        </is>
      </c>
      <c r="H3089" s="9" t="n">
        <v>-4325.78</v>
      </c>
      <c r="I3089" s="16" t="n">
        <v>45379</v>
      </c>
      <c r="J3089" s="16" t="n">
        <v>45379</v>
      </c>
      <c r="K3089" s="5" t="inlineStr">
        <is>
          <t>E-2024-406E-2024-406</t>
        </is>
      </c>
      <c r="L3089" s="5" t="n"/>
      <c r="M3089" s="5">
        <f>IF(YEAR(I3089)&lt;=2020,"Até 2020",TEXT(YEAR(I3089),"0"))</f>
        <v/>
      </c>
      <c r="N3089" s="5">
        <f>IFERROR(INDEX(DePara!$A:$A,MATCH(TEXT(B3089,"0"),DePara!$D:$D,0)),"(sem categoria)")</f>
        <v/>
      </c>
      <c r="O3089" s="5">
        <f>IF(J3089="","",Parametros!$B$6-J3089)</f>
        <v/>
      </c>
      <c r="P3089" s="5">
        <f>IF(O3089="","",IF(O3089&gt;0,1,0))</f>
        <v/>
      </c>
    </row>
    <row r="3090">
      <c r="A3090" s="5" t="n">
        <v>2111000000</v>
      </c>
      <c r="B3090" s="5" t="inlineStr">
        <is>
          <t>101888</t>
        </is>
      </c>
      <c r="C3090" s="5" t="inlineStr">
        <is>
          <t>BANCO SANTANDER BRASIL SA</t>
        </is>
      </c>
      <c r="D3090" s="5" t="inlineStr">
        <is>
          <t>KR</t>
        </is>
      </c>
      <c r="E3090" s="5" t="n">
        <v>5019338</v>
      </c>
      <c r="F3090" s="5" t="inlineStr">
        <is>
          <t>CC UBER 04.2024</t>
        </is>
      </c>
      <c r="G3090" s="5" t="inlineStr">
        <is>
          <t>BRL</t>
        </is>
      </c>
      <c r="H3090" s="9" t="n">
        <v>-43058.78</v>
      </c>
      <c r="I3090" s="16" t="n">
        <v>45425</v>
      </c>
      <c r="J3090" s="16" t="n">
        <v>45425</v>
      </c>
      <c r="K3090" s="5" t="inlineStr">
        <is>
          <t>Fatura do fornecedor BANCO SANTANDER BRASIL SA CC</t>
        </is>
      </c>
      <c r="L3090" s="5" t="n"/>
      <c r="M3090" s="5">
        <f>IF(YEAR(I3090)&lt;=2020,"Até 2020",TEXT(YEAR(I3090),"0"))</f>
        <v/>
      </c>
      <c r="N3090" s="5">
        <f>IFERROR(INDEX(DePara!$A:$A,MATCH(TEXT(B3090,"0"),DePara!$D:$D,0)),"(sem categoria)")</f>
        <v/>
      </c>
      <c r="O3090" s="5">
        <f>IF(J3090="","",Parametros!$B$6-J3090)</f>
        <v/>
      </c>
      <c r="P3090" s="5">
        <f>IF(O3090="","",IF(O3090&gt;0,1,0))</f>
        <v/>
      </c>
    </row>
    <row r="3091">
      <c r="A3091" s="5" t="n">
        <v>2111000000</v>
      </c>
      <c r="B3091" s="5" t="inlineStr">
        <is>
          <t>101560</t>
        </is>
      </c>
      <c r="C3091" s="5" t="inlineStr">
        <is>
          <t>SINDICATO DOS DESPACHANTES ADUANEIR DE SAO PAULO SINDASP</t>
        </is>
      </c>
      <c r="D3091" s="5" t="inlineStr">
        <is>
          <t>KR</t>
        </is>
      </c>
      <c r="E3091" s="5" t="n">
        <v>5019434</v>
      </c>
      <c r="F3091" s="5" t="inlineStr">
        <is>
          <t>6821081</t>
        </is>
      </c>
      <c r="G3091" s="5" t="inlineStr">
        <is>
          <t>BRL</t>
        </is>
      </c>
      <c r="H3091" s="9" t="n">
        <v>-500</v>
      </c>
      <c r="I3091" s="16" t="n">
        <v>45205</v>
      </c>
      <c r="J3091" s="16" t="n">
        <v>45205</v>
      </c>
      <c r="K3091" s="5" t="inlineStr">
        <is>
          <t>96012751</t>
        </is>
      </c>
      <c r="L3091" s="5" t="n"/>
      <c r="M3091" s="5">
        <f>IF(YEAR(I3091)&lt;=2020,"Até 2020",TEXT(YEAR(I3091),"0"))</f>
        <v/>
      </c>
      <c r="N3091" s="5">
        <f>IFERROR(INDEX(DePara!$A:$A,MATCH(TEXT(B3091,"0"),DePara!$D:$D,0)),"(sem categoria)")</f>
        <v/>
      </c>
      <c r="O3091" s="5">
        <f>IF(J3091="","",Parametros!$B$6-J3091)</f>
        <v/>
      </c>
      <c r="P3091" s="5">
        <f>IF(O3091="","",IF(O3091&gt;0,1,0))</f>
        <v/>
      </c>
    </row>
    <row r="3092">
      <c r="A3092" s="5" t="n">
        <v>2111000000</v>
      </c>
      <c r="B3092" s="5" t="inlineStr">
        <is>
          <t>103681</t>
        </is>
      </c>
      <c r="C3092" s="5" t="inlineStr">
        <is>
          <t>SECRETARIA DA FAZENDA BAHIA</t>
        </is>
      </c>
      <c r="D3092" s="5" t="inlineStr">
        <is>
          <t>KR</t>
        </is>
      </c>
      <c r="E3092" s="5" t="n">
        <v>5019436</v>
      </c>
      <c r="F3092" s="5" t="inlineStr">
        <is>
          <t>96012751</t>
        </is>
      </c>
      <c r="G3092" s="5" t="inlineStr">
        <is>
          <t>BRL</t>
        </is>
      </c>
      <c r="H3092" s="9" t="n">
        <v>-200.35</v>
      </c>
      <c r="I3092" s="16" t="n">
        <v>45205</v>
      </c>
      <c r="J3092" s="16" t="n">
        <v>45205</v>
      </c>
      <c r="K3092" s="5" t="inlineStr">
        <is>
          <t>96012751</t>
        </is>
      </c>
      <c r="L3092" s="5" t="n"/>
      <c r="M3092" s="5">
        <f>IF(YEAR(I3092)&lt;=2020,"Até 2020",TEXT(YEAR(I3092),"0"))</f>
        <v/>
      </c>
      <c r="N3092" s="5">
        <f>IFERROR(INDEX(DePara!$A:$A,MATCH(TEXT(B3092,"0"),DePara!$D:$D,0)),"(sem categoria)")</f>
        <v/>
      </c>
      <c r="O3092" s="5">
        <f>IF(J3092="","",Parametros!$B$6-J3092)</f>
        <v/>
      </c>
      <c r="P3092" s="5">
        <f>IF(O3092="","",IF(O3092&gt;0,1,0))</f>
        <v/>
      </c>
    </row>
    <row r="3093">
      <c r="A3093" s="5" t="n">
        <v>2111000000</v>
      </c>
      <c r="B3093" s="5" t="inlineStr">
        <is>
          <t>101560</t>
        </is>
      </c>
      <c r="C3093" s="5" t="inlineStr">
        <is>
          <t>SINDICATO DOS DESPACHANTES ADUANEIR DE SAO PAULO SINDASP</t>
        </is>
      </c>
      <c r="D3093" s="5" t="inlineStr">
        <is>
          <t>KR</t>
        </is>
      </c>
      <c r="E3093" s="5" t="n">
        <v>5019438</v>
      </c>
      <c r="F3093" s="5" t="inlineStr">
        <is>
          <t>6821734</t>
        </is>
      </c>
      <c r="G3093" s="5" t="inlineStr">
        <is>
          <t>BRL</t>
        </is>
      </c>
      <c r="H3093" s="9" t="n">
        <v>-500</v>
      </c>
      <c r="I3093" s="16" t="n">
        <v>45208</v>
      </c>
      <c r="J3093" s="16" t="n">
        <v>45208</v>
      </c>
      <c r="K3093" s="5" t="inlineStr">
        <is>
          <t>4012341704 / 4012341705</t>
        </is>
      </c>
      <c r="L3093" s="5" t="n"/>
      <c r="M3093" s="5">
        <f>IF(YEAR(I3093)&lt;=2020,"Até 2020",TEXT(YEAR(I3093),"0"))</f>
        <v/>
      </c>
      <c r="N3093" s="5">
        <f>IFERROR(INDEX(DePara!$A:$A,MATCH(TEXT(B3093,"0"),DePara!$D:$D,0)),"(sem categoria)")</f>
        <v/>
      </c>
      <c r="O3093" s="5">
        <f>IF(J3093="","",Parametros!$B$6-J3093)</f>
        <v/>
      </c>
      <c r="P3093" s="5">
        <f>IF(O3093="","",IF(O3093&gt;0,1,0))</f>
        <v/>
      </c>
    </row>
    <row r="3094">
      <c r="A3094" s="5" t="n">
        <v>2111000000</v>
      </c>
      <c r="B3094" s="5" t="inlineStr">
        <is>
          <t>101560</t>
        </is>
      </c>
      <c r="C3094" s="5" t="inlineStr">
        <is>
          <t>SINDICATO DOS DESPACHANTES ADUANEIR DE SAO PAULO SINDASP</t>
        </is>
      </c>
      <c r="D3094" s="5" t="inlineStr">
        <is>
          <t>KR</t>
        </is>
      </c>
      <c r="E3094" s="5" t="n">
        <v>5019479</v>
      </c>
      <c r="F3094" s="5" t="inlineStr">
        <is>
          <t>6827393</t>
        </is>
      </c>
      <c r="G3094" s="5" t="inlineStr">
        <is>
          <t>BRL</t>
        </is>
      </c>
      <c r="H3094" s="9" t="n">
        <v>-500</v>
      </c>
      <c r="I3094" s="16" t="n">
        <v>45216</v>
      </c>
      <c r="J3094" s="16" t="n">
        <v>45216</v>
      </c>
      <c r="K3094" s="5" t="inlineStr">
        <is>
          <t>4012341701 4012341707 4012341703 4012341706</t>
        </is>
      </c>
      <c r="L3094" s="5" t="n"/>
      <c r="M3094" s="5">
        <f>IF(YEAR(I3094)&lt;=2020,"Até 2020",TEXT(YEAR(I3094),"0"))</f>
        <v/>
      </c>
      <c r="N3094" s="5">
        <f>IFERROR(INDEX(DePara!$A:$A,MATCH(TEXT(B3094,"0"),DePara!$D:$D,0)),"(sem categoria)")</f>
        <v/>
      </c>
      <c r="O3094" s="5">
        <f>IF(J3094="","",Parametros!$B$6-J3094)</f>
        <v/>
      </c>
      <c r="P3094" s="5">
        <f>IF(O3094="","",IF(O3094&gt;0,1,0))</f>
        <v/>
      </c>
    </row>
    <row r="3095">
      <c r="A3095" s="5" t="n">
        <v>2111000000</v>
      </c>
      <c r="B3095" s="5" t="inlineStr">
        <is>
          <t>100883</t>
        </is>
      </c>
      <c r="C3095" s="5" t="inlineStr">
        <is>
          <t>QUELMAR TRANSPORTES LTDA</t>
        </is>
      </c>
      <c r="D3095" s="5" t="inlineStr">
        <is>
          <t>RE</t>
        </is>
      </c>
      <c r="E3095" s="5" t="n">
        <v>5019787</v>
      </c>
      <c r="F3095" s="5" t="inlineStr">
        <is>
          <t>102179-1</t>
        </is>
      </c>
      <c r="G3095" s="5" t="inlineStr">
        <is>
          <t>BRL</t>
        </is>
      </c>
      <c r="H3095" s="9" t="n">
        <v>-0.1</v>
      </c>
      <c r="I3095" s="16" t="n">
        <v>45786</v>
      </c>
      <c r="J3095" s="16" t="n">
        <v>45843</v>
      </c>
      <c r="K3095" s="5" t="inlineStr">
        <is>
          <t>Fatura - bruto QUELMAR TRANSPORTES LTDA 102179-1</t>
        </is>
      </c>
      <c r="L3095" s="5" t="inlineStr">
        <is>
          <t>?</t>
        </is>
      </c>
      <c r="M3095" s="5">
        <f>IF(YEAR(I3095)&lt;=2020,"Até 2020",TEXT(YEAR(I3095),"0"))</f>
        <v/>
      </c>
      <c r="N3095" s="5">
        <f>IFERROR(INDEX(DePara!$A:$A,MATCH(TEXT(B3095,"0"),DePara!$D:$D,0)),"(sem categoria)")</f>
        <v/>
      </c>
      <c r="O3095" s="5">
        <f>IF(J3095="","",Parametros!$B$6-J3095)</f>
        <v/>
      </c>
      <c r="P3095" s="5">
        <f>IF(O3095="","",IF(O3095&gt;0,1,0))</f>
        <v/>
      </c>
    </row>
    <row r="3096">
      <c r="A3096" s="5" t="n">
        <v>2111000000</v>
      </c>
      <c r="B3096" s="5" t="inlineStr">
        <is>
          <t>101222</t>
        </is>
      </c>
      <c r="C3096" s="5" t="inlineStr">
        <is>
          <t>AGROPECUARIA CANOA MIRIM SA</t>
        </is>
      </c>
      <c r="D3096" s="5" t="inlineStr">
        <is>
          <t>RE</t>
        </is>
      </c>
      <c r="E3096" s="5" t="n">
        <v>5020386</v>
      </c>
      <c r="F3096" s="5" t="inlineStr">
        <is>
          <t>202407</t>
        </is>
      </c>
      <c r="G3096" s="5" t="inlineStr">
        <is>
          <t>BRL</t>
        </is>
      </c>
      <c r="H3096" s="9" t="n">
        <v>-8000</v>
      </c>
      <c r="I3096" s="16" t="n">
        <v>45448</v>
      </c>
      <c r="J3096" s="16" t="n">
        <v>45478</v>
      </c>
      <c r="K3096" s="5" t="inlineStr">
        <is>
          <t>Invoice Receipt MM AGROPECUARIA CANOA MIRIM SA 202</t>
        </is>
      </c>
      <c r="L3096" s="5" t="inlineStr">
        <is>
          <t>BLOQUEADO, LUCIANA</t>
        </is>
      </c>
      <c r="M3096" s="5">
        <f>IF(YEAR(I3096)&lt;=2020,"Até 2020",TEXT(YEAR(I3096),"0"))</f>
        <v/>
      </c>
      <c r="N3096" s="5">
        <f>IFERROR(INDEX(DePara!$A:$A,MATCH(TEXT(B3096,"0"),DePara!$D:$D,0)),"(sem categoria)")</f>
        <v/>
      </c>
      <c r="O3096" s="5">
        <f>IF(J3096="","",Parametros!$B$6-J3096)</f>
        <v/>
      </c>
      <c r="P3096" s="5">
        <f>IF(O3096="","",IF(O3096&gt;0,1,0))</f>
        <v/>
      </c>
    </row>
    <row r="3097">
      <c r="A3097" s="5" t="n">
        <v>2111000000</v>
      </c>
      <c r="B3097" s="5" t="inlineStr">
        <is>
          <t>100855</t>
        </is>
      </c>
      <c r="C3097" s="5" t="inlineStr">
        <is>
          <t>LAVITA SERVICOS DE LAVANDERIA E TIN</t>
        </is>
      </c>
      <c r="D3097" s="5" t="inlineStr">
        <is>
          <t>RE</t>
        </is>
      </c>
      <c r="E3097" s="5" t="n">
        <v>5021035</v>
      </c>
      <c r="F3097" s="5" t="inlineStr">
        <is>
          <t>1119</t>
        </is>
      </c>
      <c r="G3097" s="5" t="inlineStr">
        <is>
          <t>BRL</t>
        </is>
      </c>
      <c r="H3097" s="9" t="n">
        <v>-256</v>
      </c>
      <c r="I3097" s="16" t="n">
        <v>45812</v>
      </c>
      <c r="J3097" s="16" t="n">
        <v>45842</v>
      </c>
      <c r="K3097" s="5" t="inlineStr">
        <is>
          <t>Fatura - bruto LAVITA SERVICOS DE LAVANDERIA E TIN</t>
        </is>
      </c>
      <c r="L3097" s="5" t="inlineStr">
        <is>
          <t>bloqueada</t>
        </is>
      </c>
      <c r="M3097" s="5">
        <f>IF(YEAR(I3097)&lt;=2020,"Até 2020",TEXT(YEAR(I3097),"0"))</f>
        <v/>
      </c>
      <c r="N3097" s="5">
        <f>IFERROR(INDEX(DePara!$A:$A,MATCH(TEXT(B3097,"0"),DePara!$D:$D,0)),"(sem categoria)")</f>
        <v/>
      </c>
      <c r="O3097" s="5">
        <f>IF(J3097="","",Parametros!$B$6-J3097)</f>
        <v/>
      </c>
      <c r="P3097" s="5">
        <f>IF(O3097="","",IF(O3097&gt;0,1,0))</f>
        <v/>
      </c>
    </row>
    <row r="3098">
      <c r="A3098" s="5" t="n">
        <v>2111000000</v>
      </c>
      <c r="B3098" s="5" t="inlineStr">
        <is>
          <t>105237</t>
        </is>
      </c>
      <c r="C3098" s="5" t="inlineStr">
        <is>
          <t>TGP BRASIL PROJETOS &amp; TRANSPORTES I 07752487000108</t>
        </is>
      </c>
      <c r="D3098" s="5" t="inlineStr">
        <is>
          <t>RE</t>
        </is>
      </c>
      <c r="E3098" s="5" t="n">
        <v>5027000</v>
      </c>
      <c r="F3098" s="5" t="inlineStr">
        <is>
          <t>0877/24</t>
        </is>
      </c>
      <c r="G3098" s="5" t="inlineStr">
        <is>
          <t>BRL</t>
        </is>
      </c>
      <c r="H3098" s="9" t="n">
        <v>-5786.41</v>
      </c>
      <c r="I3098" s="16" t="n">
        <v>45863</v>
      </c>
      <c r="J3098" s="16" t="n">
        <v>45903</v>
      </c>
      <c r="K3098" s="5" t="inlineStr">
        <is>
          <t>Invoice Payment. SP: 9194</t>
        </is>
      </c>
      <c r="L3098" s="5" t="inlineStr">
        <is>
          <t>0877/24</t>
        </is>
      </c>
      <c r="M3098" s="5">
        <f>IF(YEAR(I3098)&lt;=2020,"Até 2020",TEXT(YEAR(I3098),"0"))</f>
        <v/>
      </c>
      <c r="N3098" s="5">
        <f>IFERROR(INDEX(DePara!$A:$A,MATCH(TEXT(B3098,"0"),DePara!$D:$D,0)),"(sem categoria)")</f>
        <v/>
      </c>
      <c r="O3098" s="5">
        <f>IF(J3098="","",Parametros!$B$6-J3098)</f>
        <v/>
      </c>
      <c r="P3098" s="5">
        <f>IF(O3098="","",IF(O3098&gt;0,1,0))</f>
        <v/>
      </c>
    </row>
    <row r="3099">
      <c r="A3099" s="5" t="n">
        <v>2111000000</v>
      </c>
      <c r="B3099" s="5" t="inlineStr">
        <is>
          <t>101560</t>
        </is>
      </c>
      <c r="C3099" s="5" t="inlineStr">
        <is>
          <t>SINDICATO DOS DESPACHANTES ADUANEIR DE SAO PAULO SINDASP</t>
        </is>
      </c>
      <c r="D3099" s="5" t="inlineStr">
        <is>
          <t>KR</t>
        </is>
      </c>
      <c r="E3099" s="5" t="n">
        <v>5028362</v>
      </c>
      <c r="F3099" s="5" t="inlineStr">
        <is>
          <t>3130586</t>
        </is>
      </c>
      <c r="G3099" s="5" t="inlineStr">
        <is>
          <t>BRL</t>
        </is>
      </c>
      <c r="H3099" s="9" t="n">
        <v>-500</v>
      </c>
      <c r="I3099" s="16" t="n">
        <v>45882</v>
      </c>
      <c r="J3099" s="16" t="n">
        <v>45882</v>
      </c>
      <c r="K3099" s="5" t="inlineStr">
        <is>
          <t>Fatura do fornecedor SINDICATO DOS DESPACHANTES AD</t>
        </is>
      </c>
      <c r="L3099" s="5" t="n"/>
      <c r="M3099" s="5">
        <f>IF(YEAR(I3099)&lt;=2020,"Até 2020",TEXT(YEAR(I3099),"0"))</f>
        <v/>
      </c>
      <c r="N3099" s="5">
        <f>IFERROR(INDEX(DePara!$A:$A,MATCH(TEXT(B3099,"0"),DePara!$D:$D,0)),"(sem categoria)")</f>
        <v/>
      </c>
      <c r="O3099" s="5">
        <f>IF(J3099="","",Parametros!$B$6-J3099)</f>
        <v/>
      </c>
      <c r="P3099" s="5">
        <f>IF(O3099="","",IF(O3099&gt;0,1,0))</f>
        <v/>
      </c>
    </row>
    <row r="3100">
      <c r="A3100" s="5" t="n">
        <v>2111000000</v>
      </c>
      <c r="B3100" s="5" t="inlineStr">
        <is>
          <t>103927</t>
        </is>
      </c>
      <c r="C3100" s="5" t="inlineStr">
        <is>
          <t>MOVIDA PARTICIPACOES</t>
        </is>
      </c>
      <c r="D3100" s="5" t="inlineStr">
        <is>
          <t>KR</t>
        </is>
      </c>
      <c r="E3100" s="5" t="n">
        <v>5028596</v>
      </c>
      <c r="F3100" s="5" t="inlineStr">
        <is>
          <t>6850918</t>
        </is>
      </c>
      <c r="G3100" s="5" t="inlineStr">
        <is>
          <t>BRL</t>
        </is>
      </c>
      <c r="H3100" s="9" t="n">
        <v>-195.23</v>
      </c>
      <c r="I3100" s="16" t="n">
        <v>45807</v>
      </c>
      <c r="J3100" s="16" t="n">
        <v>45843</v>
      </c>
      <c r="K3100" s="5" t="inlineStr">
        <is>
          <t>Vendor Invoice MOVIDA PARTICIPACOES 6850918</t>
        </is>
      </c>
      <c r="L3100" s="5" t="inlineStr">
        <is>
          <t>VERIFICAR</t>
        </is>
      </c>
      <c r="M3100" s="5">
        <f>IF(YEAR(I3100)&lt;=2020,"Até 2020",TEXT(YEAR(I3100),"0"))</f>
        <v/>
      </c>
      <c r="N3100" s="5">
        <f>IFERROR(INDEX(DePara!$A:$A,MATCH(TEXT(B3100,"0"),DePara!$D:$D,0)),"(sem categoria)")</f>
        <v/>
      </c>
      <c r="O3100" s="5">
        <f>IF(J3100="","",Parametros!$B$6-J3100)</f>
        <v/>
      </c>
      <c r="P3100" s="5">
        <f>IF(O3100="","",IF(O3100&gt;0,1,0))</f>
        <v/>
      </c>
    </row>
    <row r="3101">
      <c r="A3101" s="5" t="n">
        <v>2111000000</v>
      </c>
      <c r="B3101" s="5" t="inlineStr">
        <is>
          <t>103927</t>
        </is>
      </c>
      <c r="C3101" s="5" t="inlineStr">
        <is>
          <t>MOVIDA PARTICIPACOES</t>
        </is>
      </c>
      <c r="D3101" s="5" t="inlineStr">
        <is>
          <t>KR</t>
        </is>
      </c>
      <c r="E3101" s="5" t="n">
        <v>5028597</v>
      </c>
      <c r="F3101" s="5" t="inlineStr">
        <is>
          <t>6849930</t>
        </is>
      </c>
      <c r="G3101" s="5" t="inlineStr">
        <is>
          <t>BRL</t>
        </is>
      </c>
      <c r="H3101" s="9" t="n">
        <v>-1737.08</v>
      </c>
      <c r="I3101" s="16" t="n">
        <v>45807</v>
      </c>
      <c r="J3101" s="16" t="n">
        <v>45843</v>
      </c>
      <c r="K3101" s="5" t="inlineStr">
        <is>
          <t>Vendor Invoice MOVIDA PARTICIPACOES 6849930</t>
        </is>
      </c>
      <c r="L3101" s="5" t="inlineStr">
        <is>
          <t>VERIFICAR</t>
        </is>
      </c>
      <c r="M3101" s="5">
        <f>IF(YEAR(I3101)&lt;=2020,"Até 2020",TEXT(YEAR(I3101),"0"))</f>
        <v/>
      </c>
      <c r="N3101" s="5">
        <f>IFERROR(INDEX(DePara!$A:$A,MATCH(TEXT(B3101,"0"),DePara!$D:$D,0)),"(sem categoria)")</f>
        <v/>
      </c>
      <c r="O3101" s="5">
        <f>IF(J3101="","",Parametros!$B$6-J3101)</f>
        <v/>
      </c>
      <c r="P3101" s="5">
        <f>IF(O3101="","",IF(O3101&gt;0,1,0))</f>
        <v/>
      </c>
    </row>
    <row r="3102">
      <c r="A3102" s="5" t="n">
        <v>2111000000</v>
      </c>
      <c r="B3102" s="5" t="inlineStr">
        <is>
          <t>100028</t>
        </is>
      </c>
      <c r="C3102" s="5" t="inlineStr">
        <is>
          <t>SUPPLOG PORTO SECO DE IPOJUCA LTDA</t>
        </is>
      </c>
      <c r="D3102" s="5" t="inlineStr">
        <is>
          <t>KR</t>
        </is>
      </c>
      <c r="E3102" s="5" t="n">
        <v>5028763</v>
      </c>
      <c r="F3102" s="5" t="inlineStr">
        <is>
          <t>230000506</t>
        </is>
      </c>
      <c r="G3102" s="5" t="inlineStr">
        <is>
          <t>BRL</t>
        </is>
      </c>
      <c r="H3102" s="9" t="n">
        <v>-11749.63</v>
      </c>
      <c r="I3102" s="16" t="n">
        <v>45883</v>
      </c>
      <c r="J3102" s="16" t="n">
        <v>45935</v>
      </c>
      <c r="K3102" s="5" t="inlineStr">
        <is>
          <t>Fatura do fornecedor SUPPLOG PORTO SECO DE IPOJUCA</t>
        </is>
      </c>
      <c r="L3102" s="5" t="inlineStr">
        <is>
          <t>06102025</t>
        </is>
      </c>
      <c r="M3102" s="5">
        <f>IF(YEAR(I3102)&lt;=2020,"Até 2020",TEXT(YEAR(I3102),"0"))</f>
        <v/>
      </c>
      <c r="N3102" s="5">
        <f>IFERROR(INDEX(DePara!$A:$A,MATCH(TEXT(B3102,"0"),DePara!$D:$D,0)),"(sem categoria)")</f>
        <v/>
      </c>
      <c r="O3102" s="5">
        <f>IF(J3102="","",Parametros!$B$6-J3102)</f>
        <v/>
      </c>
      <c r="P3102" s="5">
        <f>IF(O3102="","",IF(O3102&gt;0,1,0))</f>
        <v/>
      </c>
    </row>
    <row r="3103">
      <c r="A3103" s="5" t="n">
        <v>2111000000</v>
      </c>
      <c r="B3103" s="5" t="inlineStr">
        <is>
          <t>101569</t>
        </is>
      </c>
      <c r="C3103" s="5" t="inlineStr">
        <is>
          <t>SECRETARIA DA FAZENDA CEARA</t>
        </is>
      </c>
      <c r="D3103" s="5" t="inlineStr">
        <is>
          <t>RE</t>
        </is>
      </c>
      <c r="E3103" s="5" t="n">
        <v>5029330</v>
      </c>
      <c r="F3103" s="5" t="inlineStr">
        <is>
          <t>0063/25</t>
        </is>
      </c>
      <c r="G3103" s="5" t="inlineStr">
        <is>
          <t>BRL</t>
        </is>
      </c>
      <c r="H3103" s="9" t="n">
        <v>-33369.66</v>
      </c>
      <c r="I3103" s="16" t="n">
        <v>45887</v>
      </c>
      <c r="J3103" s="16" t="n">
        <v>45917</v>
      </c>
      <c r="K3103" s="5" t="inlineStr">
        <is>
          <t>Invoice Payment. SP: 10119</t>
        </is>
      </c>
      <c r="L3103" s="5" t="inlineStr">
        <is>
          <t>0063/25</t>
        </is>
      </c>
      <c r="M3103" s="5">
        <f>IF(YEAR(I3103)&lt;=2020,"Até 2020",TEXT(YEAR(I3103),"0"))</f>
        <v/>
      </c>
      <c r="N3103" s="5">
        <f>IFERROR(INDEX(DePara!$A:$A,MATCH(TEXT(B3103,"0"),DePara!$D:$D,0)),"(sem categoria)")</f>
        <v/>
      </c>
      <c r="O3103" s="5">
        <f>IF(J3103="","",Parametros!$B$6-J3103)</f>
        <v/>
      </c>
      <c r="P3103" s="5">
        <f>IF(O3103="","",IF(O3103&gt;0,1,0))</f>
        <v/>
      </c>
    </row>
    <row r="3104">
      <c r="A3104" s="5" t="n">
        <v>2111000000</v>
      </c>
      <c r="B3104" s="5" t="inlineStr">
        <is>
          <t>100183</t>
        </is>
      </c>
      <c r="C3104" s="5" t="inlineStr">
        <is>
          <t>AGL TRANSPORTES INTERNACIONAIS LTDA</t>
        </is>
      </c>
      <c r="D3104" s="5" t="inlineStr">
        <is>
          <t>RE</t>
        </is>
      </c>
      <c r="E3104" s="5" t="n">
        <v>5030208</v>
      </c>
      <c r="F3104" s="5" t="inlineStr">
        <is>
          <t>0044/25</t>
        </is>
      </c>
      <c r="G3104" s="5" t="inlineStr">
        <is>
          <t>BRL</t>
        </is>
      </c>
      <c r="H3104" s="9" t="n">
        <v>-1481.4</v>
      </c>
      <c r="I3104" s="16" t="n">
        <v>45890</v>
      </c>
      <c r="J3104" s="16" t="n">
        <v>45950</v>
      </c>
      <c r="K3104" s="5" t="inlineStr">
        <is>
          <t>Invoice Payment. SP: 10417</t>
        </is>
      </c>
      <c r="L3104" s="5" t="inlineStr">
        <is>
          <t>0044/25</t>
        </is>
      </c>
      <c r="M3104" s="5">
        <f>IF(YEAR(I3104)&lt;=2020,"Até 2020",TEXT(YEAR(I3104),"0"))</f>
        <v/>
      </c>
      <c r="N3104" s="5">
        <f>IFERROR(INDEX(DePara!$A:$A,MATCH(TEXT(B3104,"0"),DePara!$D:$D,0)),"(sem categoria)")</f>
        <v/>
      </c>
      <c r="O3104" s="5">
        <f>IF(J3104="","",Parametros!$B$6-J3104)</f>
        <v/>
      </c>
      <c r="P3104" s="5">
        <f>IF(O3104="","",IF(O3104&gt;0,1,0))</f>
        <v/>
      </c>
    </row>
    <row r="3105">
      <c r="A3105" s="5" t="n">
        <v>2111000000</v>
      </c>
      <c r="B3105" s="5" t="inlineStr">
        <is>
          <t>100183</t>
        </is>
      </c>
      <c r="C3105" s="5" t="inlineStr">
        <is>
          <t>AGL TRANSPORTES INTERNACIONAIS LTDA</t>
        </is>
      </c>
      <c r="D3105" s="5" t="inlineStr">
        <is>
          <t>RE</t>
        </is>
      </c>
      <c r="E3105" s="5" t="n">
        <v>5030217</v>
      </c>
      <c r="F3105" s="5" t="inlineStr">
        <is>
          <t>1178/24</t>
        </is>
      </c>
      <c r="G3105" s="5" t="inlineStr">
        <is>
          <t>BRL</t>
        </is>
      </c>
      <c r="H3105" s="9" t="n">
        <v>-8024.25</v>
      </c>
      <c r="I3105" s="16" t="n">
        <v>45890</v>
      </c>
      <c r="J3105" s="16" t="n">
        <v>45950</v>
      </c>
      <c r="K3105" s="5" t="inlineStr">
        <is>
          <t>Invoice Payment. SP: 10418</t>
        </is>
      </c>
      <c r="L3105" s="5" t="inlineStr">
        <is>
          <t>1178/24</t>
        </is>
      </c>
      <c r="M3105" s="5">
        <f>IF(YEAR(I3105)&lt;=2020,"Até 2020",TEXT(YEAR(I3105),"0"))</f>
        <v/>
      </c>
      <c r="N3105" s="5">
        <f>IFERROR(INDEX(DePara!$A:$A,MATCH(TEXT(B3105,"0"),DePara!$D:$D,0)),"(sem categoria)")</f>
        <v/>
      </c>
      <c r="O3105" s="5">
        <f>IF(J3105="","",Parametros!$B$6-J3105)</f>
        <v/>
      </c>
      <c r="P3105" s="5">
        <f>IF(O3105="","",IF(O3105&gt;0,1,0))</f>
        <v/>
      </c>
    </row>
    <row r="3106">
      <c r="A3106" s="5" t="n">
        <v>2111000000</v>
      </c>
      <c r="B3106" s="5" t="inlineStr">
        <is>
          <t>100124</t>
        </is>
      </c>
      <c r="C3106" s="5" t="inlineStr">
        <is>
          <t>PERMETAL S A METAIS PERFURADOS</t>
        </is>
      </c>
      <c r="D3106" s="5" t="inlineStr">
        <is>
          <t>RE</t>
        </is>
      </c>
      <c r="E3106" s="5" t="n">
        <v>5031268</v>
      </c>
      <c r="F3106" s="5" t="inlineStr">
        <is>
          <t>000028602-2</t>
        </is>
      </c>
      <c r="G3106" s="5" t="inlineStr">
        <is>
          <t>BRL</t>
        </is>
      </c>
      <c r="H3106" s="9" t="n">
        <v>-102594.3</v>
      </c>
      <c r="I3106" s="16" t="n">
        <v>45891</v>
      </c>
      <c r="J3106" s="16" t="n">
        <v>45951</v>
      </c>
      <c r="K3106" s="5" t="inlineStr">
        <is>
          <t>Aguard CC para baixar</t>
        </is>
      </c>
      <c r="L3106" s="5" t="inlineStr">
        <is>
          <t>Aguard CC_baixar</t>
        </is>
      </c>
      <c r="M3106" s="5">
        <f>IF(YEAR(I3106)&lt;=2020,"Até 2020",TEXT(YEAR(I3106),"0"))</f>
        <v/>
      </c>
      <c r="N3106" s="5">
        <f>IFERROR(INDEX(DePara!$A:$A,MATCH(TEXT(B3106,"0"),DePara!$D:$D,0)),"(sem categoria)")</f>
        <v/>
      </c>
      <c r="O3106" s="5">
        <f>IF(J3106="","",Parametros!$B$6-J3106)</f>
        <v/>
      </c>
      <c r="P3106" s="5">
        <f>IF(O3106="","",IF(O3106&gt;0,1,0))</f>
        <v/>
      </c>
    </row>
    <row r="3107">
      <c r="A3107" s="5" t="n">
        <v>2111000000</v>
      </c>
      <c r="B3107" s="5" t="inlineStr">
        <is>
          <t>100124</t>
        </is>
      </c>
      <c r="C3107" s="5" t="inlineStr">
        <is>
          <t>PERMETAL S A METAIS PERFURADOS</t>
        </is>
      </c>
      <c r="D3107" s="5" t="inlineStr">
        <is>
          <t>RE</t>
        </is>
      </c>
      <c r="E3107" s="5" t="n">
        <v>5031269</v>
      </c>
      <c r="F3107" s="5" t="inlineStr">
        <is>
          <t>000028603-2</t>
        </is>
      </c>
      <c r="G3107" s="5" t="inlineStr">
        <is>
          <t>BRL</t>
        </is>
      </c>
      <c r="H3107" s="9" t="n">
        <v>-1646.25</v>
      </c>
      <c r="I3107" s="16" t="n">
        <v>45891</v>
      </c>
      <c r="J3107" s="16" t="n">
        <v>45951</v>
      </c>
      <c r="K3107" s="5" t="inlineStr">
        <is>
          <t>Aguard CC para baixar</t>
        </is>
      </c>
      <c r="L3107" s="5" t="inlineStr">
        <is>
          <t>Aguard CC_baixar</t>
        </is>
      </c>
      <c r="M3107" s="5">
        <f>IF(YEAR(I3107)&lt;=2020,"Até 2020",TEXT(YEAR(I3107),"0"))</f>
        <v/>
      </c>
      <c r="N3107" s="5">
        <f>IFERROR(INDEX(DePara!$A:$A,MATCH(TEXT(B3107,"0"),DePara!$D:$D,0)),"(sem categoria)")</f>
        <v/>
      </c>
      <c r="O3107" s="5">
        <f>IF(J3107="","",Parametros!$B$6-J3107)</f>
        <v/>
      </c>
      <c r="P3107" s="5">
        <f>IF(O3107="","",IF(O3107&gt;0,1,0))</f>
        <v/>
      </c>
    </row>
    <row r="3108">
      <c r="A3108" s="5" t="n">
        <v>2111000000</v>
      </c>
      <c r="B3108" s="5" t="inlineStr">
        <is>
          <t>100183</t>
        </is>
      </c>
      <c r="C3108" s="5" t="inlineStr">
        <is>
          <t>AGL TRANSPORTES INTERNACIONAIS LTDA</t>
        </is>
      </c>
      <c r="D3108" s="5" t="inlineStr">
        <is>
          <t>RE</t>
        </is>
      </c>
      <c r="E3108" s="5" t="n">
        <v>5031564</v>
      </c>
      <c r="F3108" s="5" t="inlineStr">
        <is>
          <t>0012/25</t>
        </is>
      </c>
      <c r="G3108" s="5" t="inlineStr">
        <is>
          <t>BRL</t>
        </is>
      </c>
      <c r="H3108" s="9" t="n">
        <v>-13332.6</v>
      </c>
      <c r="I3108" s="16" t="n">
        <v>45898</v>
      </c>
      <c r="J3108" s="16" t="n">
        <v>45958</v>
      </c>
      <c r="K3108" s="5" t="inlineStr">
        <is>
          <t>Invoice Payment. SP: 10717</t>
        </is>
      </c>
      <c r="L3108" s="5" t="inlineStr">
        <is>
          <t>0012/25</t>
        </is>
      </c>
      <c r="M3108" s="5">
        <f>IF(YEAR(I3108)&lt;=2020,"Até 2020",TEXT(YEAR(I3108),"0"))</f>
        <v/>
      </c>
      <c r="N3108" s="5">
        <f>IFERROR(INDEX(DePara!$A:$A,MATCH(TEXT(B3108,"0"),DePara!$D:$D,0)),"(sem categoria)")</f>
        <v/>
      </c>
      <c r="O3108" s="5">
        <f>IF(J3108="","",Parametros!$B$6-J3108)</f>
        <v/>
      </c>
      <c r="P3108" s="5">
        <f>IF(O3108="","",IF(O3108&gt;0,1,0))</f>
        <v/>
      </c>
    </row>
    <row r="3109">
      <c r="A3109" s="5" t="n">
        <v>2111000000</v>
      </c>
      <c r="B3109" s="5" t="inlineStr">
        <is>
          <t>102057</t>
        </is>
      </c>
      <c r="C3109" s="5" t="inlineStr">
        <is>
          <t>AERIS INDUSTRIA E COM EQUI GERACAO</t>
        </is>
      </c>
      <c r="D3109" s="5" t="inlineStr">
        <is>
          <t>RE</t>
        </is>
      </c>
      <c r="E3109" s="5" t="n">
        <v>5031779</v>
      </c>
      <c r="F3109" s="5" t="inlineStr">
        <is>
          <t>108301-1</t>
        </is>
      </c>
      <c r="G3109" s="5" t="inlineStr">
        <is>
          <t>BRL</t>
        </is>
      </c>
      <c r="H3109" s="9" t="n">
        <v>-2051549.79</v>
      </c>
      <c r="I3109" s="16" t="n">
        <v>45838</v>
      </c>
      <c r="J3109" s="16" t="n">
        <v>45874</v>
      </c>
      <c r="K3109" s="5" t="inlineStr">
        <is>
          <t>NF COMPLEMENTAR REF NF 103483-1 29.09.2024</t>
        </is>
      </c>
      <c r="L3109" s="5" t="inlineStr">
        <is>
          <t>nao pagar</t>
        </is>
      </c>
      <c r="M3109" s="5">
        <f>IF(YEAR(I3109)&lt;=2020,"Até 2020",TEXT(YEAR(I3109),"0"))</f>
        <v/>
      </c>
      <c r="N3109" s="5">
        <f>IFERROR(INDEX(DePara!$A:$A,MATCH(TEXT(B3109,"0"),DePara!$D:$D,0)),"(sem categoria)")</f>
        <v/>
      </c>
      <c r="O3109" s="5">
        <f>IF(J3109="","",Parametros!$B$6-J3109)</f>
        <v/>
      </c>
      <c r="P3109" s="5">
        <f>IF(O3109="","",IF(O3109&gt;0,1,0))</f>
        <v/>
      </c>
    </row>
    <row r="3110">
      <c r="A3110" s="5" t="n">
        <v>2111000000</v>
      </c>
      <c r="B3110" s="5" t="inlineStr">
        <is>
          <t>101836</t>
        </is>
      </c>
      <c r="C3110" s="5" t="inlineStr">
        <is>
          <t>SIKA S/A</t>
        </is>
      </c>
      <c r="D3110" s="5" t="inlineStr">
        <is>
          <t>RE</t>
        </is>
      </c>
      <c r="E3110" s="5" t="n">
        <v>5032159</v>
      </c>
      <c r="F3110" s="5" t="inlineStr">
        <is>
          <t>000086412-14</t>
        </is>
      </c>
      <c r="G3110" s="5" t="inlineStr">
        <is>
          <t>BRL</t>
        </is>
      </c>
      <c r="H3110" s="9" t="n">
        <v>-9020.719999999999</v>
      </c>
      <c r="I3110" s="16" t="n">
        <v>45909</v>
      </c>
      <c r="J3110" s="16" t="n">
        <v>45996</v>
      </c>
      <c r="K3110" s="5" t="inlineStr">
        <is>
          <t>Fatura - bruto SIKA S/A 000086412-14</t>
        </is>
      </c>
      <c r="L3110" s="5" t="inlineStr">
        <is>
          <t>aguard OK fiscal</t>
        </is>
      </c>
      <c r="M3110" s="5">
        <f>IF(YEAR(I3110)&lt;=2020,"Até 2020",TEXT(YEAR(I3110),"0"))</f>
        <v/>
      </c>
      <c r="N3110" s="5">
        <f>IFERROR(INDEX(DePara!$A:$A,MATCH(TEXT(B3110,"0"),DePara!$D:$D,0)),"(sem categoria)")</f>
        <v/>
      </c>
      <c r="O3110" s="5">
        <f>IF(J3110="","",Parametros!$B$6-J3110)</f>
        <v/>
      </c>
      <c r="P3110" s="5">
        <f>IF(O3110="","",IF(O3110&gt;0,1,0))</f>
        <v/>
      </c>
    </row>
    <row r="3111">
      <c r="A3111" s="5" t="n">
        <v>2111000000</v>
      </c>
      <c r="B3111" s="5" t="inlineStr">
        <is>
          <t>107311</t>
        </is>
      </c>
      <c r="C3111" s="5" t="inlineStr">
        <is>
          <t>BRS SUPRIMENTOS CORPORATIVOS S A</t>
        </is>
      </c>
      <c r="D3111" s="5" t="inlineStr">
        <is>
          <t>RE</t>
        </is>
      </c>
      <c r="E3111" s="5" t="n">
        <v>5032186</v>
      </c>
      <c r="F3111" s="5" t="inlineStr">
        <is>
          <t>2453998-2</t>
        </is>
      </c>
      <c r="G3111" s="5" t="inlineStr">
        <is>
          <t>BRL</t>
        </is>
      </c>
      <c r="H3111" s="9" t="n">
        <v>-614.6799999999999</v>
      </c>
      <c r="I3111" s="16" t="n">
        <v>45068</v>
      </c>
      <c r="J3111" s="16" t="n">
        <v>45910</v>
      </c>
      <c r="K3111" s="5" t="inlineStr">
        <is>
          <t>Fatura - bruto BRS SUPRIMENTOS CORPORATIVOS S A 24</t>
        </is>
      </c>
      <c r="L3111" s="5" t="inlineStr">
        <is>
          <t>REGULARIZAÇÃO</t>
        </is>
      </c>
      <c r="M3111" s="5">
        <f>IF(YEAR(I3111)&lt;=2020,"Até 2020",TEXT(YEAR(I3111),"0"))</f>
        <v/>
      </c>
      <c r="N3111" s="5">
        <f>IFERROR(INDEX(DePara!$A:$A,MATCH(TEXT(B3111,"0"),DePara!$D:$D,0)),"(sem categoria)")</f>
        <v/>
      </c>
      <c r="O3111" s="5">
        <f>IF(J3111="","",Parametros!$B$6-J3111)</f>
        <v/>
      </c>
      <c r="P3111" s="5">
        <f>IF(O3111="","",IF(O3111&gt;0,1,0))</f>
        <v/>
      </c>
    </row>
    <row r="3112">
      <c r="A3112" s="5" t="n">
        <v>2111000000</v>
      </c>
      <c r="B3112" s="5" t="inlineStr">
        <is>
          <t>100390</t>
        </is>
      </c>
      <c r="C3112" s="5" t="inlineStr">
        <is>
          <t>GREEN ENERGIA SERVICOS TECNICOS DE</t>
        </is>
      </c>
      <c r="D3112" s="5" t="inlineStr">
        <is>
          <t>RE</t>
        </is>
      </c>
      <c r="E3112" s="5" t="n">
        <v>5033079</v>
      </c>
      <c r="F3112" s="5" t="inlineStr">
        <is>
          <t>211</t>
        </is>
      </c>
      <c r="G3112" s="5" t="inlineStr">
        <is>
          <t>BRL</t>
        </is>
      </c>
      <c r="H3112" s="9" t="n">
        <v>-15961.92</v>
      </c>
      <c r="I3112" s="16" t="n">
        <v>45159</v>
      </c>
      <c r="J3112" s="16" t="n">
        <v>45204</v>
      </c>
      <c r="K3112" s="5" t="inlineStr">
        <is>
          <t>DI  23/1177584-6 - 19/06/2023.</t>
        </is>
      </c>
      <c r="L3112" s="5" t="inlineStr">
        <is>
          <t>DI  23/1177584-6</t>
        </is>
      </c>
      <c r="M3112" s="5">
        <f>IF(YEAR(I3112)&lt;=2020,"Até 2020",TEXT(YEAR(I3112),"0"))</f>
        <v/>
      </c>
      <c r="N3112" s="5">
        <f>IFERROR(INDEX(DePara!$A:$A,MATCH(TEXT(B3112,"0"),DePara!$D:$D,0)),"(sem categoria)")</f>
        <v/>
      </c>
      <c r="O3112" s="5">
        <f>IF(J3112="","",Parametros!$B$6-J3112)</f>
        <v/>
      </c>
      <c r="P3112" s="5">
        <f>IF(O3112="","",IF(O3112&gt;0,1,0))</f>
        <v/>
      </c>
    </row>
    <row r="3113">
      <c r="A3113" s="5" t="n">
        <v>2111000000</v>
      </c>
      <c r="B3113" s="5" t="inlineStr">
        <is>
          <t>101222</t>
        </is>
      </c>
      <c r="C3113" s="5" t="inlineStr">
        <is>
          <t>AGROPECUARIA CANOA MIRIM SA</t>
        </is>
      </c>
      <c r="D3113" s="5" t="inlineStr">
        <is>
          <t>RE</t>
        </is>
      </c>
      <c r="E3113" s="5" t="n">
        <v>5033112</v>
      </c>
      <c r="F3113" s="5" t="inlineStr">
        <is>
          <t>202408</t>
        </is>
      </c>
      <c r="G3113" s="5" t="inlineStr">
        <is>
          <t>BRL</t>
        </is>
      </c>
      <c r="H3113" s="9" t="n">
        <v>-8000</v>
      </c>
      <c r="I3113" s="16" t="n">
        <v>45478</v>
      </c>
      <c r="J3113" s="16" t="n">
        <v>45509</v>
      </c>
      <c r="K3113" s="5" t="inlineStr">
        <is>
          <t>Fatura - bruto AGROPECUARIA CANOA MIRIM SA 202408</t>
        </is>
      </c>
      <c r="L3113" s="5" t="inlineStr">
        <is>
          <t>BLOQUEADO, LUCIANA</t>
        </is>
      </c>
      <c r="M3113" s="5">
        <f>IF(YEAR(I3113)&lt;=2020,"Até 2020",TEXT(YEAR(I3113),"0"))</f>
        <v/>
      </c>
      <c r="N3113" s="5">
        <f>IFERROR(INDEX(DePara!$A:$A,MATCH(TEXT(B3113,"0"),DePara!$D:$D,0)),"(sem categoria)")</f>
        <v/>
      </c>
      <c r="O3113" s="5">
        <f>IF(J3113="","",Parametros!$B$6-J3113)</f>
        <v/>
      </c>
      <c r="P3113" s="5">
        <f>IF(O3113="","",IF(O3113&gt;0,1,0))</f>
        <v/>
      </c>
    </row>
    <row r="3114">
      <c r="A3114" s="5" t="n">
        <v>2111000000</v>
      </c>
      <c r="B3114" s="5" t="inlineStr">
        <is>
          <t>101222</t>
        </is>
      </c>
      <c r="C3114" s="5" t="inlineStr">
        <is>
          <t>AGROPECUARIA CANOA MIRIM SA</t>
        </is>
      </c>
      <c r="D3114" s="5" t="inlineStr">
        <is>
          <t>RE</t>
        </is>
      </c>
      <c r="E3114" s="5" t="n">
        <v>5033115</v>
      </c>
      <c r="F3114" s="5" t="inlineStr">
        <is>
          <t>202409</t>
        </is>
      </c>
      <c r="G3114" s="5" t="inlineStr">
        <is>
          <t>BRL</t>
        </is>
      </c>
      <c r="H3114" s="9" t="n">
        <v>-8000</v>
      </c>
      <c r="I3114" s="16" t="n">
        <v>45509</v>
      </c>
      <c r="J3114" s="16" t="n">
        <v>45540</v>
      </c>
      <c r="K3114" s="5" t="inlineStr">
        <is>
          <t>Fatura - bruto AGROPECUARIA CANOA MIRIM SA 202409</t>
        </is>
      </c>
      <c r="L3114" s="5" t="inlineStr">
        <is>
          <t>BLOQUEADO, LUCIANA</t>
        </is>
      </c>
      <c r="M3114" s="5">
        <f>IF(YEAR(I3114)&lt;=2020,"Até 2020",TEXT(YEAR(I3114),"0"))</f>
        <v/>
      </c>
      <c r="N3114" s="5">
        <f>IFERROR(INDEX(DePara!$A:$A,MATCH(TEXT(B3114,"0"),DePara!$D:$D,0)),"(sem categoria)")</f>
        <v/>
      </c>
      <c r="O3114" s="5">
        <f>IF(J3114="","",Parametros!$B$6-J3114)</f>
        <v/>
      </c>
      <c r="P3114" s="5">
        <f>IF(O3114="","",IF(O3114&gt;0,1,0))</f>
        <v/>
      </c>
    </row>
    <row r="3115">
      <c r="A3115" s="5" t="n">
        <v>2111000000</v>
      </c>
      <c r="B3115" s="5" t="inlineStr">
        <is>
          <t>101255</t>
        </is>
      </c>
      <c r="C3115" s="5" t="inlineStr">
        <is>
          <t>WILSON SONS LOGISTICA LTDA</t>
        </is>
      </c>
      <c r="D3115" s="5" t="inlineStr">
        <is>
          <t>RE</t>
        </is>
      </c>
      <c r="E3115" s="5" t="n">
        <v>5033251</v>
      </c>
      <c r="F3115" s="5" t="inlineStr">
        <is>
          <t>4592</t>
        </is>
      </c>
      <c r="G3115" s="5" t="inlineStr">
        <is>
          <t>BRL</t>
        </is>
      </c>
      <c r="H3115" s="9" t="n">
        <v>-1080</v>
      </c>
      <c r="I3115" s="16" t="n">
        <v>45127</v>
      </c>
      <c r="J3115" s="16" t="n">
        <v>45127</v>
      </c>
      <c r="K3115" s="5" t="inlineStr">
        <is>
          <t>DI  23/1177584-6 - 19/06/2023.</t>
        </is>
      </c>
      <c r="L3115" s="5" t="inlineStr">
        <is>
          <t>DI  23/1177584-6</t>
        </is>
      </c>
      <c r="M3115" s="5">
        <f>IF(YEAR(I3115)&lt;=2020,"Até 2020",TEXT(YEAR(I3115),"0"))</f>
        <v/>
      </c>
      <c r="N3115" s="5">
        <f>IFERROR(INDEX(DePara!$A:$A,MATCH(TEXT(B3115,"0"),DePara!$D:$D,0)),"(sem categoria)")</f>
        <v/>
      </c>
      <c r="O3115" s="5">
        <f>IF(J3115="","",Parametros!$B$6-J3115)</f>
        <v/>
      </c>
      <c r="P3115" s="5">
        <f>IF(O3115="","",IF(O3115&gt;0,1,0))</f>
        <v/>
      </c>
    </row>
    <row r="3116">
      <c r="A3116" s="5" t="n">
        <v>2111000000</v>
      </c>
      <c r="B3116" s="5" t="inlineStr">
        <is>
          <t>102118</t>
        </is>
      </c>
      <c r="C3116" s="5" t="inlineStr">
        <is>
          <t>EMP BRASILEIRA DE CORREIOS E TELEGR</t>
        </is>
      </c>
      <c r="D3116" s="5" t="inlineStr">
        <is>
          <t>RE</t>
        </is>
      </c>
      <c r="E3116" s="5" t="n">
        <v>5033779</v>
      </c>
      <c r="F3116" s="5" t="inlineStr">
        <is>
          <t>336011</t>
        </is>
      </c>
      <c r="G3116" s="5" t="inlineStr">
        <is>
          <t>BRL</t>
        </is>
      </c>
      <c r="H3116" s="9" t="n">
        <v>-16.05</v>
      </c>
      <c r="I3116" s="16" t="n">
        <v>45882</v>
      </c>
      <c r="J3116" s="16" t="n">
        <v>45882</v>
      </c>
      <c r="K3116" s="5" t="inlineStr">
        <is>
          <t>Fatura - bruto EMP BRASILEIRA DE CORREIOS E TELEGR</t>
        </is>
      </c>
      <c r="L3116" s="5" t="inlineStr">
        <is>
          <t>LANÇADO 2X</t>
        </is>
      </c>
      <c r="M3116" s="5">
        <f>IF(YEAR(I3116)&lt;=2020,"Até 2020",TEXT(YEAR(I3116),"0"))</f>
        <v/>
      </c>
      <c r="N3116" s="5">
        <f>IFERROR(INDEX(DePara!$A:$A,MATCH(TEXT(B3116,"0"),DePara!$D:$D,0)),"(sem categoria)")</f>
        <v/>
      </c>
      <c r="O3116" s="5">
        <f>IF(J3116="","",Parametros!$B$6-J3116)</f>
        <v/>
      </c>
      <c r="P3116" s="5">
        <f>IF(O3116="","",IF(O3116&gt;0,1,0))</f>
        <v/>
      </c>
    </row>
    <row r="3117">
      <c r="A3117" s="5" t="n">
        <v>2111000000</v>
      </c>
      <c r="B3117" s="5" t="inlineStr">
        <is>
          <t>102118</t>
        </is>
      </c>
      <c r="C3117" s="5" t="inlineStr">
        <is>
          <t>EMP BRASILEIRA DE CORREIOS E TELEGR</t>
        </is>
      </c>
      <c r="D3117" s="5" t="inlineStr">
        <is>
          <t>RE</t>
        </is>
      </c>
      <c r="E3117" s="5" t="n">
        <v>5033781</v>
      </c>
      <c r="F3117" s="5" t="inlineStr">
        <is>
          <t>336012</t>
        </is>
      </c>
      <c r="G3117" s="5" t="inlineStr">
        <is>
          <t>BRL</t>
        </is>
      </c>
      <c r="H3117" s="9" t="n">
        <v>-470.11</v>
      </c>
      <c r="I3117" s="16" t="n">
        <v>45882</v>
      </c>
      <c r="J3117" s="16" t="n">
        <v>45882</v>
      </c>
      <c r="K3117" s="5" t="inlineStr">
        <is>
          <t>00190000090212652908634883800178111850000047010</t>
        </is>
      </c>
      <c r="L3117" s="5" t="inlineStr">
        <is>
          <t>15102025</t>
        </is>
      </c>
      <c r="M3117" s="5">
        <f>IF(YEAR(I3117)&lt;=2020,"Até 2020",TEXT(YEAR(I3117),"0"))</f>
        <v/>
      </c>
      <c r="N3117" s="5">
        <f>IFERROR(INDEX(DePara!$A:$A,MATCH(TEXT(B3117,"0"),DePara!$D:$D,0)),"(sem categoria)")</f>
        <v/>
      </c>
      <c r="O3117" s="5">
        <f>IF(J3117="","",Parametros!$B$6-J3117)</f>
        <v/>
      </c>
      <c r="P3117" s="5">
        <f>IF(O3117="","",IF(O3117&gt;0,1,0))</f>
        <v/>
      </c>
    </row>
    <row r="3118">
      <c r="A3118" s="5" t="n">
        <v>2111000000</v>
      </c>
      <c r="B3118" s="5" t="inlineStr">
        <is>
          <t>100124</t>
        </is>
      </c>
      <c r="C3118" s="5" t="inlineStr">
        <is>
          <t>PERMETAL S A METAIS PERFURADOS</t>
        </is>
      </c>
      <c r="D3118" s="5" t="inlineStr">
        <is>
          <t>RE</t>
        </is>
      </c>
      <c r="E3118" s="5" t="n">
        <v>5034028</v>
      </c>
      <c r="F3118" s="5" t="inlineStr">
        <is>
          <t>000029157-2</t>
        </is>
      </c>
      <c r="G3118" s="5" t="inlineStr">
        <is>
          <t>BRL</t>
        </is>
      </c>
      <c r="H3118" s="9" t="n">
        <v>-70086.35000000001</v>
      </c>
      <c r="I3118" s="16" t="n">
        <v>45924</v>
      </c>
      <c r="J3118" s="16" t="n">
        <v>45984</v>
      </c>
      <c r="K3118" s="5" t="inlineStr">
        <is>
          <t>Aguard CC para baixar</t>
        </is>
      </c>
      <c r="L3118" s="5" t="inlineStr">
        <is>
          <t>Aguard CC_baixar</t>
        </is>
      </c>
      <c r="M3118" s="5">
        <f>IF(YEAR(I3118)&lt;=2020,"Até 2020",TEXT(YEAR(I3118),"0"))</f>
        <v/>
      </c>
      <c r="N3118" s="5">
        <f>IFERROR(INDEX(DePara!$A:$A,MATCH(TEXT(B3118,"0"),DePara!$D:$D,0)),"(sem categoria)")</f>
        <v/>
      </c>
      <c r="O3118" s="5">
        <f>IF(J3118="","",Parametros!$B$6-J3118)</f>
        <v/>
      </c>
      <c r="P3118" s="5">
        <f>IF(O3118="","",IF(O3118&gt;0,1,0))</f>
        <v/>
      </c>
    </row>
    <row r="3119">
      <c r="A3119" s="5" t="n">
        <v>2111000000</v>
      </c>
      <c r="B3119" s="5" t="inlineStr">
        <is>
          <t>101836</t>
        </is>
      </c>
      <c r="C3119" s="5" t="inlineStr">
        <is>
          <t>SIKA S/A</t>
        </is>
      </c>
      <c r="D3119" s="5" t="inlineStr">
        <is>
          <t>RE</t>
        </is>
      </c>
      <c r="E3119" s="5" t="n">
        <v>5035255</v>
      </c>
      <c r="F3119" s="5" t="inlineStr">
        <is>
          <t>000086412-14</t>
        </is>
      </c>
      <c r="G3119" s="5" t="inlineStr">
        <is>
          <t>BRL</t>
        </is>
      </c>
      <c r="H3119" s="9" t="n">
        <v>902.0700000000001</v>
      </c>
      <c r="I3119" s="16" t="n">
        <v>45946</v>
      </c>
      <c r="J3119" s="16" t="n">
        <v>45996</v>
      </c>
      <c r="K3119" s="5" t="inlineStr">
        <is>
          <t>Fatura - bruto SIKA S/A 000086412-14</t>
        </is>
      </c>
      <c r="L3119" s="5" t="inlineStr">
        <is>
          <t>aguard OK fiscal</t>
        </is>
      </c>
      <c r="M3119" s="5">
        <f>IF(YEAR(I3119)&lt;=2020,"Até 2020",TEXT(YEAR(I3119),"0"))</f>
        <v/>
      </c>
      <c r="N3119" s="5">
        <f>IFERROR(INDEX(DePara!$A:$A,MATCH(TEXT(B3119,"0"),DePara!$D:$D,0)),"(sem categoria)")</f>
        <v/>
      </c>
      <c r="O3119" s="5">
        <f>IF(J3119="","",Parametros!$B$6-J3119)</f>
        <v/>
      </c>
      <c r="P3119" s="5">
        <f>IF(O3119="","",IF(O3119&gt;0,1,0))</f>
        <v/>
      </c>
    </row>
    <row r="3120">
      <c r="A3120" s="5" t="n">
        <v>2111000000</v>
      </c>
      <c r="B3120" s="5" t="inlineStr">
        <is>
          <t>100469</t>
        </is>
      </c>
      <c r="C3120" s="5" t="inlineStr">
        <is>
          <t>NELSON HEUSI LOGISTICA E ARMAZENS G</t>
        </is>
      </c>
      <c r="D3120" s="5" t="inlineStr">
        <is>
          <t>RE</t>
        </is>
      </c>
      <c r="E3120" s="5" t="n">
        <v>5036811</v>
      </c>
      <c r="F3120" s="5" t="inlineStr">
        <is>
          <t>138414</t>
        </is>
      </c>
      <c r="G3120" s="5" t="inlineStr">
        <is>
          <t>BRL</t>
        </is>
      </c>
      <c r="H3120" s="9" t="n">
        <v>-411.45</v>
      </c>
      <c r="I3120" s="16" t="n">
        <v>45135</v>
      </c>
      <c r="J3120" s="16" t="n">
        <v>45174</v>
      </c>
      <c r="K3120" s="5" t="inlineStr">
        <is>
          <t>Fatura - bruto NELSON HEUSI LOGISTICA E ARMAZENS G</t>
        </is>
      </c>
      <c r="L3120" s="5" t="inlineStr">
        <is>
          <t>Despachantes</t>
        </is>
      </c>
      <c r="M3120" s="5">
        <f>IF(YEAR(I3120)&lt;=2020,"Até 2020",TEXT(YEAR(I3120),"0"))</f>
        <v/>
      </c>
      <c r="N3120" s="5">
        <f>IFERROR(INDEX(DePara!$A:$A,MATCH(TEXT(B3120,"0"),DePara!$D:$D,0)),"(sem categoria)")</f>
        <v/>
      </c>
      <c r="O3120" s="5">
        <f>IF(J3120="","",Parametros!$B$6-J3120)</f>
        <v/>
      </c>
      <c r="P3120" s="5">
        <f>IF(O3120="","",IF(O3120&gt;0,1,0))</f>
        <v/>
      </c>
    </row>
    <row r="3121">
      <c r="A3121" s="5" t="n">
        <v>2111000000</v>
      </c>
      <c r="B3121" s="5" t="inlineStr">
        <is>
          <t>101948</t>
        </is>
      </c>
      <c r="C3121" s="5" t="inlineStr">
        <is>
          <t>INSTITUTO BRAS DO MEIO AMBIEN E DOS</t>
        </is>
      </c>
      <c r="D3121" s="5" t="inlineStr">
        <is>
          <t>KR</t>
        </is>
      </c>
      <c r="E3121" s="5" t="n">
        <v>5037192</v>
      </c>
      <c r="F3121" s="5" t="inlineStr">
        <is>
          <t>54036182</t>
        </is>
      </c>
      <c r="G3121" s="5" t="inlineStr">
        <is>
          <t>BRL</t>
        </is>
      </c>
      <c r="H3121" s="9" t="n">
        <v>-34300.68</v>
      </c>
      <c r="I3121" s="16" t="n">
        <v>45971</v>
      </c>
      <c r="J3121" s="16" t="n">
        <v>45971</v>
      </c>
      <c r="K3121" s="5" t="inlineStr">
        <is>
          <t>Fatura do fornecedor INSTITUTO BRAS DO MEIO AMBIEN</t>
        </is>
      </c>
      <c r="L3121" s="5" t="inlineStr">
        <is>
          <t>05122025</t>
        </is>
      </c>
      <c r="M3121" s="5">
        <f>IF(YEAR(I3121)&lt;=2020,"Até 2020",TEXT(YEAR(I3121),"0"))</f>
        <v/>
      </c>
      <c r="N3121" s="5">
        <f>IFERROR(INDEX(DePara!$A:$A,MATCH(TEXT(B3121,"0"),DePara!$D:$D,0)),"(sem categoria)")</f>
        <v/>
      </c>
      <c r="O3121" s="5">
        <f>IF(J3121="","",Parametros!$B$6-J3121)</f>
        <v/>
      </c>
      <c r="P3121" s="5">
        <f>IF(O3121="","",IF(O3121&gt;0,1,0))</f>
        <v/>
      </c>
    </row>
    <row r="3122">
      <c r="A3122" s="5" t="n">
        <v>2111000000</v>
      </c>
      <c r="B3122" s="5" t="inlineStr">
        <is>
          <t>100469</t>
        </is>
      </c>
      <c r="C3122" s="5" t="inlineStr">
        <is>
          <t>NELSON HEUSI LOGISTICA E ARMAZENS G</t>
        </is>
      </c>
      <c r="D3122" s="5" t="inlineStr">
        <is>
          <t>RE</t>
        </is>
      </c>
      <c r="E3122" s="5" t="n">
        <v>5037627</v>
      </c>
      <c r="F3122" s="5" t="inlineStr">
        <is>
          <t>151912</t>
        </is>
      </c>
      <c r="G3122" s="5" t="inlineStr">
        <is>
          <t>BRL</t>
        </is>
      </c>
      <c r="H3122" s="9" t="n">
        <v>-424.45</v>
      </c>
      <c r="I3122" s="16" t="n">
        <v>45226</v>
      </c>
      <c r="J3122" s="16" t="n">
        <v>45265</v>
      </c>
      <c r="K3122" s="5" t="inlineStr">
        <is>
          <t>Fatura - bruto NELSON HEUSI LOGISTICA E ARMAZENS G</t>
        </is>
      </c>
      <c r="L3122" s="5" t="inlineStr">
        <is>
          <t>0054/24</t>
        </is>
      </c>
      <c r="M3122" s="5">
        <f>IF(YEAR(I3122)&lt;=2020,"Até 2020",TEXT(YEAR(I3122),"0"))</f>
        <v/>
      </c>
      <c r="N3122" s="5">
        <f>IFERROR(INDEX(DePara!$A:$A,MATCH(TEXT(B3122,"0"),DePara!$D:$D,0)),"(sem categoria)")</f>
        <v/>
      </c>
      <c r="O3122" s="5">
        <f>IF(J3122="","",Parametros!$B$6-J3122)</f>
        <v/>
      </c>
      <c r="P3122" s="5">
        <f>IF(O3122="","",IF(O3122&gt;0,1,0))</f>
        <v/>
      </c>
    </row>
    <row r="3123">
      <c r="A3123" s="5" t="n">
        <v>2111000000</v>
      </c>
      <c r="B3123" s="5" t="inlineStr">
        <is>
          <t>100469</t>
        </is>
      </c>
      <c r="C3123" s="5" t="inlineStr">
        <is>
          <t>NELSON HEUSI LOGISTICA E ARMAZENS G</t>
        </is>
      </c>
      <c r="D3123" s="5" t="inlineStr">
        <is>
          <t>RE</t>
        </is>
      </c>
      <c r="E3123" s="5" t="n">
        <v>5037639</v>
      </c>
      <c r="F3123" s="5" t="inlineStr">
        <is>
          <t>136096</t>
        </is>
      </c>
      <c r="G3123" s="5" t="inlineStr">
        <is>
          <t>BRL</t>
        </is>
      </c>
      <c r="H3123" s="9" t="n">
        <v>-416.83</v>
      </c>
      <c r="I3123" s="16" t="n">
        <v>45118</v>
      </c>
      <c r="J3123" s="16" t="n">
        <v>45174</v>
      </c>
      <c r="K3123" s="5" t="inlineStr">
        <is>
          <t>Fatura - bruto NELSON HEUSI LOGISTICA E ARMAZENS G</t>
        </is>
      </c>
      <c r="L3123" s="5" t="inlineStr">
        <is>
          <t>Não Gera Pgto.</t>
        </is>
      </c>
      <c r="M3123" s="5">
        <f>IF(YEAR(I3123)&lt;=2020,"Até 2020",TEXT(YEAR(I3123),"0"))</f>
        <v/>
      </c>
      <c r="N3123" s="5">
        <f>IFERROR(INDEX(DePara!$A:$A,MATCH(TEXT(B3123,"0"),DePara!$D:$D,0)),"(sem categoria)")</f>
        <v/>
      </c>
      <c r="O3123" s="5">
        <f>IF(J3123="","",Parametros!$B$6-J3123)</f>
        <v/>
      </c>
      <c r="P3123" s="5">
        <f>IF(O3123="","",IF(O3123&gt;0,1,0))</f>
        <v/>
      </c>
    </row>
    <row r="3124">
      <c r="A3124" s="5" t="n">
        <v>2111000000</v>
      </c>
      <c r="B3124" s="5" t="inlineStr">
        <is>
          <t>100469</t>
        </is>
      </c>
      <c r="C3124" s="5" t="inlineStr">
        <is>
          <t>NELSON HEUSI LOGISTICA E ARMAZENS G</t>
        </is>
      </c>
      <c r="D3124" s="5" t="inlineStr">
        <is>
          <t>RE</t>
        </is>
      </c>
      <c r="E3124" s="5" t="n">
        <v>5037641</v>
      </c>
      <c r="F3124" s="5" t="inlineStr">
        <is>
          <t>138296</t>
        </is>
      </c>
      <c r="G3124" s="5" t="inlineStr">
        <is>
          <t>BRL</t>
        </is>
      </c>
      <c r="H3124" s="9" t="n">
        <v>-1013.61</v>
      </c>
      <c r="I3124" s="16" t="n">
        <v>45134</v>
      </c>
      <c r="J3124" s="16" t="n">
        <v>45174</v>
      </c>
      <c r="K3124" s="5" t="inlineStr">
        <is>
          <t>Fatura - bruto NELSON HEUSI LOGISTICA E ARMAZENS G</t>
        </is>
      </c>
      <c r="L3124" s="5" t="inlineStr">
        <is>
          <t>Não Gera Pgto.</t>
        </is>
      </c>
      <c r="M3124" s="5">
        <f>IF(YEAR(I3124)&lt;=2020,"Até 2020",TEXT(YEAR(I3124),"0"))</f>
        <v/>
      </c>
      <c r="N3124" s="5">
        <f>IFERROR(INDEX(DePara!$A:$A,MATCH(TEXT(B3124,"0"),DePara!$D:$D,0)),"(sem categoria)")</f>
        <v/>
      </c>
      <c r="O3124" s="5">
        <f>IF(J3124="","",Parametros!$B$6-J3124)</f>
        <v/>
      </c>
      <c r="P3124" s="5">
        <f>IF(O3124="","",IF(O3124&gt;0,1,0))</f>
        <v/>
      </c>
    </row>
    <row r="3125">
      <c r="A3125" s="5" t="n">
        <v>2111000000</v>
      </c>
      <c r="B3125" s="5" t="inlineStr">
        <is>
          <t>100469</t>
        </is>
      </c>
      <c r="C3125" s="5" t="inlineStr">
        <is>
          <t>NELSON HEUSI LOGISTICA E ARMAZENS G</t>
        </is>
      </c>
      <c r="D3125" s="5" t="inlineStr">
        <is>
          <t>RE</t>
        </is>
      </c>
      <c r="E3125" s="5" t="n">
        <v>5037647</v>
      </c>
      <c r="F3125" s="5" t="inlineStr">
        <is>
          <t>135832</t>
        </is>
      </c>
      <c r="G3125" s="5" t="inlineStr">
        <is>
          <t>BRL</t>
        </is>
      </c>
      <c r="H3125" s="9" t="n">
        <v>-1050.98</v>
      </c>
      <c r="I3125" s="16" t="n">
        <v>45114</v>
      </c>
      <c r="J3125" s="16" t="n">
        <v>45174</v>
      </c>
      <c r="K3125" s="5" t="inlineStr">
        <is>
          <t>Fatura - bruto NELSON HEUSI LOGISTICA E ARMAZENS G</t>
        </is>
      </c>
      <c r="L3125" s="5" t="inlineStr">
        <is>
          <t>Despachantes</t>
        </is>
      </c>
      <c r="M3125" s="5">
        <f>IF(YEAR(I3125)&lt;=2020,"Até 2020",TEXT(YEAR(I3125),"0"))</f>
        <v/>
      </c>
      <c r="N3125" s="5">
        <f>IFERROR(INDEX(DePara!$A:$A,MATCH(TEXT(B3125,"0"),DePara!$D:$D,0)),"(sem categoria)")</f>
        <v/>
      </c>
      <c r="O3125" s="5">
        <f>IF(J3125="","",Parametros!$B$6-J3125)</f>
        <v/>
      </c>
      <c r="P3125" s="5">
        <f>IF(O3125="","",IF(O3125&gt;0,1,0))</f>
        <v/>
      </c>
    </row>
    <row r="3126">
      <c r="A3126" s="5" t="n">
        <v>2111000000</v>
      </c>
      <c r="B3126" s="5" t="inlineStr">
        <is>
          <t>101540</t>
        </is>
      </c>
      <c r="C3126" s="5" t="inlineStr">
        <is>
          <t>RICOH PY EQUIPAMENTOS DE INFORMATIC</t>
        </is>
      </c>
      <c r="D3126" s="5" t="inlineStr">
        <is>
          <t>RE</t>
        </is>
      </c>
      <c r="E3126" s="5" t="n">
        <v>5038357</v>
      </c>
      <c r="F3126" s="5" t="inlineStr">
        <is>
          <t>13967</t>
        </is>
      </c>
      <c r="G3126" s="5" t="inlineStr">
        <is>
          <t>BRL</t>
        </is>
      </c>
      <c r="H3126" s="9" t="n">
        <v>-2585.87</v>
      </c>
      <c r="I3126" s="16" t="n">
        <v>45987</v>
      </c>
      <c r="J3126" s="16" t="n">
        <v>46017</v>
      </c>
      <c r="K3126" s="5" t="inlineStr">
        <is>
          <t>Fatura - bruto RICOH PY EQUIPAMENTOS DE INFORMATIC</t>
        </is>
      </c>
      <c r="L3126" s="5" t="inlineStr">
        <is>
          <t>BLOQUEADO</t>
        </is>
      </c>
      <c r="M3126" s="5">
        <f>IF(YEAR(I3126)&lt;=2020,"Até 2020",TEXT(YEAR(I3126),"0"))</f>
        <v/>
      </c>
      <c r="N3126" s="5">
        <f>IFERROR(INDEX(DePara!$A:$A,MATCH(TEXT(B3126,"0"),DePara!$D:$D,0)),"(sem categoria)")</f>
        <v/>
      </c>
      <c r="O3126" s="5">
        <f>IF(J3126="","",Parametros!$B$6-J3126)</f>
        <v/>
      </c>
      <c r="P3126" s="5">
        <f>IF(O3126="","",IF(O3126&gt;0,1,0))</f>
        <v/>
      </c>
    </row>
    <row r="3127">
      <c r="A3127" s="5" t="n">
        <v>2111000000</v>
      </c>
      <c r="B3127" s="5" t="inlineStr">
        <is>
          <t>101222</t>
        </is>
      </c>
      <c r="C3127" s="5" t="inlineStr">
        <is>
          <t>AGROPECUARIA CANOA MIRIM SA</t>
        </is>
      </c>
      <c r="D3127" s="5" t="inlineStr">
        <is>
          <t>RE</t>
        </is>
      </c>
      <c r="E3127" s="5" t="n">
        <v>5038401</v>
      </c>
      <c r="F3127" s="5" t="inlineStr">
        <is>
          <t>202410</t>
        </is>
      </c>
      <c r="G3127" s="5" t="inlineStr">
        <is>
          <t>BRL</t>
        </is>
      </c>
      <c r="H3127" s="9" t="n">
        <v>-8000</v>
      </c>
      <c r="I3127" s="16" t="n">
        <v>45540</v>
      </c>
      <c r="J3127" s="16" t="n">
        <v>45570</v>
      </c>
      <c r="K3127" s="5" t="inlineStr">
        <is>
          <t>Fatura - bruto AGROPECUARIA CANOA MIRIM SA 10</t>
        </is>
      </c>
      <c r="L3127" s="5" t="inlineStr">
        <is>
          <t>BLOQUEADO, LUCIANA</t>
        </is>
      </c>
      <c r="M3127" s="5">
        <f>IF(YEAR(I3127)&lt;=2020,"Até 2020",TEXT(YEAR(I3127),"0"))</f>
        <v/>
      </c>
      <c r="N3127" s="5">
        <f>IFERROR(INDEX(DePara!$A:$A,MATCH(TEXT(B3127,"0"),DePara!$D:$D,0)),"(sem categoria)")</f>
        <v/>
      </c>
      <c r="O3127" s="5">
        <f>IF(J3127="","",Parametros!$B$6-J3127)</f>
        <v/>
      </c>
      <c r="P3127" s="5">
        <f>IF(O3127="","",IF(O3127&gt;0,1,0))</f>
        <v/>
      </c>
    </row>
    <row r="3128">
      <c r="A3128" s="5" t="n">
        <v>2111000000</v>
      </c>
      <c r="B3128" s="5" t="inlineStr">
        <is>
          <t>EM000394</t>
        </is>
      </c>
      <c r="C3128" s="5" t="inlineStr">
        <is>
          <t>WAGNER DELLA FLORA GROSS</t>
        </is>
      </c>
      <c r="D3128" s="5" t="inlineStr">
        <is>
          <t>KR</t>
        </is>
      </c>
      <c r="E3128" s="5" t="n">
        <v>5038504</v>
      </c>
      <c r="F3128" s="5" t="inlineStr">
        <is>
          <t>31299</t>
        </is>
      </c>
      <c r="G3128" s="5" t="inlineStr">
        <is>
          <t>BRL</t>
        </is>
      </c>
      <c r="H3128" s="9" t="n">
        <v>-1362.36</v>
      </c>
      <c r="I3128" s="16" t="n">
        <v>45477</v>
      </c>
      <c r="J3128" s="16" t="n">
        <v>45477</v>
      </c>
      <c r="K3128" s="5" t="inlineStr">
        <is>
          <t>Fatura do fornecedor WAGNER DELLA FLORA GROSS 3129</t>
        </is>
      </c>
      <c r="L3128" s="5" t="n"/>
      <c r="M3128" s="5">
        <f>IF(YEAR(I3128)&lt;=2020,"Até 2020",TEXT(YEAR(I3128),"0"))</f>
        <v/>
      </c>
      <c r="N3128" s="5">
        <f>IFERROR(INDEX(DePara!$A:$A,MATCH(TEXT(B3128,"0"),DePara!$D:$D,0)),"(sem categoria)")</f>
        <v/>
      </c>
      <c r="O3128" s="5">
        <f>IF(J3128="","",Parametros!$B$6-J3128)</f>
        <v/>
      </c>
      <c r="P3128" s="5">
        <f>IF(O3128="","",IF(O3128&gt;0,1,0))</f>
        <v/>
      </c>
    </row>
    <row r="3129">
      <c r="A3129" s="5" t="n">
        <v>2111000000</v>
      </c>
      <c r="B3129" s="5" t="inlineStr">
        <is>
          <t>104134</t>
        </is>
      </c>
      <c r="C3129" s="5" t="inlineStr">
        <is>
          <t>B&amp;M LOGISTICA INTERNACIONAL LTDA 07720307000106</t>
        </is>
      </c>
      <c r="D3129" s="5" t="inlineStr">
        <is>
          <t>RE</t>
        </is>
      </c>
      <c r="E3129" s="5" t="n">
        <v>5038728</v>
      </c>
      <c r="F3129" s="5" t="inlineStr">
        <is>
          <t>9052</t>
        </is>
      </c>
      <c r="G3129" s="5" t="inlineStr">
        <is>
          <t>BRL</t>
        </is>
      </c>
      <c r="H3129" s="9" t="n">
        <v>-931.71</v>
      </c>
      <c r="I3129" s="16" t="n">
        <v>45251</v>
      </c>
      <c r="J3129" s="16" t="n">
        <v>45296</v>
      </c>
      <c r="K3129" s="5" t="inlineStr">
        <is>
          <t>Fatura - bruto B&amp;M LOGISTICA INTERNACIONAL LTDA 07</t>
        </is>
      </c>
      <c r="L3129" s="5" t="inlineStr">
        <is>
          <t>Despachantes</t>
        </is>
      </c>
      <c r="M3129" s="5">
        <f>IF(YEAR(I3129)&lt;=2020,"Até 2020",TEXT(YEAR(I3129),"0"))</f>
        <v/>
      </c>
      <c r="N3129" s="5">
        <f>IFERROR(INDEX(DePara!$A:$A,MATCH(TEXT(B3129,"0"),DePara!$D:$D,0)),"(sem categoria)")</f>
        <v/>
      </c>
      <c r="O3129" s="5">
        <f>IF(J3129="","",Parametros!$B$6-J3129)</f>
        <v/>
      </c>
      <c r="P3129" s="5">
        <f>IF(O3129="","",IF(O3129&gt;0,1,0))</f>
        <v/>
      </c>
    </row>
    <row r="3130">
      <c r="A3130" s="5" t="n">
        <v>2111000000</v>
      </c>
      <c r="B3130" s="5" t="inlineStr">
        <is>
          <t>103904</t>
        </is>
      </c>
      <c r="C3130" s="5" t="inlineStr">
        <is>
          <t>EDSON MELO</t>
        </is>
      </c>
      <c r="D3130" s="5" t="inlineStr">
        <is>
          <t>RE</t>
        </is>
      </c>
      <c r="E3130" s="5" t="n">
        <v>5038794</v>
      </c>
      <c r="F3130" s="5" t="inlineStr">
        <is>
          <t>34-001</t>
        </is>
      </c>
      <c r="G3130" s="5" t="inlineStr">
        <is>
          <t>BRL</t>
        </is>
      </c>
      <c r="H3130" s="9" t="n">
        <v>-648</v>
      </c>
      <c r="I3130" s="16" t="n">
        <v>45533</v>
      </c>
      <c r="J3130" s="16" t="n">
        <v>45570</v>
      </c>
      <c r="K3130" s="5" t="inlineStr">
        <is>
          <t>Fatura - bruto EDSON MELO 34-001</t>
        </is>
      </c>
      <c r="L3130" s="5" t="inlineStr">
        <is>
          <t>05032025</t>
        </is>
      </c>
      <c r="M3130" s="5">
        <f>IF(YEAR(I3130)&lt;=2020,"Até 2020",TEXT(YEAR(I3130),"0"))</f>
        <v/>
      </c>
      <c r="N3130" s="5">
        <f>IFERROR(INDEX(DePara!$A:$A,MATCH(TEXT(B3130,"0"),DePara!$D:$D,0)),"(sem categoria)")</f>
        <v/>
      </c>
      <c r="O3130" s="5">
        <f>IF(J3130="","",Parametros!$B$6-J3130)</f>
        <v/>
      </c>
      <c r="P3130" s="5">
        <f>IF(O3130="","",IF(O3130&gt;0,1,0))</f>
        <v/>
      </c>
    </row>
    <row r="3131">
      <c r="A3131" s="5" t="n">
        <v>2111000000</v>
      </c>
      <c r="B3131" s="5" t="inlineStr">
        <is>
          <t>102077</t>
        </is>
      </c>
      <c r="C3131" s="5" t="inlineStr">
        <is>
          <t>SINDICATO IND MET MEC E MAT EL NO E</t>
        </is>
      </c>
      <c r="D3131" s="5" t="inlineStr">
        <is>
          <t>KR</t>
        </is>
      </c>
      <c r="E3131" s="5" t="n">
        <v>5038933</v>
      </c>
      <c r="F3131" s="5" t="inlineStr">
        <is>
          <t>MENS SIND 12.25</t>
        </is>
      </c>
      <c r="G3131" s="5" t="inlineStr">
        <is>
          <t>BRL</t>
        </is>
      </c>
      <c r="H3131" s="9" t="n">
        <v>-369.55</v>
      </c>
      <c r="I3131" s="16" t="n">
        <v>45986</v>
      </c>
      <c r="J3131" s="16" t="n">
        <v>46008</v>
      </c>
      <c r="K3131" s="5" t="inlineStr">
        <is>
          <t>*10495495283700020004000000646489113060000036955</t>
        </is>
      </c>
      <c r="L3131" s="5" t="inlineStr">
        <is>
          <t>17102025</t>
        </is>
      </c>
      <c r="M3131" s="5">
        <f>IF(YEAR(I3131)&lt;=2020,"Até 2020",TEXT(YEAR(I3131),"0"))</f>
        <v/>
      </c>
      <c r="N3131" s="5">
        <f>IFERROR(INDEX(DePara!$A:$A,MATCH(TEXT(B3131,"0"),DePara!$D:$D,0)),"(sem categoria)")</f>
        <v/>
      </c>
      <c r="O3131" s="5">
        <f>IF(J3131="","",Parametros!$B$6-J3131)</f>
        <v/>
      </c>
      <c r="P3131" s="5">
        <f>IF(O3131="","",IF(O3131&gt;0,1,0))</f>
        <v/>
      </c>
    </row>
    <row r="3132">
      <c r="A3132" s="5" t="n">
        <v>2111000000</v>
      </c>
      <c r="B3132" s="5" t="inlineStr">
        <is>
          <t>100833</t>
        </is>
      </c>
      <c r="C3132" s="5" t="inlineStr">
        <is>
          <t>MUNICIPIO DE JANDAIRA</t>
        </is>
      </c>
      <c r="D3132" s="5" t="inlineStr">
        <is>
          <t>KR</t>
        </is>
      </c>
      <c r="E3132" s="5" t="n">
        <v>5039345</v>
      </c>
      <c r="F3132" s="5" t="inlineStr">
        <is>
          <t>ISS 11-2025</t>
        </is>
      </c>
      <c r="G3132" s="5" t="inlineStr">
        <is>
          <t>BRL</t>
        </is>
      </c>
      <c r="H3132" s="9" t="n">
        <v>-52767.45</v>
      </c>
      <c r="I3132" s="16" t="n">
        <v>45999</v>
      </c>
      <c r="J3132" s="16" t="n">
        <v>46058</v>
      </c>
      <c r="K3132" s="5" t="inlineStr">
        <is>
          <t>ISS 11-2025 PREF. MUNIC. JANDAIRA</t>
        </is>
      </c>
      <c r="L3132" s="5" t="n"/>
      <c r="M3132" s="5">
        <f>IF(YEAR(I3132)&lt;=2020,"Até 2020",TEXT(YEAR(I3132),"0"))</f>
        <v/>
      </c>
      <c r="N3132" s="5">
        <f>IFERROR(INDEX(DePara!$A:$A,MATCH(TEXT(B3132,"0"),DePara!$D:$D,0)),"(sem categoria)")</f>
        <v/>
      </c>
      <c r="O3132" s="5">
        <f>IF(J3132="","",Parametros!$B$6-J3132)</f>
        <v/>
      </c>
      <c r="P3132" s="5">
        <f>IF(O3132="","",IF(O3132&gt;0,1,0))</f>
        <v/>
      </c>
    </row>
    <row r="3133">
      <c r="A3133" s="5" t="n">
        <v>2111000000</v>
      </c>
      <c r="B3133" s="5" t="inlineStr">
        <is>
          <t>101255</t>
        </is>
      </c>
      <c r="C3133" s="5" t="inlineStr">
        <is>
          <t>WILSON SONS LOGISTICA LTDA</t>
        </is>
      </c>
      <c r="D3133" s="5" t="inlineStr">
        <is>
          <t>RE</t>
        </is>
      </c>
      <c r="E3133" s="5" t="n">
        <v>5039651</v>
      </c>
      <c r="F3133" s="5" t="inlineStr">
        <is>
          <t>4665</t>
        </is>
      </c>
      <c r="G3133" s="5" t="inlineStr">
        <is>
          <t>BRL</t>
        </is>
      </c>
      <c r="H3133" s="9" t="n">
        <v>-200.21</v>
      </c>
      <c r="I3133" s="16" t="n">
        <v>45140</v>
      </c>
      <c r="J3133" s="16" t="n">
        <v>45140</v>
      </c>
      <c r="K3133" s="5" t="inlineStr">
        <is>
          <t>Fatura - bruto WILSON SONS LOGISTICA LTDA 4665</t>
        </is>
      </c>
      <c r="L3133" s="5" t="inlineStr">
        <is>
          <t>Despachantes</t>
        </is>
      </c>
      <c r="M3133" s="5">
        <f>IF(YEAR(I3133)&lt;=2020,"Até 2020",TEXT(YEAR(I3133),"0"))</f>
        <v/>
      </c>
      <c r="N3133" s="5">
        <f>IFERROR(INDEX(DePara!$A:$A,MATCH(TEXT(B3133,"0"),DePara!$D:$D,0)),"(sem categoria)")</f>
        <v/>
      </c>
      <c r="O3133" s="5">
        <f>IF(J3133="","",Parametros!$B$6-J3133)</f>
        <v/>
      </c>
      <c r="P3133" s="5">
        <f>IF(O3133="","",IF(O3133&gt;0,1,0))</f>
        <v/>
      </c>
    </row>
    <row r="3134">
      <c r="A3134" s="5" t="n">
        <v>2111000000</v>
      </c>
      <c r="B3134" s="5" t="inlineStr">
        <is>
          <t>101176</t>
        </is>
      </c>
      <c r="C3134" s="5" t="inlineStr">
        <is>
          <t>DEUBLIN BRASIL JUNTAS ROTATIVAS DE</t>
        </is>
      </c>
      <c r="D3134" s="5" t="inlineStr">
        <is>
          <t>RE</t>
        </is>
      </c>
      <c r="E3134" s="5" t="n">
        <v>5039730</v>
      </c>
      <c r="F3134" s="5" t="inlineStr">
        <is>
          <t>960</t>
        </is>
      </c>
      <c r="G3134" s="5" t="inlineStr">
        <is>
          <t>BRL</t>
        </is>
      </c>
      <c r="H3134" s="9" t="n">
        <v>3000</v>
      </c>
      <c r="I3134" s="16" t="n">
        <v>45911</v>
      </c>
      <c r="J3134" s="16" t="n">
        <v>45911</v>
      </c>
      <c r="K3134" s="5" t="inlineStr">
        <is>
          <t>Fatura - bruto DEUBLIN BRASIL JUNTAS ROTATIVAS DE</t>
        </is>
      </c>
      <c r="L3134" s="5" t="inlineStr">
        <is>
          <t>NOTA DEVOLUCAO</t>
        </is>
      </c>
      <c r="M3134" s="5">
        <f>IF(YEAR(I3134)&lt;=2020,"Até 2020",TEXT(YEAR(I3134),"0"))</f>
        <v/>
      </c>
      <c r="N3134" s="5">
        <f>IFERROR(INDEX(DePara!$A:$A,MATCH(TEXT(B3134,"0"),DePara!$D:$D,0)),"(sem categoria)")</f>
        <v/>
      </c>
      <c r="O3134" s="5">
        <f>IF(J3134="","",Parametros!$B$6-J3134)</f>
        <v/>
      </c>
      <c r="P3134" s="5">
        <f>IF(O3134="","",IF(O3134&gt;0,1,0))</f>
        <v/>
      </c>
    </row>
    <row r="3135">
      <c r="A3135" s="5" t="n">
        <v>2111000000</v>
      </c>
      <c r="B3135" s="5" t="inlineStr">
        <is>
          <t>100469</t>
        </is>
      </c>
      <c r="C3135" s="5" t="inlineStr">
        <is>
          <t>NELSON HEUSI LOGISTICA E ARMAZENS G</t>
        </is>
      </c>
      <c r="D3135" s="5" t="inlineStr">
        <is>
          <t>RE</t>
        </is>
      </c>
      <c r="E3135" s="5" t="n">
        <v>5039981</v>
      </c>
      <c r="F3135" s="5" t="inlineStr">
        <is>
          <t>147339</t>
        </is>
      </c>
      <c r="G3135" s="5" t="inlineStr">
        <is>
          <t>BRL</t>
        </is>
      </c>
      <c r="H3135" s="9" t="n">
        <v>-1024.55</v>
      </c>
      <c r="I3135" s="16" t="n">
        <v>45195</v>
      </c>
      <c r="J3135" s="16" t="n">
        <v>45235</v>
      </c>
      <c r="K3135" s="5" t="inlineStr">
        <is>
          <t>Fatura - bruto NELSON HEUSI LOGISTICA E ARMAZENS G</t>
        </is>
      </c>
      <c r="L3135" s="5" t="inlineStr">
        <is>
          <t>Não gera Pgto.</t>
        </is>
      </c>
      <c r="M3135" s="5">
        <f>IF(YEAR(I3135)&lt;=2020,"Até 2020",TEXT(YEAR(I3135),"0"))</f>
        <v/>
      </c>
      <c r="N3135" s="5">
        <f>IFERROR(INDEX(DePara!$A:$A,MATCH(TEXT(B3135,"0"),DePara!$D:$D,0)),"(sem categoria)")</f>
        <v/>
      </c>
      <c r="O3135" s="5">
        <f>IF(J3135="","",Parametros!$B$6-J3135)</f>
        <v/>
      </c>
      <c r="P3135" s="5">
        <f>IF(O3135="","",IF(O3135&gt;0,1,0))</f>
        <v/>
      </c>
    </row>
    <row r="3136">
      <c r="A3136" s="5" t="n">
        <v>2111000000</v>
      </c>
      <c r="B3136" s="5" t="inlineStr">
        <is>
          <t>101855</t>
        </is>
      </c>
      <c r="C3136" s="5" t="inlineStr">
        <is>
          <t>GERDAU ACOS LONGOS SA</t>
        </is>
      </c>
      <c r="D3136" s="5" t="inlineStr">
        <is>
          <t>RE</t>
        </is>
      </c>
      <c r="E3136" s="5" t="n">
        <v>5040109</v>
      </c>
      <c r="F3136" s="5" t="inlineStr">
        <is>
          <t>69195-1</t>
        </is>
      </c>
      <c r="G3136" s="5" t="inlineStr">
        <is>
          <t>BRL</t>
        </is>
      </c>
      <c r="H3136" s="9" t="n">
        <v>38760.75</v>
      </c>
      <c r="I3136" s="16" t="n">
        <v>46006</v>
      </c>
      <c r="J3136" s="16" t="n">
        <v>46006</v>
      </c>
      <c r="K3136" s="5" t="inlineStr">
        <is>
          <t>Fatura - bruto GERDAU ACOS LONGOS SA 69195-1</t>
        </is>
      </c>
      <c r="L3136" s="5" t="inlineStr">
        <is>
          <t>DEVOLUÇÃO</t>
        </is>
      </c>
      <c r="M3136" s="5">
        <f>IF(YEAR(I3136)&lt;=2020,"Até 2020",TEXT(YEAR(I3136),"0"))</f>
        <v/>
      </c>
      <c r="N3136" s="5">
        <f>IFERROR(INDEX(DePara!$A:$A,MATCH(TEXT(B3136,"0"),DePara!$D:$D,0)),"(sem categoria)")</f>
        <v/>
      </c>
      <c r="O3136" s="5">
        <f>IF(J3136="","",Parametros!$B$6-J3136)</f>
        <v/>
      </c>
      <c r="P3136" s="5">
        <f>IF(O3136="","",IF(O3136&gt;0,1,0))</f>
        <v/>
      </c>
    </row>
    <row r="3137">
      <c r="A3137" s="5" t="n">
        <v>2111000000</v>
      </c>
      <c r="B3137" s="5" t="inlineStr">
        <is>
          <t>100469</t>
        </is>
      </c>
      <c r="C3137" s="5" t="inlineStr">
        <is>
          <t>NELSON HEUSI LOGISTICA E ARMAZENS G</t>
        </is>
      </c>
      <c r="D3137" s="5" t="inlineStr">
        <is>
          <t>RE</t>
        </is>
      </c>
      <c r="E3137" s="5" t="n">
        <v>5040443</v>
      </c>
      <c r="F3137" s="5" t="inlineStr">
        <is>
          <t>135329</t>
        </is>
      </c>
      <c r="G3137" s="5" t="inlineStr">
        <is>
          <t>BRL</t>
        </is>
      </c>
      <c r="H3137" s="9" t="n">
        <v>-1025.77</v>
      </c>
      <c r="I3137" s="16" t="n">
        <v>45477</v>
      </c>
      <c r="J3137" s="16" t="n">
        <v>45540</v>
      </c>
      <c r="K3137" s="5" t="inlineStr">
        <is>
          <t>Fatura - bruto NELSON HEUSI LOGISTICA E ARMAZENS G</t>
        </is>
      </c>
      <c r="L3137" s="5" t="inlineStr">
        <is>
          <t>Despachantes</t>
        </is>
      </c>
      <c r="M3137" s="5">
        <f>IF(YEAR(I3137)&lt;=2020,"Até 2020",TEXT(YEAR(I3137),"0"))</f>
        <v/>
      </c>
      <c r="N3137" s="5">
        <f>IFERROR(INDEX(DePara!$A:$A,MATCH(TEXT(B3137,"0"),DePara!$D:$D,0)),"(sem categoria)")</f>
        <v/>
      </c>
      <c r="O3137" s="5">
        <f>IF(J3137="","",Parametros!$B$6-J3137)</f>
        <v/>
      </c>
      <c r="P3137" s="5">
        <f>IF(O3137="","",IF(O3137&gt;0,1,0))</f>
        <v/>
      </c>
    </row>
    <row r="3138">
      <c r="A3138" s="5" t="n">
        <v>2111000000</v>
      </c>
      <c r="B3138" s="5" t="inlineStr">
        <is>
          <t>100124</t>
        </is>
      </c>
      <c r="C3138" s="5" t="inlineStr">
        <is>
          <t>PERMETAL S A METAIS PERFURADOS</t>
        </is>
      </c>
      <c r="D3138" s="5" t="inlineStr">
        <is>
          <t>RE</t>
        </is>
      </c>
      <c r="E3138" s="5" t="n">
        <v>5041222</v>
      </c>
      <c r="F3138" s="5" t="inlineStr">
        <is>
          <t>000023085-2</t>
        </is>
      </c>
      <c r="G3138" s="5" t="inlineStr">
        <is>
          <t>BRL</t>
        </is>
      </c>
      <c r="H3138" s="9" t="n">
        <v>-166171.3</v>
      </c>
      <c r="I3138" s="16" t="n">
        <v>45565</v>
      </c>
      <c r="J3138" s="16" t="n">
        <v>45625</v>
      </c>
      <c r="K3138" s="5" t="inlineStr">
        <is>
          <t>Aguard CC para baixar</t>
        </is>
      </c>
      <c r="L3138" s="5" t="inlineStr">
        <is>
          <t>Aguard CC_baixar</t>
        </is>
      </c>
      <c r="M3138" s="5">
        <f>IF(YEAR(I3138)&lt;=2020,"Até 2020",TEXT(YEAR(I3138),"0"))</f>
        <v/>
      </c>
      <c r="N3138" s="5">
        <f>IFERROR(INDEX(DePara!$A:$A,MATCH(TEXT(B3138,"0"),DePara!$D:$D,0)),"(sem categoria)")</f>
        <v/>
      </c>
      <c r="O3138" s="5">
        <f>IF(J3138="","",Parametros!$B$6-J3138)</f>
        <v/>
      </c>
      <c r="P3138" s="5">
        <f>IF(O3138="","",IF(O3138&gt;0,1,0))</f>
        <v/>
      </c>
    </row>
    <row r="3139">
      <c r="A3139" s="5" t="n">
        <v>2111000000</v>
      </c>
      <c r="B3139" s="5" t="inlineStr">
        <is>
          <t>101222</t>
        </is>
      </c>
      <c r="C3139" s="5" t="inlineStr">
        <is>
          <t>AGROPECUARIA CANOA MIRIM SA</t>
        </is>
      </c>
      <c r="D3139" s="5" t="inlineStr">
        <is>
          <t>RE</t>
        </is>
      </c>
      <c r="E3139" s="5" t="n">
        <v>5042712</v>
      </c>
      <c r="F3139" s="5" t="inlineStr">
        <is>
          <t>202411</t>
        </is>
      </c>
      <c r="G3139" s="5" t="inlineStr">
        <is>
          <t>BRL</t>
        </is>
      </c>
      <c r="H3139" s="9" t="n">
        <v>-8000</v>
      </c>
      <c r="I3139" s="16" t="n">
        <v>45570</v>
      </c>
      <c r="J3139" s="16" t="n">
        <v>45601</v>
      </c>
      <c r="K3139" s="5" t="inlineStr">
        <is>
          <t>Fatura - bruto AGROPECUARIA CANOA MIRIM SA 202411</t>
        </is>
      </c>
      <c r="L3139" s="5" t="inlineStr">
        <is>
          <t>BLOQUEADO, LUCIANA</t>
        </is>
      </c>
      <c r="M3139" s="5">
        <f>IF(YEAR(I3139)&lt;=2020,"Até 2020",TEXT(YEAR(I3139),"0"))</f>
        <v/>
      </c>
      <c r="N3139" s="5">
        <f>IFERROR(INDEX(DePara!$A:$A,MATCH(TEXT(B3139,"0"),DePara!$D:$D,0)),"(sem categoria)")</f>
        <v/>
      </c>
      <c r="O3139" s="5">
        <f>IF(J3139="","",Parametros!$B$6-J3139)</f>
        <v/>
      </c>
      <c r="P3139" s="5">
        <f>IF(O3139="","",IF(O3139&gt;0,1,0))</f>
        <v/>
      </c>
    </row>
    <row r="3140">
      <c r="A3140" s="5" t="n">
        <v>2111000000</v>
      </c>
      <c r="B3140" s="5" t="inlineStr">
        <is>
          <t>100555</t>
        </is>
      </c>
      <c r="C3140" s="5" t="inlineStr">
        <is>
          <t>MAC CONSULTORIA E LOGISTICA LTDA</t>
        </is>
      </c>
      <c r="D3140" s="5" t="inlineStr">
        <is>
          <t>RE</t>
        </is>
      </c>
      <c r="E3140" s="5" t="n">
        <v>5044345</v>
      </c>
      <c r="F3140" s="5" t="inlineStr">
        <is>
          <t>21005</t>
        </is>
      </c>
      <c r="G3140" s="5" t="inlineStr">
        <is>
          <t>BRL</t>
        </is>
      </c>
      <c r="H3140" s="9" t="n">
        <v>-1261.17</v>
      </c>
      <c r="I3140" s="16" t="n">
        <v>45086</v>
      </c>
      <c r="J3140" s="16" t="n">
        <v>45146</v>
      </c>
      <c r="K3140" s="5" t="inlineStr">
        <is>
          <t>Fatura - bruto MAC CONSULTORIA E LOGISTICA LTDA 21</t>
        </is>
      </c>
      <c r="L3140" s="5" t="inlineStr">
        <is>
          <t>Despachantes</t>
        </is>
      </c>
      <c r="M3140" s="5">
        <f>IF(YEAR(I3140)&lt;=2020,"Até 2020",TEXT(YEAR(I3140),"0"))</f>
        <v/>
      </c>
      <c r="N3140" s="5">
        <f>IFERROR(INDEX(DePara!$A:$A,MATCH(TEXT(B3140,"0"),DePara!$D:$D,0)),"(sem categoria)")</f>
        <v/>
      </c>
      <c r="O3140" s="5">
        <f>IF(J3140="","",Parametros!$B$6-J3140)</f>
        <v/>
      </c>
      <c r="P3140" s="5">
        <f>IF(O3140="","",IF(O3140&gt;0,1,0))</f>
        <v/>
      </c>
    </row>
    <row r="3141">
      <c r="A3141" s="5" t="n">
        <v>2111000000</v>
      </c>
      <c r="B3141" s="5" t="inlineStr">
        <is>
          <t>100469</t>
        </is>
      </c>
      <c r="C3141" s="5" t="inlineStr">
        <is>
          <t>NELSON HEUSI LOGISTICA E ARMAZENS G</t>
        </is>
      </c>
      <c r="D3141" s="5" t="inlineStr">
        <is>
          <t>RE</t>
        </is>
      </c>
      <c r="E3141" s="5" t="n">
        <v>5045958</v>
      </c>
      <c r="F3141" s="5" t="inlineStr">
        <is>
          <t>156401</t>
        </is>
      </c>
      <c r="G3141" s="5" t="inlineStr">
        <is>
          <t>BRL</t>
        </is>
      </c>
      <c r="H3141" s="9" t="n">
        <v>-418.35</v>
      </c>
      <c r="I3141" s="16" t="n">
        <v>45254</v>
      </c>
      <c r="J3141" s="16" t="n">
        <v>45296</v>
      </c>
      <c r="K3141" s="5" t="inlineStr">
        <is>
          <t>Fatura - bruto NELSON HEUSI LOGISTICA E ARMAZENS G</t>
        </is>
      </c>
      <c r="L3141" s="5" t="inlineStr">
        <is>
          <t>Regularização</t>
        </is>
      </c>
      <c r="M3141" s="5">
        <f>IF(YEAR(I3141)&lt;=2020,"Até 2020",TEXT(YEAR(I3141),"0"))</f>
        <v/>
      </c>
      <c r="N3141" s="5">
        <f>IFERROR(INDEX(DePara!$A:$A,MATCH(TEXT(B3141,"0"),DePara!$D:$D,0)),"(sem categoria)")</f>
        <v/>
      </c>
      <c r="O3141" s="5">
        <f>IF(J3141="","",Parametros!$B$6-J3141)</f>
        <v/>
      </c>
      <c r="P3141" s="5">
        <f>IF(O3141="","",IF(O3141&gt;0,1,0))</f>
        <v/>
      </c>
    </row>
    <row r="3142">
      <c r="A3142" s="5" t="n">
        <v>2111000000</v>
      </c>
      <c r="B3142" s="5" t="inlineStr">
        <is>
          <t>100469</t>
        </is>
      </c>
      <c r="C3142" s="5" t="inlineStr">
        <is>
          <t>NELSON HEUSI LOGISTICA E ARMAZENS G</t>
        </is>
      </c>
      <c r="D3142" s="5" t="inlineStr">
        <is>
          <t>RE</t>
        </is>
      </c>
      <c r="E3142" s="5" t="n">
        <v>5045959</v>
      </c>
      <c r="F3142" s="5" t="inlineStr">
        <is>
          <t>162380</t>
        </is>
      </c>
      <c r="G3142" s="5" t="inlineStr">
        <is>
          <t>BRL</t>
        </is>
      </c>
      <c r="H3142" s="9" t="n">
        <v>-2039.76</v>
      </c>
      <c r="I3142" s="16" t="n">
        <v>45294</v>
      </c>
      <c r="J3142" s="16" t="n">
        <v>45356</v>
      </c>
      <c r="K3142" s="5" t="inlineStr">
        <is>
          <t>Fatura - bruto NELSON HEUSI LOGISTICA E ARMAZENS G</t>
        </is>
      </c>
      <c r="L3142" s="5" t="inlineStr">
        <is>
          <t>Regularização</t>
        </is>
      </c>
      <c r="M3142" s="5">
        <f>IF(YEAR(I3142)&lt;=2020,"Até 2020",TEXT(YEAR(I3142),"0"))</f>
        <v/>
      </c>
      <c r="N3142" s="5">
        <f>IFERROR(INDEX(DePara!$A:$A,MATCH(TEXT(B3142,"0"),DePara!$D:$D,0)),"(sem categoria)")</f>
        <v/>
      </c>
      <c r="O3142" s="5">
        <f>IF(J3142="","",Parametros!$B$6-J3142)</f>
        <v/>
      </c>
      <c r="P3142" s="5">
        <f>IF(O3142="","",IF(O3142&gt;0,1,0))</f>
        <v/>
      </c>
    </row>
    <row r="3143">
      <c r="A3143" s="5" t="n">
        <v>2111000000</v>
      </c>
      <c r="B3143" s="5" t="inlineStr">
        <is>
          <t>103744</t>
        </is>
      </c>
      <c r="C3143" s="5" t="inlineStr">
        <is>
          <t>J G SERVICOS DE HOSPEDAGEM LTDA</t>
        </is>
      </c>
      <c r="D3143" s="5" t="inlineStr">
        <is>
          <t>RE</t>
        </is>
      </c>
      <c r="E3143" s="5" t="n">
        <v>5046100</v>
      </c>
      <c r="F3143" s="5" t="inlineStr">
        <is>
          <t>4305</t>
        </is>
      </c>
      <c r="G3143" s="5" t="inlineStr">
        <is>
          <t>BRL</t>
        </is>
      </c>
      <c r="H3143" s="9" t="n">
        <v>-386</v>
      </c>
      <c r="I3143" s="16" t="n">
        <v>45597</v>
      </c>
      <c r="J3143" s="16" t="n">
        <v>45631</v>
      </c>
      <c r="K3143" s="5" t="inlineStr">
        <is>
          <t>Fatura - bruto J G SERVICOS DE HOSPEDAGEM LTDA 430</t>
        </is>
      </c>
      <c r="L3143" s="5" t="inlineStr">
        <is>
          <t>Regularização</t>
        </is>
      </c>
      <c r="M3143" s="5">
        <f>IF(YEAR(I3143)&lt;=2020,"Até 2020",TEXT(YEAR(I3143),"0"))</f>
        <v/>
      </c>
      <c r="N3143" s="5">
        <f>IFERROR(INDEX(DePara!$A:$A,MATCH(TEXT(B3143,"0"),DePara!$D:$D,0)),"(sem categoria)")</f>
        <v/>
      </c>
      <c r="O3143" s="5">
        <f>IF(J3143="","",Parametros!$B$6-J3143)</f>
        <v/>
      </c>
      <c r="P3143" s="5">
        <f>IF(O3143="","",IF(O3143&gt;0,1,0))</f>
        <v/>
      </c>
    </row>
    <row r="3144">
      <c r="A3144" s="5" t="n">
        <v>2111000000</v>
      </c>
      <c r="B3144" s="5" t="inlineStr">
        <is>
          <t>101255</t>
        </is>
      </c>
      <c r="C3144" s="5" t="inlineStr">
        <is>
          <t>WILSON SONS LOGISTICA LTDA</t>
        </is>
      </c>
      <c r="D3144" s="5" t="inlineStr">
        <is>
          <t>RE</t>
        </is>
      </c>
      <c r="E3144" s="5" t="n">
        <v>5046934</v>
      </c>
      <c r="F3144" s="5" t="inlineStr">
        <is>
          <t>5215</t>
        </is>
      </c>
      <c r="G3144" s="5" t="inlineStr">
        <is>
          <t>BRL</t>
        </is>
      </c>
      <c r="H3144" s="9" t="n">
        <v>-20.55</v>
      </c>
      <c r="I3144" s="16" t="n">
        <v>45250</v>
      </c>
      <c r="J3144" s="16" t="n">
        <v>45250</v>
      </c>
      <c r="K3144" s="5" t="inlineStr">
        <is>
          <t>Fatura - bruto WILSON SONS LOGISTICA LTDA 5215</t>
        </is>
      </c>
      <c r="L3144" s="5" t="inlineStr">
        <is>
          <t>Despachantes</t>
        </is>
      </c>
      <c r="M3144" s="5">
        <f>IF(YEAR(I3144)&lt;=2020,"Até 2020",TEXT(YEAR(I3144),"0"))</f>
        <v/>
      </c>
      <c r="N3144" s="5">
        <f>IFERROR(INDEX(DePara!$A:$A,MATCH(TEXT(B3144,"0"),DePara!$D:$D,0)),"(sem categoria)")</f>
        <v/>
      </c>
      <c r="O3144" s="5">
        <f>IF(J3144="","",Parametros!$B$6-J3144)</f>
        <v/>
      </c>
      <c r="P3144" s="5">
        <f>IF(O3144="","",IF(O3144&gt;0,1,0))</f>
        <v/>
      </c>
    </row>
    <row r="3145">
      <c r="A3145" s="5" t="n">
        <v>2111000000</v>
      </c>
      <c r="B3145" s="5" t="inlineStr">
        <is>
          <t>101813</t>
        </is>
      </c>
      <c r="C3145" s="5" t="inlineStr">
        <is>
          <t>TECON RIO GRANDE SA</t>
        </is>
      </c>
      <c r="D3145" s="5" t="inlineStr">
        <is>
          <t>RE</t>
        </is>
      </c>
      <c r="E3145" s="5" t="n">
        <v>5046990</v>
      </c>
      <c r="F3145" s="5" t="inlineStr">
        <is>
          <t>1789331</t>
        </is>
      </c>
      <c r="G3145" s="5" t="inlineStr">
        <is>
          <t>BRL</t>
        </is>
      </c>
      <c r="H3145" s="9" t="n">
        <v>-349</v>
      </c>
      <c r="I3145" s="16" t="n">
        <v>45253</v>
      </c>
      <c r="J3145" s="16" t="n">
        <v>45296</v>
      </c>
      <c r="K3145" s="5" t="inlineStr">
        <is>
          <t>Fatura - bruto TECON RIO GRANDE SA 1789331</t>
        </is>
      </c>
      <c r="L3145" s="5" t="inlineStr">
        <is>
          <t>Regularização</t>
        </is>
      </c>
      <c r="M3145" s="5">
        <f>IF(YEAR(I3145)&lt;=2020,"Até 2020",TEXT(YEAR(I3145),"0"))</f>
        <v/>
      </c>
      <c r="N3145" s="5">
        <f>IFERROR(INDEX(DePara!$A:$A,MATCH(TEXT(B3145,"0"),DePara!$D:$D,0)),"(sem categoria)")</f>
        <v/>
      </c>
      <c r="O3145" s="5">
        <f>IF(J3145="","",Parametros!$B$6-J3145)</f>
        <v/>
      </c>
      <c r="P3145" s="5">
        <f>IF(O3145="","",IF(O3145&gt;0,1,0))</f>
        <v/>
      </c>
    </row>
    <row r="3146">
      <c r="A3146" s="5" t="n">
        <v>2111000000</v>
      </c>
      <c r="B3146" s="5" t="inlineStr">
        <is>
          <t>101813</t>
        </is>
      </c>
      <c r="C3146" s="5" t="inlineStr">
        <is>
          <t>TECON RIO GRANDE SA</t>
        </is>
      </c>
      <c r="D3146" s="5" t="inlineStr">
        <is>
          <t>RE</t>
        </is>
      </c>
      <c r="E3146" s="5" t="n">
        <v>5046991</v>
      </c>
      <c r="F3146" s="5" t="inlineStr">
        <is>
          <t>1789334</t>
        </is>
      </c>
      <c r="G3146" s="5" t="inlineStr">
        <is>
          <t>BRL</t>
        </is>
      </c>
      <c r="H3146" s="9" t="n">
        <v>-31</v>
      </c>
      <c r="I3146" s="16" t="n">
        <v>45253</v>
      </c>
      <c r="J3146" s="16" t="n">
        <v>45296</v>
      </c>
      <c r="K3146" s="5" t="inlineStr">
        <is>
          <t>Fatura - bruto TECON RIO GRANDE SA 1789334</t>
        </is>
      </c>
      <c r="L3146" s="5" t="inlineStr">
        <is>
          <t>Regularização</t>
        </is>
      </c>
      <c r="M3146" s="5">
        <f>IF(YEAR(I3146)&lt;=2020,"Até 2020",TEXT(YEAR(I3146),"0"))</f>
        <v/>
      </c>
      <c r="N3146" s="5">
        <f>IFERROR(INDEX(DePara!$A:$A,MATCH(TEXT(B3146,"0"),DePara!$D:$D,0)),"(sem categoria)")</f>
        <v/>
      </c>
      <c r="O3146" s="5">
        <f>IF(J3146="","",Parametros!$B$6-J3146)</f>
        <v/>
      </c>
      <c r="P3146" s="5">
        <f>IF(O3146="","",IF(O3146&gt;0,1,0))</f>
        <v/>
      </c>
    </row>
    <row r="3147">
      <c r="A3147" s="5" t="n">
        <v>2111000000</v>
      </c>
      <c r="B3147" s="5" t="inlineStr">
        <is>
          <t>101813</t>
        </is>
      </c>
      <c r="C3147" s="5" t="inlineStr">
        <is>
          <t>TECON RIO GRANDE SA</t>
        </is>
      </c>
      <c r="D3147" s="5" t="inlineStr">
        <is>
          <t>RE</t>
        </is>
      </c>
      <c r="E3147" s="5" t="n">
        <v>5046992</v>
      </c>
      <c r="F3147" s="5" t="inlineStr">
        <is>
          <t>1789336</t>
        </is>
      </c>
      <c r="G3147" s="5" t="inlineStr">
        <is>
          <t>BRL</t>
        </is>
      </c>
      <c r="H3147" s="9" t="n">
        <v>-916</v>
      </c>
      <c r="I3147" s="16" t="n">
        <v>45253</v>
      </c>
      <c r="J3147" s="16" t="n">
        <v>45296</v>
      </c>
      <c r="K3147" s="5" t="inlineStr">
        <is>
          <t>Fatura - bruto TECON RIO GRANDE SA 1789336</t>
        </is>
      </c>
      <c r="L3147" s="5" t="inlineStr">
        <is>
          <t>Regularização</t>
        </is>
      </c>
      <c r="M3147" s="5">
        <f>IF(YEAR(I3147)&lt;=2020,"Até 2020",TEXT(YEAR(I3147),"0"))</f>
        <v/>
      </c>
      <c r="N3147" s="5">
        <f>IFERROR(INDEX(DePara!$A:$A,MATCH(TEXT(B3147,"0"),DePara!$D:$D,0)),"(sem categoria)")</f>
        <v/>
      </c>
      <c r="O3147" s="5">
        <f>IF(J3147="","",Parametros!$B$6-J3147)</f>
        <v/>
      </c>
      <c r="P3147" s="5">
        <f>IF(O3147="","",IF(O3147&gt;0,1,0))</f>
        <v/>
      </c>
    </row>
    <row r="3148">
      <c r="A3148" s="5" t="n">
        <v>2111000000</v>
      </c>
      <c r="B3148" s="5" t="inlineStr">
        <is>
          <t>101813</t>
        </is>
      </c>
      <c r="C3148" s="5" t="inlineStr">
        <is>
          <t>TECON RIO GRANDE SA</t>
        </is>
      </c>
      <c r="D3148" s="5" t="inlineStr">
        <is>
          <t>RE</t>
        </is>
      </c>
      <c r="E3148" s="5" t="n">
        <v>5046993</v>
      </c>
      <c r="F3148" s="5" t="inlineStr">
        <is>
          <t>1789342</t>
        </is>
      </c>
      <c r="G3148" s="5" t="inlineStr">
        <is>
          <t>BRL</t>
        </is>
      </c>
      <c r="H3148" s="9" t="n">
        <v>-6536.1</v>
      </c>
      <c r="I3148" s="16" t="n">
        <v>45253</v>
      </c>
      <c r="J3148" s="16" t="n">
        <v>45296</v>
      </c>
      <c r="K3148" s="5" t="inlineStr">
        <is>
          <t>Fatura - bruto TECON RIO GRANDE SA 1789342</t>
        </is>
      </c>
      <c r="L3148" s="5" t="inlineStr">
        <is>
          <t>Regularização</t>
        </is>
      </c>
      <c r="M3148" s="5">
        <f>IF(YEAR(I3148)&lt;=2020,"Até 2020",TEXT(YEAR(I3148),"0"))</f>
        <v/>
      </c>
      <c r="N3148" s="5">
        <f>IFERROR(INDEX(DePara!$A:$A,MATCH(TEXT(B3148,"0"),DePara!$D:$D,0)),"(sem categoria)")</f>
        <v/>
      </c>
      <c r="O3148" s="5">
        <f>IF(J3148="","",Parametros!$B$6-J3148)</f>
        <v/>
      </c>
      <c r="P3148" s="5">
        <f>IF(O3148="","",IF(O3148&gt;0,1,0))</f>
        <v/>
      </c>
    </row>
    <row r="3149">
      <c r="A3149" s="5" t="n">
        <v>2111000000</v>
      </c>
      <c r="B3149" s="5" t="inlineStr">
        <is>
          <t>101813</t>
        </is>
      </c>
      <c r="C3149" s="5" t="inlineStr">
        <is>
          <t>TECON RIO GRANDE SA</t>
        </is>
      </c>
      <c r="D3149" s="5" t="inlineStr">
        <is>
          <t>RE</t>
        </is>
      </c>
      <c r="E3149" s="5" t="n">
        <v>5046994</v>
      </c>
      <c r="F3149" s="5" t="inlineStr">
        <is>
          <t>1789343</t>
        </is>
      </c>
      <c r="G3149" s="5" t="inlineStr">
        <is>
          <t>BRL</t>
        </is>
      </c>
      <c r="H3149" s="9" t="n">
        <v>-152</v>
      </c>
      <c r="I3149" s="16" t="n">
        <v>45253</v>
      </c>
      <c r="J3149" s="16" t="n">
        <v>45296</v>
      </c>
      <c r="K3149" s="5" t="inlineStr">
        <is>
          <t>Fatura - bruto TECON RIO GRANDE SA 1789343</t>
        </is>
      </c>
      <c r="L3149" s="5" t="inlineStr">
        <is>
          <t>Regularização</t>
        </is>
      </c>
      <c r="M3149" s="5">
        <f>IF(YEAR(I3149)&lt;=2020,"Até 2020",TEXT(YEAR(I3149),"0"))</f>
        <v/>
      </c>
      <c r="N3149" s="5">
        <f>IFERROR(INDEX(DePara!$A:$A,MATCH(TEXT(B3149,"0"),DePara!$D:$D,0)),"(sem categoria)")</f>
        <v/>
      </c>
      <c r="O3149" s="5">
        <f>IF(J3149="","",Parametros!$B$6-J3149)</f>
        <v/>
      </c>
      <c r="P3149" s="5">
        <f>IF(O3149="","",IF(O3149&gt;0,1,0))</f>
        <v/>
      </c>
    </row>
    <row r="3150">
      <c r="A3150" s="5" t="n">
        <v>2111000000</v>
      </c>
      <c r="B3150" s="5" t="inlineStr">
        <is>
          <t>101813</t>
        </is>
      </c>
      <c r="C3150" s="5" t="inlineStr">
        <is>
          <t>TECON RIO GRANDE SA</t>
        </is>
      </c>
      <c r="D3150" s="5" t="inlineStr">
        <is>
          <t>RE</t>
        </is>
      </c>
      <c r="E3150" s="5" t="n">
        <v>5046995</v>
      </c>
      <c r="F3150" s="5" t="inlineStr">
        <is>
          <t>1820089</t>
        </is>
      </c>
      <c r="G3150" s="5" t="inlineStr">
        <is>
          <t>BRL</t>
        </is>
      </c>
      <c r="H3150" s="9" t="n">
        <v>-45</v>
      </c>
      <c r="I3150" s="16" t="n">
        <v>45339</v>
      </c>
      <c r="J3150" s="16" t="n">
        <v>45387</v>
      </c>
      <c r="K3150" s="5" t="inlineStr">
        <is>
          <t>Fatura - bruto TECON RIO GRANDE SA 1820089</t>
        </is>
      </c>
      <c r="L3150" s="5" t="inlineStr">
        <is>
          <t>Regularização</t>
        </is>
      </c>
      <c r="M3150" s="5">
        <f>IF(YEAR(I3150)&lt;=2020,"Até 2020",TEXT(YEAR(I3150),"0"))</f>
        <v/>
      </c>
      <c r="N3150" s="5">
        <f>IFERROR(INDEX(DePara!$A:$A,MATCH(TEXT(B3150,"0"),DePara!$D:$D,0)),"(sem categoria)")</f>
        <v/>
      </c>
      <c r="O3150" s="5">
        <f>IF(J3150="","",Parametros!$B$6-J3150)</f>
        <v/>
      </c>
      <c r="P3150" s="5">
        <f>IF(O3150="","",IF(O3150&gt;0,1,0))</f>
        <v/>
      </c>
    </row>
    <row r="3151">
      <c r="A3151" s="5" t="n">
        <v>2111000000</v>
      </c>
      <c r="B3151" s="5" t="inlineStr">
        <is>
          <t>101813</t>
        </is>
      </c>
      <c r="C3151" s="5" t="inlineStr">
        <is>
          <t>TECON RIO GRANDE SA</t>
        </is>
      </c>
      <c r="D3151" s="5" t="inlineStr">
        <is>
          <t>RE</t>
        </is>
      </c>
      <c r="E3151" s="5" t="n">
        <v>5047001</v>
      </c>
      <c r="F3151" s="5" t="inlineStr">
        <is>
          <t>1822966</t>
        </is>
      </c>
      <c r="G3151" s="5" t="inlineStr">
        <is>
          <t>BRL</t>
        </is>
      </c>
      <c r="H3151" s="9" t="n">
        <v>-26878.25</v>
      </c>
      <c r="I3151" s="16" t="n">
        <v>45349</v>
      </c>
      <c r="J3151" s="16" t="n">
        <v>45387</v>
      </c>
      <c r="K3151" s="5" t="inlineStr">
        <is>
          <t>Fatura - bruto TECON RIO GRANDE SA 1822966</t>
        </is>
      </c>
      <c r="L3151" s="5" t="inlineStr">
        <is>
          <t>Regularização</t>
        </is>
      </c>
      <c r="M3151" s="5">
        <f>IF(YEAR(I3151)&lt;=2020,"Até 2020",TEXT(YEAR(I3151),"0"))</f>
        <v/>
      </c>
      <c r="N3151" s="5">
        <f>IFERROR(INDEX(DePara!$A:$A,MATCH(TEXT(B3151,"0"),DePara!$D:$D,0)),"(sem categoria)")</f>
        <v/>
      </c>
      <c r="O3151" s="5">
        <f>IF(J3151="","",Parametros!$B$6-J3151)</f>
        <v/>
      </c>
      <c r="P3151" s="5">
        <f>IF(O3151="","",IF(O3151&gt;0,1,0))</f>
        <v/>
      </c>
    </row>
    <row r="3152">
      <c r="A3152" s="5" t="n">
        <v>2111000000</v>
      </c>
      <c r="B3152" s="5" t="inlineStr">
        <is>
          <t>101813</t>
        </is>
      </c>
      <c r="C3152" s="5" t="inlineStr">
        <is>
          <t>TECON RIO GRANDE SA</t>
        </is>
      </c>
      <c r="D3152" s="5" t="inlineStr">
        <is>
          <t>RE</t>
        </is>
      </c>
      <c r="E3152" s="5" t="n">
        <v>5047002</v>
      </c>
      <c r="F3152" s="5" t="inlineStr">
        <is>
          <t>1823485</t>
        </is>
      </c>
      <c r="G3152" s="5" t="inlineStr">
        <is>
          <t>BRL</t>
        </is>
      </c>
      <c r="H3152" s="9" t="n">
        <v>-450.5</v>
      </c>
      <c r="I3152" s="16" t="n">
        <v>45350</v>
      </c>
      <c r="J3152" s="16" t="n">
        <v>45387</v>
      </c>
      <c r="K3152" s="5" t="inlineStr">
        <is>
          <t>Fatura - bruto TECON RIO GRANDE SA 1823485</t>
        </is>
      </c>
      <c r="L3152" s="5" t="inlineStr">
        <is>
          <t>Regularização</t>
        </is>
      </c>
      <c r="M3152" s="5">
        <f>IF(YEAR(I3152)&lt;=2020,"Até 2020",TEXT(YEAR(I3152),"0"))</f>
        <v/>
      </c>
      <c r="N3152" s="5">
        <f>IFERROR(INDEX(DePara!$A:$A,MATCH(TEXT(B3152,"0"),DePara!$D:$D,0)),"(sem categoria)")</f>
        <v/>
      </c>
      <c r="O3152" s="5">
        <f>IF(J3152="","",Parametros!$B$6-J3152)</f>
        <v/>
      </c>
      <c r="P3152" s="5">
        <f>IF(O3152="","",IF(O3152&gt;0,1,0))</f>
        <v/>
      </c>
    </row>
    <row r="3153">
      <c r="A3153" s="5" t="n">
        <v>2111000000</v>
      </c>
      <c r="B3153" s="5" t="inlineStr">
        <is>
          <t>101813</t>
        </is>
      </c>
      <c r="C3153" s="5" t="inlineStr">
        <is>
          <t>TECON RIO GRANDE SA</t>
        </is>
      </c>
      <c r="D3153" s="5" t="inlineStr">
        <is>
          <t>RE</t>
        </is>
      </c>
      <c r="E3153" s="5" t="n">
        <v>5047151</v>
      </c>
      <c r="F3153" s="5" t="inlineStr">
        <is>
          <t>1822629</t>
        </is>
      </c>
      <c r="G3153" s="5" t="inlineStr">
        <is>
          <t>BRL</t>
        </is>
      </c>
      <c r="H3153" s="9" t="n">
        <v>-31266.7</v>
      </c>
      <c r="I3153" s="16" t="n">
        <v>45346</v>
      </c>
      <c r="J3153" s="16" t="n">
        <v>45387</v>
      </c>
      <c r="K3153" s="5" t="inlineStr">
        <is>
          <t>Fatura - bruto TECON RIO GRANDE SA 1822629</t>
        </is>
      </c>
      <c r="L3153" s="5" t="inlineStr">
        <is>
          <t>Regularização</t>
        </is>
      </c>
      <c r="M3153" s="5">
        <f>IF(YEAR(I3153)&lt;=2020,"Até 2020",TEXT(YEAR(I3153),"0"))</f>
        <v/>
      </c>
      <c r="N3153" s="5">
        <f>IFERROR(INDEX(DePara!$A:$A,MATCH(TEXT(B3153,"0"),DePara!$D:$D,0)),"(sem categoria)")</f>
        <v/>
      </c>
      <c r="O3153" s="5">
        <f>IF(J3153="","",Parametros!$B$6-J3153)</f>
        <v/>
      </c>
      <c r="P3153" s="5">
        <f>IF(O3153="","",IF(O3153&gt;0,1,0))</f>
        <v/>
      </c>
    </row>
    <row r="3154">
      <c r="A3154" s="5" t="n">
        <v>2111000000</v>
      </c>
      <c r="B3154" s="5" t="inlineStr">
        <is>
          <t>101813</t>
        </is>
      </c>
      <c r="C3154" s="5" t="inlineStr">
        <is>
          <t>TECON RIO GRANDE SA</t>
        </is>
      </c>
      <c r="D3154" s="5" t="inlineStr">
        <is>
          <t>RE</t>
        </is>
      </c>
      <c r="E3154" s="5" t="n">
        <v>5047153</v>
      </c>
      <c r="F3154" s="5" t="inlineStr">
        <is>
          <t>1823974</t>
        </is>
      </c>
      <c r="G3154" s="5" t="inlineStr">
        <is>
          <t>BRL</t>
        </is>
      </c>
      <c r="H3154" s="9" t="n">
        <v>-473.9</v>
      </c>
      <c r="I3154" s="16" t="n">
        <v>45351</v>
      </c>
      <c r="J3154" s="16" t="n">
        <v>45387</v>
      </c>
      <c r="K3154" s="5" t="inlineStr">
        <is>
          <t>Fatura - bruto TECON RIO GRANDE SA 1823974</t>
        </is>
      </c>
      <c r="L3154" s="5" t="inlineStr">
        <is>
          <t>Regularização</t>
        </is>
      </c>
      <c r="M3154" s="5">
        <f>IF(YEAR(I3154)&lt;=2020,"Até 2020",TEXT(YEAR(I3154),"0"))</f>
        <v/>
      </c>
      <c r="N3154" s="5">
        <f>IFERROR(INDEX(DePara!$A:$A,MATCH(TEXT(B3154,"0"),DePara!$D:$D,0)),"(sem categoria)")</f>
        <v/>
      </c>
      <c r="O3154" s="5">
        <f>IF(J3154="","",Parametros!$B$6-J3154)</f>
        <v/>
      </c>
      <c r="P3154" s="5">
        <f>IF(O3154="","",IF(O3154&gt;0,1,0))</f>
        <v/>
      </c>
    </row>
    <row r="3155">
      <c r="A3155" s="5" t="n">
        <v>2111000000</v>
      </c>
      <c r="B3155" s="5" t="inlineStr">
        <is>
          <t>101813</t>
        </is>
      </c>
      <c r="C3155" s="5" t="inlineStr">
        <is>
          <t>TECON RIO GRANDE SA</t>
        </is>
      </c>
      <c r="D3155" s="5" t="inlineStr">
        <is>
          <t>RE</t>
        </is>
      </c>
      <c r="E3155" s="5" t="n">
        <v>5047155</v>
      </c>
      <c r="F3155" s="5" t="inlineStr">
        <is>
          <t>1825050</t>
        </is>
      </c>
      <c r="G3155" s="5" t="inlineStr">
        <is>
          <t>BRL</t>
        </is>
      </c>
      <c r="H3155" s="9" t="n">
        <v>-1599.95</v>
      </c>
      <c r="I3155" s="16" t="n">
        <v>45353</v>
      </c>
      <c r="J3155" s="16" t="n">
        <v>45387</v>
      </c>
      <c r="K3155" s="5" t="inlineStr">
        <is>
          <t>Fatura - bruto TECON RIO GRANDE SA 1825050</t>
        </is>
      </c>
      <c r="L3155" s="5" t="inlineStr">
        <is>
          <t>Regularização</t>
        </is>
      </c>
      <c r="M3155" s="5">
        <f>IF(YEAR(I3155)&lt;=2020,"Até 2020",TEXT(YEAR(I3155),"0"))</f>
        <v/>
      </c>
      <c r="N3155" s="5">
        <f>IFERROR(INDEX(DePara!$A:$A,MATCH(TEXT(B3155,"0"),DePara!$D:$D,0)),"(sem categoria)")</f>
        <v/>
      </c>
      <c r="O3155" s="5">
        <f>IF(J3155="","",Parametros!$B$6-J3155)</f>
        <v/>
      </c>
      <c r="P3155" s="5">
        <f>IF(O3155="","",IF(O3155&gt;0,1,0))</f>
        <v/>
      </c>
    </row>
    <row r="3156">
      <c r="A3156" s="5" t="n">
        <v>2111000000</v>
      </c>
      <c r="B3156" s="5" t="inlineStr">
        <is>
          <t>102485</t>
        </is>
      </c>
      <c r="C3156" s="5" t="inlineStr">
        <is>
          <t>SUATA SERVICO UNIFICADO DE ARMAZENA</t>
        </is>
      </c>
      <c r="D3156" s="5" t="inlineStr">
        <is>
          <t>RE</t>
        </is>
      </c>
      <c r="E3156" s="5" t="n">
        <v>5047392</v>
      </c>
      <c r="F3156" s="5" t="inlineStr">
        <is>
          <t>3343</t>
        </is>
      </c>
      <c r="G3156" s="5" t="inlineStr">
        <is>
          <t>BRL</t>
        </is>
      </c>
      <c r="H3156" s="9" t="n">
        <v>-38171.04</v>
      </c>
      <c r="I3156" s="16" t="n">
        <v>45394</v>
      </c>
      <c r="J3156" s="16" t="n">
        <v>45394</v>
      </c>
      <c r="K3156" s="5" t="inlineStr">
        <is>
          <t>Fatura - bruto SUATA SERVICO UNIFICADO DE ARMAZENA</t>
        </is>
      </c>
      <c r="L3156" s="5" t="n"/>
      <c r="M3156" s="5">
        <f>IF(YEAR(I3156)&lt;=2020,"Até 2020",TEXT(YEAR(I3156),"0"))</f>
        <v/>
      </c>
      <c r="N3156" s="5">
        <f>IFERROR(INDEX(DePara!$A:$A,MATCH(TEXT(B3156,"0"),DePara!$D:$D,0)),"(sem categoria)")</f>
        <v/>
      </c>
      <c r="O3156" s="5">
        <f>IF(J3156="","",Parametros!$B$6-J3156)</f>
        <v/>
      </c>
      <c r="P3156" s="5">
        <f>IF(O3156="","",IF(O3156&gt;0,1,0))</f>
        <v/>
      </c>
    </row>
    <row r="3157">
      <c r="A3157" s="5" t="n">
        <v>2111000000</v>
      </c>
      <c r="B3157" s="5" t="inlineStr">
        <is>
          <t>100920</t>
        </is>
      </c>
      <c r="C3157" s="5" t="inlineStr">
        <is>
          <t>DSV SOLUTIONS BRASIL SERVICOS DE LO</t>
        </is>
      </c>
      <c r="D3157" s="5" t="inlineStr">
        <is>
          <t>RE</t>
        </is>
      </c>
      <c r="E3157" s="5" t="n">
        <v>5047798</v>
      </c>
      <c r="F3157" s="5" t="inlineStr">
        <is>
          <t>29873</t>
        </is>
      </c>
      <c r="G3157" s="5" t="inlineStr">
        <is>
          <t>BRL</t>
        </is>
      </c>
      <c r="H3157" s="9" t="n">
        <v>-947</v>
      </c>
      <c r="I3157" s="16" t="n">
        <v>45240</v>
      </c>
      <c r="J3157" s="16" t="n">
        <v>45240</v>
      </c>
      <c r="K3157" s="5" t="inlineStr">
        <is>
          <t>Fatura - bruto DSV SOLUTIONS BRASIL SERVICOS DE LO</t>
        </is>
      </c>
      <c r="L3157" s="5" t="inlineStr">
        <is>
          <t>Regularização</t>
        </is>
      </c>
      <c r="M3157" s="5">
        <f>IF(YEAR(I3157)&lt;=2020,"Até 2020",TEXT(YEAR(I3157),"0"))</f>
        <v/>
      </c>
      <c r="N3157" s="5">
        <f>IFERROR(INDEX(DePara!$A:$A,MATCH(TEXT(B3157,"0"),DePara!$D:$D,0)),"(sem categoria)")</f>
        <v/>
      </c>
      <c r="O3157" s="5">
        <f>IF(J3157="","",Parametros!$B$6-J3157)</f>
        <v/>
      </c>
      <c r="P3157" s="5">
        <f>IF(O3157="","",IF(O3157&gt;0,1,0))</f>
        <v/>
      </c>
    </row>
    <row r="3158">
      <c r="A3158" s="5" t="n">
        <v>2111000000</v>
      </c>
      <c r="B3158" s="5" t="inlineStr">
        <is>
          <t>101222</t>
        </is>
      </c>
      <c r="C3158" s="5" t="inlineStr">
        <is>
          <t>AGROPECUARIA CANOA MIRIM SA</t>
        </is>
      </c>
      <c r="D3158" s="5" t="inlineStr">
        <is>
          <t>RE</t>
        </is>
      </c>
      <c r="E3158" s="5" t="n">
        <v>5047868</v>
      </c>
      <c r="F3158" s="5" t="inlineStr">
        <is>
          <t>202412</t>
        </is>
      </c>
      <c r="G3158" s="5" t="inlineStr">
        <is>
          <t>BRL</t>
        </is>
      </c>
      <c r="H3158" s="9" t="n">
        <v>-8000</v>
      </c>
      <c r="I3158" s="16" t="n">
        <v>45601</v>
      </c>
      <c r="J3158" s="16" t="n">
        <v>45631</v>
      </c>
      <c r="K3158" s="5" t="inlineStr">
        <is>
          <t>Fatura - bruto AGROPECUARIA CANOA MIRIM SA 202412</t>
        </is>
      </c>
      <c r="L3158" s="5" t="inlineStr">
        <is>
          <t>BLOQUEADO, LUCIANA</t>
        </is>
      </c>
      <c r="M3158" s="5">
        <f>IF(YEAR(I3158)&lt;=2020,"Até 2020",TEXT(YEAR(I3158),"0"))</f>
        <v/>
      </c>
      <c r="N3158" s="5">
        <f>IFERROR(INDEX(DePara!$A:$A,MATCH(TEXT(B3158,"0"),DePara!$D:$D,0)),"(sem categoria)")</f>
        <v/>
      </c>
      <c r="O3158" s="5">
        <f>IF(J3158="","",Parametros!$B$6-J3158)</f>
        <v/>
      </c>
      <c r="P3158" s="5">
        <f>IF(O3158="","",IF(O3158&gt;0,1,0))</f>
        <v/>
      </c>
    </row>
    <row r="3159">
      <c r="A3159" s="5" t="n">
        <v>2111000000</v>
      </c>
      <c r="B3159" s="5" t="inlineStr">
        <is>
          <t>101813</t>
        </is>
      </c>
      <c r="C3159" s="5" t="inlineStr">
        <is>
          <t>TECON RIO GRANDE SA</t>
        </is>
      </c>
      <c r="D3159" s="5" t="inlineStr">
        <is>
          <t>RE</t>
        </is>
      </c>
      <c r="E3159" s="5" t="n">
        <v>5049190</v>
      </c>
      <c r="F3159" s="5" t="inlineStr">
        <is>
          <t>1822965</t>
        </is>
      </c>
      <c r="G3159" s="5" t="inlineStr">
        <is>
          <t>BRL</t>
        </is>
      </c>
      <c r="H3159" s="9" t="n">
        <v>-83.52</v>
      </c>
      <c r="I3159" s="16" t="n">
        <v>45349</v>
      </c>
      <c r="J3159" s="16" t="n">
        <v>45387</v>
      </c>
      <c r="K3159" s="5" t="inlineStr">
        <is>
          <t>Fatura - bruto TECON RIO GRANDE SA 1822965</t>
        </is>
      </c>
      <c r="L3159" s="5" t="inlineStr">
        <is>
          <t>Regularização</t>
        </is>
      </c>
      <c r="M3159" s="5">
        <f>IF(YEAR(I3159)&lt;=2020,"Até 2020",TEXT(YEAR(I3159),"0"))</f>
        <v/>
      </c>
      <c r="N3159" s="5">
        <f>IFERROR(INDEX(DePara!$A:$A,MATCH(TEXT(B3159,"0"),DePara!$D:$D,0)),"(sem categoria)")</f>
        <v/>
      </c>
      <c r="O3159" s="5">
        <f>IF(J3159="","",Parametros!$B$6-J3159)</f>
        <v/>
      </c>
      <c r="P3159" s="5">
        <f>IF(O3159="","",IF(O3159&gt;0,1,0))</f>
        <v/>
      </c>
    </row>
    <row r="3160">
      <c r="A3160" s="5" t="n">
        <v>2111000000</v>
      </c>
      <c r="B3160" s="5" t="inlineStr">
        <is>
          <t>101813</t>
        </is>
      </c>
      <c r="C3160" s="5" t="inlineStr">
        <is>
          <t>TECON RIO GRANDE SA</t>
        </is>
      </c>
      <c r="D3160" s="5" t="inlineStr">
        <is>
          <t>RE</t>
        </is>
      </c>
      <c r="E3160" s="5" t="n">
        <v>5049236</v>
      </c>
      <c r="F3160" s="5" t="inlineStr">
        <is>
          <t>1789358</t>
        </is>
      </c>
      <c r="G3160" s="5" t="inlineStr">
        <is>
          <t>BRL</t>
        </is>
      </c>
      <c r="H3160" s="9" t="n">
        <v>-87</v>
      </c>
      <c r="I3160" s="16" t="n">
        <v>45253</v>
      </c>
      <c r="J3160" s="16" t="n">
        <v>45296</v>
      </c>
      <c r="K3160" s="5" t="inlineStr">
        <is>
          <t>Fatura - bruto TECON RIO GRANDE SA 1789358</t>
        </is>
      </c>
      <c r="L3160" s="5" t="inlineStr">
        <is>
          <t>Regularização</t>
        </is>
      </c>
      <c r="M3160" s="5">
        <f>IF(YEAR(I3160)&lt;=2020,"Até 2020",TEXT(YEAR(I3160),"0"))</f>
        <v/>
      </c>
      <c r="N3160" s="5">
        <f>IFERROR(INDEX(DePara!$A:$A,MATCH(TEXT(B3160,"0"),DePara!$D:$D,0)),"(sem categoria)")</f>
        <v/>
      </c>
      <c r="O3160" s="5">
        <f>IF(J3160="","",Parametros!$B$6-J3160)</f>
        <v/>
      </c>
      <c r="P3160" s="5">
        <f>IF(O3160="","",IF(O3160&gt;0,1,0))</f>
        <v/>
      </c>
    </row>
    <row r="3161">
      <c r="A3161" s="5" t="n">
        <v>2111000000</v>
      </c>
      <c r="B3161" s="5" t="inlineStr">
        <is>
          <t>101813</t>
        </is>
      </c>
      <c r="C3161" s="5" t="inlineStr">
        <is>
          <t>TECON RIO GRANDE SA</t>
        </is>
      </c>
      <c r="D3161" s="5" t="inlineStr">
        <is>
          <t>RE</t>
        </is>
      </c>
      <c r="E3161" s="5" t="n">
        <v>5050358</v>
      </c>
      <c r="F3161" s="5" t="inlineStr">
        <is>
          <t>1866961</t>
        </is>
      </c>
      <c r="G3161" s="5" t="inlineStr">
        <is>
          <t>BRL</t>
        </is>
      </c>
      <c r="H3161" s="9" t="n">
        <v>-7333.9</v>
      </c>
      <c r="I3161" s="16" t="n">
        <v>45471</v>
      </c>
      <c r="J3161" s="16" t="n">
        <v>45540</v>
      </c>
      <c r="K3161" s="5" t="inlineStr">
        <is>
          <t>Fatura - bruto TECON RIO GRANDE SA 1866961</t>
        </is>
      </c>
      <c r="L3161" s="5" t="inlineStr">
        <is>
          <t>Regularização</t>
        </is>
      </c>
      <c r="M3161" s="5">
        <f>IF(YEAR(I3161)&lt;=2020,"Até 2020",TEXT(YEAR(I3161),"0"))</f>
        <v/>
      </c>
      <c r="N3161" s="5">
        <f>IFERROR(INDEX(DePara!$A:$A,MATCH(TEXT(B3161,"0"),DePara!$D:$D,0)),"(sem categoria)")</f>
        <v/>
      </c>
      <c r="O3161" s="5">
        <f>IF(J3161="","",Parametros!$B$6-J3161)</f>
        <v/>
      </c>
      <c r="P3161" s="5">
        <f>IF(O3161="","",IF(O3161&gt;0,1,0))</f>
        <v/>
      </c>
    </row>
    <row r="3162">
      <c r="A3162" s="5" t="n">
        <v>2111000000</v>
      </c>
      <c r="B3162" s="5" t="inlineStr">
        <is>
          <t>101813</t>
        </is>
      </c>
      <c r="C3162" s="5" t="inlineStr">
        <is>
          <t>TECON RIO GRANDE SA</t>
        </is>
      </c>
      <c r="D3162" s="5" t="inlineStr">
        <is>
          <t>RE</t>
        </is>
      </c>
      <c r="E3162" s="5" t="n">
        <v>5050370</v>
      </c>
      <c r="F3162" s="5" t="inlineStr">
        <is>
          <t>1872495</t>
        </is>
      </c>
      <c r="G3162" s="5" t="inlineStr">
        <is>
          <t>BRL</t>
        </is>
      </c>
      <c r="H3162" s="9" t="n">
        <v>-1050</v>
      </c>
      <c r="I3162" s="16" t="n">
        <v>45486</v>
      </c>
      <c r="J3162" s="16" t="n">
        <v>45509</v>
      </c>
      <c r="K3162" s="5" t="inlineStr">
        <is>
          <t>Fatura - bruto TECON RIO GRANDE SA 1872495</t>
        </is>
      </c>
      <c r="L3162" s="5" t="inlineStr">
        <is>
          <t>Regularização</t>
        </is>
      </c>
      <c r="M3162" s="5">
        <f>IF(YEAR(I3162)&lt;=2020,"Até 2020",TEXT(YEAR(I3162),"0"))</f>
        <v/>
      </c>
      <c r="N3162" s="5">
        <f>IFERROR(INDEX(DePara!$A:$A,MATCH(TEXT(B3162,"0"),DePara!$D:$D,0)),"(sem categoria)")</f>
        <v/>
      </c>
      <c r="O3162" s="5">
        <f>IF(J3162="","",Parametros!$B$6-J3162)</f>
        <v/>
      </c>
      <c r="P3162" s="5">
        <f>IF(O3162="","",IF(O3162&gt;0,1,0))</f>
        <v/>
      </c>
    </row>
    <row r="3163">
      <c r="A3163" s="5" t="n">
        <v>2111000000</v>
      </c>
      <c r="B3163" s="5" t="inlineStr">
        <is>
          <t>101813</t>
        </is>
      </c>
      <c r="C3163" s="5" t="inlineStr">
        <is>
          <t>TECON RIO GRANDE SA</t>
        </is>
      </c>
      <c r="D3163" s="5" t="inlineStr">
        <is>
          <t>RE</t>
        </is>
      </c>
      <c r="E3163" s="5" t="n">
        <v>5050372</v>
      </c>
      <c r="F3163" s="5" t="inlineStr">
        <is>
          <t>1873093</t>
        </is>
      </c>
      <c r="G3163" s="5" t="inlineStr">
        <is>
          <t>BRL</t>
        </is>
      </c>
      <c r="H3163" s="9" t="n">
        <v>-300</v>
      </c>
      <c r="I3163" s="16" t="n">
        <v>45489</v>
      </c>
      <c r="J3163" s="16" t="n">
        <v>45509</v>
      </c>
      <c r="K3163" s="5" t="inlineStr">
        <is>
          <t>Fatura - bruto TECON RIO GRANDE SA 1873093</t>
        </is>
      </c>
      <c r="L3163" s="5" t="inlineStr">
        <is>
          <t>Regularização</t>
        </is>
      </c>
      <c r="M3163" s="5">
        <f>IF(YEAR(I3163)&lt;=2020,"Até 2020",TEXT(YEAR(I3163),"0"))</f>
        <v/>
      </c>
      <c r="N3163" s="5">
        <f>IFERROR(INDEX(DePara!$A:$A,MATCH(TEXT(B3163,"0"),DePara!$D:$D,0)),"(sem categoria)")</f>
        <v/>
      </c>
      <c r="O3163" s="5">
        <f>IF(J3163="","",Parametros!$B$6-J3163)</f>
        <v/>
      </c>
      <c r="P3163" s="5">
        <f>IF(O3163="","",IF(O3163&gt;0,1,0))</f>
        <v/>
      </c>
    </row>
    <row r="3164">
      <c r="A3164" s="5" t="n">
        <v>2111000000</v>
      </c>
      <c r="B3164" s="5" t="inlineStr">
        <is>
          <t>102030</t>
        </is>
      </c>
      <c r="C3164" s="5" t="inlineStr">
        <is>
          <t>TECON SALVADOR SA</t>
        </is>
      </c>
      <c r="D3164" s="5" t="inlineStr">
        <is>
          <t>RE</t>
        </is>
      </c>
      <c r="E3164" s="5" t="n">
        <v>5050432</v>
      </c>
      <c r="F3164" s="5" t="inlineStr">
        <is>
          <t>264059</t>
        </is>
      </c>
      <c r="G3164" s="5" t="inlineStr">
        <is>
          <t>BRL</t>
        </is>
      </c>
      <c r="H3164" s="9" t="n">
        <v>-2036.09</v>
      </c>
      <c r="I3164" s="16" t="n">
        <v>45189</v>
      </c>
      <c r="J3164" s="16" t="n">
        <v>45509</v>
      </c>
      <c r="K3164" s="5" t="inlineStr">
        <is>
          <t>Fatura - bruto TECON SALVADOR SA 264059</t>
        </is>
      </c>
      <c r="L3164" s="5" t="inlineStr">
        <is>
          <t>0182/24</t>
        </is>
      </c>
      <c r="M3164" s="5">
        <f>IF(YEAR(I3164)&lt;=2020,"Até 2020",TEXT(YEAR(I3164),"0"))</f>
        <v/>
      </c>
      <c r="N3164" s="5">
        <f>IFERROR(INDEX(DePara!$A:$A,MATCH(TEXT(B3164,"0"),DePara!$D:$D,0)),"(sem categoria)")</f>
        <v/>
      </c>
      <c r="O3164" s="5">
        <f>IF(J3164="","",Parametros!$B$6-J3164)</f>
        <v/>
      </c>
      <c r="P3164" s="5">
        <f>IF(O3164="","",IF(O3164&gt;0,1,0))</f>
        <v/>
      </c>
    </row>
    <row r="3165">
      <c r="A3165" s="5" t="n">
        <v>2111000000</v>
      </c>
      <c r="B3165" s="5" t="inlineStr">
        <is>
          <t>102030</t>
        </is>
      </c>
      <c r="C3165" s="5" t="inlineStr">
        <is>
          <t>TECON SALVADOR SA</t>
        </is>
      </c>
      <c r="D3165" s="5" t="inlineStr">
        <is>
          <t>RE</t>
        </is>
      </c>
      <c r="E3165" s="5" t="n">
        <v>5050435</v>
      </c>
      <c r="F3165" s="5" t="inlineStr">
        <is>
          <t>262730</t>
        </is>
      </c>
      <c r="G3165" s="5" t="inlineStr">
        <is>
          <t>BRL</t>
        </is>
      </c>
      <c r="H3165" s="9" t="n">
        <v>-393.6</v>
      </c>
      <c r="I3165" s="16" t="n">
        <v>45175</v>
      </c>
      <c r="J3165" s="16" t="n">
        <v>45509</v>
      </c>
      <c r="K3165" s="5" t="inlineStr">
        <is>
          <t>Fatura - bruto TECON SALVADOR SA 262730</t>
        </is>
      </c>
      <c r="L3165" s="5" t="inlineStr">
        <is>
          <t>0182/24</t>
        </is>
      </c>
      <c r="M3165" s="5">
        <f>IF(YEAR(I3165)&lt;=2020,"Até 2020",TEXT(YEAR(I3165),"0"))</f>
        <v/>
      </c>
      <c r="N3165" s="5">
        <f>IFERROR(INDEX(DePara!$A:$A,MATCH(TEXT(B3165,"0"),DePara!$D:$D,0)),"(sem categoria)")</f>
        <v/>
      </c>
      <c r="O3165" s="5">
        <f>IF(J3165="","",Parametros!$B$6-J3165)</f>
        <v/>
      </c>
      <c r="P3165" s="5">
        <f>IF(O3165="","",IF(O3165&gt;0,1,0))</f>
        <v/>
      </c>
    </row>
    <row r="3166">
      <c r="A3166" s="5" t="n">
        <v>2111000000</v>
      </c>
      <c r="B3166" s="5" t="inlineStr">
        <is>
          <t>101255</t>
        </is>
      </c>
      <c r="C3166" s="5" t="inlineStr">
        <is>
          <t>WILSON SONS LOGISTICA LTDA</t>
        </is>
      </c>
      <c r="D3166" s="5" t="inlineStr">
        <is>
          <t>RE</t>
        </is>
      </c>
      <c r="E3166" s="5" t="n">
        <v>5052155</v>
      </c>
      <c r="F3166" s="5" t="inlineStr">
        <is>
          <t>5942</t>
        </is>
      </c>
      <c r="G3166" s="5" t="inlineStr">
        <is>
          <t>BRL</t>
        </is>
      </c>
      <c r="H3166" s="9" t="n">
        <v>-13.39</v>
      </c>
      <c r="I3166" s="16" t="n">
        <v>45384</v>
      </c>
      <c r="J3166" s="16" t="n">
        <v>45384</v>
      </c>
      <c r="K3166" s="5" t="inlineStr">
        <is>
          <t>Fatura - bruto WILSON SONS LOGISTICA LTDA 5942</t>
        </is>
      </c>
      <c r="L3166" s="5" t="inlineStr">
        <is>
          <t>Regularização</t>
        </is>
      </c>
      <c r="M3166" s="5">
        <f>IF(YEAR(I3166)&lt;=2020,"Até 2020",TEXT(YEAR(I3166),"0"))</f>
        <v/>
      </c>
      <c r="N3166" s="5">
        <f>IFERROR(INDEX(DePara!$A:$A,MATCH(TEXT(B3166,"0"),DePara!$D:$D,0)),"(sem categoria)")</f>
        <v/>
      </c>
      <c r="O3166" s="5">
        <f>IF(J3166="","",Parametros!$B$6-J3166)</f>
        <v/>
      </c>
      <c r="P3166" s="5">
        <f>IF(O3166="","",IF(O3166&gt;0,1,0))</f>
        <v/>
      </c>
    </row>
    <row r="3167">
      <c r="A3167" s="5" t="n">
        <v>2111000000</v>
      </c>
      <c r="B3167" s="5" t="inlineStr">
        <is>
          <t>100028</t>
        </is>
      </c>
      <c r="C3167" s="5" t="inlineStr">
        <is>
          <t>SUPPLOG PORTO SECO DE IPOJUCA LTDA</t>
        </is>
      </c>
      <c r="D3167" s="5" t="inlineStr">
        <is>
          <t>RE</t>
        </is>
      </c>
      <c r="E3167" s="5" t="n">
        <v>5052641</v>
      </c>
      <c r="F3167" s="5" t="inlineStr">
        <is>
          <t>240008465</t>
        </is>
      </c>
      <c r="G3167" s="5" t="inlineStr">
        <is>
          <t>BRL</t>
        </is>
      </c>
      <c r="H3167" s="9" t="n">
        <v>-2949.32</v>
      </c>
      <c r="I3167" s="16" t="n">
        <v>45499</v>
      </c>
      <c r="J3167" s="16" t="n">
        <v>45540</v>
      </c>
      <c r="K3167" s="5" t="inlineStr">
        <is>
          <t>Fatura - bruto SUPPLOG PORTO SECO DE IPOJUCA LTDA</t>
        </is>
      </c>
      <c r="L3167" s="5" t="inlineStr">
        <is>
          <t>Regularização</t>
        </is>
      </c>
      <c r="M3167" s="5">
        <f>IF(YEAR(I3167)&lt;=2020,"Até 2020",TEXT(YEAR(I3167),"0"))</f>
        <v/>
      </c>
      <c r="N3167" s="5">
        <f>IFERROR(INDEX(DePara!$A:$A,MATCH(TEXT(B3167,"0"),DePara!$D:$D,0)),"(sem categoria)")</f>
        <v/>
      </c>
      <c r="O3167" s="5">
        <f>IF(J3167="","",Parametros!$B$6-J3167)</f>
        <v/>
      </c>
      <c r="P3167" s="5">
        <f>IF(O3167="","",IF(O3167&gt;0,1,0))</f>
        <v/>
      </c>
    </row>
    <row r="3168">
      <c r="A3168" s="5" t="n">
        <v>2111000000</v>
      </c>
      <c r="B3168" s="5" t="inlineStr">
        <is>
          <t>100028</t>
        </is>
      </c>
      <c r="C3168" s="5" t="inlineStr">
        <is>
          <t>SUPPLOG PORTO SECO DE IPOJUCA LTDA</t>
        </is>
      </c>
      <c r="D3168" s="5" t="inlineStr">
        <is>
          <t>RE</t>
        </is>
      </c>
      <c r="E3168" s="5" t="n">
        <v>5052642</v>
      </c>
      <c r="F3168" s="5" t="inlineStr">
        <is>
          <t>240007793</t>
        </is>
      </c>
      <c r="G3168" s="5" t="inlineStr">
        <is>
          <t>BRL</t>
        </is>
      </c>
      <c r="H3168" s="9" t="n">
        <v>-1934.98</v>
      </c>
      <c r="I3168" s="16" t="n">
        <v>45485</v>
      </c>
      <c r="J3168" s="16" t="n">
        <v>45540</v>
      </c>
      <c r="K3168" s="5" t="inlineStr">
        <is>
          <t>Fatura - bruto SUPPLOG PORTO SECO DE IPOJUCA LTDA</t>
        </is>
      </c>
      <c r="L3168" s="5" t="inlineStr">
        <is>
          <t>Regularização</t>
        </is>
      </c>
      <c r="M3168" s="5">
        <f>IF(YEAR(I3168)&lt;=2020,"Até 2020",TEXT(YEAR(I3168),"0"))</f>
        <v/>
      </c>
      <c r="N3168" s="5">
        <f>IFERROR(INDEX(DePara!$A:$A,MATCH(TEXT(B3168,"0"),DePara!$D:$D,0)),"(sem categoria)")</f>
        <v/>
      </c>
      <c r="O3168" s="5">
        <f>IF(J3168="","",Parametros!$B$6-J3168)</f>
        <v/>
      </c>
      <c r="P3168" s="5">
        <f>IF(O3168="","",IF(O3168&gt;0,1,0))</f>
        <v/>
      </c>
    </row>
    <row r="3169">
      <c r="A3169" s="5" t="n">
        <v>2111000000</v>
      </c>
      <c r="B3169" s="5" t="inlineStr">
        <is>
          <t>105237</t>
        </is>
      </c>
      <c r="C3169" s="5" t="inlineStr">
        <is>
          <t>TGP BRASIL PROJETOS &amp; TRANSPORTES I 07752487000108</t>
        </is>
      </c>
      <c r="D3169" s="5" t="inlineStr">
        <is>
          <t>RE</t>
        </is>
      </c>
      <c r="E3169" s="5" t="n">
        <v>5052650</v>
      </c>
      <c r="F3169" s="5" t="inlineStr">
        <is>
          <t>12906</t>
        </is>
      </c>
      <c r="G3169" s="5" t="inlineStr">
        <is>
          <t>BRL</t>
        </is>
      </c>
      <c r="H3169" s="9" t="n">
        <v>-680.48</v>
      </c>
      <c r="I3169" s="16" t="n">
        <v>45475</v>
      </c>
      <c r="J3169" s="16" t="n">
        <v>45540</v>
      </c>
      <c r="K3169" s="5" t="inlineStr">
        <is>
          <t>Fatura - bruto TGP BRASIL PROJETOS &amp; TRANSPORTES I</t>
        </is>
      </c>
      <c r="L3169" s="5" t="inlineStr">
        <is>
          <t>Regularização</t>
        </is>
      </c>
      <c r="M3169" s="5">
        <f>IF(YEAR(I3169)&lt;=2020,"Até 2020",TEXT(YEAR(I3169),"0"))</f>
        <v/>
      </c>
      <c r="N3169" s="5">
        <f>IFERROR(INDEX(DePara!$A:$A,MATCH(TEXT(B3169,"0"),DePara!$D:$D,0)),"(sem categoria)")</f>
        <v/>
      </c>
      <c r="O3169" s="5">
        <f>IF(J3169="","",Parametros!$B$6-J3169)</f>
        <v/>
      </c>
      <c r="P3169" s="5">
        <f>IF(O3169="","",IF(O3169&gt;0,1,0))</f>
        <v/>
      </c>
    </row>
    <row r="3170">
      <c r="A3170" s="5" t="n">
        <v>2111000000</v>
      </c>
      <c r="B3170" s="5" t="inlineStr">
        <is>
          <t>101813</t>
        </is>
      </c>
      <c r="C3170" s="5" t="inlineStr">
        <is>
          <t>TECON RIO GRANDE SA</t>
        </is>
      </c>
      <c r="D3170" s="5" t="inlineStr">
        <is>
          <t>RE</t>
        </is>
      </c>
      <c r="E3170" s="5" t="n">
        <v>5052912</v>
      </c>
      <c r="F3170" s="5" t="inlineStr">
        <is>
          <t>1840217</t>
        </is>
      </c>
      <c r="G3170" s="5" t="inlineStr">
        <is>
          <t>BRL</t>
        </is>
      </c>
      <c r="H3170" s="9" t="n">
        <v>-10689.65</v>
      </c>
      <c r="I3170" s="16" t="n">
        <v>45394</v>
      </c>
      <c r="J3170" s="16" t="n">
        <v>45417</v>
      </c>
      <c r="K3170" s="5" t="inlineStr">
        <is>
          <t>Fatura - bruto TECON RIO GRANDE SA 1840217</t>
        </is>
      </c>
      <c r="L3170" s="5" t="inlineStr">
        <is>
          <t>Regularização</t>
        </is>
      </c>
      <c r="M3170" s="5">
        <f>IF(YEAR(I3170)&lt;=2020,"Até 2020",TEXT(YEAR(I3170),"0"))</f>
        <v/>
      </c>
      <c r="N3170" s="5">
        <f>IFERROR(INDEX(DePara!$A:$A,MATCH(TEXT(B3170,"0"),DePara!$D:$D,0)),"(sem categoria)")</f>
        <v/>
      </c>
      <c r="O3170" s="5">
        <f>IF(J3170="","",Parametros!$B$6-J3170)</f>
        <v/>
      </c>
      <c r="P3170" s="5">
        <f>IF(O3170="","",IF(O3170&gt;0,1,0))</f>
        <v/>
      </c>
    </row>
    <row r="3171">
      <c r="A3171" s="5" t="n">
        <v>2111000000</v>
      </c>
      <c r="B3171" s="5" t="inlineStr">
        <is>
          <t>100028</t>
        </is>
      </c>
      <c r="C3171" s="5" t="inlineStr">
        <is>
          <t>SUPPLOG PORTO SECO DE IPOJUCA LTDA</t>
        </is>
      </c>
      <c r="D3171" s="5" t="inlineStr">
        <is>
          <t>RE</t>
        </is>
      </c>
      <c r="E3171" s="5" t="n">
        <v>5053422</v>
      </c>
      <c r="F3171" s="5" t="inlineStr">
        <is>
          <t>240007451</t>
        </is>
      </c>
      <c r="G3171" s="5" t="inlineStr">
        <is>
          <t>BRL</t>
        </is>
      </c>
      <c r="H3171" s="9" t="n">
        <v>-423.59</v>
      </c>
      <c r="I3171" s="16" t="n">
        <v>45476</v>
      </c>
      <c r="J3171" s="16" t="n">
        <v>45540</v>
      </c>
      <c r="K3171" s="5" t="inlineStr">
        <is>
          <t>Fatura - bruto SUPPLOG PORTO SECO DE IPOJUCA LTDA</t>
        </is>
      </c>
      <c r="L3171" s="5" t="inlineStr">
        <is>
          <t>Regularização</t>
        </is>
      </c>
      <c r="M3171" s="5">
        <f>IF(YEAR(I3171)&lt;=2020,"Até 2020",TEXT(YEAR(I3171),"0"))</f>
        <v/>
      </c>
      <c r="N3171" s="5">
        <f>IFERROR(INDEX(DePara!$A:$A,MATCH(TEXT(B3171,"0"),DePara!$D:$D,0)),"(sem categoria)")</f>
        <v/>
      </c>
      <c r="O3171" s="5">
        <f>IF(J3171="","",Parametros!$B$6-J3171)</f>
        <v/>
      </c>
      <c r="P3171" s="5">
        <f>IF(O3171="","",IF(O3171&gt;0,1,0))</f>
        <v/>
      </c>
    </row>
    <row r="3172">
      <c r="A3172" s="5" t="n">
        <v>2111000000</v>
      </c>
      <c r="B3172" s="5" t="inlineStr">
        <is>
          <t>100028</t>
        </is>
      </c>
      <c r="C3172" s="5" t="inlineStr">
        <is>
          <t>SUPPLOG PORTO SECO DE IPOJUCA LTDA</t>
        </is>
      </c>
      <c r="D3172" s="5" t="inlineStr">
        <is>
          <t>RE</t>
        </is>
      </c>
      <c r="E3172" s="5" t="n">
        <v>5053424</v>
      </c>
      <c r="F3172" s="5" t="inlineStr">
        <is>
          <t>240009339</t>
        </is>
      </c>
      <c r="G3172" s="5" t="inlineStr">
        <is>
          <t>BRL</t>
        </is>
      </c>
      <c r="H3172" s="9" t="n">
        <v>-423.59</v>
      </c>
      <c r="I3172" s="16" t="n">
        <v>45513</v>
      </c>
      <c r="J3172" s="16" t="n">
        <v>45570</v>
      </c>
      <c r="K3172" s="5" t="inlineStr">
        <is>
          <t>Fatura - bruto SUPPLOG PORTO SECO DE IPOJUCA LTDA</t>
        </is>
      </c>
      <c r="L3172" s="5" t="inlineStr">
        <is>
          <t>Regularização</t>
        </is>
      </c>
      <c r="M3172" s="5">
        <f>IF(YEAR(I3172)&lt;=2020,"Até 2020",TEXT(YEAR(I3172),"0"))</f>
        <v/>
      </c>
      <c r="N3172" s="5">
        <f>IFERROR(INDEX(DePara!$A:$A,MATCH(TEXT(B3172,"0"),DePara!$D:$D,0)),"(sem categoria)")</f>
        <v/>
      </c>
      <c r="O3172" s="5">
        <f>IF(J3172="","",Parametros!$B$6-J3172)</f>
        <v/>
      </c>
      <c r="P3172" s="5">
        <f>IF(O3172="","",IF(O3172&gt;0,1,0))</f>
        <v/>
      </c>
    </row>
    <row r="3173">
      <c r="A3173" s="5" t="n">
        <v>2111000000</v>
      </c>
      <c r="B3173" s="5" t="inlineStr">
        <is>
          <t>101969</t>
        </is>
      </c>
      <c r="C3173" s="5" t="inlineStr">
        <is>
          <t>SECRETARIA DE ESTADO DA FAZENDA RN</t>
        </is>
      </c>
      <c r="D3173" s="5" t="inlineStr">
        <is>
          <t>UE</t>
        </is>
      </c>
      <c r="E3173" s="5" t="n">
        <v>200007752</v>
      </c>
      <c r="F3173" s="5" t="inlineStr">
        <is>
          <t>2582</t>
        </is>
      </c>
      <c r="G3173" s="5" t="inlineStr">
        <is>
          <t>BRL</t>
        </is>
      </c>
      <c r="H3173" s="9" t="n">
        <v>-68.75</v>
      </c>
      <c r="I3173" s="16" t="n">
        <v>44628</v>
      </c>
      <c r="J3173" s="16" t="n">
        <v>44628</v>
      </c>
      <c r="K3173" s="5" t="inlineStr">
        <is>
          <t>401.</t>
        </is>
      </c>
      <c r="L3173" s="5" t="inlineStr">
        <is>
          <t>400000.210101</t>
        </is>
      </c>
      <c r="M3173" s="5">
        <f>IF(YEAR(I3173)&lt;=2020,"Até 2020",TEXT(YEAR(I3173),"0"))</f>
        <v/>
      </c>
      <c r="N3173" s="5">
        <f>IFERROR(INDEX(DePara!$A:$A,MATCH(TEXT(B3173,"0"),DePara!$D:$D,0)),"(sem categoria)")</f>
        <v/>
      </c>
      <c r="O3173" s="5">
        <f>IF(J3173="","",Parametros!$B$6-J3173)</f>
        <v/>
      </c>
      <c r="P3173" s="5">
        <f>IF(O3173="","",IF(O3173&gt;0,1,0))</f>
        <v/>
      </c>
    </row>
    <row r="3174">
      <c r="A3174" s="5" t="n">
        <v>2111000000</v>
      </c>
      <c r="B3174" s="5" t="inlineStr">
        <is>
          <t>101858</t>
        </is>
      </c>
      <c r="C3174" s="5" t="inlineStr">
        <is>
          <t>PAULO FRANCO SOCIEDADE DE ADVOGADOS</t>
        </is>
      </c>
      <c r="D3174" s="5" t="inlineStr">
        <is>
          <t>UE</t>
        </is>
      </c>
      <c r="E3174" s="5" t="n">
        <v>200008590</v>
      </c>
      <c r="F3174" s="5" t="inlineStr">
        <is>
          <t>18177</t>
        </is>
      </c>
      <c r="G3174" s="5" t="inlineStr">
        <is>
          <t>BRL</t>
        </is>
      </c>
      <c r="H3174" s="9" t="n">
        <v>-24247.55</v>
      </c>
      <c r="I3174" s="16" t="n">
        <v>45082</v>
      </c>
      <c r="J3174" s="16" t="n">
        <v>45082</v>
      </c>
      <c r="K3174" s="5" t="inlineStr">
        <is>
          <t>00222600</t>
        </is>
      </c>
      <c r="L3174" s="5" t="inlineStr">
        <is>
          <t>400000.210101</t>
        </is>
      </c>
      <c r="M3174" s="5">
        <f>IF(YEAR(I3174)&lt;=2020,"Até 2020",TEXT(YEAR(I3174),"0"))</f>
        <v/>
      </c>
      <c r="N3174" s="5">
        <f>IFERROR(INDEX(DePara!$A:$A,MATCH(TEXT(B3174,"0"),DePara!$D:$D,0)),"(sem categoria)")</f>
        <v/>
      </c>
      <c r="O3174" s="5">
        <f>IF(J3174="","",Parametros!$B$6-J3174)</f>
        <v/>
      </c>
      <c r="P3174" s="5">
        <f>IF(O3174="","",IF(O3174&gt;0,1,0))</f>
        <v/>
      </c>
    </row>
    <row r="3175">
      <c r="A3175" s="5" t="n">
        <v>2111000000</v>
      </c>
      <c r="B3175" s="5" t="inlineStr">
        <is>
          <t>100800</t>
        </is>
      </c>
      <c r="C3175" s="5" t="inlineStr">
        <is>
          <t>TOXICLIN SERVICOS MEDICOS EIRELI</t>
        </is>
      </c>
      <c r="D3175" s="5" t="inlineStr">
        <is>
          <t>UE</t>
        </is>
      </c>
      <c r="E3175" s="5" t="n">
        <v>200008662</v>
      </c>
      <c r="F3175" s="5" t="inlineStr">
        <is>
          <t>18241</t>
        </is>
      </c>
      <c r="G3175" s="5" t="inlineStr">
        <is>
          <t>BRL</t>
        </is>
      </c>
      <c r="H3175" s="9" t="n">
        <v>-1132.75</v>
      </c>
      <c r="I3175" s="16" t="n">
        <v>44544</v>
      </c>
      <c r="J3175" s="16" t="n">
        <v>44544</v>
      </c>
      <c r="K3175" s="5" t="inlineStr">
        <is>
          <t>00723500</t>
        </is>
      </c>
      <c r="L3175" s="5" t="inlineStr">
        <is>
          <t>400000.210101</t>
        </is>
      </c>
      <c r="M3175" s="5">
        <f>IF(YEAR(I3175)&lt;=2020,"Até 2020",TEXT(YEAR(I3175),"0"))</f>
        <v/>
      </c>
      <c r="N3175" s="5">
        <f>IFERROR(INDEX(DePara!$A:$A,MATCH(TEXT(B3175,"0"),DePara!$D:$D,0)),"(sem categoria)")</f>
        <v/>
      </c>
      <c r="O3175" s="5">
        <f>IF(J3175="","",Parametros!$B$6-J3175)</f>
        <v/>
      </c>
      <c r="P3175" s="5">
        <f>IF(O3175="","",IF(O3175&gt;0,1,0))</f>
        <v/>
      </c>
    </row>
    <row r="3176">
      <c r="A3176" s="5" t="n">
        <v>2111000000</v>
      </c>
      <c r="B3176" s="5" t="inlineStr">
        <is>
          <t>100800</t>
        </is>
      </c>
      <c r="C3176" s="5" t="inlineStr">
        <is>
          <t>TOXICLIN SERVICOS MEDICOS EIRELI</t>
        </is>
      </c>
      <c r="D3176" s="5" t="inlineStr">
        <is>
          <t>UE</t>
        </is>
      </c>
      <c r="E3176" s="5" t="n">
        <v>200008663</v>
      </c>
      <c r="F3176" s="5" t="inlineStr">
        <is>
          <t>18242</t>
        </is>
      </c>
      <c r="G3176" s="5" t="inlineStr">
        <is>
          <t>BRL</t>
        </is>
      </c>
      <c r="H3176" s="9" t="n">
        <v>-788</v>
      </c>
      <c r="I3176" s="16" t="n">
        <v>44544</v>
      </c>
      <c r="J3176" s="16" t="n">
        <v>44544</v>
      </c>
      <c r="K3176" s="5" t="inlineStr">
        <is>
          <t>00723600</t>
        </is>
      </c>
      <c r="L3176" s="5" t="inlineStr">
        <is>
          <t>400000.210101</t>
        </is>
      </c>
      <c r="M3176" s="5">
        <f>IF(YEAR(I3176)&lt;=2020,"Até 2020",TEXT(YEAR(I3176),"0"))</f>
        <v/>
      </c>
      <c r="N3176" s="5">
        <f>IFERROR(INDEX(DePara!$A:$A,MATCH(TEXT(B3176,"0"),DePara!$D:$D,0)),"(sem categoria)")</f>
        <v/>
      </c>
      <c r="O3176" s="5">
        <f>IF(J3176="","",Parametros!$B$6-J3176)</f>
        <v/>
      </c>
      <c r="P3176" s="5">
        <f>IF(O3176="","",IF(O3176&gt;0,1,0))</f>
        <v/>
      </c>
    </row>
    <row r="3177">
      <c r="A3177" s="5" t="n">
        <v>2111000000</v>
      </c>
      <c r="B3177" s="5" t="inlineStr">
        <is>
          <t>102123</t>
        </is>
      </c>
      <c r="C3177" s="5" t="inlineStr">
        <is>
          <t>COLUMBIA DO NORDESTE S A</t>
        </is>
      </c>
      <c r="D3177" s="5" t="inlineStr">
        <is>
          <t>UE</t>
        </is>
      </c>
      <c r="E3177" s="5" t="n">
        <v>200008682</v>
      </c>
      <c r="F3177" s="5" t="inlineStr">
        <is>
          <t>1826</t>
        </is>
      </c>
      <c r="G3177" s="5" t="inlineStr">
        <is>
          <t>BRL</t>
        </is>
      </c>
      <c r="H3177" s="9" t="n">
        <v>-2371.31</v>
      </c>
      <c r="I3177" s="16" t="n">
        <v>44629</v>
      </c>
      <c r="J3177" s="16" t="n">
        <v>44629</v>
      </c>
      <c r="K3177" s="5" t="inlineStr">
        <is>
          <t>1155</t>
        </is>
      </c>
      <c r="L3177" s="5" t="inlineStr">
        <is>
          <t>400000.210101</t>
        </is>
      </c>
      <c r="M3177" s="5">
        <f>IF(YEAR(I3177)&lt;=2020,"Até 2020",TEXT(YEAR(I3177),"0"))</f>
        <v/>
      </c>
      <c r="N3177" s="5">
        <f>IFERROR(INDEX(DePara!$A:$A,MATCH(TEXT(B3177,"0"),DePara!$D:$D,0)),"(sem categoria)")</f>
        <v/>
      </c>
      <c r="O3177" s="5">
        <f>IF(J3177="","",Parametros!$B$6-J3177)</f>
        <v/>
      </c>
      <c r="P3177" s="5">
        <f>IF(O3177="","",IF(O3177&gt;0,1,0))</f>
        <v/>
      </c>
    </row>
    <row r="3178">
      <c r="A3178" s="5" t="n">
        <v>2111000000</v>
      </c>
      <c r="B3178" s="5" t="inlineStr">
        <is>
          <t>102144</t>
        </is>
      </c>
      <c r="C3178" s="5" t="inlineStr">
        <is>
          <t>KALEIDO FREIGHT SERVICES B A L I LT</t>
        </is>
      </c>
      <c r="D3178" s="5" t="inlineStr">
        <is>
          <t>UE</t>
        </is>
      </c>
      <c r="E3178" s="5" t="n">
        <v>200008690</v>
      </c>
      <c r="F3178" s="5" t="inlineStr">
        <is>
          <t>18267</t>
        </is>
      </c>
      <c r="G3178" s="5" t="inlineStr">
        <is>
          <t>BRL</t>
        </is>
      </c>
      <c r="H3178" s="9" t="n">
        <v>-1404.07</v>
      </c>
      <c r="I3178" s="16" t="n">
        <v>44638</v>
      </c>
      <c r="J3178" s="16" t="n">
        <v>44638</v>
      </c>
      <c r="K3178" s="5" t="inlineStr">
        <is>
          <t>01072900</t>
        </is>
      </c>
      <c r="L3178" s="5" t="inlineStr">
        <is>
          <t>400000.210101</t>
        </is>
      </c>
      <c r="M3178" s="5">
        <f>IF(YEAR(I3178)&lt;=2020,"Até 2020",TEXT(YEAR(I3178),"0"))</f>
        <v/>
      </c>
      <c r="N3178" s="5">
        <f>IFERROR(INDEX(DePara!$A:$A,MATCH(TEXT(B3178,"0"),DePara!$D:$D,0)),"(sem categoria)")</f>
        <v/>
      </c>
      <c r="O3178" s="5">
        <f>IF(J3178="","",Parametros!$B$6-J3178)</f>
        <v/>
      </c>
      <c r="P3178" s="5">
        <f>IF(O3178="","",IF(O3178&gt;0,1,0))</f>
        <v/>
      </c>
    </row>
    <row r="3179">
      <c r="A3179" s="5" t="n">
        <v>2111000000</v>
      </c>
      <c r="B3179" s="5" t="inlineStr">
        <is>
          <t>102123</t>
        </is>
      </c>
      <c r="C3179" s="5" t="inlineStr">
        <is>
          <t>COLUMBIA DO NORDESTE S A</t>
        </is>
      </c>
      <c r="D3179" s="5" t="inlineStr">
        <is>
          <t>UE</t>
        </is>
      </c>
      <c r="E3179" s="5" t="n">
        <v>200008693</v>
      </c>
      <c r="F3179" s="5" t="inlineStr">
        <is>
          <t>1827</t>
        </is>
      </c>
      <c r="G3179" s="5" t="inlineStr">
        <is>
          <t>BRL</t>
        </is>
      </c>
      <c r="H3179" s="9" t="n">
        <v>-10564.02</v>
      </c>
      <c r="I3179" s="16" t="n">
        <v>44629</v>
      </c>
      <c r="J3179" s="16" t="n">
        <v>44629</v>
      </c>
      <c r="K3179" s="5" t="inlineStr">
        <is>
          <t>1155.</t>
        </is>
      </c>
      <c r="L3179" s="5" t="inlineStr">
        <is>
          <t>400000.210101</t>
        </is>
      </c>
      <c r="M3179" s="5">
        <f>IF(YEAR(I3179)&lt;=2020,"Até 2020",TEXT(YEAR(I3179),"0"))</f>
        <v/>
      </c>
      <c r="N3179" s="5">
        <f>IFERROR(INDEX(DePara!$A:$A,MATCH(TEXT(B3179,"0"),DePara!$D:$D,0)),"(sem categoria)")</f>
        <v/>
      </c>
      <c r="O3179" s="5">
        <f>IF(J3179="","",Parametros!$B$6-J3179)</f>
        <v/>
      </c>
      <c r="P3179" s="5">
        <f>IF(O3179="","",IF(O3179&gt;0,1,0))</f>
        <v/>
      </c>
    </row>
    <row r="3180">
      <c r="A3180" s="5" t="n">
        <v>2111000000</v>
      </c>
      <c r="B3180" s="5" t="inlineStr">
        <is>
          <t>101888</t>
        </is>
      </c>
      <c r="C3180" s="5" t="inlineStr">
        <is>
          <t>BANCO SANTANDER BRASIL SA</t>
        </is>
      </c>
      <c r="D3180" s="5" t="inlineStr">
        <is>
          <t>UE</t>
        </is>
      </c>
      <c r="E3180" s="5" t="n">
        <v>200009148</v>
      </c>
      <c r="F3180" s="5" t="inlineStr">
        <is>
          <t>1868</t>
        </is>
      </c>
      <c r="G3180" s="5" t="inlineStr">
        <is>
          <t>BRL</t>
        </is>
      </c>
      <c r="H3180" s="9" t="n">
        <v>-1362.98</v>
      </c>
      <c r="I3180" s="16" t="n">
        <v>45120</v>
      </c>
      <c r="J3180" s="16" t="n">
        <v>45120</v>
      </c>
      <c r="K3180" s="5" t="inlineStr">
        <is>
          <t>UBER CC 07.2023</t>
        </is>
      </c>
      <c r="L3180" s="5" t="inlineStr">
        <is>
          <t>400000.210101</t>
        </is>
      </c>
      <c r="M3180" s="5">
        <f>IF(YEAR(I3180)&lt;=2020,"Até 2020",TEXT(YEAR(I3180),"0"))</f>
        <v/>
      </c>
      <c r="N3180" s="5">
        <f>IFERROR(INDEX(DePara!$A:$A,MATCH(TEXT(B3180,"0"),DePara!$D:$D,0)),"(sem categoria)")</f>
        <v/>
      </c>
      <c r="O3180" s="5">
        <f>IF(J3180="","",Parametros!$B$6-J3180)</f>
        <v/>
      </c>
      <c r="P3180" s="5">
        <f>IF(O3180="","",IF(O3180&gt;0,1,0))</f>
        <v/>
      </c>
    </row>
    <row r="3181">
      <c r="A3181" s="5" t="n">
        <v>2111000000</v>
      </c>
      <c r="B3181" s="5" t="inlineStr">
        <is>
          <t>102014</t>
        </is>
      </c>
      <c r="C3181" s="5" t="inlineStr">
        <is>
          <t>DSV AIR &amp; SEA LOGISTICA LTDA</t>
        </is>
      </c>
      <c r="D3181" s="5" t="inlineStr">
        <is>
          <t>UE</t>
        </is>
      </c>
      <c r="E3181" s="5" t="n">
        <v>200009237</v>
      </c>
      <c r="F3181" s="5" t="inlineStr">
        <is>
          <t>1876</t>
        </is>
      </c>
      <c r="G3181" s="5" t="inlineStr">
        <is>
          <t>BRL</t>
        </is>
      </c>
      <c r="H3181" s="9" t="n">
        <v>-612.6900000000001</v>
      </c>
      <c r="I3181" s="16" t="n">
        <v>42219</v>
      </c>
      <c r="J3181" s="16" t="n">
        <v>42219</v>
      </c>
      <c r="K3181" s="5" t="inlineStr">
        <is>
          <t>804915</t>
        </is>
      </c>
      <c r="L3181" s="5" t="inlineStr">
        <is>
          <t>400000.210101</t>
        </is>
      </c>
      <c r="M3181" s="5">
        <f>IF(YEAR(I3181)&lt;=2020,"Até 2020",TEXT(YEAR(I3181),"0"))</f>
        <v/>
      </c>
      <c r="N3181" s="5">
        <f>IFERROR(INDEX(DePara!$A:$A,MATCH(TEXT(B3181,"0"),DePara!$D:$D,0)),"(sem categoria)")</f>
        <v/>
      </c>
      <c r="O3181" s="5">
        <f>IF(J3181="","",Parametros!$B$6-J3181)</f>
        <v/>
      </c>
      <c r="P3181" s="5">
        <f>IF(O3181="","",IF(O3181&gt;0,1,0))</f>
        <v/>
      </c>
    </row>
    <row r="3182">
      <c r="A3182" s="5" t="n">
        <v>2111000000</v>
      </c>
      <c r="B3182" s="5" t="inlineStr">
        <is>
          <t>101041</t>
        </is>
      </c>
      <c r="C3182" s="5" t="inlineStr">
        <is>
          <t>DSV UTI AIR &amp; SEA AGENCIAMENTO DE T</t>
        </is>
      </c>
      <c r="D3182" s="5" t="inlineStr">
        <is>
          <t>UE</t>
        </is>
      </c>
      <c r="E3182" s="5" t="n">
        <v>200009289</v>
      </c>
      <c r="F3182" s="5" t="inlineStr">
        <is>
          <t>18806</t>
        </is>
      </c>
      <c r="G3182" s="5" t="inlineStr">
        <is>
          <t>BRL</t>
        </is>
      </c>
      <c r="H3182" s="9" t="n">
        <v>-2111.93</v>
      </c>
      <c r="I3182" s="16" t="n">
        <v>43927</v>
      </c>
      <c r="J3182" s="16" t="n">
        <v>43927</v>
      </c>
      <c r="K3182" s="5" t="inlineStr">
        <is>
          <t>08909900</t>
        </is>
      </c>
      <c r="L3182" s="5" t="inlineStr">
        <is>
          <t>400000.210101</t>
        </is>
      </c>
      <c r="M3182" s="5">
        <f>IF(YEAR(I3182)&lt;=2020,"Até 2020",TEXT(YEAR(I3182),"0"))</f>
        <v/>
      </c>
      <c r="N3182" s="5">
        <f>IFERROR(INDEX(DePara!$A:$A,MATCH(TEXT(B3182,"0"),DePara!$D:$D,0)),"(sem categoria)")</f>
        <v/>
      </c>
      <c r="O3182" s="5">
        <f>IF(J3182="","",Parametros!$B$6-J3182)</f>
        <v/>
      </c>
      <c r="P3182" s="5">
        <f>IF(O3182="","",IF(O3182&gt;0,1,0))</f>
        <v/>
      </c>
    </row>
    <row r="3183">
      <c r="A3183" s="5" t="n">
        <v>2111000000</v>
      </c>
      <c r="B3183" s="5" t="inlineStr">
        <is>
          <t>101237</t>
        </is>
      </c>
      <c r="C3183" s="5" t="inlineStr">
        <is>
          <t>EURO AMERICA ASSESSORIA DESPACHOS</t>
        </is>
      </c>
      <c r="D3183" s="5" t="inlineStr">
        <is>
          <t>UE</t>
        </is>
      </c>
      <c r="E3183" s="5" t="n">
        <v>200009290</v>
      </c>
      <c r="F3183" s="5" t="inlineStr">
        <is>
          <t>18807</t>
        </is>
      </c>
      <c r="G3183" s="5" t="inlineStr">
        <is>
          <t>BRL</t>
        </is>
      </c>
      <c r="H3183" s="9" t="n">
        <v>-668.5</v>
      </c>
      <c r="I3183" s="16" t="n">
        <v>44592</v>
      </c>
      <c r="J3183" s="16" t="n">
        <v>44592</v>
      </c>
      <c r="K3183" s="5" t="inlineStr">
        <is>
          <t>13239900</t>
        </is>
      </c>
      <c r="L3183" s="5" t="inlineStr">
        <is>
          <t>400000.210101</t>
        </is>
      </c>
      <c r="M3183" s="5">
        <f>IF(YEAR(I3183)&lt;=2020,"Até 2020",TEXT(YEAR(I3183),"0"))</f>
        <v/>
      </c>
      <c r="N3183" s="5">
        <f>IFERROR(INDEX(DePara!$A:$A,MATCH(TEXT(B3183,"0"),DePara!$D:$D,0)),"(sem categoria)")</f>
        <v/>
      </c>
      <c r="O3183" s="5">
        <f>IF(J3183="","",Parametros!$B$6-J3183)</f>
        <v/>
      </c>
      <c r="P3183" s="5">
        <f>IF(O3183="","",IF(O3183&gt;0,1,0))</f>
        <v/>
      </c>
    </row>
    <row r="3184">
      <c r="A3184" s="5" t="n">
        <v>2111000000</v>
      </c>
      <c r="B3184" s="5" t="inlineStr">
        <is>
          <t>101237</t>
        </is>
      </c>
      <c r="C3184" s="5" t="inlineStr">
        <is>
          <t>EURO AMERICA ASSESSORIA DESPACHOS</t>
        </is>
      </c>
      <c r="D3184" s="5" t="inlineStr">
        <is>
          <t>UE</t>
        </is>
      </c>
      <c r="E3184" s="5" t="n">
        <v>200009291</v>
      </c>
      <c r="F3184" s="5" t="inlineStr">
        <is>
          <t>18808</t>
        </is>
      </c>
      <c r="G3184" s="5" t="inlineStr">
        <is>
          <t>BRL</t>
        </is>
      </c>
      <c r="H3184" s="9" t="n">
        <v>-668.5</v>
      </c>
      <c r="I3184" s="16" t="n">
        <v>44592</v>
      </c>
      <c r="J3184" s="16" t="n">
        <v>44592</v>
      </c>
      <c r="K3184" s="5" t="inlineStr">
        <is>
          <t>13240100</t>
        </is>
      </c>
      <c r="L3184" s="5" t="inlineStr">
        <is>
          <t>400000.210101</t>
        </is>
      </c>
      <c r="M3184" s="5">
        <f>IF(YEAR(I3184)&lt;=2020,"Até 2020",TEXT(YEAR(I3184),"0"))</f>
        <v/>
      </c>
      <c r="N3184" s="5">
        <f>IFERROR(INDEX(DePara!$A:$A,MATCH(TEXT(B3184,"0"),DePara!$D:$D,0)),"(sem categoria)")</f>
        <v/>
      </c>
      <c r="O3184" s="5">
        <f>IF(J3184="","",Parametros!$B$6-J3184)</f>
        <v/>
      </c>
      <c r="P3184" s="5">
        <f>IF(O3184="","",IF(O3184&gt;0,1,0))</f>
        <v/>
      </c>
    </row>
    <row r="3185">
      <c r="A3185" s="5" t="n">
        <v>2111000000</v>
      </c>
      <c r="B3185" s="5" t="inlineStr">
        <is>
          <t>101237</t>
        </is>
      </c>
      <c r="C3185" s="5" t="inlineStr">
        <is>
          <t>EURO AMERICA ASSESSORIA DESPACHOS</t>
        </is>
      </c>
      <c r="D3185" s="5" t="inlineStr">
        <is>
          <t>UE</t>
        </is>
      </c>
      <c r="E3185" s="5" t="n">
        <v>200009292</v>
      </c>
      <c r="F3185" s="5" t="inlineStr">
        <is>
          <t>18809</t>
        </is>
      </c>
      <c r="G3185" s="5" t="inlineStr">
        <is>
          <t>BRL</t>
        </is>
      </c>
      <c r="H3185" s="9" t="n">
        <v>-668.5</v>
      </c>
      <c r="I3185" s="16" t="n">
        <v>44594</v>
      </c>
      <c r="J3185" s="16" t="n">
        <v>44594</v>
      </c>
      <c r="K3185" s="5" t="inlineStr">
        <is>
          <t>13247200</t>
        </is>
      </c>
      <c r="L3185" s="5" t="inlineStr">
        <is>
          <t>400000.210101</t>
        </is>
      </c>
      <c r="M3185" s="5">
        <f>IF(YEAR(I3185)&lt;=2020,"Até 2020",TEXT(YEAR(I3185),"0"))</f>
        <v/>
      </c>
      <c r="N3185" s="5">
        <f>IFERROR(INDEX(DePara!$A:$A,MATCH(TEXT(B3185,"0"),DePara!$D:$D,0)),"(sem categoria)")</f>
        <v/>
      </c>
      <c r="O3185" s="5">
        <f>IF(J3185="","",Parametros!$B$6-J3185)</f>
        <v/>
      </c>
      <c r="P3185" s="5">
        <f>IF(O3185="","",IF(O3185&gt;0,1,0))</f>
        <v/>
      </c>
    </row>
    <row r="3186">
      <c r="A3186" s="5" t="n">
        <v>2111000000</v>
      </c>
      <c r="B3186" s="5" t="inlineStr">
        <is>
          <t>101237</t>
        </is>
      </c>
      <c r="C3186" s="5" t="inlineStr">
        <is>
          <t>EURO AMERICA ASSESSORIA DESPACHOS</t>
        </is>
      </c>
      <c r="D3186" s="5" t="inlineStr">
        <is>
          <t>UE</t>
        </is>
      </c>
      <c r="E3186" s="5" t="n">
        <v>200009294</v>
      </c>
      <c r="F3186" s="5" t="inlineStr">
        <is>
          <t>18810</t>
        </is>
      </c>
      <c r="G3186" s="5" t="inlineStr">
        <is>
          <t>BRL</t>
        </is>
      </c>
      <c r="H3186" s="9" t="n">
        <v>-668.5</v>
      </c>
      <c r="I3186" s="16" t="n">
        <v>44594</v>
      </c>
      <c r="J3186" s="16" t="n">
        <v>44594</v>
      </c>
      <c r="K3186" s="5" t="inlineStr">
        <is>
          <t>13247400</t>
        </is>
      </c>
      <c r="L3186" s="5" t="inlineStr">
        <is>
          <t>400000.210101</t>
        </is>
      </c>
      <c r="M3186" s="5">
        <f>IF(YEAR(I3186)&lt;=2020,"Até 2020",TEXT(YEAR(I3186),"0"))</f>
        <v/>
      </c>
      <c r="N3186" s="5">
        <f>IFERROR(INDEX(DePara!$A:$A,MATCH(TEXT(B3186,"0"),DePara!$D:$D,0)),"(sem categoria)")</f>
        <v/>
      </c>
      <c r="O3186" s="5">
        <f>IF(J3186="","",Parametros!$B$6-J3186)</f>
        <v/>
      </c>
      <c r="P3186" s="5">
        <f>IF(O3186="","",IF(O3186&gt;0,1,0))</f>
        <v/>
      </c>
    </row>
    <row r="3187">
      <c r="A3187" s="5" t="n">
        <v>2111000000</v>
      </c>
      <c r="B3187" s="5" t="inlineStr">
        <is>
          <t>101559</t>
        </is>
      </c>
      <c r="C3187" s="5" t="inlineStr">
        <is>
          <t>SIND DOS DESPACH ADUANEIROS DE SANT</t>
        </is>
      </c>
      <c r="D3187" s="5" t="inlineStr">
        <is>
          <t>UE</t>
        </is>
      </c>
      <c r="E3187" s="5" t="n">
        <v>200009328</v>
      </c>
      <c r="F3187" s="5" t="inlineStr">
        <is>
          <t>1888</t>
        </is>
      </c>
      <c r="G3187" s="5" t="inlineStr">
        <is>
          <t>BRL</t>
        </is>
      </c>
      <c r="H3187" s="9" t="n">
        <v>-500</v>
      </c>
      <c r="I3187" s="16" t="n">
        <v>43276</v>
      </c>
      <c r="J3187" s="16" t="n">
        <v>43276</v>
      </c>
      <c r="K3187" s="5" t="inlineStr">
        <is>
          <t>11903077</t>
        </is>
      </c>
      <c r="L3187" s="5" t="inlineStr">
        <is>
          <t>400000.210101</t>
        </is>
      </c>
      <c r="M3187" s="5">
        <f>IF(YEAR(I3187)&lt;=2020,"Até 2020",TEXT(YEAR(I3187),"0"))</f>
        <v/>
      </c>
      <c r="N3187" s="5">
        <f>IFERROR(INDEX(DePara!$A:$A,MATCH(TEXT(B3187,"0"),DePara!$D:$D,0)),"(sem categoria)")</f>
        <v/>
      </c>
      <c r="O3187" s="5">
        <f>IF(J3187="","",Parametros!$B$6-J3187)</f>
        <v/>
      </c>
      <c r="P3187" s="5">
        <f>IF(O3187="","",IF(O3187&gt;0,1,0))</f>
        <v/>
      </c>
    </row>
    <row r="3188">
      <c r="A3188" s="5" t="n">
        <v>2111000000</v>
      </c>
      <c r="B3188" s="5" t="inlineStr">
        <is>
          <t>101559</t>
        </is>
      </c>
      <c r="C3188" s="5" t="inlineStr">
        <is>
          <t>SIND DOS DESPACH ADUANEIROS DE SANT</t>
        </is>
      </c>
      <c r="D3188" s="5" t="inlineStr">
        <is>
          <t>UE</t>
        </is>
      </c>
      <c r="E3188" s="5" t="n">
        <v>200009331</v>
      </c>
      <c r="F3188" s="5" t="inlineStr">
        <is>
          <t>1890</t>
        </is>
      </c>
      <c r="G3188" s="5" t="inlineStr">
        <is>
          <t>BRL</t>
        </is>
      </c>
      <c r="H3188" s="9" t="n">
        <v>-500</v>
      </c>
      <c r="I3188" s="16" t="n">
        <v>43597</v>
      </c>
      <c r="J3188" s="16" t="n">
        <v>43597</v>
      </c>
      <c r="K3188" s="5" t="inlineStr">
        <is>
          <t>12260335</t>
        </is>
      </c>
      <c r="L3188" s="5" t="inlineStr">
        <is>
          <t>400000.210101</t>
        </is>
      </c>
      <c r="M3188" s="5">
        <f>IF(YEAR(I3188)&lt;=2020,"Até 2020",TEXT(YEAR(I3188),"0"))</f>
        <v/>
      </c>
      <c r="N3188" s="5">
        <f>IFERROR(INDEX(DePara!$A:$A,MATCH(TEXT(B3188,"0"),DePara!$D:$D,0)),"(sem categoria)")</f>
        <v/>
      </c>
      <c r="O3188" s="5">
        <f>IF(J3188="","",Parametros!$B$6-J3188)</f>
        <v/>
      </c>
      <c r="P3188" s="5">
        <f>IF(O3188="","",IF(O3188&gt;0,1,0))</f>
        <v/>
      </c>
    </row>
    <row r="3189">
      <c r="A3189" s="5" t="n">
        <v>2111000000</v>
      </c>
      <c r="B3189" s="5" t="inlineStr">
        <is>
          <t>101559</t>
        </is>
      </c>
      <c r="C3189" s="5" t="inlineStr">
        <is>
          <t>SIND DOS DESPACH ADUANEIROS DE SANT</t>
        </is>
      </c>
      <c r="D3189" s="5" t="inlineStr">
        <is>
          <t>UE</t>
        </is>
      </c>
      <c r="E3189" s="5" t="n">
        <v>200009333</v>
      </c>
      <c r="F3189" s="5" t="inlineStr">
        <is>
          <t>1892</t>
        </is>
      </c>
      <c r="G3189" s="5" t="inlineStr">
        <is>
          <t>BRL</t>
        </is>
      </c>
      <c r="H3189" s="9" t="n">
        <v>-500</v>
      </c>
      <c r="I3189" s="16" t="n">
        <v>43066</v>
      </c>
      <c r="J3189" s="16" t="n">
        <v>43066</v>
      </c>
      <c r="K3189" s="5" t="inlineStr">
        <is>
          <t>11674913</t>
        </is>
      </c>
      <c r="L3189" s="5" t="inlineStr">
        <is>
          <t>400000.210101</t>
        </is>
      </c>
      <c r="M3189" s="5">
        <f>IF(YEAR(I3189)&lt;=2020,"Até 2020",TEXT(YEAR(I3189),"0"))</f>
        <v/>
      </c>
      <c r="N3189" s="5">
        <f>IFERROR(INDEX(DePara!$A:$A,MATCH(TEXT(B3189,"0"),DePara!$D:$D,0)),"(sem categoria)")</f>
        <v/>
      </c>
      <c r="O3189" s="5">
        <f>IF(J3189="","",Parametros!$B$6-J3189)</f>
        <v/>
      </c>
      <c r="P3189" s="5">
        <f>IF(O3189="","",IF(O3189&gt;0,1,0))</f>
        <v/>
      </c>
    </row>
    <row r="3190">
      <c r="A3190" s="5" t="n">
        <v>2111000000</v>
      </c>
      <c r="B3190" s="5" t="inlineStr">
        <is>
          <t>101559</t>
        </is>
      </c>
      <c r="C3190" s="5" t="inlineStr">
        <is>
          <t>SIND DOS DESPACH ADUANEIROS DE SANT</t>
        </is>
      </c>
      <c r="D3190" s="5" t="inlineStr">
        <is>
          <t>UE</t>
        </is>
      </c>
      <c r="E3190" s="5" t="n">
        <v>200009335</v>
      </c>
      <c r="F3190" s="5" t="inlineStr">
        <is>
          <t>1894</t>
        </is>
      </c>
      <c r="G3190" s="5" t="inlineStr">
        <is>
          <t>BRL</t>
        </is>
      </c>
      <c r="H3190" s="9" t="n">
        <v>-500</v>
      </c>
      <c r="I3190" s="16" t="n">
        <v>43486</v>
      </c>
      <c r="J3190" s="16" t="n">
        <v>43486</v>
      </c>
      <c r="K3190" s="5" t="inlineStr">
        <is>
          <t>12133369</t>
        </is>
      </c>
      <c r="L3190" s="5" t="inlineStr">
        <is>
          <t>400000.210101</t>
        </is>
      </c>
      <c r="M3190" s="5">
        <f>IF(YEAR(I3190)&lt;=2020,"Até 2020",TEXT(YEAR(I3190),"0"))</f>
        <v/>
      </c>
      <c r="N3190" s="5">
        <f>IFERROR(INDEX(DePara!$A:$A,MATCH(TEXT(B3190,"0"),DePara!$D:$D,0)),"(sem categoria)")</f>
        <v/>
      </c>
      <c r="O3190" s="5">
        <f>IF(J3190="","",Parametros!$B$6-J3190)</f>
        <v/>
      </c>
      <c r="P3190" s="5">
        <f>IF(O3190="","",IF(O3190&gt;0,1,0))</f>
        <v/>
      </c>
    </row>
    <row r="3191">
      <c r="A3191" s="5" t="n">
        <v>2111000000</v>
      </c>
      <c r="B3191" s="5" t="inlineStr">
        <is>
          <t>101559</t>
        </is>
      </c>
      <c r="C3191" s="5" t="inlineStr">
        <is>
          <t>SIND DOS DESPACH ADUANEIROS DE SANT</t>
        </is>
      </c>
      <c r="D3191" s="5" t="inlineStr">
        <is>
          <t>UE</t>
        </is>
      </c>
      <c r="E3191" s="5" t="n">
        <v>200009336</v>
      </c>
      <c r="F3191" s="5" t="inlineStr">
        <is>
          <t>1895</t>
        </is>
      </c>
      <c r="G3191" s="5" t="inlineStr">
        <is>
          <t>BRL</t>
        </is>
      </c>
      <c r="H3191" s="9" t="n">
        <v>-500</v>
      </c>
      <c r="I3191" s="16" t="n">
        <v>43663</v>
      </c>
      <c r="J3191" s="16" t="n">
        <v>43663</v>
      </c>
      <c r="K3191" s="5" t="inlineStr">
        <is>
          <t>12321447</t>
        </is>
      </c>
      <c r="L3191" s="5" t="inlineStr">
        <is>
          <t>400000.210101</t>
        </is>
      </c>
      <c r="M3191" s="5">
        <f>IF(YEAR(I3191)&lt;=2020,"Até 2020",TEXT(YEAR(I3191),"0"))</f>
        <v/>
      </c>
      <c r="N3191" s="5">
        <f>IFERROR(INDEX(DePara!$A:$A,MATCH(TEXT(B3191,"0"),DePara!$D:$D,0)),"(sem categoria)")</f>
        <v/>
      </c>
      <c r="O3191" s="5">
        <f>IF(J3191="","",Parametros!$B$6-J3191)</f>
        <v/>
      </c>
      <c r="P3191" s="5">
        <f>IF(O3191="","",IF(O3191&gt;0,1,0))</f>
        <v/>
      </c>
    </row>
    <row r="3192">
      <c r="A3192" s="5" t="n">
        <v>2111000000</v>
      </c>
      <c r="B3192" s="5" t="inlineStr">
        <is>
          <t>101559</t>
        </is>
      </c>
      <c r="C3192" s="5" t="inlineStr">
        <is>
          <t>SIND DOS DESPACH ADUANEIROS DE SANT</t>
        </is>
      </c>
      <c r="D3192" s="5" t="inlineStr">
        <is>
          <t>UE</t>
        </is>
      </c>
      <c r="E3192" s="5" t="n">
        <v>200009339</v>
      </c>
      <c r="F3192" s="5" t="inlineStr">
        <is>
          <t>1898</t>
        </is>
      </c>
      <c r="G3192" s="5" t="inlineStr">
        <is>
          <t>BRL</t>
        </is>
      </c>
      <c r="H3192" s="9" t="n">
        <v>-500</v>
      </c>
      <c r="I3192" s="16" t="n">
        <v>43788</v>
      </c>
      <c r="J3192" s="16" t="n">
        <v>43788</v>
      </c>
      <c r="K3192" s="5" t="inlineStr">
        <is>
          <t>2455476</t>
        </is>
      </c>
      <c r="L3192" s="5" t="inlineStr">
        <is>
          <t>400000.210101</t>
        </is>
      </c>
      <c r="M3192" s="5">
        <f>IF(YEAR(I3192)&lt;=2020,"Até 2020",TEXT(YEAR(I3192),"0"))</f>
        <v/>
      </c>
      <c r="N3192" s="5">
        <f>IFERROR(INDEX(DePara!$A:$A,MATCH(TEXT(B3192,"0"),DePara!$D:$D,0)),"(sem categoria)")</f>
        <v/>
      </c>
      <c r="O3192" s="5">
        <f>IF(J3192="","",Parametros!$B$6-J3192)</f>
        <v/>
      </c>
      <c r="P3192" s="5">
        <f>IF(O3192="","",IF(O3192&gt;0,1,0))</f>
        <v/>
      </c>
    </row>
    <row r="3193">
      <c r="A3193" s="5" t="n">
        <v>2111000000</v>
      </c>
      <c r="B3193" s="5" t="inlineStr">
        <is>
          <t>101559</t>
        </is>
      </c>
      <c r="C3193" s="5" t="inlineStr">
        <is>
          <t>SIND DOS DESPACH ADUANEIROS DE SANT</t>
        </is>
      </c>
      <c r="D3193" s="5" t="inlineStr">
        <is>
          <t>UE</t>
        </is>
      </c>
      <c r="E3193" s="5" t="n">
        <v>200009340</v>
      </c>
      <c r="F3193" s="5" t="inlineStr">
        <is>
          <t>1899</t>
        </is>
      </c>
      <c r="G3193" s="5" t="inlineStr">
        <is>
          <t>BRL</t>
        </is>
      </c>
      <c r="H3193" s="9" t="n">
        <v>-500</v>
      </c>
      <c r="I3193" s="16" t="n">
        <v>43782</v>
      </c>
      <c r="J3193" s="16" t="n">
        <v>43782</v>
      </c>
      <c r="K3193" s="5" t="inlineStr">
        <is>
          <t>12450957</t>
        </is>
      </c>
      <c r="L3193" s="5" t="inlineStr">
        <is>
          <t>400000.210101</t>
        </is>
      </c>
      <c r="M3193" s="5">
        <f>IF(YEAR(I3193)&lt;=2020,"Até 2020",TEXT(YEAR(I3193),"0"))</f>
        <v/>
      </c>
      <c r="N3193" s="5">
        <f>IFERROR(INDEX(DePara!$A:$A,MATCH(TEXT(B3193,"0"),DePara!$D:$D,0)),"(sem categoria)")</f>
        <v/>
      </c>
      <c r="O3193" s="5">
        <f>IF(J3193="","",Parametros!$B$6-J3193)</f>
        <v/>
      </c>
      <c r="P3193" s="5">
        <f>IF(O3193="","",IF(O3193&gt;0,1,0))</f>
        <v/>
      </c>
    </row>
    <row r="3194">
      <c r="A3194" s="5" t="n">
        <v>2111000000</v>
      </c>
      <c r="B3194" s="5" t="inlineStr">
        <is>
          <t>101559</t>
        </is>
      </c>
      <c r="C3194" s="5" t="inlineStr">
        <is>
          <t>SIND DOS DESPACH ADUANEIROS DE SANT</t>
        </is>
      </c>
      <c r="D3194" s="5" t="inlineStr">
        <is>
          <t>UE</t>
        </is>
      </c>
      <c r="E3194" s="5" t="n">
        <v>200009344</v>
      </c>
      <c r="F3194" s="5" t="inlineStr">
        <is>
          <t>1901</t>
        </is>
      </c>
      <c r="G3194" s="5" t="inlineStr">
        <is>
          <t>BRL</t>
        </is>
      </c>
      <c r="H3194" s="9" t="n">
        <v>-500</v>
      </c>
      <c r="I3194" s="16" t="n">
        <v>43158</v>
      </c>
      <c r="J3194" s="16" t="n">
        <v>43158</v>
      </c>
      <c r="K3194" s="5" t="inlineStr">
        <is>
          <t>5124569</t>
        </is>
      </c>
      <c r="L3194" s="5" t="inlineStr">
        <is>
          <t>400000.210101</t>
        </is>
      </c>
      <c r="M3194" s="5">
        <f>IF(YEAR(I3194)&lt;=2020,"Até 2020",TEXT(YEAR(I3194),"0"))</f>
        <v/>
      </c>
      <c r="N3194" s="5">
        <f>IFERROR(INDEX(DePara!$A:$A,MATCH(TEXT(B3194,"0"),DePara!$D:$D,0)),"(sem categoria)")</f>
        <v/>
      </c>
      <c r="O3194" s="5">
        <f>IF(J3194="","",Parametros!$B$6-J3194)</f>
        <v/>
      </c>
      <c r="P3194" s="5">
        <f>IF(O3194="","",IF(O3194&gt;0,1,0))</f>
        <v/>
      </c>
    </row>
    <row r="3195">
      <c r="A3195" s="5" t="n">
        <v>2111000000</v>
      </c>
      <c r="B3195" s="5" t="inlineStr">
        <is>
          <t>101559</t>
        </is>
      </c>
      <c r="C3195" s="5" t="inlineStr">
        <is>
          <t>SIND DOS DESPACH ADUANEIROS DE SANT</t>
        </is>
      </c>
      <c r="D3195" s="5" t="inlineStr">
        <is>
          <t>UE</t>
        </is>
      </c>
      <c r="E3195" s="5" t="n">
        <v>200009345</v>
      </c>
      <c r="F3195" s="5" t="inlineStr">
        <is>
          <t>1902</t>
        </is>
      </c>
      <c r="G3195" s="5" t="inlineStr">
        <is>
          <t>BRL</t>
        </is>
      </c>
      <c r="H3195" s="9" t="n">
        <v>-500</v>
      </c>
      <c r="I3195" s="16" t="n">
        <v>42926</v>
      </c>
      <c r="J3195" s="16" t="n">
        <v>42926</v>
      </c>
      <c r="K3195" s="5" t="inlineStr">
        <is>
          <t>4886356</t>
        </is>
      </c>
      <c r="L3195" s="5" t="inlineStr">
        <is>
          <t>400000.210101</t>
        </is>
      </c>
      <c r="M3195" s="5">
        <f>IF(YEAR(I3195)&lt;=2020,"Até 2020",TEXT(YEAR(I3195),"0"))</f>
        <v/>
      </c>
      <c r="N3195" s="5">
        <f>IFERROR(INDEX(DePara!$A:$A,MATCH(TEXT(B3195,"0"),DePara!$D:$D,0)),"(sem categoria)")</f>
        <v/>
      </c>
      <c r="O3195" s="5">
        <f>IF(J3195="","",Parametros!$B$6-J3195)</f>
        <v/>
      </c>
      <c r="P3195" s="5">
        <f>IF(O3195="","",IF(O3195&gt;0,1,0))</f>
        <v/>
      </c>
    </row>
    <row r="3196">
      <c r="A3196" s="5" t="n">
        <v>2111000000</v>
      </c>
      <c r="B3196" s="5" t="inlineStr">
        <is>
          <t>101559</t>
        </is>
      </c>
      <c r="C3196" s="5" t="inlineStr">
        <is>
          <t>SIND DOS DESPACH ADUANEIROS DE SANT</t>
        </is>
      </c>
      <c r="D3196" s="5" t="inlineStr">
        <is>
          <t>UE</t>
        </is>
      </c>
      <c r="E3196" s="5" t="n">
        <v>200009346</v>
      </c>
      <c r="F3196" s="5" t="inlineStr">
        <is>
          <t>1903</t>
        </is>
      </c>
      <c r="G3196" s="5" t="inlineStr">
        <is>
          <t>BRL</t>
        </is>
      </c>
      <c r="H3196" s="9" t="n">
        <v>-500</v>
      </c>
      <c r="I3196" s="16" t="n">
        <v>43795</v>
      </c>
      <c r="J3196" s="16" t="n">
        <v>43795</v>
      </c>
      <c r="K3196" s="5" t="inlineStr">
        <is>
          <t>12461954</t>
        </is>
      </c>
      <c r="L3196" s="5" t="inlineStr">
        <is>
          <t>400000.210101</t>
        </is>
      </c>
      <c r="M3196" s="5">
        <f>IF(YEAR(I3196)&lt;=2020,"Até 2020",TEXT(YEAR(I3196),"0"))</f>
        <v/>
      </c>
      <c r="N3196" s="5">
        <f>IFERROR(INDEX(DePara!$A:$A,MATCH(TEXT(B3196,"0"),DePara!$D:$D,0)),"(sem categoria)")</f>
        <v/>
      </c>
      <c r="O3196" s="5">
        <f>IF(J3196="","",Parametros!$B$6-J3196)</f>
        <v/>
      </c>
      <c r="P3196" s="5">
        <f>IF(O3196="","",IF(O3196&gt;0,1,0))</f>
        <v/>
      </c>
    </row>
    <row r="3197">
      <c r="A3197" s="5" t="n">
        <v>2111000000</v>
      </c>
      <c r="B3197" s="5" t="inlineStr">
        <is>
          <t>101559</t>
        </is>
      </c>
      <c r="C3197" s="5" t="inlineStr">
        <is>
          <t>SIND DOS DESPACH ADUANEIROS DE SANT</t>
        </is>
      </c>
      <c r="D3197" s="5" t="inlineStr">
        <is>
          <t>UE</t>
        </is>
      </c>
      <c r="E3197" s="5" t="n">
        <v>200009347</v>
      </c>
      <c r="F3197" s="5" t="inlineStr">
        <is>
          <t>1904</t>
        </is>
      </c>
      <c r="G3197" s="5" t="inlineStr">
        <is>
          <t>BRL</t>
        </is>
      </c>
      <c r="H3197" s="9" t="n">
        <v>-500</v>
      </c>
      <c r="I3197" s="16" t="n">
        <v>43270</v>
      </c>
      <c r="J3197" s="16" t="n">
        <v>43270</v>
      </c>
      <c r="K3197" s="5" t="inlineStr">
        <is>
          <t>11896613</t>
        </is>
      </c>
      <c r="L3197" s="5" t="inlineStr">
        <is>
          <t>400000.210101</t>
        </is>
      </c>
      <c r="M3197" s="5">
        <f>IF(YEAR(I3197)&lt;=2020,"Até 2020",TEXT(YEAR(I3197),"0"))</f>
        <v/>
      </c>
      <c r="N3197" s="5">
        <f>IFERROR(INDEX(DePara!$A:$A,MATCH(TEXT(B3197,"0"),DePara!$D:$D,0)),"(sem categoria)")</f>
        <v/>
      </c>
      <c r="O3197" s="5">
        <f>IF(J3197="","",Parametros!$B$6-J3197)</f>
        <v/>
      </c>
      <c r="P3197" s="5">
        <f>IF(O3197="","",IF(O3197&gt;0,1,0))</f>
        <v/>
      </c>
    </row>
    <row r="3198">
      <c r="A3198" s="5" t="n">
        <v>2111000000</v>
      </c>
      <c r="B3198" s="5" t="inlineStr">
        <is>
          <t>101559</t>
        </is>
      </c>
      <c r="C3198" s="5" t="inlineStr">
        <is>
          <t>SIND DOS DESPACH ADUANEIROS DE SANT</t>
        </is>
      </c>
      <c r="D3198" s="5" t="inlineStr">
        <is>
          <t>UE</t>
        </is>
      </c>
      <c r="E3198" s="5" t="n">
        <v>200009348</v>
      </c>
      <c r="F3198" s="5" t="inlineStr">
        <is>
          <t>1905</t>
        </is>
      </c>
      <c r="G3198" s="5" t="inlineStr">
        <is>
          <t>BRL</t>
        </is>
      </c>
      <c r="H3198" s="9" t="n">
        <v>-500</v>
      </c>
      <c r="I3198" s="16" t="n">
        <v>43444</v>
      </c>
      <c r="J3198" s="16" t="n">
        <v>43444</v>
      </c>
      <c r="K3198" s="5" t="inlineStr">
        <is>
          <t>12091586</t>
        </is>
      </c>
      <c r="L3198" s="5" t="inlineStr">
        <is>
          <t>400000.210101</t>
        </is>
      </c>
      <c r="M3198" s="5">
        <f>IF(YEAR(I3198)&lt;=2020,"Até 2020",TEXT(YEAR(I3198),"0"))</f>
        <v/>
      </c>
      <c r="N3198" s="5">
        <f>IFERROR(INDEX(DePara!$A:$A,MATCH(TEXT(B3198,"0"),DePara!$D:$D,0)),"(sem categoria)")</f>
        <v/>
      </c>
      <c r="O3198" s="5">
        <f>IF(J3198="","",Parametros!$B$6-J3198)</f>
        <v/>
      </c>
      <c r="P3198" s="5">
        <f>IF(O3198="","",IF(O3198&gt;0,1,0))</f>
        <v/>
      </c>
    </row>
    <row r="3199">
      <c r="A3199" s="5" t="n">
        <v>2111000000</v>
      </c>
      <c r="B3199" s="5" t="inlineStr">
        <is>
          <t>101559</t>
        </is>
      </c>
      <c r="C3199" s="5" t="inlineStr">
        <is>
          <t>SIND DOS DESPACH ADUANEIROS DE SANT</t>
        </is>
      </c>
      <c r="D3199" s="5" t="inlineStr">
        <is>
          <t>UE</t>
        </is>
      </c>
      <c r="E3199" s="5" t="n">
        <v>200009349</v>
      </c>
      <c r="F3199" s="5" t="inlineStr">
        <is>
          <t>1906</t>
        </is>
      </c>
      <c r="G3199" s="5" t="inlineStr">
        <is>
          <t>BRL</t>
        </is>
      </c>
      <c r="H3199" s="9" t="n">
        <v>-500</v>
      </c>
      <c r="I3199" s="16" t="n">
        <v>43461</v>
      </c>
      <c r="J3199" s="16" t="n">
        <v>43461</v>
      </c>
      <c r="K3199" s="5" t="inlineStr">
        <is>
          <t>121094866</t>
        </is>
      </c>
      <c r="L3199" s="5" t="inlineStr">
        <is>
          <t>400000.210101</t>
        </is>
      </c>
      <c r="M3199" s="5">
        <f>IF(YEAR(I3199)&lt;=2020,"Até 2020",TEXT(YEAR(I3199),"0"))</f>
        <v/>
      </c>
      <c r="N3199" s="5">
        <f>IFERROR(INDEX(DePara!$A:$A,MATCH(TEXT(B3199,"0"),DePara!$D:$D,0)),"(sem categoria)")</f>
        <v/>
      </c>
      <c r="O3199" s="5">
        <f>IF(J3199="","",Parametros!$B$6-J3199)</f>
        <v/>
      </c>
      <c r="P3199" s="5">
        <f>IF(O3199="","",IF(O3199&gt;0,1,0))</f>
        <v/>
      </c>
    </row>
    <row r="3200">
      <c r="A3200" s="5" t="n">
        <v>2111000000</v>
      </c>
      <c r="B3200" s="5" t="inlineStr">
        <is>
          <t>101559</t>
        </is>
      </c>
      <c r="C3200" s="5" t="inlineStr">
        <is>
          <t>SIND DOS DESPACH ADUANEIROS DE SANT</t>
        </is>
      </c>
      <c r="D3200" s="5" t="inlineStr">
        <is>
          <t>UE</t>
        </is>
      </c>
      <c r="E3200" s="5" t="n">
        <v>200009350</v>
      </c>
      <c r="F3200" s="5" t="inlineStr">
        <is>
          <t>1907</t>
        </is>
      </c>
      <c r="G3200" s="5" t="inlineStr">
        <is>
          <t>BRL</t>
        </is>
      </c>
      <c r="H3200" s="9" t="n">
        <v>-500</v>
      </c>
      <c r="I3200" s="16" t="n">
        <v>43612</v>
      </c>
      <c r="J3200" s="16" t="n">
        <v>43612</v>
      </c>
      <c r="K3200" s="5" t="inlineStr">
        <is>
          <t>12266440</t>
        </is>
      </c>
      <c r="L3200" s="5" t="inlineStr">
        <is>
          <t>400000.210101</t>
        </is>
      </c>
      <c r="M3200" s="5">
        <f>IF(YEAR(I3200)&lt;=2020,"Até 2020",TEXT(YEAR(I3200),"0"))</f>
        <v/>
      </c>
      <c r="N3200" s="5">
        <f>IFERROR(INDEX(DePara!$A:$A,MATCH(TEXT(B3200,"0"),DePara!$D:$D,0)),"(sem categoria)")</f>
        <v/>
      </c>
      <c r="O3200" s="5">
        <f>IF(J3200="","",Parametros!$B$6-J3200)</f>
        <v/>
      </c>
      <c r="P3200" s="5">
        <f>IF(O3200="","",IF(O3200&gt;0,1,0))</f>
        <v/>
      </c>
    </row>
    <row r="3201">
      <c r="A3201" s="5" t="n">
        <v>2111000000</v>
      </c>
      <c r="B3201" s="5" t="inlineStr">
        <is>
          <t>101559</t>
        </is>
      </c>
      <c r="C3201" s="5" t="inlineStr">
        <is>
          <t>SIND DOS DESPACH ADUANEIROS DE SANT</t>
        </is>
      </c>
      <c r="D3201" s="5" t="inlineStr">
        <is>
          <t>UE</t>
        </is>
      </c>
      <c r="E3201" s="5" t="n">
        <v>200009351</v>
      </c>
      <c r="F3201" s="5" t="inlineStr">
        <is>
          <t>1908</t>
        </is>
      </c>
      <c r="G3201" s="5" t="inlineStr">
        <is>
          <t>BRL</t>
        </is>
      </c>
      <c r="H3201" s="9" t="n">
        <v>-500</v>
      </c>
      <c r="I3201" s="16" t="n">
        <v>43711</v>
      </c>
      <c r="J3201" s="16" t="n">
        <v>43711</v>
      </c>
      <c r="K3201" s="5" t="inlineStr">
        <is>
          <t>12373571</t>
        </is>
      </c>
      <c r="L3201" s="5" t="inlineStr">
        <is>
          <t>400000.210101</t>
        </is>
      </c>
      <c r="M3201" s="5">
        <f>IF(YEAR(I3201)&lt;=2020,"Até 2020",TEXT(YEAR(I3201),"0"))</f>
        <v/>
      </c>
      <c r="N3201" s="5">
        <f>IFERROR(INDEX(DePara!$A:$A,MATCH(TEXT(B3201,"0"),DePara!$D:$D,0)),"(sem categoria)")</f>
        <v/>
      </c>
      <c r="O3201" s="5">
        <f>IF(J3201="","",Parametros!$B$6-J3201)</f>
        <v/>
      </c>
      <c r="P3201" s="5">
        <f>IF(O3201="","",IF(O3201&gt;0,1,0))</f>
        <v/>
      </c>
    </row>
    <row r="3202">
      <c r="A3202" s="5" t="n">
        <v>2111000000</v>
      </c>
      <c r="B3202" s="5" t="inlineStr">
        <is>
          <t>101559</t>
        </is>
      </c>
      <c r="C3202" s="5" t="inlineStr">
        <is>
          <t>SIND DOS DESPACH ADUANEIROS DE SANT</t>
        </is>
      </c>
      <c r="D3202" s="5" t="inlineStr">
        <is>
          <t>UE</t>
        </is>
      </c>
      <c r="E3202" s="5" t="n">
        <v>200009352</v>
      </c>
      <c r="F3202" s="5" t="inlineStr">
        <is>
          <t>1909</t>
        </is>
      </c>
      <c r="G3202" s="5" t="inlineStr">
        <is>
          <t>BRL</t>
        </is>
      </c>
      <c r="H3202" s="9" t="n">
        <v>-500</v>
      </c>
      <c r="I3202" s="16" t="n">
        <v>43130</v>
      </c>
      <c r="J3202" s="16" t="n">
        <v>43130</v>
      </c>
      <c r="K3202" s="5" t="inlineStr">
        <is>
          <t>11683019</t>
        </is>
      </c>
      <c r="L3202" s="5" t="inlineStr">
        <is>
          <t>400000.210101</t>
        </is>
      </c>
      <c r="M3202" s="5">
        <f>IF(YEAR(I3202)&lt;=2020,"Até 2020",TEXT(YEAR(I3202),"0"))</f>
        <v/>
      </c>
      <c r="N3202" s="5">
        <f>IFERROR(INDEX(DePara!$A:$A,MATCH(TEXT(B3202,"0"),DePara!$D:$D,0)),"(sem categoria)")</f>
        <v/>
      </c>
      <c r="O3202" s="5">
        <f>IF(J3202="","",Parametros!$B$6-J3202)</f>
        <v/>
      </c>
      <c r="P3202" s="5">
        <f>IF(O3202="","",IF(O3202&gt;0,1,0))</f>
        <v/>
      </c>
    </row>
    <row r="3203">
      <c r="A3203" s="5" t="n">
        <v>2111000000</v>
      </c>
      <c r="B3203" s="5" t="inlineStr">
        <is>
          <t>101559</t>
        </is>
      </c>
      <c r="C3203" s="5" t="inlineStr">
        <is>
          <t>SIND DOS DESPACH ADUANEIROS DE SANT</t>
        </is>
      </c>
      <c r="D3203" s="5" t="inlineStr">
        <is>
          <t>UE</t>
        </is>
      </c>
      <c r="E3203" s="5" t="n">
        <v>200009354</v>
      </c>
      <c r="F3203" s="5" t="inlineStr">
        <is>
          <t>1910</t>
        </is>
      </c>
      <c r="G3203" s="5" t="inlineStr">
        <is>
          <t>BRL</t>
        </is>
      </c>
      <c r="H3203" s="9" t="n">
        <v>-500</v>
      </c>
      <c r="I3203" s="16" t="n">
        <v>43483</v>
      </c>
      <c r="J3203" s="16" t="n">
        <v>43483</v>
      </c>
      <c r="K3203" s="5" t="inlineStr">
        <is>
          <t>12131523</t>
        </is>
      </c>
      <c r="L3203" s="5" t="inlineStr">
        <is>
          <t>400000.210101</t>
        </is>
      </c>
      <c r="M3203" s="5">
        <f>IF(YEAR(I3203)&lt;=2020,"Até 2020",TEXT(YEAR(I3203),"0"))</f>
        <v/>
      </c>
      <c r="N3203" s="5">
        <f>IFERROR(INDEX(DePara!$A:$A,MATCH(TEXT(B3203,"0"),DePara!$D:$D,0)),"(sem categoria)")</f>
        <v/>
      </c>
      <c r="O3203" s="5">
        <f>IF(J3203="","",Parametros!$B$6-J3203)</f>
        <v/>
      </c>
      <c r="P3203" s="5">
        <f>IF(O3203="","",IF(O3203&gt;0,1,0))</f>
        <v/>
      </c>
    </row>
    <row r="3204">
      <c r="A3204" s="5" t="n">
        <v>2111000000</v>
      </c>
      <c r="B3204" s="5" t="inlineStr">
        <is>
          <t>101559</t>
        </is>
      </c>
      <c r="C3204" s="5" t="inlineStr">
        <is>
          <t>SIND DOS DESPACH ADUANEIROS DE SANT</t>
        </is>
      </c>
      <c r="D3204" s="5" t="inlineStr">
        <is>
          <t>UE</t>
        </is>
      </c>
      <c r="E3204" s="5" t="n">
        <v>200009355</v>
      </c>
      <c r="F3204" s="5" t="inlineStr">
        <is>
          <t>1911</t>
        </is>
      </c>
      <c r="G3204" s="5" t="inlineStr">
        <is>
          <t>BRL</t>
        </is>
      </c>
      <c r="H3204" s="9" t="n">
        <v>-500</v>
      </c>
      <c r="I3204" s="16" t="n">
        <v>43852</v>
      </c>
      <c r="J3204" s="16" t="n">
        <v>43852</v>
      </c>
      <c r="K3204" s="5" t="inlineStr">
        <is>
          <t>12519308</t>
        </is>
      </c>
      <c r="L3204" s="5" t="inlineStr">
        <is>
          <t>400000.210101</t>
        </is>
      </c>
      <c r="M3204" s="5">
        <f>IF(YEAR(I3204)&lt;=2020,"Até 2020",TEXT(YEAR(I3204),"0"))</f>
        <v/>
      </c>
      <c r="N3204" s="5">
        <f>IFERROR(INDEX(DePara!$A:$A,MATCH(TEXT(B3204,"0"),DePara!$D:$D,0)),"(sem categoria)")</f>
        <v/>
      </c>
      <c r="O3204" s="5">
        <f>IF(J3204="","",Parametros!$B$6-J3204)</f>
        <v/>
      </c>
      <c r="P3204" s="5">
        <f>IF(O3204="","",IF(O3204&gt;0,1,0))</f>
        <v/>
      </c>
    </row>
    <row r="3205">
      <c r="A3205" s="5" t="n">
        <v>2111000000</v>
      </c>
      <c r="B3205" s="5" t="inlineStr">
        <is>
          <t>101559</t>
        </is>
      </c>
      <c r="C3205" s="5" t="inlineStr">
        <is>
          <t>SIND DOS DESPACH ADUANEIROS DE SANT</t>
        </is>
      </c>
      <c r="D3205" s="5" t="inlineStr">
        <is>
          <t>UE</t>
        </is>
      </c>
      <c r="E3205" s="5" t="n">
        <v>200009356</v>
      </c>
      <c r="F3205" s="5" t="inlineStr">
        <is>
          <t>1912</t>
        </is>
      </c>
      <c r="G3205" s="5" t="inlineStr">
        <is>
          <t>BRL</t>
        </is>
      </c>
      <c r="H3205" s="9" t="n">
        <v>-500</v>
      </c>
      <c r="I3205" s="16" t="n">
        <v>43879</v>
      </c>
      <c r="J3205" s="16" t="n">
        <v>43879</v>
      </c>
      <c r="K3205" s="5" t="inlineStr">
        <is>
          <t>12546624</t>
        </is>
      </c>
      <c r="L3205" s="5" t="inlineStr">
        <is>
          <t>400000.210101</t>
        </is>
      </c>
      <c r="M3205" s="5">
        <f>IF(YEAR(I3205)&lt;=2020,"Até 2020",TEXT(YEAR(I3205),"0"))</f>
        <v/>
      </c>
      <c r="N3205" s="5">
        <f>IFERROR(INDEX(DePara!$A:$A,MATCH(TEXT(B3205,"0"),DePara!$D:$D,0)),"(sem categoria)")</f>
        <v/>
      </c>
      <c r="O3205" s="5">
        <f>IF(J3205="","",Parametros!$B$6-J3205)</f>
        <v/>
      </c>
      <c r="P3205" s="5">
        <f>IF(O3205="","",IF(O3205&gt;0,1,0))</f>
        <v/>
      </c>
    </row>
    <row r="3206">
      <c r="A3206" s="5" t="n">
        <v>2111000000</v>
      </c>
      <c r="B3206" s="5" t="inlineStr">
        <is>
          <t>101559</t>
        </is>
      </c>
      <c r="C3206" s="5" t="inlineStr">
        <is>
          <t>SIND DOS DESPACH ADUANEIROS DE SANT</t>
        </is>
      </c>
      <c r="D3206" s="5" t="inlineStr">
        <is>
          <t>UE</t>
        </is>
      </c>
      <c r="E3206" s="5" t="n">
        <v>200009357</v>
      </c>
      <c r="F3206" s="5" t="inlineStr">
        <is>
          <t>1913</t>
        </is>
      </c>
      <c r="G3206" s="5" t="inlineStr">
        <is>
          <t>BRL</t>
        </is>
      </c>
      <c r="H3206" s="9" t="n">
        <v>-500</v>
      </c>
      <c r="I3206" s="16" t="n">
        <v>43872</v>
      </c>
      <c r="J3206" s="16" t="n">
        <v>43872</v>
      </c>
      <c r="K3206" s="5" t="inlineStr">
        <is>
          <t>12539785</t>
        </is>
      </c>
      <c r="L3206" s="5" t="inlineStr">
        <is>
          <t>400000.210101</t>
        </is>
      </c>
      <c r="M3206" s="5">
        <f>IF(YEAR(I3206)&lt;=2020,"Até 2020",TEXT(YEAR(I3206),"0"))</f>
        <v/>
      </c>
      <c r="N3206" s="5">
        <f>IFERROR(INDEX(DePara!$A:$A,MATCH(TEXT(B3206,"0"),DePara!$D:$D,0)),"(sem categoria)")</f>
        <v/>
      </c>
      <c r="O3206" s="5">
        <f>IF(J3206="","",Parametros!$B$6-J3206)</f>
        <v/>
      </c>
      <c r="P3206" s="5">
        <f>IF(O3206="","",IF(O3206&gt;0,1,0))</f>
        <v/>
      </c>
    </row>
    <row r="3207">
      <c r="A3207" s="5" t="n">
        <v>2111000000</v>
      </c>
      <c r="B3207" s="5" t="inlineStr">
        <is>
          <t>101559</t>
        </is>
      </c>
      <c r="C3207" s="5" t="inlineStr">
        <is>
          <t>SIND DOS DESPACH ADUANEIROS DE SANT</t>
        </is>
      </c>
      <c r="D3207" s="5" t="inlineStr">
        <is>
          <t>UE</t>
        </is>
      </c>
      <c r="E3207" s="5" t="n">
        <v>200009358</v>
      </c>
      <c r="F3207" s="5" t="inlineStr">
        <is>
          <t>1914</t>
        </is>
      </c>
      <c r="G3207" s="5" t="inlineStr">
        <is>
          <t>BRL</t>
        </is>
      </c>
      <c r="H3207" s="9" t="n">
        <v>-500</v>
      </c>
      <c r="I3207" s="16" t="n">
        <v>43872</v>
      </c>
      <c r="J3207" s="16" t="n">
        <v>43872</v>
      </c>
      <c r="K3207" s="5" t="inlineStr">
        <is>
          <t>12539787</t>
        </is>
      </c>
      <c r="L3207" s="5" t="inlineStr">
        <is>
          <t>400000.210101</t>
        </is>
      </c>
      <c r="M3207" s="5">
        <f>IF(YEAR(I3207)&lt;=2020,"Até 2020",TEXT(YEAR(I3207),"0"))</f>
        <v/>
      </c>
      <c r="N3207" s="5">
        <f>IFERROR(INDEX(DePara!$A:$A,MATCH(TEXT(B3207,"0"),DePara!$D:$D,0)),"(sem categoria)")</f>
        <v/>
      </c>
      <c r="O3207" s="5">
        <f>IF(J3207="","",Parametros!$B$6-J3207)</f>
        <v/>
      </c>
      <c r="P3207" s="5">
        <f>IF(O3207="","",IF(O3207&gt;0,1,0))</f>
        <v/>
      </c>
    </row>
    <row r="3208">
      <c r="A3208" s="5" t="n">
        <v>2111000000</v>
      </c>
      <c r="B3208" s="5" t="inlineStr">
        <is>
          <t>101559</t>
        </is>
      </c>
      <c r="C3208" s="5" t="inlineStr">
        <is>
          <t>SIND DOS DESPACH ADUANEIROS DE SANT</t>
        </is>
      </c>
      <c r="D3208" s="5" t="inlineStr">
        <is>
          <t>UE</t>
        </is>
      </c>
      <c r="E3208" s="5" t="n">
        <v>200009359</v>
      </c>
      <c r="F3208" s="5" t="inlineStr">
        <is>
          <t>1915</t>
        </is>
      </c>
      <c r="G3208" s="5" t="inlineStr">
        <is>
          <t>BRL</t>
        </is>
      </c>
      <c r="H3208" s="9" t="n">
        <v>-500</v>
      </c>
      <c r="I3208" s="16" t="n">
        <v>43865</v>
      </c>
      <c r="J3208" s="16" t="n">
        <v>43865</v>
      </c>
      <c r="K3208" s="5" t="inlineStr">
        <is>
          <t>12532345</t>
        </is>
      </c>
      <c r="L3208" s="5" t="inlineStr">
        <is>
          <t>400000.210101</t>
        </is>
      </c>
      <c r="M3208" s="5">
        <f>IF(YEAR(I3208)&lt;=2020,"Até 2020",TEXT(YEAR(I3208),"0"))</f>
        <v/>
      </c>
      <c r="N3208" s="5">
        <f>IFERROR(INDEX(DePara!$A:$A,MATCH(TEXT(B3208,"0"),DePara!$D:$D,0)),"(sem categoria)")</f>
        <v/>
      </c>
      <c r="O3208" s="5">
        <f>IF(J3208="","",Parametros!$B$6-J3208)</f>
        <v/>
      </c>
      <c r="P3208" s="5">
        <f>IF(O3208="","",IF(O3208&gt;0,1,0))</f>
        <v/>
      </c>
    </row>
    <row r="3209">
      <c r="A3209" s="5" t="n">
        <v>2111000000</v>
      </c>
      <c r="B3209" s="5" t="inlineStr">
        <is>
          <t>101559</t>
        </is>
      </c>
      <c r="C3209" s="5" t="inlineStr">
        <is>
          <t>SIND DOS DESPACH ADUANEIROS DE SANT</t>
        </is>
      </c>
      <c r="D3209" s="5" t="inlineStr">
        <is>
          <t>UE</t>
        </is>
      </c>
      <c r="E3209" s="5" t="n">
        <v>200009360</v>
      </c>
      <c r="F3209" s="5" t="inlineStr">
        <is>
          <t>1916</t>
        </is>
      </c>
      <c r="G3209" s="5" t="inlineStr">
        <is>
          <t>BRL</t>
        </is>
      </c>
      <c r="H3209" s="9" t="n">
        <v>-500</v>
      </c>
      <c r="I3209" s="16" t="n">
        <v>43872</v>
      </c>
      <c r="J3209" s="16" t="n">
        <v>43872</v>
      </c>
      <c r="K3209" s="5" t="inlineStr">
        <is>
          <t>12539823</t>
        </is>
      </c>
      <c r="L3209" s="5" t="inlineStr">
        <is>
          <t>400000.210101</t>
        </is>
      </c>
      <c r="M3209" s="5">
        <f>IF(YEAR(I3209)&lt;=2020,"Até 2020",TEXT(YEAR(I3209),"0"))</f>
        <v/>
      </c>
      <c r="N3209" s="5">
        <f>IFERROR(INDEX(DePara!$A:$A,MATCH(TEXT(B3209,"0"),DePara!$D:$D,0)),"(sem categoria)")</f>
        <v/>
      </c>
      <c r="O3209" s="5">
        <f>IF(J3209="","",Parametros!$B$6-J3209)</f>
        <v/>
      </c>
      <c r="P3209" s="5">
        <f>IF(O3209="","",IF(O3209&gt;0,1,0))</f>
        <v/>
      </c>
    </row>
    <row r="3210">
      <c r="A3210" s="5" t="n">
        <v>2111000000</v>
      </c>
      <c r="B3210" s="5" t="inlineStr">
        <is>
          <t>101559</t>
        </is>
      </c>
      <c r="C3210" s="5" t="inlineStr">
        <is>
          <t>SIND DOS DESPACH ADUANEIROS DE SANT</t>
        </is>
      </c>
      <c r="D3210" s="5" t="inlineStr">
        <is>
          <t>UE</t>
        </is>
      </c>
      <c r="E3210" s="5" t="n">
        <v>200009361</v>
      </c>
      <c r="F3210" s="5" t="inlineStr">
        <is>
          <t>1917</t>
        </is>
      </c>
      <c r="G3210" s="5" t="inlineStr">
        <is>
          <t>BRL</t>
        </is>
      </c>
      <c r="H3210" s="9" t="n">
        <v>-500</v>
      </c>
      <c r="I3210" s="16" t="n">
        <v>43872</v>
      </c>
      <c r="J3210" s="16" t="n">
        <v>43872</v>
      </c>
      <c r="K3210" s="5" t="inlineStr">
        <is>
          <t>12539824</t>
        </is>
      </c>
      <c r="L3210" s="5" t="inlineStr">
        <is>
          <t>400000.210101</t>
        </is>
      </c>
      <c r="M3210" s="5">
        <f>IF(YEAR(I3210)&lt;=2020,"Até 2020",TEXT(YEAR(I3210),"0"))</f>
        <v/>
      </c>
      <c r="N3210" s="5">
        <f>IFERROR(INDEX(DePara!$A:$A,MATCH(TEXT(B3210,"0"),DePara!$D:$D,0)),"(sem categoria)")</f>
        <v/>
      </c>
      <c r="O3210" s="5">
        <f>IF(J3210="","",Parametros!$B$6-J3210)</f>
        <v/>
      </c>
      <c r="P3210" s="5">
        <f>IF(O3210="","",IF(O3210&gt;0,1,0))</f>
        <v/>
      </c>
    </row>
    <row r="3211">
      <c r="A3211" s="5" t="n">
        <v>2111000000</v>
      </c>
      <c r="B3211" s="5" t="inlineStr">
        <is>
          <t>101559</t>
        </is>
      </c>
      <c r="C3211" s="5" t="inlineStr">
        <is>
          <t>SIND DOS DESPACH ADUANEIROS DE SANT</t>
        </is>
      </c>
      <c r="D3211" s="5" t="inlineStr">
        <is>
          <t>UE</t>
        </is>
      </c>
      <c r="E3211" s="5" t="n">
        <v>200009362</v>
      </c>
      <c r="F3211" s="5" t="inlineStr">
        <is>
          <t>1918</t>
        </is>
      </c>
      <c r="G3211" s="5" t="inlineStr">
        <is>
          <t>BRL</t>
        </is>
      </c>
      <c r="H3211" s="9" t="n">
        <v>-500</v>
      </c>
      <c r="I3211" s="16" t="n">
        <v>43866</v>
      </c>
      <c r="J3211" s="16" t="n">
        <v>43866</v>
      </c>
      <c r="K3211" s="5" t="inlineStr">
        <is>
          <t>12533762</t>
        </is>
      </c>
      <c r="L3211" s="5" t="inlineStr">
        <is>
          <t>400000.210101</t>
        </is>
      </c>
      <c r="M3211" s="5">
        <f>IF(YEAR(I3211)&lt;=2020,"Até 2020",TEXT(YEAR(I3211),"0"))</f>
        <v/>
      </c>
      <c r="N3211" s="5">
        <f>IFERROR(INDEX(DePara!$A:$A,MATCH(TEXT(B3211,"0"),DePara!$D:$D,0)),"(sem categoria)")</f>
        <v/>
      </c>
      <c r="O3211" s="5">
        <f>IF(J3211="","",Parametros!$B$6-J3211)</f>
        <v/>
      </c>
      <c r="P3211" s="5">
        <f>IF(O3211="","",IF(O3211&gt;0,1,0))</f>
        <v/>
      </c>
    </row>
    <row r="3212">
      <c r="A3212" s="5" t="n">
        <v>2111000000</v>
      </c>
      <c r="B3212" s="5" t="inlineStr">
        <is>
          <t>101559</t>
        </is>
      </c>
      <c r="C3212" s="5" t="inlineStr">
        <is>
          <t>SIND DOS DESPACH ADUANEIROS DE SANT</t>
        </is>
      </c>
      <c r="D3212" s="5" t="inlineStr">
        <is>
          <t>UE</t>
        </is>
      </c>
      <c r="E3212" s="5" t="n">
        <v>200009363</v>
      </c>
      <c r="F3212" s="5" t="inlineStr">
        <is>
          <t>1919</t>
        </is>
      </c>
      <c r="G3212" s="5" t="inlineStr">
        <is>
          <t>BRL</t>
        </is>
      </c>
      <c r="H3212" s="9" t="n">
        <v>-500</v>
      </c>
      <c r="I3212" s="16" t="n">
        <v>43872</v>
      </c>
      <c r="J3212" s="16" t="n">
        <v>43872</v>
      </c>
      <c r="K3212" s="5" t="inlineStr">
        <is>
          <t>12539773</t>
        </is>
      </c>
      <c r="L3212" s="5" t="inlineStr">
        <is>
          <t>400000.210101</t>
        </is>
      </c>
      <c r="M3212" s="5">
        <f>IF(YEAR(I3212)&lt;=2020,"Até 2020",TEXT(YEAR(I3212),"0"))</f>
        <v/>
      </c>
      <c r="N3212" s="5">
        <f>IFERROR(INDEX(DePara!$A:$A,MATCH(TEXT(B3212,"0"),DePara!$D:$D,0)),"(sem categoria)")</f>
        <v/>
      </c>
      <c r="O3212" s="5">
        <f>IF(J3212="","",Parametros!$B$6-J3212)</f>
        <v/>
      </c>
      <c r="P3212" s="5">
        <f>IF(O3212="","",IF(O3212&gt;0,1,0))</f>
        <v/>
      </c>
    </row>
    <row r="3213">
      <c r="A3213" s="5" t="n">
        <v>2111000000</v>
      </c>
      <c r="B3213" s="5" t="inlineStr">
        <is>
          <t>101559</t>
        </is>
      </c>
      <c r="C3213" s="5" t="inlineStr">
        <is>
          <t>SIND DOS DESPACH ADUANEIROS DE SANT</t>
        </is>
      </c>
      <c r="D3213" s="5" t="inlineStr">
        <is>
          <t>UE</t>
        </is>
      </c>
      <c r="E3213" s="5" t="n">
        <v>200009365</v>
      </c>
      <c r="F3213" s="5" t="inlineStr">
        <is>
          <t>1920</t>
        </is>
      </c>
      <c r="G3213" s="5" t="inlineStr">
        <is>
          <t>BRL</t>
        </is>
      </c>
      <c r="H3213" s="9" t="n">
        <v>-500</v>
      </c>
      <c r="I3213" s="16" t="n">
        <v>43795</v>
      </c>
      <c r="J3213" s="16" t="n">
        <v>43795</v>
      </c>
      <c r="K3213" s="5" t="inlineStr">
        <is>
          <t>12462157</t>
        </is>
      </c>
      <c r="L3213" s="5" t="inlineStr">
        <is>
          <t>400000.210101</t>
        </is>
      </c>
      <c r="M3213" s="5">
        <f>IF(YEAR(I3213)&lt;=2020,"Até 2020",TEXT(YEAR(I3213),"0"))</f>
        <v/>
      </c>
      <c r="N3213" s="5">
        <f>IFERROR(INDEX(DePara!$A:$A,MATCH(TEXT(B3213,"0"),DePara!$D:$D,0)),"(sem categoria)")</f>
        <v/>
      </c>
      <c r="O3213" s="5">
        <f>IF(J3213="","",Parametros!$B$6-J3213)</f>
        <v/>
      </c>
      <c r="P3213" s="5">
        <f>IF(O3213="","",IF(O3213&gt;0,1,0))</f>
        <v/>
      </c>
    </row>
    <row r="3214">
      <c r="A3214" s="5" t="n">
        <v>2111000000</v>
      </c>
      <c r="B3214" s="5" t="inlineStr">
        <is>
          <t>101559</t>
        </is>
      </c>
      <c r="C3214" s="5" t="inlineStr">
        <is>
          <t>SIND DOS DESPACH ADUANEIROS DE SANT</t>
        </is>
      </c>
      <c r="D3214" s="5" t="inlineStr">
        <is>
          <t>UE</t>
        </is>
      </c>
      <c r="E3214" s="5" t="n">
        <v>200009369</v>
      </c>
      <c r="F3214" s="5" t="inlineStr">
        <is>
          <t>1924</t>
        </is>
      </c>
      <c r="G3214" s="5" t="inlineStr">
        <is>
          <t>BRL</t>
        </is>
      </c>
      <c r="H3214" s="9" t="n">
        <v>-500</v>
      </c>
      <c r="I3214" s="16" t="n">
        <v>44067</v>
      </c>
      <c r="J3214" s="16" t="n">
        <v>44067</v>
      </c>
      <c r="K3214" s="5" t="inlineStr">
        <is>
          <t>SDA 4000277</t>
        </is>
      </c>
      <c r="L3214" s="5" t="inlineStr">
        <is>
          <t>400000.210101</t>
        </is>
      </c>
      <c r="M3214" s="5">
        <f>IF(YEAR(I3214)&lt;=2020,"Até 2020",TEXT(YEAR(I3214),"0"))</f>
        <v/>
      </c>
      <c r="N3214" s="5">
        <f>IFERROR(INDEX(DePara!$A:$A,MATCH(TEXT(B3214,"0"),DePara!$D:$D,0)),"(sem categoria)")</f>
        <v/>
      </c>
      <c r="O3214" s="5">
        <f>IF(J3214="","",Parametros!$B$6-J3214)</f>
        <v/>
      </c>
      <c r="P3214" s="5">
        <f>IF(O3214="","",IF(O3214&gt;0,1,0))</f>
        <v/>
      </c>
    </row>
    <row r="3215">
      <c r="A3215" s="5" t="n">
        <v>2111000000</v>
      </c>
      <c r="B3215" s="5" t="inlineStr">
        <is>
          <t>101559</t>
        </is>
      </c>
      <c r="C3215" s="5" t="inlineStr">
        <is>
          <t>SIND DOS DESPACH ADUANEIROS DE SANT</t>
        </is>
      </c>
      <c r="D3215" s="5" t="inlineStr">
        <is>
          <t>UE</t>
        </is>
      </c>
      <c r="E3215" s="5" t="n">
        <v>200009370</v>
      </c>
      <c r="F3215" s="5" t="inlineStr">
        <is>
          <t>1925</t>
        </is>
      </c>
      <c r="G3215" s="5" t="inlineStr">
        <is>
          <t>BRL</t>
        </is>
      </c>
      <c r="H3215" s="9" t="n">
        <v>-500</v>
      </c>
      <c r="I3215" s="16" t="n">
        <v>44301</v>
      </c>
      <c r="J3215" s="16" t="n">
        <v>44301</v>
      </c>
      <c r="K3215" s="5" t="inlineStr">
        <is>
          <t>SDA 20200726</t>
        </is>
      </c>
      <c r="L3215" s="5" t="inlineStr">
        <is>
          <t>400000.210101</t>
        </is>
      </c>
      <c r="M3215" s="5">
        <f>IF(YEAR(I3215)&lt;=2020,"Até 2020",TEXT(YEAR(I3215),"0"))</f>
        <v/>
      </c>
      <c r="N3215" s="5">
        <f>IFERROR(INDEX(DePara!$A:$A,MATCH(TEXT(B3215,"0"),DePara!$D:$D,0)),"(sem categoria)")</f>
        <v/>
      </c>
      <c r="O3215" s="5">
        <f>IF(J3215="","",Parametros!$B$6-J3215)</f>
        <v/>
      </c>
      <c r="P3215" s="5">
        <f>IF(O3215="","",IF(O3215&gt;0,1,0))</f>
        <v/>
      </c>
    </row>
    <row r="3216">
      <c r="A3216" s="5" t="n">
        <v>2111000000</v>
      </c>
      <c r="B3216" s="5" t="inlineStr">
        <is>
          <t>101559</t>
        </is>
      </c>
      <c r="C3216" s="5" t="inlineStr">
        <is>
          <t>SIND DOS DESPACH ADUANEIROS DE SANT</t>
        </is>
      </c>
      <c r="D3216" s="5" t="inlineStr">
        <is>
          <t>UE</t>
        </is>
      </c>
      <c r="E3216" s="5" t="n">
        <v>200009372</v>
      </c>
      <c r="F3216" s="5" t="inlineStr">
        <is>
          <t>1927</t>
        </is>
      </c>
      <c r="G3216" s="5" t="inlineStr">
        <is>
          <t>BRL</t>
        </is>
      </c>
      <c r="H3216" s="9" t="n">
        <v>-500</v>
      </c>
      <c r="I3216" s="16" t="n">
        <v>44048</v>
      </c>
      <c r="J3216" s="16" t="n">
        <v>44048</v>
      </c>
      <c r="K3216" s="5" t="inlineStr">
        <is>
          <t>12688254</t>
        </is>
      </c>
      <c r="L3216" s="5" t="inlineStr">
        <is>
          <t>400000.210101</t>
        </is>
      </c>
      <c r="M3216" s="5">
        <f>IF(YEAR(I3216)&lt;=2020,"Até 2020",TEXT(YEAR(I3216),"0"))</f>
        <v/>
      </c>
      <c r="N3216" s="5">
        <f>IFERROR(INDEX(DePara!$A:$A,MATCH(TEXT(B3216,"0"),DePara!$D:$D,0)),"(sem categoria)")</f>
        <v/>
      </c>
      <c r="O3216" s="5">
        <f>IF(J3216="","",Parametros!$B$6-J3216)</f>
        <v/>
      </c>
      <c r="P3216" s="5">
        <f>IF(O3216="","",IF(O3216&gt;0,1,0))</f>
        <v/>
      </c>
    </row>
    <row r="3217">
      <c r="A3217" s="5" t="n">
        <v>2111000000</v>
      </c>
      <c r="B3217" s="5" t="inlineStr">
        <is>
          <t>101559</t>
        </is>
      </c>
      <c r="C3217" s="5" t="inlineStr">
        <is>
          <t>SIND DOS DESPACH ADUANEIROS DE SANT</t>
        </is>
      </c>
      <c r="D3217" s="5" t="inlineStr">
        <is>
          <t>UE</t>
        </is>
      </c>
      <c r="E3217" s="5" t="n">
        <v>200009373</v>
      </c>
      <c r="F3217" s="5" t="inlineStr">
        <is>
          <t>1928</t>
        </is>
      </c>
      <c r="G3217" s="5" t="inlineStr">
        <is>
          <t>BRL</t>
        </is>
      </c>
      <c r="H3217" s="9" t="n">
        <v>-500</v>
      </c>
      <c r="I3217" s="16" t="n">
        <v>44278</v>
      </c>
      <c r="J3217" s="16" t="n">
        <v>44278</v>
      </c>
      <c r="K3217" s="5" t="inlineStr">
        <is>
          <t>12922553</t>
        </is>
      </c>
      <c r="L3217" s="5" t="inlineStr">
        <is>
          <t>400000.210101</t>
        </is>
      </c>
      <c r="M3217" s="5">
        <f>IF(YEAR(I3217)&lt;=2020,"Até 2020",TEXT(YEAR(I3217),"0"))</f>
        <v/>
      </c>
      <c r="N3217" s="5">
        <f>IFERROR(INDEX(DePara!$A:$A,MATCH(TEXT(B3217,"0"),DePara!$D:$D,0)),"(sem categoria)")</f>
        <v/>
      </c>
      <c r="O3217" s="5">
        <f>IF(J3217="","",Parametros!$B$6-J3217)</f>
        <v/>
      </c>
      <c r="P3217" s="5">
        <f>IF(O3217="","",IF(O3217&gt;0,1,0))</f>
        <v/>
      </c>
    </row>
    <row r="3218">
      <c r="A3218" s="5" t="n">
        <v>2111000000</v>
      </c>
      <c r="B3218" s="5" t="inlineStr">
        <is>
          <t>101559</t>
        </is>
      </c>
      <c r="C3218" s="5" t="inlineStr">
        <is>
          <t>SIND DOS DESPACH ADUANEIROS DE SANT</t>
        </is>
      </c>
      <c r="D3218" s="5" t="inlineStr">
        <is>
          <t>UE</t>
        </is>
      </c>
      <c r="E3218" s="5" t="n">
        <v>200009374</v>
      </c>
      <c r="F3218" s="5" t="inlineStr">
        <is>
          <t>1929</t>
        </is>
      </c>
      <c r="G3218" s="5" t="inlineStr">
        <is>
          <t>BRL</t>
        </is>
      </c>
      <c r="H3218" s="9" t="n">
        <v>-500</v>
      </c>
      <c r="I3218" s="16" t="n">
        <v>43906</v>
      </c>
      <c r="J3218" s="16" t="n">
        <v>43906</v>
      </c>
      <c r="K3218" s="5" t="inlineStr">
        <is>
          <t xml:space="preserve"> 12572306</t>
        </is>
      </c>
      <c r="L3218" s="5" t="inlineStr">
        <is>
          <t>400000.210101</t>
        </is>
      </c>
      <c r="M3218" s="5">
        <f>IF(YEAR(I3218)&lt;=2020,"Até 2020",TEXT(YEAR(I3218),"0"))</f>
        <v/>
      </c>
      <c r="N3218" s="5">
        <f>IFERROR(INDEX(DePara!$A:$A,MATCH(TEXT(B3218,"0"),DePara!$D:$D,0)),"(sem categoria)")</f>
        <v/>
      </c>
      <c r="O3218" s="5">
        <f>IF(J3218="","",Parametros!$B$6-J3218)</f>
        <v/>
      </c>
      <c r="P3218" s="5">
        <f>IF(O3218="","",IF(O3218&gt;0,1,0))</f>
        <v/>
      </c>
    </row>
    <row r="3219">
      <c r="A3219" s="5" t="n">
        <v>2111000000</v>
      </c>
      <c r="B3219" s="5" t="inlineStr">
        <is>
          <t>101559</t>
        </is>
      </c>
      <c r="C3219" s="5" t="inlineStr">
        <is>
          <t>SIND DOS DESPACH ADUANEIROS DE SANT</t>
        </is>
      </c>
      <c r="D3219" s="5" t="inlineStr">
        <is>
          <t>UE</t>
        </is>
      </c>
      <c r="E3219" s="5" t="n">
        <v>200009380</v>
      </c>
      <c r="F3219" s="5" t="inlineStr">
        <is>
          <t>1934</t>
        </is>
      </c>
      <c r="G3219" s="5" t="inlineStr">
        <is>
          <t>BRL</t>
        </is>
      </c>
      <c r="H3219" s="9" t="n">
        <v>-500</v>
      </c>
      <c r="I3219" s="16" t="n">
        <v>44533</v>
      </c>
      <c r="J3219" s="16" t="n">
        <v>44533</v>
      </c>
      <c r="K3219" s="5" t="inlineStr">
        <is>
          <t>13181398</t>
        </is>
      </c>
      <c r="L3219" s="5" t="inlineStr">
        <is>
          <t>400000.210101</t>
        </is>
      </c>
      <c r="M3219" s="5">
        <f>IF(YEAR(I3219)&lt;=2020,"Até 2020",TEXT(YEAR(I3219),"0"))</f>
        <v/>
      </c>
      <c r="N3219" s="5">
        <f>IFERROR(INDEX(DePara!$A:$A,MATCH(TEXT(B3219,"0"),DePara!$D:$D,0)),"(sem categoria)")</f>
        <v/>
      </c>
      <c r="O3219" s="5">
        <f>IF(J3219="","",Parametros!$B$6-J3219)</f>
        <v/>
      </c>
      <c r="P3219" s="5">
        <f>IF(O3219="","",IF(O3219&gt;0,1,0))</f>
        <v/>
      </c>
    </row>
    <row r="3220">
      <c r="A3220" s="5" t="n">
        <v>2111000000</v>
      </c>
      <c r="B3220" s="5" t="inlineStr">
        <is>
          <t>101559</t>
        </is>
      </c>
      <c r="C3220" s="5" t="inlineStr">
        <is>
          <t>SIND DOS DESPACH ADUANEIROS DE SANT</t>
        </is>
      </c>
      <c r="D3220" s="5" t="inlineStr">
        <is>
          <t>UE</t>
        </is>
      </c>
      <c r="E3220" s="5" t="n">
        <v>200009382</v>
      </c>
      <c r="F3220" s="5" t="inlineStr">
        <is>
          <t>1936</t>
        </is>
      </c>
      <c r="G3220" s="5" t="inlineStr">
        <is>
          <t>BRL</t>
        </is>
      </c>
      <c r="H3220" s="9" t="n">
        <v>-500</v>
      </c>
      <c r="I3220" s="16" t="n">
        <v>44144</v>
      </c>
      <c r="J3220" s="16" t="n">
        <v>44144</v>
      </c>
      <c r="K3220" s="5" t="inlineStr">
        <is>
          <t>12773556</t>
        </is>
      </c>
      <c r="L3220" s="5" t="inlineStr">
        <is>
          <t>400000.210101</t>
        </is>
      </c>
      <c r="M3220" s="5">
        <f>IF(YEAR(I3220)&lt;=2020,"Até 2020",TEXT(YEAR(I3220),"0"))</f>
        <v/>
      </c>
      <c r="N3220" s="5">
        <f>IFERROR(INDEX(DePara!$A:$A,MATCH(TEXT(B3220,"0"),DePara!$D:$D,0)),"(sem categoria)")</f>
        <v/>
      </c>
      <c r="O3220" s="5">
        <f>IF(J3220="","",Parametros!$B$6-J3220)</f>
        <v/>
      </c>
      <c r="P3220" s="5">
        <f>IF(O3220="","",IF(O3220&gt;0,1,0))</f>
        <v/>
      </c>
    </row>
    <row r="3221">
      <c r="A3221" s="5" t="n">
        <v>2111000000</v>
      </c>
      <c r="B3221" s="5" t="inlineStr">
        <is>
          <t>101559</t>
        </is>
      </c>
      <c r="C3221" s="5" t="inlineStr">
        <is>
          <t>SIND DOS DESPACH ADUANEIROS DE SANT</t>
        </is>
      </c>
      <c r="D3221" s="5" t="inlineStr">
        <is>
          <t>UE</t>
        </is>
      </c>
      <c r="E3221" s="5" t="n">
        <v>200009383</v>
      </c>
      <c r="F3221" s="5" t="inlineStr">
        <is>
          <t>1937</t>
        </is>
      </c>
      <c r="G3221" s="5" t="inlineStr">
        <is>
          <t>BRL</t>
        </is>
      </c>
      <c r="H3221" s="9" t="n">
        <v>-500</v>
      </c>
      <c r="I3221" s="16" t="n">
        <v>43878</v>
      </c>
      <c r="J3221" s="16" t="n">
        <v>43878</v>
      </c>
      <c r="K3221" s="5" t="inlineStr">
        <is>
          <t>12545028</t>
        </is>
      </c>
      <c r="L3221" s="5" t="inlineStr">
        <is>
          <t>400000.210101</t>
        </is>
      </c>
      <c r="M3221" s="5">
        <f>IF(YEAR(I3221)&lt;=2020,"Até 2020",TEXT(YEAR(I3221),"0"))</f>
        <v/>
      </c>
      <c r="N3221" s="5">
        <f>IFERROR(INDEX(DePara!$A:$A,MATCH(TEXT(B3221,"0"),DePara!$D:$D,0)),"(sem categoria)")</f>
        <v/>
      </c>
      <c r="O3221" s="5">
        <f>IF(J3221="","",Parametros!$B$6-J3221)</f>
        <v/>
      </c>
      <c r="P3221" s="5">
        <f>IF(O3221="","",IF(O3221&gt;0,1,0))</f>
        <v/>
      </c>
    </row>
    <row r="3222">
      <c r="A3222" s="5" t="n">
        <v>2111000000</v>
      </c>
      <c r="B3222" s="5" t="inlineStr">
        <is>
          <t>101559</t>
        </is>
      </c>
      <c r="C3222" s="5" t="inlineStr">
        <is>
          <t>SIND DOS DESPACH ADUANEIROS DE SANT</t>
        </is>
      </c>
      <c r="D3222" s="5" t="inlineStr">
        <is>
          <t>UE</t>
        </is>
      </c>
      <c r="E3222" s="5" t="n">
        <v>200009384</v>
      </c>
      <c r="F3222" s="5" t="inlineStr">
        <is>
          <t>1938</t>
        </is>
      </c>
      <c r="G3222" s="5" t="inlineStr">
        <is>
          <t>BRL</t>
        </is>
      </c>
      <c r="H3222" s="9" t="n">
        <v>-500</v>
      </c>
      <c r="I3222" s="16" t="n">
        <v>44048</v>
      </c>
      <c r="J3222" s="16" t="n">
        <v>44048</v>
      </c>
      <c r="K3222" s="5" t="inlineStr">
        <is>
          <t>12688186</t>
        </is>
      </c>
      <c r="L3222" s="5" t="inlineStr">
        <is>
          <t>400000.210101</t>
        </is>
      </c>
      <c r="M3222" s="5">
        <f>IF(YEAR(I3222)&lt;=2020,"Até 2020",TEXT(YEAR(I3222),"0"))</f>
        <v/>
      </c>
      <c r="N3222" s="5">
        <f>IFERROR(INDEX(DePara!$A:$A,MATCH(TEXT(B3222,"0"),DePara!$D:$D,0)),"(sem categoria)")</f>
        <v/>
      </c>
      <c r="O3222" s="5">
        <f>IF(J3222="","",Parametros!$B$6-J3222)</f>
        <v/>
      </c>
      <c r="P3222" s="5">
        <f>IF(O3222="","",IF(O3222&gt;0,1,0))</f>
        <v/>
      </c>
    </row>
    <row r="3223">
      <c r="A3223" s="5" t="n">
        <v>2111000000</v>
      </c>
      <c r="B3223" s="5" t="inlineStr">
        <is>
          <t>101559</t>
        </is>
      </c>
      <c r="C3223" s="5" t="inlineStr">
        <is>
          <t>SIND DOS DESPACH ADUANEIROS DE SANT</t>
        </is>
      </c>
      <c r="D3223" s="5" t="inlineStr">
        <is>
          <t>UE</t>
        </is>
      </c>
      <c r="E3223" s="5" t="n">
        <v>200009385</v>
      </c>
      <c r="F3223" s="5" t="inlineStr">
        <is>
          <t>1939</t>
        </is>
      </c>
      <c r="G3223" s="5" t="inlineStr">
        <is>
          <t>BRL</t>
        </is>
      </c>
      <c r="H3223" s="9" t="n">
        <v>-500</v>
      </c>
      <c r="I3223" s="16" t="n">
        <v>43389</v>
      </c>
      <c r="J3223" s="16" t="n">
        <v>43389</v>
      </c>
      <c r="K3223" s="5" t="inlineStr">
        <is>
          <t>12029828</t>
        </is>
      </c>
      <c r="L3223" s="5" t="inlineStr">
        <is>
          <t>400000.210101</t>
        </is>
      </c>
      <c r="M3223" s="5">
        <f>IF(YEAR(I3223)&lt;=2020,"Até 2020",TEXT(YEAR(I3223),"0"))</f>
        <v/>
      </c>
      <c r="N3223" s="5">
        <f>IFERROR(INDEX(DePara!$A:$A,MATCH(TEXT(B3223,"0"),DePara!$D:$D,0)),"(sem categoria)")</f>
        <v/>
      </c>
      <c r="O3223" s="5">
        <f>IF(J3223="","",Parametros!$B$6-J3223)</f>
        <v/>
      </c>
      <c r="P3223" s="5">
        <f>IF(O3223="","",IF(O3223&gt;0,1,0))</f>
        <v/>
      </c>
    </row>
    <row r="3224">
      <c r="A3224" s="5" t="n">
        <v>2111000000</v>
      </c>
      <c r="B3224" s="5" t="inlineStr">
        <is>
          <t>101559</t>
        </is>
      </c>
      <c r="C3224" s="5" t="inlineStr">
        <is>
          <t>SIND DOS DESPACH ADUANEIROS DE SANT</t>
        </is>
      </c>
      <c r="D3224" s="5" t="inlineStr">
        <is>
          <t>UE</t>
        </is>
      </c>
      <c r="E3224" s="5" t="n">
        <v>200009387</v>
      </c>
      <c r="F3224" s="5" t="inlineStr">
        <is>
          <t>1940</t>
        </is>
      </c>
      <c r="G3224" s="5" t="inlineStr">
        <is>
          <t>BRL</t>
        </is>
      </c>
      <c r="H3224" s="9" t="n">
        <v>-1590</v>
      </c>
      <c r="I3224" s="16" t="n">
        <v>44571</v>
      </c>
      <c r="J3224" s="16" t="n">
        <v>44571</v>
      </c>
      <c r="K3224" s="5" t="inlineStr">
        <is>
          <t>6334189</t>
        </is>
      </c>
      <c r="L3224" s="5" t="inlineStr">
        <is>
          <t>400000.210101</t>
        </is>
      </c>
      <c r="M3224" s="5">
        <f>IF(YEAR(I3224)&lt;=2020,"Até 2020",TEXT(YEAR(I3224),"0"))</f>
        <v/>
      </c>
      <c r="N3224" s="5">
        <f>IFERROR(INDEX(DePara!$A:$A,MATCH(TEXT(B3224,"0"),DePara!$D:$D,0)),"(sem categoria)")</f>
        <v/>
      </c>
      <c r="O3224" s="5">
        <f>IF(J3224="","",Parametros!$B$6-J3224)</f>
        <v/>
      </c>
      <c r="P3224" s="5">
        <f>IF(O3224="","",IF(O3224&gt;0,1,0))</f>
        <v/>
      </c>
    </row>
    <row r="3225">
      <c r="A3225" s="5" t="n">
        <v>2111000000</v>
      </c>
      <c r="B3225" s="5" t="inlineStr">
        <is>
          <t>101559</t>
        </is>
      </c>
      <c r="C3225" s="5" t="inlineStr">
        <is>
          <t>SIND DOS DESPACH ADUANEIROS DE SANT</t>
        </is>
      </c>
      <c r="D3225" s="5" t="inlineStr">
        <is>
          <t>UE</t>
        </is>
      </c>
      <c r="E3225" s="5" t="n">
        <v>200009389</v>
      </c>
      <c r="F3225" s="5" t="inlineStr">
        <is>
          <t>1942</t>
        </is>
      </c>
      <c r="G3225" s="5" t="inlineStr">
        <is>
          <t>BRL</t>
        </is>
      </c>
      <c r="H3225" s="9" t="n">
        <v>-500</v>
      </c>
      <c r="I3225" s="16" t="n">
        <v>44659</v>
      </c>
      <c r="J3225" s="16" t="n">
        <v>44659</v>
      </c>
      <c r="K3225" s="5" t="inlineStr">
        <is>
          <t>6404156</t>
        </is>
      </c>
      <c r="L3225" s="5" t="inlineStr">
        <is>
          <t>400000.210101</t>
        </is>
      </c>
      <c r="M3225" s="5">
        <f>IF(YEAR(I3225)&lt;=2020,"Até 2020",TEXT(YEAR(I3225),"0"))</f>
        <v/>
      </c>
      <c r="N3225" s="5">
        <f>IFERROR(INDEX(DePara!$A:$A,MATCH(TEXT(B3225,"0"),DePara!$D:$D,0)),"(sem categoria)")</f>
        <v/>
      </c>
      <c r="O3225" s="5">
        <f>IF(J3225="","",Parametros!$B$6-J3225)</f>
        <v/>
      </c>
      <c r="P3225" s="5">
        <f>IF(O3225="","",IF(O3225&gt;0,1,0))</f>
        <v/>
      </c>
    </row>
    <row r="3226">
      <c r="A3226" s="5" t="n">
        <v>2111000000</v>
      </c>
      <c r="B3226" s="5" t="inlineStr">
        <is>
          <t>101559</t>
        </is>
      </c>
      <c r="C3226" s="5" t="inlineStr">
        <is>
          <t>SIND DOS DESPACH ADUANEIROS DE SANT</t>
        </is>
      </c>
      <c r="D3226" s="5" t="inlineStr">
        <is>
          <t>UE</t>
        </is>
      </c>
      <c r="E3226" s="5" t="n">
        <v>200009390</v>
      </c>
      <c r="F3226" s="5" t="inlineStr">
        <is>
          <t>1943</t>
        </is>
      </c>
      <c r="G3226" s="5" t="inlineStr">
        <is>
          <t>BRL</t>
        </is>
      </c>
      <c r="H3226" s="9" t="n">
        <v>-500</v>
      </c>
      <c r="I3226" s="16" t="n">
        <v>44699</v>
      </c>
      <c r="J3226" s="16" t="n">
        <v>44699</v>
      </c>
      <c r="K3226" s="5" t="inlineStr">
        <is>
          <t>6434705</t>
        </is>
      </c>
      <c r="L3226" s="5" t="inlineStr">
        <is>
          <t>400000.210101</t>
        </is>
      </c>
      <c r="M3226" s="5">
        <f>IF(YEAR(I3226)&lt;=2020,"Até 2020",TEXT(YEAR(I3226),"0"))</f>
        <v/>
      </c>
      <c r="N3226" s="5">
        <f>IFERROR(INDEX(DePara!$A:$A,MATCH(TEXT(B3226,"0"),DePara!$D:$D,0)),"(sem categoria)")</f>
        <v/>
      </c>
      <c r="O3226" s="5">
        <f>IF(J3226="","",Parametros!$B$6-J3226)</f>
        <v/>
      </c>
      <c r="P3226" s="5">
        <f>IF(O3226="","",IF(O3226&gt;0,1,0))</f>
        <v/>
      </c>
    </row>
    <row r="3227">
      <c r="A3227" s="5" t="n">
        <v>2111000000</v>
      </c>
      <c r="B3227" s="5" t="inlineStr">
        <is>
          <t>101559</t>
        </is>
      </c>
      <c r="C3227" s="5" t="inlineStr">
        <is>
          <t>SIND DOS DESPACH ADUANEIROS DE SANT</t>
        </is>
      </c>
      <c r="D3227" s="5" t="inlineStr">
        <is>
          <t>UE</t>
        </is>
      </c>
      <c r="E3227" s="5" t="n">
        <v>200009391</v>
      </c>
      <c r="F3227" s="5" t="inlineStr">
        <is>
          <t>1944</t>
        </is>
      </c>
      <c r="G3227" s="5" t="inlineStr">
        <is>
          <t>BRL</t>
        </is>
      </c>
      <c r="H3227" s="9" t="n">
        <v>-500</v>
      </c>
      <c r="I3227" s="16" t="n">
        <v>44686</v>
      </c>
      <c r="J3227" s="16" t="n">
        <v>44686</v>
      </c>
      <c r="K3227" s="5" t="inlineStr">
        <is>
          <t>6424252</t>
        </is>
      </c>
      <c r="L3227" s="5" t="inlineStr">
        <is>
          <t>400000.210101</t>
        </is>
      </c>
      <c r="M3227" s="5">
        <f>IF(YEAR(I3227)&lt;=2020,"Até 2020",TEXT(YEAR(I3227),"0"))</f>
        <v/>
      </c>
      <c r="N3227" s="5">
        <f>IFERROR(INDEX(DePara!$A:$A,MATCH(TEXT(B3227,"0"),DePara!$D:$D,0)),"(sem categoria)")</f>
        <v/>
      </c>
      <c r="O3227" s="5">
        <f>IF(J3227="","",Parametros!$B$6-J3227)</f>
        <v/>
      </c>
      <c r="P3227" s="5">
        <f>IF(O3227="","",IF(O3227&gt;0,1,0))</f>
        <v/>
      </c>
    </row>
    <row r="3228">
      <c r="A3228" s="5" t="n">
        <v>2111000000</v>
      </c>
      <c r="B3228" s="5" t="inlineStr">
        <is>
          <t>101559</t>
        </is>
      </c>
      <c r="C3228" s="5" t="inlineStr">
        <is>
          <t>SIND DOS DESPACH ADUANEIROS DE SANT</t>
        </is>
      </c>
      <c r="D3228" s="5" t="inlineStr">
        <is>
          <t>UE</t>
        </is>
      </c>
      <c r="E3228" s="5" t="n">
        <v>200009393</v>
      </c>
      <c r="F3228" s="5" t="inlineStr">
        <is>
          <t>1946</t>
        </is>
      </c>
      <c r="G3228" s="5" t="inlineStr">
        <is>
          <t>BRL</t>
        </is>
      </c>
      <c r="H3228" s="9" t="n">
        <v>-500</v>
      </c>
      <c r="I3228" s="16" t="n">
        <v>44810</v>
      </c>
      <c r="J3228" s="16" t="n">
        <v>44810</v>
      </c>
      <c r="K3228" s="5" t="inlineStr">
        <is>
          <t>13463694</t>
        </is>
      </c>
      <c r="L3228" s="5" t="inlineStr">
        <is>
          <t>400000.210101</t>
        </is>
      </c>
      <c r="M3228" s="5">
        <f>IF(YEAR(I3228)&lt;=2020,"Até 2020",TEXT(YEAR(I3228),"0"))</f>
        <v/>
      </c>
      <c r="N3228" s="5">
        <f>IFERROR(INDEX(DePara!$A:$A,MATCH(TEXT(B3228,"0"),DePara!$D:$D,0)),"(sem categoria)")</f>
        <v/>
      </c>
      <c r="O3228" s="5">
        <f>IF(J3228="","",Parametros!$B$6-J3228)</f>
        <v/>
      </c>
      <c r="P3228" s="5">
        <f>IF(O3228="","",IF(O3228&gt;0,1,0))</f>
        <v/>
      </c>
    </row>
    <row r="3229">
      <c r="A3229" s="5" t="n">
        <v>2111000000</v>
      </c>
      <c r="B3229" s="5" t="inlineStr">
        <is>
          <t>101559</t>
        </is>
      </c>
      <c r="C3229" s="5" t="inlineStr">
        <is>
          <t>SIND DOS DESPACH ADUANEIROS DE SANT</t>
        </is>
      </c>
      <c r="D3229" s="5" t="inlineStr">
        <is>
          <t>UE</t>
        </is>
      </c>
      <c r="E3229" s="5" t="n">
        <v>200009400</v>
      </c>
      <c r="F3229" s="5" t="inlineStr">
        <is>
          <t>1952</t>
        </is>
      </c>
      <c r="G3229" s="5" t="inlineStr">
        <is>
          <t>BRL</t>
        </is>
      </c>
      <c r="H3229" s="9" t="n">
        <v>-500</v>
      </c>
      <c r="I3229" s="16" t="n">
        <v>44860</v>
      </c>
      <c r="J3229" s="16" t="n">
        <v>44860</v>
      </c>
      <c r="K3229" s="5" t="inlineStr">
        <is>
          <t>6563026</t>
        </is>
      </c>
      <c r="L3229" s="5" t="inlineStr">
        <is>
          <t>400000.210101</t>
        </is>
      </c>
      <c r="M3229" s="5">
        <f>IF(YEAR(I3229)&lt;=2020,"Até 2020",TEXT(YEAR(I3229),"0"))</f>
        <v/>
      </c>
      <c r="N3229" s="5">
        <f>IFERROR(INDEX(DePara!$A:$A,MATCH(TEXT(B3229,"0"),DePara!$D:$D,0)),"(sem categoria)")</f>
        <v/>
      </c>
      <c r="O3229" s="5">
        <f>IF(J3229="","",Parametros!$B$6-J3229)</f>
        <v/>
      </c>
      <c r="P3229" s="5">
        <f>IF(O3229="","",IF(O3229&gt;0,1,0))</f>
        <v/>
      </c>
    </row>
    <row r="3230">
      <c r="A3230" s="5" t="n">
        <v>2111000000</v>
      </c>
      <c r="B3230" s="5" t="inlineStr">
        <is>
          <t>101560</t>
        </is>
      </c>
      <c r="C3230" s="5" t="inlineStr">
        <is>
          <t>SINDICATO DOS DESPACHANTES ADUANEIR DE SAO PAULO SINDASP</t>
        </is>
      </c>
      <c r="D3230" s="5" t="inlineStr">
        <is>
          <t>UE</t>
        </is>
      </c>
      <c r="E3230" s="5" t="n">
        <v>200009418</v>
      </c>
      <c r="F3230" s="5" t="inlineStr">
        <is>
          <t>1969</t>
        </is>
      </c>
      <c r="G3230" s="5" t="inlineStr">
        <is>
          <t>BRL</t>
        </is>
      </c>
      <c r="H3230" s="9" t="n">
        <v>-500</v>
      </c>
      <c r="I3230" s="16" t="n">
        <v>42962</v>
      </c>
      <c r="J3230" s="16" t="n">
        <v>42962</v>
      </c>
      <c r="K3230" s="5" t="inlineStr">
        <is>
          <t>4925716</t>
        </is>
      </c>
      <c r="L3230" s="5" t="inlineStr">
        <is>
          <t>400000.210101</t>
        </is>
      </c>
      <c r="M3230" s="5">
        <f>IF(YEAR(I3230)&lt;=2020,"Até 2020",TEXT(YEAR(I3230),"0"))</f>
        <v/>
      </c>
      <c r="N3230" s="5">
        <f>IFERROR(INDEX(DePara!$A:$A,MATCH(TEXT(B3230,"0"),DePara!$D:$D,0)),"(sem categoria)")</f>
        <v/>
      </c>
      <c r="O3230" s="5">
        <f>IF(J3230="","",Parametros!$B$6-J3230)</f>
        <v/>
      </c>
      <c r="P3230" s="5">
        <f>IF(O3230="","",IF(O3230&gt;0,1,0))</f>
        <v/>
      </c>
    </row>
    <row r="3231">
      <c r="A3231" s="5" t="n">
        <v>2111000000</v>
      </c>
      <c r="B3231" s="5" t="inlineStr">
        <is>
          <t>101560</t>
        </is>
      </c>
      <c r="C3231" s="5" t="inlineStr">
        <is>
          <t>SINDICATO DOS DESPACHANTES ADUANEIR DE SAO PAULO SINDASP</t>
        </is>
      </c>
      <c r="D3231" s="5" t="inlineStr">
        <is>
          <t>UE</t>
        </is>
      </c>
      <c r="E3231" s="5" t="n">
        <v>200009420</v>
      </c>
      <c r="F3231" s="5" t="inlineStr">
        <is>
          <t>1970</t>
        </is>
      </c>
      <c r="G3231" s="5" t="inlineStr">
        <is>
          <t>BRL</t>
        </is>
      </c>
      <c r="H3231" s="9" t="n">
        <v>-500</v>
      </c>
      <c r="I3231" s="16" t="n">
        <v>43299</v>
      </c>
      <c r="J3231" s="16" t="n">
        <v>43299</v>
      </c>
      <c r="K3231" s="5" t="inlineStr">
        <is>
          <t>5266843</t>
        </is>
      </c>
      <c r="L3231" s="5" t="inlineStr">
        <is>
          <t>400000.210101</t>
        </is>
      </c>
      <c r="M3231" s="5">
        <f>IF(YEAR(I3231)&lt;=2020,"Até 2020",TEXT(YEAR(I3231),"0"))</f>
        <v/>
      </c>
      <c r="N3231" s="5">
        <f>IFERROR(INDEX(DePara!$A:$A,MATCH(TEXT(B3231,"0"),DePara!$D:$D,0)),"(sem categoria)")</f>
        <v/>
      </c>
      <c r="O3231" s="5">
        <f>IF(J3231="","",Parametros!$B$6-J3231)</f>
        <v/>
      </c>
      <c r="P3231" s="5">
        <f>IF(O3231="","",IF(O3231&gt;0,1,0))</f>
        <v/>
      </c>
    </row>
    <row r="3232">
      <c r="A3232" s="5" t="n">
        <v>2111000000</v>
      </c>
      <c r="B3232" s="5" t="inlineStr">
        <is>
          <t>103687</t>
        </is>
      </c>
      <c r="C3232" s="5" t="inlineStr">
        <is>
          <t>MALAGRINO JOSE ANTONIO</t>
        </is>
      </c>
      <c r="D3232" s="5" t="inlineStr">
        <is>
          <t>UE</t>
        </is>
      </c>
      <c r="E3232" s="5" t="n">
        <v>200009424</v>
      </c>
      <c r="F3232" s="5" t="inlineStr">
        <is>
          <t>1974</t>
        </is>
      </c>
      <c r="G3232" s="5" t="inlineStr">
        <is>
          <t>BRL</t>
        </is>
      </c>
      <c r="H3232" s="9" t="n">
        <v>-7.31</v>
      </c>
      <c r="I3232" s="16" t="n">
        <v>44820</v>
      </c>
      <c r="J3232" s="16" t="n">
        <v>44820</v>
      </c>
      <c r="K3232" s="5" t="inlineStr">
        <is>
          <t>CND FL 81 09/2022</t>
        </is>
      </c>
      <c r="L3232" s="5" t="inlineStr">
        <is>
          <t>400000.210101</t>
        </is>
      </c>
      <c r="M3232" s="5">
        <f>IF(YEAR(I3232)&lt;=2020,"Até 2020",TEXT(YEAR(I3232),"0"))</f>
        <v/>
      </c>
      <c r="N3232" s="5">
        <f>IFERROR(INDEX(DePara!$A:$A,MATCH(TEXT(B3232,"0"),DePara!$D:$D,0)),"(sem categoria)")</f>
        <v/>
      </c>
      <c r="O3232" s="5">
        <f>IF(J3232="","",Parametros!$B$6-J3232)</f>
        <v/>
      </c>
      <c r="P3232" s="5">
        <f>IF(O3232="","",IF(O3232&gt;0,1,0))</f>
        <v/>
      </c>
    </row>
    <row r="3233">
      <c r="A3233" s="5" t="n">
        <v>2111000000</v>
      </c>
      <c r="B3233" s="5" t="inlineStr">
        <is>
          <t>101746</t>
        </is>
      </c>
      <c r="C3233" s="5" t="inlineStr">
        <is>
          <t>SECRETARIA DA FAZENDA DO ESTADO DO</t>
        </is>
      </c>
      <c r="D3233" s="5" t="inlineStr">
        <is>
          <t>UE</t>
        </is>
      </c>
      <c r="E3233" s="5" t="n">
        <v>200009502</v>
      </c>
      <c r="F3233" s="5" t="inlineStr">
        <is>
          <t>2043</t>
        </is>
      </c>
      <c r="G3233" s="5" t="inlineStr">
        <is>
          <t>BRL</t>
        </is>
      </c>
      <c r="H3233" s="9" t="n">
        <v>-171</v>
      </c>
      <c r="I3233" s="16" t="n">
        <v>43507</v>
      </c>
      <c r="J3233" s="16" t="n">
        <v>43507</v>
      </c>
      <c r="K3233" s="5" t="inlineStr">
        <is>
          <t>110219</t>
        </is>
      </c>
      <c r="L3233" s="5" t="inlineStr">
        <is>
          <t>400000.210101</t>
        </is>
      </c>
      <c r="M3233" s="5">
        <f>IF(YEAR(I3233)&lt;=2020,"Até 2020",TEXT(YEAR(I3233),"0"))</f>
        <v/>
      </c>
      <c r="N3233" s="5">
        <f>IFERROR(INDEX(DePara!$A:$A,MATCH(TEXT(B3233,"0"),DePara!$D:$D,0)),"(sem categoria)")</f>
        <v/>
      </c>
      <c r="O3233" s="5">
        <f>IF(J3233="","",Parametros!$B$6-J3233)</f>
        <v/>
      </c>
      <c r="P3233" s="5">
        <f>IF(O3233="","",IF(O3233&gt;0,1,0))</f>
        <v/>
      </c>
    </row>
    <row r="3234">
      <c r="A3234" s="5" t="n">
        <v>2111000000</v>
      </c>
      <c r="B3234" s="5" t="inlineStr">
        <is>
          <t>101746</t>
        </is>
      </c>
      <c r="C3234" s="5" t="inlineStr">
        <is>
          <t>SECRETARIA DA FAZENDA DO ESTADO DO</t>
        </is>
      </c>
      <c r="D3234" s="5" t="inlineStr">
        <is>
          <t>UE</t>
        </is>
      </c>
      <c r="E3234" s="5" t="n">
        <v>200009503</v>
      </c>
      <c r="F3234" s="5" t="inlineStr">
        <is>
          <t>2044</t>
        </is>
      </c>
      <c r="G3234" s="5" t="inlineStr">
        <is>
          <t>BRL</t>
        </is>
      </c>
      <c r="H3234" s="9" t="n">
        <v>-171</v>
      </c>
      <c r="I3234" s="16" t="n">
        <v>43489</v>
      </c>
      <c r="J3234" s="16" t="n">
        <v>43489</v>
      </c>
      <c r="K3234" s="5" t="inlineStr">
        <is>
          <t>240119</t>
        </is>
      </c>
      <c r="L3234" s="5" t="inlineStr">
        <is>
          <t>400000.210101</t>
        </is>
      </c>
      <c r="M3234" s="5">
        <f>IF(YEAR(I3234)&lt;=2020,"Até 2020",TEXT(YEAR(I3234),"0"))</f>
        <v/>
      </c>
      <c r="N3234" s="5">
        <f>IFERROR(INDEX(DePara!$A:$A,MATCH(TEXT(B3234,"0"),DePara!$D:$D,0)),"(sem categoria)")</f>
        <v/>
      </c>
      <c r="O3234" s="5">
        <f>IF(J3234="","",Parametros!$B$6-J3234)</f>
        <v/>
      </c>
      <c r="P3234" s="5">
        <f>IF(O3234="","",IF(O3234&gt;0,1,0))</f>
        <v/>
      </c>
    </row>
    <row r="3235">
      <c r="A3235" s="5" t="n">
        <v>2111000000</v>
      </c>
      <c r="B3235" s="5" t="inlineStr">
        <is>
          <t>101746</t>
        </is>
      </c>
      <c r="C3235" s="5" t="inlineStr">
        <is>
          <t>SECRETARIA DA FAZENDA DO ESTADO DO</t>
        </is>
      </c>
      <c r="D3235" s="5" t="inlineStr">
        <is>
          <t>UE</t>
        </is>
      </c>
      <c r="E3235" s="5" t="n">
        <v>200009504</v>
      </c>
      <c r="F3235" s="5" t="inlineStr">
        <is>
          <t>2045</t>
        </is>
      </c>
      <c r="G3235" s="5" t="inlineStr">
        <is>
          <t>BRL</t>
        </is>
      </c>
      <c r="H3235" s="9" t="n">
        <v>-176.5</v>
      </c>
      <c r="I3235" s="16" t="n">
        <v>44013</v>
      </c>
      <c r="J3235" s="16" t="n">
        <v>44013</v>
      </c>
      <c r="K3235" s="5" t="inlineStr">
        <is>
          <t>96002452</t>
        </is>
      </c>
      <c r="L3235" s="5" t="inlineStr">
        <is>
          <t>400000.210101</t>
        </is>
      </c>
      <c r="M3235" s="5">
        <f>IF(YEAR(I3235)&lt;=2020,"Até 2020",TEXT(YEAR(I3235),"0"))</f>
        <v/>
      </c>
      <c r="N3235" s="5">
        <f>IFERROR(INDEX(DePara!$A:$A,MATCH(TEXT(B3235,"0"),DePara!$D:$D,0)),"(sem categoria)")</f>
        <v/>
      </c>
      <c r="O3235" s="5">
        <f>IF(J3235="","",Parametros!$B$6-J3235)</f>
        <v/>
      </c>
      <c r="P3235" s="5">
        <f>IF(O3235="","",IF(O3235&gt;0,1,0))</f>
        <v/>
      </c>
    </row>
    <row r="3236">
      <c r="A3236" s="5" t="n">
        <v>2111000000</v>
      </c>
      <c r="B3236" s="5" t="inlineStr">
        <is>
          <t>101763</t>
        </is>
      </c>
      <c r="C3236" s="5" t="inlineStr">
        <is>
          <t>MUNICIPIO DE LAGOA DO BARRO DO PIAU</t>
        </is>
      </c>
      <c r="D3236" s="5" t="inlineStr">
        <is>
          <t>UE</t>
        </is>
      </c>
      <c r="E3236" s="5" t="n">
        <v>200009507</v>
      </c>
      <c r="F3236" s="5" t="inlineStr">
        <is>
          <t>2048</t>
        </is>
      </c>
      <c r="G3236" s="5" t="inlineStr">
        <is>
          <t>BRL</t>
        </is>
      </c>
      <c r="H3236" s="9" t="n">
        <v>-0.04</v>
      </c>
      <c r="I3236" s="16" t="n">
        <v>44835</v>
      </c>
      <c r="J3236" s="16" t="n">
        <v>44835</v>
      </c>
      <c r="K3236" s="5" t="inlineStr">
        <is>
          <t>2206700</t>
        </is>
      </c>
      <c r="L3236" s="5" t="inlineStr">
        <is>
          <t>475100.210211</t>
        </is>
      </c>
      <c r="M3236" s="5">
        <f>IF(YEAR(I3236)&lt;=2020,"Até 2020",TEXT(YEAR(I3236),"0"))</f>
        <v/>
      </c>
      <c r="N3236" s="5">
        <f>IFERROR(INDEX(DePara!$A:$A,MATCH(TEXT(B3236,"0"),DePara!$D:$D,0)),"(sem categoria)")</f>
        <v/>
      </c>
      <c r="O3236" s="5">
        <f>IF(J3236="","",Parametros!$B$6-J3236)</f>
        <v/>
      </c>
      <c r="P3236" s="5">
        <f>IF(O3236="","",IF(O3236&gt;0,1,0))</f>
        <v/>
      </c>
    </row>
    <row r="3237">
      <c r="A3237" s="5" t="n">
        <v>2111000000</v>
      </c>
      <c r="B3237" s="5" t="inlineStr">
        <is>
          <t>101320</t>
        </is>
      </c>
      <c r="C3237" s="5" t="inlineStr">
        <is>
          <t>MUNICIPIO DE QUEIMADA NOVA</t>
        </is>
      </c>
      <c r="D3237" s="5" t="inlineStr">
        <is>
          <t>UE</t>
        </is>
      </c>
      <c r="E3237" s="5" t="n">
        <v>200009529</v>
      </c>
      <c r="F3237" s="5" t="inlineStr">
        <is>
          <t>2068</t>
        </is>
      </c>
      <c r="G3237" s="5" t="inlineStr">
        <is>
          <t>BRL</t>
        </is>
      </c>
      <c r="H3237" s="9" t="n">
        <v>-5735.9</v>
      </c>
      <c r="I3237" s="16" t="n">
        <v>44649</v>
      </c>
      <c r="J3237" s="16" t="n">
        <v>44649</v>
      </c>
      <c r="K3237" s="5" t="inlineStr">
        <is>
          <t>18939</t>
        </is>
      </c>
      <c r="L3237" s="5" t="inlineStr">
        <is>
          <t>400000.210101</t>
        </is>
      </c>
      <c r="M3237" s="5">
        <f>IF(YEAR(I3237)&lt;=2020,"Até 2020",TEXT(YEAR(I3237),"0"))</f>
        <v/>
      </c>
      <c r="N3237" s="5">
        <f>IFERROR(INDEX(DePara!$A:$A,MATCH(TEXT(B3237,"0"),DePara!$D:$D,0)),"(sem categoria)")</f>
        <v/>
      </c>
      <c r="O3237" s="5">
        <f>IF(J3237="","",Parametros!$B$6-J3237)</f>
        <v/>
      </c>
      <c r="P3237" s="5">
        <f>IF(O3237="","",IF(O3237&gt;0,1,0))</f>
        <v/>
      </c>
    </row>
    <row r="3238">
      <c r="A3238" s="5" t="n">
        <v>2111000000</v>
      </c>
      <c r="B3238" s="5" t="inlineStr">
        <is>
          <t>101358</t>
        </is>
      </c>
      <c r="C3238" s="5" t="inlineStr">
        <is>
          <t>MUNICIPIO DE LAJES</t>
        </is>
      </c>
      <c r="D3238" s="5" t="inlineStr">
        <is>
          <t>UE</t>
        </is>
      </c>
      <c r="E3238" s="5" t="n">
        <v>200009575</v>
      </c>
      <c r="F3238" s="5" t="inlineStr">
        <is>
          <t>2109</t>
        </is>
      </c>
      <c r="G3238" s="5" t="inlineStr">
        <is>
          <t>BRL</t>
        </is>
      </c>
      <c r="H3238" s="9" t="n">
        <v>-7140.93</v>
      </c>
      <c r="I3238" s="16" t="n">
        <v>44957</v>
      </c>
      <c r="J3238" s="16" t="n">
        <v>44957</v>
      </c>
      <c r="K3238" s="5" t="inlineStr">
        <is>
          <t>1582007414.</t>
        </is>
      </c>
      <c r="L3238" s="5" t="inlineStr">
        <is>
          <t>475100.210211</t>
        </is>
      </c>
      <c r="M3238" s="5">
        <f>IF(YEAR(I3238)&lt;=2020,"Até 2020",TEXT(YEAR(I3238),"0"))</f>
        <v/>
      </c>
      <c r="N3238" s="5">
        <f>IFERROR(INDEX(DePara!$A:$A,MATCH(TEXT(B3238,"0"),DePara!$D:$D,0)),"(sem categoria)")</f>
        <v/>
      </c>
      <c r="O3238" s="5">
        <f>IF(J3238="","",Parametros!$B$6-J3238)</f>
        <v/>
      </c>
      <c r="P3238" s="5">
        <f>IF(O3238="","",IF(O3238&gt;0,1,0))</f>
        <v/>
      </c>
    </row>
    <row r="3239">
      <c r="A3239" s="5" t="n">
        <v>2111000000</v>
      </c>
      <c r="B3239" s="5" t="inlineStr">
        <is>
          <t>101043</t>
        </is>
      </c>
      <c r="C3239" s="5" t="inlineStr">
        <is>
          <t>AEROPORTO BRASIL VIRACOPOS SA</t>
        </is>
      </c>
      <c r="D3239" s="5" t="inlineStr">
        <is>
          <t>UE</t>
        </is>
      </c>
      <c r="E3239" s="5" t="n">
        <v>200009580</v>
      </c>
      <c r="F3239" s="5" t="inlineStr">
        <is>
          <t>2113</t>
        </is>
      </c>
      <c r="G3239" s="5" t="inlineStr">
        <is>
          <t>BRL</t>
        </is>
      </c>
      <c r="H3239" s="9" t="n">
        <v>-2231.23</v>
      </c>
      <c r="I3239" s="16" t="n">
        <v>43661</v>
      </c>
      <c r="J3239" s="16" t="n">
        <v>43661</v>
      </c>
      <c r="K3239" s="5" t="inlineStr">
        <is>
          <t>207682401000</t>
        </is>
      </c>
      <c r="L3239" s="5" t="inlineStr">
        <is>
          <t>400000.210101</t>
        </is>
      </c>
      <c r="M3239" s="5">
        <f>IF(YEAR(I3239)&lt;=2020,"Até 2020",TEXT(YEAR(I3239),"0"))</f>
        <v/>
      </c>
      <c r="N3239" s="5">
        <f>IFERROR(INDEX(DePara!$A:$A,MATCH(TEXT(B3239,"0"),DePara!$D:$D,0)),"(sem categoria)")</f>
        <v/>
      </c>
      <c r="O3239" s="5">
        <f>IF(J3239="","",Parametros!$B$6-J3239)</f>
        <v/>
      </c>
      <c r="P3239" s="5">
        <f>IF(O3239="","",IF(O3239&gt;0,1,0))</f>
        <v/>
      </c>
    </row>
    <row r="3240">
      <c r="A3240" s="5" t="n">
        <v>2111000000</v>
      </c>
      <c r="B3240" s="5" t="inlineStr">
        <is>
          <t>101215</t>
        </is>
      </c>
      <c r="C3240" s="5" t="inlineStr">
        <is>
          <t>ECOPORTO SANTOS SA</t>
        </is>
      </c>
      <c r="D3240" s="5" t="inlineStr">
        <is>
          <t>UE</t>
        </is>
      </c>
      <c r="E3240" s="5" t="n">
        <v>200009608</v>
      </c>
      <c r="F3240" s="5" t="inlineStr">
        <is>
          <t>2139</t>
        </is>
      </c>
      <c r="G3240" s="5" t="inlineStr">
        <is>
          <t>BRL</t>
        </is>
      </c>
      <c r="H3240" s="9" t="n">
        <v>-15094.2</v>
      </c>
      <c r="I3240" s="16" t="n">
        <v>44560</v>
      </c>
      <c r="J3240" s="16" t="n">
        <v>44560</v>
      </c>
      <c r="K3240" s="5" t="inlineStr">
        <is>
          <t>976720</t>
        </is>
      </c>
      <c r="L3240" s="5" t="inlineStr">
        <is>
          <t>400000.210101</t>
        </is>
      </c>
      <c r="M3240" s="5">
        <f>IF(YEAR(I3240)&lt;=2020,"Até 2020",TEXT(YEAR(I3240),"0"))</f>
        <v/>
      </c>
      <c r="N3240" s="5">
        <f>IFERROR(INDEX(DePara!$A:$A,MATCH(TEXT(B3240,"0"),DePara!$D:$D,0)),"(sem categoria)")</f>
        <v/>
      </c>
      <c r="O3240" s="5">
        <f>IF(J3240="","",Parametros!$B$6-J3240)</f>
        <v/>
      </c>
      <c r="P3240" s="5">
        <f>IF(O3240="","",IF(O3240&gt;0,1,0))</f>
        <v/>
      </c>
    </row>
    <row r="3241">
      <c r="A3241" s="5" t="n">
        <v>2111000000</v>
      </c>
      <c r="B3241" s="5" t="inlineStr">
        <is>
          <t>100800</t>
        </is>
      </c>
      <c r="C3241" s="5" t="inlineStr">
        <is>
          <t>TOXICLIN SERVICOS MEDICOS EIRELI</t>
        </is>
      </c>
      <c r="D3241" s="5" t="inlineStr">
        <is>
          <t>UE</t>
        </is>
      </c>
      <c r="E3241" s="5" t="n">
        <v>200009610</v>
      </c>
      <c r="F3241" s="5" t="inlineStr">
        <is>
          <t>2140</t>
        </is>
      </c>
      <c r="G3241" s="5" t="inlineStr">
        <is>
          <t>BRL</t>
        </is>
      </c>
      <c r="H3241" s="9" t="n">
        <v>-656.95</v>
      </c>
      <c r="I3241" s="16" t="n">
        <v>44544</v>
      </c>
      <c r="J3241" s="16" t="n">
        <v>44544</v>
      </c>
      <c r="K3241" s="5" t="inlineStr">
        <is>
          <t>7237</t>
        </is>
      </c>
      <c r="L3241" s="5" t="inlineStr">
        <is>
          <t>400000.210101</t>
        </is>
      </c>
      <c r="M3241" s="5">
        <f>IF(YEAR(I3241)&lt;=2020,"Até 2020",TEXT(YEAR(I3241),"0"))</f>
        <v/>
      </c>
      <c r="N3241" s="5">
        <f>IFERROR(INDEX(DePara!$A:$A,MATCH(TEXT(B3241,"0"),DePara!$D:$D,0)),"(sem categoria)")</f>
        <v/>
      </c>
      <c r="O3241" s="5">
        <f>IF(J3241="","",Parametros!$B$6-J3241)</f>
        <v/>
      </c>
      <c r="P3241" s="5">
        <f>IF(O3241="","",IF(O3241&gt;0,1,0))</f>
        <v/>
      </c>
    </row>
    <row r="3242">
      <c r="A3242" s="5" t="n">
        <v>2111000000</v>
      </c>
      <c r="B3242" s="5" t="inlineStr">
        <is>
          <t>100877</t>
        </is>
      </c>
      <c r="C3242" s="5" t="inlineStr">
        <is>
          <t>TRANSPORTES AEREOS PORTUGUESES SA</t>
        </is>
      </c>
      <c r="D3242" s="5" t="inlineStr">
        <is>
          <t>UE</t>
        </is>
      </c>
      <c r="E3242" s="5" t="n">
        <v>200009611</v>
      </c>
      <c r="F3242" s="5" t="inlineStr">
        <is>
          <t>2141</t>
        </is>
      </c>
      <c r="G3242" s="5" t="inlineStr">
        <is>
          <t>BRL</t>
        </is>
      </c>
      <c r="H3242" s="9" t="n">
        <v>-150</v>
      </c>
      <c r="I3242" s="16" t="n">
        <v>44658</v>
      </c>
      <c r="J3242" s="16" t="n">
        <v>44658</v>
      </c>
      <c r="K3242" s="5" t="inlineStr">
        <is>
          <t>624/22</t>
        </is>
      </c>
      <c r="L3242" s="5" t="inlineStr">
        <is>
          <t>400000.210101</t>
        </is>
      </c>
      <c r="M3242" s="5">
        <f>IF(YEAR(I3242)&lt;=2020,"Até 2020",TEXT(YEAR(I3242),"0"))</f>
        <v/>
      </c>
      <c r="N3242" s="5">
        <f>IFERROR(INDEX(DePara!$A:$A,MATCH(TEXT(B3242,"0"),DePara!$D:$D,0)),"(sem categoria)")</f>
        <v/>
      </c>
      <c r="O3242" s="5">
        <f>IF(J3242="","",Parametros!$B$6-J3242)</f>
        <v/>
      </c>
      <c r="P3242" s="5">
        <f>IF(O3242="","",IF(O3242&gt;0,1,0))</f>
        <v/>
      </c>
    </row>
    <row r="3243">
      <c r="A3243" s="5" t="n">
        <v>2111000000</v>
      </c>
      <c r="B3243" s="5" t="inlineStr">
        <is>
          <t>100014</t>
        </is>
      </c>
      <c r="C3243" s="5" t="inlineStr">
        <is>
          <t xml:space="preserve"> TRANSITEX DO BRASIL SERVIÇOS DE LO</t>
        </is>
      </c>
      <c r="D3243" s="5" t="inlineStr">
        <is>
          <t>UE</t>
        </is>
      </c>
      <c r="E3243" s="5" t="n">
        <v>200009618</v>
      </c>
      <c r="F3243" s="5" t="inlineStr">
        <is>
          <t>2148</t>
        </is>
      </c>
      <c r="G3243" s="5" t="inlineStr">
        <is>
          <t>BRL</t>
        </is>
      </c>
      <c r="H3243" s="9" t="n">
        <v>-1967.5</v>
      </c>
      <c r="I3243" s="16" t="n">
        <v>44559</v>
      </c>
      <c r="J3243" s="16" t="n">
        <v>44559</v>
      </c>
      <c r="K3243" s="5" t="inlineStr">
        <is>
          <t>9100002515</t>
        </is>
      </c>
      <c r="L3243" s="5" t="inlineStr">
        <is>
          <t>400000.210101</t>
        </is>
      </c>
      <c r="M3243" s="5">
        <f>IF(YEAR(I3243)&lt;=2020,"Até 2020",TEXT(YEAR(I3243),"0"))</f>
        <v/>
      </c>
      <c r="N3243" s="5">
        <f>IFERROR(INDEX(DePara!$A:$A,MATCH(TEXT(B3243,"0"),DePara!$D:$D,0)),"(sem categoria)")</f>
        <v/>
      </c>
      <c r="O3243" s="5">
        <f>IF(J3243="","",Parametros!$B$6-J3243)</f>
        <v/>
      </c>
      <c r="P3243" s="5">
        <f>IF(O3243="","",IF(O3243&gt;0,1,0))</f>
        <v/>
      </c>
    </row>
    <row r="3244">
      <c r="A3244" s="5" t="n">
        <v>2111000000</v>
      </c>
      <c r="B3244" s="5" t="inlineStr">
        <is>
          <t>101041</t>
        </is>
      </c>
      <c r="C3244" s="5" t="inlineStr">
        <is>
          <t>DSV UTI AIR &amp; SEA AGENCIAMENTO DE T</t>
        </is>
      </c>
      <c r="D3244" s="5" t="inlineStr">
        <is>
          <t>UE</t>
        </is>
      </c>
      <c r="E3244" s="5" t="n">
        <v>200010008</v>
      </c>
      <c r="F3244" s="5" t="inlineStr">
        <is>
          <t>17292</t>
        </is>
      </c>
      <c r="G3244" s="5" t="inlineStr">
        <is>
          <t>BRL</t>
        </is>
      </c>
      <c r="H3244" s="9" t="n">
        <v>-766.12</v>
      </c>
      <c r="I3244" s="16" t="n">
        <v>43782</v>
      </c>
      <c r="J3244" s="16" t="n">
        <v>43782</v>
      </c>
      <c r="K3244" s="5" t="inlineStr">
        <is>
          <t>965893</t>
        </is>
      </c>
      <c r="L3244" s="5" t="inlineStr">
        <is>
          <t>400000.210101</t>
        </is>
      </c>
      <c r="M3244" s="5">
        <f>IF(YEAR(I3244)&lt;=2020,"Até 2020",TEXT(YEAR(I3244),"0"))</f>
        <v/>
      </c>
      <c r="N3244" s="5">
        <f>IFERROR(INDEX(DePara!$A:$A,MATCH(TEXT(B3244,"0"),DePara!$D:$D,0)),"(sem categoria)")</f>
        <v/>
      </c>
      <c r="O3244" s="5">
        <f>IF(J3244="","",Parametros!$B$6-J3244)</f>
        <v/>
      </c>
      <c r="P3244" s="5">
        <f>IF(O3244="","",IF(O3244&gt;0,1,0))</f>
        <v/>
      </c>
    </row>
    <row r="3245">
      <c r="A3245" s="5" t="n">
        <v>2111000000</v>
      </c>
      <c r="B3245" s="5" t="inlineStr">
        <is>
          <t>102297</t>
        </is>
      </c>
      <c r="C3245" s="5" t="inlineStr">
        <is>
          <t>ENEDINO DANIEL DA SILVA</t>
        </is>
      </c>
      <c r="D3245" s="5" t="inlineStr">
        <is>
          <t>UE</t>
        </is>
      </c>
      <c r="E3245" s="5" t="n">
        <v>200010026</v>
      </c>
      <c r="F3245" s="5" t="inlineStr">
        <is>
          <t>17308</t>
        </is>
      </c>
      <c r="G3245" s="5" t="inlineStr">
        <is>
          <t>BRL</t>
        </is>
      </c>
      <c r="H3245" s="9" t="n">
        <v>-4000</v>
      </c>
      <c r="I3245" s="16" t="n">
        <v>45110</v>
      </c>
      <c r="J3245" s="16" t="n">
        <v>45110</v>
      </c>
      <c r="K3245" s="5" t="inlineStr">
        <is>
          <t>1180142</t>
        </is>
      </c>
      <c r="L3245" s="5" t="inlineStr">
        <is>
          <t>400000.210101</t>
        </is>
      </c>
      <c r="M3245" s="5">
        <f>IF(YEAR(I3245)&lt;=2020,"Até 2020",TEXT(YEAR(I3245),"0"))</f>
        <v/>
      </c>
      <c r="N3245" s="5">
        <f>IFERROR(INDEX(DePara!$A:$A,MATCH(TEXT(B3245,"0"),DePara!$D:$D,0)),"(sem categoria)")</f>
        <v/>
      </c>
      <c r="O3245" s="5">
        <f>IF(J3245="","",Parametros!$B$6-J3245)</f>
        <v/>
      </c>
      <c r="P3245" s="5">
        <f>IF(O3245="","",IF(O3245&gt;0,1,0))</f>
        <v/>
      </c>
    </row>
    <row r="3246">
      <c r="A3246" s="5" t="n">
        <v>2111000000</v>
      </c>
      <c r="B3246" s="5" t="inlineStr">
        <is>
          <t>102008</t>
        </is>
      </c>
      <c r="C3246" s="5" t="inlineStr">
        <is>
          <t>MUNICIPIO DE ITAREMA</t>
        </is>
      </c>
      <c r="D3246" s="5" t="inlineStr">
        <is>
          <t>UE</t>
        </is>
      </c>
      <c r="E3246" s="5" t="n">
        <v>200010044</v>
      </c>
      <c r="F3246" s="5" t="inlineStr">
        <is>
          <t>17324</t>
        </is>
      </c>
      <c r="G3246" s="5" t="inlineStr">
        <is>
          <t>BRL</t>
        </is>
      </c>
      <c r="H3246" s="9" t="n">
        <v>-620</v>
      </c>
      <c r="I3246" s="16" t="n">
        <v>44971</v>
      </c>
      <c r="J3246" s="16" t="n">
        <v>44971</v>
      </c>
      <c r="K3246" s="5" t="inlineStr">
        <is>
          <t>1157415</t>
        </is>
      </c>
      <c r="L3246" s="5" t="inlineStr">
        <is>
          <t>475100.210211</t>
        </is>
      </c>
      <c r="M3246" s="5">
        <f>IF(YEAR(I3246)&lt;=2020,"Até 2020",TEXT(YEAR(I3246),"0"))</f>
        <v/>
      </c>
      <c r="N3246" s="5">
        <f>IFERROR(INDEX(DePara!$A:$A,MATCH(TEXT(B3246,"0"),DePara!$D:$D,0)),"(sem categoria)")</f>
        <v/>
      </c>
      <c r="O3246" s="5">
        <f>IF(J3246="","",Parametros!$B$6-J3246)</f>
        <v/>
      </c>
      <c r="P3246" s="5">
        <f>IF(O3246="","",IF(O3246&gt;0,1,0))</f>
        <v/>
      </c>
    </row>
    <row r="3247">
      <c r="A3247" s="5" t="n">
        <v>2111000000</v>
      </c>
      <c r="B3247" s="5" t="inlineStr">
        <is>
          <t>102008</t>
        </is>
      </c>
      <c r="C3247" s="5" t="inlineStr">
        <is>
          <t>MUNICIPIO DE ITAREMA</t>
        </is>
      </c>
      <c r="D3247" s="5" t="inlineStr">
        <is>
          <t>UE</t>
        </is>
      </c>
      <c r="E3247" s="5" t="n">
        <v>200010045</v>
      </c>
      <c r="F3247" s="5" t="inlineStr">
        <is>
          <t>17325</t>
        </is>
      </c>
      <c r="G3247" s="5" t="inlineStr">
        <is>
          <t>BRL</t>
        </is>
      </c>
      <c r="H3247" s="9" t="n">
        <v>-620</v>
      </c>
      <c r="I3247" s="16" t="n">
        <v>45030</v>
      </c>
      <c r="J3247" s="16" t="n">
        <v>45030</v>
      </c>
      <c r="K3247" s="5" t="inlineStr">
        <is>
          <t>1167466</t>
        </is>
      </c>
      <c r="L3247" s="5" t="inlineStr">
        <is>
          <t>475100.210211</t>
        </is>
      </c>
      <c r="M3247" s="5">
        <f>IF(YEAR(I3247)&lt;=2020,"Até 2020",TEXT(YEAR(I3247),"0"))</f>
        <v/>
      </c>
      <c r="N3247" s="5">
        <f>IFERROR(INDEX(DePara!$A:$A,MATCH(TEXT(B3247,"0"),DePara!$D:$D,0)),"(sem categoria)")</f>
        <v/>
      </c>
      <c r="O3247" s="5">
        <f>IF(J3247="","",Parametros!$B$6-J3247)</f>
        <v/>
      </c>
      <c r="P3247" s="5">
        <f>IF(O3247="","",IF(O3247&gt;0,1,0))</f>
        <v/>
      </c>
    </row>
    <row r="3248">
      <c r="A3248" s="5" t="n">
        <v>2111000000</v>
      </c>
      <c r="B3248" s="5" t="inlineStr">
        <is>
          <t>101358</t>
        </is>
      </c>
      <c r="C3248" s="5" t="inlineStr">
        <is>
          <t>MUNICIPIO DE LAJES</t>
        </is>
      </c>
      <c r="D3248" s="5" t="inlineStr">
        <is>
          <t>UE</t>
        </is>
      </c>
      <c r="E3248" s="5" t="n">
        <v>200010064</v>
      </c>
      <c r="F3248" s="5" t="inlineStr">
        <is>
          <t>17342</t>
        </is>
      </c>
      <c r="G3248" s="5" t="inlineStr">
        <is>
          <t>BRL</t>
        </is>
      </c>
      <c r="H3248" s="9" t="n">
        <v>-69546.09</v>
      </c>
      <c r="I3248" s="16" t="n">
        <v>44895</v>
      </c>
      <c r="J3248" s="16" t="n">
        <v>44895</v>
      </c>
      <c r="K3248" s="5" t="inlineStr">
        <is>
          <t>1138349</t>
        </is>
      </c>
      <c r="L3248" s="5" t="inlineStr">
        <is>
          <t>475100.210211</t>
        </is>
      </c>
      <c r="M3248" s="5">
        <f>IF(YEAR(I3248)&lt;=2020,"Até 2020",TEXT(YEAR(I3248),"0"))</f>
        <v/>
      </c>
      <c r="N3248" s="5">
        <f>IFERROR(INDEX(DePara!$A:$A,MATCH(TEXT(B3248,"0"),DePara!$D:$D,0)),"(sem categoria)")</f>
        <v/>
      </c>
      <c r="O3248" s="5">
        <f>IF(J3248="","",Parametros!$B$6-J3248)</f>
        <v/>
      </c>
      <c r="P3248" s="5">
        <f>IF(O3248="","",IF(O3248&gt;0,1,0))</f>
        <v/>
      </c>
    </row>
    <row r="3249">
      <c r="A3249" s="5" t="n">
        <v>2111000000</v>
      </c>
      <c r="B3249" s="5" t="inlineStr">
        <is>
          <t>101358</t>
        </is>
      </c>
      <c r="C3249" s="5" t="inlineStr">
        <is>
          <t>MUNICIPIO DE LAJES</t>
        </is>
      </c>
      <c r="D3249" s="5" t="inlineStr">
        <is>
          <t>UE</t>
        </is>
      </c>
      <c r="E3249" s="5" t="n">
        <v>200010068</v>
      </c>
      <c r="F3249" s="5" t="inlineStr">
        <is>
          <t>17346</t>
        </is>
      </c>
      <c r="G3249" s="5" t="inlineStr">
        <is>
          <t>BRL</t>
        </is>
      </c>
      <c r="H3249" s="9" t="n">
        <v>-101000.4</v>
      </c>
      <c r="I3249" s="16" t="n">
        <v>44943</v>
      </c>
      <c r="J3249" s="16" t="n">
        <v>44943</v>
      </c>
      <c r="K3249" s="5" t="inlineStr">
        <is>
          <t>1149955</t>
        </is>
      </c>
      <c r="L3249" s="5" t="inlineStr">
        <is>
          <t>475100.210211</t>
        </is>
      </c>
      <c r="M3249" s="5">
        <f>IF(YEAR(I3249)&lt;=2020,"Até 2020",TEXT(YEAR(I3249),"0"))</f>
        <v/>
      </c>
      <c r="N3249" s="5">
        <f>IFERROR(INDEX(DePara!$A:$A,MATCH(TEXT(B3249,"0"),DePara!$D:$D,0)),"(sem categoria)")</f>
        <v/>
      </c>
      <c r="O3249" s="5">
        <f>IF(J3249="","",Parametros!$B$6-J3249)</f>
        <v/>
      </c>
      <c r="P3249" s="5">
        <f>IF(O3249="","",IF(O3249&gt;0,1,0))</f>
        <v/>
      </c>
    </row>
    <row r="3250">
      <c r="A3250" s="5" t="n">
        <v>2111000000</v>
      </c>
      <c r="B3250" s="5" t="inlineStr">
        <is>
          <t>101358</t>
        </is>
      </c>
      <c r="C3250" s="5" t="inlineStr">
        <is>
          <t>MUNICIPIO DE LAJES</t>
        </is>
      </c>
      <c r="D3250" s="5" t="inlineStr">
        <is>
          <t>UE</t>
        </is>
      </c>
      <c r="E3250" s="5" t="n">
        <v>200010097</v>
      </c>
      <c r="F3250" s="5" t="inlineStr">
        <is>
          <t>17372</t>
        </is>
      </c>
      <c r="G3250" s="5" t="inlineStr">
        <is>
          <t>BRL</t>
        </is>
      </c>
      <c r="H3250" s="9" t="n">
        <v>-4877.95</v>
      </c>
      <c r="I3250" s="16" t="n">
        <v>44915</v>
      </c>
      <c r="J3250" s="16" t="n">
        <v>44915</v>
      </c>
      <c r="K3250" s="5" t="inlineStr">
        <is>
          <t>1148399</t>
        </is>
      </c>
      <c r="L3250" s="5" t="inlineStr">
        <is>
          <t>475100.210211</t>
        </is>
      </c>
      <c r="M3250" s="5">
        <f>IF(YEAR(I3250)&lt;=2020,"Até 2020",TEXT(YEAR(I3250),"0"))</f>
        <v/>
      </c>
      <c r="N3250" s="5">
        <f>IFERROR(INDEX(DePara!$A:$A,MATCH(TEXT(B3250,"0"),DePara!$D:$D,0)),"(sem categoria)")</f>
        <v/>
      </c>
      <c r="O3250" s="5">
        <f>IF(J3250="","",Parametros!$B$6-J3250)</f>
        <v/>
      </c>
      <c r="P3250" s="5">
        <f>IF(O3250="","",IF(O3250&gt;0,1,0))</f>
        <v/>
      </c>
    </row>
    <row r="3251">
      <c r="A3251" s="5" t="n">
        <v>2111000000</v>
      </c>
      <c r="B3251" s="5" t="inlineStr">
        <is>
          <t>101358</t>
        </is>
      </c>
      <c r="C3251" s="5" t="inlineStr">
        <is>
          <t>MUNICIPIO DE LAJES</t>
        </is>
      </c>
      <c r="D3251" s="5" t="inlineStr">
        <is>
          <t>UE</t>
        </is>
      </c>
      <c r="E3251" s="5" t="n">
        <v>200010099</v>
      </c>
      <c r="F3251" s="5" t="inlineStr">
        <is>
          <t>17374</t>
        </is>
      </c>
      <c r="G3251" s="5" t="inlineStr">
        <is>
          <t>BRL</t>
        </is>
      </c>
      <c r="H3251" s="9" t="n">
        <v>-33.28</v>
      </c>
      <c r="I3251" s="16" t="n">
        <v>44929</v>
      </c>
      <c r="J3251" s="16" t="n">
        <v>44929</v>
      </c>
      <c r="K3251" s="5" t="inlineStr">
        <is>
          <t>1149533</t>
        </is>
      </c>
      <c r="L3251" s="5" t="inlineStr">
        <is>
          <t>475100.210211</t>
        </is>
      </c>
      <c r="M3251" s="5">
        <f>IF(YEAR(I3251)&lt;=2020,"Até 2020",TEXT(YEAR(I3251),"0"))</f>
        <v/>
      </c>
      <c r="N3251" s="5">
        <f>IFERROR(INDEX(DePara!$A:$A,MATCH(TEXT(B3251,"0"),DePara!$D:$D,0)),"(sem categoria)")</f>
        <v/>
      </c>
      <c r="O3251" s="5">
        <f>IF(J3251="","",Parametros!$B$6-J3251)</f>
        <v/>
      </c>
      <c r="P3251" s="5">
        <f>IF(O3251="","",IF(O3251&gt;0,1,0))</f>
        <v/>
      </c>
    </row>
    <row r="3252">
      <c r="A3252" s="5" t="n">
        <v>2111000000</v>
      </c>
      <c r="B3252" s="5" t="inlineStr">
        <is>
          <t>100759</t>
        </is>
      </c>
      <c r="C3252" s="5" t="inlineStr">
        <is>
          <t>MUNICIPIO DE UIBAI</t>
        </is>
      </c>
      <c r="D3252" s="5" t="inlineStr">
        <is>
          <t>UE</t>
        </is>
      </c>
      <c r="E3252" s="5" t="n">
        <v>200010100</v>
      </c>
      <c r="F3252" s="5" t="inlineStr">
        <is>
          <t>17375</t>
        </is>
      </c>
      <c r="G3252" s="5" t="inlineStr">
        <is>
          <t>BRL</t>
        </is>
      </c>
      <c r="H3252" s="9" t="n">
        <v>-289.5</v>
      </c>
      <c r="I3252" s="16" t="n">
        <v>44904</v>
      </c>
      <c r="J3252" s="16" t="n">
        <v>44904</v>
      </c>
      <c r="K3252" s="5" t="inlineStr">
        <is>
          <t>1151789</t>
        </is>
      </c>
      <c r="L3252" s="5" t="inlineStr">
        <is>
          <t>475100.210211</t>
        </is>
      </c>
      <c r="M3252" s="5">
        <f>IF(YEAR(I3252)&lt;=2020,"Até 2020",TEXT(YEAR(I3252),"0"))</f>
        <v/>
      </c>
      <c r="N3252" s="5">
        <f>IFERROR(INDEX(DePara!$A:$A,MATCH(TEXT(B3252,"0"),DePara!$D:$D,0)),"(sem categoria)")</f>
        <v/>
      </c>
      <c r="O3252" s="5">
        <f>IF(J3252="","",Parametros!$B$6-J3252)</f>
        <v/>
      </c>
      <c r="P3252" s="5">
        <f>IF(O3252="","",IF(O3252&gt;0,1,0))</f>
        <v/>
      </c>
    </row>
    <row r="3253">
      <c r="A3253" s="5" t="n">
        <v>2111000000</v>
      </c>
      <c r="B3253" s="5" t="inlineStr">
        <is>
          <t>101358</t>
        </is>
      </c>
      <c r="C3253" s="5" t="inlineStr">
        <is>
          <t>MUNICIPIO DE LAJES</t>
        </is>
      </c>
      <c r="D3253" s="5" t="inlineStr">
        <is>
          <t>UE</t>
        </is>
      </c>
      <c r="E3253" s="5" t="n">
        <v>200010102</v>
      </c>
      <c r="F3253" s="5" t="inlineStr">
        <is>
          <t>17377</t>
        </is>
      </c>
      <c r="G3253" s="5" t="inlineStr">
        <is>
          <t>BRL</t>
        </is>
      </c>
      <c r="H3253" s="9" t="n">
        <v>-6168.04</v>
      </c>
      <c r="I3253" s="16" t="n">
        <v>44963</v>
      </c>
      <c r="J3253" s="16" t="n">
        <v>44963</v>
      </c>
      <c r="K3253" s="5" t="inlineStr">
        <is>
          <t>1155352</t>
        </is>
      </c>
      <c r="L3253" s="5" t="inlineStr">
        <is>
          <t>475100.210211</t>
        </is>
      </c>
      <c r="M3253" s="5">
        <f>IF(YEAR(I3253)&lt;=2020,"Até 2020",TEXT(YEAR(I3253),"0"))</f>
        <v/>
      </c>
      <c r="N3253" s="5">
        <f>IFERROR(INDEX(DePara!$A:$A,MATCH(TEXT(B3253,"0"),DePara!$D:$D,0)),"(sem categoria)")</f>
        <v/>
      </c>
      <c r="O3253" s="5">
        <f>IF(J3253="","",Parametros!$B$6-J3253)</f>
        <v/>
      </c>
      <c r="P3253" s="5">
        <f>IF(O3253="","",IF(O3253&gt;0,1,0))</f>
        <v/>
      </c>
    </row>
    <row r="3254">
      <c r="A3254" s="5" t="n">
        <v>2111000000</v>
      </c>
      <c r="B3254" s="5" t="inlineStr">
        <is>
          <t>101358</t>
        </is>
      </c>
      <c r="C3254" s="5" t="inlineStr">
        <is>
          <t>MUNICIPIO DE LAJES</t>
        </is>
      </c>
      <c r="D3254" s="5" t="inlineStr">
        <is>
          <t>UE</t>
        </is>
      </c>
      <c r="E3254" s="5" t="n">
        <v>200010103</v>
      </c>
      <c r="F3254" s="5" t="inlineStr">
        <is>
          <t>17378</t>
        </is>
      </c>
      <c r="G3254" s="5" t="inlineStr">
        <is>
          <t>BRL</t>
        </is>
      </c>
      <c r="H3254" s="9" t="n">
        <v>-6168.04</v>
      </c>
      <c r="I3254" s="16" t="n">
        <v>44986</v>
      </c>
      <c r="J3254" s="16" t="n">
        <v>44986</v>
      </c>
      <c r="K3254" s="5" t="inlineStr">
        <is>
          <t>1163469</t>
        </is>
      </c>
      <c r="L3254" s="5" t="inlineStr">
        <is>
          <t>475100.210211</t>
        </is>
      </c>
      <c r="M3254" s="5">
        <f>IF(YEAR(I3254)&lt;=2020,"Até 2020",TEXT(YEAR(I3254),"0"))</f>
        <v/>
      </c>
      <c r="N3254" s="5">
        <f>IFERROR(INDEX(DePara!$A:$A,MATCH(TEXT(B3254,"0"),DePara!$D:$D,0)),"(sem categoria)")</f>
        <v/>
      </c>
      <c r="O3254" s="5">
        <f>IF(J3254="","",Parametros!$B$6-J3254)</f>
        <v/>
      </c>
      <c r="P3254" s="5">
        <f>IF(O3254="","",IF(O3254&gt;0,1,0))</f>
        <v/>
      </c>
    </row>
    <row r="3255">
      <c r="A3255" s="5" t="n">
        <v>2111000000</v>
      </c>
      <c r="B3255" s="5" t="inlineStr">
        <is>
          <t>100759</t>
        </is>
      </c>
      <c r="C3255" s="5" t="inlineStr">
        <is>
          <t>MUNICIPIO DE UIBAI</t>
        </is>
      </c>
      <c r="D3255" s="5" t="inlineStr">
        <is>
          <t>UE</t>
        </is>
      </c>
      <c r="E3255" s="5" t="n">
        <v>200010106</v>
      </c>
      <c r="F3255" s="5" t="inlineStr">
        <is>
          <t>17380</t>
        </is>
      </c>
      <c r="G3255" s="5" t="inlineStr">
        <is>
          <t>BRL</t>
        </is>
      </c>
      <c r="H3255" s="9" t="n">
        <v>-1722.66</v>
      </c>
      <c r="I3255" s="16" t="n">
        <v>45051</v>
      </c>
      <c r="J3255" s="16" t="n">
        <v>45051</v>
      </c>
      <c r="K3255" s="5" t="inlineStr">
        <is>
          <t>1170828</t>
        </is>
      </c>
      <c r="L3255" s="5" t="inlineStr">
        <is>
          <t>475100.210211</t>
        </is>
      </c>
      <c r="M3255" s="5">
        <f>IF(YEAR(I3255)&lt;=2020,"Até 2020",TEXT(YEAR(I3255),"0"))</f>
        <v/>
      </c>
      <c r="N3255" s="5">
        <f>IFERROR(INDEX(DePara!$A:$A,MATCH(TEXT(B3255,"0"),DePara!$D:$D,0)),"(sem categoria)")</f>
        <v/>
      </c>
      <c r="O3255" s="5">
        <f>IF(J3255="","",Parametros!$B$6-J3255)</f>
        <v/>
      </c>
      <c r="P3255" s="5">
        <f>IF(O3255="","",IF(O3255&gt;0,1,0))</f>
        <v/>
      </c>
    </row>
    <row r="3256">
      <c r="A3256" s="5" t="n">
        <v>2111000000</v>
      </c>
      <c r="B3256" s="5" t="inlineStr">
        <is>
          <t>100759</t>
        </is>
      </c>
      <c r="C3256" s="5" t="inlineStr">
        <is>
          <t>MUNICIPIO DE UIBAI</t>
        </is>
      </c>
      <c r="D3256" s="5" t="inlineStr">
        <is>
          <t>UE</t>
        </is>
      </c>
      <c r="E3256" s="5" t="n">
        <v>200010107</v>
      </c>
      <c r="F3256" s="5" t="inlineStr">
        <is>
          <t>17381</t>
        </is>
      </c>
      <c r="G3256" s="5" t="inlineStr">
        <is>
          <t>BRL</t>
        </is>
      </c>
      <c r="H3256" s="9" t="n">
        <v>-962.85</v>
      </c>
      <c r="I3256" s="16" t="n">
        <v>45051</v>
      </c>
      <c r="J3256" s="16" t="n">
        <v>45051</v>
      </c>
      <c r="K3256" s="5" t="inlineStr">
        <is>
          <t>1170830</t>
        </is>
      </c>
      <c r="L3256" s="5" t="inlineStr">
        <is>
          <t>475100.210211</t>
        </is>
      </c>
      <c r="M3256" s="5">
        <f>IF(YEAR(I3256)&lt;=2020,"Até 2020",TEXT(YEAR(I3256),"0"))</f>
        <v/>
      </c>
      <c r="N3256" s="5">
        <f>IFERROR(INDEX(DePara!$A:$A,MATCH(TEXT(B3256,"0"),DePara!$D:$D,0)),"(sem categoria)")</f>
        <v/>
      </c>
      <c r="O3256" s="5">
        <f>IF(J3256="","",Parametros!$B$6-J3256)</f>
        <v/>
      </c>
      <c r="P3256" s="5">
        <f>IF(O3256="","",IF(O3256&gt;0,1,0))</f>
        <v/>
      </c>
    </row>
    <row r="3257">
      <c r="A3257" s="5" t="n">
        <v>2111000000</v>
      </c>
      <c r="B3257" s="5" t="inlineStr">
        <is>
          <t>100759</t>
        </is>
      </c>
      <c r="C3257" s="5" t="inlineStr">
        <is>
          <t>MUNICIPIO DE UIBAI</t>
        </is>
      </c>
      <c r="D3257" s="5" t="inlineStr">
        <is>
          <t>UE</t>
        </is>
      </c>
      <c r="E3257" s="5" t="n">
        <v>200010108</v>
      </c>
      <c r="F3257" s="5" t="inlineStr">
        <is>
          <t>17382</t>
        </is>
      </c>
      <c r="G3257" s="5" t="inlineStr">
        <is>
          <t>BRL</t>
        </is>
      </c>
      <c r="H3257" s="9" t="n">
        <v>-289.5</v>
      </c>
      <c r="I3257" s="16" t="n">
        <v>45051</v>
      </c>
      <c r="J3257" s="16" t="n">
        <v>45051</v>
      </c>
      <c r="K3257" s="5" t="inlineStr">
        <is>
          <t>1170835</t>
        </is>
      </c>
      <c r="L3257" s="5" t="inlineStr">
        <is>
          <t>475100.210211</t>
        </is>
      </c>
      <c r="M3257" s="5">
        <f>IF(YEAR(I3257)&lt;=2020,"Até 2020",TEXT(YEAR(I3257),"0"))</f>
        <v/>
      </c>
      <c r="N3257" s="5">
        <f>IFERROR(INDEX(DePara!$A:$A,MATCH(TEXT(B3257,"0"),DePara!$D:$D,0)),"(sem categoria)")</f>
        <v/>
      </c>
      <c r="O3257" s="5">
        <f>IF(J3257="","",Parametros!$B$6-J3257)</f>
        <v/>
      </c>
      <c r="P3257" s="5">
        <f>IF(O3257="","",IF(O3257&gt;0,1,0))</f>
        <v/>
      </c>
    </row>
    <row r="3258">
      <c r="A3258" s="5" t="n">
        <v>2111000000</v>
      </c>
      <c r="B3258" s="5" t="inlineStr">
        <is>
          <t>100759</t>
        </is>
      </c>
      <c r="C3258" s="5" t="inlineStr">
        <is>
          <t>MUNICIPIO DE UIBAI</t>
        </is>
      </c>
      <c r="D3258" s="5" t="inlineStr">
        <is>
          <t>UE</t>
        </is>
      </c>
      <c r="E3258" s="5" t="n">
        <v>200010109</v>
      </c>
      <c r="F3258" s="5" t="inlineStr">
        <is>
          <t>17383</t>
        </is>
      </c>
      <c r="G3258" s="5" t="inlineStr">
        <is>
          <t>BRL</t>
        </is>
      </c>
      <c r="H3258" s="9" t="n">
        <v>-613.61</v>
      </c>
      <c r="I3258" s="16" t="n">
        <v>45055</v>
      </c>
      <c r="J3258" s="16" t="n">
        <v>45055</v>
      </c>
      <c r="K3258" s="5" t="inlineStr">
        <is>
          <t>1171430</t>
        </is>
      </c>
      <c r="L3258" s="5" t="inlineStr">
        <is>
          <t>475100.210211</t>
        </is>
      </c>
      <c r="M3258" s="5">
        <f>IF(YEAR(I3258)&lt;=2020,"Até 2020",TEXT(YEAR(I3258),"0"))</f>
        <v/>
      </c>
      <c r="N3258" s="5">
        <f>IFERROR(INDEX(DePara!$A:$A,MATCH(TEXT(B3258,"0"),DePara!$D:$D,0)),"(sem categoria)")</f>
        <v/>
      </c>
      <c r="O3258" s="5">
        <f>IF(J3258="","",Parametros!$B$6-J3258)</f>
        <v/>
      </c>
      <c r="P3258" s="5">
        <f>IF(O3258="","",IF(O3258&gt;0,1,0))</f>
        <v/>
      </c>
    </row>
    <row r="3259">
      <c r="A3259" s="5" t="n">
        <v>2111000000</v>
      </c>
      <c r="B3259" s="5" t="inlineStr">
        <is>
          <t>100759</t>
        </is>
      </c>
      <c r="C3259" s="5" t="inlineStr">
        <is>
          <t>MUNICIPIO DE UIBAI</t>
        </is>
      </c>
      <c r="D3259" s="5" t="inlineStr">
        <is>
          <t>UE</t>
        </is>
      </c>
      <c r="E3259" s="5" t="n">
        <v>200010122</v>
      </c>
      <c r="F3259" s="5" t="inlineStr">
        <is>
          <t>17395</t>
        </is>
      </c>
      <c r="G3259" s="5" t="inlineStr">
        <is>
          <t>BRL</t>
        </is>
      </c>
      <c r="H3259" s="9" t="n">
        <v>-401.85</v>
      </c>
      <c r="I3259" s="16" t="n">
        <v>45083</v>
      </c>
      <c r="J3259" s="16" t="n">
        <v>45083</v>
      </c>
      <c r="K3259" s="5" t="inlineStr">
        <is>
          <t>1181654</t>
        </is>
      </c>
      <c r="L3259" s="5" t="inlineStr">
        <is>
          <t>475100.210211</t>
        </is>
      </c>
      <c r="M3259" s="5">
        <f>IF(YEAR(I3259)&lt;=2020,"Até 2020",TEXT(YEAR(I3259),"0"))</f>
        <v/>
      </c>
      <c r="N3259" s="5">
        <f>IFERROR(INDEX(DePara!$A:$A,MATCH(TEXT(B3259,"0"),DePara!$D:$D,0)),"(sem categoria)")</f>
        <v/>
      </c>
      <c r="O3259" s="5">
        <f>IF(J3259="","",Parametros!$B$6-J3259)</f>
        <v/>
      </c>
      <c r="P3259" s="5">
        <f>IF(O3259="","",IF(O3259&gt;0,1,0))</f>
        <v/>
      </c>
    </row>
    <row r="3260">
      <c r="A3260" s="5" t="n">
        <v>2111000000</v>
      </c>
      <c r="B3260" s="5" t="inlineStr">
        <is>
          <t>100759</t>
        </is>
      </c>
      <c r="C3260" s="5" t="inlineStr">
        <is>
          <t>MUNICIPIO DE UIBAI</t>
        </is>
      </c>
      <c r="D3260" s="5" t="inlineStr">
        <is>
          <t>UE</t>
        </is>
      </c>
      <c r="E3260" s="5" t="n">
        <v>200010166</v>
      </c>
      <c r="F3260" s="5" t="inlineStr">
        <is>
          <t>17434</t>
        </is>
      </c>
      <c r="G3260" s="5" t="inlineStr">
        <is>
          <t>BRL</t>
        </is>
      </c>
      <c r="H3260" s="9" t="n">
        <v>-3563.23</v>
      </c>
      <c r="I3260" s="16" t="n">
        <v>45065</v>
      </c>
      <c r="J3260" s="16" t="n">
        <v>45065</v>
      </c>
      <c r="K3260" s="5" t="inlineStr">
        <is>
          <t>1171683</t>
        </is>
      </c>
      <c r="L3260" s="5" t="inlineStr">
        <is>
          <t>475100.210211</t>
        </is>
      </c>
      <c r="M3260" s="5">
        <f>IF(YEAR(I3260)&lt;=2020,"Até 2020",TEXT(YEAR(I3260),"0"))</f>
        <v/>
      </c>
      <c r="N3260" s="5">
        <f>IFERROR(INDEX(DePara!$A:$A,MATCH(TEXT(B3260,"0"),DePara!$D:$D,0)),"(sem categoria)")</f>
        <v/>
      </c>
      <c r="O3260" s="5">
        <f>IF(J3260="","",Parametros!$B$6-J3260)</f>
        <v/>
      </c>
      <c r="P3260" s="5">
        <f>IF(O3260="","",IF(O3260&gt;0,1,0))</f>
        <v/>
      </c>
    </row>
    <row r="3261">
      <c r="A3261" s="5" t="n">
        <v>2111000000</v>
      </c>
      <c r="B3261" s="5" t="inlineStr">
        <is>
          <t>100759</t>
        </is>
      </c>
      <c r="C3261" s="5" t="inlineStr">
        <is>
          <t>MUNICIPIO DE UIBAI</t>
        </is>
      </c>
      <c r="D3261" s="5" t="inlineStr">
        <is>
          <t>UE</t>
        </is>
      </c>
      <c r="E3261" s="5" t="n">
        <v>200010167</v>
      </c>
      <c r="F3261" s="5" t="inlineStr">
        <is>
          <t>17435</t>
        </is>
      </c>
      <c r="G3261" s="5" t="inlineStr">
        <is>
          <t>BRL</t>
        </is>
      </c>
      <c r="H3261" s="9" t="n">
        <v>-4596.37</v>
      </c>
      <c r="I3261" s="16" t="n">
        <v>45065</v>
      </c>
      <c r="J3261" s="16" t="n">
        <v>45065</v>
      </c>
      <c r="K3261" s="5" t="inlineStr">
        <is>
          <t>1171684</t>
        </is>
      </c>
      <c r="L3261" s="5" t="inlineStr">
        <is>
          <t>475100.210211</t>
        </is>
      </c>
      <c r="M3261" s="5">
        <f>IF(YEAR(I3261)&lt;=2020,"Até 2020",TEXT(YEAR(I3261),"0"))</f>
        <v/>
      </c>
      <c r="N3261" s="5">
        <f>IFERROR(INDEX(DePara!$A:$A,MATCH(TEXT(B3261,"0"),DePara!$D:$D,0)),"(sem categoria)")</f>
        <v/>
      </c>
      <c r="O3261" s="5">
        <f>IF(J3261="","",Parametros!$B$6-J3261)</f>
        <v/>
      </c>
      <c r="P3261" s="5">
        <f>IF(O3261="","",IF(O3261&gt;0,1,0))</f>
        <v/>
      </c>
    </row>
    <row r="3262">
      <c r="A3262" s="5" t="n">
        <v>2111000000</v>
      </c>
      <c r="B3262" s="5" t="inlineStr">
        <is>
          <t>100759</t>
        </is>
      </c>
      <c r="C3262" s="5" t="inlineStr">
        <is>
          <t>MUNICIPIO DE UIBAI</t>
        </is>
      </c>
      <c r="D3262" s="5" t="inlineStr">
        <is>
          <t>UE</t>
        </is>
      </c>
      <c r="E3262" s="5" t="n">
        <v>200010168</v>
      </c>
      <c r="F3262" s="5" t="inlineStr">
        <is>
          <t>17436</t>
        </is>
      </c>
      <c r="G3262" s="5" t="inlineStr">
        <is>
          <t>BRL</t>
        </is>
      </c>
      <c r="H3262" s="9" t="n">
        <v>-5432.19</v>
      </c>
      <c r="I3262" s="16" t="n">
        <v>45065</v>
      </c>
      <c r="J3262" s="16" t="n">
        <v>45065</v>
      </c>
      <c r="K3262" s="5" t="inlineStr">
        <is>
          <t>1171687</t>
        </is>
      </c>
      <c r="L3262" s="5" t="inlineStr">
        <is>
          <t>475100.210211</t>
        </is>
      </c>
      <c r="M3262" s="5">
        <f>IF(YEAR(I3262)&lt;=2020,"Até 2020",TEXT(YEAR(I3262),"0"))</f>
        <v/>
      </c>
      <c r="N3262" s="5">
        <f>IFERROR(INDEX(DePara!$A:$A,MATCH(TEXT(B3262,"0"),DePara!$D:$D,0)),"(sem categoria)")</f>
        <v/>
      </c>
      <c r="O3262" s="5">
        <f>IF(J3262="","",Parametros!$B$6-J3262)</f>
        <v/>
      </c>
      <c r="P3262" s="5">
        <f>IF(O3262="","",IF(O3262&gt;0,1,0))</f>
        <v/>
      </c>
    </row>
    <row r="3263">
      <c r="A3263" s="5" t="n">
        <v>2111000000</v>
      </c>
      <c r="B3263" s="5" t="inlineStr">
        <is>
          <t>101358</t>
        </is>
      </c>
      <c r="C3263" s="5" t="inlineStr">
        <is>
          <t>MUNICIPIO DE LAJES</t>
        </is>
      </c>
      <c r="D3263" s="5" t="inlineStr">
        <is>
          <t>UE</t>
        </is>
      </c>
      <c r="E3263" s="5" t="n">
        <v>200010186</v>
      </c>
      <c r="F3263" s="5" t="inlineStr">
        <is>
          <t>17452</t>
        </is>
      </c>
      <c r="G3263" s="5" t="inlineStr">
        <is>
          <t>BRL</t>
        </is>
      </c>
      <c r="H3263" s="9" t="n">
        <v>-283.75</v>
      </c>
      <c r="I3263" s="16" t="n">
        <v>44909</v>
      </c>
      <c r="J3263" s="16" t="n">
        <v>44909</v>
      </c>
      <c r="K3263" s="5" t="inlineStr">
        <is>
          <t>1143742</t>
        </is>
      </c>
      <c r="L3263" s="5" t="inlineStr">
        <is>
          <t>475100.210211</t>
        </is>
      </c>
      <c r="M3263" s="5">
        <f>IF(YEAR(I3263)&lt;=2020,"Até 2020",TEXT(YEAR(I3263),"0"))</f>
        <v/>
      </c>
      <c r="N3263" s="5">
        <f>IFERROR(INDEX(DePara!$A:$A,MATCH(TEXT(B3263,"0"),DePara!$D:$D,0)),"(sem categoria)")</f>
        <v/>
      </c>
      <c r="O3263" s="5">
        <f>IF(J3263="","",Parametros!$B$6-J3263)</f>
        <v/>
      </c>
      <c r="P3263" s="5">
        <f>IF(O3263="","",IF(O3263&gt;0,1,0))</f>
        <v/>
      </c>
    </row>
    <row r="3264">
      <c r="A3264" s="5" t="n">
        <v>2111000000</v>
      </c>
      <c r="B3264" s="5" t="inlineStr">
        <is>
          <t>101358</t>
        </is>
      </c>
      <c r="C3264" s="5" t="inlineStr">
        <is>
          <t>MUNICIPIO DE LAJES</t>
        </is>
      </c>
      <c r="D3264" s="5" t="inlineStr">
        <is>
          <t>UE</t>
        </is>
      </c>
      <c r="E3264" s="5" t="n">
        <v>200010187</v>
      </c>
      <c r="F3264" s="5" t="inlineStr">
        <is>
          <t>17453</t>
        </is>
      </c>
      <c r="G3264" s="5" t="inlineStr">
        <is>
          <t>BRL</t>
        </is>
      </c>
      <c r="H3264" s="9" t="n">
        <v>-1108.65</v>
      </c>
      <c r="I3264" s="16" t="n">
        <v>44903</v>
      </c>
      <c r="J3264" s="16" t="n">
        <v>44903</v>
      </c>
      <c r="K3264" s="5" t="inlineStr">
        <is>
          <t>1143841</t>
        </is>
      </c>
      <c r="L3264" s="5" t="inlineStr">
        <is>
          <t>475100.210211</t>
        </is>
      </c>
      <c r="M3264" s="5">
        <f>IF(YEAR(I3264)&lt;=2020,"Até 2020",TEXT(YEAR(I3264),"0"))</f>
        <v/>
      </c>
      <c r="N3264" s="5">
        <f>IFERROR(INDEX(DePara!$A:$A,MATCH(TEXT(B3264,"0"),DePara!$D:$D,0)),"(sem categoria)")</f>
        <v/>
      </c>
      <c r="O3264" s="5">
        <f>IF(J3264="","",Parametros!$B$6-J3264)</f>
        <v/>
      </c>
      <c r="P3264" s="5">
        <f>IF(O3264="","",IF(O3264&gt;0,1,0))</f>
        <v/>
      </c>
    </row>
    <row r="3265">
      <c r="A3265" s="5" t="n">
        <v>2111000000</v>
      </c>
      <c r="B3265" s="5" t="inlineStr">
        <is>
          <t>101358</t>
        </is>
      </c>
      <c r="C3265" s="5" t="inlineStr">
        <is>
          <t>MUNICIPIO DE LAJES</t>
        </is>
      </c>
      <c r="D3265" s="5" t="inlineStr">
        <is>
          <t>UE</t>
        </is>
      </c>
      <c r="E3265" s="5" t="n">
        <v>200010188</v>
      </c>
      <c r="F3265" s="5" t="inlineStr">
        <is>
          <t>17454</t>
        </is>
      </c>
      <c r="G3265" s="5" t="inlineStr">
        <is>
          <t>BRL</t>
        </is>
      </c>
      <c r="H3265" s="9" t="n">
        <v>-974.03</v>
      </c>
      <c r="I3265" s="16" t="n">
        <v>44914</v>
      </c>
      <c r="J3265" s="16" t="n">
        <v>44914</v>
      </c>
      <c r="K3265" s="5" t="inlineStr">
        <is>
          <t>1147687</t>
        </is>
      </c>
      <c r="L3265" s="5" t="inlineStr">
        <is>
          <t>475100.210211</t>
        </is>
      </c>
      <c r="M3265" s="5">
        <f>IF(YEAR(I3265)&lt;=2020,"Até 2020",TEXT(YEAR(I3265),"0"))</f>
        <v/>
      </c>
      <c r="N3265" s="5">
        <f>IFERROR(INDEX(DePara!$A:$A,MATCH(TEXT(B3265,"0"),DePara!$D:$D,0)),"(sem categoria)")</f>
        <v/>
      </c>
      <c r="O3265" s="5">
        <f>IF(J3265="","",Parametros!$B$6-J3265)</f>
        <v/>
      </c>
      <c r="P3265" s="5">
        <f>IF(O3265="","",IF(O3265&gt;0,1,0))</f>
        <v/>
      </c>
    </row>
    <row r="3266">
      <c r="A3266" s="5" t="n">
        <v>2111000000</v>
      </c>
      <c r="B3266" s="5" t="inlineStr">
        <is>
          <t>101358</t>
        </is>
      </c>
      <c r="C3266" s="5" t="inlineStr">
        <is>
          <t>MUNICIPIO DE LAJES</t>
        </is>
      </c>
      <c r="D3266" s="5" t="inlineStr">
        <is>
          <t>UE</t>
        </is>
      </c>
      <c r="E3266" s="5" t="n">
        <v>200010190</v>
      </c>
      <c r="F3266" s="5" t="inlineStr">
        <is>
          <t>17456</t>
        </is>
      </c>
      <c r="G3266" s="5" t="inlineStr">
        <is>
          <t>BRL</t>
        </is>
      </c>
      <c r="H3266" s="9" t="n">
        <v>-1049.11</v>
      </c>
      <c r="I3266" s="16" t="n">
        <v>44987</v>
      </c>
      <c r="J3266" s="16" t="n">
        <v>44987</v>
      </c>
      <c r="K3266" s="5" t="inlineStr">
        <is>
          <t>1161474</t>
        </is>
      </c>
      <c r="L3266" s="5" t="inlineStr">
        <is>
          <t>475100.210211</t>
        </is>
      </c>
      <c r="M3266" s="5">
        <f>IF(YEAR(I3266)&lt;=2020,"Até 2020",TEXT(YEAR(I3266),"0"))</f>
        <v/>
      </c>
      <c r="N3266" s="5">
        <f>IFERROR(INDEX(DePara!$A:$A,MATCH(TEXT(B3266,"0"),DePara!$D:$D,0)),"(sem categoria)")</f>
        <v/>
      </c>
      <c r="O3266" s="5">
        <f>IF(J3266="","",Parametros!$B$6-J3266)</f>
        <v/>
      </c>
      <c r="P3266" s="5">
        <f>IF(O3266="","",IF(O3266&gt;0,1,0))</f>
        <v/>
      </c>
    </row>
    <row r="3267">
      <c r="A3267" s="5" t="n">
        <v>2111000000</v>
      </c>
      <c r="B3267" s="5" t="inlineStr">
        <is>
          <t>101358</t>
        </is>
      </c>
      <c r="C3267" s="5" t="inlineStr">
        <is>
          <t>MUNICIPIO DE LAJES</t>
        </is>
      </c>
      <c r="D3267" s="5" t="inlineStr">
        <is>
          <t>UE</t>
        </is>
      </c>
      <c r="E3267" s="5" t="n">
        <v>200010191</v>
      </c>
      <c r="F3267" s="5" t="inlineStr">
        <is>
          <t>17457</t>
        </is>
      </c>
      <c r="G3267" s="5" t="inlineStr">
        <is>
          <t>BRL</t>
        </is>
      </c>
      <c r="H3267" s="9" t="n">
        <v>-1091.07</v>
      </c>
      <c r="I3267" s="16" t="n">
        <v>44987</v>
      </c>
      <c r="J3267" s="16" t="n">
        <v>44987</v>
      </c>
      <c r="K3267" s="5" t="inlineStr">
        <is>
          <t>1162689</t>
        </is>
      </c>
      <c r="L3267" s="5" t="inlineStr">
        <is>
          <t>475100.210211</t>
        </is>
      </c>
      <c r="M3267" s="5">
        <f>IF(YEAR(I3267)&lt;=2020,"Até 2020",TEXT(YEAR(I3267),"0"))</f>
        <v/>
      </c>
      <c r="N3267" s="5">
        <f>IFERROR(INDEX(DePara!$A:$A,MATCH(TEXT(B3267,"0"),DePara!$D:$D,0)),"(sem categoria)")</f>
        <v/>
      </c>
      <c r="O3267" s="5">
        <f>IF(J3267="","",Parametros!$B$6-J3267)</f>
        <v/>
      </c>
      <c r="P3267" s="5">
        <f>IF(O3267="","",IF(O3267&gt;0,1,0))</f>
        <v/>
      </c>
    </row>
    <row r="3268">
      <c r="A3268" s="5" t="n">
        <v>2111000000</v>
      </c>
      <c r="B3268" s="5" t="inlineStr">
        <is>
          <t>101358</t>
        </is>
      </c>
      <c r="C3268" s="5" t="inlineStr">
        <is>
          <t>MUNICIPIO DE LAJES</t>
        </is>
      </c>
      <c r="D3268" s="5" t="inlineStr">
        <is>
          <t>UE</t>
        </is>
      </c>
      <c r="E3268" s="5" t="n">
        <v>200010193</v>
      </c>
      <c r="F3268" s="5" t="inlineStr">
        <is>
          <t>17459</t>
        </is>
      </c>
      <c r="G3268" s="5" t="inlineStr">
        <is>
          <t>BRL</t>
        </is>
      </c>
      <c r="H3268" s="9" t="n">
        <v>-974.03</v>
      </c>
      <c r="I3268" s="16" t="n">
        <v>44987</v>
      </c>
      <c r="J3268" s="16" t="n">
        <v>44987</v>
      </c>
      <c r="K3268" s="5" t="inlineStr">
        <is>
          <t>1162725</t>
        </is>
      </c>
      <c r="L3268" s="5" t="inlineStr">
        <is>
          <t>475100.210211</t>
        </is>
      </c>
      <c r="M3268" s="5">
        <f>IF(YEAR(I3268)&lt;=2020,"Até 2020",TEXT(YEAR(I3268),"0"))</f>
        <v/>
      </c>
      <c r="N3268" s="5">
        <f>IFERROR(INDEX(DePara!$A:$A,MATCH(TEXT(B3268,"0"),DePara!$D:$D,0)),"(sem categoria)")</f>
        <v/>
      </c>
      <c r="O3268" s="5">
        <f>IF(J3268="","",Parametros!$B$6-J3268)</f>
        <v/>
      </c>
      <c r="P3268" s="5">
        <f>IF(O3268="","",IF(O3268&gt;0,1,0))</f>
        <v/>
      </c>
    </row>
    <row r="3269">
      <c r="A3269" s="5" t="n">
        <v>2111000000</v>
      </c>
      <c r="B3269" s="5" t="inlineStr">
        <is>
          <t>101358</t>
        </is>
      </c>
      <c r="C3269" s="5" t="inlineStr">
        <is>
          <t>MUNICIPIO DE LAJES</t>
        </is>
      </c>
      <c r="D3269" s="5" t="inlineStr">
        <is>
          <t>UE</t>
        </is>
      </c>
      <c r="E3269" s="5" t="n">
        <v>200010196</v>
      </c>
      <c r="F3269" s="5" t="inlineStr">
        <is>
          <t>17461</t>
        </is>
      </c>
      <c r="G3269" s="5" t="inlineStr">
        <is>
          <t>BRL</t>
        </is>
      </c>
      <c r="H3269" s="9" t="n">
        <v>-1187.84</v>
      </c>
      <c r="I3269" s="16" t="n">
        <v>44987</v>
      </c>
      <c r="J3269" s="16" t="n">
        <v>44987</v>
      </c>
      <c r="K3269" s="5" t="inlineStr">
        <is>
          <t>1162740</t>
        </is>
      </c>
      <c r="L3269" s="5" t="inlineStr">
        <is>
          <t>475100.210211</t>
        </is>
      </c>
      <c r="M3269" s="5">
        <f>IF(YEAR(I3269)&lt;=2020,"Até 2020",TEXT(YEAR(I3269),"0"))</f>
        <v/>
      </c>
      <c r="N3269" s="5">
        <f>IFERROR(INDEX(DePara!$A:$A,MATCH(TEXT(B3269,"0"),DePara!$D:$D,0)),"(sem categoria)")</f>
        <v/>
      </c>
      <c r="O3269" s="5">
        <f>IF(J3269="","",Parametros!$B$6-J3269)</f>
        <v/>
      </c>
      <c r="P3269" s="5">
        <f>IF(O3269="","",IF(O3269&gt;0,1,0))</f>
        <v/>
      </c>
    </row>
    <row r="3270">
      <c r="A3270" s="5" t="n">
        <v>2111000000</v>
      </c>
      <c r="B3270" s="5" t="inlineStr">
        <is>
          <t>101763</t>
        </is>
      </c>
      <c r="C3270" s="5" t="inlineStr">
        <is>
          <t>MUNICIPIO DE LAGOA DO BARRO DO PIAU</t>
        </is>
      </c>
      <c r="D3270" s="5" t="inlineStr">
        <is>
          <t>UE</t>
        </is>
      </c>
      <c r="E3270" s="5" t="n">
        <v>200010198</v>
      </c>
      <c r="F3270" s="5" t="inlineStr">
        <is>
          <t>17463</t>
        </is>
      </c>
      <c r="G3270" s="5" t="inlineStr">
        <is>
          <t>BRL</t>
        </is>
      </c>
      <c r="H3270" s="9" t="n">
        <v>-1237.42</v>
      </c>
      <c r="I3270" s="16" t="n">
        <v>45050</v>
      </c>
      <c r="J3270" s="16" t="n">
        <v>45050</v>
      </c>
      <c r="K3270" s="5" t="inlineStr">
        <is>
          <t>1174837</t>
        </is>
      </c>
      <c r="L3270" s="5" t="inlineStr">
        <is>
          <t>475100.210211</t>
        </is>
      </c>
      <c r="M3270" s="5">
        <f>IF(YEAR(I3270)&lt;=2020,"Até 2020",TEXT(YEAR(I3270),"0"))</f>
        <v/>
      </c>
      <c r="N3270" s="5">
        <f>IFERROR(INDEX(DePara!$A:$A,MATCH(TEXT(B3270,"0"),DePara!$D:$D,0)),"(sem categoria)")</f>
        <v/>
      </c>
      <c r="O3270" s="5">
        <f>IF(J3270="","",Parametros!$B$6-J3270)</f>
        <v/>
      </c>
      <c r="P3270" s="5">
        <f>IF(O3270="","",IF(O3270&gt;0,1,0))</f>
        <v/>
      </c>
    </row>
    <row r="3271">
      <c r="A3271" s="5" t="n">
        <v>2111000000</v>
      </c>
      <c r="B3271" s="5" t="inlineStr">
        <is>
          <t>101763</t>
        </is>
      </c>
      <c r="C3271" s="5" t="inlineStr">
        <is>
          <t>MUNICIPIO DE LAGOA DO BARRO DO PIAU</t>
        </is>
      </c>
      <c r="D3271" s="5" t="inlineStr">
        <is>
          <t>UE</t>
        </is>
      </c>
      <c r="E3271" s="5" t="n">
        <v>200010200</v>
      </c>
      <c r="F3271" s="5" t="inlineStr">
        <is>
          <t>17465</t>
        </is>
      </c>
      <c r="G3271" s="5" t="inlineStr">
        <is>
          <t>BRL</t>
        </is>
      </c>
      <c r="H3271" s="9" t="n">
        <v>-1237.42</v>
      </c>
      <c r="I3271" s="16" t="n">
        <v>45050</v>
      </c>
      <c r="J3271" s="16" t="n">
        <v>45050</v>
      </c>
      <c r="K3271" s="5" t="inlineStr">
        <is>
          <t>1174838</t>
        </is>
      </c>
      <c r="L3271" s="5" t="inlineStr">
        <is>
          <t>475100.210211</t>
        </is>
      </c>
      <c r="M3271" s="5">
        <f>IF(YEAR(I3271)&lt;=2020,"Até 2020",TEXT(YEAR(I3271),"0"))</f>
        <v/>
      </c>
      <c r="N3271" s="5">
        <f>IFERROR(INDEX(DePara!$A:$A,MATCH(TEXT(B3271,"0"),DePara!$D:$D,0)),"(sem categoria)")</f>
        <v/>
      </c>
      <c r="O3271" s="5">
        <f>IF(J3271="","",Parametros!$B$6-J3271)</f>
        <v/>
      </c>
      <c r="P3271" s="5">
        <f>IF(O3271="","",IF(O3271&gt;0,1,0))</f>
        <v/>
      </c>
    </row>
    <row r="3272">
      <c r="A3272" s="5" t="n">
        <v>2111000000</v>
      </c>
      <c r="B3272" s="5" t="inlineStr">
        <is>
          <t>101358</t>
        </is>
      </c>
      <c r="C3272" s="5" t="inlineStr">
        <is>
          <t>MUNICIPIO DE LAJES</t>
        </is>
      </c>
      <c r="D3272" s="5" t="inlineStr">
        <is>
          <t>UE</t>
        </is>
      </c>
      <c r="E3272" s="5" t="n">
        <v>200010207</v>
      </c>
      <c r="F3272" s="5" t="inlineStr">
        <is>
          <t>17471</t>
        </is>
      </c>
      <c r="G3272" s="5" t="inlineStr">
        <is>
          <t>BRL</t>
        </is>
      </c>
      <c r="H3272" s="9" t="n">
        <v>-160.62</v>
      </c>
      <c r="I3272" s="16" t="n">
        <v>45090</v>
      </c>
      <c r="J3272" s="16" t="n">
        <v>45090</v>
      </c>
      <c r="K3272" s="5" t="inlineStr">
        <is>
          <t>1178216</t>
        </is>
      </c>
      <c r="L3272" s="5" t="inlineStr">
        <is>
          <t>475100.210211</t>
        </is>
      </c>
      <c r="M3272" s="5">
        <f>IF(YEAR(I3272)&lt;=2020,"Até 2020",TEXT(YEAR(I3272),"0"))</f>
        <v/>
      </c>
      <c r="N3272" s="5">
        <f>IFERROR(INDEX(DePara!$A:$A,MATCH(TEXT(B3272,"0"),DePara!$D:$D,0)),"(sem categoria)")</f>
        <v/>
      </c>
      <c r="O3272" s="5">
        <f>IF(J3272="","",Parametros!$B$6-J3272)</f>
        <v/>
      </c>
      <c r="P3272" s="5">
        <f>IF(O3272="","",IF(O3272&gt;0,1,0))</f>
        <v/>
      </c>
    </row>
    <row r="3273">
      <c r="A3273" s="5" t="n">
        <v>2111000000</v>
      </c>
      <c r="B3273" s="5" t="inlineStr">
        <is>
          <t>101358</t>
        </is>
      </c>
      <c r="C3273" s="5" t="inlineStr">
        <is>
          <t>MUNICIPIO DE LAJES</t>
        </is>
      </c>
      <c r="D3273" s="5" t="inlineStr">
        <is>
          <t>UE</t>
        </is>
      </c>
      <c r="E3273" s="5" t="n">
        <v>200010210</v>
      </c>
      <c r="F3273" s="5" t="inlineStr">
        <is>
          <t>17474</t>
        </is>
      </c>
      <c r="G3273" s="5" t="inlineStr">
        <is>
          <t>BRL</t>
        </is>
      </c>
      <c r="H3273" s="9" t="n">
        <v>-10.99</v>
      </c>
      <c r="I3273" s="16" t="n">
        <v>45090</v>
      </c>
      <c r="J3273" s="16" t="n">
        <v>45090</v>
      </c>
      <c r="K3273" s="5" t="inlineStr">
        <is>
          <t>1178226</t>
        </is>
      </c>
      <c r="L3273" s="5" t="inlineStr">
        <is>
          <t>475100.210211</t>
        </is>
      </c>
      <c r="M3273" s="5">
        <f>IF(YEAR(I3273)&lt;=2020,"Até 2020",TEXT(YEAR(I3273),"0"))</f>
        <v/>
      </c>
      <c r="N3273" s="5">
        <f>IFERROR(INDEX(DePara!$A:$A,MATCH(TEXT(B3273,"0"),DePara!$D:$D,0)),"(sem categoria)")</f>
        <v/>
      </c>
      <c r="O3273" s="5">
        <f>IF(J3273="","",Parametros!$B$6-J3273)</f>
        <v/>
      </c>
      <c r="P3273" s="5">
        <f>IF(O3273="","",IF(O3273&gt;0,1,0))</f>
        <v/>
      </c>
    </row>
    <row r="3274">
      <c r="A3274" s="5" t="n">
        <v>2111000000</v>
      </c>
      <c r="B3274" s="5" t="inlineStr">
        <is>
          <t>101763</t>
        </is>
      </c>
      <c r="C3274" s="5" t="inlineStr">
        <is>
          <t>MUNICIPIO DE LAGOA DO BARRO DO PIAU</t>
        </is>
      </c>
      <c r="D3274" s="5" t="inlineStr">
        <is>
          <t>UE</t>
        </is>
      </c>
      <c r="E3274" s="5" t="n">
        <v>200010241</v>
      </c>
      <c r="F3274" s="5" t="inlineStr">
        <is>
          <t>17501</t>
        </is>
      </c>
      <c r="G3274" s="5" t="inlineStr">
        <is>
          <t>BRL</t>
        </is>
      </c>
      <c r="H3274" s="9" t="n">
        <v>-243.67</v>
      </c>
      <c r="I3274" s="16" t="n">
        <v>45090</v>
      </c>
      <c r="J3274" s="16" t="n">
        <v>45090</v>
      </c>
      <c r="K3274" s="5" t="inlineStr">
        <is>
          <t>1181569</t>
        </is>
      </c>
      <c r="L3274" s="5" t="inlineStr">
        <is>
          <t>475100.210211</t>
        </is>
      </c>
      <c r="M3274" s="5">
        <f>IF(YEAR(I3274)&lt;=2020,"Até 2020",TEXT(YEAR(I3274),"0"))</f>
        <v/>
      </c>
      <c r="N3274" s="5">
        <f>IFERROR(INDEX(DePara!$A:$A,MATCH(TEXT(B3274,"0"),DePara!$D:$D,0)),"(sem categoria)")</f>
        <v/>
      </c>
      <c r="O3274" s="5">
        <f>IF(J3274="","",Parametros!$B$6-J3274)</f>
        <v/>
      </c>
      <c r="P3274" s="5">
        <f>IF(O3274="","",IF(O3274&gt;0,1,0))</f>
        <v/>
      </c>
    </row>
    <row r="3275">
      <c r="A3275" s="5" t="n">
        <v>2111000000</v>
      </c>
      <c r="B3275" s="5" t="inlineStr">
        <is>
          <t>102452</t>
        </is>
      </c>
      <c r="C3275" s="5" t="inlineStr">
        <is>
          <t>ANTONIO FERNANDES VIEIRA</t>
        </is>
      </c>
      <c r="D3275" s="5" t="inlineStr">
        <is>
          <t>UE</t>
        </is>
      </c>
      <c r="E3275" s="5" t="n">
        <v>200010257</v>
      </c>
      <c r="F3275" s="5" t="inlineStr">
        <is>
          <t>17516</t>
        </is>
      </c>
      <c r="G3275" s="5" t="inlineStr">
        <is>
          <t>BRL</t>
        </is>
      </c>
      <c r="H3275" s="9" t="n">
        <v>-25000</v>
      </c>
      <c r="I3275" s="16" t="n">
        <v>45110</v>
      </c>
      <c r="J3275" s="16" t="n">
        <v>45110</v>
      </c>
      <c r="K3275" s="5" t="inlineStr">
        <is>
          <t>1180136</t>
        </is>
      </c>
      <c r="L3275" s="5" t="inlineStr">
        <is>
          <t>400000.210101</t>
        </is>
      </c>
      <c r="M3275" s="5">
        <f>IF(YEAR(I3275)&lt;=2020,"Até 2020",TEXT(YEAR(I3275),"0"))</f>
        <v/>
      </c>
      <c r="N3275" s="5">
        <f>IFERROR(INDEX(DePara!$A:$A,MATCH(TEXT(B3275,"0"),DePara!$D:$D,0)),"(sem categoria)")</f>
        <v/>
      </c>
      <c r="O3275" s="5">
        <f>IF(J3275="","",Parametros!$B$6-J3275)</f>
        <v/>
      </c>
      <c r="P3275" s="5">
        <f>IF(O3275="","",IF(O3275&gt;0,1,0))</f>
        <v/>
      </c>
    </row>
    <row r="3276">
      <c r="A3276" s="5" t="n">
        <v>2111000000</v>
      </c>
      <c r="B3276" s="5" t="inlineStr">
        <is>
          <t>100833</t>
        </is>
      </c>
      <c r="C3276" s="5" t="inlineStr">
        <is>
          <t>MUNICIPIO DE JANDAIRA</t>
        </is>
      </c>
      <c r="D3276" s="5" t="inlineStr">
        <is>
          <t>UE</t>
        </is>
      </c>
      <c r="E3276" s="5" t="n">
        <v>200010258</v>
      </c>
      <c r="F3276" s="5" t="inlineStr">
        <is>
          <t>17517</t>
        </is>
      </c>
      <c r="G3276" s="5" t="inlineStr">
        <is>
          <t>BRL</t>
        </is>
      </c>
      <c r="H3276" s="9" t="n">
        <v>-1581</v>
      </c>
      <c r="I3276" s="16" t="n">
        <v>44805</v>
      </c>
      <c r="J3276" s="16" t="n">
        <v>44805</v>
      </c>
      <c r="K3276" s="5" t="inlineStr">
        <is>
          <t>1148387</t>
        </is>
      </c>
      <c r="L3276" s="5" t="inlineStr">
        <is>
          <t>475100.210211</t>
        </is>
      </c>
      <c r="M3276" s="5">
        <f>IF(YEAR(I3276)&lt;=2020,"Até 2020",TEXT(YEAR(I3276),"0"))</f>
        <v/>
      </c>
      <c r="N3276" s="5">
        <f>IFERROR(INDEX(DePara!$A:$A,MATCH(TEXT(B3276,"0"),DePara!$D:$D,0)),"(sem categoria)")</f>
        <v/>
      </c>
      <c r="O3276" s="5">
        <f>IF(J3276="","",Parametros!$B$6-J3276)</f>
        <v/>
      </c>
      <c r="P3276" s="5">
        <f>IF(O3276="","",IF(O3276&gt;0,1,0))</f>
        <v/>
      </c>
    </row>
    <row r="3277">
      <c r="A3277" s="5" t="n">
        <v>2111000000</v>
      </c>
      <c r="B3277" s="5" t="inlineStr">
        <is>
          <t>101358</t>
        </is>
      </c>
      <c r="C3277" s="5" t="inlineStr">
        <is>
          <t>MUNICIPIO DE LAJES</t>
        </is>
      </c>
      <c r="D3277" s="5" t="inlineStr">
        <is>
          <t>UE</t>
        </is>
      </c>
      <c r="E3277" s="5" t="n">
        <v>200010262</v>
      </c>
      <c r="F3277" s="5" t="inlineStr">
        <is>
          <t>17520</t>
        </is>
      </c>
      <c r="G3277" s="5" t="inlineStr">
        <is>
          <t>BRL</t>
        </is>
      </c>
      <c r="H3277" s="9" t="n">
        <v>-10513.19</v>
      </c>
      <c r="I3277" s="16" t="n">
        <v>44915</v>
      </c>
      <c r="J3277" s="16" t="n">
        <v>44915</v>
      </c>
      <c r="K3277" s="5" t="inlineStr">
        <is>
          <t>1140747</t>
        </is>
      </c>
      <c r="L3277" s="5" t="inlineStr">
        <is>
          <t>475100.210211</t>
        </is>
      </c>
      <c r="M3277" s="5">
        <f>IF(YEAR(I3277)&lt;=2020,"Até 2020",TEXT(YEAR(I3277),"0"))</f>
        <v/>
      </c>
      <c r="N3277" s="5">
        <f>IFERROR(INDEX(DePara!$A:$A,MATCH(TEXT(B3277,"0"),DePara!$D:$D,0)),"(sem categoria)")</f>
        <v/>
      </c>
      <c r="O3277" s="5">
        <f>IF(J3277="","",Parametros!$B$6-J3277)</f>
        <v/>
      </c>
      <c r="P3277" s="5">
        <f>IF(O3277="","",IF(O3277&gt;0,1,0))</f>
        <v/>
      </c>
    </row>
    <row r="3278">
      <c r="A3278" s="5" t="n">
        <v>2111000000</v>
      </c>
      <c r="B3278" s="5" t="inlineStr">
        <is>
          <t>101358</t>
        </is>
      </c>
      <c r="C3278" s="5" t="inlineStr">
        <is>
          <t>MUNICIPIO DE LAJES</t>
        </is>
      </c>
      <c r="D3278" s="5" t="inlineStr">
        <is>
          <t>UE</t>
        </is>
      </c>
      <c r="E3278" s="5" t="n">
        <v>200010263</v>
      </c>
      <c r="F3278" s="5" t="inlineStr">
        <is>
          <t>17521</t>
        </is>
      </c>
      <c r="G3278" s="5" t="inlineStr">
        <is>
          <t>BRL</t>
        </is>
      </c>
      <c r="H3278" s="9" t="n">
        <v>-8948.92</v>
      </c>
      <c r="I3278" s="16" t="n">
        <v>44915</v>
      </c>
      <c r="J3278" s="16" t="n">
        <v>44915</v>
      </c>
      <c r="K3278" s="5" t="inlineStr">
        <is>
          <t>1140748</t>
        </is>
      </c>
      <c r="L3278" s="5" t="inlineStr">
        <is>
          <t>475100.210211</t>
        </is>
      </c>
      <c r="M3278" s="5">
        <f>IF(YEAR(I3278)&lt;=2020,"Até 2020",TEXT(YEAR(I3278),"0"))</f>
        <v/>
      </c>
      <c r="N3278" s="5">
        <f>IFERROR(INDEX(DePara!$A:$A,MATCH(TEXT(B3278,"0"),DePara!$D:$D,0)),"(sem categoria)")</f>
        <v/>
      </c>
      <c r="O3278" s="5">
        <f>IF(J3278="","",Parametros!$B$6-J3278)</f>
        <v/>
      </c>
      <c r="P3278" s="5">
        <f>IF(O3278="","",IF(O3278&gt;0,1,0))</f>
        <v/>
      </c>
    </row>
    <row r="3279">
      <c r="A3279" s="5" t="n">
        <v>2111000000</v>
      </c>
      <c r="B3279" s="5" t="inlineStr">
        <is>
          <t>101358</t>
        </is>
      </c>
      <c r="C3279" s="5" t="inlineStr">
        <is>
          <t>MUNICIPIO DE LAJES</t>
        </is>
      </c>
      <c r="D3279" s="5" t="inlineStr">
        <is>
          <t>UE</t>
        </is>
      </c>
      <c r="E3279" s="5" t="n">
        <v>200010334</v>
      </c>
      <c r="F3279" s="5" t="inlineStr">
        <is>
          <t>17586</t>
        </is>
      </c>
      <c r="G3279" s="5" t="inlineStr">
        <is>
          <t>BRL</t>
        </is>
      </c>
      <c r="H3279" s="9" t="n">
        <v>-7175</v>
      </c>
      <c r="I3279" s="16" t="n">
        <v>44900</v>
      </c>
      <c r="J3279" s="16" t="n">
        <v>44900</v>
      </c>
      <c r="K3279" s="5" t="inlineStr">
        <is>
          <t>1143731</t>
        </is>
      </c>
      <c r="L3279" s="5" t="inlineStr">
        <is>
          <t>475100.210211</t>
        </is>
      </c>
      <c r="M3279" s="5">
        <f>IF(YEAR(I3279)&lt;=2020,"Até 2020",TEXT(YEAR(I3279),"0"))</f>
        <v/>
      </c>
      <c r="N3279" s="5">
        <f>IFERROR(INDEX(DePara!$A:$A,MATCH(TEXT(B3279,"0"),DePara!$D:$D,0)),"(sem categoria)")</f>
        <v/>
      </c>
      <c r="O3279" s="5">
        <f>IF(J3279="","",Parametros!$B$6-J3279)</f>
        <v/>
      </c>
      <c r="P3279" s="5">
        <f>IF(O3279="","",IF(O3279&gt;0,1,0))</f>
        <v/>
      </c>
    </row>
    <row r="3280">
      <c r="A3280" s="5" t="n">
        <v>2111000000</v>
      </c>
      <c r="B3280" s="5" t="inlineStr">
        <is>
          <t>101358</t>
        </is>
      </c>
      <c r="C3280" s="5" t="inlineStr">
        <is>
          <t>MUNICIPIO DE LAJES</t>
        </is>
      </c>
      <c r="D3280" s="5" t="inlineStr">
        <is>
          <t>UE</t>
        </is>
      </c>
      <c r="E3280" s="5" t="n">
        <v>200010335</v>
      </c>
      <c r="F3280" s="5" t="inlineStr">
        <is>
          <t>17587</t>
        </is>
      </c>
      <c r="G3280" s="5" t="inlineStr">
        <is>
          <t>BRL</t>
        </is>
      </c>
      <c r="H3280" s="9" t="n">
        <v>-1255.8</v>
      </c>
      <c r="I3280" s="16" t="n">
        <v>44911</v>
      </c>
      <c r="J3280" s="16" t="n">
        <v>44911</v>
      </c>
      <c r="K3280" s="5" t="inlineStr">
        <is>
          <t>1143734</t>
        </is>
      </c>
      <c r="L3280" s="5" t="inlineStr">
        <is>
          <t>475100.210211</t>
        </is>
      </c>
      <c r="M3280" s="5">
        <f>IF(YEAR(I3280)&lt;=2020,"Até 2020",TEXT(YEAR(I3280),"0"))</f>
        <v/>
      </c>
      <c r="N3280" s="5">
        <f>IFERROR(INDEX(DePara!$A:$A,MATCH(TEXT(B3280,"0"),DePara!$D:$D,0)),"(sem categoria)")</f>
        <v/>
      </c>
      <c r="O3280" s="5">
        <f>IF(J3280="","",Parametros!$B$6-J3280)</f>
        <v/>
      </c>
      <c r="P3280" s="5">
        <f>IF(O3280="","",IF(O3280&gt;0,1,0))</f>
        <v/>
      </c>
    </row>
    <row r="3281">
      <c r="A3281" s="5" t="n">
        <v>2111000000</v>
      </c>
      <c r="B3281" s="5" t="inlineStr">
        <is>
          <t>101763</t>
        </is>
      </c>
      <c r="C3281" s="5" t="inlineStr">
        <is>
          <t>MUNICIPIO DE LAGOA DO BARRO DO PIAU</t>
        </is>
      </c>
      <c r="D3281" s="5" t="inlineStr">
        <is>
          <t>UE</t>
        </is>
      </c>
      <c r="E3281" s="5" t="n">
        <v>200010336</v>
      </c>
      <c r="F3281" s="5" t="inlineStr">
        <is>
          <t>17588</t>
        </is>
      </c>
      <c r="G3281" s="5" t="inlineStr">
        <is>
          <t>BRL</t>
        </is>
      </c>
      <c r="H3281" s="9" t="n">
        <v>-5772.12</v>
      </c>
      <c r="I3281" s="16" t="n">
        <v>44881</v>
      </c>
      <c r="J3281" s="16" t="n">
        <v>44881</v>
      </c>
      <c r="K3281" s="5" t="inlineStr">
        <is>
          <t>1144557</t>
        </is>
      </c>
      <c r="L3281" s="5" t="inlineStr">
        <is>
          <t>475100.210211</t>
        </is>
      </c>
      <c r="M3281" s="5">
        <f>IF(YEAR(I3281)&lt;=2020,"Até 2020",TEXT(YEAR(I3281),"0"))</f>
        <v/>
      </c>
      <c r="N3281" s="5">
        <f>IFERROR(INDEX(DePara!$A:$A,MATCH(TEXT(B3281,"0"),DePara!$D:$D,0)),"(sem categoria)")</f>
        <v/>
      </c>
      <c r="O3281" s="5">
        <f>IF(J3281="","",Parametros!$B$6-J3281)</f>
        <v/>
      </c>
      <c r="P3281" s="5">
        <f>IF(O3281="","",IF(O3281&gt;0,1,0))</f>
        <v/>
      </c>
    </row>
    <row r="3282">
      <c r="A3282" s="5" t="n">
        <v>2111000000</v>
      </c>
      <c r="B3282" s="5" t="inlineStr">
        <is>
          <t>101763</t>
        </is>
      </c>
      <c r="C3282" s="5" t="inlineStr">
        <is>
          <t>MUNICIPIO DE LAGOA DO BARRO DO PIAU</t>
        </is>
      </c>
      <c r="D3282" s="5" t="inlineStr">
        <is>
          <t>UE</t>
        </is>
      </c>
      <c r="E3282" s="5" t="n">
        <v>200010337</v>
      </c>
      <c r="F3282" s="5" t="inlineStr">
        <is>
          <t>17589</t>
        </is>
      </c>
      <c r="G3282" s="5" t="inlineStr">
        <is>
          <t>BRL</t>
        </is>
      </c>
      <c r="H3282" s="9" t="n">
        <v>-6882.14</v>
      </c>
      <c r="I3282" s="16" t="n">
        <v>44897</v>
      </c>
      <c r="J3282" s="16" t="n">
        <v>44897</v>
      </c>
      <c r="K3282" s="5" t="inlineStr">
        <is>
          <t>1144560</t>
        </is>
      </c>
      <c r="L3282" s="5" t="inlineStr">
        <is>
          <t>475100.210211</t>
        </is>
      </c>
      <c r="M3282" s="5">
        <f>IF(YEAR(I3282)&lt;=2020,"Até 2020",TEXT(YEAR(I3282),"0"))</f>
        <v/>
      </c>
      <c r="N3282" s="5">
        <f>IFERROR(INDEX(DePara!$A:$A,MATCH(TEXT(B3282,"0"),DePara!$D:$D,0)),"(sem categoria)")</f>
        <v/>
      </c>
      <c r="O3282" s="5">
        <f>IF(J3282="","",Parametros!$B$6-J3282)</f>
        <v/>
      </c>
      <c r="P3282" s="5">
        <f>IF(O3282="","",IF(O3282&gt;0,1,0))</f>
        <v/>
      </c>
    </row>
    <row r="3283">
      <c r="A3283" s="5" t="n">
        <v>2111000000</v>
      </c>
      <c r="B3283" s="5" t="inlineStr">
        <is>
          <t>101763</t>
        </is>
      </c>
      <c r="C3283" s="5" t="inlineStr">
        <is>
          <t>MUNICIPIO DE LAGOA DO BARRO DO PIAU</t>
        </is>
      </c>
      <c r="D3283" s="5" t="inlineStr">
        <is>
          <t>UE</t>
        </is>
      </c>
      <c r="E3283" s="5" t="n">
        <v>200010339</v>
      </c>
      <c r="F3283" s="5" t="inlineStr">
        <is>
          <t>17590</t>
        </is>
      </c>
      <c r="G3283" s="5" t="inlineStr">
        <is>
          <t>BRL</t>
        </is>
      </c>
      <c r="H3283" s="9" t="n">
        <v>-6882.14</v>
      </c>
      <c r="I3283" s="16" t="n">
        <v>45001</v>
      </c>
      <c r="J3283" s="16" t="n">
        <v>45001</v>
      </c>
      <c r="K3283" s="5" t="inlineStr">
        <is>
          <t>1162893</t>
        </is>
      </c>
      <c r="L3283" s="5" t="inlineStr">
        <is>
          <t>475100.210211</t>
        </is>
      </c>
      <c r="M3283" s="5">
        <f>IF(YEAR(I3283)&lt;=2020,"Até 2020",TEXT(YEAR(I3283),"0"))</f>
        <v/>
      </c>
      <c r="N3283" s="5">
        <f>IFERROR(INDEX(DePara!$A:$A,MATCH(TEXT(B3283,"0"),DePara!$D:$D,0)),"(sem categoria)")</f>
        <v/>
      </c>
      <c r="O3283" s="5">
        <f>IF(J3283="","",Parametros!$B$6-J3283)</f>
        <v/>
      </c>
      <c r="P3283" s="5">
        <f>IF(O3283="","",IF(O3283&gt;0,1,0))</f>
        <v/>
      </c>
    </row>
    <row r="3284">
      <c r="A3284" s="5" t="n">
        <v>2111000000</v>
      </c>
      <c r="B3284" s="5" t="inlineStr">
        <is>
          <t>101763</t>
        </is>
      </c>
      <c r="C3284" s="5" t="inlineStr">
        <is>
          <t>MUNICIPIO DE LAGOA DO BARRO DO PIAU</t>
        </is>
      </c>
      <c r="D3284" s="5" t="inlineStr">
        <is>
          <t>UE</t>
        </is>
      </c>
      <c r="E3284" s="5" t="n">
        <v>200010341</v>
      </c>
      <c r="F3284" s="5" t="inlineStr">
        <is>
          <t>17592</t>
        </is>
      </c>
      <c r="G3284" s="5" t="inlineStr">
        <is>
          <t>BRL</t>
        </is>
      </c>
      <c r="H3284" s="9" t="n">
        <v>-1151.6</v>
      </c>
      <c r="I3284" s="16" t="n">
        <v>45083</v>
      </c>
      <c r="J3284" s="16" t="n">
        <v>45083</v>
      </c>
      <c r="K3284" s="5" t="inlineStr">
        <is>
          <t>1179829</t>
        </is>
      </c>
      <c r="L3284" s="5" t="inlineStr">
        <is>
          <t>475100.210211</t>
        </is>
      </c>
      <c r="M3284" s="5">
        <f>IF(YEAR(I3284)&lt;=2020,"Até 2020",TEXT(YEAR(I3284),"0"))</f>
        <v/>
      </c>
      <c r="N3284" s="5">
        <f>IFERROR(INDEX(DePara!$A:$A,MATCH(TEXT(B3284,"0"),DePara!$D:$D,0)),"(sem categoria)")</f>
        <v/>
      </c>
      <c r="O3284" s="5">
        <f>IF(J3284="","",Parametros!$B$6-J3284)</f>
        <v/>
      </c>
      <c r="P3284" s="5">
        <f>IF(O3284="","",IF(O3284&gt;0,1,0))</f>
        <v/>
      </c>
    </row>
    <row r="3285">
      <c r="A3285" s="5" t="n">
        <v>2111000000</v>
      </c>
      <c r="B3285" s="5" t="inlineStr">
        <is>
          <t>100910</t>
        </is>
      </c>
      <c r="C3285" s="5" t="inlineStr">
        <is>
          <t>DSV AIR E SEA BRASIL LTDA</t>
        </is>
      </c>
      <c r="D3285" s="5" t="inlineStr">
        <is>
          <t>UE</t>
        </is>
      </c>
      <c r="E3285" s="5" t="n">
        <v>200010342</v>
      </c>
      <c r="F3285" s="5" t="inlineStr">
        <is>
          <t>17593</t>
        </is>
      </c>
      <c r="G3285" s="5" t="inlineStr">
        <is>
          <t>BRL</t>
        </is>
      </c>
      <c r="H3285" s="9" t="n">
        <v>-1169.97</v>
      </c>
      <c r="I3285" s="16" t="n">
        <v>44474</v>
      </c>
      <c r="J3285" s="16" t="n">
        <v>44474</v>
      </c>
      <c r="K3285" s="5" t="inlineStr">
        <is>
          <t>1085475</t>
        </is>
      </c>
      <c r="L3285" s="5" t="inlineStr">
        <is>
          <t>400000.210101</t>
        </is>
      </c>
      <c r="M3285" s="5">
        <f>IF(YEAR(I3285)&lt;=2020,"Até 2020",TEXT(YEAR(I3285),"0"))</f>
        <v/>
      </c>
      <c r="N3285" s="5">
        <f>IFERROR(INDEX(DePara!$A:$A,MATCH(TEXT(B3285,"0"),DePara!$D:$D,0)),"(sem categoria)")</f>
        <v/>
      </c>
      <c r="O3285" s="5">
        <f>IF(J3285="","",Parametros!$B$6-J3285)</f>
        <v/>
      </c>
      <c r="P3285" s="5">
        <f>IF(O3285="","",IF(O3285&gt;0,1,0))</f>
        <v/>
      </c>
    </row>
    <row r="3286">
      <c r="A3286" s="5" t="n">
        <v>2111000000</v>
      </c>
      <c r="B3286" s="5" t="inlineStr">
        <is>
          <t>100910</t>
        </is>
      </c>
      <c r="C3286" s="5" t="inlineStr">
        <is>
          <t>DSV AIR E SEA BRASIL LTDA</t>
        </is>
      </c>
      <c r="D3286" s="5" t="inlineStr">
        <is>
          <t>UE</t>
        </is>
      </c>
      <c r="E3286" s="5" t="n">
        <v>200010343</v>
      </c>
      <c r="F3286" s="5" t="inlineStr">
        <is>
          <t>17594</t>
        </is>
      </c>
      <c r="G3286" s="5" t="inlineStr">
        <is>
          <t>BRL</t>
        </is>
      </c>
      <c r="H3286" s="9" t="n">
        <v>-1104.67</v>
      </c>
      <c r="I3286" s="16" t="n">
        <v>44615</v>
      </c>
      <c r="J3286" s="16" t="n">
        <v>44615</v>
      </c>
      <c r="K3286" s="5" t="inlineStr">
        <is>
          <t>1131748</t>
        </is>
      </c>
      <c r="L3286" s="5" t="inlineStr">
        <is>
          <t>400000.210101</t>
        </is>
      </c>
      <c r="M3286" s="5">
        <f>IF(YEAR(I3286)&lt;=2020,"Até 2020",TEXT(YEAR(I3286),"0"))</f>
        <v/>
      </c>
      <c r="N3286" s="5">
        <f>IFERROR(INDEX(DePara!$A:$A,MATCH(TEXT(B3286,"0"),DePara!$D:$D,0)),"(sem categoria)")</f>
        <v/>
      </c>
      <c r="O3286" s="5">
        <f>IF(J3286="","",Parametros!$B$6-J3286)</f>
        <v/>
      </c>
      <c r="P3286" s="5">
        <f>IF(O3286="","",IF(O3286&gt;0,1,0))</f>
        <v/>
      </c>
    </row>
    <row r="3287">
      <c r="A3287" s="5" t="n">
        <v>2111000000</v>
      </c>
      <c r="B3287" s="5" t="inlineStr">
        <is>
          <t>100910</t>
        </is>
      </c>
      <c r="C3287" s="5" t="inlineStr">
        <is>
          <t>DSV AIR E SEA BRASIL LTDA</t>
        </is>
      </c>
      <c r="D3287" s="5" t="inlineStr">
        <is>
          <t>UE</t>
        </is>
      </c>
      <c r="E3287" s="5" t="n">
        <v>200010345</v>
      </c>
      <c r="F3287" s="5" t="inlineStr">
        <is>
          <t>17596</t>
        </is>
      </c>
      <c r="G3287" s="5" t="inlineStr">
        <is>
          <t>BRL</t>
        </is>
      </c>
      <c r="H3287" s="9" t="n">
        <v>-1104.67</v>
      </c>
      <c r="I3287" s="16" t="n">
        <v>44615</v>
      </c>
      <c r="J3287" s="16" t="n">
        <v>44615</v>
      </c>
      <c r="K3287" s="5" t="inlineStr">
        <is>
          <t>1131769</t>
        </is>
      </c>
      <c r="L3287" s="5" t="inlineStr">
        <is>
          <t>400000.210101</t>
        </is>
      </c>
      <c r="M3287" s="5">
        <f>IF(YEAR(I3287)&lt;=2020,"Até 2020",TEXT(YEAR(I3287),"0"))</f>
        <v/>
      </c>
      <c r="N3287" s="5">
        <f>IFERROR(INDEX(DePara!$A:$A,MATCH(TEXT(B3287,"0"),DePara!$D:$D,0)),"(sem categoria)")</f>
        <v/>
      </c>
      <c r="O3287" s="5">
        <f>IF(J3287="","",Parametros!$B$6-J3287)</f>
        <v/>
      </c>
      <c r="P3287" s="5">
        <f>IF(O3287="","",IF(O3287&gt;0,1,0))</f>
        <v/>
      </c>
    </row>
    <row r="3288">
      <c r="A3288" s="5" t="n">
        <v>2111000000</v>
      </c>
      <c r="B3288" s="5" t="inlineStr">
        <is>
          <t>100759</t>
        </is>
      </c>
      <c r="C3288" s="5" t="inlineStr">
        <is>
          <t>MUNICIPIO DE UIBAI</t>
        </is>
      </c>
      <c r="D3288" s="5" t="inlineStr">
        <is>
          <t>UE</t>
        </is>
      </c>
      <c r="E3288" s="5" t="n">
        <v>200010352</v>
      </c>
      <c r="F3288" s="5" t="inlineStr">
        <is>
          <t>17601</t>
        </is>
      </c>
      <c r="G3288" s="5" t="inlineStr">
        <is>
          <t>BRL</t>
        </is>
      </c>
      <c r="H3288" s="9" t="n">
        <v>-1545.71</v>
      </c>
      <c r="I3288" s="16" t="n">
        <v>44994</v>
      </c>
      <c r="J3288" s="16" t="n">
        <v>44994</v>
      </c>
      <c r="K3288" s="5" t="inlineStr">
        <is>
          <t>1161093</t>
        </is>
      </c>
      <c r="L3288" s="5" t="inlineStr">
        <is>
          <t>475100.210211</t>
        </is>
      </c>
      <c r="M3288" s="5">
        <f>IF(YEAR(I3288)&lt;=2020,"Até 2020",TEXT(YEAR(I3288),"0"))</f>
        <v/>
      </c>
      <c r="N3288" s="5">
        <f>IFERROR(INDEX(DePara!$A:$A,MATCH(TEXT(B3288,"0"),DePara!$D:$D,0)),"(sem categoria)")</f>
        <v/>
      </c>
      <c r="O3288" s="5">
        <f>IF(J3288="","",Parametros!$B$6-J3288)</f>
        <v/>
      </c>
      <c r="P3288" s="5">
        <f>IF(O3288="","",IF(O3288&gt;0,1,0))</f>
        <v/>
      </c>
    </row>
    <row r="3289">
      <c r="A3289" s="5" t="n">
        <v>2111000000</v>
      </c>
      <c r="B3289" s="5" t="inlineStr">
        <is>
          <t>100759</t>
        </is>
      </c>
      <c r="C3289" s="5" t="inlineStr">
        <is>
          <t>MUNICIPIO DE UIBAI</t>
        </is>
      </c>
      <c r="D3289" s="5" t="inlineStr">
        <is>
          <t>UE</t>
        </is>
      </c>
      <c r="E3289" s="5" t="n">
        <v>200010353</v>
      </c>
      <c r="F3289" s="5" t="inlineStr">
        <is>
          <t>17602</t>
        </is>
      </c>
      <c r="G3289" s="5" t="inlineStr">
        <is>
          <t>BRL</t>
        </is>
      </c>
      <c r="H3289" s="9" t="n">
        <v>-2230.34</v>
      </c>
      <c r="I3289" s="16" t="n">
        <v>44988</v>
      </c>
      <c r="J3289" s="16" t="n">
        <v>44988</v>
      </c>
      <c r="K3289" s="5" t="inlineStr">
        <is>
          <t>1163721</t>
        </is>
      </c>
      <c r="L3289" s="5" t="inlineStr">
        <is>
          <t>475100.210211</t>
        </is>
      </c>
      <c r="M3289" s="5">
        <f>IF(YEAR(I3289)&lt;=2020,"Até 2020",TEXT(YEAR(I3289),"0"))</f>
        <v/>
      </c>
      <c r="N3289" s="5">
        <f>IFERROR(INDEX(DePara!$A:$A,MATCH(TEXT(B3289,"0"),DePara!$D:$D,0)),"(sem categoria)")</f>
        <v/>
      </c>
      <c r="O3289" s="5">
        <f>IF(J3289="","",Parametros!$B$6-J3289)</f>
        <v/>
      </c>
      <c r="P3289" s="5">
        <f>IF(O3289="","",IF(O3289&gt;0,1,0))</f>
        <v/>
      </c>
    </row>
    <row r="3290">
      <c r="A3290" s="5" t="n">
        <v>2111000000</v>
      </c>
      <c r="B3290" s="5" t="inlineStr">
        <is>
          <t>100759</t>
        </is>
      </c>
      <c r="C3290" s="5" t="inlineStr">
        <is>
          <t>MUNICIPIO DE UIBAI</t>
        </is>
      </c>
      <c r="D3290" s="5" t="inlineStr">
        <is>
          <t>UE</t>
        </is>
      </c>
      <c r="E3290" s="5" t="n">
        <v>200010355</v>
      </c>
      <c r="F3290" s="5" t="inlineStr">
        <is>
          <t>17604</t>
        </is>
      </c>
      <c r="G3290" s="5" t="inlineStr">
        <is>
          <t>BRL</t>
        </is>
      </c>
      <c r="H3290" s="9" t="n">
        <v>-2431.06</v>
      </c>
      <c r="I3290" s="16" t="n">
        <v>45050</v>
      </c>
      <c r="J3290" s="16" t="n">
        <v>45050</v>
      </c>
      <c r="K3290" s="5" t="inlineStr">
        <is>
          <t>1168897</t>
        </is>
      </c>
      <c r="L3290" s="5" t="inlineStr">
        <is>
          <t>475100.210211</t>
        </is>
      </c>
      <c r="M3290" s="5">
        <f>IF(YEAR(I3290)&lt;=2020,"Até 2020",TEXT(YEAR(I3290),"0"))</f>
        <v/>
      </c>
      <c r="N3290" s="5">
        <f>IFERROR(INDEX(DePara!$A:$A,MATCH(TEXT(B3290,"0"),DePara!$D:$D,0)),"(sem categoria)")</f>
        <v/>
      </c>
      <c r="O3290" s="5">
        <f>IF(J3290="","",Parametros!$B$6-J3290)</f>
        <v/>
      </c>
      <c r="P3290" s="5">
        <f>IF(O3290="","",IF(O3290&gt;0,1,0))</f>
        <v/>
      </c>
    </row>
    <row r="3291">
      <c r="A3291" s="5" t="n">
        <v>2111000000</v>
      </c>
      <c r="B3291" s="5" t="inlineStr">
        <is>
          <t>100759</t>
        </is>
      </c>
      <c r="C3291" s="5" t="inlineStr">
        <is>
          <t>MUNICIPIO DE UIBAI</t>
        </is>
      </c>
      <c r="D3291" s="5" t="inlineStr">
        <is>
          <t>UE</t>
        </is>
      </c>
      <c r="E3291" s="5" t="n">
        <v>200010356</v>
      </c>
      <c r="F3291" s="5" t="inlineStr">
        <is>
          <t>17605</t>
        </is>
      </c>
      <c r="G3291" s="5" t="inlineStr">
        <is>
          <t>BRL</t>
        </is>
      </c>
      <c r="H3291" s="9" t="n">
        <v>-1545.71</v>
      </c>
      <c r="I3291" s="16" t="n">
        <v>45049</v>
      </c>
      <c r="J3291" s="16" t="n">
        <v>45049</v>
      </c>
      <c r="K3291" s="5" t="inlineStr">
        <is>
          <t>1169596</t>
        </is>
      </c>
      <c r="L3291" s="5" t="inlineStr">
        <is>
          <t>475100.210211</t>
        </is>
      </c>
      <c r="M3291" s="5">
        <f>IF(YEAR(I3291)&lt;=2020,"Até 2020",TEXT(YEAR(I3291),"0"))</f>
        <v/>
      </c>
      <c r="N3291" s="5">
        <f>IFERROR(INDEX(DePara!$A:$A,MATCH(TEXT(B3291,"0"),DePara!$D:$D,0)),"(sem categoria)")</f>
        <v/>
      </c>
      <c r="O3291" s="5">
        <f>IF(J3291="","",Parametros!$B$6-J3291)</f>
        <v/>
      </c>
      <c r="P3291" s="5">
        <f>IF(O3291="","",IF(O3291&gt;0,1,0))</f>
        <v/>
      </c>
    </row>
    <row r="3292">
      <c r="A3292" s="5" t="n">
        <v>2111000000</v>
      </c>
      <c r="B3292" s="5" t="inlineStr">
        <is>
          <t>102081</t>
        </is>
      </c>
      <c r="C3292" s="5" t="inlineStr">
        <is>
          <t>MUNICIPIO DE PALMARES DO SUL</t>
        </is>
      </c>
      <c r="D3292" s="5" t="inlineStr">
        <is>
          <t>UE</t>
        </is>
      </c>
      <c r="E3292" s="5" t="n">
        <v>200010403</v>
      </c>
      <c r="F3292" s="5" t="inlineStr">
        <is>
          <t>17648</t>
        </is>
      </c>
      <c r="G3292" s="5" t="inlineStr">
        <is>
          <t>BRL</t>
        </is>
      </c>
      <c r="H3292" s="9" t="n">
        <v>-876.46</v>
      </c>
      <c r="I3292" s="16" t="n">
        <v>45007</v>
      </c>
      <c r="J3292" s="16" t="n">
        <v>45007</v>
      </c>
      <c r="K3292" s="5" t="inlineStr">
        <is>
          <t>1164013</t>
        </is>
      </c>
      <c r="L3292" s="5" t="inlineStr">
        <is>
          <t>475100.210211</t>
        </is>
      </c>
      <c r="M3292" s="5">
        <f>IF(YEAR(I3292)&lt;=2020,"Até 2020",TEXT(YEAR(I3292),"0"))</f>
        <v/>
      </c>
      <c r="N3292" s="5">
        <f>IFERROR(INDEX(DePara!$A:$A,MATCH(TEXT(B3292,"0"),DePara!$D:$D,0)),"(sem categoria)")</f>
        <v/>
      </c>
      <c r="O3292" s="5">
        <f>IF(J3292="","",Parametros!$B$6-J3292)</f>
        <v/>
      </c>
      <c r="P3292" s="5">
        <f>IF(O3292="","",IF(O3292&gt;0,1,0))</f>
        <v/>
      </c>
    </row>
    <row r="3293">
      <c r="A3293" s="5" t="n">
        <v>2111000000</v>
      </c>
      <c r="B3293" s="5" t="inlineStr">
        <is>
          <t>102081</t>
        </is>
      </c>
      <c r="C3293" s="5" t="inlineStr">
        <is>
          <t>MUNICIPIO DE PALMARES DO SUL</t>
        </is>
      </c>
      <c r="D3293" s="5" t="inlineStr">
        <is>
          <t>UE</t>
        </is>
      </c>
      <c r="E3293" s="5" t="n">
        <v>200010406</v>
      </c>
      <c r="F3293" s="5" t="inlineStr">
        <is>
          <t>17650</t>
        </is>
      </c>
      <c r="G3293" s="5" t="inlineStr">
        <is>
          <t>BRL</t>
        </is>
      </c>
      <c r="H3293" s="9" t="n">
        <v>-583.88</v>
      </c>
      <c r="I3293" s="16" t="n">
        <v>45059</v>
      </c>
      <c r="J3293" s="16" t="n">
        <v>45059</v>
      </c>
      <c r="K3293" s="5" t="inlineStr">
        <is>
          <t>1177137</t>
        </is>
      </c>
      <c r="L3293" s="5" t="inlineStr">
        <is>
          <t>475100.210211</t>
        </is>
      </c>
      <c r="M3293" s="5">
        <f>IF(YEAR(I3293)&lt;=2020,"Até 2020",TEXT(YEAR(I3293),"0"))</f>
        <v/>
      </c>
      <c r="N3293" s="5">
        <f>IFERROR(INDEX(DePara!$A:$A,MATCH(TEXT(B3293,"0"),DePara!$D:$D,0)),"(sem categoria)")</f>
        <v/>
      </c>
      <c r="O3293" s="5">
        <f>IF(J3293="","",Parametros!$B$6-J3293)</f>
        <v/>
      </c>
      <c r="P3293" s="5">
        <f>IF(O3293="","",IF(O3293&gt;0,1,0))</f>
        <v/>
      </c>
    </row>
    <row r="3294">
      <c r="A3294" s="5" t="n">
        <v>2111000000</v>
      </c>
      <c r="B3294" s="5" t="inlineStr">
        <is>
          <t>102008</t>
        </is>
      </c>
      <c r="C3294" s="5" t="inlineStr">
        <is>
          <t>MUNICIPIO DE ITAREMA</t>
        </is>
      </c>
      <c r="D3294" s="5" t="inlineStr">
        <is>
          <t>UE</t>
        </is>
      </c>
      <c r="E3294" s="5" t="n">
        <v>200010408</v>
      </c>
      <c r="F3294" s="5" t="inlineStr">
        <is>
          <t>17652</t>
        </is>
      </c>
      <c r="G3294" s="5" t="inlineStr">
        <is>
          <t>BRL</t>
        </is>
      </c>
      <c r="H3294" s="9" t="n">
        <v>-1249.97</v>
      </c>
      <c r="I3294" s="16" t="n">
        <v>45065</v>
      </c>
      <c r="J3294" s="16" t="n">
        <v>45065</v>
      </c>
      <c r="K3294" s="5" t="inlineStr">
        <is>
          <t>1179548</t>
        </is>
      </c>
      <c r="L3294" s="5" t="inlineStr">
        <is>
          <t>475100.210211</t>
        </is>
      </c>
      <c r="M3294" s="5">
        <f>IF(YEAR(I3294)&lt;=2020,"Até 2020",TEXT(YEAR(I3294),"0"))</f>
        <v/>
      </c>
      <c r="N3294" s="5">
        <f>IFERROR(INDEX(DePara!$A:$A,MATCH(TEXT(B3294,"0"),DePara!$D:$D,0)),"(sem categoria)")</f>
        <v/>
      </c>
      <c r="O3294" s="5">
        <f>IF(J3294="","",Parametros!$B$6-J3294)</f>
        <v/>
      </c>
      <c r="P3294" s="5">
        <f>IF(O3294="","",IF(O3294&gt;0,1,0))</f>
        <v/>
      </c>
    </row>
    <row r="3295">
      <c r="A3295" s="5" t="n">
        <v>2111000000</v>
      </c>
      <c r="B3295" s="5" t="inlineStr">
        <is>
          <t>100956</t>
        </is>
      </c>
      <c r="C3295" s="5" t="inlineStr">
        <is>
          <t>BREMER LLOYD BRAZIL LOGISTICS LTDA</t>
        </is>
      </c>
      <c r="D3295" s="5" t="inlineStr">
        <is>
          <t>UE</t>
        </is>
      </c>
      <c r="E3295" s="5" t="n">
        <v>200010410</v>
      </c>
      <c r="F3295" s="5" t="inlineStr">
        <is>
          <t>17654</t>
        </is>
      </c>
      <c r="G3295" s="5" t="inlineStr">
        <is>
          <t>BRL</t>
        </is>
      </c>
      <c r="H3295" s="9" t="n">
        <v>-2545.79</v>
      </c>
      <c r="I3295" s="16" t="n">
        <v>44641</v>
      </c>
      <c r="J3295" s="16" t="n">
        <v>44641</v>
      </c>
      <c r="K3295" s="5" t="inlineStr">
        <is>
          <t>1147692</t>
        </is>
      </c>
      <c r="L3295" s="5" t="inlineStr">
        <is>
          <t>400000.210101</t>
        </is>
      </c>
      <c r="M3295" s="5">
        <f>IF(YEAR(I3295)&lt;=2020,"Até 2020",TEXT(YEAR(I3295),"0"))</f>
        <v/>
      </c>
      <c r="N3295" s="5">
        <f>IFERROR(INDEX(DePara!$A:$A,MATCH(TEXT(B3295,"0"),DePara!$D:$D,0)),"(sem categoria)")</f>
        <v/>
      </c>
      <c r="O3295" s="5">
        <f>IF(J3295="","",Parametros!$B$6-J3295)</f>
        <v/>
      </c>
      <c r="P3295" s="5">
        <f>IF(O3295="","",IF(O3295&gt;0,1,0))</f>
        <v/>
      </c>
    </row>
    <row r="3296">
      <c r="A3296" s="5" t="n">
        <v>2111000000</v>
      </c>
      <c r="B3296" s="5" t="inlineStr">
        <is>
          <t>100833</t>
        </is>
      </c>
      <c r="C3296" s="5" t="inlineStr">
        <is>
          <t>MUNICIPIO DE JANDAIRA</t>
        </is>
      </c>
      <c r="D3296" s="5" t="inlineStr">
        <is>
          <t>UE</t>
        </is>
      </c>
      <c r="E3296" s="5" t="n">
        <v>200010411</v>
      </c>
      <c r="F3296" s="5" t="inlineStr">
        <is>
          <t>17655</t>
        </is>
      </c>
      <c r="G3296" s="5" t="inlineStr">
        <is>
          <t>BRL</t>
        </is>
      </c>
      <c r="H3296" s="9" t="n">
        <v>-953.72</v>
      </c>
      <c r="I3296" s="16" t="n">
        <v>44902</v>
      </c>
      <c r="J3296" s="16" t="n">
        <v>44902</v>
      </c>
      <c r="K3296" s="5" t="inlineStr">
        <is>
          <t>1147846</t>
        </is>
      </c>
      <c r="L3296" s="5" t="inlineStr">
        <is>
          <t>475100.210211</t>
        </is>
      </c>
      <c r="M3296" s="5">
        <f>IF(YEAR(I3296)&lt;=2020,"Até 2020",TEXT(YEAR(I3296),"0"))</f>
        <v/>
      </c>
      <c r="N3296" s="5">
        <f>IFERROR(INDEX(DePara!$A:$A,MATCH(TEXT(B3296,"0"),DePara!$D:$D,0)),"(sem categoria)")</f>
        <v/>
      </c>
      <c r="O3296" s="5">
        <f>IF(J3296="","",Parametros!$B$6-J3296)</f>
        <v/>
      </c>
      <c r="P3296" s="5">
        <f>IF(O3296="","",IF(O3296&gt;0,1,0))</f>
        <v/>
      </c>
    </row>
    <row r="3297">
      <c r="A3297" s="5" t="n">
        <v>2111000000</v>
      </c>
      <c r="B3297" s="5" t="inlineStr">
        <is>
          <t>100833</t>
        </is>
      </c>
      <c r="C3297" s="5" t="inlineStr">
        <is>
          <t>MUNICIPIO DE JANDAIRA</t>
        </is>
      </c>
      <c r="D3297" s="5" t="inlineStr">
        <is>
          <t>UE</t>
        </is>
      </c>
      <c r="E3297" s="5" t="n">
        <v>200010412</v>
      </c>
      <c r="F3297" s="5" t="inlineStr">
        <is>
          <t>17656</t>
        </is>
      </c>
      <c r="G3297" s="5" t="inlineStr">
        <is>
          <t>BRL</t>
        </is>
      </c>
      <c r="H3297" s="9" t="n">
        <v>-98.26000000000001</v>
      </c>
      <c r="I3297" s="16" t="n">
        <v>44902</v>
      </c>
      <c r="J3297" s="16" t="n">
        <v>44902</v>
      </c>
      <c r="K3297" s="5" t="inlineStr">
        <is>
          <t>1148926</t>
        </is>
      </c>
      <c r="L3297" s="5" t="inlineStr">
        <is>
          <t>475100.210211</t>
        </is>
      </c>
      <c r="M3297" s="5">
        <f>IF(YEAR(I3297)&lt;=2020,"Até 2020",TEXT(YEAR(I3297),"0"))</f>
        <v/>
      </c>
      <c r="N3297" s="5">
        <f>IFERROR(INDEX(DePara!$A:$A,MATCH(TEXT(B3297,"0"),DePara!$D:$D,0)),"(sem categoria)")</f>
        <v/>
      </c>
      <c r="O3297" s="5">
        <f>IF(J3297="","",Parametros!$B$6-J3297)</f>
        <v/>
      </c>
      <c r="P3297" s="5">
        <f>IF(O3297="","",IF(O3297&gt;0,1,0))</f>
        <v/>
      </c>
    </row>
    <row r="3298">
      <c r="A3298" s="5" t="n">
        <v>2111000000</v>
      </c>
      <c r="B3298" s="5" t="inlineStr">
        <is>
          <t>101763</t>
        </is>
      </c>
      <c r="C3298" s="5" t="inlineStr">
        <is>
          <t>MUNICIPIO DE LAGOA DO BARRO DO PIAU</t>
        </is>
      </c>
      <c r="D3298" s="5" t="inlineStr">
        <is>
          <t>UE</t>
        </is>
      </c>
      <c r="E3298" s="5" t="n">
        <v>200010413</v>
      </c>
      <c r="F3298" s="5" t="inlineStr">
        <is>
          <t>17657</t>
        </is>
      </c>
      <c r="G3298" s="5" t="inlineStr">
        <is>
          <t>BRL</t>
        </is>
      </c>
      <c r="H3298" s="9" t="n">
        <v>-93.56</v>
      </c>
      <c r="I3298" s="16" t="n">
        <v>45064</v>
      </c>
      <c r="J3298" s="16" t="n">
        <v>45064</v>
      </c>
      <c r="K3298" s="5" t="inlineStr">
        <is>
          <t>1174978</t>
        </is>
      </c>
      <c r="L3298" s="5" t="inlineStr">
        <is>
          <t>475100.210211</t>
        </is>
      </c>
      <c r="M3298" s="5">
        <f>IF(YEAR(I3298)&lt;=2020,"Até 2020",TEXT(YEAR(I3298),"0"))</f>
        <v/>
      </c>
      <c r="N3298" s="5">
        <f>IFERROR(INDEX(DePara!$A:$A,MATCH(TEXT(B3298,"0"),DePara!$D:$D,0)),"(sem categoria)")</f>
        <v/>
      </c>
      <c r="O3298" s="5">
        <f>IF(J3298="","",Parametros!$B$6-J3298)</f>
        <v/>
      </c>
      <c r="P3298" s="5">
        <f>IF(O3298="","",IF(O3298&gt;0,1,0))</f>
        <v/>
      </c>
    </row>
    <row r="3299">
      <c r="A3299" s="5" t="n">
        <v>2111000000</v>
      </c>
      <c r="B3299" s="5" t="inlineStr">
        <is>
          <t>101358</t>
        </is>
      </c>
      <c r="C3299" s="5" t="inlineStr">
        <is>
          <t>MUNICIPIO DE LAJES</t>
        </is>
      </c>
      <c r="D3299" s="5" t="inlineStr">
        <is>
          <t>UE</t>
        </is>
      </c>
      <c r="E3299" s="5" t="n">
        <v>200010420</v>
      </c>
      <c r="F3299" s="5" t="inlineStr">
        <is>
          <t>17663</t>
        </is>
      </c>
      <c r="G3299" s="5" t="inlineStr">
        <is>
          <t>BRL</t>
        </is>
      </c>
      <c r="H3299" s="9" t="n">
        <v>-0.04</v>
      </c>
      <c r="I3299" s="16" t="n">
        <v>44845</v>
      </c>
      <c r="J3299" s="16" t="n">
        <v>44845</v>
      </c>
      <c r="K3299" s="5" t="inlineStr">
        <is>
          <t>1136871</t>
        </is>
      </c>
      <c r="L3299" s="5" t="inlineStr">
        <is>
          <t>475100.210211</t>
        </is>
      </c>
      <c r="M3299" s="5">
        <f>IF(YEAR(I3299)&lt;=2020,"Até 2020",TEXT(YEAR(I3299),"0"))</f>
        <v/>
      </c>
      <c r="N3299" s="5">
        <f>IFERROR(INDEX(DePara!$A:$A,MATCH(TEXT(B3299,"0"),DePara!$D:$D,0)),"(sem categoria)")</f>
        <v/>
      </c>
      <c r="O3299" s="5">
        <f>IF(J3299="","",Parametros!$B$6-J3299)</f>
        <v/>
      </c>
      <c r="P3299" s="5">
        <f>IF(O3299="","",IF(O3299&gt;0,1,0))</f>
        <v/>
      </c>
    </row>
    <row r="3300">
      <c r="A3300" s="5" t="n">
        <v>2111000000</v>
      </c>
      <c r="B3300" s="5" t="inlineStr">
        <is>
          <t>101763</t>
        </is>
      </c>
      <c r="C3300" s="5" t="inlineStr">
        <is>
          <t>MUNICIPIO DE LAGOA DO BARRO DO PIAU</t>
        </is>
      </c>
      <c r="D3300" s="5" t="inlineStr">
        <is>
          <t>UE</t>
        </is>
      </c>
      <c r="E3300" s="5" t="n">
        <v>200010421</v>
      </c>
      <c r="F3300" s="5" t="inlineStr">
        <is>
          <t>17664</t>
        </is>
      </c>
      <c r="G3300" s="5" t="inlineStr">
        <is>
          <t>BRL</t>
        </is>
      </c>
      <c r="H3300" s="9" t="n">
        <v>-748.22</v>
      </c>
      <c r="I3300" s="16" t="n">
        <v>44850</v>
      </c>
      <c r="J3300" s="16" t="n">
        <v>44850</v>
      </c>
      <c r="K3300" s="5" t="inlineStr">
        <is>
          <t>1147324</t>
        </is>
      </c>
      <c r="L3300" s="5" t="inlineStr">
        <is>
          <t>475100.210211</t>
        </is>
      </c>
      <c r="M3300" s="5">
        <f>IF(YEAR(I3300)&lt;=2020,"Até 2020",TEXT(YEAR(I3300),"0"))</f>
        <v/>
      </c>
      <c r="N3300" s="5">
        <f>IFERROR(INDEX(DePara!$A:$A,MATCH(TEXT(B3300,"0"),DePara!$D:$D,0)),"(sem categoria)")</f>
        <v/>
      </c>
      <c r="O3300" s="5">
        <f>IF(J3300="","",Parametros!$B$6-J3300)</f>
        <v/>
      </c>
      <c r="P3300" s="5">
        <f>IF(O3300="","",IF(O3300&gt;0,1,0))</f>
        <v/>
      </c>
    </row>
    <row r="3301">
      <c r="A3301" s="5" t="n">
        <v>2111000000</v>
      </c>
      <c r="B3301" s="5" t="inlineStr">
        <is>
          <t>101358</t>
        </is>
      </c>
      <c r="C3301" s="5" t="inlineStr">
        <is>
          <t>MUNICIPIO DE LAJES</t>
        </is>
      </c>
      <c r="D3301" s="5" t="inlineStr">
        <is>
          <t>UE</t>
        </is>
      </c>
      <c r="E3301" s="5" t="n">
        <v>200010423</v>
      </c>
      <c r="F3301" s="5" t="inlineStr">
        <is>
          <t>17666</t>
        </is>
      </c>
      <c r="G3301" s="5" t="inlineStr">
        <is>
          <t>BRL</t>
        </is>
      </c>
      <c r="H3301" s="9" t="n">
        <v>-450</v>
      </c>
      <c r="I3301" s="16" t="n">
        <v>44872</v>
      </c>
      <c r="J3301" s="16" t="n">
        <v>44872</v>
      </c>
      <c r="K3301" s="5" t="inlineStr">
        <is>
          <t>1148389</t>
        </is>
      </c>
      <c r="L3301" s="5" t="inlineStr">
        <is>
          <t>475100.210211</t>
        </is>
      </c>
      <c r="M3301" s="5">
        <f>IF(YEAR(I3301)&lt;=2020,"Até 2020",TEXT(YEAR(I3301),"0"))</f>
        <v/>
      </c>
      <c r="N3301" s="5">
        <f>IFERROR(INDEX(DePara!$A:$A,MATCH(TEXT(B3301,"0"),DePara!$D:$D,0)),"(sem categoria)")</f>
        <v/>
      </c>
      <c r="O3301" s="5">
        <f>IF(J3301="","",Parametros!$B$6-J3301)</f>
        <v/>
      </c>
      <c r="P3301" s="5">
        <f>IF(O3301="","",IF(O3301&gt;0,1,0))</f>
        <v/>
      </c>
    </row>
    <row r="3302">
      <c r="A3302" s="5" t="n">
        <v>2111000000</v>
      </c>
      <c r="B3302" s="5" t="inlineStr">
        <is>
          <t>101763</t>
        </is>
      </c>
      <c r="C3302" s="5" t="inlineStr">
        <is>
          <t>MUNICIPIO DE LAGOA DO BARRO DO PIAU</t>
        </is>
      </c>
      <c r="D3302" s="5" t="inlineStr">
        <is>
          <t>UE</t>
        </is>
      </c>
      <c r="E3302" s="5" t="n">
        <v>200010424</v>
      </c>
      <c r="F3302" s="5" t="inlineStr">
        <is>
          <t>17667</t>
        </is>
      </c>
      <c r="G3302" s="5" t="inlineStr">
        <is>
          <t>BRL</t>
        </is>
      </c>
      <c r="H3302" s="9" t="n">
        <v>-177.73</v>
      </c>
      <c r="I3302" s="16" t="n">
        <v>44993</v>
      </c>
      <c r="J3302" s="16" t="n">
        <v>44993</v>
      </c>
      <c r="K3302" s="5" t="inlineStr">
        <is>
          <t>1163911</t>
        </is>
      </c>
      <c r="L3302" s="5" t="inlineStr">
        <is>
          <t>475100.210211</t>
        </is>
      </c>
      <c r="M3302" s="5">
        <f>IF(YEAR(I3302)&lt;=2020,"Até 2020",TEXT(YEAR(I3302),"0"))</f>
        <v/>
      </c>
      <c r="N3302" s="5">
        <f>IFERROR(INDEX(DePara!$A:$A,MATCH(TEXT(B3302,"0"),DePara!$D:$D,0)),"(sem categoria)")</f>
        <v/>
      </c>
      <c r="O3302" s="5">
        <f>IF(J3302="","",Parametros!$B$6-J3302)</f>
        <v/>
      </c>
      <c r="P3302" s="5">
        <f>IF(O3302="","",IF(O3302&gt;0,1,0))</f>
        <v/>
      </c>
    </row>
    <row r="3303">
      <c r="A3303" s="5" t="n">
        <v>2111000000</v>
      </c>
      <c r="B3303" s="5" t="inlineStr">
        <is>
          <t>101763</t>
        </is>
      </c>
      <c r="C3303" s="5" t="inlineStr">
        <is>
          <t>MUNICIPIO DE LAGOA DO BARRO DO PIAU</t>
        </is>
      </c>
      <c r="D3303" s="5" t="inlineStr">
        <is>
          <t>UE</t>
        </is>
      </c>
      <c r="E3303" s="5" t="n">
        <v>200010426</v>
      </c>
      <c r="F3303" s="5" t="inlineStr">
        <is>
          <t>17669</t>
        </is>
      </c>
      <c r="G3303" s="5" t="inlineStr">
        <is>
          <t>BRL</t>
        </is>
      </c>
      <c r="H3303" s="9" t="n">
        <v>-2475</v>
      </c>
      <c r="I3303" s="16" t="n">
        <v>44937</v>
      </c>
      <c r="J3303" s="16" t="n">
        <v>44937</v>
      </c>
      <c r="K3303" s="5" t="inlineStr">
        <is>
          <t>1165891</t>
        </is>
      </c>
      <c r="L3303" s="5" t="inlineStr">
        <is>
          <t>475100.210211</t>
        </is>
      </c>
      <c r="M3303" s="5">
        <f>IF(YEAR(I3303)&lt;=2020,"Até 2020",TEXT(YEAR(I3303),"0"))</f>
        <v/>
      </c>
      <c r="N3303" s="5">
        <f>IFERROR(INDEX(DePara!$A:$A,MATCH(TEXT(B3303,"0"),DePara!$D:$D,0)),"(sem categoria)")</f>
        <v/>
      </c>
      <c r="O3303" s="5">
        <f>IF(J3303="","",Parametros!$B$6-J3303)</f>
        <v/>
      </c>
      <c r="P3303" s="5">
        <f>IF(O3303="","",IF(O3303&gt;0,1,0))</f>
        <v/>
      </c>
    </row>
    <row r="3304">
      <c r="A3304" s="5" t="n">
        <v>2111000000</v>
      </c>
      <c r="B3304" s="5" t="inlineStr">
        <is>
          <t>101358</t>
        </is>
      </c>
      <c r="C3304" s="5" t="inlineStr">
        <is>
          <t>MUNICIPIO DE LAJES</t>
        </is>
      </c>
      <c r="D3304" s="5" t="inlineStr">
        <is>
          <t>UE</t>
        </is>
      </c>
      <c r="E3304" s="5" t="n">
        <v>200010429</v>
      </c>
      <c r="F3304" s="5" t="inlineStr">
        <is>
          <t>17671</t>
        </is>
      </c>
      <c r="G3304" s="5" t="inlineStr">
        <is>
          <t>BRL</t>
        </is>
      </c>
      <c r="H3304" s="9" t="n">
        <v>-450</v>
      </c>
      <c r="I3304" s="16" t="n">
        <v>45033</v>
      </c>
      <c r="J3304" s="16" t="n">
        <v>45033</v>
      </c>
      <c r="K3304" s="5" t="inlineStr">
        <is>
          <t>1168636</t>
        </is>
      </c>
      <c r="L3304" s="5" t="inlineStr">
        <is>
          <t>475100.210211</t>
        </is>
      </c>
      <c r="M3304" s="5">
        <f>IF(YEAR(I3304)&lt;=2020,"Até 2020",TEXT(YEAR(I3304),"0"))</f>
        <v/>
      </c>
      <c r="N3304" s="5">
        <f>IFERROR(INDEX(DePara!$A:$A,MATCH(TEXT(B3304,"0"),DePara!$D:$D,0)),"(sem categoria)")</f>
        <v/>
      </c>
      <c r="O3304" s="5">
        <f>IF(J3304="","",Parametros!$B$6-J3304)</f>
        <v/>
      </c>
      <c r="P3304" s="5">
        <f>IF(O3304="","",IF(O3304&gt;0,1,0))</f>
        <v/>
      </c>
    </row>
    <row r="3305">
      <c r="A3305" s="5" t="n">
        <v>2111000000</v>
      </c>
      <c r="B3305" s="5" t="inlineStr">
        <is>
          <t>101763</t>
        </is>
      </c>
      <c r="C3305" s="5" t="inlineStr">
        <is>
          <t>MUNICIPIO DE LAGOA DO BARRO DO PIAU</t>
        </is>
      </c>
      <c r="D3305" s="5" t="inlineStr">
        <is>
          <t>UE</t>
        </is>
      </c>
      <c r="E3305" s="5" t="n">
        <v>200010430</v>
      </c>
      <c r="F3305" s="5" t="inlineStr">
        <is>
          <t>17672</t>
        </is>
      </c>
      <c r="G3305" s="5" t="inlineStr">
        <is>
          <t>BRL</t>
        </is>
      </c>
      <c r="H3305" s="9" t="n">
        <v>-300</v>
      </c>
      <c r="I3305" s="16" t="n">
        <v>45001</v>
      </c>
      <c r="J3305" s="16" t="n">
        <v>45001</v>
      </c>
      <c r="K3305" s="5" t="inlineStr">
        <is>
          <t>1171025</t>
        </is>
      </c>
      <c r="L3305" s="5" t="inlineStr">
        <is>
          <t>475100.210211</t>
        </is>
      </c>
      <c r="M3305" s="5">
        <f>IF(YEAR(I3305)&lt;=2020,"Até 2020",TEXT(YEAR(I3305),"0"))</f>
        <v/>
      </c>
      <c r="N3305" s="5">
        <f>IFERROR(INDEX(DePara!$A:$A,MATCH(TEXT(B3305,"0"),DePara!$D:$D,0)),"(sem categoria)")</f>
        <v/>
      </c>
      <c r="O3305" s="5">
        <f>IF(J3305="","",Parametros!$B$6-J3305)</f>
        <v/>
      </c>
      <c r="P3305" s="5">
        <f>IF(O3305="","",IF(O3305&gt;0,1,0))</f>
        <v/>
      </c>
    </row>
    <row r="3306">
      <c r="A3306" s="5" t="n">
        <v>2111000000</v>
      </c>
      <c r="B3306" s="5" t="inlineStr">
        <is>
          <t>101763</t>
        </is>
      </c>
      <c r="C3306" s="5" t="inlineStr">
        <is>
          <t>MUNICIPIO DE LAGOA DO BARRO DO PIAU</t>
        </is>
      </c>
      <c r="D3306" s="5" t="inlineStr">
        <is>
          <t>UE</t>
        </is>
      </c>
      <c r="E3306" s="5" t="n">
        <v>200010432</v>
      </c>
      <c r="F3306" s="5" t="inlineStr">
        <is>
          <t>17674</t>
        </is>
      </c>
      <c r="G3306" s="5" t="inlineStr">
        <is>
          <t>BRL</t>
        </is>
      </c>
      <c r="H3306" s="9" t="n">
        <v>-3002.28</v>
      </c>
      <c r="I3306" s="16" t="n">
        <v>45001</v>
      </c>
      <c r="J3306" s="16" t="n">
        <v>45001</v>
      </c>
      <c r="K3306" s="5" t="inlineStr">
        <is>
          <t>1171425</t>
        </is>
      </c>
      <c r="L3306" s="5" t="inlineStr">
        <is>
          <t>475100.210211</t>
        </is>
      </c>
      <c r="M3306" s="5">
        <f>IF(YEAR(I3306)&lt;=2020,"Até 2020",TEXT(YEAR(I3306),"0"))</f>
        <v/>
      </c>
      <c r="N3306" s="5">
        <f>IFERROR(INDEX(DePara!$A:$A,MATCH(TEXT(B3306,"0"),DePara!$D:$D,0)),"(sem categoria)")</f>
        <v/>
      </c>
      <c r="O3306" s="5">
        <f>IF(J3306="","",Parametros!$B$6-J3306)</f>
        <v/>
      </c>
      <c r="P3306" s="5">
        <f>IF(O3306="","",IF(O3306&gt;0,1,0))</f>
        <v/>
      </c>
    </row>
    <row r="3307">
      <c r="A3307" s="5" t="n">
        <v>2111000000</v>
      </c>
      <c r="B3307" s="5" t="inlineStr">
        <is>
          <t>101358</t>
        </is>
      </c>
      <c r="C3307" s="5" t="inlineStr">
        <is>
          <t>MUNICIPIO DE LAJES</t>
        </is>
      </c>
      <c r="D3307" s="5" t="inlineStr">
        <is>
          <t>UE</t>
        </is>
      </c>
      <c r="E3307" s="5" t="n">
        <v>200010463</v>
      </c>
      <c r="F3307" s="5" t="inlineStr">
        <is>
          <t>17701</t>
        </is>
      </c>
      <c r="G3307" s="5" t="inlineStr">
        <is>
          <t>BRL</t>
        </is>
      </c>
      <c r="H3307" s="9" t="n">
        <v>-450</v>
      </c>
      <c r="I3307" s="16" t="n">
        <v>44973</v>
      </c>
      <c r="J3307" s="16" t="n">
        <v>44973</v>
      </c>
      <c r="K3307" s="5" t="inlineStr">
        <is>
          <t>1183127</t>
        </is>
      </c>
      <c r="L3307" s="5" t="inlineStr">
        <is>
          <t>475100.210211</t>
        </is>
      </c>
      <c r="M3307" s="5">
        <f>IF(YEAR(I3307)&lt;=2020,"Até 2020",TEXT(YEAR(I3307),"0"))</f>
        <v/>
      </c>
      <c r="N3307" s="5">
        <f>IFERROR(INDEX(DePara!$A:$A,MATCH(TEXT(B3307,"0"),DePara!$D:$D,0)),"(sem categoria)")</f>
        <v/>
      </c>
      <c r="O3307" s="5">
        <f>IF(J3307="","",Parametros!$B$6-J3307)</f>
        <v/>
      </c>
      <c r="P3307" s="5">
        <f>IF(O3307="","",IF(O3307&gt;0,1,0))</f>
        <v/>
      </c>
    </row>
    <row r="3308">
      <c r="A3308" s="5" t="n">
        <v>2111000000</v>
      </c>
      <c r="B3308" s="5" t="inlineStr">
        <is>
          <t>101358</t>
        </is>
      </c>
      <c r="C3308" s="5" t="inlineStr">
        <is>
          <t>MUNICIPIO DE LAJES</t>
        </is>
      </c>
      <c r="D3308" s="5" t="inlineStr">
        <is>
          <t>UE</t>
        </is>
      </c>
      <c r="E3308" s="5" t="n">
        <v>200010464</v>
      </c>
      <c r="F3308" s="5" t="inlineStr">
        <is>
          <t>17702</t>
        </is>
      </c>
      <c r="G3308" s="5" t="inlineStr">
        <is>
          <t>BRL</t>
        </is>
      </c>
      <c r="H3308" s="9" t="n">
        <v>-450</v>
      </c>
      <c r="I3308" s="16" t="n">
        <v>45001</v>
      </c>
      <c r="J3308" s="16" t="n">
        <v>45001</v>
      </c>
      <c r="K3308" s="5" t="inlineStr">
        <is>
          <t>1183139</t>
        </is>
      </c>
      <c r="L3308" s="5" t="inlineStr">
        <is>
          <t>475100.210211</t>
        </is>
      </c>
      <c r="M3308" s="5">
        <f>IF(YEAR(I3308)&lt;=2020,"Até 2020",TEXT(YEAR(I3308),"0"))</f>
        <v/>
      </c>
      <c r="N3308" s="5">
        <f>IFERROR(INDEX(DePara!$A:$A,MATCH(TEXT(B3308,"0"),DePara!$D:$D,0)),"(sem categoria)")</f>
        <v/>
      </c>
      <c r="O3308" s="5">
        <f>IF(J3308="","",Parametros!$B$6-J3308)</f>
        <v/>
      </c>
      <c r="P3308" s="5">
        <f>IF(O3308="","",IF(O3308&gt;0,1,0))</f>
        <v/>
      </c>
    </row>
    <row r="3309">
      <c r="A3309" s="5" t="n">
        <v>2111000000</v>
      </c>
      <c r="B3309" s="5" t="inlineStr">
        <is>
          <t>101763</t>
        </is>
      </c>
      <c r="C3309" s="5" t="inlineStr">
        <is>
          <t>MUNICIPIO DE LAGOA DO BARRO DO PIAU</t>
        </is>
      </c>
      <c r="D3309" s="5" t="inlineStr">
        <is>
          <t>UE</t>
        </is>
      </c>
      <c r="E3309" s="5" t="n">
        <v>200010479</v>
      </c>
      <c r="F3309" s="5" t="inlineStr">
        <is>
          <t>17716</t>
        </is>
      </c>
      <c r="G3309" s="5" t="inlineStr">
        <is>
          <t>BRL</t>
        </is>
      </c>
      <c r="H3309" s="9" t="n">
        <v>-291.67</v>
      </c>
      <c r="I3309" s="16" t="n">
        <v>44896</v>
      </c>
      <c r="J3309" s="16" t="n">
        <v>44896</v>
      </c>
      <c r="K3309" s="5" t="inlineStr">
        <is>
          <t>1143992</t>
        </is>
      </c>
      <c r="L3309" s="5" t="inlineStr">
        <is>
          <t>475100.210211</t>
        </is>
      </c>
      <c r="M3309" s="5">
        <f>IF(YEAR(I3309)&lt;=2020,"Até 2020",TEXT(YEAR(I3309),"0"))</f>
        <v/>
      </c>
      <c r="N3309" s="5">
        <f>IFERROR(INDEX(DePara!$A:$A,MATCH(TEXT(B3309,"0"),DePara!$D:$D,0)),"(sem categoria)")</f>
        <v/>
      </c>
      <c r="O3309" s="5">
        <f>IF(J3309="","",Parametros!$B$6-J3309)</f>
        <v/>
      </c>
      <c r="P3309" s="5">
        <f>IF(O3309="","",IF(O3309&gt;0,1,0))</f>
        <v/>
      </c>
    </row>
    <row r="3310">
      <c r="A3310" s="5" t="n">
        <v>2111000000</v>
      </c>
      <c r="B3310" s="5" t="inlineStr">
        <is>
          <t>101763</t>
        </is>
      </c>
      <c r="C3310" s="5" t="inlineStr">
        <is>
          <t>MUNICIPIO DE LAGOA DO BARRO DO PIAU</t>
        </is>
      </c>
      <c r="D3310" s="5" t="inlineStr">
        <is>
          <t>UE</t>
        </is>
      </c>
      <c r="E3310" s="5" t="n">
        <v>200010480</v>
      </c>
      <c r="F3310" s="5" t="inlineStr">
        <is>
          <t>17717</t>
        </is>
      </c>
      <c r="G3310" s="5" t="inlineStr">
        <is>
          <t>BRL</t>
        </is>
      </c>
      <c r="H3310" s="9" t="n">
        <v>-511.7</v>
      </c>
      <c r="I3310" s="16" t="n">
        <v>44869</v>
      </c>
      <c r="J3310" s="16" t="n">
        <v>44869</v>
      </c>
      <c r="K3310" s="5" t="inlineStr">
        <is>
          <t>1144073</t>
        </is>
      </c>
      <c r="L3310" s="5" t="inlineStr">
        <is>
          <t>475100.210211</t>
        </is>
      </c>
      <c r="M3310" s="5">
        <f>IF(YEAR(I3310)&lt;=2020,"Até 2020",TEXT(YEAR(I3310),"0"))</f>
        <v/>
      </c>
      <c r="N3310" s="5">
        <f>IFERROR(INDEX(DePara!$A:$A,MATCH(TEXT(B3310,"0"),DePara!$D:$D,0)),"(sem categoria)")</f>
        <v/>
      </c>
      <c r="O3310" s="5">
        <f>IF(J3310="","",Parametros!$B$6-J3310)</f>
        <v/>
      </c>
      <c r="P3310" s="5">
        <f>IF(O3310="","",IF(O3310&gt;0,1,0))</f>
        <v/>
      </c>
    </row>
    <row r="3311">
      <c r="A3311" s="5" t="n">
        <v>2111000000</v>
      </c>
      <c r="B3311" s="5" t="inlineStr">
        <is>
          <t>101763</t>
        </is>
      </c>
      <c r="C3311" s="5" t="inlineStr">
        <is>
          <t>MUNICIPIO DE LAGOA DO BARRO DO PIAU</t>
        </is>
      </c>
      <c r="D3311" s="5" t="inlineStr">
        <is>
          <t>UE</t>
        </is>
      </c>
      <c r="E3311" s="5" t="n">
        <v>200010481</v>
      </c>
      <c r="F3311" s="5" t="inlineStr">
        <is>
          <t>17718</t>
        </is>
      </c>
      <c r="G3311" s="5" t="inlineStr">
        <is>
          <t>BRL</t>
        </is>
      </c>
      <c r="H3311" s="9" t="n">
        <v>-258.95</v>
      </c>
      <c r="I3311" s="16" t="n">
        <v>44869</v>
      </c>
      <c r="J3311" s="16" t="n">
        <v>44869</v>
      </c>
      <c r="K3311" s="5" t="inlineStr">
        <is>
          <t>1144074</t>
        </is>
      </c>
      <c r="L3311" s="5" t="inlineStr">
        <is>
          <t>475100.210211</t>
        </is>
      </c>
      <c r="M3311" s="5">
        <f>IF(YEAR(I3311)&lt;=2020,"Até 2020",TEXT(YEAR(I3311),"0"))</f>
        <v/>
      </c>
      <c r="N3311" s="5">
        <f>IFERROR(INDEX(DePara!$A:$A,MATCH(TEXT(B3311,"0"),DePara!$D:$D,0)),"(sem categoria)")</f>
        <v/>
      </c>
      <c r="O3311" s="5">
        <f>IF(J3311="","",Parametros!$B$6-J3311)</f>
        <v/>
      </c>
      <c r="P3311" s="5">
        <f>IF(O3311="","",IF(O3311&gt;0,1,0))</f>
        <v/>
      </c>
    </row>
    <row r="3312">
      <c r="A3312" s="5" t="n">
        <v>2111000000</v>
      </c>
      <c r="B3312" s="5" t="inlineStr">
        <is>
          <t>101763</t>
        </is>
      </c>
      <c r="C3312" s="5" t="inlineStr">
        <is>
          <t>MUNICIPIO DE LAGOA DO BARRO DO PIAU</t>
        </is>
      </c>
      <c r="D3312" s="5" t="inlineStr">
        <is>
          <t>UE</t>
        </is>
      </c>
      <c r="E3312" s="5" t="n">
        <v>200010482</v>
      </c>
      <c r="F3312" s="5" t="inlineStr">
        <is>
          <t>17719</t>
        </is>
      </c>
      <c r="G3312" s="5" t="inlineStr">
        <is>
          <t>BRL</t>
        </is>
      </c>
      <c r="H3312" s="9" t="n">
        <v>-639.63</v>
      </c>
      <c r="I3312" s="16" t="n">
        <v>44914</v>
      </c>
      <c r="J3312" s="16" t="n">
        <v>44914</v>
      </c>
      <c r="K3312" s="5" t="inlineStr">
        <is>
          <t>1146484</t>
        </is>
      </c>
      <c r="L3312" s="5" t="inlineStr">
        <is>
          <t>475100.210211</t>
        </is>
      </c>
      <c r="M3312" s="5">
        <f>IF(YEAR(I3312)&lt;=2020,"Até 2020",TEXT(YEAR(I3312),"0"))</f>
        <v/>
      </c>
      <c r="N3312" s="5">
        <f>IFERROR(INDEX(DePara!$A:$A,MATCH(TEXT(B3312,"0"),DePara!$D:$D,0)),"(sem categoria)")</f>
        <v/>
      </c>
      <c r="O3312" s="5">
        <f>IF(J3312="","",Parametros!$B$6-J3312)</f>
        <v/>
      </c>
      <c r="P3312" s="5">
        <f>IF(O3312="","",IF(O3312&gt;0,1,0))</f>
        <v/>
      </c>
    </row>
    <row r="3313">
      <c r="A3313" s="5" t="n">
        <v>2111000000</v>
      </c>
      <c r="B3313" s="5" t="inlineStr">
        <is>
          <t>101763</t>
        </is>
      </c>
      <c r="C3313" s="5" t="inlineStr">
        <is>
          <t>MUNICIPIO DE LAGOA DO BARRO DO PIAU</t>
        </is>
      </c>
      <c r="D3313" s="5" t="inlineStr">
        <is>
          <t>UE</t>
        </is>
      </c>
      <c r="E3313" s="5" t="n">
        <v>200010484</v>
      </c>
      <c r="F3313" s="5" t="inlineStr">
        <is>
          <t>17720</t>
        </is>
      </c>
      <c r="G3313" s="5" t="inlineStr">
        <is>
          <t>BRL</t>
        </is>
      </c>
      <c r="H3313" s="9" t="n">
        <v>-127.93</v>
      </c>
      <c r="I3313" s="16" t="n">
        <v>44944</v>
      </c>
      <c r="J3313" s="16" t="n">
        <v>44944</v>
      </c>
      <c r="K3313" s="5" t="inlineStr">
        <is>
          <t>1150023</t>
        </is>
      </c>
      <c r="L3313" s="5" t="inlineStr">
        <is>
          <t>475100.210211</t>
        </is>
      </c>
      <c r="M3313" s="5">
        <f>IF(YEAR(I3313)&lt;=2020,"Até 2020",TEXT(YEAR(I3313),"0"))</f>
        <v/>
      </c>
      <c r="N3313" s="5">
        <f>IFERROR(INDEX(DePara!$A:$A,MATCH(TEXT(B3313,"0"),DePara!$D:$D,0)),"(sem categoria)")</f>
        <v/>
      </c>
      <c r="O3313" s="5">
        <f>IF(J3313="","",Parametros!$B$6-J3313)</f>
        <v/>
      </c>
      <c r="P3313" s="5">
        <f>IF(O3313="","",IF(O3313&gt;0,1,0))</f>
        <v/>
      </c>
    </row>
    <row r="3314">
      <c r="A3314" s="5" t="n">
        <v>2111000000</v>
      </c>
      <c r="B3314" s="5" t="inlineStr">
        <is>
          <t>101763</t>
        </is>
      </c>
      <c r="C3314" s="5" t="inlineStr">
        <is>
          <t>MUNICIPIO DE LAGOA DO BARRO DO PIAU</t>
        </is>
      </c>
      <c r="D3314" s="5" t="inlineStr">
        <is>
          <t>UE</t>
        </is>
      </c>
      <c r="E3314" s="5" t="n">
        <v>200010485</v>
      </c>
      <c r="F3314" s="5" t="inlineStr">
        <is>
          <t>17721</t>
        </is>
      </c>
      <c r="G3314" s="5" t="inlineStr">
        <is>
          <t>BRL</t>
        </is>
      </c>
      <c r="H3314" s="9" t="n">
        <v>-511.7</v>
      </c>
      <c r="I3314" s="16" t="n">
        <v>44944</v>
      </c>
      <c r="J3314" s="16" t="n">
        <v>44944</v>
      </c>
      <c r="K3314" s="5" t="inlineStr">
        <is>
          <t>1150025</t>
        </is>
      </c>
      <c r="L3314" s="5" t="inlineStr">
        <is>
          <t>475100.210211</t>
        </is>
      </c>
      <c r="M3314" s="5">
        <f>IF(YEAR(I3314)&lt;=2020,"Até 2020",TEXT(YEAR(I3314),"0"))</f>
        <v/>
      </c>
      <c r="N3314" s="5">
        <f>IFERROR(INDEX(DePara!$A:$A,MATCH(TEXT(B3314,"0"),DePara!$D:$D,0)),"(sem categoria)")</f>
        <v/>
      </c>
      <c r="O3314" s="5">
        <f>IF(J3314="","",Parametros!$B$6-J3314)</f>
        <v/>
      </c>
      <c r="P3314" s="5">
        <f>IF(O3314="","",IF(O3314&gt;0,1,0))</f>
        <v/>
      </c>
    </row>
    <row r="3315">
      <c r="A3315" s="5" t="n">
        <v>2111000000</v>
      </c>
      <c r="B3315" s="5" t="inlineStr">
        <is>
          <t>101763</t>
        </is>
      </c>
      <c r="C3315" s="5" t="inlineStr">
        <is>
          <t>MUNICIPIO DE LAGOA DO BARRO DO PIAU</t>
        </is>
      </c>
      <c r="D3315" s="5" t="inlineStr">
        <is>
          <t>UE</t>
        </is>
      </c>
      <c r="E3315" s="5" t="n">
        <v>200010486</v>
      </c>
      <c r="F3315" s="5" t="inlineStr">
        <is>
          <t>17722</t>
        </is>
      </c>
      <c r="G3315" s="5" t="inlineStr">
        <is>
          <t>BRL</t>
        </is>
      </c>
      <c r="H3315" s="9" t="n">
        <v>-1535.1</v>
      </c>
      <c r="I3315" s="16" t="n">
        <v>44959</v>
      </c>
      <c r="J3315" s="16" t="n">
        <v>44959</v>
      </c>
      <c r="K3315" s="5" t="inlineStr">
        <is>
          <t>1155901</t>
        </is>
      </c>
      <c r="L3315" s="5" t="inlineStr">
        <is>
          <t>475100.210211</t>
        </is>
      </c>
      <c r="M3315" s="5">
        <f>IF(YEAR(I3315)&lt;=2020,"Até 2020",TEXT(YEAR(I3315),"0"))</f>
        <v/>
      </c>
      <c r="N3315" s="5">
        <f>IFERROR(INDEX(DePara!$A:$A,MATCH(TEXT(B3315,"0"),DePara!$D:$D,0)),"(sem categoria)")</f>
        <v/>
      </c>
      <c r="O3315" s="5">
        <f>IF(J3315="","",Parametros!$B$6-J3315)</f>
        <v/>
      </c>
      <c r="P3315" s="5">
        <f>IF(O3315="","",IF(O3315&gt;0,1,0))</f>
        <v/>
      </c>
    </row>
    <row r="3316">
      <c r="A3316" s="5" t="n">
        <v>2111000000</v>
      </c>
      <c r="B3316" s="5" t="inlineStr">
        <is>
          <t>101763</t>
        </is>
      </c>
      <c r="C3316" s="5" t="inlineStr">
        <is>
          <t>MUNICIPIO DE LAGOA DO BARRO DO PIAU</t>
        </is>
      </c>
      <c r="D3316" s="5" t="inlineStr">
        <is>
          <t>UE</t>
        </is>
      </c>
      <c r="E3316" s="5" t="n">
        <v>200010487</v>
      </c>
      <c r="F3316" s="5" t="inlineStr">
        <is>
          <t>17723</t>
        </is>
      </c>
      <c r="G3316" s="5" t="inlineStr">
        <is>
          <t>BRL</t>
        </is>
      </c>
      <c r="H3316" s="9" t="n">
        <v>-850</v>
      </c>
      <c r="I3316" s="16" t="n">
        <v>44993</v>
      </c>
      <c r="J3316" s="16" t="n">
        <v>44993</v>
      </c>
      <c r="K3316" s="5" t="inlineStr">
        <is>
          <t>1170339</t>
        </is>
      </c>
      <c r="L3316" s="5" t="inlineStr">
        <is>
          <t>475100.210211</t>
        </is>
      </c>
      <c r="M3316" s="5">
        <f>IF(YEAR(I3316)&lt;=2020,"Até 2020",TEXT(YEAR(I3316),"0"))</f>
        <v/>
      </c>
      <c r="N3316" s="5">
        <f>IFERROR(INDEX(DePara!$A:$A,MATCH(TEXT(B3316,"0"),DePara!$D:$D,0)),"(sem categoria)")</f>
        <v/>
      </c>
      <c r="O3316" s="5">
        <f>IF(J3316="","",Parametros!$B$6-J3316)</f>
        <v/>
      </c>
      <c r="P3316" s="5">
        <f>IF(O3316="","",IF(O3316&gt;0,1,0))</f>
        <v/>
      </c>
    </row>
    <row r="3317">
      <c r="A3317" s="5" t="n">
        <v>2111000000</v>
      </c>
      <c r="B3317" s="5" t="inlineStr">
        <is>
          <t>101763</t>
        </is>
      </c>
      <c r="C3317" s="5" t="inlineStr">
        <is>
          <t>MUNICIPIO DE LAGOA DO BARRO DO PIAU</t>
        </is>
      </c>
      <c r="D3317" s="5" t="inlineStr">
        <is>
          <t>UE</t>
        </is>
      </c>
      <c r="E3317" s="5" t="n">
        <v>200010492</v>
      </c>
      <c r="F3317" s="5" t="inlineStr">
        <is>
          <t>17728</t>
        </is>
      </c>
      <c r="G3317" s="5" t="inlineStr">
        <is>
          <t>BRL</t>
        </is>
      </c>
      <c r="H3317" s="9" t="n">
        <v>-350</v>
      </c>
      <c r="I3317" s="16" t="n">
        <v>45055</v>
      </c>
      <c r="J3317" s="16" t="n">
        <v>45055</v>
      </c>
      <c r="K3317" s="5" t="inlineStr">
        <is>
          <t>1180628</t>
        </is>
      </c>
      <c r="L3317" s="5" t="inlineStr">
        <is>
          <t>475100.210211</t>
        </is>
      </c>
      <c r="M3317" s="5">
        <f>IF(YEAR(I3317)&lt;=2020,"Até 2020",TEXT(YEAR(I3317),"0"))</f>
        <v/>
      </c>
      <c r="N3317" s="5">
        <f>IFERROR(INDEX(DePara!$A:$A,MATCH(TEXT(B3317,"0"),DePara!$D:$D,0)),"(sem categoria)")</f>
        <v/>
      </c>
      <c r="O3317" s="5">
        <f>IF(J3317="","",Parametros!$B$6-J3317)</f>
        <v/>
      </c>
      <c r="P3317" s="5">
        <f>IF(O3317="","",IF(O3317&gt;0,1,0))</f>
        <v/>
      </c>
    </row>
    <row r="3318">
      <c r="A3318" s="5" t="n">
        <v>2111000000</v>
      </c>
      <c r="B3318" s="5" t="inlineStr">
        <is>
          <t>101358</t>
        </is>
      </c>
      <c r="C3318" s="5" t="inlineStr">
        <is>
          <t>MUNICIPIO DE LAJES</t>
        </is>
      </c>
      <c r="D3318" s="5" t="inlineStr">
        <is>
          <t>UE</t>
        </is>
      </c>
      <c r="E3318" s="5" t="n">
        <v>200010515</v>
      </c>
      <c r="F3318" s="5" t="inlineStr">
        <is>
          <t>17749</t>
        </is>
      </c>
      <c r="G3318" s="5" t="inlineStr">
        <is>
          <t>BRL</t>
        </is>
      </c>
      <c r="H3318" s="9" t="n">
        <v>-1248.56</v>
      </c>
      <c r="I3318" s="16" t="n">
        <v>44679</v>
      </c>
      <c r="J3318" s="16" t="n">
        <v>44679</v>
      </c>
      <c r="K3318" s="5" t="inlineStr">
        <is>
          <t>1100238</t>
        </is>
      </c>
      <c r="L3318" s="5" t="inlineStr">
        <is>
          <t>475100.210211</t>
        </is>
      </c>
      <c r="M3318" s="5">
        <f>IF(YEAR(I3318)&lt;=2020,"Até 2020",TEXT(YEAR(I3318),"0"))</f>
        <v/>
      </c>
      <c r="N3318" s="5">
        <f>IFERROR(INDEX(DePara!$A:$A,MATCH(TEXT(B3318,"0"),DePara!$D:$D,0)),"(sem categoria)")</f>
        <v/>
      </c>
      <c r="O3318" s="5">
        <f>IF(J3318="","",Parametros!$B$6-J3318)</f>
        <v/>
      </c>
      <c r="P3318" s="5">
        <f>IF(O3318="","",IF(O3318&gt;0,1,0))</f>
        <v/>
      </c>
    </row>
    <row r="3319">
      <c r="A3319" s="5" t="n">
        <v>2111000000</v>
      </c>
      <c r="B3319" s="5" t="inlineStr">
        <is>
          <t>101358</t>
        </is>
      </c>
      <c r="C3319" s="5" t="inlineStr">
        <is>
          <t>MUNICIPIO DE LAJES</t>
        </is>
      </c>
      <c r="D3319" s="5" t="inlineStr">
        <is>
          <t>UE</t>
        </is>
      </c>
      <c r="E3319" s="5" t="n">
        <v>200010521</v>
      </c>
      <c r="F3319" s="5" t="inlineStr">
        <is>
          <t>17754</t>
        </is>
      </c>
      <c r="G3319" s="5" t="inlineStr">
        <is>
          <t>BRL</t>
        </is>
      </c>
      <c r="H3319" s="9" t="n">
        <v>-496.36</v>
      </c>
      <c r="I3319" s="16" t="n">
        <v>44973</v>
      </c>
      <c r="J3319" s="16" t="n">
        <v>44973</v>
      </c>
      <c r="K3319" s="5" t="inlineStr">
        <is>
          <t>1157215</t>
        </is>
      </c>
      <c r="L3319" s="5" t="inlineStr">
        <is>
          <t>475100.210211</t>
        </is>
      </c>
      <c r="M3319" s="5">
        <f>IF(YEAR(I3319)&lt;=2020,"Até 2020",TEXT(YEAR(I3319),"0"))</f>
        <v/>
      </c>
      <c r="N3319" s="5">
        <f>IFERROR(INDEX(DePara!$A:$A,MATCH(TEXT(B3319,"0"),DePara!$D:$D,0)),"(sem categoria)")</f>
        <v/>
      </c>
      <c r="O3319" s="5">
        <f>IF(J3319="","",Parametros!$B$6-J3319)</f>
        <v/>
      </c>
      <c r="P3319" s="5">
        <f>IF(O3319="","",IF(O3319&gt;0,1,0))</f>
        <v/>
      </c>
    </row>
    <row r="3320">
      <c r="A3320" s="5" t="n">
        <v>2111000000</v>
      </c>
      <c r="B3320" s="5" t="inlineStr">
        <is>
          <t>101358</t>
        </is>
      </c>
      <c r="C3320" s="5" t="inlineStr">
        <is>
          <t>MUNICIPIO DE LAJES</t>
        </is>
      </c>
      <c r="D3320" s="5" t="inlineStr">
        <is>
          <t>UE</t>
        </is>
      </c>
      <c r="E3320" s="5" t="n">
        <v>200010529</v>
      </c>
      <c r="F3320" s="5" t="inlineStr">
        <is>
          <t>17761</t>
        </is>
      </c>
      <c r="G3320" s="5" t="inlineStr">
        <is>
          <t>BRL</t>
        </is>
      </c>
      <c r="H3320" s="9" t="n">
        <v>-1815.46</v>
      </c>
      <c r="I3320" s="16" t="n">
        <v>44998</v>
      </c>
      <c r="J3320" s="16" t="n">
        <v>44998</v>
      </c>
      <c r="K3320" s="5" t="inlineStr">
        <is>
          <t>1158908</t>
        </is>
      </c>
      <c r="L3320" s="5" t="inlineStr">
        <is>
          <t>475100.210211</t>
        </is>
      </c>
      <c r="M3320" s="5">
        <f>IF(YEAR(I3320)&lt;=2020,"Até 2020",TEXT(YEAR(I3320),"0"))</f>
        <v/>
      </c>
      <c r="N3320" s="5">
        <f>IFERROR(INDEX(DePara!$A:$A,MATCH(TEXT(B3320,"0"),DePara!$D:$D,0)),"(sem categoria)")</f>
        <v/>
      </c>
      <c r="O3320" s="5">
        <f>IF(J3320="","",Parametros!$B$6-J3320)</f>
        <v/>
      </c>
      <c r="P3320" s="5">
        <f>IF(O3320="","",IF(O3320&gt;0,1,0))</f>
        <v/>
      </c>
    </row>
    <row r="3321">
      <c r="A3321" s="5" t="n">
        <v>2111000000</v>
      </c>
      <c r="B3321" s="5" t="inlineStr">
        <is>
          <t>101358</t>
        </is>
      </c>
      <c r="C3321" s="5" t="inlineStr">
        <is>
          <t>MUNICIPIO DE LAJES</t>
        </is>
      </c>
      <c r="D3321" s="5" t="inlineStr">
        <is>
          <t>UE</t>
        </is>
      </c>
      <c r="E3321" s="5" t="n">
        <v>200010530</v>
      </c>
      <c r="F3321" s="5" t="inlineStr">
        <is>
          <t>17762</t>
        </is>
      </c>
      <c r="G3321" s="5" t="inlineStr">
        <is>
          <t>BRL</t>
        </is>
      </c>
      <c r="H3321" s="9" t="n">
        <v>-449.21</v>
      </c>
      <c r="I3321" s="16" t="n">
        <v>44915</v>
      </c>
      <c r="J3321" s="16" t="n">
        <v>44915</v>
      </c>
      <c r="K3321" s="5" t="inlineStr">
        <is>
          <t>1162435</t>
        </is>
      </c>
      <c r="L3321" s="5" t="inlineStr">
        <is>
          <t>475100.210211</t>
        </is>
      </c>
      <c r="M3321" s="5">
        <f>IF(YEAR(I3321)&lt;=2020,"Até 2020",TEXT(YEAR(I3321),"0"))</f>
        <v/>
      </c>
      <c r="N3321" s="5">
        <f>IFERROR(INDEX(DePara!$A:$A,MATCH(TEXT(B3321,"0"),DePara!$D:$D,0)),"(sem categoria)")</f>
        <v/>
      </c>
      <c r="O3321" s="5">
        <f>IF(J3321="","",Parametros!$B$6-J3321)</f>
        <v/>
      </c>
      <c r="P3321" s="5">
        <f>IF(O3321="","",IF(O3321&gt;0,1,0))</f>
        <v/>
      </c>
    </row>
    <row r="3322">
      <c r="A3322" s="5" t="n">
        <v>2111000000</v>
      </c>
      <c r="B3322" s="5" t="inlineStr">
        <is>
          <t>101358</t>
        </is>
      </c>
      <c r="C3322" s="5" t="inlineStr">
        <is>
          <t>MUNICIPIO DE LAJES</t>
        </is>
      </c>
      <c r="D3322" s="5" t="inlineStr">
        <is>
          <t>UE</t>
        </is>
      </c>
      <c r="E3322" s="5" t="n">
        <v>200010532</v>
      </c>
      <c r="F3322" s="5" t="inlineStr">
        <is>
          <t>17764</t>
        </is>
      </c>
      <c r="G3322" s="5" t="inlineStr">
        <is>
          <t>BRL</t>
        </is>
      </c>
      <c r="H3322" s="9" t="n">
        <v>-1191</v>
      </c>
      <c r="I3322" s="16" t="n">
        <v>44993</v>
      </c>
      <c r="J3322" s="16" t="n">
        <v>44993</v>
      </c>
      <c r="K3322" s="5" t="inlineStr">
        <is>
          <t>1162438</t>
        </is>
      </c>
      <c r="L3322" s="5" t="inlineStr">
        <is>
          <t>475100.210211</t>
        </is>
      </c>
      <c r="M3322" s="5">
        <f>IF(YEAR(I3322)&lt;=2020,"Até 2020",TEXT(YEAR(I3322),"0"))</f>
        <v/>
      </c>
      <c r="N3322" s="5">
        <f>IFERROR(INDEX(DePara!$A:$A,MATCH(TEXT(B3322,"0"),DePara!$D:$D,0)),"(sem categoria)")</f>
        <v/>
      </c>
      <c r="O3322" s="5">
        <f>IF(J3322="","",Parametros!$B$6-J3322)</f>
        <v/>
      </c>
      <c r="P3322" s="5">
        <f>IF(O3322="","",IF(O3322&gt;0,1,0))</f>
        <v/>
      </c>
    </row>
    <row r="3323">
      <c r="A3323" s="5" t="n">
        <v>2111000000</v>
      </c>
      <c r="B3323" s="5" t="inlineStr">
        <is>
          <t>101358</t>
        </is>
      </c>
      <c r="C3323" s="5" t="inlineStr">
        <is>
          <t>MUNICIPIO DE LAJES</t>
        </is>
      </c>
      <c r="D3323" s="5" t="inlineStr">
        <is>
          <t>UE</t>
        </is>
      </c>
      <c r="E3323" s="5" t="n">
        <v>200010534</v>
      </c>
      <c r="F3323" s="5" t="inlineStr">
        <is>
          <t>17766</t>
        </is>
      </c>
      <c r="G3323" s="5" t="inlineStr">
        <is>
          <t>BRL</t>
        </is>
      </c>
      <c r="H3323" s="9" t="n">
        <v>-96</v>
      </c>
      <c r="I3323" s="16" t="n">
        <v>44993</v>
      </c>
      <c r="J3323" s="16" t="n">
        <v>44993</v>
      </c>
      <c r="K3323" s="5" t="inlineStr">
        <is>
          <t>1162439</t>
        </is>
      </c>
      <c r="L3323" s="5" t="inlineStr">
        <is>
          <t>475100.210211</t>
        </is>
      </c>
      <c r="M3323" s="5">
        <f>IF(YEAR(I3323)&lt;=2020,"Até 2020",TEXT(YEAR(I3323),"0"))</f>
        <v/>
      </c>
      <c r="N3323" s="5">
        <f>IFERROR(INDEX(DePara!$A:$A,MATCH(TEXT(B3323,"0"),DePara!$D:$D,0)),"(sem categoria)")</f>
        <v/>
      </c>
      <c r="O3323" s="5">
        <f>IF(J3323="","",Parametros!$B$6-J3323)</f>
        <v/>
      </c>
      <c r="P3323" s="5">
        <f>IF(O3323="","",IF(O3323&gt;0,1,0))</f>
        <v/>
      </c>
    </row>
    <row r="3324">
      <c r="A3324" s="5" t="n">
        <v>2111000000</v>
      </c>
      <c r="B3324" s="5" t="inlineStr">
        <is>
          <t>101358</t>
        </is>
      </c>
      <c r="C3324" s="5" t="inlineStr">
        <is>
          <t>MUNICIPIO DE LAJES</t>
        </is>
      </c>
      <c r="D3324" s="5" t="inlineStr">
        <is>
          <t>UE</t>
        </is>
      </c>
      <c r="E3324" s="5" t="n">
        <v>200010536</v>
      </c>
      <c r="F3324" s="5" t="inlineStr">
        <is>
          <t>17768</t>
        </is>
      </c>
      <c r="G3324" s="5" t="inlineStr">
        <is>
          <t>BRL</t>
        </is>
      </c>
      <c r="H3324" s="9" t="n">
        <v>-1860.6</v>
      </c>
      <c r="I3324" s="16" t="n">
        <v>44956</v>
      </c>
      <c r="J3324" s="16" t="n">
        <v>44956</v>
      </c>
      <c r="K3324" s="5" t="inlineStr">
        <is>
          <t>1162547</t>
        </is>
      </c>
      <c r="L3324" s="5" t="inlineStr">
        <is>
          <t>475100.210211</t>
        </is>
      </c>
      <c r="M3324" s="5">
        <f>IF(YEAR(I3324)&lt;=2020,"Até 2020",TEXT(YEAR(I3324),"0"))</f>
        <v/>
      </c>
      <c r="N3324" s="5">
        <f>IFERROR(INDEX(DePara!$A:$A,MATCH(TEXT(B3324,"0"),DePara!$D:$D,0)),"(sem categoria)")</f>
        <v/>
      </c>
      <c r="O3324" s="5">
        <f>IF(J3324="","",Parametros!$B$6-J3324)</f>
        <v/>
      </c>
      <c r="P3324" s="5">
        <f>IF(O3324="","",IF(O3324&gt;0,1,0))</f>
        <v/>
      </c>
    </row>
    <row r="3325">
      <c r="A3325" s="5" t="n">
        <v>2111000000</v>
      </c>
      <c r="B3325" s="5" t="inlineStr">
        <is>
          <t>101358</t>
        </is>
      </c>
      <c r="C3325" s="5" t="inlineStr">
        <is>
          <t>MUNICIPIO DE LAJES</t>
        </is>
      </c>
      <c r="D3325" s="5" t="inlineStr">
        <is>
          <t>UE</t>
        </is>
      </c>
      <c r="E3325" s="5" t="n">
        <v>200010539</v>
      </c>
      <c r="F3325" s="5" t="inlineStr">
        <is>
          <t>17770</t>
        </is>
      </c>
      <c r="G3325" s="5" t="inlineStr">
        <is>
          <t>BRL</t>
        </is>
      </c>
      <c r="H3325" s="9" t="n">
        <v>-1311.43</v>
      </c>
      <c r="I3325" s="16" t="n">
        <v>45001</v>
      </c>
      <c r="J3325" s="16" t="n">
        <v>45001</v>
      </c>
      <c r="K3325" s="5" t="inlineStr">
        <is>
          <t>1167879</t>
        </is>
      </c>
      <c r="L3325" s="5" t="inlineStr">
        <is>
          <t>475100.210211</t>
        </is>
      </c>
      <c r="M3325" s="5">
        <f>IF(YEAR(I3325)&lt;=2020,"Até 2020",TEXT(YEAR(I3325),"0"))</f>
        <v/>
      </c>
      <c r="N3325" s="5">
        <f>IFERROR(INDEX(DePara!$A:$A,MATCH(TEXT(B3325,"0"),DePara!$D:$D,0)),"(sem categoria)")</f>
        <v/>
      </c>
      <c r="O3325" s="5">
        <f>IF(J3325="","",Parametros!$B$6-J3325)</f>
        <v/>
      </c>
      <c r="P3325" s="5">
        <f>IF(O3325="","",IF(O3325&gt;0,1,0))</f>
        <v/>
      </c>
    </row>
    <row r="3326">
      <c r="A3326" s="5" t="n">
        <v>2111000000</v>
      </c>
      <c r="B3326" s="5" t="inlineStr">
        <is>
          <t>101763</t>
        </is>
      </c>
      <c r="C3326" s="5" t="inlineStr">
        <is>
          <t>MUNICIPIO DE LAGOA DO BARRO DO PIAU</t>
        </is>
      </c>
      <c r="D3326" s="5" t="inlineStr">
        <is>
          <t>UE</t>
        </is>
      </c>
      <c r="E3326" s="5" t="n">
        <v>200010541</v>
      </c>
      <c r="F3326" s="5" t="inlineStr">
        <is>
          <t>17772</t>
        </is>
      </c>
      <c r="G3326" s="5" t="inlineStr">
        <is>
          <t>BRL</t>
        </is>
      </c>
      <c r="H3326" s="9" t="n">
        <v>-5430.59</v>
      </c>
      <c r="I3326" s="16" t="n">
        <v>44998</v>
      </c>
      <c r="J3326" s="16" t="n">
        <v>44998</v>
      </c>
      <c r="K3326" s="5" t="inlineStr">
        <is>
          <t>1168892</t>
        </is>
      </c>
      <c r="L3326" s="5" t="inlineStr">
        <is>
          <t>475100.210211</t>
        </is>
      </c>
      <c r="M3326" s="5">
        <f>IF(YEAR(I3326)&lt;=2020,"Até 2020",TEXT(YEAR(I3326),"0"))</f>
        <v/>
      </c>
      <c r="N3326" s="5">
        <f>IFERROR(INDEX(DePara!$A:$A,MATCH(TEXT(B3326,"0"),DePara!$D:$D,0)),"(sem categoria)")</f>
        <v/>
      </c>
      <c r="O3326" s="5">
        <f>IF(J3326="","",Parametros!$B$6-J3326)</f>
        <v/>
      </c>
      <c r="P3326" s="5">
        <f>IF(O3326="","",IF(O3326&gt;0,1,0))</f>
        <v/>
      </c>
    </row>
    <row r="3327">
      <c r="A3327" s="5" t="n">
        <v>2111000000</v>
      </c>
      <c r="B3327" s="5" t="inlineStr">
        <is>
          <t>101358</t>
        </is>
      </c>
      <c r="C3327" s="5" t="inlineStr">
        <is>
          <t>MUNICIPIO DE LAJES</t>
        </is>
      </c>
      <c r="D3327" s="5" t="inlineStr">
        <is>
          <t>UE</t>
        </is>
      </c>
      <c r="E3327" s="5" t="n">
        <v>200010543</v>
      </c>
      <c r="F3327" s="5" t="inlineStr">
        <is>
          <t>17774</t>
        </is>
      </c>
      <c r="G3327" s="5" t="inlineStr">
        <is>
          <t>BRL</t>
        </is>
      </c>
      <c r="H3327" s="9" t="n">
        <v>-2642.53</v>
      </c>
      <c r="I3327" s="16" t="n">
        <v>45092</v>
      </c>
      <c r="J3327" s="16" t="n">
        <v>45092</v>
      </c>
      <c r="K3327" s="5" t="inlineStr">
        <is>
          <t>1178732</t>
        </is>
      </c>
      <c r="L3327" s="5" t="inlineStr">
        <is>
          <t>475100.210211</t>
        </is>
      </c>
      <c r="M3327" s="5">
        <f>IF(YEAR(I3327)&lt;=2020,"Até 2020",TEXT(YEAR(I3327),"0"))</f>
        <v/>
      </c>
      <c r="N3327" s="5">
        <f>IFERROR(INDEX(DePara!$A:$A,MATCH(TEXT(B3327,"0"),DePara!$D:$D,0)),"(sem categoria)")</f>
        <v/>
      </c>
      <c r="O3327" s="5">
        <f>IF(J3327="","",Parametros!$B$6-J3327)</f>
        <v/>
      </c>
      <c r="P3327" s="5">
        <f>IF(O3327="","",IF(O3327&gt;0,1,0))</f>
        <v/>
      </c>
    </row>
    <row r="3328">
      <c r="A3328" s="5" t="n">
        <v>2111000000</v>
      </c>
      <c r="B3328" s="5" t="inlineStr">
        <is>
          <t>101358</t>
        </is>
      </c>
      <c r="C3328" s="5" t="inlineStr">
        <is>
          <t>MUNICIPIO DE LAJES</t>
        </is>
      </c>
      <c r="D3328" s="5" t="inlineStr">
        <is>
          <t>UE</t>
        </is>
      </c>
      <c r="E3328" s="5" t="n">
        <v>200010545</v>
      </c>
      <c r="F3328" s="5" t="inlineStr">
        <is>
          <t>17776</t>
        </is>
      </c>
      <c r="G3328" s="5" t="inlineStr">
        <is>
          <t>BRL</t>
        </is>
      </c>
      <c r="H3328" s="9" t="n">
        <v>-60</v>
      </c>
      <c r="I3328" s="16" t="n">
        <v>45092</v>
      </c>
      <c r="J3328" s="16" t="n">
        <v>45092</v>
      </c>
      <c r="K3328" s="5" t="inlineStr">
        <is>
          <t>1180130</t>
        </is>
      </c>
      <c r="L3328" s="5" t="inlineStr">
        <is>
          <t>475100.210211</t>
        </is>
      </c>
      <c r="M3328" s="5">
        <f>IF(YEAR(I3328)&lt;=2020,"Até 2020",TEXT(YEAR(I3328),"0"))</f>
        <v/>
      </c>
      <c r="N3328" s="5">
        <f>IFERROR(INDEX(DePara!$A:$A,MATCH(TEXT(B3328,"0"),DePara!$D:$D,0)),"(sem categoria)")</f>
        <v/>
      </c>
      <c r="O3328" s="5">
        <f>IF(J3328="","",Parametros!$B$6-J3328)</f>
        <v/>
      </c>
      <c r="P3328" s="5">
        <f>IF(O3328="","",IF(O3328&gt;0,1,0))</f>
        <v/>
      </c>
    </row>
    <row r="3329">
      <c r="A3329" s="5" t="n">
        <v>2111000000</v>
      </c>
      <c r="B3329" s="5" t="inlineStr">
        <is>
          <t>101763</t>
        </is>
      </c>
      <c r="C3329" s="5" t="inlineStr">
        <is>
          <t>MUNICIPIO DE LAGOA DO BARRO DO PIAU</t>
        </is>
      </c>
      <c r="D3329" s="5" t="inlineStr">
        <is>
          <t>UE</t>
        </is>
      </c>
      <c r="E3329" s="5" t="n">
        <v>200010564</v>
      </c>
      <c r="F3329" s="5" t="inlineStr">
        <is>
          <t>17793</t>
        </is>
      </c>
      <c r="G3329" s="5" t="inlineStr">
        <is>
          <t>BRL</t>
        </is>
      </c>
      <c r="H3329" s="9" t="n">
        <v>-3187.53</v>
      </c>
      <c r="I3329" s="16" t="n">
        <v>44928</v>
      </c>
      <c r="J3329" s="16" t="n">
        <v>44928</v>
      </c>
      <c r="K3329" s="5" t="inlineStr">
        <is>
          <t>1149473</t>
        </is>
      </c>
      <c r="L3329" s="5" t="inlineStr">
        <is>
          <t>475100.210211</t>
        </is>
      </c>
      <c r="M3329" s="5">
        <f>IF(YEAR(I3329)&lt;=2020,"Até 2020",TEXT(YEAR(I3329),"0"))</f>
        <v/>
      </c>
      <c r="N3329" s="5">
        <f>IFERROR(INDEX(DePara!$A:$A,MATCH(TEXT(B3329,"0"),DePara!$D:$D,0)),"(sem categoria)")</f>
        <v/>
      </c>
      <c r="O3329" s="5">
        <f>IF(J3329="","",Parametros!$B$6-J3329)</f>
        <v/>
      </c>
      <c r="P3329" s="5">
        <f>IF(O3329="","",IF(O3329&gt;0,1,0))</f>
        <v/>
      </c>
    </row>
    <row r="3330">
      <c r="A3330" s="5" t="n">
        <v>2111000000</v>
      </c>
      <c r="B3330" s="5" t="inlineStr">
        <is>
          <t>101763</t>
        </is>
      </c>
      <c r="C3330" s="5" t="inlineStr">
        <is>
          <t>MUNICIPIO DE LAGOA DO BARRO DO PIAU</t>
        </is>
      </c>
      <c r="D3330" s="5" t="inlineStr">
        <is>
          <t>UE</t>
        </is>
      </c>
      <c r="E3330" s="5" t="n">
        <v>200010565</v>
      </c>
      <c r="F3330" s="5" t="inlineStr">
        <is>
          <t>17794</t>
        </is>
      </c>
      <c r="G3330" s="5" t="inlineStr">
        <is>
          <t>BRL</t>
        </is>
      </c>
      <c r="H3330" s="9" t="n">
        <v>-3879.78</v>
      </c>
      <c r="I3330" s="16" t="n">
        <v>44959</v>
      </c>
      <c r="J3330" s="16" t="n">
        <v>44959</v>
      </c>
      <c r="K3330" s="5" t="inlineStr">
        <is>
          <t>1162511</t>
        </is>
      </c>
      <c r="L3330" s="5" t="inlineStr">
        <is>
          <t>475100.210211</t>
        </is>
      </c>
      <c r="M3330" s="5">
        <f>IF(YEAR(I3330)&lt;=2020,"Até 2020",TEXT(YEAR(I3330),"0"))</f>
        <v/>
      </c>
      <c r="N3330" s="5">
        <f>IFERROR(INDEX(DePara!$A:$A,MATCH(TEXT(B3330,"0"),DePara!$D:$D,0)),"(sem categoria)")</f>
        <v/>
      </c>
      <c r="O3330" s="5">
        <f>IF(J3330="","",Parametros!$B$6-J3330)</f>
        <v/>
      </c>
      <c r="P3330" s="5">
        <f>IF(O3330="","",IF(O3330&gt;0,1,0))</f>
        <v/>
      </c>
    </row>
    <row r="3331">
      <c r="A3331" s="5" t="n">
        <v>2111000000</v>
      </c>
      <c r="B3331" s="5" t="inlineStr">
        <is>
          <t>101763</t>
        </is>
      </c>
      <c r="C3331" s="5" t="inlineStr">
        <is>
          <t>MUNICIPIO DE LAGOA DO BARRO DO PIAU</t>
        </is>
      </c>
      <c r="D3331" s="5" t="inlineStr">
        <is>
          <t>UE</t>
        </is>
      </c>
      <c r="E3331" s="5" t="n">
        <v>200010567</v>
      </c>
      <c r="F3331" s="5" t="inlineStr">
        <is>
          <t>17796</t>
        </is>
      </c>
      <c r="G3331" s="5" t="inlineStr">
        <is>
          <t>BRL</t>
        </is>
      </c>
      <c r="H3331" s="9" t="n">
        <v>-3879.78</v>
      </c>
      <c r="I3331" s="16" t="n">
        <v>44987</v>
      </c>
      <c r="J3331" s="16" t="n">
        <v>44987</v>
      </c>
      <c r="K3331" s="5" t="inlineStr">
        <is>
          <t>1162514</t>
        </is>
      </c>
      <c r="L3331" s="5" t="inlineStr">
        <is>
          <t>475100.210211</t>
        </is>
      </c>
      <c r="M3331" s="5">
        <f>IF(YEAR(I3331)&lt;=2020,"Até 2020",TEXT(YEAR(I3331),"0"))</f>
        <v/>
      </c>
      <c r="N3331" s="5">
        <f>IFERROR(INDEX(DePara!$A:$A,MATCH(TEXT(B3331,"0"),DePara!$D:$D,0)),"(sem categoria)")</f>
        <v/>
      </c>
      <c r="O3331" s="5">
        <f>IF(J3331="","",Parametros!$B$6-J3331)</f>
        <v/>
      </c>
      <c r="P3331" s="5">
        <f>IF(O3331="","",IF(O3331&gt;0,1,0))</f>
        <v/>
      </c>
    </row>
    <row r="3332">
      <c r="A3332" s="5" t="n">
        <v>2111000000</v>
      </c>
      <c r="B3332" s="5" t="inlineStr">
        <is>
          <t>101763</t>
        </is>
      </c>
      <c r="C3332" s="5" t="inlineStr">
        <is>
          <t>MUNICIPIO DE LAGOA DO BARRO DO PIAU</t>
        </is>
      </c>
      <c r="D3332" s="5" t="inlineStr">
        <is>
          <t>UE</t>
        </is>
      </c>
      <c r="E3332" s="5" t="n">
        <v>200010574</v>
      </c>
      <c r="F3332" s="5" t="inlineStr">
        <is>
          <t>17801</t>
        </is>
      </c>
      <c r="G3332" s="5" t="inlineStr">
        <is>
          <t>BRL</t>
        </is>
      </c>
      <c r="H3332" s="9" t="n">
        <v>-2454.6</v>
      </c>
      <c r="I3332" s="16" t="n">
        <v>45054</v>
      </c>
      <c r="J3332" s="16" t="n">
        <v>45054</v>
      </c>
      <c r="K3332" s="5" t="inlineStr">
        <is>
          <t>1177312</t>
        </is>
      </c>
      <c r="L3332" s="5" t="inlineStr">
        <is>
          <t>475100.210211</t>
        </is>
      </c>
      <c r="M3332" s="5">
        <f>IF(YEAR(I3332)&lt;=2020,"Até 2020",TEXT(YEAR(I3332),"0"))</f>
        <v/>
      </c>
      <c r="N3332" s="5">
        <f>IFERROR(INDEX(DePara!$A:$A,MATCH(TEXT(B3332,"0"),DePara!$D:$D,0)),"(sem categoria)")</f>
        <v/>
      </c>
      <c r="O3332" s="5">
        <f>IF(J3332="","",Parametros!$B$6-J3332)</f>
        <v/>
      </c>
      <c r="P3332" s="5">
        <f>IF(O3332="","",IF(O3332&gt;0,1,0))</f>
        <v/>
      </c>
    </row>
    <row r="3333">
      <c r="A3333" s="5" t="n">
        <v>2111000000</v>
      </c>
      <c r="B3333" s="5" t="inlineStr">
        <is>
          <t>101358</t>
        </is>
      </c>
      <c r="C3333" s="5" t="inlineStr">
        <is>
          <t>MUNICIPIO DE LAJES</t>
        </is>
      </c>
      <c r="D3333" s="5" t="inlineStr">
        <is>
          <t>UE</t>
        </is>
      </c>
      <c r="E3333" s="5" t="n">
        <v>200010587</v>
      </c>
      <c r="F3333" s="5" t="inlineStr">
        <is>
          <t>17813</t>
        </is>
      </c>
      <c r="G3333" s="5" t="inlineStr">
        <is>
          <t>BRL</t>
        </is>
      </c>
      <c r="H3333" s="9" t="n">
        <v>-310.33</v>
      </c>
      <c r="I3333" s="16" t="n">
        <v>44876</v>
      </c>
      <c r="J3333" s="16" t="n">
        <v>44876</v>
      </c>
      <c r="K3333" s="5" t="inlineStr">
        <is>
          <t>1132835</t>
        </is>
      </c>
      <c r="L3333" s="5" t="inlineStr">
        <is>
          <t>475100.210211</t>
        </is>
      </c>
      <c r="M3333" s="5">
        <f>IF(YEAR(I3333)&lt;=2020,"Até 2020",TEXT(YEAR(I3333),"0"))</f>
        <v/>
      </c>
      <c r="N3333" s="5">
        <f>IFERROR(INDEX(DePara!$A:$A,MATCH(TEXT(B3333,"0"),DePara!$D:$D,0)),"(sem categoria)")</f>
        <v/>
      </c>
      <c r="O3333" s="5">
        <f>IF(J3333="","",Parametros!$B$6-J3333)</f>
        <v/>
      </c>
      <c r="P3333" s="5">
        <f>IF(O3333="","",IF(O3333&gt;0,1,0))</f>
        <v/>
      </c>
    </row>
    <row r="3334">
      <c r="A3334" s="5" t="n">
        <v>2111000000</v>
      </c>
      <c r="B3334" s="5" t="inlineStr">
        <is>
          <t>101358</t>
        </is>
      </c>
      <c r="C3334" s="5" t="inlineStr">
        <is>
          <t>MUNICIPIO DE LAJES</t>
        </is>
      </c>
      <c r="D3334" s="5" t="inlineStr">
        <is>
          <t>UE</t>
        </is>
      </c>
      <c r="E3334" s="5" t="n">
        <v>200010588</v>
      </c>
      <c r="F3334" s="5" t="inlineStr">
        <is>
          <t>17814</t>
        </is>
      </c>
      <c r="G3334" s="5" t="inlineStr">
        <is>
          <t>BRL</t>
        </is>
      </c>
      <c r="H3334" s="9" t="n">
        <v>-245.03</v>
      </c>
      <c r="I3334" s="16" t="n">
        <v>44876</v>
      </c>
      <c r="J3334" s="16" t="n">
        <v>44876</v>
      </c>
      <c r="K3334" s="5" t="inlineStr">
        <is>
          <t>1132838</t>
        </is>
      </c>
      <c r="L3334" s="5" t="inlineStr">
        <is>
          <t>475100.210211</t>
        </is>
      </c>
      <c r="M3334" s="5">
        <f>IF(YEAR(I3334)&lt;=2020,"Até 2020",TEXT(YEAR(I3334),"0"))</f>
        <v/>
      </c>
      <c r="N3334" s="5">
        <f>IFERROR(INDEX(DePara!$A:$A,MATCH(TEXT(B3334,"0"),DePara!$D:$D,0)),"(sem categoria)")</f>
        <v/>
      </c>
      <c r="O3334" s="5">
        <f>IF(J3334="","",Parametros!$B$6-J3334)</f>
        <v/>
      </c>
      <c r="P3334" s="5">
        <f>IF(O3334="","",IF(O3334&gt;0,1,0))</f>
        <v/>
      </c>
    </row>
    <row r="3335">
      <c r="A3335" s="5" t="n">
        <v>2111000000</v>
      </c>
      <c r="B3335" s="5" t="inlineStr">
        <is>
          <t>101358</t>
        </is>
      </c>
      <c r="C3335" s="5" t="inlineStr">
        <is>
          <t>MUNICIPIO DE LAJES</t>
        </is>
      </c>
      <c r="D3335" s="5" t="inlineStr">
        <is>
          <t>UE</t>
        </is>
      </c>
      <c r="E3335" s="5" t="n">
        <v>200010589</v>
      </c>
      <c r="F3335" s="5" t="inlineStr">
        <is>
          <t>17815</t>
        </is>
      </c>
      <c r="G3335" s="5" t="inlineStr">
        <is>
          <t>BRL</t>
        </is>
      </c>
      <c r="H3335" s="9" t="n">
        <v>-4111.56</v>
      </c>
      <c r="I3335" s="16" t="n">
        <v>44876</v>
      </c>
      <c r="J3335" s="16" t="n">
        <v>44876</v>
      </c>
      <c r="K3335" s="5" t="inlineStr">
        <is>
          <t>1132840</t>
        </is>
      </c>
      <c r="L3335" s="5" t="inlineStr">
        <is>
          <t>475100.210211</t>
        </is>
      </c>
      <c r="M3335" s="5">
        <f>IF(YEAR(I3335)&lt;=2020,"Até 2020",TEXT(YEAR(I3335),"0"))</f>
        <v/>
      </c>
      <c r="N3335" s="5">
        <f>IFERROR(INDEX(DePara!$A:$A,MATCH(TEXT(B3335,"0"),DePara!$D:$D,0)),"(sem categoria)")</f>
        <v/>
      </c>
      <c r="O3335" s="5">
        <f>IF(J3335="","",Parametros!$B$6-J3335)</f>
        <v/>
      </c>
      <c r="P3335" s="5">
        <f>IF(O3335="","",IF(O3335&gt;0,1,0))</f>
        <v/>
      </c>
    </row>
    <row r="3336">
      <c r="A3336" s="5" t="n">
        <v>2111000000</v>
      </c>
      <c r="B3336" s="5" t="inlineStr">
        <is>
          <t>101763</t>
        </is>
      </c>
      <c r="C3336" s="5" t="inlineStr">
        <is>
          <t>MUNICIPIO DE LAGOA DO BARRO DO PIAU</t>
        </is>
      </c>
      <c r="D3336" s="5" t="inlineStr">
        <is>
          <t>UE</t>
        </is>
      </c>
      <c r="E3336" s="5" t="n">
        <v>200010591</v>
      </c>
      <c r="F3336" s="5" t="inlineStr">
        <is>
          <t>17817</t>
        </is>
      </c>
      <c r="G3336" s="5" t="inlineStr">
        <is>
          <t>BRL</t>
        </is>
      </c>
      <c r="H3336" s="9" t="n">
        <v>-14408.99</v>
      </c>
      <c r="I3336" s="16" t="n">
        <v>45065</v>
      </c>
      <c r="J3336" s="16" t="n">
        <v>45065</v>
      </c>
      <c r="K3336" s="5" t="inlineStr">
        <is>
          <t>1177322</t>
        </is>
      </c>
      <c r="L3336" s="5" t="inlineStr">
        <is>
          <t>475100.210211</t>
        </is>
      </c>
      <c r="M3336" s="5">
        <f>IF(YEAR(I3336)&lt;=2020,"Até 2020",TEXT(YEAR(I3336),"0"))</f>
        <v/>
      </c>
      <c r="N3336" s="5">
        <f>IFERROR(INDEX(DePara!$A:$A,MATCH(TEXT(B3336,"0"),DePara!$D:$D,0)),"(sem categoria)")</f>
        <v/>
      </c>
      <c r="O3336" s="5">
        <f>IF(J3336="","",Parametros!$B$6-J3336)</f>
        <v/>
      </c>
      <c r="P3336" s="5">
        <f>IF(O3336="","",IF(O3336&gt;0,1,0))</f>
        <v/>
      </c>
    </row>
    <row r="3337">
      <c r="A3337" s="5" t="n">
        <v>2111000000</v>
      </c>
      <c r="B3337" s="5" t="inlineStr">
        <is>
          <t>100833</t>
        </is>
      </c>
      <c r="C3337" s="5" t="inlineStr">
        <is>
          <t>MUNICIPIO DE JANDAIRA</t>
        </is>
      </c>
      <c r="D3337" s="5" t="inlineStr">
        <is>
          <t>UE</t>
        </is>
      </c>
      <c r="E3337" s="5" t="n">
        <v>200010602</v>
      </c>
      <c r="F3337" s="5" t="inlineStr">
        <is>
          <t>17827</t>
        </is>
      </c>
      <c r="G3337" s="5" t="inlineStr">
        <is>
          <t>BRL</t>
        </is>
      </c>
      <c r="H3337" s="9" t="n">
        <v>-4727.2</v>
      </c>
      <c r="I3337" s="16" t="n">
        <v>44931</v>
      </c>
      <c r="J3337" s="16" t="n">
        <v>44931</v>
      </c>
      <c r="K3337" s="5" t="inlineStr">
        <is>
          <t>1151585</t>
        </is>
      </c>
      <c r="L3337" s="5" t="inlineStr">
        <is>
          <t>475100.210211</t>
        </is>
      </c>
      <c r="M3337" s="5">
        <f>IF(YEAR(I3337)&lt;=2020,"Até 2020",TEXT(YEAR(I3337),"0"))</f>
        <v/>
      </c>
      <c r="N3337" s="5">
        <f>IFERROR(INDEX(DePara!$A:$A,MATCH(TEXT(B3337,"0"),DePara!$D:$D,0)),"(sem categoria)")</f>
        <v/>
      </c>
      <c r="O3337" s="5">
        <f>IF(J3337="","",Parametros!$B$6-J3337)</f>
        <v/>
      </c>
      <c r="P3337" s="5">
        <f>IF(O3337="","",IF(O3337&gt;0,1,0))</f>
        <v/>
      </c>
    </row>
    <row r="3338">
      <c r="A3338" s="5" t="n">
        <v>2111000000</v>
      </c>
      <c r="B3338" s="5" t="inlineStr">
        <is>
          <t>101763</t>
        </is>
      </c>
      <c r="C3338" s="5" t="inlineStr">
        <is>
          <t>MUNICIPIO DE LAGOA DO BARRO DO PIAU</t>
        </is>
      </c>
      <c r="D3338" s="5" t="inlineStr">
        <is>
          <t>UE</t>
        </is>
      </c>
      <c r="E3338" s="5" t="n">
        <v>200010610</v>
      </c>
      <c r="F3338" s="5" t="inlineStr">
        <is>
          <t>17834</t>
        </is>
      </c>
      <c r="G3338" s="5" t="inlineStr">
        <is>
          <t>BRL</t>
        </is>
      </c>
      <c r="H3338" s="9" t="n">
        <v>-2300</v>
      </c>
      <c r="I3338" s="16" t="n">
        <v>44967</v>
      </c>
      <c r="J3338" s="16" t="n">
        <v>44967</v>
      </c>
      <c r="K3338" s="5" t="inlineStr">
        <is>
          <t>1162451</t>
        </is>
      </c>
      <c r="L3338" s="5" t="inlineStr">
        <is>
          <t>475100.210211</t>
        </is>
      </c>
      <c r="M3338" s="5">
        <f>IF(YEAR(I3338)&lt;=2020,"Até 2020",TEXT(YEAR(I3338),"0"))</f>
        <v/>
      </c>
      <c r="N3338" s="5">
        <f>IFERROR(INDEX(DePara!$A:$A,MATCH(TEXT(B3338,"0"),DePara!$D:$D,0)),"(sem categoria)")</f>
        <v/>
      </c>
      <c r="O3338" s="5">
        <f>IF(J3338="","",Parametros!$B$6-J3338)</f>
        <v/>
      </c>
      <c r="P3338" s="5">
        <f>IF(O3338="","",IF(O3338&gt;0,1,0))</f>
        <v/>
      </c>
    </row>
    <row r="3339">
      <c r="A3339" s="5" t="n">
        <v>2111000000</v>
      </c>
      <c r="B3339" s="5" t="inlineStr">
        <is>
          <t>102332</t>
        </is>
      </c>
      <c r="C3339" s="5" t="inlineStr">
        <is>
          <t>RAFAEL ANTONIO SAADI</t>
        </is>
      </c>
      <c r="D3339" s="5" t="inlineStr">
        <is>
          <t>UE</t>
        </is>
      </c>
      <c r="E3339" s="5" t="n">
        <v>200010611</v>
      </c>
      <c r="F3339" s="5" t="inlineStr">
        <is>
          <t>17835</t>
        </is>
      </c>
      <c r="G3339" s="5" t="inlineStr">
        <is>
          <t>BRL</t>
        </is>
      </c>
      <c r="H3339" s="9" t="n">
        <v>-9149.450000000001</v>
      </c>
      <c r="I3339" s="16" t="n">
        <v>45110</v>
      </c>
      <c r="J3339" s="16" t="n">
        <v>45110</v>
      </c>
      <c r="K3339" s="5" t="inlineStr">
        <is>
          <t>1180152</t>
        </is>
      </c>
      <c r="L3339" s="5" t="inlineStr">
        <is>
          <t>400000.210101</t>
        </is>
      </c>
      <c r="M3339" s="5">
        <f>IF(YEAR(I3339)&lt;=2020,"Até 2020",TEXT(YEAR(I3339),"0"))</f>
        <v/>
      </c>
      <c r="N3339" s="5">
        <f>IFERROR(INDEX(DePara!$A:$A,MATCH(TEXT(B3339,"0"),DePara!$D:$D,0)),"(sem categoria)")</f>
        <v/>
      </c>
      <c r="O3339" s="5">
        <f>IF(J3339="","",Parametros!$B$6-J3339)</f>
        <v/>
      </c>
      <c r="P3339" s="5">
        <f>IF(O3339="","",IF(O3339&gt;0,1,0))</f>
        <v/>
      </c>
    </row>
    <row r="3340">
      <c r="A3340" s="5" t="n">
        <v>2111000000</v>
      </c>
      <c r="B3340" s="5" t="inlineStr">
        <is>
          <t>100759</t>
        </is>
      </c>
      <c r="C3340" s="5" t="inlineStr">
        <is>
          <t>MUNICIPIO DE UIBAI</t>
        </is>
      </c>
      <c r="D3340" s="5" t="inlineStr">
        <is>
          <t>UE</t>
        </is>
      </c>
      <c r="E3340" s="5" t="n">
        <v>200010623</v>
      </c>
      <c r="F3340" s="5" t="inlineStr">
        <is>
          <t>17846</t>
        </is>
      </c>
      <c r="G3340" s="5" t="inlineStr">
        <is>
          <t>BRL</t>
        </is>
      </c>
      <c r="H3340" s="9" t="n">
        <v>-1769.79</v>
      </c>
      <c r="I3340" s="16" t="n">
        <v>45048</v>
      </c>
      <c r="J3340" s="16" t="n">
        <v>45048</v>
      </c>
      <c r="K3340" s="5" t="inlineStr">
        <is>
          <t>1169837</t>
        </is>
      </c>
      <c r="L3340" s="5" t="inlineStr">
        <is>
          <t>475100.210211</t>
        </is>
      </c>
      <c r="M3340" s="5">
        <f>IF(YEAR(I3340)&lt;=2020,"Até 2020",TEXT(YEAR(I3340),"0"))</f>
        <v/>
      </c>
      <c r="N3340" s="5">
        <f>IFERROR(INDEX(DePara!$A:$A,MATCH(TEXT(B3340,"0"),DePara!$D:$D,0)),"(sem categoria)")</f>
        <v/>
      </c>
      <c r="O3340" s="5">
        <f>IF(J3340="","",Parametros!$B$6-J3340)</f>
        <v/>
      </c>
      <c r="P3340" s="5">
        <f>IF(O3340="","",IF(O3340&gt;0,1,0))</f>
        <v/>
      </c>
    </row>
    <row r="3341">
      <c r="A3341" s="5" t="n">
        <v>2111000000</v>
      </c>
      <c r="B3341" s="5" t="inlineStr">
        <is>
          <t>100759</t>
        </is>
      </c>
      <c r="C3341" s="5" t="inlineStr">
        <is>
          <t>MUNICIPIO DE UIBAI</t>
        </is>
      </c>
      <c r="D3341" s="5" t="inlineStr">
        <is>
          <t>UE</t>
        </is>
      </c>
      <c r="E3341" s="5" t="n">
        <v>200010624</v>
      </c>
      <c r="F3341" s="5" t="inlineStr">
        <is>
          <t>17847</t>
        </is>
      </c>
      <c r="G3341" s="5" t="inlineStr">
        <is>
          <t>BRL</t>
        </is>
      </c>
      <c r="H3341" s="9" t="n">
        <v>-2933.52</v>
      </c>
      <c r="I3341" s="16" t="n">
        <v>45061</v>
      </c>
      <c r="J3341" s="16" t="n">
        <v>45061</v>
      </c>
      <c r="K3341" s="5" t="inlineStr">
        <is>
          <t>1171285</t>
        </is>
      </c>
      <c r="L3341" s="5" t="inlineStr">
        <is>
          <t>475100.210211</t>
        </is>
      </c>
      <c r="M3341" s="5">
        <f>IF(YEAR(I3341)&lt;=2020,"Até 2020",TEXT(YEAR(I3341),"0"))</f>
        <v/>
      </c>
      <c r="N3341" s="5">
        <f>IFERROR(INDEX(DePara!$A:$A,MATCH(TEXT(B3341,"0"),DePara!$D:$D,0)),"(sem categoria)")</f>
        <v/>
      </c>
      <c r="O3341" s="5">
        <f>IF(J3341="","",Parametros!$B$6-J3341)</f>
        <v/>
      </c>
      <c r="P3341" s="5">
        <f>IF(O3341="","",IF(O3341&gt;0,1,0))</f>
        <v/>
      </c>
    </row>
    <row r="3342">
      <c r="A3342" s="5" t="n">
        <v>2111000000</v>
      </c>
      <c r="B3342" s="5" t="inlineStr">
        <is>
          <t>100759</t>
        </is>
      </c>
      <c r="C3342" s="5" t="inlineStr">
        <is>
          <t>MUNICIPIO DE UIBAI</t>
        </is>
      </c>
      <c r="D3342" s="5" t="inlineStr">
        <is>
          <t>UE</t>
        </is>
      </c>
      <c r="E3342" s="5" t="n">
        <v>200010625</v>
      </c>
      <c r="F3342" s="5" t="inlineStr">
        <is>
          <t>17848</t>
        </is>
      </c>
      <c r="G3342" s="5" t="inlineStr">
        <is>
          <t>BRL</t>
        </is>
      </c>
      <c r="H3342" s="9" t="n">
        <v>-2063.05</v>
      </c>
      <c r="I3342" s="16" t="n">
        <v>45058</v>
      </c>
      <c r="J3342" s="16" t="n">
        <v>45058</v>
      </c>
      <c r="K3342" s="5" t="inlineStr">
        <is>
          <t>1171292</t>
        </is>
      </c>
      <c r="L3342" s="5" t="inlineStr">
        <is>
          <t>475100.210211</t>
        </is>
      </c>
      <c r="M3342" s="5">
        <f>IF(YEAR(I3342)&lt;=2020,"Até 2020",TEXT(YEAR(I3342),"0"))</f>
        <v/>
      </c>
      <c r="N3342" s="5">
        <f>IFERROR(INDEX(DePara!$A:$A,MATCH(TEXT(B3342,"0"),DePara!$D:$D,0)),"(sem categoria)")</f>
        <v/>
      </c>
      <c r="O3342" s="5">
        <f>IF(J3342="","",Parametros!$B$6-J3342)</f>
        <v/>
      </c>
      <c r="P3342" s="5">
        <f>IF(O3342="","",IF(O3342&gt;0,1,0))</f>
        <v/>
      </c>
    </row>
    <row r="3343">
      <c r="A3343" s="5" t="n">
        <v>2111000000</v>
      </c>
      <c r="B3343" s="5" t="inlineStr">
        <is>
          <t>101358</t>
        </is>
      </c>
      <c r="C3343" s="5" t="inlineStr">
        <is>
          <t>MUNICIPIO DE LAJES</t>
        </is>
      </c>
      <c r="D3343" s="5" t="inlineStr">
        <is>
          <t>UE</t>
        </is>
      </c>
      <c r="E3343" s="5" t="n">
        <v>200010626</v>
      </c>
      <c r="F3343" s="5" t="inlineStr">
        <is>
          <t>17849</t>
        </is>
      </c>
      <c r="G3343" s="5" t="inlineStr">
        <is>
          <t>BRL</t>
        </is>
      </c>
      <c r="H3343" s="9" t="n">
        <v>-2387.83</v>
      </c>
      <c r="I3343" s="16" t="n">
        <v>45070</v>
      </c>
      <c r="J3343" s="16" t="n">
        <v>45070</v>
      </c>
      <c r="K3343" s="5" t="inlineStr">
        <is>
          <t>1173368</t>
        </is>
      </c>
      <c r="L3343" s="5" t="inlineStr">
        <is>
          <t>475100.210211</t>
        </is>
      </c>
      <c r="M3343" s="5">
        <f>IF(YEAR(I3343)&lt;=2020,"Até 2020",TEXT(YEAR(I3343),"0"))</f>
        <v/>
      </c>
      <c r="N3343" s="5">
        <f>IFERROR(INDEX(DePara!$A:$A,MATCH(TEXT(B3343,"0"),DePara!$D:$D,0)),"(sem categoria)")</f>
        <v/>
      </c>
      <c r="O3343" s="5">
        <f>IF(J3343="","",Parametros!$B$6-J3343)</f>
        <v/>
      </c>
      <c r="P3343" s="5">
        <f>IF(O3343="","",IF(O3343&gt;0,1,0))</f>
        <v/>
      </c>
    </row>
    <row r="3344">
      <c r="A3344" s="5" t="n">
        <v>2111000000</v>
      </c>
      <c r="B3344" s="5" t="inlineStr">
        <is>
          <t>101358</t>
        </is>
      </c>
      <c r="C3344" s="5" t="inlineStr">
        <is>
          <t>MUNICIPIO DE LAJES</t>
        </is>
      </c>
      <c r="D3344" s="5" t="inlineStr">
        <is>
          <t>UE</t>
        </is>
      </c>
      <c r="E3344" s="5" t="n">
        <v>200010628</v>
      </c>
      <c r="F3344" s="5" t="inlineStr">
        <is>
          <t>17850</t>
        </is>
      </c>
      <c r="G3344" s="5" t="inlineStr">
        <is>
          <t>BRL</t>
        </is>
      </c>
      <c r="H3344" s="9" t="n">
        <v>-2588.06</v>
      </c>
      <c r="I3344" s="16" t="n">
        <v>45070</v>
      </c>
      <c r="J3344" s="16" t="n">
        <v>45070</v>
      </c>
      <c r="K3344" s="5" t="inlineStr">
        <is>
          <t>1173377</t>
        </is>
      </c>
      <c r="L3344" s="5" t="inlineStr">
        <is>
          <t>475100.210211</t>
        </is>
      </c>
      <c r="M3344" s="5">
        <f>IF(YEAR(I3344)&lt;=2020,"Até 2020",TEXT(YEAR(I3344),"0"))</f>
        <v/>
      </c>
      <c r="N3344" s="5">
        <f>IFERROR(INDEX(DePara!$A:$A,MATCH(TEXT(B3344,"0"),DePara!$D:$D,0)),"(sem categoria)")</f>
        <v/>
      </c>
      <c r="O3344" s="5">
        <f>IF(J3344="","",Parametros!$B$6-J3344)</f>
        <v/>
      </c>
      <c r="P3344" s="5">
        <f>IF(O3344="","",IF(O3344&gt;0,1,0))</f>
        <v/>
      </c>
    </row>
    <row r="3345">
      <c r="A3345" s="5" t="n">
        <v>2111000000</v>
      </c>
      <c r="B3345" s="5" t="inlineStr">
        <is>
          <t>101358</t>
        </is>
      </c>
      <c r="C3345" s="5" t="inlineStr">
        <is>
          <t>MUNICIPIO DE LAJES</t>
        </is>
      </c>
      <c r="D3345" s="5" t="inlineStr">
        <is>
          <t>UE</t>
        </is>
      </c>
      <c r="E3345" s="5" t="n">
        <v>200010629</v>
      </c>
      <c r="F3345" s="5" t="inlineStr">
        <is>
          <t>17851</t>
        </is>
      </c>
      <c r="G3345" s="5" t="inlineStr">
        <is>
          <t>BRL</t>
        </is>
      </c>
      <c r="H3345" s="9" t="n">
        <v>-2132.65</v>
      </c>
      <c r="I3345" s="16" t="n">
        <v>45070</v>
      </c>
      <c r="J3345" s="16" t="n">
        <v>45070</v>
      </c>
      <c r="K3345" s="5" t="inlineStr">
        <is>
          <t>1173386</t>
        </is>
      </c>
      <c r="L3345" s="5" t="inlineStr">
        <is>
          <t>475100.210211</t>
        </is>
      </c>
      <c r="M3345" s="5">
        <f>IF(YEAR(I3345)&lt;=2020,"Até 2020",TEXT(YEAR(I3345),"0"))</f>
        <v/>
      </c>
      <c r="N3345" s="5">
        <f>IFERROR(INDEX(DePara!$A:$A,MATCH(TEXT(B3345,"0"),DePara!$D:$D,0)),"(sem categoria)")</f>
        <v/>
      </c>
      <c r="O3345" s="5">
        <f>IF(J3345="","",Parametros!$B$6-J3345)</f>
        <v/>
      </c>
      <c r="P3345" s="5">
        <f>IF(O3345="","",IF(O3345&gt;0,1,0))</f>
        <v/>
      </c>
    </row>
    <row r="3346">
      <c r="A3346" s="5" t="n">
        <v>2111000000</v>
      </c>
      <c r="B3346" s="5" t="inlineStr">
        <is>
          <t>101358</t>
        </is>
      </c>
      <c r="C3346" s="5" t="inlineStr">
        <is>
          <t>MUNICIPIO DE LAJES</t>
        </is>
      </c>
      <c r="D3346" s="5" t="inlineStr">
        <is>
          <t>UE</t>
        </is>
      </c>
      <c r="E3346" s="5" t="n">
        <v>200010630</v>
      </c>
      <c r="F3346" s="5" t="inlineStr">
        <is>
          <t>17852</t>
        </is>
      </c>
      <c r="G3346" s="5" t="inlineStr">
        <is>
          <t>BRL</t>
        </is>
      </c>
      <c r="H3346" s="9" t="n">
        <v>-2154.6</v>
      </c>
      <c r="I3346" s="16" t="n">
        <v>45070</v>
      </c>
      <c r="J3346" s="16" t="n">
        <v>45070</v>
      </c>
      <c r="K3346" s="5" t="inlineStr">
        <is>
          <t>1173393</t>
        </is>
      </c>
      <c r="L3346" s="5" t="inlineStr">
        <is>
          <t>475100.210211</t>
        </is>
      </c>
      <c r="M3346" s="5">
        <f>IF(YEAR(I3346)&lt;=2020,"Até 2020",TEXT(YEAR(I3346),"0"))</f>
        <v/>
      </c>
      <c r="N3346" s="5">
        <f>IFERROR(INDEX(DePara!$A:$A,MATCH(TEXT(B3346,"0"),DePara!$D:$D,0)),"(sem categoria)")</f>
        <v/>
      </c>
      <c r="O3346" s="5">
        <f>IF(J3346="","",Parametros!$B$6-J3346)</f>
        <v/>
      </c>
      <c r="P3346" s="5">
        <f>IF(O3346="","",IF(O3346&gt;0,1,0))</f>
        <v/>
      </c>
    </row>
    <row r="3347">
      <c r="A3347" s="5" t="n">
        <v>2111000000</v>
      </c>
      <c r="B3347" s="5" t="inlineStr">
        <is>
          <t>101358</t>
        </is>
      </c>
      <c r="C3347" s="5" t="inlineStr">
        <is>
          <t>MUNICIPIO DE LAJES</t>
        </is>
      </c>
      <c r="D3347" s="5" t="inlineStr">
        <is>
          <t>UE</t>
        </is>
      </c>
      <c r="E3347" s="5" t="n">
        <v>200010631</v>
      </c>
      <c r="F3347" s="5" t="inlineStr">
        <is>
          <t>17853</t>
        </is>
      </c>
      <c r="G3347" s="5" t="inlineStr">
        <is>
          <t>BRL</t>
        </is>
      </c>
      <c r="H3347" s="9" t="n">
        <v>-2173.25</v>
      </c>
      <c r="I3347" s="16" t="n">
        <v>45070</v>
      </c>
      <c r="J3347" s="16" t="n">
        <v>45070</v>
      </c>
      <c r="K3347" s="5" t="inlineStr">
        <is>
          <t>1173403</t>
        </is>
      </c>
      <c r="L3347" s="5" t="inlineStr">
        <is>
          <t>475100.210211</t>
        </is>
      </c>
      <c r="M3347" s="5">
        <f>IF(YEAR(I3347)&lt;=2020,"Até 2020",TEXT(YEAR(I3347),"0"))</f>
        <v/>
      </c>
      <c r="N3347" s="5">
        <f>IFERROR(INDEX(DePara!$A:$A,MATCH(TEXT(B3347,"0"),DePara!$D:$D,0)),"(sem categoria)")</f>
        <v/>
      </c>
      <c r="O3347" s="5">
        <f>IF(J3347="","",Parametros!$B$6-J3347)</f>
        <v/>
      </c>
      <c r="P3347" s="5">
        <f>IF(O3347="","",IF(O3347&gt;0,1,0))</f>
        <v/>
      </c>
    </row>
    <row r="3348">
      <c r="A3348" s="5" t="n">
        <v>2111000000</v>
      </c>
      <c r="B3348" s="5" t="inlineStr">
        <is>
          <t>101763</t>
        </is>
      </c>
      <c r="C3348" s="5" t="inlineStr">
        <is>
          <t>MUNICIPIO DE LAGOA DO BARRO DO PIAU</t>
        </is>
      </c>
      <c r="D3348" s="5" t="inlineStr">
        <is>
          <t>UE</t>
        </is>
      </c>
      <c r="E3348" s="5" t="n">
        <v>200010633</v>
      </c>
      <c r="F3348" s="5" t="inlineStr">
        <is>
          <t>17855</t>
        </is>
      </c>
      <c r="G3348" s="5" t="inlineStr">
        <is>
          <t>BRL</t>
        </is>
      </c>
      <c r="H3348" s="9" t="n">
        <v>-10978.63</v>
      </c>
      <c r="I3348" s="16" t="n">
        <v>45099</v>
      </c>
      <c r="J3348" s="16" t="n">
        <v>45099</v>
      </c>
      <c r="K3348" s="5" t="inlineStr">
        <is>
          <t>1178594</t>
        </is>
      </c>
      <c r="L3348" s="5" t="inlineStr">
        <is>
          <t>475100.210211</t>
        </is>
      </c>
      <c r="M3348" s="5">
        <f>IF(YEAR(I3348)&lt;=2020,"Até 2020",TEXT(YEAR(I3348),"0"))</f>
        <v/>
      </c>
      <c r="N3348" s="5">
        <f>IFERROR(INDEX(DePara!$A:$A,MATCH(TEXT(B3348,"0"),DePara!$D:$D,0)),"(sem categoria)")</f>
        <v/>
      </c>
      <c r="O3348" s="5">
        <f>IF(J3348="","",Parametros!$B$6-J3348)</f>
        <v/>
      </c>
      <c r="P3348" s="5">
        <f>IF(O3348="","",IF(O3348&gt;0,1,0))</f>
        <v/>
      </c>
    </row>
    <row r="3349">
      <c r="A3349" s="5" t="n">
        <v>2111000000</v>
      </c>
      <c r="B3349" s="5" t="inlineStr">
        <is>
          <t>101320</t>
        </is>
      </c>
      <c r="C3349" s="5" t="inlineStr">
        <is>
          <t>MUNICIPIO DE QUEIMADA NOVA</t>
        </is>
      </c>
      <c r="D3349" s="5" t="inlineStr">
        <is>
          <t>UE</t>
        </is>
      </c>
      <c r="E3349" s="5" t="n">
        <v>200010675</v>
      </c>
      <c r="F3349" s="5" t="inlineStr">
        <is>
          <t>17893</t>
        </is>
      </c>
      <c r="G3349" s="5" t="inlineStr">
        <is>
          <t>BRL</t>
        </is>
      </c>
      <c r="H3349" s="9" t="n">
        <v>-300</v>
      </c>
      <c r="I3349" s="16" t="n">
        <v>44958</v>
      </c>
      <c r="J3349" s="16" t="n">
        <v>44958</v>
      </c>
      <c r="K3349" s="5" t="inlineStr">
        <is>
          <t>1157485</t>
        </is>
      </c>
      <c r="L3349" s="5" t="inlineStr">
        <is>
          <t>475100.210211</t>
        </is>
      </c>
      <c r="M3349" s="5">
        <f>IF(YEAR(I3349)&lt;=2020,"Até 2020",TEXT(YEAR(I3349),"0"))</f>
        <v/>
      </c>
      <c r="N3349" s="5">
        <f>IFERROR(INDEX(DePara!$A:$A,MATCH(TEXT(B3349,"0"),DePara!$D:$D,0)),"(sem categoria)")</f>
        <v/>
      </c>
      <c r="O3349" s="5">
        <f>IF(J3349="","",Parametros!$B$6-J3349)</f>
        <v/>
      </c>
      <c r="P3349" s="5">
        <f>IF(O3349="","",IF(O3349&gt;0,1,0))</f>
        <v/>
      </c>
    </row>
    <row r="3350">
      <c r="A3350" s="5" t="n">
        <v>2111000000</v>
      </c>
      <c r="B3350" s="5" t="inlineStr">
        <is>
          <t>101763</t>
        </is>
      </c>
      <c r="C3350" s="5" t="inlineStr">
        <is>
          <t>MUNICIPIO DE LAGOA DO BARRO DO PIAU</t>
        </is>
      </c>
      <c r="D3350" s="5" t="inlineStr">
        <is>
          <t>UE</t>
        </is>
      </c>
      <c r="E3350" s="5" t="n">
        <v>200010676</v>
      </c>
      <c r="F3350" s="5" t="inlineStr">
        <is>
          <t>17894</t>
        </is>
      </c>
      <c r="G3350" s="5" t="inlineStr">
        <is>
          <t>BRL</t>
        </is>
      </c>
      <c r="H3350" s="9" t="n">
        <v>-2900</v>
      </c>
      <c r="I3350" s="16" t="n">
        <v>44992</v>
      </c>
      <c r="J3350" s="16" t="n">
        <v>44992</v>
      </c>
      <c r="K3350" s="5" t="inlineStr">
        <is>
          <t>1161287</t>
        </is>
      </c>
      <c r="L3350" s="5" t="inlineStr">
        <is>
          <t>475100.210211</t>
        </is>
      </c>
      <c r="M3350" s="5">
        <f>IF(YEAR(I3350)&lt;=2020,"Até 2020",TEXT(YEAR(I3350),"0"))</f>
        <v/>
      </c>
      <c r="N3350" s="5">
        <f>IFERROR(INDEX(DePara!$A:$A,MATCH(TEXT(B3350,"0"),DePara!$D:$D,0)),"(sem categoria)")</f>
        <v/>
      </c>
      <c r="O3350" s="5">
        <f>IF(J3350="","",Parametros!$B$6-J3350)</f>
        <v/>
      </c>
      <c r="P3350" s="5">
        <f>IF(O3350="","",IF(O3350&gt;0,1,0))</f>
        <v/>
      </c>
    </row>
    <row r="3351">
      <c r="A3351" s="5" t="n">
        <v>2111000000</v>
      </c>
      <c r="B3351" s="5" t="inlineStr">
        <is>
          <t>101763</t>
        </is>
      </c>
      <c r="C3351" s="5" t="inlineStr">
        <is>
          <t>MUNICIPIO DE LAGOA DO BARRO DO PIAU</t>
        </is>
      </c>
      <c r="D3351" s="5" t="inlineStr">
        <is>
          <t>UE</t>
        </is>
      </c>
      <c r="E3351" s="5" t="n">
        <v>200010677</v>
      </c>
      <c r="F3351" s="5" t="inlineStr">
        <is>
          <t>17895</t>
        </is>
      </c>
      <c r="G3351" s="5" t="inlineStr">
        <is>
          <t>BRL</t>
        </is>
      </c>
      <c r="H3351" s="9" t="n">
        <v>-210</v>
      </c>
      <c r="I3351" s="16" t="n">
        <v>44992</v>
      </c>
      <c r="J3351" s="16" t="n">
        <v>44992</v>
      </c>
      <c r="K3351" s="5" t="inlineStr">
        <is>
          <t>1172055</t>
        </is>
      </c>
      <c r="L3351" s="5" t="inlineStr">
        <is>
          <t>475100.210211</t>
        </is>
      </c>
      <c r="M3351" s="5">
        <f>IF(YEAR(I3351)&lt;=2020,"Até 2020",TEXT(YEAR(I3351),"0"))</f>
        <v/>
      </c>
      <c r="N3351" s="5">
        <f>IFERROR(INDEX(DePara!$A:$A,MATCH(TEXT(B3351,"0"),DePara!$D:$D,0)),"(sem categoria)")</f>
        <v/>
      </c>
      <c r="O3351" s="5">
        <f>IF(J3351="","",Parametros!$B$6-J3351)</f>
        <v/>
      </c>
      <c r="P3351" s="5">
        <f>IF(O3351="","",IF(O3351&gt;0,1,0))</f>
        <v/>
      </c>
    </row>
    <row r="3352">
      <c r="A3352" s="5" t="n">
        <v>2111000000</v>
      </c>
      <c r="B3352" s="5" t="inlineStr">
        <is>
          <t>100759</t>
        </is>
      </c>
      <c r="C3352" s="5" t="inlineStr">
        <is>
          <t>MUNICIPIO DE UIBAI</t>
        </is>
      </c>
      <c r="D3352" s="5" t="inlineStr">
        <is>
          <t>UE</t>
        </is>
      </c>
      <c r="E3352" s="5" t="n">
        <v>200010684</v>
      </c>
      <c r="F3352" s="5" t="inlineStr">
        <is>
          <t>17900</t>
        </is>
      </c>
      <c r="G3352" s="5" t="inlineStr">
        <is>
          <t>BRL</t>
        </is>
      </c>
      <c r="H3352" s="9" t="n">
        <v>-735.88</v>
      </c>
      <c r="I3352" s="16" t="n">
        <v>45056</v>
      </c>
      <c r="J3352" s="16" t="n">
        <v>45056</v>
      </c>
      <c r="K3352" s="5" t="inlineStr">
        <is>
          <t>1171427</t>
        </is>
      </c>
      <c r="L3352" s="5" t="inlineStr">
        <is>
          <t>475100.210211</t>
        </is>
      </c>
      <c r="M3352" s="5">
        <f>IF(YEAR(I3352)&lt;=2020,"Até 2020",TEXT(YEAR(I3352),"0"))</f>
        <v/>
      </c>
      <c r="N3352" s="5">
        <f>IFERROR(INDEX(DePara!$A:$A,MATCH(TEXT(B3352,"0"),DePara!$D:$D,0)),"(sem categoria)")</f>
        <v/>
      </c>
      <c r="O3352" s="5">
        <f>IF(J3352="","",Parametros!$B$6-J3352)</f>
        <v/>
      </c>
      <c r="P3352" s="5">
        <f>IF(O3352="","",IF(O3352&gt;0,1,0))</f>
        <v/>
      </c>
    </row>
    <row r="3353">
      <c r="A3353" s="5" t="n">
        <v>2111000000</v>
      </c>
      <c r="B3353" s="5" t="inlineStr">
        <is>
          <t>100446</t>
        </is>
      </c>
      <c r="C3353" s="5" t="inlineStr">
        <is>
          <t>DSV AIR &amp; SEA BRASIL LTDA</t>
        </is>
      </c>
      <c r="D3353" s="5" t="inlineStr">
        <is>
          <t>UE</t>
        </is>
      </c>
      <c r="E3353" s="5" t="n">
        <v>200010685</v>
      </c>
      <c r="F3353" s="5" t="inlineStr">
        <is>
          <t>17901</t>
        </is>
      </c>
      <c r="G3353" s="5" t="inlineStr">
        <is>
          <t>BRL</t>
        </is>
      </c>
      <c r="H3353" s="9" t="n">
        <v>-1171.34</v>
      </c>
      <c r="I3353" s="16" t="n">
        <v>44594</v>
      </c>
      <c r="J3353" s="16" t="n">
        <v>44594</v>
      </c>
      <c r="K3353" s="5" t="inlineStr">
        <is>
          <t>1144123</t>
        </is>
      </c>
      <c r="L3353" s="5" t="inlineStr">
        <is>
          <t>400000.210101</t>
        </is>
      </c>
      <c r="M3353" s="5">
        <f>IF(YEAR(I3353)&lt;=2020,"Até 2020",TEXT(YEAR(I3353),"0"))</f>
        <v/>
      </c>
      <c r="N3353" s="5">
        <f>IFERROR(INDEX(DePara!$A:$A,MATCH(TEXT(B3353,"0"),DePara!$D:$D,0)),"(sem categoria)")</f>
        <v/>
      </c>
      <c r="O3353" s="5">
        <f>IF(J3353="","",Parametros!$B$6-J3353)</f>
        <v/>
      </c>
      <c r="P3353" s="5">
        <f>IF(O3353="","",IF(O3353&gt;0,1,0))</f>
        <v/>
      </c>
    </row>
    <row r="3354">
      <c r="A3354" s="5" t="n">
        <v>2111000000</v>
      </c>
      <c r="B3354" s="5" t="inlineStr">
        <is>
          <t>100447</t>
        </is>
      </c>
      <c r="C3354" s="5" t="inlineStr">
        <is>
          <t>DSV AIR &amp; SEA BRASIL LTDA</t>
        </is>
      </c>
      <c r="D3354" s="5" t="inlineStr">
        <is>
          <t>UE</t>
        </is>
      </c>
      <c r="E3354" s="5" t="n">
        <v>200010687</v>
      </c>
      <c r="F3354" s="5" t="inlineStr">
        <is>
          <t>17903</t>
        </is>
      </c>
      <c r="G3354" s="5" t="inlineStr">
        <is>
          <t>BRL</t>
        </is>
      </c>
      <c r="H3354" s="9" t="n">
        <v>-1182.28</v>
      </c>
      <c r="I3354" s="16" t="n">
        <v>44599</v>
      </c>
      <c r="J3354" s="16" t="n">
        <v>44599</v>
      </c>
      <c r="K3354" s="5" t="inlineStr">
        <is>
          <t>1148546</t>
        </is>
      </c>
      <c r="L3354" s="5" t="inlineStr">
        <is>
          <t>400000.210101</t>
        </is>
      </c>
      <c r="M3354" s="5">
        <f>IF(YEAR(I3354)&lt;=2020,"Até 2020",TEXT(YEAR(I3354),"0"))</f>
        <v/>
      </c>
      <c r="N3354" s="5">
        <f>IFERROR(INDEX(DePara!$A:$A,MATCH(TEXT(B3354,"0"),DePara!$D:$D,0)),"(sem categoria)")</f>
        <v/>
      </c>
      <c r="O3354" s="5">
        <f>IF(J3354="","",Parametros!$B$6-J3354)</f>
        <v/>
      </c>
      <c r="P3354" s="5">
        <f>IF(O3354="","",IF(O3354&gt;0,1,0))</f>
        <v/>
      </c>
    </row>
    <row r="3355">
      <c r="A3355" s="5" t="n">
        <v>2111000000</v>
      </c>
      <c r="B3355" s="5" t="inlineStr">
        <is>
          <t>101763</t>
        </is>
      </c>
      <c r="C3355" s="5" t="inlineStr">
        <is>
          <t>MUNICIPIO DE LAGOA DO BARRO DO PIAU</t>
        </is>
      </c>
      <c r="D3355" s="5" t="inlineStr">
        <is>
          <t>UE</t>
        </is>
      </c>
      <c r="E3355" s="5" t="n">
        <v>200010695</v>
      </c>
      <c r="F3355" s="5" t="inlineStr">
        <is>
          <t>17910</t>
        </is>
      </c>
      <c r="G3355" s="5" t="inlineStr">
        <is>
          <t>BRL</t>
        </is>
      </c>
      <c r="H3355" s="9" t="n">
        <v>-62</v>
      </c>
      <c r="I3355" s="16" t="n">
        <v>45100</v>
      </c>
      <c r="J3355" s="16" t="n">
        <v>45100</v>
      </c>
      <c r="K3355" s="5" t="inlineStr">
        <is>
          <t>1178345</t>
        </is>
      </c>
      <c r="L3355" s="5" t="inlineStr">
        <is>
          <t>475100.210211</t>
        </is>
      </c>
      <c r="M3355" s="5">
        <f>IF(YEAR(I3355)&lt;=2020,"Até 2020",TEXT(YEAR(I3355),"0"))</f>
        <v/>
      </c>
      <c r="N3355" s="5">
        <f>IFERROR(INDEX(DePara!$A:$A,MATCH(TEXT(B3355,"0"),DePara!$D:$D,0)),"(sem categoria)")</f>
        <v/>
      </c>
      <c r="O3355" s="5">
        <f>IF(J3355="","",Parametros!$B$6-J3355)</f>
        <v/>
      </c>
      <c r="P3355" s="5">
        <f>IF(O3355="","",IF(O3355&gt;0,1,0))</f>
        <v/>
      </c>
    </row>
    <row r="3356">
      <c r="A3356" s="5" t="n">
        <v>2111000000</v>
      </c>
      <c r="B3356" s="5" t="inlineStr">
        <is>
          <t>101763</t>
        </is>
      </c>
      <c r="C3356" s="5" t="inlineStr">
        <is>
          <t>MUNICIPIO DE LAGOA DO BARRO DO PIAU</t>
        </is>
      </c>
      <c r="D3356" s="5" t="inlineStr">
        <is>
          <t>UE</t>
        </is>
      </c>
      <c r="E3356" s="5" t="n">
        <v>200010697</v>
      </c>
      <c r="F3356" s="5" t="inlineStr">
        <is>
          <t>17912</t>
        </is>
      </c>
      <c r="G3356" s="5" t="inlineStr">
        <is>
          <t>BRL</t>
        </is>
      </c>
      <c r="H3356" s="9" t="n">
        <v>-28</v>
      </c>
      <c r="I3356" s="16" t="n">
        <v>45100</v>
      </c>
      <c r="J3356" s="16" t="n">
        <v>45100</v>
      </c>
      <c r="K3356" s="5" t="inlineStr">
        <is>
          <t>1178359</t>
        </is>
      </c>
      <c r="L3356" s="5" t="inlineStr">
        <is>
          <t>475100.210211</t>
        </is>
      </c>
      <c r="M3356" s="5">
        <f>IF(YEAR(I3356)&lt;=2020,"Até 2020",TEXT(YEAR(I3356),"0"))</f>
        <v/>
      </c>
      <c r="N3356" s="5">
        <f>IFERROR(INDEX(DePara!$A:$A,MATCH(TEXT(B3356,"0"),DePara!$D:$D,0)),"(sem categoria)")</f>
        <v/>
      </c>
      <c r="O3356" s="5">
        <f>IF(J3356="","",Parametros!$B$6-J3356)</f>
        <v/>
      </c>
      <c r="P3356" s="5">
        <f>IF(O3356="","",IF(O3356&gt;0,1,0))</f>
        <v/>
      </c>
    </row>
    <row r="3357">
      <c r="A3357" s="5" t="n">
        <v>2111000000</v>
      </c>
      <c r="B3357" s="5" t="inlineStr">
        <is>
          <t>100759</t>
        </is>
      </c>
      <c r="C3357" s="5" t="inlineStr">
        <is>
          <t>MUNICIPIO DE UIBAI</t>
        </is>
      </c>
      <c r="D3357" s="5" t="inlineStr">
        <is>
          <t>UE</t>
        </is>
      </c>
      <c r="E3357" s="5" t="n">
        <v>200010699</v>
      </c>
      <c r="F3357" s="5" t="inlineStr">
        <is>
          <t>17914</t>
        </is>
      </c>
      <c r="G3357" s="5" t="inlineStr">
        <is>
          <t>BRL</t>
        </is>
      </c>
      <c r="H3357" s="9" t="n">
        <v>-70</v>
      </c>
      <c r="I3357" s="16" t="n">
        <v>45100</v>
      </c>
      <c r="J3357" s="16" t="n">
        <v>45100</v>
      </c>
      <c r="K3357" s="5" t="inlineStr">
        <is>
          <t>1178380</t>
        </is>
      </c>
      <c r="L3357" s="5" t="inlineStr">
        <is>
          <t>475100.210211</t>
        </is>
      </c>
      <c r="M3357" s="5">
        <f>IF(YEAR(I3357)&lt;=2020,"Até 2020",TEXT(YEAR(I3357),"0"))</f>
        <v/>
      </c>
      <c r="N3357" s="5">
        <f>IFERROR(INDEX(DePara!$A:$A,MATCH(TEXT(B3357,"0"),DePara!$D:$D,0)),"(sem categoria)")</f>
        <v/>
      </c>
      <c r="O3357" s="5">
        <f>IF(J3357="","",Parametros!$B$6-J3357)</f>
        <v/>
      </c>
      <c r="P3357" s="5">
        <f>IF(O3357="","",IF(O3357&gt;0,1,0))</f>
        <v/>
      </c>
    </row>
    <row r="3358">
      <c r="A3358" s="5" t="n">
        <v>2111000000</v>
      </c>
      <c r="B3358" s="5" t="inlineStr">
        <is>
          <t>101562</t>
        </is>
      </c>
      <c r="C3358" s="5" t="inlineStr">
        <is>
          <t>MUNICIPIO DE DIAS D AVILA</t>
        </is>
      </c>
      <c r="D3358" s="5" t="inlineStr">
        <is>
          <t>UE</t>
        </is>
      </c>
      <c r="E3358" s="5" t="n">
        <v>200010713</v>
      </c>
      <c r="F3358" s="5" t="inlineStr">
        <is>
          <t>17927</t>
        </is>
      </c>
      <c r="G3358" s="5" t="inlineStr">
        <is>
          <t>BRL</t>
        </is>
      </c>
      <c r="H3358" s="9" t="n">
        <v>-3728.47</v>
      </c>
      <c r="I3358" s="16" t="n">
        <v>44939</v>
      </c>
      <c r="J3358" s="16" t="n">
        <v>44939</v>
      </c>
      <c r="K3358" s="5" t="inlineStr">
        <is>
          <t>1149445</t>
        </is>
      </c>
      <c r="L3358" s="5" t="inlineStr">
        <is>
          <t>475100.210211</t>
        </is>
      </c>
      <c r="M3358" s="5">
        <f>IF(YEAR(I3358)&lt;=2020,"Até 2020",TEXT(YEAR(I3358),"0"))</f>
        <v/>
      </c>
      <c r="N3358" s="5">
        <f>IFERROR(INDEX(DePara!$A:$A,MATCH(TEXT(B3358,"0"),DePara!$D:$D,0)),"(sem categoria)")</f>
        <v/>
      </c>
      <c r="O3358" s="5">
        <f>IF(J3358="","",Parametros!$B$6-J3358)</f>
        <v/>
      </c>
      <c r="P3358" s="5">
        <f>IF(O3358="","",IF(O3358&gt;0,1,0))</f>
        <v/>
      </c>
    </row>
    <row r="3359">
      <c r="A3359" s="5" t="n">
        <v>2111000000</v>
      </c>
      <c r="B3359" s="5" t="inlineStr">
        <is>
          <t>101562</t>
        </is>
      </c>
      <c r="C3359" s="5" t="inlineStr">
        <is>
          <t>MUNICIPIO DE DIAS D AVILA</t>
        </is>
      </c>
      <c r="D3359" s="5" t="inlineStr">
        <is>
          <t>UE</t>
        </is>
      </c>
      <c r="E3359" s="5" t="n">
        <v>200010714</v>
      </c>
      <c r="F3359" s="5" t="inlineStr">
        <is>
          <t>17928</t>
        </is>
      </c>
      <c r="G3359" s="5" t="inlineStr">
        <is>
          <t>BRL</t>
        </is>
      </c>
      <c r="H3359" s="9" t="n">
        <v>-11185.42</v>
      </c>
      <c r="I3359" s="16" t="n">
        <v>44946</v>
      </c>
      <c r="J3359" s="16" t="n">
        <v>44946</v>
      </c>
      <c r="K3359" s="5" t="inlineStr">
        <is>
          <t>1149447</t>
        </is>
      </c>
      <c r="L3359" s="5" t="inlineStr">
        <is>
          <t>475100.210211</t>
        </is>
      </c>
      <c r="M3359" s="5">
        <f>IF(YEAR(I3359)&lt;=2020,"Até 2020",TEXT(YEAR(I3359),"0"))</f>
        <v/>
      </c>
      <c r="N3359" s="5">
        <f>IFERROR(INDEX(DePara!$A:$A,MATCH(TEXT(B3359,"0"),DePara!$D:$D,0)),"(sem categoria)")</f>
        <v/>
      </c>
      <c r="O3359" s="5">
        <f>IF(J3359="","",Parametros!$B$6-J3359)</f>
        <v/>
      </c>
      <c r="P3359" s="5">
        <f>IF(O3359="","",IF(O3359&gt;0,1,0))</f>
        <v/>
      </c>
    </row>
    <row r="3360">
      <c r="A3360" s="5" t="n">
        <v>2111000000</v>
      </c>
      <c r="B3360" s="5" t="inlineStr">
        <is>
          <t>101763</t>
        </is>
      </c>
      <c r="C3360" s="5" t="inlineStr">
        <is>
          <t>MUNICIPIO DE LAGOA DO BARRO DO PIAU</t>
        </is>
      </c>
      <c r="D3360" s="5" t="inlineStr">
        <is>
          <t>UE</t>
        </is>
      </c>
      <c r="E3360" s="5" t="n">
        <v>200010715</v>
      </c>
      <c r="F3360" s="5" t="inlineStr">
        <is>
          <t>17929</t>
        </is>
      </c>
      <c r="G3360" s="5" t="inlineStr">
        <is>
          <t>BRL</t>
        </is>
      </c>
      <c r="H3360" s="9" t="n">
        <v>-519.75</v>
      </c>
      <c r="I3360" s="16" t="n">
        <v>44916</v>
      </c>
      <c r="J3360" s="16" t="n">
        <v>44916</v>
      </c>
      <c r="K3360" s="5" t="inlineStr">
        <is>
          <t>1148304</t>
        </is>
      </c>
      <c r="L3360" s="5" t="inlineStr">
        <is>
          <t>475100.210211</t>
        </is>
      </c>
      <c r="M3360" s="5">
        <f>IF(YEAR(I3360)&lt;=2020,"Até 2020",TEXT(YEAR(I3360),"0"))</f>
        <v/>
      </c>
      <c r="N3360" s="5">
        <f>IFERROR(INDEX(DePara!$A:$A,MATCH(TEXT(B3360,"0"),DePara!$D:$D,0)),"(sem categoria)")</f>
        <v/>
      </c>
      <c r="O3360" s="5">
        <f>IF(J3360="","",Parametros!$B$6-J3360)</f>
        <v/>
      </c>
      <c r="P3360" s="5">
        <f>IF(O3360="","",IF(O3360&gt;0,1,0))</f>
        <v/>
      </c>
    </row>
    <row r="3361">
      <c r="A3361" s="5" t="n">
        <v>2111000000</v>
      </c>
      <c r="B3361" s="5" t="inlineStr">
        <is>
          <t>101763</t>
        </is>
      </c>
      <c r="C3361" s="5" t="inlineStr">
        <is>
          <t>MUNICIPIO DE LAGOA DO BARRO DO PIAU</t>
        </is>
      </c>
      <c r="D3361" s="5" t="inlineStr">
        <is>
          <t>UE</t>
        </is>
      </c>
      <c r="E3361" s="5" t="n">
        <v>200010718</v>
      </c>
      <c r="F3361" s="5" t="inlineStr">
        <is>
          <t>17931</t>
        </is>
      </c>
      <c r="G3361" s="5" t="inlineStr">
        <is>
          <t>BRL</t>
        </is>
      </c>
      <c r="H3361" s="9" t="n">
        <v>-6251.18</v>
      </c>
      <c r="I3361" s="16" t="n">
        <v>44957</v>
      </c>
      <c r="J3361" s="16" t="n">
        <v>44957</v>
      </c>
      <c r="K3361" s="5" t="inlineStr">
        <is>
          <t>1158922</t>
        </is>
      </c>
      <c r="L3361" s="5" t="inlineStr">
        <is>
          <t>475100.210211</t>
        </is>
      </c>
      <c r="M3361" s="5">
        <f>IF(YEAR(I3361)&lt;=2020,"Até 2020",TEXT(YEAR(I3361),"0"))</f>
        <v/>
      </c>
      <c r="N3361" s="5">
        <f>IFERROR(INDEX(DePara!$A:$A,MATCH(TEXT(B3361,"0"),DePara!$D:$D,0)),"(sem categoria)")</f>
        <v/>
      </c>
      <c r="O3361" s="5">
        <f>IF(J3361="","",Parametros!$B$6-J3361)</f>
        <v/>
      </c>
      <c r="P3361" s="5">
        <f>IF(O3361="","",IF(O3361&gt;0,1,0))</f>
        <v/>
      </c>
    </row>
    <row r="3362">
      <c r="A3362" s="5" t="n">
        <v>2111000000</v>
      </c>
      <c r="B3362" s="5" t="inlineStr">
        <is>
          <t>101320</t>
        </is>
      </c>
      <c r="C3362" s="5" t="inlineStr">
        <is>
          <t>MUNICIPIO DE QUEIMADA NOVA</t>
        </is>
      </c>
      <c r="D3362" s="5" t="inlineStr">
        <is>
          <t>UE</t>
        </is>
      </c>
      <c r="E3362" s="5" t="n">
        <v>200010721</v>
      </c>
      <c r="F3362" s="5" t="inlineStr">
        <is>
          <t>17934</t>
        </is>
      </c>
      <c r="G3362" s="5" t="inlineStr">
        <is>
          <t>BRL</t>
        </is>
      </c>
      <c r="H3362" s="9" t="n">
        <v>-2095</v>
      </c>
      <c r="I3362" s="16" t="n">
        <v>45021</v>
      </c>
      <c r="J3362" s="16" t="n">
        <v>45021</v>
      </c>
      <c r="K3362" s="5" t="inlineStr">
        <is>
          <t>1181565</t>
        </is>
      </c>
      <c r="L3362" s="5" t="inlineStr">
        <is>
          <t>475100.210211</t>
        </is>
      </c>
      <c r="M3362" s="5">
        <f>IF(YEAR(I3362)&lt;=2020,"Até 2020",TEXT(YEAR(I3362),"0"))</f>
        <v/>
      </c>
      <c r="N3362" s="5">
        <f>IFERROR(INDEX(DePara!$A:$A,MATCH(TEXT(B3362,"0"),DePara!$D:$D,0)),"(sem categoria)")</f>
        <v/>
      </c>
      <c r="O3362" s="5">
        <f>IF(J3362="","",Parametros!$B$6-J3362)</f>
        <v/>
      </c>
      <c r="P3362" s="5">
        <f>IF(O3362="","",IF(O3362&gt;0,1,0))</f>
        <v/>
      </c>
    </row>
    <row r="3363">
      <c r="A3363" s="5" t="n">
        <v>2111000000</v>
      </c>
      <c r="B3363" s="5" t="inlineStr">
        <is>
          <t>101763</t>
        </is>
      </c>
      <c r="C3363" s="5" t="inlineStr">
        <is>
          <t>MUNICIPIO DE LAGOA DO BARRO DO PIAU</t>
        </is>
      </c>
      <c r="D3363" s="5" t="inlineStr">
        <is>
          <t>UE</t>
        </is>
      </c>
      <c r="E3363" s="5" t="n">
        <v>200010722</v>
      </c>
      <c r="F3363" s="5" t="inlineStr">
        <is>
          <t>17935</t>
        </is>
      </c>
      <c r="G3363" s="5" t="inlineStr">
        <is>
          <t>BRL</t>
        </is>
      </c>
      <c r="H3363" s="9" t="n">
        <v>-5278.73</v>
      </c>
      <c r="I3363" s="16" t="n">
        <v>44967</v>
      </c>
      <c r="J3363" s="16" t="n">
        <v>44967</v>
      </c>
      <c r="K3363" s="5" t="inlineStr">
        <is>
          <t>1160992</t>
        </is>
      </c>
      <c r="L3363" s="5" t="inlineStr">
        <is>
          <t>475100.210211</t>
        </is>
      </c>
      <c r="M3363" s="5">
        <f>IF(YEAR(I3363)&lt;=2020,"Até 2020",TEXT(YEAR(I3363),"0"))</f>
        <v/>
      </c>
      <c r="N3363" s="5">
        <f>IFERROR(INDEX(DePara!$A:$A,MATCH(TEXT(B3363,"0"),DePara!$D:$D,0)),"(sem categoria)")</f>
        <v/>
      </c>
      <c r="O3363" s="5">
        <f>IF(J3363="","",Parametros!$B$6-J3363)</f>
        <v/>
      </c>
      <c r="P3363" s="5">
        <f>IF(O3363="","",IF(O3363&gt;0,1,0))</f>
        <v/>
      </c>
    </row>
    <row r="3364">
      <c r="A3364" s="5" t="n">
        <v>2111000000</v>
      </c>
      <c r="B3364" s="5" t="inlineStr">
        <is>
          <t>101763</t>
        </is>
      </c>
      <c r="C3364" s="5" t="inlineStr">
        <is>
          <t>MUNICIPIO DE LAGOA DO BARRO DO PIAU</t>
        </is>
      </c>
      <c r="D3364" s="5" t="inlineStr">
        <is>
          <t>UE</t>
        </is>
      </c>
      <c r="E3364" s="5" t="n">
        <v>200010723</v>
      </c>
      <c r="F3364" s="5" t="inlineStr">
        <is>
          <t>17936</t>
        </is>
      </c>
      <c r="G3364" s="5" t="inlineStr">
        <is>
          <t>BRL</t>
        </is>
      </c>
      <c r="H3364" s="9" t="n">
        <v>-2164.43</v>
      </c>
      <c r="I3364" s="16" t="n">
        <v>44949</v>
      </c>
      <c r="J3364" s="16" t="n">
        <v>44949</v>
      </c>
      <c r="K3364" s="5" t="inlineStr">
        <is>
          <t>1167448</t>
        </is>
      </c>
      <c r="L3364" s="5" t="inlineStr">
        <is>
          <t>475100.210211</t>
        </is>
      </c>
      <c r="M3364" s="5">
        <f>IF(YEAR(I3364)&lt;=2020,"Até 2020",TEXT(YEAR(I3364),"0"))</f>
        <v/>
      </c>
      <c r="N3364" s="5">
        <f>IFERROR(INDEX(DePara!$A:$A,MATCH(TEXT(B3364,"0"),DePara!$D:$D,0)),"(sem categoria)")</f>
        <v/>
      </c>
      <c r="O3364" s="5">
        <f>IF(J3364="","",Parametros!$B$6-J3364)</f>
        <v/>
      </c>
      <c r="P3364" s="5">
        <f>IF(O3364="","",IF(O3364&gt;0,1,0))</f>
        <v/>
      </c>
    </row>
    <row r="3365">
      <c r="A3365" s="5" t="n">
        <v>2111000000</v>
      </c>
      <c r="B3365" s="5" t="inlineStr">
        <is>
          <t>101763</t>
        </is>
      </c>
      <c r="C3365" s="5" t="inlineStr">
        <is>
          <t>MUNICIPIO DE LAGOA DO BARRO DO PIAU</t>
        </is>
      </c>
      <c r="D3365" s="5" t="inlineStr">
        <is>
          <t>UE</t>
        </is>
      </c>
      <c r="E3365" s="5" t="n">
        <v>200010724</v>
      </c>
      <c r="F3365" s="5" t="inlineStr">
        <is>
          <t>17937</t>
        </is>
      </c>
      <c r="G3365" s="5" t="inlineStr">
        <is>
          <t>BRL</t>
        </is>
      </c>
      <c r="H3365" s="9" t="n">
        <v>-6312.48</v>
      </c>
      <c r="I3365" s="16" t="n">
        <v>45035</v>
      </c>
      <c r="J3365" s="16" t="n">
        <v>45035</v>
      </c>
      <c r="K3365" s="5" t="inlineStr">
        <is>
          <t>1170849</t>
        </is>
      </c>
      <c r="L3365" s="5" t="inlineStr">
        <is>
          <t>475100.210211</t>
        </is>
      </c>
      <c r="M3365" s="5">
        <f>IF(YEAR(I3365)&lt;=2020,"Até 2020",TEXT(YEAR(I3365),"0"))</f>
        <v/>
      </c>
      <c r="N3365" s="5">
        <f>IFERROR(INDEX(DePara!$A:$A,MATCH(TEXT(B3365,"0"),DePara!$D:$D,0)),"(sem categoria)")</f>
        <v/>
      </c>
      <c r="O3365" s="5">
        <f>IF(J3365="","",Parametros!$B$6-J3365)</f>
        <v/>
      </c>
      <c r="P3365" s="5">
        <f>IF(O3365="","",IF(O3365&gt;0,1,0))</f>
        <v/>
      </c>
    </row>
    <row r="3366">
      <c r="A3366" s="5" t="n">
        <v>2111000000</v>
      </c>
      <c r="B3366" s="5" t="inlineStr">
        <is>
          <t>101763</t>
        </is>
      </c>
      <c r="C3366" s="5" t="inlineStr">
        <is>
          <t>MUNICIPIO DE LAGOA DO BARRO DO PIAU</t>
        </is>
      </c>
      <c r="D3366" s="5" t="inlineStr">
        <is>
          <t>UE</t>
        </is>
      </c>
      <c r="E3366" s="5" t="n">
        <v>200010725</v>
      </c>
      <c r="F3366" s="5" t="inlineStr">
        <is>
          <t>17938</t>
        </is>
      </c>
      <c r="G3366" s="5" t="inlineStr">
        <is>
          <t>BRL</t>
        </is>
      </c>
      <c r="H3366" s="9" t="n">
        <v>-773.4299999999999</v>
      </c>
      <c r="I3366" s="16" t="n">
        <v>45033</v>
      </c>
      <c r="J3366" s="16" t="n">
        <v>45033</v>
      </c>
      <c r="K3366" s="5" t="inlineStr">
        <is>
          <t>1170945</t>
        </is>
      </c>
      <c r="L3366" s="5" t="inlineStr">
        <is>
          <t>475100.210211</t>
        </is>
      </c>
      <c r="M3366" s="5">
        <f>IF(YEAR(I3366)&lt;=2020,"Até 2020",TEXT(YEAR(I3366),"0"))</f>
        <v/>
      </c>
      <c r="N3366" s="5">
        <f>IFERROR(INDEX(DePara!$A:$A,MATCH(TEXT(B3366,"0"),DePara!$D:$D,0)),"(sem categoria)")</f>
        <v/>
      </c>
      <c r="O3366" s="5">
        <f>IF(J3366="","",Parametros!$B$6-J3366)</f>
        <v/>
      </c>
      <c r="P3366" s="5">
        <f>IF(O3366="","",IF(O3366&gt;0,1,0))</f>
        <v/>
      </c>
    </row>
    <row r="3367">
      <c r="A3367" s="5" t="n">
        <v>2111000000</v>
      </c>
      <c r="B3367" s="5" t="inlineStr">
        <is>
          <t>103689</t>
        </is>
      </c>
      <c r="C3367" s="5" t="inlineStr">
        <is>
          <t>MUNICIPIO DE BROTAS DE MACAUBAS</t>
        </is>
      </c>
      <c r="D3367" s="5" t="inlineStr">
        <is>
          <t>UE</t>
        </is>
      </c>
      <c r="E3367" s="5" t="n">
        <v>200010741</v>
      </c>
      <c r="F3367" s="5" t="inlineStr">
        <is>
          <t>17952</t>
        </is>
      </c>
      <c r="G3367" s="5" t="inlineStr">
        <is>
          <t>BRL</t>
        </is>
      </c>
      <c r="H3367" s="9" t="n">
        <v>-7161.43</v>
      </c>
      <c r="I3367" s="16" t="n">
        <v>45069</v>
      </c>
      <c r="J3367" s="16" t="n">
        <v>45069</v>
      </c>
      <c r="K3367" s="5" t="inlineStr">
        <is>
          <t>1171877</t>
        </is>
      </c>
      <c r="L3367" s="5" t="inlineStr">
        <is>
          <t>475100.210211</t>
        </is>
      </c>
      <c r="M3367" s="5">
        <f>IF(YEAR(I3367)&lt;=2020,"Até 2020",TEXT(YEAR(I3367),"0"))</f>
        <v/>
      </c>
      <c r="N3367" s="5">
        <f>IFERROR(INDEX(DePara!$A:$A,MATCH(TEXT(B3367,"0"),DePara!$D:$D,0)),"(sem categoria)")</f>
        <v/>
      </c>
      <c r="O3367" s="5">
        <f>IF(J3367="","",Parametros!$B$6-J3367)</f>
        <v/>
      </c>
      <c r="P3367" s="5">
        <f>IF(O3367="","",IF(O3367&gt;0,1,0))</f>
        <v/>
      </c>
    </row>
    <row r="3368">
      <c r="A3368" s="5" t="n">
        <v>2111000000</v>
      </c>
      <c r="B3368" s="5" t="inlineStr">
        <is>
          <t>102028</t>
        </is>
      </c>
      <c r="C3368" s="5" t="inlineStr">
        <is>
          <t>DSV AIR &amp; SEA LOGISTICA LTDA.</t>
        </is>
      </c>
      <c r="D3368" s="5" t="inlineStr">
        <is>
          <t>UE</t>
        </is>
      </c>
      <c r="E3368" s="5" t="n">
        <v>200010843</v>
      </c>
      <c r="F3368" s="5" t="inlineStr">
        <is>
          <t>18042</t>
        </is>
      </c>
      <c r="G3368" s="5" t="inlineStr">
        <is>
          <t>BRL</t>
        </is>
      </c>
      <c r="H3368" s="9" t="n">
        <v>-422.19</v>
      </c>
      <c r="I3368" s="16" t="n">
        <v>42061</v>
      </c>
      <c r="J3368" s="16" t="n">
        <v>42061</v>
      </c>
      <c r="K3368" s="5" t="inlineStr">
        <is>
          <t>00109500</t>
        </is>
      </c>
      <c r="L3368" s="5" t="inlineStr">
        <is>
          <t>400000.210101</t>
        </is>
      </c>
      <c r="M3368" s="5">
        <f>IF(YEAR(I3368)&lt;=2020,"Até 2020",TEXT(YEAR(I3368),"0"))</f>
        <v/>
      </c>
      <c r="N3368" s="5">
        <f>IFERROR(INDEX(DePara!$A:$A,MATCH(TEXT(B3368,"0"),DePara!$D:$D,0)),"(sem categoria)")</f>
        <v/>
      </c>
      <c r="O3368" s="5">
        <f>IF(J3368="","",Parametros!$B$6-J3368)</f>
        <v/>
      </c>
      <c r="P3368" s="5">
        <f>IF(O3368="","",IF(O3368&gt;0,1,0))</f>
        <v/>
      </c>
    </row>
    <row r="3369">
      <c r="A3369" s="5" t="n">
        <v>2111000000</v>
      </c>
      <c r="B3369" s="5" t="inlineStr">
        <is>
          <t>101358</t>
        </is>
      </c>
      <c r="C3369" s="5" t="inlineStr">
        <is>
          <t>MUNICIPIO DE LAJES</t>
        </is>
      </c>
      <c r="D3369" s="5" t="inlineStr">
        <is>
          <t>UE</t>
        </is>
      </c>
      <c r="E3369" s="5" t="n">
        <v>200011384</v>
      </c>
      <c r="F3369" s="5" t="inlineStr">
        <is>
          <t>16280</t>
        </is>
      </c>
      <c r="G3369" s="5" t="inlineStr">
        <is>
          <t>BRL</t>
        </is>
      </c>
      <c r="H3369" s="9" t="n">
        <v>-2631.58</v>
      </c>
      <c r="I3369" s="16" t="n">
        <v>44875</v>
      </c>
      <c r="J3369" s="16" t="n">
        <v>44875</v>
      </c>
      <c r="K3369" s="5" t="inlineStr">
        <is>
          <t>1139567</t>
        </is>
      </c>
      <c r="L3369" s="5" t="inlineStr">
        <is>
          <t>475100.210211</t>
        </is>
      </c>
      <c r="M3369" s="5">
        <f>IF(YEAR(I3369)&lt;=2020,"Até 2020",TEXT(YEAR(I3369),"0"))</f>
        <v/>
      </c>
      <c r="N3369" s="5">
        <f>IFERROR(INDEX(DePara!$A:$A,MATCH(TEXT(B3369,"0"),DePara!$D:$D,0)),"(sem categoria)")</f>
        <v/>
      </c>
      <c r="O3369" s="5">
        <f>IF(J3369="","",Parametros!$B$6-J3369)</f>
        <v/>
      </c>
      <c r="P3369" s="5">
        <f>IF(O3369="","",IF(O3369&gt;0,1,0))</f>
        <v/>
      </c>
    </row>
    <row r="3370">
      <c r="A3370" s="5" t="n">
        <v>2111000000</v>
      </c>
      <c r="B3370" s="5" t="inlineStr">
        <is>
          <t>101358</t>
        </is>
      </c>
      <c r="C3370" s="5" t="inlineStr">
        <is>
          <t>MUNICIPIO DE LAJES</t>
        </is>
      </c>
      <c r="D3370" s="5" t="inlineStr">
        <is>
          <t>UE</t>
        </is>
      </c>
      <c r="E3370" s="5" t="n">
        <v>200011387</v>
      </c>
      <c r="F3370" s="5" t="inlineStr">
        <is>
          <t>16283</t>
        </is>
      </c>
      <c r="G3370" s="5" t="inlineStr">
        <is>
          <t>BRL</t>
        </is>
      </c>
      <c r="H3370" s="9" t="n">
        <v>-4668.42</v>
      </c>
      <c r="I3370" s="16" t="n">
        <v>44874</v>
      </c>
      <c r="J3370" s="16" t="n">
        <v>44874</v>
      </c>
      <c r="K3370" s="5" t="inlineStr">
        <is>
          <t>1147658</t>
        </is>
      </c>
      <c r="L3370" s="5" t="inlineStr">
        <is>
          <t>475100.210211</t>
        </is>
      </c>
      <c r="M3370" s="5">
        <f>IF(YEAR(I3370)&lt;=2020,"Até 2020",TEXT(YEAR(I3370),"0"))</f>
        <v/>
      </c>
      <c r="N3370" s="5">
        <f>IFERROR(INDEX(DePara!$A:$A,MATCH(TEXT(B3370,"0"),DePara!$D:$D,0)),"(sem categoria)")</f>
        <v/>
      </c>
      <c r="O3370" s="5">
        <f>IF(J3370="","",Parametros!$B$6-J3370)</f>
        <v/>
      </c>
      <c r="P3370" s="5">
        <f>IF(O3370="","",IF(O3370&gt;0,1,0))</f>
        <v/>
      </c>
    </row>
    <row r="3371">
      <c r="A3371" s="5" t="n">
        <v>2111000000</v>
      </c>
      <c r="B3371" s="5" t="inlineStr">
        <is>
          <t>101358</t>
        </is>
      </c>
      <c r="C3371" s="5" t="inlineStr">
        <is>
          <t>MUNICIPIO DE LAJES</t>
        </is>
      </c>
      <c r="D3371" s="5" t="inlineStr">
        <is>
          <t>UE</t>
        </is>
      </c>
      <c r="E3371" s="5" t="n">
        <v>200011390</v>
      </c>
      <c r="F3371" s="5" t="inlineStr">
        <is>
          <t>16286</t>
        </is>
      </c>
      <c r="G3371" s="5" t="inlineStr">
        <is>
          <t>BRL</t>
        </is>
      </c>
      <c r="H3371" s="9" t="n">
        <v>-4668.42</v>
      </c>
      <c r="I3371" s="16" t="n">
        <v>44988</v>
      </c>
      <c r="J3371" s="16" t="n">
        <v>44988</v>
      </c>
      <c r="K3371" s="5" t="inlineStr">
        <is>
          <t>1161368</t>
        </is>
      </c>
      <c r="L3371" s="5" t="inlineStr">
        <is>
          <t>475100.210211</t>
        </is>
      </c>
      <c r="M3371" s="5">
        <f>IF(YEAR(I3371)&lt;=2020,"Até 2020",TEXT(YEAR(I3371),"0"))</f>
        <v/>
      </c>
      <c r="N3371" s="5">
        <f>IFERROR(INDEX(DePara!$A:$A,MATCH(TEXT(B3371,"0"),DePara!$D:$D,0)),"(sem categoria)")</f>
        <v/>
      </c>
      <c r="O3371" s="5">
        <f>IF(J3371="","",Parametros!$B$6-J3371)</f>
        <v/>
      </c>
      <c r="P3371" s="5">
        <f>IF(O3371="","",IF(O3371&gt;0,1,0))</f>
        <v/>
      </c>
    </row>
    <row r="3372">
      <c r="A3372" s="5" t="n">
        <v>2111000000</v>
      </c>
      <c r="B3372" s="5" t="inlineStr">
        <is>
          <t>101358</t>
        </is>
      </c>
      <c r="C3372" s="5" t="inlineStr">
        <is>
          <t>MUNICIPIO DE LAJES</t>
        </is>
      </c>
      <c r="D3372" s="5" t="inlineStr">
        <is>
          <t>UE</t>
        </is>
      </c>
      <c r="E3372" s="5" t="n">
        <v>200011397</v>
      </c>
      <c r="F3372" s="5" t="inlineStr">
        <is>
          <t>16292</t>
        </is>
      </c>
      <c r="G3372" s="5" t="inlineStr">
        <is>
          <t>BRL</t>
        </is>
      </c>
      <c r="H3372" s="9" t="n">
        <v>-4668.42</v>
      </c>
      <c r="I3372" s="16" t="n">
        <v>45049</v>
      </c>
      <c r="J3372" s="16" t="n">
        <v>45049</v>
      </c>
      <c r="K3372" s="5" t="inlineStr">
        <is>
          <t>1180921</t>
        </is>
      </c>
      <c r="L3372" s="5" t="inlineStr">
        <is>
          <t>475100.210211</t>
        </is>
      </c>
      <c r="M3372" s="5">
        <f>IF(YEAR(I3372)&lt;=2020,"Até 2020",TEXT(YEAR(I3372),"0"))</f>
        <v/>
      </c>
      <c r="N3372" s="5">
        <f>IFERROR(INDEX(DePara!$A:$A,MATCH(TEXT(B3372,"0"),DePara!$D:$D,0)),"(sem categoria)")</f>
        <v/>
      </c>
      <c r="O3372" s="5">
        <f>IF(J3372="","",Parametros!$B$6-J3372)</f>
        <v/>
      </c>
      <c r="P3372" s="5">
        <f>IF(O3372="","",IF(O3372&gt;0,1,0))</f>
        <v/>
      </c>
    </row>
    <row r="3373">
      <c r="A3373" s="5" t="n">
        <v>2111000000</v>
      </c>
      <c r="B3373" s="5" t="inlineStr">
        <is>
          <t>102144</t>
        </is>
      </c>
      <c r="C3373" s="5" t="inlineStr">
        <is>
          <t>KALEIDO FREIGHT SERVICES B A L I LT</t>
        </is>
      </c>
      <c r="D3373" s="5" t="inlineStr">
        <is>
          <t>UE</t>
        </is>
      </c>
      <c r="E3373" s="5" t="n">
        <v>200011432</v>
      </c>
      <c r="F3373" s="5" t="inlineStr">
        <is>
          <t>16323</t>
        </is>
      </c>
      <c r="G3373" s="5" t="inlineStr">
        <is>
          <t>BRL</t>
        </is>
      </c>
      <c r="H3373" s="9" t="n">
        <v>-1577.7</v>
      </c>
      <c r="I3373" s="16" t="n">
        <v>44203</v>
      </c>
      <c r="J3373" s="16" t="n">
        <v>44203</v>
      </c>
      <c r="K3373" s="5" t="inlineStr">
        <is>
          <t>1124454</t>
        </is>
      </c>
      <c r="L3373" s="5" t="inlineStr">
        <is>
          <t>400000.210101</t>
        </is>
      </c>
      <c r="M3373" s="5">
        <f>IF(YEAR(I3373)&lt;=2020,"Até 2020",TEXT(YEAR(I3373),"0"))</f>
        <v/>
      </c>
      <c r="N3373" s="5">
        <f>IFERROR(INDEX(DePara!$A:$A,MATCH(TEXT(B3373,"0"),DePara!$D:$D,0)),"(sem categoria)")</f>
        <v/>
      </c>
      <c r="O3373" s="5">
        <f>IF(J3373="","",Parametros!$B$6-J3373)</f>
        <v/>
      </c>
      <c r="P3373" s="5">
        <f>IF(O3373="","",IF(O3373&gt;0,1,0))</f>
        <v/>
      </c>
    </row>
    <row r="3374">
      <c r="A3374" s="5" t="n">
        <v>2111000000</v>
      </c>
      <c r="B3374" s="5" t="inlineStr">
        <is>
          <t>101763</t>
        </is>
      </c>
      <c r="C3374" s="5" t="inlineStr">
        <is>
          <t>MUNICIPIO DE LAGOA DO BARRO DO PIAU</t>
        </is>
      </c>
      <c r="D3374" s="5" t="inlineStr">
        <is>
          <t>UE</t>
        </is>
      </c>
      <c r="E3374" s="5" t="n">
        <v>200011458</v>
      </c>
      <c r="F3374" s="5" t="inlineStr">
        <is>
          <t>16347</t>
        </is>
      </c>
      <c r="G3374" s="5" t="inlineStr">
        <is>
          <t>BRL</t>
        </is>
      </c>
      <c r="H3374" s="9" t="n">
        <v>-28939.89</v>
      </c>
      <c r="I3374" s="16" t="n">
        <v>45077</v>
      </c>
      <c r="J3374" s="16" t="n">
        <v>45077</v>
      </c>
      <c r="K3374" s="5" t="inlineStr">
        <is>
          <t>1172437</t>
        </is>
      </c>
      <c r="L3374" s="5" t="inlineStr">
        <is>
          <t>475100.210211</t>
        </is>
      </c>
      <c r="M3374" s="5">
        <f>IF(YEAR(I3374)&lt;=2020,"Até 2020",TEXT(YEAR(I3374),"0"))</f>
        <v/>
      </c>
      <c r="N3374" s="5">
        <f>IFERROR(INDEX(DePara!$A:$A,MATCH(TEXT(B3374,"0"),DePara!$D:$D,0)),"(sem categoria)")</f>
        <v/>
      </c>
      <c r="O3374" s="5">
        <f>IF(J3374="","",Parametros!$B$6-J3374)</f>
        <v/>
      </c>
      <c r="P3374" s="5">
        <f>IF(O3374="","",IF(O3374&gt;0,1,0))</f>
        <v/>
      </c>
    </row>
    <row r="3375">
      <c r="A3375" s="5" t="n">
        <v>2111000000</v>
      </c>
      <c r="B3375" s="5" t="inlineStr">
        <is>
          <t>100833</t>
        </is>
      </c>
      <c r="C3375" s="5" t="inlineStr">
        <is>
          <t>MUNICIPIO DE JANDAIRA</t>
        </is>
      </c>
      <c r="D3375" s="5" t="inlineStr">
        <is>
          <t>UE</t>
        </is>
      </c>
      <c r="E3375" s="5" t="n">
        <v>200011498</v>
      </c>
      <c r="F3375" s="5" t="inlineStr">
        <is>
          <t>16383</t>
        </is>
      </c>
      <c r="G3375" s="5" t="inlineStr">
        <is>
          <t>BRL</t>
        </is>
      </c>
      <c r="H3375" s="9" t="n">
        <v>-45</v>
      </c>
      <c r="I3375" s="16" t="n">
        <v>45099</v>
      </c>
      <c r="J3375" s="16" t="n">
        <v>45099</v>
      </c>
      <c r="K3375" s="5" t="inlineStr">
        <is>
          <t>1180420</t>
        </is>
      </c>
      <c r="L3375" s="5" t="inlineStr">
        <is>
          <t>475100.210211</t>
        </is>
      </c>
      <c r="M3375" s="5">
        <f>IF(YEAR(I3375)&lt;=2020,"Até 2020",TEXT(YEAR(I3375),"0"))</f>
        <v/>
      </c>
      <c r="N3375" s="5">
        <f>IFERROR(INDEX(DePara!$A:$A,MATCH(TEXT(B3375,"0"),DePara!$D:$D,0)),"(sem categoria)")</f>
        <v/>
      </c>
      <c r="O3375" s="5">
        <f>IF(J3375="","",Parametros!$B$6-J3375)</f>
        <v/>
      </c>
      <c r="P3375" s="5">
        <f>IF(O3375="","",IF(O3375&gt;0,1,0))</f>
        <v/>
      </c>
    </row>
    <row r="3376">
      <c r="A3376" s="5" t="n">
        <v>2111000000</v>
      </c>
      <c r="B3376" s="5" t="inlineStr">
        <is>
          <t>101542</t>
        </is>
      </c>
      <c r="C3376" s="5" t="inlineStr">
        <is>
          <t>PREFEITURA MUNICIPAL DE MOSSORO</t>
        </is>
      </c>
      <c r="D3376" s="5" t="inlineStr">
        <is>
          <t>UE</t>
        </is>
      </c>
      <c r="E3376" s="5" t="n">
        <v>200011507</v>
      </c>
      <c r="F3376" s="5" t="inlineStr">
        <is>
          <t>16391</t>
        </is>
      </c>
      <c r="G3376" s="5" t="inlineStr">
        <is>
          <t>BRL</t>
        </is>
      </c>
      <c r="H3376" s="9" t="n">
        <v>-3065</v>
      </c>
      <c r="I3376" s="16" t="n">
        <v>44928</v>
      </c>
      <c r="J3376" s="16" t="n">
        <v>44928</v>
      </c>
      <c r="K3376" s="5" t="inlineStr">
        <is>
          <t>1152187</t>
        </is>
      </c>
      <c r="L3376" s="5" t="inlineStr">
        <is>
          <t>475100.210211</t>
        </is>
      </c>
      <c r="M3376" s="5">
        <f>IF(YEAR(I3376)&lt;=2020,"Até 2020",TEXT(YEAR(I3376),"0"))</f>
        <v/>
      </c>
      <c r="N3376" s="5">
        <f>IFERROR(INDEX(DePara!$A:$A,MATCH(TEXT(B3376,"0"),DePara!$D:$D,0)),"(sem categoria)")</f>
        <v/>
      </c>
      <c r="O3376" s="5">
        <f>IF(J3376="","",Parametros!$B$6-J3376)</f>
        <v/>
      </c>
      <c r="P3376" s="5">
        <f>IF(O3376="","",IF(O3376&gt;0,1,0))</f>
        <v/>
      </c>
    </row>
    <row r="3377">
      <c r="A3377" s="5" t="n">
        <v>2111000000</v>
      </c>
      <c r="B3377" s="5" t="inlineStr">
        <is>
          <t>101763</t>
        </is>
      </c>
      <c r="C3377" s="5" t="inlineStr">
        <is>
          <t>MUNICIPIO DE LAGOA DO BARRO DO PIAU</t>
        </is>
      </c>
      <c r="D3377" s="5" t="inlineStr">
        <is>
          <t>UE</t>
        </is>
      </c>
      <c r="E3377" s="5" t="n">
        <v>200011513</v>
      </c>
      <c r="F3377" s="5" t="inlineStr">
        <is>
          <t>16397</t>
        </is>
      </c>
      <c r="G3377" s="5" t="inlineStr">
        <is>
          <t>BRL</t>
        </is>
      </c>
      <c r="H3377" s="9" t="n">
        <v>-1740.94</v>
      </c>
      <c r="I3377" s="16" t="n">
        <v>45000</v>
      </c>
      <c r="J3377" s="16" t="n">
        <v>45000</v>
      </c>
      <c r="K3377" s="5" t="inlineStr">
        <is>
          <t>1161547</t>
        </is>
      </c>
      <c r="L3377" s="5" t="inlineStr">
        <is>
          <t>475100.210211</t>
        </is>
      </c>
      <c r="M3377" s="5">
        <f>IF(YEAR(I3377)&lt;=2020,"Até 2020",TEXT(YEAR(I3377),"0"))</f>
        <v/>
      </c>
      <c r="N3377" s="5">
        <f>IFERROR(INDEX(DePara!$A:$A,MATCH(TEXT(B3377,"0"),DePara!$D:$D,0)),"(sem categoria)")</f>
        <v/>
      </c>
      <c r="O3377" s="5">
        <f>IF(J3377="","",Parametros!$B$6-J3377)</f>
        <v/>
      </c>
      <c r="P3377" s="5">
        <f>IF(O3377="","",IF(O3377&gt;0,1,0))</f>
        <v/>
      </c>
    </row>
    <row r="3378">
      <c r="A3378" s="5" t="n">
        <v>2111000000</v>
      </c>
      <c r="B3378" s="5" t="inlineStr">
        <is>
          <t>100759</t>
        </is>
      </c>
      <c r="C3378" s="5" t="inlineStr">
        <is>
          <t>MUNICIPIO DE UIBAI</t>
        </is>
      </c>
      <c r="D3378" s="5" t="inlineStr">
        <is>
          <t>UE</t>
        </is>
      </c>
      <c r="E3378" s="5" t="n">
        <v>200011514</v>
      </c>
      <c r="F3378" s="5" t="inlineStr">
        <is>
          <t>16398</t>
        </is>
      </c>
      <c r="G3378" s="5" t="inlineStr">
        <is>
          <t>BRL</t>
        </is>
      </c>
      <c r="H3378" s="9" t="n">
        <v>-260</v>
      </c>
      <c r="I3378" s="16" t="n">
        <v>45048</v>
      </c>
      <c r="J3378" s="16" t="n">
        <v>45048</v>
      </c>
      <c r="K3378" s="5" t="inlineStr">
        <is>
          <t>1168698</t>
        </is>
      </c>
      <c r="L3378" s="5" t="inlineStr">
        <is>
          <t>475100.210211</t>
        </is>
      </c>
      <c r="M3378" s="5">
        <f>IF(YEAR(I3378)&lt;=2020,"Até 2020",TEXT(YEAR(I3378),"0"))</f>
        <v/>
      </c>
      <c r="N3378" s="5">
        <f>IFERROR(INDEX(DePara!$A:$A,MATCH(TEXT(B3378,"0"),DePara!$D:$D,0)),"(sem categoria)")</f>
        <v/>
      </c>
      <c r="O3378" s="5">
        <f>IF(J3378="","",Parametros!$B$6-J3378)</f>
        <v/>
      </c>
      <c r="P3378" s="5">
        <f>IF(O3378="","",IF(O3378&gt;0,1,0))</f>
        <v/>
      </c>
    </row>
    <row r="3379">
      <c r="A3379" s="5" t="n">
        <v>2111000000</v>
      </c>
      <c r="B3379" s="5" t="inlineStr">
        <is>
          <t>100759</t>
        </is>
      </c>
      <c r="C3379" s="5" t="inlineStr">
        <is>
          <t>MUNICIPIO DE UIBAI</t>
        </is>
      </c>
      <c r="D3379" s="5" t="inlineStr">
        <is>
          <t>UE</t>
        </is>
      </c>
      <c r="E3379" s="5" t="n">
        <v>200011515</v>
      </c>
      <c r="F3379" s="5" t="inlineStr">
        <is>
          <t>16399</t>
        </is>
      </c>
      <c r="G3379" s="5" t="inlineStr">
        <is>
          <t>BRL</t>
        </is>
      </c>
      <c r="H3379" s="9" t="n">
        <v>-239</v>
      </c>
      <c r="I3379" s="16" t="n">
        <v>45057</v>
      </c>
      <c r="J3379" s="16" t="n">
        <v>45057</v>
      </c>
      <c r="K3379" s="5" t="inlineStr">
        <is>
          <t>1172152</t>
        </is>
      </c>
      <c r="L3379" s="5" t="inlineStr">
        <is>
          <t>475100.210211</t>
        </is>
      </c>
      <c r="M3379" s="5">
        <f>IF(YEAR(I3379)&lt;=2020,"Até 2020",TEXT(YEAR(I3379),"0"))</f>
        <v/>
      </c>
      <c r="N3379" s="5">
        <f>IFERROR(INDEX(DePara!$A:$A,MATCH(TEXT(B3379,"0"),DePara!$D:$D,0)),"(sem categoria)")</f>
        <v/>
      </c>
      <c r="O3379" s="5">
        <f>IF(J3379="","",Parametros!$B$6-J3379)</f>
        <v/>
      </c>
      <c r="P3379" s="5">
        <f>IF(O3379="","",IF(O3379&gt;0,1,0))</f>
        <v/>
      </c>
    </row>
    <row r="3380">
      <c r="A3380" s="5" t="n">
        <v>2111000000</v>
      </c>
      <c r="B3380" s="5" t="inlineStr">
        <is>
          <t>100759</t>
        </is>
      </c>
      <c r="C3380" s="5" t="inlineStr">
        <is>
          <t>MUNICIPIO DE UIBAI</t>
        </is>
      </c>
      <c r="D3380" s="5" t="inlineStr">
        <is>
          <t>UE</t>
        </is>
      </c>
      <c r="E3380" s="5" t="n">
        <v>200011518</v>
      </c>
      <c r="F3380" s="5" t="inlineStr">
        <is>
          <t>16400</t>
        </is>
      </c>
      <c r="G3380" s="5" t="inlineStr">
        <is>
          <t>BRL</t>
        </is>
      </c>
      <c r="H3380" s="9" t="n">
        <v>-478</v>
      </c>
      <c r="I3380" s="16" t="n">
        <v>45057</v>
      </c>
      <c r="J3380" s="16" t="n">
        <v>45057</v>
      </c>
      <c r="K3380" s="5" t="inlineStr">
        <is>
          <t>1172156</t>
        </is>
      </c>
      <c r="L3380" s="5" t="inlineStr">
        <is>
          <t>475100.210211</t>
        </is>
      </c>
      <c r="M3380" s="5">
        <f>IF(YEAR(I3380)&lt;=2020,"Até 2020",TEXT(YEAR(I3380),"0"))</f>
        <v/>
      </c>
      <c r="N3380" s="5">
        <f>IFERROR(INDEX(DePara!$A:$A,MATCH(TEXT(B3380,"0"),DePara!$D:$D,0)),"(sem categoria)")</f>
        <v/>
      </c>
      <c r="O3380" s="5">
        <f>IF(J3380="","",Parametros!$B$6-J3380)</f>
        <v/>
      </c>
      <c r="P3380" s="5">
        <f>IF(O3380="","",IF(O3380&gt;0,1,0))</f>
        <v/>
      </c>
    </row>
    <row r="3381">
      <c r="A3381" s="5" t="n">
        <v>2111000000</v>
      </c>
      <c r="B3381" s="5" t="inlineStr">
        <is>
          <t>100759</t>
        </is>
      </c>
      <c r="C3381" s="5" t="inlineStr">
        <is>
          <t>MUNICIPIO DE UIBAI</t>
        </is>
      </c>
      <c r="D3381" s="5" t="inlineStr">
        <is>
          <t>UE</t>
        </is>
      </c>
      <c r="E3381" s="5" t="n">
        <v>200011525</v>
      </c>
      <c r="F3381" s="5" t="inlineStr">
        <is>
          <t>16407</t>
        </is>
      </c>
      <c r="G3381" s="5" t="inlineStr">
        <is>
          <t>BRL</t>
        </is>
      </c>
      <c r="H3381" s="9" t="n">
        <v>-435.48</v>
      </c>
      <c r="I3381" s="16" t="n">
        <v>45079</v>
      </c>
      <c r="J3381" s="16" t="n">
        <v>45079</v>
      </c>
      <c r="K3381" s="5" t="inlineStr">
        <is>
          <t>1179472</t>
        </is>
      </c>
      <c r="L3381" s="5" t="inlineStr">
        <is>
          <t>475100.210211</t>
        </is>
      </c>
      <c r="M3381" s="5">
        <f>IF(YEAR(I3381)&lt;=2020,"Até 2020",TEXT(YEAR(I3381),"0"))</f>
        <v/>
      </c>
      <c r="N3381" s="5">
        <f>IFERROR(INDEX(DePara!$A:$A,MATCH(TEXT(B3381,"0"),DePara!$D:$D,0)),"(sem categoria)")</f>
        <v/>
      </c>
      <c r="O3381" s="5">
        <f>IF(J3381="","",Parametros!$B$6-J3381)</f>
        <v/>
      </c>
      <c r="P3381" s="5">
        <f>IF(O3381="","",IF(O3381&gt;0,1,0))</f>
        <v/>
      </c>
    </row>
    <row r="3382">
      <c r="A3382" s="5" t="n">
        <v>2111000000</v>
      </c>
      <c r="B3382" s="5" t="inlineStr">
        <is>
          <t>101358</t>
        </is>
      </c>
      <c r="C3382" s="5" t="inlineStr">
        <is>
          <t>MUNICIPIO DE LAJES</t>
        </is>
      </c>
      <c r="D3382" s="5" t="inlineStr">
        <is>
          <t>UE</t>
        </is>
      </c>
      <c r="E3382" s="5" t="n">
        <v>200011529</v>
      </c>
      <c r="F3382" s="5" t="inlineStr">
        <is>
          <t>16410</t>
        </is>
      </c>
      <c r="G3382" s="5" t="inlineStr">
        <is>
          <t>BRL</t>
        </is>
      </c>
      <c r="H3382" s="9" t="n">
        <v>-127.58</v>
      </c>
      <c r="I3382" s="16" t="n">
        <v>44896</v>
      </c>
      <c r="J3382" s="16" t="n">
        <v>44896</v>
      </c>
      <c r="K3382" s="5" t="inlineStr">
        <is>
          <t>1144590</t>
        </is>
      </c>
      <c r="L3382" s="5" t="inlineStr">
        <is>
          <t>475100.210211</t>
        </is>
      </c>
      <c r="M3382" s="5">
        <f>IF(YEAR(I3382)&lt;=2020,"Até 2020",TEXT(YEAR(I3382),"0"))</f>
        <v/>
      </c>
      <c r="N3382" s="5">
        <f>IFERROR(INDEX(DePara!$A:$A,MATCH(TEXT(B3382,"0"),DePara!$D:$D,0)),"(sem categoria)")</f>
        <v/>
      </c>
      <c r="O3382" s="5">
        <f>IF(J3382="","",Parametros!$B$6-J3382)</f>
        <v/>
      </c>
      <c r="P3382" s="5">
        <f>IF(O3382="","",IF(O3382&gt;0,1,0))</f>
        <v/>
      </c>
    </row>
    <row r="3383">
      <c r="A3383" s="5" t="n">
        <v>2111000000</v>
      </c>
      <c r="B3383" s="5" t="inlineStr">
        <is>
          <t>101358</t>
        </is>
      </c>
      <c r="C3383" s="5" t="inlineStr">
        <is>
          <t>MUNICIPIO DE LAJES</t>
        </is>
      </c>
      <c r="D3383" s="5" t="inlineStr">
        <is>
          <t>UE</t>
        </is>
      </c>
      <c r="E3383" s="5" t="n">
        <v>200011530</v>
      </c>
      <c r="F3383" s="5" t="inlineStr">
        <is>
          <t>16411</t>
        </is>
      </c>
      <c r="G3383" s="5" t="inlineStr">
        <is>
          <t>BRL</t>
        </is>
      </c>
      <c r="H3383" s="9" t="n">
        <v>-249.08</v>
      </c>
      <c r="I3383" s="16" t="n">
        <v>44866</v>
      </c>
      <c r="J3383" s="16" t="n">
        <v>44866</v>
      </c>
      <c r="K3383" s="5" t="inlineStr">
        <is>
          <t>1149191</t>
        </is>
      </c>
      <c r="L3383" s="5" t="inlineStr">
        <is>
          <t>475100.210211</t>
        </is>
      </c>
      <c r="M3383" s="5">
        <f>IF(YEAR(I3383)&lt;=2020,"Até 2020",TEXT(YEAR(I3383),"0"))</f>
        <v/>
      </c>
      <c r="N3383" s="5">
        <f>IFERROR(INDEX(DePara!$A:$A,MATCH(TEXT(B3383,"0"),DePara!$D:$D,0)),"(sem categoria)")</f>
        <v/>
      </c>
      <c r="O3383" s="5">
        <f>IF(J3383="","",Parametros!$B$6-J3383)</f>
        <v/>
      </c>
      <c r="P3383" s="5">
        <f>IF(O3383="","",IF(O3383&gt;0,1,0))</f>
        <v/>
      </c>
    </row>
    <row r="3384">
      <c r="A3384" s="5" t="n">
        <v>2111000000</v>
      </c>
      <c r="B3384" s="5" t="inlineStr">
        <is>
          <t>101358</t>
        </is>
      </c>
      <c r="C3384" s="5" t="inlineStr">
        <is>
          <t>MUNICIPIO DE LAJES</t>
        </is>
      </c>
      <c r="D3384" s="5" t="inlineStr">
        <is>
          <t>UE</t>
        </is>
      </c>
      <c r="E3384" s="5" t="n">
        <v>200011531</v>
      </c>
      <c r="F3384" s="5" t="inlineStr">
        <is>
          <t>16412</t>
        </is>
      </c>
      <c r="G3384" s="5" t="inlineStr">
        <is>
          <t>BRL</t>
        </is>
      </c>
      <c r="H3384" s="9" t="n">
        <v>-249.08</v>
      </c>
      <c r="I3384" s="16" t="n">
        <v>44866</v>
      </c>
      <c r="J3384" s="16" t="n">
        <v>44866</v>
      </c>
      <c r="K3384" s="5" t="inlineStr">
        <is>
          <t>1150018</t>
        </is>
      </c>
      <c r="L3384" s="5" t="inlineStr">
        <is>
          <t>475100.210211</t>
        </is>
      </c>
      <c r="M3384" s="5">
        <f>IF(YEAR(I3384)&lt;=2020,"Até 2020",TEXT(YEAR(I3384),"0"))</f>
        <v/>
      </c>
      <c r="N3384" s="5">
        <f>IFERROR(INDEX(DePara!$A:$A,MATCH(TEXT(B3384,"0"),DePara!$D:$D,0)),"(sem categoria)")</f>
        <v/>
      </c>
      <c r="O3384" s="5">
        <f>IF(J3384="","",Parametros!$B$6-J3384)</f>
        <v/>
      </c>
      <c r="P3384" s="5">
        <f>IF(O3384="","",IF(O3384&gt;0,1,0))</f>
        <v/>
      </c>
    </row>
    <row r="3385">
      <c r="A3385" s="5" t="n">
        <v>2111000000</v>
      </c>
      <c r="B3385" s="5" t="inlineStr">
        <is>
          <t>101358</t>
        </is>
      </c>
      <c r="C3385" s="5" t="inlineStr">
        <is>
          <t>MUNICIPIO DE LAJES</t>
        </is>
      </c>
      <c r="D3385" s="5" t="inlineStr">
        <is>
          <t>UE</t>
        </is>
      </c>
      <c r="E3385" s="5" t="n">
        <v>200011532</v>
      </c>
      <c r="F3385" s="5" t="inlineStr">
        <is>
          <t>16413</t>
        </is>
      </c>
      <c r="G3385" s="5" t="inlineStr">
        <is>
          <t>BRL</t>
        </is>
      </c>
      <c r="H3385" s="9" t="n">
        <v>-382.73</v>
      </c>
      <c r="I3385" s="16" t="n">
        <v>45017</v>
      </c>
      <c r="J3385" s="16" t="n">
        <v>45017</v>
      </c>
      <c r="K3385" s="5" t="inlineStr">
        <is>
          <t>1171515</t>
        </is>
      </c>
      <c r="L3385" s="5" t="inlineStr">
        <is>
          <t>475100.210211</t>
        </is>
      </c>
      <c r="M3385" s="5">
        <f>IF(YEAR(I3385)&lt;=2020,"Até 2020",TEXT(YEAR(I3385),"0"))</f>
        <v/>
      </c>
      <c r="N3385" s="5">
        <f>IFERROR(INDEX(DePara!$A:$A,MATCH(TEXT(B3385,"0"),DePara!$D:$D,0)),"(sem categoria)")</f>
        <v/>
      </c>
      <c r="O3385" s="5">
        <f>IF(J3385="","",Parametros!$B$6-J3385)</f>
        <v/>
      </c>
      <c r="P3385" s="5">
        <f>IF(O3385="","",IF(O3385&gt;0,1,0))</f>
        <v/>
      </c>
    </row>
    <row r="3386">
      <c r="A3386" s="5" t="n">
        <v>2111000000</v>
      </c>
      <c r="B3386" s="5" t="inlineStr">
        <is>
          <t>101358</t>
        </is>
      </c>
      <c r="C3386" s="5" t="inlineStr">
        <is>
          <t>MUNICIPIO DE LAJES</t>
        </is>
      </c>
      <c r="D3386" s="5" t="inlineStr">
        <is>
          <t>UE</t>
        </is>
      </c>
      <c r="E3386" s="5" t="n">
        <v>200011535</v>
      </c>
      <c r="F3386" s="5" t="inlineStr">
        <is>
          <t>16416</t>
        </is>
      </c>
      <c r="G3386" s="5" t="inlineStr">
        <is>
          <t>BRL</t>
        </is>
      </c>
      <c r="H3386" s="9" t="n">
        <v>-109.35</v>
      </c>
      <c r="I3386" s="16" t="n">
        <v>45114</v>
      </c>
      <c r="J3386" s="16" t="n">
        <v>45114</v>
      </c>
      <c r="K3386" s="5" t="inlineStr">
        <is>
          <t>1181325</t>
        </is>
      </c>
      <c r="L3386" s="5" t="inlineStr">
        <is>
          <t>475100.210211</t>
        </is>
      </c>
      <c r="M3386" s="5">
        <f>IF(YEAR(I3386)&lt;=2020,"Até 2020",TEXT(YEAR(I3386),"0"))</f>
        <v/>
      </c>
      <c r="N3386" s="5">
        <f>IFERROR(INDEX(DePara!$A:$A,MATCH(TEXT(B3386,"0"),DePara!$D:$D,0)),"(sem categoria)")</f>
        <v/>
      </c>
      <c r="O3386" s="5">
        <f>IF(J3386="","",Parametros!$B$6-J3386)</f>
        <v/>
      </c>
      <c r="P3386" s="5">
        <f>IF(O3386="","",IF(O3386&gt;0,1,0))</f>
        <v/>
      </c>
    </row>
    <row r="3387">
      <c r="A3387" s="5" t="n">
        <v>2111000000</v>
      </c>
      <c r="B3387" s="5" t="inlineStr">
        <is>
          <t>100759</t>
        </is>
      </c>
      <c r="C3387" s="5" t="inlineStr">
        <is>
          <t>MUNICIPIO DE UIBAI</t>
        </is>
      </c>
      <c r="D3387" s="5" t="inlineStr">
        <is>
          <t>UE</t>
        </is>
      </c>
      <c r="E3387" s="5" t="n">
        <v>200011546</v>
      </c>
      <c r="F3387" s="5" t="inlineStr">
        <is>
          <t>16426</t>
        </is>
      </c>
      <c r="G3387" s="5" t="inlineStr">
        <is>
          <t>BRL</t>
        </is>
      </c>
      <c r="H3387" s="9" t="n">
        <v>-1023.72</v>
      </c>
      <c r="I3387" s="16" t="n">
        <v>44999</v>
      </c>
      <c r="J3387" s="16" t="n">
        <v>44999</v>
      </c>
      <c r="K3387" s="5" t="inlineStr">
        <is>
          <t>1160774</t>
        </is>
      </c>
      <c r="L3387" s="5" t="inlineStr">
        <is>
          <t>475100.210211</t>
        </is>
      </c>
      <c r="M3387" s="5">
        <f>IF(YEAR(I3387)&lt;=2020,"Até 2020",TEXT(YEAR(I3387),"0"))</f>
        <v/>
      </c>
      <c r="N3387" s="5">
        <f>IFERROR(INDEX(DePara!$A:$A,MATCH(TEXT(B3387,"0"),DePara!$D:$D,0)),"(sem categoria)")</f>
        <v/>
      </c>
      <c r="O3387" s="5">
        <f>IF(J3387="","",Parametros!$B$6-J3387)</f>
        <v/>
      </c>
      <c r="P3387" s="5">
        <f>IF(O3387="","",IF(O3387&gt;0,1,0))</f>
        <v/>
      </c>
    </row>
    <row r="3388">
      <c r="A3388" s="5" t="n">
        <v>2111000000</v>
      </c>
      <c r="B3388" s="5" t="inlineStr">
        <is>
          <t>100759</t>
        </is>
      </c>
      <c r="C3388" s="5" t="inlineStr">
        <is>
          <t>MUNICIPIO DE UIBAI</t>
        </is>
      </c>
      <c r="D3388" s="5" t="inlineStr">
        <is>
          <t>UE</t>
        </is>
      </c>
      <c r="E3388" s="5" t="n">
        <v>200011547</v>
      </c>
      <c r="F3388" s="5" t="inlineStr">
        <is>
          <t>16427</t>
        </is>
      </c>
      <c r="G3388" s="5" t="inlineStr">
        <is>
          <t>BRL</t>
        </is>
      </c>
      <c r="H3388" s="9" t="n">
        <v>-509.13</v>
      </c>
      <c r="I3388" s="16" t="n">
        <v>45089</v>
      </c>
      <c r="J3388" s="16" t="n">
        <v>45089</v>
      </c>
      <c r="K3388" s="5" t="inlineStr">
        <is>
          <t>1182685</t>
        </is>
      </c>
      <c r="L3388" s="5" t="inlineStr">
        <is>
          <t>475100.210211</t>
        </is>
      </c>
      <c r="M3388" s="5">
        <f>IF(YEAR(I3388)&lt;=2020,"Até 2020",TEXT(YEAR(I3388),"0"))</f>
        <v/>
      </c>
      <c r="N3388" s="5">
        <f>IFERROR(INDEX(DePara!$A:$A,MATCH(TEXT(B3388,"0"),DePara!$D:$D,0)),"(sem categoria)")</f>
        <v/>
      </c>
      <c r="O3388" s="5">
        <f>IF(J3388="","",Parametros!$B$6-J3388)</f>
        <v/>
      </c>
      <c r="P3388" s="5">
        <f>IF(O3388="","",IF(O3388&gt;0,1,0))</f>
        <v/>
      </c>
    </row>
    <row r="3389">
      <c r="A3389" s="5" t="n">
        <v>2111000000</v>
      </c>
      <c r="B3389" s="5" t="inlineStr">
        <is>
          <t>101358</t>
        </is>
      </c>
      <c r="C3389" s="5" t="inlineStr">
        <is>
          <t>MUNICIPIO DE LAJES</t>
        </is>
      </c>
      <c r="D3389" s="5" t="inlineStr">
        <is>
          <t>UE</t>
        </is>
      </c>
      <c r="E3389" s="5" t="n">
        <v>200011571</v>
      </c>
      <c r="F3389" s="5" t="inlineStr">
        <is>
          <t>16449</t>
        </is>
      </c>
      <c r="G3389" s="5" t="inlineStr">
        <is>
          <t>BRL</t>
        </is>
      </c>
      <c r="H3389" s="9" t="n">
        <v>-5827.26</v>
      </c>
      <c r="I3389" s="16" t="n">
        <v>44879</v>
      </c>
      <c r="J3389" s="16" t="n">
        <v>44879</v>
      </c>
      <c r="K3389" s="5" t="inlineStr">
        <is>
          <t>1138942</t>
        </is>
      </c>
      <c r="L3389" s="5" t="inlineStr">
        <is>
          <t>475100.210211</t>
        </is>
      </c>
      <c r="M3389" s="5">
        <f>IF(YEAR(I3389)&lt;=2020,"Até 2020",TEXT(YEAR(I3389),"0"))</f>
        <v/>
      </c>
      <c r="N3389" s="5">
        <f>IFERROR(INDEX(DePara!$A:$A,MATCH(TEXT(B3389,"0"),DePara!$D:$D,0)),"(sem categoria)")</f>
        <v/>
      </c>
      <c r="O3389" s="5">
        <f>IF(J3389="","",Parametros!$B$6-J3389)</f>
        <v/>
      </c>
      <c r="P3389" s="5">
        <f>IF(O3389="","",IF(O3389&gt;0,1,0))</f>
        <v/>
      </c>
    </row>
    <row r="3390">
      <c r="A3390" s="5" t="n">
        <v>2111000000</v>
      </c>
      <c r="B3390" s="5" t="inlineStr">
        <is>
          <t>101358</t>
        </is>
      </c>
      <c r="C3390" s="5" t="inlineStr">
        <is>
          <t>MUNICIPIO DE LAJES</t>
        </is>
      </c>
      <c r="D3390" s="5" t="inlineStr">
        <is>
          <t>UE</t>
        </is>
      </c>
      <c r="E3390" s="5" t="n">
        <v>200011574</v>
      </c>
      <c r="F3390" s="5" t="inlineStr">
        <is>
          <t>16451</t>
        </is>
      </c>
      <c r="G3390" s="5" t="inlineStr">
        <is>
          <t>BRL</t>
        </is>
      </c>
      <c r="H3390" s="9" t="n">
        <v>-33953.69</v>
      </c>
      <c r="I3390" s="16" t="n">
        <v>44879</v>
      </c>
      <c r="J3390" s="16" t="n">
        <v>44879</v>
      </c>
      <c r="K3390" s="5" t="inlineStr">
        <is>
          <t>1138947</t>
        </is>
      </c>
      <c r="L3390" s="5" t="inlineStr">
        <is>
          <t>475100.210211</t>
        </is>
      </c>
      <c r="M3390" s="5">
        <f>IF(YEAR(I3390)&lt;=2020,"Até 2020",TEXT(YEAR(I3390),"0"))</f>
        <v/>
      </c>
      <c r="N3390" s="5">
        <f>IFERROR(INDEX(DePara!$A:$A,MATCH(TEXT(B3390,"0"),DePara!$D:$D,0)),"(sem categoria)")</f>
        <v/>
      </c>
      <c r="O3390" s="5">
        <f>IF(J3390="","",Parametros!$B$6-J3390)</f>
        <v/>
      </c>
      <c r="P3390" s="5">
        <f>IF(O3390="","",IF(O3390&gt;0,1,0))</f>
        <v/>
      </c>
    </row>
    <row r="3391">
      <c r="A3391" s="5" t="n">
        <v>2111000000</v>
      </c>
      <c r="B3391" s="5" t="inlineStr">
        <is>
          <t>101358</t>
        </is>
      </c>
      <c r="C3391" s="5" t="inlineStr">
        <is>
          <t>MUNICIPIO DE LAJES</t>
        </is>
      </c>
      <c r="D3391" s="5" t="inlineStr">
        <is>
          <t>UE</t>
        </is>
      </c>
      <c r="E3391" s="5" t="n">
        <v>200011576</v>
      </c>
      <c r="F3391" s="5" t="inlineStr">
        <is>
          <t>16453</t>
        </is>
      </c>
      <c r="G3391" s="5" t="inlineStr">
        <is>
          <t>BRL</t>
        </is>
      </c>
      <c r="H3391" s="9" t="n">
        <v>-756.5599999999999</v>
      </c>
      <c r="I3391" s="16" t="n">
        <v>44816</v>
      </c>
      <c r="J3391" s="16" t="n">
        <v>44816</v>
      </c>
      <c r="K3391" s="5" t="inlineStr">
        <is>
          <t>1153005</t>
        </is>
      </c>
      <c r="L3391" s="5" t="inlineStr">
        <is>
          <t>475100.210211</t>
        </is>
      </c>
      <c r="M3391" s="5">
        <f>IF(YEAR(I3391)&lt;=2020,"Até 2020",TEXT(YEAR(I3391),"0"))</f>
        <v/>
      </c>
      <c r="N3391" s="5">
        <f>IFERROR(INDEX(DePara!$A:$A,MATCH(TEXT(B3391,"0"),DePara!$D:$D,0)),"(sem categoria)")</f>
        <v/>
      </c>
      <c r="O3391" s="5">
        <f>IF(J3391="","",Parametros!$B$6-J3391)</f>
        <v/>
      </c>
      <c r="P3391" s="5">
        <f>IF(O3391="","",IF(O3391&gt;0,1,0))</f>
        <v/>
      </c>
    </row>
    <row r="3392">
      <c r="A3392" s="5" t="n">
        <v>2111000000</v>
      </c>
      <c r="B3392" s="5" t="inlineStr">
        <is>
          <t>101358</t>
        </is>
      </c>
      <c r="C3392" s="5" t="inlineStr">
        <is>
          <t>MUNICIPIO DE LAJES</t>
        </is>
      </c>
      <c r="D3392" s="5" t="inlineStr">
        <is>
          <t>UE</t>
        </is>
      </c>
      <c r="E3392" s="5" t="n">
        <v>200011578</v>
      </c>
      <c r="F3392" s="5" t="inlineStr">
        <is>
          <t>16455</t>
        </is>
      </c>
      <c r="G3392" s="5" t="inlineStr">
        <is>
          <t>BRL</t>
        </is>
      </c>
      <c r="H3392" s="9" t="n">
        <v>-896.5</v>
      </c>
      <c r="I3392" s="16" t="n">
        <v>44915</v>
      </c>
      <c r="J3392" s="16" t="n">
        <v>44915</v>
      </c>
      <c r="K3392" s="5" t="inlineStr">
        <is>
          <t>1154468</t>
        </is>
      </c>
      <c r="L3392" s="5" t="inlineStr">
        <is>
          <t>475100.210211</t>
        </is>
      </c>
      <c r="M3392" s="5">
        <f>IF(YEAR(I3392)&lt;=2020,"Até 2020",TEXT(YEAR(I3392),"0"))</f>
        <v/>
      </c>
      <c r="N3392" s="5">
        <f>IFERROR(INDEX(DePara!$A:$A,MATCH(TEXT(B3392,"0"),DePara!$D:$D,0)),"(sem categoria)")</f>
        <v/>
      </c>
      <c r="O3392" s="5">
        <f>IF(J3392="","",Parametros!$B$6-J3392)</f>
        <v/>
      </c>
      <c r="P3392" s="5">
        <f>IF(O3392="","",IF(O3392&gt;0,1,0))</f>
        <v/>
      </c>
    </row>
    <row r="3393">
      <c r="A3393" s="5" t="n">
        <v>2111000000</v>
      </c>
      <c r="B3393" s="5" t="inlineStr">
        <is>
          <t>101358</t>
        </is>
      </c>
      <c r="C3393" s="5" t="inlineStr">
        <is>
          <t>MUNICIPIO DE LAJES</t>
        </is>
      </c>
      <c r="D3393" s="5" t="inlineStr">
        <is>
          <t>UE</t>
        </is>
      </c>
      <c r="E3393" s="5" t="n">
        <v>200011580</v>
      </c>
      <c r="F3393" s="5" t="inlineStr">
        <is>
          <t>16457</t>
        </is>
      </c>
      <c r="G3393" s="5" t="inlineStr">
        <is>
          <t>BRL</t>
        </is>
      </c>
      <c r="H3393" s="9" t="n">
        <v>-15164.03</v>
      </c>
      <c r="I3393" s="16" t="n">
        <v>44866</v>
      </c>
      <c r="J3393" s="16" t="n">
        <v>44866</v>
      </c>
      <c r="K3393" s="5" t="inlineStr">
        <is>
          <t>1154495</t>
        </is>
      </c>
      <c r="L3393" s="5" t="inlineStr">
        <is>
          <t>475100.210211</t>
        </is>
      </c>
      <c r="M3393" s="5">
        <f>IF(YEAR(I3393)&lt;=2020,"Até 2020",TEXT(YEAR(I3393),"0"))</f>
        <v/>
      </c>
      <c r="N3393" s="5">
        <f>IFERROR(INDEX(DePara!$A:$A,MATCH(TEXT(B3393,"0"),DePara!$D:$D,0)),"(sem categoria)")</f>
        <v/>
      </c>
      <c r="O3393" s="5">
        <f>IF(J3393="","",Parametros!$B$6-J3393)</f>
        <v/>
      </c>
      <c r="P3393" s="5">
        <f>IF(O3393="","",IF(O3393&gt;0,1,0))</f>
        <v/>
      </c>
    </row>
    <row r="3394">
      <c r="A3394" s="5" t="n">
        <v>2111000000</v>
      </c>
      <c r="B3394" s="5" t="inlineStr">
        <is>
          <t>101358</t>
        </is>
      </c>
      <c r="C3394" s="5" t="inlineStr">
        <is>
          <t>MUNICIPIO DE LAJES</t>
        </is>
      </c>
      <c r="D3394" s="5" t="inlineStr">
        <is>
          <t>UE</t>
        </is>
      </c>
      <c r="E3394" s="5" t="n">
        <v>200011582</v>
      </c>
      <c r="F3394" s="5" t="inlineStr">
        <is>
          <t>16459</t>
        </is>
      </c>
      <c r="G3394" s="5" t="inlineStr">
        <is>
          <t>BRL</t>
        </is>
      </c>
      <c r="H3394" s="9" t="n">
        <v>-48328.58</v>
      </c>
      <c r="I3394" s="16" t="n">
        <v>44866</v>
      </c>
      <c r="J3394" s="16" t="n">
        <v>44866</v>
      </c>
      <c r="K3394" s="5" t="inlineStr">
        <is>
          <t>1154499</t>
        </is>
      </c>
      <c r="L3394" s="5" t="inlineStr">
        <is>
          <t>475100.210211</t>
        </is>
      </c>
      <c r="M3394" s="5">
        <f>IF(YEAR(I3394)&lt;=2020,"Até 2020",TEXT(YEAR(I3394),"0"))</f>
        <v/>
      </c>
      <c r="N3394" s="5">
        <f>IFERROR(INDEX(DePara!$A:$A,MATCH(TEXT(B3394,"0"),DePara!$D:$D,0)),"(sem categoria)")</f>
        <v/>
      </c>
      <c r="O3394" s="5">
        <f>IF(J3394="","",Parametros!$B$6-J3394)</f>
        <v/>
      </c>
      <c r="P3394" s="5">
        <f>IF(O3394="","",IF(O3394&gt;0,1,0))</f>
        <v/>
      </c>
    </row>
    <row r="3395">
      <c r="A3395" s="5" t="n">
        <v>2111000000</v>
      </c>
      <c r="B3395" s="5" t="inlineStr">
        <is>
          <t>100759</t>
        </is>
      </c>
      <c r="C3395" s="5" t="inlineStr">
        <is>
          <t>MUNICIPIO DE UIBAI</t>
        </is>
      </c>
      <c r="D3395" s="5" t="inlineStr">
        <is>
          <t>UE</t>
        </is>
      </c>
      <c r="E3395" s="5" t="n">
        <v>200011585</v>
      </c>
      <c r="F3395" s="5" t="inlineStr">
        <is>
          <t>16461</t>
        </is>
      </c>
      <c r="G3395" s="5" t="inlineStr">
        <is>
          <t>BRL</t>
        </is>
      </c>
      <c r="H3395" s="9" t="n">
        <v>-19100.06</v>
      </c>
      <c r="I3395" s="16" t="n">
        <v>44995</v>
      </c>
      <c r="J3395" s="16" t="n">
        <v>44995</v>
      </c>
      <c r="K3395" s="5" t="inlineStr">
        <is>
          <t>1160673</t>
        </is>
      </c>
      <c r="L3395" s="5" t="inlineStr">
        <is>
          <t>475100.210211</t>
        </is>
      </c>
      <c r="M3395" s="5">
        <f>IF(YEAR(I3395)&lt;=2020,"Até 2020",TEXT(YEAR(I3395),"0"))</f>
        <v/>
      </c>
      <c r="N3395" s="5">
        <f>IFERROR(INDEX(DePara!$A:$A,MATCH(TEXT(B3395,"0"),DePara!$D:$D,0)),"(sem categoria)")</f>
        <v/>
      </c>
      <c r="O3395" s="5">
        <f>IF(J3395="","",Parametros!$B$6-J3395)</f>
        <v/>
      </c>
      <c r="P3395" s="5">
        <f>IF(O3395="","",IF(O3395&gt;0,1,0))</f>
        <v/>
      </c>
    </row>
    <row r="3396">
      <c r="A3396" s="5" t="n">
        <v>2111000000</v>
      </c>
      <c r="B3396" s="5" t="inlineStr">
        <is>
          <t>100759</t>
        </is>
      </c>
      <c r="C3396" s="5" t="inlineStr">
        <is>
          <t>MUNICIPIO DE UIBAI</t>
        </is>
      </c>
      <c r="D3396" s="5" t="inlineStr">
        <is>
          <t>UE</t>
        </is>
      </c>
      <c r="E3396" s="5" t="n">
        <v>200011586</v>
      </c>
      <c r="F3396" s="5" t="inlineStr">
        <is>
          <t>16462</t>
        </is>
      </c>
      <c r="G3396" s="5" t="inlineStr">
        <is>
          <t>BRL</t>
        </is>
      </c>
      <c r="H3396" s="9" t="n">
        <v>-12205.3</v>
      </c>
      <c r="I3396" s="16" t="n">
        <v>44995</v>
      </c>
      <c r="J3396" s="16" t="n">
        <v>44995</v>
      </c>
      <c r="K3396" s="5" t="inlineStr">
        <is>
          <t>1160674</t>
        </is>
      </c>
      <c r="L3396" s="5" t="inlineStr">
        <is>
          <t>475100.210211</t>
        </is>
      </c>
      <c r="M3396" s="5">
        <f>IF(YEAR(I3396)&lt;=2020,"Até 2020",TEXT(YEAR(I3396),"0"))</f>
        <v/>
      </c>
      <c r="N3396" s="5">
        <f>IFERROR(INDEX(DePara!$A:$A,MATCH(TEXT(B3396,"0"),DePara!$D:$D,0)),"(sem categoria)")</f>
        <v/>
      </c>
      <c r="O3396" s="5">
        <f>IF(J3396="","",Parametros!$B$6-J3396)</f>
        <v/>
      </c>
      <c r="P3396" s="5">
        <f>IF(O3396="","",IF(O3396&gt;0,1,0))</f>
        <v/>
      </c>
    </row>
    <row r="3397">
      <c r="A3397" s="5" t="n">
        <v>2111000000</v>
      </c>
      <c r="B3397" s="5" t="inlineStr">
        <is>
          <t>100759</t>
        </is>
      </c>
      <c r="C3397" s="5" t="inlineStr">
        <is>
          <t>MUNICIPIO DE UIBAI</t>
        </is>
      </c>
      <c r="D3397" s="5" t="inlineStr">
        <is>
          <t>UE</t>
        </is>
      </c>
      <c r="E3397" s="5" t="n">
        <v>200011587</v>
      </c>
      <c r="F3397" s="5" t="inlineStr">
        <is>
          <t>16463</t>
        </is>
      </c>
      <c r="G3397" s="5" t="inlineStr">
        <is>
          <t>BRL</t>
        </is>
      </c>
      <c r="H3397" s="9" t="n">
        <v>-2341.84</v>
      </c>
      <c r="I3397" s="16" t="n">
        <v>45005</v>
      </c>
      <c r="J3397" s="16" t="n">
        <v>45005</v>
      </c>
      <c r="K3397" s="5" t="inlineStr">
        <is>
          <t>1160676</t>
        </is>
      </c>
      <c r="L3397" s="5" t="inlineStr">
        <is>
          <t>475100.210211</t>
        </is>
      </c>
      <c r="M3397" s="5">
        <f>IF(YEAR(I3397)&lt;=2020,"Até 2020",TEXT(YEAR(I3397),"0"))</f>
        <v/>
      </c>
      <c r="N3397" s="5">
        <f>IFERROR(INDEX(DePara!$A:$A,MATCH(TEXT(B3397,"0"),DePara!$D:$D,0)),"(sem categoria)")</f>
        <v/>
      </c>
      <c r="O3397" s="5">
        <f>IF(J3397="","",Parametros!$B$6-J3397)</f>
        <v/>
      </c>
      <c r="P3397" s="5">
        <f>IF(O3397="","",IF(O3397&gt;0,1,0))</f>
        <v/>
      </c>
    </row>
    <row r="3398">
      <c r="A3398" s="5" t="n">
        <v>2111000000</v>
      </c>
      <c r="B3398" s="5" t="inlineStr">
        <is>
          <t>100759</t>
        </is>
      </c>
      <c r="C3398" s="5" t="inlineStr">
        <is>
          <t>MUNICIPIO DE UIBAI</t>
        </is>
      </c>
      <c r="D3398" s="5" t="inlineStr">
        <is>
          <t>UE</t>
        </is>
      </c>
      <c r="E3398" s="5" t="n">
        <v>200011588</v>
      </c>
      <c r="F3398" s="5" t="inlineStr">
        <is>
          <t>16464</t>
        </is>
      </c>
      <c r="G3398" s="5" t="inlineStr">
        <is>
          <t>BRL</t>
        </is>
      </c>
      <c r="H3398" s="9" t="n">
        <v>-641.75</v>
      </c>
      <c r="I3398" s="16" t="n">
        <v>44995</v>
      </c>
      <c r="J3398" s="16" t="n">
        <v>44995</v>
      </c>
      <c r="K3398" s="5" t="inlineStr">
        <is>
          <t>1160677</t>
        </is>
      </c>
      <c r="L3398" s="5" t="inlineStr">
        <is>
          <t>475100.210211</t>
        </is>
      </c>
      <c r="M3398" s="5">
        <f>IF(YEAR(I3398)&lt;=2020,"Até 2020",TEXT(YEAR(I3398),"0"))</f>
        <v/>
      </c>
      <c r="N3398" s="5">
        <f>IFERROR(INDEX(DePara!$A:$A,MATCH(TEXT(B3398,"0"),DePara!$D:$D,0)),"(sem categoria)")</f>
        <v/>
      </c>
      <c r="O3398" s="5">
        <f>IF(J3398="","",Parametros!$B$6-J3398)</f>
        <v/>
      </c>
      <c r="P3398" s="5">
        <f>IF(O3398="","",IF(O3398&gt;0,1,0))</f>
        <v/>
      </c>
    </row>
    <row r="3399">
      <c r="A3399" s="5" t="n">
        <v>2111000000</v>
      </c>
      <c r="B3399" s="5" t="inlineStr">
        <is>
          <t>100759</t>
        </is>
      </c>
      <c r="C3399" s="5" t="inlineStr">
        <is>
          <t>MUNICIPIO DE UIBAI</t>
        </is>
      </c>
      <c r="D3399" s="5" t="inlineStr">
        <is>
          <t>UE</t>
        </is>
      </c>
      <c r="E3399" s="5" t="n">
        <v>200011589</v>
      </c>
      <c r="F3399" s="5" t="inlineStr">
        <is>
          <t>16465</t>
        </is>
      </c>
      <c r="G3399" s="5" t="inlineStr">
        <is>
          <t>BRL</t>
        </is>
      </c>
      <c r="H3399" s="9" t="n">
        <v>-1384.84</v>
      </c>
      <c r="I3399" s="16" t="n">
        <v>45005</v>
      </c>
      <c r="J3399" s="16" t="n">
        <v>45005</v>
      </c>
      <c r="K3399" s="5" t="inlineStr">
        <is>
          <t>1160681</t>
        </is>
      </c>
      <c r="L3399" s="5" t="inlineStr">
        <is>
          <t>475100.210211</t>
        </is>
      </c>
      <c r="M3399" s="5">
        <f>IF(YEAR(I3399)&lt;=2020,"Até 2020",TEXT(YEAR(I3399),"0"))</f>
        <v/>
      </c>
      <c r="N3399" s="5">
        <f>IFERROR(INDEX(DePara!$A:$A,MATCH(TEXT(B3399,"0"),DePara!$D:$D,0)),"(sem categoria)")</f>
        <v/>
      </c>
      <c r="O3399" s="5">
        <f>IF(J3399="","",Parametros!$B$6-J3399)</f>
        <v/>
      </c>
      <c r="P3399" s="5">
        <f>IF(O3399="","",IF(O3399&gt;0,1,0))</f>
        <v/>
      </c>
    </row>
    <row r="3400">
      <c r="A3400" s="5" t="n">
        <v>2111000000</v>
      </c>
      <c r="B3400" s="5" t="inlineStr">
        <is>
          <t>100759</t>
        </is>
      </c>
      <c r="C3400" s="5" t="inlineStr">
        <is>
          <t>MUNICIPIO DE UIBAI</t>
        </is>
      </c>
      <c r="D3400" s="5" t="inlineStr">
        <is>
          <t>UE</t>
        </is>
      </c>
      <c r="E3400" s="5" t="n">
        <v>200011590</v>
      </c>
      <c r="F3400" s="5" t="inlineStr">
        <is>
          <t>16466</t>
        </is>
      </c>
      <c r="G3400" s="5" t="inlineStr">
        <is>
          <t>BRL</t>
        </is>
      </c>
      <c r="H3400" s="9" t="n">
        <v>-790.15</v>
      </c>
      <c r="I3400" s="16" t="n">
        <v>44995</v>
      </c>
      <c r="J3400" s="16" t="n">
        <v>44995</v>
      </c>
      <c r="K3400" s="5" t="inlineStr">
        <is>
          <t>1160683</t>
        </is>
      </c>
      <c r="L3400" s="5" t="inlineStr">
        <is>
          <t>475100.210211</t>
        </is>
      </c>
      <c r="M3400" s="5">
        <f>IF(YEAR(I3400)&lt;=2020,"Até 2020",TEXT(YEAR(I3400),"0"))</f>
        <v/>
      </c>
      <c r="N3400" s="5">
        <f>IFERROR(INDEX(DePara!$A:$A,MATCH(TEXT(B3400,"0"),DePara!$D:$D,0)),"(sem categoria)")</f>
        <v/>
      </c>
      <c r="O3400" s="5">
        <f>IF(J3400="","",Parametros!$B$6-J3400)</f>
        <v/>
      </c>
      <c r="P3400" s="5">
        <f>IF(O3400="","",IF(O3400&gt;0,1,0))</f>
        <v/>
      </c>
    </row>
    <row r="3401">
      <c r="A3401" s="5" t="n">
        <v>2111000000</v>
      </c>
      <c r="B3401" s="5" t="inlineStr">
        <is>
          <t>100759</t>
        </is>
      </c>
      <c r="C3401" s="5" t="inlineStr">
        <is>
          <t>MUNICIPIO DE UIBAI</t>
        </is>
      </c>
      <c r="D3401" s="5" t="inlineStr">
        <is>
          <t>UE</t>
        </is>
      </c>
      <c r="E3401" s="5" t="n">
        <v>200011591</v>
      </c>
      <c r="F3401" s="5" t="inlineStr">
        <is>
          <t>16467</t>
        </is>
      </c>
      <c r="G3401" s="5" t="inlineStr">
        <is>
          <t>BRL</t>
        </is>
      </c>
      <c r="H3401" s="9" t="n">
        <v>-2955.67</v>
      </c>
      <c r="I3401" s="16" t="n">
        <v>45005</v>
      </c>
      <c r="J3401" s="16" t="n">
        <v>45005</v>
      </c>
      <c r="K3401" s="5" t="inlineStr">
        <is>
          <t>1160684</t>
        </is>
      </c>
      <c r="L3401" s="5" t="inlineStr">
        <is>
          <t>475100.210211</t>
        </is>
      </c>
      <c r="M3401" s="5">
        <f>IF(YEAR(I3401)&lt;=2020,"Até 2020",TEXT(YEAR(I3401),"0"))</f>
        <v/>
      </c>
      <c r="N3401" s="5">
        <f>IFERROR(INDEX(DePara!$A:$A,MATCH(TEXT(B3401,"0"),DePara!$D:$D,0)),"(sem categoria)")</f>
        <v/>
      </c>
      <c r="O3401" s="5">
        <f>IF(J3401="","",Parametros!$B$6-J3401)</f>
        <v/>
      </c>
      <c r="P3401" s="5">
        <f>IF(O3401="","",IF(O3401&gt;0,1,0))</f>
        <v/>
      </c>
    </row>
    <row r="3402">
      <c r="A3402" s="5" t="n">
        <v>2111000000</v>
      </c>
      <c r="B3402" s="5" t="inlineStr">
        <is>
          <t>100759</t>
        </is>
      </c>
      <c r="C3402" s="5" t="inlineStr">
        <is>
          <t>MUNICIPIO DE UIBAI</t>
        </is>
      </c>
      <c r="D3402" s="5" t="inlineStr">
        <is>
          <t>UE</t>
        </is>
      </c>
      <c r="E3402" s="5" t="n">
        <v>200011592</v>
      </c>
      <c r="F3402" s="5" t="inlineStr">
        <is>
          <t>16468</t>
        </is>
      </c>
      <c r="G3402" s="5" t="inlineStr">
        <is>
          <t>BRL</t>
        </is>
      </c>
      <c r="H3402" s="9" t="n">
        <v>-1339.65</v>
      </c>
      <c r="I3402" s="16" t="n">
        <v>44995</v>
      </c>
      <c r="J3402" s="16" t="n">
        <v>44995</v>
      </c>
      <c r="K3402" s="5" t="inlineStr">
        <is>
          <t>1160686</t>
        </is>
      </c>
      <c r="L3402" s="5" t="inlineStr">
        <is>
          <t>475100.210211</t>
        </is>
      </c>
      <c r="M3402" s="5">
        <f>IF(YEAR(I3402)&lt;=2020,"Até 2020",TEXT(YEAR(I3402),"0"))</f>
        <v/>
      </c>
      <c r="N3402" s="5">
        <f>IFERROR(INDEX(DePara!$A:$A,MATCH(TEXT(B3402,"0"),DePara!$D:$D,0)),"(sem categoria)")</f>
        <v/>
      </c>
      <c r="O3402" s="5">
        <f>IF(J3402="","",Parametros!$B$6-J3402)</f>
        <v/>
      </c>
      <c r="P3402" s="5">
        <f>IF(O3402="","",IF(O3402&gt;0,1,0))</f>
        <v/>
      </c>
    </row>
    <row r="3403">
      <c r="A3403" s="5" t="n">
        <v>2111000000</v>
      </c>
      <c r="B3403" s="5" t="inlineStr">
        <is>
          <t>100759</t>
        </is>
      </c>
      <c r="C3403" s="5" t="inlineStr">
        <is>
          <t>MUNICIPIO DE UIBAI</t>
        </is>
      </c>
      <c r="D3403" s="5" t="inlineStr">
        <is>
          <t>UE</t>
        </is>
      </c>
      <c r="E3403" s="5" t="n">
        <v>200011593</v>
      </c>
      <c r="F3403" s="5" t="inlineStr">
        <is>
          <t>16469</t>
        </is>
      </c>
      <c r="G3403" s="5" t="inlineStr">
        <is>
          <t>BRL</t>
        </is>
      </c>
      <c r="H3403" s="9" t="n">
        <v>-3116.5</v>
      </c>
      <c r="I3403" s="16" t="n">
        <v>44995</v>
      </c>
      <c r="J3403" s="16" t="n">
        <v>44995</v>
      </c>
      <c r="K3403" s="5" t="inlineStr">
        <is>
          <t>1160687</t>
        </is>
      </c>
      <c r="L3403" s="5" t="inlineStr">
        <is>
          <t>475100.210211</t>
        </is>
      </c>
      <c r="M3403" s="5">
        <f>IF(YEAR(I3403)&lt;=2020,"Até 2020",TEXT(YEAR(I3403),"0"))</f>
        <v/>
      </c>
      <c r="N3403" s="5">
        <f>IFERROR(INDEX(DePara!$A:$A,MATCH(TEXT(B3403,"0"),DePara!$D:$D,0)),"(sem categoria)")</f>
        <v/>
      </c>
      <c r="O3403" s="5">
        <f>IF(J3403="","",Parametros!$B$6-J3403)</f>
        <v/>
      </c>
      <c r="P3403" s="5">
        <f>IF(O3403="","",IF(O3403&gt;0,1,0))</f>
        <v/>
      </c>
    </row>
    <row r="3404">
      <c r="A3404" s="5" t="n">
        <v>2111000000</v>
      </c>
      <c r="B3404" s="5" t="inlineStr">
        <is>
          <t>100759</t>
        </is>
      </c>
      <c r="C3404" s="5" t="inlineStr">
        <is>
          <t>MUNICIPIO DE UIBAI</t>
        </is>
      </c>
      <c r="D3404" s="5" t="inlineStr">
        <is>
          <t>UE</t>
        </is>
      </c>
      <c r="E3404" s="5" t="n">
        <v>200011595</v>
      </c>
      <c r="F3404" s="5" t="inlineStr">
        <is>
          <t>16470</t>
        </is>
      </c>
      <c r="G3404" s="5" t="inlineStr">
        <is>
          <t>BRL</t>
        </is>
      </c>
      <c r="H3404" s="9" t="n">
        <v>-14591.77</v>
      </c>
      <c r="I3404" s="16" t="n">
        <v>45001</v>
      </c>
      <c r="J3404" s="16" t="n">
        <v>45001</v>
      </c>
      <c r="K3404" s="5" t="inlineStr">
        <is>
          <t>1160708</t>
        </is>
      </c>
      <c r="L3404" s="5" t="inlineStr">
        <is>
          <t>475100.210211</t>
        </is>
      </c>
      <c r="M3404" s="5">
        <f>IF(YEAR(I3404)&lt;=2020,"Até 2020",TEXT(YEAR(I3404),"0"))</f>
        <v/>
      </c>
      <c r="N3404" s="5">
        <f>IFERROR(INDEX(DePara!$A:$A,MATCH(TEXT(B3404,"0"),DePara!$D:$D,0)),"(sem categoria)")</f>
        <v/>
      </c>
      <c r="O3404" s="5">
        <f>IF(J3404="","",Parametros!$B$6-J3404)</f>
        <v/>
      </c>
      <c r="P3404" s="5">
        <f>IF(O3404="","",IF(O3404&gt;0,1,0))</f>
        <v/>
      </c>
    </row>
    <row r="3405">
      <c r="A3405" s="5" t="n">
        <v>2111000000</v>
      </c>
      <c r="B3405" s="5" t="inlineStr">
        <is>
          <t>100759</t>
        </is>
      </c>
      <c r="C3405" s="5" t="inlineStr">
        <is>
          <t>MUNICIPIO DE UIBAI</t>
        </is>
      </c>
      <c r="D3405" s="5" t="inlineStr">
        <is>
          <t>UE</t>
        </is>
      </c>
      <c r="E3405" s="5" t="n">
        <v>200011596</v>
      </c>
      <c r="F3405" s="5" t="inlineStr">
        <is>
          <t>16471</t>
        </is>
      </c>
      <c r="G3405" s="5" t="inlineStr">
        <is>
          <t>BRL</t>
        </is>
      </c>
      <c r="H3405" s="9" t="n">
        <v>-5936.18</v>
      </c>
      <c r="I3405" s="16" t="n">
        <v>44995</v>
      </c>
      <c r="J3405" s="16" t="n">
        <v>44995</v>
      </c>
      <c r="K3405" s="5" t="inlineStr">
        <is>
          <t>1160713</t>
        </is>
      </c>
      <c r="L3405" s="5" t="inlineStr">
        <is>
          <t>475100.210211</t>
        </is>
      </c>
      <c r="M3405" s="5">
        <f>IF(YEAR(I3405)&lt;=2020,"Até 2020",TEXT(YEAR(I3405),"0"))</f>
        <v/>
      </c>
      <c r="N3405" s="5">
        <f>IFERROR(INDEX(DePara!$A:$A,MATCH(TEXT(B3405,"0"),DePara!$D:$D,0)),"(sem categoria)")</f>
        <v/>
      </c>
      <c r="O3405" s="5">
        <f>IF(J3405="","",Parametros!$B$6-J3405)</f>
        <v/>
      </c>
      <c r="P3405" s="5">
        <f>IF(O3405="","",IF(O3405&gt;0,1,0))</f>
        <v/>
      </c>
    </row>
    <row r="3406">
      <c r="A3406" s="5" t="n">
        <v>2111000000</v>
      </c>
      <c r="B3406" s="5" t="inlineStr">
        <is>
          <t>100759</t>
        </is>
      </c>
      <c r="C3406" s="5" t="inlineStr">
        <is>
          <t>MUNICIPIO DE UIBAI</t>
        </is>
      </c>
      <c r="D3406" s="5" t="inlineStr">
        <is>
          <t>UE</t>
        </is>
      </c>
      <c r="E3406" s="5" t="n">
        <v>200011597</v>
      </c>
      <c r="F3406" s="5" t="inlineStr">
        <is>
          <t>16472</t>
        </is>
      </c>
      <c r="G3406" s="5" t="inlineStr">
        <is>
          <t>BRL</t>
        </is>
      </c>
      <c r="H3406" s="9" t="n">
        <v>-11403.08</v>
      </c>
      <c r="I3406" s="16" t="n">
        <v>45005</v>
      </c>
      <c r="J3406" s="16" t="n">
        <v>45005</v>
      </c>
      <c r="K3406" s="5" t="inlineStr">
        <is>
          <t>1160845</t>
        </is>
      </c>
      <c r="L3406" s="5" t="inlineStr">
        <is>
          <t>475100.210211</t>
        </is>
      </c>
      <c r="M3406" s="5">
        <f>IF(YEAR(I3406)&lt;=2020,"Até 2020",TEXT(YEAR(I3406),"0"))</f>
        <v/>
      </c>
      <c r="N3406" s="5">
        <f>IFERROR(INDEX(DePara!$A:$A,MATCH(TEXT(B3406,"0"),DePara!$D:$D,0)),"(sem categoria)")</f>
        <v/>
      </c>
      <c r="O3406" s="5">
        <f>IF(J3406="","",Parametros!$B$6-J3406)</f>
        <v/>
      </c>
      <c r="P3406" s="5">
        <f>IF(O3406="","",IF(O3406&gt;0,1,0))</f>
        <v/>
      </c>
    </row>
    <row r="3407">
      <c r="A3407" s="5" t="n">
        <v>2111000000</v>
      </c>
      <c r="B3407" s="5" t="inlineStr">
        <is>
          <t>100759</t>
        </is>
      </c>
      <c r="C3407" s="5" t="inlineStr">
        <is>
          <t>MUNICIPIO DE UIBAI</t>
        </is>
      </c>
      <c r="D3407" s="5" t="inlineStr">
        <is>
          <t>UE</t>
        </is>
      </c>
      <c r="E3407" s="5" t="n">
        <v>200011598</v>
      </c>
      <c r="F3407" s="5" t="inlineStr">
        <is>
          <t>16473</t>
        </is>
      </c>
      <c r="G3407" s="5" t="inlineStr">
        <is>
          <t>BRL</t>
        </is>
      </c>
      <c r="H3407" s="9" t="n">
        <v>-9977.040000000001</v>
      </c>
      <c r="I3407" s="16" t="n">
        <v>45005</v>
      </c>
      <c r="J3407" s="16" t="n">
        <v>45005</v>
      </c>
      <c r="K3407" s="5" t="inlineStr">
        <is>
          <t>1160971</t>
        </is>
      </c>
      <c r="L3407" s="5" t="inlineStr">
        <is>
          <t>475100.210211</t>
        </is>
      </c>
      <c r="M3407" s="5">
        <f>IF(YEAR(I3407)&lt;=2020,"Até 2020",TEXT(YEAR(I3407),"0"))</f>
        <v/>
      </c>
      <c r="N3407" s="5">
        <f>IFERROR(INDEX(DePara!$A:$A,MATCH(TEXT(B3407,"0"),DePara!$D:$D,0)),"(sem categoria)")</f>
        <v/>
      </c>
      <c r="O3407" s="5">
        <f>IF(J3407="","",Parametros!$B$6-J3407)</f>
        <v/>
      </c>
      <c r="P3407" s="5">
        <f>IF(O3407="","",IF(O3407&gt;0,1,0))</f>
        <v/>
      </c>
    </row>
    <row r="3408">
      <c r="A3408" s="5" t="n">
        <v>2111000000</v>
      </c>
      <c r="B3408" s="5" t="inlineStr">
        <is>
          <t>100759</t>
        </is>
      </c>
      <c r="C3408" s="5" t="inlineStr">
        <is>
          <t>MUNICIPIO DE UIBAI</t>
        </is>
      </c>
      <c r="D3408" s="5" t="inlineStr">
        <is>
          <t>UE</t>
        </is>
      </c>
      <c r="E3408" s="5" t="n">
        <v>200011599</v>
      </c>
      <c r="F3408" s="5" t="inlineStr">
        <is>
          <t>16474</t>
        </is>
      </c>
      <c r="G3408" s="5" t="inlineStr">
        <is>
          <t>BRL</t>
        </is>
      </c>
      <c r="H3408" s="9" t="n">
        <v>-61.22</v>
      </c>
      <c r="I3408" s="16" t="n">
        <v>45005</v>
      </c>
      <c r="J3408" s="16" t="n">
        <v>45005</v>
      </c>
      <c r="K3408" s="5" t="inlineStr">
        <is>
          <t>1161500</t>
        </is>
      </c>
      <c r="L3408" s="5" t="inlineStr">
        <is>
          <t>475100.210211</t>
        </is>
      </c>
      <c r="M3408" s="5">
        <f>IF(YEAR(I3408)&lt;=2020,"Até 2020",TEXT(YEAR(I3408),"0"))</f>
        <v/>
      </c>
      <c r="N3408" s="5">
        <f>IFERROR(INDEX(DePara!$A:$A,MATCH(TEXT(B3408,"0"),DePara!$D:$D,0)),"(sem categoria)")</f>
        <v/>
      </c>
      <c r="O3408" s="5">
        <f>IF(J3408="","",Parametros!$B$6-J3408)</f>
        <v/>
      </c>
      <c r="P3408" s="5">
        <f>IF(O3408="","",IF(O3408&gt;0,1,0))</f>
        <v/>
      </c>
    </row>
    <row r="3409">
      <c r="A3409" s="5" t="n">
        <v>2111000000</v>
      </c>
      <c r="B3409" s="5" t="inlineStr">
        <is>
          <t>100759</t>
        </is>
      </c>
      <c r="C3409" s="5" t="inlineStr">
        <is>
          <t>MUNICIPIO DE UIBAI</t>
        </is>
      </c>
      <c r="D3409" s="5" t="inlineStr">
        <is>
          <t>UE</t>
        </is>
      </c>
      <c r="E3409" s="5" t="n">
        <v>200011600</v>
      </c>
      <c r="F3409" s="5" t="inlineStr">
        <is>
          <t>16475</t>
        </is>
      </c>
      <c r="G3409" s="5" t="inlineStr">
        <is>
          <t>BRL</t>
        </is>
      </c>
      <c r="H3409" s="9" t="n">
        <v>-61.22</v>
      </c>
      <c r="I3409" s="16" t="n">
        <v>45008</v>
      </c>
      <c r="J3409" s="16" t="n">
        <v>45008</v>
      </c>
      <c r="K3409" s="5" t="inlineStr">
        <is>
          <t>1161502</t>
        </is>
      </c>
      <c r="L3409" s="5" t="inlineStr">
        <is>
          <t>475100.210211</t>
        </is>
      </c>
      <c r="M3409" s="5">
        <f>IF(YEAR(I3409)&lt;=2020,"Até 2020",TEXT(YEAR(I3409),"0"))</f>
        <v/>
      </c>
      <c r="N3409" s="5">
        <f>IFERROR(INDEX(DePara!$A:$A,MATCH(TEXT(B3409,"0"),DePara!$D:$D,0)),"(sem categoria)")</f>
        <v/>
      </c>
      <c r="O3409" s="5">
        <f>IF(J3409="","",Parametros!$B$6-J3409)</f>
        <v/>
      </c>
      <c r="P3409" s="5">
        <f>IF(O3409="","",IF(O3409&gt;0,1,0))</f>
        <v/>
      </c>
    </row>
    <row r="3410">
      <c r="A3410" s="5" t="n">
        <v>2111000000</v>
      </c>
      <c r="B3410" s="5" t="inlineStr">
        <is>
          <t>100759</t>
        </is>
      </c>
      <c r="C3410" s="5" t="inlineStr">
        <is>
          <t>MUNICIPIO DE UIBAI</t>
        </is>
      </c>
      <c r="D3410" s="5" t="inlineStr">
        <is>
          <t>UE</t>
        </is>
      </c>
      <c r="E3410" s="5" t="n">
        <v>200011601</v>
      </c>
      <c r="F3410" s="5" t="inlineStr">
        <is>
          <t>16476</t>
        </is>
      </c>
      <c r="G3410" s="5" t="inlineStr">
        <is>
          <t>BRL</t>
        </is>
      </c>
      <c r="H3410" s="9" t="n">
        <v>-6122.45</v>
      </c>
      <c r="I3410" s="16" t="n">
        <v>45005</v>
      </c>
      <c r="J3410" s="16" t="n">
        <v>45005</v>
      </c>
      <c r="K3410" s="5" t="inlineStr">
        <is>
          <t>1161503</t>
        </is>
      </c>
      <c r="L3410" s="5" t="inlineStr">
        <is>
          <t>475100.210211</t>
        </is>
      </c>
      <c r="M3410" s="5">
        <f>IF(YEAR(I3410)&lt;=2020,"Até 2020",TEXT(YEAR(I3410),"0"))</f>
        <v/>
      </c>
      <c r="N3410" s="5">
        <f>IFERROR(INDEX(DePara!$A:$A,MATCH(TEXT(B3410,"0"),DePara!$D:$D,0)),"(sem categoria)")</f>
        <v/>
      </c>
      <c r="O3410" s="5">
        <f>IF(J3410="","",Parametros!$B$6-J3410)</f>
        <v/>
      </c>
      <c r="P3410" s="5">
        <f>IF(O3410="","",IF(O3410&gt;0,1,0))</f>
        <v/>
      </c>
    </row>
    <row r="3411">
      <c r="A3411" s="5" t="n">
        <v>2111000000</v>
      </c>
      <c r="B3411" s="5" t="inlineStr">
        <is>
          <t>101358</t>
        </is>
      </c>
      <c r="C3411" s="5" t="inlineStr">
        <is>
          <t>MUNICIPIO DE LAJES</t>
        </is>
      </c>
      <c r="D3411" s="5" t="inlineStr">
        <is>
          <t>UE</t>
        </is>
      </c>
      <c r="E3411" s="5" t="n">
        <v>200011602</v>
      </c>
      <c r="F3411" s="5" t="inlineStr">
        <is>
          <t>16477</t>
        </is>
      </c>
      <c r="G3411" s="5" t="inlineStr">
        <is>
          <t>BRL</t>
        </is>
      </c>
      <c r="H3411" s="9" t="n">
        <v>-48.69</v>
      </c>
      <c r="I3411" s="16" t="n">
        <v>44988</v>
      </c>
      <c r="J3411" s="16" t="n">
        <v>44988</v>
      </c>
      <c r="K3411" s="5" t="inlineStr">
        <is>
          <t>1162690</t>
        </is>
      </c>
      <c r="L3411" s="5" t="inlineStr">
        <is>
          <t>475100.210211</t>
        </is>
      </c>
      <c r="M3411" s="5">
        <f>IF(YEAR(I3411)&lt;=2020,"Até 2020",TEXT(YEAR(I3411),"0"))</f>
        <v/>
      </c>
      <c r="N3411" s="5">
        <f>IFERROR(INDEX(DePara!$A:$A,MATCH(TEXT(B3411,"0"),DePara!$D:$D,0)),"(sem categoria)")</f>
        <v/>
      </c>
      <c r="O3411" s="5">
        <f>IF(J3411="","",Parametros!$B$6-J3411)</f>
        <v/>
      </c>
      <c r="P3411" s="5">
        <f>IF(O3411="","",IF(O3411&gt;0,1,0))</f>
        <v/>
      </c>
    </row>
    <row r="3412">
      <c r="A3412" s="5" t="n">
        <v>2111000000</v>
      </c>
      <c r="B3412" s="5" t="inlineStr">
        <is>
          <t>100759</t>
        </is>
      </c>
      <c r="C3412" s="5" t="inlineStr">
        <is>
          <t>MUNICIPIO DE UIBAI</t>
        </is>
      </c>
      <c r="D3412" s="5" t="inlineStr">
        <is>
          <t>UE</t>
        </is>
      </c>
      <c r="E3412" s="5" t="n">
        <v>200011604</v>
      </c>
      <c r="F3412" s="5" t="inlineStr">
        <is>
          <t>16479</t>
        </is>
      </c>
      <c r="G3412" s="5" t="inlineStr">
        <is>
          <t>BRL</t>
        </is>
      </c>
      <c r="H3412" s="9" t="n">
        <v>-10560.79</v>
      </c>
      <c r="I3412" s="16" t="n">
        <v>45048</v>
      </c>
      <c r="J3412" s="16" t="n">
        <v>45048</v>
      </c>
      <c r="K3412" s="5" t="inlineStr">
        <is>
          <t>1167155</t>
        </is>
      </c>
      <c r="L3412" s="5" t="inlineStr">
        <is>
          <t>475100.210211</t>
        </is>
      </c>
      <c r="M3412" s="5">
        <f>IF(YEAR(I3412)&lt;=2020,"Até 2020",TEXT(YEAR(I3412),"0"))</f>
        <v/>
      </c>
      <c r="N3412" s="5">
        <f>IFERROR(INDEX(DePara!$A:$A,MATCH(TEXT(B3412,"0"),DePara!$D:$D,0)),"(sem categoria)")</f>
        <v/>
      </c>
      <c r="O3412" s="5">
        <f>IF(J3412="","",Parametros!$B$6-J3412)</f>
        <v/>
      </c>
      <c r="P3412" s="5">
        <f>IF(O3412="","",IF(O3412&gt;0,1,0))</f>
        <v/>
      </c>
    </row>
    <row r="3413">
      <c r="A3413" s="5" t="n">
        <v>2111000000</v>
      </c>
      <c r="B3413" s="5" t="inlineStr">
        <is>
          <t>100759</t>
        </is>
      </c>
      <c r="C3413" s="5" t="inlineStr">
        <is>
          <t>MUNICIPIO DE UIBAI</t>
        </is>
      </c>
      <c r="D3413" s="5" t="inlineStr">
        <is>
          <t>UE</t>
        </is>
      </c>
      <c r="E3413" s="5" t="n">
        <v>200011606</v>
      </c>
      <c r="F3413" s="5" t="inlineStr">
        <is>
          <t>16480</t>
        </is>
      </c>
      <c r="G3413" s="5" t="inlineStr">
        <is>
          <t>BRL</t>
        </is>
      </c>
      <c r="H3413" s="9" t="n">
        <v>-33745.98</v>
      </c>
      <c r="I3413" s="16" t="n">
        <v>45051</v>
      </c>
      <c r="J3413" s="16" t="n">
        <v>45051</v>
      </c>
      <c r="K3413" s="5" t="inlineStr">
        <is>
          <t>1167157</t>
        </is>
      </c>
      <c r="L3413" s="5" t="inlineStr">
        <is>
          <t>475100.210211</t>
        </is>
      </c>
      <c r="M3413" s="5">
        <f>IF(YEAR(I3413)&lt;=2020,"Até 2020",TEXT(YEAR(I3413),"0"))</f>
        <v/>
      </c>
      <c r="N3413" s="5">
        <f>IFERROR(INDEX(DePara!$A:$A,MATCH(TEXT(B3413,"0"),DePara!$D:$D,0)),"(sem categoria)")</f>
        <v/>
      </c>
      <c r="O3413" s="5">
        <f>IF(J3413="","",Parametros!$B$6-J3413)</f>
        <v/>
      </c>
      <c r="P3413" s="5">
        <f>IF(O3413="","",IF(O3413&gt;0,1,0))</f>
        <v/>
      </c>
    </row>
    <row r="3414">
      <c r="A3414" s="5" t="n">
        <v>2111000000</v>
      </c>
      <c r="B3414" s="5" t="inlineStr">
        <is>
          <t>100759</t>
        </is>
      </c>
      <c r="C3414" s="5" t="inlineStr">
        <is>
          <t>MUNICIPIO DE UIBAI</t>
        </is>
      </c>
      <c r="D3414" s="5" t="inlineStr">
        <is>
          <t>UE</t>
        </is>
      </c>
      <c r="E3414" s="5" t="n">
        <v>200011607</v>
      </c>
      <c r="F3414" s="5" t="inlineStr">
        <is>
          <t>16481</t>
        </is>
      </c>
      <c r="G3414" s="5" t="inlineStr">
        <is>
          <t>BRL</t>
        </is>
      </c>
      <c r="H3414" s="9" t="n">
        <v>-4433.5</v>
      </c>
      <c r="I3414" s="16" t="n">
        <v>45055</v>
      </c>
      <c r="J3414" s="16" t="n">
        <v>45055</v>
      </c>
      <c r="K3414" s="5" t="inlineStr">
        <is>
          <t>1168065</t>
        </is>
      </c>
      <c r="L3414" s="5" t="inlineStr">
        <is>
          <t>475100.210211</t>
        </is>
      </c>
      <c r="M3414" s="5">
        <f>IF(YEAR(I3414)&lt;=2020,"Até 2020",TEXT(YEAR(I3414),"0"))</f>
        <v/>
      </c>
      <c r="N3414" s="5">
        <f>IFERROR(INDEX(DePara!$A:$A,MATCH(TEXT(B3414,"0"),DePara!$D:$D,0)),"(sem categoria)")</f>
        <v/>
      </c>
      <c r="O3414" s="5">
        <f>IF(J3414="","",Parametros!$B$6-J3414)</f>
        <v/>
      </c>
      <c r="P3414" s="5">
        <f>IF(O3414="","",IF(O3414&gt;0,1,0))</f>
        <v/>
      </c>
    </row>
    <row r="3415">
      <c r="A3415" s="5" t="n">
        <v>2111000000</v>
      </c>
      <c r="B3415" s="5" t="inlineStr">
        <is>
          <t>100759</t>
        </is>
      </c>
      <c r="C3415" s="5" t="inlineStr">
        <is>
          <t>MUNICIPIO DE UIBAI</t>
        </is>
      </c>
      <c r="D3415" s="5" t="inlineStr">
        <is>
          <t>UE</t>
        </is>
      </c>
      <c r="E3415" s="5" t="n">
        <v>200011608</v>
      </c>
      <c r="F3415" s="5" t="inlineStr">
        <is>
          <t>16482</t>
        </is>
      </c>
      <c r="G3415" s="5" t="inlineStr">
        <is>
          <t>BRL</t>
        </is>
      </c>
      <c r="H3415" s="9" t="n">
        <v>-492.61</v>
      </c>
      <c r="I3415" s="16" t="n">
        <v>45055</v>
      </c>
      <c r="J3415" s="16" t="n">
        <v>45055</v>
      </c>
      <c r="K3415" s="5" t="inlineStr">
        <is>
          <t>1168074</t>
        </is>
      </c>
      <c r="L3415" s="5" t="inlineStr">
        <is>
          <t>475100.210211</t>
        </is>
      </c>
      <c r="M3415" s="5">
        <f>IF(YEAR(I3415)&lt;=2020,"Até 2020",TEXT(YEAR(I3415),"0"))</f>
        <v/>
      </c>
      <c r="N3415" s="5">
        <f>IFERROR(INDEX(DePara!$A:$A,MATCH(TEXT(B3415,"0"),DePara!$D:$D,0)),"(sem categoria)")</f>
        <v/>
      </c>
      <c r="O3415" s="5">
        <f>IF(J3415="","",Parametros!$B$6-J3415)</f>
        <v/>
      </c>
      <c r="P3415" s="5">
        <f>IF(O3415="","",IF(O3415&gt;0,1,0))</f>
        <v/>
      </c>
    </row>
    <row r="3416">
      <c r="A3416" s="5" t="n">
        <v>2111000000</v>
      </c>
      <c r="B3416" s="5" t="inlineStr">
        <is>
          <t>100759</t>
        </is>
      </c>
      <c r="C3416" s="5" t="inlineStr">
        <is>
          <t>MUNICIPIO DE UIBAI</t>
        </is>
      </c>
      <c r="D3416" s="5" t="inlineStr">
        <is>
          <t>UE</t>
        </is>
      </c>
      <c r="E3416" s="5" t="n">
        <v>200011609</v>
      </c>
      <c r="F3416" s="5" t="inlineStr">
        <is>
          <t>16483</t>
        </is>
      </c>
      <c r="G3416" s="5" t="inlineStr">
        <is>
          <t>BRL</t>
        </is>
      </c>
      <c r="H3416" s="9" t="n">
        <v>-7389.16</v>
      </c>
      <c r="I3416" s="16" t="n">
        <v>45070</v>
      </c>
      <c r="J3416" s="16" t="n">
        <v>45070</v>
      </c>
      <c r="K3416" s="5" t="inlineStr">
        <is>
          <t>1170719</t>
        </is>
      </c>
      <c r="L3416" s="5" t="inlineStr">
        <is>
          <t>475100.210211</t>
        </is>
      </c>
      <c r="M3416" s="5">
        <f>IF(YEAR(I3416)&lt;=2020,"Até 2020",TEXT(YEAR(I3416),"0"))</f>
        <v/>
      </c>
      <c r="N3416" s="5">
        <f>IFERROR(INDEX(DePara!$A:$A,MATCH(TEXT(B3416,"0"),DePara!$D:$D,0)),"(sem categoria)")</f>
        <v/>
      </c>
      <c r="O3416" s="5">
        <f>IF(J3416="","",Parametros!$B$6-J3416)</f>
        <v/>
      </c>
      <c r="P3416" s="5">
        <f>IF(O3416="","",IF(O3416&gt;0,1,0))</f>
        <v/>
      </c>
    </row>
    <row r="3417">
      <c r="A3417" s="5" t="n">
        <v>2111000000</v>
      </c>
      <c r="B3417" s="5" t="inlineStr">
        <is>
          <t>102008</t>
        </is>
      </c>
      <c r="C3417" s="5" t="inlineStr">
        <is>
          <t>MUNICIPIO DE ITAREMA</t>
        </is>
      </c>
      <c r="D3417" s="5" t="inlineStr">
        <is>
          <t>UE</t>
        </is>
      </c>
      <c r="E3417" s="5" t="n">
        <v>200011702</v>
      </c>
      <c r="F3417" s="5" t="inlineStr">
        <is>
          <t>16567</t>
        </is>
      </c>
      <c r="G3417" s="5" t="inlineStr">
        <is>
          <t>BRL</t>
        </is>
      </c>
      <c r="H3417" s="9" t="n">
        <v>-2054.99</v>
      </c>
      <c r="I3417" s="16" t="n">
        <v>44972</v>
      </c>
      <c r="J3417" s="16" t="n">
        <v>44972</v>
      </c>
      <c r="K3417" s="5" t="inlineStr">
        <is>
          <t>1155347</t>
        </is>
      </c>
      <c r="L3417" s="5" t="inlineStr">
        <is>
          <t>475100.210211</t>
        </is>
      </c>
      <c r="M3417" s="5">
        <f>IF(YEAR(I3417)&lt;=2020,"Até 2020",TEXT(YEAR(I3417),"0"))</f>
        <v/>
      </c>
      <c r="N3417" s="5">
        <f>IFERROR(INDEX(DePara!$A:$A,MATCH(TEXT(B3417,"0"),DePara!$D:$D,0)),"(sem categoria)")</f>
        <v/>
      </c>
      <c r="O3417" s="5">
        <f>IF(J3417="","",Parametros!$B$6-J3417)</f>
        <v/>
      </c>
      <c r="P3417" s="5">
        <f>IF(O3417="","",IF(O3417&gt;0,1,0))</f>
        <v/>
      </c>
    </row>
    <row r="3418">
      <c r="A3418" s="5" t="n">
        <v>2111000000</v>
      </c>
      <c r="B3418" s="5" t="inlineStr">
        <is>
          <t>102008</t>
        </is>
      </c>
      <c r="C3418" s="5" t="inlineStr">
        <is>
          <t>MUNICIPIO DE ITAREMA</t>
        </is>
      </c>
      <c r="D3418" s="5" t="inlineStr">
        <is>
          <t>UE</t>
        </is>
      </c>
      <c r="E3418" s="5" t="n">
        <v>200011703</v>
      </c>
      <c r="F3418" s="5" t="inlineStr">
        <is>
          <t>16568</t>
        </is>
      </c>
      <c r="G3418" s="5" t="inlineStr">
        <is>
          <t>BRL</t>
        </is>
      </c>
      <c r="H3418" s="9" t="n">
        <v>-680.8099999999999</v>
      </c>
      <c r="I3418" s="16" t="n">
        <v>44972</v>
      </c>
      <c r="J3418" s="16" t="n">
        <v>44972</v>
      </c>
      <c r="K3418" s="5" t="inlineStr">
        <is>
          <t>1155353</t>
        </is>
      </c>
      <c r="L3418" s="5" t="inlineStr">
        <is>
          <t>475100.210211</t>
        </is>
      </c>
      <c r="M3418" s="5">
        <f>IF(YEAR(I3418)&lt;=2020,"Até 2020",TEXT(YEAR(I3418),"0"))</f>
        <v/>
      </c>
      <c r="N3418" s="5">
        <f>IFERROR(INDEX(DePara!$A:$A,MATCH(TEXT(B3418,"0"),DePara!$D:$D,0)),"(sem categoria)")</f>
        <v/>
      </c>
      <c r="O3418" s="5">
        <f>IF(J3418="","",Parametros!$B$6-J3418)</f>
        <v/>
      </c>
      <c r="P3418" s="5">
        <f>IF(O3418="","",IF(O3418&gt;0,1,0))</f>
        <v/>
      </c>
    </row>
    <row r="3419">
      <c r="A3419" s="5" t="n">
        <v>2111000000</v>
      </c>
      <c r="B3419" s="5" t="inlineStr">
        <is>
          <t>102008</t>
        </is>
      </c>
      <c r="C3419" s="5" t="inlineStr">
        <is>
          <t>MUNICIPIO DE ITAREMA</t>
        </is>
      </c>
      <c r="D3419" s="5" t="inlineStr">
        <is>
          <t>UE</t>
        </is>
      </c>
      <c r="E3419" s="5" t="n">
        <v>200011704</v>
      </c>
      <c r="F3419" s="5" t="inlineStr">
        <is>
          <t>16569</t>
        </is>
      </c>
      <c r="G3419" s="5" t="inlineStr">
        <is>
          <t>BRL</t>
        </is>
      </c>
      <c r="H3419" s="9" t="n">
        <v>-3973.3</v>
      </c>
      <c r="I3419" s="16" t="n">
        <v>45008</v>
      </c>
      <c r="J3419" s="16" t="n">
        <v>45008</v>
      </c>
      <c r="K3419" s="5" t="inlineStr">
        <is>
          <t>1171945</t>
        </is>
      </c>
      <c r="L3419" s="5" t="inlineStr">
        <is>
          <t>475100.210211</t>
        </is>
      </c>
      <c r="M3419" s="5">
        <f>IF(YEAR(I3419)&lt;=2020,"Até 2020",TEXT(YEAR(I3419),"0"))</f>
        <v/>
      </c>
      <c r="N3419" s="5">
        <f>IFERROR(INDEX(DePara!$A:$A,MATCH(TEXT(B3419,"0"),DePara!$D:$D,0)),"(sem categoria)")</f>
        <v/>
      </c>
      <c r="O3419" s="5">
        <f>IF(J3419="","",Parametros!$B$6-J3419)</f>
        <v/>
      </c>
      <c r="P3419" s="5">
        <f>IF(O3419="","",IF(O3419&gt;0,1,0))</f>
        <v/>
      </c>
    </row>
    <row r="3420">
      <c r="A3420" s="5" t="n">
        <v>2111000000</v>
      </c>
      <c r="B3420" s="5" t="inlineStr">
        <is>
          <t>102008</t>
        </is>
      </c>
      <c r="C3420" s="5" t="inlineStr">
        <is>
          <t>MUNICIPIO DE ITAREMA</t>
        </is>
      </c>
      <c r="D3420" s="5" t="inlineStr">
        <is>
          <t>UE</t>
        </is>
      </c>
      <c r="E3420" s="5" t="n">
        <v>200011707</v>
      </c>
      <c r="F3420" s="5" t="inlineStr">
        <is>
          <t>16571</t>
        </is>
      </c>
      <c r="G3420" s="5" t="inlineStr">
        <is>
          <t>BRL</t>
        </is>
      </c>
      <c r="H3420" s="9" t="n">
        <v>-3440</v>
      </c>
      <c r="I3420" s="16" t="n">
        <v>45008</v>
      </c>
      <c r="J3420" s="16" t="n">
        <v>45008</v>
      </c>
      <c r="K3420" s="5" t="inlineStr">
        <is>
          <t>1171947</t>
        </is>
      </c>
      <c r="L3420" s="5" t="inlineStr">
        <is>
          <t>475100.210211</t>
        </is>
      </c>
      <c r="M3420" s="5">
        <f>IF(YEAR(I3420)&lt;=2020,"Até 2020",TEXT(YEAR(I3420),"0"))</f>
        <v/>
      </c>
      <c r="N3420" s="5">
        <f>IFERROR(INDEX(DePara!$A:$A,MATCH(TEXT(B3420,"0"),DePara!$D:$D,0)),"(sem categoria)")</f>
        <v/>
      </c>
      <c r="O3420" s="5">
        <f>IF(J3420="","",Parametros!$B$6-J3420)</f>
        <v/>
      </c>
      <c r="P3420" s="5">
        <f>IF(O3420="","",IF(O3420&gt;0,1,0))</f>
        <v/>
      </c>
    </row>
    <row r="3421">
      <c r="A3421" s="5" t="n">
        <v>2111000000</v>
      </c>
      <c r="B3421" s="5" t="inlineStr">
        <is>
          <t>102008</t>
        </is>
      </c>
      <c r="C3421" s="5" t="inlineStr">
        <is>
          <t>MUNICIPIO DE ITAREMA</t>
        </is>
      </c>
      <c r="D3421" s="5" t="inlineStr">
        <is>
          <t>UE</t>
        </is>
      </c>
      <c r="E3421" s="5" t="n">
        <v>200011709</v>
      </c>
      <c r="F3421" s="5" t="inlineStr">
        <is>
          <t>16573</t>
        </is>
      </c>
      <c r="G3421" s="5" t="inlineStr">
        <is>
          <t>BRL</t>
        </is>
      </c>
      <c r="H3421" s="9" t="n">
        <v>-2100</v>
      </c>
      <c r="I3421" s="16" t="n">
        <v>45008</v>
      </c>
      <c r="J3421" s="16" t="n">
        <v>45008</v>
      </c>
      <c r="K3421" s="5" t="inlineStr">
        <is>
          <t>1171948</t>
        </is>
      </c>
      <c r="L3421" s="5" t="inlineStr">
        <is>
          <t>475100.210211</t>
        </is>
      </c>
      <c r="M3421" s="5">
        <f>IF(YEAR(I3421)&lt;=2020,"Até 2020",TEXT(YEAR(I3421),"0"))</f>
        <v/>
      </c>
      <c r="N3421" s="5">
        <f>IFERROR(INDEX(DePara!$A:$A,MATCH(TEXT(B3421,"0"),DePara!$D:$D,0)),"(sem categoria)")</f>
        <v/>
      </c>
      <c r="O3421" s="5">
        <f>IF(J3421="","",Parametros!$B$6-J3421)</f>
        <v/>
      </c>
      <c r="P3421" s="5">
        <f>IF(O3421="","",IF(O3421&gt;0,1,0))</f>
        <v/>
      </c>
    </row>
    <row r="3422">
      <c r="A3422" s="5" t="n">
        <v>2111000000</v>
      </c>
      <c r="B3422" s="5" t="inlineStr">
        <is>
          <t>101918</t>
        </is>
      </c>
      <c r="C3422" s="5" t="inlineStr">
        <is>
          <t>MUNICIPIO DE AREIA BRANCA</t>
        </is>
      </c>
      <c r="D3422" s="5" t="inlineStr">
        <is>
          <t>UE</t>
        </is>
      </c>
      <c r="E3422" s="5" t="n">
        <v>200011712</v>
      </c>
      <c r="F3422" s="5" t="inlineStr">
        <is>
          <t>16576</t>
        </is>
      </c>
      <c r="G3422" s="5" t="inlineStr">
        <is>
          <t>BRL</t>
        </is>
      </c>
      <c r="H3422" s="9" t="n">
        <v>-58235</v>
      </c>
      <c r="I3422" s="16" t="n">
        <v>45057</v>
      </c>
      <c r="J3422" s="16" t="n">
        <v>45057</v>
      </c>
      <c r="K3422" s="5" t="inlineStr">
        <is>
          <t>1172459</t>
        </is>
      </c>
      <c r="L3422" s="5" t="inlineStr">
        <is>
          <t>475100.210211</t>
        </is>
      </c>
      <c r="M3422" s="5">
        <f>IF(YEAR(I3422)&lt;=2020,"Até 2020",TEXT(YEAR(I3422),"0"))</f>
        <v/>
      </c>
      <c r="N3422" s="5">
        <f>IFERROR(INDEX(DePara!$A:$A,MATCH(TEXT(B3422,"0"),DePara!$D:$D,0)),"(sem categoria)")</f>
        <v/>
      </c>
      <c r="O3422" s="5">
        <f>IF(J3422="","",Parametros!$B$6-J3422)</f>
        <v/>
      </c>
      <c r="P3422" s="5">
        <f>IF(O3422="","",IF(O3422&gt;0,1,0))</f>
        <v/>
      </c>
    </row>
    <row r="3423">
      <c r="A3423" s="5" t="n">
        <v>2111000000</v>
      </c>
      <c r="B3423" s="5" t="inlineStr">
        <is>
          <t>101998</t>
        </is>
      </c>
      <c r="C3423" s="5" t="inlineStr">
        <is>
          <t>MUNICIPIO DE SERRA DO MEL</t>
        </is>
      </c>
      <c r="D3423" s="5" t="inlineStr">
        <is>
          <t>UE</t>
        </is>
      </c>
      <c r="E3423" s="5" t="n">
        <v>200011713</v>
      </c>
      <c r="F3423" s="5" t="inlineStr">
        <is>
          <t>16577</t>
        </is>
      </c>
      <c r="G3423" s="5" t="inlineStr">
        <is>
          <t>BRL</t>
        </is>
      </c>
      <c r="H3423" s="9" t="n">
        <v>-56012.26</v>
      </c>
      <c r="I3423" s="16" t="n">
        <v>45057</v>
      </c>
      <c r="J3423" s="16" t="n">
        <v>45057</v>
      </c>
      <c r="K3423" s="5" t="inlineStr">
        <is>
          <t>1173417</t>
        </is>
      </c>
      <c r="L3423" s="5" t="inlineStr">
        <is>
          <t>475100.210211</t>
        </is>
      </c>
      <c r="M3423" s="5">
        <f>IF(YEAR(I3423)&lt;=2020,"Até 2020",TEXT(YEAR(I3423),"0"))</f>
        <v/>
      </c>
      <c r="N3423" s="5">
        <f>IFERROR(INDEX(DePara!$A:$A,MATCH(TEXT(B3423,"0"),DePara!$D:$D,0)),"(sem categoria)")</f>
        <v/>
      </c>
      <c r="O3423" s="5">
        <f>IF(J3423="","",Parametros!$B$6-J3423)</f>
        <v/>
      </c>
      <c r="P3423" s="5">
        <f>IF(O3423="","",IF(O3423&gt;0,1,0))</f>
        <v/>
      </c>
    </row>
    <row r="3424">
      <c r="A3424" s="5" t="n">
        <v>2111000000</v>
      </c>
      <c r="B3424" s="5" t="inlineStr">
        <is>
          <t>101998</t>
        </is>
      </c>
      <c r="C3424" s="5" t="inlineStr">
        <is>
          <t>MUNICIPIO DE SERRA DO MEL</t>
        </is>
      </c>
      <c r="D3424" s="5" t="inlineStr">
        <is>
          <t>UE</t>
        </is>
      </c>
      <c r="E3424" s="5" t="n">
        <v>200011714</v>
      </c>
      <c r="F3424" s="5" t="inlineStr">
        <is>
          <t>16578</t>
        </is>
      </c>
      <c r="G3424" s="5" t="inlineStr">
        <is>
          <t>BRL</t>
        </is>
      </c>
      <c r="H3424" s="9" t="n">
        <v>-39194.21</v>
      </c>
      <c r="I3424" s="16" t="n">
        <v>45070</v>
      </c>
      <c r="J3424" s="16" t="n">
        <v>45070</v>
      </c>
      <c r="K3424" s="5" t="inlineStr">
        <is>
          <t>1176120</t>
        </is>
      </c>
      <c r="L3424" s="5" t="inlineStr">
        <is>
          <t>475100.210211</t>
        </is>
      </c>
      <c r="M3424" s="5">
        <f>IF(YEAR(I3424)&lt;=2020,"Até 2020",TEXT(YEAR(I3424),"0"))</f>
        <v/>
      </c>
      <c r="N3424" s="5">
        <f>IFERROR(INDEX(DePara!$A:$A,MATCH(TEXT(B3424,"0"),DePara!$D:$D,0)),"(sem categoria)")</f>
        <v/>
      </c>
      <c r="O3424" s="5">
        <f>IF(J3424="","",Parametros!$B$6-J3424)</f>
        <v/>
      </c>
      <c r="P3424" s="5">
        <f>IF(O3424="","",IF(O3424&gt;0,1,0))</f>
        <v/>
      </c>
    </row>
    <row r="3425">
      <c r="A3425" s="5" t="n">
        <v>2111000000</v>
      </c>
      <c r="B3425" s="5" t="inlineStr">
        <is>
          <t>101006</t>
        </is>
      </c>
      <c r="C3425" s="5" t="inlineStr">
        <is>
          <t>MUNICIPIO DE SAO BENTO DO NORTE</t>
        </is>
      </c>
      <c r="D3425" s="5" t="inlineStr">
        <is>
          <t>UE</t>
        </is>
      </c>
      <c r="E3425" s="5" t="n">
        <v>200011720</v>
      </c>
      <c r="F3425" s="5" t="inlineStr">
        <is>
          <t>16583</t>
        </is>
      </c>
      <c r="G3425" s="5" t="inlineStr">
        <is>
          <t>BRL</t>
        </is>
      </c>
      <c r="H3425" s="9" t="n">
        <v>-5757.89</v>
      </c>
      <c r="I3425" s="16" t="n">
        <v>45084</v>
      </c>
      <c r="J3425" s="16" t="n">
        <v>45084</v>
      </c>
      <c r="K3425" s="5" t="inlineStr">
        <is>
          <t>1181574</t>
        </is>
      </c>
      <c r="L3425" s="5" t="inlineStr">
        <is>
          <t>475100.210211</t>
        </is>
      </c>
      <c r="M3425" s="5">
        <f>IF(YEAR(I3425)&lt;=2020,"Até 2020",TEXT(YEAR(I3425),"0"))</f>
        <v/>
      </c>
      <c r="N3425" s="5">
        <f>IFERROR(INDEX(DePara!$A:$A,MATCH(TEXT(B3425,"0"),DePara!$D:$D,0)),"(sem categoria)")</f>
        <v/>
      </c>
      <c r="O3425" s="5">
        <f>IF(J3425="","",Parametros!$B$6-J3425)</f>
        <v/>
      </c>
      <c r="P3425" s="5">
        <f>IF(O3425="","",IF(O3425&gt;0,1,0))</f>
        <v/>
      </c>
    </row>
    <row r="3426">
      <c r="A3426" s="5" t="n">
        <v>2111000000</v>
      </c>
      <c r="B3426" s="5" t="inlineStr">
        <is>
          <t>101763</t>
        </is>
      </c>
      <c r="C3426" s="5" t="inlineStr">
        <is>
          <t>MUNICIPIO DE LAGOA DO BARRO DO PIAU</t>
        </is>
      </c>
      <c r="D3426" s="5" t="inlineStr">
        <is>
          <t>UE</t>
        </is>
      </c>
      <c r="E3426" s="5" t="n">
        <v>200011758</v>
      </c>
      <c r="F3426" s="5" t="inlineStr">
        <is>
          <t>16617</t>
        </is>
      </c>
      <c r="G3426" s="5" t="inlineStr">
        <is>
          <t>BRL</t>
        </is>
      </c>
      <c r="H3426" s="9" t="n">
        <v>-5184.21</v>
      </c>
      <c r="I3426" s="16" t="n">
        <v>44945</v>
      </c>
      <c r="J3426" s="16" t="n">
        <v>44945</v>
      </c>
      <c r="K3426" s="5" t="inlineStr">
        <is>
          <t>1152475</t>
        </is>
      </c>
      <c r="L3426" s="5" t="inlineStr">
        <is>
          <t>475100.210211</t>
        </is>
      </c>
      <c r="M3426" s="5">
        <f>IF(YEAR(I3426)&lt;=2020,"Até 2020",TEXT(YEAR(I3426),"0"))</f>
        <v/>
      </c>
      <c r="N3426" s="5">
        <f>IFERROR(INDEX(DePara!$A:$A,MATCH(TEXT(B3426,"0"),DePara!$D:$D,0)),"(sem categoria)")</f>
        <v/>
      </c>
      <c r="O3426" s="5">
        <f>IF(J3426="","",Parametros!$B$6-J3426)</f>
        <v/>
      </c>
      <c r="P3426" s="5">
        <f>IF(O3426="","",IF(O3426&gt;0,1,0))</f>
        <v/>
      </c>
    </row>
    <row r="3427">
      <c r="A3427" s="5" t="n">
        <v>2111000000</v>
      </c>
      <c r="B3427" s="5" t="inlineStr">
        <is>
          <t>101763</t>
        </is>
      </c>
      <c r="C3427" s="5" t="inlineStr">
        <is>
          <t>MUNICIPIO DE LAGOA DO BARRO DO PIAU</t>
        </is>
      </c>
      <c r="D3427" s="5" t="inlineStr">
        <is>
          <t>UE</t>
        </is>
      </c>
      <c r="E3427" s="5" t="n">
        <v>200011759</v>
      </c>
      <c r="F3427" s="5" t="inlineStr">
        <is>
          <t>16618</t>
        </is>
      </c>
      <c r="G3427" s="5" t="inlineStr">
        <is>
          <t>BRL</t>
        </is>
      </c>
      <c r="H3427" s="9" t="n">
        <v>-5184.21</v>
      </c>
      <c r="I3427" s="16" t="n">
        <v>44903</v>
      </c>
      <c r="J3427" s="16" t="n">
        <v>44903</v>
      </c>
      <c r="K3427" s="5" t="inlineStr">
        <is>
          <t>1152479</t>
        </is>
      </c>
      <c r="L3427" s="5" t="inlineStr">
        <is>
          <t>475100.210211</t>
        </is>
      </c>
      <c r="M3427" s="5">
        <f>IF(YEAR(I3427)&lt;=2020,"Até 2020",TEXT(YEAR(I3427),"0"))</f>
        <v/>
      </c>
      <c r="N3427" s="5">
        <f>IFERROR(INDEX(DePara!$A:$A,MATCH(TEXT(B3427,"0"),DePara!$D:$D,0)),"(sem categoria)")</f>
        <v/>
      </c>
      <c r="O3427" s="5">
        <f>IF(J3427="","",Parametros!$B$6-J3427)</f>
        <v/>
      </c>
      <c r="P3427" s="5">
        <f>IF(O3427="","",IF(O3427&gt;0,1,0))</f>
        <v/>
      </c>
    </row>
    <row r="3428">
      <c r="A3428" s="5" t="n">
        <v>2111000000</v>
      </c>
      <c r="B3428" s="5" t="inlineStr">
        <is>
          <t>101763</t>
        </is>
      </c>
      <c r="C3428" s="5" t="inlineStr">
        <is>
          <t>MUNICIPIO DE LAGOA DO BARRO DO PIAU</t>
        </is>
      </c>
      <c r="D3428" s="5" t="inlineStr">
        <is>
          <t>UE</t>
        </is>
      </c>
      <c r="E3428" s="5" t="n">
        <v>200011760</v>
      </c>
      <c r="F3428" s="5" t="inlineStr">
        <is>
          <t>16619</t>
        </is>
      </c>
      <c r="G3428" s="5" t="inlineStr">
        <is>
          <t>BRL</t>
        </is>
      </c>
      <c r="H3428" s="9" t="n">
        <v>-1719.51</v>
      </c>
      <c r="I3428" s="16" t="n">
        <v>44914</v>
      </c>
      <c r="J3428" s="16" t="n">
        <v>44914</v>
      </c>
      <c r="K3428" s="5" t="inlineStr">
        <is>
          <t>1168860</t>
        </is>
      </c>
      <c r="L3428" s="5" t="inlineStr">
        <is>
          <t>475100.210211</t>
        </is>
      </c>
      <c r="M3428" s="5">
        <f>IF(YEAR(I3428)&lt;=2020,"Até 2020",TEXT(YEAR(I3428),"0"))</f>
        <v/>
      </c>
      <c r="N3428" s="5">
        <f>IFERROR(INDEX(DePara!$A:$A,MATCH(TEXT(B3428,"0"),DePara!$D:$D,0)),"(sem categoria)")</f>
        <v/>
      </c>
      <c r="O3428" s="5">
        <f>IF(J3428="","",Parametros!$B$6-J3428)</f>
        <v/>
      </c>
      <c r="P3428" s="5">
        <f>IF(O3428="","",IF(O3428&gt;0,1,0))</f>
        <v/>
      </c>
    </row>
    <row r="3429">
      <c r="A3429" s="5" t="n">
        <v>2111000000</v>
      </c>
      <c r="B3429" s="5" t="inlineStr">
        <is>
          <t>101763</t>
        </is>
      </c>
      <c r="C3429" s="5" t="inlineStr">
        <is>
          <t>MUNICIPIO DE LAGOA DO BARRO DO PIAU</t>
        </is>
      </c>
      <c r="D3429" s="5" t="inlineStr">
        <is>
          <t>UE</t>
        </is>
      </c>
      <c r="E3429" s="5" t="n">
        <v>200011763</v>
      </c>
      <c r="F3429" s="5" t="inlineStr">
        <is>
          <t>16621</t>
        </is>
      </c>
      <c r="G3429" s="5" t="inlineStr">
        <is>
          <t>BRL</t>
        </is>
      </c>
      <c r="H3429" s="9" t="n">
        <v>-1719.51</v>
      </c>
      <c r="I3429" s="16" t="n">
        <v>44914</v>
      </c>
      <c r="J3429" s="16" t="n">
        <v>44914</v>
      </c>
      <c r="K3429" s="5" t="inlineStr">
        <is>
          <t>1168871</t>
        </is>
      </c>
      <c r="L3429" s="5" t="inlineStr">
        <is>
          <t>475100.210211</t>
        </is>
      </c>
      <c r="M3429" s="5">
        <f>IF(YEAR(I3429)&lt;=2020,"Até 2020",TEXT(YEAR(I3429),"0"))</f>
        <v/>
      </c>
      <c r="N3429" s="5">
        <f>IFERROR(INDEX(DePara!$A:$A,MATCH(TEXT(B3429,"0"),DePara!$D:$D,0)),"(sem categoria)")</f>
        <v/>
      </c>
      <c r="O3429" s="5">
        <f>IF(J3429="","",Parametros!$B$6-J3429)</f>
        <v/>
      </c>
      <c r="P3429" s="5">
        <f>IF(O3429="","",IF(O3429&gt;0,1,0))</f>
        <v/>
      </c>
    </row>
    <row r="3430">
      <c r="A3430" s="5" t="n">
        <v>2111000000</v>
      </c>
      <c r="B3430" s="5" t="inlineStr">
        <is>
          <t>101763</t>
        </is>
      </c>
      <c r="C3430" s="5" t="inlineStr">
        <is>
          <t>MUNICIPIO DE LAGOA DO BARRO DO PIAU</t>
        </is>
      </c>
      <c r="D3430" s="5" t="inlineStr">
        <is>
          <t>UE</t>
        </is>
      </c>
      <c r="E3430" s="5" t="n">
        <v>200011765</v>
      </c>
      <c r="F3430" s="5" t="inlineStr">
        <is>
          <t>16623</t>
        </is>
      </c>
      <c r="G3430" s="5" t="inlineStr">
        <is>
          <t>BRL</t>
        </is>
      </c>
      <c r="H3430" s="9" t="n">
        <v>-1719.51</v>
      </c>
      <c r="I3430" s="16" t="n">
        <v>44914</v>
      </c>
      <c r="J3430" s="16" t="n">
        <v>44914</v>
      </c>
      <c r="K3430" s="5" t="inlineStr">
        <is>
          <t>1168872</t>
        </is>
      </c>
      <c r="L3430" s="5" t="inlineStr">
        <is>
          <t>475100.210211</t>
        </is>
      </c>
      <c r="M3430" s="5">
        <f>IF(YEAR(I3430)&lt;=2020,"Até 2020",TEXT(YEAR(I3430),"0"))</f>
        <v/>
      </c>
      <c r="N3430" s="5">
        <f>IFERROR(INDEX(DePara!$A:$A,MATCH(TEXT(B3430,"0"),DePara!$D:$D,0)),"(sem categoria)")</f>
        <v/>
      </c>
      <c r="O3430" s="5">
        <f>IF(J3430="","",Parametros!$B$6-J3430)</f>
        <v/>
      </c>
      <c r="P3430" s="5">
        <f>IF(O3430="","",IF(O3430&gt;0,1,0))</f>
        <v/>
      </c>
    </row>
    <row r="3431">
      <c r="A3431" s="5" t="n">
        <v>2111000000</v>
      </c>
      <c r="B3431" s="5" t="inlineStr">
        <is>
          <t>101763</t>
        </is>
      </c>
      <c r="C3431" s="5" t="inlineStr">
        <is>
          <t>MUNICIPIO DE LAGOA DO BARRO DO PIAU</t>
        </is>
      </c>
      <c r="D3431" s="5" t="inlineStr">
        <is>
          <t>UE</t>
        </is>
      </c>
      <c r="E3431" s="5" t="n">
        <v>200011767</v>
      </c>
      <c r="F3431" s="5" t="inlineStr">
        <is>
          <t>16625</t>
        </is>
      </c>
      <c r="G3431" s="5" t="inlineStr">
        <is>
          <t>BRL</t>
        </is>
      </c>
      <c r="H3431" s="9" t="n">
        <v>-1719.51</v>
      </c>
      <c r="I3431" s="16" t="n">
        <v>44914</v>
      </c>
      <c r="J3431" s="16" t="n">
        <v>44914</v>
      </c>
      <c r="K3431" s="5" t="inlineStr">
        <is>
          <t>1168876</t>
        </is>
      </c>
      <c r="L3431" s="5" t="inlineStr">
        <is>
          <t>475100.210211</t>
        </is>
      </c>
      <c r="M3431" s="5">
        <f>IF(YEAR(I3431)&lt;=2020,"Até 2020",TEXT(YEAR(I3431),"0"))</f>
        <v/>
      </c>
      <c r="N3431" s="5">
        <f>IFERROR(INDEX(DePara!$A:$A,MATCH(TEXT(B3431,"0"),DePara!$D:$D,0)),"(sem categoria)")</f>
        <v/>
      </c>
      <c r="O3431" s="5">
        <f>IF(J3431="","",Parametros!$B$6-J3431)</f>
        <v/>
      </c>
      <c r="P3431" s="5">
        <f>IF(O3431="","",IF(O3431&gt;0,1,0))</f>
        <v/>
      </c>
    </row>
    <row r="3432">
      <c r="A3432" s="5" t="n">
        <v>2111000000</v>
      </c>
      <c r="B3432" s="5" t="inlineStr">
        <is>
          <t>101763</t>
        </is>
      </c>
      <c r="C3432" s="5" t="inlineStr">
        <is>
          <t>MUNICIPIO DE LAGOA DO BARRO DO PIAU</t>
        </is>
      </c>
      <c r="D3432" s="5" t="inlineStr">
        <is>
          <t>UE</t>
        </is>
      </c>
      <c r="E3432" s="5" t="n">
        <v>200011769</v>
      </c>
      <c r="F3432" s="5" t="inlineStr">
        <is>
          <t>16627</t>
        </is>
      </c>
      <c r="G3432" s="5" t="inlineStr">
        <is>
          <t>BRL</t>
        </is>
      </c>
      <c r="H3432" s="9" t="n">
        <v>-1719.51</v>
      </c>
      <c r="I3432" s="16" t="n">
        <v>44914</v>
      </c>
      <c r="J3432" s="16" t="n">
        <v>44914</v>
      </c>
      <c r="K3432" s="5" t="inlineStr">
        <is>
          <t>1168877</t>
        </is>
      </c>
      <c r="L3432" s="5" t="inlineStr">
        <is>
          <t>475100.210211</t>
        </is>
      </c>
      <c r="M3432" s="5">
        <f>IF(YEAR(I3432)&lt;=2020,"Até 2020",TEXT(YEAR(I3432),"0"))</f>
        <v/>
      </c>
      <c r="N3432" s="5">
        <f>IFERROR(INDEX(DePara!$A:$A,MATCH(TEXT(B3432,"0"),DePara!$D:$D,0)),"(sem categoria)")</f>
        <v/>
      </c>
      <c r="O3432" s="5">
        <f>IF(J3432="","",Parametros!$B$6-J3432)</f>
        <v/>
      </c>
      <c r="P3432" s="5">
        <f>IF(O3432="","",IF(O3432&gt;0,1,0))</f>
        <v/>
      </c>
    </row>
    <row r="3433">
      <c r="A3433" s="5" t="n">
        <v>2111000000</v>
      </c>
      <c r="B3433" s="5" t="inlineStr">
        <is>
          <t>101763</t>
        </is>
      </c>
      <c r="C3433" s="5" t="inlineStr">
        <is>
          <t>MUNICIPIO DE LAGOA DO BARRO DO PIAU</t>
        </is>
      </c>
      <c r="D3433" s="5" t="inlineStr">
        <is>
          <t>UE</t>
        </is>
      </c>
      <c r="E3433" s="5" t="n">
        <v>200011771</v>
      </c>
      <c r="F3433" s="5" t="inlineStr">
        <is>
          <t>16629</t>
        </is>
      </c>
      <c r="G3433" s="5" t="inlineStr">
        <is>
          <t>BRL</t>
        </is>
      </c>
      <c r="H3433" s="9" t="n">
        <v>-1719.51</v>
      </c>
      <c r="I3433" s="16" t="n">
        <v>44914</v>
      </c>
      <c r="J3433" s="16" t="n">
        <v>44914</v>
      </c>
      <c r="K3433" s="5" t="inlineStr">
        <is>
          <t>1168882</t>
        </is>
      </c>
      <c r="L3433" s="5" t="inlineStr">
        <is>
          <t>475100.210211</t>
        </is>
      </c>
      <c r="M3433" s="5">
        <f>IF(YEAR(I3433)&lt;=2020,"Até 2020",TEXT(YEAR(I3433),"0"))</f>
        <v/>
      </c>
      <c r="N3433" s="5">
        <f>IFERROR(INDEX(DePara!$A:$A,MATCH(TEXT(B3433,"0"),DePara!$D:$D,0)),"(sem categoria)")</f>
        <v/>
      </c>
      <c r="O3433" s="5">
        <f>IF(J3433="","",Parametros!$B$6-J3433)</f>
        <v/>
      </c>
      <c r="P3433" s="5">
        <f>IF(O3433="","",IF(O3433&gt;0,1,0))</f>
        <v/>
      </c>
    </row>
    <row r="3434">
      <c r="A3434" s="5" t="n">
        <v>2111000000</v>
      </c>
      <c r="B3434" s="5" t="inlineStr">
        <is>
          <t>101763</t>
        </is>
      </c>
      <c r="C3434" s="5" t="inlineStr">
        <is>
          <t>MUNICIPIO DE LAGOA DO BARRO DO PIAU</t>
        </is>
      </c>
      <c r="D3434" s="5" t="inlineStr">
        <is>
          <t>UE</t>
        </is>
      </c>
      <c r="E3434" s="5" t="n">
        <v>200011776</v>
      </c>
      <c r="F3434" s="5" t="inlineStr">
        <is>
          <t>16633</t>
        </is>
      </c>
      <c r="G3434" s="5" t="inlineStr">
        <is>
          <t>BRL</t>
        </is>
      </c>
      <c r="H3434" s="9" t="n">
        <v>-26342.11</v>
      </c>
      <c r="I3434" s="16" t="n">
        <v>45036</v>
      </c>
      <c r="J3434" s="16" t="n">
        <v>45036</v>
      </c>
      <c r="K3434" s="5" t="inlineStr">
        <is>
          <t>1171680</t>
        </is>
      </c>
      <c r="L3434" s="5" t="inlineStr">
        <is>
          <t>475100.210211</t>
        </is>
      </c>
      <c r="M3434" s="5">
        <f>IF(YEAR(I3434)&lt;=2020,"Até 2020",TEXT(YEAR(I3434),"0"))</f>
        <v/>
      </c>
      <c r="N3434" s="5">
        <f>IFERROR(INDEX(DePara!$A:$A,MATCH(TEXT(B3434,"0"),DePara!$D:$D,0)),"(sem categoria)")</f>
        <v/>
      </c>
      <c r="O3434" s="5">
        <f>IF(J3434="","",Parametros!$B$6-J3434)</f>
        <v/>
      </c>
      <c r="P3434" s="5">
        <f>IF(O3434="","",IF(O3434&gt;0,1,0))</f>
        <v/>
      </c>
    </row>
    <row r="3435">
      <c r="A3435" s="5" t="n">
        <v>2111000000</v>
      </c>
      <c r="B3435" s="5" t="inlineStr">
        <is>
          <t>101523</t>
        </is>
      </c>
      <c r="C3435" s="5" t="inlineStr">
        <is>
          <t>TRANSPORTES PESADOS MINAS SA 17215039000129</t>
        </is>
      </c>
      <c r="D3435" s="5" t="inlineStr">
        <is>
          <t>UE</t>
        </is>
      </c>
      <c r="E3435" s="5" t="n">
        <v>200011779</v>
      </c>
      <c r="F3435" s="5" t="inlineStr">
        <is>
          <t>16636</t>
        </is>
      </c>
      <c r="G3435" s="5" t="inlineStr">
        <is>
          <t>BRL</t>
        </is>
      </c>
      <c r="H3435" s="9" t="n">
        <v>-98500</v>
      </c>
      <c r="I3435" s="16" t="n">
        <v>45117</v>
      </c>
      <c r="J3435" s="16" t="n">
        <v>45117</v>
      </c>
      <c r="K3435" s="5" t="inlineStr">
        <is>
          <t>1180168</t>
        </is>
      </c>
      <c r="L3435" s="5" t="inlineStr">
        <is>
          <t>400000.210101</t>
        </is>
      </c>
      <c r="M3435" s="5">
        <f>IF(YEAR(I3435)&lt;=2020,"Até 2020",TEXT(YEAR(I3435),"0"))</f>
        <v/>
      </c>
      <c r="N3435" s="5">
        <f>IFERROR(INDEX(DePara!$A:$A,MATCH(TEXT(B3435,"0"),DePara!$D:$D,0)),"(sem categoria)")</f>
        <v/>
      </c>
      <c r="O3435" s="5">
        <f>IF(J3435="","",Parametros!$B$6-J3435)</f>
        <v/>
      </c>
      <c r="P3435" s="5">
        <f>IF(O3435="","",IF(O3435&gt;0,1,0))</f>
        <v/>
      </c>
    </row>
    <row r="3436">
      <c r="A3436" s="5" t="n">
        <v>2111000000</v>
      </c>
      <c r="B3436" s="5" t="inlineStr">
        <is>
          <t>101523</t>
        </is>
      </c>
      <c r="C3436" s="5" t="inlineStr">
        <is>
          <t>TRANSPORTES PESADOS MINAS SA 17215039000129</t>
        </is>
      </c>
      <c r="D3436" s="5" t="inlineStr">
        <is>
          <t>UE</t>
        </is>
      </c>
      <c r="E3436" s="5" t="n">
        <v>200011781</v>
      </c>
      <c r="F3436" s="5" t="inlineStr">
        <is>
          <t>16638</t>
        </is>
      </c>
      <c r="G3436" s="5" t="inlineStr">
        <is>
          <t>BRL</t>
        </is>
      </c>
      <c r="H3436" s="9" t="n">
        <v>-98500</v>
      </c>
      <c r="I3436" s="16" t="n">
        <v>45117</v>
      </c>
      <c r="J3436" s="16" t="n">
        <v>45117</v>
      </c>
      <c r="K3436" s="5" t="inlineStr">
        <is>
          <t>1180172</t>
        </is>
      </c>
      <c r="L3436" s="5" t="inlineStr">
        <is>
          <t>400000.210101</t>
        </is>
      </c>
      <c r="M3436" s="5">
        <f>IF(YEAR(I3436)&lt;=2020,"Até 2020",TEXT(YEAR(I3436),"0"))</f>
        <v/>
      </c>
      <c r="N3436" s="5">
        <f>IFERROR(INDEX(DePara!$A:$A,MATCH(TEXT(B3436,"0"),DePara!$D:$D,0)),"(sem categoria)")</f>
        <v/>
      </c>
      <c r="O3436" s="5">
        <f>IF(J3436="","",Parametros!$B$6-J3436)</f>
        <v/>
      </c>
      <c r="P3436" s="5">
        <f>IF(O3436="","",IF(O3436&gt;0,1,0))</f>
        <v/>
      </c>
    </row>
    <row r="3437">
      <c r="A3437" s="5" t="n">
        <v>2111000000</v>
      </c>
      <c r="B3437" s="5" t="inlineStr">
        <is>
          <t>101700</t>
        </is>
      </c>
      <c r="C3437" s="5" t="inlineStr">
        <is>
          <t>MUNICIPIO DE MULUNGU DO MORRO</t>
        </is>
      </c>
      <c r="D3437" s="5" t="inlineStr">
        <is>
          <t>UE</t>
        </is>
      </c>
      <c r="E3437" s="5" t="n">
        <v>200011806</v>
      </c>
      <c r="F3437" s="5" t="inlineStr">
        <is>
          <t>16660</t>
        </is>
      </c>
      <c r="G3437" s="5" t="inlineStr">
        <is>
          <t>BRL</t>
        </is>
      </c>
      <c r="H3437" s="9" t="n">
        <v>-714</v>
      </c>
      <c r="I3437" s="16" t="n">
        <v>45007</v>
      </c>
      <c r="J3437" s="16" t="n">
        <v>45007</v>
      </c>
      <c r="K3437" s="5" t="inlineStr">
        <is>
          <t>1161543</t>
        </is>
      </c>
      <c r="L3437" s="5" t="inlineStr">
        <is>
          <t>475100.210211</t>
        </is>
      </c>
      <c r="M3437" s="5">
        <f>IF(YEAR(I3437)&lt;=2020,"Até 2020",TEXT(YEAR(I3437),"0"))</f>
        <v/>
      </c>
      <c r="N3437" s="5">
        <f>IFERROR(INDEX(DePara!$A:$A,MATCH(TEXT(B3437,"0"),DePara!$D:$D,0)),"(sem categoria)")</f>
        <v/>
      </c>
      <c r="O3437" s="5">
        <f>IF(J3437="","",Parametros!$B$6-J3437)</f>
        <v/>
      </c>
      <c r="P3437" s="5">
        <f>IF(O3437="","",IF(O3437&gt;0,1,0))</f>
        <v/>
      </c>
    </row>
    <row r="3438">
      <c r="A3438" s="5" t="n">
        <v>2111000000</v>
      </c>
      <c r="B3438" s="5" t="inlineStr">
        <is>
          <t>101998</t>
        </is>
      </c>
      <c r="C3438" s="5" t="inlineStr">
        <is>
          <t>MUNICIPIO DE SERRA DO MEL</t>
        </is>
      </c>
      <c r="D3438" s="5" t="inlineStr">
        <is>
          <t>UE</t>
        </is>
      </c>
      <c r="E3438" s="5" t="n">
        <v>200011807</v>
      </c>
      <c r="F3438" s="5" t="inlineStr">
        <is>
          <t>16661</t>
        </is>
      </c>
      <c r="G3438" s="5" t="inlineStr">
        <is>
          <t>BRL</t>
        </is>
      </c>
      <c r="H3438" s="9" t="n">
        <v>-280</v>
      </c>
      <c r="I3438" s="16" t="n">
        <v>45058</v>
      </c>
      <c r="J3438" s="16" t="n">
        <v>45058</v>
      </c>
      <c r="K3438" s="5" t="inlineStr">
        <is>
          <t>1172357</t>
        </is>
      </c>
      <c r="L3438" s="5" t="inlineStr">
        <is>
          <t>475100.210211</t>
        </is>
      </c>
      <c r="M3438" s="5">
        <f>IF(YEAR(I3438)&lt;=2020,"Até 2020",TEXT(YEAR(I3438),"0"))</f>
        <v/>
      </c>
      <c r="N3438" s="5">
        <f>IFERROR(INDEX(DePara!$A:$A,MATCH(TEXT(B3438,"0"),DePara!$D:$D,0)),"(sem categoria)")</f>
        <v/>
      </c>
      <c r="O3438" s="5">
        <f>IF(J3438="","",Parametros!$B$6-J3438)</f>
        <v/>
      </c>
      <c r="P3438" s="5">
        <f>IF(O3438="","",IF(O3438&gt;0,1,0))</f>
        <v/>
      </c>
    </row>
    <row r="3439">
      <c r="A3439" s="5" t="n">
        <v>2111000000</v>
      </c>
      <c r="B3439" s="5" t="inlineStr">
        <is>
          <t>101700</t>
        </is>
      </c>
      <c r="C3439" s="5" t="inlineStr">
        <is>
          <t>MUNICIPIO DE MULUNGU DO MORRO</t>
        </is>
      </c>
      <c r="D3439" s="5" t="inlineStr">
        <is>
          <t>UE</t>
        </is>
      </c>
      <c r="E3439" s="5" t="n">
        <v>200011811</v>
      </c>
      <c r="F3439" s="5" t="inlineStr">
        <is>
          <t>16665</t>
        </is>
      </c>
      <c r="G3439" s="5" t="inlineStr">
        <is>
          <t>BRL</t>
        </is>
      </c>
      <c r="H3439" s="9" t="n">
        <v>-1139.04</v>
      </c>
      <c r="I3439" s="16" t="n">
        <v>44824</v>
      </c>
      <c r="J3439" s="16" t="n">
        <v>44824</v>
      </c>
      <c r="K3439" s="5" t="inlineStr">
        <is>
          <t>1129643</t>
        </is>
      </c>
      <c r="L3439" s="5" t="inlineStr">
        <is>
          <t>475100.210211</t>
        </is>
      </c>
      <c r="M3439" s="5">
        <f>IF(YEAR(I3439)&lt;=2020,"Até 2020",TEXT(YEAR(I3439),"0"))</f>
        <v/>
      </c>
      <c r="N3439" s="5">
        <f>IFERROR(INDEX(DePara!$A:$A,MATCH(TEXT(B3439,"0"),DePara!$D:$D,0)),"(sem categoria)")</f>
        <v/>
      </c>
      <c r="O3439" s="5">
        <f>IF(J3439="","",Parametros!$B$6-J3439)</f>
        <v/>
      </c>
      <c r="P3439" s="5">
        <f>IF(O3439="","",IF(O3439&gt;0,1,0))</f>
        <v/>
      </c>
    </row>
    <row r="3440">
      <c r="A3440" s="5" t="n">
        <v>2111000000</v>
      </c>
      <c r="B3440" s="5" t="inlineStr">
        <is>
          <t>101006</t>
        </is>
      </c>
      <c r="C3440" s="5" t="inlineStr">
        <is>
          <t>MUNICIPIO DE SAO BENTO DO NORTE</t>
        </is>
      </c>
      <c r="D3440" s="5" t="inlineStr">
        <is>
          <t>UE</t>
        </is>
      </c>
      <c r="E3440" s="5" t="n">
        <v>200011813</v>
      </c>
      <c r="F3440" s="5" t="inlineStr">
        <is>
          <t>16667</t>
        </is>
      </c>
      <c r="G3440" s="5" t="inlineStr">
        <is>
          <t>BRL</t>
        </is>
      </c>
      <c r="H3440" s="9" t="n">
        <v>-839.0599999999999</v>
      </c>
      <c r="I3440" s="16" t="n">
        <v>44915</v>
      </c>
      <c r="J3440" s="16" t="n">
        <v>44915</v>
      </c>
      <c r="K3440" s="5" t="inlineStr">
        <is>
          <t>1149444</t>
        </is>
      </c>
      <c r="L3440" s="5" t="inlineStr">
        <is>
          <t>475100.210211</t>
        </is>
      </c>
      <c r="M3440" s="5">
        <f>IF(YEAR(I3440)&lt;=2020,"Até 2020",TEXT(YEAR(I3440),"0"))</f>
        <v/>
      </c>
      <c r="N3440" s="5">
        <f>IFERROR(INDEX(DePara!$A:$A,MATCH(TEXT(B3440,"0"),DePara!$D:$D,0)),"(sem categoria)")</f>
        <v/>
      </c>
      <c r="O3440" s="5">
        <f>IF(J3440="","",Parametros!$B$6-J3440)</f>
        <v/>
      </c>
      <c r="P3440" s="5">
        <f>IF(O3440="","",IF(O3440&gt;0,1,0))</f>
        <v/>
      </c>
    </row>
    <row r="3441">
      <c r="A3441" s="5" t="n">
        <v>2111000000</v>
      </c>
      <c r="B3441" s="5" t="inlineStr">
        <is>
          <t>101763</t>
        </is>
      </c>
      <c r="C3441" s="5" t="inlineStr">
        <is>
          <t>MUNICIPIO DE LAGOA DO BARRO DO PIAU</t>
        </is>
      </c>
      <c r="D3441" s="5" t="inlineStr">
        <is>
          <t>UE</t>
        </is>
      </c>
      <c r="E3441" s="5" t="n">
        <v>200011815</v>
      </c>
      <c r="F3441" s="5" t="inlineStr">
        <is>
          <t>16669</t>
        </is>
      </c>
      <c r="G3441" s="5" t="inlineStr">
        <is>
          <t>BRL</t>
        </is>
      </c>
      <c r="H3441" s="9" t="n">
        <v>-9551.58</v>
      </c>
      <c r="I3441" s="16" t="n">
        <v>44915</v>
      </c>
      <c r="J3441" s="16" t="n">
        <v>44915</v>
      </c>
      <c r="K3441" s="5" t="inlineStr">
        <is>
          <t>1149446</t>
        </is>
      </c>
      <c r="L3441" s="5" t="inlineStr">
        <is>
          <t>475100.210211</t>
        </is>
      </c>
      <c r="M3441" s="5">
        <f>IF(YEAR(I3441)&lt;=2020,"Até 2020",TEXT(YEAR(I3441),"0"))</f>
        <v/>
      </c>
      <c r="N3441" s="5">
        <f>IFERROR(INDEX(DePara!$A:$A,MATCH(TEXT(B3441,"0"),DePara!$D:$D,0)),"(sem categoria)")</f>
        <v/>
      </c>
      <c r="O3441" s="5">
        <f>IF(J3441="","",Parametros!$B$6-J3441)</f>
        <v/>
      </c>
      <c r="P3441" s="5">
        <f>IF(O3441="","",IF(O3441&gt;0,1,0))</f>
        <v/>
      </c>
    </row>
    <row r="3442">
      <c r="A3442" s="5" t="n">
        <v>2111000000</v>
      </c>
      <c r="B3442" s="5" t="inlineStr">
        <is>
          <t>101998</t>
        </is>
      </c>
      <c r="C3442" s="5" t="inlineStr">
        <is>
          <t>MUNICIPIO DE SERRA DO MEL</t>
        </is>
      </c>
      <c r="D3442" s="5" t="inlineStr">
        <is>
          <t>UE</t>
        </is>
      </c>
      <c r="E3442" s="5" t="n">
        <v>200011818</v>
      </c>
      <c r="F3442" s="5" t="inlineStr">
        <is>
          <t>16671</t>
        </is>
      </c>
      <c r="G3442" s="5" t="inlineStr">
        <is>
          <t>BRL</t>
        </is>
      </c>
      <c r="H3442" s="9" t="n">
        <v>-1180.58</v>
      </c>
      <c r="I3442" s="16" t="n">
        <v>44915</v>
      </c>
      <c r="J3442" s="16" t="n">
        <v>44915</v>
      </c>
      <c r="K3442" s="5" t="inlineStr">
        <is>
          <t>1149448</t>
        </is>
      </c>
      <c r="L3442" s="5" t="inlineStr">
        <is>
          <t>475100.210211</t>
        </is>
      </c>
      <c r="M3442" s="5">
        <f>IF(YEAR(I3442)&lt;=2020,"Até 2020",TEXT(YEAR(I3442),"0"))</f>
        <v/>
      </c>
      <c r="N3442" s="5">
        <f>IFERROR(INDEX(DePara!$A:$A,MATCH(TEXT(B3442,"0"),DePara!$D:$D,0)),"(sem categoria)")</f>
        <v/>
      </c>
      <c r="O3442" s="5">
        <f>IF(J3442="","",Parametros!$B$6-J3442)</f>
        <v/>
      </c>
      <c r="P3442" s="5">
        <f>IF(O3442="","",IF(O3442&gt;0,1,0))</f>
        <v/>
      </c>
    </row>
    <row r="3443">
      <c r="A3443" s="5" t="n">
        <v>2111000000</v>
      </c>
      <c r="B3443" s="5" t="inlineStr">
        <is>
          <t>101763</t>
        </is>
      </c>
      <c r="C3443" s="5" t="inlineStr">
        <is>
          <t>MUNICIPIO DE LAGOA DO BARRO DO PIAU</t>
        </is>
      </c>
      <c r="D3443" s="5" t="inlineStr">
        <is>
          <t>UE</t>
        </is>
      </c>
      <c r="E3443" s="5" t="n">
        <v>200011820</v>
      </c>
      <c r="F3443" s="5" t="inlineStr">
        <is>
          <t>16673</t>
        </is>
      </c>
      <c r="G3443" s="5" t="inlineStr">
        <is>
          <t>BRL</t>
        </is>
      </c>
      <c r="H3443" s="9" t="n">
        <v>-7923.72</v>
      </c>
      <c r="I3443" s="16" t="n">
        <v>45098</v>
      </c>
      <c r="J3443" s="16" t="n">
        <v>45098</v>
      </c>
      <c r="K3443" s="5" t="inlineStr">
        <is>
          <t>1178367</t>
        </is>
      </c>
      <c r="L3443" s="5" t="inlineStr">
        <is>
          <t>475100.210211</t>
        </is>
      </c>
      <c r="M3443" s="5">
        <f>IF(YEAR(I3443)&lt;=2020,"Até 2020",TEXT(YEAR(I3443),"0"))</f>
        <v/>
      </c>
      <c r="N3443" s="5">
        <f>IFERROR(INDEX(DePara!$A:$A,MATCH(TEXT(B3443,"0"),DePara!$D:$D,0)),"(sem categoria)")</f>
        <v/>
      </c>
      <c r="O3443" s="5">
        <f>IF(J3443="","",Parametros!$B$6-J3443)</f>
        <v/>
      </c>
      <c r="P3443" s="5">
        <f>IF(O3443="","",IF(O3443&gt;0,1,0))</f>
        <v/>
      </c>
    </row>
    <row r="3444">
      <c r="A3444" s="5" t="n">
        <v>2111000000</v>
      </c>
      <c r="B3444" s="5" t="inlineStr">
        <is>
          <t>100759</t>
        </is>
      </c>
      <c r="C3444" s="5" t="inlineStr">
        <is>
          <t>MUNICIPIO DE UIBAI</t>
        </is>
      </c>
      <c r="D3444" s="5" t="inlineStr">
        <is>
          <t>UE</t>
        </is>
      </c>
      <c r="E3444" s="5" t="n">
        <v>200011836</v>
      </c>
      <c r="F3444" s="5" t="inlineStr">
        <is>
          <t>16688</t>
        </is>
      </c>
      <c r="G3444" s="5" t="inlineStr">
        <is>
          <t>BRL</t>
        </is>
      </c>
      <c r="H3444" s="9" t="n">
        <v>-2712.18</v>
      </c>
      <c r="I3444" s="16" t="n">
        <v>44995</v>
      </c>
      <c r="J3444" s="16" t="n">
        <v>44995</v>
      </c>
      <c r="K3444" s="5" t="inlineStr">
        <is>
          <t>1170164</t>
        </is>
      </c>
      <c r="L3444" s="5" t="inlineStr">
        <is>
          <t>475100.210211</t>
        </is>
      </c>
      <c r="M3444" s="5">
        <f>IF(YEAR(I3444)&lt;=2020,"Até 2020",TEXT(YEAR(I3444),"0"))</f>
        <v/>
      </c>
      <c r="N3444" s="5">
        <f>IFERROR(INDEX(DePara!$A:$A,MATCH(TEXT(B3444,"0"),DePara!$D:$D,0)),"(sem categoria)")</f>
        <v/>
      </c>
      <c r="O3444" s="5">
        <f>IF(J3444="","",Parametros!$B$6-J3444)</f>
        <v/>
      </c>
      <c r="P3444" s="5">
        <f>IF(O3444="","",IF(O3444&gt;0,1,0))</f>
        <v/>
      </c>
    </row>
    <row r="3445">
      <c r="A3445" s="5" t="n">
        <v>2111000000</v>
      </c>
      <c r="B3445" s="5" t="inlineStr">
        <is>
          <t>100759</t>
        </is>
      </c>
      <c r="C3445" s="5" t="inlineStr">
        <is>
          <t>MUNICIPIO DE UIBAI</t>
        </is>
      </c>
      <c r="D3445" s="5" t="inlineStr">
        <is>
          <t>UE</t>
        </is>
      </c>
      <c r="E3445" s="5" t="n">
        <v>200011837</v>
      </c>
      <c r="F3445" s="5" t="inlineStr">
        <is>
          <t>16689</t>
        </is>
      </c>
      <c r="G3445" s="5" t="inlineStr">
        <is>
          <t>BRL</t>
        </is>
      </c>
      <c r="H3445" s="9" t="n">
        <v>-1148.75</v>
      </c>
      <c r="I3445" s="16" t="n">
        <v>45056</v>
      </c>
      <c r="J3445" s="16" t="n">
        <v>45056</v>
      </c>
      <c r="K3445" s="5" t="inlineStr">
        <is>
          <t>1170712</t>
        </is>
      </c>
      <c r="L3445" s="5" t="inlineStr">
        <is>
          <t>475100.210211</t>
        </is>
      </c>
      <c r="M3445" s="5">
        <f>IF(YEAR(I3445)&lt;=2020,"Até 2020",TEXT(YEAR(I3445),"0"))</f>
        <v/>
      </c>
      <c r="N3445" s="5">
        <f>IFERROR(INDEX(DePara!$A:$A,MATCH(TEXT(B3445,"0"),DePara!$D:$D,0)),"(sem categoria)")</f>
        <v/>
      </c>
      <c r="O3445" s="5">
        <f>IF(J3445="","",Parametros!$B$6-J3445)</f>
        <v/>
      </c>
      <c r="P3445" s="5">
        <f>IF(O3445="","",IF(O3445&gt;0,1,0))</f>
        <v/>
      </c>
    </row>
    <row r="3446">
      <c r="A3446" s="5" t="n">
        <v>2111000000</v>
      </c>
      <c r="B3446" s="5" t="inlineStr">
        <is>
          <t>100759</t>
        </is>
      </c>
      <c r="C3446" s="5" t="inlineStr">
        <is>
          <t>MUNICIPIO DE UIBAI</t>
        </is>
      </c>
      <c r="D3446" s="5" t="inlineStr">
        <is>
          <t>UE</t>
        </is>
      </c>
      <c r="E3446" s="5" t="n">
        <v>200011839</v>
      </c>
      <c r="F3446" s="5" t="inlineStr">
        <is>
          <t>16690</t>
        </is>
      </c>
      <c r="G3446" s="5" t="inlineStr">
        <is>
          <t>BRL</t>
        </is>
      </c>
      <c r="H3446" s="9" t="n">
        <v>-999.35</v>
      </c>
      <c r="I3446" s="16" t="n">
        <v>45033</v>
      </c>
      <c r="J3446" s="16" t="n">
        <v>45033</v>
      </c>
      <c r="K3446" s="5" t="inlineStr">
        <is>
          <t>1170715</t>
        </is>
      </c>
      <c r="L3446" s="5" t="inlineStr">
        <is>
          <t>475100.210211</t>
        </is>
      </c>
      <c r="M3446" s="5">
        <f>IF(YEAR(I3446)&lt;=2020,"Até 2020",TEXT(YEAR(I3446),"0"))</f>
        <v/>
      </c>
      <c r="N3446" s="5">
        <f>IFERROR(INDEX(DePara!$A:$A,MATCH(TEXT(B3446,"0"),DePara!$D:$D,0)),"(sem categoria)")</f>
        <v/>
      </c>
      <c r="O3446" s="5">
        <f>IF(J3446="","",Parametros!$B$6-J3446)</f>
        <v/>
      </c>
      <c r="P3446" s="5">
        <f>IF(O3446="","",IF(O3446&gt;0,1,0))</f>
        <v/>
      </c>
    </row>
    <row r="3447">
      <c r="A3447" s="5" t="n">
        <v>2111000000</v>
      </c>
      <c r="B3447" s="5" t="inlineStr">
        <is>
          <t>102282</t>
        </is>
      </c>
      <c r="C3447" s="5" t="inlineStr">
        <is>
          <t>ARISTOTELES MARCIO SOUZA ARAUJO</t>
        </is>
      </c>
      <c r="D3447" s="5" t="inlineStr">
        <is>
          <t>UE</t>
        </is>
      </c>
      <c r="E3447" s="5" t="n">
        <v>200011851</v>
      </c>
      <c r="F3447" s="5" t="inlineStr">
        <is>
          <t>16700</t>
        </is>
      </c>
      <c r="G3447" s="5" t="inlineStr">
        <is>
          <t>BRL</t>
        </is>
      </c>
      <c r="H3447" s="9" t="n">
        <v>-18123</v>
      </c>
      <c r="I3447" s="16" t="n">
        <v>43914</v>
      </c>
      <c r="J3447" s="16" t="n">
        <v>43914</v>
      </c>
      <c r="K3447" s="5" t="inlineStr">
        <is>
          <t>977331</t>
        </is>
      </c>
      <c r="L3447" s="5" t="inlineStr">
        <is>
          <t>400000.210101</t>
        </is>
      </c>
      <c r="M3447" s="5">
        <f>IF(YEAR(I3447)&lt;=2020,"Até 2020",TEXT(YEAR(I3447),"0"))</f>
        <v/>
      </c>
      <c r="N3447" s="5">
        <f>IFERROR(INDEX(DePara!$A:$A,MATCH(TEXT(B3447,"0"),DePara!$D:$D,0)),"(sem categoria)")</f>
        <v/>
      </c>
      <c r="O3447" s="5">
        <f>IF(J3447="","",Parametros!$B$6-J3447)</f>
        <v/>
      </c>
      <c r="P3447" s="5">
        <f>IF(O3447="","",IF(O3447&gt;0,1,0))</f>
        <v/>
      </c>
    </row>
    <row r="3448">
      <c r="A3448" s="5" t="n">
        <v>2111000000</v>
      </c>
      <c r="B3448" s="5" t="inlineStr">
        <is>
          <t>102282</t>
        </is>
      </c>
      <c r="C3448" s="5" t="inlineStr">
        <is>
          <t>ARISTOTELES MARCIO SOUZA ARAUJO</t>
        </is>
      </c>
      <c r="D3448" s="5" t="inlineStr">
        <is>
          <t>UE</t>
        </is>
      </c>
      <c r="E3448" s="5" t="n">
        <v>200011852</v>
      </c>
      <c r="F3448" s="5" t="inlineStr">
        <is>
          <t>16701</t>
        </is>
      </c>
      <c r="G3448" s="5" t="inlineStr">
        <is>
          <t>BRL</t>
        </is>
      </c>
      <c r="H3448" s="9" t="n">
        <v>-13600</v>
      </c>
      <c r="I3448" s="16" t="n">
        <v>43860</v>
      </c>
      <c r="J3448" s="16" t="n">
        <v>43860</v>
      </c>
      <c r="K3448" s="5" t="inlineStr">
        <is>
          <t>998826</t>
        </is>
      </c>
      <c r="L3448" s="5" t="inlineStr">
        <is>
          <t>400000.210101</t>
        </is>
      </c>
      <c r="M3448" s="5">
        <f>IF(YEAR(I3448)&lt;=2020,"Até 2020",TEXT(YEAR(I3448),"0"))</f>
        <v/>
      </c>
      <c r="N3448" s="5">
        <f>IFERROR(INDEX(DePara!$A:$A,MATCH(TEXT(B3448,"0"),DePara!$D:$D,0)),"(sem categoria)")</f>
        <v/>
      </c>
      <c r="O3448" s="5">
        <f>IF(J3448="","",Parametros!$B$6-J3448)</f>
        <v/>
      </c>
      <c r="P3448" s="5">
        <f>IF(O3448="","",IF(O3448&gt;0,1,0))</f>
        <v/>
      </c>
    </row>
    <row r="3449">
      <c r="A3449" s="5" t="n">
        <v>2111000000</v>
      </c>
      <c r="B3449" s="5" t="inlineStr">
        <is>
          <t>101763</t>
        </is>
      </c>
      <c r="C3449" s="5" t="inlineStr">
        <is>
          <t>MUNICIPIO DE LAGOA DO BARRO DO PIAU</t>
        </is>
      </c>
      <c r="D3449" s="5" t="inlineStr">
        <is>
          <t>UE</t>
        </is>
      </c>
      <c r="E3449" s="5" t="n">
        <v>200011855</v>
      </c>
      <c r="F3449" s="5" t="inlineStr">
        <is>
          <t>16704</t>
        </is>
      </c>
      <c r="G3449" s="5" t="inlineStr">
        <is>
          <t>BRL</t>
        </is>
      </c>
      <c r="H3449" s="9" t="n">
        <v>-4312.31</v>
      </c>
      <c r="I3449" s="16" t="n">
        <v>44883</v>
      </c>
      <c r="J3449" s="16" t="n">
        <v>44883</v>
      </c>
      <c r="K3449" s="5" t="inlineStr">
        <is>
          <t>1151503</t>
        </is>
      </c>
      <c r="L3449" s="5" t="inlineStr">
        <is>
          <t>475100.210211</t>
        </is>
      </c>
      <c r="M3449" s="5">
        <f>IF(YEAR(I3449)&lt;=2020,"Até 2020",TEXT(YEAR(I3449),"0"))</f>
        <v/>
      </c>
      <c r="N3449" s="5">
        <f>IFERROR(INDEX(DePara!$A:$A,MATCH(TEXT(B3449,"0"),DePara!$D:$D,0)),"(sem categoria)")</f>
        <v/>
      </c>
      <c r="O3449" s="5">
        <f>IF(J3449="","",Parametros!$B$6-J3449)</f>
        <v/>
      </c>
      <c r="P3449" s="5">
        <f>IF(O3449="","",IF(O3449&gt;0,1,0))</f>
        <v/>
      </c>
    </row>
    <row r="3450">
      <c r="A3450" s="5" t="n">
        <v>2111000000</v>
      </c>
      <c r="B3450" s="5" t="inlineStr">
        <is>
          <t>101358</t>
        </is>
      </c>
      <c r="C3450" s="5" t="inlineStr">
        <is>
          <t>MUNICIPIO DE LAJES</t>
        </is>
      </c>
      <c r="D3450" s="5" t="inlineStr">
        <is>
          <t>UE</t>
        </is>
      </c>
      <c r="E3450" s="5" t="n">
        <v>200011867</v>
      </c>
      <c r="F3450" s="5" t="inlineStr">
        <is>
          <t>16715</t>
        </is>
      </c>
      <c r="G3450" s="5" t="inlineStr">
        <is>
          <t>BRL</t>
        </is>
      </c>
      <c r="H3450" s="9" t="n">
        <v>-81.59999999999999</v>
      </c>
      <c r="I3450" s="16" t="n">
        <v>44796</v>
      </c>
      <c r="J3450" s="16" t="n">
        <v>44796</v>
      </c>
      <c r="K3450" s="5" t="inlineStr">
        <is>
          <t>1182512</t>
        </is>
      </c>
      <c r="L3450" s="5" t="inlineStr">
        <is>
          <t>475100.210211</t>
        </is>
      </c>
      <c r="M3450" s="5">
        <f>IF(YEAR(I3450)&lt;=2020,"Até 2020",TEXT(YEAR(I3450),"0"))</f>
        <v/>
      </c>
      <c r="N3450" s="5">
        <f>IFERROR(INDEX(DePara!$A:$A,MATCH(TEXT(B3450,"0"),DePara!$D:$D,0)),"(sem categoria)")</f>
        <v/>
      </c>
      <c r="O3450" s="5">
        <f>IF(J3450="","",Parametros!$B$6-J3450)</f>
        <v/>
      </c>
      <c r="P3450" s="5">
        <f>IF(O3450="","",IF(O3450&gt;0,1,0))</f>
        <v/>
      </c>
    </row>
    <row r="3451">
      <c r="A3451" s="5" t="n">
        <v>2111000000</v>
      </c>
      <c r="B3451" s="5" t="inlineStr">
        <is>
          <t>101700</t>
        </is>
      </c>
      <c r="C3451" s="5" t="inlineStr">
        <is>
          <t>MUNICIPIO DE MULUNGU DO MORRO</t>
        </is>
      </c>
      <c r="D3451" s="5" t="inlineStr">
        <is>
          <t>UE</t>
        </is>
      </c>
      <c r="E3451" s="5" t="n">
        <v>200011868</v>
      </c>
      <c r="F3451" s="5" t="inlineStr">
        <is>
          <t>16716</t>
        </is>
      </c>
      <c r="G3451" s="5" t="inlineStr">
        <is>
          <t>BRL</t>
        </is>
      </c>
      <c r="H3451" s="9" t="n">
        <v>-399.13</v>
      </c>
      <c r="I3451" s="16" t="n">
        <v>44757</v>
      </c>
      <c r="J3451" s="16" t="n">
        <v>44757</v>
      </c>
      <c r="K3451" s="5" t="inlineStr">
        <is>
          <t>1150008</t>
        </is>
      </c>
      <c r="L3451" s="5" t="inlineStr">
        <is>
          <t>475100.210211</t>
        </is>
      </c>
      <c r="M3451" s="5">
        <f>IF(YEAR(I3451)&lt;=2020,"Até 2020",TEXT(YEAR(I3451),"0"))</f>
        <v/>
      </c>
      <c r="N3451" s="5">
        <f>IFERROR(INDEX(DePara!$A:$A,MATCH(TEXT(B3451,"0"),DePara!$D:$D,0)),"(sem categoria)")</f>
        <v/>
      </c>
      <c r="O3451" s="5">
        <f>IF(J3451="","",Parametros!$B$6-J3451)</f>
        <v/>
      </c>
      <c r="P3451" s="5">
        <f>IF(O3451="","",IF(O3451&gt;0,1,0))</f>
        <v/>
      </c>
    </row>
    <row r="3452">
      <c r="A3452" s="5" t="n">
        <v>2111000000</v>
      </c>
      <c r="B3452" s="5" t="inlineStr">
        <is>
          <t>101700</t>
        </is>
      </c>
      <c r="C3452" s="5" t="inlineStr">
        <is>
          <t>MUNICIPIO DE MULUNGU DO MORRO</t>
        </is>
      </c>
      <c r="D3452" s="5" t="inlineStr">
        <is>
          <t>UE</t>
        </is>
      </c>
      <c r="E3452" s="5" t="n">
        <v>200011869</v>
      </c>
      <c r="F3452" s="5" t="inlineStr">
        <is>
          <t>16717</t>
        </is>
      </c>
      <c r="G3452" s="5" t="inlineStr">
        <is>
          <t>BRL</t>
        </is>
      </c>
      <c r="H3452" s="9" t="n">
        <v>-751.9</v>
      </c>
      <c r="I3452" s="16" t="n">
        <v>44967</v>
      </c>
      <c r="J3452" s="16" t="n">
        <v>44967</v>
      </c>
      <c r="K3452" s="5" t="inlineStr">
        <is>
          <t>1154739</t>
        </is>
      </c>
      <c r="L3452" s="5" t="inlineStr">
        <is>
          <t>475100.210211</t>
        </is>
      </c>
      <c r="M3452" s="5">
        <f>IF(YEAR(I3452)&lt;=2020,"Até 2020",TEXT(YEAR(I3452),"0"))</f>
        <v/>
      </c>
      <c r="N3452" s="5">
        <f>IFERROR(INDEX(DePara!$A:$A,MATCH(TEXT(B3452,"0"),DePara!$D:$D,0)),"(sem categoria)")</f>
        <v/>
      </c>
      <c r="O3452" s="5">
        <f>IF(J3452="","",Parametros!$B$6-J3452)</f>
        <v/>
      </c>
      <c r="P3452" s="5">
        <f>IF(O3452="","",IF(O3452&gt;0,1,0))</f>
        <v/>
      </c>
    </row>
    <row r="3453">
      <c r="A3453" s="5" t="n">
        <v>2111000000</v>
      </c>
      <c r="B3453" s="5" t="inlineStr">
        <is>
          <t>101763</t>
        </is>
      </c>
      <c r="C3453" s="5" t="inlineStr">
        <is>
          <t>MUNICIPIO DE LAGOA DO BARRO DO PIAU</t>
        </is>
      </c>
      <c r="D3453" s="5" t="inlineStr">
        <is>
          <t>UE</t>
        </is>
      </c>
      <c r="E3453" s="5" t="n">
        <v>200011957</v>
      </c>
      <c r="F3453" s="5" t="inlineStr">
        <is>
          <t>16797</t>
        </is>
      </c>
      <c r="G3453" s="5" t="inlineStr">
        <is>
          <t>BRL</t>
        </is>
      </c>
      <c r="H3453" s="9" t="n">
        <v>-4323.45</v>
      </c>
      <c r="I3453" s="16" t="n">
        <v>45093</v>
      </c>
      <c r="J3453" s="16" t="n">
        <v>45093</v>
      </c>
      <c r="K3453" s="5" t="inlineStr">
        <is>
          <t>1178285</t>
        </is>
      </c>
      <c r="L3453" s="5" t="inlineStr">
        <is>
          <t>475100.210211</t>
        </is>
      </c>
      <c r="M3453" s="5">
        <f>IF(YEAR(I3453)&lt;=2020,"Até 2020",TEXT(YEAR(I3453),"0"))</f>
        <v/>
      </c>
      <c r="N3453" s="5">
        <f>IFERROR(INDEX(DePara!$A:$A,MATCH(TEXT(B3453,"0"),DePara!$D:$D,0)),"(sem categoria)")</f>
        <v/>
      </c>
      <c r="O3453" s="5">
        <f>IF(J3453="","",Parametros!$B$6-J3453)</f>
        <v/>
      </c>
      <c r="P3453" s="5">
        <f>IF(O3453="","",IF(O3453&gt;0,1,0))</f>
        <v/>
      </c>
    </row>
    <row r="3454">
      <c r="A3454" s="5" t="n">
        <v>2111000000</v>
      </c>
      <c r="B3454" s="5" t="inlineStr">
        <is>
          <t>101358</t>
        </is>
      </c>
      <c r="C3454" s="5" t="inlineStr">
        <is>
          <t>MUNICIPIO DE LAJES</t>
        </is>
      </c>
      <c r="D3454" s="5" t="inlineStr">
        <is>
          <t>UE</t>
        </is>
      </c>
      <c r="E3454" s="5" t="n">
        <v>200011984</v>
      </c>
      <c r="F3454" s="5" t="inlineStr">
        <is>
          <t>16820</t>
        </is>
      </c>
      <c r="G3454" s="5" t="inlineStr">
        <is>
          <t>BRL</t>
        </is>
      </c>
      <c r="H3454" s="9" t="n">
        <v>-6633.53</v>
      </c>
      <c r="I3454" s="16" t="n">
        <v>44946</v>
      </c>
      <c r="J3454" s="16" t="n">
        <v>44946</v>
      </c>
      <c r="K3454" s="5" t="inlineStr">
        <is>
          <t>1153281</t>
        </is>
      </c>
      <c r="L3454" s="5" t="inlineStr">
        <is>
          <t>475100.210211</t>
        </is>
      </c>
      <c r="M3454" s="5">
        <f>IF(YEAR(I3454)&lt;=2020,"Até 2020",TEXT(YEAR(I3454),"0"))</f>
        <v/>
      </c>
      <c r="N3454" s="5">
        <f>IFERROR(INDEX(DePara!$A:$A,MATCH(TEXT(B3454,"0"),DePara!$D:$D,0)),"(sem categoria)")</f>
        <v/>
      </c>
      <c r="O3454" s="5">
        <f>IF(J3454="","",Parametros!$B$6-J3454)</f>
        <v/>
      </c>
      <c r="P3454" s="5">
        <f>IF(O3454="","",IF(O3454&gt;0,1,0))</f>
        <v/>
      </c>
    </row>
    <row r="3455">
      <c r="A3455" s="5" t="n">
        <v>2111000000</v>
      </c>
      <c r="B3455" s="5" t="inlineStr">
        <is>
          <t>101358</t>
        </is>
      </c>
      <c r="C3455" s="5" t="inlineStr">
        <is>
          <t>MUNICIPIO DE LAJES</t>
        </is>
      </c>
      <c r="D3455" s="5" t="inlineStr">
        <is>
          <t>UE</t>
        </is>
      </c>
      <c r="E3455" s="5" t="n">
        <v>200011986</v>
      </c>
      <c r="F3455" s="5" t="inlineStr">
        <is>
          <t>16822</t>
        </is>
      </c>
      <c r="G3455" s="5" t="inlineStr">
        <is>
          <t>BRL</t>
        </is>
      </c>
      <c r="H3455" s="9" t="n">
        <v>-13267.58</v>
      </c>
      <c r="I3455" s="16" t="n">
        <v>44946</v>
      </c>
      <c r="J3455" s="16" t="n">
        <v>44946</v>
      </c>
      <c r="K3455" s="5" t="inlineStr">
        <is>
          <t>1153282</t>
        </is>
      </c>
      <c r="L3455" s="5" t="inlineStr">
        <is>
          <t>475100.210211</t>
        </is>
      </c>
      <c r="M3455" s="5">
        <f>IF(YEAR(I3455)&lt;=2020,"Até 2020",TEXT(YEAR(I3455),"0"))</f>
        <v/>
      </c>
      <c r="N3455" s="5">
        <f>IFERROR(INDEX(DePara!$A:$A,MATCH(TEXT(B3455,"0"),DePara!$D:$D,0)),"(sem categoria)")</f>
        <v/>
      </c>
      <c r="O3455" s="5">
        <f>IF(J3455="","",Parametros!$B$6-J3455)</f>
        <v/>
      </c>
      <c r="P3455" s="5">
        <f>IF(O3455="","",IF(O3455&gt;0,1,0))</f>
        <v/>
      </c>
    </row>
    <row r="3456">
      <c r="A3456" s="5" t="n">
        <v>2111000000</v>
      </c>
      <c r="B3456" s="5" t="inlineStr">
        <is>
          <t>102290</t>
        </is>
      </c>
      <c r="C3456" s="5" t="inlineStr">
        <is>
          <t>GILDO MARQUES RIBEIRO</t>
        </is>
      </c>
      <c r="D3456" s="5" t="inlineStr">
        <is>
          <t>UE</t>
        </is>
      </c>
      <c r="E3456" s="5" t="n">
        <v>200011998</v>
      </c>
      <c r="F3456" s="5" t="inlineStr">
        <is>
          <t>16833</t>
        </is>
      </c>
      <c r="G3456" s="5" t="inlineStr">
        <is>
          <t>BRL</t>
        </is>
      </c>
      <c r="H3456" s="9" t="n">
        <v>-7503</v>
      </c>
      <c r="I3456" s="16" t="n">
        <v>45110</v>
      </c>
      <c r="J3456" s="16" t="n">
        <v>45110</v>
      </c>
      <c r="K3456" s="5" t="inlineStr">
        <is>
          <t>1180145</t>
        </is>
      </c>
      <c r="L3456" s="5" t="inlineStr">
        <is>
          <t>400000.210101</t>
        </is>
      </c>
      <c r="M3456" s="5">
        <f>IF(YEAR(I3456)&lt;=2020,"Até 2020",TEXT(YEAR(I3456),"0"))</f>
        <v/>
      </c>
      <c r="N3456" s="5">
        <f>IFERROR(INDEX(DePara!$A:$A,MATCH(TEXT(B3456,"0"),DePara!$D:$D,0)),"(sem categoria)")</f>
        <v/>
      </c>
      <c r="O3456" s="5">
        <f>IF(J3456="","",Parametros!$B$6-J3456)</f>
        <v/>
      </c>
      <c r="P3456" s="5">
        <f>IF(O3456="","",IF(O3456&gt;0,1,0))</f>
        <v/>
      </c>
    </row>
    <row r="3457">
      <c r="A3457" s="5" t="n">
        <v>2111000000</v>
      </c>
      <c r="B3457" s="5" t="inlineStr">
        <is>
          <t>101763</t>
        </is>
      </c>
      <c r="C3457" s="5" t="inlineStr">
        <is>
          <t>MUNICIPIO DE LAGOA DO BARRO DO PIAU</t>
        </is>
      </c>
      <c r="D3457" s="5" t="inlineStr">
        <is>
          <t>UE</t>
        </is>
      </c>
      <c r="E3457" s="5" t="n">
        <v>200012000</v>
      </c>
      <c r="F3457" s="5" t="inlineStr">
        <is>
          <t>16835</t>
        </is>
      </c>
      <c r="G3457" s="5" t="inlineStr">
        <is>
          <t>BRL</t>
        </is>
      </c>
      <c r="H3457" s="9" t="n">
        <v>-293.58</v>
      </c>
      <c r="I3457" s="16" t="n">
        <v>44848</v>
      </c>
      <c r="J3457" s="16" t="n">
        <v>44848</v>
      </c>
      <c r="K3457" s="5" t="inlineStr">
        <is>
          <t>1157454</t>
        </is>
      </c>
      <c r="L3457" s="5" t="inlineStr">
        <is>
          <t>475100.210211</t>
        </is>
      </c>
      <c r="M3457" s="5">
        <f>IF(YEAR(I3457)&lt;=2020,"Até 2020",TEXT(YEAR(I3457),"0"))</f>
        <v/>
      </c>
      <c r="N3457" s="5">
        <f>IFERROR(INDEX(DePara!$A:$A,MATCH(TEXT(B3457,"0"),DePara!$D:$D,0)),"(sem categoria)")</f>
        <v/>
      </c>
      <c r="O3457" s="5">
        <f>IF(J3457="","",Parametros!$B$6-J3457)</f>
        <v/>
      </c>
      <c r="P3457" s="5">
        <f>IF(O3457="","",IF(O3457&gt;0,1,0))</f>
        <v/>
      </c>
    </row>
    <row r="3458">
      <c r="A3458" s="5" t="n">
        <v>2111000000</v>
      </c>
      <c r="B3458" s="5" t="inlineStr">
        <is>
          <t>101763</t>
        </is>
      </c>
      <c r="C3458" s="5" t="inlineStr">
        <is>
          <t>MUNICIPIO DE LAGOA DO BARRO DO PIAU</t>
        </is>
      </c>
      <c r="D3458" s="5" t="inlineStr">
        <is>
          <t>UE</t>
        </is>
      </c>
      <c r="E3458" s="5" t="n">
        <v>200012001</v>
      </c>
      <c r="F3458" s="5" t="inlineStr">
        <is>
          <t>16836</t>
        </is>
      </c>
      <c r="G3458" s="5" t="inlineStr">
        <is>
          <t>BRL</t>
        </is>
      </c>
      <c r="H3458" s="9" t="n">
        <v>-293.58</v>
      </c>
      <c r="I3458" s="16" t="n">
        <v>44848</v>
      </c>
      <c r="J3458" s="16" t="n">
        <v>44848</v>
      </c>
      <c r="K3458" s="5" t="inlineStr">
        <is>
          <t>1157456</t>
        </is>
      </c>
      <c r="L3458" s="5" t="inlineStr">
        <is>
          <t>475100.210211</t>
        </is>
      </c>
      <c r="M3458" s="5">
        <f>IF(YEAR(I3458)&lt;=2020,"Até 2020",TEXT(YEAR(I3458),"0"))</f>
        <v/>
      </c>
      <c r="N3458" s="5">
        <f>IFERROR(INDEX(DePara!$A:$A,MATCH(TEXT(B3458,"0"),DePara!$D:$D,0)),"(sem categoria)")</f>
        <v/>
      </c>
      <c r="O3458" s="5">
        <f>IF(J3458="","",Parametros!$B$6-J3458)</f>
        <v/>
      </c>
      <c r="P3458" s="5">
        <f>IF(O3458="","",IF(O3458&gt;0,1,0))</f>
        <v/>
      </c>
    </row>
    <row r="3459">
      <c r="A3459" s="5" t="n">
        <v>2111000000</v>
      </c>
      <c r="B3459" s="5" t="inlineStr">
        <is>
          <t>101918</t>
        </is>
      </c>
      <c r="C3459" s="5" t="inlineStr">
        <is>
          <t>MUNICIPIO DE AREIA BRANCA</t>
        </is>
      </c>
      <c r="D3459" s="5" t="inlineStr">
        <is>
          <t>UE</t>
        </is>
      </c>
      <c r="E3459" s="5" t="n">
        <v>200012002</v>
      </c>
      <c r="F3459" s="5" t="inlineStr">
        <is>
          <t>16837</t>
        </is>
      </c>
      <c r="G3459" s="5" t="inlineStr">
        <is>
          <t>BRL</t>
        </is>
      </c>
      <c r="H3459" s="9" t="n">
        <v>-13.92</v>
      </c>
      <c r="I3459" s="16" t="n">
        <v>44508</v>
      </c>
      <c r="J3459" s="16" t="n">
        <v>44508</v>
      </c>
      <c r="K3459" s="5" t="inlineStr">
        <is>
          <t>1165842</t>
        </is>
      </c>
      <c r="L3459" s="5" t="inlineStr">
        <is>
          <t>475100.210211</t>
        </is>
      </c>
      <c r="M3459" s="5">
        <f>IF(YEAR(I3459)&lt;=2020,"Até 2020",TEXT(YEAR(I3459),"0"))</f>
        <v/>
      </c>
      <c r="N3459" s="5">
        <f>IFERROR(INDEX(DePara!$A:$A,MATCH(TEXT(B3459,"0"),DePara!$D:$D,0)),"(sem categoria)")</f>
        <v/>
      </c>
      <c r="O3459" s="5">
        <f>IF(J3459="","",Parametros!$B$6-J3459)</f>
        <v/>
      </c>
      <c r="P3459" s="5">
        <f>IF(O3459="","",IF(O3459&gt;0,1,0))</f>
        <v/>
      </c>
    </row>
    <row r="3460">
      <c r="A3460" s="5" t="n">
        <v>2111000000</v>
      </c>
      <c r="B3460" s="5" t="inlineStr">
        <is>
          <t>101358</t>
        </is>
      </c>
      <c r="C3460" s="5" t="inlineStr">
        <is>
          <t>MUNICIPIO DE LAJES</t>
        </is>
      </c>
      <c r="D3460" s="5" t="inlineStr">
        <is>
          <t>UE</t>
        </is>
      </c>
      <c r="E3460" s="5" t="n">
        <v>200012010</v>
      </c>
      <c r="F3460" s="5" t="inlineStr">
        <is>
          <t>16844</t>
        </is>
      </c>
      <c r="G3460" s="5" t="inlineStr">
        <is>
          <t>BRL</t>
        </is>
      </c>
      <c r="H3460" s="9" t="n">
        <v>-26926.46</v>
      </c>
      <c r="I3460" s="16" t="n">
        <v>44883</v>
      </c>
      <c r="J3460" s="16" t="n">
        <v>44883</v>
      </c>
      <c r="K3460" s="5" t="inlineStr">
        <is>
          <t>1136862</t>
        </is>
      </c>
      <c r="L3460" s="5" t="inlineStr">
        <is>
          <t>475100.210211</t>
        </is>
      </c>
      <c r="M3460" s="5">
        <f>IF(YEAR(I3460)&lt;=2020,"Até 2020",TEXT(YEAR(I3460),"0"))</f>
        <v/>
      </c>
      <c r="N3460" s="5">
        <f>IFERROR(INDEX(DePara!$A:$A,MATCH(TEXT(B3460,"0"),DePara!$D:$D,0)),"(sem categoria)")</f>
        <v/>
      </c>
      <c r="O3460" s="5">
        <f>IF(J3460="","",Parametros!$B$6-J3460)</f>
        <v/>
      </c>
      <c r="P3460" s="5">
        <f>IF(O3460="","",IF(O3460&gt;0,1,0))</f>
        <v/>
      </c>
    </row>
    <row r="3461">
      <c r="A3461" s="5" t="n">
        <v>2111000000</v>
      </c>
      <c r="B3461" s="5" t="inlineStr">
        <is>
          <t>101358</t>
        </is>
      </c>
      <c r="C3461" s="5" t="inlineStr">
        <is>
          <t>MUNICIPIO DE LAJES</t>
        </is>
      </c>
      <c r="D3461" s="5" t="inlineStr">
        <is>
          <t>UE</t>
        </is>
      </c>
      <c r="E3461" s="5" t="n">
        <v>200012015</v>
      </c>
      <c r="F3461" s="5" t="inlineStr">
        <is>
          <t>16849</t>
        </is>
      </c>
      <c r="G3461" s="5" t="inlineStr">
        <is>
          <t>BRL</t>
        </is>
      </c>
      <c r="H3461" s="9" t="n">
        <v>-10340.59</v>
      </c>
      <c r="I3461" s="16" t="n">
        <v>44876</v>
      </c>
      <c r="J3461" s="16" t="n">
        <v>44876</v>
      </c>
      <c r="K3461" s="5" t="inlineStr">
        <is>
          <t>1142015</t>
        </is>
      </c>
      <c r="L3461" s="5" t="inlineStr">
        <is>
          <t>475100.210211</t>
        </is>
      </c>
      <c r="M3461" s="5">
        <f>IF(YEAR(I3461)&lt;=2020,"Até 2020",TEXT(YEAR(I3461),"0"))</f>
        <v/>
      </c>
      <c r="N3461" s="5">
        <f>IFERROR(INDEX(DePara!$A:$A,MATCH(TEXT(B3461,"0"),DePara!$D:$D,0)),"(sem categoria)")</f>
        <v/>
      </c>
      <c r="O3461" s="5">
        <f>IF(J3461="","",Parametros!$B$6-J3461)</f>
        <v/>
      </c>
      <c r="P3461" s="5">
        <f>IF(O3461="","",IF(O3461&gt;0,1,0))</f>
        <v/>
      </c>
    </row>
    <row r="3462">
      <c r="A3462" s="5" t="n">
        <v>2111000000</v>
      </c>
      <c r="B3462" s="5" t="inlineStr">
        <is>
          <t>101358</t>
        </is>
      </c>
      <c r="C3462" s="5" t="inlineStr">
        <is>
          <t>MUNICIPIO DE LAJES</t>
        </is>
      </c>
      <c r="D3462" s="5" t="inlineStr">
        <is>
          <t>UE</t>
        </is>
      </c>
      <c r="E3462" s="5" t="n">
        <v>200012017</v>
      </c>
      <c r="F3462" s="5" t="inlineStr">
        <is>
          <t>16850</t>
        </is>
      </c>
      <c r="G3462" s="5" t="inlineStr">
        <is>
          <t>BRL</t>
        </is>
      </c>
      <c r="H3462" s="9" t="n">
        <v>-4719.08</v>
      </c>
      <c r="I3462" s="16" t="n">
        <v>44876</v>
      </c>
      <c r="J3462" s="16" t="n">
        <v>44876</v>
      </c>
      <c r="K3462" s="5" t="inlineStr">
        <is>
          <t>1142019</t>
        </is>
      </c>
      <c r="L3462" s="5" t="inlineStr">
        <is>
          <t>475100.210211</t>
        </is>
      </c>
      <c r="M3462" s="5">
        <f>IF(YEAR(I3462)&lt;=2020,"Até 2020",TEXT(YEAR(I3462),"0"))</f>
        <v/>
      </c>
      <c r="N3462" s="5">
        <f>IFERROR(INDEX(DePara!$A:$A,MATCH(TEXT(B3462,"0"),DePara!$D:$D,0)),"(sem categoria)")</f>
        <v/>
      </c>
      <c r="O3462" s="5">
        <f>IF(J3462="","",Parametros!$B$6-J3462)</f>
        <v/>
      </c>
      <c r="P3462" s="5">
        <f>IF(O3462="","",IF(O3462&gt;0,1,0))</f>
        <v/>
      </c>
    </row>
    <row r="3463">
      <c r="A3463" s="5" t="n">
        <v>2111000000</v>
      </c>
      <c r="B3463" s="5" t="inlineStr">
        <is>
          <t>101763</t>
        </is>
      </c>
      <c r="C3463" s="5" t="inlineStr">
        <is>
          <t>MUNICIPIO DE LAGOA DO BARRO DO PIAU</t>
        </is>
      </c>
      <c r="D3463" s="5" t="inlineStr">
        <is>
          <t>UE</t>
        </is>
      </c>
      <c r="E3463" s="5" t="n">
        <v>200012018</v>
      </c>
      <c r="F3463" s="5" t="inlineStr">
        <is>
          <t>16851</t>
        </is>
      </c>
      <c r="G3463" s="5" t="inlineStr">
        <is>
          <t>BRL</t>
        </is>
      </c>
      <c r="H3463" s="9" t="n">
        <v>-20995.19</v>
      </c>
      <c r="I3463" s="16" t="n">
        <v>44883</v>
      </c>
      <c r="J3463" s="16" t="n">
        <v>44883</v>
      </c>
      <c r="K3463" s="5" t="inlineStr">
        <is>
          <t>1142186</t>
        </is>
      </c>
      <c r="L3463" s="5" t="inlineStr">
        <is>
          <t>475100.210211</t>
        </is>
      </c>
      <c r="M3463" s="5">
        <f>IF(YEAR(I3463)&lt;=2020,"Até 2020",TEXT(YEAR(I3463),"0"))</f>
        <v/>
      </c>
      <c r="N3463" s="5">
        <f>IFERROR(INDEX(DePara!$A:$A,MATCH(TEXT(B3463,"0"),DePara!$D:$D,0)),"(sem categoria)")</f>
        <v/>
      </c>
      <c r="O3463" s="5">
        <f>IF(J3463="","",Parametros!$B$6-J3463)</f>
        <v/>
      </c>
      <c r="P3463" s="5">
        <f>IF(O3463="","",IF(O3463&gt;0,1,0))</f>
        <v/>
      </c>
    </row>
    <row r="3464">
      <c r="A3464" s="5" t="n">
        <v>2111000000</v>
      </c>
      <c r="B3464" s="5" t="inlineStr">
        <is>
          <t>101358</t>
        </is>
      </c>
      <c r="C3464" s="5" t="inlineStr">
        <is>
          <t>MUNICIPIO DE LAJES</t>
        </is>
      </c>
      <c r="D3464" s="5" t="inlineStr">
        <is>
          <t>UE</t>
        </is>
      </c>
      <c r="E3464" s="5" t="n">
        <v>200012023</v>
      </c>
      <c r="F3464" s="5" t="inlineStr">
        <is>
          <t>16856</t>
        </is>
      </c>
      <c r="G3464" s="5" t="inlineStr">
        <is>
          <t>BRL</t>
        </is>
      </c>
      <c r="H3464" s="9" t="n">
        <v>-55571.22</v>
      </c>
      <c r="I3464" s="16" t="n">
        <v>44883</v>
      </c>
      <c r="J3464" s="16" t="n">
        <v>44883</v>
      </c>
      <c r="K3464" s="5" t="inlineStr">
        <is>
          <t>1143833</t>
        </is>
      </c>
      <c r="L3464" s="5" t="inlineStr">
        <is>
          <t>475100.210211</t>
        </is>
      </c>
      <c r="M3464" s="5">
        <f>IF(YEAR(I3464)&lt;=2020,"Até 2020",TEXT(YEAR(I3464),"0"))</f>
        <v/>
      </c>
      <c r="N3464" s="5">
        <f>IFERROR(INDEX(DePara!$A:$A,MATCH(TEXT(B3464,"0"),DePara!$D:$D,0)),"(sem categoria)")</f>
        <v/>
      </c>
      <c r="O3464" s="5">
        <f>IF(J3464="","",Parametros!$B$6-J3464)</f>
        <v/>
      </c>
      <c r="P3464" s="5">
        <f>IF(O3464="","",IF(O3464&gt;0,1,0))</f>
        <v/>
      </c>
    </row>
    <row r="3465">
      <c r="A3465" s="5" t="n">
        <v>2111000000</v>
      </c>
      <c r="B3465" s="5" t="inlineStr">
        <is>
          <t>101358</t>
        </is>
      </c>
      <c r="C3465" s="5" t="inlineStr">
        <is>
          <t>MUNICIPIO DE LAJES</t>
        </is>
      </c>
      <c r="D3465" s="5" t="inlineStr">
        <is>
          <t>UE</t>
        </is>
      </c>
      <c r="E3465" s="5" t="n">
        <v>200012024</v>
      </c>
      <c r="F3465" s="5" t="inlineStr">
        <is>
          <t>16857</t>
        </is>
      </c>
      <c r="G3465" s="5" t="inlineStr">
        <is>
          <t>BRL</t>
        </is>
      </c>
      <c r="H3465" s="9" t="n">
        <v>-35269.61</v>
      </c>
      <c r="I3465" s="16" t="n">
        <v>44914</v>
      </c>
      <c r="J3465" s="16" t="n">
        <v>44914</v>
      </c>
      <c r="K3465" s="5" t="inlineStr">
        <is>
          <t>1146123</t>
        </is>
      </c>
      <c r="L3465" s="5" t="inlineStr">
        <is>
          <t>475100.210211</t>
        </is>
      </c>
      <c r="M3465" s="5">
        <f>IF(YEAR(I3465)&lt;=2020,"Até 2020",TEXT(YEAR(I3465),"0"))</f>
        <v/>
      </c>
      <c r="N3465" s="5">
        <f>IFERROR(INDEX(DePara!$A:$A,MATCH(TEXT(B3465,"0"),DePara!$D:$D,0)),"(sem categoria)")</f>
        <v/>
      </c>
      <c r="O3465" s="5">
        <f>IF(J3465="","",Parametros!$B$6-J3465)</f>
        <v/>
      </c>
      <c r="P3465" s="5">
        <f>IF(O3465="","",IF(O3465&gt;0,1,0))</f>
        <v/>
      </c>
    </row>
    <row r="3466">
      <c r="A3466" s="5" t="n">
        <v>2111000000</v>
      </c>
      <c r="B3466" s="5" t="inlineStr">
        <is>
          <t>101358</t>
        </is>
      </c>
      <c r="C3466" s="5" t="inlineStr">
        <is>
          <t>MUNICIPIO DE LAJES</t>
        </is>
      </c>
      <c r="D3466" s="5" t="inlineStr">
        <is>
          <t>UE</t>
        </is>
      </c>
      <c r="E3466" s="5" t="n">
        <v>200012025</v>
      </c>
      <c r="F3466" s="5" t="inlineStr">
        <is>
          <t>16858</t>
        </is>
      </c>
      <c r="G3466" s="5" t="inlineStr">
        <is>
          <t>BRL</t>
        </is>
      </c>
      <c r="H3466" s="9" t="n">
        <v>-54878.01</v>
      </c>
      <c r="I3466" s="16" t="n">
        <v>44914</v>
      </c>
      <c r="J3466" s="16" t="n">
        <v>44914</v>
      </c>
      <c r="K3466" s="5" t="inlineStr">
        <is>
          <t>1148312</t>
        </is>
      </c>
      <c r="L3466" s="5" t="inlineStr">
        <is>
          <t>475100.210211</t>
        </is>
      </c>
      <c r="M3466" s="5">
        <f>IF(YEAR(I3466)&lt;=2020,"Até 2020",TEXT(YEAR(I3466),"0"))</f>
        <v/>
      </c>
      <c r="N3466" s="5">
        <f>IFERROR(INDEX(DePara!$A:$A,MATCH(TEXT(B3466,"0"),DePara!$D:$D,0)),"(sem categoria)")</f>
        <v/>
      </c>
      <c r="O3466" s="5">
        <f>IF(J3466="","",Parametros!$B$6-J3466)</f>
        <v/>
      </c>
      <c r="P3466" s="5">
        <f>IF(O3466="","",IF(O3466&gt;0,1,0))</f>
        <v/>
      </c>
    </row>
    <row r="3467">
      <c r="A3467" s="5" t="n">
        <v>2111000000</v>
      </c>
      <c r="B3467" s="5" t="inlineStr">
        <is>
          <t>101358</t>
        </is>
      </c>
      <c r="C3467" s="5" t="inlineStr">
        <is>
          <t>MUNICIPIO DE LAJES</t>
        </is>
      </c>
      <c r="D3467" s="5" t="inlineStr">
        <is>
          <t>UE</t>
        </is>
      </c>
      <c r="E3467" s="5" t="n">
        <v>200012037</v>
      </c>
      <c r="F3467" s="5" t="inlineStr">
        <is>
          <t>16869</t>
        </is>
      </c>
      <c r="G3467" s="5" t="inlineStr">
        <is>
          <t>BRL</t>
        </is>
      </c>
      <c r="H3467" s="9" t="n">
        <v>-33166.74</v>
      </c>
      <c r="I3467" s="16" t="n">
        <v>44965</v>
      </c>
      <c r="J3467" s="16" t="n">
        <v>44965</v>
      </c>
      <c r="K3467" s="5" t="inlineStr">
        <is>
          <t>1165135</t>
        </is>
      </c>
      <c r="L3467" s="5" t="inlineStr">
        <is>
          <t>475100.210211</t>
        </is>
      </c>
      <c r="M3467" s="5">
        <f>IF(YEAR(I3467)&lt;=2020,"Até 2020",TEXT(YEAR(I3467),"0"))</f>
        <v/>
      </c>
      <c r="N3467" s="5">
        <f>IFERROR(INDEX(DePara!$A:$A,MATCH(TEXT(B3467,"0"),DePara!$D:$D,0)),"(sem categoria)")</f>
        <v/>
      </c>
      <c r="O3467" s="5">
        <f>IF(J3467="","",Parametros!$B$6-J3467)</f>
        <v/>
      </c>
      <c r="P3467" s="5">
        <f>IF(O3467="","",IF(O3467&gt;0,1,0))</f>
        <v/>
      </c>
    </row>
    <row r="3468">
      <c r="A3468" s="5" t="n">
        <v>2111000000</v>
      </c>
      <c r="B3468" s="5" t="inlineStr">
        <is>
          <t>101358</t>
        </is>
      </c>
      <c r="C3468" s="5" t="inlineStr">
        <is>
          <t>MUNICIPIO DE LAJES</t>
        </is>
      </c>
      <c r="D3468" s="5" t="inlineStr">
        <is>
          <t>UE</t>
        </is>
      </c>
      <c r="E3468" s="5" t="n">
        <v>200012041</v>
      </c>
      <c r="F3468" s="5" t="inlineStr">
        <is>
          <t>16872</t>
        </is>
      </c>
      <c r="G3468" s="5" t="inlineStr">
        <is>
          <t>BRL</t>
        </is>
      </c>
      <c r="H3468" s="9" t="n">
        <v>-12123.69</v>
      </c>
      <c r="I3468" s="16" t="n">
        <v>45000</v>
      </c>
      <c r="J3468" s="16" t="n">
        <v>45000</v>
      </c>
      <c r="K3468" s="5" t="inlineStr">
        <is>
          <t>1166239</t>
        </is>
      </c>
      <c r="L3468" s="5" t="inlineStr">
        <is>
          <t>475100.210211</t>
        </is>
      </c>
      <c r="M3468" s="5">
        <f>IF(YEAR(I3468)&lt;=2020,"Até 2020",TEXT(YEAR(I3468),"0"))</f>
        <v/>
      </c>
      <c r="N3468" s="5">
        <f>IFERROR(INDEX(DePara!$A:$A,MATCH(TEXT(B3468,"0"),DePara!$D:$D,0)),"(sem categoria)")</f>
        <v/>
      </c>
      <c r="O3468" s="5">
        <f>IF(J3468="","",Parametros!$B$6-J3468)</f>
        <v/>
      </c>
      <c r="P3468" s="5">
        <f>IF(O3468="","",IF(O3468&gt;0,1,0))</f>
        <v/>
      </c>
    </row>
    <row r="3469">
      <c r="A3469" s="5" t="n">
        <v>2111000000</v>
      </c>
      <c r="B3469" s="5" t="inlineStr">
        <is>
          <t>101358</t>
        </is>
      </c>
      <c r="C3469" s="5" t="inlineStr">
        <is>
          <t>MUNICIPIO DE LAJES</t>
        </is>
      </c>
      <c r="D3469" s="5" t="inlineStr">
        <is>
          <t>UE</t>
        </is>
      </c>
      <c r="E3469" s="5" t="n">
        <v>200012042</v>
      </c>
      <c r="F3469" s="5" t="inlineStr">
        <is>
          <t>16873</t>
        </is>
      </c>
      <c r="G3469" s="5" t="inlineStr">
        <is>
          <t>BRL</t>
        </is>
      </c>
      <c r="H3469" s="9" t="n">
        <v>-48685.46</v>
      </c>
      <c r="I3469" s="16" t="n">
        <v>45000</v>
      </c>
      <c r="J3469" s="16" t="n">
        <v>45000</v>
      </c>
      <c r="K3469" s="5" t="inlineStr">
        <is>
          <t>1166241</t>
        </is>
      </c>
      <c r="L3469" s="5" t="inlineStr">
        <is>
          <t>475100.210211</t>
        </is>
      </c>
      <c r="M3469" s="5">
        <f>IF(YEAR(I3469)&lt;=2020,"Até 2020",TEXT(YEAR(I3469),"0"))</f>
        <v/>
      </c>
      <c r="N3469" s="5">
        <f>IFERROR(INDEX(DePara!$A:$A,MATCH(TEXT(B3469,"0"),DePara!$D:$D,0)),"(sem categoria)")</f>
        <v/>
      </c>
      <c r="O3469" s="5">
        <f>IF(J3469="","",Parametros!$B$6-J3469)</f>
        <v/>
      </c>
      <c r="P3469" s="5">
        <f>IF(O3469="","",IF(O3469&gt;0,1,0))</f>
        <v/>
      </c>
    </row>
    <row r="3470">
      <c r="A3470" s="5" t="n">
        <v>2111000000</v>
      </c>
      <c r="B3470" s="5" t="inlineStr">
        <is>
          <t>100759</t>
        </is>
      </c>
      <c r="C3470" s="5" t="inlineStr">
        <is>
          <t>MUNICIPIO DE UIBAI</t>
        </is>
      </c>
      <c r="D3470" s="5" t="inlineStr">
        <is>
          <t>UE</t>
        </is>
      </c>
      <c r="E3470" s="5" t="n">
        <v>200012061</v>
      </c>
      <c r="F3470" s="5" t="inlineStr">
        <is>
          <t>16890</t>
        </is>
      </c>
      <c r="G3470" s="5" t="inlineStr">
        <is>
          <t>BRL</t>
        </is>
      </c>
      <c r="H3470" s="9" t="n">
        <v>-960</v>
      </c>
      <c r="I3470" s="16" t="n">
        <v>44995</v>
      </c>
      <c r="J3470" s="16" t="n">
        <v>44995</v>
      </c>
      <c r="K3470" s="5" t="inlineStr">
        <is>
          <t>1166212</t>
        </is>
      </c>
      <c r="L3470" s="5" t="inlineStr">
        <is>
          <t>475100.210211</t>
        </is>
      </c>
      <c r="M3470" s="5">
        <f>IF(YEAR(I3470)&lt;=2020,"Até 2020",TEXT(YEAR(I3470),"0"))</f>
        <v/>
      </c>
      <c r="N3470" s="5">
        <f>IFERROR(INDEX(DePara!$A:$A,MATCH(TEXT(B3470,"0"),DePara!$D:$D,0)),"(sem categoria)")</f>
        <v/>
      </c>
      <c r="O3470" s="5">
        <f>IF(J3470="","",Parametros!$B$6-J3470)</f>
        <v/>
      </c>
      <c r="P3470" s="5">
        <f>IF(O3470="","",IF(O3470&gt;0,1,0))</f>
        <v/>
      </c>
    </row>
    <row r="3471">
      <c r="A3471" s="5" t="n">
        <v>2111000000</v>
      </c>
      <c r="B3471" s="5" t="inlineStr">
        <is>
          <t>101763</t>
        </is>
      </c>
      <c r="C3471" s="5" t="inlineStr">
        <is>
          <t>MUNICIPIO DE LAGOA DO BARRO DO PIAU</t>
        </is>
      </c>
      <c r="D3471" s="5" t="inlineStr">
        <is>
          <t>UE</t>
        </is>
      </c>
      <c r="E3471" s="5" t="n">
        <v>200012077</v>
      </c>
      <c r="F3471" s="5" t="inlineStr">
        <is>
          <t>16904</t>
        </is>
      </c>
      <c r="G3471" s="5" t="inlineStr">
        <is>
          <t>BRL</t>
        </is>
      </c>
      <c r="H3471" s="9" t="n">
        <v>-2275</v>
      </c>
      <c r="I3471" s="16" t="n">
        <v>44988</v>
      </c>
      <c r="J3471" s="16" t="n">
        <v>44988</v>
      </c>
      <c r="K3471" s="5" t="inlineStr">
        <is>
          <t>1164164</t>
        </is>
      </c>
      <c r="L3471" s="5" t="inlineStr">
        <is>
          <t>475100.210211</t>
        </is>
      </c>
      <c r="M3471" s="5">
        <f>IF(YEAR(I3471)&lt;=2020,"Até 2020",TEXT(YEAR(I3471),"0"))</f>
        <v/>
      </c>
      <c r="N3471" s="5">
        <f>IFERROR(INDEX(DePara!$A:$A,MATCH(TEXT(B3471,"0"),DePara!$D:$D,0)),"(sem categoria)")</f>
        <v/>
      </c>
      <c r="O3471" s="5">
        <f>IF(J3471="","",Parametros!$B$6-J3471)</f>
        <v/>
      </c>
      <c r="P3471" s="5">
        <f>IF(O3471="","",IF(O3471&gt;0,1,0))</f>
        <v/>
      </c>
    </row>
    <row r="3472">
      <c r="A3472" s="5" t="n">
        <v>2111000000</v>
      </c>
      <c r="B3472" s="5" t="inlineStr">
        <is>
          <t>101763</t>
        </is>
      </c>
      <c r="C3472" s="5" t="inlineStr">
        <is>
          <t>MUNICIPIO DE LAGOA DO BARRO DO PIAU</t>
        </is>
      </c>
      <c r="D3472" s="5" t="inlineStr">
        <is>
          <t>UE</t>
        </is>
      </c>
      <c r="E3472" s="5" t="n">
        <v>200012078</v>
      </c>
      <c r="F3472" s="5" t="inlineStr">
        <is>
          <t>16905</t>
        </is>
      </c>
      <c r="G3472" s="5" t="inlineStr">
        <is>
          <t>BRL</t>
        </is>
      </c>
      <c r="H3472" s="9" t="n">
        <v>-2275</v>
      </c>
      <c r="I3472" s="16" t="n">
        <v>44988</v>
      </c>
      <c r="J3472" s="16" t="n">
        <v>44988</v>
      </c>
      <c r="K3472" s="5" t="inlineStr">
        <is>
          <t>1164166</t>
        </is>
      </c>
      <c r="L3472" s="5" t="inlineStr">
        <is>
          <t>475100.210211</t>
        </is>
      </c>
      <c r="M3472" s="5">
        <f>IF(YEAR(I3472)&lt;=2020,"Até 2020",TEXT(YEAR(I3472),"0"))</f>
        <v/>
      </c>
      <c r="N3472" s="5">
        <f>IFERROR(INDEX(DePara!$A:$A,MATCH(TEXT(B3472,"0"),DePara!$D:$D,0)),"(sem categoria)")</f>
        <v/>
      </c>
      <c r="O3472" s="5">
        <f>IF(J3472="","",Parametros!$B$6-J3472)</f>
        <v/>
      </c>
      <c r="P3472" s="5">
        <f>IF(O3472="","",IF(O3472&gt;0,1,0))</f>
        <v/>
      </c>
    </row>
    <row r="3473">
      <c r="A3473" s="5" t="n">
        <v>2111000000</v>
      </c>
      <c r="B3473" s="5" t="inlineStr">
        <is>
          <t>101763</t>
        </is>
      </c>
      <c r="C3473" s="5" t="inlineStr">
        <is>
          <t>MUNICIPIO DE LAGOA DO BARRO DO PIAU</t>
        </is>
      </c>
      <c r="D3473" s="5" t="inlineStr">
        <is>
          <t>UE</t>
        </is>
      </c>
      <c r="E3473" s="5" t="n">
        <v>200012079</v>
      </c>
      <c r="F3473" s="5" t="inlineStr">
        <is>
          <t>16906</t>
        </is>
      </c>
      <c r="G3473" s="5" t="inlineStr">
        <is>
          <t>BRL</t>
        </is>
      </c>
      <c r="H3473" s="9" t="n">
        <v>-2275</v>
      </c>
      <c r="I3473" s="16" t="n">
        <v>44988</v>
      </c>
      <c r="J3473" s="16" t="n">
        <v>44988</v>
      </c>
      <c r="K3473" s="5" t="inlineStr">
        <is>
          <t>1164168</t>
        </is>
      </c>
      <c r="L3473" s="5" t="inlineStr">
        <is>
          <t>475100.210211</t>
        </is>
      </c>
      <c r="M3473" s="5">
        <f>IF(YEAR(I3473)&lt;=2020,"Até 2020",TEXT(YEAR(I3473),"0"))</f>
        <v/>
      </c>
      <c r="N3473" s="5">
        <f>IFERROR(INDEX(DePara!$A:$A,MATCH(TEXT(B3473,"0"),DePara!$D:$D,0)),"(sem categoria)")</f>
        <v/>
      </c>
      <c r="O3473" s="5">
        <f>IF(J3473="","",Parametros!$B$6-J3473)</f>
        <v/>
      </c>
      <c r="P3473" s="5">
        <f>IF(O3473="","",IF(O3473&gt;0,1,0))</f>
        <v/>
      </c>
    </row>
    <row r="3474">
      <c r="A3474" s="5" t="n">
        <v>2111000000</v>
      </c>
      <c r="B3474" s="5" t="inlineStr">
        <is>
          <t>101763</t>
        </is>
      </c>
      <c r="C3474" s="5" t="inlineStr">
        <is>
          <t>MUNICIPIO DE LAGOA DO BARRO DO PIAU</t>
        </is>
      </c>
      <c r="D3474" s="5" t="inlineStr">
        <is>
          <t>UE</t>
        </is>
      </c>
      <c r="E3474" s="5" t="n">
        <v>200012080</v>
      </c>
      <c r="F3474" s="5" t="inlineStr">
        <is>
          <t>16907</t>
        </is>
      </c>
      <c r="G3474" s="5" t="inlineStr">
        <is>
          <t>BRL</t>
        </is>
      </c>
      <c r="H3474" s="9" t="n">
        <v>-2275</v>
      </c>
      <c r="I3474" s="16" t="n">
        <v>44988</v>
      </c>
      <c r="J3474" s="16" t="n">
        <v>44988</v>
      </c>
      <c r="K3474" s="5" t="inlineStr">
        <is>
          <t>1164170</t>
        </is>
      </c>
      <c r="L3474" s="5" t="inlineStr">
        <is>
          <t>475100.210211</t>
        </is>
      </c>
      <c r="M3474" s="5">
        <f>IF(YEAR(I3474)&lt;=2020,"Até 2020",TEXT(YEAR(I3474),"0"))</f>
        <v/>
      </c>
      <c r="N3474" s="5">
        <f>IFERROR(INDEX(DePara!$A:$A,MATCH(TEXT(B3474,"0"),DePara!$D:$D,0)),"(sem categoria)")</f>
        <v/>
      </c>
      <c r="O3474" s="5">
        <f>IF(J3474="","",Parametros!$B$6-J3474)</f>
        <v/>
      </c>
      <c r="P3474" s="5">
        <f>IF(O3474="","",IF(O3474&gt;0,1,0))</f>
        <v/>
      </c>
    </row>
    <row r="3475">
      <c r="A3475" s="5" t="n">
        <v>2111000000</v>
      </c>
      <c r="B3475" s="5" t="inlineStr">
        <is>
          <t>101763</t>
        </is>
      </c>
      <c r="C3475" s="5" t="inlineStr">
        <is>
          <t>MUNICIPIO DE LAGOA DO BARRO DO PIAU</t>
        </is>
      </c>
      <c r="D3475" s="5" t="inlineStr">
        <is>
          <t>UE</t>
        </is>
      </c>
      <c r="E3475" s="5" t="n">
        <v>200012081</v>
      </c>
      <c r="F3475" s="5" t="inlineStr">
        <is>
          <t>16908</t>
        </is>
      </c>
      <c r="G3475" s="5" t="inlineStr">
        <is>
          <t>BRL</t>
        </is>
      </c>
      <c r="H3475" s="9" t="n">
        <v>-2277.5</v>
      </c>
      <c r="I3475" s="16" t="n">
        <v>45065</v>
      </c>
      <c r="J3475" s="16" t="n">
        <v>45065</v>
      </c>
      <c r="K3475" s="5" t="inlineStr">
        <is>
          <t>1173449</t>
        </is>
      </c>
      <c r="L3475" s="5" t="inlineStr">
        <is>
          <t>475100.210211</t>
        </is>
      </c>
      <c r="M3475" s="5">
        <f>IF(YEAR(I3475)&lt;=2020,"Até 2020",TEXT(YEAR(I3475),"0"))</f>
        <v/>
      </c>
      <c r="N3475" s="5">
        <f>IFERROR(INDEX(DePara!$A:$A,MATCH(TEXT(B3475,"0"),DePara!$D:$D,0)),"(sem categoria)")</f>
        <v/>
      </c>
      <c r="O3475" s="5">
        <f>IF(J3475="","",Parametros!$B$6-J3475)</f>
        <v/>
      </c>
      <c r="P3475" s="5">
        <f>IF(O3475="","",IF(O3475&gt;0,1,0))</f>
        <v/>
      </c>
    </row>
    <row r="3476">
      <c r="A3476" s="5" t="n">
        <v>2111000000</v>
      </c>
      <c r="B3476" s="5" t="inlineStr">
        <is>
          <t>101763</t>
        </is>
      </c>
      <c r="C3476" s="5" t="inlineStr">
        <is>
          <t>MUNICIPIO DE LAGOA DO BARRO DO PIAU</t>
        </is>
      </c>
      <c r="D3476" s="5" t="inlineStr">
        <is>
          <t>UE</t>
        </is>
      </c>
      <c r="E3476" s="5" t="n">
        <v>200012082</v>
      </c>
      <c r="F3476" s="5" t="inlineStr">
        <is>
          <t>16909</t>
        </is>
      </c>
      <c r="G3476" s="5" t="inlineStr">
        <is>
          <t>BRL</t>
        </is>
      </c>
      <c r="H3476" s="9" t="n">
        <v>-2277.5</v>
      </c>
      <c r="I3476" s="16" t="n">
        <v>45036</v>
      </c>
      <c r="J3476" s="16" t="n">
        <v>45036</v>
      </c>
      <c r="K3476" s="5" t="inlineStr">
        <is>
          <t>1175221</t>
        </is>
      </c>
      <c r="L3476" s="5" t="inlineStr">
        <is>
          <t>475100.210211</t>
        </is>
      </c>
      <c r="M3476" s="5">
        <f>IF(YEAR(I3476)&lt;=2020,"Até 2020",TEXT(YEAR(I3476),"0"))</f>
        <v/>
      </c>
      <c r="N3476" s="5">
        <f>IFERROR(INDEX(DePara!$A:$A,MATCH(TEXT(B3476,"0"),DePara!$D:$D,0)),"(sem categoria)")</f>
        <v/>
      </c>
      <c r="O3476" s="5">
        <f>IF(J3476="","",Parametros!$B$6-J3476)</f>
        <v/>
      </c>
      <c r="P3476" s="5">
        <f>IF(O3476="","",IF(O3476&gt;0,1,0))</f>
        <v/>
      </c>
    </row>
    <row r="3477">
      <c r="A3477" s="5" t="n">
        <v>2111000000</v>
      </c>
      <c r="B3477" s="5" t="inlineStr">
        <is>
          <t>101763</t>
        </is>
      </c>
      <c r="C3477" s="5" t="inlineStr">
        <is>
          <t>MUNICIPIO DE LAGOA DO BARRO DO PIAU</t>
        </is>
      </c>
      <c r="D3477" s="5" t="inlineStr">
        <is>
          <t>UE</t>
        </is>
      </c>
      <c r="E3477" s="5" t="n">
        <v>200012084</v>
      </c>
      <c r="F3477" s="5" t="inlineStr">
        <is>
          <t>16910</t>
        </is>
      </c>
      <c r="G3477" s="5" t="inlineStr">
        <is>
          <t>BRL</t>
        </is>
      </c>
      <c r="H3477" s="9" t="n">
        <v>-2657.84</v>
      </c>
      <c r="I3477" s="16" t="n">
        <v>45097</v>
      </c>
      <c r="J3477" s="16" t="n">
        <v>45097</v>
      </c>
      <c r="K3477" s="5" t="inlineStr">
        <is>
          <t>1178318</t>
        </is>
      </c>
      <c r="L3477" s="5" t="inlineStr">
        <is>
          <t>475100.210211</t>
        </is>
      </c>
      <c r="M3477" s="5">
        <f>IF(YEAR(I3477)&lt;=2020,"Até 2020",TEXT(YEAR(I3477),"0"))</f>
        <v/>
      </c>
      <c r="N3477" s="5">
        <f>IFERROR(INDEX(DePara!$A:$A,MATCH(TEXT(B3477,"0"),DePara!$D:$D,0)),"(sem categoria)")</f>
        <v/>
      </c>
      <c r="O3477" s="5">
        <f>IF(J3477="","",Parametros!$B$6-J3477)</f>
        <v/>
      </c>
      <c r="P3477" s="5">
        <f>IF(O3477="","",IF(O3477&gt;0,1,0))</f>
        <v/>
      </c>
    </row>
    <row r="3478">
      <c r="A3478" s="5" t="n">
        <v>2111000000</v>
      </c>
      <c r="B3478" s="5" t="inlineStr">
        <is>
          <t>101763</t>
        </is>
      </c>
      <c r="C3478" s="5" t="inlineStr">
        <is>
          <t>MUNICIPIO DE LAGOA DO BARRO DO PIAU</t>
        </is>
      </c>
      <c r="D3478" s="5" t="inlineStr">
        <is>
          <t>UE</t>
        </is>
      </c>
      <c r="E3478" s="5" t="n">
        <v>200012086</v>
      </c>
      <c r="F3478" s="5" t="inlineStr">
        <is>
          <t>16912</t>
        </is>
      </c>
      <c r="G3478" s="5" t="inlineStr">
        <is>
          <t>BRL</t>
        </is>
      </c>
      <c r="H3478" s="9" t="n">
        <v>-4555</v>
      </c>
      <c r="I3478" s="16" t="n">
        <v>45127</v>
      </c>
      <c r="J3478" s="16" t="n">
        <v>45127</v>
      </c>
      <c r="K3478" s="5" t="inlineStr">
        <is>
          <t>1182331</t>
        </is>
      </c>
      <c r="L3478" s="5" t="inlineStr">
        <is>
          <t>475100.210211</t>
        </is>
      </c>
      <c r="M3478" s="5">
        <f>IF(YEAR(I3478)&lt;=2020,"Até 2020",TEXT(YEAR(I3478),"0"))</f>
        <v/>
      </c>
      <c r="N3478" s="5">
        <f>IFERROR(INDEX(DePara!$A:$A,MATCH(TEXT(B3478,"0"),DePara!$D:$D,0)),"(sem categoria)")</f>
        <v/>
      </c>
      <c r="O3478" s="5">
        <f>IF(J3478="","",Parametros!$B$6-J3478)</f>
        <v/>
      </c>
      <c r="P3478" s="5">
        <f>IF(O3478="","",IF(O3478&gt;0,1,0))</f>
        <v/>
      </c>
    </row>
    <row r="3479">
      <c r="A3479" s="5" t="n">
        <v>2111000000</v>
      </c>
      <c r="B3479" s="5" t="inlineStr">
        <is>
          <t>101358</t>
        </is>
      </c>
      <c r="C3479" s="5" t="inlineStr">
        <is>
          <t>MUNICIPIO DE LAJES</t>
        </is>
      </c>
      <c r="D3479" s="5" t="inlineStr">
        <is>
          <t>UE</t>
        </is>
      </c>
      <c r="E3479" s="5" t="n">
        <v>200012088</v>
      </c>
      <c r="F3479" s="5" t="inlineStr">
        <is>
          <t>16914</t>
        </is>
      </c>
      <c r="G3479" s="5" t="inlineStr">
        <is>
          <t>BRL</t>
        </is>
      </c>
      <c r="H3479" s="9" t="n">
        <v>-3192.49</v>
      </c>
      <c r="I3479" s="16" t="n">
        <v>44929</v>
      </c>
      <c r="J3479" s="16" t="n">
        <v>44929</v>
      </c>
      <c r="K3479" s="5" t="inlineStr">
        <is>
          <t>1152188</t>
        </is>
      </c>
      <c r="L3479" s="5" t="inlineStr">
        <is>
          <t>475100.210211</t>
        </is>
      </c>
      <c r="M3479" s="5">
        <f>IF(YEAR(I3479)&lt;=2020,"Até 2020",TEXT(YEAR(I3479),"0"))</f>
        <v/>
      </c>
      <c r="N3479" s="5">
        <f>IFERROR(INDEX(DePara!$A:$A,MATCH(TEXT(B3479,"0"),DePara!$D:$D,0)),"(sem categoria)")</f>
        <v/>
      </c>
      <c r="O3479" s="5">
        <f>IF(J3479="","",Parametros!$B$6-J3479)</f>
        <v/>
      </c>
      <c r="P3479" s="5">
        <f>IF(O3479="","",IF(O3479&gt;0,1,0))</f>
        <v/>
      </c>
    </row>
    <row r="3480">
      <c r="A3480" s="5" t="n">
        <v>2111000000</v>
      </c>
      <c r="B3480" s="5" t="inlineStr">
        <is>
          <t>101358</t>
        </is>
      </c>
      <c r="C3480" s="5" t="inlineStr">
        <is>
          <t>MUNICIPIO DE LAJES</t>
        </is>
      </c>
      <c r="D3480" s="5" t="inlineStr">
        <is>
          <t>UE</t>
        </is>
      </c>
      <c r="E3480" s="5" t="n">
        <v>200012090</v>
      </c>
      <c r="F3480" s="5" t="inlineStr">
        <is>
          <t>16916</t>
        </is>
      </c>
      <c r="G3480" s="5" t="inlineStr">
        <is>
          <t>BRL</t>
        </is>
      </c>
      <c r="H3480" s="9" t="n">
        <v>-3318.96</v>
      </c>
      <c r="I3480" s="16" t="n">
        <v>44993</v>
      </c>
      <c r="J3480" s="16" t="n">
        <v>44993</v>
      </c>
      <c r="K3480" s="5" t="inlineStr">
        <is>
          <t>1161295</t>
        </is>
      </c>
      <c r="L3480" s="5" t="inlineStr">
        <is>
          <t>475100.210211</t>
        </is>
      </c>
      <c r="M3480" s="5">
        <f>IF(YEAR(I3480)&lt;=2020,"Até 2020",TEXT(YEAR(I3480),"0"))</f>
        <v/>
      </c>
      <c r="N3480" s="5">
        <f>IFERROR(INDEX(DePara!$A:$A,MATCH(TEXT(B3480,"0"),DePara!$D:$D,0)),"(sem categoria)")</f>
        <v/>
      </c>
      <c r="O3480" s="5">
        <f>IF(J3480="","",Parametros!$B$6-J3480)</f>
        <v/>
      </c>
      <c r="P3480" s="5">
        <f>IF(O3480="","",IF(O3480&gt;0,1,0))</f>
        <v/>
      </c>
    </row>
    <row r="3481">
      <c r="A3481" s="5" t="n">
        <v>2111000000</v>
      </c>
      <c r="B3481" s="5" t="inlineStr">
        <is>
          <t>101358</t>
        </is>
      </c>
      <c r="C3481" s="5" t="inlineStr">
        <is>
          <t>MUNICIPIO DE LAJES</t>
        </is>
      </c>
      <c r="D3481" s="5" t="inlineStr">
        <is>
          <t>UE</t>
        </is>
      </c>
      <c r="E3481" s="5" t="n">
        <v>200012091</v>
      </c>
      <c r="F3481" s="5" t="inlineStr">
        <is>
          <t>16917</t>
        </is>
      </c>
      <c r="G3481" s="5" t="inlineStr">
        <is>
          <t>BRL</t>
        </is>
      </c>
      <c r="H3481" s="9" t="n">
        <v>-632.5</v>
      </c>
      <c r="I3481" s="16" t="n">
        <v>45019</v>
      </c>
      <c r="J3481" s="16" t="n">
        <v>45019</v>
      </c>
      <c r="K3481" s="5" t="inlineStr">
        <is>
          <t>1166641</t>
        </is>
      </c>
      <c r="L3481" s="5" t="inlineStr">
        <is>
          <t>475100.210211</t>
        </is>
      </c>
      <c r="M3481" s="5">
        <f>IF(YEAR(I3481)&lt;=2020,"Até 2020",TEXT(YEAR(I3481),"0"))</f>
        <v/>
      </c>
      <c r="N3481" s="5">
        <f>IFERROR(INDEX(DePara!$A:$A,MATCH(TEXT(B3481,"0"),DePara!$D:$D,0)),"(sem categoria)")</f>
        <v/>
      </c>
      <c r="O3481" s="5">
        <f>IF(J3481="","",Parametros!$B$6-J3481)</f>
        <v/>
      </c>
      <c r="P3481" s="5">
        <f>IF(O3481="","",IF(O3481&gt;0,1,0))</f>
        <v/>
      </c>
    </row>
    <row r="3482">
      <c r="A3482" s="5" t="n">
        <v>2111000000</v>
      </c>
      <c r="B3482" s="5" t="inlineStr">
        <is>
          <t>101358</t>
        </is>
      </c>
      <c r="C3482" s="5" t="inlineStr">
        <is>
          <t>MUNICIPIO DE LAJES</t>
        </is>
      </c>
      <c r="D3482" s="5" t="inlineStr">
        <is>
          <t>UE</t>
        </is>
      </c>
      <c r="E3482" s="5" t="n">
        <v>200012092</v>
      </c>
      <c r="F3482" s="5" t="inlineStr">
        <is>
          <t>16918</t>
        </is>
      </c>
      <c r="G3482" s="5" t="inlineStr">
        <is>
          <t>BRL</t>
        </is>
      </c>
      <c r="H3482" s="9" t="n">
        <v>-2255</v>
      </c>
      <c r="I3482" s="16" t="n">
        <v>45019</v>
      </c>
      <c r="J3482" s="16" t="n">
        <v>45019</v>
      </c>
      <c r="K3482" s="5" t="inlineStr">
        <is>
          <t>1166644</t>
        </is>
      </c>
      <c r="L3482" s="5" t="inlineStr">
        <is>
          <t>475100.210211</t>
        </is>
      </c>
      <c r="M3482" s="5">
        <f>IF(YEAR(I3482)&lt;=2020,"Até 2020",TEXT(YEAR(I3482),"0"))</f>
        <v/>
      </c>
      <c r="N3482" s="5">
        <f>IFERROR(INDEX(DePara!$A:$A,MATCH(TEXT(B3482,"0"),DePara!$D:$D,0)),"(sem categoria)")</f>
        <v/>
      </c>
      <c r="O3482" s="5">
        <f>IF(J3482="","",Parametros!$B$6-J3482)</f>
        <v/>
      </c>
      <c r="P3482" s="5">
        <f>IF(O3482="","",IF(O3482&gt;0,1,0))</f>
        <v/>
      </c>
    </row>
    <row r="3483">
      <c r="A3483" s="5" t="n">
        <v>2111000000</v>
      </c>
      <c r="B3483" s="5" t="inlineStr">
        <is>
          <t>101969</t>
        </is>
      </c>
      <c r="C3483" s="5" t="inlineStr">
        <is>
          <t>SECRETARIA DE ESTADO DA FAZENDA RN</t>
        </is>
      </c>
      <c r="D3483" s="5" t="inlineStr">
        <is>
          <t>UE</t>
        </is>
      </c>
      <c r="E3483" s="5" t="n">
        <v>200015641</v>
      </c>
      <c r="F3483" s="5" t="inlineStr">
        <is>
          <t>13274</t>
        </is>
      </c>
      <c r="G3483" s="5" t="inlineStr">
        <is>
          <t>BRL</t>
        </is>
      </c>
      <c r="H3483" s="9" t="n">
        <v>-72</v>
      </c>
      <c r="I3483" s="16" t="n">
        <v>44700</v>
      </c>
      <c r="J3483" s="16" t="n">
        <v>44700</v>
      </c>
      <c r="K3483" s="5" t="inlineStr">
        <is>
          <t>000000547001</t>
        </is>
      </c>
      <c r="L3483" s="5" t="inlineStr">
        <is>
          <t>475000.210215</t>
        </is>
      </c>
      <c r="M3483" s="5">
        <f>IF(YEAR(I3483)&lt;=2020,"Até 2020",TEXT(YEAR(I3483),"0"))</f>
        <v/>
      </c>
      <c r="N3483" s="5">
        <f>IFERROR(INDEX(DePara!$A:$A,MATCH(TEXT(B3483,"0"),DePara!$D:$D,0)),"(sem categoria)")</f>
        <v/>
      </c>
      <c r="O3483" s="5">
        <f>IF(J3483="","",Parametros!$B$6-J3483)</f>
        <v/>
      </c>
      <c r="P3483" s="5">
        <f>IF(O3483="","",IF(O3483&gt;0,1,0))</f>
        <v/>
      </c>
    </row>
    <row r="3484">
      <c r="A3484" s="5" t="n">
        <v>2111000000</v>
      </c>
      <c r="B3484" s="5" t="inlineStr">
        <is>
          <t>101969</t>
        </is>
      </c>
      <c r="C3484" s="5" t="inlineStr">
        <is>
          <t>SECRETARIA DE ESTADO DA FAZENDA RN</t>
        </is>
      </c>
      <c r="D3484" s="5" t="inlineStr">
        <is>
          <t>UE</t>
        </is>
      </c>
      <c r="E3484" s="5" t="n">
        <v>200015642</v>
      </c>
      <c r="F3484" s="5" t="inlineStr">
        <is>
          <t>13275</t>
        </is>
      </c>
      <c r="G3484" s="5" t="inlineStr">
        <is>
          <t>BRL</t>
        </is>
      </c>
      <c r="H3484" s="9" t="n">
        <v>-72</v>
      </c>
      <c r="I3484" s="16" t="n">
        <v>44770</v>
      </c>
      <c r="J3484" s="16" t="n">
        <v>44770</v>
      </c>
      <c r="K3484" s="5" t="inlineStr">
        <is>
          <t>000000628001</t>
        </is>
      </c>
      <c r="L3484" s="5" t="inlineStr">
        <is>
          <t>475000.210215</t>
        </is>
      </c>
      <c r="M3484" s="5">
        <f>IF(YEAR(I3484)&lt;=2020,"Até 2020",TEXT(YEAR(I3484),"0"))</f>
        <v/>
      </c>
      <c r="N3484" s="5">
        <f>IFERROR(INDEX(DePara!$A:$A,MATCH(TEXT(B3484,"0"),DePara!$D:$D,0)),"(sem categoria)")</f>
        <v/>
      </c>
      <c r="O3484" s="5">
        <f>IF(J3484="","",Parametros!$B$6-J3484)</f>
        <v/>
      </c>
      <c r="P3484" s="5">
        <f>IF(O3484="","",IF(O3484&gt;0,1,0))</f>
        <v/>
      </c>
    </row>
    <row r="3485">
      <c r="A3485" s="5" t="n">
        <v>2111000000</v>
      </c>
      <c r="B3485" s="5" t="inlineStr">
        <is>
          <t>101969</t>
        </is>
      </c>
      <c r="C3485" s="5" t="inlineStr">
        <is>
          <t>SECRETARIA DE ESTADO DA FAZENDA RN</t>
        </is>
      </c>
      <c r="D3485" s="5" t="inlineStr">
        <is>
          <t>UE</t>
        </is>
      </c>
      <c r="E3485" s="5" t="n">
        <v>200015643</v>
      </c>
      <c r="F3485" s="5" t="inlineStr">
        <is>
          <t>13276</t>
        </is>
      </c>
      <c r="G3485" s="5" t="inlineStr">
        <is>
          <t>BRL</t>
        </is>
      </c>
      <c r="H3485" s="9" t="n">
        <v>-218.18</v>
      </c>
      <c r="I3485" s="16" t="n">
        <v>44782</v>
      </c>
      <c r="J3485" s="16" t="n">
        <v>44782</v>
      </c>
      <c r="K3485" s="5" t="inlineStr">
        <is>
          <t>000021036001</t>
        </is>
      </c>
      <c r="L3485" s="5" t="inlineStr">
        <is>
          <t>475000.210215</t>
        </is>
      </c>
      <c r="M3485" s="5">
        <f>IF(YEAR(I3485)&lt;=2020,"Até 2020",TEXT(YEAR(I3485),"0"))</f>
        <v/>
      </c>
      <c r="N3485" s="5">
        <f>IFERROR(INDEX(DePara!$A:$A,MATCH(TEXT(B3485,"0"),DePara!$D:$D,0)),"(sem categoria)")</f>
        <v/>
      </c>
      <c r="O3485" s="5">
        <f>IF(J3485="","",Parametros!$B$6-J3485)</f>
        <v/>
      </c>
      <c r="P3485" s="5">
        <f>IF(O3485="","",IF(O3485&gt;0,1,0))</f>
        <v/>
      </c>
    </row>
    <row r="3486">
      <c r="A3486" s="5" t="n">
        <v>2111000000</v>
      </c>
      <c r="B3486" s="5" t="inlineStr">
        <is>
          <t>101746</t>
        </is>
      </c>
      <c r="C3486" s="5" t="inlineStr">
        <is>
          <t>SECRETARIA DA FAZENDA DO ESTADO DO</t>
        </is>
      </c>
      <c r="D3486" s="5" t="inlineStr">
        <is>
          <t>UE</t>
        </is>
      </c>
      <c r="E3486" s="5" t="n">
        <v>200015652</v>
      </c>
      <c r="F3486" s="5" t="inlineStr">
        <is>
          <t>13284</t>
        </is>
      </c>
      <c r="G3486" s="5" t="inlineStr">
        <is>
          <t>BRL</t>
        </is>
      </c>
      <c r="H3486" s="9" t="n">
        <v>-417.26</v>
      </c>
      <c r="I3486" s="16" t="n">
        <v>45106</v>
      </c>
      <c r="J3486" s="16" t="n">
        <v>45106</v>
      </c>
      <c r="K3486" s="5" t="inlineStr">
        <is>
          <t>000021992001</t>
        </is>
      </c>
      <c r="L3486" s="5" t="inlineStr">
        <is>
          <t>475000.210215</t>
        </is>
      </c>
      <c r="M3486" s="5">
        <f>IF(YEAR(I3486)&lt;=2020,"Até 2020",TEXT(YEAR(I3486),"0"))</f>
        <v/>
      </c>
      <c r="N3486" s="5">
        <f>IFERROR(INDEX(DePara!$A:$A,MATCH(TEXT(B3486,"0"),DePara!$D:$D,0)),"(sem categoria)")</f>
        <v/>
      </c>
      <c r="O3486" s="5">
        <f>IF(J3486="","",Parametros!$B$6-J3486)</f>
        <v/>
      </c>
      <c r="P3486" s="5">
        <f>IF(O3486="","",IF(O3486&gt;0,1,0))</f>
        <v/>
      </c>
    </row>
    <row r="3487">
      <c r="A3487" s="5" t="n">
        <v>2111000000</v>
      </c>
      <c r="B3487" s="5" t="inlineStr">
        <is>
          <t>101969</t>
        </is>
      </c>
      <c r="C3487" s="5" t="inlineStr">
        <is>
          <t>SECRETARIA DE ESTADO DA FAZENDA RN</t>
        </is>
      </c>
      <c r="D3487" s="5" t="inlineStr">
        <is>
          <t>UE</t>
        </is>
      </c>
      <c r="E3487" s="5" t="n">
        <v>200015653</v>
      </c>
      <c r="F3487" s="5" t="inlineStr">
        <is>
          <t>13285</t>
        </is>
      </c>
      <c r="G3487" s="5" t="inlineStr">
        <is>
          <t>BRL</t>
        </is>
      </c>
      <c r="H3487" s="9" t="n">
        <v>-420</v>
      </c>
      <c r="I3487" s="16" t="n">
        <v>44642</v>
      </c>
      <c r="J3487" s="16" t="n">
        <v>44642</v>
      </c>
      <c r="K3487" s="5" t="inlineStr">
        <is>
          <t>000001941001</t>
        </is>
      </c>
      <c r="L3487" s="5" t="inlineStr">
        <is>
          <t>475000.210215</t>
        </is>
      </c>
      <c r="M3487" s="5">
        <f>IF(YEAR(I3487)&lt;=2020,"Até 2020",TEXT(YEAR(I3487),"0"))</f>
        <v/>
      </c>
      <c r="N3487" s="5">
        <f>IFERROR(INDEX(DePara!$A:$A,MATCH(TEXT(B3487,"0"),DePara!$D:$D,0)),"(sem categoria)")</f>
        <v/>
      </c>
      <c r="O3487" s="5">
        <f>IF(J3487="","",Parametros!$B$6-J3487)</f>
        <v/>
      </c>
      <c r="P3487" s="5">
        <f>IF(O3487="","",IF(O3487&gt;0,1,0))</f>
        <v/>
      </c>
    </row>
    <row r="3488">
      <c r="A3488" s="5" t="n">
        <v>2111000000</v>
      </c>
      <c r="B3488" s="5" t="inlineStr">
        <is>
          <t>101969</t>
        </is>
      </c>
      <c r="C3488" s="5" t="inlineStr">
        <is>
          <t>SECRETARIA DE ESTADO DA FAZENDA RN</t>
        </is>
      </c>
      <c r="D3488" s="5" t="inlineStr">
        <is>
          <t>UE</t>
        </is>
      </c>
      <c r="E3488" s="5" t="n">
        <v>200015654</v>
      </c>
      <c r="F3488" s="5" t="inlineStr">
        <is>
          <t>13286</t>
        </is>
      </c>
      <c r="G3488" s="5" t="inlineStr">
        <is>
          <t>BRL</t>
        </is>
      </c>
      <c r="H3488" s="9" t="n">
        <v>-59.69</v>
      </c>
      <c r="I3488" s="16" t="n">
        <v>44895</v>
      </c>
      <c r="J3488" s="16" t="n">
        <v>44895</v>
      </c>
      <c r="K3488" s="5" t="inlineStr">
        <is>
          <t>000002090001</t>
        </is>
      </c>
      <c r="L3488" s="5" t="inlineStr">
        <is>
          <t>475000.210215</t>
        </is>
      </c>
      <c r="M3488" s="5">
        <f>IF(YEAR(I3488)&lt;=2020,"Até 2020",TEXT(YEAR(I3488),"0"))</f>
        <v/>
      </c>
      <c r="N3488" s="5">
        <f>IFERROR(INDEX(DePara!$A:$A,MATCH(TEXT(B3488,"0"),DePara!$D:$D,0)),"(sem categoria)")</f>
        <v/>
      </c>
      <c r="O3488" s="5">
        <f>IF(J3488="","",Parametros!$B$6-J3488)</f>
        <v/>
      </c>
      <c r="P3488" s="5">
        <f>IF(O3488="","",IF(O3488&gt;0,1,0))</f>
        <v/>
      </c>
    </row>
    <row r="3489">
      <c r="A3489" s="5" t="n">
        <v>2111000000</v>
      </c>
      <c r="B3489" s="5" t="inlineStr">
        <is>
          <t>101969</t>
        </is>
      </c>
      <c r="C3489" s="5" t="inlineStr">
        <is>
          <t>SECRETARIA DE ESTADO DA FAZENDA RN</t>
        </is>
      </c>
      <c r="D3489" s="5" t="inlineStr">
        <is>
          <t>UE</t>
        </is>
      </c>
      <c r="E3489" s="5" t="n">
        <v>200015655</v>
      </c>
      <c r="F3489" s="5" t="inlineStr">
        <is>
          <t>13287</t>
        </is>
      </c>
      <c r="G3489" s="5" t="inlineStr">
        <is>
          <t>BRL</t>
        </is>
      </c>
      <c r="H3489" s="9" t="n">
        <v>-66.05</v>
      </c>
      <c r="I3489" s="16" t="n">
        <v>44895</v>
      </c>
      <c r="J3489" s="16" t="n">
        <v>44895</v>
      </c>
      <c r="K3489" s="5" t="inlineStr">
        <is>
          <t>000002089001</t>
        </is>
      </c>
      <c r="L3489" s="5" t="inlineStr">
        <is>
          <t>475000.210215</t>
        </is>
      </c>
      <c r="M3489" s="5">
        <f>IF(YEAR(I3489)&lt;=2020,"Até 2020",TEXT(YEAR(I3489),"0"))</f>
        <v/>
      </c>
      <c r="N3489" s="5">
        <f>IFERROR(INDEX(DePara!$A:$A,MATCH(TEXT(B3489,"0"),DePara!$D:$D,0)),"(sem categoria)")</f>
        <v/>
      </c>
      <c r="O3489" s="5">
        <f>IF(J3489="","",Parametros!$B$6-J3489)</f>
        <v/>
      </c>
      <c r="P3489" s="5">
        <f>IF(O3489="","",IF(O3489&gt;0,1,0))</f>
        <v/>
      </c>
    </row>
    <row r="3490">
      <c r="A3490" s="5" t="n">
        <v>2111000000</v>
      </c>
      <c r="B3490" s="5" t="inlineStr">
        <is>
          <t>101746</t>
        </is>
      </c>
      <c r="C3490" s="5" t="inlineStr">
        <is>
          <t>SECRETARIA DA FAZENDA DO ESTADO DO</t>
        </is>
      </c>
      <c r="D3490" s="5" t="inlineStr">
        <is>
          <t>UE</t>
        </is>
      </c>
      <c r="E3490" s="5" t="n">
        <v>200015656</v>
      </c>
      <c r="F3490" s="5" t="inlineStr">
        <is>
          <t>13288</t>
        </is>
      </c>
      <c r="G3490" s="5" t="inlineStr">
        <is>
          <t>BRL</t>
        </is>
      </c>
      <c r="H3490" s="9" t="n">
        <v>-1035.36</v>
      </c>
      <c r="I3490" s="16" t="n">
        <v>44892</v>
      </c>
      <c r="J3490" s="16" t="n">
        <v>44892</v>
      </c>
      <c r="K3490" s="5" t="inlineStr">
        <is>
          <t>000000545001</t>
        </is>
      </c>
      <c r="L3490" s="5" t="inlineStr">
        <is>
          <t>475000.210215</t>
        </is>
      </c>
      <c r="M3490" s="5">
        <f>IF(YEAR(I3490)&lt;=2020,"Até 2020",TEXT(YEAR(I3490),"0"))</f>
        <v/>
      </c>
      <c r="N3490" s="5">
        <f>IFERROR(INDEX(DePara!$A:$A,MATCH(TEXT(B3490,"0"),DePara!$D:$D,0)),"(sem categoria)")</f>
        <v/>
      </c>
      <c r="O3490" s="5">
        <f>IF(J3490="","",Parametros!$B$6-J3490)</f>
        <v/>
      </c>
      <c r="P3490" s="5">
        <f>IF(O3490="","",IF(O3490&gt;0,1,0))</f>
        <v/>
      </c>
    </row>
    <row r="3491">
      <c r="A3491" s="5" t="n">
        <v>2111000000</v>
      </c>
      <c r="B3491" s="5" t="inlineStr">
        <is>
          <t>101569</t>
        </is>
      </c>
      <c r="C3491" s="5" t="inlineStr">
        <is>
          <t>SECRETARIA DA FAZENDA CEARA</t>
        </is>
      </c>
      <c r="D3491" s="5" t="inlineStr">
        <is>
          <t>UE</t>
        </is>
      </c>
      <c r="E3491" s="5" t="n">
        <v>200015657</v>
      </c>
      <c r="F3491" s="5" t="inlineStr">
        <is>
          <t>13289</t>
        </is>
      </c>
      <c r="G3491" s="5" t="inlineStr">
        <is>
          <t>BRL</t>
        </is>
      </c>
      <c r="H3491" s="9" t="n">
        <v>-54</v>
      </c>
      <c r="I3491" s="16" t="n">
        <v>45030</v>
      </c>
      <c r="J3491" s="16" t="n">
        <v>45030</v>
      </c>
      <c r="K3491" s="5" t="inlineStr">
        <is>
          <t>000000611001</t>
        </is>
      </c>
      <c r="L3491" s="5" t="inlineStr">
        <is>
          <t>475000.210215</t>
        </is>
      </c>
      <c r="M3491" s="5">
        <f>IF(YEAR(I3491)&lt;=2020,"Até 2020",TEXT(YEAR(I3491),"0"))</f>
        <v/>
      </c>
      <c r="N3491" s="5">
        <f>IFERROR(INDEX(DePara!$A:$A,MATCH(TEXT(B3491,"0"),DePara!$D:$D,0)),"(sem categoria)")</f>
        <v/>
      </c>
      <c r="O3491" s="5">
        <f>IF(J3491="","",Parametros!$B$6-J3491)</f>
        <v/>
      </c>
      <c r="P3491" s="5">
        <f>IF(O3491="","",IF(O3491&gt;0,1,0))</f>
        <v/>
      </c>
    </row>
    <row r="3492">
      <c r="A3492" s="5" t="n">
        <v>2111000000</v>
      </c>
      <c r="B3492" s="5" t="inlineStr">
        <is>
          <t>101969</t>
        </is>
      </c>
      <c r="C3492" s="5" t="inlineStr">
        <is>
          <t>SECRETARIA DE ESTADO DA FAZENDA RN</t>
        </is>
      </c>
      <c r="D3492" s="5" t="inlineStr">
        <is>
          <t>UE</t>
        </is>
      </c>
      <c r="E3492" s="5" t="n">
        <v>200015666</v>
      </c>
      <c r="F3492" s="5" t="inlineStr">
        <is>
          <t>13297</t>
        </is>
      </c>
      <c r="G3492" s="5" t="inlineStr">
        <is>
          <t>BRL</t>
        </is>
      </c>
      <c r="H3492" s="9" t="n">
        <v>-832.87</v>
      </c>
      <c r="I3492" s="16" t="n">
        <v>45063</v>
      </c>
      <c r="J3492" s="16" t="n">
        <v>45063</v>
      </c>
      <c r="K3492" s="5" t="inlineStr">
        <is>
          <t>000017905002</t>
        </is>
      </c>
      <c r="L3492" s="5" t="inlineStr">
        <is>
          <t>475000.210215</t>
        </is>
      </c>
      <c r="M3492" s="5">
        <f>IF(YEAR(I3492)&lt;=2020,"Até 2020",TEXT(YEAR(I3492),"0"))</f>
        <v/>
      </c>
      <c r="N3492" s="5">
        <f>IFERROR(INDEX(DePara!$A:$A,MATCH(TEXT(B3492,"0"),DePara!$D:$D,0)),"(sem categoria)")</f>
        <v/>
      </c>
      <c r="O3492" s="5">
        <f>IF(J3492="","",Parametros!$B$6-J3492)</f>
        <v/>
      </c>
      <c r="P3492" s="5">
        <f>IF(O3492="","",IF(O3492&gt;0,1,0))</f>
        <v/>
      </c>
    </row>
    <row r="3493">
      <c r="A3493" s="5" t="n">
        <v>2111000000</v>
      </c>
      <c r="B3493" s="5" t="inlineStr">
        <is>
          <t>101746</t>
        </is>
      </c>
      <c r="C3493" s="5" t="inlineStr">
        <is>
          <t>SECRETARIA DA FAZENDA DO ESTADO DO</t>
        </is>
      </c>
      <c r="D3493" s="5" t="inlineStr">
        <is>
          <t>UE</t>
        </is>
      </c>
      <c r="E3493" s="5" t="n">
        <v>200015668</v>
      </c>
      <c r="F3493" s="5" t="inlineStr">
        <is>
          <t>13299</t>
        </is>
      </c>
      <c r="G3493" s="5" t="inlineStr">
        <is>
          <t>BRL</t>
        </is>
      </c>
      <c r="H3493" s="9" t="n">
        <v>-3400.69</v>
      </c>
      <c r="I3493" s="16" t="n">
        <v>45058</v>
      </c>
      <c r="J3493" s="16" t="n">
        <v>45058</v>
      </c>
      <c r="K3493" s="5" t="inlineStr">
        <is>
          <t>000017856002</t>
        </is>
      </c>
      <c r="L3493" s="5" t="inlineStr">
        <is>
          <t>475000.210215</t>
        </is>
      </c>
      <c r="M3493" s="5">
        <f>IF(YEAR(I3493)&lt;=2020,"Até 2020",TEXT(YEAR(I3493),"0"))</f>
        <v/>
      </c>
      <c r="N3493" s="5">
        <f>IFERROR(INDEX(DePara!$A:$A,MATCH(TEXT(B3493,"0"),DePara!$D:$D,0)),"(sem categoria)")</f>
        <v/>
      </c>
      <c r="O3493" s="5">
        <f>IF(J3493="","",Parametros!$B$6-J3493)</f>
        <v/>
      </c>
      <c r="P3493" s="5">
        <f>IF(O3493="","",IF(O3493&gt;0,1,0))</f>
        <v/>
      </c>
    </row>
    <row r="3494">
      <c r="A3494" s="5" t="n">
        <v>2111000000</v>
      </c>
      <c r="B3494" s="5" t="inlineStr">
        <is>
          <t>101969</t>
        </is>
      </c>
      <c r="C3494" s="5" t="inlineStr">
        <is>
          <t>SECRETARIA DE ESTADO DA FAZENDA RN</t>
        </is>
      </c>
      <c r="D3494" s="5" t="inlineStr">
        <is>
          <t>UE</t>
        </is>
      </c>
      <c r="E3494" s="5" t="n">
        <v>200015709</v>
      </c>
      <c r="F3494" s="5" t="inlineStr">
        <is>
          <t>13335</t>
        </is>
      </c>
      <c r="G3494" s="5" t="inlineStr">
        <is>
          <t>BRL</t>
        </is>
      </c>
      <c r="H3494" s="9" t="n">
        <v>-240</v>
      </c>
      <c r="I3494" s="16" t="n">
        <v>45065</v>
      </c>
      <c r="J3494" s="16" t="n">
        <v>45065</v>
      </c>
      <c r="K3494" s="5" t="inlineStr">
        <is>
          <t>000003538001</t>
        </is>
      </c>
      <c r="L3494" s="5" t="inlineStr">
        <is>
          <t>475000.210215</t>
        </is>
      </c>
      <c r="M3494" s="5">
        <f>IF(YEAR(I3494)&lt;=2020,"Até 2020",TEXT(YEAR(I3494),"0"))</f>
        <v/>
      </c>
      <c r="N3494" s="5">
        <f>IFERROR(INDEX(DePara!$A:$A,MATCH(TEXT(B3494,"0"),DePara!$D:$D,0)),"(sem categoria)")</f>
        <v/>
      </c>
      <c r="O3494" s="5">
        <f>IF(J3494="","",Parametros!$B$6-J3494)</f>
        <v/>
      </c>
      <c r="P3494" s="5">
        <f>IF(O3494="","",IF(O3494&gt;0,1,0))</f>
        <v/>
      </c>
    </row>
    <row r="3495">
      <c r="A3495" s="5" t="n">
        <v>2111000000</v>
      </c>
      <c r="B3495" s="5" t="inlineStr">
        <is>
          <t>101969</t>
        </is>
      </c>
      <c r="C3495" s="5" t="inlineStr">
        <is>
          <t>SECRETARIA DE ESTADO DA FAZENDA RN</t>
        </is>
      </c>
      <c r="D3495" s="5" t="inlineStr">
        <is>
          <t>UE</t>
        </is>
      </c>
      <c r="E3495" s="5" t="n">
        <v>200015710</v>
      </c>
      <c r="F3495" s="5" t="inlineStr">
        <is>
          <t>13336</t>
        </is>
      </c>
      <c r="G3495" s="5" t="inlineStr">
        <is>
          <t>BRL</t>
        </is>
      </c>
      <c r="H3495" s="9" t="n">
        <v>-240</v>
      </c>
      <c r="I3495" s="16" t="n">
        <v>45068</v>
      </c>
      <c r="J3495" s="16" t="n">
        <v>45068</v>
      </c>
      <c r="K3495" s="5" t="inlineStr">
        <is>
          <t>000003547001</t>
        </is>
      </c>
      <c r="L3495" s="5" t="inlineStr">
        <is>
          <t>475000.210215</t>
        </is>
      </c>
      <c r="M3495" s="5">
        <f>IF(YEAR(I3495)&lt;=2020,"Até 2020",TEXT(YEAR(I3495),"0"))</f>
        <v/>
      </c>
      <c r="N3495" s="5">
        <f>IFERROR(INDEX(DePara!$A:$A,MATCH(TEXT(B3495,"0"),DePara!$D:$D,0)),"(sem categoria)")</f>
        <v/>
      </c>
      <c r="O3495" s="5">
        <f>IF(J3495="","",Parametros!$B$6-J3495)</f>
        <v/>
      </c>
      <c r="P3495" s="5">
        <f>IF(O3495="","",IF(O3495&gt;0,1,0))</f>
        <v/>
      </c>
    </row>
    <row r="3496">
      <c r="A3496" s="5" t="n">
        <v>2111000000</v>
      </c>
      <c r="B3496" s="5" t="inlineStr">
        <is>
          <t>101969</t>
        </is>
      </c>
      <c r="C3496" s="5" t="inlineStr">
        <is>
          <t>SECRETARIA DE ESTADO DA FAZENDA RN</t>
        </is>
      </c>
      <c r="D3496" s="5" t="inlineStr">
        <is>
          <t>UE</t>
        </is>
      </c>
      <c r="E3496" s="5" t="n">
        <v>200015742</v>
      </c>
      <c r="F3496" s="5" t="inlineStr">
        <is>
          <t>13365</t>
        </is>
      </c>
      <c r="G3496" s="5" t="inlineStr">
        <is>
          <t>BRL</t>
        </is>
      </c>
      <c r="H3496" s="9" t="n">
        <v>-757.3200000000001</v>
      </c>
      <c r="I3496" s="16" t="n">
        <v>44914</v>
      </c>
      <c r="J3496" s="16" t="n">
        <v>44914</v>
      </c>
      <c r="K3496" s="5" t="inlineStr">
        <is>
          <t>000006408001</t>
        </is>
      </c>
      <c r="L3496" s="5" t="inlineStr">
        <is>
          <t>475000.210215</t>
        </is>
      </c>
      <c r="M3496" s="5">
        <f>IF(YEAR(I3496)&lt;=2020,"Até 2020",TEXT(YEAR(I3496),"0"))</f>
        <v/>
      </c>
      <c r="N3496" s="5">
        <f>IFERROR(INDEX(DePara!$A:$A,MATCH(TEXT(B3496,"0"),DePara!$D:$D,0)),"(sem categoria)")</f>
        <v/>
      </c>
      <c r="O3496" s="5">
        <f>IF(J3496="","",Parametros!$B$6-J3496)</f>
        <v/>
      </c>
      <c r="P3496" s="5">
        <f>IF(O3496="","",IF(O3496&gt;0,1,0))</f>
        <v/>
      </c>
    </row>
    <row r="3497">
      <c r="A3497" s="5" t="n">
        <v>2111000000</v>
      </c>
      <c r="B3497" s="5" t="inlineStr">
        <is>
          <t>103681</t>
        </is>
      </c>
      <c r="C3497" s="5" t="inlineStr">
        <is>
          <t>SECRETARIA DA FAZENDA BAHIA</t>
        </is>
      </c>
      <c r="D3497" s="5" t="inlineStr">
        <is>
          <t>UE</t>
        </is>
      </c>
      <c r="E3497" s="5" t="n">
        <v>200015744</v>
      </c>
      <c r="F3497" s="5" t="inlineStr">
        <is>
          <t>13367</t>
        </is>
      </c>
      <c r="G3497" s="5" t="inlineStr">
        <is>
          <t>BRL</t>
        </is>
      </c>
      <c r="H3497" s="9" t="n">
        <v>-477.6</v>
      </c>
      <c r="I3497" s="16" t="n">
        <v>44692</v>
      </c>
      <c r="J3497" s="16" t="n">
        <v>44692</v>
      </c>
      <c r="K3497" s="5" t="inlineStr">
        <is>
          <t>000010778001</t>
        </is>
      </c>
      <c r="L3497" s="5" t="inlineStr">
        <is>
          <t>475000.210215</t>
        </is>
      </c>
      <c r="M3497" s="5">
        <f>IF(YEAR(I3497)&lt;=2020,"Até 2020",TEXT(YEAR(I3497),"0"))</f>
        <v/>
      </c>
      <c r="N3497" s="5">
        <f>IFERROR(INDEX(DePara!$A:$A,MATCH(TEXT(B3497,"0"),DePara!$D:$D,0)),"(sem categoria)")</f>
        <v/>
      </c>
      <c r="O3497" s="5">
        <f>IF(J3497="","",Parametros!$B$6-J3497)</f>
        <v/>
      </c>
      <c r="P3497" s="5">
        <f>IF(O3497="","",IF(O3497&gt;0,1,0))</f>
        <v/>
      </c>
    </row>
    <row r="3498">
      <c r="A3498" s="5" t="n">
        <v>2111000000</v>
      </c>
      <c r="B3498" s="5" t="inlineStr">
        <is>
          <t>101969</t>
        </is>
      </c>
      <c r="C3498" s="5" t="inlineStr">
        <is>
          <t>SECRETARIA DE ESTADO DA FAZENDA RN</t>
        </is>
      </c>
      <c r="D3498" s="5" t="inlineStr">
        <is>
          <t>UE</t>
        </is>
      </c>
      <c r="E3498" s="5" t="n">
        <v>200015746</v>
      </c>
      <c r="F3498" s="5" t="inlineStr">
        <is>
          <t>13369</t>
        </is>
      </c>
      <c r="G3498" s="5" t="inlineStr">
        <is>
          <t>BRL</t>
        </is>
      </c>
      <c r="H3498" s="9" t="n">
        <v>-190.91</v>
      </c>
      <c r="I3498" s="16" t="n">
        <v>44902</v>
      </c>
      <c r="J3498" s="16" t="n">
        <v>44902</v>
      </c>
      <c r="K3498" s="5" t="inlineStr">
        <is>
          <t>000012069001</t>
        </is>
      </c>
      <c r="L3498" s="5" t="inlineStr">
        <is>
          <t>475000.210215</t>
        </is>
      </c>
      <c r="M3498" s="5">
        <f>IF(YEAR(I3498)&lt;=2020,"Até 2020",TEXT(YEAR(I3498),"0"))</f>
        <v/>
      </c>
      <c r="N3498" s="5">
        <f>IFERROR(INDEX(DePara!$A:$A,MATCH(TEXT(B3498,"0"),DePara!$D:$D,0)),"(sem categoria)")</f>
        <v/>
      </c>
      <c r="O3498" s="5">
        <f>IF(J3498="","",Parametros!$B$6-J3498)</f>
        <v/>
      </c>
      <c r="P3498" s="5">
        <f>IF(O3498="","",IF(O3498&gt;0,1,0))</f>
        <v/>
      </c>
    </row>
    <row r="3499">
      <c r="A3499" s="5" t="n">
        <v>2111000000</v>
      </c>
      <c r="B3499" s="5" t="inlineStr">
        <is>
          <t>101746</t>
        </is>
      </c>
      <c r="C3499" s="5" t="inlineStr">
        <is>
          <t>SECRETARIA DA FAZENDA DO ESTADO DO</t>
        </is>
      </c>
      <c r="D3499" s="5" t="inlineStr">
        <is>
          <t>UE</t>
        </is>
      </c>
      <c r="E3499" s="5" t="n">
        <v>200015748</v>
      </c>
      <c r="F3499" s="5" t="inlineStr">
        <is>
          <t>13370</t>
        </is>
      </c>
      <c r="G3499" s="5" t="inlineStr">
        <is>
          <t>BRL</t>
        </is>
      </c>
      <c r="H3499" s="9" t="n">
        <v>-0.01</v>
      </c>
      <c r="I3499" s="16" t="n">
        <v>44911</v>
      </c>
      <c r="J3499" s="16" t="n">
        <v>44911</v>
      </c>
      <c r="K3499" s="5" t="inlineStr">
        <is>
          <t>000012222001</t>
        </is>
      </c>
      <c r="L3499" s="5" t="inlineStr">
        <is>
          <t>475000.210215</t>
        </is>
      </c>
      <c r="M3499" s="5">
        <f>IF(YEAR(I3499)&lt;=2020,"Até 2020",TEXT(YEAR(I3499),"0"))</f>
        <v/>
      </c>
      <c r="N3499" s="5">
        <f>IFERROR(INDEX(DePara!$A:$A,MATCH(TEXT(B3499,"0"),DePara!$D:$D,0)),"(sem categoria)")</f>
        <v/>
      </c>
      <c r="O3499" s="5">
        <f>IF(J3499="","",Parametros!$B$6-J3499)</f>
        <v/>
      </c>
      <c r="P3499" s="5">
        <f>IF(O3499="","",IF(O3499&gt;0,1,0))</f>
        <v/>
      </c>
    </row>
    <row r="3500">
      <c r="A3500" s="5" t="n">
        <v>2111000000</v>
      </c>
      <c r="B3500" s="5" t="inlineStr">
        <is>
          <t>100830</t>
        </is>
      </c>
      <c r="C3500" s="5" t="inlineStr">
        <is>
          <t>EXPRESSO VALE REAL LTDA</t>
        </is>
      </c>
      <c r="D3500" s="5" t="inlineStr">
        <is>
          <t>UE</t>
        </is>
      </c>
      <c r="E3500" s="5" t="n">
        <v>200015754</v>
      </c>
      <c r="F3500" s="5" t="inlineStr">
        <is>
          <t>13376</t>
        </is>
      </c>
      <c r="G3500" s="5" t="inlineStr">
        <is>
          <t>BRL</t>
        </is>
      </c>
      <c r="H3500" s="9" t="n">
        <v>-3048.28</v>
      </c>
      <c r="I3500" s="16" t="n">
        <v>45092</v>
      </c>
      <c r="J3500" s="16" t="n">
        <v>45092</v>
      </c>
      <c r="K3500" s="5" t="inlineStr">
        <is>
          <t>000015307001</t>
        </is>
      </c>
      <c r="L3500" s="5" t="inlineStr">
        <is>
          <t>400000.210101</t>
        </is>
      </c>
      <c r="M3500" s="5">
        <f>IF(YEAR(I3500)&lt;=2020,"Até 2020",TEXT(YEAR(I3500),"0"))</f>
        <v/>
      </c>
      <c r="N3500" s="5">
        <f>IFERROR(INDEX(DePara!$A:$A,MATCH(TEXT(B3500,"0"),DePara!$D:$D,0)),"(sem categoria)")</f>
        <v/>
      </c>
      <c r="O3500" s="5">
        <f>IF(J3500="","",Parametros!$B$6-J3500)</f>
        <v/>
      </c>
      <c r="P3500" s="5">
        <f>IF(O3500="","",IF(O3500&gt;0,1,0))</f>
        <v/>
      </c>
    </row>
    <row r="3501">
      <c r="A3501" s="5" t="n">
        <v>2111000000</v>
      </c>
      <c r="B3501" s="5" t="inlineStr">
        <is>
          <t>101969</t>
        </is>
      </c>
      <c r="C3501" s="5" t="inlineStr">
        <is>
          <t>SECRETARIA DE ESTADO DA FAZENDA RN</t>
        </is>
      </c>
      <c r="D3501" s="5" t="inlineStr">
        <is>
          <t>UE</t>
        </is>
      </c>
      <c r="E3501" s="5" t="n">
        <v>200015757</v>
      </c>
      <c r="F3501" s="5" t="inlineStr">
        <is>
          <t>13379</t>
        </is>
      </c>
      <c r="G3501" s="5" t="inlineStr">
        <is>
          <t>BRL</t>
        </is>
      </c>
      <c r="H3501" s="9" t="n">
        <v>-690.3</v>
      </c>
      <c r="I3501" s="16" t="n">
        <v>44644</v>
      </c>
      <c r="J3501" s="16" t="n">
        <v>44644</v>
      </c>
      <c r="K3501" s="5" t="inlineStr">
        <is>
          <t>000000482002</t>
        </is>
      </c>
      <c r="L3501" s="5" t="inlineStr">
        <is>
          <t>475000.210215</t>
        </is>
      </c>
      <c r="M3501" s="5">
        <f>IF(YEAR(I3501)&lt;=2020,"Até 2020",TEXT(YEAR(I3501),"0"))</f>
        <v/>
      </c>
      <c r="N3501" s="5">
        <f>IFERROR(INDEX(DePara!$A:$A,MATCH(TEXT(B3501,"0"),DePara!$D:$D,0)),"(sem categoria)")</f>
        <v/>
      </c>
      <c r="O3501" s="5">
        <f>IF(J3501="","",Parametros!$B$6-J3501)</f>
        <v/>
      </c>
      <c r="P3501" s="5">
        <f>IF(O3501="","",IF(O3501&gt;0,1,0))</f>
        <v/>
      </c>
    </row>
    <row r="3502">
      <c r="A3502" s="5" t="n">
        <v>2111000000</v>
      </c>
      <c r="B3502" s="5" t="inlineStr">
        <is>
          <t>101969</t>
        </is>
      </c>
      <c r="C3502" s="5" t="inlineStr">
        <is>
          <t>SECRETARIA DE ESTADO DA FAZENDA RN</t>
        </is>
      </c>
      <c r="D3502" s="5" t="inlineStr">
        <is>
          <t>UE</t>
        </is>
      </c>
      <c r="E3502" s="5" t="n">
        <v>200015759</v>
      </c>
      <c r="F3502" s="5" t="inlineStr">
        <is>
          <t>13380</t>
        </is>
      </c>
      <c r="G3502" s="5" t="inlineStr">
        <is>
          <t>BRL</t>
        </is>
      </c>
      <c r="H3502" s="9" t="n">
        <v>-48</v>
      </c>
      <c r="I3502" s="16" t="n">
        <v>44753</v>
      </c>
      <c r="J3502" s="16" t="n">
        <v>44753</v>
      </c>
      <c r="K3502" s="5" t="inlineStr">
        <is>
          <t>000000659002</t>
        </is>
      </c>
      <c r="L3502" s="5" t="inlineStr">
        <is>
          <t>475000.210215</t>
        </is>
      </c>
      <c r="M3502" s="5">
        <f>IF(YEAR(I3502)&lt;=2020,"Até 2020",TEXT(YEAR(I3502),"0"))</f>
        <v/>
      </c>
      <c r="N3502" s="5">
        <f>IFERROR(INDEX(DePara!$A:$A,MATCH(TEXT(B3502,"0"),DePara!$D:$D,0)),"(sem categoria)")</f>
        <v/>
      </c>
      <c r="O3502" s="5">
        <f>IF(J3502="","",Parametros!$B$6-J3502)</f>
        <v/>
      </c>
      <c r="P3502" s="5">
        <f>IF(O3502="","",IF(O3502&gt;0,1,0))</f>
        <v/>
      </c>
    </row>
    <row r="3503">
      <c r="A3503" s="5" t="n">
        <v>2111000000</v>
      </c>
      <c r="B3503" s="5" t="inlineStr">
        <is>
          <t>101969</t>
        </is>
      </c>
      <c r="C3503" s="5" t="inlineStr">
        <is>
          <t>SECRETARIA DE ESTADO DA FAZENDA RN</t>
        </is>
      </c>
      <c r="D3503" s="5" t="inlineStr">
        <is>
          <t>UE</t>
        </is>
      </c>
      <c r="E3503" s="5" t="n">
        <v>200015760</v>
      </c>
      <c r="F3503" s="5" t="inlineStr">
        <is>
          <t>13381</t>
        </is>
      </c>
      <c r="G3503" s="5" t="inlineStr">
        <is>
          <t>BRL</t>
        </is>
      </c>
      <c r="H3503" s="9" t="n">
        <v>-10.33</v>
      </c>
      <c r="I3503" s="16" t="n">
        <v>44764</v>
      </c>
      <c r="J3503" s="16" t="n">
        <v>44764</v>
      </c>
      <c r="K3503" s="5" t="inlineStr">
        <is>
          <t>000000715002</t>
        </is>
      </c>
      <c r="L3503" s="5" t="inlineStr">
        <is>
          <t>475000.210215</t>
        </is>
      </c>
      <c r="M3503" s="5">
        <f>IF(YEAR(I3503)&lt;=2020,"Até 2020",TEXT(YEAR(I3503),"0"))</f>
        <v/>
      </c>
      <c r="N3503" s="5">
        <f>IFERROR(INDEX(DePara!$A:$A,MATCH(TEXT(B3503,"0"),DePara!$D:$D,0)),"(sem categoria)")</f>
        <v/>
      </c>
      <c r="O3503" s="5">
        <f>IF(J3503="","",Parametros!$B$6-J3503)</f>
        <v/>
      </c>
      <c r="P3503" s="5">
        <f>IF(O3503="","",IF(O3503&gt;0,1,0))</f>
        <v/>
      </c>
    </row>
    <row r="3504">
      <c r="A3504" s="5" t="n">
        <v>2111000000</v>
      </c>
      <c r="B3504" s="5" t="inlineStr">
        <is>
          <t>101969</t>
        </is>
      </c>
      <c r="C3504" s="5" t="inlineStr">
        <is>
          <t>SECRETARIA DE ESTADO DA FAZENDA RN</t>
        </is>
      </c>
      <c r="D3504" s="5" t="inlineStr">
        <is>
          <t>UE</t>
        </is>
      </c>
      <c r="E3504" s="5" t="n">
        <v>200015761</v>
      </c>
      <c r="F3504" s="5" t="inlineStr">
        <is>
          <t>13382</t>
        </is>
      </c>
      <c r="G3504" s="5" t="inlineStr">
        <is>
          <t>BRL</t>
        </is>
      </c>
      <c r="H3504" s="9" t="n">
        <v>-23.3</v>
      </c>
      <c r="I3504" s="16" t="n">
        <v>44756</v>
      </c>
      <c r="J3504" s="16" t="n">
        <v>44756</v>
      </c>
      <c r="K3504" s="5" t="inlineStr">
        <is>
          <t>000000700002</t>
        </is>
      </c>
      <c r="L3504" s="5" t="inlineStr">
        <is>
          <t>475000.210215</t>
        </is>
      </c>
      <c r="M3504" s="5">
        <f>IF(YEAR(I3504)&lt;=2020,"Até 2020",TEXT(YEAR(I3504),"0"))</f>
        <v/>
      </c>
      <c r="N3504" s="5">
        <f>IFERROR(INDEX(DePara!$A:$A,MATCH(TEXT(B3504,"0"),DePara!$D:$D,0)),"(sem categoria)")</f>
        <v/>
      </c>
      <c r="O3504" s="5">
        <f>IF(J3504="","",Parametros!$B$6-J3504)</f>
        <v/>
      </c>
      <c r="P3504" s="5">
        <f>IF(O3504="","",IF(O3504&gt;0,1,0))</f>
        <v/>
      </c>
    </row>
    <row r="3505">
      <c r="A3505" s="5" t="n">
        <v>2111000000</v>
      </c>
      <c r="B3505" s="5" t="inlineStr">
        <is>
          <t>101969</t>
        </is>
      </c>
      <c r="C3505" s="5" t="inlineStr">
        <is>
          <t>SECRETARIA DE ESTADO DA FAZENDA RN</t>
        </is>
      </c>
      <c r="D3505" s="5" t="inlineStr">
        <is>
          <t>UE</t>
        </is>
      </c>
      <c r="E3505" s="5" t="n">
        <v>200015762</v>
      </c>
      <c r="F3505" s="5" t="inlineStr">
        <is>
          <t>13383</t>
        </is>
      </c>
      <c r="G3505" s="5" t="inlineStr">
        <is>
          <t>BRL</t>
        </is>
      </c>
      <c r="H3505" s="9" t="n">
        <v>-89.7</v>
      </c>
      <c r="I3505" s="16" t="n">
        <v>44818</v>
      </c>
      <c r="J3505" s="16" t="n">
        <v>44818</v>
      </c>
      <c r="K3505" s="5" t="inlineStr">
        <is>
          <t>000000813002</t>
        </is>
      </c>
      <c r="L3505" s="5" t="inlineStr">
        <is>
          <t>475000.210215</t>
        </is>
      </c>
      <c r="M3505" s="5">
        <f>IF(YEAR(I3505)&lt;=2020,"Até 2020",TEXT(YEAR(I3505),"0"))</f>
        <v/>
      </c>
      <c r="N3505" s="5">
        <f>IFERROR(INDEX(DePara!$A:$A,MATCH(TEXT(B3505,"0"),DePara!$D:$D,0)),"(sem categoria)")</f>
        <v/>
      </c>
      <c r="O3505" s="5">
        <f>IF(J3505="","",Parametros!$B$6-J3505)</f>
        <v/>
      </c>
      <c r="P3505" s="5">
        <f>IF(O3505="","",IF(O3505&gt;0,1,0))</f>
        <v/>
      </c>
    </row>
    <row r="3506">
      <c r="A3506" s="5" t="n">
        <v>2111000000</v>
      </c>
      <c r="B3506" s="5" t="inlineStr">
        <is>
          <t>101969</t>
        </is>
      </c>
      <c r="C3506" s="5" t="inlineStr">
        <is>
          <t>SECRETARIA DE ESTADO DA FAZENDA RN</t>
        </is>
      </c>
      <c r="D3506" s="5" t="inlineStr">
        <is>
          <t>UE</t>
        </is>
      </c>
      <c r="E3506" s="5" t="n">
        <v>200015763</v>
      </c>
      <c r="F3506" s="5" t="inlineStr">
        <is>
          <t>13384</t>
        </is>
      </c>
      <c r="G3506" s="5" t="inlineStr">
        <is>
          <t>BRL</t>
        </is>
      </c>
      <c r="H3506" s="9" t="n">
        <v>-120</v>
      </c>
      <c r="I3506" s="16" t="n">
        <v>44630</v>
      </c>
      <c r="J3506" s="16" t="n">
        <v>44630</v>
      </c>
      <c r="K3506" s="5" t="inlineStr">
        <is>
          <t>000000458002</t>
        </is>
      </c>
      <c r="L3506" s="5" t="inlineStr">
        <is>
          <t>475000.210215</t>
        </is>
      </c>
      <c r="M3506" s="5">
        <f>IF(YEAR(I3506)&lt;=2020,"Até 2020",TEXT(YEAR(I3506),"0"))</f>
        <v/>
      </c>
      <c r="N3506" s="5">
        <f>IFERROR(INDEX(DePara!$A:$A,MATCH(TEXT(B3506,"0"),DePara!$D:$D,0)),"(sem categoria)")</f>
        <v/>
      </c>
      <c r="O3506" s="5">
        <f>IF(J3506="","",Parametros!$B$6-J3506)</f>
        <v/>
      </c>
      <c r="P3506" s="5">
        <f>IF(O3506="","",IF(O3506&gt;0,1,0))</f>
        <v/>
      </c>
    </row>
    <row r="3507">
      <c r="A3507" s="5" t="n">
        <v>2111000000</v>
      </c>
      <c r="B3507" s="5" t="inlineStr">
        <is>
          <t>101969</t>
        </is>
      </c>
      <c r="C3507" s="5" t="inlineStr">
        <is>
          <t>SECRETARIA DE ESTADO DA FAZENDA RN</t>
        </is>
      </c>
      <c r="D3507" s="5" t="inlineStr">
        <is>
          <t>UE</t>
        </is>
      </c>
      <c r="E3507" s="5" t="n">
        <v>200015764</v>
      </c>
      <c r="F3507" s="5" t="inlineStr">
        <is>
          <t>13385</t>
        </is>
      </c>
      <c r="G3507" s="5" t="inlineStr">
        <is>
          <t>BRL</t>
        </is>
      </c>
      <c r="H3507" s="9" t="n">
        <v>-71.06999999999999</v>
      </c>
      <c r="I3507" s="16" t="n">
        <v>44645</v>
      </c>
      <c r="J3507" s="16" t="n">
        <v>44645</v>
      </c>
      <c r="K3507" s="5" t="inlineStr">
        <is>
          <t>000000486002</t>
        </is>
      </c>
      <c r="L3507" s="5" t="inlineStr">
        <is>
          <t>475000.210215</t>
        </is>
      </c>
      <c r="M3507" s="5">
        <f>IF(YEAR(I3507)&lt;=2020,"Até 2020",TEXT(YEAR(I3507),"0"))</f>
        <v/>
      </c>
      <c r="N3507" s="5">
        <f>IFERROR(INDEX(DePara!$A:$A,MATCH(TEXT(B3507,"0"),DePara!$D:$D,0)),"(sem categoria)")</f>
        <v/>
      </c>
      <c r="O3507" s="5">
        <f>IF(J3507="","",Parametros!$B$6-J3507)</f>
        <v/>
      </c>
      <c r="P3507" s="5">
        <f>IF(O3507="","",IF(O3507&gt;0,1,0))</f>
        <v/>
      </c>
    </row>
    <row r="3508">
      <c r="A3508" s="5" t="n">
        <v>2111000000</v>
      </c>
      <c r="B3508" s="5" t="inlineStr">
        <is>
          <t>101969</t>
        </is>
      </c>
      <c r="C3508" s="5" t="inlineStr">
        <is>
          <t>SECRETARIA DE ESTADO DA FAZENDA RN</t>
        </is>
      </c>
      <c r="D3508" s="5" t="inlineStr">
        <is>
          <t>UE</t>
        </is>
      </c>
      <c r="E3508" s="5" t="n">
        <v>200015765</v>
      </c>
      <c r="F3508" s="5" t="inlineStr">
        <is>
          <t>13386</t>
        </is>
      </c>
      <c r="G3508" s="5" t="inlineStr">
        <is>
          <t>BRL</t>
        </is>
      </c>
      <c r="H3508" s="9" t="n">
        <v>-240</v>
      </c>
      <c r="I3508" s="16" t="n">
        <v>44617</v>
      </c>
      <c r="J3508" s="16" t="n">
        <v>44617</v>
      </c>
      <c r="K3508" s="5" t="inlineStr">
        <is>
          <t>000000443002</t>
        </is>
      </c>
      <c r="L3508" s="5" t="inlineStr">
        <is>
          <t>475000.210215</t>
        </is>
      </c>
      <c r="M3508" s="5">
        <f>IF(YEAR(I3508)&lt;=2020,"Até 2020",TEXT(YEAR(I3508),"0"))</f>
        <v/>
      </c>
      <c r="N3508" s="5">
        <f>IFERROR(INDEX(DePara!$A:$A,MATCH(TEXT(B3508,"0"),DePara!$D:$D,0)),"(sem categoria)")</f>
        <v/>
      </c>
      <c r="O3508" s="5">
        <f>IF(J3508="","",Parametros!$B$6-J3508)</f>
        <v/>
      </c>
      <c r="P3508" s="5">
        <f>IF(O3508="","",IF(O3508&gt;0,1,0))</f>
        <v/>
      </c>
    </row>
    <row r="3509">
      <c r="A3509" s="5" t="n">
        <v>2111000000</v>
      </c>
      <c r="B3509" s="5" t="inlineStr">
        <is>
          <t>101969</t>
        </is>
      </c>
      <c r="C3509" s="5" t="inlineStr">
        <is>
          <t>SECRETARIA DE ESTADO DA FAZENDA RN</t>
        </is>
      </c>
      <c r="D3509" s="5" t="inlineStr">
        <is>
          <t>UE</t>
        </is>
      </c>
      <c r="E3509" s="5" t="n">
        <v>200015766</v>
      </c>
      <c r="F3509" s="5" t="inlineStr">
        <is>
          <t>13387</t>
        </is>
      </c>
      <c r="G3509" s="5" t="inlineStr">
        <is>
          <t>BRL</t>
        </is>
      </c>
      <c r="H3509" s="9" t="n">
        <v>-277.46</v>
      </c>
      <c r="I3509" s="16" t="n">
        <v>44601</v>
      </c>
      <c r="J3509" s="16" t="n">
        <v>44601</v>
      </c>
      <c r="K3509" s="5" t="inlineStr">
        <is>
          <t>000000422002</t>
        </is>
      </c>
      <c r="L3509" s="5" t="inlineStr">
        <is>
          <t>475000.210215</t>
        </is>
      </c>
      <c r="M3509" s="5">
        <f>IF(YEAR(I3509)&lt;=2020,"Até 2020",TEXT(YEAR(I3509),"0"))</f>
        <v/>
      </c>
      <c r="N3509" s="5">
        <f>IFERROR(INDEX(DePara!$A:$A,MATCH(TEXT(B3509,"0"),DePara!$D:$D,0)),"(sem categoria)")</f>
        <v/>
      </c>
      <c r="O3509" s="5">
        <f>IF(J3509="","",Parametros!$B$6-J3509)</f>
        <v/>
      </c>
      <c r="P3509" s="5">
        <f>IF(O3509="","",IF(O3509&gt;0,1,0))</f>
        <v/>
      </c>
    </row>
    <row r="3510">
      <c r="A3510" s="5" t="n">
        <v>2111000000</v>
      </c>
      <c r="B3510" s="5" t="inlineStr">
        <is>
          <t>101969</t>
        </is>
      </c>
      <c r="C3510" s="5" t="inlineStr">
        <is>
          <t>SECRETARIA DE ESTADO DA FAZENDA RN</t>
        </is>
      </c>
      <c r="D3510" s="5" t="inlineStr">
        <is>
          <t>UE</t>
        </is>
      </c>
      <c r="E3510" s="5" t="n">
        <v>200015767</v>
      </c>
      <c r="F3510" s="5" t="inlineStr">
        <is>
          <t>13388</t>
        </is>
      </c>
      <c r="G3510" s="5" t="inlineStr">
        <is>
          <t>BRL</t>
        </is>
      </c>
      <c r="H3510" s="9" t="n">
        <v>-795.34</v>
      </c>
      <c r="I3510" s="16" t="n">
        <v>44601</v>
      </c>
      <c r="J3510" s="16" t="n">
        <v>44601</v>
      </c>
      <c r="K3510" s="5" t="inlineStr">
        <is>
          <t>000000421002</t>
        </is>
      </c>
      <c r="L3510" s="5" t="inlineStr">
        <is>
          <t>475000.210215</t>
        </is>
      </c>
      <c r="M3510" s="5">
        <f>IF(YEAR(I3510)&lt;=2020,"Até 2020",TEXT(YEAR(I3510),"0"))</f>
        <v/>
      </c>
      <c r="N3510" s="5">
        <f>IFERROR(INDEX(DePara!$A:$A,MATCH(TEXT(B3510,"0"),DePara!$D:$D,0)),"(sem categoria)")</f>
        <v/>
      </c>
      <c r="O3510" s="5">
        <f>IF(J3510="","",Parametros!$B$6-J3510)</f>
        <v/>
      </c>
      <c r="P3510" s="5">
        <f>IF(O3510="","",IF(O3510&gt;0,1,0))</f>
        <v/>
      </c>
    </row>
    <row r="3511">
      <c r="A3511" s="5" t="n">
        <v>2111000000</v>
      </c>
      <c r="B3511" s="5" t="inlineStr">
        <is>
          <t>101969</t>
        </is>
      </c>
      <c r="C3511" s="5" t="inlineStr">
        <is>
          <t>SECRETARIA DE ESTADO DA FAZENDA RN</t>
        </is>
      </c>
      <c r="D3511" s="5" t="inlineStr">
        <is>
          <t>UE</t>
        </is>
      </c>
      <c r="E3511" s="5" t="n">
        <v>200015768</v>
      </c>
      <c r="F3511" s="5" t="inlineStr">
        <is>
          <t>13389</t>
        </is>
      </c>
      <c r="G3511" s="5" t="inlineStr">
        <is>
          <t>BRL</t>
        </is>
      </c>
      <c r="H3511" s="9" t="n">
        <v>-1099.68</v>
      </c>
      <c r="I3511" s="16" t="n">
        <v>44558</v>
      </c>
      <c r="J3511" s="16" t="n">
        <v>44558</v>
      </c>
      <c r="K3511" s="5" t="inlineStr">
        <is>
          <t>000000355002</t>
        </is>
      </c>
      <c r="L3511" s="5" t="inlineStr">
        <is>
          <t>475000.210215</t>
        </is>
      </c>
      <c r="M3511" s="5">
        <f>IF(YEAR(I3511)&lt;=2020,"Até 2020",TEXT(YEAR(I3511),"0"))</f>
        <v/>
      </c>
      <c r="N3511" s="5">
        <f>IFERROR(INDEX(DePara!$A:$A,MATCH(TEXT(B3511,"0"),DePara!$D:$D,0)),"(sem categoria)")</f>
        <v/>
      </c>
      <c r="O3511" s="5">
        <f>IF(J3511="","",Parametros!$B$6-J3511)</f>
        <v/>
      </c>
      <c r="P3511" s="5">
        <f>IF(O3511="","",IF(O3511&gt;0,1,0))</f>
        <v/>
      </c>
    </row>
    <row r="3512">
      <c r="A3512" s="5" t="n">
        <v>2111000000</v>
      </c>
      <c r="B3512" s="5" t="inlineStr">
        <is>
          <t>101746</t>
        </is>
      </c>
      <c r="C3512" s="5" t="inlineStr">
        <is>
          <t>SECRETARIA DA FAZENDA DO ESTADO DO</t>
        </is>
      </c>
      <c r="D3512" s="5" t="inlineStr">
        <is>
          <t>UE</t>
        </is>
      </c>
      <c r="E3512" s="5" t="n">
        <v>200015770</v>
      </c>
      <c r="F3512" s="5" t="inlineStr">
        <is>
          <t>13390</t>
        </is>
      </c>
      <c r="G3512" s="5" t="inlineStr">
        <is>
          <t>BRL</t>
        </is>
      </c>
      <c r="H3512" s="9" t="n">
        <v>-285.6</v>
      </c>
      <c r="I3512" s="16" t="n">
        <v>44861</v>
      </c>
      <c r="J3512" s="16" t="n">
        <v>44861</v>
      </c>
      <c r="K3512" s="5" t="inlineStr">
        <is>
          <t>000000920002</t>
        </is>
      </c>
      <c r="L3512" s="5" t="inlineStr">
        <is>
          <t>475000.210215</t>
        </is>
      </c>
      <c r="M3512" s="5">
        <f>IF(YEAR(I3512)&lt;=2020,"Até 2020",TEXT(YEAR(I3512),"0"))</f>
        <v/>
      </c>
      <c r="N3512" s="5">
        <f>IFERROR(INDEX(DePara!$A:$A,MATCH(TEXT(B3512,"0"),DePara!$D:$D,0)),"(sem categoria)")</f>
        <v/>
      </c>
      <c r="O3512" s="5">
        <f>IF(J3512="","",Parametros!$B$6-J3512)</f>
        <v/>
      </c>
      <c r="P3512" s="5">
        <f>IF(O3512="","",IF(O3512&gt;0,1,0))</f>
        <v/>
      </c>
    </row>
    <row r="3513">
      <c r="A3513" s="5" t="n">
        <v>2111000000</v>
      </c>
      <c r="B3513" s="5" t="inlineStr">
        <is>
          <t>101746</t>
        </is>
      </c>
      <c r="C3513" s="5" t="inlineStr">
        <is>
          <t>SECRETARIA DA FAZENDA DO ESTADO DO</t>
        </is>
      </c>
      <c r="D3513" s="5" t="inlineStr">
        <is>
          <t>UE</t>
        </is>
      </c>
      <c r="E3513" s="5" t="n">
        <v>200015771</v>
      </c>
      <c r="F3513" s="5" t="inlineStr">
        <is>
          <t>13391</t>
        </is>
      </c>
      <c r="G3513" s="5" t="inlineStr">
        <is>
          <t>BRL</t>
        </is>
      </c>
      <c r="H3513" s="9" t="n">
        <v>-164.77</v>
      </c>
      <c r="I3513" s="16" t="n">
        <v>44869</v>
      </c>
      <c r="J3513" s="16" t="n">
        <v>44869</v>
      </c>
      <c r="K3513" s="5" t="inlineStr">
        <is>
          <t>000000936002</t>
        </is>
      </c>
      <c r="L3513" s="5" t="inlineStr">
        <is>
          <t>475000.210215</t>
        </is>
      </c>
      <c r="M3513" s="5">
        <f>IF(YEAR(I3513)&lt;=2020,"Até 2020",TEXT(YEAR(I3513),"0"))</f>
        <v/>
      </c>
      <c r="N3513" s="5">
        <f>IFERROR(INDEX(DePara!$A:$A,MATCH(TEXT(B3513,"0"),DePara!$D:$D,0)),"(sem categoria)")</f>
        <v/>
      </c>
      <c r="O3513" s="5">
        <f>IF(J3513="","",Parametros!$B$6-J3513)</f>
        <v/>
      </c>
      <c r="P3513" s="5">
        <f>IF(O3513="","",IF(O3513&gt;0,1,0))</f>
        <v/>
      </c>
    </row>
    <row r="3514">
      <c r="A3514" s="5" t="n">
        <v>2111000000</v>
      </c>
      <c r="B3514" s="5" t="inlineStr">
        <is>
          <t>101746</t>
        </is>
      </c>
      <c r="C3514" s="5" t="inlineStr">
        <is>
          <t>SECRETARIA DA FAZENDA DO ESTADO DO</t>
        </is>
      </c>
      <c r="D3514" s="5" t="inlineStr">
        <is>
          <t>UE</t>
        </is>
      </c>
      <c r="E3514" s="5" t="n">
        <v>200015772</v>
      </c>
      <c r="F3514" s="5" t="inlineStr">
        <is>
          <t>13392</t>
        </is>
      </c>
      <c r="G3514" s="5" t="inlineStr">
        <is>
          <t>BRL</t>
        </is>
      </c>
      <c r="H3514" s="9" t="n">
        <v>-832.8</v>
      </c>
      <c r="I3514" s="16" t="n">
        <v>44873</v>
      </c>
      <c r="J3514" s="16" t="n">
        <v>44873</v>
      </c>
      <c r="K3514" s="5" t="inlineStr">
        <is>
          <t>000000944002</t>
        </is>
      </c>
      <c r="L3514" s="5" t="inlineStr">
        <is>
          <t>475000.210215</t>
        </is>
      </c>
      <c r="M3514" s="5">
        <f>IF(YEAR(I3514)&lt;=2020,"Até 2020",TEXT(YEAR(I3514),"0"))</f>
        <v/>
      </c>
      <c r="N3514" s="5">
        <f>IFERROR(INDEX(DePara!$A:$A,MATCH(TEXT(B3514,"0"),DePara!$D:$D,0)),"(sem categoria)")</f>
        <v/>
      </c>
      <c r="O3514" s="5">
        <f>IF(J3514="","",Parametros!$B$6-J3514)</f>
        <v/>
      </c>
      <c r="P3514" s="5">
        <f>IF(O3514="","",IF(O3514&gt;0,1,0))</f>
        <v/>
      </c>
    </row>
    <row r="3515">
      <c r="A3515" s="5" t="n">
        <v>2111000000</v>
      </c>
      <c r="B3515" s="5" t="inlineStr">
        <is>
          <t>101969</t>
        </is>
      </c>
      <c r="C3515" s="5" t="inlineStr">
        <is>
          <t>SECRETARIA DE ESTADO DA FAZENDA RN</t>
        </is>
      </c>
      <c r="D3515" s="5" t="inlineStr">
        <is>
          <t>UE</t>
        </is>
      </c>
      <c r="E3515" s="5" t="n">
        <v>200015773</v>
      </c>
      <c r="F3515" s="5" t="inlineStr">
        <is>
          <t>13393</t>
        </is>
      </c>
      <c r="G3515" s="5" t="inlineStr">
        <is>
          <t>BRL</t>
        </is>
      </c>
      <c r="H3515" s="9" t="n">
        <v>-31.75</v>
      </c>
      <c r="I3515" s="16" t="n">
        <v>44874</v>
      </c>
      <c r="J3515" s="16" t="n">
        <v>44874</v>
      </c>
      <c r="K3515" s="5" t="inlineStr">
        <is>
          <t>000000953002</t>
        </is>
      </c>
      <c r="L3515" s="5" t="inlineStr">
        <is>
          <t>475000.210215</t>
        </is>
      </c>
      <c r="M3515" s="5">
        <f>IF(YEAR(I3515)&lt;=2020,"Até 2020",TEXT(YEAR(I3515),"0"))</f>
        <v/>
      </c>
      <c r="N3515" s="5">
        <f>IFERROR(INDEX(DePara!$A:$A,MATCH(TEXT(B3515,"0"),DePara!$D:$D,0)),"(sem categoria)")</f>
        <v/>
      </c>
      <c r="O3515" s="5">
        <f>IF(J3515="","",Parametros!$B$6-J3515)</f>
        <v/>
      </c>
      <c r="P3515" s="5">
        <f>IF(O3515="","",IF(O3515&gt;0,1,0))</f>
        <v/>
      </c>
    </row>
    <row r="3516">
      <c r="A3516" s="5" t="n">
        <v>2111000000</v>
      </c>
      <c r="B3516" s="5" t="inlineStr">
        <is>
          <t>101969</t>
        </is>
      </c>
      <c r="C3516" s="5" t="inlineStr">
        <is>
          <t>SECRETARIA DE ESTADO DA FAZENDA RN</t>
        </is>
      </c>
      <c r="D3516" s="5" t="inlineStr">
        <is>
          <t>UE</t>
        </is>
      </c>
      <c r="E3516" s="5" t="n">
        <v>200015774</v>
      </c>
      <c r="F3516" s="5" t="inlineStr">
        <is>
          <t>13394</t>
        </is>
      </c>
      <c r="G3516" s="5" t="inlineStr">
        <is>
          <t>BRL</t>
        </is>
      </c>
      <c r="H3516" s="9" t="n">
        <v>-63.53</v>
      </c>
      <c r="I3516" s="16" t="n">
        <v>44875</v>
      </c>
      <c r="J3516" s="16" t="n">
        <v>44875</v>
      </c>
      <c r="K3516" s="5" t="inlineStr">
        <is>
          <t>000000955002</t>
        </is>
      </c>
      <c r="L3516" s="5" t="inlineStr">
        <is>
          <t>475000.210215</t>
        </is>
      </c>
      <c r="M3516" s="5">
        <f>IF(YEAR(I3516)&lt;=2020,"Até 2020",TEXT(YEAR(I3516),"0"))</f>
        <v/>
      </c>
      <c r="N3516" s="5">
        <f>IFERROR(INDEX(DePara!$A:$A,MATCH(TEXT(B3516,"0"),DePara!$D:$D,0)),"(sem categoria)")</f>
        <v/>
      </c>
      <c r="O3516" s="5">
        <f>IF(J3516="","",Parametros!$B$6-J3516)</f>
        <v/>
      </c>
      <c r="P3516" s="5">
        <f>IF(O3516="","",IF(O3516&gt;0,1,0))</f>
        <v/>
      </c>
    </row>
    <row r="3517">
      <c r="A3517" s="5" t="n">
        <v>2111000000</v>
      </c>
      <c r="B3517" s="5" t="inlineStr">
        <is>
          <t>101969</t>
        </is>
      </c>
      <c r="C3517" s="5" t="inlineStr">
        <is>
          <t>SECRETARIA DE ESTADO DA FAZENDA RN</t>
        </is>
      </c>
      <c r="D3517" s="5" t="inlineStr">
        <is>
          <t>UE</t>
        </is>
      </c>
      <c r="E3517" s="5" t="n">
        <v>200015775</v>
      </c>
      <c r="F3517" s="5" t="inlineStr">
        <is>
          <t>13395</t>
        </is>
      </c>
      <c r="G3517" s="5" t="inlineStr">
        <is>
          <t>BRL</t>
        </is>
      </c>
      <c r="H3517" s="9" t="n">
        <v>-5.72</v>
      </c>
      <c r="I3517" s="16" t="n">
        <v>44875</v>
      </c>
      <c r="J3517" s="16" t="n">
        <v>44875</v>
      </c>
      <c r="K3517" s="5" t="inlineStr">
        <is>
          <t>000000956002</t>
        </is>
      </c>
      <c r="L3517" s="5" t="inlineStr">
        <is>
          <t>475000.210215</t>
        </is>
      </c>
      <c r="M3517" s="5">
        <f>IF(YEAR(I3517)&lt;=2020,"Até 2020",TEXT(YEAR(I3517),"0"))</f>
        <v/>
      </c>
      <c r="N3517" s="5">
        <f>IFERROR(INDEX(DePara!$A:$A,MATCH(TEXT(B3517,"0"),DePara!$D:$D,0)),"(sem categoria)")</f>
        <v/>
      </c>
      <c r="O3517" s="5">
        <f>IF(J3517="","",Parametros!$B$6-J3517)</f>
        <v/>
      </c>
      <c r="P3517" s="5">
        <f>IF(O3517="","",IF(O3517&gt;0,1,0))</f>
        <v/>
      </c>
    </row>
    <row r="3518">
      <c r="A3518" s="5" t="n">
        <v>2111000000</v>
      </c>
      <c r="B3518" s="5" t="inlineStr">
        <is>
          <t>101969</t>
        </is>
      </c>
      <c r="C3518" s="5" t="inlineStr">
        <is>
          <t>SECRETARIA DE ESTADO DA FAZENDA RN</t>
        </is>
      </c>
      <c r="D3518" s="5" t="inlineStr">
        <is>
          <t>UE</t>
        </is>
      </c>
      <c r="E3518" s="5" t="n">
        <v>200015776</v>
      </c>
      <c r="F3518" s="5" t="inlineStr">
        <is>
          <t>13396</t>
        </is>
      </c>
      <c r="G3518" s="5" t="inlineStr">
        <is>
          <t>BRL</t>
        </is>
      </c>
      <c r="H3518" s="9" t="n">
        <v>-8.130000000000001</v>
      </c>
      <c r="I3518" s="16" t="n">
        <v>44875</v>
      </c>
      <c r="J3518" s="16" t="n">
        <v>44875</v>
      </c>
      <c r="K3518" s="5" t="inlineStr">
        <is>
          <t>000000957002</t>
        </is>
      </c>
      <c r="L3518" s="5" t="inlineStr">
        <is>
          <t>475000.210215</t>
        </is>
      </c>
      <c r="M3518" s="5">
        <f>IF(YEAR(I3518)&lt;=2020,"Até 2020",TEXT(YEAR(I3518),"0"))</f>
        <v/>
      </c>
      <c r="N3518" s="5">
        <f>IFERROR(INDEX(DePara!$A:$A,MATCH(TEXT(B3518,"0"),DePara!$D:$D,0)),"(sem categoria)")</f>
        <v/>
      </c>
      <c r="O3518" s="5">
        <f>IF(J3518="","",Parametros!$B$6-J3518)</f>
        <v/>
      </c>
      <c r="P3518" s="5">
        <f>IF(O3518="","",IF(O3518&gt;0,1,0))</f>
        <v/>
      </c>
    </row>
    <row r="3519">
      <c r="A3519" s="5" t="n">
        <v>2111000000</v>
      </c>
      <c r="B3519" s="5" t="inlineStr">
        <is>
          <t>101969</t>
        </is>
      </c>
      <c r="C3519" s="5" t="inlineStr">
        <is>
          <t>SECRETARIA DE ESTADO DA FAZENDA RN</t>
        </is>
      </c>
      <c r="D3519" s="5" t="inlineStr">
        <is>
          <t>UE</t>
        </is>
      </c>
      <c r="E3519" s="5" t="n">
        <v>200015777</v>
      </c>
      <c r="F3519" s="5" t="inlineStr">
        <is>
          <t>13397</t>
        </is>
      </c>
      <c r="G3519" s="5" t="inlineStr">
        <is>
          <t>BRL</t>
        </is>
      </c>
      <c r="H3519" s="9" t="n">
        <v>-56.81</v>
      </c>
      <c r="I3519" s="16" t="n">
        <v>44873</v>
      </c>
      <c r="J3519" s="16" t="n">
        <v>44873</v>
      </c>
      <c r="K3519" s="5" t="inlineStr">
        <is>
          <t>000000945002</t>
        </is>
      </c>
      <c r="L3519" s="5" t="inlineStr">
        <is>
          <t>475000.210215</t>
        </is>
      </c>
      <c r="M3519" s="5">
        <f>IF(YEAR(I3519)&lt;=2020,"Até 2020",TEXT(YEAR(I3519),"0"))</f>
        <v/>
      </c>
      <c r="N3519" s="5">
        <f>IFERROR(INDEX(DePara!$A:$A,MATCH(TEXT(B3519,"0"),DePara!$D:$D,0)),"(sem categoria)")</f>
        <v/>
      </c>
      <c r="O3519" s="5">
        <f>IF(J3519="","",Parametros!$B$6-J3519)</f>
        <v/>
      </c>
      <c r="P3519" s="5">
        <f>IF(O3519="","",IF(O3519&gt;0,1,0))</f>
        <v/>
      </c>
    </row>
    <row r="3520">
      <c r="A3520" s="5" t="n">
        <v>2111000000</v>
      </c>
      <c r="B3520" s="5" t="inlineStr">
        <is>
          <t>101969</t>
        </is>
      </c>
      <c r="C3520" s="5" t="inlineStr">
        <is>
          <t>SECRETARIA DE ESTADO DA FAZENDA RN</t>
        </is>
      </c>
      <c r="D3520" s="5" t="inlineStr">
        <is>
          <t>UE</t>
        </is>
      </c>
      <c r="E3520" s="5" t="n">
        <v>200015778</v>
      </c>
      <c r="F3520" s="5" t="inlineStr">
        <is>
          <t>13398</t>
        </is>
      </c>
      <c r="G3520" s="5" t="inlineStr">
        <is>
          <t>BRL</t>
        </is>
      </c>
      <c r="H3520" s="9" t="n">
        <v>-45.31</v>
      </c>
      <c r="I3520" s="16" t="n">
        <v>44873</v>
      </c>
      <c r="J3520" s="16" t="n">
        <v>44873</v>
      </c>
      <c r="K3520" s="5" t="inlineStr">
        <is>
          <t>000000946002</t>
        </is>
      </c>
      <c r="L3520" s="5" t="inlineStr">
        <is>
          <t>475000.210215</t>
        </is>
      </c>
      <c r="M3520" s="5">
        <f>IF(YEAR(I3520)&lt;=2020,"Até 2020",TEXT(YEAR(I3520),"0"))</f>
        <v/>
      </c>
      <c r="N3520" s="5">
        <f>IFERROR(INDEX(DePara!$A:$A,MATCH(TEXT(B3520,"0"),DePara!$D:$D,0)),"(sem categoria)")</f>
        <v/>
      </c>
      <c r="O3520" s="5">
        <f>IF(J3520="","",Parametros!$B$6-J3520)</f>
        <v/>
      </c>
      <c r="P3520" s="5">
        <f>IF(O3520="","",IF(O3520&gt;0,1,0))</f>
        <v/>
      </c>
    </row>
    <row r="3521">
      <c r="A3521" s="5" t="n">
        <v>2111000000</v>
      </c>
      <c r="B3521" s="5" t="inlineStr">
        <is>
          <t>101969</t>
        </is>
      </c>
      <c r="C3521" s="5" t="inlineStr">
        <is>
          <t>SECRETARIA DE ESTADO DA FAZENDA RN</t>
        </is>
      </c>
      <c r="D3521" s="5" t="inlineStr">
        <is>
          <t>UE</t>
        </is>
      </c>
      <c r="E3521" s="5" t="n">
        <v>200015779</v>
      </c>
      <c r="F3521" s="5" t="inlineStr">
        <is>
          <t>13399</t>
        </is>
      </c>
      <c r="G3521" s="5" t="inlineStr">
        <is>
          <t>BRL</t>
        </is>
      </c>
      <c r="H3521" s="9" t="n">
        <v>-45.81</v>
      </c>
      <c r="I3521" s="16" t="n">
        <v>44874</v>
      </c>
      <c r="J3521" s="16" t="n">
        <v>44874</v>
      </c>
      <c r="K3521" s="5" t="inlineStr">
        <is>
          <t>000000951002</t>
        </is>
      </c>
      <c r="L3521" s="5" t="inlineStr">
        <is>
          <t>475000.210215</t>
        </is>
      </c>
      <c r="M3521" s="5">
        <f>IF(YEAR(I3521)&lt;=2020,"Até 2020",TEXT(YEAR(I3521),"0"))</f>
        <v/>
      </c>
      <c r="N3521" s="5">
        <f>IFERROR(INDEX(DePara!$A:$A,MATCH(TEXT(B3521,"0"),DePara!$D:$D,0)),"(sem categoria)")</f>
        <v/>
      </c>
      <c r="O3521" s="5">
        <f>IF(J3521="","",Parametros!$B$6-J3521)</f>
        <v/>
      </c>
      <c r="P3521" s="5">
        <f>IF(O3521="","",IF(O3521&gt;0,1,0))</f>
        <v/>
      </c>
    </row>
    <row r="3522">
      <c r="A3522" s="5" t="n">
        <v>2111000000</v>
      </c>
      <c r="B3522" s="5" t="inlineStr">
        <is>
          <t>101969</t>
        </is>
      </c>
      <c r="C3522" s="5" t="inlineStr">
        <is>
          <t>SECRETARIA DE ESTADO DA FAZENDA RN</t>
        </is>
      </c>
      <c r="D3522" s="5" t="inlineStr">
        <is>
          <t>UE</t>
        </is>
      </c>
      <c r="E3522" s="5" t="n">
        <v>200015782</v>
      </c>
      <c r="F3522" s="5" t="inlineStr">
        <is>
          <t>13400</t>
        </is>
      </c>
      <c r="G3522" s="5" t="inlineStr">
        <is>
          <t>BRL</t>
        </is>
      </c>
      <c r="H3522" s="9" t="n">
        <v>-44.59</v>
      </c>
      <c r="I3522" s="16" t="n">
        <v>44874</v>
      </c>
      <c r="J3522" s="16" t="n">
        <v>44874</v>
      </c>
      <c r="K3522" s="5" t="inlineStr">
        <is>
          <t>000000952002</t>
        </is>
      </c>
      <c r="L3522" s="5" t="inlineStr">
        <is>
          <t>475000.210215</t>
        </is>
      </c>
      <c r="M3522" s="5">
        <f>IF(YEAR(I3522)&lt;=2020,"Até 2020",TEXT(YEAR(I3522),"0"))</f>
        <v/>
      </c>
      <c r="N3522" s="5">
        <f>IFERROR(INDEX(DePara!$A:$A,MATCH(TEXT(B3522,"0"),DePara!$D:$D,0)),"(sem categoria)")</f>
        <v/>
      </c>
      <c r="O3522" s="5">
        <f>IF(J3522="","",Parametros!$B$6-J3522)</f>
        <v/>
      </c>
      <c r="P3522" s="5">
        <f>IF(O3522="","",IF(O3522&gt;0,1,0))</f>
        <v/>
      </c>
    </row>
    <row r="3523">
      <c r="A3523" s="5" t="n">
        <v>2111000000</v>
      </c>
      <c r="B3523" s="5" t="inlineStr">
        <is>
          <t>101969</t>
        </is>
      </c>
      <c r="C3523" s="5" t="inlineStr">
        <is>
          <t>SECRETARIA DE ESTADO DA FAZENDA RN</t>
        </is>
      </c>
      <c r="D3523" s="5" t="inlineStr">
        <is>
          <t>UE</t>
        </is>
      </c>
      <c r="E3523" s="5" t="n">
        <v>200015783</v>
      </c>
      <c r="F3523" s="5" t="inlineStr">
        <is>
          <t>13401</t>
        </is>
      </c>
      <c r="G3523" s="5" t="inlineStr">
        <is>
          <t>BRL</t>
        </is>
      </c>
      <c r="H3523" s="9" t="n">
        <v>-128.09</v>
      </c>
      <c r="I3523" s="16" t="n">
        <v>44869</v>
      </c>
      <c r="J3523" s="16" t="n">
        <v>44869</v>
      </c>
      <c r="K3523" s="5" t="inlineStr">
        <is>
          <t>000000940002</t>
        </is>
      </c>
      <c r="L3523" s="5" t="inlineStr">
        <is>
          <t>475000.210215</t>
        </is>
      </c>
      <c r="M3523" s="5">
        <f>IF(YEAR(I3523)&lt;=2020,"Até 2020",TEXT(YEAR(I3523),"0"))</f>
        <v/>
      </c>
      <c r="N3523" s="5">
        <f>IFERROR(INDEX(DePara!$A:$A,MATCH(TEXT(B3523,"0"),DePara!$D:$D,0)),"(sem categoria)")</f>
        <v/>
      </c>
      <c r="O3523" s="5">
        <f>IF(J3523="","",Parametros!$B$6-J3523)</f>
        <v/>
      </c>
      <c r="P3523" s="5">
        <f>IF(O3523="","",IF(O3523&gt;0,1,0))</f>
        <v/>
      </c>
    </row>
    <row r="3524">
      <c r="A3524" s="5" t="n">
        <v>2111000000</v>
      </c>
      <c r="B3524" s="5" t="inlineStr">
        <is>
          <t>101569</t>
        </is>
      </c>
      <c r="C3524" s="5" t="inlineStr">
        <is>
          <t>SECRETARIA DA FAZENDA CEARA</t>
        </is>
      </c>
      <c r="D3524" s="5" t="inlineStr">
        <is>
          <t>UE</t>
        </is>
      </c>
      <c r="E3524" s="5" t="n">
        <v>200015784</v>
      </c>
      <c r="F3524" s="5" t="inlineStr">
        <is>
          <t>13402</t>
        </is>
      </c>
      <c r="G3524" s="5" t="inlineStr">
        <is>
          <t>BRL</t>
        </is>
      </c>
      <c r="H3524" s="9" t="n">
        <v>-0.4</v>
      </c>
      <c r="I3524" s="16" t="n">
        <v>44909</v>
      </c>
      <c r="J3524" s="16" t="n">
        <v>44909</v>
      </c>
      <c r="K3524" s="5" t="inlineStr">
        <is>
          <t>000001045002</t>
        </is>
      </c>
      <c r="L3524" s="5" t="inlineStr">
        <is>
          <t>475000.210215</t>
        </is>
      </c>
      <c r="M3524" s="5">
        <f>IF(YEAR(I3524)&lt;=2020,"Até 2020",TEXT(YEAR(I3524),"0"))</f>
        <v/>
      </c>
      <c r="N3524" s="5">
        <f>IFERROR(INDEX(DePara!$A:$A,MATCH(TEXT(B3524,"0"),DePara!$D:$D,0)),"(sem categoria)")</f>
        <v/>
      </c>
      <c r="O3524" s="5">
        <f>IF(J3524="","",Parametros!$B$6-J3524)</f>
        <v/>
      </c>
      <c r="P3524" s="5">
        <f>IF(O3524="","",IF(O3524&gt;0,1,0))</f>
        <v/>
      </c>
    </row>
    <row r="3525">
      <c r="A3525" s="5" t="n">
        <v>2111000000</v>
      </c>
      <c r="B3525" s="5" t="inlineStr">
        <is>
          <t>101969</t>
        </is>
      </c>
      <c r="C3525" s="5" t="inlineStr">
        <is>
          <t>SECRETARIA DE ESTADO DA FAZENDA RN</t>
        </is>
      </c>
      <c r="D3525" s="5" t="inlineStr">
        <is>
          <t>UE</t>
        </is>
      </c>
      <c r="E3525" s="5" t="n">
        <v>200015785</v>
      </c>
      <c r="F3525" s="5" t="inlineStr">
        <is>
          <t>13403</t>
        </is>
      </c>
      <c r="G3525" s="5" t="inlineStr">
        <is>
          <t>BRL</t>
        </is>
      </c>
      <c r="H3525" s="9" t="n">
        <v>-12.53</v>
      </c>
      <c r="I3525" s="16" t="n">
        <v>44902</v>
      </c>
      <c r="J3525" s="16" t="n">
        <v>44902</v>
      </c>
      <c r="K3525" s="5" t="inlineStr">
        <is>
          <t>000001017002</t>
        </is>
      </c>
      <c r="L3525" s="5" t="inlineStr">
        <is>
          <t>475000.210215</t>
        </is>
      </c>
      <c r="M3525" s="5">
        <f>IF(YEAR(I3525)&lt;=2020,"Até 2020",TEXT(YEAR(I3525),"0"))</f>
        <v/>
      </c>
      <c r="N3525" s="5">
        <f>IFERROR(INDEX(DePara!$A:$A,MATCH(TEXT(B3525,"0"),DePara!$D:$D,0)),"(sem categoria)")</f>
        <v/>
      </c>
      <c r="O3525" s="5">
        <f>IF(J3525="","",Parametros!$B$6-J3525)</f>
        <v/>
      </c>
      <c r="P3525" s="5">
        <f>IF(O3525="","",IF(O3525&gt;0,1,0))</f>
        <v/>
      </c>
    </row>
    <row r="3526">
      <c r="A3526" s="5" t="n">
        <v>2111000000</v>
      </c>
      <c r="B3526" s="5" t="inlineStr">
        <is>
          <t>101969</t>
        </is>
      </c>
      <c r="C3526" s="5" t="inlineStr">
        <is>
          <t>SECRETARIA DE ESTADO DA FAZENDA RN</t>
        </is>
      </c>
      <c r="D3526" s="5" t="inlineStr">
        <is>
          <t>UE</t>
        </is>
      </c>
      <c r="E3526" s="5" t="n">
        <v>200015786</v>
      </c>
      <c r="F3526" s="5" t="inlineStr">
        <is>
          <t>13404</t>
        </is>
      </c>
      <c r="G3526" s="5" t="inlineStr">
        <is>
          <t>BRL</t>
        </is>
      </c>
      <c r="H3526" s="9" t="n">
        <v>-4.43</v>
      </c>
      <c r="I3526" s="16" t="n">
        <v>44914</v>
      </c>
      <c r="J3526" s="16" t="n">
        <v>44914</v>
      </c>
      <c r="K3526" s="5" t="inlineStr">
        <is>
          <t>000001051002</t>
        </is>
      </c>
      <c r="L3526" s="5" t="inlineStr">
        <is>
          <t>475000.210215</t>
        </is>
      </c>
      <c r="M3526" s="5">
        <f>IF(YEAR(I3526)&lt;=2020,"Até 2020",TEXT(YEAR(I3526),"0"))</f>
        <v/>
      </c>
      <c r="N3526" s="5">
        <f>IFERROR(INDEX(DePara!$A:$A,MATCH(TEXT(B3526,"0"),DePara!$D:$D,0)),"(sem categoria)")</f>
        <v/>
      </c>
      <c r="O3526" s="5">
        <f>IF(J3526="","",Parametros!$B$6-J3526)</f>
        <v/>
      </c>
      <c r="P3526" s="5">
        <f>IF(O3526="","",IF(O3526&gt;0,1,0))</f>
        <v/>
      </c>
    </row>
    <row r="3527">
      <c r="A3527" s="5" t="n">
        <v>2111000000</v>
      </c>
      <c r="B3527" s="5" t="inlineStr">
        <is>
          <t>101746</t>
        </is>
      </c>
      <c r="C3527" s="5" t="inlineStr">
        <is>
          <t>SECRETARIA DA FAZENDA DO ESTADO DO</t>
        </is>
      </c>
      <c r="D3527" s="5" t="inlineStr">
        <is>
          <t>UE</t>
        </is>
      </c>
      <c r="E3527" s="5" t="n">
        <v>200015787</v>
      </c>
      <c r="F3527" s="5" t="inlineStr">
        <is>
          <t>13405</t>
        </is>
      </c>
      <c r="G3527" s="5" t="inlineStr">
        <is>
          <t>BRL</t>
        </is>
      </c>
      <c r="H3527" s="9" t="n">
        <v>-696</v>
      </c>
      <c r="I3527" s="16" t="n">
        <v>44917</v>
      </c>
      <c r="J3527" s="16" t="n">
        <v>44917</v>
      </c>
      <c r="K3527" s="5" t="inlineStr">
        <is>
          <t>000001072002</t>
        </is>
      </c>
      <c r="L3527" s="5" t="inlineStr">
        <is>
          <t>475000.210215</t>
        </is>
      </c>
      <c r="M3527" s="5">
        <f>IF(YEAR(I3527)&lt;=2020,"Até 2020",TEXT(YEAR(I3527),"0"))</f>
        <v/>
      </c>
      <c r="N3527" s="5">
        <f>IFERROR(INDEX(DePara!$A:$A,MATCH(TEXT(B3527,"0"),DePara!$D:$D,0)),"(sem categoria)")</f>
        <v/>
      </c>
      <c r="O3527" s="5">
        <f>IF(J3527="","",Parametros!$B$6-J3527)</f>
        <v/>
      </c>
      <c r="P3527" s="5">
        <f>IF(O3527="","",IF(O3527&gt;0,1,0))</f>
        <v/>
      </c>
    </row>
    <row r="3528">
      <c r="A3528" s="5" t="n">
        <v>2111000000</v>
      </c>
      <c r="B3528" s="5" t="inlineStr">
        <is>
          <t>101969</t>
        </is>
      </c>
      <c r="C3528" s="5" t="inlineStr">
        <is>
          <t>SECRETARIA DE ESTADO DA FAZENDA RN</t>
        </is>
      </c>
      <c r="D3528" s="5" t="inlineStr">
        <is>
          <t>UE</t>
        </is>
      </c>
      <c r="E3528" s="5" t="n">
        <v>200015788</v>
      </c>
      <c r="F3528" s="5" t="inlineStr">
        <is>
          <t>13406</t>
        </is>
      </c>
      <c r="G3528" s="5" t="inlineStr">
        <is>
          <t>BRL</t>
        </is>
      </c>
      <c r="H3528" s="9" t="n">
        <v>-35.66</v>
      </c>
      <c r="I3528" s="16" t="n">
        <v>44915</v>
      </c>
      <c r="J3528" s="16" t="n">
        <v>44915</v>
      </c>
      <c r="K3528" s="5" t="inlineStr">
        <is>
          <t>000001067002</t>
        </is>
      </c>
      <c r="L3528" s="5" t="inlineStr">
        <is>
          <t>475000.210215</t>
        </is>
      </c>
      <c r="M3528" s="5">
        <f>IF(YEAR(I3528)&lt;=2020,"Até 2020",TEXT(YEAR(I3528),"0"))</f>
        <v/>
      </c>
      <c r="N3528" s="5">
        <f>IFERROR(INDEX(DePara!$A:$A,MATCH(TEXT(B3528,"0"),DePara!$D:$D,0)),"(sem categoria)")</f>
        <v/>
      </c>
      <c r="O3528" s="5">
        <f>IF(J3528="","",Parametros!$B$6-J3528)</f>
        <v/>
      </c>
      <c r="P3528" s="5">
        <f>IF(O3528="","",IF(O3528&gt;0,1,0))</f>
        <v/>
      </c>
    </row>
    <row r="3529">
      <c r="A3529" s="5" t="n">
        <v>2111000000</v>
      </c>
      <c r="B3529" s="5" t="inlineStr">
        <is>
          <t>101969</t>
        </is>
      </c>
      <c r="C3529" s="5" t="inlineStr">
        <is>
          <t>SECRETARIA DE ESTADO DA FAZENDA RN</t>
        </is>
      </c>
      <c r="D3529" s="5" t="inlineStr">
        <is>
          <t>UE</t>
        </is>
      </c>
      <c r="E3529" s="5" t="n">
        <v>200015789</v>
      </c>
      <c r="F3529" s="5" t="inlineStr">
        <is>
          <t>13407</t>
        </is>
      </c>
      <c r="G3529" s="5" t="inlineStr">
        <is>
          <t>BRL</t>
        </is>
      </c>
      <c r="H3529" s="9" t="n">
        <v>-152.4</v>
      </c>
      <c r="I3529" s="16" t="n">
        <v>44931</v>
      </c>
      <c r="J3529" s="16" t="n">
        <v>44931</v>
      </c>
      <c r="K3529" s="5" t="inlineStr">
        <is>
          <t>000001095002</t>
        </is>
      </c>
      <c r="L3529" s="5" t="inlineStr">
        <is>
          <t>475000.210215</t>
        </is>
      </c>
      <c r="M3529" s="5">
        <f>IF(YEAR(I3529)&lt;=2020,"Até 2020",TEXT(YEAR(I3529),"0"))</f>
        <v/>
      </c>
      <c r="N3529" s="5">
        <f>IFERROR(INDEX(DePara!$A:$A,MATCH(TEXT(B3529,"0"),DePara!$D:$D,0)),"(sem categoria)")</f>
        <v/>
      </c>
      <c r="O3529" s="5">
        <f>IF(J3529="","",Parametros!$B$6-J3529)</f>
        <v/>
      </c>
      <c r="P3529" s="5">
        <f>IF(O3529="","",IF(O3529&gt;0,1,0))</f>
        <v/>
      </c>
    </row>
    <row r="3530">
      <c r="A3530" s="5" t="n">
        <v>2111000000</v>
      </c>
      <c r="B3530" s="5" t="inlineStr">
        <is>
          <t>101969</t>
        </is>
      </c>
      <c r="C3530" s="5" t="inlineStr">
        <is>
          <t>SECRETARIA DE ESTADO DA FAZENDA RN</t>
        </is>
      </c>
      <c r="D3530" s="5" t="inlineStr">
        <is>
          <t>UE</t>
        </is>
      </c>
      <c r="E3530" s="5" t="n">
        <v>200015790</v>
      </c>
      <c r="F3530" s="5" t="inlineStr">
        <is>
          <t>13408</t>
        </is>
      </c>
      <c r="G3530" s="5" t="inlineStr">
        <is>
          <t>BRL</t>
        </is>
      </c>
      <c r="H3530" s="9" t="n">
        <v>-80.64</v>
      </c>
      <c r="I3530" s="16" t="n">
        <v>44939</v>
      </c>
      <c r="J3530" s="16" t="n">
        <v>44939</v>
      </c>
      <c r="K3530" s="5" t="inlineStr">
        <is>
          <t>000001135002</t>
        </is>
      </c>
      <c r="L3530" s="5" t="inlineStr">
        <is>
          <t>475000.210215</t>
        </is>
      </c>
      <c r="M3530" s="5">
        <f>IF(YEAR(I3530)&lt;=2020,"Até 2020",TEXT(YEAR(I3530),"0"))</f>
        <v/>
      </c>
      <c r="N3530" s="5">
        <f>IFERROR(INDEX(DePara!$A:$A,MATCH(TEXT(B3530,"0"),DePara!$D:$D,0)),"(sem categoria)")</f>
        <v/>
      </c>
      <c r="O3530" s="5">
        <f>IF(J3530="","",Parametros!$B$6-J3530)</f>
        <v/>
      </c>
      <c r="P3530" s="5">
        <f>IF(O3530="","",IF(O3530&gt;0,1,0))</f>
        <v/>
      </c>
    </row>
    <row r="3531">
      <c r="A3531" s="5" t="n">
        <v>2111000000</v>
      </c>
      <c r="B3531" s="5" t="inlineStr">
        <is>
          <t>101969</t>
        </is>
      </c>
      <c r="C3531" s="5" t="inlineStr">
        <is>
          <t>SECRETARIA DE ESTADO DA FAZENDA RN</t>
        </is>
      </c>
      <c r="D3531" s="5" t="inlineStr">
        <is>
          <t>UE</t>
        </is>
      </c>
      <c r="E3531" s="5" t="n">
        <v>200015791</v>
      </c>
      <c r="F3531" s="5" t="inlineStr">
        <is>
          <t>13409</t>
        </is>
      </c>
      <c r="G3531" s="5" t="inlineStr">
        <is>
          <t>BRL</t>
        </is>
      </c>
      <c r="H3531" s="9" t="n">
        <v>-1440</v>
      </c>
      <c r="I3531" s="16" t="n">
        <v>44939</v>
      </c>
      <c r="J3531" s="16" t="n">
        <v>44939</v>
      </c>
      <c r="K3531" s="5" t="inlineStr">
        <is>
          <t>000001134002</t>
        </is>
      </c>
      <c r="L3531" s="5" t="inlineStr">
        <is>
          <t>475000.210215</t>
        </is>
      </c>
      <c r="M3531" s="5">
        <f>IF(YEAR(I3531)&lt;=2020,"Até 2020",TEXT(YEAR(I3531),"0"))</f>
        <v/>
      </c>
      <c r="N3531" s="5">
        <f>IFERROR(INDEX(DePara!$A:$A,MATCH(TEXT(B3531,"0"),DePara!$D:$D,0)),"(sem categoria)")</f>
        <v/>
      </c>
      <c r="O3531" s="5">
        <f>IF(J3531="","",Parametros!$B$6-J3531)</f>
        <v/>
      </c>
      <c r="P3531" s="5">
        <f>IF(O3531="","",IF(O3531&gt;0,1,0))</f>
        <v/>
      </c>
    </row>
    <row r="3532">
      <c r="A3532" s="5" t="n">
        <v>2111000000</v>
      </c>
      <c r="B3532" s="5" t="inlineStr">
        <is>
          <t>101969</t>
        </is>
      </c>
      <c r="C3532" s="5" t="inlineStr">
        <is>
          <t>SECRETARIA DE ESTADO DA FAZENDA RN</t>
        </is>
      </c>
      <c r="D3532" s="5" t="inlineStr">
        <is>
          <t>UE</t>
        </is>
      </c>
      <c r="E3532" s="5" t="n">
        <v>200015793</v>
      </c>
      <c r="F3532" s="5" t="inlineStr">
        <is>
          <t>13410</t>
        </is>
      </c>
      <c r="G3532" s="5" t="inlineStr">
        <is>
          <t>BRL</t>
        </is>
      </c>
      <c r="H3532" s="9" t="n">
        <v>-60</v>
      </c>
      <c r="I3532" s="16" t="n">
        <v>44988</v>
      </c>
      <c r="J3532" s="16" t="n">
        <v>44988</v>
      </c>
      <c r="K3532" s="5" t="inlineStr">
        <is>
          <t>000001276002</t>
        </is>
      </c>
      <c r="L3532" s="5" t="inlineStr">
        <is>
          <t>475000.210215</t>
        </is>
      </c>
      <c r="M3532" s="5">
        <f>IF(YEAR(I3532)&lt;=2020,"Até 2020",TEXT(YEAR(I3532),"0"))</f>
        <v/>
      </c>
      <c r="N3532" s="5">
        <f>IFERROR(INDEX(DePara!$A:$A,MATCH(TEXT(B3532,"0"),DePara!$D:$D,0)),"(sem categoria)")</f>
        <v/>
      </c>
      <c r="O3532" s="5">
        <f>IF(J3532="","",Parametros!$B$6-J3532)</f>
        <v/>
      </c>
      <c r="P3532" s="5">
        <f>IF(O3532="","",IF(O3532&gt;0,1,0))</f>
        <v/>
      </c>
    </row>
    <row r="3533">
      <c r="A3533" s="5" t="n">
        <v>2111000000</v>
      </c>
      <c r="B3533" s="5" t="inlineStr">
        <is>
          <t>101969</t>
        </is>
      </c>
      <c r="C3533" s="5" t="inlineStr">
        <is>
          <t>SECRETARIA DE ESTADO DA FAZENDA RN</t>
        </is>
      </c>
      <c r="D3533" s="5" t="inlineStr">
        <is>
          <t>UE</t>
        </is>
      </c>
      <c r="E3533" s="5" t="n">
        <v>200015794</v>
      </c>
      <c r="F3533" s="5" t="inlineStr">
        <is>
          <t>13411</t>
        </is>
      </c>
      <c r="G3533" s="5" t="inlineStr">
        <is>
          <t>BRL</t>
        </is>
      </c>
      <c r="H3533" s="9" t="n">
        <v>-60</v>
      </c>
      <c r="I3533" s="16" t="n">
        <v>44995</v>
      </c>
      <c r="J3533" s="16" t="n">
        <v>44995</v>
      </c>
      <c r="K3533" s="5" t="inlineStr">
        <is>
          <t>000001296002</t>
        </is>
      </c>
      <c r="L3533" s="5" t="inlineStr">
        <is>
          <t>475000.210215</t>
        </is>
      </c>
      <c r="M3533" s="5">
        <f>IF(YEAR(I3533)&lt;=2020,"Até 2020",TEXT(YEAR(I3533),"0"))</f>
        <v/>
      </c>
      <c r="N3533" s="5">
        <f>IFERROR(INDEX(DePara!$A:$A,MATCH(TEXT(B3533,"0"),DePara!$D:$D,0)),"(sem categoria)")</f>
        <v/>
      </c>
      <c r="O3533" s="5">
        <f>IF(J3533="","",Parametros!$B$6-J3533)</f>
        <v/>
      </c>
      <c r="P3533" s="5">
        <f>IF(O3533="","",IF(O3533&gt;0,1,0))</f>
        <v/>
      </c>
    </row>
    <row r="3534">
      <c r="A3534" s="5" t="n">
        <v>2111000000</v>
      </c>
      <c r="B3534" s="5" t="inlineStr">
        <is>
          <t>101969</t>
        </is>
      </c>
      <c r="C3534" s="5" t="inlineStr">
        <is>
          <t>SECRETARIA DE ESTADO DA FAZENDA RN</t>
        </is>
      </c>
      <c r="D3534" s="5" t="inlineStr">
        <is>
          <t>UE</t>
        </is>
      </c>
      <c r="E3534" s="5" t="n">
        <v>200015795</v>
      </c>
      <c r="F3534" s="5" t="inlineStr">
        <is>
          <t>13412</t>
        </is>
      </c>
      <c r="G3534" s="5" t="inlineStr">
        <is>
          <t>BRL</t>
        </is>
      </c>
      <c r="H3534" s="9" t="n">
        <v>-141.48</v>
      </c>
      <c r="I3534" s="16" t="n">
        <v>44995</v>
      </c>
      <c r="J3534" s="16" t="n">
        <v>44995</v>
      </c>
      <c r="K3534" s="5" t="inlineStr">
        <is>
          <t>000001298002</t>
        </is>
      </c>
      <c r="L3534" s="5" t="inlineStr">
        <is>
          <t>475000.210215</t>
        </is>
      </c>
      <c r="M3534" s="5">
        <f>IF(YEAR(I3534)&lt;=2020,"Até 2020",TEXT(YEAR(I3534),"0"))</f>
        <v/>
      </c>
      <c r="N3534" s="5">
        <f>IFERROR(INDEX(DePara!$A:$A,MATCH(TEXT(B3534,"0"),DePara!$D:$D,0)),"(sem categoria)")</f>
        <v/>
      </c>
      <c r="O3534" s="5">
        <f>IF(J3534="","",Parametros!$B$6-J3534)</f>
        <v/>
      </c>
      <c r="P3534" s="5">
        <f>IF(O3534="","",IF(O3534&gt;0,1,0))</f>
        <v/>
      </c>
    </row>
    <row r="3535">
      <c r="A3535" s="5" t="n">
        <v>2111000000</v>
      </c>
      <c r="B3535" s="5" t="inlineStr">
        <is>
          <t>101969</t>
        </is>
      </c>
      <c r="C3535" s="5" t="inlineStr">
        <is>
          <t>SECRETARIA DE ESTADO DA FAZENDA RN</t>
        </is>
      </c>
      <c r="D3535" s="5" t="inlineStr">
        <is>
          <t>UE</t>
        </is>
      </c>
      <c r="E3535" s="5" t="n">
        <v>200015796</v>
      </c>
      <c r="F3535" s="5" t="inlineStr">
        <is>
          <t>13413</t>
        </is>
      </c>
      <c r="G3535" s="5" t="inlineStr">
        <is>
          <t>BRL</t>
        </is>
      </c>
      <c r="H3535" s="9" t="n">
        <v>-60</v>
      </c>
      <c r="I3535" s="16" t="n">
        <v>44995</v>
      </c>
      <c r="J3535" s="16" t="n">
        <v>44995</v>
      </c>
      <c r="K3535" s="5" t="inlineStr">
        <is>
          <t>000001294002</t>
        </is>
      </c>
      <c r="L3535" s="5" t="inlineStr">
        <is>
          <t>475000.210215</t>
        </is>
      </c>
      <c r="M3535" s="5">
        <f>IF(YEAR(I3535)&lt;=2020,"Até 2020",TEXT(YEAR(I3535),"0"))</f>
        <v/>
      </c>
      <c r="N3535" s="5">
        <f>IFERROR(INDEX(DePara!$A:$A,MATCH(TEXT(B3535,"0"),DePara!$D:$D,0)),"(sem categoria)")</f>
        <v/>
      </c>
      <c r="O3535" s="5">
        <f>IF(J3535="","",Parametros!$B$6-J3535)</f>
        <v/>
      </c>
      <c r="P3535" s="5">
        <f>IF(O3535="","",IF(O3535&gt;0,1,0))</f>
        <v/>
      </c>
    </row>
    <row r="3536">
      <c r="A3536" s="5" t="n">
        <v>2111000000</v>
      </c>
      <c r="B3536" s="5" t="inlineStr">
        <is>
          <t>101969</t>
        </is>
      </c>
      <c r="C3536" s="5" t="inlineStr">
        <is>
          <t>SECRETARIA DE ESTADO DA FAZENDA RN</t>
        </is>
      </c>
      <c r="D3536" s="5" t="inlineStr">
        <is>
          <t>UE</t>
        </is>
      </c>
      <c r="E3536" s="5" t="n">
        <v>200015797</v>
      </c>
      <c r="F3536" s="5" t="inlineStr">
        <is>
          <t>13414</t>
        </is>
      </c>
      <c r="G3536" s="5" t="inlineStr">
        <is>
          <t>BRL</t>
        </is>
      </c>
      <c r="H3536" s="9" t="n">
        <v>-801.72</v>
      </c>
      <c r="I3536" s="16" t="n">
        <v>44995</v>
      </c>
      <c r="J3536" s="16" t="n">
        <v>44995</v>
      </c>
      <c r="K3536" s="5" t="inlineStr">
        <is>
          <t>000001297002</t>
        </is>
      </c>
      <c r="L3536" s="5" t="inlineStr">
        <is>
          <t>475000.210215</t>
        </is>
      </c>
      <c r="M3536" s="5">
        <f>IF(YEAR(I3536)&lt;=2020,"Até 2020",TEXT(YEAR(I3536),"0"))</f>
        <v/>
      </c>
      <c r="N3536" s="5">
        <f>IFERROR(INDEX(DePara!$A:$A,MATCH(TEXT(B3536,"0"),DePara!$D:$D,0)),"(sem categoria)")</f>
        <v/>
      </c>
      <c r="O3536" s="5">
        <f>IF(J3536="","",Parametros!$B$6-J3536)</f>
        <v/>
      </c>
      <c r="P3536" s="5">
        <f>IF(O3536="","",IF(O3536&gt;0,1,0))</f>
        <v/>
      </c>
    </row>
    <row r="3537">
      <c r="A3537" s="5" t="n">
        <v>2111000000</v>
      </c>
      <c r="B3537" s="5" t="inlineStr">
        <is>
          <t>101569</t>
        </is>
      </c>
      <c r="C3537" s="5" t="inlineStr">
        <is>
          <t>SECRETARIA DA FAZENDA CEARA</t>
        </is>
      </c>
      <c r="D3537" s="5" t="inlineStr">
        <is>
          <t>UE</t>
        </is>
      </c>
      <c r="E3537" s="5" t="n">
        <v>200015798</v>
      </c>
      <c r="F3537" s="5" t="inlineStr">
        <is>
          <t>13415</t>
        </is>
      </c>
      <c r="G3537" s="5" t="inlineStr">
        <is>
          <t>BRL</t>
        </is>
      </c>
      <c r="H3537" s="9" t="n">
        <v>-338.4</v>
      </c>
      <c r="I3537" s="16" t="n">
        <v>45005</v>
      </c>
      <c r="J3537" s="16" t="n">
        <v>45005</v>
      </c>
      <c r="K3537" s="5" t="inlineStr">
        <is>
          <t>000001309002</t>
        </is>
      </c>
      <c r="L3537" s="5" t="inlineStr">
        <is>
          <t>475000.210215</t>
        </is>
      </c>
      <c r="M3537" s="5">
        <f>IF(YEAR(I3537)&lt;=2020,"Até 2020",TEXT(YEAR(I3537),"0"))</f>
        <v/>
      </c>
      <c r="N3537" s="5">
        <f>IFERROR(INDEX(DePara!$A:$A,MATCH(TEXT(B3537,"0"),DePara!$D:$D,0)),"(sem categoria)")</f>
        <v/>
      </c>
      <c r="O3537" s="5">
        <f>IF(J3537="","",Parametros!$B$6-J3537)</f>
        <v/>
      </c>
      <c r="P3537" s="5">
        <f>IF(O3537="","",IF(O3537&gt;0,1,0))</f>
        <v/>
      </c>
    </row>
    <row r="3538">
      <c r="A3538" s="5" t="n">
        <v>2111000000</v>
      </c>
      <c r="B3538" s="5" t="inlineStr">
        <is>
          <t>101569</t>
        </is>
      </c>
      <c r="C3538" s="5" t="inlineStr">
        <is>
          <t>SECRETARIA DA FAZENDA CEARA</t>
        </is>
      </c>
      <c r="D3538" s="5" t="inlineStr">
        <is>
          <t>UE</t>
        </is>
      </c>
      <c r="E3538" s="5" t="n">
        <v>200015799</v>
      </c>
      <c r="F3538" s="5" t="inlineStr">
        <is>
          <t>13416</t>
        </is>
      </c>
      <c r="G3538" s="5" t="inlineStr">
        <is>
          <t>BRL</t>
        </is>
      </c>
      <c r="H3538" s="9" t="n">
        <v>-522</v>
      </c>
      <c r="I3538" s="16" t="n">
        <v>45006</v>
      </c>
      <c r="J3538" s="16" t="n">
        <v>45006</v>
      </c>
      <c r="K3538" s="5" t="inlineStr">
        <is>
          <t>000001315002</t>
        </is>
      </c>
      <c r="L3538" s="5" t="inlineStr">
        <is>
          <t>475000.210215</t>
        </is>
      </c>
      <c r="M3538" s="5">
        <f>IF(YEAR(I3538)&lt;=2020,"Até 2020",TEXT(YEAR(I3538),"0"))</f>
        <v/>
      </c>
      <c r="N3538" s="5">
        <f>IFERROR(INDEX(DePara!$A:$A,MATCH(TEXT(B3538,"0"),DePara!$D:$D,0)),"(sem categoria)")</f>
        <v/>
      </c>
      <c r="O3538" s="5">
        <f>IF(J3538="","",Parametros!$B$6-J3538)</f>
        <v/>
      </c>
      <c r="P3538" s="5">
        <f>IF(O3538="","",IF(O3538&gt;0,1,0))</f>
        <v/>
      </c>
    </row>
    <row r="3539">
      <c r="A3539" s="5" t="n">
        <v>2111000000</v>
      </c>
      <c r="B3539" s="5" t="inlineStr">
        <is>
          <t>101969</t>
        </is>
      </c>
      <c r="C3539" s="5" t="inlineStr">
        <is>
          <t>SECRETARIA DE ESTADO DA FAZENDA RN</t>
        </is>
      </c>
      <c r="D3539" s="5" t="inlineStr">
        <is>
          <t>UE</t>
        </is>
      </c>
      <c r="E3539" s="5" t="n">
        <v>200015800</v>
      </c>
      <c r="F3539" s="5" t="inlineStr">
        <is>
          <t>13417</t>
        </is>
      </c>
      <c r="G3539" s="5" t="inlineStr">
        <is>
          <t>BRL</t>
        </is>
      </c>
      <c r="H3539" s="9" t="n">
        <v>-453.6</v>
      </c>
      <c r="I3539" s="16" t="n">
        <v>45002</v>
      </c>
      <c r="J3539" s="16" t="n">
        <v>45002</v>
      </c>
      <c r="K3539" s="5" t="inlineStr">
        <is>
          <t>000001307002</t>
        </is>
      </c>
      <c r="L3539" s="5" t="inlineStr">
        <is>
          <t>475000.210215</t>
        </is>
      </c>
      <c r="M3539" s="5">
        <f>IF(YEAR(I3539)&lt;=2020,"Até 2020",TEXT(YEAR(I3539),"0"))</f>
        <v/>
      </c>
      <c r="N3539" s="5">
        <f>IFERROR(INDEX(DePara!$A:$A,MATCH(TEXT(B3539,"0"),DePara!$D:$D,0)),"(sem categoria)")</f>
        <v/>
      </c>
      <c r="O3539" s="5">
        <f>IF(J3539="","",Parametros!$B$6-J3539)</f>
        <v/>
      </c>
      <c r="P3539" s="5">
        <f>IF(O3539="","",IF(O3539&gt;0,1,0))</f>
        <v/>
      </c>
    </row>
    <row r="3540">
      <c r="A3540" s="5" t="n">
        <v>2111000000</v>
      </c>
      <c r="B3540" s="5" t="inlineStr">
        <is>
          <t>101969</t>
        </is>
      </c>
      <c r="C3540" s="5" t="inlineStr">
        <is>
          <t>SECRETARIA DE ESTADO DA FAZENDA RN</t>
        </is>
      </c>
      <c r="D3540" s="5" t="inlineStr">
        <is>
          <t>UE</t>
        </is>
      </c>
      <c r="E3540" s="5" t="n">
        <v>200015801</v>
      </c>
      <c r="F3540" s="5" t="inlineStr">
        <is>
          <t>13418</t>
        </is>
      </c>
      <c r="G3540" s="5" t="inlineStr">
        <is>
          <t>BRL</t>
        </is>
      </c>
      <c r="H3540" s="9" t="n">
        <v>-949.2</v>
      </c>
      <c r="I3540" s="16" t="n">
        <v>44994</v>
      </c>
      <c r="J3540" s="16" t="n">
        <v>44994</v>
      </c>
      <c r="K3540" s="5" t="inlineStr">
        <is>
          <t>000001287002</t>
        </is>
      </c>
      <c r="L3540" s="5" t="inlineStr">
        <is>
          <t>475000.210215</t>
        </is>
      </c>
      <c r="M3540" s="5">
        <f>IF(YEAR(I3540)&lt;=2020,"Até 2020",TEXT(YEAR(I3540),"0"))</f>
        <v/>
      </c>
      <c r="N3540" s="5">
        <f>IFERROR(INDEX(DePara!$A:$A,MATCH(TEXT(B3540,"0"),DePara!$D:$D,0)),"(sem categoria)")</f>
        <v/>
      </c>
      <c r="O3540" s="5">
        <f>IF(J3540="","",Parametros!$B$6-J3540)</f>
        <v/>
      </c>
      <c r="P3540" s="5">
        <f>IF(O3540="","",IF(O3540&gt;0,1,0))</f>
        <v/>
      </c>
    </row>
    <row r="3541">
      <c r="A3541" s="5" t="n">
        <v>2111000000</v>
      </c>
      <c r="B3541" s="5" t="inlineStr">
        <is>
          <t>101969</t>
        </is>
      </c>
      <c r="C3541" s="5" t="inlineStr">
        <is>
          <t>SECRETARIA DE ESTADO DA FAZENDA RN</t>
        </is>
      </c>
      <c r="D3541" s="5" t="inlineStr">
        <is>
          <t>UE</t>
        </is>
      </c>
      <c r="E3541" s="5" t="n">
        <v>200015802</v>
      </c>
      <c r="F3541" s="5" t="inlineStr">
        <is>
          <t>13419</t>
        </is>
      </c>
      <c r="G3541" s="5" t="inlineStr">
        <is>
          <t>BRL</t>
        </is>
      </c>
      <c r="H3541" s="9" t="n">
        <v>-1656</v>
      </c>
      <c r="I3541" s="16" t="n">
        <v>45006</v>
      </c>
      <c r="J3541" s="16" t="n">
        <v>45006</v>
      </c>
      <c r="K3541" s="5" t="inlineStr">
        <is>
          <t>000001314002</t>
        </is>
      </c>
      <c r="L3541" s="5" t="inlineStr">
        <is>
          <t>475000.210215</t>
        </is>
      </c>
      <c r="M3541" s="5">
        <f>IF(YEAR(I3541)&lt;=2020,"Até 2020",TEXT(YEAR(I3541),"0"))</f>
        <v/>
      </c>
      <c r="N3541" s="5">
        <f>IFERROR(INDEX(DePara!$A:$A,MATCH(TEXT(B3541,"0"),DePara!$D:$D,0)),"(sem categoria)")</f>
        <v/>
      </c>
      <c r="O3541" s="5">
        <f>IF(J3541="","",Parametros!$B$6-J3541)</f>
        <v/>
      </c>
      <c r="P3541" s="5">
        <f>IF(O3541="","",IF(O3541&gt;0,1,0))</f>
        <v/>
      </c>
    </row>
    <row r="3542">
      <c r="A3542" s="5" t="n">
        <v>2111000000</v>
      </c>
      <c r="B3542" s="5" t="inlineStr">
        <is>
          <t>101969</t>
        </is>
      </c>
      <c r="C3542" s="5" t="inlineStr">
        <is>
          <t>SECRETARIA DE ESTADO DA FAZENDA RN</t>
        </is>
      </c>
      <c r="D3542" s="5" t="inlineStr">
        <is>
          <t>UE</t>
        </is>
      </c>
      <c r="E3542" s="5" t="n">
        <v>200015804</v>
      </c>
      <c r="F3542" s="5" t="inlineStr">
        <is>
          <t>13420</t>
        </is>
      </c>
      <c r="G3542" s="5" t="inlineStr">
        <is>
          <t>BRL</t>
        </is>
      </c>
      <c r="H3542" s="9" t="n">
        <v>-1536</v>
      </c>
      <c r="I3542" s="16" t="n">
        <v>45009</v>
      </c>
      <c r="J3542" s="16" t="n">
        <v>45009</v>
      </c>
      <c r="K3542" s="5" t="inlineStr">
        <is>
          <t>000001324002</t>
        </is>
      </c>
      <c r="L3542" s="5" t="inlineStr">
        <is>
          <t>475000.210215</t>
        </is>
      </c>
      <c r="M3542" s="5">
        <f>IF(YEAR(I3542)&lt;=2020,"Até 2020",TEXT(YEAR(I3542),"0"))</f>
        <v/>
      </c>
      <c r="N3542" s="5">
        <f>IFERROR(INDEX(DePara!$A:$A,MATCH(TEXT(B3542,"0"),DePara!$D:$D,0)),"(sem categoria)")</f>
        <v/>
      </c>
      <c r="O3542" s="5">
        <f>IF(J3542="","",Parametros!$B$6-J3542)</f>
        <v/>
      </c>
      <c r="P3542" s="5">
        <f>IF(O3542="","",IF(O3542&gt;0,1,0))</f>
        <v/>
      </c>
    </row>
    <row r="3543">
      <c r="A3543" s="5" t="n">
        <v>2111000000</v>
      </c>
      <c r="B3543" s="5" t="inlineStr">
        <is>
          <t>101969</t>
        </is>
      </c>
      <c r="C3543" s="5" t="inlineStr">
        <is>
          <t>SECRETARIA DE ESTADO DA FAZENDA RN</t>
        </is>
      </c>
      <c r="D3543" s="5" t="inlineStr">
        <is>
          <t>UE</t>
        </is>
      </c>
      <c r="E3543" s="5" t="n">
        <v>200015805</v>
      </c>
      <c r="F3543" s="5" t="inlineStr">
        <is>
          <t>13421</t>
        </is>
      </c>
      <c r="G3543" s="5" t="inlineStr">
        <is>
          <t>BRL</t>
        </is>
      </c>
      <c r="H3543" s="9" t="n">
        <v>-240</v>
      </c>
      <c r="I3543" s="16" t="n">
        <v>45009</v>
      </c>
      <c r="J3543" s="16" t="n">
        <v>45009</v>
      </c>
      <c r="K3543" s="5" t="inlineStr">
        <is>
          <t>000001323002</t>
        </is>
      </c>
      <c r="L3543" s="5" t="inlineStr">
        <is>
          <t>475000.210215</t>
        </is>
      </c>
      <c r="M3543" s="5">
        <f>IF(YEAR(I3543)&lt;=2020,"Até 2020",TEXT(YEAR(I3543),"0"))</f>
        <v/>
      </c>
      <c r="N3543" s="5">
        <f>IFERROR(INDEX(DePara!$A:$A,MATCH(TEXT(B3543,"0"),DePara!$D:$D,0)),"(sem categoria)")</f>
        <v/>
      </c>
      <c r="O3543" s="5">
        <f>IF(J3543="","",Parametros!$B$6-J3543)</f>
        <v/>
      </c>
      <c r="P3543" s="5">
        <f>IF(O3543="","",IF(O3543&gt;0,1,0))</f>
        <v/>
      </c>
    </row>
    <row r="3544">
      <c r="A3544" s="5" t="n">
        <v>2111000000</v>
      </c>
      <c r="B3544" s="5" t="inlineStr">
        <is>
          <t>101569</t>
        </is>
      </c>
      <c r="C3544" s="5" t="inlineStr">
        <is>
          <t>SECRETARIA DA FAZENDA CEARA</t>
        </is>
      </c>
      <c r="D3544" s="5" t="inlineStr">
        <is>
          <t>UE</t>
        </is>
      </c>
      <c r="E3544" s="5" t="n">
        <v>200015806</v>
      </c>
      <c r="F3544" s="5" t="inlineStr">
        <is>
          <t>13422</t>
        </is>
      </c>
      <c r="G3544" s="5" t="inlineStr">
        <is>
          <t>BRL</t>
        </is>
      </c>
      <c r="H3544" s="9" t="n">
        <v>-324</v>
      </c>
      <c r="I3544" s="16" t="n">
        <v>45013</v>
      </c>
      <c r="J3544" s="16" t="n">
        <v>45013</v>
      </c>
      <c r="K3544" s="5" t="inlineStr">
        <is>
          <t>000001331002</t>
        </is>
      </c>
      <c r="L3544" s="5" t="inlineStr">
        <is>
          <t>475000.210215</t>
        </is>
      </c>
      <c r="M3544" s="5">
        <f>IF(YEAR(I3544)&lt;=2020,"Até 2020",TEXT(YEAR(I3544),"0"))</f>
        <v/>
      </c>
      <c r="N3544" s="5">
        <f>IFERROR(INDEX(DePara!$A:$A,MATCH(TEXT(B3544,"0"),DePara!$D:$D,0)),"(sem categoria)")</f>
        <v/>
      </c>
      <c r="O3544" s="5">
        <f>IF(J3544="","",Parametros!$B$6-J3544)</f>
        <v/>
      </c>
      <c r="P3544" s="5">
        <f>IF(O3544="","",IF(O3544&gt;0,1,0))</f>
        <v/>
      </c>
    </row>
    <row r="3545">
      <c r="A3545" s="5" t="n">
        <v>2111000000</v>
      </c>
      <c r="B3545" s="5" t="inlineStr">
        <is>
          <t>101569</t>
        </is>
      </c>
      <c r="C3545" s="5" t="inlineStr">
        <is>
          <t>SECRETARIA DA FAZENDA CEARA</t>
        </is>
      </c>
      <c r="D3545" s="5" t="inlineStr">
        <is>
          <t>UE</t>
        </is>
      </c>
      <c r="E3545" s="5" t="n">
        <v>200015807</v>
      </c>
      <c r="F3545" s="5" t="inlineStr">
        <is>
          <t>13423</t>
        </is>
      </c>
      <c r="G3545" s="5" t="inlineStr">
        <is>
          <t>BRL</t>
        </is>
      </c>
      <c r="H3545" s="9" t="n">
        <v>-666</v>
      </c>
      <c r="I3545" s="16" t="n">
        <v>45014</v>
      </c>
      <c r="J3545" s="16" t="n">
        <v>45014</v>
      </c>
      <c r="K3545" s="5" t="inlineStr">
        <is>
          <t>000001335002</t>
        </is>
      </c>
      <c r="L3545" s="5" t="inlineStr">
        <is>
          <t>475000.210215</t>
        </is>
      </c>
      <c r="M3545" s="5">
        <f>IF(YEAR(I3545)&lt;=2020,"Até 2020",TEXT(YEAR(I3545),"0"))</f>
        <v/>
      </c>
      <c r="N3545" s="5">
        <f>IFERROR(INDEX(DePara!$A:$A,MATCH(TEXT(B3545,"0"),DePara!$D:$D,0)),"(sem categoria)")</f>
        <v/>
      </c>
      <c r="O3545" s="5">
        <f>IF(J3545="","",Parametros!$B$6-J3545)</f>
        <v/>
      </c>
      <c r="P3545" s="5">
        <f>IF(O3545="","",IF(O3545&gt;0,1,0))</f>
        <v/>
      </c>
    </row>
    <row r="3546">
      <c r="A3546" s="5" t="n">
        <v>2111000000</v>
      </c>
      <c r="B3546" s="5" t="inlineStr">
        <is>
          <t>101969</t>
        </is>
      </c>
      <c r="C3546" s="5" t="inlineStr">
        <is>
          <t>SECRETARIA DE ESTADO DA FAZENDA RN</t>
        </is>
      </c>
      <c r="D3546" s="5" t="inlineStr">
        <is>
          <t>UE</t>
        </is>
      </c>
      <c r="E3546" s="5" t="n">
        <v>200015808</v>
      </c>
      <c r="F3546" s="5" t="inlineStr">
        <is>
          <t>13424</t>
        </is>
      </c>
      <c r="G3546" s="5" t="inlineStr">
        <is>
          <t>BRL</t>
        </is>
      </c>
      <c r="H3546" s="9" t="n">
        <v>-82.5</v>
      </c>
      <c r="I3546" s="16" t="n">
        <v>45015</v>
      </c>
      <c r="J3546" s="16" t="n">
        <v>45015</v>
      </c>
      <c r="K3546" s="5" t="inlineStr">
        <is>
          <t>000001338002</t>
        </is>
      </c>
      <c r="L3546" s="5" t="inlineStr">
        <is>
          <t>475000.210215</t>
        </is>
      </c>
      <c r="M3546" s="5">
        <f>IF(YEAR(I3546)&lt;=2020,"Até 2020",TEXT(YEAR(I3546),"0"))</f>
        <v/>
      </c>
      <c r="N3546" s="5">
        <f>IFERROR(INDEX(DePara!$A:$A,MATCH(TEXT(B3546,"0"),DePara!$D:$D,0)),"(sem categoria)")</f>
        <v/>
      </c>
      <c r="O3546" s="5">
        <f>IF(J3546="","",Parametros!$B$6-J3546)</f>
        <v/>
      </c>
      <c r="P3546" s="5">
        <f>IF(O3546="","",IF(O3546&gt;0,1,0))</f>
        <v/>
      </c>
    </row>
    <row r="3547">
      <c r="A3547" s="5" t="n">
        <v>2111000000</v>
      </c>
      <c r="B3547" s="5" t="inlineStr">
        <is>
          <t>103681</t>
        </is>
      </c>
      <c r="C3547" s="5" t="inlineStr">
        <is>
          <t>SECRETARIA DA FAZENDA BAHIA</t>
        </is>
      </c>
      <c r="D3547" s="5" t="inlineStr">
        <is>
          <t>UE</t>
        </is>
      </c>
      <c r="E3547" s="5" t="n">
        <v>200015809</v>
      </c>
      <c r="F3547" s="5" t="inlineStr">
        <is>
          <t>13425</t>
        </is>
      </c>
      <c r="G3547" s="5" t="inlineStr">
        <is>
          <t>BRL</t>
        </is>
      </c>
      <c r="H3547" s="9" t="n">
        <v>-973.52</v>
      </c>
      <c r="I3547" s="16" t="n">
        <v>45015</v>
      </c>
      <c r="J3547" s="16" t="n">
        <v>45015</v>
      </c>
      <c r="K3547" s="5" t="inlineStr">
        <is>
          <t>000001340002</t>
        </is>
      </c>
      <c r="L3547" s="5" t="inlineStr">
        <is>
          <t>475000.210215</t>
        </is>
      </c>
      <c r="M3547" s="5">
        <f>IF(YEAR(I3547)&lt;=2020,"Até 2020",TEXT(YEAR(I3547),"0"))</f>
        <v/>
      </c>
      <c r="N3547" s="5">
        <f>IFERROR(INDEX(DePara!$A:$A,MATCH(TEXT(B3547,"0"),DePara!$D:$D,0)),"(sem categoria)")</f>
        <v/>
      </c>
      <c r="O3547" s="5">
        <f>IF(J3547="","",Parametros!$B$6-J3547)</f>
        <v/>
      </c>
      <c r="P3547" s="5">
        <f>IF(O3547="","",IF(O3547&gt;0,1,0))</f>
        <v/>
      </c>
    </row>
    <row r="3548">
      <c r="A3548" s="5" t="n">
        <v>2111000000</v>
      </c>
      <c r="B3548" s="5" t="inlineStr">
        <is>
          <t>101569</t>
        </is>
      </c>
      <c r="C3548" s="5" t="inlineStr">
        <is>
          <t>SECRETARIA DA FAZENDA CEARA</t>
        </is>
      </c>
      <c r="D3548" s="5" t="inlineStr">
        <is>
          <t>UE</t>
        </is>
      </c>
      <c r="E3548" s="5" t="n">
        <v>200015810</v>
      </c>
      <c r="F3548" s="5" t="inlineStr">
        <is>
          <t>13426</t>
        </is>
      </c>
      <c r="G3548" s="5" t="inlineStr">
        <is>
          <t>BRL</t>
        </is>
      </c>
      <c r="H3548" s="9" t="n">
        <v>-699.84</v>
      </c>
      <c r="I3548" s="16" t="n">
        <v>45040</v>
      </c>
      <c r="J3548" s="16" t="n">
        <v>45040</v>
      </c>
      <c r="K3548" s="5" t="inlineStr">
        <is>
          <t>000001402002</t>
        </is>
      </c>
      <c r="L3548" s="5" t="inlineStr">
        <is>
          <t>475000.210215</t>
        </is>
      </c>
      <c r="M3548" s="5">
        <f>IF(YEAR(I3548)&lt;=2020,"Até 2020",TEXT(YEAR(I3548),"0"))</f>
        <v/>
      </c>
      <c r="N3548" s="5">
        <f>IFERROR(INDEX(DePara!$A:$A,MATCH(TEXT(B3548,"0"),DePara!$D:$D,0)),"(sem categoria)")</f>
        <v/>
      </c>
      <c r="O3548" s="5">
        <f>IF(J3548="","",Parametros!$B$6-J3548)</f>
        <v/>
      </c>
      <c r="P3548" s="5">
        <f>IF(O3548="","",IF(O3548&gt;0,1,0))</f>
        <v/>
      </c>
    </row>
    <row r="3549">
      <c r="A3549" s="5" t="n">
        <v>2111000000</v>
      </c>
      <c r="B3549" s="5" t="inlineStr">
        <is>
          <t>101969</t>
        </is>
      </c>
      <c r="C3549" s="5" t="inlineStr">
        <is>
          <t>SECRETARIA DE ESTADO DA FAZENDA RN</t>
        </is>
      </c>
      <c r="D3549" s="5" t="inlineStr">
        <is>
          <t>UE</t>
        </is>
      </c>
      <c r="E3549" s="5" t="n">
        <v>200015811</v>
      </c>
      <c r="F3549" s="5" t="inlineStr">
        <is>
          <t>13427</t>
        </is>
      </c>
      <c r="G3549" s="5" t="inlineStr">
        <is>
          <t>BRL</t>
        </is>
      </c>
      <c r="H3549" s="9" t="n">
        <v>-60</v>
      </c>
      <c r="I3549" s="16" t="n">
        <v>45070</v>
      </c>
      <c r="J3549" s="16" t="n">
        <v>45070</v>
      </c>
      <c r="K3549" s="5" t="inlineStr">
        <is>
          <t>000001472002</t>
        </is>
      </c>
      <c r="L3549" s="5" t="inlineStr">
        <is>
          <t>475000.210215</t>
        </is>
      </c>
      <c r="M3549" s="5">
        <f>IF(YEAR(I3549)&lt;=2020,"Até 2020",TEXT(YEAR(I3549),"0"))</f>
        <v/>
      </c>
      <c r="N3549" s="5">
        <f>IFERROR(INDEX(DePara!$A:$A,MATCH(TEXT(B3549,"0"),DePara!$D:$D,0)),"(sem categoria)")</f>
        <v/>
      </c>
      <c r="O3549" s="5">
        <f>IF(J3549="","",Parametros!$B$6-J3549)</f>
        <v/>
      </c>
      <c r="P3549" s="5">
        <f>IF(O3549="","",IF(O3549&gt;0,1,0))</f>
        <v/>
      </c>
    </row>
    <row r="3550">
      <c r="A3550" s="5" t="n">
        <v>2111000000</v>
      </c>
      <c r="B3550" s="5" t="inlineStr">
        <is>
          <t>101969</t>
        </is>
      </c>
      <c r="C3550" s="5" t="inlineStr">
        <is>
          <t>SECRETARIA DE ESTADO DA FAZENDA RN</t>
        </is>
      </c>
      <c r="D3550" s="5" t="inlineStr">
        <is>
          <t>UE</t>
        </is>
      </c>
      <c r="E3550" s="5" t="n">
        <v>200015812</v>
      </c>
      <c r="F3550" s="5" t="inlineStr">
        <is>
          <t>13428</t>
        </is>
      </c>
      <c r="G3550" s="5" t="inlineStr">
        <is>
          <t>BRL</t>
        </is>
      </c>
      <c r="H3550" s="9" t="n">
        <v>-240</v>
      </c>
      <c r="I3550" s="16" t="n">
        <v>45070</v>
      </c>
      <c r="J3550" s="16" t="n">
        <v>45070</v>
      </c>
      <c r="K3550" s="5" t="inlineStr">
        <is>
          <t>000001473002</t>
        </is>
      </c>
      <c r="L3550" s="5" t="inlineStr">
        <is>
          <t>475000.210215</t>
        </is>
      </c>
      <c r="M3550" s="5">
        <f>IF(YEAR(I3550)&lt;=2020,"Até 2020",TEXT(YEAR(I3550),"0"))</f>
        <v/>
      </c>
      <c r="N3550" s="5">
        <f>IFERROR(INDEX(DePara!$A:$A,MATCH(TEXT(B3550,"0"),DePara!$D:$D,0)),"(sem categoria)")</f>
        <v/>
      </c>
      <c r="O3550" s="5">
        <f>IF(J3550="","",Parametros!$B$6-J3550)</f>
        <v/>
      </c>
      <c r="P3550" s="5">
        <f>IF(O3550="","",IF(O3550&gt;0,1,0))</f>
        <v/>
      </c>
    </row>
    <row r="3551">
      <c r="A3551" s="5" t="n">
        <v>2111000000</v>
      </c>
      <c r="B3551" s="5" t="inlineStr">
        <is>
          <t>101969</t>
        </is>
      </c>
      <c r="C3551" s="5" t="inlineStr">
        <is>
          <t>SECRETARIA DE ESTADO DA FAZENDA RN</t>
        </is>
      </c>
      <c r="D3551" s="5" t="inlineStr">
        <is>
          <t>UE</t>
        </is>
      </c>
      <c r="E3551" s="5" t="n">
        <v>200015813</v>
      </c>
      <c r="F3551" s="5" t="inlineStr">
        <is>
          <t>13429</t>
        </is>
      </c>
      <c r="G3551" s="5" t="inlineStr">
        <is>
          <t>BRL</t>
        </is>
      </c>
      <c r="H3551" s="9" t="n">
        <v>-43.68</v>
      </c>
      <c r="I3551" s="16" t="n">
        <v>45054</v>
      </c>
      <c r="J3551" s="16" t="n">
        <v>45054</v>
      </c>
      <c r="K3551" s="5" t="inlineStr">
        <is>
          <t>000001433002</t>
        </is>
      </c>
      <c r="L3551" s="5" t="inlineStr">
        <is>
          <t>475000.210215</t>
        </is>
      </c>
      <c r="M3551" s="5">
        <f>IF(YEAR(I3551)&lt;=2020,"Até 2020",TEXT(YEAR(I3551),"0"))</f>
        <v/>
      </c>
      <c r="N3551" s="5">
        <f>IFERROR(INDEX(DePara!$A:$A,MATCH(TEXT(B3551,"0"),DePara!$D:$D,0)),"(sem categoria)")</f>
        <v/>
      </c>
      <c r="O3551" s="5">
        <f>IF(J3551="","",Parametros!$B$6-J3551)</f>
        <v/>
      </c>
      <c r="P3551" s="5">
        <f>IF(O3551="","",IF(O3551&gt;0,1,0))</f>
        <v/>
      </c>
    </row>
    <row r="3552">
      <c r="A3552" s="5" t="n">
        <v>2111000000</v>
      </c>
      <c r="B3552" s="5" t="inlineStr">
        <is>
          <t>101969</t>
        </is>
      </c>
      <c r="C3552" s="5" t="inlineStr">
        <is>
          <t>SECRETARIA DE ESTADO DA FAZENDA RN</t>
        </is>
      </c>
      <c r="D3552" s="5" t="inlineStr">
        <is>
          <t>UE</t>
        </is>
      </c>
      <c r="E3552" s="5" t="n">
        <v>200015815</v>
      </c>
      <c r="F3552" s="5" t="inlineStr">
        <is>
          <t>13430</t>
        </is>
      </c>
      <c r="G3552" s="5" t="inlineStr">
        <is>
          <t>BRL</t>
        </is>
      </c>
      <c r="H3552" s="9" t="n">
        <v>-508.8</v>
      </c>
      <c r="I3552" s="16" t="n">
        <v>45054</v>
      </c>
      <c r="J3552" s="16" t="n">
        <v>45054</v>
      </c>
      <c r="K3552" s="5" t="inlineStr">
        <is>
          <t>000001435002</t>
        </is>
      </c>
      <c r="L3552" s="5" t="inlineStr">
        <is>
          <t>475000.210215</t>
        </is>
      </c>
      <c r="M3552" s="5">
        <f>IF(YEAR(I3552)&lt;=2020,"Até 2020",TEXT(YEAR(I3552),"0"))</f>
        <v/>
      </c>
      <c r="N3552" s="5">
        <f>IFERROR(INDEX(DePara!$A:$A,MATCH(TEXT(B3552,"0"),DePara!$D:$D,0)),"(sem categoria)")</f>
        <v/>
      </c>
      <c r="O3552" s="5">
        <f>IF(J3552="","",Parametros!$B$6-J3552)</f>
        <v/>
      </c>
      <c r="P3552" s="5">
        <f>IF(O3552="","",IF(O3552&gt;0,1,0))</f>
        <v/>
      </c>
    </row>
    <row r="3553">
      <c r="A3553" s="5" t="n">
        <v>2111000000</v>
      </c>
      <c r="B3553" s="5" t="inlineStr">
        <is>
          <t>101746</t>
        </is>
      </c>
      <c r="C3553" s="5" t="inlineStr">
        <is>
          <t>SECRETARIA DA FAZENDA DO ESTADO DO</t>
        </is>
      </c>
      <c r="D3553" s="5" t="inlineStr">
        <is>
          <t>UE</t>
        </is>
      </c>
      <c r="E3553" s="5" t="n">
        <v>200015843</v>
      </c>
      <c r="F3553" s="5" t="inlineStr">
        <is>
          <t>13456</t>
        </is>
      </c>
      <c r="G3553" s="5" t="inlineStr">
        <is>
          <t>BRL</t>
        </is>
      </c>
      <c r="H3553" s="9" t="n">
        <v>-120</v>
      </c>
      <c r="I3553" s="16" t="n">
        <v>45127</v>
      </c>
      <c r="J3553" s="16" t="n">
        <v>45127</v>
      </c>
      <c r="K3553" s="5" t="inlineStr">
        <is>
          <t>000001588002</t>
        </is>
      </c>
      <c r="L3553" s="5" t="inlineStr">
        <is>
          <t>475000.210215</t>
        </is>
      </c>
      <c r="M3553" s="5">
        <f>IF(YEAR(I3553)&lt;=2020,"Até 2020",TEXT(YEAR(I3553),"0"))</f>
        <v/>
      </c>
      <c r="N3553" s="5">
        <f>IFERROR(INDEX(DePara!$A:$A,MATCH(TEXT(B3553,"0"),DePara!$D:$D,0)),"(sem categoria)")</f>
        <v/>
      </c>
      <c r="O3553" s="5">
        <f>IF(J3553="","",Parametros!$B$6-J3553)</f>
        <v/>
      </c>
      <c r="P3553" s="5">
        <f>IF(O3553="","",IF(O3553&gt;0,1,0))</f>
        <v/>
      </c>
    </row>
    <row r="3554">
      <c r="A3554" s="5" t="n">
        <v>2111000000</v>
      </c>
      <c r="B3554" s="5" t="inlineStr">
        <is>
          <t>103681</t>
        </is>
      </c>
      <c r="C3554" s="5" t="inlineStr">
        <is>
          <t>SECRETARIA DA FAZENDA BAHIA</t>
        </is>
      </c>
      <c r="D3554" s="5" t="inlineStr">
        <is>
          <t>UE</t>
        </is>
      </c>
      <c r="E3554" s="5" t="n">
        <v>200015846</v>
      </c>
      <c r="F3554" s="5" t="inlineStr">
        <is>
          <t>13459</t>
        </is>
      </c>
      <c r="G3554" s="5" t="inlineStr">
        <is>
          <t>BRL</t>
        </is>
      </c>
      <c r="H3554" s="9" t="n">
        <v>-105.27</v>
      </c>
      <c r="I3554" s="16" t="n">
        <v>44573</v>
      </c>
      <c r="J3554" s="16" t="n">
        <v>44573</v>
      </c>
      <c r="K3554" s="5" t="inlineStr">
        <is>
          <t>000000195001</t>
        </is>
      </c>
      <c r="L3554" s="5" t="inlineStr">
        <is>
          <t>475000.210215</t>
        </is>
      </c>
      <c r="M3554" s="5">
        <f>IF(YEAR(I3554)&lt;=2020,"Até 2020",TEXT(YEAR(I3554),"0"))</f>
        <v/>
      </c>
      <c r="N3554" s="5">
        <f>IFERROR(INDEX(DePara!$A:$A,MATCH(TEXT(B3554,"0"),DePara!$D:$D,0)),"(sem categoria)")</f>
        <v/>
      </c>
      <c r="O3554" s="5">
        <f>IF(J3554="","",Parametros!$B$6-J3554)</f>
        <v/>
      </c>
      <c r="P3554" s="5">
        <f>IF(O3554="","",IF(O3554&gt;0,1,0))</f>
        <v/>
      </c>
    </row>
    <row r="3555">
      <c r="A3555" s="5" t="n">
        <v>2111000000</v>
      </c>
      <c r="B3555" s="5" t="inlineStr">
        <is>
          <t>103681</t>
        </is>
      </c>
      <c r="C3555" s="5" t="inlineStr">
        <is>
          <t>SECRETARIA DA FAZENDA BAHIA</t>
        </is>
      </c>
      <c r="D3555" s="5" t="inlineStr">
        <is>
          <t>UE</t>
        </is>
      </c>
      <c r="E3555" s="5" t="n">
        <v>200015848</v>
      </c>
      <c r="F3555" s="5" t="inlineStr">
        <is>
          <t>13460</t>
        </is>
      </c>
      <c r="G3555" s="5" t="inlineStr">
        <is>
          <t>BRL</t>
        </is>
      </c>
      <c r="H3555" s="9" t="n">
        <v>-87.73</v>
      </c>
      <c r="I3555" s="16" t="n">
        <v>44581</v>
      </c>
      <c r="J3555" s="16" t="n">
        <v>44581</v>
      </c>
      <c r="K3555" s="5" t="inlineStr">
        <is>
          <t>000000215001</t>
        </is>
      </c>
      <c r="L3555" s="5" t="inlineStr">
        <is>
          <t>475000.210215</t>
        </is>
      </c>
      <c r="M3555" s="5">
        <f>IF(YEAR(I3555)&lt;=2020,"Até 2020",TEXT(YEAR(I3555),"0"))</f>
        <v/>
      </c>
      <c r="N3555" s="5">
        <f>IFERROR(INDEX(DePara!$A:$A,MATCH(TEXT(B3555,"0"),DePara!$D:$D,0)),"(sem categoria)")</f>
        <v/>
      </c>
      <c r="O3555" s="5">
        <f>IF(J3555="","",Parametros!$B$6-J3555)</f>
        <v/>
      </c>
      <c r="P3555" s="5">
        <f>IF(O3555="","",IF(O3555&gt;0,1,0))</f>
        <v/>
      </c>
    </row>
    <row r="3556">
      <c r="A3556" s="5" t="n">
        <v>2111000000</v>
      </c>
      <c r="B3556" s="5" t="inlineStr">
        <is>
          <t>103681</t>
        </is>
      </c>
      <c r="C3556" s="5" t="inlineStr">
        <is>
          <t>SECRETARIA DA FAZENDA BAHIA</t>
        </is>
      </c>
      <c r="D3556" s="5" t="inlineStr">
        <is>
          <t>UE</t>
        </is>
      </c>
      <c r="E3556" s="5" t="n">
        <v>200015849</v>
      </c>
      <c r="F3556" s="5" t="inlineStr">
        <is>
          <t>13461</t>
        </is>
      </c>
      <c r="G3556" s="5" t="inlineStr">
        <is>
          <t>BRL</t>
        </is>
      </c>
      <c r="H3556" s="9" t="n">
        <v>-105.27</v>
      </c>
      <c r="I3556" s="16" t="n">
        <v>44637</v>
      </c>
      <c r="J3556" s="16" t="n">
        <v>44637</v>
      </c>
      <c r="K3556" s="5" t="inlineStr">
        <is>
          <t>000000385001</t>
        </is>
      </c>
      <c r="L3556" s="5" t="inlineStr">
        <is>
          <t>475000.210215</t>
        </is>
      </c>
      <c r="M3556" s="5">
        <f>IF(YEAR(I3556)&lt;=2020,"Até 2020",TEXT(YEAR(I3556),"0"))</f>
        <v/>
      </c>
      <c r="N3556" s="5">
        <f>IFERROR(INDEX(DePara!$A:$A,MATCH(TEXT(B3556,"0"),DePara!$D:$D,0)),"(sem categoria)")</f>
        <v/>
      </c>
      <c r="O3556" s="5">
        <f>IF(J3556="","",Parametros!$B$6-J3556)</f>
        <v/>
      </c>
      <c r="P3556" s="5">
        <f>IF(O3556="","",IF(O3556&gt;0,1,0))</f>
        <v/>
      </c>
    </row>
    <row r="3557">
      <c r="A3557" s="5" t="n">
        <v>2111000000</v>
      </c>
      <c r="B3557" s="5" t="inlineStr">
        <is>
          <t>101746</t>
        </is>
      </c>
      <c r="C3557" s="5" t="inlineStr">
        <is>
          <t>SECRETARIA DA FAZENDA DO ESTADO DO</t>
        </is>
      </c>
      <c r="D3557" s="5" t="inlineStr">
        <is>
          <t>UE</t>
        </is>
      </c>
      <c r="E3557" s="5" t="n">
        <v>200015854</v>
      </c>
      <c r="F3557" s="5" t="inlineStr">
        <is>
          <t>13466</t>
        </is>
      </c>
      <c r="G3557" s="5" t="inlineStr">
        <is>
          <t>BRL</t>
        </is>
      </c>
      <c r="H3557" s="9" t="n">
        <v>-144.66</v>
      </c>
      <c r="I3557" s="16" t="n">
        <v>45050</v>
      </c>
      <c r="J3557" s="16" t="n">
        <v>45050</v>
      </c>
      <c r="K3557" s="5" t="inlineStr">
        <is>
          <t>000001764001</t>
        </is>
      </c>
      <c r="L3557" s="5" t="inlineStr">
        <is>
          <t>475000.210215</t>
        </is>
      </c>
      <c r="M3557" s="5">
        <f>IF(YEAR(I3557)&lt;=2020,"Até 2020",TEXT(YEAR(I3557),"0"))</f>
        <v/>
      </c>
      <c r="N3557" s="5">
        <f>IFERROR(INDEX(DePara!$A:$A,MATCH(TEXT(B3557,"0"),DePara!$D:$D,0)),"(sem categoria)")</f>
        <v/>
      </c>
      <c r="O3557" s="5">
        <f>IF(J3557="","",Parametros!$B$6-J3557)</f>
        <v/>
      </c>
      <c r="P3557" s="5">
        <f>IF(O3557="","",IF(O3557&gt;0,1,0))</f>
        <v/>
      </c>
    </row>
    <row r="3558">
      <c r="A3558" s="5" t="n">
        <v>2111000000</v>
      </c>
      <c r="B3558" s="5" t="inlineStr">
        <is>
          <t>100929</t>
        </is>
      </c>
      <c r="C3558" s="5" t="inlineStr">
        <is>
          <t>EXPRESSO VALE REAL LTDA</t>
        </is>
      </c>
      <c r="D3558" s="5" t="inlineStr">
        <is>
          <t>UE</t>
        </is>
      </c>
      <c r="E3558" s="5" t="n">
        <v>200015855</v>
      </c>
      <c r="F3558" s="5" t="inlineStr">
        <is>
          <t>13467</t>
        </is>
      </c>
      <c r="G3558" s="5" t="inlineStr">
        <is>
          <t>BRL</t>
        </is>
      </c>
      <c r="H3558" s="9" t="n">
        <v>-13544.97</v>
      </c>
      <c r="I3558" s="16" t="n">
        <v>45119</v>
      </c>
      <c r="J3558" s="16" t="n">
        <v>45119</v>
      </c>
      <c r="K3558" s="5" t="inlineStr">
        <is>
          <t>000002067001</t>
        </is>
      </c>
      <c r="L3558" s="5" t="inlineStr">
        <is>
          <t>400000.210101</t>
        </is>
      </c>
      <c r="M3558" s="5">
        <f>IF(YEAR(I3558)&lt;=2020,"Até 2020",TEXT(YEAR(I3558),"0"))</f>
        <v/>
      </c>
      <c r="N3558" s="5">
        <f>IFERROR(INDEX(DePara!$A:$A,MATCH(TEXT(B3558,"0"),DePara!$D:$D,0)),"(sem categoria)")</f>
        <v/>
      </c>
      <c r="O3558" s="5">
        <f>IF(J3558="","",Parametros!$B$6-J3558)</f>
        <v/>
      </c>
      <c r="P3558" s="5">
        <f>IF(O3558="","",IF(O3558&gt;0,1,0))</f>
        <v/>
      </c>
    </row>
    <row r="3559">
      <c r="A3559" s="5" t="n">
        <v>2111000000</v>
      </c>
      <c r="B3559" s="5" t="inlineStr">
        <is>
          <t>101969</t>
        </is>
      </c>
      <c r="C3559" s="5" t="inlineStr">
        <is>
          <t>SECRETARIA DE ESTADO DA FAZENDA RN</t>
        </is>
      </c>
      <c r="D3559" s="5" t="inlineStr">
        <is>
          <t>UE</t>
        </is>
      </c>
      <c r="E3559" s="5" t="n">
        <v>200015860</v>
      </c>
      <c r="F3559" s="5" t="inlineStr">
        <is>
          <t>13471</t>
        </is>
      </c>
      <c r="G3559" s="5" t="inlineStr">
        <is>
          <t>BRL</t>
        </is>
      </c>
      <c r="H3559" s="9" t="n">
        <v>-264.06</v>
      </c>
      <c r="I3559" s="16" t="n">
        <v>44897</v>
      </c>
      <c r="J3559" s="16" t="n">
        <v>44897</v>
      </c>
      <c r="K3559" s="5" t="inlineStr">
        <is>
          <t>000229269001</t>
        </is>
      </c>
      <c r="L3559" s="5" t="inlineStr">
        <is>
          <t>475000.210215</t>
        </is>
      </c>
      <c r="M3559" s="5">
        <f>IF(YEAR(I3559)&lt;=2020,"Até 2020",TEXT(YEAR(I3559),"0"))</f>
        <v/>
      </c>
      <c r="N3559" s="5">
        <f>IFERROR(INDEX(DePara!$A:$A,MATCH(TEXT(B3559,"0"),DePara!$D:$D,0)),"(sem categoria)")</f>
        <v/>
      </c>
      <c r="O3559" s="5">
        <f>IF(J3559="","",Parametros!$B$6-J3559)</f>
        <v/>
      </c>
      <c r="P3559" s="5">
        <f>IF(O3559="","",IF(O3559&gt;0,1,0))</f>
        <v/>
      </c>
    </row>
    <row r="3560">
      <c r="A3560" s="5" t="n">
        <v>2111000000</v>
      </c>
      <c r="B3560" s="5" t="inlineStr">
        <is>
          <t>101746</t>
        </is>
      </c>
      <c r="C3560" s="5" t="inlineStr">
        <is>
          <t>SECRETARIA DA FAZENDA DO ESTADO DO</t>
        </is>
      </c>
      <c r="D3560" s="5" t="inlineStr">
        <is>
          <t>UE</t>
        </is>
      </c>
      <c r="E3560" s="5" t="n">
        <v>200015876</v>
      </c>
      <c r="F3560" s="5" t="inlineStr">
        <is>
          <t>13486</t>
        </is>
      </c>
      <c r="G3560" s="5" t="inlineStr">
        <is>
          <t>BRL</t>
        </is>
      </c>
      <c r="H3560" s="9" t="n">
        <v>-1260</v>
      </c>
      <c r="I3560" s="16" t="n">
        <v>45099</v>
      </c>
      <c r="J3560" s="16" t="n">
        <v>45099</v>
      </c>
      <c r="K3560" s="5" t="inlineStr">
        <is>
          <t>000005539001</t>
        </is>
      </c>
      <c r="L3560" s="5" t="inlineStr">
        <is>
          <t>475000.210215</t>
        </is>
      </c>
      <c r="M3560" s="5">
        <f>IF(YEAR(I3560)&lt;=2020,"Até 2020",TEXT(YEAR(I3560),"0"))</f>
        <v/>
      </c>
      <c r="N3560" s="5">
        <f>IFERROR(INDEX(DePara!$A:$A,MATCH(TEXT(B3560,"0"),DePara!$D:$D,0)),"(sem categoria)")</f>
        <v/>
      </c>
      <c r="O3560" s="5">
        <f>IF(J3560="","",Parametros!$B$6-J3560)</f>
        <v/>
      </c>
      <c r="P3560" s="5">
        <f>IF(O3560="","",IF(O3560&gt;0,1,0))</f>
        <v/>
      </c>
    </row>
    <row r="3561">
      <c r="A3561" s="5" t="n">
        <v>2111000000</v>
      </c>
      <c r="B3561" s="5" t="inlineStr">
        <is>
          <t>101746</t>
        </is>
      </c>
      <c r="C3561" s="5" t="inlineStr">
        <is>
          <t>SECRETARIA DA FAZENDA DO ESTADO DO</t>
        </is>
      </c>
      <c r="D3561" s="5" t="inlineStr">
        <is>
          <t>UE</t>
        </is>
      </c>
      <c r="E3561" s="5" t="n">
        <v>200015878</v>
      </c>
      <c r="F3561" s="5" t="inlineStr">
        <is>
          <t>13488</t>
        </is>
      </c>
      <c r="G3561" s="5" t="inlineStr">
        <is>
          <t>BRL</t>
        </is>
      </c>
      <c r="H3561" s="9" t="n">
        <v>-1260</v>
      </c>
      <c r="I3561" s="16" t="n">
        <v>45099</v>
      </c>
      <c r="J3561" s="16" t="n">
        <v>45099</v>
      </c>
      <c r="K3561" s="5" t="inlineStr">
        <is>
          <t>000005542001</t>
        </is>
      </c>
      <c r="L3561" s="5" t="inlineStr">
        <is>
          <t>475000.210215</t>
        </is>
      </c>
      <c r="M3561" s="5">
        <f>IF(YEAR(I3561)&lt;=2020,"Até 2020",TEXT(YEAR(I3561),"0"))</f>
        <v/>
      </c>
      <c r="N3561" s="5">
        <f>IFERROR(INDEX(DePara!$A:$A,MATCH(TEXT(B3561,"0"),DePara!$D:$D,0)),"(sem categoria)")</f>
        <v/>
      </c>
      <c r="O3561" s="5">
        <f>IF(J3561="","",Parametros!$B$6-J3561)</f>
        <v/>
      </c>
      <c r="P3561" s="5">
        <f>IF(O3561="","",IF(O3561&gt;0,1,0))</f>
        <v/>
      </c>
    </row>
    <row r="3562">
      <c r="A3562" s="5" t="n">
        <v>2111000000</v>
      </c>
      <c r="B3562" s="5" t="inlineStr">
        <is>
          <t>101763</t>
        </is>
      </c>
      <c r="C3562" s="5" t="inlineStr">
        <is>
          <t>MUNICIPIO DE LAGOA DO BARRO DO PIAU</t>
        </is>
      </c>
      <c r="D3562" s="5" t="inlineStr">
        <is>
          <t>UE</t>
        </is>
      </c>
      <c r="E3562" s="5" t="n">
        <v>200016054</v>
      </c>
      <c r="F3562" s="5" t="inlineStr">
        <is>
          <t>1137</t>
        </is>
      </c>
      <c r="G3562" s="5" t="inlineStr">
        <is>
          <t>BRL</t>
        </is>
      </c>
      <c r="H3562" s="9" t="n">
        <v>-1638.86</v>
      </c>
      <c r="I3562" s="16" t="n">
        <v>44347</v>
      </c>
      <c r="J3562" s="16" t="n">
        <v>44347</v>
      </c>
      <c r="K3562" s="5" t="inlineStr">
        <is>
          <t>5102</t>
        </is>
      </c>
      <c r="L3562" s="5" t="inlineStr">
        <is>
          <t>475000.210203</t>
        </is>
      </c>
      <c r="M3562" s="5">
        <f>IF(YEAR(I3562)&lt;=2020,"Até 2020",TEXT(YEAR(I3562),"0"))</f>
        <v/>
      </c>
      <c r="N3562" s="5">
        <f>IFERROR(INDEX(DePara!$A:$A,MATCH(TEXT(B3562,"0"),DePara!$D:$D,0)),"(sem categoria)")</f>
        <v/>
      </c>
      <c r="O3562" s="5">
        <f>IF(J3562="","",Parametros!$B$6-J3562)</f>
        <v/>
      </c>
      <c r="P3562" s="5">
        <f>IF(O3562="","",IF(O3562&gt;0,1,0))</f>
        <v/>
      </c>
    </row>
    <row r="3563">
      <c r="A3563" s="5" t="n">
        <v>2111000000</v>
      </c>
      <c r="B3563" s="5" t="inlineStr">
        <is>
          <t>101763</t>
        </is>
      </c>
      <c r="C3563" s="5" t="inlineStr">
        <is>
          <t>MUNICIPIO DE LAGOA DO BARRO DO PIAU</t>
        </is>
      </c>
      <c r="D3563" s="5" t="inlineStr">
        <is>
          <t>UE</t>
        </is>
      </c>
      <c r="E3563" s="5" t="n">
        <v>200016065</v>
      </c>
      <c r="F3563" s="5" t="inlineStr">
        <is>
          <t>1138</t>
        </is>
      </c>
      <c r="G3563" s="5" t="inlineStr">
        <is>
          <t>BRL</t>
        </is>
      </c>
      <c r="H3563" s="9" t="n">
        <v>-1092.58</v>
      </c>
      <c r="I3563" s="16" t="n">
        <v>44347</v>
      </c>
      <c r="J3563" s="16" t="n">
        <v>44347</v>
      </c>
      <c r="K3563" s="5" t="inlineStr">
        <is>
          <t>5202</t>
        </is>
      </c>
      <c r="L3563" s="5" t="inlineStr">
        <is>
          <t>475000.210203</t>
        </is>
      </c>
      <c r="M3563" s="5">
        <f>IF(YEAR(I3563)&lt;=2020,"Até 2020",TEXT(YEAR(I3563),"0"))</f>
        <v/>
      </c>
      <c r="N3563" s="5">
        <f>IFERROR(INDEX(DePara!$A:$A,MATCH(TEXT(B3563,"0"),DePara!$D:$D,0)),"(sem categoria)")</f>
        <v/>
      </c>
      <c r="O3563" s="5">
        <f>IF(J3563="","",Parametros!$B$6-J3563)</f>
        <v/>
      </c>
      <c r="P3563" s="5">
        <f>IF(O3563="","",IF(O3563&gt;0,1,0))</f>
        <v/>
      </c>
    </row>
    <row r="3564">
      <c r="A3564" s="5" t="n">
        <v>2111000000</v>
      </c>
      <c r="B3564" s="5" t="inlineStr">
        <is>
          <t>101763</t>
        </is>
      </c>
      <c r="C3564" s="5" t="inlineStr">
        <is>
          <t>MUNICIPIO DE LAGOA DO BARRO DO PIAU</t>
        </is>
      </c>
      <c r="D3564" s="5" t="inlineStr">
        <is>
          <t>UE</t>
        </is>
      </c>
      <c r="E3564" s="5" t="n">
        <v>200016076</v>
      </c>
      <c r="F3564" s="5" t="inlineStr">
        <is>
          <t>1139</t>
        </is>
      </c>
      <c r="G3564" s="5" t="inlineStr">
        <is>
          <t>BRL</t>
        </is>
      </c>
      <c r="H3564" s="9" t="n">
        <v>-1638.86</v>
      </c>
      <c r="I3564" s="16" t="n">
        <v>44377</v>
      </c>
      <c r="J3564" s="16" t="n">
        <v>44377</v>
      </c>
      <c r="K3564" s="5" t="inlineStr">
        <is>
          <t>20702</t>
        </is>
      </c>
      <c r="L3564" s="5" t="inlineStr">
        <is>
          <t>475000.210203</t>
        </is>
      </c>
      <c r="M3564" s="5">
        <f>IF(YEAR(I3564)&lt;=2020,"Até 2020",TEXT(YEAR(I3564),"0"))</f>
        <v/>
      </c>
      <c r="N3564" s="5">
        <f>IFERROR(INDEX(DePara!$A:$A,MATCH(TEXT(B3564,"0"),DePara!$D:$D,0)),"(sem categoria)")</f>
        <v/>
      </c>
      <c r="O3564" s="5">
        <f>IF(J3564="","",Parametros!$B$6-J3564)</f>
        <v/>
      </c>
      <c r="P3564" s="5">
        <f>IF(O3564="","",IF(O3564&gt;0,1,0))</f>
        <v/>
      </c>
    </row>
    <row r="3565">
      <c r="A3565" s="5" t="n">
        <v>2111000000</v>
      </c>
      <c r="B3565" s="5" t="inlineStr">
        <is>
          <t>102081</t>
        </is>
      </c>
      <c r="C3565" s="5" t="inlineStr">
        <is>
          <t>MUNICIPIO DE PALMARES DO SUL</t>
        </is>
      </c>
      <c r="D3565" s="5" t="inlineStr">
        <is>
          <t>UE</t>
        </is>
      </c>
      <c r="E3565" s="5" t="n">
        <v>200018062</v>
      </c>
      <c r="F3565" s="5" t="inlineStr">
        <is>
          <t>1096</t>
        </is>
      </c>
      <c r="G3565" s="5" t="inlineStr">
        <is>
          <t>BRL</t>
        </is>
      </c>
      <c r="H3565" s="9" t="n">
        <v>-6911.95</v>
      </c>
      <c r="I3565" s="16" t="n">
        <v>44566</v>
      </c>
      <c r="J3565" s="16" t="n">
        <v>44566</v>
      </c>
      <c r="K3565" s="5" t="inlineStr">
        <is>
          <t>9401</t>
        </is>
      </c>
      <c r="L3565" s="5" t="inlineStr">
        <is>
          <t>475000.210203</t>
        </is>
      </c>
      <c r="M3565" s="5">
        <f>IF(YEAR(I3565)&lt;=2020,"Até 2020",TEXT(YEAR(I3565),"0"))</f>
        <v/>
      </c>
      <c r="N3565" s="5">
        <f>IFERROR(INDEX(DePara!$A:$A,MATCH(TEXT(B3565,"0"),DePara!$D:$D,0)),"(sem categoria)")</f>
        <v/>
      </c>
      <c r="O3565" s="5">
        <f>IF(J3565="","",Parametros!$B$6-J3565)</f>
        <v/>
      </c>
      <c r="P3565" s="5">
        <f>IF(O3565="","",IF(O3565&gt;0,1,0))</f>
        <v/>
      </c>
    </row>
    <row r="3566">
      <c r="A3566" s="5" t="n">
        <v>2111000000</v>
      </c>
      <c r="B3566" s="5" t="inlineStr">
        <is>
          <t>101763</t>
        </is>
      </c>
      <c r="C3566" s="5" t="inlineStr">
        <is>
          <t>MUNICIPIO DE LAGOA DO BARRO DO PIAU</t>
        </is>
      </c>
      <c r="D3566" s="5" t="inlineStr">
        <is>
          <t>UE</t>
        </is>
      </c>
      <c r="E3566" s="5" t="n">
        <v>200018452</v>
      </c>
      <c r="F3566" s="5" t="inlineStr">
        <is>
          <t>1131</t>
        </is>
      </c>
      <c r="G3566" s="5" t="inlineStr">
        <is>
          <t>BRL</t>
        </is>
      </c>
      <c r="H3566" s="9" t="n">
        <v>-1638.86</v>
      </c>
      <c r="I3566" s="16" t="n">
        <v>44347</v>
      </c>
      <c r="J3566" s="16" t="n">
        <v>44347</v>
      </c>
      <c r="K3566" s="5" t="inlineStr">
        <is>
          <t>2302</t>
        </is>
      </c>
      <c r="L3566" s="5" t="inlineStr">
        <is>
          <t>475000.210203</t>
        </is>
      </c>
      <c r="M3566" s="5">
        <f>IF(YEAR(I3566)&lt;=2020,"Até 2020",TEXT(YEAR(I3566),"0"))</f>
        <v/>
      </c>
      <c r="N3566" s="5">
        <f>IFERROR(INDEX(DePara!$A:$A,MATCH(TEXT(B3566,"0"),DePara!$D:$D,0)),"(sem categoria)")</f>
        <v/>
      </c>
      <c r="O3566" s="5">
        <f>IF(J3566="","",Parametros!$B$6-J3566)</f>
        <v/>
      </c>
      <c r="P3566" s="5">
        <f>IF(O3566="","",IF(O3566&gt;0,1,0))</f>
        <v/>
      </c>
    </row>
    <row r="3567">
      <c r="A3567" s="5" t="n">
        <v>2111000000</v>
      </c>
      <c r="B3567" s="5" t="inlineStr">
        <is>
          <t>101763</t>
        </is>
      </c>
      <c r="C3567" s="5" t="inlineStr">
        <is>
          <t>MUNICIPIO DE LAGOA DO BARRO DO PIAU</t>
        </is>
      </c>
      <c r="D3567" s="5" t="inlineStr">
        <is>
          <t>UE</t>
        </is>
      </c>
      <c r="E3567" s="5" t="n">
        <v>200018463</v>
      </c>
      <c r="F3567" s="5" t="inlineStr">
        <is>
          <t>1132</t>
        </is>
      </c>
      <c r="G3567" s="5" t="inlineStr">
        <is>
          <t>BRL</t>
        </is>
      </c>
      <c r="H3567" s="9" t="n">
        <v>-1638.86</v>
      </c>
      <c r="I3567" s="16" t="n">
        <v>44347</v>
      </c>
      <c r="J3567" s="16" t="n">
        <v>44347</v>
      </c>
      <c r="K3567" s="5" t="inlineStr">
        <is>
          <t>9802</t>
        </is>
      </c>
      <c r="L3567" s="5" t="inlineStr">
        <is>
          <t>475000.210203</t>
        </is>
      </c>
      <c r="M3567" s="5">
        <f>IF(YEAR(I3567)&lt;=2020,"Até 2020",TEXT(YEAR(I3567),"0"))</f>
        <v/>
      </c>
      <c r="N3567" s="5">
        <f>IFERROR(INDEX(DePara!$A:$A,MATCH(TEXT(B3567,"0"),DePara!$D:$D,0)),"(sem categoria)")</f>
        <v/>
      </c>
      <c r="O3567" s="5">
        <f>IF(J3567="","",Parametros!$B$6-J3567)</f>
        <v/>
      </c>
      <c r="P3567" s="5">
        <f>IF(O3567="","",IF(O3567&gt;0,1,0))</f>
        <v/>
      </c>
    </row>
    <row r="3568">
      <c r="A3568" s="5" t="n">
        <v>2111000000</v>
      </c>
      <c r="B3568" s="5" t="inlineStr">
        <is>
          <t>101763</t>
        </is>
      </c>
      <c r="C3568" s="5" t="inlineStr">
        <is>
          <t>MUNICIPIO DE LAGOA DO BARRO DO PIAU</t>
        </is>
      </c>
      <c r="D3568" s="5" t="inlineStr">
        <is>
          <t>UE</t>
        </is>
      </c>
      <c r="E3568" s="5" t="n">
        <v>200018474</v>
      </c>
      <c r="F3568" s="5" t="inlineStr">
        <is>
          <t>1133</t>
        </is>
      </c>
      <c r="G3568" s="5" t="inlineStr">
        <is>
          <t>BRL</t>
        </is>
      </c>
      <c r="H3568" s="9" t="n">
        <v>-1365.72</v>
      </c>
      <c r="I3568" s="16" t="n">
        <v>44347</v>
      </c>
      <c r="J3568" s="16" t="n">
        <v>44347</v>
      </c>
      <c r="K3568" s="5" t="inlineStr">
        <is>
          <t>4202</t>
        </is>
      </c>
      <c r="L3568" s="5" t="inlineStr">
        <is>
          <t>475000.210203</t>
        </is>
      </c>
      <c r="M3568" s="5">
        <f>IF(YEAR(I3568)&lt;=2020,"Até 2020",TEXT(YEAR(I3568),"0"))</f>
        <v/>
      </c>
      <c r="N3568" s="5">
        <f>IFERROR(INDEX(DePara!$A:$A,MATCH(TEXT(B3568,"0"),DePara!$D:$D,0)),"(sem categoria)")</f>
        <v/>
      </c>
      <c r="O3568" s="5">
        <f>IF(J3568="","",Parametros!$B$6-J3568)</f>
        <v/>
      </c>
      <c r="P3568" s="5">
        <f>IF(O3568="","",IF(O3568&gt;0,1,0))</f>
        <v/>
      </c>
    </row>
    <row r="3569">
      <c r="A3569" s="5" t="n">
        <v>2111000000</v>
      </c>
      <c r="B3569" s="5" t="inlineStr">
        <is>
          <t>101763</t>
        </is>
      </c>
      <c r="C3569" s="5" t="inlineStr">
        <is>
          <t>MUNICIPIO DE LAGOA DO BARRO DO PIAU</t>
        </is>
      </c>
      <c r="D3569" s="5" t="inlineStr">
        <is>
          <t>UE</t>
        </is>
      </c>
      <c r="E3569" s="5" t="n">
        <v>200018485</v>
      </c>
      <c r="F3569" s="5" t="inlineStr">
        <is>
          <t>1134</t>
        </is>
      </c>
      <c r="G3569" s="5" t="inlineStr">
        <is>
          <t>BRL</t>
        </is>
      </c>
      <c r="H3569" s="9" t="n">
        <v>-3072.87</v>
      </c>
      <c r="I3569" s="16" t="n">
        <v>44347</v>
      </c>
      <c r="J3569" s="16" t="n">
        <v>44347</v>
      </c>
      <c r="K3569" s="5" t="inlineStr">
        <is>
          <t>4302</t>
        </is>
      </c>
      <c r="L3569" s="5" t="inlineStr">
        <is>
          <t>475000.210203</t>
        </is>
      </c>
      <c r="M3569" s="5">
        <f>IF(YEAR(I3569)&lt;=2020,"Até 2020",TEXT(YEAR(I3569),"0"))</f>
        <v/>
      </c>
      <c r="N3569" s="5">
        <f>IFERROR(INDEX(DePara!$A:$A,MATCH(TEXT(B3569,"0"),DePara!$D:$D,0)),"(sem categoria)")</f>
        <v/>
      </c>
      <c r="O3569" s="5">
        <f>IF(J3569="","",Parametros!$B$6-J3569)</f>
        <v/>
      </c>
      <c r="P3569" s="5">
        <f>IF(O3569="","",IF(O3569&gt;0,1,0))</f>
        <v/>
      </c>
    </row>
    <row r="3570">
      <c r="A3570" s="5" t="n">
        <v>2111000000</v>
      </c>
      <c r="B3570" s="5" t="inlineStr">
        <is>
          <t>101763</t>
        </is>
      </c>
      <c r="C3570" s="5" t="inlineStr">
        <is>
          <t>MUNICIPIO DE LAGOA DO BARRO DO PIAU</t>
        </is>
      </c>
      <c r="D3570" s="5" t="inlineStr">
        <is>
          <t>UE</t>
        </is>
      </c>
      <c r="E3570" s="5" t="n">
        <v>200018496</v>
      </c>
      <c r="F3570" s="5" t="inlineStr">
        <is>
          <t>1135</t>
        </is>
      </c>
      <c r="G3570" s="5" t="inlineStr">
        <is>
          <t>BRL</t>
        </is>
      </c>
      <c r="H3570" s="9" t="n">
        <v>-1843.72</v>
      </c>
      <c r="I3570" s="16" t="n">
        <v>44347</v>
      </c>
      <c r="J3570" s="16" t="n">
        <v>44347</v>
      </c>
      <c r="K3570" s="5" t="inlineStr">
        <is>
          <t>4702</t>
        </is>
      </c>
      <c r="L3570" s="5" t="inlineStr">
        <is>
          <t>475000.210203</t>
        </is>
      </c>
      <c r="M3570" s="5">
        <f>IF(YEAR(I3570)&lt;=2020,"Até 2020",TEXT(YEAR(I3570),"0"))</f>
        <v/>
      </c>
      <c r="N3570" s="5">
        <f>IFERROR(INDEX(DePara!$A:$A,MATCH(TEXT(B3570,"0"),DePara!$D:$D,0)),"(sem categoria)")</f>
        <v/>
      </c>
      <c r="O3570" s="5">
        <f>IF(J3570="","",Parametros!$B$6-J3570)</f>
        <v/>
      </c>
      <c r="P3570" s="5">
        <f>IF(O3570="","",IF(O3570&gt;0,1,0))</f>
        <v/>
      </c>
    </row>
    <row r="3571">
      <c r="A3571" s="5" t="n">
        <v>2111000000</v>
      </c>
      <c r="B3571" s="5" t="inlineStr">
        <is>
          <t>101763</t>
        </is>
      </c>
      <c r="C3571" s="5" t="inlineStr">
        <is>
          <t>MUNICIPIO DE LAGOA DO BARRO DO PIAU</t>
        </is>
      </c>
      <c r="D3571" s="5" t="inlineStr">
        <is>
          <t>UE</t>
        </is>
      </c>
      <c r="E3571" s="5" t="n">
        <v>200018507</v>
      </c>
      <c r="F3571" s="5" t="inlineStr">
        <is>
          <t>1136</t>
        </is>
      </c>
      <c r="G3571" s="5" t="inlineStr">
        <is>
          <t>BRL</t>
        </is>
      </c>
      <c r="H3571" s="9" t="n">
        <v>-1229.15</v>
      </c>
      <c r="I3571" s="16" t="n">
        <v>44347</v>
      </c>
      <c r="J3571" s="16" t="n">
        <v>44347</v>
      </c>
      <c r="K3571" s="5" t="inlineStr">
        <is>
          <t>4802</t>
        </is>
      </c>
      <c r="L3571" s="5" t="inlineStr">
        <is>
          <t>475000.210203</t>
        </is>
      </c>
      <c r="M3571" s="5">
        <f>IF(YEAR(I3571)&lt;=2020,"Até 2020",TEXT(YEAR(I3571),"0"))</f>
        <v/>
      </c>
      <c r="N3571" s="5">
        <f>IFERROR(INDEX(DePara!$A:$A,MATCH(TEXT(B3571,"0"),DePara!$D:$D,0)),"(sem categoria)")</f>
        <v/>
      </c>
      <c r="O3571" s="5">
        <f>IF(J3571="","",Parametros!$B$6-J3571)</f>
        <v/>
      </c>
      <c r="P3571" s="5">
        <f>IF(O3571="","",IF(O3571&gt;0,1,0))</f>
        <v/>
      </c>
    </row>
    <row r="3572">
      <c r="A3572" s="5" t="n">
        <v>2111000000</v>
      </c>
      <c r="B3572" s="5" t="inlineStr">
        <is>
          <t>100956</t>
        </is>
      </c>
      <c r="C3572" s="5" t="inlineStr">
        <is>
          <t>BREMER LLOYD BRAZIL LOGISTICS LTDA</t>
        </is>
      </c>
      <c r="D3572" s="5" t="inlineStr">
        <is>
          <t>UE</t>
        </is>
      </c>
      <c r="E3572" s="5" t="n">
        <v>200033368</v>
      </c>
      <c r="F3572" s="5" t="inlineStr">
        <is>
          <t>22240</t>
        </is>
      </c>
      <c r="G3572" s="5" t="inlineStr">
        <is>
          <t>BRL</t>
        </is>
      </c>
      <c r="H3572" s="9" t="n">
        <v>-11652.3</v>
      </c>
      <c r="I3572" s="16" t="n">
        <v>44635</v>
      </c>
      <c r="J3572" s="16" t="n">
        <v>44635</v>
      </c>
      <c r="K3572" s="5" t="inlineStr">
        <is>
          <t>00004800</t>
        </is>
      </c>
      <c r="L3572" s="5" t="inlineStr">
        <is>
          <t>400000.210101</t>
        </is>
      </c>
      <c r="M3572" s="5">
        <f>IF(YEAR(I3572)&lt;=2020,"Até 2020",TEXT(YEAR(I3572),"0"))</f>
        <v/>
      </c>
      <c r="N3572" s="5">
        <f>IFERROR(INDEX(DePara!$A:$A,MATCH(TEXT(B3572,"0"),DePara!$D:$D,0)),"(sem categoria)")</f>
        <v/>
      </c>
      <c r="O3572" s="5">
        <f>IF(J3572="","",Parametros!$B$6-J3572)</f>
        <v/>
      </c>
      <c r="P3572" s="5">
        <f>IF(O3572="","",IF(O3572&gt;0,1,0))</f>
        <v/>
      </c>
    </row>
    <row r="3573">
      <c r="A3573" s="5" t="n">
        <v>2111000000</v>
      </c>
      <c r="B3573" s="5" t="inlineStr">
        <is>
          <t>100956</t>
        </is>
      </c>
      <c r="C3573" s="5" t="inlineStr">
        <is>
          <t>BREMER LLOYD BRAZIL LOGISTICS LTDA</t>
        </is>
      </c>
      <c r="D3573" s="5" t="inlineStr">
        <is>
          <t>UE</t>
        </is>
      </c>
      <c r="E3573" s="5" t="n">
        <v>200033369</v>
      </c>
      <c r="F3573" s="5" t="inlineStr">
        <is>
          <t>22241</t>
        </is>
      </c>
      <c r="G3573" s="5" t="inlineStr">
        <is>
          <t>BRL</t>
        </is>
      </c>
      <c r="H3573" s="9" t="n">
        <v>-10338.24</v>
      </c>
      <c r="I3573" s="16" t="n">
        <v>44641</v>
      </c>
      <c r="J3573" s="16" t="n">
        <v>44641</v>
      </c>
      <c r="K3573" s="5" t="inlineStr">
        <is>
          <t>00005000</t>
        </is>
      </c>
      <c r="L3573" s="5" t="inlineStr">
        <is>
          <t>400000.210101</t>
        </is>
      </c>
      <c r="M3573" s="5">
        <f>IF(YEAR(I3573)&lt;=2020,"Até 2020",TEXT(YEAR(I3573),"0"))</f>
        <v/>
      </c>
      <c r="N3573" s="5">
        <f>IFERROR(INDEX(DePara!$A:$A,MATCH(TEXT(B3573,"0"),DePara!$D:$D,0)),"(sem categoria)")</f>
        <v/>
      </c>
      <c r="O3573" s="5">
        <f>IF(J3573="","",Parametros!$B$6-J3573)</f>
        <v/>
      </c>
      <c r="P3573" s="5">
        <f>IF(O3573="","",IF(O3573&gt;0,1,0))</f>
        <v/>
      </c>
    </row>
    <row r="3574">
      <c r="A3574" s="5" t="n">
        <v>2111000000</v>
      </c>
      <c r="B3574" s="5" t="inlineStr">
        <is>
          <t>100956</t>
        </is>
      </c>
      <c r="C3574" s="5" t="inlineStr">
        <is>
          <t>BREMER LLOYD BRAZIL LOGISTICS LTDA</t>
        </is>
      </c>
      <c r="D3574" s="5" t="inlineStr">
        <is>
          <t>UE</t>
        </is>
      </c>
      <c r="E3574" s="5" t="n">
        <v>200033370</v>
      </c>
      <c r="F3574" s="5" t="inlineStr">
        <is>
          <t>22242</t>
        </is>
      </c>
      <c r="G3574" s="5" t="inlineStr">
        <is>
          <t>BRL</t>
        </is>
      </c>
      <c r="H3574" s="9" t="n">
        <v>-13568.94</v>
      </c>
      <c r="I3574" s="16" t="n">
        <v>44641</v>
      </c>
      <c r="J3574" s="16" t="n">
        <v>44641</v>
      </c>
      <c r="K3574" s="5" t="inlineStr">
        <is>
          <t>00005100</t>
        </is>
      </c>
      <c r="L3574" s="5" t="inlineStr">
        <is>
          <t>400000.210101</t>
        </is>
      </c>
      <c r="M3574" s="5">
        <f>IF(YEAR(I3574)&lt;=2020,"Até 2020",TEXT(YEAR(I3574),"0"))</f>
        <v/>
      </c>
      <c r="N3574" s="5">
        <f>IFERROR(INDEX(DePara!$A:$A,MATCH(TEXT(B3574,"0"),DePara!$D:$D,0)),"(sem categoria)")</f>
        <v/>
      </c>
      <c r="O3574" s="5">
        <f>IF(J3574="","",Parametros!$B$6-J3574)</f>
        <v/>
      </c>
      <c r="P3574" s="5">
        <f>IF(O3574="","",IF(O3574&gt;0,1,0))</f>
        <v/>
      </c>
    </row>
    <row r="3575">
      <c r="A3575" s="5" t="n">
        <v>2111000000</v>
      </c>
      <c r="B3575" s="5" t="inlineStr">
        <is>
          <t>100566</t>
        </is>
      </c>
      <c r="C3575" s="5" t="inlineStr">
        <is>
          <t>BRASIL TERMINAL PORTUARIO S.A.</t>
        </is>
      </c>
      <c r="D3575" s="5" t="inlineStr">
        <is>
          <t>UE</t>
        </is>
      </c>
      <c r="E3575" s="5" t="n">
        <v>200033446</v>
      </c>
      <c r="F3575" s="5" t="inlineStr">
        <is>
          <t>22318</t>
        </is>
      </c>
      <c r="G3575" s="5" t="inlineStr">
        <is>
          <t>BRL</t>
        </is>
      </c>
      <c r="H3575" s="9" t="n">
        <v>-293.39</v>
      </c>
      <c r="I3575" s="16" t="n">
        <v>44771</v>
      </c>
      <c r="J3575" s="16" t="n">
        <v>44771</v>
      </c>
      <c r="K3575" s="5" t="inlineStr">
        <is>
          <t>05580200</t>
        </is>
      </c>
      <c r="L3575" s="5" t="inlineStr">
        <is>
          <t>400000.210101</t>
        </is>
      </c>
      <c r="M3575" s="5">
        <f>IF(YEAR(I3575)&lt;=2020,"Até 2020",TEXT(YEAR(I3575),"0"))</f>
        <v/>
      </c>
      <c r="N3575" s="5">
        <f>IFERROR(INDEX(DePara!$A:$A,MATCH(TEXT(B3575,"0"),DePara!$D:$D,0)),"(sem categoria)")</f>
        <v/>
      </c>
      <c r="O3575" s="5">
        <f>IF(J3575="","",Parametros!$B$6-J3575)</f>
        <v/>
      </c>
      <c r="P3575" s="5">
        <f>IF(O3575="","",IF(O3575&gt;0,1,0))</f>
        <v/>
      </c>
    </row>
    <row r="3576">
      <c r="A3576" s="5" t="n">
        <v>2111000000</v>
      </c>
      <c r="B3576" s="5" t="inlineStr">
        <is>
          <t>100566</t>
        </is>
      </c>
      <c r="C3576" s="5" t="inlineStr">
        <is>
          <t>BRASIL TERMINAL PORTUARIO S.A.</t>
        </is>
      </c>
      <c r="D3576" s="5" t="inlineStr">
        <is>
          <t>UE</t>
        </is>
      </c>
      <c r="E3576" s="5" t="n">
        <v>200033447</v>
      </c>
      <c r="F3576" s="5" t="inlineStr">
        <is>
          <t>22319</t>
        </is>
      </c>
      <c r="G3576" s="5" t="inlineStr">
        <is>
          <t>BRL</t>
        </is>
      </c>
      <c r="H3576" s="9" t="n">
        <v>-244.27</v>
      </c>
      <c r="I3576" s="16" t="n">
        <v>44770</v>
      </c>
      <c r="J3576" s="16" t="n">
        <v>44770</v>
      </c>
      <c r="K3576" s="5" t="inlineStr">
        <is>
          <t>05471900</t>
        </is>
      </c>
      <c r="L3576" s="5" t="inlineStr">
        <is>
          <t>400000.210101</t>
        </is>
      </c>
      <c r="M3576" s="5">
        <f>IF(YEAR(I3576)&lt;=2020,"Até 2020",TEXT(YEAR(I3576),"0"))</f>
        <v/>
      </c>
      <c r="N3576" s="5">
        <f>IFERROR(INDEX(DePara!$A:$A,MATCH(TEXT(B3576,"0"),DePara!$D:$D,0)),"(sem categoria)")</f>
        <v/>
      </c>
      <c r="O3576" s="5">
        <f>IF(J3576="","",Parametros!$B$6-J3576)</f>
        <v/>
      </c>
      <c r="P3576" s="5">
        <f>IF(O3576="","",IF(O3576&gt;0,1,0))</f>
        <v/>
      </c>
    </row>
    <row r="3577">
      <c r="A3577" s="5" t="n">
        <v>2111000000</v>
      </c>
      <c r="B3577" s="5" t="inlineStr">
        <is>
          <t>100566</t>
        </is>
      </c>
      <c r="C3577" s="5" t="inlineStr">
        <is>
          <t>BRASIL TERMINAL PORTUARIO S.A.</t>
        </is>
      </c>
      <c r="D3577" s="5" t="inlineStr">
        <is>
          <t>UE</t>
        </is>
      </c>
      <c r="E3577" s="5" t="n">
        <v>200033448</v>
      </c>
      <c r="F3577" s="5" t="inlineStr">
        <is>
          <t>22320</t>
        </is>
      </c>
      <c r="G3577" s="5" t="inlineStr">
        <is>
          <t>BRL</t>
        </is>
      </c>
      <c r="H3577" s="9" t="n">
        <v>-55.98</v>
      </c>
      <c r="I3577" s="16" t="n">
        <v>44770</v>
      </c>
      <c r="J3577" s="16" t="n">
        <v>44770</v>
      </c>
      <c r="K3577" s="5" t="inlineStr">
        <is>
          <t>05472900</t>
        </is>
      </c>
      <c r="L3577" s="5" t="inlineStr">
        <is>
          <t>400000.210101</t>
        </is>
      </c>
      <c r="M3577" s="5">
        <f>IF(YEAR(I3577)&lt;=2020,"Até 2020",TEXT(YEAR(I3577),"0"))</f>
        <v/>
      </c>
      <c r="N3577" s="5">
        <f>IFERROR(INDEX(DePara!$A:$A,MATCH(TEXT(B3577,"0"),DePara!$D:$D,0)),"(sem categoria)")</f>
        <v/>
      </c>
      <c r="O3577" s="5">
        <f>IF(J3577="","",Parametros!$B$6-J3577)</f>
        <v/>
      </c>
      <c r="P3577" s="5">
        <f>IF(O3577="","",IF(O3577&gt;0,1,0))</f>
        <v/>
      </c>
    </row>
    <row r="3578">
      <c r="A3578" s="5" t="n">
        <v>2111000000</v>
      </c>
      <c r="B3578" s="5" t="inlineStr">
        <is>
          <t>100566</t>
        </is>
      </c>
      <c r="C3578" s="5" t="inlineStr">
        <is>
          <t>BRASIL TERMINAL PORTUARIO S.A.</t>
        </is>
      </c>
      <c r="D3578" s="5" t="inlineStr">
        <is>
          <t>UE</t>
        </is>
      </c>
      <c r="E3578" s="5" t="n">
        <v>200033449</v>
      </c>
      <c r="F3578" s="5" t="inlineStr">
        <is>
          <t>22321</t>
        </is>
      </c>
      <c r="G3578" s="5" t="inlineStr">
        <is>
          <t>BRL</t>
        </is>
      </c>
      <c r="H3578" s="9" t="n">
        <v>-55.98</v>
      </c>
      <c r="I3578" s="16" t="n">
        <v>44771</v>
      </c>
      <c r="J3578" s="16" t="n">
        <v>44771</v>
      </c>
      <c r="K3578" s="5" t="inlineStr">
        <is>
          <t>05525000</t>
        </is>
      </c>
      <c r="L3578" s="5" t="inlineStr">
        <is>
          <t>400000.210101</t>
        </is>
      </c>
      <c r="M3578" s="5">
        <f>IF(YEAR(I3578)&lt;=2020,"Até 2020",TEXT(YEAR(I3578),"0"))</f>
        <v/>
      </c>
      <c r="N3578" s="5">
        <f>IFERROR(INDEX(DePara!$A:$A,MATCH(TEXT(B3578,"0"),DePara!$D:$D,0)),"(sem categoria)")</f>
        <v/>
      </c>
      <c r="O3578" s="5">
        <f>IF(J3578="","",Parametros!$B$6-J3578)</f>
        <v/>
      </c>
      <c r="P3578" s="5">
        <f>IF(O3578="","",IF(O3578&gt;0,1,0))</f>
        <v/>
      </c>
    </row>
    <row r="3579">
      <c r="A3579" s="5" t="n">
        <v>2111000000</v>
      </c>
      <c r="B3579" s="5" t="inlineStr">
        <is>
          <t>100566</t>
        </is>
      </c>
      <c r="C3579" s="5" t="inlineStr">
        <is>
          <t>BRASIL TERMINAL PORTUARIO S.A.</t>
        </is>
      </c>
      <c r="D3579" s="5" t="inlineStr">
        <is>
          <t>UE</t>
        </is>
      </c>
      <c r="E3579" s="5" t="n">
        <v>200033450</v>
      </c>
      <c r="F3579" s="5" t="inlineStr">
        <is>
          <t>22322</t>
        </is>
      </c>
      <c r="G3579" s="5" t="inlineStr">
        <is>
          <t>BRL</t>
        </is>
      </c>
      <c r="H3579" s="9" t="n">
        <v>-244.27</v>
      </c>
      <c r="I3579" s="16" t="n">
        <v>44771</v>
      </c>
      <c r="J3579" s="16" t="n">
        <v>44771</v>
      </c>
      <c r="K3579" s="5" t="inlineStr">
        <is>
          <t>05547400</t>
        </is>
      </c>
      <c r="L3579" s="5" t="inlineStr">
        <is>
          <t>400000.210101</t>
        </is>
      </c>
      <c r="M3579" s="5">
        <f>IF(YEAR(I3579)&lt;=2020,"Até 2020",TEXT(YEAR(I3579),"0"))</f>
        <v/>
      </c>
      <c r="N3579" s="5">
        <f>IFERROR(INDEX(DePara!$A:$A,MATCH(TEXT(B3579,"0"),DePara!$D:$D,0)),"(sem categoria)")</f>
        <v/>
      </c>
      <c r="O3579" s="5">
        <f>IF(J3579="","",Parametros!$B$6-J3579)</f>
        <v/>
      </c>
      <c r="P3579" s="5">
        <f>IF(O3579="","",IF(O3579&gt;0,1,0))</f>
        <v/>
      </c>
    </row>
    <row r="3580">
      <c r="A3580" s="5" t="n">
        <v>2111000000</v>
      </c>
      <c r="B3580" s="5" t="inlineStr">
        <is>
          <t>100631</t>
        </is>
      </c>
      <c r="C3580" s="5" t="inlineStr">
        <is>
          <t>BRANDAO FILHOS FORTSHIP AGENCIA MAR 11826476000100</t>
        </is>
      </c>
      <c r="D3580" s="5" t="inlineStr">
        <is>
          <t>UE</t>
        </is>
      </c>
      <c r="E3580" s="5" t="n">
        <v>200033475</v>
      </c>
      <c r="F3580" s="5" t="inlineStr">
        <is>
          <t>22347</t>
        </is>
      </c>
      <c r="G3580" s="5" t="inlineStr">
        <is>
          <t>BRL</t>
        </is>
      </c>
      <c r="H3580" s="9" t="n">
        <v>-230610.87</v>
      </c>
      <c r="I3580" s="16" t="n">
        <v>44893</v>
      </c>
      <c r="J3580" s="16" t="n">
        <v>44893</v>
      </c>
      <c r="K3580" s="5" t="inlineStr">
        <is>
          <t>00206400</t>
        </is>
      </c>
      <c r="L3580" s="5" t="inlineStr">
        <is>
          <t>400000.210101</t>
        </is>
      </c>
      <c r="M3580" s="5">
        <f>IF(YEAR(I3580)&lt;=2020,"Até 2020",TEXT(YEAR(I3580),"0"))</f>
        <v/>
      </c>
      <c r="N3580" s="5">
        <f>IFERROR(INDEX(DePara!$A:$A,MATCH(TEXT(B3580,"0"),DePara!$D:$D,0)),"(sem categoria)")</f>
        <v/>
      </c>
      <c r="O3580" s="5">
        <f>IF(J3580="","",Parametros!$B$6-J3580)</f>
        <v/>
      </c>
      <c r="P3580" s="5">
        <f>IF(O3580="","",IF(O3580&gt;0,1,0))</f>
        <v/>
      </c>
    </row>
    <row r="3581">
      <c r="A3581" s="5" t="n">
        <v>2111000000</v>
      </c>
      <c r="B3581" s="5" t="inlineStr">
        <is>
          <t>100631</t>
        </is>
      </c>
      <c r="C3581" s="5" t="inlineStr">
        <is>
          <t>BRANDAO FILHOS FORTSHIP AGENCIA MAR 11826476000100</t>
        </is>
      </c>
      <c r="D3581" s="5" t="inlineStr">
        <is>
          <t>UE</t>
        </is>
      </c>
      <c r="E3581" s="5" t="n">
        <v>200033476</v>
      </c>
      <c r="F3581" s="5" t="inlineStr">
        <is>
          <t>22348</t>
        </is>
      </c>
      <c r="G3581" s="5" t="inlineStr">
        <is>
          <t>BRL</t>
        </is>
      </c>
      <c r="H3581" s="9" t="n">
        <v>-545105.26</v>
      </c>
      <c r="I3581" s="16" t="n">
        <v>44804</v>
      </c>
      <c r="J3581" s="16" t="n">
        <v>44804</v>
      </c>
      <c r="K3581" s="5" t="inlineStr">
        <is>
          <t>00200700</t>
        </is>
      </c>
      <c r="L3581" s="5" t="inlineStr">
        <is>
          <t>400000.210101</t>
        </is>
      </c>
      <c r="M3581" s="5">
        <f>IF(YEAR(I3581)&lt;=2020,"Até 2020",TEXT(YEAR(I3581),"0"))</f>
        <v/>
      </c>
      <c r="N3581" s="5">
        <f>IFERROR(INDEX(DePara!$A:$A,MATCH(TEXT(B3581,"0"),DePara!$D:$D,0)),"(sem categoria)")</f>
        <v/>
      </c>
      <c r="O3581" s="5">
        <f>IF(J3581="","",Parametros!$B$6-J3581)</f>
        <v/>
      </c>
      <c r="P3581" s="5">
        <f>IF(O3581="","",IF(O3581&gt;0,1,0))</f>
        <v/>
      </c>
    </row>
    <row r="3582">
      <c r="A3582" s="5" t="n">
        <v>2111000000</v>
      </c>
      <c r="B3582" s="5" t="inlineStr">
        <is>
          <t>100385</t>
        </is>
      </c>
      <c r="C3582" s="5" t="inlineStr">
        <is>
          <t>ZIRAN SALVADOR TRANSPORTES LTDA</t>
        </is>
      </c>
      <c r="D3582" s="5" t="inlineStr">
        <is>
          <t>UE</t>
        </is>
      </c>
      <c r="E3582" s="5" t="n">
        <v>200033565</v>
      </c>
      <c r="F3582" s="5" t="inlineStr">
        <is>
          <t>22437</t>
        </is>
      </c>
      <c r="G3582" s="5" t="inlineStr">
        <is>
          <t>BRL</t>
        </is>
      </c>
      <c r="H3582" s="9" t="n">
        <v>-165.3</v>
      </c>
      <c r="I3582" s="16" t="n">
        <v>44617</v>
      </c>
      <c r="J3582" s="16" t="n">
        <v>44617</v>
      </c>
      <c r="K3582" s="5" t="inlineStr">
        <is>
          <t>00190200</t>
        </is>
      </c>
      <c r="L3582" s="5" t="inlineStr">
        <is>
          <t>400000.210101</t>
        </is>
      </c>
      <c r="M3582" s="5">
        <f>IF(YEAR(I3582)&lt;=2020,"Até 2020",TEXT(YEAR(I3582),"0"))</f>
        <v/>
      </c>
      <c r="N3582" s="5">
        <f>IFERROR(INDEX(DePara!$A:$A,MATCH(TEXT(B3582,"0"),DePara!$D:$D,0)),"(sem categoria)")</f>
        <v/>
      </c>
      <c r="O3582" s="5">
        <f>IF(J3582="","",Parametros!$B$6-J3582)</f>
        <v/>
      </c>
      <c r="P3582" s="5">
        <f>IF(O3582="","",IF(O3582&gt;0,1,0))</f>
        <v/>
      </c>
    </row>
    <row r="3583">
      <c r="A3583" s="5" t="n">
        <v>2111000000</v>
      </c>
      <c r="B3583" s="5" t="inlineStr">
        <is>
          <t>100385</t>
        </is>
      </c>
      <c r="C3583" s="5" t="inlineStr">
        <is>
          <t>ZIRAN SALVADOR TRANSPORTES LTDA</t>
        </is>
      </c>
      <c r="D3583" s="5" t="inlineStr">
        <is>
          <t>UE</t>
        </is>
      </c>
      <c r="E3583" s="5" t="n">
        <v>200033566</v>
      </c>
      <c r="F3583" s="5" t="inlineStr">
        <is>
          <t>22438</t>
        </is>
      </c>
      <c r="G3583" s="5" t="inlineStr">
        <is>
          <t>BRL</t>
        </is>
      </c>
      <c r="H3583" s="9" t="n">
        <v>-165.3</v>
      </c>
      <c r="I3583" s="16" t="n">
        <v>44617</v>
      </c>
      <c r="J3583" s="16" t="n">
        <v>44617</v>
      </c>
      <c r="K3583" s="5" t="inlineStr">
        <is>
          <t>00192600</t>
        </is>
      </c>
      <c r="L3583" s="5" t="inlineStr">
        <is>
          <t>400000.210101</t>
        </is>
      </c>
      <c r="M3583" s="5">
        <f>IF(YEAR(I3583)&lt;=2020,"Até 2020",TEXT(YEAR(I3583),"0"))</f>
        <v/>
      </c>
      <c r="N3583" s="5">
        <f>IFERROR(INDEX(DePara!$A:$A,MATCH(TEXT(B3583,"0"),DePara!$D:$D,0)),"(sem categoria)")</f>
        <v/>
      </c>
      <c r="O3583" s="5">
        <f>IF(J3583="","",Parametros!$B$6-J3583)</f>
        <v/>
      </c>
      <c r="P3583" s="5">
        <f>IF(O3583="","",IF(O3583&gt;0,1,0))</f>
        <v/>
      </c>
    </row>
    <row r="3584">
      <c r="A3584" s="5" t="n">
        <v>2111000000</v>
      </c>
      <c r="B3584" s="5" t="inlineStr">
        <is>
          <t>100469</t>
        </is>
      </c>
      <c r="C3584" s="5" t="inlineStr">
        <is>
          <t>NELSON HEUSI LOGISTICA E ARMAZENS G</t>
        </is>
      </c>
      <c r="D3584" s="5" t="inlineStr">
        <is>
          <t>UE</t>
        </is>
      </c>
      <c r="E3584" s="5" t="n">
        <v>200033640</v>
      </c>
      <c r="F3584" s="5" t="inlineStr">
        <is>
          <t>22512</t>
        </is>
      </c>
      <c r="G3584" s="5" t="inlineStr">
        <is>
          <t>BRL</t>
        </is>
      </c>
      <c r="H3584" s="9" t="n">
        <v>-1092.07</v>
      </c>
      <c r="I3584" s="16" t="n">
        <v>44789</v>
      </c>
      <c r="J3584" s="16" t="n">
        <v>44789</v>
      </c>
      <c r="K3584" s="5" t="inlineStr">
        <is>
          <t>08849800</t>
        </is>
      </c>
      <c r="L3584" s="5" t="inlineStr">
        <is>
          <t>400000.210101</t>
        </is>
      </c>
      <c r="M3584" s="5">
        <f>IF(YEAR(I3584)&lt;=2020,"Até 2020",TEXT(YEAR(I3584),"0"))</f>
        <v/>
      </c>
      <c r="N3584" s="5">
        <f>IFERROR(INDEX(DePara!$A:$A,MATCH(TEXT(B3584,"0"),DePara!$D:$D,0)),"(sem categoria)")</f>
        <v/>
      </c>
      <c r="O3584" s="5">
        <f>IF(J3584="","",Parametros!$B$6-J3584)</f>
        <v/>
      </c>
      <c r="P3584" s="5">
        <f>IF(O3584="","",IF(O3584&gt;0,1,0))</f>
        <v/>
      </c>
    </row>
    <row r="3585">
      <c r="A3585" s="5" t="n">
        <v>2111000000</v>
      </c>
      <c r="B3585" s="5" t="inlineStr">
        <is>
          <t>100028</t>
        </is>
      </c>
      <c r="C3585" s="5" t="inlineStr">
        <is>
          <t>SUPPLOG PORTO SECO DE IPOJUCA LTDA</t>
        </is>
      </c>
      <c r="D3585" s="5" t="inlineStr">
        <is>
          <t>UE</t>
        </is>
      </c>
      <c r="E3585" s="5" t="n">
        <v>200033671</v>
      </c>
      <c r="F3585" s="5" t="inlineStr">
        <is>
          <t>22543</t>
        </is>
      </c>
      <c r="G3585" s="5" t="inlineStr">
        <is>
          <t>BRL</t>
        </is>
      </c>
      <c r="H3585" s="9" t="n">
        <v>-10806.5</v>
      </c>
      <c r="I3585" s="16" t="n">
        <v>44741</v>
      </c>
      <c r="J3585" s="16" t="n">
        <v>44741</v>
      </c>
      <c r="K3585" s="5" t="inlineStr">
        <is>
          <t>02230500</t>
        </is>
      </c>
      <c r="L3585" s="5" t="inlineStr">
        <is>
          <t>400000.210101</t>
        </is>
      </c>
      <c r="M3585" s="5">
        <f>IF(YEAR(I3585)&lt;=2020,"Até 2020",TEXT(YEAR(I3585),"0"))</f>
        <v/>
      </c>
      <c r="N3585" s="5">
        <f>IFERROR(INDEX(DePara!$A:$A,MATCH(TEXT(B3585,"0"),DePara!$D:$D,0)),"(sem categoria)")</f>
        <v/>
      </c>
      <c r="O3585" s="5">
        <f>IF(J3585="","",Parametros!$B$6-J3585)</f>
        <v/>
      </c>
      <c r="P3585" s="5">
        <f>IF(O3585="","",IF(O3585&gt;0,1,0))</f>
        <v/>
      </c>
    </row>
    <row r="3586">
      <c r="A3586" s="5" t="n">
        <v>2111000000</v>
      </c>
      <c r="B3586" s="5" t="inlineStr">
        <is>
          <t>100036</t>
        </is>
      </c>
      <c r="C3586" s="5" t="inlineStr">
        <is>
          <t>EMBRAPORT EMPRESA BRASILEIRA DE TER</t>
        </is>
      </c>
      <c r="D3586" s="5" t="inlineStr">
        <is>
          <t>UE</t>
        </is>
      </c>
      <c r="E3586" s="5" t="n">
        <v>200033672</v>
      </c>
      <c r="F3586" s="5" t="inlineStr">
        <is>
          <t>22544</t>
        </is>
      </c>
      <c r="G3586" s="5" t="inlineStr">
        <is>
          <t>BRL</t>
        </is>
      </c>
      <c r="H3586" s="9" t="n">
        <v>-167805.96</v>
      </c>
      <c r="I3586" s="16" t="n">
        <v>44698</v>
      </c>
      <c r="J3586" s="16" t="n">
        <v>44698</v>
      </c>
      <c r="K3586" s="5" t="inlineStr">
        <is>
          <t>39208000</t>
        </is>
      </c>
      <c r="L3586" s="5" t="inlineStr">
        <is>
          <t>400000.210101</t>
        </is>
      </c>
      <c r="M3586" s="5">
        <f>IF(YEAR(I3586)&lt;=2020,"Até 2020",TEXT(YEAR(I3586),"0"))</f>
        <v/>
      </c>
      <c r="N3586" s="5">
        <f>IFERROR(INDEX(DePara!$A:$A,MATCH(TEXT(B3586,"0"),DePara!$D:$D,0)),"(sem categoria)")</f>
        <v/>
      </c>
      <c r="O3586" s="5">
        <f>IF(J3586="","",Parametros!$B$6-J3586)</f>
        <v/>
      </c>
      <c r="P3586" s="5">
        <f>IF(O3586="","",IF(O3586&gt;0,1,0))</f>
        <v/>
      </c>
    </row>
    <row r="3587">
      <c r="A3587" s="5" t="n">
        <v>2111000000</v>
      </c>
      <c r="B3587" s="5" t="inlineStr">
        <is>
          <t>100036</t>
        </is>
      </c>
      <c r="C3587" s="5" t="inlineStr">
        <is>
          <t>EMBRAPORT EMPRESA BRASILEIRA DE TER</t>
        </is>
      </c>
      <c r="D3587" s="5" t="inlineStr">
        <is>
          <t>UE</t>
        </is>
      </c>
      <c r="E3587" s="5" t="n">
        <v>200033673</v>
      </c>
      <c r="F3587" s="5" t="inlineStr">
        <is>
          <t>22545</t>
        </is>
      </c>
      <c r="G3587" s="5" t="inlineStr">
        <is>
          <t>BRL</t>
        </is>
      </c>
      <c r="H3587" s="9" t="n">
        <v>-59063.6</v>
      </c>
      <c r="I3587" s="16" t="n">
        <v>44701</v>
      </c>
      <c r="J3587" s="16" t="n">
        <v>44701</v>
      </c>
      <c r="K3587" s="5" t="inlineStr">
        <is>
          <t>39273100</t>
        </is>
      </c>
      <c r="L3587" s="5" t="inlineStr">
        <is>
          <t>400000.210101</t>
        </is>
      </c>
      <c r="M3587" s="5">
        <f>IF(YEAR(I3587)&lt;=2020,"Até 2020",TEXT(YEAR(I3587),"0"))</f>
        <v/>
      </c>
      <c r="N3587" s="5">
        <f>IFERROR(INDEX(DePara!$A:$A,MATCH(TEXT(B3587,"0"),DePara!$D:$D,0)),"(sem categoria)")</f>
        <v/>
      </c>
      <c r="O3587" s="5">
        <f>IF(J3587="","",Parametros!$B$6-J3587)</f>
        <v/>
      </c>
      <c r="P3587" s="5">
        <f>IF(O3587="","",IF(O3587&gt;0,1,0))</f>
        <v/>
      </c>
    </row>
    <row r="3588">
      <c r="A3588" s="5" t="n">
        <v>2111000000</v>
      </c>
      <c r="B3588" s="5" t="inlineStr">
        <is>
          <t>100036</t>
        </is>
      </c>
      <c r="C3588" s="5" t="inlineStr">
        <is>
          <t>EMBRAPORT EMPRESA BRASILEIRA DE TER</t>
        </is>
      </c>
      <c r="D3588" s="5" t="inlineStr">
        <is>
          <t>UE</t>
        </is>
      </c>
      <c r="E3588" s="5" t="n">
        <v>200033674</v>
      </c>
      <c r="F3588" s="5" t="inlineStr">
        <is>
          <t>22546</t>
        </is>
      </c>
      <c r="G3588" s="5" t="inlineStr">
        <is>
          <t>BRL</t>
        </is>
      </c>
      <c r="H3588" s="9" t="n">
        <v>-13353.5</v>
      </c>
      <c r="I3588" s="16" t="n">
        <v>44701</v>
      </c>
      <c r="J3588" s="16" t="n">
        <v>44701</v>
      </c>
      <c r="K3588" s="5" t="inlineStr">
        <is>
          <t>39273200</t>
        </is>
      </c>
      <c r="L3588" s="5" t="inlineStr">
        <is>
          <t>400000.210101</t>
        </is>
      </c>
      <c r="M3588" s="5">
        <f>IF(YEAR(I3588)&lt;=2020,"Até 2020",TEXT(YEAR(I3588),"0"))</f>
        <v/>
      </c>
      <c r="N3588" s="5">
        <f>IFERROR(INDEX(DePara!$A:$A,MATCH(TEXT(B3588,"0"),DePara!$D:$D,0)),"(sem categoria)")</f>
        <v/>
      </c>
      <c r="O3588" s="5">
        <f>IF(J3588="","",Parametros!$B$6-J3588)</f>
        <v/>
      </c>
      <c r="P3588" s="5">
        <f>IF(O3588="","",IF(O3588&gt;0,1,0))</f>
        <v/>
      </c>
    </row>
    <row r="3589">
      <c r="A3589" s="5" t="n">
        <v>2111000000</v>
      </c>
      <c r="B3589" s="5" t="inlineStr">
        <is>
          <t>100152</t>
        </is>
      </c>
      <c r="C3589" s="5" t="inlineStr">
        <is>
          <t>CONQUER HOLDING EDUCACIONAL SA</t>
        </is>
      </c>
      <c r="D3589" s="5" t="inlineStr">
        <is>
          <t>UE</t>
        </is>
      </c>
      <c r="E3589" s="5" t="n">
        <v>200033697</v>
      </c>
      <c r="F3589" s="5" t="inlineStr">
        <is>
          <t>22569</t>
        </is>
      </c>
      <c r="G3589" s="5" t="inlineStr">
        <is>
          <t>BRL</t>
        </is>
      </c>
      <c r="H3589" s="9" t="n">
        <v>-10692.01</v>
      </c>
      <c r="I3589" s="16" t="n">
        <v>45128</v>
      </c>
      <c r="J3589" s="16" t="n">
        <v>45128</v>
      </c>
      <c r="K3589" s="5" t="inlineStr">
        <is>
          <t>38688800</t>
        </is>
      </c>
      <c r="L3589" s="5" t="inlineStr">
        <is>
          <t>400000.210101</t>
        </is>
      </c>
      <c r="M3589" s="5">
        <f>IF(YEAR(I3589)&lt;=2020,"Até 2020",TEXT(YEAR(I3589),"0"))</f>
        <v/>
      </c>
      <c r="N3589" s="5">
        <f>IFERROR(INDEX(DePara!$A:$A,MATCH(TEXT(B3589,"0"),DePara!$D:$D,0)),"(sem categoria)")</f>
        <v/>
      </c>
      <c r="O3589" s="5">
        <f>IF(J3589="","",Parametros!$B$6-J3589)</f>
        <v/>
      </c>
      <c r="P3589" s="5">
        <f>IF(O3589="","",IF(O3589&gt;0,1,0))</f>
        <v/>
      </c>
    </row>
    <row r="3590">
      <c r="A3590" s="5" t="n">
        <v>2111000000</v>
      </c>
      <c r="B3590" s="5" t="inlineStr">
        <is>
          <t>101689</t>
        </is>
      </c>
      <c r="C3590" s="5" t="inlineStr">
        <is>
          <t>UNILINK TRANSPORTES INTEGRADOS LTDA</t>
        </is>
      </c>
      <c r="D3590" s="5" t="inlineStr">
        <is>
          <t>UE</t>
        </is>
      </c>
      <c r="E3590" s="5" t="n">
        <v>200034780</v>
      </c>
      <c r="F3590" s="5" t="inlineStr">
        <is>
          <t>21126</t>
        </is>
      </c>
      <c r="G3590" s="5" t="inlineStr">
        <is>
          <t>BRL</t>
        </is>
      </c>
      <c r="H3590" s="9" t="n">
        <v>-55000</v>
      </c>
      <c r="I3590" s="16" t="n">
        <v>44582</v>
      </c>
      <c r="J3590" s="16" t="n">
        <v>44582</v>
      </c>
      <c r="K3590" s="5" t="inlineStr">
        <is>
          <t>00199300</t>
        </is>
      </c>
      <c r="L3590" s="5" t="inlineStr">
        <is>
          <t>400000.210101</t>
        </is>
      </c>
      <c r="M3590" s="5">
        <f>IF(YEAR(I3590)&lt;=2020,"Até 2020",TEXT(YEAR(I3590),"0"))</f>
        <v/>
      </c>
      <c r="N3590" s="5">
        <f>IFERROR(INDEX(DePara!$A:$A,MATCH(TEXT(B3590,"0"),DePara!$D:$D,0)),"(sem categoria)")</f>
        <v/>
      </c>
      <c r="O3590" s="5">
        <f>IF(J3590="","",Parametros!$B$6-J3590)</f>
        <v/>
      </c>
      <c r="P3590" s="5">
        <f>IF(O3590="","",IF(O3590&gt;0,1,0))</f>
        <v/>
      </c>
    </row>
    <row r="3591">
      <c r="A3591" s="5" t="n">
        <v>2111000000</v>
      </c>
      <c r="B3591" s="5" t="inlineStr">
        <is>
          <t>101713</t>
        </is>
      </c>
      <c r="C3591" s="5" t="inlineStr">
        <is>
          <t>COPLAS INDUSTRIA DE PLASTICOS LTDA</t>
        </is>
      </c>
      <c r="D3591" s="5" t="inlineStr">
        <is>
          <t>UE</t>
        </is>
      </c>
      <c r="E3591" s="5" t="n">
        <v>200034788</v>
      </c>
      <c r="F3591" s="5" t="inlineStr">
        <is>
          <t>21134</t>
        </is>
      </c>
      <c r="G3591" s="5" t="inlineStr">
        <is>
          <t>BRL</t>
        </is>
      </c>
      <c r="H3591" s="9" t="n">
        <v>-135789.69</v>
      </c>
      <c r="I3591" s="16" t="n">
        <v>44377</v>
      </c>
      <c r="J3591" s="16" t="n">
        <v>44377</v>
      </c>
      <c r="K3591" s="5" t="inlineStr">
        <is>
          <t>000134719001</t>
        </is>
      </c>
      <c r="L3591" s="5" t="inlineStr">
        <is>
          <t>400000.210101</t>
        </is>
      </c>
      <c r="M3591" s="5">
        <f>IF(YEAR(I3591)&lt;=2020,"Até 2020",TEXT(YEAR(I3591),"0"))</f>
        <v/>
      </c>
      <c r="N3591" s="5">
        <f>IFERROR(INDEX(DePara!$A:$A,MATCH(TEXT(B3591,"0"),DePara!$D:$D,0)),"(sem categoria)")</f>
        <v/>
      </c>
      <c r="O3591" s="5">
        <f>IF(J3591="","",Parametros!$B$6-J3591)</f>
        <v/>
      </c>
      <c r="P3591" s="5">
        <f>IF(O3591="","",IF(O3591&gt;0,1,0))</f>
        <v/>
      </c>
    </row>
    <row r="3592">
      <c r="A3592" s="5" t="n">
        <v>2111000000</v>
      </c>
      <c r="B3592" s="5" t="inlineStr">
        <is>
          <t>101755</t>
        </is>
      </c>
      <c r="C3592" s="5" t="inlineStr">
        <is>
          <t>NEW SMART LOG TRANSP INTERNAC LTDA</t>
        </is>
      </c>
      <c r="D3592" s="5" t="inlineStr">
        <is>
          <t>UE</t>
        </is>
      </c>
      <c r="E3592" s="5" t="n">
        <v>200034811</v>
      </c>
      <c r="F3592" s="5" t="inlineStr">
        <is>
          <t>21157</t>
        </is>
      </c>
      <c r="G3592" s="5" t="inlineStr">
        <is>
          <t>BRL</t>
        </is>
      </c>
      <c r="H3592" s="9" t="n">
        <v>-738.97</v>
      </c>
      <c r="I3592" s="16" t="n">
        <v>42893</v>
      </c>
      <c r="J3592" s="16" t="n">
        <v>42893</v>
      </c>
      <c r="K3592" s="5" t="inlineStr">
        <is>
          <t>001833A1</t>
        </is>
      </c>
      <c r="L3592" s="5" t="inlineStr">
        <is>
          <t>400000.210101</t>
        </is>
      </c>
      <c r="M3592" s="5">
        <f>IF(YEAR(I3592)&lt;=2020,"Até 2020",TEXT(YEAR(I3592),"0"))</f>
        <v/>
      </c>
      <c r="N3592" s="5">
        <f>IFERROR(INDEX(DePara!$A:$A,MATCH(TEXT(B3592,"0"),DePara!$D:$D,0)),"(sem categoria)")</f>
        <v/>
      </c>
      <c r="O3592" s="5">
        <f>IF(J3592="","",Parametros!$B$6-J3592)</f>
        <v/>
      </c>
      <c r="P3592" s="5">
        <f>IF(O3592="","",IF(O3592&gt;0,1,0))</f>
        <v/>
      </c>
    </row>
    <row r="3593">
      <c r="A3593" s="5" t="n">
        <v>2111000000</v>
      </c>
      <c r="B3593" s="5" t="inlineStr">
        <is>
          <t>101755</t>
        </is>
      </c>
      <c r="C3593" s="5" t="inlineStr">
        <is>
          <t>NEW SMART LOG TRANSP INTERNAC LTDA</t>
        </is>
      </c>
      <c r="D3593" s="5" t="inlineStr">
        <is>
          <t>UE</t>
        </is>
      </c>
      <c r="E3593" s="5" t="n">
        <v>200034812</v>
      </c>
      <c r="F3593" s="5" t="inlineStr">
        <is>
          <t>21158</t>
        </is>
      </c>
      <c r="G3593" s="5" t="inlineStr">
        <is>
          <t>BRL</t>
        </is>
      </c>
      <c r="H3593" s="9" t="n">
        <v>-783.1799999999999</v>
      </c>
      <c r="I3593" s="16" t="n">
        <v>43061</v>
      </c>
      <c r="J3593" s="16" t="n">
        <v>43061</v>
      </c>
      <c r="K3593" s="5" t="inlineStr">
        <is>
          <t>002255A1</t>
        </is>
      </c>
      <c r="L3593" s="5" t="inlineStr">
        <is>
          <t>400000.210101</t>
        </is>
      </c>
      <c r="M3593" s="5">
        <f>IF(YEAR(I3593)&lt;=2020,"Até 2020",TEXT(YEAR(I3593),"0"))</f>
        <v/>
      </c>
      <c r="N3593" s="5">
        <f>IFERROR(INDEX(DePara!$A:$A,MATCH(TEXT(B3593,"0"),DePara!$D:$D,0)),"(sem categoria)")</f>
        <v/>
      </c>
      <c r="O3593" s="5">
        <f>IF(J3593="","",Parametros!$B$6-J3593)</f>
        <v/>
      </c>
      <c r="P3593" s="5">
        <f>IF(O3593="","",IF(O3593&gt;0,1,0))</f>
        <v/>
      </c>
    </row>
    <row r="3594">
      <c r="A3594" s="5" t="n">
        <v>2111000000</v>
      </c>
      <c r="B3594" s="5" t="inlineStr">
        <is>
          <t>101755</t>
        </is>
      </c>
      <c r="C3594" s="5" t="inlineStr">
        <is>
          <t>NEW SMART LOG TRANSP INTERNAC LTDA</t>
        </is>
      </c>
      <c r="D3594" s="5" t="inlineStr">
        <is>
          <t>UE</t>
        </is>
      </c>
      <c r="E3594" s="5" t="n">
        <v>200034813</v>
      </c>
      <c r="F3594" s="5" t="inlineStr">
        <is>
          <t>21159</t>
        </is>
      </c>
      <c r="G3594" s="5" t="inlineStr">
        <is>
          <t>BRL</t>
        </is>
      </c>
      <c r="H3594" s="9" t="n">
        <v>-1080.18</v>
      </c>
      <c r="I3594" s="16" t="n">
        <v>43290</v>
      </c>
      <c r="J3594" s="16" t="n">
        <v>43290</v>
      </c>
      <c r="K3594" s="5" t="inlineStr">
        <is>
          <t>00272300</t>
        </is>
      </c>
      <c r="L3594" s="5" t="inlineStr">
        <is>
          <t>400000.210101</t>
        </is>
      </c>
      <c r="M3594" s="5">
        <f>IF(YEAR(I3594)&lt;=2020,"Até 2020",TEXT(YEAR(I3594),"0"))</f>
        <v/>
      </c>
      <c r="N3594" s="5">
        <f>IFERROR(INDEX(DePara!$A:$A,MATCH(TEXT(B3594,"0"),DePara!$D:$D,0)),"(sem categoria)")</f>
        <v/>
      </c>
      <c r="O3594" s="5">
        <f>IF(J3594="","",Parametros!$B$6-J3594)</f>
        <v/>
      </c>
      <c r="P3594" s="5">
        <f>IF(O3594="","",IF(O3594&gt;0,1,0))</f>
        <v/>
      </c>
    </row>
    <row r="3595">
      <c r="A3595" s="5" t="n">
        <v>2111000000</v>
      </c>
      <c r="B3595" s="5" t="inlineStr">
        <is>
          <t>101755</t>
        </is>
      </c>
      <c r="C3595" s="5" t="inlineStr">
        <is>
          <t>NEW SMART LOG TRANSP INTERNAC LTDA</t>
        </is>
      </c>
      <c r="D3595" s="5" t="inlineStr">
        <is>
          <t>UE</t>
        </is>
      </c>
      <c r="E3595" s="5" t="n">
        <v>200034814</v>
      </c>
      <c r="F3595" s="5" t="inlineStr">
        <is>
          <t>21160</t>
        </is>
      </c>
      <c r="G3595" s="5" t="inlineStr">
        <is>
          <t>BRL</t>
        </is>
      </c>
      <c r="H3595" s="9" t="n">
        <v>-703.15</v>
      </c>
      <c r="I3595" s="16" t="n">
        <v>42893</v>
      </c>
      <c r="J3595" s="16" t="n">
        <v>42893</v>
      </c>
      <c r="K3595" s="5" t="inlineStr">
        <is>
          <t>00182900</t>
        </is>
      </c>
      <c r="L3595" s="5" t="inlineStr">
        <is>
          <t>400000.210101</t>
        </is>
      </c>
      <c r="M3595" s="5">
        <f>IF(YEAR(I3595)&lt;=2020,"Até 2020",TEXT(YEAR(I3595),"0"))</f>
        <v/>
      </c>
      <c r="N3595" s="5">
        <f>IFERROR(INDEX(DePara!$A:$A,MATCH(TEXT(B3595,"0"),DePara!$D:$D,0)),"(sem categoria)")</f>
        <v/>
      </c>
      <c r="O3595" s="5">
        <f>IF(J3595="","",Parametros!$B$6-J3595)</f>
        <v/>
      </c>
      <c r="P3595" s="5">
        <f>IF(O3595="","",IF(O3595&gt;0,1,0))</f>
        <v/>
      </c>
    </row>
    <row r="3596">
      <c r="A3596" s="5" t="n">
        <v>2111000000</v>
      </c>
      <c r="B3596" s="5" t="inlineStr">
        <is>
          <t>101755</t>
        </is>
      </c>
      <c r="C3596" s="5" t="inlineStr">
        <is>
          <t>NEW SMART LOG TRANSP INTERNAC LTDA</t>
        </is>
      </c>
      <c r="D3596" s="5" t="inlineStr">
        <is>
          <t>UE</t>
        </is>
      </c>
      <c r="E3596" s="5" t="n">
        <v>200034815</v>
      </c>
      <c r="F3596" s="5" t="inlineStr">
        <is>
          <t>21161</t>
        </is>
      </c>
      <c r="G3596" s="5" t="inlineStr">
        <is>
          <t>BRL</t>
        </is>
      </c>
      <c r="H3596" s="9" t="n">
        <v>-1029.3</v>
      </c>
      <c r="I3596" s="16" t="n">
        <v>43775</v>
      </c>
      <c r="J3596" s="16" t="n">
        <v>43775</v>
      </c>
      <c r="K3596" s="5" t="inlineStr">
        <is>
          <t>00471900</t>
        </is>
      </c>
      <c r="L3596" s="5" t="inlineStr">
        <is>
          <t>400000.210101</t>
        </is>
      </c>
      <c r="M3596" s="5">
        <f>IF(YEAR(I3596)&lt;=2020,"Até 2020",TEXT(YEAR(I3596),"0"))</f>
        <v/>
      </c>
      <c r="N3596" s="5">
        <f>IFERROR(INDEX(DePara!$A:$A,MATCH(TEXT(B3596,"0"),DePara!$D:$D,0)),"(sem categoria)")</f>
        <v/>
      </c>
      <c r="O3596" s="5">
        <f>IF(J3596="","",Parametros!$B$6-J3596)</f>
        <v/>
      </c>
      <c r="P3596" s="5">
        <f>IF(O3596="","",IF(O3596&gt;0,1,0))</f>
        <v/>
      </c>
    </row>
    <row r="3597">
      <c r="A3597" s="5" t="n">
        <v>2111000000</v>
      </c>
      <c r="B3597" s="5" t="inlineStr">
        <is>
          <t>101755</t>
        </is>
      </c>
      <c r="C3597" s="5" t="inlineStr">
        <is>
          <t>NEW SMART LOG TRANSP INTERNAC LTDA</t>
        </is>
      </c>
      <c r="D3597" s="5" t="inlineStr">
        <is>
          <t>UE</t>
        </is>
      </c>
      <c r="E3597" s="5" t="n">
        <v>200034816</v>
      </c>
      <c r="F3597" s="5" t="inlineStr">
        <is>
          <t>21162</t>
        </is>
      </c>
      <c r="G3597" s="5" t="inlineStr">
        <is>
          <t>BRL</t>
        </is>
      </c>
      <c r="H3597" s="9" t="n">
        <v>-738.97</v>
      </c>
      <c r="I3597" s="16" t="n">
        <v>42893</v>
      </c>
      <c r="J3597" s="16" t="n">
        <v>42893</v>
      </c>
      <c r="K3597" s="5" t="inlineStr">
        <is>
          <t>00183300</t>
        </is>
      </c>
      <c r="L3597" s="5" t="inlineStr">
        <is>
          <t>400000.210101</t>
        </is>
      </c>
      <c r="M3597" s="5">
        <f>IF(YEAR(I3597)&lt;=2020,"Até 2020",TEXT(YEAR(I3597),"0"))</f>
        <v/>
      </c>
      <c r="N3597" s="5">
        <f>IFERROR(INDEX(DePara!$A:$A,MATCH(TEXT(B3597,"0"),DePara!$D:$D,0)),"(sem categoria)")</f>
        <v/>
      </c>
      <c r="O3597" s="5">
        <f>IF(J3597="","",Parametros!$B$6-J3597)</f>
        <v/>
      </c>
      <c r="P3597" s="5">
        <f>IF(O3597="","",IF(O3597&gt;0,1,0))</f>
        <v/>
      </c>
    </row>
    <row r="3598">
      <c r="A3598" s="5" t="n">
        <v>2111000000</v>
      </c>
      <c r="B3598" s="5" t="inlineStr">
        <is>
          <t>101755</t>
        </is>
      </c>
      <c r="C3598" s="5" t="inlineStr">
        <is>
          <t>NEW SMART LOG TRANSP INTERNAC LTDA</t>
        </is>
      </c>
      <c r="D3598" s="5" t="inlineStr">
        <is>
          <t>UE</t>
        </is>
      </c>
      <c r="E3598" s="5" t="n">
        <v>200034817</v>
      </c>
      <c r="F3598" s="5" t="inlineStr">
        <is>
          <t>21163</t>
        </is>
      </c>
      <c r="G3598" s="5" t="inlineStr">
        <is>
          <t>BRL</t>
        </is>
      </c>
      <c r="H3598" s="9" t="n">
        <v>-1015.57</v>
      </c>
      <c r="I3598" s="16" t="n">
        <v>43846</v>
      </c>
      <c r="J3598" s="16" t="n">
        <v>43846</v>
      </c>
      <c r="K3598" s="5" t="inlineStr">
        <is>
          <t>00497300</t>
        </is>
      </c>
      <c r="L3598" s="5" t="inlineStr">
        <is>
          <t>400000.210101</t>
        </is>
      </c>
      <c r="M3598" s="5">
        <f>IF(YEAR(I3598)&lt;=2020,"Até 2020",TEXT(YEAR(I3598),"0"))</f>
        <v/>
      </c>
      <c r="N3598" s="5">
        <f>IFERROR(INDEX(DePara!$A:$A,MATCH(TEXT(B3598,"0"),DePara!$D:$D,0)),"(sem categoria)")</f>
        <v/>
      </c>
      <c r="O3598" s="5">
        <f>IF(J3598="","",Parametros!$B$6-J3598)</f>
        <v/>
      </c>
      <c r="P3598" s="5">
        <f>IF(O3598="","",IF(O3598&gt;0,1,0))</f>
        <v/>
      </c>
    </row>
    <row r="3599">
      <c r="A3599" s="5" t="n">
        <v>2111000000</v>
      </c>
      <c r="B3599" s="5" t="inlineStr">
        <is>
          <t>101755</t>
        </is>
      </c>
      <c r="C3599" s="5" t="inlineStr">
        <is>
          <t>NEW SMART LOG TRANSP INTERNAC LTDA</t>
        </is>
      </c>
      <c r="D3599" s="5" t="inlineStr">
        <is>
          <t>UE</t>
        </is>
      </c>
      <c r="E3599" s="5" t="n">
        <v>200034818</v>
      </c>
      <c r="F3599" s="5" t="inlineStr">
        <is>
          <t>21164</t>
        </is>
      </c>
      <c r="G3599" s="5" t="inlineStr">
        <is>
          <t>BRL</t>
        </is>
      </c>
      <c r="H3599" s="9" t="n">
        <v>-1015.57</v>
      </c>
      <c r="I3599" s="16" t="n">
        <v>43846</v>
      </c>
      <c r="J3599" s="16" t="n">
        <v>43846</v>
      </c>
      <c r="K3599" s="5" t="inlineStr">
        <is>
          <t>00497600</t>
        </is>
      </c>
      <c r="L3599" s="5" t="inlineStr">
        <is>
          <t>400000.210101</t>
        </is>
      </c>
      <c r="M3599" s="5">
        <f>IF(YEAR(I3599)&lt;=2020,"Até 2020",TEXT(YEAR(I3599),"0"))</f>
        <v/>
      </c>
      <c r="N3599" s="5">
        <f>IFERROR(INDEX(DePara!$A:$A,MATCH(TEXT(B3599,"0"),DePara!$D:$D,0)),"(sem categoria)")</f>
        <v/>
      </c>
      <c r="O3599" s="5">
        <f>IF(J3599="","",Parametros!$B$6-J3599)</f>
        <v/>
      </c>
      <c r="P3599" s="5">
        <f>IF(O3599="","",IF(O3599&gt;0,1,0))</f>
        <v/>
      </c>
    </row>
    <row r="3600">
      <c r="A3600" s="5" t="n">
        <v>2111000000</v>
      </c>
      <c r="B3600" s="5" t="inlineStr">
        <is>
          <t>101755</t>
        </is>
      </c>
      <c r="C3600" s="5" t="inlineStr">
        <is>
          <t>NEW SMART LOG TRANSP INTERNAC LTDA</t>
        </is>
      </c>
      <c r="D3600" s="5" t="inlineStr">
        <is>
          <t>UE</t>
        </is>
      </c>
      <c r="E3600" s="5" t="n">
        <v>200034819</v>
      </c>
      <c r="F3600" s="5" t="inlineStr">
        <is>
          <t>21165</t>
        </is>
      </c>
      <c r="G3600" s="5" t="inlineStr">
        <is>
          <t>BRL</t>
        </is>
      </c>
      <c r="H3600" s="9" t="n">
        <v>-1015.57</v>
      </c>
      <c r="I3600" s="16" t="n">
        <v>43846</v>
      </c>
      <c r="J3600" s="16" t="n">
        <v>43846</v>
      </c>
      <c r="K3600" s="5" t="inlineStr">
        <is>
          <t>00497400</t>
        </is>
      </c>
      <c r="L3600" s="5" t="inlineStr">
        <is>
          <t>400000.210101</t>
        </is>
      </c>
      <c r="M3600" s="5">
        <f>IF(YEAR(I3600)&lt;=2020,"Até 2020",TEXT(YEAR(I3600),"0"))</f>
        <v/>
      </c>
      <c r="N3600" s="5">
        <f>IFERROR(INDEX(DePara!$A:$A,MATCH(TEXT(B3600,"0"),DePara!$D:$D,0)),"(sem categoria)")</f>
        <v/>
      </c>
      <c r="O3600" s="5">
        <f>IF(J3600="","",Parametros!$B$6-J3600)</f>
        <v/>
      </c>
      <c r="P3600" s="5">
        <f>IF(O3600="","",IF(O3600&gt;0,1,0))</f>
        <v/>
      </c>
    </row>
    <row r="3601">
      <c r="A3601" s="5" t="n">
        <v>2111000000</v>
      </c>
      <c r="B3601" s="5" t="inlineStr">
        <is>
          <t>101755</t>
        </is>
      </c>
      <c r="C3601" s="5" t="inlineStr">
        <is>
          <t>NEW SMART LOG TRANSP INTERNAC LTDA</t>
        </is>
      </c>
      <c r="D3601" s="5" t="inlineStr">
        <is>
          <t>UE</t>
        </is>
      </c>
      <c r="E3601" s="5" t="n">
        <v>200034820</v>
      </c>
      <c r="F3601" s="5" t="inlineStr">
        <is>
          <t>21166</t>
        </is>
      </c>
      <c r="G3601" s="5" t="inlineStr">
        <is>
          <t>BRL</t>
        </is>
      </c>
      <c r="H3601" s="9" t="n">
        <v>-1015.57</v>
      </c>
      <c r="I3601" s="16" t="n">
        <v>43846</v>
      </c>
      <c r="J3601" s="16" t="n">
        <v>43846</v>
      </c>
      <c r="K3601" s="5" t="inlineStr">
        <is>
          <t>00497500</t>
        </is>
      </c>
      <c r="L3601" s="5" t="inlineStr">
        <is>
          <t>400000.210101</t>
        </is>
      </c>
      <c r="M3601" s="5">
        <f>IF(YEAR(I3601)&lt;=2020,"Até 2020",TEXT(YEAR(I3601),"0"))</f>
        <v/>
      </c>
      <c r="N3601" s="5">
        <f>IFERROR(INDEX(DePara!$A:$A,MATCH(TEXT(B3601,"0"),DePara!$D:$D,0)),"(sem categoria)")</f>
        <v/>
      </c>
      <c r="O3601" s="5">
        <f>IF(J3601="","",Parametros!$B$6-J3601)</f>
        <v/>
      </c>
      <c r="P3601" s="5">
        <f>IF(O3601="","",IF(O3601&gt;0,1,0))</f>
        <v/>
      </c>
    </row>
    <row r="3602">
      <c r="A3602" s="5" t="n">
        <v>2111000000</v>
      </c>
      <c r="B3602" s="5" t="inlineStr">
        <is>
          <t>101289</t>
        </is>
      </c>
      <c r="C3602" s="5" t="inlineStr">
        <is>
          <t>DHUAN COMISSARIA DE DESP ADUAN LTDA</t>
        </is>
      </c>
      <c r="D3602" s="5" t="inlineStr">
        <is>
          <t>UE</t>
        </is>
      </c>
      <c r="E3602" s="5" t="n">
        <v>200034867</v>
      </c>
      <c r="F3602" s="5" t="inlineStr">
        <is>
          <t>21213</t>
        </is>
      </c>
      <c r="G3602" s="5" t="inlineStr">
        <is>
          <t>BRL</t>
        </is>
      </c>
      <c r="H3602" s="9" t="n">
        <v>-21162.75</v>
      </c>
      <c r="I3602" s="16" t="n">
        <v>43370</v>
      </c>
      <c r="J3602" s="16" t="n">
        <v>43370</v>
      </c>
      <c r="K3602" s="5" t="inlineStr">
        <is>
          <t>00038800</t>
        </is>
      </c>
      <c r="L3602" s="5" t="inlineStr">
        <is>
          <t>400000.210101</t>
        </is>
      </c>
      <c r="M3602" s="5">
        <f>IF(YEAR(I3602)&lt;=2020,"Até 2020",TEXT(YEAR(I3602),"0"))</f>
        <v/>
      </c>
      <c r="N3602" s="5">
        <f>IFERROR(INDEX(DePara!$A:$A,MATCH(TEXT(B3602,"0"),DePara!$D:$D,0)),"(sem categoria)")</f>
        <v/>
      </c>
      <c r="O3602" s="5">
        <f>IF(J3602="","",Parametros!$B$6-J3602)</f>
        <v/>
      </c>
      <c r="P3602" s="5">
        <f>IF(O3602="","",IF(O3602&gt;0,1,0))</f>
        <v/>
      </c>
    </row>
    <row r="3603">
      <c r="A3603" s="5" t="n">
        <v>2111000000</v>
      </c>
      <c r="B3603" s="5" t="inlineStr">
        <is>
          <t>101289</t>
        </is>
      </c>
      <c r="C3603" s="5" t="inlineStr">
        <is>
          <t>DHUAN COMISSARIA DE DESP ADUAN LTDA</t>
        </is>
      </c>
      <c r="D3603" s="5" t="inlineStr">
        <is>
          <t>UE</t>
        </is>
      </c>
      <c r="E3603" s="5" t="n">
        <v>200034868</v>
      </c>
      <c r="F3603" s="5" t="inlineStr">
        <is>
          <t>21214</t>
        </is>
      </c>
      <c r="G3603" s="5" t="inlineStr">
        <is>
          <t>BRL</t>
        </is>
      </c>
      <c r="H3603" s="9" t="n">
        <v>-494.4</v>
      </c>
      <c r="I3603" s="16" t="n">
        <v>43334</v>
      </c>
      <c r="J3603" s="16" t="n">
        <v>43334</v>
      </c>
      <c r="K3603" s="5" t="inlineStr">
        <is>
          <t>03480900</t>
        </is>
      </c>
      <c r="L3603" s="5" t="inlineStr">
        <is>
          <t>400000.210101</t>
        </is>
      </c>
      <c r="M3603" s="5">
        <f>IF(YEAR(I3603)&lt;=2020,"Até 2020",TEXT(YEAR(I3603),"0"))</f>
        <v/>
      </c>
      <c r="N3603" s="5">
        <f>IFERROR(INDEX(DePara!$A:$A,MATCH(TEXT(B3603,"0"),DePara!$D:$D,0)),"(sem categoria)")</f>
        <v/>
      </c>
      <c r="O3603" s="5">
        <f>IF(J3603="","",Parametros!$B$6-J3603)</f>
        <v/>
      </c>
      <c r="P3603" s="5">
        <f>IF(O3603="","",IF(O3603&gt;0,1,0))</f>
        <v/>
      </c>
    </row>
    <row r="3604">
      <c r="A3604" s="5" t="n">
        <v>2111000000</v>
      </c>
      <c r="B3604" s="5" t="inlineStr">
        <is>
          <t>101300</t>
        </is>
      </c>
      <c r="C3604" s="5" t="inlineStr">
        <is>
          <t>GOL LINHAS AEREAS SA</t>
        </is>
      </c>
      <c r="D3604" s="5" t="inlineStr">
        <is>
          <t>UE</t>
        </is>
      </c>
      <c r="E3604" s="5" t="n">
        <v>200034884</v>
      </c>
      <c r="F3604" s="5" t="inlineStr">
        <is>
          <t>21230</t>
        </is>
      </c>
      <c r="G3604" s="5" t="inlineStr">
        <is>
          <t>BRL</t>
        </is>
      </c>
      <c r="H3604" s="9" t="n">
        <v>-960</v>
      </c>
      <c r="I3604" s="16" t="n">
        <v>43075</v>
      </c>
      <c r="J3604" s="16" t="n">
        <v>43075</v>
      </c>
      <c r="K3604" s="5" t="inlineStr">
        <is>
          <t>000073919001</t>
        </is>
      </c>
      <c r="L3604" s="5" t="inlineStr">
        <is>
          <t>400000.210101</t>
        </is>
      </c>
      <c r="M3604" s="5">
        <f>IF(YEAR(I3604)&lt;=2020,"Até 2020",TEXT(YEAR(I3604),"0"))</f>
        <v/>
      </c>
      <c r="N3604" s="5">
        <f>IFERROR(INDEX(DePara!$A:$A,MATCH(TEXT(B3604,"0"),DePara!$D:$D,0)),"(sem categoria)")</f>
        <v/>
      </c>
      <c r="O3604" s="5">
        <f>IF(J3604="","",Parametros!$B$6-J3604)</f>
        <v/>
      </c>
      <c r="P3604" s="5">
        <f>IF(O3604="","",IF(O3604&gt;0,1,0))</f>
        <v/>
      </c>
    </row>
    <row r="3605">
      <c r="A3605" s="5" t="n">
        <v>2111000000</v>
      </c>
      <c r="B3605" s="5" t="inlineStr">
        <is>
          <t>101360</t>
        </is>
      </c>
      <c r="C3605" s="5" t="inlineStr">
        <is>
          <t>MULTILOG SUL ARMAZENS GERAIS LTDA</t>
        </is>
      </c>
      <c r="D3605" s="5" t="inlineStr">
        <is>
          <t>UE</t>
        </is>
      </c>
      <c r="E3605" s="5" t="n">
        <v>200034954</v>
      </c>
      <c r="F3605" s="5" t="inlineStr">
        <is>
          <t>21300</t>
        </is>
      </c>
      <c r="G3605" s="5" t="inlineStr">
        <is>
          <t>BRL</t>
        </is>
      </c>
      <c r="H3605" s="9" t="n">
        <v>-1020.37</v>
      </c>
      <c r="I3605" s="16" t="n">
        <v>43274</v>
      </c>
      <c r="J3605" s="16" t="n">
        <v>43274</v>
      </c>
      <c r="K3605" s="5" t="inlineStr">
        <is>
          <t>49470200</t>
        </is>
      </c>
      <c r="L3605" s="5" t="inlineStr">
        <is>
          <t>400000.210101</t>
        </is>
      </c>
      <c r="M3605" s="5">
        <f>IF(YEAR(I3605)&lt;=2020,"Até 2020",TEXT(YEAR(I3605),"0"))</f>
        <v/>
      </c>
      <c r="N3605" s="5">
        <f>IFERROR(INDEX(DePara!$A:$A,MATCH(TEXT(B3605,"0"),DePara!$D:$D,0)),"(sem categoria)")</f>
        <v/>
      </c>
      <c r="O3605" s="5">
        <f>IF(J3605="","",Parametros!$B$6-J3605)</f>
        <v/>
      </c>
      <c r="P3605" s="5">
        <f>IF(O3605="","",IF(O3605&gt;0,1,0))</f>
        <v/>
      </c>
    </row>
    <row r="3606">
      <c r="A3606" s="5" t="n">
        <v>2111000000</v>
      </c>
      <c r="B3606" s="5" t="inlineStr">
        <is>
          <t>101513</t>
        </is>
      </c>
      <c r="C3606" s="5" t="inlineStr">
        <is>
          <t>COLI SHIPPING &amp; TRANSPORT DO BRASIL</t>
        </is>
      </c>
      <c r="D3606" s="5" t="inlineStr">
        <is>
          <t>UE</t>
        </is>
      </c>
      <c r="E3606" s="5" t="n">
        <v>200035106</v>
      </c>
      <c r="F3606" s="5" t="inlineStr">
        <is>
          <t>21452</t>
        </is>
      </c>
      <c r="G3606" s="5" t="inlineStr">
        <is>
          <t>BRL</t>
        </is>
      </c>
      <c r="H3606" s="9" t="n">
        <v>-750</v>
      </c>
      <c r="I3606" s="16" t="n">
        <v>44105</v>
      </c>
      <c r="J3606" s="16" t="n">
        <v>44105</v>
      </c>
      <c r="K3606" s="5" t="inlineStr">
        <is>
          <t>00011000</t>
        </is>
      </c>
      <c r="L3606" s="5" t="inlineStr">
        <is>
          <t>400000.210101</t>
        </is>
      </c>
      <c r="M3606" s="5">
        <f>IF(YEAR(I3606)&lt;=2020,"Até 2020",TEXT(YEAR(I3606),"0"))</f>
        <v/>
      </c>
      <c r="N3606" s="5">
        <f>IFERROR(INDEX(DePara!$A:$A,MATCH(TEXT(B3606,"0"),DePara!$D:$D,0)),"(sem categoria)")</f>
        <v/>
      </c>
      <c r="O3606" s="5">
        <f>IF(J3606="","",Parametros!$B$6-J3606)</f>
        <v/>
      </c>
      <c r="P3606" s="5">
        <f>IF(O3606="","",IF(O3606&gt;0,1,0))</f>
        <v/>
      </c>
    </row>
    <row r="3607">
      <c r="A3607" s="5" t="n">
        <v>2111000000</v>
      </c>
      <c r="B3607" s="5" t="inlineStr">
        <is>
          <t>101043</t>
        </is>
      </c>
      <c r="C3607" s="5" t="inlineStr">
        <is>
          <t>AEROPORTO BRASIL VIRACOPOS SA</t>
        </is>
      </c>
      <c r="D3607" s="5" t="inlineStr">
        <is>
          <t>UE</t>
        </is>
      </c>
      <c r="E3607" s="5" t="n">
        <v>200035133</v>
      </c>
      <c r="F3607" s="5" t="inlineStr">
        <is>
          <t>21479</t>
        </is>
      </c>
      <c r="G3607" s="5" t="inlineStr">
        <is>
          <t>BRL</t>
        </is>
      </c>
      <c r="H3607" s="9" t="n">
        <v>-842</v>
      </c>
      <c r="I3607" s="16" t="n">
        <v>44228</v>
      </c>
      <c r="J3607" s="16" t="n">
        <v>44228</v>
      </c>
      <c r="K3607" s="5" t="inlineStr">
        <is>
          <t>28292100</t>
        </is>
      </c>
      <c r="L3607" s="5" t="inlineStr">
        <is>
          <t>400000.210101</t>
        </is>
      </c>
      <c r="M3607" s="5">
        <f>IF(YEAR(I3607)&lt;=2020,"Até 2020",TEXT(YEAR(I3607),"0"))</f>
        <v/>
      </c>
      <c r="N3607" s="5">
        <f>IFERROR(INDEX(DePara!$A:$A,MATCH(TEXT(B3607,"0"),DePara!$D:$D,0)),"(sem categoria)")</f>
        <v/>
      </c>
      <c r="O3607" s="5">
        <f>IF(J3607="","",Parametros!$B$6-J3607)</f>
        <v/>
      </c>
      <c r="P3607" s="5">
        <f>IF(O3607="","",IF(O3607&gt;0,1,0))</f>
        <v/>
      </c>
    </row>
    <row r="3608">
      <c r="A3608" s="5" t="n">
        <v>2111000000</v>
      </c>
      <c r="B3608" s="5" t="inlineStr">
        <is>
          <t>101043</t>
        </is>
      </c>
      <c r="C3608" s="5" t="inlineStr">
        <is>
          <t>AEROPORTO BRASIL VIRACOPOS SA</t>
        </is>
      </c>
      <c r="D3608" s="5" t="inlineStr">
        <is>
          <t>UE</t>
        </is>
      </c>
      <c r="E3608" s="5" t="n">
        <v>200035134</v>
      </c>
      <c r="F3608" s="5" t="inlineStr">
        <is>
          <t>21480</t>
        </is>
      </c>
      <c r="G3608" s="5" t="inlineStr">
        <is>
          <t>BRL</t>
        </is>
      </c>
      <c r="H3608" s="9" t="n">
        <v>-2739.04</v>
      </c>
      <c r="I3608" s="16" t="n">
        <v>44690</v>
      </c>
      <c r="J3608" s="16" t="n">
        <v>44690</v>
      </c>
      <c r="K3608" s="5" t="inlineStr">
        <is>
          <t>06504100</t>
        </is>
      </c>
      <c r="L3608" s="5" t="inlineStr">
        <is>
          <t>400000.210101</t>
        </is>
      </c>
      <c r="M3608" s="5">
        <f>IF(YEAR(I3608)&lt;=2020,"Até 2020",TEXT(YEAR(I3608),"0"))</f>
        <v/>
      </c>
      <c r="N3608" s="5">
        <f>IFERROR(INDEX(DePara!$A:$A,MATCH(TEXT(B3608,"0"),DePara!$D:$D,0)),"(sem categoria)")</f>
        <v/>
      </c>
      <c r="O3608" s="5">
        <f>IF(J3608="","",Parametros!$B$6-J3608)</f>
        <v/>
      </c>
      <c r="P3608" s="5">
        <f>IF(O3608="","",IF(O3608&gt;0,1,0))</f>
        <v/>
      </c>
    </row>
    <row r="3609">
      <c r="A3609" s="5" t="n">
        <v>2111000000</v>
      </c>
      <c r="B3609" s="5" t="inlineStr">
        <is>
          <t>101043</t>
        </is>
      </c>
      <c r="C3609" s="5" t="inlineStr">
        <is>
          <t>AEROPORTO BRASIL VIRACOPOS SA</t>
        </is>
      </c>
      <c r="D3609" s="5" t="inlineStr">
        <is>
          <t>UE</t>
        </is>
      </c>
      <c r="E3609" s="5" t="n">
        <v>200035135</v>
      </c>
      <c r="F3609" s="5" t="inlineStr">
        <is>
          <t>21481</t>
        </is>
      </c>
      <c r="G3609" s="5" t="inlineStr">
        <is>
          <t>BRL</t>
        </is>
      </c>
      <c r="H3609" s="9" t="n">
        <v>-333</v>
      </c>
      <c r="I3609" s="16" t="n">
        <v>44686</v>
      </c>
      <c r="J3609" s="16" t="n">
        <v>44686</v>
      </c>
      <c r="K3609" s="5" t="inlineStr">
        <is>
          <t>06274100</t>
        </is>
      </c>
      <c r="L3609" s="5" t="inlineStr">
        <is>
          <t>400000.210101</t>
        </is>
      </c>
      <c r="M3609" s="5">
        <f>IF(YEAR(I3609)&lt;=2020,"Até 2020",TEXT(YEAR(I3609),"0"))</f>
        <v/>
      </c>
      <c r="N3609" s="5">
        <f>IFERROR(INDEX(DePara!$A:$A,MATCH(TEXT(B3609,"0"),DePara!$D:$D,0)),"(sem categoria)")</f>
        <v/>
      </c>
      <c r="O3609" s="5">
        <f>IF(J3609="","",Parametros!$B$6-J3609)</f>
        <v/>
      </c>
      <c r="P3609" s="5">
        <f>IF(O3609="","",IF(O3609&gt;0,1,0))</f>
        <v/>
      </c>
    </row>
    <row r="3610">
      <c r="A3610" s="5" t="n">
        <v>2111000000</v>
      </c>
      <c r="B3610" s="5" t="inlineStr">
        <is>
          <t>101043</t>
        </is>
      </c>
      <c r="C3610" s="5" t="inlineStr">
        <is>
          <t>AEROPORTO BRASIL VIRACOPOS SA</t>
        </is>
      </c>
      <c r="D3610" s="5" t="inlineStr">
        <is>
          <t>UE</t>
        </is>
      </c>
      <c r="E3610" s="5" t="n">
        <v>200035136</v>
      </c>
      <c r="F3610" s="5" t="inlineStr">
        <is>
          <t>21482</t>
        </is>
      </c>
      <c r="G3610" s="5" t="inlineStr">
        <is>
          <t>BRL</t>
        </is>
      </c>
      <c r="H3610" s="9" t="n">
        <v>-5660.84</v>
      </c>
      <c r="I3610" s="16" t="n">
        <v>44685</v>
      </c>
      <c r="J3610" s="16" t="n">
        <v>44685</v>
      </c>
      <c r="K3610" s="5" t="inlineStr">
        <is>
          <t>06233000</t>
        </is>
      </c>
      <c r="L3610" s="5" t="inlineStr">
        <is>
          <t>400000.210101</t>
        </is>
      </c>
      <c r="M3610" s="5">
        <f>IF(YEAR(I3610)&lt;=2020,"Até 2020",TEXT(YEAR(I3610),"0"))</f>
        <v/>
      </c>
      <c r="N3610" s="5">
        <f>IFERROR(INDEX(DePara!$A:$A,MATCH(TEXT(B3610,"0"),DePara!$D:$D,0)),"(sem categoria)")</f>
        <v/>
      </c>
      <c r="O3610" s="5">
        <f>IF(J3610="","",Parametros!$B$6-J3610)</f>
        <v/>
      </c>
      <c r="P3610" s="5">
        <f>IF(O3610="","",IF(O3610&gt;0,1,0))</f>
        <v/>
      </c>
    </row>
    <row r="3611">
      <c r="A3611" s="5" t="n">
        <v>2111000000</v>
      </c>
      <c r="B3611" s="5" t="inlineStr">
        <is>
          <t>101045</t>
        </is>
      </c>
      <c r="C3611" s="5" t="inlineStr">
        <is>
          <t>WILSON SONS LOGISTICA LTDA</t>
        </is>
      </c>
      <c r="D3611" s="5" t="inlineStr">
        <is>
          <t>UE</t>
        </is>
      </c>
      <c r="E3611" s="5" t="n">
        <v>200035138</v>
      </c>
      <c r="F3611" s="5" t="inlineStr">
        <is>
          <t>21484</t>
        </is>
      </c>
      <c r="G3611" s="5" t="inlineStr">
        <is>
          <t>BRL</t>
        </is>
      </c>
      <c r="H3611" s="9" t="n">
        <v>-2692.31</v>
      </c>
      <c r="I3611" s="16" t="n">
        <v>43951</v>
      </c>
      <c r="J3611" s="16" t="n">
        <v>43951</v>
      </c>
      <c r="K3611" s="5" t="inlineStr">
        <is>
          <t>00095600</t>
        </is>
      </c>
      <c r="L3611" s="5" t="inlineStr">
        <is>
          <t>400000.210101</t>
        </is>
      </c>
      <c r="M3611" s="5">
        <f>IF(YEAR(I3611)&lt;=2020,"Até 2020",TEXT(YEAR(I3611),"0"))</f>
        <v/>
      </c>
      <c r="N3611" s="5">
        <f>IFERROR(INDEX(DePara!$A:$A,MATCH(TEXT(B3611,"0"),DePara!$D:$D,0)),"(sem categoria)")</f>
        <v/>
      </c>
      <c r="O3611" s="5">
        <f>IF(J3611="","",Parametros!$B$6-J3611)</f>
        <v/>
      </c>
      <c r="P3611" s="5">
        <f>IF(O3611="","",IF(O3611&gt;0,1,0))</f>
        <v/>
      </c>
    </row>
    <row r="3612">
      <c r="A3612" s="5" t="n">
        <v>2111000000</v>
      </c>
      <c r="B3612" s="5" t="inlineStr">
        <is>
          <t>101045</t>
        </is>
      </c>
      <c r="C3612" s="5" t="inlineStr">
        <is>
          <t>WILSON SONS LOGISTICA LTDA</t>
        </is>
      </c>
      <c r="D3612" s="5" t="inlineStr">
        <is>
          <t>UE</t>
        </is>
      </c>
      <c r="E3612" s="5" t="n">
        <v>200035139</v>
      </c>
      <c r="F3612" s="5" t="inlineStr">
        <is>
          <t>21485</t>
        </is>
      </c>
      <c r="G3612" s="5" t="inlineStr">
        <is>
          <t>BRL</t>
        </is>
      </c>
      <c r="H3612" s="9" t="n">
        <v>-626.39</v>
      </c>
      <c r="I3612" s="16" t="n">
        <v>44084</v>
      </c>
      <c r="J3612" s="16" t="n">
        <v>44084</v>
      </c>
      <c r="K3612" s="5" t="inlineStr">
        <is>
          <t>00195300</t>
        </is>
      </c>
      <c r="L3612" s="5" t="inlineStr">
        <is>
          <t>400000.210101</t>
        </is>
      </c>
      <c r="M3612" s="5">
        <f>IF(YEAR(I3612)&lt;=2020,"Até 2020",TEXT(YEAR(I3612),"0"))</f>
        <v/>
      </c>
      <c r="N3612" s="5">
        <f>IFERROR(INDEX(DePara!$A:$A,MATCH(TEXT(B3612,"0"),DePara!$D:$D,0)),"(sem categoria)")</f>
        <v/>
      </c>
      <c r="O3612" s="5">
        <f>IF(J3612="","",Parametros!$B$6-J3612)</f>
        <v/>
      </c>
      <c r="P3612" s="5">
        <f>IF(O3612="","",IF(O3612&gt;0,1,0))</f>
        <v/>
      </c>
    </row>
    <row r="3613">
      <c r="A3613" s="5" t="n">
        <v>2111000000</v>
      </c>
      <c r="B3613" s="5" t="inlineStr">
        <is>
          <t>101045</t>
        </is>
      </c>
      <c r="C3613" s="5" t="inlineStr">
        <is>
          <t>WILSON SONS LOGISTICA LTDA</t>
        </is>
      </c>
      <c r="D3613" s="5" t="inlineStr">
        <is>
          <t>UE</t>
        </is>
      </c>
      <c r="E3613" s="5" t="n">
        <v>200035140</v>
      </c>
      <c r="F3613" s="5" t="inlineStr">
        <is>
          <t>21486</t>
        </is>
      </c>
      <c r="G3613" s="5" t="inlineStr">
        <is>
          <t>BRL</t>
        </is>
      </c>
      <c r="H3613" s="9" t="n">
        <v>-1530.28</v>
      </c>
      <c r="I3613" s="16" t="n">
        <v>44084</v>
      </c>
      <c r="J3613" s="16" t="n">
        <v>44084</v>
      </c>
      <c r="K3613" s="5" t="inlineStr">
        <is>
          <t>00195000</t>
        </is>
      </c>
      <c r="L3613" s="5" t="inlineStr">
        <is>
          <t>400000.210101</t>
        </is>
      </c>
      <c r="M3613" s="5">
        <f>IF(YEAR(I3613)&lt;=2020,"Até 2020",TEXT(YEAR(I3613),"0"))</f>
        <v/>
      </c>
      <c r="N3613" s="5">
        <f>IFERROR(INDEX(DePara!$A:$A,MATCH(TEXT(B3613,"0"),DePara!$D:$D,0)),"(sem categoria)")</f>
        <v/>
      </c>
      <c r="O3613" s="5">
        <f>IF(J3613="","",Parametros!$B$6-J3613)</f>
        <v/>
      </c>
      <c r="P3613" s="5">
        <f>IF(O3613="","",IF(O3613&gt;0,1,0))</f>
        <v/>
      </c>
    </row>
    <row r="3614">
      <c r="A3614" s="5" t="n">
        <v>2111000000</v>
      </c>
      <c r="B3614" s="5" t="inlineStr">
        <is>
          <t>101045</t>
        </is>
      </c>
      <c r="C3614" s="5" t="inlineStr">
        <is>
          <t>WILSON SONS LOGISTICA LTDA</t>
        </is>
      </c>
      <c r="D3614" s="5" t="inlineStr">
        <is>
          <t>UE</t>
        </is>
      </c>
      <c r="E3614" s="5" t="n">
        <v>200035141</v>
      </c>
      <c r="F3614" s="5" t="inlineStr">
        <is>
          <t>21487</t>
        </is>
      </c>
      <c r="G3614" s="5" t="inlineStr">
        <is>
          <t>BRL</t>
        </is>
      </c>
      <c r="H3614" s="9" t="n">
        <v>-2821.04</v>
      </c>
      <c r="I3614" s="16" t="n">
        <v>44043</v>
      </c>
      <c r="J3614" s="16" t="n">
        <v>44043</v>
      </c>
      <c r="K3614" s="5" t="inlineStr">
        <is>
          <t>00156700</t>
        </is>
      </c>
      <c r="L3614" s="5" t="inlineStr">
        <is>
          <t>400000.210101</t>
        </is>
      </c>
      <c r="M3614" s="5">
        <f>IF(YEAR(I3614)&lt;=2020,"Até 2020",TEXT(YEAR(I3614),"0"))</f>
        <v/>
      </c>
      <c r="N3614" s="5">
        <f>IFERROR(INDEX(DePara!$A:$A,MATCH(TEXT(B3614,"0"),DePara!$D:$D,0)),"(sem categoria)")</f>
        <v/>
      </c>
      <c r="O3614" s="5">
        <f>IF(J3614="","",Parametros!$B$6-J3614)</f>
        <v/>
      </c>
      <c r="P3614" s="5">
        <f>IF(O3614="","",IF(O3614&gt;0,1,0))</f>
        <v/>
      </c>
    </row>
    <row r="3615">
      <c r="A3615" s="5" t="n">
        <v>2111000000</v>
      </c>
      <c r="B3615" s="5" t="inlineStr">
        <is>
          <t>101045</t>
        </is>
      </c>
      <c r="C3615" s="5" t="inlineStr">
        <is>
          <t>WILSON SONS LOGISTICA LTDA</t>
        </is>
      </c>
      <c r="D3615" s="5" t="inlineStr">
        <is>
          <t>UE</t>
        </is>
      </c>
      <c r="E3615" s="5" t="n">
        <v>200035142</v>
      </c>
      <c r="F3615" s="5" t="inlineStr">
        <is>
          <t>21488</t>
        </is>
      </c>
      <c r="G3615" s="5" t="inlineStr">
        <is>
          <t>BRL</t>
        </is>
      </c>
      <c r="H3615" s="9" t="n">
        <v>-4575.46</v>
      </c>
      <c r="I3615" s="16" t="n">
        <v>44061</v>
      </c>
      <c r="J3615" s="16" t="n">
        <v>44061</v>
      </c>
      <c r="K3615" s="5" t="inlineStr">
        <is>
          <t>00173900</t>
        </is>
      </c>
      <c r="L3615" s="5" t="inlineStr">
        <is>
          <t>400000.210101</t>
        </is>
      </c>
      <c r="M3615" s="5">
        <f>IF(YEAR(I3615)&lt;=2020,"Até 2020",TEXT(YEAR(I3615),"0"))</f>
        <v/>
      </c>
      <c r="N3615" s="5">
        <f>IFERROR(INDEX(DePara!$A:$A,MATCH(TEXT(B3615,"0"),DePara!$D:$D,0)),"(sem categoria)")</f>
        <v/>
      </c>
      <c r="O3615" s="5">
        <f>IF(J3615="","",Parametros!$B$6-J3615)</f>
        <v/>
      </c>
      <c r="P3615" s="5">
        <f>IF(O3615="","",IF(O3615&gt;0,1,0))</f>
        <v/>
      </c>
    </row>
    <row r="3616">
      <c r="A3616" s="5" t="n">
        <v>2111000000</v>
      </c>
      <c r="B3616" s="5" t="inlineStr">
        <is>
          <t>101045</t>
        </is>
      </c>
      <c r="C3616" s="5" t="inlineStr">
        <is>
          <t>WILSON SONS LOGISTICA LTDA</t>
        </is>
      </c>
      <c r="D3616" s="5" t="inlineStr">
        <is>
          <t>UE</t>
        </is>
      </c>
      <c r="E3616" s="5" t="n">
        <v>200035143</v>
      </c>
      <c r="F3616" s="5" t="inlineStr">
        <is>
          <t>21489</t>
        </is>
      </c>
      <c r="G3616" s="5" t="inlineStr">
        <is>
          <t>BRL</t>
        </is>
      </c>
      <c r="H3616" s="9" t="n">
        <v>-3153.75</v>
      </c>
      <c r="I3616" s="16" t="n">
        <v>44139</v>
      </c>
      <c r="J3616" s="16" t="n">
        <v>44139</v>
      </c>
      <c r="K3616" s="5" t="inlineStr">
        <is>
          <t>00241900</t>
        </is>
      </c>
      <c r="L3616" s="5" t="inlineStr">
        <is>
          <t>400000.210101</t>
        </is>
      </c>
      <c r="M3616" s="5">
        <f>IF(YEAR(I3616)&lt;=2020,"Até 2020",TEXT(YEAR(I3616),"0"))</f>
        <v/>
      </c>
      <c r="N3616" s="5">
        <f>IFERROR(INDEX(DePara!$A:$A,MATCH(TEXT(B3616,"0"),DePara!$D:$D,0)),"(sem categoria)")</f>
        <v/>
      </c>
      <c r="O3616" s="5">
        <f>IF(J3616="","",Parametros!$B$6-J3616)</f>
        <v/>
      </c>
      <c r="P3616" s="5">
        <f>IF(O3616="","",IF(O3616&gt;0,1,0))</f>
        <v/>
      </c>
    </row>
    <row r="3617">
      <c r="A3617" s="5" t="n">
        <v>2111000000</v>
      </c>
      <c r="B3617" s="5" t="inlineStr">
        <is>
          <t>101045</t>
        </is>
      </c>
      <c r="C3617" s="5" t="inlineStr">
        <is>
          <t>WILSON SONS LOGISTICA LTDA</t>
        </is>
      </c>
      <c r="D3617" s="5" t="inlineStr">
        <is>
          <t>UE</t>
        </is>
      </c>
      <c r="E3617" s="5" t="n">
        <v>200035144</v>
      </c>
      <c r="F3617" s="5" t="inlineStr">
        <is>
          <t>21490</t>
        </is>
      </c>
      <c r="G3617" s="5" t="inlineStr">
        <is>
          <t>BRL</t>
        </is>
      </c>
      <c r="H3617" s="9" t="n">
        <v>-2304.45</v>
      </c>
      <c r="I3617" s="16" t="n">
        <v>44239</v>
      </c>
      <c r="J3617" s="16" t="n">
        <v>44239</v>
      </c>
      <c r="K3617" s="5" t="inlineStr">
        <is>
          <t>00092900</t>
        </is>
      </c>
      <c r="L3617" s="5" t="inlineStr">
        <is>
          <t>400000.210101</t>
        </is>
      </c>
      <c r="M3617" s="5">
        <f>IF(YEAR(I3617)&lt;=2020,"Até 2020",TEXT(YEAR(I3617),"0"))</f>
        <v/>
      </c>
      <c r="N3617" s="5">
        <f>IFERROR(INDEX(DePara!$A:$A,MATCH(TEXT(B3617,"0"),DePara!$D:$D,0)),"(sem categoria)")</f>
        <v/>
      </c>
      <c r="O3617" s="5">
        <f>IF(J3617="","",Parametros!$B$6-J3617)</f>
        <v/>
      </c>
      <c r="P3617" s="5">
        <f>IF(O3617="","",IF(O3617&gt;0,1,0))</f>
        <v/>
      </c>
    </row>
    <row r="3618">
      <c r="A3618" s="5" t="n">
        <v>2111000000</v>
      </c>
      <c r="B3618" s="5" t="inlineStr">
        <is>
          <t>101045</t>
        </is>
      </c>
      <c r="C3618" s="5" t="inlineStr">
        <is>
          <t>WILSON SONS LOGISTICA LTDA</t>
        </is>
      </c>
      <c r="D3618" s="5" t="inlineStr">
        <is>
          <t>UE</t>
        </is>
      </c>
      <c r="E3618" s="5" t="n">
        <v>200035145</v>
      </c>
      <c r="F3618" s="5" t="inlineStr">
        <is>
          <t>21491</t>
        </is>
      </c>
      <c r="G3618" s="5" t="inlineStr">
        <is>
          <t>BRL</t>
        </is>
      </c>
      <c r="H3618" s="9" t="n">
        <v>-4192.16</v>
      </c>
      <c r="I3618" s="16" t="n">
        <v>44216</v>
      </c>
      <c r="J3618" s="16" t="n">
        <v>44216</v>
      </c>
      <c r="K3618" s="5" t="inlineStr">
        <is>
          <t>00049900</t>
        </is>
      </c>
      <c r="L3618" s="5" t="inlineStr">
        <is>
          <t>400000.210101</t>
        </is>
      </c>
      <c r="M3618" s="5">
        <f>IF(YEAR(I3618)&lt;=2020,"Até 2020",TEXT(YEAR(I3618),"0"))</f>
        <v/>
      </c>
      <c r="N3618" s="5">
        <f>IFERROR(INDEX(DePara!$A:$A,MATCH(TEXT(B3618,"0"),DePara!$D:$D,0)),"(sem categoria)")</f>
        <v/>
      </c>
      <c r="O3618" s="5">
        <f>IF(J3618="","",Parametros!$B$6-J3618)</f>
        <v/>
      </c>
      <c r="P3618" s="5">
        <f>IF(O3618="","",IF(O3618&gt;0,1,0))</f>
        <v/>
      </c>
    </row>
    <row r="3619">
      <c r="A3619" s="5" t="n">
        <v>2111000000</v>
      </c>
      <c r="B3619" s="5" t="inlineStr">
        <is>
          <t>101045</t>
        </is>
      </c>
      <c r="C3619" s="5" t="inlineStr">
        <is>
          <t>WILSON SONS LOGISTICA LTDA</t>
        </is>
      </c>
      <c r="D3619" s="5" t="inlineStr">
        <is>
          <t>UE</t>
        </is>
      </c>
      <c r="E3619" s="5" t="n">
        <v>200035146</v>
      </c>
      <c r="F3619" s="5" t="inlineStr">
        <is>
          <t>21492</t>
        </is>
      </c>
      <c r="G3619" s="5" t="inlineStr">
        <is>
          <t>BRL</t>
        </is>
      </c>
      <c r="H3619" s="9" t="n">
        <v>-3765.17</v>
      </c>
      <c r="I3619" s="16" t="n">
        <v>43930</v>
      </c>
      <c r="J3619" s="16" t="n">
        <v>43930</v>
      </c>
      <c r="K3619" s="5" t="inlineStr">
        <is>
          <t>00080300</t>
        </is>
      </c>
      <c r="L3619" s="5" t="inlineStr">
        <is>
          <t>400000.210101</t>
        </is>
      </c>
      <c r="M3619" s="5">
        <f>IF(YEAR(I3619)&lt;=2020,"Até 2020",TEXT(YEAR(I3619),"0"))</f>
        <v/>
      </c>
      <c r="N3619" s="5">
        <f>IFERROR(INDEX(DePara!$A:$A,MATCH(TEXT(B3619,"0"),DePara!$D:$D,0)),"(sem categoria)")</f>
        <v/>
      </c>
      <c r="O3619" s="5">
        <f>IF(J3619="","",Parametros!$B$6-J3619)</f>
        <v/>
      </c>
      <c r="P3619" s="5">
        <f>IF(O3619="","",IF(O3619&gt;0,1,0))</f>
        <v/>
      </c>
    </row>
    <row r="3620">
      <c r="A3620" s="5" t="n">
        <v>2111000000</v>
      </c>
      <c r="B3620" s="5" t="inlineStr">
        <is>
          <t>101045</t>
        </is>
      </c>
      <c r="C3620" s="5" t="inlineStr">
        <is>
          <t>WILSON SONS LOGISTICA LTDA</t>
        </is>
      </c>
      <c r="D3620" s="5" t="inlineStr">
        <is>
          <t>UE</t>
        </is>
      </c>
      <c r="E3620" s="5" t="n">
        <v>200035147</v>
      </c>
      <c r="F3620" s="5" t="inlineStr">
        <is>
          <t>21493</t>
        </is>
      </c>
      <c r="G3620" s="5" t="inlineStr">
        <is>
          <t>BRL</t>
        </is>
      </c>
      <c r="H3620" s="9" t="n">
        <v>-3607.99</v>
      </c>
      <c r="I3620" s="16" t="n">
        <v>43970</v>
      </c>
      <c r="J3620" s="16" t="n">
        <v>43970</v>
      </c>
      <c r="K3620" s="5" t="inlineStr">
        <is>
          <t>00109000</t>
        </is>
      </c>
      <c r="L3620" s="5" t="inlineStr">
        <is>
          <t>400000.210101</t>
        </is>
      </c>
      <c r="M3620" s="5">
        <f>IF(YEAR(I3620)&lt;=2020,"Até 2020",TEXT(YEAR(I3620),"0"))</f>
        <v/>
      </c>
      <c r="N3620" s="5">
        <f>IFERROR(INDEX(DePara!$A:$A,MATCH(TEXT(B3620,"0"),DePara!$D:$D,0)),"(sem categoria)")</f>
        <v/>
      </c>
      <c r="O3620" s="5">
        <f>IF(J3620="","",Parametros!$B$6-J3620)</f>
        <v/>
      </c>
      <c r="P3620" s="5">
        <f>IF(O3620="","",IF(O3620&gt;0,1,0))</f>
        <v/>
      </c>
    </row>
    <row r="3621">
      <c r="A3621" s="5" t="n">
        <v>2111000000</v>
      </c>
      <c r="B3621" s="5" t="inlineStr">
        <is>
          <t>101045</t>
        </is>
      </c>
      <c r="C3621" s="5" t="inlineStr">
        <is>
          <t>WILSON SONS LOGISTICA LTDA</t>
        </is>
      </c>
      <c r="D3621" s="5" t="inlineStr">
        <is>
          <t>UE</t>
        </is>
      </c>
      <c r="E3621" s="5" t="n">
        <v>200035148</v>
      </c>
      <c r="F3621" s="5" t="inlineStr">
        <is>
          <t>21494</t>
        </is>
      </c>
      <c r="G3621" s="5" t="inlineStr">
        <is>
          <t>BRL</t>
        </is>
      </c>
      <c r="H3621" s="9" t="n">
        <v>-3627.59</v>
      </c>
      <c r="I3621" s="16" t="n">
        <v>43970</v>
      </c>
      <c r="J3621" s="16" t="n">
        <v>43970</v>
      </c>
      <c r="K3621" s="5" t="inlineStr">
        <is>
          <t>00109200</t>
        </is>
      </c>
      <c r="L3621" s="5" t="inlineStr">
        <is>
          <t>400000.210101</t>
        </is>
      </c>
      <c r="M3621" s="5">
        <f>IF(YEAR(I3621)&lt;=2020,"Até 2020",TEXT(YEAR(I3621),"0"))</f>
        <v/>
      </c>
      <c r="N3621" s="5">
        <f>IFERROR(INDEX(DePara!$A:$A,MATCH(TEXT(B3621,"0"),DePara!$D:$D,0)),"(sem categoria)")</f>
        <v/>
      </c>
      <c r="O3621" s="5">
        <f>IF(J3621="","",Parametros!$B$6-J3621)</f>
        <v/>
      </c>
      <c r="P3621" s="5">
        <f>IF(O3621="","",IF(O3621&gt;0,1,0))</f>
        <v/>
      </c>
    </row>
    <row r="3622">
      <c r="A3622" s="5" t="n">
        <v>2111000000</v>
      </c>
      <c r="B3622" s="5" t="inlineStr">
        <is>
          <t>101045</t>
        </is>
      </c>
      <c r="C3622" s="5" t="inlineStr">
        <is>
          <t>WILSON SONS LOGISTICA LTDA</t>
        </is>
      </c>
      <c r="D3622" s="5" t="inlineStr">
        <is>
          <t>UE</t>
        </is>
      </c>
      <c r="E3622" s="5" t="n">
        <v>200035149</v>
      </c>
      <c r="F3622" s="5" t="inlineStr">
        <is>
          <t>21495</t>
        </is>
      </c>
      <c r="G3622" s="5" t="inlineStr">
        <is>
          <t>BRL</t>
        </is>
      </c>
      <c r="H3622" s="9" t="n">
        <v>-2474.55</v>
      </c>
      <c r="I3622" s="16" t="n">
        <v>44229</v>
      </c>
      <c r="J3622" s="16" t="n">
        <v>44229</v>
      </c>
      <c r="K3622" s="5" t="inlineStr">
        <is>
          <t>00071300</t>
        </is>
      </c>
      <c r="L3622" s="5" t="inlineStr">
        <is>
          <t>400000.210101</t>
        </is>
      </c>
      <c r="M3622" s="5">
        <f>IF(YEAR(I3622)&lt;=2020,"Até 2020",TEXT(YEAR(I3622),"0"))</f>
        <v/>
      </c>
      <c r="N3622" s="5">
        <f>IFERROR(INDEX(DePara!$A:$A,MATCH(TEXT(B3622,"0"),DePara!$D:$D,0)),"(sem categoria)")</f>
        <v/>
      </c>
      <c r="O3622" s="5">
        <f>IF(J3622="","",Parametros!$B$6-J3622)</f>
        <v/>
      </c>
      <c r="P3622" s="5">
        <f>IF(O3622="","",IF(O3622&gt;0,1,0))</f>
        <v/>
      </c>
    </row>
    <row r="3623">
      <c r="A3623" s="5" t="n">
        <v>2111000000</v>
      </c>
      <c r="B3623" s="5" t="inlineStr">
        <is>
          <t>101045</t>
        </is>
      </c>
      <c r="C3623" s="5" t="inlineStr">
        <is>
          <t>WILSON SONS LOGISTICA LTDA</t>
        </is>
      </c>
      <c r="D3623" s="5" t="inlineStr">
        <is>
          <t>UE</t>
        </is>
      </c>
      <c r="E3623" s="5" t="n">
        <v>200035150</v>
      </c>
      <c r="F3623" s="5" t="inlineStr">
        <is>
          <t>21496</t>
        </is>
      </c>
      <c r="G3623" s="5" t="inlineStr">
        <is>
          <t>BRL</t>
        </is>
      </c>
      <c r="H3623" s="9" t="n">
        <v>-3234.29</v>
      </c>
      <c r="I3623" s="16" t="n">
        <v>44279</v>
      </c>
      <c r="J3623" s="16" t="n">
        <v>44279</v>
      </c>
      <c r="K3623" s="5" t="inlineStr">
        <is>
          <t>00157800</t>
        </is>
      </c>
      <c r="L3623" s="5" t="inlineStr">
        <is>
          <t>400000.210101</t>
        </is>
      </c>
      <c r="M3623" s="5">
        <f>IF(YEAR(I3623)&lt;=2020,"Até 2020",TEXT(YEAR(I3623),"0"))</f>
        <v/>
      </c>
      <c r="N3623" s="5">
        <f>IFERROR(INDEX(DePara!$A:$A,MATCH(TEXT(B3623,"0"),DePara!$D:$D,0)),"(sem categoria)")</f>
        <v/>
      </c>
      <c r="O3623" s="5">
        <f>IF(J3623="","",Parametros!$B$6-J3623)</f>
        <v/>
      </c>
      <c r="P3623" s="5">
        <f>IF(O3623="","",IF(O3623&gt;0,1,0))</f>
        <v/>
      </c>
    </row>
    <row r="3624">
      <c r="A3624" s="5" t="n">
        <v>2111000000</v>
      </c>
      <c r="B3624" s="5" t="inlineStr">
        <is>
          <t>101045</t>
        </is>
      </c>
      <c r="C3624" s="5" t="inlineStr">
        <is>
          <t>WILSON SONS LOGISTICA LTDA</t>
        </is>
      </c>
      <c r="D3624" s="5" t="inlineStr">
        <is>
          <t>UE</t>
        </is>
      </c>
      <c r="E3624" s="5" t="n">
        <v>200035151</v>
      </c>
      <c r="F3624" s="5" t="inlineStr">
        <is>
          <t>21497</t>
        </is>
      </c>
      <c r="G3624" s="5" t="inlineStr">
        <is>
          <t>BRL</t>
        </is>
      </c>
      <c r="H3624" s="9" t="n">
        <v>-3370.58</v>
      </c>
      <c r="I3624" s="16" t="n">
        <v>44293</v>
      </c>
      <c r="J3624" s="16" t="n">
        <v>44293</v>
      </c>
      <c r="K3624" s="5" t="inlineStr">
        <is>
          <t>00179600</t>
        </is>
      </c>
      <c r="L3624" s="5" t="inlineStr">
        <is>
          <t>400000.210101</t>
        </is>
      </c>
      <c r="M3624" s="5">
        <f>IF(YEAR(I3624)&lt;=2020,"Até 2020",TEXT(YEAR(I3624),"0"))</f>
        <v/>
      </c>
      <c r="N3624" s="5">
        <f>IFERROR(INDEX(DePara!$A:$A,MATCH(TEXT(B3624,"0"),DePara!$D:$D,0)),"(sem categoria)")</f>
        <v/>
      </c>
      <c r="O3624" s="5">
        <f>IF(J3624="","",Parametros!$B$6-J3624)</f>
        <v/>
      </c>
      <c r="P3624" s="5">
        <f>IF(O3624="","",IF(O3624&gt;0,1,0))</f>
        <v/>
      </c>
    </row>
    <row r="3625">
      <c r="A3625" s="5" t="n">
        <v>2111000000</v>
      </c>
      <c r="B3625" s="5" t="inlineStr">
        <is>
          <t>101045</t>
        </is>
      </c>
      <c r="C3625" s="5" t="inlineStr">
        <is>
          <t>WILSON SONS LOGISTICA LTDA</t>
        </is>
      </c>
      <c r="D3625" s="5" t="inlineStr">
        <is>
          <t>UE</t>
        </is>
      </c>
      <c r="E3625" s="5" t="n">
        <v>200035152</v>
      </c>
      <c r="F3625" s="5" t="inlineStr">
        <is>
          <t>21498</t>
        </is>
      </c>
      <c r="G3625" s="5" t="inlineStr">
        <is>
          <t>BRL</t>
        </is>
      </c>
      <c r="H3625" s="9" t="n">
        <v>-2675.06</v>
      </c>
      <c r="I3625" s="16" t="n">
        <v>44292</v>
      </c>
      <c r="J3625" s="16" t="n">
        <v>44292</v>
      </c>
      <c r="K3625" s="5" t="inlineStr">
        <is>
          <t>00178900</t>
        </is>
      </c>
      <c r="L3625" s="5" t="inlineStr">
        <is>
          <t>400000.210101</t>
        </is>
      </c>
      <c r="M3625" s="5">
        <f>IF(YEAR(I3625)&lt;=2020,"Até 2020",TEXT(YEAR(I3625),"0"))</f>
        <v/>
      </c>
      <c r="N3625" s="5">
        <f>IFERROR(INDEX(DePara!$A:$A,MATCH(TEXT(B3625,"0"),DePara!$D:$D,0)),"(sem categoria)")</f>
        <v/>
      </c>
      <c r="O3625" s="5">
        <f>IF(J3625="","",Parametros!$B$6-J3625)</f>
        <v/>
      </c>
      <c r="P3625" s="5">
        <f>IF(O3625="","",IF(O3625&gt;0,1,0))</f>
        <v/>
      </c>
    </row>
    <row r="3626">
      <c r="A3626" s="5" t="n">
        <v>2111000000</v>
      </c>
      <c r="B3626" s="5" t="inlineStr">
        <is>
          <t>101045</t>
        </is>
      </c>
      <c r="C3626" s="5" t="inlineStr">
        <is>
          <t>WILSON SONS LOGISTICA LTDA</t>
        </is>
      </c>
      <c r="D3626" s="5" t="inlineStr">
        <is>
          <t>UE</t>
        </is>
      </c>
      <c r="E3626" s="5" t="n">
        <v>200035153</v>
      </c>
      <c r="F3626" s="5" t="inlineStr">
        <is>
          <t>21499</t>
        </is>
      </c>
      <c r="G3626" s="5" t="inlineStr">
        <is>
          <t>BRL</t>
        </is>
      </c>
      <c r="H3626" s="9" t="n">
        <v>-3742.88</v>
      </c>
      <c r="I3626" s="16" t="n">
        <v>44292</v>
      </c>
      <c r="J3626" s="16" t="n">
        <v>44292</v>
      </c>
      <c r="K3626" s="5" t="inlineStr">
        <is>
          <t>00177200</t>
        </is>
      </c>
      <c r="L3626" s="5" t="inlineStr">
        <is>
          <t>400000.210101</t>
        </is>
      </c>
      <c r="M3626" s="5">
        <f>IF(YEAR(I3626)&lt;=2020,"Até 2020",TEXT(YEAR(I3626),"0"))</f>
        <v/>
      </c>
      <c r="N3626" s="5">
        <f>IFERROR(INDEX(DePara!$A:$A,MATCH(TEXT(B3626,"0"),DePara!$D:$D,0)),"(sem categoria)")</f>
        <v/>
      </c>
      <c r="O3626" s="5">
        <f>IF(J3626="","",Parametros!$B$6-J3626)</f>
        <v/>
      </c>
      <c r="P3626" s="5">
        <f>IF(O3626="","",IF(O3626&gt;0,1,0))</f>
        <v/>
      </c>
    </row>
    <row r="3627">
      <c r="A3627" s="5" t="n">
        <v>2111000000</v>
      </c>
      <c r="B3627" s="5" t="inlineStr">
        <is>
          <t>101045</t>
        </is>
      </c>
      <c r="C3627" s="5" t="inlineStr">
        <is>
          <t>WILSON SONS LOGISTICA LTDA</t>
        </is>
      </c>
      <c r="D3627" s="5" t="inlineStr">
        <is>
          <t>UE</t>
        </is>
      </c>
      <c r="E3627" s="5" t="n">
        <v>200035154</v>
      </c>
      <c r="F3627" s="5" t="inlineStr">
        <is>
          <t>21500</t>
        </is>
      </c>
      <c r="G3627" s="5" t="inlineStr">
        <is>
          <t>BRL</t>
        </is>
      </c>
      <c r="H3627" s="9" t="n">
        <v>-2511.47</v>
      </c>
      <c r="I3627" s="16" t="n">
        <v>44292</v>
      </c>
      <c r="J3627" s="16" t="n">
        <v>44292</v>
      </c>
      <c r="K3627" s="5" t="inlineStr">
        <is>
          <t>00177300</t>
        </is>
      </c>
      <c r="L3627" s="5" t="inlineStr">
        <is>
          <t>400000.210101</t>
        </is>
      </c>
      <c r="M3627" s="5">
        <f>IF(YEAR(I3627)&lt;=2020,"Até 2020",TEXT(YEAR(I3627),"0"))</f>
        <v/>
      </c>
      <c r="N3627" s="5">
        <f>IFERROR(INDEX(DePara!$A:$A,MATCH(TEXT(B3627,"0"),DePara!$D:$D,0)),"(sem categoria)")</f>
        <v/>
      </c>
      <c r="O3627" s="5">
        <f>IF(J3627="","",Parametros!$B$6-J3627)</f>
        <v/>
      </c>
      <c r="P3627" s="5">
        <f>IF(O3627="","",IF(O3627&gt;0,1,0))</f>
        <v/>
      </c>
    </row>
    <row r="3628">
      <c r="A3628" s="5" t="n">
        <v>2111000000</v>
      </c>
      <c r="B3628" s="5" t="inlineStr">
        <is>
          <t>101045</t>
        </is>
      </c>
      <c r="C3628" s="5" t="inlineStr">
        <is>
          <t>WILSON SONS LOGISTICA LTDA</t>
        </is>
      </c>
      <c r="D3628" s="5" t="inlineStr">
        <is>
          <t>UE</t>
        </is>
      </c>
      <c r="E3628" s="5" t="n">
        <v>200035155</v>
      </c>
      <c r="F3628" s="5" t="inlineStr">
        <is>
          <t>21501</t>
        </is>
      </c>
      <c r="G3628" s="5" t="inlineStr">
        <is>
          <t>BRL</t>
        </is>
      </c>
      <c r="H3628" s="9" t="n">
        <v>-1820.07</v>
      </c>
      <c r="I3628" s="16" t="n">
        <v>44327</v>
      </c>
      <c r="J3628" s="16" t="n">
        <v>44327</v>
      </c>
      <c r="K3628" s="5" t="inlineStr">
        <is>
          <t>00218600</t>
        </is>
      </c>
      <c r="L3628" s="5" t="inlineStr">
        <is>
          <t>400000.210101</t>
        </is>
      </c>
      <c r="M3628" s="5">
        <f>IF(YEAR(I3628)&lt;=2020,"Até 2020",TEXT(YEAR(I3628),"0"))</f>
        <v/>
      </c>
      <c r="N3628" s="5">
        <f>IFERROR(INDEX(DePara!$A:$A,MATCH(TEXT(B3628,"0"),DePara!$D:$D,0)),"(sem categoria)")</f>
        <v/>
      </c>
      <c r="O3628" s="5">
        <f>IF(J3628="","",Parametros!$B$6-J3628)</f>
        <v/>
      </c>
      <c r="P3628" s="5">
        <f>IF(O3628="","",IF(O3628&gt;0,1,0))</f>
        <v/>
      </c>
    </row>
    <row r="3629">
      <c r="A3629" s="5" t="n">
        <v>2111000000</v>
      </c>
      <c r="B3629" s="5" t="inlineStr">
        <is>
          <t>101045</t>
        </is>
      </c>
      <c r="C3629" s="5" t="inlineStr">
        <is>
          <t>WILSON SONS LOGISTICA LTDA</t>
        </is>
      </c>
      <c r="D3629" s="5" t="inlineStr">
        <is>
          <t>UE</t>
        </is>
      </c>
      <c r="E3629" s="5" t="n">
        <v>200035156</v>
      </c>
      <c r="F3629" s="5" t="inlineStr">
        <is>
          <t>21502</t>
        </is>
      </c>
      <c r="G3629" s="5" t="inlineStr">
        <is>
          <t>BRL</t>
        </is>
      </c>
      <c r="H3629" s="9" t="n">
        <v>-854.26</v>
      </c>
      <c r="I3629" s="16" t="n">
        <v>44470</v>
      </c>
      <c r="J3629" s="16" t="n">
        <v>44470</v>
      </c>
      <c r="K3629" s="5" t="inlineStr">
        <is>
          <t>00395400</t>
        </is>
      </c>
      <c r="L3629" s="5" t="inlineStr">
        <is>
          <t>400000.210101</t>
        </is>
      </c>
      <c r="M3629" s="5">
        <f>IF(YEAR(I3629)&lt;=2020,"Até 2020",TEXT(YEAR(I3629),"0"))</f>
        <v/>
      </c>
      <c r="N3629" s="5">
        <f>IFERROR(INDEX(DePara!$A:$A,MATCH(TEXT(B3629,"0"),DePara!$D:$D,0)),"(sem categoria)")</f>
        <v/>
      </c>
      <c r="O3629" s="5">
        <f>IF(J3629="","",Parametros!$B$6-J3629)</f>
        <v/>
      </c>
      <c r="P3629" s="5">
        <f>IF(O3629="","",IF(O3629&gt;0,1,0))</f>
        <v/>
      </c>
    </row>
    <row r="3630">
      <c r="A3630" s="5" t="n">
        <v>2111000000</v>
      </c>
      <c r="B3630" s="5" t="inlineStr">
        <is>
          <t>101045</t>
        </is>
      </c>
      <c r="C3630" s="5" t="inlineStr">
        <is>
          <t>WILSON SONS LOGISTICA LTDA</t>
        </is>
      </c>
      <c r="D3630" s="5" t="inlineStr">
        <is>
          <t>UE</t>
        </is>
      </c>
      <c r="E3630" s="5" t="n">
        <v>200035157</v>
      </c>
      <c r="F3630" s="5" t="inlineStr">
        <is>
          <t>21503</t>
        </is>
      </c>
      <c r="G3630" s="5" t="inlineStr">
        <is>
          <t>BRL</t>
        </is>
      </c>
      <c r="H3630" s="9" t="n">
        <v>-812.76</v>
      </c>
      <c r="I3630" s="16" t="n">
        <v>44470</v>
      </c>
      <c r="J3630" s="16" t="n">
        <v>44470</v>
      </c>
      <c r="K3630" s="5" t="inlineStr">
        <is>
          <t>00395700</t>
        </is>
      </c>
      <c r="L3630" s="5" t="inlineStr">
        <is>
          <t>400000.210101</t>
        </is>
      </c>
      <c r="M3630" s="5">
        <f>IF(YEAR(I3630)&lt;=2020,"Até 2020",TEXT(YEAR(I3630),"0"))</f>
        <v/>
      </c>
      <c r="N3630" s="5">
        <f>IFERROR(INDEX(DePara!$A:$A,MATCH(TEXT(B3630,"0"),DePara!$D:$D,0)),"(sem categoria)")</f>
        <v/>
      </c>
      <c r="O3630" s="5">
        <f>IF(J3630="","",Parametros!$B$6-J3630)</f>
        <v/>
      </c>
      <c r="P3630" s="5">
        <f>IF(O3630="","",IF(O3630&gt;0,1,0))</f>
        <v/>
      </c>
    </row>
    <row r="3631">
      <c r="A3631" s="5" t="n">
        <v>2111000000</v>
      </c>
      <c r="B3631" s="5" t="inlineStr">
        <is>
          <t>101045</t>
        </is>
      </c>
      <c r="C3631" s="5" t="inlineStr">
        <is>
          <t>WILSON SONS LOGISTICA LTDA</t>
        </is>
      </c>
      <c r="D3631" s="5" t="inlineStr">
        <is>
          <t>UE</t>
        </is>
      </c>
      <c r="E3631" s="5" t="n">
        <v>200035158</v>
      </c>
      <c r="F3631" s="5" t="inlineStr">
        <is>
          <t>21504</t>
        </is>
      </c>
      <c r="G3631" s="5" t="inlineStr">
        <is>
          <t>BRL</t>
        </is>
      </c>
      <c r="H3631" s="9" t="n">
        <v>-2546.9</v>
      </c>
      <c r="I3631" s="16" t="n">
        <v>44449</v>
      </c>
      <c r="J3631" s="16" t="n">
        <v>44449</v>
      </c>
      <c r="K3631" s="5" t="inlineStr">
        <is>
          <t>00369700</t>
        </is>
      </c>
      <c r="L3631" s="5" t="inlineStr">
        <is>
          <t>400000.210101</t>
        </is>
      </c>
      <c r="M3631" s="5">
        <f>IF(YEAR(I3631)&lt;=2020,"Até 2020",TEXT(YEAR(I3631),"0"))</f>
        <v/>
      </c>
      <c r="N3631" s="5">
        <f>IFERROR(INDEX(DePara!$A:$A,MATCH(TEXT(B3631,"0"),DePara!$D:$D,0)),"(sem categoria)")</f>
        <v/>
      </c>
      <c r="O3631" s="5">
        <f>IF(J3631="","",Parametros!$B$6-J3631)</f>
        <v/>
      </c>
      <c r="P3631" s="5">
        <f>IF(O3631="","",IF(O3631&gt;0,1,0))</f>
        <v/>
      </c>
    </row>
    <row r="3632">
      <c r="A3632" s="5" t="n">
        <v>2111000000</v>
      </c>
      <c r="B3632" s="5" t="inlineStr">
        <is>
          <t>101045</t>
        </is>
      </c>
      <c r="C3632" s="5" t="inlineStr">
        <is>
          <t>WILSON SONS LOGISTICA LTDA</t>
        </is>
      </c>
      <c r="D3632" s="5" t="inlineStr">
        <is>
          <t>UE</t>
        </is>
      </c>
      <c r="E3632" s="5" t="n">
        <v>200035159</v>
      </c>
      <c r="F3632" s="5" t="inlineStr">
        <is>
          <t>21505</t>
        </is>
      </c>
      <c r="G3632" s="5" t="inlineStr">
        <is>
          <t>BRL</t>
        </is>
      </c>
      <c r="H3632" s="9" t="n">
        <v>-3466.77</v>
      </c>
      <c r="I3632" s="16" t="n">
        <v>44455</v>
      </c>
      <c r="J3632" s="16" t="n">
        <v>44455</v>
      </c>
      <c r="K3632" s="5" t="inlineStr">
        <is>
          <t>00375900</t>
        </is>
      </c>
      <c r="L3632" s="5" t="inlineStr">
        <is>
          <t>400000.210101</t>
        </is>
      </c>
      <c r="M3632" s="5">
        <f>IF(YEAR(I3632)&lt;=2020,"Até 2020",TEXT(YEAR(I3632),"0"))</f>
        <v/>
      </c>
      <c r="N3632" s="5">
        <f>IFERROR(INDEX(DePara!$A:$A,MATCH(TEXT(B3632,"0"),DePara!$D:$D,0)),"(sem categoria)")</f>
        <v/>
      </c>
      <c r="O3632" s="5">
        <f>IF(J3632="","",Parametros!$B$6-J3632)</f>
        <v/>
      </c>
      <c r="P3632" s="5">
        <f>IF(O3632="","",IF(O3632&gt;0,1,0))</f>
        <v/>
      </c>
    </row>
    <row r="3633">
      <c r="A3633" s="5" t="n">
        <v>2111000000</v>
      </c>
      <c r="B3633" s="5" t="inlineStr">
        <is>
          <t>101045</t>
        </is>
      </c>
      <c r="C3633" s="5" t="inlineStr">
        <is>
          <t>WILSON SONS LOGISTICA LTDA</t>
        </is>
      </c>
      <c r="D3633" s="5" t="inlineStr">
        <is>
          <t>UE</t>
        </is>
      </c>
      <c r="E3633" s="5" t="n">
        <v>200035161</v>
      </c>
      <c r="F3633" s="5" t="inlineStr">
        <is>
          <t>21507</t>
        </is>
      </c>
      <c r="G3633" s="5" t="inlineStr">
        <is>
          <t>BRL</t>
        </is>
      </c>
      <c r="H3633" s="9" t="n">
        <v>-1463.46</v>
      </c>
      <c r="I3633" s="16" t="n">
        <v>44084</v>
      </c>
      <c r="J3633" s="16" t="n">
        <v>44084</v>
      </c>
      <c r="K3633" s="5" t="inlineStr">
        <is>
          <t>00195200</t>
        </is>
      </c>
      <c r="L3633" s="5" t="inlineStr">
        <is>
          <t>400000.210101</t>
        </is>
      </c>
      <c r="M3633" s="5">
        <f>IF(YEAR(I3633)&lt;=2020,"Até 2020",TEXT(YEAR(I3633),"0"))</f>
        <v/>
      </c>
      <c r="N3633" s="5">
        <f>IFERROR(INDEX(DePara!$A:$A,MATCH(TEXT(B3633,"0"),DePara!$D:$D,0)),"(sem categoria)")</f>
        <v/>
      </c>
      <c r="O3633" s="5">
        <f>IF(J3633="","",Parametros!$B$6-J3633)</f>
        <v/>
      </c>
      <c r="P3633" s="5">
        <f>IF(O3633="","",IF(O3633&gt;0,1,0))</f>
        <v/>
      </c>
    </row>
    <row r="3634">
      <c r="A3634" s="5" t="n">
        <v>2111000000</v>
      </c>
      <c r="B3634" s="5" t="inlineStr">
        <is>
          <t>101045</t>
        </is>
      </c>
      <c r="C3634" s="5" t="inlineStr">
        <is>
          <t>WILSON SONS LOGISTICA LTDA</t>
        </is>
      </c>
      <c r="D3634" s="5" t="inlineStr">
        <is>
          <t>UE</t>
        </is>
      </c>
      <c r="E3634" s="5" t="n">
        <v>200035162</v>
      </c>
      <c r="F3634" s="5" t="inlineStr">
        <is>
          <t>21508</t>
        </is>
      </c>
      <c r="G3634" s="5" t="inlineStr">
        <is>
          <t>BRL</t>
        </is>
      </c>
      <c r="H3634" s="9" t="n">
        <v>-5644.18</v>
      </c>
      <c r="I3634" s="16" t="n">
        <v>44614</v>
      </c>
      <c r="J3634" s="16" t="n">
        <v>44614</v>
      </c>
      <c r="K3634" s="5" t="inlineStr">
        <is>
          <t>00052000</t>
        </is>
      </c>
      <c r="L3634" s="5" t="inlineStr">
        <is>
          <t>400000.210101</t>
        </is>
      </c>
      <c r="M3634" s="5">
        <f>IF(YEAR(I3634)&lt;=2020,"Até 2020",TEXT(YEAR(I3634),"0"))</f>
        <v/>
      </c>
      <c r="N3634" s="5">
        <f>IFERROR(INDEX(DePara!$A:$A,MATCH(TEXT(B3634,"0"),DePara!$D:$D,0)),"(sem categoria)")</f>
        <v/>
      </c>
      <c r="O3634" s="5">
        <f>IF(J3634="","",Parametros!$B$6-J3634)</f>
        <v/>
      </c>
      <c r="P3634" s="5">
        <f>IF(O3634="","",IF(O3634&gt;0,1,0))</f>
        <v/>
      </c>
    </row>
    <row r="3635">
      <c r="A3635" s="5" t="n">
        <v>2111000000</v>
      </c>
      <c r="B3635" s="5" t="inlineStr">
        <is>
          <t>101045</t>
        </is>
      </c>
      <c r="C3635" s="5" t="inlineStr">
        <is>
          <t>WILSON SONS LOGISTICA LTDA</t>
        </is>
      </c>
      <c r="D3635" s="5" t="inlineStr">
        <is>
          <t>UE</t>
        </is>
      </c>
      <c r="E3635" s="5" t="n">
        <v>200035163</v>
      </c>
      <c r="F3635" s="5" t="inlineStr">
        <is>
          <t>21509</t>
        </is>
      </c>
      <c r="G3635" s="5" t="inlineStr">
        <is>
          <t>BRL</t>
        </is>
      </c>
      <c r="H3635" s="9" t="n">
        <v>-15493.6</v>
      </c>
      <c r="I3635" s="16" t="n">
        <v>44655</v>
      </c>
      <c r="J3635" s="16" t="n">
        <v>44655</v>
      </c>
      <c r="K3635" s="5" t="inlineStr">
        <is>
          <t>00102000</t>
        </is>
      </c>
      <c r="L3635" s="5" t="inlineStr">
        <is>
          <t>400000.210101</t>
        </is>
      </c>
      <c r="M3635" s="5">
        <f>IF(YEAR(I3635)&lt;=2020,"Até 2020",TEXT(YEAR(I3635),"0"))</f>
        <v/>
      </c>
      <c r="N3635" s="5">
        <f>IFERROR(INDEX(DePara!$A:$A,MATCH(TEXT(B3635,"0"),DePara!$D:$D,0)),"(sem categoria)")</f>
        <v/>
      </c>
      <c r="O3635" s="5">
        <f>IF(J3635="","",Parametros!$B$6-J3635)</f>
        <v/>
      </c>
      <c r="P3635" s="5">
        <f>IF(O3635="","",IF(O3635&gt;0,1,0))</f>
        <v/>
      </c>
    </row>
    <row r="3636">
      <c r="A3636" s="5" t="n">
        <v>2111000000</v>
      </c>
      <c r="B3636" s="5" t="inlineStr">
        <is>
          <t>101045</t>
        </is>
      </c>
      <c r="C3636" s="5" t="inlineStr">
        <is>
          <t>WILSON SONS LOGISTICA LTDA</t>
        </is>
      </c>
      <c r="D3636" s="5" t="inlineStr">
        <is>
          <t>UE</t>
        </is>
      </c>
      <c r="E3636" s="5" t="n">
        <v>200035164</v>
      </c>
      <c r="F3636" s="5" t="inlineStr">
        <is>
          <t>21510</t>
        </is>
      </c>
      <c r="G3636" s="5" t="inlineStr">
        <is>
          <t>BRL</t>
        </is>
      </c>
      <c r="H3636" s="9" t="n">
        <v>-6443.31</v>
      </c>
      <c r="I3636" s="16" t="n">
        <v>44676</v>
      </c>
      <c r="J3636" s="16" t="n">
        <v>44676</v>
      </c>
      <c r="K3636" s="5" t="inlineStr">
        <is>
          <t>00124200</t>
        </is>
      </c>
      <c r="L3636" s="5" t="inlineStr">
        <is>
          <t>400000.210101</t>
        </is>
      </c>
      <c r="M3636" s="5">
        <f>IF(YEAR(I3636)&lt;=2020,"Até 2020",TEXT(YEAR(I3636),"0"))</f>
        <v/>
      </c>
      <c r="N3636" s="5">
        <f>IFERROR(INDEX(DePara!$A:$A,MATCH(TEXT(B3636,"0"),DePara!$D:$D,0)),"(sem categoria)")</f>
        <v/>
      </c>
      <c r="O3636" s="5">
        <f>IF(J3636="","",Parametros!$B$6-J3636)</f>
        <v/>
      </c>
      <c r="P3636" s="5">
        <f>IF(O3636="","",IF(O3636&gt;0,1,0))</f>
        <v/>
      </c>
    </row>
    <row r="3637">
      <c r="A3637" s="5" t="n">
        <v>2111000000</v>
      </c>
      <c r="B3637" s="5" t="inlineStr">
        <is>
          <t>101045</t>
        </is>
      </c>
      <c r="C3637" s="5" t="inlineStr">
        <is>
          <t>WILSON SONS LOGISTICA LTDA</t>
        </is>
      </c>
      <c r="D3637" s="5" t="inlineStr">
        <is>
          <t>UE</t>
        </is>
      </c>
      <c r="E3637" s="5" t="n">
        <v>200035165</v>
      </c>
      <c r="F3637" s="5" t="inlineStr">
        <is>
          <t>21511</t>
        </is>
      </c>
      <c r="G3637" s="5" t="inlineStr">
        <is>
          <t>BRL</t>
        </is>
      </c>
      <c r="H3637" s="9" t="n">
        <v>-9778.360000000001</v>
      </c>
      <c r="I3637" s="16" t="n">
        <v>44637</v>
      </c>
      <c r="J3637" s="16" t="n">
        <v>44637</v>
      </c>
      <c r="K3637" s="5" t="inlineStr">
        <is>
          <t>00077900</t>
        </is>
      </c>
      <c r="L3637" s="5" t="inlineStr">
        <is>
          <t>400000.210101</t>
        </is>
      </c>
      <c r="M3637" s="5">
        <f>IF(YEAR(I3637)&lt;=2020,"Até 2020",TEXT(YEAR(I3637),"0"))</f>
        <v/>
      </c>
      <c r="N3637" s="5">
        <f>IFERROR(INDEX(DePara!$A:$A,MATCH(TEXT(B3637,"0"),DePara!$D:$D,0)),"(sem categoria)")</f>
        <v/>
      </c>
      <c r="O3637" s="5">
        <f>IF(J3637="","",Parametros!$B$6-J3637)</f>
        <v/>
      </c>
      <c r="P3637" s="5">
        <f>IF(O3637="","",IF(O3637&gt;0,1,0))</f>
        <v/>
      </c>
    </row>
    <row r="3638">
      <c r="A3638" s="5" t="n">
        <v>2111000000</v>
      </c>
      <c r="B3638" s="5" t="inlineStr">
        <is>
          <t>101045</t>
        </is>
      </c>
      <c r="C3638" s="5" t="inlineStr">
        <is>
          <t>WILSON SONS LOGISTICA LTDA</t>
        </is>
      </c>
      <c r="D3638" s="5" t="inlineStr">
        <is>
          <t>UE</t>
        </is>
      </c>
      <c r="E3638" s="5" t="n">
        <v>200035166</v>
      </c>
      <c r="F3638" s="5" t="inlineStr">
        <is>
          <t>21512</t>
        </is>
      </c>
      <c r="G3638" s="5" t="inlineStr">
        <is>
          <t>BRL</t>
        </is>
      </c>
      <c r="H3638" s="9" t="n">
        <v>-5696.15</v>
      </c>
      <c r="I3638" s="16" t="n">
        <v>44662</v>
      </c>
      <c r="J3638" s="16" t="n">
        <v>44662</v>
      </c>
      <c r="K3638" s="5" t="inlineStr">
        <is>
          <t>00109100</t>
        </is>
      </c>
      <c r="L3638" s="5" t="inlineStr">
        <is>
          <t>400000.210101</t>
        </is>
      </c>
      <c r="M3638" s="5">
        <f>IF(YEAR(I3638)&lt;=2020,"Até 2020",TEXT(YEAR(I3638),"0"))</f>
        <v/>
      </c>
      <c r="N3638" s="5">
        <f>IFERROR(INDEX(DePara!$A:$A,MATCH(TEXT(B3638,"0"),DePara!$D:$D,0)),"(sem categoria)")</f>
        <v/>
      </c>
      <c r="O3638" s="5">
        <f>IF(J3638="","",Parametros!$B$6-J3638)</f>
        <v/>
      </c>
      <c r="P3638" s="5">
        <f>IF(O3638="","",IF(O3638&gt;0,1,0))</f>
        <v/>
      </c>
    </row>
    <row r="3639">
      <c r="A3639" s="5" t="n">
        <v>2111000000</v>
      </c>
      <c r="B3639" s="5" t="inlineStr">
        <is>
          <t>101045</t>
        </is>
      </c>
      <c r="C3639" s="5" t="inlineStr">
        <is>
          <t>WILSON SONS LOGISTICA LTDA</t>
        </is>
      </c>
      <c r="D3639" s="5" t="inlineStr">
        <is>
          <t>UE</t>
        </is>
      </c>
      <c r="E3639" s="5" t="n">
        <v>200035167</v>
      </c>
      <c r="F3639" s="5" t="inlineStr">
        <is>
          <t>21513</t>
        </is>
      </c>
      <c r="G3639" s="5" t="inlineStr">
        <is>
          <t>BRL</t>
        </is>
      </c>
      <c r="H3639" s="9" t="n">
        <v>-4011.91</v>
      </c>
      <c r="I3639" s="16" t="n">
        <v>44645</v>
      </c>
      <c r="J3639" s="16" t="n">
        <v>44645</v>
      </c>
      <c r="K3639" s="5" t="inlineStr">
        <is>
          <t>00093600</t>
        </is>
      </c>
      <c r="L3639" s="5" t="inlineStr">
        <is>
          <t>400000.210101</t>
        </is>
      </c>
      <c r="M3639" s="5">
        <f>IF(YEAR(I3639)&lt;=2020,"Até 2020",TEXT(YEAR(I3639),"0"))</f>
        <v/>
      </c>
      <c r="N3639" s="5">
        <f>IFERROR(INDEX(DePara!$A:$A,MATCH(TEXT(B3639,"0"),DePara!$D:$D,0)),"(sem categoria)")</f>
        <v/>
      </c>
      <c r="O3639" s="5">
        <f>IF(J3639="","",Parametros!$B$6-J3639)</f>
        <v/>
      </c>
      <c r="P3639" s="5">
        <f>IF(O3639="","",IF(O3639&gt;0,1,0))</f>
        <v/>
      </c>
    </row>
    <row r="3640">
      <c r="A3640" s="5" t="n">
        <v>2111000000</v>
      </c>
      <c r="B3640" s="5" t="inlineStr">
        <is>
          <t>101045</t>
        </is>
      </c>
      <c r="C3640" s="5" t="inlineStr">
        <is>
          <t>WILSON SONS LOGISTICA LTDA</t>
        </is>
      </c>
      <c r="D3640" s="5" t="inlineStr">
        <is>
          <t>UE</t>
        </is>
      </c>
      <c r="E3640" s="5" t="n">
        <v>200035168</v>
      </c>
      <c r="F3640" s="5" t="inlineStr">
        <is>
          <t>21514</t>
        </is>
      </c>
      <c r="G3640" s="5" t="inlineStr">
        <is>
          <t>BRL</t>
        </is>
      </c>
      <c r="H3640" s="9" t="n">
        <v>-4443.11</v>
      </c>
      <c r="I3640" s="16" t="n">
        <v>44628</v>
      </c>
      <c r="J3640" s="16" t="n">
        <v>44628</v>
      </c>
      <c r="K3640" s="5" t="inlineStr">
        <is>
          <t>00065000</t>
        </is>
      </c>
      <c r="L3640" s="5" t="inlineStr">
        <is>
          <t>400000.210101</t>
        </is>
      </c>
      <c r="M3640" s="5">
        <f>IF(YEAR(I3640)&lt;=2020,"Até 2020",TEXT(YEAR(I3640),"0"))</f>
        <v/>
      </c>
      <c r="N3640" s="5">
        <f>IFERROR(INDEX(DePara!$A:$A,MATCH(TEXT(B3640,"0"),DePara!$D:$D,0)),"(sem categoria)")</f>
        <v/>
      </c>
      <c r="O3640" s="5">
        <f>IF(J3640="","",Parametros!$B$6-J3640)</f>
        <v/>
      </c>
      <c r="P3640" s="5">
        <f>IF(O3640="","",IF(O3640&gt;0,1,0))</f>
        <v/>
      </c>
    </row>
    <row r="3641">
      <c r="A3641" s="5" t="n">
        <v>2111000000</v>
      </c>
      <c r="B3641" s="5" t="inlineStr">
        <is>
          <t>101045</t>
        </is>
      </c>
      <c r="C3641" s="5" t="inlineStr">
        <is>
          <t>WILSON SONS LOGISTICA LTDA</t>
        </is>
      </c>
      <c r="D3641" s="5" t="inlineStr">
        <is>
          <t>UE</t>
        </is>
      </c>
      <c r="E3641" s="5" t="n">
        <v>200035169</v>
      </c>
      <c r="F3641" s="5" t="inlineStr">
        <is>
          <t>21515</t>
        </is>
      </c>
      <c r="G3641" s="5" t="inlineStr">
        <is>
          <t>BRL</t>
        </is>
      </c>
      <c r="H3641" s="9" t="n">
        <v>-4154.42</v>
      </c>
      <c r="I3641" s="16" t="n">
        <v>44203</v>
      </c>
      <c r="J3641" s="16" t="n">
        <v>44203</v>
      </c>
      <c r="K3641" s="5" t="inlineStr">
        <is>
          <t>00013000</t>
        </is>
      </c>
      <c r="L3641" s="5" t="inlineStr">
        <is>
          <t>400000.210101</t>
        </is>
      </c>
      <c r="M3641" s="5">
        <f>IF(YEAR(I3641)&lt;=2020,"Até 2020",TEXT(YEAR(I3641),"0"))</f>
        <v/>
      </c>
      <c r="N3641" s="5">
        <f>IFERROR(INDEX(DePara!$A:$A,MATCH(TEXT(B3641,"0"),DePara!$D:$D,0)),"(sem categoria)")</f>
        <v/>
      </c>
      <c r="O3641" s="5">
        <f>IF(J3641="","",Parametros!$B$6-J3641)</f>
        <v/>
      </c>
      <c r="P3641" s="5">
        <f>IF(O3641="","",IF(O3641&gt;0,1,0))</f>
        <v/>
      </c>
    </row>
    <row r="3642">
      <c r="A3642" s="5" t="n">
        <v>2111000000</v>
      </c>
      <c r="B3642" s="5" t="inlineStr">
        <is>
          <t>101045</t>
        </is>
      </c>
      <c r="C3642" s="5" t="inlineStr">
        <is>
          <t>WILSON SONS LOGISTICA LTDA</t>
        </is>
      </c>
      <c r="D3642" s="5" t="inlineStr">
        <is>
          <t>UE</t>
        </is>
      </c>
      <c r="E3642" s="5" t="n">
        <v>200035170</v>
      </c>
      <c r="F3642" s="5" t="inlineStr">
        <is>
          <t>21516</t>
        </is>
      </c>
      <c r="G3642" s="5" t="inlineStr">
        <is>
          <t>BRL</t>
        </is>
      </c>
      <c r="H3642" s="9" t="n">
        <v>-3372.5</v>
      </c>
      <c r="I3642" s="16" t="n">
        <v>44628</v>
      </c>
      <c r="J3642" s="16" t="n">
        <v>44628</v>
      </c>
      <c r="K3642" s="5" t="inlineStr">
        <is>
          <t>00062900</t>
        </is>
      </c>
      <c r="L3642" s="5" t="inlineStr">
        <is>
          <t>400000.210101</t>
        </is>
      </c>
      <c r="M3642" s="5">
        <f>IF(YEAR(I3642)&lt;=2020,"Até 2020",TEXT(YEAR(I3642),"0"))</f>
        <v/>
      </c>
      <c r="N3642" s="5">
        <f>IFERROR(INDEX(DePara!$A:$A,MATCH(TEXT(B3642,"0"),DePara!$D:$D,0)),"(sem categoria)")</f>
        <v/>
      </c>
      <c r="O3642" s="5">
        <f>IF(J3642="","",Parametros!$B$6-J3642)</f>
        <v/>
      </c>
      <c r="P3642" s="5">
        <f>IF(O3642="","",IF(O3642&gt;0,1,0))</f>
        <v/>
      </c>
    </row>
    <row r="3643">
      <c r="A3643" s="5" t="n">
        <v>2111000000</v>
      </c>
      <c r="B3643" s="5" t="inlineStr">
        <is>
          <t>101045</t>
        </is>
      </c>
      <c r="C3643" s="5" t="inlineStr">
        <is>
          <t>WILSON SONS LOGISTICA LTDA</t>
        </is>
      </c>
      <c r="D3643" s="5" t="inlineStr">
        <is>
          <t>UE</t>
        </is>
      </c>
      <c r="E3643" s="5" t="n">
        <v>200035171</v>
      </c>
      <c r="F3643" s="5" t="inlineStr">
        <is>
          <t>21517</t>
        </is>
      </c>
      <c r="G3643" s="5" t="inlineStr">
        <is>
          <t>BRL</t>
        </is>
      </c>
      <c r="H3643" s="9" t="n">
        <v>-4333.46</v>
      </c>
      <c r="I3643" s="16" t="n">
        <v>44694</v>
      </c>
      <c r="J3643" s="16" t="n">
        <v>44694</v>
      </c>
      <c r="K3643" s="5" t="inlineStr">
        <is>
          <t>00144700</t>
        </is>
      </c>
      <c r="L3643" s="5" t="inlineStr">
        <is>
          <t>400000.210101</t>
        </is>
      </c>
      <c r="M3643" s="5">
        <f>IF(YEAR(I3643)&lt;=2020,"Até 2020",TEXT(YEAR(I3643),"0"))</f>
        <v/>
      </c>
      <c r="N3643" s="5">
        <f>IFERROR(INDEX(DePara!$A:$A,MATCH(TEXT(B3643,"0"),DePara!$D:$D,0)),"(sem categoria)")</f>
        <v/>
      </c>
      <c r="O3643" s="5">
        <f>IF(J3643="","",Parametros!$B$6-J3643)</f>
        <v/>
      </c>
      <c r="P3643" s="5">
        <f>IF(O3643="","",IF(O3643&gt;0,1,0))</f>
        <v/>
      </c>
    </row>
    <row r="3644">
      <c r="A3644" s="5" t="n">
        <v>2111000000</v>
      </c>
      <c r="B3644" s="5" t="inlineStr">
        <is>
          <t>101045</t>
        </is>
      </c>
      <c r="C3644" s="5" t="inlineStr">
        <is>
          <t>WILSON SONS LOGISTICA LTDA</t>
        </is>
      </c>
      <c r="D3644" s="5" t="inlineStr">
        <is>
          <t>UE</t>
        </is>
      </c>
      <c r="E3644" s="5" t="n">
        <v>200035172</v>
      </c>
      <c r="F3644" s="5" t="inlineStr">
        <is>
          <t>21518</t>
        </is>
      </c>
      <c r="G3644" s="5" t="inlineStr">
        <is>
          <t>BRL</t>
        </is>
      </c>
      <c r="H3644" s="9" t="n">
        <v>-3544.57</v>
      </c>
      <c r="I3644" s="16" t="n">
        <v>44676</v>
      </c>
      <c r="J3644" s="16" t="n">
        <v>44676</v>
      </c>
      <c r="K3644" s="5" t="inlineStr">
        <is>
          <t>00124900</t>
        </is>
      </c>
      <c r="L3644" s="5" t="inlineStr">
        <is>
          <t>400000.210101</t>
        </is>
      </c>
      <c r="M3644" s="5">
        <f>IF(YEAR(I3644)&lt;=2020,"Até 2020",TEXT(YEAR(I3644),"0"))</f>
        <v/>
      </c>
      <c r="N3644" s="5">
        <f>IFERROR(INDEX(DePara!$A:$A,MATCH(TEXT(B3644,"0"),DePara!$D:$D,0)),"(sem categoria)")</f>
        <v/>
      </c>
      <c r="O3644" s="5">
        <f>IF(J3644="","",Parametros!$B$6-J3644)</f>
        <v/>
      </c>
      <c r="P3644" s="5">
        <f>IF(O3644="","",IF(O3644&gt;0,1,0))</f>
        <v/>
      </c>
    </row>
    <row r="3645">
      <c r="A3645" s="5" t="n">
        <v>2111000000</v>
      </c>
      <c r="B3645" s="5" t="inlineStr">
        <is>
          <t>101045</t>
        </is>
      </c>
      <c r="C3645" s="5" t="inlineStr">
        <is>
          <t>WILSON SONS LOGISTICA LTDA</t>
        </is>
      </c>
      <c r="D3645" s="5" t="inlineStr">
        <is>
          <t>UE</t>
        </is>
      </c>
      <c r="E3645" s="5" t="n">
        <v>200035173</v>
      </c>
      <c r="F3645" s="5" t="inlineStr">
        <is>
          <t>21519</t>
        </is>
      </c>
      <c r="G3645" s="5" t="inlineStr">
        <is>
          <t>BRL</t>
        </is>
      </c>
      <c r="H3645" s="9" t="n">
        <v>-13480.09</v>
      </c>
      <c r="I3645" s="16" t="n">
        <v>44662</v>
      </c>
      <c r="J3645" s="16" t="n">
        <v>44662</v>
      </c>
      <c r="K3645" s="5" t="inlineStr">
        <is>
          <t>00108600</t>
        </is>
      </c>
      <c r="L3645" s="5" t="inlineStr">
        <is>
          <t>400000.210101</t>
        </is>
      </c>
      <c r="M3645" s="5">
        <f>IF(YEAR(I3645)&lt;=2020,"Até 2020",TEXT(YEAR(I3645),"0"))</f>
        <v/>
      </c>
      <c r="N3645" s="5">
        <f>IFERROR(INDEX(DePara!$A:$A,MATCH(TEXT(B3645,"0"),DePara!$D:$D,0)),"(sem categoria)")</f>
        <v/>
      </c>
      <c r="O3645" s="5">
        <f>IF(J3645="","",Parametros!$B$6-J3645)</f>
        <v/>
      </c>
      <c r="P3645" s="5">
        <f>IF(O3645="","",IF(O3645&gt;0,1,0))</f>
        <v/>
      </c>
    </row>
    <row r="3646">
      <c r="A3646" s="5" t="n">
        <v>2111000000</v>
      </c>
      <c r="B3646" s="5" t="inlineStr">
        <is>
          <t>101045</t>
        </is>
      </c>
      <c r="C3646" s="5" t="inlineStr">
        <is>
          <t>WILSON SONS LOGISTICA LTDA</t>
        </is>
      </c>
      <c r="D3646" s="5" t="inlineStr">
        <is>
          <t>UE</t>
        </is>
      </c>
      <c r="E3646" s="5" t="n">
        <v>200035174</v>
      </c>
      <c r="F3646" s="5" t="inlineStr">
        <is>
          <t>21520</t>
        </is>
      </c>
      <c r="G3646" s="5" t="inlineStr">
        <is>
          <t>BRL</t>
        </is>
      </c>
      <c r="H3646" s="9" t="n">
        <v>-5575.69</v>
      </c>
      <c r="I3646" s="16" t="n">
        <v>44662</v>
      </c>
      <c r="J3646" s="16" t="n">
        <v>44662</v>
      </c>
      <c r="K3646" s="5" t="inlineStr">
        <is>
          <t>00108900</t>
        </is>
      </c>
      <c r="L3646" s="5" t="inlineStr">
        <is>
          <t>400000.210101</t>
        </is>
      </c>
      <c r="M3646" s="5">
        <f>IF(YEAR(I3646)&lt;=2020,"Até 2020",TEXT(YEAR(I3646),"0"))</f>
        <v/>
      </c>
      <c r="N3646" s="5">
        <f>IFERROR(INDEX(DePara!$A:$A,MATCH(TEXT(B3646,"0"),DePara!$D:$D,0)),"(sem categoria)")</f>
        <v/>
      </c>
      <c r="O3646" s="5">
        <f>IF(J3646="","",Parametros!$B$6-J3646)</f>
        <v/>
      </c>
      <c r="P3646" s="5">
        <f>IF(O3646="","",IF(O3646&gt;0,1,0))</f>
        <v/>
      </c>
    </row>
    <row r="3647">
      <c r="A3647" s="5" t="n">
        <v>2111000000</v>
      </c>
      <c r="B3647" s="5" t="inlineStr">
        <is>
          <t>101045</t>
        </is>
      </c>
      <c r="C3647" s="5" t="inlineStr">
        <is>
          <t>WILSON SONS LOGISTICA LTDA</t>
        </is>
      </c>
      <c r="D3647" s="5" t="inlineStr">
        <is>
          <t>UE</t>
        </is>
      </c>
      <c r="E3647" s="5" t="n">
        <v>200035175</v>
      </c>
      <c r="F3647" s="5" t="inlineStr">
        <is>
          <t>21521</t>
        </is>
      </c>
      <c r="G3647" s="5" t="inlineStr">
        <is>
          <t>BRL</t>
        </is>
      </c>
      <c r="H3647" s="9" t="n">
        <v>-4205.86</v>
      </c>
      <c r="I3647" s="16" t="n">
        <v>44676</v>
      </c>
      <c r="J3647" s="16" t="n">
        <v>44676</v>
      </c>
      <c r="K3647" s="5" t="inlineStr">
        <is>
          <t>00124700</t>
        </is>
      </c>
      <c r="L3647" s="5" t="inlineStr">
        <is>
          <t>400000.210101</t>
        </is>
      </c>
      <c r="M3647" s="5">
        <f>IF(YEAR(I3647)&lt;=2020,"Até 2020",TEXT(YEAR(I3647),"0"))</f>
        <v/>
      </c>
      <c r="N3647" s="5">
        <f>IFERROR(INDEX(DePara!$A:$A,MATCH(TEXT(B3647,"0"),DePara!$D:$D,0)),"(sem categoria)")</f>
        <v/>
      </c>
      <c r="O3647" s="5">
        <f>IF(J3647="","",Parametros!$B$6-J3647)</f>
        <v/>
      </c>
      <c r="P3647" s="5">
        <f>IF(O3647="","",IF(O3647&gt;0,1,0))</f>
        <v/>
      </c>
    </row>
    <row r="3648">
      <c r="A3648" s="5" t="n">
        <v>2111000000</v>
      </c>
      <c r="B3648" s="5" t="inlineStr">
        <is>
          <t>101045</t>
        </is>
      </c>
      <c r="C3648" s="5" t="inlineStr">
        <is>
          <t>WILSON SONS LOGISTICA LTDA</t>
        </is>
      </c>
      <c r="D3648" s="5" t="inlineStr">
        <is>
          <t>UE</t>
        </is>
      </c>
      <c r="E3648" s="5" t="n">
        <v>200035176</v>
      </c>
      <c r="F3648" s="5" t="inlineStr">
        <is>
          <t>21522</t>
        </is>
      </c>
      <c r="G3648" s="5" t="inlineStr">
        <is>
          <t>BRL</t>
        </is>
      </c>
      <c r="H3648" s="9" t="n">
        <v>-6382.76</v>
      </c>
      <c r="I3648" s="16" t="n">
        <v>44697</v>
      </c>
      <c r="J3648" s="16" t="n">
        <v>44697</v>
      </c>
      <c r="K3648" s="5" t="inlineStr">
        <is>
          <t>00145700</t>
        </is>
      </c>
      <c r="L3648" s="5" t="inlineStr">
        <is>
          <t>400000.210101</t>
        </is>
      </c>
      <c r="M3648" s="5">
        <f>IF(YEAR(I3648)&lt;=2020,"Até 2020",TEXT(YEAR(I3648),"0"))</f>
        <v/>
      </c>
      <c r="N3648" s="5">
        <f>IFERROR(INDEX(DePara!$A:$A,MATCH(TEXT(B3648,"0"),DePara!$D:$D,0)),"(sem categoria)")</f>
        <v/>
      </c>
      <c r="O3648" s="5">
        <f>IF(J3648="","",Parametros!$B$6-J3648)</f>
        <v/>
      </c>
      <c r="P3648" s="5">
        <f>IF(O3648="","",IF(O3648&gt;0,1,0))</f>
        <v/>
      </c>
    </row>
    <row r="3649">
      <c r="A3649" s="5" t="n">
        <v>2111000000</v>
      </c>
      <c r="B3649" s="5" t="inlineStr">
        <is>
          <t>101045</t>
        </is>
      </c>
      <c r="C3649" s="5" t="inlineStr">
        <is>
          <t>WILSON SONS LOGISTICA LTDA</t>
        </is>
      </c>
      <c r="D3649" s="5" t="inlineStr">
        <is>
          <t>UE</t>
        </is>
      </c>
      <c r="E3649" s="5" t="n">
        <v>200035177</v>
      </c>
      <c r="F3649" s="5" t="inlineStr">
        <is>
          <t>21523</t>
        </is>
      </c>
      <c r="G3649" s="5" t="inlineStr">
        <is>
          <t>BRL</t>
        </is>
      </c>
      <c r="H3649" s="9" t="n">
        <v>-5259.06</v>
      </c>
      <c r="I3649" s="16" t="n">
        <v>44685</v>
      </c>
      <c r="J3649" s="16" t="n">
        <v>44685</v>
      </c>
      <c r="K3649" s="5" t="inlineStr">
        <is>
          <t>00134100</t>
        </is>
      </c>
      <c r="L3649" s="5" t="inlineStr">
        <is>
          <t>400000.210101</t>
        </is>
      </c>
      <c r="M3649" s="5">
        <f>IF(YEAR(I3649)&lt;=2020,"Até 2020",TEXT(YEAR(I3649),"0"))</f>
        <v/>
      </c>
      <c r="N3649" s="5">
        <f>IFERROR(INDEX(DePara!$A:$A,MATCH(TEXT(B3649,"0"),DePara!$D:$D,0)),"(sem categoria)")</f>
        <v/>
      </c>
      <c r="O3649" s="5">
        <f>IF(J3649="","",Parametros!$B$6-J3649)</f>
        <v/>
      </c>
      <c r="P3649" s="5">
        <f>IF(O3649="","",IF(O3649&gt;0,1,0))</f>
        <v/>
      </c>
    </row>
    <row r="3650">
      <c r="A3650" s="5" t="n">
        <v>2111000000</v>
      </c>
      <c r="B3650" s="5" t="inlineStr">
        <is>
          <t>101045</t>
        </is>
      </c>
      <c r="C3650" s="5" t="inlineStr">
        <is>
          <t>WILSON SONS LOGISTICA LTDA</t>
        </is>
      </c>
      <c r="D3650" s="5" t="inlineStr">
        <is>
          <t>UE</t>
        </is>
      </c>
      <c r="E3650" s="5" t="n">
        <v>200035178</v>
      </c>
      <c r="F3650" s="5" t="inlineStr">
        <is>
          <t>21524</t>
        </is>
      </c>
      <c r="G3650" s="5" t="inlineStr">
        <is>
          <t>BRL</t>
        </is>
      </c>
      <c r="H3650" s="9" t="n">
        <v>-6951.91</v>
      </c>
      <c r="I3650" s="16" t="n">
        <v>44693</v>
      </c>
      <c r="J3650" s="16" t="n">
        <v>44693</v>
      </c>
      <c r="K3650" s="5" t="inlineStr">
        <is>
          <t>00143900</t>
        </is>
      </c>
      <c r="L3650" s="5" t="inlineStr">
        <is>
          <t>400000.210101</t>
        </is>
      </c>
      <c r="M3650" s="5">
        <f>IF(YEAR(I3650)&lt;=2020,"Até 2020",TEXT(YEAR(I3650),"0"))</f>
        <v/>
      </c>
      <c r="N3650" s="5">
        <f>IFERROR(INDEX(DePara!$A:$A,MATCH(TEXT(B3650,"0"),DePara!$D:$D,0)),"(sem categoria)")</f>
        <v/>
      </c>
      <c r="O3650" s="5">
        <f>IF(J3650="","",Parametros!$B$6-J3650)</f>
        <v/>
      </c>
      <c r="P3650" s="5">
        <f>IF(O3650="","",IF(O3650&gt;0,1,0))</f>
        <v/>
      </c>
    </row>
    <row r="3651">
      <c r="A3651" s="5" t="n">
        <v>2111000000</v>
      </c>
      <c r="B3651" s="5" t="inlineStr">
        <is>
          <t>101096</t>
        </is>
      </c>
      <c r="C3651" s="5" t="inlineStr">
        <is>
          <t>RUDLOFF INDUSTRIAL LTDA</t>
        </is>
      </c>
      <c r="D3651" s="5" t="inlineStr">
        <is>
          <t>UE</t>
        </is>
      </c>
      <c r="E3651" s="5" t="n">
        <v>200035206</v>
      </c>
      <c r="F3651" s="5" t="inlineStr">
        <is>
          <t>21552</t>
        </is>
      </c>
      <c r="G3651" s="5" t="inlineStr">
        <is>
          <t>BRL</t>
        </is>
      </c>
      <c r="H3651" s="9" t="n">
        <v>-22909.46</v>
      </c>
      <c r="I3651" s="16" t="n">
        <v>44511</v>
      </c>
      <c r="J3651" s="16" t="n">
        <v>44511</v>
      </c>
      <c r="K3651" s="5" t="inlineStr">
        <is>
          <t>00000200</t>
        </is>
      </c>
      <c r="L3651" s="5" t="inlineStr">
        <is>
          <t>400000.210101</t>
        </is>
      </c>
      <c r="M3651" s="5">
        <f>IF(YEAR(I3651)&lt;=2020,"Até 2020",TEXT(YEAR(I3651),"0"))</f>
        <v/>
      </c>
      <c r="N3651" s="5">
        <f>IFERROR(INDEX(DePara!$A:$A,MATCH(TEXT(B3651,"0"),DePara!$D:$D,0)),"(sem categoria)")</f>
        <v/>
      </c>
      <c r="O3651" s="5">
        <f>IF(J3651="","",Parametros!$B$6-J3651)</f>
        <v/>
      </c>
      <c r="P3651" s="5">
        <f>IF(O3651="","",IF(O3651&gt;0,1,0))</f>
        <v/>
      </c>
    </row>
    <row r="3652">
      <c r="A3652" s="5" t="n">
        <v>2111000000</v>
      </c>
      <c r="B3652" s="5" t="inlineStr">
        <is>
          <t>101182</t>
        </is>
      </c>
      <c r="C3652" s="5" t="inlineStr">
        <is>
          <t>GAHE GASES E TRANSPORTES EIRELI</t>
        </is>
      </c>
      <c r="D3652" s="5" t="inlineStr">
        <is>
          <t>UE</t>
        </is>
      </c>
      <c r="E3652" s="5" t="n">
        <v>200035265</v>
      </c>
      <c r="F3652" s="5" t="inlineStr">
        <is>
          <t>21611</t>
        </is>
      </c>
      <c r="G3652" s="5" t="inlineStr">
        <is>
          <t>BRL</t>
        </is>
      </c>
      <c r="H3652" s="9" t="n">
        <v>-2100</v>
      </c>
      <c r="I3652" s="16" t="n">
        <v>45064</v>
      </c>
      <c r="J3652" s="16" t="n">
        <v>45064</v>
      </c>
      <c r="K3652" s="5" t="inlineStr">
        <is>
          <t>000013306002</t>
        </is>
      </c>
      <c r="L3652" s="5" t="inlineStr">
        <is>
          <t>400000.210101</t>
        </is>
      </c>
      <c r="M3652" s="5">
        <f>IF(YEAR(I3652)&lt;=2020,"Até 2020",TEXT(YEAR(I3652),"0"))</f>
        <v/>
      </c>
      <c r="N3652" s="5">
        <f>IFERROR(INDEX(DePara!$A:$A,MATCH(TEXT(B3652,"0"),DePara!$D:$D,0)),"(sem categoria)")</f>
        <v/>
      </c>
      <c r="O3652" s="5">
        <f>IF(J3652="","",Parametros!$B$6-J3652)</f>
        <v/>
      </c>
      <c r="P3652" s="5">
        <f>IF(O3652="","",IF(O3652&gt;0,1,0))</f>
        <v/>
      </c>
    </row>
    <row r="3653">
      <c r="A3653" s="5" t="n">
        <v>2111000000</v>
      </c>
      <c r="B3653" s="5" t="inlineStr">
        <is>
          <t>101182</t>
        </is>
      </c>
      <c r="C3653" s="5" t="inlineStr">
        <is>
          <t>GAHE GASES E TRANSPORTES EIRELI</t>
        </is>
      </c>
      <c r="D3653" s="5" t="inlineStr">
        <is>
          <t>UE</t>
        </is>
      </c>
      <c r="E3653" s="5" t="n">
        <v>200035266</v>
      </c>
      <c r="F3653" s="5" t="inlineStr">
        <is>
          <t>21612</t>
        </is>
      </c>
      <c r="G3653" s="5" t="inlineStr">
        <is>
          <t>BRL</t>
        </is>
      </c>
      <c r="H3653" s="9" t="n">
        <v>-6600</v>
      </c>
      <c r="I3653" s="16" t="n">
        <v>45068</v>
      </c>
      <c r="J3653" s="16" t="n">
        <v>45068</v>
      </c>
      <c r="K3653" s="5" t="inlineStr">
        <is>
          <t>000013359002</t>
        </is>
      </c>
      <c r="L3653" s="5" t="inlineStr">
        <is>
          <t>400000.210101</t>
        </is>
      </c>
      <c r="M3653" s="5">
        <f>IF(YEAR(I3653)&lt;=2020,"Até 2020",TEXT(YEAR(I3653),"0"))</f>
        <v/>
      </c>
      <c r="N3653" s="5">
        <f>IFERROR(INDEX(DePara!$A:$A,MATCH(TEXT(B3653,"0"),DePara!$D:$D,0)),"(sem categoria)")</f>
        <v/>
      </c>
      <c r="O3653" s="5">
        <f>IF(J3653="","",Parametros!$B$6-J3653)</f>
        <v/>
      </c>
      <c r="P3653" s="5">
        <f>IF(O3653="","",IF(O3653&gt;0,1,0))</f>
        <v/>
      </c>
    </row>
    <row r="3654">
      <c r="A3654" s="5" t="n">
        <v>2111000000</v>
      </c>
      <c r="B3654" s="5" t="inlineStr">
        <is>
          <t>101182</t>
        </is>
      </c>
      <c r="C3654" s="5" t="inlineStr">
        <is>
          <t>GAHE GASES E TRANSPORTES EIRELI</t>
        </is>
      </c>
      <c r="D3654" s="5" t="inlineStr">
        <is>
          <t>UE</t>
        </is>
      </c>
      <c r="E3654" s="5" t="n">
        <v>200035267</v>
      </c>
      <c r="F3654" s="5" t="inlineStr">
        <is>
          <t>21613</t>
        </is>
      </c>
      <c r="G3654" s="5" t="inlineStr">
        <is>
          <t>BRL</t>
        </is>
      </c>
      <c r="H3654" s="9" t="n">
        <v>-1750</v>
      </c>
      <c r="I3654" s="16" t="n">
        <v>45070</v>
      </c>
      <c r="J3654" s="16" t="n">
        <v>45070</v>
      </c>
      <c r="K3654" s="5" t="inlineStr">
        <is>
          <t>000013549002</t>
        </is>
      </c>
      <c r="L3654" s="5" t="inlineStr">
        <is>
          <t>400000.210101</t>
        </is>
      </c>
      <c r="M3654" s="5">
        <f>IF(YEAR(I3654)&lt;=2020,"Até 2020",TEXT(YEAR(I3654),"0"))</f>
        <v/>
      </c>
      <c r="N3654" s="5">
        <f>IFERROR(INDEX(DePara!$A:$A,MATCH(TEXT(B3654,"0"),DePara!$D:$D,0)),"(sem categoria)")</f>
        <v/>
      </c>
      <c r="O3654" s="5">
        <f>IF(J3654="","",Parametros!$B$6-J3654)</f>
        <v/>
      </c>
      <c r="P3654" s="5">
        <f>IF(O3654="","",IF(O3654&gt;0,1,0))</f>
        <v/>
      </c>
    </row>
    <row r="3655">
      <c r="A3655" s="5" t="n">
        <v>2111000000</v>
      </c>
      <c r="B3655" s="5" t="inlineStr">
        <is>
          <t>101182</t>
        </is>
      </c>
      <c r="C3655" s="5" t="inlineStr">
        <is>
          <t>GAHE GASES E TRANSPORTES EIRELI</t>
        </is>
      </c>
      <c r="D3655" s="5" t="inlineStr">
        <is>
          <t>UE</t>
        </is>
      </c>
      <c r="E3655" s="5" t="n">
        <v>200035268</v>
      </c>
      <c r="F3655" s="5" t="inlineStr">
        <is>
          <t>21614</t>
        </is>
      </c>
      <c r="G3655" s="5" t="inlineStr">
        <is>
          <t>BRL</t>
        </is>
      </c>
      <c r="H3655" s="9" t="n">
        <v>-3600</v>
      </c>
      <c r="I3655" s="16" t="n">
        <v>45076</v>
      </c>
      <c r="J3655" s="16" t="n">
        <v>45076</v>
      </c>
      <c r="K3655" s="5" t="inlineStr">
        <is>
          <t>000013774002</t>
        </is>
      </c>
      <c r="L3655" s="5" t="inlineStr">
        <is>
          <t>400000.210101</t>
        </is>
      </c>
      <c r="M3655" s="5">
        <f>IF(YEAR(I3655)&lt;=2020,"Até 2020",TEXT(YEAR(I3655),"0"))</f>
        <v/>
      </c>
      <c r="N3655" s="5">
        <f>IFERROR(INDEX(DePara!$A:$A,MATCH(TEXT(B3655,"0"),DePara!$D:$D,0)),"(sem categoria)")</f>
        <v/>
      </c>
      <c r="O3655" s="5">
        <f>IF(J3655="","",Parametros!$B$6-J3655)</f>
        <v/>
      </c>
      <c r="P3655" s="5">
        <f>IF(O3655="","",IF(O3655&gt;0,1,0))</f>
        <v/>
      </c>
    </row>
    <row r="3656">
      <c r="A3656" s="5" t="n">
        <v>2111000000</v>
      </c>
      <c r="B3656" s="5" t="inlineStr">
        <is>
          <t>101182</t>
        </is>
      </c>
      <c r="C3656" s="5" t="inlineStr">
        <is>
          <t>GAHE GASES E TRANSPORTES EIRELI</t>
        </is>
      </c>
      <c r="D3656" s="5" t="inlineStr">
        <is>
          <t>UE</t>
        </is>
      </c>
      <c r="E3656" s="5" t="n">
        <v>200035269</v>
      </c>
      <c r="F3656" s="5" t="inlineStr">
        <is>
          <t>21615</t>
        </is>
      </c>
      <c r="G3656" s="5" t="inlineStr">
        <is>
          <t>BRL</t>
        </is>
      </c>
      <c r="H3656" s="9" t="n">
        <v>-1750</v>
      </c>
      <c r="I3656" s="16" t="n">
        <v>45079</v>
      </c>
      <c r="J3656" s="16" t="n">
        <v>45079</v>
      </c>
      <c r="K3656" s="5" t="inlineStr">
        <is>
          <t>000013900002</t>
        </is>
      </c>
      <c r="L3656" s="5" t="inlineStr">
        <is>
          <t>400000.210101</t>
        </is>
      </c>
      <c r="M3656" s="5">
        <f>IF(YEAR(I3656)&lt;=2020,"Até 2020",TEXT(YEAR(I3656),"0"))</f>
        <v/>
      </c>
      <c r="N3656" s="5">
        <f>IFERROR(INDEX(DePara!$A:$A,MATCH(TEXT(B3656,"0"),DePara!$D:$D,0)),"(sem categoria)")</f>
        <v/>
      </c>
      <c r="O3656" s="5">
        <f>IF(J3656="","",Parametros!$B$6-J3656)</f>
        <v/>
      </c>
      <c r="P3656" s="5">
        <f>IF(O3656="","",IF(O3656&gt;0,1,0))</f>
        <v/>
      </c>
    </row>
    <row r="3657">
      <c r="A3657" s="5" t="n">
        <v>2111000000</v>
      </c>
      <c r="B3657" s="5" t="inlineStr">
        <is>
          <t>101182</t>
        </is>
      </c>
      <c r="C3657" s="5" t="inlineStr">
        <is>
          <t>GAHE GASES E TRANSPORTES EIRELI</t>
        </is>
      </c>
      <c r="D3657" s="5" t="inlineStr">
        <is>
          <t>UE</t>
        </is>
      </c>
      <c r="E3657" s="5" t="n">
        <v>200035270</v>
      </c>
      <c r="F3657" s="5" t="inlineStr">
        <is>
          <t>21616</t>
        </is>
      </c>
      <c r="G3657" s="5" t="inlineStr">
        <is>
          <t>BRL</t>
        </is>
      </c>
      <c r="H3657" s="9" t="n">
        <v>-1750</v>
      </c>
      <c r="I3657" s="16" t="n">
        <v>45072</v>
      </c>
      <c r="J3657" s="16" t="n">
        <v>45072</v>
      </c>
      <c r="K3657" s="5" t="inlineStr">
        <is>
          <t>000013619002</t>
        </is>
      </c>
      <c r="L3657" s="5" t="inlineStr">
        <is>
          <t>400000.210101</t>
        </is>
      </c>
      <c r="M3657" s="5">
        <f>IF(YEAR(I3657)&lt;=2020,"Até 2020",TEXT(YEAR(I3657),"0"))</f>
        <v/>
      </c>
      <c r="N3657" s="5">
        <f>IFERROR(INDEX(DePara!$A:$A,MATCH(TEXT(B3657,"0"),DePara!$D:$D,0)),"(sem categoria)")</f>
        <v/>
      </c>
      <c r="O3657" s="5">
        <f>IF(J3657="","",Parametros!$B$6-J3657)</f>
        <v/>
      </c>
      <c r="P3657" s="5">
        <f>IF(O3657="","",IF(O3657&gt;0,1,0))</f>
        <v/>
      </c>
    </row>
    <row r="3658">
      <c r="A3658" s="5" t="n">
        <v>2111000000</v>
      </c>
      <c r="B3658" s="5" t="inlineStr">
        <is>
          <t>101182</t>
        </is>
      </c>
      <c r="C3658" s="5" t="inlineStr">
        <is>
          <t>GAHE GASES E TRANSPORTES EIRELI</t>
        </is>
      </c>
      <c r="D3658" s="5" t="inlineStr">
        <is>
          <t>UE</t>
        </is>
      </c>
      <c r="E3658" s="5" t="n">
        <v>200035271</v>
      </c>
      <c r="F3658" s="5" t="inlineStr">
        <is>
          <t>21617</t>
        </is>
      </c>
      <c r="G3658" s="5" t="inlineStr">
        <is>
          <t>BRL</t>
        </is>
      </c>
      <c r="H3658" s="9" t="n">
        <v>-5400</v>
      </c>
      <c r="I3658" s="16" t="n">
        <v>45083</v>
      </c>
      <c r="J3658" s="16" t="n">
        <v>45083</v>
      </c>
      <c r="K3658" s="5" t="inlineStr">
        <is>
          <t>000013943002</t>
        </is>
      </c>
      <c r="L3658" s="5" t="inlineStr">
        <is>
          <t>400000.210101</t>
        </is>
      </c>
      <c r="M3658" s="5">
        <f>IF(YEAR(I3658)&lt;=2020,"Até 2020",TEXT(YEAR(I3658),"0"))</f>
        <v/>
      </c>
      <c r="N3658" s="5">
        <f>IFERROR(INDEX(DePara!$A:$A,MATCH(TEXT(B3658,"0"),DePara!$D:$D,0)),"(sem categoria)")</f>
        <v/>
      </c>
      <c r="O3658" s="5">
        <f>IF(J3658="","",Parametros!$B$6-J3658)</f>
        <v/>
      </c>
      <c r="P3658" s="5">
        <f>IF(O3658="","",IF(O3658&gt;0,1,0))</f>
        <v/>
      </c>
    </row>
    <row r="3659">
      <c r="A3659" s="5" t="n">
        <v>2111000000</v>
      </c>
      <c r="B3659" s="5" t="inlineStr">
        <is>
          <t>101182</t>
        </is>
      </c>
      <c r="C3659" s="5" t="inlineStr">
        <is>
          <t>GAHE GASES E TRANSPORTES EIRELI</t>
        </is>
      </c>
      <c r="D3659" s="5" t="inlineStr">
        <is>
          <t>UE</t>
        </is>
      </c>
      <c r="E3659" s="5" t="n">
        <v>200035272</v>
      </c>
      <c r="F3659" s="5" t="inlineStr">
        <is>
          <t>21618</t>
        </is>
      </c>
      <c r="G3659" s="5" t="inlineStr">
        <is>
          <t>BRL</t>
        </is>
      </c>
      <c r="H3659" s="9" t="n">
        <v>-1750</v>
      </c>
      <c r="I3659" s="16" t="n">
        <v>45086</v>
      </c>
      <c r="J3659" s="16" t="n">
        <v>45086</v>
      </c>
      <c r="K3659" s="5" t="inlineStr">
        <is>
          <t>000013973002</t>
        </is>
      </c>
      <c r="L3659" s="5" t="inlineStr">
        <is>
          <t>400000.210101</t>
        </is>
      </c>
      <c r="M3659" s="5">
        <f>IF(YEAR(I3659)&lt;=2020,"Até 2020",TEXT(YEAR(I3659),"0"))</f>
        <v/>
      </c>
      <c r="N3659" s="5">
        <f>IFERROR(INDEX(DePara!$A:$A,MATCH(TEXT(B3659,"0"),DePara!$D:$D,0)),"(sem categoria)")</f>
        <v/>
      </c>
      <c r="O3659" s="5">
        <f>IF(J3659="","",Parametros!$B$6-J3659)</f>
        <v/>
      </c>
      <c r="P3659" s="5">
        <f>IF(O3659="","",IF(O3659&gt;0,1,0))</f>
        <v/>
      </c>
    </row>
    <row r="3660">
      <c r="A3660" s="5" t="n">
        <v>2111000000</v>
      </c>
      <c r="B3660" s="5" t="inlineStr">
        <is>
          <t>101182</t>
        </is>
      </c>
      <c r="C3660" s="5" t="inlineStr">
        <is>
          <t>GAHE GASES E TRANSPORTES EIRELI</t>
        </is>
      </c>
      <c r="D3660" s="5" t="inlineStr">
        <is>
          <t>UE</t>
        </is>
      </c>
      <c r="E3660" s="5" t="n">
        <v>200035273</v>
      </c>
      <c r="F3660" s="5" t="inlineStr">
        <is>
          <t>21619</t>
        </is>
      </c>
      <c r="G3660" s="5" t="inlineStr">
        <is>
          <t>BRL</t>
        </is>
      </c>
      <c r="H3660" s="9" t="n">
        <v>-1400</v>
      </c>
      <c r="I3660" s="16" t="n">
        <v>45096</v>
      </c>
      <c r="J3660" s="16" t="n">
        <v>45096</v>
      </c>
      <c r="K3660" s="5" t="inlineStr">
        <is>
          <t>000014152002</t>
        </is>
      </c>
      <c r="L3660" s="5" t="inlineStr">
        <is>
          <t>400000.210101</t>
        </is>
      </c>
      <c r="M3660" s="5">
        <f>IF(YEAR(I3660)&lt;=2020,"Até 2020",TEXT(YEAR(I3660),"0"))</f>
        <v/>
      </c>
      <c r="N3660" s="5">
        <f>IFERROR(INDEX(DePara!$A:$A,MATCH(TEXT(B3660,"0"),DePara!$D:$D,0)),"(sem categoria)")</f>
        <v/>
      </c>
      <c r="O3660" s="5">
        <f>IF(J3660="","",Parametros!$B$6-J3660)</f>
        <v/>
      </c>
      <c r="P3660" s="5">
        <f>IF(O3660="","",IF(O3660&gt;0,1,0))</f>
        <v/>
      </c>
    </row>
    <row r="3661">
      <c r="A3661" s="5" t="n">
        <v>2111000000</v>
      </c>
      <c r="B3661" s="5" t="inlineStr">
        <is>
          <t>101182</t>
        </is>
      </c>
      <c r="C3661" s="5" t="inlineStr">
        <is>
          <t>GAHE GASES E TRANSPORTES EIRELI</t>
        </is>
      </c>
      <c r="D3661" s="5" t="inlineStr">
        <is>
          <t>UE</t>
        </is>
      </c>
      <c r="E3661" s="5" t="n">
        <v>200035274</v>
      </c>
      <c r="F3661" s="5" t="inlineStr">
        <is>
          <t>21620</t>
        </is>
      </c>
      <c r="G3661" s="5" t="inlineStr">
        <is>
          <t>BRL</t>
        </is>
      </c>
      <c r="H3661" s="9" t="n">
        <v>-1750</v>
      </c>
      <c r="I3661" s="16" t="n">
        <v>45100</v>
      </c>
      <c r="J3661" s="16" t="n">
        <v>45100</v>
      </c>
      <c r="K3661" s="5" t="inlineStr">
        <is>
          <t>000014255002</t>
        </is>
      </c>
      <c r="L3661" s="5" t="inlineStr">
        <is>
          <t>400000.210101</t>
        </is>
      </c>
      <c r="M3661" s="5">
        <f>IF(YEAR(I3661)&lt;=2020,"Até 2020",TEXT(YEAR(I3661),"0"))</f>
        <v/>
      </c>
      <c r="N3661" s="5">
        <f>IFERROR(INDEX(DePara!$A:$A,MATCH(TEXT(B3661,"0"),DePara!$D:$D,0)),"(sem categoria)")</f>
        <v/>
      </c>
      <c r="O3661" s="5">
        <f>IF(J3661="","",Parametros!$B$6-J3661)</f>
        <v/>
      </c>
      <c r="P3661" s="5">
        <f>IF(O3661="","",IF(O3661&gt;0,1,0))</f>
        <v/>
      </c>
    </row>
    <row r="3662">
      <c r="A3662" s="5" t="n">
        <v>2111000000</v>
      </c>
      <c r="B3662" s="5" t="inlineStr">
        <is>
          <t>101182</t>
        </is>
      </c>
      <c r="C3662" s="5" t="inlineStr">
        <is>
          <t>GAHE GASES E TRANSPORTES EIRELI</t>
        </is>
      </c>
      <c r="D3662" s="5" t="inlineStr">
        <is>
          <t>UE</t>
        </is>
      </c>
      <c r="E3662" s="5" t="n">
        <v>200035275</v>
      </c>
      <c r="F3662" s="5" t="inlineStr">
        <is>
          <t>21621</t>
        </is>
      </c>
      <c r="G3662" s="5" t="inlineStr">
        <is>
          <t>BRL</t>
        </is>
      </c>
      <c r="H3662" s="9" t="n">
        <v>-4200</v>
      </c>
      <c r="I3662" s="16" t="n">
        <v>45100</v>
      </c>
      <c r="J3662" s="16" t="n">
        <v>45100</v>
      </c>
      <c r="K3662" s="5" t="inlineStr">
        <is>
          <t>000014254002</t>
        </is>
      </c>
      <c r="L3662" s="5" t="inlineStr">
        <is>
          <t>400000.210101</t>
        </is>
      </c>
      <c r="M3662" s="5">
        <f>IF(YEAR(I3662)&lt;=2020,"Até 2020",TEXT(YEAR(I3662),"0"))</f>
        <v/>
      </c>
      <c r="N3662" s="5">
        <f>IFERROR(INDEX(DePara!$A:$A,MATCH(TEXT(B3662,"0"),DePara!$D:$D,0)),"(sem categoria)")</f>
        <v/>
      </c>
      <c r="O3662" s="5">
        <f>IF(J3662="","",Parametros!$B$6-J3662)</f>
        <v/>
      </c>
      <c r="P3662" s="5">
        <f>IF(O3662="","",IF(O3662&gt;0,1,0))</f>
        <v/>
      </c>
    </row>
    <row r="3663">
      <c r="A3663" s="5" t="n">
        <v>2111000000</v>
      </c>
      <c r="B3663" s="5" t="inlineStr">
        <is>
          <t>101182</t>
        </is>
      </c>
      <c r="C3663" s="5" t="inlineStr">
        <is>
          <t>GAHE GASES E TRANSPORTES EIRELI</t>
        </is>
      </c>
      <c r="D3663" s="5" t="inlineStr">
        <is>
          <t>UE</t>
        </is>
      </c>
      <c r="E3663" s="5" t="n">
        <v>200035276</v>
      </c>
      <c r="F3663" s="5" t="inlineStr">
        <is>
          <t>21622</t>
        </is>
      </c>
      <c r="G3663" s="5" t="inlineStr">
        <is>
          <t>BRL</t>
        </is>
      </c>
      <c r="H3663" s="9" t="n">
        <v>-2100</v>
      </c>
      <c r="I3663" s="16" t="n">
        <v>45114</v>
      </c>
      <c r="J3663" s="16" t="n">
        <v>45114</v>
      </c>
      <c r="K3663" s="5" t="inlineStr">
        <is>
          <t>000014449002</t>
        </is>
      </c>
      <c r="L3663" s="5" t="inlineStr">
        <is>
          <t>400000.210101</t>
        </is>
      </c>
      <c r="M3663" s="5">
        <f>IF(YEAR(I3663)&lt;=2020,"Até 2020",TEXT(YEAR(I3663),"0"))</f>
        <v/>
      </c>
      <c r="N3663" s="5">
        <f>IFERROR(INDEX(DePara!$A:$A,MATCH(TEXT(B3663,"0"),DePara!$D:$D,0)),"(sem categoria)")</f>
        <v/>
      </c>
      <c r="O3663" s="5">
        <f>IF(J3663="","",Parametros!$B$6-J3663)</f>
        <v/>
      </c>
      <c r="P3663" s="5">
        <f>IF(O3663="","",IF(O3663&gt;0,1,0))</f>
        <v/>
      </c>
    </row>
    <row r="3664">
      <c r="A3664" s="5" t="n">
        <v>2111000000</v>
      </c>
      <c r="B3664" s="5" t="inlineStr">
        <is>
          <t>101182</t>
        </is>
      </c>
      <c r="C3664" s="5" t="inlineStr">
        <is>
          <t>GAHE GASES E TRANSPORTES EIRELI</t>
        </is>
      </c>
      <c r="D3664" s="5" t="inlineStr">
        <is>
          <t>UE</t>
        </is>
      </c>
      <c r="E3664" s="5" t="n">
        <v>200035277</v>
      </c>
      <c r="F3664" s="5" t="inlineStr">
        <is>
          <t>21623</t>
        </is>
      </c>
      <c r="G3664" s="5" t="inlineStr">
        <is>
          <t>BRL</t>
        </is>
      </c>
      <c r="H3664" s="9" t="n">
        <v>-2450</v>
      </c>
      <c r="I3664" s="16" t="n">
        <v>45106</v>
      </c>
      <c r="J3664" s="16" t="n">
        <v>45106</v>
      </c>
      <c r="K3664" s="5" t="inlineStr">
        <is>
          <t>000014304002</t>
        </is>
      </c>
      <c r="L3664" s="5" t="inlineStr">
        <is>
          <t>400000.210101</t>
        </is>
      </c>
      <c r="M3664" s="5">
        <f>IF(YEAR(I3664)&lt;=2020,"Até 2020",TEXT(YEAR(I3664),"0"))</f>
        <v/>
      </c>
      <c r="N3664" s="5">
        <f>IFERROR(INDEX(DePara!$A:$A,MATCH(TEXT(B3664,"0"),DePara!$D:$D,0)),"(sem categoria)")</f>
        <v/>
      </c>
      <c r="O3664" s="5">
        <f>IF(J3664="","",Parametros!$B$6-J3664)</f>
        <v/>
      </c>
      <c r="P3664" s="5">
        <f>IF(O3664="","",IF(O3664&gt;0,1,0))</f>
        <v/>
      </c>
    </row>
    <row r="3665">
      <c r="A3665" s="5" t="n">
        <v>2111000000</v>
      </c>
      <c r="B3665" s="5" t="inlineStr">
        <is>
          <t>101182</t>
        </is>
      </c>
      <c r="C3665" s="5" t="inlineStr">
        <is>
          <t>GAHE GASES E TRANSPORTES EIRELI</t>
        </is>
      </c>
      <c r="D3665" s="5" t="inlineStr">
        <is>
          <t>UE</t>
        </is>
      </c>
      <c r="E3665" s="5" t="n">
        <v>200035278</v>
      </c>
      <c r="F3665" s="5" t="inlineStr">
        <is>
          <t>21624</t>
        </is>
      </c>
      <c r="G3665" s="5" t="inlineStr">
        <is>
          <t>BRL</t>
        </is>
      </c>
      <c r="H3665" s="9" t="n">
        <v>-1750</v>
      </c>
      <c r="I3665" s="16" t="n">
        <v>45111</v>
      </c>
      <c r="J3665" s="16" t="n">
        <v>45111</v>
      </c>
      <c r="K3665" s="5" t="inlineStr">
        <is>
          <t>000014405002</t>
        </is>
      </c>
      <c r="L3665" s="5" t="inlineStr">
        <is>
          <t>400000.210101</t>
        </is>
      </c>
      <c r="M3665" s="5">
        <f>IF(YEAR(I3665)&lt;=2020,"Até 2020",TEXT(YEAR(I3665),"0"))</f>
        <v/>
      </c>
      <c r="N3665" s="5">
        <f>IFERROR(INDEX(DePara!$A:$A,MATCH(TEXT(B3665,"0"),DePara!$D:$D,0)),"(sem categoria)")</f>
        <v/>
      </c>
      <c r="O3665" s="5">
        <f>IF(J3665="","",Parametros!$B$6-J3665)</f>
        <v/>
      </c>
      <c r="P3665" s="5">
        <f>IF(O3665="","",IF(O3665&gt;0,1,0))</f>
        <v/>
      </c>
    </row>
    <row r="3666">
      <c r="A3666" s="5" t="n">
        <v>2111000000</v>
      </c>
      <c r="B3666" s="5" t="inlineStr">
        <is>
          <t>101182</t>
        </is>
      </c>
      <c r="C3666" s="5" t="inlineStr">
        <is>
          <t>GAHE GASES E TRANSPORTES EIRELI</t>
        </is>
      </c>
      <c r="D3666" s="5" t="inlineStr">
        <is>
          <t>UE</t>
        </is>
      </c>
      <c r="E3666" s="5" t="n">
        <v>200035279</v>
      </c>
      <c r="F3666" s="5" t="inlineStr">
        <is>
          <t>21625</t>
        </is>
      </c>
      <c r="G3666" s="5" t="inlineStr">
        <is>
          <t>BRL</t>
        </is>
      </c>
      <c r="H3666" s="9" t="n">
        <v>-4800</v>
      </c>
      <c r="I3666" s="16" t="n">
        <v>45125</v>
      </c>
      <c r="J3666" s="16" t="n">
        <v>45125</v>
      </c>
      <c r="K3666" s="5" t="inlineStr">
        <is>
          <t>000014519002</t>
        </is>
      </c>
      <c r="L3666" s="5" t="inlineStr">
        <is>
          <t>400000.210101</t>
        </is>
      </c>
      <c r="M3666" s="5">
        <f>IF(YEAR(I3666)&lt;=2020,"Até 2020",TEXT(YEAR(I3666),"0"))</f>
        <v/>
      </c>
      <c r="N3666" s="5">
        <f>IFERROR(INDEX(DePara!$A:$A,MATCH(TEXT(B3666,"0"),DePara!$D:$D,0)),"(sem categoria)")</f>
        <v/>
      </c>
      <c r="O3666" s="5">
        <f>IF(J3666="","",Parametros!$B$6-J3666)</f>
        <v/>
      </c>
      <c r="P3666" s="5">
        <f>IF(O3666="","",IF(O3666&gt;0,1,0))</f>
        <v/>
      </c>
    </row>
    <row r="3667">
      <c r="A3667" s="5" t="n">
        <v>2111000000</v>
      </c>
      <c r="B3667" s="5" t="inlineStr">
        <is>
          <t>101182</t>
        </is>
      </c>
      <c r="C3667" s="5" t="inlineStr">
        <is>
          <t>GAHE GASES E TRANSPORTES EIRELI</t>
        </is>
      </c>
      <c r="D3667" s="5" t="inlineStr">
        <is>
          <t>UE</t>
        </is>
      </c>
      <c r="E3667" s="5" t="n">
        <v>200035280</v>
      </c>
      <c r="F3667" s="5" t="inlineStr">
        <is>
          <t>21626</t>
        </is>
      </c>
      <c r="G3667" s="5" t="inlineStr">
        <is>
          <t>BRL</t>
        </is>
      </c>
      <c r="H3667" s="9" t="n">
        <v>-2800</v>
      </c>
      <c r="I3667" s="16" t="n">
        <v>45124</v>
      </c>
      <c r="J3667" s="16" t="n">
        <v>45124</v>
      </c>
      <c r="K3667" s="5" t="inlineStr">
        <is>
          <t>000014503002</t>
        </is>
      </c>
      <c r="L3667" s="5" t="inlineStr">
        <is>
          <t>400000.210101</t>
        </is>
      </c>
      <c r="M3667" s="5">
        <f>IF(YEAR(I3667)&lt;=2020,"Até 2020",TEXT(YEAR(I3667),"0"))</f>
        <v/>
      </c>
      <c r="N3667" s="5">
        <f>IFERROR(INDEX(DePara!$A:$A,MATCH(TEXT(B3667,"0"),DePara!$D:$D,0)),"(sem categoria)")</f>
        <v/>
      </c>
      <c r="O3667" s="5">
        <f>IF(J3667="","",Parametros!$B$6-J3667)</f>
        <v/>
      </c>
      <c r="P3667" s="5">
        <f>IF(O3667="","",IF(O3667&gt;0,1,0))</f>
        <v/>
      </c>
    </row>
    <row r="3668">
      <c r="A3668" s="5" t="n">
        <v>2111000000</v>
      </c>
      <c r="B3668" s="5" t="inlineStr">
        <is>
          <t>101182</t>
        </is>
      </c>
      <c r="C3668" s="5" t="inlineStr">
        <is>
          <t>GAHE GASES E TRANSPORTES EIRELI</t>
        </is>
      </c>
      <c r="D3668" s="5" t="inlineStr">
        <is>
          <t>UE</t>
        </is>
      </c>
      <c r="E3668" s="5" t="n">
        <v>200035281</v>
      </c>
      <c r="F3668" s="5" t="inlineStr">
        <is>
          <t>21627</t>
        </is>
      </c>
      <c r="G3668" s="5" t="inlineStr">
        <is>
          <t>BRL</t>
        </is>
      </c>
      <c r="H3668" s="9" t="n">
        <v>-3500</v>
      </c>
      <c r="I3668" s="16" t="n">
        <v>45127</v>
      </c>
      <c r="J3668" s="16" t="n">
        <v>45127</v>
      </c>
      <c r="K3668" s="5" t="inlineStr">
        <is>
          <t>000014544002</t>
        </is>
      </c>
      <c r="L3668" s="5" t="inlineStr">
        <is>
          <t>400000.210101</t>
        </is>
      </c>
      <c r="M3668" s="5">
        <f>IF(YEAR(I3668)&lt;=2020,"Até 2020",TEXT(YEAR(I3668),"0"))</f>
        <v/>
      </c>
      <c r="N3668" s="5">
        <f>IFERROR(INDEX(DePara!$A:$A,MATCH(TEXT(B3668,"0"),DePara!$D:$D,0)),"(sem categoria)")</f>
        <v/>
      </c>
      <c r="O3668" s="5">
        <f>IF(J3668="","",Parametros!$B$6-J3668)</f>
        <v/>
      </c>
      <c r="P3668" s="5">
        <f>IF(O3668="","",IF(O3668&gt;0,1,0))</f>
        <v/>
      </c>
    </row>
    <row r="3669">
      <c r="A3669" s="5" t="n">
        <v>2111000000</v>
      </c>
      <c r="B3669" s="5" t="inlineStr">
        <is>
          <t>101215</t>
        </is>
      </c>
      <c r="C3669" s="5" t="inlineStr">
        <is>
          <t>ECOPORTO SANTOS SA</t>
        </is>
      </c>
      <c r="D3669" s="5" t="inlineStr">
        <is>
          <t>UE</t>
        </is>
      </c>
      <c r="E3669" s="5" t="n">
        <v>200035289</v>
      </c>
      <c r="F3669" s="5" t="inlineStr">
        <is>
          <t>21635</t>
        </is>
      </c>
      <c r="G3669" s="5" t="inlineStr">
        <is>
          <t>BRL</t>
        </is>
      </c>
      <c r="H3669" s="9" t="n">
        <v>-2641.4</v>
      </c>
      <c r="I3669" s="16" t="n">
        <v>43895</v>
      </c>
      <c r="J3669" s="16" t="n">
        <v>43895</v>
      </c>
      <c r="K3669" s="5" t="inlineStr">
        <is>
          <t>49827200</t>
        </is>
      </c>
      <c r="L3669" s="5" t="inlineStr">
        <is>
          <t>400000.210101</t>
        </is>
      </c>
      <c r="M3669" s="5">
        <f>IF(YEAR(I3669)&lt;=2020,"Até 2020",TEXT(YEAR(I3669),"0"))</f>
        <v/>
      </c>
      <c r="N3669" s="5">
        <f>IFERROR(INDEX(DePara!$A:$A,MATCH(TEXT(B3669,"0"),DePara!$D:$D,0)),"(sem categoria)")</f>
        <v/>
      </c>
      <c r="O3669" s="5">
        <f>IF(J3669="","",Parametros!$B$6-J3669)</f>
        <v/>
      </c>
      <c r="P3669" s="5">
        <f>IF(O3669="","",IF(O3669&gt;0,1,0))</f>
        <v/>
      </c>
    </row>
    <row r="3670">
      <c r="A3670" s="5" t="n">
        <v>2111000000</v>
      </c>
      <c r="B3670" s="5" t="inlineStr">
        <is>
          <t>101222</t>
        </is>
      </c>
      <c r="C3670" s="5" t="inlineStr">
        <is>
          <t>AGROPECUARIA CANOA MIRIM SA</t>
        </is>
      </c>
      <c r="D3670" s="5" t="inlineStr">
        <is>
          <t>UE</t>
        </is>
      </c>
      <c r="E3670" s="5" t="n">
        <v>200035290</v>
      </c>
      <c r="F3670" s="5" t="inlineStr">
        <is>
          <t>21636</t>
        </is>
      </c>
      <c r="G3670" s="5" t="inlineStr">
        <is>
          <t>BRL</t>
        </is>
      </c>
      <c r="H3670" s="9" t="n">
        <v>-8000</v>
      </c>
      <c r="I3670" s="16" t="n">
        <v>45049</v>
      </c>
      <c r="J3670" s="16" t="n">
        <v>45049</v>
      </c>
      <c r="K3670" s="5" t="inlineStr">
        <is>
          <t>20230600</t>
        </is>
      </c>
      <c r="L3670" s="5" t="inlineStr">
        <is>
          <t>BLOQUEADOS LUCIANA</t>
        </is>
      </c>
      <c r="M3670" s="5">
        <f>IF(YEAR(I3670)&lt;=2020,"Até 2020",TEXT(YEAR(I3670),"0"))</f>
        <v/>
      </c>
      <c r="N3670" s="5">
        <f>IFERROR(INDEX(DePara!$A:$A,MATCH(TEXT(B3670,"0"),DePara!$D:$D,0)),"(sem categoria)")</f>
        <v/>
      </c>
      <c r="O3670" s="5">
        <f>IF(J3670="","",Parametros!$B$6-J3670)</f>
        <v/>
      </c>
      <c r="P3670" s="5">
        <f>IF(O3670="","",IF(O3670&gt;0,1,0))</f>
        <v/>
      </c>
    </row>
    <row r="3671">
      <c r="A3671" s="5" t="n">
        <v>2111000000</v>
      </c>
      <c r="B3671" s="5" t="inlineStr">
        <is>
          <t>101222</t>
        </is>
      </c>
      <c r="C3671" s="5" t="inlineStr">
        <is>
          <t>AGROPECUARIA CANOA MIRIM SA</t>
        </is>
      </c>
      <c r="D3671" s="5" t="inlineStr">
        <is>
          <t>UE</t>
        </is>
      </c>
      <c r="E3671" s="5" t="n">
        <v>200035291</v>
      </c>
      <c r="F3671" s="5" t="inlineStr">
        <is>
          <t>21637</t>
        </is>
      </c>
      <c r="G3671" s="5" t="inlineStr">
        <is>
          <t>BRL</t>
        </is>
      </c>
      <c r="H3671" s="9" t="n">
        <v>-8000</v>
      </c>
      <c r="I3671" s="16" t="n">
        <v>45110</v>
      </c>
      <c r="J3671" s="16" t="n">
        <v>45110</v>
      </c>
      <c r="K3671" s="5" t="inlineStr">
        <is>
          <t>20230800</t>
        </is>
      </c>
      <c r="L3671" s="5" t="inlineStr">
        <is>
          <t>BLOQUEADOS LUCIANA</t>
        </is>
      </c>
      <c r="M3671" s="5">
        <f>IF(YEAR(I3671)&lt;=2020,"Até 2020",TEXT(YEAR(I3671),"0"))</f>
        <v/>
      </c>
      <c r="N3671" s="5">
        <f>IFERROR(INDEX(DePara!$A:$A,MATCH(TEXT(B3671,"0"),DePara!$D:$D,0)),"(sem categoria)")</f>
        <v/>
      </c>
      <c r="O3671" s="5">
        <f>IF(J3671="","",Parametros!$B$6-J3671)</f>
        <v/>
      </c>
      <c r="P3671" s="5">
        <f>IF(O3671="","",IF(O3671&gt;0,1,0))</f>
        <v/>
      </c>
    </row>
    <row r="3672">
      <c r="A3672" s="5" t="n">
        <v>2111000000</v>
      </c>
      <c r="B3672" s="5" t="inlineStr">
        <is>
          <t>101255</t>
        </is>
      </c>
      <c r="C3672" s="5" t="inlineStr">
        <is>
          <t>WILSON SONS LOGISTICA LTDA</t>
        </is>
      </c>
      <c r="D3672" s="5" t="inlineStr">
        <is>
          <t>UE</t>
        </is>
      </c>
      <c r="E3672" s="5" t="n">
        <v>200035302</v>
      </c>
      <c r="F3672" s="5" t="inlineStr">
        <is>
          <t>21648</t>
        </is>
      </c>
      <c r="G3672" s="5" t="inlineStr">
        <is>
          <t>BRL</t>
        </is>
      </c>
      <c r="H3672" s="9" t="n">
        <v>-50.59</v>
      </c>
      <c r="I3672" s="16" t="n">
        <v>44750</v>
      </c>
      <c r="J3672" s="16" t="n">
        <v>44750</v>
      </c>
      <c r="K3672" s="5" t="inlineStr">
        <is>
          <t>00272900</t>
        </is>
      </c>
      <c r="L3672" s="5" t="inlineStr">
        <is>
          <t>400000.210101</t>
        </is>
      </c>
      <c r="M3672" s="5">
        <f>IF(YEAR(I3672)&lt;=2020,"Até 2020",TEXT(YEAR(I3672),"0"))</f>
        <v/>
      </c>
      <c r="N3672" s="5">
        <f>IFERROR(INDEX(DePara!$A:$A,MATCH(TEXT(B3672,"0"),DePara!$D:$D,0)),"(sem categoria)")</f>
        <v/>
      </c>
      <c r="O3672" s="5">
        <f>IF(J3672="","",Parametros!$B$6-J3672)</f>
        <v/>
      </c>
      <c r="P3672" s="5">
        <f>IF(O3672="","",IF(O3672&gt;0,1,0))</f>
        <v/>
      </c>
    </row>
    <row r="3673">
      <c r="A3673" s="5" t="n">
        <v>2111000000</v>
      </c>
      <c r="B3673" s="5" t="inlineStr">
        <is>
          <t>101255</t>
        </is>
      </c>
      <c r="C3673" s="5" t="inlineStr">
        <is>
          <t>WILSON SONS LOGISTICA LTDA</t>
        </is>
      </c>
      <c r="D3673" s="5" t="inlineStr">
        <is>
          <t>UE</t>
        </is>
      </c>
      <c r="E3673" s="5" t="n">
        <v>200035308</v>
      </c>
      <c r="F3673" s="5" t="inlineStr">
        <is>
          <t>21654</t>
        </is>
      </c>
      <c r="G3673" s="5" t="inlineStr">
        <is>
          <t>BRL</t>
        </is>
      </c>
      <c r="H3673" s="9" t="n">
        <v>-2822.85</v>
      </c>
      <c r="I3673" s="16" t="n">
        <v>45036</v>
      </c>
      <c r="J3673" s="16" t="n">
        <v>45036</v>
      </c>
      <c r="K3673" s="5" t="inlineStr">
        <is>
          <t>00411300</t>
        </is>
      </c>
      <c r="L3673" s="5" t="inlineStr">
        <is>
          <t>400000.210101</t>
        </is>
      </c>
      <c r="M3673" s="5">
        <f>IF(YEAR(I3673)&lt;=2020,"Até 2020",TEXT(YEAR(I3673),"0"))</f>
        <v/>
      </c>
      <c r="N3673" s="5">
        <f>IFERROR(INDEX(DePara!$A:$A,MATCH(TEXT(B3673,"0"),DePara!$D:$D,0)),"(sem categoria)")</f>
        <v/>
      </c>
      <c r="O3673" s="5">
        <f>IF(J3673="","",Parametros!$B$6-J3673)</f>
        <v/>
      </c>
      <c r="P3673" s="5">
        <f>IF(O3673="","",IF(O3673&gt;0,1,0))</f>
        <v/>
      </c>
    </row>
    <row r="3674">
      <c r="A3674" s="5" t="n">
        <v>2111000000</v>
      </c>
      <c r="B3674" s="5" t="inlineStr">
        <is>
          <t>101255</t>
        </is>
      </c>
      <c r="C3674" s="5" t="inlineStr">
        <is>
          <t>WILSON SONS LOGISTICA LTDA</t>
        </is>
      </c>
      <c r="D3674" s="5" t="inlineStr">
        <is>
          <t>UE</t>
        </is>
      </c>
      <c r="E3674" s="5" t="n">
        <v>200035309</v>
      </c>
      <c r="F3674" s="5" t="inlineStr">
        <is>
          <t>21655</t>
        </is>
      </c>
      <c r="G3674" s="5" t="inlineStr">
        <is>
          <t>BRL</t>
        </is>
      </c>
      <c r="H3674" s="9" t="n">
        <v>-163630.91</v>
      </c>
      <c r="I3674" s="16" t="n">
        <v>45036</v>
      </c>
      <c r="J3674" s="16" t="n">
        <v>45036</v>
      </c>
      <c r="K3674" s="5" t="inlineStr">
        <is>
          <t>00411500</t>
        </is>
      </c>
      <c r="L3674" s="5" t="inlineStr">
        <is>
          <t>400000.210101</t>
        </is>
      </c>
      <c r="M3674" s="5">
        <f>IF(YEAR(I3674)&lt;=2020,"Até 2020",TEXT(YEAR(I3674),"0"))</f>
        <v/>
      </c>
      <c r="N3674" s="5">
        <f>IFERROR(INDEX(DePara!$A:$A,MATCH(TEXT(B3674,"0"),DePara!$D:$D,0)),"(sem categoria)")</f>
        <v/>
      </c>
      <c r="O3674" s="5">
        <f>IF(J3674="","",Parametros!$B$6-J3674)</f>
        <v/>
      </c>
      <c r="P3674" s="5">
        <f>IF(O3674="","",IF(O3674&gt;0,1,0))</f>
        <v/>
      </c>
    </row>
    <row r="3675">
      <c r="A3675" s="5" t="n">
        <v>2111000000</v>
      </c>
      <c r="B3675" s="5" t="inlineStr">
        <is>
          <t>100805</t>
        </is>
      </c>
      <c r="C3675" s="5" t="inlineStr">
        <is>
          <t>EXPRESSO VALE REAL LTDA</t>
        </is>
      </c>
      <c r="D3675" s="5" t="inlineStr">
        <is>
          <t>UE</t>
        </is>
      </c>
      <c r="E3675" s="5" t="n">
        <v>200035435</v>
      </c>
      <c r="F3675" s="5" t="inlineStr">
        <is>
          <t>21781</t>
        </is>
      </c>
      <c r="G3675" s="5" t="inlineStr">
        <is>
          <t>BRL</t>
        </is>
      </c>
      <c r="H3675" s="9" t="n">
        <v>-1171.11</v>
      </c>
      <c r="I3675" s="16" t="n">
        <v>45110</v>
      </c>
      <c r="J3675" s="16" t="n">
        <v>45110</v>
      </c>
      <c r="K3675" s="5" t="inlineStr">
        <is>
          <t>000017560001</t>
        </is>
      </c>
      <c r="L3675" s="5" t="inlineStr">
        <is>
          <t>400000.210101</t>
        </is>
      </c>
      <c r="M3675" s="5">
        <f>IF(YEAR(I3675)&lt;=2020,"Até 2020",TEXT(YEAR(I3675),"0"))</f>
        <v/>
      </c>
      <c r="N3675" s="5">
        <f>IFERROR(INDEX(DePara!$A:$A,MATCH(TEXT(B3675,"0"),DePara!$D:$D,0)),"(sem categoria)")</f>
        <v/>
      </c>
      <c r="O3675" s="5">
        <f>IF(J3675="","",Parametros!$B$6-J3675)</f>
        <v/>
      </c>
      <c r="P3675" s="5">
        <f>IF(O3675="","",IF(O3675&gt;0,1,0))</f>
        <v/>
      </c>
    </row>
    <row r="3676">
      <c r="A3676" s="5" t="n">
        <v>2111000000</v>
      </c>
      <c r="B3676" s="5" t="inlineStr">
        <is>
          <t>100805</t>
        </is>
      </c>
      <c r="C3676" s="5" t="inlineStr">
        <is>
          <t>EXPRESSO VALE REAL LTDA</t>
        </is>
      </c>
      <c r="D3676" s="5" t="inlineStr">
        <is>
          <t>UE</t>
        </is>
      </c>
      <c r="E3676" s="5" t="n">
        <v>200035441</v>
      </c>
      <c r="F3676" s="5" t="inlineStr">
        <is>
          <t>21787</t>
        </is>
      </c>
      <c r="G3676" s="5" t="inlineStr">
        <is>
          <t>BRL</t>
        </is>
      </c>
      <c r="H3676" s="9" t="n">
        <v>-1153.7</v>
      </c>
      <c r="I3676" s="16" t="n">
        <v>45119</v>
      </c>
      <c r="J3676" s="16" t="n">
        <v>45119</v>
      </c>
      <c r="K3676" s="5" t="inlineStr">
        <is>
          <t>000017704001</t>
        </is>
      </c>
      <c r="L3676" s="5" t="inlineStr">
        <is>
          <t>03042023</t>
        </is>
      </c>
      <c r="M3676" s="5">
        <f>IF(YEAR(I3676)&lt;=2020,"Até 2020",TEXT(YEAR(I3676),"0"))</f>
        <v/>
      </c>
      <c r="N3676" s="5">
        <f>IFERROR(INDEX(DePara!$A:$A,MATCH(TEXT(B3676,"0"),DePara!$D:$D,0)),"(sem categoria)")</f>
        <v/>
      </c>
      <c r="O3676" s="5">
        <f>IF(J3676="","",Parametros!$B$6-J3676)</f>
        <v/>
      </c>
      <c r="P3676" s="5">
        <f>IF(O3676="","",IF(O3676&gt;0,1,0))</f>
        <v/>
      </c>
    </row>
    <row r="3677">
      <c r="A3677" s="5" t="n">
        <v>2111000000</v>
      </c>
      <c r="B3677" s="5" t="inlineStr">
        <is>
          <t>100805</t>
        </is>
      </c>
      <c r="C3677" s="5" t="inlineStr">
        <is>
          <t>EXPRESSO VALE REAL LTDA</t>
        </is>
      </c>
      <c r="D3677" s="5" t="inlineStr">
        <is>
          <t>UE</t>
        </is>
      </c>
      <c r="E3677" s="5" t="n">
        <v>200035444</v>
      </c>
      <c r="F3677" s="5" t="inlineStr">
        <is>
          <t>21790</t>
        </is>
      </c>
      <c r="G3677" s="5" t="inlineStr">
        <is>
          <t>BRL</t>
        </is>
      </c>
      <c r="H3677" s="9" t="n">
        <v>-848.9400000000001</v>
      </c>
      <c r="I3677" s="16" t="n">
        <v>45120</v>
      </c>
      <c r="J3677" s="16" t="n">
        <v>45120</v>
      </c>
      <c r="K3677" s="5" t="inlineStr">
        <is>
          <t>000017716001</t>
        </is>
      </c>
      <c r="L3677" s="5" t="inlineStr">
        <is>
          <t>03042023</t>
        </is>
      </c>
      <c r="M3677" s="5">
        <f>IF(YEAR(I3677)&lt;=2020,"Até 2020",TEXT(YEAR(I3677),"0"))</f>
        <v/>
      </c>
      <c r="N3677" s="5">
        <f>IFERROR(INDEX(DePara!$A:$A,MATCH(TEXT(B3677,"0"),DePara!$D:$D,0)),"(sem categoria)")</f>
        <v/>
      </c>
      <c r="O3677" s="5">
        <f>IF(J3677="","",Parametros!$B$6-J3677)</f>
        <v/>
      </c>
      <c r="P3677" s="5">
        <f>IF(O3677="","",IF(O3677&gt;0,1,0))</f>
        <v/>
      </c>
    </row>
    <row r="3678">
      <c r="A3678" s="5" t="n">
        <v>2111000000</v>
      </c>
      <c r="B3678" s="5" t="inlineStr">
        <is>
          <t>100805</t>
        </is>
      </c>
      <c r="C3678" s="5" t="inlineStr">
        <is>
          <t>EXPRESSO VALE REAL LTDA</t>
        </is>
      </c>
      <c r="D3678" s="5" t="inlineStr">
        <is>
          <t>UE</t>
        </is>
      </c>
      <c r="E3678" s="5" t="n">
        <v>200035446</v>
      </c>
      <c r="F3678" s="5" t="inlineStr">
        <is>
          <t>21792</t>
        </is>
      </c>
      <c r="G3678" s="5" t="inlineStr">
        <is>
          <t>BRL</t>
        </is>
      </c>
      <c r="H3678" s="9" t="n">
        <v>-848.9400000000001</v>
      </c>
      <c r="I3678" s="16" t="n">
        <v>45126</v>
      </c>
      <c r="J3678" s="16" t="n">
        <v>45126</v>
      </c>
      <c r="K3678" s="5" t="inlineStr">
        <is>
          <t>000017783001</t>
        </is>
      </c>
      <c r="L3678" s="5" t="inlineStr">
        <is>
          <t>03042023</t>
        </is>
      </c>
      <c r="M3678" s="5">
        <f>IF(YEAR(I3678)&lt;=2020,"Até 2020",TEXT(YEAR(I3678),"0"))</f>
        <v/>
      </c>
      <c r="N3678" s="5">
        <f>IFERROR(INDEX(DePara!$A:$A,MATCH(TEXT(B3678,"0"),DePara!$D:$D,0)),"(sem categoria)")</f>
        <v/>
      </c>
      <c r="O3678" s="5">
        <f>IF(J3678="","",Parametros!$B$6-J3678)</f>
        <v/>
      </c>
      <c r="P3678" s="5">
        <f>IF(O3678="","",IF(O3678&gt;0,1,0))</f>
        <v/>
      </c>
    </row>
    <row r="3679">
      <c r="A3679" s="5" t="n">
        <v>2111000000</v>
      </c>
      <c r="B3679" s="5" t="inlineStr">
        <is>
          <t>100910</t>
        </is>
      </c>
      <c r="C3679" s="5" t="inlineStr">
        <is>
          <t>DSV AIR E SEA BRASIL LTDA</t>
        </is>
      </c>
      <c r="D3679" s="5" t="inlineStr">
        <is>
          <t>UE</t>
        </is>
      </c>
      <c r="E3679" s="5" t="n">
        <v>200035728</v>
      </c>
      <c r="F3679" s="5" t="inlineStr">
        <is>
          <t>22074</t>
        </is>
      </c>
      <c r="G3679" s="5" t="inlineStr">
        <is>
          <t>BRL</t>
        </is>
      </c>
      <c r="H3679" s="9" t="n">
        <v>-2043</v>
      </c>
      <c r="I3679" s="16" t="n">
        <v>44390</v>
      </c>
      <c r="J3679" s="16" t="n">
        <v>44390</v>
      </c>
      <c r="K3679" s="5" t="inlineStr">
        <is>
          <t>10650800</t>
        </is>
      </c>
      <c r="L3679" s="5" t="inlineStr">
        <is>
          <t>400000.210101</t>
        </is>
      </c>
      <c r="M3679" s="5">
        <f>IF(YEAR(I3679)&lt;=2020,"Até 2020",TEXT(YEAR(I3679),"0"))</f>
        <v/>
      </c>
      <c r="N3679" s="5">
        <f>IFERROR(INDEX(DePara!$A:$A,MATCH(TEXT(B3679,"0"),DePara!$D:$D,0)),"(sem categoria)")</f>
        <v/>
      </c>
      <c r="O3679" s="5">
        <f>IF(J3679="","",Parametros!$B$6-J3679)</f>
        <v/>
      </c>
      <c r="P3679" s="5">
        <f>IF(O3679="","",IF(O3679&gt;0,1,0))</f>
        <v/>
      </c>
    </row>
    <row r="3680">
      <c r="A3680" s="5" t="n">
        <v>2111000000</v>
      </c>
      <c r="B3680" s="5" t="inlineStr">
        <is>
          <t>100910</t>
        </is>
      </c>
      <c r="C3680" s="5" t="inlineStr">
        <is>
          <t>DSV AIR E SEA BRASIL LTDA</t>
        </is>
      </c>
      <c r="D3680" s="5" t="inlineStr">
        <is>
          <t>UE</t>
        </is>
      </c>
      <c r="E3680" s="5" t="n">
        <v>200035730</v>
      </c>
      <c r="F3680" s="5" t="inlineStr">
        <is>
          <t>22076</t>
        </is>
      </c>
      <c r="G3680" s="5" t="inlineStr">
        <is>
          <t>BRL</t>
        </is>
      </c>
      <c r="H3680" s="9" t="n">
        <v>-2043</v>
      </c>
      <c r="I3680" s="16" t="n">
        <v>44390</v>
      </c>
      <c r="J3680" s="16" t="n">
        <v>44390</v>
      </c>
      <c r="K3680" s="5" t="inlineStr">
        <is>
          <t>10656500</t>
        </is>
      </c>
      <c r="L3680" s="5" t="inlineStr">
        <is>
          <t>400000.210101</t>
        </is>
      </c>
      <c r="M3680" s="5">
        <f>IF(YEAR(I3680)&lt;=2020,"Até 2020",TEXT(YEAR(I3680),"0"))</f>
        <v/>
      </c>
      <c r="N3680" s="5">
        <f>IFERROR(INDEX(DePara!$A:$A,MATCH(TEXT(B3680,"0"),DePara!$D:$D,0)),"(sem categoria)")</f>
        <v/>
      </c>
      <c r="O3680" s="5">
        <f>IF(J3680="","",Parametros!$B$6-J3680)</f>
        <v/>
      </c>
      <c r="P3680" s="5">
        <f>IF(O3680="","",IF(O3680&gt;0,1,0))</f>
        <v/>
      </c>
    </row>
    <row r="3681">
      <c r="A3681" s="5" t="n">
        <v>2111000000</v>
      </c>
      <c r="B3681" s="5" t="inlineStr">
        <is>
          <t>100910</t>
        </is>
      </c>
      <c r="C3681" s="5" t="inlineStr">
        <is>
          <t>DSV AIR E SEA BRASIL LTDA</t>
        </is>
      </c>
      <c r="D3681" s="5" t="inlineStr">
        <is>
          <t>UE</t>
        </is>
      </c>
      <c r="E3681" s="5" t="n">
        <v>200035731</v>
      </c>
      <c r="F3681" s="5" t="inlineStr">
        <is>
          <t>22077</t>
        </is>
      </c>
      <c r="G3681" s="5" t="inlineStr">
        <is>
          <t>BRL</t>
        </is>
      </c>
      <c r="H3681" s="9" t="n">
        <v>-466.47</v>
      </c>
      <c r="I3681" s="16" t="n">
        <v>44410</v>
      </c>
      <c r="J3681" s="16" t="n">
        <v>44410</v>
      </c>
      <c r="K3681" s="5" t="inlineStr">
        <is>
          <t>10733600</t>
        </is>
      </c>
      <c r="L3681" s="5" t="inlineStr">
        <is>
          <t>400000.210101</t>
        </is>
      </c>
      <c r="M3681" s="5">
        <f>IF(YEAR(I3681)&lt;=2020,"Até 2020",TEXT(YEAR(I3681),"0"))</f>
        <v/>
      </c>
      <c r="N3681" s="5">
        <f>IFERROR(INDEX(DePara!$A:$A,MATCH(TEXT(B3681,"0"),DePara!$D:$D,0)),"(sem categoria)")</f>
        <v/>
      </c>
      <c r="O3681" s="5">
        <f>IF(J3681="","",Parametros!$B$6-J3681)</f>
        <v/>
      </c>
      <c r="P3681" s="5">
        <f>IF(O3681="","",IF(O3681&gt;0,1,0))</f>
        <v/>
      </c>
    </row>
    <row r="3682">
      <c r="A3682" s="5" t="n">
        <v>2111000000</v>
      </c>
      <c r="B3682" s="5" t="inlineStr">
        <is>
          <t>100910</t>
        </is>
      </c>
      <c r="C3682" s="5" t="inlineStr">
        <is>
          <t>DSV AIR E SEA BRASIL LTDA</t>
        </is>
      </c>
      <c r="D3682" s="5" t="inlineStr">
        <is>
          <t>UE</t>
        </is>
      </c>
      <c r="E3682" s="5" t="n">
        <v>200035732</v>
      </c>
      <c r="F3682" s="5" t="inlineStr">
        <is>
          <t>22078</t>
        </is>
      </c>
      <c r="G3682" s="5" t="inlineStr">
        <is>
          <t>BRL</t>
        </is>
      </c>
      <c r="H3682" s="9" t="n">
        <v>-2159.09</v>
      </c>
      <c r="I3682" s="16" t="n">
        <v>44571</v>
      </c>
      <c r="J3682" s="16" t="n">
        <v>44571</v>
      </c>
      <c r="K3682" s="5" t="inlineStr">
        <is>
          <t>11260900</t>
        </is>
      </c>
      <c r="L3682" s="5" t="inlineStr">
        <is>
          <t>400000.210101</t>
        </is>
      </c>
      <c r="M3682" s="5">
        <f>IF(YEAR(I3682)&lt;=2020,"Até 2020",TEXT(YEAR(I3682),"0"))</f>
        <v/>
      </c>
      <c r="N3682" s="5">
        <f>IFERROR(INDEX(DePara!$A:$A,MATCH(TEXT(B3682,"0"),DePara!$D:$D,0)),"(sem categoria)")</f>
        <v/>
      </c>
      <c r="O3682" s="5">
        <f>IF(J3682="","",Parametros!$B$6-J3682)</f>
        <v/>
      </c>
      <c r="P3682" s="5">
        <f>IF(O3682="","",IF(O3682&gt;0,1,0))</f>
        <v/>
      </c>
    </row>
    <row r="3683">
      <c r="A3683" s="5" t="n">
        <v>2111000000</v>
      </c>
      <c r="B3683" s="5" t="inlineStr">
        <is>
          <t>100910</t>
        </is>
      </c>
      <c r="C3683" s="5" t="inlineStr">
        <is>
          <t>DSV AIR E SEA BRASIL LTDA</t>
        </is>
      </c>
      <c r="D3683" s="5" t="inlineStr">
        <is>
          <t>UE</t>
        </is>
      </c>
      <c r="E3683" s="5" t="n">
        <v>200035733</v>
      </c>
      <c r="F3683" s="5" t="inlineStr">
        <is>
          <t>22079</t>
        </is>
      </c>
      <c r="G3683" s="5" t="inlineStr">
        <is>
          <t>BRL</t>
        </is>
      </c>
      <c r="H3683" s="9" t="n">
        <v>-2154.9</v>
      </c>
      <c r="I3683" s="16" t="n">
        <v>44557</v>
      </c>
      <c r="J3683" s="16" t="n">
        <v>44557</v>
      </c>
      <c r="K3683" s="5" t="inlineStr">
        <is>
          <t>11233000</t>
        </is>
      </c>
      <c r="L3683" s="5" t="inlineStr">
        <is>
          <t>400000.210101</t>
        </is>
      </c>
      <c r="M3683" s="5">
        <f>IF(YEAR(I3683)&lt;=2020,"Até 2020",TEXT(YEAR(I3683),"0"))</f>
        <v/>
      </c>
      <c r="N3683" s="5">
        <f>IFERROR(INDEX(DePara!$A:$A,MATCH(TEXT(B3683,"0"),DePara!$D:$D,0)),"(sem categoria)")</f>
        <v/>
      </c>
      <c r="O3683" s="5">
        <f>IF(J3683="","",Parametros!$B$6-J3683)</f>
        <v/>
      </c>
      <c r="P3683" s="5">
        <f>IF(O3683="","",IF(O3683&gt;0,1,0))</f>
        <v/>
      </c>
    </row>
    <row r="3684">
      <c r="A3684" s="5" t="n">
        <v>2111000000</v>
      </c>
      <c r="B3684" s="5" t="inlineStr">
        <is>
          <t>100910</t>
        </is>
      </c>
      <c r="C3684" s="5" t="inlineStr">
        <is>
          <t>DSV AIR E SEA BRASIL LTDA</t>
        </is>
      </c>
      <c r="D3684" s="5" t="inlineStr">
        <is>
          <t>UE</t>
        </is>
      </c>
      <c r="E3684" s="5" t="n">
        <v>200035734</v>
      </c>
      <c r="F3684" s="5" t="inlineStr">
        <is>
          <t>22080</t>
        </is>
      </c>
      <c r="G3684" s="5" t="inlineStr">
        <is>
          <t>BRL</t>
        </is>
      </c>
      <c r="H3684" s="9" t="n">
        <v>-2164.36</v>
      </c>
      <c r="I3684" s="16" t="n">
        <v>44550</v>
      </c>
      <c r="J3684" s="16" t="n">
        <v>44550</v>
      </c>
      <c r="K3684" s="5" t="inlineStr">
        <is>
          <t>11216200</t>
        </is>
      </c>
      <c r="L3684" s="5" t="inlineStr">
        <is>
          <t>400000.210101</t>
        </is>
      </c>
      <c r="M3684" s="5">
        <f>IF(YEAR(I3684)&lt;=2020,"Até 2020",TEXT(YEAR(I3684),"0"))</f>
        <v/>
      </c>
      <c r="N3684" s="5">
        <f>IFERROR(INDEX(DePara!$A:$A,MATCH(TEXT(B3684,"0"),DePara!$D:$D,0)),"(sem categoria)")</f>
        <v/>
      </c>
      <c r="O3684" s="5">
        <f>IF(J3684="","",Parametros!$B$6-J3684)</f>
        <v/>
      </c>
      <c r="P3684" s="5">
        <f>IF(O3684="","",IF(O3684&gt;0,1,0))</f>
        <v/>
      </c>
    </row>
    <row r="3685">
      <c r="A3685" s="5" t="n">
        <v>2111000000</v>
      </c>
      <c r="B3685" s="5" t="inlineStr">
        <is>
          <t>100910</t>
        </is>
      </c>
      <c r="C3685" s="5" t="inlineStr">
        <is>
          <t>DSV AIR E SEA BRASIL LTDA</t>
        </is>
      </c>
      <c r="D3685" s="5" t="inlineStr">
        <is>
          <t>UE</t>
        </is>
      </c>
      <c r="E3685" s="5" t="n">
        <v>200035735</v>
      </c>
      <c r="F3685" s="5" t="inlineStr">
        <is>
          <t>22081</t>
        </is>
      </c>
      <c r="G3685" s="5" t="inlineStr">
        <is>
          <t>BRL</t>
        </is>
      </c>
      <c r="H3685" s="9" t="n">
        <v>-466.47</v>
      </c>
      <c r="I3685" s="16" t="n">
        <v>44613</v>
      </c>
      <c r="J3685" s="16" t="n">
        <v>44613</v>
      </c>
      <c r="K3685" s="5" t="inlineStr">
        <is>
          <t>11444600</t>
        </is>
      </c>
      <c r="L3685" s="5" t="inlineStr">
        <is>
          <t>400000.210101</t>
        </is>
      </c>
      <c r="M3685" s="5">
        <f>IF(YEAR(I3685)&lt;=2020,"Até 2020",TEXT(YEAR(I3685),"0"))</f>
        <v/>
      </c>
      <c r="N3685" s="5">
        <f>IFERROR(INDEX(DePara!$A:$A,MATCH(TEXT(B3685,"0"),DePara!$D:$D,0)),"(sem categoria)")</f>
        <v/>
      </c>
      <c r="O3685" s="5">
        <f>IF(J3685="","",Parametros!$B$6-J3685)</f>
        <v/>
      </c>
      <c r="P3685" s="5">
        <f>IF(O3685="","",IF(O3685&gt;0,1,0))</f>
        <v/>
      </c>
    </row>
    <row r="3686">
      <c r="A3686" s="5" t="n">
        <v>2111000000</v>
      </c>
      <c r="B3686" s="5" t="inlineStr">
        <is>
          <t>100910</t>
        </is>
      </c>
      <c r="C3686" s="5" t="inlineStr">
        <is>
          <t>DSV AIR E SEA BRASIL LTDA</t>
        </is>
      </c>
      <c r="D3686" s="5" t="inlineStr">
        <is>
          <t>UE</t>
        </is>
      </c>
      <c r="E3686" s="5" t="n">
        <v>200035736</v>
      </c>
      <c r="F3686" s="5" t="inlineStr">
        <is>
          <t>22082</t>
        </is>
      </c>
      <c r="G3686" s="5" t="inlineStr">
        <is>
          <t>BRL</t>
        </is>
      </c>
      <c r="H3686" s="9" t="n">
        <v>-2060.33</v>
      </c>
      <c r="I3686" s="16" t="n">
        <v>44600</v>
      </c>
      <c r="J3686" s="16" t="n">
        <v>44600</v>
      </c>
      <c r="K3686" s="5" t="inlineStr">
        <is>
          <t>11374800</t>
        </is>
      </c>
      <c r="L3686" s="5" t="inlineStr">
        <is>
          <t>400000.210101</t>
        </is>
      </c>
      <c r="M3686" s="5">
        <f>IF(YEAR(I3686)&lt;=2020,"Até 2020",TEXT(YEAR(I3686),"0"))</f>
        <v/>
      </c>
      <c r="N3686" s="5">
        <f>IFERROR(INDEX(DePara!$A:$A,MATCH(TEXT(B3686,"0"),DePara!$D:$D,0)),"(sem categoria)")</f>
        <v/>
      </c>
      <c r="O3686" s="5">
        <f>IF(J3686="","",Parametros!$B$6-J3686)</f>
        <v/>
      </c>
      <c r="P3686" s="5">
        <f>IF(O3686="","",IF(O3686&gt;0,1,0))</f>
        <v/>
      </c>
    </row>
    <row r="3687">
      <c r="A3687" s="5" t="n">
        <v>2111000000</v>
      </c>
      <c r="B3687" s="5" t="inlineStr">
        <is>
          <t>100910</t>
        </is>
      </c>
      <c r="C3687" s="5" t="inlineStr">
        <is>
          <t>DSV AIR E SEA BRASIL LTDA</t>
        </is>
      </c>
      <c r="D3687" s="5" t="inlineStr">
        <is>
          <t>UE</t>
        </is>
      </c>
      <c r="E3687" s="5" t="n">
        <v>200035737</v>
      </c>
      <c r="F3687" s="5" t="inlineStr">
        <is>
          <t>22083</t>
        </is>
      </c>
      <c r="G3687" s="5" t="inlineStr">
        <is>
          <t>BRL</t>
        </is>
      </c>
      <c r="H3687" s="9" t="n">
        <v>-2060.33</v>
      </c>
      <c r="I3687" s="16" t="n">
        <v>44600</v>
      </c>
      <c r="J3687" s="16" t="n">
        <v>44600</v>
      </c>
      <c r="K3687" s="5" t="inlineStr">
        <is>
          <t>11375300</t>
        </is>
      </c>
      <c r="L3687" s="5" t="inlineStr">
        <is>
          <t>400000.210101</t>
        </is>
      </c>
      <c r="M3687" s="5">
        <f>IF(YEAR(I3687)&lt;=2020,"Até 2020",TEXT(YEAR(I3687),"0"))</f>
        <v/>
      </c>
      <c r="N3687" s="5">
        <f>IFERROR(INDEX(DePara!$A:$A,MATCH(TEXT(B3687,"0"),DePara!$D:$D,0)),"(sem categoria)")</f>
        <v/>
      </c>
      <c r="O3687" s="5">
        <f>IF(J3687="","",Parametros!$B$6-J3687)</f>
        <v/>
      </c>
      <c r="P3687" s="5">
        <f>IF(O3687="","",IF(O3687&gt;0,1,0))</f>
        <v/>
      </c>
    </row>
    <row r="3688">
      <c r="A3688" s="5" t="n">
        <v>2111000000</v>
      </c>
      <c r="B3688" s="5" t="inlineStr">
        <is>
          <t>100910</t>
        </is>
      </c>
      <c r="C3688" s="5" t="inlineStr">
        <is>
          <t>DSV AIR E SEA BRASIL LTDA</t>
        </is>
      </c>
      <c r="D3688" s="5" t="inlineStr">
        <is>
          <t>UE</t>
        </is>
      </c>
      <c r="E3688" s="5" t="n">
        <v>200035738</v>
      </c>
      <c r="F3688" s="5" t="inlineStr">
        <is>
          <t>22084</t>
        </is>
      </c>
      <c r="G3688" s="5" t="inlineStr">
        <is>
          <t>BRL</t>
        </is>
      </c>
      <c r="H3688" s="9" t="n">
        <v>-2027.34</v>
      </c>
      <c r="I3688" s="16" t="n">
        <v>44609</v>
      </c>
      <c r="J3688" s="16" t="n">
        <v>44609</v>
      </c>
      <c r="K3688" s="5" t="inlineStr">
        <is>
          <t>11432200</t>
        </is>
      </c>
      <c r="L3688" s="5" t="inlineStr">
        <is>
          <t>400000.210101</t>
        </is>
      </c>
      <c r="M3688" s="5">
        <f>IF(YEAR(I3688)&lt;=2020,"Até 2020",TEXT(YEAR(I3688),"0"))</f>
        <v/>
      </c>
      <c r="N3688" s="5">
        <f>IFERROR(INDEX(DePara!$A:$A,MATCH(TEXT(B3688,"0"),DePara!$D:$D,0)),"(sem categoria)")</f>
        <v/>
      </c>
      <c r="O3688" s="5">
        <f>IF(J3688="","",Parametros!$B$6-J3688)</f>
        <v/>
      </c>
      <c r="P3688" s="5">
        <f>IF(O3688="","",IF(O3688&gt;0,1,0))</f>
        <v/>
      </c>
    </row>
    <row r="3689">
      <c r="A3689" s="5" t="n">
        <v>2111000000</v>
      </c>
      <c r="B3689" s="5" t="inlineStr">
        <is>
          <t>100910</t>
        </is>
      </c>
      <c r="C3689" s="5" t="inlineStr">
        <is>
          <t>DSV AIR E SEA BRASIL LTDA</t>
        </is>
      </c>
      <c r="D3689" s="5" t="inlineStr">
        <is>
          <t>UE</t>
        </is>
      </c>
      <c r="E3689" s="5" t="n">
        <v>200035739</v>
      </c>
      <c r="F3689" s="5" t="inlineStr">
        <is>
          <t>22085</t>
        </is>
      </c>
      <c r="G3689" s="5" t="inlineStr">
        <is>
          <t>BRL</t>
        </is>
      </c>
      <c r="H3689" s="9" t="n">
        <v>-2060.33</v>
      </c>
      <c r="I3689" s="16" t="n">
        <v>44600</v>
      </c>
      <c r="J3689" s="16" t="n">
        <v>44600</v>
      </c>
      <c r="K3689" s="5" t="inlineStr">
        <is>
          <t>11374900</t>
        </is>
      </c>
      <c r="L3689" s="5" t="inlineStr">
        <is>
          <t>400000.210101</t>
        </is>
      </c>
      <c r="M3689" s="5">
        <f>IF(YEAR(I3689)&lt;=2020,"Até 2020",TEXT(YEAR(I3689),"0"))</f>
        <v/>
      </c>
      <c r="N3689" s="5">
        <f>IFERROR(INDEX(DePara!$A:$A,MATCH(TEXT(B3689,"0"),DePara!$D:$D,0)),"(sem categoria)")</f>
        <v/>
      </c>
      <c r="O3689" s="5">
        <f>IF(J3689="","",Parametros!$B$6-J3689)</f>
        <v/>
      </c>
      <c r="P3689" s="5">
        <f>IF(O3689="","",IF(O3689&gt;0,1,0))</f>
        <v/>
      </c>
    </row>
    <row r="3690">
      <c r="A3690" s="5" t="n">
        <v>2111000000</v>
      </c>
      <c r="B3690" s="5" t="inlineStr">
        <is>
          <t>100910</t>
        </is>
      </c>
      <c r="C3690" s="5" t="inlineStr">
        <is>
          <t>DSV AIR E SEA BRASIL LTDA</t>
        </is>
      </c>
      <c r="D3690" s="5" t="inlineStr">
        <is>
          <t>UE</t>
        </is>
      </c>
      <c r="E3690" s="5" t="n">
        <v>200035740</v>
      </c>
      <c r="F3690" s="5" t="inlineStr">
        <is>
          <t>22086</t>
        </is>
      </c>
      <c r="G3690" s="5" t="inlineStr">
        <is>
          <t>BRL</t>
        </is>
      </c>
      <c r="H3690" s="9" t="n">
        <v>-2060.33</v>
      </c>
      <c r="I3690" s="16" t="n">
        <v>44600</v>
      </c>
      <c r="J3690" s="16" t="n">
        <v>44600</v>
      </c>
      <c r="K3690" s="5" t="inlineStr">
        <is>
          <t>11375800</t>
        </is>
      </c>
      <c r="L3690" s="5" t="inlineStr">
        <is>
          <t>400000.210101</t>
        </is>
      </c>
      <c r="M3690" s="5">
        <f>IF(YEAR(I3690)&lt;=2020,"Até 2020",TEXT(YEAR(I3690),"0"))</f>
        <v/>
      </c>
      <c r="N3690" s="5">
        <f>IFERROR(INDEX(DePara!$A:$A,MATCH(TEXT(B3690,"0"),DePara!$D:$D,0)),"(sem categoria)")</f>
        <v/>
      </c>
      <c r="O3690" s="5">
        <f>IF(J3690="","",Parametros!$B$6-J3690)</f>
        <v/>
      </c>
      <c r="P3690" s="5">
        <f>IF(O3690="","",IF(O3690&gt;0,1,0))</f>
        <v/>
      </c>
    </row>
    <row r="3691">
      <c r="A3691" s="5" t="n">
        <v>2111000000</v>
      </c>
      <c r="B3691" s="5" t="inlineStr">
        <is>
          <t>100910</t>
        </is>
      </c>
      <c r="C3691" s="5" t="inlineStr">
        <is>
          <t>DSV AIR E SEA BRASIL LTDA</t>
        </is>
      </c>
      <c r="D3691" s="5" t="inlineStr">
        <is>
          <t>UE</t>
        </is>
      </c>
      <c r="E3691" s="5" t="n">
        <v>200035741</v>
      </c>
      <c r="F3691" s="5" t="inlineStr">
        <is>
          <t>22087</t>
        </is>
      </c>
      <c r="G3691" s="5" t="inlineStr">
        <is>
          <t>BRL</t>
        </is>
      </c>
      <c r="H3691" s="9" t="n">
        <v>-2027.34</v>
      </c>
      <c r="I3691" s="16" t="n">
        <v>44609</v>
      </c>
      <c r="J3691" s="16" t="n">
        <v>44609</v>
      </c>
      <c r="K3691" s="5" t="inlineStr">
        <is>
          <t>11431900</t>
        </is>
      </c>
      <c r="L3691" s="5" t="inlineStr">
        <is>
          <t>400000.210101</t>
        </is>
      </c>
      <c r="M3691" s="5">
        <f>IF(YEAR(I3691)&lt;=2020,"Até 2020",TEXT(YEAR(I3691),"0"))</f>
        <v/>
      </c>
      <c r="N3691" s="5">
        <f>IFERROR(INDEX(DePara!$A:$A,MATCH(TEXT(B3691,"0"),DePara!$D:$D,0)),"(sem categoria)")</f>
        <v/>
      </c>
      <c r="O3691" s="5">
        <f>IF(J3691="","",Parametros!$B$6-J3691)</f>
        <v/>
      </c>
      <c r="P3691" s="5">
        <f>IF(O3691="","",IF(O3691&gt;0,1,0))</f>
        <v/>
      </c>
    </row>
    <row r="3692">
      <c r="A3692" s="5" t="n">
        <v>2111000000</v>
      </c>
      <c r="B3692" s="5" t="inlineStr">
        <is>
          <t>100910</t>
        </is>
      </c>
      <c r="C3692" s="5" t="inlineStr">
        <is>
          <t>DSV AIR E SEA BRASIL LTDA</t>
        </is>
      </c>
      <c r="D3692" s="5" t="inlineStr">
        <is>
          <t>UE</t>
        </is>
      </c>
      <c r="E3692" s="5" t="n">
        <v>200035742</v>
      </c>
      <c r="F3692" s="5" t="inlineStr">
        <is>
          <t>22088</t>
        </is>
      </c>
      <c r="G3692" s="5" t="inlineStr">
        <is>
          <t>BRL</t>
        </is>
      </c>
      <c r="H3692" s="9" t="n">
        <v>-2027.34</v>
      </c>
      <c r="I3692" s="16" t="n">
        <v>44609</v>
      </c>
      <c r="J3692" s="16" t="n">
        <v>44609</v>
      </c>
      <c r="K3692" s="5" t="inlineStr">
        <is>
          <t>11432800</t>
        </is>
      </c>
      <c r="L3692" s="5" t="inlineStr">
        <is>
          <t>400000.210101</t>
        </is>
      </c>
      <c r="M3692" s="5">
        <f>IF(YEAR(I3692)&lt;=2020,"Até 2020",TEXT(YEAR(I3692),"0"))</f>
        <v/>
      </c>
      <c r="N3692" s="5">
        <f>IFERROR(INDEX(DePara!$A:$A,MATCH(TEXT(B3692,"0"),DePara!$D:$D,0)),"(sem categoria)")</f>
        <v/>
      </c>
      <c r="O3692" s="5">
        <f>IF(J3692="","",Parametros!$B$6-J3692)</f>
        <v/>
      </c>
      <c r="P3692" s="5">
        <f>IF(O3692="","",IF(O3692&gt;0,1,0))</f>
        <v/>
      </c>
    </row>
    <row r="3693">
      <c r="A3693" s="5" t="n">
        <v>2111000000</v>
      </c>
      <c r="B3693" s="5" t="inlineStr">
        <is>
          <t>100910</t>
        </is>
      </c>
      <c r="C3693" s="5" t="inlineStr">
        <is>
          <t>DSV AIR E SEA BRASIL LTDA</t>
        </is>
      </c>
      <c r="D3693" s="5" t="inlineStr">
        <is>
          <t>UE</t>
        </is>
      </c>
      <c r="E3693" s="5" t="n">
        <v>200035743</v>
      </c>
      <c r="F3693" s="5" t="inlineStr">
        <is>
          <t>22089</t>
        </is>
      </c>
      <c r="G3693" s="5" t="inlineStr">
        <is>
          <t>BRL</t>
        </is>
      </c>
      <c r="H3693" s="9" t="n">
        <v>-2060.33</v>
      </c>
      <c r="I3693" s="16" t="n">
        <v>44600</v>
      </c>
      <c r="J3693" s="16" t="n">
        <v>44600</v>
      </c>
      <c r="K3693" s="5" t="inlineStr">
        <is>
          <t>11375400</t>
        </is>
      </c>
      <c r="L3693" s="5" t="inlineStr">
        <is>
          <t>400000.210101</t>
        </is>
      </c>
      <c r="M3693" s="5">
        <f>IF(YEAR(I3693)&lt;=2020,"Até 2020",TEXT(YEAR(I3693),"0"))</f>
        <v/>
      </c>
      <c r="N3693" s="5">
        <f>IFERROR(INDEX(DePara!$A:$A,MATCH(TEXT(B3693,"0"),DePara!$D:$D,0)),"(sem categoria)")</f>
        <v/>
      </c>
      <c r="O3693" s="5">
        <f>IF(J3693="","",Parametros!$B$6-J3693)</f>
        <v/>
      </c>
      <c r="P3693" s="5">
        <f>IF(O3693="","",IF(O3693&gt;0,1,0))</f>
        <v/>
      </c>
    </row>
    <row r="3694">
      <c r="A3694" s="5" t="n">
        <v>2111000000</v>
      </c>
      <c r="B3694" s="5" t="inlineStr">
        <is>
          <t>100910</t>
        </is>
      </c>
      <c r="C3694" s="5" t="inlineStr">
        <is>
          <t>DSV AIR E SEA BRASIL LTDA</t>
        </is>
      </c>
      <c r="D3694" s="5" t="inlineStr">
        <is>
          <t>UE</t>
        </is>
      </c>
      <c r="E3694" s="5" t="n">
        <v>200035744</v>
      </c>
      <c r="F3694" s="5" t="inlineStr">
        <is>
          <t>22090</t>
        </is>
      </c>
      <c r="G3694" s="5" t="inlineStr">
        <is>
          <t>BRL</t>
        </is>
      </c>
      <c r="H3694" s="9" t="n">
        <v>-2027.34</v>
      </c>
      <c r="I3694" s="16" t="n">
        <v>44609</v>
      </c>
      <c r="J3694" s="16" t="n">
        <v>44609</v>
      </c>
      <c r="K3694" s="5" t="inlineStr">
        <is>
          <t>11432400</t>
        </is>
      </c>
      <c r="L3694" s="5" t="inlineStr">
        <is>
          <t>400000.210101</t>
        </is>
      </c>
      <c r="M3694" s="5">
        <f>IF(YEAR(I3694)&lt;=2020,"Até 2020",TEXT(YEAR(I3694),"0"))</f>
        <v/>
      </c>
      <c r="N3694" s="5">
        <f>IFERROR(INDEX(DePara!$A:$A,MATCH(TEXT(B3694,"0"),DePara!$D:$D,0)),"(sem categoria)")</f>
        <v/>
      </c>
      <c r="O3694" s="5">
        <f>IF(J3694="","",Parametros!$B$6-J3694)</f>
        <v/>
      </c>
      <c r="P3694" s="5">
        <f>IF(O3694="","",IF(O3694&gt;0,1,0))</f>
        <v/>
      </c>
    </row>
    <row r="3695">
      <c r="A3695" s="5" t="n">
        <v>2111000000</v>
      </c>
      <c r="B3695" s="5" t="inlineStr">
        <is>
          <t>100910</t>
        </is>
      </c>
      <c r="C3695" s="5" t="inlineStr">
        <is>
          <t>DSV AIR E SEA BRASIL LTDA</t>
        </is>
      </c>
      <c r="D3695" s="5" t="inlineStr">
        <is>
          <t>UE</t>
        </is>
      </c>
      <c r="E3695" s="5" t="n">
        <v>200035745</v>
      </c>
      <c r="F3695" s="5" t="inlineStr">
        <is>
          <t>22091</t>
        </is>
      </c>
      <c r="G3695" s="5" t="inlineStr">
        <is>
          <t>BRL</t>
        </is>
      </c>
      <c r="H3695" s="9" t="n">
        <v>-2027.34</v>
      </c>
      <c r="I3695" s="16" t="n">
        <v>44609</v>
      </c>
      <c r="J3695" s="16" t="n">
        <v>44609</v>
      </c>
      <c r="K3695" s="5" t="inlineStr">
        <is>
          <t>11432100</t>
        </is>
      </c>
      <c r="L3695" s="5" t="inlineStr">
        <is>
          <t>400000.210101</t>
        </is>
      </c>
      <c r="M3695" s="5">
        <f>IF(YEAR(I3695)&lt;=2020,"Até 2020",TEXT(YEAR(I3695),"0"))</f>
        <v/>
      </c>
      <c r="N3695" s="5">
        <f>IFERROR(INDEX(DePara!$A:$A,MATCH(TEXT(B3695,"0"),DePara!$D:$D,0)),"(sem categoria)")</f>
        <v/>
      </c>
      <c r="O3695" s="5">
        <f>IF(J3695="","",Parametros!$B$6-J3695)</f>
        <v/>
      </c>
      <c r="P3695" s="5">
        <f>IF(O3695="","",IF(O3695&gt;0,1,0))</f>
        <v/>
      </c>
    </row>
    <row r="3696">
      <c r="A3696" s="5" t="n">
        <v>2111000000</v>
      </c>
      <c r="B3696" s="5" t="inlineStr">
        <is>
          <t>102123</t>
        </is>
      </c>
      <c r="C3696" s="5" t="inlineStr">
        <is>
          <t>COLUMBIA DO NORDESTE S A</t>
        </is>
      </c>
      <c r="D3696" s="5" t="inlineStr">
        <is>
          <t>UE</t>
        </is>
      </c>
      <c r="E3696" s="5" t="n">
        <v>200035853</v>
      </c>
      <c r="F3696" s="5" t="inlineStr">
        <is>
          <t>20001</t>
        </is>
      </c>
      <c r="G3696" s="5" t="inlineStr">
        <is>
          <t>BRL</t>
        </is>
      </c>
      <c r="H3696" s="9" t="n">
        <v>-1072.03</v>
      </c>
      <c r="I3696" s="16" t="n">
        <v>44146</v>
      </c>
      <c r="J3696" s="16" t="n">
        <v>44146</v>
      </c>
      <c r="K3696" s="5" t="inlineStr">
        <is>
          <t>00530800</t>
        </is>
      </c>
      <c r="L3696" s="5" t="inlineStr">
        <is>
          <t>400000.210101</t>
        </is>
      </c>
      <c r="M3696" s="5">
        <f>IF(YEAR(I3696)&lt;=2020,"Até 2020",TEXT(YEAR(I3696),"0"))</f>
        <v/>
      </c>
      <c r="N3696" s="5">
        <f>IFERROR(INDEX(DePara!$A:$A,MATCH(TEXT(B3696,"0"),DePara!$D:$D,0)),"(sem categoria)")</f>
        <v/>
      </c>
      <c r="O3696" s="5">
        <f>IF(J3696="","",Parametros!$B$6-J3696)</f>
        <v/>
      </c>
      <c r="P3696" s="5">
        <f>IF(O3696="","",IF(O3696&gt;0,1,0))</f>
        <v/>
      </c>
    </row>
    <row r="3697">
      <c r="A3697" s="5" t="n">
        <v>2111000000</v>
      </c>
      <c r="B3697" s="5" t="inlineStr">
        <is>
          <t>101806</t>
        </is>
      </c>
      <c r="C3697" s="5" t="inlineStr">
        <is>
          <t>COLUMBIA DO NORD S A</t>
        </is>
      </c>
      <c r="D3697" s="5" t="inlineStr">
        <is>
          <t>UE</t>
        </is>
      </c>
      <c r="E3697" s="5" t="n">
        <v>200035879</v>
      </c>
      <c r="F3697" s="5" t="inlineStr">
        <is>
          <t>20027</t>
        </is>
      </c>
      <c r="G3697" s="5" t="inlineStr">
        <is>
          <t>BRL</t>
        </is>
      </c>
      <c r="H3697" s="9" t="n">
        <v>-10789.89</v>
      </c>
      <c r="I3697" s="16" t="n">
        <v>42154</v>
      </c>
      <c r="J3697" s="16" t="n">
        <v>42154</v>
      </c>
      <c r="K3697" s="5" t="inlineStr">
        <is>
          <t>000073524000</t>
        </is>
      </c>
      <c r="L3697" s="5" t="inlineStr">
        <is>
          <t>400000.210101</t>
        </is>
      </c>
      <c r="M3697" s="5">
        <f>IF(YEAR(I3697)&lt;=2020,"Até 2020",TEXT(YEAR(I3697),"0"))</f>
        <v/>
      </c>
      <c r="N3697" s="5">
        <f>IFERROR(INDEX(DePara!$A:$A,MATCH(TEXT(B3697,"0"),DePara!$D:$D,0)),"(sem categoria)")</f>
        <v/>
      </c>
      <c r="O3697" s="5">
        <f>IF(J3697="","",Parametros!$B$6-J3697)</f>
        <v/>
      </c>
      <c r="P3697" s="5">
        <f>IF(O3697="","",IF(O3697&gt;0,1,0))</f>
        <v/>
      </c>
    </row>
    <row r="3698">
      <c r="A3698" s="5" t="n">
        <v>2111000000</v>
      </c>
      <c r="B3698" s="5" t="inlineStr">
        <is>
          <t>101809</t>
        </is>
      </c>
      <c r="C3698" s="5" t="inlineStr">
        <is>
          <t>TECON SUAPE SA</t>
        </is>
      </c>
      <c r="D3698" s="5" t="inlineStr">
        <is>
          <t>UE</t>
        </is>
      </c>
      <c r="E3698" s="5" t="n">
        <v>200035880</v>
      </c>
      <c r="F3698" s="5" t="inlineStr">
        <is>
          <t>20028</t>
        </is>
      </c>
      <c r="G3698" s="5" t="inlineStr">
        <is>
          <t>BRL</t>
        </is>
      </c>
      <c r="H3698" s="9" t="n">
        <v>-85</v>
      </c>
      <c r="I3698" s="16" t="n">
        <v>43721</v>
      </c>
      <c r="J3698" s="16" t="n">
        <v>43721</v>
      </c>
      <c r="K3698" s="5" t="inlineStr">
        <is>
          <t>02430000</t>
        </is>
      </c>
      <c r="L3698" s="5" t="inlineStr">
        <is>
          <t>400000.210101</t>
        </is>
      </c>
      <c r="M3698" s="5">
        <f>IF(YEAR(I3698)&lt;=2020,"Até 2020",TEXT(YEAR(I3698),"0"))</f>
        <v/>
      </c>
      <c r="N3698" s="5">
        <f>IFERROR(INDEX(DePara!$A:$A,MATCH(TEXT(B3698,"0"),DePara!$D:$D,0)),"(sem categoria)")</f>
        <v/>
      </c>
      <c r="O3698" s="5">
        <f>IF(J3698="","",Parametros!$B$6-J3698)</f>
        <v/>
      </c>
      <c r="P3698" s="5">
        <f>IF(O3698="","",IF(O3698&gt;0,1,0))</f>
        <v/>
      </c>
    </row>
    <row r="3699">
      <c r="A3699" s="5" t="n">
        <v>2111000000</v>
      </c>
      <c r="B3699" s="5" t="inlineStr">
        <is>
          <t>101809</t>
        </is>
      </c>
      <c r="C3699" s="5" t="inlineStr">
        <is>
          <t>TECON SUAPE SA</t>
        </is>
      </c>
      <c r="D3699" s="5" t="inlineStr">
        <is>
          <t>UE</t>
        </is>
      </c>
      <c r="E3699" s="5" t="n">
        <v>200035881</v>
      </c>
      <c r="F3699" s="5" t="inlineStr">
        <is>
          <t>20029</t>
        </is>
      </c>
      <c r="G3699" s="5" t="inlineStr">
        <is>
          <t>BRL</t>
        </is>
      </c>
      <c r="H3699" s="9" t="n">
        <v>-16219.1</v>
      </c>
      <c r="I3699" s="16" t="n">
        <v>44686</v>
      </c>
      <c r="J3699" s="16" t="n">
        <v>44686</v>
      </c>
      <c r="K3699" s="5" t="inlineStr">
        <is>
          <t>01156900</t>
        </is>
      </c>
      <c r="L3699" s="5" t="inlineStr">
        <is>
          <t>400000.210101</t>
        </is>
      </c>
      <c r="M3699" s="5">
        <f>IF(YEAR(I3699)&lt;=2020,"Até 2020",TEXT(YEAR(I3699),"0"))</f>
        <v/>
      </c>
      <c r="N3699" s="5">
        <f>IFERROR(INDEX(DePara!$A:$A,MATCH(TEXT(B3699,"0"),DePara!$D:$D,0)),"(sem categoria)")</f>
        <v/>
      </c>
      <c r="O3699" s="5">
        <f>IF(J3699="","",Parametros!$B$6-J3699)</f>
        <v/>
      </c>
      <c r="P3699" s="5">
        <f>IF(O3699="","",IF(O3699&gt;0,1,0))</f>
        <v/>
      </c>
    </row>
    <row r="3700">
      <c r="A3700" s="5" t="n">
        <v>2111000000</v>
      </c>
      <c r="B3700" s="5" t="inlineStr">
        <is>
          <t>101813</t>
        </is>
      </c>
      <c r="C3700" s="5" t="inlineStr">
        <is>
          <t>TECON RIO GRANDE SA</t>
        </is>
      </c>
      <c r="D3700" s="5" t="inlineStr">
        <is>
          <t>UE</t>
        </is>
      </c>
      <c r="E3700" s="5" t="n">
        <v>200035883</v>
      </c>
      <c r="F3700" s="5" t="inlineStr">
        <is>
          <t>20031</t>
        </is>
      </c>
      <c r="G3700" s="5" t="inlineStr">
        <is>
          <t>BRL</t>
        </is>
      </c>
      <c r="H3700" s="9" t="n">
        <v>-1397.82</v>
      </c>
      <c r="I3700" s="16" t="n">
        <v>43262</v>
      </c>
      <c r="J3700" s="16" t="n">
        <v>43262</v>
      </c>
      <c r="K3700" s="5" t="inlineStr">
        <is>
          <t>80923700</t>
        </is>
      </c>
      <c r="L3700" s="5" t="inlineStr">
        <is>
          <t>400000.210101</t>
        </is>
      </c>
      <c r="M3700" s="5">
        <f>IF(YEAR(I3700)&lt;=2020,"Até 2020",TEXT(YEAR(I3700),"0"))</f>
        <v/>
      </c>
      <c r="N3700" s="5">
        <f>IFERROR(INDEX(DePara!$A:$A,MATCH(TEXT(B3700,"0"),DePara!$D:$D,0)),"(sem categoria)")</f>
        <v/>
      </c>
      <c r="O3700" s="5">
        <f>IF(J3700="","",Parametros!$B$6-J3700)</f>
        <v/>
      </c>
      <c r="P3700" s="5">
        <f>IF(O3700="","",IF(O3700&gt;0,1,0))</f>
        <v/>
      </c>
    </row>
    <row r="3701">
      <c r="A3701" s="5" t="n">
        <v>2111000000</v>
      </c>
      <c r="B3701" s="5" t="inlineStr">
        <is>
          <t>101813</t>
        </is>
      </c>
      <c r="C3701" s="5" t="inlineStr">
        <is>
          <t>TECON RIO GRANDE SA</t>
        </is>
      </c>
      <c r="D3701" s="5" t="inlineStr">
        <is>
          <t>UE</t>
        </is>
      </c>
      <c r="E3701" s="5" t="n">
        <v>200035884</v>
      </c>
      <c r="F3701" s="5" t="inlineStr">
        <is>
          <t>20032</t>
        </is>
      </c>
      <c r="G3701" s="5" t="inlineStr">
        <is>
          <t>BRL</t>
        </is>
      </c>
      <c r="H3701" s="9" t="n">
        <v>-2415.96</v>
      </c>
      <c r="I3701" s="16" t="n">
        <v>43244</v>
      </c>
      <c r="J3701" s="16" t="n">
        <v>43244</v>
      </c>
      <c r="K3701" s="5" t="inlineStr">
        <is>
          <t>80002500</t>
        </is>
      </c>
      <c r="L3701" s="5" t="inlineStr">
        <is>
          <t>400000.210101</t>
        </is>
      </c>
      <c r="M3701" s="5">
        <f>IF(YEAR(I3701)&lt;=2020,"Até 2020",TEXT(YEAR(I3701),"0"))</f>
        <v/>
      </c>
      <c r="N3701" s="5">
        <f>IFERROR(INDEX(DePara!$A:$A,MATCH(TEXT(B3701,"0"),DePara!$D:$D,0)),"(sem categoria)")</f>
        <v/>
      </c>
      <c r="O3701" s="5">
        <f>IF(J3701="","",Parametros!$B$6-J3701)</f>
        <v/>
      </c>
      <c r="P3701" s="5">
        <f>IF(O3701="","",IF(O3701&gt;0,1,0))</f>
        <v/>
      </c>
    </row>
    <row r="3702">
      <c r="A3702" s="5" t="n">
        <v>2111000000</v>
      </c>
      <c r="B3702" s="5" t="inlineStr">
        <is>
          <t>101813</t>
        </is>
      </c>
      <c r="C3702" s="5" t="inlineStr">
        <is>
          <t>TECON RIO GRANDE SA</t>
        </is>
      </c>
      <c r="D3702" s="5" t="inlineStr">
        <is>
          <t>UE</t>
        </is>
      </c>
      <c r="E3702" s="5" t="n">
        <v>200035885</v>
      </c>
      <c r="F3702" s="5" t="inlineStr">
        <is>
          <t>20033</t>
        </is>
      </c>
      <c r="G3702" s="5" t="inlineStr">
        <is>
          <t>BRL</t>
        </is>
      </c>
      <c r="H3702" s="9" t="n">
        <v>-47</v>
      </c>
      <c r="I3702" s="16" t="n">
        <v>43221</v>
      </c>
      <c r="J3702" s="16" t="n">
        <v>43221</v>
      </c>
      <c r="K3702" s="5" t="inlineStr">
        <is>
          <t>78538800</t>
        </is>
      </c>
      <c r="L3702" s="5" t="inlineStr">
        <is>
          <t>400000.210101</t>
        </is>
      </c>
      <c r="M3702" s="5">
        <f>IF(YEAR(I3702)&lt;=2020,"Até 2020",TEXT(YEAR(I3702),"0"))</f>
        <v/>
      </c>
      <c r="N3702" s="5">
        <f>IFERROR(INDEX(DePara!$A:$A,MATCH(TEXT(B3702,"0"),DePara!$D:$D,0)),"(sem categoria)")</f>
        <v/>
      </c>
      <c r="O3702" s="5">
        <f>IF(J3702="","",Parametros!$B$6-J3702)</f>
        <v/>
      </c>
      <c r="P3702" s="5">
        <f>IF(O3702="","",IF(O3702&gt;0,1,0))</f>
        <v/>
      </c>
    </row>
    <row r="3703">
      <c r="A3703" s="5" t="n">
        <v>2111000000</v>
      </c>
      <c r="B3703" s="5" t="inlineStr">
        <is>
          <t>101813</t>
        </is>
      </c>
      <c r="C3703" s="5" t="inlineStr">
        <is>
          <t>TECON RIO GRANDE SA</t>
        </is>
      </c>
      <c r="D3703" s="5" t="inlineStr">
        <is>
          <t>UE</t>
        </is>
      </c>
      <c r="E3703" s="5" t="n">
        <v>200035886</v>
      </c>
      <c r="F3703" s="5" t="inlineStr">
        <is>
          <t>20034</t>
        </is>
      </c>
      <c r="G3703" s="5" t="inlineStr">
        <is>
          <t>BRL</t>
        </is>
      </c>
      <c r="H3703" s="9" t="n">
        <v>-4874</v>
      </c>
      <c r="I3703" s="16" t="n">
        <v>43221</v>
      </c>
      <c r="J3703" s="16" t="n">
        <v>43221</v>
      </c>
      <c r="K3703" s="5" t="inlineStr">
        <is>
          <t>78549000</t>
        </is>
      </c>
      <c r="L3703" s="5" t="inlineStr">
        <is>
          <t>400000.210101</t>
        </is>
      </c>
      <c r="M3703" s="5">
        <f>IF(YEAR(I3703)&lt;=2020,"Até 2020",TEXT(YEAR(I3703),"0"))</f>
        <v/>
      </c>
      <c r="N3703" s="5">
        <f>IFERROR(INDEX(DePara!$A:$A,MATCH(TEXT(B3703,"0"),DePara!$D:$D,0)),"(sem categoria)")</f>
        <v/>
      </c>
      <c r="O3703" s="5">
        <f>IF(J3703="","",Parametros!$B$6-J3703)</f>
        <v/>
      </c>
      <c r="P3703" s="5">
        <f>IF(O3703="","",IF(O3703&gt;0,1,0))</f>
        <v/>
      </c>
    </row>
    <row r="3704">
      <c r="A3704" s="5" t="n">
        <v>2111000000</v>
      </c>
      <c r="B3704" s="5" t="inlineStr">
        <is>
          <t>101813</t>
        </is>
      </c>
      <c r="C3704" s="5" t="inlineStr">
        <is>
          <t>TECON RIO GRANDE SA</t>
        </is>
      </c>
      <c r="D3704" s="5" t="inlineStr">
        <is>
          <t>UE</t>
        </is>
      </c>
      <c r="E3704" s="5" t="n">
        <v>200035887</v>
      </c>
      <c r="F3704" s="5" t="inlineStr">
        <is>
          <t>20035</t>
        </is>
      </c>
      <c r="G3704" s="5" t="inlineStr">
        <is>
          <t>BRL</t>
        </is>
      </c>
      <c r="H3704" s="9" t="n">
        <v>-7784.76</v>
      </c>
      <c r="I3704" s="16" t="n">
        <v>43221</v>
      </c>
      <c r="J3704" s="16" t="n">
        <v>43221</v>
      </c>
      <c r="K3704" s="5" t="inlineStr">
        <is>
          <t>78545100</t>
        </is>
      </c>
      <c r="L3704" s="5" t="inlineStr">
        <is>
          <t>400000.210101</t>
        </is>
      </c>
      <c r="M3704" s="5">
        <f>IF(YEAR(I3704)&lt;=2020,"Até 2020",TEXT(YEAR(I3704),"0"))</f>
        <v/>
      </c>
      <c r="N3704" s="5">
        <f>IFERROR(INDEX(DePara!$A:$A,MATCH(TEXT(B3704,"0"),DePara!$D:$D,0)),"(sem categoria)")</f>
        <v/>
      </c>
      <c r="O3704" s="5">
        <f>IF(J3704="","",Parametros!$B$6-J3704)</f>
        <v/>
      </c>
      <c r="P3704" s="5">
        <f>IF(O3704="","",IF(O3704&gt;0,1,0))</f>
        <v/>
      </c>
    </row>
    <row r="3705">
      <c r="A3705" s="5" t="n">
        <v>2111000000</v>
      </c>
      <c r="B3705" s="5" t="inlineStr">
        <is>
          <t>101813</t>
        </is>
      </c>
      <c r="C3705" s="5" t="inlineStr">
        <is>
          <t>TECON RIO GRANDE SA</t>
        </is>
      </c>
      <c r="D3705" s="5" t="inlineStr">
        <is>
          <t>UE</t>
        </is>
      </c>
      <c r="E3705" s="5" t="n">
        <v>200035888</v>
      </c>
      <c r="F3705" s="5" t="inlineStr">
        <is>
          <t>20036</t>
        </is>
      </c>
      <c r="G3705" s="5" t="inlineStr">
        <is>
          <t>BRL</t>
        </is>
      </c>
      <c r="H3705" s="9" t="n">
        <v>-167</v>
      </c>
      <c r="I3705" s="16" t="n">
        <v>43203</v>
      </c>
      <c r="J3705" s="16" t="n">
        <v>43203</v>
      </c>
      <c r="K3705" s="5" t="inlineStr">
        <is>
          <t>77473400</t>
        </is>
      </c>
      <c r="L3705" s="5" t="inlineStr">
        <is>
          <t>400000.210101</t>
        </is>
      </c>
      <c r="M3705" s="5">
        <f>IF(YEAR(I3705)&lt;=2020,"Até 2020",TEXT(YEAR(I3705),"0"))</f>
        <v/>
      </c>
      <c r="N3705" s="5">
        <f>IFERROR(INDEX(DePara!$A:$A,MATCH(TEXT(B3705,"0"),DePara!$D:$D,0)),"(sem categoria)")</f>
        <v/>
      </c>
      <c r="O3705" s="5">
        <f>IF(J3705="","",Parametros!$B$6-J3705)</f>
        <v/>
      </c>
      <c r="P3705" s="5">
        <f>IF(O3705="","",IF(O3705&gt;0,1,0))</f>
        <v/>
      </c>
    </row>
    <row r="3706">
      <c r="A3706" s="5" t="n">
        <v>2111000000</v>
      </c>
      <c r="B3706" s="5" t="inlineStr">
        <is>
          <t>101813</t>
        </is>
      </c>
      <c r="C3706" s="5" t="inlineStr">
        <is>
          <t>TECON RIO GRANDE SA</t>
        </is>
      </c>
      <c r="D3706" s="5" t="inlineStr">
        <is>
          <t>UE</t>
        </is>
      </c>
      <c r="E3706" s="5" t="n">
        <v>200035889</v>
      </c>
      <c r="F3706" s="5" t="inlineStr">
        <is>
          <t>20037</t>
        </is>
      </c>
      <c r="G3706" s="5" t="inlineStr">
        <is>
          <t>BRL</t>
        </is>
      </c>
      <c r="H3706" s="9" t="n">
        <v>-2415.96</v>
      </c>
      <c r="I3706" s="16" t="n">
        <v>43239</v>
      </c>
      <c r="J3706" s="16" t="n">
        <v>43239</v>
      </c>
      <c r="K3706" s="5" t="inlineStr">
        <is>
          <t>79826100</t>
        </is>
      </c>
      <c r="L3706" s="5" t="inlineStr">
        <is>
          <t>400000.210101</t>
        </is>
      </c>
      <c r="M3706" s="5">
        <f>IF(YEAR(I3706)&lt;=2020,"Até 2020",TEXT(YEAR(I3706),"0"))</f>
        <v/>
      </c>
      <c r="N3706" s="5">
        <f>IFERROR(INDEX(DePara!$A:$A,MATCH(TEXT(B3706,"0"),DePara!$D:$D,0)),"(sem categoria)")</f>
        <v/>
      </c>
      <c r="O3706" s="5">
        <f>IF(J3706="","",Parametros!$B$6-J3706)</f>
        <v/>
      </c>
      <c r="P3706" s="5">
        <f>IF(O3706="","",IF(O3706&gt;0,1,0))</f>
        <v/>
      </c>
    </row>
    <row r="3707">
      <c r="A3707" s="5" t="n">
        <v>2111000000</v>
      </c>
      <c r="B3707" s="5" t="inlineStr">
        <is>
          <t>101813</t>
        </is>
      </c>
      <c r="C3707" s="5" t="inlineStr">
        <is>
          <t>TECON RIO GRANDE SA</t>
        </is>
      </c>
      <c r="D3707" s="5" t="inlineStr">
        <is>
          <t>UE</t>
        </is>
      </c>
      <c r="E3707" s="5" t="n">
        <v>200035890</v>
      </c>
      <c r="F3707" s="5" t="inlineStr">
        <is>
          <t>20038</t>
        </is>
      </c>
      <c r="G3707" s="5" t="inlineStr">
        <is>
          <t>BRL</t>
        </is>
      </c>
      <c r="H3707" s="9" t="n">
        <v>-9932.280000000001</v>
      </c>
      <c r="I3707" s="16" t="n">
        <v>43239</v>
      </c>
      <c r="J3707" s="16" t="n">
        <v>43239</v>
      </c>
      <c r="K3707" s="5" t="inlineStr">
        <is>
          <t>79722200</t>
        </is>
      </c>
      <c r="L3707" s="5" t="inlineStr">
        <is>
          <t>400000.210101</t>
        </is>
      </c>
      <c r="M3707" s="5">
        <f>IF(YEAR(I3707)&lt;=2020,"Até 2020",TEXT(YEAR(I3707),"0"))</f>
        <v/>
      </c>
      <c r="N3707" s="5">
        <f>IFERROR(INDEX(DePara!$A:$A,MATCH(TEXT(B3707,"0"),DePara!$D:$D,0)),"(sem categoria)")</f>
        <v/>
      </c>
      <c r="O3707" s="5">
        <f>IF(J3707="","",Parametros!$B$6-J3707)</f>
        <v/>
      </c>
      <c r="P3707" s="5">
        <f>IF(O3707="","",IF(O3707&gt;0,1,0))</f>
        <v/>
      </c>
    </row>
    <row r="3708">
      <c r="A3708" s="5" t="n">
        <v>2111000000</v>
      </c>
      <c r="B3708" s="5" t="inlineStr">
        <is>
          <t>101813</t>
        </is>
      </c>
      <c r="C3708" s="5" t="inlineStr">
        <is>
          <t>TECON RIO GRANDE SA</t>
        </is>
      </c>
      <c r="D3708" s="5" t="inlineStr">
        <is>
          <t>UE</t>
        </is>
      </c>
      <c r="E3708" s="5" t="n">
        <v>200035891</v>
      </c>
      <c r="F3708" s="5" t="inlineStr">
        <is>
          <t>20039</t>
        </is>
      </c>
      <c r="G3708" s="5" t="inlineStr">
        <is>
          <t>BRL</t>
        </is>
      </c>
      <c r="H3708" s="9" t="n">
        <v>-208.08</v>
      </c>
      <c r="I3708" s="16" t="n">
        <v>43761</v>
      </c>
      <c r="J3708" s="16" t="n">
        <v>43761</v>
      </c>
      <c r="K3708" s="5" t="inlineStr">
        <is>
          <t>11109800</t>
        </is>
      </c>
      <c r="L3708" s="5" t="inlineStr">
        <is>
          <t>400000.210101</t>
        </is>
      </c>
      <c r="M3708" s="5">
        <f>IF(YEAR(I3708)&lt;=2020,"Até 2020",TEXT(YEAR(I3708),"0"))</f>
        <v/>
      </c>
      <c r="N3708" s="5">
        <f>IFERROR(INDEX(DePara!$A:$A,MATCH(TEXT(B3708,"0"),DePara!$D:$D,0)),"(sem categoria)")</f>
        <v/>
      </c>
      <c r="O3708" s="5">
        <f>IF(J3708="","",Parametros!$B$6-J3708)</f>
        <v/>
      </c>
      <c r="P3708" s="5">
        <f>IF(O3708="","",IF(O3708&gt;0,1,0))</f>
        <v/>
      </c>
    </row>
    <row r="3709">
      <c r="A3709" s="5" t="n">
        <v>2111000000</v>
      </c>
      <c r="B3709" s="5" t="inlineStr">
        <is>
          <t>101813</t>
        </is>
      </c>
      <c r="C3709" s="5" t="inlineStr">
        <is>
          <t>TECON RIO GRANDE SA</t>
        </is>
      </c>
      <c r="D3709" s="5" t="inlineStr">
        <is>
          <t>UE</t>
        </is>
      </c>
      <c r="E3709" s="5" t="n">
        <v>200035892</v>
      </c>
      <c r="F3709" s="5" t="inlineStr">
        <is>
          <t>20040</t>
        </is>
      </c>
      <c r="G3709" s="5" t="inlineStr">
        <is>
          <t>BRL</t>
        </is>
      </c>
      <c r="H3709" s="9" t="n">
        <v>-772.6</v>
      </c>
      <c r="I3709" s="16" t="n">
        <v>43760</v>
      </c>
      <c r="J3709" s="16" t="n">
        <v>43760</v>
      </c>
      <c r="K3709" s="5" t="inlineStr">
        <is>
          <t>10970700</t>
        </is>
      </c>
      <c r="L3709" s="5" t="inlineStr">
        <is>
          <t>400000.210101</t>
        </is>
      </c>
      <c r="M3709" s="5">
        <f>IF(YEAR(I3709)&lt;=2020,"Até 2020",TEXT(YEAR(I3709),"0"))</f>
        <v/>
      </c>
      <c r="N3709" s="5">
        <f>IFERROR(INDEX(DePara!$A:$A,MATCH(TEXT(B3709,"0"),DePara!$D:$D,0)),"(sem categoria)")</f>
        <v/>
      </c>
      <c r="O3709" s="5">
        <f>IF(J3709="","",Parametros!$B$6-J3709)</f>
        <v/>
      </c>
      <c r="P3709" s="5">
        <f>IF(O3709="","",IF(O3709&gt;0,1,0))</f>
        <v/>
      </c>
    </row>
    <row r="3710">
      <c r="A3710" s="5" t="n">
        <v>2111000000</v>
      </c>
      <c r="B3710" s="5" t="inlineStr">
        <is>
          <t>101813</t>
        </is>
      </c>
      <c r="C3710" s="5" t="inlineStr">
        <is>
          <t>TECON RIO GRANDE SA</t>
        </is>
      </c>
      <c r="D3710" s="5" t="inlineStr">
        <is>
          <t>UE</t>
        </is>
      </c>
      <c r="E3710" s="5" t="n">
        <v>200035893</v>
      </c>
      <c r="F3710" s="5" t="inlineStr">
        <is>
          <t>20041</t>
        </is>
      </c>
      <c r="G3710" s="5" t="inlineStr">
        <is>
          <t>BRL</t>
        </is>
      </c>
      <c r="H3710" s="9" t="n">
        <v>-2000.72</v>
      </c>
      <c r="I3710" s="16" t="n">
        <v>43718</v>
      </c>
      <c r="J3710" s="16" t="n">
        <v>43718</v>
      </c>
      <c r="K3710" s="5" t="inlineStr">
        <is>
          <t>10852200</t>
        </is>
      </c>
      <c r="L3710" s="5" t="inlineStr">
        <is>
          <t>400000.210101</t>
        </is>
      </c>
      <c r="M3710" s="5">
        <f>IF(YEAR(I3710)&lt;=2020,"Até 2020",TEXT(YEAR(I3710),"0"))</f>
        <v/>
      </c>
      <c r="N3710" s="5">
        <f>IFERROR(INDEX(DePara!$A:$A,MATCH(TEXT(B3710,"0"),DePara!$D:$D,0)),"(sem categoria)")</f>
        <v/>
      </c>
      <c r="O3710" s="5">
        <f>IF(J3710="","",Parametros!$B$6-J3710)</f>
        <v/>
      </c>
      <c r="P3710" s="5">
        <f>IF(O3710="","",IF(O3710&gt;0,1,0))</f>
        <v/>
      </c>
    </row>
    <row r="3711">
      <c r="A3711" s="5" t="n">
        <v>2111000000</v>
      </c>
      <c r="B3711" s="5" t="inlineStr">
        <is>
          <t>101813</t>
        </is>
      </c>
      <c r="C3711" s="5" t="inlineStr">
        <is>
          <t>TECON RIO GRANDE SA</t>
        </is>
      </c>
      <c r="D3711" s="5" t="inlineStr">
        <is>
          <t>UE</t>
        </is>
      </c>
      <c r="E3711" s="5" t="n">
        <v>200035894</v>
      </c>
      <c r="F3711" s="5" t="inlineStr">
        <is>
          <t>20042</t>
        </is>
      </c>
      <c r="G3711" s="5" t="inlineStr">
        <is>
          <t>BRL</t>
        </is>
      </c>
      <c r="H3711" s="9" t="n">
        <v>-49</v>
      </c>
      <c r="I3711" s="16" t="n">
        <v>43718</v>
      </c>
      <c r="J3711" s="16" t="n">
        <v>43718</v>
      </c>
      <c r="K3711" s="5" t="inlineStr">
        <is>
          <t>10853500</t>
        </is>
      </c>
      <c r="L3711" s="5" t="inlineStr">
        <is>
          <t>400000.210101</t>
        </is>
      </c>
      <c r="M3711" s="5">
        <f>IF(YEAR(I3711)&lt;=2020,"Até 2020",TEXT(YEAR(I3711),"0"))</f>
        <v/>
      </c>
      <c r="N3711" s="5">
        <f>IFERROR(INDEX(DePara!$A:$A,MATCH(TEXT(B3711,"0"),DePara!$D:$D,0)),"(sem categoria)")</f>
        <v/>
      </c>
      <c r="O3711" s="5">
        <f>IF(J3711="","",Parametros!$B$6-J3711)</f>
        <v/>
      </c>
      <c r="P3711" s="5">
        <f>IF(O3711="","",IF(O3711&gt;0,1,0))</f>
        <v/>
      </c>
    </row>
    <row r="3712">
      <c r="A3712" s="5" t="n">
        <v>2111000000</v>
      </c>
      <c r="B3712" s="5" t="inlineStr">
        <is>
          <t>101813</t>
        </is>
      </c>
      <c r="C3712" s="5" t="inlineStr">
        <is>
          <t>TECON RIO GRANDE SA</t>
        </is>
      </c>
      <c r="D3712" s="5" t="inlineStr">
        <is>
          <t>UE</t>
        </is>
      </c>
      <c r="E3712" s="5" t="n">
        <v>200035895</v>
      </c>
      <c r="F3712" s="5" t="inlineStr">
        <is>
          <t>20043</t>
        </is>
      </c>
      <c r="G3712" s="5" t="inlineStr">
        <is>
          <t>BRL</t>
        </is>
      </c>
      <c r="H3712" s="9" t="n">
        <v>-8449.52</v>
      </c>
      <c r="I3712" s="16" t="n">
        <v>43736</v>
      </c>
      <c r="J3712" s="16" t="n">
        <v>43736</v>
      </c>
      <c r="K3712" s="5" t="inlineStr">
        <is>
          <t>10955600</t>
        </is>
      </c>
      <c r="L3712" s="5" t="inlineStr">
        <is>
          <t>400000.210101</t>
        </is>
      </c>
      <c r="M3712" s="5">
        <f>IF(YEAR(I3712)&lt;=2020,"Até 2020",TEXT(YEAR(I3712),"0"))</f>
        <v/>
      </c>
      <c r="N3712" s="5">
        <f>IFERROR(INDEX(DePara!$A:$A,MATCH(TEXT(B3712,"0"),DePara!$D:$D,0)),"(sem categoria)")</f>
        <v/>
      </c>
      <c r="O3712" s="5">
        <f>IF(J3712="","",Parametros!$B$6-J3712)</f>
        <v/>
      </c>
      <c r="P3712" s="5">
        <f>IF(O3712="","",IF(O3712&gt;0,1,0))</f>
        <v/>
      </c>
    </row>
    <row r="3713">
      <c r="A3713" s="5" t="n">
        <v>2111000000</v>
      </c>
      <c r="B3713" s="5" t="inlineStr">
        <is>
          <t>101813</t>
        </is>
      </c>
      <c r="C3713" s="5" t="inlineStr">
        <is>
          <t>TECON RIO GRANDE SA</t>
        </is>
      </c>
      <c r="D3713" s="5" t="inlineStr">
        <is>
          <t>UE</t>
        </is>
      </c>
      <c r="E3713" s="5" t="n">
        <v>200035896</v>
      </c>
      <c r="F3713" s="5" t="inlineStr">
        <is>
          <t>20044</t>
        </is>
      </c>
      <c r="G3713" s="5" t="inlineStr">
        <is>
          <t>BRL</t>
        </is>
      </c>
      <c r="H3713" s="9" t="n">
        <v>-565.54</v>
      </c>
      <c r="I3713" s="16" t="n">
        <v>43761</v>
      </c>
      <c r="J3713" s="16" t="n">
        <v>43761</v>
      </c>
      <c r="K3713" s="5" t="inlineStr">
        <is>
          <t>11109800</t>
        </is>
      </c>
      <c r="L3713" s="5" t="inlineStr">
        <is>
          <t>400000.210101</t>
        </is>
      </c>
      <c r="M3713" s="5">
        <f>IF(YEAR(I3713)&lt;=2020,"Até 2020",TEXT(YEAR(I3713),"0"))</f>
        <v/>
      </c>
      <c r="N3713" s="5">
        <f>IFERROR(INDEX(DePara!$A:$A,MATCH(TEXT(B3713,"0"),DePara!$D:$D,0)),"(sem categoria)")</f>
        <v/>
      </c>
      <c r="O3713" s="5">
        <f>IF(J3713="","",Parametros!$B$6-J3713)</f>
        <v/>
      </c>
      <c r="P3713" s="5">
        <f>IF(O3713="","",IF(O3713&gt;0,1,0))</f>
        <v/>
      </c>
    </row>
    <row r="3714">
      <c r="A3714" s="5" t="n">
        <v>2111000000</v>
      </c>
      <c r="B3714" s="5" t="inlineStr">
        <is>
          <t>101813</t>
        </is>
      </c>
      <c r="C3714" s="5" t="inlineStr">
        <is>
          <t>TECON RIO GRANDE SA</t>
        </is>
      </c>
      <c r="D3714" s="5" t="inlineStr">
        <is>
          <t>UE</t>
        </is>
      </c>
      <c r="E3714" s="5" t="n">
        <v>200035897</v>
      </c>
      <c r="F3714" s="5" t="inlineStr">
        <is>
          <t>20045</t>
        </is>
      </c>
      <c r="G3714" s="5" t="inlineStr">
        <is>
          <t>BRL</t>
        </is>
      </c>
      <c r="H3714" s="9" t="n">
        <v>-11128.68</v>
      </c>
      <c r="I3714" s="16" t="n">
        <v>43760</v>
      </c>
      <c r="J3714" s="16" t="n">
        <v>43760</v>
      </c>
      <c r="K3714" s="5" t="inlineStr">
        <is>
          <t>11097400</t>
        </is>
      </c>
      <c r="L3714" s="5" t="inlineStr">
        <is>
          <t>400000.210101</t>
        </is>
      </c>
      <c r="M3714" s="5">
        <f>IF(YEAR(I3714)&lt;=2020,"Até 2020",TEXT(YEAR(I3714),"0"))</f>
        <v/>
      </c>
      <c r="N3714" s="5">
        <f>IFERROR(INDEX(DePara!$A:$A,MATCH(TEXT(B3714,"0"),DePara!$D:$D,0)),"(sem categoria)")</f>
        <v/>
      </c>
      <c r="O3714" s="5">
        <f>IF(J3714="","",Parametros!$B$6-J3714)</f>
        <v/>
      </c>
      <c r="P3714" s="5">
        <f>IF(O3714="","",IF(O3714&gt;0,1,0))</f>
        <v/>
      </c>
    </row>
    <row r="3715">
      <c r="A3715" s="5" t="n">
        <v>2111000000</v>
      </c>
      <c r="B3715" s="5" t="inlineStr">
        <is>
          <t>101813</t>
        </is>
      </c>
      <c r="C3715" s="5" t="inlineStr">
        <is>
          <t>TECON RIO GRANDE SA</t>
        </is>
      </c>
      <c r="D3715" s="5" t="inlineStr">
        <is>
          <t>UE</t>
        </is>
      </c>
      <c r="E3715" s="5" t="n">
        <v>200035898</v>
      </c>
      <c r="F3715" s="5" t="inlineStr">
        <is>
          <t>20046</t>
        </is>
      </c>
      <c r="G3715" s="5" t="inlineStr">
        <is>
          <t>BRL</t>
        </is>
      </c>
      <c r="H3715" s="9" t="n">
        <v>-5633.9</v>
      </c>
      <c r="I3715" s="16" t="n">
        <v>43718</v>
      </c>
      <c r="J3715" s="16" t="n">
        <v>43718</v>
      </c>
      <c r="K3715" s="5" t="inlineStr">
        <is>
          <t>10852100</t>
        </is>
      </c>
      <c r="L3715" s="5" t="inlineStr">
        <is>
          <t>400000.210101</t>
        </is>
      </c>
      <c r="M3715" s="5">
        <f>IF(YEAR(I3715)&lt;=2020,"Até 2020",TEXT(YEAR(I3715),"0"))</f>
        <v/>
      </c>
      <c r="N3715" s="5">
        <f>IFERROR(INDEX(DePara!$A:$A,MATCH(TEXT(B3715,"0"),DePara!$D:$D,0)),"(sem categoria)")</f>
        <v/>
      </c>
      <c r="O3715" s="5">
        <f>IF(J3715="","",Parametros!$B$6-J3715)</f>
        <v/>
      </c>
      <c r="P3715" s="5">
        <f>IF(O3715="","",IF(O3715&gt;0,1,0))</f>
        <v/>
      </c>
    </row>
    <row r="3716">
      <c r="A3716" s="5" t="n">
        <v>2111000000</v>
      </c>
      <c r="B3716" s="5" t="inlineStr">
        <is>
          <t>101813</t>
        </is>
      </c>
      <c r="C3716" s="5" t="inlineStr">
        <is>
          <t>TECON RIO GRANDE SA</t>
        </is>
      </c>
      <c r="D3716" s="5" t="inlineStr">
        <is>
          <t>UE</t>
        </is>
      </c>
      <c r="E3716" s="5" t="n">
        <v>200035899</v>
      </c>
      <c r="F3716" s="5" t="inlineStr">
        <is>
          <t>20047</t>
        </is>
      </c>
      <c r="G3716" s="5" t="inlineStr">
        <is>
          <t>BRL</t>
        </is>
      </c>
      <c r="H3716" s="9" t="n">
        <v>-49</v>
      </c>
      <c r="I3716" s="16" t="n">
        <v>43718</v>
      </c>
      <c r="J3716" s="16" t="n">
        <v>43718</v>
      </c>
      <c r="K3716" s="5" t="inlineStr">
        <is>
          <t>10852200</t>
        </is>
      </c>
      <c r="L3716" s="5" t="inlineStr">
        <is>
          <t>400000.210101</t>
        </is>
      </c>
      <c r="M3716" s="5">
        <f>IF(YEAR(I3716)&lt;=2020,"Até 2020",TEXT(YEAR(I3716),"0"))</f>
        <v/>
      </c>
      <c r="N3716" s="5">
        <f>IFERROR(INDEX(DePara!$A:$A,MATCH(TEXT(B3716,"0"),DePara!$D:$D,0)),"(sem categoria)")</f>
        <v/>
      </c>
      <c r="O3716" s="5">
        <f>IF(J3716="","",Parametros!$B$6-J3716)</f>
        <v/>
      </c>
      <c r="P3716" s="5">
        <f>IF(O3716="","",IF(O3716&gt;0,1,0))</f>
        <v/>
      </c>
    </row>
    <row r="3717">
      <c r="A3717" s="5" t="n">
        <v>2111000000</v>
      </c>
      <c r="B3717" s="5" t="inlineStr">
        <is>
          <t>101813</t>
        </is>
      </c>
      <c r="C3717" s="5" t="inlineStr">
        <is>
          <t>TECON RIO GRANDE SA</t>
        </is>
      </c>
      <c r="D3717" s="5" t="inlineStr">
        <is>
          <t>UE</t>
        </is>
      </c>
      <c r="E3717" s="5" t="n">
        <v>200035900</v>
      </c>
      <c r="F3717" s="5" t="inlineStr">
        <is>
          <t>20048</t>
        </is>
      </c>
      <c r="G3717" s="5" t="inlineStr">
        <is>
          <t>BRL</t>
        </is>
      </c>
      <c r="H3717" s="9" t="n">
        <v>-5574.03</v>
      </c>
      <c r="I3717" s="16" t="n">
        <v>43860</v>
      </c>
      <c r="J3717" s="16" t="n">
        <v>43860</v>
      </c>
      <c r="K3717" s="5" t="inlineStr">
        <is>
          <t>95782500</t>
        </is>
      </c>
      <c r="L3717" s="5" t="inlineStr">
        <is>
          <t>400000.210101</t>
        </is>
      </c>
      <c r="M3717" s="5">
        <f>IF(YEAR(I3717)&lt;=2020,"Até 2020",TEXT(YEAR(I3717),"0"))</f>
        <v/>
      </c>
      <c r="N3717" s="5">
        <f>IFERROR(INDEX(DePara!$A:$A,MATCH(TEXT(B3717,"0"),DePara!$D:$D,0)),"(sem categoria)")</f>
        <v/>
      </c>
      <c r="O3717" s="5">
        <f>IF(J3717="","",Parametros!$B$6-J3717)</f>
        <v/>
      </c>
      <c r="P3717" s="5">
        <f>IF(O3717="","",IF(O3717&gt;0,1,0))</f>
        <v/>
      </c>
    </row>
    <row r="3718">
      <c r="A3718" s="5" t="n">
        <v>2111000000</v>
      </c>
      <c r="B3718" s="5" t="inlineStr">
        <is>
          <t>101813</t>
        </is>
      </c>
      <c r="C3718" s="5" t="inlineStr">
        <is>
          <t>TECON RIO GRANDE SA</t>
        </is>
      </c>
      <c r="D3718" s="5" t="inlineStr">
        <is>
          <t>UE</t>
        </is>
      </c>
      <c r="E3718" s="5" t="n">
        <v>200035901</v>
      </c>
      <c r="F3718" s="5" t="inlineStr">
        <is>
          <t>20049</t>
        </is>
      </c>
      <c r="G3718" s="5" t="inlineStr">
        <is>
          <t>BRL</t>
        </is>
      </c>
      <c r="H3718" s="9" t="n">
        <v>-49</v>
      </c>
      <c r="I3718" s="16" t="n">
        <v>43483</v>
      </c>
      <c r="J3718" s="16" t="n">
        <v>43483</v>
      </c>
      <c r="K3718" s="5" t="inlineStr">
        <is>
          <t>95152900</t>
        </is>
      </c>
      <c r="L3718" s="5" t="inlineStr">
        <is>
          <t>400000.210101</t>
        </is>
      </c>
      <c r="M3718" s="5">
        <f>IF(YEAR(I3718)&lt;=2020,"Até 2020",TEXT(YEAR(I3718),"0"))</f>
        <v/>
      </c>
      <c r="N3718" s="5">
        <f>IFERROR(INDEX(DePara!$A:$A,MATCH(TEXT(B3718,"0"),DePara!$D:$D,0)),"(sem categoria)")</f>
        <v/>
      </c>
      <c r="O3718" s="5">
        <f>IF(J3718="","",Parametros!$B$6-J3718)</f>
        <v/>
      </c>
      <c r="P3718" s="5">
        <f>IF(O3718="","",IF(O3718&gt;0,1,0))</f>
        <v/>
      </c>
    </row>
    <row r="3719">
      <c r="A3719" s="5" t="n">
        <v>2111000000</v>
      </c>
      <c r="B3719" s="5" t="inlineStr">
        <is>
          <t>101813</t>
        </is>
      </c>
      <c r="C3719" s="5" t="inlineStr">
        <is>
          <t>TECON RIO GRANDE SA</t>
        </is>
      </c>
      <c r="D3719" s="5" t="inlineStr">
        <is>
          <t>UE</t>
        </is>
      </c>
      <c r="E3719" s="5" t="n">
        <v>200035902</v>
      </c>
      <c r="F3719" s="5" t="inlineStr">
        <is>
          <t>20050</t>
        </is>
      </c>
      <c r="G3719" s="5" t="inlineStr">
        <is>
          <t>BRL</t>
        </is>
      </c>
      <c r="H3719" s="9" t="n">
        <v>-15638.99</v>
      </c>
      <c r="I3719" s="16" t="n">
        <v>43483</v>
      </c>
      <c r="J3719" s="16" t="n">
        <v>43483</v>
      </c>
      <c r="K3719" s="5" t="inlineStr">
        <is>
          <t>95169000</t>
        </is>
      </c>
      <c r="L3719" s="5" t="inlineStr">
        <is>
          <t>400000.210101</t>
        </is>
      </c>
      <c r="M3719" s="5">
        <f>IF(YEAR(I3719)&lt;=2020,"Até 2020",TEXT(YEAR(I3719),"0"))</f>
        <v/>
      </c>
      <c r="N3719" s="5">
        <f>IFERROR(INDEX(DePara!$A:$A,MATCH(TEXT(B3719,"0"),DePara!$D:$D,0)),"(sem categoria)")</f>
        <v/>
      </c>
      <c r="O3719" s="5">
        <f>IF(J3719="","",Parametros!$B$6-J3719)</f>
        <v/>
      </c>
      <c r="P3719" s="5">
        <f>IF(O3719="","",IF(O3719&gt;0,1,0))</f>
        <v/>
      </c>
    </row>
    <row r="3720">
      <c r="A3720" s="5" t="n">
        <v>2111000000</v>
      </c>
      <c r="B3720" s="5" t="inlineStr">
        <is>
          <t>101813</t>
        </is>
      </c>
      <c r="C3720" s="5" t="inlineStr">
        <is>
          <t>TECON RIO GRANDE SA</t>
        </is>
      </c>
      <c r="D3720" s="5" t="inlineStr">
        <is>
          <t>UE</t>
        </is>
      </c>
      <c r="E3720" s="5" t="n">
        <v>200035903</v>
      </c>
      <c r="F3720" s="5" t="inlineStr">
        <is>
          <t>20051</t>
        </is>
      </c>
      <c r="G3720" s="5" t="inlineStr">
        <is>
          <t>BRL</t>
        </is>
      </c>
      <c r="H3720" s="9" t="n">
        <v>-1405.79</v>
      </c>
      <c r="I3720" s="16" t="n">
        <v>43490</v>
      </c>
      <c r="J3720" s="16" t="n">
        <v>43490</v>
      </c>
      <c r="K3720" s="5" t="inlineStr">
        <is>
          <t>95530500</t>
        </is>
      </c>
      <c r="L3720" s="5" t="inlineStr">
        <is>
          <t>400000.210101</t>
        </is>
      </c>
      <c r="M3720" s="5">
        <f>IF(YEAR(I3720)&lt;=2020,"Até 2020",TEXT(YEAR(I3720),"0"))</f>
        <v/>
      </c>
      <c r="N3720" s="5">
        <f>IFERROR(INDEX(DePara!$A:$A,MATCH(TEXT(B3720,"0"),DePara!$D:$D,0)),"(sem categoria)")</f>
        <v/>
      </c>
      <c r="O3720" s="5">
        <f>IF(J3720="","",Parametros!$B$6-J3720)</f>
        <v/>
      </c>
      <c r="P3720" s="5">
        <f>IF(O3720="","",IF(O3720&gt;0,1,0))</f>
        <v/>
      </c>
    </row>
    <row r="3721">
      <c r="A3721" s="5" t="n">
        <v>2111000000</v>
      </c>
      <c r="B3721" s="5" t="inlineStr">
        <is>
          <t>101813</t>
        </is>
      </c>
      <c r="C3721" s="5" t="inlineStr">
        <is>
          <t>TECON RIO GRANDE SA</t>
        </is>
      </c>
      <c r="D3721" s="5" t="inlineStr">
        <is>
          <t>UE</t>
        </is>
      </c>
      <c r="E3721" s="5" t="n">
        <v>200035904</v>
      </c>
      <c r="F3721" s="5" t="inlineStr">
        <is>
          <t>20052</t>
        </is>
      </c>
      <c r="G3721" s="5" t="inlineStr">
        <is>
          <t>BRL</t>
        </is>
      </c>
      <c r="H3721" s="9" t="n">
        <v>-1581.51</v>
      </c>
      <c r="I3721" s="16" t="n">
        <v>43491</v>
      </c>
      <c r="J3721" s="16" t="n">
        <v>43491</v>
      </c>
      <c r="K3721" s="5" t="inlineStr">
        <is>
          <t>95578400</t>
        </is>
      </c>
      <c r="L3721" s="5" t="inlineStr">
        <is>
          <t>400000.210101</t>
        </is>
      </c>
      <c r="M3721" s="5">
        <f>IF(YEAR(I3721)&lt;=2020,"Até 2020",TEXT(YEAR(I3721),"0"))</f>
        <v/>
      </c>
      <c r="N3721" s="5">
        <f>IFERROR(INDEX(DePara!$A:$A,MATCH(TEXT(B3721,"0"),DePara!$D:$D,0)),"(sem categoria)")</f>
        <v/>
      </c>
      <c r="O3721" s="5">
        <f>IF(J3721="","",Parametros!$B$6-J3721)</f>
        <v/>
      </c>
      <c r="P3721" s="5">
        <f>IF(O3721="","",IF(O3721&gt;0,1,0))</f>
        <v/>
      </c>
    </row>
    <row r="3722">
      <c r="A3722" s="5" t="n">
        <v>2111000000</v>
      </c>
      <c r="B3722" s="5" t="inlineStr">
        <is>
          <t>101813</t>
        </is>
      </c>
      <c r="C3722" s="5" t="inlineStr">
        <is>
          <t>TECON RIO GRANDE SA</t>
        </is>
      </c>
      <c r="D3722" s="5" t="inlineStr">
        <is>
          <t>UE</t>
        </is>
      </c>
      <c r="E3722" s="5" t="n">
        <v>200035907</v>
      </c>
      <c r="F3722" s="5" t="inlineStr">
        <is>
          <t>20055</t>
        </is>
      </c>
      <c r="G3722" s="5" t="inlineStr">
        <is>
          <t>BRL</t>
        </is>
      </c>
      <c r="H3722" s="9" t="n">
        <v>-175</v>
      </c>
      <c r="I3722" s="16" t="n">
        <v>44093</v>
      </c>
      <c r="J3722" s="16" t="n">
        <v>44093</v>
      </c>
      <c r="K3722" s="5" t="inlineStr">
        <is>
          <t>28100200</t>
        </is>
      </c>
      <c r="L3722" s="5" t="inlineStr">
        <is>
          <t>400000.210101</t>
        </is>
      </c>
      <c r="M3722" s="5">
        <f>IF(YEAR(I3722)&lt;=2020,"Até 2020",TEXT(YEAR(I3722),"0"))</f>
        <v/>
      </c>
      <c r="N3722" s="5">
        <f>IFERROR(INDEX(DePara!$A:$A,MATCH(TEXT(B3722,"0"),DePara!$D:$D,0)),"(sem categoria)")</f>
        <v/>
      </c>
      <c r="O3722" s="5">
        <f>IF(J3722="","",Parametros!$B$6-J3722)</f>
        <v/>
      </c>
      <c r="P3722" s="5">
        <f>IF(O3722="","",IF(O3722&gt;0,1,0))</f>
        <v/>
      </c>
    </row>
    <row r="3723">
      <c r="A3723" s="5" t="n">
        <v>2111000000</v>
      </c>
      <c r="B3723" s="5" t="inlineStr">
        <is>
          <t>101813</t>
        </is>
      </c>
      <c r="C3723" s="5" t="inlineStr">
        <is>
          <t>TECON RIO GRANDE SA</t>
        </is>
      </c>
      <c r="D3723" s="5" t="inlineStr">
        <is>
          <t>UE</t>
        </is>
      </c>
      <c r="E3723" s="5" t="n">
        <v>200035908</v>
      </c>
      <c r="F3723" s="5" t="inlineStr">
        <is>
          <t>20056</t>
        </is>
      </c>
      <c r="G3723" s="5" t="inlineStr">
        <is>
          <t>BRL</t>
        </is>
      </c>
      <c r="H3723" s="9" t="n">
        <v>-500.76</v>
      </c>
      <c r="I3723" s="16" t="n">
        <v>44090</v>
      </c>
      <c r="J3723" s="16" t="n">
        <v>44090</v>
      </c>
      <c r="K3723" s="5" t="inlineStr">
        <is>
          <t>27858000</t>
        </is>
      </c>
      <c r="L3723" s="5" t="inlineStr">
        <is>
          <t>400000.210101</t>
        </is>
      </c>
      <c r="M3723" s="5">
        <f>IF(YEAR(I3723)&lt;=2020,"Até 2020",TEXT(YEAR(I3723),"0"))</f>
        <v/>
      </c>
      <c r="N3723" s="5">
        <f>IFERROR(INDEX(DePara!$A:$A,MATCH(TEXT(B3723,"0"),DePara!$D:$D,0)),"(sem categoria)")</f>
        <v/>
      </c>
      <c r="O3723" s="5">
        <f>IF(J3723="","",Parametros!$B$6-J3723)</f>
        <v/>
      </c>
      <c r="P3723" s="5">
        <f>IF(O3723="","",IF(O3723&gt;0,1,0))</f>
        <v/>
      </c>
    </row>
    <row r="3724">
      <c r="A3724" s="5" t="n">
        <v>2111000000</v>
      </c>
      <c r="B3724" s="5" t="inlineStr">
        <is>
          <t>101813</t>
        </is>
      </c>
      <c r="C3724" s="5" t="inlineStr">
        <is>
          <t>TECON RIO GRANDE SA</t>
        </is>
      </c>
      <c r="D3724" s="5" t="inlineStr">
        <is>
          <t>UE</t>
        </is>
      </c>
      <c r="E3724" s="5" t="n">
        <v>200035909</v>
      </c>
      <c r="F3724" s="5" t="inlineStr">
        <is>
          <t>20057</t>
        </is>
      </c>
      <c r="G3724" s="5" t="inlineStr">
        <is>
          <t>BRL</t>
        </is>
      </c>
      <c r="H3724" s="9" t="n">
        <v>-2165</v>
      </c>
      <c r="I3724" s="16" t="n">
        <v>44072</v>
      </c>
      <c r="J3724" s="16" t="n">
        <v>44072</v>
      </c>
      <c r="K3724" s="5" t="inlineStr">
        <is>
          <t>27046000</t>
        </is>
      </c>
      <c r="L3724" s="5" t="inlineStr">
        <is>
          <t>400000.210101</t>
        </is>
      </c>
      <c r="M3724" s="5">
        <f>IF(YEAR(I3724)&lt;=2020,"Até 2020",TEXT(YEAR(I3724),"0"))</f>
        <v/>
      </c>
      <c r="N3724" s="5">
        <f>IFERROR(INDEX(DePara!$A:$A,MATCH(TEXT(B3724,"0"),DePara!$D:$D,0)),"(sem categoria)")</f>
        <v/>
      </c>
      <c r="O3724" s="5">
        <f>IF(J3724="","",Parametros!$B$6-J3724)</f>
        <v/>
      </c>
      <c r="P3724" s="5">
        <f>IF(O3724="","",IF(O3724&gt;0,1,0))</f>
        <v/>
      </c>
    </row>
    <row r="3725">
      <c r="A3725" s="5" t="n">
        <v>2111000000</v>
      </c>
      <c r="B3725" s="5" t="inlineStr">
        <is>
          <t>101813</t>
        </is>
      </c>
      <c r="C3725" s="5" t="inlineStr">
        <is>
          <t>TECON RIO GRANDE SA</t>
        </is>
      </c>
      <c r="D3725" s="5" t="inlineStr">
        <is>
          <t>UE</t>
        </is>
      </c>
      <c r="E3725" s="5" t="n">
        <v>200035910</v>
      </c>
      <c r="F3725" s="5" t="inlineStr">
        <is>
          <t>20058</t>
        </is>
      </c>
      <c r="G3725" s="5" t="inlineStr">
        <is>
          <t>BRL</t>
        </is>
      </c>
      <c r="H3725" s="9" t="n">
        <v>-52</v>
      </c>
      <c r="I3725" s="16" t="n">
        <v>44072</v>
      </c>
      <c r="J3725" s="16" t="n">
        <v>44072</v>
      </c>
      <c r="K3725" s="5" t="inlineStr">
        <is>
          <t>27032400</t>
        </is>
      </c>
      <c r="L3725" s="5" t="inlineStr">
        <is>
          <t>400000.210101</t>
        </is>
      </c>
      <c r="M3725" s="5">
        <f>IF(YEAR(I3725)&lt;=2020,"Até 2020",TEXT(YEAR(I3725),"0"))</f>
        <v/>
      </c>
      <c r="N3725" s="5">
        <f>IFERROR(INDEX(DePara!$A:$A,MATCH(TEXT(B3725,"0"),DePara!$D:$D,0)),"(sem categoria)")</f>
        <v/>
      </c>
      <c r="O3725" s="5">
        <f>IF(J3725="","",Parametros!$B$6-J3725)</f>
        <v/>
      </c>
      <c r="P3725" s="5">
        <f>IF(O3725="","",IF(O3725&gt;0,1,0))</f>
        <v/>
      </c>
    </row>
    <row r="3726">
      <c r="A3726" s="5" t="n">
        <v>2111000000</v>
      </c>
      <c r="B3726" s="5" t="inlineStr">
        <is>
          <t>101813</t>
        </is>
      </c>
      <c r="C3726" s="5" t="inlineStr">
        <is>
          <t>TECON RIO GRANDE SA</t>
        </is>
      </c>
      <c r="D3726" s="5" t="inlineStr">
        <is>
          <t>UE</t>
        </is>
      </c>
      <c r="E3726" s="5" t="n">
        <v>200035911</v>
      </c>
      <c r="F3726" s="5" t="inlineStr">
        <is>
          <t>20059</t>
        </is>
      </c>
      <c r="G3726" s="5" t="inlineStr">
        <is>
          <t>BRL</t>
        </is>
      </c>
      <c r="H3726" s="9" t="n">
        <v>-145</v>
      </c>
      <c r="I3726" s="16" t="n">
        <v>44124</v>
      </c>
      <c r="J3726" s="16" t="n">
        <v>44124</v>
      </c>
      <c r="K3726" s="5" t="inlineStr">
        <is>
          <t>29532600</t>
        </is>
      </c>
      <c r="L3726" s="5" t="inlineStr">
        <is>
          <t>400000.210101</t>
        </is>
      </c>
      <c r="M3726" s="5">
        <f>IF(YEAR(I3726)&lt;=2020,"Até 2020",TEXT(YEAR(I3726),"0"))</f>
        <v/>
      </c>
      <c r="N3726" s="5">
        <f>IFERROR(INDEX(DePara!$A:$A,MATCH(TEXT(B3726,"0"),DePara!$D:$D,0)),"(sem categoria)")</f>
        <v/>
      </c>
      <c r="O3726" s="5">
        <f>IF(J3726="","",Parametros!$B$6-J3726)</f>
        <v/>
      </c>
      <c r="P3726" s="5">
        <f>IF(O3726="","",IF(O3726&gt;0,1,0))</f>
        <v/>
      </c>
    </row>
    <row r="3727">
      <c r="A3727" s="5" t="n">
        <v>2111000000</v>
      </c>
      <c r="B3727" s="5" t="inlineStr">
        <is>
          <t>101813</t>
        </is>
      </c>
      <c r="C3727" s="5" t="inlineStr">
        <is>
          <t>TECON RIO GRANDE SA</t>
        </is>
      </c>
      <c r="D3727" s="5" t="inlineStr">
        <is>
          <t>UE</t>
        </is>
      </c>
      <c r="E3727" s="5" t="n">
        <v>200035912</v>
      </c>
      <c r="F3727" s="5" t="inlineStr">
        <is>
          <t>20060</t>
        </is>
      </c>
      <c r="G3727" s="5" t="inlineStr">
        <is>
          <t>BRL</t>
        </is>
      </c>
      <c r="H3727" s="9" t="n">
        <v>-2057</v>
      </c>
      <c r="I3727" s="16" t="n">
        <v>44119</v>
      </c>
      <c r="J3727" s="16" t="n">
        <v>44119</v>
      </c>
      <c r="K3727" s="5" t="inlineStr">
        <is>
          <t>29290400</t>
        </is>
      </c>
      <c r="L3727" s="5" t="inlineStr">
        <is>
          <t>400000.210101</t>
        </is>
      </c>
      <c r="M3727" s="5">
        <f>IF(YEAR(I3727)&lt;=2020,"Até 2020",TEXT(YEAR(I3727),"0"))</f>
        <v/>
      </c>
      <c r="N3727" s="5">
        <f>IFERROR(INDEX(DePara!$A:$A,MATCH(TEXT(B3727,"0"),DePara!$D:$D,0)),"(sem categoria)")</f>
        <v/>
      </c>
      <c r="O3727" s="5">
        <f>IF(J3727="","",Parametros!$B$6-J3727)</f>
        <v/>
      </c>
      <c r="P3727" s="5">
        <f>IF(O3727="","",IF(O3727&gt;0,1,0))</f>
        <v/>
      </c>
    </row>
    <row r="3728">
      <c r="A3728" s="5" t="n">
        <v>2111000000</v>
      </c>
      <c r="B3728" s="5" t="inlineStr">
        <is>
          <t>101813</t>
        </is>
      </c>
      <c r="C3728" s="5" t="inlineStr">
        <is>
          <t>TECON RIO GRANDE SA</t>
        </is>
      </c>
      <c r="D3728" s="5" t="inlineStr">
        <is>
          <t>UE</t>
        </is>
      </c>
      <c r="E3728" s="5" t="n">
        <v>200035913</v>
      </c>
      <c r="F3728" s="5" t="inlineStr">
        <is>
          <t>20061</t>
        </is>
      </c>
      <c r="G3728" s="5" t="inlineStr">
        <is>
          <t>BRL</t>
        </is>
      </c>
      <c r="H3728" s="9" t="n">
        <v>-52</v>
      </c>
      <c r="I3728" s="16" t="n">
        <v>44119</v>
      </c>
      <c r="J3728" s="16" t="n">
        <v>44119</v>
      </c>
      <c r="K3728" s="5" t="inlineStr">
        <is>
          <t>29294100</t>
        </is>
      </c>
      <c r="L3728" s="5" t="inlineStr">
        <is>
          <t>400000.210101</t>
        </is>
      </c>
      <c r="M3728" s="5">
        <f>IF(YEAR(I3728)&lt;=2020,"Até 2020",TEXT(YEAR(I3728),"0"))</f>
        <v/>
      </c>
      <c r="N3728" s="5">
        <f>IFERROR(INDEX(DePara!$A:$A,MATCH(TEXT(B3728,"0"),DePara!$D:$D,0)),"(sem categoria)")</f>
        <v/>
      </c>
      <c r="O3728" s="5">
        <f>IF(J3728="","",Parametros!$B$6-J3728)</f>
        <v/>
      </c>
      <c r="P3728" s="5">
        <f>IF(O3728="","",IF(O3728&gt;0,1,0))</f>
        <v/>
      </c>
    </row>
    <row r="3729">
      <c r="A3729" s="5" t="n">
        <v>2111000000</v>
      </c>
      <c r="B3729" s="5" t="inlineStr">
        <is>
          <t>101813</t>
        </is>
      </c>
      <c r="C3729" s="5" t="inlineStr">
        <is>
          <t>TECON RIO GRANDE SA</t>
        </is>
      </c>
      <c r="D3729" s="5" t="inlineStr">
        <is>
          <t>UE</t>
        </is>
      </c>
      <c r="E3729" s="5" t="n">
        <v>200035914</v>
      </c>
      <c r="F3729" s="5" t="inlineStr">
        <is>
          <t>20062</t>
        </is>
      </c>
      <c r="G3729" s="5" t="inlineStr">
        <is>
          <t>BRL</t>
        </is>
      </c>
      <c r="H3729" s="9" t="n">
        <v>-210.84</v>
      </c>
      <c r="I3729" s="16" t="n">
        <v>44181</v>
      </c>
      <c r="J3729" s="16" t="n">
        <v>44181</v>
      </c>
      <c r="K3729" s="5" t="inlineStr">
        <is>
          <t>32910400</t>
        </is>
      </c>
      <c r="L3729" s="5" t="inlineStr">
        <is>
          <t>400000.210101</t>
        </is>
      </c>
      <c r="M3729" s="5">
        <f>IF(YEAR(I3729)&lt;=2020,"Até 2020",TEXT(YEAR(I3729),"0"))</f>
        <v/>
      </c>
      <c r="N3729" s="5">
        <f>IFERROR(INDEX(DePara!$A:$A,MATCH(TEXT(B3729,"0"),DePara!$D:$D,0)),"(sem categoria)")</f>
        <v/>
      </c>
      <c r="O3729" s="5">
        <f>IF(J3729="","",Parametros!$B$6-J3729)</f>
        <v/>
      </c>
      <c r="P3729" s="5">
        <f>IF(O3729="","",IF(O3729&gt;0,1,0))</f>
        <v/>
      </c>
    </row>
    <row r="3730">
      <c r="A3730" s="5" t="n">
        <v>2111000000</v>
      </c>
      <c r="B3730" s="5" t="inlineStr">
        <is>
          <t>101813</t>
        </is>
      </c>
      <c r="C3730" s="5" t="inlineStr">
        <is>
          <t>TECON RIO GRANDE SA</t>
        </is>
      </c>
      <c r="D3730" s="5" t="inlineStr">
        <is>
          <t>UE</t>
        </is>
      </c>
      <c r="E3730" s="5" t="n">
        <v>200035920</v>
      </c>
      <c r="F3730" s="5" t="inlineStr">
        <is>
          <t>20068</t>
        </is>
      </c>
      <c r="G3730" s="5" t="inlineStr">
        <is>
          <t>BRL</t>
        </is>
      </c>
      <c r="H3730" s="9" t="n">
        <v>-1551.3</v>
      </c>
      <c r="I3730" s="16" t="n">
        <v>44371</v>
      </c>
      <c r="J3730" s="16" t="n">
        <v>44371</v>
      </c>
      <c r="K3730" s="5" t="inlineStr">
        <is>
          <t>14391800</t>
        </is>
      </c>
      <c r="L3730" s="5" t="inlineStr">
        <is>
          <t>400000.210101</t>
        </is>
      </c>
      <c r="M3730" s="5">
        <f>IF(YEAR(I3730)&lt;=2020,"Até 2020",TEXT(YEAR(I3730),"0"))</f>
        <v/>
      </c>
      <c r="N3730" s="5">
        <f>IFERROR(INDEX(DePara!$A:$A,MATCH(TEXT(B3730,"0"),DePara!$D:$D,0)),"(sem categoria)")</f>
        <v/>
      </c>
      <c r="O3730" s="5">
        <f>IF(J3730="","",Parametros!$B$6-J3730)</f>
        <v/>
      </c>
      <c r="P3730" s="5">
        <f>IF(O3730="","",IF(O3730&gt;0,1,0))</f>
        <v/>
      </c>
    </row>
    <row r="3731">
      <c r="A3731" s="5" t="n">
        <v>2111000000</v>
      </c>
      <c r="B3731" s="5" t="inlineStr">
        <is>
          <t>101817</t>
        </is>
      </c>
      <c r="C3731" s="5" t="inlineStr">
        <is>
          <t>FIGWAL TRANSPORTES INTERNACIONAIS L</t>
        </is>
      </c>
      <c r="D3731" s="5" t="inlineStr">
        <is>
          <t>UE</t>
        </is>
      </c>
      <c r="E3731" s="5" t="n">
        <v>200035922</v>
      </c>
      <c r="F3731" s="5" t="inlineStr">
        <is>
          <t>20070</t>
        </is>
      </c>
      <c r="G3731" s="5" t="inlineStr">
        <is>
          <t>BRL</t>
        </is>
      </c>
      <c r="H3731" s="9" t="n">
        <v>-130</v>
      </c>
      <c r="I3731" s="16" t="n">
        <v>44627</v>
      </c>
      <c r="J3731" s="16" t="n">
        <v>44627</v>
      </c>
      <c r="K3731" s="5" t="inlineStr">
        <is>
          <t>25612100</t>
        </is>
      </c>
      <c r="L3731" s="5" t="inlineStr">
        <is>
          <t>400000.210101</t>
        </is>
      </c>
      <c r="M3731" s="5">
        <f>IF(YEAR(I3731)&lt;=2020,"Até 2020",TEXT(YEAR(I3731),"0"))</f>
        <v/>
      </c>
      <c r="N3731" s="5">
        <f>IFERROR(INDEX(DePara!$A:$A,MATCH(TEXT(B3731,"0"),DePara!$D:$D,0)),"(sem categoria)")</f>
        <v/>
      </c>
      <c r="O3731" s="5">
        <f>IF(J3731="","",Parametros!$B$6-J3731)</f>
        <v/>
      </c>
      <c r="P3731" s="5">
        <f>IF(O3731="","",IF(O3731&gt;0,1,0))</f>
        <v/>
      </c>
    </row>
    <row r="3732">
      <c r="A3732" s="5" t="n">
        <v>2111000000</v>
      </c>
      <c r="B3732" s="5" t="inlineStr">
        <is>
          <t>101817</t>
        </is>
      </c>
      <c r="C3732" s="5" t="inlineStr">
        <is>
          <t>FIGWAL TRANSPORTES INTERNACIONAIS L</t>
        </is>
      </c>
      <c r="D3732" s="5" t="inlineStr">
        <is>
          <t>UE</t>
        </is>
      </c>
      <c r="E3732" s="5" t="n">
        <v>200035923</v>
      </c>
      <c r="F3732" s="5" t="inlineStr">
        <is>
          <t>20071</t>
        </is>
      </c>
      <c r="G3732" s="5" t="inlineStr">
        <is>
          <t>BRL</t>
        </is>
      </c>
      <c r="H3732" s="9" t="n">
        <v>-130</v>
      </c>
      <c r="I3732" s="16" t="n">
        <v>44686</v>
      </c>
      <c r="J3732" s="16" t="n">
        <v>44686</v>
      </c>
      <c r="K3732" s="5" t="inlineStr">
        <is>
          <t>25805800</t>
        </is>
      </c>
      <c r="L3732" s="5" t="inlineStr">
        <is>
          <t>400000.210101</t>
        </is>
      </c>
      <c r="M3732" s="5">
        <f>IF(YEAR(I3732)&lt;=2020,"Até 2020",TEXT(YEAR(I3732),"0"))</f>
        <v/>
      </c>
      <c r="N3732" s="5">
        <f>IFERROR(INDEX(DePara!$A:$A,MATCH(TEXT(B3732,"0"),DePara!$D:$D,0)),"(sem categoria)")</f>
        <v/>
      </c>
      <c r="O3732" s="5">
        <f>IF(J3732="","",Parametros!$B$6-J3732)</f>
        <v/>
      </c>
      <c r="P3732" s="5">
        <f>IF(O3732="","",IF(O3732&gt;0,1,0))</f>
        <v/>
      </c>
    </row>
    <row r="3733">
      <c r="A3733" s="5" t="n">
        <v>2111000000</v>
      </c>
      <c r="B3733" s="5" t="inlineStr">
        <is>
          <t>101817</t>
        </is>
      </c>
      <c r="C3733" s="5" t="inlineStr">
        <is>
          <t>FIGWAL TRANSPORTES INTERNACIONAIS L</t>
        </is>
      </c>
      <c r="D3733" s="5" t="inlineStr">
        <is>
          <t>UE</t>
        </is>
      </c>
      <c r="E3733" s="5" t="n">
        <v>200035924</v>
      </c>
      <c r="F3733" s="5" t="inlineStr">
        <is>
          <t>20072</t>
        </is>
      </c>
      <c r="G3733" s="5" t="inlineStr">
        <is>
          <t>BRL</t>
        </is>
      </c>
      <c r="H3733" s="9" t="n">
        <v>-130</v>
      </c>
      <c r="I3733" s="16" t="n">
        <v>44690</v>
      </c>
      <c r="J3733" s="16" t="n">
        <v>44690</v>
      </c>
      <c r="K3733" s="5" t="inlineStr">
        <is>
          <t>25817900</t>
        </is>
      </c>
      <c r="L3733" s="5" t="inlineStr">
        <is>
          <t>400000.210101</t>
        </is>
      </c>
      <c r="M3733" s="5">
        <f>IF(YEAR(I3733)&lt;=2020,"Até 2020",TEXT(YEAR(I3733),"0"))</f>
        <v/>
      </c>
      <c r="N3733" s="5">
        <f>IFERROR(INDEX(DePara!$A:$A,MATCH(TEXT(B3733,"0"),DePara!$D:$D,0)),"(sem categoria)")</f>
        <v/>
      </c>
      <c r="O3733" s="5">
        <f>IF(J3733="","",Parametros!$B$6-J3733)</f>
        <v/>
      </c>
      <c r="P3733" s="5">
        <f>IF(O3733="","",IF(O3733&gt;0,1,0))</f>
        <v/>
      </c>
    </row>
    <row r="3734">
      <c r="A3734" s="5" t="n">
        <v>2111000000</v>
      </c>
      <c r="B3734" s="5" t="inlineStr">
        <is>
          <t>101817</t>
        </is>
      </c>
      <c r="C3734" s="5" t="inlineStr">
        <is>
          <t>FIGWAL TRANSPORTES INTERNACIONAIS L</t>
        </is>
      </c>
      <c r="D3734" s="5" t="inlineStr">
        <is>
          <t>UE</t>
        </is>
      </c>
      <c r="E3734" s="5" t="n">
        <v>200035925</v>
      </c>
      <c r="F3734" s="5" t="inlineStr">
        <is>
          <t>20073</t>
        </is>
      </c>
      <c r="G3734" s="5" t="inlineStr">
        <is>
          <t>BRL</t>
        </is>
      </c>
      <c r="H3734" s="9" t="n">
        <v>-130</v>
      </c>
      <c r="I3734" s="16" t="n">
        <v>44663</v>
      </c>
      <c r="J3734" s="16" t="n">
        <v>44663</v>
      </c>
      <c r="K3734" s="5" t="inlineStr">
        <is>
          <t>25720900</t>
        </is>
      </c>
      <c r="L3734" s="5" t="inlineStr">
        <is>
          <t>400000.210101</t>
        </is>
      </c>
      <c r="M3734" s="5">
        <f>IF(YEAR(I3734)&lt;=2020,"Até 2020",TEXT(YEAR(I3734),"0"))</f>
        <v/>
      </c>
      <c r="N3734" s="5">
        <f>IFERROR(INDEX(DePara!$A:$A,MATCH(TEXT(B3734,"0"),DePara!$D:$D,0)),"(sem categoria)")</f>
        <v/>
      </c>
      <c r="O3734" s="5">
        <f>IF(J3734="","",Parametros!$B$6-J3734)</f>
        <v/>
      </c>
      <c r="P3734" s="5">
        <f>IF(O3734="","",IF(O3734&gt;0,1,0))</f>
        <v/>
      </c>
    </row>
    <row r="3735">
      <c r="A3735" s="5" t="n">
        <v>2111000000</v>
      </c>
      <c r="B3735" s="5" t="inlineStr">
        <is>
          <t>101875</t>
        </is>
      </c>
      <c r="C3735" s="5" t="inlineStr">
        <is>
          <t>DANIEL TRANSPORTES LTDA</t>
        </is>
      </c>
      <c r="D3735" s="5" t="inlineStr">
        <is>
          <t>UE</t>
        </is>
      </c>
      <c r="E3735" s="5" t="n">
        <v>200036187</v>
      </c>
      <c r="F3735" s="5" t="inlineStr">
        <is>
          <t>20335</t>
        </is>
      </c>
      <c r="G3735" s="5" t="inlineStr">
        <is>
          <t>BRL</t>
        </is>
      </c>
      <c r="H3735" s="9" t="n">
        <v>-499</v>
      </c>
      <c r="I3735" s="16" t="n">
        <v>44286</v>
      </c>
      <c r="J3735" s="16" t="n">
        <v>44286</v>
      </c>
      <c r="K3735" s="5" t="inlineStr">
        <is>
          <t>00162200</t>
        </is>
      </c>
      <c r="L3735" s="5" t="inlineStr">
        <is>
          <t>400000.210101</t>
        </is>
      </c>
      <c r="M3735" s="5">
        <f>IF(YEAR(I3735)&lt;=2020,"Até 2020",TEXT(YEAR(I3735),"0"))</f>
        <v/>
      </c>
      <c r="N3735" s="5">
        <f>IFERROR(INDEX(DePara!$A:$A,MATCH(TEXT(B3735,"0"),DePara!$D:$D,0)),"(sem categoria)")</f>
        <v/>
      </c>
      <c r="O3735" s="5">
        <f>IF(J3735="","",Parametros!$B$6-J3735)</f>
        <v/>
      </c>
      <c r="P3735" s="5">
        <f>IF(O3735="","",IF(O3735&gt;0,1,0))</f>
        <v/>
      </c>
    </row>
    <row r="3736">
      <c r="A3736" s="5" t="n">
        <v>2111000000</v>
      </c>
      <c r="B3736" s="5" t="inlineStr">
        <is>
          <t>101875</t>
        </is>
      </c>
      <c r="C3736" s="5" t="inlineStr">
        <is>
          <t>DANIEL TRANSPORTES LTDA</t>
        </is>
      </c>
      <c r="D3736" s="5" t="inlineStr">
        <is>
          <t>UE</t>
        </is>
      </c>
      <c r="E3736" s="5" t="n">
        <v>200036188</v>
      </c>
      <c r="F3736" s="5" t="inlineStr">
        <is>
          <t>20336</t>
        </is>
      </c>
      <c r="G3736" s="5" t="inlineStr">
        <is>
          <t>BRL</t>
        </is>
      </c>
      <c r="H3736" s="9" t="n">
        <v>-372.5</v>
      </c>
      <c r="I3736" s="16" t="n">
        <v>44236</v>
      </c>
      <c r="J3736" s="16" t="n">
        <v>44236</v>
      </c>
      <c r="K3736" s="5" t="inlineStr">
        <is>
          <t>00148100</t>
        </is>
      </c>
      <c r="L3736" s="5" t="inlineStr">
        <is>
          <t>400000.210101</t>
        </is>
      </c>
      <c r="M3736" s="5">
        <f>IF(YEAR(I3736)&lt;=2020,"Até 2020",TEXT(YEAR(I3736),"0"))</f>
        <v/>
      </c>
      <c r="N3736" s="5">
        <f>IFERROR(INDEX(DePara!$A:$A,MATCH(TEXT(B3736,"0"),DePara!$D:$D,0)),"(sem categoria)")</f>
        <v/>
      </c>
      <c r="O3736" s="5">
        <f>IF(J3736="","",Parametros!$B$6-J3736)</f>
        <v/>
      </c>
      <c r="P3736" s="5">
        <f>IF(O3736="","",IF(O3736&gt;0,1,0))</f>
        <v/>
      </c>
    </row>
    <row r="3737">
      <c r="A3737" s="5" t="n">
        <v>2111000000</v>
      </c>
      <c r="B3737" s="5" t="inlineStr">
        <is>
          <t>101875</t>
        </is>
      </c>
      <c r="C3737" s="5" t="inlineStr">
        <is>
          <t>DANIEL TRANSPORTES LTDA</t>
        </is>
      </c>
      <c r="D3737" s="5" t="inlineStr">
        <is>
          <t>UE</t>
        </is>
      </c>
      <c r="E3737" s="5" t="n">
        <v>200036189</v>
      </c>
      <c r="F3737" s="5" t="inlineStr">
        <is>
          <t>20337</t>
        </is>
      </c>
      <c r="G3737" s="5" t="inlineStr">
        <is>
          <t>BRL</t>
        </is>
      </c>
      <c r="H3737" s="9" t="n">
        <v>-110</v>
      </c>
      <c r="I3737" s="16" t="n">
        <v>44250</v>
      </c>
      <c r="J3737" s="16" t="n">
        <v>44250</v>
      </c>
      <c r="K3737" s="5" t="inlineStr">
        <is>
          <t>00153700</t>
        </is>
      </c>
      <c r="L3737" s="5" t="inlineStr">
        <is>
          <t>400000.210101</t>
        </is>
      </c>
      <c r="M3737" s="5">
        <f>IF(YEAR(I3737)&lt;=2020,"Até 2020",TEXT(YEAR(I3737),"0"))</f>
        <v/>
      </c>
      <c r="N3737" s="5">
        <f>IFERROR(INDEX(DePara!$A:$A,MATCH(TEXT(B3737,"0"),DePara!$D:$D,0)),"(sem categoria)")</f>
        <v/>
      </c>
      <c r="O3737" s="5">
        <f>IF(J3737="","",Parametros!$B$6-J3737)</f>
        <v/>
      </c>
      <c r="P3737" s="5">
        <f>IF(O3737="","",IF(O3737&gt;0,1,0))</f>
        <v/>
      </c>
    </row>
    <row r="3738">
      <c r="A3738" s="5" t="n">
        <v>2111000000</v>
      </c>
      <c r="B3738" s="5" t="inlineStr">
        <is>
          <t>101875</t>
        </is>
      </c>
      <c r="C3738" s="5" t="inlineStr">
        <is>
          <t>DANIEL TRANSPORTES LTDA</t>
        </is>
      </c>
      <c r="D3738" s="5" t="inlineStr">
        <is>
          <t>UE</t>
        </is>
      </c>
      <c r="E3738" s="5" t="n">
        <v>200036190</v>
      </c>
      <c r="F3738" s="5" t="inlineStr">
        <is>
          <t>20338</t>
        </is>
      </c>
      <c r="G3738" s="5" t="inlineStr">
        <is>
          <t>BRL</t>
        </is>
      </c>
      <c r="H3738" s="9" t="n">
        <v>-90</v>
      </c>
      <c r="I3738" s="16" t="n">
        <v>44250</v>
      </c>
      <c r="J3738" s="16" t="n">
        <v>44250</v>
      </c>
      <c r="K3738" s="5" t="inlineStr">
        <is>
          <t>00153800</t>
        </is>
      </c>
      <c r="L3738" s="5" t="inlineStr">
        <is>
          <t>400000.210101</t>
        </is>
      </c>
      <c r="M3738" s="5">
        <f>IF(YEAR(I3738)&lt;=2020,"Até 2020",TEXT(YEAR(I3738),"0"))</f>
        <v/>
      </c>
      <c r="N3738" s="5">
        <f>IFERROR(INDEX(DePara!$A:$A,MATCH(TEXT(B3738,"0"),DePara!$D:$D,0)),"(sem categoria)")</f>
        <v/>
      </c>
      <c r="O3738" s="5">
        <f>IF(J3738="","",Parametros!$B$6-J3738)</f>
        <v/>
      </c>
      <c r="P3738" s="5">
        <f>IF(O3738="","",IF(O3738&gt;0,1,0))</f>
        <v/>
      </c>
    </row>
    <row r="3739">
      <c r="A3739" s="5" t="n">
        <v>2111000000</v>
      </c>
      <c r="B3739" s="5" t="inlineStr">
        <is>
          <t>101875</t>
        </is>
      </c>
      <c r="C3739" s="5" t="inlineStr">
        <is>
          <t>DANIEL TRANSPORTES LTDA</t>
        </is>
      </c>
      <c r="D3739" s="5" t="inlineStr">
        <is>
          <t>UE</t>
        </is>
      </c>
      <c r="E3739" s="5" t="n">
        <v>200036191</v>
      </c>
      <c r="F3739" s="5" t="inlineStr">
        <is>
          <t>20339</t>
        </is>
      </c>
      <c r="G3739" s="5" t="inlineStr">
        <is>
          <t>BRL</t>
        </is>
      </c>
      <c r="H3739" s="9" t="n">
        <v>-380</v>
      </c>
      <c r="I3739" s="16" t="n">
        <v>44250</v>
      </c>
      <c r="J3739" s="16" t="n">
        <v>44250</v>
      </c>
      <c r="K3739" s="5" t="inlineStr">
        <is>
          <t>00153900</t>
        </is>
      </c>
      <c r="L3739" s="5" t="inlineStr">
        <is>
          <t>400000.210101</t>
        </is>
      </c>
      <c r="M3739" s="5">
        <f>IF(YEAR(I3739)&lt;=2020,"Até 2020",TEXT(YEAR(I3739),"0"))</f>
        <v/>
      </c>
      <c r="N3739" s="5">
        <f>IFERROR(INDEX(DePara!$A:$A,MATCH(TEXT(B3739,"0"),DePara!$D:$D,0)),"(sem categoria)")</f>
        <v/>
      </c>
      <c r="O3739" s="5">
        <f>IF(J3739="","",Parametros!$B$6-J3739)</f>
        <v/>
      </c>
      <c r="P3739" s="5">
        <f>IF(O3739="","",IF(O3739&gt;0,1,0))</f>
        <v/>
      </c>
    </row>
    <row r="3740">
      <c r="A3740" s="5" t="n">
        <v>2111000000</v>
      </c>
      <c r="B3740" s="5" t="inlineStr">
        <is>
          <t>101875</t>
        </is>
      </c>
      <c r="C3740" s="5" t="inlineStr">
        <is>
          <t>DANIEL TRANSPORTES LTDA</t>
        </is>
      </c>
      <c r="D3740" s="5" t="inlineStr">
        <is>
          <t>UE</t>
        </is>
      </c>
      <c r="E3740" s="5" t="n">
        <v>200036192</v>
      </c>
      <c r="F3740" s="5" t="inlineStr">
        <is>
          <t>20340</t>
        </is>
      </c>
      <c r="G3740" s="5" t="inlineStr">
        <is>
          <t>BRL</t>
        </is>
      </c>
      <c r="H3740" s="9" t="n">
        <v>-240</v>
      </c>
      <c r="I3740" s="16" t="n">
        <v>44222</v>
      </c>
      <c r="J3740" s="16" t="n">
        <v>44222</v>
      </c>
      <c r="K3740" s="5" t="inlineStr">
        <is>
          <t>00143000</t>
        </is>
      </c>
      <c r="L3740" s="5" t="inlineStr">
        <is>
          <t>400000.210101</t>
        </is>
      </c>
      <c r="M3740" s="5">
        <f>IF(YEAR(I3740)&lt;=2020,"Até 2020",TEXT(YEAR(I3740),"0"))</f>
        <v/>
      </c>
      <c r="N3740" s="5">
        <f>IFERROR(INDEX(DePara!$A:$A,MATCH(TEXT(B3740,"0"),DePara!$D:$D,0)),"(sem categoria)")</f>
        <v/>
      </c>
      <c r="O3740" s="5">
        <f>IF(J3740="","",Parametros!$B$6-J3740)</f>
        <v/>
      </c>
      <c r="P3740" s="5">
        <f>IF(O3740="","",IF(O3740&gt;0,1,0))</f>
        <v/>
      </c>
    </row>
    <row r="3741">
      <c r="A3741" s="5" t="n">
        <v>2111000000</v>
      </c>
      <c r="B3741" s="5" t="inlineStr">
        <is>
          <t>101875</t>
        </is>
      </c>
      <c r="C3741" s="5" t="inlineStr">
        <is>
          <t>DANIEL TRANSPORTES LTDA</t>
        </is>
      </c>
      <c r="D3741" s="5" t="inlineStr">
        <is>
          <t>UE</t>
        </is>
      </c>
      <c r="E3741" s="5" t="n">
        <v>200036193</v>
      </c>
      <c r="F3741" s="5" t="inlineStr">
        <is>
          <t>20341</t>
        </is>
      </c>
      <c r="G3741" s="5" t="inlineStr">
        <is>
          <t>BRL</t>
        </is>
      </c>
      <c r="H3741" s="9" t="n">
        <v>-240</v>
      </c>
      <c r="I3741" s="16" t="n">
        <v>44222</v>
      </c>
      <c r="J3741" s="16" t="n">
        <v>44222</v>
      </c>
      <c r="K3741" s="5" t="inlineStr">
        <is>
          <t>00143100</t>
        </is>
      </c>
      <c r="L3741" s="5" t="inlineStr">
        <is>
          <t>400000.210101</t>
        </is>
      </c>
      <c r="M3741" s="5">
        <f>IF(YEAR(I3741)&lt;=2020,"Até 2020",TEXT(YEAR(I3741),"0"))</f>
        <v/>
      </c>
      <c r="N3741" s="5">
        <f>IFERROR(INDEX(DePara!$A:$A,MATCH(TEXT(B3741,"0"),DePara!$D:$D,0)),"(sem categoria)")</f>
        <v/>
      </c>
      <c r="O3741" s="5">
        <f>IF(J3741="","",Parametros!$B$6-J3741)</f>
        <v/>
      </c>
      <c r="P3741" s="5">
        <f>IF(O3741="","",IF(O3741&gt;0,1,0))</f>
        <v/>
      </c>
    </row>
    <row r="3742">
      <c r="A3742" s="5" t="n">
        <v>2111000000</v>
      </c>
      <c r="B3742" s="5" t="inlineStr">
        <is>
          <t>101875</t>
        </is>
      </c>
      <c r="C3742" s="5" t="inlineStr">
        <is>
          <t>DANIEL TRANSPORTES LTDA</t>
        </is>
      </c>
      <c r="D3742" s="5" t="inlineStr">
        <is>
          <t>UE</t>
        </is>
      </c>
      <c r="E3742" s="5" t="n">
        <v>200036196</v>
      </c>
      <c r="F3742" s="5" t="inlineStr">
        <is>
          <t>20344</t>
        </is>
      </c>
      <c r="G3742" s="5" t="inlineStr">
        <is>
          <t>BRL</t>
        </is>
      </c>
      <c r="H3742" s="9" t="n">
        <v>-499</v>
      </c>
      <c r="I3742" s="16" t="n">
        <v>44404</v>
      </c>
      <c r="J3742" s="16" t="n">
        <v>44404</v>
      </c>
      <c r="K3742" s="5" t="inlineStr">
        <is>
          <t>00205200</t>
        </is>
      </c>
      <c r="L3742" s="5" t="inlineStr">
        <is>
          <t>400000.210101</t>
        </is>
      </c>
      <c r="M3742" s="5">
        <f>IF(YEAR(I3742)&lt;=2020,"Até 2020",TEXT(YEAR(I3742),"0"))</f>
        <v/>
      </c>
      <c r="N3742" s="5">
        <f>IFERROR(INDEX(DePara!$A:$A,MATCH(TEXT(B3742,"0"),DePara!$D:$D,0)),"(sem categoria)")</f>
        <v/>
      </c>
      <c r="O3742" s="5">
        <f>IF(J3742="","",Parametros!$B$6-J3742)</f>
        <v/>
      </c>
      <c r="P3742" s="5">
        <f>IF(O3742="","",IF(O3742&gt;0,1,0))</f>
        <v/>
      </c>
    </row>
    <row r="3743">
      <c r="A3743" s="5" t="n">
        <v>2111000000</v>
      </c>
      <c r="B3743" s="5" t="inlineStr">
        <is>
          <t>101875</t>
        </is>
      </c>
      <c r="C3743" s="5" t="inlineStr">
        <is>
          <t>DANIEL TRANSPORTES LTDA</t>
        </is>
      </c>
      <c r="D3743" s="5" t="inlineStr">
        <is>
          <t>UE</t>
        </is>
      </c>
      <c r="E3743" s="5" t="n">
        <v>200036197</v>
      </c>
      <c r="F3743" s="5" t="inlineStr">
        <is>
          <t>20345</t>
        </is>
      </c>
      <c r="G3743" s="5" t="inlineStr">
        <is>
          <t>BRL</t>
        </is>
      </c>
      <c r="H3743" s="9" t="n">
        <v>-372.5</v>
      </c>
      <c r="I3743" s="16" t="n">
        <v>44236</v>
      </c>
      <c r="J3743" s="16" t="n">
        <v>44236</v>
      </c>
      <c r="K3743" s="5" t="inlineStr">
        <is>
          <t>00147900</t>
        </is>
      </c>
      <c r="L3743" s="5" t="inlineStr">
        <is>
          <t>400000.210101</t>
        </is>
      </c>
      <c r="M3743" s="5">
        <f>IF(YEAR(I3743)&lt;=2020,"Até 2020",TEXT(YEAR(I3743),"0"))</f>
        <v/>
      </c>
      <c r="N3743" s="5">
        <f>IFERROR(INDEX(DePara!$A:$A,MATCH(TEXT(B3743,"0"),DePara!$D:$D,0)),"(sem categoria)")</f>
        <v/>
      </c>
      <c r="O3743" s="5">
        <f>IF(J3743="","",Parametros!$B$6-J3743)</f>
        <v/>
      </c>
      <c r="P3743" s="5">
        <f>IF(O3743="","",IF(O3743&gt;0,1,0))</f>
        <v/>
      </c>
    </row>
    <row r="3744">
      <c r="A3744" s="5" t="n">
        <v>2111000000</v>
      </c>
      <c r="B3744" s="5" t="inlineStr">
        <is>
          <t>101875</t>
        </is>
      </c>
      <c r="C3744" s="5" t="inlineStr">
        <is>
          <t>DANIEL TRANSPORTES LTDA</t>
        </is>
      </c>
      <c r="D3744" s="5" t="inlineStr">
        <is>
          <t>UE</t>
        </is>
      </c>
      <c r="E3744" s="5" t="n">
        <v>200036198</v>
      </c>
      <c r="F3744" s="5" t="inlineStr">
        <is>
          <t>20346</t>
        </is>
      </c>
      <c r="G3744" s="5" t="inlineStr">
        <is>
          <t>BRL</t>
        </is>
      </c>
      <c r="H3744" s="9" t="n">
        <v>-124.28</v>
      </c>
      <c r="I3744" s="16" t="n">
        <v>44442</v>
      </c>
      <c r="J3744" s="16" t="n">
        <v>44442</v>
      </c>
      <c r="K3744" s="5" t="inlineStr">
        <is>
          <t>00215500</t>
        </is>
      </c>
      <c r="L3744" s="5" t="inlineStr">
        <is>
          <t>400000.210101</t>
        </is>
      </c>
      <c r="M3744" s="5">
        <f>IF(YEAR(I3744)&lt;=2020,"Até 2020",TEXT(YEAR(I3744),"0"))</f>
        <v/>
      </c>
      <c r="N3744" s="5">
        <f>IFERROR(INDEX(DePara!$A:$A,MATCH(TEXT(B3744,"0"),DePara!$D:$D,0)),"(sem categoria)")</f>
        <v/>
      </c>
      <c r="O3744" s="5">
        <f>IF(J3744="","",Parametros!$B$6-J3744)</f>
        <v/>
      </c>
      <c r="P3744" s="5">
        <f>IF(O3744="","",IF(O3744&gt;0,1,0))</f>
        <v/>
      </c>
    </row>
    <row r="3745">
      <c r="A3745" s="5" t="n">
        <v>2111000000</v>
      </c>
      <c r="B3745" s="5" t="inlineStr">
        <is>
          <t>101875</t>
        </is>
      </c>
      <c r="C3745" s="5" t="inlineStr">
        <is>
          <t>DANIEL TRANSPORTES LTDA</t>
        </is>
      </c>
      <c r="D3745" s="5" t="inlineStr">
        <is>
          <t>UE</t>
        </is>
      </c>
      <c r="E3745" s="5" t="n">
        <v>200036199</v>
      </c>
      <c r="F3745" s="5" t="inlineStr">
        <is>
          <t>20347</t>
        </is>
      </c>
      <c r="G3745" s="5" t="inlineStr">
        <is>
          <t>BRL</t>
        </is>
      </c>
      <c r="H3745" s="9" t="n">
        <v>-108.63</v>
      </c>
      <c r="I3745" s="16" t="n">
        <v>44466</v>
      </c>
      <c r="J3745" s="16" t="n">
        <v>44466</v>
      </c>
      <c r="K3745" s="5" t="inlineStr">
        <is>
          <t>00224900</t>
        </is>
      </c>
      <c r="L3745" s="5" t="inlineStr">
        <is>
          <t>400000.210101</t>
        </is>
      </c>
      <c r="M3745" s="5">
        <f>IF(YEAR(I3745)&lt;=2020,"Até 2020",TEXT(YEAR(I3745),"0"))</f>
        <v/>
      </c>
      <c r="N3745" s="5">
        <f>IFERROR(INDEX(DePara!$A:$A,MATCH(TEXT(B3745,"0"),DePara!$D:$D,0)),"(sem categoria)")</f>
        <v/>
      </c>
      <c r="O3745" s="5">
        <f>IF(J3745="","",Parametros!$B$6-J3745)</f>
        <v/>
      </c>
      <c r="P3745" s="5">
        <f>IF(O3745="","",IF(O3745&gt;0,1,0))</f>
        <v/>
      </c>
    </row>
    <row r="3746">
      <c r="A3746" s="5" t="n">
        <v>2111000000</v>
      </c>
      <c r="B3746" s="5" t="inlineStr">
        <is>
          <t>101875</t>
        </is>
      </c>
      <c r="C3746" s="5" t="inlineStr">
        <is>
          <t>DANIEL TRANSPORTES LTDA</t>
        </is>
      </c>
      <c r="D3746" s="5" t="inlineStr">
        <is>
          <t>UE</t>
        </is>
      </c>
      <c r="E3746" s="5" t="n">
        <v>200036200</v>
      </c>
      <c r="F3746" s="5" t="inlineStr">
        <is>
          <t>20348</t>
        </is>
      </c>
      <c r="G3746" s="5" t="inlineStr">
        <is>
          <t>BRL</t>
        </is>
      </c>
      <c r="H3746" s="9" t="n">
        <v>-400</v>
      </c>
      <c r="I3746" s="16" t="n">
        <v>44456</v>
      </c>
      <c r="J3746" s="16" t="n">
        <v>44456</v>
      </c>
      <c r="K3746" s="5" t="inlineStr">
        <is>
          <t>00220200</t>
        </is>
      </c>
      <c r="L3746" s="5" t="inlineStr">
        <is>
          <t>400000.210101</t>
        </is>
      </c>
      <c r="M3746" s="5">
        <f>IF(YEAR(I3746)&lt;=2020,"Até 2020",TEXT(YEAR(I3746),"0"))</f>
        <v/>
      </c>
      <c r="N3746" s="5">
        <f>IFERROR(INDEX(DePara!$A:$A,MATCH(TEXT(B3746,"0"),DePara!$D:$D,0)),"(sem categoria)")</f>
        <v/>
      </c>
      <c r="O3746" s="5">
        <f>IF(J3746="","",Parametros!$B$6-J3746)</f>
        <v/>
      </c>
      <c r="P3746" s="5">
        <f>IF(O3746="","",IF(O3746&gt;0,1,0))</f>
        <v/>
      </c>
    </row>
    <row r="3747">
      <c r="A3747" s="5" t="n">
        <v>2111000000</v>
      </c>
      <c r="B3747" s="5" t="inlineStr">
        <is>
          <t>101875</t>
        </is>
      </c>
      <c r="C3747" s="5" t="inlineStr">
        <is>
          <t>DANIEL TRANSPORTES LTDA</t>
        </is>
      </c>
      <c r="D3747" s="5" t="inlineStr">
        <is>
          <t>UE</t>
        </is>
      </c>
      <c r="E3747" s="5" t="n">
        <v>200036203</v>
      </c>
      <c r="F3747" s="5" t="inlineStr">
        <is>
          <t>20351</t>
        </is>
      </c>
      <c r="G3747" s="5" t="inlineStr">
        <is>
          <t>BRL</t>
        </is>
      </c>
      <c r="H3747" s="9" t="n">
        <v>-108.63</v>
      </c>
      <c r="I3747" s="16" t="n">
        <v>44466</v>
      </c>
      <c r="J3747" s="16" t="n">
        <v>44466</v>
      </c>
      <c r="K3747" s="5" t="inlineStr">
        <is>
          <t>00224700</t>
        </is>
      </c>
      <c r="L3747" s="5" t="inlineStr">
        <is>
          <t>400000.210101</t>
        </is>
      </c>
      <c r="M3747" s="5">
        <f>IF(YEAR(I3747)&lt;=2020,"Até 2020",TEXT(YEAR(I3747),"0"))</f>
        <v/>
      </c>
      <c r="N3747" s="5">
        <f>IFERROR(INDEX(DePara!$A:$A,MATCH(TEXT(B3747,"0"),DePara!$D:$D,0)),"(sem categoria)")</f>
        <v/>
      </c>
      <c r="O3747" s="5">
        <f>IF(J3747="","",Parametros!$B$6-J3747)</f>
        <v/>
      </c>
      <c r="P3747" s="5">
        <f>IF(O3747="","",IF(O3747&gt;0,1,0))</f>
        <v/>
      </c>
    </row>
    <row r="3748">
      <c r="A3748" s="5" t="n">
        <v>2111000000</v>
      </c>
      <c r="B3748" s="5" t="inlineStr">
        <is>
          <t>101875</t>
        </is>
      </c>
      <c r="C3748" s="5" t="inlineStr">
        <is>
          <t>DANIEL TRANSPORTES LTDA</t>
        </is>
      </c>
      <c r="D3748" s="5" t="inlineStr">
        <is>
          <t>UE</t>
        </is>
      </c>
      <c r="E3748" s="5" t="n">
        <v>200036204</v>
      </c>
      <c r="F3748" s="5" t="inlineStr">
        <is>
          <t>20352</t>
        </is>
      </c>
      <c r="G3748" s="5" t="inlineStr">
        <is>
          <t>BRL</t>
        </is>
      </c>
      <c r="H3748" s="9" t="n">
        <v>-400</v>
      </c>
      <c r="I3748" s="16" t="n">
        <v>44456</v>
      </c>
      <c r="J3748" s="16" t="n">
        <v>44456</v>
      </c>
      <c r="K3748" s="5" t="inlineStr">
        <is>
          <t>00221000</t>
        </is>
      </c>
      <c r="L3748" s="5" t="inlineStr">
        <is>
          <t>400000.210101</t>
        </is>
      </c>
      <c r="M3748" s="5">
        <f>IF(YEAR(I3748)&lt;=2020,"Até 2020",TEXT(YEAR(I3748),"0"))</f>
        <v/>
      </c>
      <c r="N3748" s="5">
        <f>IFERROR(INDEX(DePara!$A:$A,MATCH(TEXT(B3748,"0"),DePara!$D:$D,0)),"(sem categoria)")</f>
        <v/>
      </c>
      <c r="O3748" s="5">
        <f>IF(J3748="","",Parametros!$B$6-J3748)</f>
        <v/>
      </c>
      <c r="P3748" s="5">
        <f>IF(O3748="","",IF(O3748&gt;0,1,0))</f>
        <v/>
      </c>
    </row>
    <row r="3749">
      <c r="A3749" s="5" t="n">
        <v>2111000000</v>
      </c>
      <c r="B3749" s="5" t="inlineStr">
        <is>
          <t>101875</t>
        </is>
      </c>
      <c r="C3749" s="5" t="inlineStr">
        <is>
          <t>DANIEL TRANSPORTES LTDA</t>
        </is>
      </c>
      <c r="D3749" s="5" t="inlineStr">
        <is>
          <t>UE</t>
        </is>
      </c>
      <c r="E3749" s="5" t="n">
        <v>200036205</v>
      </c>
      <c r="F3749" s="5" t="inlineStr">
        <is>
          <t>20353</t>
        </is>
      </c>
      <c r="G3749" s="5" t="inlineStr">
        <is>
          <t>BRL</t>
        </is>
      </c>
      <c r="H3749" s="9" t="n">
        <v>-217.48</v>
      </c>
      <c r="I3749" s="16" t="n">
        <v>44442</v>
      </c>
      <c r="J3749" s="16" t="n">
        <v>44442</v>
      </c>
      <c r="K3749" s="5" t="inlineStr">
        <is>
          <t>00216500</t>
        </is>
      </c>
      <c r="L3749" s="5" t="inlineStr">
        <is>
          <t>400000.210101</t>
        </is>
      </c>
      <c r="M3749" s="5">
        <f>IF(YEAR(I3749)&lt;=2020,"Até 2020",TEXT(YEAR(I3749),"0"))</f>
        <v/>
      </c>
      <c r="N3749" s="5">
        <f>IFERROR(INDEX(DePara!$A:$A,MATCH(TEXT(B3749,"0"),DePara!$D:$D,0)),"(sem categoria)")</f>
        <v/>
      </c>
      <c r="O3749" s="5">
        <f>IF(J3749="","",Parametros!$B$6-J3749)</f>
        <v/>
      </c>
      <c r="P3749" s="5">
        <f>IF(O3749="","",IF(O3749&gt;0,1,0))</f>
        <v/>
      </c>
    </row>
    <row r="3750">
      <c r="A3750" s="5" t="n">
        <v>2111000000</v>
      </c>
      <c r="B3750" s="5" t="inlineStr">
        <is>
          <t>101875</t>
        </is>
      </c>
      <c r="C3750" s="5" t="inlineStr">
        <is>
          <t>DANIEL TRANSPORTES LTDA</t>
        </is>
      </c>
      <c r="D3750" s="5" t="inlineStr">
        <is>
          <t>UE</t>
        </is>
      </c>
      <c r="E3750" s="5" t="n">
        <v>200036206</v>
      </c>
      <c r="F3750" s="5" t="inlineStr">
        <is>
          <t>20354</t>
        </is>
      </c>
      <c r="G3750" s="5" t="inlineStr">
        <is>
          <t>BRL</t>
        </is>
      </c>
      <c r="H3750" s="9" t="n">
        <v>-108.63</v>
      </c>
      <c r="I3750" s="16" t="n">
        <v>44466</v>
      </c>
      <c r="J3750" s="16" t="n">
        <v>44466</v>
      </c>
      <c r="K3750" s="5" t="inlineStr">
        <is>
          <t>00224600</t>
        </is>
      </c>
      <c r="L3750" s="5" t="inlineStr">
        <is>
          <t>400000.210101</t>
        </is>
      </c>
      <c r="M3750" s="5">
        <f>IF(YEAR(I3750)&lt;=2020,"Até 2020",TEXT(YEAR(I3750),"0"))</f>
        <v/>
      </c>
      <c r="N3750" s="5">
        <f>IFERROR(INDEX(DePara!$A:$A,MATCH(TEXT(B3750,"0"),DePara!$D:$D,0)),"(sem categoria)")</f>
        <v/>
      </c>
      <c r="O3750" s="5">
        <f>IF(J3750="","",Parametros!$B$6-J3750)</f>
        <v/>
      </c>
      <c r="P3750" s="5">
        <f>IF(O3750="","",IF(O3750&gt;0,1,0))</f>
        <v/>
      </c>
    </row>
    <row r="3751">
      <c r="A3751" s="5" t="n">
        <v>2111000000</v>
      </c>
      <c r="B3751" s="5" t="inlineStr">
        <is>
          <t>101875</t>
        </is>
      </c>
      <c r="C3751" s="5" t="inlineStr">
        <is>
          <t>DANIEL TRANSPORTES LTDA</t>
        </is>
      </c>
      <c r="D3751" s="5" t="inlineStr">
        <is>
          <t>UE</t>
        </is>
      </c>
      <c r="E3751" s="5" t="n">
        <v>200036207</v>
      </c>
      <c r="F3751" s="5" t="inlineStr">
        <is>
          <t>20355</t>
        </is>
      </c>
      <c r="G3751" s="5" t="inlineStr">
        <is>
          <t>BRL</t>
        </is>
      </c>
      <c r="H3751" s="9" t="n">
        <v>-319</v>
      </c>
      <c r="I3751" s="16" t="n">
        <v>44466</v>
      </c>
      <c r="J3751" s="16" t="n">
        <v>44466</v>
      </c>
      <c r="K3751" s="5" t="inlineStr">
        <is>
          <t>00225300</t>
        </is>
      </c>
      <c r="L3751" s="5" t="inlineStr">
        <is>
          <t>400000.210101</t>
        </is>
      </c>
      <c r="M3751" s="5">
        <f>IF(YEAR(I3751)&lt;=2020,"Até 2020",TEXT(YEAR(I3751),"0"))</f>
        <v/>
      </c>
      <c r="N3751" s="5">
        <f>IFERROR(INDEX(DePara!$A:$A,MATCH(TEXT(B3751,"0"),DePara!$D:$D,0)),"(sem categoria)")</f>
        <v/>
      </c>
      <c r="O3751" s="5">
        <f>IF(J3751="","",Parametros!$B$6-J3751)</f>
        <v/>
      </c>
      <c r="P3751" s="5">
        <f>IF(O3751="","",IF(O3751&gt;0,1,0))</f>
        <v/>
      </c>
    </row>
    <row r="3752">
      <c r="A3752" s="5" t="n">
        <v>2111000000</v>
      </c>
      <c r="B3752" s="5" t="inlineStr">
        <is>
          <t>101875</t>
        </is>
      </c>
      <c r="C3752" s="5" t="inlineStr">
        <is>
          <t>DANIEL TRANSPORTES LTDA</t>
        </is>
      </c>
      <c r="D3752" s="5" t="inlineStr">
        <is>
          <t>UE</t>
        </is>
      </c>
      <c r="E3752" s="5" t="n">
        <v>200036208</v>
      </c>
      <c r="F3752" s="5" t="inlineStr">
        <is>
          <t>20356</t>
        </is>
      </c>
      <c r="G3752" s="5" t="inlineStr">
        <is>
          <t>BRL</t>
        </is>
      </c>
      <c r="H3752" s="9" t="n">
        <v>-217.48</v>
      </c>
      <c r="I3752" s="16" t="n">
        <v>44442</v>
      </c>
      <c r="J3752" s="16" t="n">
        <v>44442</v>
      </c>
      <c r="K3752" s="5" t="inlineStr">
        <is>
          <t>00216600</t>
        </is>
      </c>
      <c r="L3752" s="5" t="inlineStr">
        <is>
          <t>400000.210101</t>
        </is>
      </c>
      <c r="M3752" s="5">
        <f>IF(YEAR(I3752)&lt;=2020,"Até 2020",TEXT(YEAR(I3752),"0"))</f>
        <v/>
      </c>
      <c r="N3752" s="5">
        <f>IFERROR(INDEX(DePara!$A:$A,MATCH(TEXT(B3752,"0"),DePara!$D:$D,0)),"(sem categoria)")</f>
        <v/>
      </c>
      <c r="O3752" s="5">
        <f>IF(J3752="","",Parametros!$B$6-J3752)</f>
        <v/>
      </c>
      <c r="P3752" s="5">
        <f>IF(O3752="","",IF(O3752&gt;0,1,0))</f>
        <v/>
      </c>
    </row>
    <row r="3753">
      <c r="A3753" s="5" t="n">
        <v>2111000000</v>
      </c>
      <c r="B3753" s="5" t="inlineStr">
        <is>
          <t>101875</t>
        </is>
      </c>
      <c r="C3753" s="5" t="inlineStr">
        <is>
          <t>DANIEL TRANSPORTES LTDA</t>
        </is>
      </c>
      <c r="D3753" s="5" t="inlineStr">
        <is>
          <t>UE</t>
        </is>
      </c>
      <c r="E3753" s="5" t="n">
        <v>200036209</v>
      </c>
      <c r="F3753" s="5" t="inlineStr">
        <is>
          <t>20357</t>
        </is>
      </c>
      <c r="G3753" s="5" t="inlineStr">
        <is>
          <t>BRL</t>
        </is>
      </c>
      <c r="H3753" s="9" t="n">
        <v>-217.48</v>
      </c>
      <c r="I3753" s="16" t="n">
        <v>44442</v>
      </c>
      <c r="J3753" s="16" t="n">
        <v>44442</v>
      </c>
      <c r="K3753" s="5" t="inlineStr">
        <is>
          <t>00216700</t>
        </is>
      </c>
      <c r="L3753" s="5" t="inlineStr">
        <is>
          <t>400000.210101</t>
        </is>
      </c>
      <c r="M3753" s="5">
        <f>IF(YEAR(I3753)&lt;=2020,"Até 2020",TEXT(YEAR(I3753),"0"))</f>
        <v/>
      </c>
      <c r="N3753" s="5">
        <f>IFERROR(INDEX(DePara!$A:$A,MATCH(TEXT(B3753,"0"),DePara!$D:$D,0)),"(sem categoria)")</f>
        <v/>
      </c>
      <c r="O3753" s="5">
        <f>IF(J3753="","",Parametros!$B$6-J3753)</f>
        <v/>
      </c>
      <c r="P3753" s="5">
        <f>IF(O3753="","",IF(O3753&gt;0,1,0))</f>
        <v/>
      </c>
    </row>
    <row r="3754">
      <c r="A3754" s="5" t="n">
        <v>2111000000</v>
      </c>
      <c r="B3754" s="5" t="inlineStr">
        <is>
          <t>101875</t>
        </is>
      </c>
      <c r="C3754" s="5" t="inlineStr">
        <is>
          <t>DANIEL TRANSPORTES LTDA</t>
        </is>
      </c>
      <c r="D3754" s="5" t="inlineStr">
        <is>
          <t>UE</t>
        </is>
      </c>
      <c r="E3754" s="5" t="n">
        <v>200036210</v>
      </c>
      <c r="F3754" s="5" t="inlineStr">
        <is>
          <t>20358</t>
        </is>
      </c>
      <c r="G3754" s="5" t="inlineStr">
        <is>
          <t>BRL</t>
        </is>
      </c>
      <c r="H3754" s="9" t="n">
        <v>-319</v>
      </c>
      <c r="I3754" s="16" t="n">
        <v>44442</v>
      </c>
      <c r="J3754" s="16" t="n">
        <v>44442</v>
      </c>
      <c r="K3754" s="5" t="inlineStr">
        <is>
          <t>00216800</t>
        </is>
      </c>
      <c r="L3754" s="5" t="inlineStr">
        <is>
          <t>400000.210101</t>
        </is>
      </c>
      <c r="M3754" s="5">
        <f>IF(YEAR(I3754)&lt;=2020,"Até 2020",TEXT(YEAR(I3754),"0"))</f>
        <v/>
      </c>
      <c r="N3754" s="5">
        <f>IFERROR(INDEX(DePara!$A:$A,MATCH(TEXT(B3754,"0"),DePara!$D:$D,0)),"(sem categoria)")</f>
        <v/>
      </c>
      <c r="O3754" s="5">
        <f>IF(J3754="","",Parametros!$B$6-J3754)</f>
        <v/>
      </c>
      <c r="P3754" s="5">
        <f>IF(O3754="","",IF(O3754&gt;0,1,0))</f>
        <v/>
      </c>
    </row>
    <row r="3755">
      <c r="A3755" s="5" t="n">
        <v>2111000000</v>
      </c>
      <c r="B3755" s="5" t="inlineStr">
        <is>
          <t>101875</t>
        </is>
      </c>
      <c r="C3755" s="5" t="inlineStr">
        <is>
          <t>DANIEL TRANSPORTES LTDA</t>
        </is>
      </c>
      <c r="D3755" s="5" t="inlineStr">
        <is>
          <t>UE</t>
        </is>
      </c>
      <c r="E3755" s="5" t="n">
        <v>200036211</v>
      </c>
      <c r="F3755" s="5" t="inlineStr">
        <is>
          <t>20359</t>
        </is>
      </c>
      <c r="G3755" s="5" t="inlineStr">
        <is>
          <t>BRL</t>
        </is>
      </c>
      <c r="H3755" s="9" t="n">
        <v>-400</v>
      </c>
      <c r="I3755" s="16" t="n">
        <v>44456</v>
      </c>
      <c r="J3755" s="16" t="n">
        <v>44456</v>
      </c>
      <c r="K3755" s="5" t="inlineStr">
        <is>
          <t>00219800</t>
        </is>
      </c>
      <c r="L3755" s="5" t="inlineStr">
        <is>
          <t>400000.210101</t>
        </is>
      </c>
      <c r="M3755" s="5">
        <f>IF(YEAR(I3755)&lt;=2020,"Até 2020",TEXT(YEAR(I3755),"0"))</f>
        <v/>
      </c>
      <c r="N3755" s="5">
        <f>IFERROR(INDEX(DePara!$A:$A,MATCH(TEXT(B3755,"0"),DePara!$D:$D,0)),"(sem categoria)")</f>
        <v/>
      </c>
      <c r="O3755" s="5">
        <f>IF(J3755="","",Parametros!$B$6-J3755)</f>
        <v/>
      </c>
      <c r="P3755" s="5">
        <f>IF(O3755="","",IF(O3755&gt;0,1,0))</f>
        <v/>
      </c>
    </row>
    <row r="3756">
      <c r="A3756" s="5" t="n">
        <v>2111000000</v>
      </c>
      <c r="B3756" s="5" t="inlineStr">
        <is>
          <t>101875</t>
        </is>
      </c>
      <c r="C3756" s="5" t="inlineStr">
        <is>
          <t>DANIEL TRANSPORTES LTDA</t>
        </is>
      </c>
      <c r="D3756" s="5" t="inlineStr">
        <is>
          <t>UE</t>
        </is>
      </c>
      <c r="E3756" s="5" t="n">
        <v>200036212</v>
      </c>
      <c r="F3756" s="5" t="inlineStr">
        <is>
          <t>20360</t>
        </is>
      </c>
      <c r="G3756" s="5" t="inlineStr">
        <is>
          <t>BRL</t>
        </is>
      </c>
      <c r="H3756" s="9" t="n">
        <v>-400</v>
      </c>
      <c r="I3756" s="16" t="n">
        <v>44456</v>
      </c>
      <c r="J3756" s="16" t="n">
        <v>44456</v>
      </c>
      <c r="K3756" s="5" t="inlineStr">
        <is>
          <t>00220500</t>
        </is>
      </c>
      <c r="L3756" s="5" t="inlineStr">
        <is>
          <t>400000.210101</t>
        </is>
      </c>
      <c r="M3756" s="5">
        <f>IF(YEAR(I3756)&lt;=2020,"Até 2020",TEXT(YEAR(I3756),"0"))</f>
        <v/>
      </c>
      <c r="N3756" s="5">
        <f>IFERROR(INDEX(DePara!$A:$A,MATCH(TEXT(B3756,"0"),DePara!$D:$D,0)),"(sem categoria)")</f>
        <v/>
      </c>
      <c r="O3756" s="5">
        <f>IF(J3756="","",Parametros!$B$6-J3756)</f>
        <v/>
      </c>
      <c r="P3756" s="5">
        <f>IF(O3756="","",IF(O3756&gt;0,1,0))</f>
        <v/>
      </c>
    </row>
    <row r="3757">
      <c r="A3757" s="5" t="n">
        <v>2111000000</v>
      </c>
      <c r="B3757" s="5" t="inlineStr">
        <is>
          <t>101875</t>
        </is>
      </c>
      <c r="C3757" s="5" t="inlineStr">
        <is>
          <t>DANIEL TRANSPORTES LTDA</t>
        </is>
      </c>
      <c r="D3757" s="5" t="inlineStr">
        <is>
          <t>UE</t>
        </is>
      </c>
      <c r="E3757" s="5" t="n">
        <v>200036215</v>
      </c>
      <c r="F3757" s="5" t="inlineStr">
        <is>
          <t>20363</t>
        </is>
      </c>
      <c r="G3757" s="5" t="inlineStr">
        <is>
          <t>BRL</t>
        </is>
      </c>
      <c r="H3757" s="9" t="n">
        <v>-400</v>
      </c>
      <c r="I3757" s="16" t="n">
        <v>44476</v>
      </c>
      <c r="J3757" s="16" t="n">
        <v>44476</v>
      </c>
      <c r="K3757" s="5" t="inlineStr">
        <is>
          <t>22910000</t>
        </is>
      </c>
      <c r="L3757" s="5" t="inlineStr">
        <is>
          <t>400000.210101</t>
        </is>
      </c>
      <c r="M3757" s="5">
        <f>IF(YEAR(I3757)&lt;=2020,"Até 2020",TEXT(YEAR(I3757),"0"))</f>
        <v/>
      </c>
      <c r="N3757" s="5">
        <f>IFERROR(INDEX(DePara!$A:$A,MATCH(TEXT(B3757,"0"),DePara!$D:$D,0)),"(sem categoria)")</f>
        <v/>
      </c>
      <c r="O3757" s="5">
        <f>IF(J3757="","",Parametros!$B$6-J3757)</f>
        <v/>
      </c>
      <c r="P3757" s="5">
        <f>IF(O3757="","",IF(O3757&gt;0,1,0))</f>
        <v/>
      </c>
    </row>
    <row r="3758">
      <c r="A3758" s="5" t="n">
        <v>2111000000</v>
      </c>
      <c r="B3758" s="5" t="inlineStr">
        <is>
          <t>101875</t>
        </is>
      </c>
      <c r="C3758" s="5" t="inlineStr">
        <is>
          <t>DANIEL TRANSPORTES LTDA</t>
        </is>
      </c>
      <c r="D3758" s="5" t="inlineStr">
        <is>
          <t>UE</t>
        </is>
      </c>
      <c r="E3758" s="5" t="n">
        <v>200036217</v>
      </c>
      <c r="F3758" s="5" t="inlineStr">
        <is>
          <t>20365</t>
        </is>
      </c>
      <c r="G3758" s="5" t="inlineStr">
        <is>
          <t>BRL</t>
        </is>
      </c>
      <c r="H3758" s="9" t="n">
        <v>-400</v>
      </c>
      <c r="I3758" s="16" t="n">
        <v>44391</v>
      </c>
      <c r="J3758" s="16" t="n">
        <v>44391</v>
      </c>
      <c r="K3758" s="5" t="inlineStr">
        <is>
          <t>00200100</t>
        </is>
      </c>
      <c r="L3758" s="5" t="inlineStr">
        <is>
          <t>400000.210101</t>
        </is>
      </c>
      <c r="M3758" s="5">
        <f>IF(YEAR(I3758)&lt;=2020,"Até 2020",TEXT(YEAR(I3758),"0"))</f>
        <v/>
      </c>
      <c r="N3758" s="5">
        <f>IFERROR(INDEX(DePara!$A:$A,MATCH(TEXT(B3758,"0"),DePara!$D:$D,0)),"(sem categoria)")</f>
        <v/>
      </c>
      <c r="O3758" s="5">
        <f>IF(J3758="","",Parametros!$B$6-J3758)</f>
        <v/>
      </c>
      <c r="P3758" s="5">
        <f>IF(O3758="","",IF(O3758&gt;0,1,0))</f>
        <v/>
      </c>
    </row>
    <row r="3759">
      <c r="A3759" s="5" t="n">
        <v>2111000000</v>
      </c>
      <c r="B3759" s="5" t="inlineStr">
        <is>
          <t>101875</t>
        </is>
      </c>
      <c r="C3759" s="5" t="inlineStr">
        <is>
          <t>DANIEL TRANSPORTES LTDA</t>
        </is>
      </c>
      <c r="D3759" s="5" t="inlineStr">
        <is>
          <t>UE</t>
        </is>
      </c>
      <c r="E3759" s="5" t="n">
        <v>200036218</v>
      </c>
      <c r="F3759" s="5" t="inlineStr">
        <is>
          <t>20366</t>
        </is>
      </c>
      <c r="G3759" s="5" t="inlineStr">
        <is>
          <t>BRL</t>
        </is>
      </c>
      <c r="H3759" s="9" t="n">
        <v>-38.45</v>
      </c>
      <c r="I3759" s="16" t="n">
        <v>44370</v>
      </c>
      <c r="J3759" s="16" t="n">
        <v>44370</v>
      </c>
      <c r="K3759" s="5" t="inlineStr">
        <is>
          <t>00193300</t>
        </is>
      </c>
      <c r="L3759" s="5" t="inlineStr">
        <is>
          <t>400000.210101</t>
        </is>
      </c>
      <c r="M3759" s="5">
        <f>IF(YEAR(I3759)&lt;=2020,"Até 2020",TEXT(YEAR(I3759),"0"))</f>
        <v/>
      </c>
      <c r="N3759" s="5">
        <f>IFERROR(INDEX(DePara!$A:$A,MATCH(TEXT(B3759,"0"),DePara!$D:$D,0)),"(sem categoria)")</f>
        <v/>
      </c>
      <c r="O3759" s="5">
        <f>IF(J3759="","",Parametros!$B$6-J3759)</f>
        <v/>
      </c>
      <c r="P3759" s="5">
        <f>IF(O3759="","",IF(O3759&gt;0,1,0))</f>
        <v/>
      </c>
    </row>
    <row r="3760">
      <c r="A3760" s="5" t="n">
        <v>2111000000</v>
      </c>
      <c r="B3760" s="5" t="inlineStr">
        <is>
          <t>101875</t>
        </is>
      </c>
      <c r="C3760" s="5" t="inlineStr">
        <is>
          <t>DANIEL TRANSPORTES LTDA</t>
        </is>
      </c>
      <c r="D3760" s="5" t="inlineStr">
        <is>
          <t>UE</t>
        </is>
      </c>
      <c r="E3760" s="5" t="n">
        <v>200036219</v>
      </c>
      <c r="F3760" s="5" t="inlineStr">
        <is>
          <t>20367</t>
        </is>
      </c>
      <c r="G3760" s="5" t="inlineStr">
        <is>
          <t>BRL</t>
        </is>
      </c>
      <c r="H3760" s="9" t="n">
        <v>-38.45</v>
      </c>
      <c r="I3760" s="16" t="n">
        <v>44370</v>
      </c>
      <c r="J3760" s="16" t="n">
        <v>44370</v>
      </c>
      <c r="K3760" s="5" t="inlineStr">
        <is>
          <t>00192700</t>
        </is>
      </c>
      <c r="L3760" s="5" t="inlineStr">
        <is>
          <t>400000.210101</t>
        </is>
      </c>
      <c r="M3760" s="5">
        <f>IF(YEAR(I3760)&lt;=2020,"Até 2020",TEXT(YEAR(I3760),"0"))</f>
        <v/>
      </c>
      <c r="N3760" s="5">
        <f>IFERROR(INDEX(DePara!$A:$A,MATCH(TEXT(B3760,"0"),DePara!$D:$D,0)),"(sem categoria)")</f>
        <v/>
      </c>
      <c r="O3760" s="5">
        <f>IF(J3760="","",Parametros!$B$6-J3760)</f>
        <v/>
      </c>
      <c r="P3760" s="5">
        <f>IF(O3760="","",IF(O3760&gt;0,1,0))</f>
        <v/>
      </c>
    </row>
    <row r="3761">
      <c r="A3761" s="5" t="n">
        <v>2111000000</v>
      </c>
      <c r="B3761" s="5" t="inlineStr">
        <is>
          <t>101875</t>
        </is>
      </c>
      <c r="C3761" s="5" t="inlineStr">
        <is>
          <t>DANIEL TRANSPORTES LTDA</t>
        </is>
      </c>
      <c r="D3761" s="5" t="inlineStr">
        <is>
          <t>UE</t>
        </is>
      </c>
      <c r="E3761" s="5" t="n">
        <v>200036220</v>
      </c>
      <c r="F3761" s="5" t="inlineStr">
        <is>
          <t>20368</t>
        </is>
      </c>
      <c r="G3761" s="5" t="inlineStr">
        <is>
          <t>BRL</t>
        </is>
      </c>
      <c r="H3761" s="9" t="n">
        <v>-400</v>
      </c>
      <c r="I3761" s="16" t="n">
        <v>44588</v>
      </c>
      <c r="J3761" s="16" t="n">
        <v>44588</v>
      </c>
      <c r="K3761" s="5" t="inlineStr">
        <is>
          <t>00270400</t>
        </is>
      </c>
      <c r="L3761" s="5" t="inlineStr">
        <is>
          <t>400000.210101</t>
        </is>
      </c>
      <c r="M3761" s="5">
        <f>IF(YEAR(I3761)&lt;=2020,"Até 2020",TEXT(YEAR(I3761),"0"))</f>
        <v/>
      </c>
      <c r="N3761" s="5">
        <f>IFERROR(INDEX(DePara!$A:$A,MATCH(TEXT(B3761,"0"),DePara!$D:$D,0)),"(sem categoria)")</f>
        <v/>
      </c>
      <c r="O3761" s="5">
        <f>IF(J3761="","",Parametros!$B$6-J3761)</f>
        <v/>
      </c>
      <c r="P3761" s="5">
        <f>IF(O3761="","",IF(O3761&gt;0,1,0))</f>
        <v/>
      </c>
    </row>
    <row r="3762">
      <c r="A3762" s="5" t="n">
        <v>2111000000</v>
      </c>
      <c r="B3762" s="5" t="inlineStr">
        <is>
          <t>101875</t>
        </is>
      </c>
      <c r="C3762" s="5" t="inlineStr">
        <is>
          <t>DANIEL TRANSPORTES LTDA</t>
        </is>
      </c>
      <c r="D3762" s="5" t="inlineStr">
        <is>
          <t>UE</t>
        </is>
      </c>
      <c r="E3762" s="5" t="n">
        <v>200036221</v>
      </c>
      <c r="F3762" s="5" t="inlineStr">
        <is>
          <t>20369</t>
        </is>
      </c>
      <c r="G3762" s="5" t="inlineStr">
        <is>
          <t>BRL</t>
        </is>
      </c>
      <c r="H3762" s="9" t="n">
        <v>-96.66</v>
      </c>
      <c r="I3762" s="16" t="n">
        <v>44531</v>
      </c>
      <c r="J3762" s="16" t="n">
        <v>44531</v>
      </c>
      <c r="K3762" s="5" t="inlineStr">
        <is>
          <t>00251300</t>
        </is>
      </c>
      <c r="L3762" s="5" t="inlineStr">
        <is>
          <t>400000.210101</t>
        </is>
      </c>
      <c r="M3762" s="5">
        <f>IF(YEAR(I3762)&lt;=2020,"Até 2020",TEXT(YEAR(I3762),"0"))</f>
        <v/>
      </c>
      <c r="N3762" s="5">
        <f>IFERROR(INDEX(DePara!$A:$A,MATCH(TEXT(B3762,"0"),DePara!$D:$D,0)),"(sem categoria)")</f>
        <v/>
      </c>
      <c r="O3762" s="5">
        <f>IF(J3762="","",Parametros!$B$6-J3762)</f>
        <v/>
      </c>
      <c r="P3762" s="5">
        <f>IF(O3762="","",IF(O3762&gt;0,1,0))</f>
        <v/>
      </c>
    </row>
    <row r="3763">
      <c r="A3763" s="5" t="n">
        <v>2111000000</v>
      </c>
      <c r="B3763" s="5" t="inlineStr">
        <is>
          <t>101875</t>
        </is>
      </c>
      <c r="C3763" s="5" t="inlineStr">
        <is>
          <t>DANIEL TRANSPORTES LTDA</t>
        </is>
      </c>
      <c r="D3763" s="5" t="inlineStr">
        <is>
          <t>UE</t>
        </is>
      </c>
      <c r="E3763" s="5" t="n">
        <v>200036222</v>
      </c>
      <c r="F3763" s="5" t="inlineStr">
        <is>
          <t>20370</t>
        </is>
      </c>
      <c r="G3763" s="5" t="inlineStr">
        <is>
          <t>BRL</t>
        </is>
      </c>
      <c r="H3763" s="9" t="n">
        <v>-240</v>
      </c>
      <c r="I3763" s="16" t="n">
        <v>44614</v>
      </c>
      <c r="J3763" s="16" t="n">
        <v>44614</v>
      </c>
      <c r="K3763" s="5" t="inlineStr">
        <is>
          <t>00280700</t>
        </is>
      </c>
      <c r="L3763" s="5" t="inlineStr">
        <is>
          <t>400000.210101</t>
        </is>
      </c>
      <c r="M3763" s="5">
        <f>IF(YEAR(I3763)&lt;=2020,"Até 2020",TEXT(YEAR(I3763),"0"))</f>
        <v/>
      </c>
      <c r="N3763" s="5">
        <f>IFERROR(INDEX(DePara!$A:$A,MATCH(TEXT(B3763,"0"),DePara!$D:$D,0)),"(sem categoria)")</f>
        <v/>
      </c>
      <c r="O3763" s="5">
        <f>IF(J3763="","",Parametros!$B$6-J3763)</f>
        <v/>
      </c>
      <c r="P3763" s="5">
        <f>IF(O3763="","",IF(O3763&gt;0,1,0))</f>
        <v/>
      </c>
    </row>
    <row r="3764">
      <c r="A3764" s="5" t="n">
        <v>2111000000</v>
      </c>
      <c r="B3764" s="5" t="inlineStr">
        <is>
          <t>101875</t>
        </is>
      </c>
      <c r="C3764" s="5" t="inlineStr">
        <is>
          <t>DANIEL TRANSPORTES LTDA</t>
        </is>
      </c>
      <c r="D3764" s="5" t="inlineStr">
        <is>
          <t>UE</t>
        </is>
      </c>
      <c r="E3764" s="5" t="n">
        <v>200036223</v>
      </c>
      <c r="F3764" s="5" t="inlineStr">
        <is>
          <t>20371</t>
        </is>
      </c>
      <c r="G3764" s="5" t="inlineStr">
        <is>
          <t>BRL</t>
        </is>
      </c>
      <c r="H3764" s="9" t="n">
        <v>-96.66</v>
      </c>
      <c r="I3764" s="16" t="n">
        <v>44531</v>
      </c>
      <c r="J3764" s="16" t="n">
        <v>44531</v>
      </c>
      <c r="K3764" s="5" t="inlineStr">
        <is>
          <t>00250800</t>
        </is>
      </c>
      <c r="L3764" s="5" t="inlineStr">
        <is>
          <t>400000.210101</t>
        </is>
      </c>
      <c r="M3764" s="5">
        <f>IF(YEAR(I3764)&lt;=2020,"Até 2020",TEXT(YEAR(I3764),"0"))</f>
        <v/>
      </c>
      <c r="N3764" s="5">
        <f>IFERROR(INDEX(DePara!$A:$A,MATCH(TEXT(B3764,"0"),DePara!$D:$D,0)),"(sem categoria)")</f>
        <v/>
      </c>
      <c r="O3764" s="5">
        <f>IF(J3764="","",Parametros!$B$6-J3764)</f>
        <v/>
      </c>
      <c r="P3764" s="5">
        <f>IF(O3764="","",IF(O3764&gt;0,1,0))</f>
        <v/>
      </c>
    </row>
    <row r="3765">
      <c r="A3765" s="5" t="n">
        <v>2111000000</v>
      </c>
      <c r="B3765" s="5" t="inlineStr">
        <is>
          <t>101875</t>
        </is>
      </c>
      <c r="C3765" s="5" t="inlineStr">
        <is>
          <t>DANIEL TRANSPORTES LTDA</t>
        </is>
      </c>
      <c r="D3765" s="5" t="inlineStr">
        <is>
          <t>UE</t>
        </is>
      </c>
      <c r="E3765" s="5" t="n">
        <v>200036224</v>
      </c>
      <c r="F3765" s="5" t="inlineStr">
        <is>
          <t>20372</t>
        </is>
      </c>
      <c r="G3765" s="5" t="inlineStr">
        <is>
          <t>BRL</t>
        </is>
      </c>
      <c r="H3765" s="9" t="n">
        <v>-320</v>
      </c>
      <c r="I3765" s="16" t="n">
        <v>44587</v>
      </c>
      <c r="J3765" s="16" t="n">
        <v>44587</v>
      </c>
      <c r="K3765" s="5" t="inlineStr">
        <is>
          <t>00143500</t>
        </is>
      </c>
      <c r="L3765" s="5" t="inlineStr">
        <is>
          <t>400000.210101</t>
        </is>
      </c>
      <c r="M3765" s="5">
        <f>IF(YEAR(I3765)&lt;=2020,"Até 2020",TEXT(YEAR(I3765),"0"))</f>
        <v/>
      </c>
      <c r="N3765" s="5">
        <f>IFERROR(INDEX(DePara!$A:$A,MATCH(TEXT(B3765,"0"),DePara!$D:$D,0)),"(sem categoria)")</f>
        <v/>
      </c>
      <c r="O3765" s="5">
        <f>IF(J3765="","",Parametros!$B$6-J3765)</f>
        <v/>
      </c>
      <c r="P3765" s="5">
        <f>IF(O3765="","",IF(O3765&gt;0,1,0))</f>
        <v/>
      </c>
    </row>
    <row r="3766">
      <c r="A3766" s="5" t="n">
        <v>2111000000</v>
      </c>
      <c r="B3766" s="5" t="inlineStr">
        <is>
          <t>101875</t>
        </is>
      </c>
      <c r="C3766" s="5" t="inlineStr">
        <is>
          <t>DANIEL TRANSPORTES LTDA</t>
        </is>
      </c>
      <c r="D3766" s="5" t="inlineStr">
        <is>
          <t>UE</t>
        </is>
      </c>
      <c r="E3766" s="5" t="n">
        <v>200036225</v>
      </c>
      <c r="F3766" s="5" t="inlineStr">
        <is>
          <t>20373</t>
        </is>
      </c>
      <c r="G3766" s="5" t="inlineStr">
        <is>
          <t>BRL</t>
        </is>
      </c>
      <c r="H3766" s="9" t="n">
        <v>-319</v>
      </c>
      <c r="I3766" s="16" t="n">
        <v>44531</v>
      </c>
      <c r="J3766" s="16" t="n">
        <v>44531</v>
      </c>
      <c r="K3766" s="5" t="inlineStr">
        <is>
          <t>00251600</t>
        </is>
      </c>
      <c r="L3766" s="5" t="inlineStr">
        <is>
          <t>400000.210101</t>
        </is>
      </c>
      <c r="M3766" s="5">
        <f>IF(YEAR(I3766)&lt;=2020,"Até 2020",TEXT(YEAR(I3766),"0"))</f>
        <v/>
      </c>
      <c r="N3766" s="5">
        <f>IFERROR(INDEX(DePara!$A:$A,MATCH(TEXT(B3766,"0"),DePara!$D:$D,0)),"(sem categoria)")</f>
        <v/>
      </c>
      <c r="O3766" s="5">
        <f>IF(J3766="","",Parametros!$B$6-J3766)</f>
        <v/>
      </c>
      <c r="P3766" s="5">
        <f>IF(O3766="","",IF(O3766&gt;0,1,0))</f>
        <v/>
      </c>
    </row>
    <row r="3767">
      <c r="A3767" s="5" t="n">
        <v>2111000000</v>
      </c>
      <c r="B3767" s="5" t="inlineStr">
        <is>
          <t>101950</t>
        </is>
      </c>
      <c r="C3767" s="5" t="inlineStr">
        <is>
          <t>SHELL BRASIL PETROLEO LTDA</t>
        </is>
      </c>
      <c r="D3767" s="5" t="inlineStr">
        <is>
          <t>UE</t>
        </is>
      </c>
      <c r="E3767" s="5" t="n">
        <v>200036310</v>
      </c>
      <c r="F3767" s="5" t="inlineStr">
        <is>
          <t>20458</t>
        </is>
      </c>
      <c r="G3767" s="5" t="inlineStr">
        <is>
          <t>BRL</t>
        </is>
      </c>
      <c r="H3767" s="9" t="n">
        <v>-1344.41</v>
      </c>
      <c r="I3767" s="16" t="n">
        <v>44610</v>
      </c>
      <c r="J3767" s="16" t="n">
        <v>44610</v>
      </c>
      <c r="K3767" s="5" t="inlineStr">
        <is>
          <t>000021570001</t>
        </is>
      </c>
      <c r="L3767" s="5" t="inlineStr">
        <is>
          <t>400000.210101</t>
        </is>
      </c>
      <c r="M3767" s="5">
        <f>IF(YEAR(I3767)&lt;=2020,"Até 2020",TEXT(YEAR(I3767),"0"))</f>
        <v/>
      </c>
      <c r="N3767" s="5">
        <f>IFERROR(INDEX(DePara!$A:$A,MATCH(TEXT(B3767,"0"),DePara!$D:$D,0)),"(sem categoria)")</f>
        <v/>
      </c>
      <c r="O3767" s="5">
        <f>IF(J3767="","",Parametros!$B$6-J3767)</f>
        <v/>
      </c>
      <c r="P3767" s="5">
        <f>IF(O3767="","",IF(O3767&gt;0,1,0))</f>
        <v/>
      </c>
    </row>
    <row r="3768">
      <c r="A3768" s="5" t="n">
        <v>2111000000</v>
      </c>
      <c r="B3768" s="5" t="inlineStr">
        <is>
          <t>102022</t>
        </is>
      </c>
      <c r="C3768" s="5" t="inlineStr">
        <is>
          <t>OBJECTA CONSULTORIA LTDA</t>
        </is>
      </c>
      <c r="D3768" s="5" t="inlineStr">
        <is>
          <t>UE</t>
        </is>
      </c>
      <c r="E3768" s="5" t="n">
        <v>200036458</v>
      </c>
      <c r="F3768" s="5" t="inlineStr">
        <is>
          <t>20606</t>
        </is>
      </c>
      <c r="G3768" s="5" t="inlineStr">
        <is>
          <t>BRL</t>
        </is>
      </c>
      <c r="H3768" s="9" t="n">
        <v>-7200</v>
      </c>
      <c r="I3768" s="16" t="n">
        <v>44757</v>
      </c>
      <c r="J3768" s="16" t="n">
        <v>44757</v>
      </c>
      <c r="K3768" s="5" t="inlineStr">
        <is>
          <t>00025700</t>
        </is>
      </c>
      <c r="L3768" s="5" t="inlineStr">
        <is>
          <t>400000.210101</t>
        </is>
      </c>
      <c r="M3768" s="5">
        <f>IF(YEAR(I3768)&lt;=2020,"Até 2020",TEXT(YEAR(I3768),"0"))</f>
        <v/>
      </c>
      <c r="N3768" s="5">
        <f>IFERROR(INDEX(DePara!$A:$A,MATCH(TEXT(B3768,"0"),DePara!$D:$D,0)),"(sem categoria)")</f>
        <v/>
      </c>
      <c r="O3768" s="5">
        <f>IF(J3768="","",Parametros!$B$6-J3768)</f>
        <v/>
      </c>
      <c r="P3768" s="5">
        <f>IF(O3768="","",IF(O3768&gt;0,1,0))</f>
        <v/>
      </c>
    </row>
    <row r="3769">
      <c r="A3769" s="5" t="n">
        <v>2111000000</v>
      </c>
      <c r="B3769" s="5" t="inlineStr">
        <is>
          <t>102029</t>
        </is>
      </c>
      <c r="C3769" s="5" t="inlineStr">
        <is>
          <t>LEEWARD INTERNACIONAL DO BRASIL LTD</t>
        </is>
      </c>
      <c r="D3769" s="5" t="inlineStr">
        <is>
          <t>UE</t>
        </is>
      </c>
      <c r="E3769" s="5" t="n">
        <v>200036461</v>
      </c>
      <c r="F3769" s="5" t="inlineStr">
        <is>
          <t>20609</t>
        </is>
      </c>
      <c r="G3769" s="5" t="inlineStr">
        <is>
          <t>BRL</t>
        </is>
      </c>
      <c r="H3769" s="9" t="n">
        <v>-6212.31</v>
      </c>
      <c r="I3769" s="16" t="n">
        <v>43091</v>
      </c>
      <c r="J3769" s="16" t="n">
        <v>43091</v>
      </c>
      <c r="K3769" s="5" t="inlineStr">
        <is>
          <t>00065500</t>
        </is>
      </c>
      <c r="L3769" s="5" t="inlineStr">
        <is>
          <t>400000.210101</t>
        </is>
      </c>
      <c r="M3769" s="5">
        <f>IF(YEAR(I3769)&lt;=2020,"Até 2020",TEXT(YEAR(I3769),"0"))</f>
        <v/>
      </c>
      <c r="N3769" s="5">
        <f>IFERROR(INDEX(DePara!$A:$A,MATCH(TEXT(B3769,"0"),DePara!$D:$D,0)),"(sem categoria)")</f>
        <v/>
      </c>
      <c r="O3769" s="5">
        <f>IF(J3769="","",Parametros!$B$6-J3769)</f>
        <v/>
      </c>
      <c r="P3769" s="5">
        <f>IF(O3769="","",IF(O3769&gt;0,1,0))</f>
        <v/>
      </c>
    </row>
    <row r="3770">
      <c r="A3770" s="5" t="n">
        <v>2111000000</v>
      </c>
      <c r="B3770" s="5" t="inlineStr">
        <is>
          <t>102029</t>
        </is>
      </c>
      <c r="C3770" s="5" t="inlineStr">
        <is>
          <t>LEEWARD INTERNACIONAL DO BRASIL LTD</t>
        </is>
      </c>
      <c r="D3770" s="5" t="inlineStr">
        <is>
          <t>UE</t>
        </is>
      </c>
      <c r="E3770" s="5" t="n">
        <v>200036463</v>
      </c>
      <c r="F3770" s="5" t="inlineStr">
        <is>
          <t>20611</t>
        </is>
      </c>
      <c r="G3770" s="5" t="inlineStr">
        <is>
          <t>BRL</t>
        </is>
      </c>
      <c r="H3770" s="9" t="n">
        <v>-136.66</v>
      </c>
      <c r="I3770" s="16" t="n">
        <v>43382</v>
      </c>
      <c r="J3770" s="16" t="n">
        <v>43382</v>
      </c>
      <c r="K3770" s="5" t="inlineStr">
        <is>
          <t>00158600</t>
        </is>
      </c>
      <c r="L3770" s="5" t="inlineStr">
        <is>
          <t>400000.210101</t>
        </is>
      </c>
      <c r="M3770" s="5">
        <f>IF(YEAR(I3770)&lt;=2020,"Até 2020",TEXT(YEAR(I3770),"0"))</f>
        <v/>
      </c>
      <c r="N3770" s="5">
        <f>IFERROR(INDEX(DePara!$A:$A,MATCH(TEXT(B3770,"0"),DePara!$D:$D,0)),"(sem categoria)")</f>
        <v/>
      </c>
      <c r="O3770" s="5">
        <f>IF(J3770="","",Parametros!$B$6-J3770)</f>
        <v/>
      </c>
      <c r="P3770" s="5">
        <f>IF(O3770="","",IF(O3770&gt;0,1,0))</f>
        <v/>
      </c>
    </row>
    <row r="3771">
      <c r="A3771" s="5" t="n">
        <v>2111000000</v>
      </c>
      <c r="B3771" s="5" t="inlineStr">
        <is>
          <t>102029</t>
        </is>
      </c>
      <c r="C3771" s="5" t="inlineStr">
        <is>
          <t>LEEWARD INTERNACIONAL DO BRASIL LTD</t>
        </is>
      </c>
      <c r="D3771" s="5" t="inlineStr">
        <is>
          <t>UE</t>
        </is>
      </c>
      <c r="E3771" s="5" t="n">
        <v>200036464</v>
      </c>
      <c r="F3771" s="5" t="inlineStr">
        <is>
          <t>20612</t>
        </is>
      </c>
      <c r="G3771" s="5" t="inlineStr">
        <is>
          <t>BRL</t>
        </is>
      </c>
      <c r="H3771" s="9" t="n">
        <v>-2868.5</v>
      </c>
      <c r="I3771" s="16" t="n">
        <v>43623</v>
      </c>
      <c r="J3771" s="16" t="n">
        <v>43623</v>
      </c>
      <c r="K3771" s="5" t="inlineStr">
        <is>
          <t>09221900</t>
        </is>
      </c>
      <c r="L3771" s="5" t="inlineStr">
        <is>
          <t>400000.210101</t>
        </is>
      </c>
      <c r="M3771" s="5">
        <f>IF(YEAR(I3771)&lt;=2020,"Até 2020",TEXT(YEAR(I3771),"0"))</f>
        <v/>
      </c>
      <c r="N3771" s="5">
        <f>IFERROR(INDEX(DePara!$A:$A,MATCH(TEXT(B3771,"0"),DePara!$D:$D,0)),"(sem categoria)")</f>
        <v/>
      </c>
      <c r="O3771" s="5">
        <f>IF(J3771="","",Parametros!$B$6-J3771)</f>
        <v/>
      </c>
      <c r="P3771" s="5">
        <f>IF(O3771="","",IF(O3771&gt;0,1,0))</f>
        <v/>
      </c>
    </row>
    <row r="3772">
      <c r="A3772" s="5" t="n">
        <v>2111000000</v>
      </c>
      <c r="B3772" s="5" t="inlineStr">
        <is>
          <t>102029</t>
        </is>
      </c>
      <c r="C3772" s="5" t="inlineStr">
        <is>
          <t>LEEWARD INTERNACIONAL DO BRASIL LTD</t>
        </is>
      </c>
      <c r="D3772" s="5" t="inlineStr">
        <is>
          <t>UE</t>
        </is>
      </c>
      <c r="E3772" s="5" t="n">
        <v>200036465</v>
      </c>
      <c r="F3772" s="5" t="inlineStr">
        <is>
          <t>20613</t>
        </is>
      </c>
      <c r="G3772" s="5" t="inlineStr">
        <is>
          <t>BRL</t>
        </is>
      </c>
      <c r="H3772" s="9" t="n">
        <v>-2402.96</v>
      </c>
      <c r="I3772" s="16" t="n">
        <v>43304</v>
      </c>
      <c r="J3772" s="16" t="n">
        <v>43304</v>
      </c>
      <c r="K3772" s="5" t="inlineStr">
        <is>
          <t>00100400</t>
        </is>
      </c>
      <c r="L3772" s="5" t="inlineStr">
        <is>
          <t>400000.210101</t>
        </is>
      </c>
      <c r="M3772" s="5">
        <f>IF(YEAR(I3772)&lt;=2020,"Até 2020",TEXT(YEAR(I3772),"0"))</f>
        <v/>
      </c>
      <c r="N3772" s="5">
        <f>IFERROR(INDEX(DePara!$A:$A,MATCH(TEXT(B3772,"0"),DePara!$D:$D,0)),"(sem categoria)")</f>
        <v/>
      </c>
      <c r="O3772" s="5">
        <f>IF(J3772="","",Parametros!$B$6-J3772)</f>
        <v/>
      </c>
      <c r="P3772" s="5">
        <f>IF(O3772="","",IF(O3772&gt;0,1,0))</f>
        <v/>
      </c>
    </row>
    <row r="3773">
      <c r="A3773" s="5" t="n">
        <v>2111000000</v>
      </c>
      <c r="B3773" s="5" t="inlineStr">
        <is>
          <t>102029</t>
        </is>
      </c>
      <c r="C3773" s="5" t="inlineStr">
        <is>
          <t>LEEWARD INTERNACIONAL DO BRASIL LTD</t>
        </is>
      </c>
      <c r="D3773" s="5" t="inlineStr">
        <is>
          <t>UE</t>
        </is>
      </c>
      <c r="E3773" s="5" t="n">
        <v>200036466</v>
      </c>
      <c r="F3773" s="5" t="inlineStr">
        <is>
          <t>20614</t>
        </is>
      </c>
      <c r="G3773" s="5" t="inlineStr">
        <is>
          <t>BRL</t>
        </is>
      </c>
      <c r="H3773" s="9" t="n">
        <v>-2412.98</v>
      </c>
      <c r="I3773" s="16" t="n">
        <v>43305</v>
      </c>
      <c r="J3773" s="16" t="n">
        <v>43305</v>
      </c>
      <c r="K3773" s="5" t="inlineStr">
        <is>
          <t>00100500</t>
        </is>
      </c>
      <c r="L3773" s="5" t="inlineStr">
        <is>
          <t>400000.210101</t>
        </is>
      </c>
      <c r="M3773" s="5">
        <f>IF(YEAR(I3773)&lt;=2020,"Até 2020",TEXT(YEAR(I3773),"0"))</f>
        <v/>
      </c>
      <c r="N3773" s="5">
        <f>IFERROR(INDEX(DePara!$A:$A,MATCH(TEXT(B3773,"0"),DePara!$D:$D,0)),"(sem categoria)")</f>
        <v/>
      </c>
      <c r="O3773" s="5">
        <f>IF(J3773="","",Parametros!$B$6-J3773)</f>
        <v/>
      </c>
      <c r="P3773" s="5">
        <f>IF(O3773="","",IF(O3773&gt;0,1,0))</f>
        <v/>
      </c>
    </row>
    <row r="3774">
      <c r="A3774" s="5" t="n">
        <v>2111000000</v>
      </c>
      <c r="B3774" s="5" t="inlineStr">
        <is>
          <t>102029</t>
        </is>
      </c>
      <c r="C3774" s="5" t="inlineStr">
        <is>
          <t>LEEWARD INTERNACIONAL DO BRASIL LTD</t>
        </is>
      </c>
      <c r="D3774" s="5" t="inlineStr">
        <is>
          <t>UE</t>
        </is>
      </c>
      <c r="E3774" s="5" t="n">
        <v>200036468</v>
      </c>
      <c r="F3774" s="5" t="inlineStr">
        <is>
          <t>20616</t>
        </is>
      </c>
      <c r="G3774" s="5" t="inlineStr">
        <is>
          <t>BRL</t>
        </is>
      </c>
      <c r="H3774" s="9" t="n">
        <v>-10970.67</v>
      </c>
      <c r="I3774" s="16" t="n">
        <v>43329</v>
      </c>
      <c r="J3774" s="16" t="n">
        <v>43329</v>
      </c>
      <c r="K3774" s="5" t="inlineStr">
        <is>
          <t>05391800</t>
        </is>
      </c>
      <c r="L3774" s="5" t="inlineStr">
        <is>
          <t>400000.210101</t>
        </is>
      </c>
      <c r="M3774" s="5">
        <f>IF(YEAR(I3774)&lt;=2020,"Até 2020",TEXT(YEAR(I3774),"0"))</f>
        <v/>
      </c>
      <c r="N3774" s="5">
        <f>IFERROR(INDEX(DePara!$A:$A,MATCH(TEXT(B3774,"0"),DePara!$D:$D,0)),"(sem categoria)")</f>
        <v/>
      </c>
      <c r="O3774" s="5">
        <f>IF(J3774="","",Parametros!$B$6-J3774)</f>
        <v/>
      </c>
      <c r="P3774" s="5">
        <f>IF(O3774="","",IF(O3774&gt;0,1,0))</f>
        <v/>
      </c>
    </row>
    <row r="3775">
      <c r="A3775" s="5" t="n">
        <v>2111000000</v>
      </c>
      <c r="B3775" s="5" t="inlineStr">
        <is>
          <t>102030</t>
        </is>
      </c>
      <c r="C3775" s="5" t="inlineStr">
        <is>
          <t>TECON SALVADOR SA</t>
        </is>
      </c>
      <c r="D3775" s="5" t="inlineStr">
        <is>
          <t>UE</t>
        </is>
      </c>
      <c r="E3775" s="5" t="n">
        <v>200036469</v>
      </c>
      <c r="F3775" s="5" t="inlineStr">
        <is>
          <t>20617</t>
        </is>
      </c>
      <c r="G3775" s="5" t="inlineStr">
        <is>
          <t>BRL</t>
        </is>
      </c>
      <c r="H3775" s="9" t="n">
        <v>-1375.73</v>
      </c>
      <c r="I3775" s="16" t="n">
        <v>45035</v>
      </c>
      <c r="J3775" s="16" t="n">
        <v>45035</v>
      </c>
      <c r="K3775" s="5" t="inlineStr">
        <is>
          <t>25044600</t>
        </is>
      </c>
      <c r="L3775" s="5" t="inlineStr">
        <is>
          <t>400000.210101</t>
        </is>
      </c>
      <c r="M3775" s="5">
        <f>IF(YEAR(I3775)&lt;=2020,"Até 2020",TEXT(YEAR(I3775),"0"))</f>
        <v/>
      </c>
      <c r="N3775" s="5">
        <f>IFERROR(INDEX(DePara!$A:$A,MATCH(TEXT(B3775,"0"),DePara!$D:$D,0)),"(sem categoria)")</f>
        <v/>
      </c>
      <c r="O3775" s="5">
        <f>IF(J3775="","",Parametros!$B$6-J3775)</f>
        <v/>
      </c>
      <c r="P3775" s="5">
        <f>IF(O3775="","",IF(O3775&gt;0,1,0))</f>
        <v/>
      </c>
    </row>
    <row r="3776">
      <c r="A3776" s="5" t="n">
        <v>2111000000</v>
      </c>
      <c r="B3776" s="5" t="inlineStr">
        <is>
          <t>102030</t>
        </is>
      </c>
      <c r="C3776" s="5" t="inlineStr">
        <is>
          <t>TECON SALVADOR SA</t>
        </is>
      </c>
      <c r="D3776" s="5" t="inlineStr">
        <is>
          <t>UE</t>
        </is>
      </c>
      <c r="E3776" s="5" t="n">
        <v>200036471</v>
      </c>
      <c r="F3776" s="5" t="inlineStr">
        <is>
          <t>20619</t>
        </is>
      </c>
      <c r="G3776" s="5" t="inlineStr">
        <is>
          <t>BRL</t>
        </is>
      </c>
      <c r="H3776" s="9" t="n">
        <v>-151.83</v>
      </c>
      <c r="I3776" s="16" t="n">
        <v>45036</v>
      </c>
      <c r="J3776" s="16" t="n">
        <v>45036</v>
      </c>
      <c r="K3776" s="5" t="inlineStr">
        <is>
          <t>25051300</t>
        </is>
      </c>
      <c r="L3776" s="5" t="inlineStr">
        <is>
          <t>400000.210101</t>
        </is>
      </c>
      <c r="M3776" s="5">
        <f>IF(YEAR(I3776)&lt;=2020,"Até 2020",TEXT(YEAR(I3776),"0"))</f>
        <v/>
      </c>
      <c r="N3776" s="5">
        <f>IFERROR(INDEX(DePara!$A:$A,MATCH(TEXT(B3776,"0"),DePara!$D:$D,0)),"(sem categoria)")</f>
        <v/>
      </c>
      <c r="O3776" s="5">
        <f>IF(J3776="","",Parametros!$B$6-J3776)</f>
        <v/>
      </c>
      <c r="P3776" s="5">
        <f>IF(O3776="","",IF(O3776&gt;0,1,0))</f>
        <v/>
      </c>
    </row>
    <row r="3777">
      <c r="A3777" s="5" t="n">
        <v>2111000000</v>
      </c>
      <c r="B3777" s="5" t="inlineStr">
        <is>
          <t>102030</t>
        </is>
      </c>
      <c r="C3777" s="5" t="inlineStr">
        <is>
          <t>TECON SALVADOR SA</t>
        </is>
      </c>
      <c r="D3777" s="5" t="inlineStr">
        <is>
          <t>UE</t>
        </is>
      </c>
      <c r="E3777" s="5" t="n">
        <v>200036472</v>
      </c>
      <c r="F3777" s="5" t="inlineStr">
        <is>
          <t>20620</t>
        </is>
      </c>
      <c r="G3777" s="5" t="inlineStr">
        <is>
          <t>BRL</t>
        </is>
      </c>
      <c r="H3777" s="9" t="n">
        <v>-50</v>
      </c>
      <c r="I3777" s="16" t="n">
        <v>45036</v>
      </c>
      <c r="J3777" s="16" t="n">
        <v>45036</v>
      </c>
      <c r="K3777" s="5" t="inlineStr">
        <is>
          <t>25051000</t>
        </is>
      </c>
      <c r="L3777" s="5" t="inlineStr">
        <is>
          <t>400000.210101</t>
        </is>
      </c>
      <c r="M3777" s="5">
        <f>IF(YEAR(I3777)&lt;=2020,"Até 2020",TEXT(YEAR(I3777),"0"))</f>
        <v/>
      </c>
      <c r="N3777" s="5">
        <f>IFERROR(INDEX(DePara!$A:$A,MATCH(TEXT(B3777,"0"),DePara!$D:$D,0)),"(sem categoria)")</f>
        <v/>
      </c>
      <c r="O3777" s="5">
        <f>IF(J3777="","",Parametros!$B$6-J3777)</f>
        <v/>
      </c>
      <c r="P3777" s="5">
        <f>IF(O3777="","",IF(O3777&gt;0,1,0))</f>
        <v/>
      </c>
    </row>
    <row r="3778">
      <c r="A3778" s="5" t="n">
        <v>2111000000</v>
      </c>
      <c r="B3778" s="5" t="inlineStr">
        <is>
          <t>102030</t>
        </is>
      </c>
      <c r="C3778" s="5" t="inlineStr">
        <is>
          <t>TECON SALVADOR SA</t>
        </is>
      </c>
      <c r="D3778" s="5" t="inlineStr">
        <is>
          <t>UE</t>
        </is>
      </c>
      <c r="E3778" s="5" t="n">
        <v>200036474</v>
      </c>
      <c r="F3778" s="5" t="inlineStr">
        <is>
          <t>20622</t>
        </is>
      </c>
      <c r="G3778" s="5" t="inlineStr">
        <is>
          <t>BRL</t>
        </is>
      </c>
      <c r="H3778" s="9" t="n">
        <v>-2185.44</v>
      </c>
      <c r="I3778" s="16" t="n">
        <v>45036</v>
      </c>
      <c r="J3778" s="16" t="n">
        <v>45036</v>
      </c>
      <c r="K3778" s="5" t="inlineStr">
        <is>
          <t>25050300</t>
        </is>
      </c>
      <c r="L3778" s="5" t="inlineStr">
        <is>
          <t>400000.210101</t>
        </is>
      </c>
      <c r="M3778" s="5">
        <f>IF(YEAR(I3778)&lt;=2020,"Até 2020",TEXT(YEAR(I3778),"0"))</f>
        <v/>
      </c>
      <c r="N3778" s="5">
        <f>IFERROR(INDEX(DePara!$A:$A,MATCH(TEXT(B3778,"0"),DePara!$D:$D,0)),"(sem categoria)")</f>
        <v/>
      </c>
      <c r="O3778" s="5">
        <f>IF(J3778="","",Parametros!$B$6-J3778)</f>
        <v/>
      </c>
      <c r="P3778" s="5">
        <f>IF(O3778="","",IF(O3778&gt;0,1,0))</f>
        <v/>
      </c>
    </row>
    <row r="3779">
      <c r="A3779" s="5" t="n">
        <v>2111000000</v>
      </c>
      <c r="B3779" s="5" t="inlineStr">
        <is>
          <t>102030</t>
        </is>
      </c>
      <c r="C3779" s="5" t="inlineStr">
        <is>
          <t>TECON SALVADOR SA</t>
        </is>
      </c>
      <c r="D3779" s="5" t="inlineStr">
        <is>
          <t>UE</t>
        </is>
      </c>
      <c r="E3779" s="5" t="n">
        <v>200036475</v>
      </c>
      <c r="F3779" s="5" t="inlineStr">
        <is>
          <t>20623</t>
        </is>
      </c>
      <c r="G3779" s="5" t="inlineStr">
        <is>
          <t>BRL</t>
        </is>
      </c>
      <c r="H3779" s="9" t="n">
        <v>-927.02</v>
      </c>
      <c r="I3779" s="16" t="n">
        <v>45036</v>
      </c>
      <c r="J3779" s="16" t="n">
        <v>45036</v>
      </c>
      <c r="K3779" s="5" t="inlineStr">
        <is>
          <t>25053400</t>
        </is>
      </c>
      <c r="L3779" s="5" t="inlineStr">
        <is>
          <t>400000.210101</t>
        </is>
      </c>
      <c r="M3779" s="5">
        <f>IF(YEAR(I3779)&lt;=2020,"Até 2020",TEXT(YEAR(I3779),"0"))</f>
        <v/>
      </c>
      <c r="N3779" s="5">
        <f>IFERROR(INDEX(DePara!$A:$A,MATCH(TEXT(B3779,"0"),DePara!$D:$D,0)),"(sem categoria)")</f>
        <v/>
      </c>
      <c r="O3779" s="5">
        <f>IF(J3779="","",Parametros!$B$6-J3779)</f>
        <v/>
      </c>
      <c r="P3779" s="5">
        <f>IF(O3779="","",IF(O3779&gt;0,1,0))</f>
        <v/>
      </c>
    </row>
    <row r="3780">
      <c r="A3780" s="5" t="n">
        <v>2111000000</v>
      </c>
      <c r="B3780" s="5" t="inlineStr">
        <is>
          <t>102030</t>
        </is>
      </c>
      <c r="C3780" s="5" t="inlineStr">
        <is>
          <t>TECON SALVADOR SA</t>
        </is>
      </c>
      <c r="D3780" s="5" t="inlineStr">
        <is>
          <t>UE</t>
        </is>
      </c>
      <c r="E3780" s="5" t="n">
        <v>200036477</v>
      </c>
      <c r="F3780" s="5" t="inlineStr">
        <is>
          <t>20625</t>
        </is>
      </c>
      <c r="G3780" s="5" t="inlineStr">
        <is>
          <t>BRL</t>
        </is>
      </c>
      <c r="H3780" s="9" t="n">
        <v>-788.48</v>
      </c>
      <c r="I3780" s="16" t="n">
        <v>45036</v>
      </c>
      <c r="J3780" s="16" t="n">
        <v>45036</v>
      </c>
      <c r="K3780" s="5" t="inlineStr">
        <is>
          <t>25053600</t>
        </is>
      </c>
      <c r="L3780" s="5" t="inlineStr">
        <is>
          <t>400000.210101</t>
        </is>
      </c>
      <c r="M3780" s="5">
        <f>IF(YEAR(I3780)&lt;=2020,"Até 2020",TEXT(YEAR(I3780),"0"))</f>
        <v/>
      </c>
      <c r="N3780" s="5">
        <f>IFERROR(INDEX(DePara!$A:$A,MATCH(TEXT(B3780,"0"),DePara!$D:$D,0)),"(sem categoria)")</f>
        <v/>
      </c>
      <c r="O3780" s="5">
        <f>IF(J3780="","",Parametros!$B$6-J3780)</f>
        <v/>
      </c>
      <c r="P3780" s="5">
        <f>IF(O3780="","",IF(O3780&gt;0,1,0))</f>
        <v/>
      </c>
    </row>
    <row r="3781">
      <c r="A3781" s="5" t="n">
        <v>2111000000</v>
      </c>
      <c r="B3781" s="5" t="inlineStr">
        <is>
          <t>102030</t>
        </is>
      </c>
      <c r="C3781" s="5" t="inlineStr">
        <is>
          <t>TECON SALVADOR SA</t>
        </is>
      </c>
      <c r="D3781" s="5" t="inlineStr">
        <is>
          <t>UE</t>
        </is>
      </c>
      <c r="E3781" s="5" t="n">
        <v>200036479</v>
      </c>
      <c r="F3781" s="5" t="inlineStr">
        <is>
          <t>20627</t>
        </is>
      </c>
      <c r="G3781" s="5" t="inlineStr">
        <is>
          <t>BRL</t>
        </is>
      </c>
      <c r="H3781" s="9" t="n">
        <v>-2961.88</v>
      </c>
      <c r="I3781" s="16" t="n">
        <v>45036</v>
      </c>
      <c r="J3781" s="16" t="n">
        <v>45036</v>
      </c>
      <c r="K3781" s="5" t="inlineStr">
        <is>
          <t>25055300</t>
        </is>
      </c>
      <c r="L3781" s="5" t="inlineStr">
        <is>
          <t>400000.210101</t>
        </is>
      </c>
      <c r="M3781" s="5">
        <f>IF(YEAR(I3781)&lt;=2020,"Até 2020",TEXT(YEAR(I3781),"0"))</f>
        <v/>
      </c>
      <c r="N3781" s="5">
        <f>IFERROR(INDEX(DePara!$A:$A,MATCH(TEXT(B3781,"0"),DePara!$D:$D,0)),"(sem categoria)")</f>
        <v/>
      </c>
      <c r="O3781" s="5">
        <f>IF(J3781="","",Parametros!$B$6-J3781)</f>
        <v/>
      </c>
      <c r="P3781" s="5">
        <f>IF(O3781="","",IF(O3781&gt;0,1,0))</f>
        <v/>
      </c>
    </row>
    <row r="3782">
      <c r="A3782" s="5" t="n">
        <v>2111000000</v>
      </c>
      <c r="B3782" s="5" t="inlineStr">
        <is>
          <t>102030</t>
        </is>
      </c>
      <c r="C3782" s="5" t="inlineStr">
        <is>
          <t>TECON SALVADOR SA</t>
        </is>
      </c>
      <c r="D3782" s="5" t="inlineStr">
        <is>
          <t>UE</t>
        </is>
      </c>
      <c r="E3782" s="5" t="n">
        <v>200036482</v>
      </c>
      <c r="F3782" s="5" t="inlineStr">
        <is>
          <t>20630</t>
        </is>
      </c>
      <c r="G3782" s="5" t="inlineStr">
        <is>
          <t>BRL</t>
        </is>
      </c>
      <c r="H3782" s="9" t="n">
        <v>-1243.51</v>
      </c>
      <c r="I3782" s="16" t="n">
        <v>45036</v>
      </c>
      <c r="J3782" s="16" t="n">
        <v>45036</v>
      </c>
      <c r="K3782" s="5" t="inlineStr">
        <is>
          <t>25051700</t>
        </is>
      </c>
      <c r="L3782" s="5" t="inlineStr">
        <is>
          <t>400000.210101</t>
        </is>
      </c>
      <c r="M3782" s="5">
        <f>IF(YEAR(I3782)&lt;=2020,"Até 2020",TEXT(YEAR(I3782),"0"))</f>
        <v/>
      </c>
      <c r="N3782" s="5">
        <f>IFERROR(INDEX(DePara!$A:$A,MATCH(TEXT(B3782,"0"),DePara!$D:$D,0)),"(sem categoria)")</f>
        <v/>
      </c>
      <c r="O3782" s="5">
        <f>IF(J3782="","",Parametros!$B$6-J3782)</f>
        <v/>
      </c>
      <c r="P3782" s="5">
        <f>IF(O3782="","",IF(O3782&gt;0,1,0))</f>
        <v/>
      </c>
    </row>
    <row r="3783">
      <c r="A3783" s="5" t="n">
        <v>2111000000</v>
      </c>
      <c r="B3783" s="5" t="inlineStr">
        <is>
          <t>102030</t>
        </is>
      </c>
      <c r="C3783" s="5" t="inlineStr">
        <is>
          <t>TECON SALVADOR SA</t>
        </is>
      </c>
      <c r="D3783" s="5" t="inlineStr">
        <is>
          <t>UE</t>
        </is>
      </c>
      <c r="E3783" s="5" t="n">
        <v>200036488</v>
      </c>
      <c r="F3783" s="5" t="inlineStr">
        <is>
          <t>20636</t>
        </is>
      </c>
      <c r="G3783" s="5" t="inlineStr">
        <is>
          <t>BRL</t>
        </is>
      </c>
      <c r="H3783" s="9" t="n">
        <v>-1469.88</v>
      </c>
      <c r="I3783" s="16" t="n">
        <v>45035</v>
      </c>
      <c r="J3783" s="16" t="n">
        <v>45035</v>
      </c>
      <c r="K3783" s="5" t="inlineStr">
        <is>
          <t>25044500</t>
        </is>
      </c>
      <c r="L3783" s="5" t="inlineStr">
        <is>
          <t>400000.210101</t>
        </is>
      </c>
      <c r="M3783" s="5">
        <f>IF(YEAR(I3783)&lt;=2020,"Até 2020",TEXT(YEAR(I3783),"0"))</f>
        <v/>
      </c>
      <c r="N3783" s="5">
        <f>IFERROR(INDEX(DePara!$A:$A,MATCH(TEXT(B3783,"0"),DePara!$D:$D,0)),"(sem categoria)")</f>
        <v/>
      </c>
      <c r="O3783" s="5">
        <f>IF(J3783="","",Parametros!$B$6-J3783)</f>
        <v/>
      </c>
      <c r="P3783" s="5">
        <f>IF(O3783="","",IF(O3783&gt;0,1,0))</f>
        <v/>
      </c>
    </row>
    <row r="3784">
      <c r="A3784" s="5" t="n">
        <v>2111000000</v>
      </c>
      <c r="B3784" s="5" t="inlineStr">
        <is>
          <t>101552</t>
        </is>
      </c>
      <c r="C3784" s="5" t="inlineStr">
        <is>
          <t>KUEHNENAGEL SERVICOS LOGISTICOS LTD</t>
        </is>
      </c>
      <c r="D3784" s="5" t="inlineStr">
        <is>
          <t>UE</t>
        </is>
      </c>
      <c r="E3784" s="5" t="n">
        <v>200036603</v>
      </c>
      <c r="F3784" s="5" t="inlineStr">
        <is>
          <t>20751</t>
        </is>
      </c>
      <c r="G3784" s="5" t="inlineStr">
        <is>
          <t>BRL</t>
        </is>
      </c>
      <c r="H3784" s="9" t="n">
        <v>-466.46</v>
      </c>
      <c r="I3784" s="16" t="n">
        <v>43859</v>
      </c>
      <c r="J3784" s="16" t="n">
        <v>43859</v>
      </c>
      <c r="K3784" s="5" t="inlineStr">
        <is>
          <t>22754700</t>
        </is>
      </c>
      <c r="L3784" s="5" t="inlineStr">
        <is>
          <t>400000.210101</t>
        </is>
      </c>
      <c r="M3784" s="5">
        <f>IF(YEAR(I3784)&lt;=2020,"Até 2020",TEXT(YEAR(I3784),"0"))</f>
        <v/>
      </c>
      <c r="N3784" s="5">
        <f>IFERROR(INDEX(DePara!$A:$A,MATCH(TEXT(B3784,"0"),DePara!$D:$D,0)),"(sem categoria)")</f>
        <v/>
      </c>
      <c r="O3784" s="5">
        <f>IF(J3784="","",Parametros!$B$6-J3784)</f>
        <v/>
      </c>
      <c r="P3784" s="5">
        <f>IF(O3784="","",IF(O3784&gt;0,1,0))</f>
        <v/>
      </c>
    </row>
    <row r="3785">
      <c r="A3785" s="5" t="n">
        <v>2111000000</v>
      </c>
      <c r="B3785" s="5" t="inlineStr">
        <is>
          <t>101318</t>
        </is>
      </c>
      <c r="C3785" s="5" t="inlineStr">
        <is>
          <t>SECRETARIA DA FAZENDA RS</t>
        </is>
      </c>
      <c r="D3785" s="5" t="inlineStr">
        <is>
          <t>UE</t>
        </is>
      </c>
      <c r="E3785" s="5" t="n">
        <v>200036614</v>
      </c>
      <c r="F3785" s="5" t="inlineStr">
        <is>
          <t>20762</t>
        </is>
      </c>
      <c r="G3785" s="5" t="inlineStr">
        <is>
          <t>BRL</t>
        </is>
      </c>
      <c r="H3785" s="9" t="n">
        <v>-882</v>
      </c>
      <c r="I3785" s="16" t="n">
        <v>44217</v>
      </c>
      <c r="J3785" s="16" t="n">
        <v>44217</v>
      </c>
      <c r="K3785" s="5" t="inlineStr">
        <is>
          <t>000001529001</t>
        </is>
      </c>
      <c r="L3785" s="5" t="inlineStr">
        <is>
          <t>400000.210101</t>
        </is>
      </c>
      <c r="M3785" s="5">
        <f>IF(YEAR(I3785)&lt;=2020,"Até 2020",TEXT(YEAR(I3785),"0"))</f>
        <v/>
      </c>
      <c r="N3785" s="5">
        <f>IFERROR(INDEX(DePara!$A:$A,MATCH(TEXT(B3785,"0"),DePara!$D:$D,0)),"(sem categoria)")</f>
        <v/>
      </c>
      <c r="O3785" s="5">
        <f>IF(J3785="","",Parametros!$B$6-J3785)</f>
        <v/>
      </c>
      <c r="P3785" s="5">
        <f>IF(O3785="","",IF(O3785&gt;0,1,0))</f>
        <v/>
      </c>
    </row>
    <row r="3786">
      <c r="A3786" s="5" t="n">
        <v>2111000000</v>
      </c>
      <c r="B3786" s="5" t="inlineStr">
        <is>
          <t>101685</t>
        </is>
      </c>
      <c r="C3786" s="5" t="inlineStr">
        <is>
          <t>POLIMIX CONCRETO LTDA</t>
        </is>
      </c>
      <c r="D3786" s="5" t="inlineStr">
        <is>
          <t>UE</t>
        </is>
      </c>
      <c r="E3786" s="5" t="n">
        <v>200036702</v>
      </c>
      <c r="F3786" s="5" t="inlineStr">
        <is>
          <t>20850</t>
        </is>
      </c>
      <c r="G3786" s="5" t="inlineStr">
        <is>
          <t>BRL</t>
        </is>
      </c>
      <c r="H3786" s="9" t="n">
        <v>-13867.51</v>
      </c>
      <c r="I3786" s="16" t="n">
        <v>44477</v>
      </c>
      <c r="J3786" s="16" t="n">
        <v>44477</v>
      </c>
      <c r="K3786" s="5" t="inlineStr">
        <is>
          <t>000355884010</t>
        </is>
      </c>
      <c r="L3786" s="5" t="inlineStr">
        <is>
          <t>400000.210101</t>
        </is>
      </c>
      <c r="M3786" s="5">
        <f>IF(YEAR(I3786)&lt;=2020,"Até 2020",TEXT(YEAR(I3786),"0"))</f>
        <v/>
      </c>
      <c r="N3786" s="5">
        <f>IFERROR(INDEX(DePara!$A:$A,MATCH(TEXT(B3786,"0"),DePara!$D:$D,0)),"(sem categoria)")</f>
        <v/>
      </c>
      <c r="O3786" s="5">
        <f>IF(J3786="","",Parametros!$B$6-J3786)</f>
        <v/>
      </c>
      <c r="P3786" s="5">
        <f>IF(O3786="","",IF(O3786&gt;0,1,0))</f>
        <v/>
      </c>
    </row>
    <row r="3787">
      <c r="A3787" s="5" t="n">
        <v>2111000000</v>
      </c>
      <c r="B3787" s="5" t="inlineStr">
        <is>
          <t>EM000324</t>
        </is>
      </c>
      <c r="C3787" s="5" t="inlineStr">
        <is>
          <t>LUIZ EDUARDO PEREIRA DA SILVA</t>
        </is>
      </c>
      <c r="D3787" s="5" t="inlineStr">
        <is>
          <t>AB</t>
        </is>
      </c>
      <c r="E3787" s="5" t="n">
        <v>1100001158</v>
      </c>
      <c r="F3787" s="5" t="n"/>
      <c r="G3787" s="5" t="inlineStr">
        <is>
          <t>BRL</t>
        </is>
      </c>
      <c r="H3787" s="9" t="n">
        <v>-157.47</v>
      </c>
      <c r="I3787" s="16" t="n">
        <v>45730</v>
      </c>
      <c r="J3787" s="16" t="n">
        <v>45730</v>
      </c>
      <c r="K3787" s="5" t="inlineStr">
        <is>
          <t>Clearing document LUIZ EDUARDO PEREIRA DA SILVA</t>
        </is>
      </c>
      <c r="L3787" s="5" t="n"/>
      <c r="M3787" s="5">
        <f>IF(YEAR(I3787)&lt;=2020,"Até 2020",TEXT(YEAR(I3787),"0"))</f>
        <v/>
      </c>
      <c r="N3787" s="5">
        <f>IFERROR(INDEX(DePara!$A:$A,MATCH(TEXT(B3787,"0"),DePara!$D:$D,0)),"(sem categoria)")</f>
        <v/>
      </c>
      <c r="O3787" s="5">
        <f>IF(J3787="","",Parametros!$B$6-J3787)</f>
        <v/>
      </c>
      <c r="P3787" s="5">
        <f>IF(O3787="","",IF(O3787&gt;0,1,0))</f>
        <v/>
      </c>
    </row>
    <row r="3788">
      <c r="A3788" s="5" t="n">
        <v>2111000000</v>
      </c>
      <c r="B3788" s="5" t="inlineStr">
        <is>
          <t>EM000105</t>
        </is>
      </c>
      <c r="C3788" s="5" t="inlineStr">
        <is>
          <t>THIAGO CARVALHO</t>
        </is>
      </c>
      <c r="D3788" s="5" t="inlineStr">
        <is>
          <t>AB</t>
        </is>
      </c>
      <c r="E3788" s="5" t="n">
        <v>1100001380</v>
      </c>
      <c r="F3788" s="5" t="inlineStr">
        <is>
          <t>PLANO 30396</t>
        </is>
      </c>
      <c r="G3788" s="5" t="inlineStr">
        <is>
          <t>BRL</t>
        </is>
      </c>
      <c r="H3788" s="9" t="n">
        <v>-390</v>
      </c>
      <c r="I3788" s="16" t="n">
        <v>45451</v>
      </c>
      <c r="J3788" s="16" t="n">
        <v>45451</v>
      </c>
      <c r="K3788" s="5" t="inlineStr">
        <is>
          <t>Partida individual THIAGO CARVALHO PLANO 30396</t>
        </is>
      </c>
      <c r="L3788" s="5" t="inlineStr">
        <is>
          <t>05062024</t>
        </is>
      </c>
      <c r="M3788" s="5">
        <f>IF(YEAR(I3788)&lt;=2020,"Até 2020",TEXT(YEAR(I3788),"0"))</f>
        <v/>
      </c>
      <c r="N3788" s="5">
        <f>IFERROR(INDEX(DePara!$A:$A,MATCH(TEXT(B3788,"0"),DePara!$D:$D,0)),"(sem categoria)")</f>
        <v/>
      </c>
      <c r="O3788" s="5">
        <f>IF(J3788="","",Parametros!$B$6-J3788)</f>
        <v/>
      </c>
      <c r="P3788" s="5">
        <f>IF(O3788="","",IF(O3788&gt;0,1,0))</f>
        <v/>
      </c>
    </row>
    <row r="3789">
      <c r="A3789" s="5" t="n">
        <v>2111000000</v>
      </c>
      <c r="B3789" s="5" t="inlineStr">
        <is>
          <t>EM000041</t>
        </is>
      </c>
      <c r="C3789" s="5" t="inlineStr">
        <is>
          <t>FLAVIO BELLOLI</t>
        </is>
      </c>
      <c r="D3789" s="5" t="inlineStr">
        <is>
          <t>AB</t>
        </is>
      </c>
      <c r="E3789" s="5" t="n">
        <v>1100001915</v>
      </c>
      <c r="F3789" s="5" t="n"/>
      <c r="G3789" s="5" t="inlineStr">
        <is>
          <t>BRL</t>
        </is>
      </c>
      <c r="H3789" s="9" t="n">
        <v>-59.14</v>
      </c>
      <c r="I3789" s="16" t="n">
        <v>45459</v>
      </c>
      <c r="J3789" s="16" t="n">
        <v>45459</v>
      </c>
      <c r="K3789" s="5" t="inlineStr">
        <is>
          <t>Clearing document FLAVIO BELLOLI</t>
        </is>
      </c>
      <c r="L3789" s="5" t="n"/>
      <c r="M3789" s="5">
        <f>IF(YEAR(I3789)&lt;=2020,"Até 2020",TEXT(YEAR(I3789),"0"))</f>
        <v/>
      </c>
      <c r="N3789" s="5">
        <f>IFERROR(INDEX(DePara!$A:$A,MATCH(TEXT(B3789,"0"),DePara!$D:$D,0)),"(sem categoria)")</f>
        <v/>
      </c>
      <c r="O3789" s="5">
        <f>IF(J3789="","",Parametros!$B$6-J3789)</f>
        <v/>
      </c>
      <c r="P3789" s="5">
        <f>IF(O3789="","",IF(O3789&gt;0,1,0))</f>
        <v/>
      </c>
    </row>
    <row r="3790">
      <c r="A3790" s="5" t="n">
        <v>2111000000</v>
      </c>
      <c r="B3790" s="5" t="inlineStr">
        <is>
          <t>EM000271</t>
        </is>
      </c>
      <c r="C3790" s="5" t="inlineStr">
        <is>
          <t>PABLO SUEIRAS BLANCO</t>
        </is>
      </c>
      <c r="D3790" s="5" t="inlineStr">
        <is>
          <t>AB</t>
        </is>
      </c>
      <c r="E3790" s="5" t="n">
        <v>1100002430</v>
      </c>
      <c r="F3790" s="5" t="inlineStr">
        <is>
          <t>29608.1</t>
        </is>
      </c>
      <c r="G3790" s="5" t="inlineStr">
        <is>
          <t>BRL</t>
        </is>
      </c>
      <c r="H3790" s="9" t="n">
        <v>-52</v>
      </c>
      <c r="I3790" s="16" t="n">
        <v>45507</v>
      </c>
      <c r="J3790" s="16" t="n">
        <v>45507</v>
      </c>
      <c r="K3790" s="5" t="inlineStr">
        <is>
          <t>Partida individual PABLO SUEIRAS BLANCO 29608.1</t>
        </is>
      </c>
      <c r="L3790" s="5" t="inlineStr">
        <is>
          <t>02082024</t>
        </is>
      </c>
      <c r="M3790" s="5">
        <f>IF(YEAR(I3790)&lt;=2020,"Até 2020",TEXT(YEAR(I3790),"0"))</f>
        <v/>
      </c>
      <c r="N3790" s="5">
        <f>IFERROR(INDEX(DePara!$A:$A,MATCH(TEXT(B3790,"0"),DePara!$D:$D,0)),"(sem categoria)")</f>
        <v/>
      </c>
      <c r="O3790" s="5">
        <f>IF(J3790="","",Parametros!$B$6-J3790)</f>
        <v/>
      </c>
      <c r="P3790" s="5">
        <f>IF(O3790="","",IF(O3790&gt;0,1,0))</f>
        <v/>
      </c>
    </row>
    <row r="3791">
      <c r="A3791" s="5" t="n">
        <v>2111000000</v>
      </c>
      <c r="B3791" s="5" t="inlineStr">
        <is>
          <t>101604</t>
        </is>
      </c>
      <c r="C3791" s="5" t="inlineStr">
        <is>
          <t>PREFEITURA SANTA VITORIA DO PALMAR</t>
        </is>
      </c>
      <c r="D3791" s="5" t="inlineStr">
        <is>
          <t>AB</t>
        </is>
      </c>
      <c r="E3791" s="5" t="n">
        <v>1100003660</v>
      </c>
      <c r="F3791" s="5" t="n"/>
      <c r="G3791" s="5" t="inlineStr">
        <is>
          <t>BRL</t>
        </is>
      </c>
      <c r="H3791" s="9" t="n">
        <v>-121392.76</v>
      </c>
      <c r="I3791" s="16" t="n">
        <v>46053</v>
      </c>
      <c r="J3791" s="16" t="n">
        <v>46053</v>
      </c>
      <c r="K3791" s="5" t="inlineStr">
        <is>
          <t>Clearing document PREFEITURA SANTA VITORIA DO PALM</t>
        </is>
      </c>
      <c r="L3791" s="5" t="n"/>
      <c r="M3791" s="5">
        <f>IF(YEAR(I3791)&lt;=2020,"Até 2020",TEXT(YEAR(I3791),"0"))</f>
        <v/>
      </c>
      <c r="N3791" s="5">
        <f>IFERROR(INDEX(DePara!$A:$A,MATCH(TEXT(B3791,"0"),DePara!$D:$D,0)),"(sem categoria)")</f>
        <v/>
      </c>
      <c r="O3791" s="5">
        <f>IF(J3791="","",Parametros!$B$6-J3791)</f>
        <v/>
      </c>
      <c r="P3791" s="5">
        <f>IF(O3791="","",IF(O3791&gt;0,1,0))</f>
        <v/>
      </c>
    </row>
    <row r="3792">
      <c r="A3792" s="5" t="n">
        <v>2111000000</v>
      </c>
      <c r="B3792" s="5" t="inlineStr">
        <is>
          <t>100992</t>
        </is>
      </c>
      <c r="C3792" s="5" t="inlineStr">
        <is>
          <t>P W GESTAO DE SAUDE E SEGURANÇA LTD</t>
        </is>
      </c>
      <c r="D3792" s="5" t="inlineStr">
        <is>
          <t>AB</t>
        </is>
      </c>
      <c r="E3792" s="5" t="n">
        <v>1100020540</v>
      </c>
      <c r="F3792" s="5" t="inlineStr">
        <is>
          <t>18</t>
        </is>
      </c>
      <c r="G3792" s="5" t="inlineStr">
        <is>
          <t>BRL</t>
        </is>
      </c>
      <c r="H3792" s="9" t="n">
        <v>11611.76</v>
      </c>
      <c r="I3792" s="16" t="n">
        <v>46242</v>
      </c>
      <c r="J3792" s="16" t="n">
        <v>46242</v>
      </c>
      <c r="K3792" s="5" t="inlineStr">
        <is>
          <t>Saldo a ser descontado da NF de 09.26 ( NF101667)</t>
        </is>
      </c>
      <c r="L3792" s="5" t="n"/>
      <c r="M3792" s="5">
        <f>IF(YEAR(I3792)&lt;=2020,"Até 2020",TEXT(YEAR(I3792),"0"))</f>
        <v/>
      </c>
      <c r="N3792" s="5">
        <f>IFERROR(INDEX(DePara!$A:$A,MATCH(TEXT(B3792,"0"),DePara!$D:$D,0)),"(sem categoria)")</f>
        <v/>
      </c>
      <c r="O3792" s="5">
        <f>IF(J3792="","",Parametros!$B$6-J3792)</f>
        <v/>
      </c>
      <c r="P3792" s="5">
        <f>IF(O3792="","",IF(O3792&gt;0,1,0))</f>
        <v/>
      </c>
    </row>
    <row r="3793">
      <c r="A3793" s="5" t="n">
        <v>2111000000</v>
      </c>
      <c r="B3793" s="5" t="inlineStr">
        <is>
          <t>105984</t>
        </is>
      </c>
      <c r="C3793" s="5" t="inlineStr">
        <is>
          <t>TRADEWORKS SERVICOS DE COMERCIO EXT 04955748000107</t>
        </is>
      </c>
      <c r="D3793" s="5" t="inlineStr">
        <is>
          <t>AB</t>
        </is>
      </c>
      <c r="E3793" s="5" t="n">
        <v>1100022427</v>
      </c>
      <c r="F3793" s="5" t="inlineStr">
        <is>
          <t>0413/26</t>
        </is>
      </c>
      <c r="G3793" s="5" t="inlineStr">
        <is>
          <t>BRL</t>
        </is>
      </c>
      <c r="H3793" s="9" t="n">
        <v>196.55</v>
      </c>
      <c r="I3793" s="16" t="n">
        <v>46265</v>
      </c>
      <c r="J3793" s="16" t="n">
        <v>46265</v>
      </c>
      <c r="K3793" s="5" t="inlineStr">
        <is>
          <t>Partida individual TRADEWORKS SERVICOS DE COMERCIO</t>
        </is>
      </c>
      <c r="L3793" s="5" t="n"/>
      <c r="M3793" s="5">
        <f>IF(YEAR(I3793)&lt;=2020,"Até 2020",TEXT(YEAR(I3793),"0"))</f>
        <v/>
      </c>
      <c r="N3793" s="5">
        <f>IFERROR(INDEX(DePara!$A:$A,MATCH(TEXT(B3793,"0"),DePara!$D:$D,0)),"(sem categoria)")</f>
        <v/>
      </c>
      <c r="O3793" s="5">
        <f>IF(J3793="","",Parametros!$B$6-J3793)</f>
        <v/>
      </c>
      <c r="P3793" s="5">
        <f>IF(O3793="","",IF(O3793&gt;0,1,0))</f>
        <v/>
      </c>
    </row>
    <row r="3794">
      <c r="A3794" s="5" t="n">
        <v>2111000000</v>
      </c>
      <c r="B3794" s="5" t="inlineStr">
        <is>
          <t>105984</t>
        </is>
      </c>
      <c r="C3794" s="5" t="inlineStr">
        <is>
          <t>TRADEWORKS SERVICOS DE COMERCIO EXT 04955748000107</t>
        </is>
      </c>
      <c r="D3794" s="5" t="inlineStr">
        <is>
          <t>AB</t>
        </is>
      </c>
      <c r="E3794" s="5" t="n">
        <v>1100022428</v>
      </c>
      <c r="F3794" s="5" t="inlineStr">
        <is>
          <t>0419/26</t>
        </is>
      </c>
      <c r="G3794" s="5" t="inlineStr">
        <is>
          <t>BRL</t>
        </is>
      </c>
      <c r="H3794" s="9" t="n">
        <v>145754.77</v>
      </c>
      <c r="I3794" s="16" t="n">
        <v>46265</v>
      </c>
      <c r="J3794" s="16" t="n">
        <v>46265</v>
      </c>
      <c r="K3794" s="5" t="inlineStr">
        <is>
          <t>Partida individual TRADEWORKS SERVICOS DE COMERCIO</t>
        </is>
      </c>
      <c r="L3794" s="5" t="n"/>
      <c r="M3794" s="5">
        <f>IF(YEAR(I3794)&lt;=2020,"Até 2020",TEXT(YEAR(I3794),"0"))</f>
        <v/>
      </c>
      <c r="N3794" s="5">
        <f>IFERROR(INDEX(DePara!$A:$A,MATCH(TEXT(B3794,"0"),DePara!$D:$D,0)),"(sem categoria)")</f>
        <v/>
      </c>
      <c r="O3794" s="5">
        <f>IF(J3794="","",Parametros!$B$6-J3794)</f>
        <v/>
      </c>
      <c r="P3794" s="5">
        <f>IF(O3794="","",IF(O3794&gt;0,1,0))</f>
        <v/>
      </c>
    </row>
    <row r="3795">
      <c r="A3795" s="5" t="n">
        <v>2111000000</v>
      </c>
      <c r="B3795" s="5" t="inlineStr">
        <is>
          <t>101420</t>
        </is>
      </c>
      <c r="C3795" s="5" t="inlineStr">
        <is>
          <t>MEDEIROS GALVAO SOLUÇÕES LTDA</t>
        </is>
      </c>
      <c r="D3795" s="5" t="inlineStr">
        <is>
          <t>AB</t>
        </is>
      </c>
      <c r="E3795" s="5" t="n">
        <v>1100032821</v>
      </c>
      <c r="F3795" s="5" t="inlineStr">
        <is>
          <t>019859</t>
        </is>
      </c>
      <c r="G3795" s="5" t="inlineStr">
        <is>
          <t>BRL</t>
        </is>
      </c>
      <c r="H3795" s="9" t="n">
        <v>32240.11</v>
      </c>
      <c r="I3795" s="16" t="n">
        <v>45836</v>
      </c>
      <c r="J3795" s="16" t="n">
        <v>45836</v>
      </c>
      <c r="K3795" s="5" t="inlineStr">
        <is>
          <t>Partida individual MEDEIROS GALVAO SOLUÇÕES LTDA 0</t>
        </is>
      </c>
      <c r="L3795" s="5" t="n"/>
      <c r="M3795" s="5">
        <f>IF(YEAR(I3795)&lt;=2020,"Até 2020",TEXT(YEAR(I3795),"0"))</f>
        <v/>
      </c>
      <c r="N3795" s="5">
        <f>IFERROR(INDEX(DePara!$A:$A,MATCH(TEXT(B3795,"0"),DePara!$D:$D,0)),"(sem categoria)")</f>
        <v/>
      </c>
      <c r="O3795" s="5">
        <f>IF(J3795="","",Parametros!$B$6-J3795)</f>
        <v/>
      </c>
      <c r="P3795" s="5">
        <f>IF(O3795="","",IF(O3795&gt;0,1,0))</f>
        <v/>
      </c>
    </row>
    <row r="3796">
      <c r="A3796" s="5" t="n">
        <v>2111000000</v>
      </c>
      <c r="B3796" s="5" t="inlineStr">
        <is>
          <t>101632</t>
        </is>
      </c>
      <c r="C3796" s="5" t="inlineStr">
        <is>
          <t>BVQI DO BRASIL SOCIEDADE CERTIFICAD</t>
        </is>
      </c>
      <c r="D3796" s="5" t="inlineStr">
        <is>
          <t>AB</t>
        </is>
      </c>
      <c r="E3796" s="5" t="n">
        <v>1100034256</v>
      </c>
      <c r="F3796" s="5" t="inlineStr">
        <is>
          <t>0113389</t>
        </is>
      </c>
      <c r="G3796" s="5" t="inlineStr">
        <is>
          <t>BRL</t>
        </is>
      </c>
      <c r="H3796" s="9" t="n">
        <v>-1553.7</v>
      </c>
      <c r="I3796" s="16" t="n">
        <v>45861</v>
      </c>
      <c r="J3796" s="16" t="n">
        <v>45861</v>
      </c>
      <c r="K3796" s="5" t="inlineStr">
        <is>
          <t>Partida individual BVQI DO BRASIL SOCIEDADE CERTIF</t>
        </is>
      </c>
      <c r="L3796" s="5" t="inlineStr">
        <is>
          <t>30072025</t>
        </is>
      </c>
      <c r="M3796" s="5">
        <f>IF(YEAR(I3796)&lt;=2020,"Até 2020",TEXT(YEAR(I3796),"0"))</f>
        <v/>
      </c>
      <c r="N3796" s="5">
        <f>IFERROR(INDEX(DePara!$A:$A,MATCH(TEXT(B3796,"0"),DePara!$D:$D,0)),"(sem categoria)")</f>
        <v/>
      </c>
      <c r="O3796" s="5">
        <f>IF(J3796="","",Parametros!$B$6-J3796)</f>
        <v/>
      </c>
      <c r="P3796" s="5">
        <f>IF(O3796="","",IF(O3796&gt;0,1,0))</f>
        <v/>
      </c>
    </row>
    <row r="3797">
      <c r="A3797" s="5" t="n">
        <v>2111000000</v>
      </c>
      <c r="B3797" s="5" t="inlineStr">
        <is>
          <t>101632</t>
        </is>
      </c>
      <c r="C3797" s="5" t="inlineStr">
        <is>
          <t>BVQI DO BRASIL SOCIEDADE CERTIFICAD</t>
        </is>
      </c>
      <c r="D3797" s="5" t="inlineStr">
        <is>
          <t>AB</t>
        </is>
      </c>
      <c r="E3797" s="5" t="n">
        <v>1100034257</v>
      </c>
      <c r="F3797" s="5" t="inlineStr">
        <is>
          <t>0107788</t>
        </is>
      </c>
      <c r="G3797" s="5" t="inlineStr">
        <is>
          <t>BRL</t>
        </is>
      </c>
      <c r="H3797" s="9" t="n">
        <v>-4229.85</v>
      </c>
      <c r="I3797" s="16" t="n">
        <v>45861</v>
      </c>
      <c r="J3797" s="16" t="n">
        <v>45861</v>
      </c>
      <c r="K3797" s="5" t="inlineStr">
        <is>
          <t>Partida individual BVQI DO BRASIL SOCIEDADE CERTIF</t>
        </is>
      </c>
      <c r="L3797" s="5" t="inlineStr">
        <is>
          <t>30072025</t>
        </is>
      </c>
      <c r="M3797" s="5">
        <f>IF(YEAR(I3797)&lt;=2020,"Até 2020",TEXT(YEAR(I3797),"0"))</f>
        <v/>
      </c>
      <c r="N3797" s="5">
        <f>IFERROR(INDEX(DePara!$A:$A,MATCH(TEXT(B3797,"0"),DePara!$D:$D,0)),"(sem categoria)")</f>
        <v/>
      </c>
      <c r="O3797" s="5">
        <f>IF(J3797="","",Parametros!$B$6-J3797)</f>
        <v/>
      </c>
      <c r="P3797" s="5">
        <f>IF(O3797="","",IF(O3797&gt;0,1,0))</f>
        <v/>
      </c>
    </row>
    <row r="3798">
      <c r="A3798" s="5" t="n">
        <v>2111000000</v>
      </c>
      <c r="B3798" s="5" t="inlineStr">
        <is>
          <t>101632</t>
        </is>
      </c>
      <c r="C3798" s="5" t="inlineStr">
        <is>
          <t>BVQI DO BRASIL SOCIEDADE CERTIFICAD</t>
        </is>
      </c>
      <c r="D3798" s="5" t="inlineStr">
        <is>
          <t>AB</t>
        </is>
      </c>
      <c r="E3798" s="5" t="n">
        <v>1100034258</v>
      </c>
      <c r="F3798" s="5" t="inlineStr">
        <is>
          <t>0112856</t>
        </is>
      </c>
      <c r="G3798" s="5" t="inlineStr">
        <is>
          <t>BRL</t>
        </is>
      </c>
      <c r="H3798" s="9" t="n">
        <v>-4998.2</v>
      </c>
      <c r="I3798" s="16" t="n">
        <v>45861</v>
      </c>
      <c r="J3798" s="16" t="n">
        <v>45861</v>
      </c>
      <c r="K3798" s="5" t="inlineStr">
        <is>
          <t>Partida individual BVQI DO BRASIL SOCIEDADE CERTIF</t>
        </is>
      </c>
      <c r="L3798" s="5" t="inlineStr">
        <is>
          <t>30072025</t>
        </is>
      </c>
      <c r="M3798" s="5">
        <f>IF(YEAR(I3798)&lt;=2020,"Até 2020",TEXT(YEAR(I3798),"0"))</f>
        <v/>
      </c>
      <c r="N3798" s="5">
        <f>IFERROR(INDEX(DePara!$A:$A,MATCH(TEXT(B3798,"0"),DePara!$D:$D,0)),"(sem categoria)")</f>
        <v/>
      </c>
      <c r="O3798" s="5">
        <f>IF(J3798="","",Parametros!$B$6-J3798)</f>
        <v/>
      </c>
      <c r="P3798" s="5">
        <f>IF(O3798="","",IF(O3798&gt;0,1,0))</f>
        <v/>
      </c>
    </row>
    <row r="3799">
      <c r="A3799" s="5" t="n">
        <v>2111000000</v>
      </c>
      <c r="B3799" s="5" t="inlineStr">
        <is>
          <t>101071</t>
        </is>
      </c>
      <c r="C3799" s="5" t="inlineStr">
        <is>
          <t>CUSTOM COMERCIO INTERNACIONAL LTDA</t>
        </is>
      </c>
      <c r="D3799" s="5" t="inlineStr">
        <is>
          <t>AB</t>
        </is>
      </c>
      <c r="E3799" s="5" t="n">
        <v>1100036425</v>
      </c>
      <c r="F3799" s="5" t="inlineStr">
        <is>
          <t>4023002662</t>
        </is>
      </c>
      <c r="G3799" s="5" t="inlineStr">
        <is>
          <t>BRL</t>
        </is>
      </c>
      <c r="H3799" s="9" t="n">
        <v>155470.21</v>
      </c>
      <c r="I3799" s="16" t="n">
        <v>45871</v>
      </c>
      <c r="J3799" s="16" t="n">
        <v>45871</v>
      </c>
      <c r="K3799" s="5" t="inlineStr">
        <is>
          <t>CUSTOM A DEVOLVER</t>
        </is>
      </c>
      <c r="L3799" s="5" t="inlineStr">
        <is>
          <t>CUSTOM A DEVOLVER</t>
        </is>
      </c>
      <c r="M3799" s="5">
        <f>IF(YEAR(I3799)&lt;=2020,"Até 2020",TEXT(YEAR(I3799),"0"))</f>
        <v/>
      </c>
      <c r="N3799" s="5">
        <f>IFERROR(INDEX(DePara!$A:$A,MATCH(TEXT(B3799,"0"),DePara!$D:$D,0)),"(sem categoria)")</f>
        <v/>
      </c>
      <c r="O3799" s="5">
        <f>IF(J3799="","",Parametros!$B$6-J3799)</f>
        <v/>
      </c>
      <c r="P3799" s="5">
        <f>IF(O3799="","",IF(O3799&gt;0,1,0))</f>
        <v/>
      </c>
    </row>
    <row r="3800">
      <c r="A3800" s="5" t="n">
        <v>2111000000</v>
      </c>
      <c r="B3800" s="5" t="inlineStr">
        <is>
          <t>101071</t>
        </is>
      </c>
      <c r="C3800" s="5" t="inlineStr">
        <is>
          <t>CUSTOM COMERCIO INTERNACIONAL LTDA</t>
        </is>
      </c>
      <c r="D3800" s="5" t="inlineStr">
        <is>
          <t>AB</t>
        </is>
      </c>
      <c r="E3800" s="5" t="n">
        <v>1100036520</v>
      </c>
      <c r="F3800" s="5" t="inlineStr">
        <is>
          <t>OEM0209</t>
        </is>
      </c>
      <c r="G3800" s="5" t="inlineStr">
        <is>
          <t>BRL</t>
        </is>
      </c>
      <c r="H3800" s="9" t="n">
        <v>119283.6</v>
      </c>
      <c r="I3800" s="16" t="n">
        <v>45871</v>
      </c>
      <c r="J3800" s="16" t="n">
        <v>45871</v>
      </c>
      <c r="K3800" s="5" t="inlineStr">
        <is>
          <t>CUSTOM A DEVOLVER</t>
        </is>
      </c>
      <c r="L3800" s="5" t="inlineStr">
        <is>
          <t>CUSTOM A DEVOLVER</t>
        </is>
      </c>
      <c r="M3800" s="5">
        <f>IF(YEAR(I3800)&lt;=2020,"Até 2020",TEXT(YEAR(I3800),"0"))</f>
        <v/>
      </c>
      <c r="N3800" s="5">
        <f>IFERROR(INDEX(DePara!$A:$A,MATCH(TEXT(B3800,"0"),DePara!$D:$D,0)),"(sem categoria)")</f>
        <v/>
      </c>
      <c r="O3800" s="5">
        <f>IF(J3800="","",Parametros!$B$6-J3800)</f>
        <v/>
      </c>
      <c r="P3800" s="5">
        <f>IF(O3800="","",IF(O3800&gt;0,1,0))</f>
        <v/>
      </c>
    </row>
    <row r="3801">
      <c r="A3801" s="5" t="n">
        <v>2111000000</v>
      </c>
      <c r="B3801" s="5" t="inlineStr">
        <is>
          <t>101071</t>
        </is>
      </c>
      <c r="C3801" s="5" t="inlineStr">
        <is>
          <t>CUSTOM COMERCIO INTERNACIONAL LTDA</t>
        </is>
      </c>
      <c r="D3801" s="5" t="inlineStr">
        <is>
          <t>AB</t>
        </is>
      </c>
      <c r="E3801" s="5" t="n">
        <v>1100036537</v>
      </c>
      <c r="F3801" s="5" t="inlineStr">
        <is>
          <t>4012318402</t>
        </is>
      </c>
      <c r="G3801" s="5" t="inlineStr">
        <is>
          <t>BRL</t>
        </is>
      </c>
      <c r="H3801" s="9" t="n">
        <v>12987.43</v>
      </c>
      <c r="I3801" s="16" t="n">
        <v>45871</v>
      </c>
      <c r="J3801" s="16" t="n">
        <v>45871</v>
      </c>
      <c r="K3801" s="5" t="inlineStr">
        <is>
          <t>CUSTOM A DEVOLVER</t>
        </is>
      </c>
      <c r="L3801" s="5" t="inlineStr">
        <is>
          <t>CUSTOM A DEVOLVER</t>
        </is>
      </c>
      <c r="M3801" s="5">
        <f>IF(YEAR(I3801)&lt;=2020,"Até 2020",TEXT(YEAR(I3801),"0"))</f>
        <v/>
      </c>
      <c r="N3801" s="5">
        <f>IFERROR(INDEX(DePara!$A:$A,MATCH(TEXT(B3801,"0"),DePara!$D:$D,0)),"(sem categoria)")</f>
        <v/>
      </c>
      <c r="O3801" s="5">
        <f>IF(J3801="","",Parametros!$B$6-J3801)</f>
        <v/>
      </c>
      <c r="P3801" s="5">
        <f>IF(O3801="","",IF(O3801&gt;0,1,0))</f>
        <v/>
      </c>
    </row>
    <row r="3802">
      <c r="A3802" s="5" t="n">
        <v>2111000000</v>
      </c>
      <c r="B3802" s="5" t="inlineStr">
        <is>
          <t>101071</t>
        </is>
      </c>
      <c r="C3802" s="5" t="inlineStr">
        <is>
          <t>CUSTOM COMERCIO INTERNACIONAL LTDA</t>
        </is>
      </c>
      <c r="D3802" s="5" t="inlineStr">
        <is>
          <t>AB</t>
        </is>
      </c>
      <c r="E3802" s="5" t="n">
        <v>1100036543</v>
      </c>
      <c r="F3802" s="5" t="inlineStr">
        <is>
          <t>CAJUII012T</t>
        </is>
      </c>
      <c r="G3802" s="5" t="inlineStr">
        <is>
          <t>BRL</t>
        </is>
      </c>
      <c r="H3802" s="9" t="n">
        <v>52018.67</v>
      </c>
      <c r="I3802" s="16" t="n">
        <v>45871</v>
      </c>
      <c r="J3802" s="16" t="n">
        <v>45871</v>
      </c>
      <c r="K3802" s="5" t="inlineStr">
        <is>
          <t>CUSTOM A DEVOLVER</t>
        </is>
      </c>
      <c r="L3802" s="5" t="inlineStr">
        <is>
          <t>CUSTOM A DEVOLVER</t>
        </is>
      </c>
      <c r="M3802" s="5">
        <f>IF(YEAR(I3802)&lt;=2020,"Até 2020",TEXT(YEAR(I3802),"0"))</f>
        <v/>
      </c>
      <c r="N3802" s="5">
        <f>IFERROR(INDEX(DePara!$A:$A,MATCH(TEXT(B3802,"0"),DePara!$D:$D,0)),"(sem categoria)")</f>
        <v/>
      </c>
      <c r="O3802" s="5">
        <f>IF(J3802="","",Parametros!$B$6-J3802)</f>
        <v/>
      </c>
      <c r="P3802" s="5">
        <f>IF(O3802="","",IF(O3802&gt;0,1,0))</f>
        <v/>
      </c>
    </row>
    <row r="3803">
      <c r="A3803" s="5" t="n">
        <v>2111000000</v>
      </c>
      <c r="B3803" s="5" t="inlineStr">
        <is>
          <t>101071</t>
        </is>
      </c>
      <c r="C3803" s="5" t="inlineStr">
        <is>
          <t>CUSTOM COMERCIO INTERNACIONAL LTDA</t>
        </is>
      </c>
      <c r="D3803" s="5" t="inlineStr">
        <is>
          <t>AB</t>
        </is>
      </c>
      <c r="E3803" s="5" t="n">
        <v>1100036590</v>
      </c>
      <c r="F3803" s="5" t="inlineStr">
        <is>
          <t>LDVV006A1</t>
        </is>
      </c>
      <c r="G3803" s="5" t="inlineStr">
        <is>
          <t>BRL</t>
        </is>
      </c>
      <c r="H3803" s="9" t="n">
        <v>609264</v>
      </c>
      <c r="I3803" s="16" t="n">
        <v>45871</v>
      </c>
      <c r="J3803" s="16" t="n">
        <v>45871</v>
      </c>
      <c r="K3803" s="5" t="inlineStr">
        <is>
          <t>CUSTOM A DEVOLVER</t>
        </is>
      </c>
      <c r="L3803" s="5" t="inlineStr">
        <is>
          <t>CUSTOM A DEVOLVER</t>
        </is>
      </c>
      <c r="M3803" s="5">
        <f>IF(YEAR(I3803)&lt;=2020,"Até 2020",TEXT(YEAR(I3803),"0"))</f>
        <v/>
      </c>
      <c r="N3803" s="5">
        <f>IFERROR(INDEX(DePara!$A:$A,MATCH(TEXT(B3803,"0"),DePara!$D:$D,0)),"(sem categoria)")</f>
        <v/>
      </c>
      <c r="O3803" s="5">
        <f>IF(J3803="","",Parametros!$B$6-J3803)</f>
        <v/>
      </c>
      <c r="P3803" s="5">
        <f>IF(O3803="","",IF(O3803&gt;0,1,0))</f>
        <v/>
      </c>
    </row>
    <row r="3804">
      <c r="A3804" s="5" t="n">
        <v>2111000000</v>
      </c>
      <c r="B3804" s="5" t="inlineStr">
        <is>
          <t>101071</t>
        </is>
      </c>
      <c r="C3804" s="5" t="inlineStr">
        <is>
          <t>CUSTOM COMERCIO INTERNACIONAL LTDA</t>
        </is>
      </c>
      <c r="D3804" s="5" t="inlineStr">
        <is>
          <t>AB</t>
        </is>
      </c>
      <c r="E3804" s="5" t="n">
        <v>1100036639</v>
      </c>
      <c r="F3804" s="5" t="inlineStr">
        <is>
          <t>CAJU023U</t>
        </is>
      </c>
      <c r="G3804" s="5" t="inlineStr">
        <is>
          <t>BRL</t>
        </is>
      </c>
      <c r="H3804" s="9" t="n">
        <v>100153.13</v>
      </c>
      <c r="I3804" s="16" t="n">
        <v>45871</v>
      </c>
      <c r="J3804" s="16" t="n">
        <v>45871</v>
      </c>
      <c r="K3804" s="5" t="inlineStr">
        <is>
          <t>CUSTOM A DEVOLVER</t>
        </is>
      </c>
      <c r="L3804" s="5" t="inlineStr">
        <is>
          <t>CUSTOM A DEVOLVER</t>
        </is>
      </c>
      <c r="M3804" s="5">
        <f>IF(YEAR(I3804)&lt;=2020,"Até 2020",TEXT(YEAR(I3804),"0"))</f>
        <v/>
      </c>
      <c r="N3804" s="5">
        <f>IFERROR(INDEX(DePara!$A:$A,MATCH(TEXT(B3804,"0"),DePara!$D:$D,0)),"(sem categoria)")</f>
        <v/>
      </c>
      <c r="O3804" s="5">
        <f>IF(J3804="","",Parametros!$B$6-J3804)</f>
        <v/>
      </c>
      <c r="P3804" s="5">
        <f>IF(O3804="","",IF(O3804&gt;0,1,0))</f>
        <v/>
      </c>
    </row>
    <row r="3805">
      <c r="A3805" s="5" t="n">
        <v>2111000000</v>
      </c>
      <c r="B3805" s="5" t="inlineStr">
        <is>
          <t>101071</t>
        </is>
      </c>
      <c r="C3805" s="5" t="inlineStr">
        <is>
          <t>CUSTOM COMERCIO INTERNACIONAL LTDA</t>
        </is>
      </c>
      <c r="D3805" s="5" t="inlineStr">
        <is>
          <t>AB</t>
        </is>
      </c>
      <c r="E3805" s="5" t="n">
        <v>1100036724</v>
      </c>
      <c r="F3805" s="5" t="inlineStr">
        <is>
          <t>OEM0241</t>
        </is>
      </c>
      <c r="G3805" s="5" t="inlineStr">
        <is>
          <t>BRL</t>
        </is>
      </c>
      <c r="H3805" s="9" t="n">
        <v>44838.5</v>
      </c>
      <c r="I3805" s="16" t="n">
        <v>45871</v>
      </c>
      <c r="J3805" s="16" t="n">
        <v>45871</v>
      </c>
      <c r="K3805" s="5" t="inlineStr">
        <is>
          <t>CUSTOM A DEVOLVER</t>
        </is>
      </c>
      <c r="L3805" s="5" t="inlineStr">
        <is>
          <t>CUSTOM A DEVOLVER</t>
        </is>
      </c>
      <c r="M3805" s="5">
        <f>IF(YEAR(I3805)&lt;=2020,"Até 2020",TEXT(YEAR(I3805),"0"))</f>
        <v/>
      </c>
      <c r="N3805" s="5">
        <f>IFERROR(INDEX(DePara!$A:$A,MATCH(TEXT(B3805,"0"),DePara!$D:$D,0)),"(sem categoria)")</f>
        <v/>
      </c>
      <c r="O3805" s="5">
        <f>IF(J3805="","",Parametros!$B$6-J3805)</f>
        <v/>
      </c>
      <c r="P3805" s="5">
        <f>IF(O3805="","",IF(O3805&gt;0,1,0))</f>
        <v/>
      </c>
    </row>
    <row r="3806">
      <c r="A3806" s="5" t="n">
        <v>2111000000</v>
      </c>
      <c r="B3806" s="5" t="inlineStr">
        <is>
          <t>101071</t>
        </is>
      </c>
      <c r="C3806" s="5" t="inlineStr">
        <is>
          <t>CUSTOM COMERCIO INTERNACIONAL LTDA</t>
        </is>
      </c>
      <c r="D3806" s="5" t="inlineStr">
        <is>
          <t>AB</t>
        </is>
      </c>
      <c r="E3806" s="5" t="n">
        <v>1100036727</v>
      </c>
      <c r="F3806" s="5" t="inlineStr">
        <is>
          <t>CAJU004EPE</t>
        </is>
      </c>
      <c r="G3806" s="5" t="inlineStr">
        <is>
          <t>BRL</t>
        </is>
      </c>
      <c r="H3806" s="9" t="n">
        <v>120225.33</v>
      </c>
      <c r="I3806" s="16" t="n">
        <v>45871</v>
      </c>
      <c r="J3806" s="16" t="n">
        <v>45871</v>
      </c>
      <c r="K3806" s="5" t="inlineStr">
        <is>
          <t>CUSTOM A DEVOLVER</t>
        </is>
      </c>
      <c r="L3806" s="5" t="inlineStr">
        <is>
          <t>CUSTOM A DEVOLVER</t>
        </is>
      </c>
      <c r="M3806" s="5">
        <f>IF(YEAR(I3806)&lt;=2020,"Até 2020",TEXT(YEAR(I3806),"0"))</f>
        <v/>
      </c>
      <c r="N3806" s="5">
        <f>IFERROR(INDEX(DePara!$A:$A,MATCH(TEXT(B3806,"0"),DePara!$D:$D,0)),"(sem categoria)")</f>
        <v/>
      </c>
      <c r="O3806" s="5">
        <f>IF(J3806="","",Parametros!$B$6-J3806)</f>
        <v/>
      </c>
      <c r="P3806" s="5">
        <f>IF(O3806="","",IF(O3806&gt;0,1,0))</f>
        <v/>
      </c>
    </row>
    <row r="3807">
      <c r="A3807" s="5" t="n">
        <v>2111000000</v>
      </c>
      <c r="B3807" s="5" t="inlineStr">
        <is>
          <t>101071</t>
        </is>
      </c>
      <c r="C3807" s="5" t="inlineStr">
        <is>
          <t>CUSTOM COMERCIO INTERNACIONAL LTDA</t>
        </is>
      </c>
      <c r="D3807" s="5" t="inlineStr">
        <is>
          <t>AB</t>
        </is>
      </c>
      <c r="E3807" s="5" t="n">
        <v>1100036729</v>
      </c>
      <c r="F3807" s="5" t="inlineStr">
        <is>
          <t>OEM0267</t>
        </is>
      </c>
      <c r="G3807" s="5" t="inlineStr">
        <is>
          <t>BRL</t>
        </is>
      </c>
      <c r="H3807" s="9" t="n">
        <v>45390.35</v>
      </c>
      <c r="I3807" s="16" t="n">
        <v>45871</v>
      </c>
      <c r="J3807" s="16" t="n">
        <v>45871</v>
      </c>
      <c r="K3807" s="5" t="inlineStr">
        <is>
          <t>CUSTOM A DEVOLVER</t>
        </is>
      </c>
      <c r="L3807" s="5" t="inlineStr">
        <is>
          <t>CUSTOM A DEVOLVER</t>
        </is>
      </c>
      <c r="M3807" s="5">
        <f>IF(YEAR(I3807)&lt;=2020,"Até 2020",TEXT(YEAR(I3807),"0"))</f>
        <v/>
      </c>
      <c r="N3807" s="5">
        <f>IFERROR(INDEX(DePara!$A:$A,MATCH(TEXT(B3807,"0"),DePara!$D:$D,0)),"(sem categoria)")</f>
        <v/>
      </c>
      <c r="O3807" s="5">
        <f>IF(J3807="","",Parametros!$B$6-J3807)</f>
        <v/>
      </c>
      <c r="P3807" s="5">
        <f>IF(O3807="","",IF(O3807&gt;0,1,0))</f>
        <v/>
      </c>
    </row>
    <row r="3808">
      <c r="A3808" s="5" t="n">
        <v>2111000000</v>
      </c>
      <c r="B3808" s="5" t="inlineStr">
        <is>
          <t>101071</t>
        </is>
      </c>
      <c r="C3808" s="5" t="inlineStr">
        <is>
          <t>CUSTOM COMERCIO INTERNACIONAL LTDA</t>
        </is>
      </c>
      <c r="D3808" s="5" t="inlineStr">
        <is>
          <t>AB</t>
        </is>
      </c>
      <c r="E3808" s="5" t="n">
        <v>1100036741</v>
      </c>
      <c r="F3808" s="5" t="inlineStr">
        <is>
          <t>CAJU037A</t>
        </is>
      </c>
      <c r="G3808" s="5" t="inlineStr">
        <is>
          <t>BRL</t>
        </is>
      </c>
      <c r="H3808" s="9" t="n">
        <v>6337.1</v>
      </c>
      <c r="I3808" s="16" t="n">
        <v>45871</v>
      </c>
      <c r="J3808" s="16" t="n">
        <v>45871</v>
      </c>
      <c r="K3808" s="5" t="inlineStr">
        <is>
          <t>CUSTOM A DEVOLVER</t>
        </is>
      </c>
      <c r="L3808" s="5" t="inlineStr">
        <is>
          <t>CUSTOM A DEVOLVER</t>
        </is>
      </c>
      <c r="M3808" s="5">
        <f>IF(YEAR(I3808)&lt;=2020,"Até 2020",TEXT(YEAR(I3808),"0"))</f>
        <v/>
      </c>
      <c r="N3808" s="5">
        <f>IFERROR(INDEX(DePara!$A:$A,MATCH(TEXT(B3808,"0"),DePara!$D:$D,0)),"(sem categoria)")</f>
        <v/>
      </c>
      <c r="O3808" s="5">
        <f>IF(J3808="","",Parametros!$B$6-J3808)</f>
        <v/>
      </c>
      <c r="P3808" s="5">
        <f>IF(O3808="","",IF(O3808&gt;0,1,0))</f>
        <v/>
      </c>
    </row>
    <row r="3809">
      <c r="A3809" s="5" t="n">
        <v>2111000000</v>
      </c>
      <c r="B3809" s="5" t="inlineStr">
        <is>
          <t>101071</t>
        </is>
      </c>
      <c r="C3809" s="5" t="inlineStr">
        <is>
          <t>CUSTOM COMERCIO INTERNACIONAL LTDA</t>
        </is>
      </c>
      <c r="D3809" s="5" t="inlineStr">
        <is>
          <t>AB</t>
        </is>
      </c>
      <c r="E3809" s="5" t="n">
        <v>1100036742</v>
      </c>
      <c r="F3809" s="5" t="inlineStr">
        <is>
          <t>LDVV008A</t>
        </is>
      </c>
      <c r="G3809" s="5" t="inlineStr">
        <is>
          <t>BRL</t>
        </is>
      </c>
      <c r="H3809" s="9" t="n">
        <v>92016.85000000001</v>
      </c>
      <c r="I3809" s="16" t="n">
        <v>45871</v>
      </c>
      <c r="J3809" s="16" t="n">
        <v>45871</v>
      </c>
      <c r="K3809" s="5" t="inlineStr">
        <is>
          <t>CUSTOM A DEVOLVER</t>
        </is>
      </c>
      <c r="L3809" s="5" t="inlineStr">
        <is>
          <t>CUSTOM A DEVOLVER</t>
        </is>
      </c>
      <c r="M3809" s="5">
        <f>IF(YEAR(I3809)&lt;=2020,"Até 2020",TEXT(YEAR(I3809),"0"))</f>
        <v/>
      </c>
      <c r="N3809" s="5">
        <f>IFERROR(INDEX(DePara!$A:$A,MATCH(TEXT(B3809,"0"),DePara!$D:$D,0)),"(sem categoria)")</f>
        <v/>
      </c>
      <c r="O3809" s="5">
        <f>IF(J3809="","",Parametros!$B$6-J3809)</f>
        <v/>
      </c>
      <c r="P3809" s="5">
        <f>IF(O3809="","",IF(O3809&gt;0,1,0))</f>
        <v/>
      </c>
    </row>
    <row r="3810">
      <c r="A3810" s="5" t="n">
        <v>2111000000</v>
      </c>
      <c r="B3810" s="5" t="inlineStr">
        <is>
          <t>101071</t>
        </is>
      </c>
      <c r="C3810" s="5" t="inlineStr">
        <is>
          <t>CUSTOM COMERCIO INTERNACIONAL LTDA</t>
        </is>
      </c>
      <c r="D3810" s="5" t="inlineStr">
        <is>
          <t>AB</t>
        </is>
      </c>
      <c r="E3810" s="5" t="n">
        <v>1100036759</v>
      </c>
      <c r="F3810" s="5" t="inlineStr">
        <is>
          <t>MOLDE T2A</t>
        </is>
      </c>
      <c r="G3810" s="5" t="inlineStr">
        <is>
          <t>BRL</t>
        </is>
      </c>
      <c r="H3810" s="9" t="n">
        <v>14339.3</v>
      </c>
      <c r="I3810" s="16" t="n">
        <v>45871</v>
      </c>
      <c r="J3810" s="16" t="n">
        <v>45871</v>
      </c>
      <c r="K3810" s="5" t="inlineStr">
        <is>
          <t>CUSTOM A DEVOLVER</t>
        </is>
      </c>
      <c r="L3810" s="5" t="inlineStr">
        <is>
          <t>CUSTOM A DEVOLVER</t>
        </is>
      </c>
      <c r="M3810" s="5">
        <f>IF(YEAR(I3810)&lt;=2020,"Até 2020",TEXT(YEAR(I3810),"0"))</f>
        <v/>
      </c>
      <c r="N3810" s="5">
        <f>IFERROR(INDEX(DePara!$A:$A,MATCH(TEXT(B3810,"0"),DePara!$D:$D,0)),"(sem categoria)")</f>
        <v/>
      </c>
      <c r="O3810" s="5">
        <f>IF(J3810="","",Parametros!$B$6-J3810)</f>
        <v/>
      </c>
      <c r="P3810" s="5">
        <f>IF(O3810="","",IF(O3810&gt;0,1,0))</f>
        <v/>
      </c>
    </row>
    <row r="3811">
      <c r="A3811" s="5" t="n">
        <v>2111000000</v>
      </c>
      <c r="B3811" s="5" t="inlineStr">
        <is>
          <t>101071</t>
        </is>
      </c>
      <c r="C3811" s="5" t="inlineStr">
        <is>
          <t>CUSTOM COMERCIO INTERNACIONAL LTDA</t>
        </is>
      </c>
      <c r="D3811" s="5" t="inlineStr">
        <is>
          <t>AB</t>
        </is>
      </c>
      <c r="E3811" s="5" t="n">
        <v>1100036765</v>
      </c>
      <c r="F3811" s="5" t="inlineStr">
        <is>
          <t>MOLDE T3A</t>
        </is>
      </c>
      <c r="G3811" s="5" t="inlineStr">
        <is>
          <t>BRL</t>
        </is>
      </c>
      <c r="H3811" s="9" t="n">
        <v>31625.57</v>
      </c>
      <c r="I3811" s="16" t="n">
        <v>45871</v>
      </c>
      <c r="J3811" s="16" t="n">
        <v>45871</v>
      </c>
      <c r="K3811" s="5" t="inlineStr">
        <is>
          <t>CUSTOM A DEVOLVER</t>
        </is>
      </c>
      <c r="L3811" s="5" t="inlineStr">
        <is>
          <t>CUSTOM A DEVOLVER</t>
        </is>
      </c>
      <c r="M3811" s="5">
        <f>IF(YEAR(I3811)&lt;=2020,"Até 2020",TEXT(YEAR(I3811),"0"))</f>
        <v/>
      </c>
      <c r="N3811" s="5">
        <f>IFERROR(INDEX(DePara!$A:$A,MATCH(TEXT(B3811,"0"),DePara!$D:$D,0)),"(sem categoria)")</f>
        <v/>
      </c>
      <c r="O3811" s="5">
        <f>IF(J3811="","",Parametros!$B$6-J3811)</f>
        <v/>
      </c>
      <c r="P3811" s="5">
        <f>IF(O3811="","",IF(O3811&gt;0,1,0))</f>
        <v/>
      </c>
    </row>
    <row r="3812">
      <c r="A3812" s="5" t="n">
        <v>2111000000</v>
      </c>
      <c r="B3812" s="5" t="inlineStr">
        <is>
          <t>101071</t>
        </is>
      </c>
      <c r="C3812" s="5" t="inlineStr">
        <is>
          <t>CUSTOM COMERCIO INTERNACIONAL LTDA</t>
        </is>
      </c>
      <c r="D3812" s="5" t="inlineStr">
        <is>
          <t>AB</t>
        </is>
      </c>
      <c r="E3812" s="5" t="n">
        <v>1100036769</v>
      </c>
      <c r="F3812" s="5" t="inlineStr">
        <is>
          <t>LDVV046U1</t>
        </is>
      </c>
      <c r="G3812" s="5" t="inlineStr">
        <is>
          <t>BRL</t>
        </is>
      </c>
      <c r="H3812" s="9" t="n">
        <v>127516.22</v>
      </c>
      <c r="I3812" s="16" t="n">
        <v>45871</v>
      </c>
      <c r="J3812" s="16" t="n">
        <v>45871</v>
      </c>
      <c r="K3812" s="5" t="inlineStr">
        <is>
          <t>CUSTOM A DEVOLVER</t>
        </is>
      </c>
      <c r="L3812" s="5" t="inlineStr">
        <is>
          <t>CUSTOM A DEVOLVER</t>
        </is>
      </c>
      <c r="M3812" s="5">
        <f>IF(YEAR(I3812)&lt;=2020,"Até 2020",TEXT(YEAR(I3812),"0"))</f>
        <v/>
      </c>
      <c r="N3812" s="5">
        <f>IFERROR(INDEX(DePara!$A:$A,MATCH(TEXT(B3812,"0"),DePara!$D:$D,0)),"(sem categoria)")</f>
        <v/>
      </c>
      <c r="O3812" s="5">
        <f>IF(J3812="","",Parametros!$B$6-J3812)</f>
        <v/>
      </c>
      <c r="P3812" s="5">
        <f>IF(O3812="","",IF(O3812&gt;0,1,0))</f>
        <v/>
      </c>
    </row>
    <row r="3813">
      <c r="A3813" s="5" t="n">
        <v>2111000000</v>
      </c>
      <c r="B3813" s="5" t="inlineStr">
        <is>
          <t>101071</t>
        </is>
      </c>
      <c r="C3813" s="5" t="inlineStr">
        <is>
          <t>CUSTOM COMERCIO INTERNACIONAL LTDA</t>
        </is>
      </c>
      <c r="D3813" s="5" t="inlineStr">
        <is>
          <t>AB</t>
        </is>
      </c>
      <c r="E3813" s="5" t="n">
        <v>1100036771</v>
      </c>
      <c r="F3813" s="5" t="inlineStr">
        <is>
          <t>OEM0500</t>
        </is>
      </c>
      <c r="G3813" s="5" t="inlineStr">
        <is>
          <t>BRL</t>
        </is>
      </c>
      <c r="H3813" s="9" t="n">
        <v>4388.62</v>
      </c>
      <c r="I3813" s="16" t="n">
        <v>45871</v>
      </c>
      <c r="J3813" s="16" t="n">
        <v>45871</v>
      </c>
      <c r="K3813" s="5" t="inlineStr">
        <is>
          <t>CUSTOM A DEVOLVER</t>
        </is>
      </c>
      <c r="L3813" s="5" t="inlineStr">
        <is>
          <t>CUSTOM A DEVOLVER</t>
        </is>
      </c>
      <c r="M3813" s="5">
        <f>IF(YEAR(I3813)&lt;=2020,"Até 2020",TEXT(YEAR(I3813),"0"))</f>
        <v/>
      </c>
      <c r="N3813" s="5">
        <f>IFERROR(INDEX(DePara!$A:$A,MATCH(TEXT(B3813,"0"),DePara!$D:$D,0)),"(sem categoria)")</f>
        <v/>
      </c>
      <c r="O3813" s="5">
        <f>IF(J3813="","",Parametros!$B$6-J3813)</f>
        <v/>
      </c>
      <c r="P3813" s="5">
        <f>IF(O3813="","",IF(O3813&gt;0,1,0))</f>
        <v/>
      </c>
    </row>
    <row r="3814">
      <c r="A3814" s="5" t="n">
        <v>2111000000</v>
      </c>
      <c r="B3814" s="5" t="inlineStr">
        <is>
          <t>101071</t>
        </is>
      </c>
      <c r="C3814" s="5" t="inlineStr">
        <is>
          <t>CUSTOM COMERCIO INTERNACIONAL LTDA</t>
        </is>
      </c>
      <c r="D3814" s="5" t="inlineStr">
        <is>
          <t>AB</t>
        </is>
      </c>
      <c r="E3814" s="5" t="n">
        <v>1100036805</v>
      </c>
      <c r="F3814" s="5" t="inlineStr">
        <is>
          <t>03606/24</t>
        </is>
      </c>
      <c r="G3814" s="5" t="inlineStr">
        <is>
          <t>BRL</t>
        </is>
      </c>
      <c r="H3814" s="9" t="n">
        <v>35147.05</v>
      </c>
      <c r="I3814" s="16" t="n">
        <v>45871</v>
      </c>
      <c r="J3814" s="16" t="n">
        <v>45871</v>
      </c>
      <c r="K3814" s="5" t="inlineStr">
        <is>
          <t>CUSTOM A DEVOLVER</t>
        </is>
      </c>
      <c r="L3814" s="5" t="inlineStr">
        <is>
          <t>CUSTOM A DEVOLVER</t>
        </is>
      </c>
      <c r="M3814" s="5">
        <f>IF(YEAR(I3814)&lt;=2020,"Até 2020",TEXT(YEAR(I3814),"0"))</f>
        <v/>
      </c>
      <c r="N3814" s="5">
        <f>IFERROR(INDEX(DePara!$A:$A,MATCH(TEXT(B3814,"0"),DePara!$D:$D,0)),"(sem categoria)")</f>
        <v/>
      </c>
      <c r="O3814" s="5">
        <f>IF(J3814="","",Parametros!$B$6-J3814)</f>
        <v/>
      </c>
      <c r="P3814" s="5">
        <f>IF(O3814="","",IF(O3814&gt;0,1,0))</f>
        <v/>
      </c>
    </row>
    <row r="3815">
      <c r="A3815" s="5" t="n">
        <v>2111000000</v>
      </c>
      <c r="B3815" s="5" t="inlineStr">
        <is>
          <t>101071</t>
        </is>
      </c>
      <c r="C3815" s="5" t="inlineStr">
        <is>
          <t>CUSTOM COMERCIO INTERNACIONAL LTDA</t>
        </is>
      </c>
      <c r="D3815" s="5" t="inlineStr">
        <is>
          <t>AB</t>
        </is>
      </c>
      <c r="E3815" s="5" t="n">
        <v>1100036811</v>
      </c>
      <c r="F3815" s="5" t="inlineStr">
        <is>
          <t>4023003076</t>
        </is>
      </c>
      <c r="G3815" s="5" t="inlineStr">
        <is>
          <t>BRL</t>
        </is>
      </c>
      <c r="H3815" s="9" t="n">
        <v>158520.14</v>
      </c>
      <c r="I3815" s="16" t="n">
        <v>45871</v>
      </c>
      <c r="J3815" s="16" t="n">
        <v>45871</v>
      </c>
      <c r="K3815" s="5" t="inlineStr">
        <is>
          <t>CUSTOM A DEVOLVER</t>
        </is>
      </c>
      <c r="L3815" s="5" t="inlineStr">
        <is>
          <t>CUSTOM A DEVOLVER</t>
        </is>
      </c>
      <c r="M3815" s="5">
        <f>IF(YEAR(I3815)&lt;=2020,"Até 2020",TEXT(YEAR(I3815),"0"))</f>
        <v/>
      </c>
      <c r="N3815" s="5">
        <f>IFERROR(INDEX(DePara!$A:$A,MATCH(TEXT(B3815,"0"),DePara!$D:$D,0)),"(sem categoria)")</f>
        <v/>
      </c>
      <c r="O3815" s="5">
        <f>IF(J3815="","",Parametros!$B$6-J3815)</f>
        <v/>
      </c>
      <c r="P3815" s="5">
        <f>IF(O3815="","",IF(O3815&gt;0,1,0))</f>
        <v/>
      </c>
    </row>
    <row r="3816">
      <c r="A3816" s="5" t="n">
        <v>2111000000</v>
      </c>
      <c r="B3816" s="5" t="inlineStr">
        <is>
          <t>101071</t>
        </is>
      </c>
      <c r="C3816" s="5" t="inlineStr">
        <is>
          <t>CUSTOM COMERCIO INTERNACIONAL LTDA</t>
        </is>
      </c>
      <c r="D3816" s="5" t="inlineStr">
        <is>
          <t>AB</t>
        </is>
      </c>
      <c r="E3816" s="5" t="n">
        <v>1100036819</v>
      </c>
      <c r="F3816" s="5" t="inlineStr">
        <is>
          <t>OEM0355</t>
        </is>
      </c>
      <c r="G3816" s="5" t="inlineStr">
        <is>
          <t>BRL</t>
        </is>
      </c>
      <c r="H3816" s="9" t="n">
        <v>44550.28</v>
      </c>
      <c r="I3816" s="16" t="n">
        <v>45871</v>
      </c>
      <c r="J3816" s="16" t="n">
        <v>45871</v>
      </c>
      <c r="K3816" s="5" t="inlineStr">
        <is>
          <t>CUSTOM A DEVOLVER</t>
        </is>
      </c>
      <c r="L3816" s="5" t="inlineStr">
        <is>
          <t>CUSTOM A DEVOLVER</t>
        </is>
      </c>
      <c r="M3816" s="5">
        <f>IF(YEAR(I3816)&lt;=2020,"Até 2020",TEXT(YEAR(I3816),"0"))</f>
        <v/>
      </c>
      <c r="N3816" s="5">
        <f>IFERROR(INDEX(DePara!$A:$A,MATCH(TEXT(B3816,"0"),DePara!$D:$D,0)),"(sem categoria)")</f>
        <v/>
      </c>
      <c r="O3816" s="5">
        <f>IF(J3816="","",Parametros!$B$6-J3816)</f>
        <v/>
      </c>
      <c r="P3816" s="5">
        <f>IF(O3816="","",IF(O3816&gt;0,1,0))</f>
        <v/>
      </c>
    </row>
    <row r="3817">
      <c r="A3817" s="5" t="n">
        <v>2111000000</v>
      </c>
      <c r="B3817" s="5" t="inlineStr">
        <is>
          <t>101071</t>
        </is>
      </c>
      <c r="C3817" s="5" t="inlineStr">
        <is>
          <t>CUSTOM COMERCIO INTERNACIONAL LTDA</t>
        </is>
      </c>
      <c r="D3817" s="5" t="inlineStr">
        <is>
          <t>AB</t>
        </is>
      </c>
      <c r="E3817" s="5" t="n">
        <v>1100036821</v>
      </c>
      <c r="F3817" s="5" t="inlineStr">
        <is>
          <t>CAJU025A</t>
        </is>
      </c>
      <c r="G3817" s="5" t="inlineStr">
        <is>
          <t>BRL</t>
        </is>
      </c>
      <c r="H3817" s="9" t="n">
        <v>86259.91</v>
      </c>
      <c r="I3817" s="16" t="n">
        <v>45871</v>
      </c>
      <c r="J3817" s="16" t="n">
        <v>45871</v>
      </c>
      <c r="K3817" s="5" t="inlineStr">
        <is>
          <t>CUSTOM A DEVOLVER</t>
        </is>
      </c>
      <c r="L3817" s="5" t="inlineStr">
        <is>
          <t>CUSTOM A DEVOLVER</t>
        </is>
      </c>
      <c r="M3817" s="5">
        <f>IF(YEAR(I3817)&lt;=2020,"Até 2020",TEXT(YEAR(I3817),"0"))</f>
        <v/>
      </c>
      <c r="N3817" s="5">
        <f>IFERROR(INDEX(DePara!$A:$A,MATCH(TEXT(B3817,"0"),DePara!$D:$D,0)),"(sem categoria)")</f>
        <v/>
      </c>
      <c r="O3817" s="5">
        <f>IF(J3817="","",Parametros!$B$6-J3817)</f>
        <v/>
      </c>
      <c r="P3817" s="5">
        <f>IF(O3817="","",IF(O3817&gt;0,1,0))</f>
        <v/>
      </c>
    </row>
    <row r="3818">
      <c r="A3818" s="5" t="n">
        <v>2111000000</v>
      </c>
      <c r="B3818" s="5" t="inlineStr">
        <is>
          <t>101071</t>
        </is>
      </c>
      <c r="C3818" s="5" t="inlineStr">
        <is>
          <t>CUSTOM COMERCIO INTERNACIONAL LTDA</t>
        </is>
      </c>
      <c r="D3818" s="5" t="inlineStr">
        <is>
          <t>AB</t>
        </is>
      </c>
      <c r="E3818" s="5" t="n">
        <v>1100036822</v>
      </c>
      <c r="F3818" s="5" t="inlineStr">
        <is>
          <t>4023004712</t>
        </is>
      </c>
      <c r="G3818" s="5" t="inlineStr">
        <is>
          <t>BRL</t>
        </is>
      </c>
      <c r="H3818" s="9" t="n">
        <v>150630.06</v>
      </c>
      <c r="I3818" s="16" t="n">
        <v>45871</v>
      </c>
      <c r="J3818" s="16" t="n">
        <v>45871</v>
      </c>
      <c r="K3818" s="5" t="inlineStr">
        <is>
          <t>CUSTOM A DEVOLVER</t>
        </is>
      </c>
      <c r="L3818" s="5" t="inlineStr">
        <is>
          <t>CUSTOM A DEVOLVER</t>
        </is>
      </c>
      <c r="M3818" s="5">
        <f>IF(YEAR(I3818)&lt;=2020,"Até 2020",TEXT(YEAR(I3818),"0"))</f>
        <v/>
      </c>
      <c r="N3818" s="5">
        <f>IFERROR(INDEX(DePara!$A:$A,MATCH(TEXT(B3818,"0"),DePara!$D:$D,0)),"(sem categoria)")</f>
        <v/>
      </c>
      <c r="O3818" s="5">
        <f>IF(J3818="","",Parametros!$B$6-J3818)</f>
        <v/>
      </c>
      <c r="P3818" s="5">
        <f>IF(O3818="","",IF(O3818&gt;0,1,0))</f>
        <v/>
      </c>
    </row>
    <row r="3819">
      <c r="A3819" s="5" t="n">
        <v>2111000000</v>
      </c>
      <c r="B3819" s="5" t="inlineStr">
        <is>
          <t>101071</t>
        </is>
      </c>
      <c r="C3819" s="5" t="inlineStr">
        <is>
          <t>CUSTOM COMERCIO INTERNACIONAL LTDA</t>
        </is>
      </c>
      <c r="D3819" s="5" t="inlineStr">
        <is>
          <t>AB</t>
        </is>
      </c>
      <c r="E3819" s="5" t="n">
        <v>1100036825</v>
      </c>
      <c r="F3819" s="5" t="inlineStr">
        <is>
          <t>OEM0409</t>
        </is>
      </c>
      <c r="G3819" s="5" t="inlineStr">
        <is>
          <t>BRL</t>
        </is>
      </c>
      <c r="H3819" s="9" t="n">
        <v>5025.09</v>
      </c>
      <c r="I3819" s="16" t="n">
        <v>45871</v>
      </c>
      <c r="J3819" s="16" t="n">
        <v>45871</v>
      </c>
      <c r="K3819" s="5" t="inlineStr">
        <is>
          <t>CUSTOM A DEVOLVER</t>
        </is>
      </c>
      <c r="L3819" s="5" t="inlineStr">
        <is>
          <t>CUSTOM A DEVOLVER</t>
        </is>
      </c>
      <c r="M3819" s="5">
        <f>IF(YEAR(I3819)&lt;=2020,"Até 2020",TEXT(YEAR(I3819),"0"))</f>
        <v/>
      </c>
      <c r="N3819" s="5">
        <f>IFERROR(INDEX(DePara!$A:$A,MATCH(TEXT(B3819,"0"),DePara!$D:$D,0)),"(sem categoria)")</f>
        <v/>
      </c>
      <c r="O3819" s="5">
        <f>IF(J3819="","",Parametros!$B$6-J3819)</f>
        <v/>
      </c>
      <c r="P3819" s="5">
        <f>IF(O3819="","",IF(O3819&gt;0,1,0))</f>
        <v/>
      </c>
    </row>
    <row r="3820">
      <c r="A3820" s="5" t="n">
        <v>2111000000</v>
      </c>
      <c r="B3820" s="5" t="inlineStr">
        <is>
          <t>101071</t>
        </is>
      </c>
      <c r="C3820" s="5" t="inlineStr">
        <is>
          <t>CUSTOM COMERCIO INTERNACIONAL LTDA</t>
        </is>
      </c>
      <c r="D3820" s="5" t="inlineStr">
        <is>
          <t>AB</t>
        </is>
      </c>
      <c r="E3820" s="5" t="n">
        <v>1100036827</v>
      </c>
      <c r="F3820" s="5" t="inlineStr">
        <is>
          <t>OEM0254</t>
        </is>
      </c>
      <c r="G3820" s="5" t="inlineStr">
        <is>
          <t>BRL</t>
        </is>
      </c>
      <c r="H3820" s="9" t="n">
        <v>33725.33</v>
      </c>
      <c r="I3820" s="16" t="n">
        <v>45871</v>
      </c>
      <c r="J3820" s="16" t="n">
        <v>45871</v>
      </c>
      <c r="K3820" s="5" t="inlineStr">
        <is>
          <t>CUSTOM A DEVOLVER</t>
        </is>
      </c>
      <c r="L3820" s="5" t="inlineStr">
        <is>
          <t>CUSTOM A DEVOLVER</t>
        </is>
      </c>
      <c r="M3820" s="5">
        <f>IF(YEAR(I3820)&lt;=2020,"Até 2020",TEXT(YEAR(I3820),"0"))</f>
        <v/>
      </c>
      <c r="N3820" s="5">
        <f>IFERROR(INDEX(DePara!$A:$A,MATCH(TEXT(B3820,"0"),DePara!$D:$D,0)),"(sem categoria)")</f>
        <v/>
      </c>
      <c r="O3820" s="5">
        <f>IF(J3820="","",Parametros!$B$6-J3820)</f>
        <v/>
      </c>
      <c r="P3820" s="5">
        <f>IF(O3820="","",IF(O3820&gt;0,1,0))</f>
        <v/>
      </c>
    </row>
    <row r="3821">
      <c r="A3821" s="5" t="n">
        <v>2111000000</v>
      </c>
      <c r="B3821" s="5" t="inlineStr">
        <is>
          <t>101071</t>
        </is>
      </c>
      <c r="C3821" s="5" t="inlineStr">
        <is>
          <t>CUSTOM COMERCIO INTERNACIONAL LTDA</t>
        </is>
      </c>
      <c r="D3821" s="5" t="inlineStr">
        <is>
          <t>AB</t>
        </is>
      </c>
      <c r="E3821" s="5" t="n">
        <v>1100036831</v>
      </c>
      <c r="F3821" s="5" t="inlineStr">
        <is>
          <t>CAJU024U</t>
        </is>
      </c>
      <c r="G3821" s="5" t="inlineStr">
        <is>
          <t>BRL</t>
        </is>
      </c>
      <c r="H3821" s="9" t="n">
        <v>51266.94</v>
      </c>
      <c r="I3821" s="16" t="n">
        <v>45871</v>
      </c>
      <c r="J3821" s="16" t="n">
        <v>45871</v>
      </c>
      <c r="K3821" s="5" t="inlineStr">
        <is>
          <t>CUSTOM A DEVOLVER</t>
        </is>
      </c>
      <c r="L3821" s="5" t="inlineStr">
        <is>
          <t>CUSTOM A DEVOLVER</t>
        </is>
      </c>
      <c r="M3821" s="5">
        <f>IF(YEAR(I3821)&lt;=2020,"Até 2020",TEXT(YEAR(I3821),"0"))</f>
        <v/>
      </c>
      <c r="N3821" s="5">
        <f>IFERROR(INDEX(DePara!$A:$A,MATCH(TEXT(B3821,"0"),DePara!$D:$D,0)),"(sem categoria)")</f>
        <v/>
      </c>
      <c r="O3821" s="5">
        <f>IF(J3821="","",Parametros!$B$6-J3821)</f>
        <v/>
      </c>
      <c r="P3821" s="5">
        <f>IF(O3821="","",IF(O3821&gt;0,1,0))</f>
        <v/>
      </c>
    </row>
    <row r="3822">
      <c r="A3822" s="5" t="n">
        <v>2111000000</v>
      </c>
      <c r="B3822" s="5" t="inlineStr">
        <is>
          <t>101071</t>
        </is>
      </c>
      <c r="C3822" s="5" t="inlineStr">
        <is>
          <t>CUSTOM COMERCIO INTERNACIONAL LTDA</t>
        </is>
      </c>
      <c r="D3822" s="5" t="inlineStr">
        <is>
          <t>AB</t>
        </is>
      </c>
      <c r="E3822" s="5" t="n">
        <v>1100036832</v>
      </c>
      <c r="F3822" s="5" t="inlineStr">
        <is>
          <t>CAJUII007T</t>
        </is>
      </c>
      <c r="G3822" s="5" t="inlineStr">
        <is>
          <t>BRL</t>
        </is>
      </c>
      <c r="H3822" s="9" t="n">
        <v>64767.5</v>
      </c>
      <c r="I3822" s="16" t="n">
        <v>45871</v>
      </c>
      <c r="J3822" s="16" t="n">
        <v>45871</v>
      </c>
      <c r="K3822" s="5" t="inlineStr">
        <is>
          <t>CUSTOM A DEVOLVER</t>
        </is>
      </c>
      <c r="L3822" s="5" t="inlineStr">
        <is>
          <t>CUSTOM A DEVOLVER</t>
        </is>
      </c>
      <c r="M3822" s="5">
        <f>IF(YEAR(I3822)&lt;=2020,"Até 2020",TEXT(YEAR(I3822),"0"))</f>
        <v/>
      </c>
      <c r="N3822" s="5">
        <f>IFERROR(INDEX(DePara!$A:$A,MATCH(TEXT(B3822,"0"),DePara!$D:$D,0)),"(sem categoria)")</f>
        <v/>
      </c>
      <c r="O3822" s="5">
        <f>IF(J3822="","",Parametros!$B$6-J3822)</f>
        <v/>
      </c>
      <c r="P3822" s="5">
        <f>IF(O3822="","",IF(O3822&gt;0,1,0))</f>
        <v/>
      </c>
    </row>
    <row r="3823">
      <c r="A3823" s="5" t="n">
        <v>2111000000</v>
      </c>
      <c r="B3823" s="5" t="inlineStr">
        <is>
          <t>101071</t>
        </is>
      </c>
      <c r="C3823" s="5" t="inlineStr">
        <is>
          <t>CUSTOM COMERCIO INTERNACIONAL LTDA</t>
        </is>
      </c>
      <c r="D3823" s="5" t="inlineStr">
        <is>
          <t>AB</t>
        </is>
      </c>
      <c r="E3823" s="5" t="n">
        <v>1100036833</v>
      </c>
      <c r="F3823" s="5" t="inlineStr">
        <is>
          <t>CAJU064A</t>
        </is>
      </c>
      <c r="G3823" s="5" t="inlineStr">
        <is>
          <t>BRL</t>
        </is>
      </c>
      <c r="H3823" s="9" t="n">
        <v>312765.95</v>
      </c>
      <c r="I3823" s="16" t="n">
        <v>45871</v>
      </c>
      <c r="J3823" s="16" t="n">
        <v>45871</v>
      </c>
      <c r="K3823" s="5" t="inlineStr">
        <is>
          <t>CUSTOM A DEVOLVER</t>
        </is>
      </c>
      <c r="L3823" s="5" t="inlineStr">
        <is>
          <t>CUSTOM A DEVOLVER</t>
        </is>
      </c>
      <c r="M3823" s="5">
        <f>IF(YEAR(I3823)&lt;=2020,"Até 2020",TEXT(YEAR(I3823),"0"))</f>
        <v/>
      </c>
      <c r="N3823" s="5">
        <f>IFERROR(INDEX(DePara!$A:$A,MATCH(TEXT(B3823,"0"),DePara!$D:$D,0)),"(sem categoria)")</f>
        <v/>
      </c>
      <c r="O3823" s="5">
        <f>IF(J3823="","",Parametros!$B$6-J3823)</f>
        <v/>
      </c>
      <c r="P3823" s="5">
        <f>IF(O3823="","",IF(O3823&gt;0,1,0))</f>
        <v/>
      </c>
    </row>
    <row r="3824">
      <c r="A3824" s="5" t="n">
        <v>2111000000</v>
      </c>
      <c r="B3824" s="5" t="inlineStr">
        <is>
          <t>101071</t>
        </is>
      </c>
      <c r="C3824" s="5" t="inlineStr">
        <is>
          <t>CUSTOM COMERCIO INTERNACIONAL LTDA</t>
        </is>
      </c>
      <c r="D3824" s="5" t="inlineStr">
        <is>
          <t>AB</t>
        </is>
      </c>
      <c r="E3824" s="5" t="n">
        <v>1100036834</v>
      </c>
      <c r="F3824" s="5" t="inlineStr">
        <is>
          <t>CAJUII041A</t>
        </is>
      </c>
      <c r="G3824" s="5" t="inlineStr">
        <is>
          <t>BRL</t>
        </is>
      </c>
      <c r="H3824" s="9" t="n">
        <v>44283.1</v>
      </c>
      <c r="I3824" s="16" t="n">
        <v>45871</v>
      </c>
      <c r="J3824" s="16" t="n">
        <v>45871</v>
      </c>
      <c r="K3824" s="5" t="inlineStr">
        <is>
          <t>CUSTOM A DEVOLVER</t>
        </is>
      </c>
      <c r="L3824" s="5" t="inlineStr">
        <is>
          <t>CUSTOM A DEVOLVER</t>
        </is>
      </c>
      <c r="M3824" s="5">
        <f>IF(YEAR(I3824)&lt;=2020,"Até 2020",TEXT(YEAR(I3824),"0"))</f>
        <v/>
      </c>
      <c r="N3824" s="5">
        <f>IFERROR(INDEX(DePara!$A:$A,MATCH(TEXT(B3824,"0"),DePara!$D:$D,0)),"(sem categoria)")</f>
        <v/>
      </c>
      <c r="O3824" s="5">
        <f>IF(J3824="","",Parametros!$B$6-J3824)</f>
        <v/>
      </c>
      <c r="P3824" s="5">
        <f>IF(O3824="","",IF(O3824&gt;0,1,0))</f>
        <v/>
      </c>
    </row>
    <row r="3825">
      <c r="A3825" s="5" t="n">
        <v>2111000000</v>
      </c>
      <c r="B3825" s="5" t="inlineStr">
        <is>
          <t>101071</t>
        </is>
      </c>
      <c r="C3825" s="5" t="inlineStr">
        <is>
          <t>CUSTOM COMERCIO INTERNACIONAL LTDA</t>
        </is>
      </c>
      <c r="D3825" s="5" t="inlineStr">
        <is>
          <t>AB</t>
        </is>
      </c>
      <c r="E3825" s="5" t="n">
        <v>1100036867</v>
      </c>
      <c r="F3825" s="5" t="inlineStr">
        <is>
          <t>CAJUII022A</t>
        </is>
      </c>
      <c r="G3825" s="5" t="inlineStr">
        <is>
          <t>BRL</t>
        </is>
      </c>
      <c r="H3825" s="9" t="n">
        <v>59301.38</v>
      </c>
      <c r="I3825" s="16" t="n">
        <v>45871</v>
      </c>
      <c r="J3825" s="16" t="n">
        <v>45871</v>
      </c>
      <c r="K3825" s="5" t="inlineStr">
        <is>
          <t>CUSTOM A DEVOLVER</t>
        </is>
      </c>
      <c r="L3825" s="5" t="inlineStr">
        <is>
          <t>CUSTOM A DEVOLVER</t>
        </is>
      </c>
      <c r="M3825" s="5">
        <f>IF(YEAR(I3825)&lt;=2020,"Até 2020",TEXT(YEAR(I3825),"0"))</f>
        <v/>
      </c>
      <c r="N3825" s="5">
        <f>IFERROR(INDEX(DePara!$A:$A,MATCH(TEXT(B3825,"0"),DePara!$D:$D,0)),"(sem categoria)")</f>
        <v/>
      </c>
      <c r="O3825" s="5">
        <f>IF(J3825="","",Parametros!$B$6-J3825)</f>
        <v/>
      </c>
      <c r="P3825" s="5">
        <f>IF(O3825="","",IF(O3825&gt;0,1,0))</f>
        <v/>
      </c>
    </row>
    <row r="3826">
      <c r="A3826" s="5" t="n">
        <v>2111000000</v>
      </c>
      <c r="B3826" s="5" t="inlineStr">
        <is>
          <t>101071</t>
        </is>
      </c>
      <c r="C3826" s="5" t="inlineStr">
        <is>
          <t>CUSTOM COMERCIO INTERNACIONAL LTDA</t>
        </is>
      </c>
      <c r="D3826" s="5" t="inlineStr">
        <is>
          <t>AB</t>
        </is>
      </c>
      <c r="E3826" s="5" t="n">
        <v>1100036869</v>
      </c>
      <c r="F3826" s="5" t="inlineStr">
        <is>
          <t>LDVV051U</t>
        </is>
      </c>
      <c r="G3826" s="5" t="inlineStr">
        <is>
          <t>BRL</t>
        </is>
      </c>
      <c r="H3826" s="9" t="n">
        <v>96212.27</v>
      </c>
      <c r="I3826" s="16" t="n">
        <v>45871</v>
      </c>
      <c r="J3826" s="16" t="n">
        <v>45871</v>
      </c>
      <c r="K3826" s="5" t="inlineStr">
        <is>
          <t>CUSTOM A DEVOLVER</t>
        </is>
      </c>
      <c r="L3826" s="5" t="inlineStr">
        <is>
          <t>CUSTOM A DEVOLVER</t>
        </is>
      </c>
      <c r="M3826" s="5">
        <f>IF(YEAR(I3826)&lt;=2020,"Até 2020",TEXT(YEAR(I3826),"0"))</f>
        <v/>
      </c>
      <c r="N3826" s="5">
        <f>IFERROR(INDEX(DePara!$A:$A,MATCH(TEXT(B3826,"0"),DePara!$D:$D,0)),"(sem categoria)")</f>
        <v/>
      </c>
      <c r="O3826" s="5">
        <f>IF(J3826="","",Parametros!$B$6-J3826)</f>
        <v/>
      </c>
      <c r="P3826" s="5">
        <f>IF(O3826="","",IF(O3826&gt;0,1,0))</f>
        <v/>
      </c>
    </row>
    <row r="3827">
      <c r="A3827" s="5" t="n">
        <v>2111000000</v>
      </c>
      <c r="B3827" s="5" t="inlineStr">
        <is>
          <t>101071</t>
        </is>
      </c>
      <c r="C3827" s="5" t="inlineStr">
        <is>
          <t>CUSTOM COMERCIO INTERNACIONAL LTDA</t>
        </is>
      </c>
      <c r="D3827" s="5" t="inlineStr">
        <is>
          <t>AB</t>
        </is>
      </c>
      <c r="E3827" s="5" t="n">
        <v>1100036870</v>
      </c>
      <c r="F3827" s="5" t="inlineStr">
        <is>
          <t>0259-24 OEM0548</t>
        </is>
      </c>
      <c r="G3827" s="5" t="inlineStr">
        <is>
          <t>BRL</t>
        </is>
      </c>
      <c r="H3827" s="9" t="n">
        <v>136568.25</v>
      </c>
      <c r="I3827" s="16" t="n">
        <v>45871</v>
      </c>
      <c r="J3827" s="16" t="n">
        <v>45871</v>
      </c>
      <c r="K3827" s="5" t="inlineStr">
        <is>
          <t>CUSTOM A DEVOLVER</t>
        </is>
      </c>
      <c r="L3827" s="5" t="inlineStr">
        <is>
          <t>CUSTOM A DEVOLVER</t>
        </is>
      </c>
      <c r="M3827" s="5">
        <f>IF(YEAR(I3827)&lt;=2020,"Até 2020",TEXT(YEAR(I3827),"0"))</f>
        <v/>
      </c>
      <c r="N3827" s="5">
        <f>IFERROR(INDEX(DePara!$A:$A,MATCH(TEXT(B3827,"0"),DePara!$D:$D,0)),"(sem categoria)")</f>
        <v/>
      </c>
      <c r="O3827" s="5">
        <f>IF(J3827="","",Parametros!$B$6-J3827)</f>
        <v/>
      </c>
      <c r="P3827" s="5">
        <f>IF(O3827="","",IF(O3827&gt;0,1,0))</f>
        <v/>
      </c>
    </row>
    <row r="3828">
      <c r="A3828" s="5" t="n">
        <v>2111000000</v>
      </c>
      <c r="B3828" s="5" t="inlineStr">
        <is>
          <t>101071</t>
        </is>
      </c>
      <c r="C3828" s="5" t="inlineStr">
        <is>
          <t>CUSTOM COMERCIO INTERNACIONAL LTDA</t>
        </is>
      </c>
      <c r="D3828" s="5" t="inlineStr">
        <is>
          <t>AB</t>
        </is>
      </c>
      <c r="E3828" s="5" t="n">
        <v>1100036874</v>
      </c>
      <c r="F3828" s="5" t="inlineStr">
        <is>
          <t>OEM0301</t>
        </is>
      </c>
      <c r="G3828" s="5" t="inlineStr">
        <is>
          <t>BRL</t>
        </is>
      </c>
      <c r="H3828" s="9" t="n">
        <v>52584.83</v>
      </c>
      <c r="I3828" s="16" t="n">
        <v>45871</v>
      </c>
      <c r="J3828" s="16" t="n">
        <v>45871</v>
      </c>
      <c r="K3828" s="5" t="inlineStr">
        <is>
          <t>CUSTOM A DEVOLVER</t>
        </is>
      </c>
      <c r="L3828" s="5" t="inlineStr">
        <is>
          <t>CUSTOM A DEVOLVER</t>
        </is>
      </c>
      <c r="M3828" s="5">
        <f>IF(YEAR(I3828)&lt;=2020,"Até 2020",TEXT(YEAR(I3828),"0"))</f>
        <v/>
      </c>
      <c r="N3828" s="5">
        <f>IFERROR(INDEX(DePara!$A:$A,MATCH(TEXT(B3828,"0"),DePara!$D:$D,0)),"(sem categoria)")</f>
        <v/>
      </c>
      <c r="O3828" s="5">
        <f>IF(J3828="","",Parametros!$B$6-J3828)</f>
        <v/>
      </c>
      <c r="P3828" s="5">
        <f>IF(O3828="","",IF(O3828&gt;0,1,0))</f>
        <v/>
      </c>
    </row>
    <row r="3829">
      <c r="A3829" s="5" t="n">
        <v>2111000000</v>
      </c>
      <c r="B3829" s="5" t="inlineStr">
        <is>
          <t>101071</t>
        </is>
      </c>
      <c r="C3829" s="5" t="inlineStr">
        <is>
          <t>CUSTOM COMERCIO INTERNACIONAL LTDA</t>
        </is>
      </c>
      <c r="D3829" s="5" t="inlineStr">
        <is>
          <t>AB</t>
        </is>
      </c>
      <c r="E3829" s="5" t="n">
        <v>1100036899</v>
      </c>
      <c r="F3829" s="5" t="inlineStr">
        <is>
          <t>CAJU001NC</t>
        </is>
      </c>
      <c r="G3829" s="5" t="inlineStr">
        <is>
          <t>BRL</t>
        </is>
      </c>
      <c r="H3829" s="9" t="n">
        <v>47611.62</v>
      </c>
      <c r="I3829" s="16" t="n">
        <v>45871</v>
      </c>
      <c r="J3829" s="16" t="n">
        <v>45871</v>
      </c>
      <c r="K3829" s="5" t="inlineStr">
        <is>
          <t>CUSTOM A DEVOLVER</t>
        </is>
      </c>
      <c r="L3829" s="5" t="inlineStr">
        <is>
          <t>CUSTOM A DEVOLVER</t>
        </is>
      </c>
      <c r="M3829" s="5">
        <f>IF(YEAR(I3829)&lt;=2020,"Até 2020",TEXT(YEAR(I3829),"0"))</f>
        <v/>
      </c>
      <c r="N3829" s="5">
        <f>IFERROR(INDEX(DePara!$A:$A,MATCH(TEXT(B3829,"0"),DePara!$D:$D,0)),"(sem categoria)")</f>
        <v/>
      </c>
      <c r="O3829" s="5">
        <f>IF(J3829="","",Parametros!$B$6-J3829)</f>
        <v/>
      </c>
      <c r="P3829" s="5">
        <f>IF(O3829="","",IF(O3829&gt;0,1,0))</f>
        <v/>
      </c>
    </row>
    <row r="3830">
      <c r="A3830" s="5" t="n">
        <v>2111000000</v>
      </c>
      <c r="B3830" s="5" t="inlineStr">
        <is>
          <t>101071</t>
        </is>
      </c>
      <c r="C3830" s="5" t="inlineStr">
        <is>
          <t>CUSTOM COMERCIO INTERNACIONAL LTDA</t>
        </is>
      </c>
      <c r="D3830" s="5" t="inlineStr">
        <is>
          <t>AB</t>
        </is>
      </c>
      <c r="E3830" s="5" t="n">
        <v>1100036916</v>
      </c>
      <c r="F3830" s="5" t="inlineStr">
        <is>
          <t>03094/24</t>
        </is>
      </c>
      <c r="G3830" s="5" t="inlineStr">
        <is>
          <t>BRL</t>
        </is>
      </c>
      <c r="H3830" s="9" t="n">
        <v>190825.54</v>
      </c>
      <c r="I3830" s="16" t="n">
        <v>45871</v>
      </c>
      <c r="J3830" s="16" t="n">
        <v>45871</v>
      </c>
      <c r="K3830" s="5" t="inlineStr">
        <is>
          <t>CUSTOM A DEVOLVER</t>
        </is>
      </c>
      <c r="L3830" s="5" t="inlineStr">
        <is>
          <t>CUSTOM A DEVOLVER</t>
        </is>
      </c>
      <c r="M3830" s="5">
        <f>IF(YEAR(I3830)&lt;=2020,"Até 2020",TEXT(YEAR(I3830),"0"))</f>
        <v/>
      </c>
      <c r="N3830" s="5">
        <f>IFERROR(INDEX(DePara!$A:$A,MATCH(TEXT(B3830,"0"),DePara!$D:$D,0)),"(sem categoria)")</f>
        <v/>
      </c>
      <c r="O3830" s="5">
        <f>IF(J3830="","",Parametros!$B$6-J3830)</f>
        <v/>
      </c>
      <c r="P3830" s="5">
        <f>IF(O3830="","",IF(O3830&gt;0,1,0))</f>
        <v/>
      </c>
    </row>
    <row r="3831">
      <c r="A3831" s="5" t="n">
        <v>2111000000</v>
      </c>
      <c r="B3831" s="5" t="inlineStr">
        <is>
          <t>101071</t>
        </is>
      </c>
      <c r="C3831" s="5" t="inlineStr">
        <is>
          <t>CUSTOM COMERCIO INTERNACIONAL LTDA</t>
        </is>
      </c>
      <c r="D3831" s="5" t="inlineStr">
        <is>
          <t>AB</t>
        </is>
      </c>
      <c r="E3831" s="5" t="n">
        <v>1100036917</v>
      </c>
      <c r="F3831" s="5" t="inlineStr">
        <is>
          <t>4024002441</t>
        </is>
      </c>
      <c r="G3831" s="5" t="inlineStr">
        <is>
          <t>BRL</t>
        </is>
      </c>
      <c r="H3831" s="9" t="n">
        <v>64747.36</v>
      </c>
      <c r="I3831" s="16" t="n">
        <v>45871</v>
      </c>
      <c r="J3831" s="16" t="n">
        <v>45871</v>
      </c>
      <c r="K3831" s="5" t="inlineStr">
        <is>
          <t>CUSTOM A DEVOLVER</t>
        </is>
      </c>
      <c r="L3831" s="5" t="inlineStr">
        <is>
          <t>CUSTOM A DEVOLVER</t>
        </is>
      </c>
      <c r="M3831" s="5">
        <f>IF(YEAR(I3831)&lt;=2020,"Até 2020",TEXT(YEAR(I3831),"0"))</f>
        <v/>
      </c>
      <c r="N3831" s="5">
        <f>IFERROR(INDEX(DePara!$A:$A,MATCH(TEXT(B3831,"0"),DePara!$D:$D,0)),"(sem categoria)")</f>
        <v/>
      </c>
      <c r="O3831" s="5">
        <f>IF(J3831="","",Parametros!$B$6-J3831)</f>
        <v/>
      </c>
      <c r="P3831" s="5">
        <f>IF(O3831="","",IF(O3831&gt;0,1,0))</f>
        <v/>
      </c>
    </row>
    <row r="3832">
      <c r="A3832" s="5" t="n">
        <v>2111000000</v>
      </c>
      <c r="B3832" s="5" t="inlineStr">
        <is>
          <t>101071</t>
        </is>
      </c>
      <c r="C3832" s="5" t="inlineStr">
        <is>
          <t>CUSTOM COMERCIO INTERNACIONAL LTDA</t>
        </is>
      </c>
      <c r="D3832" s="5" t="inlineStr">
        <is>
          <t>AB</t>
        </is>
      </c>
      <c r="E3832" s="5" t="n">
        <v>1100036921</v>
      </c>
      <c r="F3832" s="5" t="inlineStr">
        <is>
          <t>CAJU033A</t>
        </is>
      </c>
      <c r="G3832" s="5" t="inlineStr">
        <is>
          <t>BRL</t>
        </is>
      </c>
      <c r="H3832" s="9" t="n">
        <v>86063.39999999999</v>
      </c>
      <c r="I3832" s="16" t="n">
        <v>45871</v>
      </c>
      <c r="J3832" s="16" t="n">
        <v>45871</v>
      </c>
      <c r="K3832" s="5" t="inlineStr">
        <is>
          <t>CUSTOM A DEVOLVER</t>
        </is>
      </c>
      <c r="L3832" s="5" t="inlineStr">
        <is>
          <t>CUSTOM A DEVOLVER</t>
        </is>
      </c>
      <c r="M3832" s="5">
        <f>IF(YEAR(I3832)&lt;=2020,"Até 2020",TEXT(YEAR(I3832),"0"))</f>
        <v/>
      </c>
      <c r="N3832" s="5">
        <f>IFERROR(INDEX(DePara!$A:$A,MATCH(TEXT(B3832,"0"),DePara!$D:$D,0)),"(sem categoria)")</f>
        <v/>
      </c>
      <c r="O3832" s="5">
        <f>IF(J3832="","",Parametros!$B$6-J3832)</f>
        <v/>
      </c>
      <c r="P3832" s="5">
        <f>IF(O3832="","",IF(O3832&gt;0,1,0))</f>
        <v/>
      </c>
    </row>
    <row r="3833">
      <c r="A3833" s="5" t="n">
        <v>2111000000</v>
      </c>
      <c r="B3833" s="5" t="inlineStr">
        <is>
          <t>101071</t>
        </is>
      </c>
      <c r="C3833" s="5" t="inlineStr">
        <is>
          <t>CUSTOM COMERCIO INTERNACIONAL LTDA</t>
        </is>
      </c>
      <c r="D3833" s="5" t="inlineStr">
        <is>
          <t>AB</t>
        </is>
      </c>
      <c r="E3833" s="5" t="n">
        <v>1100036938</v>
      </c>
      <c r="F3833" s="5" t="inlineStr">
        <is>
          <t>CARR001U</t>
        </is>
      </c>
      <c r="G3833" s="5" t="inlineStr">
        <is>
          <t>BRL</t>
        </is>
      </c>
      <c r="H3833" s="9" t="n">
        <v>24943</v>
      </c>
      <c r="I3833" s="16" t="n">
        <v>45871</v>
      </c>
      <c r="J3833" s="16" t="n">
        <v>45871</v>
      </c>
      <c r="K3833" s="5" t="inlineStr">
        <is>
          <t>CUSTOM A DEVOLVER</t>
        </is>
      </c>
      <c r="L3833" s="5" t="inlineStr">
        <is>
          <t>CUSTOM A DEVOLVER</t>
        </is>
      </c>
      <c r="M3833" s="5">
        <f>IF(YEAR(I3833)&lt;=2020,"Até 2020",TEXT(YEAR(I3833),"0"))</f>
        <v/>
      </c>
      <c r="N3833" s="5">
        <f>IFERROR(INDEX(DePara!$A:$A,MATCH(TEXT(B3833,"0"),DePara!$D:$D,0)),"(sem categoria)")</f>
        <v/>
      </c>
      <c r="O3833" s="5">
        <f>IF(J3833="","",Parametros!$B$6-J3833)</f>
        <v/>
      </c>
      <c r="P3833" s="5">
        <f>IF(O3833="","",IF(O3833&gt;0,1,0))</f>
        <v/>
      </c>
    </row>
    <row r="3834">
      <c r="A3834" s="5" t="n">
        <v>2111000000</v>
      </c>
      <c r="B3834" s="5" t="inlineStr">
        <is>
          <t>101071</t>
        </is>
      </c>
      <c r="C3834" s="5" t="inlineStr">
        <is>
          <t>CUSTOM COMERCIO INTERNACIONAL LTDA</t>
        </is>
      </c>
      <c r="D3834" s="5" t="inlineStr">
        <is>
          <t>AB</t>
        </is>
      </c>
      <c r="E3834" s="5" t="n">
        <v>1100036940</v>
      </c>
      <c r="F3834" s="5" t="inlineStr">
        <is>
          <t>LDVV046U</t>
        </is>
      </c>
      <c r="G3834" s="5" t="inlineStr">
        <is>
          <t>BRL</t>
        </is>
      </c>
      <c r="H3834" s="9" t="n">
        <v>110228.37</v>
      </c>
      <c r="I3834" s="16" t="n">
        <v>45871</v>
      </c>
      <c r="J3834" s="16" t="n">
        <v>45871</v>
      </c>
      <c r="K3834" s="5" t="inlineStr">
        <is>
          <t>CUSTOM A DEVOLVER</t>
        </is>
      </c>
      <c r="L3834" s="5" t="inlineStr">
        <is>
          <t>CUSTOM A DEVOLVER</t>
        </is>
      </c>
      <c r="M3834" s="5">
        <f>IF(YEAR(I3834)&lt;=2020,"Até 2020",TEXT(YEAR(I3834),"0"))</f>
        <v/>
      </c>
      <c r="N3834" s="5">
        <f>IFERROR(INDEX(DePara!$A:$A,MATCH(TEXT(B3834,"0"),DePara!$D:$D,0)),"(sem categoria)")</f>
        <v/>
      </c>
      <c r="O3834" s="5">
        <f>IF(J3834="","",Parametros!$B$6-J3834)</f>
        <v/>
      </c>
      <c r="P3834" s="5">
        <f>IF(O3834="","",IF(O3834&gt;0,1,0))</f>
        <v/>
      </c>
    </row>
    <row r="3835">
      <c r="A3835" s="5" t="n">
        <v>2111000000</v>
      </c>
      <c r="B3835" s="5" t="inlineStr">
        <is>
          <t>101071</t>
        </is>
      </c>
      <c r="C3835" s="5" t="inlineStr">
        <is>
          <t>CUSTOM COMERCIO INTERNACIONAL LTDA</t>
        </is>
      </c>
      <c r="D3835" s="5" t="inlineStr">
        <is>
          <t>AB</t>
        </is>
      </c>
      <c r="E3835" s="5" t="n">
        <v>1100036943</v>
      </c>
      <c r="F3835" s="5" t="inlineStr">
        <is>
          <t>CAJUII056A</t>
        </is>
      </c>
      <c r="G3835" s="5" t="inlineStr">
        <is>
          <t>BRL</t>
        </is>
      </c>
      <c r="H3835" s="9" t="n">
        <v>54232.8</v>
      </c>
      <c r="I3835" s="16" t="n">
        <v>45871</v>
      </c>
      <c r="J3835" s="16" t="n">
        <v>45871</v>
      </c>
      <c r="K3835" s="5" t="inlineStr">
        <is>
          <t>CUSTOM A DEVOLVER</t>
        </is>
      </c>
      <c r="L3835" s="5" t="inlineStr">
        <is>
          <t>CUSTOM A DEVOLVER</t>
        </is>
      </c>
      <c r="M3835" s="5">
        <f>IF(YEAR(I3835)&lt;=2020,"Até 2020",TEXT(YEAR(I3835),"0"))</f>
        <v/>
      </c>
      <c r="N3835" s="5">
        <f>IFERROR(INDEX(DePara!$A:$A,MATCH(TEXT(B3835,"0"),DePara!$D:$D,0)),"(sem categoria)")</f>
        <v/>
      </c>
      <c r="O3835" s="5">
        <f>IF(J3835="","",Parametros!$B$6-J3835)</f>
        <v/>
      </c>
      <c r="P3835" s="5">
        <f>IF(O3835="","",IF(O3835&gt;0,1,0))</f>
        <v/>
      </c>
    </row>
    <row r="3836">
      <c r="A3836" s="5" t="n">
        <v>2111000000</v>
      </c>
      <c r="B3836" s="5" t="inlineStr">
        <is>
          <t>101071</t>
        </is>
      </c>
      <c r="C3836" s="5" t="inlineStr">
        <is>
          <t>CUSTOM COMERCIO INTERNACIONAL LTDA</t>
        </is>
      </c>
      <c r="D3836" s="5" t="inlineStr">
        <is>
          <t>AB</t>
        </is>
      </c>
      <c r="E3836" s="5" t="n">
        <v>1100036970</v>
      </c>
      <c r="F3836" s="5" t="inlineStr">
        <is>
          <t>CAJU008T</t>
        </is>
      </c>
      <c r="G3836" s="5" t="inlineStr">
        <is>
          <t>BRL</t>
        </is>
      </c>
      <c r="H3836" s="9" t="n">
        <v>40126.4</v>
      </c>
      <c r="I3836" s="16" t="n">
        <v>45871</v>
      </c>
      <c r="J3836" s="16" t="n">
        <v>45871</v>
      </c>
      <c r="K3836" s="5" t="inlineStr">
        <is>
          <t>CUSTOM A DEVOLVER</t>
        </is>
      </c>
      <c r="L3836" s="5" t="inlineStr">
        <is>
          <t>CUSTOM A DEVOLVER</t>
        </is>
      </c>
      <c r="M3836" s="5">
        <f>IF(YEAR(I3836)&lt;=2020,"Até 2020",TEXT(YEAR(I3836),"0"))</f>
        <v/>
      </c>
      <c r="N3836" s="5">
        <f>IFERROR(INDEX(DePara!$A:$A,MATCH(TEXT(B3836,"0"),DePara!$D:$D,0)),"(sem categoria)")</f>
        <v/>
      </c>
      <c r="O3836" s="5">
        <f>IF(J3836="","",Parametros!$B$6-J3836)</f>
        <v/>
      </c>
      <c r="P3836" s="5">
        <f>IF(O3836="","",IF(O3836&gt;0,1,0))</f>
        <v/>
      </c>
    </row>
    <row r="3837">
      <c r="A3837" s="5" t="n">
        <v>2111000000</v>
      </c>
      <c r="B3837" s="5" t="inlineStr">
        <is>
          <t>101071</t>
        </is>
      </c>
      <c r="C3837" s="5" t="inlineStr">
        <is>
          <t>CUSTOM COMERCIO INTERNACIONAL LTDA</t>
        </is>
      </c>
      <c r="D3837" s="5" t="inlineStr">
        <is>
          <t>AB</t>
        </is>
      </c>
      <c r="E3837" s="5" t="n">
        <v>1100036973</v>
      </c>
      <c r="F3837" s="5" t="inlineStr">
        <is>
          <t>CAJU017A</t>
        </is>
      </c>
      <c r="G3837" s="5" t="inlineStr">
        <is>
          <t>BRL</t>
        </is>
      </c>
      <c r="H3837" s="9" t="n">
        <v>4599.67</v>
      </c>
      <c r="I3837" s="16" t="n">
        <v>45871</v>
      </c>
      <c r="J3837" s="16" t="n">
        <v>45871</v>
      </c>
      <c r="K3837" s="5" t="inlineStr">
        <is>
          <t>CUSTOM A DEVOLVER</t>
        </is>
      </c>
      <c r="L3837" s="5" t="inlineStr">
        <is>
          <t>CUSTOM A DEVOLVER</t>
        </is>
      </c>
      <c r="M3837" s="5">
        <f>IF(YEAR(I3837)&lt;=2020,"Até 2020",TEXT(YEAR(I3837),"0"))</f>
        <v/>
      </c>
      <c r="N3837" s="5">
        <f>IFERROR(INDEX(DePara!$A:$A,MATCH(TEXT(B3837,"0"),DePara!$D:$D,0)),"(sem categoria)")</f>
        <v/>
      </c>
      <c r="O3837" s="5">
        <f>IF(J3837="","",Parametros!$B$6-J3837)</f>
        <v/>
      </c>
      <c r="P3837" s="5">
        <f>IF(O3837="","",IF(O3837&gt;0,1,0))</f>
        <v/>
      </c>
    </row>
    <row r="3838">
      <c r="A3838" s="5" t="n">
        <v>2111000000</v>
      </c>
      <c r="B3838" s="5" t="inlineStr">
        <is>
          <t>101071</t>
        </is>
      </c>
      <c r="C3838" s="5" t="inlineStr">
        <is>
          <t>CUSTOM COMERCIO INTERNACIONAL LTDA</t>
        </is>
      </c>
      <c r="D3838" s="5" t="inlineStr">
        <is>
          <t>AB</t>
        </is>
      </c>
      <c r="E3838" s="5" t="n">
        <v>1100037004</v>
      </c>
      <c r="F3838" s="5" t="inlineStr">
        <is>
          <t>OEM0369</t>
        </is>
      </c>
      <c r="G3838" s="5" t="inlineStr">
        <is>
          <t>BRL</t>
        </is>
      </c>
      <c r="H3838" s="9" t="n">
        <v>79837.28999999999</v>
      </c>
      <c r="I3838" s="16" t="n">
        <v>45871</v>
      </c>
      <c r="J3838" s="16" t="n">
        <v>45871</v>
      </c>
      <c r="K3838" s="5" t="inlineStr">
        <is>
          <t>CUSTOM A DEVOLVER</t>
        </is>
      </c>
      <c r="L3838" s="5" t="inlineStr">
        <is>
          <t>CUSTOM A DEVOLVER</t>
        </is>
      </c>
      <c r="M3838" s="5">
        <f>IF(YEAR(I3838)&lt;=2020,"Até 2020",TEXT(YEAR(I3838),"0"))</f>
        <v/>
      </c>
      <c r="N3838" s="5">
        <f>IFERROR(INDEX(DePara!$A:$A,MATCH(TEXT(B3838,"0"),DePara!$D:$D,0)),"(sem categoria)")</f>
        <v/>
      </c>
      <c r="O3838" s="5">
        <f>IF(J3838="","",Parametros!$B$6-J3838)</f>
        <v/>
      </c>
      <c r="P3838" s="5">
        <f>IF(O3838="","",IF(O3838&gt;0,1,0))</f>
        <v/>
      </c>
    </row>
    <row r="3839">
      <c r="A3839" s="5" t="n">
        <v>2111000000</v>
      </c>
      <c r="B3839" s="5" t="inlineStr">
        <is>
          <t>101071</t>
        </is>
      </c>
      <c r="C3839" s="5" t="inlineStr">
        <is>
          <t>CUSTOM COMERCIO INTERNACIONAL LTDA</t>
        </is>
      </c>
      <c r="D3839" s="5" t="inlineStr">
        <is>
          <t>AB</t>
        </is>
      </c>
      <c r="E3839" s="5" t="n">
        <v>1100037043</v>
      </c>
      <c r="F3839" s="5" t="inlineStr">
        <is>
          <t>OEM0377</t>
        </is>
      </c>
      <c r="G3839" s="5" t="inlineStr">
        <is>
          <t>BRL</t>
        </is>
      </c>
      <c r="H3839" s="9" t="n">
        <v>17298.79</v>
      </c>
      <c r="I3839" s="16" t="n">
        <v>45871</v>
      </c>
      <c r="J3839" s="16" t="n">
        <v>45871</v>
      </c>
      <c r="K3839" s="5" t="inlineStr">
        <is>
          <t>CUSTOM A DEVOLVER</t>
        </is>
      </c>
      <c r="L3839" s="5" t="inlineStr">
        <is>
          <t>CUSTOM A DEVOLVER</t>
        </is>
      </c>
      <c r="M3839" s="5">
        <f>IF(YEAR(I3839)&lt;=2020,"Até 2020",TEXT(YEAR(I3839),"0"))</f>
        <v/>
      </c>
      <c r="N3839" s="5">
        <f>IFERROR(INDEX(DePara!$A:$A,MATCH(TEXT(B3839,"0"),DePara!$D:$D,0)),"(sem categoria)")</f>
        <v/>
      </c>
      <c r="O3839" s="5">
        <f>IF(J3839="","",Parametros!$B$6-J3839)</f>
        <v/>
      </c>
      <c r="P3839" s="5">
        <f>IF(O3839="","",IF(O3839&gt;0,1,0))</f>
        <v/>
      </c>
    </row>
    <row r="3840">
      <c r="A3840" s="5" t="n">
        <v>2111000000</v>
      </c>
      <c r="B3840" s="5" t="inlineStr">
        <is>
          <t>101071</t>
        </is>
      </c>
      <c r="C3840" s="5" t="inlineStr">
        <is>
          <t>CUSTOM COMERCIO INTERNACIONAL LTDA</t>
        </is>
      </c>
      <c r="D3840" s="5" t="inlineStr">
        <is>
          <t>AB</t>
        </is>
      </c>
      <c r="E3840" s="5" t="n">
        <v>1100037058</v>
      </c>
      <c r="F3840" s="5" t="inlineStr">
        <is>
          <t>OEM0194</t>
        </is>
      </c>
      <c r="G3840" s="5" t="inlineStr">
        <is>
          <t>BRL</t>
        </is>
      </c>
      <c r="H3840" s="9" t="n">
        <v>45846.45</v>
      </c>
      <c r="I3840" s="16" t="n">
        <v>45871</v>
      </c>
      <c r="J3840" s="16" t="n">
        <v>45871</v>
      </c>
      <c r="K3840" s="5" t="inlineStr">
        <is>
          <t>CUSTOM A DEVOLVER</t>
        </is>
      </c>
      <c r="L3840" s="5" t="inlineStr">
        <is>
          <t>CUSTOM A DEVOLVER</t>
        </is>
      </c>
      <c r="M3840" s="5">
        <f>IF(YEAR(I3840)&lt;=2020,"Até 2020",TEXT(YEAR(I3840),"0"))</f>
        <v/>
      </c>
      <c r="N3840" s="5">
        <f>IFERROR(INDEX(DePara!$A:$A,MATCH(TEXT(B3840,"0"),DePara!$D:$D,0)),"(sem categoria)")</f>
        <v/>
      </c>
      <c r="O3840" s="5">
        <f>IF(J3840="","",Parametros!$B$6-J3840)</f>
        <v/>
      </c>
      <c r="P3840" s="5">
        <f>IF(O3840="","",IF(O3840&gt;0,1,0))</f>
        <v/>
      </c>
    </row>
    <row r="3841">
      <c r="A3841" s="5" t="n">
        <v>2111000000</v>
      </c>
      <c r="B3841" s="5" t="inlineStr">
        <is>
          <t>101071</t>
        </is>
      </c>
      <c r="C3841" s="5" t="inlineStr">
        <is>
          <t>CUSTOM COMERCIO INTERNACIONAL LTDA</t>
        </is>
      </c>
      <c r="D3841" s="5" t="inlineStr">
        <is>
          <t>AB</t>
        </is>
      </c>
      <c r="E3841" s="5" t="n">
        <v>1100038514</v>
      </c>
      <c r="F3841" s="5" t="inlineStr">
        <is>
          <t>OEM0325</t>
        </is>
      </c>
      <c r="G3841" s="5" t="inlineStr">
        <is>
          <t>BRL</t>
        </is>
      </c>
      <c r="H3841" s="9" t="n">
        <v>19340.26</v>
      </c>
      <c r="I3841" s="16" t="n">
        <v>45871</v>
      </c>
      <c r="J3841" s="16" t="n">
        <v>45871</v>
      </c>
      <c r="K3841" s="5" t="inlineStr">
        <is>
          <t>CUSTOM A DEVOLVER</t>
        </is>
      </c>
      <c r="L3841" s="5" t="inlineStr">
        <is>
          <t>CUSTOM A DEVOLVER</t>
        </is>
      </c>
      <c r="M3841" s="5">
        <f>IF(YEAR(I3841)&lt;=2020,"Até 2020",TEXT(YEAR(I3841),"0"))</f>
        <v/>
      </c>
      <c r="N3841" s="5">
        <f>IFERROR(INDEX(DePara!$A:$A,MATCH(TEXT(B3841,"0"),DePara!$D:$D,0)),"(sem categoria)")</f>
        <v/>
      </c>
      <c r="O3841" s="5">
        <f>IF(J3841="","",Parametros!$B$6-J3841)</f>
        <v/>
      </c>
      <c r="P3841" s="5">
        <f>IF(O3841="","",IF(O3841&gt;0,1,0))</f>
        <v/>
      </c>
    </row>
    <row r="3842">
      <c r="A3842" s="5" t="n">
        <v>2111000000</v>
      </c>
      <c r="B3842" s="5" t="inlineStr">
        <is>
          <t>101071</t>
        </is>
      </c>
      <c r="C3842" s="5" t="inlineStr">
        <is>
          <t>CUSTOM COMERCIO INTERNACIONAL LTDA</t>
        </is>
      </c>
      <c r="D3842" s="5" t="inlineStr">
        <is>
          <t>AB</t>
        </is>
      </c>
      <c r="E3842" s="5" t="n">
        <v>1100038515</v>
      </c>
      <c r="F3842" s="5" t="inlineStr">
        <is>
          <t>4023003007</t>
        </is>
      </c>
      <c r="G3842" s="5" t="inlineStr">
        <is>
          <t>BRL</t>
        </is>
      </c>
      <c r="H3842" s="9" t="n">
        <v>31043.32</v>
      </c>
      <c r="I3842" s="16" t="n">
        <v>45871</v>
      </c>
      <c r="J3842" s="16" t="n">
        <v>45871</v>
      </c>
      <c r="K3842" s="5" t="inlineStr">
        <is>
          <t>CUSTOM A DEVOLVER</t>
        </is>
      </c>
      <c r="L3842" s="5" t="inlineStr">
        <is>
          <t>CUSTOM A DEVOLVER</t>
        </is>
      </c>
      <c r="M3842" s="5">
        <f>IF(YEAR(I3842)&lt;=2020,"Até 2020",TEXT(YEAR(I3842),"0"))</f>
        <v/>
      </c>
      <c r="N3842" s="5">
        <f>IFERROR(INDEX(DePara!$A:$A,MATCH(TEXT(B3842,"0"),DePara!$D:$D,0)),"(sem categoria)")</f>
        <v/>
      </c>
      <c r="O3842" s="5">
        <f>IF(J3842="","",Parametros!$B$6-J3842)</f>
        <v/>
      </c>
      <c r="P3842" s="5">
        <f>IF(O3842="","",IF(O3842&gt;0,1,0))</f>
        <v/>
      </c>
    </row>
    <row r="3843">
      <c r="A3843" s="5" t="n">
        <v>2111000000</v>
      </c>
      <c r="B3843" s="5" t="inlineStr">
        <is>
          <t>101071</t>
        </is>
      </c>
      <c r="C3843" s="5" t="inlineStr">
        <is>
          <t>CUSTOM COMERCIO INTERNACIONAL LTDA</t>
        </is>
      </c>
      <c r="D3843" s="5" t="inlineStr">
        <is>
          <t>AB</t>
        </is>
      </c>
      <c r="E3843" s="5" t="n">
        <v>1100038517</v>
      </c>
      <c r="F3843" s="5" t="inlineStr">
        <is>
          <t>OEM0302</t>
        </is>
      </c>
      <c r="G3843" s="5" t="inlineStr">
        <is>
          <t>BRL</t>
        </is>
      </c>
      <c r="H3843" s="9" t="n">
        <v>33473.98</v>
      </c>
      <c r="I3843" s="16" t="n">
        <v>45871</v>
      </c>
      <c r="J3843" s="16" t="n">
        <v>45871</v>
      </c>
      <c r="K3843" s="5" t="inlineStr">
        <is>
          <t>CUSTOM A DEVOLVER</t>
        </is>
      </c>
      <c r="L3843" s="5" t="inlineStr">
        <is>
          <t>CUSTOM A DEVOLVER</t>
        </is>
      </c>
      <c r="M3843" s="5">
        <f>IF(YEAR(I3843)&lt;=2020,"Até 2020",TEXT(YEAR(I3843),"0"))</f>
        <v/>
      </c>
      <c r="N3843" s="5">
        <f>IFERROR(INDEX(DePara!$A:$A,MATCH(TEXT(B3843,"0"),DePara!$D:$D,0)),"(sem categoria)")</f>
        <v/>
      </c>
      <c r="O3843" s="5">
        <f>IF(J3843="","",Parametros!$B$6-J3843)</f>
        <v/>
      </c>
      <c r="P3843" s="5">
        <f>IF(O3843="","",IF(O3843&gt;0,1,0))</f>
        <v/>
      </c>
    </row>
    <row r="3844">
      <c r="A3844" s="5" t="n">
        <v>2111000000</v>
      </c>
      <c r="B3844" s="5" t="inlineStr">
        <is>
          <t>101071</t>
        </is>
      </c>
      <c r="C3844" s="5" t="inlineStr">
        <is>
          <t>CUSTOM COMERCIO INTERNACIONAL LTDA</t>
        </is>
      </c>
      <c r="D3844" s="5" t="inlineStr">
        <is>
          <t>AB</t>
        </is>
      </c>
      <c r="E3844" s="5" t="n">
        <v>1100038519</v>
      </c>
      <c r="F3844" s="5" t="inlineStr">
        <is>
          <t>CARR002T</t>
        </is>
      </c>
      <c r="G3844" s="5" t="inlineStr">
        <is>
          <t>BRL</t>
        </is>
      </c>
      <c r="H3844" s="9" t="n">
        <v>17190.46</v>
      </c>
      <c r="I3844" s="16" t="n">
        <v>45871</v>
      </c>
      <c r="J3844" s="16" t="n">
        <v>45871</v>
      </c>
      <c r="K3844" s="5" t="inlineStr">
        <is>
          <t>CUSTOM A DEVOLVER</t>
        </is>
      </c>
      <c r="L3844" s="5" t="inlineStr">
        <is>
          <t>CUSTOM A DEVOLVER</t>
        </is>
      </c>
      <c r="M3844" s="5">
        <f>IF(YEAR(I3844)&lt;=2020,"Até 2020",TEXT(YEAR(I3844),"0"))</f>
        <v/>
      </c>
      <c r="N3844" s="5">
        <f>IFERROR(INDEX(DePara!$A:$A,MATCH(TEXT(B3844,"0"),DePara!$D:$D,0)),"(sem categoria)")</f>
        <v/>
      </c>
      <c r="O3844" s="5">
        <f>IF(J3844="","",Parametros!$B$6-J3844)</f>
        <v/>
      </c>
      <c r="P3844" s="5">
        <f>IF(O3844="","",IF(O3844&gt;0,1,0))</f>
        <v/>
      </c>
    </row>
    <row r="3845">
      <c r="A3845" s="5" t="n">
        <v>2111000000</v>
      </c>
      <c r="B3845" s="5" t="inlineStr">
        <is>
          <t>101071</t>
        </is>
      </c>
      <c r="C3845" s="5" t="inlineStr">
        <is>
          <t>CUSTOM COMERCIO INTERNACIONAL LTDA</t>
        </is>
      </c>
      <c r="D3845" s="5" t="inlineStr">
        <is>
          <t>AB</t>
        </is>
      </c>
      <c r="E3845" s="5" t="n">
        <v>1100038522</v>
      </c>
      <c r="F3845" s="5" t="inlineStr">
        <is>
          <t>CAJU059A</t>
        </is>
      </c>
      <c r="G3845" s="5" t="inlineStr">
        <is>
          <t>BRL</t>
        </is>
      </c>
      <c r="H3845" s="9" t="n">
        <v>39448.35</v>
      </c>
      <c r="I3845" s="16" t="n">
        <v>45871</v>
      </c>
      <c r="J3845" s="16" t="n">
        <v>45871</v>
      </c>
      <c r="K3845" s="5" t="inlineStr">
        <is>
          <t>CUSTOM A DEVOLVER</t>
        </is>
      </c>
      <c r="L3845" s="5" t="inlineStr">
        <is>
          <t>CUSTOM A DEVOLVER</t>
        </is>
      </c>
      <c r="M3845" s="5">
        <f>IF(YEAR(I3845)&lt;=2020,"Até 2020",TEXT(YEAR(I3845),"0"))</f>
        <v/>
      </c>
      <c r="N3845" s="5">
        <f>IFERROR(INDEX(DePara!$A:$A,MATCH(TEXT(B3845,"0"),DePara!$D:$D,0)),"(sem categoria)")</f>
        <v/>
      </c>
      <c r="O3845" s="5">
        <f>IF(J3845="","",Parametros!$B$6-J3845)</f>
        <v/>
      </c>
      <c r="P3845" s="5">
        <f>IF(O3845="","",IF(O3845&gt;0,1,0))</f>
        <v/>
      </c>
    </row>
    <row r="3846">
      <c r="A3846" s="5" t="n">
        <v>2111000000</v>
      </c>
      <c r="B3846" s="5" t="inlineStr">
        <is>
          <t>101071</t>
        </is>
      </c>
      <c r="C3846" s="5" t="inlineStr">
        <is>
          <t>CUSTOM COMERCIO INTERNACIONAL LTDA</t>
        </is>
      </c>
      <c r="D3846" s="5" t="inlineStr">
        <is>
          <t>AB</t>
        </is>
      </c>
      <c r="E3846" s="5" t="n">
        <v>1100038542</v>
      </c>
      <c r="F3846" s="5" t="inlineStr">
        <is>
          <t>OEM0354</t>
        </is>
      </c>
      <c r="G3846" s="5" t="inlineStr">
        <is>
          <t>BRL</t>
        </is>
      </c>
      <c r="H3846" s="9" t="n">
        <v>10004.42</v>
      </c>
      <c r="I3846" s="16" t="n">
        <v>45871</v>
      </c>
      <c r="J3846" s="16" t="n">
        <v>45871</v>
      </c>
      <c r="K3846" s="5" t="inlineStr">
        <is>
          <t>CUSTOM A DEVOLVER</t>
        </is>
      </c>
      <c r="L3846" s="5" t="inlineStr">
        <is>
          <t>CUSTOM A DEVOLVER</t>
        </is>
      </c>
      <c r="M3846" s="5">
        <f>IF(YEAR(I3846)&lt;=2020,"Até 2020",TEXT(YEAR(I3846),"0"))</f>
        <v/>
      </c>
      <c r="N3846" s="5">
        <f>IFERROR(INDEX(DePara!$A:$A,MATCH(TEXT(B3846,"0"),DePara!$D:$D,0)),"(sem categoria)")</f>
        <v/>
      </c>
      <c r="O3846" s="5">
        <f>IF(J3846="","",Parametros!$B$6-J3846)</f>
        <v/>
      </c>
      <c r="P3846" s="5">
        <f>IF(O3846="","",IF(O3846&gt;0,1,0))</f>
        <v/>
      </c>
    </row>
    <row r="3847">
      <c r="A3847" s="5" t="n">
        <v>2111000000</v>
      </c>
      <c r="B3847" s="5" t="inlineStr">
        <is>
          <t>101071</t>
        </is>
      </c>
      <c r="C3847" s="5" t="inlineStr">
        <is>
          <t>CUSTOM COMERCIO INTERNACIONAL LTDA</t>
        </is>
      </c>
      <c r="D3847" s="5" t="inlineStr">
        <is>
          <t>AB</t>
        </is>
      </c>
      <c r="E3847" s="5" t="n">
        <v>1100038544</v>
      </c>
      <c r="F3847" s="5" t="inlineStr">
        <is>
          <t>03254/24</t>
        </is>
      </c>
      <c r="G3847" s="5" t="inlineStr">
        <is>
          <t>BRL</t>
        </is>
      </c>
      <c r="H3847" s="9" t="n">
        <v>57651.65</v>
      </c>
      <c r="I3847" s="16" t="n">
        <v>45871</v>
      </c>
      <c r="J3847" s="16" t="n">
        <v>45871</v>
      </c>
      <c r="K3847" s="5" t="inlineStr">
        <is>
          <t>CUSTOM A DEVOLVER</t>
        </is>
      </c>
      <c r="L3847" s="5" t="inlineStr">
        <is>
          <t>CUSTOM A DEVOLVER</t>
        </is>
      </c>
      <c r="M3847" s="5">
        <f>IF(YEAR(I3847)&lt;=2020,"Até 2020",TEXT(YEAR(I3847),"0"))</f>
        <v/>
      </c>
      <c r="N3847" s="5">
        <f>IFERROR(INDEX(DePara!$A:$A,MATCH(TEXT(B3847,"0"),DePara!$D:$D,0)),"(sem categoria)")</f>
        <v/>
      </c>
      <c r="O3847" s="5">
        <f>IF(J3847="","",Parametros!$B$6-J3847)</f>
        <v/>
      </c>
      <c r="P3847" s="5">
        <f>IF(O3847="","",IF(O3847&gt;0,1,0))</f>
        <v/>
      </c>
    </row>
    <row r="3848">
      <c r="A3848" s="5" t="n">
        <v>2111000000</v>
      </c>
      <c r="B3848" s="5" t="inlineStr">
        <is>
          <t>101071</t>
        </is>
      </c>
      <c r="C3848" s="5" t="inlineStr">
        <is>
          <t>CUSTOM COMERCIO INTERNACIONAL LTDA</t>
        </is>
      </c>
      <c r="D3848" s="5" t="inlineStr">
        <is>
          <t>AB</t>
        </is>
      </c>
      <c r="E3848" s="5" t="n">
        <v>1100038547</v>
      </c>
      <c r="F3848" s="5" t="inlineStr">
        <is>
          <t>OEM0423</t>
        </is>
      </c>
      <c r="G3848" s="5" t="inlineStr">
        <is>
          <t>BRL</t>
        </is>
      </c>
      <c r="H3848" s="9" t="n">
        <v>5048.65</v>
      </c>
      <c r="I3848" s="16" t="n">
        <v>45871</v>
      </c>
      <c r="J3848" s="16" t="n">
        <v>45871</v>
      </c>
      <c r="K3848" s="5" t="inlineStr">
        <is>
          <t>CUSTOM A DEVOLVER</t>
        </is>
      </c>
      <c r="L3848" s="5" t="inlineStr">
        <is>
          <t>CUSTOM A DEVOLVER</t>
        </is>
      </c>
      <c r="M3848" s="5">
        <f>IF(YEAR(I3848)&lt;=2020,"Até 2020",TEXT(YEAR(I3848),"0"))</f>
        <v/>
      </c>
      <c r="N3848" s="5">
        <f>IFERROR(INDEX(DePara!$A:$A,MATCH(TEXT(B3848,"0"),DePara!$D:$D,0)),"(sem categoria)")</f>
        <v/>
      </c>
      <c r="O3848" s="5">
        <f>IF(J3848="","",Parametros!$B$6-J3848)</f>
        <v/>
      </c>
      <c r="P3848" s="5">
        <f>IF(O3848="","",IF(O3848&gt;0,1,0))</f>
        <v/>
      </c>
    </row>
    <row r="3849">
      <c r="A3849" s="5" t="n">
        <v>2111000000</v>
      </c>
      <c r="B3849" s="5" t="inlineStr">
        <is>
          <t>101071</t>
        </is>
      </c>
      <c r="C3849" s="5" t="inlineStr">
        <is>
          <t>CUSTOM COMERCIO INTERNACIONAL LTDA</t>
        </is>
      </c>
      <c r="D3849" s="5" t="inlineStr">
        <is>
          <t>AB</t>
        </is>
      </c>
      <c r="E3849" s="5" t="n">
        <v>1100038551</v>
      </c>
      <c r="F3849" s="5" t="inlineStr">
        <is>
          <t>EXP 005/2023</t>
        </is>
      </c>
      <c r="G3849" s="5" t="inlineStr">
        <is>
          <t>BRL</t>
        </is>
      </c>
      <c r="H3849" s="9" t="n">
        <v>6638.49</v>
      </c>
      <c r="I3849" s="16" t="n">
        <v>45871</v>
      </c>
      <c r="J3849" s="16" t="n">
        <v>45871</v>
      </c>
      <c r="K3849" s="5" t="inlineStr">
        <is>
          <t>CUSTOM A DEVOLVER</t>
        </is>
      </c>
      <c r="L3849" s="5" t="inlineStr">
        <is>
          <t>CUSTOM A DEVOLVER</t>
        </is>
      </c>
      <c r="M3849" s="5">
        <f>IF(YEAR(I3849)&lt;=2020,"Até 2020",TEXT(YEAR(I3849),"0"))</f>
        <v/>
      </c>
      <c r="N3849" s="5">
        <f>IFERROR(INDEX(DePara!$A:$A,MATCH(TEXT(B3849,"0"),DePara!$D:$D,0)),"(sem categoria)")</f>
        <v/>
      </c>
      <c r="O3849" s="5">
        <f>IF(J3849="","",Parametros!$B$6-J3849)</f>
        <v/>
      </c>
      <c r="P3849" s="5">
        <f>IF(O3849="","",IF(O3849&gt;0,1,0))</f>
        <v/>
      </c>
    </row>
    <row r="3850">
      <c r="A3850" s="5" t="n">
        <v>2111000000</v>
      </c>
      <c r="B3850" s="5" t="inlineStr">
        <is>
          <t>101071</t>
        </is>
      </c>
      <c r="C3850" s="5" t="inlineStr">
        <is>
          <t>CUSTOM COMERCIO INTERNACIONAL LTDA</t>
        </is>
      </c>
      <c r="D3850" s="5" t="inlineStr">
        <is>
          <t>AB</t>
        </is>
      </c>
      <c r="E3850" s="5" t="n">
        <v>1100038554</v>
      </c>
      <c r="F3850" s="5" t="inlineStr">
        <is>
          <t>OEM0413</t>
        </is>
      </c>
      <c r="G3850" s="5" t="inlineStr">
        <is>
          <t>BRL</t>
        </is>
      </c>
      <c r="H3850" s="9" t="n">
        <v>9345.459999999999</v>
      </c>
      <c r="I3850" s="16" t="n">
        <v>45871</v>
      </c>
      <c r="J3850" s="16" t="n">
        <v>45871</v>
      </c>
      <c r="K3850" s="5" t="inlineStr">
        <is>
          <t>CUSTOM A DEVOLVER</t>
        </is>
      </c>
      <c r="L3850" s="5" t="inlineStr">
        <is>
          <t>CUSTOM A DEVOLVER</t>
        </is>
      </c>
      <c r="M3850" s="5">
        <f>IF(YEAR(I3850)&lt;=2020,"Até 2020",TEXT(YEAR(I3850),"0"))</f>
        <v/>
      </c>
      <c r="N3850" s="5">
        <f>IFERROR(INDEX(DePara!$A:$A,MATCH(TEXT(B3850,"0"),DePara!$D:$D,0)),"(sem categoria)")</f>
        <v/>
      </c>
      <c r="O3850" s="5">
        <f>IF(J3850="","",Parametros!$B$6-J3850)</f>
        <v/>
      </c>
      <c r="P3850" s="5">
        <f>IF(O3850="","",IF(O3850&gt;0,1,0))</f>
        <v/>
      </c>
    </row>
    <row r="3851">
      <c r="A3851" s="5" t="n">
        <v>2111000000</v>
      </c>
      <c r="B3851" s="5" t="inlineStr">
        <is>
          <t>101071</t>
        </is>
      </c>
      <c r="C3851" s="5" t="inlineStr">
        <is>
          <t>CUSTOM COMERCIO INTERNACIONAL LTDA</t>
        </is>
      </c>
      <c r="D3851" s="5" t="inlineStr">
        <is>
          <t>AB</t>
        </is>
      </c>
      <c r="E3851" s="5" t="n">
        <v>1100038556</v>
      </c>
      <c r="F3851" s="5" t="inlineStr">
        <is>
          <t>4023005535-37-38</t>
        </is>
      </c>
      <c r="G3851" s="5" t="inlineStr">
        <is>
          <t>BRL</t>
        </is>
      </c>
      <c r="H3851" s="9" t="n">
        <v>29426.6</v>
      </c>
      <c r="I3851" s="16" t="n">
        <v>45871</v>
      </c>
      <c r="J3851" s="16" t="n">
        <v>45871</v>
      </c>
      <c r="K3851" s="5" t="inlineStr">
        <is>
          <t>CUSTOM A DEVOLVER</t>
        </is>
      </c>
      <c r="L3851" s="5" t="inlineStr">
        <is>
          <t>CUSTOM A DEVOLVER</t>
        </is>
      </c>
      <c r="M3851" s="5">
        <f>IF(YEAR(I3851)&lt;=2020,"Até 2020",TEXT(YEAR(I3851),"0"))</f>
        <v/>
      </c>
      <c r="N3851" s="5">
        <f>IFERROR(INDEX(DePara!$A:$A,MATCH(TEXT(B3851,"0"),DePara!$D:$D,0)),"(sem categoria)")</f>
        <v/>
      </c>
      <c r="O3851" s="5">
        <f>IF(J3851="","",Parametros!$B$6-J3851)</f>
        <v/>
      </c>
      <c r="P3851" s="5">
        <f>IF(O3851="","",IF(O3851&gt;0,1,0))</f>
        <v/>
      </c>
    </row>
    <row r="3852">
      <c r="A3852" s="5" t="n">
        <v>2111000000</v>
      </c>
      <c r="B3852" s="5" t="inlineStr">
        <is>
          <t>101071</t>
        </is>
      </c>
      <c r="C3852" s="5" t="inlineStr">
        <is>
          <t>CUSTOM COMERCIO INTERNACIONAL LTDA</t>
        </is>
      </c>
      <c r="D3852" s="5" t="inlineStr">
        <is>
          <t>AB</t>
        </is>
      </c>
      <c r="E3852" s="5" t="n">
        <v>1100038560</v>
      </c>
      <c r="F3852" s="5" t="inlineStr">
        <is>
          <t>OEM0487</t>
        </is>
      </c>
      <c r="G3852" s="5" t="inlineStr">
        <is>
          <t>BRL</t>
        </is>
      </c>
      <c r="H3852" s="9" t="n">
        <v>8332.08</v>
      </c>
      <c r="I3852" s="16" t="n">
        <v>45871</v>
      </c>
      <c r="J3852" s="16" t="n">
        <v>45871</v>
      </c>
      <c r="K3852" s="5" t="inlineStr">
        <is>
          <t>CUSTOM A DEVOLVER</t>
        </is>
      </c>
      <c r="L3852" s="5" t="inlineStr">
        <is>
          <t>CUSTOM A DEVOLVER</t>
        </is>
      </c>
      <c r="M3852" s="5">
        <f>IF(YEAR(I3852)&lt;=2020,"Até 2020",TEXT(YEAR(I3852),"0"))</f>
        <v/>
      </c>
      <c r="N3852" s="5">
        <f>IFERROR(INDEX(DePara!$A:$A,MATCH(TEXT(B3852,"0"),DePara!$D:$D,0)),"(sem categoria)")</f>
        <v/>
      </c>
      <c r="O3852" s="5">
        <f>IF(J3852="","",Parametros!$B$6-J3852)</f>
        <v/>
      </c>
      <c r="P3852" s="5">
        <f>IF(O3852="","",IF(O3852&gt;0,1,0))</f>
        <v/>
      </c>
    </row>
    <row r="3853">
      <c r="A3853" s="5" t="n">
        <v>2111000000</v>
      </c>
      <c r="B3853" s="5" t="inlineStr">
        <is>
          <t>101071</t>
        </is>
      </c>
      <c r="C3853" s="5" t="inlineStr">
        <is>
          <t>CUSTOM COMERCIO INTERNACIONAL LTDA</t>
        </is>
      </c>
      <c r="D3853" s="5" t="inlineStr">
        <is>
          <t>AB</t>
        </is>
      </c>
      <c r="E3853" s="5" t="n">
        <v>1100038561</v>
      </c>
      <c r="F3853" s="5" t="inlineStr">
        <is>
          <t>OEM0461</t>
        </is>
      </c>
      <c r="G3853" s="5" t="inlineStr">
        <is>
          <t>BRL</t>
        </is>
      </c>
      <c r="H3853" s="9" t="n">
        <v>6922.26</v>
      </c>
      <c r="I3853" s="16" t="n">
        <v>45871</v>
      </c>
      <c r="J3853" s="16" t="n">
        <v>45871</v>
      </c>
      <c r="K3853" s="5" t="inlineStr">
        <is>
          <t>CUSTOM A DEVOLVER</t>
        </is>
      </c>
      <c r="L3853" s="5" t="inlineStr">
        <is>
          <t>CUSTOM A DEVOLVER</t>
        </is>
      </c>
      <c r="M3853" s="5">
        <f>IF(YEAR(I3853)&lt;=2020,"Até 2020",TEXT(YEAR(I3853),"0"))</f>
        <v/>
      </c>
      <c r="N3853" s="5">
        <f>IFERROR(INDEX(DePara!$A:$A,MATCH(TEXT(B3853,"0"),DePara!$D:$D,0)),"(sem categoria)")</f>
        <v/>
      </c>
      <c r="O3853" s="5">
        <f>IF(J3853="","",Parametros!$B$6-J3853)</f>
        <v/>
      </c>
      <c r="P3853" s="5">
        <f>IF(O3853="","",IF(O3853&gt;0,1,0))</f>
        <v/>
      </c>
    </row>
    <row r="3854">
      <c r="A3854" s="5" t="n">
        <v>2111000000</v>
      </c>
      <c r="B3854" s="5" t="inlineStr">
        <is>
          <t>101071</t>
        </is>
      </c>
      <c r="C3854" s="5" t="inlineStr">
        <is>
          <t>CUSTOM COMERCIO INTERNACIONAL LTDA</t>
        </is>
      </c>
      <c r="D3854" s="5" t="inlineStr">
        <is>
          <t>AB</t>
        </is>
      </c>
      <c r="E3854" s="5" t="n">
        <v>1100038564</v>
      </c>
      <c r="F3854" s="5" t="inlineStr">
        <is>
          <t>02562/24</t>
        </is>
      </c>
      <c r="G3854" s="5" t="inlineStr">
        <is>
          <t>BRL</t>
        </is>
      </c>
      <c r="H3854" s="9" t="n">
        <v>190361.66</v>
      </c>
      <c r="I3854" s="16" t="n">
        <v>45894</v>
      </c>
      <c r="J3854" s="16" t="n">
        <v>45894</v>
      </c>
      <c r="K3854" s="5" t="inlineStr">
        <is>
          <t>CUSTOM A DEVOLVER</t>
        </is>
      </c>
      <c r="L3854" s="5" t="inlineStr">
        <is>
          <t>CUSTOM A DEVOLVER</t>
        </is>
      </c>
      <c r="M3854" s="5">
        <f>IF(YEAR(I3854)&lt;=2020,"Até 2020",TEXT(YEAR(I3854),"0"))</f>
        <v/>
      </c>
      <c r="N3854" s="5">
        <f>IFERROR(INDEX(DePara!$A:$A,MATCH(TEXT(B3854,"0"),DePara!$D:$D,0)),"(sem categoria)")</f>
        <v/>
      </c>
      <c r="O3854" s="5">
        <f>IF(J3854="","",Parametros!$B$6-J3854)</f>
        <v/>
      </c>
      <c r="P3854" s="5">
        <f>IF(O3854="","",IF(O3854&gt;0,1,0))</f>
        <v/>
      </c>
    </row>
    <row r="3855">
      <c r="A3855" s="5" t="n">
        <v>2111000000</v>
      </c>
      <c r="B3855" s="5" t="inlineStr">
        <is>
          <t>101071</t>
        </is>
      </c>
      <c r="C3855" s="5" t="inlineStr">
        <is>
          <t>CUSTOM COMERCIO INTERNACIONAL LTDA</t>
        </is>
      </c>
      <c r="D3855" s="5" t="inlineStr">
        <is>
          <t>AB</t>
        </is>
      </c>
      <c r="E3855" s="5" t="n">
        <v>1100038572</v>
      </c>
      <c r="F3855" s="5" t="inlineStr">
        <is>
          <t>MOLDE T0B</t>
        </is>
      </c>
      <c r="G3855" s="5" t="inlineStr">
        <is>
          <t>BRL</t>
        </is>
      </c>
      <c r="H3855" s="9" t="n">
        <v>15917.86</v>
      </c>
      <c r="I3855" s="16" t="n">
        <v>45871</v>
      </c>
      <c r="J3855" s="16" t="n">
        <v>45871</v>
      </c>
      <c r="K3855" s="5" t="inlineStr">
        <is>
          <t>CUSTOM A DEVOLVER</t>
        </is>
      </c>
      <c r="L3855" s="5" t="inlineStr">
        <is>
          <t>CUSTOM A DEVOLVER</t>
        </is>
      </c>
      <c r="M3855" s="5">
        <f>IF(YEAR(I3855)&lt;=2020,"Até 2020",TEXT(YEAR(I3855),"0"))</f>
        <v/>
      </c>
      <c r="N3855" s="5">
        <f>IFERROR(INDEX(DePara!$A:$A,MATCH(TEXT(B3855,"0"),DePara!$D:$D,0)),"(sem categoria)")</f>
        <v/>
      </c>
      <c r="O3855" s="5">
        <f>IF(J3855="","",Parametros!$B$6-J3855)</f>
        <v/>
      </c>
      <c r="P3855" s="5">
        <f>IF(O3855="","",IF(O3855&gt;0,1,0))</f>
        <v/>
      </c>
    </row>
    <row r="3856">
      <c r="A3856" s="5" t="n">
        <v>2111000000</v>
      </c>
      <c r="B3856" s="5" t="inlineStr">
        <is>
          <t>101071</t>
        </is>
      </c>
      <c r="C3856" s="5" t="inlineStr">
        <is>
          <t>CUSTOM COMERCIO INTERNACIONAL LTDA</t>
        </is>
      </c>
      <c r="D3856" s="5" t="inlineStr">
        <is>
          <t>AB</t>
        </is>
      </c>
      <c r="E3856" s="5" t="n">
        <v>1100038575</v>
      </c>
      <c r="F3856" s="5" t="inlineStr">
        <is>
          <t>02744/24</t>
        </is>
      </c>
      <c r="G3856" s="5" t="inlineStr">
        <is>
          <t>BRL</t>
        </is>
      </c>
      <c r="H3856" s="9" t="n">
        <v>66548.75</v>
      </c>
      <c r="I3856" s="16" t="n">
        <v>45871</v>
      </c>
      <c r="J3856" s="16" t="n">
        <v>45871</v>
      </c>
      <c r="K3856" s="5" t="inlineStr">
        <is>
          <t>CUSTOM A DEVOLVER</t>
        </is>
      </c>
      <c r="L3856" s="5" t="inlineStr">
        <is>
          <t>CUSTOM A DEVOLVER</t>
        </is>
      </c>
      <c r="M3856" s="5">
        <f>IF(YEAR(I3856)&lt;=2020,"Até 2020",TEXT(YEAR(I3856),"0"))</f>
        <v/>
      </c>
      <c r="N3856" s="5">
        <f>IFERROR(INDEX(DePara!$A:$A,MATCH(TEXT(B3856,"0"),DePara!$D:$D,0)),"(sem categoria)")</f>
        <v/>
      </c>
      <c r="O3856" s="5">
        <f>IF(J3856="","",Parametros!$B$6-J3856)</f>
        <v/>
      </c>
      <c r="P3856" s="5">
        <f>IF(O3856="","",IF(O3856&gt;0,1,0))</f>
        <v/>
      </c>
    </row>
    <row r="3857">
      <c r="A3857" s="5" t="n">
        <v>2111000000</v>
      </c>
      <c r="B3857" s="5" t="inlineStr">
        <is>
          <t>101071</t>
        </is>
      </c>
      <c r="C3857" s="5" t="inlineStr">
        <is>
          <t>CUSTOM COMERCIO INTERNACIONAL LTDA</t>
        </is>
      </c>
      <c r="D3857" s="5" t="inlineStr">
        <is>
          <t>AB</t>
        </is>
      </c>
      <c r="E3857" s="5" t="n">
        <v>1100038576</v>
      </c>
      <c r="F3857" s="5" t="inlineStr">
        <is>
          <t>VESANGL017</t>
        </is>
      </c>
      <c r="G3857" s="5" t="inlineStr">
        <is>
          <t>BRL</t>
        </is>
      </c>
      <c r="H3857" s="9" t="n">
        <v>110002.1</v>
      </c>
      <c r="I3857" s="16" t="n">
        <v>45871</v>
      </c>
      <c r="J3857" s="16" t="n">
        <v>45871</v>
      </c>
      <c r="K3857" s="5" t="inlineStr">
        <is>
          <t>CUSTOM A DEVOLVER</t>
        </is>
      </c>
      <c r="L3857" s="5" t="inlineStr">
        <is>
          <t>CUSTOM A DEVOLVER</t>
        </is>
      </c>
      <c r="M3857" s="5">
        <f>IF(YEAR(I3857)&lt;=2020,"Até 2020",TEXT(YEAR(I3857),"0"))</f>
        <v/>
      </c>
      <c r="N3857" s="5">
        <f>IFERROR(INDEX(DePara!$A:$A,MATCH(TEXT(B3857,"0"),DePara!$D:$D,0)),"(sem categoria)")</f>
        <v/>
      </c>
      <c r="O3857" s="5">
        <f>IF(J3857="","",Parametros!$B$6-J3857)</f>
        <v/>
      </c>
      <c r="P3857" s="5">
        <f>IF(O3857="","",IF(O3857&gt;0,1,0))</f>
        <v/>
      </c>
    </row>
    <row r="3858">
      <c r="A3858" s="5" t="n">
        <v>2111000000</v>
      </c>
      <c r="B3858" s="5" t="inlineStr">
        <is>
          <t>101071</t>
        </is>
      </c>
      <c r="C3858" s="5" t="inlineStr">
        <is>
          <t>CUSTOM COMERCIO INTERNACIONAL LTDA</t>
        </is>
      </c>
      <c r="D3858" s="5" t="inlineStr">
        <is>
          <t>AB</t>
        </is>
      </c>
      <c r="E3858" s="5" t="n">
        <v>1100038597</v>
      </c>
      <c r="F3858" s="5" t="inlineStr">
        <is>
          <t>4023002702</t>
        </is>
      </c>
      <c r="G3858" s="5" t="inlineStr">
        <is>
          <t>BRL</t>
        </is>
      </c>
      <c r="H3858" s="9" t="n">
        <v>2135.3</v>
      </c>
      <c r="I3858" s="16" t="n">
        <v>45871</v>
      </c>
      <c r="J3858" s="16" t="n">
        <v>45871</v>
      </c>
      <c r="K3858" s="5" t="inlineStr">
        <is>
          <t>CUSTOM A DEVOLVER</t>
        </is>
      </c>
      <c r="L3858" s="5" t="inlineStr">
        <is>
          <t>CUSTOM A DEVOLVER</t>
        </is>
      </c>
      <c r="M3858" s="5">
        <f>IF(YEAR(I3858)&lt;=2020,"Até 2020",TEXT(YEAR(I3858),"0"))</f>
        <v/>
      </c>
      <c r="N3858" s="5">
        <f>IFERROR(INDEX(DePara!$A:$A,MATCH(TEXT(B3858,"0"),DePara!$D:$D,0)),"(sem categoria)")</f>
        <v/>
      </c>
      <c r="O3858" s="5">
        <f>IF(J3858="","",Parametros!$B$6-J3858)</f>
        <v/>
      </c>
      <c r="P3858" s="5">
        <f>IF(O3858="","",IF(O3858&gt;0,1,0))</f>
        <v/>
      </c>
    </row>
    <row r="3859">
      <c r="A3859" s="5" t="n">
        <v>2111000000</v>
      </c>
      <c r="B3859" s="5" t="inlineStr">
        <is>
          <t>101848</t>
        </is>
      </c>
      <c r="C3859" s="5" t="inlineStr">
        <is>
          <t>KLUBER LUBRICATION LUBRIF ESPECIAIS</t>
        </is>
      </c>
      <c r="D3859" s="5" t="inlineStr">
        <is>
          <t>AB</t>
        </is>
      </c>
      <c r="E3859" s="5" t="n">
        <v>1100041754</v>
      </c>
      <c r="F3859" s="5" t="n"/>
      <c r="G3859" s="5" t="inlineStr">
        <is>
          <t>BRL</t>
        </is>
      </c>
      <c r="H3859" s="9" t="n">
        <v>-132699.65</v>
      </c>
      <c r="I3859" s="16" t="n">
        <v>45919</v>
      </c>
      <c r="J3859" s="16" t="n">
        <v>45919</v>
      </c>
      <c r="K3859" s="5" t="inlineStr">
        <is>
          <t>nota de devolução</t>
        </is>
      </c>
      <c r="L3859" s="5" t="inlineStr">
        <is>
          <t>nota de devolução</t>
        </is>
      </c>
      <c r="M3859" s="5">
        <f>IF(YEAR(I3859)&lt;=2020,"Até 2020",TEXT(YEAR(I3859),"0"))</f>
        <v/>
      </c>
      <c r="N3859" s="5">
        <f>IFERROR(INDEX(DePara!$A:$A,MATCH(TEXT(B3859,"0"),DePara!$D:$D,0)),"(sem categoria)")</f>
        <v/>
      </c>
      <c r="O3859" s="5">
        <f>IF(J3859="","",Parametros!$B$6-J3859)</f>
        <v/>
      </c>
      <c r="P3859" s="5">
        <f>IF(O3859="","",IF(O3859&gt;0,1,0))</f>
        <v/>
      </c>
    </row>
    <row r="3860">
      <c r="A3860" s="5" t="n">
        <v>2111000000</v>
      </c>
      <c r="B3860" s="5" t="inlineStr">
        <is>
          <t>101052</t>
        </is>
      </c>
      <c r="C3860" s="5" t="inlineStr">
        <is>
          <t>MEGALIFT LOCACAO E TRANSP INTERM LT</t>
        </is>
      </c>
      <c r="D3860" s="5" t="inlineStr">
        <is>
          <t>AB</t>
        </is>
      </c>
      <c r="E3860" s="5" t="n">
        <v>1100041922</v>
      </c>
      <c r="F3860" s="5" t="inlineStr">
        <is>
          <t>125001</t>
        </is>
      </c>
      <c r="G3860" s="5" t="inlineStr">
        <is>
          <t>BRL</t>
        </is>
      </c>
      <c r="H3860" s="9" t="n">
        <v>-111.65</v>
      </c>
      <c r="I3860" s="16" t="n">
        <v>45929</v>
      </c>
      <c r="J3860" s="16" t="n">
        <v>45996</v>
      </c>
      <c r="K3860" s="5" t="inlineStr">
        <is>
          <t>125001</t>
        </is>
      </c>
      <c r="L3860" s="5" t="inlineStr">
        <is>
          <t>NAO PAGAR</t>
        </is>
      </c>
      <c r="M3860" s="5">
        <f>IF(YEAR(I3860)&lt;=2020,"Até 2020",TEXT(YEAR(I3860),"0"))</f>
        <v/>
      </c>
      <c r="N3860" s="5">
        <f>IFERROR(INDEX(DePara!$A:$A,MATCH(TEXT(B3860,"0"),DePara!$D:$D,0)),"(sem categoria)")</f>
        <v/>
      </c>
      <c r="O3860" s="5">
        <f>IF(J3860="","",Parametros!$B$6-J3860)</f>
        <v/>
      </c>
      <c r="P3860" s="5">
        <f>IF(O3860="","",IF(O3860&gt;0,1,0))</f>
        <v/>
      </c>
    </row>
    <row r="3861">
      <c r="A3861" s="5" t="n">
        <v>2111000000</v>
      </c>
      <c r="B3861" s="5" t="inlineStr">
        <is>
          <t>101485</t>
        </is>
      </c>
      <c r="C3861" s="5" t="inlineStr">
        <is>
          <t>RUDLOFF SISTEMA DE PROTENSAO LTDA</t>
        </is>
      </c>
      <c r="D3861" s="5" t="inlineStr">
        <is>
          <t>AB</t>
        </is>
      </c>
      <c r="E3861" s="5" t="n">
        <v>1100041923</v>
      </c>
      <c r="F3861" s="5" t="inlineStr">
        <is>
          <t>1914</t>
        </is>
      </c>
      <c r="G3861" s="5" t="inlineStr">
        <is>
          <t>BRL</t>
        </is>
      </c>
      <c r="H3861" s="9" t="n">
        <v>-763.75</v>
      </c>
      <c r="I3861" s="16" t="n">
        <v>45929</v>
      </c>
      <c r="J3861" s="16" t="n">
        <v>45966</v>
      </c>
      <c r="K3861" s="5" t="inlineStr">
        <is>
          <t>Partida individual RUDLOFF SISTEMA DE PROTENSAO LT</t>
        </is>
      </c>
      <c r="L3861" s="5" t="inlineStr">
        <is>
          <t>NAO PAGAR</t>
        </is>
      </c>
      <c r="M3861" s="5">
        <f>IF(YEAR(I3861)&lt;=2020,"Até 2020",TEXT(YEAR(I3861),"0"))</f>
        <v/>
      </c>
      <c r="N3861" s="5">
        <f>IFERROR(INDEX(DePara!$A:$A,MATCH(TEXT(B3861,"0"),DePara!$D:$D,0)),"(sem categoria)")</f>
        <v/>
      </c>
      <c r="O3861" s="5">
        <f>IF(J3861="","",Parametros!$B$6-J3861)</f>
        <v/>
      </c>
      <c r="P3861" s="5">
        <f>IF(O3861="","",IF(O3861&gt;0,1,0))</f>
        <v/>
      </c>
    </row>
    <row r="3862">
      <c r="A3862" s="5" t="n">
        <v>2111000000</v>
      </c>
      <c r="B3862" s="5" t="inlineStr">
        <is>
          <t>101053</t>
        </is>
      </c>
      <c r="C3862" s="5" t="inlineStr">
        <is>
          <t>NLA LATINOAMERICANA LOGISTICA LTDA</t>
        </is>
      </c>
      <c r="D3862" s="5" t="inlineStr">
        <is>
          <t>AB</t>
        </is>
      </c>
      <c r="E3862" s="5" t="n">
        <v>1100041924</v>
      </c>
      <c r="F3862" s="5" t="inlineStr">
        <is>
          <t>2658000</t>
        </is>
      </c>
      <c r="G3862" s="5" t="inlineStr">
        <is>
          <t>BRL</t>
        </is>
      </c>
      <c r="H3862" s="9" t="n">
        <v>-1415.61</v>
      </c>
      <c r="I3862" s="16" t="n">
        <v>45929</v>
      </c>
      <c r="J3862" s="16" t="n">
        <v>45996</v>
      </c>
      <c r="K3862" s="5" t="inlineStr">
        <is>
          <t>Partida individual NLA LATINOAMERICANA LOGISTICA L</t>
        </is>
      </c>
      <c r="L3862" s="5" t="inlineStr">
        <is>
          <t>NAO PAGAR</t>
        </is>
      </c>
      <c r="M3862" s="5">
        <f>IF(YEAR(I3862)&lt;=2020,"Até 2020",TEXT(YEAR(I3862),"0"))</f>
        <v/>
      </c>
      <c r="N3862" s="5">
        <f>IFERROR(INDEX(DePara!$A:$A,MATCH(TEXT(B3862,"0"),DePara!$D:$D,0)),"(sem categoria)")</f>
        <v/>
      </c>
      <c r="O3862" s="5">
        <f>IF(J3862="","",Parametros!$B$6-J3862)</f>
        <v/>
      </c>
      <c r="P3862" s="5">
        <f>IF(O3862="","",IF(O3862&gt;0,1,0))</f>
        <v/>
      </c>
    </row>
    <row r="3863">
      <c r="A3863" s="5" t="n">
        <v>2111000000</v>
      </c>
      <c r="B3863" s="5" t="inlineStr">
        <is>
          <t>101432</t>
        </is>
      </c>
      <c r="C3863" s="5" t="inlineStr">
        <is>
          <t>CONSTRUTORA MD EIRELI</t>
        </is>
      </c>
      <c r="D3863" s="5" t="inlineStr">
        <is>
          <t>AB</t>
        </is>
      </c>
      <c r="E3863" s="5" t="n">
        <v>1100041926</v>
      </c>
      <c r="F3863" s="5" t="inlineStr">
        <is>
          <t>26 E 25</t>
        </is>
      </c>
      <c r="G3863" s="5" t="inlineStr">
        <is>
          <t>BRL</t>
        </is>
      </c>
      <c r="H3863" s="9" t="n">
        <v>-38721.58</v>
      </c>
      <c r="I3863" s="16" t="n">
        <v>45929</v>
      </c>
      <c r="J3863" s="16" t="n">
        <v>45966</v>
      </c>
      <c r="K3863" s="5" t="inlineStr">
        <is>
          <t>NAO PAGAR</t>
        </is>
      </c>
      <c r="L3863" s="5" t="inlineStr">
        <is>
          <t>NAO PAGAR</t>
        </is>
      </c>
      <c r="M3863" s="5">
        <f>IF(YEAR(I3863)&lt;=2020,"Até 2020",TEXT(YEAR(I3863),"0"))</f>
        <v/>
      </c>
      <c r="N3863" s="5">
        <f>IFERROR(INDEX(DePara!$A:$A,MATCH(TEXT(B3863,"0"),DePara!$D:$D,0)),"(sem categoria)")</f>
        <v/>
      </c>
      <c r="O3863" s="5">
        <f>IF(J3863="","",Parametros!$B$6-J3863)</f>
        <v/>
      </c>
      <c r="P3863" s="5">
        <f>IF(O3863="","",IF(O3863&gt;0,1,0))</f>
        <v/>
      </c>
    </row>
    <row r="3864">
      <c r="A3864" s="5" t="n">
        <v>2111000000</v>
      </c>
      <c r="B3864" s="5" t="inlineStr">
        <is>
          <t>102143</t>
        </is>
      </c>
      <c r="C3864" s="5" t="inlineStr">
        <is>
          <t>FARDIER LOGISTICA ESP EM CARGAS EPE</t>
        </is>
      </c>
      <c r="D3864" s="5" t="inlineStr">
        <is>
          <t>AB</t>
        </is>
      </c>
      <c r="E3864" s="5" t="n">
        <v>1100041927</v>
      </c>
      <c r="F3864" s="5" t="inlineStr">
        <is>
          <t>FW FARDIER</t>
        </is>
      </c>
      <c r="G3864" s="5" t="inlineStr">
        <is>
          <t>BRL</t>
        </is>
      </c>
      <c r="H3864" s="9" t="n">
        <v>-650000</v>
      </c>
      <c r="I3864" s="16" t="n">
        <v>45929</v>
      </c>
      <c r="J3864" s="16" t="n">
        <v>45996</v>
      </c>
      <c r="K3864" s="5" t="inlineStr">
        <is>
          <t>Partida individual FARDIER LOGISTICA ESP EM CARGAS</t>
        </is>
      </c>
      <c r="L3864" s="5" t="inlineStr">
        <is>
          <t>NAO PAGAR</t>
        </is>
      </c>
      <c r="M3864" s="5">
        <f>IF(YEAR(I3864)&lt;=2020,"Até 2020",TEXT(YEAR(I3864),"0"))</f>
        <v/>
      </c>
      <c r="N3864" s="5">
        <f>IFERROR(INDEX(DePara!$A:$A,MATCH(TEXT(B3864,"0"),DePara!$D:$D,0)),"(sem categoria)")</f>
        <v/>
      </c>
      <c r="O3864" s="5">
        <f>IF(J3864="","",Parametros!$B$6-J3864)</f>
        <v/>
      </c>
      <c r="P3864" s="5">
        <f>IF(O3864="","",IF(O3864&gt;0,1,0))</f>
        <v/>
      </c>
    </row>
    <row r="3865">
      <c r="A3865" s="5" t="n">
        <v>2111000000</v>
      </c>
      <c r="B3865" s="5" t="inlineStr">
        <is>
          <t>102087</t>
        </is>
      </c>
      <c r="C3865" s="5" t="inlineStr">
        <is>
          <t>CAIXA ECONOMICA FEDERAL</t>
        </is>
      </c>
      <c r="D3865" s="5" t="inlineStr">
        <is>
          <t>AB</t>
        </is>
      </c>
      <c r="E3865" s="5" t="n">
        <v>1100050074</v>
      </c>
      <c r="F3865" s="5" t="inlineStr">
        <is>
          <t>FGTS DEVOLVIDO</t>
        </is>
      </c>
      <c r="G3865" s="5" t="inlineStr">
        <is>
          <t>BRL</t>
        </is>
      </c>
      <c r="H3865" s="9" t="n">
        <v>-1409.07</v>
      </c>
      <c r="I3865" s="16" t="n">
        <v>45993</v>
      </c>
      <c r="J3865" s="16" t="n">
        <v>45993</v>
      </c>
      <c r="K3865" s="5" t="inlineStr">
        <is>
          <t>Partida individual CAIXA ECONOMICA FEDERAL FGTS DE</t>
        </is>
      </c>
      <c r="L3865" s="5" t="n"/>
      <c r="M3865" s="5">
        <f>IF(YEAR(I3865)&lt;=2020,"Até 2020",TEXT(YEAR(I3865),"0"))</f>
        <v/>
      </c>
      <c r="N3865" s="5">
        <f>IFERROR(INDEX(DePara!$A:$A,MATCH(TEXT(B3865,"0"),DePara!$D:$D,0)),"(sem categoria)")</f>
        <v/>
      </c>
      <c r="O3865" s="5">
        <f>IF(J3865="","",Parametros!$B$6-J3865)</f>
        <v/>
      </c>
      <c r="P3865" s="5">
        <f>IF(O3865="","",IF(O3865&gt;0,1,0))</f>
        <v/>
      </c>
    </row>
    <row r="3866">
      <c r="A3866" s="5" t="n">
        <v>2111000000</v>
      </c>
      <c r="B3866" s="5" t="inlineStr">
        <is>
          <t>101918</t>
        </is>
      </c>
      <c r="C3866" s="5" t="inlineStr">
        <is>
          <t>MUNICIPIO DE AREIA BRANCA</t>
        </is>
      </c>
      <c r="D3866" s="5" t="inlineStr">
        <is>
          <t>KZ</t>
        </is>
      </c>
      <c r="E3866" s="5" t="n">
        <v>1300000108</v>
      </c>
      <c r="F3866" s="5" t="n"/>
      <c r="G3866" s="5" t="inlineStr">
        <is>
          <t>BRL</t>
        </is>
      </c>
      <c r="H3866" s="9" t="n">
        <v>26554.9</v>
      </c>
      <c r="I3866" s="16" t="n">
        <v>46029</v>
      </c>
      <c r="J3866" s="16" t="n">
        <v>46029</v>
      </c>
      <c r="K3866" s="5" t="inlineStr">
        <is>
          <t>Pagamento fornecedor MUNICIPIO DE AREIA BRANCA</t>
        </is>
      </c>
      <c r="L3866" s="5" t="n"/>
      <c r="M3866" s="5">
        <f>IF(YEAR(I3866)&lt;=2020,"Até 2020",TEXT(YEAR(I3866),"0"))</f>
        <v/>
      </c>
      <c r="N3866" s="5">
        <f>IFERROR(INDEX(DePara!$A:$A,MATCH(TEXT(B3866,"0"),DePara!$D:$D,0)),"(sem categoria)")</f>
        <v/>
      </c>
      <c r="O3866" s="5">
        <f>IF(J3866="","",Parametros!$B$6-J3866)</f>
        <v/>
      </c>
      <c r="P3866" s="5">
        <f>IF(O3866="","",IF(O3866&gt;0,1,0))</f>
        <v/>
      </c>
    </row>
    <row r="3867">
      <c r="A3867" s="5" t="n">
        <v>2111000000</v>
      </c>
      <c r="B3867" s="5" t="inlineStr">
        <is>
          <t>101918</t>
        </is>
      </c>
      <c r="C3867" s="5" t="inlineStr">
        <is>
          <t>MUNICIPIO DE AREIA BRANCA</t>
        </is>
      </c>
      <c r="D3867" s="5" t="inlineStr">
        <is>
          <t>KZ</t>
        </is>
      </c>
      <c r="E3867" s="5" t="n">
        <v>1300000109</v>
      </c>
      <c r="F3867" s="5" t="n"/>
      <c r="G3867" s="5" t="inlineStr">
        <is>
          <t>BRL</t>
        </is>
      </c>
      <c r="H3867" s="9" t="n">
        <v>143975.21</v>
      </c>
      <c r="I3867" s="16" t="n">
        <v>46029</v>
      </c>
      <c r="J3867" s="16" t="n">
        <v>46029</v>
      </c>
      <c r="K3867" s="5" t="inlineStr">
        <is>
          <t>Pagamento fornecedor MUNICIPIO DE AREIA BRANCA</t>
        </is>
      </c>
      <c r="L3867" s="5" t="n"/>
      <c r="M3867" s="5">
        <f>IF(YEAR(I3867)&lt;=2020,"Até 2020",TEXT(YEAR(I3867),"0"))</f>
        <v/>
      </c>
      <c r="N3867" s="5">
        <f>IFERROR(INDEX(DePara!$A:$A,MATCH(TEXT(B3867,"0"),DePara!$D:$D,0)),"(sem categoria)")</f>
        <v/>
      </c>
      <c r="O3867" s="5">
        <f>IF(J3867="","",Parametros!$B$6-J3867)</f>
        <v/>
      </c>
      <c r="P3867" s="5">
        <f>IF(O3867="","",IF(O3867&gt;0,1,0))</f>
        <v/>
      </c>
    </row>
    <row r="3868">
      <c r="A3868" s="5" t="n">
        <v>2111000000</v>
      </c>
      <c r="B3868" s="5" t="inlineStr">
        <is>
          <t>101918</t>
        </is>
      </c>
      <c r="C3868" s="5" t="inlineStr">
        <is>
          <t>MUNICIPIO DE AREIA BRANCA</t>
        </is>
      </c>
      <c r="D3868" s="5" t="inlineStr">
        <is>
          <t>KZ</t>
        </is>
      </c>
      <c r="E3868" s="5" t="n">
        <v>1300000122</v>
      </c>
      <c r="F3868" s="5" t="n"/>
      <c r="G3868" s="5" t="inlineStr">
        <is>
          <t>BRL</t>
        </is>
      </c>
      <c r="H3868" s="9" t="n">
        <v>-26554.9</v>
      </c>
      <c r="I3868" s="16" t="n">
        <v>46029</v>
      </c>
      <c r="J3868" s="16" t="n">
        <v>46029</v>
      </c>
      <c r="K3868" s="5" t="inlineStr">
        <is>
          <t>Pagamento fornecedor MUNICIPIO DE AREIA BRANCA</t>
        </is>
      </c>
      <c r="L3868" s="5" t="n"/>
      <c r="M3868" s="5">
        <f>IF(YEAR(I3868)&lt;=2020,"Até 2020",TEXT(YEAR(I3868),"0"))</f>
        <v/>
      </c>
      <c r="N3868" s="5">
        <f>IFERROR(INDEX(DePara!$A:$A,MATCH(TEXT(B3868,"0"),DePara!$D:$D,0)),"(sem categoria)")</f>
        <v/>
      </c>
      <c r="O3868" s="5">
        <f>IF(J3868="","",Parametros!$B$6-J3868)</f>
        <v/>
      </c>
      <c r="P3868" s="5">
        <f>IF(O3868="","",IF(O3868&gt;0,1,0))</f>
        <v/>
      </c>
    </row>
    <row r="3869">
      <c r="A3869" s="5" t="n">
        <v>2111000000</v>
      </c>
      <c r="B3869" s="5" t="inlineStr">
        <is>
          <t>101918</t>
        </is>
      </c>
      <c r="C3869" s="5" t="inlineStr">
        <is>
          <t>MUNICIPIO DE AREIA BRANCA</t>
        </is>
      </c>
      <c r="D3869" s="5" t="inlineStr">
        <is>
          <t>KZ</t>
        </is>
      </c>
      <c r="E3869" s="5" t="n">
        <v>1300000123</v>
      </c>
      <c r="F3869" s="5" t="n"/>
      <c r="G3869" s="5" t="inlineStr">
        <is>
          <t>BRL</t>
        </is>
      </c>
      <c r="H3869" s="9" t="n">
        <v>-143975.21</v>
      </c>
      <c r="I3869" s="16" t="n">
        <v>46029</v>
      </c>
      <c r="J3869" s="16" t="n">
        <v>46029</v>
      </c>
      <c r="K3869" s="5" t="inlineStr">
        <is>
          <t>Pagamento fornecedor MUNICIPIO DE AREIA BRANCA</t>
        </is>
      </c>
      <c r="L3869" s="5" t="n"/>
      <c r="M3869" s="5">
        <f>IF(YEAR(I3869)&lt;=2020,"Até 2020",TEXT(YEAR(I3869),"0"))</f>
        <v/>
      </c>
      <c r="N3869" s="5">
        <f>IFERROR(INDEX(DePara!$A:$A,MATCH(TEXT(B3869,"0"),DePara!$D:$D,0)),"(sem categoria)")</f>
        <v/>
      </c>
      <c r="O3869" s="5">
        <f>IF(J3869="","",Parametros!$B$6-J3869)</f>
        <v/>
      </c>
      <c r="P3869" s="5">
        <f>IF(O3869="","",IF(O3869&gt;0,1,0))</f>
        <v/>
      </c>
    </row>
    <row r="3870">
      <c r="A3870" s="5" t="n">
        <v>2111000000</v>
      </c>
      <c r="B3870" s="5" t="inlineStr">
        <is>
          <t>102209</t>
        </is>
      </c>
      <c r="C3870" s="5" t="inlineStr">
        <is>
          <t>ENEL GREEN POWER V DE SANTA ANGELA 29711059000250</t>
        </is>
      </c>
      <c r="D3870" s="5" t="inlineStr">
        <is>
          <t>DZ</t>
        </is>
      </c>
      <c r="E3870" s="5" t="n">
        <v>1300002066</v>
      </c>
      <c r="F3870" s="5" t="n"/>
      <c r="G3870" s="5" t="inlineStr">
        <is>
          <t>BRL</t>
        </is>
      </c>
      <c r="H3870" s="9" t="n">
        <v>-5470.92</v>
      </c>
      <c r="I3870" s="16" t="n">
        <v>45741</v>
      </c>
      <c r="J3870" s="16" t="n">
        <v>45741</v>
      </c>
      <c r="K3870" s="5" t="inlineStr">
        <is>
          <t>INSS NÃO RETIDO NF 2944 DEVOLVER AO CLIENTE</t>
        </is>
      </c>
      <c r="L3870" s="5" t="inlineStr">
        <is>
          <t>15102025</t>
        </is>
      </c>
      <c r="M3870" s="5">
        <f>IF(YEAR(I3870)&lt;=2020,"Até 2020",TEXT(YEAR(I3870),"0"))</f>
        <v/>
      </c>
      <c r="N3870" s="5">
        <f>IFERROR(INDEX(DePara!$A:$A,MATCH(TEXT(B3870,"0"),DePara!$D:$D,0)),"(sem categoria)")</f>
        <v/>
      </c>
      <c r="O3870" s="5">
        <f>IF(J3870="","",Parametros!$B$6-J3870)</f>
        <v/>
      </c>
      <c r="P3870" s="5">
        <f>IF(O3870="","",IF(O3870&gt;0,1,0))</f>
        <v/>
      </c>
    </row>
    <row r="3871">
      <c r="A3871" s="5" t="n">
        <v>2111000000</v>
      </c>
      <c r="B3871" s="5" t="inlineStr">
        <is>
          <t>105589</t>
        </is>
      </c>
      <c r="C3871" s="5" t="inlineStr">
        <is>
          <t>ENEL GREEN POWER VENTOS DE SAO ROQU 36051515000249</t>
        </is>
      </c>
      <c r="D3871" s="5" t="inlineStr">
        <is>
          <t>DZ</t>
        </is>
      </c>
      <c r="E3871" s="5" t="n">
        <v>1300007749</v>
      </c>
      <c r="F3871" s="5" t="n"/>
      <c r="G3871" s="5" t="inlineStr">
        <is>
          <t>BRL</t>
        </is>
      </c>
      <c r="H3871" s="9" t="n">
        <v>-4923.03</v>
      </c>
      <c r="I3871" s="16" t="n">
        <v>45975</v>
      </c>
      <c r="J3871" s="16" t="n">
        <v>45975</v>
      </c>
      <c r="K3871" s="5" t="inlineStr">
        <is>
          <t>Customer Payment ENEL GREEN POWER VENTOS DE SAO RO</t>
        </is>
      </c>
      <c r="L3871" s="5" t="n"/>
      <c r="M3871" s="5">
        <f>IF(YEAR(I3871)&lt;=2020,"Até 2020",TEXT(YEAR(I3871),"0"))</f>
        <v/>
      </c>
      <c r="N3871" s="5">
        <f>IFERROR(INDEX(DePara!$A:$A,MATCH(TEXT(B3871,"0"),DePara!$D:$D,0)),"(sem categoria)")</f>
        <v/>
      </c>
      <c r="O3871" s="5">
        <f>IF(J3871="","",Parametros!$B$6-J3871)</f>
        <v/>
      </c>
      <c r="P3871" s="5">
        <f>IF(O3871="","",IF(O3871&gt;0,1,0))</f>
        <v/>
      </c>
    </row>
    <row r="3872">
      <c r="A3872" s="5" t="n">
        <v>2111000000</v>
      </c>
      <c r="B3872" s="5" t="inlineStr">
        <is>
          <t>102080</t>
        </is>
      </c>
      <c r="C3872" s="5" t="inlineStr">
        <is>
          <t>RECEITA FEDERAL DO BRASIL</t>
        </is>
      </c>
      <c r="D3872" s="5" t="inlineStr">
        <is>
          <t>JP</t>
        </is>
      </c>
      <c r="E3872" s="5" t="n">
        <v>1400000058</v>
      </c>
      <c r="F3872" s="5" t="inlineStr">
        <is>
          <t>0000229558</t>
        </is>
      </c>
      <c r="G3872" s="5" t="inlineStr">
        <is>
          <t>BRL</t>
        </is>
      </c>
      <c r="H3872" s="9" t="n">
        <v>0</v>
      </c>
      <c r="I3872" s="16" t="n">
        <v>46009</v>
      </c>
      <c r="J3872" s="16" t="n"/>
      <c r="K3872" s="5" t="inlineStr">
        <is>
          <t>Journal Posting OSGT  0000229558</t>
        </is>
      </c>
      <c r="L3872" s="5" t="inlineStr">
        <is>
          <t>0908/25</t>
        </is>
      </c>
      <c r="M3872" s="5">
        <f>IF(YEAR(I3872)&lt;=2020,"Até 2020",TEXT(YEAR(I3872),"0"))</f>
        <v/>
      </c>
      <c r="N3872" s="5">
        <f>IFERROR(INDEX(DePara!$A:$A,MATCH(TEXT(B3872,"0"),DePara!$D:$D,0)),"(sem categoria)")</f>
        <v/>
      </c>
      <c r="O3872" s="5">
        <f>IF(J3872="","",Parametros!$B$6-J3872)</f>
        <v/>
      </c>
      <c r="P3872" s="5">
        <f>IF(O3872="","",IF(O3872&gt;0,1,0))</f>
        <v/>
      </c>
    </row>
    <row r="3873">
      <c r="A3873" s="5" t="n">
        <v>2111000000</v>
      </c>
      <c r="B3873" s="5" t="inlineStr">
        <is>
          <t>102080</t>
        </is>
      </c>
      <c r="C3873" s="5" t="inlineStr">
        <is>
          <t>RECEITA FEDERAL DO BRASIL</t>
        </is>
      </c>
      <c r="D3873" s="5" t="inlineStr">
        <is>
          <t>JP</t>
        </is>
      </c>
      <c r="E3873" s="5" t="n">
        <v>1400000080</v>
      </c>
      <c r="F3873" s="5" t="inlineStr">
        <is>
          <t>0000200000</t>
        </is>
      </c>
      <c r="G3873" s="5" t="inlineStr">
        <is>
          <t>BRL</t>
        </is>
      </c>
      <c r="H3873" s="9" t="n">
        <v>0</v>
      </c>
      <c r="I3873" s="16" t="n">
        <v>46028</v>
      </c>
      <c r="J3873" s="16" t="n"/>
      <c r="K3873" s="5" t="inlineStr">
        <is>
          <t>Journal Posting OSGT  0000200000</t>
        </is>
      </c>
      <c r="L3873" s="5" t="inlineStr">
        <is>
          <t>0867/25</t>
        </is>
      </c>
      <c r="M3873" s="5">
        <f>IF(YEAR(I3873)&lt;=2020,"Até 2020",TEXT(YEAR(I3873),"0"))</f>
        <v/>
      </c>
      <c r="N3873" s="5">
        <f>IFERROR(INDEX(DePara!$A:$A,MATCH(TEXT(B3873,"0"),DePara!$D:$D,0)),"(sem categoria)")</f>
        <v/>
      </c>
      <c r="O3873" s="5">
        <f>IF(J3873="","",Parametros!$B$6-J3873)</f>
        <v/>
      </c>
      <c r="P3873" s="5">
        <f>IF(O3873="","",IF(O3873&gt;0,1,0))</f>
        <v/>
      </c>
    </row>
    <row r="3874">
      <c r="A3874" s="5" t="n">
        <v>2111000000</v>
      </c>
      <c r="B3874" s="5" t="inlineStr">
        <is>
          <t>102080</t>
        </is>
      </c>
      <c r="C3874" s="5" t="inlineStr">
        <is>
          <t>RECEITA FEDERAL DO BRASIL</t>
        </is>
      </c>
      <c r="D3874" s="5" t="inlineStr">
        <is>
          <t>JP</t>
        </is>
      </c>
      <c r="E3874" s="5" t="n">
        <v>1400000111</v>
      </c>
      <c r="F3874" s="5" t="inlineStr">
        <is>
          <t>0000230647</t>
        </is>
      </c>
      <c r="G3874" s="5" t="inlineStr">
        <is>
          <t>BRL</t>
        </is>
      </c>
      <c r="H3874" s="9" t="n">
        <v>0</v>
      </c>
      <c r="I3874" s="16" t="n">
        <v>46014</v>
      </c>
      <c r="J3874" s="16" t="n"/>
      <c r="K3874" s="5" t="inlineStr">
        <is>
          <t>Journal Posting OSGT  0000230647</t>
        </is>
      </c>
      <c r="L3874" s="5" t="inlineStr">
        <is>
          <t>0919/25</t>
        </is>
      </c>
      <c r="M3874" s="5">
        <f>IF(YEAR(I3874)&lt;=2020,"Até 2020",TEXT(YEAR(I3874),"0"))</f>
        <v/>
      </c>
      <c r="N3874" s="5">
        <f>IFERROR(INDEX(DePara!$A:$A,MATCH(TEXT(B3874,"0"),DePara!$D:$D,0)),"(sem categoria)")</f>
        <v/>
      </c>
      <c r="O3874" s="5">
        <f>IF(J3874="","",Parametros!$B$6-J3874)</f>
        <v/>
      </c>
      <c r="P3874" s="5">
        <f>IF(O3874="","",IF(O3874&gt;0,1,0))</f>
        <v/>
      </c>
    </row>
    <row r="3875">
      <c r="A3875" s="5" t="n">
        <v>2111000000</v>
      </c>
      <c r="B3875" s="5" t="inlineStr">
        <is>
          <t>102080</t>
        </is>
      </c>
      <c r="C3875" s="5" t="inlineStr">
        <is>
          <t>RECEITA FEDERAL DO BRASIL</t>
        </is>
      </c>
      <c r="D3875" s="5" t="inlineStr">
        <is>
          <t>JP</t>
        </is>
      </c>
      <c r="E3875" s="5" t="n">
        <v>1400000130</v>
      </c>
      <c r="F3875" s="5" t="inlineStr">
        <is>
          <t>0000230724</t>
        </is>
      </c>
      <c r="G3875" s="5" t="inlineStr">
        <is>
          <t>BRL</t>
        </is>
      </c>
      <c r="H3875" s="9" t="n">
        <v>0</v>
      </c>
      <c r="I3875" s="16" t="n">
        <v>46006</v>
      </c>
      <c r="J3875" s="16" t="n"/>
      <c r="K3875" s="5" t="inlineStr">
        <is>
          <t>Journal Posting OSGT  0000230724</t>
        </is>
      </c>
      <c r="L3875" s="5" t="inlineStr">
        <is>
          <t>0924/25</t>
        </is>
      </c>
      <c r="M3875" s="5">
        <f>IF(YEAR(I3875)&lt;=2020,"Até 2020",TEXT(YEAR(I3875),"0"))</f>
        <v/>
      </c>
      <c r="N3875" s="5">
        <f>IFERROR(INDEX(DePara!$A:$A,MATCH(TEXT(B3875,"0"),DePara!$D:$D,0)),"(sem categoria)")</f>
        <v/>
      </c>
      <c r="O3875" s="5">
        <f>IF(J3875="","",Parametros!$B$6-J3875)</f>
        <v/>
      </c>
      <c r="P3875" s="5">
        <f>IF(O3875="","",IF(O3875&gt;0,1,0))</f>
        <v/>
      </c>
    </row>
    <row r="3876">
      <c r="A3876" s="5" t="n">
        <v>2111000000</v>
      </c>
      <c r="B3876" s="5" t="inlineStr">
        <is>
          <t>102080</t>
        </is>
      </c>
      <c r="C3876" s="5" t="inlineStr">
        <is>
          <t>RECEITA FEDERAL DO BRASIL</t>
        </is>
      </c>
      <c r="D3876" s="5" t="inlineStr">
        <is>
          <t>JP</t>
        </is>
      </c>
      <c r="E3876" s="5" t="n">
        <v>1400000132</v>
      </c>
      <c r="F3876" s="5" t="inlineStr">
        <is>
          <t>0000230703</t>
        </is>
      </c>
      <c r="G3876" s="5" t="inlineStr">
        <is>
          <t>BRL</t>
        </is>
      </c>
      <c r="H3876" s="9" t="n">
        <v>0</v>
      </c>
      <c r="I3876" s="16" t="n">
        <v>46006</v>
      </c>
      <c r="J3876" s="16" t="n"/>
      <c r="K3876" s="5" t="inlineStr">
        <is>
          <t>Journal Posting OSGT  0000230703</t>
        </is>
      </c>
      <c r="L3876" s="5" t="inlineStr">
        <is>
          <t>0925/25</t>
        </is>
      </c>
      <c r="M3876" s="5">
        <f>IF(YEAR(I3876)&lt;=2020,"Até 2020",TEXT(YEAR(I3876),"0"))</f>
        <v/>
      </c>
      <c r="N3876" s="5">
        <f>IFERROR(INDEX(DePara!$A:$A,MATCH(TEXT(B3876,"0"),DePara!$D:$D,0)),"(sem categoria)")</f>
        <v/>
      </c>
      <c r="O3876" s="5">
        <f>IF(J3876="","",Parametros!$B$6-J3876)</f>
        <v/>
      </c>
      <c r="P3876" s="5">
        <f>IF(O3876="","",IF(O3876&gt;0,1,0))</f>
        <v/>
      </c>
    </row>
    <row r="3877">
      <c r="A3877" s="5" t="n">
        <v>2111000000</v>
      </c>
      <c r="B3877" s="5" t="inlineStr">
        <is>
          <t>102080</t>
        </is>
      </c>
      <c r="C3877" s="5" t="inlineStr">
        <is>
          <t>RECEITA FEDERAL DO BRASIL</t>
        </is>
      </c>
      <c r="D3877" s="5" t="inlineStr">
        <is>
          <t>JP</t>
        </is>
      </c>
      <c r="E3877" s="5" t="n">
        <v>1400000135</v>
      </c>
      <c r="F3877" s="5" t="inlineStr">
        <is>
          <t>0000230715</t>
        </is>
      </c>
      <c r="G3877" s="5" t="inlineStr">
        <is>
          <t>BRL</t>
        </is>
      </c>
      <c r="H3877" s="9" t="n">
        <v>0</v>
      </c>
      <c r="I3877" s="16" t="n">
        <v>46006</v>
      </c>
      <c r="J3877" s="16" t="n"/>
      <c r="K3877" s="5" t="inlineStr">
        <is>
          <t>Journal Posting OSGT  0000230715</t>
        </is>
      </c>
      <c r="L3877" s="5" t="inlineStr">
        <is>
          <t>0922/25</t>
        </is>
      </c>
      <c r="M3877" s="5">
        <f>IF(YEAR(I3877)&lt;=2020,"Até 2020",TEXT(YEAR(I3877),"0"))</f>
        <v/>
      </c>
      <c r="N3877" s="5">
        <f>IFERROR(INDEX(DePara!$A:$A,MATCH(TEXT(B3877,"0"),DePara!$D:$D,0)),"(sem categoria)")</f>
        <v/>
      </c>
      <c r="O3877" s="5">
        <f>IF(J3877="","",Parametros!$B$6-J3877)</f>
        <v/>
      </c>
      <c r="P3877" s="5">
        <f>IF(O3877="","",IF(O3877&gt;0,1,0))</f>
        <v/>
      </c>
    </row>
    <row r="3878">
      <c r="A3878" s="5" t="n">
        <v>2111000000</v>
      </c>
      <c r="B3878" s="5" t="inlineStr">
        <is>
          <t>102080</t>
        </is>
      </c>
      <c r="C3878" s="5" t="inlineStr">
        <is>
          <t>RECEITA FEDERAL DO BRASIL</t>
        </is>
      </c>
      <c r="D3878" s="5" t="inlineStr">
        <is>
          <t>JP</t>
        </is>
      </c>
      <c r="E3878" s="5" t="n">
        <v>1400000155</v>
      </c>
      <c r="F3878" s="5" t="inlineStr">
        <is>
          <t>0000200918</t>
        </is>
      </c>
      <c r="G3878" s="5" t="inlineStr">
        <is>
          <t>BRL</t>
        </is>
      </c>
      <c r="H3878" s="9" t="n">
        <v>0</v>
      </c>
      <c r="I3878" s="16" t="n">
        <v>45929</v>
      </c>
      <c r="J3878" s="16" t="n"/>
      <c r="K3878" s="5" t="inlineStr">
        <is>
          <t>Journal Posting OSGT  0000200918</t>
        </is>
      </c>
      <c r="L3878" s="5" t="inlineStr">
        <is>
          <t>0761/25</t>
        </is>
      </c>
      <c r="M3878" s="5">
        <f>IF(YEAR(I3878)&lt;=2020,"Até 2020",TEXT(YEAR(I3878),"0"))</f>
        <v/>
      </c>
      <c r="N3878" s="5">
        <f>IFERROR(INDEX(DePara!$A:$A,MATCH(TEXT(B3878,"0"),DePara!$D:$D,0)),"(sem categoria)")</f>
        <v/>
      </c>
      <c r="O3878" s="5">
        <f>IF(J3878="","",Parametros!$B$6-J3878)</f>
        <v/>
      </c>
      <c r="P3878" s="5">
        <f>IF(O3878="","",IF(O3878&gt;0,1,0))</f>
        <v/>
      </c>
    </row>
    <row r="3879">
      <c r="A3879" s="5" t="n">
        <v>2111000000</v>
      </c>
      <c r="B3879" s="5" t="inlineStr">
        <is>
          <t>102080</t>
        </is>
      </c>
      <c r="C3879" s="5" t="inlineStr">
        <is>
          <t>RECEITA FEDERAL DO BRASIL</t>
        </is>
      </c>
      <c r="D3879" s="5" t="inlineStr">
        <is>
          <t>JP</t>
        </is>
      </c>
      <c r="E3879" s="5" t="n">
        <v>1400000184</v>
      </c>
      <c r="F3879" s="5" t="inlineStr">
        <is>
          <t>0000230714</t>
        </is>
      </c>
      <c r="G3879" s="5" t="inlineStr">
        <is>
          <t>BRL</t>
        </is>
      </c>
      <c r="H3879" s="9" t="n">
        <v>0</v>
      </c>
      <c r="I3879" s="16" t="n">
        <v>46020</v>
      </c>
      <c r="J3879" s="16" t="n"/>
      <c r="K3879" s="5" t="inlineStr">
        <is>
          <t>Journal Posting OSGT  0000230714</t>
        </is>
      </c>
      <c r="L3879" s="5" t="inlineStr">
        <is>
          <t>0923/25</t>
        </is>
      </c>
      <c r="M3879" s="5">
        <f>IF(YEAR(I3879)&lt;=2020,"Até 2020",TEXT(YEAR(I3879),"0"))</f>
        <v/>
      </c>
      <c r="N3879" s="5">
        <f>IFERROR(INDEX(DePara!$A:$A,MATCH(TEXT(B3879,"0"),DePara!$D:$D,0)),"(sem categoria)")</f>
        <v/>
      </c>
      <c r="O3879" s="5">
        <f>IF(J3879="","",Parametros!$B$6-J3879)</f>
        <v/>
      </c>
      <c r="P3879" s="5">
        <f>IF(O3879="","",IF(O3879&gt;0,1,0))</f>
        <v/>
      </c>
    </row>
    <row r="3880">
      <c r="A3880" s="5" t="n">
        <v>2111000000</v>
      </c>
      <c r="B3880" s="5" t="inlineStr">
        <is>
          <t>102080</t>
        </is>
      </c>
      <c r="C3880" s="5" t="inlineStr">
        <is>
          <t>RECEITA FEDERAL DO BRASIL</t>
        </is>
      </c>
      <c r="D3880" s="5" t="inlineStr">
        <is>
          <t>JP</t>
        </is>
      </c>
      <c r="E3880" s="5" t="n">
        <v>1400000210</v>
      </c>
      <c r="F3880" s="5" t="inlineStr">
        <is>
          <t>0000201593</t>
        </is>
      </c>
      <c r="G3880" s="5" t="inlineStr">
        <is>
          <t>BRL</t>
        </is>
      </c>
      <c r="H3880" s="9" t="n">
        <v>0</v>
      </c>
      <c r="I3880" s="16" t="n">
        <v>46036</v>
      </c>
      <c r="J3880" s="16" t="n"/>
      <c r="K3880" s="5" t="inlineStr">
        <is>
          <t>Journal Posting OSGT  0000201593</t>
        </is>
      </c>
      <c r="L3880" s="5" t="inlineStr">
        <is>
          <t>0002/26</t>
        </is>
      </c>
      <c r="M3880" s="5">
        <f>IF(YEAR(I3880)&lt;=2020,"Até 2020",TEXT(YEAR(I3880),"0"))</f>
        <v/>
      </c>
      <c r="N3880" s="5">
        <f>IFERROR(INDEX(DePara!$A:$A,MATCH(TEXT(B3880,"0"),DePara!$D:$D,0)),"(sem categoria)")</f>
        <v/>
      </c>
      <c r="O3880" s="5">
        <f>IF(J3880="","",Parametros!$B$6-J3880)</f>
        <v/>
      </c>
      <c r="P3880" s="5">
        <f>IF(O3880="","",IF(O3880&gt;0,1,0))</f>
        <v/>
      </c>
    </row>
    <row r="3881">
      <c r="A3881" s="5" t="n">
        <v>2111000000</v>
      </c>
      <c r="B3881" s="5" t="inlineStr">
        <is>
          <t>102080</t>
        </is>
      </c>
      <c r="C3881" s="5" t="inlineStr">
        <is>
          <t>RECEITA FEDERAL DO BRASIL</t>
        </is>
      </c>
      <c r="D3881" s="5" t="inlineStr">
        <is>
          <t>JP</t>
        </is>
      </c>
      <c r="E3881" s="5" t="n">
        <v>1400000218</v>
      </c>
      <c r="F3881" s="5" t="inlineStr">
        <is>
          <t>0000201581</t>
        </is>
      </c>
      <c r="G3881" s="5" t="inlineStr">
        <is>
          <t>BRL</t>
        </is>
      </c>
      <c r="H3881" s="9" t="n">
        <v>0</v>
      </c>
      <c r="I3881" s="16" t="n">
        <v>46027</v>
      </c>
      <c r="J3881" s="16" t="n"/>
      <c r="K3881" s="5" t="inlineStr">
        <is>
          <t>Journal Posting OSGT  0000201581</t>
        </is>
      </c>
      <c r="L3881" s="5" t="inlineStr">
        <is>
          <t>0006/26</t>
        </is>
      </c>
      <c r="M3881" s="5">
        <f>IF(YEAR(I3881)&lt;=2020,"Até 2020",TEXT(YEAR(I3881),"0"))</f>
        <v/>
      </c>
      <c r="N3881" s="5">
        <f>IFERROR(INDEX(DePara!$A:$A,MATCH(TEXT(B3881,"0"),DePara!$D:$D,0)),"(sem categoria)")</f>
        <v/>
      </c>
      <c r="O3881" s="5">
        <f>IF(J3881="","",Parametros!$B$6-J3881)</f>
        <v/>
      </c>
      <c r="P3881" s="5">
        <f>IF(O3881="","",IF(O3881&gt;0,1,0))</f>
        <v/>
      </c>
    </row>
    <row r="3882">
      <c r="A3882" s="5" t="n">
        <v>2111000000</v>
      </c>
      <c r="B3882" s="5" t="inlineStr">
        <is>
          <t>102080</t>
        </is>
      </c>
      <c r="C3882" s="5" t="inlineStr">
        <is>
          <t>RECEITA FEDERAL DO BRASIL</t>
        </is>
      </c>
      <c r="D3882" s="5" t="inlineStr">
        <is>
          <t>JP</t>
        </is>
      </c>
      <c r="E3882" s="5" t="n">
        <v>1400000260</v>
      </c>
      <c r="F3882" s="5" t="inlineStr">
        <is>
          <t>0000202269</t>
        </is>
      </c>
      <c r="G3882" s="5" t="inlineStr">
        <is>
          <t>BRL</t>
        </is>
      </c>
      <c r="H3882" s="9" t="n">
        <v>0</v>
      </c>
      <c r="I3882" s="16" t="n">
        <v>46028</v>
      </c>
      <c r="J3882" s="16" t="n"/>
      <c r="K3882" s="5" t="inlineStr">
        <is>
          <t>Journal Posting OSGT  0000202269</t>
        </is>
      </c>
      <c r="L3882" s="5" t="inlineStr">
        <is>
          <t>0011/26</t>
        </is>
      </c>
      <c r="M3882" s="5">
        <f>IF(YEAR(I3882)&lt;=2020,"Até 2020",TEXT(YEAR(I3882),"0"))</f>
        <v/>
      </c>
      <c r="N3882" s="5">
        <f>IFERROR(INDEX(DePara!$A:$A,MATCH(TEXT(B3882,"0"),DePara!$D:$D,0)),"(sem categoria)")</f>
        <v/>
      </c>
      <c r="O3882" s="5">
        <f>IF(J3882="","",Parametros!$B$6-J3882)</f>
        <v/>
      </c>
      <c r="P3882" s="5">
        <f>IF(O3882="","",IF(O3882&gt;0,1,0))</f>
        <v/>
      </c>
    </row>
    <row r="3883">
      <c r="A3883" s="5" t="n">
        <v>2111000000</v>
      </c>
      <c r="B3883" s="5" t="inlineStr">
        <is>
          <t>102080</t>
        </is>
      </c>
      <c r="C3883" s="5" t="inlineStr">
        <is>
          <t>RECEITA FEDERAL DO BRASIL</t>
        </is>
      </c>
      <c r="D3883" s="5" t="inlineStr">
        <is>
          <t>JP</t>
        </is>
      </c>
      <c r="E3883" s="5" t="n">
        <v>1400000285</v>
      </c>
      <c r="F3883" s="5" t="n"/>
      <c r="G3883" s="5" t="inlineStr">
        <is>
          <t>BRL</t>
        </is>
      </c>
      <c r="H3883" s="9" t="n">
        <v>0</v>
      </c>
      <c r="I3883" s="16" t="n">
        <v>45938</v>
      </c>
      <c r="J3883" s="16" t="n"/>
      <c r="K3883" s="5" t="inlineStr">
        <is>
          <t>Journal Posting OSGT</t>
        </is>
      </c>
      <c r="L3883" s="5" t="inlineStr">
        <is>
          <t>0773/25</t>
        </is>
      </c>
      <c r="M3883" s="5">
        <f>IF(YEAR(I3883)&lt;=2020,"Até 2020",TEXT(YEAR(I3883),"0"))</f>
        <v/>
      </c>
      <c r="N3883" s="5">
        <f>IFERROR(INDEX(DePara!$A:$A,MATCH(TEXT(B3883,"0"),DePara!$D:$D,0)),"(sem categoria)")</f>
        <v/>
      </c>
      <c r="O3883" s="5">
        <f>IF(J3883="","",Parametros!$B$6-J3883)</f>
        <v/>
      </c>
      <c r="P3883" s="5">
        <f>IF(O3883="","",IF(O3883&gt;0,1,0))</f>
        <v/>
      </c>
    </row>
    <row r="3884">
      <c r="A3884" s="5" t="n">
        <v>2111000000</v>
      </c>
      <c r="B3884" s="5" t="inlineStr">
        <is>
          <t>102080</t>
        </is>
      </c>
      <c r="C3884" s="5" t="inlineStr">
        <is>
          <t>RECEITA FEDERAL DO BRASIL</t>
        </is>
      </c>
      <c r="D3884" s="5" t="inlineStr">
        <is>
          <t>JP</t>
        </is>
      </c>
      <c r="E3884" s="5" t="n">
        <v>1400000315</v>
      </c>
      <c r="F3884" s="5" t="inlineStr">
        <is>
          <t>0000202254</t>
        </is>
      </c>
      <c r="G3884" s="5" t="inlineStr">
        <is>
          <t>BRL</t>
        </is>
      </c>
      <c r="H3884" s="9" t="n">
        <v>0</v>
      </c>
      <c r="I3884" s="16" t="n">
        <v>46029</v>
      </c>
      <c r="J3884" s="16" t="n"/>
      <c r="K3884" s="5" t="inlineStr">
        <is>
          <t>Journal Posting OSGT  0000202254</t>
        </is>
      </c>
      <c r="L3884" s="5" t="inlineStr">
        <is>
          <t>0015/26</t>
        </is>
      </c>
      <c r="M3884" s="5">
        <f>IF(YEAR(I3884)&lt;=2020,"Até 2020",TEXT(YEAR(I3884),"0"))</f>
        <v/>
      </c>
      <c r="N3884" s="5">
        <f>IFERROR(INDEX(DePara!$A:$A,MATCH(TEXT(B3884,"0"),DePara!$D:$D,0)),"(sem categoria)")</f>
        <v/>
      </c>
      <c r="O3884" s="5">
        <f>IF(J3884="","",Parametros!$B$6-J3884)</f>
        <v/>
      </c>
      <c r="P3884" s="5">
        <f>IF(O3884="","",IF(O3884&gt;0,1,0))</f>
        <v/>
      </c>
    </row>
    <row r="3885">
      <c r="A3885" s="5" t="n">
        <v>2111000000</v>
      </c>
      <c r="B3885" s="5" t="inlineStr">
        <is>
          <t>102080</t>
        </is>
      </c>
      <c r="C3885" s="5" t="inlineStr">
        <is>
          <t>RECEITA FEDERAL DO BRASIL</t>
        </is>
      </c>
      <c r="D3885" s="5" t="inlineStr">
        <is>
          <t>JP</t>
        </is>
      </c>
      <c r="E3885" s="5" t="n">
        <v>1400000370</v>
      </c>
      <c r="F3885" s="5" t="inlineStr">
        <is>
          <t>0000201514</t>
        </is>
      </c>
      <c r="G3885" s="5" t="inlineStr">
        <is>
          <t>BRL</t>
        </is>
      </c>
      <c r="H3885" s="9" t="n">
        <v>0</v>
      </c>
      <c r="I3885" s="16" t="n">
        <v>45989</v>
      </c>
      <c r="J3885" s="16" t="n"/>
      <c r="K3885" s="5" t="inlineStr">
        <is>
          <t>Journal Posting OSGT  0000201514</t>
        </is>
      </c>
      <c r="L3885" s="5" t="inlineStr">
        <is>
          <t>0891/25</t>
        </is>
      </c>
      <c r="M3885" s="5">
        <f>IF(YEAR(I3885)&lt;=2020,"Até 2020",TEXT(YEAR(I3885),"0"))</f>
        <v/>
      </c>
      <c r="N3885" s="5">
        <f>IFERROR(INDEX(DePara!$A:$A,MATCH(TEXT(B3885,"0"),DePara!$D:$D,0)),"(sem categoria)")</f>
        <v/>
      </c>
      <c r="O3885" s="5">
        <f>IF(J3885="","",Parametros!$B$6-J3885)</f>
        <v/>
      </c>
      <c r="P3885" s="5">
        <f>IF(O3885="","",IF(O3885&gt;0,1,0))</f>
        <v/>
      </c>
    </row>
    <row r="3886">
      <c r="A3886" s="5" t="n">
        <v>2111000000</v>
      </c>
      <c r="B3886" s="5" t="inlineStr">
        <is>
          <t>102080</t>
        </is>
      </c>
      <c r="C3886" s="5" t="inlineStr">
        <is>
          <t>RECEITA FEDERAL DO BRASIL</t>
        </is>
      </c>
      <c r="D3886" s="5" t="inlineStr">
        <is>
          <t>JP</t>
        </is>
      </c>
      <c r="E3886" s="5" t="n">
        <v>1400000386</v>
      </c>
      <c r="F3886" s="5" t="inlineStr">
        <is>
          <t>0000202541</t>
        </is>
      </c>
      <c r="G3886" s="5" t="inlineStr">
        <is>
          <t>BRL</t>
        </is>
      </c>
      <c r="H3886" s="9" t="n">
        <v>0</v>
      </c>
      <c r="I3886" s="16" t="n">
        <v>46049</v>
      </c>
      <c r="J3886" s="16" t="n"/>
      <c r="K3886" s="5" t="inlineStr">
        <is>
          <t>Journal Posting OSGT  0000202541</t>
        </is>
      </c>
      <c r="L3886" s="5" t="inlineStr">
        <is>
          <t>0028/26</t>
        </is>
      </c>
      <c r="M3886" s="5">
        <f>IF(YEAR(I3886)&lt;=2020,"Até 2020",TEXT(YEAR(I3886),"0"))</f>
        <v/>
      </c>
      <c r="N3886" s="5">
        <f>IFERROR(INDEX(DePara!$A:$A,MATCH(TEXT(B3886,"0"),DePara!$D:$D,0)),"(sem categoria)")</f>
        <v/>
      </c>
      <c r="O3886" s="5">
        <f>IF(J3886="","",Parametros!$B$6-J3886)</f>
        <v/>
      </c>
      <c r="P3886" s="5">
        <f>IF(O3886="","",IF(O3886&gt;0,1,0))</f>
        <v/>
      </c>
    </row>
    <row r="3887">
      <c r="A3887" s="5" t="n">
        <v>2111000000</v>
      </c>
      <c r="B3887" s="5" t="inlineStr">
        <is>
          <t>102080</t>
        </is>
      </c>
      <c r="C3887" s="5" t="inlineStr">
        <is>
          <t>RECEITA FEDERAL DO BRASIL</t>
        </is>
      </c>
      <c r="D3887" s="5" t="inlineStr">
        <is>
          <t>JP</t>
        </is>
      </c>
      <c r="E3887" s="5" t="n">
        <v>1400000394</v>
      </c>
      <c r="F3887" s="5" t="inlineStr">
        <is>
          <t>0000202545</t>
        </is>
      </c>
      <c r="G3887" s="5" t="inlineStr">
        <is>
          <t>BRL</t>
        </is>
      </c>
      <c r="H3887" s="9" t="n">
        <v>0</v>
      </c>
      <c r="I3887" s="16" t="n">
        <v>46038</v>
      </c>
      <c r="J3887" s="16" t="n"/>
      <c r="K3887" s="5" t="inlineStr">
        <is>
          <t>Journal Posting OSGT  0000202545</t>
        </is>
      </c>
      <c r="L3887" s="5" t="inlineStr">
        <is>
          <t>0024/26</t>
        </is>
      </c>
      <c r="M3887" s="5">
        <f>IF(YEAR(I3887)&lt;=2020,"Até 2020",TEXT(YEAR(I3887),"0"))</f>
        <v/>
      </c>
      <c r="N3887" s="5">
        <f>IFERROR(INDEX(DePara!$A:$A,MATCH(TEXT(B3887,"0"),DePara!$D:$D,0)),"(sem categoria)")</f>
        <v/>
      </c>
      <c r="O3887" s="5">
        <f>IF(J3887="","",Parametros!$B$6-J3887)</f>
        <v/>
      </c>
      <c r="P3887" s="5">
        <f>IF(O3887="","",IF(O3887&gt;0,1,0))</f>
        <v/>
      </c>
    </row>
    <row r="3888">
      <c r="A3888" s="5" t="n">
        <v>2111000000</v>
      </c>
      <c r="B3888" s="5" t="inlineStr">
        <is>
          <t>102080</t>
        </is>
      </c>
      <c r="C3888" s="5" t="inlineStr">
        <is>
          <t>RECEITA FEDERAL DO BRASIL</t>
        </is>
      </c>
      <c r="D3888" s="5" t="inlineStr">
        <is>
          <t>JP</t>
        </is>
      </c>
      <c r="E3888" s="5" t="n">
        <v>1400000475</v>
      </c>
      <c r="F3888" s="5" t="inlineStr">
        <is>
          <t>0000201513</t>
        </is>
      </c>
      <c r="G3888" s="5" t="inlineStr">
        <is>
          <t>BRL</t>
        </is>
      </c>
      <c r="H3888" s="9" t="n">
        <v>0</v>
      </c>
      <c r="I3888" s="16" t="n">
        <v>46031</v>
      </c>
      <c r="J3888" s="16" t="n"/>
      <c r="K3888" s="5" t="inlineStr">
        <is>
          <t>Journal Posting OSGT  0000201513</t>
        </is>
      </c>
      <c r="L3888" s="5" t="inlineStr">
        <is>
          <t>0902/25</t>
        </is>
      </c>
      <c r="M3888" s="5">
        <f>IF(YEAR(I3888)&lt;=2020,"Até 2020",TEXT(YEAR(I3888),"0"))</f>
        <v/>
      </c>
      <c r="N3888" s="5">
        <f>IFERROR(INDEX(DePara!$A:$A,MATCH(TEXT(B3888,"0"),DePara!$D:$D,0)),"(sem categoria)")</f>
        <v/>
      </c>
      <c r="O3888" s="5">
        <f>IF(J3888="","",Parametros!$B$6-J3888)</f>
        <v/>
      </c>
      <c r="P3888" s="5">
        <f>IF(O3888="","",IF(O3888&gt;0,1,0))</f>
        <v/>
      </c>
    </row>
    <row r="3889">
      <c r="A3889" s="5" t="n">
        <v>2111000000</v>
      </c>
      <c r="B3889" s="5" t="inlineStr">
        <is>
          <t>102080</t>
        </is>
      </c>
      <c r="C3889" s="5" t="inlineStr">
        <is>
          <t>RECEITA FEDERAL DO BRASIL</t>
        </is>
      </c>
      <c r="D3889" s="5" t="inlineStr">
        <is>
          <t>JP</t>
        </is>
      </c>
      <c r="E3889" s="5" t="n">
        <v>1400000494</v>
      </c>
      <c r="F3889" s="5" t="inlineStr">
        <is>
          <t>0000203039</t>
        </is>
      </c>
      <c r="G3889" s="5" t="inlineStr">
        <is>
          <t>BRL</t>
        </is>
      </c>
      <c r="H3889" s="9" t="n">
        <v>0</v>
      </c>
      <c r="I3889" s="16" t="n">
        <v>46058</v>
      </c>
      <c r="J3889" s="16" t="n"/>
      <c r="K3889" s="5" t="inlineStr">
        <is>
          <t>Journal Posting OSGT  0000203039</t>
        </is>
      </c>
      <c r="L3889" s="5" t="inlineStr">
        <is>
          <t>0928/25</t>
        </is>
      </c>
      <c r="M3889" s="5">
        <f>IF(YEAR(I3889)&lt;=2020,"Até 2020",TEXT(YEAR(I3889),"0"))</f>
        <v/>
      </c>
      <c r="N3889" s="5">
        <f>IFERROR(INDEX(DePara!$A:$A,MATCH(TEXT(B3889,"0"),DePara!$D:$D,0)),"(sem categoria)")</f>
        <v/>
      </c>
      <c r="O3889" s="5">
        <f>IF(J3889="","",Parametros!$B$6-J3889)</f>
        <v/>
      </c>
      <c r="P3889" s="5">
        <f>IF(O3889="","",IF(O3889&gt;0,1,0))</f>
        <v/>
      </c>
    </row>
    <row r="3890">
      <c r="A3890" s="5" t="n">
        <v>2111000000</v>
      </c>
      <c r="B3890" s="5" t="inlineStr">
        <is>
          <t>102080</t>
        </is>
      </c>
      <c r="C3890" s="5" t="inlineStr">
        <is>
          <t>RECEITA FEDERAL DO BRASIL</t>
        </is>
      </c>
      <c r="D3890" s="5" t="inlineStr">
        <is>
          <t>JP</t>
        </is>
      </c>
      <c r="E3890" s="5" t="n">
        <v>1400000524</v>
      </c>
      <c r="F3890" s="5" t="inlineStr">
        <is>
          <t>0000204623</t>
        </is>
      </c>
      <c r="G3890" s="5" t="inlineStr">
        <is>
          <t>BRL</t>
        </is>
      </c>
      <c r="H3890" s="9" t="n">
        <v>0</v>
      </c>
      <c r="I3890" s="16" t="n">
        <v>46066</v>
      </c>
      <c r="J3890" s="16" t="n"/>
      <c r="K3890" s="5" t="inlineStr">
        <is>
          <t>Journal Posting OSGT  0000204623</t>
        </is>
      </c>
      <c r="L3890" s="5" t="inlineStr">
        <is>
          <t>0049/26</t>
        </is>
      </c>
      <c r="M3890" s="5">
        <f>IF(YEAR(I3890)&lt;=2020,"Até 2020",TEXT(YEAR(I3890),"0"))</f>
        <v/>
      </c>
      <c r="N3890" s="5">
        <f>IFERROR(INDEX(DePara!$A:$A,MATCH(TEXT(B3890,"0"),DePara!$D:$D,0)),"(sem categoria)")</f>
        <v/>
      </c>
      <c r="O3890" s="5">
        <f>IF(J3890="","",Parametros!$B$6-J3890)</f>
        <v/>
      </c>
      <c r="P3890" s="5">
        <f>IF(O3890="","",IF(O3890&gt;0,1,0))</f>
        <v/>
      </c>
    </row>
    <row r="3891">
      <c r="A3891" s="5" t="n">
        <v>2111000000</v>
      </c>
      <c r="B3891" s="5" t="inlineStr">
        <is>
          <t>102080</t>
        </is>
      </c>
      <c r="C3891" s="5" t="inlineStr">
        <is>
          <t>RECEITA FEDERAL DO BRASIL</t>
        </is>
      </c>
      <c r="D3891" s="5" t="inlineStr">
        <is>
          <t>JP</t>
        </is>
      </c>
      <c r="E3891" s="5" t="n">
        <v>1400000539</v>
      </c>
      <c r="F3891" s="5" t="inlineStr">
        <is>
          <t>0000204658</t>
        </is>
      </c>
      <c r="G3891" s="5" t="inlineStr">
        <is>
          <t>BRL</t>
        </is>
      </c>
      <c r="H3891" s="9" t="n">
        <v>0</v>
      </c>
      <c r="I3891" s="16" t="n">
        <v>46062</v>
      </c>
      <c r="J3891" s="16" t="n"/>
      <c r="K3891" s="5" t="inlineStr">
        <is>
          <t>Journal Posting OSGT  0000204658</t>
        </is>
      </c>
      <c r="L3891" s="5" t="inlineStr">
        <is>
          <t>0057/26</t>
        </is>
      </c>
      <c r="M3891" s="5">
        <f>IF(YEAR(I3891)&lt;=2020,"Até 2020",TEXT(YEAR(I3891),"0"))</f>
        <v/>
      </c>
      <c r="N3891" s="5">
        <f>IFERROR(INDEX(DePara!$A:$A,MATCH(TEXT(B3891,"0"),DePara!$D:$D,0)),"(sem categoria)")</f>
        <v/>
      </c>
      <c r="O3891" s="5">
        <f>IF(J3891="","",Parametros!$B$6-J3891)</f>
        <v/>
      </c>
      <c r="P3891" s="5">
        <f>IF(O3891="","",IF(O3891&gt;0,1,0))</f>
        <v/>
      </c>
    </row>
    <row r="3892">
      <c r="A3892" s="5" t="n">
        <v>2111000000</v>
      </c>
      <c r="B3892" s="5" t="inlineStr">
        <is>
          <t>102080</t>
        </is>
      </c>
      <c r="C3892" s="5" t="inlineStr">
        <is>
          <t>RECEITA FEDERAL DO BRASIL</t>
        </is>
      </c>
      <c r="D3892" s="5" t="inlineStr">
        <is>
          <t>JP</t>
        </is>
      </c>
      <c r="E3892" s="5" t="n">
        <v>1400000601</v>
      </c>
      <c r="F3892" s="5" t="inlineStr">
        <is>
          <t>0000204870</t>
        </is>
      </c>
      <c r="G3892" s="5" t="inlineStr">
        <is>
          <t>BRL</t>
        </is>
      </c>
      <c r="H3892" s="9" t="n">
        <v>0</v>
      </c>
      <c r="I3892" s="16" t="n">
        <v>46076</v>
      </c>
      <c r="J3892" s="16" t="n"/>
      <c r="K3892" s="5" t="inlineStr">
        <is>
          <t>Journal Posting OSGT  0000204870</t>
        </is>
      </c>
      <c r="L3892" s="5" t="inlineStr">
        <is>
          <t>0070/26</t>
        </is>
      </c>
      <c r="M3892" s="5">
        <f>IF(YEAR(I3892)&lt;=2020,"Até 2020",TEXT(YEAR(I3892),"0"))</f>
        <v/>
      </c>
      <c r="N3892" s="5">
        <f>IFERROR(INDEX(DePara!$A:$A,MATCH(TEXT(B3892,"0"),DePara!$D:$D,0)),"(sem categoria)")</f>
        <v/>
      </c>
      <c r="O3892" s="5">
        <f>IF(J3892="","",Parametros!$B$6-J3892)</f>
        <v/>
      </c>
      <c r="P3892" s="5">
        <f>IF(O3892="","",IF(O3892&gt;0,1,0))</f>
        <v/>
      </c>
    </row>
    <row r="3893">
      <c r="A3893" s="5" t="n">
        <v>2111000000</v>
      </c>
      <c r="B3893" s="5" t="inlineStr">
        <is>
          <t>102080</t>
        </is>
      </c>
      <c r="C3893" s="5" t="inlineStr">
        <is>
          <t>RECEITA FEDERAL DO BRASIL</t>
        </is>
      </c>
      <c r="D3893" s="5" t="inlineStr">
        <is>
          <t>JP</t>
        </is>
      </c>
      <c r="E3893" s="5" t="n">
        <v>1400000638</v>
      </c>
      <c r="F3893" s="5" t="n"/>
      <c r="G3893" s="5" t="inlineStr">
        <is>
          <t>BRL</t>
        </is>
      </c>
      <c r="H3893" s="9" t="n">
        <v>0</v>
      </c>
      <c r="I3893" s="16" t="n">
        <v>46062</v>
      </c>
      <c r="J3893" s="16" t="n"/>
      <c r="K3893" s="5" t="inlineStr">
        <is>
          <t>Journal Posting OSGT</t>
        </is>
      </c>
      <c r="L3893" s="5" t="inlineStr">
        <is>
          <t>0058/26</t>
        </is>
      </c>
      <c r="M3893" s="5">
        <f>IF(YEAR(I3893)&lt;=2020,"Até 2020",TEXT(YEAR(I3893),"0"))</f>
        <v/>
      </c>
      <c r="N3893" s="5">
        <f>IFERROR(INDEX(DePara!$A:$A,MATCH(TEXT(B3893,"0"),DePara!$D:$D,0)),"(sem categoria)")</f>
        <v/>
      </c>
      <c r="O3893" s="5">
        <f>IF(J3893="","",Parametros!$B$6-J3893)</f>
        <v/>
      </c>
      <c r="P3893" s="5">
        <f>IF(O3893="","",IF(O3893&gt;0,1,0))</f>
        <v/>
      </c>
    </row>
    <row r="3894">
      <c r="A3894" s="5" t="n">
        <v>2111000000</v>
      </c>
      <c r="B3894" s="5" t="inlineStr">
        <is>
          <t>102080</t>
        </is>
      </c>
      <c r="C3894" s="5" t="inlineStr">
        <is>
          <t>RECEITA FEDERAL DO BRASIL</t>
        </is>
      </c>
      <c r="D3894" s="5" t="inlineStr">
        <is>
          <t>JP</t>
        </is>
      </c>
      <c r="E3894" s="5" t="n">
        <v>1400000700</v>
      </c>
      <c r="F3894" s="5" t="inlineStr">
        <is>
          <t>0000203910</t>
        </is>
      </c>
      <c r="G3894" s="5" t="inlineStr">
        <is>
          <t>BRL</t>
        </is>
      </c>
      <c r="H3894" s="9" t="n">
        <v>0</v>
      </c>
      <c r="I3894" s="16" t="n">
        <v>46064</v>
      </c>
      <c r="J3894" s="16" t="n"/>
      <c r="K3894" s="5" t="inlineStr">
        <is>
          <t>Journal Posting OSGT  0000203910</t>
        </is>
      </c>
      <c r="L3894" s="5" t="inlineStr">
        <is>
          <t>0913/25</t>
        </is>
      </c>
      <c r="M3894" s="5">
        <f>IF(YEAR(I3894)&lt;=2020,"Até 2020",TEXT(YEAR(I3894),"0"))</f>
        <v/>
      </c>
      <c r="N3894" s="5">
        <f>IFERROR(INDEX(DePara!$A:$A,MATCH(TEXT(B3894,"0"),DePara!$D:$D,0)),"(sem categoria)")</f>
        <v/>
      </c>
      <c r="O3894" s="5">
        <f>IF(J3894="","",Parametros!$B$6-J3894)</f>
        <v/>
      </c>
      <c r="P3894" s="5">
        <f>IF(O3894="","",IF(O3894&gt;0,1,0))</f>
        <v/>
      </c>
    </row>
    <row r="3895">
      <c r="A3895" s="5" t="n">
        <v>2111000000</v>
      </c>
      <c r="B3895" s="5" t="inlineStr">
        <is>
          <t>102080</t>
        </is>
      </c>
      <c r="C3895" s="5" t="inlineStr">
        <is>
          <t>RECEITA FEDERAL DO BRASIL</t>
        </is>
      </c>
      <c r="D3895" s="5" t="inlineStr">
        <is>
          <t>JP</t>
        </is>
      </c>
      <c r="E3895" s="5" t="n">
        <v>1400000741</v>
      </c>
      <c r="F3895" s="5" t="inlineStr">
        <is>
          <t>0000206473</t>
        </is>
      </c>
      <c r="G3895" s="5" t="inlineStr">
        <is>
          <t>BRL</t>
        </is>
      </c>
      <c r="H3895" s="9" t="n">
        <v>0</v>
      </c>
      <c r="I3895" s="16" t="n">
        <v>46086</v>
      </c>
      <c r="J3895" s="16" t="n"/>
      <c r="K3895" s="5" t="inlineStr">
        <is>
          <t>Journal Posting OSGT  0000206473</t>
        </is>
      </c>
      <c r="L3895" s="5" t="inlineStr">
        <is>
          <t>0119/26</t>
        </is>
      </c>
      <c r="M3895" s="5">
        <f>IF(YEAR(I3895)&lt;=2020,"Até 2020",TEXT(YEAR(I3895),"0"))</f>
        <v/>
      </c>
      <c r="N3895" s="5">
        <f>IFERROR(INDEX(DePara!$A:$A,MATCH(TEXT(B3895,"0"),DePara!$D:$D,0)),"(sem categoria)")</f>
        <v/>
      </c>
      <c r="O3895" s="5">
        <f>IF(J3895="","",Parametros!$B$6-J3895)</f>
        <v/>
      </c>
      <c r="P3895" s="5">
        <f>IF(O3895="","",IF(O3895&gt;0,1,0))</f>
        <v/>
      </c>
    </row>
    <row r="3896">
      <c r="A3896" s="5" t="n">
        <v>2111000000</v>
      </c>
      <c r="B3896" s="5" t="inlineStr">
        <is>
          <t>102080</t>
        </is>
      </c>
      <c r="C3896" s="5" t="inlineStr">
        <is>
          <t>RECEITA FEDERAL DO BRASIL</t>
        </is>
      </c>
      <c r="D3896" s="5" t="inlineStr">
        <is>
          <t>JP</t>
        </is>
      </c>
      <c r="E3896" s="5" t="n">
        <v>1400000745</v>
      </c>
      <c r="F3896" s="5" t="inlineStr">
        <is>
          <t>0000204995</t>
        </is>
      </c>
      <c r="G3896" s="5" t="inlineStr">
        <is>
          <t>BRL</t>
        </is>
      </c>
      <c r="H3896" s="9" t="n">
        <v>0</v>
      </c>
      <c r="I3896" s="16" t="n">
        <v>45986</v>
      </c>
      <c r="J3896" s="16" t="n"/>
      <c r="K3896" s="5" t="inlineStr">
        <is>
          <t>Journal Posting OSGT  0000204995</t>
        </is>
      </c>
      <c r="L3896" s="5" t="inlineStr">
        <is>
          <t>0876/25</t>
        </is>
      </c>
      <c r="M3896" s="5">
        <f>IF(YEAR(I3896)&lt;=2020,"Até 2020",TEXT(YEAR(I3896),"0"))</f>
        <v/>
      </c>
      <c r="N3896" s="5">
        <f>IFERROR(INDEX(DePara!$A:$A,MATCH(TEXT(B3896,"0"),DePara!$D:$D,0)),"(sem categoria)")</f>
        <v/>
      </c>
      <c r="O3896" s="5">
        <f>IF(J3896="","",Parametros!$B$6-J3896)</f>
        <v/>
      </c>
      <c r="P3896" s="5">
        <f>IF(O3896="","",IF(O3896&gt;0,1,0))</f>
        <v/>
      </c>
    </row>
    <row r="3897">
      <c r="A3897" s="5" t="n">
        <v>2111000000</v>
      </c>
      <c r="B3897" s="5" t="inlineStr">
        <is>
          <t>102080</t>
        </is>
      </c>
      <c r="C3897" s="5" t="inlineStr">
        <is>
          <t>RECEITA FEDERAL DO BRASIL</t>
        </is>
      </c>
      <c r="D3897" s="5" t="inlineStr">
        <is>
          <t>JP</t>
        </is>
      </c>
      <c r="E3897" s="5" t="n">
        <v>1400000799</v>
      </c>
      <c r="F3897" s="5" t="inlineStr">
        <is>
          <t>0000205503</t>
        </is>
      </c>
      <c r="G3897" s="5" t="inlineStr">
        <is>
          <t>BRL</t>
        </is>
      </c>
      <c r="H3897" s="9" t="n">
        <v>0</v>
      </c>
      <c r="I3897" s="16" t="n">
        <v>46044</v>
      </c>
      <c r="J3897" s="16" t="n"/>
      <c r="K3897" s="5" t="inlineStr">
        <is>
          <t>Journal Posting OSGT  0000205503</t>
        </is>
      </c>
      <c r="L3897" s="5" t="inlineStr">
        <is>
          <t>0039/26</t>
        </is>
      </c>
      <c r="M3897" s="5">
        <f>IF(YEAR(I3897)&lt;=2020,"Até 2020",TEXT(YEAR(I3897),"0"))</f>
        <v/>
      </c>
      <c r="N3897" s="5">
        <f>IFERROR(INDEX(DePara!$A:$A,MATCH(TEXT(B3897,"0"),DePara!$D:$D,0)),"(sem categoria)")</f>
        <v/>
      </c>
      <c r="O3897" s="5">
        <f>IF(J3897="","",Parametros!$B$6-J3897)</f>
        <v/>
      </c>
      <c r="P3897" s="5">
        <f>IF(O3897="","",IF(O3897&gt;0,1,0))</f>
        <v/>
      </c>
    </row>
    <row r="3898">
      <c r="A3898" s="5" t="n">
        <v>2111000000</v>
      </c>
      <c r="B3898" s="5" t="inlineStr">
        <is>
          <t>102080</t>
        </is>
      </c>
      <c r="C3898" s="5" t="inlineStr">
        <is>
          <t>RECEITA FEDERAL DO BRASIL</t>
        </is>
      </c>
      <c r="D3898" s="5" t="inlineStr">
        <is>
          <t>JP</t>
        </is>
      </c>
      <c r="E3898" s="5" t="n">
        <v>1400000812</v>
      </c>
      <c r="F3898" s="5" t="n"/>
      <c r="G3898" s="5" t="inlineStr">
        <is>
          <t>BRL</t>
        </is>
      </c>
      <c r="H3898" s="9" t="n">
        <v>0</v>
      </c>
      <c r="I3898" s="16" t="n">
        <v>46064</v>
      </c>
      <c r="J3898" s="16" t="n"/>
      <c r="K3898" s="5" t="inlineStr">
        <is>
          <t>Journal Posting OSGT</t>
        </is>
      </c>
      <c r="L3898" s="5" t="inlineStr">
        <is>
          <t>0068/26</t>
        </is>
      </c>
      <c r="M3898" s="5">
        <f>IF(YEAR(I3898)&lt;=2020,"Até 2020",TEXT(YEAR(I3898),"0"))</f>
        <v/>
      </c>
      <c r="N3898" s="5">
        <f>IFERROR(INDEX(DePara!$A:$A,MATCH(TEXT(B3898,"0"),DePara!$D:$D,0)),"(sem categoria)")</f>
        <v/>
      </c>
      <c r="O3898" s="5">
        <f>IF(J3898="","",Parametros!$B$6-J3898)</f>
        <v/>
      </c>
      <c r="P3898" s="5">
        <f>IF(O3898="","",IF(O3898&gt;0,1,0))</f>
        <v/>
      </c>
    </row>
    <row r="3899">
      <c r="A3899" s="5" t="n">
        <v>2111000000</v>
      </c>
      <c r="B3899" s="5" t="inlineStr">
        <is>
          <t>102080</t>
        </is>
      </c>
      <c r="C3899" s="5" t="inlineStr">
        <is>
          <t>RECEITA FEDERAL DO BRASIL</t>
        </is>
      </c>
      <c r="D3899" s="5" t="inlineStr">
        <is>
          <t>JP</t>
        </is>
      </c>
      <c r="E3899" s="5" t="n">
        <v>1400000887</v>
      </c>
      <c r="F3899" s="5" t="inlineStr">
        <is>
          <t>0000207085</t>
        </is>
      </c>
      <c r="G3899" s="5" t="inlineStr">
        <is>
          <t>BRL</t>
        </is>
      </c>
      <c r="H3899" s="9" t="n">
        <v>0</v>
      </c>
      <c r="I3899" s="16" t="n">
        <v>46098</v>
      </c>
      <c r="J3899" s="16" t="n"/>
      <c r="K3899" s="5" t="inlineStr">
        <is>
          <t>Journal Posting OSGT  0000207085</t>
        </is>
      </c>
      <c r="L3899" s="5" t="inlineStr">
        <is>
          <t>0106/26</t>
        </is>
      </c>
      <c r="M3899" s="5">
        <f>IF(YEAR(I3899)&lt;=2020,"Até 2020",TEXT(YEAR(I3899),"0"))</f>
        <v/>
      </c>
      <c r="N3899" s="5">
        <f>IFERROR(INDEX(DePara!$A:$A,MATCH(TEXT(B3899,"0"),DePara!$D:$D,0)),"(sem categoria)")</f>
        <v/>
      </c>
      <c r="O3899" s="5">
        <f>IF(J3899="","",Parametros!$B$6-J3899)</f>
        <v/>
      </c>
      <c r="P3899" s="5">
        <f>IF(O3899="","",IF(O3899&gt;0,1,0))</f>
        <v/>
      </c>
    </row>
    <row r="3900">
      <c r="A3900" s="5" t="n">
        <v>2111000000</v>
      </c>
      <c r="B3900" s="5" t="inlineStr">
        <is>
          <t>102080</t>
        </is>
      </c>
      <c r="C3900" s="5" t="inlineStr">
        <is>
          <t>RECEITA FEDERAL DO BRASIL</t>
        </is>
      </c>
      <c r="D3900" s="5" t="inlineStr">
        <is>
          <t>JP</t>
        </is>
      </c>
      <c r="E3900" s="5" t="n">
        <v>1400000893</v>
      </c>
      <c r="F3900" s="5" t="inlineStr">
        <is>
          <t>0000206489</t>
        </is>
      </c>
      <c r="G3900" s="5" t="inlineStr">
        <is>
          <t>BRL</t>
        </is>
      </c>
      <c r="H3900" s="9" t="n">
        <v>0</v>
      </c>
      <c r="I3900" s="16" t="n">
        <v>46086</v>
      </c>
      <c r="J3900" s="16" t="n"/>
      <c r="K3900" s="5" t="inlineStr">
        <is>
          <t>Journal Posting OSGT  0000206489</t>
        </is>
      </c>
      <c r="L3900" s="5" t="inlineStr">
        <is>
          <t>0122/26</t>
        </is>
      </c>
      <c r="M3900" s="5">
        <f>IF(YEAR(I3900)&lt;=2020,"Até 2020",TEXT(YEAR(I3900),"0"))</f>
        <v/>
      </c>
      <c r="N3900" s="5">
        <f>IFERROR(INDEX(DePara!$A:$A,MATCH(TEXT(B3900,"0"),DePara!$D:$D,0)),"(sem categoria)")</f>
        <v/>
      </c>
      <c r="O3900" s="5">
        <f>IF(J3900="","",Parametros!$B$6-J3900)</f>
        <v/>
      </c>
      <c r="P3900" s="5">
        <f>IF(O3900="","",IF(O3900&gt;0,1,0))</f>
        <v/>
      </c>
    </row>
    <row r="3901">
      <c r="A3901" s="5" t="n">
        <v>2111000000</v>
      </c>
      <c r="B3901" s="5" t="inlineStr">
        <is>
          <t>102080</t>
        </is>
      </c>
      <c r="C3901" s="5" t="inlineStr">
        <is>
          <t>RECEITA FEDERAL DO BRASIL</t>
        </is>
      </c>
      <c r="D3901" s="5" t="inlineStr">
        <is>
          <t>JP</t>
        </is>
      </c>
      <c r="E3901" s="5" t="n">
        <v>1400000917</v>
      </c>
      <c r="F3901" s="5" t="inlineStr">
        <is>
          <t>0000207158</t>
        </is>
      </c>
      <c r="G3901" s="5" t="inlineStr">
        <is>
          <t>BRL</t>
        </is>
      </c>
      <c r="H3901" s="9" t="n">
        <v>0</v>
      </c>
      <c r="I3901" s="16" t="n">
        <v>46100</v>
      </c>
      <c r="J3901" s="16" t="n"/>
      <c r="K3901" s="5" t="inlineStr">
        <is>
          <t>Journal Posting OSGT  0000207158</t>
        </is>
      </c>
      <c r="L3901" s="5" t="inlineStr">
        <is>
          <t>0126/26</t>
        </is>
      </c>
      <c r="M3901" s="5">
        <f>IF(YEAR(I3901)&lt;=2020,"Até 2020",TEXT(YEAR(I3901),"0"))</f>
        <v/>
      </c>
      <c r="N3901" s="5">
        <f>IFERROR(INDEX(DePara!$A:$A,MATCH(TEXT(B3901,"0"),DePara!$D:$D,0)),"(sem categoria)")</f>
        <v/>
      </c>
      <c r="O3901" s="5">
        <f>IF(J3901="","",Parametros!$B$6-J3901)</f>
        <v/>
      </c>
      <c r="P3901" s="5">
        <f>IF(O3901="","",IF(O3901&gt;0,1,0))</f>
        <v/>
      </c>
    </row>
    <row r="3902">
      <c r="A3902" s="5" t="n">
        <v>2111000000</v>
      </c>
      <c r="B3902" s="5" t="inlineStr">
        <is>
          <t>102080</t>
        </is>
      </c>
      <c r="C3902" s="5" t="inlineStr">
        <is>
          <t>RECEITA FEDERAL DO BRASIL</t>
        </is>
      </c>
      <c r="D3902" s="5" t="inlineStr">
        <is>
          <t>JP</t>
        </is>
      </c>
      <c r="E3902" s="5" t="n">
        <v>1400000930</v>
      </c>
      <c r="F3902" s="5" t="n"/>
      <c r="G3902" s="5" t="inlineStr">
        <is>
          <t>BRL</t>
        </is>
      </c>
      <c r="H3902" s="9" t="n">
        <v>0</v>
      </c>
      <c r="I3902" s="16" t="n">
        <v>45986</v>
      </c>
      <c r="J3902" s="16" t="n"/>
      <c r="K3902" s="5" t="inlineStr">
        <is>
          <t>Journal Posting OSGT</t>
        </is>
      </c>
      <c r="L3902" s="5" t="inlineStr">
        <is>
          <t>0878/25</t>
        </is>
      </c>
      <c r="M3902" s="5">
        <f>IF(YEAR(I3902)&lt;=2020,"Até 2020",TEXT(YEAR(I3902),"0"))</f>
        <v/>
      </c>
      <c r="N3902" s="5">
        <f>IFERROR(INDEX(DePara!$A:$A,MATCH(TEXT(B3902,"0"),DePara!$D:$D,0)),"(sem categoria)")</f>
        <v/>
      </c>
      <c r="O3902" s="5">
        <f>IF(J3902="","",Parametros!$B$6-J3902)</f>
        <v/>
      </c>
      <c r="P3902" s="5">
        <f>IF(O3902="","",IF(O3902&gt;0,1,0))</f>
        <v/>
      </c>
    </row>
    <row r="3903">
      <c r="A3903" s="5" t="n">
        <v>2111000000</v>
      </c>
      <c r="B3903" s="5" t="inlineStr">
        <is>
          <t>102080</t>
        </is>
      </c>
      <c r="C3903" s="5" t="inlineStr">
        <is>
          <t>RECEITA FEDERAL DO BRASIL</t>
        </is>
      </c>
      <c r="D3903" s="5" t="inlineStr">
        <is>
          <t>JP</t>
        </is>
      </c>
      <c r="E3903" s="5" t="n">
        <v>1400000996</v>
      </c>
      <c r="F3903" s="5" t="inlineStr">
        <is>
          <t>0000207163</t>
        </is>
      </c>
      <c r="G3903" s="5" t="inlineStr">
        <is>
          <t>BRL</t>
        </is>
      </c>
      <c r="H3903" s="9" t="n">
        <v>0</v>
      </c>
      <c r="I3903" s="16" t="n">
        <v>46100</v>
      </c>
      <c r="J3903" s="16" t="n"/>
      <c r="K3903" s="5" t="inlineStr">
        <is>
          <t>Journal Posting OSGT  0000207163</t>
        </is>
      </c>
      <c r="L3903" s="5" t="inlineStr">
        <is>
          <t>0112/26</t>
        </is>
      </c>
      <c r="M3903" s="5">
        <f>IF(YEAR(I3903)&lt;=2020,"Até 2020",TEXT(YEAR(I3903),"0"))</f>
        <v/>
      </c>
      <c r="N3903" s="5">
        <f>IFERROR(INDEX(DePara!$A:$A,MATCH(TEXT(B3903,"0"),DePara!$D:$D,0)),"(sem categoria)")</f>
        <v/>
      </c>
      <c r="O3903" s="5">
        <f>IF(J3903="","",Parametros!$B$6-J3903)</f>
        <v/>
      </c>
      <c r="P3903" s="5">
        <f>IF(O3903="","",IF(O3903&gt;0,1,0))</f>
        <v/>
      </c>
    </row>
    <row r="3904">
      <c r="A3904" s="5" t="n">
        <v>2111000000</v>
      </c>
      <c r="B3904" s="5" t="inlineStr">
        <is>
          <t>102080</t>
        </is>
      </c>
      <c r="C3904" s="5" t="inlineStr">
        <is>
          <t>RECEITA FEDERAL DO BRASIL</t>
        </is>
      </c>
      <c r="D3904" s="5" t="inlineStr">
        <is>
          <t>JP</t>
        </is>
      </c>
      <c r="E3904" s="5" t="n">
        <v>1400001049</v>
      </c>
      <c r="F3904" s="5" t="inlineStr">
        <is>
          <t>0000207138</t>
        </is>
      </c>
      <c r="G3904" s="5" t="inlineStr">
        <is>
          <t>BRL</t>
        </is>
      </c>
      <c r="H3904" s="9" t="n">
        <v>0</v>
      </c>
      <c r="I3904" s="16" t="n">
        <v>46099</v>
      </c>
      <c r="J3904" s="16" t="n"/>
      <c r="K3904" s="5" t="inlineStr">
        <is>
          <t>Journal Posting OSGT  0000207138</t>
        </is>
      </c>
      <c r="L3904" s="5" t="inlineStr">
        <is>
          <t>0135/26</t>
        </is>
      </c>
      <c r="M3904" s="5">
        <f>IF(YEAR(I3904)&lt;=2020,"Até 2020",TEXT(YEAR(I3904),"0"))</f>
        <v/>
      </c>
      <c r="N3904" s="5">
        <f>IFERROR(INDEX(DePara!$A:$A,MATCH(TEXT(B3904,"0"),DePara!$D:$D,0)),"(sem categoria)")</f>
        <v/>
      </c>
      <c r="O3904" s="5">
        <f>IF(J3904="","",Parametros!$B$6-J3904)</f>
        <v/>
      </c>
      <c r="P3904" s="5">
        <f>IF(O3904="","",IF(O3904&gt;0,1,0))</f>
        <v/>
      </c>
    </row>
    <row r="3905">
      <c r="A3905" s="5" t="n">
        <v>2111000000</v>
      </c>
      <c r="B3905" s="5" t="inlineStr">
        <is>
          <t>102080</t>
        </is>
      </c>
      <c r="C3905" s="5" t="inlineStr">
        <is>
          <t>RECEITA FEDERAL DO BRASIL</t>
        </is>
      </c>
      <c r="D3905" s="5" t="inlineStr">
        <is>
          <t>JP</t>
        </is>
      </c>
      <c r="E3905" s="5" t="n">
        <v>1400001091</v>
      </c>
      <c r="F3905" s="5" t="inlineStr">
        <is>
          <t>0000208029</t>
        </is>
      </c>
      <c r="G3905" s="5" t="inlineStr">
        <is>
          <t>BRL</t>
        </is>
      </c>
      <c r="H3905" s="9" t="n">
        <v>0</v>
      </c>
      <c r="I3905" s="16" t="n">
        <v>46105</v>
      </c>
      <c r="J3905" s="16" t="n"/>
      <c r="K3905" s="5" t="inlineStr">
        <is>
          <t>Journal Posting OSGT  0000208029</t>
        </is>
      </c>
      <c r="L3905" s="5" t="inlineStr">
        <is>
          <t>0113/26</t>
        </is>
      </c>
      <c r="M3905" s="5">
        <f>IF(YEAR(I3905)&lt;=2020,"Até 2020",TEXT(YEAR(I3905),"0"))</f>
        <v/>
      </c>
      <c r="N3905" s="5">
        <f>IFERROR(INDEX(DePara!$A:$A,MATCH(TEXT(B3905,"0"),DePara!$D:$D,0)),"(sem categoria)")</f>
        <v/>
      </c>
      <c r="O3905" s="5">
        <f>IF(J3905="","",Parametros!$B$6-J3905)</f>
        <v/>
      </c>
      <c r="P3905" s="5">
        <f>IF(O3905="","",IF(O3905&gt;0,1,0))</f>
        <v/>
      </c>
    </row>
    <row r="3906">
      <c r="A3906" s="5" t="n">
        <v>2111000000</v>
      </c>
      <c r="B3906" s="5" t="inlineStr">
        <is>
          <t>102080</t>
        </is>
      </c>
      <c r="C3906" s="5" t="inlineStr">
        <is>
          <t>RECEITA FEDERAL DO BRASIL</t>
        </is>
      </c>
      <c r="D3906" s="5" t="inlineStr">
        <is>
          <t>JP</t>
        </is>
      </c>
      <c r="E3906" s="5" t="n">
        <v>1400001111</v>
      </c>
      <c r="F3906" s="5" t="inlineStr">
        <is>
          <t>0000207100</t>
        </is>
      </c>
      <c r="G3906" s="5" t="inlineStr">
        <is>
          <t>BRL</t>
        </is>
      </c>
      <c r="H3906" s="9" t="n">
        <v>0</v>
      </c>
      <c r="I3906" s="16" t="n">
        <v>46099</v>
      </c>
      <c r="J3906" s="16" t="n"/>
      <c r="K3906" s="5" t="inlineStr">
        <is>
          <t>Journal Posting OSGT  0000207100</t>
        </is>
      </c>
      <c r="L3906" s="5" t="inlineStr">
        <is>
          <t>0109/26</t>
        </is>
      </c>
      <c r="M3906" s="5">
        <f>IF(YEAR(I3906)&lt;=2020,"Até 2020",TEXT(YEAR(I3906),"0"))</f>
        <v/>
      </c>
      <c r="N3906" s="5">
        <f>IFERROR(INDEX(DePara!$A:$A,MATCH(TEXT(B3906,"0"),DePara!$D:$D,0)),"(sem categoria)")</f>
        <v/>
      </c>
      <c r="O3906" s="5">
        <f>IF(J3906="","",Parametros!$B$6-J3906)</f>
        <v/>
      </c>
      <c r="P3906" s="5">
        <f>IF(O3906="","",IF(O3906&gt;0,1,0))</f>
        <v/>
      </c>
    </row>
    <row r="3907">
      <c r="A3907" s="5" t="n">
        <v>2111000000</v>
      </c>
      <c r="B3907" s="5" t="inlineStr">
        <is>
          <t>102080</t>
        </is>
      </c>
      <c r="C3907" s="5" t="inlineStr">
        <is>
          <t>RECEITA FEDERAL DO BRASIL</t>
        </is>
      </c>
      <c r="D3907" s="5" t="inlineStr">
        <is>
          <t>JP</t>
        </is>
      </c>
      <c r="E3907" s="5" t="n">
        <v>1400001133</v>
      </c>
      <c r="F3907" s="5" t="inlineStr">
        <is>
          <t>0000208012</t>
        </is>
      </c>
      <c r="G3907" s="5" t="inlineStr">
        <is>
          <t>BRL</t>
        </is>
      </c>
      <c r="H3907" s="9" t="n">
        <v>0</v>
      </c>
      <c r="I3907" s="16" t="n">
        <v>46105</v>
      </c>
      <c r="J3907" s="16" t="n"/>
      <c r="K3907" s="5" t="inlineStr">
        <is>
          <t>Journal Posting OSGT  0000208012</t>
        </is>
      </c>
      <c r="L3907" s="5" t="inlineStr">
        <is>
          <t>0157/26</t>
        </is>
      </c>
      <c r="M3907" s="5">
        <f>IF(YEAR(I3907)&lt;=2020,"Até 2020",TEXT(YEAR(I3907),"0"))</f>
        <v/>
      </c>
      <c r="N3907" s="5">
        <f>IFERROR(INDEX(DePara!$A:$A,MATCH(TEXT(B3907,"0"),DePara!$D:$D,0)),"(sem categoria)")</f>
        <v/>
      </c>
      <c r="O3907" s="5">
        <f>IF(J3907="","",Parametros!$B$6-J3907)</f>
        <v/>
      </c>
      <c r="P3907" s="5">
        <f>IF(O3907="","",IF(O3907&gt;0,1,0))</f>
        <v/>
      </c>
    </row>
    <row r="3908">
      <c r="A3908" s="5" t="n">
        <v>2111000000</v>
      </c>
      <c r="B3908" s="5" t="inlineStr">
        <is>
          <t>102080</t>
        </is>
      </c>
      <c r="C3908" s="5" t="inlineStr">
        <is>
          <t>RECEITA FEDERAL DO BRASIL</t>
        </is>
      </c>
      <c r="D3908" s="5" t="inlineStr">
        <is>
          <t>JP</t>
        </is>
      </c>
      <c r="E3908" s="5" t="n">
        <v>1400001143</v>
      </c>
      <c r="F3908" s="5" t="inlineStr">
        <is>
          <t>0000208016</t>
        </is>
      </c>
      <c r="G3908" s="5" t="inlineStr">
        <is>
          <t>BRL</t>
        </is>
      </c>
      <c r="H3908" s="9" t="n">
        <v>0</v>
      </c>
      <c r="I3908" s="16" t="n">
        <v>46105</v>
      </c>
      <c r="J3908" s="16" t="n"/>
      <c r="K3908" s="5" t="inlineStr">
        <is>
          <t>Journal Posting OSGT  0000208016</t>
        </is>
      </c>
      <c r="L3908" s="5" t="inlineStr">
        <is>
          <t>0056/26</t>
        </is>
      </c>
      <c r="M3908" s="5">
        <f>IF(YEAR(I3908)&lt;=2020,"Até 2020",TEXT(YEAR(I3908),"0"))</f>
        <v/>
      </c>
      <c r="N3908" s="5">
        <f>IFERROR(INDEX(DePara!$A:$A,MATCH(TEXT(B3908,"0"),DePara!$D:$D,0)),"(sem categoria)")</f>
        <v/>
      </c>
      <c r="O3908" s="5">
        <f>IF(J3908="","",Parametros!$B$6-J3908)</f>
        <v/>
      </c>
      <c r="P3908" s="5">
        <f>IF(O3908="","",IF(O3908&gt;0,1,0))</f>
        <v/>
      </c>
    </row>
    <row r="3909">
      <c r="A3909" s="5" t="n">
        <v>2111000000</v>
      </c>
      <c r="B3909" s="5" t="inlineStr">
        <is>
          <t>102080</t>
        </is>
      </c>
      <c r="C3909" s="5" t="inlineStr">
        <is>
          <t>RECEITA FEDERAL DO BRASIL</t>
        </is>
      </c>
      <c r="D3909" s="5" t="inlineStr">
        <is>
          <t>JP</t>
        </is>
      </c>
      <c r="E3909" s="5" t="n">
        <v>1400001200</v>
      </c>
      <c r="F3909" s="5" t="inlineStr">
        <is>
          <t>0000209938</t>
        </is>
      </c>
      <c r="G3909" s="5" t="inlineStr">
        <is>
          <t>BRL</t>
        </is>
      </c>
      <c r="H3909" s="9" t="n">
        <v>0</v>
      </c>
      <c r="I3909" s="16" t="n">
        <v>46099</v>
      </c>
      <c r="J3909" s="16" t="n"/>
      <c r="K3909" s="5" t="inlineStr">
        <is>
          <t>Journal Posting OSGT  0000209938</t>
        </is>
      </c>
      <c r="L3909" s="5" t="inlineStr">
        <is>
          <t>0166/26</t>
        </is>
      </c>
      <c r="M3909" s="5">
        <f>IF(YEAR(I3909)&lt;=2020,"Até 2020",TEXT(YEAR(I3909),"0"))</f>
        <v/>
      </c>
      <c r="N3909" s="5">
        <f>IFERROR(INDEX(DePara!$A:$A,MATCH(TEXT(B3909,"0"),DePara!$D:$D,0)),"(sem categoria)")</f>
        <v/>
      </c>
      <c r="O3909" s="5">
        <f>IF(J3909="","",Parametros!$B$6-J3909)</f>
        <v/>
      </c>
      <c r="P3909" s="5">
        <f>IF(O3909="","",IF(O3909&gt;0,1,0))</f>
        <v/>
      </c>
    </row>
    <row r="3910">
      <c r="A3910" s="5" t="n">
        <v>2111000000</v>
      </c>
      <c r="B3910" s="5" t="inlineStr">
        <is>
          <t>102080</t>
        </is>
      </c>
      <c r="C3910" s="5" t="inlineStr">
        <is>
          <t>RECEITA FEDERAL DO BRASIL</t>
        </is>
      </c>
      <c r="D3910" s="5" t="inlineStr">
        <is>
          <t>JP</t>
        </is>
      </c>
      <c r="E3910" s="5" t="n">
        <v>1400001259</v>
      </c>
      <c r="F3910" s="5" t="inlineStr">
        <is>
          <t>0000209926</t>
        </is>
      </c>
      <c r="G3910" s="5" t="inlineStr">
        <is>
          <t>BRL</t>
        </is>
      </c>
      <c r="H3910" s="9" t="n">
        <v>0</v>
      </c>
      <c r="I3910" s="16" t="n">
        <v>46107</v>
      </c>
      <c r="J3910" s="16" t="n"/>
      <c r="K3910" s="5" t="inlineStr">
        <is>
          <t>Journal Posting OSGT  0000209926</t>
        </is>
      </c>
      <c r="L3910" s="5" t="inlineStr">
        <is>
          <t>0172/26</t>
        </is>
      </c>
      <c r="M3910" s="5">
        <f>IF(YEAR(I3910)&lt;=2020,"Até 2020",TEXT(YEAR(I3910),"0"))</f>
        <v/>
      </c>
      <c r="N3910" s="5">
        <f>IFERROR(INDEX(DePara!$A:$A,MATCH(TEXT(B3910,"0"),DePara!$D:$D,0)),"(sem categoria)")</f>
        <v/>
      </c>
      <c r="O3910" s="5">
        <f>IF(J3910="","",Parametros!$B$6-J3910)</f>
        <v/>
      </c>
      <c r="P3910" s="5">
        <f>IF(O3910="","",IF(O3910&gt;0,1,0))</f>
        <v/>
      </c>
    </row>
    <row r="3911">
      <c r="A3911" s="5" t="n">
        <v>2111000000</v>
      </c>
      <c r="B3911" s="5" t="inlineStr">
        <is>
          <t>102080</t>
        </is>
      </c>
      <c r="C3911" s="5" t="inlineStr">
        <is>
          <t>RECEITA FEDERAL DO BRASIL</t>
        </is>
      </c>
      <c r="D3911" s="5" t="inlineStr">
        <is>
          <t>JP</t>
        </is>
      </c>
      <c r="E3911" s="5" t="n">
        <v>1400001300</v>
      </c>
      <c r="F3911" s="5" t="inlineStr">
        <is>
          <t>0000208136</t>
        </is>
      </c>
      <c r="G3911" s="5" t="inlineStr">
        <is>
          <t>BRL</t>
        </is>
      </c>
      <c r="H3911" s="9" t="n">
        <v>0</v>
      </c>
      <c r="I3911" s="16" t="n">
        <v>46112</v>
      </c>
      <c r="J3911" s="16" t="n"/>
      <c r="K3911" s="5" t="inlineStr">
        <is>
          <t>Journal Posting OSGT  0000208136</t>
        </is>
      </c>
      <c r="L3911" s="5" t="inlineStr">
        <is>
          <t>0941/25</t>
        </is>
      </c>
      <c r="M3911" s="5">
        <f>IF(YEAR(I3911)&lt;=2020,"Até 2020",TEXT(YEAR(I3911),"0"))</f>
        <v/>
      </c>
      <c r="N3911" s="5">
        <f>IFERROR(INDEX(DePara!$A:$A,MATCH(TEXT(B3911,"0"),DePara!$D:$D,0)),"(sem categoria)")</f>
        <v/>
      </c>
      <c r="O3911" s="5">
        <f>IF(J3911="","",Parametros!$B$6-J3911)</f>
        <v/>
      </c>
      <c r="P3911" s="5">
        <f>IF(O3911="","",IF(O3911&gt;0,1,0))</f>
        <v/>
      </c>
    </row>
    <row r="3912">
      <c r="A3912" s="5" t="n">
        <v>2111000000</v>
      </c>
      <c r="B3912" s="5" t="inlineStr">
        <is>
          <t>102080</t>
        </is>
      </c>
      <c r="C3912" s="5" t="inlineStr">
        <is>
          <t>RECEITA FEDERAL DO BRASIL</t>
        </is>
      </c>
      <c r="D3912" s="5" t="inlineStr">
        <is>
          <t>JP</t>
        </is>
      </c>
      <c r="E3912" s="5" t="n">
        <v>1400001310</v>
      </c>
      <c r="F3912" s="5" t="inlineStr">
        <is>
          <t>0000210691</t>
        </is>
      </c>
      <c r="G3912" s="5" t="inlineStr">
        <is>
          <t>BRL</t>
        </is>
      </c>
      <c r="H3912" s="9" t="n">
        <v>0</v>
      </c>
      <c r="I3912" s="16" t="n">
        <v>46126</v>
      </c>
      <c r="J3912" s="16" t="n"/>
      <c r="K3912" s="5" t="inlineStr">
        <is>
          <t>Journal Posting OSGT  0000210691</t>
        </is>
      </c>
      <c r="L3912" s="5" t="inlineStr">
        <is>
          <t>0197/26</t>
        </is>
      </c>
      <c r="M3912" s="5">
        <f>IF(YEAR(I3912)&lt;=2020,"Até 2020",TEXT(YEAR(I3912),"0"))</f>
        <v/>
      </c>
      <c r="N3912" s="5">
        <f>IFERROR(INDEX(DePara!$A:$A,MATCH(TEXT(B3912,"0"),DePara!$D:$D,0)),"(sem categoria)")</f>
        <v/>
      </c>
      <c r="O3912" s="5">
        <f>IF(J3912="","",Parametros!$B$6-J3912)</f>
        <v/>
      </c>
      <c r="P3912" s="5">
        <f>IF(O3912="","",IF(O3912&gt;0,1,0))</f>
        <v/>
      </c>
    </row>
    <row r="3913">
      <c r="A3913" s="5" t="n">
        <v>2111000000</v>
      </c>
      <c r="B3913" s="5" t="inlineStr">
        <is>
          <t>102080</t>
        </is>
      </c>
      <c r="C3913" s="5" t="inlineStr">
        <is>
          <t>RECEITA FEDERAL DO BRASIL</t>
        </is>
      </c>
      <c r="D3913" s="5" t="inlineStr">
        <is>
          <t>JP</t>
        </is>
      </c>
      <c r="E3913" s="5" t="n">
        <v>1400001335</v>
      </c>
      <c r="F3913" s="5" t="inlineStr">
        <is>
          <t>0000208851</t>
        </is>
      </c>
      <c r="G3913" s="5" t="inlineStr">
        <is>
          <t>BRL</t>
        </is>
      </c>
      <c r="H3913" s="9" t="n">
        <v>0</v>
      </c>
      <c r="I3913" s="16" t="n">
        <v>46121</v>
      </c>
      <c r="J3913" s="16" t="n"/>
      <c r="K3913" s="5" t="inlineStr">
        <is>
          <t>Journal Posting OSGT  0000208851</t>
        </is>
      </c>
      <c r="L3913" s="5" t="inlineStr">
        <is>
          <t>0100/26</t>
        </is>
      </c>
      <c r="M3913" s="5">
        <f>IF(YEAR(I3913)&lt;=2020,"Até 2020",TEXT(YEAR(I3913),"0"))</f>
        <v/>
      </c>
      <c r="N3913" s="5">
        <f>IFERROR(INDEX(DePara!$A:$A,MATCH(TEXT(B3913,"0"),DePara!$D:$D,0)),"(sem categoria)")</f>
        <v/>
      </c>
      <c r="O3913" s="5">
        <f>IF(J3913="","",Parametros!$B$6-J3913)</f>
        <v/>
      </c>
      <c r="P3913" s="5">
        <f>IF(O3913="","",IF(O3913&gt;0,1,0))</f>
        <v/>
      </c>
    </row>
    <row r="3914">
      <c r="A3914" s="5" t="n">
        <v>2111000000</v>
      </c>
      <c r="B3914" s="5" t="inlineStr">
        <is>
          <t>102080</t>
        </is>
      </c>
      <c r="C3914" s="5" t="inlineStr">
        <is>
          <t>RECEITA FEDERAL DO BRASIL</t>
        </is>
      </c>
      <c r="D3914" s="5" t="inlineStr">
        <is>
          <t>JP</t>
        </is>
      </c>
      <c r="E3914" s="5" t="n">
        <v>1400001359</v>
      </c>
      <c r="F3914" s="5" t="inlineStr">
        <is>
          <t>0000208159</t>
        </is>
      </c>
      <c r="G3914" s="5" t="inlineStr">
        <is>
          <t>BRL</t>
        </is>
      </c>
      <c r="H3914" s="9" t="n">
        <v>0</v>
      </c>
      <c r="I3914" s="16" t="n">
        <v>46106</v>
      </c>
      <c r="J3914" s="16" t="n"/>
      <c r="K3914" s="5" t="inlineStr">
        <is>
          <t>Journal Posting OSGT  0000208159</t>
        </is>
      </c>
      <c r="L3914" s="5" t="inlineStr">
        <is>
          <t>0949/25</t>
        </is>
      </c>
      <c r="M3914" s="5">
        <f>IF(YEAR(I3914)&lt;=2020,"Até 2020",TEXT(YEAR(I3914),"0"))</f>
        <v/>
      </c>
      <c r="N3914" s="5">
        <f>IFERROR(INDEX(DePara!$A:$A,MATCH(TEXT(B3914,"0"),DePara!$D:$D,0)),"(sem categoria)")</f>
        <v/>
      </c>
      <c r="O3914" s="5">
        <f>IF(J3914="","",Parametros!$B$6-J3914)</f>
        <v/>
      </c>
      <c r="P3914" s="5">
        <f>IF(O3914="","",IF(O3914&gt;0,1,0))</f>
        <v/>
      </c>
    </row>
    <row r="3915">
      <c r="A3915" s="5" t="n">
        <v>2111000000</v>
      </c>
      <c r="B3915" s="5" t="inlineStr">
        <is>
          <t>102080</t>
        </is>
      </c>
      <c r="C3915" s="5" t="inlineStr">
        <is>
          <t>RECEITA FEDERAL DO BRASIL</t>
        </is>
      </c>
      <c r="D3915" s="5" t="inlineStr">
        <is>
          <t>JP</t>
        </is>
      </c>
      <c r="E3915" s="5" t="n">
        <v>1400001403</v>
      </c>
      <c r="F3915" s="5" t="inlineStr">
        <is>
          <t>0000209971</t>
        </is>
      </c>
      <c r="G3915" s="5" t="inlineStr">
        <is>
          <t>BRL</t>
        </is>
      </c>
      <c r="H3915" s="9" t="n">
        <v>0</v>
      </c>
      <c r="I3915" s="16" t="n">
        <v>46128</v>
      </c>
      <c r="J3915" s="16" t="n"/>
      <c r="K3915" s="5" t="inlineStr">
        <is>
          <t>Journal Posting OSGT  0000209971</t>
        </is>
      </c>
      <c r="L3915" s="5" t="inlineStr">
        <is>
          <t>0178/26</t>
        </is>
      </c>
      <c r="M3915" s="5">
        <f>IF(YEAR(I3915)&lt;=2020,"Até 2020",TEXT(YEAR(I3915),"0"))</f>
        <v/>
      </c>
      <c r="N3915" s="5">
        <f>IFERROR(INDEX(DePara!$A:$A,MATCH(TEXT(B3915,"0"),DePara!$D:$D,0)),"(sem categoria)")</f>
        <v/>
      </c>
      <c r="O3915" s="5">
        <f>IF(J3915="","",Parametros!$B$6-J3915)</f>
        <v/>
      </c>
      <c r="P3915" s="5">
        <f>IF(O3915="","",IF(O3915&gt;0,1,0))</f>
        <v/>
      </c>
    </row>
    <row r="3916">
      <c r="A3916" s="5" t="n">
        <v>2111000000</v>
      </c>
      <c r="B3916" s="5" t="inlineStr">
        <is>
          <t>102080</t>
        </is>
      </c>
      <c r="C3916" s="5" t="inlineStr">
        <is>
          <t>RECEITA FEDERAL DO BRASIL</t>
        </is>
      </c>
      <c r="D3916" s="5" t="inlineStr">
        <is>
          <t>JP</t>
        </is>
      </c>
      <c r="E3916" s="5" t="n">
        <v>1400001454</v>
      </c>
      <c r="F3916" s="5" t="inlineStr">
        <is>
          <t>0000211059</t>
        </is>
      </c>
      <c r="G3916" s="5" t="inlineStr">
        <is>
          <t>BRL</t>
        </is>
      </c>
      <c r="H3916" s="9" t="n">
        <v>0</v>
      </c>
      <c r="I3916" s="16" t="n">
        <v>46139</v>
      </c>
      <c r="J3916" s="16" t="n"/>
      <c r="K3916" s="5" t="inlineStr">
        <is>
          <t>Journal Posting OSGT  0000211059</t>
        </is>
      </c>
      <c r="L3916" s="5" t="inlineStr">
        <is>
          <t>0209/26</t>
        </is>
      </c>
      <c r="M3916" s="5">
        <f>IF(YEAR(I3916)&lt;=2020,"Até 2020",TEXT(YEAR(I3916),"0"))</f>
        <v/>
      </c>
      <c r="N3916" s="5">
        <f>IFERROR(INDEX(DePara!$A:$A,MATCH(TEXT(B3916,"0"),DePara!$D:$D,0)),"(sem categoria)")</f>
        <v/>
      </c>
      <c r="O3916" s="5">
        <f>IF(J3916="","",Parametros!$B$6-J3916)</f>
        <v/>
      </c>
      <c r="P3916" s="5">
        <f>IF(O3916="","",IF(O3916&gt;0,1,0))</f>
        <v/>
      </c>
    </row>
    <row r="3917">
      <c r="A3917" s="5" t="n">
        <v>2111000000</v>
      </c>
      <c r="B3917" s="5" t="inlineStr">
        <is>
          <t>102080</t>
        </is>
      </c>
      <c r="C3917" s="5" t="inlineStr">
        <is>
          <t>RECEITA FEDERAL DO BRASIL</t>
        </is>
      </c>
      <c r="D3917" s="5" t="inlineStr">
        <is>
          <t>JP</t>
        </is>
      </c>
      <c r="E3917" s="5" t="n">
        <v>1400001537</v>
      </c>
      <c r="F3917" s="5" t="inlineStr">
        <is>
          <t>0000211764</t>
        </is>
      </c>
      <c r="G3917" s="5" t="inlineStr">
        <is>
          <t>BRL</t>
        </is>
      </c>
      <c r="H3917" s="9" t="n">
        <v>0</v>
      </c>
      <c r="I3917" s="16" t="n">
        <v>46136</v>
      </c>
      <c r="J3917" s="16" t="n"/>
      <c r="K3917" s="5" t="inlineStr">
        <is>
          <t>Journal Posting OSGT  0000211764</t>
        </is>
      </c>
      <c r="L3917" s="5" t="inlineStr">
        <is>
          <t>0246/26</t>
        </is>
      </c>
      <c r="M3917" s="5">
        <f>IF(YEAR(I3917)&lt;=2020,"Até 2020",TEXT(YEAR(I3917),"0"))</f>
        <v/>
      </c>
      <c r="N3917" s="5">
        <f>IFERROR(INDEX(DePara!$A:$A,MATCH(TEXT(B3917,"0"),DePara!$D:$D,0)),"(sem categoria)")</f>
        <v/>
      </c>
      <c r="O3917" s="5">
        <f>IF(J3917="","",Parametros!$B$6-J3917)</f>
        <v/>
      </c>
      <c r="P3917" s="5">
        <f>IF(O3917="","",IF(O3917&gt;0,1,0))</f>
        <v/>
      </c>
    </row>
    <row r="3918">
      <c r="A3918" s="5" t="n">
        <v>2111000000</v>
      </c>
      <c r="B3918" s="5" t="inlineStr">
        <is>
          <t>102080</t>
        </is>
      </c>
      <c r="C3918" s="5" t="inlineStr">
        <is>
          <t>RECEITA FEDERAL DO BRASIL</t>
        </is>
      </c>
      <c r="D3918" s="5" t="inlineStr">
        <is>
          <t>JP</t>
        </is>
      </c>
      <c r="E3918" s="5" t="n">
        <v>1400001564</v>
      </c>
      <c r="F3918" s="5" t="inlineStr">
        <is>
          <t>0000211071</t>
        </is>
      </c>
      <c r="G3918" s="5" t="inlineStr">
        <is>
          <t>BRL</t>
        </is>
      </c>
      <c r="H3918" s="9" t="n">
        <v>0</v>
      </c>
      <c r="I3918" s="16" t="n">
        <v>46139</v>
      </c>
      <c r="J3918" s="16" t="n"/>
      <c r="K3918" s="5" t="inlineStr">
        <is>
          <t>Journal Posting OSGT  0000211071</t>
        </is>
      </c>
      <c r="L3918" s="5" t="inlineStr">
        <is>
          <t>0210/26</t>
        </is>
      </c>
      <c r="M3918" s="5">
        <f>IF(YEAR(I3918)&lt;=2020,"Até 2020",TEXT(YEAR(I3918),"0"))</f>
        <v/>
      </c>
      <c r="N3918" s="5">
        <f>IFERROR(INDEX(DePara!$A:$A,MATCH(TEXT(B3918,"0"),DePara!$D:$D,0)),"(sem categoria)")</f>
        <v/>
      </c>
      <c r="O3918" s="5">
        <f>IF(J3918="","",Parametros!$B$6-J3918)</f>
        <v/>
      </c>
      <c r="P3918" s="5">
        <f>IF(O3918="","",IF(O3918&gt;0,1,0))</f>
        <v/>
      </c>
    </row>
    <row r="3919">
      <c r="A3919" s="5" t="n">
        <v>2111000000</v>
      </c>
      <c r="B3919" s="5" t="inlineStr">
        <is>
          <t>102080</t>
        </is>
      </c>
      <c r="C3919" s="5" t="inlineStr">
        <is>
          <t>RECEITA FEDERAL DO BRASIL</t>
        </is>
      </c>
      <c r="D3919" s="5" t="inlineStr">
        <is>
          <t>JP</t>
        </is>
      </c>
      <c r="E3919" s="5" t="n">
        <v>1400001569</v>
      </c>
      <c r="F3919" s="5" t="inlineStr">
        <is>
          <t>0000208817</t>
        </is>
      </c>
      <c r="G3919" s="5" t="inlineStr">
        <is>
          <t>BRL</t>
        </is>
      </c>
      <c r="H3919" s="9" t="n">
        <v>0</v>
      </c>
      <c r="I3919" s="16" t="n">
        <v>46120</v>
      </c>
      <c r="J3919" s="16" t="n"/>
      <c r="K3919" s="5" t="inlineStr">
        <is>
          <t>Journal Posting OSGT  0000208817</t>
        </is>
      </c>
      <c r="L3919" s="5" t="inlineStr">
        <is>
          <t>0095/26</t>
        </is>
      </c>
      <c r="M3919" s="5">
        <f>IF(YEAR(I3919)&lt;=2020,"Até 2020",TEXT(YEAR(I3919),"0"))</f>
        <v/>
      </c>
      <c r="N3919" s="5">
        <f>IFERROR(INDEX(DePara!$A:$A,MATCH(TEXT(B3919,"0"),DePara!$D:$D,0)),"(sem categoria)")</f>
        <v/>
      </c>
      <c r="O3919" s="5">
        <f>IF(J3919="","",Parametros!$B$6-J3919)</f>
        <v/>
      </c>
      <c r="P3919" s="5">
        <f>IF(O3919="","",IF(O3919&gt;0,1,0))</f>
        <v/>
      </c>
    </row>
    <row r="3920">
      <c r="A3920" s="5" t="n">
        <v>2111000000</v>
      </c>
      <c r="B3920" s="5" t="inlineStr">
        <is>
          <t>102080</t>
        </is>
      </c>
      <c r="C3920" s="5" t="inlineStr">
        <is>
          <t>RECEITA FEDERAL DO BRASIL</t>
        </is>
      </c>
      <c r="D3920" s="5" t="inlineStr">
        <is>
          <t>JP</t>
        </is>
      </c>
      <c r="E3920" s="5" t="n">
        <v>1400001571</v>
      </c>
      <c r="F3920" s="5" t="inlineStr">
        <is>
          <t>0000210659</t>
        </is>
      </c>
      <c r="G3920" s="5" t="inlineStr">
        <is>
          <t>BRL</t>
        </is>
      </c>
      <c r="H3920" s="9" t="n">
        <v>0</v>
      </c>
      <c r="I3920" s="16" t="n">
        <v>46120</v>
      </c>
      <c r="J3920" s="16" t="n"/>
      <c r="K3920" s="5" t="inlineStr">
        <is>
          <t>Journal Posting OSGT  0000210659</t>
        </is>
      </c>
      <c r="L3920" s="5" t="inlineStr">
        <is>
          <t>0187/26</t>
        </is>
      </c>
      <c r="M3920" s="5">
        <f>IF(YEAR(I3920)&lt;=2020,"Até 2020",TEXT(YEAR(I3920),"0"))</f>
        <v/>
      </c>
      <c r="N3920" s="5">
        <f>IFERROR(INDEX(DePara!$A:$A,MATCH(TEXT(B3920,"0"),DePara!$D:$D,0)),"(sem categoria)")</f>
        <v/>
      </c>
      <c r="O3920" s="5">
        <f>IF(J3920="","",Parametros!$B$6-J3920)</f>
        <v/>
      </c>
      <c r="P3920" s="5">
        <f>IF(O3920="","",IF(O3920&gt;0,1,0))</f>
        <v/>
      </c>
    </row>
    <row r="3921">
      <c r="A3921" s="5" t="n">
        <v>2111000000</v>
      </c>
      <c r="B3921" s="5" t="inlineStr">
        <is>
          <t>102080</t>
        </is>
      </c>
      <c r="C3921" s="5" t="inlineStr">
        <is>
          <t>RECEITA FEDERAL DO BRASIL</t>
        </is>
      </c>
      <c r="D3921" s="5" t="inlineStr">
        <is>
          <t>JP</t>
        </is>
      </c>
      <c r="E3921" s="5" t="n">
        <v>1400001580</v>
      </c>
      <c r="F3921" s="5" t="inlineStr">
        <is>
          <t>0000208082</t>
        </is>
      </c>
      <c r="G3921" s="5" t="inlineStr">
        <is>
          <t>BRL</t>
        </is>
      </c>
      <c r="H3921" s="9" t="n">
        <v>0</v>
      </c>
      <c r="I3921" s="16" t="n">
        <v>46111</v>
      </c>
      <c r="J3921" s="16" t="n"/>
      <c r="K3921" s="5" t="inlineStr">
        <is>
          <t>Journal Posting OSGT  0000208082</t>
        </is>
      </c>
      <c r="L3921" s="5" t="inlineStr">
        <is>
          <t>0936/25</t>
        </is>
      </c>
      <c r="M3921" s="5">
        <f>IF(YEAR(I3921)&lt;=2020,"Até 2020",TEXT(YEAR(I3921),"0"))</f>
        <v/>
      </c>
      <c r="N3921" s="5">
        <f>IFERROR(INDEX(DePara!$A:$A,MATCH(TEXT(B3921,"0"),DePara!$D:$D,0)),"(sem categoria)")</f>
        <v/>
      </c>
      <c r="O3921" s="5">
        <f>IF(J3921="","",Parametros!$B$6-J3921)</f>
        <v/>
      </c>
      <c r="P3921" s="5">
        <f>IF(O3921="","",IF(O3921&gt;0,1,0))</f>
        <v/>
      </c>
    </row>
    <row r="3922">
      <c r="A3922" s="5" t="n">
        <v>2111000000</v>
      </c>
      <c r="B3922" s="5" t="inlineStr">
        <is>
          <t>102080</t>
        </is>
      </c>
      <c r="C3922" s="5" t="inlineStr">
        <is>
          <t>RECEITA FEDERAL DO BRASIL</t>
        </is>
      </c>
      <c r="D3922" s="5" t="inlineStr">
        <is>
          <t>JP</t>
        </is>
      </c>
      <c r="E3922" s="5" t="n">
        <v>1400001599</v>
      </c>
      <c r="F3922" s="5" t="inlineStr">
        <is>
          <t>0000211049</t>
        </is>
      </c>
      <c r="G3922" s="5" t="inlineStr">
        <is>
          <t>BRL</t>
        </is>
      </c>
      <c r="H3922" s="9" t="n">
        <v>0</v>
      </c>
      <c r="I3922" s="16" t="n">
        <v>46139</v>
      </c>
      <c r="J3922" s="16" t="n"/>
      <c r="K3922" s="5" t="inlineStr">
        <is>
          <t>Journal Posting OSGT  0000211049</t>
        </is>
      </c>
      <c r="L3922" s="5" t="inlineStr">
        <is>
          <t>0206/26</t>
        </is>
      </c>
      <c r="M3922" s="5">
        <f>IF(YEAR(I3922)&lt;=2020,"Até 2020",TEXT(YEAR(I3922),"0"))</f>
        <v/>
      </c>
      <c r="N3922" s="5">
        <f>IFERROR(INDEX(DePara!$A:$A,MATCH(TEXT(B3922,"0"),DePara!$D:$D,0)),"(sem categoria)")</f>
        <v/>
      </c>
      <c r="O3922" s="5">
        <f>IF(J3922="","",Parametros!$B$6-J3922)</f>
        <v/>
      </c>
      <c r="P3922" s="5">
        <f>IF(O3922="","",IF(O3922&gt;0,1,0))</f>
        <v/>
      </c>
    </row>
    <row r="3923">
      <c r="A3923" s="5" t="n">
        <v>2111000000</v>
      </c>
      <c r="B3923" s="5" t="inlineStr">
        <is>
          <t>102080</t>
        </is>
      </c>
      <c r="C3923" s="5" t="inlineStr">
        <is>
          <t>RECEITA FEDERAL DO BRASIL</t>
        </is>
      </c>
      <c r="D3923" s="5" t="inlineStr">
        <is>
          <t>JP</t>
        </is>
      </c>
      <c r="E3923" s="5" t="n">
        <v>1400001601</v>
      </c>
      <c r="F3923" s="5" t="inlineStr">
        <is>
          <t>0000210705</t>
        </is>
      </c>
      <c r="G3923" s="5" t="inlineStr">
        <is>
          <t>BRL</t>
        </is>
      </c>
      <c r="H3923" s="9" t="n">
        <v>0</v>
      </c>
      <c r="I3923" s="16" t="n">
        <v>46120</v>
      </c>
      <c r="J3923" s="16" t="n"/>
      <c r="K3923" s="5" t="inlineStr">
        <is>
          <t>Journal Posting OSGT  0000210705</t>
        </is>
      </c>
      <c r="L3923" s="5" t="inlineStr">
        <is>
          <t>0191/26</t>
        </is>
      </c>
      <c r="M3923" s="5">
        <f>IF(YEAR(I3923)&lt;=2020,"Até 2020",TEXT(YEAR(I3923),"0"))</f>
        <v/>
      </c>
      <c r="N3923" s="5">
        <f>IFERROR(INDEX(DePara!$A:$A,MATCH(TEXT(B3923,"0"),DePara!$D:$D,0)),"(sem categoria)")</f>
        <v/>
      </c>
      <c r="O3923" s="5">
        <f>IF(J3923="","",Parametros!$B$6-J3923)</f>
        <v/>
      </c>
      <c r="P3923" s="5">
        <f>IF(O3923="","",IF(O3923&gt;0,1,0))</f>
        <v/>
      </c>
    </row>
    <row r="3924">
      <c r="A3924" s="5" t="n">
        <v>2111000000</v>
      </c>
      <c r="B3924" s="5" t="inlineStr">
        <is>
          <t>102080</t>
        </is>
      </c>
      <c r="C3924" s="5" t="inlineStr">
        <is>
          <t>RECEITA FEDERAL DO BRASIL</t>
        </is>
      </c>
      <c r="D3924" s="5" t="inlineStr">
        <is>
          <t>JP</t>
        </is>
      </c>
      <c r="E3924" s="5" t="n">
        <v>1400001616</v>
      </c>
      <c r="F3924" s="5" t="inlineStr">
        <is>
          <t>0000210634</t>
        </is>
      </c>
      <c r="G3924" s="5" t="inlineStr">
        <is>
          <t>BRL</t>
        </is>
      </c>
      <c r="H3924" s="9" t="n">
        <v>0</v>
      </c>
      <c r="I3924" s="16" t="n">
        <v>46132</v>
      </c>
      <c r="J3924" s="16" t="n"/>
      <c r="K3924" s="5" t="inlineStr">
        <is>
          <t>Journal Posting OSGT  0000210634</t>
        </is>
      </c>
      <c r="L3924" s="5" t="inlineStr">
        <is>
          <t>0185/26</t>
        </is>
      </c>
      <c r="M3924" s="5">
        <f>IF(YEAR(I3924)&lt;=2020,"Até 2020",TEXT(YEAR(I3924),"0"))</f>
        <v/>
      </c>
      <c r="N3924" s="5">
        <f>IFERROR(INDEX(DePara!$A:$A,MATCH(TEXT(B3924,"0"),DePara!$D:$D,0)),"(sem categoria)")</f>
        <v/>
      </c>
      <c r="O3924" s="5">
        <f>IF(J3924="","",Parametros!$B$6-J3924)</f>
        <v/>
      </c>
      <c r="P3924" s="5">
        <f>IF(O3924="","",IF(O3924&gt;0,1,0))</f>
        <v/>
      </c>
    </row>
    <row r="3925">
      <c r="A3925" s="5" t="n">
        <v>2111000000</v>
      </c>
      <c r="B3925" s="5" t="inlineStr">
        <is>
          <t>102080</t>
        </is>
      </c>
      <c r="C3925" s="5" t="inlineStr">
        <is>
          <t>RECEITA FEDERAL DO BRASIL</t>
        </is>
      </c>
      <c r="D3925" s="5" t="inlineStr">
        <is>
          <t>JP</t>
        </is>
      </c>
      <c r="E3925" s="5" t="n">
        <v>1400001671</v>
      </c>
      <c r="F3925" s="5" t="inlineStr">
        <is>
          <t>0000211781</t>
        </is>
      </c>
      <c r="G3925" s="5" t="inlineStr">
        <is>
          <t>BRL</t>
        </is>
      </c>
      <c r="H3925" s="9" t="n">
        <v>0</v>
      </c>
      <c r="I3925" s="16" t="n">
        <v>46146</v>
      </c>
      <c r="J3925" s="16" t="n"/>
      <c r="K3925" s="5" t="inlineStr">
        <is>
          <t>Journal Posting OSGT  0000211781</t>
        </is>
      </c>
      <c r="L3925" s="5" t="inlineStr">
        <is>
          <t>0249/26</t>
        </is>
      </c>
      <c r="M3925" s="5">
        <f>IF(YEAR(I3925)&lt;=2020,"Até 2020",TEXT(YEAR(I3925),"0"))</f>
        <v/>
      </c>
      <c r="N3925" s="5">
        <f>IFERROR(INDEX(DePara!$A:$A,MATCH(TEXT(B3925,"0"),DePara!$D:$D,0)),"(sem categoria)")</f>
        <v/>
      </c>
      <c r="O3925" s="5">
        <f>IF(J3925="","",Parametros!$B$6-J3925)</f>
        <v/>
      </c>
      <c r="P3925" s="5">
        <f>IF(O3925="","",IF(O3925&gt;0,1,0))</f>
        <v/>
      </c>
    </row>
    <row r="3926">
      <c r="A3926" s="5" t="n">
        <v>2111000000</v>
      </c>
      <c r="B3926" s="5" t="inlineStr">
        <is>
          <t>102080</t>
        </is>
      </c>
      <c r="C3926" s="5" t="inlineStr">
        <is>
          <t>RECEITA FEDERAL DO BRASIL</t>
        </is>
      </c>
      <c r="D3926" s="5" t="inlineStr">
        <is>
          <t>JP</t>
        </is>
      </c>
      <c r="E3926" s="5" t="n">
        <v>1400001719</v>
      </c>
      <c r="F3926" s="5" t="inlineStr">
        <is>
          <t>0000208099</t>
        </is>
      </c>
      <c r="G3926" s="5" t="inlineStr">
        <is>
          <t>BRL</t>
        </is>
      </c>
      <c r="H3926" s="9" t="n">
        <v>0</v>
      </c>
      <c r="I3926" s="16" t="n">
        <v>46112</v>
      </c>
      <c r="J3926" s="16" t="n"/>
      <c r="K3926" s="5" t="inlineStr">
        <is>
          <t>Journal Posting OSGT  0000208099</t>
        </is>
      </c>
      <c r="L3926" s="5" t="inlineStr">
        <is>
          <t>0938/25</t>
        </is>
      </c>
      <c r="M3926" s="5">
        <f>IF(YEAR(I3926)&lt;=2020,"Até 2020",TEXT(YEAR(I3926),"0"))</f>
        <v/>
      </c>
      <c r="N3926" s="5">
        <f>IFERROR(INDEX(DePara!$A:$A,MATCH(TEXT(B3926,"0"),DePara!$D:$D,0)),"(sem categoria)")</f>
        <v/>
      </c>
      <c r="O3926" s="5">
        <f>IF(J3926="","",Parametros!$B$6-J3926)</f>
        <v/>
      </c>
      <c r="P3926" s="5">
        <f>IF(O3926="","",IF(O3926&gt;0,1,0))</f>
        <v/>
      </c>
    </row>
    <row r="3927">
      <c r="A3927" s="5" t="n">
        <v>2111000000</v>
      </c>
      <c r="B3927" s="5" t="inlineStr">
        <is>
          <t>102080</t>
        </is>
      </c>
      <c r="C3927" s="5" t="inlineStr">
        <is>
          <t>RECEITA FEDERAL DO BRASIL</t>
        </is>
      </c>
      <c r="D3927" s="5" t="inlineStr">
        <is>
          <t>JP</t>
        </is>
      </c>
      <c r="E3927" s="5" t="n">
        <v>1400001732</v>
      </c>
      <c r="F3927" s="5" t="inlineStr">
        <is>
          <t>0000210641</t>
        </is>
      </c>
      <c r="G3927" s="5" t="inlineStr">
        <is>
          <t>BRL</t>
        </is>
      </c>
      <c r="H3927" s="9" t="n">
        <v>0</v>
      </c>
      <c r="I3927" s="16" t="n">
        <v>46132</v>
      </c>
      <c r="J3927" s="16" t="n"/>
      <c r="K3927" s="5" t="inlineStr">
        <is>
          <t>Journal Posting OSGT  0000210641</t>
        </is>
      </c>
      <c r="L3927" s="5" t="inlineStr">
        <is>
          <t>0190/26</t>
        </is>
      </c>
      <c r="M3927" s="5">
        <f>IF(YEAR(I3927)&lt;=2020,"Até 2020",TEXT(YEAR(I3927),"0"))</f>
        <v/>
      </c>
      <c r="N3927" s="5">
        <f>IFERROR(INDEX(DePara!$A:$A,MATCH(TEXT(B3927,"0"),DePara!$D:$D,0)),"(sem categoria)")</f>
        <v/>
      </c>
      <c r="O3927" s="5">
        <f>IF(J3927="","",Parametros!$B$6-J3927)</f>
        <v/>
      </c>
      <c r="P3927" s="5">
        <f>IF(O3927="","",IF(O3927&gt;0,1,0))</f>
        <v/>
      </c>
    </row>
    <row r="3928">
      <c r="A3928" s="5" t="n">
        <v>2111000000</v>
      </c>
      <c r="B3928" s="5" t="inlineStr">
        <is>
          <t>102080</t>
        </is>
      </c>
      <c r="C3928" s="5" t="inlineStr">
        <is>
          <t>RECEITA FEDERAL DO BRASIL</t>
        </is>
      </c>
      <c r="D3928" s="5" t="inlineStr">
        <is>
          <t>JP</t>
        </is>
      </c>
      <c r="E3928" s="5" t="n">
        <v>1400001735</v>
      </c>
      <c r="F3928" s="5" t="inlineStr">
        <is>
          <t>0000208092</t>
        </is>
      </c>
      <c r="G3928" s="5" t="inlineStr">
        <is>
          <t>BRL</t>
        </is>
      </c>
      <c r="H3928" s="9" t="n">
        <v>0</v>
      </c>
      <c r="I3928" s="16" t="n">
        <v>46111</v>
      </c>
      <c r="J3928" s="16" t="n"/>
      <c r="K3928" s="5" t="inlineStr">
        <is>
          <t>Journal Posting OSGT  0000208092</t>
        </is>
      </c>
      <c r="L3928" s="5" t="inlineStr">
        <is>
          <t>0937/25</t>
        </is>
      </c>
      <c r="M3928" s="5">
        <f>IF(YEAR(I3928)&lt;=2020,"Até 2020",TEXT(YEAR(I3928),"0"))</f>
        <v/>
      </c>
      <c r="N3928" s="5">
        <f>IFERROR(INDEX(DePara!$A:$A,MATCH(TEXT(B3928,"0"),DePara!$D:$D,0)),"(sem categoria)")</f>
        <v/>
      </c>
      <c r="O3928" s="5">
        <f>IF(J3928="","",Parametros!$B$6-J3928)</f>
        <v/>
      </c>
      <c r="P3928" s="5">
        <f>IF(O3928="","",IF(O3928&gt;0,1,0))</f>
        <v/>
      </c>
    </row>
    <row r="3929">
      <c r="A3929" s="5" t="n">
        <v>2111000000</v>
      </c>
      <c r="B3929" s="5" t="inlineStr">
        <is>
          <t>102080</t>
        </is>
      </c>
      <c r="C3929" s="5" t="inlineStr">
        <is>
          <t>RECEITA FEDERAL DO BRASIL</t>
        </is>
      </c>
      <c r="D3929" s="5" t="inlineStr">
        <is>
          <t>JP</t>
        </is>
      </c>
      <c r="E3929" s="5" t="n">
        <v>1400001754</v>
      </c>
      <c r="F3929" s="5" t="inlineStr">
        <is>
          <t>0000208076</t>
        </is>
      </c>
      <c r="G3929" s="5" t="inlineStr">
        <is>
          <t>BRL</t>
        </is>
      </c>
      <c r="H3929" s="9" t="n">
        <v>0</v>
      </c>
      <c r="I3929" s="16" t="n">
        <v>46106</v>
      </c>
      <c r="J3929" s="16" t="n"/>
      <c r="K3929" s="5" t="inlineStr">
        <is>
          <t>Journal Posting OSGT  0000208076</t>
        </is>
      </c>
      <c r="L3929" s="5" t="inlineStr">
        <is>
          <t>0934/25</t>
        </is>
      </c>
      <c r="M3929" s="5">
        <f>IF(YEAR(I3929)&lt;=2020,"Até 2020",TEXT(YEAR(I3929),"0"))</f>
        <v/>
      </c>
      <c r="N3929" s="5">
        <f>IFERROR(INDEX(DePara!$A:$A,MATCH(TEXT(B3929,"0"),DePara!$D:$D,0)),"(sem categoria)")</f>
        <v/>
      </c>
      <c r="O3929" s="5">
        <f>IF(J3929="","",Parametros!$B$6-J3929)</f>
        <v/>
      </c>
      <c r="P3929" s="5">
        <f>IF(O3929="","",IF(O3929&gt;0,1,0))</f>
        <v/>
      </c>
    </row>
    <row r="3930">
      <c r="A3930" s="5" t="n">
        <v>2111000000</v>
      </c>
      <c r="B3930" s="5" t="inlineStr">
        <is>
          <t>102080</t>
        </is>
      </c>
      <c r="C3930" s="5" t="inlineStr">
        <is>
          <t>RECEITA FEDERAL DO BRASIL</t>
        </is>
      </c>
      <c r="D3930" s="5" t="inlineStr">
        <is>
          <t>JP</t>
        </is>
      </c>
      <c r="E3930" s="5" t="n">
        <v>1400001789</v>
      </c>
      <c r="F3930" s="5" t="inlineStr">
        <is>
          <t>0000213407</t>
        </is>
      </c>
      <c r="G3930" s="5" t="inlineStr">
        <is>
          <t>BRL</t>
        </is>
      </c>
      <c r="H3930" s="9" t="n">
        <v>0</v>
      </c>
      <c r="I3930" s="16" t="n">
        <v>46153</v>
      </c>
      <c r="J3930" s="16" t="n"/>
      <c r="K3930" s="5" t="inlineStr">
        <is>
          <t>Journal Posting OSGT  0000213407</t>
        </is>
      </c>
      <c r="L3930" s="5" t="inlineStr">
        <is>
          <t>0254/26</t>
        </is>
      </c>
      <c r="M3930" s="5">
        <f>IF(YEAR(I3930)&lt;=2020,"Até 2020",TEXT(YEAR(I3930),"0"))</f>
        <v/>
      </c>
      <c r="N3930" s="5">
        <f>IFERROR(INDEX(DePara!$A:$A,MATCH(TEXT(B3930,"0"),DePara!$D:$D,0)),"(sem categoria)")</f>
        <v/>
      </c>
      <c r="O3930" s="5">
        <f>IF(J3930="","",Parametros!$B$6-J3930)</f>
        <v/>
      </c>
      <c r="P3930" s="5">
        <f>IF(O3930="","",IF(O3930&gt;0,1,0))</f>
        <v/>
      </c>
    </row>
    <row r="3931">
      <c r="A3931" s="5" t="n">
        <v>2111000000</v>
      </c>
      <c r="B3931" s="5" t="inlineStr">
        <is>
          <t>102080</t>
        </is>
      </c>
      <c r="C3931" s="5" t="inlineStr">
        <is>
          <t>RECEITA FEDERAL DO BRASIL</t>
        </is>
      </c>
      <c r="D3931" s="5" t="inlineStr">
        <is>
          <t>JP</t>
        </is>
      </c>
      <c r="E3931" s="5" t="n">
        <v>1400001803</v>
      </c>
      <c r="F3931" s="5" t="inlineStr">
        <is>
          <t>0000211030</t>
        </is>
      </c>
      <c r="G3931" s="5" t="inlineStr">
        <is>
          <t>BRL</t>
        </is>
      </c>
      <c r="H3931" s="9" t="n">
        <v>0</v>
      </c>
      <c r="I3931" s="16" t="n">
        <v>46139</v>
      </c>
      <c r="J3931" s="16" t="n"/>
      <c r="K3931" s="5" t="inlineStr">
        <is>
          <t>Journal Posting OSGT  0000211030</t>
        </is>
      </c>
      <c r="L3931" s="5" t="inlineStr">
        <is>
          <t>0201/26</t>
        </is>
      </c>
      <c r="M3931" s="5">
        <f>IF(YEAR(I3931)&lt;=2020,"Até 2020",TEXT(YEAR(I3931),"0"))</f>
        <v/>
      </c>
      <c r="N3931" s="5">
        <f>IFERROR(INDEX(DePara!$A:$A,MATCH(TEXT(B3931,"0"),DePara!$D:$D,0)),"(sem categoria)")</f>
        <v/>
      </c>
      <c r="O3931" s="5">
        <f>IF(J3931="","",Parametros!$B$6-J3931)</f>
        <v/>
      </c>
      <c r="P3931" s="5">
        <f>IF(O3931="","",IF(O3931&gt;0,1,0))</f>
        <v/>
      </c>
    </row>
    <row r="3932">
      <c r="A3932" s="5" t="n">
        <v>2111000000</v>
      </c>
      <c r="B3932" s="5" t="inlineStr">
        <is>
          <t>102080</t>
        </is>
      </c>
      <c r="C3932" s="5" t="inlineStr">
        <is>
          <t>RECEITA FEDERAL DO BRASIL</t>
        </is>
      </c>
      <c r="D3932" s="5" t="inlineStr">
        <is>
          <t>JP</t>
        </is>
      </c>
      <c r="E3932" s="5" t="n">
        <v>1400001848</v>
      </c>
      <c r="F3932" s="5" t="inlineStr">
        <is>
          <t>0000214377</t>
        </is>
      </c>
      <c r="G3932" s="5" t="inlineStr">
        <is>
          <t>BRL</t>
        </is>
      </c>
      <c r="H3932" s="9" t="n">
        <v>0</v>
      </c>
      <c r="I3932" s="16" t="n">
        <v>46163</v>
      </c>
      <c r="J3932" s="16" t="n"/>
      <c r="K3932" s="5" t="inlineStr">
        <is>
          <t>Journal Posting OSGT  0000214377</t>
        </is>
      </c>
      <c r="L3932" s="5" t="inlineStr">
        <is>
          <t>0354/26</t>
        </is>
      </c>
      <c r="M3932" s="5">
        <f>IF(YEAR(I3932)&lt;=2020,"Até 2020",TEXT(YEAR(I3932),"0"))</f>
        <v/>
      </c>
      <c r="N3932" s="5">
        <f>IFERROR(INDEX(DePara!$A:$A,MATCH(TEXT(B3932,"0"),DePara!$D:$D,0)),"(sem categoria)")</f>
        <v/>
      </c>
      <c r="O3932" s="5">
        <f>IF(J3932="","",Parametros!$B$6-J3932)</f>
        <v/>
      </c>
      <c r="P3932" s="5">
        <f>IF(O3932="","",IF(O3932&gt;0,1,0))</f>
        <v/>
      </c>
    </row>
    <row r="3933">
      <c r="A3933" s="5" t="n">
        <v>2111000000</v>
      </c>
      <c r="B3933" s="5" t="inlineStr">
        <is>
          <t>102080</t>
        </is>
      </c>
      <c r="C3933" s="5" t="inlineStr">
        <is>
          <t>RECEITA FEDERAL DO BRASIL</t>
        </is>
      </c>
      <c r="D3933" s="5" t="inlineStr">
        <is>
          <t>JP</t>
        </is>
      </c>
      <c r="E3933" s="5" t="n">
        <v>1400001868</v>
      </c>
      <c r="F3933" s="5" t="inlineStr">
        <is>
          <t>0000211871</t>
        </is>
      </c>
      <c r="G3933" s="5" t="inlineStr">
        <is>
          <t>BRL</t>
        </is>
      </c>
      <c r="H3933" s="9" t="n">
        <v>0</v>
      </c>
      <c r="I3933" s="16" t="n">
        <v>46148</v>
      </c>
      <c r="J3933" s="16" t="n"/>
      <c r="K3933" s="5" t="inlineStr">
        <is>
          <t>Journal Posting OSGT  0000211871</t>
        </is>
      </c>
      <c r="L3933" s="5" t="inlineStr">
        <is>
          <t>0250/26</t>
        </is>
      </c>
      <c r="M3933" s="5">
        <f>IF(YEAR(I3933)&lt;=2020,"Até 2020",TEXT(YEAR(I3933),"0"))</f>
        <v/>
      </c>
      <c r="N3933" s="5">
        <f>IFERROR(INDEX(DePara!$A:$A,MATCH(TEXT(B3933,"0"),DePara!$D:$D,0)),"(sem categoria)")</f>
        <v/>
      </c>
      <c r="O3933" s="5">
        <f>IF(J3933="","",Parametros!$B$6-J3933)</f>
        <v/>
      </c>
      <c r="P3933" s="5">
        <f>IF(O3933="","",IF(O3933&gt;0,1,0))</f>
        <v/>
      </c>
    </row>
    <row r="3934">
      <c r="A3934" s="5" t="n">
        <v>2111000000</v>
      </c>
      <c r="B3934" s="5" t="inlineStr">
        <is>
          <t>102080</t>
        </is>
      </c>
      <c r="C3934" s="5" t="inlineStr">
        <is>
          <t>RECEITA FEDERAL DO BRASIL</t>
        </is>
      </c>
      <c r="D3934" s="5" t="inlineStr">
        <is>
          <t>JP</t>
        </is>
      </c>
      <c r="E3934" s="5" t="n">
        <v>1400001917</v>
      </c>
      <c r="F3934" s="5" t="inlineStr">
        <is>
          <t>0000211757</t>
        </is>
      </c>
      <c r="G3934" s="5" t="inlineStr">
        <is>
          <t>BRL</t>
        </is>
      </c>
      <c r="H3934" s="9" t="n">
        <v>0</v>
      </c>
      <c r="I3934" s="16" t="n">
        <v>46136</v>
      </c>
      <c r="J3934" s="16" t="n"/>
      <c r="K3934" s="5" t="inlineStr">
        <is>
          <t>Journal Posting OSGT  0000211757</t>
        </is>
      </c>
      <c r="L3934" s="5" t="inlineStr">
        <is>
          <t>0243/26</t>
        </is>
      </c>
      <c r="M3934" s="5">
        <f>IF(YEAR(I3934)&lt;=2020,"Até 2020",TEXT(YEAR(I3934),"0"))</f>
        <v/>
      </c>
      <c r="N3934" s="5">
        <f>IFERROR(INDEX(DePara!$A:$A,MATCH(TEXT(B3934,"0"),DePara!$D:$D,0)),"(sem categoria)")</f>
        <v/>
      </c>
      <c r="O3934" s="5">
        <f>IF(J3934="","",Parametros!$B$6-J3934)</f>
        <v/>
      </c>
      <c r="P3934" s="5">
        <f>IF(O3934="","",IF(O3934&gt;0,1,0))</f>
        <v/>
      </c>
    </row>
    <row r="3935">
      <c r="A3935" s="5" t="n">
        <v>2111000000</v>
      </c>
      <c r="B3935" s="5" t="inlineStr">
        <is>
          <t>102080</t>
        </is>
      </c>
      <c r="C3935" s="5" t="inlineStr">
        <is>
          <t>RECEITA FEDERAL DO BRASIL</t>
        </is>
      </c>
      <c r="D3935" s="5" t="inlineStr">
        <is>
          <t>JP</t>
        </is>
      </c>
      <c r="E3935" s="5" t="n">
        <v>1400001940</v>
      </c>
      <c r="F3935" s="5" t="inlineStr">
        <is>
          <t>0000214371</t>
        </is>
      </c>
      <c r="G3935" s="5" t="inlineStr">
        <is>
          <t>BRL</t>
        </is>
      </c>
      <c r="H3935" s="9" t="n">
        <v>0</v>
      </c>
      <c r="I3935" s="16" t="n">
        <v>46150</v>
      </c>
      <c r="J3935" s="16" t="n"/>
      <c r="K3935" s="5" t="inlineStr">
        <is>
          <t>Journal Posting OSGT  0000214371</t>
        </is>
      </c>
      <c r="L3935" s="5" t="inlineStr">
        <is>
          <t>0300/26</t>
        </is>
      </c>
      <c r="M3935" s="5">
        <f>IF(YEAR(I3935)&lt;=2020,"Até 2020",TEXT(YEAR(I3935),"0"))</f>
        <v/>
      </c>
      <c r="N3935" s="5">
        <f>IFERROR(INDEX(DePara!$A:$A,MATCH(TEXT(B3935,"0"),DePara!$D:$D,0)),"(sem categoria)")</f>
        <v/>
      </c>
      <c r="O3935" s="5">
        <f>IF(J3935="","",Parametros!$B$6-J3935)</f>
        <v/>
      </c>
      <c r="P3935" s="5">
        <f>IF(O3935="","",IF(O3935&gt;0,1,0))</f>
        <v/>
      </c>
    </row>
    <row r="3936">
      <c r="A3936" s="5" t="n">
        <v>2111000000</v>
      </c>
      <c r="B3936" s="5" t="inlineStr">
        <is>
          <t>102080</t>
        </is>
      </c>
      <c r="C3936" s="5" t="inlineStr">
        <is>
          <t>RECEITA FEDERAL DO BRASIL</t>
        </is>
      </c>
      <c r="D3936" s="5" t="inlineStr">
        <is>
          <t>JP</t>
        </is>
      </c>
      <c r="E3936" s="5" t="n">
        <v>1400001958</v>
      </c>
      <c r="F3936" s="5" t="inlineStr">
        <is>
          <t>0000214861</t>
        </is>
      </c>
      <c r="G3936" s="5" t="inlineStr">
        <is>
          <t>BRL</t>
        </is>
      </c>
      <c r="H3936" s="9" t="n">
        <v>0</v>
      </c>
      <c r="I3936" s="16" t="n">
        <v>46148</v>
      </c>
      <c r="J3936" s="16" t="n"/>
      <c r="K3936" s="5" t="inlineStr">
        <is>
          <t>Journal Posting OSGT  0000214861</t>
        </is>
      </c>
      <c r="L3936" s="5" t="inlineStr">
        <is>
          <t>0279/26</t>
        </is>
      </c>
      <c r="M3936" s="5">
        <f>IF(YEAR(I3936)&lt;=2020,"Até 2020",TEXT(YEAR(I3936),"0"))</f>
        <v/>
      </c>
      <c r="N3936" s="5">
        <f>IFERROR(INDEX(DePara!$A:$A,MATCH(TEXT(B3936,"0"),DePara!$D:$D,0)),"(sem categoria)")</f>
        <v/>
      </c>
      <c r="O3936" s="5">
        <f>IF(J3936="","",Parametros!$B$6-J3936)</f>
        <v/>
      </c>
      <c r="P3936" s="5">
        <f>IF(O3936="","",IF(O3936&gt;0,1,0))</f>
        <v/>
      </c>
    </row>
    <row r="3937">
      <c r="A3937" s="5" t="n">
        <v>2111000000</v>
      </c>
      <c r="B3937" s="5" t="inlineStr">
        <is>
          <t>102080</t>
        </is>
      </c>
      <c r="C3937" s="5" t="inlineStr">
        <is>
          <t>RECEITA FEDERAL DO BRASIL</t>
        </is>
      </c>
      <c r="D3937" s="5" t="inlineStr">
        <is>
          <t>JP</t>
        </is>
      </c>
      <c r="E3937" s="5" t="n">
        <v>1400001961</v>
      </c>
      <c r="F3937" s="5" t="inlineStr">
        <is>
          <t>0000217048</t>
        </is>
      </c>
      <c r="G3937" s="5" t="inlineStr">
        <is>
          <t>BRL</t>
        </is>
      </c>
      <c r="H3937" s="9" t="n">
        <v>0</v>
      </c>
      <c r="I3937" s="16" t="n">
        <v>46149</v>
      </c>
      <c r="J3937" s="16" t="n"/>
      <c r="K3937" s="5" t="inlineStr">
        <is>
          <t>Journal Posting OSGT  0000217048</t>
        </is>
      </c>
      <c r="L3937" s="5" t="inlineStr">
        <is>
          <t>0292/26</t>
        </is>
      </c>
      <c r="M3937" s="5">
        <f>IF(YEAR(I3937)&lt;=2020,"Até 2020",TEXT(YEAR(I3937),"0"))</f>
        <v/>
      </c>
      <c r="N3937" s="5">
        <f>IFERROR(INDEX(DePara!$A:$A,MATCH(TEXT(B3937,"0"),DePara!$D:$D,0)),"(sem categoria)")</f>
        <v/>
      </c>
      <c r="O3937" s="5">
        <f>IF(J3937="","",Parametros!$B$6-J3937)</f>
        <v/>
      </c>
      <c r="P3937" s="5">
        <f>IF(O3937="","",IF(O3937&gt;0,1,0))</f>
        <v/>
      </c>
    </row>
    <row r="3938">
      <c r="A3938" s="5" t="n">
        <v>2111000000</v>
      </c>
      <c r="B3938" s="5" t="inlineStr">
        <is>
          <t>102080</t>
        </is>
      </c>
      <c r="C3938" s="5" t="inlineStr">
        <is>
          <t>RECEITA FEDERAL DO BRASIL</t>
        </is>
      </c>
      <c r="D3938" s="5" t="inlineStr">
        <is>
          <t>JP</t>
        </is>
      </c>
      <c r="E3938" s="5" t="n">
        <v>1400002004</v>
      </c>
      <c r="F3938" s="5" t="inlineStr">
        <is>
          <t>0000213458</t>
        </is>
      </c>
      <c r="G3938" s="5" t="inlineStr">
        <is>
          <t>BRL</t>
        </is>
      </c>
      <c r="H3938" s="9" t="n">
        <v>0</v>
      </c>
      <c r="I3938" s="16" t="n">
        <v>46128</v>
      </c>
      <c r="J3938" s="16" t="n"/>
      <c r="K3938" s="5" t="inlineStr">
        <is>
          <t>Journal Posting OSGT  0000213458</t>
        </is>
      </c>
      <c r="L3938" s="5" t="inlineStr">
        <is>
          <t>0213/26</t>
        </is>
      </c>
      <c r="M3938" s="5">
        <f>IF(YEAR(I3938)&lt;=2020,"Até 2020",TEXT(YEAR(I3938),"0"))</f>
        <v/>
      </c>
      <c r="N3938" s="5">
        <f>IFERROR(INDEX(DePara!$A:$A,MATCH(TEXT(B3938,"0"),DePara!$D:$D,0)),"(sem categoria)")</f>
        <v/>
      </c>
      <c r="O3938" s="5">
        <f>IF(J3938="","",Parametros!$B$6-J3938)</f>
        <v/>
      </c>
      <c r="P3938" s="5">
        <f>IF(O3938="","",IF(O3938&gt;0,1,0))</f>
        <v/>
      </c>
    </row>
    <row r="3939">
      <c r="A3939" s="5" t="n">
        <v>2111000000</v>
      </c>
      <c r="B3939" s="5" t="inlineStr">
        <is>
          <t>102080</t>
        </is>
      </c>
      <c r="C3939" s="5" t="inlineStr">
        <is>
          <t>RECEITA FEDERAL DO BRASIL</t>
        </is>
      </c>
      <c r="D3939" s="5" t="inlineStr">
        <is>
          <t>JP</t>
        </is>
      </c>
      <c r="E3939" s="5" t="n">
        <v>1400002069</v>
      </c>
      <c r="F3939" s="5" t="inlineStr">
        <is>
          <t>0000217031</t>
        </is>
      </c>
      <c r="G3939" s="5" t="inlineStr">
        <is>
          <t>BRL</t>
        </is>
      </c>
      <c r="H3939" s="9" t="n">
        <v>0</v>
      </c>
      <c r="I3939" s="16" t="n">
        <v>46149</v>
      </c>
      <c r="J3939" s="16" t="n"/>
      <c r="K3939" s="5" t="inlineStr">
        <is>
          <t>Journal Posting OSGT  0000217031</t>
        </is>
      </c>
      <c r="L3939" s="5" t="inlineStr">
        <is>
          <t>0282/26</t>
        </is>
      </c>
      <c r="M3939" s="5">
        <f>IF(YEAR(I3939)&lt;=2020,"Até 2020",TEXT(YEAR(I3939),"0"))</f>
        <v/>
      </c>
      <c r="N3939" s="5">
        <f>IFERROR(INDEX(DePara!$A:$A,MATCH(TEXT(B3939,"0"),DePara!$D:$D,0)),"(sem categoria)")</f>
        <v/>
      </c>
      <c r="O3939" s="5">
        <f>IF(J3939="","",Parametros!$B$6-J3939)</f>
        <v/>
      </c>
      <c r="P3939" s="5">
        <f>IF(O3939="","",IF(O3939&gt;0,1,0))</f>
        <v/>
      </c>
    </row>
    <row r="3940">
      <c r="A3940" s="5" t="n">
        <v>2111000000</v>
      </c>
      <c r="B3940" s="5" t="inlineStr">
        <is>
          <t>102080</t>
        </is>
      </c>
      <c r="C3940" s="5" t="inlineStr">
        <is>
          <t>RECEITA FEDERAL DO BRASIL</t>
        </is>
      </c>
      <c r="D3940" s="5" t="inlineStr">
        <is>
          <t>JP</t>
        </is>
      </c>
      <c r="E3940" s="5" t="n">
        <v>1400002101</v>
      </c>
      <c r="F3940" s="5" t="inlineStr">
        <is>
          <t>0000217184</t>
        </is>
      </c>
      <c r="G3940" s="5" t="inlineStr">
        <is>
          <t>BRL</t>
        </is>
      </c>
      <c r="H3940" s="9" t="n">
        <v>0</v>
      </c>
      <c r="I3940" s="16" t="n">
        <v>46184</v>
      </c>
      <c r="J3940" s="16" t="n"/>
      <c r="K3940" s="5" t="inlineStr">
        <is>
          <t>Journal Posting OSGT  0000217184</t>
        </is>
      </c>
      <c r="L3940" s="5" t="inlineStr">
        <is>
          <t>0358/26</t>
        </is>
      </c>
      <c r="M3940" s="5">
        <f>IF(YEAR(I3940)&lt;=2020,"Até 2020",TEXT(YEAR(I3940),"0"))</f>
        <v/>
      </c>
      <c r="N3940" s="5">
        <f>IFERROR(INDEX(DePara!$A:$A,MATCH(TEXT(B3940,"0"),DePara!$D:$D,0)),"(sem categoria)")</f>
        <v/>
      </c>
      <c r="O3940" s="5">
        <f>IF(J3940="","",Parametros!$B$6-J3940)</f>
        <v/>
      </c>
      <c r="P3940" s="5">
        <f>IF(O3940="","",IF(O3940&gt;0,1,0))</f>
        <v/>
      </c>
    </row>
    <row r="3941">
      <c r="A3941" s="5" t="n">
        <v>2111000000</v>
      </c>
      <c r="B3941" s="5" t="inlineStr">
        <is>
          <t>102080</t>
        </is>
      </c>
      <c r="C3941" s="5" t="inlineStr">
        <is>
          <t>RECEITA FEDERAL DO BRASIL</t>
        </is>
      </c>
      <c r="D3941" s="5" t="inlineStr">
        <is>
          <t>JP</t>
        </is>
      </c>
      <c r="E3941" s="5" t="n">
        <v>1400002139</v>
      </c>
      <c r="F3941" s="5" t="inlineStr">
        <is>
          <t>0000214888</t>
        </is>
      </c>
      <c r="G3941" s="5" t="inlineStr">
        <is>
          <t>BRL</t>
        </is>
      </c>
      <c r="H3941" s="9" t="n">
        <v>0</v>
      </c>
      <c r="I3941" s="16" t="n">
        <v>46176</v>
      </c>
      <c r="J3941" s="16" t="n"/>
      <c r="K3941" s="5" t="inlineStr">
        <is>
          <t>Journal Posting OSGT  0000214888</t>
        </is>
      </c>
      <c r="L3941" s="5" t="inlineStr">
        <is>
          <t>0273/26</t>
        </is>
      </c>
      <c r="M3941" s="5">
        <f>IF(YEAR(I3941)&lt;=2020,"Até 2020",TEXT(YEAR(I3941),"0"))</f>
        <v/>
      </c>
      <c r="N3941" s="5">
        <f>IFERROR(INDEX(DePara!$A:$A,MATCH(TEXT(B3941,"0"),DePara!$D:$D,0)),"(sem categoria)")</f>
        <v/>
      </c>
      <c r="O3941" s="5">
        <f>IF(J3941="","",Parametros!$B$6-J3941)</f>
        <v/>
      </c>
      <c r="P3941" s="5">
        <f>IF(O3941="","",IF(O3941&gt;0,1,0))</f>
        <v/>
      </c>
    </row>
    <row r="3942">
      <c r="A3942" s="5" t="n">
        <v>2111000000</v>
      </c>
      <c r="B3942" s="5" t="inlineStr">
        <is>
          <t>102080</t>
        </is>
      </c>
      <c r="C3942" s="5" t="inlineStr">
        <is>
          <t>RECEITA FEDERAL DO BRASIL</t>
        </is>
      </c>
      <c r="D3942" s="5" t="inlineStr">
        <is>
          <t>JP</t>
        </is>
      </c>
      <c r="E3942" s="5" t="n">
        <v>1400002144</v>
      </c>
      <c r="F3942" s="5" t="inlineStr">
        <is>
          <t>0000217714</t>
        </is>
      </c>
      <c r="G3942" s="5" t="inlineStr">
        <is>
          <t>BRL</t>
        </is>
      </c>
      <c r="H3942" s="9" t="n">
        <v>0</v>
      </c>
      <c r="I3942" s="16" t="n">
        <v>46185</v>
      </c>
      <c r="J3942" s="16" t="n"/>
      <c r="K3942" s="5" t="inlineStr">
        <is>
          <t>Journal Posting OSGT  0000217714</t>
        </is>
      </c>
      <c r="L3942" s="5" t="inlineStr">
        <is>
          <t>0367/26</t>
        </is>
      </c>
      <c r="M3942" s="5">
        <f>IF(YEAR(I3942)&lt;=2020,"Até 2020",TEXT(YEAR(I3942),"0"))</f>
        <v/>
      </c>
      <c r="N3942" s="5">
        <f>IFERROR(INDEX(DePara!$A:$A,MATCH(TEXT(B3942,"0"),DePara!$D:$D,0)),"(sem categoria)")</f>
        <v/>
      </c>
      <c r="O3942" s="5">
        <f>IF(J3942="","",Parametros!$B$6-J3942)</f>
        <v/>
      </c>
      <c r="P3942" s="5">
        <f>IF(O3942="","",IF(O3942&gt;0,1,0))</f>
        <v/>
      </c>
    </row>
    <row r="3943">
      <c r="A3943" s="5" t="n">
        <v>2111000000</v>
      </c>
      <c r="B3943" s="5" t="inlineStr">
        <is>
          <t>102080</t>
        </is>
      </c>
      <c r="C3943" s="5" t="inlineStr">
        <is>
          <t>RECEITA FEDERAL DO BRASIL</t>
        </is>
      </c>
      <c r="D3943" s="5" t="inlineStr">
        <is>
          <t>JP</t>
        </is>
      </c>
      <c r="E3943" s="5" t="n">
        <v>1400002175</v>
      </c>
      <c r="F3943" s="5" t="inlineStr">
        <is>
          <t>0000218966</t>
        </is>
      </c>
      <c r="G3943" s="5" t="inlineStr">
        <is>
          <t>BRL</t>
        </is>
      </c>
      <c r="H3943" s="9" t="n">
        <v>0</v>
      </c>
      <c r="I3943" s="16" t="n">
        <v>46199</v>
      </c>
      <c r="J3943" s="16" t="n"/>
      <c r="K3943" s="5" t="inlineStr">
        <is>
          <t>Journal Posting OSGT  0000218966</t>
        </is>
      </c>
      <c r="L3943" s="5" t="inlineStr">
        <is>
          <t>0365/26</t>
        </is>
      </c>
      <c r="M3943" s="5">
        <f>IF(YEAR(I3943)&lt;=2020,"Até 2020",TEXT(YEAR(I3943),"0"))</f>
        <v/>
      </c>
      <c r="N3943" s="5">
        <f>IFERROR(INDEX(DePara!$A:$A,MATCH(TEXT(B3943,"0"),DePara!$D:$D,0)),"(sem categoria)")</f>
        <v/>
      </c>
      <c r="O3943" s="5">
        <f>IF(J3943="","",Parametros!$B$6-J3943)</f>
        <v/>
      </c>
      <c r="P3943" s="5">
        <f>IF(O3943="","",IF(O3943&gt;0,1,0))</f>
        <v/>
      </c>
    </row>
    <row r="3944">
      <c r="A3944" s="5" t="n">
        <v>2111000000</v>
      </c>
      <c r="B3944" s="5" t="inlineStr">
        <is>
          <t>102080</t>
        </is>
      </c>
      <c r="C3944" s="5" t="inlineStr">
        <is>
          <t>RECEITA FEDERAL DO BRASIL</t>
        </is>
      </c>
      <c r="D3944" s="5" t="inlineStr">
        <is>
          <t>JP</t>
        </is>
      </c>
      <c r="E3944" s="5" t="n">
        <v>1400002185</v>
      </c>
      <c r="F3944" s="5" t="inlineStr">
        <is>
          <t>0000217176</t>
        </is>
      </c>
      <c r="G3944" s="5" t="inlineStr">
        <is>
          <t>BRL</t>
        </is>
      </c>
      <c r="H3944" s="9" t="n">
        <v>0</v>
      </c>
      <c r="I3944" s="16" t="n">
        <v>46164</v>
      </c>
      <c r="J3944" s="16" t="n"/>
      <c r="K3944" s="5" t="inlineStr">
        <is>
          <t>Journal Posting OSGT  0000217176</t>
        </is>
      </c>
      <c r="L3944" s="5" t="inlineStr">
        <is>
          <t>0357/26</t>
        </is>
      </c>
      <c r="M3944" s="5">
        <f>IF(YEAR(I3944)&lt;=2020,"Até 2020",TEXT(YEAR(I3944),"0"))</f>
        <v/>
      </c>
      <c r="N3944" s="5">
        <f>IFERROR(INDEX(DePara!$A:$A,MATCH(TEXT(B3944,"0"),DePara!$D:$D,0)),"(sem categoria)")</f>
        <v/>
      </c>
      <c r="O3944" s="5">
        <f>IF(J3944="","",Parametros!$B$6-J3944)</f>
        <v/>
      </c>
      <c r="P3944" s="5">
        <f>IF(O3944="","",IF(O3944&gt;0,1,0))</f>
        <v/>
      </c>
    </row>
    <row r="3945">
      <c r="A3945" s="5" t="n">
        <v>2111000000</v>
      </c>
      <c r="B3945" s="5" t="inlineStr">
        <is>
          <t>102080</t>
        </is>
      </c>
      <c r="C3945" s="5" t="inlineStr">
        <is>
          <t>RECEITA FEDERAL DO BRASIL</t>
        </is>
      </c>
      <c r="D3945" s="5" t="inlineStr">
        <is>
          <t>JP</t>
        </is>
      </c>
      <c r="E3945" s="5" t="n">
        <v>1400002196</v>
      </c>
      <c r="F3945" s="5" t="inlineStr">
        <is>
          <t>0000218700</t>
        </is>
      </c>
      <c r="G3945" s="5" t="inlineStr">
        <is>
          <t>BRL</t>
        </is>
      </c>
      <c r="H3945" s="9" t="n">
        <v>0</v>
      </c>
      <c r="I3945" s="16" t="n">
        <v>46198</v>
      </c>
      <c r="J3945" s="16" t="n"/>
      <c r="K3945" s="5" t="inlineStr">
        <is>
          <t>Journal Posting OSGT  0000218700</t>
        </is>
      </c>
      <c r="L3945" s="5" t="inlineStr">
        <is>
          <t>0390/26</t>
        </is>
      </c>
      <c r="M3945" s="5">
        <f>IF(YEAR(I3945)&lt;=2020,"Até 2020",TEXT(YEAR(I3945),"0"))</f>
        <v/>
      </c>
      <c r="N3945" s="5">
        <f>IFERROR(INDEX(DePara!$A:$A,MATCH(TEXT(B3945,"0"),DePara!$D:$D,0)),"(sem categoria)")</f>
        <v/>
      </c>
      <c r="O3945" s="5">
        <f>IF(J3945="","",Parametros!$B$6-J3945)</f>
        <v/>
      </c>
      <c r="P3945" s="5">
        <f>IF(O3945="","",IF(O3945&gt;0,1,0))</f>
        <v/>
      </c>
    </row>
    <row r="3946">
      <c r="A3946" s="5" t="n">
        <v>2111000000</v>
      </c>
      <c r="B3946" s="5" t="inlineStr">
        <is>
          <t>102080</t>
        </is>
      </c>
      <c r="C3946" s="5" t="inlineStr">
        <is>
          <t>RECEITA FEDERAL DO BRASIL</t>
        </is>
      </c>
      <c r="D3946" s="5" t="inlineStr">
        <is>
          <t>JP</t>
        </is>
      </c>
      <c r="E3946" s="5" t="n">
        <v>1400002212</v>
      </c>
      <c r="F3946" s="5" t="inlineStr">
        <is>
          <t>0000217797</t>
        </is>
      </c>
      <c r="G3946" s="5" t="inlineStr">
        <is>
          <t>BRL</t>
        </is>
      </c>
      <c r="H3946" s="9" t="n">
        <v>0</v>
      </c>
      <c r="I3946" s="16" t="n">
        <v>46148</v>
      </c>
      <c r="J3946" s="16" t="n"/>
      <c r="K3946" s="5" t="inlineStr">
        <is>
          <t>Journal Posting OSGT  0000217797</t>
        </is>
      </c>
      <c r="L3946" s="5" t="inlineStr">
        <is>
          <t>0272/26</t>
        </is>
      </c>
      <c r="M3946" s="5">
        <f>IF(YEAR(I3946)&lt;=2020,"Até 2020",TEXT(YEAR(I3946),"0"))</f>
        <v/>
      </c>
      <c r="N3946" s="5">
        <f>IFERROR(INDEX(DePara!$A:$A,MATCH(TEXT(B3946,"0"),DePara!$D:$D,0)),"(sem categoria)")</f>
        <v/>
      </c>
      <c r="O3946" s="5">
        <f>IF(J3946="","",Parametros!$B$6-J3946)</f>
        <v/>
      </c>
      <c r="P3946" s="5">
        <f>IF(O3946="","",IF(O3946&gt;0,1,0))</f>
        <v/>
      </c>
    </row>
    <row r="3947">
      <c r="A3947" s="5" t="n">
        <v>2111000000</v>
      </c>
      <c r="B3947" s="5" t="inlineStr">
        <is>
          <t>102080</t>
        </is>
      </c>
      <c r="C3947" s="5" t="inlineStr">
        <is>
          <t>RECEITA FEDERAL DO BRASIL</t>
        </is>
      </c>
      <c r="D3947" s="5" t="inlineStr">
        <is>
          <t>JP</t>
        </is>
      </c>
      <c r="E3947" s="5" t="n">
        <v>1400002216</v>
      </c>
      <c r="F3947" s="5" t="inlineStr">
        <is>
          <t>0000217035</t>
        </is>
      </c>
      <c r="G3947" s="5" t="inlineStr">
        <is>
          <t>BRL</t>
        </is>
      </c>
      <c r="H3947" s="9" t="n">
        <v>0</v>
      </c>
      <c r="I3947" s="16" t="n">
        <v>46181</v>
      </c>
      <c r="J3947" s="16" t="n"/>
      <c r="K3947" s="5" t="inlineStr">
        <is>
          <t>Journal Posting OSGT  0000217035</t>
        </is>
      </c>
      <c r="L3947" s="5" t="inlineStr">
        <is>
          <t>0276/26</t>
        </is>
      </c>
      <c r="M3947" s="5">
        <f>IF(YEAR(I3947)&lt;=2020,"Até 2020",TEXT(YEAR(I3947),"0"))</f>
        <v/>
      </c>
      <c r="N3947" s="5">
        <f>IFERROR(INDEX(DePara!$A:$A,MATCH(TEXT(B3947,"0"),DePara!$D:$D,0)),"(sem categoria)")</f>
        <v/>
      </c>
      <c r="O3947" s="5">
        <f>IF(J3947="","",Parametros!$B$6-J3947)</f>
        <v/>
      </c>
      <c r="P3947" s="5">
        <f>IF(O3947="","",IF(O3947&gt;0,1,0))</f>
        <v/>
      </c>
    </row>
    <row r="3948">
      <c r="A3948" s="5" t="n">
        <v>2111000000</v>
      </c>
      <c r="B3948" s="5" t="inlineStr">
        <is>
          <t>102080</t>
        </is>
      </c>
      <c r="C3948" s="5" t="inlineStr">
        <is>
          <t>RECEITA FEDERAL DO BRASIL</t>
        </is>
      </c>
      <c r="D3948" s="5" t="inlineStr">
        <is>
          <t>JP</t>
        </is>
      </c>
      <c r="E3948" s="5" t="n">
        <v>1400002268</v>
      </c>
      <c r="F3948" s="5" t="n"/>
      <c r="G3948" s="5" t="inlineStr">
        <is>
          <t>BRL</t>
        </is>
      </c>
      <c r="H3948" s="9" t="n">
        <v>0</v>
      </c>
      <c r="I3948" s="16" t="n">
        <v>46184</v>
      </c>
      <c r="J3948" s="16" t="n"/>
      <c r="K3948" s="5" t="inlineStr">
        <is>
          <t>Journal Posting OSGT</t>
        </is>
      </c>
      <c r="L3948" s="5" t="inlineStr">
        <is>
          <t>0394/26</t>
        </is>
      </c>
      <c r="M3948" s="5">
        <f>IF(YEAR(I3948)&lt;=2020,"Até 2020",TEXT(YEAR(I3948),"0"))</f>
        <v/>
      </c>
      <c r="N3948" s="5">
        <f>IFERROR(INDEX(DePara!$A:$A,MATCH(TEXT(B3948,"0"),DePara!$D:$D,0)),"(sem categoria)")</f>
        <v/>
      </c>
      <c r="O3948" s="5">
        <f>IF(J3948="","",Parametros!$B$6-J3948)</f>
        <v/>
      </c>
      <c r="P3948" s="5">
        <f>IF(O3948="","",IF(O3948&gt;0,1,0))</f>
        <v/>
      </c>
    </row>
    <row r="3949">
      <c r="A3949" s="5" t="n">
        <v>2111000000</v>
      </c>
      <c r="B3949" s="5" t="inlineStr">
        <is>
          <t>102080</t>
        </is>
      </c>
      <c r="C3949" s="5" t="inlineStr">
        <is>
          <t>RECEITA FEDERAL DO BRASIL</t>
        </is>
      </c>
      <c r="D3949" s="5" t="inlineStr">
        <is>
          <t>JP</t>
        </is>
      </c>
      <c r="E3949" s="5" t="n">
        <v>1400002303</v>
      </c>
      <c r="F3949" s="5" t="inlineStr">
        <is>
          <t>0000218621</t>
        </is>
      </c>
      <c r="G3949" s="5" t="inlineStr">
        <is>
          <t>BRL</t>
        </is>
      </c>
      <c r="H3949" s="9" t="n">
        <v>0</v>
      </c>
      <c r="I3949" s="16" t="n">
        <v>46162</v>
      </c>
      <c r="J3949" s="16" t="n"/>
      <c r="K3949" s="5" t="inlineStr">
        <is>
          <t>Journal Posting OSGT  0000218621</t>
        </is>
      </c>
      <c r="L3949" s="5" t="inlineStr">
        <is>
          <t>0349/26</t>
        </is>
      </c>
      <c r="M3949" s="5">
        <f>IF(YEAR(I3949)&lt;=2020,"Até 2020",TEXT(YEAR(I3949),"0"))</f>
        <v/>
      </c>
      <c r="N3949" s="5">
        <f>IFERROR(INDEX(DePara!$A:$A,MATCH(TEXT(B3949,"0"),DePara!$D:$D,0)),"(sem categoria)")</f>
        <v/>
      </c>
      <c r="O3949" s="5">
        <f>IF(J3949="","",Parametros!$B$6-J3949)</f>
        <v/>
      </c>
      <c r="P3949" s="5">
        <f>IF(O3949="","",IF(O3949&gt;0,1,0))</f>
        <v/>
      </c>
    </row>
    <row r="3950">
      <c r="A3950" s="5" t="n">
        <v>2111000000</v>
      </c>
      <c r="B3950" s="5" t="inlineStr">
        <is>
          <t>102080</t>
        </is>
      </c>
      <c r="C3950" s="5" t="inlineStr">
        <is>
          <t>RECEITA FEDERAL DO BRASIL</t>
        </is>
      </c>
      <c r="D3950" s="5" t="inlineStr">
        <is>
          <t>JP</t>
        </is>
      </c>
      <c r="E3950" s="5" t="n">
        <v>1400002317</v>
      </c>
      <c r="F3950" s="5" t="inlineStr">
        <is>
          <t>0000218610</t>
        </is>
      </c>
      <c r="G3950" s="5" t="inlineStr">
        <is>
          <t>BRL</t>
        </is>
      </c>
      <c r="H3950" s="9" t="n">
        <v>0</v>
      </c>
      <c r="I3950" s="16" t="n">
        <v>46195</v>
      </c>
      <c r="J3950" s="16" t="n"/>
      <c r="K3950" s="5" t="inlineStr">
        <is>
          <t>Journal Posting OSGT  0000218610</t>
        </is>
      </c>
      <c r="L3950" s="5" t="inlineStr">
        <is>
          <t>0322/26</t>
        </is>
      </c>
      <c r="M3950" s="5">
        <f>IF(YEAR(I3950)&lt;=2020,"Até 2020",TEXT(YEAR(I3950),"0"))</f>
        <v/>
      </c>
      <c r="N3950" s="5">
        <f>IFERROR(INDEX(DePara!$A:$A,MATCH(TEXT(B3950,"0"),DePara!$D:$D,0)),"(sem categoria)")</f>
        <v/>
      </c>
      <c r="O3950" s="5">
        <f>IF(J3950="","",Parametros!$B$6-J3950)</f>
        <v/>
      </c>
      <c r="P3950" s="5">
        <f>IF(O3950="","",IF(O3950&gt;0,1,0))</f>
        <v/>
      </c>
    </row>
    <row r="3951">
      <c r="A3951" s="5" t="n">
        <v>2111000000</v>
      </c>
      <c r="B3951" s="5" t="inlineStr">
        <is>
          <t>102080</t>
        </is>
      </c>
      <c r="C3951" s="5" t="inlineStr">
        <is>
          <t>RECEITA FEDERAL DO BRASIL</t>
        </is>
      </c>
      <c r="D3951" s="5" t="inlineStr">
        <is>
          <t>JP</t>
        </is>
      </c>
      <c r="E3951" s="5" t="n">
        <v>1400002322</v>
      </c>
      <c r="F3951" s="5" t="inlineStr">
        <is>
          <t>0000217192</t>
        </is>
      </c>
      <c r="G3951" s="5" t="inlineStr">
        <is>
          <t>BRL</t>
        </is>
      </c>
      <c r="H3951" s="9" t="n">
        <v>0</v>
      </c>
      <c r="I3951" s="16" t="n">
        <v>46164</v>
      </c>
      <c r="J3951" s="16" t="n"/>
      <c r="K3951" s="5" t="inlineStr">
        <is>
          <t>Journal Posting OSGT  0000217192</t>
        </is>
      </c>
      <c r="L3951" s="5" t="inlineStr">
        <is>
          <t>0360/26</t>
        </is>
      </c>
      <c r="M3951" s="5">
        <f>IF(YEAR(I3951)&lt;=2020,"Até 2020",TEXT(YEAR(I3951),"0"))</f>
        <v/>
      </c>
      <c r="N3951" s="5">
        <f>IFERROR(INDEX(DePara!$A:$A,MATCH(TEXT(B3951,"0"),DePara!$D:$D,0)),"(sem categoria)")</f>
        <v/>
      </c>
      <c r="O3951" s="5">
        <f>IF(J3951="","",Parametros!$B$6-J3951)</f>
        <v/>
      </c>
      <c r="P3951" s="5">
        <f>IF(O3951="","",IF(O3951&gt;0,1,0))</f>
        <v/>
      </c>
    </row>
    <row r="3952">
      <c r="A3952" s="5" t="n">
        <v>2111000000</v>
      </c>
      <c r="B3952" s="5" t="inlineStr">
        <is>
          <t>102080</t>
        </is>
      </c>
      <c r="C3952" s="5" t="inlineStr">
        <is>
          <t>RECEITA FEDERAL DO BRASIL</t>
        </is>
      </c>
      <c r="D3952" s="5" t="inlineStr">
        <is>
          <t>JP</t>
        </is>
      </c>
      <c r="E3952" s="5" t="n">
        <v>1400002323</v>
      </c>
      <c r="F3952" s="5" t="inlineStr">
        <is>
          <t>0000217711</t>
        </is>
      </c>
      <c r="G3952" s="5" t="inlineStr">
        <is>
          <t>BRL</t>
        </is>
      </c>
      <c r="H3952" s="9" t="n">
        <v>0</v>
      </c>
      <c r="I3952" s="16" t="n">
        <v>46185</v>
      </c>
      <c r="J3952" s="16" t="n"/>
      <c r="K3952" s="5" t="inlineStr">
        <is>
          <t>Journal Posting OSGT  0000217711</t>
        </is>
      </c>
      <c r="L3952" s="5" t="inlineStr">
        <is>
          <t>0326/26</t>
        </is>
      </c>
      <c r="M3952" s="5">
        <f>IF(YEAR(I3952)&lt;=2020,"Até 2020",TEXT(YEAR(I3952),"0"))</f>
        <v/>
      </c>
      <c r="N3952" s="5">
        <f>IFERROR(INDEX(DePara!$A:$A,MATCH(TEXT(B3952,"0"),DePara!$D:$D,0)),"(sem categoria)")</f>
        <v/>
      </c>
      <c r="O3952" s="5">
        <f>IF(J3952="","",Parametros!$B$6-J3952)</f>
        <v/>
      </c>
      <c r="P3952" s="5">
        <f>IF(O3952="","",IF(O3952&gt;0,1,0))</f>
        <v/>
      </c>
    </row>
    <row r="3953">
      <c r="A3953" s="5" t="n">
        <v>2111000000</v>
      </c>
      <c r="B3953" s="5" t="inlineStr">
        <is>
          <t>102080</t>
        </is>
      </c>
      <c r="C3953" s="5" t="inlineStr">
        <is>
          <t>RECEITA FEDERAL DO BRASIL</t>
        </is>
      </c>
      <c r="D3953" s="5" t="inlineStr">
        <is>
          <t>JP</t>
        </is>
      </c>
      <c r="E3953" s="5" t="n">
        <v>1400002351</v>
      </c>
      <c r="F3953" s="5" t="inlineStr">
        <is>
          <t>0000218783</t>
        </is>
      </c>
      <c r="G3953" s="5" t="inlineStr">
        <is>
          <t>BRL</t>
        </is>
      </c>
      <c r="H3953" s="9" t="n">
        <v>0</v>
      </c>
      <c r="I3953" s="16" t="n">
        <v>46203</v>
      </c>
      <c r="J3953" s="16" t="n"/>
      <c r="K3953" s="5" t="inlineStr">
        <is>
          <t>Journal Posting OSGT  0000218783</t>
        </is>
      </c>
      <c r="L3953" s="5" t="inlineStr">
        <is>
          <t>0320/26</t>
        </is>
      </c>
      <c r="M3953" s="5">
        <f>IF(YEAR(I3953)&lt;=2020,"Até 2020",TEXT(YEAR(I3953),"0"))</f>
        <v/>
      </c>
      <c r="N3953" s="5">
        <f>IFERROR(INDEX(DePara!$A:$A,MATCH(TEXT(B3953,"0"),DePara!$D:$D,0)),"(sem categoria)")</f>
        <v/>
      </c>
      <c r="O3953" s="5">
        <f>IF(J3953="","",Parametros!$B$6-J3953)</f>
        <v/>
      </c>
      <c r="P3953" s="5">
        <f>IF(O3953="","",IF(O3953&gt;0,1,0))</f>
        <v/>
      </c>
    </row>
    <row r="3954">
      <c r="A3954" s="5" t="n">
        <v>2111000000</v>
      </c>
      <c r="B3954" s="5" t="inlineStr">
        <is>
          <t>102080</t>
        </is>
      </c>
      <c r="C3954" s="5" t="inlineStr">
        <is>
          <t>RECEITA FEDERAL DO BRASIL</t>
        </is>
      </c>
      <c r="D3954" s="5" t="inlineStr">
        <is>
          <t>JP</t>
        </is>
      </c>
      <c r="E3954" s="5" t="n">
        <v>1400002360</v>
      </c>
      <c r="F3954" s="5" t="inlineStr">
        <is>
          <t>0000218795</t>
        </is>
      </c>
      <c r="G3954" s="5" t="inlineStr">
        <is>
          <t>BRL</t>
        </is>
      </c>
      <c r="H3954" s="9" t="n">
        <v>0</v>
      </c>
      <c r="I3954" s="16" t="n">
        <v>46203</v>
      </c>
      <c r="J3954" s="16" t="n"/>
      <c r="K3954" s="5" t="inlineStr">
        <is>
          <t>Journal Posting OSGT  0000218795</t>
        </is>
      </c>
      <c r="L3954" s="5" t="inlineStr">
        <is>
          <t>0373/26</t>
        </is>
      </c>
      <c r="M3954" s="5">
        <f>IF(YEAR(I3954)&lt;=2020,"Até 2020",TEXT(YEAR(I3954),"0"))</f>
        <v/>
      </c>
      <c r="N3954" s="5">
        <f>IFERROR(INDEX(DePara!$A:$A,MATCH(TEXT(B3954,"0"),DePara!$D:$D,0)),"(sem categoria)")</f>
        <v/>
      </c>
      <c r="O3954" s="5">
        <f>IF(J3954="","",Parametros!$B$6-J3954)</f>
        <v/>
      </c>
      <c r="P3954" s="5">
        <f>IF(O3954="","",IF(O3954&gt;0,1,0))</f>
        <v/>
      </c>
    </row>
    <row r="3955">
      <c r="A3955" s="5" t="n">
        <v>2111000000</v>
      </c>
      <c r="B3955" s="5" t="inlineStr">
        <is>
          <t>102080</t>
        </is>
      </c>
      <c r="C3955" s="5" t="inlineStr">
        <is>
          <t>RECEITA FEDERAL DO BRASIL</t>
        </is>
      </c>
      <c r="D3955" s="5" t="inlineStr">
        <is>
          <t>JP</t>
        </is>
      </c>
      <c r="E3955" s="5" t="n">
        <v>1400002365</v>
      </c>
      <c r="F3955" s="5" t="inlineStr">
        <is>
          <t>0000218579</t>
        </is>
      </c>
      <c r="G3955" s="5" t="inlineStr">
        <is>
          <t>BRL</t>
        </is>
      </c>
      <c r="H3955" s="9" t="n">
        <v>0</v>
      </c>
      <c r="I3955" s="16" t="n">
        <v>46175</v>
      </c>
      <c r="J3955" s="16" t="n"/>
      <c r="K3955" s="5" t="inlineStr">
        <is>
          <t>Journal Posting OSGT  0000218579</t>
        </is>
      </c>
      <c r="L3955" s="5" t="inlineStr">
        <is>
          <t>0374/26</t>
        </is>
      </c>
      <c r="M3955" s="5">
        <f>IF(YEAR(I3955)&lt;=2020,"Até 2020",TEXT(YEAR(I3955),"0"))</f>
        <v/>
      </c>
      <c r="N3955" s="5">
        <f>IFERROR(INDEX(DePara!$A:$A,MATCH(TEXT(B3955,"0"),DePara!$D:$D,0)),"(sem categoria)")</f>
        <v/>
      </c>
      <c r="O3955" s="5">
        <f>IF(J3955="","",Parametros!$B$6-J3955)</f>
        <v/>
      </c>
      <c r="P3955" s="5">
        <f>IF(O3955="","",IF(O3955&gt;0,1,0))</f>
        <v/>
      </c>
    </row>
    <row r="3956">
      <c r="A3956" s="5" t="n">
        <v>2111000000</v>
      </c>
      <c r="B3956" s="5" t="inlineStr">
        <is>
          <t>102080</t>
        </is>
      </c>
      <c r="C3956" s="5" t="inlineStr">
        <is>
          <t>RECEITA FEDERAL DO BRASIL</t>
        </is>
      </c>
      <c r="D3956" s="5" t="inlineStr">
        <is>
          <t>JP</t>
        </is>
      </c>
      <c r="E3956" s="5" t="n">
        <v>1400002366</v>
      </c>
      <c r="F3956" s="5" t="inlineStr">
        <is>
          <t>0000218586</t>
        </is>
      </c>
      <c r="G3956" s="5" t="inlineStr">
        <is>
          <t>BRL</t>
        </is>
      </c>
      <c r="H3956" s="9" t="n">
        <v>0</v>
      </c>
      <c r="I3956" s="16" t="n">
        <v>46175</v>
      </c>
      <c r="J3956" s="16" t="n"/>
      <c r="K3956" s="5" t="inlineStr">
        <is>
          <t>Journal Posting OSGT  0000218586</t>
        </is>
      </c>
      <c r="L3956" s="5" t="inlineStr">
        <is>
          <t>0375/26</t>
        </is>
      </c>
      <c r="M3956" s="5">
        <f>IF(YEAR(I3956)&lt;=2020,"Até 2020",TEXT(YEAR(I3956),"0"))</f>
        <v/>
      </c>
      <c r="N3956" s="5">
        <f>IFERROR(INDEX(DePara!$A:$A,MATCH(TEXT(B3956,"0"),DePara!$D:$D,0)),"(sem categoria)")</f>
        <v/>
      </c>
      <c r="O3956" s="5">
        <f>IF(J3956="","",Parametros!$B$6-J3956)</f>
        <v/>
      </c>
      <c r="P3956" s="5">
        <f>IF(O3956="","",IF(O3956&gt;0,1,0))</f>
        <v/>
      </c>
    </row>
    <row r="3957">
      <c r="A3957" s="5" t="n">
        <v>2111000000</v>
      </c>
      <c r="B3957" s="5" t="inlineStr">
        <is>
          <t>102080</t>
        </is>
      </c>
      <c r="C3957" s="5" t="inlineStr">
        <is>
          <t>RECEITA FEDERAL DO BRASIL</t>
        </is>
      </c>
      <c r="D3957" s="5" t="inlineStr">
        <is>
          <t>JP</t>
        </is>
      </c>
      <c r="E3957" s="5" t="n">
        <v>1400002404</v>
      </c>
      <c r="F3957" s="5" t="inlineStr">
        <is>
          <t>0000211043</t>
        </is>
      </c>
      <c r="G3957" s="5" t="inlineStr">
        <is>
          <t>BRL</t>
        </is>
      </c>
      <c r="H3957" s="9" t="n">
        <v>0</v>
      </c>
      <c r="I3957" s="16" t="n">
        <v>46139</v>
      </c>
      <c r="J3957" s="16" t="n"/>
      <c r="K3957" s="5" t="inlineStr">
        <is>
          <t>Journal Posting OSGT  0000211043</t>
        </is>
      </c>
      <c r="L3957" s="5" t="inlineStr">
        <is>
          <t>0195/26</t>
        </is>
      </c>
      <c r="M3957" s="5">
        <f>IF(YEAR(I3957)&lt;=2020,"Até 2020",TEXT(YEAR(I3957),"0"))</f>
        <v/>
      </c>
      <c r="N3957" s="5">
        <f>IFERROR(INDEX(DePara!$A:$A,MATCH(TEXT(B3957,"0"),DePara!$D:$D,0)),"(sem categoria)")</f>
        <v/>
      </c>
      <c r="O3957" s="5">
        <f>IF(J3957="","",Parametros!$B$6-J3957)</f>
        <v/>
      </c>
      <c r="P3957" s="5">
        <f>IF(O3957="","",IF(O3957&gt;0,1,0))</f>
        <v/>
      </c>
    </row>
    <row r="3958">
      <c r="A3958" s="5" t="n">
        <v>2111000000</v>
      </c>
      <c r="B3958" s="5" t="inlineStr">
        <is>
          <t>102080</t>
        </is>
      </c>
      <c r="C3958" s="5" t="inlineStr">
        <is>
          <t>RECEITA FEDERAL DO BRASIL</t>
        </is>
      </c>
      <c r="D3958" s="5" t="inlineStr">
        <is>
          <t>JP</t>
        </is>
      </c>
      <c r="E3958" s="5" t="n">
        <v>1400002469</v>
      </c>
      <c r="F3958" s="5" t="inlineStr">
        <is>
          <t>0000219630</t>
        </is>
      </c>
      <c r="G3958" s="5" t="inlineStr">
        <is>
          <t>BRL</t>
        </is>
      </c>
      <c r="H3958" s="9" t="n">
        <v>0</v>
      </c>
      <c r="I3958" s="16" t="n">
        <v>46192</v>
      </c>
      <c r="J3958" s="16" t="n"/>
      <c r="K3958" s="5" t="inlineStr">
        <is>
          <t>Journal Posting OSGT  0000219630</t>
        </is>
      </c>
      <c r="L3958" s="5" t="inlineStr">
        <is>
          <t>0415/26</t>
        </is>
      </c>
      <c r="M3958" s="5">
        <f>IF(YEAR(I3958)&lt;=2020,"Até 2020",TEXT(YEAR(I3958),"0"))</f>
        <v/>
      </c>
      <c r="N3958" s="5">
        <f>IFERROR(INDEX(DePara!$A:$A,MATCH(TEXT(B3958,"0"),DePara!$D:$D,0)),"(sem categoria)")</f>
        <v/>
      </c>
      <c r="O3958" s="5">
        <f>IF(J3958="","",Parametros!$B$6-J3958)</f>
        <v/>
      </c>
      <c r="P3958" s="5">
        <f>IF(O3958="","",IF(O3958&gt;0,1,0))</f>
        <v/>
      </c>
    </row>
    <row r="3959">
      <c r="A3959" s="5" t="n">
        <v>2111000000</v>
      </c>
      <c r="B3959" s="5" t="inlineStr">
        <is>
          <t>102080</t>
        </is>
      </c>
      <c r="C3959" s="5" t="inlineStr">
        <is>
          <t>RECEITA FEDERAL DO BRASIL</t>
        </is>
      </c>
      <c r="D3959" s="5" t="inlineStr">
        <is>
          <t>JP</t>
        </is>
      </c>
      <c r="E3959" s="5" t="n">
        <v>1400002533</v>
      </c>
      <c r="F3959" s="5" t="inlineStr">
        <is>
          <t>0000219637</t>
        </is>
      </c>
      <c r="G3959" s="5" t="inlineStr">
        <is>
          <t>BRL</t>
        </is>
      </c>
      <c r="H3959" s="9" t="n">
        <v>0</v>
      </c>
      <c r="I3959" s="16" t="n">
        <v>46209</v>
      </c>
      <c r="J3959" s="16" t="n"/>
      <c r="K3959" s="5" t="inlineStr">
        <is>
          <t>Journal Posting OSGT  0000219637</t>
        </is>
      </c>
      <c r="L3959" s="5" t="inlineStr">
        <is>
          <t>0438/26</t>
        </is>
      </c>
      <c r="M3959" s="5">
        <f>IF(YEAR(I3959)&lt;=2020,"Até 2020",TEXT(YEAR(I3959),"0"))</f>
        <v/>
      </c>
      <c r="N3959" s="5">
        <f>IFERROR(INDEX(DePara!$A:$A,MATCH(TEXT(B3959,"0"),DePara!$D:$D,0)),"(sem categoria)")</f>
        <v/>
      </c>
      <c r="O3959" s="5">
        <f>IF(J3959="","",Parametros!$B$6-J3959)</f>
        <v/>
      </c>
      <c r="P3959" s="5">
        <f>IF(O3959="","",IF(O3959&gt;0,1,0))</f>
        <v/>
      </c>
    </row>
    <row r="3960">
      <c r="A3960" s="5" t="n">
        <v>2111000000</v>
      </c>
      <c r="B3960" s="5" t="inlineStr">
        <is>
          <t>102080</t>
        </is>
      </c>
      <c r="C3960" s="5" t="inlineStr">
        <is>
          <t>RECEITA FEDERAL DO BRASIL</t>
        </is>
      </c>
      <c r="D3960" s="5" t="inlineStr">
        <is>
          <t>JP</t>
        </is>
      </c>
      <c r="E3960" s="5" t="n">
        <v>1400002555</v>
      </c>
      <c r="F3960" s="5" t="n"/>
      <c r="G3960" s="5" t="inlineStr">
        <is>
          <t>BRL</t>
        </is>
      </c>
      <c r="H3960" s="9" t="n">
        <v>0</v>
      </c>
      <c r="I3960" s="16" t="n">
        <v>46155</v>
      </c>
      <c r="J3960" s="16" t="n"/>
      <c r="K3960" s="5" t="inlineStr">
        <is>
          <t>Journal Posting OSGT</t>
        </is>
      </c>
      <c r="L3960" s="5" t="inlineStr">
        <is>
          <t>0325/26</t>
        </is>
      </c>
      <c r="M3960" s="5">
        <f>IF(YEAR(I3960)&lt;=2020,"Até 2020",TEXT(YEAR(I3960),"0"))</f>
        <v/>
      </c>
      <c r="N3960" s="5">
        <f>IFERROR(INDEX(DePara!$A:$A,MATCH(TEXT(B3960,"0"),DePara!$D:$D,0)),"(sem categoria)")</f>
        <v/>
      </c>
      <c r="O3960" s="5">
        <f>IF(J3960="","",Parametros!$B$6-J3960)</f>
        <v/>
      </c>
      <c r="P3960" s="5">
        <f>IF(O3960="","",IF(O3960&gt;0,1,0))</f>
        <v/>
      </c>
    </row>
    <row r="3961">
      <c r="A3961" s="5" t="n">
        <v>2111000000</v>
      </c>
      <c r="B3961" s="5" t="inlineStr">
        <is>
          <t>102080</t>
        </is>
      </c>
      <c r="C3961" s="5" t="inlineStr">
        <is>
          <t>RECEITA FEDERAL DO BRASIL</t>
        </is>
      </c>
      <c r="D3961" s="5" t="inlineStr">
        <is>
          <t>JP</t>
        </is>
      </c>
      <c r="E3961" s="5" t="n">
        <v>1400002573</v>
      </c>
      <c r="F3961" s="5" t="inlineStr">
        <is>
          <t>0000218921</t>
        </is>
      </c>
      <c r="G3961" s="5" t="inlineStr">
        <is>
          <t>BRL</t>
        </is>
      </c>
      <c r="H3961" s="9" t="n">
        <v>0</v>
      </c>
      <c r="I3961" s="16" t="n">
        <v>46204</v>
      </c>
      <c r="J3961" s="16" t="n"/>
      <c r="K3961" s="5" t="inlineStr">
        <is>
          <t>Journal Posting OSGT  0000218921</t>
        </is>
      </c>
      <c r="L3961" s="5" t="inlineStr">
        <is>
          <t>0406/26</t>
        </is>
      </c>
      <c r="M3961" s="5">
        <f>IF(YEAR(I3961)&lt;=2020,"Até 2020",TEXT(YEAR(I3961),"0"))</f>
        <v/>
      </c>
      <c r="N3961" s="5">
        <f>IFERROR(INDEX(DePara!$A:$A,MATCH(TEXT(B3961,"0"),DePara!$D:$D,0)),"(sem categoria)")</f>
        <v/>
      </c>
      <c r="O3961" s="5">
        <f>IF(J3961="","",Parametros!$B$6-J3961)</f>
        <v/>
      </c>
      <c r="P3961" s="5">
        <f>IF(O3961="","",IF(O3961&gt;0,1,0))</f>
        <v/>
      </c>
    </row>
    <row r="3962">
      <c r="A3962" s="5" t="n">
        <v>2111000000</v>
      </c>
      <c r="B3962" s="5" t="inlineStr">
        <is>
          <t>102080</t>
        </is>
      </c>
      <c r="C3962" s="5" t="inlineStr">
        <is>
          <t>RECEITA FEDERAL DO BRASIL</t>
        </is>
      </c>
      <c r="D3962" s="5" t="inlineStr">
        <is>
          <t>JP</t>
        </is>
      </c>
      <c r="E3962" s="5" t="n">
        <v>1400002577</v>
      </c>
      <c r="F3962" s="5" t="inlineStr">
        <is>
          <t>0000217774</t>
        </is>
      </c>
      <c r="G3962" s="5" t="inlineStr">
        <is>
          <t>BRL</t>
        </is>
      </c>
      <c r="H3962" s="9" t="n">
        <v>0</v>
      </c>
      <c r="I3962" s="16" t="n">
        <v>46164</v>
      </c>
      <c r="J3962" s="16" t="n"/>
      <c r="K3962" s="5" t="inlineStr">
        <is>
          <t>Journal Posting OSGT  0000217774</t>
        </is>
      </c>
      <c r="L3962" s="5" t="inlineStr">
        <is>
          <t>0364/26</t>
        </is>
      </c>
      <c r="M3962" s="5">
        <f>IF(YEAR(I3962)&lt;=2020,"Até 2020",TEXT(YEAR(I3962),"0"))</f>
        <v/>
      </c>
      <c r="N3962" s="5">
        <f>IFERROR(INDEX(DePara!$A:$A,MATCH(TEXT(B3962,"0"),DePara!$D:$D,0)),"(sem categoria)")</f>
        <v/>
      </c>
      <c r="O3962" s="5">
        <f>IF(J3962="","",Parametros!$B$6-J3962)</f>
        <v/>
      </c>
      <c r="P3962" s="5">
        <f>IF(O3962="","",IF(O3962&gt;0,1,0))</f>
        <v/>
      </c>
    </row>
    <row r="3963">
      <c r="A3963" s="5" t="n">
        <v>2111000000</v>
      </c>
      <c r="B3963" s="5" t="inlineStr">
        <is>
          <t>102080</t>
        </is>
      </c>
      <c r="C3963" s="5" t="inlineStr">
        <is>
          <t>RECEITA FEDERAL DO BRASIL</t>
        </is>
      </c>
      <c r="D3963" s="5" t="inlineStr">
        <is>
          <t>JP</t>
        </is>
      </c>
      <c r="E3963" s="5" t="n">
        <v>1400002595</v>
      </c>
      <c r="F3963" s="5" t="inlineStr">
        <is>
          <t>0000218688</t>
        </is>
      </c>
      <c r="G3963" s="5" t="inlineStr">
        <is>
          <t>BRL</t>
        </is>
      </c>
      <c r="H3963" s="9" t="n">
        <v>0</v>
      </c>
      <c r="I3963" s="16" t="n">
        <v>46198</v>
      </c>
      <c r="J3963" s="16" t="n"/>
      <c r="K3963" s="5" t="inlineStr">
        <is>
          <t>Journal Posting OSGT  0000218688</t>
        </is>
      </c>
      <c r="L3963" s="5" t="inlineStr">
        <is>
          <t>0388/26</t>
        </is>
      </c>
      <c r="M3963" s="5">
        <f>IF(YEAR(I3963)&lt;=2020,"Até 2020",TEXT(YEAR(I3963),"0"))</f>
        <v/>
      </c>
      <c r="N3963" s="5">
        <f>IFERROR(INDEX(DePara!$A:$A,MATCH(TEXT(B3963,"0"),DePara!$D:$D,0)),"(sem categoria)")</f>
        <v/>
      </c>
      <c r="O3963" s="5">
        <f>IF(J3963="","",Parametros!$B$6-J3963)</f>
        <v/>
      </c>
      <c r="P3963" s="5">
        <f>IF(O3963="","",IF(O3963&gt;0,1,0))</f>
        <v/>
      </c>
    </row>
    <row r="3964">
      <c r="A3964" s="5" t="n">
        <v>2111000000</v>
      </c>
      <c r="B3964" s="5" t="inlineStr">
        <is>
          <t>102080</t>
        </is>
      </c>
      <c r="C3964" s="5" t="inlineStr">
        <is>
          <t>RECEITA FEDERAL DO BRASIL</t>
        </is>
      </c>
      <c r="D3964" s="5" t="inlineStr">
        <is>
          <t>JP</t>
        </is>
      </c>
      <c r="E3964" s="5" t="n">
        <v>1400002622</v>
      </c>
      <c r="F3964" s="5" t="inlineStr">
        <is>
          <t>0000221252</t>
        </is>
      </c>
      <c r="G3964" s="5" t="inlineStr">
        <is>
          <t>BRL</t>
        </is>
      </c>
      <c r="H3964" s="9" t="n">
        <v>0</v>
      </c>
      <c r="I3964" s="16" t="n">
        <v>46216</v>
      </c>
      <c r="J3964" s="16" t="n"/>
      <c r="K3964" s="5" t="inlineStr">
        <is>
          <t>Journal Posting OSGT  0000221252</t>
        </is>
      </c>
      <c r="L3964" s="5" t="inlineStr">
        <is>
          <t>0444/26</t>
        </is>
      </c>
      <c r="M3964" s="5">
        <f>IF(YEAR(I3964)&lt;=2020,"Até 2020",TEXT(YEAR(I3964),"0"))</f>
        <v/>
      </c>
      <c r="N3964" s="5">
        <f>IFERROR(INDEX(DePara!$A:$A,MATCH(TEXT(B3964,"0"),DePara!$D:$D,0)),"(sem categoria)")</f>
        <v/>
      </c>
      <c r="O3964" s="5">
        <f>IF(J3964="","",Parametros!$B$6-J3964)</f>
        <v/>
      </c>
      <c r="P3964" s="5">
        <f>IF(O3964="","",IF(O3964&gt;0,1,0))</f>
        <v/>
      </c>
    </row>
    <row r="3965">
      <c r="A3965" s="5" t="n">
        <v>2111000000</v>
      </c>
      <c r="B3965" s="5" t="inlineStr">
        <is>
          <t>102080</t>
        </is>
      </c>
      <c r="C3965" s="5" t="inlineStr">
        <is>
          <t>RECEITA FEDERAL DO BRASIL</t>
        </is>
      </c>
      <c r="D3965" s="5" t="inlineStr">
        <is>
          <t>JP</t>
        </is>
      </c>
      <c r="E3965" s="5" t="n">
        <v>1400002664</v>
      </c>
      <c r="F3965" s="5" t="inlineStr">
        <is>
          <t>0000219671</t>
        </is>
      </c>
      <c r="G3965" s="5" t="inlineStr">
        <is>
          <t>BRL</t>
        </is>
      </c>
      <c r="H3965" s="9" t="n">
        <v>0</v>
      </c>
      <c r="I3965" s="16" t="n">
        <v>46197</v>
      </c>
      <c r="J3965" s="16" t="n"/>
      <c r="K3965" s="5" t="inlineStr">
        <is>
          <t>Journal Posting OSGT  0000219671</t>
        </is>
      </c>
      <c r="L3965" s="5" t="inlineStr">
        <is>
          <t>0423/26</t>
        </is>
      </c>
      <c r="M3965" s="5">
        <f>IF(YEAR(I3965)&lt;=2020,"Até 2020",TEXT(YEAR(I3965),"0"))</f>
        <v/>
      </c>
      <c r="N3965" s="5">
        <f>IFERROR(INDEX(DePara!$A:$A,MATCH(TEXT(B3965,"0"),DePara!$D:$D,0)),"(sem categoria)")</f>
        <v/>
      </c>
      <c r="O3965" s="5">
        <f>IF(J3965="","",Parametros!$B$6-J3965)</f>
        <v/>
      </c>
      <c r="P3965" s="5">
        <f>IF(O3965="","",IF(O3965&gt;0,1,0))</f>
        <v/>
      </c>
    </row>
    <row r="3966">
      <c r="A3966" s="5" t="n">
        <v>2111000000</v>
      </c>
      <c r="B3966" s="5" t="inlineStr">
        <is>
          <t>102080</t>
        </is>
      </c>
      <c r="C3966" s="5" t="inlineStr">
        <is>
          <t>RECEITA FEDERAL DO BRASIL</t>
        </is>
      </c>
      <c r="D3966" s="5" t="inlineStr">
        <is>
          <t>JP</t>
        </is>
      </c>
      <c r="E3966" s="5" t="n">
        <v>1400002675</v>
      </c>
      <c r="F3966" s="5" t="inlineStr">
        <is>
          <t>0000221977</t>
        </is>
      </c>
      <c r="G3966" s="5" t="inlineStr">
        <is>
          <t>BRL</t>
        </is>
      </c>
      <c r="H3966" s="9" t="n">
        <v>0</v>
      </c>
      <c r="I3966" s="16" t="n">
        <v>46226</v>
      </c>
      <c r="J3966" s="16" t="n"/>
      <c r="K3966" s="5" t="inlineStr">
        <is>
          <t>Journal Posting OSGT  0000221977</t>
        </is>
      </c>
      <c r="L3966" s="5" t="inlineStr">
        <is>
          <t>0341/26</t>
        </is>
      </c>
      <c r="M3966" s="5">
        <f>IF(YEAR(I3966)&lt;=2020,"Até 2020",TEXT(YEAR(I3966),"0"))</f>
        <v/>
      </c>
      <c r="N3966" s="5">
        <f>IFERROR(INDEX(DePara!$A:$A,MATCH(TEXT(B3966,"0"),DePara!$D:$D,0)),"(sem categoria)")</f>
        <v/>
      </c>
      <c r="O3966" s="5">
        <f>IF(J3966="","",Parametros!$B$6-J3966)</f>
        <v/>
      </c>
      <c r="P3966" s="5">
        <f>IF(O3966="","",IF(O3966&gt;0,1,0))</f>
        <v/>
      </c>
    </row>
    <row r="3967">
      <c r="A3967" s="5" t="n">
        <v>2111000000</v>
      </c>
      <c r="B3967" s="5" t="inlineStr">
        <is>
          <t>102080</t>
        </is>
      </c>
      <c r="C3967" s="5" t="inlineStr">
        <is>
          <t>RECEITA FEDERAL DO BRASIL</t>
        </is>
      </c>
      <c r="D3967" s="5" t="inlineStr">
        <is>
          <t>JP</t>
        </is>
      </c>
      <c r="E3967" s="5" t="n">
        <v>1400002678</v>
      </c>
      <c r="F3967" s="5" t="inlineStr">
        <is>
          <t>0000221436</t>
        </is>
      </c>
      <c r="G3967" s="5" t="inlineStr">
        <is>
          <t>BRL</t>
        </is>
      </c>
      <c r="H3967" s="9" t="n">
        <v>0</v>
      </c>
      <c r="I3967" s="16" t="n">
        <v>46219</v>
      </c>
      <c r="J3967" s="16" t="n"/>
      <c r="K3967" s="5" t="inlineStr">
        <is>
          <t>Journal Posting OSGT  0000221436</t>
        </is>
      </c>
      <c r="L3967" s="5" t="inlineStr">
        <is>
          <t>0464/26</t>
        </is>
      </c>
      <c r="M3967" s="5">
        <f>IF(YEAR(I3967)&lt;=2020,"Até 2020",TEXT(YEAR(I3967),"0"))</f>
        <v/>
      </c>
      <c r="N3967" s="5">
        <f>IFERROR(INDEX(DePara!$A:$A,MATCH(TEXT(B3967,"0"),DePara!$D:$D,0)),"(sem categoria)")</f>
        <v/>
      </c>
      <c r="O3967" s="5">
        <f>IF(J3967="","",Parametros!$B$6-J3967)</f>
        <v/>
      </c>
      <c r="P3967" s="5">
        <f>IF(O3967="","",IF(O3967&gt;0,1,0))</f>
        <v/>
      </c>
    </row>
    <row r="3968">
      <c r="A3968" s="5" t="n">
        <v>2111000000</v>
      </c>
      <c r="B3968" s="5" t="inlineStr">
        <is>
          <t>102080</t>
        </is>
      </c>
      <c r="C3968" s="5" t="inlineStr">
        <is>
          <t>RECEITA FEDERAL DO BRASIL</t>
        </is>
      </c>
      <c r="D3968" s="5" t="inlineStr">
        <is>
          <t>JP</t>
        </is>
      </c>
      <c r="E3968" s="5" t="n">
        <v>1400002697</v>
      </c>
      <c r="F3968" s="5" t="inlineStr">
        <is>
          <t>0000221948</t>
        </is>
      </c>
      <c r="G3968" s="5" t="inlineStr">
        <is>
          <t>BRL</t>
        </is>
      </c>
      <c r="H3968" s="9" t="n">
        <v>0</v>
      </c>
      <c r="I3968" s="16" t="n">
        <v>46217</v>
      </c>
      <c r="J3968" s="16" t="n"/>
      <c r="K3968" s="5" t="inlineStr">
        <is>
          <t>Journal Posting OSGT  0000221948</t>
        </is>
      </c>
      <c r="L3968" s="5" t="inlineStr">
        <is>
          <t>0474/26</t>
        </is>
      </c>
      <c r="M3968" s="5">
        <f>IF(YEAR(I3968)&lt;=2020,"Até 2020",TEXT(YEAR(I3968),"0"))</f>
        <v/>
      </c>
      <c r="N3968" s="5">
        <f>IFERROR(INDEX(DePara!$A:$A,MATCH(TEXT(B3968,"0"),DePara!$D:$D,0)),"(sem categoria)")</f>
        <v/>
      </c>
      <c r="O3968" s="5">
        <f>IF(J3968="","",Parametros!$B$6-J3968)</f>
        <v/>
      </c>
      <c r="P3968" s="5">
        <f>IF(O3968="","",IF(O3968&gt;0,1,0))</f>
        <v/>
      </c>
    </row>
    <row r="3969">
      <c r="A3969" s="5" t="n">
        <v>2111000000</v>
      </c>
      <c r="B3969" s="5" t="inlineStr">
        <is>
          <t>102080</t>
        </is>
      </c>
      <c r="C3969" s="5" t="inlineStr">
        <is>
          <t>RECEITA FEDERAL DO BRASIL</t>
        </is>
      </c>
      <c r="D3969" s="5" t="inlineStr">
        <is>
          <t>JP</t>
        </is>
      </c>
      <c r="E3969" s="5" t="n">
        <v>1400002701</v>
      </c>
      <c r="F3969" s="5" t="inlineStr">
        <is>
          <t>0000221215</t>
        </is>
      </c>
      <c r="G3969" s="5" t="inlineStr">
        <is>
          <t>BRL</t>
        </is>
      </c>
      <c r="H3969" s="9" t="n">
        <v>0</v>
      </c>
      <c r="I3969" s="16" t="n">
        <v>46213</v>
      </c>
      <c r="J3969" s="16" t="n"/>
      <c r="K3969" s="5" t="inlineStr">
        <is>
          <t>Journal Posting OSGT  0000221215</t>
        </is>
      </c>
      <c r="L3969" s="5" t="inlineStr">
        <is>
          <t>0412/26</t>
        </is>
      </c>
      <c r="M3969" s="5">
        <f>IF(YEAR(I3969)&lt;=2020,"Até 2020",TEXT(YEAR(I3969),"0"))</f>
        <v/>
      </c>
      <c r="N3969" s="5">
        <f>IFERROR(INDEX(DePara!$A:$A,MATCH(TEXT(B3969,"0"),DePara!$D:$D,0)),"(sem categoria)")</f>
        <v/>
      </c>
      <c r="O3969" s="5">
        <f>IF(J3969="","",Parametros!$B$6-J3969)</f>
        <v/>
      </c>
      <c r="P3969" s="5">
        <f>IF(O3969="","",IF(O3969&gt;0,1,0))</f>
        <v/>
      </c>
    </row>
    <row r="3970">
      <c r="A3970" s="5" t="n">
        <v>2111000000</v>
      </c>
      <c r="B3970" s="5" t="inlineStr">
        <is>
          <t>102080</t>
        </is>
      </c>
      <c r="C3970" s="5" t="inlineStr">
        <is>
          <t>RECEITA FEDERAL DO BRASIL</t>
        </is>
      </c>
      <c r="D3970" s="5" t="inlineStr">
        <is>
          <t>JP</t>
        </is>
      </c>
      <c r="E3970" s="5" t="n">
        <v>1400002705</v>
      </c>
      <c r="F3970" s="5" t="inlineStr">
        <is>
          <t>0000221312</t>
        </is>
      </c>
      <c r="G3970" s="5" t="inlineStr">
        <is>
          <t>BRL</t>
        </is>
      </c>
      <c r="H3970" s="9" t="n">
        <v>0</v>
      </c>
      <c r="I3970" s="16" t="n">
        <v>46209</v>
      </c>
      <c r="J3970" s="16" t="n"/>
      <c r="K3970" s="5" t="inlineStr">
        <is>
          <t>Journal Posting OSGT  0000221312</t>
        </is>
      </c>
      <c r="L3970" s="5" t="inlineStr">
        <is>
          <t>0452/26</t>
        </is>
      </c>
      <c r="M3970" s="5">
        <f>IF(YEAR(I3970)&lt;=2020,"Até 2020",TEXT(YEAR(I3970),"0"))</f>
        <v/>
      </c>
      <c r="N3970" s="5">
        <f>IFERROR(INDEX(DePara!$A:$A,MATCH(TEXT(B3970,"0"),DePara!$D:$D,0)),"(sem categoria)")</f>
        <v/>
      </c>
      <c r="O3970" s="5">
        <f>IF(J3970="","",Parametros!$B$6-J3970)</f>
        <v/>
      </c>
      <c r="P3970" s="5">
        <f>IF(O3970="","",IF(O3970&gt;0,1,0))</f>
        <v/>
      </c>
    </row>
    <row r="3971">
      <c r="A3971" s="5" t="n">
        <v>2111000000</v>
      </c>
      <c r="B3971" s="5" t="inlineStr">
        <is>
          <t>102080</t>
        </is>
      </c>
      <c r="C3971" s="5" t="inlineStr">
        <is>
          <t>RECEITA FEDERAL DO BRASIL</t>
        </is>
      </c>
      <c r="D3971" s="5" t="inlineStr">
        <is>
          <t>JP</t>
        </is>
      </c>
      <c r="E3971" s="5" t="n">
        <v>1400002710</v>
      </c>
      <c r="F3971" s="5" t="inlineStr">
        <is>
          <t>0000218631</t>
        </is>
      </c>
      <c r="G3971" s="5" t="inlineStr">
        <is>
          <t>BRL</t>
        </is>
      </c>
      <c r="H3971" s="9" t="n">
        <v>0</v>
      </c>
      <c r="I3971" s="16" t="n">
        <v>46191</v>
      </c>
      <c r="J3971" s="16" t="n"/>
      <c r="K3971" s="5" t="inlineStr">
        <is>
          <t>Journal Posting OSGT  0000218631</t>
        </is>
      </c>
      <c r="L3971" s="5" t="inlineStr">
        <is>
          <t>0233/26</t>
        </is>
      </c>
      <c r="M3971" s="5">
        <f>IF(YEAR(I3971)&lt;=2020,"Até 2020",TEXT(YEAR(I3971),"0"))</f>
        <v/>
      </c>
      <c r="N3971" s="5">
        <f>IFERROR(INDEX(DePara!$A:$A,MATCH(TEXT(B3971,"0"),DePara!$D:$D,0)),"(sem categoria)")</f>
        <v/>
      </c>
      <c r="O3971" s="5">
        <f>IF(J3971="","",Parametros!$B$6-J3971)</f>
        <v/>
      </c>
      <c r="P3971" s="5">
        <f>IF(O3971="","",IF(O3971&gt;0,1,0))</f>
        <v/>
      </c>
    </row>
    <row r="3972">
      <c r="A3972" s="5" t="n">
        <v>2111000000</v>
      </c>
      <c r="B3972" s="5" t="inlineStr">
        <is>
          <t>102080</t>
        </is>
      </c>
      <c r="C3972" s="5" t="inlineStr">
        <is>
          <t>RECEITA FEDERAL DO BRASIL</t>
        </is>
      </c>
      <c r="D3972" s="5" t="inlineStr">
        <is>
          <t>JP</t>
        </is>
      </c>
      <c r="E3972" s="5" t="n">
        <v>1400002776</v>
      </c>
      <c r="F3972" s="5" t="inlineStr">
        <is>
          <t>0000218886</t>
        </is>
      </c>
      <c r="G3972" s="5" t="inlineStr">
        <is>
          <t>BRL</t>
        </is>
      </c>
      <c r="H3972" s="9" t="n">
        <v>0</v>
      </c>
      <c r="I3972" s="16" t="n">
        <v>46204</v>
      </c>
      <c r="J3972" s="16" t="n"/>
      <c r="K3972" s="5" t="inlineStr">
        <is>
          <t>Journal Posting OSGT  0000218886</t>
        </is>
      </c>
      <c r="L3972" s="5" t="inlineStr">
        <is>
          <t>0232/26</t>
        </is>
      </c>
      <c r="M3972" s="5">
        <f>IF(YEAR(I3972)&lt;=2020,"Até 2020",TEXT(YEAR(I3972),"0"))</f>
        <v/>
      </c>
      <c r="N3972" s="5">
        <f>IFERROR(INDEX(DePara!$A:$A,MATCH(TEXT(B3972,"0"),DePara!$D:$D,0)),"(sem categoria)")</f>
        <v/>
      </c>
      <c r="O3972" s="5">
        <f>IF(J3972="","",Parametros!$B$6-J3972)</f>
        <v/>
      </c>
      <c r="P3972" s="5">
        <f>IF(O3972="","",IF(O3972&gt;0,1,0))</f>
        <v/>
      </c>
    </row>
    <row r="3973">
      <c r="A3973" s="5" t="n">
        <v>2111000000</v>
      </c>
      <c r="B3973" s="5" t="inlineStr">
        <is>
          <t>102080</t>
        </is>
      </c>
      <c r="C3973" s="5" t="inlineStr">
        <is>
          <t>RECEITA FEDERAL DO BRASIL</t>
        </is>
      </c>
      <c r="D3973" s="5" t="inlineStr">
        <is>
          <t>JP</t>
        </is>
      </c>
      <c r="E3973" s="5" t="n">
        <v>1400002779</v>
      </c>
      <c r="F3973" s="5" t="n"/>
      <c r="G3973" s="5" t="inlineStr">
        <is>
          <t>BRL</t>
        </is>
      </c>
      <c r="H3973" s="9" t="n">
        <v>0</v>
      </c>
      <c r="I3973" s="16" t="n">
        <v>46155</v>
      </c>
      <c r="J3973" s="16" t="n"/>
      <c r="K3973" s="5" t="inlineStr">
        <is>
          <t>Journal Posting OSGT</t>
        </is>
      </c>
      <c r="L3973" s="5" t="inlineStr">
        <is>
          <t>0331/26</t>
        </is>
      </c>
      <c r="M3973" s="5">
        <f>IF(YEAR(I3973)&lt;=2020,"Até 2020",TEXT(YEAR(I3973),"0"))</f>
        <v/>
      </c>
      <c r="N3973" s="5">
        <f>IFERROR(INDEX(DePara!$A:$A,MATCH(TEXT(B3973,"0"),DePara!$D:$D,0)),"(sem categoria)")</f>
        <v/>
      </c>
      <c r="O3973" s="5">
        <f>IF(J3973="","",Parametros!$B$6-J3973)</f>
        <v/>
      </c>
      <c r="P3973" s="5">
        <f>IF(O3973="","",IF(O3973&gt;0,1,0))</f>
        <v/>
      </c>
    </row>
    <row r="3974">
      <c r="A3974" s="5" t="n">
        <v>2111000000</v>
      </c>
      <c r="B3974" s="5" t="inlineStr">
        <is>
          <t>102080</t>
        </is>
      </c>
      <c r="C3974" s="5" t="inlineStr">
        <is>
          <t>RECEITA FEDERAL DO BRASIL</t>
        </is>
      </c>
      <c r="D3974" s="5" t="inlineStr">
        <is>
          <t>JP</t>
        </is>
      </c>
      <c r="E3974" s="5" t="n">
        <v>1400002788</v>
      </c>
      <c r="F3974" s="5" t="inlineStr">
        <is>
          <t>0000221239</t>
        </is>
      </c>
      <c r="G3974" s="5" t="inlineStr">
        <is>
          <t>BRL</t>
        </is>
      </c>
      <c r="H3974" s="9" t="n">
        <v>0</v>
      </c>
      <c r="I3974" s="16" t="n">
        <v>46206</v>
      </c>
      <c r="J3974" s="16" t="n"/>
      <c r="K3974" s="5" t="inlineStr">
        <is>
          <t>Journal Posting OSGT  0000221239</t>
        </is>
      </c>
      <c r="L3974" s="5" t="inlineStr">
        <is>
          <t>0337/26</t>
        </is>
      </c>
      <c r="M3974" s="5">
        <f>IF(YEAR(I3974)&lt;=2020,"Até 2020",TEXT(YEAR(I3974),"0"))</f>
        <v/>
      </c>
      <c r="N3974" s="5">
        <f>IFERROR(INDEX(DePara!$A:$A,MATCH(TEXT(B3974,"0"),DePara!$D:$D,0)),"(sem categoria)")</f>
        <v/>
      </c>
      <c r="O3974" s="5">
        <f>IF(J3974="","",Parametros!$B$6-J3974)</f>
        <v/>
      </c>
      <c r="P3974" s="5">
        <f>IF(O3974="","",IF(O3974&gt;0,1,0))</f>
        <v/>
      </c>
    </row>
    <row r="3975">
      <c r="A3975" s="5" t="n">
        <v>2111000000</v>
      </c>
      <c r="B3975" s="5" t="inlineStr">
        <is>
          <t>102080</t>
        </is>
      </c>
      <c r="C3975" s="5" t="inlineStr">
        <is>
          <t>RECEITA FEDERAL DO BRASIL</t>
        </is>
      </c>
      <c r="D3975" s="5" t="inlineStr">
        <is>
          <t>JP</t>
        </is>
      </c>
      <c r="E3975" s="5" t="n">
        <v>1400002813</v>
      </c>
      <c r="F3975" s="5" t="inlineStr">
        <is>
          <t>0000221434</t>
        </is>
      </c>
      <c r="G3975" s="5" t="inlineStr">
        <is>
          <t>BRL</t>
        </is>
      </c>
      <c r="H3975" s="9" t="n">
        <v>0</v>
      </c>
      <c r="I3975" s="16" t="n">
        <v>46219</v>
      </c>
      <c r="J3975" s="16" t="n"/>
      <c r="K3975" s="5" t="inlineStr">
        <is>
          <t>Journal Posting OSGT  0000221434</t>
        </is>
      </c>
      <c r="L3975" s="5" t="inlineStr">
        <is>
          <t>0448/26</t>
        </is>
      </c>
      <c r="M3975" s="5">
        <f>IF(YEAR(I3975)&lt;=2020,"Até 2020",TEXT(YEAR(I3975),"0"))</f>
        <v/>
      </c>
      <c r="N3975" s="5">
        <f>IFERROR(INDEX(DePara!$A:$A,MATCH(TEXT(B3975,"0"),DePara!$D:$D,0)),"(sem categoria)")</f>
        <v/>
      </c>
      <c r="O3975" s="5">
        <f>IF(J3975="","",Parametros!$B$6-J3975)</f>
        <v/>
      </c>
      <c r="P3975" s="5">
        <f>IF(O3975="","",IF(O3975&gt;0,1,0))</f>
        <v/>
      </c>
    </row>
    <row r="3976">
      <c r="A3976" s="5" t="n">
        <v>2111000000</v>
      </c>
      <c r="B3976" s="5" t="inlineStr">
        <is>
          <t>102080</t>
        </is>
      </c>
      <c r="C3976" s="5" t="inlineStr">
        <is>
          <t>RECEITA FEDERAL DO BRASIL</t>
        </is>
      </c>
      <c r="D3976" s="5" t="inlineStr">
        <is>
          <t>JP</t>
        </is>
      </c>
      <c r="E3976" s="5" t="n">
        <v>1400002823</v>
      </c>
      <c r="F3976" s="5" t="inlineStr">
        <is>
          <t>0000221944</t>
        </is>
      </c>
      <c r="G3976" s="5" t="inlineStr">
        <is>
          <t>BRL</t>
        </is>
      </c>
      <c r="H3976" s="9" t="n">
        <v>0</v>
      </c>
      <c r="I3976" s="16" t="n">
        <v>46213</v>
      </c>
      <c r="J3976" s="16" t="n"/>
      <c r="K3976" s="5" t="inlineStr">
        <is>
          <t>Journal Posting OSGT  0000221944</t>
        </is>
      </c>
      <c r="L3976" s="5" t="inlineStr">
        <is>
          <t>0472/26</t>
        </is>
      </c>
      <c r="M3976" s="5">
        <f>IF(YEAR(I3976)&lt;=2020,"Até 2020",TEXT(YEAR(I3976),"0"))</f>
        <v/>
      </c>
      <c r="N3976" s="5">
        <f>IFERROR(INDEX(DePara!$A:$A,MATCH(TEXT(B3976,"0"),DePara!$D:$D,0)),"(sem categoria)")</f>
        <v/>
      </c>
      <c r="O3976" s="5">
        <f>IF(J3976="","",Parametros!$B$6-J3976)</f>
        <v/>
      </c>
      <c r="P3976" s="5">
        <f>IF(O3976="","",IF(O3976&gt;0,1,0))</f>
        <v/>
      </c>
    </row>
    <row r="3977">
      <c r="A3977" s="5" t="n">
        <v>2111000000</v>
      </c>
      <c r="B3977" s="5" t="inlineStr">
        <is>
          <t>102080</t>
        </is>
      </c>
      <c r="C3977" s="5" t="inlineStr">
        <is>
          <t>RECEITA FEDERAL DO BRASIL</t>
        </is>
      </c>
      <c r="D3977" s="5" t="inlineStr">
        <is>
          <t>JP</t>
        </is>
      </c>
      <c r="E3977" s="5" t="n">
        <v>1400002827</v>
      </c>
      <c r="F3977" s="5" t="inlineStr">
        <is>
          <t>0000218854</t>
        </is>
      </c>
      <c r="G3977" s="5" t="inlineStr">
        <is>
          <t>BRL</t>
        </is>
      </c>
      <c r="H3977" s="9" t="n">
        <v>0</v>
      </c>
      <c r="I3977" s="16" t="n">
        <v>46204</v>
      </c>
      <c r="J3977" s="16" t="n"/>
      <c r="K3977" s="5" t="inlineStr">
        <is>
          <t>Journal Posting OSGT  0000218854</t>
        </is>
      </c>
      <c r="L3977" s="5" t="inlineStr">
        <is>
          <t>0227/26</t>
        </is>
      </c>
      <c r="M3977" s="5">
        <f>IF(YEAR(I3977)&lt;=2020,"Até 2020",TEXT(YEAR(I3977),"0"))</f>
        <v/>
      </c>
      <c r="N3977" s="5">
        <f>IFERROR(INDEX(DePara!$A:$A,MATCH(TEXT(B3977,"0"),DePara!$D:$D,0)),"(sem categoria)")</f>
        <v/>
      </c>
      <c r="O3977" s="5">
        <f>IF(J3977="","",Parametros!$B$6-J3977)</f>
        <v/>
      </c>
      <c r="P3977" s="5">
        <f>IF(O3977="","",IF(O3977&gt;0,1,0))</f>
        <v/>
      </c>
    </row>
    <row r="3978">
      <c r="A3978" s="5" t="n">
        <v>2111000000</v>
      </c>
      <c r="B3978" s="5" t="inlineStr">
        <is>
          <t>102080</t>
        </is>
      </c>
      <c r="C3978" s="5" t="inlineStr">
        <is>
          <t>RECEITA FEDERAL DO BRASIL</t>
        </is>
      </c>
      <c r="D3978" s="5" t="inlineStr">
        <is>
          <t>JP</t>
        </is>
      </c>
      <c r="E3978" s="5" t="n">
        <v>1400002855</v>
      </c>
      <c r="F3978" s="5" t="inlineStr">
        <is>
          <t>0000221381</t>
        </is>
      </c>
      <c r="G3978" s="5" t="inlineStr">
        <is>
          <t>BRL</t>
        </is>
      </c>
      <c r="H3978" s="9" t="n">
        <v>0</v>
      </c>
      <c r="I3978" s="16" t="n">
        <v>46218</v>
      </c>
      <c r="J3978" s="16" t="n"/>
      <c r="K3978" s="5" t="inlineStr">
        <is>
          <t>Journal Posting OSGT  0000221381</t>
        </is>
      </c>
      <c r="L3978" s="5" t="inlineStr">
        <is>
          <t>0335/26</t>
        </is>
      </c>
      <c r="M3978" s="5">
        <f>IF(YEAR(I3978)&lt;=2020,"Até 2020",TEXT(YEAR(I3978),"0"))</f>
        <v/>
      </c>
      <c r="N3978" s="5">
        <f>IFERROR(INDEX(DePara!$A:$A,MATCH(TEXT(B3978,"0"),DePara!$D:$D,0)),"(sem categoria)")</f>
        <v/>
      </c>
      <c r="O3978" s="5">
        <f>IF(J3978="","",Parametros!$B$6-J3978)</f>
        <v/>
      </c>
      <c r="P3978" s="5">
        <f>IF(O3978="","",IF(O3978&gt;0,1,0))</f>
        <v/>
      </c>
    </row>
    <row r="3979">
      <c r="A3979" s="5" t="n">
        <v>2111000000</v>
      </c>
      <c r="B3979" s="5" t="inlineStr">
        <is>
          <t>102080</t>
        </is>
      </c>
      <c r="C3979" s="5" t="inlineStr">
        <is>
          <t>RECEITA FEDERAL DO BRASIL</t>
        </is>
      </c>
      <c r="D3979" s="5" t="inlineStr">
        <is>
          <t>JP</t>
        </is>
      </c>
      <c r="E3979" s="5" t="n">
        <v>1400002871</v>
      </c>
      <c r="F3979" s="5" t="inlineStr">
        <is>
          <t>0000221908</t>
        </is>
      </c>
      <c r="G3979" s="5" t="inlineStr">
        <is>
          <t>BRL</t>
        </is>
      </c>
      <c r="H3979" s="9" t="n">
        <v>0</v>
      </c>
      <c r="I3979" s="16" t="n">
        <v>46220</v>
      </c>
      <c r="J3979" s="16" t="n"/>
      <c r="K3979" s="5" t="inlineStr">
        <is>
          <t>Journal Posting OSGT  0000221908</t>
        </is>
      </c>
      <c r="L3979" s="5" t="inlineStr">
        <is>
          <t>0459/26</t>
        </is>
      </c>
      <c r="M3979" s="5">
        <f>IF(YEAR(I3979)&lt;=2020,"Até 2020",TEXT(YEAR(I3979),"0"))</f>
        <v/>
      </c>
      <c r="N3979" s="5">
        <f>IFERROR(INDEX(DePara!$A:$A,MATCH(TEXT(B3979,"0"),DePara!$D:$D,0)),"(sem categoria)")</f>
        <v/>
      </c>
      <c r="O3979" s="5">
        <f>IF(J3979="","",Parametros!$B$6-J3979)</f>
        <v/>
      </c>
      <c r="P3979" s="5">
        <f>IF(O3979="","",IF(O3979&gt;0,1,0))</f>
        <v/>
      </c>
    </row>
    <row r="3980">
      <c r="A3980" s="5" t="n">
        <v>2111000000</v>
      </c>
      <c r="B3980" s="5" t="inlineStr">
        <is>
          <t>102080</t>
        </is>
      </c>
      <c r="C3980" s="5" t="inlineStr">
        <is>
          <t>RECEITA FEDERAL DO BRASIL</t>
        </is>
      </c>
      <c r="D3980" s="5" t="inlineStr">
        <is>
          <t>JP</t>
        </is>
      </c>
      <c r="E3980" s="5" t="n">
        <v>1400002895</v>
      </c>
      <c r="F3980" s="5" t="inlineStr">
        <is>
          <t>0000221936</t>
        </is>
      </c>
      <c r="G3980" s="5" t="inlineStr">
        <is>
          <t>BRL</t>
        </is>
      </c>
      <c r="H3980" s="9" t="n">
        <v>0</v>
      </c>
      <c r="I3980" s="16" t="n">
        <v>46213</v>
      </c>
      <c r="J3980" s="16" t="n"/>
      <c r="K3980" s="5" t="inlineStr">
        <is>
          <t>Journal Posting OSGT  0000221936</t>
        </is>
      </c>
      <c r="L3980" s="5" t="inlineStr">
        <is>
          <t>0469/26</t>
        </is>
      </c>
      <c r="M3980" s="5">
        <f>IF(YEAR(I3980)&lt;=2020,"Até 2020",TEXT(YEAR(I3980),"0"))</f>
        <v/>
      </c>
      <c r="N3980" s="5">
        <f>IFERROR(INDEX(DePara!$A:$A,MATCH(TEXT(B3980,"0"),DePara!$D:$D,0)),"(sem categoria)")</f>
        <v/>
      </c>
      <c r="O3980" s="5">
        <f>IF(J3980="","",Parametros!$B$6-J3980)</f>
        <v/>
      </c>
      <c r="P3980" s="5">
        <f>IF(O3980="","",IF(O3980&gt;0,1,0))</f>
        <v/>
      </c>
    </row>
    <row r="3981">
      <c r="A3981" s="5" t="n">
        <v>2111000000</v>
      </c>
      <c r="B3981" s="5" t="inlineStr">
        <is>
          <t>102080</t>
        </is>
      </c>
      <c r="C3981" s="5" t="inlineStr">
        <is>
          <t>RECEITA FEDERAL DO BRASIL</t>
        </is>
      </c>
      <c r="D3981" s="5" t="inlineStr">
        <is>
          <t>JP</t>
        </is>
      </c>
      <c r="E3981" s="5" t="n">
        <v>1400002902</v>
      </c>
      <c r="F3981" s="5" t="inlineStr">
        <is>
          <t>0000218826</t>
        </is>
      </c>
      <c r="G3981" s="5" t="inlineStr">
        <is>
          <t>BRL</t>
        </is>
      </c>
      <c r="H3981" s="9" t="n">
        <v>0</v>
      </c>
      <c r="I3981" s="16" t="n">
        <v>46191</v>
      </c>
      <c r="J3981" s="16" t="n"/>
      <c r="K3981" s="5" t="inlineStr">
        <is>
          <t>Journal Posting OSGT  0000218826</t>
        </is>
      </c>
      <c r="L3981" s="5" t="inlineStr">
        <is>
          <t>0234/26</t>
        </is>
      </c>
      <c r="M3981" s="5">
        <f>IF(YEAR(I3981)&lt;=2020,"Até 2020",TEXT(YEAR(I3981),"0"))</f>
        <v/>
      </c>
      <c r="N3981" s="5">
        <f>IFERROR(INDEX(DePara!$A:$A,MATCH(TEXT(B3981,"0"),DePara!$D:$D,0)),"(sem categoria)")</f>
        <v/>
      </c>
      <c r="O3981" s="5">
        <f>IF(J3981="","",Parametros!$B$6-J3981)</f>
        <v/>
      </c>
      <c r="P3981" s="5">
        <f>IF(O3981="","",IF(O3981&gt;0,1,0))</f>
        <v/>
      </c>
    </row>
    <row r="3982">
      <c r="A3982" s="5" t="n">
        <v>2111000000</v>
      </c>
      <c r="B3982" s="5" t="inlineStr">
        <is>
          <t>102080</t>
        </is>
      </c>
      <c r="C3982" s="5" t="inlineStr">
        <is>
          <t>RECEITA FEDERAL DO BRASIL</t>
        </is>
      </c>
      <c r="D3982" s="5" t="inlineStr">
        <is>
          <t>JP</t>
        </is>
      </c>
      <c r="E3982" s="5" t="n">
        <v>1400002904</v>
      </c>
      <c r="F3982" s="5" t="inlineStr">
        <is>
          <t>0000221408</t>
        </is>
      </c>
      <c r="G3982" s="5" t="inlineStr">
        <is>
          <t>BRL</t>
        </is>
      </c>
      <c r="H3982" s="9" t="n">
        <v>0</v>
      </c>
      <c r="I3982" s="16" t="n">
        <v>46211</v>
      </c>
      <c r="J3982" s="16" t="n"/>
      <c r="K3982" s="5" t="inlineStr">
        <is>
          <t>Journal Posting OSGT  0000221408</t>
        </is>
      </c>
      <c r="L3982" s="5" t="inlineStr">
        <is>
          <t>0465/26</t>
        </is>
      </c>
      <c r="M3982" s="5">
        <f>IF(YEAR(I3982)&lt;=2020,"Até 2020",TEXT(YEAR(I3982),"0"))</f>
        <v/>
      </c>
      <c r="N3982" s="5">
        <f>IFERROR(INDEX(DePara!$A:$A,MATCH(TEXT(B3982,"0"),DePara!$D:$D,0)),"(sem categoria)")</f>
        <v/>
      </c>
      <c r="O3982" s="5">
        <f>IF(J3982="","",Parametros!$B$6-J3982)</f>
        <v/>
      </c>
      <c r="P3982" s="5">
        <f>IF(O3982="","",IF(O3982&gt;0,1,0))</f>
        <v/>
      </c>
    </row>
    <row r="3983">
      <c r="A3983" s="5" t="n">
        <v>2111000000</v>
      </c>
      <c r="B3983" s="5" t="inlineStr">
        <is>
          <t>102080</t>
        </is>
      </c>
      <c r="C3983" s="5" t="inlineStr">
        <is>
          <t>RECEITA FEDERAL DO BRASIL</t>
        </is>
      </c>
      <c r="D3983" s="5" t="inlineStr">
        <is>
          <t>JP</t>
        </is>
      </c>
      <c r="E3983" s="5" t="n">
        <v>1400002922</v>
      </c>
      <c r="F3983" s="5" t="inlineStr">
        <is>
          <t>0000221230</t>
        </is>
      </c>
      <c r="G3983" s="5" t="inlineStr">
        <is>
          <t>BRL</t>
        </is>
      </c>
      <c r="H3983" s="9" t="n">
        <v>0</v>
      </c>
      <c r="I3983" s="16" t="n">
        <v>46206</v>
      </c>
      <c r="J3983" s="16" t="n"/>
      <c r="K3983" s="5" t="inlineStr">
        <is>
          <t>Journal Posting OSGT  0000221230</t>
        </is>
      </c>
      <c r="L3983" s="5" t="inlineStr">
        <is>
          <t>0336/26</t>
        </is>
      </c>
      <c r="M3983" s="5">
        <f>IF(YEAR(I3983)&lt;=2020,"Até 2020",TEXT(YEAR(I3983),"0"))</f>
        <v/>
      </c>
      <c r="N3983" s="5">
        <f>IFERROR(INDEX(DePara!$A:$A,MATCH(TEXT(B3983,"0"),DePara!$D:$D,0)),"(sem categoria)")</f>
        <v/>
      </c>
      <c r="O3983" s="5">
        <f>IF(J3983="","",Parametros!$B$6-J3983)</f>
        <v/>
      </c>
      <c r="P3983" s="5">
        <f>IF(O3983="","",IF(O3983&gt;0,1,0))</f>
        <v/>
      </c>
    </row>
    <row r="3984">
      <c r="A3984" s="5" t="n">
        <v>2111000000</v>
      </c>
      <c r="B3984" s="5" t="inlineStr">
        <is>
          <t>102080</t>
        </is>
      </c>
      <c r="C3984" s="5" t="inlineStr">
        <is>
          <t>RECEITA FEDERAL DO BRASIL</t>
        </is>
      </c>
      <c r="D3984" s="5" t="inlineStr">
        <is>
          <t>JP</t>
        </is>
      </c>
      <c r="E3984" s="5" t="n">
        <v>1400003066</v>
      </c>
      <c r="F3984" s="5" t="inlineStr">
        <is>
          <t>0000223085</t>
        </is>
      </c>
      <c r="G3984" s="5" t="inlineStr">
        <is>
          <t>BRL</t>
        </is>
      </c>
      <c r="H3984" s="9" t="n">
        <v>0</v>
      </c>
      <c r="I3984" s="16" t="n">
        <v>46237</v>
      </c>
      <c r="J3984" s="16" t="n"/>
      <c r="K3984" s="5" t="inlineStr">
        <is>
          <t>Journal Posting OSGT  0000223085</t>
        </is>
      </c>
      <c r="L3984" s="5" t="inlineStr">
        <is>
          <t>0494/26</t>
        </is>
      </c>
      <c r="M3984" s="5">
        <f>IF(YEAR(I3984)&lt;=2020,"Até 2020",TEXT(YEAR(I3984),"0"))</f>
        <v/>
      </c>
      <c r="N3984" s="5">
        <f>IFERROR(INDEX(DePara!$A:$A,MATCH(TEXT(B3984,"0"),DePara!$D:$D,0)),"(sem categoria)")</f>
        <v/>
      </c>
      <c r="O3984" s="5">
        <f>IF(J3984="","",Parametros!$B$6-J3984)</f>
        <v/>
      </c>
      <c r="P3984" s="5">
        <f>IF(O3984="","",IF(O3984&gt;0,1,0))</f>
        <v/>
      </c>
    </row>
    <row r="3985">
      <c r="A3985" s="5" t="n">
        <v>2111000000</v>
      </c>
      <c r="B3985" s="5" t="inlineStr">
        <is>
          <t>102080</t>
        </is>
      </c>
      <c r="C3985" s="5" t="inlineStr">
        <is>
          <t>RECEITA FEDERAL DO BRASIL</t>
        </is>
      </c>
      <c r="D3985" s="5" t="inlineStr">
        <is>
          <t>JP</t>
        </is>
      </c>
      <c r="E3985" s="5" t="n">
        <v>1400003176</v>
      </c>
      <c r="F3985" s="5" t="inlineStr">
        <is>
          <t>0000225200</t>
        </is>
      </c>
      <c r="G3985" s="5" t="inlineStr">
        <is>
          <t>BRL</t>
        </is>
      </c>
      <c r="H3985" s="9" t="n">
        <v>0</v>
      </c>
      <c r="I3985" s="16" t="n">
        <v>46237</v>
      </c>
      <c r="J3985" s="16" t="n"/>
      <c r="K3985" s="5" t="inlineStr">
        <is>
          <t>Journal Posting OSGT  0000225200</t>
        </is>
      </c>
      <c r="L3985" s="5" t="inlineStr">
        <is>
          <t>0513/26</t>
        </is>
      </c>
      <c r="M3985" s="5">
        <f>IF(YEAR(I3985)&lt;=2020,"Até 2020",TEXT(YEAR(I3985),"0"))</f>
        <v/>
      </c>
      <c r="N3985" s="5">
        <f>IFERROR(INDEX(DePara!$A:$A,MATCH(TEXT(B3985,"0"),DePara!$D:$D,0)),"(sem categoria)")</f>
        <v/>
      </c>
      <c r="O3985" s="5">
        <f>IF(J3985="","",Parametros!$B$6-J3985)</f>
        <v/>
      </c>
      <c r="P3985" s="5">
        <f>IF(O3985="","",IF(O3985&gt;0,1,0))</f>
        <v/>
      </c>
    </row>
    <row r="3986">
      <c r="A3986" s="5" t="n">
        <v>2111000000</v>
      </c>
      <c r="B3986" s="5" t="inlineStr">
        <is>
          <t>102080</t>
        </is>
      </c>
      <c r="C3986" s="5" t="inlineStr">
        <is>
          <t>RECEITA FEDERAL DO BRASIL</t>
        </is>
      </c>
      <c r="D3986" s="5" t="inlineStr">
        <is>
          <t>JP</t>
        </is>
      </c>
      <c r="E3986" s="5" t="n">
        <v>1400003185</v>
      </c>
      <c r="F3986" s="5" t="n"/>
      <c r="G3986" s="5" t="inlineStr">
        <is>
          <t>BRL</t>
        </is>
      </c>
      <c r="H3986" s="9" t="n">
        <v>0</v>
      </c>
      <c r="I3986" s="16" t="n">
        <v>46206</v>
      </c>
      <c r="J3986" s="16" t="n"/>
      <c r="K3986" s="5" t="inlineStr">
        <is>
          <t>Journal Posting OSGT</t>
        </is>
      </c>
      <c r="L3986" s="5" t="inlineStr">
        <is>
          <t>0447/26</t>
        </is>
      </c>
      <c r="M3986" s="5">
        <f>IF(YEAR(I3986)&lt;=2020,"Até 2020",TEXT(YEAR(I3986),"0"))</f>
        <v/>
      </c>
      <c r="N3986" s="5">
        <f>IFERROR(INDEX(DePara!$A:$A,MATCH(TEXT(B3986,"0"),DePara!$D:$D,0)),"(sem categoria)")</f>
        <v/>
      </c>
      <c r="O3986" s="5">
        <f>IF(J3986="","",Parametros!$B$6-J3986)</f>
        <v/>
      </c>
      <c r="P3986" s="5">
        <f>IF(O3986="","",IF(O3986&gt;0,1,0))</f>
        <v/>
      </c>
    </row>
    <row r="3987">
      <c r="A3987" s="5" t="n">
        <v>2111000000</v>
      </c>
      <c r="B3987" s="5" t="inlineStr">
        <is>
          <t>102080</t>
        </is>
      </c>
      <c r="C3987" s="5" t="inlineStr">
        <is>
          <t>RECEITA FEDERAL DO BRASIL</t>
        </is>
      </c>
      <c r="D3987" s="5" t="inlineStr">
        <is>
          <t>JP</t>
        </is>
      </c>
      <c r="E3987" s="5" t="n">
        <v>1400003193</v>
      </c>
      <c r="F3987" s="5" t="inlineStr">
        <is>
          <t>0000221302</t>
        </is>
      </c>
      <c r="G3987" s="5" t="inlineStr">
        <is>
          <t>BRL</t>
        </is>
      </c>
      <c r="H3987" s="9" t="n">
        <v>0</v>
      </c>
      <c r="I3987" s="16" t="n">
        <v>46216</v>
      </c>
      <c r="J3987" s="16" t="n"/>
      <c r="K3987" s="5" t="inlineStr">
        <is>
          <t>Journal Posting OSGT  0000221302</t>
        </is>
      </c>
      <c r="L3987" s="5" t="inlineStr">
        <is>
          <t>0334/26</t>
        </is>
      </c>
      <c r="M3987" s="5">
        <f>IF(YEAR(I3987)&lt;=2020,"Até 2020",TEXT(YEAR(I3987),"0"))</f>
        <v/>
      </c>
      <c r="N3987" s="5">
        <f>IFERROR(INDEX(DePara!$A:$A,MATCH(TEXT(B3987,"0"),DePara!$D:$D,0)),"(sem categoria)")</f>
        <v/>
      </c>
      <c r="O3987" s="5">
        <f>IF(J3987="","",Parametros!$B$6-J3987)</f>
        <v/>
      </c>
      <c r="P3987" s="5">
        <f>IF(O3987="","",IF(O3987&gt;0,1,0))</f>
        <v/>
      </c>
    </row>
    <row r="3988">
      <c r="A3988" s="5" t="n">
        <v>2111000000</v>
      </c>
      <c r="B3988" s="5" t="inlineStr">
        <is>
          <t>102080</t>
        </is>
      </c>
      <c r="C3988" s="5" t="inlineStr">
        <is>
          <t>RECEITA FEDERAL DO BRASIL</t>
        </is>
      </c>
      <c r="D3988" s="5" t="inlineStr">
        <is>
          <t>JP</t>
        </is>
      </c>
      <c r="E3988" s="5" t="n">
        <v>1400003230</v>
      </c>
      <c r="F3988" s="5" t="inlineStr">
        <is>
          <t>0000225751</t>
        </is>
      </c>
      <c r="G3988" s="5" t="inlineStr">
        <is>
          <t>BRL</t>
        </is>
      </c>
      <c r="H3988" s="9" t="n">
        <v>0</v>
      </c>
      <c r="I3988" s="16" t="n">
        <v>46252</v>
      </c>
      <c r="J3988" s="16" t="n"/>
      <c r="K3988" s="5" t="inlineStr">
        <is>
          <t>Journal Posting OSGT  0000225751</t>
        </is>
      </c>
      <c r="L3988" s="5" t="inlineStr">
        <is>
          <t>0523/26</t>
        </is>
      </c>
      <c r="M3988" s="5">
        <f>IF(YEAR(I3988)&lt;=2020,"Até 2020",TEXT(YEAR(I3988),"0"))</f>
        <v/>
      </c>
      <c r="N3988" s="5">
        <f>IFERROR(INDEX(DePara!$A:$A,MATCH(TEXT(B3988,"0"),DePara!$D:$D,0)),"(sem categoria)")</f>
        <v/>
      </c>
      <c r="O3988" s="5">
        <f>IF(J3988="","",Parametros!$B$6-J3988)</f>
        <v/>
      </c>
      <c r="P3988" s="5">
        <f>IF(O3988="","",IF(O3988&gt;0,1,0))</f>
        <v/>
      </c>
    </row>
    <row r="3989">
      <c r="A3989" s="5" t="n">
        <v>2111000000</v>
      </c>
      <c r="B3989" s="5" t="inlineStr">
        <is>
          <t>102080</t>
        </is>
      </c>
      <c r="C3989" s="5" t="inlineStr">
        <is>
          <t>RECEITA FEDERAL DO BRASIL</t>
        </is>
      </c>
      <c r="D3989" s="5" t="inlineStr">
        <is>
          <t>JP</t>
        </is>
      </c>
      <c r="E3989" s="5" t="n">
        <v>1400003237</v>
      </c>
      <c r="F3989" s="5" t="inlineStr">
        <is>
          <t>0000223099</t>
        </is>
      </c>
      <c r="G3989" s="5" t="inlineStr">
        <is>
          <t>BRL</t>
        </is>
      </c>
      <c r="H3989" s="9" t="n">
        <v>0</v>
      </c>
      <c r="I3989" s="16" t="n">
        <v>46232</v>
      </c>
      <c r="J3989" s="16" t="n"/>
      <c r="K3989" s="5" t="inlineStr">
        <is>
          <t>Journal Posting OSGT  0000223099</t>
        </is>
      </c>
      <c r="L3989" s="5" t="inlineStr">
        <is>
          <t>0499/26</t>
        </is>
      </c>
      <c r="M3989" s="5">
        <f>IF(YEAR(I3989)&lt;=2020,"Até 2020",TEXT(YEAR(I3989),"0"))</f>
        <v/>
      </c>
      <c r="N3989" s="5">
        <f>IFERROR(INDEX(DePara!$A:$A,MATCH(TEXT(B3989,"0"),DePara!$D:$D,0)),"(sem categoria)")</f>
        <v/>
      </c>
      <c r="O3989" s="5">
        <f>IF(J3989="","",Parametros!$B$6-J3989)</f>
        <v/>
      </c>
      <c r="P3989" s="5">
        <f>IF(O3989="","",IF(O3989&gt;0,1,0))</f>
        <v/>
      </c>
    </row>
    <row r="3990">
      <c r="A3990" s="5" t="n">
        <v>2111000000</v>
      </c>
      <c r="B3990" s="5" t="inlineStr">
        <is>
          <t>102080</t>
        </is>
      </c>
      <c r="C3990" s="5" t="inlineStr">
        <is>
          <t>RECEITA FEDERAL DO BRASIL</t>
        </is>
      </c>
      <c r="D3990" s="5" t="inlineStr">
        <is>
          <t>JP</t>
        </is>
      </c>
      <c r="E3990" s="5" t="n">
        <v>1400003259</v>
      </c>
      <c r="F3990" s="5" t="inlineStr">
        <is>
          <t>0000225759</t>
        </is>
      </c>
      <c r="G3990" s="5" t="inlineStr">
        <is>
          <t>BRL</t>
        </is>
      </c>
      <c r="H3990" s="9" t="n">
        <v>0</v>
      </c>
      <c r="I3990" s="16" t="n">
        <v>46241</v>
      </c>
      <c r="J3990" s="16" t="n"/>
      <c r="K3990" s="5" t="inlineStr">
        <is>
          <t>Journal Posting OSGT  0000225759</t>
        </is>
      </c>
      <c r="L3990" s="5" t="inlineStr">
        <is>
          <t>0521/26</t>
        </is>
      </c>
      <c r="M3990" s="5">
        <f>IF(YEAR(I3990)&lt;=2020,"Até 2020",TEXT(YEAR(I3990),"0"))</f>
        <v/>
      </c>
      <c r="N3990" s="5">
        <f>IFERROR(INDEX(DePara!$A:$A,MATCH(TEXT(B3990,"0"),DePara!$D:$D,0)),"(sem categoria)")</f>
        <v/>
      </c>
      <c r="O3990" s="5">
        <f>IF(J3990="","",Parametros!$B$6-J3990)</f>
        <v/>
      </c>
      <c r="P3990" s="5">
        <f>IF(O3990="","",IF(O3990&gt;0,1,0))</f>
        <v/>
      </c>
    </row>
    <row r="3991">
      <c r="A3991" s="5" t="n">
        <v>2111000000</v>
      </c>
      <c r="B3991" s="5" t="inlineStr">
        <is>
          <t>102080</t>
        </is>
      </c>
      <c r="C3991" s="5" t="inlineStr">
        <is>
          <t>RECEITA FEDERAL DO BRASIL</t>
        </is>
      </c>
      <c r="D3991" s="5" t="inlineStr">
        <is>
          <t>JP</t>
        </is>
      </c>
      <c r="E3991" s="5" t="n">
        <v>1400003267</v>
      </c>
      <c r="F3991" s="5" t="inlineStr">
        <is>
          <t>0000225769</t>
        </is>
      </c>
      <c r="G3991" s="5" t="inlineStr">
        <is>
          <t>BRL</t>
        </is>
      </c>
      <c r="H3991" s="9" t="n">
        <v>0</v>
      </c>
      <c r="I3991" s="16" t="n">
        <v>46240</v>
      </c>
      <c r="J3991" s="16" t="n"/>
      <c r="K3991" s="5" t="inlineStr">
        <is>
          <t>Journal Posting OSGT  0000225769</t>
        </is>
      </c>
      <c r="L3991" s="5" t="inlineStr">
        <is>
          <t>0519/26</t>
        </is>
      </c>
      <c r="M3991" s="5">
        <f>IF(YEAR(I3991)&lt;=2020,"Até 2020",TEXT(YEAR(I3991),"0"))</f>
        <v/>
      </c>
      <c r="N3991" s="5">
        <f>IFERROR(INDEX(DePara!$A:$A,MATCH(TEXT(B3991,"0"),DePara!$D:$D,0)),"(sem categoria)")</f>
        <v/>
      </c>
      <c r="O3991" s="5">
        <f>IF(J3991="","",Parametros!$B$6-J3991)</f>
        <v/>
      </c>
      <c r="P3991" s="5">
        <f>IF(O3991="","",IF(O3991&gt;0,1,0))</f>
        <v/>
      </c>
    </row>
    <row r="3992">
      <c r="A3992" s="5" t="n">
        <v>2111000000</v>
      </c>
      <c r="B3992" s="5" t="inlineStr">
        <is>
          <t>102080</t>
        </is>
      </c>
      <c r="C3992" s="5" t="inlineStr">
        <is>
          <t>RECEITA FEDERAL DO BRASIL</t>
        </is>
      </c>
      <c r="D3992" s="5" t="inlineStr">
        <is>
          <t>JP</t>
        </is>
      </c>
      <c r="E3992" s="5" t="n">
        <v>1400003287</v>
      </c>
      <c r="F3992" s="5" t="inlineStr">
        <is>
          <t>0000226265</t>
        </is>
      </c>
      <c r="G3992" s="5" t="inlineStr">
        <is>
          <t>BRL</t>
        </is>
      </c>
      <c r="H3992" s="9" t="n">
        <v>0</v>
      </c>
      <c r="I3992" s="16" t="n">
        <v>46247</v>
      </c>
      <c r="J3992" s="16" t="n"/>
      <c r="K3992" s="5" t="inlineStr">
        <is>
          <t>Journal Posting OSGT  0000226265</t>
        </is>
      </c>
      <c r="L3992" s="5" t="inlineStr">
        <is>
          <t>0524/26</t>
        </is>
      </c>
      <c r="M3992" s="5">
        <f>IF(YEAR(I3992)&lt;=2020,"Até 2020",TEXT(YEAR(I3992),"0"))</f>
        <v/>
      </c>
      <c r="N3992" s="5">
        <f>IFERROR(INDEX(DePara!$A:$A,MATCH(TEXT(B3992,"0"),DePara!$D:$D,0)),"(sem categoria)")</f>
        <v/>
      </c>
      <c r="O3992" s="5">
        <f>IF(J3992="","",Parametros!$B$6-J3992)</f>
        <v/>
      </c>
      <c r="P3992" s="5">
        <f>IF(O3992="","",IF(O3992&gt;0,1,0))</f>
        <v/>
      </c>
    </row>
    <row r="3993">
      <c r="A3993" s="5" t="n">
        <v>2111000000</v>
      </c>
      <c r="B3993" s="5" t="inlineStr">
        <is>
          <t>102080</t>
        </is>
      </c>
      <c r="C3993" s="5" t="inlineStr">
        <is>
          <t>RECEITA FEDERAL DO BRASIL</t>
        </is>
      </c>
      <c r="D3993" s="5" t="inlineStr">
        <is>
          <t>JP</t>
        </is>
      </c>
      <c r="E3993" s="5" t="n">
        <v>1400003292</v>
      </c>
      <c r="F3993" s="5" t="inlineStr">
        <is>
          <t>0000225779</t>
        </is>
      </c>
      <c r="G3993" s="5" t="inlineStr">
        <is>
          <t>BRL</t>
        </is>
      </c>
      <c r="H3993" s="9" t="n">
        <v>0</v>
      </c>
      <c r="I3993" s="16" t="n">
        <v>46240</v>
      </c>
      <c r="J3993" s="16" t="n"/>
      <c r="K3993" s="5" t="inlineStr">
        <is>
          <t>Journal Posting OSGT  0000225779</t>
        </is>
      </c>
      <c r="L3993" s="5" t="inlineStr">
        <is>
          <t>0518/26</t>
        </is>
      </c>
      <c r="M3993" s="5">
        <f>IF(YEAR(I3993)&lt;=2020,"Até 2020",TEXT(YEAR(I3993),"0"))</f>
        <v/>
      </c>
      <c r="N3993" s="5">
        <f>IFERROR(INDEX(DePara!$A:$A,MATCH(TEXT(B3993,"0"),DePara!$D:$D,0)),"(sem categoria)")</f>
        <v/>
      </c>
      <c r="O3993" s="5">
        <f>IF(J3993="","",Parametros!$B$6-J3993)</f>
        <v/>
      </c>
      <c r="P3993" s="5">
        <f>IF(O3993="","",IF(O3993&gt;0,1,0))</f>
        <v/>
      </c>
    </row>
    <row r="3994">
      <c r="A3994" s="5" t="n">
        <v>2111000000</v>
      </c>
      <c r="B3994" s="5" t="inlineStr">
        <is>
          <t>101763</t>
        </is>
      </c>
      <c r="C3994" s="5" t="inlineStr">
        <is>
          <t>MUNICIPIO DE LAGOA DO BARRO DO PIAU</t>
        </is>
      </c>
      <c r="D3994" s="5" t="inlineStr">
        <is>
          <t>ZT</t>
        </is>
      </c>
      <c r="E3994" s="5" t="n">
        <v>1900000258</v>
      </c>
      <c r="F3994" s="5" t="inlineStr">
        <is>
          <t>0012</t>
        </is>
      </c>
      <c r="G3994" s="5" t="inlineStr">
        <is>
          <t>BRL</t>
        </is>
      </c>
      <c r="H3994" s="9" t="n">
        <v>-9975.82</v>
      </c>
      <c r="I3994" s="16" t="n">
        <v>45838</v>
      </c>
      <c r="J3994" s="16" t="n">
        <v>45636</v>
      </c>
      <c r="K3994" s="5" t="inlineStr">
        <is>
          <t>ISS Retido - Fornecedores</t>
        </is>
      </c>
      <c r="L3994" s="5" t="n"/>
      <c r="M3994" s="5">
        <f>IF(YEAR(I3994)&lt;=2020,"Até 2020",TEXT(YEAR(I3994),"0"))</f>
        <v/>
      </c>
      <c r="N3994" s="5">
        <f>IFERROR(INDEX(DePara!$A:$A,MATCH(TEXT(B3994,"0"),DePara!$D:$D,0)),"(sem categoria)")</f>
        <v/>
      </c>
      <c r="O3994" s="5">
        <f>IF(J3994="","",Parametros!$B$6-J3994)</f>
        <v/>
      </c>
      <c r="P3994" s="5">
        <f>IF(O3994="","",IF(O3994&gt;0,1,0))</f>
        <v/>
      </c>
    </row>
    <row r="3995">
      <c r="A3995" s="5" t="n">
        <v>2111000000</v>
      </c>
      <c r="B3995" s="5" t="inlineStr">
        <is>
          <t>101763</t>
        </is>
      </c>
      <c r="C3995" s="5" t="inlineStr">
        <is>
          <t>MUNICIPIO DE LAGOA DO BARRO DO PIAU</t>
        </is>
      </c>
      <c r="D3995" s="5" t="inlineStr">
        <is>
          <t>ZT</t>
        </is>
      </c>
      <c r="E3995" s="5" t="n">
        <v>1900000259</v>
      </c>
      <c r="F3995" s="5" t="inlineStr">
        <is>
          <t>0012</t>
        </is>
      </c>
      <c r="G3995" s="5" t="inlineStr">
        <is>
          <t>BRL</t>
        </is>
      </c>
      <c r="H3995" s="9" t="n">
        <v>-33964.15</v>
      </c>
      <c r="I3995" s="16" t="n">
        <v>45838</v>
      </c>
      <c r="J3995" s="16" t="n">
        <v>45839</v>
      </c>
      <c r="K3995" s="5" t="inlineStr">
        <is>
          <t>ISS Retido - Fornecedores</t>
        </is>
      </c>
      <c r="L3995" s="5" t="n"/>
      <c r="M3995" s="5">
        <f>IF(YEAR(I3995)&lt;=2020,"Até 2020",TEXT(YEAR(I3995),"0"))</f>
        <v/>
      </c>
      <c r="N3995" s="5">
        <f>IFERROR(INDEX(DePara!$A:$A,MATCH(TEXT(B3995,"0"),DePara!$D:$D,0)),"(sem categoria)")</f>
        <v/>
      </c>
      <c r="O3995" s="5">
        <f>IF(J3995="","",Parametros!$B$6-J3995)</f>
        <v/>
      </c>
      <c r="P3995" s="5">
        <f>IF(O3995="","",IF(O3995&gt;0,1,0))</f>
        <v/>
      </c>
    </row>
    <row r="3996">
      <c r="A3996" s="5" t="n">
        <v>2111000000</v>
      </c>
      <c r="B3996" s="5" t="inlineStr">
        <is>
          <t>100759</t>
        </is>
      </c>
      <c r="C3996" s="5" t="inlineStr">
        <is>
          <t>MUNICIPIO DE UIBAI</t>
        </is>
      </c>
      <c r="D3996" s="5" t="inlineStr">
        <is>
          <t>ZT</t>
        </is>
      </c>
      <c r="E3996" s="5" t="n">
        <v>1900000351</v>
      </c>
      <c r="F3996" s="5" t="inlineStr">
        <is>
          <t>0016</t>
        </is>
      </c>
      <c r="G3996" s="5" t="inlineStr">
        <is>
          <t>BRL</t>
        </is>
      </c>
      <c r="H3996" s="9" t="n">
        <v>-1003.4</v>
      </c>
      <c r="I3996" s="16" t="n">
        <v>46204</v>
      </c>
      <c r="J3996" s="16" t="n">
        <v>46213</v>
      </c>
      <c r="K3996" s="5" t="inlineStr">
        <is>
          <t>ISS Retido - Fornecedores</t>
        </is>
      </c>
      <c r="L3996" s="5" t="inlineStr">
        <is>
          <t>08072026</t>
        </is>
      </c>
      <c r="M3996" s="5">
        <f>IF(YEAR(I3996)&lt;=2020,"Até 2020",TEXT(YEAR(I3996),"0"))</f>
        <v/>
      </c>
      <c r="N3996" s="5">
        <f>IFERROR(INDEX(DePara!$A:$A,MATCH(TEXT(B3996,"0"),DePara!$D:$D,0)),"(sem categoria)")</f>
        <v/>
      </c>
      <c r="O3996" s="5">
        <f>IF(J3996="","",Parametros!$B$6-J3996)</f>
        <v/>
      </c>
      <c r="P3996" s="5">
        <f>IF(O3996="","",IF(O3996&gt;0,1,0))</f>
        <v/>
      </c>
    </row>
    <row r="3997">
      <c r="A3997" s="5" t="n">
        <v>2111000000</v>
      </c>
      <c r="B3997" s="5" t="inlineStr">
        <is>
          <t>104069</t>
        </is>
      </c>
      <c r="C3997" s="5" t="inlineStr">
        <is>
          <t>MUNICIPIO DE POCINHOS 08741688000172</t>
        </is>
      </c>
      <c r="D3997" s="5" t="inlineStr">
        <is>
          <t>ZT</t>
        </is>
      </c>
      <c r="E3997" s="5" t="n">
        <v>1900000386</v>
      </c>
      <c r="F3997" s="5" t="inlineStr">
        <is>
          <t>0024</t>
        </is>
      </c>
      <c r="G3997" s="5" t="inlineStr">
        <is>
          <t>BRL</t>
        </is>
      </c>
      <c r="H3997" s="9" t="n">
        <v>-28027.99</v>
      </c>
      <c r="I3997" s="16" t="n">
        <v>45915</v>
      </c>
      <c r="J3997" s="16" t="n">
        <v>45910</v>
      </c>
      <c r="K3997" s="5" t="inlineStr">
        <is>
          <t>ISS Retido - Fornecedores</t>
        </is>
      </c>
      <c r="L3997" s="5" t="n"/>
      <c r="M3997" s="5">
        <f>IF(YEAR(I3997)&lt;=2020,"Até 2020",TEXT(YEAR(I3997),"0"))</f>
        <v/>
      </c>
      <c r="N3997" s="5">
        <f>IFERROR(INDEX(DePara!$A:$A,MATCH(TEXT(B3997,"0"),DePara!$D:$D,0)),"(sem categoria)")</f>
        <v/>
      </c>
      <c r="O3997" s="5">
        <f>IF(J3997="","",Parametros!$B$6-J3997)</f>
        <v/>
      </c>
      <c r="P3997" s="5">
        <f>IF(O3997="","",IF(O3997&gt;0,1,0))</f>
        <v/>
      </c>
    </row>
    <row r="3998">
      <c r="A3998" s="5" t="n">
        <v>2111000000</v>
      </c>
      <c r="B3998" s="5" t="inlineStr">
        <is>
          <t>101700</t>
        </is>
      </c>
      <c r="C3998" s="5" t="inlineStr">
        <is>
          <t>MUNICIPIO DE MULUNGU DO MORRO</t>
        </is>
      </c>
      <c r="D3998" s="5" t="inlineStr">
        <is>
          <t>ZT</t>
        </is>
      </c>
      <c r="E3998" s="5" t="n">
        <v>1900000433</v>
      </c>
      <c r="F3998" s="5" t="inlineStr">
        <is>
          <t>0011</t>
        </is>
      </c>
      <c r="G3998" s="5" t="inlineStr">
        <is>
          <t>BRL</t>
        </is>
      </c>
      <c r="H3998" s="9" t="n">
        <v>-40390.9</v>
      </c>
      <c r="I3998" s="16" t="n">
        <v>45965</v>
      </c>
      <c r="J3998" s="16" t="n">
        <v>45971</v>
      </c>
      <c r="K3998" s="5" t="inlineStr">
        <is>
          <t>ISS a Recolher</t>
        </is>
      </c>
      <c r="L3998" s="5" t="inlineStr">
        <is>
          <t>07112025</t>
        </is>
      </c>
      <c r="M3998" s="5">
        <f>IF(YEAR(I3998)&lt;=2020,"Até 2020",TEXT(YEAR(I3998),"0"))</f>
        <v/>
      </c>
      <c r="N3998" s="5">
        <f>IFERROR(INDEX(DePara!$A:$A,MATCH(TEXT(B3998,"0"),DePara!$D:$D,0)),"(sem categoria)")</f>
        <v/>
      </c>
      <c r="O3998" s="5">
        <f>IF(J3998="","",Parametros!$B$6-J3998)</f>
        <v/>
      </c>
      <c r="P3998" s="5">
        <f>IF(O3998="","",IF(O3998&gt;0,1,0))</f>
        <v/>
      </c>
    </row>
    <row r="3999">
      <c r="A3999" s="5" t="n">
        <v>2111000000</v>
      </c>
      <c r="B3999" s="5" t="inlineStr">
        <is>
          <t>101542</t>
        </is>
      </c>
      <c r="C3999" s="5" t="inlineStr">
        <is>
          <t>PREFEITURA MUNICIPAL DE MOSSORO</t>
        </is>
      </c>
      <c r="D3999" s="5" t="inlineStr">
        <is>
          <t>ZT</t>
        </is>
      </c>
      <c r="E3999" s="5" t="n">
        <v>1900000461</v>
      </c>
      <c r="F3999" s="5" t="inlineStr">
        <is>
          <t>0008</t>
        </is>
      </c>
      <c r="G3999" s="5" t="inlineStr">
        <is>
          <t>BRL</t>
        </is>
      </c>
      <c r="H3999" s="9" t="n">
        <v>-1493.69</v>
      </c>
      <c r="I3999" s="16" t="n">
        <v>45967</v>
      </c>
      <c r="J3999" s="16" t="n">
        <v>45971</v>
      </c>
      <c r="K3999" s="5" t="inlineStr">
        <is>
          <t>ISS Retido - Fornecedores</t>
        </is>
      </c>
      <c r="L3999" s="5" t="n"/>
      <c r="M3999" s="5">
        <f>IF(YEAR(I3999)&lt;=2020,"Até 2020",TEXT(YEAR(I3999),"0"))</f>
        <v/>
      </c>
      <c r="N3999" s="5">
        <f>IFERROR(INDEX(DePara!$A:$A,MATCH(TEXT(B3999,"0"),DePara!$D:$D,0)),"(sem categoria)")</f>
        <v/>
      </c>
      <c r="O3999" s="5">
        <f>IF(J3999="","",Parametros!$B$6-J3999)</f>
        <v/>
      </c>
      <c r="P3999" s="5">
        <f>IF(O3999="","",IF(O3999&gt;0,1,0))</f>
        <v/>
      </c>
    </row>
    <row r="4000">
      <c r="A4000" s="5" t="n">
        <v>2111000000</v>
      </c>
      <c r="B4000" s="5" t="inlineStr">
        <is>
          <t>101763</t>
        </is>
      </c>
      <c r="C4000" s="5" t="inlineStr">
        <is>
          <t>MUNICIPIO DE LAGOA DO BARRO DO PIAU</t>
        </is>
      </c>
      <c r="D4000" s="5" t="inlineStr">
        <is>
          <t>ZT</t>
        </is>
      </c>
      <c r="E4000" s="5" t="n">
        <v>1900000466</v>
      </c>
      <c r="F4000" s="5" t="inlineStr">
        <is>
          <t>0012</t>
        </is>
      </c>
      <c r="G4000" s="5" t="inlineStr">
        <is>
          <t>BRL</t>
        </is>
      </c>
      <c r="H4000" s="9" t="n">
        <v>-1894.7</v>
      </c>
      <c r="I4000" s="16" t="n">
        <v>45971</v>
      </c>
      <c r="J4000" s="16" t="n">
        <v>45971</v>
      </c>
      <c r="K4000" s="5" t="inlineStr">
        <is>
          <t>ISS Retido - Fornecedores</t>
        </is>
      </c>
      <c r="L4000" s="5" t="n"/>
      <c r="M4000" s="5">
        <f>IF(YEAR(I4000)&lt;=2020,"Até 2020",TEXT(YEAR(I4000),"0"))</f>
        <v/>
      </c>
      <c r="N4000" s="5">
        <f>IFERROR(INDEX(DePara!$A:$A,MATCH(TEXT(B4000,"0"),DePara!$D:$D,0)),"(sem categoria)")</f>
        <v/>
      </c>
      <c r="O4000" s="5">
        <f>IF(J4000="","",Parametros!$B$6-J4000)</f>
        <v/>
      </c>
      <c r="P4000" s="5">
        <f>IF(O4000="","",IF(O4000&gt;0,1,0))</f>
        <v/>
      </c>
    </row>
    <row r="4001">
      <c r="A4001" s="5" t="n">
        <v>2111000000</v>
      </c>
      <c r="B4001" s="5" t="inlineStr">
        <is>
          <t>101763</t>
        </is>
      </c>
      <c r="C4001" s="5" t="inlineStr">
        <is>
          <t>MUNICIPIO DE LAGOA DO BARRO DO PIAU</t>
        </is>
      </c>
      <c r="D4001" s="5" t="inlineStr">
        <is>
          <t>ZT</t>
        </is>
      </c>
      <c r="E4001" s="5" t="n">
        <v>1900000467</v>
      </c>
      <c r="F4001" s="5" t="inlineStr">
        <is>
          <t>0012</t>
        </is>
      </c>
      <c r="G4001" s="5" t="inlineStr">
        <is>
          <t>BRL</t>
        </is>
      </c>
      <c r="H4001" s="9" t="n">
        <v>-2901.6</v>
      </c>
      <c r="I4001" s="16" t="n">
        <v>45971</v>
      </c>
      <c r="J4001" s="16" t="n">
        <v>45972</v>
      </c>
      <c r="K4001" s="5" t="inlineStr">
        <is>
          <t>ISS Retido - Fornecedores</t>
        </is>
      </c>
      <c r="L4001" s="5" t="n"/>
      <c r="M4001" s="5">
        <f>IF(YEAR(I4001)&lt;=2020,"Até 2020",TEXT(YEAR(I4001),"0"))</f>
        <v/>
      </c>
      <c r="N4001" s="5">
        <f>IFERROR(INDEX(DePara!$A:$A,MATCH(TEXT(B4001,"0"),DePara!$D:$D,0)),"(sem categoria)")</f>
        <v/>
      </c>
      <c r="O4001" s="5">
        <f>IF(J4001="","",Parametros!$B$6-J4001)</f>
        <v/>
      </c>
      <c r="P4001" s="5">
        <f>IF(O4001="","",IF(O4001&gt;0,1,0))</f>
        <v/>
      </c>
    </row>
    <row r="4002">
      <c r="A4002" s="5" t="n">
        <v>1517730000</v>
      </c>
      <c r="B4002" s="5" t="inlineStr">
        <is>
          <t>EM000029</t>
        </is>
      </c>
      <c r="C4002" s="5" t="inlineStr">
        <is>
          <t>RENATO BRUNO LIMA DE FARIAS</t>
        </is>
      </c>
      <c r="D4002" s="5" t="inlineStr">
        <is>
          <t>KZ</t>
        </is>
      </c>
      <c r="E4002" s="5" t="n">
        <v>300956</v>
      </c>
      <c r="F4002" s="5" t="n"/>
      <c r="G4002" s="5" t="inlineStr">
        <is>
          <t>BRL</t>
        </is>
      </c>
      <c r="H4002" s="9" t="n">
        <v>-94.31999999999999</v>
      </c>
      <c r="I4002" s="16" t="n">
        <v>45142</v>
      </c>
      <c r="J4002" s="16" t="n">
        <v>45142</v>
      </c>
      <c r="K4002" s="5" t="inlineStr">
        <is>
          <t>Vendor payment RENATO BRUNO LIMA DE FARIAS</t>
        </is>
      </c>
      <c r="L4002" s="5" t="inlineStr">
        <is>
          <t>407000.110505</t>
        </is>
      </c>
      <c r="M4002" s="5">
        <f>IF(YEAR(I4002)&lt;=2020,"Até 2020",TEXT(YEAR(I4002),"0"))</f>
        <v/>
      </c>
      <c r="N4002" s="5">
        <f>IFERROR(INDEX(DePara!$A:$A,MATCH(TEXT(B4002,"0"),DePara!$D:$D,0)),"(sem categoria)")</f>
        <v/>
      </c>
      <c r="O4002" s="5">
        <f>IF(J4002="","",Parametros!$B$6-J4002)</f>
        <v/>
      </c>
      <c r="P4002" s="5">
        <f>IF(O4002="","",IF(O4002&gt;0,1,0))</f>
        <v/>
      </c>
    </row>
    <row r="4003">
      <c r="A4003" s="5" t="n">
        <v>1517730000</v>
      </c>
      <c r="B4003" s="5" t="inlineStr">
        <is>
          <t>EM000129</t>
        </is>
      </c>
      <c r="C4003" s="5" t="inlineStr">
        <is>
          <t>JOCIVAN DE SOUZA SILVA</t>
        </is>
      </c>
      <c r="D4003" s="5" t="inlineStr">
        <is>
          <t>KZ</t>
        </is>
      </c>
      <c r="E4003" s="5" t="n">
        <v>301011</v>
      </c>
      <c r="F4003" s="5" t="n"/>
      <c r="G4003" s="5" t="inlineStr">
        <is>
          <t>BRL</t>
        </is>
      </c>
      <c r="H4003" s="9" t="n">
        <v>-1148.24</v>
      </c>
      <c r="I4003" s="16" t="n">
        <v>45154</v>
      </c>
      <c r="J4003" s="16" t="n">
        <v>45154</v>
      </c>
      <c r="K4003" s="5" t="inlineStr">
        <is>
          <t>Vendor payment JOCIVAN DE SOUZA SILVA</t>
        </is>
      </c>
      <c r="L4003" s="5" t="inlineStr">
        <is>
          <t>407000.110505</t>
        </is>
      </c>
      <c r="M4003" s="5">
        <f>IF(YEAR(I4003)&lt;=2020,"Até 2020",TEXT(YEAR(I4003),"0"))</f>
        <v/>
      </c>
      <c r="N4003" s="5">
        <f>IFERROR(INDEX(DePara!$A:$A,MATCH(TEXT(B4003,"0"),DePara!$D:$D,0)),"(sem categoria)")</f>
        <v/>
      </c>
      <c r="O4003" s="5">
        <f>IF(J4003="","",Parametros!$B$6-J4003)</f>
        <v/>
      </c>
      <c r="P4003" s="5">
        <f>IF(O4003="","",IF(O4003&gt;0,1,0))</f>
        <v/>
      </c>
    </row>
    <row r="4004">
      <c r="A4004" s="5" t="n">
        <v>1517730000</v>
      </c>
      <c r="B4004" s="5" t="inlineStr">
        <is>
          <t>EM000272</t>
        </is>
      </c>
      <c r="C4004" s="5" t="inlineStr">
        <is>
          <t>JOBSON BARBOSA DE OLIVEIRA</t>
        </is>
      </c>
      <c r="D4004" s="5" t="inlineStr">
        <is>
          <t>KZ</t>
        </is>
      </c>
      <c r="E4004" s="5" t="n">
        <v>301015</v>
      </c>
      <c r="F4004" s="5" t="n"/>
      <c r="G4004" s="5" t="inlineStr">
        <is>
          <t>BRL</t>
        </is>
      </c>
      <c r="H4004" s="9" t="n">
        <v>-735.55</v>
      </c>
      <c r="I4004" s="16" t="n">
        <v>45155</v>
      </c>
      <c r="J4004" s="16" t="n">
        <v>45155</v>
      </c>
      <c r="K4004" s="5" t="inlineStr">
        <is>
          <t>Vendor payment JOBSON BARBOSA DE OLIVEIRA</t>
        </is>
      </c>
      <c r="L4004" s="5" t="inlineStr">
        <is>
          <t>407000.110505</t>
        </is>
      </c>
      <c r="M4004" s="5">
        <f>IF(YEAR(I4004)&lt;=2020,"Até 2020",TEXT(YEAR(I4004),"0"))</f>
        <v/>
      </c>
      <c r="N4004" s="5">
        <f>IFERROR(INDEX(DePara!$A:$A,MATCH(TEXT(B4004,"0"),DePara!$D:$D,0)),"(sem categoria)")</f>
        <v/>
      </c>
      <c r="O4004" s="5">
        <f>IF(J4004="","",Parametros!$B$6-J4004)</f>
        <v/>
      </c>
      <c r="P4004" s="5">
        <f>IF(O4004="","",IF(O4004&gt;0,1,0))</f>
        <v/>
      </c>
    </row>
    <row r="4005">
      <c r="A4005" s="5" t="n">
        <v>1517730000</v>
      </c>
      <c r="B4005" s="5" t="inlineStr">
        <is>
          <t>EM000724</t>
        </is>
      </c>
      <c r="C4005" s="5" t="inlineStr">
        <is>
          <t>EMMANOEL LELIS EZIAS DOS SANTOS</t>
        </is>
      </c>
      <c r="D4005" s="5" t="inlineStr">
        <is>
          <t>KZ</t>
        </is>
      </c>
      <c r="E4005" s="5" t="n">
        <v>302540</v>
      </c>
      <c r="F4005" s="5" t="inlineStr">
        <is>
          <t>22190 - 22099</t>
        </is>
      </c>
      <c r="G4005" s="5" t="inlineStr">
        <is>
          <t>BRL</t>
        </is>
      </c>
      <c r="H4005" s="9" t="n">
        <v>657.1</v>
      </c>
      <c r="I4005" s="16" t="n">
        <v>45207</v>
      </c>
      <c r="J4005" s="16" t="n">
        <v>45207</v>
      </c>
      <c r="K4005" s="5" t="inlineStr">
        <is>
          <t>Documento fornecedor EMMANOEL LELIS EZIAS DOS SANT</t>
        </is>
      </c>
      <c r="L4005" s="5" t="n"/>
      <c r="M4005" s="5">
        <f>IF(YEAR(I4005)&lt;=2020,"Até 2020",TEXT(YEAR(I4005),"0"))</f>
        <v/>
      </c>
      <c r="N4005" s="5">
        <f>IFERROR(INDEX(DePara!$A:$A,MATCH(TEXT(B4005,"0"),DePara!$D:$D,0)),"(sem categoria)")</f>
        <v/>
      </c>
      <c r="O4005" s="5">
        <f>IF(J4005="","",Parametros!$B$6-J4005)</f>
        <v/>
      </c>
      <c r="P4005" s="5">
        <f>IF(O4005="","",IF(O4005&gt;0,1,0))</f>
        <v/>
      </c>
    </row>
    <row r="4006">
      <c r="A4006" s="5" t="n">
        <v>1517730000</v>
      </c>
      <c r="B4006" s="5" t="inlineStr">
        <is>
          <t>EM000272</t>
        </is>
      </c>
      <c r="C4006" s="5" t="inlineStr">
        <is>
          <t>JOBSON BARBOSA DE OLIVEIRA</t>
        </is>
      </c>
      <c r="D4006" s="5" t="inlineStr">
        <is>
          <t>UE</t>
        </is>
      </c>
      <c r="E4006" s="5" t="n">
        <v>200000083</v>
      </c>
      <c r="F4006" s="5" t="inlineStr">
        <is>
          <t>8935</t>
        </is>
      </c>
      <c r="G4006" s="5" t="inlineStr">
        <is>
          <t>BRL</t>
        </is>
      </c>
      <c r="H4006" s="9" t="n">
        <v>2760</v>
      </c>
      <c r="I4006" s="16" t="n">
        <v>44749</v>
      </c>
      <c r="J4006" s="16" t="n">
        <v>44749</v>
      </c>
      <c r="K4006" s="5" t="inlineStr">
        <is>
          <t>12938</t>
        </is>
      </c>
      <c r="L4006" s="5" t="inlineStr">
        <is>
          <t>407000.110505</t>
        </is>
      </c>
      <c r="M4006" s="5">
        <f>IF(YEAR(I4006)&lt;=2020,"Até 2020",TEXT(YEAR(I4006),"0"))</f>
        <v/>
      </c>
      <c r="N4006" s="5">
        <f>IFERROR(INDEX(DePara!$A:$A,MATCH(TEXT(B4006,"0"),DePara!$D:$D,0)),"(sem categoria)")</f>
        <v/>
      </c>
      <c r="O4006" s="5">
        <f>IF(J4006="","",Parametros!$B$6-J4006)</f>
        <v/>
      </c>
      <c r="P4006" s="5">
        <f>IF(O4006="","",IF(O4006&gt;0,1,0))</f>
        <v/>
      </c>
    </row>
    <row r="4007">
      <c r="A4007" s="5" t="n">
        <v>1517730000</v>
      </c>
      <c r="B4007" s="5" t="inlineStr">
        <is>
          <t>EM000029</t>
        </is>
      </c>
      <c r="C4007" s="5" t="inlineStr">
        <is>
          <t>RENATO BRUNO LIMA DE FARIAS</t>
        </is>
      </c>
      <c r="D4007" s="5" t="inlineStr">
        <is>
          <t>UE</t>
        </is>
      </c>
      <c r="E4007" s="5" t="n">
        <v>200002273</v>
      </c>
      <c r="F4007" s="5" t="inlineStr">
        <is>
          <t>8627</t>
        </is>
      </c>
      <c r="G4007" s="5" t="inlineStr">
        <is>
          <t>BRL</t>
        </is>
      </c>
      <c r="H4007" s="9" t="n">
        <v>3336.55</v>
      </c>
      <c r="I4007" s="16" t="n">
        <v>45120</v>
      </c>
      <c r="J4007" s="16" t="n">
        <v>45120</v>
      </c>
      <c r="K4007" s="5" t="inlineStr">
        <is>
          <t>CC 07.2023</t>
        </is>
      </c>
      <c r="L4007" s="5" t="inlineStr">
        <is>
          <t>407000.110505</t>
        </is>
      </c>
      <c r="M4007" s="5">
        <f>IF(YEAR(I4007)&lt;=2020,"Até 2020",TEXT(YEAR(I4007),"0"))</f>
        <v/>
      </c>
      <c r="N4007" s="5">
        <f>IFERROR(INDEX(DePara!$A:$A,MATCH(TEXT(B4007,"0"),DePara!$D:$D,0)),"(sem categoria)")</f>
        <v/>
      </c>
      <c r="O4007" s="5">
        <f>IF(J4007="","",Parametros!$B$6-J4007)</f>
        <v/>
      </c>
      <c r="P4007" s="5">
        <f>IF(O4007="","",IF(O4007&gt;0,1,0))</f>
        <v/>
      </c>
    </row>
    <row r="4008">
      <c r="A4008" s="5" t="n">
        <v>1517730000</v>
      </c>
      <c r="B4008" s="5" t="inlineStr">
        <is>
          <t>EM000018</t>
        </is>
      </c>
      <c r="C4008" s="5" t="inlineStr">
        <is>
          <t>ALESSANDRO SANTANA CORTES</t>
        </is>
      </c>
      <c r="D4008" s="5" t="inlineStr">
        <is>
          <t>UE</t>
        </is>
      </c>
      <c r="E4008" s="5" t="n">
        <v>200002295</v>
      </c>
      <c r="F4008" s="5" t="inlineStr">
        <is>
          <t>8647</t>
        </is>
      </c>
      <c r="G4008" s="5" t="inlineStr">
        <is>
          <t>BRL</t>
        </is>
      </c>
      <c r="H4008" s="9" t="n">
        <v>2530</v>
      </c>
      <c r="I4008" s="16" t="n">
        <v>44673</v>
      </c>
      <c r="J4008" s="16" t="n">
        <v>44673</v>
      </c>
      <c r="K4008" s="5" t="inlineStr">
        <is>
          <t>PLANO 12004</t>
        </is>
      </c>
      <c r="L4008" s="5" t="inlineStr">
        <is>
          <t>407000.110505</t>
        </is>
      </c>
      <c r="M4008" s="5">
        <f>IF(YEAR(I4008)&lt;=2020,"Até 2020",TEXT(YEAR(I4008),"0"))</f>
        <v/>
      </c>
      <c r="N4008" s="5">
        <f>IFERROR(INDEX(DePara!$A:$A,MATCH(TEXT(B4008,"0"),DePara!$D:$D,0)),"(sem categoria)")</f>
        <v/>
      </c>
      <c r="O4008" s="5">
        <f>IF(J4008="","",Parametros!$B$6-J4008)</f>
        <v/>
      </c>
      <c r="P4008" s="5">
        <f>IF(O4008="","",IF(O4008&gt;0,1,0))</f>
        <v/>
      </c>
    </row>
    <row r="4009">
      <c r="A4009" s="5" t="n">
        <v>1517730000</v>
      </c>
      <c r="B4009" s="5" t="inlineStr">
        <is>
          <t>EM000024</t>
        </is>
      </c>
      <c r="C4009" s="5" t="inlineStr">
        <is>
          <t>GUILLERMO ROSSI</t>
        </is>
      </c>
      <c r="D4009" s="5" t="inlineStr">
        <is>
          <t>UE</t>
        </is>
      </c>
      <c r="E4009" s="5" t="n">
        <v>200002300</v>
      </c>
      <c r="F4009" s="5" t="inlineStr">
        <is>
          <t>8651</t>
        </is>
      </c>
      <c r="G4009" s="5" t="inlineStr">
        <is>
          <t>BRL</t>
        </is>
      </c>
      <c r="H4009" s="9" t="n">
        <v>2530</v>
      </c>
      <c r="I4009" s="16" t="n">
        <v>44673</v>
      </c>
      <c r="J4009" s="16" t="n">
        <v>44673</v>
      </c>
      <c r="K4009" s="5" t="inlineStr">
        <is>
          <t>PLANO 12021</t>
        </is>
      </c>
      <c r="L4009" s="5" t="inlineStr">
        <is>
          <t>407000.110505</t>
        </is>
      </c>
      <c r="M4009" s="5">
        <f>IF(YEAR(I4009)&lt;=2020,"Até 2020",TEXT(YEAR(I4009),"0"))</f>
        <v/>
      </c>
      <c r="N4009" s="5">
        <f>IFERROR(INDEX(DePara!$A:$A,MATCH(TEXT(B4009,"0"),DePara!$D:$D,0)),"(sem categoria)")</f>
        <v/>
      </c>
      <c r="O4009" s="5">
        <f>IF(J4009="","",Parametros!$B$6-J4009)</f>
        <v/>
      </c>
      <c r="P4009" s="5">
        <f>IF(O4009="","",IF(O4009&gt;0,1,0))</f>
        <v/>
      </c>
    </row>
    <row r="4010">
      <c r="A4010" s="5" t="n">
        <v>1517730000</v>
      </c>
      <c r="B4010" s="5" t="inlineStr">
        <is>
          <t>EM000026</t>
        </is>
      </c>
      <c r="C4010" s="5" t="inlineStr">
        <is>
          <t>DIEGO ALAN DE OLIVEIRA DA SILVA</t>
        </is>
      </c>
      <c r="D4010" s="5" t="inlineStr">
        <is>
          <t>UE</t>
        </is>
      </c>
      <c r="E4010" s="5" t="n">
        <v>200002302</v>
      </c>
      <c r="F4010" s="5" t="inlineStr">
        <is>
          <t>8653</t>
        </is>
      </c>
      <c r="G4010" s="5" t="inlineStr">
        <is>
          <t>BRL</t>
        </is>
      </c>
      <c r="H4010" s="9" t="n">
        <v>2000</v>
      </c>
      <c r="I4010" s="16" t="n">
        <v>44489</v>
      </c>
      <c r="J4010" s="16" t="n">
        <v>44489</v>
      </c>
      <c r="K4010" s="5" t="inlineStr">
        <is>
          <t>8977</t>
        </is>
      </c>
      <c r="L4010" s="5" t="inlineStr">
        <is>
          <t>407000.110505</t>
        </is>
      </c>
      <c r="M4010" s="5">
        <f>IF(YEAR(I4010)&lt;=2020,"Até 2020",TEXT(YEAR(I4010),"0"))</f>
        <v/>
      </c>
      <c r="N4010" s="5">
        <f>IFERROR(INDEX(DePara!$A:$A,MATCH(TEXT(B4010,"0"),DePara!$D:$D,0)),"(sem categoria)")</f>
        <v/>
      </c>
      <c r="O4010" s="5">
        <f>IF(J4010="","",Parametros!$B$6-J4010)</f>
        <v/>
      </c>
      <c r="P4010" s="5">
        <f>IF(O4010="","",IF(O4010&gt;0,1,0))</f>
        <v/>
      </c>
    </row>
    <row r="4011">
      <c r="A4011" s="5" t="n">
        <v>1517730000</v>
      </c>
      <c r="B4011" s="5" t="inlineStr">
        <is>
          <t>EM000026</t>
        </is>
      </c>
      <c r="C4011" s="5" t="inlineStr">
        <is>
          <t>DIEGO ALAN DE OLIVEIRA DA SILVA</t>
        </is>
      </c>
      <c r="D4011" s="5" t="inlineStr">
        <is>
          <t>UE</t>
        </is>
      </c>
      <c r="E4011" s="5" t="n">
        <v>200002303</v>
      </c>
      <c r="F4011" s="5" t="inlineStr">
        <is>
          <t>8654</t>
        </is>
      </c>
      <c r="G4011" s="5" t="inlineStr">
        <is>
          <t>BRL</t>
        </is>
      </c>
      <c r="H4011" s="9" t="n">
        <v>8000</v>
      </c>
      <c r="I4011" s="16" t="n">
        <v>44659</v>
      </c>
      <c r="J4011" s="16" t="n">
        <v>44659</v>
      </c>
      <c r="K4011" s="5" t="inlineStr">
        <is>
          <t>11759</t>
        </is>
      </c>
      <c r="L4011" s="5" t="inlineStr">
        <is>
          <t>407000.110505</t>
        </is>
      </c>
      <c r="M4011" s="5">
        <f>IF(YEAR(I4011)&lt;=2020,"Até 2020",TEXT(YEAR(I4011),"0"))</f>
        <v/>
      </c>
      <c r="N4011" s="5">
        <f>IFERROR(INDEX(DePara!$A:$A,MATCH(TEXT(B4011,"0"),DePara!$D:$D,0)),"(sem categoria)")</f>
        <v/>
      </c>
      <c r="O4011" s="5">
        <f>IF(J4011="","",Parametros!$B$6-J4011)</f>
        <v/>
      </c>
      <c r="P4011" s="5">
        <f>IF(O4011="","",IF(O4011&gt;0,1,0))</f>
        <v/>
      </c>
    </row>
    <row r="4012">
      <c r="A4012" s="5" t="n">
        <v>1517730000</v>
      </c>
      <c r="B4012" s="5" t="inlineStr">
        <is>
          <t>EM000026</t>
        </is>
      </c>
      <c r="C4012" s="5" t="inlineStr">
        <is>
          <t>DIEGO ALAN DE OLIVEIRA DA SILVA</t>
        </is>
      </c>
      <c r="D4012" s="5" t="inlineStr">
        <is>
          <t>UE</t>
        </is>
      </c>
      <c r="E4012" s="5" t="n">
        <v>200002304</v>
      </c>
      <c r="F4012" s="5" t="inlineStr">
        <is>
          <t>8655</t>
        </is>
      </c>
      <c r="G4012" s="5" t="inlineStr">
        <is>
          <t>BRL</t>
        </is>
      </c>
      <c r="H4012" s="9" t="n">
        <v>14000</v>
      </c>
      <c r="I4012" s="16" t="n">
        <v>44644</v>
      </c>
      <c r="J4012" s="16" t="n">
        <v>44644</v>
      </c>
      <c r="K4012" s="5" t="inlineStr">
        <is>
          <t>11759.1</t>
        </is>
      </c>
      <c r="L4012" s="5" t="inlineStr">
        <is>
          <t>407000.110505</t>
        </is>
      </c>
      <c r="M4012" s="5">
        <f>IF(YEAR(I4012)&lt;=2020,"Até 2020",TEXT(YEAR(I4012),"0"))</f>
        <v/>
      </c>
      <c r="N4012" s="5">
        <f>IFERROR(INDEX(DePara!$A:$A,MATCH(TEXT(B4012,"0"),DePara!$D:$D,0)),"(sem categoria)")</f>
        <v/>
      </c>
      <c r="O4012" s="5">
        <f>IF(J4012="","",Parametros!$B$6-J4012)</f>
        <v/>
      </c>
      <c r="P4012" s="5">
        <f>IF(O4012="","",IF(O4012&gt;0,1,0))</f>
        <v/>
      </c>
    </row>
    <row r="4013">
      <c r="A4013" s="5" t="n">
        <v>1517730000</v>
      </c>
      <c r="B4013" s="5" t="inlineStr">
        <is>
          <t>EM000059</t>
        </is>
      </c>
      <c r="C4013" s="5" t="inlineStr">
        <is>
          <t>CRISOSTOMO CUNHA DE SOUSA</t>
        </is>
      </c>
      <c r="D4013" s="5" t="inlineStr">
        <is>
          <t>UE</t>
        </is>
      </c>
      <c r="E4013" s="5" t="n">
        <v>200002334</v>
      </c>
      <c r="F4013" s="5" t="inlineStr">
        <is>
          <t>8682</t>
        </is>
      </c>
      <c r="G4013" s="5" t="inlineStr">
        <is>
          <t>BRL</t>
        </is>
      </c>
      <c r="H4013" s="9" t="n">
        <v>2960</v>
      </c>
      <c r="I4013" s="16" t="n">
        <v>44298</v>
      </c>
      <c r="J4013" s="16" t="n">
        <v>44298</v>
      </c>
      <c r="K4013" s="5" t="inlineStr">
        <is>
          <t>Data Transfer CRISOSTOMO CUNHA DE SOUSA 8682</t>
        </is>
      </c>
      <c r="L4013" s="5" t="inlineStr">
        <is>
          <t>407000.110505</t>
        </is>
      </c>
      <c r="M4013" s="5">
        <f>IF(YEAR(I4013)&lt;=2020,"Até 2020",TEXT(YEAR(I4013),"0"))</f>
        <v/>
      </c>
      <c r="N4013" s="5">
        <f>IFERROR(INDEX(DePara!$A:$A,MATCH(TEXT(B4013,"0"),DePara!$D:$D,0)),"(sem categoria)")</f>
        <v/>
      </c>
      <c r="O4013" s="5">
        <f>IF(J4013="","",Parametros!$B$6-J4013)</f>
        <v/>
      </c>
      <c r="P4013" s="5">
        <f>IF(O4013="","",IF(O4013&gt;0,1,0))</f>
        <v/>
      </c>
    </row>
    <row r="4014">
      <c r="A4014" s="5" t="n">
        <v>1517730000</v>
      </c>
      <c r="B4014" s="5" t="inlineStr">
        <is>
          <t>EM000065</t>
        </is>
      </c>
      <c r="C4014" s="5" t="inlineStr">
        <is>
          <t>JOABE MACEDO DA SILVA</t>
        </is>
      </c>
      <c r="D4014" s="5" t="inlineStr">
        <is>
          <t>UE</t>
        </is>
      </c>
      <c r="E4014" s="5" t="n">
        <v>200002345</v>
      </c>
      <c r="F4014" s="5" t="inlineStr">
        <is>
          <t>8692</t>
        </is>
      </c>
      <c r="G4014" s="5" t="inlineStr">
        <is>
          <t>BRL</t>
        </is>
      </c>
      <c r="H4014" s="9" t="n">
        <v>756</v>
      </c>
      <c r="I4014" s="16" t="n">
        <v>44678</v>
      </c>
      <c r="J4014" s="16" t="n">
        <v>44678</v>
      </c>
      <c r="K4014" s="5" t="inlineStr">
        <is>
          <t>12116</t>
        </is>
      </c>
      <c r="L4014" s="5" t="inlineStr">
        <is>
          <t>407000.110505</t>
        </is>
      </c>
      <c r="M4014" s="5">
        <f>IF(YEAR(I4014)&lt;=2020,"Até 2020",TEXT(YEAR(I4014),"0"))</f>
        <v/>
      </c>
      <c r="N4014" s="5">
        <f>IFERROR(INDEX(DePara!$A:$A,MATCH(TEXT(B4014,"0"),DePara!$D:$D,0)),"(sem categoria)")</f>
        <v/>
      </c>
      <c r="O4014" s="5">
        <f>IF(J4014="","",Parametros!$B$6-J4014)</f>
        <v/>
      </c>
      <c r="P4014" s="5">
        <f>IF(O4014="","",IF(O4014&gt;0,1,0))</f>
        <v/>
      </c>
    </row>
    <row r="4015">
      <c r="A4015" s="5" t="n">
        <v>1517730000</v>
      </c>
      <c r="B4015" s="5" t="inlineStr">
        <is>
          <t>EM000076</t>
        </is>
      </c>
      <c r="C4015" s="5" t="inlineStr">
        <is>
          <t>MOISES MELO DOS SANTOS</t>
        </is>
      </c>
      <c r="D4015" s="5" t="inlineStr">
        <is>
          <t>UE</t>
        </is>
      </c>
      <c r="E4015" s="5" t="n">
        <v>200002360</v>
      </c>
      <c r="F4015" s="5" t="inlineStr">
        <is>
          <t>8705</t>
        </is>
      </c>
      <c r="G4015" s="5" t="inlineStr">
        <is>
          <t>BRL</t>
        </is>
      </c>
      <c r="H4015" s="9" t="n">
        <v>640</v>
      </c>
      <c r="I4015" s="16" t="n">
        <v>44461</v>
      </c>
      <c r="J4015" s="16" t="n">
        <v>44461</v>
      </c>
      <c r="K4015" s="5" t="inlineStr">
        <is>
          <t>8715</t>
        </is>
      </c>
      <c r="L4015" s="5" t="inlineStr">
        <is>
          <t>407000.110505</t>
        </is>
      </c>
      <c r="M4015" s="5">
        <f>IF(YEAR(I4015)&lt;=2020,"Até 2020",TEXT(YEAR(I4015),"0"))</f>
        <v/>
      </c>
      <c r="N4015" s="5">
        <f>IFERROR(INDEX(DePara!$A:$A,MATCH(TEXT(B4015,"0"),DePara!$D:$D,0)),"(sem categoria)")</f>
        <v/>
      </c>
      <c r="O4015" s="5">
        <f>IF(J4015="","",Parametros!$B$6-J4015)</f>
        <v/>
      </c>
      <c r="P4015" s="5">
        <f>IF(O4015="","",IF(O4015&gt;0,1,0))</f>
        <v/>
      </c>
    </row>
    <row r="4016">
      <c r="A4016" s="5" t="n">
        <v>1517730000</v>
      </c>
      <c r="B4016" s="5" t="inlineStr">
        <is>
          <t>EM000080</t>
        </is>
      </c>
      <c r="C4016" s="5" t="inlineStr">
        <is>
          <t>SAIRON DOS SANTOS BASTOS</t>
        </is>
      </c>
      <c r="D4016" s="5" t="inlineStr">
        <is>
          <t>UE</t>
        </is>
      </c>
      <c r="E4016" s="5" t="n">
        <v>200002364</v>
      </c>
      <c r="F4016" s="5" t="inlineStr">
        <is>
          <t>8709</t>
        </is>
      </c>
      <c r="G4016" s="5" t="inlineStr">
        <is>
          <t>BRL</t>
        </is>
      </c>
      <c r="H4016" s="9" t="n">
        <v>960</v>
      </c>
      <c r="I4016" s="16" t="n">
        <v>44362</v>
      </c>
      <c r="J4016" s="16" t="n">
        <v>44362</v>
      </c>
      <c r="K4016" s="5" t="inlineStr">
        <is>
          <t>6909</t>
        </is>
      </c>
      <c r="L4016" s="5" t="inlineStr">
        <is>
          <t>407000.110505</t>
        </is>
      </c>
      <c r="M4016" s="5">
        <f>IF(YEAR(I4016)&lt;=2020,"Até 2020",TEXT(YEAR(I4016),"0"))</f>
        <v/>
      </c>
      <c r="N4016" s="5">
        <f>IFERROR(INDEX(DePara!$A:$A,MATCH(TEXT(B4016,"0"),DePara!$D:$D,0)),"(sem categoria)")</f>
        <v/>
      </c>
      <c r="O4016" s="5">
        <f>IF(J4016="","",Parametros!$B$6-J4016)</f>
        <v/>
      </c>
      <c r="P4016" s="5">
        <f>IF(O4016="","",IF(O4016&gt;0,1,0))</f>
        <v/>
      </c>
    </row>
    <row r="4017">
      <c r="A4017" s="5" t="n">
        <v>1517730000</v>
      </c>
      <c r="B4017" s="5" t="inlineStr">
        <is>
          <t>EM000080</t>
        </is>
      </c>
      <c r="C4017" s="5" t="inlineStr">
        <is>
          <t>SAIRON DOS SANTOS BASTOS</t>
        </is>
      </c>
      <c r="D4017" s="5" t="inlineStr">
        <is>
          <t>UE</t>
        </is>
      </c>
      <c r="E4017" s="5" t="n">
        <v>200002366</v>
      </c>
      <c r="F4017" s="5" t="inlineStr">
        <is>
          <t>8710</t>
        </is>
      </c>
      <c r="G4017" s="5" t="inlineStr">
        <is>
          <t>BRL</t>
        </is>
      </c>
      <c r="H4017" s="9" t="n">
        <v>560</v>
      </c>
      <c r="I4017" s="16" t="n">
        <v>44483</v>
      </c>
      <c r="J4017" s="16" t="n">
        <v>44483</v>
      </c>
      <c r="K4017" s="5" t="inlineStr">
        <is>
          <t>8933</t>
        </is>
      </c>
      <c r="L4017" s="5" t="inlineStr">
        <is>
          <t>407000.110505</t>
        </is>
      </c>
      <c r="M4017" s="5">
        <f>IF(YEAR(I4017)&lt;=2020,"Até 2020",TEXT(YEAR(I4017),"0"))</f>
        <v/>
      </c>
      <c r="N4017" s="5">
        <f>IFERROR(INDEX(DePara!$A:$A,MATCH(TEXT(B4017,"0"),DePara!$D:$D,0)),"(sem categoria)")</f>
        <v/>
      </c>
      <c r="O4017" s="5">
        <f>IF(J4017="","",Parametros!$B$6-J4017)</f>
        <v/>
      </c>
      <c r="P4017" s="5">
        <f>IF(O4017="","",IF(O4017&gt;0,1,0))</f>
        <v/>
      </c>
    </row>
    <row r="4018">
      <c r="A4018" s="5" t="n">
        <v>1517730000</v>
      </c>
      <c r="B4018" s="5" t="inlineStr">
        <is>
          <t>EM000108</t>
        </is>
      </c>
      <c r="C4018" s="5" t="inlineStr">
        <is>
          <t>GISLANIO GOMES DA SILVA</t>
        </is>
      </c>
      <c r="D4018" s="5" t="inlineStr">
        <is>
          <t>UE</t>
        </is>
      </c>
      <c r="E4018" s="5" t="n">
        <v>200002399</v>
      </c>
      <c r="F4018" s="5" t="inlineStr">
        <is>
          <t>8740</t>
        </is>
      </c>
      <c r="G4018" s="5" t="inlineStr">
        <is>
          <t>BRL</t>
        </is>
      </c>
      <c r="H4018" s="9" t="n">
        <v>240</v>
      </c>
      <c r="I4018" s="16" t="n">
        <v>44671</v>
      </c>
      <c r="J4018" s="16" t="n">
        <v>44671</v>
      </c>
      <c r="K4018" s="5" t="inlineStr">
        <is>
          <t>11992</t>
        </is>
      </c>
      <c r="L4018" s="5" t="inlineStr">
        <is>
          <t>407000.110505</t>
        </is>
      </c>
      <c r="M4018" s="5">
        <f>IF(YEAR(I4018)&lt;=2020,"Até 2020",TEXT(YEAR(I4018),"0"))</f>
        <v/>
      </c>
      <c r="N4018" s="5">
        <f>IFERROR(INDEX(DePara!$A:$A,MATCH(TEXT(B4018,"0"),DePara!$D:$D,0)),"(sem categoria)")</f>
        <v/>
      </c>
      <c r="O4018" s="5">
        <f>IF(J4018="","",Parametros!$B$6-J4018)</f>
        <v/>
      </c>
      <c r="P4018" s="5">
        <f>IF(O4018="","",IF(O4018&gt;0,1,0))</f>
        <v/>
      </c>
    </row>
    <row r="4019">
      <c r="A4019" s="5" t="n">
        <v>1517730000</v>
      </c>
      <c r="B4019" s="5" t="inlineStr">
        <is>
          <t>EM000125</t>
        </is>
      </c>
      <c r="C4019" s="5" t="inlineStr">
        <is>
          <t>RODRIGO RAFAEL LIMA DE FARIAS</t>
        </is>
      </c>
      <c r="D4019" s="5" t="inlineStr">
        <is>
          <t>UE</t>
        </is>
      </c>
      <c r="E4019" s="5" t="n">
        <v>200002422</v>
      </c>
      <c r="F4019" s="5" t="inlineStr">
        <is>
          <t>8761</t>
        </is>
      </c>
      <c r="G4019" s="5" t="inlineStr">
        <is>
          <t>BRL</t>
        </is>
      </c>
      <c r="H4019" s="9" t="n">
        <v>2000</v>
      </c>
      <c r="I4019" s="16" t="n">
        <v>45068</v>
      </c>
      <c r="J4019" s="16" t="n">
        <v>45068</v>
      </c>
      <c r="K4019" s="5" t="inlineStr">
        <is>
          <t xml:space="preserve"> 21785</t>
        </is>
      </c>
      <c r="L4019" s="5" t="inlineStr">
        <is>
          <t>407000.110505</t>
        </is>
      </c>
      <c r="M4019" s="5">
        <f>IF(YEAR(I4019)&lt;=2020,"Até 2020",TEXT(YEAR(I4019),"0"))</f>
        <v/>
      </c>
      <c r="N4019" s="5">
        <f>IFERROR(INDEX(DePara!$A:$A,MATCH(TEXT(B4019,"0"),DePara!$D:$D,0)),"(sem categoria)")</f>
        <v/>
      </c>
      <c r="O4019" s="5">
        <f>IF(J4019="","",Parametros!$B$6-J4019)</f>
        <v/>
      </c>
      <c r="P4019" s="5">
        <f>IF(O4019="","",IF(O4019&gt;0,1,0))</f>
        <v/>
      </c>
    </row>
    <row r="4020">
      <c r="A4020" s="5" t="n">
        <v>1517730000</v>
      </c>
      <c r="B4020" s="5" t="inlineStr">
        <is>
          <t>EM000129</t>
        </is>
      </c>
      <c r="C4020" s="5" t="inlineStr">
        <is>
          <t>JOCIVAN DE SOUZA SILVA</t>
        </is>
      </c>
      <c r="D4020" s="5" t="inlineStr">
        <is>
          <t>UE</t>
        </is>
      </c>
      <c r="E4020" s="5" t="n">
        <v>200002425</v>
      </c>
      <c r="F4020" s="5" t="inlineStr">
        <is>
          <t>8764</t>
        </is>
      </c>
      <c r="G4020" s="5" t="inlineStr">
        <is>
          <t>BRL</t>
        </is>
      </c>
      <c r="H4020" s="9" t="n">
        <v>2700</v>
      </c>
      <c r="I4020" s="16" t="n">
        <v>45107</v>
      </c>
      <c r="J4020" s="16" t="n">
        <v>45107</v>
      </c>
      <c r="K4020" s="5" t="inlineStr">
        <is>
          <t>22508</t>
        </is>
      </c>
      <c r="L4020" s="5" t="inlineStr">
        <is>
          <t>407000.110505</t>
        </is>
      </c>
      <c r="M4020" s="5">
        <f>IF(YEAR(I4020)&lt;=2020,"Até 2020",TEXT(YEAR(I4020),"0"))</f>
        <v/>
      </c>
      <c r="N4020" s="5">
        <f>IFERROR(INDEX(DePara!$A:$A,MATCH(TEXT(B4020,"0"),DePara!$D:$D,0)),"(sem categoria)")</f>
        <v/>
      </c>
      <c r="O4020" s="5">
        <f>IF(J4020="","",Parametros!$B$6-J4020)</f>
        <v/>
      </c>
      <c r="P4020" s="5">
        <f>IF(O4020="","",IF(O4020&gt;0,1,0))</f>
        <v/>
      </c>
    </row>
    <row r="4021">
      <c r="A4021" s="5" t="n">
        <v>1517730000</v>
      </c>
      <c r="B4021" s="5" t="inlineStr">
        <is>
          <t>EM000130</t>
        </is>
      </c>
      <c r="C4021" s="5" t="inlineStr">
        <is>
          <t>RANDSON BUENO SOARES SALES</t>
        </is>
      </c>
      <c r="D4021" s="5" t="inlineStr">
        <is>
          <t>UE</t>
        </is>
      </c>
      <c r="E4021" s="5" t="n">
        <v>200002428</v>
      </c>
      <c r="F4021" s="5" t="inlineStr">
        <is>
          <t>8767</t>
        </is>
      </c>
      <c r="G4021" s="5" t="inlineStr">
        <is>
          <t>BRL</t>
        </is>
      </c>
      <c r="H4021" s="9" t="n">
        <v>1300</v>
      </c>
      <c r="I4021" s="16" t="n">
        <v>44567</v>
      </c>
      <c r="J4021" s="16" t="n">
        <v>44567</v>
      </c>
      <c r="K4021" s="5" t="inlineStr">
        <is>
          <t>9849</t>
        </is>
      </c>
      <c r="L4021" s="5" t="inlineStr">
        <is>
          <t>407000.110505</t>
        </is>
      </c>
      <c r="M4021" s="5">
        <f>IF(YEAR(I4021)&lt;=2020,"Até 2020",TEXT(YEAR(I4021),"0"))</f>
        <v/>
      </c>
      <c r="N4021" s="5">
        <f>IFERROR(INDEX(DePara!$A:$A,MATCH(TEXT(B4021,"0"),DePara!$D:$D,0)),"(sem categoria)")</f>
        <v/>
      </c>
      <c r="O4021" s="5">
        <f>IF(J4021="","",Parametros!$B$6-J4021)</f>
        <v/>
      </c>
      <c r="P4021" s="5">
        <f>IF(O4021="","",IF(O4021&gt;0,1,0))</f>
        <v/>
      </c>
    </row>
    <row r="4022">
      <c r="A4022" s="5" t="n">
        <v>1517730000</v>
      </c>
      <c r="B4022" s="5" t="inlineStr">
        <is>
          <t>EM000130</t>
        </is>
      </c>
      <c r="C4022" s="5" t="inlineStr">
        <is>
          <t>RANDSON BUENO SOARES SALES</t>
        </is>
      </c>
      <c r="D4022" s="5" t="inlineStr">
        <is>
          <t>UE</t>
        </is>
      </c>
      <c r="E4022" s="5" t="n">
        <v>200002429</v>
      </c>
      <c r="F4022" s="5" t="inlineStr">
        <is>
          <t>8768</t>
        </is>
      </c>
      <c r="G4022" s="5" t="inlineStr">
        <is>
          <t>BRL</t>
        </is>
      </c>
      <c r="H4022" s="9" t="n">
        <v>1960</v>
      </c>
      <c r="I4022" s="16" t="n">
        <v>44579</v>
      </c>
      <c r="J4022" s="16" t="n">
        <v>44579</v>
      </c>
      <c r="K4022" s="5" t="inlineStr">
        <is>
          <t>10947</t>
        </is>
      </c>
      <c r="L4022" s="5" t="inlineStr">
        <is>
          <t>407000.110505</t>
        </is>
      </c>
      <c r="M4022" s="5">
        <f>IF(YEAR(I4022)&lt;=2020,"Até 2020",TEXT(YEAR(I4022),"0"))</f>
        <v/>
      </c>
      <c r="N4022" s="5">
        <f>IFERROR(INDEX(DePara!$A:$A,MATCH(TEXT(B4022,"0"),DePara!$D:$D,0)),"(sem categoria)")</f>
        <v/>
      </c>
      <c r="O4022" s="5">
        <f>IF(J4022="","",Parametros!$B$6-J4022)</f>
        <v/>
      </c>
      <c r="P4022" s="5">
        <f>IF(O4022="","",IF(O4022&gt;0,1,0))</f>
        <v/>
      </c>
    </row>
    <row r="4023">
      <c r="A4023" s="5" t="n">
        <v>1517730000</v>
      </c>
      <c r="B4023" s="5" t="inlineStr">
        <is>
          <t>EM000130</t>
        </is>
      </c>
      <c r="C4023" s="5" t="inlineStr">
        <is>
          <t>RANDSON BUENO SOARES SALES</t>
        </is>
      </c>
      <c r="D4023" s="5" t="inlineStr">
        <is>
          <t>UE</t>
        </is>
      </c>
      <c r="E4023" s="5" t="n">
        <v>200002430</v>
      </c>
      <c r="F4023" s="5" t="inlineStr">
        <is>
          <t>8769</t>
        </is>
      </c>
      <c r="G4023" s="5" t="inlineStr">
        <is>
          <t>BRL</t>
        </is>
      </c>
      <c r="H4023" s="9" t="n">
        <v>4440</v>
      </c>
      <c r="I4023" s="16" t="n">
        <v>44684</v>
      </c>
      <c r="J4023" s="16" t="n">
        <v>44684</v>
      </c>
      <c r="K4023" s="5" t="inlineStr">
        <is>
          <t>12224</t>
        </is>
      </c>
      <c r="L4023" s="5" t="inlineStr">
        <is>
          <t>407000.110505</t>
        </is>
      </c>
      <c r="M4023" s="5">
        <f>IF(YEAR(I4023)&lt;=2020,"Até 2020",TEXT(YEAR(I4023),"0"))</f>
        <v/>
      </c>
      <c r="N4023" s="5">
        <f>IFERROR(INDEX(DePara!$A:$A,MATCH(TEXT(B4023,"0"),DePara!$D:$D,0)),"(sem categoria)")</f>
        <v/>
      </c>
      <c r="O4023" s="5">
        <f>IF(J4023="","",Parametros!$B$6-J4023)</f>
        <v/>
      </c>
      <c r="P4023" s="5">
        <f>IF(O4023="","",IF(O4023&gt;0,1,0))</f>
        <v/>
      </c>
    </row>
    <row r="4024">
      <c r="A4024" s="5" t="n">
        <v>1517730000</v>
      </c>
      <c r="B4024" s="5" t="inlineStr">
        <is>
          <t>EM000130</t>
        </is>
      </c>
      <c r="C4024" s="5" t="inlineStr">
        <is>
          <t>RANDSON BUENO SOARES SALES</t>
        </is>
      </c>
      <c r="D4024" s="5" t="inlineStr">
        <is>
          <t>UE</t>
        </is>
      </c>
      <c r="E4024" s="5" t="n">
        <v>200002432</v>
      </c>
      <c r="F4024" s="5" t="inlineStr">
        <is>
          <t>8770</t>
        </is>
      </c>
      <c r="G4024" s="5" t="inlineStr">
        <is>
          <t>BRL</t>
        </is>
      </c>
      <c r="H4024" s="9" t="n">
        <v>6562.24</v>
      </c>
      <c r="I4024" s="16" t="n">
        <v>44924</v>
      </c>
      <c r="J4024" s="16" t="n">
        <v>44924</v>
      </c>
      <c r="K4024" s="5" t="inlineStr">
        <is>
          <t>17417</t>
        </is>
      </c>
      <c r="L4024" s="5" t="inlineStr">
        <is>
          <t>407000.110505</t>
        </is>
      </c>
      <c r="M4024" s="5">
        <f>IF(YEAR(I4024)&lt;=2020,"Até 2020",TEXT(YEAR(I4024),"0"))</f>
        <v/>
      </c>
      <c r="N4024" s="5">
        <f>IFERROR(INDEX(DePara!$A:$A,MATCH(TEXT(B4024,"0"),DePara!$D:$D,0)),"(sem categoria)")</f>
        <v/>
      </c>
      <c r="O4024" s="5">
        <f>IF(J4024="","",Parametros!$B$6-J4024)</f>
        <v/>
      </c>
      <c r="P4024" s="5">
        <f>IF(O4024="","",IF(O4024&gt;0,1,0))</f>
        <v/>
      </c>
    </row>
    <row r="4025">
      <c r="A4025" s="5" t="n">
        <v>1517730000</v>
      </c>
      <c r="B4025" s="5" t="inlineStr">
        <is>
          <t>EM000130</t>
        </is>
      </c>
      <c r="C4025" s="5" t="inlineStr">
        <is>
          <t>RANDSON BUENO SOARES SALES</t>
        </is>
      </c>
      <c r="D4025" s="5" t="inlineStr">
        <is>
          <t>UE</t>
        </is>
      </c>
      <c r="E4025" s="5" t="n">
        <v>200002433</v>
      </c>
      <c r="F4025" s="5" t="inlineStr">
        <is>
          <t>8771</t>
        </is>
      </c>
      <c r="G4025" s="5" t="inlineStr">
        <is>
          <t>BRL</t>
        </is>
      </c>
      <c r="H4025" s="9" t="n">
        <v>5363</v>
      </c>
      <c r="I4025" s="16" t="n">
        <v>44670</v>
      </c>
      <c r="J4025" s="16" t="n">
        <v>44670</v>
      </c>
      <c r="K4025" s="5" t="inlineStr">
        <is>
          <t>12033</t>
        </is>
      </c>
      <c r="L4025" s="5" t="inlineStr">
        <is>
          <t>407000.110505</t>
        </is>
      </c>
      <c r="M4025" s="5">
        <f>IF(YEAR(I4025)&lt;=2020,"Até 2020",TEXT(YEAR(I4025),"0"))</f>
        <v/>
      </c>
      <c r="N4025" s="5">
        <f>IFERROR(INDEX(DePara!$A:$A,MATCH(TEXT(B4025,"0"),DePara!$D:$D,0)),"(sem categoria)")</f>
        <v/>
      </c>
      <c r="O4025" s="5">
        <f>IF(J4025="","",Parametros!$B$6-J4025)</f>
        <v/>
      </c>
      <c r="P4025" s="5">
        <f>IF(O4025="","",IF(O4025&gt;0,1,0))</f>
        <v/>
      </c>
    </row>
    <row r="4026">
      <c r="A4026" s="5" t="n">
        <v>1517730000</v>
      </c>
      <c r="B4026" s="5" t="inlineStr">
        <is>
          <t>EM000134</t>
        </is>
      </c>
      <c r="C4026" s="5" t="inlineStr">
        <is>
          <t>FRED LACERDA MACEDO</t>
        </is>
      </c>
      <c r="D4026" s="5" t="inlineStr">
        <is>
          <t>UE</t>
        </is>
      </c>
      <c r="E4026" s="5" t="n">
        <v>200002439</v>
      </c>
      <c r="F4026" s="5" t="inlineStr">
        <is>
          <t>8777</t>
        </is>
      </c>
      <c r="G4026" s="5" t="inlineStr">
        <is>
          <t>BRL</t>
        </is>
      </c>
      <c r="H4026" s="9" t="n">
        <v>5100</v>
      </c>
      <c r="I4026" s="16" t="n">
        <v>44236</v>
      </c>
      <c r="J4026" s="16" t="n">
        <v>44236</v>
      </c>
      <c r="K4026" s="5" t="inlineStr">
        <is>
          <t>6220</t>
        </is>
      </c>
      <c r="L4026" s="5" t="inlineStr">
        <is>
          <t>407000.110505</t>
        </is>
      </c>
      <c r="M4026" s="5">
        <f>IF(YEAR(I4026)&lt;=2020,"Até 2020",TEXT(YEAR(I4026),"0"))</f>
        <v/>
      </c>
      <c r="N4026" s="5">
        <f>IFERROR(INDEX(DePara!$A:$A,MATCH(TEXT(B4026,"0"),DePara!$D:$D,0)),"(sem categoria)")</f>
        <v/>
      </c>
      <c r="O4026" s="5">
        <f>IF(J4026="","",Parametros!$B$6-J4026)</f>
        <v/>
      </c>
      <c r="P4026" s="5">
        <f>IF(O4026="","",IF(O4026&gt;0,1,0))</f>
        <v/>
      </c>
    </row>
    <row r="4027">
      <c r="A4027" s="5" t="n">
        <v>1517730000</v>
      </c>
      <c r="B4027" s="5" t="inlineStr">
        <is>
          <t>EM000134</t>
        </is>
      </c>
      <c r="C4027" s="5" t="inlineStr">
        <is>
          <t>FRED LACERDA MACEDO</t>
        </is>
      </c>
      <c r="D4027" s="5" t="inlineStr">
        <is>
          <t>UE</t>
        </is>
      </c>
      <c r="E4027" s="5" t="n">
        <v>200002440</v>
      </c>
      <c r="F4027" s="5" t="inlineStr">
        <is>
          <t>8778</t>
        </is>
      </c>
      <c r="G4027" s="5" t="inlineStr">
        <is>
          <t>BRL</t>
        </is>
      </c>
      <c r="H4027" s="9" t="n">
        <v>1336</v>
      </c>
      <c r="I4027" s="16" t="n">
        <v>44265</v>
      </c>
      <c r="J4027" s="16" t="n">
        <v>44265</v>
      </c>
      <c r="K4027" s="5" t="inlineStr">
        <is>
          <t>6220.</t>
        </is>
      </c>
      <c r="L4027" s="5" t="inlineStr">
        <is>
          <t>407000.110505</t>
        </is>
      </c>
      <c r="M4027" s="5">
        <f>IF(YEAR(I4027)&lt;=2020,"Até 2020",TEXT(YEAR(I4027),"0"))</f>
        <v/>
      </c>
      <c r="N4027" s="5">
        <f>IFERROR(INDEX(DePara!$A:$A,MATCH(TEXT(B4027,"0"),DePara!$D:$D,0)),"(sem categoria)")</f>
        <v/>
      </c>
      <c r="O4027" s="5">
        <f>IF(J4027="","",Parametros!$B$6-J4027)</f>
        <v/>
      </c>
      <c r="P4027" s="5">
        <f>IF(O4027="","",IF(O4027&gt;0,1,0))</f>
        <v/>
      </c>
    </row>
    <row r="4028">
      <c r="A4028" s="5" t="n">
        <v>1517730000</v>
      </c>
      <c r="B4028" s="5" t="inlineStr">
        <is>
          <t>EM000135</t>
        </is>
      </c>
      <c r="C4028" s="5" t="inlineStr">
        <is>
          <t>MARCELO DE MOURA SILVA</t>
        </is>
      </c>
      <c r="D4028" s="5" t="inlineStr">
        <is>
          <t>UE</t>
        </is>
      </c>
      <c r="E4028" s="5" t="n">
        <v>200002441</v>
      </c>
      <c r="F4028" s="5" t="inlineStr">
        <is>
          <t>8779</t>
        </is>
      </c>
      <c r="G4028" s="5" t="inlineStr">
        <is>
          <t>BRL</t>
        </is>
      </c>
      <c r="H4028" s="9" t="n">
        <v>506</v>
      </c>
      <c r="I4028" s="16" t="n">
        <v>44964</v>
      </c>
      <c r="J4028" s="16" t="n">
        <v>44964</v>
      </c>
      <c r="K4028" s="5" t="inlineStr">
        <is>
          <t>19068</t>
        </is>
      </c>
      <c r="L4028" s="5" t="inlineStr">
        <is>
          <t>407000.110505</t>
        </is>
      </c>
      <c r="M4028" s="5">
        <f>IF(YEAR(I4028)&lt;=2020,"Até 2020",TEXT(YEAR(I4028),"0"))</f>
        <v/>
      </c>
      <c r="N4028" s="5">
        <f>IFERROR(INDEX(DePara!$A:$A,MATCH(TEXT(B4028,"0"),DePara!$D:$D,0)),"(sem categoria)")</f>
        <v/>
      </c>
      <c r="O4028" s="5">
        <f>IF(J4028="","",Parametros!$B$6-J4028)</f>
        <v/>
      </c>
      <c r="P4028" s="5">
        <f>IF(O4028="","",IF(O4028&gt;0,1,0))</f>
        <v/>
      </c>
    </row>
    <row r="4029">
      <c r="A4029" s="5" t="n">
        <v>1517730000</v>
      </c>
      <c r="B4029" s="5" t="inlineStr">
        <is>
          <t>EM000155</t>
        </is>
      </c>
      <c r="C4029" s="5" t="inlineStr">
        <is>
          <t>IAGO TEIXEIRA MORGADO</t>
        </is>
      </c>
      <c r="D4029" s="5" t="inlineStr">
        <is>
          <t>UE</t>
        </is>
      </c>
      <c r="E4029" s="5" t="n">
        <v>200002457</v>
      </c>
      <c r="F4029" s="5" t="inlineStr">
        <is>
          <t>8793</t>
        </is>
      </c>
      <c r="G4029" s="5" t="inlineStr">
        <is>
          <t>BRL</t>
        </is>
      </c>
      <c r="H4029" s="9" t="n">
        <v>3420</v>
      </c>
      <c r="I4029" s="16" t="n">
        <v>44362</v>
      </c>
      <c r="J4029" s="16" t="n">
        <v>44362</v>
      </c>
      <c r="K4029" s="5" t="inlineStr">
        <is>
          <t>6904</t>
        </is>
      </c>
      <c r="L4029" s="5" t="inlineStr">
        <is>
          <t>407000.110505</t>
        </is>
      </c>
      <c r="M4029" s="5">
        <f>IF(YEAR(I4029)&lt;=2020,"Até 2020",TEXT(YEAR(I4029),"0"))</f>
        <v/>
      </c>
      <c r="N4029" s="5">
        <f>IFERROR(INDEX(DePara!$A:$A,MATCH(TEXT(B4029,"0"),DePara!$D:$D,0)),"(sem categoria)")</f>
        <v/>
      </c>
      <c r="O4029" s="5">
        <f>IF(J4029="","",Parametros!$B$6-J4029)</f>
        <v/>
      </c>
      <c r="P4029" s="5">
        <f>IF(O4029="","",IF(O4029&gt;0,1,0))</f>
        <v/>
      </c>
    </row>
    <row r="4030">
      <c r="A4030" s="5" t="n">
        <v>1517730000</v>
      </c>
      <c r="B4030" s="5" t="inlineStr">
        <is>
          <t>EM000394</t>
        </is>
      </c>
      <c r="C4030" s="5" t="inlineStr">
        <is>
          <t>WAGNER DELLA FLORA GROSS</t>
        </is>
      </c>
      <c r="D4030" s="5" t="inlineStr">
        <is>
          <t>AB</t>
        </is>
      </c>
      <c r="E4030" s="5" t="n">
        <v>1100002985</v>
      </c>
      <c r="F4030" s="5" t="n"/>
      <c r="G4030" s="5" t="inlineStr">
        <is>
          <t>BRL</t>
        </is>
      </c>
      <c r="H4030" s="9" t="n">
        <v>-455</v>
      </c>
      <c r="I4030" s="16" t="n">
        <v>45507</v>
      </c>
      <c r="J4030" s="16" t="n">
        <v>45507</v>
      </c>
      <c r="K4030" s="5" t="inlineStr">
        <is>
          <t>Plano Finalizado Reserve, mas WBS bloqueado</t>
        </is>
      </c>
      <c r="L4030" s="5" t="inlineStr">
        <is>
          <t>10072024</t>
        </is>
      </c>
      <c r="M4030" s="5">
        <f>IF(YEAR(I4030)&lt;=2020,"Até 2020",TEXT(YEAR(I4030),"0"))</f>
        <v/>
      </c>
      <c r="N4030" s="5">
        <f>IFERROR(INDEX(DePara!$A:$A,MATCH(TEXT(B4030,"0"),DePara!$D:$D,0)),"(sem categoria)")</f>
        <v/>
      </c>
      <c r="O4030" s="5">
        <f>IF(J4030="","",Parametros!$B$6-J4030)</f>
        <v/>
      </c>
      <c r="P4030" s="5">
        <f>IF(O4030="","",IF(O4030&gt;0,1,0))</f>
        <v/>
      </c>
    </row>
    <row r="4031">
      <c r="A4031" s="5" t="n">
        <v>1517730000</v>
      </c>
      <c r="B4031" s="5" t="inlineStr">
        <is>
          <t>EM000130</t>
        </is>
      </c>
      <c r="C4031" s="5" t="inlineStr">
        <is>
          <t>RANDSON BUENO SOARES SALES</t>
        </is>
      </c>
      <c r="D4031" s="5" t="inlineStr">
        <is>
          <t>AB</t>
        </is>
      </c>
      <c r="E4031" s="5" t="n">
        <v>1100011519</v>
      </c>
      <c r="F4031" s="5" t="inlineStr">
        <is>
          <t>35232</t>
        </is>
      </c>
      <c r="G4031" s="5" t="inlineStr">
        <is>
          <t>BRL</t>
        </is>
      </c>
      <c r="H4031" s="9" t="n">
        <v>1430</v>
      </c>
      <c r="I4031" s="16" t="n">
        <v>46161</v>
      </c>
      <c r="J4031" s="16" t="n">
        <v>45721</v>
      </c>
      <c r="K4031" s="5" t="inlineStr">
        <is>
          <t>Clearing document RANDSON BUENO SOARES SALES 35232</t>
        </is>
      </c>
      <c r="L4031" s="5" t="inlineStr">
        <is>
          <t>05032025</t>
        </is>
      </c>
      <c r="M4031" s="5">
        <f>IF(YEAR(I4031)&lt;=2020,"Até 2020",TEXT(YEAR(I4031),"0"))</f>
        <v/>
      </c>
      <c r="N4031" s="5">
        <f>IFERROR(INDEX(DePara!$A:$A,MATCH(TEXT(B4031,"0"),DePara!$D:$D,0)),"(sem categoria)")</f>
        <v/>
      </c>
      <c r="O4031" s="5">
        <f>IF(J4031="","",Parametros!$B$6-J4031)</f>
        <v/>
      </c>
      <c r="P4031" s="5">
        <f>IF(O4031="","",IF(O4031&gt;0,1,0))</f>
        <v/>
      </c>
    </row>
    <row r="4032">
      <c r="A4032" s="5" t="n">
        <v>1517730000</v>
      </c>
      <c r="B4032" s="5" t="inlineStr">
        <is>
          <t>101888</t>
        </is>
      </c>
      <c r="C4032" s="5" t="inlineStr">
        <is>
          <t>BANCO SANTANDER BRASIL SA</t>
        </is>
      </c>
      <c r="D4032" s="5" t="inlineStr">
        <is>
          <t>AB</t>
        </is>
      </c>
      <c r="E4032" s="5" t="n">
        <v>1100026501</v>
      </c>
      <c r="F4032" s="5" t="inlineStr">
        <is>
          <t>CC 10.2023</t>
        </is>
      </c>
      <c r="G4032" s="5" t="inlineStr">
        <is>
          <t>BRL</t>
        </is>
      </c>
      <c r="H4032" s="9" t="n">
        <v>272.52</v>
      </c>
      <c r="I4032" s="16" t="n">
        <v>45748</v>
      </c>
      <c r="J4032" s="16" t="n">
        <v>45748</v>
      </c>
      <c r="K4032" s="5" t="inlineStr">
        <is>
          <t>Partida individual BANCO SANTANDER BRASIL SA CC 10</t>
        </is>
      </c>
      <c r="L4032" s="5" t="n"/>
      <c r="M4032" s="5">
        <f>IF(YEAR(I4032)&lt;=2020,"Até 2020",TEXT(YEAR(I4032),"0"))</f>
        <v/>
      </c>
      <c r="N4032" s="5">
        <f>IFERROR(INDEX(DePara!$A:$A,MATCH(TEXT(B4032,"0"),DePara!$D:$D,0)),"(sem categoria)")</f>
        <v/>
      </c>
      <c r="O4032" s="5">
        <f>IF(J4032="","",Parametros!$B$6-J4032)</f>
        <v/>
      </c>
      <c r="P4032" s="5">
        <f>IF(O4032="","",IF(O4032&gt;0,1,0))</f>
        <v/>
      </c>
    </row>
    <row r="4033">
      <c r="A4033" s="5" t="n">
        <v>1517730000</v>
      </c>
      <c r="B4033" s="5" t="inlineStr">
        <is>
          <t>101888</t>
        </is>
      </c>
      <c r="C4033" s="5" t="inlineStr">
        <is>
          <t>BANCO SANTANDER BRASIL SA</t>
        </is>
      </c>
      <c r="D4033" s="5" t="inlineStr">
        <is>
          <t>AB</t>
        </is>
      </c>
      <c r="E4033" s="5" t="n">
        <v>1100026504</v>
      </c>
      <c r="F4033" s="5" t="inlineStr">
        <is>
          <t>CC 11.2023</t>
        </is>
      </c>
      <c r="G4033" s="5" t="inlineStr">
        <is>
          <t>BRL</t>
        </is>
      </c>
      <c r="H4033" s="9" t="n">
        <v>20.99</v>
      </c>
      <c r="I4033" s="16" t="n">
        <v>45748</v>
      </c>
      <c r="J4033" s="16" t="n">
        <v>45748</v>
      </c>
      <c r="K4033" s="5" t="inlineStr">
        <is>
          <t>Partida individual BANCO SANTANDER BRASIL SA CC 11</t>
        </is>
      </c>
      <c r="L4033" s="5" t="n"/>
      <c r="M4033" s="5">
        <f>IF(YEAR(I4033)&lt;=2020,"Até 2020",TEXT(YEAR(I4033),"0"))</f>
        <v/>
      </c>
      <c r="N4033" s="5">
        <f>IFERROR(INDEX(DePara!$A:$A,MATCH(TEXT(B4033,"0"),DePara!$D:$D,0)),"(sem categoria)")</f>
        <v/>
      </c>
      <c r="O4033" s="5">
        <f>IF(J4033="","",Parametros!$B$6-J4033)</f>
        <v/>
      </c>
      <c r="P4033" s="5">
        <f>IF(O4033="","",IF(O4033&gt;0,1,0))</f>
        <v/>
      </c>
    </row>
    <row r="4034">
      <c r="A4034" s="5" t="n">
        <v>1517730000</v>
      </c>
      <c r="B4034" s="5" t="inlineStr">
        <is>
          <t>101888</t>
        </is>
      </c>
      <c r="C4034" s="5" t="inlineStr">
        <is>
          <t>BANCO SANTANDER BRASIL SA</t>
        </is>
      </c>
      <c r="D4034" s="5" t="inlineStr">
        <is>
          <t>AB</t>
        </is>
      </c>
      <c r="E4034" s="5" t="n">
        <v>1100026506</v>
      </c>
      <c r="F4034" s="5" t="inlineStr">
        <is>
          <t>CC 09.2023</t>
        </is>
      </c>
      <c r="G4034" s="5" t="inlineStr">
        <is>
          <t>BRL</t>
        </is>
      </c>
      <c r="H4034" s="9" t="n">
        <v>377.86</v>
      </c>
      <c r="I4034" s="16" t="n">
        <v>45748</v>
      </c>
      <c r="J4034" s="16" t="n">
        <v>45748</v>
      </c>
      <c r="K4034" s="5" t="inlineStr">
        <is>
          <t>Partida individual BANCO SANTANDER BRASIL SA CC 09</t>
        </is>
      </c>
      <c r="L4034" s="5" t="n"/>
      <c r="M4034" s="5">
        <f>IF(YEAR(I4034)&lt;=2020,"Até 2020",TEXT(YEAR(I4034),"0"))</f>
        <v/>
      </c>
      <c r="N4034" s="5">
        <f>IFERROR(INDEX(DePara!$A:$A,MATCH(TEXT(B4034,"0"),DePara!$D:$D,0)),"(sem categoria)")</f>
        <v/>
      </c>
      <c r="O4034" s="5">
        <f>IF(J4034="","",Parametros!$B$6-J4034)</f>
        <v/>
      </c>
      <c r="P4034" s="5">
        <f>IF(O4034="","",IF(O4034&gt;0,1,0))</f>
        <v/>
      </c>
    </row>
    <row r="4035">
      <c r="A4035" s="5" t="n">
        <v>1517730000</v>
      </c>
      <c r="B4035" s="5" t="inlineStr">
        <is>
          <t>107672</t>
        </is>
      </c>
      <c r="C4035" s="5" t="inlineStr">
        <is>
          <t>WONGTSCHOWSKI KLEIMAN ADVOGADOS</t>
        </is>
      </c>
      <c r="D4035" s="5" t="inlineStr">
        <is>
          <t>KZ</t>
        </is>
      </c>
      <c r="E4035" s="5" t="n">
        <v>1300000905</v>
      </c>
      <c r="F4035" s="5" t="n"/>
      <c r="G4035" s="5" t="inlineStr">
        <is>
          <t>BRL</t>
        </is>
      </c>
      <c r="H4035" s="9" t="n">
        <v>1300.65</v>
      </c>
      <c r="I4035" s="16" t="n">
        <v>46049</v>
      </c>
      <c r="J4035" s="16" t="n">
        <v>46049</v>
      </c>
      <c r="K4035" s="5" t="inlineStr">
        <is>
          <t>Não pagar, eles precisam devolver este valor</t>
        </is>
      </c>
      <c r="L4035" s="5" t="inlineStr">
        <is>
          <t>19022026</t>
        </is>
      </c>
      <c r="M4035" s="5">
        <f>IF(YEAR(I4035)&lt;=2020,"Até 2020",TEXT(YEAR(I4035),"0"))</f>
        <v/>
      </c>
      <c r="N4035" s="5">
        <f>IFERROR(INDEX(DePara!$A:$A,MATCH(TEXT(B4035,"0"),DePara!$D:$D,0)),"(sem categoria)")</f>
        <v/>
      </c>
      <c r="O4035" s="5">
        <f>IF(J4035="","",Parametros!$B$6-J4035)</f>
        <v/>
      </c>
      <c r="P4035" s="5">
        <f>IF(O4035="","",IF(O4035&gt;0,1,0))</f>
        <v/>
      </c>
    </row>
    <row r="4036">
      <c r="A4036" s="5" t="n">
        <v>1517730000</v>
      </c>
      <c r="B4036" s="5" t="inlineStr">
        <is>
          <t>EM000127</t>
        </is>
      </c>
      <c r="C4036" s="5" t="inlineStr">
        <is>
          <t>GUSTAVO FERNANDES LIMA</t>
        </is>
      </c>
      <c r="D4036" s="5" t="inlineStr">
        <is>
          <t>ZP</t>
        </is>
      </c>
      <c r="E4036" s="5" t="n">
        <v>2000003246</v>
      </c>
      <c r="F4036" s="5" t="n"/>
      <c r="G4036" s="5" t="inlineStr">
        <is>
          <t>BRL</t>
        </is>
      </c>
      <c r="H4036" s="9" t="n">
        <v>2210</v>
      </c>
      <c r="I4036" s="16" t="n">
        <v>45352</v>
      </c>
      <c r="J4036" s="16" t="n">
        <v>45352</v>
      </c>
      <c r="K4036" s="5" t="inlineStr">
        <is>
          <t>Documento fornecedor GUSTAVO FERNANDES LIMA 29535</t>
        </is>
      </c>
      <c r="L4036" s="5" t="inlineStr">
        <is>
          <t>01032024</t>
        </is>
      </c>
      <c r="M4036" s="5">
        <f>IF(YEAR(I4036)&lt;=2020,"Até 2020",TEXT(YEAR(I4036),"0"))</f>
        <v/>
      </c>
      <c r="N4036" s="5">
        <f>IFERROR(INDEX(DePara!$A:$A,MATCH(TEXT(B4036,"0"),DePara!$D:$D,0)),"(sem categoria)")</f>
        <v/>
      </c>
      <c r="O4036" s="5">
        <f>IF(J4036="","",Parametros!$B$6-J4036)</f>
        <v/>
      </c>
      <c r="P4036" s="5">
        <f>IF(O4036="","",IF(O4036&gt;0,1,0))</f>
        <v/>
      </c>
    </row>
    <row r="4037">
      <c r="A4037" s="5" t="n">
        <v>1517730000</v>
      </c>
      <c r="B4037" s="5" t="inlineStr">
        <is>
          <t>EM000281</t>
        </is>
      </c>
      <c r="C4037" s="5" t="inlineStr">
        <is>
          <t>VANESSA REGINA DE CAMARGO</t>
        </is>
      </c>
      <c r="D4037" s="5" t="inlineStr">
        <is>
          <t>ZP</t>
        </is>
      </c>
      <c r="E4037" s="5" t="n">
        <v>2000007106</v>
      </c>
      <c r="F4037" s="5" t="n"/>
      <c r="G4037" s="5" t="inlineStr">
        <is>
          <t>BRL</t>
        </is>
      </c>
      <c r="H4037" s="9" t="n">
        <v>240</v>
      </c>
      <c r="I4037" s="16" t="n">
        <v>45483</v>
      </c>
      <c r="J4037" s="16" t="n">
        <v>45483</v>
      </c>
      <c r="K4037" s="5" t="inlineStr">
        <is>
          <t>Documento fornecedor VANESSA REGINA DE CAMARGO 117</t>
        </is>
      </c>
      <c r="L4037" s="5" t="inlineStr">
        <is>
          <t>10072024</t>
        </is>
      </c>
      <c r="M4037" s="5">
        <f>IF(YEAR(I4037)&lt;=2020,"Até 2020",TEXT(YEAR(I4037),"0"))</f>
        <v/>
      </c>
      <c r="N4037" s="5">
        <f>IFERROR(INDEX(DePara!$A:$A,MATCH(TEXT(B4037,"0"),DePara!$D:$D,0)),"(sem categoria)")</f>
        <v/>
      </c>
      <c r="O4037" s="5">
        <f>IF(J4037="","",Parametros!$B$6-J4037)</f>
        <v/>
      </c>
      <c r="P4037" s="5">
        <f>IF(O4037="","",IF(O4037&gt;0,1,0))</f>
        <v/>
      </c>
    </row>
    <row r="4038">
      <c r="A4038" s="5" t="n">
        <v>1517730000</v>
      </c>
      <c r="B4038" s="5" t="inlineStr">
        <is>
          <t>EM000394</t>
        </is>
      </c>
      <c r="C4038" s="5" t="inlineStr">
        <is>
          <t>WAGNER DELLA FLORA GROSS</t>
        </is>
      </c>
      <c r="D4038" s="5" t="inlineStr">
        <is>
          <t>ZP</t>
        </is>
      </c>
      <c r="E4038" s="5" t="n">
        <v>2000007111</v>
      </c>
      <c r="F4038" s="5" t="n"/>
      <c r="G4038" s="5" t="inlineStr">
        <is>
          <t>BRL</t>
        </is>
      </c>
      <c r="H4038" s="9" t="n">
        <v>520</v>
      </c>
      <c r="I4038" s="16" t="n">
        <v>45483</v>
      </c>
      <c r="J4038" s="16" t="n">
        <v>45483</v>
      </c>
      <c r="K4038" s="5" t="inlineStr">
        <is>
          <t>Plano Finalizado Reserve, mas WBS bloqueado</t>
        </is>
      </c>
      <c r="L4038" s="5" t="inlineStr">
        <is>
          <t>10072024</t>
        </is>
      </c>
      <c r="M4038" s="5">
        <f>IF(YEAR(I4038)&lt;=2020,"Até 2020",TEXT(YEAR(I4038),"0"))</f>
        <v/>
      </c>
      <c r="N4038" s="5">
        <f>IFERROR(INDEX(DePara!$A:$A,MATCH(TEXT(B4038,"0"),DePara!$D:$D,0)),"(sem categoria)")</f>
        <v/>
      </c>
      <c r="O4038" s="5">
        <f>IF(J4038="","",Parametros!$B$6-J4038)</f>
        <v/>
      </c>
      <c r="P4038" s="5">
        <f>IF(O4038="","",IF(O4038&gt;0,1,0))</f>
        <v/>
      </c>
    </row>
    <row r="4039">
      <c r="A4039" s="5" t="n">
        <v>1517730000</v>
      </c>
      <c r="B4039" s="5" t="inlineStr">
        <is>
          <t>EM000663</t>
        </is>
      </c>
      <c r="C4039" s="5" t="inlineStr">
        <is>
          <t>MARCELO DA COSTA BRAS</t>
        </is>
      </c>
      <c r="D4039" s="5" t="inlineStr">
        <is>
          <t>ZP</t>
        </is>
      </c>
      <c r="E4039" s="5" t="n">
        <v>2000020499</v>
      </c>
      <c r="F4039" s="5" t="n"/>
      <c r="G4039" s="5" t="inlineStr">
        <is>
          <t>BRL</t>
        </is>
      </c>
      <c r="H4039" s="9" t="n">
        <v>130</v>
      </c>
      <c r="I4039" s="16" t="n">
        <v>45597</v>
      </c>
      <c r="J4039" s="16" t="n">
        <v>45597</v>
      </c>
      <c r="K4039" s="5" t="inlineStr">
        <is>
          <t>Vendor DP Request MARCELO DA COSTA BRAS 34383</t>
        </is>
      </c>
      <c r="L4039" s="5" t="inlineStr">
        <is>
          <t>01112024</t>
        </is>
      </c>
      <c r="M4039" s="5">
        <f>IF(YEAR(I4039)&lt;=2020,"Até 2020",TEXT(YEAR(I4039),"0"))</f>
        <v/>
      </c>
      <c r="N4039" s="5">
        <f>IFERROR(INDEX(DePara!$A:$A,MATCH(TEXT(B4039,"0"),DePara!$D:$D,0)),"(sem categoria)")</f>
        <v/>
      </c>
      <c r="O4039" s="5">
        <f>IF(J4039="","",Parametros!$B$6-J4039)</f>
        <v/>
      </c>
      <c r="P4039" s="5">
        <f>IF(O4039="","",IF(O4039&gt;0,1,0))</f>
        <v/>
      </c>
    </row>
    <row r="4040">
      <c r="A4040" s="5" t="n">
        <v>1517730000</v>
      </c>
      <c r="B4040" s="5" t="inlineStr">
        <is>
          <t>EM000431</t>
        </is>
      </c>
      <c r="C4040" s="5" t="inlineStr">
        <is>
          <t>HERVERTON CAVALCANTE LIMA</t>
        </is>
      </c>
      <c r="D4040" s="5" t="inlineStr">
        <is>
          <t>ZP</t>
        </is>
      </c>
      <c r="E4040" s="5" t="n">
        <v>2000022603</v>
      </c>
      <c r="F4040" s="5" t="n"/>
      <c r="G4040" s="5" t="inlineStr">
        <is>
          <t>BRL</t>
        </is>
      </c>
      <c r="H4040" s="9" t="n">
        <v>780</v>
      </c>
      <c r="I4040" s="16" t="n">
        <v>45604</v>
      </c>
      <c r="J4040" s="16" t="n">
        <v>45604</v>
      </c>
      <c r="K4040" s="5" t="inlineStr">
        <is>
          <t>Documento fornecedor HERVERTON CAVALCANTE LIMA 344</t>
        </is>
      </c>
      <c r="L4040" s="5" t="inlineStr">
        <is>
          <t>08112024</t>
        </is>
      </c>
      <c r="M4040" s="5">
        <f>IF(YEAR(I4040)&lt;=2020,"Até 2020",TEXT(YEAR(I4040),"0"))</f>
        <v/>
      </c>
      <c r="N4040" s="5">
        <f>IFERROR(INDEX(DePara!$A:$A,MATCH(TEXT(B4040,"0"),DePara!$D:$D,0)),"(sem categoria)")</f>
        <v/>
      </c>
      <c r="O4040" s="5">
        <f>IF(J4040="","",Parametros!$B$6-J4040)</f>
        <v/>
      </c>
      <c r="P4040" s="5">
        <f>IF(O4040="","",IF(O4040&gt;0,1,0))</f>
        <v/>
      </c>
    </row>
    <row r="4041">
      <c r="A4041" s="5" t="n">
        <v>1193100000</v>
      </c>
      <c r="B4041" s="5" t="inlineStr">
        <is>
          <t>IC1000</t>
        </is>
      </c>
      <c r="C4041" s="5" t="inlineStr">
        <is>
          <t>NORDEX ENERGY SE &amp; CO KG</t>
        </is>
      </c>
      <c r="D4041" s="5" t="inlineStr">
        <is>
          <t>KZ</t>
        </is>
      </c>
      <c r="E4041" s="5" t="n">
        <v>301810</v>
      </c>
      <c r="F4041" s="5" t="n"/>
      <c r="G4041" s="5" t="inlineStr">
        <is>
          <t>EUR</t>
        </is>
      </c>
      <c r="H4041" s="9" t="n">
        <v>7609.23</v>
      </c>
      <c r="I4041" s="16" t="n">
        <v>45166</v>
      </c>
      <c r="J4041" s="16" t="n">
        <v>45166</v>
      </c>
      <c r="K4041" s="5" t="inlineStr">
        <is>
          <t>Vendor DP Request NORDEX ENERGY SE &amp; CO. KG IC1000</t>
        </is>
      </c>
      <c r="L4041" s="5" t="n"/>
      <c r="M4041" s="5">
        <f>IF(YEAR(I4041)&lt;=2020,"Até 2020",TEXT(YEAR(I4041),"0"))</f>
        <v/>
      </c>
      <c r="N4041" s="5">
        <f>IFERROR(INDEX(DePara!$A:$A,MATCH(TEXT(B4041,"0"),DePara!$D:$D,0)),"(sem categoria)")</f>
        <v/>
      </c>
      <c r="O4041" s="5">
        <f>IF(J4041="","",Parametros!$B$6-J4041)</f>
        <v/>
      </c>
      <c r="P4041" s="5">
        <f>IF(O4041="","",IF(O4041&gt;0,1,0))</f>
        <v/>
      </c>
    </row>
    <row r="4042">
      <c r="A4042" s="5" t="n">
        <v>1193100000</v>
      </c>
      <c r="B4042" s="5" t="inlineStr">
        <is>
          <t>IC1000</t>
        </is>
      </c>
      <c r="C4042" s="5" t="inlineStr">
        <is>
          <t>NORDEX ENERGY SE &amp; CO KG</t>
        </is>
      </c>
      <c r="D4042" s="5" t="inlineStr">
        <is>
          <t>UE</t>
        </is>
      </c>
      <c r="E4042" s="5" t="n">
        <v>200015498</v>
      </c>
      <c r="F4042" s="5" t="inlineStr">
        <is>
          <t>13145</t>
        </is>
      </c>
      <c r="G4042" s="5" t="inlineStr">
        <is>
          <t>EUR</t>
        </is>
      </c>
      <c r="H4042" s="9" t="n">
        <v>44216847</v>
      </c>
      <c r="I4042" s="16" t="n">
        <v>44677</v>
      </c>
      <c r="J4042" s="16" t="n">
        <v>44677</v>
      </c>
      <c r="K4042" s="5" t="inlineStr">
        <is>
          <t>612678</t>
        </is>
      </c>
      <c r="L4042" s="5" t="inlineStr">
        <is>
          <t>407000.1000</t>
        </is>
      </c>
      <c r="M4042" s="5">
        <f>IF(YEAR(I4042)&lt;=2020,"Até 2020",TEXT(YEAR(I4042),"0"))</f>
        <v/>
      </c>
      <c r="N4042" s="5">
        <f>IFERROR(INDEX(DePara!$A:$A,MATCH(TEXT(B4042,"0"),DePara!$D:$D,0)),"(sem categoria)")</f>
        <v/>
      </c>
      <c r="O4042" s="5">
        <f>IF(J4042="","",Parametros!$B$6-J4042)</f>
        <v/>
      </c>
      <c r="P4042" s="5">
        <f>IF(O4042="","",IF(O4042&gt;0,1,0))</f>
        <v/>
      </c>
    </row>
    <row r="4043">
      <c r="A4043" s="5" t="n">
        <v>1193100000</v>
      </c>
      <c r="B4043" s="5" t="inlineStr">
        <is>
          <t>IC1000</t>
        </is>
      </c>
      <c r="C4043" s="5" t="inlineStr">
        <is>
          <t>NORDEX ENERGY SE &amp; CO KG</t>
        </is>
      </c>
      <c r="D4043" s="5" t="inlineStr">
        <is>
          <t>UE</t>
        </is>
      </c>
      <c r="E4043" s="5" t="n">
        <v>200015499</v>
      </c>
      <c r="F4043" s="5" t="inlineStr">
        <is>
          <t>13146</t>
        </is>
      </c>
      <c r="G4043" s="5" t="inlineStr">
        <is>
          <t>EUR</t>
        </is>
      </c>
      <c r="H4043" s="9" t="n">
        <v>42482853</v>
      </c>
      <c r="I4043" s="16" t="n">
        <v>44677</v>
      </c>
      <c r="J4043" s="16" t="n">
        <v>44677</v>
      </c>
      <c r="K4043" s="5" t="inlineStr">
        <is>
          <t>612678-1</t>
        </is>
      </c>
      <c r="L4043" s="5" t="inlineStr">
        <is>
          <t>407000.1000</t>
        </is>
      </c>
      <c r="M4043" s="5">
        <f>IF(YEAR(I4043)&lt;=2020,"Até 2020",TEXT(YEAR(I4043),"0"))</f>
        <v/>
      </c>
      <c r="N4043" s="5">
        <f>IFERROR(INDEX(DePara!$A:$A,MATCH(TEXT(B4043,"0"),DePara!$D:$D,0)),"(sem categoria)")</f>
        <v/>
      </c>
      <c r="O4043" s="5">
        <f>IF(J4043="","",Parametros!$B$6-J4043)</f>
        <v/>
      </c>
      <c r="P4043" s="5">
        <f>IF(O4043="","",IF(O4043&gt;0,1,0))</f>
        <v/>
      </c>
    </row>
    <row r="4044">
      <c r="A4044" s="5" t="n">
        <v>1193100000</v>
      </c>
      <c r="B4044" s="5" t="inlineStr">
        <is>
          <t>IC1000</t>
        </is>
      </c>
      <c r="C4044" s="5" t="inlineStr">
        <is>
          <t>NORDEX ENERGY SE &amp; CO KG</t>
        </is>
      </c>
      <c r="D4044" s="5" t="inlineStr">
        <is>
          <t>UE</t>
        </is>
      </c>
      <c r="E4044" s="5" t="n">
        <v>200015500</v>
      </c>
      <c r="F4044" s="5" t="inlineStr">
        <is>
          <t>13147</t>
        </is>
      </c>
      <c r="G4044" s="5" t="inlineStr">
        <is>
          <t>EUR</t>
        </is>
      </c>
      <c r="H4044" s="9" t="n">
        <v>22473385.98</v>
      </c>
      <c r="I4044" s="16" t="n">
        <v>44320</v>
      </c>
      <c r="J4044" s="16" t="n">
        <v>44320</v>
      </c>
      <c r="K4044" s="5" t="inlineStr">
        <is>
          <t>610177_2</t>
        </is>
      </c>
      <c r="L4044" s="5" t="inlineStr">
        <is>
          <t>407000.1000</t>
        </is>
      </c>
      <c r="M4044" s="5">
        <f>IF(YEAR(I4044)&lt;=2020,"Até 2020",TEXT(YEAR(I4044),"0"))</f>
        <v/>
      </c>
      <c r="N4044" s="5">
        <f>IFERROR(INDEX(DePara!$A:$A,MATCH(TEXT(B4044,"0"),DePara!$D:$D,0)),"(sem categoria)")</f>
        <v/>
      </c>
      <c r="O4044" s="5">
        <f>IF(J4044="","",Parametros!$B$6-J4044)</f>
        <v/>
      </c>
      <c r="P4044" s="5">
        <f>IF(O4044="","",IF(O4044&gt;0,1,0))</f>
        <v/>
      </c>
    </row>
    <row r="4045">
      <c r="A4045" s="5" t="n">
        <v>1193100000</v>
      </c>
      <c r="B4045" s="5" t="inlineStr">
        <is>
          <t>IC1000</t>
        </is>
      </c>
      <c r="C4045" s="5" t="inlineStr">
        <is>
          <t>NORDEX ENERGY SE &amp; CO KG</t>
        </is>
      </c>
      <c r="D4045" s="5" t="inlineStr">
        <is>
          <t>UE</t>
        </is>
      </c>
      <c r="E4045" s="5" t="n">
        <v>200015506</v>
      </c>
      <c r="F4045" s="5" t="inlineStr">
        <is>
          <t>13152</t>
        </is>
      </c>
      <c r="G4045" s="5" t="inlineStr">
        <is>
          <t>EUR</t>
        </is>
      </c>
      <c r="H4045" s="9" t="n">
        <v>4185978.28</v>
      </c>
      <c r="I4045" s="16" t="n">
        <v>44509</v>
      </c>
      <c r="J4045" s="16" t="n">
        <v>44509</v>
      </c>
      <c r="K4045" s="5" t="inlineStr">
        <is>
          <t>611242_3</t>
        </is>
      </c>
      <c r="L4045" s="5" t="inlineStr">
        <is>
          <t>407000.1000</t>
        </is>
      </c>
      <c r="M4045" s="5">
        <f>IF(YEAR(I4045)&lt;=2020,"Até 2020",TEXT(YEAR(I4045),"0"))</f>
        <v/>
      </c>
      <c r="N4045" s="5">
        <f>IFERROR(INDEX(DePara!$A:$A,MATCH(TEXT(B4045,"0"),DePara!$D:$D,0)),"(sem categoria)")</f>
        <v/>
      </c>
      <c r="O4045" s="5">
        <f>IF(J4045="","",Parametros!$B$6-J4045)</f>
        <v/>
      </c>
      <c r="P4045" s="5">
        <f>IF(O4045="","",IF(O4045&gt;0,1,0))</f>
        <v/>
      </c>
    </row>
    <row r="4046">
      <c r="A4046" s="5" t="n">
        <v>1193100000</v>
      </c>
      <c r="B4046" s="5" t="inlineStr">
        <is>
          <t>IC1000</t>
        </is>
      </c>
      <c r="C4046" s="5" t="inlineStr">
        <is>
          <t>NORDEX ENERGY SE &amp; CO KG</t>
        </is>
      </c>
      <c r="D4046" s="5" t="inlineStr">
        <is>
          <t>UE</t>
        </is>
      </c>
      <c r="E4046" s="5" t="n">
        <v>200015513</v>
      </c>
      <c r="F4046" s="5" t="inlineStr">
        <is>
          <t>13159</t>
        </is>
      </c>
      <c r="G4046" s="5" t="inlineStr">
        <is>
          <t>EUR</t>
        </is>
      </c>
      <c r="H4046" s="9" t="n">
        <v>9853116</v>
      </c>
      <c r="I4046" s="16" t="n">
        <v>44708</v>
      </c>
      <c r="J4046" s="16" t="n">
        <v>44708</v>
      </c>
      <c r="K4046" s="5" t="inlineStr">
        <is>
          <t>612759.1</t>
        </is>
      </c>
      <c r="L4046" s="5" t="inlineStr">
        <is>
          <t>407000.1000</t>
        </is>
      </c>
      <c r="M4046" s="5">
        <f>IF(YEAR(I4046)&lt;=2020,"Até 2020",TEXT(YEAR(I4046),"0"))</f>
        <v/>
      </c>
      <c r="N4046" s="5">
        <f>IFERROR(INDEX(DePara!$A:$A,MATCH(TEXT(B4046,"0"),DePara!$D:$D,0)),"(sem categoria)")</f>
        <v/>
      </c>
      <c r="O4046" s="5">
        <f>IF(J4046="","",Parametros!$B$6-J4046)</f>
        <v/>
      </c>
      <c r="P4046" s="5">
        <f>IF(O4046="","",IF(O4046&gt;0,1,0))</f>
        <v/>
      </c>
    </row>
    <row r="4047">
      <c r="A4047" s="5" t="n">
        <v>1193100000</v>
      </c>
      <c r="B4047" s="5" t="inlineStr">
        <is>
          <t>IC1000</t>
        </is>
      </c>
      <c r="C4047" s="5" t="inlineStr">
        <is>
          <t>NORDEX ENERGY SE &amp; CO KG</t>
        </is>
      </c>
      <c r="D4047" s="5" t="inlineStr">
        <is>
          <t>UE</t>
        </is>
      </c>
      <c r="E4047" s="5" t="n">
        <v>200015518</v>
      </c>
      <c r="F4047" s="5" t="inlineStr">
        <is>
          <t>13163</t>
        </is>
      </c>
      <c r="G4047" s="5" t="inlineStr">
        <is>
          <t>EUR</t>
        </is>
      </c>
      <c r="H4047" s="9" t="n">
        <v>11840394.93</v>
      </c>
      <c r="I4047" s="16" t="n">
        <v>44749</v>
      </c>
      <c r="J4047" s="16" t="n">
        <v>44749</v>
      </c>
      <c r="K4047" s="5" t="inlineStr">
        <is>
          <t>613239.</t>
        </is>
      </c>
      <c r="L4047" s="5" t="inlineStr">
        <is>
          <t>407000.1000</t>
        </is>
      </c>
      <c r="M4047" s="5">
        <f>IF(YEAR(I4047)&lt;=2020,"Até 2020",TEXT(YEAR(I4047),"0"))</f>
        <v/>
      </c>
      <c r="N4047" s="5">
        <f>IFERROR(INDEX(DePara!$A:$A,MATCH(TEXT(B4047,"0"),DePara!$D:$D,0)),"(sem categoria)")</f>
        <v/>
      </c>
      <c r="O4047" s="5">
        <f>IF(J4047="","",Parametros!$B$6-J4047)</f>
        <v/>
      </c>
      <c r="P4047" s="5">
        <f>IF(O4047="","",IF(O4047&gt;0,1,0))</f>
        <v/>
      </c>
    </row>
    <row r="4048">
      <c r="A4048" s="5" t="n">
        <v>1193100000</v>
      </c>
      <c r="B4048" s="5" t="inlineStr">
        <is>
          <t>IC4420</t>
        </is>
      </c>
      <c r="C4048" s="5" t="inlineStr">
        <is>
          <t>NORDEX ENERGY SPAIN S A U</t>
        </is>
      </c>
      <c r="D4048" s="5" t="inlineStr">
        <is>
          <t>UE</t>
        </is>
      </c>
      <c r="E4048" s="5" t="n">
        <v>200018362</v>
      </c>
      <c r="F4048" s="5" t="inlineStr">
        <is>
          <t>11229</t>
        </is>
      </c>
      <c r="G4048" s="5" t="inlineStr">
        <is>
          <t>EUR</t>
        </is>
      </c>
      <c r="H4048" s="9" t="n">
        <v>3386.11</v>
      </c>
      <c r="I4048" s="16" t="n">
        <v>42789</v>
      </c>
      <c r="J4048" s="16" t="n">
        <v>42789</v>
      </c>
      <c r="K4048" s="5" t="inlineStr">
        <is>
          <t>P2017075</t>
        </is>
      </c>
      <c r="L4048" s="5" t="inlineStr">
        <is>
          <t>407000.110501</t>
        </is>
      </c>
      <c r="M4048" s="5">
        <f>IF(YEAR(I4048)&lt;=2020,"Até 2020",TEXT(YEAR(I4048),"0"))</f>
        <v/>
      </c>
      <c r="N4048" s="5">
        <f>IFERROR(INDEX(DePara!$A:$A,MATCH(TEXT(B4048,"0"),DePara!$D:$D,0)),"(sem categoria)")</f>
        <v/>
      </c>
      <c r="O4048" s="5">
        <f>IF(J4048="","",Parametros!$B$6-J4048)</f>
        <v/>
      </c>
      <c r="P4048" s="5">
        <f>IF(O4048="","",IF(O4048&gt;0,1,0))</f>
        <v/>
      </c>
    </row>
    <row r="4049">
      <c r="A4049" s="5" t="n">
        <v>1193100000</v>
      </c>
      <c r="B4049" s="5" t="inlineStr">
        <is>
          <t>IC4420</t>
        </is>
      </c>
      <c r="C4049" s="5" t="inlineStr">
        <is>
          <t>NORDEX ENERGY SPAIN S A U</t>
        </is>
      </c>
      <c r="D4049" s="5" t="inlineStr">
        <is>
          <t>UE</t>
        </is>
      </c>
      <c r="E4049" s="5" t="n">
        <v>200018364</v>
      </c>
      <c r="F4049" s="5" t="inlineStr">
        <is>
          <t>11230</t>
        </is>
      </c>
      <c r="G4049" s="5" t="inlineStr">
        <is>
          <t>EUR</t>
        </is>
      </c>
      <c r="H4049" s="9" t="n">
        <v>297.26</v>
      </c>
      <c r="I4049" s="16" t="n">
        <v>44008</v>
      </c>
      <c r="J4049" s="16" t="n">
        <v>44008</v>
      </c>
      <c r="K4049" s="5" t="inlineStr">
        <is>
          <t>20171774-20171775</t>
        </is>
      </c>
      <c r="L4049" s="5" t="inlineStr">
        <is>
          <t>407000.110501</t>
        </is>
      </c>
      <c r="M4049" s="5">
        <f>IF(YEAR(I4049)&lt;=2020,"Até 2020",TEXT(YEAR(I4049),"0"))</f>
        <v/>
      </c>
      <c r="N4049" s="5">
        <f>IFERROR(INDEX(DePara!$A:$A,MATCH(TEXT(B4049,"0"),DePara!$D:$D,0)),"(sem categoria)")</f>
        <v/>
      </c>
      <c r="O4049" s="5">
        <f>IF(J4049="","",Parametros!$B$6-J4049)</f>
        <v/>
      </c>
      <c r="P4049" s="5">
        <f>IF(O4049="","",IF(O4049&gt;0,1,0))</f>
        <v/>
      </c>
    </row>
    <row r="4050">
      <c r="A4050" s="5" t="n">
        <v>1193100000</v>
      </c>
      <c r="B4050" s="5" t="inlineStr">
        <is>
          <t>IC4420</t>
        </is>
      </c>
      <c r="C4050" s="5" t="inlineStr">
        <is>
          <t>NORDEX ENERGY SPAIN S A U</t>
        </is>
      </c>
      <c r="D4050" s="5" t="inlineStr">
        <is>
          <t>UE</t>
        </is>
      </c>
      <c r="E4050" s="5" t="n">
        <v>200018365</v>
      </c>
      <c r="F4050" s="5" t="inlineStr">
        <is>
          <t>11231</t>
        </is>
      </c>
      <c r="G4050" s="5" t="inlineStr">
        <is>
          <t>EUR</t>
        </is>
      </c>
      <c r="H4050" s="9" t="n">
        <v>26363.07</v>
      </c>
      <c r="I4050" s="16" t="n">
        <v>44011</v>
      </c>
      <c r="J4050" s="16" t="n">
        <v>44011</v>
      </c>
      <c r="K4050" s="5" t="inlineStr">
        <is>
          <t>2017977-20172197</t>
        </is>
      </c>
      <c r="L4050" s="5" t="inlineStr">
        <is>
          <t>407000.110501</t>
        </is>
      </c>
      <c r="M4050" s="5">
        <f>IF(YEAR(I4050)&lt;=2020,"Até 2020",TEXT(YEAR(I4050),"0"))</f>
        <v/>
      </c>
      <c r="N4050" s="5">
        <f>IFERROR(INDEX(DePara!$A:$A,MATCH(TEXT(B4050,"0"),DePara!$D:$D,0)),"(sem categoria)")</f>
        <v/>
      </c>
      <c r="O4050" s="5">
        <f>IF(J4050="","",Parametros!$B$6-J4050)</f>
        <v/>
      </c>
      <c r="P4050" s="5">
        <f>IF(O4050="","",IF(O4050&gt;0,1,0))</f>
        <v/>
      </c>
    </row>
    <row r="4051">
      <c r="A4051" s="5" t="n">
        <v>1193100000</v>
      </c>
      <c r="B4051" s="5" t="inlineStr">
        <is>
          <t>IC4420</t>
        </is>
      </c>
      <c r="C4051" s="5" t="inlineStr">
        <is>
          <t>NORDEX ENERGY SPAIN S A U</t>
        </is>
      </c>
      <c r="D4051" s="5" t="inlineStr">
        <is>
          <t>UE</t>
        </is>
      </c>
      <c r="E4051" s="5" t="n">
        <v>200018366</v>
      </c>
      <c r="F4051" s="5" t="inlineStr">
        <is>
          <t>11232</t>
        </is>
      </c>
      <c r="G4051" s="5" t="inlineStr">
        <is>
          <t>EUR</t>
        </is>
      </c>
      <c r="H4051" s="9" t="n">
        <v>5005.3</v>
      </c>
      <c r="I4051" s="16" t="n">
        <v>43286</v>
      </c>
      <c r="J4051" s="16" t="n">
        <v>43286</v>
      </c>
      <c r="K4051" s="5" t="inlineStr">
        <is>
          <t>40</t>
        </is>
      </c>
      <c r="L4051" s="5" t="inlineStr">
        <is>
          <t>407000.INGE</t>
        </is>
      </c>
      <c r="M4051" s="5">
        <f>IF(YEAR(I4051)&lt;=2020,"Até 2020",TEXT(YEAR(I4051),"0"))</f>
        <v/>
      </c>
      <c r="N4051" s="5">
        <f>IFERROR(INDEX(DePara!$A:$A,MATCH(TEXT(B4051,"0"),DePara!$D:$D,0)),"(sem categoria)")</f>
        <v/>
      </c>
      <c r="O4051" s="5">
        <f>IF(J4051="","",Parametros!$B$6-J4051)</f>
        <v/>
      </c>
      <c r="P4051" s="5">
        <f>IF(O4051="","",IF(O4051&gt;0,1,0))</f>
        <v/>
      </c>
    </row>
    <row r="4052">
      <c r="A4052" s="5" t="n">
        <v>1193100000</v>
      </c>
      <c r="B4052" s="5" t="inlineStr">
        <is>
          <t>IC4420</t>
        </is>
      </c>
      <c r="C4052" s="5" t="inlineStr">
        <is>
          <t>NORDEX ENERGY SPAIN S A U</t>
        </is>
      </c>
      <c r="D4052" s="5" t="inlineStr">
        <is>
          <t>UE</t>
        </is>
      </c>
      <c r="E4052" s="5" t="n">
        <v>200018367</v>
      </c>
      <c r="F4052" s="5" t="inlineStr">
        <is>
          <t>11233</t>
        </is>
      </c>
      <c r="G4052" s="5" t="inlineStr">
        <is>
          <t>EUR</t>
        </is>
      </c>
      <c r="H4052" s="9" t="n">
        <v>827.4299999999999</v>
      </c>
      <c r="I4052" s="16" t="n">
        <v>43373</v>
      </c>
      <c r="J4052" s="16" t="n">
        <v>43373</v>
      </c>
      <c r="K4052" s="5" t="inlineStr">
        <is>
          <t>20181052</t>
        </is>
      </c>
      <c r="L4052" s="5" t="inlineStr">
        <is>
          <t>407000.110501</t>
        </is>
      </c>
      <c r="M4052" s="5">
        <f>IF(YEAR(I4052)&lt;=2020,"Até 2020",TEXT(YEAR(I4052),"0"))</f>
        <v/>
      </c>
      <c r="N4052" s="5">
        <f>IFERROR(INDEX(DePara!$A:$A,MATCH(TEXT(B4052,"0"),DePara!$D:$D,0)),"(sem categoria)")</f>
        <v/>
      </c>
      <c r="O4052" s="5">
        <f>IF(J4052="","",Parametros!$B$6-J4052)</f>
        <v/>
      </c>
      <c r="P4052" s="5">
        <f>IF(O4052="","",IF(O4052&gt;0,1,0))</f>
        <v/>
      </c>
    </row>
    <row r="4053">
      <c r="A4053" s="5" t="n">
        <v>1193100000</v>
      </c>
      <c r="B4053" s="5" t="inlineStr">
        <is>
          <t>IC4420</t>
        </is>
      </c>
      <c r="C4053" s="5" t="inlineStr">
        <is>
          <t>NORDEX ENERGY SPAIN S A U</t>
        </is>
      </c>
      <c r="D4053" s="5" t="inlineStr">
        <is>
          <t>UE</t>
        </is>
      </c>
      <c r="E4053" s="5" t="n">
        <v>200018368</v>
      </c>
      <c r="F4053" s="5" t="inlineStr">
        <is>
          <t>11234</t>
        </is>
      </c>
      <c r="G4053" s="5" t="inlineStr">
        <is>
          <t>EUR</t>
        </is>
      </c>
      <c r="H4053" s="9" t="n">
        <v>26569.68</v>
      </c>
      <c r="I4053" s="16" t="n">
        <v>44162</v>
      </c>
      <c r="J4053" s="16" t="n">
        <v>44162</v>
      </c>
      <c r="K4053" s="5" t="inlineStr">
        <is>
          <t>20181312.1</t>
        </is>
      </c>
      <c r="L4053" s="5" t="inlineStr">
        <is>
          <t>407000.INGE</t>
        </is>
      </c>
      <c r="M4053" s="5">
        <f>IF(YEAR(I4053)&lt;=2020,"Até 2020",TEXT(YEAR(I4053),"0"))</f>
        <v/>
      </c>
      <c r="N4053" s="5">
        <f>IFERROR(INDEX(DePara!$A:$A,MATCH(TEXT(B4053,"0"),DePara!$D:$D,0)),"(sem categoria)")</f>
        <v/>
      </c>
      <c r="O4053" s="5">
        <f>IF(J4053="","",Parametros!$B$6-J4053)</f>
        <v/>
      </c>
      <c r="P4053" s="5">
        <f>IF(O4053="","",IF(O4053&gt;0,1,0))</f>
        <v/>
      </c>
    </row>
    <row r="4054">
      <c r="A4054" s="5" t="n">
        <v>1193100000</v>
      </c>
      <c r="B4054" s="5" t="inlineStr">
        <is>
          <t>IC4420</t>
        </is>
      </c>
      <c r="C4054" s="5" t="inlineStr">
        <is>
          <t>NORDEX ENERGY SPAIN S A U</t>
        </is>
      </c>
      <c r="D4054" s="5" t="inlineStr">
        <is>
          <t>UE</t>
        </is>
      </c>
      <c r="E4054" s="5" t="n">
        <v>200018370</v>
      </c>
      <c r="F4054" s="5" t="inlineStr">
        <is>
          <t>11236</t>
        </is>
      </c>
      <c r="G4054" s="5" t="inlineStr">
        <is>
          <t>EUR</t>
        </is>
      </c>
      <c r="H4054" s="9" t="n">
        <v>13937.34</v>
      </c>
      <c r="I4054" s="16" t="n">
        <v>43160</v>
      </c>
      <c r="J4054" s="16" t="n">
        <v>43160</v>
      </c>
      <c r="K4054" s="5" t="inlineStr">
        <is>
          <t>20180487</t>
        </is>
      </c>
      <c r="L4054" s="5" t="inlineStr">
        <is>
          <t>407000.INGE</t>
        </is>
      </c>
      <c r="M4054" s="5">
        <f>IF(YEAR(I4054)&lt;=2020,"Até 2020",TEXT(YEAR(I4054),"0"))</f>
        <v/>
      </c>
      <c r="N4054" s="5">
        <f>IFERROR(INDEX(DePara!$A:$A,MATCH(TEXT(B4054,"0"),DePara!$D:$D,0)),"(sem categoria)")</f>
        <v/>
      </c>
      <c r="O4054" s="5">
        <f>IF(J4054="","",Parametros!$B$6-J4054)</f>
        <v/>
      </c>
      <c r="P4054" s="5">
        <f>IF(O4054="","",IF(O4054&gt;0,1,0))</f>
        <v/>
      </c>
    </row>
    <row r="4055">
      <c r="A4055" s="5" t="n">
        <v>1193100000</v>
      </c>
      <c r="B4055" s="5" t="inlineStr">
        <is>
          <t>IC4420</t>
        </is>
      </c>
      <c r="C4055" s="5" t="inlineStr">
        <is>
          <t>NORDEX ENERGY SPAIN S A U</t>
        </is>
      </c>
      <c r="D4055" s="5" t="inlineStr">
        <is>
          <t>UE</t>
        </is>
      </c>
      <c r="E4055" s="5" t="n">
        <v>200018371</v>
      </c>
      <c r="F4055" s="5" t="inlineStr">
        <is>
          <t>11237</t>
        </is>
      </c>
      <c r="G4055" s="5" t="inlineStr">
        <is>
          <t>EUR</t>
        </is>
      </c>
      <c r="H4055" s="9" t="n">
        <v>73019.41</v>
      </c>
      <c r="I4055" s="16" t="n">
        <v>43265</v>
      </c>
      <c r="J4055" s="16" t="n">
        <v>43265</v>
      </c>
      <c r="K4055" s="5" t="inlineStr">
        <is>
          <t>20180485/20180486</t>
        </is>
      </c>
      <c r="L4055" s="5" t="inlineStr">
        <is>
          <t>407000.110501</t>
        </is>
      </c>
      <c r="M4055" s="5">
        <f>IF(YEAR(I4055)&lt;=2020,"Até 2020",TEXT(YEAR(I4055),"0"))</f>
        <v/>
      </c>
      <c r="N4055" s="5">
        <f>IFERROR(INDEX(DePara!$A:$A,MATCH(TEXT(B4055,"0"),DePara!$D:$D,0)),"(sem categoria)")</f>
        <v/>
      </c>
      <c r="O4055" s="5">
        <f>IF(J4055="","",Parametros!$B$6-J4055)</f>
        <v/>
      </c>
      <c r="P4055" s="5">
        <f>IF(O4055="","",IF(O4055&gt;0,1,0))</f>
        <v/>
      </c>
    </row>
    <row r="4056">
      <c r="A4056" s="5" t="n">
        <v>1193100000</v>
      </c>
      <c r="B4056" s="5" t="inlineStr">
        <is>
          <t>IC4420</t>
        </is>
      </c>
      <c r="C4056" s="5" t="inlineStr">
        <is>
          <t>NORDEX ENERGY SPAIN S A U</t>
        </is>
      </c>
      <c r="D4056" s="5" t="inlineStr">
        <is>
          <t>UE</t>
        </is>
      </c>
      <c r="E4056" s="5" t="n">
        <v>200018373</v>
      </c>
      <c r="F4056" s="5" t="inlineStr">
        <is>
          <t>11239</t>
        </is>
      </c>
      <c r="G4056" s="5" t="inlineStr">
        <is>
          <t>EUR</t>
        </is>
      </c>
      <c r="H4056" s="9" t="n">
        <v>142722.51</v>
      </c>
      <c r="I4056" s="16" t="n">
        <v>43264</v>
      </c>
      <c r="J4056" s="16" t="n">
        <v>43264</v>
      </c>
      <c r="K4056" s="5" t="inlineStr">
        <is>
          <t>20180490</t>
        </is>
      </c>
      <c r="L4056" s="5" t="inlineStr">
        <is>
          <t>407000.INGE</t>
        </is>
      </c>
      <c r="M4056" s="5">
        <f>IF(YEAR(I4056)&lt;=2020,"Até 2020",TEXT(YEAR(I4056),"0"))</f>
        <v/>
      </c>
      <c r="N4056" s="5">
        <f>IFERROR(INDEX(DePara!$A:$A,MATCH(TEXT(B4056,"0"),DePara!$D:$D,0)),"(sem categoria)")</f>
        <v/>
      </c>
      <c r="O4056" s="5">
        <f>IF(J4056="","",Parametros!$B$6-J4056)</f>
        <v/>
      </c>
      <c r="P4056" s="5">
        <f>IF(O4056="","",IF(O4056&gt;0,1,0))</f>
        <v/>
      </c>
    </row>
    <row r="4057">
      <c r="A4057" s="5" t="n">
        <v>1193100000</v>
      </c>
      <c r="B4057" s="5" t="inlineStr">
        <is>
          <t>IC4420</t>
        </is>
      </c>
      <c r="C4057" s="5" t="inlineStr">
        <is>
          <t>NORDEX ENERGY SPAIN S A U</t>
        </is>
      </c>
      <c r="D4057" s="5" t="inlineStr">
        <is>
          <t>UE</t>
        </is>
      </c>
      <c r="E4057" s="5" t="n">
        <v>200018375</v>
      </c>
      <c r="F4057" s="5" t="inlineStr">
        <is>
          <t>11240</t>
        </is>
      </c>
      <c r="G4057" s="5" t="inlineStr">
        <is>
          <t>EUR</t>
        </is>
      </c>
      <c r="H4057" s="9" t="n">
        <v>31920.62</v>
      </c>
      <c r="I4057" s="16" t="n">
        <v>43278</v>
      </c>
      <c r="J4057" s="16" t="n">
        <v>43278</v>
      </c>
      <c r="K4057" s="5" t="inlineStr">
        <is>
          <t>20180990</t>
        </is>
      </c>
      <c r="L4057" s="5" t="inlineStr">
        <is>
          <t>407000.INGE</t>
        </is>
      </c>
      <c r="M4057" s="5">
        <f>IF(YEAR(I4057)&lt;=2020,"Até 2020",TEXT(YEAR(I4057),"0"))</f>
        <v/>
      </c>
      <c r="N4057" s="5">
        <f>IFERROR(INDEX(DePara!$A:$A,MATCH(TEXT(B4057,"0"),DePara!$D:$D,0)),"(sem categoria)")</f>
        <v/>
      </c>
      <c r="O4057" s="5">
        <f>IF(J4057="","",Parametros!$B$6-J4057)</f>
        <v/>
      </c>
      <c r="P4057" s="5">
        <f>IF(O4057="","",IF(O4057&gt;0,1,0))</f>
        <v/>
      </c>
    </row>
    <row r="4058">
      <c r="A4058" s="5" t="n">
        <v>1193100000</v>
      </c>
      <c r="B4058" s="5" t="inlineStr">
        <is>
          <t>IC4420</t>
        </is>
      </c>
      <c r="C4058" s="5" t="inlineStr">
        <is>
          <t>NORDEX ENERGY SPAIN S A U</t>
        </is>
      </c>
      <c r="D4058" s="5" t="inlineStr">
        <is>
          <t>UE</t>
        </is>
      </c>
      <c r="E4058" s="5" t="n">
        <v>200018377</v>
      </c>
      <c r="F4058" s="5" t="inlineStr">
        <is>
          <t>11242</t>
        </is>
      </c>
      <c r="G4058" s="5" t="inlineStr">
        <is>
          <t>EUR</t>
        </is>
      </c>
      <c r="H4058" s="9" t="n">
        <v>13283.28</v>
      </c>
      <c r="I4058" s="16" t="n">
        <v>44544</v>
      </c>
      <c r="J4058" s="16" t="n">
        <v>44544</v>
      </c>
      <c r="K4058" s="5" t="inlineStr">
        <is>
          <t>20180788</t>
        </is>
      </c>
      <c r="L4058" s="5" t="inlineStr">
        <is>
          <t>407000.INGE</t>
        </is>
      </c>
      <c r="M4058" s="5">
        <f>IF(YEAR(I4058)&lt;=2020,"Até 2020",TEXT(YEAR(I4058),"0"))</f>
        <v/>
      </c>
      <c r="N4058" s="5">
        <f>IFERROR(INDEX(DePara!$A:$A,MATCH(TEXT(B4058,"0"),DePara!$D:$D,0)),"(sem categoria)")</f>
        <v/>
      </c>
      <c r="O4058" s="5">
        <f>IF(J4058="","",Parametros!$B$6-J4058)</f>
        <v/>
      </c>
      <c r="P4058" s="5">
        <f>IF(O4058="","",IF(O4058&gt;0,1,0))</f>
        <v/>
      </c>
    </row>
    <row r="4059">
      <c r="A4059" s="5" t="n">
        <v>1193100000</v>
      </c>
      <c r="B4059" s="5" t="inlineStr">
        <is>
          <t>IC4420</t>
        </is>
      </c>
      <c r="C4059" s="5" t="inlineStr">
        <is>
          <t>NORDEX ENERGY SPAIN S A U</t>
        </is>
      </c>
      <c r="D4059" s="5" t="inlineStr">
        <is>
          <t>UE</t>
        </is>
      </c>
      <c r="E4059" s="5" t="n">
        <v>200033720</v>
      </c>
      <c r="F4059" s="5" t="inlineStr">
        <is>
          <t>22592</t>
        </is>
      </c>
      <c r="G4059" s="5" t="inlineStr">
        <is>
          <t>BRL</t>
        </is>
      </c>
      <c r="H4059" s="9" t="n">
        <v>23906.79</v>
      </c>
      <c r="I4059" s="16" t="n">
        <v>43451</v>
      </c>
      <c r="J4059" s="16" t="n">
        <v>43451</v>
      </c>
      <c r="K4059" s="5" t="inlineStr">
        <is>
          <t>20181312</t>
        </is>
      </c>
      <c r="L4059" s="5" t="inlineStr">
        <is>
          <t>407000.110501</t>
        </is>
      </c>
      <c r="M4059" s="5">
        <f>IF(YEAR(I4059)&lt;=2020,"Até 2020",TEXT(YEAR(I4059),"0"))</f>
        <v/>
      </c>
      <c r="N4059" s="5">
        <f>IFERROR(INDEX(DePara!$A:$A,MATCH(TEXT(B4059,"0"),DePara!$D:$D,0)),"(sem categoria)")</f>
        <v/>
      </c>
      <c r="O4059" s="5">
        <f>IF(J4059="","",Parametros!$B$6-J4059)</f>
        <v/>
      </c>
      <c r="P4059" s="5">
        <f>IF(O4059="","",IF(O4059&gt;0,1,0))</f>
        <v/>
      </c>
    </row>
    <row r="4060">
      <c r="A4060" s="5" t="n">
        <v>1193100000</v>
      </c>
      <c r="B4060" s="5" t="inlineStr">
        <is>
          <t>IC1000</t>
        </is>
      </c>
      <c r="C4060" s="5" t="inlineStr">
        <is>
          <t>NORDEX ENERGY SE &amp; CO KG</t>
        </is>
      </c>
      <c r="D4060" s="5" t="inlineStr">
        <is>
          <t>AB</t>
        </is>
      </c>
      <c r="E4060" s="5" t="n">
        <v>1100000463</v>
      </c>
      <c r="F4060" s="5" t="inlineStr">
        <is>
          <t>IC1000 - 90585</t>
        </is>
      </c>
      <c r="G4060" s="5" t="inlineStr">
        <is>
          <t>EUR</t>
        </is>
      </c>
      <c r="H4060" s="9" t="n">
        <v>-44661.07</v>
      </c>
      <c r="I4060" s="16" t="n">
        <v>45353</v>
      </c>
      <c r="J4060" s="16" t="n">
        <v>45353</v>
      </c>
      <c r="K4060" s="5" t="inlineStr">
        <is>
          <t>Clearing document NORDEX ENERGY SE &amp; CO. KG IC1000</t>
        </is>
      </c>
      <c r="L4060" s="5" t="inlineStr">
        <is>
          <t>407000.1000</t>
        </is>
      </c>
      <c r="M4060" s="5">
        <f>IF(YEAR(I4060)&lt;=2020,"Até 2020",TEXT(YEAR(I4060),"0"))</f>
        <v/>
      </c>
      <c r="N4060" s="5">
        <f>IFERROR(INDEX(DePara!$A:$A,MATCH(TEXT(B4060,"0"),DePara!$D:$D,0)),"(sem categoria)")</f>
        <v/>
      </c>
      <c r="O4060" s="5">
        <f>IF(J4060="","",Parametros!$B$6-J4060)</f>
        <v/>
      </c>
      <c r="P4060" s="5">
        <f>IF(O4060="","",IF(O4060&gt;0,1,0))</f>
        <v/>
      </c>
    </row>
    <row r="4061">
      <c r="A4061" s="5" t="n">
        <v>1193100000</v>
      </c>
      <c r="B4061" s="5" t="inlineStr">
        <is>
          <t>IC1000</t>
        </is>
      </c>
      <c r="C4061" s="5" t="inlineStr">
        <is>
          <t>NORDEX ENERGY SE &amp; CO KG</t>
        </is>
      </c>
      <c r="D4061" s="5" t="inlineStr">
        <is>
          <t>AB</t>
        </is>
      </c>
      <c r="E4061" s="5" t="n">
        <v>1100000870</v>
      </c>
      <c r="F4061" s="5" t="inlineStr">
        <is>
          <t>COMP CARR DIUNIC</t>
        </is>
      </c>
      <c r="G4061" s="5" t="inlineStr">
        <is>
          <t>EUR</t>
        </is>
      </c>
      <c r="H4061" s="9" t="n">
        <v>-6699206.44</v>
      </c>
      <c r="I4061" s="16" t="n">
        <v>45716</v>
      </c>
      <c r="J4061" s="16" t="n">
        <v>45716</v>
      </c>
      <c r="K4061" s="5" t="inlineStr">
        <is>
          <t>Clearing document NORDEX ENERGY SE &amp; CO KG COMP CA</t>
        </is>
      </c>
      <c r="L4061" s="5" t="n"/>
      <c r="M4061" s="5">
        <f>IF(YEAR(I4061)&lt;=2020,"Até 2020",TEXT(YEAR(I4061),"0"))</f>
        <v/>
      </c>
      <c r="N4061" s="5">
        <f>IFERROR(INDEX(DePara!$A:$A,MATCH(TEXT(B4061,"0"),DePara!$D:$D,0)),"(sem categoria)")</f>
        <v/>
      </c>
      <c r="O4061" s="5">
        <f>IF(J4061="","",Parametros!$B$6-J4061)</f>
        <v/>
      </c>
      <c r="P4061" s="5">
        <f>IF(O4061="","",IF(O4061&gt;0,1,0))</f>
        <v/>
      </c>
    </row>
    <row r="4062">
      <c r="A4062" s="5" t="n">
        <v>1193100000</v>
      </c>
      <c r="B4062" s="5" t="inlineStr">
        <is>
          <t>IC1000</t>
        </is>
      </c>
      <c r="C4062" s="5" t="inlineStr">
        <is>
          <t>NORDEX ENERGY SE &amp; CO KG</t>
        </is>
      </c>
      <c r="D4062" s="5" t="inlineStr">
        <is>
          <t>AB</t>
        </is>
      </c>
      <c r="E4062" s="5" t="n">
        <v>1100009630</v>
      </c>
      <c r="F4062" s="5" t="inlineStr">
        <is>
          <t>CARR D.I UNI PT1</t>
        </is>
      </c>
      <c r="G4062" s="5" t="inlineStr">
        <is>
          <t>EUR</t>
        </is>
      </c>
      <c r="H4062" s="9" t="n">
        <v>-6843051.24</v>
      </c>
      <c r="I4062" s="16" t="n">
        <v>45570</v>
      </c>
      <c r="J4062" s="16" t="n">
        <v>45570</v>
      </c>
      <c r="K4062" s="5" t="inlineStr">
        <is>
          <t>Clearing document NORDEX ENERGY SE &amp; CO KG CARR D.</t>
        </is>
      </c>
      <c r="L4062" s="5" t="n"/>
      <c r="M4062" s="5">
        <f>IF(YEAR(I4062)&lt;=2020,"Até 2020",TEXT(YEAR(I4062),"0"))</f>
        <v/>
      </c>
      <c r="N4062" s="5">
        <f>IFERROR(INDEX(DePara!$A:$A,MATCH(TEXT(B4062,"0"),DePara!$D:$D,0)),"(sem categoria)")</f>
        <v/>
      </c>
      <c r="O4062" s="5">
        <f>IF(J4062="","",Parametros!$B$6-J4062)</f>
        <v/>
      </c>
      <c r="P4062" s="5">
        <f>IF(O4062="","",IF(O4062&gt;0,1,0))</f>
        <v/>
      </c>
    </row>
    <row r="4063">
      <c r="A4063" s="5" t="n">
        <v>1193100000</v>
      </c>
      <c r="B4063" s="5" t="inlineStr">
        <is>
          <t>IC1000</t>
        </is>
      </c>
      <c r="C4063" s="5" t="inlineStr">
        <is>
          <t>NORDEX ENERGY SE &amp; CO KG</t>
        </is>
      </c>
      <c r="D4063" s="5" t="inlineStr">
        <is>
          <t>AB</t>
        </is>
      </c>
      <c r="E4063" s="5" t="n">
        <v>1100010008</v>
      </c>
      <c r="F4063" s="5" t="inlineStr">
        <is>
          <t>CARR D.I UNI PT2</t>
        </is>
      </c>
      <c r="G4063" s="5" t="inlineStr">
        <is>
          <t>EUR</t>
        </is>
      </c>
      <c r="H4063" s="9" t="n">
        <v>-2405851.28</v>
      </c>
      <c r="I4063" s="16" t="n">
        <v>45591</v>
      </c>
      <c r="J4063" s="16" t="n">
        <v>45591</v>
      </c>
      <c r="K4063" s="5" t="inlineStr">
        <is>
          <t>Clearing document NORDEX ENERGY SE &amp; CO KG CARR D.</t>
        </is>
      </c>
      <c r="L4063" s="5" t="n"/>
      <c r="M4063" s="5">
        <f>IF(YEAR(I4063)&lt;=2020,"Até 2020",TEXT(YEAR(I4063),"0"))</f>
        <v/>
      </c>
      <c r="N4063" s="5">
        <f>IFERROR(INDEX(DePara!$A:$A,MATCH(TEXT(B4063,"0"),DePara!$D:$D,0)),"(sem categoria)")</f>
        <v/>
      </c>
      <c r="O4063" s="5">
        <f>IF(J4063="","",Parametros!$B$6-J4063)</f>
        <v/>
      </c>
      <c r="P4063" s="5">
        <f>IF(O4063="","",IF(O4063&gt;0,1,0))</f>
        <v/>
      </c>
    </row>
    <row r="4064">
      <c r="A4064" s="5" t="n">
        <v>1193100000</v>
      </c>
      <c r="B4064" s="5" t="inlineStr">
        <is>
          <t>IC1000</t>
        </is>
      </c>
      <c r="C4064" s="5" t="inlineStr">
        <is>
          <t>NORDEX ENERGY SE &amp; CO KG</t>
        </is>
      </c>
      <c r="D4064" s="5" t="inlineStr">
        <is>
          <t>AB</t>
        </is>
      </c>
      <c r="E4064" s="5" t="n">
        <v>1100010154</v>
      </c>
      <c r="F4064" s="5" t="inlineStr">
        <is>
          <t>COMPENSAÇ SEBO</t>
        </is>
      </c>
      <c r="G4064" s="5" t="inlineStr">
        <is>
          <t>EUR</t>
        </is>
      </c>
      <c r="H4064" s="9" t="n">
        <v>-4696063.39</v>
      </c>
      <c r="I4064" s="16" t="n">
        <v>45591</v>
      </c>
      <c r="J4064" s="16" t="n">
        <v>45591</v>
      </c>
      <c r="K4064" s="5" t="inlineStr">
        <is>
          <t>Clearing document NORDEX ENERGY SE &amp; CO KG COMPENS</t>
        </is>
      </c>
      <c r="L4064" s="5" t="inlineStr">
        <is>
          <t>407000.1000</t>
        </is>
      </c>
      <c r="M4064" s="5">
        <f>IF(YEAR(I4064)&lt;=2020,"Até 2020",TEXT(YEAR(I4064),"0"))</f>
        <v/>
      </c>
      <c r="N4064" s="5">
        <f>IFERROR(INDEX(DePara!$A:$A,MATCH(TEXT(B4064,"0"),DePara!$D:$D,0)),"(sem categoria)")</f>
        <v/>
      </c>
      <c r="O4064" s="5">
        <f>IF(J4064="","",Parametros!$B$6-J4064)</f>
        <v/>
      </c>
      <c r="P4064" s="5">
        <f>IF(O4064="","",IF(O4064&gt;0,1,0))</f>
        <v/>
      </c>
    </row>
    <row r="4065">
      <c r="A4065" s="5" t="n">
        <v>1193100000</v>
      </c>
      <c r="B4065" s="5" t="inlineStr">
        <is>
          <t>IC1000</t>
        </is>
      </c>
      <c r="C4065" s="5" t="inlineStr">
        <is>
          <t>NORDEX ENERGY SE &amp; CO KG</t>
        </is>
      </c>
      <c r="D4065" s="5" t="inlineStr">
        <is>
          <t>AB</t>
        </is>
      </c>
      <c r="E4065" s="5" t="n">
        <v>1100010155</v>
      </c>
      <c r="F4065" s="5" t="inlineStr">
        <is>
          <t>COMPENSAÇ FEIJ6</t>
        </is>
      </c>
      <c r="G4065" s="5" t="inlineStr">
        <is>
          <t>EUR</t>
        </is>
      </c>
      <c r="H4065" s="9" t="n">
        <v>-7233678.91</v>
      </c>
      <c r="I4065" s="16" t="n">
        <v>45591</v>
      </c>
      <c r="J4065" s="16" t="n">
        <v>45591</v>
      </c>
      <c r="K4065" s="5" t="inlineStr">
        <is>
          <t>Clearing document NORDEX ENERGY SE &amp; CO KG COMPENS</t>
        </is>
      </c>
      <c r="L4065" s="5" t="n"/>
      <c r="M4065" s="5">
        <f>IF(YEAR(I4065)&lt;=2020,"Até 2020",TEXT(YEAR(I4065),"0"))</f>
        <v/>
      </c>
      <c r="N4065" s="5">
        <f>IFERROR(INDEX(DePara!$A:$A,MATCH(TEXT(B4065,"0"),DePara!$D:$D,0)),"(sem categoria)")</f>
        <v/>
      </c>
      <c r="O4065" s="5">
        <f>IF(J4065="","",Parametros!$B$6-J4065)</f>
        <v/>
      </c>
      <c r="P4065" s="5">
        <f>IF(O4065="","",IF(O4065&gt;0,1,0))</f>
        <v/>
      </c>
    </row>
    <row r="4066">
      <c r="A4066" s="5" t="n">
        <v>1193100000</v>
      </c>
      <c r="B4066" s="5" t="inlineStr">
        <is>
          <t>IC1000</t>
        </is>
      </c>
      <c r="C4066" s="5" t="inlineStr">
        <is>
          <t>NORDEX ENERGY SE &amp; CO KG</t>
        </is>
      </c>
      <c r="D4066" s="5" t="inlineStr">
        <is>
          <t>AB</t>
        </is>
      </c>
      <c r="E4066" s="5" t="n">
        <v>1100010157</v>
      </c>
      <c r="F4066" s="5" t="inlineStr">
        <is>
          <t>COMPENSAÇ 1000</t>
        </is>
      </c>
      <c r="G4066" s="5" t="inlineStr">
        <is>
          <t>EUR</t>
        </is>
      </c>
      <c r="H4066" s="9" t="n">
        <v>-2623950.57</v>
      </c>
      <c r="I4066" s="16" t="n">
        <v>45591</v>
      </c>
      <c r="J4066" s="16" t="n">
        <v>45591</v>
      </c>
      <c r="K4066" s="5" t="inlineStr">
        <is>
          <t>Clearing document NORDEX ENERGY SE &amp; CO KG COMPENS</t>
        </is>
      </c>
      <c r="L4066" s="5" t="inlineStr">
        <is>
          <t>407000.1000</t>
        </is>
      </c>
      <c r="M4066" s="5">
        <f>IF(YEAR(I4066)&lt;=2020,"Até 2020",TEXT(YEAR(I4066),"0"))</f>
        <v/>
      </c>
      <c r="N4066" s="5">
        <f>IFERROR(INDEX(DePara!$A:$A,MATCH(TEXT(B4066,"0"),DePara!$D:$D,0)),"(sem categoria)")</f>
        <v/>
      </c>
      <c r="O4066" s="5">
        <f>IF(J4066="","",Parametros!$B$6-J4066)</f>
        <v/>
      </c>
      <c r="P4066" s="5">
        <f>IF(O4066="","",IF(O4066&gt;0,1,0))</f>
        <v/>
      </c>
    </row>
    <row r="4067">
      <c r="A4067" s="5" t="n">
        <v>1193100000</v>
      </c>
      <c r="B4067" s="5" t="inlineStr">
        <is>
          <t>IC1000</t>
        </is>
      </c>
      <c r="C4067" s="5" t="inlineStr">
        <is>
          <t>NORDEX ENERGY SE &amp; CO KG</t>
        </is>
      </c>
      <c r="D4067" s="5" t="inlineStr">
        <is>
          <t>AB</t>
        </is>
      </c>
      <c r="E4067" s="5" t="n">
        <v>1100010377</v>
      </c>
      <c r="F4067" s="5" t="inlineStr">
        <is>
          <t>COMP CAJU</t>
        </is>
      </c>
      <c r="G4067" s="5" t="inlineStr">
        <is>
          <t>EUR</t>
        </is>
      </c>
      <c r="H4067" s="9" t="n">
        <v>-4483740.09</v>
      </c>
      <c r="I4067" s="16" t="n">
        <v>45605</v>
      </c>
      <c r="J4067" s="16" t="n">
        <v>45605</v>
      </c>
      <c r="K4067" s="5" t="inlineStr">
        <is>
          <t>Clearing document NORDEX ENERGY SE &amp; CO KG COMP CA</t>
        </is>
      </c>
      <c r="L4067" s="5" t="inlineStr">
        <is>
          <t>407000.1000</t>
        </is>
      </c>
      <c r="M4067" s="5">
        <f>IF(YEAR(I4067)&lt;=2020,"Até 2020",TEXT(YEAR(I4067),"0"))</f>
        <v/>
      </c>
      <c r="N4067" s="5">
        <f>IFERROR(INDEX(DePara!$A:$A,MATCH(TEXT(B4067,"0"),DePara!$D:$D,0)),"(sem categoria)")</f>
        <v/>
      </c>
      <c r="O4067" s="5">
        <f>IF(J4067="","",Parametros!$B$6-J4067)</f>
        <v/>
      </c>
      <c r="P4067" s="5">
        <f>IF(O4067="","",IF(O4067&gt;0,1,0))</f>
        <v/>
      </c>
    </row>
    <row r="4068">
      <c r="A4068" s="5" t="n">
        <v>1193100000</v>
      </c>
      <c r="B4068" s="5" t="inlineStr">
        <is>
          <t>IC1000</t>
        </is>
      </c>
      <c r="C4068" s="5" t="inlineStr">
        <is>
          <t>NORDEX ENERGY SE &amp; CO KG</t>
        </is>
      </c>
      <c r="D4068" s="5" t="inlineStr">
        <is>
          <t>AB</t>
        </is>
      </c>
      <c r="E4068" s="5" t="n">
        <v>1100010390</v>
      </c>
      <c r="F4068" s="5" t="inlineStr">
        <is>
          <t>COMP PASSAGEM</t>
        </is>
      </c>
      <c r="G4068" s="5" t="inlineStr">
        <is>
          <t>EUR</t>
        </is>
      </c>
      <c r="H4068" s="9" t="n">
        <v>-3236027.92</v>
      </c>
      <c r="I4068" s="16" t="n">
        <v>45605</v>
      </c>
      <c r="J4068" s="16" t="n">
        <v>45605</v>
      </c>
      <c r="K4068" s="5" t="inlineStr">
        <is>
          <t>Clearing document NORDEX ENERGY SE &amp; CO KG COMP PA</t>
        </is>
      </c>
      <c r="L4068" s="5" t="n"/>
      <c r="M4068" s="5">
        <f>IF(YEAR(I4068)&lt;=2020,"Até 2020",TEXT(YEAR(I4068),"0"))</f>
        <v/>
      </c>
      <c r="N4068" s="5">
        <f>IFERROR(INDEX(DePara!$A:$A,MATCH(TEXT(B4068,"0"),DePara!$D:$D,0)),"(sem categoria)")</f>
        <v/>
      </c>
      <c r="O4068" s="5">
        <f>IF(J4068="","",Parametros!$B$6-J4068)</f>
        <v/>
      </c>
      <c r="P4068" s="5">
        <f>IF(O4068="","",IF(O4068&gt;0,1,0))</f>
        <v/>
      </c>
    </row>
    <row r="4069">
      <c r="A4069" s="5" t="n">
        <v>1193100000</v>
      </c>
      <c r="B4069" s="5" t="inlineStr">
        <is>
          <t>IC1000</t>
        </is>
      </c>
      <c r="C4069" s="5" t="inlineStr">
        <is>
          <t>NORDEX ENERGY SE &amp; CO KG</t>
        </is>
      </c>
      <c r="D4069" s="5" t="inlineStr">
        <is>
          <t>AB</t>
        </is>
      </c>
      <c r="E4069" s="5" t="n">
        <v>1100010590</v>
      </c>
      <c r="F4069" s="5" t="inlineStr">
        <is>
          <t>COMP PASSAGEM</t>
        </is>
      </c>
      <c r="G4069" s="5" t="inlineStr">
        <is>
          <t>EUR</t>
        </is>
      </c>
      <c r="H4069" s="9" t="n">
        <v>-21814310.62</v>
      </c>
      <c r="I4069" s="16" t="n">
        <v>45619</v>
      </c>
      <c r="J4069" s="16" t="n">
        <v>45619</v>
      </c>
      <c r="K4069" s="5" t="inlineStr">
        <is>
          <t>Clearing document NORDEX ENERGY SE &amp; CO KG COMP PA</t>
        </is>
      </c>
      <c r="L4069" s="5" t="n"/>
      <c r="M4069" s="5">
        <f>IF(YEAR(I4069)&lt;=2020,"Até 2020",TEXT(YEAR(I4069),"0"))</f>
        <v/>
      </c>
      <c r="N4069" s="5">
        <f>IFERROR(INDEX(DePara!$A:$A,MATCH(TEXT(B4069,"0"),DePara!$D:$D,0)),"(sem categoria)")</f>
        <v/>
      </c>
      <c r="O4069" s="5">
        <f>IF(J4069="","",Parametros!$B$6-J4069)</f>
        <v/>
      </c>
      <c r="P4069" s="5">
        <f>IF(O4069="","",IF(O4069&gt;0,1,0))</f>
        <v/>
      </c>
    </row>
    <row r="4070">
      <c r="A4070" s="5" t="n">
        <v>1193100000</v>
      </c>
      <c r="B4070" s="5" t="inlineStr">
        <is>
          <t>IC1000</t>
        </is>
      </c>
      <c r="C4070" s="5" t="inlineStr">
        <is>
          <t>NORDEX ENERGY SE &amp; CO KG</t>
        </is>
      </c>
      <c r="D4070" s="5" t="inlineStr">
        <is>
          <t>AB</t>
        </is>
      </c>
      <c r="E4070" s="5" t="n">
        <v>1100010903</v>
      </c>
      <c r="F4070" s="5" t="inlineStr">
        <is>
          <t>COMP DIUNICAITAU</t>
        </is>
      </c>
      <c r="G4070" s="5" t="inlineStr">
        <is>
          <t>EUR</t>
        </is>
      </c>
      <c r="H4070" s="9" t="n">
        <v>-30547883.14</v>
      </c>
      <c r="I4070" s="16" t="n">
        <v>45633</v>
      </c>
      <c r="J4070" s="16" t="n">
        <v>45633</v>
      </c>
      <c r="K4070" s="5" t="inlineStr">
        <is>
          <t>Clearing document NORDEX ENERGY SE &amp; CO KG COMP DI</t>
        </is>
      </c>
      <c r="L4070" s="5" t="n"/>
      <c r="M4070" s="5">
        <f>IF(YEAR(I4070)&lt;=2020,"Até 2020",TEXT(YEAR(I4070),"0"))</f>
        <v/>
      </c>
      <c r="N4070" s="5">
        <f>IFERROR(INDEX(DePara!$A:$A,MATCH(TEXT(B4070,"0"),DePara!$D:$D,0)),"(sem categoria)")</f>
        <v/>
      </c>
      <c r="O4070" s="5">
        <f>IF(J4070="","",Parametros!$B$6-J4070)</f>
        <v/>
      </c>
      <c r="P4070" s="5">
        <f>IF(O4070="","",IF(O4070&gt;0,1,0))</f>
        <v/>
      </c>
    </row>
    <row r="4071">
      <c r="A4071" s="5" t="n">
        <v>1193100000</v>
      </c>
      <c r="B4071" s="5" t="inlineStr">
        <is>
          <t>IC1000</t>
        </is>
      </c>
      <c r="C4071" s="5" t="inlineStr">
        <is>
          <t>NORDEX ENERGY SE &amp; CO KG</t>
        </is>
      </c>
      <c r="D4071" s="5" t="inlineStr">
        <is>
          <t>AB</t>
        </is>
      </c>
      <c r="E4071" s="5" t="n">
        <v>1100010905</v>
      </c>
      <c r="F4071" s="5" t="inlineStr">
        <is>
          <t>COMP ITAÚNA</t>
        </is>
      </c>
      <c r="G4071" s="5" t="inlineStr">
        <is>
          <t>EUR</t>
        </is>
      </c>
      <c r="H4071" s="9" t="n">
        <v>-996846.29</v>
      </c>
      <c r="I4071" s="16" t="n">
        <v>45633</v>
      </c>
      <c r="J4071" s="16" t="n">
        <v>45633</v>
      </c>
      <c r="K4071" s="5" t="inlineStr">
        <is>
          <t>Clearing document NORDEX ENERGY SE &amp; CO KG COMP IT</t>
        </is>
      </c>
      <c r="L4071" s="5" t="n"/>
      <c r="M4071" s="5">
        <f>IF(YEAR(I4071)&lt;=2020,"Até 2020",TEXT(YEAR(I4071),"0"))</f>
        <v/>
      </c>
      <c r="N4071" s="5">
        <f>IFERROR(INDEX(DePara!$A:$A,MATCH(TEXT(B4071,"0"),DePara!$D:$D,0)),"(sem categoria)")</f>
        <v/>
      </c>
      <c r="O4071" s="5">
        <f>IF(J4071="","",Parametros!$B$6-J4071)</f>
        <v/>
      </c>
      <c r="P4071" s="5">
        <f>IF(O4071="","",IF(O4071&gt;0,1,0))</f>
        <v/>
      </c>
    </row>
    <row r="4072">
      <c r="A4072" s="5" t="n">
        <v>1193100000</v>
      </c>
      <c r="B4072" s="5" t="inlineStr">
        <is>
          <t>IC1000</t>
        </is>
      </c>
      <c r="C4072" s="5" t="inlineStr">
        <is>
          <t>NORDEX ENERGY SE &amp; CO KG</t>
        </is>
      </c>
      <c r="D4072" s="5" t="inlineStr">
        <is>
          <t>AB</t>
        </is>
      </c>
      <c r="E4072" s="5" t="n">
        <v>1100010906</v>
      </c>
      <c r="F4072" s="5" t="n"/>
      <c r="G4072" s="5" t="inlineStr">
        <is>
          <t>EUR</t>
        </is>
      </c>
      <c r="H4072" s="9" t="n">
        <v>-10113353.19</v>
      </c>
      <c r="I4072" s="16" t="n">
        <v>45633</v>
      </c>
      <c r="J4072" s="16" t="n">
        <v>45633</v>
      </c>
      <c r="K4072" s="5" t="inlineStr">
        <is>
          <t>Clearing document NORDEX ENERGY SE &amp; CO KG</t>
        </is>
      </c>
      <c r="L4072" s="5" t="inlineStr">
        <is>
          <t>407000.1000</t>
        </is>
      </c>
      <c r="M4072" s="5">
        <f>IF(YEAR(I4072)&lt;=2020,"Até 2020",TEXT(YEAR(I4072),"0"))</f>
        <v/>
      </c>
      <c r="N4072" s="5">
        <f>IFERROR(INDEX(DePara!$A:$A,MATCH(TEXT(B4072,"0"),DePara!$D:$D,0)),"(sem categoria)")</f>
        <v/>
      </c>
      <c r="O4072" s="5">
        <f>IF(J4072="","",Parametros!$B$6-J4072)</f>
        <v/>
      </c>
      <c r="P4072" s="5">
        <f>IF(O4072="","",IF(O4072&gt;0,1,0))</f>
        <v/>
      </c>
    </row>
    <row r="4073">
      <c r="A4073" s="5" t="n">
        <v>1193100000</v>
      </c>
      <c r="B4073" s="5" t="inlineStr">
        <is>
          <t>IC1000</t>
        </is>
      </c>
      <c r="C4073" s="5" t="inlineStr">
        <is>
          <t>NORDEX ENERGY SE &amp; CO KG</t>
        </is>
      </c>
      <c r="D4073" s="5" t="inlineStr">
        <is>
          <t>AB</t>
        </is>
      </c>
      <c r="E4073" s="5" t="n">
        <v>1100011011</v>
      </c>
      <c r="F4073" s="5" t="inlineStr">
        <is>
          <t>COMP ITAUDIUNICA</t>
        </is>
      </c>
      <c r="G4073" s="5" t="inlineStr">
        <is>
          <t>EUR</t>
        </is>
      </c>
      <c r="H4073" s="9" t="n">
        <v>-20387147.34</v>
      </c>
      <c r="I4073" s="16" t="n">
        <v>45640</v>
      </c>
      <c r="J4073" s="16" t="n">
        <v>45640</v>
      </c>
      <c r="K4073" s="5" t="inlineStr">
        <is>
          <t>Clearing document NORDEX ENERGY SE &amp; CO KG COMP IT</t>
        </is>
      </c>
      <c r="L4073" s="5" t="n"/>
      <c r="M4073" s="5">
        <f>IF(YEAR(I4073)&lt;=2020,"Até 2020",TEXT(YEAR(I4073),"0"))</f>
        <v/>
      </c>
      <c r="N4073" s="5">
        <f>IFERROR(INDEX(DePara!$A:$A,MATCH(TEXT(B4073,"0"),DePara!$D:$D,0)),"(sem categoria)")</f>
        <v/>
      </c>
      <c r="O4073" s="5">
        <f>IF(J4073="","",Parametros!$B$6-J4073)</f>
        <v/>
      </c>
      <c r="P4073" s="5">
        <f>IF(O4073="","",IF(O4073&gt;0,1,0))</f>
        <v/>
      </c>
    </row>
    <row r="4074">
      <c r="A4074" s="5" t="n">
        <v>1193100000</v>
      </c>
      <c r="B4074" s="5" t="inlineStr">
        <is>
          <t>IC1000</t>
        </is>
      </c>
      <c r="C4074" s="5" t="inlineStr">
        <is>
          <t>NORDEX ENERGY SE &amp; CO KG</t>
        </is>
      </c>
      <c r="D4074" s="5" t="inlineStr">
        <is>
          <t>KZ</t>
        </is>
      </c>
      <c r="E4074" s="5" t="n">
        <v>1300003059</v>
      </c>
      <c r="F4074" s="5" t="inlineStr">
        <is>
          <t>BR-ITAU-01-BR-C</t>
        </is>
      </c>
      <c r="G4074" s="5" t="inlineStr">
        <is>
          <t>EUR</t>
        </is>
      </c>
      <c r="H4074" s="9" t="n">
        <v>53970000</v>
      </c>
      <c r="I4074" s="16" t="n">
        <v>45479</v>
      </c>
      <c r="J4074" s="16" t="n">
        <v>45479</v>
      </c>
      <c r="K4074" s="5" t="inlineStr">
        <is>
          <t>Vendor DP Request NORDEX ENERGY SE &amp; CO KG BR-ITAU</t>
        </is>
      </c>
      <c r="L4074" s="5" t="n"/>
      <c r="M4074" s="5">
        <f>IF(YEAR(I4074)&lt;=2020,"Até 2020",TEXT(YEAR(I4074),"0"))</f>
        <v/>
      </c>
      <c r="N4074" s="5">
        <f>IFERROR(INDEX(DePara!$A:$A,MATCH(TEXT(B4074,"0"),DePara!$D:$D,0)),"(sem categoria)")</f>
        <v/>
      </c>
      <c r="O4074" s="5">
        <f>IF(J4074="","",Parametros!$B$6-J4074)</f>
        <v/>
      </c>
      <c r="P4074" s="5">
        <f>IF(O4074="","",IF(O4074&gt;0,1,0))</f>
        <v/>
      </c>
    </row>
    <row r="4075">
      <c r="A4075" s="5" t="n">
        <v>1193100000</v>
      </c>
      <c r="B4075" s="5" t="inlineStr">
        <is>
          <t>IC1000</t>
        </is>
      </c>
      <c r="C4075" s="5" t="inlineStr">
        <is>
          <t>NORDEX ENERGY SE &amp; CO KG</t>
        </is>
      </c>
      <c r="D4075" s="5" t="inlineStr">
        <is>
          <t>KZ</t>
        </is>
      </c>
      <c r="E4075" s="5" t="n">
        <v>1300003060</v>
      </c>
      <c r="F4075" s="5" t="inlineStr">
        <is>
          <t>BR-SEBO-01-BR-C</t>
        </is>
      </c>
      <c r="G4075" s="5" t="inlineStr">
        <is>
          <t>EUR</t>
        </is>
      </c>
      <c r="H4075" s="9" t="n">
        <v>26985000</v>
      </c>
      <c r="I4075" s="16" t="n">
        <v>45479</v>
      </c>
      <c r="J4075" s="16" t="n">
        <v>45479</v>
      </c>
      <c r="K4075" s="5" t="inlineStr">
        <is>
          <t>BR-SEBO-01-BR-C</t>
        </is>
      </c>
      <c r="L4075" s="5" t="n"/>
      <c r="M4075" s="5">
        <f>IF(YEAR(I4075)&lt;=2020,"Até 2020",TEXT(YEAR(I4075),"0"))</f>
        <v/>
      </c>
      <c r="N4075" s="5">
        <f>IFERROR(INDEX(DePara!$A:$A,MATCH(TEXT(B4075,"0"),DePara!$D:$D,0)),"(sem categoria)")</f>
        <v/>
      </c>
      <c r="O4075" s="5">
        <f>IF(J4075="","",Parametros!$B$6-J4075)</f>
        <v/>
      </c>
      <c r="P4075" s="5">
        <f>IF(O4075="","",IF(O4075&gt;0,1,0))</f>
        <v/>
      </c>
    </row>
    <row r="4076">
      <c r="A4076" s="5" t="n">
        <v>1193100000</v>
      </c>
      <c r="B4076" s="5" t="inlineStr">
        <is>
          <t>IC1000</t>
        </is>
      </c>
      <c r="C4076" s="5" t="inlineStr">
        <is>
          <t>NORDEX ENERGY SE &amp; CO KG</t>
        </is>
      </c>
      <c r="D4076" s="5" t="inlineStr">
        <is>
          <t>KZ</t>
        </is>
      </c>
      <c r="E4076" s="5" t="n">
        <v>1300003062</v>
      </c>
      <c r="F4076" s="5" t="inlineStr">
        <is>
          <t>BR-FEIJ-01-BR-C</t>
        </is>
      </c>
      <c r="G4076" s="5" t="inlineStr">
        <is>
          <t>EUR</t>
        </is>
      </c>
      <c r="H4076" s="9" t="n">
        <v>54250000</v>
      </c>
      <c r="I4076" s="16" t="n">
        <v>45479</v>
      </c>
      <c r="J4076" s="16" t="n">
        <v>45479</v>
      </c>
      <c r="K4076" s="5" t="inlineStr">
        <is>
          <t>BR-FEIJ-01-BR-C</t>
        </is>
      </c>
      <c r="L4076" s="5" t="n"/>
      <c r="M4076" s="5">
        <f>IF(YEAR(I4076)&lt;=2020,"Até 2020",TEXT(YEAR(I4076),"0"))</f>
        <v/>
      </c>
      <c r="N4076" s="5">
        <f>IFERROR(INDEX(DePara!$A:$A,MATCH(TEXT(B4076,"0"),DePara!$D:$D,0)),"(sem categoria)")</f>
        <v/>
      </c>
      <c r="O4076" s="5">
        <f>IF(J4076="","",Parametros!$B$6-J4076)</f>
        <v/>
      </c>
      <c r="P4076" s="5">
        <f>IF(O4076="","",IF(O4076&gt;0,1,0))</f>
        <v/>
      </c>
    </row>
    <row r="4077">
      <c r="A4077" s="5" t="n">
        <v>1193100000</v>
      </c>
      <c r="B4077" s="5" t="inlineStr">
        <is>
          <t>IC1000</t>
        </is>
      </c>
      <c r="C4077" s="5" t="inlineStr">
        <is>
          <t>NORDEX ENERGY SE &amp; CO KG</t>
        </is>
      </c>
      <c r="D4077" s="5" t="inlineStr">
        <is>
          <t>KZ</t>
        </is>
      </c>
      <c r="E4077" s="5" t="n">
        <v>1300003065</v>
      </c>
      <c r="F4077" s="5" t="inlineStr">
        <is>
          <t>BR-PASS-01-BR-C</t>
        </is>
      </c>
      <c r="G4077" s="5" t="inlineStr">
        <is>
          <t>EUR</t>
        </is>
      </c>
      <c r="H4077" s="9" t="n">
        <v>22328444.55</v>
      </c>
      <c r="I4077" s="16" t="n">
        <v>45479</v>
      </c>
      <c r="J4077" s="16" t="n">
        <v>45479</v>
      </c>
      <c r="K4077" s="5" t="inlineStr">
        <is>
          <t>BR-PASS-01-BR-C</t>
        </is>
      </c>
      <c r="L4077" s="5" t="n"/>
      <c r="M4077" s="5">
        <f>IF(YEAR(I4077)&lt;=2020,"Até 2020",TEXT(YEAR(I4077),"0"))</f>
        <v/>
      </c>
      <c r="N4077" s="5">
        <f>IFERROR(INDEX(DePara!$A:$A,MATCH(TEXT(B4077,"0"),DePara!$D:$D,0)),"(sem categoria)")</f>
        <v/>
      </c>
      <c r="O4077" s="5">
        <f>IF(J4077="","",Parametros!$B$6-J4077)</f>
        <v/>
      </c>
      <c r="P4077" s="5">
        <f>IF(O4077="","",IF(O4077&gt;0,1,0))</f>
        <v/>
      </c>
    </row>
    <row r="4078">
      <c r="A4078" s="5" t="n">
        <v>1193100000</v>
      </c>
      <c r="B4078" s="5" t="inlineStr">
        <is>
          <t>IC1000</t>
        </is>
      </c>
      <c r="C4078" s="5" t="inlineStr">
        <is>
          <t>NORDEX ENERGY SE &amp; CO KG</t>
        </is>
      </c>
      <c r="D4078" s="5" t="inlineStr">
        <is>
          <t>KZ</t>
        </is>
      </c>
      <c r="E4078" s="5" t="n">
        <v>1300003068</v>
      </c>
      <c r="F4078" s="5" t="inlineStr">
        <is>
          <t>BR-CARR-01-BR-C</t>
        </is>
      </c>
      <c r="G4078" s="5" t="inlineStr">
        <is>
          <t>EUR</t>
        </is>
      </c>
      <c r="H4078" s="9" t="n">
        <v>24934140</v>
      </c>
      <c r="I4078" s="16" t="n">
        <v>45479</v>
      </c>
      <c r="J4078" s="16" t="n">
        <v>45479</v>
      </c>
      <c r="K4078" s="5" t="inlineStr">
        <is>
          <t>BR-CARR-01-BR-C</t>
        </is>
      </c>
      <c r="L4078" s="5" t="n"/>
      <c r="M4078" s="5">
        <f>IF(YEAR(I4078)&lt;=2020,"Até 2020",TEXT(YEAR(I4078),"0"))</f>
        <v/>
      </c>
      <c r="N4078" s="5">
        <f>IFERROR(INDEX(DePara!$A:$A,MATCH(TEXT(B4078,"0"),DePara!$D:$D,0)),"(sem categoria)")</f>
        <v/>
      </c>
      <c r="O4078" s="5">
        <f>IF(J4078="","",Parametros!$B$6-J4078)</f>
        <v/>
      </c>
      <c r="P4078" s="5">
        <f>IF(O4078="","",IF(O4078&gt;0,1,0))</f>
        <v/>
      </c>
    </row>
    <row r="4079">
      <c r="A4079" s="5" t="n">
        <v>1193100000</v>
      </c>
      <c r="B4079" s="5" t="inlineStr">
        <is>
          <t>IC1000</t>
        </is>
      </c>
      <c r="C4079" s="5" t="inlineStr">
        <is>
          <t>NORDEX ENERGY SE &amp; CO KG</t>
        </is>
      </c>
      <c r="D4079" s="5" t="inlineStr">
        <is>
          <t>KZ</t>
        </is>
      </c>
      <c r="E4079" s="5" t="n">
        <v>1300003180</v>
      </c>
      <c r="F4079" s="5" t="inlineStr">
        <is>
          <t>LAVE OFFSET 1807</t>
        </is>
      </c>
      <c r="G4079" s="5" t="inlineStr">
        <is>
          <t>EUR</t>
        </is>
      </c>
      <c r="H4079" s="9" t="n">
        <v>-136.88</v>
      </c>
      <c r="I4079" s="16" t="n">
        <v>45486</v>
      </c>
      <c r="J4079" s="16" t="n">
        <v>45486</v>
      </c>
      <c r="K4079" s="5" t="inlineStr">
        <is>
          <t>Vendor payment NORDEX ENERGY SE &amp; CO KG LAVE OFFSE</t>
        </is>
      </c>
      <c r="L4079" s="5" t="inlineStr">
        <is>
          <t>407000.1000</t>
        </is>
      </c>
      <c r="M4079" s="5">
        <f>IF(YEAR(I4079)&lt;=2020,"Até 2020",TEXT(YEAR(I4079),"0"))</f>
        <v/>
      </c>
      <c r="N4079" s="5">
        <f>IFERROR(INDEX(DePara!$A:$A,MATCH(TEXT(B4079,"0"),DePara!$D:$D,0)),"(sem categoria)")</f>
        <v/>
      </c>
      <c r="O4079" s="5">
        <f>IF(J4079="","",Parametros!$B$6-J4079)</f>
        <v/>
      </c>
      <c r="P4079" s="5">
        <f>IF(O4079="","",IF(O4079&gt;0,1,0))</f>
        <v/>
      </c>
    </row>
    <row r="4080">
      <c r="A4080" s="5" t="n">
        <v>1193100000</v>
      </c>
      <c r="B4080" s="5" t="inlineStr">
        <is>
          <t>IC1000</t>
        </is>
      </c>
      <c r="C4080" s="5" t="inlineStr">
        <is>
          <t>NORDEX ENERGY SE &amp; CO KG</t>
        </is>
      </c>
      <c r="D4080" s="5" t="inlineStr">
        <is>
          <t>KZ</t>
        </is>
      </c>
      <c r="E4080" s="5" t="n">
        <v>1300003181</v>
      </c>
      <c r="F4080" s="5" t="inlineStr">
        <is>
          <t>CAJU OFFSET 1807</t>
        </is>
      </c>
      <c r="G4080" s="5" t="inlineStr">
        <is>
          <t>EUR</t>
        </is>
      </c>
      <c r="H4080" s="9" t="n">
        <v>-58.9</v>
      </c>
      <c r="I4080" s="16" t="n">
        <v>45486</v>
      </c>
      <c r="J4080" s="16" t="n">
        <v>45486</v>
      </c>
      <c r="K4080" s="5" t="inlineStr">
        <is>
          <t>Vendor payment NORDEX ENERGY SE &amp; CO KG CAJU OFFSE</t>
        </is>
      </c>
      <c r="L4080" s="5" t="inlineStr">
        <is>
          <t>407000.1000</t>
        </is>
      </c>
      <c r="M4080" s="5">
        <f>IF(YEAR(I4080)&lt;=2020,"Até 2020",TEXT(YEAR(I4080),"0"))</f>
        <v/>
      </c>
      <c r="N4080" s="5">
        <f>IFERROR(INDEX(DePara!$A:$A,MATCH(TEXT(B4080,"0"),DePara!$D:$D,0)),"(sem categoria)")</f>
        <v/>
      </c>
      <c r="O4080" s="5">
        <f>IF(J4080="","",Parametros!$B$6-J4080)</f>
        <v/>
      </c>
      <c r="P4080" s="5">
        <f>IF(O4080="","",IF(O4080&gt;0,1,0))</f>
        <v/>
      </c>
    </row>
    <row r="4081">
      <c r="A4081" s="5" t="n">
        <v>1193100000</v>
      </c>
      <c r="B4081" s="5" t="inlineStr">
        <is>
          <t>IC1000</t>
        </is>
      </c>
      <c r="C4081" s="5" t="inlineStr">
        <is>
          <t>NORDEX ENERGY SE &amp; CO KG</t>
        </is>
      </c>
      <c r="D4081" s="5" t="inlineStr">
        <is>
          <t>KZ</t>
        </is>
      </c>
      <c r="E4081" s="5" t="n">
        <v>1300003236</v>
      </c>
      <c r="F4081" s="5" t="inlineStr">
        <is>
          <t>BX FEIJ 5 EMBARQ</t>
        </is>
      </c>
      <c r="G4081" s="5" t="inlineStr">
        <is>
          <t>EUR</t>
        </is>
      </c>
      <c r="H4081" s="9" t="n">
        <v>-7572914.57</v>
      </c>
      <c r="I4081" s="16" t="n">
        <v>45501</v>
      </c>
      <c r="J4081" s="16" t="n">
        <v>45501</v>
      </c>
      <c r="K4081" s="5" t="inlineStr">
        <is>
          <t>Vendor payment NORDEX ENERGY SE &amp; CO KG BX FEIJ 5</t>
        </is>
      </c>
      <c r="L4081" s="5" t="n"/>
      <c r="M4081" s="5">
        <f>IF(YEAR(I4081)&lt;=2020,"Até 2020",TEXT(YEAR(I4081),"0"))</f>
        <v/>
      </c>
      <c r="N4081" s="5">
        <f>IFERROR(INDEX(DePara!$A:$A,MATCH(TEXT(B4081,"0"),DePara!$D:$D,0)),"(sem categoria)")</f>
        <v/>
      </c>
      <c r="O4081" s="5">
        <f>IF(J4081="","",Parametros!$B$6-J4081)</f>
        <v/>
      </c>
      <c r="P4081" s="5">
        <f>IF(O4081="","",IF(O4081&gt;0,1,0))</f>
        <v/>
      </c>
    </row>
    <row r="4082">
      <c r="A4082" s="5" t="n">
        <v>1193100000</v>
      </c>
      <c r="B4082" s="5" t="inlineStr">
        <is>
          <t>IC1000</t>
        </is>
      </c>
      <c r="C4082" s="5" t="inlineStr">
        <is>
          <t>NORDEX ENERGY SE &amp; CO KG</t>
        </is>
      </c>
      <c r="D4082" s="5" t="inlineStr">
        <is>
          <t>KZ</t>
        </is>
      </c>
      <c r="E4082" s="5" t="n">
        <v>1300003256</v>
      </c>
      <c r="F4082" s="5" t="inlineStr">
        <is>
          <t>BX 2 FEIJ 5 EMB</t>
        </is>
      </c>
      <c r="G4082" s="5" t="inlineStr">
        <is>
          <t>EUR</t>
        </is>
      </c>
      <c r="H4082" s="9" t="n">
        <v>-15694370.98</v>
      </c>
      <c r="I4082" s="16" t="n">
        <v>45501</v>
      </c>
      <c r="J4082" s="16" t="n">
        <v>45501</v>
      </c>
      <c r="K4082" s="5" t="inlineStr">
        <is>
          <t>Vendor payment NORDEX ENERGY SE &amp; CO KG BX 2 FEIJ</t>
        </is>
      </c>
      <c r="L4082" s="5" t="n"/>
      <c r="M4082" s="5">
        <f>IF(YEAR(I4082)&lt;=2020,"Até 2020",TEXT(YEAR(I4082),"0"))</f>
        <v/>
      </c>
      <c r="N4082" s="5">
        <f>IFERROR(INDEX(DePara!$A:$A,MATCH(TEXT(B4082,"0"),DePara!$D:$D,0)),"(sem categoria)")</f>
        <v/>
      </c>
      <c r="O4082" s="5">
        <f>IF(J4082="","",Parametros!$B$6-J4082)</f>
        <v/>
      </c>
      <c r="P4082" s="5">
        <f>IF(O4082="","",IF(O4082&gt;0,1,0))</f>
        <v/>
      </c>
    </row>
    <row r="4083">
      <c r="A4083" s="5" t="n">
        <v>1193100000</v>
      </c>
      <c r="B4083" s="5" t="inlineStr">
        <is>
          <t>IC1000</t>
        </is>
      </c>
      <c r="C4083" s="5" t="inlineStr">
        <is>
          <t>NORDEX ENERGY SE &amp; CO KG</t>
        </is>
      </c>
      <c r="D4083" s="5" t="inlineStr">
        <is>
          <t>KZ</t>
        </is>
      </c>
      <c r="E4083" s="5" t="n">
        <v>1300004821</v>
      </c>
      <c r="F4083" s="5" t="inlineStr">
        <is>
          <t>621551 CAJU-03</t>
        </is>
      </c>
      <c r="G4083" s="5" t="inlineStr">
        <is>
          <t>EUR</t>
        </is>
      </c>
      <c r="H4083" s="9" t="n">
        <v>36276000</v>
      </c>
      <c r="I4083" s="16" t="n">
        <v>45701</v>
      </c>
      <c r="J4083" s="16" t="n">
        <v>45701</v>
      </c>
      <c r="K4083" s="5" t="inlineStr">
        <is>
          <t>Advance Payment 621551 - NBR-CAJU-03-EN</t>
        </is>
      </c>
      <c r="L4083" s="5" t="n"/>
      <c r="M4083" s="5">
        <f>IF(YEAR(I4083)&lt;=2020,"Até 2020",TEXT(YEAR(I4083),"0"))</f>
        <v/>
      </c>
      <c r="N4083" s="5">
        <f>IFERROR(INDEX(DePara!$A:$A,MATCH(TEXT(B4083,"0"),DePara!$D:$D,0)),"(sem categoria)")</f>
        <v/>
      </c>
      <c r="O4083" s="5">
        <f>IF(J4083="","",Parametros!$B$6-J4083)</f>
        <v/>
      </c>
      <c r="P4083" s="5">
        <f>IF(O4083="","",IF(O4083&gt;0,1,0))</f>
        <v/>
      </c>
    </row>
    <row r="4084">
      <c r="A4084" s="5" t="n">
        <v>1191000000</v>
      </c>
      <c r="B4084" s="5" t="inlineStr">
        <is>
          <t>101508</t>
        </is>
      </c>
      <c r="C4084" s="5" t="inlineStr">
        <is>
          <t>RANDSTAD BRASIL RECURSOS HUMANOS LT</t>
        </is>
      </c>
      <c r="D4084" s="5" t="inlineStr">
        <is>
          <t>SA</t>
        </is>
      </c>
      <c r="E4084" s="5" t="n">
        <v>203365</v>
      </c>
      <c r="F4084" s="5" t="inlineStr">
        <is>
          <t>217944</t>
        </is>
      </c>
      <c r="G4084" s="5" t="inlineStr">
        <is>
          <t>BRL</t>
        </is>
      </c>
      <c r="H4084" s="9" t="n">
        <v>969.85</v>
      </c>
      <c r="I4084" s="16" t="n">
        <v>45778</v>
      </c>
      <c r="J4084" s="16" t="n">
        <v>45778</v>
      </c>
      <c r="K4084" s="5" t="inlineStr">
        <is>
          <t>Documento cta.Razão RANDSTAD BRASIL RECURSOS HUMAN</t>
        </is>
      </c>
      <c r="L4084" s="5" t="n"/>
      <c r="M4084" s="5">
        <f>IF(YEAR(I4084)&lt;=2020,"Até 2020",TEXT(YEAR(I4084),"0"))</f>
        <v/>
      </c>
      <c r="N4084" s="5">
        <f>IFERROR(INDEX(DePara!$A:$A,MATCH(TEXT(B4084,"0"),DePara!$D:$D,0)),"(sem categoria)")</f>
        <v/>
      </c>
      <c r="O4084" s="5">
        <f>IF(J4084="","",Parametros!$B$6-J4084)</f>
        <v/>
      </c>
      <c r="P4084" s="5">
        <f>IF(O4084="","",IF(O4084&gt;0,1,0))</f>
        <v/>
      </c>
    </row>
    <row r="4085">
      <c r="A4085" s="5" t="n">
        <v>1191000000</v>
      </c>
      <c r="B4085" s="5" t="inlineStr">
        <is>
          <t>101269</t>
        </is>
      </c>
      <c r="C4085" s="5" t="inlineStr">
        <is>
          <t>CERTISIGN CERTIFICADORA DIGITAL SA</t>
        </is>
      </c>
      <c r="D4085" s="5" t="inlineStr">
        <is>
          <t>KZ</t>
        </is>
      </c>
      <c r="E4085" s="5" t="n">
        <v>300147</v>
      </c>
      <c r="F4085" s="5" t="n"/>
      <c r="G4085" s="5" t="inlineStr">
        <is>
          <t>BRL</t>
        </is>
      </c>
      <c r="H4085" s="9" t="n">
        <v>294.9</v>
      </c>
      <c r="I4085" s="16" t="n">
        <v>45177</v>
      </c>
      <c r="J4085" s="16" t="n">
        <v>45177</v>
      </c>
      <c r="K4085" s="5" t="inlineStr">
        <is>
          <t>Documento fornecedor CERTISIGN CERTIFICADORA DIGIT</t>
        </is>
      </c>
      <c r="L4085" s="5" t="n"/>
      <c r="M4085" s="5">
        <f>IF(YEAR(I4085)&lt;=2020,"Até 2020",TEXT(YEAR(I4085),"0"))</f>
        <v/>
      </c>
      <c r="N4085" s="5">
        <f>IFERROR(INDEX(DePara!$A:$A,MATCH(TEXT(B4085,"0"),DePara!$D:$D,0)),"(sem categoria)")</f>
        <v/>
      </c>
      <c r="O4085" s="5">
        <f>IF(J4085="","",Parametros!$B$6-J4085)</f>
        <v/>
      </c>
      <c r="P4085" s="5">
        <f>IF(O4085="","",IF(O4085&gt;0,1,0))</f>
        <v/>
      </c>
    </row>
    <row r="4086">
      <c r="A4086" s="5" t="n">
        <v>1191000000</v>
      </c>
      <c r="B4086" s="5" t="inlineStr">
        <is>
          <t>101265</t>
        </is>
      </c>
      <c r="C4086" s="5" t="inlineStr">
        <is>
          <t>NET2PHONE BRASIL TELECOMUNICAÇÕES L</t>
        </is>
      </c>
      <c r="D4086" s="5" t="inlineStr">
        <is>
          <t>KZ</t>
        </is>
      </c>
      <c r="E4086" s="5" t="n">
        <v>300171</v>
      </c>
      <c r="F4086" s="5" t="n"/>
      <c r="G4086" s="5" t="inlineStr">
        <is>
          <t>BRL</t>
        </is>
      </c>
      <c r="H4086" s="9" t="n">
        <v>1155.18</v>
      </c>
      <c r="I4086" s="16" t="n">
        <v>45182</v>
      </c>
      <c r="J4086" s="16" t="n">
        <v>45182</v>
      </c>
      <c r="K4086" s="5" t="inlineStr">
        <is>
          <t>Vendor DP Request IDT BRASIL TELECOMUNICACOES LTDA</t>
        </is>
      </c>
      <c r="L4086" s="5" t="n"/>
      <c r="M4086" s="5">
        <f>IF(YEAR(I4086)&lt;=2020,"Até 2020",TEXT(YEAR(I4086),"0"))</f>
        <v/>
      </c>
      <c r="N4086" s="5">
        <f>IFERROR(INDEX(DePara!$A:$A,MATCH(TEXT(B4086,"0"),DePara!$D:$D,0)),"(sem categoria)")</f>
        <v/>
      </c>
      <c r="O4086" s="5">
        <f>IF(J4086="","",Parametros!$B$6-J4086)</f>
        <v/>
      </c>
      <c r="P4086" s="5">
        <f>IF(O4086="","",IF(O4086&gt;0,1,0))</f>
        <v/>
      </c>
    </row>
    <row r="4087">
      <c r="A4087" s="5" t="n">
        <v>1191000000</v>
      </c>
      <c r="B4087" s="5" t="inlineStr">
        <is>
          <t>101265</t>
        </is>
      </c>
      <c r="C4087" s="5" t="inlineStr">
        <is>
          <t>NET2PHONE BRASIL TELECOMUNICAÇÕES L</t>
        </is>
      </c>
      <c r="D4087" s="5" t="inlineStr">
        <is>
          <t>KZ</t>
        </is>
      </c>
      <c r="E4087" s="5" t="n">
        <v>300171</v>
      </c>
      <c r="F4087" s="5" t="n"/>
      <c r="G4087" s="5" t="inlineStr">
        <is>
          <t>BRL</t>
        </is>
      </c>
      <c r="H4087" s="9" t="n">
        <v>1155.18</v>
      </c>
      <c r="I4087" s="16" t="n">
        <v>45182</v>
      </c>
      <c r="J4087" s="16" t="n">
        <v>45182</v>
      </c>
      <c r="K4087" s="5" t="inlineStr">
        <is>
          <t>Vendor DP Request IDT BRASIL TELECOMUNICACOES LTDA</t>
        </is>
      </c>
      <c r="L4087" s="5" t="n"/>
      <c r="M4087" s="5">
        <f>IF(YEAR(I4087)&lt;=2020,"Até 2020",TEXT(YEAR(I4087),"0"))</f>
        <v/>
      </c>
      <c r="N4087" s="5">
        <f>IFERROR(INDEX(DePara!$A:$A,MATCH(TEXT(B4087,"0"),DePara!$D:$D,0)),"(sem categoria)")</f>
        <v/>
      </c>
      <c r="O4087" s="5">
        <f>IF(J4087="","",Parametros!$B$6-J4087)</f>
        <v/>
      </c>
      <c r="P4087" s="5">
        <f>IF(O4087="","",IF(O4087&gt;0,1,0))</f>
        <v/>
      </c>
    </row>
    <row r="4088">
      <c r="A4088" s="5" t="n">
        <v>1191000000</v>
      </c>
      <c r="B4088" s="5" t="inlineStr">
        <is>
          <t>102140</t>
        </is>
      </c>
      <c r="C4088" s="5" t="inlineStr">
        <is>
          <t>SERASA SA</t>
        </is>
      </c>
      <c r="D4088" s="5" t="inlineStr">
        <is>
          <t>KZ</t>
        </is>
      </c>
      <c r="E4088" s="5" t="n">
        <v>300180</v>
      </c>
      <c r="F4088" s="5" t="n"/>
      <c r="G4088" s="5" t="inlineStr">
        <is>
          <t>BRL</t>
        </is>
      </c>
      <c r="H4088" s="9" t="n">
        <v>1485.64</v>
      </c>
      <c r="I4088" s="16" t="n">
        <v>45182</v>
      </c>
      <c r="J4088" s="16" t="n">
        <v>45182</v>
      </c>
      <c r="K4088" s="5" t="inlineStr">
        <is>
          <t>Vendor DP Request SERASA SA 1796731</t>
        </is>
      </c>
      <c r="L4088" s="5" t="n"/>
      <c r="M4088" s="5">
        <f>IF(YEAR(I4088)&lt;=2020,"Até 2020",TEXT(YEAR(I4088),"0"))</f>
        <v/>
      </c>
      <c r="N4088" s="5">
        <f>IFERROR(INDEX(DePara!$A:$A,MATCH(TEXT(B4088,"0"),DePara!$D:$D,0)),"(sem categoria)")</f>
        <v/>
      </c>
      <c r="O4088" s="5">
        <f>IF(J4088="","",Parametros!$B$6-J4088)</f>
        <v/>
      </c>
      <c r="P4088" s="5">
        <f>IF(O4088="","",IF(O4088&gt;0,1,0))</f>
        <v/>
      </c>
    </row>
    <row r="4089">
      <c r="A4089" s="5" t="n">
        <v>1191000000</v>
      </c>
      <c r="B4089" s="5" t="inlineStr">
        <is>
          <t>102084</t>
        </is>
      </c>
      <c r="C4089" s="5" t="inlineStr">
        <is>
          <t>TELEFONICA BRASIL SA</t>
        </is>
      </c>
      <c r="D4089" s="5" t="inlineStr">
        <is>
          <t>KZ</t>
        </is>
      </c>
      <c r="E4089" s="5" t="n">
        <v>300297</v>
      </c>
      <c r="F4089" s="5" t="n"/>
      <c r="G4089" s="5" t="inlineStr">
        <is>
          <t>BRL</t>
        </is>
      </c>
      <c r="H4089" s="9" t="n">
        <v>1640.95</v>
      </c>
      <c r="I4089" s="16" t="n">
        <v>45188</v>
      </c>
      <c r="J4089" s="16" t="n">
        <v>45188</v>
      </c>
      <c r="K4089" s="5" t="inlineStr">
        <is>
          <t>Documento fornecedor TELEFONICA BRASIL SA 17145787</t>
        </is>
      </c>
      <c r="L4089" s="5" t="n"/>
      <c r="M4089" s="5">
        <f>IF(YEAR(I4089)&lt;=2020,"Até 2020",TEXT(YEAR(I4089),"0"))</f>
        <v/>
      </c>
      <c r="N4089" s="5">
        <f>IFERROR(INDEX(DePara!$A:$A,MATCH(TEXT(B4089,"0"),DePara!$D:$D,0)),"(sem categoria)")</f>
        <v/>
      </c>
      <c r="O4089" s="5">
        <f>IF(J4089="","",Parametros!$B$6-J4089)</f>
        <v/>
      </c>
      <c r="P4089" s="5">
        <f>IF(O4089="","",IF(O4089&gt;0,1,0))</f>
        <v/>
      </c>
    </row>
    <row r="4090">
      <c r="A4090" s="5" t="n">
        <v>1191000000</v>
      </c>
      <c r="B4090" s="5" t="inlineStr">
        <is>
          <t>102001</t>
        </is>
      </c>
      <c r="C4090" s="5" t="inlineStr">
        <is>
          <t>TRIBUNAL REGIONAL TRABALHO 21A REGI</t>
        </is>
      </c>
      <c r="D4090" s="5" t="inlineStr">
        <is>
          <t>KZ</t>
        </is>
      </c>
      <c r="E4090" s="5" t="n">
        <v>300345</v>
      </c>
      <c r="F4090" s="5" t="n"/>
      <c r="G4090" s="5" t="inlineStr">
        <is>
          <t>BRL</t>
        </is>
      </c>
      <c r="H4090" s="9" t="n">
        <v>11448.19</v>
      </c>
      <c r="I4090" s="16" t="n">
        <v>45189</v>
      </c>
      <c r="J4090" s="16" t="n">
        <v>45189</v>
      </c>
      <c r="K4090" s="5" t="inlineStr">
        <is>
          <t>Documento fornecedor TRIBUNAL REGIONAL TRABALHO 21</t>
        </is>
      </c>
      <c r="L4090" s="5" t="n"/>
      <c r="M4090" s="5">
        <f>IF(YEAR(I4090)&lt;=2020,"Até 2020",TEXT(YEAR(I4090),"0"))</f>
        <v/>
      </c>
      <c r="N4090" s="5">
        <f>IFERROR(INDEX(DePara!$A:$A,MATCH(TEXT(B4090,"0"),DePara!$D:$D,0)),"(sem categoria)")</f>
        <v/>
      </c>
      <c r="O4090" s="5">
        <f>IF(J4090="","",Parametros!$B$6-J4090)</f>
        <v/>
      </c>
      <c r="P4090" s="5">
        <f>IF(O4090="","",IF(O4090&gt;0,1,0))</f>
        <v/>
      </c>
    </row>
    <row r="4091">
      <c r="A4091" s="5" t="n">
        <v>1191000000</v>
      </c>
      <c r="B4091" s="5" t="inlineStr">
        <is>
          <t>102486</t>
        </is>
      </c>
      <c r="C4091" s="5" t="inlineStr">
        <is>
          <t>F&amp;F ATIVIDADES ESPORTIVAS LTDA</t>
        </is>
      </c>
      <c r="D4091" s="5" t="inlineStr">
        <is>
          <t>KZ</t>
        </is>
      </c>
      <c r="E4091" s="5" t="n">
        <v>300435</v>
      </c>
      <c r="F4091" s="5" t="n"/>
      <c r="G4091" s="5" t="inlineStr">
        <is>
          <t>BRL</t>
        </is>
      </c>
      <c r="H4091" s="9" t="n">
        <v>16732</v>
      </c>
      <c r="I4091" s="16" t="n">
        <v>45145</v>
      </c>
      <c r="J4091" s="16" t="n">
        <v>45145</v>
      </c>
      <c r="K4091" s="5" t="inlineStr">
        <is>
          <t>Documento fornecedor F&amp;F ATIVIDADES ESPORTIVAS LTD</t>
        </is>
      </c>
      <c r="L4091" s="5" t="n"/>
      <c r="M4091" s="5">
        <f>IF(YEAR(I4091)&lt;=2020,"Até 2020",TEXT(YEAR(I4091),"0"))</f>
        <v/>
      </c>
      <c r="N4091" s="5">
        <f>IFERROR(INDEX(DePara!$A:$A,MATCH(TEXT(B4091,"0"),DePara!$D:$D,0)),"(sem categoria)")</f>
        <v/>
      </c>
      <c r="O4091" s="5">
        <f>IF(J4091="","",Parametros!$B$6-J4091)</f>
        <v/>
      </c>
      <c r="P4091" s="5">
        <f>IF(O4091="","",IF(O4091&gt;0,1,0))</f>
        <v/>
      </c>
    </row>
    <row r="4092">
      <c r="A4092" s="5" t="n">
        <v>1191000000</v>
      </c>
      <c r="B4092" s="5" t="inlineStr">
        <is>
          <t>EM000121</t>
        </is>
      </c>
      <c r="C4092" s="5" t="inlineStr">
        <is>
          <t>WILLIAM VICENTE DA SILVA</t>
        </is>
      </c>
      <c r="D4092" s="5" t="inlineStr">
        <is>
          <t>KZ</t>
        </is>
      </c>
      <c r="E4092" s="5" t="n">
        <v>300529</v>
      </c>
      <c r="F4092" s="5" t="n"/>
      <c r="G4092" s="5" t="inlineStr">
        <is>
          <t>BRL</t>
        </is>
      </c>
      <c r="H4092" s="9" t="n">
        <v>1643.2</v>
      </c>
      <c r="I4092" s="16" t="n">
        <v>45142</v>
      </c>
      <c r="J4092" s="16" t="n">
        <v>45142</v>
      </c>
      <c r="K4092" s="5" t="inlineStr">
        <is>
          <t>Documento fornecedor WILLIAM VICENTE DA SILVA 04.2</t>
        </is>
      </c>
      <c r="L4092" s="5" t="n"/>
      <c r="M4092" s="5">
        <f>IF(YEAR(I4092)&lt;=2020,"Até 2020",TEXT(YEAR(I4092),"0"))</f>
        <v/>
      </c>
      <c r="N4092" s="5">
        <f>IFERROR(INDEX(DePara!$A:$A,MATCH(TEXT(B4092,"0"),DePara!$D:$D,0)),"(sem categoria)")</f>
        <v/>
      </c>
      <c r="O4092" s="5">
        <f>IF(J4092="","",Parametros!$B$6-J4092)</f>
        <v/>
      </c>
      <c r="P4092" s="5">
        <f>IF(O4092="","",IF(O4092&gt;0,1,0))</f>
        <v/>
      </c>
    </row>
    <row r="4093">
      <c r="A4093" s="5" t="n">
        <v>1191000000</v>
      </c>
      <c r="B4093" s="5" t="inlineStr">
        <is>
          <t>EM000121</t>
        </is>
      </c>
      <c r="C4093" s="5" t="inlineStr">
        <is>
          <t>WILLIAM VICENTE DA SILVA</t>
        </is>
      </c>
      <c r="D4093" s="5" t="inlineStr">
        <is>
          <t>KZ</t>
        </is>
      </c>
      <c r="E4093" s="5" t="n">
        <v>300529</v>
      </c>
      <c r="F4093" s="5" t="n"/>
      <c r="G4093" s="5" t="inlineStr">
        <is>
          <t>BRL</t>
        </is>
      </c>
      <c r="H4093" s="9" t="n">
        <v>2371.2</v>
      </c>
      <c r="I4093" s="16" t="n">
        <v>45142</v>
      </c>
      <c r="J4093" s="16" t="n">
        <v>45142</v>
      </c>
      <c r="K4093" s="5" t="inlineStr">
        <is>
          <t>Documento fornecedor WILLIAM VICENTE DA SILVA 07.2</t>
        </is>
      </c>
      <c r="L4093" s="5" t="n"/>
      <c r="M4093" s="5">
        <f>IF(YEAR(I4093)&lt;=2020,"Até 2020",TEXT(YEAR(I4093),"0"))</f>
        <v/>
      </c>
      <c r="N4093" s="5">
        <f>IFERROR(INDEX(DePara!$A:$A,MATCH(TEXT(B4093,"0"),DePara!$D:$D,0)),"(sem categoria)")</f>
        <v/>
      </c>
      <c r="O4093" s="5">
        <f>IF(J4093="","",Parametros!$B$6-J4093)</f>
        <v/>
      </c>
      <c r="P4093" s="5">
        <f>IF(O4093="","",IF(O4093&gt;0,1,0))</f>
        <v/>
      </c>
    </row>
    <row r="4094">
      <c r="A4094" s="5" t="n">
        <v>1191000000</v>
      </c>
      <c r="B4094" s="5" t="inlineStr">
        <is>
          <t>EM000020</t>
        </is>
      </c>
      <c r="C4094" s="5" t="inlineStr">
        <is>
          <t>JOAO JORGE DA SILVA TEMOTEO</t>
        </is>
      </c>
      <c r="D4094" s="5" t="inlineStr">
        <is>
          <t>KZ</t>
        </is>
      </c>
      <c r="E4094" s="5" t="n">
        <v>300532</v>
      </c>
      <c r="F4094" s="5" t="n"/>
      <c r="G4094" s="5" t="inlineStr">
        <is>
          <t>BRL</t>
        </is>
      </c>
      <c r="H4094" s="9" t="n">
        <v>2001.8</v>
      </c>
      <c r="I4094" s="16" t="n">
        <v>45147</v>
      </c>
      <c r="J4094" s="16" t="n">
        <v>45147</v>
      </c>
      <c r="K4094" s="5" t="inlineStr">
        <is>
          <t>Documento fornecedor JOAO JORGE DA SILVA TEMOTEO</t>
        </is>
      </c>
      <c r="L4094" s="5" t="n"/>
      <c r="M4094" s="5">
        <f>IF(YEAR(I4094)&lt;=2020,"Até 2020",TEXT(YEAR(I4094),"0"))</f>
        <v/>
      </c>
      <c r="N4094" s="5">
        <f>IFERROR(INDEX(DePara!$A:$A,MATCH(TEXT(B4094,"0"),DePara!$D:$D,0)),"(sem categoria)")</f>
        <v/>
      </c>
      <c r="O4094" s="5">
        <f>IF(J4094="","",Parametros!$B$6-J4094)</f>
        <v/>
      </c>
      <c r="P4094" s="5">
        <f>IF(O4094="","",IF(O4094&gt;0,1,0))</f>
        <v/>
      </c>
    </row>
    <row r="4095">
      <c r="A4095" s="5" t="n">
        <v>1191000000</v>
      </c>
      <c r="B4095" s="5" t="inlineStr">
        <is>
          <t>101265</t>
        </is>
      </c>
      <c r="C4095" s="5" t="inlineStr">
        <is>
          <t>NET2PHONE BRASIL TELECOMUNICAÇÕES L</t>
        </is>
      </c>
      <c r="D4095" s="5" t="inlineStr">
        <is>
          <t>KZ</t>
        </is>
      </c>
      <c r="E4095" s="5" t="n">
        <v>300537</v>
      </c>
      <c r="F4095" s="5" t="n"/>
      <c r="G4095" s="5" t="inlineStr">
        <is>
          <t>BRL</t>
        </is>
      </c>
      <c r="H4095" s="9" t="n">
        <v>923.9</v>
      </c>
      <c r="I4095" s="16" t="n">
        <v>45149</v>
      </c>
      <c r="J4095" s="16" t="n">
        <v>45149</v>
      </c>
      <c r="K4095" s="5" t="inlineStr">
        <is>
          <t>Documento fornecedor IDT BRASIL TELECOMUNICACOES L</t>
        </is>
      </c>
      <c r="L4095" s="5" t="n"/>
      <c r="M4095" s="5">
        <f>IF(YEAR(I4095)&lt;=2020,"Até 2020",TEXT(YEAR(I4095),"0"))</f>
        <v/>
      </c>
      <c r="N4095" s="5">
        <f>IFERROR(INDEX(DePara!$A:$A,MATCH(TEXT(B4095,"0"),DePara!$D:$D,0)),"(sem categoria)")</f>
        <v/>
      </c>
      <c r="O4095" s="5">
        <f>IF(J4095="","",Parametros!$B$6-J4095)</f>
        <v/>
      </c>
      <c r="P4095" s="5">
        <f>IF(O4095="","",IF(O4095&gt;0,1,0))</f>
        <v/>
      </c>
    </row>
    <row r="4096">
      <c r="A4096" s="5" t="n">
        <v>1191000000</v>
      </c>
      <c r="B4096" s="5" t="inlineStr">
        <is>
          <t>101576</t>
        </is>
      </c>
      <c r="C4096" s="5" t="inlineStr">
        <is>
          <t>CLARO S.A</t>
        </is>
      </c>
      <c r="D4096" s="5" t="inlineStr">
        <is>
          <t>KZ</t>
        </is>
      </c>
      <c r="E4096" s="5" t="n">
        <v>300538</v>
      </c>
      <c r="F4096" s="5" t="n"/>
      <c r="G4096" s="5" t="inlineStr">
        <is>
          <t>BRL</t>
        </is>
      </c>
      <c r="H4096" s="9" t="n">
        <v>915.89</v>
      </c>
      <c r="I4096" s="16" t="n">
        <v>45149</v>
      </c>
      <c r="J4096" s="16" t="n">
        <v>45149</v>
      </c>
      <c r="K4096" s="5" t="inlineStr">
        <is>
          <t>Documento fornecedor CLARO S.A 092643</t>
        </is>
      </c>
      <c r="L4096" s="5" t="n"/>
      <c r="M4096" s="5">
        <f>IF(YEAR(I4096)&lt;=2020,"Até 2020",TEXT(YEAR(I4096),"0"))</f>
        <v/>
      </c>
      <c r="N4096" s="5">
        <f>IFERROR(INDEX(DePara!$A:$A,MATCH(TEXT(B4096,"0"),DePara!$D:$D,0)),"(sem categoria)")</f>
        <v/>
      </c>
      <c r="O4096" s="5">
        <f>IF(J4096="","",Parametros!$B$6-J4096)</f>
        <v/>
      </c>
      <c r="P4096" s="5">
        <f>IF(O4096="","",IF(O4096&gt;0,1,0))</f>
        <v/>
      </c>
    </row>
    <row r="4097">
      <c r="A4097" s="5" t="n">
        <v>1191000000</v>
      </c>
      <c r="B4097" s="5" t="inlineStr">
        <is>
          <t>101287</t>
        </is>
      </c>
      <c r="C4097" s="5" t="inlineStr">
        <is>
          <t>TELEFONICA BRASIL SA</t>
        </is>
      </c>
      <c r="D4097" s="5" t="inlineStr">
        <is>
          <t>KZ</t>
        </is>
      </c>
      <c r="E4097" s="5" t="n">
        <v>300539</v>
      </c>
      <c r="F4097" s="5" t="n"/>
      <c r="G4097" s="5" t="inlineStr">
        <is>
          <t>BRL</t>
        </is>
      </c>
      <c r="H4097" s="9" t="n">
        <v>1471.15</v>
      </c>
      <c r="I4097" s="16" t="n">
        <v>45154</v>
      </c>
      <c r="J4097" s="16" t="n">
        <v>45154</v>
      </c>
      <c r="K4097" s="5" t="inlineStr">
        <is>
          <t>Documento fornecedor TELEFONICA BRASIL SA 03647868</t>
        </is>
      </c>
      <c r="L4097" s="5" t="n"/>
      <c r="M4097" s="5">
        <f>IF(YEAR(I4097)&lt;=2020,"Até 2020",TEXT(YEAR(I4097),"0"))</f>
        <v/>
      </c>
      <c r="N4097" s="5">
        <f>IFERROR(INDEX(DePara!$A:$A,MATCH(TEXT(B4097,"0"),DePara!$D:$D,0)),"(sem categoria)")</f>
        <v/>
      </c>
      <c r="O4097" s="5">
        <f>IF(J4097="","",Parametros!$B$6-J4097)</f>
        <v/>
      </c>
      <c r="P4097" s="5">
        <f>IF(O4097="","",IF(O4097&gt;0,1,0))</f>
        <v/>
      </c>
    </row>
    <row r="4098">
      <c r="A4098" s="5" t="n">
        <v>1191000000</v>
      </c>
      <c r="B4098" s="5" t="inlineStr">
        <is>
          <t>101159</t>
        </is>
      </c>
      <c r="C4098" s="5" t="inlineStr">
        <is>
          <t>DOCUSIGN BRASIL SOLUCOES EM TECNOLO 05516218000117</t>
        </is>
      </c>
      <c r="D4098" s="5" t="inlineStr">
        <is>
          <t>KZ</t>
        </is>
      </c>
      <c r="E4098" s="5" t="n">
        <v>300781</v>
      </c>
      <c r="F4098" s="5" t="n"/>
      <c r="G4098" s="5" t="inlineStr">
        <is>
          <t>BRL</t>
        </is>
      </c>
      <c r="H4098" s="9" t="n">
        <v>1258.77</v>
      </c>
      <c r="I4098" s="16" t="n">
        <v>45168</v>
      </c>
      <c r="J4098" s="16" t="n">
        <v>45168</v>
      </c>
      <c r="K4098" s="5" t="inlineStr">
        <is>
          <t>Documento fornecedor DOCUSIGN BRASIL SOLUCOES EM T</t>
        </is>
      </c>
      <c r="L4098" s="5" t="n"/>
      <c r="M4098" s="5">
        <f>IF(YEAR(I4098)&lt;=2020,"Até 2020",TEXT(YEAR(I4098),"0"))</f>
        <v/>
      </c>
      <c r="N4098" s="5">
        <f>IFERROR(INDEX(DePara!$A:$A,MATCH(TEXT(B4098,"0"),DePara!$D:$D,0)),"(sem categoria)")</f>
        <v/>
      </c>
      <c r="O4098" s="5">
        <f>IF(J4098="","",Parametros!$B$6-J4098)</f>
        <v/>
      </c>
      <c r="P4098" s="5">
        <f>IF(O4098="","",IF(O4098&gt;0,1,0))</f>
        <v/>
      </c>
    </row>
    <row r="4099">
      <c r="A4099" s="5" t="n">
        <v>1191000000</v>
      </c>
      <c r="B4099" s="5" t="inlineStr">
        <is>
          <t>101159</t>
        </is>
      </c>
      <c r="C4099" s="5" t="inlineStr">
        <is>
          <t>DOCUSIGN BRASIL SOLUCOES EM TECNOLO 05516218000117</t>
        </is>
      </c>
      <c r="D4099" s="5" t="inlineStr">
        <is>
          <t>KZ</t>
        </is>
      </c>
      <c r="E4099" s="5" t="n">
        <v>300781</v>
      </c>
      <c r="F4099" s="5" t="n"/>
      <c r="G4099" s="5" t="inlineStr">
        <is>
          <t>BRL</t>
        </is>
      </c>
      <c r="H4099" s="9" t="n">
        <v>13412.82</v>
      </c>
      <c r="I4099" s="16" t="n">
        <v>45168</v>
      </c>
      <c r="J4099" s="16" t="n">
        <v>45168</v>
      </c>
      <c r="K4099" s="5" t="inlineStr">
        <is>
          <t>Documento fornecedor DOCUSIGN BRASIL SOLUCOES EM T</t>
        </is>
      </c>
      <c r="L4099" s="5" t="n"/>
      <c r="M4099" s="5">
        <f>IF(YEAR(I4099)&lt;=2020,"Até 2020",TEXT(YEAR(I4099),"0"))</f>
        <v/>
      </c>
      <c r="N4099" s="5">
        <f>IFERROR(INDEX(DePara!$A:$A,MATCH(TEXT(B4099,"0"),DePara!$D:$D,0)),"(sem categoria)")</f>
        <v/>
      </c>
      <c r="O4099" s="5">
        <f>IF(J4099="","",Parametros!$B$6-J4099)</f>
        <v/>
      </c>
      <c r="P4099" s="5">
        <f>IF(O4099="","",IF(O4099&gt;0,1,0))</f>
        <v/>
      </c>
    </row>
    <row r="4100">
      <c r="A4100" s="5" t="n">
        <v>1191000000</v>
      </c>
      <c r="B4100" s="5" t="inlineStr">
        <is>
          <t>101976</t>
        </is>
      </c>
      <c r="C4100" s="5" t="inlineStr">
        <is>
          <t>SAO PAULO TRIBUNAL DE JUSTICA</t>
        </is>
      </c>
      <c r="D4100" s="5" t="inlineStr">
        <is>
          <t>KZ</t>
        </is>
      </c>
      <c r="E4100" s="5" t="n">
        <v>300785</v>
      </c>
      <c r="F4100" s="5" t="n"/>
      <c r="G4100" s="5" t="inlineStr">
        <is>
          <t>BRL</t>
        </is>
      </c>
      <c r="H4100" s="9" t="n">
        <v>49450</v>
      </c>
      <c r="I4100" s="16" t="n">
        <v>45142</v>
      </c>
      <c r="J4100" s="16" t="n">
        <v>45142</v>
      </c>
      <c r="K4100" s="5" t="inlineStr">
        <is>
          <t>Documento fornecedor SAO PAULO TRIBUNAL DE JUSTICA</t>
        </is>
      </c>
      <c r="L4100" s="5" t="n"/>
      <c r="M4100" s="5">
        <f>IF(YEAR(I4100)&lt;=2020,"Até 2020",TEXT(YEAR(I4100),"0"))</f>
        <v/>
      </c>
      <c r="N4100" s="5">
        <f>IFERROR(INDEX(DePara!$A:$A,MATCH(TEXT(B4100,"0"),DePara!$D:$D,0)),"(sem categoria)")</f>
        <v/>
      </c>
      <c r="O4100" s="5">
        <f>IF(J4100="","",Parametros!$B$6-J4100)</f>
        <v/>
      </c>
      <c r="P4100" s="5">
        <f>IF(O4100="","",IF(O4100&gt;0,1,0))</f>
        <v/>
      </c>
    </row>
    <row r="4101">
      <c r="A4101" s="5" t="n">
        <v>1191000000</v>
      </c>
      <c r="B4101" s="5" t="inlineStr">
        <is>
          <t>101976</t>
        </is>
      </c>
      <c r="C4101" s="5" t="inlineStr">
        <is>
          <t>SAO PAULO TRIBUNAL DE JUSTICA</t>
        </is>
      </c>
      <c r="D4101" s="5" t="inlineStr">
        <is>
          <t>KZ</t>
        </is>
      </c>
      <c r="E4101" s="5" t="n">
        <v>300785</v>
      </c>
      <c r="F4101" s="5" t="n"/>
      <c r="G4101" s="5" t="inlineStr">
        <is>
          <t>BRL</t>
        </is>
      </c>
      <c r="H4101" s="9" t="n">
        <v>161090</v>
      </c>
      <c r="I4101" s="16" t="n">
        <v>45142</v>
      </c>
      <c r="J4101" s="16" t="n">
        <v>45142</v>
      </c>
      <c r="K4101" s="5" t="inlineStr">
        <is>
          <t>Documento fornecedor SAO PAULO TRIBUNAL DE JUSTICA</t>
        </is>
      </c>
      <c r="L4101" s="5" t="n"/>
      <c r="M4101" s="5">
        <f>IF(YEAR(I4101)&lt;=2020,"Até 2020",TEXT(YEAR(I4101),"0"))</f>
        <v/>
      </c>
      <c r="N4101" s="5">
        <f>IFERROR(INDEX(DePara!$A:$A,MATCH(TEXT(B4101,"0"),DePara!$D:$D,0)),"(sem categoria)")</f>
        <v/>
      </c>
      <c r="O4101" s="5">
        <f>IF(J4101="","",Parametros!$B$6-J4101)</f>
        <v/>
      </c>
      <c r="P4101" s="5">
        <f>IF(O4101="","",IF(O4101&gt;0,1,0))</f>
        <v/>
      </c>
    </row>
    <row r="4102">
      <c r="A4102" s="5" t="n">
        <v>1191000000</v>
      </c>
      <c r="B4102" s="5" t="inlineStr">
        <is>
          <t>102115</t>
        </is>
      </c>
      <c r="C4102" s="5" t="inlineStr">
        <is>
          <t>CLARO SA SAO PAULO</t>
        </is>
      </c>
      <c r="D4102" s="5" t="inlineStr">
        <is>
          <t>KZ</t>
        </is>
      </c>
      <c r="E4102" s="5" t="n">
        <v>300788</v>
      </c>
      <c r="F4102" s="5" t="n"/>
      <c r="G4102" s="5" t="inlineStr">
        <is>
          <t>BRL</t>
        </is>
      </c>
      <c r="H4102" s="9" t="n">
        <v>3101.66</v>
      </c>
      <c r="I4102" s="16" t="n">
        <v>45154</v>
      </c>
      <c r="J4102" s="16" t="n">
        <v>45154</v>
      </c>
      <c r="K4102" s="5" t="inlineStr">
        <is>
          <t>Documento fornecedor CLARO SA SAO PAULO 082473</t>
        </is>
      </c>
      <c r="L4102" s="5" t="n"/>
      <c r="M4102" s="5">
        <f>IF(YEAR(I4102)&lt;=2020,"Até 2020",TEXT(YEAR(I4102),"0"))</f>
        <v/>
      </c>
      <c r="N4102" s="5">
        <f>IFERROR(INDEX(DePara!$A:$A,MATCH(TEXT(B4102,"0"),DePara!$D:$D,0)),"(sem categoria)")</f>
        <v/>
      </c>
      <c r="O4102" s="5">
        <f>IF(J4102="","",Parametros!$B$6-J4102)</f>
        <v/>
      </c>
      <c r="P4102" s="5">
        <f>IF(O4102="","",IF(O4102&gt;0,1,0))</f>
        <v/>
      </c>
    </row>
    <row r="4103">
      <c r="A4103" s="5" t="n">
        <v>1191000000</v>
      </c>
      <c r="B4103" s="5" t="inlineStr">
        <is>
          <t>100099</t>
        </is>
      </c>
      <c r="C4103" s="5" t="inlineStr">
        <is>
          <t>PRESENCA COMERCIAL LTDA</t>
        </is>
      </c>
      <c r="D4103" s="5" t="inlineStr">
        <is>
          <t>KZ</t>
        </is>
      </c>
      <c r="E4103" s="5" t="n">
        <v>300815</v>
      </c>
      <c r="F4103" s="5" t="n"/>
      <c r="G4103" s="5" t="inlineStr">
        <is>
          <t>BRL</t>
        </is>
      </c>
      <c r="H4103" s="9" t="n">
        <v>1062</v>
      </c>
      <c r="I4103" s="16" t="n">
        <v>45168</v>
      </c>
      <c r="J4103" s="16" t="n">
        <v>45168</v>
      </c>
      <c r="K4103" s="5" t="inlineStr">
        <is>
          <t>Documento fornecedor PRESENCA COMERCIAL LTDA 46905</t>
        </is>
      </c>
      <c r="L4103" s="5" t="n"/>
      <c r="M4103" s="5">
        <f>IF(YEAR(I4103)&lt;=2020,"Até 2020",TEXT(YEAR(I4103),"0"))</f>
        <v/>
      </c>
      <c r="N4103" s="5">
        <f>IFERROR(INDEX(DePara!$A:$A,MATCH(TEXT(B4103,"0"),DePara!$D:$D,0)),"(sem categoria)")</f>
        <v/>
      </c>
      <c r="O4103" s="5">
        <f>IF(J4103="","",Parametros!$B$6-J4103)</f>
        <v/>
      </c>
      <c r="P4103" s="5">
        <f>IF(O4103="","",IF(O4103&gt;0,1,0))</f>
        <v/>
      </c>
    </row>
    <row r="4104">
      <c r="A4104" s="5" t="n">
        <v>1191000000</v>
      </c>
      <c r="B4104" s="5" t="inlineStr">
        <is>
          <t>102001</t>
        </is>
      </c>
      <c r="C4104" s="5" t="inlineStr">
        <is>
          <t>TRIBUNAL REGIONAL TRABALHO 21A REGI</t>
        </is>
      </c>
      <c r="D4104" s="5" t="inlineStr">
        <is>
          <t>KZ</t>
        </is>
      </c>
      <c r="E4104" s="5" t="n">
        <v>301189</v>
      </c>
      <c r="F4104" s="5" t="n"/>
      <c r="G4104" s="5" t="inlineStr">
        <is>
          <t>BRL</t>
        </is>
      </c>
      <c r="H4104" s="9" t="n">
        <v>25330.28</v>
      </c>
      <c r="I4104" s="16" t="n">
        <v>45195</v>
      </c>
      <c r="J4104" s="16" t="n">
        <v>45195</v>
      </c>
      <c r="K4104" s="5" t="inlineStr">
        <is>
          <t>Proc. 0000918-31.2018.5.21.0012</t>
        </is>
      </c>
      <c r="L4104" s="5" t="n"/>
      <c r="M4104" s="5">
        <f>IF(YEAR(I4104)&lt;=2020,"Até 2020",TEXT(YEAR(I4104),"0"))</f>
        <v/>
      </c>
      <c r="N4104" s="5">
        <f>IFERROR(INDEX(DePara!$A:$A,MATCH(TEXT(B4104,"0"),DePara!$D:$D,0)),"(sem categoria)")</f>
        <v/>
      </c>
      <c r="O4104" s="5">
        <f>IF(J4104="","",Parametros!$B$6-J4104)</f>
        <v/>
      </c>
      <c r="P4104" s="5">
        <f>IF(O4104="","",IF(O4104&gt;0,1,0))</f>
        <v/>
      </c>
    </row>
    <row r="4105">
      <c r="A4105" s="5" t="n">
        <v>1191000000</v>
      </c>
      <c r="B4105" s="5" t="inlineStr">
        <is>
          <t>100161</t>
        </is>
      </c>
      <c r="C4105" s="5" t="inlineStr">
        <is>
          <t>CAMARA DE COM E IND BRASIL ALEMANHA</t>
        </is>
      </c>
      <c r="D4105" s="5" t="inlineStr">
        <is>
          <t>KZ</t>
        </is>
      </c>
      <c r="E4105" s="5" t="n">
        <v>301785</v>
      </c>
      <c r="F4105" s="5" t="n"/>
      <c r="G4105" s="5" t="inlineStr">
        <is>
          <t>BRL</t>
        </is>
      </c>
      <c r="H4105" s="9" t="n">
        <v>10847</v>
      </c>
      <c r="I4105" s="16" t="n">
        <v>45202</v>
      </c>
      <c r="J4105" s="16" t="n">
        <v>45202</v>
      </c>
      <c r="K4105" s="5" t="inlineStr">
        <is>
          <t>Documento fornecedor CAMARA DE COM E IND BRASIL AL</t>
        </is>
      </c>
      <c r="L4105" s="5" t="n"/>
      <c r="M4105" s="5">
        <f>IF(YEAR(I4105)&lt;=2020,"Até 2020",TEXT(YEAR(I4105),"0"))</f>
        <v/>
      </c>
      <c r="N4105" s="5">
        <f>IFERROR(INDEX(DePara!$A:$A,MATCH(TEXT(B4105,"0"),DePara!$D:$D,0)),"(sem categoria)")</f>
        <v/>
      </c>
      <c r="O4105" s="5">
        <f>IF(J4105="","",Parametros!$B$6-J4105)</f>
        <v/>
      </c>
      <c r="P4105" s="5">
        <f>IF(O4105="","",IF(O4105&gt;0,1,0))</f>
        <v/>
      </c>
    </row>
    <row r="4106">
      <c r="A4106" s="5" t="n">
        <v>1191000000</v>
      </c>
      <c r="B4106" s="5" t="inlineStr">
        <is>
          <t>101482</t>
        </is>
      </c>
      <c r="C4106" s="5" t="inlineStr">
        <is>
          <t>SANTIN EMPRESA DE TRANSP. ESPECIAIS 22902476000584</t>
        </is>
      </c>
      <c r="D4106" s="5" t="inlineStr">
        <is>
          <t>KZ</t>
        </is>
      </c>
      <c r="E4106" s="5" t="n">
        <v>301937</v>
      </c>
      <c r="F4106" s="5" t="n"/>
      <c r="G4106" s="5" t="inlineStr">
        <is>
          <t>BRL</t>
        </is>
      </c>
      <c r="H4106" s="9" t="n">
        <v>2000</v>
      </c>
      <c r="I4106" s="16" t="n">
        <v>45204</v>
      </c>
      <c r="J4106" s="16" t="n">
        <v>45204</v>
      </c>
      <c r="K4106" s="5" t="inlineStr">
        <is>
          <t>Documento fornecedor SANTIN EMPRESA DE TRANSP. ESP</t>
        </is>
      </c>
      <c r="L4106" s="5" t="inlineStr">
        <is>
          <t>SANTIN0510</t>
        </is>
      </c>
      <c r="M4106" s="5">
        <f>IF(YEAR(I4106)&lt;=2020,"Até 2020",TEXT(YEAR(I4106),"0"))</f>
        <v/>
      </c>
      <c r="N4106" s="5">
        <f>IFERROR(INDEX(DePara!$A:$A,MATCH(TEXT(B4106,"0"),DePara!$D:$D,0)),"(sem categoria)")</f>
        <v/>
      </c>
      <c r="O4106" s="5">
        <f>IF(J4106="","",Parametros!$B$6-J4106)</f>
        <v/>
      </c>
      <c r="P4106" s="5">
        <f>IF(O4106="","",IF(O4106&gt;0,1,0))</f>
        <v/>
      </c>
    </row>
    <row r="4107">
      <c r="A4107" s="5" t="n">
        <v>1191000000</v>
      </c>
      <c r="B4107" s="5" t="inlineStr">
        <is>
          <t>101482</t>
        </is>
      </c>
      <c r="C4107" s="5" t="inlineStr">
        <is>
          <t>SANTIN EMPRESA DE TRANSP. ESPECIAIS 22902476000584</t>
        </is>
      </c>
      <c r="D4107" s="5" t="inlineStr">
        <is>
          <t>KZ</t>
        </is>
      </c>
      <c r="E4107" s="5" t="n">
        <v>301937</v>
      </c>
      <c r="F4107" s="5" t="n"/>
      <c r="G4107" s="5" t="inlineStr">
        <is>
          <t>BRL</t>
        </is>
      </c>
      <c r="H4107" s="9" t="n">
        <v>2000</v>
      </c>
      <c r="I4107" s="16" t="n">
        <v>45204</v>
      </c>
      <c r="J4107" s="16" t="n">
        <v>45204</v>
      </c>
      <c r="K4107" s="5" t="inlineStr">
        <is>
          <t>Documento fornecedor SANTIN EMPRESA DE TRANSP. ESP</t>
        </is>
      </c>
      <c r="L4107" s="5" t="inlineStr">
        <is>
          <t>SANTIN0510</t>
        </is>
      </c>
      <c r="M4107" s="5">
        <f>IF(YEAR(I4107)&lt;=2020,"Até 2020",TEXT(YEAR(I4107),"0"))</f>
        <v/>
      </c>
      <c r="N4107" s="5">
        <f>IFERROR(INDEX(DePara!$A:$A,MATCH(TEXT(B4107,"0"),DePara!$D:$D,0)),"(sem categoria)")</f>
        <v/>
      </c>
      <c r="O4107" s="5">
        <f>IF(J4107="","",Parametros!$B$6-J4107)</f>
        <v/>
      </c>
      <c r="P4107" s="5">
        <f>IF(O4107="","",IF(O4107&gt;0,1,0))</f>
        <v/>
      </c>
    </row>
    <row r="4108">
      <c r="A4108" s="5" t="n">
        <v>1191000000</v>
      </c>
      <c r="B4108" s="5" t="inlineStr">
        <is>
          <t>101482</t>
        </is>
      </c>
      <c r="C4108" s="5" t="inlineStr">
        <is>
          <t>SANTIN EMPRESA DE TRANSP. ESPECIAIS 22902476000584</t>
        </is>
      </c>
      <c r="D4108" s="5" t="inlineStr">
        <is>
          <t>KZ</t>
        </is>
      </c>
      <c r="E4108" s="5" t="n">
        <v>301937</v>
      </c>
      <c r="F4108" s="5" t="n"/>
      <c r="G4108" s="5" t="inlineStr">
        <is>
          <t>BRL</t>
        </is>
      </c>
      <c r="H4108" s="9" t="n">
        <v>2000</v>
      </c>
      <c r="I4108" s="16" t="n">
        <v>45204</v>
      </c>
      <c r="J4108" s="16" t="n">
        <v>45204</v>
      </c>
      <c r="K4108" s="5" t="inlineStr">
        <is>
          <t>Documento fornecedor SANTIN EMPRESA DE TRANSP. ESP</t>
        </is>
      </c>
      <c r="L4108" s="5" t="inlineStr">
        <is>
          <t>SANTIN0510</t>
        </is>
      </c>
      <c r="M4108" s="5">
        <f>IF(YEAR(I4108)&lt;=2020,"Até 2020",TEXT(YEAR(I4108),"0"))</f>
        <v/>
      </c>
      <c r="N4108" s="5">
        <f>IFERROR(INDEX(DePara!$A:$A,MATCH(TEXT(B4108,"0"),DePara!$D:$D,0)),"(sem categoria)")</f>
        <v/>
      </c>
      <c r="O4108" s="5">
        <f>IF(J4108="","",Parametros!$B$6-J4108)</f>
        <v/>
      </c>
      <c r="P4108" s="5">
        <f>IF(O4108="","",IF(O4108&gt;0,1,0))</f>
        <v/>
      </c>
    </row>
    <row r="4109">
      <c r="A4109" s="5" t="n">
        <v>1191000000</v>
      </c>
      <c r="B4109" s="5" t="inlineStr">
        <is>
          <t>101056</t>
        </is>
      </c>
      <c r="C4109" s="5" t="inlineStr">
        <is>
          <t>CAMARA DE COMER ENERGIA ELETRICA CC</t>
        </is>
      </c>
      <c r="D4109" s="5" t="inlineStr">
        <is>
          <t>KZ</t>
        </is>
      </c>
      <c r="E4109" s="5" t="n">
        <v>301968</v>
      </c>
      <c r="F4109" s="5" t="n"/>
      <c r="G4109" s="5" t="inlineStr">
        <is>
          <t>BRL</t>
        </is>
      </c>
      <c r="H4109" s="9" t="n">
        <v>60.86</v>
      </c>
      <c r="I4109" s="16" t="n">
        <v>45210</v>
      </c>
      <c r="J4109" s="16" t="n">
        <v>45210</v>
      </c>
      <c r="K4109" s="5" t="inlineStr">
        <is>
          <t>Documento fornecedor CAMARA DE COMER ENERGIA ELETR</t>
        </is>
      </c>
      <c r="L4109" s="5" t="n"/>
      <c r="M4109" s="5">
        <f>IF(YEAR(I4109)&lt;=2020,"Até 2020",TEXT(YEAR(I4109),"0"))</f>
        <v/>
      </c>
      <c r="N4109" s="5">
        <f>IFERROR(INDEX(DePara!$A:$A,MATCH(TEXT(B4109,"0"),DePara!$D:$D,0)),"(sem categoria)")</f>
        <v/>
      </c>
      <c r="O4109" s="5">
        <f>IF(J4109="","",Parametros!$B$6-J4109)</f>
        <v/>
      </c>
      <c r="P4109" s="5">
        <f>IF(O4109="","",IF(O4109&gt;0,1,0))</f>
        <v/>
      </c>
    </row>
    <row r="4110">
      <c r="A4110" s="5" t="n">
        <v>1191000000</v>
      </c>
      <c r="B4110" s="5" t="inlineStr">
        <is>
          <t>101416</t>
        </is>
      </c>
      <c r="C4110" s="5" t="inlineStr">
        <is>
          <t>CENTRO DAS INDUSTRIAS DO ESTADO DE</t>
        </is>
      </c>
      <c r="D4110" s="5" t="inlineStr">
        <is>
          <t>KZ</t>
        </is>
      </c>
      <c r="E4110" s="5" t="n">
        <v>301969</v>
      </c>
      <c r="F4110" s="5" t="n"/>
      <c r="G4110" s="5" t="inlineStr">
        <is>
          <t>BRL</t>
        </is>
      </c>
      <c r="H4110" s="9" t="n">
        <v>1353</v>
      </c>
      <c r="I4110" s="16" t="n">
        <v>45210</v>
      </c>
      <c r="J4110" s="16" t="n">
        <v>45210</v>
      </c>
      <c r="K4110" s="5" t="inlineStr">
        <is>
          <t>Documento fornecedor CENTRO DAS INDUSTRIAS DO ESTA</t>
        </is>
      </c>
      <c r="L4110" s="5" t="n"/>
      <c r="M4110" s="5">
        <f>IF(YEAR(I4110)&lt;=2020,"Até 2020",TEXT(YEAR(I4110),"0"))</f>
        <v/>
      </c>
      <c r="N4110" s="5">
        <f>IFERROR(INDEX(DePara!$A:$A,MATCH(TEXT(B4110,"0"),DePara!$D:$D,0)),"(sem categoria)")</f>
        <v/>
      </c>
      <c r="O4110" s="5">
        <f>IF(J4110="","",Parametros!$B$6-J4110)</f>
        <v/>
      </c>
      <c r="P4110" s="5">
        <f>IF(O4110="","",IF(O4110&gt;0,1,0))</f>
        <v/>
      </c>
    </row>
    <row r="4111">
      <c r="A4111" s="5" t="n">
        <v>1191000000</v>
      </c>
      <c r="B4111" s="5" t="inlineStr">
        <is>
          <t>101416</t>
        </is>
      </c>
      <c r="C4111" s="5" t="inlineStr">
        <is>
          <t>CENTRO DAS INDUSTRIAS DO ESTADO DE</t>
        </is>
      </c>
      <c r="D4111" s="5" t="inlineStr">
        <is>
          <t>KZ</t>
        </is>
      </c>
      <c r="E4111" s="5" t="n">
        <v>301969</v>
      </c>
      <c r="F4111" s="5" t="n"/>
      <c r="G4111" s="5" t="inlineStr">
        <is>
          <t>BRL</t>
        </is>
      </c>
      <c r="H4111" s="9" t="n">
        <v>1353</v>
      </c>
      <c r="I4111" s="16" t="n">
        <v>45210</v>
      </c>
      <c r="J4111" s="16" t="n">
        <v>45210</v>
      </c>
      <c r="K4111" s="5" t="inlineStr">
        <is>
          <t>Documento fornecedor CENTRO DAS INDUSTRIAS DO ESTA</t>
        </is>
      </c>
      <c r="L4111" s="5" t="n"/>
      <c r="M4111" s="5">
        <f>IF(YEAR(I4111)&lt;=2020,"Até 2020",TEXT(YEAR(I4111),"0"))</f>
        <v/>
      </c>
      <c r="N4111" s="5">
        <f>IFERROR(INDEX(DePara!$A:$A,MATCH(TEXT(B4111,"0"),DePara!$D:$D,0)),"(sem categoria)")</f>
        <v/>
      </c>
      <c r="O4111" s="5">
        <f>IF(J4111="","",Parametros!$B$6-J4111)</f>
        <v/>
      </c>
      <c r="P4111" s="5">
        <f>IF(O4111="","",IF(O4111&gt;0,1,0))</f>
        <v/>
      </c>
    </row>
    <row r="4112">
      <c r="A4112" s="5" t="n">
        <v>1191000000</v>
      </c>
      <c r="B4112" s="5" t="inlineStr">
        <is>
          <t>101416</t>
        </is>
      </c>
      <c r="C4112" s="5" t="inlineStr">
        <is>
          <t>CENTRO DAS INDUSTRIAS DO ESTADO DE</t>
        </is>
      </c>
      <c r="D4112" s="5" t="inlineStr">
        <is>
          <t>KZ</t>
        </is>
      </c>
      <c r="E4112" s="5" t="n">
        <v>301969</v>
      </c>
      <c r="F4112" s="5" t="n"/>
      <c r="G4112" s="5" t="inlineStr">
        <is>
          <t>BRL</t>
        </is>
      </c>
      <c r="H4112" s="9" t="n">
        <v>1353</v>
      </c>
      <c r="I4112" s="16" t="n">
        <v>45210</v>
      </c>
      <c r="J4112" s="16" t="n">
        <v>45210</v>
      </c>
      <c r="K4112" s="5" t="inlineStr">
        <is>
          <t>Documento fornecedor CENTRO DAS INDUSTRIAS DO ESTA</t>
        </is>
      </c>
      <c r="L4112" s="5" t="n"/>
      <c r="M4112" s="5">
        <f>IF(YEAR(I4112)&lt;=2020,"Até 2020",TEXT(YEAR(I4112),"0"))</f>
        <v/>
      </c>
      <c r="N4112" s="5">
        <f>IFERROR(INDEX(DePara!$A:$A,MATCH(TEXT(B4112,"0"),DePara!$D:$D,0)),"(sem categoria)")</f>
        <v/>
      </c>
      <c r="O4112" s="5">
        <f>IF(J4112="","",Parametros!$B$6-J4112)</f>
        <v/>
      </c>
      <c r="P4112" s="5">
        <f>IF(O4112="","",IF(O4112&gt;0,1,0))</f>
        <v/>
      </c>
    </row>
    <row r="4113">
      <c r="A4113" s="5" t="n">
        <v>1191000000</v>
      </c>
      <c r="B4113" s="5" t="inlineStr">
        <is>
          <t>101416</t>
        </is>
      </c>
      <c r="C4113" s="5" t="inlineStr">
        <is>
          <t>CENTRO DAS INDUSTRIAS DO ESTADO DE</t>
        </is>
      </c>
      <c r="D4113" s="5" t="inlineStr">
        <is>
          <t>KZ</t>
        </is>
      </c>
      <c r="E4113" s="5" t="n">
        <v>301969</v>
      </c>
      <c r="F4113" s="5" t="n"/>
      <c r="G4113" s="5" t="inlineStr">
        <is>
          <t>BRL</t>
        </is>
      </c>
      <c r="H4113" s="9" t="n">
        <v>1353</v>
      </c>
      <c r="I4113" s="16" t="n">
        <v>45210</v>
      </c>
      <c r="J4113" s="16" t="n">
        <v>45210</v>
      </c>
      <c r="K4113" s="5" t="inlineStr">
        <is>
          <t>Documento fornecedor CENTRO DAS INDUSTRIAS DO ESTA</t>
        </is>
      </c>
      <c r="L4113" s="5" t="n"/>
      <c r="M4113" s="5">
        <f>IF(YEAR(I4113)&lt;=2020,"Até 2020",TEXT(YEAR(I4113),"0"))</f>
        <v/>
      </c>
      <c r="N4113" s="5">
        <f>IFERROR(INDEX(DePara!$A:$A,MATCH(TEXT(B4113,"0"),DePara!$D:$D,0)),"(sem categoria)")</f>
        <v/>
      </c>
      <c r="O4113" s="5">
        <f>IF(J4113="","",Parametros!$B$6-J4113)</f>
        <v/>
      </c>
      <c r="P4113" s="5">
        <f>IF(O4113="","",IF(O4113&gt;0,1,0))</f>
        <v/>
      </c>
    </row>
    <row r="4114">
      <c r="A4114" s="5" t="n">
        <v>1191000000</v>
      </c>
      <c r="B4114" s="5" t="inlineStr">
        <is>
          <t>103759</t>
        </is>
      </c>
      <c r="C4114" s="5" t="inlineStr">
        <is>
          <t>MUNICIPIO DE SIMOES</t>
        </is>
      </c>
      <c r="D4114" s="5" t="inlineStr">
        <is>
          <t>KZ</t>
        </is>
      </c>
      <c r="E4114" s="5" t="n">
        <v>302126</v>
      </c>
      <c r="F4114" s="5" t="n"/>
      <c r="G4114" s="5" t="inlineStr">
        <is>
          <t>BRL</t>
        </is>
      </c>
      <c r="H4114" s="9" t="n">
        <v>591.23</v>
      </c>
      <c r="I4114" s="16" t="n">
        <v>45216</v>
      </c>
      <c r="J4114" s="16" t="n">
        <v>45216</v>
      </c>
      <c r="K4114" s="5" t="inlineStr">
        <is>
          <t>Documento fornecedor MUNICIPIO DE SIMOES TX ALVARA</t>
        </is>
      </c>
      <c r="L4114" s="5" t="n"/>
      <c r="M4114" s="5">
        <f>IF(YEAR(I4114)&lt;=2020,"Até 2020",TEXT(YEAR(I4114),"0"))</f>
        <v/>
      </c>
      <c r="N4114" s="5">
        <f>IFERROR(INDEX(DePara!$A:$A,MATCH(TEXT(B4114,"0"),DePara!$D:$D,0)),"(sem categoria)")</f>
        <v/>
      </c>
      <c r="O4114" s="5">
        <f>IF(J4114="","",Parametros!$B$6-J4114)</f>
        <v/>
      </c>
      <c r="P4114" s="5">
        <f>IF(O4114="","",IF(O4114&gt;0,1,0))</f>
        <v/>
      </c>
    </row>
    <row r="4115">
      <c r="A4115" s="5" t="n">
        <v>1191000000</v>
      </c>
      <c r="B4115" s="5" t="inlineStr">
        <is>
          <t>101948</t>
        </is>
      </c>
      <c r="C4115" s="5" t="inlineStr">
        <is>
          <t>INSTITUTO BRAS DO MEIO AMBIEN E DOS</t>
        </is>
      </c>
      <c r="D4115" s="5" t="inlineStr">
        <is>
          <t>KZ</t>
        </is>
      </c>
      <c r="E4115" s="5" t="n">
        <v>302150</v>
      </c>
      <c r="F4115" s="5" t="n"/>
      <c r="G4115" s="5" t="inlineStr">
        <is>
          <t>BRL</t>
        </is>
      </c>
      <c r="H4115" s="9" t="n">
        <v>7391.06</v>
      </c>
      <c r="I4115" s="16" t="n">
        <v>45217</v>
      </c>
      <c r="J4115" s="16" t="n">
        <v>45217</v>
      </c>
      <c r="K4115" s="5" t="inlineStr">
        <is>
          <t>Documento fornecedor INSTITUTO BRAS DO MEIO AMBIEN</t>
        </is>
      </c>
      <c r="L4115" s="5" t="n"/>
      <c r="M4115" s="5">
        <f>IF(YEAR(I4115)&lt;=2020,"Até 2020",TEXT(YEAR(I4115),"0"))</f>
        <v/>
      </c>
      <c r="N4115" s="5">
        <f>IFERROR(INDEX(DePara!$A:$A,MATCH(TEXT(B4115,"0"),DePara!$D:$D,0)),"(sem categoria)")</f>
        <v/>
      </c>
      <c r="O4115" s="5">
        <f>IF(J4115="","",Parametros!$B$6-J4115)</f>
        <v/>
      </c>
      <c r="P4115" s="5">
        <f>IF(O4115="","",IF(O4115&gt;0,1,0))</f>
        <v/>
      </c>
    </row>
    <row r="4116">
      <c r="A4116" s="5" t="n">
        <v>1191000000</v>
      </c>
      <c r="B4116" s="5" t="inlineStr">
        <is>
          <t>101359</t>
        </is>
      </c>
      <c r="C4116" s="5" t="inlineStr">
        <is>
          <t>TRIBUNAL REGIONAL TRABALHO 5A REGIA</t>
        </is>
      </c>
      <c r="D4116" s="5" t="inlineStr">
        <is>
          <t>KZ</t>
        </is>
      </c>
      <c r="E4116" s="5" t="n">
        <v>302305</v>
      </c>
      <c r="F4116" s="5" t="inlineStr">
        <is>
          <t>274620165050102</t>
        </is>
      </c>
      <c r="G4116" s="5" t="inlineStr">
        <is>
          <t>BRL</t>
        </is>
      </c>
      <c r="H4116" s="9" t="n">
        <v>800</v>
      </c>
      <c r="I4116" s="16" t="n">
        <v>45211</v>
      </c>
      <c r="J4116" s="16" t="n">
        <v>45211</v>
      </c>
      <c r="K4116" s="5" t="inlineStr">
        <is>
          <t>Documento fornecedor TRIBUNAL REGIONAL TRABALHO 5A</t>
        </is>
      </c>
      <c r="L4116" s="5" t="n"/>
      <c r="M4116" s="5">
        <f>IF(YEAR(I4116)&lt;=2020,"Até 2020",TEXT(YEAR(I4116),"0"))</f>
        <v/>
      </c>
      <c r="N4116" s="5">
        <f>IFERROR(INDEX(DePara!$A:$A,MATCH(TEXT(B4116,"0"),DePara!$D:$D,0)),"(sem categoria)")</f>
        <v/>
      </c>
      <c r="O4116" s="5">
        <f>IF(J4116="","",Parametros!$B$6-J4116)</f>
        <v/>
      </c>
      <c r="P4116" s="5">
        <f>IF(O4116="","",IF(O4116&gt;0,1,0))</f>
        <v/>
      </c>
    </row>
    <row r="4117">
      <c r="A4117" s="5" t="n">
        <v>1191000000</v>
      </c>
      <c r="B4117" s="5" t="inlineStr">
        <is>
          <t>101462</t>
        </is>
      </c>
      <c r="C4117" s="5" t="inlineStr">
        <is>
          <t>EMERSON MEDEIROS DE MELO</t>
        </is>
      </c>
      <c r="D4117" s="5" t="inlineStr">
        <is>
          <t>KZ</t>
        </is>
      </c>
      <c r="E4117" s="5" t="n">
        <v>302587</v>
      </c>
      <c r="F4117" s="5" t="inlineStr">
        <is>
          <t>70</t>
        </is>
      </c>
      <c r="G4117" s="5" t="inlineStr">
        <is>
          <t>BRL</t>
        </is>
      </c>
      <c r="H4117" s="9" t="n">
        <v>400</v>
      </c>
      <c r="I4117" s="16" t="n">
        <v>45211</v>
      </c>
      <c r="J4117" s="16" t="n">
        <v>45211</v>
      </c>
      <c r="K4117" s="5" t="inlineStr">
        <is>
          <t>Documento fornecedor EMERSON MEDEIROS DE MELO ME 7</t>
        </is>
      </c>
      <c r="L4117" s="5" t="n"/>
      <c r="M4117" s="5">
        <f>IF(YEAR(I4117)&lt;=2020,"Até 2020",TEXT(YEAR(I4117),"0"))</f>
        <v/>
      </c>
      <c r="N4117" s="5">
        <f>IFERROR(INDEX(DePara!$A:$A,MATCH(TEXT(B4117,"0"),DePara!$D:$D,0)),"(sem categoria)")</f>
        <v/>
      </c>
      <c r="O4117" s="5">
        <f>IF(J4117="","",Parametros!$B$6-J4117)</f>
        <v/>
      </c>
      <c r="P4117" s="5">
        <f>IF(O4117="","",IF(O4117&gt;0,1,0))</f>
        <v/>
      </c>
    </row>
    <row r="4118">
      <c r="A4118" s="5" t="n">
        <v>1191000000</v>
      </c>
      <c r="B4118" s="5" t="inlineStr">
        <is>
          <t>101482</t>
        </is>
      </c>
      <c r="C4118" s="5" t="inlineStr">
        <is>
          <t>SANTIN EMPRESA DE TRANSP. ESPECIAIS 22902476000584</t>
        </is>
      </c>
      <c r="D4118" s="5" t="inlineStr">
        <is>
          <t>DZ</t>
        </is>
      </c>
      <c r="E4118" s="5" t="n">
        <v>302675</v>
      </c>
      <c r="F4118" s="5" t="n"/>
      <c r="G4118" s="5" t="inlineStr">
        <is>
          <t>BRL</t>
        </is>
      </c>
      <c r="H4118" s="9" t="n">
        <v>-240</v>
      </c>
      <c r="I4118" s="16" t="n">
        <v>45218</v>
      </c>
      <c r="J4118" s="16" t="n">
        <v>45218</v>
      </c>
      <c r="K4118" s="5" t="inlineStr">
        <is>
          <t>Pagamento do cliente SANTIN EMPRESA DE TRANSP. ESP</t>
        </is>
      </c>
      <c r="L4118" s="5" t="inlineStr">
        <is>
          <t>SANTIN0510</t>
        </is>
      </c>
      <c r="M4118" s="5">
        <f>IF(YEAR(I4118)&lt;=2020,"Até 2020",TEXT(YEAR(I4118),"0"))</f>
        <v/>
      </c>
      <c r="N4118" s="5">
        <f>IFERROR(INDEX(DePara!$A:$A,MATCH(TEXT(B4118,"0"),DePara!$D:$D,0)),"(sem categoria)")</f>
        <v/>
      </c>
      <c r="O4118" s="5">
        <f>IF(J4118="","",Parametros!$B$6-J4118)</f>
        <v/>
      </c>
      <c r="P4118" s="5">
        <f>IF(O4118="","",IF(O4118&gt;0,1,0))</f>
        <v/>
      </c>
    </row>
    <row r="4119">
      <c r="A4119" s="5" t="n">
        <v>1191000000</v>
      </c>
      <c r="B4119" s="5" t="inlineStr">
        <is>
          <t>101482</t>
        </is>
      </c>
      <c r="C4119" s="5" t="inlineStr">
        <is>
          <t>SANTIN EMPRESA DE TRANSP. ESPECIAIS 22902476000584</t>
        </is>
      </c>
      <c r="D4119" s="5" t="inlineStr">
        <is>
          <t>DZ</t>
        </is>
      </c>
      <c r="E4119" s="5" t="n">
        <v>302675</v>
      </c>
      <c r="F4119" s="5" t="n"/>
      <c r="G4119" s="5" t="inlineStr">
        <is>
          <t>BRL</t>
        </is>
      </c>
      <c r="H4119" s="9" t="n">
        <v>-240</v>
      </c>
      <c r="I4119" s="16" t="n">
        <v>45218</v>
      </c>
      <c r="J4119" s="16" t="n">
        <v>45218</v>
      </c>
      <c r="K4119" s="5" t="inlineStr">
        <is>
          <t>Pagamento do cliente SANTIN EMPRESA DE TRANSP. ESP</t>
        </is>
      </c>
      <c r="L4119" s="5" t="inlineStr">
        <is>
          <t>SANTIN0510</t>
        </is>
      </c>
      <c r="M4119" s="5">
        <f>IF(YEAR(I4119)&lt;=2020,"Até 2020",TEXT(YEAR(I4119),"0"))</f>
        <v/>
      </c>
      <c r="N4119" s="5">
        <f>IFERROR(INDEX(DePara!$A:$A,MATCH(TEXT(B4119,"0"),DePara!$D:$D,0)),"(sem categoria)")</f>
        <v/>
      </c>
      <c r="O4119" s="5">
        <f>IF(J4119="","",Parametros!$B$6-J4119)</f>
        <v/>
      </c>
      <c r="P4119" s="5">
        <f>IF(O4119="","",IF(O4119&gt;0,1,0))</f>
        <v/>
      </c>
    </row>
    <row r="4120">
      <c r="A4120" s="5" t="n">
        <v>1191000000</v>
      </c>
      <c r="B4120" s="5" t="inlineStr">
        <is>
          <t>101482</t>
        </is>
      </c>
      <c r="C4120" s="5" t="inlineStr">
        <is>
          <t>SANTIN EMPRESA DE TRANSP. ESPECIAIS 22902476000584</t>
        </is>
      </c>
      <c r="D4120" s="5" t="inlineStr">
        <is>
          <t>DZ</t>
        </is>
      </c>
      <c r="E4120" s="5" t="n">
        <v>302675</v>
      </c>
      <c r="F4120" s="5" t="n"/>
      <c r="G4120" s="5" t="inlineStr">
        <is>
          <t>BRL</t>
        </is>
      </c>
      <c r="H4120" s="9" t="n">
        <v>-240</v>
      </c>
      <c r="I4120" s="16" t="n">
        <v>45218</v>
      </c>
      <c r="J4120" s="16" t="n">
        <v>45218</v>
      </c>
      <c r="K4120" s="5" t="inlineStr">
        <is>
          <t>Pagamento do cliente SANTIN EMPRESA DE TRANSP. ESP</t>
        </is>
      </c>
      <c r="L4120" s="5" t="inlineStr">
        <is>
          <t>SANTIN0510</t>
        </is>
      </c>
      <c r="M4120" s="5">
        <f>IF(YEAR(I4120)&lt;=2020,"Até 2020",TEXT(YEAR(I4120),"0"))</f>
        <v/>
      </c>
      <c r="N4120" s="5">
        <f>IFERROR(INDEX(DePara!$A:$A,MATCH(TEXT(B4120,"0"),DePara!$D:$D,0)),"(sem categoria)")</f>
        <v/>
      </c>
      <c r="O4120" s="5">
        <f>IF(J4120="","",Parametros!$B$6-J4120)</f>
        <v/>
      </c>
      <c r="P4120" s="5">
        <f>IF(O4120="","",IF(O4120&gt;0,1,0))</f>
        <v/>
      </c>
    </row>
    <row r="4121">
      <c r="A4121" s="5" t="n">
        <v>1191000000</v>
      </c>
      <c r="B4121" s="5" t="inlineStr">
        <is>
          <t>103781</t>
        </is>
      </c>
      <c r="C4121" s="5" t="inlineStr">
        <is>
          <t>INSTITUTO NACIONAL DA PROPRIEDADE I</t>
        </is>
      </c>
      <c r="D4121" s="5" t="inlineStr">
        <is>
          <t>KZ</t>
        </is>
      </c>
      <c r="E4121" s="5" t="n">
        <v>302724</v>
      </c>
      <c r="F4121" s="5" t="inlineStr">
        <is>
          <t>294091823089</t>
        </is>
      </c>
      <c r="G4121" s="5" t="inlineStr">
        <is>
          <t>BRL</t>
        </is>
      </c>
      <c r="H4121" s="9" t="n">
        <v>6750</v>
      </c>
      <c r="I4121" s="16" t="n">
        <v>45211</v>
      </c>
      <c r="J4121" s="16" t="n">
        <v>45211</v>
      </c>
      <c r="K4121" s="5" t="inlineStr">
        <is>
          <t>Vendor DP Request INSTITUTO NACIONAL DA PROPRIEDAD</t>
        </is>
      </c>
      <c r="L4121" s="5" t="n"/>
      <c r="M4121" s="5">
        <f>IF(YEAR(I4121)&lt;=2020,"Até 2020",TEXT(YEAR(I4121),"0"))</f>
        <v/>
      </c>
      <c r="N4121" s="5">
        <f>IFERROR(INDEX(DePara!$A:$A,MATCH(TEXT(B4121,"0"),DePara!$D:$D,0)),"(sem categoria)")</f>
        <v/>
      </c>
      <c r="O4121" s="5">
        <f>IF(J4121="","",Parametros!$B$6-J4121)</f>
        <v/>
      </c>
      <c r="P4121" s="5">
        <f>IF(O4121="","",IF(O4121&gt;0,1,0))</f>
        <v/>
      </c>
    </row>
    <row r="4122">
      <c r="A4122" s="5" t="n">
        <v>1191000000</v>
      </c>
      <c r="B4122" s="5" t="inlineStr">
        <is>
          <t>101508</t>
        </is>
      </c>
      <c r="C4122" s="5" t="inlineStr">
        <is>
          <t>RANDSTAD BRASIL RECURSOS HUMANOS LT</t>
        </is>
      </c>
      <c r="D4122" s="5" t="inlineStr">
        <is>
          <t>KZ</t>
        </is>
      </c>
      <c r="E4122" s="5" t="n">
        <v>302776</v>
      </c>
      <c r="F4122" s="5" t="n"/>
      <c r="G4122" s="5" t="inlineStr">
        <is>
          <t>BRL</t>
        </is>
      </c>
      <c r="H4122" s="9" t="n">
        <v>3218.86</v>
      </c>
      <c r="I4122" s="16" t="n">
        <v>45237</v>
      </c>
      <c r="J4122" s="16" t="n">
        <v>45237</v>
      </c>
      <c r="K4122" s="5" t="inlineStr">
        <is>
          <t>Documento fornecedor RANDSTAD BRASIL RECURSOS HUMA</t>
        </is>
      </c>
      <c r="L4122" s="5" t="n"/>
      <c r="M4122" s="5">
        <f>IF(YEAR(I4122)&lt;=2020,"Até 2020",TEXT(YEAR(I4122),"0"))</f>
        <v/>
      </c>
      <c r="N4122" s="5">
        <f>IFERROR(INDEX(DePara!$A:$A,MATCH(TEXT(B4122,"0"),DePara!$D:$D,0)),"(sem categoria)")</f>
        <v/>
      </c>
      <c r="O4122" s="5">
        <f>IF(J4122="","",Parametros!$B$6-J4122)</f>
        <v/>
      </c>
      <c r="P4122" s="5">
        <f>IF(O4122="","",IF(O4122&gt;0,1,0))</f>
        <v/>
      </c>
    </row>
    <row r="4123">
      <c r="A4123" s="5" t="n">
        <v>1191000000</v>
      </c>
      <c r="B4123" s="5" t="inlineStr">
        <is>
          <t>101969</t>
        </is>
      </c>
      <c r="C4123" s="5" t="inlineStr">
        <is>
          <t>SECRETARIA DE ESTADO DA FAZENDA RN</t>
        </is>
      </c>
      <c r="D4123" s="5" t="inlineStr">
        <is>
          <t>KZ</t>
        </is>
      </c>
      <c r="E4123" s="5" t="n">
        <v>303375</v>
      </c>
      <c r="F4123" s="5" t="n"/>
      <c r="G4123" s="5" t="inlineStr">
        <is>
          <t>BRL</t>
        </is>
      </c>
      <c r="H4123" s="9" t="n">
        <v>233503.25</v>
      </c>
      <c r="I4123" s="16" t="n">
        <v>45266</v>
      </c>
      <c r="J4123" s="16" t="n">
        <v>45266</v>
      </c>
      <c r="K4123" s="5" t="inlineStr">
        <is>
          <t>Documento fornecedor SECRETARIA DE ESTADO DE TRIBU</t>
        </is>
      </c>
      <c r="L4123" s="5" t="n"/>
      <c r="M4123" s="5">
        <f>IF(YEAR(I4123)&lt;=2020,"Até 2020",TEXT(YEAR(I4123),"0"))</f>
        <v/>
      </c>
      <c r="N4123" s="5">
        <f>IFERROR(INDEX(DePara!$A:$A,MATCH(TEXT(B4123,"0"),DePara!$D:$D,0)),"(sem categoria)")</f>
        <v/>
      </c>
      <c r="O4123" s="5">
        <f>IF(J4123="","",Parametros!$B$6-J4123)</f>
        <v/>
      </c>
      <c r="P4123" s="5">
        <f>IF(O4123="","",IF(O4123&gt;0,1,0))</f>
        <v/>
      </c>
    </row>
    <row r="4124">
      <c r="A4124" s="5" t="n">
        <v>1191000000</v>
      </c>
      <c r="B4124" s="5" t="inlineStr">
        <is>
          <t>101969</t>
        </is>
      </c>
      <c r="C4124" s="5" t="inlineStr">
        <is>
          <t>SECRETARIA DE ESTADO DA FAZENDA RN</t>
        </is>
      </c>
      <c r="D4124" s="5" t="inlineStr">
        <is>
          <t>KZ</t>
        </is>
      </c>
      <c r="E4124" s="5" t="n">
        <v>303376</v>
      </c>
      <c r="F4124" s="5" t="n"/>
      <c r="G4124" s="5" t="inlineStr">
        <is>
          <t>BRL</t>
        </is>
      </c>
      <c r="H4124" s="9" t="n">
        <v>2044.89</v>
      </c>
      <c r="I4124" s="16" t="n">
        <v>45266</v>
      </c>
      <c r="J4124" s="16" t="n">
        <v>45266</v>
      </c>
      <c r="K4124" s="5" t="inlineStr">
        <is>
          <t>Documento fornecedor SECRETARIA DE ESTADO DE TRIBU</t>
        </is>
      </c>
      <c r="L4124" s="5" t="n"/>
      <c r="M4124" s="5">
        <f>IF(YEAR(I4124)&lt;=2020,"Até 2020",TEXT(YEAR(I4124),"0"))</f>
        <v/>
      </c>
      <c r="N4124" s="5">
        <f>IFERROR(INDEX(DePara!$A:$A,MATCH(TEXT(B4124,"0"),DePara!$D:$D,0)),"(sem categoria)")</f>
        <v/>
      </c>
      <c r="O4124" s="5">
        <f>IF(J4124="","",Parametros!$B$6-J4124)</f>
        <v/>
      </c>
      <c r="P4124" s="5">
        <f>IF(O4124="","",IF(O4124&gt;0,1,0))</f>
        <v/>
      </c>
    </row>
    <row r="4125">
      <c r="A4125" s="5" t="n">
        <v>1191000000</v>
      </c>
      <c r="B4125" s="5" t="inlineStr">
        <is>
          <t>101969</t>
        </is>
      </c>
      <c r="C4125" s="5" t="inlineStr">
        <is>
          <t>SECRETARIA DE ESTADO DA FAZENDA RN</t>
        </is>
      </c>
      <c r="D4125" s="5" t="inlineStr">
        <is>
          <t>KZ</t>
        </is>
      </c>
      <c r="E4125" s="5" t="n">
        <v>303377</v>
      </c>
      <c r="F4125" s="5" t="n"/>
      <c r="G4125" s="5" t="inlineStr">
        <is>
          <t>BRL</t>
        </is>
      </c>
      <c r="H4125" s="9" t="n">
        <v>6027.11</v>
      </c>
      <c r="I4125" s="16" t="n">
        <v>45266</v>
      </c>
      <c r="J4125" s="16" t="n">
        <v>45266</v>
      </c>
      <c r="K4125" s="5" t="inlineStr">
        <is>
          <t>Documento fornecedor SECRETARIA DE ESTADO DE TRIBU</t>
        </is>
      </c>
      <c r="L4125" s="5" t="n"/>
      <c r="M4125" s="5">
        <f>IF(YEAR(I4125)&lt;=2020,"Até 2020",TEXT(YEAR(I4125),"0"))</f>
        <v/>
      </c>
      <c r="N4125" s="5">
        <f>IFERROR(INDEX(DePara!$A:$A,MATCH(TEXT(B4125,"0"),DePara!$D:$D,0)),"(sem categoria)")</f>
        <v/>
      </c>
      <c r="O4125" s="5">
        <f>IF(J4125="","",Parametros!$B$6-J4125)</f>
        <v/>
      </c>
      <c r="P4125" s="5">
        <f>IF(O4125="","",IF(O4125&gt;0,1,0))</f>
        <v/>
      </c>
    </row>
    <row r="4126">
      <c r="A4126" s="5" t="n">
        <v>1191000000</v>
      </c>
      <c r="B4126" s="5" t="inlineStr">
        <is>
          <t>101969</t>
        </is>
      </c>
      <c r="C4126" s="5" t="inlineStr">
        <is>
          <t>SECRETARIA DE ESTADO DA FAZENDA RN</t>
        </is>
      </c>
      <c r="D4126" s="5" t="inlineStr">
        <is>
          <t>KZ</t>
        </is>
      </c>
      <c r="E4126" s="5" t="n">
        <v>303378</v>
      </c>
      <c r="F4126" s="5" t="n"/>
      <c r="G4126" s="5" t="inlineStr">
        <is>
          <t>BRL</t>
        </is>
      </c>
      <c r="H4126" s="9" t="n">
        <v>884.79</v>
      </c>
      <c r="I4126" s="16" t="n">
        <v>45266</v>
      </c>
      <c r="J4126" s="16" t="n">
        <v>45266</v>
      </c>
      <c r="K4126" s="5" t="inlineStr">
        <is>
          <t>Documento fornecedor SECRETARIA DE ESTADO DE TRIBU</t>
        </is>
      </c>
      <c r="L4126" s="5" t="n"/>
      <c r="M4126" s="5">
        <f>IF(YEAR(I4126)&lt;=2020,"Até 2020",TEXT(YEAR(I4126),"0"))</f>
        <v/>
      </c>
      <c r="N4126" s="5">
        <f>IFERROR(INDEX(DePara!$A:$A,MATCH(TEXT(B4126,"0"),DePara!$D:$D,0)),"(sem categoria)")</f>
        <v/>
      </c>
      <c r="O4126" s="5">
        <f>IF(J4126="","",Parametros!$B$6-J4126)</f>
        <v/>
      </c>
      <c r="P4126" s="5">
        <f>IF(O4126="","",IF(O4126&gt;0,1,0))</f>
        <v/>
      </c>
    </row>
    <row r="4127">
      <c r="A4127" s="5" t="n">
        <v>1191000000</v>
      </c>
      <c r="B4127" s="5" t="inlineStr">
        <is>
          <t>101969</t>
        </is>
      </c>
      <c r="C4127" s="5" t="inlineStr">
        <is>
          <t>SECRETARIA DE ESTADO DA FAZENDA RN</t>
        </is>
      </c>
      <c r="D4127" s="5" t="inlineStr">
        <is>
          <t>KZ</t>
        </is>
      </c>
      <c r="E4127" s="5" t="n">
        <v>303379</v>
      </c>
      <c r="F4127" s="5" t="n"/>
      <c r="G4127" s="5" t="inlineStr">
        <is>
          <t>BRL</t>
        </is>
      </c>
      <c r="H4127" s="9" t="n">
        <v>3799.01</v>
      </c>
      <c r="I4127" s="16" t="n">
        <v>45266</v>
      </c>
      <c r="J4127" s="16" t="n">
        <v>45266</v>
      </c>
      <c r="K4127" s="5" t="inlineStr">
        <is>
          <t>Documento fornecedor SECRETARIA DE ESTADO DE TRIBU</t>
        </is>
      </c>
      <c r="L4127" s="5" t="n"/>
      <c r="M4127" s="5">
        <f>IF(YEAR(I4127)&lt;=2020,"Até 2020",TEXT(YEAR(I4127),"0"))</f>
        <v/>
      </c>
      <c r="N4127" s="5">
        <f>IFERROR(INDEX(DePara!$A:$A,MATCH(TEXT(B4127,"0"),DePara!$D:$D,0)),"(sem categoria)")</f>
        <v/>
      </c>
      <c r="O4127" s="5">
        <f>IF(J4127="","",Parametros!$B$6-J4127)</f>
        <v/>
      </c>
      <c r="P4127" s="5">
        <f>IF(O4127="","",IF(O4127&gt;0,1,0))</f>
        <v/>
      </c>
    </row>
    <row r="4128">
      <c r="A4128" s="5" t="n">
        <v>1191000000</v>
      </c>
      <c r="B4128" s="5" t="inlineStr">
        <is>
          <t>101969</t>
        </is>
      </c>
      <c r="C4128" s="5" t="inlineStr">
        <is>
          <t>SECRETARIA DE ESTADO DA FAZENDA RN</t>
        </is>
      </c>
      <c r="D4128" s="5" t="inlineStr">
        <is>
          <t>KZ</t>
        </is>
      </c>
      <c r="E4128" s="5" t="n">
        <v>303380</v>
      </c>
      <c r="F4128" s="5" t="n"/>
      <c r="G4128" s="5" t="inlineStr">
        <is>
          <t>BRL</t>
        </is>
      </c>
      <c r="H4128" s="9" t="n">
        <v>80965.5</v>
      </c>
      <c r="I4128" s="16" t="n">
        <v>45266</v>
      </c>
      <c r="J4128" s="16" t="n">
        <v>45266</v>
      </c>
      <c r="K4128" s="5" t="inlineStr">
        <is>
          <t>Documento fornecedor SECRETARIA DE ESTADO DE TRIBU</t>
        </is>
      </c>
      <c r="L4128" s="5" t="n"/>
      <c r="M4128" s="5">
        <f>IF(YEAR(I4128)&lt;=2020,"Até 2020",TEXT(YEAR(I4128),"0"))</f>
        <v/>
      </c>
      <c r="N4128" s="5">
        <f>IFERROR(INDEX(DePara!$A:$A,MATCH(TEXT(B4128,"0"),DePara!$D:$D,0)),"(sem categoria)")</f>
        <v/>
      </c>
      <c r="O4128" s="5">
        <f>IF(J4128="","",Parametros!$B$6-J4128)</f>
        <v/>
      </c>
      <c r="P4128" s="5">
        <f>IF(O4128="","",IF(O4128&gt;0,1,0))</f>
        <v/>
      </c>
    </row>
    <row r="4129">
      <c r="A4129" s="5" t="n">
        <v>1191000000</v>
      </c>
      <c r="B4129" s="5" t="inlineStr">
        <is>
          <t>100512</t>
        </is>
      </c>
      <c r="C4129" s="5" t="inlineStr">
        <is>
          <t>PREMA TECNOLOGIA E COMERCIO LTDA</t>
        </is>
      </c>
      <c r="D4129" s="5" t="inlineStr">
        <is>
          <t>AB</t>
        </is>
      </c>
      <c r="E4129" s="5" t="n">
        <v>1010024</v>
      </c>
      <c r="F4129" s="5" t="inlineStr">
        <is>
          <t>10815001</t>
        </is>
      </c>
      <c r="G4129" s="5" t="inlineStr">
        <is>
          <t>BRL</t>
        </is>
      </c>
      <c r="H4129" s="9" t="n">
        <v>120303.2</v>
      </c>
      <c r="I4129" s="16" t="n">
        <v>45283</v>
      </c>
      <c r="J4129" s="16" t="n">
        <v>45283</v>
      </c>
      <c r="K4129" s="5" t="inlineStr">
        <is>
          <t>Documento fornecedor PREMA TECNOLOGIA E COMERCIO L</t>
        </is>
      </c>
      <c r="L4129" s="5" t="n"/>
      <c r="M4129" s="5">
        <f>IF(YEAR(I4129)&lt;=2020,"Até 2020",TEXT(YEAR(I4129),"0"))</f>
        <v/>
      </c>
      <c r="N4129" s="5">
        <f>IFERROR(INDEX(DePara!$A:$A,MATCH(TEXT(B4129,"0"),DePara!$D:$D,0)),"(sem categoria)")</f>
        <v/>
      </c>
      <c r="O4129" s="5">
        <f>IF(J4129="","",Parametros!$B$6-J4129)</f>
        <v/>
      </c>
      <c r="P4129" s="5">
        <f>IF(O4129="","",IF(O4129&gt;0,1,0))</f>
        <v/>
      </c>
    </row>
    <row r="4130">
      <c r="A4130" s="5" t="n">
        <v>1191000000</v>
      </c>
      <c r="B4130" s="5" t="inlineStr">
        <is>
          <t>102030</t>
        </is>
      </c>
      <c r="C4130" s="5" t="inlineStr">
        <is>
          <t>TECON SALVADOR SA</t>
        </is>
      </c>
      <c r="D4130" s="5" t="inlineStr">
        <is>
          <t>AB</t>
        </is>
      </c>
      <c r="E4130" s="5" t="n">
        <v>1010030</v>
      </c>
      <c r="F4130" s="5" t="n"/>
      <c r="G4130" s="5" t="inlineStr">
        <is>
          <t>BRL</t>
        </is>
      </c>
      <c r="H4130" s="9" t="n">
        <v>-65709.57000000001</v>
      </c>
      <c r="I4130" s="16" t="n">
        <v>45275</v>
      </c>
      <c r="J4130" s="16" t="n">
        <v>45275</v>
      </c>
      <c r="K4130" s="5" t="inlineStr">
        <is>
          <t>Partida individual TECON SALVADOR SA</t>
        </is>
      </c>
      <c r="L4130" s="5" t="inlineStr">
        <is>
          <t>407000.110501</t>
        </is>
      </c>
      <c r="M4130" s="5">
        <f>IF(YEAR(I4130)&lt;=2020,"Até 2020",TEXT(YEAR(I4130),"0"))</f>
        <v/>
      </c>
      <c r="N4130" s="5">
        <f>IFERROR(INDEX(DePara!$A:$A,MATCH(TEXT(B4130,"0"),DePara!$D:$D,0)),"(sem categoria)")</f>
        <v/>
      </c>
      <c r="O4130" s="5">
        <f>IF(J4130="","",Parametros!$B$6-J4130)</f>
        <v/>
      </c>
      <c r="P4130" s="5">
        <f>IF(O4130="","",IF(O4130&gt;0,1,0))</f>
        <v/>
      </c>
    </row>
    <row r="4131">
      <c r="A4131" s="5" t="n">
        <v>1191000000</v>
      </c>
      <c r="B4131" s="5" t="inlineStr">
        <is>
          <t>101204</t>
        </is>
      </c>
      <c r="C4131" s="5" t="inlineStr">
        <is>
          <t>MCADOFFICES COMERCIO DE MOVEIS E MA</t>
        </is>
      </c>
      <c r="D4131" s="5" t="inlineStr">
        <is>
          <t>KR</t>
        </is>
      </c>
      <c r="E4131" s="5" t="n">
        <v>5000280</v>
      </c>
      <c r="F4131" s="5" t="inlineStr">
        <is>
          <t>10003626</t>
        </is>
      </c>
      <c r="G4131" s="5" t="inlineStr">
        <is>
          <t>BRL</t>
        </is>
      </c>
      <c r="H4131" s="9" t="n">
        <v>1008.58</v>
      </c>
      <c r="I4131" s="16" t="n">
        <v>45296</v>
      </c>
      <c r="J4131" s="16" t="n">
        <v>45296</v>
      </c>
      <c r="K4131" s="5" t="inlineStr">
        <is>
          <t>Documento fornecedor MCADOFFICES COMERCIO DE MOVEI</t>
        </is>
      </c>
      <c r="L4131" s="5" t="n"/>
      <c r="M4131" s="5">
        <f>IF(YEAR(I4131)&lt;=2020,"Até 2020",TEXT(YEAR(I4131),"0"))</f>
        <v/>
      </c>
      <c r="N4131" s="5">
        <f>IFERROR(INDEX(DePara!$A:$A,MATCH(TEXT(B4131,"0"),DePara!$D:$D,0)),"(sem categoria)")</f>
        <v/>
      </c>
      <c r="O4131" s="5">
        <f>IF(J4131="","",Parametros!$B$6-J4131)</f>
        <v/>
      </c>
      <c r="P4131" s="5">
        <f>IF(O4131="","",IF(O4131&gt;0,1,0))</f>
        <v/>
      </c>
    </row>
    <row r="4132">
      <c r="A4132" s="5" t="n">
        <v>1191000000</v>
      </c>
      <c r="B4132" s="5" t="inlineStr">
        <is>
          <t>100606</t>
        </is>
      </c>
      <c r="C4132" s="5" t="inlineStr">
        <is>
          <t>NOVA ERA COMERCIAL DE TINTAS LTDA</t>
        </is>
      </c>
      <c r="D4132" s="5" t="inlineStr">
        <is>
          <t>KR</t>
        </is>
      </c>
      <c r="E4132" s="5" t="n">
        <v>5007810</v>
      </c>
      <c r="F4132" s="5" t="inlineStr">
        <is>
          <t>69354A</t>
        </is>
      </c>
      <c r="G4132" s="5" t="inlineStr">
        <is>
          <t>BRL</t>
        </is>
      </c>
      <c r="H4132" s="9" t="n">
        <v>1364.53</v>
      </c>
      <c r="I4132" s="16" t="n">
        <v>45222</v>
      </c>
      <c r="J4132" s="16" t="n">
        <v>45222</v>
      </c>
      <c r="K4132" s="5" t="inlineStr">
        <is>
          <t>Documento fornecedor NOVA ERA COMERCIAL DE TINTAS</t>
        </is>
      </c>
      <c r="L4132" s="5" t="n"/>
      <c r="M4132" s="5">
        <f>IF(YEAR(I4132)&lt;=2020,"Até 2020",TEXT(YEAR(I4132),"0"))</f>
        <v/>
      </c>
      <c r="N4132" s="5">
        <f>IFERROR(INDEX(DePara!$A:$A,MATCH(TEXT(B4132,"0"),DePara!$D:$D,0)),"(sem categoria)")</f>
        <v/>
      </c>
      <c r="O4132" s="5">
        <f>IF(J4132="","",Parametros!$B$6-J4132)</f>
        <v/>
      </c>
      <c r="P4132" s="5">
        <f>IF(O4132="","",IF(O4132&gt;0,1,0))</f>
        <v/>
      </c>
    </row>
    <row r="4133">
      <c r="A4133" s="5" t="n">
        <v>1191000000</v>
      </c>
      <c r="B4133" s="5" t="inlineStr">
        <is>
          <t>101071</t>
        </is>
      </c>
      <c r="C4133" s="5" t="inlineStr">
        <is>
          <t>CUSTOM COMERCIO INTERNACIONAL LTDA</t>
        </is>
      </c>
      <c r="D4133" s="5" t="inlineStr">
        <is>
          <t>UE</t>
        </is>
      </c>
      <c r="E4133" s="5" t="n">
        <v>200005093</v>
      </c>
      <c r="F4133" s="5" t="inlineStr">
        <is>
          <t>4394</t>
        </is>
      </c>
      <c r="G4133" s="5" t="inlineStr">
        <is>
          <t>BRL</t>
        </is>
      </c>
      <c r="H4133" s="9" t="n">
        <v>50500</v>
      </c>
      <c r="I4133" s="16" t="n">
        <v>45040</v>
      </c>
      <c r="J4133" s="16" t="n">
        <v>45040</v>
      </c>
      <c r="K4133" s="5" t="inlineStr">
        <is>
          <t>CUSTOM A DEVOLVER</t>
        </is>
      </c>
      <c r="L4133" s="5" t="inlineStr">
        <is>
          <t>CUSTOM A DEVOLVER</t>
        </is>
      </c>
      <c r="M4133" s="5">
        <f>IF(YEAR(I4133)&lt;=2020,"Até 2020",TEXT(YEAR(I4133),"0"))</f>
        <v/>
      </c>
      <c r="N4133" s="5">
        <f>IFERROR(INDEX(DePara!$A:$A,MATCH(TEXT(B4133,"0"),DePara!$D:$D,0)),"(sem categoria)")</f>
        <v/>
      </c>
      <c r="O4133" s="5">
        <f>IF(J4133="","",Parametros!$B$6-J4133)</f>
        <v/>
      </c>
      <c r="P4133" s="5">
        <f>IF(O4133="","",IF(O4133&gt;0,1,0))</f>
        <v/>
      </c>
    </row>
    <row r="4134">
      <c r="A4134" s="5" t="n">
        <v>1191000000</v>
      </c>
      <c r="B4134" s="5" t="inlineStr">
        <is>
          <t>101071</t>
        </is>
      </c>
      <c r="C4134" s="5" t="inlineStr">
        <is>
          <t>CUSTOM COMERCIO INTERNACIONAL LTDA</t>
        </is>
      </c>
      <c r="D4134" s="5" t="inlineStr">
        <is>
          <t>UE</t>
        </is>
      </c>
      <c r="E4134" s="5" t="n">
        <v>200006529</v>
      </c>
      <c r="F4134" s="5" t="inlineStr">
        <is>
          <t>3570</t>
        </is>
      </c>
      <c r="G4134" s="5" t="inlineStr">
        <is>
          <t>BRL</t>
        </is>
      </c>
      <c r="H4134" s="9" t="n">
        <v>32634.54</v>
      </c>
      <c r="I4134" s="16" t="n">
        <v>44853</v>
      </c>
      <c r="J4134" s="16" t="n">
        <v>44853</v>
      </c>
      <c r="K4134" s="5" t="inlineStr">
        <is>
          <t>CUSTOM A DEVOLVER</t>
        </is>
      </c>
      <c r="L4134" s="5" t="inlineStr">
        <is>
          <t>CUSTOM A DEVOLVER</t>
        </is>
      </c>
      <c r="M4134" s="5">
        <f>IF(YEAR(I4134)&lt;=2020,"Até 2020",TEXT(YEAR(I4134),"0"))</f>
        <v/>
      </c>
      <c r="N4134" s="5">
        <f>IFERROR(INDEX(DePara!$A:$A,MATCH(TEXT(B4134,"0"),DePara!$D:$D,0)),"(sem categoria)")</f>
        <v/>
      </c>
      <c r="O4134" s="5">
        <f>IF(J4134="","",Parametros!$B$6-J4134)</f>
        <v/>
      </c>
      <c r="P4134" s="5">
        <f>IF(O4134="","",IF(O4134&gt;0,1,0))</f>
        <v/>
      </c>
    </row>
    <row r="4135">
      <c r="A4135" s="5" t="n">
        <v>1191000000</v>
      </c>
      <c r="B4135" s="5" t="inlineStr">
        <is>
          <t>101071</t>
        </is>
      </c>
      <c r="C4135" s="5" t="inlineStr">
        <is>
          <t>CUSTOM COMERCIO INTERNACIONAL LTDA</t>
        </is>
      </c>
      <c r="D4135" s="5" t="inlineStr">
        <is>
          <t>UE</t>
        </is>
      </c>
      <c r="E4135" s="5" t="n">
        <v>200007039</v>
      </c>
      <c r="F4135" s="5" t="inlineStr">
        <is>
          <t>4029</t>
        </is>
      </c>
      <c r="G4135" s="5" t="inlineStr">
        <is>
          <t>BRL</t>
        </is>
      </c>
      <c r="H4135" s="9" t="n">
        <v>10464.42</v>
      </c>
      <c r="I4135" s="16" t="n">
        <v>44931</v>
      </c>
      <c r="J4135" s="16" t="n">
        <v>44931</v>
      </c>
      <c r="K4135" s="5" t="inlineStr">
        <is>
          <t>CUSTOM A DEVOLVER</t>
        </is>
      </c>
      <c r="L4135" s="5" t="inlineStr">
        <is>
          <t>CUSTOM A DEVOLVER</t>
        </is>
      </c>
      <c r="M4135" s="5">
        <f>IF(YEAR(I4135)&lt;=2020,"Até 2020",TEXT(YEAR(I4135),"0"))</f>
        <v/>
      </c>
      <c r="N4135" s="5">
        <f>IFERROR(INDEX(DePara!$A:$A,MATCH(TEXT(B4135,"0"),DePara!$D:$D,0)),"(sem categoria)")</f>
        <v/>
      </c>
      <c r="O4135" s="5">
        <f>IF(J4135="","",Parametros!$B$6-J4135)</f>
        <v/>
      </c>
      <c r="P4135" s="5">
        <f>IF(O4135="","",IF(O4135&gt;0,1,0))</f>
        <v/>
      </c>
    </row>
    <row r="4136">
      <c r="A4136" s="5" t="n">
        <v>1191000000</v>
      </c>
      <c r="B4136" s="5" t="inlineStr">
        <is>
          <t>101071</t>
        </is>
      </c>
      <c r="C4136" s="5" t="inlineStr">
        <is>
          <t>CUSTOM COMERCIO INTERNACIONAL LTDA</t>
        </is>
      </c>
      <c r="D4136" s="5" t="inlineStr">
        <is>
          <t>UE</t>
        </is>
      </c>
      <c r="E4136" s="5" t="n">
        <v>200007265</v>
      </c>
      <c r="F4136" s="5" t="inlineStr">
        <is>
          <t>4232</t>
        </is>
      </c>
      <c r="G4136" s="5" t="inlineStr">
        <is>
          <t>BRL</t>
        </is>
      </c>
      <c r="H4136" s="9" t="n">
        <v>15500</v>
      </c>
      <c r="I4136" s="16" t="n">
        <v>44992</v>
      </c>
      <c r="J4136" s="16" t="n">
        <v>44992</v>
      </c>
      <c r="K4136" s="5" t="inlineStr">
        <is>
          <t>CUSTOM A DEVOLVER</t>
        </is>
      </c>
      <c r="L4136" s="5" t="inlineStr">
        <is>
          <t>CUSTOM A DEVOLVER</t>
        </is>
      </c>
      <c r="M4136" s="5">
        <f>IF(YEAR(I4136)&lt;=2020,"Até 2020",TEXT(YEAR(I4136),"0"))</f>
        <v/>
      </c>
      <c r="N4136" s="5">
        <f>IFERROR(INDEX(DePara!$A:$A,MATCH(TEXT(B4136,"0"),DePara!$D:$D,0)),"(sem categoria)")</f>
        <v/>
      </c>
      <c r="O4136" s="5">
        <f>IF(J4136="","",Parametros!$B$6-J4136)</f>
        <v/>
      </c>
      <c r="P4136" s="5">
        <f>IF(O4136="","",IF(O4136&gt;0,1,0))</f>
        <v/>
      </c>
    </row>
    <row r="4137">
      <c r="A4137" s="5" t="n">
        <v>1191000000</v>
      </c>
      <c r="B4137" s="5" t="inlineStr">
        <is>
          <t>102087</t>
        </is>
      </c>
      <c r="C4137" s="5" t="inlineStr">
        <is>
          <t>CAIXA ECONOMICA FEDERAL</t>
        </is>
      </c>
      <c r="D4137" s="5" t="inlineStr">
        <is>
          <t>UE</t>
        </is>
      </c>
      <c r="E4137" s="5" t="n">
        <v>200007767</v>
      </c>
      <c r="F4137" s="5" t="inlineStr">
        <is>
          <t>2596</t>
        </is>
      </c>
      <c r="G4137" s="5" t="inlineStr">
        <is>
          <t>BRL</t>
        </is>
      </c>
      <c r="H4137" s="9" t="n">
        <v>60</v>
      </c>
      <c r="I4137" s="16" t="n">
        <v>42432</v>
      </c>
      <c r="J4137" s="16" t="n">
        <v>42432</v>
      </c>
      <c r="K4137" s="5" t="inlineStr">
        <is>
          <t>032150000341603039</t>
        </is>
      </c>
      <c r="L4137" s="5" t="inlineStr">
        <is>
          <t>407000.110501</t>
        </is>
      </c>
      <c r="M4137" s="5">
        <f>IF(YEAR(I4137)&lt;=2020,"Até 2020",TEXT(YEAR(I4137),"0"))</f>
        <v/>
      </c>
      <c r="N4137" s="5">
        <f>IFERROR(INDEX(DePara!$A:$A,MATCH(TEXT(B4137,"0"),DePara!$D:$D,0)),"(sem categoria)")</f>
        <v/>
      </c>
      <c r="O4137" s="5">
        <f>IF(J4137="","",Parametros!$B$6-J4137)</f>
        <v/>
      </c>
      <c r="P4137" s="5">
        <f>IF(O4137="","",IF(O4137&gt;0,1,0))</f>
        <v/>
      </c>
    </row>
    <row r="4138">
      <c r="A4138" s="5" t="n">
        <v>1191000000</v>
      </c>
      <c r="B4138" s="5" t="inlineStr">
        <is>
          <t>102087</t>
        </is>
      </c>
      <c r="C4138" s="5" t="inlineStr">
        <is>
          <t>CAIXA ECONOMICA FEDERAL</t>
        </is>
      </c>
      <c r="D4138" s="5" t="inlineStr">
        <is>
          <t>UE</t>
        </is>
      </c>
      <c r="E4138" s="5" t="n">
        <v>200007782</v>
      </c>
      <c r="F4138" s="5" t="inlineStr">
        <is>
          <t>2609</t>
        </is>
      </c>
      <c r="G4138" s="5" t="inlineStr">
        <is>
          <t>BRL</t>
        </is>
      </c>
      <c r="H4138" s="9" t="n">
        <v>8959.629999999999</v>
      </c>
      <c r="I4138" s="16" t="n">
        <v>42683</v>
      </c>
      <c r="J4138" s="16" t="n">
        <v>42683</v>
      </c>
      <c r="K4138" s="5" t="inlineStr">
        <is>
          <t>00008481620155210013</t>
        </is>
      </c>
      <c r="L4138" s="5" t="inlineStr">
        <is>
          <t>407000.110501</t>
        </is>
      </c>
      <c r="M4138" s="5">
        <f>IF(YEAR(I4138)&lt;=2020,"Até 2020",TEXT(YEAR(I4138),"0"))</f>
        <v/>
      </c>
      <c r="N4138" s="5">
        <f>IFERROR(INDEX(DePara!$A:$A,MATCH(TEXT(B4138,"0"),DePara!$D:$D,0)),"(sem categoria)")</f>
        <v/>
      </c>
      <c r="O4138" s="5">
        <f>IF(J4138="","",Parametros!$B$6-J4138)</f>
        <v/>
      </c>
      <c r="P4138" s="5">
        <f>IF(O4138="","",IF(O4138&gt;0,1,0))</f>
        <v/>
      </c>
    </row>
    <row r="4139">
      <c r="A4139" s="5" t="n">
        <v>1191000000</v>
      </c>
      <c r="B4139" s="5" t="inlineStr">
        <is>
          <t>102087</t>
        </is>
      </c>
      <c r="C4139" s="5" t="inlineStr">
        <is>
          <t>CAIXA ECONOMICA FEDERAL</t>
        </is>
      </c>
      <c r="D4139" s="5" t="inlineStr">
        <is>
          <t>UE</t>
        </is>
      </c>
      <c r="E4139" s="5" t="n">
        <v>200007785</v>
      </c>
      <c r="F4139" s="5" t="inlineStr">
        <is>
          <t>2611</t>
        </is>
      </c>
      <c r="G4139" s="5" t="inlineStr">
        <is>
          <t>BRL</t>
        </is>
      </c>
      <c r="H4139" s="9" t="n">
        <v>40.37</v>
      </c>
      <c r="I4139" s="16" t="n">
        <v>42703</v>
      </c>
      <c r="J4139" s="16" t="n">
        <v>42703</v>
      </c>
      <c r="K4139" s="5" t="inlineStr">
        <is>
          <t>000676020165210012</t>
        </is>
      </c>
      <c r="L4139" s="5" t="inlineStr">
        <is>
          <t>407000.110501</t>
        </is>
      </c>
      <c r="M4139" s="5">
        <f>IF(YEAR(I4139)&lt;=2020,"Até 2020",TEXT(YEAR(I4139),"0"))</f>
        <v/>
      </c>
      <c r="N4139" s="5">
        <f>IFERROR(INDEX(DePara!$A:$A,MATCH(TEXT(B4139,"0"),DePara!$D:$D,0)),"(sem categoria)")</f>
        <v/>
      </c>
      <c r="O4139" s="5">
        <f>IF(J4139="","",Parametros!$B$6-J4139)</f>
        <v/>
      </c>
      <c r="P4139" s="5">
        <f>IF(O4139="","",IF(O4139&gt;0,1,0))</f>
        <v/>
      </c>
    </row>
    <row r="4140">
      <c r="A4140" s="5" t="n">
        <v>1191000000</v>
      </c>
      <c r="B4140" s="5" t="inlineStr">
        <is>
          <t>101844</t>
        </is>
      </c>
      <c r="C4140" s="5" t="inlineStr">
        <is>
          <t>COATE CONCRETO AGUA E TERRA LTDA</t>
        </is>
      </c>
      <c r="D4140" s="5" t="inlineStr">
        <is>
          <t>UE</t>
        </is>
      </c>
      <c r="E4140" s="5" t="n">
        <v>200007797</v>
      </c>
      <c r="F4140" s="5" t="inlineStr">
        <is>
          <t>2622</t>
        </is>
      </c>
      <c r="G4140" s="5" t="inlineStr">
        <is>
          <t>BRL</t>
        </is>
      </c>
      <c r="H4140" s="9" t="n">
        <v>9143.190000000001</v>
      </c>
      <c r="I4140" s="16" t="n">
        <v>44222</v>
      </c>
      <c r="J4140" s="16" t="n">
        <v>44222</v>
      </c>
      <c r="K4140" s="5" t="inlineStr">
        <is>
          <t>GARANTIA - ANTONIO WAGNER</t>
        </is>
      </c>
      <c r="L4140" s="5" t="inlineStr">
        <is>
          <t>260000.0</t>
        </is>
      </c>
      <c r="M4140" s="5">
        <f>IF(YEAR(I4140)&lt;=2020,"Até 2020",TEXT(YEAR(I4140),"0"))</f>
        <v/>
      </c>
      <c r="N4140" s="5">
        <f>IFERROR(INDEX(DePara!$A:$A,MATCH(TEXT(B4140,"0"),DePara!$D:$D,0)),"(sem categoria)")</f>
        <v/>
      </c>
      <c r="O4140" s="5">
        <f>IF(J4140="","",Parametros!$B$6-J4140)</f>
        <v/>
      </c>
      <c r="P4140" s="5">
        <f>IF(O4140="","",IF(O4140&gt;0,1,0))</f>
        <v/>
      </c>
    </row>
    <row r="4141">
      <c r="A4141" s="5" t="n">
        <v>1191000000</v>
      </c>
      <c r="B4141" s="5" t="inlineStr">
        <is>
          <t>101844</t>
        </is>
      </c>
      <c r="C4141" s="5" t="inlineStr">
        <is>
          <t>COATE CONCRETO AGUA E TERRA LTDA</t>
        </is>
      </c>
      <c r="D4141" s="5" t="inlineStr">
        <is>
          <t>UE</t>
        </is>
      </c>
      <c r="E4141" s="5" t="n">
        <v>200007798</v>
      </c>
      <c r="F4141" s="5" t="inlineStr">
        <is>
          <t>2623</t>
        </is>
      </c>
      <c r="G4141" s="5" t="inlineStr">
        <is>
          <t>BRL</t>
        </is>
      </c>
      <c r="H4141" s="9" t="n">
        <v>57584.07</v>
      </c>
      <c r="I4141" s="16" t="n">
        <v>44222</v>
      </c>
      <c r="J4141" s="16" t="n">
        <v>44222</v>
      </c>
      <c r="K4141" s="5" t="inlineStr">
        <is>
          <t>GARANTIA - JAIRO DE SANTA</t>
        </is>
      </c>
      <c r="L4141" s="5" t="inlineStr">
        <is>
          <t>260000.0</t>
        </is>
      </c>
      <c r="M4141" s="5">
        <f>IF(YEAR(I4141)&lt;=2020,"Até 2020",TEXT(YEAR(I4141),"0"))</f>
        <v/>
      </c>
      <c r="N4141" s="5">
        <f>IFERROR(INDEX(DePara!$A:$A,MATCH(TEXT(B4141,"0"),DePara!$D:$D,0)),"(sem categoria)")</f>
        <v/>
      </c>
      <c r="O4141" s="5">
        <f>IF(J4141="","",Parametros!$B$6-J4141)</f>
        <v/>
      </c>
      <c r="P4141" s="5">
        <f>IF(O4141="","",IF(O4141&gt;0,1,0))</f>
        <v/>
      </c>
    </row>
    <row r="4142">
      <c r="A4142" s="5" t="n">
        <v>1191000000</v>
      </c>
      <c r="B4142" s="5" t="inlineStr">
        <is>
          <t>101844</t>
        </is>
      </c>
      <c r="C4142" s="5" t="inlineStr">
        <is>
          <t>COATE CONCRETO AGUA E TERRA LTDA</t>
        </is>
      </c>
      <c r="D4142" s="5" t="inlineStr">
        <is>
          <t>UE</t>
        </is>
      </c>
      <c r="E4142" s="5" t="n">
        <v>200007799</v>
      </c>
      <c r="F4142" s="5" t="inlineStr">
        <is>
          <t>2624</t>
        </is>
      </c>
      <c r="G4142" s="5" t="inlineStr">
        <is>
          <t>BRL</t>
        </is>
      </c>
      <c r="H4142" s="9" t="n">
        <v>5434.33</v>
      </c>
      <c r="I4142" s="16" t="n">
        <v>44230</v>
      </c>
      <c r="J4142" s="16" t="n">
        <v>44230</v>
      </c>
      <c r="K4142" s="5" t="inlineStr">
        <is>
          <t>GARANTIA - LUCIMAR CHAVES</t>
        </is>
      </c>
      <c r="L4142" s="5" t="inlineStr">
        <is>
          <t>260000.0</t>
        </is>
      </c>
      <c r="M4142" s="5">
        <f>IF(YEAR(I4142)&lt;=2020,"Até 2020",TEXT(YEAR(I4142),"0"))</f>
        <v/>
      </c>
      <c r="N4142" s="5">
        <f>IFERROR(INDEX(DePara!$A:$A,MATCH(TEXT(B4142,"0"),DePara!$D:$D,0)),"(sem categoria)")</f>
        <v/>
      </c>
      <c r="O4142" s="5">
        <f>IF(J4142="","",Parametros!$B$6-J4142)</f>
        <v/>
      </c>
      <c r="P4142" s="5">
        <f>IF(O4142="","",IF(O4142&gt;0,1,0))</f>
        <v/>
      </c>
    </row>
    <row r="4143">
      <c r="A4143" s="5" t="n">
        <v>1191000000</v>
      </c>
      <c r="B4143" s="5" t="inlineStr">
        <is>
          <t>101976</t>
        </is>
      </c>
      <c r="C4143" s="5" t="inlineStr">
        <is>
          <t>SAO PAULO TRIBUNAL DE JUSTICA</t>
        </is>
      </c>
      <c r="D4143" s="5" t="inlineStr">
        <is>
          <t>UE</t>
        </is>
      </c>
      <c r="E4143" s="5" t="n">
        <v>200007801</v>
      </c>
      <c r="F4143" s="5" t="inlineStr">
        <is>
          <t>2626</t>
        </is>
      </c>
      <c r="G4143" s="5" t="inlineStr">
        <is>
          <t>BRL</t>
        </is>
      </c>
      <c r="H4143" s="9" t="n">
        <v>19600</v>
      </c>
      <c r="I4143" s="16" t="n">
        <v>44816</v>
      </c>
      <c r="J4143" s="16" t="n">
        <v>44816</v>
      </c>
      <c r="K4143" s="5" t="inlineStr">
        <is>
          <t>81020000128947868</t>
        </is>
      </c>
      <c r="L4143" s="5" t="inlineStr">
        <is>
          <t>260000.0</t>
        </is>
      </c>
      <c r="M4143" s="5">
        <f>IF(YEAR(I4143)&lt;=2020,"Até 2020",TEXT(YEAR(I4143),"0"))</f>
        <v/>
      </c>
      <c r="N4143" s="5">
        <f>IFERROR(INDEX(DePara!$A:$A,MATCH(TEXT(B4143,"0"),DePara!$D:$D,0)),"(sem categoria)")</f>
        <v/>
      </c>
      <c r="O4143" s="5">
        <f>IF(J4143="","",Parametros!$B$6-J4143)</f>
        <v/>
      </c>
      <c r="P4143" s="5">
        <f>IF(O4143="","",IF(O4143&gt;0,1,0))</f>
        <v/>
      </c>
    </row>
    <row r="4144">
      <c r="A4144" s="5" t="n">
        <v>1191000000</v>
      </c>
      <c r="B4144" s="5" t="inlineStr">
        <is>
          <t>102001</t>
        </is>
      </c>
      <c r="C4144" s="5" t="inlineStr">
        <is>
          <t>TRIBUNAL REGIONAL TRABALHO 21A REGI</t>
        </is>
      </c>
      <c r="D4144" s="5" t="inlineStr">
        <is>
          <t>UE</t>
        </is>
      </c>
      <c r="E4144" s="5" t="n">
        <v>200007807</v>
      </c>
      <c r="F4144" s="5" t="inlineStr">
        <is>
          <t>2631</t>
        </is>
      </c>
      <c r="G4144" s="5" t="inlineStr">
        <is>
          <t>BRL</t>
        </is>
      </c>
      <c r="H4144" s="9" t="n">
        <v>2312.57</v>
      </c>
      <c r="I4144" s="16" t="n">
        <v>44313</v>
      </c>
      <c r="J4144" s="16" t="n">
        <v>44313</v>
      </c>
      <c r="K4144" s="5" t="inlineStr">
        <is>
          <t>0000356-73.2019.5.21.0016</t>
        </is>
      </c>
      <c r="L4144" s="5" t="inlineStr">
        <is>
          <t>260000.0</t>
        </is>
      </c>
      <c r="M4144" s="5">
        <f>IF(YEAR(I4144)&lt;=2020,"Até 2020",TEXT(YEAR(I4144),"0"))</f>
        <v/>
      </c>
      <c r="N4144" s="5">
        <f>IFERROR(INDEX(DePara!$A:$A,MATCH(TEXT(B4144,"0"),DePara!$D:$D,0)),"(sem categoria)")</f>
        <v/>
      </c>
      <c r="O4144" s="5">
        <f>IF(J4144="","",Parametros!$B$6-J4144)</f>
        <v/>
      </c>
      <c r="P4144" s="5">
        <f>IF(O4144="","",IF(O4144&gt;0,1,0))</f>
        <v/>
      </c>
    </row>
    <row r="4145">
      <c r="A4145" s="5" t="n">
        <v>1191000000</v>
      </c>
      <c r="B4145" s="5" t="inlineStr">
        <is>
          <t>102001</t>
        </is>
      </c>
      <c r="C4145" s="5" t="inlineStr">
        <is>
          <t>TRIBUNAL REGIONAL TRABALHO 21A REGI</t>
        </is>
      </c>
      <c r="D4145" s="5" t="inlineStr">
        <is>
          <t>UE</t>
        </is>
      </c>
      <c r="E4145" s="5" t="n">
        <v>200007808</v>
      </c>
      <c r="F4145" s="5" t="inlineStr">
        <is>
          <t>2632</t>
        </is>
      </c>
      <c r="G4145" s="5" t="inlineStr">
        <is>
          <t>BRL</t>
        </is>
      </c>
      <c r="H4145" s="9" t="n">
        <v>12296.38</v>
      </c>
      <c r="I4145" s="16" t="n">
        <v>45050</v>
      </c>
      <c r="J4145" s="16" t="n">
        <v>45050</v>
      </c>
      <c r="K4145" s="5" t="inlineStr">
        <is>
          <t>0000478-81.2022.5.21.0016</t>
        </is>
      </c>
      <c r="L4145" s="5" t="inlineStr">
        <is>
          <t>260000.0</t>
        </is>
      </c>
      <c r="M4145" s="5">
        <f>IF(YEAR(I4145)&lt;=2020,"Até 2020",TEXT(YEAR(I4145),"0"))</f>
        <v/>
      </c>
      <c r="N4145" s="5">
        <f>IFERROR(INDEX(DePara!$A:$A,MATCH(TEXT(B4145,"0"),DePara!$D:$D,0)),"(sem categoria)")</f>
        <v/>
      </c>
      <c r="O4145" s="5">
        <f>IF(J4145="","",Parametros!$B$6-J4145)</f>
        <v/>
      </c>
      <c r="P4145" s="5">
        <f>IF(O4145="","",IF(O4145&gt;0,1,0))</f>
        <v/>
      </c>
    </row>
    <row r="4146">
      <c r="A4146" s="5" t="n">
        <v>1191000000</v>
      </c>
      <c r="B4146" s="5" t="inlineStr">
        <is>
          <t>101690</t>
        </is>
      </c>
      <c r="C4146" s="5" t="inlineStr">
        <is>
          <t>TES TRANSFOR EQUIPAMENTOS ELETRICOS</t>
        </is>
      </c>
      <c r="D4146" s="5" t="inlineStr">
        <is>
          <t>UE</t>
        </is>
      </c>
      <c r="E4146" s="5" t="n">
        <v>200007810</v>
      </c>
      <c r="F4146" s="5" t="inlineStr">
        <is>
          <t>2634</t>
        </is>
      </c>
      <c r="G4146" s="5" t="inlineStr">
        <is>
          <t>BRL</t>
        </is>
      </c>
      <c r="H4146" s="9" t="n">
        <v>78500</v>
      </c>
      <c r="I4146" s="16" t="n">
        <v>44819</v>
      </c>
      <c r="J4146" s="16" t="n">
        <v>44819</v>
      </c>
      <c r="K4146" s="5" t="inlineStr">
        <is>
          <t>PROC.1037678-57.2022.8.26</t>
        </is>
      </c>
      <c r="L4146" s="5" t="inlineStr">
        <is>
          <t>260000.0</t>
        </is>
      </c>
      <c r="M4146" s="5">
        <f>IF(YEAR(I4146)&lt;=2020,"Até 2020",TEXT(YEAR(I4146),"0"))</f>
        <v/>
      </c>
      <c r="N4146" s="5">
        <f>IFERROR(INDEX(DePara!$A:$A,MATCH(TEXT(B4146,"0"),DePara!$D:$D,0)),"(sem categoria)")</f>
        <v/>
      </c>
      <c r="O4146" s="5">
        <f>IF(J4146="","",Parametros!$B$6-J4146)</f>
        <v/>
      </c>
      <c r="P4146" s="5">
        <f>IF(O4146="","",IF(O4146&gt;0,1,0))</f>
        <v/>
      </c>
    </row>
    <row r="4147">
      <c r="A4147" s="5" t="n">
        <v>1191000000</v>
      </c>
      <c r="B4147" s="5" t="inlineStr">
        <is>
          <t>101359</t>
        </is>
      </c>
      <c r="C4147" s="5" t="inlineStr">
        <is>
          <t>TRIBUNAL REGIONAL TRABALHO 5A REGIA</t>
        </is>
      </c>
      <c r="D4147" s="5" t="inlineStr">
        <is>
          <t>UE</t>
        </is>
      </c>
      <c r="E4147" s="5" t="n">
        <v>200007817</v>
      </c>
      <c r="F4147" s="5" t="inlineStr">
        <is>
          <t>2640</t>
        </is>
      </c>
      <c r="G4147" s="5" t="inlineStr">
        <is>
          <t>BRL</t>
        </is>
      </c>
      <c r="H4147" s="9" t="n">
        <v>1137.8</v>
      </c>
      <c r="I4147" s="16" t="n">
        <v>45043</v>
      </c>
      <c r="J4147" s="16" t="n">
        <v>45043</v>
      </c>
      <c r="K4147" s="5" t="inlineStr">
        <is>
          <t>0000277-77.2019.5.05.0101</t>
        </is>
      </c>
      <c r="L4147" s="5" t="inlineStr">
        <is>
          <t>260000.0</t>
        </is>
      </c>
      <c r="M4147" s="5">
        <f>IF(YEAR(I4147)&lt;=2020,"Até 2020",TEXT(YEAR(I4147),"0"))</f>
        <v/>
      </c>
      <c r="N4147" s="5">
        <f>IFERROR(INDEX(DePara!$A:$A,MATCH(TEXT(B4147,"0"),DePara!$D:$D,0)),"(sem categoria)")</f>
        <v/>
      </c>
      <c r="O4147" s="5">
        <f>IF(J4147="","",Parametros!$B$6-J4147)</f>
        <v/>
      </c>
      <c r="P4147" s="5">
        <f>IF(O4147="","",IF(O4147&gt;0,1,0))</f>
        <v/>
      </c>
    </row>
    <row r="4148">
      <c r="A4148" s="5" t="n">
        <v>1191000000</v>
      </c>
      <c r="B4148" s="5" t="inlineStr">
        <is>
          <t>100575</t>
        </is>
      </c>
      <c r="C4148" s="5" t="inlineStr">
        <is>
          <t>DNIT DEP NAC DE INFRAEST DE TRANSPO</t>
        </is>
      </c>
      <c r="D4148" s="5" t="inlineStr">
        <is>
          <t>UE</t>
        </is>
      </c>
      <c r="E4148" s="5" t="n">
        <v>200007820</v>
      </c>
      <c r="F4148" s="5" t="inlineStr">
        <is>
          <t>2643</t>
        </is>
      </c>
      <c r="G4148" s="5" t="inlineStr">
        <is>
          <t>BRL</t>
        </is>
      </c>
      <c r="H4148" s="9" t="n">
        <v>2250</v>
      </c>
      <c r="I4148" s="16" t="n">
        <v>44771</v>
      </c>
      <c r="J4148" s="16" t="n">
        <v>44771</v>
      </c>
      <c r="K4148" s="5" t="inlineStr">
        <is>
          <t xml:space="preserve"> 3337101102</t>
        </is>
      </c>
      <c r="L4148" s="5" t="inlineStr">
        <is>
          <t>260000.0</t>
        </is>
      </c>
      <c r="M4148" s="5">
        <f>IF(YEAR(I4148)&lt;=2020,"Até 2020",TEXT(YEAR(I4148),"0"))</f>
        <v/>
      </c>
      <c r="N4148" s="5">
        <f>IFERROR(INDEX(DePara!$A:$A,MATCH(TEXT(B4148,"0"),DePara!$D:$D,0)),"(sem categoria)")</f>
        <v/>
      </c>
      <c r="O4148" s="5">
        <f>IF(J4148="","",Parametros!$B$6-J4148)</f>
        <v/>
      </c>
      <c r="P4148" s="5">
        <f>IF(O4148="","",IF(O4148&gt;0,1,0))</f>
        <v/>
      </c>
    </row>
    <row r="4149">
      <c r="A4149" s="5" t="n">
        <v>1191000000</v>
      </c>
      <c r="B4149" s="5" t="inlineStr">
        <is>
          <t>101133</t>
        </is>
      </c>
      <c r="C4149" s="5" t="inlineStr">
        <is>
          <t>ALLIANZ SEGUROS SA USD</t>
        </is>
      </c>
      <c r="D4149" s="5" t="inlineStr">
        <is>
          <t>UE</t>
        </is>
      </c>
      <c r="E4149" s="5" t="n">
        <v>200015585</v>
      </c>
      <c r="F4149" s="5" t="inlineStr">
        <is>
          <t>13223</t>
        </is>
      </c>
      <c r="G4149" s="5" t="inlineStr">
        <is>
          <t>USD</t>
        </is>
      </c>
      <c r="H4149" s="9" t="n">
        <v>31701.65</v>
      </c>
      <c r="I4149" s="16" t="n">
        <v>44963</v>
      </c>
      <c r="J4149" s="16" t="n">
        <v>44963</v>
      </c>
      <c r="K4149" s="5" t="inlineStr">
        <is>
          <t>5177202353220000008</t>
        </is>
      </c>
      <c r="L4149" s="5" t="inlineStr">
        <is>
          <t>407000.110501</t>
        </is>
      </c>
      <c r="M4149" s="5">
        <f>IF(YEAR(I4149)&lt;=2020,"Até 2020",TEXT(YEAR(I4149),"0"))</f>
        <v/>
      </c>
      <c r="N4149" s="5">
        <f>IFERROR(INDEX(DePara!$A:$A,MATCH(TEXT(B4149,"0"),DePara!$D:$D,0)),"(sem categoria)")</f>
        <v/>
      </c>
      <c r="O4149" s="5">
        <f>IF(J4149="","",Parametros!$B$6-J4149)</f>
        <v/>
      </c>
      <c r="P4149" s="5">
        <f>IF(O4149="","",IF(O4149&gt;0,1,0))</f>
        <v/>
      </c>
    </row>
    <row r="4150">
      <c r="A4150" s="5" t="n">
        <v>1191000000</v>
      </c>
      <c r="B4150" s="5" t="inlineStr">
        <is>
          <t>101178</t>
        </is>
      </c>
      <c r="C4150" s="5" t="inlineStr">
        <is>
          <t>ACTUANT GMBH</t>
        </is>
      </c>
      <c r="D4150" s="5" t="inlineStr">
        <is>
          <t>UE</t>
        </is>
      </c>
      <c r="E4150" s="5" t="n">
        <v>200015587</v>
      </c>
      <c r="F4150" s="5" t="inlineStr">
        <is>
          <t>13225</t>
        </is>
      </c>
      <c r="G4150" s="5" t="inlineStr">
        <is>
          <t>EUR</t>
        </is>
      </c>
      <c r="H4150" s="9" t="n">
        <v>72936.99000000001</v>
      </c>
      <c r="I4150" s="16" t="n">
        <v>44690</v>
      </c>
      <c r="J4150" s="16" t="n">
        <v>44690</v>
      </c>
      <c r="K4150" s="5" t="inlineStr">
        <is>
          <t>203143597</t>
        </is>
      </c>
      <c r="L4150" s="5" t="inlineStr">
        <is>
          <t>407000.110501</t>
        </is>
      </c>
      <c r="M4150" s="5">
        <f>IF(YEAR(I4150)&lt;=2020,"Até 2020",TEXT(YEAR(I4150),"0"))</f>
        <v/>
      </c>
      <c r="N4150" s="5">
        <f>IFERROR(INDEX(DePara!$A:$A,MATCH(TEXT(B4150,"0"),DePara!$D:$D,0)),"(sem categoria)")</f>
        <v/>
      </c>
      <c r="O4150" s="5">
        <f>IF(J4150="","",Parametros!$B$6-J4150)</f>
        <v/>
      </c>
      <c r="P4150" s="5">
        <f>IF(O4150="","",IF(O4150&gt;0,1,0))</f>
        <v/>
      </c>
    </row>
    <row r="4151">
      <c r="A4151" s="5" t="n">
        <v>1191000000</v>
      </c>
      <c r="B4151" s="5" t="inlineStr">
        <is>
          <t>100916</t>
        </is>
      </c>
      <c r="C4151" s="5" t="inlineStr">
        <is>
          <t>SRJ Peety Steels Pvt Ltd</t>
        </is>
      </c>
      <c r="D4151" s="5" t="inlineStr">
        <is>
          <t>UE</t>
        </is>
      </c>
      <c r="E4151" s="5" t="n">
        <v>200015609</v>
      </c>
      <c r="F4151" s="5" t="inlineStr">
        <is>
          <t>13245</t>
        </is>
      </c>
      <c r="G4151" s="5" t="inlineStr">
        <is>
          <t>EUR</t>
        </is>
      </c>
      <c r="H4151" s="9" t="n">
        <v>3051.61</v>
      </c>
      <c r="I4151" s="16" t="n">
        <v>44495</v>
      </c>
      <c r="J4151" s="16" t="n">
        <v>44495</v>
      </c>
      <c r="K4151" s="5" t="inlineStr">
        <is>
          <t>3224</t>
        </is>
      </c>
      <c r="L4151" s="5" t="inlineStr">
        <is>
          <t>407000.110501</t>
        </is>
      </c>
      <c r="M4151" s="5">
        <f>IF(YEAR(I4151)&lt;=2020,"Até 2020",TEXT(YEAR(I4151),"0"))</f>
        <v/>
      </c>
      <c r="N4151" s="5">
        <f>IFERROR(INDEX(DePara!$A:$A,MATCH(TEXT(B4151,"0"),DePara!$D:$D,0)),"(sem categoria)")</f>
        <v/>
      </c>
      <c r="O4151" s="5">
        <f>IF(J4151="","",Parametros!$B$6-J4151)</f>
        <v/>
      </c>
      <c r="P4151" s="5">
        <f>IF(O4151="","",IF(O4151&gt;0,1,0))</f>
        <v/>
      </c>
    </row>
    <row r="4152">
      <c r="A4152" s="5" t="n">
        <v>1191000000</v>
      </c>
      <c r="B4152" s="5" t="inlineStr">
        <is>
          <t>101878</t>
        </is>
      </c>
      <c r="C4152" s="5" t="inlineStr">
        <is>
          <t>UPLOG TRANSPORTES E LOGISTICA EIREL</t>
        </is>
      </c>
      <c r="D4152" s="5" t="inlineStr">
        <is>
          <t>UE</t>
        </is>
      </c>
      <c r="E4152" s="5" t="n">
        <v>200032976</v>
      </c>
      <c r="F4152" s="5" t="inlineStr">
        <is>
          <t>24374</t>
        </is>
      </c>
      <c r="G4152" s="5" t="inlineStr">
        <is>
          <t>BRL</t>
        </is>
      </c>
      <c r="H4152" s="9" t="n">
        <v>3371.91</v>
      </c>
      <c r="I4152" s="16" t="n">
        <v>45034</v>
      </c>
      <c r="J4152" s="16" t="n">
        <v>45034</v>
      </c>
      <c r="K4152" s="5" t="inlineStr">
        <is>
          <t>3222004</t>
        </is>
      </c>
      <c r="L4152" s="5" t="inlineStr">
        <is>
          <t>407000.110501</t>
        </is>
      </c>
      <c r="M4152" s="5">
        <f>IF(YEAR(I4152)&lt;=2020,"Até 2020",TEXT(YEAR(I4152),"0"))</f>
        <v/>
      </c>
      <c r="N4152" s="5">
        <f>IFERROR(INDEX(DePara!$A:$A,MATCH(TEXT(B4152,"0"),DePara!$D:$D,0)),"(sem categoria)")</f>
        <v/>
      </c>
      <c r="O4152" s="5">
        <f>IF(J4152="","",Parametros!$B$6-J4152)</f>
        <v/>
      </c>
      <c r="P4152" s="5">
        <f>IF(O4152="","",IF(O4152&gt;0,1,0))</f>
        <v/>
      </c>
    </row>
    <row r="4153">
      <c r="A4153" s="5" t="n">
        <v>1191000000</v>
      </c>
      <c r="B4153" s="5" t="inlineStr">
        <is>
          <t>EM000102</t>
        </is>
      </c>
      <c r="C4153" s="5" t="inlineStr">
        <is>
          <t>LUIZ MARCELO SILVA MENESCAL CAMPOS</t>
        </is>
      </c>
      <c r="D4153" s="5" t="inlineStr">
        <is>
          <t>UE</t>
        </is>
      </c>
      <c r="E4153" s="5" t="n">
        <v>200032980</v>
      </c>
      <c r="F4153" s="5" t="inlineStr">
        <is>
          <t>24378</t>
        </is>
      </c>
      <c r="G4153" s="5" t="inlineStr">
        <is>
          <t>BRL</t>
        </is>
      </c>
      <c r="H4153" s="9" t="n">
        <v>627.8099999999999</v>
      </c>
      <c r="I4153" s="16" t="n">
        <v>44680</v>
      </c>
      <c r="J4153" s="16" t="n">
        <v>44680</v>
      </c>
      <c r="K4153" s="5" t="inlineStr">
        <is>
          <t>FATURA CC 04.2022</t>
        </is>
      </c>
      <c r="L4153" s="5" t="inlineStr">
        <is>
          <t>407000.110501</t>
        </is>
      </c>
      <c r="M4153" s="5">
        <f>IF(YEAR(I4153)&lt;=2020,"Até 2020",TEXT(YEAR(I4153),"0"))</f>
        <v/>
      </c>
      <c r="N4153" s="5">
        <f>IFERROR(INDEX(DePara!$A:$A,MATCH(TEXT(B4153,"0"),DePara!$D:$D,0)),"(sem categoria)")</f>
        <v/>
      </c>
      <c r="O4153" s="5">
        <f>IF(J4153="","",Parametros!$B$6-J4153)</f>
        <v/>
      </c>
      <c r="P4153" s="5">
        <f>IF(O4153="","",IF(O4153&gt;0,1,0))</f>
        <v/>
      </c>
    </row>
    <row r="4154">
      <c r="A4154" s="5" t="n">
        <v>1191000000</v>
      </c>
      <c r="B4154" s="5" t="inlineStr">
        <is>
          <t>101888</t>
        </is>
      </c>
      <c r="C4154" s="5" t="inlineStr">
        <is>
          <t>BANCO SANTANDER BRASIL SA</t>
        </is>
      </c>
      <c r="D4154" s="5" t="inlineStr">
        <is>
          <t>UE</t>
        </is>
      </c>
      <c r="E4154" s="5" t="n">
        <v>200032981</v>
      </c>
      <c r="F4154" s="5" t="inlineStr">
        <is>
          <t>24379</t>
        </is>
      </c>
      <c r="G4154" s="5" t="inlineStr">
        <is>
          <t>BRL</t>
        </is>
      </c>
      <c r="H4154" s="9" t="n">
        <v>2218.86</v>
      </c>
      <c r="I4154" s="16" t="n">
        <v>44680</v>
      </c>
      <c r="J4154" s="16" t="n">
        <v>44680</v>
      </c>
      <c r="K4154" s="5" t="inlineStr">
        <is>
          <t>FATURA CC 04.2022</t>
        </is>
      </c>
      <c r="L4154" s="5" t="inlineStr">
        <is>
          <t>407000.110501</t>
        </is>
      </c>
      <c r="M4154" s="5">
        <f>IF(YEAR(I4154)&lt;=2020,"Até 2020",TEXT(YEAR(I4154),"0"))</f>
        <v/>
      </c>
      <c r="N4154" s="5">
        <f>IFERROR(INDEX(DePara!$A:$A,MATCH(TEXT(B4154,"0"),DePara!$D:$D,0)),"(sem categoria)")</f>
        <v/>
      </c>
      <c r="O4154" s="5">
        <f>IF(J4154="","",Parametros!$B$6-J4154)</f>
        <v/>
      </c>
      <c r="P4154" s="5">
        <f>IF(O4154="","",IF(O4154&gt;0,1,0))</f>
        <v/>
      </c>
    </row>
    <row r="4155">
      <c r="A4155" s="5" t="n">
        <v>1191000000</v>
      </c>
      <c r="B4155" s="5" t="inlineStr">
        <is>
          <t>101896</t>
        </is>
      </c>
      <c r="C4155" s="5" t="inlineStr">
        <is>
          <t>EMTERC SERVICOS E CONSTRUCOES LTDA</t>
        </is>
      </c>
      <c r="D4155" s="5" t="inlineStr">
        <is>
          <t>UE</t>
        </is>
      </c>
      <c r="E4155" s="5" t="n">
        <v>200032982</v>
      </c>
      <c r="F4155" s="5" t="inlineStr">
        <is>
          <t>24380</t>
        </is>
      </c>
      <c r="G4155" s="5" t="inlineStr">
        <is>
          <t>BRL</t>
        </is>
      </c>
      <c r="H4155" s="9" t="n">
        <v>21768.06</v>
      </c>
      <c r="I4155" s="16" t="n">
        <v>44735</v>
      </c>
      <c r="J4155" s="16" t="n">
        <v>44735</v>
      </c>
      <c r="K4155" s="5" t="inlineStr">
        <is>
          <t>584.</t>
        </is>
      </c>
      <c r="L4155" s="5" t="inlineStr">
        <is>
          <t>407000.110501</t>
        </is>
      </c>
      <c r="M4155" s="5">
        <f>IF(YEAR(I4155)&lt;=2020,"Até 2020",TEXT(YEAR(I4155),"0"))</f>
        <v/>
      </c>
      <c r="N4155" s="5">
        <f>IFERROR(INDEX(DePara!$A:$A,MATCH(TEXT(B4155,"0"),DePara!$D:$D,0)),"(sem categoria)")</f>
        <v/>
      </c>
      <c r="O4155" s="5">
        <f>IF(J4155="","",Parametros!$B$6-J4155)</f>
        <v/>
      </c>
      <c r="P4155" s="5">
        <f>IF(O4155="","",IF(O4155&gt;0,1,0))</f>
        <v/>
      </c>
    </row>
    <row r="4156">
      <c r="A4156" s="5" t="n">
        <v>1191000000</v>
      </c>
      <c r="B4156" s="5" t="inlineStr">
        <is>
          <t>101917</t>
        </is>
      </c>
      <c r="C4156" s="5" t="inlineStr">
        <is>
          <t>ROSCAFIX FIXACAO E VEDACAO LTDA</t>
        </is>
      </c>
      <c r="D4156" s="5" t="inlineStr">
        <is>
          <t>UE</t>
        </is>
      </c>
      <c r="E4156" s="5" t="n">
        <v>200032983</v>
      </c>
      <c r="F4156" s="5" t="inlineStr">
        <is>
          <t>24381</t>
        </is>
      </c>
      <c r="G4156" s="5" t="inlineStr">
        <is>
          <t>BRL</t>
        </is>
      </c>
      <c r="H4156" s="9" t="n">
        <v>11304.97</v>
      </c>
      <c r="I4156" s="16" t="n">
        <v>44852</v>
      </c>
      <c r="J4156" s="16" t="n">
        <v>44852</v>
      </c>
      <c r="K4156" s="5" t="inlineStr">
        <is>
          <t>33334</t>
        </is>
      </c>
      <c r="L4156" s="5" t="inlineStr">
        <is>
          <t>407000.110501</t>
        </is>
      </c>
      <c r="M4156" s="5">
        <f>IF(YEAR(I4156)&lt;=2020,"Até 2020",TEXT(YEAR(I4156),"0"))</f>
        <v/>
      </c>
      <c r="N4156" s="5">
        <f>IFERROR(INDEX(DePara!$A:$A,MATCH(TEXT(B4156,"0"),DePara!$D:$D,0)),"(sem categoria)")</f>
        <v/>
      </c>
      <c r="O4156" s="5">
        <f>IF(J4156="","",Parametros!$B$6-J4156)</f>
        <v/>
      </c>
      <c r="P4156" s="5">
        <f>IF(O4156="","",IF(O4156&gt;0,1,0))</f>
        <v/>
      </c>
    </row>
    <row r="4157">
      <c r="A4157" s="5" t="n">
        <v>1191000000</v>
      </c>
      <c r="B4157" s="5" t="inlineStr">
        <is>
          <t>101917</t>
        </is>
      </c>
      <c r="C4157" s="5" t="inlineStr">
        <is>
          <t>ROSCAFIX FIXACAO E VEDACAO LTDA</t>
        </is>
      </c>
      <c r="D4157" s="5" t="inlineStr">
        <is>
          <t>UE</t>
        </is>
      </c>
      <c r="E4157" s="5" t="n">
        <v>200032984</v>
      </c>
      <c r="F4157" s="5" t="inlineStr">
        <is>
          <t>24382</t>
        </is>
      </c>
      <c r="G4157" s="5" t="inlineStr">
        <is>
          <t>BRL</t>
        </is>
      </c>
      <c r="H4157" s="9" t="n">
        <v>11304.97</v>
      </c>
      <c r="I4157" s="16" t="n">
        <v>44852</v>
      </c>
      <c r="J4157" s="16" t="n">
        <v>44852</v>
      </c>
      <c r="K4157" s="5" t="inlineStr">
        <is>
          <t>33378</t>
        </is>
      </c>
      <c r="L4157" s="5" t="inlineStr">
        <is>
          <t>407000.110501</t>
        </is>
      </c>
      <c r="M4157" s="5">
        <f>IF(YEAR(I4157)&lt;=2020,"Até 2020",TEXT(YEAR(I4157),"0"))</f>
        <v/>
      </c>
      <c r="N4157" s="5">
        <f>IFERROR(INDEX(DePara!$A:$A,MATCH(TEXT(B4157,"0"),DePara!$D:$D,0)),"(sem categoria)")</f>
        <v/>
      </c>
      <c r="O4157" s="5">
        <f>IF(J4157="","",Parametros!$B$6-J4157)</f>
        <v/>
      </c>
      <c r="P4157" s="5">
        <f>IF(O4157="","",IF(O4157&gt;0,1,0))</f>
        <v/>
      </c>
    </row>
    <row r="4158">
      <c r="A4158" s="5" t="n">
        <v>1191000000</v>
      </c>
      <c r="B4158" s="5" t="inlineStr">
        <is>
          <t>101969</t>
        </is>
      </c>
      <c r="C4158" s="5" t="inlineStr">
        <is>
          <t>SECRETARIA DE ESTADO DA FAZENDA RN</t>
        </is>
      </c>
      <c r="D4158" s="5" t="inlineStr">
        <is>
          <t>UE</t>
        </is>
      </c>
      <c r="E4158" s="5" t="n">
        <v>200032992</v>
      </c>
      <c r="F4158" s="5" t="inlineStr">
        <is>
          <t>24390</t>
        </is>
      </c>
      <c r="G4158" s="5" t="inlineStr">
        <is>
          <t>BRL</t>
        </is>
      </c>
      <c r="H4158" s="9" t="n">
        <v>702.87</v>
      </c>
      <c r="I4158" s="16" t="n">
        <v>44694</v>
      </c>
      <c r="J4158" s="16" t="n">
        <v>44694</v>
      </c>
      <c r="K4158" s="5" t="inlineStr">
        <is>
          <t xml:space="preserve"> GRI 2478</t>
        </is>
      </c>
      <c r="L4158" s="5" t="inlineStr">
        <is>
          <t>407000.110501</t>
        </is>
      </c>
      <c r="M4158" s="5">
        <f>IF(YEAR(I4158)&lt;=2020,"Até 2020",TEXT(YEAR(I4158),"0"))</f>
        <v/>
      </c>
      <c r="N4158" s="5">
        <f>IFERROR(INDEX(DePara!$A:$A,MATCH(TEXT(B4158,"0"),DePara!$D:$D,0)),"(sem categoria)")</f>
        <v/>
      </c>
      <c r="O4158" s="5">
        <f>IF(J4158="","",Parametros!$B$6-J4158)</f>
        <v/>
      </c>
      <c r="P4158" s="5">
        <f>IF(O4158="","",IF(O4158&gt;0,1,0))</f>
        <v/>
      </c>
    </row>
    <row r="4159">
      <c r="A4159" s="5" t="n">
        <v>1191000000</v>
      </c>
      <c r="B4159" s="5" t="inlineStr">
        <is>
          <t>101969</t>
        </is>
      </c>
      <c r="C4159" s="5" t="inlineStr">
        <is>
          <t>SECRETARIA DE ESTADO DA FAZENDA RN</t>
        </is>
      </c>
      <c r="D4159" s="5" t="inlineStr">
        <is>
          <t>UE</t>
        </is>
      </c>
      <c r="E4159" s="5" t="n">
        <v>200032993</v>
      </c>
      <c r="F4159" s="5" t="inlineStr">
        <is>
          <t>24391</t>
        </is>
      </c>
      <c r="G4159" s="5" t="inlineStr">
        <is>
          <t>BRL</t>
        </is>
      </c>
      <c r="H4159" s="9" t="n">
        <v>43.62</v>
      </c>
      <c r="I4159" s="16" t="n">
        <v>44694</v>
      </c>
      <c r="J4159" s="16" t="n">
        <v>44694</v>
      </c>
      <c r="K4159" s="5" t="inlineStr">
        <is>
          <t xml:space="preserve"> GNRE 477 - VOUCHER 10922</t>
        </is>
      </c>
      <c r="L4159" s="5" t="inlineStr">
        <is>
          <t>407000.110501</t>
        </is>
      </c>
      <c r="M4159" s="5">
        <f>IF(YEAR(I4159)&lt;=2020,"Até 2020",TEXT(YEAR(I4159),"0"))</f>
        <v/>
      </c>
      <c r="N4159" s="5">
        <f>IFERROR(INDEX(DePara!$A:$A,MATCH(TEXT(B4159,"0"),DePara!$D:$D,0)),"(sem categoria)")</f>
        <v/>
      </c>
      <c r="O4159" s="5">
        <f>IF(J4159="","",Parametros!$B$6-J4159)</f>
        <v/>
      </c>
      <c r="P4159" s="5">
        <f>IF(O4159="","",IF(O4159&gt;0,1,0))</f>
        <v/>
      </c>
    </row>
    <row r="4160">
      <c r="A4160" s="5" t="n">
        <v>1191000000</v>
      </c>
      <c r="B4160" s="5" t="inlineStr">
        <is>
          <t>101969</t>
        </is>
      </c>
      <c r="C4160" s="5" t="inlineStr">
        <is>
          <t>SECRETARIA DE ESTADO DA FAZENDA RN</t>
        </is>
      </c>
      <c r="D4160" s="5" t="inlineStr">
        <is>
          <t>UE</t>
        </is>
      </c>
      <c r="E4160" s="5" t="n">
        <v>200032994</v>
      </c>
      <c r="F4160" s="5" t="inlineStr">
        <is>
          <t>24392</t>
        </is>
      </c>
      <c r="G4160" s="5" t="inlineStr">
        <is>
          <t>BRL</t>
        </is>
      </c>
      <c r="H4160" s="9" t="n">
        <v>47.85</v>
      </c>
      <c r="I4160" s="16" t="n">
        <v>44694</v>
      </c>
      <c r="J4160" s="16" t="n">
        <v>44694</v>
      </c>
      <c r="K4160" s="5" t="inlineStr">
        <is>
          <t xml:space="preserve"> GNRE 478 - VOUCHER 10922</t>
        </is>
      </c>
      <c r="L4160" s="5" t="inlineStr">
        <is>
          <t>407000.110501</t>
        </is>
      </c>
      <c r="M4160" s="5">
        <f>IF(YEAR(I4160)&lt;=2020,"Até 2020",TEXT(YEAR(I4160),"0"))</f>
        <v/>
      </c>
      <c r="N4160" s="5">
        <f>IFERROR(INDEX(DePara!$A:$A,MATCH(TEXT(B4160,"0"),DePara!$D:$D,0)),"(sem categoria)")</f>
        <v/>
      </c>
      <c r="O4160" s="5">
        <f>IF(J4160="","",Parametros!$B$6-J4160)</f>
        <v/>
      </c>
      <c r="P4160" s="5">
        <f>IF(O4160="","",IF(O4160&gt;0,1,0))</f>
        <v/>
      </c>
    </row>
    <row r="4161">
      <c r="A4161" s="5" t="n">
        <v>1191000000</v>
      </c>
      <c r="B4161" s="5" t="inlineStr">
        <is>
          <t>101969</t>
        </is>
      </c>
      <c r="C4161" s="5" t="inlineStr">
        <is>
          <t>SECRETARIA DE ESTADO DA FAZENDA RN</t>
        </is>
      </c>
      <c r="D4161" s="5" t="inlineStr">
        <is>
          <t>UE</t>
        </is>
      </c>
      <c r="E4161" s="5" t="n">
        <v>200032995</v>
      </c>
      <c r="F4161" s="5" t="inlineStr">
        <is>
          <t>24393</t>
        </is>
      </c>
      <c r="G4161" s="5" t="inlineStr">
        <is>
          <t>BRL</t>
        </is>
      </c>
      <c r="H4161" s="9" t="n">
        <v>100.46</v>
      </c>
      <c r="I4161" s="16" t="n">
        <v>44694</v>
      </c>
      <c r="J4161" s="16" t="n">
        <v>44694</v>
      </c>
      <c r="K4161" s="5" t="inlineStr">
        <is>
          <t xml:space="preserve"> GNRE 479 - VOUCHER 10922</t>
        </is>
      </c>
      <c r="L4161" s="5" t="inlineStr">
        <is>
          <t>407000.110501</t>
        </is>
      </c>
      <c r="M4161" s="5">
        <f>IF(YEAR(I4161)&lt;=2020,"Até 2020",TEXT(YEAR(I4161),"0"))</f>
        <v/>
      </c>
      <c r="N4161" s="5">
        <f>IFERROR(INDEX(DePara!$A:$A,MATCH(TEXT(B4161,"0"),DePara!$D:$D,0)),"(sem categoria)")</f>
        <v/>
      </c>
      <c r="O4161" s="5">
        <f>IF(J4161="","",Parametros!$B$6-J4161)</f>
        <v/>
      </c>
      <c r="P4161" s="5">
        <f>IF(O4161="","",IF(O4161&gt;0,1,0))</f>
        <v/>
      </c>
    </row>
    <row r="4162">
      <c r="A4162" s="5" t="n">
        <v>1191000000</v>
      </c>
      <c r="B4162" s="5" t="inlineStr">
        <is>
          <t>101969</t>
        </is>
      </c>
      <c r="C4162" s="5" t="inlineStr">
        <is>
          <t>SECRETARIA DE ESTADO DA FAZENDA RN</t>
        </is>
      </c>
      <c r="D4162" s="5" t="inlineStr">
        <is>
          <t>UE</t>
        </is>
      </c>
      <c r="E4162" s="5" t="n">
        <v>200032996</v>
      </c>
      <c r="F4162" s="5" t="inlineStr">
        <is>
          <t>24394</t>
        </is>
      </c>
      <c r="G4162" s="5" t="inlineStr">
        <is>
          <t>BRL</t>
        </is>
      </c>
      <c r="H4162" s="9" t="n">
        <v>6133.34</v>
      </c>
      <c r="I4162" s="16" t="n">
        <v>44694</v>
      </c>
      <c r="J4162" s="16" t="n">
        <v>44694</v>
      </c>
      <c r="K4162" s="5" t="inlineStr">
        <is>
          <t xml:space="preserve"> GNRE 482 - VOUCHER 10922</t>
        </is>
      </c>
      <c r="L4162" s="5" t="inlineStr">
        <is>
          <t>407000.110501</t>
        </is>
      </c>
      <c r="M4162" s="5">
        <f>IF(YEAR(I4162)&lt;=2020,"Até 2020",TEXT(YEAR(I4162),"0"))</f>
        <v/>
      </c>
      <c r="N4162" s="5">
        <f>IFERROR(INDEX(DePara!$A:$A,MATCH(TEXT(B4162,"0"),DePara!$D:$D,0)),"(sem categoria)")</f>
        <v/>
      </c>
      <c r="O4162" s="5">
        <f>IF(J4162="","",Parametros!$B$6-J4162)</f>
        <v/>
      </c>
      <c r="P4162" s="5">
        <f>IF(O4162="","",IF(O4162&gt;0,1,0))</f>
        <v/>
      </c>
    </row>
    <row r="4163">
      <c r="A4163" s="5" t="n">
        <v>1191000000</v>
      </c>
      <c r="B4163" s="5" t="inlineStr">
        <is>
          <t>101969</t>
        </is>
      </c>
      <c r="C4163" s="5" t="inlineStr">
        <is>
          <t>SECRETARIA DE ESTADO DA FAZENDA RN</t>
        </is>
      </c>
      <c r="D4163" s="5" t="inlineStr">
        <is>
          <t>UE</t>
        </is>
      </c>
      <c r="E4163" s="5" t="n">
        <v>200032997</v>
      </c>
      <c r="F4163" s="5" t="inlineStr">
        <is>
          <t>24395</t>
        </is>
      </c>
      <c r="G4163" s="5" t="inlineStr">
        <is>
          <t>BRL</t>
        </is>
      </c>
      <c r="H4163" s="9" t="n">
        <v>1037.76</v>
      </c>
      <c r="I4163" s="16" t="n">
        <v>44694</v>
      </c>
      <c r="J4163" s="16" t="n">
        <v>44694</v>
      </c>
      <c r="K4163" s="5" t="inlineStr">
        <is>
          <t>GNRE 467 - VOUCHER 109243</t>
        </is>
      </c>
      <c r="L4163" s="5" t="inlineStr">
        <is>
          <t>407000.110501</t>
        </is>
      </c>
      <c r="M4163" s="5">
        <f>IF(YEAR(I4163)&lt;=2020,"Até 2020",TEXT(YEAR(I4163),"0"))</f>
        <v/>
      </c>
      <c r="N4163" s="5">
        <f>IFERROR(INDEX(DePara!$A:$A,MATCH(TEXT(B4163,"0"),DePara!$D:$D,0)),"(sem categoria)")</f>
        <v/>
      </c>
      <c r="O4163" s="5">
        <f>IF(J4163="","",Parametros!$B$6-J4163)</f>
        <v/>
      </c>
      <c r="P4163" s="5">
        <f>IF(O4163="","",IF(O4163&gt;0,1,0))</f>
        <v/>
      </c>
    </row>
    <row r="4164">
      <c r="A4164" s="5" t="n">
        <v>1191000000</v>
      </c>
      <c r="B4164" s="5" t="inlineStr">
        <is>
          <t>101969</t>
        </is>
      </c>
      <c r="C4164" s="5" t="inlineStr">
        <is>
          <t>SECRETARIA DE ESTADO DA FAZENDA RN</t>
        </is>
      </c>
      <c r="D4164" s="5" t="inlineStr">
        <is>
          <t>UE</t>
        </is>
      </c>
      <c r="E4164" s="5" t="n">
        <v>200032998</v>
      </c>
      <c r="F4164" s="5" t="inlineStr">
        <is>
          <t>24396</t>
        </is>
      </c>
      <c r="G4164" s="5" t="inlineStr">
        <is>
          <t>BRL</t>
        </is>
      </c>
      <c r="H4164" s="9" t="n">
        <v>1092.03</v>
      </c>
      <c r="I4164" s="16" t="n">
        <v>44694</v>
      </c>
      <c r="J4164" s="16" t="n">
        <v>44694</v>
      </c>
      <c r="K4164" s="5" t="inlineStr">
        <is>
          <t xml:space="preserve"> GNRE 465 - VOUCHER 10924</t>
        </is>
      </c>
      <c r="L4164" s="5" t="inlineStr">
        <is>
          <t>407000.110501</t>
        </is>
      </c>
      <c r="M4164" s="5">
        <f>IF(YEAR(I4164)&lt;=2020,"Até 2020",TEXT(YEAR(I4164),"0"))</f>
        <v/>
      </c>
      <c r="N4164" s="5">
        <f>IFERROR(INDEX(DePara!$A:$A,MATCH(TEXT(B4164,"0"),DePara!$D:$D,0)),"(sem categoria)")</f>
        <v/>
      </c>
      <c r="O4164" s="5">
        <f>IF(J4164="","",Parametros!$B$6-J4164)</f>
        <v/>
      </c>
      <c r="P4164" s="5">
        <f>IF(O4164="","",IF(O4164&gt;0,1,0))</f>
        <v/>
      </c>
    </row>
    <row r="4165">
      <c r="A4165" s="5" t="n">
        <v>1191000000</v>
      </c>
      <c r="B4165" s="5" t="inlineStr">
        <is>
          <t>101969</t>
        </is>
      </c>
      <c r="C4165" s="5" t="inlineStr">
        <is>
          <t>SECRETARIA DE ESTADO DA FAZENDA RN</t>
        </is>
      </c>
      <c r="D4165" s="5" t="inlineStr">
        <is>
          <t>UE</t>
        </is>
      </c>
      <c r="E4165" s="5" t="n">
        <v>200032999</v>
      </c>
      <c r="F4165" s="5" t="inlineStr">
        <is>
          <t>24397</t>
        </is>
      </c>
      <c r="G4165" s="5" t="inlineStr">
        <is>
          <t>BRL</t>
        </is>
      </c>
      <c r="H4165" s="9" t="n">
        <v>589.1900000000001</v>
      </c>
      <c r="I4165" s="16" t="n">
        <v>44659</v>
      </c>
      <c r="J4165" s="16" t="n">
        <v>44659</v>
      </c>
      <c r="K4165" s="5" t="inlineStr">
        <is>
          <t>CTE 501 SUA CARGA</t>
        </is>
      </c>
      <c r="L4165" s="5" t="inlineStr">
        <is>
          <t>407000.110501</t>
        </is>
      </c>
      <c r="M4165" s="5">
        <f>IF(YEAR(I4165)&lt;=2020,"Até 2020",TEXT(YEAR(I4165),"0"))</f>
        <v/>
      </c>
      <c r="N4165" s="5">
        <f>IFERROR(INDEX(DePara!$A:$A,MATCH(TEXT(B4165,"0"),DePara!$D:$D,0)),"(sem categoria)")</f>
        <v/>
      </c>
      <c r="O4165" s="5">
        <f>IF(J4165="","",Parametros!$B$6-J4165)</f>
        <v/>
      </c>
      <c r="P4165" s="5">
        <f>IF(O4165="","",IF(O4165&gt;0,1,0))</f>
        <v/>
      </c>
    </row>
    <row r="4166">
      <c r="A4166" s="5" t="n">
        <v>1191000000</v>
      </c>
      <c r="B4166" s="5" t="inlineStr">
        <is>
          <t>101969</t>
        </is>
      </c>
      <c r="C4166" s="5" t="inlineStr">
        <is>
          <t>SECRETARIA DE ESTADO DA FAZENDA RN</t>
        </is>
      </c>
      <c r="D4166" s="5" t="inlineStr">
        <is>
          <t>UE</t>
        </is>
      </c>
      <c r="E4166" s="5" t="n">
        <v>200033000</v>
      </c>
      <c r="F4166" s="5" t="inlineStr">
        <is>
          <t>24398</t>
        </is>
      </c>
      <c r="G4166" s="5" t="inlineStr">
        <is>
          <t>BRL</t>
        </is>
      </c>
      <c r="H4166" s="9" t="n">
        <v>555.14</v>
      </c>
      <c r="I4166" s="16" t="n">
        <v>44659</v>
      </c>
      <c r="J4166" s="16" t="n">
        <v>44659</v>
      </c>
      <c r="K4166" s="5" t="inlineStr">
        <is>
          <t>CTE 1992 UPLOG</t>
        </is>
      </c>
      <c r="L4166" s="5" t="inlineStr">
        <is>
          <t>407000.110501</t>
        </is>
      </c>
      <c r="M4166" s="5">
        <f>IF(YEAR(I4166)&lt;=2020,"Até 2020",TEXT(YEAR(I4166),"0"))</f>
        <v/>
      </c>
      <c r="N4166" s="5">
        <f>IFERROR(INDEX(DePara!$A:$A,MATCH(TEXT(B4166,"0"),DePara!$D:$D,0)),"(sem categoria)")</f>
        <v/>
      </c>
      <c r="O4166" s="5">
        <f>IF(J4166="","",Parametros!$B$6-J4166)</f>
        <v/>
      </c>
      <c r="P4166" s="5">
        <f>IF(O4166="","",IF(O4166&gt;0,1,0))</f>
        <v/>
      </c>
    </row>
    <row r="4167">
      <c r="A4167" s="5" t="n">
        <v>1191000000</v>
      </c>
      <c r="B4167" s="5" t="inlineStr">
        <is>
          <t>101969</t>
        </is>
      </c>
      <c r="C4167" s="5" t="inlineStr">
        <is>
          <t>SECRETARIA DE ESTADO DA FAZENDA RN</t>
        </is>
      </c>
      <c r="D4167" s="5" t="inlineStr">
        <is>
          <t>UE</t>
        </is>
      </c>
      <c r="E4167" s="5" t="n">
        <v>200033001</v>
      </c>
      <c r="F4167" s="5" t="inlineStr">
        <is>
          <t>24399</t>
        </is>
      </c>
      <c r="G4167" s="5" t="inlineStr">
        <is>
          <t>BRL</t>
        </is>
      </c>
      <c r="H4167" s="9" t="n">
        <v>658.97</v>
      </c>
      <c r="I4167" s="16" t="n">
        <v>44659</v>
      </c>
      <c r="J4167" s="16" t="n">
        <v>44659</v>
      </c>
      <c r="K4167" s="5" t="inlineStr">
        <is>
          <t>CTE 2147 UPLOG</t>
        </is>
      </c>
      <c r="L4167" s="5" t="inlineStr">
        <is>
          <t>407000.110501</t>
        </is>
      </c>
      <c r="M4167" s="5">
        <f>IF(YEAR(I4167)&lt;=2020,"Até 2020",TEXT(YEAR(I4167),"0"))</f>
        <v/>
      </c>
      <c r="N4167" s="5">
        <f>IFERROR(INDEX(DePara!$A:$A,MATCH(TEXT(B4167,"0"),DePara!$D:$D,0)),"(sem categoria)")</f>
        <v/>
      </c>
      <c r="O4167" s="5">
        <f>IF(J4167="","",Parametros!$B$6-J4167)</f>
        <v/>
      </c>
      <c r="P4167" s="5">
        <f>IF(O4167="","",IF(O4167&gt;0,1,0))</f>
        <v/>
      </c>
    </row>
    <row r="4168">
      <c r="A4168" s="5" t="n">
        <v>1191000000</v>
      </c>
      <c r="B4168" s="5" t="inlineStr">
        <is>
          <t>101969</t>
        </is>
      </c>
      <c r="C4168" s="5" t="inlineStr">
        <is>
          <t>SECRETARIA DE ESTADO DA FAZENDA RN</t>
        </is>
      </c>
      <c r="D4168" s="5" t="inlineStr">
        <is>
          <t>UE</t>
        </is>
      </c>
      <c r="E4168" s="5" t="n">
        <v>200033002</v>
      </c>
      <c r="F4168" s="5" t="inlineStr">
        <is>
          <t>24400</t>
        </is>
      </c>
      <c r="G4168" s="5" t="inlineStr">
        <is>
          <t>BRL</t>
        </is>
      </c>
      <c r="H4168" s="9" t="n">
        <v>584.9</v>
      </c>
      <c r="I4168" s="16" t="n">
        <v>44659</v>
      </c>
      <c r="J4168" s="16" t="n">
        <v>44659</v>
      </c>
      <c r="K4168" s="5" t="inlineStr">
        <is>
          <t>CTE 5847 KMA</t>
        </is>
      </c>
      <c r="L4168" s="5" t="inlineStr">
        <is>
          <t>407000.110501</t>
        </is>
      </c>
      <c r="M4168" s="5">
        <f>IF(YEAR(I4168)&lt;=2020,"Até 2020",TEXT(YEAR(I4168),"0"))</f>
        <v/>
      </c>
      <c r="N4168" s="5">
        <f>IFERROR(INDEX(DePara!$A:$A,MATCH(TEXT(B4168,"0"),DePara!$D:$D,0)),"(sem categoria)")</f>
        <v/>
      </c>
      <c r="O4168" s="5">
        <f>IF(J4168="","",Parametros!$B$6-J4168)</f>
        <v/>
      </c>
      <c r="P4168" s="5">
        <f>IF(O4168="","",IF(O4168&gt;0,1,0))</f>
        <v/>
      </c>
    </row>
    <row r="4169">
      <c r="A4169" s="5" t="n">
        <v>1191000000</v>
      </c>
      <c r="B4169" s="5" t="inlineStr">
        <is>
          <t>101969</t>
        </is>
      </c>
      <c r="C4169" s="5" t="inlineStr">
        <is>
          <t>SECRETARIA DE ESTADO DA FAZENDA RN</t>
        </is>
      </c>
      <c r="D4169" s="5" t="inlineStr">
        <is>
          <t>UE</t>
        </is>
      </c>
      <c r="E4169" s="5" t="n">
        <v>200033003</v>
      </c>
      <c r="F4169" s="5" t="inlineStr">
        <is>
          <t>24401</t>
        </is>
      </c>
      <c r="G4169" s="5" t="inlineStr">
        <is>
          <t>BRL</t>
        </is>
      </c>
      <c r="H4169" s="9" t="n">
        <v>974.9</v>
      </c>
      <c r="I4169" s="16" t="n">
        <v>44659</v>
      </c>
      <c r="J4169" s="16" t="n">
        <v>44659</v>
      </c>
      <c r="K4169" s="5" t="inlineStr">
        <is>
          <t>CTE 2115 UPLOG</t>
        </is>
      </c>
      <c r="L4169" s="5" t="inlineStr">
        <is>
          <t>407000.110501</t>
        </is>
      </c>
      <c r="M4169" s="5">
        <f>IF(YEAR(I4169)&lt;=2020,"Até 2020",TEXT(YEAR(I4169),"0"))</f>
        <v/>
      </c>
      <c r="N4169" s="5">
        <f>IFERROR(INDEX(DePara!$A:$A,MATCH(TEXT(B4169,"0"),DePara!$D:$D,0)),"(sem categoria)")</f>
        <v/>
      </c>
      <c r="O4169" s="5">
        <f>IF(J4169="","",Parametros!$B$6-J4169)</f>
        <v/>
      </c>
      <c r="P4169" s="5">
        <f>IF(O4169="","",IF(O4169&gt;0,1,0))</f>
        <v/>
      </c>
    </row>
    <row r="4170">
      <c r="A4170" s="5" t="n">
        <v>1191000000</v>
      </c>
      <c r="B4170" s="5" t="inlineStr">
        <is>
          <t>101969</t>
        </is>
      </c>
      <c r="C4170" s="5" t="inlineStr">
        <is>
          <t>SECRETARIA DE ESTADO DA FAZENDA RN</t>
        </is>
      </c>
      <c r="D4170" s="5" t="inlineStr">
        <is>
          <t>UE</t>
        </is>
      </c>
      <c r="E4170" s="5" t="n">
        <v>200033004</v>
      </c>
      <c r="F4170" s="5" t="inlineStr">
        <is>
          <t>24402</t>
        </is>
      </c>
      <c r="G4170" s="5" t="inlineStr">
        <is>
          <t>BRL</t>
        </is>
      </c>
      <c r="H4170" s="9" t="n">
        <v>620.49</v>
      </c>
      <c r="I4170" s="16" t="n">
        <v>44659</v>
      </c>
      <c r="J4170" s="16" t="n">
        <v>44659</v>
      </c>
      <c r="K4170" s="5" t="inlineStr">
        <is>
          <t>CTE 315 QUELMAR</t>
        </is>
      </c>
      <c r="L4170" s="5" t="inlineStr">
        <is>
          <t>407000.110501</t>
        </is>
      </c>
      <c r="M4170" s="5">
        <f>IF(YEAR(I4170)&lt;=2020,"Até 2020",TEXT(YEAR(I4170),"0"))</f>
        <v/>
      </c>
      <c r="N4170" s="5">
        <f>IFERROR(INDEX(DePara!$A:$A,MATCH(TEXT(B4170,"0"),DePara!$D:$D,0)),"(sem categoria)")</f>
        <v/>
      </c>
      <c r="O4170" s="5">
        <f>IF(J4170="","",Parametros!$B$6-J4170)</f>
        <v/>
      </c>
      <c r="P4170" s="5">
        <f>IF(O4170="","",IF(O4170&gt;0,1,0))</f>
        <v/>
      </c>
    </row>
    <row r="4171">
      <c r="A4171" s="5" t="n">
        <v>1191000000</v>
      </c>
      <c r="B4171" s="5" t="inlineStr">
        <is>
          <t>101969</t>
        </is>
      </c>
      <c r="C4171" s="5" t="inlineStr">
        <is>
          <t>SECRETARIA DE ESTADO DA FAZENDA RN</t>
        </is>
      </c>
      <c r="D4171" s="5" t="inlineStr">
        <is>
          <t>UE</t>
        </is>
      </c>
      <c r="E4171" s="5" t="n">
        <v>200033005</v>
      </c>
      <c r="F4171" s="5" t="inlineStr">
        <is>
          <t>24403</t>
        </is>
      </c>
      <c r="G4171" s="5" t="inlineStr">
        <is>
          <t>BRL</t>
        </is>
      </c>
      <c r="H4171" s="9" t="n">
        <v>1253.65</v>
      </c>
      <c r="I4171" s="16" t="n">
        <v>44659</v>
      </c>
      <c r="J4171" s="16" t="n">
        <v>44659</v>
      </c>
      <c r="K4171" s="5" t="inlineStr">
        <is>
          <t>CTE 355 QUELMAR</t>
        </is>
      </c>
      <c r="L4171" s="5" t="inlineStr">
        <is>
          <t>407000.110501</t>
        </is>
      </c>
      <c r="M4171" s="5">
        <f>IF(YEAR(I4171)&lt;=2020,"Até 2020",TEXT(YEAR(I4171),"0"))</f>
        <v/>
      </c>
      <c r="N4171" s="5">
        <f>IFERROR(INDEX(DePara!$A:$A,MATCH(TEXT(B4171,"0"),DePara!$D:$D,0)),"(sem categoria)")</f>
        <v/>
      </c>
      <c r="O4171" s="5">
        <f>IF(J4171="","",Parametros!$B$6-J4171)</f>
        <v/>
      </c>
      <c r="P4171" s="5">
        <f>IF(O4171="","",IF(O4171&gt;0,1,0))</f>
        <v/>
      </c>
    </row>
    <row r="4172">
      <c r="A4172" s="5" t="n">
        <v>1191000000</v>
      </c>
      <c r="B4172" s="5" t="inlineStr">
        <is>
          <t>101969</t>
        </is>
      </c>
      <c r="C4172" s="5" t="inlineStr">
        <is>
          <t>SECRETARIA DE ESTADO DA FAZENDA RN</t>
        </is>
      </c>
      <c r="D4172" s="5" t="inlineStr">
        <is>
          <t>UE</t>
        </is>
      </c>
      <c r="E4172" s="5" t="n">
        <v>200033006</v>
      </c>
      <c r="F4172" s="5" t="inlineStr">
        <is>
          <t>24404</t>
        </is>
      </c>
      <c r="G4172" s="5" t="inlineStr">
        <is>
          <t>BRL</t>
        </is>
      </c>
      <c r="H4172" s="9" t="n">
        <v>842.75</v>
      </c>
      <c r="I4172" s="16" t="n">
        <v>44659</v>
      </c>
      <c r="J4172" s="16" t="n">
        <v>44659</v>
      </c>
      <c r="K4172" s="5" t="inlineStr">
        <is>
          <t>CTE 421 QUELMAR</t>
        </is>
      </c>
      <c r="L4172" s="5" t="inlineStr">
        <is>
          <t>407000.110501</t>
        </is>
      </c>
      <c r="M4172" s="5">
        <f>IF(YEAR(I4172)&lt;=2020,"Até 2020",TEXT(YEAR(I4172),"0"))</f>
        <v/>
      </c>
      <c r="N4172" s="5">
        <f>IFERROR(INDEX(DePara!$A:$A,MATCH(TEXT(B4172,"0"),DePara!$D:$D,0)),"(sem categoria)")</f>
        <v/>
      </c>
      <c r="O4172" s="5">
        <f>IF(J4172="","",Parametros!$B$6-J4172)</f>
        <v/>
      </c>
      <c r="P4172" s="5">
        <f>IF(O4172="","",IF(O4172&gt;0,1,0))</f>
        <v/>
      </c>
    </row>
    <row r="4173">
      <c r="A4173" s="5" t="n">
        <v>1191000000</v>
      </c>
      <c r="B4173" s="5" t="inlineStr">
        <is>
          <t>101969</t>
        </is>
      </c>
      <c r="C4173" s="5" t="inlineStr">
        <is>
          <t>SECRETARIA DE ESTADO DA FAZENDA RN</t>
        </is>
      </c>
      <c r="D4173" s="5" t="inlineStr">
        <is>
          <t>UE</t>
        </is>
      </c>
      <c r="E4173" s="5" t="n">
        <v>200033007</v>
      </c>
      <c r="F4173" s="5" t="inlineStr">
        <is>
          <t>24405</t>
        </is>
      </c>
      <c r="G4173" s="5" t="inlineStr">
        <is>
          <t>BRL</t>
        </is>
      </c>
      <c r="H4173" s="9" t="n">
        <v>294</v>
      </c>
      <c r="I4173" s="16" t="n">
        <v>44659</v>
      </c>
      <c r="J4173" s="16" t="n">
        <v>44659</v>
      </c>
      <c r="K4173" s="5" t="inlineStr">
        <is>
          <t>CTE 422 QUELMAR</t>
        </is>
      </c>
      <c r="L4173" s="5" t="inlineStr">
        <is>
          <t>407000.110501</t>
        </is>
      </c>
      <c r="M4173" s="5">
        <f>IF(YEAR(I4173)&lt;=2020,"Até 2020",TEXT(YEAR(I4173),"0"))</f>
        <v/>
      </c>
      <c r="N4173" s="5">
        <f>IFERROR(INDEX(DePara!$A:$A,MATCH(TEXT(B4173,"0"),DePara!$D:$D,0)),"(sem categoria)")</f>
        <v/>
      </c>
      <c r="O4173" s="5">
        <f>IF(J4173="","",Parametros!$B$6-J4173)</f>
        <v/>
      </c>
      <c r="P4173" s="5">
        <f>IF(O4173="","",IF(O4173&gt;0,1,0))</f>
        <v/>
      </c>
    </row>
    <row r="4174">
      <c r="A4174" s="5" t="n">
        <v>1191000000</v>
      </c>
      <c r="B4174" s="5" t="inlineStr">
        <is>
          <t>101969</t>
        </is>
      </c>
      <c r="C4174" s="5" t="inlineStr">
        <is>
          <t>SECRETARIA DE ESTADO DA FAZENDA RN</t>
        </is>
      </c>
      <c r="D4174" s="5" t="inlineStr">
        <is>
          <t>UE</t>
        </is>
      </c>
      <c r="E4174" s="5" t="n">
        <v>200033008</v>
      </c>
      <c r="F4174" s="5" t="inlineStr">
        <is>
          <t>24406</t>
        </is>
      </c>
      <c r="G4174" s="5" t="inlineStr">
        <is>
          <t>BRL</t>
        </is>
      </c>
      <c r="H4174" s="9" t="n">
        <v>250.35</v>
      </c>
      <c r="I4174" s="16" t="n">
        <v>44659</v>
      </c>
      <c r="J4174" s="16" t="n">
        <v>44659</v>
      </c>
      <c r="K4174" s="5" t="inlineStr">
        <is>
          <t>CTE 443 QUELMAR</t>
        </is>
      </c>
      <c r="L4174" s="5" t="inlineStr">
        <is>
          <t>407000.110501</t>
        </is>
      </c>
      <c r="M4174" s="5">
        <f>IF(YEAR(I4174)&lt;=2020,"Até 2020",TEXT(YEAR(I4174),"0"))</f>
        <v/>
      </c>
      <c r="N4174" s="5">
        <f>IFERROR(INDEX(DePara!$A:$A,MATCH(TEXT(B4174,"0"),DePara!$D:$D,0)),"(sem categoria)")</f>
        <v/>
      </c>
      <c r="O4174" s="5">
        <f>IF(J4174="","",Parametros!$B$6-J4174)</f>
        <v/>
      </c>
      <c r="P4174" s="5">
        <f>IF(O4174="","",IF(O4174&gt;0,1,0))</f>
        <v/>
      </c>
    </row>
    <row r="4175">
      <c r="A4175" s="5" t="n">
        <v>1191000000</v>
      </c>
      <c r="B4175" s="5" t="inlineStr">
        <is>
          <t>101969</t>
        </is>
      </c>
      <c r="C4175" s="5" t="inlineStr">
        <is>
          <t>SECRETARIA DE ESTADO DA FAZENDA RN</t>
        </is>
      </c>
      <c r="D4175" s="5" t="inlineStr">
        <is>
          <t>UE</t>
        </is>
      </c>
      <c r="E4175" s="5" t="n">
        <v>200033009</v>
      </c>
      <c r="F4175" s="5" t="inlineStr">
        <is>
          <t>24407</t>
        </is>
      </c>
      <c r="G4175" s="5" t="inlineStr">
        <is>
          <t>BRL</t>
        </is>
      </c>
      <c r="H4175" s="9" t="n">
        <v>74.02</v>
      </c>
      <c r="I4175" s="16" t="n">
        <v>44659</v>
      </c>
      <c r="J4175" s="16" t="n">
        <v>44659</v>
      </c>
      <c r="K4175" s="5" t="inlineStr">
        <is>
          <t>CTE 486 QUELMAR</t>
        </is>
      </c>
      <c r="L4175" s="5" t="inlineStr">
        <is>
          <t>407000.110501</t>
        </is>
      </c>
      <c r="M4175" s="5">
        <f>IF(YEAR(I4175)&lt;=2020,"Até 2020",TEXT(YEAR(I4175),"0"))</f>
        <v/>
      </c>
      <c r="N4175" s="5">
        <f>IFERROR(INDEX(DePara!$A:$A,MATCH(TEXT(B4175,"0"),DePara!$D:$D,0)),"(sem categoria)")</f>
        <v/>
      </c>
      <c r="O4175" s="5">
        <f>IF(J4175="","",Parametros!$B$6-J4175)</f>
        <v/>
      </c>
      <c r="P4175" s="5">
        <f>IF(O4175="","",IF(O4175&gt;0,1,0))</f>
        <v/>
      </c>
    </row>
    <row r="4176">
      <c r="A4176" s="5" t="n">
        <v>1191000000</v>
      </c>
      <c r="B4176" s="5" t="inlineStr">
        <is>
          <t>101969</t>
        </is>
      </c>
      <c r="C4176" s="5" t="inlineStr">
        <is>
          <t>SECRETARIA DE ESTADO DA FAZENDA RN</t>
        </is>
      </c>
      <c r="D4176" s="5" t="inlineStr">
        <is>
          <t>UE</t>
        </is>
      </c>
      <c r="E4176" s="5" t="n">
        <v>200033010</v>
      </c>
      <c r="F4176" s="5" t="inlineStr">
        <is>
          <t>24408</t>
        </is>
      </c>
      <c r="G4176" s="5" t="inlineStr">
        <is>
          <t>BRL</t>
        </is>
      </c>
      <c r="H4176" s="9" t="n">
        <v>779.76</v>
      </c>
      <c r="I4176" s="16" t="n">
        <v>44659</v>
      </c>
      <c r="J4176" s="16" t="n">
        <v>44659</v>
      </c>
      <c r="K4176" s="5" t="inlineStr">
        <is>
          <t>CTE 1931 MVC</t>
        </is>
      </c>
      <c r="L4176" s="5" t="inlineStr">
        <is>
          <t>407000.110501</t>
        </is>
      </c>
      <c r="M4176" s="5">
        <f>IF(YEAR(I4176)&lt;=2020,"Até 2020",TEXT(YEAR(I4176),"0"))</f>
        <v/>
      </c>
      <c r="N4176" s="5">
        <f>IFERROR(INDEX(DePara!$A:$A,MATCH(TEXT(B4176,"0"),DePara!$D:$D,0)),"(sem categoria)")</f>
        <v/>
      </c>
      <c r="O4176" s="5">
        <f>IF(J4176="","",Parametros!$B$6-J4176)</f>
        <v/>
      </c>
      <c r="P4176" s="5">
        <f>IF(O4176="","",IF(O4176&gt;0,1,0))</f>
        <v/>
      </c>
    </row>
    <row r="4177">
      <c r="A4177" s="5" t="n">
        <v>1191000000</v>
      </c>
      <c r="B4177" s="5" t="inlineStr">
        <is>
          <t>101969</t>
        </is>
      </c>
      <c r="C4177" s="5" t="inlineStr">
        <is>
          <t>SECRETARIA DE ESTADO DA FAZENDA RN</t>
        </is>
      </c>
      <c r="D4177" s="5" t="inlineStr">
        <is>
          <t>UE</t>
        </is>
      </c>
      <c r="E4177" s="5" t="n">
        <v>200033011</v>
      </c>
      <c r="F4177" s="5" t="inlineStr">
        <is>
          <t>24409</t>
        </is>
      </c>
      <c r="G4177" s="5" t="inlineStr">
        <is>
          <t>BRL</t>
        </is>
      </c>
      <c r="H4177" s="9" t="n">
        <v>739.6900000000001</v>
      </c>
      <c r="I4177" s="16" t="n">
        <v>44659</v>
      </c>
      <c r="J4177" s="16" t="n">
        <v>44659</v>
      </c>
      <c r="K4177" s="5" t="inlineStr">
        <is>
          <t>CTE 1945 QUELMAR</t>
        </is>
      </c>
      <c r="L4177" s="5" t="inlineStr">
        <is>
          <t>407000.110501</t>
        </is>
      </c>
      <c r="M4177" s="5">
        <f>IF(YEAR(I4177)&lt;=2020,"Até 2020",TEXT(YEAR(I4177),"0"))</f>
        <v/>
      </c>
      <c r="N4177" s="5">
        <f>IFERROR(INDEX(DePara!$A:$A,MATCH(TEXT(B4177,"0"),DePara!$D:$D,0)),"(sem categoria)")</f>
        <v/>
      </c>
      <c r="O4177" s="5">
        <f>IF(J4177="","",Parametros!$B$6-J4177)</f>
        <v/>
      </c>
      <c r="P4177" s="5">
        <f>IF(O4177="","",IF(O4177&gt;0,1,0))</f>
        <v/>
      </c>
    </row>
    <row r="4178">
      <c r="A4178" s="5" t="n">
        <v>1191000000</v>
      </c>
      <c r="B4178" s="5" t="inlineStr">
        <is>
          <t>101969</t>
        </is>
      </c>
      <c r="C4178" s="5" t="inlineStr">
        <is>
          <t>SECRETARIA DE ESTADO DA FAZENDA RN</t>
        </is>
      </c>
      <c r="D4178" s="5" t="inlineStr">
        <is>
          <t>UE</t>
        </is>
      </c>
      <c r="E4178" s="5" t="n">
        <v>200033012</v>
      </c>
      <c r="F4178" s="5" t="inlineStr">
        <is>
          <t>24410</t>
        </is>
      </c>
      <c r="G4178" s="5" t="inlineStr">
        <is>
          <t>BRL</t>
        </is>
      </c>
      <c r="H4178" s="9" t="n">
        <v>7326.74</v>
      </c>
      <c r="I4178" s="16" t="n">
        <v>44659</v>
      </c>
      <c r="J4178" s="16" t="n">
        <v>44659</v>
      </c>
      <c r="K4178" s="5" t="inlineStr">
        <is>
          <t>CTE 1952 QUELMAR</t>
        </is>
      </c>
      <c r="L4178" s="5" t="inlineStr">
        <is>
          <t>407000.110501</t>
        </is>
      </c>
      <c r="M4178" s="5">
        <f>IF(YEAR(I4178)&lt;=2020,"Até 2020",TEXT(YEAR(I4178),"0"))</f>
        <v/>
      </c>
      <c r="N4178" s="5">
        <f>IFERROR(INDEX(DePara!$A:$A,MATCH(TEXT(B4178,"0"),DePara!$D:$D,0)),"(sem categoria)")</f>
        <v/>
      </c>
      <c r="O4178" s="5">
        <f>IF(J4178="","",Parametros!$B$6-J4178)</f>
        <v/>
      </c>
      <c r="P4178" s="5">
        <f>IF(O4178="","",IF(O4178&gt;0,1,0))</f>
        <v/>
      </c>
    </row>
    <row r="4179">
      <c r="A4179" s="5" t="n">
        <v>1191000000</v>
      </c>
      <c r="B4179" s="5" t="inlineStr">
        <is>
          <t>101969</t>
        </is>
      </c>
      <c r="C4179" s="5" t="inlineStr">
        <is>
          <t>SECRETARIA DE ESTADO DA FAZENDA RN</t>
        </is>
      </c>
      <c r="D4179" s="5" t="inlineStr">
        <is>
          <t>UE</t>
        </is>
      </c>
      <c r="E4179" s="5" t="n">
        <v>200033013</v>
      </c>
      <c r="F4179" s="5" t="inlineStr">
        <is>
          <t>24411</t>
        </is>
      </c>
      <c r="G4179" s="5" t="inlineStr">
        <is>
          <t>BRL</t>
        </is>
      </c>
      <c r="H4179" s="9" t="n">
        <v>624</v>
      </c>
      <c r="I4179" s="16" t="n">
        <v>44669</v>
      </c>
      <c r="J4179" s="16" t="n">
        <v>44669</v>
      </c>
      <c r="K4179" s="5" t="inlineStr">
        <is>
          <t>CTE 446</t>
        </is>
      </c>
      <c r="L4179" s="5" t="inlineStr">
        <is>
          <t>407000.110501</t>
        </is>
      </c>
      <c r="M4179" s="5">
        <f>IF(YEAR(I4179)&lt;=2020,"Até 2020",TEXT(YEAR(I4179),"0"))</f>
        <v/>
      </c>
      <c r="N4179" s="5">
        <f>IFERROR(INDEX(DePara!$A:$A,MATCH(TEXT(B4179,"0"),DePara!$D:$D,0)),"(sem categoria)")</f>
        <v/>
      </c>
      <c r="O4179" s="5">
        <f>IF(J4179="","",Parametros!$B$6-J4179)</f>
        <v/>
      </c>
      <c r="P4179" s="5">
        <f>IF(O4179="","",IF(O4179&gt;0,1,0))</f>
        <v/>
      </c>
    </row>
    <row r="4180">
      <c r="A4180" s="5" t="n">
        <v>1191000000</v>
      </c>
      <c r="B4180" s="5" t="inlineStr">
        <is>
          <t>101969</t>
        </is>
      </c>
      <c r="C4180" s="5" t="inlineStr">
        <is>
          <t>SECRETARIA DE ESTADO DA FAZENDA RN</t>
        </is>
      </c>
      <c r="D4180" s="5" t="inlineStr">
        <is>
          <t>UE</t>
        </is>
      </c>
      <c r="E4180" s="5" t="n">
        <v>200033014</v>
      </c>
      <c r="F4180" s="5" t="inlineStr">
        <is>
          <t>24412</t>
        </is>
      </c>
      <c r="G4180" s="5" t="inlineStr">
        <is>
          <t>BRL</t>
        </is>
      </c>
      <c r="H4180" s="9" t="n">
        <v>53.7</v>
      </c>
      <c r="I4180" s="16" t="n">
        <v>44669</v>
      </c>
      <c r="J4180" s="16" t="n">
        <v>44669</v>
      </c>
      <c r="K4180" s="5" t="inlineStr">
        <is>
          <t>CTE 17599</t>
        </is>
      </c>
      <c r="L4180" s="5" t="inlineStr">
        <is>
          <t>407000.110501</t>
        </is>
      </c>
      <c r="M4180" s="5">
        <f>IF(YEAR(I4180)&lt;=2020,"Até 2020",TEXT(YEAR(I4180),"0"))</f>
        <v/>
      </c>
      <c r="N4180" s="5">
        <f>IFERROR(INDEX(DePara!$A:$A,MATCH(TEXT(B4180,"0"),DePara!$D:$D,0)),"(sem categoria)")</f>
        <v/>
      </c>
      <c r="O4180" s="5">
        <f>IF(J4180="","",Parametros!$B$6-J4180)</f>
        <v/>
      </c>
      <c r="P4180" s="5">
        <f>IF(O4180="","",IF(O4180&gt;0,1,0))</f>
        <v/>
      </c>
    </row>
    <row r="4181">
      <c r="A4181" s="5" t="n">
        <v>1191000000</v>
      </c>
      <c r="B4181" s="5" t="inlineStr">
        <is>
          <t>101969</t>
        </is>
      </c>
      <c r="C4181" s="5" t="inlineStr">
        <is>
          <t>SECRETARIA DE ESTADO DA FAZENDA RN</t>
        </is>
      </c>
      <c r="D4181" s="5" t="inlineStr">
        <is>
          <t>UE</t>
        </is>
      </c>
      <c r="E4181" s="5" t="n">
        <v>200033015</v>
      </c>
      <c r="F4181" s="5" t="inlineStr">
        <is>
          <t>24413</t>
        </is>
      </c>
      <c r="G4181" s="5" t="inlineStr">
        <is>
          <t>BRL</t>
        </is>
      </c>
      <c r="H4181" s="9" t="n">
        <v>420</v>
      </c>
      <c r="I4181" s="16" t="n">
        <v>44669</v>
      </c>
      <c r="J4181" s="16" t="n">
        <v>44669</v>
      </c>
      <c r="K4181" s="5" t="inlineStr">
        <is>
          <t>CTE 1941</t>
        </is>
      </c>
      <c r="L4181" s="5" t="inlineStr">
        <is>
          <t>407000.110501</t>
        </is>
      </c>
      <c r="M4181" s="5">
        <f>IF(YEAR(I4181)&lt;=2020,"Até 2020",TEXT(YEAR(I4181),"0"))</f>
        <v/>
      </c>
      <c r="N4181" s="5">
        <f>IFERROR(INDEX(DePara!$A:$A,MATCH(TEXT(B4181,"0"),DePara!$D:$D,0)),"(sem categoria)")</f>
        <v/>
      </c>
      <c r="O4181" s="5">
        <f>IF(J4181="","",Parametros!$B$6-J4181)</f>
        <v/>
      </c>
      <c r="P4181" s="5">
        <f>IF(O4181="","",IF(O4181&gt;0,1,0))</f>
        <v/>
      </c>
    </row>
    <row r="4182">
      <c r="A4182" s="5" t="n">
        <v>1191000000</v>
      </c>
      <c r="B4182" s="5" t="inlineStr">
        <is>
          <t>101969</t>
        </is>
      </c>
      <c r="C4182" s="5" t="inlineStr">
        <is>
          <t>SECRETARIA DE ESTADO DA FAZENDA RN</t>
        </is>
      </c>
      <c r="D4182" s="5" t="inlineStr">
        <is>
          <t>UE</t>
        </is>
      </c>
      <c r="E4182" s="5" t="n">
        <v>200033016</v>
      </c>
      <c r="F4182" s="5" t="inlineStr">
        <is>
          <t>24414</t>
        </is>
      </c>
      <c r="G4182" s="5" t="inlineStr">
        <is>
          <t>BRL</t>
        </is>
      </c>
      <c r="H4182" s="9" t="n">
        <v>283.06</v>
      </c>
      <c r="I4182" s="16" t="n">
        <v>44671</v>
      </c>
      <c r="J4182" s="16" t="n">
        <v>44671</v>
      </c>
      <c r="K4182" s="5" t="inlineStr">
        <is>
          <t>1945</t>
        </is>
      </c>
      <c r="L4182" s="5" t="inlineStr">
        <is>
          <t>407000.110501</t>
        </is>
      </c>
      <c r="M4182" s="5">
        <f>IF(YEAR(I4182)&lt;=2020,"Até 2020",TEXT(YEAR(I4182),"0"))</f>
        <v/>
      </c>
      <c r="N4182" s="5">
        <f>IFERROR(INDEX(DePara!$A:$A,MATCH(TEXT(B4182,"0"),DePara!$D:$D,0)),"(sem categoria)")</f>
        <v/>
      </c>
      <c r="O4182" s="5">
        <f>IF(J4182="","",Parametros!$B$6-J4182)</f>
        <v/>
      </c>
      <c r="P4182" s="5">
        <f>IF(O4182="","",IF(O4182&gt;0,1,0))</f>
        <v/>
      </c>
    </row>
    <row r="4183">
      <c r="A4183" s="5" t="n">
        <v>1191000000</v>
      </c>
      <c r="B4183" s="5" t="inlineStr">
        <is>
          <t>101969</t>
        </is>
      </c>
      <c r="C4183" s="5" t="inlineStr">
        <is>
          <t>SECRETARIA DE ESTADO DA FAZENDA RN</t>
        </is>
      </c>
      <c r="D4183" s="5" t="inlineStr">
        <is>
          <t>UE</t>
        </is>
      </c>
      <c r="E4183" s="5" t="n">
        <v>200033017</v>
      </c>
      <c r="F4183" s="5" t="inlineStr">
        <is>
          <t>24415</t>
        </is>
      </c>
      <c r="G4183" s="5" t="inlineStr">
        <is>
          <t>BRL</t>
        </is>
      </c>
      <c r="H4183" s="9" t="n">
        <v>10.28</v>
      </c>
      <c r="I4183" s="16" t="n">
        <v>44671</v>
      </c>
      <c r="J4183" s="16" t="n">
        <v>44671</v>
      </c>
      <c r="K4183" s="5" t="inlineStr">
        <is>
          <t>458</t>
        </is>
      </c>
      <c r="L4183" s="5" t="inlineStr">
        <is>
          <t>407000.110501</t>
        </is>
      </c>
      <c r="M4183" s="5">
        <f>IF(YEAR(I4183)&lt;=2020,"Até 2020",TEXT(YEAR(I4183),"0"))</f>
        <v/>
      </c>
      <c r="N4183" s="5">
        <f>IFERROR(INDEX(DePara!$A:$A,MATCH(TEXT(B4183,"0"),DePara!$D:$D,0)),"(sem categoria)")</f>
        <v/>
      </c>
      <c r="O4183" s="5">
        <f>IF(J4183="","",Parametros!$B$6-J4183)</f>
        <v/>
      </c>
      <c r="P4183" s="5">
        <f>IF(O4183="","",IF(O4183&gt;0,1,0))</f>
        <v/>
      </c>
    </row>
    <row r="4184">
      <c r="A4184" s="5" t="n">
        <v>1191000000</v>
      </c>
      <c r="B4184" s="5" t="inlineStr">
        <is>
          <t>101969</t>
        </is>
      </c>
      <c r="C4184" s="5" t="inlineStr">
        <is>
          <t>SECRETARIA DE ESTADO DA FAZENDA RN</t>
        </is>
      </c>
      <c r="D4184" s="5" t="inlineStr">
        <is>
          <t>UE</t>
        </is>
      </c>
      <c r="E4184" s="5" t="n">
        <v>200033018</v>
      </c>
      <c r="F4184" s="5" t="inlineStr">
        <is>
          <t>24416</t>
        </is>
      </c>
      <c r="G4184" s="5" t="inlineStr">
        <is>
          <t>BRL</t>
        </is>
      </c>
      <c r="H4184" s="9" t="n">
        <v>14.48</v>
      </c>
      <c r="I4184" s="16" t="n">
        <v>44671</v>
      </c>
      <c r="J4184" s="16" t="n">
        <v>44671</v>
      </c>
      <c r="K4184" s="5" t="inlineStr">
        <is>
          <t>477</t>
        </is>
      </c>
      <c r="L4184" s="5" t="inlineStr">
        <is>
          <t>407000.110501</t>
        </is>
      </c>
      <c r="M4184" s="5">
        <f>IF(YEAR(I4184)&lt;=2020,"Até 2020",TEXT(YEAR(I4184),"0"))</f>
        <v/>
      </c>
      <c r="N4184" s="5">
        <f>IFERROR(INDEX(DePara!$A:$A,MATCH(TEXT(B4184,"0"),DePara!$D:$D,0)),"(sem categoria)")</f>
        <v/>
      </c>
      <c r="O4184" s="5">
        <f>IF(J4184="","",Parametros!$B$6-J4184)</f>
        <v/>
      </c>
      <c r="P4184" s="5">
        <f>IF(O4184="","",IF(O4184&gt;0,1,0))</f>
        <v/>
      </c>
    </row>
    <row r="4185">
      <c r="A4185" s="5" t="n">
        <v>1191000000</v>
      </c>
      <c r="B4185" s="5" t="inlineStr">
        <is>
          <t>101969</t>
        </is>
      </c>
      <c r="C4185" s="5" t="inlineStr">
        <is>
          <t>SECRETARIA DE ESTADO DA FAZENDA RN</t>
        </is>
      </c>
      <c r="D4185" s="5" t="inlineStr">
        <is>
          <t>UE</t>
        </is>
      </c>
      <c r="E4185" s="5" t="n">
        <v>200033019</v>
      </c>
      <c r="F4185" s="5" t="inlineStr">
        <is>
          <t>24417</t>
        </is>
      </c>
      <c r="G4185" s="5" t="inlineStr">
        <is>
          <t>BRL</t>
        </is>
      </c>
      <c r="H4185" s="9" t="n">
        <v>244.99</v>
      </c>
      <c r="I4185" s="16" t="n">
        <v>44671</v>
      </c>
      <c r="J4185" s="16" t="n">
        <v>44671</v>
      </c>
      <c r="K4185" s="5" t="inlineStr">
        <is>
          <t>518</t>
        </is>
      </c>
      <c r="L4185" s="5" t="inlineStr">
        <is>
          <t>407000.110501</t>
        </is>
      </c>
      <c r="M4185" s="5">
        <f>IF(YEAR(I4185)&lt;=2020,"Até 2020",TEXT(YEAR(I4185),"0"))</f>
        <v/>
      </c>
      <c r="N4185" s="5">
        <f>IFERROR(INDEX(DePara!$A:$A,MATCH(TEXT(B4185,"0"),DePara!$D:$D,0)),"(sem categoria)")</f>
        <v/>
      </c>
      <c r="O4185" s="5">
        <f>IF(J4185="","",Parametros!$B$6-J4185)</f>
        <v/>
      </c>
      <c r="P4185" s="5">
        <f>IF(O4185="","",IF(O4185&gt;0,1,0))</f>
        <v/>
      </c>
    </row>
    <row r="4186">
      <c r="A4186" s="5" t="n">
        <v>1191000000</v>
      </c>
      <c r="B4186" s="5" t="inlineStr">
        <is>
          <t>101969</t>
        </is>
      </c>
      <c r="C4186" s="5" t="inlineStr">
        <is>
          <t>SECRETARIA DE ESTADO DA FAZENDA RN</t>
        </is>
      </c>
      <c r="D4186" s="5" t="inlineStr">
        <is>
          <t>UE</t>
        </is>
      </c>
      <c r="E4186" s="5" t="n">
        <v>200033020</v>
      </c>
      <c r="F4186" s="5" t="inlineStr">
        <is>
          <t>24418</t>
        </is>
      </c>
      <c r="G4186" s="5" t="inlineStr">
        <is>
          <t>BRL</t>
        </is>
      </c>
      <c r="H4186" s="9" t="n">
        <v>218.18</v>
      </c>
      <c r="I4186" s="16" t="n">
        <v>44785</v>
      </c>
      <c r="J4186" s="16" t="n">
        <v>44785</v>
      </c>
      <c r="K4186" s="5" t="inlineStr">
        <is>
          <t>CTE - 21036</t>
        </is>
      </c>
      <c r="L4186" s="5" t="inlineStr">
        <is>
          <t>407000.110501</t>
        </is>
      </c>
      <c r="M4186" s="5">
        <f>IF(YEAR(I4186)&lt;=2020,"Até 2020",TEXT(YEAR(I4186),"0"))</f>
        <v/>
      </c>
      <c r="N4186" s="5">
        <f>IFERROR(INDEX(DePara!$A:$A,MATCH(TEXT(B4186,"0"),DePara!$D:$D,0)),"(sem categoria)")</f>
        <v/>
      </c>
      <c r="O4186" s="5">
        <f>IF(J4186="","",Parametros!$B$6-J4186)</f>
        <v/>
      </c>
      <c r="P4186" s="5">
        <f>IF(O4186="","",IF(O4186&gt;0,1,0))</f>
        <v/>
      </c>
    </row>
    <row r="4187">
      <c r="A4187" s="5" t="n">
        <v>1191000000</v>
      </c>
      <c r="B4187" s="5" t="inlineStr">
        <is>
          <t>101969</t>
        </is>
      </c>
      <c r="C4187" s="5" t="inlineStr">
        <is>
          <t>SECRETARIA DE ESTADO DA FAZENDA RN</t>
        </is>
      </c>
      <c r="D4187" s="5" t="inlineStr">
        <is>
          <t>UE</t>
        </is>
      </c>
      <c r="E4187" s="5" t="n">
        <v>200033021</v>
      </c>
      <c r="F4187" s="5" t="inlineStr">
        <is>
          <t>24419</t>
        </is>
      </c>
      <c r="G4187" s="5" t="inlineStr">
        <is>
          <t>BRL</t>
        </is>
      </c>
      <c r="H4187" s="9" t="n">
        <v>191.56</v>
      </c>
      <c r="I4187" s="16" t="n">
        <v>44881</v>
      </c>
      <c r="J4187" s="16" t="n">
        <v>44881</v>
      </c>
      <c r="K4187" s="5" t="inlineStr">
        <is>
          <t>851</t>
        </is>
      </c>
      <c r="L4187" s="5" t="inlineStr">
        <is>
          <t>475000.210215</t>
        </is>
      </c>
      <c r="M4187" s="5">
        <f>IF(YEAR(I4187)&lt;=2020,"Até 2020",TEXT(YEAR(I4187),"0"))</f>
        <v/>
      </c>
      <c r="N4187" s="5">
        <f>IFERROR(INDEX(DePara!$A:$A,MATCH(TEXT(B4187,"0"),DePara!$D:$D,0)),"(sem categoria)")</f>
        <v/>
      </c>
      <c r="O4187" s="5">
        <f>IF(J4187="","",Parametros!$B$6-J4187)</f>
        <v/>
      </c>
      <c r="P4187" s="5">
        <f>IF(O4187="","",IF(O4187&gt;0,1,0))</f>
        <v/>
      </c>
    </row>
    <row r="4188">
      <c r="A4188" s="5" t="n">
        <v>1191000000</v>
      </c>
      <c r="B4188" s="5" t="inlineStr">
        <is>
          <t>101969</t>
        </is>
      </c>
      <c r="C4188" s="5" t="inlineStr">
        <is>
          <t>SECRETARIA DE ESTADO DA FAZENDA RN</t>
        </is>
      </c>
      <c r="D4188" s="5" t="inlineStr">
        <is>
          <t>UE</t>
        </is>
      </c>
      <c r="E4188" s="5" t="n">
        <v>200033022</v>
      </c>
      <c r="F4188" s="5" t="inlineStr">
        <is>
          <t>24420</t>
        </is>
      </c>
      <c r="G4188" s="5" t="inlineStr">
        <is>
          <t>BRL</t>
        </is>
      </c>
      <c r="H4188" s="9" t="n">
        <v>16.66</v>
      </c>
      <c r="I4188" s="16" t="n">
        <v>44881</v>
      </c>
      <c r="J4188" s="16" t="n">
        <v>44881</v>
      </c>
      <c r="K4188" s="5" t="inlineStr">
        <is>
          <t>874002</t>
        </is>
      </c>
      <c r="L4188" s="5" t="inlineStr">
        <is>
          <t>407000.110501</t>
        </is>
      </c>
      <c r="M4188" s="5">
        <f>IF(YEAR(I4188)&lt;=2020,"Até 2020",TEXT(YEAR(I4188),"0"))</f>
        <v/>
      </c>
      <c r="N4188" s="5">
        <f>IFERROR(INDEX(DePara!$A:$A,MATCH(TEXT(B4188,"0"),DePara!$D:$D,0)),"(sem categoria)")</f>
        <v/>
      </c>
      <c r="O4188" s="5">
        <f>IF(J4188="","",Parametros!$B$6-J4188)</f>
        <v/>
      </c>
      <c r="P4188" s="5">
        <f>IF(O4188="","",IF(O4188&gt;0,1,0))</f>
        <v/>
      </c>
    </row>
    <row r="4189">
      <c r="A4189" s="5" t="n">
        <v>1191000000</v>
      </c>
      <c r="B4189" s="5" t="inlineStr">
        <is>
          <t>101969</t>
        </is>
      </c>
      <c r="C4189" s="5" t="inlineStr">
        <is>
          <t>SECRETARIA DE ESTADO DA FAZENDA RN</t>
        </is>
      </c>
      <c r="D4189" s="5" t="inlineStr">
        <is>
          <t>UE</t>
        </is>
      </c>
      <c r="E4189" s="5" t="n">
        <v>200033023</v>
      </c>
      <c r="F4189" s="5" t="inlineStr">
        <is>
          <t>24421</t>
        </is>
      </c>
      <c r="G4189" s="5" t="inlineStr">
        <is>
          <t>BRL</t>
        </is>
      </c>
      <c r="H4189" s="9" t="n">
        <v>498.67</v>
      </c>
      <c r="I4189" s="16" t="n">
        <v>44939</v>
      </c>
      <c r="J4189" s="16" t="n">
        <v>44939</v>
      </c>
      <c r="K4189" s="5" t="inlineStr">
        <is>
          <t>1139.</t>
        </is>
      </c>
      <c r="L4189" s="5" t="inlineStr">
        <is>
          <t>407000.110501</t>
        </is>
      </c>
      <c r="M4189" s="5">
        <f>IF(YEAR(I4189)&lt;=2020,"Até 2020",TEXT(YEAR(I4189),"0"))</f>
        <v/>
      </c>
      <c r="N4189" s="5">
        <f>IFERROR(INDEX(DePara!$A:$A,MATCH(TEXT(B4189,"0"),DePara!$D:$D,0)),"(sem categoria)")</f>
        <v/>
      </c>
      <c r="O4189" s="5">
        <f>IF(J4189="","",Parametros!$B$6-J4189)</f>
        <v/>
      </c>
      <c r="P4189" s="5">
        <f>IF(O4189="","",IF(O4189&gt;0,1,0))</f>
        <v/>
      </c>
    </row>
    <row r="4190">
      <c r="A4190" s="5" t="n">
        <v>1191000000</v>
      </c>
      <c r="B4190" s="5" t="inlineStr">
        <is>
          <t>101969</t>
        </is>
      </c>
      <c r="C4190" s="5" t="inlineStr">
        <is>
          <t>SECRETARIA DE ESTADO DA FAZENDA RN</t>
        </is>
      </c>
      <c r="D4190" s="5" t="inlineStr">
        <is>
          <t>UE</t>
        </is>
      </c>
      <c r="E4190" s="5" t="n">
        <v>200033024</v>
      </c>
      <c r="F4190" s="5" t="inlineStr">
        <is>
          <t>24422</t>
        </is>
      </c>
      <c r="G4190" s="5" t="inlineStr">
        <is>
          <t>BRL</t>
        </is>
      </c>
      <c r="H4190" s="9" t="n">
        <v>498.67</v>
      </c>
      <c r="I4190" s="16" t="n">
        <v>44939</v>
      </c>
      <c r="J4190" s="16" t="n">
        <v>44939</v>
      </c>
      <c r="K4190" s="5" t="inlineStr">
        <is>
          <t>11399.</t>
        </is>
      </c>
      <c r="L4190" s="5" t="inlineStr">
        <is>
          <t>407000.110501</t>
        </is>
      </c>
      <c r="M4190" s="5">
        <f>IF(YEAR(I4190)&lt;=2020,"Até 2020",TEXT(YEAR(I4190),"0"))</f>
        <v/>
      </c>
      <c r="N4190" s="5">
        <f>IFERROR(INDEX(DePara!$A:$A,MATCH(TEXT(B4190,"0"),DePara!$D:$D,0)),"(sem categoria)")</f>
        <v/>
      </c>
      <c r="O4190" s="5">
        <f>IF(J4190="","",Parametros!$B$6-J4190)</f>
        <v/>
      </c>
      <c r="P4190" s="5">
        <f>IF(O4190="","",IF(O4190&gt;0,1,0))</f>
        <v/>
      </c>
    </row>
    <row r="4191">
      <c r="A4191" s="5" t="n">
        <v>1191000000</v>
      </c>
      <c r="B4191" s="5" t="inlineStr">
        <is>
          <t>101969</t>
        </is>
      </c>
      <c r="C4191" s="5" t="inlineStr">
        <is>
          <t>SECRETARIA DE ESTADO DA FAZENDA RN</t>
        </is>
      </c>
      <c r="D4191" s="5" t="inlineStr">
        <is>
          <t>UE</t>
        </is>
      </c>
      <c r="E4191" s="5" t="n">
        <v>200033025</v>
      </c>
      <c r="F4191" s="5" t="inlineStr">
        <is>
          <t>24423</t>
        </is>
      </c>
      <c r="G4191" s="5" t="inlineStr">
        <is>
          <t>BRL</t>
        </is>
      </c>
      <c r="H4191" s="9" t="n">
        <v>504.35</v>
      </c>
      <c r="I4191" s="16" t="n">
        <v>44939</v>
      </c>
      <c r="J4191" s="16" t="n">
        <v>44939</v>
      </c>
      <c r="K4191" s="5" t="inlineStr">
        <is>
          <t>10679.</t>
        </is>
      </c>
      <c r="L4191" s="5" t="inlineStr">
        <is>
          <t>407000.110501</t>
        </is>
      </c>
      <c r="M4191" s="5">
        <f>IF(YEAR(I4191)&lt;=2020,"Até 2020",TEXT(YEAR(I4191),"0"))</f>
        <v/>
      </c>
      <c r="N4191" s="5">
        <f>IFERROR(INDEX(DePara!$A:$A,MATCH(TEXT(B4191,"0"),DePara!$D:$D,0)),"(sem categoria)")</f>
        <v/>
      </c>
      <c r="O4191" s="5">
        <f>IF(J4191="","",Parametros!$B$6-J4191)</f>
        <v/>
      </c>
      <c r="P4191" s="5">
        <f>IF(O4191="","",IF(O4191&gt;0,1,0))</f>
        <v/>
      </c>
    </row>
    <row r="4192">
      <c r="A4192" s="5" t="n">
        <v>1191000000</v>
      </c>
      <c r="B4192" s="5" t="inlineStr">
        <is>
          <t>101969</t>
        </is>
      </c>
      <c r="C4192" s="5" t="inlineStr">
        <is>
          <t>SECRETARIA DE ESTADO DA FAZENDA RN</t>
        </is>
      </c>
      <c r="D4192" s="5" t="inlineStr">
        <is>
          <t>UE</t>
        </is>
      </c>
      <c r="E4192" s="5" t="n">
        <v>200033026</v>
      </c>
      <c r="F4192" s="5" t="inlineStr">
        <is>
          <t>24424</t>
        </is>
      </c>
      <c r="G4192" s="5" t="inlineStr">
        <is>
          <t>BRL</t>
        </is>
      </c>
      <c r="H4192" s="9" t="n">
        <v>553.1</v>
      </c>
      <c r="I4192" s="16" t="n">
        <v>44939</v>
      </c>
      <c r="J4192" s="16" t="n">
        <v>44939</v>
      </c>
      <c r="K4192" s="5" t="inlineStr">
        <is>
          <t>2804</t>
        </is>
      </c>
      <c r="L4192" s="5" t="inlineStr">
        <is>
          <t>407000.110501</t>
        </is>
      </c>
      <c r="M4192" s="5">
        <f>IF(YEAR(I4192)&lt;=2020,"Até 2020",TEXT(YEAR(I4192),"0"))</f>
        <v/>
      </c>
      <c r="N4192" s="5">
        <f>IFERROR(INDEX(DePara!$A:$A,MATCH(TEXT(B4192,"0"),DePara!$D:$D,0)),"(sem categoria)")</f>
        <v/>
      </c>
      <c r="O4192" s="5">
        <f>IF(J4192="","",Parametros!$B$6-J4192)</f>
        <v/>
      </c>
      <c r="P4192" s="5">
        <f>IF(O4192="","",IF(O4192&gt;0,1,0))</f>
        <v/>
      </c>
    </row>
    <row r="4193">
      <c r="A4193" s="5" t="n">
        <v>1191000000</v>
      </c>
      <c r="B4193" s="5" t="inlineStr">
        <is>
          <t>101969</t>
        </is>
      </c>
      <c r="C4193" s="5" t="inlineStr">
        <is>
          <t>SECRETARIA DE ESTADO DA FAZENDA RN</t>
        </is>
      </c>
      <c r="D4193" s="5" t="inlineStr">
        <is>
          <t>UE</t>
        </is>
      </c>
      <c r="E4193" s="5" t="n">
        <v>200033027</v>
      </c>
      <c r="F4193" s="5" t="inlineStr">
        <is>
          <t>24425</t>
        </is>
      </c>
      <c r="G4193" s="5" t="inlineStr">
        <is>
          <t>BRL</t>
        </is>
      </c>
      <c r="H4193" s="9" t="n">
        <v>1466.28</v>
      </c>
      <c r="I4193" s="16" t="n">
        <v>44944</v>
      </c>
      <c r="J4193" s="16" t="n">
        <v>44944</v>
      </c>
      <c r="K4193" s="5" t="inlineStr">
        <is>
          <t>1134.</t>
        </is>
      </c>
      <c r="L4193" s="5" t="inlineStr">
        <is>
          <t>407000.110501</t>
        </is>
      </c>
      <c r="M4193" s="5">
        <f>IF(YEAR(I4193)&lt;=2020,"Até 2020",TEXT(YEAR(I4193),"0"))</f>
        <v/>
      </c>
      <c r="N4193" s="5">
        <f>IFERROR(INDEX(DePara!$A:$A,MATCH(TEXT(B4193,"0"),DePara!$D:$D,0)),"(sem categoria)")</f>
        <v/>
      </c>
      <c r="O4193" s="5">
        <f>IF(J4193="","",Parametros!$B$6-J4193)</f>
        <v/>
      </c>
      <c r="P4193" s="5">
        <f>IF(O4193="","",IF(O4193&gt;0,1,0))</f>
        <v/>
      </c>
    </row>
    <row r="4194">
      <c r="A4194" s="5" t="n">
        <v>1191000000</v>
      </c>
      <c r="B4194" s="5" t="inlineStr">
        <is>
          <t>101969</t>
        </is>
      </c>
      <c r="C4194" s="5" t="inlineStr">
        <is>
          <t>SECRETARIA DE ESTADO DA FAZENDA RN</t>
        </is>
      </c>
      <c r="D4194" s="5" t="inlineStr">
        <is>
          <t>UE</t>
        </is>
      </c>
      <c r="E4194" s="5" t="n">
        <v>200033028</v>
      </c>
      <c r="F4194" s="5" t="inlineStr">
        <is>
          <t>24426</t>
        </is>
      </c>
      <c r="G4194" s="5" t="inlineStr">
        <is>
          <t>BRL</t>
        </is>
      </c>
      <c r="H4194" s="9" t="n">
        <v>82.12</v>
      </c>
      <c r="I4194" s="16" t="n">
        <v>44944</v>
      </c>
      <c r="J4194" s="16" t="n">
        <v>44944</v>
      </c>
      <c r="K4194" s="5" t="inlineStr">
        <is>
          <t xml:space="preserve"> 1135</t>
        </is>
      </c>
      <c r="L4194" s="5" t="inlineStr">
        <is>
          <t>407000.110501</t>
        </is>
      </c>
      <c r="M4194" s="5">
        <f>IF(YEAR(I4194)&lt;=2020,"Até 2020",TEXT(YEAR(I4194),"0"))</f>
        <v/>
      </c>
      <c r="N4194" s="5">
        <f>IFERROR(INDEX(DePara!$A:$A,MATCH(TEXT(B4194,"0"),DePara!$D:$D,0)),"(sem categoria)")</f>
        <v/>
      </c>
      <c r="O4194" s="5">
        <f>IF(J4194="","",Parametros!$B$6-J4194)</f>
        <v/>
      </c>
      <c r="P4194" s="5">
        <f>IF(O4194="","",IF(O4194&gt;0,1,0))</f>
        <v/>
      </c>
    </row>
    <row r="4195">
      <c r="A4195" s="5" t="n">
        <v>1191000000</v>
      </c>
      <c r="B4195" s="5" t="inlineStr">
        <is>
          <t>102008</t>
        </is>
      </c>
      <c r="C4195" s="5" t="inlineStr">
        <is>
          <t>MUNICIPIO DE ITAREMA</t>
        </is>
      </c>
      <c r="D4195" s="5" t="inlineStr">
        <is>
          <t>UE</t>
        </is>
      </c>
      <c r="E4195" s="5" t="n">
        <v>200033029</v>
      </c>
      <c r="F4195" s="5" t="inlineStr">
        <is>
          <t>24427</t>
        </is>
      </c>
      <c r="G4195" s="5" t="inlineStr">
        <is>
          <t>BRL</t>
        </is>
      </c>
      <c r="H4195" s="9" t="n">
        <v>92.88</v>
      </c>
      <c r="I4195" s="16" t="n">
        <v>44389</v>
      </c>
      <c r="J4195" s="16" t="n">
        <v>44389</v>
      </c>
      <c r="K4195" s="5" t="inlineStr">
        <is>
          <t>365</t>
        </is>
      </c>
      <c r="L4195" s="5" t="inlineStr">
        <is>
          <t>407000.110501</t>
        </is>
      </c>
      <c r="M4195" s="5">
        <f>IF(YEAR(I4195)&lt;=2020,"Até 2020",TEXT(YEAR(I4195),"0"))</f>
        <v/>
      </c>
      <c r="N4195" s="5">
        <f>IFERROR(INDEX(DePara!$A:$A,MATCH(TEXT(B4195,"0"),DePara!$D:$D,0)),"(sem categoria)")</f>
        <v/>
      </c>
      <c r="O4195" s="5">
        <f>IF(J4195="","",Parametros!$B$6-J4195)</f>
        <v/>
      </c>
      <c r="P4195" s="5">
        <f>IF(O4195="","",IF(O4195&gt;0,1,0))</f>
        <v/>
      </c>
    </row>
    <row r="4196">
      <c r="A4196" s="5" t="n">
        <v>1191000000</v>
      </c>
      <c r="B4196" s="5" t="inlineStr">
        <is>
          <t>102030</t>
        </is>
      </c>
      <c r="C4196" s="5" t="inlineStr">
        <is>
          <t>TECON SALVADOR SA</t>
        </is>
      </c>
      <c r="D4196" s="5" t="inlineStr">
        <is>
          <t>UE</t>
        </is>
      </c>
      <c r="E4196" s="5" t="n">
        <v>200033030</v>
      </c>
      <c r="F4196" s="5" t="inlineStr">
        <is>
          <t>24428</t>
        </is>
      </c>
      <c r="G4196" s="5" t="inlineStr">
        <is>
          <t>BRL</t>
        </is>
      </c>
      <c r="H4196" s="9" t="n">
        <v>109.14</v>
      </c>
      <c r="I4196" s="16" t="n">
        <v>44697</v>
      </c>
      <c r="J4196" s="16" t="n">
        <v>44697</v>
      </c>
      <c r="K4196" s="5" t="inlineStr">
        <is>
          <t>Data Transfer TECON SALVADOR SA 24428</t>
        </is>
      </c>
      <c r="L4196" s="5" t="inlineStr">
        <is>
          <t>407000.110501</t>
        </is>
      </c>
      <c r="M4196" s="5">
        <f>IF(YEAR(I4196)&lt;=2020,"Até 2020",TEXT(YEAR(I4196),"0"))</f>
        <v/>
      </c>
      <c r="N4196" s="5">
        <f>IFERROR(INDEX(DePara!$A:$A,MATCH(TEXT(B4196,"0"),DePara!$D:$D,0)),"(sem categoria)")</f>
        <v/>
      </c>
      <c r="O4196" s="5">
        <f>IF(J4196="","",Parametros!$B$6-J4196)</f>
        <v/>
      </c>
      <c r="P4196" s="5">
        <f>IF(O4196="","",IF(O4196&gt;0,1,0))</f>
        <v/>
      </c>
    </row>
    <row r="4197">
      <c r="A4197" s="5" t="n">
        <v>1191000000</v>
      </c>
      <c r="B4197" s="5" t="inlineStr">
        <is>
          <t>102030</t>
        </is>
      </c>
      <c r="C4197" s="5" t="inlineStr">
        <is>
          <t>TECON SALVADOR SA</t>
        </is>
      </c>
      <c r="D4197" s="5" t="inlineStr">
        <is>
          <t>UE</t>
        </is>
      </c>
      <c r="E4197" s="5" t="n">
        <v>200033031</v>
      </c>
      <c r="F4197" s="5" t="inlineStr">
        <is>
          <t>24429</t>
        </is>
      </c>
      <c r="G4197" s="5" t="inlineStr">
        <is>
          <t>BRL</t>
        </is>
      </c>
      <c r="H4197" s="9" t="n">
        <v>494.92</v>
      </c>
      <c r="I4197" s="16" t="n">
        <v>44973</v>
      </c>
      <c r="J4197" s="16" t="n">
        <v>44973</v>
      </c>
      <c r="K4197" s="5" t="inlineStr">
        <is>
          <t>245259</t>
        </is>
      </c>
      <c r="L4197" s="5" t="inlineStr">
        <is>
          <t>407000.110501</t>
        </is>
      </c>
      <c r="M4197" s="5">
        <f>IF(YEAR(I4197)&lt;=2020,"Até 2020",TEXT(YEAR(I4197),"0"))</f>
        <v/>
      </c>
      <c r="N4197" s="5">
        <f>IFERROR(INDEX(DePara!$A:$A,MATCH(TEXT(B4197,"0"),DePara!$D:$D,0)),"(sem categoria)")</f>
        <v/>
      </c>
      <c r="O4197" s="5">
        <f>IF(J4197="","",Parametros!$B$6-J4197)</f>
        <v/>
      </c>
      <c r="P4197" s="5">
        <f>IF(O4197="","",IF(O4197&gt;0,1,0))</f>
        <v/>
      </c>
    </row>
    <row r="4198">
      <c r="A4198" s="5" t="n">
        <v>1191000000</v>
      </c>
      <c r="B4198" s="5" t="inlineStr">
        <is>
          <t>102030</t>
        </is>
      </c>
      <c r="C4198" s="5" t="inlineStr">
        <is>
          <t>TECON SALVADOR SA</t>
        </is>
      </c>
      <c r="D4198" s="5" t="inlineStr">
        <is>
          <t>UE</t>
        </is>
      </c>
      <c r="E4198" s="5" t="n">
        <v>200033033</v>
      </c>
      <c r="F4198" s="5" t="inlineStr">
        <is>
          <t>24431</t>
        </is>
      </c>
      <c r="G4198" s="5" t="inlineStr">
        <is>
          <t>BRL</t>
        </is>
      </c>
      <c r="H4198" s="9" t="n">
        <v>813.97</v>
      </c>
      <c r="I4198" s="16" t="n">
        <v>44973</v>
      </c>
      <c r="J4198" s="16" t="n">
        <v>44973</v>
      </c>
      <c r="K4198" s="5" t="inlineStr">
        <is>
          <t>245250</t>
        </is>
      </c>
      <c r="L4198" s="5" t="inlineStr">
        <is>
          <t>407000.110501</t>
        </is>
      </c>
      <c r="M4198" s="5">
        <f>IF(YEAR(I4198)&lt;=2020,"Até 2020",TEXT(YEAR(I4198),"0"))</f>
        <v/>
      </c>
      <c r="N4198" s="5">
        <f>IFERROR(INDEX(DePara!$A:$A,MATCH(TEXT(B4198,"0"),DePara!$D:$D,0)),"(sem categoria)")</f>
        <v/>
      </c>
      <c r="O4198" s="5">
        <f>IF(J4198="","",Parametros!$B$6-J4198)</f>
        <v/>
      </c>
      <c r="P4198" s="5">
        <f>IF(O4198="","",IF(O4198&gt;0,1,0))</f>
        <v/>
      </c>
    </row>
    <row r="4199">
      <c r="A4199" s="5" t="n">
        <v>1191000000</v>
      </c>
      <c r="B4199" s="5" t="inlineStr">
        <is>
          <t>102030</t>
        </is>
      </c>
      <c r="C4199" s="5" t="inlineStr">
        <is>
          <t>TECON SALVADOR SA</t>
        </is>
      </c>
      <c r="D4199" s="5" t="inlineStr">
        <is>
          <t>UE</t>
        </is>
      </c>
      <c r="E4199" s="5" t="n">
        <v>200033034</v>
      </c>
      <c r="F4199" s="5" t="inlineStr">
        <is>
          <t>24432</t>
        </is>
      </c>
      <c r="G4199" s="5" t="inlineStr">
        <is>
          <t>BRL</t>
        </is>
      </c>
      <c r="H4199" s="9" t="n">
        <v>813.97</v>
      </c>
      <c r="I4199" s="16" t="n">
        <v>44973</v>
      </c>
      <c r="J4199" s="16" t="n">
        <v>44973</v>
      </c>
      <c r="K4199" s="5" t="inlineStr">
        <is>
          <t>245293</t>
        </is>
      </c>
      <c r="L4199" s="5" t="inlineStr">
        <is>
          <t>407000.110501</t>
        </is>
      </c>
      <c r="M4199" s="5">
        <f>IF(YEAR(I4199)&lt;=2020,"Até 2020",TEXT(YEAR(I4199),"0"))</f>
        <v/>
      </c>
      <c r="N4199" s="5">
        <f>IFERROR(INDEX(DePara!$A:$A,MATCH(TEXT(B4199,"0"),DePara!$D:$D,0)),"(sem categoria)")</f>
        <v/>
      </c>
      <c r="O4199" s="5">
        <f>IF(J4199="","",Parametros!$B$6-J4199)</f>
        <v/>
      </c>
      <c r="P4199" s="5">
        <f>IF(O4199="","",IF(O4199&gt;0,1,0))</f>
        <v/>
      </c>
    </row>
    <row r="4200">
      <c r="A4200" s="5" t="n">
        <v>1191000000</v>
      </c>
      <c r="B4200" s="5" t="inlineStr">
        <is>
          <t>102030</t>
        </is>
      </c>
      <c r="C4200" s="5" t="inlineStr">
        <is>
          <t>TECON SALVADOR SA</t>
        </is>
      </c>
      <c r="D4200" s="5" t="inlineStr">
        <is>
          <t>UE</t>
        </is>
      </c>
      <c r="E4200" s="5" t="n">
        <v>200033035</v>
      </c>
      <c r="F4200" s="5" t="inlineStr">
        <is>
          <t>24433</t>
        </is>
      </c>
      <c r="G4200" s="5" t="inlineStr">
        <is>
          <t>BRL</t>
        </is>
      </c>
      <c r="H4200" s="9" t="n">
        <v>851.95</v>
      </c>
      <c r="I4200" s="16" t="n">
        <v>44973</v>
      </c>
      <c r="J4200" s="16" t="n">
        <v>44973</v>
      </c>
      <c r="K4200" s="5" t="inlineStr">
        <is>
          <t>245252</t>
        </is>
      </c>
      <c r="L4200" s="5" t="inlineStr">
        <is>
          <t>407000.110501</t>
        </is>
      </c>
      <c r="M4200" s="5">
        <f>IF(YEAR(I4200)&lt;=2020,"Até 2020",TEXT(YEAR(I4200),"0"))</f>
        <v/>
      </c>
      <c r="N4200" s="5">
        <f>IFERROR(INDEX(DePara!$A:$A,MATCH(TEXT(B4200,"0"),DePara!$D:$D,0)),"(sem categoria)")</f>
        <v/>
      </c>
      <c r="O4200" s="5">
        <f>IF(J4200="","",Parametros!$B$6-J4200)</f>
        <v/>
      </c>
      <c r="P4200" s="5">
        <f>IF(O4200="","",IF(O4200&gt;0,1,0))</f>
        <v/>
      </c>
    </row>
    <row r="4201">
      <c r="A4201" s="5" t="n">
        <v>1191000000</v>
      </c>
      <c r="B4201" s="5" t="inlineStr">
        <is>
          <t>102030</t>
        </is>
      </c>
      <c r="C4201" s="5" t="inlineStr">
        <is>
          <t>TECON SALVADOR SA</t>
        </is>
      </c>
      <c r="D4201" s="5" t="inlineStr">
        <is>
          <t>UE</t>
        </is>
      </c>
      <c r="E4201" s="5" t="n">
        <v>200033036</v>
      </c>
      <c r="F4201" s="5" t="inlineStr">
        <is>
          <t>24434</t>
        </is>
      </c>
      <c r="G4201" s="5" t="inlineStr">
        <is>
          <t>BRL</t>
        </is>
      </c>
      <c r="H4201" s="9" t="n">
        <v>947.16</v>
      </c>
      <c r="I4201" s="16" t="n">
        <v>44973</v>
      </c>
      <c r="J4201" s="16" t="n">
        <v>44973</v>
      </c>
      <c r="K4201" s="5" t="inlineStr">
        <is>
          <t>245260</t>
        </is>
      </c>
      <c r="L4201" s="5" t="inlineStr">
        <is>
          <t>407000.110501</t>
        </is>
      </c>
      <c r="M4201" s="5">
        <f>IF(YEAR(I4201)&lt;=2020,"Até 2020",TEXT(YEAR(I4201),"0"))</f>
        <v/>
      </c>
      <c r="N4201" s="5">
        <f>IFERROR(INDEX(DePara!$A:$A,MATCH(TEXT(B4201,"0"),DePara!$D:$D,0)),"(sem categoria)")</f>
        <v/>
      </c>
      <c r="O4201" s="5">
        <f>IF(J4201="","",Parametros!$B$6-J4201)</f>
        <v/>
      </c>
      <c r="P4201" s="5">
        <f>IF(O4201="","",IF(O4201&gt;0,1,0))</f>
        <v/>
      </c>
    </row>
    <row r="4202">
      <c r="A4202" s="5" t="n">
        <v>1191000000</v>
      </c>
      <c r="B4202" s="5" t="inlineStr">
        <is>
          <t>102030</t>
        </is>
      </c>
      <c r="C4202" s="5" t="inlineStr">
        <is>
          <t>TECON SALVADOR SA</t>
        </is>
      </c>
      <c r="D4202" s="5" t="inlineStr">
        <is>
          <t>UE</t>
        </is>
      </c>
      <c r="E4202" s="5" t="n">
        <v>200033037</v>
      </c>
      <c r="F4202" s="5" t="inlineStr">
        <is>
          <t>24435</t>
        </is>
      </c>
      <c r="G4202" s="5" t="inlineStr">
        <is>
          <t>BRL</t>
        </is>
      </c>
      <c r="H4202" s="9" t="n">
        <v>1820.87</v>
      </c>
      <c r="I4202" s="16" t="n">
        <v>44973</v>
      </c>
      <c r="J4202" s="16" t="n">
        <v>44973</v>
      </c>
      <c r="K4202" s="5" t="inlineStr">
        <is>
          <t>245292</t>
        </is>
      </c>
      <c r="L4202" s="5" t="inlineStr">
        <is>
          <t>407000.110501</t>
        </is>
      </c>
      <c r="M4202" s="5">
        <f>IF(YEAR(I4202)&lt;=2020,"Até 2020",TEXT(YEAR(I4202),"0"))</f>
        <v/>
      </c>
      <c r="N4202" s="5">
        <f>IFERROR(INDEX(DePara!$A:$A,MATCH(TEXT(B4202,"0"),DePara!$D:$D,0)),"(sem categoria)")</f>
        <v/>
      </c>
      <c r="O4202" s="5">
        <f>IF(J4202="","",Parametros!$B$6-J4202)</f>
        <v/>
      </c>
      <c r="P4202" s="5">
        <f>IF(O4202="","",IF(O4202&gt;0,1,0))</f>
        <v/>
      </c>
    </row>
    <row r="4203">
      <c r="A4203" s="5" t="n">
        <v>1191000000</v>
      </c>
      <c r="B4203" s="5" t="inlineStr">
        <is>
          <t>102030</t>
        </is>
      </c>
      <c r="C4203" s="5" t="inlineStr">
        <is>
          <t>TECON SALVADOR SA</t>
        </is>
      </c>
      <c r="D4203" s="5" t="inlineStr">
        <is>
          <t>UE</t>
        </is>
      </c>
      <c r="E4203" s="5" t="n">
        <v>200033038</v>
      </c>
      <c r="F4203" s="5" t="inlineStr">
        <is>
          <t>24436</t>
        </is>
      </c>
      <c r="G4203" s="5" t="inlineStr">
        <is>
          <t>BRL</t>
        </is>
      </c>
      <c r="H4203" s="9" t="n">
        <v>3253.63</v>
      </c>
      <c r="I4203" s="16" t="n">
        <v>44973</v>
      </c>
      <c r="J4203" s="16" t="n">
        <v>44973</v>
      </c>
      <c r="K4203" s="5" t="inlineStr">
        <is>
          <t>245294</t>
        </is>
      </c>
      <c r="L4203" s="5" t="inlineStr">
        <is>
          <t>407000.110501</t>
        </is>
      </c>
      <c r="M4203" s="5">
        <f>IF(YEAR(I4203)&lt;=2020,"Até 2020",TEXT(YEAR(I4203),"0"))</f>
        <v/>
      </c>
      <c r="N4203" s="5">
        <f>IFERROR(INDEX(DePara!$A:$A,MATCH(TEXT(B4203,"0"),DePara!$D:$D,0)),"(sem categoria)")</f>
        <v/>
      </c>
      <c r="O4203" s="5">
        <f>IF(J4203="","",Parametros!$B$6-J4203)</f>
        <v/>
      </c>
      <c r="P4203" s="5">
        <f>IF(O4203="","",IF(O4203&gt;0,1,0))</f>
        <v/>
      </c>
    </row>
    <row r="4204">
      <c r="A4204" s="5" t="n">
        <v>1191000000</v>
      </c>
      <c r="B4204" s="5" t="inlineStr">
        <is>
          <t>102030</t>
        </is>
      </c>
      <c r="C4204" s="5" t="inlineStr">
        <is>
          <t>TECON SALVADOR SA</t>
        </is>
      </c>
      <c r="D4204" s="5" t="inlineStr">
        <is>
          <t>UE</t>
        </is>
      </c>
      <c r="E4204" s="5" t="n">
        <v>200033039</v>
      </c>
      <c r="F4204" s="5" t="inlineStr">
        <is>
          <t>24437</t>
        </is>
      </c>
      <c r="G4204" s="5" t="inlineStr">
        <is>
          <t>BRL</t>
        </is>
      </c>
      <c r="H4204" s="9" t="n">
        <v>3951.44</v>
      </c>
      <c r="I4204" s="16" t="n">
        <v>44973</v>
      </c>
      <c r="J4204" s="16" t="n">
        <v>44973</v>
      </c>
      <c r="K4204" s="5" t="inlineStr">
        <is>
          <t>245251</t>
        </is>
      </c>
      <c r="L4204" s="5" t="inlineStr">
        <is>
          <t>407000.110501</t>
        </is>
      </c>
      <c r="M4204" s="5">
        <f>IF(YEAR(I4204)&lt;=2020,"Até 2020",TEXT(YEAR(I4204),"0"))</f>
        <v/>
      </c>
      <c r="N4204" s="5">
        <f>IFERROR(INDEX(DePara!$A:$A,MATCH(TEXT(B4204,"0"),DePara!$D:$D,0)),"(sem categoria)")</f>
        <v/>
      </c>
      <c r="O4204" s="5">
        <f>IF(J4204="","",Parametros!$B$6-J4204)</f>
        <v/>
      </c>
      <c r="P4204" s="5">
        <f>IF(O4204="","",IF(O4204&gt;0,1,0))</f>
        <v/>
      </c>
    </row>
    <row r="4205">
      <c r="A4205" s="5" t="n">
        <v>1191000000</v>
      </c>
      <c r="B4205" s="5" t="inlineStr">
        <is>
          <t>102030</t>
        </is>
      </c>
      <c r="C4205" s="5" t="inlineStr">
        <is>
          <t>TECON SALVADOR SA</t>
        </is>
      </c>
      <c r="D4205" s="5" t="inlineStr">
        <is>
          <t>UE</t>
        </is>
      </c>
      <c r="E4205" s="5" t="n">
        <v>200033041</v>
      </c>
      <c r="F4205" s="5" t="inlineStr">
        <is>
          <t>24439</t>
        </is>
      </c>
      <c r="G4205" s="5" t="inlineStr">
        <is>
          <t>BRL</t>
        </is>
      </c>
      <c r="H4205" s="9" t="n">
        <v>4881.78</v>
      </c>
      <c r="I4205" s="16" t="n">
        <v>44973</v>
      </c>
      <c r="J4205" s="16" t="n">
        <v>44973</v>
      </c>
      <c r="K4205" s="5" t="inlineStr">
        <is>
          <t>245262</t>
        </is>
      </c>
      <c r="L4205" s="5" t="inlineStr">
        <is>
          <t>407000.110501</t>
        </is>
      </c>
      <c r="M4205" s="5">
        <f>IF(YEAR(I4205)&lt;=2020,"Até 2020",TEXT(YEAR(I4205),"0"))</f>
        <v/>
      </c>
      <c r="N4205" s="5">
        <f>IFERROR(INDEX(DePara!$A:$A,MATCH(TEXT(B4205,"0"),DePara!$D:$D,0)),"(sem categoria)")</f>
        <v/>
      </c>
      <c r="O4205" s="5">
        <f>IF(J4205="","",Parametros!$B$6-J4205)</f>
        <v/>
      </c>
      <c r="P4205" s="5">
        <f>IF(O4205="","",IF(O4205&gt;0,1,0))</f>
        <v/>
      </c>
    </row>
    <row r="4206">
      <c r="A4206" s="5" t="n">
        <v>1191000000</v>
      </c>
      <c r="B4206" s="5" t="inlineStr">
        <is>
          <t>102030</t>
        </is>
      </c>
      <c r="C4206" s="5" t="inlineStr">
        <is>
          <t>TECON SALVADOR SA</t>
        </is>
      </c>
      <c r="D4206" s="5" t="inlineStr">
        <is>
          <t>UE</t>
        </is>
      </c>
      <c r="E4206" s="5" t="n">
        <v>200033043</v>
      </c>
      <c r="F4206" s="5" t="inlineStr">
        <is>
          <t>24441</t>
        </is>
      </c>
      <c r="G4206" s="5" t="inlineStr">
        <is>
          <t>BRL</t>
        </is>
      </c>
      <c r="H4206" s="9" t="n">
        <v>7292.41</v>
      </c>
      <c r="I4206" s="16" t="n">
        <v>44973</v>
      </c>
      <c r="J4206" s="16" t="n">
        <v>44973</v>
      </c>
      <c r="K4206" s="5" t="inlineStr">
        <is>
          <t>245258</t>
        </is>
      </c>
      <c r="L4206" s="5" t="inlineStr">
        <is>
          <t>407000.110501</t>
        </is>
      </c>
      <c r="M4206" s="5">
        <f>IF(YEAR(I4206)&lt;=2020,"Até 2020",TEXT(YEAR(I4206),"0"))</f>
        <v/>
      </c>
      <c r="N4206" s="5">
        <f>IFERROR(INDEX(DePara!$A:$A,MATCH(TEXT(B4206,"0"),DePara!$D:$D,0)),"(sem categoria)")</f>
        <v/>
      </c>
      <c r="O4206" s="5">
        <f>IF(J4206="","",Parametros!$B$6-J4206)</f>
        <v/>
      </c>
      <c r="P4206" s="5">
        <f>IF(O4206="","",IF(O4206&gt;0,1,0))</f>
        <v/>
      </c>
    </row>
    <row r="4207">
      <c r="A4207" s="5" t="n">
        <v>1191000000</v>
      </c>
      <c r="B4207" s="5" t="inlineStr">
        <is>
          <t>102030</t>
        </is>
      </c>
      <c r="C4207" s="5" t="inlineStr">
        <is>
          <t>TECON SALVADOR SA</t>
        </is>
      </c>
      <c r="D4207" s="5" t="inlineStr">
        <is>
          <t>UE</t>
        </is>
      </c>
      <c r="E4207" s="5" t="n">
        <v>200033045</v>
      </c>
      <c r="F4207" s="5" t="inlineStr">
        <is>
          <t>24443</t>
        </is>
      </c>
      <c r="G4207" s="5" t="inlineStr">
        <is>
          <t>BRL</t>
        </is>
      </c>
      <c r="H4207" s="9" t="n">
        <v>9760.879999999999</v>
      </c>
      <c r="I4207" s="16" t="n">
        <v>44973</v>
      </c>
      <c r="J4207" s="16" t="n">
        <v>44973</v>
      </c>
      <c r="K4207" s="5" t="inlineStr">
        <is>
          <t>245253</t>
        </is>
      </c>
      <c r="L4207" s="5" t="inlineStr">
        <is>
          <t>407000.110501</t>
        </is>
      </c>
      <c r="M4207" s="5">
        <f>IF(YEAR(I4207)&lt;=2020,"Até 2020",TEXT(YEAR(I4207),"0"))</f>
        <v/>
      </c>
      <c r="N4207" s="5">
        <f>IFERROR(INDEX(DePara!$A:$A,MATCH(TEXT(B4207,"0"),DePara!$D:$D,0)),"(sem categoria)")</f>
        <v/>
      </c>
      <c r="O4207" s="5">
        <f>IF(J4207="","",Parametros!$B$6-J4207)</f>
        <v/>
      </c>
      <c r="P4207" s="5">
        <f>IF(O4207="","",IF(O4207&gt;0,1,0))</f>
        <v/>
      </c>
    </row>
    <row r="4208">
      <c r="A4208" s="5" t="n">
        <v>1191000000</v>
      </c>
      <c r="B4208" s="5" t="inlineStr">
        <is>
          <t>102030</t>
        </is>
      </c>
      <c r="C4208" s="5" t="inlineStr">
        <is>
          <t>TECON SALVADOR SA</t>
        </is>
      </c>
      <c r="D4208" s="5" t="inlineStr">
        <is>
          <t>UE</t>
        </is>
      </c>
      <c r="E4208" s="5" t="n">
        <v>200033049</v>
      </c>
      <c r="F4208" s="5" t="inlineStr">
        <is>
          <t>24447</t>
        </is>
      </c>
      <c r="G4208" s="5" t="inlineStr">
        <is>
          <t>BRL</t>
        </is>
      </c>
      <c r="H4208" s="9" t="n">
        <v>366.55</v>
      </c>
      <c r="I4208" s="16" t="n">
        <v>44974</v>
      </c>
      <c r="J4208" s="16" t="n">
        <v>44974</v>
      </c>
      <c r="K4208" s="5" t="inlineStr">
        <is>
          <t>245396</t>
        </is>
      </c>
      <c r="L4208" s="5" t="inlineStr">
        <is>
          <t>407000.110501</t>
        </is>
      </c>
      <c r="M4208" s="5">
        <f>IF(YEAR(I4208)&lt;=2020,"Até 2020",TEXT(YEAR(I4208),"0"))</f>
        <v/>
      </c>
      <c r="N4208" s="5">
        <f>IFERROR(INDEX(DePara!$A:$A,MATCH(TEXT(B4208,"0"),DePara!$D:$D,0)),"(sem categoria)")</f>
        <v/>
      </c>
      <c r="O4208" s="5">
        <f>IF(J4208="","",Parametros!$B$6-J4208)</f>
        <v/>
      </c>
      <c r="P4208" s="5">
        <f>IF(O4208="","",IF(O4208&gt;0,1,0))</f>
        <v/>
      </c>
    </row>
    <row r="4209">
      <c r="A4209" s="5" t="n">
        <v>1191000000</v>
      </c>
      <c r="B4209" s="5" t="inlineStr">
        <is>
          <t>102030</t>
        </is>
      </c>
      <c r="C4209" s="5" t="inlineStr">
        <is>
          <t>TECON SALVADOR SA</t>
        </is>
      </c>
      <c r="D4209" s="5" t="inlineStr">
        <is>
          <t>UE</t>
        </is>
      </c>
      <c r="E4209" s="5" t="n">
        <v>200033051</v>
      </c>
      <c r="F4209" s="5" t="inlineStr">
        <is>
          <t>24449</t>
        </is>
      </c>
      <c r="G4209" s="5" t="inlineStr">
        <is>
          <t>BRL</t>
        </is>
      </c>
      <c r="H4209" s="9" t="n">
        <v>3778.85</v>
      </c>
      <c r="I4209" s="16" t="n">
        <v>44974</v>
      </c>
      <c r="J4209" s="16" t="n">
        <v>44974</v>
      </c>
      <c r="K4209" s="5" t="inlineStr">
        <is>
          <t>245395</t>
        </is>
      </c>
      <c r="L4209" s="5" t="inlineStr">
        <is>
          <t>407000.110501</t>
        </is>
      </c>
      <c r="M4209" s="5">
        <f>IF(YEAR(I4209)&lt;=2020,"Até 2020",TEXT(YEAR(I4209),"0"))</f>
        <v/>
      </c>
      <c r="N4209" s="5">
        <f>IFERROR(INDEX(DePara!$A:$A,MATCH(TEXT(B4209,"0"),DePara!$D:$D,0)),"(sem categoria)")</f>
        <v/>
      </c>
      <c r="O4209" s="5">
        <f>IF(J4209="","",Parametros!$B$6-J4209)</f>
        <v/>
      </c>
      <c r="P4209" s="5">
        <f>IF(O4209="","",IF(O4209&gt;0,1,0))</f>
        <v/>
      </c>
    </row>
    <row r="4210">
      <c r="A4210" s="5" t="n">
        <v>1191000000</v>
      </c>
      <c r="B4210" s="5" t="inlineStr">
        <is>
          <t>102030</t>
        </is>
      </c>
      <c r="C4210" s="5" t="inlineStr">
        <is>
          <t>TECON SALVADOR SA</t>
        </is>
      </c>
      <c r="D4210" s="5" t="inlineStr">
        <is>
          <t>UE</t>
        </is>
      </c>
      <c r="E4210" s="5" t="n">
        <v>200033053</v>
      </c>
      <c r="F4210" s="5" t="inlineStr">
        <is>
          <t>24451</t>
        </is>
      </c>
      <c r="G4210" s="5" t="inlineStr">
        <is>
          <t>BRL</t>
        </is>
      </c>
      <c r="H4210" s="9" t="n">
        <v>66390.91</v>
      </c>
      <c r="I4210" s="16" t="n">
        <v>44974</v>
      </c>
      <c r="J4210" s="16" t="n">
        <v>44974</v>
      </c>
      <c r="K4210" s="5" t="inlineStr">
        <is>
          <t>245393</t>
        </is>
      </c>
      <c r="L4210" s="5" t="inlineStr">
        <is>
          <t>407000.110501</t>
        </is>
      </c>
      <c r="M4210" s="5">
        <f>IF(YEAR(I4210)&lt;=2020,"Até 2020",TEXT(YEAR(I4210),"0"))</f>
        <v/>
      </c>
      <c r="N4210" s="5">
        <f>IFERROR(INDEX(DePara!$A:$A,MATCH(TEXT(B4210,"0"),DePara!$D:$D,0)),"(sem categoria)")</f>
        <v/>
      </c>
      <c r="O4210" s="5">
        <f>IF(J4210="","",Parametros!$B$6-J4210)</f>
        <v/>
      </c>
      <c r="P4210" s="5">
        <f>IF(O4210="","",IF(O4210&gt;0,1,0))</f>
        <v/>
      </c>
    </row>
    <row r="4211">
      <c r="A4211" s="5" t="n">
        <v>1191000000</v>
      </c>
      <c r="B4211" s="5" t="inlineStr">
        <is>
          <t>102030</t>
        </is>
      </c>
      <c r="C4211" s="5" t="inlineStr">
        <is>
          <t>TECON SALVADOR SA</t>
        </is>
      </c>
      <c r="D4211" s="5" t="inlineStr">
        <is>
          <t>UE</t>
        </is>
      </c>
      <c r="E4211" s="5" t="n">
        <v>200033055</v>
      </c>
      <c r="F4211" s="5" t="inlineStr">
        <is>
          <t>24453</t>
        </is>
      </c>
      <c r="G4211" s="5" t="inlineStr">
        <is>
          <t>BRL</t>
        </is>
      </c>
      <c r="H4211" s="9" t="n">
        <v>5005.73</v>
      </c>
      <c r="I4211" s="16" t="n">
        <v>44999</v>
      </c>
      <c r="J4211" s="16" t="n">
        <v>44999</v>
      </c>
      <c r="K4211" s="5" t="inlineStr">
        <is>
          <t>247394</t>
        </is>
      </c>
      <c r="L4211" s="5" t="inlineStr">
        <is>
          <t>407000.110501</t>
        </is>
      </c>
      <c r="M4211" s="5">
        <f>IF(YEAR(I4211)&lt;=2020,"Até 2020",TEXT(YEAR(I4211),"0"))</f>
        <v/>
      </c>
      <c r="N4211" s="5">
        <f>IFERROR(INDEX(DePara!$A:$A,MATCH(TEXT(B4211,"0"),DePara!$D:$D,0)),"(sem categoria)")</f>
        <v/>
      </c>
      <c r="O4211" s="5">
        <f>IF(J4211="","",Parametros!$B$6-J4211)</f>
        <v/>
      </c>
      <c r="P4211" s="5">
        <f>IF(O4211="","",IF(O4211&gt;0,1,0))</f>
        <v/>
      </c>
    </row>
    <row r="4212">
      <c r="A4212" s="5" t="n">
        <v>1191000000</v>
      </c>
      <c r="B4212" s="5" t="inlineStr">
        <is>
          <t>102030</t>
        </is>
      </c>
      <c r="C4212" s="5" t="inlineStr">
        <is>
          <t>TECON SALVADOR SA</t>
        </is>
      </c>
      <c r="D4212" s="5" t="inlineStr">
        <is>
          <t>UE</t>
        </is>
      </c>
      <c r="E4212" s="5" t="n">
        <v>200033058</v>
      </c>
      <c r="F4212" s="5" t="inlineStr">
        <is>
          <t>24456</t>
        </is>
      </c>
      <c r="G4212" s="5" t="inlineStr">
        <is>
          <t>BRL</t>
        </is>
      </c>
      <c r="H4212" s="9" t="n">
        <v>621.6799999999999</v>
      </c>
      <c r="I4212" s="16" t="n">
        <v>44999</v>
      </c>
      <c r="J4212" s="16" t="n">
        <v>44999</v>
      </c>
      <c r="K4212" s="5" t="inlineStr">
        <is>
          <t>247400</t>
        </is>
      </c>
      <c r="L4212" s="5" t="inlineStr">
        <is>
          <t>407000.110501</t>
        </is>
      </c>
      <c r="M4212" s="5">
        <f>IF(YEAR(I4212)&lt;=2020,"Até 2020",TEXT(YEAR(I4212),"0"))</f>
        <v/>
      </c>
      <c r="N4212" s="5">
        <f>IFERROR(INDEX(DePara!$A:$A,MATCH(TEXT(B4212,"0"),DePara!$D:$D,0)),"(sem categoria)")</f>
        <v/>
      </c>
      <c r="O4212" s="5">
        <f>IF(J4212="","",Parametros!$B$6-J4212)</f>
        <v/>
      </c>
      <c r="P4212" s="5">
        <f>IF(O4212="","",IF(O4212&gt;0,1,0))</f>
        <v/>
      </c>
    </row>
    <row r="4213">
      <c r="A4213" s="5" t="n">
        <v>1191000000</v>
      </c>
      <c r="B4213" s="5" t="inlineStr">
        <is>
          <t>102030</t>
        </is>
      </c>
      <c r="C4213" s="5" t="inlineStr">
        <is>
          <t>TECON SALVADOR SA</t>
        </is>
      </c>
      <c r="D4213" s="5" t="inlineStr">
        <is>
          <t>UE</t>
        </is>
      </c>
      <c r="E4213" s="5" t="n">
        <v>200033059</v>
      </c>
      <c r="F4213" s="5" t="inlineStr">
        <is>
          <t>24457</t>
        </is>
      </c>
      <c r="G4213" s="5" t="inlineStr">
        <is>
          <t>BRL</t>
        </is>
      </c>
      <c r="H4213" s="9" t="n">
        <v>72162.74000000001</v>
      </c>
      <c r="I4213" s="16" t="n">
        <v>44999</v>
      </c>
      <c r="J4213" s="16" t="n">
        <v>44999</v>
      </c>
      <c r="K4213" s="5" t="inlineStr">
        <is>
          <t>247396</t>
        </is>
      </c>
      <c r="L4213" s="5" t="inlineStr">
        <is>
          <t>407000.110501</t>
        </is>
      </c>
      <c r="M4213" s="5">
        <f>IF(YEAR(I4213)&lt;=2020,"Até 2020",TEXT(YEAR(I4213),"0"))</f>
        <v/>
      </c>
      <c r="N4213" s="5">
        <f>IFERROR(INDEX(DePara!$A:$A,MATCH(TEXT(B4213,"0"),DePara!$D:$D,0)),"(sem categoria)")</f>
        <v/>
      </c>
      <c r="O4213" s="5">
        <f>IF(J4213="","",Parametros!$B$6-J4213)</f>
        <v/>
      </c>
      <c r="P4213" s="5">
        <f>IF(O4213="","",IF(O4213&gt;0,1,0))</f>
        <v/>
      </c>
    </row>
    <row r="4214">
      <c r="A4214" s="5" t="n">
        <v>1191000000</v>
      </c>
      <c r="B4214" s="5" t="inlineStr">
        <is>
          <t>102030</t>
        </is>
      </c>
      <c r="C4214" s="5" t="inlineStr">
        <is>
          <t>TECON SALVADOR SA</t>
        </is>
      </c>
      <c r="D4214" s="5" t="inlineStr">
        <is>
          <t>UE</t>
        </is>
      </c>
      <c r="E4214" s="5" t="n">
        <v>200033060</v>
      </c>
      <c r="F4214" s="5" t="inlineStr">
        <is>
          <t>24458</t>
        </is>
      </c>
      <c r="G4214" s="5" t="inlineStr">
        <is>
          <t>BRL</t>
        </is>
      </c>
      <c r="H4214" s="9" t="n">
        <v>79.73999999999999</v>
      </c>
      <c r="I4214" s="16" t="n">
        <v>45070</v>
      </c>
      <c r="J4214" s="16" t="n">
        <v>45070</v>
      </c>
      <c r="K4214" s="5" t="inlineStr">
        <is>
          <t>247399</t>
        </is>
      </c>
      <c r="L4214" s="5" t="inlineStr">
        <is>
          <t>407000.110501</t>
        </is>
      </c>
      <c r="M4214" s="5">
        <f>IF(YEAR(I4214)&lt;=2020,"Até 2020",TEXT(YEAR(I4214),"0"))</f>
        <v/>
      </c>
      <c r="N4214" s="5">
        <f>IFERROR(INDEX(DePara!$A:$A,MATCH(TEXT(B4214,"0"),DePara!$D:$D,0)),"(sem categoria)")</f>
        <v/>
      </c>
      <c r="O4214" s="5">
        <f>IF(J4214="","",Parametros!$B$6-J4214)</f>
        <v/>
      </c>
      <c r="P4214" s="5">
        <f>IF(O4214="","",IF(O4214&gt;0,1,0))</f>
        <v/>
      </c>
    </row>
    <row r="4215">
      <c r="A4215" s="5" t="n">
        <v>1191000000</v>
      </c>
      <c r="B4215" s="5" t="inlineStr">
        <is>
          <t>102030</t>
        </is>
      </c>
      <c r="C4215" s="5" t="inlineStr">
        <is>
          <t>TECON SALVADOR SA</t>
        </is>
      </c>
      <c r="D4215" s="5" t="inlineStr">
        <is>
          <t>UE</t>
        </is>
      </c>
      <c r="E4215" s="5" t="n">
        <v>200033061</v>
      </c>
      <c r="F4215" s="5" t="inlineStr">
        <is>
          <t>24459</t>
        </is>
      </c>
      <c r="G4215" s="5" t="inlineStr">
        <is>
          <t>BRL</t>
        </is>
      </c>
      <c r="H4215" s="9" t="n">
        <v>1929.96</v>
      </c>
      <c r="I4215" s="16" t="n">
        <v>44999</v>
      </c>
      <c r="J4215" s="16" t="n">
        <v>44999</v>
      </c>
      <c r="K4215" s="5" t="inlineStr">
        <is>
          <t>247401</t>
        </is>
      </c>
      <c r="L4215" s="5" t="inlineStr">
        <is>
          <t>407000.110501</t>
        </is>
      </c>
      <c r="M4215" s="5">
        <f>IF(YEAR(I4215)&lt;=2020,"Até 2020",TEXT(YEAR(I4215),"0"))</f>
        <v/>
      </c>
      <c r="N4215" s="5">
        <f>IFERROR(INDEX(DePara!$A:$A,MATCH(TEXT(B4215,"0"),DePara!$D:$D,0)),"(sem categoria)")</f>
        <v/>
      </c>
      <c r="O4215" s="5">
        <f>IF(J4215="","",Parametros!$B$6-J4215)</f>
        <v/>
      </c>
      <c r="P4215" s="5">
        <f>IF(O4215="","",IF(O4215&gt;0,1,0))</f>
        <v/>
      </c>
    </row>
    <row r="4216">
      <c r="A4216" s="5" t="n">
        <v>1191000000</v>
      </c>
      <c r="B4216" s="5" t="inlineStr">
        <is>
          <t>102030</t>
        </is>
      </c>
      <c r="C4216" s="5" t="inlineStr">
        <is>
          <t>TECON SALVADOR SA</t>
        </is>
      </c>
      <c r="D4216" s="5" t="inlineStr">
        <is>
          <t>UE</t>
        </is>
      </c>
      <c r="E4216" s="5" t="n">
        <v>200033062</v>
      </c>
      <c r="F4216" s="5" t="inlineStr">
        <is>
          <t>24460</t>
        </is>
      </c>
      <c r="G4216" s="5" t="inlineStr">
        <is>
          <t>BRL</t>
        </is>
      </c>
      <c r="H4216" s="9" t="n">
        <v>1614.28</v>
      </c>
      <c r="I4216" s="16" t="n">
        <v>44999</v>
      </c>
      <c r="J4216" s="16" t="n">
        <v>44999</v>
      </c>
      <c r="K4216" s="5" t="inlineStr">
        <is>
          <t>247398</t>
        </is>
      </c>
      <c r="L4216" s="5" t="inlineStr">
        <is>
          <t>407000.110501</t>
        </is>
      </c>
      <c r="M4216" s="5">
        <f>IF(YEAR(I4216)&lt;=2020,"Até 2020",TEXT(YEAR(I4216),"0"))</f>
        <v/>
      </c>
      <c r="N4216" s="5">
        <f>IFERROR(INDEX(DePara!$A:$A,MATCH(TEXT(B4216,"0"),DePara!$D:$D,0)),"(sem categoria)")</f>
        <v/>
      </c>
      <c r="O4216" s="5">
        <f>IF(J4216="","",Parametros!$B$6-J4216)</f>
        <v/>
      </c>
      <c r="P4216" s="5">
        <f>IF(O4216="","",IF(O4216&gt;0,1,0))</f>
        <v/>
      </c>
    </row>
    <row r="4217">
      <c r="A4217" s="5" t="n">
        <v>1191000000</v>
      </c>
      <c r="B4217" s="5" t="inlineStr">
        <is>
          <t>102030</t>
        </is>
      </c>
      <c r="C4217" s="5" t="inlineStr">
        <is>
          <t>TECON SALVADOR SA</t>
        </is>
      </c>
      <c r="D4217" s="5" t="inlineStr">
        <is>
          <t>UE</t>
        </is>
      </c>
      <c r="E4217" s="5" t="n">
        <v>200033063</v>
      </c>
      <c r="F4217" s="5" t="inlineStr">
        <is>
          <t>24461</t>
        </is>
      </c>
      <c r="G4217" s="5" t="inlineStr">
        <is>
          <t>BRL</t>
        </is>
      </c>
      <c r="H4217" s="9" t="n">
        <v>1205.74</v>
      </c>
      <c r="I4217" s="16" t="n">
        <v>44999</v>
      </c>
      <c r="J4217" s="16" t="n">
        <v>44999</v>
      </c>
      <c r="K4217" s="5" t="inlineStr">
        <is>
          <t>247402</t>
        </is>
      </c>
      <c r="L4217" s="5" t="inlineStr">
        <is>
          <t>407000.110501</t>
        </is>
      </c>
      <c r="M4217" s="5">
        <f>IF(YEAR(I4217)&lt;=2020,"Até 2020",TEXT(YEAR(I4217),"0"))</f>
        <v/>
      </c>
      <c r="N4217" s="5">
        <f>IFERROR(INDEX(DePara!$A:$A,MATCH(TEXT(B4217,"0"),DePara!$D:$D,0)),"(sem categoria)")</f>
        <v/>
      </c>
      <c r="O4217" s="5">
        <f>IF(J4217="","",Parametros!$B$6-J4217)</f>
        <v/>
      </c>
      <c r="P4217" s="5">
        <f>IF(O4217="","",IF(O4217&gt;0,1,0))</f>
        <v/>
      </c>
    </row>
    <row r="4218">
      <c r="A4218" s="5" t="n">
        <v>1191000000</v>
      </c>
      <c r="B4218" s="5" t="inlineStr">
        <is>
          <t>102030</t>
        </is>
      </c>
      <c r="C4218" s="5" t="inlineStr">
        <is>
          <t>TECON SALVADOR SA</t>
        </is>
      </c>
      <c r="D4218" s="5" t="inlineStr">
        <is>
          <t>UE</t>
        </is>
      </c>
      <c r="E4218" s="5" t="n">
        <v>200033067</v>
      </c>
      <c r="F4218" s="5" t="inlineStr">
        <is>
          <t>24465</t>
        </is>
      </c>
      <c r="G4218" s="5" t="inlineStr">
        <is>
          <t>BRL</t>
        </is>
      </c>
      <c r="H4218" s="9" t="n">
        <v>1018.95</v>
      </c>
      <c r="I4218" s="16" t="n">
        <v>44999</v>
      </c>
      <c r="J4218" s="16" t="n">
        <v>44999</v>
      </c>
      <c r="K4218" s="5" t="inlineStr">
        <is>
          <t>247391</t>
        </is>
      </c>
      <c r="L4218" s="5" t="inlineStr">
        <is>
          <t>407000.110501</t>
        </is>
      </c>
      <c r="M4218" s="5">
        <f>IF(YEAR(I4218)&lt;=2020,"Até 2020",TEXT(YEAR(I4218),"0"))</f>
        <v/>
      </c>
      <c r="N4218" s="5">
        <f>IFERROR(INDEX(DePara!$A:$A,MATCH(TEXT(B4218,"0"),DePara!$D:$D,0)),"(sem categoria)")</f>
        <v/>
      </c>
      <c r="O4218" s="5">
        <f>IF(J4218="","",Parametros!$B$6-J4218)</f>
        <v/>
      </c>
      <c r="P4218" s="5">
        <f>IF(O4218="","",IF(O4218&gt;0,1,0))</f>
        <v/>
      </c>
    </row>
    <row r="4219">
      <c r="A4219" s="5" t="n">
        <v>1191000000</v>
      </c>
      <c r="B4219" s="5" t="inlineStr">
        <is>
          <t>102030</t>
        </is>
      </c>
      <c r="C4219" s="5" t="inlineStr">
        <is>
          <t>TECON SALVADOR SA</t>
        </is>
      </c>
      <c r="D4219" s="5" t="inlineStr">
        <is>
          <t>UE</t>
        </is>
      </c>
      <c r="E4219" s="5" t="n">
        <v>200033068</v>
      </c>
      <c r="F4219" s="5" t="inlineStr">
        <is>
          <t>24466</t>
        </is>
      </c>
      <c r="G4219" s="5" t="inlineStr">
        <is>
          <t>BRL</t>
        </is>
      </c>
      <c r="H4219" s="9" t="n">
        <v>26603.49</v>
      </c>
      <c r="I4219" s="16" t="n">
        <v>45000</v>
      </c>
      <c r="J4219" s="16" t="n">
        <v>45000</v>
      </c>
      <c r="K4219" s="5" t="inlineStr">
        <is>
          <t>247492</t>
        </is>
      </c>
      <c r="L4219" s="5" t="inlineStr">
        <is>
          <t>407000.110501</t>
        </is>
      </c>
      <c r="M4219" s="5">
        <f>IF(YEAR(I4219)&lt;=2020,"Até 2020",TEXT(YEAR(I4219),"0"))</f>
        <v/>
      </c>
      <c r="N4219" s="5">
        <f>IFERROR(INDEX(DePara!$A:$A,MATCH(TEXT(B4219,"0"),DePara!$D:$D,0)),"(sem categoria)")</f>
        <v/>
      </c>
      <c r="O4219" s="5">
        <f>IF(J4219="","",Parametros!$B$6-J4219)</f>
        <v/>
      </c>
      <c r="P4219" s="5">
        <f>IF(O4219="","",IF(O4219&gt;0,1,0))</f>
        <v/>
      </c>
    </row>
    <row r="4220">
      <c r="A4220" s="5" t="n">
        <v>1191000000</v>
      </c>
      <c r="B4220" s="5" t="inlineStr">
        <is>
          <t>102030</t>
        </is>
      </c>
      <c r="C4220" s="5" t="inlineStr">
        <is>
          <t>TECON SALVADOR SA</t>
        </is>
      </c>
      <c r="D4220" s="5" t="inlineStr">
        <is>
          <t>UE</t>
        </is>
      </c>
      <c r="E4220" s="5" t="n">
        <v>200033069</v>
      </c>
      <c r="F4220" s="5" t="inlineStr">
        <is>
          <t>24467</t>
        </is>
      </c>
      <c r="G4220" s="5" t="inlineStr">
        <is>
          <t>BRL</t>
        </is>
      </c>
      <c r="H4220" s="9" t="n">
        <v>9792.15</v>
      </c>
      <c r="I4220" s="16" t="n">
        <v>45005</v>
      </c>
      <c r="J4220" s="16" t="n">
        <v>45005</v>
      </c>
      <c r="K4220" s="5" t="inlineStr">
        <is>
          <t>247877</t>
        </is>
      </c>
      <c r="L4220" s="5" t="inlineStr">
        <is>
          <t>407000.110501</t>
        </is>
      </c>
      <c r="M4220" s="5">
        <f>IF(YEAR(I4220)&lt;=2020,"Até 2020",TEXT(YEAR(I4220),"0"))</f>
        <v/>
      </c>
      <c r="N4220" s="5">
        <f>IFERROR(INDEX(DePara!$A:$A,MATCH(TEXT(B4220,"0"),DePara!$D:$D,0)),"(sem categoria)")</f>
        <v/>
      </c>
      <c r="O4220" s="5">
        <f>IF(J4220="","",Parametros!$B$6-J4220)</f>
        <v/>
      </c>
      <c r="P4220" s="5">
        <f>IF(O4220="","",IF(O4220&gt;0,1,0))</f>
        <v/>
      </c>
    </row>
    <row r="4221">
      <c r="A4221" s="5" t="n">
        <v>1191000000</v>
      </c>
      <c r="B4221" s="5" t="inlineStr">
        <is>
          <t>102030</t>
        </is>
      </c>
      <c r="C4221" s="5" t="inlineStr">
        <is>
          <t>TECON SALVADOR SA</t>
        </is>
      </c>
      <c r="D4221" s="5" t="inlineStr">
        <is>
          <t>UE</t>
        </is>
      </c>
      <c r="E4221" s="5" t="n">
        <v>200033070</v>
      </c>
      <c r="F4221" s="5" t="inlineStr">
        <is>
          <t>24468</t>
        </is>
      </c>
      <c r="G4221" s="5" t="inlineStr">
        <is>
          <t>BRL</t>
        </is>
      </c>
      <c r="H4221" s="9" t="n">
        <v>18406.38</v>
      </c>
      <c r="I4221" s="16" t="n">
        <v>45005</v>
      </c>
      <c r="J4221" s="16" t="n">
        <v>45005</v>
      </c>
      <c r="K4221" s="5" t="inlineStr">
        <is>
          <t>247880</t>
        </is>
      </c>
      <c r="L4221" s="5" t="inlineStr">
        <is>
          <t>407000.110501</t>
        </is>
      </c>
      <c r="M4221" s="5">
        <f>IF(YEAR(I4221)&lt;=2020,"Até 2020",TEXT(YEAR(I4221),"0"))</f>
        <v/>
      </c>
      <c r="N4221" s="5">
        <f>IFERROR(INDEX(DePara!$A:$A,MATCH(TEXT(B4221,"0"),DePara!$D:$D,0)),"(sem categoria)")</f>
        <v/>
      </c>
      <c r="O4221" s="5">
        <f>IF(J4221="","",Parametros!$B$6-J4221)</f>
        <v/>
      </c>
      <c r="P4221" s="5">
        <f>IF(O4221="","",IF(O4221&gt;0,1,0))</f>
        <v/>
      </c>
    </row>
    <row r="4222">
      <c r="A4222" s="5" t="n">
        <v>1191000000</v>
      </c>
      <c r="B4222" s="5" t="inlineStr">
        <is>
          <t>101568</t>
        </is>
      </c>
      <c r="C4222" s="5" t="inlineStr">
        <is>
          <t>GLOBAL AIR CARGO LTDA</t>
        </is>
      </c>
      <c r="D4222" s="5" t="inlineStr">
        <is>
          <t>UE</t>
        </is>
      </c>
      <c r="E4222" s="5" t="n">
        <v>200033071</v>
      </c>
      <c r="F4222" s="5" t="inlineStr">
        <is>
          <t>24474</t>
        </is>
      </c>
      <c r="G4222" s="5" t="inlineStr">
        <is>
          <t>BRL</t>
        </is>
      </c>
      <c r="H4222" s="9" t="n">
        <v>1216.04</v>
      </c>
      <c r="I4222" s="16" t="n">
        <v>44783</v>
      </c>
      <c r="J4222" s="16" t="n">
        <v>44783</v>
      </c>
      <c r="K4222" s="5" t="inlineStr">
        <is>
          <t>43051</t>
        </is>
      </c>
      <c r="L4222" s="5" t="inlineStr">
        <is>
          <t>407000.110501</t>
        </is>
      </c>
      <c r="M4222" s="5">
        <f>IF(YEAR(I4222)&lt;=2020,"Até 2020",TEXT(YEAR(I4222),"0"))</f>
        <v/>
      </c>
      <c r="N4222" s="5">
        <f>IFERROR(INDEX(DePara!$A:$A,MATCH(TEXT(B4222,"0"),DePara!$D:$D,0)),"(sem categoria)")</f>
        <v/>
      </c>
      <c r="O4222" s="5">
        <f>IF(J4222="","",Parametros!$B$6-J4222)</f>
        <v/>
      </c>
      <c r="P4222" s="5">
        <f>IF(O4222="","",IF(O4222&gt;0,1,0))</f>
        <v/>
      </c>
    </row>
    <row r="4223">
      <c r="A4223" s="5" t="n">
        <v>1191000000</v>
      </c>
      <c r="B4223" s="5" t="inlineStr">
        <is>
          <t>101569</t>
        </is>
      </c>
      <c r="C4223" s="5" t="inlineStr">
        <is>
          <t>SECRETARIA DA FAZENDA CEARA</t>
        </is>
      </c>
      <c r="D4223" s="5" t="inlineStr">
        <is>
          <t>UE</t>
        </is>
      </c>
      <c r="E4223" s="5" t="n">
        <v>200033072</v>
      </c>
      <c r="F4223" s="5" t="inlineStr">
        <is>
          <t>24475</t>
        </is>
      </c>
      <c r="G4223" s="5" t="inlineStr">
        <is>
          <t>BRL</t>
        </is>
      </c>
      <c r="H4223" s="9" t="n">
        <v>6.98</v>
      </c>
      <c r="I4223" s="16" t="n">
        <v>44447</v>
      </c>
      <c r="J4223" s="16" t="n">
        <v>44447</v>
      </c>
      <c r="K4223" s="5" t="inlineStr">
        <is>
          <t>676004</t>
        </is>
      </c>
      <c r="L4223" s="5" t="inlineStr">
        <is>
          <t>407000.110501</t>
        </is>
      </c>
      <c r="M4223" s="5">
        <f>IF(YEAR(I4223)&lt;=2020,"Até 2020",TEXT(YEAR(I4223),"0"))</f>
        <v/>
      </c>
      <c r="N4223" s="5">
        <f>IFERROR(INDEX(DePara!$A:$A,MATCH(TEXT(B4223,"0"),DePara!$D:$D,0)),"(sem categoria)")</f>
        <v/>
      </c>
      <c r="O4223" s="5">
        <f>IF(J4223="","",Parametros!$B$6-J4223)</f>
        <v/>
      </c>
      <c r="P4223" s="5">
        <f>IF(O4223="","",IF(O4223&gt;0,1,0))</f>
        <v/>
      </c>
    </row>
    <row r="4224">
      <c r="A4224" s="5" t="n">
        <v>1191000000</v>
      </c>
      <c r="B4224" s="5" t="inlineStr">
        <is>
          <t>101569</t>
        </is>
      </c>
      <c r="C4224" s="5" t="inlineStr">
        <is>
          <t>SECRETARIA DA FAZENDA CEARA</t>
        </is>
      </c>
      <c r="D4224" s="5" t="inlineStr">
        <is>
          <t>UE</t>
        </is>
      </c>
      <c r="E4224" s="5" t="n">
        <v>200033073</v>
      </c>
      <c r="F4224" s="5" t="inlineStr">
        <is>
          <t>24476</t>
        </is>
      </c>
      <c r="G4224" s="5" t="inlineStr">
        <is>
          <t>BRL</t>
        </is>
      </c>
      <c r="H4224" s="9" t="n">
        <v>6.98</v>
      </c>
      <c r="I4224" s="16" t="n">
        <v>44447</v>
      </c>
      <c r="J4224" s="16" t="n">
        <v>44447</v>
      </c>
      <c r="K4224" s="5" t="inlineStr">
        <is>
          <t>671004</t>
        </is>
      </c>
      <c r="L4224" s="5" t="inlineStr">
        <is>
          <t>407000.110501</t>
        </is>
      </c>
      <c r="M4224" s="5">
        <f>IF(YEAR(I4224)&lt;=2020,"Até 2020",TEXT(YEAR(I4224),"0"))</f>
        <v/>
      </c>
      <c r="N4224" s="5">
        <f>IFERROR(INDEX(DePara!$A:$A,MATCH(TEXT(B4224,"0"),DePara!$D:$D,0)),"(sem categoria)")</f>
        <v/>
      </c>
      <c r="O4224" s="5">
        <f>IF(J4224="","",Parametros!$B$6-J4224)</f>
        <v/>
      </c>
      <c r="P4224" s="5">
        <f>IF(O4224="","",IF(O4224&gt;0,1,0))</f>
        <v/>
      </c>
    </row>
    <row r="4225">
      <c r="A4225" s="5" t="n">
        <v>1191000000</v>
      </c>
      <c r="B4225" s="5" t="inlineStr">
        <is>
          <t>101569</t>
        </is>
      </c>
      <c r="C4225" s="5" t="inlineStr">
        <is>
          <t>SECRETARIA DA FAZENDA CEARA</t>
        </is>
      </c>
      <c r="D4225" s="5" t="inlineStr">
        <is>
          <t>UE</t>
        </is>
      </c>
      <c r="E4225" s="5" t="n">
        <v>200033074</v>
      </c>
      <c r="F4225" s="5" t="inlineStr">
        <is>
          <t>24477</t>
        </is>
      </c>
      <c r="G4225" s="5" t="inlineStr">
        <is>
          <t>BRL</t>
        </is>
      </c>
      <c r="H4225" s="9" t="n">
        <v>1009.43</v>
      </c>
      <c r="I4225" s="16" t="n">
        <v>44457</v>
      </c>
      <c r="J4225" s="16" t="n">
        <v>44457</v>
      </c>
      <c r="K4225" s="5" t="inlineStr">
        <is>
          <t>15687-15784-15787</t>
        </is>
      </c>
      <c r="L4225" s="5" t="inlineStr">
        <is>
          <t>407000.110501</t>
        </is>
      </c>
      <c r="M4225" s="5">
        <f>IF(YEAR(I4225)&lt;=2020,"Até 2020",TEXT(YEAR(I4225),"0"))</f>
        <v/>
      </c>
      <c r="N4225" s="5">
        <f>IFERROR(INDEX(DePara!$A:$A,MATCH(TEXT(B4225,"0"),DePara!$D:$D,0)),"(sem categoria)")</f>
        <v/>
      </c>
      <c r="O4225" s="5">
        <f>IF(J4225="","",Parametros!$B$6-J4225)</f>
        <v/>
      </c>
      <c r="P4225" s="5">
        <f>IF(O4225="","",IF(O4225&gt;0,1,0))</f>
        <v/>
      </c>
    </row>
    <row r="4226">
      <c r="A4226" s="5" t="n">
        <v>1191000000</v>
      </c>
      <c r="B4226" s="5" t="inlineStr">
        <is>
          <t>101576</t>
        </is>
      </c>
      <c r="C4226" s="5" t="inlineStr">
        <is>
          <t>CLARO S.A</t>
        </is>
      </c>
      <c r="D4226" s="5" t="inlineStr">
        <is>
          <t>UE</t>
        </is>
      </c>
      <c r="E4226" s="5" t="n">
        <v>200033075</v>
      </c>
      <c r="F4226" s="5" t="inlineStr">
        <is>
          <t>24478</t>
        </is>
      </c>
      <c r="G4226" s="5" t="inlineStr">
        <is>
          <t>BRL</t>
        </is>
      </c>
      <c r="H4226" s="9" t="n">
        <v>397.57</v>
      </c>
      <c r="I4226" s="16" t="n">
        <v>44522</v>
      </c>
      <c r="J4226" s="16" t="n">
        <v>44522</v>
      </c>
      <c r="K4226" s="5" t="inlineStr">
        <is>
          <t>192337250-11/2021</t>
        </is>
      </c>
      <c r="L4226" s="5" t="inlineStr">
        <is>
          <t>407000.110501</t>
        </is>
      </c>
      <c r="M4226" s="5">
        <f>IF(YEAR(I4226)&lt;=2020,"Até 2020",TEXT(YEAR(I4226),"0"))</f>
        <v/>
      </c>
      <c r="N4226" s="5">
        <f>IFERROR(INDEX(DePara!$A:$A,MATCH(TEXT(B4226,"0"),DePara!$D:$D,0)),"(sem categoria)")</f>
        <v/>
      </c>
      <c r="O4226" s="5">
        <f>IF(J4226="","",Parametros!$B$6-J4226)</f>
        <v/>
      </c>
      <c r="P4226" s="5">
        <f>IF(O4226="","",IF(O4226&gt;0,1,0))</f>
        <v/>
      </c>
    </row>
    <row r="4227">
      <c r="A4227" s="5" t="n">
        <v>1191000000</v>
      </c>
      <c r="B4227" s="5" t="inlineStr">
        <is>
          <t>101597</t>
        </is>
      </c>
      <c r="C4227" s="5" t="inlineStr">
        <is>
          <t>TELEFONICA BRASIL SA</t>
        </is>
      </c>
      <c r="D4227" s="5" t="inlineStr">
        <is>
          <t>UE</t>
        </is>
      </c>
      <c r="E4227" s="5" t="n">
        <v>200033076</v>
      </c>
      <c r="F4227" s="5" t="inlineStr">
        <is>
          <t>24479</t>
        </is>
      </c>
      <c r="G4227" s="5" t="inlineStr">
        <is>
          <t>BRL</t>
        </is>
      </c>
      <c r="H4227" s="9" t="n">
        <v>3052.52</v>
      </c>
      <c r="I4227" s="16" t="n">
        <v>44614</v>
      </c>
      <c r="J4227" s="16" t="n">
        <v>44614</v>
      </c>
      <c r="K4227" s="5" t="inlineStr">
        <is>
          <t>12/2021</t>
        </is>
      </c>
      <c r="L4227" s="5" t="inlineStr">
        <is>
          <t>407000.110501</t>
        </is>
      </c>
      <c r="M4227" s="5">
        <f>IF(YEAR(I4227)&lt;=2020,"Até 2020",TEXT(YEAR(I4227),"0"))</f>
        <v/>
      </c>
      <c r="N4227" s="5">
        <f>IFERROR(INDEX(DePara!$A:$A,MATCH(TEXT(B4227,"0"),DePara!$D:$D,0)),"(sem categoria)")</f>
        <v/>
      </c>
      <c r="O4227" s="5">
        <f>IF(J4227="","",Parametros!$B$6-J4227)</f>
        <v/>
      </c>
      <c r="P4227" s="5">
        <f>IF(O4227="","",IF(O4227&gt;0,1,0))</f>
        <v/>
      </c>
    </row>
    <row r="4228">
      <c r="A4228" s="5" t="n">
        <v>1191000000</v>
      </c>
      <c r="B4228" s="5" t="inlineStr">
        <is>
          <t>101611</t>
        </is>
      </c>
      <c r="C4228" s="5" t="inlineStr">
        <is>
          <t>SECRETARIA DA FAZENDA BAHIA</t>
        </is>
      </c>
      <c r="D4228" s="5" t="inlineStr">
        <is>
          <t>UE</t>
        </is>
      </c>
      <c r="E4228" s="5" t="n">
        <v>200033077</v>
      </c>
      <c r="F4228" s="5" t="inlineStr">
        <is>
          <t>24480</t>
        </is>
      </c>
      <c r="G4228" s="5" t="inlineStr">
        <is>
          <t>BRL</t>
        </is>
      </c>
      <c r="H4228" s="9" t="n">
        <v>444.43</v>
      </c>
      <c r="I4228" s="16" t="n">
        <v>44358</v>
      </c>
      <c r="J4228" s="16" t="n">
        <v>44358</v>
      </c>
      <c r="K4228" s="5" t="inlineStr">
        <is>
          <t>1549001</t>
        </is>
      </c>
      <c r="L4228" s="5" t="inlineStr">
        <is>
          <t>407000.110501</t>
        </is>
      </c>
      <c r="M4228" s="5">
        <f>IF(YEAR(I4228)&lt;=2020,"Até 2020",TEXT(YEAR(I4228),"0"))</f>
        <v/>
      </c>
      <c r="N4228" s="5">
        <f>IFERROR(INDEX(DePara!$A:$A,MATCH(TEXT(B4228,"0"),DePara!$D:$D,0)),"(sem categoria)")</f>
        <v/>
      </c>
      <c r="O4228" s="5">
        <f>IF(J4228="","",Parametros!$B$6-J4228)</f>
        <v/>
      </c>
      <c r="P4228" s="5">
        <f>IF(O4228="","",IF(O4228&gt;0,1,0))</f>
        <v/>
      </c>
    </row>
    <row r="4229">
      <c r="A4229" s="5" t="n">
        <v>1191000000</v>
      </c>
      <c r="B4229" s="5" t="inlineStr">
        <is>
          <t>101611</t>
        </is>
      </c>
      <c r="C4229" s="5" t="inlineStr">
        <is>
          <t>SECRETARIA DA FAZENDA BAHIA</t>
        </is>
      </c>
      <c r="D4229" s="5" t="inlineStr">
        <is>
          <t>UE</t>
        </is>
      </c>
      <c r="E4229" s="5" t="n">
        <v>200033078</v>
      </c>
      <c r="F4229" s="5" t="inlineStr">
        <is>
          <t>24481</t>
        </is>
      </c>
      <c r="G4229" s="5" t="inlineStr">
        <is>
          <t>BRL</t>
        </is>
      </c>
      <c r="H4229" s="9" t="n">
        <v>576</v>
      </c>
      <c r="I4229" s="16" t="n">
        <v>44358</v>
      </c>
      <c r="J4229" s="16" t="n">
        <v>44358</v>
      </c>
      <c r="K4229" s="5" t="inlineStr">
        <is>
          <t>1564001</t>
        </is>
      </c>
      <c r="L4229" s="5" t="inlineStr">
        <is>
          <t>407000.110501</t>
        </is>
      </c>
      <c r="M4229" s="5">
        <f>IF(YEAR(I4229)&lt;=2020,"Até 2020",TEXT(YEAR(I4229),"0"))</f>
        <v/>
      </c>
      <c r="N4229" s="5">
        <f>IFERROR(INDEX(DePara!$A:$A,MATCH(TEXT(B4229,"0"),DePara!$D:$D,0)),"(sem categoria)")</f>
        <v/>
      </c>
      <c r="O4229" s="5">
        <f>IF(J4229="","",Parametros!$B$6-J4229)</f>
        <v/>
      </c>
      <c r="P4229" s="5">
        <f>IF(O4229="","",IF(O4229&gt;0,1,0))</f>
        <v/>
      </c>
    </row>
    <row r="4230">
      <c r="A4230" s="5" t="n">
        <v>1191000000</v>
      </c>
      <c r="B4230" s="5" t="inlineStr">
        <is>
          <t>101611</t>
        </is>
      </c>
      <c r="C4230" s="5" t="inlineStr">
        <is>
          <t>SECRETARIA DA FAZENDA BAHIA</t>
        </is>
      </c>
      <c r="D4230" s="5" t="inlineStr">
        <is>
          <t>UE</t>
        </is>
      </c>
      <c r="E4230" s="5" t="n">
        <v>200033079</v>
      </c>
      <c r="F4230" s="5" t="inlineStr">
        <is>
          <t>24482</t>
        </is>
      </c>
      <c r="G4230" s="5" t="inlineStr">
        <is>
          <t>BRL</t>
        </is>
      </c>
      <c r="H4230" s="9" t="n">
        <v>748.48</v>
      </c>
      <c r="I4230" s="16" t="n">
        <v>44358</v>
      </c>
      <c r="J4230" s="16" t="n">
        <v>44358</v>
      </c>
      <c r="K4230" s="5" t="inlineStr">
        <is>
          <t>1591001</t>
        </is>
      </c>
      <c r="L4230" s="5" t="inlineStr">
        <is>
          <t>407000.110501</t>
        </is>
      </c>
      <c r="M4230" s="5">
        <f>IF(YEAR(I4230)&lt;=2020,"Até 2020",TEXT(YEAR(I4230),"0"))</f>
        <v/>
      </c>
      <c r="N4230" s="5">
        <f>IFERROR(INDEX(DePara!$A:$A,MATCH(TEXT(B4230,"0"),DePara!$D:$D,0)),"(sem categoria)")</f>
        <v/>
      </c>
      <c r="O4230" s="5">
        <f>IF(J4230="","",Parametros!$B$6-J4230)</f>
        <v/>
      </c>
      <c r="P4230" s="5">
        <f>IF(O4230="","",IF(O4230&gt;0,1,0))</f>
        <v/>
      </c>
    </row>
    <row r="4231">
      <c r="A4231" s="5" t="n">
        <v>1191000000</v>
      </c>
      <c r="B4231" s="5" t="inlineStr">
        <is>
          <t>101611</t>
        </is>
      </c>
      <c r="C4231" s="5" t="inlineStr">
        <is>
          <t>SECRETARIA DA FAZENDA BAHIA</t>
        </is>
      </c>
      <c r="D4231" s="5" t="inlineStr">
        <is>
          <t>UE</t>
        </is>
      </c>
      <c r="E4231" s="5" t="n">
        <v>200033080</v>
      </c>
      <c r="F4231" s="5" t="inlineStr">
        <is>
          <t>24483</t>
        </is>
      </c>
      <c r="G4231" s="5" t="inlineStr">
        <is>
          <t>BRL</t>
        </is>
      </c>
      <c r="H4231" s="9" t="n">
        <v>201.02</v>
      </c>
      <c r="I4231" s="16" t="n">
        <v>44358</v>
      </c>
      <c r="J4231" s="16" t="n">
        <v>44358</v>
      </c>
      <c r="K4231" s="5" t="inlineStr">
        <is>
          <t>544002</t>
        </is>
      </c>
      <c r="L4231" s="5" t="inlineStr">
        <is>
          <t>407000.110501</t>
        </is>
      </c>
      <c r="M4231" s="5">
        <f>IF(YEAR(I4231)&lt;=2020,"Até 2020",TEXT(YEAR(I4231),"0"))</f>
        <v/>
      </c>
      <c r="N4231" s="5">
        <f>IFERROR(INDEX(DePara!$A:$A,MATCH(TEXT(B4231,"0"),DePara!$D:$D,0)),"(sem categoria)")</f>
        <v/>
      </c>
      <c r="O4231" s="5">
        <f>IF(J4231="","",Parametros!$B$6-J4231)</f>
        <v/>
      </c>
      <c r="P4231" s="5">
        <f>IF(O4231="","",IF(O4231&gt;0,1,0))</f>
        <v/>
      </c>
    </row>
    <row r="4232">
      <c r="A4232" s="5" t="n">
        <v>1191000000</v>
      </c>
      <c r="B4232" s="5" t="inlineStr">
        <is>
          <t>101611</t>
        </is>
      </c>
      <c r="C4232" s="5" t="inlineStr">
        <is>
          <t>SECRETARIA DA FAZENDA BAHIA</t>
        </is>
      </c>
      <c r="D4232" s="5" t="inlineStr">
        <is>
          <t>UE</t>
        </is>
      </c>
      <c r="E4232" s="5" t="n">
        <v>200033081</v>
      </c>
      <c r="F4232" s="5" t="inlineStr">
        <is>
          <t>24484</t>
        </is>
      </c>
      <c r="G4232" s="5" t="inlineStr">
        <is>
          <t>BRL</t>
        </is>
      </c>
      <c r="H4232" s="9" t="n">
        <v>149.72</v>
      </c>
      <c r="I4232" s="16" t="n">
        <v>44358</v>
      </c>
      <c r="J4232" s="16" t="n">
        <v>44358</v>
      </c>
      <c r="K4232" s="5" t="inlineStr">
        <is>
          <t>1674001</t>
        </is>
      </c>
      <c r="L4232" s="5" t="inlineStr">
        <is>
          <t>407000.110501</t>
        </is>
      </c>
      <c r="M4232" s="5">
        <f>IF(YEAR(I4232)&lt;=2020,"Até 2020",TEXT(YEAR(I4232),"0"))</f>
        <v/>
      </c>
      <c r="N4232" s="5">
        <f>IFERROR(INDEX(DePara!$A:$A,MATCH(TEXT(B4232,"0"),DePara!$D:$D,0)),"(sem categoria)")</f>
        <v/>
      </c>
      <c r="O4232" s="5">
        <f>IF(J4232="","",Parametros!$B$6-J4232)</f>
        <v/>
      </c>
      <c r="P4232" s="5">
        <f>IF(O4232="","",IF(O4232&gt;0,1,0))</f>
        <v/>
      </c>
    </row>
    <row r="4233">
      <c r="A4233" s="5" t="n">
        <v>1191000000</v>
      </c>
      <c r="B4233" s="5" t="inlineStr">
        <is>
          <t>101611</t>
        </is>
      </c>
      <c r="C4233" s="5" t="inlineStr">
        <is>
          <t>SECRETARIA DA FAZENDA BAHIA</t>
        </is>
      </c>
      <c r="D4233" s="5" t="inlineStr">
        <is>
          <t>UE</t>
        </is>
      </c>
      <c r="E4233" s="5" t="n">
        <v>200033082</v>
      </c>
      <c r="F4233" s="5" t="inlineStr">
        <is>
          <t>24485</t>
        </is>
      </c>
      <c r="G4233" s="5" t="inlineStr">
        <is>
          <t>BRL</t>
        </is>
      </c>
      <c r="H4233" s="9" t="n">
        <v>1451.79</v>
      </c>
      <c r="I4233" s="16" t="n">
        <v>44358</v>
      </c>
      <c r="J4233" s="16" t="n">
        <v>44358</v>
      </c>
      <c r="K4233" s="5" t="inlineStr">
        <is>
          <t>1650001</t>
        </is>
      </c>
      <c r="L4233" s="5" t="inlineStr">
        <is>
          <t>407000.110501</t>
        </is>
      </c>
      <c r="M4233" s="5">
        <f>IF(YEAR(I4233)&lt;=2020,"Até 2020",TEXT(YEAR(I4233),"0"))</f>
        <v/>
      </c>
      <c r="N4233" s="5">
        <f>IFERROR(INDEX(DePara!$A:$A,MATCH(TEXT(B4233,"0"),DePara!$D:$D,0)),"(sem categoria)")</f>
        <v/>
      </c>
      <c r="O4233" s="5">
        <f>IF(J4233="","",Parametros!$B$6-J4233)</f>
        <v/>
      </c>
      <c r="P4233" s="5">
        <f>IF(O4233="","",IF(O4233&gt;0,1,0))</f>
        <v/>
      </c>
    </row>
    <row r="4234">
      <c r="A4234" s="5" t="n">
        <v>1191000000</v>
      </c>
      <c r="B4234" s="5" t="inlineStr">
        <is>
          <t>101611</t>
        </is>
      </c>
      <c r="C4234" s="5" t="inlineStr">
        <is>
          <t>SECRETARIA DA FAZENDA BAHIA</t>
        </is>
      </c>
      <c r="D4234" s="5" t="inlineStr">
        <is>
          <t>UE</t>
        </is>
      </c>
      <c r="E4234" s="5" t="n">
        <v>200033083</v>
      </c>
      <c r="F4234" s="5" t="inlineStr">
        <is>
          <t>24486</t>
        </is>
      </c>
      <c r="G4234" s="5" t="inlineStr">
        <is>
          <t>BRL</t>
        </is>
      </c>
      <c r="H4234" s="9" t="n">
        <v>6</v>
      </c>
      <c r="I4234" s="16" t="n">
        <v>44358</v>
      </c>
      <c r="J4234" s="16" t="n">
        <v>44358</v>
      </c>
      <c r="K4234" s="5" t="inlineStr">
        <is>
          <t>538002</t>
        </is>
      </c>
      <c r="L4234" s="5" t="inlineStr">
        <is>
          <t>407000.110501</t>
        </is>
      </c>
      <c r="M4234" s="5">
        <f>IF(YEAR(I4234)&lt;=2020,"Até 2020",TEXT(YEAR(I4234),"0"))</f>
        <v/>
      </c>
      <c r="N4234" s="5">
        <f>IFERROR(INDEX(DePara!$A:$A,MATCH(TEXT(B4234,"0"),DePara!$D:$D,0)),"(sem categoria)")</f>
        <v/>
      </c>
      <c r="O4234" s="5">
        <f>IF(J4234="","",Parametros!$B$6-J4234)</f>
        <v/>
      </c>
      <c r="P4234" s="5">
        <f>IF(O4234="","",IF(O4234&gt;0,1,0))</f>
        <v/>
      </c>
    </row>
    <row r="4235">
      <c r="A4235" s="5" t="n">
        <v>1191000000</v>
      </c>
      <c r="B4235" s="5" t="inlineStr">
        <is>
          <t>101611</t>
        </is>
      </c>
      <c r="C4235" s="5" t="inlineStr">
        <is>
          <t>SECRETARIA DA FAZENDA BAHIA</t>
        </is>
      </c>
      <c r="D4235" s="5" t="inlineStr">
        <is>
          <t>UE</t>
        </is>
      </c>
      <c r="E4235" s="5" t="n">
        <v>200033084</v>
      </c>
      <c r="F4235" s="5" t="inlineStr">
        <is>
          <t>24487</t>
        </is>
      </c>
      <c r="G4235" s="5" t="inlineStr">
        <is>
          <t>BRL</t>
        </is>
      </c>
      <c r="H4235" s="9" t="n">
        <v>7.4</v>
      </c>
      <c r="I4235" s="16" t="n">
        <v>44358</v>
      </c>
      <c r="J4235" s="16" t="n">
        <v>44358</v>
      </c>
      <c r="K4235" s="5" t="inlineStr">
        <is>
          <t>542002</t>
        </is>
      </c>
      <c r="L4235" s="5" t="inlineStr">
        <is>
          <t>407000.110501</t>
        </is>
      </c>
      <c r="M4235" s="5">
        <f>IF(YEAR(I4235)&lt;=2020,"Até 2020",TEXT(YEAR(I4235),"0"))</f>
        <v/>
      </c>
      <c r="N4235" s="5">
        <f>IFERROR(INDEX(DePara!$A:$A,MATCH(TEXT(B4235,"0"),DePara!$D:$D,0)),"(sem categoria)")</f>
        <v/>
      </c>
      <c r="O4235" s="5">
        <f>IF(J4235="","",Parametros!$B$6-J4235)</f>
        <v/>
      </c>
      <c r="P4235" s="5">
        <f>IF(O4235="","",IF(O4235&gt;0,1,0))</f>
        <v/>
      </c>
    </row>
    <row r="4236">
      <c r="A4236" s="5" t="n">
        <v>1191000000</v>
      </c>
      <c r="B4236" s="5" t="inlineStr">
        <is>
          <t>101611</t>
        </is>
      </c>
      <c r="C4236" s="5" t="inlineStr">
        <is>
          <t>SECRETARIA DA FAZENDA BAHIA</t>
        </is>
      </c>
      <c r="D4236" s="5" t="inlineStr">
        <is>
          <t>UE</t>
        </is>
      </c>
      <c r="E4236" s="5" t="n">
        <v>200033085</v>
      </c>
      <c r="F4236" s="5" t="inlineStr">
        <is>
          <t>24488</t>
        </is>
      </c>
      <c r="G4236" s="5" t="inlineStr">
        <is>
          <t>BRL</t>
        </is>
      </c>
      <c r="H4236" s="9" t="n">
        <v>735.58</v>
      </c>
      <c r="I4236" s="16" t="n">
        <v>44358</v>
      </c>
      <c r="J4236" s="16" t="n">
        <v>44358</v>
      </c>
      <c r="K4236" s="5" t="inlineStr">
        <is>
          <t>000000567002</t>
        </is>
      </c>
      <c r="L4236" s="5" t="inlineStr">
        <is>
          <t>407000.110501</t>
        </is>
      </c>
      <c r="M4236" s="5">
        <f>IF(YEAR(I4236)&lt;=2020,"Até 2020",TEXT(YEAR(I4236),"0"))</f>
        <v/>
      </c>
      <c r="N4236" s="5">
        <f>IFERROR(INDEX(DePara!$A:$A,MATCH(TEXT(B4236,"0"),DePara!$D:$D,0)),"(sem categoria)")</f>
        <v/>
      </c>
      <c r="O4236" s="5">
        <f>IF(J4236="","",Parametros!$B$6-J4236)</f>
        <v/>
      </c>
      <c r="P4236" s="5">
        <f>IF(O4236="","",IF(O4236&gt;0,1,0))</f>
        <v/>
      </c>
    </row>
    <row r="4237">
      <c r="A4237" s="5" t="n">
        <v>1191000000</v>
      </c>
      <c r="B4237" s="5" t="inlineStr">
        <is>
          <t>101622</t>
        </is>
      </c>
      <c r="C4237" s="5" t="inlineStr">
        <is>
          <t>BAGAREL COMERCIO DE INSTRUMENTOS LT</t>
        </is>
      </c>
      <c r="D4237" s="5" t="inlineStr">
        <is>
          <t>UE</t>
        </is>
      </c>
      <c r="E4237" s="5" t="n">
        <v>200033086</v>
      </c>
      <c r="F4237" s="5" t="inlineStr">
        <is>
          <t>24489</t>
        </is>
      </c>
      <c r="G4237" s="5" t="inlineStr">
        <is>
          <t>BRL</t>
        </is>
      </c>
      <c r="H4237" s="9" t="n">
        <v>2801.55</v>
      </c>
      <c r="I4237" s="16" t="n">
        <v>44924</v>
      </c>
      <c r="J4237" s="16" t="n">
        <v>44924</v>
      </c>
      <c r="K4237" s="5" t="inlineStr">
        <is>
          <t>43111</t>
        </is>
      </c>
      <c r="L4237" s="5" t="inlineStr">
        <is>
          <t>407000.110501</t>
        </is>
      </c>
      <c r="M4237" s="5">
        <f>IF(YEAR(I4237)&lt;=2020,"Até 2020",TEXT(YEAR(I4237),"0"))</f>
        <v/>
      </c>
      <c r="N4237" s="5">
        <f>IFERROR(INDEX(DePara!$A:$A,MATCH(TEXT(B4237,"0"),DePara!$D:$D,0)),"(sem categoria)")</f>
        <v/>
      </c>
      <c r="O4237" s="5">
        <f>IF(J4237="","",Parametros!$B$6-J4237)</f>
        <v/>
      </c>
      <c r="P4237" s="5">
        <f>IF(O4237="","",IF(O4237&gt;0,1,0))</f>
        <v/>
      </c>
    </row>
    <row r="4238">
      <c r="A4238" s="5" t="n">
        <v>1191000000</v>
      </c>
      <c r="B4238" s="5" t="inlineStr">
        <is>
          <t>101673</t>
        </is>
      </c>
      <c r="C4238" s="5" t="inlineStr">
        <is>
          <t>SANTOS BRASIL PARTICIPACOES SA</t>
        </is>
      </c>
      <c r="D4238" s="5" t="inlineStr">
        <is>
          <t>UE</t>
        </is>
      </c>
      <c r="E4238" s="5" t="n">
        <v>200033088</v>
      </c>
      <c r="F4238" s="5" t="inlineStr">
        <is>
          <t>24491</t>
        </is>
      </c>
      <c r="G4238" s="5" t="inlineStr">
        <is>
          <t>BRL</t>
        </is>
      </c>
      <c r="H4238" s="9" t="n">
        <v>12935.56</v>
      </c>
      <c r="I4238" s="16" t="n">
        <v>44890</v>
      </c>
      <c r="J4238" s="16" t="n">
        <v>44890</v>
      </c>
      <c r="K4238" s="5" t="inlineStr">
        <is>
          <t>171083801</t>
        </is>
      </c>
      <c r="L4238" s="5" t="inlineStr">
        <is>
          <t>407000.110501</t>
        </is>
      </c>
      <c r="M4238" s="5">
        <f>IF(YEAR(I4238)&lt;=2020,"Até 2020",TEXT(YEAR(I4238),"0"))</f>
        <v/>
      </c>
      <c r="N4238" s="5">
        <f>IFERROR(INDEX(DePara!$A:$A,MATCH(TEXT(B4238,"0"),DePara!$D:$D,0)),"(sem categoria)")</f>
        <v/>
      </c>
      <c r="O4238" s="5">
        <f>IF(J4238="","",Parametros!$B$6-J4238)</f>
        <v/>
      </c>
      <c r="P4238" s="5">
        <f>IF(O4238="","",IF(O4238&gt;0,1,0))</f>
        <v/>
      </c>
    </row>
    <row r="4239">
      <c r="A4239" s="5" t="n">
        <v>1191000000</v>
      </c>
      <c r="B4239" s="5" t="inlineStr">
        <is>
          <t>101746</t>
        </is>
      </c>
      <c r="C4239" s="5" t="inlineStr">
        <is>
          <t>SECRETARIA DA FAZENDA DO ESTADO DO</t>
        </is>
      </c>
      <c r="D4239" s="5" t="inlineStr">
        <is>
          <t>UE</t>
        </is>
      </c>
      <c r="E4239" s="5" t="n">
        <v>200033090</v>
      </c>
      <c r="F4239" s="5" t="inlineStr">
        <is>
          <t>24493</t>
        </is>
      </c>
      <c r="G4239" s="5" t="inlineStr">
        <is>
          <t>BRL</t>
        </is>
      </c>
      <c r="H4239" s="9" t="n">
        <v>505.64</v>
      </c>
      <c r="I4239" s="16" t="n">
        <v>44358</v>
      </c>
      <c r="J4239" s="16" t="n">
        <v>44358</v>
      </c>
      <c r="K4239" s="5" t="inlineStr">
        <is>
          <t>GNRE DIFAL NF 3297.</t>
        </is>
      </c>
      <c r="L4239" s="5" t="inlineStr">
        <is>
          <t>407000.110501</t>
        </is>
      </c>
      <c r="M4239" s="5">
        <f>IF(YEAR(I4239)&lt;=2020,"Até 2020",TEXT(YEAR(I4239),"0"))</f>
        <v/>
      </c>
      <c r="N4239" s="5">
        <f>IFERROR(INDEX(DePara!$A:$A,MATCH(TEXT(B4239,"0"),DePara!$D:$D,0)),"(sem categoria)")</f>
        <v/>
      </c>
      <c r="O4239" s="5">
        <f>IF(J4239="","",Parametros!$B$6-J4239)</f>
        <v/>
      </c>
      <c r="P4239" s="5">
        <f>IF(O4239="","",IF(O4239&gt;0,1,0))</f>
        <v/>
      </c>
    </row>
    <row r="4240">
      <c r="A4240" s="5" t="n">
        <v>1191000000</v>
      </c>
      <c r="B4240" s="5" t="inlineStr">
        <is>
          <t>101746</t>
        </is>
      </c>
      <c r="C4240" s="5" t="inlineStr">
        <is>
          <t>SECRETARIA DA FAZENDA DO ESTADO DO</t>
        </is>
      </c>
      <c r="D4240" s="5" t="inlineStr">
        <is>
          <t>UE</t>
        </is>
      </c>
      <c r="E4240" s="5" t="n">
        <v>200033091</v>
      </c>
      <c r="F4240" s="5" t="inlineStr">
        <is>
          <t>24494</t>
        </is>
      </c>
      <c r="G4240" s="5" t="inlineStr">
        <is>
          <t>BRL</t>
        </is>
      </c>
      <c r="H4240" s="9" t="n">
        <v>659.5700000000001</v>
      </c>
      <c r="I4240" s="16" t="n">
        <v>44389</v>
      </c>
      <c r="J4240" s="16" t="n">
        <v>44389</v>
      </c>
      <c r="K4240" s="5" t="inlineStr">
        <is>
          <t>2221001</t>
        </is>
      </c>
      <c r="L4240" s="5" t="inlineStr">
        <is>
          <t>407000.110501</t>
        </is>
      </c>
      <c r="M4240" s="5">
        <f>IF(YEAR(I4240)&lt;=2020,"Até 2020",TEXT(YEAR(I4240),"0"))</f>
        <v/>
      </c>
      <c r="N4240" s="5">
        <f>IFERROR(INDEX(DePara!$A:$A,MATCH(TEXT(B4240,"0"),DePara!$D:$D,0)),"(sem categoria)")</f>
        <v/>
      </c>
      <c r="O4240" s="5">
        <f>IF(J4240="","",Parametros!$B$6-J4240)</f>
        <v/>
      </c>
      <c r="P4240" s="5">
        <f>IF(O4240="","",IF(O4240&gt;0,1,0))</f>
        <v/>
      </c>
    </row>
    <row r="4241">
      <c r="A4241" s="5" t="n">
        <v>1191000000</v>
      </c>
      <c r="B4241" s="5" t="inlineStr">
        <is>
          <t>101746</t>
        </is>
      </c>
      <c r="C4241" s="5" t="inlineStr">
        <is>
          <t>SECRETARIA DA FAZENDA DO ESTADO DO</t>
        </is>
      </c>
      <c r="D4241" s="5" t="inlineStr">
        <is>
          <t>UE</t>
        </is>
      </c>
      <c r="E4241" s="5" t="n">
        <v>200033092</v>
      </c>
      <c r="F4241" s="5" t="inlineStr">
        <is>
          <t>24495</t>
        </is>
      </c>
      <c r="G4241" s="5" t="inlineStr">
        <is>
          <t>BRL</t>
        </is>
      </c>
      <c r="H4241" s="9" t="n">
        <v>116.72</v>
      </c>
      <c r="I4241" s="16" t="n">
        <v>44447</v>
      </c>
      <c r="J4241" s="16" t="n">
        <v>44447</v>
      </c>
      <c r="K4241" s="5" t="inlineStr">
        <is>
          <t>15625000</t>
        </is>
      </c>
      <c r="L4241" s="5" t="inlineStr">
        <is>
          <t>407000.110501</t>
        </is>
      </c>
      <c r="M4241" s="5">
        <f>IF(YEAR(I4241)&lt;=2020,"Até 2020",TEXT(YEAR(I4241),"0"))</f>
        <v/>
      </c>
      <c r="N4241" s="5">
        <f>IFERROR(INDEX(DePara!$A:$A,MATCH(TEXT(B4241,"0"),DePara!$D:$D,0)),"(sem categoria)")</f>
        <v/>
      </c>
      <c r="O4241" s="5">
        <f>IF(J4241="","",Parametros!$B$6-J4241)</f>
        <v/>
      </c>
      <c r="P4241" s="5">
        <f>IF(O4241="","",IF(O4241&gt;0,1,0))</f>
        <v/>
      </c>
    </row>
    <row r="4242">
      <c r="A4242" s="5" t="n">
        <v>1191000000</v>
      </c>
      <c r="B4242" s="5" t="inlineStr">
        <is>
          <t>101751</t>
        </is>
      </c>
      <c r="C4242" s="5" t="inlineStr">
        <is>
          <t>METLIFE PLANOS ODONTOLOGICOS LTDA</t>
        </is>
      </c>
      <c r="D4242" s="5" t="inlineStr">
        <is>
          <t>UE</t>
        </is>
      </c>
      <c r="E4242" s="5" t="n">
        <v>200033094</v>
      </c>
      <c r="F4242" s="5" t="inlineStr">
        <is>
          <t>24497</t>
        </is>
      </c>
      <c r="G4242" s="5" t="inlineStr">
        <is>
          <t>BRL</t>
        </is>
      </c>
      <c r="H4242" s="9" t="n">
        <v>15856.5</v>
      </c>
      <c r="I4242" s="16" t="n">
        <v>44593</v>
      </c>
      <c r="J4242" s="16" t="n">
        <v>44593</v>
      </c>
      <c r="K4242" s="5" t="inlineStr">
        <is>
          <t>6071197</t>
        </is>
      </c>
      <c r="L4242" s="5" t="inlineStr">
        <is>
          <t>407000.110501</t>
        </is>
      </c>
      <c r="M4242" s="5">
        <f>IF(YEAR(I4242)&lt;=2020,"Até 2020",TEXT(YEAR(I4242),"0"))</f>
        <v/>
      </c>
      <c r="N4242" s="5">
        <f>IFERROR(INDEX(DePara!$A:$A,MATCH(TEXT(B4242,"0"),DePara!$D:$D,0)),"(sem categoria)")</f>
        <v/>
      </c>
      <c r="O4242" s="5">
        <f>IF(J4242="","",Parametros!$B$6-J4242)</f>
        <v/>
      </c>
      <c r="P4242" s="5">
        <f>IF(O4242="","",IF(O4242&gt;0,1,0))</f>
        <v/>
      </c>
    </row>
    <row r="4243">
      <c r="A4243" s="5" t="n">
        <v>1191000000</v>
      </c>
      <c r="B4243" s="5" t="inlineStr">
        <is>
          <t>101763</t>
        </is>
      </c>
      <c r="C4243" s="5" t="inlineStr">
        <is>
          <t>MUNICIPIO DE LAGOA DO BARRO DO PIAU</t>
        </is>
      </c>
      <c r="D4243" s="5" t="inlineStr">
        <is>
          <t>UE</t>
        </is>
      </c>
      <c r="E4243" s="5" t="n">
        <v>200033097</v>
      </c>
      <c r="F4243" s="5" t="inlineStr">
        <is>
          <t>24500</t>
        </is>
      </c>
      <c r="G4243" s="5" t="inlineStr">
        <is>
          <t>BRL</t>
        </is>
      </c>
      <c r="H4243" s="9" t="n">
        <v>20439.67</v>
      </c>
      <c r="I4243" s="16" t="n">
        <v>44646</v>
      </c>
      <c r="J4243" s="16" t="n">
        <v>44646</v>
      </c>
      <c r="K4243" s="5" t="inlineStr">
        <is>
          <t>016121754</t>
        </is>
      </c>
      <c r="L4243" s="5" t="inlineStr">
        <is>
          <t>407000.110501</t>
        </is>
      </c>
      <c r="M4243" s="5">
        <f>IF(YEAR(I4243)&lt;=2020,"Até 2020",TEXT(YEAR(I4243),"0"))</f>
        <v/>
      </c>
      <c r="N4243" s="5">
        <f>IFERROR(INDEX(DePara!$A:$A,MATCH(TEXT(B4243,"0"),DePara!$D:$D,0)),"(sem categoria)")</f>
        <v/>
      </c>
      <c r="O4243" s="5">
        <f>IF(J4243="","",Parametros!$B$6-J4243)</f>
        <v/>
      </c>
      <c r="P4243" s="5">
        <f>IF(O4243="","",IF(O4243&gt;0,1,0))</f>
        <v/>
      </c>
    </row>
    <row r="4244">
      <c r="A4244" s="5" t="n">
        <v>1191000000</v>
      </c>
      <c r="B4244" s="5" t="inlineStr">
        <is>
          <t>101771</t>
        </is>
      </c>
      <c r="C4244" s="5" t="inlineStr">
        <is>
          <t>RUZINALDO BARROS MOURA</t>
        </is>
      </c>
      <c r="D4244" s="5" t="inlineStr">
        <is>
          <t>UE</t>
        </is>
      </c>
      <c r="E4244" s="5" t="n">
        <v>200033098</v>
      </c>
      <c r="F4244" s="5" t="inlineStr">
        <is>
          <t>24501</t>
        </is>
      </c>
      <c r="G4244" s="5" t="inlineStr">
        <is>
          <t>BRL</t>
        </is>
      </c>
      <c r="H4244" s="9" t="n">
        <v>1826.48</v>
      </c>
      <c r="I4244" s="16" t="n">
        <v>44768</v>
      </c>
      <c r="J4244" s="16" t="n">
        <v>44768</v>
      </c>
      <c r="K4244" s="5" t="inlineStr">
        <is>
          <t>642</t>
        </is>
      </c>
      <c r="L4244" s="5" t="inlineStr">
        <is>
          <t>407000.110501</t>
        </is>
      </c>
      <c r="M4244" s="5">
        <f>IF(YEAR(I4244)&lt;=2020,"Até 2020",TEXT(YEAR(I4244),"0"))</f>
        <v/>
      </c>
      <c r="N4244" s="5">
        <f>IFERROR(INDEX(DePara!$A:$A,MATCH(TEXT(B4244,"0"),DePara!$D:$D,0)),"(sem categoria)")</f>
        <v/>
      </c>
      <c r="O4244" s="5">
        <f>IF(J4244="","",Parametros!$B$6-J4244)</f>
        <v/>
      </c>
      <c r="P4244" s="5">
        <f>IF(O4244="","",IF(O4244&gt;0,1,0))</f>
        <v/>
      </c>
    </row>
    <row r="4245">
      <c r="A4245" s="5" t="n">
        <v>1191000000</v>
      </c>
      <c r="B4245" s="5" t="inlineStr">
        <is>
          <t>101269</t>
        </is>
      </c>
      <c r="C4245" s="5" t="inlineStr">
        <is>
          <t>CERTISIGN CERTIFICADORA DIGITAL SA</t>
        </is>
      </c>
      <c r="D4245" s="5" t="inlineStr">
        <is>
          <t>UE</t>
        </is>
      </c>
      <c r="E4245" s="5" t="n">
        <v>200033099</v>
      </c>
      <c r="F4245" s="5" t="inlineStr">
        <is>
          <t>24502</t>
        </is>
      </c>
      <c r="G4245" s="5" t="inlineStr">
        <is>
          <t>BRL</t>
        </is>
      </c>
      <c r="H4245" s="9" t="n">
        <v>439</v>
      </c>
      <c r="I4245" s="16" t="n">
        <v>44434</v>
      </c>
      <c r="J4245" s="16" t="n">
        <v>44434</v>
      </c>
      <c r="K4245" s="5" t="inlineStr">
        <is>
          <t>12950565</t>
        </is>
      </c>
      <c r="L4245" s="5" t="inlineStr">
        <is>
          <t>407000.110501</t>
        </is>
      </c>
      <c r="M4245" s="5">
        <f>IF(YEAR(I4245)&lt;=2020,"Até 2020",TEXT(YEAR(I4245),"0"))</f>
        <v/>
      </c>
      <c r="N4245" s="5">
        <f>IFERROR(INDEX(DePara!$A:$A,MATCH(TEXT(B4245,"0"),DePara!$D:$D,0)),"(sem categoria)")</f>
        <v/>
      </c>
      <c r="O4245" s="5">
        <f>IF(J4245="","",Parametros!$B$6-J4245)</f>
        <v/>
      </c>
      <c r="P4245" s="5">
        <f>IF(O4245="","",IF(O4245&gt;0,1,0))</f>
        <v/>
      </c>
    </row>
    <row r="4246">
      <c r="A4246" s="5" t="n">
        <v>1191000000</v>
      </c>
      <c r="B4246" s="5" t="inlineStr">
        <is>
          <t>101269</t>
        </is>
      </c>
      <c r="C4246" s="5" t="inlineStr">
        <is>
          <t>CERTISIGN CERTIFICADORA DIGITAL SA</t>
        </is>
      </c>
      <c r="D4246" s="5" t="inlineStr">
        <is>
          <t>UE</t>
        </is>
      </c>
      <c r="E4246" s="5" t="n">
        <v>200033100</v>
      </c>
      <c r="F4246" s="5" t="inlineStr">
        <is>
          <t>24503</t>
        </is>
      </c>
      <c r="G4246" s="5" t="inlineStr">
        <is>
          <t>BRL</t>
        </is>
      </c>
      <c r="H4246" s="9" t="n">
        <v>369.9</v>
      </c>
      <c r="I4246" s="16" t="n">
        <v>44774</v>
      </c>
      <c r="J4246" s="16" t="n">
        <v>44774</v>
      </c>
      <c r="K4246" s="5" t="inlineStr">
        <is>
          <t>14326547</t>
        </is>
      </c>
      <c r="L4246" s="5" t="inlineStr">
        <is>
          <t>407000.110501</t>
        </is>
      </c>
      <c r="M4246" s="5">
        <f>IF(YEAR(I4246)&lt;=2020,"Até 2020",TEXT(YEAR(I4246),"0"))</f>
        <v/>
      </c>
      <c r="N4246" s="5">
        <f>IFERROR(INDEX(DePara!$A:$A,MATCH(TEXT(B4246,"0"),DePara!$D:$D,0)),"(sem categoria)")</f>
        <v/>
      </c>
      <c r="O4246" s="5">
        <f>IF(J4246="","",Parametros!$B$6-J4246)</f>
        <v/>
      </c>
      <c r="P4246" s="5">
        <f>IF(O4246="","",IF(O4246&gt;0,1,0))</f>
        <v/>
      </c>
    </row>
    <row r="4247">
      <c r="A4247" s="5" t="n">
        <v>1191000000</v>
      </c>
      <c r="B4247" s="5" t="inlineStr">
        <is>
          <t>101358</t>
        </is>
      </c>
      <c r="C4247" s="5" t="inlineStr">
        <is>
          <t>MUNICIPIO DE LAJES</t>
        </is>
      </c>
      <c r="D4247" s="5" t="inlineStr">
        <is>
          <t>UE</t>
        </is>
      </c>
      <c r="E4247" s="5" t="n">
        <v>200033117</v>
      </c>
      <c r="F4247" s="5" t="inlineStr">
        <is>
          <t>24520</t>
        </is>
      </c>
      <c r="G4247" s="5" t="inlineStr">
        <is>
          <t>BRL</t>
        </is>
      </c>
      <c r="H4247" s="9" t="n">
        <v>28194.24</v>
      </c>
      <c r="I4247" s="16" t="n">
        <v>44638</v>
      </c>
      <c r="J4247" s="16" t="n">
        <v>44638</v>
      </c>
      <c r="K4247" s="5" t="inlineStr">
        <is>
          <t>2400</t>
        </is>
      </c>
      <c r="L4247" s="5" t="inlineStr">
        <is>
          <t>407000.110501</t>
        </is>
      </c>
      <c r="M4247" s="5">
        <f>IF(YEAR(I4247)&lt;=2020,"Até 2020",TEXT(YEAR(I4247),"0"))</f>
        <v/>
      </c>
      <c r="N4247" s="5">
        <f>IFERROR(INDEX(DePara!$A:$A,MATCH(TEXT(B4247,"0"),DePara!$D:$D,0)),"(sem categoria)")</f>
        <v/>
      </c>
      <c r="O4247" s="5">
        <f>IF(J4247="","",Parametros!$B$6-J4247)</f>
        <v/>
      </c>
      <c r="P4247" s="5">
        <f>IF(O4247="","",IF(O4247&gt;0,1,0))</f>
        <v/>
      </c>
    </row>
    <row r="4248">
      <c r="A4248" s="5" t="n">
        <v>1191000000</v>
      </c>
      <c r="B4248" s="5" t="inlineStr">
        <is>
          <t>101006</t>
        </is>
      </c>
      <c r="C4248" s="5" t="inlineStr">
        <is>
          <t>MUNICIPIO DE SAO BENTO DO NORTE</t>
        </is>
      </c>
      <c r="D4248" s="5" t="inlineStr">
        <is>
          <t>UE</t>
        </is>
      </c>
      <c r="E4248" s="5" t="n">
        <v>200033120</v>
      </c>
      <c r="F4248" s="5" t="inlineStr">
        <is>
          <t>24525</t>
        </is>
      </c>
      <c r="G4248" s="5" t="inlineStr">
        <is>
          <t>BRL</t>
        </is>
      </c>
      <c r="H4248" s="9" t="n">
        <v>143260.73</v>
      </c>
      <c r="I4248" s="16" t="n">
        <v>44320</v>
      </c>
      <c r="J4248" s="16" t="n">
        <v>44320</v>
      </c>
      <c r="K4248" s="5" t="inlineStr">
        <is>
          <t>00067500</t>
        </is>
      </c>
      <c r="L4248" s="5" t="inlineStr">
        <is>
          <t>407000.110501</t>
        </is>
      </c>
      <c r="M4248" s="5">
        <f>IF(YEAR(I4248)&lt;=2020,"Até 2020",TEXT(YEAR(I4248),"0"))</f>
        <v/>
      </c>
      <c r="N4248" s="5">
        <f>IFERROR(INDEX(DePara!$A:$A,MATCH(TEXT(B4248,"0"),DePara!$D:$D,0)),"(sem categoria)")</f>
        <v/>
      </c>
      <c r="O4248" s="5">
        <f>IF(J4248="","",Parametros!$B$6-J4248)</f>
        <v/>
      </c>
      <c r="P4248" s="5">
        <f>IF(O4248="","",IF(O4248&gt;0,1,0))</f>
        <v/>
      </c>
    </row>
    <row r="4249">
      <c r="A4249" s="5" t="n">
        <v>1191000000</v>
      </c>
      <c r="B4249" s="5" t="inlineStr">
        <is>
          <t>101006</t>
        </is>
      </c>
      <c r="C4249" s="5" t="inlineStr">
        <is>
          <t>MUNICIPIO DE SAO BENTO DO NORTE</t>
        </is>
      </c>
      <c r="D4249" s="5" t="inlineStr">
        <is>
          <t>UE</t>
        </is>
      </c>
      <c r="E4249" s="5" t="n">
        <v>200033121</v>
      </c>
      <c r="F4249" s="5" t="inlineStr">
        <is>
          <t>24526</t>
        </is>
      </c>
      <c r="G4249" s="5" t="inlineStr">
        <is>
          <t>BRL</t>
        </is>
      </c>
      <c r="H4249" s="9" t="n">
        <v>47313.12</v>
      </c>
      <c r="I4249" s="16" t="n">
        <v>44320</v>
      </c>
      <c r="J4249" s="16" t="n">
        <v>44320</v>
      </c>
      <c r="K4249" s="5" t="inlineStr">
        <is>
          <t>00067400</t>
        </is>
      </c>
      <c r="L4249" s="5" t="inlineStr">
        <is>
          <t>407000.110501</t>
        </is>
      </c>
      <c r="M4249" s="5">
        <f>IF(YEAR(I4249)&lt;=2020,"Até 2020",TEXT(YEAR(I4249),"0"))</f>
        <v/>
      </c>
      <c r="N4249" s="5">
        <f>IFERROR(INDEX(DePara!$A:$A,MATCH(TEXT(B4249,"0"),DePara!$D:$D,0)),"(sem categoria)")</f>
        <v/>
      </c>
      <c r="O4249" s="5">
        <f>IF(J4249="","",Parametros!$B$6-J4249)</f>
        <v/>
      </c>
      <c r="P4249" s="5">
        <f>IF(O4249="","",IF(O4249&gt;0,1,0))</f>
        <v/>
      </c>
    </row>
    <row r="4250">
      <c r="A4250" s="5" t="n">
        <v>1191000000</v>
      </c>
      <c r="B4250" s="5" t="inlineStr">
        <is>
          <t>EM000332</t>
        </is>
      </c>
      <c r="C4250" s="5" t="inlineStr">
        <is>
          <t>MARIO SERGIO NASCIMENTO DOS SANTOS</t>
        </is>
      </c>
      <c r="D4250" s="5" t="inlineStr">
        <is>
          <t>UE</t>
        </is>
      </c>
      <c r="E4250" s="5" t="n">
        <v>200033122</v>
      </c>
      <c r="F4250" s="5" t="inlineStr">
        <is>
          <t>24527</t>
        </is>
      </c>
      <c r="G4250" s="5" t="inlineStr">
        <is>
          <t>BRL</t>
        </is>
      </c>
      <c r="H4250" s="9" t="n">
        <v>157.11</v>
      </c>
      <c r="I4250" s="16" t="n">
        <v>44638</v>
      </c>
      <c r="J4250" s="16" t="n">
        <v>44638</v>
      </c>
      <c r="K4250" s="5" t="inlineStr">
        <is>
          <t>11011.</t>
        </is>
      </c>
      <c r="L4250" s="5" t="inlineStr">
        <is>
          <t>407000.110501</t>
        </is>
      </c>
      <c r="M4250" s="5">
        <f>IF(YEAR(I4250)&lt;=2020,"Até 2020",TEXT(YEAR(I4250),"0"))</f>
        <v/>
      </c>
      <c r="N4250" s="5">
        <f>IFERROR(INDEX(DePara!$A:$A,MATCH(TEXT(B4250,"0"),DePara!$D:$D,0)),"(sem categoria)")</f>
        <v/>
      </c>
      <c r="O4250" s="5">
        <f>IF(J4250="","",Parametros!$B$6-J4250)</f>
        <v/>
      </c>
      <c r="P4250" s="5">
        <f>IF(O4250="","",IF(O4250&gt;0,1,0))</f>
        <v/>
      </c>
    </row>
    <row r="4251">
      <c r="A4251" s="5" t="n">
        <v>1191000000</v>
      </c>
      <c r="B4251" s="5" t="inlineStr">
        <is>
          <t>101232</t>
        </is>
      </c>
      <c r="C4251" s="5" t="inlineStr">
        <is>
          <t>TRANSDATA ENGENHARIA E MOVIMENTACAO</t>
        </is>
      </c>
      <c r="D4251" s="5" t="inlineStr">
        <is>
          <t>UE</t>
        </is>
      </c>
      <c r="E4251" s="5" t="n">
        <v>200033125</v>
      </c>
      <c r="F4251" s="5" t="inlineStr">
        <is>
          <t>24530</t>
        </is>
      </c>
      <c r="G4251" s="5" t="inlineStr">
        <is>
          <t>BRL</t>
        </is>
      </c>
      <c r="H4251" s="9" t="n">
        <v>117333.33</v>
      </c>
      <c r="I4251" s="16" t="n">
        <v>44293</v>
      </c>
      <c r="J4251" s="16" t="n">
        <v>44293</v>
      </c>
      <c r="K4251" s="5" t="inlineStr">
        <is>
          <t>ADTO CTE 3195</t>
        </is>
      </c>
      <c r="L4251" s="5" t="inlineStr">
        <is>
          <t>407000.110501</t>
        </is>
      </c>
      <c r="M4251" s="5">
        <f>IF(YEAR(I4251)&lt;=2020,"Até 2020",TEXT(YEAR(I4251),"0"))</f>
        <v/>
      </c>
      <c r="N4251" s="5">
        <f>IFERROR(INDEX(DePara!$A:$A,MATCH(TEXT(B4251,"0"),DePara!$D:$D,0)),"(sem categoria)")</f>
        <v/>
      </c>
      <c r="O4251" s="5">
        <f>IF(J4251="","",Parametros!$B$6-J4251)</f>
        <v/>
      </c>
      <c r="P4251" s="5">
        <f>IF(O4251="","",IF(O4251&gt;0,1,0))</f>
        <v/>
      </c>
    </row>
    <row r="4252">
      <c r="A4252" s="5" t="n">
        <v>1191000000</v>
      </c>
      <c r="B4252" s="5" t="inlineStr">
        <is>
          <t>101255</t>
        </is>
      </c>
      <c r="C4252" s="5" t="inlineStr">
        <is>
          <t>WILSON SONS LOGISTICA LTDA</t>
        </is>
      </c>
      <c r="D4252" s="5" t="inlineStr">
        <is>
          <t>UE</t>
        </is>
      </c>
      <c r="E4252" s="5" t="n">
        <v>200033127</v>
      </c>
      <c r="F4252" s="5" t="inlineStr">
        <is>
          <t>24532</t>
        </is>
      </c>
      <c r="G4252" s="5" t="inlineStr">
        <is>
          <t>BRL</t>
        </is>
      </c>
      <c r="H4252" s="9" t="n">
        <v>2773.99</v>
      </c>
      <c r="I4252" s="16" t="n">
        <v>45005</v>
      </c>
      <c r="J4252" s="16" t="n">
        <v>45005</v>
      </c>
      <c r="K4252" s="5" t="inlineStr">
        <is>
          <t>3952</t>
        </is>
      </c>
      <c r="L4252" s="5" t="inlineStr">
        <is>
          <t>407000.110501</t>
        </is>
      </c>
      <c r="M4252" s="5">
        <f>IF(YEAR(I4252)&lt;=2020,"Até 2020",TEXT(YEAR(I4252),"0"))</f>
        <v/>
      </c>
      <c r="N4252" s="5">
        <f>IFERROR(INDEX(DePara!$A:$A,MATCH(TEXT(B4252,"0"),DePara!$D:$D,0)),"(sem categoria)")</f>
        <v/>
      </c>
      <c r="O4252" s="5">
        <f>IF(J4252="","",Parametros!$B$6-J4252)</f>
        <v/>
      </c>
      <c r="P4252" s="5">
        <f>IF(O4252="","",IF(O4252&gt;0,1,0))</f>
        <v/>
      </c>
    </row>
    <row r="4253">
      <c r="A4253" s="5" t="n">
        <v>1191000000</v>
      </c>
      <c r="B4253" s="5" t="inlineStr">
        <is>
          <t>101255</t>
        </is>
      </c>
      <c r="C4253" s="5" t="inlineStr">
        <is>
          <t>WILSON SONS LOGISTICA LTDA</t>
        </is>
      </c>
      <c r="D4253" s="5" t="inlineStr">
        <is>
          <t>UE</t>
        </is>
      </c>
      <c r="E4253" s="5" t="n">
        <v>200033128</v>
      </c>
      <c r="F4253" s="5" t="inlineStr">
        <is>
          <t>24533</t>
        </is>
      </c>
      <c r="G4253" s="5" t="inlineStr">
        <is>
          <t>BRL</t>
        </is>
      </c>
      <c r="H4253" s="9" t="n">
        <v>16822.77</v>
      </c>
      <c r="I4253" s="16" t="n">
        <v>45005</v>
      </c>
      <c r="J4253" s="16" t="n">
        <v>45005</v>
      </c>
      <c r="K4253" s="5" t="inlineStr">
        <is>
          <t>3950</t>
        </is>
      </c>
      <c r="L4253" s="5" t="inlineStr">
        <is>
          <t>407000.110501</t>
        </is>
      </c>
      <c r="M4253" s="5">
        <f>IF(YEAR(I4253)&lt;=2020,"Até 2020",TEXT(YEAR(I4253),"0"))</f>
        <v/>
      </c>
      <c r="N4253" s="5">
        <f>IFERROR(INDEX(DePara!$A:$A,MATCH(TEXT(B4253,"0"),DePara!$D:$D,0)),"(sem categoria)")</f>
        <v/>
      </c>
      <c r="O4253" s="5">
        <f>IF(J4253="","",Parametros!$B$6-J4253)</f>
        <v/>
      </c>
      <c r="P4253" s="5">
        <f>IF(O4253="","",IF(O4253&gt;0,1,0))</f>
        <v/>
      </c>
    </row>
    <row r="4254">
      <c r="A4254" s="5" t="n">
        <v>1191000000</v>
      </c>
      <c r="B4254" s="5" t="inlineStr">
        <is>
          <t>101255</t>
        </is>
      </c>
      <c r="C4254" s="5" t="inlineStr">
        <is>
          <t>WILSON SONS LOGISTICA LTDA</t>
        </is>
      </c>
      <c r="D4254" s="5" t="inlineStr">
        <is>
          <t>UE</t>
        </is>
      </c>
      <c r="E4254" s="5" t="n">
        <v>200033129</v>
      </c>
      <c r="F4254" s="5" t="inlineStr">
        <is>
          <t>24534</t>
        </is>
      </c>
      <c r="G4254" s="5" t="inlineStr">
        <is>
          <t>BRL</t>
        </is>
      </c>
      <c r="H4254" s="9" t="n">
        <v>6992.08</v>
      </c>
      <c r="I4254" s="16" t="n">
        <v>45005</v>
      </c>
      <c r="J4254" s="16" t="n">
        <v>45005</v>
      </c>
      <c r="K4254" s="5" t="inlineStr">
        <is>
          <t>3951</t>
        </is>
      </c>
      <c r="L4254" s="5" t="inlineStr">
        <is>
          <t>407000.110501</t>
        </is>
      </c>
      <c r="M4254" s="5">
        <f>IF(YEAR(I4254)&lt;=2020,"Até 2020",TEXT(YEAR(I4254),"0"))</f>
        <v/>
      </c>
      <c r="N4254" s="5">
        <f>IFERROR(INDEX(DePara!$A:$A,MATCH(TEXT(B4254,"0"),DePara!$D:$D,0)),"(sem categoria)")</f>
        <v/>
      </c>
      <c r="O4254" s="5">
        <f>IF(J4254="","",Parametros!$B$6-J4254)</f>
        <v/>
      </c>
      <c r="P4254" s="5">
        <f>IF(O4254="","",IF(O4254&gt;0,1,0))</f>
        <v/>
      </c>
    </row>
    <row r="4255">
      <c r="A4255" s="5" t="n">
        <v>1191000000</v>
      </c>
      <c r="B4255" s="5" t="inlineStr">
        <is>
          <t>100747</t>
        </is>
      </c>
      <c r="C4255" s="5" t="inlineStr">
        <is>
          <t>MA TECH ENGENHARIA DA CONSTRUCAO LT</t>
        </is>
      </c>
      <c r="D4255" s="5" t="inlineStr">
        <is>
          <t>UE</t>
        </is>
      </c>
      <c r="E4255" s="5" t="n">
        <v>200033130</v>
      </c>
      <c r="F4255" s="5" t="inlineStr">
        <is>
          <t>24535</t>
        </is>
      </c>
      <c r="G4255" s="5" t="inlineStr">
        <is>
          <t>BRL</t>
        </is>
      </c>
      <c r="H4255" s="9" t="n">
        <v>221832.41</v>
      </c>
      <c r="I4255" s="16" t="n">
        <v>44540</v>
      </c>
      <c r="J4255" s="16" t="n">
        <v>44540</v>
      </c>
      <c r="K4255" s="5" t="inlineStr">
        <is>
          <t>0306920219907760035539000</t>
        </is>
      </c>
      <c r="L4255" s="5" t="inlineStr">
        <is>
          <t>407000.110501</t>
        </is>
      </c>
      <c r="M4255" s="5">
        <f>IF(YEAR(I4255)&lt;=2020,"Até 2020",TEXT(YEAR(I4255),"0"))</f>
        <v/>
      </c>
      <c r="N4255" s="5">
        <f>IFERROR(INDEX(DePara!$A:$A,MATCH(TEXT(B4255,"0"),DePara!$D:$D,0)),"(sem categoria)")</f>
        <v/>
      </c>
      <c r="O4255" s="5">
        <f>IF(J4255="","",Parametros!$B$6-J4255)</f>
        <v/>
      </c>
      <c r="P4255" s="5">
        <f>IF(O4255="","",IF(O4255&gt;0,1,0))</f>
        <v/>
      </c>
    </row>
    <row r="4256">
      <c r="A4256" s="5" t="n">
        <v>1191000000</v>
      </c>
      <c r="B4256" s="5" t="inlineStr">
        <is>
          <t>102453</t>
        </is>
      </c>
      <c r="C4256" s="5" t="inlineStr">
        <is>
          <t>GILVAN GONÇALVES DE ANDRADE</t>
        </is>
      </c>
      <c r="D4256" s="5" t="inlineStr">
        <is>
          <t>UE</t>
        </is>
      </c>
      <c r="E4256" s="5" t="n">
        <v>200033131</v>
      </c>
      <c r="F4256" s="5" t="inlineStr">
        <is>
          <t>24537</t>
        </is>
      </c>
      <c r="G4256" s="5" t="inlineStr">
        <is>
          <t>BRL</t>
        </is>
      </c>
      <c r="H4256" s="9" t="n">
        <v>919</v>
      </c>
      <c r="I4256" s="16" t="n">
        <v>44306</v>
      </c>
      <c r="J4256" s="16" t="n">
        <v>44306</v>
      </c>
      <c r="K4256" s="5" t="inlineStr">
        <is>
          <t>20210400.</t>
        </is>
      </c>
      <c r="L4256" s="5" t="inlineStr">
        <is>
          <t>407000.110501</t>
        </is>
      </c>
      <c r="M4256" s="5">
        <f>IF(YEAR(I4256)&lt;=2020,"Até 2020",TEXT(YEAR(I4256),"0"))</f>
        <v/>
      </c>
      <c r="N4256" s="5">
        <f>IFERROR(INDEX(DePara!$A:$A,MATCH(TEXT(B4256,"0"),DePara!$D:$D,0)),"(sem categoria)")</f>
        <v/>
      </c>
      <c r="O4256" s="5">
        <f>IF(J4256="","",Parametros!$B$6-J4256)</f>
        <v/>
      </c>
      <c r="P4256" s="5">
        <f>IF(O4256="","",IF(O4256&gt;0,1,0))</f>
        <v/>
      </c>
    </row>
    <row r="4257">
      <c r="A4257" s="5" t="n">
        <v>1191000000</v>
      </c>
      <c r="B4257" s="5" t="inlineStr">
        <is>
          <t>100812</t>
        </is>
      </c>
      <c r="C4257" s="5" t="inlineStr">
        <is>
          <t>MODULAR TRANSPORTES LTDA</t>
        </is>
      </c>
      <c r="D4257" s="5" t="inlineStr">
        <is>
          <t>UE</t>
        </is>
      </c>
      <c r="E4257" s="5" t="n">
        <v>200033132</v>
      </c>
      <c r="F4257" s="5" t="inlineStr">
        <is>
          <t>24538</t>
        </is>
      </c>
      <c r="G4257" s="5" t="inlineStr">
        <is>
          <t>BRL</t>
        </is>
      </c>
      <c r="H4257" s="9" t="n">
        <v>50.73</v>
      </c>
      <c r="I4257" s="16" t="n">
        <v>44596</v>
      </c>
      <c r="J4257" s="16" t="n">
        <v>44596</v>
      </c>
      <c r="K4257" s="5" t="inlineStr">
        <is>
          <t>935031000</t>
        </is>
      </c>
      <c r="L4257" s="5" t="inlineStr">
        <is>
          <t>407000.110501</t>
        </is>
      </c>
      <c r="M4257" s="5">
        <f>IF(YEAR(I4257)&lt;=2020,"Até 2020",TEXT(YEAR(I4257),"0"))</f>
        <v/>
      </c>
      <c r="N4257" s="5">
        <f>IFERROR(INDEX(DePara!$A:$A,MATCH(TEXT(B4257,"0"),DePara!$D:$D,0)),"(sem categoria)")</f>
        <v/>
      </c>
      <c r="O4257" s="5">
        <f>IF(J4257="","",Parametros!$B$6-J4257)</f>
        <v/>
      </c>
      <c r="P4257" s="5">
        <f>IF(O4257="","",IF(O4257&gt;0,1,0))</f>
        <v/>
      </c>
    </row>
    <row r="4258">
      <c r="A4258" s="5" t="n">
        <v>1191000000</v>
      </c>
      <c r="B4258" s="5" t="inlineStr">
        <is>
          <t>100812</t>
        </is>
      </c>
      <c r="C4258" s="5" t="inlineStr">
        <is>
          <t>MODULAR TRANSPORTES LTDA</t>
        </is>
      </c>
      <c r="D4258" s="5" t="inlineStr">
        <is>
          <t>UE</t>
        </is>
      </c>
      <c r="E4258" s="5" t="n">
        <v>200033133</v>
      </c>
      <c r="F4258" s="5" t="inlineStr">
        <is>
          <t>24539</t>
        </is>
      </c>
      <c r="G4258" s="5" t="inlineStr">
        <is>
          <t>BRL</t>
        </is>
      </c>
      <c r="H4258" s="9" t="n">
        <v>94.93000000000001</v>
      </c>
      <c r="I4258" s="16" t="n">
        <v>44527</v>
      </c>
      <c r="J4258" s="16" t="n">
        <v>44527</v>
      </c>
      <c r="K4258" s="5" t="inlineStr">
        <is>
          <t>929554000</t>
        </is>
      </c>
      <c r="L4258" s="5" t="inlineStr">
        <is>
          <t>407000.110501</t>
        </is>
      </c>
      <c r="M4258" s="5">
        <f>IF(YEAR(I4258)&lt;=2020,"Até 2020",TEXT(YEAR(I4258),"0"))</f>
        <v/>
      </c>
      <c r="N4258" s="5">
        <f>IFERROR(INDEX(DePara!$A:$A,MATCH(TEXT(B4258,"0"),DePara!$D:$D,0)),"(sem categoria)")</f>
        <v/>
      </c>
      <c r="O4258" s="5">
        <f>IF(J4258="","",Parametros!$B$6-J4258)</f>
        <v/>
      </c>
      <c r="P4258" s="5">
        <f>IF(O4258="","",IF(O4258&gt;0,1,0))</f>
        <v/>
      </c>
    </row>
    <row r="4259">
      <c r="A4259" s="5" t="n">
        <v>1191000000</v>
      </c>
      <c r="B4259" s="5" t="inlineStr">
        <is>
          <t>100876</t>
        </is>
      </c>
      <c r="C4259" s="5" t="inlineStr">
        <is>
          <t>EQUIPO INFO SERVICOS DE TECNOLOGIA</t>
        </is>
      </c>
      <c r="D4259" s="5" t="inlineStr">
        <is>
          <t>UE</t>
        </is>
      </c>
      <c r="E4259" s="5" t="n">
        <v>200033134</v>
      </c>
      <c r="F4259" s="5" t="inlineStr">
        <is>
          <t>24540</t>
        </is>
      </c>
      <c r="G4259" s="5" t="inlineStr">
        <is>
          <t>BRL</t>
        </is>
      </c>
      <c r="H4259" s="9" t="n">
        <v>326.72</v>
      </c>
      <c r="I4259" s="16" t="n">
        <v>44391</v>
      </c>
      <c r="J4259" s="16" t="n">
        <v>44391</v>
      </c>
      <c r="K4259" s="5" t="inlineStr">
        <is>
          <t>33047</t>
        </is>
      </c>
      <c r="L4259" s="5" t="inlineStr">
        <is>
          <t>407000.110501</t>
        </is>
      </c>
      <c r="M4259" s="5">
        <f>IF(YEAR(I4259)&lt;=2020,"Até 2020",TEXT(YEAR(I4259),"0"))</f>
        <v/>
      </c>
      <c r="N4259" s="5">
        <f>IFERROR(INDEX(DePara!$A:$A,MATCH(TEXT(B4259,"0"),DePara!$D:$D,0)),"(sem categoria)")</f>
        <v/>
      </c>
      <c r="O4259" s="5">
        <f>IF(J4259="","",Parametros!$B$6-J4259)</f>
        <v/>
      </c>
      <c r="P4259" s="5">
        <f>IF(O4259="","",IF(O4259&gt;0,1,0))</f>
        <v/>
      </c>
    </row>
    <row r="4260">
      <c r="A4260" s="5" t="n">
        <v>1191000000</v>
      </c>
      <c r="B4260" s="5" t="inlineStr">
        <is>
          <t>100909</t>
        </is>
      </c>
      <c r="C4260" s="5" t="inlineStr">
        <is>
          <t>FCG COMERCIO DE ALIMENTOS LTDA</t>
        </is>
      </c>
      <c r="D4260" s="5" t="inlineStr">
        <is>
          <t>UE</t>
        </is>
      </c>
      <c r="E4260" s="5" t="n">
        <v>200033135</v>
      </c>
      <c r="F4260" s="5" t="inlineStr">
        <is>
          <t>24541</t>
        </is>
      </c>
      <c r="G4260" s="5" t="inlineStr">
        <is>
          <t>BRL</t>
        </is>
      </c>
      <c r="H4260" s="9" t="n">
        <v>137233.74</v>
      </c>
      <c r="I4260" s="16" t="n">
        <v>44714</v>
      </c>
      <c r="J4260" s="16" t="n">
        <v>44714</v>
      </c>
      <c r="K4260" s="5" t="inlineStr">
        <is>
          <t>70</t>
        </is>
      </c>
      <c r="L4260" s="5" t="inlineStr">
        <is>
          <t>407000.110501</t>
        </is>
      </c>
      <c r="M4260" s="5">
        <f>IF(YEAR(I4260)&lt;=2020,"Até 2020",TEXT(YEAR(I4260),"0"))</f>
        <v/>
      </c>
      <c r="N4260" s="5">
        <f>IFERROR(INDEX(DePara!$A:$A,MATCH(TEXT(B4260,"0"),DePara!$D:$D,0)),"(sem categoria)")</f>
        <v/>
      </c>
      <c r="O4260" s="5">
        <f>IF(J4260="","",Parametros!$B$6-J4260)</f>
        <v/>
      </c>
      <c r="P4260" s="5">
        <f>IF(O4260="","",IF(O4260&gt;0,1,0))</f>
        <v/>
      </c>
    </row>
    <row r="4261">
      <c r="A4261" s="5" t="n">
        <v>1191000000</v>
      </c>
      <c r="B4261" s="5" t="inlineStr">
        <is>
          <t>100951</t>
        </is>
      </c>
      <c r="C4261" s="5" t="inlineStr">
        <is>
          <t>CONCRELOC CONCRETO LTDA</t>
        </is>
      </c>
      <c r="D4261" s="5" t="inlineStr">
        <is>
          <t>UE</t>
        </is>
      </c>
      <c r="E4261" s="5" t="n">
        <v>200033137</v>
      </c>
      <c r="F4261" s="5" t="inlineStr">
        <is>
          <t>24543</t>
        </is>
      </c>
      <c r="G4261" s="5" t="inlineStr">
        <is>
          <t>BRL</t>
        </is>
      </c>
      <c r="H4261" s="9" t="n">
        <v>667.5</v>
      </c>
      <c r="I4261" s="16" t="n">
        <v>44476</v>
      </c>
      <c r="J4261" s="16" t="n">
        <v>44476</v>
      </c>
      <c r="K4261" s="5" t="inlineStr">
        <is>
          <t>21005260</t>
        </is>
      </c>
      <c r="L4261" s="5" t="inlineStr">
        <is>
          <t>407000.110501</t>
        </is>
      </c>
      <c r="M4261" s="5">
        <f>IF(YEAR(I4261)&lt;=2020,"Até 2020",TEXT(YEAR(I4261),"0"))</f>
        <v/>
      </c>
      <c r="N4261" s="5">
        <f>IFERROR(INDEX(DePara!$A:$A,MATCH(TEXT(B4261,"0"),DePara!$D:$D,0)),"(sem categoria)")</f>
        <v/>
      </c>
      <c r="O4261" s="5">
        <f>IF(J4261="","",Parametros!$B$6-J4261)</f>
        <v/>
      </c>
      <c r="P4261" s="5">
        <f>IF(O4261="","",IF(O4261&gt;0,1,0))</f>
        <v/>
      </c>
    </row>
    <row r="4262">
      <c r="A4262" s="5" t="n">
        <v>1191000000</v>
      </c>
      <c r="B4262" s="5" t="inlineStr">
        <is>
          <t>100951</t>
        </is>
      </c>
      <c r="C4262" s="5" t="inlineStr">
        <is>
          <t>CONCRELOC CONCRETO LTDA</t>
        </is>
      </c>
      <c r="D4262" s="5" t="inlineStr">
        <is>
          <t>UE</t>
        </is>
      </c>
      <c r="E4262" s="5" t="n">
        <v>200033138</v>
      </c>
      <c r="F4262" s="5" t="inlineStr">
        <is>
          <t>24544</t>
        </is>
      </c>
      <c r="G4262" s="5" t="inlineStr">
        <is>
          <t>BRL</t>
        </is>
      </c>
      <c r="H4262" s="9" t="n">
        <v>1287.63</v>
      </c>
      <c r="I4262" s="16" t="n">
        <v>44488</v>
      </c>
      <c r="J4262" s="16" t="n">
        <v>44488</v>
      </c>
      <c r="K4262" s="5" t="inlineStr">
        <is>
          <t>21005410</t>
        </is>
      </c>
      <c r="L4262" s="5" t="inlineStr">
        <is>
          <t>407000.110501</t>
        </is>
      </c>
      <c r="M4262" s="5">
        <f>IF(YEAR(I4262)&lt;=2020,"Até 2020",TEXT(YEAR(I4262),"0"))</f>
        <v/>
      </c>
      <c r="N4262" s="5">
        <f>IFERROR(INDEX(DePara!$A:$A,MATCH(TEXT(B4262,"0"),DePara!$D:$D,0)),"(sem categoria)")</f>
        <v/>
      </c>
      <c r="O4262" s="5">
        <f>IF(J4262="","",Parametros!$B$6-J4262)</f>
        <v/>
      </c>
      <c r="P4262" s="5">
        <f>IF(O4262="","",IF(O4262&gt;0,1,0))</f>
        <v/>
      </c>
    </row>
    <row r="4263">
      <c r="A4263" s="5" t="n">
        <v>1191000000</v>
      </c>
      <c r="B4263" s="5" t="inlineStr">
        <is>
          <t>100951</t>
        </is>
      </c>
      <c r="C4263" s="5" t="inlineStr">
        <is>
          <t>CONCRELOC CONCRETO LTDA</t>
        </is>
      </c>
      <c r="D4263" s="5" t="inlineStr">
        <is>
          <t>UE</t>
        </is>
      </c>
      <c r="E4263" s="5" t="n">
        <v>200033139</v>
      </c>
      <c r="F4263" s="5" t="inlineStr">
        <is>
          <t>24545</t>
        </is>
      </c>
      <c r="G4263" s="5" t="inlineStr">
        <is>
          <t>BRL</t>
        </is>
      </c>
      <c r="H4263" s="9" t="n">
        <v>21593.1</v>
      </c>
      <c r="I4263" s="16" t="n">
        <v>44518</v>
      </c>
      <c r="J4263" s="16" t="n">
        <v>44518</v>
      </c>
      <c r="K4263" s="5" t="inlineStr">
        <is>
          <t>21006147</t>
        </is>
      </c>
      <c r="L4263" s="5" t="inlineStr">
        <is>
          <t>407000.110501</t>
        </is>
      </c>
      <c r="M4263" s="5">
        <f>IF(YEAR(I4263)&lt;=2020,"Até 2020",TEXT(YEAR(I4263),"0"))</f>
        <v/>
      </c>
      <c r="N4263" s="5">
        <f>IFERROR(INDEX(DePara!$A:$A,MATCH(TEXT(B4263,"0"),DePara!$D:$D,0)),"(sem categoria)")</f>
        <v/>
      </c>
      <c r="O4263" s="5">
        <f>IF(J4263="","",Parametros!$B$6-J4263)</f>
        <v/>
      </c>
      <c r="P4263" s="5">
        <f>IF(O4263="","",IF(O4263&gt;0,1,0))</f>
        <v/>
      </c>
    </row>
    <row r="4264">
      <c r="A4264" s="5" t="n">
        <v>1191000000</v>
      </c>
      <c r="B4264" s="5" t="inlineStr">
        <is>
          <t>100951</t>
        </is>
      </c>
      <c r="C4264" s="5" t="inlineStr">
        <is>
          <t>CONCRELOC CONCRETO LTDA</t>
        </is>
      </c>
      <c r="D4264" s="5" t="inlineStr">
        <is>
          <t>UE</t>
        </is>
      </c>
      <c r="E4264" s="5" t="n">
        <v>200033140</v>
      </c>
      <c r="F4264" s="5" t="inlineStr">
        <is>
          <t>24546</t>
        </is>
      </c>
      <c r="G4264" s="5" t="inlineStr">
        <is>
          <t>BRL</t>
        </is>
      </c>
      <c r="H4264" s="9" t="n">
        <v>5352.46</v>
      </c>
      <c r="I4264" s="16" t="n">
        <v>44658</v>
      </c>
      <c r="J4264" s="16" t="n">
        <v>44658</v>
      </c>
      <c r="K4264" s="5" t="inlineStr">
        <is>
          <t>PEDIDO 22001844</t>
        </is>
      </c>
      <c r="L4264" s="5" t="inlineStr">
        <is>
          <t>407000.110501</t>
        </is>
      </c>
      <c r="M4264" s="5">
        <f>IF(YEAR(I4264)&lt;=2020,"Até 2020",TEXT(YEAR(I4264),"0"))</f>
        <v/>
      </c>
      <c r="N4264" s="5">
        <f>IFERROR(INDEX(DePara!$A:$A,MATCH(TEXT(B4264,"0"),DePara!$D:$D,0)),"(sem categoria)")</f>
        <v/>
      </c>
      <c r="O4264" s="5">
        <f>IF(J4264="","",Parametros!$B$6-J4264)</f>
        <v/>
      </c>
      <c r="P4264" s="5">
        <f>IF(O4264="","",IF(O4264&gt;0,1,0))</f>
        <v/>
      </c>
    </row>
    <row r="4265">
      <c r="A4265" s="5" t="n">
        <v>1191000000</v>
      </c>
      <c r="B4265" s="5" t="inlineStr">
        <is>
          <t>100548</t>
        </is>
      </c>
      <c r="C4265" s="5" t="inlineStr">
        <is>
          <t>POLIMEXE CONCRETOS CONSTRUCOES E SE</t>
        </is>
      </c>
      <c r="D4265" s="5" t="inlineStr">
        <is>
          <t>UE</t>
        </is>
      </c>
      <c r="E4265" s="5" t="n">
        <v>200033142</v>
      </c>
      <c r="F4265" s="5" t="inlineStr">
        <is>
          <t>24548</t>
        </is>
      </c>
      <c r="G4265" s="5" t="inlineStr">
        <is>
          <t>BRL</t>
        </is>
      </c>
      <c r="H4265" s="9" t="n">
        <v>3215.02</v>
      </c>
      <c r="I4265" s="16" t="n">
        <v>44679</v>
      </c>
      <c r="J4265" s="16" t="n">
        <v>44679</v>
      </c>
      <c r="K4265" s="5" t="inlineStr">
        <is>
          <t>233</t>
        </is>
      </c>
      <c r="L4265" s="5" t="inlineStr">
        <is>
          <t>407000.110501</t>
        </is>
      </c>
      <c r="M4265" s="5">
        <f>IF(YEAR(I4265)&lt;=2020,"Até 2020",TEXT(YEAR(I4265),"0"))</f>
        <v/>
      </c>
      <c r="N4265" s="5">
        <f>IFERROR(INDEX(DePara!$A:$A,MATCH(TEXT(B4265,"0"),DePara!$D:$D,0)),"(sem categoria)")</f>
        <v/>
      </c>
      <c r="O4265" s="5">
        <f>IF(J4265="","",Parametros!$B$6-J4265)</f>
        <v/>
      </c>
      <c r="P4265" s="5">
        <f>IF(O4265="","",IF(O4265&gt;0,1,0))</f>
        <v/>
      </c>
    </row>
    <row r="4266">
      <c r="A4266" s="5" t="n">
        <v>1191000000</v>
      </c>
      <c r="B4266" s="5" t="inlineStr">
        <is>
          <t>100558</t>
        </is>
      </c>
      <c r="C4266" s="5" t="inlineStr">
        <is>
          <t>REAL SERVICE TRANSPORTE E TURISMO L</t>
        </is>
      </c>
      <c r="D4266" s="5" t="inlineStr">
        <is>
          <t>UE</t>
        </is>
      </c>
      <c r="E4266" s="5" t="n">
        <v>200033143</v>
      </c>
      <c r="F4266" s="5" t="inlineStr">
        <is>
          <t>24549</t>
        </is>
      </c>
      <c r="G4266" s="5" t="inlineStr">
        <is>
          <t>BRL</t>
        </is>
      </c>
      <c r="H4266" s="9" t="n">
        <v>724.46</v>
      </c>
      <c r="I4266" s="16" t="n">
        <v>44690</v>
      </c>
      <c r="J4266" s="16" t="n">
        <v>44690</v>
      </c>
      <c r="K4266" s="5" t="inlineStr">
        <is>
          <t>FTD203002</t>
        </is>
      </c>
      <c r="L4266" s="5" t="inlineStr">
        <is>
          <t>407000.110501</t>
        </is>
      </c>
      <c r="M4266" s="5">
        <f>IF(YEAR(I4266)&lt;=2020,"Até 2020",TEXT(YEAR(I4266),"0"))</f>
        <v/>
      </c>
      <c r="N4266" s="5">
        <f>IFERROR(INDEX(DePara!$A:$A,MATCH(TEXT(B4266,"0"),DePara!$D:$D,0)),"(sem categoria)")</f>
        <v/>
      </c>
      <c r="O4266" s="5">
        <f>IF(J4266="","",Parametros!$B$6-J4266)</f>
        <v/>
      </c>
      <c r="P4266" s="5">
        <f>IF(O4266="","",IF(O4266&gt;0,1,0))</f>
        <v/>
      </c>
    </row>
    <row r="4267">
      <c r="A4267" s="5" t="n">
        <v>1191000000</v>
      </c>
      <c r="B4267" s="5" t="inlineStr">
        <is>
          <t>100566</t>
        </is>
      </c>
      <c r="C4267" s="5" t="inlineStr">
        <is>
          <t>BRASIL TERMINAL PORTUARIO S.A.</t>
        </is>
      </c>
      <c r="D4267" s="5" t="inlineStr">
        <is>
          <t>UE</t>
        </is>
      </c>
      <c r="E4267" s="5" t="n">
        <v>200033144</v>
      </c>
      <c r="F4267" s="5" t="inlineStr">
        <is>
          <t>24550</t>
        </is>
      </c>
      <c r="G4267" s="5" t="inlineStr">
        <is>
          <t>BRL</t>
        </is>
      </c>
      <c r="H4267" s="9" t="n">
        <v>2176.47</v>
      </c>
      <c r="I4267" s="16" t="n">
        <v>44916</v>
      </c>
      <c r="J4267" s="16" t="n">
        <v>44916</v>
      </c>
      <c r="K4267" s="5" t="inlineStr">
        <is>
          <t>PROTESTOS BRASIL PORTUAR</t>
        </is>
      </c>
      <c r="L4267" s="5" t="inlineStr">
        <is>
          <t>407000.110501</t>
        </is>
      </c>
      <c r="M4267" s="5">
        <f>IF(YEAR(I4267)&lt;=2020,"Até 2020",TEXT(YEAR(I4267),"0"))</f>
        <v/>
      </c>
      <c r="N4267" s="5">
        <f>IFERROR(INDEX(DePara!$A:$A,MATCH(TEXT(B4267,"0"),DePara!$D:$D,0)),"(sem categoria)")</f>
        <v/>
      </c>
      <c r="O4267" s="5">
        <f>IF(J4267="","",Parametros!$B$6-J4267)</f>
        <v/>
      </c>
      <c r="P4267" s="5">
        <f>IF(O4267="","",IF(O4267&gt;0,1,0))</f>
        <v/>
      </c>
    </row>
    <row r="4268">
      <c r="A4268" s="5" t="n">
        <v>1191000000</v>
      </c>
      <c r="B4268" s="5" t="inlineStr">
        <is>
          <t>101334</t>
        </is>
      </c>
      <c r="C4268" s="5" t="inlineStr">
        <is>
          <t>ABRILSAN ASSES EM CART DE PROT LTDA</t>
        </is>
      </c>
      <c r="D4268" s="5" t="inlineStr">
        <is>
          <t>UE</t>
        </is>
      </c>
      <c r="E4268" s="5" t="n">
        <v>200033145</v>
      </c>
      <c r="F4268" s="5" t="inlineStr">
        <is>
          <t>24551</t>
        </is>
      </c>
      <c r="G4268" s="5" t="inlineStr">
        <is>
          <t>BRL</t>
        </is>
      </c>
      <c r="H4268" s="9" t="n">
        <v>95.55</v>
      </c>
      <c r="I4268" s="16" t="n">
        <v>45083</v>
      </c>
      <c r="J4268" s="16" t="n">
        <v>45083</v>
      </c>
      <c r="K4268" s="5" t="inlineStr">
        <is>
          <t>123312001</t>
        </is>
      </c>
      <c r="L4268" s="5" t="inlineStr">
        <is>
          <t>407000.110501</t>
        </is>
      </c>
      <c r="M4268" s="5">
        <f>IF(YEAR(I4268)&lt;=2020,"Até 2020",TEXT(YEAR(I4268),"0"))</f>
        <v/>
      </c>
      <c r="N4268" s="5">
        <f>IFERROR(INDEX(DePara!$A:$A,MATCH(TEXT(B4268,"0"),DePara!$D:$D,0)),"(sem categoria)")</f>
        <v/>
      </c>
      <c r="O4268" s="5">
        <f>IF(J4268="","",Parametros!$B$6-J4268)</f>
        <v/>
      </c>
      <c r="P4268" s="5">
        <f>IF(O4268="","",IF(O4268&gt;0,1,0))</f>
        <v/>
      </c>
    </row>
    <row r="4269">
      <c r="A4269" s="5" t="n">
        <v>1191000000</v>
      </c>
      <c r="B4269" s="5" t="inlineStr">
        <is>
          <t>101334</t>
        </is>
      </c>
      <c r="C4269" s="5" t="inlineStr">
        <is>
          <t>ABRILSAN ASSES EM CART DE PROT LTDA</t>
        </is>
      </c>
      <c r="D4269" s="5" t="inlineStr">
        <is>
          <t>UE</t>
        </is>
      </c>
      <c r="E4269" s="5" t="n">
        <v>200033146</v>
      </c>
      <c r="F4269" s="5" t="inlineStr">
        <is>
          <t>24552</t>
        </is>
      </c>
      <c r="G4269" s="5" t="inlineStr">
        <is>
          <t>BRL</t>
        </is>
      </c>
      <c r="H4269" s="9" t="n">
        <v>410.97</v>
      </c>
      <c r="I4269" s="16" t="n">
        <v>45083</v>
      </c>
      <c r="J4269" s="16" t="n">
        <v>45083</v>
      </c>
      <c r="K4269" s="5" t="inlineStr">
        <is>
          <t>123320001</t>
        </is>
      </c>
      <c r="L4269" s="5" t="inlineStr">
        <is>
          <t>407000.110501</t>
        </is>
      </c>
      <c r="M4269" s="5">
        <f>IF(YEAR(I4269)&lt;=2020,"Até 2020",TEXT(YEAR(I4269),"0"))</f>
        <v/>
      </c>
      <c r="N4269" s="5">
        <f>IFERROR(INDEX(DePara!$A:$A,MATCH(TEXT(B4269,"0"),DePara!$D:$D,0)),"(sem categoria)")</f>
        <v/>
      </c>
      <c r="O4269" s="5">
        <f>IF(J4269="","",Parametros!$B$6-J4269)</f>
        <v/>
      </c>
      <c r="P4269" s="5">
        <f>IF(O4269="","",IF(O4269&gt;0,1,0))</f>
        <v/>
      </c>
    </row>
    <row r="4270">
      <c r="A4270" s="5" t="n">
        <v>1191000000</v>
      </c>
      <c r="B4270" s="5" t="inlineStr">
        <is>
          <t>100573</t>
        </is>
      </c>
      <c r="C4270" s="5" t="inlineStr">
        <is>
          <t>FEDERAL EXPRESS CORPORATION</t>
        </is>
      </c>
      <c r="D4270" s="5" t="inlineStr">
        <is>
          <t>UE</t>
        </is>
      </c>
      <c r="E4270" s="5" t="n">
        <v>200033147</v>
      </c>
      <c r="F4270" s="5" t="inlineStr">
        <is>
          <t>24553</t>
        </is>
      </c>
      <c r="G4270" s="5" t="inlineStr">
        <is>
          <t>BRL</t>
        </is>
      </c>
      <c r="H4270" s="9" t="n">
        <v>6023.31</v>
      </c>
      <c r="I4270" s="16" t="n">
        <v>44680</v>
      </c>
      <c r="J4270" s="16" t="n">
        <v>44680</v>
      </c>
      <c r="K4270" s="5" t="inlineStr">
        <is>
          <t>3686439</t>
        </is>
      </c>
      <c r="L4270" s="5" t="inlineStr">
        <is>
          <t>407000.110501</t>
        </is>
      </c>
      <c r="M4270" s="5">
        <f>IF(YEAR(I4270)&lt;=2020,"Até 2020",TEXT(YEAR(I4270),"0"))</f>
        <v/>
      </c>
      <c r="N4270" s="5">
        <f>IFERROR(INDEX(DePara!$A:$A,MATCH(TEXT(B4270,"0"),DePara!$D:$D,0)),"(sem categoria)")</f>
        <v/>
      </c>
      <c r="O4270" s="5">
        <f>IF(J4270="","",Parametros!$B$6-J4270)</f>
        <v/>
      </c>
      <c r="P4270" s="5">
        <f>IF(O4270="","",IF(O4270&gt;0,1,0))</f>
        <v/>
      </c>
    </row>
    <row r="4271">
      <c r="A4271" s="5" t="n">
        <v>1191000000</v>
      </c>
      <c r="B4271" s="5" t="inlineStr">
        <is>
          <t>100585</t>
        </is>
      </c>
      <c r="C4271" s="5" t="inlineStr">
        <is>
          <t>MM ENERGIA CONSTRUCOES E MANUTENCOE</t>
        </is>
      </c>
      <c r="D4271" s="5" t="inlineStr">
        <is>
          <t>UE</t>
        </is>
      </c>
      <c r="E4271" s="5" t="n">
        <v>200033148</v>
      </c>
      <c r="F4271" s="5" t="inlineStr">
        <is>
          <t>24554</t>
        </is>
      </c>
      <c r="G4271" s="5" t="inlineStr">
        <is>
          <t>BRL</t>
        </is>
      </c>
      <c r="H4271" s="9" t="n">
        <v>1501.74</v>
      </c>
      <c r="I4271" s="16" t="n">
        <v>44664</v>
      </c>
      <c r="J4271" s="16" t="n">
        <v>44664</v>
      </c>
      <c r="K4271" s="5" t="inlineStr">
        <is>
          <t>446</t>
        </is>
      </c>
      <c r="L4271" s="5" t="inlineStr">
        <is>
          <t>407000.110501</t>
        </is>
      </c>
      <c r="M4271" s="5">
        <f>IF(YEAR(I4271)&lt;=2020,"Até 2020",TEXT(YEAR(I4271),"0"))</f>
        <v/>
      </c>
      <c r="N4271" s="5">
        <f>IFERROR(INDEX(DePara!$A:$A,MATCH(TEXT(B4271,"0"),DePara!$D:$D,0)),"(sem categoria)")</f>
        <v/>
      </c>
      <c r="O4271" s="5">
        <f>IF(J4271="","",Parametros!$B$6-J4271)</f>
        <v/>
      </c>
      <c r="P4271" s="5">
        <f>IF(O4271="","",IF(O4271&gt;0,1,0))</f>
        <v/>
      </c>
    </row>
    <row r="4272">
      <c r="A4272" s="5" t="n">
        <v>1191000000</v>
      </c>
      <c r="B4272" s="5" t="inlineStr">
        <is>
          <t>100585</t>
        </is>
      </c>
      <c r="C4272" s="5" t="inlineStr">
        <is>
          <t>MM ENERGIA CONSTRUCOES E MANUTENCOE</t>
        </is>
      </c>
      <c r="D4272" s="5" t="inlineStr">
        <is>
          <t>UE</t>
        </is>
      </c>
      <c r="E4272" s="5" t="n">
        <v>200033149</v>
      </c>
      <c r="F4272" s="5" t="inlineStr">
        <is>
          <t>24555</t>
        </is>
      </c>
      <c r="G4272" s="5" t="inlineStr">
        <is>
          <t>BRL</t>
        </is>
      </c>
      <c r="H4272" s="9" t="n">
        <v>1501.74</v>
      </c>
      <c r="I4272" s="16" t="n">
        <v>44664</v>
      </c>
      <c r="J4272" s="16" t="n">
        <v>44664</v>
      </c>
      <c r="K4272" s="5" t="inlineStr">
        <is>
          <t>448</t>
        </is>
      </c>
      <c r="L4272" s="5" t="inlineStr">
        <is>
          <t>407000.110501</t>
        </is>
      </c>
      <c r="M4272" s="5">
        <f>IF(YEAR(I4272)&lt;=2020,"Até 2020",TEXT(YEAR(I4272),"0"))</f>
        <v/>
      </c>
      <c r="N4272" s="5">
        <f>IFERROR(INDEX(DePara!$A:$A,MATCH(TEXT(B4272,"0"),DePara!$D:$D,0)),"(sem categoria)")</f>
        <v/>
      </c>
      <c r="O4272" s="5">
        <f>IF(J4272="","",Parametros!$B$6-J4272)</f>
        <v/>
      </c>
      <c r="P4272" s="5">
        <f>IF(O4272="","",IF(O4272&gt;0,1,0))</f>
        <v/>
      </c>
    </row>
    <row r="4273">
      <c r="A4273" s="5" t="n">
        <v>1191000000</v>
      </c>
      <c r="B4273" s="5" t="inlineStr">
        <is>
          <t>100585</t>
        </is>
      </c>
      <c r="C4273" s="5" t="inlineStr">
        <is>
          <t>MM ENERGIA CONSTRUCOES E MANUTENCOE</t>
        </is>
      </c>
      <c r="D4273" s="5" t="inlineStr">
        <is>
          <t>UE</t>
        </is>
      </c>
      <c r="E4273" s="5" t="n">
        <v>200033150</v>
      </c>
      <c r="F4273" s="5" t="inlineStr">
        <is>
          <t>24556</t>
        </is>
      </c>
      <c r="G4273" s="5" t="inlineStr">
        <is>
          <t>BRL</t>
        </is>
      </c>
      <c r="H4273" s="9" t="n">
        <v>6389.33</v>
      </c>
      <c r="I4273" s="16" t="n">
        <v>44665</v>
      </c>
      <c r="J4273" s="16" t="n">
        <v>44665</v>
      </c>
      <c r="K4273" s="5" t="inlineStr">
        <is>
          <t>54</t>
        </is>
      </c>
      <c r="L4273" s="5" t="inlineStr">
        <is>
          <t>407000.110501</t>
        </is>
      </c>
      <c r="M4273" s="5">
        <f>IF(YEAR(I4273)&lt;=2020,"Até 2020",TEXT(YEAR(I4273),"0"))</f>
        <v/>
      </c>
      <c r="N4273" s="5">
        <f>IFERROR(INDEX(DePara!$A:$A,MATCH(TEXT(B4273,"0"),DePara!$D:$D,0)),"(sem categoria)")</f>
        <v/>
      </c>
      <c r="O4273" s="5">
        <f>IF(J4273="","",Parametros!$B$6-J4273)</f>
        <v/>
      </c>
      <c r="P4273" s="5">
        <f>IF(O4273="","",IF(O4273&gt;0,1,0))</f>
        <v/>
      </c>
    </row>
    <row r="4274">
      <c r="A4274" s="5" t="n">
        <v>1191000000</v>
      </c>
      <c r="B4274" s="5" t="inlineStr">
        <is>
          <t>100585</t>
        </is>
      </c>
      <c r="C4274" s="5" t="inlineStr">
        <is>
          <t>MM ENERGIA CONSTRUCOES E MANUTENCOE</t>
        </is>
      </c>
      <c r="D4274" s="5" t="inlineStr">
        <is>
          <t>UE</t>
        </is>
      </c>
      <c r="E4274" s="5" t="n">
        <v>200033151</v>
      </c>
      <c r="F4274" s="5" t="inlineStr">
        <is>
          <t>24557</t>
        </is>
      </c>
      <c r="G4274" s="5" t="inlineStr">
        <is>
          <t>BRL</t>
        </is>
      </c>
      <c r="H4274" s="9" t="n">
        <v>7304.15</v>
      </c>
      <c r="I4274" s="16" t="n">
        <v>44665</v>
      </c>
      <c r="J4274" s="16" t="n">
        <v>44665</v>
      </c>
      <c r="K4274" s="5" t="inlineStr">
        <is>
          <t>53</t>
        </is>
      </c>
      <c r="L4274" s="5" t="inlineStr">
        <is>
          <t>407000.110501</t>
        </is>
      </c>
      <c r="M4274" s="5">
        <f>IF(YEAR(I4274)&lt;=2020,"Até 2020",TEXT(YEAR(I4274),"0"))</f>
        <v/>
      </c>
      <c r="N4274" s="5">
        <f>IFERROR(INDEX(DePara!$A:$A,MATCH(TEXT(B4274,"0"),DePara!$D:$D,0)),"(sem categoria)")</f>
        <v/>
      </c>
      <c r="O4274" s="5">
        <f>IF(J4274="","",Parametros!$B$6-J4274)</f>
        <v/>
      </c>
      <c r="P4274" s="5">
        <f>IF(O4274="","",IF(O4274&gt;0,1,0))</f>
        <v/>
      </c>
    </row>
    <row r="4275">
      <c r="A4275" s="5" t="n">
        <v>1191000000</v>
      </c>
      <c r="B4275" s="5" t="inlineStr">
        <is>
          <t>100585</t>
        </is>
      </c>
      <c r="C4275" s="5" t="inlineStr">
        <is>
          <t>MM ENERGIA CONSTRUCOES E MANUTENCOE</t>
        </is>
      </c>
      <c r="D4275" s="5" t="inlineStr">
        <is>
          <t>UE</t>
        </is>
      </c>
      <c r="E4275" s="5" t="n">
        <v>200033152</v>
      </c>
      <c r="F4275" s="5" t="inlineStr">
        <is>
          <t>24558</t>
        </is>
      </c>
      <c r="G4275" s="5" t="inlineStr">
        <is>
          <t>BRL</t>
        </is>
      </c>
      <c r="H4275" s="9" t="n">
        <v>6041.74</v>
      </c>
      <c r="I4275" s="16" t="n">
        <v>44665</v>
      </c>
      <c r="J4275" s="16" t="n">
        <v>44665</v>
      </c>
      <c r="K4275" s="5" t="inlineStr">
        <is>
          <t>52</t>
        </is>
      </c>
      <c r="L4275" s="5" t="inlineStr">
        <is>
          <t>407000.110501</t>
        </is>
      </c>
      <c r="M4275" s="5">
        <f>IF(YEAR(I4275)&lt;=2020,"Até 2020",TEXT(YEAR(I4275),"0"))</f>
        <v/>
      </c>
      <c r="N4275" s="5">
        <f>IFERROR(INDEX(DePara!$A:$A,MATCH(TEXT(B4275,"0"),DePara!$D:$D,0)),"(sem categoria)")</f>
        <v/>
      </c>
      <c r="O4275" s="5">
        <f>IF(J4275="","",Parametros!$B$6-J4275)</f>
        <v/>
      </c>
      <c r="P4275" s="5">
        <f>IF(O4275="","",IF(O4275&gt;0,1,0))</f>
        <v/>
      </c>
    </row>
    <row r="4276">
      <c r="A4276" s="5" t="n">
        <v>1191000000</v>
      </c>
      <c r="B4276" s="5" t="inlineStr">
        <is>
          <t>100585</t>
        </is>
      </c>
      <c r="C4276" s="5" t="inlineStr">
        <is>
          <t>MM ENERGIA CONSTRUCOES E MANUTENCOE</t>
        </is>
      </c>
      <c r="D4276" s="5" t="inlineStr">
        <is>
          <t>UE</t>
        </is>
      </c>
      <c r="E4276" s="5" t="n">
        <v>200033153</v>
      </c>
      <c r="F4276" s="5" t="inlineStr">
        <is>
          <t>24559</t>
        </is>
      </c>
      <c r="G4276" s="5" t="inlineStr">
        <is>
          <t>BRL</t>
        </is>
      </c>
      <c r="H4276" s="9" t="n">
        <v>13902.03</v>
      </c>
      <c r="I4276" s="16" t="n">
        <v>44665</v>
      </c>
      <c r="J4276" s="16" t="n">
        <v>44665</v>
      </c>
      <c r="K4276" s="5" t="inlineStr">
        <is>
          <t>51</t>
        </is>
      </c>
      <c r="L4276" s="5" t="inlineStr">
        <is>
          <t>407000.110501</t>
        </is>
      </c>
      <c r="M4276" s="5">
        <f>IF(YEAR(I4276)&lt;=2020,"Até 2020",TEXT(YEAR(I4276),"0"))</f>
        <v/>
      </c>
      <c r="N4276" s="5">
        <f>IFERROR(INDEX(DePara!$A:$A,MATCH(TEXT(B4276,"0"),DePara!$D:$D,0)),"(sem categoria)")</f>
        <v/>
      </c>
      <c r="O4276" s="5">
        <f>IF(J4276="","",Parametros!$B$6-J4276)</f>
        <v/>
      </c>
      <c r="P4276" s="5">
        <f>IF(O4276="","",IF(O4276&gt;0,1,0))</f>
        <v/>
      </c>
    </row>
    <row r="4277">
      <c r="A4277" s="5" t="n">
        <v>1191000000</v>
      </c>
      <c r="B4277" s="5" t="inlineStr">
        <is>
          <t>100590</t>
        </is>
      </c>
      <c r="C4277" s="5" t="inlineStr">
        <is>
          <t>WDS ENGENHARIA E LOGISTICA LTDA</t>
        </is>
      </c>
      <c r="D4277" s="5" t="inlineStr">
        <is>
          <t>UE</t>
        </is>
      </c>
      <c r="E4277" s="5" t="n">
        <v>200033154</v>
      </c>
      <c r="F4277" s="5" t="inlineStr">
        <is>
          <t>24560</t>
        </is>
      </c>
      <c r="G4277" s="5" t="inlineStr">
        <is>
          <t>BRL</t>
        </is>
      </c>
      <c r="H4277" s="9" t="n">
        <v>74613.64</v>
      </c>
      <c r="I4277" s="16" t="n">
        <v>44812</v>
      </c>
      <c r="J4277" s="16" t="n">
        <v>44812</v>
      </c>
      <c r="K4277" s="5" t="inlineStr">
        <is>
          <t>3100</t>
        </is>
      </c>
      <c r="L4277" s="5" t="inlineStr">
        <is>
          <t>407000.110501</t>
        </is>
      </c>
      <c r="M4277" s="5">
        <f>IF(YEAR(I4277)&lt;=2020,"Até 2020",TEXT(YEAR(I4277),"0"))</f>
        <v/>
      </c>
      <c r="N4277" s="5">
        <f>IFERROR(INDEX(DePara!$A:$A,MATCH(TEXT(B4277,"0"),DePara!$D:$D,0)),"(sem categoria)")</f>
        <v/>
      </c>
      <c r="O4277" s="5">
        <f>IF(J4277="","",Parametros!$B$6-J4277)</f>
        <v/>
      </c>
      <c r="P4277" s="5">
        <f>IF(O4277="","",IF(O4277&gt;0,1,0))</f>
        <v/>
      </c>
    </row>
    <row r="4278">
      <c r="A4278" s="5" t="n">
        <v>1191000000</v>
      </c>
      <c r="B4278" s="5" t="inlineStr">
        <is>
          <t>100614</t>
        </is>
      </c>
      <c r="C4278" s="5" t="inlineStr">
        <is>
          <t>SKYFOR TREINAMENTOS LTDA 39426894000111</t>
        </is>
      </c>
      <c r="D4278" s="5" t="inlineStr">
        <is>
          <t>UE</t>
        </is>
      </c>
      <c r="E4278" s="5" t="n">
        <v>200033155</v>
      </c>
      <c r="F4278" s="5" t="inlineStr">
        <is>
          <t>24561</t>
        </is>
      </c>
      <c r="G4278" s="5" t="inlineStr">
        <is>
          <t>BRL</t>
        </is>
      </c>
      <c r="H4278" s="9" t="n">
        <v>19250</v>
      </c>
      <c r="I4278" s="16" t="n">
        <v>44706</v>
      </c>
      <c r="J4278" s="16" t="n">
        <v>44706</v>
      </c>
      <c r="K4278" s="5" t="inlineStr">
        <is>
          <t>23</t>
        </is>
      </c>
      <c r="L4278" s="5" t="inlineStr">
        <is>
          <t>407000.110501</t>
        </is>
      </c>
      <c r="M4278" s="5">
        <f>IF(YEAR(I4278)&lt;=2020,"Até 2020",TEXT(YEAR(I4278),"0"))</f>
        <v/>
      </c>
      <c r="N4278" s="5">
        <f>IFERROR(INDEX(DePara!$A:$A,MATCH(TEXT(B4278,"0"),DePara!$D:$D,0)),"(sem categoria)")</f>
        <v/>
      </c>
      <c r="O4278" s="5">
        <f>IF(J4278="","",Parametros!$B$6-J4278)</f>
        <v/>
      </c>
      <c r="P4278" s="5">
        <f>IF(O4278="","",IF(O4278&gt;0,1,0))</f>
        <v/>
      </c>
    </row>
    <row r="4279">
      <c r="A4279" s="5" t="n">
        <v>1191000000</v>
      </c>
      <c r="B4279" s="5" t="inlineStr">
        <is>
          <t>101358</t>
        </is>
      </c>
      <c r="C4279" s="5" t="inlineStr">
        <is>
          <t>MUNICIPIO DE LAJES</t>
        </is>
      </c>
      <c r="D4279" s="5" t="inlineStr">
        <is>
          <t>UE</t>
        </is>
      </c>
      <c r="E4279" s="5" t="n">
        <v>200033157</v>
      </c>
      <c r="F4279" s="5" t="inlineStr">
        <is>
          <t>24563</t>
        </is>
      </c>
      <c r="G4279" s="5" t="inlineStr">
        <is>
          <t>BRL</t>
        </is>
      </c>
      <c r="H4279" s="9" t="n">
        <v>-357</v>
      </c>
      <c r="I4279" s="16" t="n">
        <v>44896</v>
      </c>
      <c r="J4279" s="16" t="n">
        <v>44896</v>
      </c>
      <c r="K4279" s="5" t="inlineStr">
        <is>
          <t>20223200.</t>
        </is>
      </c>
      <c r="L4279" s="5" t="inlineStr">
        <is>
          <t>475100.210211</t>
        </is>
      </c>
      <c r="M4279" s="5">
        <f>IF(YEAR(I4279)&lt;=2020,"Até 2020",TEXT(YEAR(I4279),"0"))</f>
        <v/>
      </c>
      <c r="N4279" s="5">
        <f>IFERROR(INDEX(DePara!$A:$A,MATCH(TEXT(B4279,"0"),DePara!$D:$D,0)),"(sem categoria)")</f>
        <v/>
      </c>
      <c r="O4279" s="5">
        <f>IF(J4279="","",Parametros!$B$6-J4279)</f>
        <v/>
      </c>
      <c r="P4279" s="5">
        <f>IF(O4279="","",IF(O4279&gt;0,1,0))</f>
        <v/>
      </c>
    </row>
    <row r="4280">
      <c r="A4280" s="5" t="n">
        <v>1191000000</v>
      </c>
      <c r="B4280" s="5" t="inlineStr">
        <is>
          <t>100419</t>
        </is>
      </c>
      <c r="C4280" s="5" t="inlineStr">
        <is>
          <t>THE WORLD HOTELS ASSESSORIA E ADM</t>
        </is>
      </c>
      <c r="D4280" s="5" t="inlineStr">
        <is>
          <t>UE</t>
        </is>
      </c>
      <c r="E4280" s="5" t="n">
        <v>200033158</v>
      </c>
      <c r="F4280" s="5" t="inlineStr">
        <is>
          <t>24564</t>
        </is>
      </c>
      <c r="G4280" s="5" t="inlineStr">
        <is>
          <t>BRL</t>
        </is>
      </c>
      <c r="H4280" s="9" t="n">
        <v>59</v>
      </c>
      <c r="I4280" s="16" t="n">
        <v>44840</v>
      </c>
      <c r="J4280" s="16" t="n">
        <v>44840</v>
      </c>
      <c r="K4280" s="5" t="inlineStr">
        <is>
          <t>SCOPING WORKSHOPS CW41/42</t>
        </is>
      </c>
      <c r="L4280" s="5" t="inlineStr">
        <is>
          <t>407000.110501</t>
        </is>
      </c>
      <c r="M4280" s="5">
        <f>IF(YEAR(I4280)&lt;=2020,"Até 2020",TEXT(YEAR(I4280),"0"))</f>
        <v/>
      </c>
      <c r="N4280" s="5">
        <f>IFERROR(INDEX(DePara!$A:$A,MATCH(TEXT(B4280,"0"),DePara!$D:$D,0)),"(sem categoria)")</f>
        <v/>
      </c>
      <c r="O4280" s="5">
        <f>IF(J4280="","",Parametros!$B$6-J4280)</f>
        <v/>
      </c>
      <c r="P4280" s="5">
        <f>IF(O4280="","",IF(O4280&gt;0,1,0))</f>
        <v/>
      </c>
    </row>
    <row r="4281">
      <c r="A4281" s="5" t="n">
        <v>1191000000</v>
      </c>
      <c r="B4281" s="5" t="inlineStr">
        <is>
          <t>102339</t>
        </is>
      </c>
      <c r="C4281" s="5" t="inlineStr">
        <is>
          <t>MELO E BARRETO CLINICA MEDICA LTDA</t>
        </is>
      </c>
      <c r="D4281" s="5" t="inlineStr">
        <is>
          <t>UE</t>
        </is>
      </c>
      <c r="E4281" s="5" t="n">
        <v>200033161</v>
      </c>
      <c r="F4281" s="5" t="inlineStr">
        <is>
          <t>24567</t>
        </is>
      </c>
      <c r="G4281" s="5" t="inlineStr">
        <is>
          <t>BRL</t>
        </is>
      </c>
      <c r="H4281" s="9" t="n">
        <v>1063.83</v>
      </c>
      <c r="I4281" s="16" t="n">
        <v>44944</v>
      </c>
      <c r="J4281" s="16" t="n">
        <v>44944</v>
      </c>
      <c r="K4281" s="5" t="inlineStr">
        <is>
          <t>14</t>
        </is>
      </c>
      <c r="L4281" s="5" t="inlineStr">
        <is>
          <t>407000.110501</t>
        </is>
      </c>
      <c r="M4281" s="5">
        <f>IF(YEAR(I4281)&lt;=2020,"Até 2020",TEXT(YEAR(I4281),"0"))</f>
        <v/>
      </c>
      <c r="N4281" s="5">
        <f>IFERROR(INDEX(DePara!$A:$A,MATCH(TEXT(B4281,"0"),DePara!$D:$D,0)),"(sem categoria)")</f>
        <v/>
      </c>
      <c r="O4281" s="5">
        <f>IF(J4281="","",Parametros!$B$6-J4281)</f>
        <v/>
      </c>
      <c r="P4281" s="5">
        <f>IF(O4281="","",IF(O4281&gt;0,1,0))</f>
        <v/>
      </c>
    </row>
    <row r="4282">
      <c r="A4282" s="5" t="n">
        <v>1191000000</v>
      </c>
      <c r="B4282" s="5" t="inlineStr">
        <is>
          <t>102472</t>
        </is>
      </c>
      <c r="C4282" s="5" t="inlineStr">
        <is>
          <t>BALASKA EQUIPE INDUSTRIA E COMERCIO</t>
        </is>
      </c>
      <c r="D4282" s="5" t="inlineStr">
        <is>
          <t>UE</t>
        </is>
      </c>
      <c r="E4282" s="5" t="n">
        <v>200033162</v>
      </c>
      <c r="F4282" s="5" t="inlineStr">
        <is>
          <t>24568</t>
        </is>
      </c>
      <c r="G4282" s="5" t="inlineStr">
        <is>
          <t>BRL</t>
        </is>
      </c>
      <c r="H4282" s="9" t="n">
        <v>1267.79</v>
      </c>
      <c r="I4282" s="16" t="n">
        <v>44965</v>
      </c>
      <c r="J4282" s="16" t="n">
        <v>44965</v>
      </c>
      <c r="K4282" s="5" t="inlineStr">
        <is>
          <t>1759</t>
        </is>
      </c>
      <c r="L4282" s="5" t="inlineStr">
        <is>
          <t>407000.110501</t>
        </is>
      </c>
      <c r="M4282" s="5">
        <f>IF(YEAR(I4282)&lt;=2020,"Até 2020",TEXT(YEAR(I4282),"0"))</f>
        <v/>
      </c>
      <c r="N4282" s="5">
        <f>IFERROR(INDEX(DePara!$A:$A,MATCH(TEXT(B4282,"0"),DePara!$D:$D,0)),"(sem categoria)")</f>
        <v/>
      </c>
      <c r="O4282" s="5">
        <f>IF(J4282="","",Parametros!$B$6-J4282)</f>
        <v/>
      </c>
      <c r="P4282" s="5">
        <f>IF(O4282="","",IF(O4282&gt;0,1,0))</f>
        <v/>
      </c>
    </row>
    <row r="4283">
      <c r="A4283" s="5" t="n">
        <v>1191000000</v>
      </c>
      <c r="B4283" s="5" t="inlineStr">
        <is>
          <t>103693</t>
        </is>
      </c>
      <c r="C4283" s="5" t="inlineStr">
        <is>
          <t>IMERSA AUDITORIA E CONSULTORIA LTDA</t>
        </is>
      </c>
      <c r="D4283" s="5" t="inlineStr">
        <is>
          <t>UE</t>
        </is>
      </c>
      <c r="E4283" s="5" t="n">
        <v>200033163</v>
      </c>
      <c r="F4283" s="5" t="inlineStr">
        <is>
          <t>24569</t>
        </is>
      </c>
      <c r="G4283" s="5" t="inlineStr">
        <is>
          <t>BRL</t>
        </is>
      </c>
      <c r="H4283" s="9" t="n">
        <v>15050</v>
      </c>
      <c r="I4283" s="16" t="n">
        <v>45078</v>
      </c>
      <c r="J4283" s="16" t="n">
        <v>45078</v>
      </c>
      <c r="K4283" s="5" t="inlineStr">
        <is>
          <t>476</t>
        </is>
      </c>
      <c r="L4283" s="5" t="inlineStr">
        <is>
          <t>407000.110501</t>
        </is>
      </c>
      <c r="M4283" s="5">
        <f>IF(YEAR(I4283)&lt;=2020,"Até 2020",TEXT(YEAR(I4283),"0"))</f>
        <v/>
      </c>
      <c r="N4283" s="5">
        <f>IFERROR(INDEX(DePara!$A:$A,MATCH(TEXT(B4283,"0"),DePara!$D:$D,0)),"(sem categoria)")</f>
        <v/>
      </c>
      <c r="O4283" s="5">
        <f>IF(J4283="","",Parametros!$B$6-J4283)</f>
        <v/>
      </c>
      <c r="P4283" s="5">
        <f>IF(O4283="","",IF(O4283&gt;0,1,0))</f>
        <v/>
      </c>
    </row>
    <row r="4284">
      <c r="A4284" s="5" t="n">
        <v>1191000000</v>
      </c>
      <c r="B4284" s="5" t="inlineStr">
        <is>
          <t>EM000055</t>
        </is>
      </c>
      <c r="C4284" s="5" t="inlineStr">
        <is>
          <t>VINICIUS MECCHI SILVA</t>
        </is>
      </c>
      <c r="D4284" s="5" t="inlineStr">
        <is>
          <t>UE</t>
        </is>
      </c>
      <c r="E4284" s="5" t="n">
        <v>200033721</v>
      </c>
      <c r="F4284" s="5" t="inlineStr">
        <is>
          <t>22593</t>
        </is>
      </c>
      <c r="G4284" s="5" t="inlineStr">
        <is>
          <t>BRL</t>
        </is>
      </c>
      <c r="H4284" s="9" t="n">
        <v>995.4</v>
      </c>
      <c r="I4284" s="16" t="n">
        <v>44838</v>
      </c>
      <c r="J4284" s="16" t="n">
        <v>44838</v>
      </c>
      <c r="K4284" s="5" t="inlineStr">
        <is>
          <t>BENEF EDUCACIONAL 09/22</t>
        </is>
      </c>
      <c r="L4284" s="5" t="inlineStr">
        <is>
          <t>407000.110501</t>
        </is>
      </c>
      <c r="M4284" s="5">
        <f>IF(YEAR(I4284)&lt;=2020,"Até 2020",TEXT(YEAR(I4284),"0"))</f>
        <v/>
      </c>
      <c r="N4284" s="5">
        <f>IFERROR(INDEX(DePara!$A:$A,MATCH(TEXT(B4284,"0"),DePara!$D:$D,0)),"(sem categoria)")</f>
        <v/>
      </c>
      <c r="O4284" s="5">
        <f>IF(J4284="","",Parametros!$B$6-J4284)</f>
        <v/>
      </c>
      <c r="P4284" s="5">
        <f>IF(O4284="","",IF(O4284&gt;0,1,0))</f>
        <v/>
      </c>
    </row>
    <row r="4285">
      <c r="A4285" s="5" t="n">
        <v>1191000000</v>
      </c>
      <c r="B4285" s="5" t="inlineStr">
        <is>
          <t>102053</t>
        </is>
      </c>
      <c r="C4285" s="5" t="inlineStr">
        <is>
          <t>GH DO BRASIL INDUSTRIA E COMERCIO L</t>
        </is>
      </c>
      <c r="D4285" s="5" t="inlineStr">
        <is>
          <t>UE</t>
        </is>
      </c>
      <c r="E4285" s="5" t="n">
        <v>200033722</v>
      </c>
      <c r="F4285" s="5" t="inlineStr">
        <is>
          <t>22594</t>
        </is>
      </c>
      <c r="G4285" s="5" t="inlineStr">
        <is>
          <t>BRL</t>
        </is>
      </c>
      <c r="H4285" s="9" t="n">
        <v>8.44</v>
      </c>
      <c r="I4285" s="16" t="n">
        <v>44679</v>
      </c>
      <c r="J4285" s="16" t="n">
        <v>44679</v>
      </c>
      <c r="K4285" s="5" t="inlineStr">
        <is>
          <t>ADTO COMERCIAL</t>
        </is>
      </c>
      <c r="L4285" s="5" t="inlineStr">
        <is>
          <t>407000.110501</t>
        </is>
      </c>
      <c r="M4285" s="5">
        <f>IF(YEAR(I4285)&lt;=2020,"Até 2020",TEXT(YEAR(I4285),"0"))</f>
        <v/>
      </c>
      <c r="N4285" s="5">
        <f>IFERROR(INDEX(DePara!$A:$A,MATCH(TEXT(B4285,"0"),DePara!$D:$D,0)),"(sem categoria)")</f>
        <v/>
      </c>
      <c r="O4285" s="5">
        <f>IF(J4285="","",Parametros!$B$6-J4285)</f>
        <v/>
      </c>
      <c r="P4285" s="5">
        <f>IF(O4285="","",IF(O4285&gt;0,1,0))</f>
        <v/>
      </c>
    </row>
    <row r="4286">
      <c r="A4286" s="5" t="n">
        <v>1191000000</v>
      </c>
      <c r="B4286" s="5" t="inlineStr">
        <is>
          <t>102030</t>
        </is>
      </c>
      <c r="C4286" s="5" t="inlineStr">
        <is>
          <t>TECON SALVADOR SA</t>
        </is>
      </c>
      <c r="D4286" s="5" t="inlineStr">
        <is>
          <t>UE</t>
        </is>
      </c>
      <c r="E4286" s="5" t="n">
        <v>200041525</v>
      </c>
      <c r="F4286" s="5" t="inlineStr">
        <is>
          <t>247892</t>
        </is>
      </c>
      <c r="G4286" s="5" t="inlineStr">
        <is>
          <t>BRL</t>
        </is>
      </c>
      <c r="H4286" s="9" t="n">
        <v>51845.25</v>
      </c>
      <c r="I4286" s="16" t="n">
        <v>45228</v>
      </c>
      <c r="J4286" s="16" t="n">
        <v>45228</v>
      </c>
      <c r="K4286" s="5" t="inlineStr">
        <is>
          <t>Data Transfer TECON SALVADOR SA 247892</t>
        </is>
      </c>
      <c r="L4286" s="5" t="n"/>
      <c r="M4286" s="5">
        <f>IF(YEAR(I4286)&lt;=2020,"Até 2020",TEXT(YEAR(I4286),"0"))</f>
        <v/>
      </c>
      <c r="N4286" s="5">
        <f>IFERROR(INDEX(DePara!$A:$A,MATCH(TEXT(B4286,"0"),DePara!$D:$D,0)),"(sem categoria)")</f>
        <v/>
      </c>
      <c r="O4286" s="5">
        <f>IF(J4286="","",Parametros!$B$6-J4286)</f>
        <v/>
      </c>
      <c r="P4286" s="5">
        <f>IF(O4286="","",IF(O4286&gt;0,1,0))</f>
        <v/>
      </c>
    </row>
    <row r="4287">
      <c r="A4287" s="5" t="n">
        <v>1191000000</v>
      </c>
      <c r="B4287" s="5" t="inlineStr">
        <is>
          <t>102030</t>
        </is>
      </c>
      <c r="C4287" s="5" t="inlineStr">
        <is>
          <t>TECON SALVADOR SA</t>
        </is>
      </c>
      <c r="D4287" s="5" t="inlineStr">
        <is>
          <t>UE</t>
        </is>
      </c>
      <c r="E4287" s="5" t="n">
        <v>200041526</v>
      </c>
      <c r="F4287" s="5" t="inlineStr">
        <is>
          <t>247883</t>
        </is>
      </c>
      <c r="G4287" s="5" t="inlineStr">
        <is>
          <t>BRL</t>
        </is>
      </c>
      <c r="H4287" s="9" t="n">
        <v>32040.7</v>
      </c>
      <c r="I4287" s="16" t="n">
        <v>45228</v>
      </c>
      <c r="J4287" s="16" t="n">
        <v>45228</v>
      </c>
      <c r="K4287" s="5" t="inlineStr">
        <is>
          <t>Data Transfer TECON SALVADOR SA 247883</t>
        </is>
      </c>
      <c r="L4287" s="5" t="n"/>
      <c r="M4287" s="5">
        <f>IF(YEAR(I4287)&lt;=2020,"Até 2020",TEXT(YEAR(I4287),"0"))</f>
        <v/>
      </c>
      <c r="N4287" s="5">
        <f>IFERROR(INDEX(DePara!$A:$A,MATCH(TEXT(B4287,"0"),DePara!$D:$D,0)),"(sem categoria)")</f>
        <v/>
      </c>
      <c r="O4287" s="5">
        <f>IF(J4287="","",Parametros!$B$6-J4287)</f>
        <v/>
      </c>
      <c r="P4287" s="5">
        <f>IF(O4287="","",IF(O4287&gt;0,1,0))</f>
        <v/>
      </c>
    </row>
    <row r="4288">
      <c r="A4288" s="5" t="n">
        <v>1191000000</v>
      </c>
      <c r="B4288" s="5" t="inlineStr">
        <is>
          <t>102030</t>
        </is>
      </c>
      <c r="C4288" s="5" t="inlineStr">
        <is>
          <t>TECON SALVADOR SA</t>
        </is>
      </c>
      <c r="D4288" s="5" t="inlineStr">
        <is>
          <t>UE</t>
        </is>
      </c>
      <c r="E4288" s="5" t="n">
        <v>200041527</v>
      </c>
      <c r="F4288" s="5" t="inlineStr">
        <is>
          <t>247881</t>
        </is>
      </c>
      <c r="G4288" s="5" t="inlineStr">
        <is>
          <t>BRL</t>
        </is>
      </c>
      <c r="H4288" s="9" t="n">
        <v>5818.14</v>
      </c>
      <c r="I4288" s="16" t="n">
        <v>45228</v>
      </c>
      <c r="J4288" s="16" t="n">
        <v>45228</v>
      </c>
      <c r="K4288" s="5" t="inlineStr">
        <is>
          <t>Data Transfer TECON SALVADOR SA 247881</t>
        </is>
      </c>
      <c r="L4288" s="5" t="n"/>
      <c r="M4288" s="5">
        <f>IF(YEAR(I4288)&lt;=2020,"Até 2020",TEXT(YEAR(I4288),"0"))</f>
        <v/>
      </c>
      <c r="N4288" s="5">
        <f>IFERROR(INDEX(DePara!$A:$A,MATCH(TEXT(B4288,"0"),DePara!$D:$D,0)),"(sem categoria)")</f>
        <v/>
      </c>
      <c r="O4288" s="5">
        <f>IF(J4288="","",Parametros!$B$6-J4288)</f>
        <v/>
      </c>
      <c r="P4288" s="5">
        <f>IF(O4288="","",IF(O4288&gt;0,1,0))</f>
        <v/>
      </c>
    </row>
    <row r="4289">
      <c r="A4289" s="5" t="n">
        <v>1191000000</v>
      </c>
      <c r="B4289" s="5" t="inlineStr">
        <is>
          <t>102030</t>
        </is>
      </c>
      <c r="C4289" s="5" t="inlineStr">
        <is>
          <t>TECON SALVADOR SA</t>
        </is>
      </c>
      <c r="D4289" s="5" t="inlineStr">
        <is>
          <t>UE</t>
        </is>
      </c>
      <c r="E4289" s="5" t="n">
        <v>200041529</v>
      </c>
      <c r="F4289" s="5" t="inlineStr">
        <is>
          <t>247890</t>
        </is>
      </c>
      <c r="G4289" s="5" t="inlineStr">
        <is>
          <t>BRL</t>
        </is>
      </c>
      <c r="H4289" s="9" t="n">
        <v>4728.77</v>
      </c>
      <c r="I4289" s="16" t="n">
        <v>45228</v>
      </c>
      <c r="J4289" s="16" t="n">
        <v>45228</v>
      </c>
      <c r="K4289" s="5" t="inlineStr">
        <is>
          <t>Data Transfer TECON SALVADOR SA 247890</t>
        </is>
      </c>
      <c r="L4289" s="5" t="n"/>
      <c r="M4289" s="5">
        <f>IF(YEAR(I4289)&lt;=2020,"Até 2020",TEXT(YEAR(I4289),"0"))</f>
        <v/>
      </c>
      <c r="N4289" s="5">
        <f>IFERROR(INDEX(DePara!$A:$A,MATCH(TEXT(B4289,"0"),DePara!$D:$D,0)),"(sem categoria)")</f>
        <v/>
      </c>
      <c r="O4289" s="5">
        <f>IF(J4289="","",Parametros!$B$6-J4289)</f>
        <v/>
      </c>
      <c r="P4289" s="5">
        <f>IF(O4289="","",IF(O4289&gt;0,1,0))</f>
        <v/>
      </c>
    </row>
    <row r="4290">
      <c r="A4290" s="5" t="n">
        <v>1191000000</v>
      </c>
      <c r="B4290" s="5" t="inlineStr">
        <is>
          <t>102030</t>
        </is>
      </c>
      <c r="C4290" s="5" t="inlineStr">
        <is>
          <t>TECON SALVADOR SA</t>
        </is>
      </c>
      <c r="D4290" s="5" t="inlineStr">
        <is>
          <t>UE</t>
        </is>
      </c>
      <c r="E4290" s="5" t="n">
        <v>200041530</v>
      </c>
      <c r="F4290" s="5" t="inlineStr">
        <is>
          <t>247891</t>
        </is>
      </c>
      <c r="G4290" s="5" t="inlineStr">
        <is>
          <t>BRL</t>
        </is>
      </c>
      <c r="H4290" s="9" t="n">
        <v>2577.56</v>
      </c>
      <c r="I4290" s="16" t="n">
        <v>45228</v>
      </c>
      <c r="J4290" s="16" t="n">
        <v>45228</v>
      </c>
      <c r="K4290" s="5" t="inlineStr">
        <is>
          <t>Data Transfer TECON SALVADOR SA 247891</t>
        </is>
      </c>
      <c r="L4290" s="5" t="n"/>
      <c r="M4290" s="5">
        <f>IF(YEAR(I4290)&lt;=2020,"Até 2020",TEXT(YEAR(I4290),"0"))</f>
        <v/>
      </c>
      <c r="N4290" s="5">
        <f>IFERROR(INDEX(DePara!$A:$A,MATCH(TEXT(B4290,"0"),DePara!$D:$D,0)),"(sem categoria)")</f>
        <v/>
      </c>
      <c r="O4290" s="5">
        <f>IF(J4290="","",Parametros!$B$6-J4290)</f>
        <v/>
      </c>
      <c r="P4290" s="5">
        <f>IF(O4290="","",IF(O4290&gt;0,1,0))</f>
        <v/>
      </c>
    </row>
    <row r="4291">
      <c r="A4291" s="5" t="n">
        <v>1191000000</v>
      </c>
      <c r="B4291" s="5" t="inlineStr">
        <is>
          <t>102099</t>
        </is>
      </c>
      <c r="C4291" s="5" t="inlineStr">
        <is>
          <t>INGRAM MICRO BRASIL LTDA</t>
        </is>
      </c>
      <c r="D4291" s="5" t="inlineStr">
        <is>
          <t>AB</t>
        </is>
      </c>
      <c r="E4291" s="5" t="n">
        <v>1100000226</v>
      </c>
      <c r="F4291" s="5" t="inlineStr">
        <is>
          <t>0437699</t>
        </is>
      </c>
      <c r="G4291" s="5" t="inlineStr">
        <is>
          <t>BRL</t>
        </is>
      </c>
      <c r="H4291" s="9" t="n">
        <v>793.65</v>
      </c>
      <c r="I4291" s="16" t="n">
        <v>45682</v>
      </c>
      <c r="J4291" s="16" t="n">
        <v>45682</v>
      </c>
      <c r="K4291" s="5" t="inlineStr">
        <is>
          <t>Partida individual INGRAM MICRO BRASIL LTDA 043769</t>
        </is>
      </c>
      <c r="L4291" s="5" t="n"/>
      <c r="M4291" s="5">
        <f>IF(YEAR(I4291)&lt;=2020,"Até 2020",TEXT(YEAR(I4291),"0"))</f>
        <v/>
      </c>
      <c r="N4291" s="5">
        <f>IFERROR(INDEX(DePara!$A:$A,MATCH(TEXT(B4291,"0"),DePara!$D:$D,0)),"(sem categoria)")</f>
        <v/>
      </c>
      <c r="O4291" s="5">
        <f>IF(J4291="","",Parametros!$B$6-J4291)</f>
        <v/>
      </c>
      <c r="P4291" s="5">
        <f>IF(O4291="","",IF(O4291&gt;0,1,0))</f>
        <v/>
      </c>
    </row>
    <row r="4292">
      <c r="A4292" s="5" t="n">
        <v>1191000000</v>
      </c>
      <c r="B4292" s="5" t="inlineStr">
        <is>
          <t>101334</t>
        </is>
      </c>
      <c r="C4292" s="5" t="inlineStr">
        <is>
          <t>ABRILSAN ASSES EM CART DE PROT LTDA</t>
        </is>
      </c>
      <c r="D4292" s="5" t="inlineStr">
        <is>
          <t>AB</t>
        </is>
      </c>
      <c r="E4292" s="5" t="n">
        <v>1100000385</v>
      </c>
      <c r="F4292" s="5" t="n"/>
      <c r="G4292" s="5" t="inlineStr">
        <is>
          <t>BRL</t>
        </is>
      </c>
      <c r="H4292" s="9" t="n">
        <v>-317.53</v>
      </c>
      <c r="I4292" s="16" t="n">
        <v>45680</v>
      </c>
      <c r="J4292" s="16" t="n">
        <v>45680</v>
      </c>
      <c r="K4292" s="5" t="inlineStr">
        <is>
          <t>Clearing document ABRILSAN ASSES EM CART DE PROT L</t>
        </is>
      </c>
      <c r="L4292" s="5" t="inlineStr">
        <is>
          <t>407000.110501</t>
        </is>
      </c>
      <c r="M4292" s="5">
        <f>IF(YEAR(I4292)&lt;=2020,"Até 2020",TEXT(YEAR(I4292),"0"))</f>
        <v/>
      </c>
      <c r="N4292" s="5">
        <f>IFERROR(INDEX(DePara!$A:$A,MATCH(TEXT(B4292,"0"),DePara!$D:$D,0)),"(sem categoria)")</f>
        <v/>
      </c>
      <c r="O4292" s="5">
        <f>IF(J4292="","",Parametros!$B$6-J4292)</f>
        <v/>
      </c>
      <c r="P4292" s="5">
        <f>IF(O4292="","",IF(O4292&gt;0,1,0))</f>
        <v/>
      </c>
    </row>
    <row r="4293">
      <c r="A4293" s="5" t="n">
        <v>1191000000</v>
      </c>
      <c r="B4293" s="5" t="inlineStr">
        <is>
          <t>103767</t>
        </is>
      </c>
      <c r="C4293" s="5" t="inlineStr">
        <is>
          <t>ROBERT HALF TRABALHO TEMPORARIO</t>
        </is>
      </c>
      <c r="D4293" s="5" t="inlineStr">
        <is>
          <t>AB</t>
        </is>
      </c>
      <c r="E4293" s="5" t="n">
        <v>1100000640</v>
      </c>
      <c r="F4293" s="5" t="inlineStr">
        <is>
          <t>067317</t>
        </is>
      </c>
      <c r="G4293" s="5" t="inlineStr">
        <is>
          <t>BRL</t>
        </is>
      </c>
      <c r="H4293" s="9" t="n">
        <v>747.13</v>
      </c>
      <c r="I4293" s="16" t="n">
        <v>45703</v>
      </c>
      <c r="J4293" s="16" t="n">
        <v>45703</v>
      </c>
      <c r="K4293" s="5" t="inlineStr">
        <is>
          <t>Partida individual ROBERT HALF TRABALHO TEMPORARIO</t>
        </is>
      </c>
      <c r="L4293" s="5" t="n"/>
      <c r="M4293" s="5">
        <f>IF(YEAR(I4293)&lt;=2020,"Até 2020",TEXT(YEAR(I4293),"0"))</f>
        <v/>
      </c>
      <c r="N4293" s="5">
        <f>IFERROR(INDEX(DePara!$A:$A,MATCH(TEXT(B4293,"0"),DePara!$D:$D,0)),"(sem categoria)")</f>
        <v/>
      </c>
      <c r="O4293" s="5">
        <f>IF(J4293="","",Parametros!$B$6-J4293)</f>
        <v/>
      </c>
      <c r="P4293" s="5">
        <f>IF(O4293="","",IF(O4293&gt;0,1,0))</f>
        <v/>
      </c>
    </row>
    <row r="4294">
      <c r="A4294" s="5" t="n">
        <v>1191000000</v>
      </c>
      <c r="B4294" s="5" t="inlineStr">
        <is>
          <t>103767</t>
        </is>
      </c>
      <c r="C4294" s="5" t="inlineStr">
        <is>
          <t>ROBERT HALF TRABALHO TEMPORARIO</t>
        </is>
      </c>
      <c r="D4294" s="5" t="inlineStr">
        <is>
          <t>AB</t>
        </is>
      </c>
      <c r="E4294" s="5" t="n">
        <v>1100000641</v>
      </c>
      <c r="F4294" s="5" t="inlineStr">
        <is>
          <t>067879</t>
        </is>
      </c>
      <c r="G4294" s="5" t="inlineStr">
        <is>
          <t>BRL</t>
        </is>
      </c>
      <c r="H4294" s="9" t="n">
        <v>709.92</v>
      </c>
      <c r="I4294" s="16" t="n">
        <v>45703</v>
      </c>
      <c r="J4294" s="16" t="n">
        <v>45703</v>
      </c>
      <c r="K4294" s="5" t="inlineStr">
        <is>
          <t>Partida individual ROBERT HALF TRABALHO TEMPORARIO</t>
        </is>
      </c>
      <c r="L4294" s="5" t="n"/>
      <c r="M4294" s="5">
        <f>IF(YEAR(I4294)&lt;=2020,"Até 2020",TEXT(YEAR(I4294),"0"))</f>
        <v/>
      </c>
      <c r="N4294" s="5">
        <f>IFERROR(INDEX(DePara!$A:$A,MATCH(TEXT(B4294,"0"),DePara!$D:$D,0)),"(sem categoria)")</f>
        <v/>
      </c>
      <c r="O4294" s="5">
        <f>IF(J4294="","",Parametros!$B$6-J4294)</f>
        <v/>
      </c>
      <c r="P4294" s="5">
        <f>IF(O4294="","",IF(O4294&gt;0,1,0))</f>
        <v/>
      </c>
    </row>
    <row r="4295">
      <c r="A4295" s="5" t="n">
        <v>1191000000</v>
      </c>
      <c r="B4295" s="5" t="inlineStr">
        <is>
          <t>100379</t>
        </is>
      </c>
      <c r="C4295" s="5" t="inlineStr">
        <is>
          <t>RAK LOG TRANSPORTES E LOGISTICA EIR</t>
        </is>
      </c>
      <c r="D4295" s="5" t="inlineStr">
        <is>
          <t>AB</t>
        </is>
      </c>
      <c r="E4295" s="5" t="n">
        <v>1100000711</v>
      </c>
      <c r="F4295" s="5" t="inlineStr">
        <is>
          <t>247769</t>
        </is>
      </c>
      <c r="G4295" s="5" t="inlineStr">
        <is>
          <t>BRL</t>
        </is>
      </c>
      <c r="H4295" s="9" t="n">
        <v>597.49</v>
      </c>
      <c r="I4295" s="16" t="n">
        <v>45709</v>
      </c>
      <c r="J4295" s="16" t="n">
        <v>45709</v>
      </c>
      <c r="K4295" s="5" t="inlineStr">
        <is>
          <t>Partida individual RAK LOG TRANSPORTES E LOGISTICA</t>
        </is>
      </c>
      <c r="L4295" s="5" t="n"/>
      <c r="M4295" s="5">
        <f>IF(YEAR(I4295)&lt;=2020,"Até 2020",TEXT(YEAR(I4295),"0"))</f>
        <v/>
      </c>
      <c r="N4295" s="5">
        <f>IFERROR(INDEX(DePara!$A:$A,MATCH(TEXT(B4295,"0"),DePara!$D:$D,0)),"(sem categoria)")</f>
        <v/>
      </c>
      <c r="O4295" s="5">
        <f>IF(J4295="","",Parametros!$B$6-J4295)</f>
        <v/>
      </c>
      <c r="P4295" s="5">
        <f>IF(O4295="","",IF(O4295&gt;0,1,0))</f>
        <v/>
      </c>
    </row>
    <row r="4296">
      <c r="A4296" s="5" t="n">
        <v>1191000000</v>
      </c>
      <c r="B4296" s="5" t="inlineStr">
        <is>
          <t>105984</t>
        </is>
      </c>
      <c r="C4296" s="5" t="inlineStr">
        <is>
          <t>TRADEWORKS SERVICOS DE COMERCIO EXT 04955748000107</t>
        </is>
      </c>
      <c r="D4296" s="5" t="inlineStr">
        <is>
          <t>AB</t>
        </is>
      </c>
      <c r="E4296" s="5" t="n">
        <v>1100004559</v>
      </c>
      <c r="F4296" s="5" t="inlineStr">
        <is>
          <t>0953/25</t>
        </is>
      </c>
      <c r="G4296" s="5" t="inlineStr">
        <is>
          <t>BRL</t>
        </is>
      </c>
      <c r="H4296" s="9" t="n">
        <v>716487.97</v>
      </c>
      <c r="I4296" s="16" t="n">
        <v>46055</v>
      </c>
      <c r="J4296" s="16" t="n">
        <v>46029</v>
      </c>
      <c r="K4296" s="5" t="inlineStr">
        <is>
          <t>Partida individual TRADEWORKS SERVICOS DE COMERCIO</t>
        </is>
      </c>
      <c r="L4296" s="5" t="inlineStr">
        <is>
          <t>07012026</t>
        </is>
      </c>
      <c r="M4296" s="5">
        <f>IF(YEAR(I4296)&lt;=2020,"Até 2020",TEXT(YEAR(I4296),"0"))</f>
        <v/>
      </c>
      <c r="N4296" s="5">
        <f>IFERROR(INDEX(DePara!$A:$A,MATCH(TEXT(B4296,"0"),DePara!$D:$D,0)),"(sem categoria)")</f>
        <v/>
      </c>
      <c r="O4296" s="5">
        <f>IF(J4296="","",Parametros!$B$6-J4296)</f>
        <v/>
      </c>
      <c r="P4296" s="5">
        <f>IF(O4296="","",IF(O4296&gt;0,1,0))</f>
        <v/>
      </c>
    </row>
    <row r="4297">
      <c r="A4297" s="5" t="n">
        <v>1191000000</v>
      </c>
      <c r="B4297" s="5" t="inlineStr">
        <is>
          <t>105984</t>
        </is>
      </c>
      <c r="C4297" s="5" t="inlineStr">
        <is>
          <t>TRADEWORKS SERVICOS DE COMERCIO EXT 04955748000107</t>
        </is>
      </c>
      <c r="D4297" s="5" t="inlineStr">
        <is>
          <t>AB</t>
        </is>
      </c>
      <c r="E4297" s="5" t="n">
        <v>1100004577</v>
      </c>
      <c r="F4297" s="5" t="inlineStr">
        <is>
          <t>0786/25</t>
        </is>
      </c>
      <c r="G4297" s="5" t="inlineStr">
        <is>
          <t>BRL</t>
        </is>
      </c>
      <c r="H4297" s="9" t="n">
        <v>3288.87</v>
      </c>
      <c r="I4297" s="16" t="n">
        <v>46057</v>
      </c>
      <c r="J4297" s="16" t="n">
        <v>45945</v>
      </c>
      <c r="K4297" s="5" t="inlineStr">
        <is>
          <t>Partida individual TRADEWORKS SERVICOS DE COMERCIO</t>
        </is>
      </c>
      <c r="L4297" s="5" t="inlineStr">
        <is>
          <t>15102025</t>
        </is>
      </c>
      <c r="M4297" s="5">
        <f>IF(YEAR(I4297)&lt;=2020,"Até 2020",TEXT(YEAR(I4297),"0"))</f>
        <v/>
      </c>
      <c r="N4297" s="5">
        <f>IFERROR(INDEX(DePara!$A:$A,MATCH(TEXT(B4297,"0"),DePara!$D:$D,0)),"(sem categoria)")</f>
        <v/>
      </c>
      <c r="O4297" s="5">
        <f>IF(J4297="","",Parametros!$B$6-J4297)</f>
        <v/>
      </c>
      <c r="P4297" s="5">
        <f>IF(O4297="","",IF(O4297&gt;0,1,0))</f>
        <v/>
      </c>
    </row>
    <row r="4298">
      <c r="A4298" s="5" t="n">
        <v>1191000000</v>
      </c>
      <c r="B4298" s="5" t="inlineStr">
        <is>
          <t>105984</t>
        </is>
      </c>
      <c r="C4298" s="5" t="inlineStr">
        <is>
          <t>TRADEWORKS SERVICOS DE COMERCIO EXT 04955748000107</t>
        </is>
      </c>
      <c r="D4298" s="5" t="inlineStr">
        <is>
          <t>AB</t>
        </is>
      </c>
      <c r="E4298" s="5" t="n">
        <v>1100007162</v>
      </c>
      <c r="F4298" s="5" t="inlineStr">
        <is>
          <t>0035/26</t>
        </is>
      </c>
      <c r="G4298" s="5" t="inlineStr">
        <is>
          <t>BRL</t>
        </is>
      </c>
      <c r="H4298" s="9" t="n">
        <v>58227.91</v>
      </c>
      <c r="I4298" s="16" t="n">
        <v>46100</v>
      </c>
      <c r="J4298" s="16" t="n">
        <v>46057</v>
      </c>
      <c r="K4298" s="5" t="inlineStr">
        <is>
          <t>Partida individual TRADEWORKS SERVICOS DE COMERCIO</t>
        </is>
      </c>
      <c r="L4298" s="5" t="inlineStr">
        <is>
          <t>04022026</t>
        </is>
      </c>
      <c r="M4298" s="5">
        <f>IF(YEAR(I4298)&lt;=2020,"Até 2020",TEXT(YEAR(I4298),"0"))</f>
        <v/>
      </c>
      <c r="N4298" s="5">
        <f>IFERROR(INDEX(DePara!$A:$A,MATCH(TEXT(B4298,"0"),DePara!$D:$D,0)),"(sem categoria)")</f>
        <v/>
      </c>
      <c r="O4298" s="5">
        <f>IF(J4298="","",Parametros!$B$6-J4298)</f>
        <v/>
      </c>
      <c r="P4298" s="5">
        <f>IF(O4298="","",IF(O4298&gt;0,1,0))</f>
        <v/>
      </c>
    </row>
    <row r="4299">
      <c r="A4299" s="5" t="n">
        <v>1191000000</v>
      </c>
      <c r="B4299" s="5" t="inlineStr">
        <is>
          <t>101071</t>
        </is>
      </c>
      <c r="C4299" s="5" t="inlineStr">
        <is>
          <t>CUSTOM COMERCIO INTERNACIONAL LTDA</t>
        </is>
      </c>
      <c r="D4299" s="5" t="inlineStr">
        <is>
          <t>AB</t>
        </is>
      </c>
      <c r="E4299" s="5" t="n">
        <v>1100008611</v>
      </c>
      <c r="F4299" s="5" t="inlineStr">
        <is>
          <t>CAJUII057A</t>
        </is>
      </c>
      <c r="G4299" s="5" t="inlineStr">
        <is>
          <t>BRL</t>
        </is>
      </c>
      <c r="H4299" s="9" t="n">
        <v>32841.89</v>
      </c>
      <c r="I4299" s="16" t="n">
        <v>46113</v>
      </c>
      <c r="J4299" s="16" t="n">
        <v>45061</v>
      </c>
      <c r="K4299" s="5" t="inlineStr">
        <is>
          <t>CUSTOM A DEVOLVER</t>
        </is>
      </c>
      <c r="L4299" s="5" t="inlineStr">
        <is>
          <t>CUSTOM A DEVOLVER</t>
        </is>
      </c>
      <c r="M4299" s="5">
        <f>IF(YEAR(I4299)&lt;=2020,"Até 2020",TEXT(YEAR(I4299),"0"))</f>
        <v/>
      </c>
      <c r="N4299" s="5">
        <f>IFERROR(INDEX(DePara!$A:$A,MATCH(TEXT(B4299,"0"),DePara!$D:$D,0)),"(sem categoria)")</f>
        <v/>
      </c>
      <c r="O4299" s="5">
        <f>IF(J4299="","",Parametros!$B$6-J4299)</f>
        <v/>
      </c>
      <c r="P4299" s="5">
        <f>IF(O4299="","",IF(O4299&gt;0,1,0))</f>
        <v/>
      </c>
    </row>
    <row r="4300">
      <c r="A4300" s="5" t="n">
        <v>1191000000</v>
      </c>
      <c r="B4300" s="5" t="inlineStr">
        <is>
          <t>101071</t>
        </is>
      </c>
      <c r="C4300" s="5" t="inlineStr">
        <is>
          <t>CUSTOM COMERCIO INTERNACIONAL LTDA</t>
        </is>
      </c>
      <c r="D4300" s="5" t="inlineStr">
        <is>
          <t>AB</t>
        </is>
      </c>
      <c r="E4300" s="5" t="n">
        <v>1100008697</v>
      </c>
      <c r="F4300" s="5" t="inlineStr">
        <is>
          <t>OEM0242</t>
        </is>
      </c>
      <c r="G4300" s="5" t="inlineStr">
        <is>
          <t>BRL</t>
        </is>
      </c>
      <c r="H4300" s="9" t="n">
        <v>36767.38</v>
      </c>
      <c r="I4300" s="16" t="n">
        <v>46113</v>
      </c>
      <c r="J4300" s="16" t="n">
        <v>44984</v>
      </c>
      <c r="K4300" s="5" t="inlineStr">
        <is>
          <t>CUSTOM A DEVOLVER</t>
        </is>
      </c>
      <c r="L4300" s="5" t="inlineStr">
        <is>
          <t>CUSTOM A DEVOLVER</t>
        </is>
      </c>
      <c r="M4300" s="5">
        <f>IF(YEAR(I4300)&lt;=2020,"Até 2020",TEXT(YEAR(I4300),"0"))</f>
        <v/>
      </c>
      <c r="N4300" s="5">
        <f>IFERROR(INDEX(DePara!$A:$A,MATCH(TEXT(B4300,"0"),DePara!$D:$D,0)),"(sem categoria)")</f>
        <v/>
      </c>
      <c r="O4300" s="5">
        <f>IF(J4300="","",Parametros!$B$6-J4300)</f>
        <v/>
      </c>
      <c r="P4300" s="5">
        <f>IF(O4300="","",IF(O4300&gt;0,1,0))</f>
        <v/>
      </c>
    </row>
    <row r="4301">
      <c r="A4301" s="5" t="n">
        <v>1191000000</v>
      </c>
      <c r="B4301" s="5" t="inlineStr">
        <is>
          <t>101071</t>
        </is>
      </c>
      <c r="C4301" s="5" t="inlineStr">
        <is>
          <t>CUSTOM COMERCIO INTERNACIONAL LTDA</t>
        </is>
      </c>
      <c r="D4301" s="5" t="inlineStr">
        <is>
          <t>AB</t>
        </is>
      </c>
      <c r="E4301" s="5" t="n">
        <v>1100008698</v>
      </c>
      <c r="F4301" s="5" t="inlineStr">
        <is>
          <t>VESA045U</t>
        </is>
      </c>
      <c r="G4301" s="5" t="inlineStr">
        <is>
          <t>BRL</t>
        </is>
      </c>
      <c r="H4301" s="9" t="n">
        <v>17510.64</v>
      </c>
      <c r="I4301" s="16" t="n">
        <v>46113</v>
      </c>
      <c r="J4301" s="16" t="n">
        <v>44974</v>
      </c>
      <c r="K4301" s="5" t="inlineStr">
        <is>
          <t>CUSTOM A DEVOLVER</t>
        </is>
      </c>
      <c r="L4301" s="5" t="inlineStr">
        <is>
          <t>CUSTOM A DEVOLVER</t>
        </is>
      </c>
      <c r="M4301" s="5">
        <f>IF(YEAR(I4301)&lt;=2020,"Até 2020",TEXT(YEAR(I4301),"0"))</f>
        <v/>
      </c>
      <c r="N4301" s="5">
        <f>IFERROR(INDEX(DePara!$A:$A,MATCH(TEXT(B4301,"0"),DePara!$D:$D,0)),"(sem categoria)")</f>
        <v/>
      </c>
      <c r="O4301" s="5">
        <f>IF(J4301="","",Parametros!$B$6-J4301)</f>
        <v/>
      </c>
      <c r="P4301" s="5">
        <f>IF(O4301="","",IF(O4301&gt;0,1,0))</f>
        <v/>
      </c>
    </row>
    <row r="4302">
      <c r="A4302" s="5" t="n">
        <v>1191000000</v>
      </c>
      <c r="B4302" s="5" t="inlineStr">
        <is>
          <t>101071</t>
        </is>
      </c>
      <c r="C4302" s="5" t="inlineStr">
        <is>
          <t>CUSTOM COMERCIO INTERNACIONAL LTDA</t>
        </is>
      </c>
      <c r="D4302" s="5" t="inlineStr">
        <is>
          <t>AB</t>
        </is>
      </c>
      <c r="E4302" s="5" t="n">
        <v>1100008699</v>
      </c>
      <c r="F4302" s="5" t="inlineStr">
        <is>
          <t>96011270</t>
        </is>
      </c>
      <c r="G4302" s="5" t="inlineStr">
        <is>
          <t>BRL</t>
        </is>
      </c>
      <c r="H4302" s="9" t="n">
        <v>33974.73</v>
      </c>
      <c r="I4302" s="16" t="n">
        <v>46113</v>
      </c>
      <c r="J4302" s="16" t="n">
        <v>45068</v>
      </c>
      <c r="K4302" s="5" t="inlineStr">
        <is>
          <t>CUSTOM A DEVOLVER</t>
        </is>
      </c>
      <c r="L4302" s="5" t="inlineStr">
        <is>
          <t>CUSTOM A DEVOLVER</t>
        </is>
      </c>
      <c r="M4302" s="5">
        <f>IF(YEAR(I4302)&lt;=2020,"Até 2020",TEXT(YEAR(I4302),"0"))</f>
        <v/>
      </c>
      <c r="N4302" s="5">
        <f>IFERROR(INDEX(DePara!$A:$A,MATCH(TEXT(B4302,"0"),DePara!$D:$D,0)),"(sem categoria)")</f>
        <v/>
      </c>
      <c r="O4302" s="5">
        <f>IF(J4302="","",Parametros!$B$6-J4302)</f>
        <v/>
      </c>
      <c r="P4302" s="5">
        <f>IF(O4302="","",IF(O4302&gt;0,1,0))</f>
        <v/>
      </c>
    </row>
    <row r="4303">
      <c r="A4303" s="5" t="n">
        <v>1191000000</v>
      </c>
      <c r="B4303" s="5" t="inlineStr">
        <is>
          <t>101071</t>
        </is>
      </c>
      <c r="C4303" s="5" t="inlineStr">
        <is>
          <t>CUSTOM COMERCIO INTERNACIONAL LTDA</t>
        </is>
      </c>
      <c r="D4303" s="5" t="inlineStr">
        <is>
          <t>AB</t>
        </is>
      </c>
      <c r="E4303" s="5" t="n">
        <v>1100008700</v>
      </c>
      <c r="F4303" s="5" t="inlineStr">
        <is>
          <t>96011110</t>
        </is>
      </c>
      <c r="G4303" s="5" t="inlineStr">
        <is>
          <t>BRL</t>
        </is>
      </c>
      <c r="H4303" s="9" t="n">
        <v>28972.13</v>
      </c>
      <c r="I4303" s="16" t="n">
        <v>46113</v>
      </c>
      <c r="J4303" s="16" t="n">
        <v>45050</v>
      </c>
      <c r="K4303" s="5" t="inlineStr">
        <is>
          <t>CUSTOM A DEVOLVER</t>
        </is>
      </c>
      <c r="L4303" s="5" t="inlineStr">
        <is>
          <t>CUSTOM A DEVOLVER</t>
        </is>
      </c>
      <c r="M4303" s="5">
        <f>IF(YEAR(I4303)&lt;=2020,"Até 2020",TEXT(YEAR(I4303),"0"))</f>
        <v/>
      </c>
      <c r="N4303" s="5">
        <f>IFERROR(INDEX(DePara!$A:$A,MATCH(TEXT(B4303,"0"),DePara!$D:$D,0)),"(sem categoria)")</f>
        <v/>
      </c>
      <c r="O4303" s="5">
        <f>IF(J4303="","",Parametros!$B$6-J4303)</f>
        <v/>
      </c>
      <c r="P4303" s="5">
        <f>IF(O4303="","",IF(O4303&gt;0,1,0))</f>
        <v/>
      </c>
    </row>
    <row r="4304">
      <c r="A4304" s="5" t="n">
        <v>1191000000</v>
      </c>
      <c r="B4304" s="5" t="inlineStr">
        <is>
          <t>101071</t>
        </is>
      </c>
      <c r="C4304" s="5" t="inlineStr">
        <is>
          <t>CUSTOM COMERCIO INTERNACIONAL LTDA</t>
        </is>
      </c>
      <c r="D4304" s="5" t="inlineStr">
        <is>
          <t>AB</t>
        </is>
      </c>
      <c r="E4304" s="5" t="n">
        <v>1100008701</v>
      </c>
      <c r="F4304" s="5" t="inlineStr">
        <is>
          <t>OEM0270</t>
        </is>
      </c>
      <c r="G4304" s="5" t="inlineStr">
        <is>
          <t>BRL</t>
        </is>
      </c>
      <c r="H4304" s="9" t="n">
        <v>30918.22</v>
      </c>
      <c r="I4304" s="16" t="n">
        <v>46113</v>
      </c>
      <c r="J4304" s="16" t="n">
        <v>45036</v>
      </c>
      <c r="K4304" s="5" t="inlineStr">
        <is>
          <t>CUSTOM A DEVOLVER</t>
        </is>
      </c>
      <c r="L4304" s="5" t="inlineStr">
        <is>
          <t>CUSTOM A DEVOLVER</t>
        </is>
      </c>
      <c r="M4304" s="5">
        <f>IF(YEAR(I4304)&lt;=2020,"Até 2020",TEXT(YEAR(I4304),"0"))</f>
        <v/>
      </c>
      <c r="N4304" s="5">
        <f>IFERROR(INDEX(DePara!$A:$A,MATCH(TEXT(B4304,"0"),DePara!$D:$D,0)),"(sem categoria)")</f>
        <v/>
      </c>
      <c r="O4304" s="5">
        <f>IF(J4304="","",Parametros!$B$6-J4304)</f>
        <v/>
      </c>
      <c r="P4304" s="5">
        <f>IF(O4304="","",IF(O4304&gt;0,1,0))</f>
        <v/>
      </c>
    </row>
    <row r="4305">
      <c r="A4305" s="5" t="n">
        <v>1191000000</v>
      </c>
      <c r="B4305" s="5" t="inlineStr">
        <is>
          <t>101071</t>
        </is>
      </c>
      <c r="C4305" s="5" t="inlineStr">
        <is>
          <t>CUSTOM COMERCIO INTERNACIONAL LTDA</t>
        </is>
      </c>
      <c r="D4305" s="5" t="inlineStr">
        <is>
          <t>AB</t>
        </is>
      </c>
      <c r="E4305" s="5" t="n">
        <v>1100008702</v>
      </c>
      <c r="F4305" s="5" t="inlineStr">
        <is>
          <t>4012330149</t>
        </is>
      </c>
      <c r="G4305" s="5" t="inlineStr">
        <is>
          <t>BRL</t>
        </is>
      </c>
      <c r="H4305" s="9" t="n">
        <v>32771.66</v>
      </c>
      <c r="I4305" s="16" t="n">
        <v>46113</v>
      </c>
      <c r="J4305" s="16" t="n">
        <v>45041</v>
      </c>
      <c r="K4305" s="5" t="inlineStr">
        <is>
          <t>CUSTOM A DEVOLVER</t>
        </is>
      </c>
      <c r="L4305" s="5" t="inlineStr">
        <is>
          <t>CUSTOM A DEVOLVER</t>
        </is>
      </c>
      <c r="M4305" s="5">
        <f>IF(YEAR(I4305)&lt;=2020,"Até 2020",TEXT(YEAR(I4305),"0"))</f>
        <v/>
      </c>
      <c r="N4305" s="5">
        <f>IFERROR(INDEX(DePara!$A:$A,MATCH(TEXT(B4305,"0"),DePara!$D:$D,0)),"(sem categoria)")</f>
        <v/>
      </c>
      <c r="O4305" s="5">
        <f>IF(J4305="","",Parametros!$B$6-J4305)</f>
        <v/>
      </c>
      <c r="P4305" s="5">
        <f>IF(O4305="","",IF(O4305&gt;0,1,0))</f>
        <v/>
      </c>
    </row>
    <row r="4306">
      <c r="A4306" s="5" t="n">
        <v>1191000000</v>
      </c>
      <c r="B4306" s="5" t="inlineStr">
        <is>
          <t>101071</t>
        </is>
      </c>
      <c r="C4306" s="5" t="inlineStr">
        <is>
          <t>CUSTOM COMERCIO INTERNACIONAL LTDA</t>
        </is>
      </c>
      <c r="D4306" s="5" t="inlineStr">
        <is>
          <t>AB</t>
        </is>
      </c>
      <c r="E4306" s="5" t="n">
        <v>1100008703</v>
      </c>
      <c r="F4306" s="5" t="inlineStr">
        <is>
          <t>SO 71355-2300023</t>
        </is>
      </c>
      <c r="G4306" s="5" t="inlineStr">
        <is>
          <t>BRL</t>
        </is>
      </c>
      <c r="H4306" s="9" t="n">
        <v>25876.18</v>
      </c>
      <c r="I4306" s="16" t="n">
        <v>46113</v>
      </c>
      <c r="J4306" s="16" t="n">
        <v>45033</v>
      </c>
      <c r="K4306" s="5" t="inlineStr">
        <is>
          <t>CUSTOM A DEVOLVER</t>
        </is>
      </c>
      <c r="L4306" s="5" t="inlineStr">
        <is>
          <t>CUSTOM A DEVOLVER</t>
        </is>
      </c>
      <c r="M4306" s="5">
        <f>IF(YEAR(I4306)&lt;=2020,"Até 2020",TEXT(YEAR(I4306),"0"))</f>
        <v/>
      </c>
      <c r="N4306" s="5">
        <f>IFERROR(INDEX(DePara!$A:$A,MATCH(TEXT(B4306,"0"),DePara!$D:$D,0)),"(sem categoria)")</f>
        <v/>
      </c>
      <c r="O4306" s="5">
        <f>IF(J4306="","",Parametros!$B$6-J4306)</f>
        <v/>
      </c>
      <c r="P4306" s="5">
        <f>IF(O4306="","",IF(O4306&gt;0,1,0))</f>
        <v/>
      </c>
    </row>
    <row r="4307">
      <c r="A4307" s="5" t="n">
        <v>1191000000</v>
      </c>
      <c r="B4307" s="5" t="inlineStr">
        <is>
          <t>101071</t>
        </is>
      </c>
      <c r="C4307" s="5" t="inlineStr">
        <is>
          <t>CUSTOM COMERCIO INTERNACIONAL LTDA</t>
        </is>
      </c>
      <c r="D4307" s="5" t="inlineStr">
        <is>
          <t>AB</t>
        </is>
      </c>
      <c r="E4307" s="5" t="n">
        <v>1100008704</v>
      </c>
      <c r="F4307" s="5" t="inlineStr">
        <is>
          <t>96010118</t>
        </is>
      </c>
      <c r="G4307" s="5" t="inlineStr">
        <is>
          <t>BRL</t>
        </is>
      </c>
      <c r="H4307" s="9" t="n">
        <v>25856.56</v>
      </c>
      <c r="I4307" s="16" t="n">
        <v>46113</v>
      </c>
      <c r="J4307" s="16" t="n">
        <v>45009</v>
      </c>
      <c r="K4307" s="5" t="inlineStr">
        <is>
          <t>CUSTOM A DEVOLVER</t>
        </is>
      </c>
      <c r="L4307" s="5" t="inlineStr">
        <is>
          <t>CUSTOM A DEVOLVER</t>
        </is>
      </c>
      <c r="M4307" s="5">
        <f>IF(YEAR(I4307)&lt;=2020,"Até 2020",TEXT(YEAR(I4307),"0"))</f>
        <v/>
      </c>
      <c r="N4307" s="5">
        <f>IFERROR(INDEX(DePara!$A:$A,MATCH(TEXT(B4307,"0"),DePara!$D:$D,0)),"(sem categoria)")</f>
        <v/>
      </c>
      <c r="O4307" s="5">
        <f>IF(J4307="","",Parametros!$B$6-J4307)</f>
        <v/>
      </c>
      <c r="P4307" s="5">
        <f>IF(O4307="","",IF(O4307&gt;0,1,0))</f>
        <v/>
      </c>
    </row>
    <row r="4308">
      <c r="A4308" s="5" t="n">
        <v>1191000000</v>
      </c>
      <c r="B4308" s="5" t="inlineStr">
        <is>
          <t>101071</t>
        </is>
      </c>
      <c r="C4308" s="5" t="inlineStr">
        <is>
          <t>CUSTOM COMERCIO INTERNACIONAL LTDA</t>
        </is>
      </c>
      <c r="D4308" s="5" t="inlineStr">
        <is>
          <t>AB</t>
        </is>
      </c>
      <c r="E4308" s="5" t="n">
        <v>1100008708</v>
      </c>
      <c r="F4308" s="5" t="inlineStr">
        <is>
          <t>CAJU066A</t>
        </is>
      </c>
      <c r="G4308" s="5" t="inlineStr">
        <is>
          <t>BRL</t>
        </is>
      </c>
      <c r="H4308" s="9" t="n">
        <v>30426.47</v>
      </c>
      <c r="I4308" s="16" t="n">
        <v>46113</v>
      </c>
      <c r="J4308" s="16" t="n">
        <v>44995</v>
      </c>
      <c r="K4308" s="5" t="inlineStr">
        <is>
          <t>CUSTOM A DEVOLVER</t>
        </is>
      </c>
      <c r="L4308" s="5" t="inlineStr">
        <is>
          <t>CUSTOM A DEVOLVER</t>
        </is>
      </c>
      <c r="M4308" s="5">
        <f>IF(YEAR(I4308)&lt;=2020,"Até 2020",TEXT(YEAR(I4308),"0"))</f>
        <v/>
      </c>
      <c r="N4308" s="5">
        <f>IFERROR(INDEX(DePara!$A:$A,MATCH(TEXT(B4308,"0"),DePara!$D:$D,0)),"(sem categoria)")</f>
        <v/>
      </c>
      <c r="O4308" s="5">
        <f>IF(J4308="","",Parametros!$B$6-J4308)</f>
        <v/>
      </c>
      <c r="P4308" s="5">
        <f>IF(O4308="","",IF(O4308&gt;0,1,0))</f>
        <v/>
      </c>
    </row>
    <row r="4309">
      <c r="A4309" s="5" t="n">
        <v>1191000000</v>
      </c>
      <c r="B4309" s="5" t="inlineStr">
        <is>
          <t>101071</t>
        </is>
      </c>
      <c r="C4309" s="5" t="inlineStr">
        <is>
          <t>CUSTOM COMERCIO INTERNACIONAL LTDA</t>
        </is>
      </c>
      <c r="D4309" s="5" t="inlineStr">
        <is>
          <t>AB</t>
        </is>
      </c>
      <c r="E4309" s="5" t="n">
        <v>1100008710</v>
      </c>
      <c r="F4309" s="5" t="inlineStr">
        <is>
          <t>CAJUII011T1</t>
        </is>
      </c>
      <c r="G4309" s="5" t="inlineStr">
        <is>
          <t>BRL</t>
        </is>
      </c>
      <c r="H4309" s="9" t="n">
        <v>27106.09</v>
      </c>
      <c r="I4309" s="16" t="n">
        <v>46113</v>
      </c>
      <c r="J4309" s="16" t="n">
        <v>44986</v>
      </c>
      <c r="K4309" s="5" t="inlineStr">
        <is>
          <t>CUSTOM A DEVOLVER</t>
        </is>
      </c>
      <c r="L4309" s="5" t="inlineStr">
        <is>
          <t>CUSTOM A DEVOLVER</t>
        </is>
      </c>
      <c r="M4309" s="5">
        <f>IF(YEAR(I4309)&lt;=2020,"Até 2020",TEXT(YEAR(I4309),"0"))</f>
        <v/>
      </c>
      <c r="N4309" s="5">
        <f>IFERROR(INDEX(DePara!$A:$A,MATCH(TEXT(B4309,"0"),DePara!$D:$D,0)),"(sem categoria)")</f>
        <v/>
      </c>
      <c r="O4309" s="5">
        <f>IF(J4309="","",Parametros!$B$6-J4309)</f>
        <v/>
      </c>
      <c r="P4309" s="5">
        <f>IF(O4309="","",IF(O4309&gt;0,1,0))</f>
        <v/>
      </c>
    </row>
    <row r="4310">
      <c r="A4310" s="5" t="n">
        <v>1191000000</v>
      </c>
      <c r="B4310" s="5" t="inlineStr">
        <is>
          <t>101071</t>
        </is>
      </c>
      <c r="C4310" s="5" t="inlineStr">
        <is>
          <t>CUSTOM COMERCIO INTERNACIONAL LTDA</t>
        </is>
      </c>
      <c r="D4310" s="5" t="inlineStr">
        <is>
          <t>AB</t>
        </is>
      </c>
      <c r="E4310" s="5" t="n">
        <v>1100008716</v>
      </c>
      <c r="F4310" s="5" t="inlineStr">
        <is>
          <t>LDVV011A1</t>
        </is>
      </c>
      <c r="G4310" s="5" t="inlineStr">
        <is>
          <t>BRL</t>
        </is>
      </c>
      <c r="H4310" s="9" t="n">
        <v>32126.19</v>
      </c>
      <c r="I4310" s="16" t="n">
        <v>46113</v>
      </c>
      <c r="J4310" s="16" t="n">
        <v>44931</v>
      </c>
      <c r="K4310" s="5" t="inlineStr">
        <is>
          <t>CUSTOM A DEVOLVER</t>
        </is>
      </c>
      <c r="L4310" s="5" t="inlineStr">
        <is>
          <t>CUSTOM A DEVOLVER</t>
        </is>
      </c>
      <c r="M4310" s="5">
        <f>IF(YEAR(I4310)&lt;=2020,"Até 2020",TEXT(YEAR(I4310),"0"))</f>
        <v/>
      </c>
      <c r="N4310" s="5">
        <f>IFERROR(INDEX(DePara!$A:$A,MATCH(TEXT(B4310,"0"),DePara!$D:$D,0)),"(sem categoria)")</f>
        <v/>
      </c>
      <c r="O4310" s="5">
        <f>IF(J4310="","",Parametros!$B$6-J4310)</f>
        <v/>
      </c>
      <c r="P4310" s="5">
        <f>IF(O4310="","",IF(O4310&gt;0,1,0))</f>
        <v/>
      </c>
    </row>
    <row r="4311">
      <c r="A4311" s="5" t="n">
        <v>1191000000</v>
      </c>
      <c r="B4311" s="5" t="inlineStr">
        <is>
          <t>101071</t>
        </is>
      </c>
      <c r="C4311" s="5" t="inlineStr">
        <is>
          <t>CUSTOM COMERCIO INTERNACIONAL LTDA</t>
        </is>
      </c>
      <c r="D4311" s="5" t="inlineStr">
        <is>
          <t>AB</t>
        </is>
      </c>
      <c r="E4311" s="5" t="n">
        <v>1100008721</v>
      </c>
      <c r="F4311" s="5" t="inlineStr">
        <is>
          <t>OEM0272</t>
        </is>
      </c>
      <c r="G4311" s="5" t="inlineStr">
        <is>
          <t>BRL</t>
        </is>
      </c>
      <c r="H4311" s="9" t="n">
        <v>22706.63</v>
      </c>
      <c r="I4311" s="16" t="n">
        <v>46113</v>
      </c>
      <c r="J4311" s="16" t="n">
        <v>45036</v>
      </c>
      <c r="K4311" s="5" t="inlineStr">
        <is>
          <t>CUSTOM A DEVOLVER</t>
        </is>
      </c>
      <c r="L4311" s="5" t="inlineStr">
        <is>
          <t>CUSTOM A DEVOLVER</t>
        </is>
      </c>
      <c r="M4311" s="5">
        <f>IF(YEAR(I4311)&lt;=2020,"Até 2020",TEXT(YEAR(I4311),"0"))</f>
        <v/>
      </c>
      <c r="N4311" s="5">
        <f>IFERROR(INDEX(DePara!$A:$A,MATCH(TEXT(B4311,"0"),DePara!$D:$D,0)),"(sem categoria)")</f>
        <v/>
      </c>
      <c r="O4311" s="5">
        <f>IF(J4311="","",Parametros!$B$6-J4311)</f>
        <v/>
      </c>
      <c r="P4311" s="5">
        <f>IF(O4311="","",IF(O4311&gt;0,1,0))</f>
        <v/>
      </c>
    </row>
    <row r="4312">
      <c r="A4312" s="5" t="n">
        <v>1191000000</v>
      </c>
      <c r="B4312" s="5" t="inlineStr">
        <is>
          <t>101071</t>
        </is>
      </c>
      <c r="C4312" s="5" t="inlineStr">
        <is>
          <t>CUSTOM COMERCIO INTERNACIONAL LTDA</t>
        </is>
      </c>
      <c r="D4312" s="5" t="inlineStr">
        <is>
          <t>AB</t>
        </is>
      </c>
      <c r="E4312" s="5" t="n">
        <v>1100008722</v>
      </c>
      <c r="F4312" s="5" t="inlineStr">
        <is>
          <t>OEM0297</t>
        </is>
      </c>
      <c r="G4312" s="5" t="inlineStr">
        <is>
          <t>BRL</t>
        </is>
      </c>
      <c r="H4312" s="9" t="n">
        <v>21880.11</v>
      </c>
      <c r="I4312" s="16" t="n">
        <v>46113</v>
      </c>
      <c r="J4312" s="16" t="n">
        <v>45061</v>
      </c>
      <c r="K4312" s="5" t="inlineStr">
        <is>
          <t>CUSTOM A DEVOLVER</t>
        </is>
      </c>
      <c r="L4312" s="5" t="inlineStr">
        <is>
          <t>CUSTOM A DEVOLVER</t>
        </is>
      </c>
      <c r="M4312" s="5">
        <f>IF(YEAR(I4312)&lt;=2020,"Até 2020",TEXT(YEAR(I4312),"0"))</f>
        <v/>
      </c>
      <c r="N4312" s="5">
        <f>IFERROR(INDEX(DePara!$A:$A,MATCH(TEXT(B4312,"0"),DePara!$D:$D,0)),"(sem categoria)")</f>
        <v/>
      </c>
      <c r="O4312" s="5">
        <f>IF(J4312="","",Parametros!$B$6-J4312)</f>
        <v/>
      </c>
      <c r="P4312" s="5">
        <f>IF(O4312="","",IF(O4312&gt;0,1,0))</f>
        <v/>
      </c>
    </row>
    <row r="4313">
      <c r="A4313" s="5" t="n">
        <v>1191000000</v>
      </c>
      <c r="B4313" s="5" t="inlineStr">
        <is>
          <t>101071</t>
        </is>
      </c>
      <c r="C4313" s="5" t="inlineStr">
        <is>
          <t>CUSTOM COMERCIO INTERNACIONAL LTDA</t>
        </is>
      </c>
      <c r="D4313" s="5" t="inlineStr">
        <is>
          <t>AB</t>
        </is>
      </c>
      <c r="E4313" s="5" t="n">
        <v>1100008723</v>
      </c>
      <c r="F4313" s="5" t="inlineStr">
        <is>
          <t>4012326909</t>
        </is>
      </c>
      <c r="G4313" s="5" t="inlineStr">
        <is>
          <t>BRL</t>
        </is>
      </c>
      <c r="H4313" s="9" t="n">
        <v>22865.04</v>
      </c>
      <c r="I4313" s="16" t="n">
        <v>46113</v>
      </c>
      <c r="J4313" s="16" t="n">
        <v>45020</v>
      </c>
      <c r="K4313" s="5" t="inlineStr">
        <is>
          <t>CUSTOM A DEVOLVER</t>
        </is>
      </c>
      <c r="L4313" s="5" t="inlineStr">
        <is>
          <t>CUSTOM A DEVOLVER</t>
        </is>
      </c>
      <c r="M4313" s="5">
        <f>IF(YEAR(I4313)&lt;=2020,"Até 2020",TEXT(YEAR(I4313),"0"))</f>
        <v/>
      </c>
      <c r="N4313" s="5">
        <f>IFERROR(INDEX(DePara!$A:$A,MATCH(TEXT(B4313,"0"),DePara!$D:$D,0)),"(sem categoria)")</f>
        <v/>
      </c>
      <c r="O4313" s="5">
        <f>IF(J4313="","",Parametros!$B$6-J4313)</f>
        <v/>
      </c>
      <c r="P4313" s="5">
        <f>IF(O4313="","",IF(O4313&gt;0,1,0))</f>
        <v/>
      </c>
    </row>
    <row r="4314">
      <c r="A4314" s="5" t="n">
        <v>1191000000</v>
      </c>
      <c r="B4314" s="5" t="inlineStr">
        <is>
          <t>101071</t>
        </is>
      </c>
      <c r="C4314" s="5" t="inlineStr">
        <is>
          <t>CUSTOM COMERCIO INTERNACIONAL LTDA</t>
        </is>
      </c>
      <c r="D4314" s="5" t="inlineStr">
        <is>
          <t>AB</t>
        </is>
      </c>
      <c r="E4314" s="5" t="n">
        <v>1100008724</v>
      </c>
      <c r="F4314" s="5" t="inlineStr">
        <is>
          <t>VESA070A</t>
        </is>
      </c>
      <c r="G4314" s="5" t="inlineStr">
        <is>
          <t>BRL</t>
        </is>
      </c>
      <c r="H4314" s="9" t="n">
        <v>19733.69</v>
      </c>
      <c r="I4314" s="16" t="n">
        <v>46113</v>
      </c>
      <c r="J4314" s="16" t="n">
        <v>45007</v>
      </c>
      <c r="K4314" s="5" t="inlineStr">
        <is>
          <t>CUSTOM A DEVOLVER</t>
        </is>
      </c>
      <c r="L4314" s="5" t="inlineStr">
        <is>
          <t>CUSTOM A DEVOLVER</t>
        </is>
      </c>
      <c r="M4314" s="5">
        <f>IF(YEAR(I4314)&lt;=2020,"Até 2020",TEXT(YEAR(I4314),"0"))</f>
        <v/>
      </c>
      <c r="N4314" s="5">
        <f>IFERROR(INDEX(DePara!$A:$A,MATCH(TEXT(B4314,"0"),DePara!$D:$D,0)),"(sem categoria)")</f>
        <v/>
      </c>
      <c r="O4314" s="5">
        <f>IF(J4314="","",Parametros!$B$6-J4314)</f>
        <v/>
      </c>
      <c r="P4314" s="5">
        <f>IF(O4314="","",IF(O4314&gt;0,1,0))</f>
        <v/>
      </c>
    </row>
    <row r="4315">
      <c r="A4315" s="5" t="n">
        <v>1191000000</v>
      </c>
      <c r="B4315" s="5" t="inlineStr">
        <is>
          <t>101071</t>
        </is>
      </c>
      <c r="C4315" s="5" t="inlineStr">
        <is>
          <t>CUSTOM COMERCIO INTERNACIONAL LTDA</t>
        </is>
      </c>
      <c r="D4315" s="5" t="inlineStr">
        <is>
          <t>AB</t>
        </is>
      </c>
      <c r="E4315" s="5" t="n">
        <v>1100008725</v>
      </c>
      <c r="F4315" s="5" t="inlineStr">
        <is>
          <t>4012324642</t>
        </is>
      </c>
      <c r="G4315" s="5" t="inlineStr">
        <is>
          <t>BRL</t>
        </is>
      </c>
      <c r="H4315" s="9" t="n">
        <v>18924.59</v>
      </c>
      <c r="I4315" s="16" t="n">
        <v>46113</v>
      </c>
      <c r="J4315" s="16" t="n">
        <v>45007</v>
      </c>
      <c r="K4315" s="5" t="inlineStr">
        <is>
          <t>CUSTOM A DEVOLVER</t>
        </is>
      </c>
      <c r="L4315" s="5" t="inlineStr">
        <is>
          <t>CUSTOM A DEVOLVER</t>
        </is>
      </c>
      <c r="M4315" s="5">
        <f>IF(YEAR(I4315)&lt;=2020,"Até 2020",TEXT(YEAR(I4315),"0"))</f>
        <v/>
      </c>
      <c r="N4315" s="5">
        <f>IFERROR(INDEX(DePara!$A:$A,MATCH(TEXT(B4315,"0"),DePara!$D:$D,0)),"(sem categoria)")</f>
        <v/>
      </c>
      <c r="O4315" s="5">
        <f>IF(J4315="","",Parametros!$B$6-J4315)</f>
        <v/>
      </c>
      <c r="P4315" s="5">
        <f>IF(O4315="","",IF(O4315&gt;0,1,0))</f>
        <v/>
      </c>
    </row>
    <row r="4316">
      <c r="A4316" s="5" t="n">
        <v>1191000000</v>
      </c>
      <c r="B4316" s="5" t="inlineStr">
        <is>
          <t>101071</t>
        </is>
      </c>
      <c r="C4316" s="5" t="inlineStr">
        <is>
          <t>CUSTOM COMERCIO INTERNACIONAL LTDA</t>
        </is>
      </c>
      <c r="D4316" s="5" t="inlineStr">
        <is>
          <t>AB</t>
        </is>
      </c>
      <c r="E4316" s="5" t="n">
        <v>1100008730</v>
      </c>
      <c r="F4316" s="5" t="inlineStr">
        <is>
          <t>OEM0196</t>
        </is>
      </c>
      <c r="G4316" s="5" t="inlineStr">
        <is>
          <t>BRL</t>
        </is>
      </c>
      <c r="H4316" s="9" t="n">
        <v>38259.07</v>
      </c>
      <c r="I4316" s="16" t="n">
        <v>46113</v>
      </c>
      <c r="J4316" s="16" t="n">
        <v>44890</v>
      </c>
      <c r="K4316" s="5" t="inlineStr">
        <is>
          <t>CUSTOM A DEVOLVER</t>
        </is>
      </c>
      <c r="L4316" s="5" t="inlineStr">
        <is>
          <t>CUSTOM A DEVOLVER</t>
        </is>
      </c>
      <c r="M4316" s="5">
        <f>IF(YEAR(I4316)&lt;=2020,"Até 2020",TEXT(YEAR(I4316),"0"))</f>
        <v/>
      </c>
      <c r="N4316" s="5">
        <f>IFERROR(INDEX(DePara!$A:$A,MATCH(TEXT(B4316,"0"),DePara!$D:$D,0)),"(sem categoria)")</f>
        <v/>
      </c>
      <c r="O4316" s="5">
        <f>IF(J4316="","",Parametros!$B$6-J4316)</f>
        <v/>
      </c>
      <c r="P4316" s="5">
        <f>IF(O4316="","",IF(O4316&gt;0,1,0))</f>
        <v/>
      </c>
    </row>
    <row r="4317">
      <c r="A4317" s="5" t="n">
        <v>1191000000</v>
      </c>
      <c r="B4317" s="5" t="inlineStr">
        <is>
          <t>101071</t>
        </is>
      </c>
      <c r="C4317" s="5" t="inlineStr">
        <is>
          <t>CUSTOM COMERCIO INTERNACIONAL LTDA</t>
        </is>
      </c>
      <c r="D4317" s="5" t="inlineStr">
        <is>
          <t>AB</t>
        </is>
      </c>
      <c r="E4317" s="5" t="n">
        <v>1100008731</v>
      </c>
      <c r="F4317" s="5" t="inlineStr">
        <is>
          <t>OEM0189</t>
        </is>
      </c>
      <c r="G4317" s="5" t="inlineStr">
        <is>
          <t>BRL</t>
        </is>
      </c>
      <c r="H4317" s="9" t="n">
        <v>33458.7</v>
      </c>
      <c r="I4317" s="16" t="n">
        <v>46113</v>
      </c>
      <c r="J4317" s="16" t="n">
        <v>44882</v>
      </c>
      <c r="K4317" s="5" t="inlineStr">
        <is>
          <t>CUSTOM A DEVOLVER</t>
        </is>
      </c>
      <c r="L4317" s="5" t="inlineStr">
        <is>
          <t>CUSTOM A DEVOLVER</t>
        </is>
      </c>
      <c r="M4317" s="5">
        <f>IF(YEAR(I4317)&lt;=2020,"Até 2020",TEXT(YEAR(I4317),"0"))</f>
        <v/>
      </c>
      <c r="N4317" s="5">
        <f>IFERROR(INDEX(DePara!$A:$A,MATCH(TEXT(B4317,"0"),DePara!$D:$D,0)),"(sem categoria)")</f>
        <v/>
      </c>
      <c r="O4317" s="5">
        <f>IF(J4317="","",Parametros!$B$6-J4317)</f>
        <v/>
      </c>
      <c r="P4317" s="5">
        <f>IF(O4317="","",IF(O4317&gt;0,1,0))</f>
        <v/>
      </c>
    </row>
    <row r="4318">
      <c r="A4318" s="5" t="n">
        <v>1191000000</v>
      </c>
      <c r="B4318" s="5" t="inlineStr">
        <is>
          <t>101071</t>
        </is>
      </c>
      <c r="C4318" s="5" t="inlineStr">
        <is>
          <t>CUSTOM COMERCIO INTERNACIONAL LTDA</t>
        </is>
      </c>
      <c r="D4318" s="5" t="inlineStr">
        <is>
          <t>AB</t>
        </is>
      </c>
      <c r="E4318" s="5" t="n">
        <v>1100008732</v>
      </c>
      <c r="F4318" s="5" t="inlineStr">
        <is>
          <t>OEM0164</t>
        </is>
      </c>
      <c r="G4318" s="5" t="inlineStr">
        <is>
          <t>BRL</t>
        </is>
      </c>
      <c r="H4318" s="9" t="n">
        <v>40747.75</v>
      </c>
      <c r="I4318" s="16" t="n">
        <v>46113</v>
      </c>
      <c r="J4318" s="16" t="n">
        <v>44853</v>
      </c>
      <c r="K4318" s="5" t="inlineStr">
        <is>
          <t>CUSTOM A DEVOLVER</t>
        </is>
      </c>
      <c r="L4318" s="5" t="inlineStr">
        <is>
          <t>CUSTOM A DEVOLVER</t>
        </is>
      </c>
      <c r="M4318" s="5">
        <f>IF(YEAR(I4318)&lt;=2020,"Até 2020",TEXT(YEAR(I4318),"0"))</f>
        <v/>
      </c>
      <c r="N4318" s="5">
        <f>IFERROR(INDEX(DePara!$A:$A,MATCH(TEXT(B4318,"0"),DePara!$D:$D,0)),"(sem categoria)")</f>
        <v/>
      </c>
      <c r="O4318" s="5">
        <f>IF(J4318="","",Parametros!$B$6-J4318)</f>
        <v/>
      </c>
      <c r="P4318" s="5">
        <f>IF(O4318="","",IF(O4318&gt;0,1,0))</f>
        <v/>
      </c>
    </row>
    <row r="4319">
      <c r="A4319" s="5" t="n">
        <v>1191000000</v>
      </c>
      <c r="B4319" s="5" t="inlineStr">
        <is>
          <t>101071</t>
        </is>
      </c>
      <c r="C4319" s="5" t="inlineStr">
        <is>
          <t>CUSTOM COMERCIO INTERNACIONAL LTDA</t>
        </is>
      </c>
      <c r="D4319" s="5" t="inlineStr">
        <is>
          <t>AB</t>
        </is>
      </c>
      <c r="E4319" s="5" t="n">
        <v>1100008740</v>
      </c>
      <c r="F4319" s="5" t="inlineStr">
        <is>
          <t>AERIS0015</t>
        </is>
      </c>
      <c r="G4319" s="5" t="inlineStr">
        <is>
          <t>BRL</t>
        </is>
      </c>
      <c r="H4319" s="9" t="n">
        <v>42680.08</v>
      </c>
      <c r="I4319" s="16" t="n">
        <v>46113</v>
      </c>
      <c r="J4319" s="16" t="n">
        <v>44797</v>
      </c>
      <c r="K4319" s="5" t="inlineStr">
        <is>
          <t>CUSTOM A DEVOLVER</t>
        </is>
      </c>
      <c r="L4319" s="5" t="inlineStr">
        <is>
          <t>CUSTOM A DEVOLVER</t>
        </is>
      </c>
      <c r="M4319" s="5">
        <f>IF(YEAR(I4319)&lt;=2020,"Até 2020",TEXT(YEAR(I4319),"0"))</f>
        <v/>
      </c>
      <c r="N4319" s="5">
        <f>IFERROR(INDEX(DePara!$A:$A,MATCH(TEXT(B4319,"0"),DePara!$D:$D,0)),"(sem categoria)")</f>
        <v/>
      </c>
      <c r="O4319" s="5">
        <f>IF(J4319="","",Parametros!$B$6-J4319)</f>
        <v/>
      </c>
      <c r="P4319" s="5">
        <f>IF(O4319="","",IF(O4319&gt;0,1,0))</f>
        <v/>
      </c>
    </row>
    <row r="4320">
      <c r="A4320" s="5" t="n">
        <v>1191000000</v>
      </c>
      <c r="B4320" s="5" t="inlineStr">
        <is>
          <t>101071</t>
        </is>
      </c>
      <c r="C4320" s="5" t="inlineStr">
        <is>
          <t>CUSTOM COMERCIO INTERNACIONAL LTDA</t>
        </is>
      </c>
      <c r="D4320" s="5" t="inlineStr">
        <is>
          <t>AB</t>
        </is>
      </c>
      <c r="E4320" s="5" t="n">
        <v>1100008743</v>
      </c>
      <c r="F4320" s="5" t="inlineStr">
        <is>
          <t>4010005742</t>
        </is>
      </c>
      <c r="G4320" s="5" t="inlineStr">
        <is>
          <t>BRL</t>
        </is>
      </c>
      <c r="H4320" s="9" t="n">
        <v>24472.97</v>
      </c>
      <c r="I4320" s="16" t="n">
        <v>46113</v>
      </c>
      <c r="J4320" s="16" t="n">
        <v>44522</v>
      </c>
      <c r="K4320" s="5" t="inlineStr">
        <is>
          <t>CUSTOM A DEVOLVER</t>
        </is>
      </c>
      <c r="L4320" s="5" t="inlineStr">
        <is>
          <t>CUSTOM A DEVOLVER</t>
        </is>
      </c>
      <c r="M4320" s="5">
        <f>IF(YEAR(I4320)&lt;=2020,"Até 2020",TEXT(YEAR(I4320),"0"))</f>
        <v/>
      </c>
      <c r="N4320" s="5">
        <f>IFERROR(INDEX(DePara!$A:$A,MATCH(TEXT(B4320,"0"),DePara!$D:$D,0)),"(sem categoria)")</f>
        <v/>
      </c>
      <c r="O4320" s="5">
        <f>IF(J4320="","",Parametros!$B$6-J4320)</f>
        <v/>
      </c>
      <c r="P4320" s="5">
        <f>IF(O4320="","",IF(O4320&gt;0,1,0))</f>
        <v/>
      </c>
    </row>
    <row r="4321">
      <c r="A4321" s="5" t="n">
        <v>1191000000</v>
      </c>
      <c r="B4321" s="5" t="inlineStr">
        <is>
          <t>101071</t>
        </is>
      </c>
      <c r="C4321" s="5" t="inlineStr">
        <is>
          <t>CUSTOM COMERCIO INTERNACIONAL LTDA</t>
        </is>
      </c>
      <c r="D4321" s="5" t="inlineStr">
        <is>
          <t>AB</t>
        </is>
      </c>
      <c r="E4321" s="5" t="n">
        <v>1100008746</v>
      </c>
      <c r="F4321" s="5" t="inlineStr">
        <is>
          <t xml:space="preserve"> CAJUIINLZ0117</t>
        </is>
      </c>
      <c r="G4321" s="5" t="inlineStr">
        <is>
          <t>BRL</t>
        </is>
      </c>
      <c r="H4321" s="9" t="n">
        <v>38544.87</v>
      </c>
      <c r="I4321" s="16" t="n">
        <v>46113</v>
      </c>
      <c r="J4321" s="16" t="n">
        <v>44901</v>
      </c>
      <c r="K4321" s="5" t="inlineStr">
        <is>
          <t>CUSTOM A DEVOLVER</t>
        </is>
      </c>
      <c r="L4321" s="5" t="inlineStr">
        <is>
          <t>CUSTOM A DEVOLVER</t>
        </is>
      </c>
      <c r="M4321" s="5">
        <f>IF(YEAR(I4321)&lt;=2020,"Até 2020",TEXT(YEAR(I4321),"0"))</f>
        <v/>
      </c>
      <c r="N4321" s="5">
        <f>IFERROR(INDEX(DePara!$A:$A,MATCH(TEXT(B4321,"0"),DePara!$D:$D,0)),"(sem categoria)")</f>
        <v/>
      </c>
      <c r="O4321" s="5">
        <f>IF(J4321="","",Parametros!$B$6-J4321)</f>
        <v/>
      </c>
      <c r="P4321" s="5">
        <f>IF(O4321="","",IF(O4321&gt;0,1,0))</f>
        <v/>
      </c>
    </row>
    <row r="4322">
      <c r="A4322" s="5" t="n">
        <v>1191000000</v>
      </c>
      <c r="B4322" s="5" t="inlineStr">
        <is>
          <t>101071</t>
        </is>
      </c>
      <c r="C4322" s="5" t="inlineStr">
        <is>
          <t>CUSTOM COMERCIO INTERNACIONAL LTDA</t>
        </is>
      </c>
      <c r="D4322" s="5" t="inlineStr">
        <is>
          <t>AB</t>
        </is>
      </c>
      <c r="E4322" s="5" t="n">
        <v>1100008747</v>
      </c>
      <c r="F4322" s="5" t="inlineStr">
        <is>
          <t>LDVV009T</t>
        </is>
      </c>
      <c r="G4322" s="5" t="inlineStr">
        <is>
          <t>BRL</t>
        </is>
      </c>
      <c r="H4322" s="9" t="n">
        <v>30724.21</v>
      </c>
      <c r="I4322" s="16" t="n">
        <v>46113</v>
      </c>
      <c r="J4322" s="16" t="n">
        <v>44853</v>
      </c>
      <c r="K4322" s="5" t="inlineStr">
        <is>
          <t>CUSTOM A DEVOLVER</t>
        </is>
      </c>
      <c r="L4322" s="5" t="inlineStr">
        <is>
          <t>CUSTOM A DEVOLVER</t>
        </is>
      </c>
      <c r="M4322" s="5">
        <f>IF(YEAR(I4322)&lt;=2020,"Até 2020",TEXT(YEAR(I4322),"0"))</f>
        <v/>
      </c>
      <c r="N4322" s="5">
        <f>IFERROR(INDEX(DePara!$A:$A,MATCH(TEXT(B4322,"0"),DePara!$D:$D,0)),"(sem categoria)")</f>
        <v/>
      </c>
      <c r="O4322" s="5">
        <f>IF(J4322="","",Parametros!$B$6-J4322)</f>
        <v/>
      </c>
      <c r="P4322" s="5">
        <f>IF(O4322="","",IF(O4322&gt;0,1,0))</f>
        <v/>
      </c>
    </row>
    <row r="4323">
      <c r="A4323" s="5" t="n">
        <v>1191000000</v>
      </c>
      <c r="B4323" s="5" t="inlineStr">
        <is>
          <t>101071</t>
        </is>
      </c>
      <c r="C4323" s="5" t="inlineStr">
        <is>
          <t>CUSTOM COMERCIO INTERNACIONAL LTDA</t>
        </is>
      </c>
      <c r="D4323" s="5" t="inlineStr">
        <is>
          <t>AB</t>
        </is>
      </c>
      <c r="E4323" s="5" t="n">
        <v>1100008748</v>
      </c>
      <c r="F4323" s="5" t="inlineStr">
        <is>
          <t>CAJUIINLZ0065</t>
        </is>
      </c>
      <c r="G4323" s="5" t="inlineStr">
        <is>
          <t>BRL</t>
        </is>
      </c>
      <c r="H4323" s="9" t="n">
        <v>35318.29</v>
      </c>
      <c r="I4323" s="16" t="n">
        <v>46113</v>
      </c>
      <c r="J4323" s="16" t="n">
        <v>44852</v>
      </c>
      <c r="K4323" s="5" t="inlineStr">
        <is>
          <t>CUSTOM A DEVOLVER</t>
        </is>
      </c>
      <c r="L4323" s="5" t="inlineStr">
        <is>
          <t>CUSTOM A DEVOLVER</t>
        </is>
      </c>
      <c r="M4323" s="5">
        <f>IF(YEAR(I4323)&lt;=2020,"Até 2020",TEXT(YEAR(I4323),"0"))</f>
        <v/>
      </c>
      <c r="N4323" s="5">
        <f>IFERROR(INDEX(DePara!$A:$A,MATCH(TEXT(B4323,"0"),DePara!$D:$D,0)),"(sem categoria)")</f>
        <v/>
      </c>
      <c r="O4323" s="5">
        <f>IF(J4323="","",Parametros!$B$6-J4323)</f>
        <v/>
      </c>
      <c r="P4323" s="5">
        <f>IF(O4323="","",IF(O4323&gt;0,1,0))</f>
        <v/>
      </c>
    </row>
    <row r="4324">
      <c r="A4324" s="5" t="n">
        <v>1191000000</v>
      </c>
      <c r="B4324" s="5" t="inlineStr">
        <is>
          <t>101071</t>
        </is>
      </c>
      <c r="C4324" s="5" t="inlineStr">
        <is>
          <t>CUSTOM COMERCIO INTERNACIONAL LTDA</t>
        </is>
      </c>
      <c r="D4324" s="5" t="inlineStr">
        <is>
          <t>AB</t>
        </is>
      </c>
      <c r="E4324" s="5" t="n">
        <v>1100008749</v>
      </c>
      <c r="F4324" s="5" t="inlineStr">
        <is>
          <t>CAJUII003A</t>
        </is>
      </c>
      <c r="G4324" s="5" t="inlineStr">
        <is>
          <t>BRL</t>
        </is>
      </c>
      <c r="H4324" s="9" t="n">
        <v>16383.61</v>
      </c>
      <c r="I4324" s="16" t="n">
        <v>46113</v>
      </c>
      <c r="J4324" s="16" t="n">
        <v>44781</v>
      </c>
      <c r="K4324" s="5" t="inlineStr">
        <is>
          <t>CUSTOM A DEVOLVER</t>
        </is>
      </c>
      <c r="L4324" s="5" t="inlineStr">
        <is>
          <t>CUSTOM A DEVOLVER</t>
        </is>
      </c>
      <c r="M4324" s="5">
        <f>IF(YEAR(I4324)&lt;=2020,"Até 2020",TEXT(YEAR(I4324),"0"))</f>
        <v/>
      </c>
      <c r="N4324" s="5">
        <f>IFERROR(INDEX(DePara!$A:$A,MATCH(TEXT(B4324,"0"),DePara!$D:$D,0)),"(sem categoria)")</f>
        <v/>
      </c>
      <c r="O4324" s="5">
        <f>IF(J4324="","",Parametros!$B$6-J4324)</f>
        <v/>
      </c>
      <c r="P4324" s="5">
        <f>IF(O4324="","",IF(O4324&gt;0,1,0))</f>
        <v/>
      </c>
    </row>
    <row r="4325">
      <c r="A4325" s="5" t="n">
        <v>1191000000</v>
      </c>
      <c r="B4325" s="5" t="inlineStr">
        <is>
          <t>101071</t>
        </is>
      </c>
      <c r="C4325" s="5" t="inlineStr">
        <is>
          <t>CUSTOM COMERCIO INTERNACIONAL LTDA</t>
        </is>
      </c>
      <c r="D4325" s="5" t="inlineStr">
        <is>
          <t>AB</t>
        </is>
      </c>
      <c r="E4325" s="5" t="n">
        <v>1100008767</v>
      </c>
      <c r="F4325" s="5" t="inlineStr">
        <is>
          <t>CAJUIINLZ0116</t>
        </is>
      </c>
      <c r="G4325" s="5" t="inlineStr">
        <is>
          <t>BRL</t>
        </is>
      </c>
      <c r="H4325" s="9" t="n">
        <v>31814.1</v>
      </c>
      <c r="I4325" s="16" t="n">
        <v>46113</v>
      </c>
      <c r="J4325" s="16" t="n">
        <v>44901</v>
      </c>
      <c r="K4325" s="5" t="inlineStr">
        <is>
          <t>CUSTOM A DEVOLVER</t>
        </is>
      </c>
      <c r="L4325" s="5" t="inlineStr">
        <is>
          <t>CUSTOM A DEVOLVER</t>
        </is>
      </c>
      <c r="M4325" s="5">
        <f>IF(YEAR(I4325)&lt;=2020,"Até 2020",TEXT(YEAR(I4325),"0"))</f>
        <v/>
      </c>
      <c r="N4325" s="5">
        <f>IFERROR(INDEX(DePara!$A:$A,MATCH(TEXT(B4325,"0"),DePara!$D:$D,0)),"(sem categoria)")</f>
        <v/>
      </c>
      <c r="O4325" s="5">
        <f>IF(J4325="","",Parametros!$B$6-J4325)</f>
        <v/>
      </c>
      <c r="P4325" s="5">
        <f>IF(O4325="","",IF(O4325&gt;0,1,0))</f>
        <v/>
      </c>
    </row>
    <row r="4326">
      <c r="A4326" s="5" t="n">
        <v>1191000000</v>
      </c>
      <c r="B4326" s="5" t="inlineStr">
        <is>
          <t>101071</t>
        </is>
      </c>
      <c r="C4326" s="5" t="inlineStr">
        <is>
          <t>CUSTOM COMERCIO INTERNACIONAL LTDA</t>
        </is>
      </c>
      <c r="D4326" s="5" t="inlineStr">
        <is>
          <t>AB</t>
        </is>
      </c>
      <c r="E4326" s="5" t="n">
        <v>1100008768</v>
      </c>
      <c r="F4326" s="5" t="inlineStr">
        <is>
          <t xml:space="preserve"> LDVVNLZ0151</t>
        </is>
      </c>
      <c r="G4326" s="5" t="inlineStr">
        <is>
          <t>BRL</t>
        </is>
      </c>
      <c r="H4326" s="9" t="n">
        <v>31153.84</v>
      </c>
      <c r="I4326" s="16" t="n">
        <v>46113</v>
      </c>
      <c r="J4326" s="16" t="n">
        <v>44901</v>
      </c>
      <c r="K4326" s="5" t="inlineStr">
        <is>
          <t>CUSTOM A DEVOLVER</t>
        </is>
      </c>
      <c r="L4326" s="5" t="inlineStr">
        <is>
          <t>CUSTOM A DEVOLVER</t>
        </is>
      </c>
      <c r="M4326" s="5">
        <f>IF(YEAR(I4326)&lt;=2020,"Até 2020",TEXT(YEAR(I4326),"0"))</f>
        <v/>
      </c>
      <c r="N4326" s="5">
        <f>IFERROR(INDEX(DePara!$A:$A,MATCH(TEXT(B4326,"0"),DePara!$D:$D,0)),"(sem categoria)")</f>
        <v/>
      </c>
      <c r="O4326" s="5">
        <f>IF(J4326="","",Parametros!$B$6-J4326)</f>
        <v/>
      </c>
      <c r="P4326" s="5">
        <f>IF(O4326="","",IF(O4326&gt;0,1,0))</f>
        <v/>
      </c>
    </row>
    <row r="4327">
      <c r="A4327" s="5" t="n">
        <v>1191000000</v>
      </c>
      <c r="B4327" s="5" t="inlineStr">
        <is>
          <t>101071</t>
        </is>
      </c>
      <c r="C4327" s="5" t="inlineStr">
        <is>
          <t>CUSTOM COMERCIO INTERNACIONAL LTDA</t>
        </is>
      </c>
      <c r="D4327" s="5" t="inlineStr">
        <is>
          <t>AB</t>
        </is>
      </c>
      <c r="E4327" s="5" t="n">
        <v>1100008769</v>
      </c>
      <c r="F4327" s="5" t="inlineStr">
        <is>
          <t>CAJUNLZ0224</t>
        </is>
      </c>
      <c r="G4327" s="5" t="inlineStr">
        <is>
          <t>BRL</t>
        </is>
      </c>
      <c r="H4327" s="9" t="n">
        <v>32962.33</v>
      </c>
      <c r="I4327" s="16" t="n">
        <v>46113</v>
      </c>
      <c r="J4327" s="16" t="n">
        <v>44887</v>
      </c>
      <c r="K4327" s="5" t="inlineStr">
        <is>
          <t>CUSTOM A DEVOLVER</t>
        </is>
      </c>
      <c r="L4327" s="5" t="inlineStr">
        <is>
          <t>CUSTOM A DEVOLVER</t>
        </is>
      </c>
      <c r="M4327" s="5">
        <f>IF(YEAR(I4327)&lt;=2020,"Até 2020",TEXT(YEAR(I4327),"0"))</f>
        <v/>
      </c>
      <c r="N4327" s="5">
        <f>IFERROR(INDEX(DePara!$A:$A,MATCH(TEXT(B4327,"0"),DePara!$D:$D,0)),"(sem categoria)")</f>
        <v/>
      </c>
      <c r="O4327" s="5">
        <f>IF(J4327="","",Parametros!$B$6-J4327)</f>
        <v/>
      </c>
      <c r="P4327" s="5">
        <f>IF(O4327="","",IF(O4327&gt;0,1,0))</f>
        <v/>
      </c>
    </row>
    <row r="4328">
      <c r="A4328" s="5" t="n">
        <v>1191000000</v>
      </c>
      <c r="B4328" s="5" t="inlineStr">
        <is>
          <t>101071</t>
        </is>
      </c>
      <c r="C4328" s="5" t="inlineStr">
        <is>
          <t>CUSTOM COMERCIO INTERNACIONAL LTDA</t>
        </is>
      </c>
      <c r="D4328" s="5" t="inlineStr">
        <is>
          <t>AB</t>
        </is>
      </c>
      <c r="E4328" s="5" t="n">
        <v>1100008770</v>
      </c>
      <c r="F4328" s="5" t="inlineStr">
        <is>
          <t>LDVVNLZ0081</t>
        </is>
      </c>
      <c r="G4328" s="5" t="inlineStr">
        <is>
          <t>BRL</t>
        </is>
      </c>
      <c r="H4328" s="9" t="n">
        <v>31726.97</v>
      </c>
      <c r="I4328" s="16" t="n">
        <v>46113</v>
      </c>
      <c r="J4328" s="16" t="n">
        <v>44872</v>
      </c>
      <c r="K4328" s="5" t="inlineStr">
        <is>
          <t>CUSTOM A DEVOLVER</t>
        </is>
      </c>
      <c r="L4328" s="5" t="inlineStr">
        <is>
          <t>CUSTOM A DEVOLVER</t>
        </is>
      </c>
      <c r="M4328" s="5">
        <f>IF(YEAR(I4328)&lt;=2020,"Até 2020",TEXT(YEAR(I4328),"0"))</f>
        <v/>
      </c>
      <c r="N4328" s="5">
        <f>IFERROR(INDEX(DePara!$A:$A,MATCH(TEXT(B4328,"0"),DePara!$D:$D,0)),"(sem categoria)")</f>
        <v/>
      </c>
      <c r="O4328" s="5">
        <f>IF(J4328="","",Parametros!$B$6-J4328)</f>
        <v/>
      </c>
      <c r="P4328" s="5">
        <f>IF(O4328="","",IF(O4328&gt;0,1,0))</f>
        <v/>
      </c>
    </row>
    <row r="4329">
      <c r="A4329" s="5" t="n">
        <v>1191000000</v>
      </c>
      <c r="B4329" s="5" t="inlineStr">
        <is>
          <t>101071</t>
        </is>
      </c>
      <c r="C4329" s="5" t="inlineStr">
        <is>
          <t>CUSTOM COMERCIO INTERNACIONAL LTDA</t>
        </is>
      </c>
      <c r="D4329" s="5" t="inlineStr">
        <is>
          <t>AB</t>
        </is>
      </c>
      <c r="E4329" s="5" t="n">
        <v>1100008772</v>
      </c>
      <c r="F4329" s="5" t="inlineStr">
        <is>
          <t>CAJU042A</t>
        </is>
      </c>
      <c r="G4329" s="5" t="inlineStr">
        <is>
          <t>BRL</t>
        </is>
      </c>
      <c r="H4329" s="9" t="n">
        <v>32339.02</v>
      </c>
      <c r="I4329" s="16" t="n">
        <v>46113</v>
      </c>
      <c r="J4329" s="16" t="n">
        <v>44832</v>
      </c>
      <c r="K4329" s="5" t="inlineStr">
        <is>
          <t>CUSTOM A DEVOLVER</t>
        </is>
      </c>
      <c r="L4329" s="5" t="inlineStr">
        <is>
          <t>CUSTOM A DEVOLVER</t>
        </is>
      </c>
      <c r="M4329" s="5">
        <f>IF(YEAR(I4329)&lt;=2020,"Até 2020",TEXT(YEAR(I4329),"0"))</f>
        <v/>
      </c>
      <c r="N4329" s="5">
        <f>IFERROR(INDEX(DePara!$A:$A,MATCH(TEXT(B4329,"0"),DePara!$D:$D,0)),"(sem categoria)")</f>
        <v/>
      </c>
      <c r="O4329" s="5">
        <f>IF(J4329="","",Parametros!$B$6-J4329)</f>
        <v/>
      </c>
      <c r="P4329" s="5">
        <f>IF(O4329="","",IF(O4329&gt;0,1,0))</f>
        <v/>
      </c>
    </row>
    <row r="4330">
      <c r="A4330" s="5" t="n">
        <v>1191000000</v>
      </c>
      <c r="B4330" s="5" t="inlineStr">
        <is>
          <t>101071</t>
        </is>
      </c>
      <c r="C4330" s="5" t="inlineStr">
        <is>
          <t>CUSTOM COMERCIO INTERNACIONAL LTDA</t>
        </is>
      </c>
      <c r="D4330" s="5" t="inlineStr">
        <is>
          <t>AB</t>
        </is>
      </c>
      <c r="E4330" s="5" t="n">
        <v>1100008773</v>
      </c>
      <c r="F4330" s="5" t="inlineStr">
        <is>
          <t>CAJUII004T</t>
        </is>
      </c>
      <c r="G4330" s="5" t="inlineStr">
        <is>
          <t>BRL</t>
        </is>
      </c>
      <c r="H4330" s="9" t="n">
        <v>23985.29</v>
      </c>
      <c r="I4330" s="16" t="n">
        <v>46113</v>
      </c>
      <c r="J4330" s="16" t="n">
        <v>44781</v>
      </c>
      <c r="K4330" s="5" t="inlineStr">
        <is>
          <t>CUSTOM A DEVOLVER</t>
        </is>
      </c>
      <c r="L4330" s="5" t="inlineStr">
        <is>
          <t>CUSTOM A DEVOLVER</t>
        </is>
      </c>
      <c r="M4330" s="5">
        <f>IF(YEAR(I4330)&lt;=2020,"Até 2020",TEXT(YEAR(I4330),"0"))</f>
        <v/>
      </c>
      <c r="N4330" s="5">
        <f>IFERROR(INDEX(DePara!$A:$A,MATCH(TEXT(B4330,"0"),DePara!$D:$D,0)),"(sem categoria)")</f>
        <v/>
      </c>
      <c r="O4330" s="5">
        <f>IF(J4330="","",Parametros!$B$6-J4330)</f>
        <v/>
      </c>
      <c r="P4330" s="5">
        <f>IF(O4330="","",IF(O4330&gt;0,1,0))</f>
        <v/>
      </c>
    </row>
    <row r="4331">
      <c r="A4331" s="5" t="n">
        <v>1191000000</v>
      </c>
      <c r="B4331" s="5" t="inlineStr">
        <is>
          <t>101071</t>
        </is>
      </c>
      <c r="C4331" s="5" t="inlineStr">
        <is>
          <t>CUSTOM COMERCIO INTERNACIONAL LTDA</t>
        </is>
      </c>
      <c r="D4331" s="5" t="inlineStr">
        <is>
          <t>AB</t>
        </is>
      </c>
      <c r="E4331" s="5" t="n">
        <v>1100008904</v>
      </c>
      <c r="F4331" s="5" t="inlineStr">
        <is>
          <t>OEM0195</t>
        </is>
      </c>
      <c r="G4331" s="5" t="inlineStr">
        <is>
          <t>BRL</t>
        </is>
      </c>
      <c r="H4331" s="9" t="n">
        <v>24474.89</v>
      </c>
      <c r="I4331" s="16" t="n">
        <v>46113</v>
      </c>
      <c r="J4331" s="16" t="n">
        <v>44882</v>
      </c>
      <c r="K4331" s="5" t="inlineStr">
        <is>
          <t>CUSTOM A DEVOLVER</t>
        </is>
      </c>
      <c r="L4331" s="5" t="inlineStr">
        <is>
          <t>CUSTOM A DEVOLVER</t>
        </is>
      </c>
      <c r="M4331" s="5">
        <f>IF(YEAR(I4331)&lt;=2020,"Até 2020",TEXT(YEAR(I4331),"0"))</f>
        <v/>
      </c>
      <c r="N4331" s="5">
        <f>IFERROR(INDEX(DePara!$A:$A,MATCH(TEXT(B4331,"0"),DePara!$D:$D,0)),"(sem categoria)")</f>
        <v/>
      </c>
      <c r="O4331" s="5">
        <f>IF(J4331="","",Parametros!$B$6-J4331)</f>
        <v/>
      </c>
      <c r="P4331" s="5">
        <f>IF(O4331="","",IF(O4331&gt;0,1,0))</f>
        <v/>
      </c>
    </row>
    <row r="4332">
      <c r="A4332" s="5" t="n">
        <v>1191000000</v>
      </c>
      <c r="B4332" s="5" t="inlineStr">
        <is>
          <t>101071</t>
        </is>
      </c>
      <c r="C4332" s="5" t="inlineStr">
        <is>
          <t>CUSTOM COMERCIO INTERNACIONAL LTDA</t>
        </is>
      </c>
      <c r="D4332" s="5" t="inlineStr">
        <is>
          <t>AB</t>
        </is>
      </c>
      <c r="E4332" s="5" t="n">
        <v>1100008911</v>
      </c>
      <c r="F4332" s="5" t="inlineStr">
        <is>
          <t>CAJUIINLZ0239</t>
        </is>
      </c>
      <c r="G4332" s="5" t="inlineStr">
        <is>
          <t>BRL</t>
        </is>
      </c>
      <c r="H4332" s="9" t="n">
        <v>28477.86</v>
      </c>
      <c r="I4332" s="16" t="n">
        <v>46113</v>
      </c>
      <c r="J4332" s="16" t="n">
        <v>44907</v>
      </c>
      <c r="K4332" s="5" t="inlineStr">
        <is>
          <t>CUSTOM A DEVOLVER</t>
        </is>
      </c>
      <c r="L4332" s="5" t="inlineStr">
        <is>
          <t>CUSTOM A DEVOLVER</t>
        </is>
      </c>
      <c r="M4332" s="5">
        <f>IF(YEAR(I4332)&lt;=2020,"Até 2020",TEXT(YEAR(I4332),"0"))</f>
        <v/>
      </c>
      <c r="N4332" s="5">
        <f>IFERROR(INDEX(DePara!$A:$A,MATCH(TEXT(B4332,"0"),DePara!$D:$D,0)),"(sem categoria)")</f>
        <v/>
      </c>
      <c r="O4332" s="5">
        <f>IF(J4332="","",Parametros!$B$6-J4332)</f>
        <v/>
      </c>
      <c r="P4332" s="5">
        <f>IF(O4332="","",IF(O4332&gt;0,1,0))</f>
        <v/>
      </c>
    </row>
    <row r="4333">
      <c r="A4333" s="5" t="n">
        <v>1191000000</v>
      </c>
      <c r="B4333" s="5" t="inlineStr">
        <is>
          <t>101071</t>
        </is>
      </c>
      <c r="C4333" s="5" t="inlineStr">
        <is>
          <t>CUSTOM COMERCIO INTERNACIONAL LTDA</t>
        </is>
      </c>
      <c r="D4333" s="5" t="inlineStr">
        <is>
          <t>AB</t>
        </is>
      </c>
      <c r="E4333" s="5" t="n">
        <v>1100008912</v>
      </c>
      <c r="F4333" s="5" t="inlineStr">
        <is>
          <t>LDVVNLZ0119</t>
        </is>
      </c>
      <c r="G4333" s="5" t="inlineStr">
        <is>
          <t>BRL</t>
        </is>
      </c>
      <c r="H4333" s="9" t="n">
        <v>27625.76</v>
      </c>
      <c r="I4333" s="16" t="n">
        <v>46113</v>
      </c>
      <c r="J4333" s="16" t="n">
        <v>44901</v>
      </c>
      <c r="K4333" s="5" t="inlineStr">
        <is>
          <t>CUSTOM A DEVOLVER</t>
        </is>
      </c>
      <c r="L4333" s="5" t="inlineStr">
        <is>
          <t>CUSTOM A DEVOLVER</t>
        </is>
      </c>
      <c r="M4333" s="5">
        <f>IF(YEAR(I4333)&lt;=2020,"Até 2020",TEXT(YEAR(I4333),"0"))</f>
        <v/>
      </c>
      <c r="N4333" s="5">
        <f>IFERROR(INDEX(DePara!$A:$A,MATCH(TEXT(B4333,"0"),DePara!$D:$D,0)),"(sem categoria)")</f>
        <v/>
      </c>
      <c r="O4333" s="5">
        <f>IF(J4333="","",Parametros!$B$6-J4333)</f>
        <v/>
      </c>
      <c r="P4333" s="5">
        <f>IF(O4333="","",IF(O4333&gt;0,1,0))</f>
        <v/>
      </c>
    </row>
    <row r="4334">
      <c r="A4334" s="5" t="n">
        <v>1191000000</v>
      </c>
      <c r="B4334" s="5" t="inlineStr">
        <is>
          <t>101071</t>
        </is>
      </c>
      <c r="C4334" s="5" t="inlineStr">
        <is>
          <t>CUSTOM COMERCIO INTERNACIONAL LTDA</t>
        </is>
      </c>
      <c r="D4334" s="5" t="inlineStr">
        <is>
          <t>AB</t>
        </is>
      </c>
      <c r="E4334" s="5" t="n">
        <v>1100008913</v>
      </c>
      <c r="F4334" s="5" t="inlineStr">
        <is>
          <t xml:space="preserve"> VESANLZ0190</t>
        </is>
      </c>
      <c r="G4334" s="5" t="inlineStr">
        <is>
          <t>BRL</t>
        </is>
      </c>
      <c r="H4334" s="9" t="n">
        <v>27299.59</v>
      </c>
      <c r="I4334" s="16" t="n">
        <v>46113</v>
      </c>
      <c r="J4334" s="16" t="n">
        <v>44901</v>
      </c>
      <c r="K4334" s="5" t="inlineStr">
        <is>
          <t>CUSTOM A DEVOLVER</t>
        </is>
      </c>
      <c r="L4334" s="5" t="inlineStr">
        <is>
          <t>CUSTOM A DEVOLVER</t>
        </is>
      </c>
      <c r="M4334" s="5">
        <f>IF(YEAR(I4334)&lt;=2020,"Até 2020",TEXT(YEAR(I4334),"0"))</f>
        <v/>
      </c>
      <c r="N4334" s="5">
        <f>IFERROR(INDEX(DePara!$A:$A,MATCH(TEXT(B4334,"0"),DePara!$D:$D,0)),"(sem categoria)")</f>
        <v/>
      </c>
      <c r="O4334" s="5">
        <f>IF(J4334="","",Parametros!$B$6-J4334)</f>
        <v/>
      </c>
      <c r="P4334" s="5">
        <f>IF(O4334="","",IF(O4334&gt;0,1,0))</f>
        <v/>
      </c>
    </row>
    <row r="4335">
      <c r="A4335" s="5" t="n">
        <v>1191000000</v>
      </c>
      <c r="B4335" s="5" t="inlineStr">
        <is>
          <t>101071</t>
        </is>
      </c>
      <c r="C4335" s="5" t="inlineStr">
        <is>
          <t>CUSTOM COMERCIO INTERNACIONAL LTDA</t>
        </is>
      </c>
      <c r="D4335" s="5" t="inlineStr">
        <is>
          <t>AB</t>
        </is>
      </c>
      <c r="E4335" s="5" t="n">
        <v>1100008914</v>
      </c>
      <c r="F4335" s="5" t="inlineStr">
        <is>
          <t xml:space="preserve"> LDVVNLZ0114</t>
        </is>
      </c>
      <c r="G4335" s="5" t="inlineStr">
        <is>
          <t>BRL</t>
        </is>
      </c>
      <c r="H4335" s="9" t="n">
        <v>27943.14</v>
      </c>
      <c r="I4335" s="16" t="n">
        <v>46113</v>
      </c>
      <c r="J4335" s="16" t="n">
        <v>44890</v>
      </c>
      <c r="K4335" s="5" t="inlineStr">
        <is>
          <t>CUSTOM A DEVOLVER</t>
        </is>
      </c>
      <c r="L4335" s="5" t="inlineStr">
        <is>
          <t>CUSTOM A DEVOLVER</t>
        </is>
      </c>
      <c r="M4335" s="5">
        <f>IF(YEAR(I4335)&lt;=2020,"Até 2020",TEXT(YEAR(I4335),"0"))</f>
        <v/>
      </c>
      <c r="N4335" s="5">
        <f>IFERROR(INDEX(DePara!$A:$A,MATCH(TEXT(B4335,"0"),DePara!$D:$D,0)),"(sem categoria)")</f>
        <v/>
      </c>
      <c r="O4335" s="5">
        <f>IF(J4335="","",Parametros!$B$6-J4335)</f>
        <v/>
      </c>
      <c r="P4335" s="5">
        <f>IF(O4335="","",IF(O4335&gt;0,1,0))</f>
        <v/>
      </c>
    </row>
    <row r="4336">
      <c r="A4336" s="5" t="n">
        <v>1191000000</v>
      </c>
      <c r="B4336" s="5" t="inlineStr">
        <is>
          <t>101071</t>
        </is>
      </c>
      <c r="C4336" s="5" t="inlineStr">
        <is>
          <t>CUSTOM COMERCIO INTERNACIONAL LTDA</t>
        </is>
      </c>
      <c r="D4336" s="5" t="inlineStr">
        <is>
          <t>AB</t>
        </is>
      </c>
      <c r="E4336" s="5" t="n">
        <v>1100008915</v>
      </c>
      <c r="F4336" s="5" t="inlineStr">
        <is>
          <t>CAJUIINLZ0061</t>
        </is>
      </c>
      <c r="G4336" s="5" t="inlineStr">
        <is>
          <t>BRL</t>
        </is>
      </c>
      <c r="H4336" s="9" t="n">
        <v>27976.01</v>
      </c>
      <c r="I4336" s="16" t="n">
        <v>46113</v>
      </c>
      <c r="J4336" s="16" t="n">
        <v>44848</v>
      </c>
      <c r="K4336" s="5" t="inlineStr">
        <is>
          <t>CUSTOM A DEVOLVER</t>
        </is>
      </c>
      <c r="L4336" s="5" t="inlineStr">
        <is>
          <t>CUSTOM A DEVOLVER</t>
        </is>
      </c>
      <c r="M4336" s="5">
        <f>IF(YEAR(I4336)&lt;=2020,"Até 2020",TEXT(YEAR(I4336),"0"))</f>
        <v/>
      </c>
      <c r="N4336" s="5">
        <f>IFERROR(INDEX(DePara!$A:$A,MATCH(TEXT(B4336,"0"),DePara!$D:$D,0)),"(sem categoria)")</f>
        <v/>
      </c>
      <c r="O4336" s="5">
        <f>IF(J4336="","",Parametros!$B$6-J4336)</f>
        <v/>
      </c>
      <c r="P4336" s="5">
        <f>IF(O4336="","",IF(O4336&gt;0,1,0))</f>
        <v/>
      </c>
    </row>
    <row r="4337">
      <c r="A4337" s="5" t="n">
        <v>1191000000</v>
      </c>
      <c r="B4337" s="5" t="inlineStr">
        <is>
          <t>101071</t>
        </is>
      </c>
      <c r="C4337" s="5" t="inlineStr">
        <is>
          <t>CUSTOM COMERCIO INTERNACIONAL LTDA</t>
        </is>
      </c>
      <c r="D4337" s="5" t="inlineStr">
        <is>
          <t>AB</t>
        </is>
      </c>
      <c r="E4337" s="5" t="n">
        <v>1100008918</v>
      </c>
      <c r="F4337" s="5" t="inlineStr">
        <is>
          <t>OEM0156</t>
        </is>
      </c>
      <c r="G4337" s="5" t="inlineStr">
        <is>
          <t>BRL</t>
        </is>
      </c>
      <c r="H4337" s="9" t="n">
        <v>25630.72</v>
      </c>
      <c r="I4337" s="16" t="n">
        <v>46113</v>
      </c>
      <c r="J4337" s="16" t="n">
        <v>44845</v>
      </c>
      <c r="K4337" s="5" t="inlineStr">
        <is>
          <t>CUSTOM A DEVOLVER</t>
        </is>
      </c>
      <c r="L4337" s="5" t="inlineStr">
        <is>
          <t>CUSTOM A DEVOLVER</t>
        </is>
      </c>
      <c r="M4337" s="5">
        <f>IF(YEAR(I4337)&lt;=2020,"Até 2020",TEXT(YEAR(I4337),"0"))</f>
        <v/>
      </c>
      <c r="N4337" s="5">
        <f>IFERROR(INDEX(DePara!$A:$A,MATCH(TEXT(B4337,"0"),DePara!$D:$D,0)),"(sem categoria)")</f>
        <v/>
      </c>
      <c r="O4337" s="5">
        <f>IF(J4337="","",Parametros!$B$6-J4337)</f>
        <v/>
      </c>
      <c r="P4337" s="5">
        <f>IF(O4337="","",IF(O4337&gt;0,1,0))</f>
        <v/>
      </c>
    </row>
    <row r="4338">
      <c r="A4338" s="5" t="n">
        <v>1191000000</v>
      </c>
      <c r="B4338" s="5" t="inlineStr">
        <is>
          <t>101071</t>
        </is>
      </c>
      <c r="C4338" s="5" t="inlineStr">
        <is>
          <t>CUSTOM COMERCIO INTERNACIONAL LTDA</t>
        </is>
      </c>
      <c r="D4338" s="5" t="inlineStr">
        <is>
          <t>AB</t>
        </is>
      </c>
      <c r="E4338" s="5" t="n">
        <v>1100008943</v>
      </c>
      <c r="F4338" s="5" t="inlineStr">
        <is>
          <t>VESA001NOV</t>
        </is>
      </c>
      <c r="G4338" s="5" t="inlineStr">
        <is>
          <t>BRL</t>
        </is>
      </c>
      <c r="H4338" s="9" t="n">
        <v>13844.15</v>
      </c>
      <c r="I4338" s="16" t="n">
        <v>46113</v>
      </c>
      <c r="J4338" s="16" t="n">
        <v>44540</v>
      </c>
      <c r="K4338" s="5" t="inlineStr">
        <is>
          <t>CUSTOM A DEVOLVER</t>
        </is>
      </c>
      <c r="L4338" s="5" t="inlineStr">
        <is>
          <t>CUSTOM A DEVOLVER</t>
        </is>
      </c>
      <c r="M4338" s="5">
        <f>IF(YEAR(I4338)&lt;=2020,"Até 2020",TEXT(YEAR(I4338),"0"))</f>
        <v/>
      </c>
      <c r="N4338" s="5">
        <f>IFERROR(INDEX(DePara!$A:$A,MATCH(TEXT(B4338,"0"),DePara!$D:$D,0)),"(sem categoria)")</f>
        <v/>
      </c>
      <c r="O4338" s="5">
        <f>IF(J4338="","",Parametros!$B$6-J4338)</f>
        <v/>
      </c>
      <c r="P4338" s="5">
        <f>IF(O4338="","",IF(O4338&gt;0,1,0))</f>
        <v/>
      </c>
    </row>
    <row r="4339">
      <c r="A4339" s="5" t="n">
        <v>1191000000</v>
      </c>
      <c r="B4339" s="5" t="inlineStr">
        <is>
          <t>101071</t>
        </is>
      </c>
      <c r="C4339" s="5" t="inlineStr">
        <is>
          <t>CUSTOM COMERCIO INTERNACIONAL LTDA</t>
        </is>
      </c>
      <c r="D4339" s="5" t="inlineStr">
        <is>
          <t>AB</t>
        </is>
      </c>
      <c r="E4339" s="5" t="n">
        <v>1100008946</v>
      </c>
      <c r="F4339" s="5" t="inlineStr">
        <is>
          <t>VESANLZ0182</t>
        </is>
      </c>
      <c r="G4339" s="5" t="inlineStr">
        <is>
          <t>BRL</t>
        </is>
      </c>
      <c r="H4339" s="9" t="n">
        <v>24127.86</v>
      </c>
      <c r="I4339" s="16" t="n">
        <v>46113</v>
      </c>
      <c r="J4339" s="16" t="n">
        <v>44845</v>
      </c>
      <c r="K4339" s="5" t="inlineStr">
        <is>
          <t>CUSTOM A DEVOLVER</t>
        </is>
      </c>
      <c r="L4339" s="5" t="inlineStr">
        <is>
          <t>CUSTOM A DEVOLVER</t>
        </is>
      </c>
      <c r="M4339" s="5">
        <f>IF(YEAR(I4339)&lt;=2020,"Até 2020",TEXT(YEAR(I4339),"0"))</f>
        <v/>
      </c>
      <c r="N4339" s="5">
        <f>IFERROR(INDEX(DePara!$A:$A,MATCH(TEXT(B4339,"0"),DePara!$D:$D,0)),"(sem categoria)")</f>
        <v/>
      </c>
      <c r="O4339" s="5">
        <f>IF(J4339="","",Parametros!$B$6-J4339)</f>
        <v/>
      </c>
      <c r="P4339" s="5">
        <f>IF(O4339="","",IF(O4339&gt;0,1,0))</f>
        <v/>
      </c>
    </row>
    <row r="4340">
      <c r="A4340" s="5" t="n">
        <v>1191000000</v>
      </c>
      <c r="B4340" s="5" t="inlineStr">
        <is>
          <t>101071</t>
        </is>
      </c>
      <c r="C4340" s="5" t="inlineStr">
        <is>
          <t>CUSTOM COMERCIO INTERNACIONAL LTDA</t>
        </is>
      </c>
      <c r="D4340" s="5" t="inlineStr">
        <is>
          <t>AB</t>
        </is>
      </c>
      <c r="E4340" s="5" t="n">
        <v>1100009068</v>
      </c>
      <c r="F4340" s="5" t="inlineStr">
        <is>
          <t>LDVV016T</t>
        </is>
      </c>
      <c r="G4340" s="5" t="inlineStr">
        <is>
          <t>BRL</t>
        </is>
      </c>
      <c r="H4340" s="9" t="n">
        <v>23482.46</v>
      </c>
      <c r="I4340" s="16" t="n">
        <v>46113</v>
      </c>
      <c r="J4340" s="16" t="n">
        <v>44972</v>
      </c>
      <c r="K4340" s="5" t="inlineStr">
        <is>
          <t>CUSTOM A DEVOLVER</t>
        </is>
      </c>
      <c r="L4340" s="5" t="inlineStr">
        <is>
          <t>CUSTOM A DEVOLVER</t>
        </is>
      </c>
      <c r="M4340" s="5">
        <f>IF(YEAR(I4340)&lt;=2020,"Até 2020",TEXT(YEAR(I4340),"0"))</f>
        <v/>
      </c>
      <c r="N4340" s="5">
        <f>IFERROR(INDEX(DePara!$A:$A,MATCH(TEXT(B4340,"0"),DePara!$D:$D,0)),"(sem categoria)")</f>
        <v/>
      </c>
      <c r="O4340" s="5">
        <f>IF(J4340="","",Parametros!$B$6-J4340)</f>
        <v/>
      </c>
      <c r="P4340" s="5">
        <f>IF(O4340="","",IF(O4340&gt;0,1,0))</f>
        <v/>
      </c>
    </row>
    <row r="4341">
      <c r="A4341" s="5" t="n">
        <v>1191000000</v>
      </c>
      <c r="B4341" s="5" t="inlineStr">
        <is>
          <t>101071</t>
        </is>
      </c>
      <c r="C4341" s="5" t="inlineStr">
        <is>
          <t>CUSTOM COMERCIO INTERNACIONAL LTDA</t>
        </is>
      </c>
      <c r="D4341" s="5" t="inlineStr">
        <is>
          <t>AB</t>
        </is>
      </c>
      <c r="E4341" s="5" t="n">
        <v>1100009070</v>
      </c>
      <c r="F4341" s="5" t="inlineStr">
        <is>
          <t>LDVV016A</t>
        </is>
      </c>
      <c r="G4341" s="5" t="inlineStr">
        <is>
          <t>BRL</t>
        </is>
      </c>
      <c r="H4341" s="9" t="n">
        <v>23482.46</v>
      </c>
      <c r="I4341" s="16" t="n">
        <v>46113</v>
      </c>
      <c r="J4341" s="16" t="n">
        <v>44972</v>
      </c>
      <c r="K4341" s="5" t="inlineStr">
        <is>
          <t>CUSTOM A DEVOLVER</t>
        </is>
      </c>
      <c r="L4341" s="5" t="inlineStr">
        <is>
          <t>CUSTOM A DEVOLVER</t>
        </is>
      </c>
      <c r="M4341" s="5">
        <f>IF(YEAR(I4341)&lt;=2020,"Até 2020",TEXT(YEAR(I4341),"0"))</f>
        <v/>
      </c>
      <c r="N4341" s="5">
        <f>IFERROR(INDEX(DePara!$A:$A,MATCH(TEXT(B4341,"0"),DePara!$D:$D,0)),"(sem categoria)")</f>
        <v/>
      </c>
      <c r="O4341" s="5">
        <f>IF(J4341="","",Parametros!$B$6-J4341)</f>
        <v/>
      </c>
      <c r="P4341" s="5">
        <f>IF(O4341="","",IF(O4341&gt;0,1,0))</f>
        <v/>
      </c>
    </row>
    <row r="4342">
      <c r="A4342" s="5" t="n">
        <v>1191000000</v>
      </c>
      <c r="B4342" s="5" t="inlineStr">
        <is>
          <t>101071</t>
        </is>
      </c>
      <c r="C4342" s="5" t="inlineStr">
        <is>
          <t>CUSTOM COMERCIO INTERNACIONAL LTDA</t>
        </is>
      </c>
      <c r="D4342" s="5" t="inlineStr">
        <is>
          <t>AB</t>
        </is>
      </c>
      <c r="E4342" s="5" t="n">
        <v>1100009072</v>
      </c>
      <c r="F4342" s="5" t="inlineStr">
        <is>
          <t>VESA034VSL</t>
        </is>
      </c>
      <c r="G4342" s="5" t="inlineStr">
        <is>
          <t>BRL</t>
        </is>
      </c>
      <c r="H4342" s="9" t="n">
        <v>22730.05</v>
      </c>
      <c r="I4342" s="16" t="n">
        <v>46113</v>
      </c>
      <c r="J4342" s="16" t="n">
        <v>44960</v>
      </c>
      <c r="K4342" s="5" t="inlineStr">
        <is>
          <t>CUSTOM A DEVOLVER</t>
        </is>
      </c>
      <c r="L4342" s="5" t="inlineStr">
        <is>
          <t>CUSTOM A DEVOLVER</t>
        </is>
      </c>
      <c r="M4342" s="5">
        <f>IF(YEAR(I4342)&lt;=2020,"Até 2020",TEXT(YEAR(I4342),"0"))</f>
        <v/>
      </c>
      <c r="N4342" s="5">
        <f>IFERROR(INDEX(DePara!$A:$A,MATCH(TEXT(B4342,"0"),DePara!$D:$D,0)),"(sem categoria)")</f>
        <v/>
      </c>
      <c r="O4342" s="5">
        <f>IF(J4342="","",Parametros!$B$6-J4342)</f>
        <v/>
      </c>
      <c r="P4342" s="5">
        <f>IF(O4342="","",IF(O4342&gt;0,1,0))</f>
        <v/>
      </c>
    </row>
    <row r="4343">
      <c r="A4343" s="5" t="n">
        <v>1191000000</v>
      </c>
      <c r="B4343" s="5" t="inlineStr">
        <is>
          <t>101071</t>
        </is>
      </c>
      <c r="C4343" s="5" t="inlineStr">
        <is>
          <t>CUSTOM COMERCIO INTERNACIONAL LTDA</t>
        </is>
      </c>
      <c r="D4343" s="5" t="inlineStr">
        <is>
          <t>AB</t>
        </is>
      </c>
      <c r="E4343" s="5" t="n">
        <v>1100009073</v>
      </c>
      <c r="F4343" s="5" t="inlineStr">
        <is>
          <t>LDVVNLZ0162</t>
        </is>
      </c>
      <c r="G4343" s="5" t="inlineStr">
        <is>
          <t>BRL</t>
        </is>
      </c>
      <c r="H4343" s="9" t="n">
        <v>23878.14</v>
      </c>
      <c r="I4343" s="16" t="n">
        <v>46113</v>
      </c>
      <c r="J4343" s="16" t="n">
        <v>44909</v>
      </c>
      <c r="K4343" s="5" t="inlineStr">
        <is>
          <t>CUSTOM A DEVOLVER</t>
        </is>
      </c>
      <c r="L4343" s="5" t="inlineStr">
        <is>
          <t>CUSTOM A DEVOLVER</t>
        </is>
      </c>
      <c r="M4343" s="5">
        <f>IF(YEAR(I4343)&lt;=2020,"Até 2020",TEXT(YEAR(I4343),"0"))</f>
        <v/>
      </c>
      <c r="N4343" s="5">
        <f>IFERROR(INDEX(DePara!$A:$A,MATCH(TEXT(B4343,"0"),DePara!$D:$D,0)),"(sem categoria)")</f>
        <v/>
      </c>
      <c r="O4343" s="5">
        <f>IF(J4343="","",Parametros!$B$6-J4343)</f>
        <v/>
      </c>
      <c r="P4343" s="5">
        <f>IF(O4343="","",IF(O4343&gt;0,1,0))</f>
        <v/>
      </c>
    </row>
    <row r="4344">
      <c r="A4344" s="5" t="n">
        <v>1191000000</v>
      </c>
      <c r="B4344" s="5" t="inlineStr">
        <is>
          <t>101071</t>
        </is>
      </c>
      <c r="C4344" s="5" t="inlineStr">
        <is>
          <t>CUSTOM COMERCIO INTERNACIONAL LTDA</t>
        </is>
      </c>
      <c r="D4344" s="5" t="inlineStr">
        <is>
          <t>AB</t>
        </is>
      </c>
      <c r="E4344" s="5" t="n">
        <v>1100009074</v>
      </c>
      <c r="F4344" s="5" t="inlineStr">
        <is>
          <t>CAJUNLZ0238</t>
        </is>
      </c>
      <c r="G4344" s="5" t="inlineStr">
        <is>
          <t>BRL</t>
        </is>
      </c>
      <c r="H4344" s="9" t="n">
        <v>23349.63</v>
      </c>
      <c r="I4344" s="16" t="n">
        <v>46113</v>
      </c>
      <c r="J4344" s="16" t="n">
        <v>44908</v>
      </c>
      <c r="K4344" s="5" t="inlineStr">
        <is>
          <t>CUSTOM A DEVOLVER</t>
        </is>
      </c>
      <c r="L4344" s="5" t="inlineStr">
        <is>
          <t>CUSTOM A DEVOLVER</t>
        </is>
      </c>
      <c r="M4344" s="5">
        <f>IF(YEAR(I4344)&lt;=2020,"Até 2020",TEXT(YEAR(I4344),"0"))</f>
        <v/>
      </c>
      <c r="N4344" s="5">
        <f>IFERROR(INDEX(DePara!$A:$A,MATCH(TEXT(B4344,"0"),DePara!$D:$D,0)),"(sem categoria)")</f>
        <v/>
      </c>
      <c r="O4344" s="5">
        <f>IF(J4344="","",Parametros!$B$6-J4344)</f>
        <v/>
      </c>
      <c r="P4344" s="5">
        <f>IF(O4344="","",IF(O4344&gt;0,1,0))</f>
        <v/>
      </c>
    </row>
    <row r="4345">
      <c r="A4345" s="5" t="n">
        <v>1191000000</v>
      </c>
      <c r="B4345" s="5" t="inlineStr">
        <is>
          <t>101071</t>
        </is>
      </c>
      <c r="C4345" s="5" t="inlineStr">
        <is>
          <t>CUSTOM COMERCIO INTERNACIONAL LTDA</t>
        </is>
      </c>
      <c r="D4345" s="5" t="inlineStr">
        <is>
          <t>AB</t>
        </is>
      </c>
      <c r="E4345" s="5" t="n">
        <v>1100009078</v>
      </c>
      <c r="F4345" s="5" t="inlineStr">
        <is>
          <t>CAJU048A</t>
        </is>
      </c>
      <c r="G4345" s="5" t="inlineStr">
        <is>
          <t>BRL</t>
        </is>
      </c>
      <c r="H4345" s="9" t="n">
        <v>8646.17</v>
      </c>
      <c r="I4345" s="16" t="n">
        <v>46113</v>
      </c>
      <c r="J4345" s="16" t="n">
        <v>44886</v>
      </c>
      <c r="K4345" s="5" t="inlineStr">
        <is>
          <t>CUSTOM A DEVOLVER</t>
        </is>
      </c>
      <c r="L4345" s="5" t="inlineStr">
        <is>
          <t>CUSTOM A DEVOLVER</t>
        </is>
      </c>
      <c r="M4345" s="5">
        <f>IF(YEAR(I4345)&lt;=2020,"Até 2020",TEXT(YEAR(I4345),"0"))</f>
        <v/>
      </c>
      <c r="N4345" s="5">
        <f>IFERROR(INDEX(DePara!$A:$A,MATCH(TEXT(B4345,"0"),DePara!$D:$D,0)),"(sem categoria)")</f>
        <v/>
      </c>
      <c r="O4345" s="5">
        <f>IF(J4345="","",Parametros!$B$6-J4345)</f>
        <v/>
      </c>
      <c r="P4345" s="5">
        <f>IF(O4345="","",IF(O4345&gt;0,1,0))</f>
        <v/>
      </c>
    </row>
    <row r="4346">
      <c r="A4346" s="5" t="n">
        <v>1191000000</v>
      </c>
      <c r="B4346" s="5" t="inlineStr">
        <is>
          <t>101071</t>
        </is>
      </c>
      <c r="C4346" s="5" t="inlineStr">
        <is>
          <t>CUSTOM COMERCIO INTERNACIONAL LTDA</t>
        </is>
      </c>
      <c r="D4346" s="5" t="inlineStr">
        <is>
          <t>AB</t>
        </is>
      </c>
      <c r="E4346" s="5" t="n">
        <v>1100009079</v>
      </c>
      <c r="F4346" s="5" t="inlineStr">
        <is>
          <t xml:space="preserve"> CAJUIINLZ0081</t>
        </is>
      </c>
      <c r="G4346" s="5" t="inlineStr">
        <is>
          <t>BRL</t>
        </is>
      </c>
      <c r="H4346" s="9" t="n">
        <v>22908.91</v>
      </c>
      <c r="I4346" s="16" t="n">
        <v>46113</v>
      </c>
      <c r="J4346" s="16" t="n">
        <v>44872</v>
      </c>
      <c r="K4346" s="5" t="inlineStr">
        <is>
          <t>CUSTOM A DEVOLVER</t>
        </is>
      </c>
      <c r="L4346" s="5" t="inlineStr">
        <is>
          <t>CUSTOM A DEVOLVER</t>
        </is>
      </c>
      <c r="M4346" s="5">
        <f>IF(YEAR(I4346)&lt;=2020,"Até 2020",TEXT(YEAR(I4346),"0"))</f>
        <v/>
      </c>
      <c r="N4346" s="5">
        <f>IFERROR(INDEX(DePara!$A:$A,MATCH(TEXT(B4346,"0"),DePara!$D:$D,0)),"(sem categoria)")</f>
        <v/>
      </c>
      <c r="O4346" s="5">
        <f>IF(J4346="","",Parametros!$B$6-J4346)</f>
        <v/>
      </c>
      <c r="P4346" s="5">
        <f>IF(O4346="","",IF(O4346&gt;0,1,0))</f>
        <v/>
      </c>
    </row>
    <row r="4347">
      <c r="A4347" s="5" t="n">
        <v>1191000000</v>
      </c>
      <c r="B4347" s="5" t="inlineStr">
        <is>
          <t>101071</t>
        </is>
      </c>
      <c r="C4347" s="5" t="inlineStr">
        <is>
          <t>CUSTOM COMERCIO INTERNACIONAL LTDA</t>
        </is>
      </c>
      <c r="D4347" s="5" t="inlineStr">
        <is>
          <t>AB</t>
        </is>
      </c>
      <c r="E4347" s="5" t="n">
        <v>1100009080</v>
      </c>
      <c r="F4347" s="5" t="inlineStr">
        <is>
          <t>CAJUIINLZ0080</t>
        </is>
      </c>
      <c r="G4347" s="5" t="inlineStr">
        <is>
          <t>BRL</t>
        </is>
      </c>
      <c r="H4347" s="9" t="n">
        <v>23109.33</v>
      </c>
      <c r="I4347" s="16" t="n">
        <v>46113</v>
      </c>
      <c r="J4347" s="16" t="n">
        <v>44872</v>
      </c>
      <c r="K4347" s="5" t="inlineStr">
        <is>
          <t>CUSTOM A DEVOLVER</t>
        </is>
      </c>
      <c r="L4347" s="5" t="inlineStr">
        <is>
          <t>CUSTOM A DEVOLVER</t>
        </is>
      </c>
      <c r="M4347" s="5">
        <f>IF(YEAR(I4347)&lt;=2020,"Até 2020",TEXT(YEAR(I4347),"0"))</f>
        <v/>
      </c>
      <c r="N4347" s="5">
        <f>IFERROR(INDEX(DePara!$A:$A,MATCH(TEXT(B4347,"0"),DePara!$D:$D,0)),"(sem categoria)")</f>
        <v/>
      </c>
      <c r="O4347" s="5">
        <f>IF(J4347="","",Parametros!$B$6-J4347)</f>
        <v/>
      </c>
      <c r="P4347" s="5">
        <f>IF(O4347="","",IF(O4347&gt;0,1,0))</f>
        <v/>
      </c>
    </row>
    <row r="4348">
      <c r="A4348" s="5" t="n">
        <v>1191000000</v>
      </c>
      <c r="B4348" s="5" t="inlineStr">
        <is>
          <t>101071</t>
        </is>
      </c>
      <c r="C4348" s="5" t="inlineStr">
        <is>
          <t>CUSTOM COMERCIO INTERNACIONAL LTDA</t>
        </is>
      </c>
      <c r="D4348" s="5" t="inlineStr">
        <is>
          <t>AB</t>
        </is>
      </c>
      <c r="E4348" s="5" t="n">
        <v>1100009081</v>
      </c>
      <c r="F4348" s="5" t="inlineStr">
        <is>
          <t>LDVVNLZ0066</t>
        </is>
      </c>
      <c r="G4348" s="5" t="inlineStr">
        <is>
          <t>BRL</t>
        </is>
      </c>
      <c r="H4348" s="9" t="n">
        <v>23273.55</v>
      </c>
      <c r="I4348" s="16" t="n">
        <v>46113</v>
      </c>
      <c r="J4348" s="16" t="n">
        <v>44852</v>
      </c>
      <c r="K4348" s="5" t="inlineStr">
        <is>
          <t>CUSTOM A DEVOLVER</t>
        </is>
      </c>
      <c r="L4348" s="5" t="inlineStr">
        <is>
          <t>CUSTOM A DEVOLVER</t>
        </is>
      </c>
      <c r="M4348" s="5">
        <f>IF(YEAR(I4348)&lt;=2020,"Até 2020",TEXT(YEAR(I4348),"0"))</f>
        <v/>
      </c>
      <c r="N4348" s="5">
        <f>IFERROR(INDEX(DePara!$A:$A,MATCH(TEXT(B4348,"0"),DePara!$D:$D,0)),"(sem categoria)")</f>
        <v/>
      </c>
      <c r="O4348" s="5">
        <f>IF(J4348="","",Parametros!$B$6-J4348)</f>
        <v/>
      </c>
      <c r="P4348" s="5">
        <f>IF(O4348="","",IF(O4348&gt;0,1,0))</f>
        <v/>
      </c>
    </row>
    <row r="4349">
      <c r="A4349" s="5" t="n">
        <v>1191000000</v>
      </c>
      <c r="B4349" s="5" t="inlineStr">
        <is>
          <t>101071</t>
        </is>
      </c>
      <c r="C4349" s="5" t="inlineStr">
        <is>
          <t>CUSTOM COMERCIO INTERNACIONAL LTDA</t>
        </is>
      </c>
      <c r="D4349" s="5" t="inlineStr">
        <is>
          <t>AB</t>
        </is>
      </c>
      <c r="E4349" s="5" t="n">
        <v>1100009082</v>
      </c>
      <c r="F4349" s="5" t="inlineStr">
        <is>
          <t>CAJUIINLZ0067</t>
        </is>
      </c>
      <c r="G4349" s="5" t="inlineStr">
        <is>
          <t>BRL</t>
        </is>
      </c>
      <c r="H4349" s="9" t="n">
        <v>23358.36</v>
      </c>
      <c r="I4349" s="16" t="n">
        <v>46113</v>
      </c>
      <c r="J4349" s="16" t="n">
        <v>44852</v>
      </c>
      <c r="K4349" s="5" t="inlineStr">
        <is>
          <t>CUSTOM A DEVOLVER</t>
        </is>
      </c>
      <c r="L4349" s="5" t="inlineStr">
        <is>
          <t>CUSTOM A DEVOLVER</t>
        </is>
      </c>
      <c r="M4349" s="5">
        <f>IF(YEAR(I4349)&lt;=2020,"Até 2020",TEXT(YEAR(I4349),"0"))</f>
        <v/>
      </c>
      <c r="N4349" s="5">
        <f>IFERROR(INDEX(DePara!$A:$A,MATCH(TEXT(B4349,"0"),DePara!$D:$D,0)),"(sem categoria)")</f>
        <v/>
      </c>
      <c r="O4349" s="5">
        <f>IF(J4349="","",Parametros!$B$6-J4349)</f>
        <v/>
      </c>
      <c r="P4349" s="5">
        <f>IF(O4349="","",IF(O4349&gt;0,1,0))</f>
        <v/>
      </c>
    </row>
    <row r="4350">
      <c r="A4350" s="5" t="n">
        <v>1191000000</v>
      </c>
      <c r="B4350" s="5" t="inlineStr">
        <is>
          <t>101071</t>
        </is>
      </c>
      <c r="C4350" s="5" t="inlineStr">
        <is>
          <t>CUSTOM COMERCIO INTERNACIONAL LTDA</t>
        </is>
      </c>
      <c r="D4350" s="5" t="inlineStr">
        <is>
          <t>AB</t>
        </is>
      </c>
      <c r="E4350" s="5" t="n">
        <v>1100009137</v>
      </c>
      <c r="F4350" s="5" t="inlineStr">
        <is>
          <t>4012334398</t>
        </is>
      </c>
      <c r="G4350" s="5" t="inlineStr">
        <is>
          <t>BRL</t>
        </is>
      </c>
      <c r="H4350" s="9" t="n">
        <v>18354.09</v>
      </c>
      <c r="I4350" s="16" t="n">
        <v>46113</v>
      </c>
      <c r="J4350" s="16" t="n">
        <v>45068</v>
      </c>
      <c r="K4350" s="5" t="inlineStr">
        <is>
          <t>CUSTOM A DEVOLVER</t>
        </is>
      </c>
      <c r="L4350" s="5" t="inlineStr">
        <is>
          <t>CUSTOM A DEVOLVER</t>
        </is>
      </c>
      <c r="M4350" s="5">
        <f>IF(YEAR(I4350)&lt;=2020,"Até 2020",TEXT(YEAR(I4350),"0"))</f>
        <v/>
      </c>
      <c r="N4350" s="5">
        <f>IFERROR(INDEX(DePara!$A:$A,MATCH(TEXT(B4350,"0"),DePara!$D:$D,0)),"(sem categoria)")</f>
        <v/>
      </c>
      <c r="O4350" s="5">
        <f>IF(J4350="","",Parametros!$B$6-J4350)</f>
        <v/>
      </c>
      <c r="P4350" s="5">
        <f>IF(O4350="","",IF(O4350&gt;0,1,0))</f>
        <v/>
      </c>
    </row>
    <row r="4351">
      <c r="A4351" s="5" t="n">
        <v>1191000000</v>
      </c>
      <c r="B4351" s="5" t="inlineStr">
        <is>
          <t>101071</t>
        </is>
      </c>
      <c r="C4351" s="5" t="inlineStr">
        <is>
          <t>CUSTOM COMERCIO INTERNACIONAL LTDA</t>
        </is>
      </c>
      <c r="D4351" s="5" t="inlineStr">
        <is>
          <t>AB</t>
        </is>
      </c>
      <c r="E4351" s="5" t="n">
        <v>1100009138</v>
      </c>
      <c r="F4351" s="5" t="inlineStr">
        <is>
          <t>96010408</t>
        </is>
      </c>
      <c r="G4351" s="5" t="inlineStr">
        <is>
          <t>BRL</t>
        </is>
      </c>
      <c r="H4351" s="9" t="n">
        <v>17922.47</v>
      </c>
      <c r="I4351" s="16" t="n">
        <v>46113</v>
      </c>
      <c r="J4351" s="16" t="n">
        <v>45020</v>
      </c>
      <c r="K4351" s="5" t="inlineStr">
        <is>
          <t>CUSTOM A DEVOLVER</t>
        </is>
      </c>
      <c r="L4351" s="5" t="inlineStr">
        <is>
          <t>CUSTOM A DEVOLVER</t>
        </is>
      </c>
      <c r="M4351" s="5">
        <f>IF(YEAR(I4351)&lt;=2020,"Até 2020",TEXT(YEAR(I4351),"0"))</f>
        <v/>
      </c>
      <c r="N4351" s="5">
        <f>IFERROR(INDEX(DePara!$A:$A,MATCH(TEXT(B4351,"0"),DePara!$D:$D,0)),"(sem categoria)")</f>
        <v/>
      </c>
      <c r="O4351" s="5">
        <f>IF(J4351="","",Parametros!$B$6-J4351)</f>
        <v/>
      </c>
      <c r="P4351" s="5">
        <f>IF(O4351="","",IF(O4351&gt;0,1,0))</f>
        <v/>
      </c>
    </row>
    <row r="4352">
      <c r="A4352" s="5" t="n">
        <v>1191000000</v>
      </c>
      <c r="B4352" s="5" t="inlineStr">
        <is>
          <t>101071</t>
        </is>
      </c>
      <c r="C4352" s="5" t="inlineStr">
        <is>
          <t>CUSTOM COMERCIO INTERNACIONAL LTDA</t>
        </is>
      </c>
      <c r="D4352" s="5" t="inlineStr">
        <is>
          <t>AB</t>
        </is>
      </c>
      <c r="E4352" s="5" t="n">
        <v>1100009139</v>
      </c>
      <c r="F4352" s="5" t="inlineStr">
        <is>
          <t>4012326924</t>
        </is>
      </c>
      <c r="G4352" s="5" t="inlineStr">
        <is>
          <t>BRL</t>
        </is>
      </c>
      <c r="H4352" s="9" t="n">
        <v>18286.38</v>
      </c>
      <c r="I4352" s="16" t="n">
        <v>46113</v>
      </c>
      <c r="J4352" s="16" t="n">
        <v>45019</v>
      </c>
      <c r="K4352" s="5" t="inlineStr">
        <is>
          <t>CUSTOM A DEVOLVER</t>
        </is>
      </c>
      <c r="L4352" s="5" t="inlineStr">
        <is>
          <t>CUSTOM A DEVOLVER</t>
        </is>
      </c>
      <c r="M4352" s="5">
        <f>IF(YEAR(I4352)&lt;=2020,"Até 2020",TEXT(YEAR(I4352),"0"))</f>
        <v/>
      </c>
      <c r="N4352" s="5">
        <f>IFERROR(INDEX(DePara!$A:$A,MATCH(TEXT(B4352,"0"),DePara!$D:$D,0)),"(sem categoria)")</f>
        <v/>
      </c>
      <c r="O4352" s="5">
        <f>IF(J4352="","",Parametros!$B$6-J4352)</f>
        <v/>
      </c>
      <c r="P4352" s="5">
        <f>IF(O4352="","",IF(O4352&gt;0,1,0))</f>
        <v/>
      </c>
    </row>
    <row r="4353">
      <c r="A4353" s="5" t="n">
        <v>1191000000</v>
      </c>
      <c r="B4353" s="5" t="inlineStr">
        <is>
          <t>101071</t>
        </is>
      </c>
      <c r="C4353" s="5" t="inlineStr">
        <is>
          <t>CUSTOM COMERCIO INTERNACIONAL LTDA</t>
        </is>
      </c>
      <c r="D4353" s="5" t="inlineStr">
        <is>
          <t>AB</t>
        </is>
      </c>
      <c r="E4353" s="5" t="n">
        <v>1100009140</v>
      </c>
      <c r="F4353" s="5" t="inlineStr">
        <is>
          <t>4012324921</t>
        </is>
      </c>
      <c r="G4353" s="5" t="inlineStr">
        <is>
          <t>BRL</t>
        </is>
      </c>
      <c r="H4353" s="9" t="n">
        <v>18414.43</v>
      </c>
      <c r="I4353" s="16" t="n">
        <v>46113</v>
      </c>
      <c r="J4353" s="16" t="n">
        <v>45009</v>
      </c>
      <c r="K4353" s="5" t="inlineStr">
        <is>
          <t>CUSTOM A DEVOLVER</t>
        </is>
      </c>
      <c r="L4353" s="5" t="inlineStr">
        <is>
          <t>CUSTOM A DEVOLVER</t>
        </is>
      </c>
      <c r="M4353" s="5">
        <f>IF(YEAR(I4353)&lt;=2020,"Até 2020",TEXT(YEAR(I4353),"0"))</f>
        <v/>
      </c>
      <c r="N4353" s="5">
        <f>IFERROR(INDEX(DePara!$A:$A,MATCH(TEXT(B4353,"0"),DePara!$D:$D,0)),"(sem categoria)")</f>
        <v/>
      </c>
      <c r="O4353" s="5">
        <f>IF(J4353="","",Parametros!$B$6-J4353)</f>
        <v/>
      </c>
      <c r="P4353" s="5">
        <f>IF(O4353="","",IF(O4353&gt;0,1,0))</f>
        <v/>
      </c>
    </row>
    <row r="4354">
      <c r="A4354" s="5" t="n">
        <v>1191000000</v>
      </c>
      <c r="B4354" s="5" t="inlineStr">
        <is>
          <t>101071</t>
        </is>
      </c>
      <c r="C4354" s="5" t="inlineStr">
        <is>
          <t>CUSTOM COMERCIO INTERNACIONAL LTDA</t>
        </is>
      </c>
      <c r="D4354" s="5" t="inlineStr">
        <is>
          <t>AB</t>
        </is>
      </c>
      <c r="E4354" s="5" t="n">
        <v>1100009141</v>
      </c>
      <c r="F4354" s="5" t="inlineStr">
        <is>
          <t>4012322932</t>
        </is>
      </c>
      <c r="G4354" s="5" t="inlineStr">
        <is>
          <t>BRL</t>
        </is>
      </c>
      <c r="H4354" s="9" t="n">
        <v>17605.7</v>
      </c>
      <c r="I4354" s="16" t="n">
        <v>46113</v>
      </c>
      <c r="J4354" s="16" t="n">
        <v>44991</v>
      </c>
      <c r="K4354" s="5" t="inlineStr">
        <is>
          <t>CUSTOM A DEVOLVER</t>
        </is>
      </c>
      <c r="L4354" s="5" t="inlineStr">
        <is>
          <t>CUSTOM A DEVOLVER</t>
        </is>
      </c>
      <c r="M4354" s="5">
        <f>IF(YEAR(I4354)&lt;=2020,"Até 2020",TEXT(YEAR(I4354),"0"))</f>
        <v/>
      </c>
      <c r="N4354" s="5">
        <f>IFERROR(INDEX(DePara!$A:$A,MATCH(TEXT(B4354,"0"),DePara!$D:$D,0)),"(sem categoria)")</f>
        <v/>
      </c>
      <c r="O4354" s="5">
        <f>IF(J4354="","",Parametros!$B$6-J4354)</f>
        <v/>
      </c>
      <c r="P4354" s="5">
        <f>IF(O4354="","",IF(O4354&gt;0,1,0))</f>
        <v/>
      </c>
    </row>
    <row r="4355">
      <c r="A4355" s="5" t="n">
        <v>1191000000</v>
      </c>
      <c r="B4355" s="5" t="inlineStr">
        <is>
          <t>101071</t>
        </is>
      </c>
      <c r="C4355" s="5" t="inlineStr">
        <is>
          <t>CUSTOM COMERCIO INTERNACIONAL LTDA</t>
        </is>
      </c>
      <c r="D4355" s="5" t="inlineStr">
        <is>
          <t>AB</t>
        </is>
      </c>
      <c r="E4355" s="5" t="n">
        <v>1100009142</v>
      </c>
      <c r="F4355" s="5" t="inlineStr">
        <is>
          <t>FEIJ003T</t>
        </is>
      </c>
      <c r="G4355" s="5" t="inlineStr">
        <is>
          <t>BRL</t>
        </is>
      </c>
      <c r="H4355" s="9" t="n">
        <v>16430.63</v>
      </c>
      <c r="I4355" s="16" t="n">
        <v>46113</v>
      </c>
      <c r="J4355" s="16" t="n">
        <v>44974</v>
      </c>
      <c r="K4355" s="5" t="inlineStr">
        <is>
          <t>CUSTOM A DEVOLVER</t>
        </is>
      </c>
      <c r="L4355" s="5" t="inlineStr">
        <is>
          <t>CUSTOM A DEVOLVER</t>
        </is>
      </c>
      <c r="M4355" s="5">
        <f>IF(YEAR(I4355)&lt;=2020,"Até 2020",TEXT(YEAR(I4355),"0"))</f>
        <v/>
      </c>
      <c r="N4355" s="5">
        <f>IFERROR(INDEX(DePara!$A:$A,MATCH(TEXT(B4355,"0"),DePara!$D:$D,0)),"(sem categoria)")</f>
        <v/>
      </c>
      <c r="O4355" s="5">
        <f>IF(J4355="","",Parametros!$B$6-J4355)</f>
        <v/>
      </c>
      <c r="P4355" s="5">
        <f>IF(O4355="","",IF(O4355&gt;0,1,0))</f>
        <v/>
      </c>
    </row>
    <row r="4356">
      <c r="A4356" s="5" t="n">
        <v>1191000000</v>
      </c>
      <c r="B4356" s="5" t="inlineStr">
        <is>
          <t>101071</t>
        </is>
      </c>
      <c r="C4356" s="5" t="inlineStr">
        <is>
          <t>CUSTOM COMERCIO INTERNACIONAL LTDA</t>
        </is>
      </c>
      <c r="D4356" s="5" t="inlineStr">
        <is>
          <t>AB</t>
        </is>
      </c>
      <c r="E4356" s="5" t="n">
        <v>1100009143</v>
      </c>
      <c r="F4356" s="5" t="inlineStr">
        <is>
          <t>OEM0227</t>
        </is>
      </c>
      <c r="G4356" s="5" t="inlineStr">
        <is>
          <t>BRL</t>
        </is>
      </c>
      <c r="H4356" s="9" t="n">
        <v>9371.33</v>
      </c>
      <c r="I4356" s="16" t="n">
        <v>46113</v>
      </c>
      <c r="J4356" s="16" t="n">
        <v>44967</v>
      </c>
      <c r="K4356" s="5" t="inlineStr">
        <is>
          <t>CUSTOM A DEVOLVER</t>
        </is>
      </c>
      <c r="L4356" s="5" t="inlineStr">
        <is>
          <t>CUSTOM A DEVOLVER</t>
        </is>
      </c>
      <c r="M4356" s="5">
        <f>IF(YEAR(I4356)&lt;=2020,"Até 2020",TEXT(YEAR(I4356),"0"))</f>
        <v/>
      </c>
      <c r="N4356" s="5">
        <f>IFERROR(INDEX(DePara!$A:$A,MATCH(TEXT(B4356,"0"),DePara!$D:$D,0)),"(sem categoria)")</f>
        <v/>
      </c>
      <c r="O4356" s="5">
        <f>IF(J4356="","",Parametros!$B$6-J4356)</f>
        <v/>
      </c>
      <c r="P4356" s="5">
        <f>IF(O4356="","",IF(O4356&gt;0,1,0))</f>
        <v/>
      </c>
    </row>
    <row r="4357">
      <c r="A4357" s="5" t="n">
        <v>1191000000</v>
      </c>
      <c r="B4357" s="5" t="inlineStr">
        <is>
          <t>101071</t>
        </is>
      </c>
      <c r="C4357" s="5" t="inlineStr">
        <is>
          <t>CUSTOM COMERCIO INTERNACIONAL LTDA</t>
        </is>
      </c>
      <c r="D4357" s="5" t="inlineStr">
        <is>
          <t>AB</t>
        </is>
      </c>
      <c r="E4357" s="5" t="n">
        <v>1100009144</v>
      </c>
      <c r="F4357" s="5" t="inlineStr">
        <is>
          <t>LDVVNLZ0175</t>
        </is>
      </c>
      <c r="G4357" s="5" t="inlineStr">
        <is>
          <t>BRL</t>
        </is>
      </c>
      <c r="H4357" s="9" t="n">
        <v>19703.07</v>
      </c>
      <c r="I4357" s="16" t="n">
        <v>46113</v>
      </c>
      <c r="J4357" s="16" t="n">
        <v>44923</v>
      </c>
      <c r="K4357" s="5" t="inlineStr">
        <is>
          <t>CUSTOM A DEVOLVER</t>
        </is>
      </c>
      <c r="L4357" s="5" t="inlineStr">
        <is>
          <t>CUSTOM A DEVOLVER</t>
        </is>
      </c>
      <c r="M4357" s="5">
        <f>IF(YEAR(I4357)&lt;=2020,"Até 2020",TEXT(YEAR(I4357),"0"))</f>
        <v/>
      </c>
      <c r="N4357" s="5">
        <f>IFERROR(INDEX(DePara!$A:$A,MATCH(TEXT(B4357,"0"),DePara!$D:$D,0)),"(sem categoria)")</f>
        <v/>
      </c>
      <c r="O4357" s="5">
        <f>IF(J4357="","",Parametros!$B$6-J4357)</f>
        <v/>
      </c>
      <c r="P4357" s="5">
        <f>IF(O4357="","",IF(O4357&gt;0,1,0))</f>
        <v/>
      </c>
    </row>
    <row r="4358">
      <c r="A4358" s="5" t="n">
        <v>1191000000</v>
      </c>
      <c r="B4358" s="5" t="inlineStr">
        <is>
          <t>101071</t>
        </is>
      </c>
      <c r="C4358" s="5" t="inlineStr">
        <is>
          <t>CUSTOM COMERCIO INTERNACIONAL LTDA</t>
        </is>
      </c>
      <c r="D4358" s="5" t="inlineStr">
        <is>
          <t>AB</t>
        </is>
      </c>
      <c r="E4358" s="5" t="n">
        <v>1100009146</v>
      </c>
      <c r="F4358" s="5" t="inlineStr">
        <is>
          <t>LDVV008A1</t>
        </is>
      </c>
      <c r="G4358" s="5" t="inlineStr">
        <is>
          <t>BRL</t>
        </is>
      </c>
      <c r="H4358" s="9" t="n">
        <v>8730.84</v>
      </c>
      <c r="I4358" s="16" t="n">
        <v>46113</v>
      </c>
      <c r="J4358" s="16" t="n">
        <v>44902</v>
      </c>
      <c r="K4358" s="5" t="inlineStr">
        <is>
          <t>CUSTOM A DEVOLVER</t>
        </is>
      </c>
      <c r="L4358" s="5" t="inlineStr">
        <is>
          <t>CUSTOM A DEVOLVER</t>
        </is>
      </c>
      <c r="M4358" s="5">
        <f>IF(YEAR(I4358)&lt;=2020,"Até 2020",TEXT(YEAR(I4358),"0"))</f>
        <v/>
      </c>
      <c r="N4358" s="5">
        <f>IFERROR(INDEX(DePara!$A:$A,MATCH(TEXT(B4358,"0"),DePara!$D:$D,0)),"(sem categoria)")</f>
        <v/>
      </c>
      <c r="O4358" s="5">
        <f>IF(J4358="","",Parametros!$B$6-J4358)</f>
        <v/>
      </c>
      <c r="P4358" s="5">
        <f>IF(O4358="","",IF(O4358&gt;0,1,0))</f>
        <v/>
      </c>
    </row>
    <row r="4359">
      <c r="A4359" s="5" t="n">
        <v>1191000000</v>
      </c>
      <c r="B4359" s="5" t="inlineStr">
        <is>
          <t>101071</t>
        </is>
      </c>
      <c r="C4359" s="5" t="inlineStr">
        <is>
          <t>CUSTOM COMERCIO INTERNACIONAL LTDA</t>
        </is>
      </c>
      <c r="D4359" s="5" t="inlineStr">
        <is>
          <t>AB</t>
        </is>
      </c>
      <c r="E4359" s="5" t="n">
        <v>1100009148</v>
      </c>
      <c r="F4359" s="5" t="inlineStr">
        <is>
          <t>611251.</t>
        </is>
      </c>
      <c r="G4359" s="5" t="inlineStr">
        <is>
          <t>BRL</t>
        </is>
      </c>
      <c r="H4359" s="9" t="n">
        <v>7236.75</v>
      </c>
      <c r="I4359" s="16" t="n">
        <v>46113</v>
      </c>
      <c r="J4359" s="16" t="n">
        <v>44930</v>
      </c>
      <c r="K4359" s="5" t="inlineStr">
        <is>
          <t>CUSTOM A DEVOLVER</t>
        </is>
      </c>
      <c r="L4359" s="5" t="inlineStr">
        <is>
          <t>CUSTOM A DEVOLVER</t>
        </is>
      </c>
      <c r="M4359" s="5">
        <f>IF(YEAR(I4359)&lt;=2020,"Até 2020",TEXT(YEAR(I4359),"0"))</f>
        <v/>
      </c>
      <c r="N4359" s="5">
        <f>IFERROR(INDEX(DePara!$A:$A,MATCH(TEXT(B4359,"0"),DePara!$D:$D,0)),"(sem categoria)")</f>
        <v/>
      </c>
      <c r="O4359" s="5">
        <f>IF(J4359="","",Parametros!$B$6-J4359)</f>
        <v/>
      </c>
      <c r="P4359" s="5">
        <f>IF(O4359="","",IF(O4359&gt;0,1,0))</f>
        <v/>
      </c>
    </row>
    <row r="4360">
      <c r="A4360" s="5" t="n">
        <v>1191000000</v>
      </c>
      <c r="B4360" s="5" t="inlineStr">
        <is>
          <t>101071</t>
        </is>
      </c>
      <c r="C4360" s="5" t="inlineStr">
        <is>
          <t>CUSTOM COMERCIO INTERNACIONAL LTDA</t>
        </is>
      </c>
      <c r="D4360" s="5" t="inlineStr">
        <is>
          <t>AB</t>
        </is>
      </c>
      <c r="E4360" s="5" t="n">
        <v>1100009165</v>
      </c>
      <c r="F4360" s="5" t="inlineStr">
        <is>
          <t>611374</t>
        </is>
      </c>
      <c r="G4360" s="5" t="inlineStr">
        <is>
          <t>BRL</t>
        </is>
      </c>
      <c r="H4360" s="9" t="n">
        <v>12880.09</v>
      </c>
      <c r="I4360" s="16" t="n">
        <v>46113</v>
      </c>
      <c r="J4360" s="16" t="n">
        <v>44540</v>
      </c>
      <c r="K4360" s="5" t="inlineStr">
        <is>
          <t>CUSTOM A DEVOLVER</t>
        </is>
      </c>
      <c r="L4360" s="5" t="inlineStr">
        <is>
          <t>CUSTOM A DEVOLVER</t>
        </is>
      </c>
      <c r="M4360" s="5">
        <f>IF(YEAR(I4360)&lt;=2020,"Até 2020",TEXT(YEAR(I4360),"0"))</f>
        <v/>
      </c>
      <c r="N4360" s="5">
        <f>IFERROR(INDEX(DePara!$A:$A,MATCH(TEXT(B4360,"0"),DePara!$D:$D,0)),"(sem categoria)")</f>
        <v/>
      </c>
      <c r="O4360" s="5">
        <f>IF(J4360="","",Parametros!$B$6-J4360)</f>
        <v/>
      </c>
      <c r="P4360" s="5">
        <f>IF(O4360="","",IF(O4360&gt;0,1,0))</f>
        <v/>
      </c>
    </row>
    <row r="4361">
      <c r="A4361" s="5" t="n">
        <v>1191000000</v>
      </c>
      <c r="B4361" s="5" t="inlineStr">
        <is>
          <t>101071</t>
        </is>
      </c>
      <c r="C4361" s="5" t="inlineStr">
        <is>
          <t>CUSTOM COMERCIO INTERNACIONAL LTDA</t>
        </is>
      </c>
      <c r="D4361" s="5" t="inlineStr">
        <is>
          <t>AB</t>
        </is>
      </c>
      <c r="E4361" s="5" t="n">
        <v>1100009183</v>
      </c>
      <c r="F4361" s="5" t="inlineStr">
        <is>
          <t>4010005737</t>
        </is>
      </c>
      <c r="G4361" s="5" t="inlineStr">
        <is>
          <t>BRL</t>
        </is>
      </c>
      <c r="H4361" s="9" t="n">
        <v>12875.44</v>
      </c>
      <c r="I4361" s="16" t="n">
        <v>46113</v>
      </c>
      <c r="J4361" s="16" t="n">
        <v>44522</v>
      </c>
      <c r="K4361" s="5" t="inlineStr">
        <is>
          <t>CUSTOM A DEVOLVER</t>
        </is>
      </c>
      <c r="L4361" s="5" t="inlineStr">
        <is>
          <t>CUSTOM A DEVOLVER</t>
        </is>
      </c>
      <c r="M4361" s="5">
        <f>IF(YEAR(I4361)&lt;=2020,"Até 2020",TEXT(YEAR(I4361),"0"))</f>
        <v/>
      </c>
      <c r="N4361" s="5">
        <f>IFERROR(INDEX(DePara!$A:$A,MATCH(TEXT(B4361,"0"),DePara!$D:$D,0)),"(sem categoria)")</f>
        <v/>
      </c>
      <c r="O4361" s="5">
        <f>IF(J4361="","",Parametros!$B$6-J4361)</f>
        <v/>
      </c>
      <c r="P4361" s="5">
        <f>IF(O4361="","",IF(O4361&gt;0,1,0))</f>
        <v/>
      </c>
    </row>
    <row r="4362">
      <c r="A4362" s="5" t="n">
        <v>1191000000</v>
      </c>
      <c r="B4362" s="5" t="inlineStr">
        <is>
          <t>101071</t>
        </is>
      </c>
      <c r="C4362" s="5" t="inlineStr">
        <is>
          <t>CUSTOM COMERCIO INTERNACIONAL LTDA</t>
        </is>
      </c>
      <c r="D4362" s="5" t="inlineStr">
        <is>
          <t>AB</t>
        </is>
      </c>
      <c r="E4362" s="5" t="n">
        <v>1100009193</v>
      </c>
      <c r="F4362" s="5" t="inlineStr">
        <is>
          <t>4012333026</t>
        </is>
      </c>
      <c r="G4362" s="5" t="inlineStr">
        <is>
          <t>BRL</t>
        </is>
      </c>
      <c r="H4362" s="9" t="n">
        <v>13961.16</v>
      </c>
      <c r="I4362" s="16" t="n">
        <v>46113</v>
      </c>
      <c r="J4362" s="16" t="n">
        <v>45055</v>
      </c>
      <c r="K4362" s="5" t="inlineStr">
        <is>
          <t>CUSTOM A DEVOLVER</t>
        </is>
      </c>
      <c r="L4362" s="5" t="inlineStr">
        <is>
          <t>CUSTOM A DEVOLVER</t>
        </is>
      </c>
      <c r="M4362" s="5">
        <f>IF(YEAR(I4362)&lt;=2020,"Até 2020",TEXT(YEAR(I4362),"0"))</f>
        <v/>
      </c>
      <c r="N4362" s="5">
        <f>IFERROR(INDEX(DePara!$A:$A,MATCH(TEXT(B4362,"0"),DePara!$D:$D,0)),"(sem categoria)")</f>
        <v/>
      </c>
      <c r="O4362" s="5">
        <f>IF(J4362="","",Parametros!$B$6-J4362)</f>
        <v/>
      </c>
      <c r="P4362" s="5">
        <f>IF(O4362="","",IF(O4362&gt;0,1,0))</f>
        <v/>
      </c>
    </row>
    <row r="4363">
      <c r="A4363" s="5" t="n">
        <v>1191000000</v>
      </c>
      <c r="B4363" s="5" t="inlineStr">
        <is>
          <t>101071</t>
        </is>
      </c>
      <c r="C4363" s="5" t="inlineStr">
        <is>
          <t>CUSTOM COMERCIO INTERNACIONAL LTDA</t>
        </is>
      </c>
      <c r="D4363" s="5" t="inlineStr">
        <is>
          <t>AB</t>
        </is>
      </c>
      <c r="E4363" s="5" t="n">
        <v>1100009194</v>
      </c>
      <c r="F4363" s="5" t="inlineStr">
        <is>
          <t>4012331885</t>
        </is>
      </c>
      <c r="G4363" s="5" t="inlineStr">
        <is>
          <t>BRL</t>
        </is>
      </c>
      <c r="H4363" s="9" t="n">
        <v>13395.07</v>
      </c>
      <c r="I4363" s="16" t="n">
        <v>46113</v>
      </c>
      <c r="J4363" s="16" t="n">
        <v>45049</v>
      </c>
      <c r="K4363" s="5" t="inlineStr">
        <is>
          <t>CUSTOM A DEVOLVER</t>
        </is>
      </c>
      <c r="L4363" s="5" t="inlineStr">
        <is>
          <t>CUSTOM A DEVOLVER</t>
        </is>
      </c>
      <c r="M4363" s="5">
        <f>IF(YEAR(I4363)&lt;=2020,"Até 2020",TEXT(YEAR(I4363),"0"))</f>
        <v/>
      </c>
      <c r="N4363" s="5">
        <f>IFERROR(INDEX(DePara!$A:$A,MATCH(TEXT(B4363,"0"),DePara!$D:$D,0)),"(sem categoria)")</f>
        <v/>
      </c>
      <c r="O4363" s="5">
        <f>IF(J4363="","",Parametros!$B$6-J4363)</f>
        <v/>
      </c>
      <c r="P4363" s="5">
        <f>IF(O4363="","",IF(O4363&gt;0,1,0))</f>
        <v/>
      </c>
    </row>
    <row r="4364">
      <c r="A4364" s="5" t="n">
        <v>1191000000</v>
      </c>
      <c r="B4364" s="5" t="inlineStr">
        <is>
          <t>101071</t>
        </is>
      </c>
      <c r="C4364" s="5" t="inlineStr">
        <is>
          <t>CUSTOM COMERCIO INTERNACIONAL LTDA</t>
        </is>
      </c>
      <c r="D4364" s="5" t="inlineStr">
        <is>
          <t>AB</t>
        </is>
      </c>
      <c r="E4364" s="5" t="n">
        <v>1100009195</v>
      </c>
      <c r="F4364" s="5" t="inlineStr">
        <is>
          <t>4012327194</t>
        </is>
      </c>
      <c r="G4364" s="5" t="inlineStr">
        <is>
          <t>BRL</t>
        </is>
      </c>
      <c r="H4364" s="9" t="n">
        <v>14665.11</v>
      </c>
      <c r="I4364" s="16" t="n">
        <v>46113</v>
      </c>
      <c r="J4364" s="16" t="n">
        <v>45019</v>
      </c>
      <c r="K4364" s="5" t="inlineStr">
        <is>
          <t>CUSTOM A DEVOLVER</t>
        </is>
      </c>
      <c r="L4364" s="5" t="inlineStr">
        <is>
          <t>CUSTOM A DEVOLVER</t>
        </is>
      </c>
      <c r="M4364" s="5">
        <f>IF(YEAR(I4364)&lt;=2020,"Até 2020",TEXT(YEAR(I4364),"0"))</f>
        <v/>
      </c>
      <c r="N4364" s="5">
        <f>IFERROR(INDEX(DePara!$A:$A,MATCH(TEXT(B4364,"0"),DePara!$D:$D,0)),"(sem categoria)")</f>
        <v/>
      </c>
      <c r="O4364" s="5">
        <f>IF(J4364="","",Parametros!$B$6-J4364)</f>
        <v/>
      </c>
      <c r="P4364" s="5">
        <f>IF(O4364="","",IF(O4364&gt;0,1,0))</f>
        <v/>
      </c>
    </row>
    <row r="4365">
      <c r="A4365" s="5" t="n">
        <v>1191000000</v>
      </c>
      <c r="B4365" s="5" t="inlineStr">
        <is>
          <t>101071</t>
        </is>
      </c>
      <c r="C4365" s="5" t="inlineStr">
        <is>
          <t>CUSTOM COMERCIO INTERNACIONAL LTDA</t>
        </is>
      </c>
      <c r="D4365" s="5" t="inlineStr">
        <is>
          <t>AB</t>
        </is>
      </c>
      <c r="E4365" s="5" t="n">
        <v>1100009196</v>
      </c>
      <c r="F4365" s="5" t="inlineStr">
        <is>
          <t>96010171</t>
        </is>
      </c>
      <c r="G4365" s="5" t="inlineStr">
        <is>
          <t>BRL</t>
        </is>
      </c>
      <c r="H4365" s="9" t="n">
        <v>12193.53</v>
      </c>
      <c r="I4365" s="16" t="n">
        <v>46113</v>
      </c>
      <c r="J4365" s="16" t="n">
        <v>45012</v>
      </c>
      <c r="K4365" s="5" t="inlineStr">
        <is>
          <t>CUSTOM A DEVOLVER</t>
        </is>
      </c>
      <c r="L4365" s="5" t="inlineStr">
        <is>
          <t>CUSTOM A DEVOLVER</t>
        </is>
      </c>
      <c r="M4365" s="5">
        <f>IF(YEAR(I4365)&lt;=2020,"Até 2020",TEXT(YEAR(I4365),"0"))</f>
        <v/>
      </c>
      <c r="N4365" s="5">
        <f>IFERROR(INDEX(DePara!$A:$A,MATCH(TEXT(B4365,"0"),DePara!$D:$D,0)),"(sem categoria)")</f>
        <v/>
      </c>
      <c r="O4365" s="5">
        <f>IF(J4365="","",Parametros!$B$6-J4365)</f>
        <v/>
      </c>
      <c r="P4365" s="5">
        <f>IF(O4365="","",IF(O4365&gt;0,1,0))</f>
        <v/>
      </c>
    </row>
    <row r="4366">
      <c r="A4366" s="5" t="n">
        <v>1191000000</v>
      </c>
      <c r="B4366" s="5" t="inlineStr">
        <is>
          <t>101071</t>
        </is>
      </c>
      <c r="C4366" s="5" t="inlineStr">
        <is>
          <t>CUSTOM COMERCIO INTERNACIONAL LTDA</t>
        </is>
      </c>
      <c r="D4366" s="5" t="inlineStr">
        <is>
          <t>AB</t>
        </is>
      </c>
      <c r="E4366" s="5" t="n">
        <v>1100009197</v>
      </c>
      <c r="F4366" s="5" t="inlineStr">
        <is>
          <t>4012325203</t>
        </is>
      </c>
      <c r="G4366" s="5" t="inlineStr">
        <is>
          <t>BRL</t>
        </is>
      </c>
      <c r="H4366" s="9" t="n">
        <v>14739.2</v>
      </c>
      <c r="I4366" s="16" t="n">
        <v>46113</v>
      </c>
      <c r="J4366" s="16" t="n">
        <v>45005</v>
      </c>
      <c r="K4366" s="5" t="inlineStr">
        <is>
          <t>CUSTOM A DEVOLVER</t>
        </is>
      </c>
      <c r="L4366" s="5" t="inlineStr">
        <is>
          <t>CUSTOM A DEVOLVER</t>
        </is>
      </c>
      <c r="M4366" s="5">
        <f>IF(YEAR(I4366)&lt;=2020,"Até 2020",TEXT(YEAR(I4366),"0"))</f>
        <v/>
      </c>
      <c r="N4366" s="5">
        <f>IFERROR(INDEX(DePara!$A:$A,MATCH(TEXT(B4366,"0"),DePara!$D:$D,0)),"(sem categoria)")</f>
        <v/>
      </c>
      <c r="O4366" s="5">
        <f>IF(J4366="","",Parametros!$B$6-J4366)</f>
        <v/>
      </c>
      <c r="P4366" s="5">
        <f>IF(O4366="","",IF(O4366&gt;0,1,0))</f>
        <v/>
      </c>
    </row>
    <row r="4367">
      <c r="A4367" s="5" t="n">
        <v>1191000000</v>
      </c>
      <c r="B4367" s="5" t="inlineStr">
        <is>
          <t>101071</t>
        </is>
      </c>
      <c r="C4367" s="5" t="inlineStr">
        <is>
          <t>CUSTOM COMERCIO INTERNACIONAL LTDA</t>
        </is>
      </c>
      <c r="D4367" s="5" t="inlineStr">
        <is>
          <t>AB</t>
        </is>
      </c>
      <c r="E4367" s="5" t="n">
        <v>1100009198</v>
      </c>
      <c r="F4367" s="5" t="inlineStr">
        <is>
          <t>HSE0001</t>
        </is>
      </c>
      <c r="G4367" s="5" t="inlineStr">
        <is>
          <t>BRL</t>
        </is>
      </c>
      <c r="H4367" s="9" t="n">
        <v>11131.63</v>
      </c>
      <c r="I4367" s="16" t="n">
        <v>46113</v>
      </c>
      <c r="J4367" s="16" t="n">
        <v>44838</v>
      </c>
      <c r="K4367" s="5" t="inlineStr">
        <is>
          <t>CUSTOM A DEVOLVER</t>
        </is>
      </c>
      <c r="L4367" s="5" t="inlineStr">
        <is>
          <t>CUSTOM A DEVOLVER</t>
        </is>
      </c>
      <c r="M4367" s="5">
        <f>IF(YEAR(I4367)&lt;=2020,"Até 2020",TEXT(YEAR(I4367),"0"))</f>
        <v/>
      </c>
      <c r="N4367" s="5">
        <f>IFERROR(INDEX(DePara!$A:$A,MATCH(TEXT(B4367,"0"),DePara!$D:$D,0)),"(sem categoria)")</f>
        <v/>
      </c>
      <c r="O4367" s="5">
        <f>IF(J4367="","",Parametros!$B$6-J4367)</f>
        <v/>
      </c>
      <c r="P4367" s="5">
        <f>IF(O4367="","",IF(O4367&gt;0,1,0))</f>
        <v/>
      </c>
    </row>
    <row r="4368">
      <c r="A4368" s="5" t="n">
        <v>1191000000</v>
      </c>
      <c r="B4368" s="5" t="inlineStr">
        <is>
          <t>101071</t>
        </is>
      </c>
      <c r="C4368" s="5" t="inlineStr">
        <is>
          <t>CUSTOM COMERCIO INTERNACIONAL LTDA</t>
        </is>
      </c>
      <c r="D4368" s="5" t="inlineStr">
        <is>
          <t>AB</t>
        </is>
      </c>
      <c r="E4368" s="5" t="n">
        <v>1100009202</v>
      </c>
      <c r="F4368" s="5" t="inlineStr">
        <is>
          <t>611144/611145</t>
        </is>
      </c>
      <c r="G4368" s="5" t="inlineStr">
        <is>
          <t>BRL</t>
        </is>
      </c>
      <c r="H4368" s="9" t="n">
        <v>11747.96</v>
      </c>
      <c r="I4368" s="16" t="n">
        <v>46113</v>
      </c>
      <c r="J4368" s="16" t="n">
        <v>44512</v>
      </c>
      <c r="K4368" s="5" t="inlineStr">
        <is>
          <t>CUSTOM A DEVOLVER</t>
        </is>
      </c>
      <c r="L4368" s="5" t="inlineStr">
        <is>
          <t>CUSTOM A DEVOLVER</t>
        </is>
      </c>
      <c r="M4368" s="5">
        <f>IF(YEAR(I4368)&lt;=2020,"Até 2020",TEXT(YEAR(I4368),"0"))</f>
        <v/>
      </c>
      <c r="N4368" s="5">
        <f>IFERROR(INDEX(DePara!$A:$A,MATCH(TEXT(B4368,"0"),DePara!$D:$D,0)),"(sem categoria)")</f>
        <v/>
      </c>
      <c r="O4368" s="5">
        <f>IF(J4368="","",Parametros!$B$6-J4368)</f>
        <v/>
      </c>
      <c r="P4368" s="5">
        <f>IF(O4368="","",IF(O4368&gt;0,1,0))</f>
        <v/>
      </c>
    </row>
    <row r="4369">
      <c r="A4369" s="5" t="n">
        <v>1191000000</v>
      </c>
      <c r="B4369" s="5" t="inlineStr">
        <is>
          <t>101071</t>
        </is>
      </c>
      <c r="C4369" s="5" t="inlineStr">
        <is>
          <t>CUSTOM COMERCIO INTERNACIONAL LTDA</t>
        </is>
      </c>
      <c r="D4369" s="5" t="inlineStr">
        <is>
          <t>AB</t>
        </is>
      </c>
      <c r="E4369" s="5" t="n">
        <v>1100009356</v>
      </c>
      <c r="F4369" s="5" t="inlineStr">
        <is>
          <t>4012334209</t>
        </is>
      </c>
      <c r="G4369" s="5" t="inlineStr">
        <is>
          <t>BRL</t>
        </is>
      </c>
      <c r="H4369" s="9" t="n">
        <v>9825.77</v>
      </c>
      <c r="I4369" s="16" t="n">
        <v>46113</v>
      </c>
      <c r="J4369" s="16" t="n">
        <v>45063</v>
      </c>
      <c r="K4369" s="5" t="inlineStr">
        <is>
          <t>CUSTOM A DEVOLVER</t>
        </is>
      </c>
      <c r="L4369" s="5" t="inlineStr">
        <is>
          <t>CUSTOM A DEVOLVER</t>
        </is>
      </c>
      <c r="M4369" s="5">
        <f>IF(YEAR(I4369)&lt;=2020,"Até 2020",TEXT(YEAR(I4369),"0"))</f>
        <v/>
      </c>
      <c r="N4369" s="5">
        <f>IFERROR(INDEX(DePara!$A:$A,MATCH(TEXT(B4369,"0"),DePara!$D:$D,0)),"(sem categoria)")</f>
        <v/>
      </c>
      <c r="O4369" s="5">
        <f>IF(J4369="","",Parametros!$B$6-J4369)</f>
        <v/>
      </c>
      <c r="P4369" s="5">
        <f>IF(O4369="","",IF(O4369&gt;0,1,0))</f>
        <v/>
      </c>
    </row>
    <row r="4370">
      <c r="A4370" s="5" t="n">
        <v>1191000000</v>
      </c>
      <c r="B4370" s="5" t="inlineStr">
        <is>
          <t>101071</t>
        </is>
      </c>
      <c r="C4370" s="5" t="inlineStr">
        <is>
          <t>CUSTOM COMERCIO INTERNACIONAL LTDA</t>
        </is>
      </c>
      <c r="D4370" s="5" t="inlineStr">
        <is>
          <t>AB</t>
        </is>
      </c>
      <c r="E4370" s="5" t="n">
        <v>1100009358</v>
      </c>
      <c r="F4370" s="5" t="inlineStr">
        <is>
          <t>4012326671</t>
        </is>
      </c>
      <c r="G4370" s="5" t="inlineStr">
        <is>
          <t>BRL</t>
        </is>
      </c>
      <c r="H4370" s="9" t="n">
        <v>5860.48</v>
      </c>
      <c r="I4370" s="16" t="n">
        <v>46113</v>
      </c>
      <c r="J4370" s="16" t="n">
        <v>45036</v>
      </c>
      <c r="K4370" s="5" t="inlineStr">
        <is>
          <t>CUSTOM A DEVOLVER</t>
        </is>
      </c>
      <c r="L4370" s="5" t="inlineStr">
        <is>
          <t>CUSTOM A DEVOLVER</t>
        </is>
      </c>
      <c r="M4370" s="5">
        <f>IF(YEAR(I4370)&lt;=2020,"Até 2020",TEXT(YEAR(I4370),"0"))</f>
        <v/>
      </c>
      <c r="N4370" s="5">
        <f>IFERROR(INDEX(DePara!$A:$A,MATCH(TEXT(B4370,"0"),DePara!$D:$D,0)),"(sem categoria)")</f>
        <v/>
      </c>
      <c r="O4370" s="5">
        <f>IF(J4370="","",Parametros!$B$6-J4370)</f>
        <v/>
      </c>
      <c r="P4370" s="5">
        <f>IF(O4370="","",IF(O4370&gt;0,1,0))</f>
        <v/>
      </c>
    </row>
    <row r="4371">
      <c r="A4371" s="5" t="n">
        <v>1191000000</v>
      </c>
      <c r="B4371" s="5" t="inlineStr">
        <is>
          <t>101071</t>
        </is>
      </c>
      <c r="C4371" s="5" t="inlineStr">
        <is>
          <t>CUSTOM COMERCIO INTERNACIONAL LTDA</t>
        </is>
      </c>
      <c r="D4371" s="5" t="inlineStr">
        <is>
          <t>AB</t>
        </is>
      </c>
      <c r="E4371" s="5" t="n">
        <v>1100009359</v>
      </c>
      <c r="F4371" s="5" t="inlineStr">
        <is>
          <t>4012326735</t>
        </is>
      </c>
      <c r="G4371" s="5" t="inlineStr">
        <is>
          <t>BRL</t>
        </is>
      </c>
      <c r="H4371" s="9" t="n">
        <v>5963.98</v>
      </c>
      <c r="I4371" s="16" t="n">
        <v>46113</v>
      </c>
      <c r="J4371" s="16" t="n">
        <v>45036</v>
      </c>
      <c r="K4371" s="5" t="inlineStr">
        <is>
          <t>CUSTOM A DEVOLVER</t>
        </is>
      </c>
      <c r="L4371" s="5" t="inlineStr">
        <is>
          <t>CUSTOM A DEVOLVER</t>
        </is>
      </c>
      <c r="M4371" s="5">
        <f>IF(YEAR(I4371)&lt;=2020,"Até 2020",TEXT(YEAR(I4371),"0"))</f>
        <v/>
      </c>
      <c r="N4371" s="5">
        <f>IFERROR(INDEX(DePara!$A:$A,MATCH(TEXT(B4371,"0"),DePara!$D:$D,0)),"(sem categoria)")</f>
        <v/>
      </c>
      <c r="O4371" s="5">
        <f>IF(J4371="","",Parametros!$B$6-J4371)</f>
        <v/>
      </c>
      <c r="P4371" s="5">
        <f>IF(O4371="","",IF(O4371&gt;0,1,0))</f>
        <v/>
      </c>
    </row>
    <row r="4372">
      <c r="A4372" s="5" t="n">
        <v>1191000000</v>
      </c>
      <c r="B4372" s="5" t="inlineStr">
        <is>
          <t>101071</t>
        </is>
      </c>
      <c r="C4372" s="5" t="inlineStr">
        <is>
          <t>CUSTOM COMERCIO INTERNACIONAL LTDA</t>
        </is>
      </c>
      <c r="D4372" s="5" t="inlineStr">
        <is>
          <t>AB</t>
        </is>
      </c>
      <c r="E4372" s="5" t="n">
        <v>1100009360</v>
      </c>
      <c r="F4372" s="5" t="inlineStr">
        <is>
          <t>MORR002T</t>
        </is>
      </c>
      <c r="G4372" s="5" t="inlineStr">
        <is>
          <t>BRL</t>
        </is>
      </c>
      <c r="H4372" s="9" t="n">
        <v>6568.12</v>
      </c>
      <c r="I4372" s="16" t="n">
        <v>46113</v>
      </c>
      <c r="J4372" s="16" t="n">
        <v>45009</v>
      </c>
      <c r="K4372" s="5" t="inlineStr">
        <is>
          <t>CUSTOM A DEVOLVER</t>
        </is>
      </c>
      <c r="L4372" s="5" t="inlineStr">
        <is>
          <t>CUSTOM A DEVOLVER</t>
        </is>
      </c>
      <c r="M4372" s="5">
        <f>IF(YEAR(I4372)&lt;=2020,"Até 2020",TEXT(YEAR(I4372),"0"))</f>
        <v/>
      </c>
      <c r="N4372" s="5">
        <f>IFERROR(INDEX(DePara!$A:$A,MATCH(TEXT(B4372,"0"),DePara!$D:$D,0)),"(sem categoria)")</f>
        <v/>
      </c>
      <c r="O4372" s="5">
        <f>IF(J4372="","",Parametros!$B$6-J4372)</f>
        <v/>
      </c>
      <c r="P4372" s="5">
        <f>IF(O4372="","",IF(O4372&gt;0,1,0))</f>
        <v/>
      </c>
    </row>
    <row r="4373">
      <c r="A4373" s="5" t="n">
        <v>1191000000</v>
      </c>
      <c r="B4373" s="5" t="inlineStr">
        <is>
          <t>101071</t>
        </is>
      </c>
      <c r="C4373" s="5" t="inlineStr">
        <is>
          <t>CUSTOM COMERCIO INTERNACIONAL LTDA</t>
        </is>
      </c>
      <c r="D4373" s="5" t="inlineStr">
        <is>
          <t>AB</t>
        </is>
      </c>
      <c r="E4373" s="5" t="n">
        <v>1100009361</v>
      </c>
      <c r="F4373" s="5" t="inlineStr">
        <is>
          <t>MORR003T</t>
        </is>
      </c>
      <c r="G4373" s="5" t="inlineStr">
        <is>
          <t>BRL</t>
        </is>
      </c>
      <c r="H4373" s="9" t="n">
        <v>6146.44</v>
      </c>
      <c r="I4373" s="16" t="n">
        <v>46113</v>
      </c>
      <c r="J4373" s="16" t="n">
        <v>45007</v>
      </c>
      <c r="K4373" s="5" t="inlineStr">
        <is>
          <t>CUSTOM A DEVOLVER</t>
        </is>
      </c>
      <c r="L4373" s="5" t="inlineStr">
        <is>
          <t>CUSTOM A DEVOLVER</t>
        </is>
      </c>
      <c r="M4373" s="5">
        <f>IF(YEAR(I4373)&lt;=2020,"Até 2020",TEXT(YEAR(I4373),"0"))</f>
        <v/>
      </c>
      <c r="N4373" s="5">
        <f>IFERROR(INDEX(DePara!$A:$A,MATCH(TEXT(B4373,"0"),DePara!$D:$D,0)),"(sem categoria)")</f>
        <v/>
      </c>
      <c r="O4373" s="5">
        <f>IF(J4373="","",Parametros!$B$6-J4373)</f>
        <v/>
      </c>
      <c r="P4373" s="5">
        <f>IF(O4373="","",IF(O4373&gt;0,1,0))</f>
        <v/>
      </c>
    </row>
    <row r="4374">
      <c r="A4374" s="5" t="n">
        <v>1191000000</v>
      </c>
      <c r="B4374" s="5" t="inlineStr">
        <is>
          <t>101071</t>
        </is>
      </c>
      <c r="C4374" s="5" t="inlineStr">
        <is>
          <t>CUSTOM COMERCIO INTERNACIONAL LTDA</t>
        </is>
      </c>
      <c r="D4374" s="5" t="inlineStr">
        <is>
          <t>AB</t>
        </is>
      </c>
      <c r="E4374" s="5" t="n">
        <v>1100009371</v>
      </c>
      <c r="F4374" s="5" t="inlineStr">
        <is>
          <t>611290</t>
        </is>
      </c>
      <c r="G4374" s="5" t="inlineStr">
        <is>
          <t>BRL</t>
        </is>
      </c>
      <c r="H4374" s="9" t="n">
        <v>6322.19</v>
      </c>
      <c r="I4374" s="16" t="n">
        <v>46113</v>
      </c>
      <c r="J4374" s="16" t="n">
        <v>44552</v>
      </c>
      <c r="K4374" s="5" t="inlineStr">
        <is>
          <t>CUSTOM A DEVOLVER</t>
        </is>
      </c>
      <c r="L4374" s="5" t="inlineStr">
        <is>
          <t>CUSTOM A DEVOLVER</t>
        </is>
      </c>
      <c r="M4374" s="5">
        <f>IF(YEAR(I4374)&lt;=2020,"Até 2020",TEXT(YEAR(I4374),"0"))</f>
        <v/>
      </c>
      <c r="N4374" s="5">
        <f>IFERROR(INDEX(DePara!$A:$A,MATCH(TEXT(B4374,"0"),DePara!$D:$D,0)),"(sem categoria)")</f>
        <v/>
      </c>
      <c r="O4374" s="5">
        <f>IF(J4374="","",Parametros!$B$6-J4374)</f>
        <v/>
      </c>
      <c r="P4374" s="5">
        <f>IF(O4374="","",IF(O4374&gt;0,1,0))</f>
        <v/>
      </c>
    </row>
    <row r="4375">
      <c r="A4375" s="5" t="n">
        <v>1191000000</v>
      </c>
      <c r="B4375" s="5" t="inlineStr">
        <is>
          <t>101071</t>
        </is>
      </c>
      <c r="C4375" s="5" t="inlineStr">
        <is>
          <t>CUSTOM COMERCIO INTERNACIONAL LTDA</t>
        </is>
      </c>
      <c r="D4375" s="5" t="inlineStr">
        <is>
          <t>AB</t>
        </is>
      </c>
      <c r="E4375" s="5" t="n">
        <v>1100009378</v>
      </c>
      <c r="F4375" s="5" t="inlineStr">
        <is>
          <t>4010005753</t>
        </is>
      </c>
      <c r="G4375" s="5" t="inlineStr">
        <is>
          <t>BRL</t>
        </is>
      </c>
      <c r="H4375" s="9" t="n">
        <v>8174.1</v>
      </c>
      <c r="I4375" s="16" t="n">
        <v>46113</v>
      </c>
      <c r="J4375" s="16" t="n">
        <v>44522</v>
      </c>
      <c r="K4375" s="5" t="inlineStr">
        <is>
          <t>CUSTOM A DEVOLVER</t>
        </is>
      </c>
      <c r="L4375" s="5" t="inlineStr">
        <is>
          <t>CUSTOM A DEVOLVER</t>
        </is>
      </c>
      <c r="M4375" s="5">
        <f>IF(YEAR(I4375)&lt;=2020,"Até 2020",TEXT(YEAR(I4375),"0"))</f>
        <v/>
      </c>
      <c r="N4375" s="5">
        <f>IFERROR(INDEX(DePara!$A:$A,MATCH(TEXT(B4375,"0"),DePara!$D:$D,0)),"(sem categoria)")</f>
        <v/>
      </c>
      <c r="O4375" s="5">
        <f>IF(J4375="","",Parametros!$B$6-J4375)</f>
        <v/>
      </c>
      <c r="P4375" s="5">
        <f>IF(O4375="","",IF(O4375&gt;0,1,0))</f>
        <v/>
      </c>
    </row>
    <row r="4376">
      <c r="A4376" s="5" t="n">
        <v>1191000000</v>
      </c>
      <c r="B4376" s="5" t="inlineStr">
        <is>
          <t>101071</t>
        </is>
      </c>
      <c r="C4376" s="5" t="inlineStr">
        <is>
          <t>CUSTOM COMERCIO INTERNACIONAL LTDA</t>
        </is>
      </c>
      <c r="D4376" s="5" t="inlineStr">
        <is>
          <t>AB</t>
        </is>
      </c>
      <c r="E4376" s="5" t="n">
        <v>1100009379</v>
      </c>
      <c r="F4376" s="5" t="inlineStr">
        <is>
          <t>4010005738</t>
        </is>
      </c>
      <c r="G4376" s="5" t="inlineStr">
        <is>
          <t>BRL</t>
        </is>
      </c>
      <c r="H4376" s="9" t="n">
        <v>8082.12</v>
      </c>
      <c r="I4376" s="16" t="n">
        <v>46113</v>
      </c>
      <c r="J4376" s="16" t="n">
        <v>44522</v>
      </c>
      <c r="K4376" s="5" t="inlineStr">
        <is>
          <t>CUSTOM A DEVOLVER</t>
        </is>
      </c>
      <c r="L4376" s="5" t="inlineStr">
        <is>
          <t>CUSTOM A DEVOLVER</t>
        </is>
      </c>
      <c r="M4376" s="5">
        <f>IF(YEAR(I4376)&lt;=2020,"Até 2020",TEXT(YEAR(I4376),"0"))</f>
        <v/>
      </c>
      <c r="N4376" s="5">
        <f>IFERROR(INDEX(DePara!$A:$A,MATCH(TEXT(B4376,"0"),DePara!$D:$D,0)),"(sem categoria)")</f>
        <v/>
      </c>
      <c r="O4376" s="5">
        <f>IF(J4376="","",Parametros!$B$6-J4376)</f>
        <v/>
      </c>
      <c r="P4376" s="5">
        <f>IF(O4376="","",IF(O4376&gt;0,1,0))</f>
        <v/>
      </c>
    </row>
    <row r="4377">
      <c r="A4377" s="5" t="n">
        <v>1191000000</v>
      </c>
      <c r="B4377" s="5" t="inlineStr">
        <is>
          <t>101071</t>
        </is>
      </c>
      <c r="C4377" s="5" t="inlineStr">
        <is>
          <t>CUSTOM COMERCIO INTERNACIONAL LTDA</t>
        </is>
      </c>
      <c r="D4377" s="5" t="inlineStr">
        <is>
          <t>AB</t>
        </is>
      </c>
      <c r="E4377" s="5" t="n">
        <v>1100009380</v>
      </c>
      <c r="F4377" s="5" t="inlineStr">
        <is>
          <t>610937</t>
        </is>
      </c>
      <c r="G4377" s="5" t="inlineStr">
        <is>
          <t>BRL</t>
        </is>
      </c>
      <c r="H4377" s="9" t="n">
        <v>4020.77</v>
      </c>
      <c r="I4377" s="16" t="n">
        <v>46113</v>
      </c>
      <c r="J4377" s="16" t="n">
        <v>44512</v>
      </c>
      <c r="K4377" s="5" t="inlineStr">
        <is>
          <t>CUSTOM A DEVOLVER</t>
        </is>
      </c>
      <c r="L4377" s="5" t="inlineStr">
        <is>
          <t>CUSTOM A DEVOLVER</t>
        </is>
      </c>
      <c r="M4377" s="5">
        <f>IF(YEAR(I4377)&lt;=2020,"Até 2020",TEXT(YEAR(I4377),"0"))</f>
        <v/>
      </c>
      <c r="N4377" s="5">
        <f>IFERROR(INDEX(DePara!$A:$A,MATCH(TEXT(B4377,"0"),DePara!$D:$D,0)),"(sem categoria)")</f>
        <v/>
      </c>
      <c r="O4377" s="5">
        <f>IF(J4377="","",Parametros!$B$6-J4377)</f>
        <v/>
      </c>
      <c r="P4377" s="5">
        <f>IF(O4377="","",IF(O4377&gt;0,1,0))</f>
        <v/>
      </c>
    </row>
    <row r="4378">
      <c r="A4378" s="5" t="n">
        <v>1191000000</v>
      </c>
      <c r="B4378" s="5" t="inlineStr">
        <is>
          <t>101071</t>
        </is>
      </c>
      <c r="C4378" s="5" t="inlineStr">
        <is>
          <t>CUSTOM COMERCIO INTERNACIONAL LTDA</t>
        </is>
      </c>
      <c r="D4378" s="5" t="inlineStr">
        <is>
          <t>AB</t>
        </is>
      </c>
      <c r="E4378" s="5" t="n">
        <v>1100009400</v>
      </c>
      <c r="F4378" s="5" t="inlineStr">
        <is>
          <t>4012334003</t>
        </is>
      </c>
      <c r="G4378" s="5" t="inlineStr">
        <is>
          <t>BRL</t>
        </is>
      </c>
      <c r="H4378" s="9" t="n">
        <v>4926.6</v>
      </c>
      <c r="I4378" s="16" t="n">
        <v>46113</v>
      </c>
      <c r="J4378" s="16" t="n">
        <v>45062</v>
      </c>
      <c r="K4378" s="5" t="inlineStr">
        <is>
          <t>CUSTOM A DEVOLVER</t>
        </is>
      </c>
      <c r="L4378" s="5" t="inlineStr">
        <is>
          <t>CUSTOM A DEVOLVER</t>
        </is>
      </c>
      <c r="M4378" s="5">
        <f>IF(YEAR(I4378)&lt;=2020,"Até 2020",TEXT(YEAR(I4378),"0"))</f>
        <v/>
      </c>
      <c r="N4378" s="5">
        <f>IFERROR(INDEX(DePara!$A:$A,MATCH(TEXT(B4378,"0"),DePara!$D:$D,0)),"(sem categoria)")</f>
        <v/>
      </c>
      <c r="O4378" s="5">
        <f>IF(J4378="","",Parametros!$B$6-J4378)</f>
        <v/>
      </c>
      <c r="P4378" s="5">
        <f>IF(O4378="","",IF(O4378&gt;0,1,0))</f>
        <v/>
      </c>
    </row>
    <row r="4379">
      <c r="A4379" s="5" t="n">
        <v>1191000000</v>
      </c>
      <c r="B4379" s="5" t="inlineStr">
        <is>
          <t>101071</t>
        </is>
      </c>
      <c r="C4379" s="5" t="inlineStr">
        <is>
          <t>CUSTOM COMERCIO INTERNACIONAL LTDA</t>
        </is>
      </c>
      <c r="D4379" s="5" t="inlineStr">
        <is>
          <t>AB</t>
        </is>
      </c>
      <c r="E4379" s="5" t="n">
        <v>1100009401</v>
      </c>
      <c r="F4379" s="5" t="inlineStr">
        <is>
          <t>4012334005</t>
        </is>
      </c>
      <c r="G4379" s="5" t="inlineStr">
        <is>
          <t>BRL</t>
        </is>
      </c>
      <c r="H4379" s="9" t="n">
        <v>4698.34</v>
      </c>
      <c r="I4379" s="16" t="n">
        <v>46113</v>
      </c>
      <c r="J4379" s="16" t="n">
        <v>45062</v>
      </c>
      <c r="K4379" s="5" t="inlineStr">
        <is>
          <t>CUSTOM A DEVOLVER</t>
        </is>
      </c>
      <c r="L4379" s="5" t="inlineStr">
        <is>
          <t>CUSTOM A DEVOLVER</t>
        </is>
      </c>
      <c r="M4379" s="5">
        <f>IF(YEAR(I4379)&lt;=2020,"Até 2020",TEXT(YEAR(I4379),"0"))</f>
        <v/>
      </c>
      <c r="N4379" s="5">
        <f>IFERROR(INDEX(DePara!$A:$A,MATCH(TEXT(B4379,"0"),DePara!$D:$D,0)),"(sem categoria)")</f>
        <v/>
      </c>
      <c r="O4379" s="5">
        <f>IF(J4379="","",Parametros!$B$6-J4379)</f>
        <v/>
      </c>
      <c r="P4379" s="5">
        <f>IF(O4379="","",IF(O4379&gt;0,1,0))</f>
        <v/>
      </c>
    </row>
    <row r="4380">
      <c r="A4380" s="5" t="n">
        <v>1191000000</v>
      </c>
      <c r="B4380" s="5" t="inlineStr">
        <is>
          <t>101007</t>
        </is>
      </c>
      <c r="C4380" s="5" t="inlineStr">
        <is>
          <t>SANTA BARBARA TRANSPORTES E LOGISTI</t>
        </is>
      </c>
      <c r="D4380" s="5" t="inlineStr">
        <is>
          <t>AB</t>
        </is>
      </c>
      <c r="E4380" s="5" t="n">
        <v>1100009776</v>
      </c>
      <c r="F4380" s="5" t="inlineStr">
        <is>
          <t>ADTO INDEVIDO</t>
        </is>
      </c>
      <c r="G4380" s="5" t="inlineStr">
        <is>
          <t>BRL</t>
        </is>
      </c>
      <c r="H4380" s="9" t="n">
        <v>15766.62</v>
      </c>
      <c r="I4380" s="16" t="n">
        <v>45579</v>
      </c>
      <c r="J4380" s="16" t="n">
        <v>45579</v>
      </c>
      <c r="K4380" s="5" t="inlineStr">
        <is>
          <t>Partida individual SANTA BARBARA TRANSPORTES E LOG</t>
        </is>
      </c>
      <c r="L4380" s="5" t="n"/>
      <c r="M4380" s="5">
        <f>IF(YEAR(I4380)&lt;=2020,"Até 2020",TEXT(YEAR(I4380),"0"))</f>
        <v/>
      </c>
      <c r="N4380" s="5">
        <f>IFERROR(INDEX(DePara!$A:$A,MATCH(TEXT(B4380,"0"),DePara!$D:$D,0)),"(sem categoria)")</f>
        <v/>
      </c>
      <c r="O4380" s="5">
        <f>IF(J4380="","",Parametros!$B$6-J4380)</f>
        <v/>
      </c>
      <c r="P4380" s="5">
        <f>IF(O4380="","",IF(O4380&gt;0,1,0))</f>
        <v/>
      </c>
    </row>
    <row r="4381">
      <c r="A4381" s="5" t="n">
        <v>1191000000</v>
      </c>
      <c r="B4381" s="5" t="inlineStr">
        <is>
          <t>105984</t>
        </is>
      </c>
      <c r="C4381" s="5" t="inlineStr">
        <is>
          <t>TRADEWORKS SERVICOS DE COMERCIO EXT 04955748000107</t>
        </is>
      </c>
      <c r="D4381" s="5" t="inlineStr">
        <is>
          <t>AB</t>
        </is>
      </c>
      <c r="E4381" s="5" t="n">
        <v>1100009800</v>
      </c>
      <c r="F4381" s="5" t="inlineStr">
        <is>
          <t>0034/26</t>
        </is>
      </c>
      <c r="G4381" s="5" t="inlineStr">
        <is>
          <t>BRL</t>
        </is>
      </c>
      <c r="H4381" s="9" t="n">
        <v>74479.14</v>
      </c>
      <c r="I4381" s="16" t="n">
        <v>46113</v>
      </c>
      <c r="J4381" s="16" t="n">
        <v>46057</v>
      </c>
      <c r="K4381" s="5" t="inlineStr">
        <is>
          <t>Partida individual TRADEWORKS SERVICOS DE COMERCIO</t>
        </is>
      </c>
      <c r="L4381" s="5" t="inlineStr">
        <is>
          <t>04022026</t>
        </is>
      </c>
      <c r="M4381" s="5">
        <f>IF(YEAR(I4381)&lt;=2020,"Até 2020",TEXT(YEAR(I4381),"0"))</f>
        <v/>
      </c>
      <c r="N4381" s="5">
        <f>IFERROR(INDEX(DePara!$A:$A,MATCH(TEXT(B4381,"0"),DePara!$D:$D,0)),"(sem categoria)")</f>
        <v/>
      </c>
      <c r="O4381" s="5">
        <f>IF(J4381="","",Parametros!$B$6-J4381)</f>
        <v/>
      </c>
      <c r="P4381" s="5">
        <f>IF(O4381="","",IF(O4381&gt;0,1,0))</f>
        <v/>
      </c>
    </row>
    <row r="4382">
      <c r="A4382" s="5" t="n">
        <v>1191000000</v>
      </c>
      <c r="B4382" s="5" t="inlineStr">
        <is>
          <t>101540</t>
        </is>
      </c>
      <c r="C4382" s="5" t="inlineStr">
        <is>
          <t>RICOH PY EQUIPAMENTOS DE INFORMATIC</t>
        </is>
      </c>
      <c r="D4382" s="5" t="inlineStr">
        <is>
          <t>AB</t>
        </is>
      </c>
      <c r="E4382" s="5" t="n">
        <v>1100010521</v>
      </c>
      <c r="F4382" s="5" t="inlineStr">
        <is>
          <t>011748</t>
        </is>
      </c>
      <c r="G4382" s="5" t="inlineStr">
        <is>
          <t>BRL</t>
        </is>
      </c>
      <c r="H4382" s="9" t="n">
        <v>7856.43</v>
      </c>
      <c r="I4382" s="16" t="n">
        <v>45623</v>
      </c>
      <c r="J4382" s="16" t="n">
        <v>45623</v>
      </c>
      <c r="K4382" s="5" t="inlineStr">
        <is>
          <t>Documento fornecedor RICOH PY EQUIPAMENTOS DE INFO</t>
        </is>
      </c>
      <c r="L4382" s="5" t="inlineStr">
        <is>
          <t>28112024</t>
        </is>
      </c>
      <c r="M4382" s="5">
        <f>IF(YEAR(I4382)&lt;=2020,"Até 2020",TEXT(YEAR(I4382),"0"))</f>
        <v/>
      </c>
      <c r="N4382" s="5">
        <f>IFERROR(INDEX(DePara!$A:$A,MATCH(TEXT(B4382,"0"),DePara!$D:$D,0)),"(sem categoria)")</f>
        <v/>
      </c>
      <c r="O4382" s="5">
        <f>IF(J4382="","",Parametros!$B$6-J4382)</f>
        <v/>
      </c>
      <c r="P4382" s="5">
        <f>IF(O4382="","",IF(O4382&gt;0,1,0))</f>
        <v/>
      </c>
    </row>
    <row r="4383">
      <c r="A4383" s="5" t="n">
        <v>1191000000</v>
      </c>
      <c r="B4383" s="5" t="inlineStr">
        <is>
          <t>105984</t>
        </is>
      </c>
      <c r="C4383" s="5" t="inlineStr">
        <is>
          <t>TRADEWORKS SERVICOS DE COMERCIO EXT 04955748000107</t>
        </is>
      </c>
      <c r="D4383" s="5" t="inlineStr">
        <is>
          <t>AB</t>
        </is>
      </c>
      <c r="E4383" s="5" t="n">
        <v>1100011882</v>
      </c>
      <c r="F4383" s="5" t="inlineStr">
        <is>
          <t>0939/25</t>
        </is>
      </c>
      <c r="G4383" s="5" t="inlineStr">
        <is>
          <t>BRL</t>
        </is>
      </c>
      <c r="H4383" s="9" t="n">
        <v>15920.49</v>
      </c>
      <c r="I4383" s="16" t="n">
        <v>46150</v>
      </c>
      <c r="J4383" s="16" t="n">
        <v>46029</v>
      </c>
      <c r="K4383" s="5" t="inlineStr">
        <is>
          <t>Partida individual TRADEWORKS SERVICOS DE COMERCIO</t>
        </is>
      </c>
      <c r="L4383" s="5" t="inlineStr">
        <is>
          <t>07012026</t>
        </is>
      </c>
      <c r="M4383" s="5">
        <f>IF(YEAR(I4383)&lt;=2020,"Até 2020",TEXT(YEAR(I4383),"0"))</f>
        <v/>
      </c>
      <c r="N4383" s="5">
        <f>IFERROR(INDEX(DePara!$A:$A,MATCH(TEXT(B4383,"0"),DePara!$D:$D,0)),"(sem categoria)")</f>
        <v/>
      </c>
      <c r="O4383" s="5">
        <f>IF(J4383="","",Parametros!$B$6-J4383)</f>
        <v/>
      </c>
      <c r="P4383" s="5">
        <f>IF(O4383="","",IF(O4383&gt;0,1,0))</f>
        <v/>
      </c>
    </row>
    <row r="4384">
      <c r="A4384" s="5" t="n">
        <v>1191000000</v>
      </c>
      <c r="B4384" s="5" t="inlineStr">
        <is>
          <t>105984</t>
        </is>
      </c>
      <c r="C4384" s="5" t="inlineStr">
        <is>
          <t>TRADEWORKS SERVICOS DE COMERCIO EXT 04955748000107</t>
        </is>
      </c>
      <c r="D4384" s="5" t="inlineStr">
        <is>
          <t>AB</t>
        </is>
      </c>
      <c r="E4384" s="5" t="n">
        <v>1100014465</v>
      </c>
      <c r="F4384" s="5" t="inlineStr">
        <is>
          <t>0058/23</t>
        </is>
      </c>
      <c r="G4384" s="5" t="inlineStr">
        <is>
          <t>BRL</t>
        </is>
      </c>
      <c r="H4384" s="9" t="n">
        <v>6539.52</v>
      </c>
      <c r="I4384" s="16" t="n">
        <v>46192</v>
      </c>
      <c r="J4384" s="16" t="n">
        <v>46176</v>
      </c>
      <c r="K4384" s="5" t="inlineStr">
        <is>
          <t>Partida individual TRADEWORKS SERVICOS DE COMERCIO</t>
        </is>
      </c>
      <c r="L4384" s="5" t="inlineStr">
        <is>
          <t>03062026</t>
        </is>
      </c>
      <c r="M4384" s="5">
        <f>IF(YEAR(I4384)&lt;=2020,"Até 2020",TEXT(YEAR(I4384),"0"))</f>
        <v/>
      </c>
      <c r="N4384" s="5">
        <f>IFERROR(INDEX(DePara!$A:$A,MATCH(TEXT(B4384,"0"),DePara!$D:$D,0)),"(sem categoria)")</f>
        <v/>
      </c>
      <c r="O4384" s="5">
        <f>IF(J4384="","",Parametros!$B$6-J4384)</f>
        <v/>
      </c>
      <c r="P4384" s="5">
        <f>IF(O4384="","",IF(O4384&gt;0,1,0))</f>
        <v/>
      </c>
    </row>
    <row r="4385">
      <c r="A4385" s="5" t="n">
        <v>1191000000</v>
      </c>
      <c r="B4385" s="5" t="inlineStr">
        <is>
          <t>105984</t>
        </is>
      </c>
      <c r="C4385" s="5" t="inlineStr">
        <is>
          <t>TRADEWORKS SERVICOS DE COMERCIO EXT 04955748000107</t>
        </is>
      </c>
      <c r="D4385" s="5" t="inlineStr">
        <is>
          <t>AB</t>
        </is>
      </c>
      <c r="E4385" s="5" t="n">
        <v>1100014466</v>
      </c>
      <c r="F4385" s="5" t="inlineStr">
        <is>
          <t>0018/23</t>
        </is>
      </c>
      <c r="G4385" s="5" t="inlineStr">
        <is>
          <t>BRL</t>
        </is>
      </c>
      <c r="H4385" s="9" t="n">
        <v>2286.95</v>
      </c>
      <c r="I4385" s="16" t="n">
        <v>46192</v>
      </c>
      <c r="J4385" s="16" t="n">
        <v>46176</v>
      </c>
      <c r="K4385" s="5" t="inlineStr">
        <is>
          <t>Partida individual TRADEWORKS SERVICOS DE COMERCIO</t>
        </is>
      </c>
      <c r="L4385" s="5" t="inlineStr">
        <is>
          <t>03062026</t>
        </is>
      </c>
      <c r="M4385" s="5">
        <f>IF(YEAR(I4385)&lt;=2020,"Até 2020",TEXT(YEAR(I4385),"0"))</f>
        <v/>
      </c>
      <c r="N4385" s="5">
        <f>IFERROR(INDEX(DePara!$A:$A,MATCH(TEXT(B4385,"0"),DePara!$D:$D,0)),"(sem categoria)")</f>
        <v/>
      </c>
      <c r="O4385" s="5">
        <f>IF(J4385="","",Parametros!$B$6-J4385)</f>
        <v/>
      </c>
      <c r="P4385" s="5">
        <f>IF(O4385="","",IF(O4385&gt;0,1,0))</f>
        <v/>
      </c>
    </row>
    <row r="4386">
      <c r="A4386" s="5" t="n">
        <v>1191000000</v>
      </c>
      <c r="B4386" s="5" t="inlineStr">
        <is>
          <t>105984</t>
        </is>
      </c>
      <c r="C4386" s="5" t="inlineStr">
        <is>
          <t>TRADEWORKS SERVICOS DE COMERCIO EXT 04955748000107</t>
        </is>
      </c>
      <c r="D4386" s="5" t="inlineStr">
        <is>
          <t>AB</t>
        </is>
      </c>
      <c r="E4386" s="5" t="n">
        <v>1100014467</v>
      </c>
      <c r="F4386" s="5" t="inlineStr">
        <is>
          <t>TWIAS01495/26</t>
        </is>
      </c>
      <c r="G4386" s="5" t="inlineStr">
        <is>
          <t>BRL</t>
        </is>
      </c>
      <c r="H4386" s="9" t="n">
        <v>10942.25</v>
      </c>
      <c r="I4386" s="16" t="n">
        <v>46192</v>
      </c>
      <c r="J4386" s="16" t="n">
        <v>46176</v>
      </c>
      <c r="K4386" s="5" t="inlineStr">
        <is>
          <t>Partida individual TRADEWORKS SERVICOS DE COMERCIO</t>
        </is>
      </c>
      <c r="L4386" s="5" t="inlineStr">
        <is>
          <t>03062026</t>
        </is>
      </c>
      <c r="M4386" s="5">
        <f>IF(YEAR(I4386)&lt;=2020,"Até 2020",TEXT(YEAR(I4386),"0"))</f>
        <v/>
      </c>
      <c r="N4386" s="5">
        <f>IFERROR(INDEX(DePara!$A:$A,MATCH(TEXT(B4386,"0"),DePara!$D:$D,0)),"(sem categoria)")</f>
        <v/>
      </c>
      <c r="O4386" s="5">
        <f>IF(J4386="","",Parametros!$B$6-J4386)</f>
        <v/>
      </c>
      <c r="P4386" s="5">
        <f>IF(O4386="","",IF(O4386&gt;0,1,0))</f>
        <v/>
      </c>
    </row>
    <row r="4387">
      <c r="A4387" s="5" t="n">
        <v>1191000000</v>
      </c>
      <c r="B4387" s="5" t="inlineStr">
        <is>
          <t>105984</t>
        </is>
      </c>
      <c r="C4387" s="5" t="inlineStr">
        <is>
          <t>TRADEWORKS SERVICOS DE COMERCIO EXT 04955748000107</t>
        </is>
      </c>
      <c r="D4387" s="5" t="inlineStr">
        <is>
          <t>AB</t>
        </is>
      </c>
      <c r="E4387" s="5" t="n">
        <v>1100014469</v>
      </c>
      <c r="F4387" s="5" t="inlineStr">
        <is>
          <t>TWIAS02099/26</t>
        </is>
      </c>
      <c r="G4387" s="5" t="inlineStr">
        <is>
          <t>BRL</t>
        </is>
      </c>
      <c r="H4387" s="9" t="n">
        <v>1705.4</v>
      </c>
      <c r="I4387" s="16" t="n">
        <v>46192</v>
      </c>
      <c r="J4387" s="16" t="n">
        <v>46176</v>
      </c>
      <c r="K4387" s="5" t="inlineStr">
        <is>
          <t>Partida individual TRADEWORKS SERVICOS DE COMERCIO</t>
        </is>
      </c>
      <c r="L4387" s="5" t="inlineStr">
        <is>
          <t>03062026</t>
        </is>
      </c>
      <c r="M4387" s="5">
        <f>IF(YEAR(I4387)&lt;=2020,"Até 2020",TEXT(YEAR(I4387),"0"))</f>
        <v/>
      </c>
      <c r="N4387" s="5">
        <f>IFERROR(INDEX(DePara!$A:$A,MATCH(TEXT(B4387,"0"),DePara!$D:$D,0)),"(sem categoria)")</f>
        <v/>
      </c>
      <c r="O4387" s="5">
        <f>IF(J4387="","",Parametros!$B$6-J4387)</f>
        <v/>
      </c>
      <c r="P4387" s="5">
        <f>IF(O4387="","",IF(O4387&gt;0,1,0))</f>
        <v/>
      </c>
    </row>
    <row r="4388">
      <c r="A4388" s="5" t="n">
        <v>1191000000</v>
      </c>
      <c r="B4388" s="5" t="inlineStr">
        <is>
          <t>105984</t>
        </is>
      </c>
      <c r="C4388" s="5" t="inlineStr">
        <is>
          <t>TRADEWORKS SERVICOS DE COMERCIO EXT 04955748000107</t>
        </is>
      </c>
      <c r="D4388" s="5" t="inlineStr">
        <is>
          <t>AB</t>
        </is>
      </c>
      <c r="E4388" s="5" t="n">
        <v>1100014476</v>
      </c>
      <c r="F4388" s="5" t="inlineStr">
        <is>
          <t>0635/24</t>
        </is>
      </c>
      <c r="G4388" s="5" t="inlineStr">
        <is>
          <t>BRL</t>
        </is>
      </c>
      <c r="H4388" s="9" t="n">
        <v>3924.35</v>
      </c>
      <c r="I4388" s="16" t="n">
        <v>46192</v>
      </c>
      <c r="J4388" s="16" t="n">
        <v>46176</v>
      </c>
      <c r="K4388" s="5" t="inlineStr">
        <is>
          <t>Partida individual TRADEWORKS SERVICOS DE COMERCIO</t>
        </is>
      </c>
      <c r="L4388" s="5" t="inlineStr">
        <is>
          <t>03062026</t>
        </is>
      </c>
      <c r="M4388" s="5">
        <f>IF(YEAR(I4388)&lt;=2020,"Até 2020",TEXT(YEAR(I4388),"0"))</f>
        <v/>
      </c>
      <c r="N4388" s="5">
        <f>IFERROR(INDEX(DePara!$A:$A,MATCH(TEXT(B4388,"0"),DePara!$D:$D,0)),"(sem categoria)")</f>
        <v/>
      </c>
      <c r="O4388" s="5">
        <f>IF(J4388="","",Parametros!$B$6-J4388)</f>
        <v/>
      </c>
      <c r="P4388" s="5">
        <f>IF(O4388="","",IF(O4388&gt;0,1,0))</f>
        <v/>
      </c>
    </row>
    <row r="4389">
      <c r="A4389" s="5" t="n">
        <v>1191000000</v>
      </c>
      <c r="B4389" s="5" t="inlineStr">
        <is>
          <t>101963</t>
        </is>
      </c>
      <c r="C4389" s="5" t="inlineStr">
        <is>
          <t>4U CONSTRUCOES LTDA EPP</t>
        </is>
      </c>
      <c r="D4389" s="5" t="inlineStr">
        <is>
          <t>AB</t>
        </is>
      </c>
      <c r="E4389" s="5" t="n">
        <v>1100017361</v>
      </c>
      <c r="F4389" s="5" t="inlineStr">
        <is>
          <t>FEIJAO</t>
        </is>
      </c>
      <c r="G4389" s="5" t="inlineStr">
        <is>
          <t>BRL</t>
        </is>
      </c>
      <c r="H4389" s="9" t="n">
        <v>14302193.56</v>
      </c>
      <c r="I4389" s="16" t="n">
        <v>46203</v>
      </c>
      <c r="J4389" s="16" t="n">
        <v>46203</v>
      </c>
      <c r="K4389" s="5" t="inlineStr">
        <is>
          <t>IDENTIFICAÇÃO FEIJAO WBS</t>
        </is>
      </c>
      <c r="L4389" s="5" t="n"/>
      <c r="M4389" s="5">
        <f>IF(YEAR(I4389)&lt;=2020,"Até 2020",TEXT(YEAR(I4389),"0"))</f>
        <v/>
      </c>
      <c r="N4389" s="5">
        <f>IFERROR(INDEX(DePara!$A:$A,MATCH(TEXT(B4389,"0"),DePara!$D:$D,0)),"(sem categoria)")</f>
        <v/>
      </c>
      <c r="O4389" s="5">
        <f>IF(J4389="","",Parametros!$B$6-J4389)</f>
        <v/>
      </c>
      <c r="P4389" s="5">
        <f>IF(O4389="","",IF(O4389&gt;0,1,0))</f>
        <v/>
      </c>
    </row>
    <row r="4390">
      <c r="A4390" s="5" t="n">
        <v>1191000000</v>
      </c>
      <c r="B4390" s="5" t="inlineStr">
        <is>
          <t>105984</t>
        </is>
      </c>
      <c r="C4390" s="5" t="inlineStr">
        <is>
          <t>TRADEWORKS SERVICOS DE COMERCIO EXT 04955748000107</t>
        </is>
      </c>
      <c r="D4390" s="5" t="inlineStr">
        <is>
          <t>AB</t>
        </is>
      </c>
      <c r="E4390" s="5" t="n">
        <v>1100017998</v>
      </c>
      <c r="F4390" s="5" t="inlineStr">
        <is>
          <t>TWIAS01921/26</t>
        </is>
      </c>
      <c r="G4390" s="5" t="inlineStr">
        <is>
          <t>BRL</t>
        </is>
      </c>
      <c r="H4390" s="9" t="n">
        <v>10767.97</v>
      </c>
      <c r="I4390" s="16" t="n">
        <v>46206</v>
      </c>
      <c r="J4390" s="16" t="n">
        <v>46190</v>
      </c>
      <c r="K4390" s="5" t="inlineStr">
        <is>
          <t>Partida individual TRADEWORKS SERVICOS DE COMERCIO</t>
        </is>
      </c>
      <c r="L4390" s="5" t="inlineStr">
        <is>
          <t>17062026</t>
        </is>
      </c>
      <c r="M4390" s="5">
        <f>IF(YEAR(I4390)&lt;=2020,"Até 2020",TEXT(YEAR(I4390),"0"))</f>
        <v/>
      </c>
      <c r="N4390" s="5">
        <f>IFERROR(INDEX(DePara!$A:$A,MATCH(TEXT(B4390,"0"),DePara!$D:$D,0)),"(sem categoria)")</f>
        <v/>
      </c>
      <c r="O4390" s="5">
        <f>IF(J4390="","",Parametros!$B$6-J4390)</f>
        <v/>
      </c>
      <c r="P4390" s="5">
        <f>IF(O4390="","",IF(O4390&gt;0,1,0))</f>
        <v/>
      </c>
    </row>
    <row r="4391">
      <c r="A4391" s="5" t="n">
        <v>1191000000</v>
      </c>
      <c r="B4391" s="5" t="inlineStr">
        <is>
          <t>105984</t>
        </is>
      </c>
      <c r="C4391" s="5" t="inlineStr">
        <is>
          <t>TRADEWORKS SERVICOS DE COMERCIO EXT 04955748000107</t>
        </is>
      </c>
      <c r="D4391" s="5" t="inlineStr">
        <is>
          <t>AB</t>
        </is>
      </c>
      <c r="E4391" s="5" t="n">
        <v>1100021427</v>
      </c>
      <c r="F4391" s="5" t="inlineStr">
        <is>
          <t>0458/26</t>
        </is>
      </c>
      <c r="G4391" s="5" t="inlineStr">
        <is>
          <t>BRL</t>
        </is>
      </c>
      <c r="H4391" s="9" t="n">
        <v>58243.99</v>
      </c>
      <c r="I4391" s="16" t="n">
        <v>46251</v>
      </c>
      <c r="J4391" s="16" t="n">
        <v>46211</v>
      </c>
      <c r="K4391" s="5" t="inlineStr">
        <is>
          <t>Partida individual TRADEWORKS SERVICOS DE COMERCIO</t>
        </is>
      </c>
      <c r="L4391" s="5" t="inlineStr">
        <is>
          <t>08072026</t>
        </is>
      </c>
      <c r="M4391" s="5">
        <f>IF(YEAR(I4391)&lt;=2020,"Até 2020",TEXT(YEAR(I4391),"0"))</f>
        <v/>
      </c>
      <c r="N4391" s="5">
        <f>IFERROR(INDEX(DePara!$A:$A,MATCH(TEXT(B4391,"0"),DePara!$D:$D,0)),"(sem categoria)")</f>
        <v/>
      </c>
      <c r="O4391" s="5">
        <f>IF(J4391="","",Parametros!$B$6-J4391)</f>
        <v/>
      </c>
      <c r="P4391" s="5">
        <f>IF(O4391="","",IF(O4391&gt;0,1,0))</f>
        <v/>
      </c>
    </row>
    <row r="4392">
      <c r="A4392" s="5" t="n">
        <v>1191000000</v>
      </c>
      <c r="B4392" s="5" t="inlineStr">
        <is>
          <t>105984</t>
        </is>
      </c>
      <c r="C4392" s="5" t="inlineStr">
        <is>
          <t>TRADEWORKS SERVICOS DE COMERCIO EXT 04955748000107</t>
        </is>
      </c>
      <c r="D4392" s="5" t="inlineStr">
        <is>
          <t>AB</t>
        </is>
      </c>
      <c r="E4392" s="5" t="n">
        <v>1100021460</v>
      </c>
      <c r="F4392" s="5" t="inlineStr">
        <is>
          <t>TWIAS03608/26</t>
        </is>
      </c>
      <c r="G4392" s="5" t="inlineStr">
        <is>
          <t>BRL</t>
        </is>
      </c>
      <c r="H4392" s="9" t="n">
        <v>9103.25</v>
      </c>
      <c r="I4392" s="16" t="n">
        <v>46254</v>
      </c>
      <c r="J4392" s="16" t="n">
        <v>46246</v>
      </c>
      <c r="K4392" s="5" t="inlineStr">
        <is>
          <t>Partida individual TRADEWORKS SERVICOS DE COMERCIO</t>
        </is>
      </c>
      <c r="L4392" s="5" t="inlineStr">
        <is>
          <t>12082026</t>
        </is>
      </c>
      <c r="M4392" s="5">
        <f>IF(YEAR(I4392)&lt;=2020,"Até 2020",TEXT(YEAR(I4392),"0"))</f>
        <v/>
      </c>
      <c r="N4392" s="5">
        <f>IFERROR(INDEX(DePara!$A:$A,MATCH(TEXT(B4392,"0"),DePara!$D:$D,0)),"(sem categoria)")</f>
        <v/>
      </c>
      <c r="O4392" s="5">
        <f>IF(J4392="","",Parametros!$B$6-J4392)</f>
        <v/>
      </c>
      <c r="P4392" s="5">
        <f>IF(O4392="","",IF(O4392&gt;0,1,0))</f>
        <v/>
      </c>
    </row>
    <row r="4393">
      <c r="A4393" s="5" t="n">
        <v>1191000000</v>
      </c>
      <c r="B4393" s="5" t="inlineStr">
        <is>
          <t>105984</t>
        </is>
      </c>
      <c r="C4393" s="5" t="inlineStr">
        <is>
          <t>TRADEWORKS SERVICOS DE COMERCIO EXT 04955748000107</t>
        </is>
      </c>
      <c r="D4393" s="5" t="inlineStr">
        <is>
          <t>AB</t>
        </is>
      </c>
      <c r="E4393" s="5" t="n">
        <v>1100021461</v>
      </c>
      <c r="F4393" s="5" t="inlineStr">
        <is>
          <t>TWIAS03605/26</t>
        </is>
      </c>
      <c r="G4393" s="5" t="inlineStr">
        <is>
          <t>BRL</t>
        </is>
      </c>
      <c r="H4393" s="9" t="n">
        <v>12120.19</v>
      </c>
      <c r="I4393" s="16" t="n">
        <v>46254</v>
      </c>
      <c r="J4393" s="16" t="n">
        <v>46246</v>
      </c>
      <c r="K4393" s="5" t="inlineStr">
        <is>
          <t>Partida individual TRADEWORKS SERVICOS DE COMERCIO</t>
        </is>
      </c>
      <c r="L4393" s="5" t="inlineStr">
        <is>
          <t>12082026</t>
        </is>
      </c>
      <c r="M4393" s="5">
        <f>IF(YEAR(I4393)&lt;=2020,"Até 2020",TEXT(YEAR(I4393),"0"))</f>
        <v/>
      </c>
      <c r="N4393" s="5">
        <f>IFERROR(INDEX(DePara!$A:$A,MATCH(TEXT(B4393,"0"),DePara!$D:$D,0)),"(sem categoria)")</f>
        <v/>
      </c>
      <c r="O4393" s="5">
        <f>IF(J4393="","",Parametros!$B$6-J4393)</f>
        <v/>
      </c>
      <c r="P4393" s="5">
        <f>IF(O4393="","",IF(O4393&gt;0,1,0))</f>
        <v/>
      </c>
    </row>
    <row r="4394">
      <c r="A4394" s="5" t="n">
        <v>1191000000</v>
      </c>
      <c r="B4394" s="5" t="inlineStr">
        <is>
          <t>105984</t>
        </is>
      </c>
      <c r="C4394" s="5" t="inlineStr">
        <is>
          <t>TRADEWORKS SERVICOS DE COMERCIO EXT 04955748000107</t>
        </is>
      </c>
      <c r="D4394" s="5" t="inlineStr">
        <is>
          <t>AB</t>
        </is>
      </c>
      <c r="E4394" s="5" t="n">
        <v>1100021462</v>
      </c>
      <c r="F4394" s="5" t="inlineStr">
        <is>
          <t>TWIAS03607/26</t>
        </is>
      </c>
      <c r="G4394" s="5" t="inlineStr">
        <is>
          <t>BRL</t>
        </is>
      </c>
      <c r="H4394" s="9" t="n">
        <v>9726.200000000001</v>
      </c>
      <c r="I4394" s="16" t="n">
        <v>46254</v>
      </c>
      <c r="J4394" s="16" t="n">
        <v>46246</v>
      </c>
      <c r="K4394" s="5" t="inlineStr">
        <is>
          <t>Partida individual TRADEWORKS SERVICOS DE COMERCIO</t>
        </is>
      </c>
      <c r="L4394" s="5" t="inlineStr">
        <is>
          <t>12082026</t>
        </is>
      </c>
      <c r="M4394" s="5">
        <f>IF(YEAR(I4394)&lt;=2020,"Até 2020",TEXT(YEAR(I4394),"0"))</f>
        <v/>
      </c>
      <c r="N4394" s="5">
        <f>IFERROR(INDEX(DePara!$A:$A,MATCH(TEXT(B4394,"0"),DePara!$D:$D,0)),"(sem categoria)")</f>
        <v/>
      </c>
      <c r="O4394" s="5">
        <f>IF(J4394="","",Parametros!$B$6-J4394)</f>
        <v/>
      </c>
      <c r="P4394" s="5">
        <f>IF(O4394="","",IF(O4394&gt;0,1,0))</f>
        <v/>
      </c>
    </row>
    <row r="4395">
      <c r="A4395" s="5" t="n">
        <v>1191000000</v>
      </c>
      <c r="B4395" s="5" t="inlineStr">
        <is>
          <t>105984</t>
        </is>
      </c>
      <c r="C4395" s="5" t="inlineStr">
        <is>
          <t>TRADEWORKS SERVICOS DE COMERCIO EXT 04955748000107</t>
        </is>
      </c>
      <c r="D4395" s="5" t="inlineStr">
        <is>
          <t>AB</t>
        </is>
      </c>
      <c r="E4395" s="5" t="n">
        <v>1100021537</v>
      </c>
      <c r="F4395" s="5" t="inlineStr">
        <is>
          <t>TWIAS03611/26</t>
        </is>
      </c>
      <c r="G4395" s="5" t="inlineStr">
        <is>
          <t>BRL</t>
        </is>
      </c>
      <c r="H4395" s="9" t="n">
        <v>8532.25</v>
      </c>
      <c r="I4395" s="16" t="n">
        <v>46254</v>
      </c>
      <c r="J4395" s="16" t="n">
        <v>46246</v>
      </c>
      <c r="K4395" s="5" t="inlineStr">
        <is>
          <t>Partida individual TRADEWORKS SERVICOS DE COMERCIO</t>
        </is>
      </c>
      <c r="L4395" s="5" t="inlineStr">
        <is>
          <t>12082026</t>
        </is>
      </c>
      <c r="M4395" s="5">
        <f>IF(YEAR(I4395)&lt;=2020,"Até 2020",TEXT(YEAR(I4395),"0"))</f>
        <v/>
      </c>
      <c r="N4395" s="5">
        <f>IFERROR(INDEX(DePara!$A:$A,MATCH(TEXT(B4395,"0"),DePara!$D:$D,0)),"(sem categoria)")</f>
        <v/>
      </c>
      <c r="O4395" s="5">
        <f>IF(J4395="","",Parametros!$B$6-J4395)</f>
        <v/>
      </c>
      <c r="P4395" s="5">
        <f>IF(O4395="","",IF(O4395&gt;0,1,0))</f>
        <v/>
      </c>
    </row>
    <row r="4396">
      <c r="A4396" s="5" t="n">
        <v>1191000000</v>
      </c>
      <c r="B4396" s="5" t="inlineStr">
        <is>
          <t>105984</t>
        </is>
      </c>
      <c r="C4396" s="5" t="inlineStr">
        <is>
          <t>TRADEWORKS SERVICOS DE COMERCIO EXT 04955748000107</t>
        </is>
      </c>
      <c r="D4396" s="5" t="inlineStr">
        <is>
          <t>AB</t>
        </is>
      </c>
      <c r="E4396" s="5" t="n">
        <v>1100021538</v>
      </c>
      <c r="F4396" s="5" t="inlineStr">
        <is>
          <t>TWIAS03610/26</t>
        </is>
      </c>
      <c r="G4396" s="5" t="inlineStr">
        <is>
          <t>BRL</t>
        </is>
      </c>
      <c r="H4396" s="9" t="n">
        <v>7962.79</v>
      </c>
      <c r="I4396" s="16" t="n">
        <v>46254</v>
      </c>
      <c r="J4396" s="16" t="n">
        <v>46246</v>
      </c>
      <c r="K4396" s="5" t="inlineStr">
        <is>
          <t>Partida individual TRADEWORKS SERVICOS DE COMERCIO</t>
        </is>
      </c>
      <c r="L4396" s="5" t="inlineStr">
        <is>
          <t>12082026</t>
        </is>
      </c>
      <c r="M4396" s="5">
        <f>IF(YEAR(I4396)&lt;=2020,"Até 2020",TEXT(YEAR(I4396),"0"))</f>
        <v/>
      </c>
      <c r="N4396" s="5">
        <f>IFERROR(INDEX(DePara!$A:$A,MATCH(TEXT(B4396,"0"),DePara!$D:$D,0)),"(sem categoria)")</f>
        <v/>
      </c>
      <c r="O4396" s="5">
        <f>IF(J4396="","",Parametros!$B$6-J4396)</f>
        <v/>
      </c>
      <c r="P4396" s="5">
        <f>IF(O4396="","",IF(O4396&gt;0,1,0))</f>
        <v/>
      </c>
    </row>
    <row r="4397">
      <c r="A4397" s="5" t="n">
        <v>1191000000</v>
      </c>
      <c r="B4397" s="5" t="inlineStr">
        <is>
          <t>105984</t>
        </is>
      </c>
      <c r="C4397" s="5" t="inlineStr">
        <is>
          <t>TRADEWORKS SERVICOS DE COMERCIO EXT 04955748000107</t>
        </is>
      </c>
      <c r="D4397" s="5" t="inlineStr">
        <is>
          <t>AB</t>
        </is>
      </c>
      <c r="E4397" s="5" t="n">
        <v>1100021539</v>
      </c>
      <c r="F4397" s="5" t="inlineStr">
        <is>
          <t>TWIAS03604/26</t>
        </is>
      </c>
      <c r="G4397" s="5" t="inlineStr">
        <is>
          <t>BRL</t>
        </is>
      </c>
      <c r="H4397" s="9" t="n">
        <v>2001.46</v>
      </c>
      <c r="I4397" s="16" t="n">
        <v>46254</v>
      </c>
      <c r="J4397" s="16" t="n">
        <v>46246</v>
      </c>
      <c r="K4397" s="5" t="inlineStr">
        <is>
          <t>Partida individual TRADEWORKS SERVICOS DE COMERCIO</t>
        </is>
      </c>
      <c r="L4397" s="5" t="inlineStr">
        <is>
          <t>12082026</t>
        </is>
      </c>
      <c r="M4397" s="5">
        <f>IF(YEAR(I4397)&lt;=2020,"Até 2020",TEXT(YEAR(I4397),"0"))</f>
        <v/>
      </c>
      <c r="N4397" s="5">
        <f>IFERROR(INDEX(DePara!$A:$A,MATCH(TEXT(B4397,"0"),DePara!$D:$D,0)),"(sem categoria)")</f>
        <v/>
      </c>
      <c r="O4397" s="5">
        <f>IF(J4397="","",Parametros!$B$6-J4397)</f>
        <v/>
      </c>
      <c r="P4397" s="5">
        <f>IF(O4397="","",IF(O4397&gt;0,1,0))</f>
        <v/>
      </c>
    </row>
    <row r="4398">
      <c r="A4398" s="5" t="n">
        <v>1191000000</v>
      </c>
      <c r="B4398" s="5" t="inlineStr">
        <is>
          <t>105984</t>
        </is>
      </c>
      <c r="C4398" s="5" t="inlineStr">
        <is>
          <t>TRADEWORKS SERVICOS DE COMERCIO EXT 04955748000107</t>
        </is>
      </c>
      <c r="D4398" s="5" t="inlineStr">
        <is>
          <t>AB</t>
        </is>
      </c>
      <c r="E4398" s="5" t="n">
        <v>1100021540</v>
      </c>
      <c r="F4398" s="5" t="inlineStr">
        <is>
          <t>TWIAS03612/26</t>
        </is>
      </c>
      <c r="G4398" s="5" t="inlineStr">
        <is>
          <t>BRL</t>
        </is>
      </c>
      <c r="H4398" s="9" t="n">
        <v>32587.76</v>
      </c>
      <c r="I4398" s="16" t="n">
        <v>46254</v>
      </c>
      <c r="J4398" s="16" t="n">
        <v>46246</v>
      </c>
      <c r="K4398" s="5" t="inlineStr">
        <is>
          <t>Partida individual TRADEWORKS SERVICOS DE COMERCIO</t>
        </is>
      </c>
      <c r="L4398" s="5" t="inlineStr">
        <is>
          <t>12082026</t>
        </is>
      </c>
      <c r="M4398" s="5">
        <f>IF(YEAR(I4398)&lt;=2020,"Até 2020",TEXT(YEAR(I4398),"0"))</f>
        <v/>
      </c>
      <c r="N4398" s="5">
        <f>IFERROR(INDEX(DePara!$A:$A,MATCH(TEXT(B4398,"0"),DePara!$D:$D,0)),"(sem categoria)")</f>
        <v/>
      </c>
      <c r="O4398" s="5">
        <f>IF(J4398="","",Parametros!$B$6-J4398)</f>
        <v/>
      </c>
      <c r="P4398" s="5">
        <f>IF(O4398="","",IF(O4398&gt;0,1,0))</f>
        <v/>
      </c>
    </row>
    <row r="4399">
      <c r="A4399" s="5" t="n">
        <v>1191000000</v>
      </c>
      <c r="B4399" s="5" t="inlineStr">
        <is>
          <t>105984</t>
        </is>
      </c>
      <c r="C4399" s="5" t="inlineStr">
        <is>
          <t>TRADEWORKS SERVICOS DE COMERCIO EXT 04955748000107</t>
        </is>
      </c>
      <c r="D4399" s="5" t="inlineStr">
        <is>
          <t>AB</t>
        </is>
      </c>
      <c r="E4399" s="5" t="n">
        <v>1100022413</v>
      </c>
      <c r="F4399" s="5" t="inlineStr">
        <is>
          <t>0419/26</t>
        </is>
      </c>
      <c r="G4399" s="5" t="inlineStr">
        <is>
          <t>BRL</t>
        </is>
      </c>
      <c r="H4399" s="9" t="n">
        <v>145558.22</v>
      </c>
      <c r="I4399" s="16" t="n">
        <v>46247</v>
      </c>
      <c r="J4399" s="16" t="n">
        <v>46204</v>
      </c>
      <c r="K4399" s="5" t="inlineStr">
        <is>
          <t>Partida individual TRADEWORKS SERVICOS DE COMERCIO</t>
        </is>
      </c>
      <c r="L4399" s="5" t="inlineStr">
        <is>
          <t>01072026</t>
        </is>
      </c>
      <c r="M4399" s="5">
        <f>IF(YEAR(I4399)&lt;=2020,"Até 2020",TEXT(YEAR(I4399),"0"))</f>
        <v/>
      </c>
      <c r="N4399" s="5">
        <f>IFERROR(INDEX(DePara!$A:$A,MATCH(TEXT(B4399,"0"),DePara!$D:$D,0)),"(sem categoria)")</f>
        <v/>
      </c>
      <c r="O4399" s="5">
        <f>IF(J4399="","",Parametros!$B$6-J4399)</f>
        <v/>
      </c>
      <c r="P4399" s="5">
        <f>IF(O4399="","",IF(O4399&gt;0,1,0))</f>
        <v/>
      </c>
    </row>
    <row r="4400">
      <c r="A4400" s="5" t="n">
        <v>1191000000</v>
      </c>
      <c r="B4400" s="5" t="inlineStr">
        <is>
          <t>105984</t>
        </is>
      </c>
      <c r="C4400" s="5" t="inlineStr">
        <is>
          <t>TRADEWORKS SERVICOS DE COMERCIO EXT 04955748000107</t>
        </is>
      </c>
      <c r="D4400" s="5" t="inlineStr">
        <is>
          <t>AB</t>
        </is>
      </c>
      <c r="E4400" s="5" t="n">
        <v>1100022414</v>
      </c>
      <c r="F4400" s="5" t="inlineStr">
        <is>
          <t>0479/26</t>
        </is>
      </c>
      <c r="G4400" s="5" t="inlineStr">
        <is>
          <t>BRL</t>
        </is>
      </c>
      <c r="H4400" s="9" t="n">
        <v>3625.4</v>
      </c>
      <c r="I4400" s="16" t="n">
        <v>46247</v>
      </c>
      <c r="J4400" s="16" t="n">
        <v>46232</v>
      </c>
      <c r="K4400" s="5" t="inlineStr">
        <is>
          <t>Partida individual TRADEWORKS SERVICOS DE COMERCIO</t>
        </is>
      </c>
      <c r="L4400" s="5" t="inlineStr">
        <is>
          <t>29072026</t>
        </is>
      </c>
      <c r="M4400" s="5">
        <f>IF(YEAR(I4400)&lt;=2020,"Até 2020",TEXT(YEAR(I4400),"0"))</f>
        <v/>
      </c>
      <c r="N4400" s="5">
        <f>IFERROR(INDEX(DePara!$A:$A,MATCH(TEXT(B4400,"0"),DePara!$D:$D,0)),"(sem categoria)")</f>
        <v/>
      </c>
      <c r="O4400" s="5">
        <f>IF(J4400="","",Parametros!$B$6-J4400)</f>
        <v/>
      </c>
      <c r="P4400" s="5">
        <f>IF(O4400="","",IF(O4400&gt;0,1,0))</f>
        <v/>
      </c>
    </row>
    <row r="4401">
      <c r="A4401" s="5" t="n">
        <v>1191000000</v>
      </c>
      <c r="B4401" s="5" t="inlineStr">
        <is>
          <t>105984</t>
        </is>
      </c>
      <c r="C4401" s="5" t="inlineStr">
        <is>
          <t>TRADEWORKS SERVICOS DE COMERCIO EXT 04955748000107</t>
        </is>
      </c>
      <c r="D4401" s="5" t="inlineStr">
        <is>
          <t>AB</t>
        </is>
      </c>
      <c r="E4401" s="5" t="n">
        <v>1100022418</v>
      </c>
      <c r="F4401" s="5" t="inlineStr">
        <is>
          <t>0480/26</t>
        </is>
      </c>
      <c r="G4401" s="5" t="inlineStr">
        <is>
          <t>BRL</t>
        </is>
      </c>
      <c r="H4401" s="9" t="n">
        <v>1779.97</v>
      </c>
      <c r="I4401" s="16" t="n">
        <v>46247</v>
      </c>
      <c r="J4401" s="16" t="n">
        <v>46232</v>
      </c>
      <c r="K4401" s="5" t="inlineStr">
        <is>
          <t>Partida individual TRADEWORKS SERVICOS DE COMERCIO</t>
        </is>
      </c>
      <c r="L4401" s="5" t="inlineStr">
        <is>
          <t>29072026</t>
        </is>
      </c>
      <c r="M4401" s="5">
        <f>IF(YEAR(I4401)&lt;=2020,"Até 2020",TEXT(YEAR(I4401),"0"))</f>
        <v/>
      </c>
      <c r="N4401" s="5">
        <f>IFERROR(INDEX(DePara!$A:$A,MATCH(TEXT(B4401,"0"),DePara!$D:$D,0)),"(sem categoria)")</f>
        <v/>
      </c>
      <c r="O4401" s="5">
        <f>IF(J4401="","",Parametros!$B$6-J4401)</f>
        <v/>
      </c>
      <c r="P4401" s="5">
        <f>IF(O4401="","",IF(O4401&gt;0,1,0))</f>
        <v/>
      </c>
    </row>
    <row r="4402">
      <c r="A4402" s="5" t="n">
        <v>1191000000</v>
      </c>
      <c r="B4402" s="5" t="inlineStr">
        <is>
          <t>105984</t>
        </is>
      </c>
      <c r="C4402" s="5" t="inlineStr">
        <is>
          <t>TRADEWORKS SERVICOS DE COMERCIO EXT 04955748000107</t>
        </is>
      </c>
      <c r="D4402" s="5" t="inlineStr">
        <is>
          <t>AB</t>
        </is>
      </c>
      <c r="E4402" s="5" t="n">
        <v>1100022425</v>
      </c>
      <c r="F4402" s="5" t="inlineStr">
        <is>
          <t>TWIAS03361/26</t>
        </is>
      </c>
      <c r="G4402" s="5" t="inlineStr">
        <is>
          <t>BRL</t>
        </is>
      </c>
      <c r="H4402" s="9" t="n">
        <v>3162.22</v>
      </c>
      <c r="I4402" s="16" t="n">
        <v>46247</v>
      </c>
      <c r="J4402" s="16" t="n">
        <v>46232</v>
      </c>
      <c r="K4402" s="5" t="inlineStr">
        <is>
          <t>Partida individual TRADEWORKS SERVICOS DE COMERCIO</t>
        </is>
      </c>
      <c r="L4402" s="5" t="inlineStr">
        <is>
          <t>29072026</t>
        </is>
      </c>
      <c r="M4402" s="5">
        <f>IF(YEAR(I4402)&lt;=2020,"Até 2020",TEXT(YEAR(I4402),"0"))</f>
        <v/>
      </c>
      <c r="N4402" s="5">
        <f>IFERROR(INDEX(DePara!$A:$A,MATCH(TEXT(B4402,"0"),DePara!$D:$D,0)),"(sem categoria)")</f>
        <v/>
      </c>
      <c r="O4402" s="5">
        <f>IF(J4402="","",Parametros!$B$6-J4402)</f>
        <v/>
      </c>
      <c r="P4402" s="5">
        <f>IF(O4402="","",IF(O4402&gt;0,1,0))</f>
        <v/>
      </c>
    </row>
    <row r="4403">
      <c r="A4403" s="5" t="n">
        <v>1191000000</v>
      </c>
      <c r="B4403" s="5" t="inlineStr">
        <is>
          <t>105984</t>
        </is>
      </c>
      <c r="C4403" s="5" t="inlineStr">
        <is>
          <t>TRADEWORKS SERVICOS DE COMERCIO EXT 04955748000107</t>
        </is>
      </c>
      <c r="D4403" s="5" t="inlineStr">
        <is>
          <t>AB</t>
        </is>
      </c>
      <c r="E4403" s="5" t="n">
        <v>1100022427</v>
      </c>
      <c r="F4403" s="5" t="inlineStr">
        <is>
          <t>0413/26</t>
        </is>
      </c>
      <c r="G4403" s="5" t="inlineStr">
        <is>
          <t>BRL</t>
        </is>
      </c>
      <c r="H4403" s="9" t="n">
        <v>-196.55</v>
      </c>
      <c r="I4403" s="16" t="n">
        <v>46265</v>
      </c>
      <c r="J4403" s="16" t="n">
        <v>46265</v>
      </c>
      <c r="K4403" s="5" t="inlineStr">
        <is>
          <t>Partida individual TRADEWORKS SERVICOS DE COMERCIO</t>
        </is>
      </c>
      <c r="L4403" s="5" t="n"/>
      <c r="M4403" s="5">
        <f>IF(YEAR(I4403)&lt;=2020,"Até 2020",TEXT(YEAR(I4403),"0"))</f>
        <v/>
      </c>
      <c r="N4403" s="5">
        <f>IFERROR(INDEX(DePara!$A:$A,MATCH(TEXT(B4403,"0"),DePara!$D:$D,0)),"(sem categoria)")</f>
        <v/>
      </c>
      <c r="O4403" s="5">
        <f>IF(J4403="","",Parametros!$B$6-J4403)</f>
        <v/>
      </c>
      <c r="P4403" s="5">
        <f>IF(O4403="","",IF(O4403&gt;0,1,0))</f>
        <v/>
      </c>
    </row>
    <row r="4404">
      <c r="A4404" s="5" t="n">
        <v>1191000000</v>
      </c>
      <c r="B4404" s="5" t="inlineStr">
        <is>
          <t>105984</t>
        </is>
      </c>
      <c r="C4404" s="5" t="inlineStr">
        <is>
          <t>TRADEWORKS SERVICOS DE COMERCIO EXT 04955748000107</t>
        </is>
      </c>
      <c r="D4404" s="5" t="inlineStr">
        <is>
          <t>AB</t>
        </is>
      </c>
      <c r="E4404" s="5" t="n">
        <v>1100022428</v>
      </c>
      <c r="F4404" s="5" t="inlineStr">
        <is>
          <t>0419/26</t>
        </is>
      </c>
      <c r="G4404" s="5" t="inlineStr">
        <is>
          <t>BRL</t>
        </is>
      </c>
      <c r="H4404" s="9" t="n">
        <v>-145558.22</v>
      </c>
      <c r="I4404" s="16" t="n">
        <v>46265</v>
      </c>
      <c r="J4404" s="16" t="n">
        <v>46265</v>
      </c>
      <c r="K4404" s="5" t="inlineStr">
        <is>
          <t>Partida individual TRADEWORKS SERVICOS DE COMERCIO</t>
        </is>
      </c>
      <c r="L4404" s="5" t="n"/>
      <c r="M4404" s="5">
        <f>IF(YEAR(I4404)&lt;=2020,"Até 2020",TEXT(YEAR(I4404),"0"))</f>
        <v/>
      </c>
      <c r="N4404" s="5">
        <f>IFERROR(INDEX(DePara!$A:$A,MATCH(TEXT(B4404,"0"),DePara!$D:$D,0)),"(sem categoria)")</f>
        <v/>
      </c>
      <c r="O4404" s="5">
        <f>IF(J4404="","",Parametros!$B$6-J4404)</f>
        <v/>
      </c>
      <c r="P4404" s="5">
        <f>IF(O4404="","",IF(O4404&gt;0,1,0))</f>
        <v/>
      </c>
    </row>
    <row r="4405">
      <c r="A4405" s="5" t="n">
        <v>1191000000</v>
      </c>
      <c r="B4405" s="5" t="inlineStr">
        <is>
          <t>105984</t>
        </is>
      </c>
      <c r="C4405" s="5" t="inlineStr">
        <is>
          <t>TRADEWORKS SERVICOS DE COMERCIO EXT 04955748000107</t>
        </is>
      </c>
      <c r="D4405" s="5" t="inlineStr">
        <is>
          <t>AB</t>
        </is>
      </c>
      <c r="E4405" s="5" t="n">
        <v>1100022428</v>
      </c>
      <c r="F4405" s="5" t="inlineStr">
        <is>
          <t>0419/26</t>
        </is>
      </c>
      <c r="G4405" s="5" t="inlineStr">
        <is>
          <t>BRL</t>
        </is>
      </c>
      <c r="H4405" s="9" t="n">
        <v>-196.55</v>
      </c>
      <c r="I4405" s="16" t="n">
        <v>46265</v>
      </c>
      <c r="J4405" s="16" t="n">
        <v>46265</v>
      </c>
      <c r="K4405" s="5" t="inlineStr">
        <is>
          <t>Partida individual TRADEWORKS SERVICOS DE COMERCIO</t>
        </is>
      </c>
      <c r="L4405" s="5" t="n"/>
      <c r="M4405" s="5">
        <f>IF(YEAR(I4405)&lt;=2020,"Até 2020",TEXT(YEAR(I4405),"0"))</f>
        <v/>
      </c>
      <c r="N4405" s="5">
        <f>IFERROR(INDEX(DePara!$A:$A,MATCH(TEXT(B4405,"0"),DePara!$D:$D,0)),"(sem categoria)")</f>
        <v/>
      </c>
      <c r="O4405" s="5">
        <f>IF(J4405="","",Parametros!$B$6-J4405)</f>
        <v/>
      </c>
      <c r="P4405" s="5">
        <f>IF(O4405="","",IF(O4405&gt;0,1,0))</f>
        <v/>
      </c>
    </row>
    <row r="4406">
      <c r="A4406" s="5" t="n">
        <v>1191000000</v>
      </c>
      <c r="B4406" s="5" t="inlineStr">
        <is>
          <t>101963</t>
        </is>
      </c>
      <c r="C4406" s="5" t="inlineStr">
        <is>
          <t>4U CONSTRUCOES LTDA EPP</t>
        </is>
      </c>
      <c r="D4406" s="5" t="inlineStr">
        <is>
          <t>AB</t>
        </is>
      </c>
      <c r="E4406" s="5" t="n">
        <v>1100023352</v>
      </c>
      <c r="F4406" s="5" t="inlineStr">
        <is>
          <t>ADTO PROFORMA</t>
        </is>
      </c>
      <c r="G4406" s="5" t="inlineStr">
        <is>
          <t>BRL</t>
        </is>
      </c>
      <c r="H4406" s="9" t="n">
        <v>1951027.85</v>
      </c>
      <c r="I4406" s="16" t="n">
        <v>45759</v>
      </c>
      <c r="J4406" s="16" t="n">
        <v>45759</v>
      </c>
      <c r="K4406" s="5" t="inlineStr">
        <is>
          <t>Partida individual 4U CONSTRUCOES LTDA EPP ADTO PR</t>
        </is>
      </c>
      <c r="L4406" s="5" t="n"/>
      <c r="M4406" s="5">
        <f>IF(YEAR(I4406)&lt;=2020,"Até 2020",TEXT(YEAR(I4406),"0"))</f>
        <v/>
      </c>
      <c r="N4406" s="5">
        <f>IFERROR(INDEX(DePara!$A:$A,MATCH(TEXT(B4406,"0"),DePara!$D:$D,0)),"(sem categoria)")</f>
        <v/>
      </c>
      <c r="O4406" s="5">
        <f>IF(J4406="","",Parametros!$B$6-J4406)</f>
        <v/>
      </c>
      <c r="P4406" s="5">
        <f>IF(O4406="","",IF(O4406&gt;0,1,0))</f>
        <v/>
      </c>
    </row>
    <row r="4407">
      <c r="A4407" s="5" t="n">
        <v>1191000000</v>
      </c>
      <c r="B4407" s="5" t="inlineStr">
        <is>
          <t>101963</t>
        </is>
      </c>
      <c r="C4407" s="5" t="inlineStr">
        <is>
          <t>4U CONSTRUCOES LTDA EPP</t>
        </is>
      </c>
      <c r="D4407" s="5" t="inlineStr">
        <is>
          <t>AB</t>
        </is>
      </c>
      <c r="E4407" s="5" t="n">
        <v>1100023353</v>
      </c>
      <c r="F4407" s="5" t="inlineStr">
        <is>
          <t>ORDEM DE RESERV</t>
        </is>
      </c>
      <c r="G4407" s="5" t="inlineStr">
        <is>
          <t>BRL</t>
        </is>
      </c>
      <c r="H4407" s="9" t="n">
        <v>3521750</v>
      </c>
      <c r="I4407" s="16" t="n">
        <v>45759</v>
      </c>
      <c r="J4407" s="16" t="n">
        <v>45759</v>
      </c>
      <c r="K4407" s="5" t="inlineStr">
        <is>
          <t>Partida individual 4U CONSTRUCOES LTDA EPP ORDEM D</t>
        </is>
      </c>
      <c r="L4407" s="5" t="n"/>
      <c r="M4407" s="5">
        <f>IF(YEAR(I4407)&lt;=2020,"Até 2020",TEXT(YEAR(I4407),"0"))</f>
        <v/>
      </c>
      <c r="N4407" s="5">
        <f>IFERROR(INDEX(DePara!$A:$A,MATCH(TEXT(B4407,"0"),DePara!$D:$D,0)),"(sem categoria)")</f>
        <v/>
      </c>
      <c r="O4407" s="5">
        <f>IF(J4407="","",Parametros!$B$6-J4407)</f>
        <v/>
      </c>
      <c r="P4407" s="5">
        <f>IF(O4407="","",IF(O4407&gt;0,1,0))</f>
        <v/>
      </c>
    </row>
    <row r="4408">
      <c r="A4408" s="5" t="n">
        <v>1191000000</v>
      </c>
      <c r="B4408" s="5" t="inlineStr">
        <is>
          <t>103740</t>
        </is>
      </c>
      <c r="C4408" s="5" t="inlineStr">
        <is>
          <t>SEM PARAR INSTITUIÇÃO DE PAGAMENTO</t>
        </is>
      </c>
      <c r="D4408" s="5" t="inlineStr">
        <is>
          <t>AB</t>
        </is>
      </c>
      <c r="E4408" s="5" t="n">
        <v>1100023355</v>
      </c>
      <c r="F4408" s="5" t="inlineStr">
        <is>
          <t>SALDO ADTO 23.08</t>
        </is>
      </c>
      <c r="G4408" s="5" t="inlineStr">
        <is>
          <t>BRL</t>
        </is>
      </c>
      <c r="H4408" s="9" t="n">
        <v>34950.37</v>
      </c>
      <c r="I4408" s="16" t="n">
        <v>45761</v>
      </c>
      <c r="J4408" s="16" t="n">
        <v>45761</v>
      </c>
      <c r="K4408" s="5" t="inlineStr">
        <is>
          <t>Partida individual SEM PARAR INSTITUIÇÃO DE PAGAME</t>
        </is>
      </c>
      <c r="L4408" s="5" t="n"/>
      <c r="M4408" s="5">
        <f>IF(YEAR(I4408)&lt;=2020,"Até 2020",TEXT(YEAR(I4408),"0"))</f>
        <v/>
      </c>
      <c r="N4408" s="5">
        <f>IFERROR(INDEX(DePara!$A:$A,MATCH(TEXT(B4408,"0"),DePara!$D:$D,0)),"(sem categoria)")</f>
        <v/>
      </c>
      <c r="O4408" s="5">
        <f>IF(J4408="","",Parametros!$B$6-J4408)</f>
        <v/>
      </c>
      <c r="P4408" s="5">
        <f>IF(O4408="","",IF(O4408&gt;0,1,0))</f>
        <v/>
      </c>
    </row>
    <row r="4409">
      <c r="A4409" s="5" t="n">
        <v>1191000000</v>
      </c>
      <c r="B4409" s="5" t="inlineStr">
        <is>
          <t>101260</t>
        </is>
      </c>
      <c r="C4409" s="5" t="inlineStr">
        <is>
          <t>ECOLOGICA NORDESTE EIRELI ME</t>
        </is>
      </c>
      <c r="D4409" s="5" t="inlineStr">
        <is>
          <t>AB</t>
        </is>
      </c>
      <c r="E4409" s="5" t="n">
        <v>1100023357</v>
      </c>
      <c r="F4409" s="5" t="inlineStr">
        <is>
          <t>682</t>
        </is>
      </c>
      <c r="G4409" s="5" t="inlineStr">
        <is>
          <t>BRL</t>
        </is>
      </c>
      <c r="H4409" s="9" t="n">
        <v>175.1</v>
      </c>
      <c r="I4409" s="16" t="n">
        <v>45761</v>
      </c>
      <c r="J4409" s="16" t="n">
        <v>45761</v>
      </c>
      <c r="K4409" s="5" t="inlineStr">
        <is>
          <t>Partida individual ECOLOGICA NORDESTE EIRELI ME 68</t>
        </is>
      </c>
      <c r="L4409" s="5" t="n"/>
      <c r="M4409" s="5">
        <f>IF(YEAR(I4409)&lt;=2020,"Até 2020",TEXT(YEAR(I4409),"0"))</f>
        <v/>
      </c>
      <c r="N4409" s="5">
        <f>IFERROR(INDEX(DePara!$A:$A,MATCH(TEXT(B4409,"0"),DePara!$D:$D,0)),"(sem categoria)")</f>
        <v/>
      </c>
      <c r="O4409" s="5">
        <f>IF(J4409="","",Parametros!$B$6-J4409)</f>
        <v/>
      </c>
      <c r="P4409" s="5">
        <f>IF(O4409="","",IF(O4409&gt;0,1,0))</f>
        <v/>
      </c>
    </row>
    <row r="4410">
      <c r="A4410" s="5" t="n">
        <v>1191000000</v>
      </c>
      <c r="B4410" s="5" t="inlineStr">
        <is>
          <t>101260</t>
        </is>
      </c>
      <c r="C4410" s="5" t="inlineStr">
        <is>
          <t>ECOLOGICA NORDESTE EIRELI ME</t>
        </is>
      </c>
      <c r="D4410" s="5" t="inlineStr">
        <is>
          <t>AB</t>
        </is>
      </c>
      <c r="E4410" s="5" t="n">
        <v>1100023358</v>
      </c>
      <c r="F4410" s="5" t="inlineStr">
        <is>
          <t>795</t>
        </is>
      </c>
      <c r="G4410" s="5" t="inlineStr">
        <is>
          <t>BRL</t>
        </is>
      </c>
      <c r="H4410" s="9" t="n">
        <v>267.1</v>
      </c>
      <c r="I4410" s="16" t="n">
        <v>45761</v>
      </c>
      <c r="J4410" s="16" t="n">
        <v>45761</v>
      </c>
      <c r="K4410" s="5" t="inlineStr">
        <is>
          <t>Partida individual ECOLOGICA NORDESTE EIRELI ME 79</t>
        </is>
      </c>
      <c r="L4410" s="5" t="n"/>
      <c r="M4410" s="5">
        <f>IF(YEAR(I4410)&lt;=2020,"Até 2020",TEXT(YEAR(I4410),"0"))</f>
        <v/>
      </c>
      <c r="N4410" s="5">
        <f>IFERROR(INDEX(DePara!$A:$A,MATCH(TEXT(B4410,"0"),DePara!$D:$D,0)),"(sem categoria)")</f>
        <v/>
      </c>
      <c r="O4410" s="5">
        <f>IF(J4410="","",Parametros!$B$6-J4410)</f>
        <v/>
      </c>
      <c r="P4410" s="5">
        <f>IF(O4410="","",IF(O4410&gt;0,1,0))</f>
        <v/>
      </c>
    </row>
    <row r="4411">
      <c r="A4411" s="5" t="n">
        <v>1191000000</v>
      </c>
      <c r="B4411" s="5" t="inlineStr">
        <is>
          <t>101483</t>
        </is>
      </c>
      <c r="C4411" s="5" t="inlineStr">
        <is>
          <t>SANTIN EMPRESA DE TRANSP. ESPECIAIS 22902476000150</t>
        </is>
      </c>
      <c r="D4411" s="5" t="inlineStr">
        <is>
          <t>AB</t>
        </is>
      </c>
      <c r="E4411" s="5" t="n">
        <v>1100023359</v>
      </c>
      <c r="F4411" s="5" t="inlineStr">
        <is>
          <t>2º ADITIVO SANTI</t>
        </is>
      </c>
      <c r="G4411" s="5" t="inlineStr">
        <is>
          <t>BRL</t>
        </is>
      </c>
      <c r="H4411" s="9" t="n">
        <v>120060.01</v>
      </c>
      <c r="I4411" s="16" t="n">
        <v>45761</v>
      </c>
      <c r="J4411" s="16" t="n">
        <v>45761</v>
      </c>
      <c r="K4411" s="5" t="inlineStr">
        <is>
          <t>Partida individual SANTIN EMPRESA DE TRANSP. ESPEC</t>
        </is>
      </c>
      <c r="L4411" s="5" t="n"/>
      <c r="M4411" s="5">
        <f>IF(YEAR(I4411)&lt;=2020,"Até 2020",TEXT(YEAR(I4411),"0"))</f>
        <v/>
      </c>
      <c r="N4411" s="5">
        <f>IFERROR(INDEX(DePara!$A:$A,MATCH(TEXT(B4411,"0"),DePara!$D:$D,0)),"(sem categoria)")</f>
        <v/>
      </c>
      <c r="O4411" s="5">
        <f>IF(J4411="","",Parametros!$B$6-J4411)</f>
        <v/>
      </c>
      <c r="P4411" s="5">
        <f>IF(O4411="","",IF(O4411&gt;0,1,0))</f>
        <v/>
      </c>
    </row>
    <row r="4412">
      <c r="A4412" s="5" t="n">
        <v>1191000000</v>
      </c>
      <c r="B4412" s="5" t="inlineStr">
        <is>
          <t>101481</t>
        </is>
      </c>
      <c r="C4412" s="5" t="inlineStr">
        <is>
          <t>SANTIN EMPRESA DE TRANSP. ESPECIAIS 22902476000312</t>
        </is>
      </c>
      <c r="D4412" s="5" t="inlineStr">
        <is>
          <t>AB</t>
        </is>
      </c>
      <c r="E4412" s="5" t="n">
        <v>1100023360</v>
      </c>
      <c r="F4412" s="5" t="inlineStr">
        <is>
          <t>2602</t>
        </is>
      </c>
      <c r="G4412" s="5" t="inlineStr">
        <is>
          <t>BRL</t>
        </is>
      </c>
      <c r="H4412" s="9" t="n">
        <v>4560</v>
      </c>
      <c r="I4412" s="16" t="n">
        <v>45761</v>
      </c>
      <c r="J4412" s="16" t="n">
        <v>45761</v>
      </c>
      <c r="K4412" s="5" t="inlineStr">
        <is>
          <t>Partida individual SANTIN EMPRESA DE TRANSP. ESPEC</t>
        </is>
      </c>
      <c r="L4412" s="5" t="n"/>
      <c r="M4412" s="5">
        <f>IF(YEAR(I4412)&lt;=2020,"Até 2020",TEXT(YEAR(I4412),"0"))</f>
        <v/>
      </c>
      <c r="N4412" s="5">
        <f>IFERROR(INDEX(DePara!$A:$A,MATCH(TEXT(B4412,"0"),DePara!$D:$D,0)),"(sem categoria)")</f>
        <v/>
      </c>
      <c r="O4412" s="5">
        <f>IF(J4412="","",Parametros!$B$6-J4412)</f>
        <v/>
      </c>
      <c r="P4412" s="5">
        <f>IF(O4412="","",IF(O4412&gt;0,1,0))</f>
        <v/>
      </c>
    </row>
    <row r="4413">
      <c r="A4413" s="5" t="n">
        <v>1191000000</v>
      </c>
      <c r="B4413" s="5" t="inlineStr">
        <is>
          <t>101481</t>
        </is>
      </c>
      <c r="C4413" s="5" t="inlineStr">
        <is>
          <t>SANTIN EMPRESA DE TRANSP. ESPECIAIS 22902476000312</t>
        </is>
      </c>
      <c r="D4413" s="5" t="inlineStr">
        <is>
          <t>AB</t>
        </is>
      </c>
      <c r="E4413" s="5" t="n">
        <v>1100023361</v>
      </c>
      <c r="F4413" s="5" t="inlineStr">
        <is>
          <t>SANTIN 05.10.23</t>
        </is>
      </c>
      <c r="G4413" s="5" t="inlineStr">
        <is>
          <t>BRL</t>
        </is>
      </c>
      <c r="H4413" s="9" t="n">
        <v>27698.49</v>
      </c>
      <c r="I4413" s="16" t="n">
        <v>45761</v>
      </c>
      <c r="J4413" s="16" t="n">
        <v>45761</v>
      </c>
      <c r="K4413" s="5" t="inlineStr">
        <is>
          <t>Partida individual SANTIN EMPRESA DE TRANSP. ESPEC</t>
        </is>
      </c>
      <c r="L4413" s="5" t="n"/>
      <c r="M4413" s="5">
        <f>IF(YEAR(I4413)&lt;=2020,"Até 2020",TEXT(YEAR(I4413),"0"))</f>
        <v/>
      </c>
      <c r="N4413" s="5">
        <f>IFERROR(INDEX(DePara!$A:$A,MATCH(TEXT(B4413,"0"),DePara!$D:$D,0)),"(sem categoria)")</f>
        <v/>
      </c>
      <c r="O4413" s="5">
        <f>IF(J4413="","",Parametros!$B$6-J4413)</f>
        <v/>
      </c>
      <c r="P4413" s="5">
        <f>IF(O4413="","",IF(O4413&gt;0,1,0))</f>
        <v/>
      </c>
    </row>
    <row r="4414">
      <c r="A4414" s="5" t="n">
        <v>1191000000</v>
      </c>
      <c r="B4414" s="5" t="inlineStr">
        <is>
          <t>102440</t>
        </is>
      </c>
      <c r="C4414" s="5" t="inlineStr">
        <is>
          <t>PREVIDENCIA SOCIAL DO BRASIL</t>
        </is>
      </c>
      <c r="D4414" s="5" t="inlineStr">
        <is>
          <t>AB</t>
        </is>
      </c>
      <c r="E4414" s="5" t="n">
        <v>1100023427</v>
      </c>
      <c r="F4414" s="5" t="inlineStr">
        <is>
          <t>8655702.</t>
        </is>
      </c>
      <c r="G4414" s="5" t="inlineStr">
        <is>
          <t>BRL</t>
        </is>
      </c>
      <c r="H4414" s="9" t="n">
        <v>63.84</v>
      </c>
      <c r="I4414" s="16" t="n">
        <v>45761</v>
      </c>
      <c r="J4414" s="16" t="n">
        <v>45761</v>
      </c>
      <c r="K4414" s="5" t="inlineStr">
        <is>
          <t>Partida individual PREVIDENCIA SOCIAL DO BRASIL 86</t>
        </is>
      </c>
      <c r="L4414" s="5" t="n"/>
      <c r="M4414" s="5">
        <f>IF(YEAR(I4414)&lt;=2020,"Até 2020",TEXT(YEAR(I4414),"0"))</f>
        <v/>
      </c>
      <c r="N4414" s="5">
        <f>IFERROR(INDEX(DePara!$A:$A,MATCH(TEXT(B4414,"0"),DePara!$D:$D,0)),"(sem categoria)")</f>
        <v/>
      </c>
      <c r="O4414" s="5">
        <f>IF(J4414="","",Parametros!$B$6-J4414)</f>
        <v/>
      </c>
      <c r="P4414" s="5">
        <f>IF(O4414="","",IF(O4414&gt;0,1,0))</f>
        <v/>
      </c>
    </row>
    <row r="4415">
      <c r="A4415" s="5" t="n">
        <v>1191000000</v>
      </c>
      <c r="B4415" s="5" t="inlineStr">
        <is>
          <t>101963</t>
        </is>
      </c>
      <c r="C4415" s="5" t="inlineStr">
        <is>
          <t>4U CONSTRUCOES LTDA EPP</t>
        </is>
      </c>
      <c r="D4415" s="5" t="inlineStr">
        <is>
          <t>AB</t>
        </is>
      </c>
      <c r="E4415" s="5" t="n">
        <v>1100024480</v>
      </c>
      <c r="F4415" s="5" t="inlineStr">
        <is>
          <t>ADTO PROFORMA</t>
        </is>
      </c>
      <c r="G4415" s="5" t="inlineStr">
        <is>
          <t>BRL</t>
        </is>
      </c>
      <c r="H4415" s="9" t="n">
        <v>2451580.68</v>
      </c>
      <c r="I4415" s="16" t="n">
        <v>45764</v>
      </c>
      <c r="J4415" s="16" t="n">
        <v>45764</v>
      </c>
      <c r="K4415" s="5" t="inlineStr">
        <is>
          <t>Partida individual 4U CONSTRUCOES LTDA EPP ADTO PR</t>
        </is>
      </c>
      <c r="L4415" s="5" t="n"/>
      <c r="M4415" s="5">
        <f>IF(YEAR(I4415)&lt;=2020,"Até 2020",TEXT(YEAR(I4415),"0"))</f>
        <v/>
      </c>
      <c r="N4415" s="5">
        <f>IFERROR(INDEX(DePara!$A:$A,MATCH(TEXT(B4415,"0"),DePara!$D:$D,0)),"(sem categoria)")</f>
        <v/>
      </c>
      <c r="O4415" s="5">
        <f>IF(J4415="","",Parametros!$B$6-J4415)</f>
        <v/>
      </c>
      <c r="P4415" s="5">
        <f>IF(O4415="","",IF(O4415&gt;0,1,0))</f>
        <v/>
      </c>
    </row>
    <row r="4416">
      <c r="A4416" s="5" t="n">
        <v>1191000000</v>
      </c>
      <c r="B4416" s="5" t="inlineStr">
        <is>
          <t>101963</t>
        </is>
      </c>
      <c r="C4416" s="5" t="inlineStr">
        <is>
          <t>4U CONSTRUCOES LTDA EPP</t>
        </is>
      </c>
      <c r="D4416" s="5" t="inlineStr">
        <is>
          <t>AB</t>
        </is>
      </c>
      <c r="E4416" s="5" t="n">
        <v>1100024484</v>
      </c>
      <c r="F4416" s="5" t="inlineStr">
        <is>
          <t>ANTICIPO FEIJAO</t>
        </is>
      </c>
      <c r="G4416" s="5" t="inlineStr">
        <is>
          <t>BRL</t>
        </is>
      </c>
      <c r="H4416" s="9" t="n">
        <v>9667968.359999999</v>
      </c>
      <c r="I4416" s="16" t="n">
        <v>45764</v>
      </c>
      <c r="J4416" s="16" t="n">
        <v>45764</v>
      </c>
      <c r="K4416" s="5" t="inlineStr">
        <is>
          <t>Partida individual 4U CONSTRUCOES LTDA EPP ANTICIP</t>
        </is>
      </c>
      <c r="L4416" s="5" t="n"/>
      <c r="M4416" s="5">
        <f>IF(YEAR(I4416)&lt;=2020,"Até 2020",TEXT(YEAR(I4416),"0"))</f>
        <v/>
      </c>
      <c r="N4416" s="5">
        <f>IFERROR(INDEX(DePara!$A:$A,MATCH(TEXT(B4416,"0"),DePara!$D:$D,0)),"(sem categoria)")</f>
        <v/>
      </c>
      <c r="O4416" s="5">
        <f>IF(J4416="","",Parametros!$B$6-J4416)</f>
        <v/>
      </c>
      <c r="P4416" s="5">
        <f>IF(O4416="","",IF(O4416&gt;0,1,0))</f>
        <v/>
      </c>
    </row>
    <row r="4417">
      <c r="A4417" s="5" t="n">
        <v>1191000000</v>
      </c>
      <c r="B4417" s="5" t="inlineStr">
        <is>
          <t>101963</t>
        </is>
      </c>
      <c r="C4417" s="5" t="inlineStr">
        <is>
          <t>4U CONSTRUCOES LTDA EPP</t>
        </is>
      </c>
      <c r="D4417" s="5" t="inlineStr">
        <is>
          <t>AB</t>
        </is>
      </c>
      <c r="E4417" s="5" t="n">
        <v>1100024495</v>
      </c>
      <c r="F4417" s="5" t="inlineStr">
        <is>
          <t>1054080_20220902</t>
        </is>
      </c>
      <c r="G4417" s="5" t="inlineStr">
        <is>
          <t>BRL</t>
        </is>
      </c>
      <c r="H4417" s="9" t="n">
        <v>743841.28</v>
      </c>
      <c r="I4417" s="16" t="n">
        <v>45764</v>
      </c>
      <c r="J4417" s="16" t="n">
        <v>45764</v>
      </c>
      <c r="K4417" s="5" t="inlineStr">
        <is>
          <t>Partida individual 4U CONSTRUCOES LTDA EPP 1054080</t>
        </is>
      </c>
      <c r="L4417" s="5" t="n"/>
      <c r="M4417" s="5">
        <f>IF(YEAR(I4417)&lt;=2020,"Até 2020",TEXT(YEAR(I4417),"0"))</f>
        <v/>
      </c>
      <c r="N4417" s="5">
        <f>IFERROR(INDEX(DePara!$A:$A,MATCH(TEXT(B4417,"0"),DePara!$D:$D,0)),"(sem categoria)")</f>
        <v/>
      </c>
      <c r="O4417" s="5">
        <f>IF(J4417="","",Parametros!$B$6-J4417)</f>
        <v/>
      </c>
      <c r="P4417" s="5">
        <f>IF(O4417="","",IF(O4417&gt;0,1,0))</f>
        <v/>
      </c>
    </row>
    <row r="4418">
      <c r="A4418" s="5" t="n">
        <v>1191000000</v>
      </c>
      <c r="B4418" s="5" t="inlineStr">
        <is>
          <t>101963</t>
        </is>
      </c>
      <c r="C4418" s="5" t="inlineStr">
        <is>
          <t>4U CONSTRUCOES LTDA EPP</t>
        </is>
      </c>
      <c r="D4418" s="5" t="inlineStr">
        <is>
          <t>AB</t>
        </is>
      </c>
      <c r="E4418" s="5" t="n">
        <v>1100024498</v>
      </c>
      <c r="F4418" s="5" t="inlineStr">
        <is>
          <t>ADTO PROFORMA</t>
        </is>
      </c>
      <c r="G4418" s="5" t="inlineStr">
        <is>
          <t>BRL</t>
        </is>
      </c>
      <c r="H4418" s="9" t="n">
        <v>4276894.86</v>
      </c>
      <c r="I4418" s="16" t="n">
        <v>45764</v>
      </c>
      <c r="J4418" s="16" t="n">
        <v>45764</v>
      </c>
      <c r="K4418" s="5" t="inlineStr">
        <is>
          <t>Partida individual 4U CONSTRUCOES LTDA EPP ADTO PR</t>
        </is>
      </c>
      <c r="L4418" s="5" t="n"/>
      <c r="M4418" s="5">
        <f>IF(YEAR(I4418)&lt;=2020,"Até 2020",TEXT(YEAR(I4418),"0"))</f>
        <v/>
      </c>
      <c r="N4418" s="5">
        <f>IFERROR(INDEX(DePara!$A:$A,MATCH(TEXT(B4418,"0"),DePara!$D:$D,0)),"(sem categoria)")</f>
        <v/>
      </c>
      <c r="O4418" s="5">
        <f>IF(J4418="","",Parametros!$B$6-J4418)</f>
        <v/>
      </c>
      <c r="P4418" s="5">
        <f>IF(O4418="","",IF(O4418&gt;0,1,0))</f>
        <v/>
      </c>
    </row>
    <row r="4419">
      <c r="A4419" s="5" t="n">
        <v>1191000000</v>
      </c>
      <c r="B4419" s="5" t="inlineStr">
        <is>
          <t>101888</t>
        </is>
      </c>
      <c r="C4419" s="5" t="inlineStr">
        <is>
          <t>BANCO SANTANDER BRASIL SA</t>
        </is>
      </c>
      <c r="D4419" s="5" t="inlineStr">
        <is>
          <t>AB</t>
        </is>
      </c>
      <c r="E4419" s="5" t="n">
        <v>1100026396</v>
      </c>
      <c r="F4419" s="5" t="inlineStr">
        <is>
          <t>UBER 08.2023</t>
        </is>
      </c>
      <c r="G4419" s="5" t="inlineStr">
        <is>
          <t>BRL</t>
        </is>
      </c>
      <c r="H4419" s="9" t="n">
        <v>32063.37</v>
      </c>
      <c r="I4419" s="16" t="n">
        <v>45748</v>
      </c>
      <c r="J4419" s="16" t="n">
        <v>45748</v>
      </c>
      <c r="K4419" s="5" t="inlineStr">
        <is>
          <t>Partida individual BANCO SANTANDER BRASIL SA UBER</t>
        </is>
      </c>
      <c r="L4419" s="5" t="n"/>
      <c r="M4419" s="5">
        <f>IF(YEAR(I4419)&lt;=2020,"Até 2020",TEXT(YEAR(I4419),"0"))</f>
        <v/>
      </c>
      <c r="N4419" s="5">
        <f>IFERROR(INDEX(DePara!$A:$A,MATCH(TEXT(B4419,"0"),DePara!$D:$D,0)),"(sem categoria)")</f>
        <v/>
      </c>
      <c r="O4419" s="5">
        <f>IF(J4419="","",Parametros!$B$6-J4419)</f>
        <v/>
      </c>
      <c r="P4419" s="5">
        <f>IF(O4419="","",IF(O4419&gt;0,1,0))</f>
        <v/>
      </c>
    </row>
    <row r="4420">
      <c r="A4420" s="5" t="n">
        <v>1191000000</v>
      </c>
      <c r="B4420" s="5" t="inlineStr">
        <is>
          <t>101888</t>
        </is>
      </c>
      <c r="C4420" s="5" t="inlineStr">
        <is>
          <t>BANCO SANTANDER BRASIL SA</t>
        </is>
      </c>
      <c r="D4420" s="5" t="inlineStr">
        <is>
          <t>AB</t>
        </is>
      </c>
      <c r="E4420" s="5" t="n">
        <v>1100026453</v>
      </c>
      <c r="F4420" s="5" t="inlineStr">
        <is>
          <t>UBER 09.2023</t>
        </is>
      </c>
      <c r="G4420" s="5" t="inlineStr">
        <is>
          <t>BRL</t>
        </is>
      </c>
      <c r="H4420" s="9" t="n">
        <v>6533.92</v>
      </c>
      <c r="I4420" s="16" t="n">
        <v>45748</v>
      </c>
      <c r="J4420" s="16" t="n">
        <v>45748</v>
      </c>
      <c r="K4420" s="5" t="inlineStr">
        <is>
          <t>Partida individual BANCO SANTANDER BRASIL SA UBER</t>
        </is>
      </c>
      <c r="L4420" s="5" t="n"/>
      <c r="M4420" s="5">
        <f>IF(YEAR(I4420)&lt;=2020,"Até 2020",TEXT(YEAR(I4420),"0"))</f>
        <v/>
      </c>
      <c r="N4420" s="5">
        <f>IFERROR(INDEX(DePara!$A:$A,MATCH(TEXT(B4420,"0"),DePara!$D:$D,0)),"(sem categoria)")</f>
        <v/>
      </c>
      <c r="O4420" s="5">
        <f>IF(J4420="","",Parametros!$B$6-J4420)</f>
        <v/>
      </c>
      <c r="P4420" s="5">
        <f>IF(O4420="","",IF(O4420&gt;0,1,0))</f>
        <v/>
      </c>
    </row>
    <row r="4421">
      <c r="A4421" s="5" t="n">
        <v>1191000000</v>
      </c>
      <c r="B4421" s="5" t="inlineStr">
        <is>
          <t>101427</t>
        </is>
      </c>
      <c r="C4421" s="5" t="inlineStr">
        <is>
          <t>TRIBUNAL REGIONAL FEDERAL 3 REGIAO</t>
        </is>
      </c>
      <c r="D4421" s="5" t="inlineStr">
        <is>
          <t>AB</t>
        </is>
      </c>
      <c r="E4421" s="5" t="n">
        <v>1100026477</v>
      </c>
      <c r="F4421" s="5" t="inlineStr">
        <is>
          <t>864240</t>
        </is>
      </c>
      <c r="G4421" s="5" t="inlineStr">
        <is>
          <t>BRL</t>
        </is>
      </c>
      <c r="H4421" s="9" t="n">
        <v>3362.33</v>
      </c>
      <c r="I4421" s="16" t="n">
        <v>45748</v>
      </c>
      <c r="J4421" s="16" t="n">
        <v>45748</v>
      </c>
      <c r="K4421" s="5" t="inlineStr">
        <is>
          <t>Partida individual TRIBUNAL REGIONAL FEDERAL 3 REG</t>
        </is>
      </c>
      <c r="L4421" s="5" t="n"/>
      <c r="M4421" s="5">
        <f>IF(YEAR(I4421)&lt;=2020,"Até 2020",TEXT(YEAR(I4421),"0"))</f>
        <v/>
      </c>
      <c r="N4421" s="5">
        <f>IFERROR(INDEX(DePara!$A:$A,MATCH(TEXT(B4421,"0"),DePara!$D:$D,0)),"(sem categoria)")</f>
        <v/>
      </c>
      <c r="O4421" s="5">
        <f>IF(J4421="","",Parametros!$B$6-J4421)</f>
        <v/>
      </c>
      <c r="P4421" s="5">
        <f>IF(O4421="","",IF(O4421&gt;0,1,0))</f>
        <v/>
      </c>
    </row>
    <row r="4422">
      <c r="A4422" s="5" t="n">
        <v>1191000000</v>
      </c>
      <c r="B4422" s="5" t="inlineStr">
        <is>
          <t>100454</t>
        </is>
      </c>
      <c r="C4422" s="5" t="inlineStr">
        <is>
          <t>GEOMATICS GESTAO DE FROTAS LTDA</t>
        </is>
      </c>
      <c r="D4422" s="5" t="inlineStr">
        <is>
          <t>AB</t>
        </is>
      </c>
      <c r="E4422" s="5" t="n">
        <v>1100029424</v>
      </c>
      <c r="F4422" s="5" t="inlineStr">
        <is>
          <t>04903</t>
        </is>
      </c>
      <c r="G4422" s="5" t="inlineStr">
        <is>
          <t>BRL</t>
        </is>
      </c>
      <c r="H4422" s="9" t="n">
        <v>134.85</v>
      </c>
      <c r="I4422" s="16" t="n">
        <v>45800</v>
      </c>
      <c r="J4422" s="16" t="n">
        <v>45809</v>
      </c>
      <c r="K4422" s="5" t="inlineStr">
        <is>
          <t>Partida individual GEOMATICS GESTAO DE FROTAS LTDA</t>
        </is>
      </c>
      <c r="L4422" s="5" t="n"/>
      <c r="M4422" s="5">
        <f>IF(YEAR(I4422)&lt;=2020,"Até 2020",TEXT(YEAR(I4422),"0"))</f>
        <v/>
      </c>
      <c r="N4422" s="5">
        <f>IFERROR(INDEX(DePara!$A:$A,MATCH(TEXT(B4422,"0"),DePara!$D:$D,0)),"(sem categoria)")</f>
        <v/>
      </c>
      <c r="O4422" s="5">
        <f>IF(J4422="","",Parametros!$B$6-J4422)</f>
        <v/>
      </c>
      <c r="P4422" s="5">
        <f>IF(O4422="","",IF(O4422&gt;0,1,0))</f>
        <v/>
      </c>
    </row>
    <row r="4423">
      <c r="A4423" s="5" t="n">
        <v>1191000000</v>
      </c>
      <c r="B4423" s="5" t="inlineStr">
        <is>
          <t>101071</t>
        </is>
      </c>
      <c r="C4423" s="5" t="inlineStr">
        <is>
          <t>CUSTOM COMERCIO INTERNACIONAL LTDA</t>
        </is>
      </c>
      <c r="D4423" s="5" t="inlineStr">
        <is>
          <t>AB</t>
        </is>
      </c>
      <c r="E4423" s="5" t="n">
        <v>1100032713</v>
      </c>
      <c r="F4423" s="5" t="inlineStr">
        <is>
          <t>21/2159968-0</t>
        </is>
      </c>
      <c r="G4423" s="5" t="inlineStr">
        <is>
          <t>BRL</t>
        </is>
      </c>
      <c r="H4423" s="9" t="n">
        <v>135752.96</v>
      </c>
      <c r="I4423" s="16" t="n">
        <v>45809</v>
      </c>
      <c r="J4423" s="16" t="n">
        <v>44477</v>
      </c>
      <c r="K4423" s="5" t="inlineStr">
        <is>
          <t>CUSTOM A DEVOLVER</t>
        </is>
      </c>
      <c r="L4423" s="5" t="inlineStr">
        <is>
          <t>CUSTOM A DEVOLVER</t>
        </is>
      </c>
      <c r="M4423" s="5">
        <f>IF(YEAR(I4423)&lt;=2020,"Até 2020",TEXT(YEAR(I4423),"0"))</f>
        <v/>
      </c>
      <c r="N4423" s="5">
        <f>IFERROR(INDEX(DePara!$A:$A,MATCH(TEXT(B4423,"0"),DePara!$D:$D,0)),"(sem categoria)")</f>
        <v/>
      </c>
      <c r="O4423" s="5">
        <f>IF(J4423="","",Parametros!$B$6-J4423)</f>
        <v/>
      </c>
      <c r="P4423" s="5">
        <f>IF(O4423="","",IF(O4423&gt;0,1,0))</f>
        <v/>
      </c>
    </row>
    <row r="4424">
      <c r="A4424" s="5" t="n">
        <v>1191000000</v>
      </c>
      <c r="B4424" s="5" t="inlineStr">
        <is>
          <t>101825</t>
        </is>
      </c>
      <c r="C4424" s="5" t="inlineStr">
        <is>
          <t>WURTH DO BRASIL PECAS DE FIXACAO LT</t>
        </is>
      </c>
      <c r="D4424" s="5" t="inlineStr">
        <is>
          <t>AB</t>
        </is>
      </c>
      <c r="E4424" s="5" t="n">
        <v>1100041912</v>
      </c>
      <c r="F4424" s="5" t="inlineStr">
        <is>
          <t>931159-7</t>
        </is>
      </c>
      <c r="G4424" s="5" t="inlineStr">
        <is>
          <t>BRL</t>
        </is>
      </c>
      <c r="H4424" s="9" t="n">
        <v>30878.74</v>
      </c>
      <c r="I4424" s="16" t="n">
        <v>45929</v>
      </c>
      <c r="J4424" s="16" t="n">
        <v>45929</v>
      </c>
      <c r="K4424" s="5" t="inlineStr">
        <is>
          <t>Partida individual WURTH DO BRASIL PECAS DE FIXACA</t>
        </is>
      </c>
      <c r="L4424" s="5" t="n"/>
      <c r="M4424" s="5">
        <f>IF(YEAR(I4424)&lt;=2020,"Até 2020",TEXT(YEAR(I4424),"0"))</f>
        <v/>
      </c>
      <c r="N4424" s="5">
        <f>IFERROR(INDEX(DePara!$A:$A,MATCH(TEXT(B4424,"0"),DePara!$D:$D,0)),"(sem categoria)")</f>
        <v/>
      </c>
      <c r="O4424" s="5">
        <f>IF(J4424="","",Parametros!$B$6-J4424)</f>
        <v/>
      </c>
      <c r="P4424" s="5">
        <f>IF(O4424="","",IF(O4424&gt;0,1,0))</f>
        <v/>
      </c>
    </row>
    <row r="4425">
      <c r="A4425" s="5" t="n">
        <v>1191000000</v>
      </c>
      <c r="B4425" s="5" t="inlineStr">
        <is>
          <t>101547</t>
        </is>
      </c>
      <c r="C4425" s="5" t="inlineStr">
        <is>
          <t>BARRACUDA PRODUTOS MATERIAIS C LTDA</t>
        </is>
      </c>
      <c r="D4425" s="5" t="inlineStr">
        <is>
          <t>AB</t>
        </is>
      </c>
      <c r="E4425" s="5" t="n">
        <v>1100041914</v>
      </c>
      <c r="F4425" s="5" t="inlineStr">
        <is>
          <t>27614-1</t>
        </is>
      </c>
      <c r="G4425" s="5" t="inlineStr">
        <is>
          <t>BRL</t>
        </is>
      </c>
      <c r="H4425" s="9" t="n">
        <v>20000.71</v>
      </c>
      <c r="I4425" s="16" t="n">
        <v>45929</v>
      </c>
      <c r="J4425" s="16" t="n">
        <v>45929</v>
      </c>
      <c r="K4425" s="5" t="inlineStr">
        <is>
          <t>Partida individual BARRACUDA PRODUTOS MATERIAIS C</t>
        </is>
      </c>
      <c r="L4425" s="5" t="n"/>
      <c r="M4425" s="5">
        <f>IF(YEAR(I4425)&lt;=2020,"Até 2020",TEXT(YEAR(I4425),"0"))</f>
        <v/>
      </c>
      <c r="N4425" s="5">
        <f>IFERROR(INDEX(DePara!$A:$A,MATCH(TEXT(B4425,"0"),DePara!$D:$D,0)),"(sem categoria)")</f>
        <v/>
      </c>
      <c r="O4425" s="5">
        <f>IF(J4425="","",Parametros!$B$6-J4425)</f>
        <v/>
      </c>
      <c r="P4425" s="5">
        <f>IF(O4425="","",IF(O4425&gt;0,1,0))</f>
        <v/>
      </c>
    </row>
    <row r="4426">
      <c r="A4426" s="5" t="n">
        <v>1191000000</v>
      </c>
      <c r="B4426" s="5" t="inlineStr">
        <is>
          <t>101547</t>
        </is>
      </c>
      <c r="C4426" s="5" t="inlineStr">
        <is>
          <t>BARRACUDA PRODUTOS MATERIAIS C LTDA</t>
        </is>
      </c>
      <c r="D4426" s="5" t="inlineStr">
        <is>
          <t>AB</t>
        </is>
      </c>
      <c r="E4426" s="5" t="n">
        <v>1100041916</v>
      </c>
      <c r="F4426" s="5" t="inlineStr">
        <is>
          <t>27230-1</t>
        </is>
      </c>
      <c r="G4426" s="5" t="inlineStr">
        <is>
          <t>BRL</t>
        </is>
      </c>
      <c r="H4426" s="9" t="n">
        <v>24000.83</v>
      </c>
      <c r="I4426" s="16" t="n">
        <v>45929</v>
      </c>
      <c r="J4426" s="16" t="n">
        <v>45929</v>
      </c>
      <c r="K4426" s="5" t="inlineStr">
        <is>
          <t>Partida individual BARRACUDA PRODUTOS MATERIAIS C</t>
        </is>
      </c>
      <c r="L4426" s="5" t="n"/>
      <c r="M4426" s="5">
        <f>IF(YEAR(I4426)&lt;=2020,"Até 2020",TEXT(YEAR(I4426),"0"))</f>
        <v/>
      </c>
      <c r="N4426" s="5">
        <f>IFERROR(INDEX(DePara!$A:$A,MATCH(TEXT(B4426,"0"),DePara!$D:$D,0)),"(sem categoria)")</f>
        <v/>
      </c>
      <c r="O4426" s="5">
        <f>IF(J4426="","",Parametros!$B$6-J4426)</f>
        <v/>
      </c>
      <c r="P4426" s="5">
        <f>IF(O4426="","",IF(O4426&gt;0,1,0))</f>
        <v/>
      </c>
    </row>
    <row r="4427">
      <c r="A4427" s="5" t="n">
        <v>1191000000</v>
      </c>
      <c r="B4427" s="5" t="inlineStr">
        <is>
          <t>103999</t>
        </is>
      </c>
      <c r="C4427" s="5" t="inlineStr">
        <is>
          <t>TECNOCON SOLUCOES PARA ENERGIAS REN</t>
        </is>
      </c>
      <c r="D4427" s="5" t="inlineStr">
        <is>
          <t>AB</t>
        </is>
      </c>
      <c r="E4427" s="5" t="n">
        <v>1100041917</v>
      </c>
      <c r="F4427" s="5" t="inlineStr">
        <is>
          <t>18808-0</t>
        </is>
      </c>
      <c r="G4427" s="5" t="inlineStr">
        <is>
          <t>BRL</t>
        </is>
      </c>
      <c r="H4427" s="9" t="n">
        <v>3884.51</v>
      </c>
      <c r="I4427" s="16" t="n">
        <v>45929</v>
      </c>
      <c r="J4427" s="16" t="n">
        <v>45929</v>
      </c>
      <c r="K4427" s="5" t="inlineStr">
        <is>
          <t>Partida individual TECNOCON SOLUCOES PARA ENERGIAS</t>
        </is>
      </c>
      <c r="L4427" s="5" t="n"/>
      <c r="M4427" s="5">
        <f>IF(YEAR(I4427)&lt;=2020,"Até 2020",TEXT(YEAR(I4427),"0"))</f>
        <v/>
      </c>
      <c r="N4427" s="5">
        <f>IFERROR(INDEX(DePara!$A:$A,MATCH(TEXT(B4427,"0"),DePara!$D:$D,0)),"(sem categoria)")</f>
        <v/>
      </c>
      <c r="O4427" s="5">
        <f>IF(J4427="","",Parametros!$B$6-J4427)</f>
        <v/>
      </c>
      <c r="P4427" s="5">
        <f>IF(O4427="","",IF(O4427&gt;0,1,0))</f>
        <v/>
      </c>
    </row>
    <row r="4428">
      <c r="A4428" s="5" t="n">
        <v>1191000000</v>
      </c>
      <c r="B4428" s="5" t="inlineStr">
        <is>
          <t>101844</t>
        </is>
      </c>
      <c r="C4428" s="5" t="inlineStr">
        <is>
          <t>COATE CONCRETO AGUA E TERRA LTDA</t>
        </is>
      </c>
      <c r="D4428" s="5" t="inlineStr">
        <is>
          <t>AB</t>
        </is>
      </c>
      <c r="E4428" s="5" t="n">
        <v>1100041918</v>
      </c>
      <c r="F4428" s="5" t="inlineStr">
        <is>
          <t>PROC. 0001330-64</t>
        </is>
      </c>
      <c r="G4428" s="5" t="inlineStr">
        <is>
          <t>BRL</t>
        </is>
      </c>
      <c r="H4428" s="9" t="n">
        <v>44.26</v>
      </c>
      <c r="I4428" s="16" t="n">
        <v>45929</v>
      </c>
      <c r="J4428" s="16" t="n">
        <v>45929</v>
      </c>
      <c r="K4428" s="5" t="inlineStr">
        <is>
          <t>Partida individual COATE CONCRETO AGUA E TERRA LTD</t>
        </is>
      </c>
      <c r="L4428" s="5" t="n"/>
      <c r="M4428" s="5">
        <f>IF(YEAR(I4428)&lt;=2020,"Até 2020",TEXT(YEAR(I4428),"0"))</f>
        <v/>
      </c>
      <c r="N4428" s="5">
        <f>IFERROR(INDEX(DePara!$A:$A,MATCH(TEXT(B4428,"0"),DePara!$D:$D,0)),"(sem categoria)")</f>
        <v/>
      </c>
      <c r="O4428" s="5">
        <f>IF(J4428="","",Parametros!$B$6-J4428)</f>
        <v/>
      </c>
      <c r="P4428" s="5">
        <f>IF(O4428="","",IF(O4428&gt;0,1,0))</f>
        <v/>
      </c>
    </row>
    <row r="4429">
      <c r="A4429" s="5" t="n">
        <v>1191000000</v>
      </c>
      <c r="B4429" s="5" t="inlineStr">
        <is>
          <t>101333</t>
        </is>
      </c>
      <c r="C4429" s="5" t="inlineStr">
        <is>
          <t>CONCESSIONARIA DO AEROPORTO DE SALV</t>
        </is>
      </c>
      <c r="D4429" s="5" t="inlineStr">
        <is>
          <t>KZ</t>
        </is>
      </c>
      <c r="E4429" s="5" t="n">
        <v>1300000135</v>
      </c>
      <c r="F4429" s="5" t="n"/>
      <c r="G4429" s="5" t="inlineStr">
        <is>
          <t>BRL</t>
        </is>
      </c>
      <c r="H4429" s="9" t="n">
        <v>6737.27</v>
      </c>
      <c r="I4429" s="16" t="n">
        <v>45671</v>
      </c>
      <c r="J4429" s="16" t="n">
        <v>45671</v>
      </c>
      <c r="K4429" s="5" t="inlineStr">
        <is>
          <t>1183/24 1183/24</t>
        </is>
      </c>
      <c r="L4429" s="5" t="inlineStr">
        <is>
          <t>comex14012025</t>
        </is>
      </c>
      <c r="M4429" s="5">
        <f>IF(YEAR(I4429)&lt;=2020,"Até 2020",TEXT(YEAR(I4429),"0"))</f>
        <v/>
      </c>
      <c r="N4429" s="5">
        <f>IFERROR(INDEX(DePara!$A:$A,MATCH(TEXT(B4429,"0"),DePara!$D:$D,0)),"(sem categoria)")</f>
        <v/>
      </c>
      <c r="O4429" s="5">
        <f>IF(J4429="","",Parametros!$B$6-J4429)</f>
        <v/>
      </c>
      <c r="P4429" s="5">
        <f>IF(O4429="","",IF(O4429&gt;0,1,0))</f>
        <v/>
      </c>
    </row>
    <row r="4430">
      <c r="A4430" s="5" t="n">
        <v>1191000000</v>
      </c>
      <c r="B4430" s="5" t="inlineStr">
        <is>
          <t>103886</t>
        </is>
      </c>
      <c r="C4430" s="5" t="inlineStr">
        <is>
          <t>FEDERAL EXPRESS CORPORATION</t>
        </is>
      </c>
      <c r="D4430" s="5" t="inlineStr">
        <is>
          <t>KZ</t>
        </is>
      </c>
      <c r="E4430" s="5" t="n">
        <v>1300000203</v>
      </c>
      <c r="F4430" s="5" t="n"/>
      <c r="G4430" s="5" t="inlineStr">
        <is>
          <t>BRL</t>
        </is>
      </c>
      <c r="H4430" s="9" t="n">
        <v>344.88</v>
      </c>
      <c r="I4430" s="16" t="n">
        <v>45343</v>
      </c>
      <c r="J4430" s="16" t="n">
        <v>45343</v>
      </c>
      <c r="K4430" s="5" t="inlineStr">
        <is>
          <t>Documento fornecedor FEDERAL EXPRESS CORPORATION 5</t>
        </is>
      </c>
      <c r="L4430" s="5" t="inlineStr">
        <is>
          <t>21022024</t>
        </is>
      </c>
      <c r="M4430" s="5">
        <f>IF(YEAR(I4430)&lt;=2020,"Até 2020",TEXT(YEAR(I4430),"0"))</f>
        <v/>
      </c>
      <c r="N4430" s="5">
        <f>IFERROR(INDEX(DePara!$A:$A,MATCH(TEXT(B4430,"0"),DePara!$D:$D,0)),"(sem categoria)")</f>
        <v/>
      </c>
      <c r="O4430" s="5">
        <f>IF(J4430="","",Parametros!$B$6-J4430)</f>
        <v/>
      </c>
      <c r="P4430" s="5">
        <f>IF(O4430="","",IF(O4430&gt;0,1,0))</f>
        <v/>
      </c>
    </row>
    <row r="4431">
      <c r="A4431" s="5" t="n">
        <v>1191000000</v>
      </c>
      <c r="B4431" s="5" t="inlineStr">
        <is>
          <t>101969</t>
        </is>
      </c>
      <c r="C4431" s="5" t="inlineStr">
        <is>
          <t>SECRETARIA DE ESTADO DA FAZENDA RN</t>
        </is>
      </c>
      <c r="D4431" s="5" t="inlineStr">
        <is>
          <t>KZ</t>
        </is>
      </c>
      <c r="E4431" s="5" t="n">
        <v>1300000276</v>
      </c>
      <c r="F4431" s="5" t="n"/>
      <c r="G4431" s="5" t="inlineStr">
        <is>
          <t>BRL</t>
        </is>
      </c>
      <c r="H4431" s="9" t="n">
        <v>5855.59</v>
      </c>
      <c r="I4431" s="16" t="n">
        <v>45672</v>
      </c>
      <c r="J4431" s="16" t="n">
        <v>45672</v>
      </c>
      <c r="K4431" s="5" t="inlineStr">
        <is>
          <t>Documento fornecedor SECRETARIA DE ESTADO DE TRIBU</t>
        </is>
      </c>
      <c r="L4431" s="5" t="inlineStr">
        <is>
          <t>pgto duplicidade</t>
        </is>
      </c>
      <c r="M4431" s="5">
        <f>IF(YEAR(I4431)&lt;=2020,"Até 2020",TEXT(YEAR(I4431),"0"))</f>
        <v/>
      </c>
      <c r="N4431" s="5">
        <f>IFERROR(INDEX(DePara!$A:$A,MATCH(TEXT(B4431,"0"),DePara!$D:$D,0)),"(sem categoria)")</f>
        <v/>
      </c>
      <c r="O4431" s="5">
        <f>IF(J4431="","",Parametros!$B$6-J4431)</f>
        <v/>
      </c>
      <c r="P4431" s="5">
        <f>IF(O4431="","",IF(O4431&gt;0,1,0))</f>
        <v/>
      </c>
    </row>
    <row r="4432">
      <c r="A4432" s="5" t="n">
        <v>1191000000</v>
      </c>
      <c r="B4432" s="5" t="inlineStr">
        <is>
          <t>101969</t>
        </is>
      </c>
      <c r="C4432" s="5" t="inlineStr">
        <is>
          <t>SECRETARIA DE ESTADO DA FAZENDA RN</t>
        </is>
      </c>
      <c r="D4432" s="5" t="inlineStr">
        <is>
          <t>KZ</t>
        </is>
      </c>
      <c r="E4432" s="5" t="n">
        <v>1300000277</v>
      </c>
      <c r="F4432" s="5" t="n"/>
      <c r="G4432" s="5" t="inlineStr">
        <is>
          <t>BRL</t>
        </is>
      </c>
      <c r="H4432" s="9" t="n">
        <v>690214.4</v>
      </c>
      <c r="I4432" s="16" t="n">
        <v>45672</v>
      </c>
      <c r="J4432" s="16" t="n">
        <v>45672</v>
      </c>
      <c r="K4432" s="5" t="inlineStr">
        <is>
          <t>Documento fornecedor SECRETARIA DE ESTADO DE TRIBU</t>
        </is>
      </c>
      <c r="L4432" s="5" t="inlineStr">
        <is>
          <t>pgto duplicidade</t>
        </is>
      </c>
      <c r="M4432" s="5">
        <f>IF(YEAR(I4432)&lt;=2020,"Até 2020",TEXT(YEAR(I4432),"0"))</f>
        <v/>
      </c>
      <c r="N4432" s="5">
        <f>IFERROR(INDEX(DePara!$A:$A,MATCH(TEXT(B4432,"0"),DePara!$D:$D,0)),"(sem categoria)")</f>
        <v/>
      </c>
      <c r="O4432" s="5">
        <f>IF(J4432="","",Parametros!$B$6-J4432)</f>
        <v/>
      </c>
      <c r="P4432" s="5">
        <f>IF(O4432="","",IF(O4432&gt;0,1,0))</f>
        <v/>
      </c>
    </row>
    <row r="4433">
      <c r="A4433" s="5" t="n">
        <v>1191000000</v>
      </c>
      <c r="B4433" s="5" t="inlineStr">
        <is>
          <t>102001</t>
        </is>
      </c>
      <c r="C4433" s="5" t="inlineStr">
        <is>
          <t>TRIBUNAL REGIONAL TRABALHO 21A REGI</t>
        </is>
      </c>
      <c r="D4433" s="5" t="inlineStr">
        <is>
          <t>KZ</t>
        </is>
      </c>
      <c r="E4433" s="5" t="n">
        <v>1300000442</v>
      </c>
      <c r="F4433" s="5" t="n"/>
      <c r="G4433" s="5" t="inlineStr">
        <is>
          <t>BRL</t>
        </is>
      </c>
      <c r="H4433" s="9" t="n">
        <v>344508.04</v>
      </c>
      <c r="I4433" s="16" t="n">
        <v>45355</v>
      </c>
      <c r="J4433" s="16" t="n">
        <v>45355</v>
      </c>
      <c r="K4433" s="5" t="inlineStr">
        <is>
          <t>Documento fornecedor TRIBUNAL REGIONAL TRABALHO 21</t>
        </is>
      </c>
      <c r="L4433" s="5" t="n"/>
      <c r="M4433" s="5">
        <f>IF(YEAR(I4433)&lt;=2020,"Até 2020",TEXT(YEAR(I4433),"0"))</f>
        <v/>
      </c>
      <c r="N4433" s="5">
        <f>IFERROR(INDEX(DePara!$A:$A,MATCH(TEXT(B4433,"0"),DePara!$D:$D,0)),"(sem categoria)")</f>
        <v/>
      </c>
      <c r="O4433" s="5">
        <f>IF(J4433="","",Parametros!$B$6-J4433)</f>
        <v/>
      </c>
      <c r="P4433" s="5">
        <f>IF(O4433="","",IF(O4433&gt;0,1,0))</f>
        <v/>
      </c>
    </row>
    <row r="4434">
      <c r="A4434" s="5" t="n">
        <v>1191000000</v>
      </c>
      <c r="B4434" s="5" t="inlineStr">
        <is>
          <t>103759</t>
        </is>
      </c>
      <c r="C4434" s="5" t="inlineStr">
        <is>
          <t>MUNICIPIO DE SIMOES</t>
        </is>
      </c>
      <c r="D4434" s="5" t="inlineStr">
        <is>
          <t>KZ</t>
        </is>
      </c>
      <c r="E4434" s="5" t="n">
        <v>1300000492</v>
      </c>
      <c r="F4434" s="5" t="inlineStr">
        <is>
          <t>ISS DUPLICI</t>
        </is>
      </c>
      <c r="G4434" s="5" t="inlineStr">
        <is>
          <t>BRL</t>
        </is>
      </c>
      <c r="H4434" s="9" t="n">
        <v>6143.85</v>
      </c>
      <c r="I4434" s="16" t="n">
        <v>45681</v>
      </c>
      <c r="J4434" s="16" t="n">
        <v>45681</v>
      </c>
      <c r="K4434" s="5" t="inlineStr">
        <is>
          <t>Documento fornecedor MUNICIPIO DE SIMOES ISS DUPLI</t>
        </is>
      </c>
      <c r="L4434" s="5" t="inlineStr">
        <is>
          <t>24012024</t>
        </is>
      </c>
      <c r="M4434" s="5">
        <f>IF(YEAR(I4434)&lt;=2020,"Até 2020",TEXT(YEAR(I4434),"0"))</f>
        <v/>
      </c>
      <c r="N4434" s="5">
        <f>IFERROR(INDEX(DePara!$A:$A,MATCH(TEXT(B4434,"0"),DePara!$D:$D,0)),"(sem categoria)")</f>
        <v/>
      </c>
      <c r="O4434" s="5">
        <f>IF(J4434="","",Parametros!$B$6-J4434)</f>
        <v/>
      </c>
      <c r="P4434" s="5">
        <f>IF(O4434="","",IF(O4434&gt;0,1,0))</f>
        <v/>
      </c>
    </row>
    <row r="4435">
      <c r="A4435" s="5" t="n">
        <v>1191000000</v>
      </c>
      <c r="B4435" s="5" t="inlineStr">
        <is>
          <t>101969</t>
        </is>
      </c>
      <c r="C4435" s="5" t="inlineStr">
        <is>
          <t>SECRETARIA DE ESTADO DA FAZENDA RN</t>
        </is>
      </c>
      <c r="D4435" s="5" t="inlineStr">
        <is>
          <t>KZ</t>
        </is>
      </c>
      <c r="E4435" s="5" t="n">
        <v>1300000543</v>
      </c>
      <c r="F4435" s="5" t="n"/>
      <c r="G4435" s="5" t="inlineStr">
        <is>
          <t>BRL</t>
        </is>
      </c>
      <c r="H4435" s="9" t="n">
        <v>2586.94</v>
      </c>
      <c r="I4435" s="16" t="n">
        <v>45686</v>
      </c>
      <c r="J4435" s="16" t="n">
        <v>45686</v>
      </c>
      <c r="K4435" s="5" t="inlineStr">
        <is>
          <t>Vendor DP Request SECRETARIA DE ESTADO DA FAZENDA</t>
        </is>
      </c>
      <c r="L4435" s="5" t="inlineStr">
        <is>
          <t>comex29012025</t>
        </is>
      </c>
      <c r="M4435" s="5">
        <f>IF(YEAR(I4435)&lt;=2020,"Até 2020",TEXT(YEAR(I4435),"0"))</f>
        <v/>
      </c>
      <c r="N4435" s="5">
        <f>IFERROR(INDEX(DePara!$A:$A,MATCH(TEXT(B4435,"0"),DePara!$D:$D,0)),"(sem categoria)")</f>
        <v/>
      </c>
      <c r="O4435" s="5">
        <f>IF(J4435="","",Parametros!$B$6-J4435)</f>
        <v/>
      </c>
      <c r="P4435" s="5">
        <f>IF(O4435="","",IF(O4435&gt;0,1,0))</f>
        <v/>
      </c>
    </row>
    <row r="4436">
      <c r="A4436" s="5" t="n">
        <v>1191000000</v>
      </c>
      <c r="B4436" s="5" t="inlineStr">
        <is>
          <t>101611</t>
        </is>
      </c>
      <c r="C4436" s="5" t="inlineStr">
        <is>
          <t>SECRETARIA DA FAZENDA BAHIA</t>
        </is>
      </c>
      <c r="D4436" s="5" t="inlineStr">
        <is>
          <t>KZ</t>
        </is>
      </c>
      <c r="E4436" s="5" t="n">
        <v>1300000842</v>
      </c>
      <c r="F4436" s="5" t="n"/>
      <c r="G4436" s="5" t="inlineStr">
        <is>
          <t>BRL</t>
        </is>
      </c>
      <c r="H4436" s="9" t="n">
        <v>52332.58</v>
      </c>
      <c r="I4436" s="16" t="n">
        <v>45670</v>
      </c>
      <c r="J4436" s="16" t="n">
        <v>45670</v>
      </c>
      <c r="K4436" s="5" t="inlineStr">
        <is>
          <t>Documento fornecedor SECRETARIA DA FAZENDA BAHIA 0</t>
        </is>
      </c>
      <c r="L4436" s="5" t="n"/>
      <c r="M4436" s="5">
        <f>IF(YEAR(I4436)&lt;=2020,"Até 2020",TEXT(YEAR(I4436),"0"))</f>
        <v/>
      </c>
      <c r="N4436" s="5">
        <f>IFERROR(INDEX(DePara!$A:$A,MATCH(TEXT(B4436,"0"),DePara!$D:$D,0)),"(sem categoria)")</f>
        <v/>
      </c>
      <c r="O4436" s="5">
        <f>IF(J4436="","",Parametros!$B$6-J4436)</f>
        <v/>
      </c>
      <c r="P4436" s="5">
        <f>IF(O4436="","",IF(O4436&gt;0,1,0))</f>
        <v/>
      </c>
    </row>
    <row r="4437">
      <c r="A4437" s="5" t="n">
        <v>1191000000</v>
      </c>
      <c r="B4437" s="5" t="inlineStr">
        <is>
          <t>101611</t>
        </is>
      </c>
      <c r="C4437" s="5" t="inlineStr">
        <is>
          <t>SECRETARIA DA FAZENDA BAHIA</t>
        </is>
      </c>
      <c r="D4437" s="5" t="inlineStr">
        <is>
          <t>KZ</t>
        </is>
      </c>
      <c r="E4437" s="5" t="n">
        <v>1300000842</v>
      </c>
      <c r="F4437" s="5" t="n"/>
      <c r="G4437" s="5" t="inlineStr">
        <is>
          <t>BRL</t>
        </is>
      </c>
      <c r="H4437" s="9" t="n">
        <v>1638.07</v>
      </c>
      <c r="I4437" s="16" t="n">
        <v>45670</v>
      </c>
      <c r="J4437" s="16" t="n">
        <v>45670</v>
      </c>
      <c r="K4437" s="5" t="inlineStr">
        <is>
          <t>Documento fornecedor SECRETARIA DA FAZENDA BAHIA 1</t>
        </is>
      </c>
      <c r="L4437" s="5" t="n"/>
      <c r="M4437" s="5">
        <f>IF(YEAR(I4437)&lt;=2020,"Até 2020",TEXT(YEAR(I4437),"0"))</f>
        <v/>
      </c>
      <c r="N4437" s="5">
        <f>IFERROR(INDEX(DePara!$A:$A,MATCH(TEXT(B4437,"0"),DePara!$D:$D,0)),"(sem categoria)")</f>
        <v/>
      </c>
      <c r="O4437" s="5">
        <f>IF(J4437="","",Parametros!$B$6-J4437)</f>
        <v/>
      </c>
      <c r="P4437" s="5">
        <f>IF(O4437="","",IF(O4437&gt;0,1,0))</f>
        <v/>
      </c>
    </row>
    <row r="4438">
      <c r="A4438" s="5" t="n">
        <v>1191000000</v>
      </c>
      <c r="B4438" s="5" t="inlineStr">
        <is>
          <t>101746</t>
        </is>
      </c>
      <c r="C4438" s="5" t="inlineStr">
        <is>
          <t>SECRETARIA DA FAZENDA DO ESTADO DO</t>
        </is>
      </c>
      <c r="D4438" s="5" t="inlineStr">
        <is>
          <t>KZ</t>
        </is>
      </c>
      <c r="E4438" s="5" t="n">
        <v>1300000843</v>
      </c>
      <c r="F4438" s="5" t="n"/>
      <c r="G4438" s="5" t="inlineStr">
        <is>
          <t>BRL</t>
        </is>
      </c>
      <c r="H4438" s="9" t="n">
        <v>35921.58</v>
      </c>
      <c r="I4438" s="16" t="n">
        <v>45670</v>
      </c>
      <c r="J4438" s="16" t="n">
        <v>45670</v>
      </c>
      <c r="K4438" s="5" t="inlineStr">
        <is>
          <t>Documento fornecedor SECRETARIA DA FAZENDA DO ESTA</t>
        </is>
      </c>
      <c r="L4438" s="5" t="n"/>
      <c r="M4438" s="5">
        <f>IF(YEAR(I4438)&lt;=2020,"Até 2020",TEXT(YEAR(I4438),"0"))</f>
        <v/>
      </c>
      <c r="N4438" s="5">
        <f>IFERROR(INDEX(DePara!$A:$A,MATCH(TEXT(B4438,"0"),DePara!$D:$D,0)),"(sem categoria)")</f>
        <v/>
      </c>
      <c r="O4438" s="5">
        <f>IF(J4438="","",Parametros!$B$6-J4438)</f>
        <v/>
      </c>
      <c r="P4438" s="5">
        <f>IF(O4438="","",IF(O4438&gt;0,1,0))</f>
        <v/>
      </c>
    </row>
    <row r="4439">
      <c r="A4439" s="5" t="n">
        <v>1191000000</v>
      </c>
      <c r="B4439" s="5" t="inlineStr">
        <is>
          <t>101331</t>
        </is>
      </c>
      <c r="C4439" s="5" t="inlineStr">
        <is>
          <t>GEODIS GERENCI DE FRETES DO BRASIL</t>
        </is>
      </c>
      <c r="D4439" s="5" t="inlineStr">
        <is>
          <t>KZ</t>
        </is>
      </c>
      <c r="E4439" s="5" t="n">
        <v>1300000930</v>
      </c>
      <c r="F4439" s="5" t="n"/>
      <c r="G4439" s="5" t="inlineStr">
        <is>
          <t>BRL</t>
        </is>
      </c>
      <c r="H4439" s="9" t="n">
        <v>1833.1</v>
      </c>
      <c r="I4439" s="16" t="n">
        <v>45694</v>
      </c>
      <c r="J4439" s="16" t="n">
        <v>45694</v>
      </c>
      <c r="K4439" s="5" t="inlineStr">
        <is>
          <t>0063/25 0063/25</t>
        </is>
      </c>
      <c r="L4439" s="5" t="inlineStr">
        <is>
          <t>comex06022025</t>
        </is>
      </c>
      <c r="M4439" s="5">
        <f>IF(YEAR(I4439)&lt;=2020,"Até 2020",TEXT(YEAR(I4439),"0"))</f>
        <v/>
      </c>
      <c r="N4439" s="5">
        <f>IFERROR(INDEX(DePara!$A:$A,MATCH(TEXT(B4439,"0"),DePara!$D:$D,0)),"(sem categoria)")</f>
        <v/>
      </c>
      <c r="O4439" s="5">
        <f>IF(J4439="","",Parametros!$B$6-J4439)</f>
        <v/>
      </c>
      <c r="P4439" s="5">
        <f>IF(O4439="","",IF(O4439&gt;0,1,0))</f>
        <v/>
      </c>
    </row>
    <row r="4440">
      <c r="A4440" s="5" t="n">
        <v>1191000000</v>
      </c>
      <c r="B4440" s="5" t="inlineStr">
        <is>
          <t>101969</t>
        </is>
      </c>
      <c r="C4440" s="5" t="inlineStr">
        <is>
          <t>SECRETARIA DE ESTADO DA FAZENDA RN</t>
        </is>
      </c>
      <c r="D4440" s="5" t="inlineStr">
        <is>
          <t>KZ</t>
        </is>
      </c>
      <c r="E4440" s="5" t="n">
        <v>1300000938</v>
      </c>
      <c r="F4440" s="5" t="n"/>
      <c r="G4440" s="5" t="inlineStr">
        <is>
          <t>BRL</t>
        </is>
      </c>
      <c r="H4440" s="9" t="n">
        <v>500</v>
      </c>
      <c r="I4440" s="16" t="n">
        <v>45694</v>
      </c>
      <c r="J4440" s="16" t="n">
        <v>45694</v>
      </c>
      <c r="K4440" s="5" t="inlineStr">
        <is>
          <t>0060/25 0060/25</t>
        </is>
      </c>
      <c r="L4440" s="5" t="inlineStr">
        <is>
          <t>comex06022025</t>
        </is>
      </c>
      <c r="M4440" s="5">
        <f>IF(YEAR(I4440)&lt;=2020,"Até 2020",TEXT(YEAR(I4440),"0"))</f>
        <v/>
      </c>
      <c r="N4440" s="5">
        <f>IFERROR(INDEX(DePara!$A:$A,MATCH(TEXT(B4440,"0"),DePara!$D:$D,0)),"(sem categoria)")</f>
        <v/>
      </c>
      <c r="O4440" s="5">
        <f>IF(J4440="","",Parametros!$B$6-J4440)</f>
        <v/>
      </c>
      <c r="P4440" s="5">
        <f>IF(O4440="","",IF(O4440&gt;0,1,0))</f>
        <v/>
      </c>
    </row>
    <row r="4441">
      <c r="A4441" s="5" t="n">
        <v>1191000000</v>
      </c>
      <c r="B4441" s="5" t="inlineStr">
        <is>
          <t>101569</t>
        </is>
      </c>
      <c r="C4441" s="5" t="inlineStr">
        <is>
          <t>SECRETARIA DA FAZENDA CEARA</t>
        </is>
      </c>
      <c r="D4441" s="5" t="inlineStr">
        <is>
          <t>KZ</t>
        </is>
      </c>
      <c r="E4441" s="5" t="n">
        <v>1300000980</v>
      </c>
      <c r="F4441" s="5" t="n"/>
      <c r="G4441" s="5" t="inlineStr">
        <is>
          <t>BRL</t>
        </is>
      </c>
      <c r="H4441" s="9" t="n">
        <v>33369.66</v>
      </c>
      <c r="I4441" s="16" t="n">
        <v>45694</v>
      </c>
      <c r="J4441" s="16" t="n">
        <v>45694</v>
      </c>
      <c r="K4441" s="5" t="inlineStr">
        <is>
          <t>0063/25 0063/25</t>
        </is>
      </c>
      <c r="L4441" s="5" t="inlineStr">
        <is>
          <t>comex06022025</t>
        </is>
      </c>
      <c r="M4441" s="5">
        <f>IF(YEAR(I4441)&lt;=2020,"Até 2020",TEXT(YEAR(I4441),"0"))</f>
        <v/>
      </c>
      <c r="N4441" s="5">
        <f>IFERROR(INDEX(DePara!$A:$A,MATCH(TEXT(B4441,"0"),DePara!$D:$D,0)),"(sem categoria)")</f>
        <v/>
      </c>
      <c r="O4441" s="5">
        <f>IF(J4441="","",Parametros!$B$6-J4441)</f>
        <v/>
      </c>
      <c r="P4441" s="5">
        <f>IF(O4441="","",IF(O4441&gt;0,1,0))</f>
        <v/>
      </c>
    </row>
    <row r="4442">
      <c r="A4442" s="5" t="n">
        <v>1191000000</v>
      </c>
      <c r="B4442" s="5" t="inlineStr">
        <is>
          <t>101331</t>
        </is>
      </c>
      <c r="C4442" s="5" t="inlineStr">
        <is>
          <t>GEODIS GERENCI DE FRETES DO BRASIL</t>
        </is>
      </c>
      <c r="D4442" s="5" t="inlineStr">
        <is>
          <t>KZ</t>
        </is>
      </c>
      <c r="E4442" s="5" t="n">
        <v>1300001074</v>
      </c>
      <c r="F4442" s="5" t="n"/>
      <c r="G4442" s="5" t="inlineStr">
        <is>
          <t>BRL</t>
        </is>
      </c>
      <c r="H4442" s="9" t="n">
        <v>1789.46</v>
      </c>
      <c r="I4442" s="16" t="n">
        <v>45698</v>
      </c>
      <c r="J4442" s="16" t="n">
        <v>45698</v>
      </c>
      <c r="K4442" s="5" t="inlineStr">
        <is>
          <t>1089/24 1089/24</t>
        </is>
      </c>
      <c r="L4442" s="5" t="inlineStr">
        <is>
          <t>comex10022025</t>
        </is>
      </c>
      <c r="M4442" s="5">
        <f>IF(YEAR(I4442)&lt;=2020,"Até 2020",TEXT(YEAR(I4442),"0"))</f>
        <v/>
      </c>
      <c r="N4442" s="5">
        <f>IFERROR(INDEX(DePara!$A:$A,MATCH(TEXT(B4442,"0"),DePara!$D:$D,0)),"(sem categoria)")</f>
        <v/>
      </c>
      <c r="O4442" s="5">
        <f>IF(J4442="","",Parametros!$B$6-J4442)</f>
        <v/>
      </c>
      <c r="P4442" s="5">
        <f>IF(O4442="","",IF(O4442&gt;0,1,0))</f>
        <v/>
      </c>
    </row>
    <row r="4443">
      <c r="A4443" s="5" t="n">
        <v>1191000000</v>
      </c>
      <c r="B4443" s="5" t="inlineStr">
        <is>
          <t>101611</t>
        </is>
      </c>
      <c r="C4443" s="5" t="inlineStr">
        <is>
          <t>SECRETARIA DA FAZENDA BAHIA</t>
        </is>
      </c>
      <c r="D4443" s="5" t="inlineStr">
        <is>
          <t>KZ</t>
        </is>
      </c>
      <c r="E4443" s="5" t="n">
        <v>1300001186</v>
      </c>
      <c r="F4443" s="5" t="n"/>
      <c r="G4443" s="5" t="inlineStr">
        <is>
          <t>BRL</t>
        </is>
      </c>
      <c r="H4443" s="9" t="n">
        <v>3102.44</v>
      </c>
      <c r="I4443" s="16" t="n">
        <v>45699</v>
      </c>
      <c r="J4443" s="16" t="n">
        <v>45699</v>
      </c>
      <c r="K4443" s="5" t="inlineStr">
        <is>
          <t>Documento fornecedor SECRETARIA DA FAZENDA BAHIA C</t>
        </is>
      </c>
      <c r="L4443" s="5" t="inlineStr">
        <is>
          <t>comex11022025</t>
        </is>
      </c>
      <c r="M4443" s="5">
        <f>IF(YEAR(I4443)&lt;=2020,"Até 2020",TEXT(YEAR(I4443),"0"))</f>
        <v/>
      </c>
      <c r="N4443" s="5">
        <f>IFERROR(INDEX(DePara!$A:$A,MATCH(TEXT(B4443,"0"),DePara!$D:$D,0)),"(sem categoria)")</f>
        <v/>
      </c>
      <c r="O4443" s="5">
        <f>IF(J4443="","",Parametros!$B$6-J4443)</f>
        <v/>
      </c>
      <c r="P4443" s="5">
        <f>IF(O4443="","",IF(O4443&gt;0,1,0))</f>
        <v/>
      </c>
    </row>
    <row r="4444">
      <c r="A4444" s="5" t="n">
        <v>1191000000</v>
      </c>
      <c r="B4444" s="5" t="inlineStr">
        <is>
          <t>101331</t>
        </is>
      </c>
      <c r="C4444" s="5" t="inlineStr">
        <is>
          <t>GEODIS GERENCI DE FRETES DO BRASIL</t>
        </is>
      </c>
      <c r="D4444" s="5" t="inlineStr">
        <is>
          <t>KZ</t>
        </is>
      </c>
      <c r="E4444" s="5" t="n">
        <v>1300001199</v>
      </c>
      <c r="F4444" s="5" t="n"/>
      <c r="G4444" s="5" t="inlineStr">
        <is>
          <t>BRL</t>
        </is>
      </c>
      <c r="H4444" s="9" t="n">
        <v>1926.2</v>
      </c>
      <c r="I4444" s="16" t="n">
        <v>45700</v>
      </c>
      <c r="J4444" s="16" t="n">
        <v>45700</v>
      </c>
      <c r="K4444" s="5" t="inlineStr">
        <is>
          <t>1182/24 1182/24</t>
        </is>
      </c>
      <c r="L4444" s="5" t="inlineStr">
        <is>
          <t>comex12022025</t>
        </is>
      </c>
      <c r="M4444" s="5">
        <f>IF(YEAR(I4444)&lt;=2020,"Até 2020",TEXT(YEAR(I4444),"0"))</f>
        <v/>
      </c>
      <c r="N4444" s="5">
        <f>IFERROR(INDEX(DePara!$A:$A,MATCH(TEXT(B4444,"0"),DePara!$D:$D,0)),"(sem categoria)")</f>
        <v/>
      </c>
      <c r="O4444" s="5">
        <f>IF(J4444="","",Parametros!$B$6-J4444)</f>
        <v/>
      </c>
      <c r="P4444" s="5">
        <f>IF(O4444="","",IF(O4444&gt;0,1,0))</f>
        <v/>
      </c>
    </row>
    <row r="4445">
      <c r="A4445" s="5" t="n">
        <v>1191000000</v>
      </c>
      <c r="B4445" s="5" t="inlineStr">
        <is>
          <t>101331</t>
        </is>
      </c>
      <c r="C4445" s="5" t="inlineStr">
        <is>
          <t>GEODIS GERENCI DE FRETES DO BRASIL</t>
        </is>
      </c>
      <c r="D4445" s="5" t="inlineStr">
        <is>
          <t>KZ</t>
        </is>
      </c>
      <c r="E4445" s="5" t="n">
        <v>1300001256</v>
      </c>
      <c r="F4445" s="5" t="n"/>
      <c r="G4445" s="5" t="inlineStr">
        <is>
          <t>BRL</t>
        </is>
      </c>
      <c r="H4445" s="9" t="n">
        <v>1813.52</v>
      </c>
      <c r="I4445" s="16" t="n">
        <v>45702</v>
      </c>
      <c r="J4445" s="16" t="n">
        <v>45702</v>
      </c>
      <c r="K4445" s="5" t="inlineStr">
        <is>
          <t>0091/25 0091/25</t>
        </is>
      </c>
      <c r="L4445" s="5" t="inlineStr">
        <is>
          <t>comex14022025</t>
        </is>
      </c>
      <c r="M4445" s="5">
        <f>IF(YEAR(I4445)&lt;=2020,"Até 2020",TEXT(YEAR(I4445),"0"))</f>
        <v/>
      </c>
      <c r="N4445" s="5">
        <f>IFERROR(INDEX(DePara!$A:$A,MATCH(TEXT(B4445,"0"),DePara!$D:$D,0)),"(sem categoria)")</f>
        <v/>
      </c>
      <c r="O4445" s="5">
        <f>IF(J4445="","",Parametros!$B$6-J4445)</f>
        <v/>
      </c>
      <c r="P4445" s="5">
        <f>IF(O4445="","",IF(O4445&gt;0,1,0))</f>
        <v/>
      </c>
    </row>
    <row r="4446">
      <c r="A4446" s="5" t="n">
        <v>1191000000</v>
      </c>
      <c r="B4446" s="5" t="inlineStr">
        <is>
          <t>105237</t>
        </is>
      </c>
      <c r="C4446" s="5" t="inlineStr">
        <is>
          <t>TGP BRASIL PROJETOS &amp; TRANSPORTES I 07752487000108</t>
        </is>
      </c>
      <c r="D4446" s="5" t="inlineStr">
        <is>
          <t>KZ</t>
        </is>
      </c>
      <c r="E4446" s="5" t="n">
        <v>1300001257</v>
      </c>
      <c r="F4446" s="5" t="n"/>
      <c r="G4446" s="5" t="inlineStr">
        <is>
          <t>BRL</t>
        </is>
      </c>
      <c r="H4446" s="9" t="n">
        <v>1445.43</v>
      </c>
      <c r="I4446" s="16" t="n">
        <v>45702</v>
      </c>
      <c r="J4446" s="16" t="n">
        <v>45702</v>
      </c>
      <c r="K4446" s="5" t="inlineStr">
        <is>
          <t>0877/24 0877/24</t>
        </is>
      </c>
      <c r="L4446" s="5" t="inlineStr">
        <is>
          <t>comex14022025</t>
        </is>
      </c>
      <c r="M4446" s="5">
        <f>IF(YEAR(I4446)&lt;=2020,"Até 2020",TEXT(YEAR(I4446),"0"))</f>
        <v/>
      </c>
      <c r="N4446" s="5">
        <f>IFERROR(INDEX(DePara!$A:$A,MATCH(TEXT(B4446,"0"),DePara!$D:$D,0)),"(sem categoria)")</f>
        <v/>
      </c>
      <c r="O4446" s="5">
        <f>IF(J4446="","",Parametros!$B$6-J4446)</f>
        <v/>
      </c>
      <c r="P4446" s="5">
        <f>IF(O4446="","",IF(O4446&gt;0,1,0))</f>
        <v/>
      </c>
    </row>
    <row r="4447">
      <c r="A4447" s="5" t="n">
        <v>1191000000</v>
      </c>
      <c r="B4447" s="5" t="inlineStr">
        <is>
          <t>105237</t>
        </is>
      </c>
      <c r="C4447" s="5" t="inlineStr">
        <is>
          <t>TGP BRASIL PROJETOS &amp; TRANSPORTES I 07752487000108</t>
        </is>
      </c>
      <c r="D4447" s="5" t="inlineStr">
        <is>
          <t>KZ</t>
        </is>
      </c>
      <c r="E4447" s="5" t="n">
        <v>1300001257</v>
      </c>
      <c r="F4447" s="5" t="n"/>
      <c r="G4447" s="5" t="inlineStr">
        <is>
          <t>BRL</t>
        </is>
      </c>
      <c r="H4447" s="9" t="n">
        <v>4340.98</v>
      </c>
      <c r="I4447" s="16" t="n">
        <v>45702</v>
      </c>
      <c r="J4447" s="16" t="n">
        <v>45702</v>
      </c>
      <c r="K4447" s="5" t="inlineStr">
        <is>
          <t>0877/24 0877/24</t>
        </is>
      </c>
      <c r="L4447" s="5" t="inlineStr">
        <is>
          <t>comex14022025</t>
        </is>
      </c>
      <c r="M4447" s="5">
        <f>IF(YEAR(I4447)&lt;=2020,"Até 2020",TEXT(YEAR(I4447),"0"))</f>
        <v/>
      </c>
      <c r="N4447" s="5">
        <f>IFERROR(INDEX(DePara!$A:$A,MATCH(TEXT(B4447,"0"),DePara!$D:$D,0)),"(sem categoria)")</f>
        <v/>
      </c>
      <c r="O4447" s="5">
        <f>IF(J4447="","",Parametros!$B$6-J4447)</f>
        <v/>
      </c>
      <c r="P4447" s="5">
        <f>IF(O4447="","",IF(O4447&gt;0,1,0))</f>
        <v/>
      </c>
    </row>
    <row r="4448">
      <c r="A4448" s="5" t="n">
        <v>1191000000</v>
      </c>
      <c r="B4448" s="5" t="inlineStr">
        <is>
          <t>101333</t>
        </is>
      </c>
      <c r="C4448" s="5" t="inlineStr">
        <is>
          <t>CONCESSIONARIA DO AEROPORTO DE SALV</t>
        </is>
      </c>
      <c r="D4448" s="5" t="inlineStr">
        <is>
          <t>KZ</t>
        </is>
      </c>
      <c r="E4448" s="5" t="n">
        <v>1300001263</v>
      </c>
      <c r="F4448" s="5" t="n"/>
      <c r="G4448" s="5" t="inlineStr">
        <is>
          <t>BRL</t>
        </is>
      </c>
      <c r="H4448" s="9" t="n">
        <v>178.22</v>
      </c>
      <c r="I4448" s="16" t="n">
        <v>45702</v>
      </c>
      <c r="J4448" s="16" t="n">
        <v>45702</v>
      </c>
      <c r="K4448" s="5" t="inlineStr">
        <is>
          <t>1089/24 1089/24</t>
        </is>
      </c>
      <c r="L4448" s="5" t="inlineStr">
        <is>
          <t>comex14022025</t>
        </is>
      </c>
      <c r="M4448" s="5">
        <f>IF(YEAR(I4448)&lt;=2020,"Até 2020",TEXT(YEAR(I4448),"0"))</f>
        <v/>
      </c>
      <c r="N4448" s="5">
        <f>IFERROR(INDEX(DePara!$A:$A,MATCH(TEXT(B4448,"0"),DePara!$D:$D,0)),"(sem categoria)")</f>
        <v/>
      </c>
      <c r="O4448" s="5">
        <f>IF(J4448="","",Parametros!$B$6-J4448)</f>
        <v/>
      </c>
      <c r="P4448" s="5">
        <f>IF(O4448="","",IF(O4448&gt;0,1,0))</f>
        <v/>
      </c>
    </row>
    <row r="4449">
      <c r="A4449" s="5" t="n">
        <v>1191000000</v>
      </c>
      <c r="B4449" s="5" t="inlineStr">
        <is>
          <t>108019</t>
        </is>
      </c>
      <c r="C4449" s="5" t="inlineStr">
        <is>
          <t>GERSON PEDRO DOS SANTOS OLIVEIRA -M</t>
        </is>
      </c>
      <c r="D4449" s="5" t="inlineStr">
        <is>
          <t>KZ</t>
        </is>
      </c>
      <c r="E4449" s="5" t="n">
        <v>1300001300</v>
      </c>
      <c r="F4449" s="5" t="n"/>
      <c r="G4449" s="5" t="inlineStr">
        <is>
          <t>BRL</t>
        </is>
      </c>
      <c r="H4449" s="9" t="n">
        <v>27000</v>
      </c>
      <c r="I4449" s="16" t="n">
        <v>46064</v>
      </c>
      <c r="J4449" s="16" t="n">
        <v>46064</v>
      </c>
      <c r="K4449" s="5" t="inlineStr">
        <is>
          <t>Documento fornecedor GERSON PEDRO DOS SANTOS OLIVE</t>
        </is>
      </c>
      <c r="L4449" s="5" t="inlineStr">
        <is>
          <t>13022026</t>
        </is>
      </c>
      <c r="M4449" s="5">
        <f>IF(YEAR(I4449)&lt;=2020,"Até 2020",TEXT(YEAR(I4449),"0"))</f>
        <v/>
      </c>
      <c r="N4449" s="5">
        <f>IFERROR(INDEX(DePara!$A:$A,MATCH(TEXT(B4449,"0"),DePara!$D:$D,0)),"(sem categoria)")</f>
        <v/>
      </c>
      <c r="O4449" s="5">
        <f>IF(J4449="","",Parametros!$B$6-J4449)</f>
        <v/>
      </c>
      <c r="P4449" s="5">
        <f>IF(O4449="","",IF(O4449&gt;0,1,0))</f>
        <v/>
      </c>
    </row>
    <row r="4450">
      <c r="A4450" s="5" t="n">
        <v>1191000000</v>
      </c>
      <c r="B4450" s="5" t="inlineStr">
        <is>
          <t>108017</t>
        </is>
      </c>
      <c r="C4450" s="5" t="inlineStr">
        <is>
          <t>CARLOS DIAS DOS SANTOS</t>
        </is>
      </c>
      <c r="D4450" s="5" t="inlineStr">
        <is>
          <t>KZ</t>
        </is>
      </c>
      <c r="E4450" s="5" t="n">
        <v>1300001301</v>
      </c>
      <c r="F4450" s="5" t="n"/>
      <c r="G4450" s="5" t="inlineStr">
        <is>
          <t>BRL</t>
        </is>
      </c>
      <c r="H4450" s="9" t="n">
        <v>18750</v>
      </c>
      <c r="I4450" s="16" t="n">
        <v>46064</v>
      </c>
      <c r="J4450" s="16" t="n">
        <v>46064</v>
      </c>
      <c r="K4450" s="5" t="inlineStr">
        <is>
          <t>Documento fornecedor CARLOS DIAS DOS SANTOS 490003</t>
        </is>
      </c>
      <c r="L4450" s="5" t="inlineStr">
        <is>
          <t>13022026</t>
        </is>
      </c>
      <c r="M4450" s="5">
        <f>IF(YEAR(I4450)&lt;=2020,"Até 2020",TEXT(YEAR(I4450),"0"))</f>
        <v/>
      </c>
      <c r="N4450" s="5">
        <f>IFERROR(INDEX(DePara!$A:$A,MATCH(TEXT(B4450,"0"),DePara!$D:$D,0)),"(sem categoria)")</f>
        <v/>
      </c>
      <c r="O4450" s="5">
        <f>IF(J4450="","",Parametros!$B$6-J4450)</f>
        <v/>
      </c>
      <c r="P4450" s="5">
        <f>IF(O4450="","",IF(O4450&gt;0,1,0))</f>
        <v/>
      </c>
    </row>
    <row r="4451">
      <c r="A4451" s="5" t="n">
        <v>1191000000</v>
      </c>
      <c r="B4451" s="5" t="inlineStr">
        <is>
          <t>100393</t>
        </is>
      </c>
      <c r="C4451" s="5" t="inlineStr">
        <is>
          <t>DISTRIBUIDORA DE PRODUCTOS DE ELEVA</t>
        </is>
      </c>
      <c r="D4451" s="5" t="inlineStr">
        <is>
          <t>KZ</t>
        </is>
      </c>
      <c r="E4451" s="5" t="n">
        <v>1300001419</v>
      </c>
      <c r="F4451" s="5" t="n"/>
      <c r="G4451" s="5" t="inlineStr">
        <is>
          <t>EUR</t>
        </is>
      </c>
      <c r="H4451" s="9" t="n">
        <v>20225.39</v>
      </c>
      <c r="I4451" s="16" t="n">
        <v>45386</v>
      </c>
      <c r="J4451" s="16" t="n">
        <v>45386</v>
      </c>
      <c r="K4451" s="5" t="inlineStr">
        <is>
          <t>Vendor DP Request DISTRIBUIDORA DE PRODUCTOS DE EL</t>
        </is>
      </c>
      <c r="L4451" s="5" t="inlineStr">
        <is>
          <t>32332 DUPLICIDADE</t>
        </is>
      </c>
      <c r="M4451" s="5">
        <f>IF(YEAR(I4451)&lt;=2020,"Até 2020",TEXT(YEAR(I4451),"0"))</f>
        <v/>
      </c>
      <c r="N4451" s="5">
        <f>IFERROR(INDEX(DePara!$A:$A,MATCH(TEXT(B4451,"0"),DePara!$D:$D,0)),"(sem categoria)")</f>
        <v/>
      </c>
      <c r="O4451" s="5">
        <f>IF(J4451="","",Parametros!$B$6-J4451)</f>
        <v/>
      </c>
      <c r="P4451" s="5">
        <f>IF(O4451="","",IF(O4451&gt;0,1,0))</f>
        <v/>
      </c>
    </row>
    <row r="4452">
      <c r="A4452" s="5" t="n">
        <v>1191000000</v>
      </c>
      <c r="B4452" s="5" t="inlineStr">
        <is>
          <t>101969</t>
        </is>
      </c>
      <c r="C4452" s="5" t="inlineStr">
        <is>
          <t>SECRETARIA DE ESTADO DA FAZENDA RN</t>
        </is>
      </c>
      <c r="D4452" s="5" t="inlineStr">
        <is>
          <t>KZ</t>
        </is>
      </c>
      <c r="E4452" s="5" t="n">
        <v>1300001580</v>
      </c>
      <c r="F4452" s="5" t="n"/>
      <c r="G4452" s="5" t="inlineStr">
        <is>
          <t>BRL</t>
        </is>
      </c>
      <c r="H4452" s="9" t="n">
        <v>1492.48</v>
      </c>
      <c r="I4452" s="16" t="n">
        <v>45714</v>
      </c>
      <c r="J4452" s="16" t="n">
        <v>45714</v>
      </c>
      <c r="K4452" s="5" t="inlineStr">
        <is>
          <t>Documento fornecedor SECRETARIA DE ESTADO DA FAZEN</t>
        </is>
      </c>
      <c r="L4452" s="5" t="inlineStr">
        <is>
          <t>comex26022025</t>
        </is>
      </c>
      <c r="M4452" s="5">
        <f>IF(YEAR(I4452)&lt;=2020,"Até 2020",TEXT(YEAR(I4452),"0"))</f>
        <v/>
      </c>
      <c r="N4452" s="5">
        <f>IFERROR(INDEX(DePara!$A:$A,MATCH(TEXT(B4452,"0"),DePara!$D:$D,0)),"(sem categoria)")</f>
        <v/>
      </c>
      <c r="O4452" s="5">
        <f>IF(J4452="","",Parametros!$B$6-J4452)</f>
        <v/>
      </c>
      <c r="P4452" s="5">
        <f>IF(O4452="","",IF(O4452&gt;0,1,0))</f>
        <v/>
      </c>
    </row>
    <row r="4453">
      <c r="A4453" s="5" t="n">
        <v>1191000000</v>
      </c>
      <c r="B4453" s="5" t="inlineStr">
        <is>
          <t>102001</t>
        </is>
      </c>
      <c r="C4453" s="5" t="inlineStr">
        <is>
          <t>TRIBUNAL REGIONAL TRABALHO 21A REGI</t>
        </is>
      </c>
      <c r="D4453" s="5" t="inlineStr">
        <is>
          <t>KZ</t>
        </is>
      </c>
      <c r="E4453" s="5" t="n">
        <v>1300001601</v>
      </c>
      <c r="F4453" s="5" t="n"/>
      <c r="G4453" s="5" t="inlineStr">
        <is>
          <t>BRL</t>
        </is>
      </c>
      <c r="H4453" s="9" t="n">
        <v>12665.14</v>
      </c>
      <c r="I4453" s="16" t="n">
        <v>45412</v>
      </c>
      <c r="J4453" s="16" t="n">
        <v>45412</v>
      </c>
      <c r="K4453" s="5" t="inlineStr">
        <is>
          <t>Documento fornecedor TRIBUNAL REGIONAL TRABALHO 21</t>
        </is>
      </c>
      <c r="L4453" s="5" t="n"/>
      <c r="M4453" s="5">
        <f>IF(YEAR(I4453)&lt;=2020,"Até 2020",TEXT(YEAR(I4453),"0"))</f>
        <v/>
      </c>
      <c r="N4453" s="5">
        <f>IFERROR(INDEX(DePara!$A:$A,MATCH(TEXT(B4453,"0"),DePara!$D:$D,0)),"(sem categoria)")</f>
        <v/>
      </c>
      <c r="O4453" s="5">
        <f>IF(J4453="","",Parametros!$B$6-J4453)</f>
        <v/>
      </c>
      <c r="P4453" s="5">
        <f>IF(O4453="","",IF(O4453&gt;0,1,0))</f>
        <v/>
      </c>
    </row>
    <row r="4454">
      <c r="A4454" s="5" t="n">
        <v>1191000000</v>
      </c>
      <c r="B4454" s="5" t="inlineStr">
        <is>
          <t>101888</t>
        </is>
      </c>
      <c r="C4454" s="5" t="inlineStr">
        <is>
          <t>BANCO SANTANDER BRASIL SA</t>
        </is>
      </c>
      <c r="D4454" s="5" t="inlineStr">
        <is>
          <t>KZ</t>
        </is>
      </c>
      <c r="E4454" s="5" t="n">
        <v>1300001668</v>
      </c>
      <c r="F4454" s="5" t="n"/>
      <c r="G4454" s="5" t="inlineStr">
        <is>
          <t>BRL</t>
        </is>
      </c>
      <c r="H4454" s="9" t="n">
        <v>28723.63</v>
      </c>
      <c r="I4454" s="16" t="n">
        <v>45415</v>
      </c>
      <c r="J4454" s="16" t="n">
        <v>45415</v>
      </c>
      <c r="K4454" s="5" t="inlineStr">
        <is>
          <t>Documento fornecedor BANCO SANTANDER BRASIL SA CC</t>
        </is>
      </c>
      <c r="L4454" s="5" t="inlineStr">
        <is>
          <t>03052024</t>
        </is>
      </c>
      <c r="M4454" s="5">
        <f>IF(YEAR(I4454)&lt;=2020,"Até 2020",TEXT(YEAR(I4454),"0"))</f>
        <v/>
      </c>
      <c r="N4454" s="5">
        <f>IFERROR(INDEX(DePara!$A:$A,MATCH(TEXT(B4454,"0"),DePara!$D:$D,0)),"(sem categoria)")</f>
        <v/>
      </c>
      <c r="O4454" s="5">
        <f>IF(J4454="","",Parametros!$B$6-J4454)</f>
        <v/>
      </c>
      <c r="P4454" s="5">
        <f>IF(O4454="","",IF(O4454&gt;0,1,0))</f>
        <v/>
      </c>
    </row>
    <row r="4455">
      <c r="A4455" s="5" t="n">
        <v>1191000000</v>
      </c>
      <c r="B4455" s="5" t="inlineStr">
        <is>
          <t>101269</t>
        </is>
      </c>
      <c r="C4455" s="5" t="inlineStr">
        <is>
          <t>CERTISIGN CERTIFICADORA DIGITAL SA</t>
        </is>
      </c>
      <c r="D4455" s="5" t="inlineStr">
        <is>
          <t>KZ</t>
        </is>
      </c>
      <c r="E4455" s="5" t="n">
        <v>1300001699</v>
      </c>
      <c r="F4455" s="5" t="n"/>
      <c r="G4455" s="5" t="inlineStr">
        <is>
          <t>BRL</t>
        </is>
      </c>
      <c r="H4455" s="9" t="n">
        <v>324.4</v>
      </c>
      <c r="I4455" s="16" t="n">
        <v>45723</v>
      </c>
      <c r="J4455" s="16" t="n">
        <v>45723</v>
      </c>
      <c r="K4455" s="5" t="inlineStr">
        <is>
          <t>Documento fornecedor CERTISIGN CERTIFICADORA DIGIT</t>
        </is>
      </c>
      <c r="L4455" s="5" t="inlineStr">
        <is>
          <t>07032025</t>
        </is>
      </c>
      <c r="M4455" s="5">
        <f>IF(YEAR(I4455)&lt;=2020,"Até 2020",TEXT(YEAR(I4455),"0"))</f>
        <v/>
      </c>
      <c r="N4455" s="5">
        <f>IFERROR(INDEX(DePara!$A:$A,MATCH(TEXT(B4455,"0"),DePara!$D:$D,0)),"(sem categoria)")</f>
        <v/>
      </c>
      <c r="O4455" s="5">
        <f>IF(J4455="","",Parametros!$B$6-J4455)</f>
        <v/>
      </c>
      <c r="P4455" s="5">
        <f>IF(O4455="","",IF(O4455&gt;0,1,0))</f>
        <v/>
      </c>
    </row>
    <row r="4456">
      <c r="A4456" s="5" t="n">
        <v>1191000000</v>
      </c>
      <c r="B4456" s="5" t="inlineStr">
        <is>
          <t>101888</t>
        </is>
      </c>
      <c r="C4456" s="5" t="inlineStr">
        <is>
          <t>BANCO SANTANDER BRASIL SA</t>
        </is>
      </c>
      <c r="D4456" s="5" t="inlineStr">
        <is>
          <t>KZ</t>
        </is>
      </c>
      <c r="E4456" s="5" t="n">
        <v>1300002276</v>
      </c>
      <c r="F4456" s="5" t="n"/>
      <c r="G4456" s="5" t="inlineStr">
        <is>
          <t>BRL</t>
        </is>
      </c>
      <c r="H4456" s="9" t="n">
        <v>52718.76</v>
      </c>
      <c r="I4456" s="16" t="n">
        <v>45441</v>
      </c>
      <c r="J4456" s="16" t="n">
        <v>45441</v>
      </c>
      <c r="K4456" s="5" t="inlineStr">
        <is>
          <t>Documento fornecedor BANCO SANTANDER BRASIL SA UBE</t>
        </is>
      </c>
      <c r="L4456" s="5" t="n"/>
      <c r="M4456" s="5">
        <f>IF(YEAR(I4456)&lt;=2020,"Até 2020",TEXT(YEAR(I4456),"0"))</f>
        <v/>
      </c>
      <c r="N4456" s="5">
        <f>IFERROR(INDEX(DePara!$A:$A,MATCH(TEXT(B4456,"0"),DePara!$D:$D,0)),"(sem categoria)")</f>
        <v/>
      </c>
      <c r="O4456" s="5">
        <f>IF(J4456="","",Parametros!$B$6-J4456)</f>
        <v/>
      </c>
      <c r="P4456" s="5">
        <f>IF(O4456="","",IF(O4456&gt;0,1,0))</f>
        <v/>
      </c>
    </row>
    <row r="4457">
      <c r="A4457" s="5" t="n">
        <v>1191000000</v>
      </c>
      <c r="B4457" s="5" t="inlineStr">
        <is>
          <t>102057</t>
        </is>
      </c>
      <c r="C4457" s="5" t="inlineStr">
        <is>
          <t>AERIS INDUSTRIA E COM EQUI GERACAO</t>
        </is>
      </c>
      <c r="D4457" s="5" t="inlineStr">
        <is>
          <t>KZ</t>
        </is>
      </c>
      <c r="E4457" s="5" t="n">
        <v>1300002579</v>
      </c>
      <c r="F4457" s="5" t="n"/>
      <c r="G4457" s="5" t="inlineStr">
        <is>
          <t>BRL</t>
        </is>
      </c>
      <c r="H4457" s="9" t="n">
        <v>559690.03</v>
      </c>
      <c r="I4457" s="16" t="n">
        <v>45785</v>
      </c>
      <c r="J4457" s="16" t="n">
        <v>45785</v>
      </c>
      <c r="K4457" s="5" t="inlineStr">
        <is>
          <t>Documento fornecedor AERIS INDUSTRIA E COM EQUI GE</t>
        </is>
      </c>
      <c r="L4457" s="5" t="inlineStr">
        <is>
          <t>09052025</t>
        </is>
      </c>
      <c r="M4457" s="5">
        <f>IF(YEAR(I4457)&lt;=2020,"Até 2020",TEXT(YEAR(I4457),"0"))</f>
        <v/>
      </c>
      <c r="N4457" s="5">
        <f>IFERROR(INDEX(DePara!$A:$A,MATCH(TEXT(B4457,"0"),DePara!$D:$D,0)),"(sem categoria)")</f>
        <v/>
      </c>
      <c r="O4457" s="5">
        <f>IF(J4457="","",Parametros!$B$6-J4457)</f>
        <v/>
      </c>
      <c r="P4457" s="5">
        <f>IF(O4457="","",IF(O4457&gt;0,1,0))</f>
        <v/>
      </c>
    </row>
    <row r="4458">
      <c r="A4458" s="5" t="n">
        <v>1191000000</v>
      </c>
      <c r="B4458" s="5" t="inlineStr">
        <is>
          <t>102057</t>
        </is>
      </c>
      <c r="C4458" s="5" t="inlineStr">
        <is>
          <t>AERIS INDUSTRIA E COM EQUI GERACAO</t>
        </is>
      </c>
      <c r="D4458" s="5" t="inlineStr">
        <is>
          <t>KZ</t>
        </is>
      </c>
      <c r="E4458" s="5" t="n">
        <v>1300002594</v>
      </c>
      <c r="F4458" s="5" t="n"/>
      <c r="G4458" s="5" t="inlineStr">
        <is>
          <t>BRL</t>
        </is>
      </c>
      <c r="H4458" s="9" t="n">
        <v>559315.99</v>
      </c>
      <c r="I4458" s="16" t="n">
        <v>45789</v>
      </c>
      <c r="J4458" s="16" t="n">
        <v>45789</v>
      </c>
      <c r="K4458" s="5" t="inlineStr">
        <is>
          <t>Documento fornecedor AERIS INDUSTRIA E COM EQUI GE</t>
        </is>
      </c>
      <c r="L4458" s="5" t="inlineStr">
        <is>
          <t>14052025</t>
        </is>
      </c>
      <c r="M4458" s="5">
        <f>IF(YEAR(I4458)&lt;=2020,"Até 2020",TEXT(YEAR(I4458),"0"))</f>
        <v/>
      </c>
      <c r="N4458" s="5">
        <f>IFERROR(INDEX(DePara!$A:$A,MATCH(TEXT(B4458,"0"),DePara!$D:$D,0)),"(sem categoria)")</f>
        <v/>
      </c>
      <c r="O4458" s="5">
        <f>IF(J4458="","",Parametros!$B$6-J4458)</f>
        <v/>
      </c>
      <c r="P4458" s="5">
        <f>IF(O4458="","",IF(O4458&gt;0,1,0))</f>
        <v/>
      </c>
    </row>
    <row r="4459">
      <c r="A4459" s="5" t="n">
        <v>1191000000</v>
      </c>
      <c r="B4459" s="5" t="inlineStr">
        <is>
          <t>102057</t>
        </is>
      </c>
      <c r="C4459" s="5" t="inlineStr">
        <is>
          <t>AERIS INDUSTRIA E COM EQUI GERACAO</t>
        </is>
      </c>
      <c r="D4459" s="5" t="inlineStr">
        <is>
          <t>KZ</t>
        </is>
      </c>
      <c r="E4459" s="5" t="n">
        <v>1300002659</v>
      </c>
      <c r="F4459" s="5" t="n"/>
      <c r="G4459" s="5" t="inlineStr">
        <is>
          <t>BRL</t>
        </is>
      </c>
      <c r="H4459" s="9" t="n">
        <v>371230.22</v>
      </c>
      <c r="I4459" s="16" t="n">
        <v>45799</v>
      </c>
      <c r="J4459" s="16" t="n">
        <v>45799</v>
      </c>
      <c r="K4459" s="5" t="inlineStr">
        <is>
          <t>Vendor DP Request AERIS INDUSTRIA E COM EQUI GERAC</t>
        </is>
      </c>
      <c r="L4459" s="5" t="inlineStr">
        <is>
          <t>23052025</t>
        </is>
      </c>
      <c r="M4459" s="5">
        <f>IF(YEAR(I4459)&lt;=2020,"Até 2020",TEXT(YEAR(I4459),"0"))</f>
        <v/>
      </c>
      <c r="N4459" s="5">
        <f>IFERROR(INDEX(DePara!$A:$A,MATCH(TEXT(B4459,"0"),DePara!$D:$D,0)),"(sem categoria)")</f>
        <v/>
      </c>
      <c r="O4459" s="5">
        <f>IF(J4459="","",Parametros!$B$6-J4459)</f>
        <v/>
      </c>
      <c r="P4459" s="5">
        <f>IF(O4459="","",IF(O4459&gt;0,1,0))</f>
        <v/>
      </c>
    </row>
    <row r="4460">
      <c r="A4460" s="5" t="n">
        <v>1191000000</v>
      </c>
      <c r="B4460" s="5" t="inlineStr">
        <is>
          <t>102057</t>
        </is>
      </c>
      <c r="C4460" s="5" t="inlineStr">
        <is>
          <t>AERIS INDUSTRIA E COM EQUI GERACAO</t>
        </is>
      </c>
      <c r="D4460" s="5" t="inlineStr">
        <is>
          <t>KZ</t>
        </is>
      </c>
      <c r="E4460" s="5" t="n">
        <v>1300002746</v>
      </c>
      <c r="F4460" s="5" t="n"/>
      <c r="G4460" s="5" t="inlineStr">
        <is>
          <t>BRL</t>
        </is>
      </c>
      <c r="H4460" s="9" t="n">
        <v>371545.2</v>
      </c>
      <c r="I4460" s="16" t="n">
        <v>45803</v>
      </c>
      <c r="J4460" s="16" t="n">
        <v>45803</v>
      </c>
      <c r="K4460" s="5" t="inlineStr">
        <is>
          <t>Documento fornecedor AERIS INDUSTRIA E COM EQUI GE</t>
        </is>
      </c>
      <c r="L4460" s="5" t="inlineStr">
        <is>
          <t>28052025</t>
        </is>
      </c>
      <c r="M4460" s="5">
        <f>IF(YEAR(I4460)&lt;=2020,"Até 2020",TEXT(YEAR(I4460),"0"))</f>
        <v/>
      </c>
      <c r="N4460" s="5">
        <f>IFERROR(INDEX(DePara!$A:$A,MATCH(TEXT(B4460,"0"),DePara!$D:$D,0)),"(sem categoria)")</f>
        <v/>
      </c>
      <c r="O4460" s="5">
        <f>IF(J4460="","",Parametros!$B$6-J4460)</f>
        <v/>
      </c>
      <c r="P4460" s="5">
        <f>IF(O4460="","",IF(O4460&gt;0,1,0))</f>
        <v/>
      </c>
    </row>
    <row r="4461">
      <c r="A4461" s="5" t="n">
        <v>1191000000</v>
      </c>
      <c r="B4461" s="5" t="inlineStr">
        <is>
          <t>101888</t>
        </is>
      </c>
      <c r="C4461" s="5" t="inlineStr">
        <is>
          <t>BANCO SANTANDER BRASIL SA</t>
        </is>
      </c>
      <c r="D4461" s="5" t="inlineStr">
        <is>
          <t>KZ</t>
        </is>
      </c>
      <c r="E4461" s="5" t="n">
        <v>1300002749</v>
      </c>
      <c r="F4461" s="5" t="n"/>
      <c r="G4461" s="5" t="inlineStr">
        <is>
          <t>BRL</t>
        </is>
      </c>
      <c r="H4461" s="9" t="n">
        <v>36304.24</v>
      </c>
      <c r="I4461" s="16" t="n">
        <v>45471</v>
      </c>
      <c r="J4461" s="16" t="n">
        <v>45471</v>
      </c>
      <c r="K4461" s="5" t="inlineStr">
        <is>
          <t>Documento fornecedor BANCO SANTANDER BRASIL SA UBE</t>
        </is>
      </c>
      <c r="L4461" s="5" t="inlineStr">
        <is>
          <t>28062024</t>
        </is>
      </c>
      <c r="M4461" s="5">
        <f>IF(YEAR(I4461)&lt;=2020,"Até 2020",TEXT(YEAR(I4461),"0"))</f>
        <v/>
      </c>
      <c r="N4461" s="5">
        <f>IFERROR(INDEX(DePara!$A:$A,MATCH(TEXT(B4461,"0"),DePara!$D:$D,0)),"(sem categoria)")</f>
        <v/>
      </c>
      <c r="O4461" s="5">
        <f>IF(J4461="","",Parametros!$B$6-J4461)</f>
        <v/>
      </c>
      <c r="P4461" s="5">
        <f>IF(O4461="","",IF(O4461&gt;0,1,0))</f>
        <v/>
      </c>
    </row>
    <row r="4462">
      <c r="A4462" s="5" t="n">
        <v>1191000000</v>
      </c>
      <c r="B4462" s="5" t="inlineStr">
        <is>
          <t>101973</t>
        </is>
      </c>
      <c r="C4462" s="5" t="inlineStr">
        <is>
          <t>APM TERMINALS PECEM OPERACOES P LTD</t>
        </is>
      </c>
      <c r="D4462" s="5" t="inlineStr">
        <is>
          <t>KZ</t>
        </is>
      </c>
      <c r="E4462" s="5" t="n">
        <v>1300002929</v>
      </c>
      <c r="F4462" s="5" t="n"/>
      <c r="G4462" s="5" t="inlineStr">
        <is>
          <t>BRL</t>
        </is>
      </c>
      <c r="H4462" s="9" t="n">
        <v>463.57</v>
      </c>
      <c r="I4462" s="16" t="n">
        <v>45818</v>
      </c>
      <c r="J4462" s="16" t="n">
        <v>45818</v>
      </c>
      <c r="K4462" s="5" t="inlineStr">
        <is>
          <t>0516/23 0516/23</t>
        </is>
      </c>
      <c r="L4462" s="5" t="inlineStr">
        <is>
          <t>comex11062025</t>
        </is>
      </c>
      <c r="M4462" s="5">
        <f>IF(YEAR(I4462)&lt;=2020,"Até 2020",TEXT(YEAR(I4462),"0"))</f>
        <v/>
      </c>
      <c r="N4462" s="5">
        <f>IFERROR(INDEX(DePara!$A:$A,MATCH(TEXT(B4462,"0"),DePara!$D:$D,0)),"(sem categoria)")</f>
        <v/>
      </c>
      <c r="O4462" s="5">
        <f>IF(J4462="","",Parametros!$B$6-J4462)</f>
        <v/>
      </c>
      <c r="P4462" s="5">
        <f>IF(O4462="","",IF(O4462&gt;0,1,0))</f>
        <v/>
      </c>
    </row>
    <row r="4463">
      <c r="A4463" s="5" t="n">
        <v>1191000000</v>
      </c>
      <c r="B4463" s="5" t="inlineStr">
        <is>
          <t>100183</t>
        </is>
      </c>
      <c r="C4463" s="5" t="inlineStr">
        <is>
          <t>AGL TRANSPORTES INTERNACIONAIS LTDA</t>
        </is>
      </c>
      <c r="D4463" s="5" t="inlineStr">
        <is>
          <t>KZ</t>
        </is>
      </c>
      <c r="E4463" s="5" t="n">
        <v>1300003918</v>
      </c>
      <c r="F4463" s="5" t="n"/>
      <c r="G4463" s="5" t="inlineStr">
        <is>
          <t>BRL</t>
        </is>
      </c>
      <c r="H4463" s="9" t="n">
        <v>1481.4</v>
      </c>
      <c r="I4463" s="16" t="n">
        <v>45867</v>
      </c>
      <c r="J4463" s="16" t="n">
        <v>45867</v>
      </c>
      <c r="K4463" s="5" t="inlineStr">
        <is>
          <t>0044/25 0044/25</t>
        </is>
      </c>
      <c r="L4463" s="5" t="inlineStr">
        <is>
          <t>comex30072025</t>
        </is>
      </c>
      <c r="M4463" s="5">
        <f>IF(YEAR(I4463)&lt;=2020,"Até 2020",TEXT(YEAR(I4463),"0"))</f>
        <v/>
      </c>
      <c r="N4463" s="5">
        <f>IFERROR(INDEX(DePara!$A:$A,MATCH(TEXT(B4463,"0"),DePara!$D:$D,0)),"(sem categoria)")</f>
        <v/>
      </c>
      <c r="O4463" s="5">
        <f>IF(J4463="","",Parametros!$B$6-J4463)</f>
        <v/>
      </c>
      <c r="P4463" s="5">
        <f>IF(O4463="","",IF(O4463&gt;0,1,0))</f>
        <v/>
      </c>
    </row>
    <row r="4464">
      <c r="A4464" s="5" t="n">
        <v>1191000000</v>
      </c>
      <c r="B4464" s="5" t="inlineStr">
        <is>
          <t>100183</t>
        </is>
      </c>
      <c r="C4464" s="5" t="inlineStr">
        <is>
          <t>AGL TRANSPORTES INTERNACIONAIS LTDA</t>
        </is>
      </c>
      <c r="D4464" s="5" t="inlineStr">
        <is>
          <t>KZ</t>
        </is>
      </c>
      <c r="E4464" s="5" t="n">
        <v>1300003919</v>
      </c>
      <c r="F4464" s="5" t="n"/>
      <c r="G4464" s="5" t="inlineStr">
        <is>
          <t>BRL</t>
        </is>
      </c>
      <c r="H4464" s="9" t="n">
        <v>13332.6</v>
      </c>
      <c r="I4464" s="16" t="n">
        <v>45867</v>
      </c>
      <c r="J4464" s="16" t="n">
        <v>45867</v>
      </c>
      <c r="K4464" s="5" t="inlineStr">
        <is>
          <t>0012/25 0012/25</t>
        </is>
      </c>
      <c r="L4464" s="5" t="inlineStr">
        <is>
          <t>comex30072025</t>
        </is>
      </c>
      <c r="M4464" s="5">
        <f>IF(YEAR(I4464)&lt;=2020,"Até 2020",TEXT(YEAR(I4464),"0"))</f>
        <v/>
      </c>
      <c r="N4464" s="5">
        <f>IFERROR(INDEX(DePara!$A:$A,MATCH(TEXT(B4464,"0"),DePara!$D:$D,0)),"(sem categoria)")</f>
        <v/>
      </c>
      <c r="O4464" s="5">
        <f>IF(J4464="","",Parametros!$B$6-J4464)</f>
        <v/>
      </c>
      <c r="P4464" s="5">
        <f>IF(O4464="","",IF(O4464&gt;0,1,0))</f>
        <v/>
      </c>
    </row>
    <row r="4465">
      <c r="A4465" s="5" t="n">
        <v>1191000000</v>
      </c>
      <c r="B4465" s="5" t="inlineStr">
        <is>
          <t>100183</t>
        </is>
      </c>
      <c r="C4465" s="5" t="inlineStr">
        <is>
          <t>AGL TRANSPORTES INTERNACIONAIS LTDA</t>
        </is>
      </c>
      <c r="D4465" s="5" t="inlineStr">
        <is>
          <t>KZ</t>
        </is>
      </c>
      <c r="E4465" s="5" t="n">
        <v>1300003920</v>
      </c>
      <c r="F4465" s="5" t="n"/>
      <c r="G4465" s="5" t="inlineStr">
        <is>
          <t>BRL</t>
        </is>
      </c>
      <c r="H4465" s="9" t="n">
        <v>8024.25</v>
      </c>
      <c r="I4465" s="16" t="n">
        <v>45867</v>
      </c>
      <c r="J4465" s="16" t="n">
        <v>45867</v>
      </c>
      <c r="K4465" s="5" t="inlineStr">
        <is>
          <t>1178/24 1178/24</t>
        </is>
      </c>
      <c r="L4465" s="5" t="inlineStr">
        <is>
          <t>comex30072025</t>
        </is>
      </c>
      <c r="M4465" s="5">
        <f>IF(YEAR(I4465)&lt;=2020,"Até 2020",TEXT(YEAR(I4465),"0"))</f>
        <v/>
      </c>
      <c r="N4465" s="5">
        <f>IFERROR(INDEX(DePara!$A:$A,MATCH(TEXT(B4465,"0"),DePara!$D:$D,0)),"(sem categoria)")</f>
        <v/>
      </c>
      <c r="O4465" s="5">
        <f>IF(J4465="","",Parametros!$B$6-J4465)</f>
        <v/>
      </c>
      <c r="P4465" s="5">
        <f>IF(O4465="","",IF(O4465&gt;0,1,0))</f>
        <v/>
      </c>
    </row>
    <row r="4466">
      <c r="A4466" s="5" t="n">
        <v>1191000000</v>
      </c>
      <c r="B4466" s="5" t="inlineStr">
        <is>
          <t>103886</t>
        </is>
      </c>
      <c r="C4466" s="5" t="inlineStr">
        <is>
          <t>FEDERAL EXPRESS CORPORATION</t>
        </is>
      </c>
      <c r="D4466" s="5" t="inlineStr">
        <is>
          <t>KZ</t>
        </is>
      </c>
      <c r="E4466" s="5" t="n">
        <v>1300004955</v>
      </c>
      <c r="F4466" s="5" t="n"/>
      <c r="G4466" s="5" t="inlineStr">
        <is>
          <t>BRL</t>
        </is>
      </c>
      <c r="H4466" s="9" t="n">
        <v>1665.7</v>
      </c>
      <c r="I4466" s="16" t="n">
        <v>45605</v>
      </c>
      <c r="J4466" s="16" t="n">
        <v>45605</v>
      </c>
      <c r="K4466" s="5" t="inlineStr">
        <is>
          <t>Documento fornecedor FEDERAL EXPRESS CORPORATION 5</t>
        </is>
      </c>
      <c r="L4466" s="5" t="inlineStr">
        <is>
          <t>16022024</t>
        </is>
      </c>
      <c r="M4466" s="5">
        <f>IF(YEAR(I4466)&lt;=2020,"Até 2020",TEXT(YEAR(I4466),"0"))</f>
        <v/>
      </c>
      <c r="N4466" s="5">
        <f>IFERROR(INDEX(DePara!$A:$A,MATCH(TEXT(B4466,"0"),DePara!$D:$D,0)),"(sem categoria)")</f>
        <v/>
      </c>
      <c r="O4466" s="5">
        <f>IF(J4466="","",Parametros!$B$6-J4466)</f>
        <v/>
      </c>
      <c r="P4466" s="5">
        <f>IF(O4466="","",IF(O4466&gt;0,1,0))</f>
        <v/>
      </c>
    </row>
    <row r="4467">
      <c r="A4467" s="5" t="n">
        <v>1191000000</v>
      </c>
      <c r="B4467" s="5" t="inlineStr">
        <is>
          <t>101269</t>
        </is>
      </c>
      <c r="C4467" s="5" t="inlineStr">
        <is>
          <t>CERTISIGN CERTIFICADORA DIGITAL SA</t>
        </is>
      </c>
      <c r="D4467" s="5" t="inlineStr">
        <is>
          <t>KZ</t>
        </is>
      </c>
      <c r="E4467" s="5" t="n">
        <v>1300005090</v>
      </c>
      <c r="F4467" s="5" t="n"/>
      <c r="G4467" s="5" t="inlineStr">
        <is>
          <t>BRL</t>
        </is>
      </c>
      <c r="H4467" s="9" t="n">
        <v>549.8</v>
      </c>
      <c r="I4467" s="16" t="n">
        <v>45902</v>
      </c>
      <c r="J4467" s="16" t="n">
        <v>45902</v>
      </c>
      <c r="K4467" s="5" t="inlineStr">
        <is>
          <t>Documento fornecedor CERTISIGN CERTIFICADORA DIGIT</t>
        </is>
      </c>
      <c r="L4467" s="5" t="inlineStr">
        <is>
          <t>03092025</t>
        </is>
      </c>
      <c r="M4467" s="5">
        <f>IF(YEAR(I4467)&lt;=2020,"Até 2020",TEXT(YEAR(I4467),"0"))</f>
        <v/>
      </c>
      <c r="N4467" s="5">
        <f>IFERROR(INDEX(DePara!$A:$A,MATCH(TEXT(B4467,"0"),DePara!$D:$D,0)),"(sem categoria)")</f>
        <v/>
      </c>
      <c r="O4467" s="5">
        <f>IF(J4467="","",Parametros!$B$6-J4467)</f>
        <v/>
      </c>
      <c r="P4467" s="5">
        <f>IF(O4467="","",IF(O4467&gt;0,1,0))</f>
        <v/>
      </c>
    </row>
    <row r="4468">
      <c r="A4468" s="5" t="n">
        <v>1191000000</v>
      </c>
      <c r="B4468" s="5" t="inlineStr">
        <is>
          <t>101331</t>
        </is>
      </c>
      <c r="C4468" s="5" t="inlineStr">
        <is>
          <t>GEODIS GERENCI DE FRETES DO BRASIL</t>
        </is>
      </c>
      <c r="D4468" s="5" t="inlineStr">
        <is>
          <t>KZ</t>
        </is>
      </c>
      <c r="E4468" s="5" t="n">
        <v>1300005189</v>
      </c>
      <c r="F4468" s="5" t="n"/>
      <c r="G4468" s="5" t="inlineStr">
        <is>
          <t>BRL</t>
        </is>
      </c>
      <c r="H4468" s="9" t="n">
        <v>12462.25</v>
      </c>
      <c r="I4468" s="16" t="n">
        <v>45904</v>
      </c>
      <c r="J4468" s="16" t="n">
        <v>45904</v>
      </c>
      <c r="K4468" s="5" t="inlineStr">
        <is>
          <t>0317/24 0317/24</t>
        </is>
      </c>
      <c r="L4468" s="5" t="inlineStr">
        <is>
          <t>comex05092025</t>
        </is>
      </c>
      <c r="M4468" s="5">
        <f>IF(YEAR(I4468)&lt;=2020,"Até 2020",TEXT(YEAR(I4468),"0"))</f>
        <v/>
      </c>
      <c r="N4468" s="5">
        <f>IFERROR(INDEX(DePara!$A:$A,MATCH(TEXT(B4468,"0"),DePara!$D:$D,0)),"(sem categoria)")</f>
        <v/>
      </c>
      <c r="O4468" s="5">
        <f>IF(J4468="","",Parametros!$B$6-J4468)</f>
        <v/>
      </c>
      <c r="P4468" s="5">
        <f>IF(O4468="","",IF(O4468&gt;0,1,0))</f>
        <v/>
      </c>
    </row>
    <row r="4469">
      <c r="A4469" s="5" t="n">
        <v>1191000000</v>
      </c>
      <c r="B4469" s="5" t="inlineStr">
        <is>
          <t>105629</t>
        </is>
      </c>
      <c r="C4469" s="5" t="inlineStr">
        <is>
          <t>RESTAURANTE SANTA GERTRUDES LTDA 47904495000309</t>
        </is>
      </c>
      <c r="D4469" s="5" t="inlineStr">
        <is>
          <t>KZ</t>
        </is>
      </c>
      <c r="E4469" s="5" t="n">
        <v>1300005378</v>
      </c>
      <c r="F4469" s="5" t="n"/>
      <c r="G4469" s="5" t="inlineStr">
        <is>
          <t>BRL</t>
        </is>
      </c>
      <c r="H4469" s="9" t="n">
        <v>3350</v>
      </c>
      <c r="I4469" s="16" t="n">
        <v>45636</v>
      </c>
      <c r="J4469" s="16" t="n">
        <v>45636</v>
      </c>
      <c r="K4469" s="5" t="inlineStr">
        <is>
          <t>Documento fornecedor RESTAURANTE SANTA GERTRUDES L</t>
        </is>
      </c>
      <c r="L4469" s="5" t="inlineStr">
        <is>
          <t>10122024</t>
        </is>
      </c>
      <c r="M4469" s="5">
        <f>IF(YEAR(I4469)&lt;=2020,"Até 2020",TEXT(YEAR(I4469),"0"))</f>
        <v/>
      </c>
      <c r="N4469" s="5">
        <f>IFERROR(INDEX(DePara!$A:$A,MATCH(TEXT(B4469,"0"),DePara!$D:$D,0)),"(sem categoria)")</f>
        <v/>
      </c>
      <c r="O4469" s="5">
        <f>IF(J4469="","",Parametros!$B$6-J4469)</f>
        <v/>
      </c>
      <c r="P4469" s="5">
        <f>IF(O4469="","",IF(O4469&gt;0,1,0))</f>
        <v/>
      </c>
    </row>
    <row r="4470">
      <c r="A4470" s="5" t="n">
        <v>1191000000</v>
      </c>
      <c r="B4470" s="5" t="inlineStr">
        <is>
          <t>105629</t>
        </is>
      </c>
      <c r="C4470" s="5" t="inlineStr">
        <is>
          <t>RESTAURANTE SANTA GERTRUDES LTDA 47904495000309</t>
        </is>
      </c>
      <c r="D4470" s="5" t="inlineStr">
        <is>
          <t>KZ</t>
        </is>
      </c>
      <c r="E4470" s="5" t="n">
        <v>1300005378</v>
      </c>
      <c r="F4470" s="5" t="n"/>
      <c r="G4470" s="5" t="inlineStr">
        <is>
          <t>BRL</t>
        </is>
      </c>
      <c r="H4470" s="9" t="n">
        <v>2000</v>
      </c>
      <c r="I4470" s="16" t="n">
        <v>45636</v>
      </c>
      <c r="J4470" s="16" t="n">
        <v>45636</v>
      </c>
      <c r="K4470" s="5" t="inlineStr">
        <is>
          <t>Documento fornecedor RESTAURANTE SANTA GERTRUDES L</t>
        </is>
      </c>
      <c r="L4470" s="5" t="inlineStr">
        <is>
          <t>10122024</t>
        </is>
      </c>
      <c r="M4470" s="5">
        <f>IF(YEAR(I4470)&lt;=2020,"Até 2020",TEXT(YEAR(I4470),"0"))</f>
        <v/>
      </c>
      <c r="N4470" s="5">
        <f>IFERROR(INDEX(DePara!$A:$A,MATCH(TEXT(B4470,"0"),DePara!$D:$D,0)),"(sem categoria)")</f>
        <v/>
      </c>
      <c r="O4470" s="5">
        <f>IF(J4470="","",Parametros!$B$6-J4470)</f>
        <v/>
      </c>
      <c r="P4470" s="5">
        <f>IF(O4470="","",IF(O4470&gt;0,1,0))</f>
        <v/>
      </c>
    </row>
    <row r="4471">
      <c r="A4471" s="5" t="n">
        <v>1191000000</v>
      </c>
      <c r="B4471" s="5" t="inlineStr">
        <is>
          <t>101269</t>
        </is>
      </c>
      <c r="C4471" s="5" t="inlineStr">
        <is>
          <t>CERTISIGN CERTIFICADORA DIGITAL SA</t>
        </is>
      </c>
      <c r="D4471" s="5" t="inlineStr">
        <is>
          <t>KZ</t>
        </is>
      </c>
      <c r="E4471" s="5" t="n">
        <v>1300005398</v>
      </c>
      <c r="F4471" s="5" t="n"/>
      <c r="G4471" s="5" t="inlineStr">
        <is>
          <t>BRL</t>
        </is>
      </c>
      <c r="H4471" s="9" t="n">
        <v>249.9</v>
      </c>
      <c r="I4471" s="16" t="n">
        <v>45638</v>
      </c>
      <c r="J4471" s="16" t="n">
        <v>45638</v>
      </c>
      <c r="K4471" s="5" t="inlineStr">
        <is>
          <t>Documento fornecedor CERTISIGN CERTIFICADORA DIGIT</t>
        </is>
      </c>
      <c r="L4471" s="5" t="inlineStr">
        <is>
          <t>13122024</t>
        </is>
      </c>
      <c r="M4471" s="5">
        <f>IF(YEAR(I4471)&lt;=2020,"Até 2020",TEXT(YEAR(I4471),"0"))</f>
        <v/>
      </c>
      <c r="N4471" s="5">
        <f>IFERROR(INDEX(DePara!$A:$A,MATCH(TEXT(B4471,"0"),DePara!$D:$D,0)),"(sem categoria)")</f>
        <v/>
      </c>
      <c r="O4471" s="5">
        <f>IF(J4471="","",Parametros!$B$6-J4471)</f>
        <v/>
      </c>
      <c r="P4471" s="5">
        <f>IF(O4471="","",IF(O4471&gt;0,1,0))</f>
        <v/>
      </c>
    </row>
    <row r="4472">
      <c r="A4472" s="5" t="n">
        <v>1191000000</v>
      </c>
      <c r="B4472" s="5" t="inlineStr">
        <is>
          <t>105667</t>
        </is>
      </c>
      <c r="C4472" s="5" t="inlineStr">
        <is>
          <t>TERMOPLAST PLASTIK ENJEKSIYON VE</t>
        </is>
      </c>
      <c r="D4472" s="5" t="inlineStr">
        <is>
          <t>KZ</t>
        </is>
      </c>
      <c r="E4472" s="5" t="n">
        <v>1300006339</v>
      </c>
      <c r="F4472" s="5" t="inlineStr">
        <is>
          <t>624687147</t>
        </is>
      </c>
      <c r="G4472" s="5" t="inlineStr">
        <is>
          <t>EUR</t>
        </is>
      </c>
      <c r="H4472" s="9" t="n">
        <v>17325.15</v>
      </c>
      <c r="I4472" s="16" t="n">
        <v>46254</v>
      </c>
      <c r="J4472" s="16" t="n">
        <v>46254</v>
      </c>
      <c r="K4472" s="5" t="inlineStr">
        <is>
          <t>Documento fornecedor TERMOPLAST PLASTIK ENJEKSIYON</t>
        </is>
      </c>
      <c r="L4472" s="5" t="inlineStr">
        <is>
          <t>20.08.2026</t>
        </is>
      </c>
      <c r="M4472" s="5">
        <f>IF(YEAR(I4472)&lt;=2020,"Até 2020",TEXT(YEAR(I4472),"0"))</f>
        <v/>
      </c>
      <c r="N4472" s="5">
        <f>IFERROR(INDEX(DePara!$A:$A,MATCH(TEXT(B4472,"0"),DePara!$D:$D,0)),"(sem categoria)")</f>
        <v/>
      </c>
      <c r="O4472" s="5">
        <f>IF(J4472="","",Parametros!$B$6-J4472)</f>
        <v/>
      </c>
      <c r="P4472" s="5">
        <f>IF(O4472="","",IF(O4472&gt;0,1,0))</f>
        <v/>
      </c>
    </row>
    <row r="4473">
      <c r="A4473" s="5" t="n">
        <v>1191000000</v>
      </c>
      <c r="B4473" s="5" t="inlineStr">
        <is>
          <t>104077</t>
        </is>
      </c>
      <c r="C4473" s="5" t="inlineStr">
        <is>
          <t>XRS SERVICOS AUXILIARES DE PORTARIA 31996152000110</t>
        </is>
      </c>
      <c r="D4473" s="5" t="inlineStr">
        <is>
          <t>KZ</t>
        </is>
      </c>
      <c r="E4473" s="5" t="n">
        <v>1300006536</v>
      </c>
      <c r="F4473" s="5" t="inlineStr">
        <is>
          <t>53320</t>
        </is>
      </c>
      <c r="G4473" s="5" t="inlineStr">
        <is>
          <t>BRL</t>
        </is>
      </c>
      <c r="H4473" s="9" t="n">
        <v>550.3099999999999</v>
      </c>
      <c r="I4473" s="16" t="n">
        <v>46253</v>
      </c>
      <c r="J4473" s="16" t="n">
        <v>46253</v>
      </c>
      <c r="K4473" s="5" t="inlineStr">
        <is>
          <t>Pagto dupl - NF 53320 em 19 e 26/08/2026</t>
        </is>
      </c>
      <c r="L4473" s="5" t="inlineStr">
        <is>
          <t>19082026</t>
        </is>
      </c>
      <c r="M4473" s="5">
        <f>IF(YEAR(I4473)&lt;=2020,"Até 2020",TEXT(YEAR(I4473),"0"))</f>
        <v/>
      </c>
      <c r="N4473" s="5">
        <f>IFERROR(INDEX(DePara!$A:$A,MATCH(TEXT(B4473,"0"),DePara!$D:$D,0)),"(sem categoria)")</f>
        <v/>
      </c>
      <c r="O4473" s="5">
        <f>IF(J4473="","",Parametros!$B$6-J4473)</f>
        <v/>
      </c>
      <c r="P4473" s="5">
        <f>IF(O4473="","",IF(O4473&gt;0,1,0))</f>
        <v/>
      </c>
    </row>
    <row r="4474">
      <c r="A4474" s="5" t="n">
        <v>1191000000</v>
      </c>
      <c r="B4474" s="5" t="inlineStr">
        <is>
          <t>101254</t>
        </is>
      </c>
      <c r="C4474" s="5" t="inlineStr">
        <is>
          <t>AGENCIA BRASILEIRA DE METEOROLOGIA</t>
        </is>
      </c>
      <c r="D4474" s="5" t="inlineStr">
        <is>
          <t>KZ</t>
        </is>
      </c>
      <c r="E4474" s="5" t="n">
        <v>1300007211</v>
      </c>
      <c r="F4474" s="5" t="n"/>
      <c r="G4474" s="5" t="inlineStr">
        <is>
          <t>BRL</t>
        </is>
      </c>
      <c r="H4474" s="9" t="n">
        <v>132.53</v>
      </c>
      <c r="I4474" s="16" t="n">
        <v>45979</v>
      </c>
      <c r="J4474" s="16" t="n">
        <v>45979</v>
      </c>
      <c r="K4474" s="5" t="inlineStr">
        <is>
          <t>Documento fornecedor AGENCIA BRASILEIRA DE METEORO</t>
        </is>
      </c>
      <c r="L4474" s="5" t="inlineStr">
        <is>
          <t>19112025</t>
        </is>
      </c>
      <c r="M4474" s="5">
        <f>IF(YEAR(I4474)&lt;=2020,"Até 2020",TEXT(YEAR(I4474),"0"))</f>
        <v/>
      </c>
      <c r="N4474" s="5">
        <f>IFERROR(INDEX(DePara!$A:$A,MATCH(TEXT(B4474,"0"),DePara!$D:$D,0)),"(sem categoria)")</f>
        <v/>
      </c>
      <c r="O4474" s="5">
        <f>IF(J4474="","",Parametros!$B$6-J4474)</f>
        <v/>
      </c>
      <c r="P4474" s="5">
        <f>IF(O4474="","",IF(O4474&gt;0,1,0))</f>
        <v/>
      </c>
    </row>
    <row r="4475">
      <c r="A4475" s="5" t="n">
        <v>1191000000</v>
      </c>
      <c r="B4475" s="5" t="inlineStr">
        <is>
          <t>101269</t>
        </is>
      </c>
      <c r="C4475" s="5" t="inlineStr">
        <is>
          <t>CERTISIGN CERTIFICADORA DIGITAL SA</t>
        </is>
      </c>
      <c r="D4475" s="5" t="inlineStr">
        <is>
          <t>KZ</t>
        </is>
      </c>
      <c r="E4475" s="5" t="n">
        <v>1300008107</v>
      </c>
      <c r="F4475" s="5" t="n"/>
      <c r="G4475" s="5" t="inlineStr">
        <is>
          <t>BRL</t>
        </is>
      </c>
      <c r="H4475" s="9" t="n">
        <v>274.9</v>
      </c>
      <c r="I4475" s="16" t="n">
        <v>45999</v>
      </c>
      <c r="J4475" s="16" t="n">
        <v>45999</v>
      </c>
      <c r="K4475" s="5" t="inlineStr">
        <is>
          <t>Documento fornecedor CERTISIGN CERTIFICADORA DIGIT</t>
        </is>
      </c>
      <c r="L4475" s="5" t="inlineStr">
        <is>
          <t>10122025</t>
        </is>
      </c>
      <c r="M4475" s="5">
        <f>IF(YEAR(I4475)&lt;=2020,"Até 2020",TEXT(YEAR(I4475),"0"))</f>
        <v/>
      </c>
      <c r="N4475" s="5">
        <f>IFERROR(INDEX(DePara!$A:$A,MATCH(TEXT(B4475,"0"),DePara!$D:$D,0)),"(sem categoria)")</f>
        <v/>
      </c>
      <c r="O4475" s="5">
        <f>IF(J4475="","",Parametros!$B$6-J4475)</f>
        <v/>
      </c>
      <c r="P4475" s="5">
        <f>IF(O4475="","",IF(O4475&gt;0,1,0))</f>
        <v/>
      </c>
    </row>
    <row r="4476">
      <c r="A4476" s="5" t="n">
        <v>1191000000</v>
      </c>
      <c r="B4476" s="5" t="inlineStr">
        <is>
          <t>100847</t>
        </is>
      </c>
      <c r="C4476" s="5" t="inlineStr">
        <is>
          <t>RECONLOG LTDA</t>
        </is>
      </c>
      <c r="D4476" s="5" t="inlineStr">
        <is>
          <t>ZP</t>
        </is>
      </c>
      <c r="E4476" s="5" t="n">
        <v>2000000017</v>
      </c>
      <c r="F4476" s="5" t="n"/>
      <c r="G4476" s="5" t="inlineStr">
        <is>
          <t>BRL</t>
        </is>
      </c>
      <c r="H4476" s="9" t="n">
        <v>118172.71</v>
      </c>
      <c r="I4476" s="16" t="n">
        <v>45178</v>
      </c>
      <c r="J4476" s="16" t="n">
        <v>45178</v>
      </c>
      <c r="K4476" s="5" t="inlineStr">
        <is>
          <t>Documento fornecedor RECONLOG LTDA 7222</t>
        </is>
      </c>
      <c r="L4476" s="5" t="inlineStr">
        <is>
          <t>08092023</t>
        </is>
      </c>
      <c r="M4476" s="5">
        <f>IF(YEAR(I4476)&lt;=2020,"Até 2020",TEXT(YEAR(I4476),"0"))</f>
        <v/>
      </c>
      <c r="N4476" s="5">
        <f>IFERROR(INDEX(DePara!$A:$A,MATCH(TEXT(B4476,"0"),DePara!$D:$D,0)),"(sem categoria)")</f>
        <v/>
      </c>
      <c r="O4476" s="5">
        <f>IF(J4476="","",Parametros!$B$6-J4476)</f>
        <v/>
      </c>
      <c r="P4476" s="5">
        <f>IF(O4476="","",IF(O4476&gt;0,1,0))</f>
        <v/>
      </c>
    </row>
    <row r="4477">
      <c r="A4477" s="5" t="n">
        <v>1191000000</v>
      </c>
      <c r="B4477" s="5" t="inlineStr">
        <is>
          <t>101334</t>
        </is>
      </c>
      <c r="C4477" s="5" t="inlineStr">
        <is>
          <t>ABRILSAN ASSES EM CART DE PROT LTDA</t>
        </is>
      </c>
      <c r="D4477" s="5" t="inlineStr">
        <is>
          <t>ZP</t>
        </is>
      </c>
      <c r="E4477" s="5" t="n">
        <v>2000000026</v>
      </c>
      <c r="F4477" s="5" t="n"/>
      <c r="G4477" s="5" t="inlineStr">
        <is>
          <t>BRL</t>
        </is>
      </c>
      <c r="H4477" s="9" t="n">
        <v>722.04</v>
      </c>
      <c r="I4477" s="16" t="n">
        <v>45178</v>
      </c>
      <c r="J4477" s="16" t="n">
        <v>45178</v>
      </c>
      <c r="K4477" s="5" t="inlineStr">
        <is>
          <t>Documento fornecedor ABRILSAN ASSES EM CART DE PRO</t>
        </is>
      </c>
      <c r="L4477" s="5" t="inlineStr">
        <is>
          <t>08092023</t>
        </is>
      </c>
      <c r="M4477" s="5">
        <f>IF(YEAR(I4477)&lt;=2020,"Até 2020",TEXT(YEAR(I4477),"0"))</f>
        <v/>
      </c>
      <c r="N4477" s="5">
        <f>IFERROR(INDEX(DePara!$A:$A,MATCH(TEXT(B4477,"0"),DePara!$D:$D,0)),"(sem categoria)")</f>
        <v/>
      </c>
      <c r="O4477" s="5">
        <f>IF(J4477="","",Parametros!$B$6-J4477)</f>
        <v/>
      </c>
      <c r="P4477" s="5">
        <f>IF(O4477="","",IF(O4477&gt;0,1,0))</f>
        <v/>
      </c>
    </row>
    <row r="4478">
      <c r="A4478" s="5" t="n">
        <v>1191000000</v>
      </c>
      <c r="B4478" s="5" t="inlineStr">
        <is>
          <t>101334</t>
        </is>
      </c>
      <c r="C4478" s="5" t="inlineStr">
        <is>
          <t>ABRILSAN ASSES EM CART DE PROT LTDA</t>
        </is>
      </c>
      <c r="D4478" s="5" t="inlineStr">
        <is>
          <t>ZP</t>
        </is>
      </c>
      <c r="E4478" s="5" t="n">
        <v>2000000026</v>
      </c>
      <c r="F4478" s="5" t="n"/>
      <c r="G4478" s="5" t="inlineStr">
        <is>
          <t>BRL</t>
        </is>
      </c>
      <c r="H4478" s="9" t="n">
        <v>722.04</v>
      </c>
      <c r="I4478" s="16" t="n">
        <v>45178</v>
      </c>
      <c r="J4478" s="16" t="n">
        <v>45178</v>
      </c>
      <c r="K4478" s="5" t="inlineStr">
        <is>
          <t>Documento fornecedor ABRILSAN ASSES EM CART DE PRO</t>
        </is>
      </c>
      <c r="L4478" s="5" t="inlineStr">
        <is>
          <t>08092023</t>
        </is>
      </c>
      <c r="M4478" s="5">
        <f>IF(YEAR(I4478)&lt;=2020,"Até 2020",TEXT(YEAR(I4478),"0"))</f>
        <v/>
      </c>
      <c r="N4478" s="5">
        <f>IFERROR(INDEX(DePara!$A:$A,MATCH(TEXT(B4478,"0"),DePara!$D:$D,0)),"(sem categoria)")</f>
        <v/>
      </c>
      <c r="O4478" s="5">
        <f>IF(J4478="","",Parametros!$B$6-J4478)</f>
        <v/>
      </c>
      <c r="P4478" s="5">
        <f>IF(O4478="","",IF(O4478&gt;0,1,0))</f>
        <v/>
      </c>
    </row>
    <row r="4479">
      <c r="A4479" s="5" t="n">
        <v>1191000000</v>
      </c>
      <c r="B4479" s="5" t="inlineStr">
        <is>
          <t>101334</t>
        </is>
      </c>
      <c r="C4479" s="5" t="inlineStr">
        <is>
          <t>ABRILSAN ASSES EM CART DE PROT LTDA</t>
        </is>
      </c>
      <c r="D4479" s="5" t="inlineStr">
        <is>
          <t>ZP</t>
        </is>
      </c>
      <c r="E4479" s="5" t="n">
        <v>2000000026</v>
      </c>
      <c r="F4479" s="5" t="n"/>
      <c r="G4479" s="5" t="inlineStr">
        <is>
          <t>BRL</t>
        </is>
      </c>
      <c r="H4479" s="9" t="n">
        <v>3560</v>
      </c>
      <c r="I4479" s="16" t="n">
        <v>45178</v>
      </c>
      <c r="J4479" s="16" t="n">
        <v>45178</v>
      </c>
      <c r="K4479" s="5" t="inlineStr">
        <is>
          <t>Vendor DP Request ABRILSAN ASSES EM CART DE PROT L</t>
        </is>
      </c>
      <c r="L4479" s="5" t="inlineStr">
        <is>
          <t>08092023</t>
        </is>
      </c>
      <c r="M4479" s="5">
        <f>IF(YEAR(I4479)&lt;=2020,"Até 2020",TEXT(YEAR(I4479),"0"))</f>
        <v/>
      </c>
      <c r="N4479" s="5">
        <f>IFERROR(INDEX(DePara!$A:$A,MATCH(TEXT(B4479,"0"),DePara!$D:$D,0)),"(sem categoria)")</f>
        <v/>
      </c>
      <c r="O4479" s="5">
        <f>IF(J4479="","",Parametros!$B$6-J4479)</f>
        <v/>
      </c>
      <c r="P4479" s="5">
        <f>IF(O4479="","",IF(O4479&gt;0,1,0))</f>
        <v/>
      </c>
    </row>
    <row r="4480">
      <c r="A4480" s="5" t="n">
        <v>1191000000</v>
      </c>
      <c r="B4480" s="5" t="inlineStr">
        <is>
          <t>100456</t>
        </is>
      </c>
      <c r="C4480" s="5" t="inlineStr">
        <is>
          <t>CARNEVALI EQUIPAMENTOS DE PROTECAO</t>
        </is>
      </c>
      <c r="D4480" s="5" t="inlineStr">
        <is>
          <t>ZP</t>
        </is>
      </c>
      <c r="E4480" s="5" t="n">
        <v>2000000046</v>
      </c>
      <c r="F4480" s="5" t="n"/>
      <c r="G4480" s="5" t="inlineStr">
        <is>
          <t>BRL</t>
        </is>
      </c>
      <c r="H4480" s="9" t="n">
        <v>12423</v>
      </c>
      <c r="I4480" s="16" t="n">
        <v>45182</v>
      </c>
      <c r="J4480" s="16" t="n">
        <v>45182</v>
      </c>
      <c r="K4480" s="5" t="inlineStr">
        <is>
          <t>Vendor DP Request CARNEVALI EQUIPAMENTOS DE PROTEC</t>
        </is>
      </c>
      <c r="L4480" s="5" t="n"/>
      <c r="M4480" s="5">
        <f>IF(YEAR(I4480)&lt;=2020,"Até 2020",TEXT(YEAR(I4480),"0"))</f>
        <v/>
      </c>
      <c r="N4480" s="5">
        <f>IFERROR(INDEX(DePara!$A:$A,MATCH(TEXT(B4480,"0"),DePara!$D:$D,0)),"(sem categoria)")</f>
        <v/>
      </c>
      <c r="O4480" s="5">
        <f>IF(J4480="","",Parametros!$B$6-J4480)</f>
        <v/>
      </c>
      <c r="P4480" s="5">
        <f>IF(O4480="","",IF(O4480&gt;0,1,0))</f>
        <v/>
      </c>
    </row>
    <row r="4481">
      <c r="A4481" s="5" t="n">
        <v>1191000000</v>
      </c>
      <c r="B4481" s="5" t="inlineStr">
        <is>
          <t>102094</t>
        </is>
      </c>
      <c r="C4481" s="5" t="inlineStr">
        <is>
          <t>MILLS LOCACAO SERVICOS E LOGISTICA</t>
        </is>
      </c>
      <c r="D4481" s="5" t="inlineStr">
        <is>
          <t>ZP</t>
        </is>
      </c>
      <c r="E4481" s="5" t="n">
        <v>2000000057</v>
      </c>
      <c r="F4481" s="5" t="n"/>
      <c r="G4481" s="5" t="inlineStr">
        <is>
          <t>BRL</t>
        </is>
      </c>
      <c r="H4481" s="9" t="n">
        <v>13514.4</v>
      </c>
      <c r="I4481" s="16" t="n">
        <v>45182</v>
      </c>
      <c r="J4481" s="16" t="n">
        <v>45182</v>
      </c>
      <c r="K4481" s="5" t="inlineStr">
        <is>
          <t>Vendor DP Request MILLS LOCACAO SERVICOS E LOGISTI</t>
        </is>
      </c>
      <c r="L4481" s="5" t="n"/>
      <c r="M4481" s="5">
        <f>IF(YEAR(I4481)&lt;=2020,"Até 2020",TEXT(YEAR(I4481),"0"))</f>
        <v/>
      </c>
      <c r="N4481" s="5">
        <f>IFERROR(INDEX(DePara!$A:$A,MATCH(TEXT(B4481,"0"),DePara!$D:$D,0)),"(sem categoria)")</f>
        <v/>
      </c>
      <c r="O4481" s="5">
        <f>IF(J4481="","",Parametros!$B$6-J4481)</f>
        <v/>
      </c>
      <c r="P4481" s="5">
        <f>IF(O4481="","",IF(O4481&gt;0,1,0))</f>
        <v/>
      </c>
    </row>
    <row r="4482">
      <c r="A4482" s="5" t="n">
        <v>1191000000</v>
      </c>
      <c r="B4482" s="5" t="inlineStr">
        <is>
          <t>100111</t>
        </is>
      </c>
      <c r="C4482" s="5" t="inlineStr">
        <is>
          <t>PREDMEC ENGENHARIA DE MANUTENCAO E</t>
        </is>
      </c>
      <c r="D4482" s="5" t="inlineStr">
        <is>
          <t>ZP</t>
        </is>
      </c>
      <c r="E4482" s="5" t="n">
        <v>2000000083</v>
      </c>
      <c r="F4482" s="5" t="n"/>
      <c r="G4482" s="5" t="inlineStr">
        <is>
          <t>BRL</t>
        </is>
      </c>
      <c r="H4482" s="9" t="n">
        <v>115998.6</v>
      </c>
      <c r="I4482" s="16" t="n">
        <v>45188</v>
      </c>
      <c r="J4482" s="16" t="n">
        <v>45188</v>
      </c>
      <c r="K4482" s="5" t="inlineStr">
        <is>
          <t>Documento fornecedor KARLLYAMMO LENNON DE SOUZA 85</t>
        </is>
      </c>
      <c r="L4482" s="5" t="n"/>
      <c r="M4482" s="5">
        <f>IF(YEAR(I4482)&lt;=2020,"Até 2020",TEXT(YEAR(I4482),"0"))</f>
        <v/>
      </c>
      <c r="N4482" s="5">
        <f>IFERROR(INDEX(DePara!$A:$A,MATCH(TEXT(B4482,"0"),DePara!$D:$D,0)),"(sem categoria)")</f>
        <v/>
      </c>
      <c r="O4482" s="5">
        <f>IF(J4482="","",Parametros!$B$6-J4482)</f>
        <v/>
      </c>
      <c r="P4482" s="5">
        <f>IF(O4482="","",IF(O4482&gt;0,1,0))</f>
        <v/>
      </c>
    </row>
    <row r="4483">
      <c r="A4483" s="5" t="n">
        <v>1191000000</v>
      </c>
      <c r="B4483" s="5" t="inlineStr">
        <is>
          <t>100379</t>
        </is>
      </c>
      <c r="C4483" s="5" t="inlineStr">
        <is>
          <t>RAK LOG TRANSPORTES E LOGISTICA EIR</t>
        </is>
      </c>
      <c r="D4483" s="5" t="inlineStr">
        <is>
          <t>ZP</t>
        </is>
      </c>
      <c r="E4483" s="5" t="n">
        <v>2000000108</v>
      </c>
      <c r="F4483" s="5" t="n"/>
      <c r="G4483" s="5" t="inlineStr">
        <is>
          <t>BRL</t>
        </is>
      </c>
      <c r="H4483" s="9" t="n">
        <v>3181.82</v>
      </c>
      <c r="I4483" s="16" t="n">
        <v>45191</v>
      </c>
      <c r="J4483" s="16" t="n">
        <v>45191</v>
      </c>
      <c r="K4483" s="5" t="inlineStr">
        <is>
          <t>Vendor DP Request RAK LOG TRANSPORTES E LOGISTICA</t>
        </is>
      </c>
      <c r="L4483" s="5" t="inlineStr">
        <is>
          <t>22/09/2023</t>
        </is>
      </c>
      <c r="M4483" s="5">
        <f>IF(YEAR(I4483)&lt;=2020,"Até 2020",TEXT(YEAR(I4483),"0"))</f>
        <v/>
      </c>
      <c r="N4483" s="5">
        <f>IFERROR(INDEX(DePara!$A:$A,MATCH(TEXT(B4483,"0"),DePara!$D:$D,0)),"(sem categoria)")</f>
        <v/>
      </c>
      <c r="O4483" s="5">
        <f>IF(J4483="","",Parametros!$B$6-J4483)</f>
        <v/>
      </c>
      <c r="P4483" s="5">
        <f>IF(O4483="","",IF(O4483&gt;0,1,0))</f>
        <v/>
      </c>
    </row>
    <row r="4484">
      <c r="A4484" s="5" t="n">
        <v>1191000000</v>
      </c>
      <c r="B4484" s="5" t="inlineStr">
        <is>
          <t>100379</t>
        </is>
      </c>
      <c r="C4484" s="5" t="inlineStr">
        <is>
          <t>RAK LOG TRANSPORTES E LOGISTICA EIR</t>
        </is>
      </c>
      <c r="D4484" s="5" t="inlineStr">
        <is>
          <t>ZP</t>
        </is>
      </c>
      <c r="E4484" s="5" t="n">
        <v>2000000108</v>
      </c>
      <c r="F4484" s="5" t="n"/>
      <c r="G4484" s="5" t="inlineStr">
        <is>
          <t>BRL</t>
        </is>
      </c>
      <c r="H4484" s="9" t="n">
        <v>1136.36</v>
      </c>
      <c r="I4484" s="16" t="n">
        <v>45191</v>
      </c>
      <c r="J4484" s="16" t="n">
        <v>45191</v>
      </c>
      <c r="K4484" s="5" t="inlineStr">
        <is>
          <t>Vendor DP Request RAK LOG TRANSPORTES E LOGISTICA</t>
        </is>
      </c>
      <c r="L4484" s="5" t="inlineStr">
        <is>
          <t>22/09/2023</t>
        </is>
      </c>
      <c r="M4484" s="5">
        <f>IF(YEAR(I4484)&lt;=2020,"Até 2020",TEXT(YEAR(I4484),"0"))</f>
        <v/>
      </c>
      <c r="N4484" s="5">
        <f>IFERROR(INDEX(DePara!$A:$A,MATCH(TEXT(B4484,"0"),DePara!$D:$D,0)),"(sem categoria)")</f>
        <v/>
      </c>
      <c r="O4484" s="5">
        <f>IF(J4484="","",Parametros!$B$6-J4484)</f>
        <v/>
      </c>
      <c r="P4484" s="5">
        <f>IF(O4484="","",IF(O4484&gt;0,1,0))</f>
        <v/>
      </c>
    </row>
    <row r="4485">
      <c r="A4485" s="5" t="n">
        <v>1191000000</v>
      </c>
      <c r="B4485" s="5" t="inlineStr">
        <is>
          <t>100379</t>
        </is>
      </c>
      <c r="C4485" s="5" t="inlineStr">
        <is>
          <t>RAK LOG TRANSPORTES E LOGISTICA EIR</t>
        </is>
      </c>
      <c r="D4485" s="5" t="inlineStr">
        <is>
          <t>ZP</t>
        </is>
      </c>
      <c r="E4485" s="5" t="n">
        <v>2000000108</v>
      </c>
      <c r="F4485" s="5" t="n"/>
      <c r="G4485" s="5" t="inlineStr">
        <is>
          <t>BRL</t>
        </is>
      </c>
      <c r="H4485" s="9" t="n">
        <v>1136.36</v>
      </c>
      <c r="I4485" s="16" t="n">
        <v>45191</v>
      </c>
      <c r="J4485" s="16" t="n">
        <v>45191</v>
      </c>
      <c r="K4485" s="5" t="inlineStr">
        <is>
          <t>Vendor DP Request RAK LOG TRANSPORTES E LOGISTICA</t>
        </is>
      </c>
      <c r="L4485" s="5" t="inlineStr">
        <is>
          <t>22/09/2023</t>
        </is>
      </c>
      <c r="M4485" s="5">
        <f>IF(YEAR(I4485)&lt;=2020,"Até 2020",TEXT(YEAR(I4485),"0"))</f>
        <v/>
      </c>
      <c r="N4485" s="5">
        <f>IFERROR(INDEX(DePara!$A:$A,MATCH(TEXT(B4485,"0"),DePara!$D:$D,0)),"(sem categoria)")</f>
        <v/>
      </c>
      <c r="O4485" s="5">
        <f>IF(J4485="","",Parametros!$B$6-J4485)</f>
        <v/>
      </c>
      <c r="P4485" s="5">
        <f>IF(O4485="","",IF(O4485&gt;0,1,0))</f>
        <v/>
      </c>
    </row>
    <row r="4486">
      <c r="A4486" s="5" t="n">
        <v>1191000000</v>
      </c>
      <c r="B4486" s="5" t="inlineStr">
        <is>
          <t>101765</t>
        </is>
      </c>
      <c r="C4486" s="5" t="inlineStr">
        <is>
          <t>C DA SILVA CARVALHO E FILHA LTDA</t>
        </is>
      </c>
      <c r="D4486" s="5" t="inlineStr">
        <is>
          <t>ZP</t>
        </is>
      </c>
      <c r="E4486" s="5" t="n">
        <v>2000000118</v>
      </c>
      <c r="F4486" s="5" t="n"/>
      <c r="G4486" s="5" t="inlineStr">
        <is>
          <t>BRL</t>
        </is>
      </c>
      <c r="H4486" s="9" t="n">
        <v>396</v>
      </c>
      <c r="I4486" s="16" t="n">
        <v>45194</v>
      </c>
      <c r="J4486" s="16" t="n">
        <v>45194</v>
      </c>
      <c r="K4486" s="5" t="inlineStr">
        <is>
          <t>Vendor DP Request C DA SILVA CARVALHO E FILHA LTDA</t>
        </is>
      </c>
      <c r="L4486" s="5" t="n"/>
      <c r="M4486" s="5">
        <f>IF(YEAR(I4486)&lt;=2020,"Até 2020",TEXT(YEAR(I4486),"0"))</f>
        <v/>
      </c>
      <c r="N4486" s="5">
        <f>IFERROR(INDEX(DePara!$A:$A,MATCH(TEXT(B4486,"0"),DePara!$D:$D,0)),"(sem categoria)")</f>
        <v/>
      </c>
      <c r="O4486" s="5">
        <f>IF(J4486="","",Parametros!$B$6-J4486)</f>
        <v/>
      </c>
      <c r="P4486" s="5">
        <f>IF(O4486="","",IF(O4486&gt;0,1,0))</f>
        <v/>
      </c>
    </row>
    <row r="4487">
      <c r="A4487" s="5" t="n">
        <v>1191000000</v>
      </c>
      <c r="B4487" s="5" t="inlineStr">
        <is>
          <t>102426</t>
        </is>
      </c>
      <c r="C4487" s="5" t="inlineStr">
        <is>
          <t>CAFE COM COMPRADOR CONSULTORIA EMPR</t>
        </is>
      </c>
      <c r="D4487" s="5" t="inlineStr">
        <is>
          <t>ZP</t>
        </is>
      </c>
      <c r="E4487" s="5" t="n">
        <v>2000000141</v>
      </c>
      <c r="F4487" s="5" t="n"/>
      <c r="G4487" s="5" t="inlineStr">
        <is>
          <t>BRL</t>
        </is>
      </c>
      <c r="H4487" s="9" t="n">
        <v>4741</v>
      </c>
      <c r="I4487" s="16" t="n">
        <v>45196</v>
      </c>
      <c r="J4487" s="16" t="n">
        <v>45196</v>
      </c>
      <c r="K4487" s="5" t="inlineStr">
        <is>
          <t>Documento fornecedor CAFE COM COMPRADOR CONSULTORI</t>
        </is>
      </c>
      <c r="L4487" s="5" t="inlineStr">
        <is>
          <t>27092023</t>
        </is>
      </c>
      <c r="M4487" s="5">
        <f>IF(YEAR(I4487)&lt;=2020,"Até 2020",TEXT(YEAR(I4487),"0"))</f>
        <v/>
      </c>
      <c r="N4487" s="5">
        <f>IFERROR(INDEX(DePara!$A:$A,MATCH(TEXT(B4487,"0"),DePara!$D:$D,0)),"(sem categoria)")</f>
        <v/>
      </c>
      <c r="O4487" s="5">
        <f>IF(J4487="","",Parametros!$B$6-J4487)</f>
        <v/>
      </c>
      <c r="P4487" s="5">
        <f>IF(O4487="","",IF(O4487&gt;0,1,0))</f>
        <v/>
      </c>
    </row>
    <row r="4488">
      <c r="A4488" s="5" t="n">
        <v>1191000000</v>
      </c>
      <c r="B4488" s="5" t="inlineStr">
        <is>
          <t>100980</t>
        </is>
      </c>
      <c r="C4488" s="5" t="inlineStr">
        <is>
          <t>CMPRO CONSULTORIA EMPRESARIAL LTDA</t>
        </is>
      </c>
      <c r="D4488" s="5" t="inlineStr">
        <is>
          <t>ZP</t>
        </is>
      </c>
      <c r="E4488" s="5" t="n">
        <v>2000000145</v>
      </c>
      <c r="F4488" s="5" t="n"/>
      <c r="G4488" s="5" t="inlineStr">
        <is>
          <t>BRL</t>
        </is>
      </c>
      <c r="H4488" s="9" t="n">
        <v>5912.55</v>
      </c>
      <c r="I4488" s="16" t="n">
        <v>45197</v>
      </c>
      <c r="J4488" s="16" t="n">
        <v>45197</v>
      </c>
      <c r="K4488" s="5" t="inlineStr">
        <is>
          <t>Documento fornecedor CMPRO CONSULTORIA EMPRESARIAL</t>
        </is>
      </c>
      <c r="L4488" s="5" t="inlineStr">
        <is>
          <t>28092023</t>
        </is>
      </c>
      <c r="M4488" s="5">
        <f>IF(YEAR(I4488)&lt;=2020,"Até 2020",TEXT(YEAR(I4488),"0"))</f>
        <v/>
      </c>
      <c r="N4488" s="5">
        <f>IFERROR(INDEX(DePara!$A:$A,MATCH(TEXT(B4488,"0"),DePara!$D:$D,0)),"(sem categoria)")</f>
        <v/>
      </c>
      <c r="O4488" s="5">
        <f>IF(J4488="","",Parametros!$B$6-J4488)</f>
        <v/>
      </c>
      <c r="P4488" s="5">
        <f>IF(O4488="","",IF(O4488&gt;0,1,0))</f>
        <v/>
      </c>
    </row>
    <row r="4489">
      <c r="A4489" s="5" t="n">
        <v>1191000000</v>
      </c>
      <c r="B4489" s="5" t="inlineStr">
        <is>
          <t>100149</t>
        </is>
      </c>
      <c r="C4489" s="5" t="inlineStr">
        <is>
          <t>ULTRATECH MONTAGEM E MANUTENCAO LTD</t>
        </is>
      </c>
      <c r="D4489" s="5" t="inlineStr">
        <is>
          <t>ZP</t>
        </is>
      </c>
      <c r="E4489" s="5" t="n">
        <v>2000000678</v>
      </c>
      <c r="F4489" s="5" t="n"/>
      <c r="G4489" s="5" t="inlineStr">
        <is>
          <t>BRL</t>
        </is>
      </c>
      <c r="H4489" s="9" t="n">
        <v>23871.36</v>
      </c>
      <c r="I4489" s="16" t="n">
        <v>45215</v>
      </c>
      <c r="J4489" s="16" t="n">
        <v>45215</v>
      </c>
      <c r="K4489" s="5" t="inlineStr">
        <is>
          <t>Documento fornecedor ULTRATECH MONTAGEM E MANUTENC</t>
        </is>
      </c>
      <c r="L4489" s="5" t="inlineStr">
        <is>
          <t>16102023</t>
        </is>
      </c>
      <c r="M4489" s="5">
        <f>IF(YEAR(I4489)&lt;=2020,"Até 2020",TEXT(YEAR(I4489),"0"))</f>
        <v/>
      </c>
      <c r="N4489" s="5">
        <f>IFERROR(INDEX(DePara!$A:$A,MATCH(TEXT(B4489,"0"),DePara!$D:$D,0)),"(sem categoria)")</f>
        <v/>
      </c>
      <c r="O4489" s="5">
        <f>IF(J4489="","",Parametros!$B$6-J4489)</f>
        <v/>
      </c>
      <c r="P4489" s="5">
        <f>IF(O4489="","",IF(O4489&gt;0,1,0))</f>
        <v/>
      </c>
    </row>
    <row r="4490">
      <c r="A4490" s="5" t="n">
        <v>1191000000</v>
      </c>
      <c r="B4490" s="5" t="inlineStr">
        <is>
          <t>100432</t>
        </is>
      </c>
      <c r="C4490" s="5" t="inlineStr">
        <is>
          <t>COVERWIND SOLUTIONS BRASIL LTDA 45580524000137</t>
        </is>
      </c>
      <c r="D4490" s="5" t="inlineStr">
        <is>
          <t>ZP</t>
        </is>
      </c>
      <c r="E4490" s="5" t="n">
        <v>2000000682</v>
      </c>
      <c r="F4490" s="5" t="n"/>
      <c r="G4490" s="5" t="inlineStr">
        <is>
          <t>BRL</t>
        </is>
      </c>
      <c r="H4490" s="9" t="n">
        <v>300856.93</v>
      </c>
      <c r="I4490" s="16" t="n">
        <v>45215</v>
      </c>
      <c r="J4490" s="16" t="n">
        <v>45215</v>
      </c>
      <c r="K4490" s="5" t="inlineStr">
        <is>
          <t>Documento fornecedor COVERWIND SOLUTIONS BRASIL LT</t>
        </is>
      </c>
      <c r="L4490" s="5" t="inlineStr">
        <is>
          <t>16102023</t>
        </is>
      </c>
      <c r="M4490" s="5">
        <f>IF(YEAR(I4490)&lt;=2020,"Até 2020",TEXT(YEAR(I4490),"0"))</f>
        <v/>
      </c>
      <c r="N4490" s="5">
        <f>IFERROR(INDEX(DePara!$A:$A,MATCH(TEXT(B4490,"0"),DePara!$D:$D,0)),"(sem categoria)")</f>
        <v/>
      </c>
      <c r="O4490" s="5">
        <f>IF(J4490="","",Parametros!$B$6-J4490)</f>
        <v/>
      </c>
      <c r="P4490" s="5">
        <f>IF(O4490="","",IF(O4490&gt;0,1,0))</f>
        <v/>
      </c>
    </row>
    <row r="4491">
      <c r="A4491" s="5" t="n">
        <v>1191000000</v>
      </c>
      <c r="B4491" s="5" t="inlineStr">
        <is>
          <t>101334</t>
        </is>
      </c>
      <c r="C4491" s="5" t="inlineStr">
        <is>
          <t>ABRILSAN ASSES EM CART DE PROT LTDA</t>
        </is>
      </c>
      <c r="D4491" s="5" t="inlineStr">
        <is>
          <t>ZP</t>
        </is>
      </c>
      <c r="E4491" s="5" t="n">
        <v>2000000728</v>
      </c>
      <c r="F4491" s="5" t="n"/>
      <c r="G4491" s="5" t="inlineStr">
        <is>
          <t>BRL</t>
        </is>
      </c>
      <c r="H4491" s="9" t="n">
        <v>722.04</v>
      </c>
      <c r="I4491" s="16" t="n">
        <v>45215</v>
      </c>
      <c r="J4491" s="16" t="n">
        <v>45215</v>
      </c>
      <c r="K4491" s="5" t="inlineStr">
        <is>
          <t>Documento fornecedor ABRILSAN ASSES EM CART DE PRO</t>
        </is>
      </c>
      <c r="L4491" s="5" t="inlineStr">
        <is>
          <t>16102023</t>
        </is>
      </c>
      <c r="M4491" s="5">
        <f>IF(YEAR(I4491)&lt;=2020,"Até 2020",TEXT(YEAR(I4491),"0"))</f>
        <v/>
      </c>
      <c r="N4491" s="5">
        <f>IFERROR(INDEX(DePara!$A:$A,MATCH(TEXT(B4491,"0"),DePara!$D:$D,0)),"(sem categoria)")</f>
        <v/>
      </c>
      <c r="O4491" s="5">
        <f>IF(J4491="","",Parametros!$B$6-J4491)</f>
        <v/>
      </c>
      <c r="P4491" s="5">
        <f>IF(O4491="","",IF(O4491&gt;0,1,0))</f>
        <v/>
      </c>
    </row>
    <row r="4492">
      <c r="A4492" s="5" t="n">
        <v>1191000000</v>
      </c>
      <c r="B4492" s="5" t="inlineStr">
        <is>
          <t>101714</t>
        </is>
      </c>
      <c r="C4492" s="5" t="inlineStr">
        <is>
          <t>VCI DO BRASIL IND E COMERC DE COMP</t>
        </is>
      </c>
      <c r="D4492" s="5" t="inlineStr">
        <is>
          <t>ZP</t>
        </is>
      </c>
      <c r="E4492" s="5" t="n">
        <v>2000000747</v>
      </c>
      <c r="F4492" s="5" t="n"/>
      <c r="G4492" s="5" t="inlineStr">
        <is>
          <t>BRL</t>
        </is>
      </c>
      <c r="H4492" s="9" t="n">
        <v>32080.75</v>
      </c>
      <c r="I4492" s="16" t="n">
        <v>45215</v>
      </c>
      <c r="J4492" s="16" t="n">
        <v>45215</v>
      </c>
      <c r="K4492" s="5" t="inlineStr">
        <is>
          <t>Documento fornecedor VCI DO BRASIL IND E COMERC DE</t>
        </is>
      </c>
      <c r="L4492" s="5" t="inlineStr">
        <is>
          <t>16102023</t>
        </is>
      </c>
      <c r="M4492" s="5">
        <f>IF(YEAR(I4492)&lt;=2020,"Até 2020",TEXT(YEAR(I4492),"0"))</f>
        <v/>
      </c>
      <c r="N4492" s="5">
        <f>IFERROR(INDEX(DePara!$A:$A,MATCH(TEXT(B4492,"0"),DePara!$D:$D,0)),"(sem categoria)")</f>
        <v/>
      </c>
      <c r="O4492" s="5">
        <f>IF(J4492="","",Parametros!$B$6-J4492)</f>
        <v/>
      </c>
      <c r="P4492" s="5">
        <f>IF(O4492="","",IF(O4492&gt;0,1,0))</f>
        <v/>
      </c>
    </row>
    <row r="4493">
      <c r="A4493" s="5" t="n">
        <v>1191000000</v>
      </c>
      <c r="B4493" s="5" t="inlineStr">
        <is>
          <t>101714</t>
        </is>
      </c>
      <c r="C4493" s="5" t="inlineStr">
        <is>
          <t>VCI DO BRASIL IND E COMERC DE COMP</t>
        </is>
      </c>
      <c r="D4493" s="5" t="inlineStr">
        <is>
          <t>ZP</t>
        </is>
      </c>
      <c r="E4493" s="5" t="n">
        <v>2000000747</v>
      </c>
      <c r="F4493" s="5" t="n"/>
      <c r="G4493" s="5" t="inlineStr">
        <is>
          <t>BRL</t>
        </is>
      </c>
      <c r="H4493" s="9" t="n">
        <v>40623.8</v>
      </c>
      <c r="I4493" s="16" t="n">
        <v>45215</v>
      </c>
      <c r="J4493" s="16" t="n">
        <v>45215</v>
      </c>
      <c r="K4493" s="5" t="inlineStr">
        <is>
          <t>Documento fornecedor VCI DO BRASIL IND E COMERC DE</t>
        </is>
      </c>
      <c r="L4493" s="5" t="inlineStr">
        <is>
          <t>16102023</t>
        </is>
      </c>
      <c r="M4493" s="5">
        <f>IF(YEAR(I4493)&lt;=2020,"Até 2020",TEXT(YEAR(I4493),"0"))</f>
        <v/>
      </c>
      <c r="N4493" s="5">
        <f>IFERROR(INDEX(DePara!$A:$A,MATCH(TEXT(B4493,"0"),DePara!$D:$D,0)),"(sem categoria)")</f>
        <v/>
      </c>
      <c r="O4493" s="5">
        <f>IF(J4493="","",Parametros!$B$6-J4493)</f>
        <v/>
      </c>
      <c r="P4493" s="5">
        <f>IF(O4493="","",IF(O4493&gt;0,1,0))</f>
        <v/>
      </c>
    </row>
    <row r="4494">
      <c r="A4494" s="5" t="n">
        <v>1191000000</v>
      </c>
      <c r="B4494" s="5" t="inlineStr">
        <is>
          <t>101714</t>
        </is>
      </c>
      <c r="C4494" s="5" t="inlineStr">
        <is>
          <t>VCI DO BRASIL IND E COMERC DE COMP</t>
        </is>
      </c>
      <c r="D4494" s="5" t="inlineStr">
        <is>
          <t>ZP</t>
        </is>
      </c>
      <c r="E4494" s="5" t="n">
        <v>2000000747</v>
      </c>
      <c r="F4494" s="5" t="n"/>
      <c r="G4494" s="5" t="inlineStr">
        <is>
          <t>BRL</t>
        </is>
      </c>
      <c r="H4494" s="9" t="n">
        <v>30634.34</v>
      </c>
      <c r="I4494" s="16" t="n">
        <v>45215</v>
      </c>
      <c r="J4494" s="16" t="n">
        <v>45215</v>
      </c>
      <c r="K4494" s="5" t="inlineStr">
        <is>
          <t>Documento fornecedor VCI DO BRASIL IND E COMERC DE</t>
        </is>
      </c>
      <c r="L4494" s="5" t="inlineStr">
        <is>
          <t>16102023</t>
        </is>
      </c>
      <c r="M4494" s="5">
        <f>IF(YEAR(I4494)&lt;=2020,"Até 2020",TEXT(YEAR(I4494),"0"))</f>
        <v/>
      </c>
      <c r="N4494" s="5">
        <f>IFERROR(INDEX(DePara!$A:$A,MATCH(TEXT(B4494,"0"),DePara!$D:$D,0)),"(sem categoria)")</f>
        <v/>
      </c>
      <c r="O4494" s="5">
        <f>IF(J4494="","",Parametros!$B$6-J4494)</f>
        <v/>
      </c>
      <c r="P4494" s="5">
        <f>IF(O4494="","",IF(O4494&gt;0,1,0))</f>
        <v/>
      </c>
    </row>
    <row r="4495">
      <c r="A4495" s="5" t="n">
        <v>1191000000</v>
      </c>
      <c r="B4495" s="5" t="inlineStr">
        <is>
          <t>103756</t>
        </is>
      </c>
      <c r="C4495" s="5" t="inlineStr">
        <is>
          <t>TW TRANSPORTES E LOGISTICA LTDA</t>
        </is>
      </c>
      <c r="D4495" s="5" t="inlineStr">
        <is>
          <t>ZP</t>
        </is>
      </c>
      <c r="E4495" s="5" t="n">
        <v>2000000780</v>
      </c>
      <c r="F4495" s="5" t="n"/>
      <c r="G4495" s="5" t="inlineStr">
        <is>
          <t>BRL</t>
        </is>
      </c>
      <c r="H4495" s="9" t="n">
        <v>235.1</v>
      </c>
      <c r="I4495" s="16" t="n">
        <v>45215</v>
      </c>
      <c r="J4495" s="16" t="n">
        <v>45215</v>
      </c>
      <c r="K4495" s="5" t="inlineStr">
        <is>
          <t>DECS INDUSTRIA DO VESTUARIO
LUCAS DE LIMA CANDIDO</t>
        </is>
      </c>
      <c r="L4495" s="5" t="inlineStr">
        <is>
          <t>DECS INDUSTRIA DO</t>
        </is>
      </c>
      <c r="M4495" s="5">
        <f>IF(YEAR(I4495)&lt;=2020,"Até 2020",TEXT(YEAR(I4495),"0"))</f>
        <v/>
      </c>
      <c r="N4495" s="5">
        <f>IFERROR(INDEX(DePara!$A:$A,MATCH(TEXT(B4495,"0"),DePara!$D:$D,0)),"(sem categoria)")</f>
        <v/>
      </c>
      <c r="O4495" s="5">
        <f>IF(J4495="","",Parametros!$B$6-J4495)</f>
        <v/>
      </c>
      <c r="P4495" s="5">
        <f>IF(O4495="","",IF(O4495&gt;0,1,0))</f>
        <v/>
      </c>
    </row>
    <row r="4496">
      <c r="A4496" s="5" t="n">
        <v>1191000000</v>
      </c>
      <c r="B4496" s="5" t="inlineStr">
        <is>
          <t>100830</t>
        </is>
      </c>
      <c r="C4496" s="5" t="inlineStr">
        <is>
          <t>EXPRESSO VALE REAL LTDA</t>
        </is>
      </c>
      <c r="D4496" s="5" t="inlineStr">
        <is>
          <t>ZP</t>
        </is>
      </c>
      <c r="E4496" s="5" t="n">
        <v>2000000846</v>
      </c>
      <c r="F4496" s="5" t="n"/>
      <c r="G4496" s="5" t="inlineStr">
        <is>
          <t>BRL</t>
        </is>
      </c>
      <c r="H4496" s="9" t="n">
        <v>11553.08</v>
      </c>
      <c r="I4496" s="16" t="n">
        <v>45218</v>
      </c>
      <c r="J4496" s="16" t="n">
        <v>45218</v>
      </c>
      <c r="K4496" s="5" t="inlineStr">
        <is>
          <t>Documento fornecedor EXPRESSO VALE REAL LTDA 1900</t>
        </is>
      </c>
      <c r="L4496" s="5" t="inlineStr">
        <is>
          <t>19102023</t>
        </is>
      </c>
      <c r="M4496" s="5">
        <f>IF(YEAR(I4496)&lt;=2020,"Até 2020",TEXT(YEAR(I4496),"0"))</f>
        <v/>
      </c>
      <c r="N4496" s="5">
        <f>IFERROR(INDEX(DePara!$A:$A,MATCH(TEXT(B4496,"0"),DePara!$D:$D,0)),"(sem categoria)")</f>
        <v/>
      </c>
      <c r="O4496" s="5">
        <f>IF(J4496="","",Parametros!$B$6-J4496)</f>
        <v/>
      </c>
      <c r="P4496" s="5">
        <f>IF(O4496="","",IF(O4496&gt;0,1,0))</f>
        <v/>
      </c>
    </row>
    <row r="4497">
      <c r="A4497" s="5" t="n">
        <v>1191000000</v>
      </c>
      <c r="B4497" s="5" t="inlineStr">
        <is>
          <t>100830</t>
        </is>
      </c>
      <c r="C4497" s="5" t="inlineStr">
        <is>
          <t>EXPRESSO VALE REAL LTDA</t>
        </is>
      </c>
      <c r="D4497" s="5" t="inlineStr">
        <is>
          <t>ZP</t>
        </is>
      </c>
      <c r="E4497" s="5" t="n">
        <v>2000000846</v>
      </c>
      <c r="F4497" s="5" t="n"/>
      <c r="G4497" s="5" t="inlineStr">
        <is>
          <t>BRL</t>
        </is>
      </c>
      <c r="H4497" s="9" t="n">
        <v>11553.08</v>
      </c>
      <c r="I4497" s="16" t="n">
        <v>45218</v>
      </c>
      <c r="J4497" s="16" t="n">
        <v>45218</v>
      </c>
      <c r="K4497" s="5" t="inlineStr">
        <is>
          <t>Documento fornecedor EXPRESSO VALE REAL LTDA 1901</t>
        </is>
      </c>
      <c r="L4497" s="5" t="inlineStr">
        <is>
          <t>19102023</t>
        </is>
      </c>
      <c r="M4497" s="5">
        <f>IF(YEAR(I4497)&lt;=2020,"Até 2020",TEXT(YEAR(I4497),"0"))</f>
        <v/>
      </c>
      <c r="N4497" s="5">
        <f>IFERROR(INDEX(DePara!$A:$A,MATCH(TEXT(B4497,"0"),DePara!$D:$D,0)),"(sem categoria)")</f>
        <v/>
      </c>
      <c r="O4497" s="5">
        <f>IF(J4497="","",Parametros!$B$6-J4497)</f>
        <v/>
      </c>
      <c r="P4497" s="5">
        <f>IF(O4497="","",IF(O4497&gt;0,1,0))</f>
        <v/>
      </c>
    </row>
    <row r="4498">
      <c r="A4498" s="5" t="n">
        <v>1191000000</v>
      </c>
      <c r="B4498" s="5" t="inlineStr">
        <is>
          <t>102069</t>
        </is>
      </c>
      <c r="C4498" s="5" t="inlineStr">
        <is>
          <t>AMBAR PATRIMONIAL LTDA</t>
        </is>
      </c>
      <c r="D4498" s="5" t="inlineStr">
        <is>
          <t>ZP</t>
        </is>
      </c>
      <c r="E4498" s="5" t="n">
        <v>2000000860</v>
      </c>
      <c r="F4498" s="5" t="n"/>
      <c r="G4498" s="5" t="inlineStr">
        <is>
          <t>BRL</t>
        </is>
      </c>
      <c r="H4498" s="9" t="n">
        <v>135.18</v>
      </c>
      <c r="I4498" s="16" t="n">
        <v>45219</v>
      </c>
      <c r="J4498" s="16" t="n">
        <v>45219</v>
      </c>
      <c r="K4498" s="5" t="inlineStr">
        <is>
          <t>Documento fornecedor AMBAR PATRIMONIAL LTDA 13933</t>
        </is>
      </c>
      <c r="L4498" s="5" t="inlineStr">
        <is>
          <t>20102023</t>
        </is>
      </c>
      <c r="M4498" s="5">
        <f>IF(YEAR(I4498)&lt;=2020,"Até 2020",TEXT(YEAR(I4498),"0"))</f>
        <v/>
      </c>
      <c r="N4498" s="5">
        <f>IFERROR(INDEX(DePara!$A:$A,MATCH(TEXT(B4498,"0"),DePara!$D:$D,0)),"(sem categoria)")</f>
        <v/>
      </c>
      <c r="O4498" s="5">
        <f>IF(J4498="","",Parametros!$B$6-J4498)</f>
        <v/>
      </c>
      <c r="P4498" s="5">
        <f>IF(O4498="","",IF(O4498&gt;0,1,0))</f>
        <v/>
      </c>
    </row>
    <row r="4499">
      <c r="A4499" s="5" t="n">
        <v>1191000000</v>
      </c>
      <c r="B4499" s="5" t="inlineStr">
        <is>
          <t>102290</t>
        </is>
      </c>
      <c r="C4499" s="5" t="inlineStr">
        <is>
          <t>GILDO MARQUES RIBEIRO</t>
        </is>
      </c>
      <c r="D4499" s="5" t="inlineStr">
        <is>
          <t>ZP</t>
        </is>
      </c>
      <c r="E4499" s="5" t="n">
        <v>2000001131</v>
      </c>
      <c r="F4499" s="5" t="n"/>
      <c r="G4499" s="5" t="inlineStr">
        <is>
          <t>BRL</t>
        </is>
      </c>
      <c r="H4499" s="9" t="n">
        <v>6309.03</v>
      </c>
      <c r="I4499" s="16" t="n">
        <v>45200</v>
      </c>
      <c r="J4499" s="16" t="n">
        <v>45200</v>
      </c>
      <c r="K4499" s="5" t="inlineStr">
        <is>
          <t>Documento fornecedor GILDO MARQUES RIBEIRO  202308</t>
        </is>
      </c>
      <c r="L4499" s="5" t="inlineStr">
        <is>
          <t>01082023-07082023</t>
        </is>
      </c>
      <c r="M4499" s="5">
        <f>IF(YEAR(I4499)&lt;=2020,"Até 2020",TEXT(YEAR(I4499),"0"))</f>
        <v/>
      </c>
      <c r="N4499" s="5">
        <f>IFERROR(INDEX(DePara!$A:$A,MATCH(TEXT(B4499,"0"),DePara!$D:$D,0)),"(sem categoria)")</f>
        <v/>
      </c>
      <c r="O4499" s="5">
        <f>IF(J4499="","",Parametros!$B$6-J4499)</f>
        <v/>
      </c>
      <c r="P4499" s="5">
        <f>IF(O4499="","",IF(O4499&gt;0,1,0))</f>
        <v/>
      </c>
    </row>
    <row r="4500">
      <c r="A4500" s="5" t="n">
        <v>1191000000</v>
      </c>
      <c r="B4500" s="5" t="inlineStr">
        <is>
          <t>102297</t>
        </is>
      </c>
      <c r="C4500" s="5" t="inlineStr">
        <is>
          <t>ENEDINO DANIEL DA SILVA</t>
        </is>
      </c>
      <c r="D4500" s="5" t="inlineStr">
        <is>
          <t>ZP</t>
        </is>
      </c>
      <c r="E4500" s="5" t="n">
        <v>2000001132</v>
      </c>
      <c r="F4500" s="5" t="n"/>
      <c r="G4500" s="5" t="inlineStr">
        <is>
          <t>BRL</t>
        </is>
      </c>
      <c r="H4500" s="9" t="n">
        <v>3736.13</v>
      </c>
      <c r="I4500" s="16" t="n">
        <v>45200</v>
      </c>
      <c r="J4500" s="16" t="n">
        <v>45200</v>
      </c>
      <c r="K4500" s="5" t="inlineStr">
        <is>
          <t>Documento fornecedor ENEDINO DANIEL DA SILVA  2023</t>
        </is>
      </c>
      <c r="L4500" s="5" t="inlineStr">
        <is>
          <t>01082023-07082023</t>
        </is>
      </c>
      <c r="M4500" s="5">
        <f>IF(YEAR(I4500)&lt;=2020,"Até 2020",TEXT(YEAR(I4500),"0"))</f>
        <v/>
      </c>
      <c r="N4500" s="5">
        <f>IFERROR(INDEX(DePara!$A:$A,MATCH(TEXT(B4500,"0"),DePara!$D:$D,0)),"(sem categoria)")</f>
        <v/>
      </c>
      <c r="O4500" s="5">
        <f>IF(J4500="","",Parametros!$B$6-J4500)</f>
        <v/>
      </c>
      <c r="P4500" s="5">
        <f>IF(O4500="","",IF(O4500&gt;0,1,0))</f>
        <v/>
      </c>
    </row>
    <row r="4501">
      <c r="A4501" s="5" t="n">
        <v>1191000000</v>
      </c>
      <c r="B4501" s="5" t="inlineStr">
        <is>
          <t>102332</t>
        </is>
      </c>
      <c r="C4501" s="5" t="inlineStr">
        <is>
          <t>RAFAEL ANTONIO SAADI</t>
        </is>
      </c>
      <c r="D4501" s="5" t="inlineStr">
        <is>
          <t>ZP</t>
        </is>
      </c>
      <c r="E4501" s="5" t="n">
        <v>2000001134</v>
      </c>
      <c r="F4501" s="5" t="n"/>
      <c r="G4501" s="5" t="inlineStr">
        <is>
          <t>BRL</t>
        </is>
      </c>
      <c r="H4501" s="9" t="n">
        <v>7502.71</v>
      </c>
      <c r="I4501" s="16" t="n">
        <v>45200</v>
      </c>
      <c r="J4501" s="16" t="n">
        <v>45200</v>
      </c>
      <c r="K4501" s="5" t="inlineStr">
        <is>
          <t>Documento fornecedor RAFAEL ANTONIO SAADI  2023080</t>
        </is>
      </c>
      <c r="L4501" s="5" t="inlineStr">
        <is>
          <t>01082023-07082023</t>
        </is>
      </c>
      <c r="M4501" s="5">
        <f>IF(YEAR(I4501)&lt;=2020,"Até 2020",TEXT(YEAR(I4501),"0"))</f>
        <v/>
      </c>
      <c r="N4501" s="5">
        <f>IFERROR(INDEX(DePara!$A:$A,MATCH(TEXT(B4501,"0"),DePara!$D:$D,0)),"(sem categoria)")</f>
        <v/>
      </c>
      <c r="O4501" s="5">
        <f>IF(J4501="","",Parametros!$B$6-J4501)</f>
        <v/>
      </c>
      <c r="P4501" s="5">
        <f>IF(O4501="","",IF(O4501&gt;0,1,0))</f>
        <v/>
      </c>
    </row>
    <row r="4502">
      <c r="A4502" s="5" t="n">
        <v>1191000000</v>
      </c>
      <c r="B4502" s="5" t="inlineStr">
        <is>
          <t>102452</t>
        </is>
      </c>
      <c r="C4502" s="5" t="inlineStr">
        <is>
          <t>ANTONIO FERNANDES VIEIRA</t>
        </is>
      </c>
      <c r="D4502" s="5" t="inlineStr">
        <is>
          <t>ZP</t>
        </is>
      </c>
      <c r="E4502" s="5" t="n">
        <v>2000001136</v>
      </c>
      <c r="F4502" s="5" t="n"/>
      <c r="G4502" s="5" t="inlineStr">
        <is>
          <t>BRL</t>
        </is>
      </c>
      <c r="H4502" s="9" t="n">
        <v>18994.36</v>
      </c>
      <c r="I4502" s="16" t="n">
        <v>45200</v>
      </c>
      <c r="J4502" s="16" t="n">
        <v>45200</v>
      </c>
      <c r="K4502" s="5" t="inlineStr">
        <is>
          <t>Documento fornecedor ANTONIO FERNANDES VIEIRA  202</t>
        </is>
      </c>
      <c r="L4502" s="5" t="inlineStr">
        <is>
          <t>01082023-07082023</t>
        </is>
      </c>
      <c r="M4502" s="5">
        <f>IF(YEAR(I4502)&lt;=2020,"Até 2020",TEXT(YEAR(I4502),"0"))</f>
        <v/>
      </c>
      <c r="N4502" s="5">
        <f>IFERROR(INDEX(DePara!$A:$A,MATCH(TEXT(B4502,"0"),DePara!$D:$D,0)),"(sem categoria)")</f>
        <v/>
      </c>
      <c r="O4502" s="5">
        <f>IF(J4502="","",Parametros!$B$6-J4502)</f>
        <v/>
      </c>
      <c r="P4502" s="5">
        <f>IF(O4502="","",IF(O4502&gt;0,1,0))</f>
        <v/>
      </c>
    </row>
    <row r="4503">
      <c r="A4503" s="5" t="n">
        <v>1191000000</v>
      </c>
      <c r="B4503" s="5" t="inlineStr">
        <is>
          <t>105237</t>
        </is>
      </c>
      <c r="C4503" s="5" t="inlineStr">
        <is>
          <t>TGP BRASIL PROJETOS &amp; TRANSPORTES I 07752487000108</t>
        </is>
      </c>
      <c r="D4503" s="5" t="inlineStr">
        <is>
          <t>ZP</t>
        </is>
      </c>
      <c r="E4503" s="5" t="n">
        <v>2000001631</v>
      </c>
      <c r="F4503" s="5" t="n"/>
      <c r="G4503" s="5" t="inlineStr">
        <is>
          <t>BRL</t>
        </is>
      </c>
      <c r="H4503" s="9" t="n">
        <v>32526.04</v>
      </c>
      <c r="I4503" s="16" t="n">
        <v>46050</v>
      </c>
      <c r="J4503" s="16" t="n">
        <v>46050</v>
      </c>
      <c r="K4503" s="5" t="inlineStr">
        <is>
          <t>0601/24 0601/24</t>
        </is>
      </c>
      <c r="L4503" s="5" t="inlineStr">
        <is>
          <t>28012026</t>
        </is>
      </c>
      <c r="M4503" s="5">
        <f>IF(YEAR(I4503)&lt;=2020,"Até 2020",TEXT(YEAR(I4503),"0"))</f>
        <v/>
      </c>
      <c r="N4503" s="5">
        <f>IFERROR(INDEX(DePara!$A:$A,MATCH(TEXT(B4503,"0"),DePara!$D:$D,0)),"(sem categoria)")</f>
        <v/>
      </c>
      <c r="O4503" s="5">
        <f>IF(J4503="","",Parametros!$B$6-J4503)</f>
        <v/>
      </c>
      <c r="P4503" s="5">
        <f>IF(O4503="","",IF(O4503&gt;0,1,0))</f>
        <v/>
      </c>
    </row>
    <row r="4504">
      <c r="A4504" s="5" t="n">
        <v>1191000000</v>
      </c>
      <c r="B4504" s="5" t="inlineStr">
        <is>
          <t>101760</t>
        </is>
      </c>
      <c r="C4504" s="5" t="inlineStr">
        <is>
          <t>R J C COELHO  ME</t>
        </is>
      </c>
      <c r="D4504" s="5" t="inlineStr">
        <is>
          <t>ZP</t>
        </is>
      </c>
      <c r="E4504" s="5" t="n">
        <v>2000001765</v>
      </c>
      <c r="F4504" s="5" t="n"/>
      <c r="G4504" s="5" t="inlineStr">
        <is>
          <t>BRL</t>
        </is>
      </c>
      <c r="H4504" s="9" t="n">
        <v>2809.44</v>
      </c>
      <c r="I4504" s="16" t="n">
        <v>45322</v>
      </c>
      <c r="J4504" s="16" t="n">
        <v>45322</v>
      </c>
      <c r="K4504" s="5" t="inlineStr">
        <is>
          <t>Documento fornecedor R J C COELHO  ME 15834</t>
        </is>
      </c>
      <c r="L4504" s="5" t="inlineStr">
        <is>
          <t>31012024</t>
        </is>
      </c>
      <c r="M4504" s="5">
        <f>IF(YEAR(I4504)&lt;=2020,"Até 2020",TEXT(YEAR(I4504),"0"))</f>
        <v/>
      </c>
      <c r="N4504" s="5">
        <f>IFERROR(INDEX(DePara!$A:$A,MATCH(TEXT(B4504,"0"),DePara!$D:$D,0)),"(sem categoria)")</f>
        <v/>
      </c>
      <c r="O4504" s="5">
        <f>IF(J4504="","",Parametros!$B$6-J4504)</f>
        <v/>
      </c>
      <c r="P4504" s="5">
        <f>IF(O4504="","",IF(O4504&gt;0,1,0))</f>
        <v/>
      </c>
    </row>
    <row r="4505">
      <c r="A4505" s="5" t="n">
        <v>1191000000</v>
      </c>
      <c r="B4505" s="5" t="inlineStr">
        <is>
          <t>101760</t>
        </is>
      </c>
      <c r="C4505" s="5" t="inlineStr">
        <is>
          <t>R J C COELHO  ME</t>
        </is>
      </c>
      <c r="D4505" s="5" t="inlineStr">
        <is>
          <t>ZP</t>
        </is>
      </c>
      <c r="E4505" s="5" t="n">
        <v>2000001765</v>
      </c>
      <c r="F4505" s="5" t="n"/>
      <c r="G4505" s="5" t="inlineStr">
        <is>
          <t>BRL</t>
        </is>
      </c>
      <c r="H4505" s="9" t="n">
        <v>1300.28</v>
      </c>
      <c r="I4505" s="16" t="n">
        <v>45322</v>
      </c>
      <c r="J4505" s="16" t="n">
        <v>45322</v>
      </c>
      <c r="K4505" s="5" t="inlineStr">
        <is>
          <t>Documento fornecedor R J C COELHO  ME 9659</t>
        </is>
      </c>
      <c r="L4505" s="5" t="inlineStr">
        <is>
          <t>31012024</t>
        </is>
      </c>
      <c r="M4505" s="5">
        <f>IF(YEAR(I4505)&lt;=2020,"Até 2020",TEXT(YEAR(I4505),"0"))</f>
        <v/>
      </c>
      <c r="N4505" s="5">
        <f>IFERROR(INDEX(DePara!$A:$A,MATCH(TEXT(B4505,"0"),DePara!$D:$D,0)),"(sem categoria)")</f>
        <v/>
      </c>
      <c r="O4505" s="5">
        <f>IF(J4505="","",Parametros!$B$6-J4505)</f>
        <v/>
      </c>
      <c r="P4505" s="5">
        <f>IF(O4505="","",IF(O4505&gt;0,1,0))</f>
        <v/>
      </c>
    </row>
    <row r="4506">
      <c r="A4506" s="5" t="n">
        <v>1191000000</v>
      </c>
      <c r="B4506" s="5" t="inlineStr">
        <is>
          <t>103772</t>
        </is>
      </c>
      <c r="C4506" s="5" t="inlineStr">
        <is>
          <t>BRASPRESS TRANSPORTES URGENTES LTDA</t>
        </is>
      </c>
      <c r="D4506" s="5" t="inlineStr">
        <is>
          <t>ZP</t>
        </is>
      </c>
      <c r="E4506" s="5" t="n">
        <v>2000001975</v>
      </c>
      <c r="F4506" s="5" t="n"/>
      <c r="G4506" s="5" t="inlineStr">
        <is>
          <t>BRL</t>
        </is>
      </c>
      <c r="H4506" s="9" t="n">
        <v>436.99</v>
      </c>
      <c r="I4506" s="16" t="n">
        <v>45237</v>
      </c>
      <c r="J4506" s="16" t="n">
        <v>45237</v>
      </c>
      <c r="K4506" s="5" t="inlineStr">
        <is>
          <t>Documento fornecedor BRASPRESS TRANSPORTES URGENTE</t>
        </is>
      </c>
      <c r="L4506" s="5" t="inlineStr">
        <is>
          <t>07112023</t>
        </is>
      </c>
      <c r="M4506" s="5">
        <f>IF(YEAR(I4506)&lt;=2020,"Até 2020",TEXT(YEAR(I4506),"0"))</f>
        <v/>
      </c>
      <c r="N4506" s="5">
        <f>IFERROR(INDEX(DePara!$A:$A,MATCH(TEXT(B4506,"0"),DePara!$D:$D,0)),"(sem categoria)")</f>
        <v/>
      </c>
      <c r="O4506" s="5">
        <f>IF(J4506="","",Parametros!$B$6-J4506)</f>
        <v/>
      </c>
      <c r="P4506" s="5">
        <f>IF(O4506="","",IF(O4506&gt;0,1,0))</f>
        <v/>
      </c>
    </row>
    <row r="4507">
      <c r="A4507" s="5" t="n">
        <v>1191000000</v>
      </c>
      <c r="B4507" s="5" t="inlineStr">
        <is>
          <t>103772</t>
        </is>
      </c>
      <c r="C4507" s="5" t="inlineStr">
        <is>
          <t>BRASPRESS TRANSPORTES URGENTES LTDA</t>
        </is>
      </c>
      <c r="D4507" s="5" t="inlineStr">
        <is>
          <t>ZP</t>
        </is>
      </c>
      <c r="E4507" s="5" t="n">
        <v>2000001975</v>
      </c>
      <c r="F4507" s="5" t="n"/>
      <c r="G4507" s="5" t="inlineStr">
        <is>
          <t>BRL</t>
        </is>
      </c>
      <c r="H4507" s="9" t="n">
        <v>1037.72</v>
      </c>
      <c r="I4507" s="16" t="n">
        <v>45237</v>
      </c>
      <c r="J4507" s="16" t="n">
        <v>45237</v>
      </c>
      <c r="K4507" s="5" t="inlineStr">
        <is>
          <t>Documento fornecedor BRASPRESS TRANSPORTES URGENTE</t>
        </is>
      </c>
      <c r="L4507" s="5" t="inlineStr">
        <is>
          <t>07112023</t>
        </is>
      </c>
      <c r="M4507" s="5">
        <f>IF(YEAR(I4507)&lt;=2020,"Até 2020",TEXT(YEAR(I4507),"0"))</f>
        <v/>
      </c>
      <c r="N4507" s="5">
        <f>IFERROR(INDEX(DePara!$A:$A,MATCH(TEXT(B4507,"0"),DePara!$D:$D,0)),"(sem categoria)")</f>
        <v/>
      </c>
      <c r="O4507" s="5">
        <f>IF(J4507="","",Parametros!$B$6-J4507)</f>
        <v/>
      </c>
      <c r="P4507" s="5">
        <f>IF(O4507="","",IF(O4507&gt;0,1,0))</f>
        <v/>
      </c>
    </row>
    <row r="4508">
      <c r="A4508" s="5" t="n">
        <v>1191000000</v>
      </c>
      <c r="B4508" s="5" t="inlineStr">
        <is>
          <t>105984</t>
        </is>
      </c>
      <c r="C4508" s="5" t="inlineStr">
        <is>
          <t>TRADEWORKS SERVICOS DE COMERCIO EXT 04955748000107</t>
        </is>
      </c>
      <c r="D4508" s="5" t="inlineStr">
        <is>
          <t>ZP</t>
        </is>
      </c>
      <c r="E4508" s="5" t="n">
        <v>2000002787</v>
      </c>
      <c r="F4508" s="5" t="n"/>
      <c r="G4508" s="5" t="inlineStr">
        <is>
          <t>BRL</t>
        </is>
      </c>
      <c r="H4508" s="9" t="n">
        <v>560</v>
      </c>
      <c r="I4508" s="16" t="n">
        <v>46064</v>
      </c>
      <c r="J4508" s="16" t="n">
        <v>46064</v>
      </c>
      <c r="K4508" s="5" t="inlineStr">
        <is>
          <t>0953/25 0953/25</t>
        </is>
      </c>
      <c r="L4508" s="5" t="inlineStr">
        <is>
          <t>11022026</t>
        </is>
      </c>
      <c r="M4508" s="5">
        <f>IF(YEAR(I4508)&lt;=2020,"Até 2020",TEXT(YEAR(I4508),"0"))</f>
        <v/>
      </c>
      <c r="N4508" s="5">
        <f>IFERROR(INDEX(DePara!$A:$A,MATCH(TEXT(B4508,"0"),DePara!$D:$D,0)),"(sem categoria)")</f>
        <v/>
      </c>
      <c r="O4508" s="5">
        <f>IF(J4508="","",Parametros!$B$6-J4508)</f>
        <v/>
      </c>
      <c r="P4508" s="5">
        <f>IF(O4508="","",IF(O4508&gt;0,1,0))</f>
        <v/>
      </c>
    </row>
    <row r="4509">
      <c r="A4509" s="5" t="n">
        <v>1191000000</v>
      </c>
      <c r="B4509" s="5" t="inlineStr">
        <is>
          <t>102126</t>
        </is>
      </c>
      <c r="C4509" s="5" t="inlineStr">
        <is>
          <t>GV NONDESTRUCTIVE TESTING LTDA ME</t>
        </is>
      </c>
      <c r="D4509" s="5" t="inlineStr">
        <is>
          <t>ZP</t>
        </is>
      </c>
      <c r="E4509" s="5" t="n">
        <v>2000004410</v>
      </c>
      <c r="F4509" s="5" t="n"/>
      <c r="G4509" s="5" t="inlineStr">
        <is>
          <t>BRL</t>
        </is>
      </c>
      <c r="H4509" s="9" t="n">
        <v>3300</v>
      </c>
      <c r="I4509" s="16" t="n">
        <v>45406</v>
      </c>
      <c r="J4509" s="16" t="n">
        <v>45406</v>
      </c>
      <c r="K4509" s="5" t="inlineStr">
        <is>
          <t>Documento fornecedor GV NONDESTRUCTIVE TESTING LTD</t>
        </is>
      </c>
      <c r="L4509" s="5" t="inlineStr">
        <is>
          <t>24042024</t>
        </is>
      </c>
      <c r="M4509" s="5">
        <f>IF(YEAR(I4509)&lt;=2020,"Até 2020",TEXT(YEAR(I4509),"0"))</f>
        <v/>
      </c>
      <c r="N4509" s="5">
        <f>IFERROR(INDEX(DePara!$A:$A,MATCH(TEXT(B4509,"0"),DePara!$D:$D,0)),"(sem categoria)")</f>
        <v/>
      </c>
      <c r="O4509" s="5">
        <f>IF(J4509="","",Parametros!$B$6-J4509)</f>
        <v/>
      </c>
      <c r="P4509" s="5">
        <f>IF(O4509="","",IF(O4509&gt;0,1,0))</f>
        <v/>
      </c>
    </row>
    <row r="4510">
      <c r="A4510" s="5" t="n">
        <v>1191000000</v>
      </c>
      <c r="B4510" s="5" t="inlineStr">
        <is>
          <t>101558</t>
        </is>
      </c>
      <c r="C4510" s="5" t="inlineStr">
        <is>
          <t>ALTRA INDUSTRIAL MOTION B E I LTDA</t>
        </is>
      </c>
      <c r="D4510" s="5" t="inlineStr">
        <is>
          <t>ZP</t>
        </is>
      </c>
      <c r="E4510" s="5" t="n">
        <v>2000004494</v>
      </c>
      <c r="F4510" s="5" t="n"/>
      <c r="G4510" s="5" t="inlineStr">
        <is>
          <t>BRL</t>
        </is>
      </c>
      <c r="H4510" s="9" t="n">
        <v>1630.2</v>
      </c>
      <c r="I4510" s="16" t="n">
        <v>45408</v>
      </c>
      <c r="J4510" s="16" t="n">
        <v>45408</v>
      </c>
      <c r="K4510" s="5" t="inlineStr">
        <is>
          <t>Documento fornecedor ALTRA INDUSTRIAL MOTION B E I</t>
        </is>
      </c>
      <c r="L4510" s="5" t="inlineStr">
        <is>
          <t>26042024</t>
        </is>
      </c>
      <c r="M4510" s="5">
        <f>IF(YEAR(I4510)&lt;=2020,"Até 2020",TEXT(YEAR(I4510),"0"))</f>
        <v/>
      </c>
      <c r="N4510" s="5">
        <f>IFERROR(INDEX(DePara!$A:$A,MATCH(TEXT(B4510,"0"),DePara!$D:$D,0)),"(sem categoria)")</f>
        <v/>
      </c>
      <c r="O4510" s="5">
        <f>IF(J4510="","",Parametros!$B$6-J4510)</f>
        <v/>
      </c>
      <c r="P4510" s="5">
        <f>IF(O4510="","",IF(O4510&gt;0,1,0))</f>
        <v/>
      </c>
    </row>
    <row r="4511">
      <c r="A4511" s="5" t="n">
        <v>1191000000</v>
      </c>
      <c r="B4511" s="5" t="inlineStr">
        <is>
          <t>101558</t>
        </is>
      </c>
      <c r="C4511" s="5" t="inlineStr">
        <is>
          <t>ALTRA INDUSTRIAL MOTION B E I LTDA</t>
        </is>
      </c>
      <c r="D4511" s="5" t="inlineStr">
        <is>
          <t>ZP</t>
        </is>
      </c>
      <c r="E4511" s="5" t="n">
        <v>2000004494</v>
      </c>
      <c r="F4511" s="5" t="n"/>
      <c r="G4511" s="5" t="inlineStr">
        <is>
          <t>BRL</t>
        </is>
      </c>
      <c r="H4511" s="9" t="n">
        <v>1630.2</v>
      </c>
      <c r="I4511" s="16" t="n">
        <v>45408</v>
      </c>
      <c r="J4511" s="16" t="n">
        <v>45408</v>
      </c>
      <c r="K4511" s="5" t="inlineStr">
        <is>
          <t>Documento fornecedor ALTRA INDUSTRIAL MOTION B E I</t>
        </is>
      </c>
      <c r="L4511" s="5" t="inlineStr">
        <is>
          <t>26042024</t>
        </is>
      </c>
      <c r="M4511" s="5">
        <f>IF(YEAR(I4511)&lt;=2020,"Até 2020",TEXT(YEAR(I4511),"0"))</f>
        <v/>
      </c>
      <c r="N4511" s="5">
        <f>IFERROR(INDEX(DePara!$A:$A,MATCH(TEXT(B4511,"0"),DePara!$D:$D,0)),"(sem categoria)")</f>
        <v/>
      </c>
      <c r="O4511" s="5">
        <f>IF(J4511="","",Parametros!$B$6-J4511)</f>
        <v/>
      </c>
      <c r="P4511" s="5">
        <f>IF(O4511="","",IF(O4511&gt;0,1,0))</f>
        <v/>
      </c>
    </row>
    <row r="4512">
      <c r="A4512" s="5" t="n">
        <v>1191000000</v>
      </c>
      <c r="B4512" s="5" t="inlineStr">
        <is>
          <t>101558</t>
        </is>
      </c>
      <c r="C4512" s="5" t="inlineStr">
        <is>
          <t>ALTRA INDUSTRIAL MOTION B E I LTDA</t>
        </is>
      </c>
      <c r="D4512" s="5" t="inlineStr">
        <is>
          <t>ZP</t>
        </is>
      </c>
      <c r="E4512" s="5" t="n">
        <v>2000004494</v>
      </c>
      <c r="F4512" s="5" t="n"/>
      <c r="G4512" s="5" t="inlineStr">
        <is>
          <t>BRL</t>
        </is>
      </c>
      <c r="H4512" s="9" t="n">
        <v>3260.4</v>
      </c>
      <c r="I4512" s="16" t="n">
        <v>45408</v>
      </c>
      <c r="J4512" s="16" t="n">
        <v>45408</v>
      </c>
      <c r="K4512" s="5" t="inlineStr">
        <is>
          <t>Documento fornecedor ALTRA INDUSTRIAL MOTION B E I</t>
        </is>
      </c>
      <c r="L4512" s="5" t="inlineStr">
        <is>
          <t>26042024</t>
        </is>
      </c>
      <c r="M4512" s="5">
        <f>IF(YEAR(I4512)&lt;=2020,"Até 2020",TEXT(YEAR(I4512),"0"))</f>
        <v/>
      </c>
      <c r="N4512" s="5">
        <f>IFERROR(INDEX(DePara!$A:$A,MATCH(TEXT(B4512,"0"),DePara!$D:$D,0)),"(sem categoria)")</f>
        <v/>
      </c>
      <c r="O4512" s="5">
        <f>IF(J4512="","",Parametros!$B$6-J4512)</f>
        <v/>
      </c>
      <c r="P4512" s="5">
        <f>IF(O4512="","",IF(O4512&gt;0,1,0))</f>
        <v/>
      </c>
    </row>
    <row r="4513">
      <c r="A4513" s="5" t="n">
        <v>1191000000</v>
      </c>
      <c r="B4513" s="5" t="inlineStr">
        <is>
          <t>101558</t>
        </is>
      </c>
      <c r="C4513" s="5" t="inlineStr">
        <is>
          <t>ALTRA INDUSTRIAL MOTION B E I LTDA</t>
        </is>
      </c>
      <c r="D4513" s="5" t="inlineStr">
        <is>
          <t>ZP</t>
        </is>
      </c>
      <c r="E4513" s="5" t="n">
        <v>2000004494</v>
      </c>
      <c r="F4513" s="5" t="n"/>
      <c r="G4513" s="5" t="inlineStr">
        <is>
          <t>BRL</t>
        </is>
      </c>
      <c r="H4513" s="9" t="n">
        <v>919.6</v>
      </c>
      <c r="I4513" s="16" t="n">
        <v>45408</v>
      </c>
      <c r="J4513" s="16" t="n">
        <v>45408</v>
      </c>
      <c r="K4513" s="5" t="inlineStr">
        <is>
          <t>Documento fornecedor ALTRA INDUSTRIAL MOTION B E I</t>
        </is>
      </c>
      <c r="L4513" s="5" t="inlineStr">
        <is>
          <t>26042024</t>
        </is>
      </c>
      <c r="M4513" s="5">
        <f>IF(YEAR(I4513)&lt;=2020,"Até 2020",TEXT(YEAR(I4513),"0"))</f>
        <v/>
      </c>
      <c r="N4513" s="5">
        <f>IFERROR(INDEX(DePara!$A:$A,MATCH(TEXT(B4513,"0"),DePara!$D:$D,0)),"(sem categoria)")</f>
        <v/>
      </c>
      <c r="O4513" s="5">
        <f>IF(J4513="","",Parametros!$B$6-J4513)</f>
        <v/>
      </c>
      <c r="P4513" s="5">
        <f>IF(O4513="","",IF(O4513&gt;0,1,0))</f>
        <v/>
      </c>
    </row>
    <row r="4514">
      <c r="A4514" s="5" t="n">
        <v>1191000000</v>
      </c>
      <c r="B4514" s="5" t="inlineStr">
        <is>
          <t>101558</t>
        </is>
      </c>
      <c r="C4514" s="5" t="inlineStr">
        <is>
          <t>ALTRA INDUSTRIAL MOTION B E I LTDA</t>
        </is>
      </c>
      <c r="D4514" s="5" t="inlineStr">
        <is>
          <t>ZP</t>
        </is>
      </c>
      <c r="E4514" s="5" t="n">
        <v>2000004494</v>
      </c>
      <c r="F4514" s="5" t="n"/>
      <c r="G4514" s="5" t="inlineStr">
        <is>
          <t>BRL</t>
        </is>
      </c>
      <c r="H4514" s="9" t="n">
        <v>3678.4</v>
      </c>
      <c r="I4514" s="16" t="n">
        <v>45408</v>
      </c>
      <c r="J4514" s="16" t="n">
        <v>45408</v>
      </c>
      <c r="K4514" s="5" t="inlineStr">
        <is>
          <t>Documento fornecedor ALTRA INDUSTRIAL MOTION B E I</t>
        </is>
      </c>
      <c r="L4514" s="5" t="inlineStr">
        <is>
          <t>26042024</t>
        </is>
      </c>
      <c r="M4514" s="5">
        <f>IF(YEAR(I4514)&lt;=2020,"Até 2020",TEXT(YEAR(I4514),"0"))</f>
        <v/>
      </c>
      <c r="N4514" s="5">
        <f>IFERROR(INDEX(DePara!$A:$A,MATCH(TEXT(B4514,"0"),DePara!$D:$D,0)),"(sem categoria)")</f>
        <v/>
      </c>
      <c r="O4514" s="5">
        <f>IF(J4514="","",Parametros!$B$6-J4514)</f>
        <v/>
      </c>
      <c r="P4514" s="5">
        <f>IF(O4514="","",IF(O4514&gt;0,1,0))</f>
        <v/>
      </c>
    </row>
    <row r="4515">
      <c r="A4515" s="5" t="n">
        <v>1191000000</v>
      </c>
      <c r="B4515" s="5" t="inlineStr">
        <is>
          <t>105984</t>
        </is>
      </c>
      <c r="C4515" s="5" t="inlineStr">
        <is>
          <t>TRADEWORKS SERVICOS DE COMERCIO EXT 04955748000107</t>
        </is>
      </c>
      <c r="D4515" s="5" t="inlineStr">
        <is>
          <t>ZP</t>
        </is>
      </c>
      <c r="E4515" s="5" t="n">
        <v>2000006723</v>
      </c>
      <c r="F4515" s="5" t="n"/>
      <c r="G4515" s="5" t="inlineStr">
        <is>
          <t>BRL</t>
        </is>
      </c>
      <c r="H4515" s="9" t="n">
        <v>550.71</v>
      </c>
      <c r="I4515" s="16" t="n">
        <v>46134</v>
      </c>
      <c r="J4515" s="16" t="n">
        <v>46134</v>
      </c>
      <c r="K4515" s="5" t="inlineStr">
        <is>
          <t>Documento fornecedor TRADEWORKS SERVICOS DE COMERC</t>
        </is>
      </c>
      <c r="L4515" s="5" t="inlineStr">
        <is>
          <t>22042026</t>
        </is>
      </c>
      <c r="M4515" s="5">
        <f>IF(YEAR(I4515)&lt;=2020,"Até 2020",TEXT(YEAR(I4515),"0"))</f>
        <v/>
      </c>
      <c r="N4515" s="5">
        <f>IFERROR(INDEX(DePara!$A:$A,MATCH(TEXT(B4515,"0"),DePara!$D:$D,0)),"(sem categoria)")</f>
        <v/>
      </c>
      <c r="O4515" s="5">
        <f>IF(J4515="","",Parametros!$B$6-J4515)</f>
        <v/>
      </c>
      <c r="P4515" s="5">
        <f>IF(O4515="","",IF(O4515&gt;0,1,0))</f>
        <v/>
      </c>
    </row>
    <row r="4516">
      <c r="A4516" s="5" t="n">
        <v>1191000000</v>
      </c>
      <c r="B4516" s="5" t="inlineStr">
        <is>
          <t>105984</t>
        </is>
      </c>
      <c r="C4516" s="5" t="inlineStr">
        <is>
          <t>TRADEWORKS SERVICOS DE COMERCIO EXT 04955748000107</t>
        </is>
      </c>
      <c r="D4516" s="5" t="inlineStr">
        <is>
          <t>ZP</t>
        </is>
      </c>
      <c r="E4516" s="5" t="n">
        <v>2000007754</v>
      </c>
      <c r="F4516" s="5" t="n"/>
      <c r="G4516" s="5" t="inlineStr">
        <is>
          <t>BRL</t>
        </is>
      </c>
      <c r="H4516" s="9" t="n">
        <v>233.82</v>
      </c>
      <c r="I4516" s="16" t="n">
        <v>46148</v>
      </c>
      <c r="J4516" s="16" t="n">
        <v>46148</v>
      </c>
      <c r="K4516" s="5" t="inlineStr">
        <is>
          <t>Documento fornecedor TRADEWORKS SERVICOS DE COMERC</t>
        </is>
      </c>
      <c r="L4516" s="5" t="inlineStr">
        <is>
          <t>06052026</t>
        </is>
      </c>
      <c r="M4516" s="5">
        <f>IF(YEAR(I4516)&lt;=2020,"Até 2020",TEXT(YEAR(I4516),"0"))</f>
        <v/>
      </c>
      <c r="N4516" s="5">
        <f>IFERROR(INDEX(DePara!$A:$A,MATCH(TEXT(B4516,"0"),DePara!$D:$D,0)),"(sem categoria)")</f>
        <v/>
      </c>
      <c r="O4516" s="5">
        <f>IF(J4516="","",Parametros!$B$6-J4516)</f>
        <v/>
      </c>
      <c r="P4516" s="5">
        <f>IF(O4516="","",IF(O4516&gt;0,1,0))</f>
        <v/>
      </c>
    </row>
    <row r="4517">
      <c r="A4517" s="5" t="n">
        <v>1191000000</v>
      </c>
      <c r="B4517" s="5" t="inlineStr">
        <is>
          <t>105984</t>
        </is>
      </c>
      <c r="C4517" s="5" t="inlineStr">
        <is>
          <t>TRADEWORKS SERVICOS DE COMERCIO EXT 04955748000107</t>
        </is>
      </c>
      <c r="D4517" s="5" t="inlineStr">
        <is>
          <t>ZP</t>
        </is>
      </c>
      <c r="E4517" s="5" t="n">
        <v>2000007764</v>
      </c>
      <c r="F4517" s="5" t="n"/>
      <c r="G4517" s="5" t="inlineStr">
        <is>
          <t>BRL</t>
        </is>
      </c>
      <c r="H4517" s="9" t="n">
        <v>8194.530000000001</v>
      </c>
      <c r="I4517" s="16" t="n">
        <v>46148</v>
      </c>
      <c r="J4517" s="16" t="n">
        <v>46148</v>
      </c>
      <c r="K4517" s="5" t="inlineStr">
        <is>
          <t>Documento fornecedor TRADEWORKS SERVICOS DE COMERC</t>
        </is>
      </c>
      <c r="L4517" s="5" t="inlineStr">
        <is>
          <t>06052026</t>
        </is>
      </c>
      <c r="M4517" s="5">
        <f>IF(YEAR(I4517)&lt;=2020,"Até 2020",TEXT(YEAR(I4517),"0"))</f>
        <v/>
      </c>
      <c r="N4517" s="5">
        <f>IFERROR(INDEX(DePara!$A:$A,MATCH(TEXT(B4517,"0"),DePara!$D:$D,0)),"(sem categoria)")</f>
        <v/>
      </c>
      <c r="O4517" s="5">
        <f>IF(J4517="","",Parametros!$B$6-J4517)</f>
        <v/>
      </c>
      <c r="P4517" s="5">
        <f>IF(O4517="","",IF(O4517&gt;0,1,0))</f>
        <v/>
      </c>
    </row>
    <row r="4518">
      <c r="A4518" s="5" t="n">
        <v>1191000000</v>
      </c>
      <c r="B4518" s="5" t="inlineStr">
        <is>
          <t>105984</t>
        </is>
      </c>
      <c r="C4518" s="5" t="inlineStr">
        <is>
          <t>TRADEWORKS SERVICOS DE COMERCIO EXT 04955748000107</t>
        </is>
      </c>
      <c r="D4518" s="5" t="inlineStr">
        <is>
          <t>ZP</t>
        </is>
      </c>
      <c r="E4518" s="5" t="n">
        <v>2000007765</v>
      </c>
      <c r="F4518" s="5" t="n"/>
      <c r="G4518" s="5" t="inlineStr">
        <is>
          <t>BRL</t>
        </is>
      </c>
      <c r="H4518" s="9" t="n">
        <v>10165.59</v>
      </c>
      <c r="I4518" s="16" t="n">
        <v>46148</v>
      </c>
      <c r="J4518" s="16" t="n">
        <v>46148</v>
      </c>
      <c r="K4518" s="5" t="inlineStr">
        <is>
          <t>Documento fornecedor TRADEWORKS SERVICOS DE COMERC</t>
        </is>
      </c>
      <c r="L4518" s="5" t="inlineStr">
        <is>
          <t>06052026</t>
        </is>
      </c>
      <c r="M4518" s="5">
        <f>IF(YEAR(I4518)&lt;=2020,"Até 2020",TEXT(YEAR(I4518),"0"))</f>
        <v/>
      </c>
      <c r="N4518" s="5">
        <f>IFERROR(INDEX(DePara!$A:$A,MATCH(TEXT(B4518,"0"),DePara!$D:$D,0)),"(sem categoria)")</f>
        <v/>
      </c>
      <c r="O4518" s="5">
        <f>IF(J4518="","",Parametros!$B$6-J4518)</f>
        <v/>
      </c>
      <c r="P4518" s="5">
        <f>IF(O4518="","",IF(O4518&gt;0,1,0))</f>
        <v/>
      </c>
    </row>
    <row r="4519">
      <c r="A4519" s="5" t="n">
        <v>1191000000</v>
      </c>
      <c r="B4519" s="5" t="inlineStr">
        <is>
          <t>105984</t>
        </is>
      </c>
      <c r="C4519" s="5" t="inlineStr">
        <is>
          <t>TRADEWORKS SERVICOS DE COMERCIO EXT 04955748000107</t>
        </is>
      </c>
      <c r="D4519" s="5" t="inlineStr">
        <is>
          <t>ZP</t>
        </is>
      </c>
      <c r="E4519" s="5" t="n">
        <v>2000009284</v>
      </c>
      <c r="F4519" s="5" t="n"/>
      <c r="G4519" s="5" t="inlineStr">
        <is>
          <t>BRL</t>
        </is>
      </c>
      <c r="H4519" s="9" t="n">
        <v>22.96</v>
      </c>
      <c r="I4519" s="16" t="n">
        <v>46176</v>
      </c>
      <c r="J4519" s="16" t="n">
        <v>46176</v>
      </c>
      <c r="K4519" s="5" t="inlineStr">
        <is>
          <t>Documento fornecedor TRADEWORKS SERVICOS DE COMERC</t>
        </is>
      </c>
      <c r="L4519" s="5" t="inlineStr">
        <is>
          <t>03062026</t>
        </is>
      </c>
      <c r="M4519" s="5">
        <f>IF(YEAR(I4519)&lt;=2020,"Até 2020",TEXT(YEAR(I4519),"0"))</f>
        <v/>
      </c>
      <c r="N4519" s="5">
        <f>IFERROR(INDEX(DePara!$A:$A,MATCH(TEXT(B4519,"0"),DePara!$D:$D,0)),"(sem categoria)")</f>
        <v/>
      </c>
      <c r="O4519" s="5">
        <f>IF(J4519="","",Parametros!$B$6-J4519)</f>
        <v/>
      </c>
      <c r="P4519" s="5">
        <f>IF(O4519="","",IF(O4519&gt;0,1,0))</f>
        <v/>
      </c>
    </row>
    <row r="4520">
      <c r="A4520" s="5" t="n">
        <v>1191000000</v>
      </c>
      <c r="B4520" s="5" t="inlineStr">
        <is>
          <t>105984</t>
        </is>
      </c>
      <c r="C4520" s="5" t="inlineStr">
        <is>
          <t>TRADEWORKS SERVICOS DE COMERCIO EXT 04955748000107</t>
        </is>
      </c>
      <c r="D4520" s="5" t="inlineStr">
        <is>
          <t>ZP</t>
        </is>
      </c>
      <c r="E4520" s="5" t="n">
        <v>2000009285</v>
      </c>
      <c r="F4520" s="5" t="n"/>
      <c r="G4520" s="5" t="inlineStr">
        <is>
          <t>BRL</t>
        </is>
      </c>
      <c r="H4520" s="9" t="n">
        <v>33.16</v>
      </c>
      <c r="I4520" s="16" t="n">
        <v>46176</v>
      </c>
      <c r="J4520" s="16" t="n">
        <v>46176</v>
      </c>
      <c r="K4520" s="5" t="inlineStr">
        <is>
          <t>Documento fornecedor TRADEWORKS SERVICOS DE COMERC</t>
        </is>
      </c>
      <c r="L4520" s="5" t="inlineStr">
        <is>
          <t>03062026</t>
        </is>
      </c>
      <c r="M4520" s="5">
        <f>IF(YEAR(I4520)&lt;=2020,"Até 2020",TEXT(YEAR(I4520),"0"))</f>
        <v/>
      </c>
      <c r="N4520" s="5">
        <f>IFERROR(INDEX(DePara!$A:$A,MATCH(TEXT(B4520,"0"),DePara!$D:$D,0)),"(sem categoria)")</f>
        <v/>
      </c>
      <c r="O4520" s="5">
        <f>IF(J4520="","",Parametros!$B$6-J4520)</f>
        <v/>
      </c>
      <c r="P4520" s="5">
        <f>IF(O4520="","",IF(O4520&gt;0,1,0))</f>
        <v/>
      </c>
    </row>
    <row r="4521">
      <c r="A4521" s="5" t="n">
        <v>1191000000</v>
      </c>
      <c r="B4521" s="5" t="inlineStr">
        <is>
          <t>105984</t>
        </is>
      </c>
      <c r="C4521" s="5" t="inlineStr">
        <is>
          <t>TRADEWORKS SERVICOS DE COMERCIO EXT 04955748000107</t>
        </is>
      </c>
      <c r="D4521" s="5" t="inlineStr">
        <is>
          <t>ZP</t>
        </is>
      </c>
      <c r="E4521" s="5" t="n">
        <v>2000009287</v>
      </c>
      <c r="F4521" s="5" t="n"/>
      <c r="G4521" s="5" t="inlineStr">
        <is>
          <t>BRL</t>
        </is>
      </c>
      <c r="H4521" s="9" t="n">
        <v>182.98</v>
      </c>
      <c r="I4521" s="16" t="n">
        <v>46176</v>
      </c>
      <c r="J4521" s="16" t="n">
        <v>46176</v>
      </c>
      <c r="K4521" s="5" t="inlineStr">
        <is>
          <t>Documento fornecedor TRADEWORKS SERVICOS DE COMERC</t>
        </is>
      </c>
      <c r="L4521" s="5" t="inlineStr">
        <is>
          <t>03062026</t>
        </is>
      </c>
      <c r="M4521" s="5">
        <f>IF(YEAR(I4521)&lt;=2020,"Até 2020",TEXT(YEAR(I4521),"0"))</f>
        <v/>
      </c>
      <c r="N4521" s="5">
        <f>IFERROR(INDEX(DePara!$A:$A,MATCH(TEXT(B4521,"0"),DePara!$D:$D,0)),"(sem categoria)")</f>
        <v/>
      </c>
      <c r="O4521" s="5">
        <f>IF(J4521="","",Parametros!$B$6-J4521)</f>
        <v/>
      </c>
      <c r="P4521" s="5">
        <f>IF(O4521="","",IF(O4521&gt;0,1,0))</f>
        <v/>
      </c>
    </row>
    <row r="4522">
      <c r="A4522" s="5" t="n">
        <v>1191000000</v>
      </c>
      <c r="B4522" s="5" t="inlineStr">
        <is>
          <t>105984</t>
        </is>
      </c>
      <c r="C4522" s="5" t="inlineStr">
        <is>
          <t>TRADEWORKS SERVICOS DE COMERCIO EXT 04955748000107</t>
        </is>
      </c>
      <c r="D4522" s="5" t="inlineStr">
        <is>
          <t>ZP</t>
        </is>
      </c>
      <c r="E4522" s="5" t="n">
        <v>2000009303</v>
      </c>
      <c r="F4522" s="5" t="n"/>
      <c r="G4522" s="5" t="inlineStr">
        <is>
          <t>BRL</t>
        </is>
      </c>
      <c r="H4522" s="9" t="n">
        <v>632.0700000000001</v>
      </c>
      <c r="I4522" s="16" t="n">
        <v>46176</v>
      </c>
      <c r="J4522" s="16" t="n">
        <v>46176</v>
      </c>
      <c r="K4522" s="5" t="inlineStr">
        <is>
          <t>Documento fornecedor TRADEWORKS SERVICOS DE COMERC</t>
        </is>
      </c>
      <c r="L4522" s="5" t="inlineStr">
        <is>
          <t>03062026</t>
        </is>
      </c>
      <c r="M4522" s="5">
        <f>IF(YEAR(I4522)&lt;=2020,"Até 2020",TEXT(YEAR(I4522),"0"))</f>
        <v/>
      </c>
      <c r="N4522" s="5">
        <f>IFERROR(INDEX(DePara!$A:$A,MATCH(TEXT(B4522,"0"),DePara!$D:$D,0)),"(sem categoria)")</f>
        <v/>
      </c>
      <c r="O4522" s="5">
        <f>IF(J4522="","",Parametros!$B$6-J4522)</f>
        <v/>
      </c>
      <c r="P4522" s="5">
        <f>IF(O4522="","",IF(O4522&gt;0,1,0))</f>
        <v/>
      </c>
    </row>
    <row r="4523">
      <c r="A4523" s="5" t="n">
        <v>1191000000</v>
      </c>
      <c r="B4523" s="5" t="inlineStr">
        <is>
          <t>105984</t>
        </is>
      </c>
      <c r="C4523" s="5" t="inlineStr">
        <is>
          <t>TRADEWORKS SERVICOS DE COMERCIO EXT 04955748000107</t>
        </is>
      </c>
      <c r="D4523" s="5" t="inlineStr">
        <is>
          <t>ZP</t>
        </is>
      </c>
      <c r="E4523" s="5" t="n">
        <v>2000009306</v>
      </c>
      <c r="F4523" s="5" t="n"/>
      <c r="G4523" s="5" t="inlineStr">
        <is>
          <t>BRL</t>
        </is>
      </c>
      <c r="H4523" s="9" t="n">
        <v>1112.12</v>
      </c>
      <c r="I4523" s="16" t="n">
        <v>46176</v>
      </c>
      <c r="J4523" s="16" t="n">
        <v>46176</v>
      </c>
      <c r="K4523" s="5" t="inlineStr">
        <is>
          <t>Documento fornecedor TRADEWORKS SERVICOS DE COMERC</t>
        </is>
      </c>
      <c r="L4523" s="5" t="inlineStr">
        <is>
          <t>03062026</t>
        </is>
      </c>
      <c r="M4523" s="5">
        <f>IF(YEAR(I4523)&lt;=2020,"Até 2020",TEXT(YEAR(I4523),"0"))</f>
        <v/>
      </c>
      <c r="N4523" s="5">
        <f>IFERROR(INDEX(DePara!$A:$A,MATCH(TEXT(B4523,"0"),DePara!$D:$D,0)),"(sem categoria)")</f>
        <v/>
      </c>
      <c r="O4523" s="5">
        <f>IF(J4523="","",Parametros!$B$6-J4523)</f>
        <v/>
      </c>
      <c r="P4523" s="5">
        <f>IF(O4523="","",IF(O4523&gt;0,1,0))</f>
        <v/>
      </c>
    </row>
    <row r="4524">
      <c r="A4524" s="5" t="n">
        <v>1191000000</v>
      </c>
      <c r="B4524" s="5" t="inlineStr">
        <is>
          <t>105984</t>
        </is>
      </c>
      <c r="C4524" s="5" t="inlineStr">
        <is>
          <t>TRADEWORKS SERVICOS DE COMERCIO EXT 04955748000107</t>
        </is>
      </c>
      <c r="D4524" s="5" t="inlineStr">
        <is>
          <t>ZP</t>
        </is>
      </c>
      <c r="E4524" s="5" t="n">
        <v>2000009307</v>
      </c>
      <c r="F4524" s="5" t="n"/>
      <c r="G4524" s="5" t="inlineStr">
        <is>
          <t>BRL</t>
        </is>
      </c>
      <c r="H4524" s="9" t="n">
        <v>1112.12</v>
      </c>
      <c r="I4524" s="16" t="n">
        <v>46176</v>
      </c>
      <c r="J4524" s="16" t="n">
        <v>46176</v>
      </c>
      <c r="K4524" s="5" t="inlineStr">
        <is>
          <t>Documento fornecedor TRADEWORKS SERVICOS DE COMERC</t>
        </is>
      </c>
      <c r="L4524" s="5" t="inlineStr">
        <is>
          <t>03062026</t>
        </is>
      </c>
      <c r="M4524" s="5">
        <f>IF(YEAR(I4524)&lt;=2020,"Até 2020",TEXT(YEAR(I4524),"0"))</f>
        <v/>
      </c>
      <c r="N4524" s="5">
        <f>IFERROR(INDEX(DePara!$A:$A,MATCH(TEXT(B4524,"0"),DePara!$D:$D,0)),"(sem categoria)")</f>
        <v/>
      </c>
      <c r="O4524" s="5">
        <f>IF(J4524="","",Parametros!$B$6-J4524)</f>
        <v/>
      </c>
      <c r="P4524" s="5">
        <f>IF(O4524="","",IF(O4524&gt;0,1,0))</f>
        <v/>
      </c>
    </row>
    <row r="4525">
      <c r="A4525" s="5" t="n">
        <v>1191000000</v>
      </c>
      <c r="B4525" s="5" t="inlineStr">
        <is>
          <t>105984</t>
        </is>
      </c>
      <c r="C4525" s="5" t="inlineStr">
        <is>
          <t>TRADEWORKS SERVICOS DE COMERCIO EXT 04955748000107</t>
        </is>
      </c>
      <c r="D4525" s="5" t="inlineStr">
        <is>
          <t>ZP</t>
        </is>
      </c>
      <c r="E4525" s="5" t="n">
        <v>2000009308</v>
      </c>
      <c r="F4525" s="5" t="n"/>
      <c r="G4525" s="5" t="inlineStr">
        <is>
          <t>BRL</t>
        </is>
      </c>
      <c r="H4525" s="9" t="n">
        <v>1112.12</v>
      </c>
      <c r="I4525" s="16" t="n">
        <v>46176</v>
      </c>
      <c r="J4525" s="16" t="n">
        <v>46176</v>
      </c>
      <c r="K4525" s="5" t="inlineStr">
        <is>
          <t>Documento fornecedor TRADEWORKS SERVICOS DE COMERC</t>
        </is>
      </c>
      <c r="L4525" s="5" t="inlineStr">
        <is>
          <t>03062026</t>
        </is>
      </c>
      <c r="M4525" s="5">
        <f>IF(YEAR(I4525)&lt;=2020,"Até 2020",TEXT(YEAR(I4525),"0"))</f>
        <v/>
      </c>
      <c r="N4525" s="5">
        <f>IFERROR(INDEX(DePara!$A:$A,MATCH(TEXT(B4525,"0"),DePara!$D:$D,0)),"(sem categoria)")</f>
        <v/>
      </c>
      <c r="O4525" s="5">
        <f>IF(J4525="","",Parametros!$B$6-J4525)</f>
        <v/>
      </c>
      <c r="P4525" s="5">
        <f>IF(O4525="","",IF(O4525&gt;0,1,0))</f>
        <v/>
      </c>
    </row>
    <row r="4526">
      <c r="A4526" s="5" t="n">
        <v>1191000000</v>
      </c>
      <c r="B4526" s="5" t="inlineStr">
        <is>
          <t>105984</t>
        </is>
      </c>
      <c r="C4526" s="5" t="inlineStr">
        <is>
          <t>TRADEWORKS SERVICOS DE COMERCIO EXT 04955748000107</t>
        </is>
      </c>
      <c r="D4526" s="5" t="inlineStr">
        <is>
          <t>ZP</t>
        </is>
      </c>
      <c r="E4526" s="5" t="n">
        <v>2000009432</v>
      </c>
      <c r="F4526" s="5" t="n"/>
      <c r="G4526" s="5" t="inlineStr">
        <is>
          <t>BRL</t>
        </is>
      </c>
      <c r="H4526" s="9" t="n">
        <v>11500</v>
      </c>
      <c r="I4526" s="16" t="n">
        <v>46176</v>
      </c>
      <c r="J4526" s="16" t="n">
        <v>46176</v>
      </c>
      <c r="K4526" s="5" t="inlineStr">
        <is>
          <t>Documento fornecedor TRADEWORKS SERVICOS DE COMERC</t>
        </is>
      </c>
      <c r="L4526" s="5" t="inlineStr">
        <is>
          <t>03062026</t>
        </is>
      </c>
      <c r="M4526" s="5">
        <f>IF(YEAR(I4526)&lt;=2020,"Até 2020",TEXT(YEAR(I4526),"0"))</f>
        <v/>
      </c>
      <c r="N4526" s="5">
        <f>IFERROR(INDEX(DePara!$A:$A,MATCH(TEXT(B4526,"0"),DePara!$D:$D,0)),"(sem categoria)")</f>
        <v/>
      </c>
      <c r="O4526" s="5">
        <f>IF(J4526="","",Parametros!$B$6-J4526)</f>
        <v/>
      </c>
      <c r="P4526" s="5">
        <f>IF(O4526="","",IF(O4526&gt;0,1,0))</f>
        <v/>
      </c>
    </row>
    <row r="4527">
      <c r="A4527" s="5" t="n">
        <v>1191000000</v>
      </c>
      <c r="B4527" s="5" t="inlineStr">
        <is>
          <t>105984</t>
        </is>
      </c>
      <c r="C4527" s="5" t="inlineStr">
        <is>
          <t>TRADEWORKS SERVICOS DE COMERCIO EXT 04955748000107</t>
        </is>
      </c>
      <c r="D4527" s="5" t="inlineStr">
        <is>
          <t>ZP</t>
        </is>
      </c>
      <c r="E4527" s="5" t="n">
        <v>2000009475</v>
      </c>
      <c r="F4527" s="5" t="n"/>
      <c r="G4527" s="5" t="inlineStr">
        <is>
          <t>BRL</t>
        </is>
      </c>
      <c r="H4527" s="9" t="n">
        <v>30366.84</v>
      </c>
      <c r="I4527" s="16" t="n">
        <v>46176</v>
      </c>
      <c r="J4527" s="16" t="n">
        <v>46176</v>
      </c>
      <c r="K4527" s="5" t="inlineStr">
        <is>
          <t>Documento fornecedor TRADEWORKS SERVICOS DE COMERC</t>
        </is>
      </c>
      <c r="L4527" s="5" t="inlineStr">
        <is>
          <t>03062026</t>
        </is>
      </c>
      <c r="M4527" s="5">
        <f>IF(YEAR(I4527)&lt;=2020,"Até 2020",TEXT(YEAR(I4527),"0"))</f>
        <v/>
      </c>
      <c r="N4527" s="5">
        <f>IFERROR(INDEX(DePara!$A:$A,MATCH(TEXT(B4527,"0"),DePara!$D:$D,0)),"(sem categoria)")</f>
        <v/>
      </c>
      <c r="O4527" s="5">
        <f>IF(J4527="","",Parametros!$B$6-J4527)</f>
        <v/>
      </c>
      <c r="P4527" s="5">
        <f>IF(O4527="","",IF(O4527&gt;0,1,0))</f>
        <v/>
      </c>
    </row>
    <row r="4528">
      <c r="A4528" s="5" t="n">
        <v>1191000000</v>
      </c>
      <c r="B4528" s="5" t="inlineStr">
        <is>
          <t>EM000820</t>
        </is>
      </c>
      <c r="C4528" s="5" t="inlineStr">
        <is>
          <t>JOSE RENATO SILVA DE SOUZA</t>
        </is>
      </c>
      <c r="D4528" s="5" t="inlineStr">
        <is>
          <t>ZP</t>
        </is>
      </c>
      <c r="E4528" s="5" t="n">
        <v>2000009557</v>
      </c>
      <c r="F4528" s="5" t="n"/>
      <c r="G4528" s="5" t="inlineStr">
        <is>
          <t>BRL</t>
        </is>
      </c>
      <c r="H4528" s="9" t="n">
        <v>100</v>
      </c>
      <c r="I4528" s="16" t="n">
        <v>46176</v>
      </c>
      <c r="J4528" s="16" t="n">
        <v>46176</v>
      </c>
      <c r="K4528" s="5" t="inlineStr">
        <is>
          <t>Documento fornecedor JOSE RENATO SILVA DE SOUZA DE</t>
        </is>
      </c>
      <c r="L4528" s="5" t="n"/>
      <c r="M4528" s="5">
        <f>IF(YEAR(I4528)&lt;=2020,"Até 2020",TEXT(YEAR(I4528),"0"))</f>
        <v/>
      </c>
      <c r="N4528" s="5">
        <f>IFERROR(INDEX(DePara!$A:$A,MATCH(TEXT(B4528,"0"),DePara!$D:$D,0)),"(sem categoria)")</f>
        <v/>
      </c>
      <c r="O4528" s="5">
        <f>IF(J4528="","",Parametros!$B$6-J4528)</f>
        <v/>
      </c>
      <c r="P4528" s="5">
        <f>IF(O4528="","",IF(O4528&gt;0,1,0))</f>
        <v/>
      </c>
    </row>
    <row r="4529">
      <c r="A4529" s="5" t="n">
        <v>1191000000</v>
      </c>
      <c r="B4529" s="5" t="inlineStr">
        <is>
          <t>105984</t>
        </is>
      </c>
      <c r="C4529" s="5" t="inlineStr">
        <is>
          <t>TRADEWORKS SERVICOS DE COMERCIO EXT 04955748000107</t>
        </is>
      </c>
      <c r="D4529" s="5" t="inlineStr">
        <is>
          <t>ZP</t>
        </is>
      </c>
      <c r="E4529" s="5" t="n">
        <v>2000010099</v>
      </c>
      <c r="F4529" s="5" t="n"/>
      <c r="G4529" s="5" t="inlineStr">
        <is>
          <t>BRL</t>
        </is>
      </c>
      <c r="H4529" s="9" t="n">
        <v>1921545.49</v>
      </c>
      <c r="I4529" s="16" t="n">
        <v>46190</v>
      </c>
      <c r="J4529" s="16" t="n">
        <v>46190</v>
      </c>
      <c r="K4529" s="5" t="inlineStr">
        <is>
          <t>0382/26 0382/26</t>
        </is>
      </c>
      <c r="L4529" s="5" t="inlineStr">
        <is>
          <t>17062026</t>
        </is>
      </c>
      <c r="M4529" s="5">
        <f>IF(YEAR(I4529)&lt;=2020,"Até 2020",TEXT(YEAR(I4529),"0"))</f>
        <v/>
      </c>
      <c r="N4529" s="5">
        <f>IFERROR(INDEX(DePara!$A:$A,MATCH(TEXT(B4529,"0"),DePara!$D:$D,0)),"(sem categoria)")</f>
        <v/>
      </c>
      <c r="O4529" s="5">
        <f>IF(J4529="","",Parametros!$B$6-J4529)</f>
        <v/>
      </c>
      <c r="P4529" s="5">
        <f>IF(O4529="","",IF(O4529&gt;0,1,0))</f>
        <v/>
      </c>
    </row>
    <row r="4530">
      <c r="A4530" s="5" t="n">
        <v>1191000000</v>
      </c>
      <c r="B4530" s="5" t="inlineStr">
        <is>
          <t>105984</t>
        </is>
      </c>
      <c r="C4530" s="5" t="inlineStr">
        <is>
          <t>TRADEWORKS SERVICOS DE COMERCIO EXT 04955748000107</t>
        </is>
      </c>
      <c r="D4530" s="5" t="inlineStr">
        <is>
          <t>ZP</t>
        </is>
      </c>
      <c r="E4530" s="5" t="n">
        <v>2000010254</v>
      </c>
      <c r="F4530" s="5" t="n"/>
      <c r="G4530" s="5" t="inlineStr">
        <is>
          <t>BRL</t>
        </is>
      </c>
      <c r="H4530" s="9" t="n">
        <v>4979.36</v>
      </c>
      <c r="I4530" s="16" t="n">
        <v>46197</v>
      </c>
      <c r="J4530" s="16" t="n">
        <v>46197</v>
      </c>
      <c r="K4530" s="5" t="inlineStr">
        <is>
          <t>Documento fornecedor TRADEWORKS SERVICOS DE COMERC</t>
        </is>
      </c>
      <c r="L4530" s="5" t="inlineStr">
        <is>
          <t>24062026</t>
        </is>
      </c>
      <c r="M4530" s="5">
        <f>IF(YEAR(I4530)&lt;=2020,"Até 2020",TEXT(YEAR(I4530),"0"))</f>
        <v/>
      </c>
      <c r="N4530" s="5">
        <f>IFERROR(INDEX(DePara!$A:$A,MATCH(TEXT(B4530,"0"),DePara!$D:$D,0)),"(sem categoria)")</f>
        <v/>
      </c>
      <c r="O4530" s="5">
        <f>IF(J4530="","",Parametros!$B$6-J4530)</f>
        <v/>
      </c>
      <c r="P4530" s="5">
        <f>IF(O4530="","",IF(O4530&gt;0,1,0))</f>
        <v/>
      </c>
    </row>
    <row r="4531">
      <c r="A4531" s="5" t="n">
        <v>1191000000</v>
      </c>
      <c r="B4531" s="5" t="inlineStr">
        <is>
          <t>105984</t>
        </is>
      </c>
      <c r="C4531" s="5" t="inlineStr">
        <is>
          <t>TRADEWORKS SERVICOS DE COMERCIO EXT 04955748000107</t>
        </is>
      </c>
      <c r="D4531" s="5" t="inlineStr">
        <is>
          <t>ZP</t>
        </is>
      </c>
      <c r="E4531" s="5" t="n">
        <v>2000010570</v>
      </c>
      <c r="F4531" s="5" t="n"/>
      <c r="G4531" s="5" t="inlineStr">
        <is>
          <t>BRL</t>
        </is>
      </c>
      <c r="H4531" s="9" t="n">
        <v>12299.31</v>
      </c>
      <c r="I4531" s="16" t="n">
        <v>46204</v>
      </c>
      <c r="J4531" s="16" t="n">
        <v>46204</v>
      </c>
      <c r="K4531" s="5" t="inlineStr">
        <is>
          <t>0430/26 0430/26</t>
        </is>
      </c>
      <c r="L4531" s="5" t="inlineStr">
        <is>
          <t>01072026</t>
        </is>
      </c>
      <c r="M4531" s="5">
        <f>IF(YEAR(I4531)&lt;=2020,"Até 2020",TEXT(YEAR(I4531),"0"))</f>
        <v/>
      </c>
      <c r="N4531" s="5">
        <f>IFERROR(INDEX(DePara!$A:$A,MATCH(TEXT(B4531,"0"),DePara!$D:$D,0)),"(sem categoria)")</f>
        <v/>
      </c>
      <c r="O4531" s="5">
        <f>IF(J4531="","",Parametros!$B$6-J4531)</f>
        <v/>
      </c>
      <c r="P4531" s="5">
        <f>IF(O4531="","",IF(O4531&gt;0,1,0))</f>
        <v/>
      </c>
    </row>
    <row r="4532">
      <c r="A4532" s="5" t="n">
        <v>1191000000</v>
      </c>
      <c r="B4532" s="5" t="inlineStr">
        <is>
          <t>105984</t>
        </is>
      </c>
      <c r="C4532" s="5" t="inlineStr">
        <is>
          <t>TRADEWORKS SERVICOS DE COMERCIO EXT 04955748000107</t>
        </is>
      </c>
      <c r="D4532" s="5" t="inlineStr">
        <is>
          <t>ZP</t>
        </is>
      </c>
      <c r="E4532" s="5" t="n">
        <v>2000010573</v>
      </c>
      <c r="F4532" s="5" t="n"/>
      <c r="G4532" s="5" t="inlineStr">
        <is>
          <t>BRL</t>
        </is>
      </c>
      <c r="H4532" s="9" t="n">
        <v>25074.6</v>
      </c>
      <c r="I4532" s="16" t="n">
        <v>46204</v>
      </c>
      <c r="J4532" s="16" t="n">
        <v>46204</v>
      </c>
      <c r="K4532" s="5" t="inlineStr">
        <is>
          <t>0433/26 0433/26</t>
        </is>
      </c>
      <c r="L4532" s="5" t="inlineStr">
        <is>
          <t>01072026</t>
        </is>
      </c>
      <c r="M4532" s="5">
        <f>IF(YEAR(I4532)&lt;=2020,"Até 2020",TEXT(YEAR(I4532),"0"))</f>
        <v/>
      </c>
      <c r="N4532" s="5">
        <f>IFERROR(INDEX(DePara!$A:$A,MATCH(TEXT(B4532,"0"),DePara!$D:$D,0)),"(sem categoria)")</f>
        <v/>
      </c>
      <c r="O4532" s="5">
        <f>IF(J4532="","",Parametros!$B$6-J4532)</f>
        <v/>
      </c>
      <c r="P4532" s="5">
        <f>IF(O4532="","",IF(O4532&gt;0,1,0))</f>
        <v/>
      </c>
    </row>
    <row r="4533">
      <c r="A4533" s="5" t="n">
        <v>1191000000</v>
      </c>
      <c r="B4533" s="5" t="inlineStr">
        <is>
          <t>105984</t>
        </is>
      </c>
      <c r="C4533" s="5" t="inlineStr">
        <is>
          <t>TRADEWORKS SERVICOS DE COMERCIO EXT 04955748000107</t>
        </is>
      </c>
      <c r="D4533" s="5" t="inlineStr">
        <is>
          <t>ZP</t>
        </is>
      </c>
      <c r="E4533" s="5" t="n">
        <v>2000010575</v>
      </c>
      <c r="F4533" s="5" t="n"/>
      <c r="G4533" s="5" t="inlineStr">
        <is>
          <t>BRL</t>
        </is>
      </c>
      <c r="H4533" s="9" t="n">
        <v>35425.55</v>
      </c>
      <c r="I4533" s="16" t="n">
        <v>46204</v>
      </c>
      <c r="J4533" s="16" t="n">
        <v>46204</v>
      </c>
      <c r="K4533" s="5" t="inlineStr">
        <is>
          <t>0424/26 0424/26</t>
        </is>
      </c>
      <c r="L4533" s="5" t="inlineStr">
        <is>
          <t>01072026</t>
        </is>
      </c>
      <c r="M4533" s="5">
        <f>IF(YEAR(I4533)&lt;=2020,"Até 2020",TEXT(YEAR(I4533),"0"))</f>
        <v/>
      </c>
      <c r="N4533" s="5">
        <f>IFERROR(INDEX(DePara!$A:$A,MATCH(TEXT(B4533,"0"),DePara!$D:$D,0)),"(sem categoria)")</f>
        <v/>
      </c>
      <c r="O4533" s="5">
        <f>IF(J4533="","",Parametros!$B$6-J4533)</f>
        <v/>
      </c>
      <c r="P4533" s="5">
        <f>IF(O4533="","",IF(O4533&gt;0,1,0))</f>
        <v/>
      </c>
    </row>
    <row r="4534">
      <c r="A4534" s="5" t="n">
        <v>1191000000</v>
      </c>
      <c r="B4534" s="5" t="inlineStr">
        <is>
          <t>105984</t>
        </is>
      </c>
      <c r="C4534" s="5" t="inlineStr">
        <is>
          <t>TRADEWORKS SERVICOS DE COMERCIO EXT 04955748000107</t>
        </is>
      </c>
      <c r="D4534" s="5" t="inlineStr">
        <is>
          <t>ZP</t>
        </is>
      </c>
      <c r="E4534" s="5" t="n">
        <v>2000010576</v>
      </c>
      <c r="F4534" s="5" t="n"/>
      <c r="G4534" s="5" t="inlineStr">
        <is>
          <t>BRL</t>
        </is>
      </c>
      <c r="H4534" s="9" t="n">
        <v>39190.72</v>
      </c>
      <c r="I4534" s="16" t="n">
        <v>46204</v>
      </c>
      <c r="J4534" s="16" t="n">
        <v>46204</v>
      </c>
      <c r="K4534" s="5" t="inlineStr">
        <is>
          <t>0427/26 0427/26</t>
        </is>
      </c>
      <c r="L4534" s="5" t="inlineStr">
        <is>
          <t>01072026</t>
        </is>
      </c>
      <c r="M4534" s="5">
        <f>IF(YEAR(I4534)&lt;=2020,"Até 2020",TEXT(YEAR(I4534),"0"))</f>
        <v/>
      </c>
      <c r="N4534" s="5">
        <f>IFERROR(INDEX(DePara!$A:$A,MATCH(TEXT(B4534,"0"),DePara!$D:$D,0)),"(sem categoria)")</f>
        <v/>
      </c>
      <c r="O4534" s="5">
        <f>IF(J4534="","",Parametros!$B$6-J4534)</f>
        <v/>
      </c>
      <c r="P4534" s="5">
        <f>IF(O4534="","",IF(O4534&gt;0,1,0))</f>
        <v/>
      </c>
    </row>
    <row r="4535">
      <c r="A4535" s="5" t="n">
        <v>1191000000</v>
      </c>
      <c r="B4535" s="5" t="inlineStr">
        <is>
          <t>105984</t>
        </is>
      </c>
      <c r="C4535" s="5" t="inlineStr">
        <is>
          <t>TRADEWORKS SERVICOS DE COMERCIO EXT 04955748000107</t>
        </is>
      </c>
      <c r="D4535" s="5" t="inlineStr">
        <is>
          <t>ZP</t>
        </is>
      </c>
      <c r="E4535" s="5" t="n">
        <v>2000010578</v>
      </c>
      <c r="F4535" s="5" t="n"/>
      <c r="G4535" s="5" t="inlineStr">
        <is>
          <t>BRL</t>
        </is>
      </c>
      <c r="H4535" s="9" t="n">
        <v>49286.48</v>
      </c>
      <c r="I4535" s="16" t="n">
        <v>46204</v>
      </c>
      <c r="J4535" s="16" t="n">
        <v>46204</v>
      </c>
      <c r="K4535" s="5" t="inlineStr">
        <is>
          <t>0432/26 0432/26</t>
        </is>
      </c>
      <c r="L4535" s="5" t="inlineStr">
        <is>
          <t>01072026</t>
        </is>
      </c>
      <c r="M4535" s="5">
        <f>IF(YEAR(I4535)&lt;=2020,"Até 2020",TEXT(YEAR(I4535),"0"))</f>
        <v/>
      </c>
      <c r="N4535" s="5">
        <f>IFERROR(INDEX(DePara!$A:$A,MATCH(TEXT(B4535,"0"),DePara!$D:$D,0)),"(sem categoria)")</f>
        <v/>
      </c>
      <c r="O4535" s="5">
        <f>IF(J4535="","",Parametros!$B$6-J4535)</f>
        <v/>
      </c>
      <c r="P4535" s="5">
        <f>IF(O4535="","",IF(O4535&gt;0,1,0))</f>
        <v/>
      </c>
    </row>
    <row r="4536">
      <c r="A4536" s="5" t="n">
        <v>1191000000</v>
      </c>
      <c r="B4536" s="5" t="inlineStr">
        <is>
          <t>105984</t>
        </is>
      </c>
      <c r="C4536" s="5" t="inlineStr">
        <is>
          <t>TRADEWORKS SERVICOS DE COMERCIO EXT 04955748000107</t>
        </is>
      </c>
      <c r="D4536" s="5" t="inlineStr">
        <is>
          <t>ZP</t>
        </is>
      </c>
      <c r="E4536" s="5" t="n">
        <v>2000010579</v>
      </c>
      <c r="F4536" s="5" t="n"/>
      <c r="G4536" s="5" t="inlineStr">
        <is>
          <t>BRL</t>
        </is>
      </c>
      <c r="H4536" s="9" t="n">
        <v>69052.24000000001</v>
      </c>
      <c r="I4536" s="16" t="n">
        <v>46204</v>
      </c>
      <c r="J4536" s="16" t="n">
        <v>46204</v>
      </c>
      <c r="K4536" s="5" t="inlineStr">
        <is>
          <t>0434/26 0434/26</t>
        </is>
      </c>
      <c r="L4536" s="5" t="inlineStr">
        <is>
          <t>01072026</t>
        </is>
      </c>
      <c r="M4536" s="5">
        <f>IF(YEAR(I4536)&lt;=2020,"Até 2020",TEXT(YEAR(I4536),"0"))</f>
        <v/>
      </c>
      <c r="N4536" s="5">
        <f>IFERROR(INDEX(DePara!$A:$A,MATCH(TEXT(B4536,"0"),DePara!$D:$D,0)),"(sem categoria)")</f>
        <v/>
      </c>
      <c r="O4536" s="5">
        <f>IF(J4536="","",Parametros!$B$6-J4536)</f>
        <v/>
      </c>
      <c r="P4536" s="5">
        <f>IF(O4536="","",IF(O4536&gt;0,1,0))</f>
        <v/>
      </c>
    </row>
    <row r="4537">
      <c r="A4537" s="5" t="n">
        <v>1191000000</v>
      </c>
      <c r="B4537" s="5" t="inlineStr">
        <is>
          <t>105984</t>
        </is>
      </c>
      <c r="C4537" s="5" t="inlineStr">
        <is>
          <t>TRADEWORKS SERVICOS DE COMERCIO EXT 04955748000107</t>
        </is>
      </c>
      <c r="D4537" s="5" t="inlineStr">
        <is>
          <t>ZP</t>
        </is>
      </c>
      <c r="E4537" s="5" t="n">
        <v>2000010580</v>
      </c>
      <c r="F4537" s="5" t="n"/>
      <c r="G4537" s="5" t="inlineStr">
        <is>
          <t>BRL</t>
        </is>
      </c>
      <c r="H4537" s="9" t="n">
        <v>90666.42999999999</v>
      </c>
      <c r="I4537" s="16" t="n">
        <v>46204</v>
      </c>
      <c r="J4537" s="16" t="n">
        <v>46204</v>
      </c>
      <c r="K4537" s="5" t="inlineStr">
        <is>
          <t>0425/26 0425/26</t>
        </is>
      </c>
      <c r="L4537" s="5" t="inlineStr">
        <is>
          <t>01072026</t>
        </is>
      </c>
      <c r="M4537" s="5">
        <f>IF(YEAR(I4537)&lt;=2020,"Até 2020",TEXT(YEAR(I4537),"0"))</f>
        <v/>
      </c>
      <c r="N4537" s="5">
        <f>IFERROR(INDEX(DePara!$A:$A,MATCH(TEXT(B4537,"0"),DePara!$D:$D,0)),"(sem categoria)")</f>
        <v/>
      </c>
      <c r="O4537" s="5">
        <f>IF(J4537="","",Parametros!$B$6-J4537)</f>
        <v/>
      </c>
      <c r="P4537" s="5">
        <f>IF(O4537="","",IF(O4537&gt;0,1,0))</f>
        <v/>
      </c>
    </row>
    <row r="4538">
      <c r="A4538" s="5" t="n">
        <v>1191000000</v>
      </c>
      <c r="B4538" s="5" t="inlineStr">
        <is>
          <t>105984</t>
        </is>
      </c>
      <c r="C4538" s="5" t="inlineStr">
        <is>
          <t>TRADEWORKS SERVICOS DE COMERCIO EXT 04955748000107</t>
        </is>
      </c>
      <c r="D4538" s="5" t="inlineStr">
        <is>
          <t>ZP</t>
        </is>
      </c>
      <c r="E4538" s="5" t="n">
        <v>2000010581</v>
      </c>
      <c r="F4538" s="5" t="n"/>
      <c r="G4538" s="5" t="inlineStr">
        <is>
          <t>BRL</t>
        </is>
      </c>
      <c r="H4538" s="9" t="n">
        <v>96906.72</v>
      </c>
      <c r="I4538" s="16" t="n">
        <v>46204</v>
      </c>
      <c r="J4538" s="16" t="n">
        <v>46204</v>
      </c>
      <c r="K4538" s="5" t="inlineStr">
        <is>
          <t>0436/26 0436/26</t>
        </is>
      </c>
      <c r="L4538" s="5" t="inlineStr">
        <is>
          <t>01072026</t>
        </is>
      </c>
      <c r="M4538" s="5">
        <f>IF(YEAR(I4538)&lt;=2020,"Até 2020",TEXT(YEAR(I4538),"0"))</f>
        <v/>
      </c>
      <c r="N4538" s="5">
        <f>IFERROR(INDEX(DePara!$A:$A,MATCH(TEXT(B4538,"0"),DePara!$D:$D,0)),"(sem categoria)")</f>
        <v/>
      </c>
      <c r="O4538" s="5">
        <f>IF(J4538="","",Parametros!$B$6-J4538)</f>
        <v/>
      </c>
      <c r="P4538" s="5">
        <f>IF(O4538="","",IF(O4538&gt;0,1,0))</f>
        <v/>
      </c>
    </row>
    <row r="4539">
      <c r="A4539" s="5" t="n">
        <v>1191000000</v>
      </c>
      <c r="B4539" s="5" t="inlineStr">
        <is>
          <t>105984</t>
        </is>
      </c>
      <c r="C4539" s="5" t="inlineStr">
        <is>
          <t>TRADEWORKS SERVICOS DE COMERCIO EXT 04955748000107</t>
        </is>
      </c>
      <c r="D4539" s="5" t="inlineStr">
        <is>
          <t>ZP</t>
        </is>
      </c>
      <c r="E4539" s="5" t="n">
        <v>2000010583</v>
      </c>
      <c r="F4539" s="5" t="n"/>
      <c r="G4539" s="5" t="inlineStr">
        <is>
          <t>BRL</t>
        </is>
      </c>
      <c r="H4539" s="9" t="n">
        <v>382647.39</v>
      </c>
      <c r="I4539" s="16" t="n">
        <v>46204</v>
      </c>
      <c r="J4539" s="16" t="n">
        <v>46204</v>
      </c>
      <c r="K4539" s="5" t="inlineStr">
        <is>
          <t>0435/26 0435/26</t>
        </is>
      </c>
      <c r="L4539" s="5" t="inlineStr">
        <is>
          <t>01072026</t>
        </is>
      </c>
      <c r="M4539" s="5">
        <f>IF(YEAR(I4539)&lt;=2020,"Até 2020",TEXT(YEAR(I4539),"0"))</f>
        <v/>
      </c>
      <c r="N4539" s="5">
        <f>IFERROR(INDEX(DePara!$A:$A,MATCH(TEXT(B4539,"0"),DePara!$D:$D,0)),"(sem categoria)")</f>
        <v/>
      </c>
      <c r="O4539" s="5">
        <f>IF(J4539="","",Parametros!$B$6-J4539)</f>
        <v/>
      </c>
      <c r="P4539" s="5">
        <f>IF(O4539="","",IF(O4539&gt;0,1,0))</f>
        <v/>
      </c>
    </row>
    <row r="4540">
      <c r="A4540" s="5" t="n">
        <v>1191000000</v>
      </c>
      <c r="B4540" s="5" t="inlineStr">
        <is>
          <t>105984</t>
        </is>
      </c>
      <c r="C4540" s="5" t="inlineStr">
        <is>
          <t>TRADEWORKS SERVICOS DE COMERCIO EXT 04955748000107</t>
        </is>
      </c>
      <c r="D4540" s="5" t="inlineStr">
        <is>
          <t>ZP</t>
        </is>
      </c>
      <c r="E4540" s="5" t="n">
        <v>2000011250</v>
      </c>
      <c r="F4540" s="5" t="n"/>
      <c r="G4540" s="5" t="inlineStr">
        <is>
          <t>BRL</t>
        </is>
      </c>
      <c r="H4540" s="9" t="n">
        <v>277839.6</v>
      </c>
      <c r="I4540" s="16" t="n">
        <v>46211</v>
      </c>
      <c r="J4540" s="16" t="n">
        <v>46211</v>
      </c>
      <c r="K4540" s="5" t="inlineStr">
        <is>
          <t>Documento fornecedor TRADEWORKS SERVICOS DE COMERC</t>
        </is>
      </c>
      <c r="L4540" s="5" t="inlineStr">
        <is>
          <t>08072026</t>
        </is>
      </c>
      <c r="M4540" s="5">
        <f>IF(YEAR(I4540)&lt;=2020,"Até 2020",TEXT(YEAR(I4540),"0"))</f>
        <v/>
      </c>
      <c r="N4540" s="5">
        <f>IFERROR(INDEX(DePara!$A:$A,MATCH(TEXT(B4540,"0"),DePara!$D:$D,0)),"(sem categoria)")</f>
        <v/>
      </c>
      <c r="O4540" s="5">
        <f>IF(J4540="","",Parametros!$B$6-J4540)</f>
        <v/>
      </c>
      <c r="P4540" s="5">
        <f>IF(O4540="","",IF(O4540&gt;0,1,0))</f>
        <v/>
      </c>
    </row>
    <row r="4541">
      <c r="A4541" s="5" t="n">
        <v>1191000000</v>
      </c>
      <c r="B4541" s="5" t="inlineStr">
        <is>
          <t>105984</t>
        </is>
      </c>
      <c r="C4541" s="5" t="inlineStr">
        <is>
          <t>TRADEWORKS SERVICOS DE COMERCIO EXT 04955748000107</t>
        </is>
      </c>
      <c r="D4541" s="5" t="inlineStr">
        <is>
          <t>ZP</t>
        </is>
      </c>
      <c r="E4541" s="5" t="n">
        <v>2000011272</v>
      </c>
      <c r="F4541" s="5" t="n"/>
      <c r="G4541" s="5" t="inlineStr">
        <is>
          <t>BRL</t>
        </is>
      </c>
      <c r="H4541" s="9" t="n">
        <v>9980.58</v>
      </c>
      <c r="I4541" s="16" t="n">
        <v>46211</v>
      </c>
      <c r="J4541" s="16" t="n">
        <v>46211</v>
      </c>
      <c r="K4541" s="5" t="inlineStr">
        <is>
          <t>0431/26 0431/26</t>
        </is>
      </c>
      <c r="L4541" s="5" t="inlineStr">
        <is>
          <t>08072026</t>
        </is>
      </c>
      <c r="M4541" s="5">
        <f>IF(YEAR(I4541)&lt;=2020,"Até 2020",TEXT(YEAR(I4541),"0"))</f>
        <v/>
      </c>
      <c r="N4541" s="5">
        <f>IFERROR(INDEX(DePara!$A:$A,MATCH(TEXT(B4541,"0"),DePara!$D:$D,0)),"(sem categoria)")</f>
        <v/>
      </c>
      <c r="O4541" s="5">
        <f>IF(J4541="","",Parametros!$B$6-J4541)</f>
        <v/>
      </c>
      <c r="P4541" s="5">
        <f>IF(O4541="","",IF(O4541&gt;0,1,0))</f>
        <v/>
      </c>
    </row>
    <row r="4542">
      <c r="A4542" s="5" t="n">
        <v>1191000000</v>
      </c>
      <c r="B4542" s="5" t="inlineStr">
        <is>
          <t>105984</t>
        </is>
      </c>
      <c r="C4542" s="5" t="inlineStr">
        <is>
          <t>TRADEWORKS SERVICOS DE COMERCIO EXT 04955748000107</t>
        </is>
      </c>
      <c r="D4542" s="5" t="inlineStr">
        <is>
          <t>ZP</t>
        </is>
      </c>
      <c r="E4542" s="5" t="n">
        <v>2000011276</v>
      </c>
      <c r="F4542" s="5" t="n"/>
      <c r="G4542" s="5" t="inlineStr">
        <is>
          <t>BRL</t>
        </is>
      </c>
      <c r="H4542" s="9" t="n">
        <v>11231.74</v>
      </c>
      <c r="I4542" s="16" t="n">
        <v>46211</v>
      </c>
      <c r="J4542" s="16" t="n">
        <v>46211</v>
      </c>
      <c r="K4542" s="5" t="inlineStr">
        <is>
          <t>0429/26 0429/26</t>
        </is>
      </c>
      <c r="L4542" s="5" t="inlineStr">
        <is>
          <t>08072026</t>
        </is>
      </c>
      <c r="M4542" s="5">
        <f>IF(YEAR(I4542)&lt;=2020,"Até 2020",TEXT(YEAR(I4542),"0"))</f>
        <v/>
      </c>
      <c r="N4542" s="5">
        <f>IFERROR(INDEX(DePara!$A:$A,MATCH(TEXT(B4542,"0"),DePara!$D:$D,0)),"(sem categoria)")</f>
        <v/>
      </c>
      <c r="O4542" s="5">
        <f>IF(J4542="","",Parametros!$B$6-J4542)</f>
        <v/>
      </c>
      <c r="P4542" s="5">
        <f>IF(O4542="","",IF(O4542&gt;0,1,0))</f>
        <v/>
      </c>
    </row>
    <row r="4543">
      <c r="A4543" s="5" t="n">
        <v>1191000000</v>
      </c>
      <c r="B4543" s="5" t="inlineStr">
        <is>
          <t>105984</t>
        </is>
      </c>
      <c r="C4543" s="5" t="inlineStr">
        <is>
          <t>TRADEWORKS SERVICOS DE COMERCIO EXT 04955748000107</t>
        </is>
      </c>
      <c r="D4543" s="5" t="inlineStr">
        <is>
          <t>ZP</t>
        </is>
      </c>
      <c r="E4543" s="5" t="n">
        <v>2000011281</v>
      </c>
      <c r="F4543" s="5" t="n"/>
      <c r="G4543" s="5" t="inlineStr">
        <is>
          <t>BRL</t>
        </is>
      </c>
      <c r="H4543" s="9" t="n">
        <v>15508.5</v>
      </c>
      <c r="I4543" s="16" t="n">
        <v>46211</v>
      </c>
      <c r="J4543" s="16" t="n">
        <v>46211</v>
      </c>
      <c r="K4543" s="5" t="inlineStr">
        <is>
          <t>0426/26 0426/26</t>
        </is>
      </c>
      <c r="L4543" s="5" t="inlineStr">
        <is>
          <t>08072026</t>
        </is>
      </c>
      <c r="M4543" s="5">
        <f>IF(YEAR(I4543)&lt;=2020,"Até 2020",TEXT(YEAR(I4543),"0"))</f>
        <v/>
      </c>
      <c r="N4543" s="5">
        <f>IFERROR(INDEX(DePara!$A:$A,MATCH(TEXT(B4543,"0"),DePara!$D:$D,0)),"(sem categoria)")</f>
        <v/>
      </c>
      <c r="O4543" s="5">
        <f>IF(J4543="","",Parametros!$B$6-J4543)</f>
        <v/>
      </c>
      <c r="P4543" s="5">
        <f>IF(O4543="","",IF(O4543&gt;0,1,0))</f>
        <v/>
      </c>
    </row>
    <row r="4544">
      <c r="A4544" s="5" t="n">
        <v>1191000000</v>
      </c>
      <c r="B4544" s="5" t="inlineStr">
        <is>
          <t>105984</t>
        </is>
      </c>
      <c r="C4544" s="5" t="inlineStr">
        <is>
          <t>TRADEWORKS SERVICOS DE COMERCIO EXT 04955748000107</t>
        </is>
      </c>
      <c r="D4544" s="5" t="inlineStr">
        <is>
          <t>ZP</t>
        </is>
      </c>
      <c r="E4544" s="5" t="n">
        <v>2000011288</v>
      </c>
      <c r="F4544" s="5" t="n"/>
      <c r="G4544" s="5" t="inlineStr">
        <is>
          <t>BRL</t>
        </is>
      </c>
      <c r="H4544" s="9" t="n">
        <v>56039.79</v>
      </c>
      <c r="I4544" s="16" t="n">
        <v>46211</v>
      </c>
      <c r="J4544" s="16" t="n">
        <v>46211</v>
      </c>
      <c r="K4544" s="5" t="inlineStr">
        <is>
          <t>0446/26 0446/26</t>
        </is>
      </c>
      <c r="L4544" s="5" t="inlineStr">
        <is>
          <t>08072026</t>
        </is>
      </c>
      <c r="M4544" s="5">
        <f>IF(YEAR(I4544)&lt;=2020,"Até 2020",TEXT(YEAR(I4544),"0"))</f>
        <v/>
      </c>
      <c r="N4544" s="5">
        <f>IFERROR(INDEX(DePara!$A:$A,MATCH(TEXT(B4544,"0"),DePara!$D:$D,0)),"(sem categoria)")</f>
        <v/>
      </c>
      <c r="O4544" s="5">
        <f>IF(J4544="","",Parametros!$B$6-J4544)</f>
        <v/>
      </c>
      <c r="P4544" s="5">
        <f>IF(O4544="","",IF(O4544&gt;0,1,0))</f>
        <v/>
      </c>
    </row>
    <row r="4545">
      <c r="A4545" s="5" t="n">
        <v>1191000000</v>
      </c>
      <c r="B4545" s="5" t="inlineStr">
        <is>
          <t>105984</t>
        </is>
      </c>
      <c r="C4545" s="5" t="inlineStr">
        <is>
          <t>TRADEWORKS SERVICOS DE COMERCIO EXT 04955748000107</t>
        </is>
      </c>
      <c r="D4545" s="5" t="inlineStr">
        <is>
          <t>ZP</t>
        </is>
      </c>
      <c r="E4545" s="5" t="n">
        <v>2000011290</v>
      </c>
      <c r="F4545" s="5" t="n"/>
      <c r="G4545" s="5" t="inlineStr">
        <is>
          <t>BRL</t>
        </is>
      </c>
      <c r="H4545" s="9" t="n">
        <v>95912.66</v>
      </c>
      <c r="I4545" s="16" t="n">
        <v>46211</v>
      </c>
      <c r="J4545" s="16" t="n">
        <v>46211</v>
      </c>
      <c r="K4545" s="5" t="inlineStr">
        <is>
          <t>0428/26 0428/26</t>
        </is>
      </c>
      <c r="L4545" s="5" t="inlineStr">
        <is>
          <t>08072026</t>
        </is>
      </c>
      <c r="M4545" s="5">
        <f>IF(YEAR(I4545)&lt;=2020,"Até 2020",TEXT(YEAR(I4545),"0"))</f>
        <v/>
      </c>
      <c r="N4545" s="5">
        <f>IFERROR(INDEX(DePara!$A:$A,MATCH(TEXT(B4545,"0"),DePara!$D:$D,0)),"(sem categoria)")</f>
        <v/>
      </c>
      <c r="O4545" s="5">
        <f>IF(J4545="","",Parametros!$B$6-J4545)</f>
        <v/>
      </c>
      <c r="P4545" s="5">
        <f>IF(O4545="","",IF(O4545&gt;0,1,0))</f>
        <v/>
      </c>
    </row>
    <row r="4546">
      <c r="A4546" s="5" t="n">
        <v>1191000000</v>
      </c>
      <c r="B4546" s="5" t="inlineStr">
        <is>
          <t>105984</t>
        </is>
      </c>
      <c r="C4546" s="5" t="inlineStr">
        <is>
          <t>TRADEWORKS SERVICOS DE COMERCIO EXT 04955748000107</t>
        </is>
      </c>
      <c r="D4546" s="5" t="inlineStr">
        <is>
          <t>ZP</t>
        </is>
      </c>
      <c r="E4546" s="5" t="n">
        <v>2000011686</v>
      </c>
      <c r="F4546" s="5" t="n"/>
      <c r="G4546" s="5" t="inlineStr">
        <is>
          <t>BRL</t>
        </is>
      </c>
      <c r="H4546" s="9" t="n">
        <v>18000</v>
      </c>
      <c r="I4546" s="16" t="n">
        <v>46225</v>
      </c>
      <c r="J4546" s="16" t="n">
        <v>46225</v>
      </c>
      <c r="K4546" s="5" t="inlineStr">
        <is>
          <t>Documento fornecedor TRADEWORKS SERVICOS DE COMERC</t>
        </is>
      </c>
      <c r="L4546" s="5" t="inlineStr">
        <is>
          <t>22072026</t>
        </is>
      </c>
      <c r="M4546" s="5">
        <f>IF(YEAR(I4546)&lt;=2020,"Até 2020",TEXT(YEAR(I4546),"0"))</f>
        <v/>
      </c>
      <c r="N4546" s="5">
        <f>IFERROR(INDEX(DePara!$A:$A,MATCH(TEXT(B4546,"0"),DePara!$D:$D,0)),"(sem categoria)")</f>
        <v/>
      </c>
      <c r="O4546" s="5">
        <f>IF(J4546="","",Parametros!$B$6-J4546)</f>
        <v/>
      </c>
      <c r="P4546" s="5">
        <f>IF(O4546="","",IF(O4546&gt;0,1,0))</f>
        <v/>
      </c>
    </row>
    <row r="4547">
      <c r="A4547" s="5" t="n">
        <v>1191000000</v>
      </c>
      <c r="B4547" s="5" t="inlineStr">
        <is>
          <t>105984</t>
        </is>
      </c>
      <c r="C4547" s="5" t="inlineStr">
        <is>
          <t>TRADEWORKS SERVICOS DE COMERCIO EXT 04955748000107</t>
        </is>
      </c>
      <c r="D4547" s="5" t="inlineStr">
        <is>
          <t>ZP</t>
        </is>
      </c>
      <c r="E4547" s="5" t="n">
        <v>2000011687</v>
      </c>
      <c r="F4547" s="5" t="n"/>
      <c r="G4547" s="5" t="inlineStr">
        <is>
          <t>BRL</t>
        </is>
      </c>
      <c r="H4547" s="9" t="n">
        <v>120000</v>
      </c>
      <c r="I4547" s="16" t="n">
        <v>46225</v>
      </c>
      <c r="J4547" s="16" t="n">
        <v>46225</v>
      </c>
      <c r="K4547" s="5" t="inlineStr">
        <is>
          <t>Documento fornecedor TRADEWORKS SERVICOS DE COMERC</t>
        </is>
      </c>
      <c r="L4547" s="5" t="inlineStr">
        <is>
          <t>22072026</t>
        </is>
      </c>
      <c r="M4547" s="5">
        <f>IF(YEAR(I4547)&lt;=2020,"Até 2020",TEXT(YEAR(I4547),"0"))</f>
        <v/>
      </c>
      <c r="N4547" s="5">
        <f>IFERROR(INDEX(DePara!$A:$A,MATCH(TEXT(B4547,"0"),DePara!$D:$D,0)),"(sem categoria)")</f>
        <v/>
      </c>
      <c r="O4547" s="5">
        <f>IF(J4547="","",Parametros!$B$6-J4547)</f>
        <v/>
      </c>
      <c r="P4547" s="5">
        <f>IF(O4547="","",IF(O4547&gt;0,1,0))</f>
        <v/>
      </c>
    </row>
    <row r="4548">
      <c r="A4548" s="5" t="n">
        <v>1191000000</v>
      </c>
      <c r="B4548" s="5" t="inlineStr">
        <is>
          <t>105984</t>
        </is>
      </c>
      <c r="C4548" s="5" t="inlineStr">
        <is>
          <t>TRADEWORKS SERVICOS DE COMERCIO EXT 04955748000107</t>
        </is>
      </c>
      <c r="D4548" s="5" t="inlineStr">
        <is>
          <t>ZP</t>
        </is>
      </c>
      <c r="E4548" s="5" t="n">
        <v>2000011688</v>
      </c>
      <c r="F4548" s="5" t="n"/>
      <c r="G4548" s="5" t="inlineStr">
        <is>
          <t>BRL</t>
        </is>
      </c>
      <c r="H4548" s="9" t="n">
        <v>640165.48</v>
      </c>
      <c r="I4548" s="16" t="n">
        <v>46225</v>
      </c>
      <c r="J4548" s="16" t="n">
        <v>46225</v>
      </c>
      <c r="K4548" s="5" t="inlineStr">
        <is>
          <t>0476/26 0476/26</t>
        </is>
      </c>
      <c r="L4548" s="5" t="inlineStr">
        <is>
          <t>22072026</t>
        </is>
      </c>
      <c r="M4548" s="5">
        <f>IF(YEAR(I4548)&lt;=2020,"Até 2020",TEXT(YEAR(I4548),"0"))</f>
        <v/>
      </c>
      <c r="N4548" s="5">
        <f>IFERROR(INDEX(DePara!$A:$A,MATCH(TEXT(B4548,"0"),DePara!$D:$D,0)),"(sem categoria)")</f>
        <v/>
      </c>
      <c r="O4548" s="5">
        <f>IF(J4548="","",Parametros!$B$6-J4548)</f>
        <v/>
      </c>
      <c r="P4548" s="5">
        <f>IF(O4548="","",IF(O4548&gt;0,1,0))</f>
        <v/>
      </c>
    </row>
    <row r="4549">
      <c r="A4549" s="5" t="n">
        <v>1191000000</v>
      </c>
      <c r="B4549" s="5" t="inlineStr">
        <is>
          <t>105984</t>
        </is>
      </c>
      <c r="C4549" s="5" t="inlineStr">
        <is>
          <t>TRADEWORKS SERVICOS DE COMERCIO EXT 04955748000107</t>
        </is>
      </c>
      <c r="D4549" s="5" t="inlineStr">
        <is>
          <t>ZP</t>
        </is>
      </c>
      <c r="E4549" s="5" t="n">
        <v>2000011910</v>
      </c>
      <c r="F4549" s="5" t="n"/>
      <c r="G4549" s="5" t="inlineStr">
        <is>
          <t>BRL</t>
        </is>
      </c>
      <c r="H4549" s="9" t="n">
        <v>7187.41</v>
      </c>
      <c r="I4549" s="16" t="n">
        <v>46232</v>
      </c>
      <c r="J4549" s="16" t="n">
        <v>46232</v>
      </c>
      <c r="K4549" s="5" t="inlineStr">
        <is>
          <t>0482/26 0482/26</t>
        </is>
      </c>
      <c r="L4549" s="5" t="inlineStr">
        <is>
          <t>29072026</t>
        </is>
      </c>
      <c r="M4549" s="5">
        <f>IF(YEAR(I4549)&lt;=2020,"Até 2020",TEXT(YEAR(I4549),"0"))</f>
        <v/>
      </c>
      <c r="N4549" s="5">
        <f>IFERROR(INDEX(DePara!$A:$A,MATCH(TEXT(B4549,"0"),DePara!$D:$D,0)),"(sem categoria)")</f>
        <v/>
      </c>
      <c r="O4549" s="5">
        <f>IF(J4549="","",Parametros!$B$6-J4549)</f>
        <v/>
      </c>
      <c r="P4549" s="5">
        <f>IF(O4549="","",IF(O4549&gt;0,1,0))</f>
        <v/>
      </c>
    </row>
    <row r="4550">
      <c r="A4550" s="5" t="n">
        <v>1191000000</v>
      </c>
      <c r="B4550" s="5" t="inlineStr">
        <is>
          <t>105984</t>
        </is>
      </c>
      <c r="C4550" s="5" t="inlineStr">
        <is>
          <t>TRADEWORKS SERVICOS DE COMERCIO EXT 04955748000107</t>
        </is>
      </c>
      <c r="D4550" s="5" t="inlineStr">
        <is>
          <t>ZP</t>
        </is>
      </c>
      <c r="E4550" s="5" t="n">
        <v>2000011911</v>
      </c>
      <c r="F4550" s="5" t="n"/>
      <c r="G4550" s="5" t="inlineStr">
        <is>
          <t>BRL</t>
        </is>
      </c>
      <c r="H4550" s="9" t="n">
        <v>7333.92</v>
      </c>
      <c r="I4550" s="16" t="n">
        <v>46232</v>
      </c>
      <c r="J4550" s="16" t="n">
        <v>46232</v>
      </c>
      <c r="K4550" s="5" t="inlineStr">
        <is>
          <t>0483/26 0483/26</t>
        </is>
      </c>
      <c r="L4550" s="5" t="inlineStr">
        <is>
          <t>29072026</t>
        </is>
      </c>
      <c r="M4550" s="5">
        <f>IF(YEAR(I4550)&lt;=2020,"Até 2020",TEXT(YEAR(I4550),"0"))</f>
        <v/>
      </c>
      <c r="N4550" s="5">
        <f>IFERROR(INDEX(DePara!$A:$A,MATCH(TEXT(B4550,"0"),DePara!$D:$D,0)),"(sem categoria)")</f>
        <v/>
      </c>
      <c r="O4550" s="5">
        <f>IF(J4550="","",Parametros!$B$6-J4550)</f>
        <v/>
      </c>
      <c r="P4550" s="5">
        <f>IF(O4550="","",IF(O4550&gt;0,1,0))</f>
        <v/>
      </c>
    </row>
    <row r="4551">
      <c r="A4551" s="5" t="n">
        <v>1191000000</v>
      </c>
      <c r="B4551" s="5" t="inlineStr">
        <is>
          <t>105984</t>
        </is>
      </c>
      <c r="C4551" s="5" t="inlineStr">
        <is>
          <t>TRADEWORKS SERVICOS DE COMERCIO EXT 04955748000107</t>
        </is>
      </c>
      <c r="D4551" s="5" t="inlineStr">
        <is>
          <t>ZP</t>
        </is>
      </c>
      <c r="E4551" s="5" t="n">
        <v>2000011914</v>
      </c>
      <c r="F4551" s="5" t="n"/>
      <c r="G4551" s="5" t="inlineStr">
        <is>
          <t>BRL</t>
        </is>
      </c>
      <c r="H4551" s="9" t="n">
        <v>8303.1</v>
      </c>
      <c r="I4551" s="16" t="n">
        <v>46232</v>
      </c>
      <c r="J4551" s="16" t="n">
        <v>46232</v>
      </c>
      <c r="K4551" s="5" t="inlineStr">
        <is>
          <t>0484/26 0484/26</t>
        </is>
      </c>
      <c r="L4551" s="5" t="inlineStr">
        <is>
          <t>29072026</t>
        </is>
      </c>
      <c r="M4551" s="5">
        <f>IF(YEAR(I4551)&lt;=2020,"Até 2020",TEXT(YEAR(I4551),"0"))</f>
        <v/>
      </c>
      <c r="N4551" s="5">
        <f>IFERROR(INDEX(DePara!$A:$A,MATCH(TEXT(B4551,"0"),DePara!$D:$D,0)),"(sem categoria)")</f>
        <v/>
      </c>
      <c r="O4551" s="5">
        <f>IF(J4551="","",Parametros!$B$6-J4551)</f>
        <v/>
      </c>
      <c r="P4551" s="5">
        <f>IF(O4551="","",IF(O4551&gt;0,1,0))</f>
        <v/>
      </c>
    </row>
    <row r="4552">
      <c r="A4552" s="5" t="n">
        <v>1191000000</v>
      </c>
      <c r="B4552" s="5" t="inlineStr">
        <is>
          <t>105984</t>
        </is>
      </c>
      <c r="C4552" s="5" t="inlineStr">
        <is>
          <t>TRADEWORKS SERVICOS DE COMERCIO EXT 04955748000107</t>
        </is>
      </c>
      <c r="D4552" s="5" t="inlineStr">
        <is>
          <t>ZP</t>
        </is>
      </c>
      <c r="E4552" s="5" t="n">
        <v>2000011915</v>
      </c>
      <c r="F4552" s="5" t="n"/>
      <c r="G4552" s="5" t="inlineStr">
        <is>
          <t>BRL</t>
        </is>
      </c>
      <c r="H4552" s="9" t="n">
        <v>8311.139999999999</v>
      </c>
      <c r="I4552" s="16" t="n">
        <v>46232</v>
      </c>
      <c r="J4552" s="16" t="n">
        <v>46232</v>
      </c>
      <c r="K4552" s="5" t="inlineStr">
        <is>
          <t>0485/26 0485/26</t>
        </is>
      </c>
      <c r="L4552" s="5" t="inlineStr">
        <is>
          <t>29072026</t>
        </is>
      </c>
      <c r="M4552" s="5">
        <f>IF(YEAR(I4552)&lt;=2020,"Até 2020",TEXT(YEAR(I4552),"0"))</f>
        <v/>
      </c>
      <c r="N4552" s="5">
        <f>IFERROR(INDEX(DePara!$A:$A,MATCH(TEXT(B4552,"0"),DePara!$D:$D,0)),"(sem categoria)")</f>
        <v/>
      </c>
      <c r="O4552" s="5">
        <f>IF(J4552="","",Parametros!$B$6-J4552)</f>
        <v/>
      </c>
      <c r="P4552" s="5">
        <f>IF(O4552="","",IF(O4552&gt;0,1,0))</f>
        <v/>
      </c>
    </row>
    <row r="4553">
      <c r="A4553" s="5" t="n">
        <v>1191000000</v>
      </c>
      <c r="B4553" s="5" t="inlineStr">
        <is>
          <t>105984</t>
        </is>
      </c>
      <c r="C4553" s="5" t="inlineStr">
        <is>
          <t>TRADEWORKS SERVICOS DE COMERCIO EXT 04955748000107</t>
        </is>
      </c>
      <c r="D4553" s="5" t="inlineStr">
        <is>
          <t>ZP</t>
        </is>
      </c>
      <c r="E4553" s="5" t="n">
        <v>2000011926</v>
      </c>
      <c r="F4553" s="5" t="n"/>
      <c r="G4553" s="5" t="inlineStr">
        <is>
          <t>BRL</t>
        </is>
      </c>
      <c r="H4553" s="9" t="n">
        <v>50534.74</v>
      </c>
      <c r="I4553" s="16" t="n">
        <v>46232</v>
      </c>
      <c r="J4553" s="16" t="n">
        <v>46232</v>
      </c>
      <c r="K4553" s="5" t="inlineStr">
        <is>
          <t>0491/26 0491/26</t>
        </is>
      </c>
      <c r="L4553" s="5" t="inlineStr">
        <is>
          <t>29072026</t>
        </is>
      </c>
      <c r="M4553" s="5">
        <f>IF(YEAR(I4553)&lt;=2020,"Até 2020",TEXT(YEAR(I4553),"0"))</f>
        <v/>
      </c>
      <c r="N4553" s="5">
        <f>IFERROR(INDEX(DePara!$A:$A,MATCH(TEXT(B4553,"0"),DePara!$D:$D,0)),"(sem categoria)")</f>
        <v/>
      </c>
      <c r="O4553" s="5">
        <f>IF(J4553="","",Parametros!$B$6-J4553)</f>
        <v/>
      </c>
      <c r="P4553" s="5">
        <f>IF(O4553="","",IF(O4553&gt;0,1,0))</f>
        <v/>
      </c>
    </row>
    <row r="4554">
      <c r="A4554" s="5" t="n">
        <v>1191000000</v>
      </c>
      <c r="B4554" s="5" t="inlineStr">
        <is>
          <t>105984</t>
        </is>
      </c>
      <c r="C4554" s="5" t="inlineStr">
        <is>
          <t>TRADEWORKS SERVICOS DE COMERCIO EXT 04955748000107</t>
        </is>
      </c>
      <c r="D4554" s="5" t="inlineStr">
        <is>
          <t>ZP</t>
        </is>
      </c>
      <c r="E4554" s="5" t="n">
        <v>2000011975</v>
      </c>
      <c r="F4554" s="5" t="n"/>
      <c r="G4554" s="5" t="inlineStr">
        <is>
          <t>BRL</t>
        </is>
      </c>
      <c r="H4554" s="9" t="n">
        <v>18000</v>
      </c>
      <c r="I4554" s="16" t="n">
        <v>46232</v>
      </c>
      <c r="J4554" s="16" t="n">
        <v>46232</v>
      </c>
      <c r="K4554" s="5" t="inlineStr">
        <is>
          <t>Documento fornecedor TRADEWORKS SERVICOS DE COMERC</t>
        </is>
      </c>
      <c r="L4554" s="5" t="inlineStr">
        <is>
          <t>29072026</t>
        </is>
      </c>
      <c r="M4554" s="5">
        <f>IF(YEAR(I4554)&lt;=2020,"Até 2020",TEXT(YEAR(I4554),"0"))</f>
        <v/>
      </c>
      <c r="N4554" s="5">
        <f>IFERROR(INDEX(DePara!$A:$A,MATCH(TEXT(B4554,"0"),DePara!$D:$D,0)),"(sem categoria)")</f>
        <v/>
      </c>
      <c r="O4554" s="5">
        <f>IF(J4554="","",Parametros!$B$6-J4554)</f>
        <v/>
      </c>
      <c r="P4554" s="5">
        <f>IF(O4554="","",IF(O4554&gt;0,1,0))</f>
        <v/>
      </c>
    </row>
    <row r="4555">
      <c r="A4555" s="5" t="n">
        <v>1191000000</v>
      </c>
      <c r="B4555" s="5" t="inlineStr">
        <is>
          <t>105984</t>
        </is>
      </c>
      <c r="C4555" s="5" t="inlineStr">
        <is>
          <t>TRADEWORKS SERVICOS DE COMERCIO EXT 04955748000107</t>
        </is>
      </c>
      <c r="D4555" s="5" t="inlineStr">
        <is>
          <t>ZP</t>
        </is>
      </c>
      <c r="E4555" s="5" t="n">
        <v>2000011977</v>
      </c>
      <c r="F4555" s="5" t="n"/>
      <c r="G4555" s="5" t="inlineStr">
        <is>
          <t>BRL</t>
        </is>
      </c>
      <c r="H4555" s="9" t="n">
        <v>33000</v>
      </c>
      <c r="I4555" s="16" t="n">
        <v>46232</v>
      </c>
      <c r="J4555" s="16" t="n">
        <v>46232</v>
      </c>
      <c r="K4555" s="5" t="inlineStr">
        <is>
          <t>Documento fornecedor TRADEWORKS SERVICOS DE COMERC</t>
        </is>
      </c>
      <c r="L4555" s="5" t="inlineStr">
        <is>
          <t>29072026</t>
        </is>
      </c>
      <c r="M4555" s="5">
        <f>IF(YEAR(I4555)&lt;=2020,"Até 2020",TEXT(YEAR(I4555),"0"))</f>
        <v/>
      </c>
      <c r="N4555" s="5">
        <f>IFERROR(INDEX(DePara!$A:$A,MATCH(TEXT(B4555,"0"),DePara!$D:$D,0)),"(sem categoria)")</f>
        <v/>
      </c>
      <c r="O4555" s="5">
        <f>IF(J4555="","",Parametros!$B$6-J4555)</f>
        <v/>
      </c>
      <c r="P4555" s="5">
        <f>IF(O4555="","",IF(O4555&gt;0,1,0))</f>
        <v/>
      </c>
    </row>
    <row r="4556">
      <c r="A4556" s="5" t="n">
        <v>1191000000</v>
      </c>
      <c r="B4556" s="5" t="inlineStr">
        <is>
          <t>105984</t>
        </is>
      </c>
      <c r="C4556" s="5" t="inlineStr">
        <is>
          <t>TRADEWORKS SERVICOS DE COMERCIO EXT 04955748000107</t>
        </is>
      </c>
      <c r="D4556" s="5" t="inlineStr">
        <is>
          <t>ZP</t>
        </is>
      </c>
      <c r="E4556" s="5" t="n">
        <v>2000011979</v>
      </c>
      <c r="F4556" s="5" t="n"/>
      <c r="G4556" s="5" t="inlineStr">
        <is>
          <t>BRL</t>
        </is>
      </c>
      <c r="H4556" s="9" t="n">
        <v>118000</v>
      </c>
      <c r="I4556" s="16" t="n">
        <v>46232</v>
      </c>
      <c r="J4556" s="16" t="n">
        <v>46232</v>
      </c>
      <c r="K4556" s="5" t="inlineStr">
        <is>
          <t>Documento fornecedor TRADEWORKS SERVICOS DE COMERC</t>
        </is>
      </c>
      <c r="L4556" s="5" t="inlineStr">
        <is>
          <t>29072026</t>
        </is>
      </c>
      <c r="M4556" s="5">
        <f>IF(YEAR(I4556)&lt;=2020,"Até 2020",TEXT(YEAR(I4556),"0"))</f>
        <v/>
      </c>
      <c r="N4556" s="5">
        <f>IFERROR(INDEX(DePara!$A:$A,MATCH(TEXT(B4556,"0"),DePara!$D:$D,0)),"(sem categoria)")</f>
        <v/>
      </c>
      <c r="O4556" s="5">
        <f>IF(J4556="","",Parametros!$B$6-J4556)</f>
        <v/>
      </c>
      <c r="P4556" s="5">
        <f>IF(O4556="","",IF(O4556&gt;0,1,0))</f>
        <v/>
      </c>
    </row>
    <row r="4557">
      <c r="A4557" s="5" t="n">
        <v>1191000000</v>
      </c>
      <c r="B4557" s="5" t="inlineStr">
        <is>
          <t>105984</t>
        </is>
      </c>
      <c r="C4557" s="5" t="inlineStr">
        <is>
          <t>TRADEWORKS SERVICOS DE COMERCIO EXT 04955748000107</t>
        </is>
      </c>
      <c r="D4557" s="5" t="inlineStr">
        <is>
          <t>ZP</t>
        </is>
      </c>
      <c r="E4557" s="5" t="n">
        <v>2000011980</v>
      </c>
      <c r="F4557" s="5" t="n"/>
      <c r="G4557" s="5" t="inlineStr">
        <is>
          <t>BRL</t>
        </is>
      </c>
      <c r="H4557" s="9" t="n">
        <v>166000</v>
      </c>
      <c r="I4557" s="16" t="n">
        <v>46232</v>
      </c>
      <c r="J4557" s="16" t="n">
        <v>46232</v>
      </c>
      <c r="K4557" s="5" t="inlineStr">
        <is>
          <t>Documento fornecedor TRADEWORKS SERVICOS DE COMERC</t>
        </is>
      </c>
      <c r="L4557" s="5" t="inlineStr">
        <is>
          <t>29072026</t>
        </is>
      </c>
      <c r="M4557" s="5">
        <f>IF(YEAR(I4557)&lt;=2020,"Até 2020",TEXT(YEAR(I4557),"0"))</f>
        <v/>
      </c>
      <c r="N4557" s="5">
        <f>IFERROR(INDEX(DePara!$A:$A,MATCH(TEXT(B4557,"0"),DePara!$D:$D,0)),"(sem categoria)")</f>
        <v/>
      </c>
      <c r="O4557" s="5">
        <f>IF(J4557="","",Parametros!$B$6-J4557)</f>
        <v/>
      </c>
      <c r="P4557" s="5">
        <f>IF(O4557="","",IF(O4557&gt;0,1,0))</f>
        <v/>
      </c>
    </row>
    <row r="4558">
      <c r="A4558" s="5" t="n">
        <v>1191000000</v>
      </c>
      <c r="B4558" s="5" t="inlineStr">
        <is>
          <t>105984</t>
        </is>
      </c>
      <c r="C4558" s="5" t="inlineStr">
        <is>
          <t>TRADEWORKS SERVICOS DE COMERCIO EXT 04955748000107</t>
        </is>
      </c>
      <c r="D4558" s="5" t="inlineStr">
        <is>
          <t>ZP</t>
        </is>
      </c>
      <c r="E4558" s="5" t="n">
        <v>2000011981</v>
      </c>
      <c r="F4558" s="5" t="n"/>
      <c r="G4558" s="5" t="inlineStr">
        <is>
          <t>BRL</t>
        </is>
      </c>
      <c r="H4558" s="9" t="n">
        <v>196000</v>
      </c>
      <c r="I4558" s="16" t="n">
        <v>46232</v>
      </c>
      <c r="J4558" s="16" t="n">
        <v>46232</v>
      </c>
      <c r="K4558" s="5" t="inlineStr">
        <is>
          <t>Documento fornecedor TRADEWORKS SERVICOS DE COMERC</t>
        </is>
      </c>
      <c r="L4558" s="5" t="inlineStr">
        <is>
          <t>29072026</t>
        </is>
      </c>
      <c r="M4558" s="5">
        <f>IF(YEAR(I4558)&lt;=2020,"Até 2020",TEXT(YEAR(I4558),"0"))</f>
        <v/>
      </c>
      <c r="N4558" s="5">
        <f>IFERROR(INDEX(DePara!$A:$A,MATCH(TEXT(B4558,"0"),DePara!$D:$D,0)),"(sem categoria)")</f>
        <v/>
      </c>
      <c r="O4558" s="5">
        <f>IF(J4558="","",Parametros!$B$6-J4558)</f>
        <v/>
      </c>
      <c r="P4558" s="5">
        <f>IF(O4558="","",IF(O4558&gt;0,1,0))</f>
        <v/>
      </c>
    </row>
    <row r="4559">
      <c r="A4559" s="5" t="n">
        <v>1191000000</v>
      </c>
      <c r="B4559" s="5" t="inlineStr">
        <is>
          <t>105984</t>
        </is>
      </c>
      <c r="C4559" s="5" t="inlineStr">
        <is>
          <t>TRADEWORKS SERVICOS DE COMERCIO EXT 04955748000107</t>
        </is>
      </c>
      <c r="D4559" s="5" t="inlineStr">
        <is>
          <t>ZP</t>
        </is>
      </c>
      <c r="E4559" s="5" t="n">
        <v>2000012854</v>
      </c>
      <c r="F4559" s="5" t="n"/>
      <c r="G4559" s="5" t="inlineStr">
        <is>
          <t>BRL</t>
        </is>
      </c>
      <c r="H4559" s="9" t="n">
        <v>7077.74</v>
      </c>
      <c r="I4559" s="16" t="n">
        <v>46239</v>
      </c>
      <c r="J4559" s="16" t="n">
        <v>46239</v>
      </c>
      <c r="K4559" s="5" t="inlineStr">
        <is>
          <t>0501/26 0501/26</t>
        </is>
      </c>
      <c r="L4559" s="5" t="inlineStr">
        <is>
          <t>05082026</t>
        </is>
      </c>
      <c r="M4559" s="5">
        <f>IF(YEAR(I4559)&lt;=2020,"Até 2020",TEXT(YEAR(I4559),"0"))</f>
        <v/>
      </c>
      <c r="N4559" s="5">
        <f>IFERROR(INDEX(DePara!$A:$A,MATCH(TEXT(B4559,"0"),DePara!$D:$D,0)),"(sem categoria)")</f>
        <v/>
      </c>
      <c r="O4559" s="5">
        <f>IF(J4559="","",Parametros!$B$6-J4559)</f>
        <v/>
      </c>
      <c r="P4559" s="5">
        <f>IF(O4559="","",IF(O4559&gt;0,1,0))</f>
        <v/>
      </c>
    </row>
    <row r="4560">
      <c r="A4560" s="5" t="n">
        <v>1191000000</v>
      </c>
      <c r="B4560" s="5" t="inlineStr">
        <is>
          <t>105984</t>
        </is>
      </c>
      <c r="C4560" s="5" t="inlineStr">
        <is>
          <t>TRADEWORKS SERVICOS DE COMERCIO EXT 04955748000107</t>
        </is>
      </c>
      <c r="D4560" s="5" t="inlineStr">
        <is>
          <t>ZP</t>
        </is>
      </c>
      <c r="E4560" s="5" t="n">
        <v>2000012855</v>
      </c>
      <c r="F4560" s="5" t="n"/>
      <c r="G4560" s="5" t="inlineStr">
        <is>
          <t>BRL</t>
        </is>
      </c>
      <c r="H4560" s="9" t="n">
        <v>7314.2</v>
      </c>
      <c r="I4560" s="16" t="n">
        <v>46239</v>
      </c>
      <c r="J4560" s="16" t="n">
        <v>46239</v>
      </c>
      <c r="K4560" s="5" t="inlineStr">
        <is>
          <t>0502/26 0502/26</t>
        </is>
      </c>
      <c r="L4560" s="5" t="inlineStr">
        <is>
          <t>05082026</t>
        </is>
      </c>
      <c r="M4560" s="5">
        <f>IF(YEAR(I4560)&lt;=2020,"Até 2020",TEXT(YEAR(I4560),"0"))</f>
        <v/>
      </c>
      <c r="N4560" s="5">
        <f>IFERROR(INDEX(DePara!$A:$A,MATCH(TEXT(B4560,"0"),DePara!$D:$D,0)),"(sem categoria)")</f>
        <v/>
      </c>
      <c r="O4560" s="5">
        <f>IF(J4560="","",Parametros!$B$6-J4560)</f>
        <v/>
      </c>
      <c r="P4560" s="5">
        <f>IF(O4560="","",IF(O4560&gt;0,1,0))</f>
        <v/>
      </c>
    </row>
    <row r="4561">
      <c r="A4561" s="5" t="n">
        <v>1191000000</v>
      </c>
      <c r="B4561" s="5" t="inlineStr">
        <is>
          <t>105984</t>
        </is>
      </c>
      <c r="C4561" s="5" t="inlineStr">
        <is>
          <t>TRADEWORKS SERVICOS DE COMERCIO EXT 04955748000107</t>
        </is>
      </c>
      <c r="D4561" s="5" t="inlineStr">
        <is>
          <t>ZP</t>
        </is>
      </c>
      <c r="E4561" s="5" t="n">
        <v>2000012856</v>
      </c>
      <c r="F4561" s="5" t="n"/>
      <c r="G4561" s="5" t="inlineStr">
        <is>
          <t>BRL</t>
        </is>
      </c>
      <c r="H4561" s="9" t="n">
        <v>8076.96</v>
      </c>
      <c r="I4561" s="16" t="n">
        <v>46239</v>
      </c>
      <c r="J4561" s="16" t="n">
        <v>46239</v>
      </c>
      <c r="K4561" s="5" t="inlineStr">
        <is>
          <t>0506/26 0506/26</t>
        </is>
      </c>
      <c r="L4561" s="5" t="inlineStr">
        <is>
          <t>05082026</t>
        </is>
      </c>
      <c r="M4561" s="5">
        <f>IF(YEAR(I4561)&lt;=2020,"Até 2020",TEXT(YEAR(I4561),"0"))</f>
        <v/>
      </c>
      <c r="N4561" s="5">
        <f>IFERROR(INDEX(DePara!$A:$A,MATCH(TEXT(B4561,"0"),DePara!$D:$D,0)),"(sem categoria)")</f>
        <v/>
      </c>
      <c r="O4561" s="5">
        <f>IF(J4561="","",Parametros!$B$6-J4561)</f>
        <v/>
      </c>
      <c r="P4561" s="5">
        <f>IF(O4561="","",IF(O4561&gt;0,1,0))</f>
        <v/>
      </c>
    </row>
    <row r="4562">
      <c r="A4562" s="5" t="n">
        <v>1191000000</v>
      </c>
      <c r="B4562" s="5" t="inlineStr">
        <is>
          <t>105984</t>
        </is>
      </c>
      <c r="C4562" s="5" t="inlineStr">
        <is>
          <t>TRADEWORKS SERVICOS DE COMERCIO EXT 04955748000107</t>
        </is>
      </c>
      <c r="D4562" s="5" t="inlineStr">
        <is>
          <t>ZP</t>
        </is>
      </c>
      <c r="E4562" s="5" t="n">
        <v>2000012857</v>
      </c>
      <c r="F4562" s="5" t="n"/>
      <c r="G4562" s="5" t="inlineStr">
        <is>
          <t>BRL</t>
        </is>
      </c>
      <c r="H4562" s="9" t="n">
        <v>8113.17</v>
      </c>
      <c r="I4562" s="16" t="n">
        <v>46239</v>
      </c>
      <c r="J4562" s="16" t="n">
        <v>46239</v>
      </c>
      <c r="K4562" s="5" t="inlineStr">
        <is>
          <t>0503/26 0503/26</t>
        </is>
      </c>
      <c r="L4562" s="5" t="inlineStr">
        <is>
          <t>05082026</t>
        </is>
      </c>
      <c r="M4562" s="5">
        <f>IF(YEAR(I4562)&lt;=2020,"Até 2020",TEXT(YEAR(I4562),"0"))</f>
        <v/>
      </c>
      <c r="N4562" s="5">
        <f>IFERROR(INDEX(DePara!$A:$A,MATCH(TEXT(B4562,"0"),DePara!$D:$D,0)),"(sem categoria)")</f>
        <v/>
      </c>
      <c r="O4562" s="5">
        <f>IF(J4562="","",Parametros!$B$6-J4562)</f>
        <v/>
      </c>
      <c r="P4562" s="5">
        <f>IF(O4562="","",IF(O4562&gt;0,1,0))</f>
        <v/>
      </c>
    </row>
    <row r="4563">
      <c r="A4563" s="5" t="n">
        <v>1191000000</v>
      </c>
      <c r="B4563" s="5" t="inlineStr">
        <is>
          <t>105984</t>
        </is>
      </c>
      <c r="C4563" s="5" t="inlineStr">
        <is>
          <t>TRADEWORKS SERVICOS DE COMERCIO EXT 04955748000107</t>
        </is>
      </c>
      <c r="D4563" s="5" t="inlineStr">
        <is>
          <t>ZP</t>
        </is>
      </c>
      <c r="E4563" s="5" t="n">
        <v>2000012858</v>
      </c>
      <c r="F4563" s="5" t="n"/>
      <c r="G4563" s="5" t="inlineStr">
        <is>
          <t>BRL</t>
        </is>
      </c>
      <c r="H4563" s="9" t="n">
        <v>8580.74</v>
      </c>
      <c r="I4563" s="16" t="n">
        <v>46239</v>
      </c>
      <c r="J4563" s="16" t="n">
        <v>46239</v>
      </c>
      <c r="K4563" s="5" t="inlineStr">
        <is>
          <t>0508/26 0508/26</t>
        </is>
      </c>
      <c r="L4563" s="5" t="inlineStr">
        <is>
          <t>05082026</t>
        </is>
      </c>
      <c r="M4563" s="5">
        <f>IF(YEAR(I4563)&lt;=2020,"Até 2020",TEXT(YEAR(I4563),"0"))</f>
        <v/>
      </c>
      <c r="N4563" s="5">
        <f>IFERROR(INDEX(DePara!$A:$A,MATCH(TEXT(B4563,"0"),DePara!$D:$D,0)),"(sem categoria)")</f>
        <v/>
      </c>
      <c r="O4563" s="5">
        <f>IF(J4563="","",Parametros!$B$6-J4563)</f>
        <v/>
      </c>
      <c r="P4563" s="5">
        <f>IF(O4563="","",IF(O4563&gt;0,1,0))</f>
        <v/>
      </c>
    </row>
    <row r="4564">
      <c r="A4564" s="5" t="n">
        <v>1191000000</v>
      </c>
      <c r="B4564" s="5" t="inlineStr">
        <is>
          <t>105984</t>
        </is>
      </c>
      <c r="C4564" s="5" t="inlineStr">
        <is>
          <t>TRADEWORKS SERVICOS DE COMERCIO EXT 04955748000107</t>
        </is>
      </c>
      <c r="D4564" s="5" t="inlineStr">
        <is>
          <t>ZP</t>
        </is>
      </c>
      <c r="E4564" s="5" t="n">
        <v>2000012860</v>
      </c>
      <c r="F4564" s="5" t="n"/>
      <c r="G4564" s="5" t="inlineStr">
        <is>
          <t>BRL</t>
        </is>
      </c>
      <c r="H4564" s="9" t="n">
        <v>10614.3</v>
      </c>
      <c r="I4564" s="16" t="n">
        <v>46239</v>
      </c>
      <c r="J4564" s="16" t="n">
        <v>46239</v>
      </c>
      <c r="K4564" s="5" t="inlineStr">
        <is>
          <t>0505/26 0505/26</t>
        </is>
      </c>
      <c r="L4564" s="5" t="inlineStr">
        <is>
          <t>05082026</t>
        </is>
      </c>
      <c r="M4564" s="5">
        <f>IF(YEAR(I4564)&lt;=2020,"Até 2020",TEXT(YEAR(I4564),"0"))</f>
        <v/>
      </c>
      <c r="N4564" s="5">
        <f>IFERROR(INDEX(DePara!$A:$A,MATCH(TEXT(B4564,"0"),DePara!$D:$D,0)),"(sem categoria)")</f>
        <v/>
      </c>
      <c r="O4564" s="5">
        <f>IF(J4564="","",Parametros!$B$6-J4564)</f>
        <v/>
      </c>
      <c r="P4564" s="5">
        <f>IF(O4564="","",IF(O4564&gt;0,1,0))</f>
        <v/>
      </c>
    </row>
    <row r="4565">
      <c r="A4565" s="5" t="n">
        <v>1191000000</v>
      </c>
      <c r="B4565" s="5" t="inlineStr">
        <is>
          <t>105984</t>
        </is>
      </c>
      <c r="C4565" s="5" t="inlineStr">
        <is>
          <t>TRADEWORKS SERVICOS DE COMERCIO EXT 04955748000107</t>
        </is>
      </c>
      <c r="D4565" s="5" t="inlineStr">
        <is>
          <t>ZP</t>
        </is>
      </c>
      <c r="E4565" s="5" t="n">
        <v>2000012861</v>
      </c>
      <c r="F4565" s="5" t="n"/>
      <c r="G4565" s="5" t="inlineStr">
        <is>
          <t>BRL</t>
        </is>
      </c>
      <c r="H4565" s="9" t="n">
        <v>11254.89</v>
      </c>
      <c r="I4565" s="16" t="n">
        <v>46239</v>
      </c>
      <c r="J4565" s="16" t="n">
        <v>46239</v>
      </c>
      <c r="K4565" s="5" t="inlineStr">
        <is>
          <t>0510/26 0510/26</t>
        </is>
      </c>
      <c r="L4565" s="5" t="inlineStr">
        <is>
          <t>05082026</t>
        </is>
      </c>
      <c r="M4565" s="5">
        <f>IF(YEAR(I4565)&lt;=2020,"Até 2020",TEXT(YEAR(I4565),"0"))</f>
        <v/>
      </c>
      <c r="N4565" s="5">
        <f>IFERROR(INDEX(DePara!$A:$A,MATCH(TEXT(B4565,"0"),DePara!$D:$D,0)),"(sem categoria)")</f>
        <v/>
      </c>
      <c r="O4565" s="5">
        <f>IF(J4565="","",Parametros!$B$6-J4565)</f>
        <v/>
      </c>
      <c r="P4565" s="5">
        <f>IF(O4565="","",IF(O4565&gt;0,1,0))</f>
        <v/>
      </c>
    </row>
    <row r="4566">
      <c r="A4566" s="5" t="n">
        <v>1191000000</v>
      </c>
      <c r="B4566" s="5" t="inlineStr">
        <is>
          <t>105984</t>
        </is>
      </c>
      <c r="C4566" s="5" t="inlineStr">
        <is>
          <t>TRADEWORKS SERVICOS DE COMERCIO EXT 04955748000107</t>
        </is>
      </c>
      <c r="D4566" s="5" t="inlineStr">
        <is>
          <t>ZP</t>
        </is>
      </c>
      <c r="E4566" s="5" t="n">
        <v>2000012863</v>
      </c>
      <c r="F4566" s="5" t="n"/>
      <c r="G4566" s="5" t="inlineStr">
        <is>
          <t>BRL</t>
        </is>
      </c>
      <c r="H4566" s="9" t="n">
        <v>13292.67</v>
      </c>
      <c r="I4566" s="16" t="n">
        <v>46239</v>
      </c>
      <c r="J4566" s="16" t="n">
        <v>46239</v>
      </c>
      <c r="K4566" s="5" t="inlineStr">
        <is>
          <t>0509/26 0509/26</t>
        </is>
      </c>
      <c r="L4566" s="5" t="inlineStr">
        <is>
          <t>05082026</t>
        </is>
      </c>
      <c r="M4566" s="5">
        <f>IF(YEAR(I4566)&lt;=2020,"Até 2020",TEXT(YEAR(I4566),"0"))</f>
        <v/>
      </c>
      <c r="N4566" s="5">
        <f>IFERROR(INDEX(DePara!$A:$A,MATCH(TEXT(B4566,"0"),DePara!$D:$D,0)),"(sem categoria)")</f>
        <v/>
      </c>
      <c r="O4566" s="5">
        <f>IF(J4566="","",Parametros!$B$6-J4566)</f>
        <v/>
      </c>
      <c r="P4566" s="5">
        <f>IF(O4566="","",IF(O4566&gt;0,1,0))</f>
        <v/>
      </c>
    </row>
    <row r="4567">
      <c r="A4567" s="5" t="n">
        <v>1191000000</v>
      </c>
      <c r="B4567" s="5" t="inlineStr">
        <is>
          <t>105984</t>
        </is>
      </c>
      <c r="C4567" s="5" t="inlineStr">
        <is>
          <t>TRADEWORKS SERVICOS DE COMERCIO EXT 04955748000107</t>
        </is>
      </c>
      <c r="D4567" s="5" t="inlineStr">
        <is>
          <t>ZP</t>
        </is>
      </c>
      <c r="E4567" s="5" t="n">
        <v>2000012866</v>
      </c>
      <c r="F4567" s="5" t="n"/>
      <c r="G4567" s="5" t="inlineStr">
        <is>
          <t>BRL</t>
        </is>
      </c>
      <c r="H4567" s="9" t="n">
        <v>20250.93</v>
      </c>
      <c r="I4567" s="16" t="n">
        <v>46239</v>
      </c>
      <c r="J4567" s="16" t="n">
        <v>46239</v>
      </c>
      <c r="K4567" s="5" t="inlineStr">
        <is>
          <t>0511/26 0511/26</t>
        </is>
      </c>
      <c r="L4567" s="5" t="inlineStr">
        <is>
          <t>05082026</t>
        </is>
      </c>
      <c r="M4567" s="5">
        <f>IF(YEAR(I4567)&lt;=2020,"Até 2020",TEXT(YEAR(I4567),"0"))</f>
        <v/>
      </c>
      <c r="N4567" s="5">
        <f>IFERROR(INDEX(DePara!$A:$A,MATCH(TEXT(B4567,"0"),DePara!$D:$D,0)),"(sem categoria)")</f>
        <v/>
      </c>
      <c r="O4567" s="5">
        <f>IF(J4567="","",Parametros!$B$6-J4567)</f>
        <v/>
      </c>
      <c r="P4567" s="5">
        <f>IF(O4567="","",IF(O4567&gt;0,1,0))</f>
        <v/>
      </c>
    </row>
    <row r="4568">
      <c r="A4568" s="5" t="n">
        <v>1191000000</v>
      </c>
      <c r="B4568" s="5" t="inlineStr">
        <is>
          <t>105984</t>
        </is>
      </c>
      <c r="C4568" s="5" t="inlineStr">
        <is>
          <t>TRADEWORKS SERVICOS DE COMERCIO EXT 04955748000107</t>
        </is>
      </c>
      <c r="D4568" s="5" t="inlineStr">
        <is>
          <t>ZP</t>
        </is>
      </c>
      <c r="E4568" s="5" t="n">
        <v>2000012867</v>
      </c>
      <c r="F4568" s="5" t="n"/>
      <c r="G4568" s="5" t="inlineStr">
        <is>
          <t>BRL</t>
        </is>
      </c>
      <c r="H4568" s="9" t="n">
        <v>65933.62</v>
      </c>
      <c r="I4568" s="16" t="n">
        <v>46239</v>
      </c>
      <c r="J4568" s="16" t="n">
        <v>46239</v>
      </c>
      <c r="K4568" s="5" t="inlineStr">
        <is>
          <t>0507/26 0507/26</t>
        </is>
      </c>
      <c r="L4568" s="5" t="inlineStr">
        <is>
          <t>05082026</t>
        </is>
      </c>
      <c r="M4568" s="5">
        <f>IF(YEAR(I4568)&lt;=2020,"Até 2020",TEXT(YEAR(I4568),"0"))</f>
        <v/>
      </c>
      <c r="N4568" s="5">
        <f>IFERROR(INDEX(DePara!$A:$A,MATCH(TEXT(B4568,"0"),DePara!$D:$D,0)),"(sem categoria)")</f>
        <v/>
      </c>
      <c r="O4568" s="5">
        <f>IF(J4568="","",Parametros!$B$6-J4568)</f>
        <v/>
      </c>
      <c r="P4568" s="5">
        <f>IF(O4568="","",IF(O4568&gt;0,1,0))</f>
        <v/>
      </c>
    </row>
    <row r="4569">
      <c r="A4569" s="5" t="n">
        <v>1191000000</v>
      </c>
      <c r="B4569" s="5" t="inlineStr">
        <is>
          <t>105984</t>
        </is>
      </c>
      <c r="C4569" s="5" t="inlineStr">
        <is>
          <t>TRADEWORKS SERVICOS DE COMERCIO EXT 04955748000107</t>
        </is>
      </c>
      <c r="D4569" s="5" t="inlineStr">
        <is>
          <t>ZP</t>
        </is>
      </c>
      <c r="E4569" s="5" t="n">
        <v>2000012869</v>
      </c>
      <c r="F4569" s="5" t="n"/>
      <c r="G4569" s="5" t="inlineStr">
        <is>
          <t>BRL</t>
        </is>
      </c>
      <c r="H4569" s="9" t="n">
        <v>150941.91</v>
      </c>
      <c r="I4569" s="16" t="n">
        <v>46239</v>
      </c>
      <c r="J4569" s="16" t="n">
        <v>46239</v>
      </c>
      <c r="K4569" s="5" t="inlineStr">
        <is>
          <t>0504/26 0504/26</t>
        </is>
      </c>
      <c r="L4569" s="5" t="inlineStr">
        <is>
          <t>05082026</t>
        </is>
      </c>
      <c r="M4569" s="5">
        <f>IF(YEAR(I4569)&lt;=2020,"Até 2020",TEXT(YEAR(I4569),"0"))</f>
        <v/>
      </c>
      <c r="N4569" s="5">
        <f>IFERROR(INDEX(DePara!$A:$A,MATCH(TEXT(B4569,"0"),DePara!$D:$D,0)),"(sem categoria)")</f>
        <v/>
      </c>
      <c r="O4569" s="5">
        <f>IF(J4569="","",Parametros!$B$6-J4569)</f>
        <v/>
      </c>
      <c r="P4569" s="5">
        <f>IF(O4569="","",IF(O4569&gt;0,1,0))</f>
        <v/>
      </c>
    </row>
    <row r="4570">
      <c r="A4570" s="5" t="n">
        <v>1191000000</v>
      </c>
      <c r="B4570" s="5" t="inlineStr">
        <is>
          <t>105984</t>
        </is>
      </c>
      <c r="C4570" s="5" t="inlineStr">
        <is>
          <t>TRADEWORKS SERVICOS DE COMERCIO EXT 04955748000107</t>
        </is>
      </c>
      <c r="D4570" s="5" t="inlineStr">
        <is>
          <t>ZP</t>
        </is>
      </c>
      <c r="E4570" s="5" t="n">
        <v>2000012920</v>
      </c>
      <c r="F4570" s="5" t="n"/>
      <c r="G4570" s="5" t="inlineStr">
        <is>
          <t>BRL</t>
        </is>
      </c>
      <c r="H4570" s="9" t="n">
        <v>35000</v>
      </c>
      <c r="I4570" s="16" t="n">
        <v>46239</v>
      </c>
      <c r="J4570" s="16" t="n">
        <v>46239</v>
      </c>
      <c r="K4570" s="5" t="inlineStr">
        <is>
          <t>6438 6439</t>
        </is>
      </c>
      <c r="L4570" s="5" t="inlineStr">
        <is>
          <t>05082026</t>
        </is>
      </c>
      <c r="M4570" s="5">
        <f>IF(YEAR(I4570)&lt;=2020,"Até 2020",TEXT(YEAR(I4570),"0"))</f>
        <v/>
      </c>
      <c r="N4570" s="5">
        <f>IFERROR(INDEX(DePara!$A:$A,MATCH(TEXT(B4570,"0"),DePara!$D:$D,0)),"(sem categoria)")</f>
        <v/>
      </c>
      <c r="O4570" s="5">
        <f>IF(J4570="","",Parametros!$B$6-J4570)</f>
        <v/>
      </c>
      <c r="P4570" s="5">
        <f>IF(O4570="","",IF(O4570&gt;0,1,0))</f>
        <v/>
      </c>
    </row>
    <row r="4571">
      <c r="A4571" s="5" t="n">
        <v>1191000000</v>
      </c>
      <c r="B4571" s="5" t="inlineStr">
        <is>
          <t>105984</t>
        </is>
      </c>
      <c r="C4571" s="5" t="inlineStr">
        <is>
          <t>TRADEWORKS SERVICOS DE COMERCIO EXT 04955748000107</t>
        </is>
      </c>
      <c r="D4571" s="5" t="inlineStr">
        <is>
          <t>ZP</t>
        </is>
      </c>
      <c r="E4571" s="5" t="n">
        <v>2000013197</v>
      </c>
      <c r="F4571" s="5" t="n"/>
      <c r="G4571" s="5" t="inlineStr">
        <is>
          <t>BRL</t>
        </is>
      </c>
      <c r="H4571" s="9" t="n">
        <v>27.93</v>
      </c>
      <c r="I4571" s="16" t="n">
        <v>46246</v>
      </c>
      <c r="J4571" s="16" t="n">
        <v>46246</v>
      </c>
      <c r="K4571" s="5" t="inlineStr">
        <is>
          <t>0026/26 0026/26</t>
        </is>
      </c>
      <c r="L4571" s="5" t="inlineStr">
        <is>
          <t>12082026</t>
        </is>
      </c>
      <c r="M4571" s="5">
        <f>IF(YEAR(I4571)&lt;=2020,"Até 2020",TEXT(YEAR(I4571),"0"))</f>
        <v/>
      </c>
      <c r="N4571" s="5">
        <f>IFERROR(INDEX(DePara!$A:$A,MATCH(TEXT(B4571,"0"),DePara!$D:$D,0)),"(sem categoria)")</f>
        <v/>
      </c>
      <c r="O4571" s="5">
        <f>IF(J4571="","",Parametros!$B$6-J4571)</f>
        <v/>
      </c>
      <c r="P4571" s="5">
        <f>IF(O4571="","",IF(O4571&gt;0,1,0))</f>
        <v/>
      </c>
    </row>
    <row r="4572">
      <c r="A4572" s="5" t="n">
        <v>1191000000</v>
      </c>
      <c r="B4572" s="5" t="inlineStr">
        <is>
          <t>105984</t>
        </is>
      </c>
      <c r="C4572" s="5" t="inlineStr">
        <is>
          <t>TRADEWORKS SERVICOS DE COMERCIO EXT 04955748000107</t>
        </is>
      </c>
      <c r="D4572" s="5" t="inlineStr">
        <is>
          <t>ZP</t>
        </is>
      </c>
      <c r="E4572" s="5" t="n">
        <v>2000013198</v>
      </c>
      <c r="F4572" s="5" t="n"/>
      <c r="G4572" s="5" t="inlineStr">
        <is>
          <t>BRL</t>
        </is>
      </c>
      <c r="H4572" s="9" t="n">
        <v>112.66</v>
      </c>
      <c r="I4572" s="16" t="n">
        <v>46246</v>
      </c>
      <c r="J4572" s="16" t="n">
        <v>46246</v>
      </c>
      <c r="K4572" s="5" t="inlineStr">
        <is>
          <t>0061/26 0061/26</t>
        </is>
      </c>
      <c r="L4572" s="5" t="inlineStr">
        <is>
          <t>12082026</t>
        </is>
      </c>
      <c r="M4572" s="5">
        <f>IF(YEAR(I4572)&lt;=2020,"Até 2020",TEXT(YEAR(I4572),"0"))</f>
        <v/>
      </c>
      <c r="N4572" s="5">
        <f>IFERROR(INDEX(DePara!$A:$A,MATCH(TEXT(B4572,"0"),DePara!$D:$D,0)),"(sem categoria)")</f>
        <v/>
      </c>
      <c r="O4572" s="5">
        <f>IF(J4572="","",Parametros!$B$6-J4572)</f>
        <v/>
      </c>
      <c r="P4572" s="5">
        <f>IF(O4572="","",IF(O4572&gt;0,1,0))</f>
        <v/>
      </c>
    </row>
    <row r="4573">
      <c r="A4573" s="5" t="n">
        <v>1191000000</v>
      </c>
      <c r="B4573" s="5" t="inlineStr">
        <is>
          <t>105984</t>
        </is>
      </c>
      <c r="C4573" s="5" t="inlineStr">
        <is>
          <t>TRADEWORKS SERVICOS DE COMERCIO EXT 04955748000107</t>
        </is>
      </c>
      <c r="D4573" s="5" t="inlineStr">
        <is>
          <t>ZP</t>
        </is>
      </c>
      <c r="E4573" s="5" t="n">
        <v>2000013199</v>
      </c>
      <c r="F4573" s="5" t="n"/>
      <c r="G4573" s="5" t="inlineStr">
        <is>
          <t>BRL</t>
        </is>
      </c>
      <c r="H4573" s="9" t="n">
        <v>1203.9</v>
      </c>
      <c r="I4573" s="16" t="n">
        <v>46246</v>
      </c>
      <c r="J4573" s="16" t="n">
        <v>46246</v>
      </c>
      <c r="K4573" s="5" t="inlineStr">
        <is>
          <t>0058/26 0058/26</t>
        </is>
      </c>
      <c r="L4573" s="5" t="inlineStr">
        <is>
          <t>12082026</t>
        </is>
      </c>
      <c r="M4573" s="5">
        <f>IF(YEAR(I4573)&lt;=2020,"Até 2020",TEXT(YEAR(I4573),"0"))</f>
        <v/>
      </c>
      <c r="N4573" s="5">
        <f>IFERROR(INDEX(DePara!$A:$A,MATCH(TEXT(B4573,"0"),DePara!$D:$D,0)),"(sem categoria)")</f>
        <v/>
      </c>
      <c r="O4573" s="5">
        <f>IF(J4573="","",Parametros!$B$6-J4573)</f>
        <v/>
      </c>
      <c r="P4573" s="5">
        <f>IF(O4573="","",IF(O4573&gt;0,1,0))</f>
        <v/>
      </c>
    </row>
    <row r="4574">
      <c r="A4574" s="5" t="n">
        <v>1191000000</v>
      </c>
      <c r="B4574" s="5" t="inlineStr">
        <is>
          <t>105984</t>
        </is>
      </c>
      <c r="C4574" s="5" t="inlineStr">
        <is>
          <t>TRADEWORKS SERVICOS DE COMERCIO EXT 04955748000107</t>
        </is>
      </c>
      <c r="D4574" s="5" t="inlineStr">
        <is>
          <t>ZP</t>
        </is>
      </c>
      <c r="E4574" s="5" t="n">
        <v>2000013201</v>
      </c>
      <c r="F4574" s="5" t="n"/>
      <c r="G4574" s="5" t="inlineStr">
        <is>
          <t>BRL</t>
        </is>
      </c>
      <c r="H4574" s="9" t="n">
        <v>2051.87</v>
      </c>
      <c r="I4574" s="16" t="n">
        <v>46246</v>
      </c>
      <c r="J4574" s="16" t="n">
        <v>46246</v>
      </c>
      <c r="K4574" s="5" t="inlineStr">
        <is>
          <t>0024/26 0024/26</t>
        </is>
      </c>
      <c r="L4574" s="5" t="inlineStr">
        <is>
          <t>12082026</t>
        </is>
      </c>
      <c r="M4574" s="5">
        <f>IF(YEAR(I4574)&lt;=2020,"Até 2020",TEXT(YEAR(I4574),"0"))</f>
        <v/>
      </c>
      <c r="N4574" s="5">
        <f>IFERROR(INDEX(DePara!$A:$A,MATCH(TEXT(B4574,"0"),DePara!$D:$D,0)),"(sem categoria)")</f>
        <v/>
      </c>
      <c r="O4574" s="5">
        <f>IF(J4574="","",Parametros!$B$6-J4574)</f>
        <v/>
      </c>
      <c r="P4574" s="5">
        <f>IF(O4574="","",IF(O4574&gt;0,1,0))</f>
        <v/>
      </c>
    </row>
    <row r="4575">
      <c r="A4575" s="5" t="n">
        <v>1191000000</v>
      </c>
      <c r="B4575" s="5" t="inlineStr">
        <is>
          <t>105984</t>
        </is>
      </c>
      <c r="C4575" s="5" t="inlineStr">
        <is>
          <t>TRADEWORKS SERVICOS DE COMERCIO EXT 04955748000107</t>
        </is>
      </c>
      <c r="D4575" s="5" t="inlineStr">
        <is>
          <t>ZP</t>
        </is>
      </c>
      <c r="E4575" s="5" t="n">
        <v>2000013203</v>
      </c>
      <c r="F4575" s="5" t="n"/>
      <c r="G4575" s="5" t="inlineStr">
        <is>
          <t>BRL</t>
        </is>
      </c>
      <c r="H4575" s="9" t="n">
        <v>3438.52</v>
      </c>
      <c r="I4575" s="16" t="n">
        <v>46246</v>
      </c>
      <c r="J4575" s="16" t="n">
        <v>46246</v>
      </c>
      <c r="K4575" s="5" t="inlineStr">
        <is>
          <t>0078/26 0078/26</t>
        </is>
      </c>
      <c r="L4575" s="5" t="inlineStr">
        <is>
          <t>12082026</t>
        </is>
      </c>
      <c r="M4575" s="5">
        <f>IF(YEAR(I4575)&lt;=2020,"Até 2020",TEXT(YEAR(I4575),"0"))</f>
        <v/>
      </c>
      <c r="N4575" s="5">
        <f>IFERROR(INDEX(DePara!$A:$A,MATCH(TEXT(B4575,"0"),DePara!$D:$D,0)),"(sem categoria)")</f>
        <v/>
      </c>
      <c r="O4575" s="5">
        <f>IF(J4575="","",Parametros!$B$6-J4575)</f>
        <v/>
      </c>
      <c r="P4575" s="5">
        <f>IF(O4575="","",IF(O4575&gt;0,1,0))</f>
        <v/>
      </c>
    </row>
    <row r="4576">
      <c r="A4576" s="5" t="n">
        <v>1191000000</v>
      </c>
      <c r="B4576" s="5" t="inlineStr">
        <is>
          <t>105984</t>
        </is>
      </c>
      <c r="C4576" s="5" t="inlineStr">
        <is>
          <t>TRADEWORKS SERVICOS DE COMERCIO EXT 04955748000107</t>
        </is>
      </c>
      <c r="D4576" s="5" t="inlineStr">
        <is>
          <t>ZP</t>
        </is>
      </c>
      <c r="E4576" s="5" t="n">
        <v>2000013204</v>
      </c>
      <c r="F4576" s="5" t="n"/>
      <c r="G4576" s="5" t="inlineStr">
        <is>
          <t>BRL</t>
        </is>
      </c>
      <c r="H4576" s="9" t="n">
        <v>5000</v>
      </c>
      <c r="I4576" s="16" t="n">
        <v>46246</v>
      </c>
      <c r="J4576" s="16" t="n">
        <v>46246</v>
      </c>
      <c r="K4576" s="5" t="inlineStr">
        <is>
          <t>SSAOS048918</t>
        </is>
      </c>
      <c r="L4576" s="5" t="inlineStr">
        <is>
          <t>12082026</t>
        </is>
      </c>
      <c r="M4576" s="5">
        <f>IF(YEAR(I4576)&lt;=2020,"Até 2020",TEXT(YEAR(I4576),"0"))</f>
        <v/>
      </c>
      <c r="N4576" s="5">
        <f>IFERROR(INDEX(DePara!$A:$A,MATCH(TEXT(B4576,"0"),DePara!$D:$D,0)),"(sem categoria)")</f>
        <v/>
      </c>
      <c r="O4576" s="5">
        <f>IF(J4576="","",Parametros!$B$6-J4576)</f>
        <v/>
      </c>
      <c r="P4576" s="5">
        <f>IF(O4576="","",IF(O4576&gt;0,1,0))</f>
        <v/>
      </c>
    </row>
    <row r="4577">
      <c r="A4577" s="5" t="n">
        <v>1191000000</v>
      </c>
      <c r="B4577" s="5" t="inlineStr">
        <is>
          <t>105984</t>
        </is>
      </c>
      <c r="C4577" s="5" t="inlineStr">
        <is>
          <t>TRADEWORKS SERVICOS DE COMERCIO EXT 04955748000107</t>
        </is>
      </c>
      <c r="D4577" s="5" t="inlineStr">
        <is>
          <t>ZP</t>
        </is>
      </c>
      <c r="E4577" s="5" t="n">
        <v>2000013205</v>
      </c>
      <c r="F4577" s="5" t="n"/>
      <c r="G4577" s="5" t="inlineStr">
        <is>
          <t>BRL</t>
        </is>
      </c>
      <c r="H4577" s="9" t="n">
        <v>5731.98</v>
      </c>
      <c r="I4577" s="16" t="n">
        <v>46246</v>
      </c>
      <c r="J4577" s="16" t="n">
        <v>46246</v>
      </c>
      <c r="K4577" s="5" t="inlineStr">
        <is>
          <t>0057/26 0057/26</t>
        </is>
      </c>
      <c r="L4577" s="5" t="inlineStr">
        <is>
          <t>12082026</t>
        </is>
      </c>
      <c r="M4577" s="5">
        <f>IF(YEAR(I4577)&lt;=2020,"Até 2020",TEXT(YEAR(I4577),"0"))</f>
        <v/>
      </c>
      <c r="N4577" s="5">
        <f>IFERROR(INDEX(DePara!$A:$A,MATCH(TEXT(B4577,"0"),DePara!$D:$D,0)),"(sem categoria)")</f>
        <v/>
      </c>
      <c r="O4577" s="5">
        <f>IF(J4577="","",Parametros!$B$6-J4577)</f>
        <v/>
      </c>
      <c r="P4577" s="5">
        <f>IF(O4577="","",IF(O4577&gt;0,1,0))</f>
        <v/>
      </c>
    </row>
    <row r="4578">
      <c r="A4578" s="5" t="n">
        <v>1191000000</v>
      </c>
      <c r="B4578" s="5" t="inlineStr">
        <is>
          <t>105984</t>
        </is>
      </c>
      <c r="C4578" s="5" t="inlineStr">
        <is>
          <t>TRADEWORKS SERVICOS DE COMERCIO EXT 04955748000107</t>
        </is>
      </c>
      <c r="D4578" s="5" t="inlineStr">
        <is>
          <t>ZP</t>
        </is>
      </c>
      <c r="E4578" s="5" t="n">
        <v>2000013207</v>
      </c>
      <c r="F4578" s="5" t="n"/>
      <c r="G4578" s="5" t="inlineStr">
        <is>
          <t>BRL</t>
        </is>
      </c>
      <c r="H4578" s="9" t="n">
        <v>7546.67</v>
      </c>
      <c r="I4578" s="16" t="n">
        <v>46246</v>
      </c>
      <c r="J4578" s="16" t="n">
        <v>46246</v>
      </c>
      <c r="K4578" s="5" t="inlineStr">
        <is>
          <t>0048/26 0048/26</t>
        </is>
      </c>
      <c r="L4578" s="5" t="inlineStr">
        <is>
          <t>12082026</t>
        </is>
      </c>
      <c r="M4578" s="5">
        <f>IF(YEAR(I4578)&lt;=2020,"Até 2020",TEXT(YEAR(I4578),"0"))</f>
        <v/>
      </c>
      <c r="N4578" s="5">
        <f>IFERROR(INDEX(DePara!$A:$A,MATCH(TEXT(B4578,"0"),DePara!$D:$D,0)),"(sem categoria)")</f>
        <v/>
      </c>
      <c r="O4578" s="5">
        <f>IF(J4578="","",Parametros!$B$6-J4578)</f>
        <v/>
      </c>
      <c r="P4578" s="5">
        <f>IF(O4578="","",IF(O4578&gt;0,1,0))</f>
        <v/>
      </c>
    </row>
    <row r="4579">
      <c r="A4579" s="5" t="n">
        <v>1191000000</v>
      </c>
      <c r="B4579" s="5" t="inlineStr">
        <is>
          <t>105984</t>
        </is>
      </c>
      <c r="C4579" s="5" t="inlineStr">
        <is>
          <t>TRADEWORKS SERVICOS DE COMERCIO EXT 04955748000107</t>
        </is>
      </c>
      <c r="D4579" s="5" t="inlineStr">
        <is>
          <t>ZP</t>
        </is>
      </c>
      <c r="E4579" s="5" t="n">
        <v>2000013208</v>
      </c>
      <c r="F4579" s="5" t="n"/>
      <c r="G4579" s="5" t="inlineStr">
        <is>
          <t>BRL</t>
        </is>
      </c>
      <c r="H4579" s="9" t="n">
        <v>8572.370000000001</v>
      </c>
      <c r="I4579" s="16" t="n">
        <v>46246</v>
      </c>
      <c r="J4579" s="16" t="n">
        <v>46246</v>
      </c>
      <c r="K4579" s="5" t="inlineStr">
        <is>
          <t>0518/26 0518/26</t>
        </is>
      </c>
      <c r="L4579" s="5" t="inlineStr">
        <is>
          <t>12082026</t>
        </is>
      </c>
      <c r="M4579" s="5">
        <f>IF(YEAR(I4579)&lt;=2020,"Até 2020",TEXT(YEAR(I4579),"0"))</f>
        <v/>
      </c>
      <c r="N4579" s="5">
        <f>IFERROR(INDEX(DePara!$A:$A,MATCH(TEXT(B4579,"0"),DePara!$D:$D,0)),"(sem categoria)")</f>
        <v/>
      </c>
      <c r="O4579" s="5">
        <f>IF(J4579="","",Parametros!$B$6-J4579)</f>
        <v/>
      </c>
      <c r="P4579" s="5">
        <f>IF(O4579="","",IF(O4579&gt;0,1,0))</f>
        <v/>
      </c>
    </row>
    <row r="4580">
      <c r="A4580" s="5" t="n">
        <v>1191000000</v>
      </c>
      <c r="B4580" s="5" t="inlineStr">
        <is>
          <t>105984</t>
        </is>
      </c>
      <c r="C4580" s="5" t="inlineStr">
        <is>
          <t>TRADEWORKS SERVICOS DE COMERCIO EXT 04955748000107</t>
        </is>
      </c>
      <c r="D4580" s="5" t="inlineStr">
        <is>
          <t>ZP</t>
        </is>
      </c>
      <c r="E4580" s="5" t="n">
        <v>2000013210</v>
      </c>
      <c r="F4580" s="5" t="n"/>
      <c r="G4580" s="5" t="inlineStr">
        <is>
          <t>BRL</t>
        </is>
      </c>
      <c r="H4580" s="9" t="n">
        <v>9370</v>
      </c>
      <c r="I4580" s="16" t="n">
        <v>46246</v>
      </c>
      <c r="J4580" s="16" t="n">
        <v>46246</v>
      </c>
      <c r="K4580" s="5" t="inlineStr">
        <is>
          <t>0515/26 0515/26</t>
        </is>
      </c>
      <c r="L4580" s="5" t="inlineStr">
        <is>
          <t>12082026</t>
        </is>
      </c>
      <c r="M4580" s="5">
        <f>IF(YEAR(I4580)&lt;=2020,"Até 2020",TEXT(YEAR(I4580),"0"))</f>
        <v/>
      </c>
      <c r="N4580" s="5">
        <f>IFERROR(INDEX(DePara!$A:$A,MATCH(TEXT(B4580,"0"),DePara!$D:$D,0)),"(sem categoria)")</f>
        <v/>
      </c>
      <c r="O4580" s="5">
        <f>IF(J4580="","",Parametros!$B$6-J4580)</f>
        <v/>
      </c>
      <c r="P4580" s="5">
        <f>IF(O4580="","",IF(O4580&gt;0,1,0))</f>
        <v/>
      </c>
    </row>
    <row r="4581">
      <c r="A4581" s="5" t="n">
        <v>1191000000</v>
      </c>
      <c r="B4581" s="5" t="inlineStr">
        <is>
          <t>105984</t>
        </is>
      </c>
      <c r="C4581" s="5" t="inlineStr">
        <is>
          <t>TRADEWORKS SERVICOS DE COMERCIO EXT 04955748000107</t>
        </is>
      </c>
      <c r="D4581" s="5" t="inlineStr">
        <is>
          <t>ZP</t>
        </is>
      </c>
      <c r="E4581" s="5" t="n">
        <v>2000013211</v>
      </c>
      <c r="F4581" s="5" t="n"/>
      <c r="G4581" s="5" t="inlineStr">
        <is>
          <t>BRL</t>
        </is>
      </c>
      <c r="H4581" s="9" t="n">
        <v>9855.09</v>
      </c>
      <c r="I4581" s="16" t="n">
        <v>46246</v>
      </c>
      <c r="J4581" s="16" t="n">
        <v>46246</v>
      </c>
      <c r="K4581" s="5" t="inlineStr">
        <is>
          <t>0047/26 0047/26</t>
        </is>
      </c>
      <c r="L4581" s="5" t="inlineStr">
        <is>
          <t>12082026</t>
        </is>
      </c>
      <c r="M4581" s="5">
        <f>IF(YEAR(I4581)&lt;=2020,"Até 2020",TEXT(YEAR(I4581),"0"))</f>
        <v/>
      </c>
      <c r="N4581" s="5">
        <f>IFERROR(INDEX(DePara!$A:$A,MATCH(TEXT(B4581,"0"),DePara!$D:$D,0)),"(sem categoria)")</f>
        <v/>
      </c>
      <c r="O4581" s="5">
        <f>IF(J4581="","",Parametros!$B$6-J4581)</f>
        <v/>
      </c>
      <c r="P4581" s="5">
        <f>IF(O4581="","",IF(O4581&gt;0,1,0))</f>
        <v/>
      </c>
    </row>
    <row r="4582">
      <c r="A4582" s="5" t="n">
        <v>1191000000</v>
      </c>
      <c r="B4582" s="5" t="inlineStr">
        <is>
          <t>105984</t>
        </is>
      </c>
      <c r="C4582" s="5" t="inlineStr">
        <is>
          <t>TRADEWORKS SERVICOS DE COMERCIO EXT 04955748000107</t>
        </is>
      </c>
      <c r="D4582" s="5" t="inlineStr">
        <is>
          <t>ZP</t>
        </is>
      </c>
      <c r="E4582" s="5" t="n">
        <v>2000013213</v>
      </c>
      <c r="F4582" s="5" t="n"/>
      <c r="G4582" s="5" t="inlineStr">
        <is>
          <t>BRL</t>
        </is>
      </c>
      <c r="H4582" s="9" t="n">
        <v>10836.93</v>
      </c>
      <c r="I4582" s="16" t="n">
        <v>46246</v>
      </c>
      <c r="J4582" s="16" t="n">
        <v>46246</v>
      </c>
      <c r="K4582" s="5" t="inlineStr">
        <is>
          <t>0517/26 0517/26</t>
        </is>
      </c>
      <c r="L4582" s="5" t="inlineStr">
        <is>
          <t>12082026</t>
        </is>
      </c>
      <c r="M4582" s="5">
        <f>IF(YEAR(I4582)&lt;=2020,"Até 2020",TEXT(YEAR(I4582),"0"))</f>
        <v/>
      </c>
      <c r="N4582" s="5">
        <f>IFERROR(INDEX(DePara!$A:$A,MATCH(TEXT(B4582,"0"),DePara!$D:$D,0)),"(sem categoria)")</f>
        <v/>
      </c>
      <c r="O4582" s="5">
        <f>IF(J4582="","",Parametros!$B$6-J4582)</f>
        <v/>
      </c>
      <c r="P4582" s="5">
        <f>IF(O4582="","",IF(O4582&gt;0,1,0))</f>
        <v/>
      </c>
    </row>
    <row r="4583">
      <c r="A4583" s="5" t="n">
        <v>1191000000</v>
      </c>
      <c r="B4583" s="5" t="inlineStr">
        <is>
          <t>105984</t>
        </is>
      </c>
      <c r="C4583" s="5" t="inlineStr">
        <is>
          <t>TRADEWORKS SERVICOS DE COMERCIO EXT 04955748000107</t>
        </is>
      </c>
      <c r="D4583" s="5" t="inlineStr">
        <is>
          <t>ZP</t>
        </is>
      </c>
      <c r="E4583" s="5" t="n">
        <v>2000013215</v>
      </c>
      <c r="F4583" s="5" t="n"/>
      <c r="G4583" s="5" t="inlineStr">
        <is>
          <t>BRL</t>
        </is>
      </c>
      <c r="H4583" s="9" t="n">
        <v>11091.26</v>
      </c>
      <c r="I4583" s="16" t="n">
        <v>46246</v>
      </c>
      <c r="J4583" s="16" t="n">
        <v>46246</v>
      </c>
      <c r="K4583" s="5" t="inlineStr">
        <is>
          <t>0052/26 0052/26</t>
        </is>
      </c>
      <c r="L4583" s="5" t="inlineStr">
        <is>
          <t>12082026</t>
        </is>
      </c>
      <c r="M4583" s="5">
        <f>IF(YEAR(I4583)&lt;=2020,"Até 2020",TEXT(YEAR(I4583),"0"))</f>
        <v/>
      </c>
      <c r="N4583" s="5">
        <f>IFERROR(INDEX(DePara!$A:$A,MATCH(TEXT(B4583,"0"),DePara!$D:$D,0)),"(sem categoria)")</f>
        <v/>
      </c>
      <c r="O4583" s="5">
        <f>IF(J4583="","",Parametros!$B$6-J4583)</f>
        <v/>
      </c>
      <c r="P4583" s="5">
        <f>IF(O4583="","",IF(O4583&gt;0,1,0))</f>
        <v/>
      </c>
    </row>
    <row r="4584">
      <c r="A4584" s="5" t="n">
        <v>1191000000</v>
      </c>
      <c r="B4584" s="5" t="inlineStr">
        <is>
          <t>105984</t>
        </is>
      </c>
      <c r="C4584" s="5" t="inlineStr">
        <is>
          <t>TRADEWORKS SERVICOS DE COMERCIO EXT 04955748000107</t>
        </is>
      </c>
      <c r="D4584" s="5" t="inlineStr">
        <is>
          <t>ZP</t>
        </is>
      </c>
      <c r="E4584" s="5" t="n">
        <v>2000013219</v>
      </c>
      <c r="F4584" s="5" t="n"/>
      <c r="G4584" s="5" t="inlineStr">
        <is>
          <t>BRL</t>
        </is>
      </c>
      <c r="H4584" s="9" t="n">
        <v>14910.85</v>
      </c>
      <c r="I4584" s="16" t="n">
        <v>46246</v>
      </c>
      <c r="J4584" s="16" t="n">
        <v>46246</v>
      </c>
      <c r="K4584" s="5" t="inlineStr">
        <is>
          <t>0017/26 0017/26</t>
        </is>
      </c>
      <c r="L4584" s="5" t="inlineStr">
        <is>
          <t>12082026</t>
        </is>
      </c>
      <c r="M4584" s="5">
        <f>IF(YEAR(I4584)&lt;=2020,"Até 2020",TEXT(YEAR(I4584),"0"))</f>
        <v/>
      </c>
      <c r="N4584" s="5">
        <f>IFERROR(INDEX(DePara!$A:$A,MATCH(TEXT(B4584,"0"),DePara!$D:$D,0)),"(sem categoria)")</f>
        <v/>
      </c>
      <c r="O4584" s="5">
        <f>IF(J4584="","",Parametros!$B$6-J4584)</f>
        <v/>
      </c>
      <c r="P4584" s="5">
        <f>IF(O4584="","",IF(O4584&gt;0,1,0))</f>
        <v/>
      </c>
    </row>
    <row r="4585">
      <c r="A4585" s="5" t="n">
        <v>1191000000</v>
      </c>
      <c r="B4585" s="5" t="inlineStr">
        <is>
          <t>105984</t>
        </is>
      </c>
      <c r="C4585" s="5" t="inlineStr">
        <is>
          <t>TRADEWORKS SERVICOS DE COMERCIO EXT 04955748000107</t>
        </is>
      </c>
      <c r="D4585" s="5" t="inlineStr">
        <is>
          <t>ZP</t>
        </is>
      </c>
      <c r="E4585" s="5" t="n">
        <v>2000013222</v>
      </c>
      <c r="F4585" s="5" t="n"/>
      <c r="G4585" s="5" t="inlineStr">
        <is>
          <t>BRL</t>
        </is>
      </c>
      <c r="H4585" s="9" t="n">
        <v>16500</v>
      </c>
      <c r="I4585" s="16" t="n">
        <v>46246</v>
      </c>
      <c r="J4585" s="16" t="n">
        <v>46246</v>
      </c>
      <c r="K4585" s="5" t="inlineStr">
        <is>
          <t>96002681, 96002685 - DI 20/1191977-0</t>
        </is>
      </c>
      <c r="L4585" s="5" t="inlineStr">
        <is>
          <t>12082026</t>
        </is>
      </c>
      <c r="M4585" s="5">
        <f>IF(YEAR(I4585)&lt;=2020,"Até 2020",TEXT(YEAR(I4585),"0"))</f>
        <v/>
      </c>
      <c r="N4585" s="5">
        <f>IFERROR(INDEX(DePara!$A:$A,MATCH(TEXT(B4585,"0"),DePara!$D:$D,0)),"(sem categoria)")</f>
        <v/>
      </c>
      <c r="O4585" s="5">
        <f>IF(J4585="","",Parametros!$B$6-J4585)</f>
        <v/>
      </c>
      <c r="P4585" s="5">
        <f>IF(O4585="","",IF(O4585&gt;0,1,0))</f>
        <v/>
      </c>
    </row>
    <row r="4586">
      <c r="A4586" s="5" t="n">
        <v>1191000000</v>
      </c>
      <c r="B4586" s="5" t="inlineStr">
        <is>
          <t>105984</t>
        </is>
      </c>
      <c r="C4586" s="5" t="inlineStr">
        <is>
          <t>TRADEWORKS SERVICOS DE COMERCIO EXT 04955748000107</t>
        </is>
      </c>
      <c r="D4586" s="5" t="inlineStr">
        <is>
          <t>ZP</t>
        </is>
      </c>
      <c r="E4586" s="5" t="n">
        <v>2000013226</v>
      </c>
      <c r="F4586" s="5" t="n"/>
      <c r="G4586" s="5" t="inlineStr">
        <is>
          <t>BRL</t>
        </is>
      </c>
      <c r="H4586" s="9" t="n">
        <v>23874.57</v>
      </c>
      <c r="I4586" s="16" t="n">
        <v>46246</v>
      </c>
      <c r="J4586" s="16" t="n">
        <v>46246</v>
      </c>
      <c r="K4586" s="5" t="inlineStr">
        <is>
          <t>0520/26 0520/26</t>
        </is>
      </c>
      <c r="L4586" s="5" t="inlineStr">
        <is>
          <t>12082026</t>
        </is>
      </c>
      <c r="M4586" s="5">
        <f>IF(YEAR(I4586)&lt;=2020,"Até 2020",TEXT(YEAR(I4586),"0"))</f>
        <v/>
      </c>
      <c r="N4586" s="5">
        <f>IFERROR(INDEX(DePara!$A:$A,MATCH(TEXT(B4586,"0"),DePara!$D:$D,0)),"(sem categoria)")</f>
        <v/>
      </c>
      <c r="O4586" s="5">
        <f>IF(J4586="","",Parametros!$B$6-J4586)</f>
        <v/>
      </c>
      <c r="P4586" s="5">
        <f>IF(O4586="","",IF(O4586&gt;0,1,0))</f>
        <v/>
      </c>
    </row>
    <row r="4587">
      <c r="A4587" s="5" t="n">
        <v>1191000000</v>
      </c>
      <c r="B4587" s="5" t="inlineStr">
        <is>
          <t>105984</t>
        </is>
      </c>
      <c r="C4587" s="5" t="inlineStr">
        <is>
          <t>TRADEWORKS SERVICOS DE COMERCIO EXT 04955748000107</t>
        </is>
      </c>
      <c r="D4587" s="5" t="inlineStr">
        <is>
          <t>ZP</t>
        </is>
      </c>
      <c r="E4587" s="5" t="n">
        <v>2000013228</v>
      </c>
      <c r="F4587" s="5" t="n"/>
      <c r="G4587" s="5" t="inlineStr">
        <is>
          <t>BRL</t>
        </is>
      </c>
      <c r="H4587" s="9" t="n">
        <v>30000</v>
      </c>
      <c r="I4587" s="16" t="n">
        <v>46246</v>
      </c>
      <c r="J4587" s="16" t="n">
        <v>46246</v>
      </c>
      <c r="K4587" s="5" t="inlineStr">
        <is>
          <t>Documento fornecedor TRADEWORKS SERVICOS DE COMERC</t>
        </is>
      </c>
      <c r="L4587" s="5" t="inlineStr">
        <is>
          <t>12082026</t>
        </is>
      </c>
      <c r="M4587" s="5">
        <f>IF(YEAR(I4587)&lt;=2020,"Até 2020",TEXT(YEAR(I4587),"0"))</f>
        <v/>
      </c>
      <c r="N4587" s="5">
        <f>IFERROR(INDEX(DePara!$A:$A,MATCH(TEXT(B4587,"0"),DePara!$D:$D,0)),"(sem categoria)")</f>
        <v/>
      </c>
      <c r="O4587" s="5">
        <f>IF(J4587="","",Parametros!$B$6-J4587)</f>
        <v/>
      </c>
      <c r="P4587" s="5">
        <f>IF(O4587="","",IF(O4587&gt;0,1,0))</f>
        <v/>
      </c>
    </row>
    <row r="4588">
      <c r="A4588" s="5" t="n">
        <v>1191000000</v>
      </c>
      <c r="B4588" s="5" t="inlineStr">
        <is>
          <t>105984</t>
        </is>
      </c>
      <c r="C4588" s="5" t="inlineStr">
        <is>
          <t>TRADEWORKS SERVICOS DE COMERCIO EXT 04955748000107</t>
        </is>
      </c>
      <c r="D4588" s="5" t="inlineStr">
        <is>
          <t>ZP</t>
        </is>
      </c>
      <c r="E4588" s="5" t="n">
        <v>2000013229</v>
      </c>
      <c r="F4588" s="5" t="n"/>
      <c r="G4588" s="5" t="inlineStr">
        <is>
          <t>BRL</t>
        </is>
      </c>
      <c r="H4588" s="9" t="n">
        <v>46000</v>
      </c>
      <c r="I4588" s="16" t="n">
        <v>46246</v>
      </c>
      <c r="J4588" s="16" t="n">
        <v>46246</v>
      </c>
      <c r="K4588" s="5" t="inlineStr">
        <is>
          <t>REEXPORTAÇÃO</t>
        </is>
      </c>
      <c r="L4588" s="5" t="inlineStr">
        <is>
          <t>12082026</t>
        </is>
      </c>
      <c r="M4588" s="5">
        <f>IF(YEAR(I4588)&lt;=2020,"Até 2020",TEXT(YEAR(I4588),"0"))</f>
        <v/>
      </c>
      <c r="N4588" s="5">
        <f>IFERROR(INDEX(DePara!$A:$A,MATCH(TEXT(B4588,"0"),DePara!$D:$D,0)),"(sem categoria)")</f>
        <v/>
      </c>
      <c r="O4588" s="5">
        <f>IF(J4588="","",Parametros!$B$6-J4588)</f>
        <v/>
      </c>
      <c r="P4588" s="5">
        <f>IF(O4588="","",IF(O4588&gt;0,1,0))</f>
        <v/>
      </c>
    </row>
    <row r="4589">
      <c r="A4589" s="5" t="n">
        <v>1191000000</v>
      </c>
      <c r="B4589" s="5" t="inlineStr">
        <is>
          <t>105984</t>
        </is>
      </c>
      <c r="C4589" s="5" t="inlineStr">
        <is>
          <t>TRADEWORKS SERVICOS DE COMERCIO EXT 04955748000107</t>
        </is>
      </c>
      <c r="D4589" s="5" t="inlineStr">
        <is>
          <t>ZP</t>
        </is>
      </c>
      <c r="E4589" s="5" t="n">
        <v>2000013232</v>
      </c>
      <c r="F4589" s="5" t="n"/>
      <c r="G4589" s="5" t="inlineStr">
        <is>
          <t>BRL</t>
        </is>
      </c>
      <c r="H4589" s="9" t="n">
        <v>81512.88</v>
      </c>
      <c r="I4589" s="16" t="n">
        <v>46246</v>
      </c>
      <c r="J4589" s="16" t="n">
        <v>46246</v>
      </c>
      <c r="K4589" s="5" t="inlineStr">
        <is>
          <t>0519/26 0519/26</t>
        </is>
      </c>
      <c r="L4589" s="5" t="inlineStr">
        <is>
          <t>12082026</t>
        </is>
      </c>
      <c r="M4589" s="5">
        <f>IF(YEAR(I4589)&lt;=2020,"Até 2020",TEXT(YEAR(I4589),"0"))</f>
        <v/>
      </c>
      <c r="N4589" s="5">
        <f>IFERROR(INDEX(DePara!$A:$A,MATCH(TEXT(B4589,"0"),DePara!$D:$D,0)),"(sem categoria)")</f>
        <v/>
      </c>
      <c r="O4589" s="5">
        <f>IF(J4589="","",Parametros!$B$6-J4589)</f>
        <v/>
      </c>
      <c r="P4589" s="5">
        <f>IF(O4589="","",IF(O4589&gt;0,1,0))</f>
        <v/>
      </c>
    </row>
    <row r="4590">
      <c r="A4590" s="5" t="n">
        <v>1191000000</v>
      </c>
      <c r="B4590" s="5" t="inlineStr">
        <is>
          <t>105984</t>
        </is>
      </c>
      <c r="C4590" s="5" t="inlineStr">
        <is>
          <t>TRADEWORKS SERVICOS DE COMERCIO EXT 04955748000107</t>
        </is>
      </c>
      <c r="D4590" s="5" t="inlineStr">
        <is>
          <t>ZP</t>
        </is>
      </c>
      <c r="E4590" s="5" t="n">
        <v>2000013441</v>
      </c>
      <c r="F4590" s="5" t="n"/>
      <c r="G4590" s="5" t="inlineStr">
        <is>
          <t>BRL</t>
        </is>
      </c>
      <c r="H4590" s="9" t="n">
        <v>7403.26</v>
      </c>
      <c r="I4590" s="16" t="n">
        <v>46253</v>
      </c>
      <c r="J4590" s="16" t="n">
        <v>46253</v>
      </c>
      <c r="K4590" s="5" t="inlineStr">
        <is>
          <t>0531/26 0531/26</t>
        </is>
      </c>
      <c r="L4590" s="5" t="inlineStr">
        <is>
          <t>19082026</t>
        </is>
      </c>
      <c r="M4590" s="5">
        <f>IF(YEAR(I4590)&lt;=2020,"Até 2020",TEXT(YEAR(I4590),"0"))</f>
        <v/>
      </c>
      <c r="N4590" s="5">
        <f>IFERROR(INDEX(DePara!$A:$A,MATCH(TEXT(B4590,"0"),DePara!$D:$D,0)),"(sem categoria)")</f>
        <v/>
      </c>
      <c r="O4590" s="5">
        <f>IF(J4590="","",Parametros!$B$6-J4590)</f>
        <v/>
      </c>
      <c r="P4590" s="5">
        <f>IF(O4590="","",IF(O4590&gt;0,1,0))</f>
        <v/>
      </c>
    </row>
    <row r="4591">
      <c r="A4591" s="5" t="n">
        <v>1191000000</v>
      </c>
      <c r="B4591" s="5" t="inlineStr">
        <is>
          <t>105984</t>
        </is>
      </c>
      <c r="C4591" s="5" t="inlineStr">
        <is>
          <t>TRADEWORKS SERVICOS DE COMERCIO EXT 04955748000107</t>
        </is>
      </c>
      <c r="D4591" s="5" t="inlineStr">
        <is>
          <t>ZP</t>
        </is>
      </c>
      <c r="E4591" s="5" t="n">
        <v>2000013442</v>
      </c>
      <c r="F4591" s="5" t="n"/>
      <c r="G4591" s="5" t="inlineStr">
        <is>
          <t>BRL</t>
        </is>
      </c>
      <c r="H4591" s="9" t="n">
        <v>10515.86</v>
      </c>
      <c r="I4591" s="16" t="n">
        <v>46253</v>
      </c>
      <c r="J4591" s="16" t="n">
        <v>46253</v>
      </c>
      <c r="K4591" s="5" t="inlineStr">
        <is>
          <t>0533/26 0533/26</t>
        </is>
      </c>
      <c r="L4591" s="5" t="inlineStr">
        <is>
          <t>19082026</t>
        </is>
      </c>
      <c r="M4591" s="5">
        <f>IF(YEAR(I4591)&lt;=2020,"Até 2020",TEXT(YEAR(I4591),"0"))</f>
        <v/>
      </c>
      <c r="N4591" s="5">
        <f>IFERROR(INDEX(DePara!$A:$A,MATCH(TEXT(B4591,"0"),DePara!$D:$D,0)),"(sem categoria)")</f>
        <v/>
      </c>
      <c r="O4591" s="5">
        <f>IF(J4591="","",Parametros!$B$6-J4591)</f>
        <v/>
      </c>
      <c r="P4591" s="5">
        <f>IF(O4591="","",IF(O4591&gt;0,1,0))</f>
        <v/>
      </c>
    </row>
    <row r="4592">
      <c r="A4592" s="5" t="n">
        <v>1191000000</v>
      </c>
      <c r="B4592" s="5" t="inlineStr">
        <is>
          <t>105984</t>
        </is>
      </c>
      <c r="C4592" s="5" t="inlineStr">
        <is>
          <t>TRADEWORKS SERVICOS DE COMERCIO EXT 04955748000107</t>
        </is>
      </c>
      <c r="D4592" s="5" t="inlineStr">
        <is>
          <t>ZP</t>
        </is>
      </c>
      <c r="E4592" s="5" t="n">
        <v>2000013443</v>
      </c>
      <c r="F4592" s="5" t="n"/>
      <c r="G4592" s="5" t="inlineStr">
        <is>
          <t>BRL</t>
        </is>
      </c>
      <c r="H4592" s="9" t="n">
        <v>11418.2</v>
      </c>
      <c r="I4592" s="16" t="n">
        <v>46253</v>
      </c>
      <c r="J4592" s="16" t="n">
        <v>46253</v>
      </c>
      <c r="K4592" s="5" t="inlineStr">
        <is>
          <t>0529/26 0529/26</t>
        </is>
      </c>
      <c r="L4592" s="5" t="inlineStr">
        <is>
          <t>19082026</t>
        </is>
      </c>
      <c r="M4592" s="5">
        <f>IF(YEAR(I4592)&lt;=2020,"Até 2020",TEXT(YEAR(I4592),"0"))</f>
        <v/>
      </c>
      <c r="N4592" s="5">
        <f>IFERROR(INDEX(DePara!$A:$A,MATCH(TEXT(B4592,"0"),DePara!$D:$D,0)),"(sem categoria)")</f>
        <v/>
      </c>
      <c r="O4592" s="5">
        <f>IF(J4592="","",Parametros!$B$6-J4592)</f>
        <v/>
      </c>
      <c r="P4592" s="5">
        <f>IF(O4592="","",IF(O4592&gt;0,1,0))</f>
        <v/>
      </c>
    </row>
    <row r="4593">
      <c r="A4593" s="5" t="n">
        <v>1191000000</v>
      </c>
      <c r="B4593" s="5" t="inlineStr">
        <is>
          <t>105984</t>
        </is>
      </c>
      <c r="C4593" s="5" t="inlineStr">
        <is>
          <t>TRADEWORKS SERVICOS DE COMERCIO EXT 04955748000107</t>
        </is>
      </c>
      <c r="D4593" s="5" t="inlineStr">
        <is>
          <t>ZP</t>
        </is>
      </c>
      <c r="E4593" s="5" t="n">
        <v>2000013445</v>
      </c>
      <c r="F4593" s="5" t="n"/>
      <c r="G4593" s="5" t="inlineStr">
        <is>
          <t>BRL</t>
        </is>
      </c>
      <c r="H4593" s="9" t="n">
        <v>12060.57</v>
      </c>
      <c r="I4593" s="16" t="n">
        <v>46253</v>
      </c>
      <c r="J4593" s="16" t="n">
        <v>46253</v>
      </c>
      <c r="K4593" s="5" t="inlineStr">
        <is>
          <t>0523/26 0523/26</t>
        </is>
      </c>
      <c r="L4593" s="5" t="inlineStr">
        <is>
          <t>19082026</t>
        </is>
      </c>
      <c r="M4593" s="5">
        <f>IF(YEAR(I4593)&lt;=2020,"Até 2020",TEXT(YEAR(I4593),"0"))</f>
        <v/>
      </c>
      <c r="N4593" s="5">
        <f>IFERROR(INDEX(DePara!$A:$A,MATCH(TEXT(B4593,"0"),DePara!$D:$D,0)),"(sem categoria)")</f>
        <v/>
      </c>
      <c r="O4593" s="5">
        <f>IF(J4593="","",Parametros!$B$6-J4593)</f>
        <v/>
      </c>
      <c r="P4593" s="5">
        <f>IF(O4593="","",IF(O4593&gt;0,1,0))</f>
        <v/>
      </c>
    </row>
    <row r="4594">
      <c r="A4594" s="5" t="n">
        <v>1191000000</v>
      </c>
      <c r="B4594" s="5" t="inlineStr">
        <is>
          <t>105984</t>
        </is>
      </c>
      <c r="C4594" s="5" t="inlineStr">
        <is>
          <t>TRADEWORKS SERVICOS DE COMERCIO EXT 04955748000107</t>
        </is>
      </c>
      <c r="D4594" s="5" t="inlineStr">
        <is>
          <t>ZP</t>
        </is>
      </c>
      <c r="E4594" s="5" t="n">
        <v>2000013446</v>
      </c>
      <c r="F4594" s="5" t="n"/>
      <c r="G4594" s="5" t="inlineStr">
        <is>
          <t>BRL</t>
        </is>
      </c>
      <c r="H4594" s="9" t="n">
        <v>12354.63</v>
      </c>
      <c r="I4594" s="16" t="n">
        <v>46253</v>
      </c>
      <c r="J4594" s="16" t="n">
        <v>46253</v>
      </c>
      <c r="K4594" s="5" t="inlineStr">
        <is>
          <t>0528/26 0528/26</t>
        </is>
      </c>
      <c r="L4594" s="5" t="inlineStr">
        <is>
          <t>19082026</t>
        </is>
      </c>
      <c r="M4594" s="5">
        <f>IF(YEAR(I4594)&lt;=2020,"Até 2020",TEXT(YEAR(I4594),"0"))</f>
        <v/>
      </c>
      <c r="N4594" s="5">
        <f>IFERROR(INDEX(DePara!$A:$A,MATCH(TEXT(B4594,"0"),DePara!$D:$D,0)),"(sem categoria)")</f>
        <v/>
      </c>
      <c r="O4594" s="5">
        <f>IF(J4594="","",Parametros!$B$6-J4594)</f>
        <v/>
      </c>
      <c r="P4594" s="5">
        <f>IF(O4594="","",IF(O4594&gt;0,1,0))</f>
        <v/>
      </c>
    </row>
    <row r="4595">
      <c r="A4595" s="5" t="n">
        <v>1191000000</v>
      </c>
      <c r="B4595" s="5" t="inlineStr">
        <is>
          <t>105984</t>
        </is>
      </c>
      <c r="C4595" s="5" t="inlineStr">
        <is>
          <t>TRADEWORKS SERVICOS DE COMERCIO EXT 04955748000107</t>
        </is>
      </c>
      <c r="D4595" s="5" t="inlineStr">
        <is>
          <t>ZP</t>
        </is>
      </c>
      <c r="E4595" s="5" t="n">
        <v>2000013447</v>
      </c>
      <c r="F4595" s="5" t="n"/>
      <c r="G4595" s="5" t="inlineStr">
        <is>
          <t>BRL</t>
        </is>
      </c>
      <c r="H4595" s="9" t="n">
        <v>12919.48</v>
      </c>
      <c r="I4595" s="16" t="n">
        <v>46253</v>
      </c>
      <c r="J4595" s="16" t="n">
        <v>46253</v>
      </c>
      <c r="K4595" s="5" t="inlineStr">
        <is>
          <t>0530/26 0530/26</t>
        </is>
      </c>
      <c r="L4595" s="5" t="inlineStr">
        <is>
          <t>19082026</t>
        </is>
      </c>
      <c r="M4595" s="5">
        <f>IF(YEAR(I4595)&lt;=2020,"Até 2020",TEXT(YEAR(I4595),"0"))</f>
        <v/>
      </c>
      <c r="N4595" s="5">
        <f>IFERROR(INDEX(DePara!$A:$A,MATCH(TEXT(B4595,"0"),DePara!$D:$D,0)),"(sem categoria)")</f>
        <v/>
      </c>
      <c r="O4595" s="5">
        <f>IF(J4595="","",Parametros!$B$6-J4595)</f>
        <v/>
      </c>
      <c r="P4595" s="5">
        <f>IF(O4595="","",IF(O4595&gt;0,1,0))</f>
        <v/>
      </c>
    </row>
    <row r="4596">
      <c r="A4596" s="5" t="n">
        <v>1191000000</v>
      </c>
      <c r="B4596" s="5" t="inlineStr">
        <is>
          <t>105984</t>
        </is>
      </c>
      <c r="C4596" s="5" t="inlineStr">
        <is>
          <t>TRADEWORKS SERVICOS DE COMERCIO EXT 04955748000107</t>
        </is>
      </c>
      <c r="D4596" s="5" t="inlineStr">
        <is>
          <t>ZP</t>
        </is>
      </c>
      <c r="E4596" s="5" t="n">
        <v>2000013448</v>
      </c>
      <c r="F4596" s="5" t="n"/>
      <c r="G4596" s="5" t="inlineStr">
        <is>
          <t>BRL</t>
        </is>
      </c>
      <c r="H4596" s="9" t="n">
        <v>13725.6</v>
      </c>
      <c r="I4596" s="16" t="n">
        <v>46253</v>
      </c>
      <c r="J4596" s="16" t="n">
        <v>46253</v>
      </c>
      <c r="K4596" s="5" t="inlineStr">
        <is>
          <t>0525/26 0525/26</t>
        </is>
      </c>
      <c r="L4596" s="5" t="inlineStr">
        <is>
          <t>19082026</t>
        </is>
      </c>
      <c r="M4596" s="5">
        <f>IF(YEAR(I4596)&lt;=2020,"Até 2020",TEXT(YEAR(I4596),"0"))</f>
        <v/>
      </c>
      <c r="N4596" s="5">
        <f>IFERROR(INDEX(DePara!$A:$A,MATCH(TEXT(B4596,"0"),DePara!$D:$D,0)),"(sem categoria)")</f>
        <v/>
      </c>
      <c r="O4596" s="5">
        <f>IF(J4596="","",Parametros!$B$6-J4596)</f>
        <v/>
      </c>
      <c r="P4596" s="5">
        <f>IF(O4596="","",IF(O4596&gt;0,1,0))</f>
        <v/>
      </c>
    </row>
    <row r="4597">
      <c r="A4597" s="5" t="n">
        <v>1191000000</v>
      </c>
      <c r="B4597" s="5" t="inlineStr">
        <is>
          <t>105984</t>
        </is>
      </c>
      <c r="C4597" s="5" t="inlineStr">
        <is>
          <t>TRADEWORKS SERVICOS DE COMERCIO EXT 04955748000107</t>
        </is>
      </c>
      <c r="D4597" s="5" t="inlineStr">
        <is>
          <t>ZP</t>
        </is>
      </c>
      <c r="E4597" s="5" t="n">
        <v>2000013449</v>
      </c>
      <c r="F4597" s="5" t="n"/>
      <c r="G4597" s="5" t="inlineStr">
        <is>
          <t>BRL</t>
        </is>
      </c>
      <c r="H4597" s="9" t="n">
        <v>18040.2</v>
      </c>
      <c r="I4597" s="16" t="n">
        <v>46253</v>
      </c>
      <c r="J4597" s="16" t="n">
        <v>46253</v>
      </c>
      <c r="K4597" s="5" t="inlineStr">
        <is>
          <t>0534/26 0534/26</t>
        </is>
      </c>
      <c r="L4597" s="5" t="inlineStr">
        <is>
          <t>19082026</t>
        </is>
      </c>
      <c r="M4597" s="5">
        <f>IF(YEAR(I4597)&lt;=2020,"Até 2020",TEXT(YEAR(I4597),"0"))</f>
        <v/>
      </c>
      <c r="N4597" s="5">
        <f>IFERROR(INDEX(DePara!$A:$A,MATCH(TEXT(B4597,"0"),DePara!$D:$D,0)),"(sem categoria)")</f>
        <v/>
      </c>
      <c r="O4597" s="5">
        <f>IF(J4597="","",Parametros!$B$6-J4597)</f>
        <v/>
      </c>
      <c r="P4597" s="5">
        <f>IF(O4597="","",IF(O4597&gt;0,1,0))</f>
        <v/>
      </c>
    </row>
    <row r="4598">
      <c r="A4598" s="5" t="n">
        <v>1191000000</v>
      </c>
      <c r="B4598" s="5" t="inlineStr">
        <is>
          <t>105984</t>
        </is>
      </c>
      <c r="C4598" s="5" t="inlineStr">
        <is>
          <t>TRADEWORKS SERVICOS DE COMERCIO EXT 04955748000107</t>
        </is>
      </c>
      <c r="D4598" s="5" t="inlineStr">
        <is>
          <t>ZP</t>
        </is>
      </c>
      <c r="E4598" s="5" t="n">
        <v>2000013450</v>
      </c>
      <c r="F4598" s="5" t="n"/>
      <c r="G4598" s="5" t="inlineStr">
        <is>
          <t>BRL</t>
        </is>
      </c>
      <c r="H4598" s="9" t="n">
        <v>28991.19</v>
      </c>
      <c r="I4598" s="16" t="n">
        <v>46253</v>
      </c>
      <c r="J4598" s="16" t="n">
        <v>46253</v>
      </c>
      <c r="K4598" s="5" t="inlineStr">
        <is>
          <t>0532/26 0532/26</t>
        </is>
      </c>
      <c r="L4598" s="5" t="inlineStr">
        <is>
          <t>19082026</t>
        </is>
      </c>
      <c r="M4598" s="5">
        <f>IF(YEAR(I4598)&lt;=2020,"Até 2020",TEXT(YEAR(I4598),"0"))</f>
        <v/>
      </c>
      <c r="N4598" s="5">
        <f>IFERROR(INDEX(DePara!$A:$A,MATCH(TEXT(B4598,"0"),DePara!$D:$D,0)),"(sem categoria)")</f>
        <v/>
      </c>
      <c r="O4598" s="5">
        <f>IF(J4598="","",Parametros!$B$6-J4598)</f>
        <v/>
      </c>
      <c r="P4598" s="5">
        <f>IF(O4598="","",IF(O4598&gt;0,1,0))</f>
        <v/>
      </c>
    </row>
    <row r="4599">
      <c r="A4599" s="5" t="n">
        <v>1191000000</v>
      </c>
      <c r="B4599" s="5" t="inlineStr">
        <is>
          <t>105984</t>
        </is>
      </c>
      <c r="C4599" s="5" t="inlineStr">
        <is>
          <t>TRADEWORKS SERVICOS DE COMERCIO EXT 04955748000107</t>
        </is>
      </c>
      <c r="D4599" s="5" t="inlineStr">
        <is>
          <t>ZP</t>
        </is>
      </c>
      <c r="E4599" s="5" t="n">
        <v>2000013451</v>
      </c>
      <c r="F4599" s="5" t="n"/>
      <c r="G4599" s="5" t="inlineStr">
        <is>
          <t>BRL</t>
        </is>
      </c>
      <c r="H4599" s="9" t="n">
        <v>54996.51</v>
      </c>
      <c r="I4599" s="16" t="n">
        <v>46253</v>
      </c>
      <c r="J4599" s="16" t="n">
        <v>46253</v>
      </c>
      <c r="K4599" s="5" t="inlineStr">
        <is>
          <t>0526/26 0526/26</t>
        </is>
      </c>
      <c r="L4599" s="5" t="inlineStr">
        <is>
          <t>19082026</t>
        </is>
      </c>
      <c r="M4599" s="5">
        <f>IF(YEAR(I4599)&lt;=2020,"Até 2020",TEXT(YEAR(I4599),"0"))</f>
        <v/>
      </c>
      <c r="N4599" s="5">
        <f>IFERROR(INDEX(DePara!$A:$A,MATCH(TEXT(B4599,"0"),DePara!$D:$D,0)),"(sem categoria)")</f>
        <v/>
      </c>
      <c r="O4599" s="5">
        <f>IF(J4599="","",Parametros!$B$6-J4599)</f>
        <v/>
      </c>
      <c r="P4599" s="5">
        <f>IF(O4599="","",IF(O4599&gt;0,1,0))</f>
        <v/>
      </c>
    </row>
    <row r="4600">
      <c r="A4600" s="5" t="n">
        <v>1191000000</v>
      </c>
      <c r="B4600" s="5" t="inlineStr">
        <is>
          <t>105984</t>
        </is>
      </c>
      <c r="C4600" s="5" t="inlineStr">
        <is>
          <t>TRADEWORKS SERVICOS DE COMERCIO EXT 04955748000107</t>
        </is>
      </c>
      <c r="D4600" s="5" t="inlineStr">
        <is>
          <t>ZP</t>
        </is>
      </c>
      <c r="E4600" s="5" t="n">
        <v>2000013452</v>
      </c>
      <c r="F4600" s="5" t="n"/>
      <c r="G4600" s="5" t="inlineStr">
        <is>
          <t>BRL</t>
        </is>
      </c>
      <c r="H4600" s="9" t="n">
        <v>56209.26</v>
      </c>
      <c r="I4600" s="16" t="n">
        <v>46253</v>
      </c>
      <c r="J4600" s="16" t="n">
        <v>46253</v>
      </c>
      <c r="K4600" s="5" t="inlineStr">
        <is>
          <t>0524/26 0524/26</t>
        </is>
      </c>
      <c r="L4600" s="5" t="inlineStr">
        <is>
          <t>19082026</t>
        </is>
      </c>
      <c r="M4600" s="5">
        <f>IF(YEAR(I4600)&lt;=2020,"Até 2020",TEXT(YEAR(I4600),"0"))</f>
        <v/>
      </c>
      <c r="N4600" s="5">
        <f>IFERROR(INDEX(DePara!$A:$A,MATCH(TEXT(B4600,"0"),DePara!$D:$D,0)),"(sem categoria)")</f>
        <v/>
      </c>
      <c r="O4600" s="5">
        <f>IF(J4600="","",Parametros!$B$6-J4600)</f>
        <v/>
      </c>
      <c r="P4600" s="5">
        <f>IF(O4600="","",IF(O4600&gt;0,1,0))</f>
        <v/>
      </c>
    </row>
    <row r="4601">
      <c r="A4601" s="5" t="n">
        <v>1191000000</v>
      </c>
      <c r="B4601" s="5" t="inlineStr">
        <is>
          <t>105984</t>
        </is>
      </c>
      <c r="C4601" s="5" t="inlineStr">
        <is>
          <t>TRADEWORKS SERVICOS DE COMERCIO EXT 04955748000107</t>
        </is>
      </c>
      <c r="D4601" s="5" t="inlineStr">
        <is>
          <t>ZP</t>
        </is>
      </c>
      <c r="E4601" s="5" t="n">
        <v>2000013453</v>
      </c>
      <c r="F4601" s="5" t="n"/>
      <c r="G4601" s="5" t="inlineStr">
        <is>
          <t>BRL</t>
        </is>
      </c>
      <c r="H4601" s="9" t="n">
        <v>99504.24000000001</v>
      </c>
      <c r="I4601" s="16" t="n">
        <v>46253</v>
      </c>
      <c r="J4601" s="16" t="n">
        <v>46253</v>
      </c>
      <c r="K4601" s="5" t="inlineStr">
        <is>
          <t>0527/26 0527/26</t>
        </is>
      </c>
      <c r="L4601" s="5" t="inlineStr">
        <is>
          <t>19082026</t>
        </is>
      </c>
      <c r="M4601" s="5">
        <f>IF(YEAR(I4601)&lt;=2020,"Até 2020",TEXT(YEAR(I4601),"0"))</f>
        <v/>
      </c>
      <c r="N4601" s="5">
        <f>IFERROR(INDEX(DePara!$A:$A,MATCH(TEXT(B4601,"0"),DePara!$D:$D,0)),"(sem categoria)")</f>
        <v/>
      </c>
      <c r="O4601" s="5">
        <f>IF(J4601="","",Parametros!$B$6-J4601)</f>
        <v/>
      </c>
      <c r="P4601" s="5">
        <f>IF(O4601="","",IF(O4601&gt;0,1,0))</f>
        <v/>
      </c>
    </row>
    <row r="4602">
      <c r="A4602" s="5" t="n">
        <v>1191000000</v>
      </c>
      <c r="B4602" s="5" t="inlineStr">
        <is>
          <t>105984</t>
        </is>
      </c>
      <c r="C4602" s="5" t="inlineStr">
        <is>
          <t>TRADEWORKS SERVICOS DE COMERCIO EXT 04955748000107</t>
        </is>
      </c>
      <c r="D4602" s="5" t="inlineStr">
        <is>
          <t>ZP</t>
        </is>
      </c>
      <c r="E4602" s="5" t="n">
        <v>2000013631</v>
      </c>
      <c r="F4602" s="5" t="n"/>
      <c r="G4602" s="5" t="inlineStr">
        <is>
          <t>BRL</t>
        </is>
      </c>
      <c r="H4602" s="9" t="n">
        <v>9000</v>
      </c>
      <c r="I4602" s="16" t="n">
        <v>46260</v>
      </c>
      <c r="J4602" s="16" t="n">
        <v>46260</v>
      </c>
      <c r="K4602" s="5" t="inlineStr">
        <is>
          <t>96002681, 96002685 - DI 20/1191977-0</t>
        </is>
      </c>
      <c r="L4602" s="5" t="inlineStr">
        <is>
          <t>26082026</t>
        </is>
      </c>
      <c r="M4602" s="5">
        <f>IF(YEAR(I4602)&lt;=2020,"Até 2020",TEXT(YEAR(I4602),"0"))</f>
        <v/>
      </c>
      <c r="N4602" s="5">
        <f>IFERROR(INDEX(DePara!$A:$A,MATCH(TEXT(B4602,"0"),DePara!$D:$D,0)),"(sem categoria)")</f>
        <v/>
      </c>
      <c r="O4602" s="5">
        <f>IF(J4602="","",Parametros!$B$6-J4602)</f>
        <v/>
      </c>
      <c r="P4602" s="5">
        <f>IF(O4602="","",IF(O4602&gt;0,1,0))</f>
        <v/>
      </c>
    </row>
    <row r="4603">
      <c r="A4603" s="5" t="n">
        <v>1191000000</v>
      </c>
      <c r="B4603" s="5" t="inlineStr">
        <is>
          <t>105984</t>
        </is>
      </c>
      <c r="C4603" s="5" t="inlineStr">
        <is>
          <t>TRADEWORKS SERVICOS DE COMERCIO EXT 04955748000107</t>
        </is>
      </c>
      <c r="D4603" s="5" t="inlineStr">
        <is>
          <t>ZP</t>
        </is>
      </c>
      <c r="E4603" s="5" t="n">
        <v>2000013632</v>
      </c>
      <c r="F4603" s="5" t="n"/>
      <c r="G4603" s="5" t="inlineStr">
        <is>
          <t>BRL</t>
        </is>
      </c>
      <c r="H4603" s="9" t="n">
        <v>75000</v>
      </c>
      <c r="I4603" s="16" t="n">
        <v>46260</v>
      </c>
      <c r="J4603" s="16" t="n">
        <v>46260</v>
      </c>
      <c r="K4603" s="5" t="inlineStr">
        <is>
          <t>EBKG17679855</t>
        </is>
      </c>
      <c r="L4603" s="5" t="inlineStr">
        <is>
          <t>26082026</t>
        </is>
      </c>
      <c r="M4603" s="5">
        <f>IF(YEAR(I4603)&lt;=2020,"Até 2020",TEXT(YEAR(I4603),"0"))</f>
        <v/>
      </c>
      <c r="N4603" s="5">
        <f>IFERROR(INDEX(DePara!$A:$A,MATCH(TEXT(B4603,"0"),DePara!$D:$D,0)),"(sem categoria)")</f>
        <v/>
      </c>
      <c r="O4603" s="5">
        <f>IF(J4603="","",Parametros!$B$6-J4603)</f>
        <v/>
      </c>
      <c r="P4603" s="5">
        <f>IF(O4603="","",IF(O4603&gt;0,1,0))</f>
        <v/>
      </c>
    </row>
    <row r="4604">
      <c r="A4604" s="5" t="n">
        <v>1191000000</v>
      </c>
      <c r="B4604" s="5" t="inlineStr">
        <is>
          <t>105984</t>
        </is>
      </c>
      <c r="C4604" s="5" t="inlineStr">
        <is>
          <t>TRADEWORKS SERVICOS DE COMERCIO EXT 04955748000107</t>
        </is>
      </c>
      <c r="D4604" s="5" t="inlineStr">
        <is>
          <t>ZP</t>
        </is>
      </c>
      <c r="E4604" s="5" t="n">
        <v>2000013659</v>
      </c>
      <c r="F4604" s="5" t="n"/>
      <c r="G4604" s="5" t="inlineStr">
        <is>
          <t>BRL</t>
        </is>
      </c>
      <c r="H4604" s="9" t="n">
        <v>196.55</v>
      </c>
      <c r="I4604" s="16" t="n">
        <v>46260</v>
      </c>
      <c r="J4604" s="16" t="n">
        <v>46260</v>
      </c>
      <c r="K4604" s="5" t="inlineStr">
        <is>
          <t>0413/26 0413/26</t>
        </is>
      </c>
      <c r="L4604" s="5" t="inlineStr">
        <is>
          <t>26082026</t>
        </is>
      </c>
      <c r="M4604" s="5">
        <f>IF(YEAR(I4604)&lt;=2020,"Até 2020",TEXT(YEAR(I4604),"0"))</f>
        <v/>
      </c>
      <c r="N4604" s="5">
        <f>IFERROR(INDEX(DePara!$A:$A,MATCH(TEXT(B4604,"0"),DePara!$D:$D,0)),"(sem categoria)")</f>
        <v/>
      </c>
      <c r="O4604" s="5">
        <f>IF(J4604="","",Parametros!$B$6-J4604)</f>
        <v/>
      </c>
      <c r="P4604" s="5">
        <f>IF(O4604="","",IF(O4604&gt;0,1,0))</f>
        <v/>
      </c>
    </row>
    <row r="4605">
      <c r="A4605" s="5" t="n">
        <v>1191000000</v>
      </c>
      <c r="B4605" s="5" t="inlineStr">
        <is>
          <t>105984</t>
        </is>
      </c>
      <c r="C4605" s="5" t="inlineStr">
        <is>
          <t>TRADEWORKS SERVICOS DE COMERCIO EXT 04955748000107</t>
        </is>
      </c>
      <c r="D4605" s="5" t="inlineStr">
        <is>
          <t>ZP</t>
        </is>
      </c>
      <c r="E4605" s="5" t="n">
        <v>2000013660</v>
      </c>
      <c r="F4605" s="5" t="n"/>
      <c r="G4605" s="5" t="inlineStr">
        <is>
          <t>BRL</t>
        </is>
      </c>
      <c r="H4605" s="9" t="n">
        <v>196.55</v>
      </c>
      <c r="I4605" s="16" t="n">
        <v>46260</v>
      </c>
      <c r="J4605" s="16" t="n">
        <v>46260</v>
      </c>
      <c r="K4605" s="5" t="inlineStr">
        <is>
          <t>0419/26 0419/26</t>
        </is>
      </c>
      <c r="L4605" s="5" t="inlineStr">
        <is>
          <t>26082026</t>
        </is>
      </c>
      <c r="M4605" s="5">
        <f>IF(YEAR(I4605)&lt;=2020,"Até 2020",TEXT(YEAR(I4605),"0"))</f>
        <v/>
      </c>
      <c r="N4605" s="5">
        <f>IFERROR(INDEX(DePara!$A:$A,MATCH(TEXT(B4605,"0"),DePara!$D:$D,0)),"(sem categoria)")</f>
        <v/>
      </c>
      <c r="O4605" s="5">
        <f>IF(J4605="","",Parametros!$B$6-J4605)</f>
        <v/>
      </c>
      <c r="P4605" s="5">
        <f>IF(O4605="","",IF(O4605&gt;0,1,0))</f>
        <v/>
      </c>
    </row>
    <row r="4606">
      <c r="A4606" s="5" t="n">
        <v>1191000000</v>
      </c>
      <c r="B4606" s="5" t="inlineStr">
        <is>
          <t>105984</t>
        </is>
      </c>
      <c r="C4606" s="5" t="inlineStr">
        <is>
          <t>TRADEWORKS SERVICOS DE COMERCIO EXT 04955748000107</t>
        </is>
      </c>
      <c r="D4606" s="5" t="inlineStr">
        <is>
          <t>ZP</t>
        </is>
      </c>
      <c r="E4606" s="5" t="n">
        <v>2000013665</v>
      </c>
      <c r="F4606" s="5" t="n"/>
      <c r="G4606" s="5" t="inlineStr">
        <is>
          <t>BRL</t>
        </is>
      </c>
      <c r="H4606" s="9" t="n">
        <v>7439.28</v>
      </c>
      <c r="I4606" s="16" t="n">
        <v>46260</v>
      </c>
      <c r="J4606" s="16" t="n">
        <v>46260</v>
      </c>
      <c r="K4606" s="5" t="inlineStr">
        <is>
          <t>Admissão Temporária</t>
        </is>
      </c>
      <c r="L4606" s="5" t="inlineStr">
        <is>
          <t>26082026</t>
        </is>
      </c>
      <c r="M4606" s="5">
        <f>IF(YEAR(I4606)&lt;=2020,"Até 2020",TEXT(YEAR(I4606),"0"))</f>
        <v/>
      </c>
      <c r="N4606" s="5">
        <f>IFERROR(INDEX(DePara!$A:$A,MATCH(TEXT(B4606,"0"),DePara!$D:$D,0)),"(sem categoria)")</f>
        <v/>
      </c>
      <c r="O4606" s="5">
        <f>IF(J4606="","",Parametros!$B$6-J4606)</f>
        <v/>
      </c>
      <c r="P4606" s="5">
        <f>IF(O4606="","",IF(O4606&gt;0,1,0))</f>
        <v/>
      </c>
    </row>
    <row r="4607">
      <c r="A4607" s="5" t="n">
        <v>1191000000</v>
      </c>
      <c r="B4607" s="5" t="inlineStr">
        <is>
          <t>105984</t>
        </is>
      </c>
      <c r="C4607" s="5" t="inlineStr">
        <is>
          <t>TRADEWORKS SERVICOS DE COMERCIO EXT 04955748000107</t>
        </is>
      </c>
      <c r="D4607" s="5" t="inlineStr">
        <is>
          <t>ZP</t>
        </is>
      </c>
      <c r="E4607" s="5" t="n">
        <v>2000013666</v>
      </c>
      <c r="F4607" s="5" t="n"/>
      <c r="G4607" s="5" t="inlineStr">
        <is>
          <t>BRL</t>
        </is>
      </c>
      <c r="H4607" s="9" t="n">
        <v>7559</v>
      </c>
      <c r="I4607" s="16" t="n">
        <v>46260</v>
      </c>
      <c r="J4607" s="16" t="n">
        <v>46260</v>
      </c>
      <c r="K4607" s="5" t="inlineStr">
        <is>
          <t>0535/26 0535/26</t>
        </is>
      </c>
      <c r="L4607" s="5" t="inlineStr">
        <is>
          <t>26082026</t>
        </is>
      </c>
      <c r="M4607" s="5">
        <f>IF(YEAR(I4607)&lt;=2020,"Até 2020",TEXT(YEAR(I4607),"0"))</f>
        <v/>
      </c>
      <c r="N4607" s="5">
        <f>IFERROR(INDEX(DePara!$A:$A,MATCH(TEXT(B4607,"0"),DePara!$D:$D,0)),"(sem categoria)")</f>
        <v/>
      </c>
      <c r="O4607" s="5">
        <f>IF(J4607="","",Parametros!$B$6-J4607)</f>
        <v/>
      </c>
      <c r="P4607" s="5">
        <f>IF(O4607="","",IF(O4607&gt;0,1,0))</f>
        <v/>
      </c>
    </row>
    <row r="4608">
      <c r="A4608" s="5" t="n">
        <v>1191000000</v>
      </c>
      <c r="B4608" s="5" t="inlineStr">
        <is>
          <t>105984</t>
        </is>
      </c>
      <c r="C4608" s="5" t="inlineStr">
        <is>
          <t>TRADEWORKS SERVICOS DE COMERCIO EXT 04955748000107</t>
        </is>
      </c>
      <c r="D4608" s="5" t="inlineStr">
        <is>
          <t>ZP</t>
        </is>
      </c>
      <c r="E4608" s="5" t="n">
        <v>2000013667</v>
      </c>
      <c r="F4608" s="5" t="n"/>
      <c r="G4608" s="5" t="inlineStr">
        <is>
          <t>BRL</t>
        </is>
      </c>
      <c r="H4608" s="9" t="n">
        <v>11638.4</v>
      </c>
      <c r="I4608" s="16" t="n">
        <v>46260</v>
      </c>
      <c r="J4608" s="16" t="n">
        <v>46260</v>
      </c>
      <c r="K4608" s="5" t="inlineStr">
        <is>
          <t>0536/26 0536/26</t>
        </is>
      </c>
      <c r="L4608" s="5" t="inlineStr">
        <is>
          <t>26082026</t>
        </is>
      </c>
      <c r="M4608" s="5">
        <f>IF(YEAR(I4608)&lt;=2020,"Até 2020",TEXT(YEAR(I4608),"0"))</f>
        <v/>
      </c>
      <c r="N4608" s="5">
        <f>IFERROR(INDEX(DePara!$A:$A,MATCH(TEXT(B4608,"0"),DePara!$D:$D,0)),"(sem categoria)")</f>
        <v/>
      </c>
      <c r="O4608" s="5">
        <f>IF(J4608="","",Parametros!$B$6-J4608)</f>
        <v/>
      </c>
      <c r="P4608" s="5">
        <f>IF(O4608="","",IF(O4608&gt;0,1,0))</f>
        <v/>
      </c>
    </row>
    <row r="4609">
      <c r="A4609" s="5" t="n">
        <v>1191000000</v>
      </c>
      <c r="B4609" s="5" t="inlineStr">
        <is>
          <t>105984</t>
        </is>
      </c>
      <c r="C4609" s="5" t="inlineStr">
        <is>
          <t>TRADEWORKS SERVICOS DE COMERCIO EXT 04955748000107</t>
        </is>
      </c>
      <c r="D4609" s="5" t="inlineStr">
        <is>
          <t>ZP</t>
        </is>
      </c>
      <c r="E4609" s="5" t="n">
        <v>2000013668</v>
      </c>
      <c r="F4609" s="5" t="n"/>
      <c r="G4609" s="5" t="inlineStr">
        <is>
          <t>BRL</t>
        </is>
      </c>
      <c r="H4609" s="9" t="n">
        <v>12864.05</v>
      </c>
      <c r="I4609" s="16" t="n">
        <v>46260</v>
      </c>
      <c r="J4609" s="16" t="n">
        <v>46260</v>
      </c>
      <c r="K4609" s="5" t="inlineStr">
        <is>
          <t>Admissão Temporária</t>
        </is>
      </c>
      <c r="L4609" s="5" t="inlineStr">
        <is>
          <t>26082026</t>
        </is>
      </c>
      <c r="M4609" s="5">
        <f>IF(YEAR(I4609)&lt;=2020,"Até 2020",TEXT(YEAR(I4609),"0"))</f>
        <v/>
      </c>
      <c r="N4609" s="5">
        <f>IFERROR(INDEX(DePara!$A:$A,MATCH(TEXT(B4609,"0"),DePara!$D:$D,0)),"(sem categoria)")</f>
        <v/>
      </c>
      <c r="O4609" s="5">
        <f>IF(J4609="","",Parametros!$B$6-J4609)</f>
        <v/>
      </c>
      <c r="P4609" s="5">
        <f>IF(O4609="","",IF(O4609&gt;0,1,0))</f>
        <v/>
      </c>
    </row>
    <row r="4610">
      <c r="A4610" s="5" t="n">
        <v>1191000000</v>
      </c>
      <c r="B4610" s="5" t="inlineStr">
        <is>
          <t>105984</t>
        </is>
      </c>
      <c r="C4610" s="5" t="inlineStr">
        <is>
          <t>TRADEWORKS SERVICOS DE COMERCIO EXT 04955748000107</t>
        </is>
      </c>
      <c r="D4610" s="5" t="inlineStr">
        <is>
          <t>ZP</t>
        </is>
      </c>
      <c r="E4610" s="5" t="n">
        <v>2000013669</v>
      </c>
      <c r="F4610" s="5" t="n"/>
      <c r="G4610" s="5" t="inlineStr">
        <is>
          <t>BRL</t>
        </is>
      </c>
      <c r="H4610" s="9" t="n">
        <v>15205.76</v>
      </c>
      <c r="I4610" s="16" t="n">
        <v>46260</v>
      </c>
      <c r="J4610" s="16" t="n">
        <v>46260</v>
      </c>
      <c r="K4610" s="5" t="inlineStr">
        <is>
          <t>0515/26 0515/26</t>
        </is>
      </c>
      <c r="L4610" s="5" t="inlineStr">
        <is>
          <t>26082026</t>
        </is>
      </c>
      <c r="M4610" s="5">
        <f>IF(YEAR(I4610)&lt;=2020,"Até 2020",TEXT(YEAR(I4610),"0"))</f>
        <v/>
      </c>
      <c r="N4610" s="5">
        <f>IFERROR(INDEX(DePara!$A:$A,MATCH(TEXT(B4610,"0"),DePara!$D:$D,0)),"(sem categoria)")</f>
        <v/>
      </c>
      <c r="O4610" s="5">
        <f>IF(J4610="","",Parametros!$B$6-J4610)</f>
        <v/>
      </c>
      <c r="P4610" s="5">
        <f>IF(O4610="","",IF(O4610&gt;0,1,0))</f>
        <v/>
      </c>
    </row>
    <row r="4611">
      <c r="A4611" s="5" t="n">
        <v>1191000000</v>
      </c>
      <c r="B4611" s="5" t="inlineStr">
        <is>
          <t>105984</t>
        </is>
      </c>
      <c r="C4611" s="5" t="inlineStr">
        <is>
          <t>TRADEWORKS SERVICOS DE COMERCIO EXT 04955748000107</t>
        </is>
      </c>
      <c r="D4611" s="5" t="inlineStr">
        <is>
          <t>ZP</t>
        </is>
      </c>
      <c r="E4611" s="5" t="n">
        <v>2000013670</v>
      </c>
      <c r="F4611" s="5" t="n"/>
      <c r="G4611" s="5" t="inlineStr">
        <is>
          <t>BRL</t>
        </is>
      </c>
      <c r="H4611" s="9" t="n">
        <v>18288.5</v>
      </c>
      <c r="I4611" s="16" t="n">
        <v>46260</v>
      </c>
      <c r="J4611" s="16" t="n">
        <v>46260</v>
      </c>
      <c r="K4611" s="5" t="inlineStr">
        <is>
          <t>Admissão Temporária</t>
        </is>
      </c>
      <c r="L4611" s="5" t="inlineStr">
        <is>
          <t>26082026</t>
        </is>
      </c>
      <c r="M4611" s="5">
        <f>IF(YEAR(I4611)&lt;=2020,"Até 2020",TEXT(YEAR(I4611),"0"))</f>
        <v/>
      </c>
      <c r="N4611" s="5">
        <f>IFERROR(INDEX(DePara!$A:$A,MATCH(TEXT(B4611,"0"),DePara!$D:$D,0)),"(sem categoria)")</f>
        <v/>
      </c>
      <c r="O4611" s="5">
        <f>IF(J4611="","",Parametros!$B$6-J4611)</f>
        <v/>
      </c>
      <c r="P4611" s="5">
        <f>IF(O4611="","",IF(O4611&gt;0,1,0))</f>
        <v/>
      </c>
    </row>
    <row r="4612">
      <c r="A4612" s="5" t="n">
        <v>1191000000</v>
      </c>
      <c r="B4612" s="5" t="inlineStr">
        <is>
          <t>105984</t>
        </is>
      </c>
      <c r="C4612" s="5" t="inlineStr">
        <is>
          <t>TRADEWORKS SERVICOS DE COMERCIO EXT 04955748000107</t>
        </is>
      </c>
      <c r="D4612" s="5" t="inlineStr">
        <is>
          <t>ZP</t>
        </is>
      </c>
      <c r="E4612" s="5" t="n">
        <v>2000013671</v>
      </c>
      <c r="F4612" s="5" t="n"/>
      <c r="G4612" s="5" t="inlineStr">
        <is>
          <t>BRL</t>
        </is>
      </c>
      <c r="H4612" s="9" t="n">
        <v>68000</v>
      </c>
      <c r="I4612" s="16" t="n">
        <v>46260</v>
      </c>
      <c r="J4612" s="16" t="n">
        <v>46260</v>
      </c>
      <c r="K4612" s="5" t="inlineStr">
        <is>
          <t>0446/26 0446/26</t>
        </is>
      </c>
      <c r="L4612" s="5" t="inlineStr">
        <is>
          <t>26082026</t>
        </is>
      </c>
      <c r="M4612" s="5">
        <f>IF(YEAR(I4612)&lt;=2020,"Até 2020",TEXT(YEAR(I4612),"0"))</f>
        <v/>
      </c>
      <c r="N4612" s="5">
        <f>IFERROR(INDEX(DePara!$A:$A,MATCH(TEXT(B4612,"0"),DePara!$D:$D,0)),"(sem categoria)")</f>
        <v/>
      </c>
      <c r="O4612" s="5">
        <f>IF(J4612="","",Parametros!$B$6-J4612)</f>
        <v/>
      </c>
      <c r="P4612" s="5">
        <f>IF(O4612="","",IF(O4612&gt;0,1,0))</f>
        <v/>
      </c>
    </row>
    <row r="4613">
      <c r="A4613" s="5" t="n">
        <v>1191000000</v>
      </c>
      <c r="B4613" s="5" t="inlineStr">
        <is>
          <t>105984</t>
        </is>
      </c>
      <c r="C4613" s="5" t="inlineStr">
        <is>
          <t>TRADEWORKS SERVICOS DE COMERCIO EXT 04955748000107</t>
        </is>
      </c>
      <c r="D4613" s="5" t="inlineStr">
        <is>
          <t>ZP</t>
        </is>
      </c>
      <c r="E4613" s="5" t="n">
        <v>2000013672</v>
      </c>
      <c r="F4613" s="5" t="n"/>
      <c r="G4613" s="5" t="inlineStr">
        <is>
          <t>BRL</t>
        </is>
      </c>
      <c r="H4613" s="9" t="n">
        <v>93859.12</v>
      </c>
      <c r="I4613" s="16" t="n">
        <v>46260</v>
      </c>
      <c r="J4613" s="16" t="n">
        <v>46260</v>
      </c>
      <c r="K4613" s="5" t="inlineStr">
        <is>
          <t>Admissão Temporária</t>
        </is>
      </c>
      <c r="L4613" s="5" t="inlineStr">
        <is>
          <t>26082026</t>
        </is>
      </c>
      <c r="M4613" s="5">
        <f>IF(YEAR(I4613)&lt;=2020,"Até 2020",TEXT(YEAR(I4613),"0"))</f>
        <v/>
      </c>
      <c r="N4613" s="5">
        <f>IFERROR(INDEX(DePara!$A:$A,MATCH(TEXT(B4613,"0"),DePara!$D:$D,0)),"(sem categoria)")</f>
        <v/>
      </c>
      <c r="O4613" s="5">
        <f>IF(J4613="","",Parametros!$B$6-J4613)</f>
        <v/>
      </c>
      <c r="P4613" s="5">
        <f>IF(O4613="","",IF(O4613&gt;0,1,0))</f>
        <v/>
      </c>
    </row>
    <row r="4614">
      <c r="A4614" s="5" t="n">
        <v>1191000000</v>
      </c>
      <c r="B4614" s="5" t="inlineStr">
        <is>
          <t>101269</t>
        </is>
      </c>
      <c r="C4614" s="5" t="inlineStr">
        <is>
          <t>CERTISIGN CERTIFICADORA DIGITAL SA</t>
        </is>
      </c>
      <c r="D4614" s="5" t="inlineStr">
        <is>
          <t>ZP</t>
        </is>
      </c>
      <c r="E4614" s="5" t="n">
        <v>2000013709</v>
      </c>
      <c r="F4614" s="5" t="n"/>
      <c r="G4614" s="5" t="inlineStr">
        <is>
          <t>BRL</t>
        </is>
      </c>
      <c r="H4614" s="9" t="n">
        <v>274.9</v>
      </c>
      <c r="I4614" s="16" t="n">
        <v>46260</v>
      </c>
      <c r="J4614" s="16" t="n">
        <v>46260</v>
      </c>
      <c r="K4614" s="5" t="inlineStr">
        <is>
          <t>*34191090083872847290310481460003815510000027490</t>
        </is>
      </c>
      <c r="L4614" s="5" t="inlineStr">
        <is>
          <t>26082026</t>
        </is>
      </c>
      <c r="M4614" s="5">
        <f>IF(YEAR(I4614)&lt;=2020,"Até 2020",TEXT(YEAR(I4614),"0"))</f>
        <v/>
      </c>
      <c r="N4614" s="5">
        <f>IFERROR(INDEX(DePara!$A:$A,MATCH(TEXT(B4614,"0"),DePara!$D:$D,0)),"(sem categoria)")</f>
        <v/>
      </c>
      <c r="O4614" s="5">
        <f>IF(J4614="","",Parametros!$B$6-J4614)</f>
        <v/>
      </c>
      <c r="P4614" s="5">
        <f>IF(O4614="","",IF(O4614&gt;0,1,0))</f>
        <v/>
      </c>
    </row>
    <row r="4615">
      <c r="A4615" s="5" t="n">
        <v>1191000000</v>
      </c>
      <c r="B4615" s="5" t="inlineStr">
        <is>
          <t>101269</t>
        </is>
      </c>
      <c r="C4615" s="5" t="inlineStr">
        <is>
          <t>CERTISIGN CERTIFICADORA DIGITAL SA</t>
        </is>
      </c>
      <c r="D4615" s="5" t="inlineStr">
        <is>
          <t>ZP</t>
        </is>
      </c>
      <c r="E4615" s="5" t="n">
        <v>2000013710</v>
      </c>
      <c r="F4615" s="5" t="n"/>
      <c r="G4615" s="5" t="inlineStr">
        <is>
          <t>BRL</t>
        </is>
      </c>
      <c r="H4615" s="9" t="n">
        <v>324.4</v>
      </c>
      <c r="I4615" s="16" t="n">
        <v>46260</v>
      </c>
      <c r="J4615" s="16" t="n">
        <v>46260</v>
      </c>
      <c r="K4615" s="5" t="inlineStr">
        <is>
          <t>*34191090083871468290310481460003115510000032440</t>
        </is>
      </c>
      <c r="L4615" s="5" t="inlineStr">
        <is>
          <t>26082026</t>
        </is>
      </c>
      <c r="M4615" s="5">
        <f>IF(YEAR(I4615)&lt;=2020,"Até 2020",TEXT(YEAR(I4615),"0"))</f>
        <v/>
      </c>
      <c r="N4615" s="5">
        <f>IFERROR(INDEX(DePara!$A:$A,MATCH(TEXT(B4615,"0"),DePara!$D:$D,0)),"(sem categoria)")</f>
        <v/>
      </c>
      <c r="O4615" s="5">
        <f>IF(J4615="","",Parametros!$B$6-J4615)</f>
        <v/>
      </c>
      <c r="P4615" s="5">
        <f>IF(O4615="","",IF(O4615&gt;0,1,0))</f>
        <v/>
      </c>
    </row>
    <row r="4616">
      <c r="A4616" s="5" t="n">
        <v>1191000000</v>
      </c>
      <c r="B4616" s="5" t="inlineStr">
        <is>
          <t>101791</t>
        </is>
      </c>
      <c r="C4616" s="5" t="inlineStr">
        <is>
          <t>INT DE PESQUISAS TECNOLOGICAS EST D</t>
        </is>
      </c>
      <c r="D4616" s="5" t="inlineStr">
        <is>
          <t>ZP</t>
        </is>
      </c>
      <c r="E4616" s="5" t="n">
        <v>2000019852</v>
      </c>
      <c r="F4616" s="5" t="n"/>
      <c r="G4616" s="5" t="inlineStr">
        <is>
          <t>BRL</t>
        </is>
      </c>
      <c r="H4616" s="9" t="n">
        <v>6194.1</v>
      </c>
      <c r="I4616" s="16" t="n">
        <v>45583</v>
      </c>
      <c r="J4616" s="16" t="n">
        <v>45583</v>
      </c>
      <c r="K4616" s="5" t="inlineStr">
        <is>
          <t>Documento fornecedor INT DE PESQUISAS TECNOLOGICAS</t>
        </is>
      </c>
      <c r="L4616" s="5" t="inlineStr">
        <is>
          <t>18102024</t>
        </is>
      </c>
      <c r="M4616" s="5">
        <f>IF(YEAR(I4616)&lt;=2020,"Até 2020",TEXT(YEAR(I4616),"0"))</f>
        <v/>
      </c>
      <c r="N4616" s="5">
        <f>IFERROR(INDEX(DePara!$A:$A,MATCH(TEXT(B4616,"0"),DePara!$D:$D,0)),"(sem categoria)")</f>
        <v/>
      </c>
      <c r="O4616" s="5">
        <f>IF(J4616="","",Parametros!$B$6-J4616)</f>
        <v/>
      </c>
      <c r="P4616" s="5">
        <f>IF(O4616="","",IF(O4616&gt;0,1,0))</f>
        <v/>
      </c>
    </row>
    <row r="4617">
      <c r="A4617" s="5" t="n">
        <v>1191000000</v>
      </c>
      <c r="B4617" s="5" t="inlineStr">
        <is>
          <t>101791</t>
        </is>
      </c>
      <c r="C4617" s="5" t="inlineStr">
        <is>
          <t>INT DE PESQUISAS TECNOLOGICAS EST D</t>
        </is>
      </c>
      <c r="D4617" s="5" t="inlineStr">
        <is>
          <t>ZP</t>
        </is>
      </c>
      <c r="E4617" s="5" t="n">
        <v>2000019853</v>
      </c>
      <c r="F4617" s="5" t="n"/>
      <c r="G4617" s="5" t="inlineStr">
        <is>
          <t>BRL</t>
        </is>
      </c>
      <c r="H4617" s="9" t="n">
        <v>32772.42</v>
      </c>
      <c r="I4617" s="16" t="n">
        <v>45583</v>
      </c>
      <c r="J4617" s="16" t="n">
        <v>45583</v>
      </c>
      <c r="K4617" s="5" t="inlineStr">
        <is>
          <t>Documento fornecedor INT DE PESQUISAS TECNOLOGICAS</t>
        </is>
      </c>
      <c r="L4617" s="5" t="inlineStr">
        <is>
          <t>18102024</t>
        </is>
      </c>
      <c r="M4617" s="5">
        <f>IF(YEAR(I4617)&lt;=2020,"Até 2020",TEXT(YEAR(I4617),"0"))</f>
        <v/>
      </c>
      <c r="N4617" s="5">
        <f>IFERROR(INDEX(DePara!$A:$A,MATCH(TEXT(B4617,"0"),DePara!$D:$D,0)),"(sem categoria)")</f>
        <v/>
      </c>
      <c r="O4617" s="5">
        <f>IF(J4617="","",Parametros!$B$6-J4617)</f>
        <v/>
      </c>
      <c r="P4617" s="5">
        <f>IF(O4617="","",IF(O4617&gt;0,1,0))</f>
        <v/>
      </c>
    </row>
    <row r="4618">
      <c r="A4618" s="5" t="n">
        <v>1117730000</v>
      </c>
      <c r="B4618" s="5" t="inlineStr">
        <is>
          <t>103437</t>
        </is>
      </c>
      <c r="C4618" s="5" t="inlineStr">
        <is>
          <t>Cleber Aparecido Araujo</t>
        </is>
      </c>
      <c r="D4618" s="5" t="inlineStr">
        <is>
          <t>KA</t>
        </is>
      </c>
      <c r="E4618" s="5" t="n">
        <v>5048220</v>
      </c>
      <c r="F4618" s="5" t="inlineStr">
        <is>
          <t>34408</t>
        </is>
      </c>
      <c r="G4618" s="5" t="inlineStr">
        <is>
          <t>BRL</t>
        </is>
      </c>
      <c r="H4618" s="9" t="n">
        <v>4030</v>
      </c>
      <c r="I4618" s="16" t="n">
        <v>45621</v>
      </c>
      <c r="J4618" s="16" t="n">
        <v>45621</v>
      </c>
      <c r="K4618" s="5" t="inlineStr">
        <is>
          <t>Vendor DP Request Cleber Aparecido Araujo 34408</t>
        </is>
      </c>
      <c r="L4618" s="5" t="inlineStr">
        <is>
          <t>25112024</t>
        </is>
      </c>
      <c r="M4618" s="5">
        <f>IF(YEAR(I4618)&lt;=2020,"Até 2020",TEXT(YEAR(I4618),"0"))</f>
        <v/>
      </c>
      <c r="N4618" s="5">
        <f>IFERROR(INDEX(DePara!$A:$A,MATCH(TEXT(B4618,"0"),DePara!$D:$D,0)),"(sem categoria)")</f>
        <v/>
      </c>
      <c r="O4618" s="5">
        <f>IF(J4618="","",Parametros!$B$6-J4618)</f>
        <v/>
      </c>
      <c r="P4618" s="5">
        <f>IF(O4618="","",IF(O4618&gt;0,1,0))</f>
        <v/>
      </c>
    </row>
    <row r="4619">
      <c r="A4619" s="5" t="n">
        <v>1117730000</v>
      </c>
      <c r="B4619" s="5" t="inlineStr">
        <is>
          <t>EM000159</t>
        </is>
      </c>
      <c r="C4619" s="5" t="inlineStr">
        <is>
          <t>FABIO COFFANI DOS SANTOS DE SIQUEIRA</t>
        </is>
      </c>
      <c r="D4619" s="5" t="inlineStr">
        <is>
          <t>AB</t>
        </is>
      </c>
      <c r="E4619" s="5" t="n">
        <v>1100001905</v>
      </c>
      <c r="F4619" s="5" t="inlineStr">
        <is>
          <t>42418</t>
        </is>
      </c>
      <c r="G4619" s="5" t="inlineStr">
        <is>
          <t>BRL</t>
        </is>
      </c>
      <c r="H4619" s="9" t="n">
        <v>5077.8</v>
      </c>
      <c r="I4619" s="16" t="n">
        <v>46038</v>
      </c>
      <c r="J4619" s="16" t="n">
        <v>45952</v>
      </c>
      <c r="K4619" s="5" t="inlineStr">
        <is>
          <t>Clearing document FABIO COFFANI DOS SANTOS DE SIQU</t>
        </is>
      </c>
      <c r="L4619" s="5" t="inlineStr">
        <is>
          <t>22102025</t>
        </is>
      </c>
      <c r="M4619" s="5">
        <f>IF(YEAR(I4619)&lt;=2020,"Até 2020",TEXT(YEAR(I4619),"0"))</f>
        <v/>
      </c>
      <c r="N4619" s="5">
        <f>IFERROR(INDEX(DePara!$A:$A,MATCH(TEXT(B4619,"0"),DePara!$D:$D,0)),"(sem categoria)")</f>
        <v/>
      </c>
      <c r="O4619" s="5">
        <f>IF(J4619="","",Parametros!$B$6-J4619)</f>
        <v/>
      </c>
      <c r="P4619" s="5">
        <f>IF(O4619="","",IF(O4619&gt;0,1,0))</f>
        <v/>
      </c>
    </row>
    <row r="4620">
      <c r="A4620" s="5" t="n">
        <v>1117730000</v>
      </c>
      <c r="B4620" s="5" t="inlineStr">
        <is>
          <t>EM000167</t>
        </is>
      </c>
      <c r="C4620" s="5" t="inlineStr">
        <is>
          <t>ANDERSON DE LIMA AFFONSO</t>
        </is>
      </c>
      <c r="D4620" s="5" t="inlineStr">
        <is>
          <t>AB</t>
        </is>
      </c>
      <c r="E4620" s="5" t="n">
        <v>1100003378</v>
      </c>
      <c r="F4620" s="5" t="inlineStr">
        <is>
          <t>CC 01.2026</t>
        </is>
      </c>
      <c r="G4620" s="5" t="inlineStr">
        <is>
          <t>BRL</t>
        </is>
      </c>
      <c r="H4620" s="9" t="n">
        <v>427.44</v>
      </c>
      <c r="I4620" s="16" t="n">
        <v>46043</v>
      </c>
      <c r="J4620" s="16" t="n">
        <v>46043</v>
      </c>
      <c r="K4620" s="5" t="inlineStr">
        <is>
          <t>Partida individual ANDERSON DE LIMA AFFONSO CC 01.</t>
        </is>
      </c>
      <c r="L4620" s="5" t="n"/>
      <c r="M4620" s="5">
        <f>IF(YEAR(I4620)&lt;=2020,"Até 2020",TEXT(YEAR(I4620),"0"))</f>
        <v/>
      </c>
      <c r="N4620" s="5">
        <f>IFERROR(INDEX(DePara!$A:$A,MATCH(TEXT(B4620,"0"),DePara!$D:$D,0)),"(sem categoria)")</f>
        <v/>
      </c>
      <c r="O4620" s="5">
        <f>IF(J4620="","",Parametros!$B$6-J4620)</f>
        <v/>
      </c>
      <c r="P4620" s="5">
        <f>IF(O4620="","",IF(O4620&gt;0,1,0))</f>
        <v/>
      </c>
    </row>
    <row r="4621">
      <c r="A4621" s="5" t="n">
        <v>1117730000</v>
      </c>
      <c r="B4621" s="5" t="inlineStr">
        <is>
          <t>EM000080</t>
        </is>
      </c>
      <c r="C4621" s="5" t="inlineStr">
        <is>
          <t>SAIRON DOS SANTOS BASTOS</t>
        </is>
      </c>
      <c r="D4621" s="5" t="inlineStr">
        <is>
          <t>AB</t>
        </is>
      </c>
      <c r="E4621" s="5" t="n">
        <v>1100003378</v>
      </c>
      <c r="F4621" s="5" t="inlineStr">
        <is>
          <t>CC 01.2026</t>
        </is>
      </c>
      <c r="G4621" s="5" t="inlineStr">
        <is>
          <t>BRL</t>
        </is>
      </c>
      <c r="H4621" s="9" t="n">
        <v>41.18</v>
      </c>
      <c r="I4621" s="16" t="n">
        <v>46043</v>
      </c>
      <c r="J4621" s="16" t="n">
        <v>46043</v>
      </c>
      <c r="K4621" s="5" t="inlineStr">
        <is>
          <t>Partida individual SAIRON DOS SANTOS BASTOS CC 01.</t>
        </is>
      </c>
      <c r="L4621" s="5" t="n"/>
      <c r="M4621" s="5">
        <f>IF(YEAR(I4621)&lt;=2020,"Até 2020",TEXT(YEAR(I4621),"0"))</f>
        <v/>
      </c>
      <c r="N4621" s="5">
        <f>IFERROR(INDEX(DePara!$A:$A,MATCH(TEXT(B4621,"0"),DePara!$D:$D,0)),"(sem categoria)")</f>
        <v/>
      </c>
      <c r="O4621" s="5">
        <f>IF(J4621="","",Parametros!$B$6-J4621)</f>
        <v/>
      </c>
      <c r="P4621" s="5">
        <f>IF(O4621="","",IF(O4621&gt;0,1,0))</f>
        <v/>
      </c>
    </row>
    <row r="4622">
      <c r="A4622" s="5" t="n">
        <v>1117730000</v>
      </c>
      <c r="B4622" s="5" t="inlineStr">
        <is>
          <t>EM000171</t>
        </is>
      </c>
      <c r="C4622" s="5" t="inlineStr">
        <is>
          <t>ALESSANDRA RAFFO SCHNEIDER</t>
        </is>
      </c>
      <c r="D4622" s="5" t="inlineStr">
        <is>
          <t>AB</t>
        </is>
      </c>
      <c r="E4622" s="5" t="n">
        <v>1100005948</v>
      </c>
      <c r="F4622" s="5" t="inlineStr">
        <is>
          <t>CC 02.2026</t>
        </is>
      </c>
      <c r="G4622" s="5" t="inlineStr">
        <is>
          <t>BRL</t>
        </is>
      </c>
      <c r="H4622" s="9" t="n">
        <v>3722.08</v>
      </c>
      <c r="I4622" s="16" t="n">
        <v>46078</v>
      </c>
      <c r="J4622" s="16" t="n">
        <v>46078</v>
      </c>
      <c r="K4622" s="5" t="inlineStr">
        <is>
          <t>Partida individual ALESSANDRA RAFFO SCHNEIDER</t>
        </is>
      </c>
      <c r="L4622" s="5" t="n"/>
      <c r="M4622" s="5">
        <f>IF(YEAR(I4622)&lt;=2020,"Até 2020",TEXT(YEAR(I4622),"0"))</f>
        <v/>
      </c>
      <c r="N4622" s="5">
        <f>IFERROR(INDEX(DePara!$A:$A,MATCH(TEXT(B4622,"0"),DePara!$D:$D,0)),"(sem categoria)")</f>
        <v/>
      </c>
      <c r="O4622" s="5">
        <f>IF(J4622="","",Parametros!$B$6-J4622)</f>
        <v/>
      </c>
      <c r="P4622" s="5">
        <f>IF(O4622="","",IF(O4622&gt;0,1,0))</f>
        <v/>
      </c>
    </row>
    <row r="4623">
      <c r="A4623" s="5" t="n">
        <v>1117730000</v>
      </c>
      <c r="B4623" s="5" t="inlineStr">
        <is>
          <t>EM000167</t>
        </is>
      </c>
      <c r="C4623" s="5" t="inlineStr">
        <is>
          <t>ANDERSON DE LIMA AFFONSO</t>
        </is>
      </c>
      <c r="D4623" s="5" t="inlineStr">
        <is>
          <t>AB</t>
        </is>
      </c>
      <c r="E4623" s="5" t="n">
        <v>1100005948</v>
      </c>
      <c r="F4623" s="5" t="inlineStr">
        <is>
          <t>CC 02.2026</t>
        </is>
      </c>
      <c r="G4623" s="5" t="inlineStr">
        <is>
          <t>BRL</t>
        </is>
      </c>
      <c r="H4623" s="9" t="n">
        <v>83</v>
      </c>
      <c r="I4623" s="16" t="n">
        <v>46078</v>
      </c>
      <c r="J4623" s="16" t="n">
        <v>46078</v>
      </c>
      <c r="K4623" s="5" t="inlineStr">
        <is>
          <t>Partida individual ANDERSON DE LIMA AFFONSO</t>
        </is>
      </c>
      <c r="L4623" s="5" t="n"/>
      <c r="M4623" s="5">
        <f>IF(YEAR(I4623)&lt;=2020,"Até 2020",TEXT(YEAR(I4623),"0"))</f>
        <v/>
      </c>
      <c r="N4623" s="5">
        <f>IFERROR(INDEX(DePara!$A:$A,MATCH(TEXT(B4623,"0"),DePara!$D:$D,0)),"(sem categoria)")</f>
        <v/>
      </c>
      <c r="O4623" s="5">
        <f>IF(J4623="","",Parametros!$B$6-J4623)</f>
        <v/>
      </c>
      <c r="P4623" s="5">
        <f>IF(O4623="","",IF(O4623&gt;0,1,0))</f>
        <v/>
      </c>
    </row>
    <row r="4624">
      <c r="A4624" s="5" t="n">
        <v>1117730000</v>
      </c>
      <c r="B4624" s="5" t="inlineStr">
        <is>
          <t>EM000048</t>
        </is>
      </c>
      <c r="C4624" s="5" t="inlineStr">
        <is>
          <t>ARLINDO ASTYZEM REGO</t>
        </is>
      </c>
      <c r="D4624" s="5" t="inlineStr">
        <is>
          <t>AB</t>
        </is>
      </c>
      <c r="E4624" s="5" t="n">
        <v>1100005948</v>
      </c>
      <c r="F4624" s="5" t="inlineStr">
        <is>
          <t>CC 02.2026</t>
        </is>
      </c>
      <c r="G4624" s="5" t="inlineStr">
        <is>
          <t>BRL</t>
        </is>
      </c>
      <c r="H4624" s="9" t="n">
        <v>1928.32</v>
      </c>
      <c r="I4624" s="16" t="n">
        <v>46078</v>
      </c>
      <c r="J4624" s="16" t="n">
        <v>46078</v>
      </c>
      <c r="K4624" s="5" t="inlineStr">
        <is>
          <t>Partida individual ARLINDO ASTYZEM REGO</t>
        </is>
      </c>
      <c r="L4624" s="5" t="n"/>
      <c r="M4624" s="5">
        <f>IF(YEAR(I4624)&lt;=2020,"Até 2020",TEXT(YEAR(I4624),"0"))</f>
        <v/>
      </c>
      <c r="N4624" s="5">
        <f>IFERROR(INDEX(DePara!$A:$A,MATCH(TEXT(B4624,"0"),DePara!$D:$D,0)),"(sem categoria)")</f>
        <v/>
      </c>
      <c r="O4624" s="5">
        <f>IF(J4624="","",Parametros!$B$6-J4624)</f>
        <v/>
      </c>
      <c r="P4624" s="5">
        <f>IF(O4624="","",IF(O4624&gt;0,1,0))</f>
        <v/>
      </c>
    </row>
    <row r="4625">
      <c r="A4625" s="5" t="n">
        <v>1117730000</v>
      </c>
      <c r="B4625" s="5" t="inlineStr">
        <is>
          <t>EM000024</t>
        </is>
      </c>
      <c r="C4625" s="5" t="inlineStr">
        <is>
          <t>GUILLERMO ROSSI</t>
        </is>
      </c>
      <c r="D4625" s="5" t="inlineStr">
        <is>
          <t>AB</t>
        </is>
      </c>
      <c r="E4625" s="5" t="n">
        <v>1100005948</v>
      </c>
      <c r="F4625" s="5" t="inlineStr">
        <is>
          <t>CC 02.2026</t>
        </is>
      </c>
      <c r="G4625" s="5" t="inlineStr">
        <is>
          <t>BRL</t>
        </is>
      </c>
      <c r="H4625" s="9" t="n">
        <v>2683.15</v>
      </c>
      <c r="I4625" s="16" t="n">
        <v>46078</v>
      </c>
      <c r="J4625" s="16" t="n">
        <v>46078</v>
      </c>
      <c r="K4625" s="5" t="inlineStr">
        <is>
          <t>Partida individual GUILLERMO ROSSI</t>
        </is>
      </c>
      <c r="L4625" s="5" t="n"/>
      <c r="M4625" s="5">
        <f>IF(YEAR(I4625)&lt;=2020,"Até 2020",TEXT(YEAR(I4625),"0"))</f>
        <v/>
      </c>
      <c r="N4625" s="5">
        <f>IFERROR(INDEX(DePara!$A:$A,MATCH(TEXT(B4625,"0"),DePara!$D:$D,0)),"(sem categoria)")</f>
        <v/>
      </c>
      <c r="O4625" s="5">
        <f>IF(J4625="","",Parametros!$B$6-J4625)</f>
        <v/>
      </c>
      <c r="P4625" s="5">
        <f>IF(O4625="","",IF(O4625&gt;0,1,0))</f>
        <v/>
      </c>
    </row>
    <row r="4626">
      <c r="A4626" s="5" t="n">
        <v>1117730000</v>
      </c>
      <c r="B4626" s="5" t="inlineStr">
        <is>
          <t>EM000157</t>
        </is>
      </c>
      <c r="C4626" s="5" t="inlineStr">
        <is>
          <t>JULIANO NASCIMIENTO</t>
        </is>
      </c>
      <c r="D4626" s="5" t="inlineStr">
        <is>
          <t>AB</t>
        </is>
      </c>
      <c r="E4626" s="5" t="n">
        <v>1100005948</v>
      </c>
      <c r="F4626" s="5" t="inlineStr">
        <is>
          <t>CC 02.2026</t>
        </is>
      </c>
      <c r="G4626" s="5" t="inlineStr">
        <is>
          <t>BRL</t>
        </is>
      </c>
      <c r="H4626" s="9" t="n">
        <v>640</v>
      </c>
      <c r="I4626" s="16" t="n">
        <v>46078</v>
      </c>
      <c r="J4626" s="16" t="n">
        <v>46078</v>
      </c>
      <c r="K4626" s="5" t="inlineStr">
        <is>
          <t>Partida individual JULIANO NASCIMIENTO</t>
        </is>
      </c>
      <c r="L4626" s="5" t="n"/>
      <c r="M4626" s="5">
        <f>IF(YEAR(I4626)&lt;=2020,"Até 2020",TEXT(YEAR(I4626),"0"))</f>
        <v/>
      </c>
      <c r="N4626" s="5">
        <f>IFERROR(INDEX(DePara!$A:$A,MATCH(TEXT(B4626,"0"),DePara!$D:$D,0)),"(sem categoria)")</f>
        <v/>
      </c>
      <c r="O4626" s="5">
        <f>IF(J4626="","",Parametros!$B$6-J4626)</f>
        <v/>
      </c>
      <c r="P4626" s="5">
        <f>IF(O4626="","",IF(O4626&gt;0,1,0))</f>
        <v/>
      </c>
    </row>
    <row r="4627">
      <c r="A4627" s="5" t="n">
        <v>1117730000</v>
      </c>
      <c r="B4627" s="5" t="inlineStr">
        <is>
          <t>EM000019</t>
        </is>
      </c>
      <c r="C4627" s="5" t="inlineStr">
        <is>
          <t>MARCIO RISSO LEITAO</t>
        </is>
      </c>
      <c r="D4627" s="5" t="inlineStr">
        <is>
          <t>AB</t>
        </is>
      </c>
      <c r="E4627" s="5" t="n">
        <v>1100005948</v>
      </c>
      <c r="F4627" s="5" t="inlineStr">
        <is>
          <t>CC 02.2026</t>
        </is>
      </c>
      <c r="G4627" s="5" t="inlineStr">
        <is>
          <t>BRL</t>
        </is>
      </c>
      <c r="H4627" s="9" t="n">
        <v>704.79</v>
      </c>
      <c r="I4627" s="16" t="n">
        <v>46078</v>
      </c>
      <c r="J4627" s="16" t="n">
        <v>46078</v>
      </c>
      <c r="K4627" s="5" t="inlineStr">
        <is>
          <t>Partida individual MARCIO RISSO LEITAO</t>
        </is>
      </c>
      <c r="L4627" s="5" t="n"/>
      <c r="M4627" s="5">
        <f>IF(YEAR(I4627)&lt;=2020,"Até 2020",TEXT(YEAR(I4627),"0"))</f>
        <v/>
      </c>
      <c r="N4627" s="5">
        <f>IFERROR(INDEX(DePara!$A:$A,MATCH(TEXT(B4627,"0"),DePara!$D:$D,0)),"(sem categoria)")</f>
        <v/>
      </c>
      <c r="O4627" s="5">
        <f>IF(J4627="","",Parametros!$B$6-J4627)</f>
        <v/>
      </c>
      <c r="P4627" s="5">
        <f>IF(O4627="","",IF(O4627&gt;0,1,0))</f>
        <v/>
      </c>
    </row>
    <row r="4628">
      <c r="A4628" s="5" t="n">
        <v>1117730000</v>
      </c>
      <c r="B4628" s="5" t="inlineStr">
        <is>
          <t>EM000029</t>
        </is>
      </c>
      <c r="C4628" s="5" t="inlineStr">
        <is>
          <t>RENATO BRUNO LIMA DE FARIAS</t>
        </is>
      </c>
      <c r="D4628" s="5" t="inlineStr">
        <is>
          <t>AB</t>
        </is>
      </c>
      <c r="E4628" s="5" t="n">
        <v>1100005948</v>
      </c>
      <c r="F4628" s="5" t="inlineStr">
        <is>
          <t>CC 02.2026</t>
        </is>
      </c>
      <c r="G4628" s="5" t="inlineStr">
        <is>
          <t>BRL</t>
        </is>
      </c>
      <c r="H4628" s="9" t="n">
        <v>2691.05</v>
      </c>
      <c r="I4628" s="16" t="n">
        <v>46078</v>
      </c>
      <c r="J4628" s="16" t="n">
        <v>46078</v>
      </c>
      <c r="K4628" s="5" t="inlineStr">
        <is>
          <t>Partida individual RENATO BRUNO LIMA DE FARIAS</t>
        </is>
      </c>
      <c r="L4628" s="5" t="n"/>
      <c r="M4628" s="5">
        <f>IF(YEAR(I4628)&lt;=2020,"Até 2020",TEXT(YEAR(I4628),"0"))</f>
        <v/>
      </c>
      <c r="N4628" s="5">
        <f>IFERROR(INDEX(DePara!$A:$A,MATCH(TEXT(B4628,"0"),DePara!$D:$D,0)),"(sem categoria)")</f>
        <v/>
      </c>
      <c r="O4628" s="5">
        <f>IF(J4628="","",Parametros!$B$6-J4628)</f>
        <v/>
      </c>
      <c r="P4628" s="5">
        <f>IF(O4628="","",IF(O4628&gt;0,1,0))</f>
        <v/>
      </c>
    </row>
    <row r="4629">
      <c r="A4629" s="5" t="n">
        <v>1117730000</v>
      </c>
      <c r="B4629" s="5" t="inlineStr">
        <is>
          <t>EM000633</t>
        </is>
      </c>
      <c r="C4629" s="5" t="inlineStr">
        <is>
          <t>ROGERIO PEREIRA PASSOS</t>
        </is>
      </c>
      <c r="D4629" s="5" t="inlineStr">
        <is>
          <t>AB</t>
        </is>
      </c>
      <c r="E4629" s="5" t="n">
        <v>1100005948</v>
      </c>
      <c r="F4629" s="5" t="inlineStr">
        <is>
          <t>CC 02.2026</t>
        </is>
      </c>
      <c r="G4629" s="5" t="inlineStr">
        <is>
          <t>BRL</t>
        </is>
      </c>
      <c r="H4629" s="9" t="n">
        <v>462.55</v>
      </c>
      <c r="I4629" s="16" t="n">
        <v>46078</v>
      </c>
      <c r="J4629" s="16" t="n">
        <v>46078</v>
      </c>
      <c r="K4629" s="5" t="inlineStr">
        <is>
          <t>Partida individual ROGERIO PEREIRA PASSOS</t>
        </is>
      </c>
      <c r="L4629" s="5" t="n"/>
      <c r="M4629" s="5">
        <f>IF(YEAR(I4629)&lt;=2020,"Até 2020",TEXT(YEAR(I4629),"0"))</f>
        <v/>
      </c>
      <c r="N4629" s="5">
        <f>IFERROR(INDEX(DePara!$A:$A,MATCH(TEXT(B4629,"0"),DePara!$D:$D,0)),"(sem categoria)")</f>
        <v/>
      </c>
      <c r="O4629" s="5">
        <f>IF(J4629="","",Parametros!$B$6-J4629)</f>
        <v/>
      </c>
      <c r="P4629" s="5">
        <f>IF(O4629="","",IF(O4629&gt;0,1,0))</f>
        <v/>
      </c>
    </row>
    <row r="4630">
      <c r="A4630" s="5" t="n">
        <v>1117730000</v>
      </c>
      <c r="B4630" s="5" t="inlineStr">
        <is>
          <t>EM000080</t>
        </is>
      </c>
      <c r="C4630" s="5" t="inlineStr">
        <is>
          <t>SAIRON DOS SANTOS BASTOS</t>
        </is>
      </c>
      <c r="D4630" s="5" t="inlineStr">
        <is>
          <t>AB</t>
        </is>
      </c>
      <c r="E4630" s="5" t="n">
        <v>1100005948</v>
      </c>
      <c r="F4630" s="5" t="inlineStr">
        <is>
          <t>CC 02.2026</t>
        </is>
      </c>
      <c r="G4630" s="5" t="inlineStr">
        <is>
          <t>BRL</t>
        </is>
      </c>
      <c r="H4630" s="9" t="n">
        <v>52.29</v>
      </c>
      <c r="I4630" s="16" t="n">
        <v>46078</v>
      </c>
      <c r="J4630" s="16" t="n">
        <v>46078</v>
      </c>
      <c r="K4630" s="5" t="inlineStr">
        <is>
          <t>Partida individual SAIRON DOS SANTOS BASTOS</t>
        </is>
      </c>
      <c r="L4630" s="5" t="n"/>
      <c r="M4630" s="5">
        <f>IF(YEAR(I4630)&lt;=2020,"Até 2020",TEXT(YEAR(I4630),"0"))</f>
        <v/>
      </c>
      <c r="N4630" s="5">
        <f>IFERROR(INDEX(DePara!$A:$A,MATCH(TEXT(B4630,"0"),DePara!$D:$D,0)),"(sem categoria)")</f>
        <v/>
      </c>
      <c r="O4630" s="5">
        <f>IF(J4630="","",Parametros!$B$6-J4630)</f>
        <v/>
      </c>
      <c r="P4630" s="5">
        <f>IF(O4630="","",IF(O4630&gt;0,1,0))</f>
        <v/>
      </c>
    </row>
    <row r="4631">
      <c r="A4631" s="5" t="n">
        <v>1117730000</v>
      </c>
      <c r="B4631" s="5" t="inlineStr">
        <is>
          <t>EM000281</t>
        </is>
      </c>
      <c r="C4631" s="5" t="inlineStr">
        <is>
          <t>VANESSA REGINA DE CAMARGO</t>
        </is>
      </c>
      <c r="D4631" s="5" t="inlineStr">
        <is>
          <t>AB</t>
        </is>
      </c>
      <c r="E4631" s="5" t="n">
        <v>1100005948</v>
      </c>
      <c r="F4631" s="5" t="inlineStr">
        <is>
          <t>CC 02.2026</t>
        </is>
      </c>
      <c r="G4631" s="5" t="inlineStr">
        <is>
          <t>BRL</t>
        </is>
      </c>
      <c r="H4631" s="9" t="n">
        <v>3244.87</v>
      </c>
      <c r="I4631" s="16" t="n">
        <v>46078</v>
      </c>
      <c r="J4631" s="16" t="n">
        <v>46078</v>
      </c>
      <c r="K4631" s="5" t="inlineStr">
        <is>
          <t>Partida individual VANESSA REGINA DE CAMARGO</t>
        </is>
      </c>
      <c r="L4631" s="5" t="n"/>
      <c r="M4631" s="5">
        <f>IF(YEAR(I4631)&lt;=2020,"Até 2020",TEXT(YEAR(I4631),"0"))</f>
        <v/>
      </c>
      <c r="N4631" s="5">
        <f>IFERROR(INDEX(DePara!$A:$A,MATCH(TEXT(B4631,"0"),DePara!$D:$D,0)),"(sem categoria)")</f>
        <v/>
      </c>
      <c r="O4631" s="5">
        <f>IF(J4631="","",Parametros!$B$6-J4631)</f>
        <v/>
      </c>
      <c r="P4631" s="5">
        <f>IF(O4631="","",IF(O4631&gt;0,1,0))</f>
        <v/>
      </c>
    </row>
    <row r="4632">
      <c r="A4632" s="5" t="n">
        <v>1117730000</v>
      </c>
      <c r="B4632" s="5" t="inlineStr">
        <is>
          <t>EM000296</t>
        </is>
      </c>
      <c r="C4632" s="5" t="inlineStr">
        <is>
          <t>ROBERTISON JOSE DE BRITO</t>
        </is>
      </c>
      <c r="D4632" s="5" t="inlineStr">
        <is>
          <t>AB</t>
        </is>
      </c>
      <c r="E4632" s="5" t="n">
        <v>1100006401</v>
      </c>
      <c r="F4632" s="5" t="inlineStr">
        <is>
          <t>CC 06.2025</t>
        </is>
      </c>
      <c r="G4632" s="5" t="inlineStr">
        <is>
          <t>BRL</t>
        </is>
      </c>
      <c r="H4632" s="9" t="n">
        <v>24.39</v>
      </c>
      <c r="I4632" s="16" t="n">
        <v>46087</v>
      </c>
      <c r="J4632" s="16" t="n">
        <v>45884</v>
      </c>
      <c r="K4632" s="5" t="inlineStr">
        <is>
          <t>Clearing document ROBERTISON JOSE DE BRITO CC 06.2</t>
        </is>
      </c>
      <c r="L4632" s="5" t="n"/>
      <c r="M4632" s="5">
        <f>IF(YEAR(I4632)&lt;=2020,"Até 2020",TEXT(YEAR(I4632),"0"))</f>
        <v/>
      </c>
      <c r="N4632" s="5">
        <f>IFERROR(INDEX(DePara!$A:$A,MATCH(TEXT(B4632,"0"),DePara!$D:$D,0)),"(sem categoria)")</f>
        <v/>
      </c>
      <c r="O4632" s="5">
        <f>IF(J4632="","",Parametros!$B$6-J4632)</f>
        <v/>
      </c>
      <c r="P4632" s="5">
        <f>IF(O4632="","",IF(O4632&gt;0,1,0))</f>
        <v/>
      </c>
    </row>
    <row r="4633">
      <c r="A4633" s="5" t="n">
        <v>1117730000</v>
      </c>
      <c r="B4633" s="5" t="inlineStr">
        <is>
          <t>EM000027</t>
        </is>
      </c>
      <c r="C4633" s="5" t="inlineStr">
        <is>
          <t>RAFAEL AUGUSTO DA SILVA GOULARTE</t>
        </is>
      </c>
      <c r="D4633" s="5" t="inlineStr">
        <is>
          <t>AB</t>
        </is>
      </c>
      <c r="E4633" s="5" t="n">
        <v>1100006444</v>
      </c>
      <c r="F4633" s="5" t="inlineStr">
        <is>
          <t>43919</t>
        </is>
      </c>
      <c r="G4633" s="5" t="inlineStr">
        <is>
          <t>BRL</t>
        </is>
      </c>
      <c r="H4633" s="9" t="n">
        <v>720</v>
      </c>
      <c r="I4633" s="16" t="n">
        <v>46090</v>
      </c>
      <c r="J4633" s="16" t="n">
        <v>46036</v>
      </c>
      <c r="K4633" s="5" t="inlineStr">
        <is>
          <t>Clearing document RAFAEL AUGUSTO DA SILVA GOULARTE</t>
        </is>
      </c>
      <c r="L4633" s="5" t="inlineStr">
        <is>
          <t>14012026</t>
        </is>
      </c>
      <c r="M4633" s="5">
        <f>IF(YEAR(I4633)&lt;=2020,"Até 2020",TEXT(YEAR(I4633),"0"))</f>
        <v/>
      </c>
      <c r="N4633" s="5">
        <f>IFERROR(INDEX(DePara!$A:$A,MATCH(TEXT(B4633,"0"),DePara!$D:$D,0)),"(sem categoria)")</f>
        <v/>
      </c>
      <c r="O4633" s="5">
        <f>IF(J4633="","",Parametros!$B$6-J4633)</f>
        <v/>
      </c>
      <c r="P4633" s="5">
        <f>IF(O4633="","",IF(O4633&gt;0,1,0))</f>
        <v/>
      </c>
    </row>
    <row r="4634">
      <c r="A4634" s="5" t="n">
        <v>1117730000</v>
      </c>
      <c r="B4634" s="5" t="inlineStr">
        <is>
          <t>EM000083</t>
        </is>
      </c>
      <c r="C4634" s="5" t="inlineStr">
        <is>
          <t>ANDERSON DE SOUZA MOTA</t>
        </is>
      </c>
      <c r="D4634" s="5" t="inlineStr">
        <is>
          <t>AB</t>
        </is>
      </c>
      <c r="E4634" s="5" t="n">
        <v>1100008062</v>
      </c>
      <c r="F4634" s="5" t="inlineStr">
        <is>
          <t>CC 03.2026</t>
        </is>
      </c>
      <c r="G4634" s="5" t="inlineStr">
        <is>
          <t>BRL</t>
        </is>
      </c>
      <c r="H4634" s="9" t="n">
        <v>790</v>
      </c>
      <c r="I4634" s="16" t="n">
        <v>46106</v>
      </c>
      <c r="J4634" s="16" t="n">
        <v>46106</v>
      </c>
      <c r="K4634" s="5" t="inlineStr">
        <is>
          <t>Partida individual ANDERSON DE SOUZA MOTA CC 03.20</t>
        </is>
      </c>
      <c r="L4634" s="5" t="n"/>
      <c r="M4634" s="5">
        <f>IF(YEAR(I4634)&lt;=2020,"Até 2020",TEXT(YEAR(I4634),"0"))</f>
        <v/>
      </c>
      <c r="N4634" s="5">
        <f>IFERROR(INDEX(DePara!$A:$A,MATCH(TEXT(B4634,"0"),DePara!$D:$D,0)),"(sem categoria)")</f>
        <v/>
      </c>
      <c r="O4634" s="5">
        <f>IF(J4634="","",Parametros!$B$6-J4634)</f>
        <v/>
      </c>
      <c r="P4634" s="5">
        <f>IF(O4634="","",IF(O4634&gt;0,1,0))</f>
        <v/>
      </c>
    </row>
    <row r="4635">
      <c r="A4635" s="5" t="n">
        <v>1117730000</v>
      </c>
      <c r="B4635" s="5" t="inlineStr">
        <is>
          <t>EM000161</t>
        </is>
      </c>
      <c r="C4635" s="5" t="inlineStr">
        <is>
          <t>ARIOVALDO COSTA FILHO</t>
        </is>
      </c>
      <c r="D4635" s="5" t="inlineStr">
        <is>
          <t>AB</t>
        </is>
      </c>
      <c r="E4635" s="5" t="n">
        <v>1100008062</v>
      </c>
      <c r="F4635" s="5" t="inlineStr">
        <is>
          <t>CC 03.2026</t>
        </is>
      </c>
      <c r="G4635" s="5" t="inlineStr">
        <is>
          <t>BRL</t>
        </is>
      </c>
      <c r="H4635" s="9" t="n">
        <v>275</v>
      </c>
      <c r="I4635" s="16" t="n">
        <v>46106</v>
      </c>
      <c r="J4635" s="16" t="n">
        <v>46106</v>
      </c>
      <c r="K4635" s="5" t="inlineStr">
        <is>
          <t>Partida individual ARIOVALDO COSTA FILHO CC 03.202</t>
        </is>
      </c>
      <c r="L4635" s="5" t="n"/>
      <c r="M4635" s="5">
        <f>IF(YEAR(I4635)&lt;=2020,"Até 2020",TEXT(YEAR(I4635),"0"))</f>
        <v/>
      </c>
      <c r="N4635" s="5">
        <f>IFERROR(INDEX(DePara!$A:$A,MATCH(TEXT(B4635,"0"),DePara!$D:$D,0)),"(sem categoria)")</f>
        <v/>
      </c>
      <c r="O4635" s="5">
        <f>IF(J4635="","",Parametros!$B$6-J4635)</f>
        <v/>
      </c>
      <c r="P4635" s="5">
        <f>IF(O4635="","",IF(O4635&gt;0,1,0))</f>
        <v/>
      </c>
    </row>
    <row r="4636">
      <c r="A4636" s="5" t="n">
        <v>1117730000</v>
      </c>
      <c r="B4636" s="5" t="inlineStr">
        <is>
          <t>EM000238</t>
        </is>
      </c>
      <c r="C4636" s="5" t="inlineStr">
        <is>
          <t>FEDERICO BIANCHI</t>
        </is>
      </c>
      <c r="D4636" s="5" t="inlineStr">
        <is>
          <t>AB</t>
        </is>
      </c>
      <c r="E4636" s="5" t="n">
        <v>1100008062</v>
      </c>
      <c r="F4636" s="5" t="inlineStr">
        <is>
          <t>CC 03.2026</t>
        </is>
      </c>
      <c r="G4636" s="5" t="inlineStr">
        <is>
          <t>BRL</t>
        </is>
      </c>
      <c r="H4636" s="9" t="n">
        <v>1824.39</v>
      </c>
      <c r="I4636" s="16" t="n">
        <v>46106</v>
      </c>
      <c r="J4636" s="16" t="n">
        <v>46106</v>
      </c>
      <c r="K4636" s="5" t="inlineStr">
        <is>
          <t>Partida individual FEDERICO BIANCHI CC 03.2026</t>
        </is>
      </c>
      <c r="L4636" s="5" t="n"/>
      <c r="M4636" s="5">
        <f>IF(YEAR(I4636)&lt;=2020,"Até 2020",TEXT(YEAR(I4636),"0"))</f>
        <v/>
      </c>
      <c r="N4636" s="5">
        <f>IFERROR(INDEX(DePara!$A:$A,MATCH(TEXT(B4636,"0"),DePara!$D:$D,0)),"(sem categoria)")</f>
        <v/>
      </c>
      <c r="O4636" s="5">
        <f>IF(J4636="","",Parametros!$B$6-J4636)</f>
        <v/>
      </c>
      <c r="P4636" s="5">
        <f>IF(O4636="","",IF(O4636&gt;0,1,0))</f>
        <v/>
      </c>
    </row>
    <row r="4637">
      <c r="A4637" s="5" t="n">
        <v>1117730000</v>
      </c>
      <c r="B4637" s="5" t="inlineStr">
        <is>
          <t>EM000127</t>
        </is>
      </c>
      <c r="C4637" s="5" t="inlineStr">
        <is>
          <t>GUSTAVO FERNANDES LIMA</t>
        </is>
      </c>
      <c r="D4637" s="5" t="inlineStr">
        <is>
          <t>AB</t>
        </is>
      </c>
      <c r="E4637" s="5" t="n">
        <v>1100008062</v>
      </c>
      <c r="F4637" s="5" t="inlineStr">
        <is>
          <t>CC 03.2026</t>
        </is>
      </c>
      <c r="G4637" s="5" t="inlineStr">
        <is>
          <t>BRL</t>
        </is>
      </c>
      <c r="H4637" s="9" t="n">
        <v>2824.98</v>
      </c>
      <c r="I4637" s="16" t="n">
        <v>46106</v>
      </c>
      <c r="J4637" s="16" t="n">
        <v>46106</v>
      </c>
      <c r="K4637" s="5" t="inlineStr">
        <is>
          <t>Partida individual GUSTAVO FERNANDES LIMA CC 03.20</t>
        </is>
      </c>
      <c r="L4637" s="5" t="n"/>
      <c r="M4637" s="5">
        <f>IF(YEAR(I4637)&lt;=2020,"Até 2020",TEXT(YEAR(I4637),"0"))</f>
        <v/>
      </c>
      <c r="N4637" s="5">
        <f>IFERROR(INDEX(DePara!$A:$A,MATCH(TEXT(B4637,"0"),DePara!$D:$D,0)),"(sem categoria)")</f>
        <v/>
      </c>
      <c r="O4637" s="5">
        <f>IF(J4637="","",Parametros!$B$6-J4637)</f>
        <v/>
      </c>
      <c r="P4637" s="5">
        <f>IF(O4637="","",IF(O4637&gt;0,1,0))</f>
        <v/>
      </c>
    </row>
    <row r="4638">
      <c r="A4638" s="5" t="n">
        <v>1117730000</v>
      </c>
      <c r="B4638" s="5" t="inlineStr">
        <is>
          <t>EM000157</t>
        </is>
      </c>
      <c r="C4638" s="5" t="inlineStr">
        <is>
          <t>JULIANO NASCIMIENTO</t>
        </is>
      </c>
      <c r="D4638" s="5" t="inlineStr">
        <is>
          <t>AB</t>
        </is>
      </c>
      <c r="E4638" s="5" t="n">
        <v>1100008062</v>
      </c>
      <c r="F4638" s="5" t="inlineStr">
        <is>
          <t>CC 03.2026</t>
        </is>
      </c>
      <c r="G4638" s="5" t="inlineStr">
        <is>
          <t>BRL</t>
        </is>
      </c>
      <c r="H4638" s="9" t="n">
        <v>2805.48</v>
      </c>
      <c r="I4638" s="16" t="n">
        <v>46106</v>
      </c>
      <c r="J4638" s="16" t="n">
        <v>46106</v>
      </c>
      <c r="K4638" s="5" t="inlineStr">
        <is>
          <t>Partida individual JULIANO NASCIMIENTO CC 03.2026</t>
        </is>
      </c>
      <c r="L4638" s="5" t="n"/>
      <c r="M4638" s="5">
        <f>IF(YEAR(I4638)&lt;=2020,"Até 2020",TEXT(YEAR(I4638),"0"))</f>
        <v/>
      </c>
      <c r="N4638" s="5">
        <f>IFERROR(INDEX(DePara!$A:$A,MATCH(TEXT(B4638,"0"),DePara!$D:$D,0)),"(sem categoria)")</f>
        <v/>
      </c>
      <c r="O4638" s="5">
        <f>IF(J4638="","",Parametros!$B$6-J4638)</f>
        <v/>
      </c>
      <c r="P4638" s="5">
        <f>IF(O4638="","",IF(O4638&gt;0,1,0))</f>
        <v/>
      </c>
    </row>
    <row r="4639">
      <c r="A4639" s="5" t="n">
        <v>1117730000</v>
      </c>
      <c r="B4639" s="5" t="inlineStr">
        <is>
          <t>EM000029</t>
        </is>
      </c>
      <c r="C4639" s="5" t="inlineStr">
        <is>
          <t>RENATO BRUNO LIMA DE FARIAS</t>
        </is>
      </c>
      <c r="D4639" s="5" t="inlineStr">
        <is>
          <t>AB</t>
        </is>
      </c>
      <c r="E4639" s="5" t="n">
        <v>1100008062</v>
      </c>
      <c r="F4639" s="5" t="inlineStr">
        <is>
          <t>CC 03.2026</t>
        </is>
      </c>
      <c r="G4639" s="5" t="inlineStr">
        <is>
          <t>BRL</t>
        </is>
      </c>
      <c r="H4639" s="9" t="n">
        <v>1474.01</v>
      </c>
      <c r="I4639" s="16" t="n">
        <v>46106</v>
      </c>
      <c r="J4639" s="16" t="n">
        <v>46106</v>
      </c>
      <c r="K4639" s="5" t="inlineStr">
        <is>
          <t>Partida individual RENATO BRUNO LIMA DE FARIAS CC</t>
        </is>
      </c>
      <c r="L4639" s="5" t="n"/>
      <c r="M4639" s="5">
        <f>IF(YEAR(I4639)&lt;=2020,"Até 2020",TEXT(YEAR(I4639),"0"))</f>
        <v/>
      </c>
      <c r="N4639" s="5">
        <f>IFERROR(INDEX(DePara!$A:$A,MATCH(TEXT(B4639,"0"),DePara!$D:$D,0)),"(sem categoria)")</f>
        <v/>
      </c>
      <c r="O4639" s="5">
        <f>IF(J4639="","",Parametros!$B$6-J4639)</f>
        <v/>
      </c>
      <c r="P4639" s="5">
        <f>IF(O4639="","",IF(O4639&gt;0,1,0))</f>
        <v/>
      </c>
    </row>
    <row r="4640">
      <c r="A4640" s="5" t="n">
        <v>1117730000</v>
      </c>
      <c r="B4640" s="5" t="inlineStr">
        <is>
          <t>EM000281</t>
        </is>
      </c>
      <c r="C4640" s="5" t="inlineStr">
        <is>
          <t>VANESSA REGINA DE CAMARGO</t>
        </is>
      </c>
      <c r="D4640" s="5" t="inlineStr">
        <is>
          <t>AB</t>
        </is>
      </c>
      <c r="E4640" s="5" t="n">
        <v>1100008062</v>
      </c>
      <c r="F4640" s="5" t="inlineStr">
        <is>
          <t>CC 03.2026</t>
        </is>
      </c>
      <c r="G4640" s="5" t="inlineStr">
        <is>
          <t>BRL</t>
        </is>
      </c>
      <c r="H4640" s="9" t="n">
        <v>597.91</v>
      </c>
      <c r="I4640" s="16" t="n">
        <v>46106</v>
      </c>
      <c r="J4640" s="16" t="n">
        <v>46106</v>
      </c>
      <c r="K4640" s="5" t="inlineStr">
        <is>
          <t>Partida individual VANESSA REGINA DE CAMARGO CC 03</t>
        </is>
      </c>
      <c r="L4640" s="5" t="n"/>
      <c r="M4640" s="5">
        <f>IF(YEAR(I4640)&lt;=2020,"Até 2020",TEXT(YEAR(I4640),"0"))</f>
        <v/>
      </c>
      <c r="N4640" s="5">
        <f>IFERROR(INDEX(DePara!$A:$A,MATCH(TEXT(B4640,"0"),DePara!$D:$D,0)),"(sem categoria)")</f>
        <v/>
      </c>
      <c r="O4640" s="5">
        <f>IF(J4640="","",Parametros!$B$6-J4640)</f>
        <v/>
      </c>
      <c r="P4640" s="5">
        <f>IF(O4640="","",IF(O4640&gt;0,1,0))</f>
        <v/>
      </c>
    </row>
    <row r="4641">
      <c r="A4641" s="5" t="n">
        <v>1117730000</v>
      </c>
      <c r="B4641" s="5" t="inlineStr">
        <is>
          <t>EM000048</t>
        </is>
      </c>
      <c r="C4641" s="5" t="inlineStr">
        <is>
          <t>ARLINDO ASTYZEM REGO</t>
        </is>
      </c>
      <c r="D4641" s="5" t="inlineStr">
        <is>
          <t>AB</t>
        </is>
      </c>
      <c r="E4641" s="5" t="n">
        <v>1100010073</v>
      </c>
      <c r="F4641" s="5" t="inlineStr">
        <is>
          <t>CC 04.2026</t>
        </is>
      </c>
      <c r="G4641" s="5" t="inlineStr">
        <is>
          <t>BRL</t>
        </is>
      </c>
      <c r="H4641" s="9" t="n">
        <v>3287.09</v>
      </c>
      <c r="I4641" s="16" t="n">
        <v>46127</v>
      </c>
      <c r="J4641" s="16" t="n">
        <v>46127</v>
      </c>
      <c r="K4641" s="5" t="inlineStr">
        <is>
          <t>Partida individual ARLINDO ASTYZEM REGO CC 04.2026</t>
        </is>
      </c>
      <c r="L4641" s="5" t="n"/>
      <c r="M4641" s="5">
        <f>IF(YEAR(I4641)&lt;=2020,"Até 2020",TEXT(YEAR(I4641),"0"))</f>
        <v/>
      </c>
      <c r="N4641" s="5">
        <f>IFERROR(INDEX(DePara!$A:$A,MATCH(TEXT(B4641,"0"),DePara!$D:$D,0)),"(sem categoria)")</f>
        <v/>
      </c>
      <c r="O4641" s="5">
        <f>IF(J4641="","",Parametros!$B$6-J4641)</f>
        <v/>
      </c>
      <c r="P4641" s="5">
        <f>IF(O4641="","",IF(O4641&gt;0,1,0))</f>
        <v/>
      </c>
    </row>
    <row r="4642">
      <c r="A4642" s="5" t="n">
        <v>1117730000</v>
      </c>
      <c r="B4642" s="5" t="inlineStr">
        <is>
          <t>EM000167</t>
        </is>
      </c>
      <c r="C4642" s="5" t="inlineStr">
        <is>
          <t>ANDERSON DE LIMA AFFONSO</t>
        </is>
      </c>
      <c r="D4642" s="5" t="inlineStr">
        <is>
          <t>AB</t>
        </is>
      </c>
      <c r="E4642" s="5" t="n">
        <v>1100010073</v>
      </c>
      <c r="F4642" s="5" t="inlineStr">
        <is>
          <t>CC 04.2026</t>
        </is>
      </c>
      <c r="G4642" s="5" t="inlineStr">
        <is>
          <t>BRL</t>
        </is>
      </c>
      <c r="H4642" s="9" t="n">
        <v>1315.08</v>
      </c>
      <c r="I4642" s="16" t="n">
        <v>46127</v>
      </c>
      <c r="J4642" s="16" t="n">
        <v>46127</v>
      </c>
      <c r="K4642" s="5" t="inlineStr">
        <is>
          <t>Partida individual ANDERSON DE LIMA AFFONSO CC 04.</t>
        </is>
      </c>
      <c r="L4642" s="5" t="n"/>
      <c r="M4642" s="5">
        <f>IF(YEAR(I4642)&lt;=2020,"Até 2020",TEXT(YEAR(I4642),"0"))</f>
        <v/>
      </c>
      <c r="N4642" s="5">
        <f>IFERROR(INDEX(DePara!$A:$A,MATCH(TEXT(B4642,"0"),DePara!$D:$D,0)),"(sem categoria)")</f>
        <v/>
      </c>
      <c r="O4642" s="5">
        <f>IF(J4642="","",Parametros!$B$6-J4642)</f>
        <v/>
      </c>
      <c r="P4642" s="5">
        <f>IF(O4642="","",IF(O4642&gt;0,1,0))</f>
        <v/>
      </c>
    </row>
    <row r="4643">
      <c r="A4643" s="5" t="n">
        <v>1117730000</v>
      </c>
      <c r="B4643" s="5" t="inlineStr">
        <is>
          <t>EM000083</t>
        </is>
      </c>
      <c r="C4643" s="5" t="inlineStr">
        <is>
          <t>ANDERSON DE SOUZA MOTA</t>
        </is>
      </c>
      <c r="D4643" s="5" t="inlineStr">
        <is>
          <t>AB</t>
        </is>
      </c>
      <c r="E4643" s="5" t="n">
        <v>1100010073</v>
      </c>
      <c r="F4643" s="5" t="inlineStr">
        <is>
          <t>CC 04.2026</t>
        </is>
      </c>
      <c r="G4643" s="5" t="inlineStr">
        <is>
          <t>BRL</t>
        </is>
      </c>
      <c r="H4643" s="9" t="n">
        <v>476.31</v>
      </c>
      <c r="I4643" s="16" t="n">
        <v>46127</v>
      </c>
      <c r="J4643" s="16" t="n">
        <v>46127</v>
      </c>
      <c r="K4643" s="5" t="inlineStr">
        <is>
          <t>Partida individual ANDERSON DE SOUZA MOTA CC 04.20</t>
        </is>
      </c>
      <c r="L4643" s="5" t="n"/>
      <c r="M4643" s="5">
        <f>IF(YEAR(I4643)&lt;=2020,"Até 2020",TEXT(YEAR(I4643),"0"))</f>
        <v/>
      </c>
      <c r="N4643" s="5">
        <f>IFERROR(INDEX(DePara!$A:$A,MATCH(TEXT(B4643,"0"),DePara!$D:$D,0)),"(sem categoria)")</f>
        <v/>
      </c>
      <c r="O4643" s="5">
        <f>IF(J4643="","",Parametros!$B$6-J4643)</f>
        <v/>
      </c>
      <c r="P4643" s="5">
        <f>IF(O4643="","",IF(O4643&gt;0,1,0))</f>
        <v/>
      </c>
    </row>
    <row r="4644">
      <c r="A4644" s="5" t="n">
        <v>1117730000</v>
      </c>
      <c r="B4644" s="5" t="inlineStr">
        <is>
          <t>EM000060</t>
        </is>
      </c>
      <c r="C4644" s="5" t="inlineStr">
        <is>
          <t>DANIELLA PANCA PADILHA</t>
        </is>
      </c>
      <c r="D4644" s="5" t="inlineStr">
        <is>
          <t>AB</t>
        </is>
      </c>
      <c r="E4644" s="5" t="n">
        <v>1100010073</v>
      </c>
      <c r="F4644" s="5" t="inlineStr">
        <is>
          <t>CC 04.2026</t>
        </is>
      </c>
      <c r="G4644" s="5" t="inlineStr">
        <is>
          <t>BRL</t>
        </is>
      </c>
      <c r="H4644" s="9" t="n">
        <v>33</v>
      </c>
      <c r="I4644" s="16" t="n">
        <v>46127</v>
      </c>
      <c r="J4644" s="16" t="n">
        <v>46127</v>
      </c>
      <c r="K4644" s="5" t="inlineStr">
        <is>
          <t>Partida individual DANIELLA PANCA PADILHA CC 04.20</t>
        </is>
      </c>
      <c r="L4644" s="5" t="n"/>
      <c r="M4644" s="5">
        <f>IF(YEAR(I4644)&lt;=2020,"Até 2020",TEXT(YEAR(I4644),"0"))</f>
        <v/>
      </c>
      <c r="N4644" s="5">
        <f>IFERROR(INDEX(DePara!$A:$A,MATCH(TEXT(B4644,"0"),DePara!$D:$D,0)),"(sem categoria)")</f>
        <v/>
      </c>
      <c r="O4644" s="5">
        <f>IF(J4644="","",Parametros!$B$6-J4644)</f>
        <v/>
      </c>
      <c r="P4644" s="5">
        <f>IF(O4644="","",IF(O4644&gt;0,1,0))</f>
        <v/>
      </c>
    </row>
    <row r="4645">
      <c r="A4645" s="5" t="n">
        <v>1117730000</v>
      </c>
      <c r="B4645" s="5" t="inlineStr">
        <is>
          <t>EM000159</t>
        </is>
      </c>
      <c r="C4645" s="5" t="inlineStr">
        <is>
          <t>FABIO COFFANI DOS SANTOS DE SIQUEIRA</t>
        </is>
      </c>
      <c r="D4645" s="5" t="inlineStr">
        <is>
          <t>AB</t>
        </is>
      </c>
      <c r="E4645" s="5" t="n">
        <v>1100010073</v>
      </c>
      <c r="F4645" s="5" t="inlineStr">
        <is>
          <t>CC 04.2026</t>
        </is>
      </c>
      <c r="G4645" s="5" t="inlineStr">
        <is>
          <t>BRL</t>
        </is>
      </c>
      <c r="H4645" s="9" t="n">
        <v>400</v>
      </c>
      <c r="I4645" s="16" t="n">
        <v>46127</v>
      </c>
      <c r="J4645" s="16" t="n">
        <v>46127</v>
      </c>
      <c r="K4645" s="5" t="inlineStr">
        <is>
          <t>Partida individual FABIO COFFANI DOS SANTOS DE SIQ</t>
        </is>
      </c>
      <c r="L4645" s="5" t="n"/>
      <c r="M4645" s="5">
        <f>IF(YEAR(I4645)&lt;=2020,"Até 2020",TEXT(YEAR(I4645),"0"))</f>
        <v/>
      </c>
      <c r="N4645" s="5">
        <f>IFERROR(INDEX(DePara!$A:$A,MATCH(TEXT(B4645,"0"),DePara!$D:$D,0)),"(sem categoria)")</f>
        <v/>
      </c>
      <c r="O4645" s="5">
        <f>IF(J4645="","",Parametros!$B$6-J4645)</f>
        <v/>
      </c>
      <c r="P4645" s="5">
        <f>IF(O4645="","",IF(O4645&gt;0,1,0))</f>
        <v/>
      </c>
    </row>
    <row r="4646">
      <c r="A4646" s="5" t="n">
        <v>1117730000</v>
      </c>
      <c r="B4646" s="5" t="inlineStr">
        <is>
          <t>EM000238</t>
        </is>
      </c>
      <c r="C4646" s="5" t="inlineStr">
        <is>
          <t>FEDERICO BIANCHI</t>
        </is>
      </c>
      <c r="D4646" s="5" t="inlineStr">
        <is>
          <t>AB</t>
        </is>
      </c>
      <c r="E4646" s="5" t="n">
        <v>1100010073</v>
      </c>
      <c r="F4646" s="5" t="inlineStr">
        <is>
          <t>CC 04.2026</t>
        </is>
      </c>
      <c r="G4646" s="5" t="inlineStr">
        <is>
          <t>BRL</t>
        </is>
      </c>
      <c r="H4646" s="9" t="n">
        <v>10887.76</v>
      </c>
      <c r="I4646" s="16" t="n">
        <v>46127</v>
      </c>
      <c r="J4646" s="16" t="n">
        <v>46127</v>
      </c>
      <c r="K4646" s="5" t="inlineStr">
        <is>
          <t>Partida individual FEDERICO BIANCHI CC 04.2026</t>
        </is>
      </c>
      <c r="L4646" s="5" t="n"/>
      <c r="M4646" s="5">
        <f>IF(YEAR(I4646)&lt;=2020,"Até 2020",TEXT(YEAR(I4646),"0"))</f>
        <v/>
      </c>
      <c r="N4646" s="5">
        <f>IFERROR(INDEX(DePara!$A:$A,MATCH(TEXT(B4646,"0"),DePara!$D:$D,0)),"(sem categoria)")</f>
        <v/>
      </c>
      <c r="O4646" s="5">
        <f>IF(J4646="","",Parametros!$B$6-J4646)</f>
        <v/>
      </c>
      <c r="P4646" s="5">
        <f>IF(O4646="","",IF(O4646&gt;0,1,0))</f>
        <v/>
      </c>
    </row>
    <row r="4647">
      <c r="A4647" s="5" t="n">
        <v>1117730000</v>
      </c>
      <c r="B4647" s="5" t="inlineStr">
        <is>
          <t>EM000127</t>
        </is>
      </c>
      <c r="C4647" s="5" t="inlineStr">
        <is>
          <t>GUSTAVO FERNANDES LIMA</t>
        </is>
      </c>
      <c r="D4647" s="5" t="inlineStr">
        <is>
          <t>AB</t>
        </is>
      </c>
      <c r="E4647" s="5" t="n">
        <v>1100010073</v>
      </c>
      <c r="F4647" s="5" t="inlineStr">
        <is>
          <t>CC 04.2026</t>
        </is>
      </c>
      <c r="G4647" s="5" t="inlineStr">
        <is>
          <t>BRL</t>
        </is>
      </c>
      <c r="H4647" s="9" t="n">
        <v>2403.25</v>
      </c>
      <c r="I4647" s="16" t="n">
        <v>46127</v>
      </c>
      <c r="J4647" s="16" t="n">
        <v>46127</v>
      </c>
      <c r="K4647" s="5" t="inlineStr">
        <is>
          <t>Partida individual GUSTAVO FERNANDES LIMA CC 04.20</t>
        </is>
      </c>
      <c r="L4647" s="5" t="n"/>
      <c r="M4647" s="5">
        <f>IF(YEAR(I4647)&lt;=2020,"Até 2020",TEXT(YEAR(I4647),"0"))</f>
        <v/>
      </c>
      <c r="N4647" s="5">
        <f>IFERROR(INDEX(DePara!$A:$A,MATCH(TEXT(B4647,"0"),DePara!$D:$D,0)),"(sem categoria)")</f>
        <v/>
      </c>
      <c r="O4647" s="5">
        <f>IF(J4647="","",Parametros!$B$6-J4647)</f>
        <v/>
      </c>
      <c r="P4647" s="5">
        <f>IF(O4647="","",IF(O4647&gt;0,1,0))</f>
        <v/>
      </c>
    </row>
    <row r="4648">
      <c r="A4648" s="5" t="n">
        <v>1117730000</v>
      </c>
      <c r="B4648" s="5" t="inlineStr">
        <is>
          <t>EM000861</t>
        </is>
      </c>
      <c r="C4648" s="5" t="inlineStr">
        <is>
          <t>JOSE ELIMAR PALHARES JUNIOR</t>
        </is>
      </c>
      <c r="D4648" s="5" t="inlineStr">
        <is>
          <t>AB</t>
        </is>
      </c>
      <c r="E4648" s="5" t="n">
        <v>1100010073</v>
      </c>
      <c r="F4648" s="5" t="inlineStr">
        <is>
          <t>CC 04.2026</t>
        </is>
      </c>
      <c r="G4648" s="5" t="inlineStr">
        <is>
          <t>BRL</t>
        </is>
      </c>
      <c r="H4648" s="9" t="n">
        <v>2939.17</v>
      </c>
      <c r="I4648" s="16" t="n">
        <v>46127</v>
      </c>
      <c r="J4648" s="16" t="n">
        <v>46127</v>
      </c>
      <c r="K4648" s="5" t="inlineStr">
        <is>
          <t>Partida individual JOSE ELIMAR PALHARES JUNIOR CC</t>
        </is>
      </c>
      <c r="L4648" s="5" t="n"/>
      <c r="M4648" s="5">
        <f>IF(YEAR(I4648)&lt;=2020,"Até 2020",TEXT(YEAR(I4648),"0"))</f>
        <v/>
      </c>
      <c r="N4648" s="5">
        <f>IFERROR(INDEX(DePara!$A:$A,MATCH(TEXT(B4648,"0"),DePara!$D:$D,0)),"(sem categoria)")</f>
        <v/>
      </c>
      <c r="O4648" s="5">
        <f>IF(J4648="","",Parametros!$B$6-J4648)</f>
        <v/>
      </c>
      <c r="P4648" s="5">
        <f>IF(O4648="","",IF(O4648&gt;0,1,0))</f>
        <v/>
      </c>
    </row>
    <row r="4649">
      <c r="A4649" s="5" t="n">
        <v>1117730000</v>
      </c>
      <c r="B4649" s="5" t="inlineStr">
        <is>
          <t>EM000157</t>
        </is>
      </c>
      <c r="C4649" s="5" t="inlineStr">
        <is>
          <t>JULIANO NASCIMIENTO</t>
        </is>
      </c>
      <c r="D4649" s="5" t="inlineStr">
        <is>
          <t>AB</t>
        </is>
      </c>
      <c r="E4649" s="5" t="n">
        <v>1100010073</v>
      </c>
      <c r="F4649" s="5" t="inlineStr">
        <is>
          <t>CC 04.2026</t>
        </is>
      </c>
      <c r="G4649" s="5" t="inlineStr">
        <is>
          <t>BRL</t>
        </is>
      </c>
      <c r="H4649" s="9" t="n">
        <v>550</v>
      </c>
      <c r="I4649" s="16" t="n">
        <v>46127</v>
      </c>
      <c r="J4649" s="16" t="n">
        <v>46127</v>
      </c>
      <c r="K4649" s="5" t="inlineStr">
        <is>
          <t>Partida individual JULIANO NASCIMIENTO CC 04.2026</t>
        </is>
      </c>
      <c r="L4649" s="5" t="n"/>
      <c r="M4649" s="5">
        <f>IF(YEAR(I4649)&lt;=2020,"Até 2020",TEXT(YEAR(I4649),"0"))</f>
        <v/>
      </c>
      <c r="N4649" s="5">
        <f>IFERROR(INDEX(DePara!$A:$A,MATCH(TEXT(B4649,"0"),DePara!$D:$D,0)),"(sem categoria)")</f>
        <v/>
      </c>
      <c r="O4649" s="5">
        <f>IF(J4649="","",Parametros!$B$6-J4649)</f>
        <v/>
      </c>
      <c r="P4649" s="5">
        <f>IF(O4649="","",IF(O4649&gt;0,1,0))</f>
        <v/>
      </c>
    </row>
    <row r="4650">
      <c r="A4650" s="5" t="n">
        <v>1117730000</v>
      </c>
      <c r="B4650" s="5" t="inlineStr">
        <is>
          <t>EM000019</t>
        </is>
      </c>
      <c r="C4650" s="5" t="inlineStr">
        <is>
          <t>MARCIO RISSO LEITAO</t>
        </is>
      </c>
      <c r="D4650" s="5" t="inlineStr">
        <is>
          <t>AB</t>
        </is>
      </c>
      <c r="E4650" s="5" t="n">
        <v>1100010073</v>
      </c>
      <c r="F4650" s="5" t="inlineStr">
        <is>
          <t>CC 04.2026</t>
        </is>
      </c>
      <c r="G4650" s="5" t="inlineStr">
        <is>
          <t>BRL</t>
        </is>
      </c>
      <c r="H4650" s="9" t="n">
        <v>233.31</v>
      </c>
      <c r="I4650" s="16" t="n">
        <v>46127</v>
      </c>
      <c r="J4650" s="16" t="n">
        <v>46127</v>
      </c>
      <c r="K4650" s="5" t="inlineStr">
        <is>
          <t>Partida individual MARCIO RISSO LEITAO CC 04.2026</t>
        </is>
      </c>
      <c r="L4650" s="5" t="n"/>
      <c r="M4650" s="5">
        <f>IF(YEAR(I4650)&lt;=2020,"Até 2020",TEXT(YEAR(I4650),"0"))</f>
        <v/>
      </c>
      <c r="N4650" s="5">
        <f>IFERROR(INDEX(DePara!$A:$A,MATCH(TEXT(B4650,"0"),DePara!$D:$D,0)),"(sem categoria)")</f>
        <v/>
      </c>
      <c r="O4650" s="5">
        <f>IF(J4650="","",Parametros!$B$6-J4650)</f>
        <v/>
      </c>
      <c r="P4650" s="5">
        <f>IF(O4650="","",IF(O4650&gt;0,1,0))</f>
        <v/>
      </c>
    </row>
    <row r="4651">
      <c r="A4651" s="5" t="n">
        <v>1117730000</v>
      </c>
      <c r="B4651" s="5" t="inlineStr">
        <is>
          <t>EM000029</t>
        </is>
      </c>
      <c r="C4651" s="5" t="inlineStr">
        <is>
          <t>RENATO BRUNO LIMA DE FARIAS</t>
        </is>
      </c>
      <c r="D4651" s="5" t="inlineStr">
        <is>
          <t>AB</t>
        </is>
      </c>
      <c r="E4651" s="5" t="n">
        <v>1100010073</v>
      </c>
      <c r="F4651" s="5" t="inlineStr">
        <is>
          <t>CC 04.2026</t>
        </is>
      </c>
      <c r="G4651" s="5" t="inlineStr">
        <is>
          <t>BRL</t>
        </is>
      </c>
      <c r="H4651" s="9" t="n">
        <v>3384.47</v>
      </c>
      <c r="I4651" s="16" t="n">
        <v>46127</v>
      </c>
      <c r="J4651" s="16" t="n">
        <v>46127</v>
      </c>
      <c r="K4651" s="5" t="inlineStr">
        <is>
          <t>Partida individual RENATO BRUNO LIMA DE FARIAS CC</t>
        </is>
      </c>
      <c r="L4651" s="5" t="n"/>
      <c r="M4651" s="5">
        <f>IF(YEAR(I4651)&lt;=2020,"Até 2020",TEXT(YEAR(I4651),"0"))</f>
        <v/>
      </c>
      <c r="N4651" s="5">
        <f>IFERROR(INDEX(DePara!$A:$A,MATCH(TEXT(B4651,"0"),DePara!$D:$D,0)),"(sem categoria)")</f>
        <v/>
      </c>
      <c r="O4651" s="5">
        <f>IF(J4651="","",Parametros!$B$6-J4651)</f>
        <v/>
      </c>
      <c r="P4651" s="5">
        <f>IF(O4651="","",IF(O4651&gt;0,1,0))</f>
        <v/>
      </c>
    </row>
    <row r="4652">
      <c r="A4652" s="5" t="n">
        <v>1117730000</v>
      </c>
      <c r="B4652" s="5" t="inlineStr">
        <is>
          <t>EM000131</t>
        </is>
      </c>
      <c r="C4652" s="5" t="inlineStr">
        <is>
          <t>RICARDO COSTA DA SILVA</t>
        </is>
      </c>
      <c r="D4652" s="5" t="inlineStr">
        <is>
          <t>AB</t>
        </is>
      </c>
      <c r="E4652" s="5" t="n">
        <v>1100010073</v>
      </c>
      <c r="F4652" s="5" t="inlineStr">
        <is>
          <t>CC 04.2026</t>
        </is>
      </c>
      <c r="G4652" s="5" t="inlineStr">
        <is>
          <t>BRL</t>
        </is>
      </c>
      <c r="H4652" s="9" t="n">
        <v>20194.01</v>
      </c>
      <c r="I4652" s="16" t="n">
        <v>46127</v>
      </c>
      <c r="J4652" s="16" t="n">
        <v>46127</v>
      </c>
      <c r="K4652" s="5" t="inlineStr">
        <is>
          <t>Partida individual RICARDO COSTA DA SILVA CC 04.20</t>
        </is>
      </c>
      <c r="L4652" s="5" t="n"/>
      <c r="M4652" s="5">
        <f>IF(YEAR(I4652)&lt;=2020,"Até 2020",TEXT(YEAR(I4652),"0"))</f>
        <v/>
      </c>
      <c r="N4652" s="5">
        <f>IFERROR(INDEX(DePara!$A:$A,MATCH(TEXT(B4652,"0"),DePara!$D:$D,0)),"(sem categoria)")</f>
        <v/>
      </c>
      <c r="O4652" s="5">
        <f>IF(J4652="","",Parametros!$B$6-J4652)</f>
        <v/>
      </c>
      <c r="P4652" s="5">
        <f>IF(O4652="","",IF(O4652&gt;0,1,0))</f>
        <v/>
      </c>
    </row>
    <row r="4653">
      <c r="A4653" s="5" t="n">
        <v>1117730000</v>
      </c>
      <c r="B4653" s="5" t="inlineStr">
        <is>
          <t>EM000281</t>
        </is>
      </c>
      <c r="C4653" s="5" t="inlineStr">
        <is>
          <t>VANESSA REGINA DE CAMARGO</t>
        </is>
      </c>
      <c r="D4653" s="5" t="inlineStr">
        <is>
          <t>AB</t>
        </is>
      </c>
      <c r="E4653" s="5" t="n">
        <v>1100010073</v>
      </c>
      <c r="F4653" s="5" t="inlineStr">
        <is>
          <t>CC 04.2026</t>
        </is>
      </c>
      <c r="G4653" s="5" t="inlineStr">
        <is>
          <t>BRL</t>
        </is>
      </c>
      <c r="H4653" s="9" t="n">
        <v>483.11</v>
      </c>
      <c r="I4653" s="16" t="n">
        <v>46127</v>
      </c>
      <c r="J4653" s="16" t="n">
        <v>46127</v>
      </c>
      <c r="K4653" s="5" t="inlineStr">
        <is>
          <t>Partida individual VANESSA REGINA DE CAMARGO CC 04</t>
        </is>
      </c>
      <c r="L4653" s="5" t="n"/>
      <c r="M4653" s="5">
        <f>IF(YEAR(I4653)&lt;=2020,"Até 2020",TEXT(YEAR(I4653),"0"))</f>
        <v/>
      </c>
      <c r="N4653" s="5">
        <f>IFERROR(INDEX(DePara!$A:$A,MATCH(TEXT(B4653,"0"),DePara!$D:$D,0)),"(sem categoria)")</f>
        <v/>
      </c>
      <c r="O4653" s="5">
        <f>IF(J4653="","",Parametros!$B$6-J4653)</f>
        <v/>
      </c>
      <c r="P4653" s="5">
        <f>IF(O4653="","",IF(O4653&gt;0,1,0))</f>
        <v/>
      </c>
    </row>
    <row r="4654">
      <c r="A4654" s="5" t="n">
        <v>1117730000</v>
      </c>
      <c r="B4654" s="5" t="inlineStr">
        <is>
          <t>EM000394</t>
        </is>
      </c>
      <c r="C4654" s="5" t="inlineStr">
        <is>
          <t>WAGNER DELLA FLORA GROSS</t>
        </is>
      </c>
      <c r="D4654" s="5" t="inlineStr">
        <is>
          <t>AB</t>
        </is>
      </c>
      <c r="E4654" s="5" t="n">
        <v>1100010073</v>
      </c>
      <c r="F4654" s="5" t="inlineStr">
        <is>
          <t>CC 04.2026</t>
        </is>
      </c>
      <c r="G4654" s="5" t="inlineStr">
        <is>
          <t>BRL</t>
        </is>
      </c>
      <c r="H4654" s="9" t="n">
        <v>1853.82</v>
      </c>
      <c r="I4654" s="16" t="n">
        <v>46127</v>
      </c>
      <c r="J4654" s="16" t="n">
        <v>46127</v>
      </c>
      <c r="K4654" s="5" t="inlineStr">
        <is>
          <t>Pendente Financeiro</t>
        </is>
      </c>
      <c r="L4654" s="5" t="n"/>
      <c r="M4654" s="5">
        <f>IF(YEAR(I4654)&lt;=2020,"Até 2020",TEXT(YEAR(I4654),"0"))</f>
        <v/>
      </c>
      <c r="N4654" s="5">
        <f>IFERROR(INDEX(DePara!$A:$A,MATCH(TEXT(B4654,"0"),DePara!$D:$D,0)),"(sem categoria)")</f>
        <v/>
      </c>
      <c r="O4654" s="5">
        <f>IF(J4654="","",Parametros!$B$6-J4654)</f>
        <v/>
      </c>
      <c r="P4654" s="5">
        <f>IF(O4654="","",IF(O4654&gt;0,1,0))</f>
        <v/>
      </c>
    </row>
    <row r="4655">
      <c r="A4655" s="5" t="n">
        <v>1117730000</v>
      </c>
      <c r="B4655" s="5" t="inlineStr">
        <is>
          <t>EM000238</t>
        </is>
      </c>
      <c r="C4655" s="5" t="inlineStr">
        <is>
          <t>FEDERICO BIANCHI</t>
        </is>
      </c>
      <c r="D4655" s="5" t="inlineStr">
        <is>
          <t>AB</t>
        </is>
      </c>
      <c r="E4655" s="5" t="n">
        <v>1100010184</v>
      </c>
      <c r="F4655" s="5" t="inlineStr">
        <is>
          <t>CC 02.2026</t>
        </is>
      </c>
      <c r="G4655" s="5" t="inlineStr">
        <is>
          <t>BRL</t>
        </is>
      </c>
      <c r="H4655" s="9" t="n">
        <v>151.59</v>
      </c>
      <c r="I4655" s="16" t="n">
        <v>46139</v>
      </c>
      <c r="J4655" s="16" t="n">
        <v>46078</v>
      </c>
      <c r="K4655" s="5" t="inlineStr">
        <is>
          <t>Clearing document FEDERICO BIANCHI CC 02.2026</t>
        </is>
      </c>
      <c r="L4655" s="5" t="n"/>
      <c r="M4655" s="5">
        <f>IF(YEAR(I4655)&lt;=2020,"Até 2020",TEXT(YEAR(I4655),"0"))</f>
        <v/>
      </c>
      <c r="N4655" s="5">
        <f>IFERROR(INDEX(DePara!$A:$A,MATCH(TEXT(B4655,"0"),DePara!$D:$D,0)),"(sem categoria)")</f>
        <v/>
      </c>
      <c r="O4655" s="5">
        <f>IF(J4655="","",Parametros!$B$6-J4655)</f>
        <v/>
      </c>
      <c r="P4655" s="5">
        <f>IF(O4655="","",IF(O4655&gt;0,1,0))</f>
        <v/>
      </c>
    </row>
    <row r="4656">
      <c r="A4656" s="5" t="n">
        <v>1117730000</v>
      </c>
      <c r="B4656" s="5" t="inlineStr">
        <is>
          <t>102960</t>
        </is>
      </c>
      <c r="C4656" s="5" t="inlineStr">
        <is>
          <t>Wanderley Junior</t>
        </is>
      </c>
      <c r="D4656" s="5" t="inlineStr">
        <is>
          <t>AB</t>
        </is>
      </c>
      <c r="E4656" s="5" t="n">
        <v>1100011254</v>
      </c>
      <c r="F4656" s="5" t="inlineStr">
        <is>
          <t>27989</t>
        </is>
      </c>
      <c r="G4656" s="5" t="inlineStr">
        <is>
          <t>BRL</t>
        </is>
      </c>
      <c r="H4656" s="9" t="n">
        <v>910</v>
      </c>
      <c r="I4656" s="16" t="n">
        <v>45649</v>
      </c>
      <c r="J4656" s="16" t="n">
        <v>45649</v>
      </c>
      <c r="K4656" s="5" t="inlineStr">
        <is>
          <t>Documento fornecedor Wanderley Junior 27989</t>
        </is>
      </c>
      <c r="L4656" s="5" t="inlineStr">
        <is>
          <t>20122024</t>
        </is>
      </c>
      <c r="M4656" s="5">
        <f>IF(YEAR(I4656)&lt;=2020,"Até 2020",TEXT(YEAR(I4656),"0"))</f>
        <v/>
      </c>
      <c r="N4656" s="5">
        <f>IFERROR(INDEX(DePara!$A:$A,MATCH(TEXT(B4656,"0"),DePara!$D:$D,0)),"(sem categoria)")</f>
        <v/>
      </c>
      <c r="O4656" s="5">
        <f>IF(J4656="","",Parametros!$B$6-J4656)</f>
        <v/>
      </c>
      <c r="P4656" s="5">
        <f>IF(O4656="","",IF(O4656&gt;0,1,0))</f>
        <v/>
      </c>
    </row>
    <row r="4657">
      <c r="A4657" s="5" t="n">
        <v>1117730000</v>
      </c>
      <c r="B4657" s="5" t="inlineStr">
        <is>
          <t>EM000451</t>
        </is>
      </c>
      <c r="C4657" s="5" t="inlineStr">
        <is>
          <t>ALEX DA SILVA CONCEIÇÃO</t>
        </is>
      </c>
      <c r="D4657" s="5" t="inlineStr">
        <is>
          <t>AB</t>
        </is>
      </c>
      <c r="E4657" s="5" t="n">
        <v>1100012590</v>
      </c>
      <c r="F4657" s="5" t="inlineStr">
        <is>
          <t>CC 05.2026</t>
        </is>
      </c>
      <c r="G4657" s="5" t="inlineStr">
        <is>
          <t>BRL</t>
        </is>
      </c>
      <c r="H4657" s="9" t="n">
        <v>2418.09</v>
      </c>
      <c r="I4657" s="16" t="n">
        <v>46162</v>
      </c>
      <c r="J4657" s="16" t="n">
        <v>46162</v>
      </c>
      <c r="K4657" s="5" t="inlineStr">
        <is>
          <t>Partida individual ALEX DA SILVA CONCEIÇÃO CC 05.2</t>
        </is>
      </c>
      <c r="L4657" s="5" t="n"/>
      <c r="M4657" s="5">
        <f>IF(YEAR(I4657)&lt;=2020,"Até 2020",TEXT(YEAR(I4657),"0"))</f>
        <v/>
      </c>
      <c r="N4657" s="5">
        <f>IFERROR(INDEX(DePara!$A:$A,MATCH(TEXT(B4657,"0"),DePara!$D:$D,0)),"(sem categoria)")</f>
        <v/>
      </c>
      <c r="O4657" s="5">
        <f>IF(J4657="","",Parametros!$B$6-J4657)</f>
        <v/>
      </c>
      <c r="P4657" s="5">
        <f>IF(O4657="","",IF(O4657&gt;0,1,0))</f>
        <v/>
      </c>
    </row>
    <row r="4658">
      <c r="A4658" s="5" t="n">
        <v>1117730000</v>
      </c>
      <c r="B4658" s="5" t="inlineStr">
        <is>
          <t>EM000167</t>
        </is>
      </c>
      <c r="C4658" s="5" t="inlineStr">
        <is>
          <t>ANDERSON DE LIMA AFFONSO</t>
        </is>
      </c>
      <c r="D4658" s="5" t="inlineStr">
        <is>
          <t>AB</t>
        </is>
      </c>
      <c r="E4658" s="5" t="n">
        <v>1100012590</v>
      </c>
      <c r="F4658" s="5" t="inlineStr">
        <is>
          <t>CC 05.2026</t>
        </is>
      </c>
      <c r="G4658" s="5" t="inlineStr">
        <is>
          <t>BRL</t>
        </is>
      </c>
      <c r="H4658" s="9" t="n">
        <v>770.84</v>
      </c>
      <c r="I4658" s="16" t="n">
        <v>46162</v>
      </c>
      <c r="J4658" s="16" t="n">
        <v>46162</v>
      </c>
      <c r="K4658" s="5" t="inlineStr">
        <is>
          <t>Partida individual ANDERSON DE LIMA AFFONSO CC 05.</t>
        </is>
      </c>
      <c r="L4658" s="5" t="n"/>
      <c r="M4658" s="5">
        <f>IF(YEAR(I4658)&lt;=2020,"Até 2020",TEXT(YEAR(I4658),"0"))</f>
        <v/>
      </c>
      <c r="N4658" s="5">
        <f>IFERROR(INDEX(DePara!$A:$A,MATCH(TEXT(B4658,"0"),DePara!$D:$D,0)),"(sem categoria)")</f>
        <v/>
      </c>
      <c r="O4658" s="5">
        <f>IF(J4658="","",Parametros!$B$6-J4658)</f>
        <v/>
      </c>
      <c r="P4658" s="5">
        <f>IF(O4658="","",IF(O4658&gt;0,1,0))</f>
        <v/>
      </c>
    </row>
    <row r="4659">
      <c r="A4659" s="5" t="n">
        <v>1117730000</v>
      </c>
      <c r="B4659" s="5" t="inlineStr">
        <is>
          <t>EM000083</t>
        </is>
      </c>
      <c r="C4659" s="5" t="inlineStr">
        <is>
          <t>ANDERSON DE SOUZA MOTA</t>
        </is>
      </c>
      <c r="D4659" s="5" t="inlineStr">
        <is>
          <t>AB</t>
        </is>
      </c>
      <c r="E4659" s="5" t="n">
        <v>1100012590</v>
      </c>
      <c r="F4659" s="5" t="inlineStr">
        <is>
          <t>CC 05.2026</t>
        </is>
      </c>
      <c r="G4659" s="5" t="inlineStr">
        <is>
          <t>BRL</t>
        </is>
      </c>
      <c r="H4659" s="9" t="n">
        <v>451.59</v>
      </c>
      <c r="I4659" s="16" t="n">
        <v>46162</v>
      </c>
      <c r="J4659" s="16" t="n">
        <v>46162</v>
      </c>
      <c r="K4659" s="5" t="inlineStr">
        <is>
          <t>Partida individual ANDERSON DE SOUZA MOTA CC 05.20</t>
        </is>
      </c>
      <c r="L4659" s="5" t="n"/>
      <c r="M4659" s="5">
        <f>IF(YEAR(I4659)&lt;=2020,"Até 2020",TEXT(YEAR(I4659),"0"))</f>
        <v/>
      </c>
      <c r="N4659" s="5">
        <f>IFERROR(INDEX(DePara!$A:$A,MATCH(TEXT(B4659,"0"),DePara!$D:$D,0)),"(sem categoria)")</f>
        <v/>
      </c>
      <c r="O4659" s="5">
        <f>IF(J4659="","",Parametros!$B$6-J4659)</f>
        <v/>
      </c>
      <c r="P4659" s="5">
        <f>IF(O4659="","",IF(O4659&gt;0,1,0))</f>
        <v/>
      </c>
    </row>
    <row r="4660">
      <c r="A4660" s="5" t="n">
        <v>1117730000</v>
      </c>
      <c r="B4660" s="5" t="inlineStr">
        <is>
          <t>EM000143</t>
        </is>
      </c>
      <c r="C4660" s="5" t="inlineStr">
        <is>
          <t>CARLOS ADRIANO SILVA DE OLIVEIRA</t>
        </is>
      </c>
      <c r="D4660" s="5" t="inlineStr">
        <is>
          <t>AB</t>
        </is>
      </c>
      <c r="E4660" s="5" t="n">
        <v>1100012590</v>
      </c>
      <c r="F4660" s="5" t="inlineStr">
        <is>
          <t>CC 05.2026</t>
        </is>
      </c>
      <c r="G4660" s="5" t="inlineStr">
        <is>
          <t>BRL</t>
        </is>
      </c>
      <c r="H4660" s="9" t="n">
        <v>1925.52</v>
      </c>
      <c r="I4660" s="16" t="n">
        <v>46162</v>
      </c>
      <c r="J4660" s="16" t="n">
        <v>46162</v>
      </c>
      <c r="K4660" s="5" t="inlineStr">
        <is>
          <t>Partida individual CARLOS ADRIANO SILVA DE OLIVEIR</t>
        </is>
      </c>
      <c r="L4660" s="5" t="n"/>
      <c r="M4660" s="5">
        <f>IF(YEAR(I4660)&lt;=2020,"Até 2020",TEXT(YEAR(I4660),"0"))</f>
        <v/>
      </c>
      <c r="N4660" s="5">
        <f>IFERROR(INDEX(DePara!$A:$A,MATCH(TEXT(B4660,"0"),DePara!$D:$D,0)),"(sem categoria)")</f>
        <v/>
      </c>
      <c r="O4660" s="5">
        <f>IF(J4660="","",Parametros!$B$6-J4660)</f>
        <v/>
      </c>
      <c r="P4660" s="5">
        <f>IF(O4660="","",IF(O4660&gt;0,1,0))</f>
        <v/>
      </c>
    </row>
    <row r="4661">
      <c r="A4661" s="5" t="n">
        <v>1117730000</v>
      </c>
      <c r="B4661" s="5" t="inlineStr">
        <is>
          <t>EM000109</t>
        </is>
      </c>
      <c r="C4661" s="5" t="inlineStr">
        <is>
          <t>DANILO MOREIRA DOS SANTOS</t>
        </is>
      </c>
      <c r="D4661" s="5" t="inlineStr">
        <is>
          <t>AB</t>
        </is>
      </c>
      <c r="E4661" s="5" t="n">
        <v>1100012590</v>
      </c>
      <c r="F4661" s="5" t="inlineStr">
        <is>
          <t>CC 05.2026</t>
        </is>
      </c>
      <c r="G4661" s="5" t="inlineStr">
        <is>
          <t>BRL</t>
        </is>
      </c>
      <c r="H4661" s="9" t="n">
        <v>253.3</v>
      </c>
      <c r="I4661" s="16" t="n">
        <v>46162</v>
      </c>
      <c r="J4661" s="16" t="n">
        <v>46162</v>
      </c>
      <c r="K4661" s="5" t="inlineStr">
        <is>
          <t>Partida individual DANILO MOREIRA DOS SANTOS CC 05</t>
        </is>
      </c>
      <c r="L4661" s="5" t="n"/>
      <c r="M4661" s="5">
        <f>IF(YEAR(I4661)&lt;=2020,"Até 2020",TEXT(YEAR(I4661),"0"))</f>
        <v/>
      </c>
      <c r="N4661" s="5">
        <f>IFERROR(INDEX(DePara!$A:$A,MATCH(TEXT(B4661,"0"),DePara!$D:$D,0)),"(sem categoria)")</f>
        <v/>
      </c>
      <c r="O4661" s="5">
        <f>IF(J4661="","",Parametros!$B$6-J4661)</f>
        <v/>
      </c>
      <c r="P4661" s="5">
        <f>IF(O4661="","",IF(O4661&gt;0,1,0))</f>
        <v/>
      </c>
    </row>
    <row r="4662">
      <c r="A4662" s="5" t="n">
        <v>1117730000</v>
      </c>
      <c r="B4662" s="5" t="inlineStr">
        <is>
          <t>EM000202</t>
        </is>
      </c>
      <c r="C4662" s="5" t="inlineStr">
        <is>
          <t>DIEGO DE SOUSA ALMEIDA</t>
        </is>
      </c>
      <c r="D4662" s="5" t="inlineStr">
        <is>
          <t>AB</t>
        </is>
      </c>
      <c r="E4662" s="5" t="n">
        <v>1100012590</v>
      </c>
      <c r="F4662" s="5" t="inlineStr">
        <is>
          <t>CC 05.2026</t>
        </is>
      </c>
      <c r="G4662" s="5" t="inlineStr">
        <is>
          <t>BRL</t>
        </is>
      </c>
      <c r="H4662" s="9" t="n">
        <v>1626.12</v>
      </c>
      <c r="I4662" s="16" t="n">
        <v>46162</v>
      </c>
      <c r="J4662" s="16" t="n">
        <v>46162</v>
      </c>
      <c r="K4662" s="5" t="inlineStr">
        <is>
          <t>Partida individual DIEGO DE SOUSA ALMEIDA CC 05.20</t>
        </is>
      </c>
      <c r="L4662" s="5" t="n"/>
      <c r="M4662" s="5">
        <f>IF(YEAR(I4662)&lt;=2020,"Até 2020",TEXT(YEAR(I4662),"0"))</f>
        <v/>
      </c>
      <c r="N4662" s="5">
        <f>IFERROR(INDEX(DePara!$A:$A,MATCH(TEXT(B4662,"0"),DePara!$D:$D,0)),"(sem categoria)")</f>
        <v/>
      </c>
      <c r="O4662" s="5">
        <f>IF(J4662="","",Parametros!$B$6-J4662)</f>
        <v/>
      </c>
      <c r="P4662" s="5">
        <f>IF(O4662="","",IF(O4662&gt;0,1,0))</f>
        <v/>
      </c>
    </row>
    <row r="4663">
      <c r="A4663" s="5" t="n">
        <v>1117730000</v>
      </c>
      <c r="B4663" s="5" t="inlineStr">
        <is>
          <t>EM000141</t>
        </is>
      </c>
      <c r="C4663" s="5" t="inlineStr">
        <is>
          <t>EDGLEISON TAMBORIL FIRMIANO</t>
        </is>
      </c>
      <c r="D4663" s="5" t="inlineStr">
        <is>
          <t>AB</t>
        </is>
      </c>
      <c r="E4663" s="5" t="n">
        <v>1100012590</v>
      </c>
      <c r="F4663" s="5" t="inlineStr">
        <is>
          <t>CC 05.2026</t>
        </is>
      </c>
      <c r="G4663" s="5" t="inlineStr">
        <is>
          <t>BRL</t>
        </is>
      </c>
      <c r="H4663" s="9" t="n">
        <v>2922.43</v>
      </c>
      <c r="I4663" s="16" t="n">
        <v>46162</v>
      </c>
      <c r="J4663" s="16" t="n">
        <v>46162</v>
      </c>
      <c r="K4663" s="5" t="inlineStr">
        <is>
          <t>Partida individual EDGLEISON TAMBORIL FIRMIANO CC</t>
        </is>
      </c>
      <c r="L4663" s="5" t="n"/>
      <c r="M4663" s="5">
        <f>IF(YEAR(I4663)&lt;=2020,"Até 2020",TEXT(YEAR(I4663),"0"))</f>
        <v/>
      </c>
      <c r="N4663" s="5">
        <f>IFERROR(INDEX(DePara!$A:$A,MATCH(TEXT(B4663,"0"),DePara!$D:$D,0)),"(sem categoria)")</f>
        <v/>
      </c>
      <c r="O4663" s="5">
        <f>IF(J4663="","",Parametros!$B$6-J4663)</f>
        <v/>
      </c>
      <c r="P4663" s="5">
        <f>IF(O4663="","",IF(O4663&gt;0,1,0))</f>
        <v/>
      </c>
    </row>
    <row r="4664">
      <c r="A4664" s="5" t="n">
        <v>1117730000</v>
      </c>
      <c r="B4664" s="5" t="inlineStr">
        <is>
          <t>EM000159</t>
        </is>
      </c>
      <c r="C4664" s="5" t="inlineStr">
        <is>
          <t>FABIO COFFANI DOS SANTOS DE SIQUEIRA</t>
        </is>
      </c>
      <c r="D4664" s="5" t="inlineStr">
        <is>
          <t>AB</t>
        </is>
      </c>
      <c r="E4664" s="5" t="n">
        <v>1100012590</v>
      </c>
      <c r="F4664" s="5" t="inlineStr">
        <is>
          <t>CC 05.2026</t>
        </is>
      </c>
      <c r="G4664" s="5" t="inlineStr">
        <is>
          <t>BRL</t>
        </is>
      </c>
      <c r="H4664" s="9" t="n">
        <v>480.98</v>
      </c>
      <c r="I4664" s="16" t="n">
        <v>46162</v>
      </c>
      <c r="J4664" s="16" t="n">
        <v>46162</v>
      </c>
      <c r="K4664" s="5" t="inlineStr">
        <is>
          <t>Partida individual FABIO COFFANI DOS SANTOS DE SIQ</t>
        </is>
      </c>
      <c r="L4664" s="5" t="n"/>
      <c r="M4664" s="5">
        <f>IF(YEAR(I4664)&lt;=2020,"Até 2020",TEXT(YEAR(I4664),"0"))</f>
        <v/>
      </c>
      <c r="N4664" s="5">
        <f>IFERROR(INDEX(DePara!$A:$A,MATCH(TEXT(B4664,"0"),DePara!$D:$D,0)),"(sem categoria)")</f>
        <v/>
      </c>
      <c r="O4664" s="5">
        <f>IF(J4664="","",Parametros!$B$6-J4664)</f>
        <v/>
      </c>
      <c r="P4664" s="5">
        <f>IF(O4664="","",IF(O4664&gt;0,1,0))</f>
        <v/>
      </c>
    </row>
    <row r="4665">
      <c r="A4665" s="5" t="n">
        <v>1117730000</v>
      </c>
      <c r="B4665" s="5" t="inlineStr">
        <is>
          <t>EM000041</t>
        </is>
      </c>
      <c r="C4665" s="5" t="inlineStr">
        <is>
          <t>FLAVIO BELLOLI</t>
        </is>
      </c>
      <c r="D4665" s="5" t="inlineStr">
        <is>
          <t>AB</t>
        </is>
      </c>
      <c r="E4665" s="5" t="n">
        <v>1100012590</v>
      </c>
      <c r="F4665" s="5" t="inlineStr">
        <is>
          <t>CC 05.2026</t>
        </is>
      </c>
      <c r="G4665" s="5" t="inlineStr">
        <is>
          <t>BRL</t>
        </is>
      </c>
      <c r="H4665" s="9" t="n">
        <v>630.14</v>
      </c>
      <c r="I4665" s="16" t="n">
        <v>46162</v>
      </c>
      <c r="J4665" s="16" t="n">
        <v>46162</v>
      </c>
      <c r="K4665" s="5" t="inlineStr">
        <is>
          <t>Partida individual FLAVIO BELLOLI CC 05.2026</t>
        </is>
      </c>
      <c r="L4665" s="5" t="n"/>
      <c r="M4665" s="5">
        <f>IF(YEAR(I4665)&lt;=2020,"Até 2020",TEXT(YEAR(I4665),"0"))</f>
        <v/>
      </c>
      <c r="N4665" s="5">
        <f>IFERROR(INDEX(DePara!$A:$A,MATCH(TEXT(B4665,"0"),DePara!$D:$D,0)),"(sem categoria)")</f>
        <v/>
      </c>
      <c r="O4665" s="5">
        <f>IF(J4665="","",Parametros!$B$6-J4665)</f>
        <v/>
      </c>
      <c r="P4665" s="5">
        <f>IF(O4665="","",IF(O4665&gt;0,1,0))</f>
        <v/>
      </c>
    </row>
    <row r="4666">
      <c r="A4666" s="5" t="n">
        <v>1117730000</v>
      </c>
      <c r="B4666" s="5" t="inlineStr">
        <is>
          <t>EM000238</t>
        </is>
      </c>
      <c r="C4666" s="5" t="inlineStr">
        <is>
          <t>FEDERICO BIANCHI</t>
        </is>
      </c>
      <c r="D4666" s="5" t="inlineStr">
        <is>
          <t>AB</t>
        </is>
      </c>
      <c r="E4666" s="5" t="n">
        <v>1100012590</v>
      </c>
      <c r="F4666" s="5" t="inlineStr">
        <is>
          <t>CC 05.2026</t>
        </is>
      </c>
      <c r="G4666" s="5" t="inlineStr">
        <is>
          <t>BRL</t>
        </is>
      </c>
      <c r="H4666" s="9" t="n">
        <v>3056.07</v>
      </c>
      <c r="I4666" s="16" t="n">
        <v>46162</v>
      </c>
      <c r="J4666" s="16" t="n">
        <v>46162</v>
      </c>
      <c r="K4666" s="5" t="inlineStr">
        <is>
          <t>Partida individual FEDERICO BIANCHI CC 05.2026</t>
        </is>
      </c>
      <c r="L4666" s="5" t="n"/>
      <c r="M4666" s="5">
        <f>IF(YEAR(I4666)&lt;=2020,"Até 2020",TEXT(YEAR(I4666),"0"))</f>
        <v/>
      </c>
      <c r="N4666" s="5">
        <f>IFERROR(INDEX(DePara!$A:$A,MATCH(TEXT(B4666,"0"),DePara!$D:$D,0)),"(sem categoria)")</f>
        <v/>
      </c>
      <c r="O4666" s="5">
        <f>IF(J4666="","",Parametros!$B$6-J4666)</f>
        <v/>
      </c>
      <c r="P4666" s="5">
        <f>IF(O4666="","",IF(O4666&gt;0,1,0))</f>
        <v/>
      </c>
    </row>
    <row r="4667">
      <c r="A4667" s="5" t="n">
        <v>1117730000</v>
      </c>
      <c r="B4667" s="5" t="inlineStr">
        <is>
          <t>EM000127</t>
        </is>
      </c>
      <c r="C4667" s="5" t="inlineStr">
        <is>
          <t>GUSTAVO FERNANDES LIMA</t>
        </is>
      </c>
      <c r="D4667" s="5" t="inlineStr">
        <is>
          <t>AB</t>
        </is>
      </c>
      <c r="E4667" s="5" t="n">
        <v>1100012590</v>
      </c>
      <c r="F4667" s="5" t="inlineStr">
        <is>
          <t>CC 05.2026</t>
        </is>
      </c>
      <c r="G4667" s="5" t="inlineStr">
        <is>
          <t>BRL</t>
        </is>
      </c>
      <c r="H4667" s="9" t="n">
        <v>2751.81</v>
      </c>
      <c r="I4667" s="16" t="n">
        <v>46162</v>
      </c>
      <c r="J4667" s="16" t="n">
        <v>46162</v>
      </c>
      <c r="K4667" s="5" t="inlineStr">
        <is>
          <t>Partida individual GUSTAVO FERNANDES LIMA CC 05.20</t>
        </is>
      </c>
      <c r="L4667" s="5" t="n"/>
      <c r="M4667" s="5">
        <f>IF(YEAR(I4667)&lt;=2020,"Até 2020",TEXT(YEAR(I4667),"0"))</f>
        <v/>
      </c>
      <c r="N4667" s="5">
        <f>IFERROR(INDEX(DePara!$A:$A,MATCH(TEXT(B4667,"0"),DePara!$D:$D,0)),"(sem categoria)")</f>
        <v/>
      </c>
      <c r="O4667" s="5">
        <f>IF(J4667="","",Parametros!$B$6-J4667)</f>
        <v/>
      </c>
      <c r="P4667" s="5">
        <f>IF(O4667="","",IF(O4667&gt;0,1,0))</f>
        <v/>
      </c>
    </row>
    <row r="4668">
      <c r="A4668" s="5" t="n">
        <v>1117730000</v>
      </c>
      <c r="B4668" s="5" t="inlineStr">
        <is>
          <t>EM000986</t>
        </is>
      </c>
      <c r="C4668" s="5" t="inlineStr">
        <is>
          <t>JESSE IVO PRATES FERNANDES</t>
        </is>
      </c>
      <c r="D4668" s="5" t="inlineStr">
        <is>
          <t>AB</t>
        </is>
      </c>
      <c r="E4668" s="5" t="n">
        <v>1100012590</v>
      </c>
      <c r="F4668" s="5" t="inlineStr">
        <is>
          <t>CC 05.2026</t>
        </is>
      </c>
      <c r="G4668" s="5" t="inlineStr">
        <is>
          <t>BRL</t>
        </is>
      </c>
      <c r="H4668" s="9" t="n">
        <v>804.45</v>
      </c>
      <c r="I4668" s="16" t="n">
        <v>46162</v>
      </c>
      <c r="J4668" s="16" t="n">
        <v>46162</v>
      </c>
      <c r="K4668" s="5" t="inlineStr">
        <is>
          <t>Partida individual JESSE IVO PRATES FERNANDES CC 0</t>
        </is>
      </c>
      <c r="L4668" s="5" t="n"/>
      <c r="M4668" s="5">
        <f>IF(YEAR(I4668)&lt;=2020,"Até 2020",TEXT(YEAR(I4668),"0"))</f>
        <v/>
      </c>
      <c r="N4668" s="5">
        <f>IFERROR(INDEX(DePara!$A:$A,MATCH(TEXT(B4668,"0"),DePara!$D:$D,0)),"(sem categoria)")</f>
        <v/>
      </c>
      <c r="O4668" s="5">
        <f>IF(J4668="","",Parametros!$B$6-J4668)</f>
        <v/>
      </c>
      <c r="P4668" s="5">
        <f>IF(O4668="","",IF(O4668&gt;0,1,0))</f>
        <v/>
      </c>
    </row>
    <row r="4669">
      <c r="A4669" s="5" t="n">
        <v>1117730000</v>
      </c>
      <c r="B4669" s="5" t="inlineStr">
        <is>
          <t>EM000861</t>
        </is>
      </c>
      <c r="C4669" s="5" t="inlineStr">
        <is>
          <t>JOSE ELIMAR PALHARES JUNIOR</t>
        </is>
      </c>
      <c r="D4669" s="5" t="inlineStr">
        <is>
          <t>AB</t>
        </is>
      </c>
      <c r="E4669" s="5" t="n">
        <v>1100012590</v>
      </c>
      <c r="F4669" s="5" t="inlineStr">
        <is>
          <t>CC 05.2026</t>
        </is>
      </c>
      <c r="G4669" s="5" t="inlineStr">
        <is>
          <t>BRL</t>
        </is>
      </c>
      <c r="H4669" s="9" t="n">
        <v>2759.33</v>
      </c>
      <c r="I4669" s="16" t="n">
        <v>46162</v>
      </c>
      <c r="J4669" s="16" t="n">
        <v>46162</v>
      </c>
      <c r="K4669" s="5" t="inlineStr">
        <is>
          <t>Partida individual JOSE ELIMAR PALHARES JUNIOR CC</t>
        </is>
      </c>
      <c r="L4669" s="5" t="n"/>
      <c r="M4669" s="5">
        <f>IF(YEAR(I4669)&lt;=2020,"Até 2020",TEXT(YEAR(I4669),"0"))</f>
        <v/>
      </c>
      <c r="N4669" s="5">
        <f>IFERROR(INDEX(DePara!$A:$A,MATCH(TEXT(B4669,"0"),DePara!$D:$D,0)),"(sem categoria)")</f>
        <v/>
      </c>
      <c r="O4669" s="5">
        <f>IF(J4669="","",Parametros!$B$6-J4669)</f>
        <v/>
      </c>
      <c r="P4669" s="5">
        <f>IF(O4669="","",IF(O4669&gt;0,1,0))</f>
        <v/>
      </c>
    </row>
    <row r="4670">
      <c r="A4670" s="5" t="n">
        <v>1117730000</v>
      </c>
      <c r="B4670" s="5" t="inlineStr">
        <is>
          <t>EM000323</t>
        </is>
      </c>
      <c r="C4670" s="5" t="inlineStr">
        <is>
          <t>JOSE LEONARDO RIBEIRO DUARTE</t>
        </is>
      </c>
      <c r="D4670" s="5" t="inlineStr">
        <is>
          <t>AB</t>
        </is>
      </c>
      <c r="E4670" s="5" t="n">
        <v>1100012590</v>
      </c>
      <c r="F4670" s="5" t="inlineStr">
        <is>
          <t>CC 05.2026</t>
        </is>
      </c>
      <c r="G4670" s="5" t="inlineStr">
        <is>
          <t>BRL</t>
        </is>
      </c>
      <c r="H4670" s="9" t="n">
        <v>6065.8</v>
      </c>
      <c r="I4670" s="16" t="n">
        <v>46162</v>
      </c>
      <c r="J4670" s="16" t="n">
        <v>46162</v>
      </c>
      <c r="K4670" s="5" t="inlineStr">
        <is>
          <t>Partida individual JOSE LEONARDO RIBEIRO DUARTE CC</t>
        </is>
      </c>
      <c r="L4670" s="5" t="n"/>
      <c r="M4670" s="5">
        <f>IF(YEAR(I4670)&lt;=2020,"Até 2020",TEXT(YEAR(I4670),"0"))</f>
        <v/>
      </c>
      <c r="N4670" s="5">
        <f>IFERROR(INDEX(DePara!$A:$A,MATCH(TEXT(B4670,"0"),DePara!$D:$D,0)),"(sem categoria)")</f>
        <v/>
      </c>
      <c r="O4670" s="5">
        <f>IF(J4670="","",Parametros!$B$6-J4670)</f>
        <v/>
      </c>
      <c r="P4670" s="5">
        <f>IF(O4670="","",IF(O4670&gt;0,1,0))</f>
        <v/>
      </c>
    </row>
    <row r="4671">
      <c r="A4671" s="5" t="n">
        <v>1117730000</v>
      </c>
      <c r="B4671" s="5" t="inlineStr">
        <is>
          <t>EM000101</t>
        </is>
      </c>
      <c r="C4671" s="5" t="inlineStr">
        <is>
          <t>LAZARO DE OLIVEIRA SOUSA</t>
        </is>
      </c>
      <c r="D4671" s="5" t="inlineStr">
        <is>
          <t>AB</t>
        </is>
      </c>
      <c r="E4671" s="5" t="n">
        <v>1100012590</v>
      </c>
      <c r="F4671" s="5" t="inlineStr">
        <is>
          <t>CC 05.2026</t>
        </is>
      </c>
      <c r="G4671" s="5" t="inlineStr">
        <is>
          <t>BRL</t>
        </is>
      </c>
      <c r="H4671" s="9" t="n">
        <v>1279.3</v>
      </c>
      <c r="I4671" s="16" t="n">
        <v>46162</v>
      </c>
      <c r="J4671" s="16" t="n">
        <v>46162</v>
      </c>
      <c r="K4671" s="5" t="inlineStr">
        <is>
          <t>Partida individual LAZARO DE OLIVEIRA SOUSA CC 05.</t>
        </is>
      </c>
      <c r="L4671" s="5" t="n"/>
      <c r="M4671" s="5">
        <f>IF(YEAR(I4671)&lt;=2020,"Até 2020",TEXT(YEAR(I4671),"0"))</f>
        <v/>
      </c>
      <c r="N4671" s="5">
        <f>IFERROR(INDEX(DePara!$A:$A,MATCH(TEXT(B4671,"0"),DePara!$D:$D,0)),"(sem categoria)")</f>
        <v/>
      </c>
      <c r="O4671" s="5">
        <f>IF(J4671="","",Parametros!$B$6-J4671)</f>
        <v/>
      </c>
      <c r="P4671" s="5">
        <f>IF(O4671="","",IF(O4671&gt;0,1,0))</f>
        <v/>
      </c>
    </row>
    <row r="4672">
      <c r="A4672" s="5" t="n">
        <v>1117730000</v>
      </c>
      <c r="B4672" s="5" t="inlineStr">
        <is>
          <t>EM000210</t>
        </is>
      </c>
      <c r="C4672" s="5" t="inlineStr">
        <is>
          <t>LUCAS HENRIQUE SOARES</t>
        </is>
      </c>
      <c r="D4672" s="5" t="inlineStr">
        <is>
          <t>AB</t>
        </is>
      </c>
      <c r="E4672" s="5" t="n">
        <v>1100012590</v>
      </c>
      <c r="F4672" s="5" t="inlineStr">
        <is>
          <t>CC 05.2026</t>
        </is>
      </c>
      <c r="G4672" s="5" t="inlineStr">
        <is>
          <t>BRL</t>
        </is>
      </c>
      <c r="H4672" s="9" t="n">
        <v>6630.59</v>
      </c>
      <c r="I4672" s="16" t="n">
        <v>46162</v>
      </c>
      <c r="J4672" s="16" t="n">
        <v>46162</v>
      </c>
      <c r="K4672" s="5" t="inlineStr">
        <is>
          <t>Partida individual LUCAS HENRIQUE SOARES CC 05.202</t>
        </is>
      </c>
      <c r="L4672" s="5" t="n"/>
      <c r="M4672" s="5">
        <f>IF(YEAR(I4672)&lt;=2020,"Até 2020",TEXT(YEAR(I4672),"0"))</f>
        <v/>
      </c>
      <c r="N4672" s="5">
        <f>IFERROR(INDEX(DePara!$A:$A,MATCH(TEXT(B4672,"0"),DePara!$D:$D,0)),"(sem categoria)")</f>
        <v/>
      </c>
      <c r="O4672" s="5">
        <f>IF(J4672="","",Parametros!$B$6-J4672)</f>
        <v/>
      </c>
      <c r="P4672" s="5">
        <f>IF(O4672="","",IF(O4672&gt;0,1,0))</f>
        <v/>
      </c>
    </row>
    <row r="4673">
      <c r="A4673" s="5" t="n">
        <v>1117730000</v>
      </c>
      <c r="B4673" s="5" t="inlineStr">
        <is>
          <t>EM000005</t>
        </is>
      </c>
      <c r="C4673" s="5" t="inlineStr">
        <is>
          <t>LUIZ SAVIO DE CAMPOS SIQUEIRA</t>
        </is>
      </c>
      <c r="D4673" s="5" t="inlineStr">
        <is>
          <t>AB</t>
        </is>
      </c>
      <c r="E4673" s="5" t="n">
        <v>1100012590</v>
      </c>
      <c r="F4673" s="5" t="inlineStr">
        <is>
          <t>CC 05.2026</t>
        </is>
      </c>
      <c r="G4673" s="5" t="inlineStr">
        <is>
          <t>BRL</t>
        </is>
      </c>
      <c r="H4673" s="9" t="n">
        <v>2340.33</v>
      </c>
      <c r="I4673" s="16" t="n">
        <v>46162</v>
      </c>
      <c r="J4673" s="16" t="n">
        <v>46162</v>
      </c>
      <c r="K4673" s="5" t="inlineStr">
        <is>
          <t>Partida individual LUIZ SAVIO DE CAMPOS SIQUEIRA C</t>
        </is>
      </c>
      <c r="L4673" s="5" t="n"/>
      <c r="M4673" s="5">
        <f>IF(YEAR(I4673)&lt;=2020,"Até 2020",TEXT(YEAR(I4673),"0"))</f>
        <v/>
      </c>
      <c r="N4673" s="5">
        <f>IFERROR(INDEX(DePara!$A:$A,MATCH(TEXT(B4673,"0"),DePara!$D:$D,0)),"(sem categoria)")</f>
        <v/>
      </c>
      <c r="O4673" s="5">
        <f>IF(J4673="","",Parametros!$B$6-J4673)</f>
        <v/>
      </c>
      <c r="P4673" s="5">
        <f>IF(O4673="","",IF(O4673&gt;0,1,0))</f>
        <v/>
      </c>
    </row>
    <row r="4674">
      <c r="A4674" s="5" t="n">
        <v>1117730000</v>
      </c>
      <c r="B4674" s="5" t="inlineStr">
        <is>
          <t>EM000027</t>
        </is>
      </c>
      <c r="C4674" s="5" t="inlineStr">
        <is>
          <t>RAFAEL AUGUSTO DA SILVA GOULARTE</t>
        </is>
      </c>
      <c r="D4674" s="5" t="inlineStr">
        <is>
          <t>AB</t>
        </is>
      </c>
      <c r="E4674" s="5" t="n">
        <v>1100012590</v>
      </c>
      <c r="F4674" s="5" t="inlineStr">
        <is>
          <t>CC 05.2026</t>
        </is>
      </c>
      <c r="G4674" s="5" t="inlineStr">
        <is>
          <t>BRL</t>
        </is>
      </c>
      <c r="H4674" s="9" t="n">
        <v>3771.78</v>
      </c>
      <c r="I4674" s="16" t="n">
        <v>46162</v>
      </c>
      <c r="J4674" s="16" t="n">
        <v>46162</v>
      </c>
      <c r="K4674" s="5" t="inlineStr">
        <is>
          <t>Partida individual RAFAEL AUGUSTO DA SILVA GOULART</t>
        </is>
      </c>
      <c r="L4674" s="5" t="n"/>
      <c r="M4674" s="5">
        <f>IF(YEAR(I4674)&lt;=2020,"Até 2020",TEXT(YEAR(I4674),"0"))</f>
        <v/>
      </c>
      <c r="N4674" s="5">
        <f>IFERROR(INDEX(DePara!$A:$A,MATCH(TEXT(B4674,"0"),DePara!$D:$D,0)),"(sem categoria)")</f>
        <v/>
      </c>
      <c r="O4674" s="5">
        <f>IF(J4674="","",Parametros!$B$6-J4674)</f>
        <v/>
      </c>
      <c r="P4674" s="5">
        <f>IF(O4674="","",IF(O4674&gt;0,1,0))</f>
        <v/>
      </c>
    </row>
    <row r="4675">
      <c r="A4675" s="5" t="n">
        <v>1117730000</v>
      </c>
      <c r="B4675" s="5" t="inlineStr">
        <is>
          <t>EM000023</t>
        </is>
      </c>
      <c r="C4675" s="5" t="inlineStr">
        <is>
          <t>RAFAEL MACHADO SALLES</t>
        </is>
      </c>
      <c r="D4675" s="5" t="inlineStr">
        <is>
          <t>AB</t>
        </is>
      </c>
      <c r="E4675" s="5" t="n">
        <v>1100012590</v>
      </c>
      <c r="F4675" s="5" t="inlineStr">
        <is>
          <t>CC 05.2026</t>
        </is>
      </c>
      <c r="G4675" s="5" t="inlineStr">
        <is>
          <t>BRL</t>
        </is>
      </c>
      <c r="H4675" s="9" t="n">
        <v>1509.19</v>
      </c>
      <c r="I4675" s="16" t="n">
        <v>46162</v>
      </c>
      <c r="J4675" s="16" t="n">
        <v>46162</v>
      </c>
      <c r="K4675" s="5" t="inlineStr">
        <is>
          <t>Partida individual RAFAEL MACHADO SALLES CC 05.202</t>
        </is>
      </c>
      <c r="L4675" s="5" t="n"/>
      <c r="M4675" s="5">
        <f>IF(YEAR(I4675)&lt;=2020,"Até 2020",TEXT(YEAR(I4675),"0"))</f>
        <v/>
      </c>
      <c r="N4675" s="5">
        <f>IFERROR(INDEX(DePara!$A:$A,MATCH(TEXT(B4675,"0"),DePara!$D:$D,0)),"(sem categoria)")</f>
        <v/>
      </c>
      <c r="O4675" s="5">
        <f>IF(J4675="","",Parametros!$B$6-J4675)</f>
        <v/>
      </c>
      <c r="P4675" s="5">
        <f>IF(O4675="","",IF(O4675&gt;0,1,0))</f>
        <v/>
      </c>
    </row>
    <row r="4676">
      <c r="A4676" s="5" t="n">
        <v>1117730000</v>
      </c>
      <c r="B4676" s="5" t="inlineStr">
        <is>
          <t>EM000029</t>
        </is>
      </c>
      <c r="C4676" s="5" t="inlineStr">
        <is>
          <t>RENATO BRUNO LIMA DE FARIAS</t>
        </is>
      </c>
      <c r="D4676" s="5" t="inlineStr">
        <is>
          <t>AB</t>
        </is>
      </c>
      <c r="E4676" s="5" t="n">
        <v>1100012590</v>
      </c>
      <c r="F4676" s="5" t="inlineStr">
        <is>
          <t>CC 05.2026</t>
        </is>
      </c>
      <c r="G4676" s="5" t="inlineStr">
        <is>
          <t>BRL</t>
        </is>
      </c>
      <c r="H4676" s="9" t="n">
        <v>2111.76</v>
      </c>
      <c r="I4676" s="16" t="n">
        <v>46162</v>
      </c>
      <c r="J4676" s="16" t="n">
        <v>46162</v>
      </c>
      <c r="K4676" s="5" t="inlineStr">
        <is>
          <t>Partida individual RENATO BRUNO LIMA DE FARIAS CC</t>
        </is>
      </c>
      <c r="L4676" s="5" t="n"/>
      <c r="M4676" s="5">
        <f>IF(YEAR(I4676)&lt;=2020,"Até 2020",TEXT(YEAR(I4676),"0"))</f>
        <v/>
      </c>
      <c r="N4676" s="5">
        <f>IFERROR(INDEX(DePara!$A:$A,MATCH(TEXT(B4676,"0"),DePara!$D:$D,0)),"(sem categoria)")</f>
        <v/>
      </c>
      <c r="O4676" s="5">
        <f>IF(J4676="","",Parametros!$B$6-J4676)</f>
        <v/>
      </c>
      <c r="P4676" s="5">
        <f>IF(O4676="","",IF(O4676&gt;0,1,0))</f>
        <v/>
      </c>
    </row>
    <row r="4677">
      <c r="A4677" s="5" t="n">
        <v>1117730000</v>
      </c>
      <c r="B4677" s="5" t="inlineStr">
        <is>
          <t>EM000131</t>
        </is>
      </c>
      <c r="C4677" s="5" t="inlineStr">
        <is>
          <t>RICARDO COSTA DA SILVA</t>
        </is>
      </c>
      <c r="D4677" s="5" t="inlineStr">
        <is>
          <t>AB</t>
        </is>
      </c>
      <c r="E4677" s="5" t="n">
        <v>1100012590</v>
      </c>
      <c r="F4677" s="5" t="inlineStr">
        <is>
          <t>CC 05.2026</t>
        </is>
      </c>
      <c r="G4677" s="5" t="inlineStr">
        <is>
          <t>BRL</t>
        </is>
      </c>
      <c r="H4677" s="9" t="n">
        <v>15276.89</v>
      </c>
      <c r="I4677" s="16" t="n">
        <v>46162</v>
      </c>
      <c r="J4677" s="16" t="n">
        <v>46162</v>
      </c>
      <c r="K4677" s="5" t="inlineStr">
        <is>
          <t>Partida individual RICARDO COSTA DA SILVA CC 05.20</t>
        </is>
      </c>
      <c r="L4677" s="5" t="n"/>
      <c r="M4677" s="5">
        <f>IF(YEAR(I4677)&lt;=2020,"Até 2020",TEXT(YEAR(I4677),"0"))</f>
        <v/>
      </c>
      <c r="N4677" s="5">
        <f>IFERROR(INDEX(DePara!$A:$A,MATCH(TEXT(B4677,"0"),DePara!$D:$D,0)),"(sem categoria)")</f>
        <v/>
      </c>
      <c r="O4677" s="5">
        <f>IF(J4677="","",Parametros!$B$6-J4677)</f>
        <v/>
      </c>
      <c r="P4677" s="5">
        <f>IF(O4677="","",IF(O4677&gt;0,1,0))</f>
        <v/>
      </c>
    </row>
    <row r="4678">
      <c r="A4678" s="5" t="n">
        <v>1117730000</v>
      </c>
      <c r="B4678" s="5" t="inlineStr">
        <is>
          <t>EM000125</t>
        </is>
      </c>
      <c r="C4678" s="5" t="inlineStr">
        <is>
          <t>RODRIGO RAFAEL LIMA DE FARIAS</t>
        </is>
      </c>
      <c r="D4678" s="5" t="inlineStr">
        <is>
          <t>AB</t>
        </is>
      </c>
      <c r="E4678" s="5" t="n">
        <v>1100012590</v>
      </c>
      <c r="F4678" s="5" t="inlineStr">
        <is>
          <t>CC 05.2026</t>
        </is>
      </c>
      <c r="G4678" s="5" t="inlineStr">
        <is>
          <t>BRL</t>
        </is>
      </c>
      <c r="H4678" s="9" t="n">
        <v>895.63</v>
      </c>
      <c r="I4678" s="16" t="n">
        <v>46162</v>
      </c>
      <c r="J4678" s="16" t="n">
        <v>46162</v>
      </c>
      <c r="K4678" s="5" t="inlineStr">
        <is>
          <t>Partida individual RODRIGO RAFAEL LIMA DE FARIAS C</t>
        </is>
      </c>
      <c r="L4678" s="5" t="n"/>
      <c r="M4678" s="5">
        <f>IF(YEAR(I4678)&lt;=2020,"Até 2020",TEXT(YEAR(I4678),"0"))</f>
        <v/>
      </c>
      <c r="N4678" s="5">
        <f>IFERROR(INDEX(DePara!$A:$A,MATCH(TEXT(B4678,"0"),DePara!$D:$D,0)),"(sem categoria)")</f>
        <v/>
      </c>
      <c r="O4678" s="5">
        <f>IF(J4678="","",Parametros!$B$6-J4678)</f>
        <v/>
      </c>
      <c r="P4678" s="5">
        <f>IF(O4678="","",IF(O4678&gt;0,1,0))</f>
        <v/>
      </c>
    </row>
    <row r="4679">
      <c r="A4679" s="5" t="n">
        <v>1117730000</v>
      </c>
      <c r="B4679" s="5" t="inlineStr">
        <is>
          <t>EM000080</t>
        </is>
      </c>
      <c r="C4679" s="5" t="inlineStr">
        <is>
          <t>SAIRON DOS SANTOS BASTOS</t>
        </is>
      </c>
      <c r="D4679" s="5" t="inlineStr">
        <is>
          <t>AB</t>
        </is>
      </c>
      <c r="E4679" s="5" t="n">
        <v>1100012590</v>
      </c>
      <c r="F4679" s="5" t="inlineStr">
        <is>
          <t>CC 05.2026</t>
        </is>
      </c>
      <c r="G4679" s="5" t="inlineStr">
        <is>
          <t>BRL</t>
        </is>
      </c>
      <c r="H4679" s="9" t="n">
        <v>227</v>
      </c>
      <c r="I4679" s="16" t="n">
        <v>46162</v>
      </c>
      <c r="J4679" s="16" t="n">
        <v>46162</v>
      </c>
      <c r="K4679" s="5" t="inlineStr">
        <is>
          <t>Partida individual SAIRON DOS SANTOS BASTOS CC 05.</t>
        </is>
      </c>
      <c r="L4679" s="5" t="n"/>
      <c r="M4679" s="5">
        <f>IF(YEAR(I4679)&lt;=2020,"Até 2020",TEXT(YEAR(I4679),"0"))</f>
        <v/>
      </c>
      <c r="N4679" s="5">
        <f>IFERROR(INDEX(DePara!$A:$A,MATCH(TEXT(B4679,"0"),DePara!$D:$D,0)),"(sem categoria)")</f>
        <v/>
      </c>
      <c r="O4679" s="5">
        <f>IF(J4679="","",Parametros!$B$6-J4679)</f>
        <v/>
      </c>
      <c r="P4679" s="5">
        <f>IF(O4679="","",IF(O4679&gt;0,1,0))</f>
        <v/>
      </c>
    </row>
    <row r="4680">
      <c r="A4680" s="5" t="n">
        <v>1117730000</v>
      </c>
      <c r="B4680" s="5" t="inlineStr">
        <is>
          <t>EM000281</t>
        </is>
      </c>
      <c r="C4680" s="5" t="inlineStr">
        <is>
          <t>VANESSA REGINA DE CAMARGO</t>
        </is>
      </c>
      <c r="D4680" s="5" t="inlineStr">
        <is>
          <t>AB</t>
        </is>
      </c>
      <c r="E4680" s="5" t="n">
        <v>1100012590</v>
      </c>
      <c r="F4680" s="5" t="inlineStr">
        <is>
          <t>CC 05.2026</t>
        </is>
      </c>
      <c r="G4680" s="5" t="inlineStr">
        <is>
          <t>BRL</t>
        </is>
      </c>
      <c r="H4680" s="9" t="n">
        <v>5162.26</v>
      </c>
      <c r="I4680" s="16" t="n">
        <v>46162</v>
      </c>
      <c r="J4680" s="16" t="n">
        <v>46162</v>
      </c>
      <c r="K4680" s="5" t="inlineStr">
        <is>
          <t>Partida individual VANESSA REGINA DE CAMARGO CC 05</t>
        </is>
      </c>
      <c r="L4680" s="5" t="n"/>
      <c r="M4680" s="5">
        <f>IF(YEAR(I4680)&lt;=2020,"Até 2020",TEXT(YEAR(I4680),"0"))</f>
        <v/>
      </c>
      <c r="N4680" s="5">
        <f>IFERROR(INDEX(DePara!$A:$A,MATCH(TEXT(B4680,"0"),DePara!$D:$D,0)),"(sem categoria)")</f>
        <v/>
      </c>
      <c r="O4680" s="5">
        <f>IF(J4680="","",Parametros!$B$6-J4680)</f>
        <v/>
      </c>
      <c r="P4680" s="5">
        <f>IF(O4680="","",IF(O4680&gt;0,1,0))</f>
        <v/>
      </c>
    </row>
    <row r="4681">
      <c r="A4681" s="5" t="n">
        <v>1117730000</v>
      </c>
      <c r="B4681" s="5" t="inlineStr">
        <is>
          <t>EM000394</t>
        </is>
      </c>
      <c r="C4681" s="5" t="inlineStr">
        <is>
          <t>WAGNER DELLA FLORA GROSS</t>
        </is>
      </c>
      <c r="D4681" s="5" t="inlineStr">
        <is>
          <t>AB</t>
        </is>
      </c>
      <c r="E4681" s="5" t="n">
        <v>1100012590</v>
      </c>
      <c r="F4681" s="5" t="inlineStr">
        <is>
          <t>CC 05.2026</t>
        </is>
      </c>
      <c r="G4681" s="5" t="inlineStr">
        <is>
          <t>BRL</t>
        </is>
      </c>
      <c r="H4681" s="9" t="n">
        <v>791.03</v>
      </c>
      <c r="I4681" s="16" t="n">
        <v>46162</v>
      </c>
      <c r="J4681" s="16" t="n">
        <v>46162</v>
      </c>
      <c r="K4681" s="5" t="inlineStr">
        <is>
          <t>Pendente Financeiro</t>
        </is>
      </c>
      <c r="L4681" s="5" t="n"/>
      <c r="M4681" s="5">
        <f>IF(YEAR(I4681)&lt;=2020,"Até 2020",TEXT(YEAR(I4681),"0"))</f>
        <v/>
      </c>
      <c r="N4681" s="5">
        <f>IFERROR(INDEX(DePara!$A:$A,MATCH(TEXT(B4681,"0"),DePara!$D:$D,0)),"(sem categoria)")</f>
        <v/>
      </c>
      <c r="O4681" s="5">
        <f>IF(J4681="","",Parametros!$B$6-J4681)</f>
        <v/>
      </c>
      <c r="P4681" s="5">
        <f>IF(O4681="","",IF(O4681&gt;0,1,0))</f>
        <v/>
      </c>
    </row>
    <row r="4682">
      <c r="A4682" s="5" t="n">
        <v>1117730000</v>
      </c>
      <c r="B4682" s="5" t="inlineStr">
        <is>
          <t>EM000093</t>
        </is>
      </c>
      <c r="C4682" s="5" t="inlineStr">
        <is>
          <t>CARLOS ALVES DE AZEVEDO</t>
        </is>
      </c>
      <c r="D4682" s="5" t="inlineStr">
        <is>
          <t>AB</t>
        </is>
      </c>
      <c r="E4682" s="5" t="n">
        <v>1100012645</v>
      </c>
      <c r="F4682" s="5" t="inlineStr">
        <is>
          <t>CC 05.2026</t>
        </is>
      </c>
      <c r="G4682" s="5" t="inlineStr">
        <is>
          <t>BRL</t>
        </is>
      </c>
      <c r="H4682" s="9" t="n">
        <v>4664.4</v>
      </c>
      <c r="I4682" s="16" t="n">
        <v>46156</v>
      </c>
      <c r="J4682" s="16" t="n">
        <v>46162</v>
      </c>
      <c r="K4682" s="5" t="inlineStr">
        <is>
          <t>Clearing document CARLOS ALVES DE AZEVEDO CC 05.20</t>
        </is>
      </c>
      <c r="L4682" s="5" t="n"/>
      <c r="M4682" s="5">
        <f>IF(YEAR(I4682)&lt;=2020,"Até 2020",TEXT(YEAR(I4682),"0"))</f>
        <v/>
      </c>
      <c r="N4682" s="5">
        <f>IFERROR(INDEX(DePara!$A:$A,MATCH(TEXT(B4682,"0"),DePara!$D:$D,0)),"(sem categoria)")</f>
        <v/>
      </c>
      <c r="O4682" s="5">
        <f>IF(J4682="","",Parametros!$B$6-J4682)</f>
        <v/>
      </c>
      <c r="P4682" s="5">
        <f>IF(O4682="","",IF(O4682&gt;0,1,0))</f>
        <v/>
      </c>
    </row>
    <row r="4683">
      <c r="A4683" s="5" t="n">
        <v>1117730000</v>
      </c>
      <c r="B4683" s="5" t="inlineStr">
        <is>
          <t>EM000451</t>
        </is>
      </c>
      <c r="C4683" s="5" t="inlineStr">
        <is>
          <t>ALEX DA SILVA CONCEIÇÃO</t>
        </is>
      </c>
      <c r="D4683" s="5" t="inlineStr">
        <is>
          <t>AB</t>
        </is>
      </c>
      <c r="E4683" s="5" t="n">
        <v>1100012704</v>
      </c>
      <c r="F4683" s="5" t="inlineStr">
        <is>
          <t>CC 04.2026</t>
        </is>
      </c>
      <c r="G4683" s="5" t="inlineStr">
        <is>
          <t>BRL</t>
        </is>
      </c>
      <c r="H4683" s="9" t="n">
        <v>3334.75</v>
      </c>
      <c r="I4683" s="16" t="n">
        <v>46146</v>
      </c>
      <c r="J4683" s="16" t="n">
        <v>46127</v>
      </c>
      <c r="K4683" s="5" t="inlineStr">
        <is>
          <t>Partida individual ALEX DA SILVA CONCEIÇÃO CC 04.2</t>
        </is>
      </c>
      <c r="L4683" s="5" t="n"/>
      <c r="M4683" s="5">
        <f>IF(YEAR(I4683)&lt;=2020,"Até 2020",TEXT(YEAR(I4683),"0"))</f>
        <v/>
      </c>
      <c r="N4683" s="5">
        <f>IFERROR(INDEX(DePara!$A:$A,MATCH(TEXT(B4683,"0"),DePara!$D:$D,0)),"(sem categoria)")</f>
        <v/>
      </c>
      <c r="O4683" s="5">
        <f>IF(J4683="","",Parametros!$B$6-J4683)</f>
        <v/>
      </c>
      <c r="P4683" s="5">
        <f>IF(O4683="","",IF(O4683&gt;0,1,0))</f>
        <v/>
      </c>
    </row>
    <row r="4684">
      <c r="A4684" s="5" t="n">
        <v>1117730000</v>
      </c>
      <c r="B4684" s="5" t="inlineStr">
        <is>
          <t>EM000054</t>
        </is>
      </c>
      <c r="C4684" s="5" t="inlineStr">
        <is>
          <t>FERNANDO SCHNEIDER FERNANDES</t>
        </is>
      </c>
      <c r="D4684" s="5" t="inlineStr">
        <is>
          <t>AB</t>
        </is>
      </c>
      <c r="E4684" s="5" t="n">
        <v>1100013827</v>
      </c>
      <c r="F4684" s="5" t="inlineStr">
        <is>
          <t>50990</t>
        </is>
      </c>
      <c r="G4684" s="5" t="inlineStr">
        <is>
          <t>BRL</t>
        </is>
      </c>
      <c r="H4684" s="9" t="n">
        <v>1205.78</v>
      </c>
      <c r="I4684" s="16" t="n">
        <v>46184</v>
      </c>
      <c r="J4684" s="16" t="n">
        <v>46162</v>
      </c>
      <c r="K4684" s="5" t="inlineStr">
        <is>
          <t>Clearing document FERNANDO SCHNEIDER FERNANDES 509</t>
        </is>
      </c>
      <c r="L4684" s="5" t="inlineStr">
        <is>
          <t>20052026</t>
        </is>
      </c>
      <c r="M4684" s="5">
        <f>IF(YEAR(I4684)&lt;=2020,"Até 2020",TEXT(YEAR(I4684),"0"))</f>
        <v/>
      </c>
      <c r="N4684" s="5">
        <f>IFERROR(INDEX(DePara!$A:$A,MATCH(TEXT(B4684,"0"),DePara!$D:$D,0)),"(sem categoria)")</f>
        <v/>
      </c>
      <c r="O4684" s="5">
        <f>IF(J4684="","",Parametros!$B$6-J4684)</f>
        <v/>
      </c>
      <c r="P4684" s="5">
        <f>IF(O4684="","",IF(O4684&gt;0,1,0))</f>
        <v/>
      </c>
    </row>
    <row r="4685">
      <c r="A4685" s="5" t="n">
        <v>1117730000</v>
      </c>
      <c r="B4685" s="5" t="inlineStr">
        <is>
          <t>EM000083</t>
        </is>
      </c>
      <c r="C4685" s="5" t="inlineStr">
        <is>
          <t>ANDERSON DE SOUZA MOTA</t>
        </is>
      </c>
      <c r="D4685" s="5" t="inlineStr">
        <is>
          <t>AB</t>
        </is>
      </c>
      <c r="E4685" s="5" t="n">
        <v>1100014737</v>
      </c>
      <c r="F4685" s="5" t="inlineStr">
        <is>
          <t>CC 06.2026</t>
        </is>
      </c>
      <c r="G4685" s="5" t="inlineStr">
        <is>
          <t>BRL</t>
        </is>
      </c>
      <c r="H4685" s="9" t="n">
        <v>511.43</v>
      </c>
      <c r="I4685" s="16" t="n">
        <v>46199</v>
      </c>
      <c r="J4685" s="16" t="n">
        <v>46199</v>
      </c>
      <c r="K4685" s="5" t="inlineStr">
        <is>
          <t>Partida individual ANDERSON DE SOUZA MOTA CC 06.20</t>
        </is>
      </c>
      <c r="L4685" s="5" t="n"/>
      <c r="M4685" s="5">
        <f>IF(YEAR(I4685)&lt;=2020,"Até 2020",TEXT(YEAR(I4685),"0"))</f>
        <v/>
      </c>
      <c r="N4685" s="5">
        <f>IFERROR(INDEX(DePara!$A:$A,MATCH(TEXT(B4685,"0"),DePara!$D:$D,0)),"(sem categoria)")</f>
        <v/>
      </c>
      <c r="O4685" s="5">
        <f>IF(J4685="","",Parametros!$B$6-J4685)</f>
        <v/>
      </c>
      <c r="P4685" s="5">
        <f>IF(O4685="","",IF(O4685&gt;0,1,0))</f>
        <v/>
      </c>
    </row>
    <row r="4686">
      <c r="A4686" s="5" t="n">
        <v>1117730000</v>
      </c>
      <c r="B4686" s="5" t="inlineStr">
        <is>
          <t>EM000297</t>
        </is>
      </c>
      <c r="C4686" s="5" t="inlineStr">
        <is>
          <t>ARIEL VANZETTO DUARTE</t>
        </is>
      </c>
      <c r="D4686" s="5" t="inlineStr">
        <is>
          <t>AB</t>
        </is>
      </c>
      <c r="E4686" s="5" t="n">
        <v>1100014737</v>
      </c>
      <c r="F4686" s="5" t="inlineStr">
        <is>
          <t>CC 06.2026</t>
        </is>
      </c>
      <c r="G4686" s="5" t="inlineStr">
        <is>
          <t>BRL</t>
        </is>
      </c>
      <c r="H4686" s="9" t="n">
        <v>1403.95</v>
      </c>
      <c r="I4686" s="16" t="n">
        <v>46199</v>
      </c>
      <c r="J4686" s="16" t="n">
        <v>46199</v>
      </c>
      <c r="K4686" s="5" t="inlineStr">
        <is>
          <t>Partida individual ARIEL VANZETTO DUARTE CC 06.202</t>
        </is>
      </c>
      <c r="L4686" s="5" t="n"/>
      <c r="M4686" s="5">
        <f>IF(YEAR(I4686)&lt;=2020,"Até 2020",TEXT(YEAR(I4686),"0"))</f>
        <v/>
      </c>
      <c r="N4686" s="5">
        <f>IFERROR(INDEX(DePara!$A:$A,MATCH(TEXT(B4686,"0"),DePara!$D:$D,0)),"(sem categoria)")</f>
        <v/>
      </c>
      <c r="O4686" s="5">
        <f>IF(J4686="","",Parametros!$B$6-J4686)</f>
        <v/>
      </c>
      <c r="P4686" s="5">
        <f>IF(O4686="","",IF(O4686&gt;0,1,0))</f>
        <v/>
      </c>
    </row>
    <row r="4687">
      <c r="A4687" s="5" t="n">
        <v>1117730000</v>
      </c>
      <c r="B4687" s="5" t="inlineStr">
        <is>
          <t>EM000048</t>
        </is>
      </c>
      <c r="C4687" s="5" t="inlineStr">
        <is>
          <t>ARLINDO ASTYZEM REGO</t>
        </is>
      </c>
      <c r="D4687" s="5" t="inlineStr">
        <is>
          <t>AB</t>
        </is>
      </c>
      <c r="E4687" s="5" t="n">
        <v>1100014737</v>
      </c>
      <c r="F4687" s="5" t="inlineStr">
        <is>
          <t>CC 06.2026</t>
        </is>
      </c>
      <c r="G4687" s="5" t="inlineStr">
        <is>
          <t>BRL</t>
        </is>
      </c>
      <c r="H4687" s="9" t="n">
        <v>1389.98</v>
      </c>
      <c r="I4687" s="16" t="n">
        <v>46199</v>
      </c>
      <c r="J4687" s="16" t="n">
        <v>46199</v>
      </c>
      <c r="K4687" s="5" t="inlineStr">
        <is>
          <t>Partida individual ARLINDO ASTYZEM REGO CC 06.2026</t>
        </is>
      </c>
      <c r="L4687" s="5" t="n"/>
      <c r="M4687" s="5">
        <f>IF(YEAR(I4687)&lt;=2020,"Até 2020",TEXT(YEAR(I4687),"0"))</f>
        <v/>
      </c>
      <c r="N4687" s="5">
        <f>IFERROR(INDEX(DePara!$A:$A,MATCH(TEXT(B4687,"0"),DePara!$D:$D,0)),"(sem categoria)")</f>
        <v/>
      </c>
      <c r="O4687" s="5">
        <f>IF(J4687="","",Parametros!$B$6-J4687)</f>
        <v/>
      </c>
      <c r="P4687" s="5">
        <f>IF(O4687="","",IF(O4687&gt;0,1,0))</f>
        <v/>
      </c>
    </row>
    <row r="4688">
      <c r="A4688" s="5" t="n">
        <v>1117730000</v>
      </c>
      <c r="B4688" s="5" t="inlineStr">
        <is>
          <t>EM000093</t>
        </is>
      </c>
      <c r="C4688" s="5" t="inlineStr">
        <is>
          <t>CARLOS ALVES DE AZEVEDO</t>
        </is>
      </c>
      <c r="D4688" s="5" t="inlineStr">
        <is>
          <t>AB</t>
        </is>
      </c>
      <c r="E4688" s="5" t="n">
        <v>1100014737</v>
      </c>
      <c r="F4688" s="5" t="inlineStr">
        <is>
          <t>CC 06.2026</t>
        </is>
      </c>
      <c r="G4688" s="5" t="inlineStr">
        <is>
          <t>BRL</t>
        </is>
      </c>
      <c r="H4688" s="9" t="n">
        <v>5230.7</v>
      </c>
      <c r="I4688" s="16" t="n">
        <v>46199</v>
      </c>
      <c r="J4688" s="16" t="n">
        <v>46199</v>
      </c>
      <c r="K4688" s="5" t="inlineStr">
        <is>
          <t>Partida individual CARLOS ALVES DE AZEVEDO CC 06.2</t>
        </is>
      </c>
      <c r="L4688" s="5" t="n"/>
      <c r="M4688" s="5">
        <f>IF(YEAR(I4688)&lt;=2020,"Até 2020",TEXT(YEAR(I4688),"0"))</f>
        <v/>
      </c>
      <c r="N4688" s="5">
        <f>IFERROR(INDEX(DePara!$A:$A,MATCH(TEXT(B4688,"0"),DePara!$D:$D,0)),"(sem categoria)")</f>
        <v/>
      </c>
      <c r="O4688" s="5">
        <f>IF(J4688="","",Parametros!$B$6-J4688)</f>
        <v/>
      </c>
      <c r="P4688" s="5">
        <f>IF(O4688="","",IF(O4688&gt;0,1,0))</f>
        <v/>
      </c>
    </row>
    <row r="4689">
      <c r="A4689" s="5" t="n">
        <v>1117730000</v>
      </c>
      <c r="B4689" s="5" t="inlineStr">
        <is>
          <t>EM000143</t>
        </is>
      </c>
      <c r="C4689" s="5" t="inlineStr">
        <is>
          <t>CARLOS ADRIANO SILVA DE OLIVEIRA</t>
        </is>
      </c>
      <c r="D4689" s="5" t="inlineStr">
        <is>
          <t>AB</t>
        </is>
      </c>
      <c r="E4689" s="5" t="n">
        <v>1100014737</v>
      </c>
      <c r="F4689" s="5" t="inlineStr">
        <is>
          <t>CC 06.2026</t>
        </is>
      </c>
      <c r="G4689" s="5" t="inlineStr">
        <is>
          <t>BRL</t>
        </is>
      </c>
      <c r="H4689" s="9" t="n">
        <v>882.34</v>
      </c>
      <c r="I4689" s="16" t="n">
        <v>46199</v>
      </c>
      <c r="J4689" s="16" t="n">
        <v>46199</v>
      </c>
      <c r="K4689" s="5" t="inlineStr">
        <is>
          <t>Partida individual CARLOS ADRIANO SILVA DE OLIVEIR</t>
        </is>
      </c>
      <c r="L4689" s="5" t="n"/>
      <c r="M4689" s="5">
        <f>IF(YEAR(I4689)&lt;=2020,"Até 2020",TEXT(YEAR(I4689),"0"))</f>
        <v/>
      </c>
      <c r="N4689" s="5">
        <f>IFERROR(INDEX(DePara!$A:$A,MATCH(TEXT(B4689,"0"),DePara!$D:$D,0)),"(sem categoria)")</f>
        <v/>
      </c>
      <c r="O4689" s="5">
        <f>IF(J4689="","",Parametros!$B$6-J4689)</f>
        <v/>
      </c>
      <c r="P4689" s="5">
        <f>IF(O4689="","",IF(O4689&gt;0,1,0))</f>
        <v/>
      </c>
    </row>
    <row r="4690">
      <c r="A4690" s="5" t="n">
        <v>1117730000</v>
      </c>
      <c r="B4690" s="5" t="inlineStr">
        <is>
          <t>EM000109</t>
        </is>
      </c>
      <c r="C4690" s="5" t="inlineStr">
        <is>
          <t>DANILO MOREIRA DOS SANTOS</t>
        </is>
      </c>
      <c r="D4690" s="5" t="inlineStr">
        <is>
          <t>AB</t>
        </is>
      </c>
      <c r="E4690" s="5" t="n">
        <v>1100014737</v>
      </c>
      <c r="F4690" s="5" t="inlineStr">
        <is>
          <t>CC 06.2026</t>
        </is>
      </c>
      <c r="G4690" s="5" t="inlineStr">
        <is>
          <t>BRL</t>
        </is>
      </c>
      <c r="H4690" s="9" t="n">
        <v>951.23</v>
      </c>
      <c r="I4690" s="16" t="n">
        <v>46199</v>
      </c>
      <c r="J4690" s="16" t="n">
        <v>46199</v>
      </c>
      <c r="K4690" s="5" t="inlineStr">
        <is>
          <t>Partida individual DANILO MOREIRA DOS SANTOS CC 06</t>
        </is>
      </c>
      <c r="L4690" s="5" t="n"/>
      <c r="M4690" s="5">
        <f>IF(YEAR(I4690)&lt;=2020,"Até 2020",TEXT(YEAR(I4690),"0"))</f>
        <v/>
      </c>
      <c r="N4690" s="5">
        <f>IFERROR(INDEX(DePara!$A:$A,MATCH(TEXT(B4690,"0"),DePara!$D:$D,0)),"(sem categoria)")</f>
        <v/>
      </c>
      <c r="O4690" s="5">
        <f>IF(J4690="","",Parametros!$B$6-J4690)</f>
        <v/>
      </c>
      <c r="P4690" s="5">
        <f>IF(O4690="","",IF(O4690&gt;0,1,0))</f>
        <v/>
      </c>
    </row>
    <row r="4691">
      <c r="A4691" s="5" t="n">
        <v>1117730000</v>
      </c>
      <c r="B4691" s="5" t="inlineStr">
        <is>
          <t>EM000202</t>
        </is>
      </c>
      <c r="C4691" s="5" t="inlineStr">
        <is>
          <t>DIEGO DE SOUSA ALMEIDA</t>
        </is>
      </c>
      <c r="D4691" s="5" t="inlineStr">
        <is>
          <t>AB</t>
        </is>
      </c>
      <c r="E4691" s="5" t="n">
        <v>1100014737</v>
      </c>
      <c r="F4691" s="5" t="inlineStr">
        <is>
          <t>CC 06.2026</t>
        </is>
      </c>
      <c r="G4691" s="5" t="inlineStr">
        <is>
          <t>BRL</t>
        </is>
      </c>
      <c r="H4691" s="9" t="n">
        <v>1116.73</v>
      </c>
      <c r="I4691" s="16" t="n">
        <v>46199</v>
      </c>
      <c r="J4691" s="16" t="n">
        <v>46199</v>
      </c>
      <c r="K4691" s="5" t="inlineStr">
        <is>
          <t>Partida individual DIEGO DE SOUSA ALMEIDA CC 06.20</t>
        </is>
      </c>
      <c r="L4691" s="5" t="n"/>
      <c r="M4691" s="5">
        <f>IF(YEAR(I4691)&lt;=2020,"Até 2020",TEXT(YEAR(I4691),"0"))</f>
        <v/>
      </c>
      <c r="N4691" s="5">
        <f>IFERROR(INDEX(DePara!$A:$A,MATCH(TEXT(B4691,"0"),DePara!$D:$D,0)),"(sem categoria)")</f>
        <v/>
      </c>
      <c r="O4691" s="5">
        <f>IF(J4691="","",Parametros!$B$6-J4691)</f>
        <v/>
      </c>
      <c r="P4691" s="5">
        <f>IF(O4691="","",IF(O4691&gt;0,1,0))</f>
        <v/>
      </c>
    </row>
    <row r="4692">
      <c r="A4692" s="5" t="n">
        <v>1117730000</v>
      </c>
      <c r="B4692" s="5" t="inlineStr">
        <is>
          <t>EM000141</t>
        </is>
      </c>
      <c r="C4692" s="5" t="inlineStr">
        <is>
          <t>EDGLEISON TAMBORIL FIRMIANO</t>
        </is>
      </c>
      <c r="D4692" s="5" t="inlineStr">
        <is>
          <t>AB</t>
        </is>
      </c>
      <c r="E4692" s="5" t="n">
        <v>1100014737</v>
      </c>
      <c r="F4692" s="5" t="inlineStr">
        <is>
          <t>CC 06.2026</t>
        </is>
      </c>
      <c r="G4692" s="5" t="inlineStr">
        <is>
          <t>BRL</t>
        </is>
      </c>
      <c r="H4692" s="9" t="n">
        <v>4073.71</v>
      </c>
      <c r="I4692" s="16" t="n">
        <v>46199</v>
      </c>
      <c r="J4692" s="16" t="n">
        <v>46199</v>
      </c>
      <c r="K4692" s="5" t="inlineStr">
        <is>
          <t>Partida individual EDGLEISON TAMBORIL FIRMIANO CC</t>
        </is>
      </c>
      <c r="L4692" s="5" t="n"/>
      <c r="M4692" s="5">
        <f>IF(YEAR(I4692)&lt;=2020,"Até 2020",TEXT(YEAR(I4692),"0"))</f>
        <v/>
      </c>
      <c r="N4692" s="5">
        <f>IFERROR(INDEX(DePara!$A:$A,MATCH(TEXT(B4692,"0"),DePara!$D:$D,0)),"(sem categoria)")</f>
        <v/>
      </c>
      <c r="O4692" s="5">
        <f>IF(J4692="","",Parametros!$B$6-J4692)</f>
        <v/>
      </c>
      <c r="P4692" s="5">
        <f>IF(O4692="","",IF(O4692&gt;0,1,0))</f>
        <v/>
      </c>
    </row>
    <row r="4693">
      <c r="A4693" s="5" t="n">
        <v>1117730000</v>
      </c>
      <c r="B4693" s="5" t="inlineStr">
        <is>
          <t>EM000041</t>
        </is>
      </c>
      <c r="C4693" s="5" t="inlineStr">
        <is>
          <t>FLAVIO BELLOLI</t>
        </is>
      </c>
      <c r="D4693" s="5" t="inlineStr">
        <is>
          <t>AB</t>
        </is>
      </c>
      <c r="E4693" s="5" t="n">
        <v>1100014737</v>
      </c>
      <c r="F4693" s="5" t="inlineStr">
        <is>
          <t>CC 06.2026</t>
        </is>
      </c>
      <c r="G4693" s="5" t="inlineStr">
        <is>
          <t>BRL</t>
        </is>
      </c>
      <c r="H4693" s="9" t="n">
        <v>1178.5</v>
      </c>
      <c r="I4693" s="16" t="n">
        <v>46199</v>
      </c>
      <c r="J4693" s="16" t="n">
        <v>46199</v>
      </c>
      <c r="K4693" s="5" t="inlineStr">
        <is>
          <t>Partida individual FLAVIO BELLOLI CC 06.2026</t>
        </is>
      </c>
      <c r="L4693" s="5" t="n"/>
      <c r="M4693" s="5">
        <f>IF(YEAR(I4693)&lt;=2020,"Até 2020",TEXT(YEAR(I4693),"0"))</f>
        <v/>
      </c>
      <c r="N4693" s="5">
        <f>IFERROR(INDEX(DePara!$A:$A,MATCH(TEXT(B4693,"0"),DePara!$D:$D,0)),"(sem categoria)")</f>
        <v/>
      </c>
      <c r="O4693" s="5">
        <f>IF(J4693="","",Parametros!$B$6-J4693)</f>
        <v/>
      </c>
      <c r="P4693" s="5">
        <f>IF(O4693="","",IF(O4693&gt;0,1,0))</f>
        <v/>
      </c>
    </row>
    <row r="4694">
      <c r="A4694" s="5" t="n">
        <v>1117730000</v>
      </c>
      <c r="B4694" s="5" t="inlineStr">
        <is>
          <t>EM000127</t>
        </is>
      </c>
      <c r="C4694" s="5" t="inlineStr">
        <is>
          <t>GUSTAVO FERNANDES LIMA</t>
        </is>
      </c>
      <c r="D4694" s="5" t="inlineStr">
        <is>
          <t>AB</t>
        </is>
      </c>
      <c r="E4694" s="5" t="n">
        <v>1100014737</v>
      </c>
      <c r="F4694" s="5" t="inlineStr">
        <is>
          <t>CC 06.2026</t>
        </is>
      </c>
      <c r="G4694" s="5" t="inlineStr">
        <is>
          <t>BRL</t>
        </is>
      </c>
      <c r="H4694" s="9" t="n">
        <v>2475.16</v>
      </c>
      <c r="I4694" s="16" t="n">
        <v>46199</v>
      </c>
      <c r="J4694" s="16" t="n">
        <v>46199</v>
      </c>
      <c r="K4694" s="5" t="inlineStr">
        <is>
          <t>Partida individual GUSTAVO FERNANDES LIMA CC 06.20</t>
        </is>
      </c>
      <c r="L4694" s="5" t="n"/>
      <c r="M4694" s="5">
        <f>IF(YEAR(I4694)&lt;=2020,"Até 2020",TEXT(YEAR(I4694),"0"))</f>
        <v/>
      </c>
      <c r="N4694" s="5">
        <f>IFERROR(INDEX(DePara!$A:$A,MATCH(TEXT(B4694,"0"),DePara!$D:$D,0)),"(sem categoria)")</f>
        <v/>
      </c>
      <c r="O4694" s="5">
        <f>IF(J4694="","",Parametros!$B$6-J4694)</f>
        <v/>
      </c>
      <c r="P4694" s="5">
        <f>IF(O4694="","",IF(O4694&gt;0,1,0))</f>
        <v/>
      </c>
    </row>
    <row r="4695">
      <c r="A4695" s="5" t="n">
        <v>1117730000</v>
      </c>
      <c r="B4695" s="5" t="inlineStr">
        <is>
          <t>EM000861</t>
        </is>
      </c>
      <c r="C4695" s="5" t="inlineStr">
        <is>
          <t>JOSE ELIMAR PALHARES JUNIOR</t>
        </is>
      </c>
      <c r="D4695" s="5" t="inlineStr">
        <is>
          <t>AB</t>
        </is>
      </c>
      <c r="E4695" s="5" t="n">
        <v>1100014737</v>
      </c>
      <c r="F4695" s="5" t="inlineStr">
        <is>
          <t>CC 06.2026</t>
        </is>
      </c>
      <c r="G4695" s="5" t="inlineStr">
        <is>
          <t>BRL</t>
        </is>
      </c>
      <c r="H4695" s="9" t="n">
        <v>2976.52</v>
      </c>
      <c r="I4695" s="16" t="n">
        <v>46199</v>
      </c>
      <c r="J4695" s="16" t="n">
        <v>46199</v>
      </c>
      <c r="K4695" s="5" t="inlineStr">
        <is>
          <t>Partida individual JOSE ELIMAR PALHARES JUNIOR CC</t>
        </is>
      </c>
      <c r="L4695" s="5" t="n"/>
      <c r="M4695" s="5">
        <f>IF(YEAR(I4695)&lt;=2020,"Até 2020",TEXT(YEAR(I4695),"0"))</f>
        <v/>
      </c>
      <c r="N4695" s="5">
        <f>IFERROR(INDEX(DePara!$A:$A,MATCH(TEXT(B4695,"0"),DePara!$D:$D,0)),"(sem categoria)")</f>
        <v/>
      </c>
      <c r="O4695" s="5">
        <f>IF(J4695="","",Parametros!$B$6-J4695)</f>
        <v/>
      </c>
      <c r="P4695" s="5">
        <f>IF(O4695="","",IF(O4695&gt;0,1,0))</f>
        <v/>
      </c>
    </row>
    <row r="4696">
      <c r="A4696" s="5" t="n">
        <v>1117730000</v>
      </c>
      <c r="B4696" s="5" t="inlineStr">
        <is>
          <t>EM000323</t>
        </is>
      </c>
      <c r="C4696" s="5" t="inlineStr">
        <is>
          <t>JOSE LEONARDO RIBEIRO DUARTE</t>
        </is>
      </c>
      <c r="D4696" s="5" t="inlineStr">
        <is>
          <t>AB</t>
        </is>
      </c>
      <c r="E4696" s="5" t="n">
        <v>1100014737</v>
      </c>
      <c r="F4696" s="5" t="inlineStr">
        <is>
          <t>CC 06.2026</t>
        </is>
      </c>
      <c r="G4696" s="5" t="inlineStr">
        <is>
          <t>BRL</t>
        </is>
      </c>
      <c r="H4696" s="9" t="n">
        <v>6762.6</v>
      </c>
      <c r="I4696" s="16" t="n">
        <v>46199</v>
      </c>
      <c r="J4696" s="16" t="n">
        <v>46199</v>
      </c>
      <c r="K4696" s="5" t="inlineStr">
        <is>
          <t>Partida individual JOSE LEONARDO RIBEIRO DUARTE CC</t>
        </is>
      </c>
      <c r="L4696" s="5" t="n"/>
      <c r="M4696" s="5">
        <f>IF(YEAR(I4696)&lt;=2020,"Até 2020",TEXT(YEAR(I4696),"0"))</f>
        <v/>
      </c>
      <c r="N4696" s="5">
        <f>IFERROR(INDEX(DePara!$A:$A,MATCH(TEXT(B4696,"0"),DePara!$D:$D,0)),"(sem categoria)")</f>
        <v/>
      </c>
      <c r="O4696" s="5">
        <f>IF(J4696="","",Parametros!$B$6-J4696)</f>
        <v/>
      </c>
      <c r="P4696" s="5">
        <f>IF(O4696="","",IF(O4696&gt;0,1,0))</f>
        <v/>
      </c>
    </row>
    <row r="4697">
      <c r="A4697" s="5" t="n">
        <v>1117730000</v>
      </c>
      <c r="B4697" s="5" t="inlineStr">
        <is>
          <t>EM000005</t>
        </is>
      </c>
      <c r="C4697" s="5" t="inlineStr">
        <is>
          <t>LUIZ SAVIO DE CAMPOS SIQUEIRA</t>
        </is>
      </c>
      <c r="D4697" s="5" t="inlineStr">
        <is>
          <t>AB</t>
        </is>
      </c>
      <c r="E4697" s="5" t="n">
        <v>1100014737</v>
      </c>
      <c r="F4697" s="5" t="inlineStr">
        <is>
          <t>CC 06.2026</t>
        </is>
      </c>
      <c r="G4697" s="5" t="inlineStr">
        <is>
          <t>BRL</t>
        </is>
      </c>
      <c r="H4697" s="9" t="n">
        <v>2119.67</v>
      </c>
      <c r="I4697" s="16" t="n">
        <v>46199</v>
      </c>
      <c r="J4697" s="16" t="n">
        <v>46199</v>
      </c>
      <c r="K4697" s="5" t="inlineStr">
        <is>
          <t>Partida individual LUIZ SAVIO DE CAMPOS SIQUEIRA C</t>
        </is>
      </c>
      <c r="L4697" s="5" t="n"/>
      <c r="M4697" s="5">
        <f>IF(YEAR(I4697)&lt;=2020,"Até 2020",TEXT(YEAR(I4697),"0"))</f>
        <v/>
      </c>
      <c r="N4697" s="5">
        <f>IFERROR(INDEX(DePara!$A:$A,MATCH(TEXT(B4697,"0"),DePara!$D:$D,0)),"(sem categoria)")</f>
        <v/>
      </c>
      <c r="O4697" s="5">
        <f>IF(J4697="","",Parametros!$B$6-J4697)</f>
        <v/>
      </c>
      <c r="P4697" s="5">
        <f>IF(O4697="","",IF(O4697&gt;0,1,0))</f>
        <v/>
      </c>
    </row>
    <row r="4698">
      <c r="A4698" s="5" t="n">
        <v>1117730000</v>
      </c>
      <c r="B4698" s="5" t="inlineStr">
        <is>
          <t>EM000027</t>
        </is>
      </c>
      <c r="C4698" s="5" t="inlineStr">
        <is>
          <t>RAFAEL AUGUSTO DA SILVA GOULARTE</t>
        </is>
      </c>
      <c r="D4698" s="5" t="inlineStr">
        <is>
          <t>AB</t>
        </is>
      </c>
      <c r="E4698" s="5" t="n">
        <v>1100014737</v>
      </c>
      <c r="F4698" s="5" t="inlineStr">
        <is>
          <t>CC 06.2026</t>
        </is>
      </c>
      <c r="G4698" s="5" t="inlineStr">
        <is>
          <t>BRL</t>
        </is>
      </c>
      <c r="H4698" s="9" t="n">
        <v>3504.91</v>
      </c>
      <c r="I4698" s="16" t="n">
        <v>46199</v>
      </c>
      <c r="J4698" s="16" t="n">
        <v>46199</v>
      </c>
      <c r="K4698" s="5" t="inlineStr">
        <is>
          <t>Partida individual RAFAEL AUGUSTO DA SILVA GOULART</t>
        </is>
      </c>
      <c r="L4698" s="5" t="n"/>
      <c r="M4698" s="5">
        <f>IF(YEAR(I4698)&lt;=2020,"Até 2020",TEXT(YEAR(I4698),"0"))</f>
        <v/>
      </c>
      <c r="N4698" s="5">
        <f>IFERROR(INDEX(DePara!$A:$A,MATCH(TEXT(B4698,"0"),DePara!$D:$D,0)),"(sem categoria)")</f>
        <v/>
      </c>
      <c r="O4698" s="5">
        <f>IF(J4698="","",Parametros!$B$6-J4698)</f>
        <v/>
      </c>
      <c r="P4698" s="5">
        <f>IF(O4698="","",IF(O4698&gt;0,1,0))</f>
        <v/>
      </c>
    </row>
    <row r="4699">
      <c r="A4699" s="5" t="n">
        <v>1117730000</v>
      </c>
      <c r="B4699" s="5" t="inlineStr">
        <is>
          <t>EM000029</t>
        </is>
      </c>
      <c r="C4699" s="5" t="inlineStr">
        <is>
          <t>RENATO BRUNO LIMA DE FARIAS</t>
        </is>
      </c>
      <c r="D4699" s="5" t="inlineStr">
        <is>
          <t>AB</t>
        </is>
      </c>
      <c r="E4699" s="5" t="n">
        <v>1100014737</v>
      </c>
      <c r="F4699" s="5" t="inlineStr">
        <is>
          <t>CC 06.2026</t>
        </is>
      </c>
      <c r="G4699" s="5" t="inlineStr">
        <is>
          <t>BRL</t>
        </is>
      </c>
      <c r="H4699" s="9" t="n">
        <v>1881.03</v>
      </c>
      <c r="I4699" s="16" t="n">
        <v>46199</v>
      </c>
      <c r="J4699" s="16" t="n">
        <v>46199</v>
      </c>
      <c r="K4699" s="5" t="inlineStr">
        <is>
          <t>Partida individual RENATO BRUNO LIMA DE FARIAS CC</t>
        </is>
      </c>
      <c r="L4699" s="5" t="n"/>
      <c r="M4699" s="5">
        <f>IF(YEAR(I4699)&lt;=2020,"Até 2020",TEXT(YEAR(I4699),"0"))</f>
        <v/>
      </c>
      <c r="N4699" s="5">
        <f>IFERROR(INDEX(DePara!$A:$A,MATCH(TEXT(B4699,"0"),DePara!$D:$D,0)),"(sem categoria)")</f>
        <v/>
      </c>
      <c r="O4699" s="5">
        <f>IF(J4699="","",Parametros!$B$6-J4699)</f>
        <v/>
      </c>
      <c r="P4699" s="5">
        <f>IF(O4699="","",IF(O4699&gt;0,1,0))</f>
        <v/>
      </c>
    </row>
    <row r="4700">
      <c r="A4700" s="5" t="n">
        <v>1117730000</v>
      </c>
      <c r="B4700" s="5" t="inlineStr">
        <is>
          <t>EM000125</t>
        </is>
      </c>
      <c r="C4700" s="5" t="inlineStr">
        <is>
          <t>RODRIGO RAFAEL LIMA DE FARIAS</t>
        </is>
      </c>
      <c r="D4700" s="5" t="inlineStr">
        <is>
          <t>AB</t>
        </is>
      </c>
      <c r="E4700" s="5" t="n">
        <v>1100014737</v>
      </c>
      <c r="F4700" s="5" t="inlineStr">
        <is>
          <t>CC 06.2026</t>
        </is>
      </c>
      <c r="G4700" s="5" t="inlineStr">
        <is>
          <t>BRL</t>
        </is>
      </c>
      <c r="H4700" s="9" t="n">
        <v>1275.1</v>
      </c>
      <c r="I4700" s="16" t="n">
        <v>46199</v>
      </c>
      <c r="J4700" s="16" t="n">
        <v>46199</v>
      </c>
      <c r="K4700" s="5" t="inlineStr">
        <is>
          <t>Partida individual RODRIGO RAFAEL LIMA DE FARIAS C</t>
        </is>
      </c>
      <c r="L4700" s="5" t="n"/>
      <c r="M4700" s="5">
        <f>IF(YEAR(I4700)&lt;=2020,"Até 2020",TEXT(YEAR(I4700),"0"))</f>
        <v/>
      </c>
      <c r="N4700" s="5">
        <f>IFERROR(INDEX(DePara!$A:$A,MATCH(TEXT(B4700,"0"),DePara!$D:$D,0)),"(sem categoria)")</f>
        <v/>
      </c>
      <c r="O4700" s="5">
        <f>IF(J4700="","",Parametros!$B$6-J4700)</f>
        <v/>
      </c>
      <c r="P4700" s="5">
        <f>IF(O4700="","",IF(O4700&gt;0,1,0))</f>
        <v/>
      </c>
    </row>
    <row r="4701">
      <c r="A4701" s="5" t="n">
        <v>1117730000</v>
      </c>
      <c r="B4701" s="5" t="inlineStr">
        <is>
          <t>EM000296</t>
        </is>
      </c>
      <c r="C4701" s="5" t="inlineStr">
        <is>
          <t>ROBERTISON JOSE DE BRITO</t>
        </is>
      </c>
      <c r="D4701" s="5" t="inlineStr">
        <is>
          <t>AB</t>
        </is>
      </c>
      <c r="E4701" s="5" t="n">
        <v>1100014737</v>
      </c>
      <c r="F4701" s="5" t="inlineStr">
        <is>
          <t>CC 06.2026</t>
        </is>
      </c>
      <c r="G4701" s="5" t="inlineStr">
        <is>
          <t>BRL</t>
        </is>
      </c>
      <c r="H4701" s="9" t="n">
        <v>5060.24</v>
      </c>
      <c r="I4701" s="16" t="n">
        <v>46199</v>
      </c>
      <c r="J4701" s="16" t="n">
        <v>46199</v>
      </c>
      <c r="K4701" s="5" t="inlineStr">
        <is>
          <t>Partida individual ROBERTISON JOSE DE BRITO CC 06.</t>
        </is>
      </c>
      <c r="L4701" s="5" t="n"/>
      <c r="M4701" s="5">
        <f>IF(YEAR(I4701)&lt;=2020,"Até 2020",TEXT(YEAR(I4701),"0"))</f>
        <v/>
      </c>
      <c r="N4701" s="5">
        <f>IFERROR(INDEX(DePara!$A:$A,MATCH(TEXT(B4701,"0"),DePara!$D:$D,0)),"(sem categoria)")</f>
        <v/>
      </c>
      <c r="O4701" s="5">
        <f>IF(J4701="","",Parametros!$B$6-J4701)</f>
        <v/>
      </c>
      <c r="P4701" s="5">
        <f>IF(O4701="","",IF(O4701&gt;0,1,0))</f>
        <v/>
      </c>
    </row>
    <row r="4702">
      <c r="A4702" s="5" t="n">
        <v>1117730000</v>
      </c>
      <c r="B4702" s="5" t="inlineStr">
        <is>
          <t>EM000080</t>
        </is>
      </c>
      <c r="C4702" s="5" t="inlineStr">
        <is>
          <t>SAIRON DOS SANTOS BASTOS</t>
        </is>
      </c>
      <c r="D4702" s="5" t="inlineStr">
        <is>
          <t>AB</t>
        </is>
      </c>
      <c r="E4702" s="5" t="n">
        <v>1100014737</v>
      </c>
      <c r="F4702" s="5" t="inlineStr">
        <is>
          <t>CC 06.2026</t>
        </is>
      </c>
      <c r="G4702" s="5" t="inlineStr">
        <is>
          <t>BRL</t>
        </is>
      </c>
      <c r="H4702" s="9" t="n">
        <v>312</v>
      </c>
      <c r="I4702" s="16" t="n">
        <v>46199</v>
      </c>
      <c r="J4702" s="16" t="n">
        <v>46199</v>
      </c>
      <c r="K4702" s="5" t="inlineStr">
        <is>
          <t>Partida individual SAIRON DOS SANTOS BASTOS CC 06.</t>
        </is>
      </c>
      <c r="L4702" s="5" t="n"/>
      <c r="M4702" s="5">
        <f>IF(YEAR(I4702)&lt;=2020,"Até 2020",TEXT(YEAR(I4702),"0"))</f>
        <v/>
      </c>
      <c r="N4702" s="5">
        <f>IFERROR(INDEX(DePara!$A:$A,MATCH(TEXT(B4702,"0"),DePara!$D:$D,0)),"(sem categoria)")</f>
        <v/>
      </c>
      <c r="O4702" s="5">
        <f>IF(J4702="","",Parametros!$B$6-J4702)</f>
        <v/>
      </c>
      <c r="P4702" s="5">
        <f>IF(O4702="","",IF(O4702&gt;0,1,0))</f>
        <v/>
      </c>
    </row>
    <row r="4703">
      <c r="A4703" s="5" t="n">
        <v>1117730000</v>
      </c>
      <c r="B4703" s="5" t="inlineStr">
        <is>
          <t>EM000281</t>
        </is>
      </c>
      <c r="C4703" s="5" t="inlineStr">
        <is>
          <t>VANESSA REGINA DE CAMARGO</t>
        </is>
      </c>
      <c r="D4703" s="5" t="inlineStr">
        <is>
          <t>AB</t>
        </is>
      </c>
      <c r="E4703" s="5" t="n">
        <v>1100014737</v>
      </c>
      <c r="F4703" s="5" t="inlineStr">
        <is>
          <t>CC 06.2026</t>
        </is>
      </c>
      <c r="G4703" s="5" t="inlineStr">
        <is>
          <t>BRL</t>
        </is>
      </c>
      <c r="H4703" s="9" t="n">
        <v>1416.87</v>
      </c>
      <c r="I4703" s="16" t="n">
        <v>46199</v>
      </c>
      <c r="J4703" s="16" t="n">
        <v>46199</v>
      </c>
      <c r="K4703" s="5" t="inlineStr">
        <is>
          <t>Partida individual VANESSA REGINA DE CAMARGO CC 06</t>
        </is>
      </c>
      <c r="L4703" s="5" t="n"/>
      <c r="M4703" s="5">
        <f>IF(YEAR(I4703)&lt;=2020,"Até 2020",TEXT(YEAR(I4703),"0"))</f>
        <v/>
      </c>
      <c r="N4703" s="5">
        <f>IFERROR(INDEX(DePara!$A:$A,MATCH(TEXT(B4703,"0"),DePara!$D:$D,0)),"(sem categoria)")</f>
        <v/>
      </c>
      <c r="O4703" s="5">
        <f>IF(J4703="","",Parametros!$B$6-J4703)</f>
        <v/>
      </c>
      <c r="P4703" s="5">
        <f>IF(O4703="","",IF(O4703&gt;0,1,0))</f>
        <v/>
      </c>
    </row>
    <row r="4704">
      <c r="A4704" s="5" t="n">
        <v>1117730000</v>
      </c>
      <c r="B4704" s="5" t="inlineStr">
        <is>
          <t>EM000058</t>
        </is>
      </c>
      <c r="C4704" s="5" t="inlineStr">
        <is>
          <t>VITOR DE CASTRO SANTOS</t>
        </is>
      </c>
      <c r="D4704" s="5" t="inlineStr">
        <is>
          <t>AB</t>
        </is>
      </c>
      <c r="E4704" s="5" t="n">
        <v>1100014737</v>
      </c>
      <c r="F4704" s="5" t="inlineStr">
        <is>
          <t>CC 06.2026</t>
        </is>
      </c>
      <c r="G4704" s="5" t="inlineStr">
        <is>
          <t>BRL</t>
        </is>
      </c>
      <c r="H4704" s="9" t="n">
        <v>3751.43</v>
      </c>
      <c r="I4704" s="16" t="n">
        <v>46199</v>
      </c>
      <c r="J4704" s="16" t="n">
        <v>46199</v>
      </c>
      <c r="K4704" s="5" t="inlineStr">
        <is>
          <t>Partida individual VITOR DE CASTRO SANTOS CC 06.20</t>
        </is>
      </c>
      <c r="L4704" s="5" t="n"/>
      <c r="M4704" s="5">
        <f>IF(YEAR(I4704)&lt;=2020,"Até 2020",TEXT(YEAR(I4704),"0"))</f>
        <v/>
      </c>
      <c r="N4704" s="5">
        <f>IFERROR(INDEX(DePara!$A:$A,MATCH(TEXT(B4704,"0"),DePara!$D:$D,0)),"(sem categoria)")</f>
        <v/>
      </c>
      <c r="O4704" s="5">
        <f>IF(J4704="","",Parametros!$B$6-J4704)</f>
        <v/>
      </c>
      <c r="P4704" s="5">
        <f>IF(O4704="","",IF(O4704&gt;0,1,0))</f>
        <v/>
      </c>
    </row>
    <row r="4705">
      <c r="A4705" s="5" t="n">
        <v>1117730000</v>
      </c>
      <c r="B4705" s="5" t="inlineStr">
        <is>
          <t>EM000451</t>
        </is>
      </c>
      <c r="C4705" s="5" t="inlineStr">
        <is>
          <t>ALEX DA SILVA CONCEIÇÃO</t>
        </is>
      </c>
      <c r="D4705" s="5" t="inlineStr">
        <is>
          <t>AB</t>
        </is>
      </c>
      <c r="E4705" s="5" t="n">
        <v>1100019313</v>
      </c>
      <c r="F4705" s="5" t="inlineStr">
        <is>
          <t>CC 07.2026</t>
        </is>
      </c>
      <c r="G4705" s="5" t="inlineStr">
        <is>
          <t>BRL</t>
        </is>
      </c>
      <c r="H4705" s="9" t="n">
        <v>3435.52</v>
      </c>
      <c r="I4705" s="16" t="n">
        <v>46225</v>
      </c>
      <c r="J4705" s="16" t="n">
        <v>46225</v>
      </c>
      <c r="K4705" s="5" t="inlineStr">
        <is>
          <t>Partida individual ALEX DA SILVA CONCEIÇÃO CC 07.2</t>
        </is>
      </c>
      <c r="L4705" s="5" t="n"/>
      <c r="M4705" s="5">
        <f>IF(YEAR(I4705)&lt;=2020,"Até 2020",TEXT(YEAR(I4705),"0"))</f>
        <v/>
      </c>
      <c r="N4705" s="5">
        <f>IFERROR(INDEX(DePara!$A:$A,MATCH(TEXT(B4705,"0"),DePara!$D:$D,0)),"(sem categoria)")</f>
        <v/>
      </c>
      <c r="O4705" s="5">
        <f>IF(J4705="","",Parametros!$B$6-J4705)</f>
        <v/>
      </c>
      <c r="P4705" s="5">
        <f>IF(O4705="","",IF(O4705&gt;0,1,0))</f>
        <v/>
      </c>
    </row>
    <row r="4706">
      <c r="A4706" s="5" t="n">
        <v>1117730000</v>
      </c>
      <c r="B4706" s="5" t="inlineStr">
        <is>
          <t>EM000167</t>
        </is>
      </c>
      <c r="C4706" s="5" t="inlineStr">
        <is>
          <t>ANDERSON DE LIMA AFFONSO</t>
        </is>
      </c>
      <c r="D4706" s="5" t="inlineStr">
        <is>
          <t>AB</t>
        </is>
      </c>
      <c r="E4706" s="5" t="n">
        <v>1100019313</v>
      </c>
      <c r="F4706" s="5" t="inlineStr">
        <is>
          <t>CC 07.2026</t>
        </is>
      </c>
      <c r="G4706" s="5" t="inlineStr">
        <is>
          <t>BRL</t>
        </is>
      </c>
      <c r="H4706" s="9" t="n">
        <v>1246.36</v>
      </c>
      <c r="I4706" s="16" t="n">
        <v>46225</v>
      </c>
      <c r="J4706" s="16" t="n">
        <v>46225</v>
      </c>
      <c r="K4706" s="5" t="inlineStr">
        <is>
          <t>Partida individual ANDERSON DE LIMA AFFONSO CC 07.</t>
        </is>
      </c>
      <c r="L4706" s="5" t="n"/>
      <c r="M4706" s="5">
        <f>IF(YEAR(I4706)&lt;=2020,"Até 2020",TEXT(YEAR(I4706),"0"))</f>
        <v/>
      </c>
      <c r="N4706" s="5">
        <f>IFERROR(INDEX(DePara!$A:$A,MATCH(TEXT(B4706,"0"),DePara!$D:$D,0)),"(sem categoria)")</f>
        <v/>
      </c>
      <c r="O4706" s="5">
        <f>IF(J4706="","",Parametros!$B$6-J4706)</f>
        <v/>
      </c>
      <c r="P4706" s="5">
        <f>IF(O4706="","",IF(O4706&gt;0,1,0))</f>
        <v/>
      </c>
    </row>
    <row r="4707">
      <c r="A4707" s="5" t="n">
        <v>1117730000</v>
      </c>
      <c r="B4707" s="5" t="inlineStr">
        <is>
          <t>EM000083</t>
        </is>
      </c>
      <c r="C4707" s="5" t="inlineStr">
        <is>
          <t>ANDERSON DE SOUZA MOTA</t>
        </is>
      </c>
      <c r="D4707" s="5" t="inlineStr">
        <is>
          <t>AB</t>
        </is>
      </c>
      <c r="E4707" s="5" t="n">
        <v>1100019313</v>
      </c>
      <c r="F4707" s="5" t="inlineStr">
        <is>
          <t>CC 07.2026</t>
        </is>
      </c>
      <c r="G4707" s="5" t="inlineStr">
        <is>
          <t>BRL</t>
        </is>
      </c>
      <c r="H4707" s="9" t="n">
        <v>1309.71</v>
      </c>
      <c r="I4707" s="16" t="n">
        <v>46225</v>
      </c>
      <c r="J4707" s="16" t="n">
        <v>46225</v>
      </c>
      <c r="K4707" s="5" t="inlineStr">
        <is>
          <t>Partida individual ANDERSON DE SOUZA MOTA CC 07.20</t>
        </is>
      </c>
      <c r="L4707" s="5" t="n"/>
      <c r="M4707" s="5">
        <f>IF(YEAR(I4707)&lt;=2020,"Até 2020",TEXT(YEAR(I4707),"0"))</f>
        <v/>
      </c>
      <c r="N4707" s="5">
        <f>IFERROR(INDEX(DePara!$A:$A,MATCH(TEXT(B4707,"0"),DePara!$D:$D,0)),"(sem categoria)")</f>
        <v/>
      </c>
      <c r="O4707" s="5">
        <f>IF(J4707="","",Parametros!$B$6-J4707)</f>
        <v/>
      </c>
      <c r="P4707" s="5">
        <f>IF(O4707="","",IF(O4707&gt;0,1,0))</f>
        <v/>
      </c>
    </row>
    <row r="4708">
      <c r="A4708" s="5" t="n">
        <v>1117730000</v>
      </c>
      <c r="B4708" s="5" t="inlineStr">
        <is>
          <t>EM000093</t>
        </is>
      </c>
      <c r="C4708" s="5" t="inlineStr">
        <is>
          <t>CARLOS ALVES DE AZEVEDO</t>
        </is>
      </c>
      <c r="D4708" s="5" t="inlineStr">
        <is>
          <t>AB</t>
        </is>
      </c>
      <c r="E4708" s="5" t="n">
        <v>1100019313</v>
      </c>
      <c r="F4708" s="5" t="inlineStr">
        <is>
          <t>CC 07.2026</t>
        </is>
      </c>
      <c r="G4708" s="5" t="inlineStr">
        <is>
          <t>BRL</t>
        </is>
      </c>
      <c r="H4708" s="9" t="n">
        <v>1862.67</v>
      </c>
      <c r="I4708" s="16" t="n">
        <v>46225</v>
      </c>
      <c r="J4708" s="16" t="n">
        <v>46225</v>
      </c>
      <c r="K4708" s="5" t="inlineStr">
        <is>
          <t>Partida individual CARLOS ALVES DE AZEVEDO CC 07.2</t>
        </is>
      </c>
      <c r="L4708" s="5" t="n"/>
      <c r="M4708" s="5">
        <f>IF(YEAR(I4708)&lt;=2020,"Até 2020",TEXT(YEAR(I4708),"0"))</f>
        <v/>
      </c>
      <c r="N4708" s="5">
        <f>IFERROR(INDEX(DePara!$A:$A,MATCH(TEXT(B4708,"0"),DePara!$D:$D,0)),"(sem categoria)")</f>
        <v/>
      </c>
      <c r="O4708" s="5">
        <f>IF(J4708="","",Parametros!$B$6-J4708)</f>
        <v/>
      </c>
      <c r="P4708" s="5">
        <f>IF(O4708="","",IF(O4708&gt;0,1,0))</f>
        <v/>
      </c>
    </row>
    <row r="4709">
      <c r="A4709" s="5" t="n">
        <v>1117730000</v>
      </c>
      <c r="B4709" s="5" t="inlineStr">
        <is>
          <t>EM000143</t>
        </is>
      </c>
      <c r="C4709" s="5" t="inlineStr">
        <is>
          <t>CARLOS ADRIANO SILVA DE OLIVEIRA</t>
        </is>
      </c>
      <c r="D4709" s="5" t="inlineStr">
        <is>
          <t>AB</t>
        </is>
      </c>
      <c r="E4709" s="5" t="n">
        <v>1100019313</v>
      </c>
      <c r="F4709" s="5" t="inlineStr">
        <is>
          <t>CC 07.2026</t>
        </is>
      </c>
      <c r="G4709" s="5" t="inlineStr">
        <is>
          <t>BRL</t>
        </is>
      </c>
      <c r="H4709" s="9" t="n">
        <v>4748.43</v>
      </c>
      <c r="I4709" s="16" t="n">
        <v>46225</v>
      </c>
      <c r="J4709" s="16" t="n">
        <v>46225</v>
      </c>
      <c r="K4709" s="5" t="inlineStr">
        <is>
          <t>Partida individual CARLOS ADRIANO SILVA DE OLIVEIR</t>
        </is>
      </c>
      <c r="L4709" s="5" t="n"/>
      <c r="M4709" s="5">
        <f>IF(YEAR(I4709)&lt;=2020,"Até 2020",TEXT(YEAR(I4709),"0"))</f>
        <v/>
      </c>
      <c r="N4709" s="5">
        <f>IFERROR(INDEX(DePara!$A:$A,MATCH(TEXT(B4709,"0"),DePara!$D:$D,0)),"(sem categoria)")</f>
        <v/>
      </c>
      <c r="O4709" s="5">
        <f>IF(J4709="","",Parametros!$B$6-J4709)</f>
        <v/>
      </c>
      <c r="P4709" s="5">
        <f>IF(O4709="","",IF(O4709&gt;0,1,0))</f>
        <v/>
      </c>
    </row>
    <row r="4710">
      <c r="A4710" s="5" t="n">
        <v>1117730000</v>
      </c>
      <c r="B4710" s="5" t="inlineStr">
        <is>
          <t>EM000202</t>
        </is>
      </c>
      <c r="C4710" s="5" t="inlineStr">
        <is>
          <t>DIEGO DE SOUSA ALMEIDA</t>
        </is>
      </c>
      <c r="D4710" s="5" t="inlineStr">
        <is>
          <t>AB</t>
        </is>
      </c>
      <c r="E4710" s="5" t="n">
        <v>1100019313</v>
      </c>
      <c r="F4710" s="5" t="inlineStr">
        <is>
          <t>CC 07.2026</t>
        </is>
      </c>
      <c r="G4710" s="5" t="inlineStr">
        <is>
          <t>BRL</t>
        </is>
      </c>
      <c r="H4710" s="9" t="n">
        <v>646.75</v>
      </c>
      <c r="I4710" s="16" t="n">
        <v>46225</v>
      </c>
      <c r="J4710" s="16" t="n">
        <v>46225</v>
      </c>
      <c r="K4710" s="5" t="inlineStr">
        <is>
          <t>Partida individual DIEGO DE SOUSA ALMEIDA CC 07.20</t>
        </is>
      </c>
      <c r="L4710" s="5" t="n"/>
      <c r="M4710" s="5">
        <f>IF(YEAR(I4710)&lt;=2020,"Até 2020",TEXT(YEAR(I4710),"0"))</f>
        <v/>
      </c>
      <c r="N4710" s="5">
        <f>IFERROR(INDEX(DePara!$A:$A,MATCH(TEXT(B4710,"0"),DePara!$D:$D,0)),"(sem categoria)")</f>
        <v/>
      </c>
      <c r="O4710" s="5">
        <f>IF(J4710="","",Parametros!$B$6-J4710)</f>
        <v/>
      </c>
      <c r="P4710" s="5">
        <f>IF(O4710="","",IF(O4710&gt;0,1,0))</f>
        <v/>
      </c>
    </row>
    <row r="4711">
      <c r="A4711" s="5" t="n">
        <v>1117730000</v>
      </c>
      <c r="B4711" s="5" t="inlineStr">
        <is>
          <t>EM000141</t>
        </is>
      </c>
      <c r="C4711" s="5" t="inlineStr">
        <is>
          <t>EDGLEISON TAMBORIL FIRMIANO</t>
        </is>
      </c>
      <c r="D4711" s="5" t="inlineStr">
        <is>
          <t>AB</t>
        </is>
      </c>
      <c r="E4711" s="5" t="n">
        <v>1100019313</v>
      </c>
      <c r="F4711" s="5" t="inlineStr">
        <is>
          <t>CC 07.2026</t>
        </is>
      </c>
      <c r="G4711" s="5" t="inlineStr">
        <is>
          <t>BRL</t>
        </is>
      </c>
      <c r="H4711" s="9" t="n">
        <v>5526.82</v>
      </c>
      <c r="I4711" s="16" t="n">
        <v>46225</v>
      </c>
      <c r="J4711" s="16" t="n">
        <v>46225</v>
      </c>
      <c r="K4711" s="5" t="inlineStr">
        <is>
          <t>Partida individual EDGLEISON TAMBORIL FIRMIANO CC</t>
        </is>
      </c>
      <c r="L4711" s="5" t="n"/>
      <c r="M4711" s="5">
        <f>IF(YEAR(I4711)&lt;=2020,"Até 2020",TEXT(YEAR(I4711),"0"))</f>
        <v/>
      </c>
      <c r="N4711" s="5">
        <f>IFERROR(INDEX(DePara!$A:$A,MATCH(TEXT(B4711,"0"),DePara!$D:$D,0)),"(sem categoria)")</f>
        <v/>
      </c>
      <c r="O4711" s="5">
        <f>IF(J4711="","",Parametros!$B$6-J4711)</f>
        <v/>
      </c>
      <c r="P4711" s="5">
        <f>IF(O4711="","",IF(O4711&gt;0,1,0))</f>
        <v/>
      </c>
    </row>
    <row r="4712">
      <c r="A4712" s="5" t="n">
        <v>1117730000</v>
      </c>
      <c r="B4712" s="5" t="inlineStr">
        <is>
          <t>EM000159</t>
        </is>
      </c>
      <c r="C4712" s="5" t="inlineStr">
        <is>
          <t>FABIO COFFANI DOS SANTOS DE SIQUEIRA</t>
        </is>
      </c>
      <c r="D4712" s="5" t="inlineStr">
        <is>
          <t>AB</t>
        </is>
      </c>
      <c r="E4712" s="5" t="n">
        <v>1100019313</v>
      </c>
      <c r="F4712" s="5" t="inlineStr">
        <is>
          <t>CC 07.2026</t>
        </is>
      </c>
      <c r="G4712" s="5" t="inlineStr">
        <is>
          <t>BRL</t>
        </is>
      </c>
      <c r="H4712" s="9" t="n">
        <v>581.87</v>
      </c>
      <c r="I4712" s="16" t="n">
        <v>46225</v>
      </c>
      <c r="J4712" s="16" t="n">
        <v>46225</v>
      </c>
      <c r="K4712" s="5" t="inlineStr">
        <is>
          <t>Partida individual FABIO COFFANI DOS SANTOS DE SIQ</t>
        </is>
      </c>
      <c r="L4712" s="5" t="n"/>
      <c r="M4712" s="5">
        <f>IF(YEAR(I4712)&lt;=2020,"Até 2020",TEXT(YEAR(I4712),"0"))</f>
        <v/>
      </c>
      <c r="N4712" s="5">
        <f>IFERROR(INDEX(DePara!$A:$A,MATCH(TEXT(B4712,"0"),DePara!$D:$D,0)),"(sem categoria)")</f>
        <v/>
      </c>
      <c r="O4712" s="5">
        <f>IF(J4712="","",Parametros!$B$6-J4712)</f>
        <v/>
      </c>
      <c r="P4712" s="5">
        <f>IF(O4712="","",IF(O4712&gt;0,1,0))</f>
        <v/>
      </c>
    </row>
    <row r="4713">
      <c r="A4713" s="5" t="n">
        <v>1117730000</v>
      </c>
      <c r="B4713" s="5" t="inlineStr">
        <is>
          <t>EM000041</t>
        </is>
      </c>
      <c r="C4713" s="5" t="inlineStr">
        <is>
          <t>FLAVIO BELLOLI</t>
        </is>
      </c>
      <c r="D4713" s="5" t="inlineStr">
        <is>
          <t>AB</t>
        </is>
      </c>
      <c r="E4713" s="5" t="n">
        <v>1100019313</v>
      </c>
      <c r="F4713" s="5" t="inlineStr">
        <is>
          <t>CC 07.2026</t>
        </is>
      </c>
      <c r="G4713" s="5" t="inlineStr">
        <is>
          <t>BRL</t>
        </is>
      </c>
      <c r="H4713" s="9" t="n">
        <v>1119.2</v>
      </c>
      <c r="I4713" s="16" t="n">
        <v>46225</v>
      </c>
      <c r="J4713" s="16" t="n">
        <v>46225</v>
      </c>
      <c r="K4713" s="5" t="inlineStr">
        <is>
          <t>Partida individual FLAVIO BELLOLI CC 07.2026</t>
        </is>
      </c>
      <c r="L4713" s="5" t="n"/>
      <c r="M4713" s="5">
        <f>IF(YEAR(I4713)&lt;=2020,"Até 2020",TEXT(YEAR(I4713),"0"))</f>
        <v/>
      </c>
      <c r="N4713" s="5">
        <f>IFERROR(INDEX(DePara!$A:$A,MATCH(TEXT(B4713,"0"),DePara!$D:$D,0)),"(sem categoria)")</f>
        <v/>
      </c>
      <c r="O4713" s="5">
        <f>IF(J4713="","",Parametros!$B$6-J4713)</f>
        <v/>
      </c>
      <c r="P4713" s="5">
        <f>IF(O4713="","",IF(O4713&gt;0,1,0))</f>
        <v/>
      </c>
    </row>
    <row r="4714">
      <c r="A4714" s="5" t="n">
        <v>1117730000</v>
      </c>
      <c r="B4714" s="5" t="inlineStr">
        <is>
          <t>EM000127</t>
        </is>
      </c>
      <c r="C4714" s="5" t="inlineStr">
        <is>
          <t>GUSTAVO FERNANDES LIMA</t>
        </is>
      </c>
      <c r="D4714" s="5" t="inlineStr">
        <is>
          <t>AB</t>
        </is>
      </c>
      <c r="E4714" s="5" t="n">
        <v>1100019313</v>
      </c>
      <c r="F4714" s="5" t="inlineStr">
        <is>
          <t>CC 07.2026</t>
        </is>
      </c>
      <c r="G4714" s="5" t="inlineStr">
        <is>
          <t>BRL</t>
        </is>
      </c>
      <c r="H4714" s="9" t="n">
        <v>1717.89</v>
      </c>
      <c r="I4714" s="16" t="n">
        <v>46225</v>
      </c>
      <c r="J4714" s="16" t="n">
        <v>46225</v>
      </c>
      <c r="K4714" s="5" t="inlineStr">
        <is>
          <t>Partida individual GUSTAVO FERNANDES LIMA CC 07.20</t>
        </is>
      </c>
      <c r="L4714" s="5" t="n"/>
      <c r="M4714" s="5">
        <f>IF(YEAR(I4714)&lt;=2020,"Até 2020",TEXT(YEAR(I4714),"0"))</f>
        <v/>
      </c>
      <c r="N4714" s="5">
        <f>IFERROR(INDEX(DePara!$A:$A,MATCH(TEXT(B4714,"0"),DePara!$D:$D,0)),"(sem categoria)")</f>
        <v/>
      </c>
      <c r="O4714" s="5">
        <f>IF(J4714="","",Parametros!$B$6-J4714)</f>
        <v/>
      </c>
      <c r="P4714" s="5">
        <f>IF(O4714="","",IF(O4714&gt;0,1,0))</f>
        <v/>
      </c>
    </row>
    <row r="4715">
      <c r="A4715" s="5" t="n">
        <v>1117730000</v>
      </c>
      <c r="B4715" s="5" t="inlineStr">
        <is>
          <t>EM000521</t>
        </is>
      </c>
      <c r="C4715" s="5" t="inlineStr">
        <is>
          <t>JOSE EDINELE MARTINS</t>
        </is>
      </c>
      <c r="D4715" s="5" t="inlineStr">
        <is>
          <t>AB</t>
        </is>
      </c>
      <c r="E4715" s="5" t="n">
        <v>1100019313</v>
      </c>
      <c r="F4715" s="5" t="inlineStr">
        <is>
          <t>CC 07.2026</t>
        </is>
      </c>
      <c r="G4715" s="5" t="inlineStr">
        <is>
          <t>BRL</t>
        </is>
      </c>
      <c r="H4715" s="9" t="n">
        <v>4181.75</v>
      </c>
      <c r="I4715" s="16" t="n">
        <v>46225</v>
      </c>
      <c r="J4715" s="16" t="n">
        <v>46225</v>
      </c>
      <c r="K4715" s="5" t="inlineStr">
        <is>
          <t>Partida individual JOSE EDINELE MARTINS CC 07.2026</t>
        </is>
      </c>
      <c r="L4715" s="5" t="n"/>
      <c r="M4715" s="5">
        <f>IF(YEAR(I4715)&lt;=2020,"Até 2020",TEXT(YEAR(I4715),"0"))</f>
        <v/>
      </c>
      <c r="N4715" s="5">
        <f>IFERROR(INDEX(DePara!$A:$A,MATCH(TEXT(B4715,"0"),DePara!$D:$D,0)),"(sem categoria)")</f>
        <v/>
      </c>
      <c r="O4715" s="5">
        <f>IF(J4715="","",Parametros!$B$6-J4715)</f>
        <v/>
      </c>
      <c r="P4715" s="5">
        <f>IF(O4715="","",IF(O4715&gt;0,1,0))</f>
        <v/>
      </c>
    </row>
    <row r="4716">
      <c r="A4716" s="5" t="n">
        <v>1117730000</v>
      </c>
      <c r="B4716" s="5" t="inlineStr">
        <is>
          <t>EM000861</t>
        </is>
      </c>
      <c r="C4716" s="5" t="inlineStr">
        <is>
          <t>JOSE ELIMAR PALHARES JUNIOR</t>
        </is>
      </c>
      <c r="D4716" s="5" t="inlineStr">
        <is>
          <t>AB</t>
        </is>
      </c>
      <c r="E4716" s="5" t="n">
        <v>1100019313</v>
      </c>
      <c r="F4716" s="5" t="inlineStr">
        <is>
          <t>CC 07.2026</t>
        </is>
      </c>
      <c r="G4716" s="5" t="inlineStr">
        <is>
          <t>BRL</t>
        </is>
      </c>
      <c r="H4716" s="9" t="n">
        <v>2410.24</v>
      </c>
      <c r="I4716" s="16" t="n">
        <v>46225</v>
      </c>
      <c r="J4716" s="16" t="n">
        <v>46225</v>
      </c>
      <c r="K4716" s="5" t="inlineStr">
        <is>
          <t>Partida individual JOSE ELIMAR PALHARES JUNIOR CC</t>
        </is>
      </c>
      <c r="L4716" s="5" t="n"/>
      <c r="M4716" s="5">
        <f>IF(YEAR(I4716)&lt;=2020,"Até 2020",TEXT(YEAR(I4716),"0"))</f>
        <v/>
      </c>
      <c r="N4716" s="5">
        <f>IFERROR(INDEX(DePara!$A:$A,MATCH(TEXT(B4716,"0"),DePara!$D:$D,0)),"(sem categoria)")</f>
        <v/>
      </c>
      <c r="O4716" s="5">
        <f>IF(J4716="","",Parametros!$B$6-J4716)</f>
        <v/>
      </c>
      <c r="P4716" s="5">
        <f>IF(O4716="","",IF(O4716&gt;0,1,0))</f>
        <v/>
      </c>
    </row>
    <row r="4717">
      <c r="A4717" s="5" t="n">
        <v>1117730000</v>
      </c>
      <c r="B4717" s="5" t="inlineStr">
        <is>
          <t>EM000323</t>
        </is>
      </c>
      <c r="C4717" s="5" t="inlineStr">
        <is>
          <t>JOSE LEONARDO RIBEIRO DUARTE</t>
        </is>
      </c>
      <c r="D4717" s="5" t="inlineStr">
        <is>
          <t>AB</t>
        </is>
      </c>
      <c r="E4717" s="5" t="n">
        <v>1100019313</v>
      </c>
      <c r="F4717" s="5" t="inlineStr">
        <is>
          <t>CC 07.2026</t>
        </is>
      </c>
      <c r="G4717" s="5" t="inlineStr">
        <is>
          <t>BRL</t>
        </is>
      </c>
      <c r="H4717" s="9" t="n">
        <v>6184.25</v>
      </c>
      <c r="I4717" s="16" t="n">
        <v>46225</v>
      </c>
      <c r="J4717" s="16" t="n">
        <v>46225</v>
      </c>
      <c r="K4717" s="5" t="inlineStr">
        <is>
          <t>Partida individual JOSE LEONARDO RIBEIRO DUARTE CC</t>
        </is>
      </c>
      <c r="L4717" s="5" t="n"/>
      <c r="M4717" s="5">
        <f>IF(YEAR(I4717)&lt;=2020,"Até 2020",TEXT(YEAR(I4717),"0"))</f>
        <v/>
      </c>
      <c r="N4717" s="5">
        <f>IFERROR(INDEX(DePara!$A:$A,MATCH(TEXT(B4717,"0"),DePara!$D:$D,0)),"(sem categoria)")</f>
        <v/>
      </c>
      <c r="O4717" s="5">
        <f>IF(J4717="","",Parametros!$B$6-J4717)</f>
        <v/>
      </c>
      <c r="P4717" s="5">
        <f>IF(O4717="","",IF(O4717&gt;0,1,0))</f>
        <v/>
      </c>
    </row>
    <row r="4718">
      <c r="A4718" s="5" t="n">
        <v>1117730000</v>
      </c>
      <c r="B4718" s="5" t="inlineStr">
        <is>
          <t>EM000327</t>
        </is>
      </c>
      <c r="C4718" s="5" t="inlineStr">
        <is>
          <t>JOSE MARTINS TEIXEIRA NETO</t>
        </is>
      </c>
      <c r="D4718" s="5" t="inlineStr">
        <is>
          <t>AB</t>
        </is>
      </c>
      <c r="E4718" s="5" t="n">
        <v>1100019313</v>
      </c>
      <c r="F4718" s="5" t="inlineStr">
        <is>
          <t>CC 07.2026</t>
        </is>
      </c>
      <c r="G4718" s="5" t="inlineStr">
        <is>
          <t>BRL</t>
        </is>
      </c>
      <c r="H4718" s="9" t="n">
        <v>2577.4</v>
      </c>
      <c r="I4718" s="16" t="n">
        <v>46225</v>
      </c>
      <c r="J4718" s="16" t="n">
        <v>46225</v>
      </c>
      <c r="K4718" s="5" t="inlineStr">
        <is>
          <t>Partida individual JOSE MARTINS TEIXEIRA NETO CC 0</t>
        </is>
      </c>
      <c r="L4718" s="5" t="n"/>
      <c r="M4718" s="5">
        <f>IF(YEAR(I4718)&lt;=2020,"Até 2020",TEXT(YEAR(I4718),"0"))</f>
        <v/>
      </c>
      <c r="N4718" s="5">
        <f>IFERROR(INDEX(DePara!$A:$A,MATCH(TEXT(B4718,"0"),DePara!$D:$D,0)),"(sem categoria)")</f>
        <v/>
      </c>
      <c r="O4718" s="5">
        <f>IF(J4718="","",Parametros!$B$6-J4718)</f>
        <v/>
      </c>
      <c r="P4718" s="5">
        <f>IF(O4718="","",IF(O4718&gt;0,1,0))</f>
        <v/>
      </c>
    </row>
    <row r="4719">
      <c r="A4719" s="5" t="n">
        <v>1117730000</v>
      </c>
      <c r="B4719" s="5" t="inlineStr">
        <is>
          <t>EM000157</t>
        </is>
      </c>
      <c r="C4719" s="5" t="inlineStr">
        <is>
          <t>JULIANO NASCIMIENTO</t>
        </is>
      </c>
      <c r="D4719" s="5" t="inlineStr">
        <is>
          <t>AB</t>
        </is>
      </c>
      <c r="E4719" s="5" t="n">
        <v>1100019313</v>
      </c>
      <c r="F4719" s="5" t="inlineStr">
        <is>
          <t>CC 07.2026</t>
        </is>
      </c>
      <c r="G4719" s="5" t="inlineStr">
        <is>
          <t>BRL</t>
        </is>
      </c>
      <c r="H4719" s="9" t="n">
        <v>59</v>
      </c>
      <c r="I4719" s="16" t="n">
        <v>46225</v>
      </c>
      <c r="J4719" s="16" t="n">
        <v>46225</v>
      </c>
      <c r="K4719" s="5" t="inlineStr">
        <is>
          <t>Partida individual JULIANO NASCIMIENTO CC 07.2026</t>
        </is>
      </c>
      <c r="L4719" s="5" t="n"/>
      <c r="M4719" s="5">
        <f>IF(YEAR(I4719)&lt;=2020,"Até 2020",TEXT(YEAR(I4719),"0"))</f>
        <v/>
      </c>
      <c r="N4719" s="5">
        <f>IFERROR(INDEX(DePara!$A:$A,MATCH(TEXT(B4719,"0"),DePara!$D:$D,0)),"(sem categoria)")</f>
        <v/>
      </c>
      <c r="O4719" s="5">
        <f>IF(J4719="","",Parametros!$B$6-J4719)</f>
        <v/>
      </c>
      <c r="P4719" s="5">
        <f>IF(O4719="","",IF(O4719&gt;0,1,0))</f>
        <v/>
      </c>
    </row>
    <row r="4720">
      <c r="A4720" s="5" t="n">
        <v>1117730000</v>
      </c>
      <c r="B4720" s="5" t="inlineStr">
        <is>
          <t>EM000324</t>
        </is>
      </c>
      <c r="C4720" s="5" t="inlineStr">
        <is>
          <t>LUIZ EDUARDO PEREIRA DA SILVA</t>
        </is>
      </c>
      <c r="D4720" s="5" t="inlineStr">
        <is>
          <t>AB</t>
        </is>
      </c>
      <c r="E4720" s="5" t="n">
        <v>1100019313</v>
      </c>
      <c r="F4720" s="5" t="inlineStr">
        <is>
          <t>CC 07.2026</t>
        </is>
      </c>
      <c r="G4720" s="5" t="inlineStr">
        <is>
          <t>BRL</t>
        </is>
      </c>
      <c r="H4720" s="9" t="n">
        <v>5980.06</v>
      </c>
      <c r="I4720" s="16" t="n">
        <v>46225</v>
      </c>
      <c r="J4720" s="16" t="n">
        <v>46225</v>
      </c>
      <c r="K4720" s="5" t="inlineStr">
        <is>
          <t>Partida individual LUIZ EDUARDO PEREIRA DA SILVA C</t>
        </is>
      </c>
      <c r="L4720" s="5" t="n"/>
      <c r="M4720" s="5">
        <f>IF(YEAR(I4720)&lt;=2020,"Até 2020",TEXT(YEAR(I4720),"0"))</f>
        <v/>
      </c>
      <c r="N4720" s="5">
        <f>IFERROR(INDEX(DePara!$A:$A,MATCH(TEXT(B4720,"0"),DePara!$D:$D,0)),"(sem categoria)")</f>
        <v/>
      </c>
      <c r="O4720" s="5">
        <f>IF(J4720="","",Parametros!$B$6-J4720)</f>
        <v/>
      </c>
      <c r="P4720" s="5">
        <f>IF(O4720="","",IF(O4720&gt;0,1,0))</f>
        <v/>
      </c>
    </row>
    <row r="4721">
      <c r="A4721" s="5" t="n">
        <v>1117730000</v>
      </c>
      <c r="B4721" s="5" t="inlineStr">
        <is>
          <t>EM000005</t>
        </is>
      </c>
      <c r="C4721" s="5" t="inlineStr">
        <is>
          <t>LUIZ SAVIO DE CAMPOS SIQUEIRA</t>
        </is>
      </c>
      <c r="D4721" s="5" t="inlineStr">
        <is>
          <t>AB</t>
        </is>
      </c>
      <c r="E4721" s="5" t="n">
        <v>1100019313</v>
      </c>
      <c r="F4721" s="5" t="inlineStr">
        <is>
          <t>CC 07.2026</t>
        </is>
      </c>
      <c r="G4721" s="5" t="inlineStr">
        <is>
          <t>BRL</t>
        </is>
      </c>
      <c r="H4721" s="9" t="n">
        <v>1878.87</v>
      </c>
      <c r="I4721" s="16" t="n">
        <v>46225</v>
      </c>
      <c r="J4721" s="16" t="n">
        <v>46225</v>
      </c>
      <c r="K4721" s="5" t="inlineStr">
        <is>
          <t>Partida individual LUIZ SAVIO DE CAMPOS SIQUEIRA C</t>
        </is>
      </c>
      <c r="L4721" s="5" t="n"/>
      <c r="M4721" s="5">
        <f>IF(YEAR(I4721)&lt;=2020,"Até 2020",TEXT(YEAR(I4721),"0"))</f>
        <v/>
      </c>
      <c r="N4721" s="5">
        <f>IFERROR(INDEX(DePara!$A:$A,MATCH(TEXT(B4721,"0"),DePara!$D:$D,0)),"(sem categoria)")</f>
        <v/>
      </c>
      <c r="O4721" s="5">
        <f>IF(J4721="","",Parametros!$B$6-J4721)</f>
        <v/>
      </c>
      <c r="P4721" s="5">
        <f>IF(O4721="","",IF(O4721&gt;0,1,0))</f>
        <v/>
      </c>
    </row>
    <row r="4722">
      <c r="A4722" s="5" t="n">
        <v>1117730000</v>
      </c>
      <c r="B4722" s="5" t="inlineStr">
        <is>
          <t>EM000023</t>
        </is>
      </c>
      <c r="C4722" s="5" t="inlineStr">
        <is>
          <t>RAFAEL MACHADO SALLES</t>
        </is>
      </c>
      <c r="D4722" s="5" t="inlineStr">
        <is>
          <t>AB</t>
        </is>
      </c>
      <c r="E4722" s="5" t="n">
        <v>1100019313</v>
      </c>
      <c r="F4722" s="5" t="inlineStr">
        <is>
          <t>CC 07.2026</t>
        </is>
      </c>
      <c r="G4722" s="5" t="inlineStr">
        <is>
          <t>BRL</t>
        </is>
      </c>
      <c r="H4722" s="9" t="n">
        <v>304.22</v>
      </c>
      <c r="I4722" s="16" t="n">
        <v>46225</v>
      </c>
      <c r="J4722" s="16" t="n">
        <v>46225</v>
      </c>
      <c r="K4722" s="5" t="inlineStr">
        <is>
          <t>Partida individual RAFAEL MACHADO SALLES CC 07.202</t>
        </is>
      </c>
      <c r="L4722" s="5" t="n"/>
      <c r="M4722" s="5">
        <f>IF(YEAR(I4722)&lt;=2020,"Até 2020",TEXT(YEAR(I4722),"0"))</f>
        <v/>
      </c>
      <c r="N4722" s="5">
        <f>IFERROR(INDEX(DePara!$A:$A,MATCH(TEXT(B4722,"0"),DePara!$D:$D,0)),"(sem categoria)")</f>
        <v/>
      </c>
      <c r="O4722" s="5">
        <f>IF(J4722="","",Parametros!$B$6-J4722)</f>
        <v/>
      </c>
      <c r="P4722" s="5">
        <f>IF(O4722="","",IF(O4722&gt;0,1,0))</f>
        <v/>
      </c>
    </row>
    <row r="4723">
      <c r="A4723" s="5" t="n">
        <v>1117730000</v>
      </c>
      <c r="B4723" s="5" t="inlineStr">
        <is>
          <t>EM000027</t>
        </is>
      </c>
      <c r="C4723" s="5" t="inlineStr">
        <is>
          <t>RAFAEL AUGUSTO DA SILVA GOULARTE</t>
        </is>
      </c>
      <c r="D4723" s="5" t="inlineStr">
        <is>
          <t>AB</t>
        </is>
      </c>
      <c r="E4723" s="5" t="n">
        <v>1100019313</v>
      </c>
      <c r="F4723" s="5" t="inlineStr">
        <is>
          <t>CC 07.2026</t>
        </is>
      </c>
      <c r="G4723" s="5" t="inlineStr">
        <is>
          <t>BRL</t>
        </is>
      </c>
      <c r="H4723" s="9" t="n">
        <v>5048.93</v>
      </c>
      <c r="I4723" s="16" t="n">
        <v>46225</v>
      </c>
      <c r="J4723" s="16" t="n">
        <v>46225</v>
      </c>
      <c r="K4723" s="5" t="inlineStr">
        <is>
          <t>Partida individual RAFAEL AUGUSTO DA SILVA GOULART</t>
        </is>
      </c>
      <c r="L4723" s="5" t="n"/>
      <c r="M4723" s="5">
        <f>IF(YEAR(I4723)&lt;=2020,"Até 2020",TEXT(YEAR(I4723),"0"))</f>
        <v/>
      </c>
      <c r="N4723" s="5">
        <f>IFERROR(INDEX(DePara!$A:$A,MATCH(TEXT(B4723,"0"),DePara!$D:$D,0)),"(sem categoria)")</f>
        <v/>
      </c>
      <c r="O4723" s="5">
        <f>IF(J4723="","",Parametros!$B$6-J4723)</f>
        <v/>
      </c>
      <c r="P4723" s="5">
        <f>IF(O4723="","",IF(O4723&gt;0,1,0))</f>
        <v/>
      </c>
    </row>
    <row r="4724">
      <c r="A4724" s="5" t="n">
        <v>1117730000</v>
      </c>
      <c r="B4724" s="5" t="inlineStr">
        <is>
          <t>EM000029</t>
        </is>
      </c>
      <c r="C4724" s="5" t="inlineStr">
        <is>
          <t>RENATO BRUNO LIMA DE FARIAS</t>
        </is>
      </c>
      <c r="D4724" s="5" t="inlineStr">
        <is>
          <t>AB</t>
        </is>
      </c>
      <c r="E4724" s="5" t="n">
        <v>1100019313</v>
      </c>
      <c r="F4724" s="5" t="inlineStr">
        <is>
          <t>CC 07.2026</t>
        </is>
      </c>
      <c r="G4724" s="5" t="inlineStr">
        <is>
          <t>BRL</t>
        </is>
      </c>
      <c r="H4724" s="9" t="n">
        <v>3377.34</v>
      </c>
      <c r="I4724" s="16" t="n">
        <v>46225</v>
      </c>
      <c r="J4724" s="16" t="n">
        <v>46225</v>
      </c>
      <c r="K4724" s="5" t="inlineStr">
        <is>
          <t>Partida individual RENATO BRUNO LIMA DE FARIAS CC</t>
        </is>
      </c>
      <c r="L4724" s="5" t="n"/>
      <c r="M4724" s="5">
        <f>IF(YEAR(I4724)&lt;=2020,"Até 2020",TEXT(YEAR(I4724),"0"))</f>
        <v/>
      </c>
      <c r="N4724" s="5">
        <f>IFERROR(INDEX(DePara!$A:$A,MATCH(TEXT(B4724,"0"),DePara!$D:$D,0)),"(sem categoria)")</f>
        <v/>
      </c>
      <c r="O4724" s="5">
        <f>IF(J4724="","",Parametros!$B$6-J4724)</f>
        <v/>
      </c>
      <c r="P4724" s="5">
        <f>IF(O4724="","",IF(O4724&gt;0,1,0))</f>
        <v/>
      </c>
    </row>
    <row r="4725">
      <c r="A4725" s="5" t="n">
        <v>1117730000</v>
      </c>
      <c r="B4725" s="5" t="inlineStr">
        <is>
          <t>EM000131</t>
        </is>
      </c>
      <c r="C4725" s="5" t="inlineStr">
        <is>
          <t>RICARDO COSTA DA SILVA</t>
        </is>
      </c>
      <c r="D4725" s="5" t="inlineStr">
        <is>
          <t>AB</t>
        </is>
      </c>
      <c r="E4725" s="5" t="n">
        <v>1100019313</v>
      </c>
      <c r="F4725" s="5" t="inlineStr">
        <is>
          <t>CC 07.2026</t>
        </is>
      </c>
      <c r="G4725" s="5" t="inlineStr">
        <is>
          <t>BRL</t>
        </is>
      </c>
      <c r="H4725" s="9" t="n">
        <v>1249.51</v>
      </c>
      <c r="I4725" s="16" t="n">
        <v>46225</v>
      </c>
      <c r="J4725" s="16" t="n">
        <v>46225</v>
      </c>
      <c r="K4725" s="5" t="inlineStr">
        <is>
          <t>Partida individual RICARDO COSTA DA SILVA CC 07.20</t>
        </is>
      </c>
      <c r="L4725" s="5" t="n"/>
      <c r="M4725" s="5">
        <f>IF(YEAR(I4725)&lt;=2020,"Até 2020",TEXT(YEAR(I4725),"0"))</f>
        <v/>
      </c>
      <c r="N4725" s="5">
        <f>IFERROR(INDEX(DePara!$A:$A,MATCH(TEXT(B4725,"0"),DePara!$D:$D,0)),"(sem categoria)")</f>
        <v/>
      </c>
      <c r="O4725" s="5">
        <f>IF(J4725="","",Parametros!$B$6-J4725)</f>
        <v/>
      </c>
      <c r="P4725" s="5">
        <f>IF(O4725="","",IF(O4725&gt;0,1,0))</f>
        <v/>
      </c>
    </row>
    <row r="4726">
      <c r="A4726" s="5" t="n">
        <v>1117730000</v>
      </c>
      <c r="B4726" s="5" t="inlineStr">
        <is>
          <t>EM000125</t>
        </is>
      </c>
      <c r="C4726" s="5" t="inlineStr">
        <is>
          <t>RODRIGO RAFAEL LIMA DE FARIAS</t>
        </is>
      </c>
      <c r="D4726" s="5" t="inlineStr">
        <is>
          <t>AB</t>
        </is>
      </c>
      <c r="E4726" s="5" t="n">
        <v>1100019313</v>
      </c>
      <c r="F4726" s="5" t="inlineStr">
        <is>
          <t>CC 07.2026</t>
        </is>
      </c>
      <c r="G4726" s="5" t="inlineStr">
        <is>
          <t>BRL</t>
        </is>
      </c>
      <c r="H4726" s="9" t="n">
        <v>1564.78</v>
      </c>
      <c r="I4726" s="16" t="n">
        <v>46225</v>
      </c>
      <c r="J4726" s="16" t="n">
        <v>46225</v>
      </c>
      <c r="K4726" s="5" t="inlineStr">
        <is>
          <t>Partida individual RODRIGO RAFAEL LIMA DE FARIAS C</t>
        </is>
      </c>
      <c r="L4726" s="5" t="n"/>
      <c r="M4726" s="5">
        <f>IF(YEAR(I4726)&lt;=2020,"Até 2020",TEXT(YEAR(I4726),"0"))</f>
        <v/>
      </c>
      <c r="N4726" s="5">
        <f>IFERROR(INDEX(DePara!$A:$A,MATCH(TEXT(B4726,"0"),DePara!$D:$D,0)),"(sem categoria)")</f>
        <v/>
      </c>
      <c r="O4726" s="5">
        <f>IF(J4726="","",Parametros!$B$6-J4726)</f>
        <v/>
      </c>
      <c r="P4726" s="5">
        <f>IF(O4726="","",IF(O4726&gt;0,1,0))</f>
        <v/>
      </c>
    </row>
    <row r="4727">
      <c r="A4727" s="5" t="n">
        <v>1117730000</v>
      </c>
      <c r="B4727" s="5" t="inlineStr">
        <is>
          <t>EM000296</t>
        </is>
      </c>
      <c r="C4727" s="5" t="inlineStr">
        <is>
          <t>ROBERTISON JOSE DE BRITO</t>
        </is>
      </c>
      <c r="D4727" s="5" t="inlineStr">
        <is>
          <t>AB</t>
        </is>
      </c>
      <c r="E4727" s="5" t="n">
        <v>1100019313</v>
      </c>
      <c r="F4727" s="5" t="inlineStr">
        <is>
          <t>CC 07.2026</t>
        </is>
      </c>
      <c r="G4727" s="5" t="inlineStr">
        <is>
          <t>BRL</t>
        </is>
      </c>
      <c r="H4727" s="9" t="n">
        <v>4649.85</v>
      </c>
      <c r="I4727" s="16" t="n">
        <v>46225</v>
      </c>
      <c r="J4727" s="16" t="n">
        <v>46225</v>
      </c>
      <c r="K4727" s="5" t="inlineStr">
        <is>
          <t>Partida individual ROBERTISON JOSE DE BRITO CC 07.</t>
        </is>
      </c>
      <c r="L4727" s="5" t="n"/>
      <c r="M4727" s="5">
        <f>IF(YEAR(I4727)&lt;=2020,"Até 2020",TEXT(YEAR(I4727),"0"))</f>
        <v/>
      </c>
      <c r="N4727" s="5">
        <f>IFERROR(INDEX(DePara!$A:$A,MATCH(TEXT(B4727,"0"),DePara!$D:$D,0)),"(sem categoria)")</f>
        <v/>
      </c>
      <c r="O4727" s="5">
        <f>IF(J4727="","",Parametros!$B$6-J4727)</f>
        <v/>
      </c>
      <c r="P4727" s="5">
        <f>IF(O4727="","",IF(O4727&gt;0,1,0))</f>
        <v/>
      </c>
    </row>
    <row r="4728">
      <c r="A4728" s="5" t="n">
        <v>1117730000</v>
      </c>
      <c r="B4728" s="5" t="inlineStr">
        <is>
          <t>EM000281</t>
        </is>
      </c>
      <c r="C4728" s="5" t="inlineStr">
        <is>
          <t>VANESSA REGINA DE CAMARGO</t>
        </is>
      </c>
      <c r="D4728" s="5" t="inlineStr">
        <is>
          <t>AB</t>
        </is>
      </c>
      <c r="E4728" s="5" t="n">
        <v>1100019313</v>
      </c>
      <c r="F4728" s="5" t="inlineStr">
        <is>
          <t>CC 07.2026</t>
        </is>
      </c>
      <c r="G4728" s="5" t="inlineStr">
        <is>
          <t>BRL</t>
        </is>
      </c>
      <c r="H4728" s="9" t="n">
        <v>2553.11</v>
      </c>
      <c r="I4728" s="16" t="n">
        <v>46225</v>
      </c>
      <c r="J4728" s="16" t="n">
        <v>46225</v>
      </c>
      <c r="K4728" s="5" t="inlineStr">
        <is>
          <t>Partida individual VANESSA REGINA DE CAMARGO CC 07</t>
        </is>
      </c>
      <c r="L4728" s="5" t="n"/>
      <c r="M4728" s="5">
        <f>IF(YEAR(I4728)&lt;=2020,"Até 2020",TEXT(YEAR(I4728),"0"))</f>
        <v/>
      </c>
      <c r="N4728" s="5">
        <f>IFERROR(INDEX(DePara!$A:$A,MATCH(TEXT(B4728,"0"),DePara!$D:$D,0)),"(sem categoria)")</f>
        <v/>
      </c>
      <c r="O4728" s="5">
        <f>IF(J4728="","",Parametros!$B$6-J4728)</f>
        <v/>
      </c>
      <c r="P4728" s="5">
        <f>IF(O4728="","",IF(O4728&gt;0,1,0))</f>
        <v/>
      </c>
    </row>
    <row r="4729">
      <c r="A4729" s="5" t="n">
        <v>1117730000</v>
      </c>
      <c r="B4729" s="5" t="inlineStr">
        <is>
          <t>EM000326</t>
        </is>
      </c>
      <c r="C4729" s="5" t="inlineStr">
        <is>
          <t>VITOR ARAUJO DOS SANTOS</t>
        </is>
      </c>
      <c r="D4729" s="5" t="inlineStr">
        <is>
          <t>AB</t>
        </is>
      </c>
      <c r="E4729" s="5" t="n">
        <v>1100019313</v>
      </c>
      <c r="F4729" s="5" t="inlineStr">
        <is>
          <t>CC 07.2026</t>
        </is>
      </c>
      <c r="G4729" s="5" t="inlineStr">
        <is>
          <t>BRL</t>
        </is>
      </c>
      <c r="H4729" s="9" t="n">
        <v>4253.65</v>
      </c>
      <c r="I4729" s="16" t="n">
        <v>46225</v>
      </c>
      <c r="J4729" s="16" t="n">
        <v>46225</v>
      </c>
      <c r="K4729" s="5" t="inlineStr">
        <is>
          <t>Partida individual VITOR ARAUJO DOS SANTOS CC 07.2</t>
        </is>
      </c>
      <c r="L4729" s="5" t="n"/>
      <c r="M4729" s="5">
        <f>IF(YEAR(I4729)&lt;=2020,"Até 2020",TEXT(YEAR(I4729),"0"))</f>
        <v/>
      </c>
      <c r="N4729" s="5">
        <f>IFERROR(INDEX(DePara!$A:$A,MATCH(TEXT(B4729,"0"),DePara!$D:$D,0)),"(sem categoria)")</f>
        <v/>
      </c>
      <c r="O4729" s="5">
        <f>IF(J4729="","",Parametros!$B$6-J4729)</f>
        <v/>
      </c>
      <c r="P4729" s="5">
        <f>IF(O4729="","",IF(O4729&gt;0,1,0))</f>
        <v/>
      </c>
    </row>
    <row r="4730">
      <c r="A4730" s="5" t="n">
        <v>1117730000</v>
      </c>
      <c r="B4730" s="5" t="inlineStr">
        <is>
          <t>EM000058</t>
        </is>
      </c>
      <c r="C4730" s="5" t="inlineStr">
        <is>
          <t>VITOR DE CASTRO SANTOS</t>
        </is>
      </c>
      <c r="D4730" s="5" t="inlineStr">
        <is>
          <t>AB</t>
        </is>
      </c>
      <c r="E4730" s="5" t="n">
        <v>1100019313</v>
      </c>
      <c r="F4730" s="5" t="inlineStr">
        <is>
          <t>CC 07.2026</t>
        </is>
      </c>
      <c r="G4730" s="5" t="inlineStr">
        <is>
          <t>BRL</t>
        </is>
      </c>
      <c r="H4730" s="9" t="n">
        <v>2605.58</v>
      </c>
      <c r="I4730" s="16" t="n">
        <v>46225</v>
      </c>
      <c r="J4730" s="16" t="n">
        <v>46225</v>
      </c>
      <c r="K4730" s="5" t="inlineStr">
        <is>
          <t>Partida individual VITOR DE CASTRO SANTOS CC 07.20</t>
        </is>
      </c>
      <c r="L4730" s="5" t="n"/>
      <c r="M4730" s="5">
        <f>IF(YEAR(I4730)&lt;=2020,"Até 2020",TEXT(YEAR(I4730),"0"))</f>
        <v/>
      </c>
      <c r="N4730" s="5">
        <f>IFERROR(INDEX(DePara!$A:$A,MATCH(TEXT(B4730,"0"),DePara!$D:$D,0)),"(sem categoria)")</f>
        <v/>
      </c>
      <c r="O4730" s="5">
        <f>IF(J4730="","",Parametros!$B$6-J4730)</f>
        <v/>
      </c>
      <c r="P4730" s="5">
        <f>IF(O4730="","",IF(O4730&gt;0,1,0))</f>
        <v/>
      </c>
    </row>
    <row r="4731">
      <c r="A4731" s="5" t="n">
        <v>1117730000</v>
      </c>
      <c r="B4731" s="5" t="inlineStr">
        <is>
          <t>EM000210</t>
        </is>
      </c>
      <c r="C4731" s="5" t="inlineStr">
        <is>
          <t>LUCAS HENRIQUE SOARES</t>
        </is>
      </c>
      <c r="D4731" s="5" t="inlineStr">
        <is>
          <t>AB</t>
        </is>
      </c>
      <c r="E4731" s="5" t="n">
        <v>1100019652</v>
      </c>
      <c r="F4731" s="5" t="inlineStr">
        <is>
          <t>CC 07.2026</t>
        </is>
      </c>
      <c r="G4731" s="5" t="inlineStr">
        <is>
          <t>BRL</t>
        </is>
      </c>
      <c r="H4731" s="9" t="n">
        <v>7862.91</v>
      </c>
      <c r="I4731" s="16" t="n">
        <v>46219</v>
      </c>
      <c r="J4731" s="16" t="n">
        <v>46225</v>
      </c>
      <c r="K4731" s="5" t="inlineStr">
        <is>
          <t>Partida individual LUCAS HENRIQUE SOARES CC 07.202</t>
        </is>
      </c>
      <c r="L4731" s="5" t="n"/>
      <c r="M4731" s="5">
        <f>IF(YEAR(I4731)&lt;=2020,"Até 2020",TEXT(YEAR(I4731),"0"))</f>
        <v/>
      </c>
      <c r="N4731" s="5">
        <f>IFERROR(INDEX(DePara!$A:$A,MATCH(TEXT(B4731,"0"),DePara!$D:$D,0)),"(sem categoria)")</f>
        <v/>
      </c>
      <c r="O4731" s="5">
        <f>IF(J4731="","",Parametros!$B$6-J4731)</f>
        <v/>
      </c>
      <c r="P4731" s="5">
        <f>IF(O4731="","",IF(O4731&gt;0,1,0))</f>
        <v/>
      </c>
    </row>
    <row r="4732">
      <c r="A4732" s="5" t="n">
        <v>1117730000</v>
      </c>
      <c r="B4732" s="5" t="inlineStr">
        <is>
          <t>EM000171</t>
        </is>
      </c>
      <c r="C4732" s="5" t="inlineStr">
        <is>
          <t>ALESSANDRA RAFFO SCHNEIDER</t>
        </is>
      </c>
      <c r="D4732" s="5" t="inlineStr">
        <is>
          <t>AB</t>
        </is>
      </c>
      <c r="E4732" s="5" t="n">
        <v>1100021811</v>
      </c>
      <c r="F4732" s="5" t="inlineStr">
        <is>
          <t>CC 08.2026</t>
        </is>
      </c>
      <c r="G4732" s="5" t="inlineStr">
        <is>
          <t>BRL</t>
        </is>
      </c>
      <c r="H4732" s="9" t="n">
        <v>1028.2</v>
      </c>
      <c r="I4732" s="16" t="n">
        <v>46260</v>
      </c>
      <c r="J4732" s="16" t="n">
        <v>46260</v>
      </c>
      <c r="K4732" s="5" t="inlineStr">
        <is>
          <t>Partida individual ALESSANDRA RAFFO SCHNEIDER CC 0</t>
        </is>
      </c>
      <c r="L4732" s="5" t="n"/>
      <c r="M4732" s="5">
        <f>IF(YEAR(I4732)&lt;=2020,"Até 2020",TEXT(YEAR(I4732),"0"))</f>
        <v/>
      </c>
      <c r="N4732" s="5">
        <f>IFERROR(INDEX(DePara!$A:$A,MATCH(TEXT(B4732,"0"),DePara!$D:$D,0)),"(sem categoria)")</f>
        <v/>
      </c>
      <c r="O4732" s="5">
        <f>IF(J4732="","",Parametros!$B$6-J4732)</f>
        <v/>
      </c>
      <c r="P4732" s="5">
        <f>IF(O4732="","",IF(O4732&gt;0,1,0))</f>
        <v/>
      </c>
    </row>
    <row r="4733">
      <c r="A4733" s="5" t="n">
        <v>1117730000</v>
      </c>
      <c r="B4733" s="5" t="inlineStr">
        <is>
          <t>EM000167</t>
        </is>
      </c>
      <c r="C4733" s="5" t="inlineStr">
        <is>
          <t>ANDERSON DE LIMA AFFONSO</t>
        </is>
      </c>
      <c r="D4733" s="5" t="inlineStr">
        <is>
          <t>AB</t>
        </is>
      </c>
      <c r="E4733" s="5" t="n">
        <v>1100021811</v>
      </c>
      <c r="F4733" s="5" t="inlineStr">
        <is>
          <t>CC 08.2026</t>
        </is>
      </c>
      <c r="G4733" s="5" t="inlineStr">
        <is>
          <t>BRL</t>
        </is>
      </c>
      <c r="H4733" s="9" t="n">
        <v>105.95</v>
      </c>
      <c r="I4733" s="16" t="n">
        <v>46260</v>
      </c>
      <c r="J4733" s="16" t="n">
        <v>46260</v>
      </c>
      <c r="K4733" s="5" t="inlineStr">
        <is>
          <t>Partida individual ANDERSON DE LIMA AFFONSO CC 08.</t>
        </is>
      </c>
      <c r="L4733" s="5" t="n"/>
      <c r="M4733" s="5">
        <f>IF(YEAR(I4733)&lt;=2020,"Até 2020",TEXT(YEAR(I4733),"0"))</f>
        <v/>
      </c>
      <c r="N4733" s="5">
        <f>IFERROR(INDEX(DePara!$A:$A,MATCH(TEXT(B4733,"0"),DePara!$D:$D,0)),"(sem categoria)")</f>
        <v/>
      </c>
      <c r="O4733" s="5">
        <f>IF(J4733="","",Parametros!$B$6-J4733)</f>
        <v/>
      </c>
      <c r="P4733" s="5">
        <f>IF(O4733="","",IF(O4733&gt;0,1,0))</f>
        <v/>
      </c>
    </row>
    <row r="4734">
      <c r="A4734" s="5" t="n">
        <v>1117730000</v>
      </c>
      <c r="B4734" s="5" t="inlineStr">
        <is>
          <t>EM000083</t>
        </is>
      </c>
      <c r="C4734" s="5" t="inlineStr">
        <is>
          <t>ANDERSON DE SOUZA MOTA</t>
        </is>
      </c>
      <c r="D4734" s="5" t="inlineStr">
        <is>
          <t>AB</t>
        </is>
      </c>
      <c r="E4734" s="5" t="n">
        <v>1100021811</v>
      </c>
      <c r="F4734" s="5" t="inlineStr">
        <is>
          <t>CC 08.2026</t>
        </is>
      </c>
      <c r="G4734" s="5" t="inlineStr">
        <is>
          <t>BRL</t>
        </is>
      </c>
      <c r="H4734" s="9" t="n">
        <v>1104.99</v>
      </c>
      <c r="I4734" s="16" t="n">
        <v>46260</v>
      </c>
      <c r="J4734" s="16" t="n">
        <v>46260</v>
      </c>
      <c r="K4734" s="5" t="inlineStr">
        <is>
          <t>Partida individual ANDERSON DE SOUZA MOTA CC 08.20</t>
        </is>
      </c>
      <c r="L4734" s="5" t="n"/>
      <c r="M4734" s="5">
        <f>IF(YEAR(I4734)&lt;=2020,"Até 2020",TEXT(YEAR(I4734),"0"))</f>
        <v/>
      </c>
      <c r="N4734" s="5">
        <f>IFERROR(INDEX(DePara!$A:$A,MATCH(TEXT(B4734,"0"),DePara!$D:$D,0)),"(sem categoria)")</f>
        <v/>
      </c>
      <c r="O4734" s="5">
        <f>IF(J4734="","",Parametros!$B$6-J4734)</f>
        <v/>
      </c>
      <c r="P4734" s="5">
        <f>IF(O4734="","",IF(O4734&gt;0,1,0))</f>
        <v/>
      </c>
    </row>
    <row r="4735">
      <c r="A4735" s="5" t="n">
        <v>1117730000</v>
      </c>
      <c r="B4735" s="5" t="inlineStr">
        <is>
          <t>EM000048</t>
        </is>
      </c>
      <c r="C4735" s="5" t="inlineStr">
        <is>
          <t>ARLINDO ASTYZEM REGO</t>
        </is>
      </c>
      <c r="D4735" s="5" t="inlineStr">
        <is>
          <t>AB</t>
        </is>
      </c>
      <c r="E4735" s="5" t="n">
        <v>1100021811</v>
      </c>
      <c r="F4735" s="5" t="inlineStr">
        <is>
          <t>CC 08.2026</t>
        </is>
      </c>
      <c r="G4735" s="5" t="inlineStr">
        <is>
          <t>BRL</t>
        </is>
      </c>
      <c r="H4735" s="9" t="n">
        <v>418.91</v>
      </c>
      <c r="I4735" s="16" t="n">
        <v>46260</v>
      </c>
      <c r="J4735" s="16" t="n">
        <v>46260</v>
      </c>
      <c r="K4735" s="5" t="inlineStr">
        <is>
          <t>Partida individual ARLINDO ASTYZEM REGO CC 08.2026</t>
        </is>
      </c>
      <c r="L4735" s="5" t="n"/>
      <c r="M4735" s="5">
        <f>IF(YEAR(I4735)&lt;=2020,"Até 2020",TEXT(YEAR(I4735),"0"))</f>
        <v/>
      </c>
      <c r="N4735" s="5">
        <f>IFERROR(INDEX(DePara!$A:$A,MATCH(TEXT(B4735,"0"),DePara!$D:$D,0)),"(sem categoria)")</f>
        <v/>
      </c>
      <c r="O4735" s="5">
        <f>IF(J4735="","",Parametros!$B$6-J4735)</f>
        <v/>
      </c>
      <c r="P4735" s="5">
        <f>IF(O4735="","",IF(O4735&gt;0,1,0))</f>
        <v/>
      </c>
    </row>
    <row r="4736">
      <c r="A4736" s="5" t="n">
        <v>1117730000</v>
      </c>
      <c r="B4736" s="5" t="inlineStr">
        <is>
          <t>EM000093</t>
        </is>
      </c>
      <c r="C4736" s="5" t="inlineStr">
        <is>
          <t>CARLOS ALVES DE AZEVEDO</t>
        </is>
      </c>
      <c r="D4736" s="5" t="inlineStr">
        <is>
          <t>AB</t>
        </is>
      </c>
      <c r="E4736" s="5" t="n">
        <v>1100021811</v>
      </c>
      <c r="F4736" s="5" t="inlineStr">
        <is>
          <t>CC 08.2026</t>
        </is>
      </c>
      <c r="G4736" s="5" t="inlineStr">
        <is>
          <t>BRL</t>
        </is>
      </c>
      <c r="H4736" s="9" t="n">
        <v>3708.81</v>
      </c>
      <c r="I4736" s="16" t="n">
        <v>46260</v>
      </c>
      <c r="J4736" s="16" t="n">
        <v>46260</v>
      </c>
      <c r="K4736" s="5" t="inlineStr">
        <is>
          <t>Partida individual CARLOS ALVES DE AZEVEDO CC 08.2</t>
        </is>
      </c>
      <c r="L4736" s="5" t="n"/>
      <c r="M4736" s="5">
        <f>IF(YEAR(I4736)&lt;=2020,"Até 2020",TEXT(YEAR(I4736),"0"))</f>
        <v/>
      </c>
      <c r="N4736" s="5">
        <f>IFERROR(INDEX(DePara!$A:$A,MATCH(TEXT(B4736,"0"),DePara!$D:$D,0)),"(sem categoria)")</f>
        <v/>
      </c>
      <c r="O4736" s="5">
        <f>IF(J4736="","",Parametros!$B$6-J4736)</f>
        <v/>
      </c>
      <c r="P4736" s="5">
        <f>IF(O4736="","",IF(O4736&gt;0,1,0))</f>
        <v/>
      </c>
    </row>
    <row r="4737">
      <c r="A4737" s="5" t="n">
        <v>1117730000</v>
      </c>
      <c r="B4737" s="5" t="inlineStr">
        <is>
          <t>EM000143</t>
        </is>
      </c>
      <c r="C4737" s="5" t="inlineStr">
        <is>
          <t>CARLOS ADRIANO SILVA DE OLIVEIRA</t>
        </is>
      </c>
      <c r="D4737" s="5" t="inlineStr">
        <is>
          <t>AB</t>
        </is>
      </c>
      <c r="E4737" s="5" t="n">
        <v>1100021811</v>
      </c>
      <c r="F4737" s="5" t="inlineStr">
        <is>
          <t>CC 08.2026</t>
        </is>
      </c>
      <c r="G4737" s="5" t="inlineStr">
        <is>
          <t>BRL</t>
        </is>
      </c>
      <c r="H4737" s="9" t="n">
        <v>4180.59</v>
      </c>
      <c r="I4737" s="16" t="n">
        <v>46260</v>
      </c>
      <c r="J4737" s="16" t="n">
        <v>46260</v>
      </c>
      <c r="K4737" s="5" t="inlineStr">
        <is>
          <t>Partida individual CARLOS ADRIANO SILVA DE OLIVEIR</t>
        </is>
      </c>
      <c r="L4737" s="5" t="n"/>
      <c r="M4737" s="5">
        <f>IF(YEAR(I4737)&lt;=2020,"Até 2020",TEXT(YEAR(I4737),"0"))</f>
        <v/>
      </c>
      <c r="N4737" s="5">
        <f>IFERROR(INDEX(DePara!$A:$A,MATCH(TEXT(B4737,"0"),DePara!$D:$D,0)),"(sem categoria)")</f>
        <v/>
      </c>
      <c r="O4737" s="5">
        <f>IF(J4737="","",Parametros!$B$6-J4737)</f>
        <v/>
      </c>
      <c r="P4737" s="5">
        <f>IF(O4737="","",IF(O4737&gt;0,1,0))</f>
        <v/>
      </c>
    </row>
    <row r="4738">
      <c r="A4738" s="5" t="n">
        <v>1117730000</v>
      </c>
      <c r="B4738" s="5" t="inlineStr">
        <is>
          <t>EM000109</t>
        </is>
      </c>
      <c r="C4738" s="5" t="inlineStr">
        <is>
          <t>DANILO MOREIRA DOS SANTOS</t>
        </is>
      </c>
      <c r="D4738" s="5" t="inlineStr">
        <is>
          <t>AB</t>
        </is>
      </c>
      <c r="E4738" s="5" t="n">
        <v>1100021811</v>
      </c>
      <c r="F4738" s="5" t="inlineStr">
        <is>
          <t>CC 08.2026</t>
        </is>
      </c>
      <c r="G4738" s="5" t="inlineStr">
        <is>
          <t>BRL</t>
        </is>
      </c>
      <c r="H4738" s="9" t="n">
        <v>707.84</v>
      </c>
      <c r="I4738" s="16" t="n">
        <v>46260</v>
      </c>
      <c r="J4738" s="16" t="n">
        <v>46260</v>
      </c>
      <c r="K4738" s="5" t="inlineStr">
        <is>
          <t>Partida individual DANILO MOREIRA DOS SANTOS CC 08</t>
        </is>
      </c>
      <c r="L4738" s="5" t="n"/>
      <c r="M4738" s="5">
        <f>IF(YEAR(I4738)&lt;=2020,"Até 2020",TEXT(YEAR(I4738),"0"))</f>
        <v/>
      </c>
      <c r="N4738" s="5">
        <f>IFERROR(INDEX(DePara!$A:$A,MATCH(TEXT(B4738,"0"),DePara!$D:$D,0)),"(sem categoria)")</f>
        <v/>
      </c>
      <c r="O4738" s="5">
        <f>IF(J4738="","",Parametros!$B$6-J4738)</f>
        <v/>
      </c>
      <c r="P4738" s="5">
        <f>IF(O4738="","",IF(O4738&gt;0,1,0))</f>
        <v/>
      </c>
    </row>
    <row r="4739">
      <c r="A4739" s="5" t="n">
        <v>1117730000</v>
      </c>
      <c r="B4739" s="5" t="inlineStr">
        <is>
          <t>EM000202</t>
        </is>
      </c>
      <c r="C4739" s="5" t="inlineStr">
        <is>
          <t>DIEGO DE SOUSA ALMEIDA</t>
        </is>
      </c>
      <c r="D4739" s="5" t="inlineStr">
        <is>
          <t>AB</t>
        </is>
      </c>
      <c r="E4739" s="5" t="n">
        <v>1100021811</v>
      </c>
      <c r="F4739" s="5" t="inlineStr">
        <is>
          <t>CC 08.2026</t>
        </is>
      </c>
      <c r="G4739" s="5" t="inlineStr">
        <is>
          <t>BRL</t>
        </is>
      </c>
      <c r="H4739" s="9" t="n">
        <v>646.75</v>
      </c>
      <c r="I4739" s="16" t="n">
        <v>46260</v>
      </c>
      <c r="J4739" s="16" t="n">
        <v>46260</v>
      </c>
      <c r="K4739" s="5" t="inlineStr">
        <is>
          <t>Partida individual DIEGO DE SOUSA ALMEIDA CC 08.20</t>
        </is>
      </c>
      <c r="L4739" s="5" t="n"/>
      <c r="M4739" s="5">
        <f>IF(YEAR(I4739)&lt;=2020,"Até 2020",TEXT(YEAR(I4739),"0"))</f>
        <v/>
      </c>
      <c r="N4739" s="5">
        <f>IFERROR(INDEX(DePara!$A:$A,MATCH(TEXT(B4739,"0"),DePara!$D:$D,0)),"(sem categoria)")</f>
        <v/>
      </c>
      <c r="O4739" s="5">
        <f>IF(J4739="","",Parametros!$B$6-J4739)</f>
        <v/>
      </c>
      <c r="P4739" s="5">
        <f>IF(O4739="","",IF(O4739&gt;0,1,0))</f>
        <v/>
      </c>
    </row>
    <row r="4740">
      <c r="A4740" s="5" t="n">
        <v>1117730000</v>
      </c>
      <c r="B4740" s="5" t="inlineStr">
        <is>
          <t>EM000141</t>
        </is>
      </c>
      <c r="C4740" s="5" t="inlineStr">
        <is>
          <t>EDGLEISON TAMBORIL FIRMIANO</t>
        </is>
      </c>
      <c r="D4740" s="5" t="inlineStr">
        <is>
          <t>AB</t>
        </is>
      </c>
      <c r="E4740" s="5" t="n">
        <v>1100021811</v>
      </c>
      <c r="F4740" s="5" t="inlineStr">
        <is>
          <t>CC 08.2026</t>
        </is>
      </c>
      <c r="G4740" s="5" t="inlineStr">
        <is>
          <t>BRL</t>
        </is>
      </c>
      <c r="H4740" s="9" t="n">
        <v>1845.36</v>
      </c>
      <c r="I4740" s="16" t="n">
        <v>46260</v>
      </c>
      <c r="J4740" s="16" t="n">
        <v>46260</v>
      </c>
      <c r="K4740" s="5" t="inlineStr">
        <is>
          <t>Partida individual EDGLEISON TAMBORIL FIRMIANO CC</t>
        </is>
      </c>
      <c r="L4740" s="5" t="n"/>
      <c r="M4740" s="5">
        <f>IF(YEAR(I4740)&lt;=2020,"Até 2020",TEXT(YEAR(I4740),"0"))</f>
        <v/>
      </c>
      <c r="N4740" s="5">
        <f>IFERROR(INDEX(DePara!$A:$A,MATCH(TEXT(B4740,"0"),DePara!$D:$D,0)),"(sem categoria)")</f>
        <v/>
      </c>
      <c r="O4740" s="5">
        <f>IF(J4740="","",Parametros!$B$6-J4740)</f>
        <v/>
      </c>
      <c r="P4740" s="5">
        <f>IF(O4740="","",IF(O4740&gt;0,1,0))</f>
        <v/>
      </c>
    </row>
    <row r="4741">
      <c r="A4741" s="5" t="n">
        <v>1117730000</v>
      </c>
      <c r="B4741" s="5" t="inlineStr">
        <is>
          <t>EM000159</t>
        </is>
      </c>
      <c r="C4741" s="5" t="inlineStr">
        <is>
          <t>FABIO COFFANI DOS SANTOS DE SIQUEIRA</t>
        </is>
      </c>
      <c r="D4741" s="5" t="inlineStr">
        <is>
          <t>AB</t>
        </is>
      </c>
      <c r="E4741" s="5" t="n">
        <v>1100021811</v>
      </c>
      <c r="F4741" s="5" t="inlineStr">
        <is>
          <t>CC 08.2026</t>
        </is>
      </c>
      <c r="G4741" s="5" t="inlineStr">
        <is>
          <t>BRL</t>
        </is>
      </c>
      <c r="H4741" s="9" t="n">
        <v>4738.46</v>
      </c>
      <c r="I4741" s="16" t="n">
        <v>46260</v>
      </c>
      <c r="J4741" s="16" t="n">
        <v>46260</v>
      </c>
      <c r="K4741" s="5" t="inlineStr">
        <is>
          <t>Partida individual FABIO COFFANI DOS SANTOS DE SIQ</t>
        </is>
      </c>
      <c r="L4741" s="5" t="n"/>
      <c r="M4741" s="5">
        <f>IF(YEAR(I4741)&lt;=2020,"Até 2020",TEXT(YEAR(I4741),"0"))</f>
        <v/>
      </c>
      <c r="N4741" s="5">
        <f>IFERROR(INDEX(DePara!$A:$A,MATCH(TEXT(B4741,"0"),DePara!$D:$D,0)),"(sem categoria)")</f>
        <v/>
      </c>
      <c r="O4741" s="5">
        <f>IF(J4741="","",Parametros!$B$6-J4741)</f>
        <v/>
      </c>
      <c r="P4741" s="5">
        <f>IF(O4741="","",IF(O4741&gt;0,1,0))</f>
        <v/>
      </c>
    </row>
    <row r="4742">
      <c r="A4742" s="5" t="n">
        <v>1117730000</v>
      </c>
      <c r="B4742" s="5" t="inlineStr">
        <is>
          <t>EM000041</t>
        </is>
      </c>
      <c r="C4742" s="5" t="inlineStr">
        <is>
          <t>FLAVIO BELLOLI</t>
        </is>
      </c>
      <c r="D4742" s="5" t="inlineStr">
        <is>
          <t>AB</t>
        </is>
      </c>
      <c r="E4742" s="5" t="n">
        <v>1100021811</v>
      </c>
      <c r="F4742" s="5" t="inlineStr">
        <is>
          <t>CC 08.2026</t>
        </is>
      </c>
      <c r="G4742" s="5" t="inlineStr">
        <is>
          <t>BRL</t>
        </is>
      </c>
      <c r="H4742" s="9" t="n">
        <v>1131.9</v>
      </c>
      <c r="I4742" s="16" t="n">
        <v>46260</v>
      </c>
      <c r="J4742" s="16" t="n">
        <v>46260</v>
      </c>
      <c r="K4742" s="5" t="inlineStr">
        <is>
          <t>Partida individual FLAVIO BELLOLI CC 08.2026</t>
        </is>
      </c>
      <c r="L4742" s="5" t="n"/>
      <c r="M4742" s="5">
        <f>IF(YEAR(I4742)&lt;=2020,"Até 2020",TEXT(YEAR(I4742),"0"))</f>
        <v/>
      </c>
      <c r="N4742" s="5">
        <f>IFERROR(INDEX(DePara!$A:$A,MATCH(TEXT(B4742,"0"),DePara!$D:$D,0)),"(sem categoria)")</f>
        <v/>
      </c>
      <c r="O4742" s="5">
        <f>IF(J4742="","",Parametros!$B$6-J4742)</f>
        <v/>
      </c>
      <c r="P4742" s="5">
        <f>IF(O4742="","",IF(O4742&gt;0,1,0))</f>
        <v/>
      </c>
    </row>
    <row r="4743">
      <c r="A4743" s="5" t="n">
        <v>1117730000</v>
      </c>
      <c r="B4743" s="5" t="inlineStr">
        <is>
          <t>EM000127</t>
        </is>
      </c>
      <c r="C4743" s="5" t="inlineStr">
        <is>
          <t>GUSTAVO FERNANDES LIMA</t>
        </is>
      </c>
      <c r="D4743" s="5" t="inlineStr">
        <is>
          <t>AB</t>
        </is>
      </c>
      <c r="E4743" s="5" t="n">
        <v>1100021811</v>
      </c>
      <c r="F4743" s="5" t="inlineStr">
        <is>
          <t>CC 08.2026</t>
        </is>
      </c>
      <c r="G4743" s="5" t="inlineStr">
        <is>
          <t>BRL</t>
        </is>
      </c>
      <c r="H4743" s="9" t="n">
        <v>851.4400000000001</v>
      </c>
      <c r="I4743" s="16" t="n">
        <v>46260</v>
      </c>
      <c r="J4743" s="16" t="n">
        <v>46260</v>
      </c>
      <c r="K4743" s="5" t="inlineStr">
        <is>
          <t>Partida individual GUSTAVO FERNANDES LIMA CC 08.20</t>
        </is>
      </c>
      <c r="L4743" s="5" t="n"/>
      <c r="M4743" s="5">
        <f>IF(YEAR(I4743)&lt;=2020,"Até 2020",TEXT(YEAR(I4743),"0"))</f>
        <v/>
      </c>
      <c r="N4743" s="5">
        <f>IFERROR(INDEX(DePara!$A:$A,MATCH(TEXT(B4743,"0"),DePara!$D:$D,0)),"(sem categoria)")</f>
        <v/>
      </c>
      <c r="O4743" s="5">
        <f>IF(J4743="","",Parametros!$B$6-J4743)</f>
        <v/>
      </c>
      <c r="P4743" s="5">
        <f>IF(O4743="","",IF(O4743&gt;0,1,0))</f>
        <v/>
      </c>
    </row>
    <row r="4744">
      <c r="A4744" s="5" t="n">
        <v>1117730000</v>
      </c>
      <c r="B4744" s="5" t="inlineStr">
        <is>
          <t>EM000100</t>
        </is>
      </c>
      <c r="C4744" s="5" t="inlineStr">
        <is>
          <t>GUSTAVO ROCHA PACHECO</t>
        </is>
      </c>
      <c r="D4744" s="5" t="inlineStr">
        <is>
          <t>AB</t>
        </is>
      </c>
      <c r="E4744" s="5" t="n">
        <v>1100021811</v>
      </c>
      <c r="F4744" s="5" t="inlineStr">
        <is>
          <t>CC 08.2026</t>
        </is>
      </c>
      <c r="G4744" s="5" t="inlineStr">
        <is>
          <t>BRL</t>
        </is>
      </c>
      <c r="H4744" s="9" t="n">
        <v>2805.27</v>
      </c>
      <c r="I4744" s="16" t="n">
        <v>46260</v>
      </c>
      <c r="J4744" s="16" t="n">
        <v>46260</v>
      </c>
      <c r="K4744" s="5" t="inlineStr">
        <is>
          <t>Partida individual GUSTAVO ROCHA PACHECO CC 08.202</t>
        </is>
      </c>
      <c r="L4744" s="5" t="n"/>
      <c r="M4744" s="5">
        <f>IF(YEAR(I4744)&lt;=2020,"Até 2020",TEXT(YEAR(I4744),"0"))</f>
        <v/>
      </c>
      <c r="N4744" s="5">
        <f>IFERROR(INDEX(DePara!$A:$A,MATCH(TEXT(B4744,"0"),DePara!$D:$D,0)),"(sem categoria)")</f>
        <v/>
      </c>
      <c r="O4744" s="5">
        <f>IF(J4744="","",Parametros!$B$6-J4744)</f>
        <v/>
      </c>
      <c r="P4744" s="5">
        <f>IF(O4744="","",IF(O4744&gt;0,1,0))</f>
        <v/>
      </c>
    </row>
    <row r="4745">
      <c r="A4745" s="5" t="n">
        <v>1117730000</v>
      </c>
      <c r="B4745" s="5" t="inlineStr">
        <is>
          <t>EM000521</t>
        </is>
      </c>
      <c r="C4745" s="5" t="inlineStr">
        <is>
          <t>JOSE EDINELE MARTINS</t>
        </is>
      </c>
      <c r="D4745" s="5" t="inlineStr">
        <is>
          <t>AB</t>
        </is>
      </c>
      <c r="E4745" s="5" t="n">
        <v>1100021811</v>
      </c>
      <c r="F4745" s="5" t="inlineStr">
        <is>
          <t>CC 08.2026</t>
        </is>
      </c>
      <c r="G4745" s="5" t="inlineStr">
        <is>
          <t>BRL</t>
        </is>
      </c>
      <c r="H4745" s="9" t="n">
        <v>3664.53</v>
      </c>
      <c r="I4745" s="16" t="n">
        <v>46260</v>
      </c>
      <c r="J4745" s="16" t="n">
        <v>46260</v>
      </c>
      <c r="K4745" s="5" t="inlineStr">
        <is>
          <t>Partida individual JOSE EDINELE MARTINS CC 08.2026</t>
        </is>
      </c>
      <c r="L4745" s="5" t="n"/>
      <c r="M4745" s="5">
        <f>IF(YEAR(I4745)&lt;=2020,"Até 2020",TEXT(YEAR(I4745),"0"))</f>
        <v/>
      </c>
      <c r="N4745" s="5">
        <f>IFERROR(INDEX(DePara!$A:$A,MATCH(TEXT(B4745,"0"),DePara!$D:$D,0)),"(sem categoria)")</f>
        <v/>
      </c>
      <c r="O4745" s="5">
        <f>IF(J4745="","",Parametros!$B$6-J4745)</f>
        <v/>
      </c>
      <c r="P4745" s="5">
        <f>IF(O4745="","",IF(O4745&gt;0,1,0))</f>
        <v/>
      </c>
    </row>
    <row r="4746">
      <c r="A4746" s="5" t="n">
        <v>1117730000</v>
      </c>
      <c r="B4746" s="5" t="inlineStr">
        <is>
          <t>EM000861</t>
        </is>
      </c>
      <c r="C4746" s="5" t="inlineStr">
        <is>
          <t>JOSE ELIMAR PALHARES JUNIOR</t>
        </is>
      </c>
      <c r="D4746" s="5" t="inlineStr">
        <is>
          <t>AB</t>
        </is>
      </c>
      <c r="E4746" s="5" t="n">
        <v>1100021811</v>
      </c>
      <c r="F4746" s="5" t="inlineStr">
        <is>
          <t>CC 08.2026</t>
        </is>
      </c>
      <c r="G4746" s="5" t="inlineStr">
        <is>
          <t>BRL</t>
        </is>
      </c>
      <c r="H4746" s="9" t="n">
        <v>2983.32</v>
      </c>
      <c r="I4746" s="16" t="n">
        <v>46260</v>
      </c>
      <c r="J4746" s="16" t="n">
        <v>46260</v>
      </c>
      <c r="K4746" s="5" t="inlineStr">
        <is>
          <t>Partida individual JOSE ELIMAR PALHARES JUNIOR CC</t>
        </is>
      </c>
      <c r="L4746" s="5" t="n"/>
      <c r="M4746" s="5">
        <f>IF(YEAR(I4746)&lt;=2020,"Até 2020",TEXT(YEAR(I4746),"0"))</f>
        <v/>
      </c>
      <c r="N4746" s="5">
        <f>IFERROR(INDEX(DePara!$A:$A,MATCH(TEXT(B4746,"0"),DePara!$D:$D,0)),"(sem categoria)")</f>
        <v/>
      </c>
      <c r="O4746" s="5">
        <f>IF(J4746="","",Parametros!$B$6-J4746)</f>
        <v/>
      </c>
      <c r="P4746" s="5">
        <f>IF(O4746="","",IF(O4746&gt;0,1,0))</f>
        <v/>
      </c>
    </row>
    <row r="4747">
      <c r="A4747" s="5" t="n">
        <v>1117730000</v>
      </c>
      <c r="B4747" s="5" t="inlineStr">
        <is>
          <t>EM000323</t>
        </is>
      </c>
      <c r="C4747" s="5" t="inlineStr">
        <is>
          <t>JOSE LEONARDO RIBEIRO DUARTE</t>
        </is>
      </c>
      <c r="D4747" s="5" t="inlineStr">
        <is>
          <t>AB</t>
        </is>
      </c>
      <c r="E4747" s="5" t="n">
        <v>1100021811</v>
      </c>
      <c r="F4747" s="5" t="inlineStr">
        <is>
          <t>CC 08.2026</t>
        </is>
      </c>
      <c r="G4747" s="5" t="inlineStr">
        <is>
          <t>BRL</t>
        </is>
      </c>
      <c r="H4747" s="9" t="n">
        <v>6208.83</v>
      </c>
      <c r="I4747" s="16" t="n">
        <v>46260</v>
      </c>
      <c r="J4747" s="16" t="n">
        <v>46260</v>
      </c>
      <c r="K4747" s="5" t="inlineStr">
        <is>
          <t>Partida individual JOSE LEONARDO RIBEIRO DUARTE CC</t>
        </is>
      </c>
      <c r="L4747" s="5" t="n"/>
      <c r="M4747" s="5">
        <f>IF(YEAR(I4747)&lt;=2020,"Até 2020",TEXT(YEAR(I4747),"0"))</f>
        <v/>
      </c>
      <c r="N4747" s="5">
        <f>IFERROR(INDEX(DePara!$A:$A,MATCH(TEXT(B4747,"0"),DePara!$D:$D,0)),"(sem categoria)")</f>
        <v/>
      </c>
      <c r="O4747" s="5">
        <f>IF(J4747="","",Parametros!$B$6-J4747)</f>
        <v/>
      </c>
      <c r="P4747" s="5">
        <f>IF(O4747="","",IF(O4747&gt;0,1,0))</f>
        <v/>
      </c>
    </row>
    <row r="4748">
      <c r="A4748" s="5" t="n">
        <v>1117730000</v>
      </c>
      <c r="B4748" s="5" t="inlineStr">
        <is>
          <t>EM000327</t>
        </is>
      </c>
      <c r="C4748" s="5" t="inlineStr">
        <is>
          <t>JOSE MARTINS TEIXEIRA NETO</t>
        </is>
      </c>
      <c r="D4748" s="5" t="inlineStr">
        <is>
          <t>AB</t>
        </is>
      </c>
      <c r="E4748" s="5" t="n">
        <v>1100021811</v>
      </c>
      <c r="F4748" s="5" t="inlineStr">
        <is>
          <t>CC 08.2026</t>
        </is>
      </c>
      <c r="G4748" s="5" t="inlineStr">
        <is>
          <t>BRL</t>
        </is>
      </c>
      <c r="H4748" s="9" t="n">
        <v>2152.82</v>
      </c>
      <c r="I4748" s="16" t="n">
        <v>46260</v>
      </c>
      <c r="J4748" s="16" t="n">
        <v>46260</v>
      </c>
      <c r="K4748" s="5" t="inlineStr">
        <is>
          <t>Partida individual JOSE MARTINS TEIXEIRA NETO CC 0</t>
        </is>
      </c>
      <c r="L4748" s="5" t="n"/>
      <c r="M4748" s="5">
        <f>IF(YEAR(I4748)&lt;=2020,"Até 2020",TEXT(YEAR(I4748),"0"))</f>
        <v/>
      </c>
      <c r="N4748" s="5">
        <f>IFERROR(INDEX(DePara!$A:$A,MATCH(TEXT(B4748,"0"),DePara!$D:$D,0)),"(sem categoria)")</f>
        <v/>
      </c>
      <c r="O4748" s="5">
        <f>IF(J4748="","",Parametros!$B$6-J4748)</f>
        <v/>
      </c>
      <c r="P4748" s="5">
        <f>IF(O4748="","",IF(O4748&gt;0,1,0))</f>
        <v/>
      </c>
    </row>
    <row r="4749">
      <c r="A4749" s="5" t="n">
        <v>1117730000</v>
      </c>
      <c r="B4749" s="5" t="inlineStr">
        <is>
          <t>EM000157</t>
        </is>
      </c>
      <c r="C4749" s="5" t="inlineStr">
        <is>
          <t>JULIANO NASCIMIENTO</t>
        </is>
      </c>
      <c r="D4749" s="5" t="inlineStr">
        <is>
          <t>AB</t>
        </is>
      </c>
      <c r="E4749" s="5" t="n">
        <v>1100021811</v>
      </c>
      <c r="F4749" s="5" t="inlineStr">
        <is>
          <t>CC 08.2026</t>
        </is>
      </c>
      <c r="G4749" s="5" t="inlineStr">
        <is>
          <t>BRL</t>
        </is>
      </c>
      <c r="H4749" s="9" t="n">
        <v>1100</v>
      </c>
      <c r="I4749" s="16" t="n">
        <v>46260</v>
      </c>
      <c r="J4749" s="16" t="n">
        <v>46260</v>
      </c>
      <c r="K4749" s="5" t="inlineStr">
        <is>
          <t>Partida individual JULIANO NASCIMIENTO CC 08.2026</t>
        </is>
      </c>
      <c r="L4749" s="5" t="n"/>
      <c r="M4749" s="5">
        <f>IF(YEAR(I4749)&lt;=2020,"Até 2020",TEXT(YEAR(I4749),"0"))</f>
        <v/>
      </c>
      <c r="N4749" s="5">
        <f>IFERROR(INDEX(DePara!$A:$A,MATCH(TEXT(B4749,"0"),DePara!$D:$D,0)),"(sem categoria)")</f>
        <v/>
      </c>
      <c r="O4749" s="5">
        <f>IF(J4749="","",Parametros!$B$6-J4749)</f>
        <v/>
      </c>
      <c r="P4749" s="5">
        <f>IF(O4749="","",IF(O4749&gt;0,1,0))</f>
        <v/>
      </c>
    </row>
    <row r="4750">
      <c r="A4750" s="5" t="n">
        <v>1117730000</v>
      </c>
      <c r="B4750" s="5" t="inlineStr">
        <is>
          <t>EM000210</t>
        </is>
      </c>
      <c r="C4750" s="5" t="inlineStr">
        <is>
          <t>LUCAS HENRIQUE SOARES</t>
        </is>
      </c>
      <c r="D4750" s="5" t="inlineStr">
        <is>
          <t>AB</t>
        </is>
      </c>
      <c r="E4750" s="5" t="n">
        <v>1100021811</v>
      </c>
      <c r="F4750" s="5" t="inlineStr">
        <is>
          <t>CC 08.2026</t>
        </is>
      </c>
      <c r="G4750" s="5" t="inlineStr">
        <is>
          <t>BRL</t>
        </is>
      </c>
      <c r="H4750" s="9" t="n">
        <v>7724.44</v>
      </c>
      <c r="I4750" s="16" t="n">
        <v>46260</v>
      </c>
      <c r="J4750" s="16" t="n">
        <v>46260</v>
      </c>
      <c r="K4750" s="5" t="inlineStr">
        <is>
          <t>Partida individual LUCAS HENRIQUE SOARES CC 08.202</t>
        </is>
      </c>
      <c r="L4750" s="5" t="n"/>
      <c r="M4750" s="5">
        <f>IF(YEAR(I4750)&lt;=2020,"Até 2020",TEXT(YEAR(I4750),"0"))</f>
        <v/>
      </c>
      <c r="N4750" s="5">
        <f>IFERROR(INDEX(DePara!$A:$A,MATCH(TEXT(B4750,"0"),DePara!$D:$D,0)),"(sem categoria)")</f>
        <v/>
      </c>
      <c r="O4750" s="5">
        <f>IF(J4750="","",Parametros!$B$6-J4750)</f>
        <v/>
      </c>
      <c r="P4750" s="5">
        <f>IF(O4750="","",IF(O4750&gt;0,1,0))</f>
        <v/>
      </c>
    </row>
    <row r="4751">
      <c r="A4751" s="5" t="n">
        <v>1117730000</v>
      </c>
      <c r="B4751" s="5" t="inlineStr">
        <is>
          <t>EM000365</t>
        </is>
      </c>
      <c r="C4751" s="5" t="inlineStr">
        <is>
          <t>LUCIANA OLIVEIRA COSTA LOREDO</t>
        </is>
      </c>
      <c r="D4751" s="5" t="inlineStr">
        <is>
          <t>AB</t>
        </is>
      </c>
      <c r="E4751" s="5" t="n">
        <v>1100021811</v>
      </c>
      <c r="F4751" s="5" t="inlineStr">
        <is>
          <t>CC 08.2026</t>
        </is>
      </c>
      <c r="G4751" s="5" t="inlineStr">
        <is>
          <t>BRL</t>
        </is>
      </c>
      <c r="H4751" s="9" t="n">
        <v>2276.85</v>
      </c>
      <c r="I4751" s="16" t="n">
        <v>46260</v>
      </c>
      <c r="J4751" s="16" t="n">
        <v>46260</v>
      </c>
      <c r="K4751" s="5" t="inlineStr">
        <is>
          <t>Partida individual LUCIANA OLIVEIRA COSTA LOREDO C</t>
        </is>
      </c>
      <c r="L4751" s="5" t="n"/>
      <c r="M4751" s="5">
        <f>IF(YEAR(I4751)&lt;=2020,"Até 2020",TEXT(YEAR(I4751),"0"))</f>
        <v/>
      </c>
      <c r="N4751" s="5">
        <f>IFERROR(INDEX(DePara!$A:$A,MATCH(TEXT(B4751,"0"),DePara!$D:$D,0)),"(sem categoria)")</f>
        <v/>
      </c>
      <c r="O4751" s="5">
        <f>IF(J4751="","",Parametros!$B$6-J4751)</f>
        <v/>
      </c>
      <c r="P4751" s="5">
        <f>IF(O4751="","",IF(O4751&gt;0,1,0))</f>
        <v/>
      </c>
    </row>
    <row r="4752">
      <c r="A4752" s="5" t="n">
        <v>1117730000</v>
      </c>
      <c r="B4752" s="5" t="inlineStr">
        <is>
          <t>EM000005</t>
        </is>
      </c>
      <c r="C4752" s="5" t="inlineStr">
        <is>
          <t>LUIZ SAVIO DE CAMPOS SIQUEIRA</t>
        </is>
      </c>
      <c r="D4752" s="5" t="inlineStr">
        <is>
          <t>AB</t>
        </is>
      </c>
      <c r="E4752" s="5" t="n">
        <v>1100021811</v>
      </c>
      <c r="F4752" s="5" t="inlineStr">
        <is>
          <t>CC 08.2026</t>
        </is>
      </c>
      <c r="G4752" s="5" t="inlineStr">
        <is>
          <t>BRL</t>
        </is>
      </c>
      <c r="H4752" s="9" t="n">
        <v>789.79</v>
      </c>
      <c r="I4752" s="16" t="n">
        <v>46260</v>
      </c>
      <c r="J4752" s="16" t="n">
        <v>46260</v>
      </c>
      <c r="K4752" s="5" t="inlineStr">
        <is>
          <t>Partida individual LUIZ SAVIO DE CAMPOS SIQUEIRA C</t>
        </is>
      </c>
      <c r="L4752" s="5" t="n"/>
      <c r="M4752" s="5">
        <f>IF(YEAR(I4752)&lt;=2020,"Até 2020",TEXT(YEAR(I4752),"0"))</f>
        <v/>
      </c>
      <c r="N4752" s="5">
        <f>IFERROR(INDEX(DePara!$A:$A,MATCH(TEXT(B4752,"0"),DePara!$D:$D,0)),"(sem categoria)")</f>
        <v/>
      </c>
      <c r="O4752" s="5">
        <f>IF(J4752="","",Parametros!$B$6-J4752)</f>
        <v/>
      </c>
      <c r="P4752" s="5">
        <f>IF(O4752="","",IF(O4752&gt;0,1,0))</f>
        <v/>
      </c>
    </row>
    <row r="4753">
      <c r="A4753" s="5" t="n">
        <v>1117730000</v>
      </c>
      <c r="B4753" s="5" t="inlineStr">
        <is>
          <t>EM000027</t>
        </is>
      </c>
      <c r="C4753" s="5" t="inlineStr">
        <is>
          <t>RAFAEL AUGUSTO DA SILVA GOULARTE</t>
        </is>
      </c>
      <c r="D4753" s="5" t="inlineStr">
        <is>
          <t>AB</t>
        </is>
      </c>
      <c r="E4753" s="5" t="n">
        <v>1100021811</v>
      </c>
      <c r="F4753" s="5" t="inlineStr">
        <is>
          <t>CC 08.2026</t>
        </is>
      </c>
      <c r="G4753" s="5" t="inlineStr">
        <is>
          <t>BRL</t>
        </is>
      </c>
      <c r="H4753" s="9" t="n">
        <v>4283.63</v>
      </c>
      <c r="I4753" s="16" t="n">
        <v>46260</v>
      </c>
      <c r="J4753" s="16" t="n">
        <v>46260</v>
      </c>
      <c r="K4753" s="5" t="inlineStr">
        <is>
          <t>Partida individual RAFAEL AUGUSTO DA SILVA GOULART</t>
        </is>
      </c>
      <c r="L4753" s="5" t="n"/>
      <c r="M4753" s="5">
        <f>IF(YEAR(I4753)&lt;=2020,"Até 2020",TEXT(YEAR(I4753),"0"))</f>
        <v/>
      </c>
      <c r="N4753" s="5">
        <f>IFERROR(INDEX(DePara!$A:$A,MATCH(TEXT(B4753,"0"),DePara!$D:$D,0)),"(sem categoria)")</f>
        <v/>
      </c>
      <c r="O4753" s="5">
        <f>IF(J4753="","",Parametros!$B$6-J4753)</f>
        <v/>
      </c>
      <c r="P4753" s="5">
        <f>IF(O4753="","",IF(O4753&gt;0,1,0))</f>
        <v/>
      </c>
    </row>
    <row r="4754">
      <c r="A4754" s="5" t="n">
        <v>1117730000</v>
      </c>
      <c r="B4754" s="5" t="inlineStr">
        <is>
          <t>EM000029</t>
        </is>
      </c>
      <c r="C4754" s="5" t="inlineStr">
        <is>
          <t>RENATO BRUNO LIMA DE FARIAS</t>
        </is>
      </c>
      <c r="D4754" s="5" t="inlineStr">
        <is>
          <t>AB</t>
        </is>
      </c>
      <c r="E4754" s="5" t="n">
        <v>1100021811</v>
      </c>
      <c r="F4754" s="5" t="inlineStr">
        <is>
          <t>CC 08.2026</t>
        </is>
      </c>
      <c r="G4754" s="5" t="inlineStr">
        <is>
          <t>BRL</t>
        </is>
      </c>
      <c r="H4754" s="9" t="n">
        <v>2626.33</v>
      </c>
      <c r="I4754" s="16" t="n">
        <v>46260</v>
      </c>
      <c r="J4754" s="16" t="n">
        <v>46260</v>
      </c>
      <c r="K4754" s="5" t="inlineStr">
        <is>
          <t>Partida individual RENATO BRUNO LIMA DE FARIAS CC</t>
        </is>
      </c>
      <c r="L4754" s="5" t="n"/>
      <c r="M4754" s="5">
        <f>IF(YEAR(I4754)&lt;=2020,"Até 2020",TEXT(YEAR(I4754),"0"))</f>
        <v/>
      </c>
      <c r="N4754" s="5">
        <f>IFERROR(INDEX(DePara!$A:$A,MATCH(TEXT(B4754,"0"),DePara!$D:$D,0)),"(sem categoria)")</f>
        <v/>
      </c>
      <c r="O4754" s="5">
        <f>IF(J4754="","",Parametros!$B$6-J4754)</f>
        <v/>
      </c>
      <c r="P4754" s="5">
        <f>IF(O4754="","",IF(O4754&gt;0,1,0))</f>
        <v/>
      </c>
    </row>
    <row r="4755">
      <c r="A4755" s="5" t="n">
        <v>1117730000</v>
      </c>
      <c r="B4755" s="5" t="inlineStr">
        <is>
          <t>EM000125</t>
        </is>
      </c>
      <c r="C4755" s="5" t="inlineStr">
        <is>
          <t>RODRIGO RAFAEL LIMA DE FARIAS</t>
        </is>
      </c>
      <c r="D4755" s="5" t="inlineStr">
        <is>
          <t>AB</t>
        </is>
      </c>
      <c r="E4755" s="5" t="n">
        <v>1100021811</v>
      </c>
      <c r="F4755" s="5" t="inlineStr">
        <is>
          <t>CC 08.2026</t>
        </is>
      </c>
      <c r="G4755" s="5" t="inlineStr">
        <is>
          <t>BRL</t>
        </is>
      </c>
      <c r="H4755" s="9" t="n">
        <v>861.5</v>
      </c>
      <c r="I4755" s="16" t="n">
        <v>46260</v>
      </c>
      <c r="J4755" s="16" t="n">
        <v>46260</v>
      </c>
      <c r="K4755" s="5" t="inlineStr">
        <is>
          <t>Partida individual RODRIGO RAFAEL LIMA DE FARIAS C</t>
        </is>
      </c>
      <c r="L4755" s="5" t="n"/>
      <c r="M4755" s="5">
        <f>IF(YEAR(I4755)&lt;=2020,"Até 2020",TEXT(YEAR(I4755),"0"))</f>
        <v/>
      </c>
      <c r="N4755" s="5">
        <f>IFERROR(INDEX(DePara!$A:$A,MATCH(TEXT(B4755,"0"),DePara!$D:$D,0)),"(sem categoria)")</f>
        <v/>
      </c>
      <c r="O4755" s="5">
        <f>IF(J4755="","",Parametros!$B$6-J4755)</f>
        <v/>
      </c>
      <c r="P4755" s="5">
        <f>IF(O4755="","",IF(O4755&gt;0,1,0))</f>
        <v/>
      </c>
    </row>
    <row r="4756">
      <c r="A4756" s="5" t="n">
        <v>1117730000</v>
      </c>
      <c r="B4756" s="5" t="inlineStr">
        <is>
          <t>EM000296</t>
        </is>
      </c>
      <c r="C4756" s="5" t="inlineStr">
        <is>
          <t>ROBERTISON JOSE DE BRITO</t>
        </is>
      </c>
      <c r="D4756" s="5" t="inlineStr">
        <is>
          <t>AB</t>
        </is>
      </c>
      <c r="E4756" s="5" t="n">
        <v>1100021811</v>
      </c>
      <c r="F4756" s="5" t="inlineStr">
        <is>
          <t>CC 08.2026</t>
        </is>
      </c>
      <c r="G4756" s="5" t="inlineStr">
        <is>
          <t>BRL</t>
        </is>
      </c>
      <c r="H4756" s="9" t="n">
        <v>5970.13</v>
      </c>
      <c r="I4756" s="16" t="n">
        <v>46260</v>
      </c>
      <c r="J4756" s="16" t="n">
        <v>46260</v>
      </c>
      <c r="K4756" s="5" t="inlineStr">
        <is>
          <t>Partida individual ROBERTISON JOSE DE BRITO CC 08.</t>
        </is>
      </c>
      <c r="L4756" s="5" t="n"/>
      <c r="M4756" s="5">
        <f>IF(YEAR(I4756)&lt;=2020,"Até 2020",TEXT(YEAR(I4756),"0"))</f>
        <v/>
      </c>
      <c r="N4756" s="5">
        <f>IFERROR(INDEX(DePara!$A:$A,MATCH(TEXT(B4756,"0"),DePara!$D:$D,0)),"(sem categoria)")</f>
        <v/>
      </c>
      <c r="O4756" s="5">
        <f>IF(J4756="","",Parametros!$B$6-J4756)</f>
        <v/>
      </c>
      <c r="P4756" s="5">
        <f>IF(O4756="","",IF(O4756&gt;0,1,0))</f>
        <v/>
      </c>
    </row>
    <row r="4757">
      <c r="A4757" s="5" t="n">
        <v>1117730000</v>
      </c>
      <c r="B4757" s="5" t="inlineStr">
        <is>
          <t>EM000080</t>
        </is>
      </c>
      <c r="C4757" s="5" t="inlineStr">
        <is>
          <t>SAIRON DOS SANTOS BASTOS</t>
        </is>
      </c>
      <c r="D4757" s="5" t="inlineStr">
        <is>
          <t>AB</t>
        </is>
      </c>
      <c r="E4757" s="5" t="n">
        <v>1100021811</v>
      </c>
      <c r="F4757" s="5" t="inlineStr">
        <is>
          <t>CC 08.2026</t>
        </is>
      </c>
      <c r="G4757" s="5" t="inlineStr">
        <is>
          <t>BRL</t>
        </is>
      </c>
      <c r="H4757" s="9" t="n">
        <v>13.2</v>
      </c>
      <c r="I4757" s="16" t="n">
        <v>46260</v>
      </c>
      <c r="J4757" s="16" t="n">
        <v>46260</v>
      </c>
      <c r="K4757" s="5" t="inlineStr">
        <is>
          <t>Partida individual SAIRON DOS SANTOS BASTOS CC 08.</t>
        </is>
      </c>
      <c r="L4757" s="5" t="n"/>
      <c r="M4757" s="5">
        <f>IF(YEAR(I4757)&lt;=2020,"Até 2020",TEXT(YEAR(I4757),"0"))</f>
        <v/>
      </c>
      <c r="N4757" s="5">
        <f>IFERROR(INDEX(DePara!$A:$A,MATCH(TEXT(B4757,"0"),DePara!$D:$D,0)),"(sem categoria)")</f>
        <v/>
      </c>
      <c r="O4757" s="5">
        <f>IF(J4757="","",Parametros!$B$6-J4757)</f>
        <v/>
      </c>
      <c r="P4757" s="5">
        <f>IF(O4757="","",IF(O4757&gt;0,1,0))</f>
        <v/>
      </c>
    </row>
    <row r="4758">
      <c r="A4758" s="5" t="n">
        <v>1117730000</v>
      </c>
      <c r="B4758" s="5" t="inlineStr">
        <is>
          <t>EM000281</t>
        </is>
      </c>
      <c r="C4758" s="5" t="inlineStr">
        <is>
          <t>VANESSA REGINA DE CAMARGO</t>
        </is>
      </c>
      <c r="D4758" s="5" t="inlineStr">
        <is>
          <t>AB</t>
        </is>
      </c>
      <c r="E4758" s="5" t="n">
        <v>1100021811</v>
      </c>
      <c r="F4758" s="5" t="inlineStr">
        <is>
          <t>CC 08.2026</t>
        </is>
      </c>
      <c r="G4758" s="5" t="inlineStr">
        <is>
          <t>BRL</t>
        </is>
      </c>
      <c r="H4758" s="9" t="n">
        <v>615.1</v>
      </c>
      <c r="I4758" s="16" t="n">
        <v>46260</v>
      </c>
      <c r="J4758" s="16" t="n">
        <v>46260</v>
      </c>
      <c r="K4758" s="5" t="inlineStr">
        <is>
          <t>Partida individual VANESSA REGINA DE CAMARGO CC 08</t>
        </is>
      </c>
      <c r="L4758" s="5" t="n"/>
      <c r="M4758" s="5">
        <f>IF(YEAR(I4758)&lt;=2020,"Até 2020",TEXT(YEAR(I4758),"0"))</f>
        <v/>
      </c>
      <c r="N4758" s="5">
        <f>IFERROR(INDEX(DePara!$A:$A,MATCH(TEXT(B4758,"0"),DePara!$D:$D,0)),"(sem categoria)")</f>
        <v/>
      </c>
      <c r="O4758" s="5">
        <f>IF(J4758="","",Parametros!$B$6-J4758)</f>
        <v/>
      </c>
      <c r="P4758" s="5">
        <f>IF(O4758="","",IF(O4758&gt;0,1,0))</f>
        <v/>
      </c>
    </row>
    <row r="4759">
      <c r="A4759" s="5" t="n">
        <v>1117730000</v>
      </c>
      <c r="B4759" s="5" t="inlineStr">
        <is>
          <t>EM000326</t>
        </is>
      </c>
      <c r="C4759" s="5" t="inlineStr">
        <is>
          <t>VITOR ARAUJO DOS SANTOS</t>
        </is>
      </c>
      <c r="D4759" s="5" t="inlineStr">
        <is>
          <t>AB</t>
        </is>
      </c>
      <c r="E4759" s="5" t="n">
        <v>1100021811</v>
      </c>
      <c r="F4759" s="5" t="inlineStr">
        <is>
          <t>CC 08.2026</t>
        </is>
      </c>
      <c r="G4759" s="5" t="inlineStr">
        <is>
          <t>BRL</t>
        </is>
      </c>
      <c r="H4759" s="9" t="n">
        <v>5161.4</v>
      </c>
      <c r="I4759" s="16" t="n">
        <v>46260</v>
      </c>
      <c r="J4759" s="16" t="n">
        <v>46260</v>
      </c>
      <c r="K4759" s="5" t="inlineStr">
        <is>
          <t>Partida individual VITOR ARAUJO DOS SANTOS CC 08.2</t>
        </is>
      </c>
      <c r="L4759" s="5" t="n"/>
      <c r="M4759" s="5">
        <f>IF(YEAR(I4759)&lt;=2020,"Até 2020",TEXT(YEAR(I4759),"0"))</f>
        <v/>
      </c>
      <c r="N4759" s="5">
        <f>IFERROR(INDEX(DePara!$A:$A,MATCH(TEXT(B4759,"0"),DePara!$D:$D,0)),"(sem categoria)")</f>
        <v/>
      </c>
      <c r="O4759" s="5">
        <f>IF(J4759="","",Parametros!$B$6-J4759)</f>
        <v/>
      </c>
      <c r="P4759" s="5">
        <f>IF(O4759="","",IF(O4759&gt;0,1,0))</f>
        <v/>
      </c>
    </row>
    <row r="4760">
      <c r="A4760" s="5" t="n">
        <v>1117730000</v>
      </c>
      <c r="B4760" s="5" t="inlineStr">
        <is>
          <t>EM000058</t>
        </is>
      </c>
      <c r="C4760" s="5" t="inlineStr">
        <is>
          <t>VITOR DE CASTRO SANTOS</t>
        </is>
      </c>
      <c r="D4760" s="5" t="inlineStr">
        <is>
          <t>AB</t>
        </is>
      </c>
      <c r="E4760" s="5" t="n">
        <v>1100021811</v>
      </c>
      <c r="F4760" s="5" t="inlineStr">
        <is>
          <t>CC 08.2026</t>
        </is>
      </c>
      <c r="G4760" s="5" t="inlineStr">
        <is>
          <t>BRL</t>
        </is>
      </c>
      <c r="H4760" s="9" t="n">
        <v>3993.2</v>
      </c>
      <c r="I4760" s="16" t="n">
        <v>46260</v>
      </c>
      <c r="J4760" s="16" t="n">
        <v>46260</v>
      </c>
      <c r="K4760" s="5" t="inlineStr">
        <is>
          <t>Partida individual VITOR DE CASTRO SANTOS CC 08.20</t>
        </is>
      </c>
      <c r="L4760" s="5" t="n"/>
      <c r="M4760" s="5">
        <f>IF(YEAR(I4760)&lt;=2020,"Até 2020",TEXT(YEAR(I4760),"0"))</f>
        <v/>
      </c>
      <c r="N4760" s="5">
        <f>IFERROR(INDEX(DePara!$A:$A,MATCH(TEXT(B4760,"0"),DePara!$D:$D,0)),"(sem categoria)")</f>
        <v/>
      </c>
      <c r="O4760" s="5">
        <f>IF(J4760="","",Parametros!$B$6-J4760)</f>
        <v/>
      </c>
      <c r="P4760" s="5">
        <f>IF(O4760="","",IF(O4760&gt;0,1,0))</f>
        <v/>
      </c>
    </row>
    <row r="4761">
      <c r="A4761" s="5" t="n">
        <v>1117730000</v>
      </c>
      <c r="B4761" s="5" t="inlineStr">
        <is>
          <t>EM000394</t>
        </is>
      </c>
      <c r="C4761" s="5" t="inlineStr">
        <is>
          <t>WAGNER DELLA FLORA GROSS</t>
        </is>
      </c>
      <c r="D4761" s="5" t="inlineStr">
        <is>
          <t>AB</t>
        </is>
      </c>
      <c r="E4761" s="5" t="n">
        <v>1100021811</v>
      </c>
      <c r="F4761" s="5" t="inlineStr">
        <is>
          <t>CC 08.2026</t>
        </is>
      </c>
      <c r="G4761" s="5" t="inlineStr">
        <is>
          <t>BRL</t>
        </is>
      </c>
      <c r="H4761" s="9" t="n">
        <v>1375.77</v>
      </c>
      <c r="I4761" s="16" t="n">
        <v>46260</v>
      </c>
      <c r="J4761" s="16" t="n">
        <v>46260</v>
      </c>
      <c r="K4761" s="5" t="inlineStr">
        <is>
          <t>Partida individual WAGNER DELLA FLORA GROSS CC 08.</t>
        </is>
      </c>
      <c r="L4761" s="5" t="n"/>
      <c r="M4761" s="5">
        <f>IF(YEAR(I4761)&lt;=2020,"Até 2020",TEXT(YEAR(I4761),"0"))</f>
        <v/>
      </c>
      <c r="N4761" s="5">
        <f>IFERROR(INDEX(DePara!$A:$A,MATCH(TEXT(B4761,"0"),DePara!$D:$D,0)),"(sem categoria)")</f>
        <v/>
      </c>
      <c r="O4761" s="5">
        <f>IF(J4761="","",Parametros!$B$6-J4761)</f>
        <v/>
      </c>
      <c r="P4761" s="5">
        <f>IF(O4761="","",IF(O4761&gt;0,1,0))</f>
        <v/>
      </c>
    </row>
    <row r="4762">
      <c r="A4762" s="5" t="n">
        <v>1117730000</v>
      </c>
      <c r="B4762" s="5" t="inlineStr">
        <is>
          <t>EM000034</t>
        </is>
      </c>
      <c r="C4762" s="5" t="inlineStr">
        <is>
          <t>WALLYSON HENRIQUE VIEIRA GALDINO</t>
        </is>
      </c>
      <c r="D4762" s="5" t="inlineStr">
        <is>
          <t>AB</t>
        </is>
      </c>
      <c r="E4762" s="5" t="n">
        <v>1100021811</v>
      </c>
      <c r="F4762" s="5" t="inlineStr">
        <is>
          <t>CC 08.2026</t>
        </is>
      </c>
      <c r="G4762" s="5" t="inlineStr">
        <is>
          <t>BRL</t>
        </is>
      </c>
      <c r="H4762" s="9" t="n">
        <v>1751.31</v>
      </c>
      <c r="I4762" s="16" t="n">
        <v>46260</v>
      </c>
      <c r="J4762" s="16" t="n">
        <v>46260</v>
      </c>
      <c r="K4762" s="5" t="inlineStr">
        <is>
          <t>Partida individual WALLYSON HENRIQUE VIEIRA GALDIN</t>
        </is>
      </c>
      <c r="L4762" s="5" t="n"/>
      <c r="M4762" s="5">
        <f>IF(YEAR(I4762)&lt;=2020,"Até 2020",TEXT(YEAR(I4762),"0"))</f>
        <v/>
      </c>
      <c r="N4762" s="5">
        <f>IFERROR(INDEX(DePara!$A:$A,MATCH(TEXT(B4762,"0"),DePara!$D:$D,0)),"(sem categoria)")</f>
        <v/>
      </c>
      <c r="O4762" s="5">
        <f>IF(J4762="","",Parametros!$B$6-J4762)</f>
        <v/>
      </c>
      <c r="P4762" s="5">
        <f>IF(O4762="","",IF(O4762&gt;0,1,0))</f>
        <v/>
      </c>
    </row>
    <row r="4763">
      <c r="A4763" s="5" t="n">
        <v>1117730000</v>
      </c>
      <c r="B4763" s="5" t="inlineStr">
        <is>
          <t>EM000324</t>
        </is>
      </c>
      <c r="C4763" s="5" t="inlineStr">
        <is>
          <t>LUIZ EDUARDO PEREIRA DA SILVA</t>
        </is>
      </c>
      <c r="D4763" s="5" t="inlineStr">
        <is>
          <t>AB</t>
        </is>
      </c>
      <c r="E4763" s="5" t="n">
        <v>1100021813</v>
      </c>
      <c r="F4763" s="5" t="inlineStr">
        <is>
          <t>DEV. CC 08.26</t>
        </is>
      </c>
      <c r="G4763" s="5" t="inlineStr">
        <is>
          <t>BRL</t>
        </is>
      </c>
      <c r="H4763" s="9" t="n">
        <v>2423.25</v>
      </c>
      <c r="I4763" s="16" t="n">
        <v>46248</v>
      </c>
      <c r="J4763" s="16" t="n">
        <v>46260</v>
      </c>
      <c r="K4763" s="5" t="inlineStr">
        <is>
          <t>Partida individual LUIZ EDUARDO PEREIRA DA SILVA D</t>
        </is>
      </c>
      <c r="L4763" s="5" t="n"/>
      <c r="M4763" s="5">
        <f>IF(YEAR(I4763)&lt;=2020,"Até 2020",TEXT(YEAR(I4763),"0"))</f>
        <v/>
      </c>
      <c r="N4763" s="5">
        <f>IFERROR(INDEX(DePara!$A:$A,MATCH(TEXT(B4763,"0"),DePara!$D:$D,0)),"(sem categoria)")</f>
        <v/>
      </c>
      <c r="O4763" s="5">
        <f>IF(J4763="","",Parametros!$B$6-J4763)</f>
        <v/>
      </c>
      <c r="P4763" s="5">
        <f>IF(O4763="","",IF(O4763&gt;0,1,0))</f>
        <v/>
      </c>
    </row>
    <row r="4764">
      <c r="A4764" s="5" t="n">
        <v>1117730000</v>
      </c>
      <c r="B4764" s="5" t="inlineStr">
        <is>
          <t>EM000043</t>
        </is>
      </c>
      <c r="C4764" s="5" t="inlineStr">
        <is>
          <t>JOAO BATISTA DA COSTA CARDOSO</t>
        </is>
      </c>
      <c r="D4764" s="5" t="inlineStr">
        <is>
          <t>AB</t>
        </is>
      </c>
      <c r="E4764" s="5" t="n">
        <v>1100023366</v>
      </c>
      <c r="F4764" s="5" t="inlineStr">
        <is>
          <t>14467</t>
        </is>
      </c>
      <c r="G4764" s="5" t="inlineStr">
        <is>
          <t>BRL</t>
        </is>
      </c>
      <c r="H4764" s="9" t="n">
        <v>99.23</v>
      </c>
      <c r="I4764" s="16" t="n">
        <v>45761</v>
      </c>
      <c r="J4764" s="16" t="n">
        <v>45761</v>
      </c>
      <c r="K4764" s="5" t="inlineStr">
        <is>
          <t>Partida individual JOAO BATISTA DA COSTA CARDOSO 1</t>
        </is>
      </c>
      <c r="L4764" s="5" t="n"/>
      <c r="M4764" s="5">
        <f>IF(YEAR(I4764)&lt;=2020,"Até 2020",TEXT(YEAR(I4764),"0"))</f>
        <v/>
      </c>
      <c r="N4764" s="5">
        <f>IFERROR(INDEX(DePara!$A:$A,MATCH(TEXT(B4764,"0"),DePara!$D:$D,0)),"(sem categoria)")</f>
        <v/>
      </c>
      <c r="O4764" s="5">
        <f>IF(J4764="","",Parametros!$B$6-J4764)</f>
        <v/>
      </c>
      <c r="P4764" s="5">
        <f>IF(O4764="","",IF(O4764&gt;0,1,0))</f>
        <v/>
      </c>
    </row>
    <row r="4765">
      <c r="A4765" s="5" t="n">
        <v>1117730000</v>
      </c>
      <c r="B4765" s="5" t="inlineStr">
        <is>
          <t>EM000279</t>
        </is>
      </c>
      <c r="C4765" s="5" t="inlineStr">
        <is>
          <t>HOSAIAS VIEIRA CHAVES</t>
        </is>
      </c>
      <c r="D4765" s="5" t="inlineStr">
        <is>
          <t>AB</t>
        </is>
      </c>
      <c r="E4765" s="5" t="n">
        <v>1100023376</v>
      </c>
      <c r="F4765" s="5" t="inlineStr">
        <is>
          <t>27414</t>
        </is>
      </c>
      <c r="G4765" s="5" t="inlineStr">
        <is>
          <t>BRL</t>
        </is>
      </c>
      <c r="H4765" s="9" t="n">
        <v>3120.86</v>
      </c>
      <c r="I4765" s="16" t="n">
        <v>45761</v>
      </c>
      <c r="J4765" s="16" t="n">
        <v>45761</v>
      </c>
      <c r="K4765" s="5" t="inlineStr">
        <is>
          <t>Partida individual HOSAIAS VIEIRA CHAVES 27414</t>
        </is>
      </c>
      <c r="L4765" s="5" t="n"/>
      <c r="M4765" s="5">
        <f>IF(YEAR(I4765)&lt;=2020,"Até 2020",TEXT(YEAR(I4765),"0"))</f>
        <v/>
      </c>
      <c r="N4765" s="5">
        <f>IFERROR(INDEX(DePara!$A:$A,MATCH(TEXT(B4765,"0"),DePara!$D:$D,0)),"(sem categoria)")</f>
        <v/>
      </c>
      <c r="O4765" s="5">
        <f>IF(J4765="","",Parametros!$B$6-J4765)</f>
        <v/>
      </c>
      <c r="P4765" s="5">
        <f>IF(O4765="","",IF(O4765&gt;0,1,0))</f>
        <v/>
      </c>
    </row>
    <row r="4766">
      <c r="A4766" s="5" t="n">
        <v>1117730000</v>
      </c>
      <c r="B4766" s="5" t="inlineStr">
        <is>
          <t>EM000024</t>
        </is>
      </c>
      <c r="C4766" s="5" t="inlineStr">
        <is>
          <t>GUILLERMO ROSSI</t>
        </is>
      </c>
      <c r="D4766" s="5" t="inlineStr">
        <is>
          <t>AB</t>
        </is>
      </c>
      <c r="E4766" s="5" t="n">
        <v>1100026419</v>
      </c>
      <c r="F4766" s="5" t="inlineStr">
        <is>
          <t>CC 03.2024</t>
        </is>
      </c>
      <c r="G4766" s="5" t="inlineStr">
        <is>
          <t>BRL</t>
        </is>
      </c>
      <c r="H4766" s="9" t="n">
        <v>1827.23</v>
      </c>
      <c r="I4766" s="16" t="n">
        <v>45748</v>
      </c>
      <c r="J4766" s="16" t="n">
        <v>45748</v>
      </c>
      <c r="K4766" s="5" t="inlineStr">
        <is>
          <t>Partida individual GUILLERMO ROSSI CC 03.2024</t>
        </is>
      </c>
      <c r="L4766" s="5" t="n"/>
      <c r="M4766" s="5">
        <f>IF(YEAR(I4766)&lt;=2020,"Até 2020",TEXT(YEAR(I4766),"0"))</f>
        <v/>
      </c>
      <c r="N4766" s="5">
        <f>IFERROR(INDEX(DePara!$A:$A,MATCH(TEXT(B4766,"0"),DePara!$D:$D,0)),"(sem categoria)")</f>
        <v/>
      </c>
      <c r="O4766" s="5">
        <f>IF(J4766="","",Parametros!$B$6-J4766)</f>
        <v/>
      </c>
      <c r="P4766" s="5">
        <f>IF(O4766="","",IF(O4766&gt;0,1,0))</f>
        <v/>
      </c>
    </row>
    <row r="4767">
      <c r="A4767" s="5" t="n">
        <v>1117730000</v>
      </c>
      <c r="B4767" s="5" t="inlineStr">
        <is>
          <t>EM000296</t>
        </is>
      </c>
      <c r="C4767" s="5" t="inlineStr">
        <is>
          <t>ROBERTISON JOSE DE BRITO</t>
        </is>
      </c>
      <c r="D4767" s="5" t="inlineStr">
        <is>
          <t>AB</t>
        </is>
      </c>
      <c r="E4767" s="5" t="n">
        <v>1100026438</v>
      </c>
      <c r="F4767" s="5" t="inlineStr">
        <is>
          <t>CC 01.2024</t>
        </is>
      </c>
      <c r="G4767" s="5" t="inlineStr">
        <is>
          <t>BRL</t>
        </is>
      </c>
      <c r="H4767" s="9" t="n">
        <v>1388.5</v>
      </c>
      <c r="I4767" s="16" t="n">
        <v>45748</v>
      </c>
      <c r="J4767" s="16" t="n">
        <v>45748</v>
      </c>
      <c r="K4767" s="5" t="inlineStr">
        <is>
          <t>Partida individual ROBERTISON JOSE DE BRITO CC 01.</t>
        </is>
      </c>
      <c r="L4767" s="5" t="n"/>
      <c r="M4767" s="5">
        <f>IF(YEAR(I4767)&lt;=2020,"Até 2020",TEXT(YEAR(I4767),"0"))</f>
        <v/>
      </c>
      <c r="N4767" s="5">
        <f>IFERROR(INDEX(DePara!$A:$A,MATCH(TEXT(B4767,"0"),DePara!$D:$D,0)),"(sem categoria)")</f>
        <v/>
      </c>
      <c r="O4767" s="5">
        <f>IF(J4767="","",Parametros!$B$6-J4767)</f>
        <v/>
      </c>
      <c r="P4767" s="5">
        <f>IF(O4767="","",IF(O4767&gt;0,1,0))</f>
        <v/>
      </c>
    </row>
    <row r="4768">
      <c r="A4768" s="5" t="n">
        <v>1117730000</v>
      </c>
      <c r="B4768" s="5" t="inlineStr">
        <is>
          <t>EM000080</t>
        </is>
      </c>
      <c r="C4768" s="5" t="inlineStr">
        <is>
          <t>SAIRON DOS SANTOS BASTOS</t>
        </is>
      </c>
      <c r="D4768" s="5" t="inlineStr">
        <is>
          <t>AB</t>
        </is>
      </c>
      <c r="E4768" s="5" t="n">
        <v>1100026439</v>
      </c>
      <c r="F4768" s="5" t="inlineStr">
        <is>
          <t>CC 06.2024</t>
        </is>
      </c>
      <c r="G4768" s="5" t="inlineStr">
        <is>
          <t>BRL</t>
        </is>
      </c>
      <c r="H4768" s="9" t="n">
        <v>942.65</v>
      </c>
      <c r="I4768" s="16" t="n">
        <v>45748</v>
      </c>
      <c r="J4768" s="16" t="n">
        <v>45748</v>
      </c>
      <c r="K4768" s="5" t="inlineStr">
        <is>
          <t>Partida individual SAIRON DOS SANTOS BASTOS CC 06.</t>
        </is>
      </c>
      <c r="L4768" s="5" t="n"/>
      <c r="M4768" s="5">
        <f>IF(YEAR(I4768)&lt;=2020,"Até 2020",TEXT(YEAR(I4768),"0"))</f>
        <v/>
      </c>
      <c r="N4768" s="5">
        <f>IFERROR(INDEX(DePara!$A:$A,MATCH(TEXT(B4768,"0"),DePara!$D:$D,0)),"(sem categoria)")</f>
        <v/>
      </c>
      <c r="O4768" s="5">
        <f>IF(J4768="","",Parametros!$B$6-J4768)</f>
        <v/>
      </c>
      <c r="P4768" s="5">
        <f>IF(O4768="","",IF(O4768&gt;0,1,0))</f>
        <v/>
      </c>
    </row>
    <row r="4769">
      <c r="A4769" s="5" t="n">
        <v>1117730000</v>
      </c>
      <c r="B4769" s="5" t="inlineStr">
        <is>
          <t>EM000080</t>
        </is>
      </c>
      <c r="C4769" s="5" t="inlineStr">
        <is>
          <t>SAIRON DOS SANTOS BASTOS</t>
        </is>
      </c>
      <c r="D4769" s="5" t="inlineStr">
        <is>
          <t>AB</t>
        </is>
      </c>
      <c r="E4769" s="5" t="n">
        <v>1100026459</v>
      </c>
      <c r="F4769" s="5" t="inlineStr">
        <is>
          <t>CC 09.2024</t>
        </is>
      </c>
      <c r="G4769" s="5" t="inlineStr">
        <is>
          <t>BRL</t>
        </is>
      </c>
      <c r="H4769" s="9" t="n">
        <v>30.2</v>
      </c>
      <c r="I4769" s="16" t="n">
        <v>45748</v>
      </c>
      <c r="J4769" s="16" t="n">
        <v>45748</v>
      </c>
      <c r="K4769" s="5" t="inlineStr">
        <is>
          <t>Partida individual SAIRON DOS SANTOS BASTOS CC 09.</t>
        </is>
      </c>
      <c r="L4769" s="5" t="n"/>
      <c r="M4769" s="5">
        <f>IF(YEAR(I4769)&lt;=2020,"Até 2020",TEXT(YEAR(I4769),"0"))</f>
        <v/>
      </c>
      <c r="N4769" s="5">
        <f>IFERROR(INDEX(DePara!$A:$A,MATCH(TEXT(B4769,"0"),DePara!$D:$D,0)),"(sem categoria)")</f>
        <v/>
      </c>
      <c r="O4769" s="5">
        <f>IF(J4769="","",Parametros!$B$6-J4769)</f>
        <v/>
      </c>
      <c r="P4769" s="5">
        <f>IF(O4769="","",IF(O4769&gt;0,1,0))</f>
        <v/>
      </c>
    </row>
    <row r="4770">
      <c r="A4770" s="5" t="n">
        <v>1117730000</v>
      </c>
      <c r="B4770" s="5" t="inlineStr">
        <is>
          <t>EM000024</t>
        </is>
      </c>
      <c r="C4770" s="5" t="inlineStr">
        <is>
          <t>GUILLERMO ROSSI</t>
        </is>
      </c>
      <c r="D4770" s="5" t="inlineStr">
        <is>
          <t>AB</t>
        </is>
      </c>
      <c r="E4770" s="5" t="n">
        <v>1100026460</v>
      </c>
      <c r="F4770" s="5" t="inlineStr">
        <is>
          <t>CC 11.2024</t>
        </is>
      </c>
      <c r="G4770" s="5" t="inlineStr">
        <is>
          <t>BRL</t>
        </is>
      </c>
      <c r="H4770" s="9" t="n">
        <v>1785.47</v>
      </c>
      <c r="I4770" s="16" t="n">
        <v>45748</v>
      </c>
      <c r="J4770" s="16" t="n">
        <v>45748</v>
      </c>
      <c r="K4770" s="5" t="inlineStr">
        <is>
          <t>Partida individual GUILLERMO ROSSI CC 11.2024</t>
        </is>
      </c>
      <c r="L4770" s="5" t="n"/>
      <c r="M4770" s="5">
        <f>IF(YEAR(I4770)&lt;=2020,"Até 2020",TEXT(YEAR(I4770),"0"))</f>
        <v/>
      </c>
      <c r="N4770" s="5">
        <f>IFERROR(INDEX(DePara!$A:$A,MATCH(TEXT(B4770,"0"),DePara!$D:$D,0)),"(sem categoria)")</f>
        <v/>
      </c>
      <c r="O4770" s="5">
        <f>IF(J4770="","",Parametros!$B$6-J4770)</f>
        <v/>
      </c>
      <c r="P4770" s="5">
        <f>IF(O4770="","",IF(O4770&gt;0,1,0))</f>
        <v/>
      </c>
    </row>
    <row r="4771">
      <c r="A4771" s="5" t="n">
        <v>1117730000</v>
      </c>
      <c r="B4771" s="5" t="inlineStr">
        <is>
          <t>EM000594</t>
        </is>
      </c>
      <c r="C4771" s="5" t="inlineStr">
        <is>
          <t>WELLINGTON LOPES DOS SANTOS</t>
        </is>
      </c>
      <c r="D4771" s="5" t="inlineStr">
        <is>
          <t>AB</t>
        </is>
      </c>
      <c r="E4771" s="5" t="n">
        <v>1100028678</v>
      </c>
      <c r="F4771" s="5" t="inlineStr">
        <is>
          <t>36908</t>
        </is>
      </c>
      <c r="G4771" s="5" t="inlineStr">
        <is>
          <t>BRL</t>
        </is>
      </c>
      <c r="H4771" s="9" t="n">
        <v>109.88</v>
      </c>
      <c r="I4771" s="16" t="n">
        <v>45803</v>
      </c>
      <c r="J4771" s="16" t="n">
        <v>45758</v>
      </c>
      <c r="K4771" s="5" t="inlineStr">
        <is>
          <t>Partida individual WELLINGTON LOPES DOS SANTOS 369</t>
        </is>
      </c>
      <c r="L4771" s="5" t="inlineStr">
        <is>
          <t>29102025</t>
        </is>
      </c>
      <c r="M4771" s="5">
        <f>IF(YEAR(I4771)&lt;=2020,"Até 2020",TEXT(YEAR(I4771),"0"))</f>
        <v/>
      </c>
      <c r="N4771" s="5">
        <f>IFERROR(INDEX(DePara!$A:$A,MATCH(TEXT(B4771,"0"),DePara!$D:$D,0)),"(sem categoria)")</f>
        <v/>
      </c>
      <c r="O4771" s="5">
        <f>IF(J4771="","",Parametros!$B$6-J4771)</f>
        <v/>
      </c>
      <c r="P4771" s="5">
        <f>IF(O4771="","",IF(O4771&gt;0,1,0))</f>
        <v/>
      </c>
    </row>
    <row r="4772">
      <c r="A4772" s="5" t="n">
        <v>1117730000</v>
      </c>
      <c r="B4772" s="5" t="inlineStr">
        <is>
          <t>EM000005</t>
        </is>
      </c>
      <c r="C4772" s="5" t="inlineStr">
        <is>
          <t>LUIZ SAVIO DE CAMPOS SIQUEIRA</t>
        </is>
      </c>
      <c r="D4772" s="5" t="inlineStr">
        <is>
          <t>AB</t>
        </is>
      </c>
      <c r="E4772" s="5" t="n">
        <v>1100036695</v>
      </c>
      <c r="F4772" s="5" t="inlineStr">
        <is>
          <t>CC 05.2025</t>
        </is>
      </c>
      <c r="G4772" s="5" t="inlineStr">
        <is>
          <t>BRL</t>
        </is>
      </c>
      <c r="H4772" s="9" t="n">
        <v>146.38</v>
      </c>
      <c r="I4772" s="16" t="n">
        <v>45884</v>
      </c>
      <c r="J4772" s="16" t="n">
        <v>45884</v>
      </c>
      <c r="K4772" s="5" t="inlineStr">
        <is>
          <t>Partida individual LUIZ SAVIO DE CAMPOS SIQUEIRA C</t>
        </is>
      </c>
      <c r="L4772" s="5" t="n"/>
      <c r="M4772" s="5">
        <f>IF(YEAR(I4772)&lt;=2020,"Até 2020",TEXT(YEAR(I4772),"0"))</f>
        <v/>
      </c>
      <c r="N4772" s="5">
        <f>IFERROR(INDEX(DePara!$A:$A,MATCH(TEXT(B4772,"0"),DePara!$D:$D,0)),"(sem categoria)")</f>
        <v/>
      </c>
      <c r="O4772" s="5">
        <f>IF(J4772="","",Parametros!$B$6-J4772)</f>
        <v/>
      </c>
      <c r="P4772" s="5">
        <f>IF(O4772="","",IF(O4772&gt;0,1,0))</f>
        <v/>
      </c>
    </row>
    <row r="4773">
      <c r="A4773" s="5" t="n">
        <v>1117730000</v>
      </c>
      <c r="B4773" s="5" t="inlineStr">
        <is>
          <t>EM000005</t>
        </is>
      </c>
      <c r="C4773" s="5" t="inlineStr">
        <is>
          <t>LUIZ SAVIO DE CAMPOS SIQUEIRA</t>
        </is>
      </c>
      <c r="D4773" s="5" t="inlineStr">
        <is>
          <t>AB</t>
        </is>
      </c>
      <c r="E4773" s="5" t="n">
        <v>1100036708</v>
      </c>
      <c r="F4773" s="5" t="inlineStr">
        <is>
          <t>CC 07.2025</t>
        </is>
      </c>
      <c r="G4773" s="5" t="inlineStr">
        <is>
          <t>BRL</t>
        </is>
      </c>
      <c r="H4773" s="9" t="n">
        <v>4297.46</v>
      </c>
      <c r="I4773" s="16" t="n">
        <v>45884</v>
      </c>
      <c r="J4773" s="16" t="n">
        <v>45884</v>
      </c>
      <c r="K4773" s="5" t="inlineStr">
        <is>
          <t>Partida individual LUIZ SAVIO DE CAMPOS SIQUEIRA C</t>
        </is>
      </c>
      <c r="L4773" s="5" t="n"/>
      <c r="M4773" s="5">
        <f>IF(YEAR(I4773)&lt;=2020,"Até 2020",TEXT(YEAR(I4773),"0"))</f>
        <v/>
      </c>
      <c r="N4773" s="5">
        <f>IFERROR(INDEX(DePara!$A:$A,MATCH(TEXT(B4773,"0"),DePara!$D:$D,0)),"(sem categoria)")</f>
        <v/>
      </c>
      <c r="O4773" s="5">
        <f>IF(J4773="","",Parametros!$B$6-J4773)</f>
        <v/>
      </c>
      <c r="P4773" s="5">
        <f>IF(O4773="","",IF(O4773&gt;0,1,0))</f>
        <v/>
      </c>
    </row>
    <row r="4774">
      <c r="A4774" s="5" t="n">
        <v>1117730000</v>
      </c>
      <c r="B4774" s="5" t="inlineStr">
        <is>
          <t>EM000080</t>
        </is>
      </c>
      <c r="C4774" s="5" t="inlineStr">
        <is>
          <t>SAIRON DOS SANTOS BASTOS</t>
        </is>
      </c>
      <c r="D4774" s="5" t="inlineStr">
        <is>
          <t>AB</t>
        </is>
      </c>
      <c r="E4774" s="5" t="n">
        <v>1100036708</v>
      </c>
      <c r="F4774" s="5" t="inlineStr">
        <is>
          <t>CC 07.2025</t>
        </is>
      </c>
      <c r="G4774" s="5" t="inlineStr">
        <is>
          <t>BRL</t>
        </is>
      </c>
      <c r="H4774" s="9" t="n">
        <v>843.11</v>
      </c>
      <c r="I4774" s="16" t="n">
        <v>45884</v>
      </c>
      <c r="J4774" s="16" t="n">
        <v>45884</v>
      </c>
      <c r="K4774" s="5" t="inlineStr">
        <is>
          <t>Partida individual SAIRON DOS SANTOS BASTOS CC 07.</t>
        </is>
      </c>
      <c r="L4774" s="5" t="n"/>
      <c r="M4774" s="5">
        <f>IF(YEAR(I4774)&lt;=2020,"Até 2020",TEXT(YEAR(I4774),"0"))</f>
        <v/>
      </c>
      <c r="N4774" s="5">
        <f>IFERROR(INDEX(DePara!$A:$A,MATCH(TEXT(B4774,"0"),DePara!$D:$D,0)),"(sem categoria)")</f>
        <v/>
      </c>
      <c r="O4774" s="5">
        <f>IF(J4774="","",Parametros!$B$6-J4774)</f>
        <v/>
      </c>
      <c r="P4774" s="5">
        <f>IF(O4774="","",IF(O4774&gt;0,1,0))</f>
        <v/>
      </c>
    </row>
    <row r="4775">
      <c r="A4775" s="5" t="n">
        <v>1117730000</v>
      </c>
      <c r="B4775" s="5" t="inlineStr">
        <is>
          <t>EM000281</t>
        </is>
      </c>
      <c r="C4775" s="5" t="inlineStr">
        <is>
          <t>VANESSA REGINA DE CAMARGO</t>
        </is>
      </c>
      <c r="D4775" s="5" t="inlineStr">
        <is>
          <t>AB</t>
        </is>
      </c>
      <c r="E4775" s="5" t="n">
        <v>1100038674</v>
      </c>
      <c r="F4775" s="5" t="inlineStr">
        <is>
          <t>CC 04.2025</t>
        </is>
      </c>
      <c r="G4775" s="5" t="inlineStr">
        <is>
          <t>BRL</t>
        </is>
      </c>
      <c r="H4775" s="9" t="n">
        <v>1532.58</v>
      </c>
      <c r="I4775" s="16" t="n">
        <v>45895</v>
      </c>
      <c r="J4775" s="16" t="n">
        <v>45895</v>
      </c>
      <c r="K4775" s="5" t="inlineStr">
        <is>
          <t>Partida individual VANESSA REGINA DE CAMARGO CC 04</t>
        </is>
      </c>
      <c r="L4775" s="5" t="n"/>
      <c r="M4775" s="5">
        <f>IF(YEAR(I4775)&lt;=2020,"Até 2020",TEXT(YEAR(I4775),"0"))</f>
        <v/>
      </c>
      <c r="N4775" s="5">
        <f>IFERROR(INDEX(DePara!$A:$A,MATCH(TEXT(B4775,"0"),DePara!$D:$D,0)),"(sem categoria)")</f>
        <v/>
      </c>
      <c r="O4775" s="5">
        <f>IF(J4775="","",Parametros!$B$6-J4775)</f>
        <v/>
      </c>
      <c r="P4775" s="5">
        <f>IF(O4775="","",IF(O4775&gt;0,1,0))</f>
        <v/>
      </c>
    </row>
    <row r="4776">
      <c r="A4776" s="5" t="n">
        <v>1117730000</v>
      </c>
      <c r="B4776" s="5" t="inlineStr">
        <is>
          <t>EM000080</t>
        </is>
      </c>
      <c r="C4776" s="5" t="inlineStr">
        <is>
          <t>SAIRON DOS SANTOS BASTOS</t>
        </is>
      </c>
      <c r="D4776" s="5" t="inlineStr">
        <is>
          <t>AB</t>
        </is>
      </c>
      <c r="E4776" s="5" t="n">
        <v>1100041755</v>
      </c>
      <c r="F4776" s="5" t="inlineStr">
        <is>
          <t>CC 09.2025</t>
        </is>
      </c>
      <c r="G4776" s="5" t="inlineStr">
        <is>
          <t>BRL</t>
        </is>
      </c>
      <c r="H4776" s="9" t="n">
        <v>110</v>
      </c>
      <c r="I4776" s="16" t="n">
        <v>45912</v>
      </c>
      <c r="J4776" s="16" t="n">
        <v>45912</v>
      </c>
      <c r="K4776" s="5" t="inlineStr">
        <is>
          <t>Partida individual SAIRON DOS SANTOS BASTOS CC 09.</t>
        </is>
      </c>
      <c r="L4776" s="5" t="n"/>
      <c r="M4776" s="5">
        <f>IF(YEAR(I4776)&lt;=2020,"Até 2020",TEXT(YEAR(I4776),"0"))</f>
        <v/>
      </c>
      <c r="N4776" s="5">
        <f>IFERROR(INDEX(DePara!$A:$A,MATCH(TEXT(B4776,"0"),DePara!$D:$D,0)),"(sem categoria)")</f>
        <v/>
      </c>
      <c r="O4776" s="5">
        <f>IF(J4776="","",Parametros!$B$6-J4776)</f>
        <v/>
      </c>
      <c r="P4776" s="5">
        <f>IF(O4776="","",IF(O4776&gt;0,1,0))</f>
        <v/>
      </c>
    </row>
    <row r="4777">
      <c r="A4777" s="5" t="n">
        <v>1117730000</v>
      </c>
      <c r="B4777" s="5" t="inlineStr">
        <is>
          <t>EM000296</t>
        </is>
      </c>
      <c r="C4777" s="5" t="inlineStr">
        <is>
          <t>ROBERTISON JOSE DE BRITO</t>
        </is>
      </c>
      <c r="D4777" s="5" t="inlineStr">
        <is>
          <t>AB</t>
        </is>
      </c>
      <c r="E4777" s="5" t="n">
        <v>1100044467</v>
      </c>
      <c r="F4777" s="5" t="inlineStr">
        <is>
          <t>CC 10.2025</t>
        </is>
      </c>
      <c r="G4777" s="5" t="inlineStr">
        <is>
          <t>BRL</t>
        </is>
      </c>
      <c r="H4777" s="9" t="n">
        <v>92.06999999999999</v>
      </c>
      <c r="I4777" s="16" t="n">
        <v>45952</v>
      </c>
      <c r="J4777" s="16" t="n">
        <v>45952</v>
      </c>
      <c r="K4777" s="5" t="inlineStr">
        <is>
          <t>Partida individual ROBERTISON JOSE DE BRITO CC 10.</t>
        </is>
      </c>
      <c r="L4777" s="5" t="n"/>
      <c r="M4777" s="5">
        <f>IF(YEAR(I4777)&lt;=2020,"Até 2020",TEXT(YEAR(I4777),"0"))</f>
        <v/>
      </c>
      <c r="N4777" s="5">
        <f>IFERROR(INDEX(DePara!$A:$A,MATCH(TEXT(B4777,"0"),DePara!$D:$D,0)),"(sem categoria)")</f>
        <v/>
      </c>
      <c r="O4777" s="5">
        <f>IF(J4777="","",Parametros!$B$6-J4777)</f>
        <v/>
      </c>
      <c r="P4777" s="5">
        <f>IF(O4777="","",IF(O4777&gt;0,1,0))</f>
        <v/>
      </c>
    </row>
    <row r="4778">
      <c r="A4778" s="5" t="n">
        <v>1117730000</v>
      </c>
      <c r="B4778" s="5" t="inlineStr">
        <is>
          <t>EM000080</t>
        </is>
      </c>
      <c r="C4778" s="5" t="inlineStr">
        <is>
          <t>SAIRON DOS SANTOS BASTOS</t>
        </is>
      </c>
      <c r="D4778" s="5" t="inlineStr">
        <is>
          <t>AB</t>
        </is>
      </c>
      <c r="E4778" s="5" t="n">
        <v>1100044467</v>
      </c>
      <c r="F4778" s="5" t="inlineStr">
        <is>
          <t>CC 10.2025</t>
        </is>
      </c>
      <c r="G4778" s="5" t="inlineStr">
        <is>
          <t>BRL</t>
        </is>
      </c>
      <c r="H4778" s="9" t="n">
        <v>410.41</v>
      </c>
      <c r="I4778" s="16" t="n">
        <v>45952</v>
      </c>
      <c r="J4778" s="16" t="n">
        <v>45952</v>
      </c>
      <c r="K4778" s="5" t="inlineStr">
        <is>
          <t>Partida individual SAIRON DOS SANTOS BASTOS CC 10.</t>
        </is>
      </c>
      <c r="L4778" s="5" t="n"/>
      <c r="M4778" s="5">
        <f>IF(YEAR(I4778)&lt;=2020,"Até 2020",TEXT(YEAR(I4778),"0"))</f>
        <v/>
      </c>
      <c r="N4778" s="5">
        <f>IFERROR(INDEX(DePara!$A:$A,MATCH(TEXT(B4778,"0"),DePara!$D:$D,0)),"(sem categoria)")</f>
        <v/>
      </c>
      <c r="O4778" s="5">
        <f>IF(J4778="","",Parametros!$B$6-J4778)</f>
        <v/>
      </c>
      <c r="P4778" s="5">
        <f>IF(O4778="","",IF(O4778&gt;0,1,0))</f>
        <v/>
      </c>
    </row>
    <row r="4779">
      <c r="A4779" s="5" t="n">
        <v>1117730000</v>
      </c>
      <c r="B4779" s="5" t="inlineStr">
        <is>
          <t>EM000281</t>
        </is>
      </c>
      <c r="C4779" s="5" t="inlineStr">
        <is>
          <t>VANESSA REGINA DE CAMARGO</t>
        </is>
      </c>
      <c r="D4779" s="5" t="inlineStr">
        <is>
          <t>AB</t>
        </is>
      </c>
      <c r="E4779" s="5" t="n">
        <v>1100044467</v>
      </c>
      <c r="F4779" s="5" t="inlineStr">
        <is>
          <t>CC 10.2025</t>
        </is>
      </c>
      <c r="G4779" s="5" t="inlineStr">
        <is>
          <t>BRL</t>
        </is>
      </c>
      <c r="H4779" s="9" t="n">
        <v>976.96</v>
      </c>
      <c r="I4779" s="16" t="n">
        <v>45952</v>
      </c>
      <c r="J4779" s="16" t="n">
        <v>45952</v>
      </c>
      <c r="K4779" s="5" t="inlineStr">
        <is>
          <t>Partida individual VANESSA REGINA DE CAMARGO CC 10</t>
        </is>
      </c>
      <c r="L4779" s="5" t="n"/>
      <c r="M4779" s="5">
        <f>IF(YEAR(I4779)&lt;=2020,"Até 2020",TEXT(YEAR(I4779),"0"))</f>
        <v/>
      </c>
      <c r="N4779" s="5">
        <f>IFERROR(INDEX(DePara!$A:$A,MATCH(TEXT(B4779,"0"),DePara!$D:$D,0)),"(sem categoria)")</f>
        <v/>
      </c>
      <c r="O4779" s="5">
        <f>IF(J4779="","",Parametros!$B$6-J4779)</f>
        <v/>
      </c>
      <c r="P4779" s="5">
        <f>IF(O4779="","",IF(O4779&gt;0,1,0))</f>
        <v/>
      </c>
    </row>
    <row r="4780">
      <c r="A4780" s="5" t="n">
        <v>1117730000</v>
      </c>
      <c r="B4780" s="5" t="inlineStr">
        <is>
          <t>EM000080</t>
        </is>
      </c>
      <c r="C4780" s="5" t="inlineStr">
        <is>
          <t>SAIRON DOS SANTOS BASTOS</t>
        </is>
      </c>
      <c r="D4780" s="5" t="inlineStr">
        <is>
          <t>AB</t>
        </is>
      </c>
      <c r="E4780" s="5" t="n">
        <v>1100047129</v>
      </c>
      <c r="F4780" s="5" t="inlineStr">
        <is>
          <t>CC 11.2025</t>
        </is>
      </c>
      <c r="G4780" s="5" t="inlineStr">
        <is>
          <t>BRL</t>
        </is>
      </c>
      <c r="H4780" s="9" t="n">
        <v>274.25</v>
      </c>
      <c r="I4780" s="16" t="n">
        <v>45980</v>
      </c>
      <c r="J4780" s="16" t="n">
        <v>45980</v>
      </c>
      <c r="K4780" s="5" t="inlineStr">
        <is>
          <t>Partida individual SAIRON DOS SANTOS BASTOS CC 11.</t>
        </is>
      </c>
      <c r="L4780" s="5" t="n"/>
      <c r="M4780" s="5">
        <f>IF(YEAR(I4780)&lt;=2020,"Até 2020",TEXT(YEAR(I4780),"0"))</f>
        <v/>
      </c>
      <c r="N4780" s="5">
        <f>IFERROR(INDEX(DePara!$A:$A,MATCH(TEXT(B4780,"0"),DePara!$D:$D,0)),"(sem categoria)")</f>
        <v/>
      </c>
      <c r="O4780" s="5">
        <f>IF(J4780="","",Parametros!$B$6-J4780)</f>
        <v/>
      </c>
      <c r="P4780" s="5">
        <f>IF(O4780="","",IF(O4780&gt;0,1,0))</f>
        <v/>
      </c>
    </row>
    <row r="4781">
      <c r="A4781" s="5" t="n">
        <v>1117730000</v>
      </c>
      <c r="B4781" s="5" t="inlineStr">
        <is>
          <t>EM000281</t>
        </is>
      </c>
      <c r="C4781" s="5" t="inlineStr">
        <is>
          <t>VANESSA REGINA DE CAMARGO</t>
        </is>
      </c>
      <c r="D4781" s="5" t="inlineStr">
        <is>
          <t>AB</t>
        </is>
      </c>
      <c r="E4781" s="5" t="n">
        <v>1100047129</v>
      </c>
      <c r="F4781" s="5" t="inlineStr">
        <is>
          <t>CC 11.2025</t>
        </is>
      </c>
      <c r="G4781" s="5" t="inlineStr">
        <is>
          <t>BRL</t>
        </is>
      </c>
      <c r="H4781" s="9" t="n">
        <v>162.35</v>
      </c>
      <c r="I4781" s="16" t="n">
        <v>45980</v>
      </c>
      <c r="J4781" s="16" t="n">
        <v>45980</v>
      </c>
      <c r="K4781" s="5" t="inlineStr">
        <is>
          <t>Partida individual VANESSA REGINA DE CAMARGO CC 11</t>
        </is>
      </c>
      <c r="L4781" s="5" t="n"/>
      <c r="M4781" s="5">
        <f>IF(YEAR(I4781)&lt;=2020,"Até 2020",TEXT(YEAR(I4781),"0"))</f>
        <v/>
      </c>
      <c r="N4781" s="5">
        <f>IFERROR(INDEX(DePara!$A:$A,MATCH(TEXT(B4781,"0"),DePara!$D:$D,0)),"(sem categoria)")</f>
        <v/>
      </c>
      <c r="O4781" s="5">
        <f>IF(J4781="","",Parametros!$B$6-J4781)</f>
        <v/>
      </c>
      <c r="P4781" s="5">
        <f>IF(O4781="","",IF(O4781&gt;0,1,0))</f>
        <v/>
      </c>
    </row>
    <row r="4782">
      <c r="A4782" s="5" t="n">
        <v>1117730000</v>
      </c>
      <c r="B4782" s="5" t="inlineStr">
        <is>
          <t>EM000171</t>
        </is>
      </c>
      <c r="C4782" s="5" t="inlineStr">
        <is>
          <t>ALESSANDRA RAFFO SCHNEIDER</t>
        </is>
      </c>
      <c r="D4782" s="5" t="inlineStr">
        <is>
          <t>AB</t>
        </is>
      </c>
      <c r="E4782" s="5" t="n">
        <v>1100049930</v>
      </c>
      <c r="F4782" s="5" t="inlineStr">
        <is>
          <t>CC 12.2025</t>
        </is>
      </c>
      <c r="G4782" s="5" t="inlineStr">
        <is>
          <t>BRL</t>
        </is>
      </c>
      <c r="H4782" s="9" t="n">
        <v>2118.97</v>
      </c>
      <c r="I4782" s="16" t="n">
        <v>46010</v>
      </c>
      <c r="J4782" s="16" t="n">
        <v>46010</v>
      </c>
      <c r="K4782" s="5" t="inlineStr">
        <is>
          <t>Partida individual ALESSANDRA RAFFO SCHNEIDER CC 1</t>
        </is>
      </c>
      <c r="L4782" s="5" t="n"/>
      <c r="M4782" s="5">
        <f>IF(YEAR(I4782)&lt;=2020,"Até 2020",TEXT(YEAR(I4782),"0"))</f>
        <v/>
      </c>
      <c r="N4782" s="5">
        <f>IFERROR(INDEX(DePara!$A:$A,MATCH(TEXT(B4782,"0"),DePara!$D:$D,0)),"(sem categoria)")</f>
        <v/>
      </c>
      <c r="O4782" s="5">
        <f>IF(J4782="","",Parametros!$B$6-J4782)</f>
        <v/>
      </c>
      <c r="P4782" s="5">
        <f>IF(O4782="","",IF(O4782&gt;0,1,0))</f>
        <v/>
      </c>
    </row>
    <row r="4783">
      <c r="A4783" s="5" t="n">
        <v>1117730000</v>
      </c>
      <c r="B4783" s="5" t="inlineStr">
        <is>
          <t>EM000157</t>
        </is>
      </c>
      <c r="C4783" s="5" t="inlineStr">
        <is>
          <t>JULIANO NASCIMIENTO</t>
        </is>
      </c>
      <c r="D4783" s="5" t="inlineStr">
        <is>
          <t>AB</t>
        </is>
      </c>
      <c r="E4783" s="5" t="n">
        <v>1100049930</v>
      </c>
      <c r="F4783" s="5" t="inlineStr">
        <is>
          <t>CC 12.2025</t>
        </is>
      </c>
      <c r="G4783" s="5" t="inlineStr">
        <is>
          <t>BRL</t>
        </is>
      </c>
      <c r="H4783" s="9" t="n">
        <v>2511.27</v>
      </c>
      <c r="I4783" s="16" t="n">
        <v>46010</v>
      </c>
      <c r="J4783" s="16" t="n">
        <v>46010</v>
      </c>
      <c r="K4783" s="5" t="inlineStr">
        <is>
          <t>Partida individual JULIANO NASCIMIENTO CC 12.2025</t>
        </is>
      </c>
      <c r="L4783" s="5" t="n"/>
      <c r="M4783" s="5">
        <f>IF(YEAR(I4783)&lt;=2020,"Até 2020",TEXT(YEAR(I4783),"0"))</f>
        <v/>
      </c>
      <c r="N4783" s="5">
        <f>IFERROR(INDEX(DePara!$A:$A,MATCH(TEXT(B4783,"0"),DePara!$D:$D,0)),"(sem categoria)")</f>
        <v/>
      </c>
      <c r="O4783" s="5">
        <f>IF(J4783="","",Parametros!$B$6-J4783)</f>
        <v/>
      </c>
      <c r="P4783" s="5">
        <f>IF(O4783="","",IF(O4783&gt;0,1,0))</f>
        <v/>
      </c>
    </row>
    <row r="4784">
      <c r="A4784" s="5" t="n">
        <v>1117730000</v>
      </c>
      <c r="B4784" s="5" t="inlineStr">
        <is>
          <t>EM000005</t>
        </is>
      </c>
      <c r="C4784" s="5" t="inlineStr">
        <is>
          <t>LUIZ SAVIO DE CAMPOS SIQUEIRA</t>
        </is>
      </c>
      <c r="D4784" s="5" t="inlineStr">
        <is>
          <t>AB</t>
        </is>
      </c>
      <c r="E4784" s="5" t="n">
        <v>1100049930</v>
      </c>
      <c r="F4784" s="5" t="inlineStr">
        <is>
          <t>CC 12.2025</t>
        </is>
      </c>
      <c r="G4784" s="5" t="inlineStr">
        <is>
          <t>BRL</t>
        </is>
      </c>
      <c r="H4784" s="9" t="n">
        <v>7073.73</v>
      </c>
      <c r="I4784" s="16" t="n">
        <v>46010</v>
      </c>
      <c r="J4784" s="16" t="n">
        <v>46010</v>
      </c>
      <c r="K4784" s="5" t="inlineStr">
        <is>
          <t>Partida individual LUIZ SAVIO DE CAMPOS SIQUEIRA C</t>
        </is>
      </c>
      <c r="L4784" s="5" t="n"/>
      <c r="M4784" s="5">
        <f>IF(YEAR(I4784)&lt;=2020,"Até 2020",TEXT(YEAR(I4784),"0"))</f>
        <v/>
      </c>
      <c r="N4784" s="5">
        <f>IFERROR(INDEX(DePara!$A:$A,MATCH(TEXT(B4784,"0"),DePara!$D:$D,0)),"(sem categoria)")</f>
        <v/>
      </c>
      <c r="O4784" s="5">
        <f>IF(J4784="","",Parametros!$B$6-J4784)</f>
        <v/>
      </c>
      <c r="P4784" s="5">
        <f>IF(O4784="","",IF(O4784&gt;0,1,0))</f>
        <v/>
      </c>
    </row>
    <row r="4785">
      <c r="A4785" s="5" t="n">
        <v>1117730000</v>
      </c>
      <c r="B4785" s="5" t="inlineStr">
        <is>
          <t>EM000023</t>
        </is>
      </c>
      <c r="C4785" s="5" t="inlineStr">
        <is>
          <t>RAFAEL MACHADO SALLES</t>
        </is>
      </c>
      <c r="D4785" s="5" t="inlineStr">
        <is>
          <t>AB</t>
        </is>
      </c>
      <c r="E4785" s="5" t="n">
        <v>1100049930</v>
      </c>
      <c r="F4785" s="5" t="inlineStr">
        <is>
          <t>CC 12.2025</t>
        </is>
      </c>
      <c r="G4785" s="5" t="inlineStr">
        <is>
          <t>BRL</t>
        </is>
      </c>
      <c r="H4785" s="9" t="n">
        <v>1358.03</v>
      </c>
      <c r="I4785" s="16" t="n">
        <v>46010</v>
      </c>
      <c r="J4785" s="16" t="n">
        <v>46010</v>
      </c>
      <c r="K4785" s="5" t="inlineStr">
        <is>
          <t>Partida individual RAFAEL MACHADO SALLES CC 12.202</t>
        </is>
      </c>
      <c r="L4785" s="5" t="n"/>
      <c r="M4785" s="5">
        <f>IF(YEAR(I4785)&lt;=2020,"Até 2020",TEXT(YEAR(I4785),"0"))</f>
        <v/>
      </c>
      <c r="N4785" s="5">
        <f>IFERROR(INDEX(DePara!$A:$A,MATCH(TEXT(B4785,"0"),DePara!$D:$D,0)),"(sem categoria)")</f>
        <v/>
      </c>
      <c r="O4785" s="5">
        <f>IF(J4785="","",Parametros!$B$6-J4785)</f>
        <v/>
      </c>
      <c r="P4785" s="5">
        <f>IF(O4785="","",IF(O4785&gt;0,1,0))</f>
        <v/>
      </c>
    </row>
    <row r="4786">
      <c r="A4786" s="5" t="n">
        <v>1117730000</v>
      </c>
      <c r="B4786" s="5" t="inlineStr">
        <is>
          <t>EM000080</t>
        </is>
      </c>
      <c r="C4786" s="5" t="inlineStr">
        <is>
          <t>SAIRON DOS SANTOS BASTOS</t>
        </is>
      </c>
      <c r="D4786" s="5" t="inlineStr">
        <is>
          <t>AB</t>
        </is>
      </c>
      <c r="E4786" s="5" t="n">
        <v>1100049930</v>
      </c>
      <c r="F4786" s="5" t="inlineStr">
        <is>
          <t>CC 12.2025</t>
        </is>
      </c>
      <c r="G4786" s="5" t="inlineStr">
        <is>
          <t>BRL</t>
        </is>
      </c>
      <c r="H4786" s="9" t="n">
        <v>581.2</v>
      </c>
      <c r="I4786" s="16" t="n">
        <v>46010</v>
      </c>
      <c r="J4786" s="16" t="n">
        <v>46010</v>
      </c>
      <c r="K4786" s="5" t="inlineStr">
        <is>
          <t>Partida individual SAIRON DOS SANTOS BASTOS CC 12.</t>
        </is>
      </c>
      <c r="L4786" s="5" t="n"/>
      <c r="M4786" s="5">
        <f>IF(YEAR(I4786)&lt;=2020,"Até 2020",TEXT(YEAR(I4786),"0"))</f>
        <v/>
      </c>
      <c r="N4786" s="5">
        <f>IFERROR(INDEX(DePara!$A:$A,MATCH(TEXT(B4786,"0"),DePara!$D:$D,0)),"(sem categoria)")</f>
        <v/>
      </c>
      <c r="O4786" s="5">
        <f>IF(J4786="","",Parametros!$B$6-J4786)</f>
        <v/>
      </c>
      <c r="P4786" s="5">
        <f>IF(O4786="","",IF(O4786&gt;0,1,0))</f>
        <v/>
      </c>
    </row>
    <row r="4787">
      <c r="A4787" s="5" t="n">
        <v>1117730000</v>
      </c>
      <c r="B4787" s="5" t="inlineStr">
        <is>
          <t>EM000281</t>
        </is>
      </c>
      <c r="C4787" s="5" t="inlineStr">
        <is>
          <t>VANESSA REGINA DE CAMARGO</t>
        </is>
      </c>
      <c r="D4787" s="5" t="inlineStr">
        <is>
          <t>AB</t>
        </is>
      </c>
      <c r="E4787" s="5" t="n">
        <v>1100049930</v>
      </c>
      <c r="F4787" s="5" t="inlineStr">
        <is>
          <t>CC 12.2025</t>
        </is>
      </c>
      <c r="G4787" s="5" t="inlineStr">
        <is>
          <t>BRL</t>
        </is>
      </c>
      <c r="H4787" s="9" t="n">
        <v>45</v>
      </c>
      <c r="I4787" s="16" t="n">
        <v>46010</v>
      </c>
      <c r="J4787" s="16" t="n">
        <v>46010</v>
      </c>
      <c r="K4787" s="5" t="inlineStr">
        <is>
          <t>Partida individual VANESSA REGINA DE CAMARGO CC 12</t>
        </is>
      </c>
      <c r="L4787" s="5" t="n"/>
      <c r="M4787" s="5">
        <f>IF(YEAR(I4787)&lt;=2020,"Até 2020",TEXT(YEAR(I4787),"0"))</f>
        <v/>
      </c>
      <c r="N4787" s="5">
        <f>IFERROR(INDEX(DePara!$A:$A,MATCH(TEXT(B4787,"0"),DePara!$D:$D,0)),"(sem categoria)")</f>
        <v/>
      </c>
      <c r="O4787" s="5">
        <f>IF(J4787="","",Parametros!$B$6-J4787)</f>
        <v/>
      </c>
      <c r="P4787" s="5">
        <f>IF(O4787="","",IF(O4787&gt;0,1,0))</f>
        <v/>
      </c>
    </row>
    <row r="4788">
      <c r="A4788" s="5" t="n">
        <v>1117730000</v>
      </c>
      <c r="B4788" s="5" t="inlineStr">
        <is>
          <t>EM000127</t>
        </is>
      </c>
      <c r="C4788" s="5" t="inlineStr">
        <is>
          <t>GUSTAVO FERNANDES LIMA</t>
        </is>
      </c>
      <c r="D4788" s="5" t="inlineStr">
        <is>
          <t>AB</t>
        </is>
      </c>
      <c r="E4788" s="5" t="n">
        <v>1100050028</v>
      </c>
      <c r="F4788" s="5" t="inlineStr">
        <is>
          <t>CC 12.2025</t>
        </is>
      </c>
      <c r="G4788" s="5" t="inlineStr">
        <is>
          <t>BRL</t>
        </is>
      </c>
      <c r="H4788" s="9" t="n">
        <v>1287.2</v>
      </c>
      <c r="I4788" s="16" t="n">
        <v>46009</v>
      </c>
      <c r="J4788" s="16" t="n">
        <v>46010</v>
      </c>
      <c r="K4788" s="5" t="inlineStr">
        <is>
          <t>Partida individual GUSTAVO FERNANDES LIMA CC 12.20</t>
        </is>
      </c>
      <c r="L4788" s="5" t="n"/>
      <c r="M4788" s="5">
        <f>IF(YEAR(I4788)&lt;=2020,"Até 2020",TEXT(YEAR(I4788),"0"))</f>
        <v/>
      </c>
      <c r="N4788" s="5">
        <f>IFERROR(INDEX(DePara!$A:$A,MATCH(TEXT(B4788,"0"),DePara!$D:$D,0)),"(sem categoria)")</f>
        <v/>
      </c>
      <c r="O4788" s="5">
        <f>IF(J4788="","",Parametros!$B$6-J4788)</f>
        <v/>
      </c>
      <c r="P4788" s="5">
        <f>IF(O4788="","",IF(O4788&gt;0,1,0))</f>
        <v/>
      </c>
    </row>
    <row r="4789">
      <c r="A4789" s="5" t="n">
        <v>1117730000</v>
      </c>
      <c r="B4789" s="5" t="inlineStr">
        <is>
          <t>EM000100</t>
        </is>
      </c>
      <c r="C4789" s="5" t="inlineStr">
        <is>
          <t>GUSTAVO ROCHA PACHECO</t>
        </is>
      </c>
      <c r="D4789" s="5" t="inlineStr">
        <is>
          <t>AB</t>
        </is>
      </c>
      <c r="E4789" s="5" t="n">
        <v>1100050059</v>
      </c>
      <c r="F4789" s="5" t="inlineStr">
        <is>
          <t>CC 02.25</t>
        </is>
      </c>
      <c r="G4789" s="5" t="inlineStr">
        <is>
          <t>BRL</t>
        </is>
      </c>
      <c r="H4789" s="9" t="n">
        <v>733.9299999999999</v>
      </c>
      <c r="I4789" s="16" t="n">
        <v>46021</v>
      </c>
      <c r="J4789" s="16" t="n">
        <v>45761</v>
      </c>
      <c r="K4789" s="5" t="inlineStr">
        <is>
          <t>Partida individual GUSTAVO ROCHA PACHECO CC 02.25</t>
        </is>
      </c>
      <c r="L4789" s="5" t="n"/>
      <c r="M4789" s="5">
        <f>IF(YEAR(I4789)&lt;=2020,"Até 2020",TEXT(YEAR(I4789),"0"))</f>
        <v/>
      </c>
      <c r="N4789" s="5">
        <f>IFERROR(INDEX(DePara!$A:$A,MATCH(TEXT(B4789,"0"),DePara!$D:$D,0)),"(sem categoria)")</f>
        <v/>
      </c>
      <c r="O4789" s="5">
        <f>IF(J4789="","",Parametros!$B$6-J4789)</f>
        <v/>
      </c>
      <c r="P4789" s="5">
        <f>IF(O4789="","",IF(O4789&gt;0,1,0))</f>
        <v/>
      </c>
    </row>
    <row r="4790">
      <c r="A4790" s="5" t="n">
        <v>1117730000</v>
      </c>
      <c r="B4790" s="5" t="inlineStr">
        <is>
          <t>EM000648</t>
        </is>
      </c>
      <c r="C4790" s="5" t="inlineStr">
        <is>
          <t>JULIA SERAPHIM DE CASTRO</t>
        </is>
      </c>
      <c r="D4790" s="5" t="inlineStr">
        <is>
          <t>KZ</t>
        </is>
      </c>
      <c r="E4790" s="5" t="n">
        <v>1300003464</v>
      </c>
      <c r="F4790" s="5" t="n"/>
      <c r="G4790" s="5" t="inlineStr">
        <is>
          <t>BRL</t>
        </is>
      </c>
      <c r="H4790" s="9" t="n">
        <v>2448.6</v>
      </c>
      <c r="I4790" s="16" t="n">
        <v>46147</v>
      </c>
      <c r="J4790" s="16" t="n">
        <v>46147</v>
      </c>
      <c r="K4790" s="5" t="inlineStr">
        <is>
          <t>Vendor DP Request JULIA SERAPHIM DE CASTRO 44271</t>
        </is>
      </c>
      <c r="L4790" s="5" t="inlineStr">
        <is>
          <t>06052026</t>
        </is>
      </c>
      <c r="M4790" s="5">
        <f>IF(YEAR(I4790)&lt;=2020,"Até 2020",TEXT(YEAR(I4790),"0"))</f>
        <v/>
      </c>
      <c r="N4790" s="5">
        <f>IFERROR(INDEX(DePara!$A:$A,MATCH(TEXT(B4790,"0"),DePara!$D:$D,0)),"(sem categoria)")</f>
        <v/>
      </c>
      <c r="O4790" s="5">
        <f>IF(J4790="","",Parametros!$B$6-J4790)</f>
        <v/>
      </c>
      <c r="P4790" s="5">
        <f>IF(O4790="","",IF(O4790&gt;0,1,0))</f>
        <v/>
      </c>
    </row>
    <row r="4791">
      <c r="A4791" s="5" t="n">
        <v>1117730000</v>
      </c>
      <c r="B4791" s="5" t="inlineStr">
        <is>
          <t>EM000521</t>
        </is>
      </c>
      <c r="C4791" s="5" t="inlineStr">
        <is>
          <t>JOSE EDINELE MARTINS</t>
        </is>
      </c>
      <c r="D4791" s="5" t="inlineStr">
        <is>
          <t>KZ</t>
        </is>
      </c>
      <c r="E4791" s="5" t="n">
        <v>1300004568</v>
      </c>
      <c r="F4791" s="5" t="n"/>
      <c r="G4791" s="5" t="inlineStr">
        <is>
          <t>BRL</t>
        </is>
      </c>
      <c r="H4791" s="9" t="n">
        <v>4030</v>
      </c>
      <c r="I4791" s="16" t="n">
        <v>46182</v>
      </c>
      <c r="J4791" s="16" t="n">
        <v>46182</v>
      </c>
      <c r="K4791" s="5" t="inlineStr">
        <is>
          <t>Vendor DP Request JOSE EDINELE MARTINS 51211</t>
        </is>
      </c>
      <c r="L4791" s="5" t="inlineStr">
        <is>
          <t>10062026</t>
        </is>
      </c>
      <c r="M4791" s="5">
        <f>IF(YEAR(I4791)&lt;=2020,"Até 2020",TEXT(YEAR(I4791),"0"))</f>
        <v/>
      </c>
      <c r="N4791" s="5">
        <f>IFERROR(INDEX(DePara!$A:$A,MATCH(TEXT(B4791,"0"),DePara!$D:$D,0)),"(sem categoria)")</f>
        <v/>
      </c>
      <c r="O4791" s="5">
        <f>IF(J4791="","",Parametros!$B$6-J4791)</f>
        <v/>
      </c>
      <c r="P4791" s="5">
        <f>IF(O4791="","",IF(O4791&gt;0,1,0))</f>
        <v/>
      </c>
    </row>
    <row r="4792">
      <c r="A4792" s="5" t="n">
        <v>1117730000</v>
      </c>
      <c r="B4792" s="5" t="inlineStr">
        <is>
          <t>EM000521</t>
        </is>
      </c>
      <c r="C4792" s="5" t="inlineStr">
        <is>
          <t>JOSE EDINELE MARTINS</t>
        </is>
      </c>
      <c r="D4792" s="5" t="inlineStr">
        <is>
          <t>KZ</t>
        </is>
      </c>
      <c r="E4792" s="5" t="n">
        <v>1300005656</v>
      </c>
      <c r="F4792" s="5" t="n"/>
      <c r="G4792" s="5" t="inlineStr">
        <is>
          <t>BRL</t>
        </is>
      </c>
      <c r="H4792" s="9" t="n">
        <v>1690</v>
      </c>
      <c r="I4792" s="16" t="n">
        <v>46223</v>
      </c>
      <c r="J4792" s="16" t="n">
        <v>46223</v>
      </c>
      <c r="K4792" s="5" t="inlineStr">
        <is>
          <t>Documento fornecedor JOSE EDINELE MARTINS 51211</t>
        </is>
      </c>
      <c r="L4792" s="5" t="inlineStr">
        <is>
          <t>29072026</t>
        </is>
      </c>
      <c r="M4792" s="5">
        <f>IF(YEAR(I4792)&lt;=2020,"Até 2020",TEXT(YEAR(I4792),"0"))</f>
        <v/>
      </c>
      <c r="N4792" s="5">
        <f>IFERROR(INDEX(DePara!$A:$A,MATCH(TEXT(B4792,"0"),DePara!$D:$D,0)),"(sem categoria)")</f>
        <v/>
      </c>
      <c r="O4792" s="5">
        <f>IF(J4792="","",Parametros!$B$6-J4792)</f>
        <v/>
      </c>
      <c r="P4792" s="5">
        <f>IF(O4792="","",IF(O4792&gt;0,1,0))</f>
        <v/>
      </c>
    </row>
    <row r="4793">
      <c r="A4793" s="5" t="n">
        <v>1117730000</v>
      </c>
      <c r="B4793" s="5" t="inlineStr">
        <is>
          <t>EM000521</t>
        </is>
      </c>
      <c r="C4793" s="5" t="inlineStr">
        <is>
          <t>JOSE EDINELE MARTINS</t>
        </is>
      </c>
      <c r="D4793" s="5" t="inlineStr">
        <is>
          <t>KZ</t>
        </is>
      </c>
      <c r="E4793" s="5" t="n">
        <v>1300005657</v>
      </c>
      <c r="F4793" s="5" t="n"/>
      <c r="G4793" s="5" t="inlineStr">
        <is>
          <t>BRL</t>
        </is>
      </c>
      <c r="H4793" s="9" t="n">
        <v>1950</v>
      </c>
      <c r="I4793" s="16" t="n">
        <v>46218</v>
      </c>
      <c r="J4793" s="16" t="n">
        <v>46218</v>
      </c>
      <c r="K4793" s="5" t="inlineStr">
        <is>
          <t>Documento fornecedor JOSE EDINELE MARTINS 51211</t>
        </is>
      </c>
      <c r="L4793" s="5" t="inlineStr">
        <is>
          <t>29072026</t>
        </is>
      </c>
      <c r="M4793" s="5">
        <f>IF(YEAR(I4793)&lt;=2020,"Até 2020",TEXT(YEAR(I4793),"0"))</f>
        <v/>
      </c>
      <c r="N4793" s="5">
        <f>IFERROR(INDEX(DePara!$A:$A,MATCH(TEXT(B4793,"0"),DePara!$D:$D,0)),"(sem categoria)")</f>
        <v/>
      </c>
      <c r="O4793" s="5">
        <f>IF(J4793="","",Parametros!$B$6-J4793)</f>
        <v/>
      </c>
      <c r="P4793" s="5">
        <f>IF(O4793="","",IF(O4793&gt;0,1,0))</f>
        <v/>
      </c>
    </row>
    <row r="4794">
      <c r="A4794" s="5" t="n">
        <v>1117730000</v>
      </c>
      <c r="B4794" s="5" t="inlineStr">
        <is>
          <t>EM000521</t>
        </is>
      </c>
      <c r="C4794" s="5" t="inlineStr">
        <is>
          <t>JOSE EDINELE MARTINS</t>
        </is>
      </c>
      <c r="D4794" s="5" t="inlineStr">
        <is>
          <t>KZ</t>
        </is>
      </c>
      <c r="E4794" s="5" t="n">
        <v>1300006087</v>
      </c>
      <c r="F4794" s="5" t="n"/>
      <c r="G4794" s="5" t="inlineStr">
        <is>
          <t>BRL</t>
        </is>
      </c>
      <c r="H4794" s="9" t="n">
        <v>1950</v>
      </c>
      <c r="I4794" s="16" t="n">
        <v>46245</v>
      </c>
      <c r="J4794" s="16" t="n">
        <v>46245</v>
      </c>
      <c r="K4794" s="5" t="inlineStr">
        <is>
          <t>Vendor DP Request JOSE EDINELE MARTINS 51211</t>
        </is>
      </c>
      <c r="L4794" s="5" t="inlineStr">
        <is>
          <t>12082026</t>
        </is>
      </c>
      <c r="M4794" s="5">
        <f>IF(YEAR(I4794)&lt;=2020,"Até 2020",TEXT(YEAR(I4794),"0"))</f>
        <v/>
      </c>
      <c r="N4794" s="5">
        <f>IFERROR(INDEX(DePara!$A:$A,MATCH(TEXT(B4794,"0"),DePara!$D:$D,0)),"(sem categoria)")</f>
        <v/>
      </c>
      <c r="O4794" s="5">
        <f>IF(J4794="","",Parametros!$B$6-J4794)</f>
        <v/>
      </c>
      <c r="P4794" s="5">
        <f>IF(O4794="","",IF(O4794&gt;0,1,0))</f>
        <v/>
      </c>
    </row>
    <row r="4795">
      <c r="A4795" s="5" t="n">
        <v>1117730000</v>
      </c>
      <c r="B4795" s="5" t="inlineStr">
        <is>
          <t>EM003093</t>
        </is>
      </c>
      <c r="C4795" s="5" t="inlineStr">
        <is>
          <t>JAIRO DIAS RIBEIRO</t>
        </is>
      </c>
      <c r="D4795" s="5" t="inlineStr">
        <is>
          <t>KZ</t>
        </is>
      </c>
      <c r="E4795" s="5" t="n">
        <v>1300008209</v>
      </c>
      <c r="F4795" s="5" t="n"/>
      <c r="G4795" s="5" t="inlineStr">
        <is>
          <t>BRL</t>
        </is>
      </c>
      <c r="H4795" s="9" t="n">
        <v>910</v>
      </c>
      <c r="I4795" s="16" t="n">
        <v>46002</v>
      </c>
      <c r="J4795" s="16" t="n">
        <v>46002</v>
      </c>
      <c r="K4795" s="5" t="inlineStr">
        <is>
          <t>Documento fornecedor JAIRO DIAS RIBEIRO 43618</t>
        </is>
      </c>
      <c r="L4795" s="5" t="inlineStr">
        <is>
          <t>12122025</t>
        </is>
      </c>
      <c r="M4795" s="5">
        <f>IF(YEAR(I4795)&lt;=2020,"Até 2020",TEXT(YEAR(I4795),"0"))</f>
        <v/>
      </c>
      <c r="N4795" s="5">
        <f>IFERROR(INDEX(DePara!$A:$A,MATCH(TEXT(B4795,"0"),DePara!$D:$D,0)),"(sem categoria)")</f>
        <v/>
      </c>
      <c r="O4795" s="5">
        <f>IF(J4795="","",Parametros!$B$6-J4795)</f>
        <v/>
      </c>
      <c r="P4795" s="5">
        <f>IF(O4795="","",IF(O4795&gt;0,1,0))</f>
        <v/>
      </c>
    </row>
    <row r="4796">
      <c r="A4796" s="5" t="n">
        <v>1117730000</v>
      </c>
      <c r="B4796" s="5" t="inlineStr">
        <is>
          <t>EM003093</t>
        </is>
      </c>
      <c r="C4796" s="5" t="inlineStr">
        <is>
          <t>JAIRO DIAS RIBEIRO</t>
        </is>
      </c>
      <c r="D4796" s="5" t="inlineStr">
        <is>
          <t>KZ</t>
        </is>
      </c>
      <c r="E4796" s="5" t="n">
        <v>1300008209</v>
      </c>
      <c r="F4796" s="5" t="n"/>
      <c r="G4796" s="5" t="inlineStr">
        <is>
          <t>BRL</t>
        </is>
      </c>
      <c r="H4796" s="9" t="n">
        <v>520</v>
      </c>
      <c r="I4796" s="16" t="n">
        <v>46002</v>
      </c>
      <c r="J4796" s="16" t="n">
        <v>46002</v>
      </c>
      <c r="K4796" s="5" t="inlineStr">
        <is>
          <t>Documento fornecedor JAIRO DIAS RIBEIRO 43679</t>
        </is>
      </c>
      <c r="L4796" s="5" t="inlineStr">
        <is>
          <t>12122025</t>
        </is>
      </c>
      <c r="M4796" s="5">
        <f>IF(YEAR(I4796)&lt;=2020,"Até 2020",TEXT(YEAR(I4796),"0"))</f>
        <v/>
      </c>
      <c r="N4796" s="5">
        <f>IFERROR(INDEX(DePara!$A:$A,MATCH(TEXT(B4796,"0"),DePara!$D:$D,0)),"(sem categoria)")</f>
        <v/>
      </c>
      <c r="O4796" s="5">
        <f>IF(J4796="","",Parametros!$B$6-J4796)</f>
        <v/>
      </c>
      <c r="P4796" s="5">
        <f>IF(O4796="","",IF(O4796&gt;0,1,0))</f>
        <v/>
      </c>
    </row>
    <row r="4797">
      <c r="A4797" s="5" t="n">
        <v>1117730000</v>
      </c>
      <c r="B4797" s="5" t="inlineStr">
        <is>
          <t>EM000927</t>
        </is>
      </c>
      <c r="C4797" s="5" t="inlineStr">
        <is>
          <t>JOSE AELIO NASCIMENTO DA SILVA</t>
        </is>
      </c>
      <c r="D4797" s="5" t="inlineStr">
        <is>
          <t>ZP</t>
        </is>
      </c>
      <c r="E4797" s="5" t="n">
        <v>2000000862</v>
      </c>
      <c r="F4797" s="5" t="n"/>
      <c r="G4797" s="5" t="inlineStr">
        <is>
          <t>BRL</t>
        </is>
      </c>
      <c r="H4797" s="9" t="n">
        <v>520</v>
      </c>
      <c r="I4797" s="16" t="n">
        <v>46029</v>
      </c>
      <c r="J4797" s="16" t="n">
        <v>46029</v>
      </c>
      <c r="K4797" s="5" t="inlineStr">
        <is>
          <t>Vendor DP Request JOSE AELIO NASCIMENTO DA SILVA 4</t>
        </is>
      </c>
      <c r="L4797" s="5" t="inlineStr">
        <is>
          <t>07012026</t>
        </is>
      </c>
      <c r="M4797" s="5">
        <f>IF(YEAR(I4797)&lt;=2020,"Até 2020",TEXT(YEAR(I4797),"0"))</f>
        <v/>
      </c>
      <c r="N4797" s="5">
        <f>IFERROR(INDEX(DePara!$A:$A,MATCH(TEXT(B4797,"0"),DePara!$D:$D,0)),"(sem categoria)")</f>
        <v/>
      </c>
      <c r="O4797" s="5">
        <f>IF(J4797="","",Parametros!$B$6-J4797)</f>
        <v/>
      </c>
      <c r="P4797" s="5">
        <f>IF(O4797="","",IF(O4797&gt;0,1,0))</f>
        <v/>
      </c>
    </row>
    <row r="4798">
      <c r="A4798" s="5" t="n">
        <v>1117730000</v>
      </c>
      <c r="B4798" s="5" t="inlineStr">
        <is>
          <t>EM000048</t>
        </is>
      </c>
      <c r="C4798" s="5" t="inlineStr">
        <is>
          <t>ARLINDO ASTYZEM REGO</t>
        </is>
      </c>
      <c r="D4798" s="5" t="inlineStr">
        <is>
          <t>ZP</t>
        </is>
      </c>
      <c r="E4798" s="5" t="n">
        <v>2000001288</v>
      </c>
      <c r="F4798" s="5" t="n"/>
      <c r="G4798" s="5" t="inlineStr">
        <is>
          <t>BRL</t>
        </is>
      </c>
      <c r="H4798" s="9" t="n">
        <v>780</v>
      </c>
      <c r="I4798" s="16" t="n">
        <v>46036</v>
      </c>
      <c r="J4798" s="16" t="n">
        <v>46036</v>
      </c>
      <c r="K4798" s="5" t="inlineStr">
        <is>
          <t>Vendor DP Request ARLINDO ASTYZEM REGO 43975</t>
        </is>
      </c>
      <c r="L4798" s="5" t="inlineStr">
        <is>
          <t>14012026</t>
        </is>
      </c>
      <c r="M4798" s="5">
        <f>IF(YEAR(I4798)&lt;=2020,"Até 2020",TEXT(YEAR(I4798),"0"))</f>
        <v/>
      </c>
      <c r="N4798" s="5">
        <f>IFERROR(INDEX(DePara!$A:$A,MATCH(TEXT(B4798,"0"),DePara!$D:$D,0)),"(sem categoria)")</f>
        <v/>
      </c>
      <c r="O4798" s="5">
        <f>IF(J4798="","",Parametros!$B$6-J4798)</f>
        <v/>
      </c>
      <c r="P4798" s="5">
        <f>IF(O4798="","",IF(O4798&gt;0,1,0))</f>
        <v/>
      </c>
    </row>
    <row r="4799">
      <c r="A4799" s="5" t="n">
        <v>1117730000</v>
      </c>
      <c r="B4799" s="5" t="inlineStr">
        <is>
          <t>EM000549</t>
        </is>
      </c>
      <c r="C4799" s="5" t="inlineStr">
        <is>
          <t>ALISSON ALEXANDRE CARVALHO ARAUJO</t>
        </is>
      </c>
      <c r="D4799" s="5" t="inlineStr">
        <is>
          <t>ZP</t>
        </is>
      </c>
      <c r="E4799" s="5" t="n">
        <v>2000001336</v>
      </c>
      <c r="F4799" s="5" t="n"/>
      <c r="G4799" s="5" t="inlineStr">
        <is>
          <t>BRL</t>
        </is>
      </c>
      <c r="H4799" s="9" t="n">
        <v>520</v>
      </c>
      <c r="I4799" s="16" t="n">
        <v>46036</v>
      </c>
      <c r="J4799" s="16" t="n">
        <v>46036</v>
      </c>
      <c r="K4799" s="5" t="inlineStr">
        <is>
          <t>Vendor DP Request ALISSON ALEXANDRE CARVALHO ARAUJ</t>
        </is>
      </c>
      <c r="L4799" s="5" t="inlineStr">
        <is>
          <t>14012026</t>
        </is>
      </c>
      <c r="M4799" s="5">
        <f>IF(YEAR(I4799)&lt;=2020,"Até 2020",TEXT(YEAR(I4799),"0"))</f>
        <v/>
      </c>
      <c r="N4799" s="5">
        <f>IFERROR(INDEX(DePara!$A:$A,MATCH(TEXT(B4799,"0"),DePara!$D:$D,0)),"(sem categoria)")</f>
        <v/>
      </c>
      <c r="O4799" s="5">
        <f>IF(J4799="","",Parametros!$B$6-J4799)</f>
        <v/>
      </c>
      <c r="P4799" s="5">
        <f>IF(O4799="","",IF(O4799&gt;0,1,0))</f>
        <v/>
      </c>
    </row>
    <row r="4800">
      <c r="A4800" s="5" t="n">
        <v>1117730000</v>
      </c>
      <c r="B4800" s="5" t="inlineStr">
        <is>
          <t>EM003135</t>
        </is>
      </c>
      <c r="C4800" s="5" t="inlineStr">
        <is>
          <t>DAMIÃO FERREIRA</t>
        </is>
      </c>
      <c r="D4800" s="5" t="inlineStr">
        <is>
          <t>ZP</t>
        </is>
      </c>
      <c r="E4800" s="5" t="n">
        <v>2000001365</v>
      </c>
      <c r="F4800" s="5" t="n"/>
      <c r="G4800" s="5" t="inlineStr">
        <is>
          <t>BRL</t>
        </is>
      </c>
      <c r="H4800" s="9" t="n">
        <v>1300</v>
      </c>
      <c r="I4800" s="16" t="n">
        <v>46036</v>
      </c>
      <c r="J4800" s="16" t="n">
        <v>46036</v>
      </c>
      <c r="K4800" s="5" t="inlineStr">
        <is>
          <t>Vendor DP Request DAMIÃO FERREIRA 43851</t>
        </is>
      </c>
      <c r="L4800" s="5" t="inlineStr">
        <is>
          <t>14012026</t>
        </is>
      </c>
      <c r="M4800" s="5">
        <f>IF(YEAR(I4800)&lt;=2020,"Até 2020",TEXT(YEAR(I4800),"0"))</f>
        <v/>
      </c>
      <c r="N4800" s="5">
        <f>IFERROR(INDEX(DePara!$A:$A,MATCH(TEXT(B4800,"0"),DePara!$D:$D,0)),"(sem categoria)")</f>
        <v/>
      </c>
      <c r="O4800" s="5">
        <f>IF(J4800="","",Parametros!$B$6-J4800)</f>
        <v/>
      </c>
      <c r="P4800" s="5">
        <f>IF(O4800="","",IF(O4800&gt;0,1,0))</f>
        <v/>
      </c>
    </row>
    <row r="4801">
      <c r="A4801" s="5" t="n">
        <v>1117730000</v>
      </c>
      <c r="B4801" s="5" t="inlineStr">
        <is>
          <t>EM000134</t>
        </is>
      </c>
      <c r="C4801" s="5" t="inlineStr">
        <is>
          <t>FRED LACERDA MACEDO</t>
        </is>
      </c>
      <c r="D4801" s="5" t="inlineStr">
        <is>
          <t>ZP</t>
        </is>
      </c>
      <c r="E4801" s="5" t="n">
        <v>2000001657</v>
      </c>
      <c r="F4801" s="5" t="n"/>
      <c r="G4801" s="5" t="inlineStr">
        <is>
          <t>BRL</t>
        </is>
      </c>
      <c r="H4801" s="9" t="n">
        <v>910</v>
      </c>
      <c r="I4801" s="16" t="n">
        <v>46050</v>
      </c>
      <c r="J4801" s="16" t="n">
        <v>46050</v>
      </c>
      <c r="K4801" s="5" t="inlineStr">
        <is>
          <t>Vendor DP Request FRED LACERDA MACEDO 44178</t>
        </is>
      </c>
      <c r="L4801" s="5" t="inlineStr">
        <is>
          <t>28012026</t>
        </is>
      </c>
      <c r="M4801" s="5">
        <f>IF(YEAR(I4801)&lt;=2020,"Até 2020",TEXT(YEAR(I4801),"0"))</f>
        <v/>
      </c>
      <c r="N4801" s="5">
        <f>IFERROR(INDEX(DePara!$A:$A,MATCH(TEXT(B4801,"0"),DePara!$D:$D,0)),"(sem categoria)")</f>
        <v/>
      </c>
      <c r="O4801" s="5">
        <f>IF(J4801="","",Parametros!$B$6-J4801)</f>
        <v/>
      </c>
      <c r="P4801" s="5">
        <f>IF(O4801="","",IF(O4801&gt;0,1,0))</f>
        <v/>
      </c>
    </row>
    <row r="4802">
      <c r="A4802" s="5" t="n">
        <v>1117730000</v>
      </c>
      <c r="B4802" s="5" t="inlineStr">
        <is>
          <t>EM003480</t>
        </is>
      </c>
      <c r="C4802" s="5" t="inlineStr">
        <is>
          <t>ISLAILSON MARTINS MACIEL ABREU</t>
        </is>
      </c>
      <c r="D4802" s="5" t="inlineStr">
        <is>
          <t>ZP</t>
        </is>
      </c>
      <c r="E4802" s="5" t="n">
        <v>2000001699</v>
      </c>
      <c r="F4802" s="5" t="n"/>
      <c r="G4802" s="5" t="inlineStr">
        <is>
          <t>BRL</t>
        </is>
      </c>
      <c r="H4802" s="9" t="n">
        <v>910</v>
      </c>
      <c r="I4802" s="16" t="n">
        <v>46050</v>
      </c>
      <c r="J4802" s="16" t="n">
        <v>46050</v>
      </c>
      <c r="K4802" s="5" t="inlineStr">
        <is>
          <t>Vendor DP Request ISLAILSON MARTINS MACIEL ABREU 4</t>
        </is>
      </c>
      <c r="L4802" s="5" t="inlineStr">
        <is>
          <t>28012026</t>
        </is>
      </c>
      <c r="M4802" s="5">
        <f>IF(YEAR(I4802)&lt;=2020,"Até 2020",TEXT(YEAR(I4802),"0"))</f>
        <v/>
      </c>
      <c r="N4802" s="5">
        <f>IFERROR(INDEX(DePara!$A:$A,MATCH(TEXT(B4802,"0"),DePara!$D:$D,0)),"(sem categoria)")</f>
        <v/>
      </c>
      <c r="O4802" s="5">
        <f>IF(J4802="","",Parametros!$B$6-J4802)</f>
        <v/>
      </c>
      <c r="P4802" s="5">
        <f>IF(O4802="","",IF(O4802&gt;0,1,0))</f>
        <v/>
      </c>
    </row>
    <row r="4803">
      <c r="A4803" s="5" t="n">
        <v>1117730000</v>
      </c>
      <c r="B4803" s="5" t="inlineStr">
        <is>
          <t>EM000423</t>
        </is>
      </c>
      <c r="C4803" s="5" t="inlineStr">
        <is>
          <t>CARLOS GUILHERME RODRIGUES DA SILVA</t>
        </is>
      </c>
      <c r="D4803" s="5" t="inlineStr">
        <is>
          <t>ZP</t>
        </is>
      </c>
      <c r="E4803" s="5" t="n">
        <v>2000001829</v>
      </c>
      <c r="F4803" s="5" t="n"/>
      <c r="G4803" s="5" t="inlineStr">
        <is>
          <t>BRL</t>
        </is>
      </c>
      <c r="H4803" s="9" t="n">
        <v>260</v>
      </c>
      <c r="I4803" s="16" t="n">
        <v>46057</v>
      </c>
      <c r="J4803" s="16" t="n">
        <v>46057</v>
      </c>
      <c r="K4803" s="5" t="inlineStr">
        <is>
          <t>Vendor DP Request CARLOS GUILHERME RODRIGUES DA SI</t>
        </is>
      </c>
      <c r="L4803" s="5" t="inlineStr">
        <is>
          <t>04022026</t>
        </is>
      </c>
      <c r="M4803" s="5">
        <f>IF(YEAR(I4803)&lt;=2020,"Até 2020",TEXT(YEAR(I4803),"0"))</f>
        <v/>
      </c>
      <c r="N4803" s="5">
        <f>IFERROR(INDEX(DePara!$A:$A,MATCH(TEXT(B4803,"0"),DePara!$D:$D,0)),"(sem categoria)")</f>
        <v/>
      </c>
      <c r="O4803" s="5">
        <f>IF(J4803="","",Parametros!$B$6-J4803)</f>
        <v/>
      </c>
      <c r="P4803" s="5">
        <f>IF(O4803="","",IF(O4803&gt;0,1,0))</f>
        <v/>
      </c>
    </row>
    <row r="4804">
      <c r="A4804" s="5" t="n">
        <v>1117730000</v>
      </c>
      <c r="B4804" s="5" t="inlineStr">
        <is>
          <t>EM000868</t>
        </is>
      </c>
      <c r="C4804" s="5" t="inlineStr">
        <is>
          <t>BERNARDO SÉRGIO MENDONÇA</t>
        </is>
      </c>
      <c r="D4804" s="5" t="inlineStr">
        <is>
          <t>ZP</t>
        </is>
      </c>
      <c r="E4804" s="5" t="n">
        <v>2000001842</v>
      </c>
      <c r="F4804" s="5" t="n"/>
      <c r="G4804" s="5" t="inlineStr">
        <is>
          <t>BRL</t>
        </is>
      </c>
      <c r="H4804" s="9" t="n">
        <v>1690</v>
      </c>
      <c r="I4804" s="16" t="n">
        <v>46057</v>
      </c>
      <c r="J4804" s="16" t="n">
        <v>46057</v>
      </c>
      <c r="K4804" s="5" t="inlineStr">
        <is>
          <t>Vendor DP Request BERNARDO SÉRGIO MENDONÇA 44238</t>
        </is>
      </c>
      <c r="L4804" s="5" t="inlineStr">
        <is>
          <t>04022026</t>
        </is>
      </c>
      <c r="M4804" s="5">
        <f>IF(YEAR(I4804)&lt;=2020,"Até 2020",TEXT(YEAR(I4804),"0"))</f>
        <v/>
      </c>
      <c r="N4804" s="5">
        <f>IFERROR(INDEX(DePara!$A:$A,MATCH(TEXT(B4804,"0"),DePara!$D:$D,0)),"(sem categoria)")</f>
        <v/>
      </c>
      <c r="O4804" s="5">
        <f>IF(J4804="","",Parametros!$B$6-J4804)</f>
        <v/>
      </c>
      <c r="P4804" s="5">
        <f>IF(O4804="","",IF(O4804&gt;0,1,0))</f>
        <v/>
      </c>
    </row>
    <row r="4805">
      <c r="A4805" s="5" t="n">
        <v>1117730000</v>
      </c>
      <c r="B4805" s="5" t="inlineStr">
        <is>
          <t>EM000128</t>
        </is>
      </c>
      <c r="C4805" s="5" t="inlineStr">
        <is>
          <t>FRANCISCO MARDONIO TORRES DA SILVA</t>
        </is>
      </c>
      <c r="D4805" s="5" t="inlineStr">
        <is>
          <t>ZP</t>
        </is>
      </c>
      <c r="E4805" s="5" t="n">
        <v>2000002877</v>
      </c>
      <c r="F4805" s="5" t="n"/>
      <c r="G4805" s="5" t="inlineStr">
        <is>
          <t>BRL</t>
        </is>
      </c>
      <c r="H4805" s="9" t="n">
        <v>910</v>
      </c>
      <c r="I4805" s="16" t="n">
        <v>46072</v>
      </c>
      <c r="J4805" s="16" t="n">
        <v>46072</v>
      </c>
      <c r="K4805" s="5" t="inlineStr">
        <is>
          <t>Vendor DP Request FRANCISCO MARDONIO TORRES DA SIL</t>
        </is>
      </c>
      <c r="L4805" s="5" t="inlineStr">
        <is>
          <t>19022026</t>
        </is>
      </c>
      <c r="M4805" s="5">
        <f>IF(YEAR(I4805)&lt;=2020,"Até 2020",TEXT(YEAR(I4805),"0"))</f>
        <v/>
      </c>
      <c r="N4805" s="5">
        <f>IFERROR(INDEX(DePara!$A:$A,MATCH(TEXT(B4805,"0"),DePara!$D:$D,0)),"(sem categoria)")</f>
        <v/>
      </c>
      <c r="O4805" s="5">
        <f>IF(J4805="","",Parametros!$B$6-J4805)</f>
        <v/>
      </c>
      <c r="P4805" s="5">
        <f>IF(O4805="","",IF(O4805&gt;0,1,0))</f>
        <v/>
      </c>
    </row>
    <row r="4806">
      <c r="A4806" s="5" t="n">
        <v>1117730000</v>
      </c>
      <c r="B4806" s="5" t="inlineStr">
        <is>
          <t>EM000145</t>
        </is>
      </c>
      <c r="C4806" s="5" t="inlineStr">
        <is>
          <t>THIAGO SPINOSA</t>
        </is>
      </c>
      <c r="D4806" s="5" t="inlineStr">
        <is>
          <t>ZP</t>
        </is>
      </c>
      <c r="E4806" s="5" t="n">
        <v>2000002878</v>
      </c>
      <c r="F4806" s="5" t="n"/>
      <c r="G4806" s="5" t="inlineStr">
        <is>
          <t>BRL</t>
        </is>
      </c>
      <c r="H4806" s="9" t="n">
        <v>420</v>
      </c>
      <c r="I4806" s="16" t="n">
        <v>46072</v>
      </c>
      <c r="J4806" s="16" t="n">
        <v>46072</v>
      </c>
      <c r="K4806" s="5" t="inlineStr">
        <is>
          <t>Vendor DP Request THIAGO SPINOSA 44353</t>
        </is>
      </c>
      <c r="L4806" s="5" t="inlineStr">
        <is>
          <t>19022026</t>
        </is>
      </c>
      <c r="M4806" s="5">
        <f>IF(YEAR(I4806)&lt;=2020,"Até 2020",TEXT(YEAR(I4806),"0"))</f>
        <v/>
      </c>
      <c r="N4806" s="5">
        <f>IFERROR(INDEX(DePara!$A:$A,MATCH(TEXT(B4806,"0"),DePara!$D:$D,0)),"(sem categoria)")</f>
        <v/>
      </c>
      <c r="O4806" s="5">
        <f>IF(J4806="","",Parametros!$B$6-J4806)</f>
        <v/>
      </c>
      <c r="P4806" s="5">
        <f>IF(O4806="","",IF(O4806&gt;0,1,0))</f>
        <v/>
      </c>
    </row>
    <row r="4807">
      <c r="A4807" s="5" t="n">
        <v>1117730000</v>
      </c>
      <c r="B4807" s="5" t="inlineStr">
        <is>
          <t>EM000964</t>
        </is>
      </c>
      <c r="C4807" s="5" t="inlineStr">
        <is>
          <t>ANA MARIA BOTELHO FONSECA</t>
        </is>
      </c>
      <c r="D4807" s="5" t="inlineStr">
        <is>
          <t>ZP</t>
        </is>
      </c>
      <c r="E4807" s="5" t="n">
        <v>2000002912</v>
      </c>
      <c r="F4807" s="5" t="n"/>
      <c r="G4807" s="5" t="inlineStr">
        <is>
          <t>BRL</t>
        </is>
      </c>
      <c r="H4807" s="9" t="n">
        <v>1869</v>
      </c>
      <c r="I4807" s="16" t="n">
        <v>46072</v>
      </c>
      <c r="J4807" s="16" t="n">
        <v>46072</v>
      </c>
      <c r="K4807" s="5" t="inlineStr">
        <is>
          <t>Vendor DP Request ANA MARIA BOTELHO FONSECA 44251</t>
        </is>
      </c>
      <c r="L4807" s="5" t="inlineStr">
        <is>
          <t>19022026</t>
        </is>
      </c>
      <c r="M4807" s="5">
        <f>IF(YEAR(I4807)&lt;=2020,"Até 2020",TEXT(YEAR(I4807),"0"))</f>
        <v/>
      </c>
      <c r="N4807" s="5">
        <f>IFERROR(INDEX(DePara!$A:$A,MATCH(TEXT(B4807,"0"),DePara!$D:$D,0)),"(sem categoria)")</f>
        <v/>
      </c>
      <c r="O4807" s="5">
        <f>IF(J4807="","",Parametros!$B$6-J4807)</f>
        <v/>
      </c>
      <c r="P4807" s="5">
        <f>IF(O4807="","",IF(O4807&gt;0,1,0))</f>
        <v/>
      </c>
    </row>
    <row r="4808">
      <c r="A4808" s="5" t="n">
        <v>1117730000</v>
      </c>
      <c r="B4808" s="5" t="inlineStr">
        <is>
          <t>EM000928</t>
        </is>
      </c>
      <c r="C4808" s="5" t="inlineStr">
        <is>
          <t>LUCAS VINICIUS ALENCAR RIBEIRO</t>
        </is>
      </c>
      <c r="D4808" s="5" t="inlineStr">
        <is>
          <t>ZP</t>
        </is>
      </c>
      <c r="E4808" s="5" t="n">
        <v>2000003073</v>
      </c>
      <c r="F4808" s="5" t="n"/>
      <c r="G4808" s="5" t="inlineStr">
        <is>
          <t>BRL</t>
        </is>
      </c>
      <c r="H4808" s="9" t="n">
        <v>260</v>
      </c>
      <c r="I4808" s="16" t="n">
        <v>46078</v>
      </c>
      <c r="J4808" s="16" t="n">
        <v>46078</v>
      </c>
      <c r="K4808" s="5" t="inlineStr">
        <is>
          <t>Vendor DP Request LUCAS VINICIUS ALENCAR RIBEIRO 4</t>
        </is>
      </c>
      <c r="L4808" s="5" t="inlineStr">
        <is>
          <t>25022026</t>
        </is>
      </c>
      <c r="M4808" s="5">
        <f>IF(YEAR(I4808)&lt;=2020,"Até 2020",TEXT(YEAR(I4808),"0"))</f>
        <v/>
      </c>
      <c r="N4808" s="5">
        <f>IFERROR(INDEX(DePara!$A:$A,MATCH(TEXT(B4808,"0"),DePara!$D:$D,0)),"(sem categoria)")</f>
        <v/>
      </c>
      <c r="O4808" s="5">
        <f>IF(J4808="","",Parametros!$B$6-J4808)</f>
        <v/>
      </c>
      <c r="P4808" s="5">
        <f>IF(O4808="","",IF(O4808&gt;0,1,0))</f>
        <v/>
      </c>
    </row>
    <row r="4809">
      <c r="A4809" s="5" t="n">
        <v>1117730000</v>
      </c>
      <c r="B4809" s="5" t="inlineStr">
        <is>
          <t>EM000038</t>
        </is>
      </c>
      <c r="C4809" s="5" t="inlineStr">
        <is>
          <t>FRANCISCO BENEDITO FILHO</t>
        </is>
      </c>
      <c r="D4809" s="5" t="inlineStr">
        <is>
          <t>ZP</t>
        </is>
      </c>
      <c r="E4809" s="5" t="n">
        <v>2000003210</v>
      </c>
      <c r="F4809" s="5" t="n"/>
      <c r="G4809" s="5" t="inlineStr">
        <is>
          <t>BRL</t>
        </is>
      </c>
      <c r="H4809" s="9" t="n">
        <v>650</v>
      </c>
      <c r="I4809" s="16" t="n">
        <v>46085</v>
      </c>
      <c r="J4809" s="16" t="n">
        <v>46085</v>
      </c>
      <c r="K4809" s="5" t="inlineStr">
        <is>
          <t>Vendor DP Request FRANCISCO BENEDITO FILHO 44428</t>
        </is>
      </c>
      <c r="L4809" s="5" t="inlineStr">
        <is>
          <t>04032026</t>
        </is>
      </c>
      <c r="M4809" s="5">
        <f>IF(YEAR(I4809)&lt;=2020,"Até 2020",TEXT(YEAR(I4809),"0"))</f>
        <v/>
      </c>
      <c r="N4809" s="5">
        <f>IFERROR(INDEX(DePara!$A:$A,MATCH(TEXT(B4809,"0"),DePara!$D:$D,0)),"(sem categoria)")</f>
        <v/>
      </c>
      <c r="O4809" s="5">
        <f>IF(J4809="","",Parametros!$B$6-J4809)</f>
        <v/>
      </c>
      <c r="P4809" s="5">
        <f>IF(O4809="","",IF(O4809&gt;0,1,0))</f>
        <v/>
      </c>
    </row>
    <row r="4810">
      <c r="A4810" s="5" t="n">
        <v>1117730000</v>
      </c>
      <c r="B4810" s="5" t="inlineStr">
        <is>
          <t>EM000391</t>
        </is>
      </c>
      <c r="C4810" s="5" t="inlineStr">
        <is>
          <t>GERLAN DA SILVA SAMPAIO</t>
        </is>
      </c>
      <c r="D4810" s="5" t="inlineStr">
        <is>
          <t>ZP</t>
        </is>
      </c>
      <c r="E4810" s="5" t="n">
        <v>2000003244</v>
      </c>
      <c r="F4810" s="5" t="n"/>
      <c r="G4810" s="5" t="inlineStr">
        <is>
          <t>BRL</t>
        </is>
      </c>
      <c r="H4810" s="9" t="n">
        <v>2574.26</v>
      </c>
      <c r="I4810" s="16" t="n">
        <v>46085</v>
      </c>
      <c r="J4810" s="16" t="n">
        <v>46085</v>
      </c>
      <c r="K4810" s="5" t="inlineStr">
        <is>
          <t>Vendor DP Request GERLAN DA SILVA SAMPAIO 44410</t>
        </is>
      </c>
      <c r="L4810" s="5" t="inlineStr">
        <is>
          <t>04032026</t>
        </is>
      </c>
      <c r="M4810" s="5">
        <f>IF(YEAR(I4810)&lt;=2020,"Até 2020",TEXT(YEAR(I4810),"0"))</f>
        <v/>
      </c>
      <c r="N4810" s="5">
        <f>IFERROR(INDEX(DePara!$A:$A,MATCH(TEXT(B4810,"0"),DePara!$D:$D,0)),"(sem categoria)")</f>
        <v/>
      </c>
      <c r="O4810" s="5">
        <f>IF(J4810="","",Parametros!$B$6-J4810)</f>
        <v/>
      </c>
      <c r="P4810" s="5">
        <f>IF(O4810="","",IF(O4810&gt;0,1,0))</f>
        <v/>
      </c>
    </row>
    <row r="4811">
      <c r="A4811" s="5" t="n">
        <v>1117730000</v>
      </c>
      <c r="B4811" s="5" t="inlineStr">
        <is>
          <t>EM000746</t>
        </is>
      </c>
      <c r="C4811" s="5" t="inlineStr">
        <is>
          <t>FABIO SANTIAGO GOMES</t>
        </is>
      </c>
      <c r="D4811" s="5" t="inlineStr">
        <is>
          <t>ZP</t>
        </is>
      </c>
      <c r="E4811" s="5" t="n">
        <v>2000003268</v>
      </c>
      <c r="F4811" s="5" t="n"/>
      <c r="G4811" s="5" t="inlineStr">
        <is>
          <t>BRL</t>
        </is>
      </c>
      <c r="H4811" s="9" t="n">
        <v>2210</v>
      </c>
      <c r="I4811" s="16" t="n">
        <v>46085</v>
      </c>
      <c r="J4811" s="16" t="n">
        <v>46085</v>
      </c>
      <c r="K4811" s="5" t="inlineStr">
        <is>
          <t>Vendor DP Request FABIO SANTIAGO GOMES 44408</t>
        </is>
      </c>
      <c r="L4811" s="5" t="inlineStr">
        <is>
          <t>04032026</t>
        </is>
      </c>
      <c r="M4811" s="5">
        <f>IF(YEAR(I4811)&lt;=2020,"Até 2020",TEXT(YEAR(I4811),"0"))</f>
        <v/>
      </c>
      <c r="N4811" s="5">
        <f>IFERROR(INDEX(DePara!$A:$A,MATCH(TEXT(B4811,"0"),DePara!$D:$D,0)),"(sem categoria)")</f>
        <v/>
      </c>
      <c r="O4811" s="5">
        <f>IF(J4811="","",Parametros!$B$6-J4811)</f>
        <v/>
      </c>
      <c r="P4811" s="5">
        <f>IF(O4811="","",IF(O4811&gt;0,1,0))</f>
        <v/>
      </c>
    </row>
    <row r="4812">
      <c r="A4812" s="5" t="n">
        <v>1117730000</v>
      </c>
      <c r="B4812" s="5" t="inlineStr">
        <is>
          <t>EM000895</t>
        </is>
      </c>
      <c r="C4812" s="5" t="inlineStr">
        <is>
          <t>IVONALDO FERNANDES DOS SANTOS</t>
        </is>
      </c>
      <c r="D4812" s="5" t="inlineStr">
        <is>
          <t>ZP</t>
        </is>
      </c>
      <c r="E4812" s="5" t="n">
        <v>2000003276</v>
      </c>
      <c r="F4812" s="5" t="n"/>
      <c r="G4812" s="5" t="inlineStr">
        <is>
          <t>BRL</t>
        </is>
      </c>
      <c r="H4812" s="9" t="n">
        <v>650</v>
      </c>
      <c r="I4812" s="16" t="n">
        <v>46085</v>
      </c>
      <c r="J4812" s="16" t="n">
        <v>46085</v>
      </c>
      <c r="K4812" s="5" t="inlineStr">
        <is>
          <t>Vendor DP Request IVONALDO FERNANDES DOS SANTOS 44</t>
        </is>
      </c>
      <c r="L4812" s="5" t="inlineStr">
        <is>
          <t>04032026</t>
        </is>
      </c>
      <c r="M4812" s="5">
        <f>IF(YEAR(I4812)&lt;=2020,"Até 2020",TEXT(YEAR(I4812),"0"))</f>
        <v/>
      </c>
      <c r="N4812" s="5">
        <f>IFERROR(INDEX(DePara!$A:$A,MATCH(TEXT(B4812,"0"),DePara!$D:$D,0)),"(sem categoria)")</f>
        <v/>
      </c>
      <c r="O4812" s="5">
        <f>IF(J4812="","",Parametros!$B$6-J4812)</f>
        <v/>
      </c>
      <c r="P4812" s="5">
        <f>IF(O4812="","",IF(O4812&gt;0,1,0))</f>
        <v/>
      </c>
    </row>
    <row r="4813">
      <c r="A4813" s="5" t="n">
        <v>1117730000</v>
      </c>
      <c r="B4813" s="5" t="inlineStr">
        <is>
          <t>EM003521</t>
        </is>
      </c>
      <c r="C4813" s="5" t="inlineStr">
        <is>
          <t>CLAUDIO COELHO</t>
        </is>
      </c>
      <c r="D4813" s="5" t="inlineStr">
        <is>
          <t>ZP</t>
        </is>
      </c>
      <c r="E4813" s="5" t="n">
        <v>2000003287</v>
      </c>
      <c r="F4813" s="5" t="n"/>
      <c r="G4813" s="5" t="inlineStr">
        <is>
          <t>BRL</t>
        </is>
      </c>
      <c r="H4813" s="9" t="n">
        <v>910</v>
      </c>
      <c r="I4813" s="16" t="n">
        <v>46085</v>
      </c>
      <c r="J4813" s="16" t="n">
        <v>46085</v>
      </c>
      <c r="K4813" s="5" t="inlineStr">
        <is>
          <t>Vendor DP Request CLAUDIO COELHO 44336</t>
        </is>
      </c>
      <c r="L4813" s="5" t="inlineStr">
        <is>
          <t>04032026</t>
        </is>
      </c>
      <c r="M4813" s="5">
        <f>IF(YEAR(I4813)&lt;=2020,"Até 2020",TEXT(YEAR(I4813),"0"))</f>
        <v/>
      </c>
      <c r="N4813" s="5">
        <f>IFERROR(INDEX(DePara!$A:$A,MATCH(TEXT(B4813,"0"),DePara!$D:$D,0)),"(sem categoria)")</f>
        <v/>
      </c>
      <c r="O4813" s="5">
        <f>IF(J4813="","",Parametros!$B$6-J4813)</f>
        <v/>
      </c>
      <c r="P4813" s="5">
        <f>IF(O4813="","",IF(O4813&gt;0,1,0))</f>
        <v/>
      </c>
    </row>
    <row r="4814">
      <c r="A4814" s="5" t="n">
        <v>1117730000</v>
      </c>
      <c r="B4814" s="5" t="inlineStr">
        <is>
          <t>EM000556</t>
        </is>
      </c>
      <c r="C4814" s="5" t="inlineStr">
        <is>
          <t>LUIZ BRAULY RODRIGUES DE AZEVEDO</t>
        </is>
      </c>
      <c r="D4814" s="5" t="inlineStr">
        <is>
          <t>ZP</t>
        </is>
      </c>
      <c r="E4814" s="5" t="n">
        <v>2000004699</v>
      </c>
      <c r="F4814" s="5" t="n"/>
      <c r="G4814" s="5" t="inlineStr">
        <is>
          <t>BRL</t>
        </is>
      </c>
      <c r="H4814" s="9" t="n">
        <v>650</v>
      </c>
      <c r="I4814" s="16" t="n">
        <v>46092</v>
      </c>
      <c r="J4814" s="16" t="n">
        <v>46092</v>
      </c>
      <c r="K4814" s="5" t="inlineStr">
        <is>
          <t>Vendor DP Request LUIZ BRAULY RODRIGUES DE AZEVEDO</t>
        </is>
      </c>
      <c r="L4814" s="5" t="inlineStr">
        <is>
          <t>11032026</t>
        </is>
      </c>
      <c r="M4814" s="5">
        <f>IF(YEAR(I4814)&lt;=2020,"Até 2020",TEXT(YEAR(I4814),"0"))</f>
        <v/>
      </c>
      <c r="N4814" s="5">
        <f>IFERROR(INDEX(DePara!$A:$A,MATCH(TEXT(B4814,"0"),DePara!$D:$D,0)),"(sem categoria)")</f>
        <v/>
      </c>
      <c r="O4814" s="5">
        <f>IF(J4814="","",Parametros!$B$6-J4814)</f>
        <v/>
      </c>
      <c r="P4814" s="5">
        <f>IF(O4814="","",IF(O4814&gt;0,1,0))</f>
        <v/>
      </c>
    </row>
    <row r="4815">
      <c r="A4815" s="5" t="n">
        <v>1117730000</v>
      </c>
      <c r="B4815" s="5" t="inlineStr">
        <is>
          <t>EM000654</t>
        </is>
      </c>
      <c r="C4815" s="5" t="inlineStr">
        <is>
          <t>FRANCISCO THOMAZ AMIRATI UCHOA</t>
        </is>
      </c>
      <c r="D4815" s="5" t="inlineStr">
        <is>
          <t>ZP</t>
        </is>
      </c>
      <c r="E4815" s="5" t="n">
        <v>2000004701</v>
      </c>
      <c r="F4815" s="5" t="n"/>
      <c r="G4815" s="5" t="inlineStr">
        <is>
          <t>BRL</t>
        </is>
      </c>
      <c r="H4815" s="9" t="n">
        <v>2185.2</v>
      </c>
      <c r="I4815" s="16" t="n">
        <v>46092</v>
      </c>
      <c r="J4815" s="16" t="n">
        <v>46092</v>
      </c>
      <c r="K4815" s="5" t="inlineStr">
        <is>
          <t>Vendor DP Request FRANCISCO THOMAZ AMIRATI UCHOA 4</t>
        </is>
      </c>
      <c r="L4815" s="5" t="inlineStr">
        <is>
          <t>11032026</t>
        </is>
      </c>
      <c r="M4815" s="5">
        <f>IF(YEAR(I4815)&lt;=2020,"Até 2020",TEXT(YEAR(I4815),"0"))</f>
        <v/>
      </c>
      <c r="N4815" s="5">
        <f>IFERROR(INDEX(DePara!$A:$A,MATCH(TEXT(B4815,"0"),DePara!$D:$D,0)),"(sem categoria)")</f>
        <v/>
      </c>
      <c r="O4815" s="5">
        <f>IF(J4815="","",Parametros!$B$6-J4815)</f>
        <v/>
      </c>
      <c r="P4815" s="5">
        <f>IF(O4815="","",IF(O4815&gt;0,1,0))</f>
        <v/>
      </c>
    </row>
    <row r="4816">
      <c r="A4816" s="5" t="n">
        <v>1117730000</v>
      </c>
      <c r="B4816" s="5" t="inlineStr">
        <is>
          <t>EM000883</t>
        </is>
      </c>
      <c r="C4816" s="5" t="inlineStr">
        <is>
          <t>GLINTON LEONARDO FERNANDES PEREIRA</t>
        </is>
      </c>
      <c r="D4816" s="5" t="inlineStr">
        <is>
          <t>ZP</t>
        </is>
      </c>
      <c r="E4816" s="5" t="n">
        <v>2000004713</v>
      </c>
      <c r="F4816" s="5" t="n"/>
      <c r="G4816" s="5" t="inlineStr">
        <is>
          <t>BRL</t>
        </is>
      </c>
      <c r="H4816" s="9" t="n">
        <v>390</v>
      </c>
      <c r="I4816" s="16" t="n">
        <v>46092</v>
      </c>
      <c r="J4816" s="16" t="n">
        <v>46092</v>
      </c>
      <c r="K4816" s="5" t="inlineStr">
        <is>
          <t>Vendor DP Request GLINTON LEONARDO FERNANDES PEREI</t>
        </is>
      </c>
      <c r="L4816" s="5" t="inlineStr">
        <is>
          <t>11032026</t>
        </is>
      </c>
      <c r="M4816" s="5">
        <f>IF(YEAR(I4816)&lt;=2020,"Até 2020",TEXT(YEAR(I4816),"0"))</f>
        <v/>
      </c>
      <c r="N4816" s="5">
        <f>IFERROR(INDEX(DePara!$A:$A,MATCH(TEXT(B4816,"0"),DePara!$D:$D,0)),"(sem categoria)")</f>
        <v/>
      </c>
      <c r="O4816" s="5">
        <f>IF(J4816="","",Parametros!$B$6-J4816)</f>
        <v/>
      </c>
      <c r="P4816" s="5">
        <f>IF(O4816="","",IF(O4816&gt;0,1,0))</f>
        <v/>
      </c>
    </row>
    <row r="4817">
      <c r="A4817" s="5" t="n">
        <v>1117730000</v>
      </c>
      <c r="B4817" s="5" t="inlineStr">
        <is>
          <t>EM000281</t>
        </is>
      </c>
      <c r="C4817" s="5" t="inlineStr">
        <is>
          <t>VANESSA REGINA DE CAMARGO</t>
        </is>
      </c>
      <c r="D4817" s="5" t="inlineStr">
        <is>
          <t>ZP</t>
        </is>
      </c>
      <c r="E4817" s="5" t="n">
        <v>2000004781</v>
      </c>
      <c r="F4817" s="5" t="n"/>
      <c r="G4817" s="5" t="inlineStr">
        <is>
          <t>BRL</t>
        </is>
      </c>
      <c r="H4817" s="9" t="n">
        <v>2304</v>
      </c>
      <c r="I4817" s="16" t="n">
        <v>45700</v>
      </c>
      <c r="J4817" s="16" t="n">
        <v>45700</v>
      </c>
      <c r="K4817" s="5" t="inlineStr">
        <is>
          <t>Documento fornecedor VANESSA REGINA DE CAMARGO PLA</t>
        </is>
      </c>
      <c r="L4817" s="5" t="inlineStr">
        <is>
          <t>12022025</t>
        </is>
      </c>
      <c r="M4817" s="5">
        <f>IF(YEAR(I4817)&lt;=2020,"Até 2020",TEXT(YEAR(I4817),"0"))</f>
        <v/>
      </c>
      <c r="N4817" s="5">
        <f>IFERROR(INDEX(DePara!$A:$A,MATCH(TEXT(B4817,"0"),DePara!$D:$D,0)),"(sem categoria)")</f>
        <v/>
      </c>
      <c r="O4817" s="5">
        <f>IF(J4817="","",Parametros!$B$6-J4817)</f>
        <v/>
      </c>
      <c r="P4817" s="5">
        <f>IF(O4817="","",IF(O4817&gt;0,1,0))</f>
        <v/>
      </c>
    </row>
    <row r="4818">
      <c r="A4818" s="5" t="n">
        <v>1117730000</v>
      </c>
      <c r="B4818" s="5" t="inlineStr">
        <is>
          <t>EM000746</t>
        </is>
      </c>
      <c r="C4818" s="5" t="inlineStr">
        <is>
          <t>FABIO SANTIAGO GOMES</t>
        </is>
      </c>
      <c r="D4818" s="5" t="inlineStr">
        <is>
          <t>ZP</t>
        </is>
      </c>
      <c r="E4818" s="5" t="n">
        <v>2000004945</v>
      </c>
      <c r="F4818" s="5" t="n"/>
      <c r="G4818" s="5" t="inlineStr">
        <is>
          <t>BRL</t>
        </is>
      </c>
      <c r="H4818" s="9" t="n">
        <v>1300</v>
      </c>
      <c r="I4818" s="16" t="n">
        <v>46099</v>
      </c>
      <c r="J4818" s="16" t="n">
        <v>46099</v>
      </c>
      <c r="K4818" s="5" t="inlineStr">
        <is>
          <t>Vendor DP Request FABIO SANTIAGO GOMES 45573</t>
        </is>
      </c>
      <c r="L4818" s="5" t="inlineStr">
        <is>
          <t>18032026</t>
        </is>
      </c>
      <c r="M4818" s="5">
        <f>IF(YEAR(I4818)&lt;=2020,"Até 2020",TEXT(YEAR(I4818),"0"))</f>
        <v/>
      </c>
      <c r="N4818" s="5">
        <f>IFERROR(INDEX(DePara!$A:$A,MATCH(TEXT(B4818,"0"),DePara!$D:$D,0)),"(sem categoria)")</f>
        <v/>
      </c>
      <c r="O4818" s="5">
        <f>IF(J4818="","",Parametros!$B$6-J4818)</f>
        <v/>
      </c>
      <c r="P4818" s="5">
        <f>IF(O4818="","",IF(O4818&gt;0,1,0))</f>
        <v/>
      </c>
    </row>
    <row r="4819">
      <c r="A4819" s="5" t="n">
        <v>1117730000</v>
      </c>
      <c r="B4819" s="5" t="inlineStr">
        <is>
          <t>EM000396</t>
        </is>
      </c>
      <c r="C4819" s="5" t="inlineStr">
        <is>
          <t>WALTIRLLEY FERREIRA DA COSTA</t>
        </is>
      </c>
      <c r="D4819" s="5" t="inlineStr">
        <is>
          <t>ZP</t>
        </is>
      </c>
      <c r="E4819" s="5" t="n">
        <v>2000005172</v>
      </c>
      <c r="F4819" s="5" t="inlineStr">
        <is>
          <t>32990</t>
        </is>
      </c>
      <c r="G4819" s="5" t="inlineStr">
        <is>
          <t>BRL</t>
        </is>
      </c>
      <c r="H4819" s="9" t="n">
        <v>130</v>
      </c>
      <c r="I4819" s="16" t="n">
        <v>46097</v>
      </c>
      <c r="J4819" s="16" t="n">
        <v>46097</v>
      </c>
      <c r="K4819" s="5" t="inlineStr">
        <is>
          <t>Documento fornecedor WALTIRLLEY FERREIRA DA COSTA</t>
        </is>
      </c>
      <c r="L4819" s="5" t="inlineStr">
        <is>
          <t>02072025</t>
        </is>
      </c>
      <c r="M4819" s="5">
        <f>IF(YEAR(I4819)&lt;=2020,"Até 2020",TEXT(YEAR(I4819),"0"))</f>
        <v/>
      </c>
      <c r="N4819" s="5">
        <f>IFERROR(INDEX(DePara!$A:$A,MATCH(TEXT(B4819,"0"),DePara!$D:$D,0)),"(sem categoria)")</f>
        <v/>
      </c>
      <c r="O4819" s="5">
        <f>IF(J4819="","",Parametros!$B$6-J4819)</f>
        <v/>
      </c>
      <c r="P4819" s="5">
        <f>IF(O4819="","",IF(O4819&gt;0,1,0))</f>
        <v/>
      </c>
    </row>
    <row r="4820">
      <c r="A4820" s="5" t="n">
        <v>1117730000</v>
      </c>
      <c r="B4820" s="5" t="inlineStr">
        <is>
          <t>EM000666</t>
        </is>
      </c>
      <c r="C4820" s="5" t="inlineStr">
        <is>
          <t>FAGNER OLIVEIRA DA SILVA</t>
        </is>
      </c>
      <c r="D4820" s="5" t="inlineStr">
        <is>
          <t>ZP</t>
        </is>
      </c>
      <c r="E4820" s="5" t="n">
        <v>2000005333</v>
      </c>
      <c r="F4820" s="5" t="n"/>
      <c r="G4820" s="5" t="inlineStr">
        <is>
          <t>BRL</t>
        </is>
      </c>
      <c r="H4820" s="9" t="n">
        <v>130</v>
      </c>
      <c r="I4820" s="16" t="n">
        <v>46113</v>
      </c>
      <c r="J4820" s="16" t="n">
        <v>46113</v>
      </c>
      <c r="K4820" s="5" t="inlineStr">
        <is>
          <t>Vendor DP Request FAGNER OLIVEIRA DA SILVA 45579</t>
        </is>
      </c>
      <c r="L4820" s="5" t="inlineStr">
        <is>
          <t>01042026</t>
        </is>
      </c>
      <c r="M4820" s="5">
        <f>IF(YEAR(I4820)&lt;=2020,"Até 2020",TEXT(YEAR(I4820),"0"))</f>
        <v/>
      </c>
      <c r="N4820" s="5">
        <f>IFERROR(INDEX(DePara!$A:$A,MATCH(TEXT(B4820,"0"),DePara!$D:$D,0)),"(sem categoria)")</f>
        <v/>
      </c>
      <c r="O4820" s="5">
        <f>IF(J4820="","",Parametros!$B$6-J4820)</f>
        <v/>
      </c>
      <c r="P4820" s="5">
        <f>IF(O4820="","",IF(O4820&gt;0,1,0))</f>
        <v/>
      </c>
    </row>
    <row r="4821">
      <c r="A4821" s="5" t="n">
        <v>1117730000</v>
      </c>
      <c r="B4821" s="5" t="inlineStr">
        <is>
          <t>EM000747</t>
        </is>
      </c>
      <c r="C4821" s="5" t="inlineStr">
        <is>
          <t>IGOR RAFAEL DA SILVA RAMOS</t>
        </is>
      </c>
      <c r="D4821" s="5" t="inlineStr">
        <is>
          <t>ZP</t>
        </is>
      </c>
      <c r="E4821" s="5" t="n">
        <v>2000005732</v>
      </c>
      <c r="F4821" s="5" t="n"/>
      <c r="G4821" s="5" t="inlineStr">
        <is>
          <t>BRL</t>
        </is>
      </c>
      <c r="H4821" s="9" t="n">
        <v>300</v>
      </c>
      <c r="I4821" s="16" t="n">
        <v>45441</v>
      </c>
      <c r="J4821" s="16" t="n">
        <v>45441</v>
      </c>
      <c r="K4821" s="5" t="inlineStr">
        <is>
          <t>Documento fornecedor IGOR RAFAEL DA SILVA RAMOS PL</t>
        </is>
      </c>
      <c r="L4821" s="5" t="inlineStr">
        <is>
          <t>29052024</t>
        </is>
      </c>
      <c r="M4821" s="5">
        <f>IF(YEAR(I4821)&lt;=2020,"Até 2020",TEXT(YEAR(I4821),"0"))</f>
        <v/>
      </c>
      <c r="N4821" s="5">
        <f>IFERROR(INDEX(DePara!$A:$A,MATCH(TEXT(B4821,"0"),DePara!$D:$D,0)),"(sem categoria)")</f>
        <v/>
      </c>
      <c r="O4821" s="5">
        <f>IF(J4821="","",Parametros!$B$6-J4821)</f>
        <v/>
      </c>
      <c r="P4821" s="5">
        <f>IF(O4821="","",IF(O4821&gt;0,1,0))</f>
        <v/>
      </c>
    </row>
    <row r="4822">
      <c r="A4822" s="5" t="n">
        <v>1117730000</v>
      </c>
      <c r="B4822" s="5" t="inlineStr">
        <is>
          <t>EM000237</t>
        </is>
      </c>
      <c r="C4822" s="5" t="inlineStr">
        <is>
          <t>PEDRO DA CRUZ SILVA JUNIOR</t>
        </is>
      </c>
      <c r="D4822" s="5" t="inlineStr">
        <is>
          <t>ZP</t>
        </is>
      </c>
      <c r="E4822" s="5" t="n">
        <v>2000005788</v>
      </c>
      <c r="F4822" s="5" t="n"/>
      <c r="G4822" s="5" t="inlineStr">
        <is>
          <t>BRL</t>
        </is>
      </c>
      <c r="H4822" s="9" t="n">
        <v>520</v>
      </c>
      <c r="I4822" s="16" t="n">
        <v>46120</v>
      </c>
      <c r="J4822" s="16" t="n">
        <v>46120</v>
      </c>
      <c r="K4822" s="5" t="inlineStr">
        <is>
          <t>Vendor DP Request PEDRO DA CRUZ SILVA JUNIOR 48720</t>
        </is>
      </c>
      <c r="L4822" s="5" t="inlineStr">
        <is>
          <t>08042026</t>
        </is>
      </c>
      <c r="M4822" s="5">
        <f>IF(YEAR(I4822)&lt;=2020,"Até 2020",TEXT(YEAR(I4822),"0"))</f>
        <v/>
      </c>
      <c r="N4822" s="5">
        <f>IFERROR(INDEX(DePara!$A:$A,MATCH(TEXT(B4822,"0"),DePara!$D:$D,0)),"(sem categoria)")</f>
        <v/>
      </c>
      <c r="O4822" s="5">
        <f>IF(J4822="","",Parametros!$B$6-J4822)</f>
        <v/>
      </c>
      <c r="P4822" s="5">
        <f>IF(O4822="","",IF(O4822&gt;0,1,0))</f>
        <v/>
      </c>
    </row>
    <row r="4823">
      <c r="A4823" s="5" t="n">
        <v>1117730000</v>
      </c>
      <c r="B4823" s="5" t="inlineStr">
        <is>
          <t>EM000237</t>
        </is>
      </c>
      <c r="C4823" s="5" t="inlineStr">
        <is>
          <t>PEDRO DA CRUZ SILVA JUNIOR</t>
        </is>
      </c>
      <c r="D4823" s="5" t="inlineStr">
        <is>
          <t>ZP</t>
        </is>
      </c>
      <c r="E4823" s="5" t="n">
        <v>2000005789</v>
      </c>
      <c r="F4823" s="5" t="n"/>
      <c r="G4823" s="5" t="inlineStr">
        <is>
          <t>BRL</t>
        </is>
      </c>
      <c r="H4823" s="9" t="n">
        <v>1170</v>
      </c>
      <c r="I4823" s="16" t="n">
        <v>46120</v>
      </c>
      <c r="J4823" s="16" t="n">
        <v>46120</v>
      </c>
      <c r="K4823" s="5" t="inlineStr">
        <is>
          <t>Vendor DP Request PEDRO DA CRUZ SILVA JUNIOR 48721</t>
        </is>
      </c>
      <c r="L4823" s="5" t="inlineStr">
        <is>
          <t>08042026</t>
        </is>
      </c>
      <c r="M4823" s="5">
        <f>IF(YEAR(I4823)&lt;=2020,"Até 2020",TEXT(YEAR(I4823),"0"))</f>
        <v/>
      </c>
      <c r="N4823" s="5">
        <f>IFERROR(INDEX(DePara!$A:$A,MATCH(TEXT(B4823,"0"),DePara!$D:$D,0)),"(sem categoria)")</f>
        <v/>
      </c>
      <c r="O4823" s="5">
        <f>IF(J4823="","",Parametros!$B$6-J4823)</f>
        <v/>
      </c>
      <c r="P4823" s="5">
        <f>IF(O4823="","",IF(O4823&gt;0,1,0))</f>
        <v/>
      </c>
    </row>
    <row r="4824">
      <c r="A4824" s="5" t="n">
        <v>1117730000</v>
      </c>
      <c r="B4824" s="5" t="inlineStr">
        <is>
          <t>EM000391</t>
        </is>
      </c>
      <c r="C4824" s="5" t="inlineStr">
        <is>
          <t>GERLAN DA SILVA SAMPAIO</t>
        </is>
      </c>
      <c r="D4824" s="5" t="inlineStr">
        <is>
          <t>ZP</t>
        </is>
      </c>
      <c r="E4824" s="5" t="n">
        <v>2000005797</v>
      </c>
      <c r="F4824" s="5" t="n"/>
      <c r="G4824" s="5" t="inlineStr">
        <is>
          <t>BRL</t>
        </is>
      </c>
      <c r="H4824" s="9" t="n">
        <v>780</v>
      </c>
      <c r="I4824" s="16" t="n">
        <v>46120</v>
      </c>
      <c r="J4824" s="16" t="n">
        <v>46120</v>
      </c>
      <c r="K4824" s="5" t="inlineStr">
        <is>
          <t>Vendor DP Request GERLAN DA SILVA SAMPAIO 46667</t>
        </is>
      </c>
      <c r="L4824" s="5" t="inlineStr">
        <is>
          <t>08042026</t>
        </is>
      </c>
      <c r="M4824" s="5">
        <f>IF(YEAR(I4824)&lt;=2020,"Até 2020",TEXT(YEAR(I4824),"0"))</f>
        <v/>
      </c>
      <c r="N4824" s="5">
        <f>IFERROR(INDEX(DePara!$A:$A,MATCH(TEXT(B4824,"0"),DePara!$D:$D,0)),"(sem categoria)")</f>
        <v/>
      </c>
      <c r="O4824" s="5">
        <f>IF(J4824="","",Parametros!$B$6-J4824)</f>
        <v/>
      </c>
      <c r="P4824" s="5">
        <f>IF(O4824="","",IF(O4824&gt;0,1,0))</f>
        <v/>
      </c>
    </row>
    <row r="4825">
      <c r="A4825" s="5" t="n">
        <v>1117730000</v>
      </c>
      <c r="B4825" s="5" t="inlineStr">
        <is>
          <t>EM000470</t>
        </is>
      </c>
      <c r="C4825" s="5" t="inlineStr">
        <is>
          <t>GUILHERME ROSSONI DOS SANTOS</t>
        </is>
      </c>
      <c r="D4825" s="5" t="inlineStr">
        <is>
          <t>ZP</t>
        </is>
      </c>
      <c r="E4825" s="5" t="n">
        <v>2000005808</v>
      </c>
      <c r="F4825" s="5" t="n"/>
      <c r="G4825" s="5" t="inlineStr">
        <is>
          <t>BRL</t>
        </is>
      </c>
      <c r="H4825" s="9" t="n">
        <v>650</v>
      </c>
      <c r="I4825" s="16" t="n">
        <v>46120</v>
      </c>
      <c r="J4825" s="16" t="n">
        <v>46120</v>
      </c>
      <c r="K4825" s="5" t="inlineStr">
        <is>
          <t>Vendor DP Request GUILHERME ROSSONI DOS SANTOS 444</t>
        </is>
      </c>
      <c r="L4825" s="5" t="inlineStr">
        <is>
          <t>08042026</t>
        </is>
      </c>
      <c r="M4825" s="5">
        <f>IF(YEAR(I4825)&lt;=2020,"Até 2020",TEXT(YEAR(I4825),"0"))</f>
        <v/>
      </c>
      <c r="N4825" s="5">
        <f>IFERROR(INDEX(DePara!$A:$A,MATCH(TEXT(B4825,"0"),DePara!$D:$D,0)),"(sem categoria)")</f>
        <v/>
      </c>
      <c r="O4825" s="5">
        <f>IF(J4825="","",Parametros!$B$6-J4825)</f>
        <v/>
      </c>
      <c r="P4825" s="5">
        <f>IF(O4825="","",IF(O4825&gt;0,1,0))</f>
        <v/>
      </c>
    </row>
    <row r="4826">
      <c r="A4826" s="5" t="n">
        <v>1117730000</v>
      </c>
      <c r="B4826" s="5" t="inlineStr">
        <is>
          <t>EM000423</t>
        </is>
      </c>
      <c r="C4826" s="5" t="inlineStr">
        <is>
          <t>CARLOS GUILHERME RODRIGUES DA SILVA</t>
        </is>
      </c>
      <c r="D4826" s="5" t="inlineStr">
        <is>
          <t>ZP</t>
        </is>
      </c>
      <c r="E4826" s="5" t="n">
        <v>2000006543</v>
      </c>
      <c r="F4826" s="5" t="n"/>
      <c r="G4826" s="5" t="inlineStr">
        <is>
          <t>BRL</t>
        </is>
      </c>
      <c r="H4826" s="9" t="n">
        <v>780</v>
      </c>
      <c r="I4826" s="16" t="n">
        <v>46127</v>
      </c>
      <c r="J4826" s="16" t="n">
        <v>46127</v>
      </c>
      <c r="K4826" s="5" t="inlineStr">
        <is>
          <t>Vendor DP Request CARLOS GUILHERME RODRIGUES DA SI</t>
        </is>
      </c>
      <c r="L4826" s="5" t="inlineStr">
        <is>
          <t>15042026</t>
        </is>
      </c>
      <c r="M4826" s="5">
        <f>IF(YEAR(I4826)&lt;=2020,"Até 2020",TEXT(YEAR(I4826),"0"))</f>
        <v/>
      </c>
      <c r="N4826" s="5">
        <f>IFERROR(INDEX(DePara!$A:$A,MATCH(TEXT(B4826,"0"),DePara!$D:$D,0)),"(sem categoria)")</f>
        <v/>
      </c>
      <c r="O4826" s="5">
        <f>IF(J4826="","",Parametros!$B$6-J4826)</f>
        <v/>
      </c>
      <c r="P4826" s="5">
        <f>IF(O4826="","",IF(O4826&gt;0,1,0))</f>
        <v/>
      </c>
    </row>
    <row r="4827">
      <c r="A4827" s="5" t="n">
        <v>1117730000</v>
      </c>
      <c r="B4827" s="5" t="inlineStr">
        <is>
          <t>EM000428</t>
        </is>
      </c>
      <c r="C4827" s="5" t="inlineStr">
        <is>
          <t>EVALDO SOARES DA SILVEIRA</t>
        </is>
      </c>
      <c r="D4827" s="5" t="inlineStr">
        <is>
          <t>ZP</t>
        </is>
      </c>
      <c r="E4827" s="5" t="n">
        <v>2000006544</v>
      </c>
      <c r="F4827" s="5" t="n"/>
      <c r="G4827" s="5" t="inlineStr">
        <is>
          <t>BRL</t>
        </is>
      </c>
      <c r="H4827" s="9" t="n">
        <v>4030</v>
      </c>
      <c r="I4827" s="16" t="n">
        <v>46127</v>
      </c>
      <c r="J4827" s="16" t="n">
        <v>46127</v>
      </c>
      <c r="K4827" s="5" t="inlineStr">
        <is>
          <t>Vendor DP Request EVALDO SOARES DA SILVEIRA 48782</t>
        </is>
      </c>
      <c r="L4827" s="5" t="inlineStr">
        <is>
          <t>15042026</t>
        </is>
      </c>
      <c r="M4827" s="5">
        <f>IF(YEAR(I4827)&lt;=2020,"Até 2020",TEXT(YEAR(I4827),"0"))</f>
        <v/>
      </c>
      <c r="N4827" s="5">
        <f>IFERROR(INDEX(DePara!$A:$A,MATCH(TEXT(B4827,"0"),DePara!$D:$D,0)),"(sem categoria)")</f>
        <v/>
      </c>
      <c r="O4827" s="5">
        <f>IF(J4827="","",Parametros!$B$6-J4827)</f>
        <v/>
      </c>
      <c r="P4827" s="5">
        <f>IF(O4827="","",IF(O4827&gt;0,1,0))</f>
        <v/>
      </c>
    </row>
    <row r="4828">
      <c r="A4828" s="5" t="n">
        <v>1117730000</v>
      </c>
      <c r="B4828" s="5" t="inlineStr">
        <is>
          <t>EM000879</t>
        </is>
      </c>
      <c r="C4828" s="5" t="inlineStr">
        <is>
          <t>JOSE LUIS COELHO DE SOUSA</t>
        </is>
      </c>
      <c r="D4828" s="5" t="inlineStr">
        <is>
          <t>ZP</t>
        </is>
      </c>
      <c r="E4828" s="5" t="n">
        <v>2000006563</v>
      </c>
      <c r="F4828" s="5" t="n"/>
      <c r="G4828" s="5" t="inlineStr">
        <is>
          <t>BRL</t>
        </is>
      </c>
      <c r="H4828" s="9" t="n">
        <v>910</v>
      </c>
      <c r="I4828" s="16" t="n">
        <v>46127</v>
      </c>
      <c r="J4828" s="16" t="n">
        <v>46127</v>
      </c>
      <c r="K4828" s="5" t="inlineStr">
        <is>
          <t>Vendor DP Request JOSE LUIS COELHO DE SOUSA 48798</t>
        </is>
      </c>
      <c r="L4828" s="5" t="inlineStr">
        <is>
          <t>15042026</t>
        </is>
      </c>
      <c r="M4828" s="5">
        <f>IF(YEAR(I4828)&lt;=2020,"Até 2020",TEXT(YEAR(I4828),"0"))</f>
        <v/>
      </c>
      <c r="N4828" s="5">
        <f>IFERROR(INDEX(DePara!$A:$A,MATCH(TEXT(B4828,"0"),DePara!$D:$D,0)),"(sem categoria)")</f>
        <v/>
      </c>
      <c r="O4828" s="5">
        <f>IF(J4828="","",Parametros!$B$6-J4828)</f>
        <v/>
      </c>
      <c r="P4828" s="5">
        <f>IF(O4828="","",IF(O4828&gt;0,1,0))</f>
        <v/>
      </c>
    </row>
    <row r="4829">
      <c r="A4829" s="5" t="n">
        <v>1117730000</v>
      </c>
      <c r="B4829" s="5" t="inlineStr">
        <is>
          <t>EM000895</t>
        </is>
      </c>
      <c r="C4829" s="5" t="inlineStr">
        <is>
          <t>IVONALDO FERNANDES DOS SANTOS</t>
        </is>
      </c>
      <c r="D4829" s="5" t="inlineStr">
        <is>
          <t>ZP</t>
        </is>
      </c>
      <c r="E4829" s="5" t="n">
        <v>2000006567</v>
      </c>
      <c r="F4829" s="5" t="n"/>
      <c r="G4829" s="5" t="inlineStr">
        <is>
          <t>BRL</t>
        </is>
      </c>
      <c r="H4829" s="9" t="n">
        <v>650</v>
      </c>
      <c r="I4829" s="16" t="n">
        <v>46127</v>
      </c>
      <c r="J4829" s="16" t="n">
        <v>46127</v>
      </c>
      <c r="K4829" s="5" t="inlineStr">
        <is>
          <t>Vendor DP Request IVONALDO FERNANDES DOS SANTOS 48</t>
        </is>
      </c>
      <c r="L4829" s="5" t="inlineStr">
        <is>
          <t>15042026</t>
        </is>
      </c>
      <c r="M4829" s="5">
        <f>IF(YEAR(I4829)&lt;=2020,"Até 2020",TEXT(YEAR(I4829),"0"))</f>
        <v/>
      </c>
      <c r="N4829" s="5">
        <f>IFERROR(INDEX(DePara!$A:$A,MATCH(TEXT(B4829,"0"),DePara!$D:$D,0)),"(sem categoria)")</f>
        <v/>
      </c>
      <c r="O4829" s="5">
        <f>IF(J4829="","",Parametros!$B$6-J4829)</f>
        <v/>
      </c>
      <c r="P4829" s="5">
        <f>IF(O4829="","",IF(O4829&gt;0,1,0))</f>
        <v/>
      </c>
    </row>
    <row r="4830">
      <c r="A4830" s="5" t="n">
        <v>1117730000</v>
      </c>
      <c r="B4830" s="5" t="inlineStr">
        <is>
          <t>EM000964</t>
        </is>
      </c>
      <c r="C4830" s="5" t="inlineStr">
        <is>
          <t>ANA MARIA BOTELHO FONSECA</t>
        </is>
      </c>
      <c r="D4830" s="5" t="inlineStr">
        <is>
          <t>ZP</t>
        </is>
      </c>
      <c r="E4830" s="5" t="n">
        <v>2000006570</v>
      </c>
      <c r="F4830" s="5" t="n"/>
      <c r="G4830" s="5" t="inlineStr">
        <is>
          <t>BRL</t>
        </is>
      </c>
      <c r="H4830" s="9" t="n">
        <v>1887</v>
      </c>
      <c r="I4830" s="16" t="n">
        <v>46127</v>
      </c>
      <c r="J4830" s="16" t="n">
        <v>46127</v>
      </c>
      <c r="K4830" s="5" t="inlineStr">
        <is>
          <t>Vendor DP Request ANA MARIA BOTELHO FONSECA 46649</t>
        </is>
      </c>
      <c r="L4830" s="5" t="inlineStr">
        <is>
          <t>15042026</t>
        </is>
      </c>
      <c r="M4830" s="5">
        <f>IF(YEAR(I4830)&lt;=2020,"Até 2020",TEXT(YEAR(I4830),"0"))</f>
        <v/>
      </c>
      <c r="N4830" s="5">
        <f>IFERROR(INDEX(DePara!$A:$A,MATCH(TEXT(B4830,"0"),DePara!$D:$D,0)),"(sem categoria)")</f>
        <v/>
      </c>
      <c r="O4830" s="5">
        <f>IF(J4830="","",Parametros!$B$6-J4830)</f>
        <v/>
      </c>
      <c r="P4830" s="5">
        <f>IF(O4830="","",IF(O4830&gt;0,1,0))</f>
        <v/>
      </c>
    </row>
    <row r="4831">
      <c r="A4831" s="5" t="n">
        <v>1117730000</v>
      </c>
      <c r="B4831" s="5" t="inlineStr">
        <is>
          <t>EM003567</t>
        </is>
      </c>
      <c r="C4831" s="5" t="inlineStr">
        <is>
          <t>RANILSON DE SOUSA SANTANA</t>
        </is>
      </c>
      <c r="D4831" s="5" t="inlineStr">
        <is>
          <t>ZP</t>
        </is>
      </c>
      <c r="E4831" s="5" t="n">
        <v>2000006575</v>
      </c>
      <c r="F4831" s="5" t="n"/>
      <c r="G4831" s="5" t="inlineStr">
        <is>
          <t>BRL</t>
        </is>
      </c>
      <c r="H4831" s="9" t="n">
        <v>780</v>
      </c>
      <c r="I4831" s="16" t="n">
        <v>46127</v>
      </c>
      <c r="J4831" s="16" t="n">
        <v>46127</v>
      </c>
      <c r="K4831" s="5" t="inlineStr">
        <is>
          <t>Vendor DP Request RANILSON DE SOUSA SANTANA 46633</t>
        </is>
      </c>
      <c r="L4831" s="5" t="inlineStr">
        <is>
          <t>15042026</t>
        </is>
      </c>
      <c r="M4831" s="5">
        <f>IF(YEAR(I4831)&lt;=2020,"Até 2020",TEXT(YEAR(I4831),"0"))</f>
        <v/>
      </c>
      <c r="N4831" s="5">
        <f>IFERROR(INDEX(DePara!$A:$A,MATCH(TEXT(B4831,"0"),DePara!$D:$D,0)),"(sem categoria)")</f>
        <v/>
      </c>
      <c r="O4831" s="5">
        <f>IF(J4831="","",Parametros!$B$6-J4831)</f>
        <v/>
      </c>
      <c r="P4831" s="5">
        <f>IF(O4831="","",IF(O4831&gt;0,1,0))</f>
        <v/>
      </c>
    </row>
    <row r="4832">
      <c r="A4832" s="5" t="n">
        <v>1117730000</v>
      </c>
      <c r="B4832" s="5" t="inlineStr">
        <is>
          <t>EM003569</t>
        </is>
      </c>
      <c r="C4832" s="5" t="inlineStr">
        <is>
          <t>JOSIVALDO COELHO DE SOUSA</t>
        </is>
      </c>
      <c r="D4832" s="5" t="inlineStr">
        <is>
          <t>ZP</t>
        </is>
      </c>
      <c r="E4832" s="5" t="n">
        <v>2000006577</v>
      </c>
      <c r="F4832" s="5" t="n"/>
      <c r="G4832" s="5" t="inlineStr">
        <is>
          <t>BRL</t>
        </is>
      </c>
      <c r="H4832" s="9" t="n">
        <v>910</v>
      </c>
      <c r="I4832" s="16" t="n">
        <v>46127</v>
      </c>
      <c r="J4832" s="16" t="n">
        <v>46127</v>
      </c>
      <c r="K4832" s="5" t="inlineStr">
        <is>
          <t>Vendor DP Request JOSIVALDO COELHO DE SOUSA 48726</t>
        </is>
      </c>
      <c r="L4832" s="5" t="inlineStr">
        <is>
          <t>15042026</t>
        </is>
      </c>
      <c r="M4832" s="5">
        <f>IF(YEAR(I4832)&lt;=2020,"Até 2020",TEXT(YEAR(I4832),"0"))</f>
        <v/>
      </c>
      <c r="N4832" s="5">
        <f>IFERROR(INDEX(DePara!$A:$A,MATCH(TEXT(B4832,"0"),DePara!$D:$D,0)),"(sem categoria)")</f>
        <v/>
      </c>
      <c r="O4832" s="5">
        <f>IF(J4832="","",Parametros!$B$6-J4832)</f>
        <v/>
      </c>
      <c r="P4832" s="5">
        <f>IF(O4832="","",IF(O4832&gt;0,1,0))</f>
        <v/>
      </c>
    </row>
    <row r="4833">
      <c r="A4833" s="5" t="n">
        <v>1117730000</v>
      </c>
      <c r="B4833" s="5" t="inlineStr">
        <is>
          <t>EM000080</t>
        </is>
      </c>
      <c r="C4833" s="5" t="inlineStr">
        <is>
          <t>SAIRON DOS SANTOS BASTOS</t>
        </is>
      </c>
      <c r="D4833" s="5" t="inlineStr">
        <is>
          <t>ZP</t>
        </is>
      </c>
      <c r="E4833" s="5" t="n">
        <v>2000006609</v>
      </c>
      <c r="F4833" s="5" t="n"/>
      <c r="G4833" s="5" t="inlineStr">
        <is>
          <t>BRL</t>
        </is>
      </c>
      <c r="H4833" s="9" t="n">
        <v>2340</v>
      </c>
      <c r="I4833" s="16" t="n">
        <v>45723</v>
      </c>
      <c r="J4833" s="16" t="n">
        <v>45723</v>
      </c>
      <c r="K4833" s="5" t="inlineStr">
        <is>
          <t>Documento fornecedor SAIRON DOS SANTOS BASTOS PLAN</t>
        </is>
      </c>
      <c r="L4833" s="5" t="inlineStr">
        <is>
          <t>07032025</t>
        </is>
      </c>
      <c r="M4833" s="5">
        <f>IF(YEAR(I4833)&lt;=2020,"Até 2020",TEXT(YEAR(I4833),"0"))</f>
        <v/>
      </c>
      <c r="N4833" s="5">
        <f>IFERROR(INDEX(DePara!$A:$A,MATCH(TEXT(B4833,"0"),DePara!$D:$D,0)),"(sem categoria)")</f>
        <v/>
      </c>
      <c r="O4833" s="5">
        <f>IF(J4833="","",Parametros!$B$6-J4833)</f>
        <v/>
      </c>
      <c r="P4833" s="5">
        <f>IF(O4833="","",IF(O4833&gt;0,1,0))</f>
        <v/>
      </c>
    </row>
    <row r="4834">
      <c r="A4834" s="5" t="n">
        <v>1117730000</v>
      </c>
      <c r="B4834" s="5" t="inlineStr">
        <is>
          <t>EM000518</t>
        </is>
      </c>
      <c r="C4834" s="5" t="inlineStr">
        <is>
          <t>RIVALDO FRANCISCO DE SOUZA QUEIROZ</t>
        </is>
      </c>
      <c r="D4834" s="5" t="inlineStr">
        <is>
          <t>ZP</t>
        </is>
      </c>
      <c r="E4834" s="5" t="n">
        <v>2000006888</v>
      </c>
      <c r="F4834" s="5" t="n"/>
      <c r="G4834" s="5" t="inlineStr">
        <is>
          <t>BRL</t>
        </is>
      </c>
      <c r="H4834" s="9" t="n">
        <v>650</v>
      </c>
      <c r="I4834" s="16" t="n">
        <v>45735</v>
      </c>
      <c r="J4834" s="16" t="n">
        <v>45735</v>
      </c>
      <c r="K4834" s="5" t="inlineStr">
        <is>
          <t>Documento fornecedor RIVALDO FRANCISCO DE SOUZA QU</t>
        </is>
      </c>
      <c r="L4834" s="5" t="inlineStr">
        <is>
          <t>19032025</t>
        </is>
      </c>
      <c r="M4834" s="5">
        <f>IF(YEAR(I4834)&lt;=2020,"Até 2020",TEXT(YEAR(I4834),"0"))</f>
        <v/>
      </c>
      <c r="N4834" s="5">
        <f>IFERROR(INDEX(DePara!$A:$A,MATCH(TEXT(B4834,"0"),DePara!$D:$D,0)),"(sem categoria)")</f>
        <v/>
      </c>
      <c r="O4834" s="5">
        <f>IF(J4834="","",Parametros!$B$6-J4834)</f>
        <v/>
      </c>
      <c r="P4834" s="5">
        <f>IF(O4834="","",IF(O4834&gt;0,1,0))</f>
        <v/>
      </c>
    </row>
    <row r="4835">
      <c r="A4835" s="5" t="n">
        <v>1117730000</v>
      </c>
      <c r="B4835" s="5" t="inlineStr">
        <is>
          <t>EM000882</t>
        </is>
      </c>
      <c r="C4835" s="5" t="inlineStr">
        <is>
          <t>LEANDRO SILVINO DE MOURA</t>
        </is>
      </c>
      <c r="D4835" s="5" t="inlineStr">
        <is>
          <t>ZP</t>
        </is>
      </c>
      <c r="E4835" s="5" t="n">
        <v>2000006910</v>
      </c>
      <c r="F4835" s="5" t="n"/>
      <c r="G4835" s="5" t="inlineStr">
        <is>
          <t>BRL</t>
        </is>
      </c>
      <c r="H4835" s="9" t="n">
        <v>650</v>
      </c>
      <c r="I4835" s="16" t="n">
        <v>45735</v>
      </c>
      <c r="J4835" s="16" t="n">
        <v>45735</v>
      </c>
      <c r="K4835" s="5" t="inlineStr">
        <is>
          <t>Documento fornecedor LEANDRO SILVINO DE MOURA PLAN</t>
        </is>
      </c>
      <c r="L4835" s="5" t="inlineStr">
        <is>
          <t>19032025</t>
        </is>
      </c>
      <c r="M4835" s="5">
        <f>IF(YEAR(I4835)&lt;=2020,"Até 2020",TEXT(YEAR(I4835),"0"))</f>
        <v/>
      </c>
      <c r="N4835" s="5">
        <f>IFERROR(INDEX(DePara!$A:$A,MATCH(TEXT(B4835,"0"),DePara!$D:$D,0)),"(sem categoria)")</f>
        <v/>
      </c>
      <c r="O4835" s="5">
        <f>IF(J4835="","",Parametros!$B$6-J4835)</f>
        <v/>
      </c>
      <c r="P4835" s="5">
        <f>IF(O4835="","",IF(O4835&gt;0,1,0))</f>
        <v/>
      </c>
    </row>
    <row r="4836">
      <c r="A4836" s="5" t="n">
        <v>1117730000</v>
      </c>
      <c r="B4836" s="5" t="inlineStr">
        <is>
          <t>EM000129</t>
        </is>
      </c>
      <c r="C4836" s="5" t="inlineStr">
        <is>
          <t>JOCIVAN DE SOUZA SILVA</t>
        </is>
      </c>
      <c r="D4836" s="5" t="inlineStr">
        <is>
          <t>ZP</t>
        </is>
      </c>
      <c r="E4836" s="5" t="n">
        <v>2000006979</v>
      </c>
      <c r="F4836" s="5" t="n"/>
      <c r="G4836" s="5" t="inlineStr">
        <is>
          <t>BRL</t>
        </is>
      </c>
      <c r="H4836" s="9" t="n">
        <v>4290</v>
      </c>
      <c r="I4836" s="16" t="n">
        <v>46141</v>
      </c>
      <c r="J4836" s="16" t="n">
        <v>46141</v>
      </c>
      <c r="K4836" s="5" t="inlineStr">
        <is>
          <t>Vendor DP Request JOCIVAN DE SOUZA SILVA 48885</t>
        </is>
      </c>
      <c r="L4836" s="5" t="inlineStr">
        <is>
          <t>29042026</t>
        </is>
      </c>
      <c r="M4836" s="5">
        <f>IF(YEAR(I4836)&lt;=2020,"Até 2020",TEXT(YEAR(I4836),"0"))</f>
        <v/>
      </c>
      <c r="N4836" s="5">
        <f>IFERROR(INDEX(DePara!$A:$A,MATCH(TEXT(B4836,"0"),DePara!$D:$D,0)),"(sem categoria)")</f>
        <v/>
      </c>
      <c r="O4836" s="5">
        <f>IF(J4836="","",Parametros!$B$6-J4836)</f>
        <v/>
      </c>
      <c r="P4836" s="5">
        <f>IF(O4836="","",IF(O4836&gt;0,1,0))</f>
        <v/>
      </c>
    </row>
    <row r="4837">
      <c r="A4837" s="5" t="n">
        <v>1117730000</v>
      </c>
      <c r="B4837" s="5" t="inlineStr">
        <is>
          <t>EM000786</t>
        </is>
      </c>
      <c r="C4837" s="5" t="inlineStr">
        <is>
          <t>LIVIA TOSTES CALVO</t>
        </is>
      </c>
      <c r="D4837" s="5" t="inlineStr">
        <is>
          <t>ZP</t>
        </is>
      </c>
      <c r="E4837" s="5" t="n">
        <v>2000007030</v>
      </c>
      <c r="F4837" s="5" t="n"/>
      <c r="G4837" s="5" t="inlineStr">
        <is>
          <t>BRL</t>
        </is>
      </c>
      <c r="H4837" s="9" t="n">
        <v>2448.98</v>
      </c>
      <c r="I4837" s="16" t="n">
        <v>46141</v>
      </c>
      <c r="J4837" s="16" t="n">
        <v>46141</v>
      </c>
      <c r="K4837" s="5" t="inlineStr">
        <is>
          <t>Vendor DP Request LIVIA TOSTES CALVO 44318</t>
        </is>
      </c>
      <c r="L4837" s="5" t="inlineStr">
        <is>
          <t>29042026</t>
        </is>
      </c>
      <c r="M4837" s="5">
        <f>IF(YEAR(I4837)&lt;=2020,"Até 2020",TEXT(YEAR(I4837),"0"))</f>
        <v/>
      </c>
      <c r="N4837" s="5">
        <f>IFERROR(INDEX(DePara!$A:$A,MATCH(TEXT(B4837,"0"),DePara!$D:$D,0)),"(sem categoria)")</f>
        <v/>
      </c>
      <c r="O4837" s="5">
        <f>IF(J4837="","",Parametros!$B$6-J4837)</f>
        <v/>
      </c>
      <c r="P4837" s="5">
        <f>IF(O4837="","",IF(O4837&gt;0,1,0))</f>
        <v/>
      </c>
    </row>
    <row r="4838">
      <c r="A4838" s="5" t="n">
        <v>1117730000</v>
      </c>
      <c r="B4838" s="5" t="inlineStr">
        <is>
          <t>EM000866</t>
        </is>
      </c>
      <c r="C4838" s="5" t="inlineStr">
        <is>
          <t>FRANCISCO MARCOS DE FREITAS</t>
        </is>
      </c>
      <c r="D4838" s="5" t="inlineStr">
        <is>
          <t>ZP</t>
        </is>
      </c>
      <c r="E4838" s="5" t="n">
        <v>2000007035</v>
      </c>
      <c r="F4838" s="5" t="n"/>
      <c r="G4838" s="5" t="inlineStr">
        <is>
          <t>BRL</t>
        </is>
      </c>
      <c r="H4838" s="9" t="n">
        <v>4290</v>
      </c>
      <c r="I4838" s="16" t="n">
        <v>46141</v>
      </c>
      <c r="J4838" s="16" t="n">
        <v>46141</v>
      </c>
      <c r="K4838" s="5" t="inlineStr">
        <is>
          <t>Vendor DP Request FRANCISCO MARCOS DE FREITAS 4888</t>
        </is>
      </c>
      <c r="L4838" s="5" t="inlineStr">
        <is>
          <t>29042026</t>
        </is>
      </c>
      <c r="M4838" s="5">
        <f>IF(YEAR(I4838)&lt;=2020,"Até 2020",TEXT(YEAR(I4838),"0"))</f>
        <v/>
      </c>
      <c r="N4838" s="5">
        <f>IFERROR(INDEX(DePara!$A:$A,MATCH(TEXT(B4838,"0"),DePara!$D:$D,0)),"(sem categoria)")</f>
        <v/>
      </c>
      <c r="O4838" s="5">
        <f>IF(J4838="","",Parametros!$B$6-J4838)</f>
        <v/>
      </c>
      <c r="P4838" s="5">
        <f>IF(O4838="","",IF(O4838&gt;0,1,0))</f>
        <v/>
      </c>
    </row>
    <row r="4839">
      <c r="A4839" s="5" t="n">
        <v>1117730000</v>
      </c>
      <c r="B4839" s="5" t="inlineStr">
        <is>
          <t>EM000949</t>
        </is>
      </c>
      <c r="C4839" s="5" t="inlineStr">
        <is>
          <t>LEANDRO CRUZ VIEIRA</t>
        </is>
      </c>
      <c r="D4839" s="5" t="inlineStr">
        <is>
          <t>ZP</t>
        </is>
      </c>
      <c r="E4839" s="5" t="n">
        <v>2000007037</v>
      </c>
      <c r="F4839" s="5" t="n"/>
      <c r="G4839" s="5" t="inlineStr">
        <is>
          <t>BRL</t>
        </is>
      </c>
      <c r="H4839" s="9" t="n">
        <v>650</v>
      </c>
      <c r="I4839" s="16" t="n">
        <v>46141</v>
      </c>
      <c r="J4839" s="16" t="n">
        <v>46141</v>
      </c>
      <c r="K4839" s="5" t="inlineStr">
        <is>
          <t>Vendor DP Request LEANDRO CRUZ VIEIRA 48842</t>
        </is>
      </c>
      <c r="L4839" s="5" t="inlineStr">
        <is>
          <t>29042026</t>
        </is>
      </c>
      <c r="M4839" s="5">
        <f>IF(YEAR(I4839)&lt;=2020,"Até 2020",TEXT(YEAR(I4839),"0"))</f>
        <v/>
      </c>
      <c r="N4839" s="5">
        <f>IFERROR(INDEX(DePara!$A:$A,MATCH(TEXT(B4839,"0"),DePara!$D:$D,0)),"(sem categoria)")</f>
        <v/>
      </c>
      <c r="O4839" s="5">
        <f>IF(J4839="","",Parametros!$B$6-J4839)</f>
        <v/>
      </c>
      <c r="P4839" s="5">
        <f>IF(O4839="","",IF(O4839&gt;0,1,0))</f>
        <v/>
      </c>
    </row>
    <row r="4840">
      <c r="A4840" s="5" t="n">
        <v>1117730000</v>
      </c>
      <c r="B4840" s="5" t="inlineStr">
        <is>
          <t>EM003135</t>
        </is>
      </c>
      <c r="C4840" s="5" t="inlineStr">
        <is>
          <t>DAMIÃO FERREIRA</t>
        </is>
      </c>
      <c r="D4840" s="5" t="inlineStr">
        <is>
          <t>ZP</t>
        </is>
      </c>
      <c r="E4840" s="5" t="n">
        <v>2000007039</v>
      </c>
      <c r="F4840" s="5" t="n"/>
      <c r="G4840" s="5" t="inlineStr">
        <is>
          <t>BRL</t>
        </is>
      </c>
      <c r="H4840" s="9" t="n">
        <v>650</v>
      </c>
      <c r="I4840" s="16" t="n">
        <v>46141</v>
      </c>
      <c r="J4840" s="16" t="n">
        <v>46141</v>
      </c>
      <c r="K4840" s="5" t="inlineStr">
        <is>
          <t>Vendor DP Request DAMIÃO FERREIRA 48804</t>
        </is>
      </c>
      <c r="L4840" s="5" t="inlineStr">
        <is>
          <t>29042026</t>
        </is>
      </c>
      <c r="M4840" s="5">
        <f>IF(YEAR(I4840)&lt;=2020,"Até 2020",TEXT(YEAR(I4840),"0"))</f>
        <v/>
      </c>
      <c r="N4840" s="5">
        <f>IFERROR(INDEX(DePara!$A:$A,MATCH(TEXT(B4840,"0"),DePara!$D:$D,0)),"(sem categoria)")</f>
        <v/>
      </c>
      <c r="O4840" s="5">
        <f>IF(J4840="","",Parametros!$B$6-J4840)</f>
        <v/>
      </c>
      <c r="P4840" s="5">
        <f>IF(O4840="","",IF(O4840&gt;0,1,0))</f>
        <v/>
      </c>
    </row>
    <row r="4841">
      <c r="A4841" s="5" t="n">
        <v>1117730000</v>
      </c>
      <c r="B4841" s="5" t="inlineStr">
        <is>
          <t>EM003535</t>
        </is>
      </c>
      <c r="C4841" s="5" t="inlineStr">
        <is>
          <t>JOILTON MARQUES DA SILVA</t>
        </is>
      </c>
      <c r="D4841" s="5" t="inlineStr">
        <is>
          <t>ZP</t>
        </is>
      </c>
      <c r="E4841" s="5" t="n">
        <v>2000007040</v>
      </c>
      <c r="F4841" s="5" t="n"/>
      <c r="G4841" s="5" t="inlineStr">
        <is>
          <t>BRL</t>
        </is>
      </c>
      <c r="H4841" s="9" t="n">
        <v>1690</v>
      </c>
      <c r="I4841" s="16" t="n">
        <v>46141</v>
      </c>
      <c r="J4841" s="16" t="n">
        <v>46141</v>
      </c>
      <c r="K4841" s="5" t="inlineStr">
        <is>
          <t>Vendor DP Request JOILTON MARQUES DA SILVA 48814</t>
        </is>
      </c>
      <c r="L4841" s="5" t="inlineStr">
        <is>
          <t>29042026</t>
        </is>
      </c>
      <c r="M4841" s="5">
        <f>IF(YEAR(I4841)&lt;=2020,"Até 2020",TEXT(YEAR(I4841),"0"))</f>
        <v/>
      </c>
      <c r="N4841" s="5">
        <f>IFERROR(INDEX(DePara!$A:$A,MATCH(TEXT(B4841,"0"),DePara!$D:$D,0)),"(sem categoria)")</f>
        <v/>
      </c>
      <c r="O4841" s="5">
        <f>IF(J4841="","",Parametros!$B$6-J4841)</f>
        <v/>
      </c>
      <c r="P4841" s="5">
        <f>IF(O4841="","",IF(O4841&gt;0,1,0))</f>
        <v/>
      </c>
    </row>
    <row r="4842">
      <c r="A4842" s="5" t="n">
        <v>1117730000</v>
      </c>
      <c r="B4842" s="5" t="inlineStr">
        <is>
          <t>EM003580</t>
        </is>
      </c>
      <c r="C4842" s="5" t="inlineStr">
        <is>
          <t>IVO DE SOUSA RODRIGUES</t>
        </is>
      </c>
      <c r="D4842" s="5" t="inlineStr">
        <is>
          <t>ZP</t>
        </is>
      </c>
      <c r="E4842" s="5" t="n">
        <v>2000007048</v>
      </c>
      <c r="F4842" s="5" t="n"/>
      <c r="G4842" s="5" t="inlineStr">
        <is>
          <t>BRL</t>
        </is>
      </c>
      <c r="H4842" s="9" t="n">
        <v>910</v>
      </c>
      <c r="I4842" s="16" t="n">
        <v>46141</v>
      </c>
      <c r="J4842" s="16" t="n">
        <v>46141</v>
      </c>
      <c r="K4842" s="5" t="inlineStr">
        <is>
          <t>Vendor DP Request IVO DE SOUSA RODRIGUES 48802</t>
        </is>
      </c>
      <c r="L4842" s="5" t="inlineStr">
        <is>
          <t>29042026</t>
        </is>
      </c>
      <c r="M4842" s="5">
        <f>IF(YEAR(I4842)&lt;=2020,"Até 2020",TEXT(YEAR(I4842),"0"))</f>
        <v/>
      </c>
      <c r="N4842" s="5">
        <f>IFERROR(INDEX(DePara!$A:$A,MATCH(TEXT(B4842,"0"),DePara!$D:$D,0)),"(sem categoria)")</f>
        <v/>
      </c>
      <c r="O4842" s="5">
        <f>IF(J4842="","",Parametros!$B$6-J4842)</f>
        <v/>
      </c>
      <c r="P4842" s="5">
        <f>IF(O4842="","",IF(O4842&gt;0,1,0))</f>
        <v/>
      </c>
    </row>
    <row r="4843">
      <c r="A4843" s="5" t="n">
        <v>1117730000</v>
      </c>
      <c r="B4843" s="5" t="inlineStr">
        <is>
          <t>EM000846</t>
        </is>
      </c>
      <c r="C4843" s="5" t="inlineStr">
        <is>
          <t>HUGO MARQUES DA SILVA</t>
        </is>
      </c>
      <c r="D4843" s="5" t="inlineStr">
        <is>
          <t>ZP</t>
        </is>
      </c>
      <c r="E4843" s="5" t="n">
        <v>2000007793</v>
      </c>
      <c r="F4843" s="5" t="n"/>
      <c r="G4843" s="5" t="inlineStr">
        <is>
          <t>BRL</t>
        </is>
      </c>
      <c r="H4843" s="9" t="n">
        <v>650</v>
      </c>
      <c r="I4843" s="16" t="n">
        <v>46141</v>
      </c>
      <c r="J4843" s="16" t="n">
        <v>46141</v>
      </c>
      <c r="K4843" s="5" t="inlineStr">
        <is>
          <t>Vendor DP Request HUGO MARQUES DA SILVA 48850</t>
        </is>
      </c>
      <c r="L4843" s="5" t="inlineStr">
        <is>
          <t>29042026</t>
        </is>
      </c>
      <c r="M4843" s="5">
        <f>IF(YEAR(I4843)&lt;=2020,"Até 2020",TEXT(YEAR(I4843),"0"))</f>
        <v/>
      </c>
      <c r="N4843" s="5">
        <f>IFERROR(INDEX(DePara!$A:$A,MATCH(TEXT(B4843,"0"),DePara!$D:$D,0)),"(sem categoria)")</f>
        <v/>
      </c>
      <c r="O4843" s="5">
        <f>IF(J4843="","",Parametros!$B$6-J4843)</f>
        <v/>
      </c>
      <c r="P4843" s="5">
        <f>IF(O4843="","",IF(O4843&gt;0,1,0))</f>
        <v/>
      </c>
    </row>
    <row r="4844">
      <c r="A4844" s="5" t="n">
        <v>1117730000</v>
      </c>
      <c r="B4844" s="5" t="inlineStr">
        <is>
          <t>EM000016</t>
        </is>
      </c>
      <c r="C4844" s="5" t="inlineStr">
        <is>
          <t>JAMERSON BEZERRA DA SILVA</t>
        </is>
      </c>
      <c r="D4844" s="5" t="inlineStr">
        <is>
          <t>ZP</t>
        </is>
      </c>
      <c r="E4844" s="5" t="n">
        <v>2000007817</v>
      </c>
      <c r="F4844" s="5" t="n"/>
      <c r="G4844" s="5" t="inlineStr">
        <is>
          <t>BRL</t>
        </is>
      </c>
      <c r="H4844" s="9" t="n">
        <v>650</v>
      </c>
      <c r="I4844" s="16" t="n">
        <v>46148</v>
      </c>
      <c r="J4844" s="16" t="n">
        <v>46148</v>
      </c>
      <c r="K4844" s="5" t="inlineStr">
        <is>
          <t>Vendor DP Request JAMERSON BEZERRA DA SILVA 48903</t>
        </is>
      </c>
      <c r="L4844" s="5" t="inlineStr">
        <is>
          <t>06052026</t>
        </is>
      </c>
      <c r="M4844" s="5">
        <f>IF(YEAR(I4844)&lt;=2020,"Até 2020",TEXT(YEAR(I4844),"0"))</f>
        <v/>
      </c>
      <c r="N4844" s="5">
        <f>IFERROR(INDEX(DePara!$A:$A,MATCH(TEXT(B4844,"0"),DePara!$D:$D,0)),"(sem categoria)")</f>
        <v/>
      </c>
      <c r="O4844" s="5">
        <f>IF(J4844="","",Parametros!$B$6-J4844)</f>
        <v/>
      </c>
      <c r="P4844" s="5">
        <f>IF(O4844="","",IF(O4844&gt;0,1,0))</f>
        <v/>
      </c>
    </row>
    <row r="4845">
      <c r="A4845" s="5" t="n">
        <v>1117730000</v>
      </c>
      <c r="B4845" s="5" t="inlineStr">
        <is>
          <t>EM000145</t>
        </is>
      </c>
      <c r="C4845" s="5" t="inlineStr">
        <is>
          <t>THIAGO SPINOSA</t>
        </is>
      </c>
      <c r="D4845" s="5" t="inlineStr">
        <is>
          <t>ZP</t>
        </is>
      </c>
      <c r="E4845" s="5" t="n">
        <v>2000007820</v>
      </c>
      <c r="F4845" s="5" t="n"/>
      <c r="G4845" s="5" t="inlineStr">
        <is>
          <t>BRL</t>
        </is>
      </c>
      <c r="H4845" s="9" t="n">
        <v>2595.6</v>
      </c>
      <c r="I4845" s="16" t="n">
        <v>46148</v>
      </c>
      <c r="J4845" s="16" t="n">
        <v>46148</v>
      </c>
      <c r="K4845" s="5" t="inlineStr">
        <is>
          <t>Vendor DP Request THIAGO SPINOSA 44353</t>
        </is>
      </c>
      <c r="L4845" s="5" t="inlineStr">
        <is>
          <t>06052026</t>
        </is>
      </c>
      <c r="M4845" s="5">
        <f>IF(YEAR(I4845)&lt;=2020,"Até 2020",TEXT(YEAR(I4845),"0"))</f>
        <v/>
      </c>
      <c r="N4845" s="5">
        <f>IFERROR(INDEX(DePara!$A:$A,MATCH(TEXT(B4845,"0"),DePara!$D:$D,0)),"(sem categoria)")</f>
        <v/>
      </c>
      <c r="O4845" s="5">
        <f>IF(J4845="","",Parametros!$B$6-J4845)</f>
        <v/>
      </c>
      <c r="P4845" s="5">
        <f>IF(O4845="","",IF(O4845&gt;0,1,0))</f>
        <v/>
      </c>
    </row>
    <row r="4846">
      <c r="A4846" s="5" t="n">
        <v>1117730000</v>
      </c>
      <c r="B4846" s="5" t="inlineStr">
        <is>
          <t>EM000652</t>
        </is>
      </c>
      <c r="C4846" s="5" t="inlineStr">
        <is>
          <t>LUCAS TURCI</t>
        </is>
      </c>
      <c r="D4846" s="5" t="inlineStr">
        <is>
          <t>ZP</t>
        </is>
      </c>
      <c r="E4846" s="5" t="n">
        <v>2000007832</v>
      </c>
      <c r="F4846" s="5" t="n"/>
      <c r="G4846" s="5" t="inlineStr">
        <is>
          <t>BRL</t>
        </is>
      </c>
      <c r="H4846" s="9" t="n">
        <v>1749</v>
      </c>
      <c r="I4846" s="16" t="n">
        <v>46148</v>
      </c>
      <c r="J4846" s="16" t="n">
        <v>46148</v>
      </c>
      <c r="K4846" s="5" t="inlineStr">
        <is>
          <t>Vendor DP Request LUCAS TURCI 48897</t>
        </is>
      </c>
      <c r="L4846" s="5" t="inlineStr">
        <is>
          <t>06052026</t>
        </is>
      </c>
      <c r="M4846" s="5">
        <f>IF(YEAR(I4846)&lt;=2020,"Até 2020",TEXT(YEAR(I4846),"0"))</f>
        <v/>
      </c>
      <c r="N4846" s="5">
        <f>IFERROR(INDEX(DePara!$A:$A,MATCH(TEXT(B4846,"0"),DePara!$D:$D,0)),"(sem categoria)")</f>
        <v/>
      </c>
      <c r="O4846" s="5">
        <f>IF(J4846="","",Parametros!$B$6-J4846)</f>
        <v/>
      </c>
      <c r="P4846" s="5">
        <f>IF(O4846="","",IF(O4846&gt;0,1,0))</f>
        <v/>
      </c>
    </row>
    <row r="4847">
      <c r="A4847" s="5" t="n">
        <v>1117730000</v>
      </c>
      <c r="B4847" s="5" t="inlineStr">
        <is>
          <t>EM000663</t>
        </is>
      </c>
      <c r="C4847" s="5" t="inlineStr">
        <is>
          <t>MARCELO DA COSTA BRAS</t>
        </is>
      </c>
      <c r="D4847" s="5" t="inlineStr">
        <is>
          <t>ZP</t>
        </is>
      </c>
      <c r="E4847" s="5" t="n">
        <v>2000007834</v>
      </c>
      <c r="F4847" s="5" t="n"/>
      <c r="G4847" s="5" t="inlineStr">
        <is>
          <t>BRL</t>
        </is>
      </c>
      <c r="H4847" s="9" t="n">
        <v>260</v>
      </c>
      <c r="I4847" s="16" t="n">
        <v>46148</v>
      </c>
      <c r="J4847" s="16" t="n">
        <v>46148</v>
      </c>
      <c r="K4847" s="5" t="inlineStr">
        <is>
          <t>Vendor DP Request MARCELO DA COSTA BRAS 48931</t>
        </is>
      </c>
      <c r="L4847" s="5" t="inlineStr">
        <is>
          <t>06052026</t>
        </is>
      </c>
      <c r="M4847" s="5">
        <f>IF(YEAR(I4847)&lt;=2020,"Até 2020",TEXT(YEAR(I4847),"0"))</f>
        <v/>
      </c>
      <c r="N4847" s="5">
        <f>IFERROR(INDEX(DePara!$A:$A,MATCH(TEXT(B4847,"0"),DePara!$D:$D,0)),"(sem categoria)")</f>
        <v/>
      </c>
      <c r="O4847" s="5">
        <f>IF(J4847="","",Parametros!$B$6-J4847)</f>
        <v/>
      </c>
      <c r="P4847" s="5">
        <f>IF(O4847="","",IF(O4847&gt;0,1,0))</f>
        <v/>
      </c>
    </row>
    <row r="4848">
      <c r="A4848" s="5" t="n">
        <v>1117730000</v>
      </c>
      <c r="B4848" s="5" t="inlineStr">
        <is>
          <t>EM000780</t>
        </is>
      </c>
      <c r="C4848" s="5" t="inlineStr">
        <is>
          <t>Diego Ribeiro Brito</t>
        </is>
      </c>
      <c r="D4848" s="5" t="inlineStr">
        <is>
          <t>ZP</t>
        </is>
      </c>
      <c r="E4848" s="5" t="n">
        <v>2000007838</v>
      </c>
      <c r="F4848" s="5" t="n"/>
      <c r="G4848" s="5" t="inlineStr">
        <is>
          <t>BRL</t>
        </is>
      </c>
      <c r="H4848" s="9" t="n">
        <v>1820</v>
      </c>
      <c r="I4848" s="16" t="n">
        <v>46148</v>
      </c>
      <c r="J4848" s="16" t="n">
        <v>46148</v>
      </c>
      <c r="K4848" s="5" t="inlineStr">
        <is>
          <t>Vendor DP Request Diego Ribeiro Brito 49954</t>
        </is>
      </c>
      <c r="L4848" s="5" t="inlineStr">
        <is>
          <t>06052026</t>
        </is>
      </c>
      <c r="M4848" s="5">
        <f>IF(YEAR(I4848)&lt;=2020,"Até 2020",TEXT(YEAR(I4848),"0"))</f>
        <v/>
      </c>
      <c r="N4848" s="5">
        <f>IFERROR(INDEX(DePara!$A:$A,MATCH(TEXT(B4848,"0"),DePara!$D:$D,0)),"(sem categoria)")</f>
        <v/>
      </c>
      <c r="O4848" s="5">
        <f>IF(J4848="","",Parametros!$B$6-J4848)</f>
        <v/>
      </c>
      <c r="P4848" s="5">
        <f>IF(O4848="","",IF(O4848&gt;0,1,0))</f>
        <v/>
      </c>
    </row>
    <row r="4849">
      <c r="A4849" s="5" t="n">
        <v>1117730000</v>
      </c>
      <c r="B4849" s="5" t="inlineStr">
        <is>
          <t>EM000882</t>
        </is>
      </c>
      <c r="C4849" s="5" t="inlineStr">
        <is>
          <t>LEANDRO SILVINO DE MOURA</t>
        </is>
      </c>
      <c r="D4849" s="5" t="inlineStr">
        <is>
          <t>ZP</t>
        </is>
      </c>
      <c r="E4849" s="5" t="n">
        <v>2000007842</v>
      </c>
      <c r="F4849" s="5" t="n"/>
      <c r="G4849" s="5" t="inlineStr">
        <is>
          <t>BRL</t>
        </is>
      </c>
      <c r="H4849" s="9" t="n">
        <v>650</v>
      </c>
      <c r="I4849" s="16" t="n">
        <v>46148</v>
      </c>
      <c r="J4849" s="16" t="n">
        <v>46148</v>
      </c>
      <c r="K4849" s="5" t="inlineStr">
        <is>
          <t>Vendor DP Request LEANDRO SILVINO DE MOURA 48819</t>
        </is>
      </c>
      <c r="L4849" s="5" t="inlineStr">
        <is>
          <t>06052026</t>
        </is>
      </c>
      <c r="M4849" s="5">
        <f>IF(YEAR(I4849)&lt;=2020,"Até 2020",TEXT(YEAR(I4849),"0"))</f>
        <v/>
      </c>
      <c r="N4849" s="5">
        <f>IFERROR(INDEX(DePara!$A:$A,MATCH(TEXT(B4849,"0"),DePara!$D:$D,0)),"(sem categoria)")</f>
        <v/>
      </c>
      <c r="O4849" s="5">
        <f>IF(J4849="","",Parametros!$B$6-J4849)</f>
        <v/>
      </c>
      <c r="P4849" s="5">
        <f>IF(O4849="","",IF(O4849&gt;0,1,0))</f>
        <v/>
      </c>
    </row>
    <row r="4850">
      <c r="A4850" s="5" t="n">
        <v>1117730000</v>
      </c>
      <c r="B4850" s="5" t="inlineStr">
        <is>
          <t>EM003594</t>
        </is>
      </c>
      <c r="C4850" s="5" t="inlineStr">
        <is>
          <t>CAIO GEANDERSON MACIEL MARTINS</t>
        </is>
      </c>
      <c r="D4850" s="5" t="inlineStr">
        <is>
          <t>ZP</t>
        </is>
      </c>
      <c r="E4850" s="5" t="n">
        <v>2000007849</v>
      </c>
      <c r="F4850" s="5" t="n"/>
      <c r="G4850" s="5" t="inlineStr">
        <is>
          <t>BRL</t>
        </is>
      </c>
      <c r="H4850" s="9" t="n">
        <v>5753.46</v>
      </c>
      <c r="I4850" s="16" t="n">
        <v>46148</v>
      </c>
      <c r="J4850" s="16" t="n">
        <v>46148</v>
      </c>
      <c r="K4850" s="5" t="inlineStr">
        <is>
          <t>Vendor DP Request CAIO GEANDERSON MACIEL MARTINS 4</t>
        </is>
      </c>
      <c r="L4850" s="5" t="inlineStr">
        <is>
          <t>06052026</t>
        </is>
      </c>
      <c r="M4850" s="5">
        <f>IF(YEAR(I4850)&lt;=2020,"Até 2020",TEXT(YEAR(I4850),"0"))</f>
        <v/>
      </c>
      <c r="N4850" s="5">
        <f>IFERROR(INDEX(DePara!$A:$A,MATCH(TEXT(B4850,"0"),DePara!$D:$D,0)),"(sem categoria)")</f>
        <v/>
      </c>
      <c r="O4850" s="5">
        <f>IF(J4850="","",Parametros!$B$6-J4850)</f>
        <v/>
      </c>
      <c r="P4850" s="5">
        <f>IF(O4850="","",IF(O4850&gt;0,1,0))</f>
        <v/>
      </c>
    </row>
    <row r="4851">
      <c r="A4851" s="5" t="n">
        <v>1117730000</v>
      </c>
      <c r="B4851" s="5" t="inlineStr">
        <is>
          <t>EM000121</t>
        </is>
      </c>
      <c r="C4851" s="5" t="inlineStr">
        <is>
          <t>WILLIAM VICENTE DA SILVA</t>
        </is>
      </c>
      <c r="D4851" s="5" t="inlineStr">
        <is>
          <t>ZP</t>
        </is>
      </c>
      <c r="E4851" s="5" t="n">
        <v>2000007994</v>
      </c>
      <c r="F4851" s="5" t="n"/>
      <c r="G4851" s="5" t="inlineStr">
        <is>
          <t>BRL</t>
        </is>
      </c>
      <c r="H4851" s="9" t="n">
        <v>650</v>
      </c>
      <c r="I4851" s="16" t="n">
        <v>46155</v>
      </c>
      <c r="J4851" s="16" t="n">
        <v>46155</v>
      </c>
      <c r="K4851" s="5" t="inlineStr">
        <is>
          <t>Vendor DP Request WILLIAM VICENTE DA SILVA 48905</t>
        </is>
      </c>
      <c r="L4851" s="5" t="inlineStr">
        <is>
          <t>13052026</t>
        </is>
      </c>
      <c r="M4851" s="5">
        <f>IF(YEAR(I4851)&lt;=2020,"Até 2020",TEXT(YEAR(I4851),"0"))</f>
        <v/>
      </c>
      <c r="N4851" s="5">
        <f>IFERROR(INDEX(DePara!$A:$A,MATCH(TEXT(B4851,"0"),DePara!$D:$D,0)),"(sem categoria)")</f>
        <v/>
      </c>
      <c r="O4851" s="5">
        <f>IF(J4851="","",Parametros!$B$6-J4851)</f>
        <v/>
      </c>
      <c r="P4851" s="5">
        <f>IF(O4851="","",IF(O4851&gt;0,1,0))</f>
        <v/>
      </c>
    </row>
    <row r="4852">
      <c r="A4852" s="5" t="n">
        <v>1117730000</v>
      </c>
      <c r="B4852" s="5" t="inlineStr">
        <is>
          <t>EM000134</t>
        </is>
      </c>
      <c r="C4852" s="5" t="inlineStr">
        <is>
          <t>FRED LACERDA MACEDO</t>
        </is>
      </c>
      <c r="D4852" s="5" t="inlineStr">
        <is>
          <t>ZP</t>
        </is>
      </c>
      <c r="E4852" s="5" t="n">
        <v>2000007996</v>
      </c>
      <c r="F4852" s="5" t="n"/>
      <c r="G4852" s="5" t="inlineStr">
        <is>
          <t>BRL</t>
        </is>
      </c>
      <c r="H4852" s="9" t="n">
        <v>1820</v>
      </c>
      <c r="I4852" s="16" t="n">
        <v>46155</v>
      </c>
      <c r="J4852" s="16" t="n">
        <v>46155</v>
      </c>
      <c r="K4852" s="5" t="inlineStr">
        <is>
          <t>Vendor DP Request FRED LACERDA MACEDO 49983</t>
        </is>
      </c>
      <c r="L4852" s="5" t="inlineStr">
        <is>
          <t>13052026</t>
        </is>
      </c>
      <c r="M4852" s="5">
        <f>IF(YEAR(I4852)&lt;=2020,"Até 2020",TEXT(YEAR(I4852),"0"))</f>
        <v/>
      </c>
      <c r="N4852" s="5">
        <f>IFERROR(INDEX(DePara!$A:$A,MATCH(TEXT(B4852,"0"),DePara!$D:$D,0)),"(sem categoria)")</f>
        <v/>
      </c>
      <c r="O4852" s="5">
        <f>IF(J4852="","",Parametros!$B$6-J4852)</f>
        <v/>
      </c>
      <c r="P4852" s="5">
        <f>IF(O4852="","",IF(O4852&gt;0,1,0))</f>
        <v/>
      </c>
    </row>
    <row r="4853">
      <c r="A4853" s="5" t="n">
        <v>1117730000</v>
      </c>
      <c r="B4853" s="5" t="inlineStr">
        <is>
          <t>EM000826</t>
        </is>
      </c>
      <c r="C4853" s="5" t="inlineStr">
        <is>
          <t>ADALBERTO COELHO DE SOUSA</t>
        </is>
      </c>
      <c r="D4853" s="5" t="inlineStr">
        <is>
          <t>ZP</t>
        </is>
      </c>
      <c r="E4853" s="5" t="n">
        <v>2000008020</v>
      </c>
      <c r="F4853" s="5" t="n"/>
      <c r="G4853" s="5" t="inlineStr">
        <is>
          <t>BRL</t>
        </is>
      </c>
      <c r="H4853" s="9" t="n">
        <v>1820</v>
      </c>
      <c r="I4853" s="16" t="n">
        <v>46155</v>
      </c>
      <c r="J4853" s="16" t="n">
        <v>46155</v>
      </c>
      <c r="K4853" s="5" t="inlineStr">
        <is>
          <t>Vendor DP Request ADALBERTO COELHO DE SOUSA 49978</t>
        </is>
      </c>
      <c r="L4853" s="5" t="inlineStr">
        <is>
          <t>13052026</t>
        </is>
      </c>
      <c r="M4853" s="5">
        <f>IF(YEAR(I4853)&lt;=2020,"Até 2020",TEXT(YEAR(I4853),"0"))</f>
        <v/>
      </c>
      <c r="N4853" s="5">
        <f>IFERROR(INDEX(DePara!$A:$A,MATCH(TEXT(B4853,"0"),DePara!$D:$D,0)),"(sem categoria)")</f>
        <v/>
      </c>
      <c r="O4853" s="5">
        <f>IF(J4853="","",Parametros!$B$6-J4853)</f>
        <v/>
      </c>
      <c r="P4853" s="5">
        <f>IF(O4853="","",IF(O4853&gt;0,1,0))</f>
        <v/>
      </c>
    </row>
    <row r="4854">
      <c r="A4854" s="5" t="n">
        <v>1117730000</v>
      </c>
      <c r="B4854" s="5" t="inlineStr">
        <is>
          <t>EM000862</t>
        </is>
      </c>
      <c r="C4854" s="5" t="inlineStr">
        <is>
          <t>ANTONIO FREIRE MENDES FILHO</t>
        </is>
      </c>
      <c r="D4854" s="5" t="inlineStr">
        <is>
          <t>ZP</t>
        </is>
      </c>
      <c r="E4854" s="5" t="n">
        <v>2000008024</v>
      </c>
      <c r="F4854" s="5" t="n"/>
      <c r="G4854" s="5" t="inlineStr">
        <is>
          <t>BRL</t>
        </is>
      </c>
      <c r="H4854" s="9" t="n">
        <v>650</v>
      </c>
      <c r="I4854" s="16" t="n">
        <v>46155</v>
      </c>
      <c r="J4854" s="16" t="n">
        <v>46155</v>
      </c>
      <c r="K4854" s="5" t="inlineStr">
        <is>
          <t>Vendor DP Request ANTONIO FREIRE MENDES FILHO 4996</t>
        </is>
      </c>
      <c r="L4854" s="5" t="inlineStr">
        <is>
          <t>13052026</t>
        </is>
      </c>
      <c r="M4854" s="5">
        <f>IF(YEAR(I4854)&lt;=2020,"Até 2020",TEXT(YEAR(I4854),"0"))</f>
        <v/>
      </c>
      <c r="N4854" s="5">
        <f>IFERROR(INDEX(DePara!$A:$A,MATCH(TEXT(B4854,"0"),DePara!$D:$D,0)),"(sem categoria)")</f>
        <v/>
      </c>
      <c r="O4854" s="5">
        <f>IF(J4854="","",Parametros!$B$6-J4854)</f>
        <v/>
      </c>
      <c r="P4854" s="5">
        <f>IF(O4854="","",IF(O4854&gt;0,1,0))</f>
        <v/>
      </c>
    </row>
    <row r="4855">
      <c r="A4855" s="5" t="n">
        <v>1117730000</v>
      </c>
      <c r="B4855" s="5" t="inlineStr">
        <is>
          <t>EM003090</t>
        </is>
      </c>
      <c r="C4855" s="5" t="inlineStr">
        <is>
          <t>VALQUIRIA STRAHLR DA SILVA</t>
        </is>
      </c>
      <c r="D4855" s="5" t="inlineStr">
        <is>
          <t>ZP</t>
        </is>
      </c>
      <c r="E4855" s="5" t="n">
        <v>2000008027</v>
      </c>
      <c r="F4855" s="5" t="n"/>
      <c r="G4855" s="5" t="inlineStr">
        <is>
          <t>BRL</t>
        </is>
      </c>
      <c r="H4855" s="9" t="n">
        <v>1797</v>
      </c>
      <c r="I4855" s="16" t="n">
        <v>46155</v>
      </c>
      <c r="J4855" s="16" t="n">
        <v>46155</v>
      </c>
      <c r="K4855" s="5" t="inlineStr">
        <is>
          <t>Vendor DP Request VALQUIRIA STRAHLR DA SILVA 50988</t>
        </is>
      </c>
      <c r="L4855" s="5" t="inlineStr">
        <is>
          <t>13052026</t>
        </is>
      </c>
      <c r="M4855" s="5">
        <f>IF(YEAR(I4855)&lt;=2020,"Até 2020",TEXT(YEAR(I4855),"0"))</f>
        <v/>
      </c>
      <c r="N4855" s="5">
        <f>IFERROR(INDEX(DePara!$A:$A,MATCH(TEXT(B4855,"0"),DePara!$D:$D,0)),"(sem categoria)")</f>
        <v/>
      </c>
      <c r="O4855" s="5">
        <f>IF(J4855="","",Parametros!$B$6-J4855)</f>
        <v/>
      </c>
      <c r="P4855" s="5">
        <f>IF(O4855="","",IF(O4855&gt;0,1,0))</f>
        <v/>
      </c>
    </row>
    <row r="4856">
      <c r="A4856" s="5" t="n">
        <v>1117730000</v>
      </c>
      <c r="B4856" s="5" t="inlineStr">
        <is>
          <t>EM000081</t>
        </is>
      </c>
      <c r="C4856" s="5" t="inlineStr">
        <is>
          <t>BRUNO VINICIUS MOREIRA CARDOSO</t>
        </is>
      </c>
      <c r="D4856" s="5" t="inlineStr">
        <is>
          <t>ZP</t>
        </is>
      </c>
      <c r="E4856" s="5" t="n">
        <v>2000008251</v>
      </c>
      <c r="F4856" s="5" t="n"/>
      <c r="G4856" s="5" t="inlineStr">
        <is>
          <t>BRL</t>
        </is>
      </c>
      <c r="H4856" s="9" t="n">
        <v>910</v>
      </c>
      <c r="I4856" s="16" t="n">
        <v>46162</v>
      </c>
      <c r="J4856" s="16" t="n">
        <v>46162</v>
      </c>
      <c r="K4856" s="5" t="inlineStr">
        <is>
          <t>Vendor DP Request BRUNO VINICIUS MOREIRA CARDOSO 5</t>
        </is>
      </c>
      <c r="L4856" s="5" t="inlineStr">
        <is>
          <t>20052026</t>
        </is>
      </c>
      <c r="M4856" s="5">
        <f>IF(YEAR(I4856)&lt;=2020,"Até 2020",TEXT(YEAR(I4856),"0"))</f>
        <v/>
      </c>
      <c r="N4856" s="5">
        <f>IFERROR(INDEX(DePara!$A:$A,MATCH(TEXT(B4856,"0"),DePara!$D:$D,0)),"(sem categoria)")</f>
        <v/>
      </c>
      <c r="O4856" s="5">
        <f>IF(J4856="","",Parametros!$B$6-J4856)</f>
        <v/>
      </c>
      <c r="P4856" s="5">
        <f>IF(O4856="","",IF(O4856&gt;0,1,0))</f>
        <v/>
      </c>
    </row>
    <row r="4857">
      <c r="A4857" s="5" t="n">
        <v>1117730000</v>
      </c>
      <c r="B4857" s="5" t="inlineStr">
        <is>
          <t>EM000398</t>
        </is>
      </c>
      <c r="C4857" s="5" t="inlineStr">
        <is>
          <t>EDUARDO SCHAPLIN ROCHA</t>
        </is>
      </c>
      <c r="D4857" s="5" t="inlineStr">
        <is>
          <t>ZP</t>
        </is>
      </c>
      <c r="E4857" s="5" t="n">
        <v>2000008261</v>
      </c>
      <c r="F4857" s="5" t="n"/>
      <c r="G4857" s="5" t="inlineStr">
        <is>
          <t>BRL</t>
        </is>
      </c>
      <c r="H4857" s="9" t="n">
        <v>12499.2</v>
      </c>
      <c r="I4857" s="16" t="n">
        <v>46162</v>
      </c>
      <c r="J4857" s="16" t="n">
        <v>46162</v>
      </c>
      <c r="K4857" s="5" t="inlineStr">
        <is>
          <t>Vendor DP Request EDUARDO SCHAPLIN ROCHA 51017</t>
        </is>
      </c>
      <c r="L4857" s="5" t="inlineStr">
        <is>
          <t>20052026</t>
        </is>
      </c>
      <c r="M4857" s="5">
        <f>IF(YEAR(I4857)&lt;=2020,"Até 2020",TEXT(YEAR(I4857),"0"))</f>
        <v/>
      </c>
      <c r="N4857" s="5">
        <f>IFERROR(INDEX(DePara!$A:$A,MATCH(TEXT(B4857,"0"),DePara!$D:$D,0)),"(sem categoria)")</f>
        <v/>
      </c>
      <c r="O4857" s="5">
        <f>IF(J4857="","",Parametros!$B$6-J4857)</f>
        <v/>
      </c>
      <c r="P4857" s="5">
        <f>IF(O4857="","",IF(O4857&gt;0,1,0))</f>
        <v/>
      </c>
    </row>
    <row r="4858">
      <c r="A4858" s="5" t="n">
        <v>1117730000</v>
      </c>
      <c r="B4858" s="5" t="inlineStr">
        <is>
          <t>EM000428</t>
        </is>
      </c>
      <c r="C4858" s="5" t="inlineStr">
        <is>
          <t>EVALDO SOARES DA SILVEIRA</t>
        </is>
      </c>
      <c r="D4858" s="5" t="inlineStr">
        <is>
          <t>ZP</t>
        </is>
      </c>
      <c r="E4858" s="5" t="n">
        <v>2000008263</v>
      </c>
      <c r="F4858" s="5" t="n"/>
      <c r="G4858" s="5" t="inlineStr">
        <is>
          <t>BRL</t>
        </is>
      </c>
      <c r="H4858" s="9" t="n">
        <v>4160</v>
      </c>
      <c r="I4858" s="16" t="n">
        <v>46162</v>
      </c>
      <c r="J4858" s="16" t="n">
        <v>46162</v>
      </c>
      <c r="K4858" s="5" t="inlineStr">
        <is>
          <t>Vendor DP Request EVALDO SOARES DA SILVEIRA 48782</t>
        </is>
      </c>
      <c r="L4858" s="5" t="inlineStr">
        <is>
          <t>20052026</t>
        </is>
      </c>
      <c r="M4858" s="5">
        <f>IF(YEAR(I4858)&lt;=2020,"Até 2020",TEXT(YEAR(I4858),"0"))</f>
        <v/>
      </c>
      <c r="N4858" s="5">
        <f>IFERROR(INDEX(DePara!$A:$A,MATCH(TEXT(B4858,"0"),DePara!$D:$D,0)),"(sem categoria)")</f>
        <v/>
      </c>
      <c r="O4858" s="5">
        <f>IF(J4858="","",Parametros!$B$6-J4858)</f>
        <v/>
      </c>
      <c r="P4858" s="5">
        <f>IF(O4858="","",IF(O4858&gt;0,1,0))</f>
        <v/>
      </c>
    </row>
    <row r="4859">
      <c r="A4859" s="5" t="n">
        <v>1117730000</v>
      </c>
      <c r="B4859" s="5" t="inlineStr">
        <is>
          <t>EM000511</t>
        </is>
      </c>
      <c r="C4859" s="5" t="inlineStr">
        <is>
          <t>ALLISON DE OLIVEIRA COSTA</t>
        </is>
      </c>
      <c r="D4859" s="5" t="inlineStr">
        <is>
          <t>ZP</t>
        </is>
      </c>
      <c r="E4859" s="5" t="n">
        <v>2000008267</v>
      </c>
      <c r="F4859" s="5" t="n"/>
      <c r="G4859" s="5" t="inlineStr">
        <is>
          <t>BRL</t>
        </is>
      </c>
      <c r="H4859" s="9" t="n">
        <v>1820</v>
      </c>
      <c r="I4859" s="16" t="n">
        <v>46162</v>
      </c>
      <c r="J4859" s="16" t="n">
        <v>46162</v>
      </c>
      <c r="K4859" s="5" t="inlineStr">
        <is>
          <t>Vendor DP Request ALLISON DE OLIVEIRA COSTA 51056</t>
        </is>
      </c>
      <c r="L4859" s="5" t="inlineStr">
        <is>
          <t>20052026</t>
        </is>
      </c>
      <c r="M4859" s="5">
        <f>IF(YEAR(I4859)&lt;=2020,"Até 2020",TEXT(YEAR(I4859),"0"))</f>
        <v/>
      </c>
      <c r="N4859" s="5">
        <f>IFERROR(INDEX(DePara!$A:$A,MATCH(TEXT(B4859,"0"),DePara!$D:$D,0)),"(sem categoria)")</f>
        <v/>
      </c>
      <c r="O4859" s="5">
        <f>IF(J4859="","",Parametros!$B$6-J4859)</f>
        <v/>
      </c>
      <c r="P4859" s="5">
        <f>IF(O4859="","",IF(O4859&gt;0,1,0))</f>
        <v/>
      </c>
    </row>
    <row r="4860">
      <c r="A4860" s="5" t="n">
        <v>1117730000</v>
      </c>
      <c r="B4860" s="5" t="inlineStr">
        <is>
          <t>EM000783</t>
        </is>
      </c>
      <c r="C4860" s="5" t="inlineStr">
        <is>
          <t>JEYSON DE OLIVEIRA BARROS</t>
        </is>
      </c>
      <c r="D4860" s="5" t="inlineStr">
        <is>
          <t>ZP</t>
        </is>
      </c>
      <c r="E4860" s="5" t="n">
        <v>2000008276</v>
      </c>
      <c r="F4860" s="5" t="n"/>
      <c r="G4860" s="5" t="inlineStr">
        <is>
          <t>BRL</t>
        </is>
      </c>
      <c r="H4860" s="9" t="n">
        <v>4030</v>
      </c>
      <c r="I4860" s="16" t="n">
        <v>46162</v>
      </c>
      <c r="J4860" s="16" t="n">
        <v>46162</v>
      </c>
      <c r="K4860" s="5" t="inlineStr">
        <is>
          <t>Vendor DP Request JEYSON DE OLIVEIRA BARROS 51043</t>
        </is>
      </c>
      <c r="L4860" s="5" t="inlineStr">
        <is>
          <t>20052026</t>
        </is>
      </c>
      <c r="M4860" s="5">
        <f>IF(YEAR(I4860)&lt;=2020,"Até 2020",TEXT(YEAR(I4860),"0"))</f>
        <v/>
      </c>
      <c r="N4860" s="5">
        <f>IFERROR(INDEX(DePara!$A:$A,MATCH(TEXT(B4860,"0"),DePara!$D:$D,0)),"(sem categoria)")</f>
        <v/>
      </c>
      <c r="O4860" s="5">
        <f>IF(J4860="","",Parametros!$B$6-J4860)</f>
        <v/>
      </c>
      <c r="P4860" s="5">
        <f>IF(O4860="","",IF(O4860&gt;0,1,0))</f>
        <v/>
      </c>
    </row>
    <row r="4861">
      <c r="A4861" s="5" t="n">
        <v>1117730000</v>
      </c>
      <c r="B4861" s="5" t="inlineStr">
        <is>
          <t>EM000862</t>
        </is>
      </c>
      <c r="C4861" s="5" t="inlineStr">
        <is>
          <t>ANTONIO FREIRE MENDES FILHO</t>
        </is>
      </c>
      <c r="D4861" s="5" t="inlineStr">
        <is>
          <t>ZP</t>
        </is>
      </c>
      <c r="E4861" s="5" t="n">
        <v>2000008279</v>
      </c>
      <c r="F4861" s="5" t="n"/>
      <c r="G4861" s="5" t="inlineStr">
        <is>
          <t>BRL</t>
        </is>
      </c>
      <c r="H4861" s="9" t="n">
        <v>650</v>
      </c>
      <c r="I4861" s="16" t="n">
        <v>46162</v>
      </c>
      <c r="J4861" s="16" t="n">
        <v>46162</v>
      </c>
      <c r="K4861" s="5" t="inlineStr">
        <is>
          <t>Vendor DP Request ANTONIO FREIRE MENDES FILHO 5107</t>
        </is>
      </c>
      <c r="L4861" s="5" t="inlineStr">
        <is>
          <t>20052026</t>
        </is>
      </c>
      <c r="M4861" s="5">
        <f>IF(YEAR(I4861)&lt;=2020,"Até 2020",TEXT(YEAR(I4861),"0"))</f>
        <v/>
      </c>
      <c r="N4861" s="5">
        <f>IFERROR(INDEX(DePara!$A:$A,MATCH(TEXT(B4861,"0"),DePara!$D:$D,0)),"(sem categoria)")</f>
        <v/>
      </c>
      <c r="O4861" s="5">
        <f>IF(J4861="","",Parametros!$B$6-J4861)</f>
        <v/>
      </c>
      <c r="P4861" s="5">
        <f>IF(O4861="","",IF(O4861&gt;0,1,0))</f>
        <v/>
      </c>
    </row>
    <row r="4862">
      <c r="A4862" s="5" t="n">
        <v>1117730000</v>
      </c>
      <c r="B4862" s="5" t="inlineStr">
        <is>
          <t>EM000982</t>
        </is>
      </c>
      <c r="C4862" s="5" t="inlineStr">
        <is>
          <t>SADRAQUE DA COSTA PEREIRA</t>
        </is>
      </c>
      <c r="D4862" s="5" t="inlineStr">
        <is>
          <t>ZP</t>
        </is>
      </c>
      <c r="E4862" s="5" t="n">
        <v>2000008283</v>
      </c>
      <c r="F4862" s="5" t="n"/>
      <c r="G4862" s="5" t="inlineStr">
        <is>
          <t>BRL</t>
        </is>
      </c>
      <c r="H4862" s="9" t="n">
        <v>3250</v>
      </c>
      <c r="I4862" s="16" t="n">
        <v>46162</v>
      </c>
      <c r="J4862" s="16" t="n">
        <v>46162</v>
      </c>
      <c r="K4862" s="5" t="inlineStr">
        <is>
          <t>Vendor DP Request SADRAQUE DA COSTA PEREIRA 51020</t>
        </is>
      </c>
      <c r="L4862" s="5" t="inlineStr">
        <is>
          <t>20052026</t>
        </is>
      </c>
      <c r="M4862" s="5">
        <f>IF(YEAR(I4862)&lt;=2020,"Até 2020",TEXT(YEAR(I4862),"0"))</f>
        <v/>
      </c>
      <c r="N4862" s="5">
        <f>IFERROR(INDEX(DePara!$A:$A,MATCH(TEXT(B4862,"0"),DePara!$D:$D,0)),"(sem categoria)")</f>
        <v/>
      </c>
      <c r="O4862" s="5">
        <f>IF(J4862="","",Parametros!$B$6-J4862)</f>
        <v/>
      </c>
      <c r="P4862" s="5">
        <f>IF(O4862="","",IF(O4862&gt;0,1,0))</f>
        <v/>
      </c>
    </row>
    <row r="4863">
      <c r="A4863" s="5" t="n">
        <v>1117730000</v>
      </c>
      <c r="B4863" s="5" t="inlineStr">
        <is>
          <t>EM000443</t>
        </is>
      </c>
      <c r="C4863" s="5" t="inlineStr">
        <is>
          <t>WAGNER STHALONE SILVA DE MEDEIROS</t>
        </is>
      </c>
      <c r="D4863" s="5" t="inlineStr">
        <is>
          <t>ZP</t>
        </is>
      </c>
      <c r="E4863" s="5" t="n">
        <v>2000008428</v>
      </c>
      <c r="F4863" s="5" t="n"/>
      <c r="G4863" s="5" t="inlineStr">
        <is>
          <t>BRL</t>
        </is>
      </c>
      <c r="H4863" s="9" t="n">
        <v>3900</v>
      </c>
      <c r="I4863" s="16" t="n">
        <v>46169</v>
      </c>
      <c r="J4863" s="16" t="n">
        <v>46169</v>
      </c>
      <c r="K4863" s="5" t="inlineStr">
        <is>
          <t>Vendor DP Request WAGNER STHALONE SILVA DE MEDEIRO</t>
        </is>
      </c>
      <c r="L4863" s="5" t="inlineStr">
        <is>
          <t>27052026</t>
        </is>
      </c>
      <c r="M4863" s="5">
        <f>IF(YEAR(I4863)&lt;=2020,"Até 2020",TEXT(YEAR(I4863),"0"))</f>
        <v/>
      </c>
      <c r="N4863" s="5">
        <f>IFERROR(INDEX(DePara!$A:$A,MATCH(TEXT(B4863,"0"),DePara!$D:$D,0)),"(sem categoria)")</f>
        <v/>
      </c>
      <c r="O4863" s="5">
        <f>IF(J4863="","",Parametros!$B$6-J4863)</f>
        <v/>
      </c>
      <c r="P4863" s="5">
        <f>IF(O4863="","",IF(O4863&gt;0,1,0))</f>
        <v/>
      </c>
    </row>
    <row r="4864">
      <c r="A4864" s="5" t="n">
        <v>1117730000</v>
      </c>
      <c r="B4864" s="5" t="inlineStr">
        <is>
          <t>EM000901</t>
        </is>
      </c>
      <c r="C4864" s="5" t="inlineStr">
        <is>
          <t>LEOJAIME DOS SANTOS LIMA</t>
        </is>
      </c>
      <c r="D4864" s="5" t="inlineStr">
        <is>
          <t>ZP</t>
        </is>
      </c>
      <c r="E4864" s="5" t="n">
        <v>2000008435</v>
      </c>
      <c r="F4864" s="5" t="n"/>
      <c r="G4864" s="5" t="inlineStr">
        <is>
          <t>BRL</t>
        </is>
      </c>
      <c r="H4864" s="9" t="n">
        <v>910</v>
      </c>
      <c r="I4864" s="16" t="n">
        <v>46169</v>
      </c>
      <c r="J4864" s="16" t="n">
        <v>46169</v>
      </c>
      <c r="K4864" s="5" t="inlineStr">
        <is>
          <t>Vendor DP Request LEOJAIME DOS SANTOS LIMA 51074</t>
        </is>
      </c>
      <c r="L4864" s="5" t="inlineStr">
        <is>
          <t>27052026</t>
        </is>
      </c>
      <c r="M4864" s="5">
        <f>IF(YEAR(I4864)&lt;=2020,"Até 2020",TEXT(YEAR(I4864),"0"))</f>
        <v/>
      </c>
      <c r="N4864" s="5">
        <f>IFERROR(INDEX(DePara!$A:$A,MATCH(TEXT(B4864,"0"),DePara!$D:$D,0)),"(sem categoria)")</f>
        <v/>
      </c>
      <c r="O4864" s="5">
        <f>IF(J4864="","",Parametros!$B$6-J4864)</f>
        <v/>
      </c>
      <c r="P4864" s="5">
        <f>IF(O4864="","",IF(O4864&gt;0,1,0))</f>
        <v/>
      </c>
    </row>
    <row r="4865">
      <c r="A4865" s="5" t="n">
        <v>1117730000</v>
      </c>
      <c r="B4865" s="5" t="inlineStr">
        <is>
          <t>EM000921</t>
        </is>
      </c>
      <c r="C4865" s="5" t="inlineStr">
        <is>
          <t>PAULO HENRIQUE LAPERA ZORZETO</t>
        </is>
      </c>
      <c r="D4865" s="5" t="inlineStr">
        <is>
          <t>ZP</t>
        </is>
      </c>
      <c r="E4865" s="5" t="n">
        <v>2000008437</v>
      </c>
      <c r="F4865" s="5" t="n"/>
      <c r="G4865" s="5" t="inlineStr">
        <is>
          <t>BRL</t>
        </is>
      </c>
      <c r="H4865" s="9" t="n">
        <v>3900</v>
      </c>
      <c r="I4865" s="16" t="n">
        <v>46169</v>
      </c>
      <c r="J4865" s="16" t="n">
        <v>46169</v>
      </c>
      <c r="K4865" s="5" t="inlineStr">
        <is>
          <t>Vendor DP Request PAULO HENRIQUE LAPERA ZORZETO 51</t>
        </is>
      </c>
      <c r="L4865" s="5" t="inlineStr">
        <is>
          <t>27052026</t>
        </is>
      </c>
      <c r="M4865" s="5">
        <f>IF(YEAR(I4865)&lt;=2020,"Até 2020",TEXT(YEAR(I4865),"0"))</f>
        <v/>
      </c>
      <c r="N4865" s="5">
        <f>IFERROR(INDEX(DePara!$A:$A,MATCH(TEXT(B4865,"0"),DePara!$D:$D,0)),"(sem categoria)")</f>
        <v/>
      </c>
      <c r="O4865" s="5">
        <f>IF(J4865="","",Parametros!$B$6-J4865)</f>
        <v/>
      </c>
      <c r="P4865" s="5">
        <f>IF(O4865="","",IF(O4865&gt;0,1,0))</f>
        <v/>
      </c>
    </row>
    <row r="4866">
      <c r="A4866" s="5" t="n">
        <v>1117730000</v>
      </c>
      <c r="B4866" s="5" t="inlineStr">
        <is>
          <t>EM000129</t>
        </is>
      </c>
      <c r="C4866" s="5" t="inlineStr">
        <is>
          <t>JOCIVAN DE SOUZA SILVA</t>
        </is>
      </c>
      <c r="D4866" s="5" t="inlineStr">
        <is>
          <t>ZP</t>
        </is>
      </c>
      <c r="E4866" s="5" t="n">
        <v>2000009187</v>
      </c>
      <c r="F4866" s="5" t="n"/>
      <c r="G4866" s="5" t="inlineStr">
        <is>
          <t>BRL</t>
        </is>
      </c>
      <c r="H4866" s="9" t="n">
        <v>520</v>
      </c>
      <c r="I4866" s="16" t="n">
        <v>46176</v>
      </c>
      <c r="J4866" s="16" t="n">
        <v>46176</v>
      </c>
      <c r="K4866" s="5" t="inlineStr">
        <is>
          <t>Vendor DP Request JOCIVAN DE SOUZA SILVA 48885</t>
        </is>
      </c>
      <c r="L4866" s="5" t="inlineStr">
        <is>
          <t>03062026</t>
        </is>
      </c>
      <c r="M4866" s="5">
        <f>IF(YEAR(I4866)&lt;=2020,"Até 2020",TEXT(YEAR(I4866),"0"))</f>
        <v/>
      </c>
      <c r="N4866" s="5">
        <f>IFERROR(INDEX(DePara!$A:$A,MATCH(TEXT(B4866,"0"),DePara!$D:$D,0)),"(sem categoria)")</f>
        <v/>
      </c>
      <c r="O4866" s="5">
        <f>IF(J4866="","",Parametros!$B$6-J4866)</f>
        <v/>
      </c>
      <c r="P4866" s="5">
        <f>IF(O4866="","",IF(O4866&gt;0,1,0))</f>
        <v/>
      </c>
    </row>
    <row r="4867">
      <c r="A4867" s="5" t="n">
        <v>1117730000</v>
      </c>
      <c r="B4867" s="5" t="inlineStr">
        <is>
          <t>EM000347</t>
        </is>
      </c>
      <c r="C4867" s="5" t="inlineStr">
        <is>
          <t>FABIO SANTANA DA CONCEICAO</t>
        </is>
      </c>
      <c r="D4867" s="5" t="inlineStr">
        <is>
          <t>ZP</t>
        </is>
      </c>
      <c r="E4867" s="5" t="n">
        <v>2000009208</v>
      </c>
      <c r="F4867" s="5" t="n"/>
      <c r="G4867" s="5" t="inlineStr">
        <is>
          <t>BRL</t>
        </is>
      </c>
      <c r="H4867" s="9" t="n">
        <v>2955</v>
      </c>
      <c r="I4867" s="16" t="n">
        <v>45763</v>
      </c>
      <c r="J4867" s="16" t="n">
        <v>45763</v>
      </c>
      <c r="K4867" s="5" t="inlineStr">
        <is>
          <t>Documento fornecedor FABIO SANTANA DA CONCEICAO AD</t>
        </is>
      </c>
      <c r="L4867" s="5" t="inlineStr">
        <is>
          <t>16042025</t>
        </is>
      </c>
      <c r="M4867" s="5">
        <f>IF(YEAR(I4867)&lt;=2020,"Até 2020",TEXT(YEAR(I4867),"0"))</f>
        <v/>
      </c>
      <c r="N4867" s="5">
        <f>IFERROR(INDEX(DePara!$A:$A,MATCH(TEXT(B4867,"0"),DePara!$D:$D,0)),"(sem categoria)")</f>
        <v/>
      </c>
      <c r="O4867" s="5">
        <f>IF(J4867="","",Parametros!$B$6-J4867)</f>
        <v/>
      </c>
      <c r="P4867" s="5">
        <f>IF(O4867="","",IF(O4867&gt;0,1,0))</f>
        <v/>
      </c>
    </row>
    <row r="4868">
      <c r="A4868" s="5" t="n">
        <v>1117730000</v>
      </c>
      <c r="B4868" s="5" t="inlineStr">
        <is>
          <t>EM000426</t>
        </is>
      </c>
      <c r="C4868" s="5" t="inlineStr">
        <is>
          <t>NAIBHY ADELY GARCIA RODRIGUES</t>
        </is>
      </c>
      <c r="D4868" s="5" t="inlineStr">
        <is>
          <t>ZP</t>
        </is>
      </c>
      <c r="E4868" s="5" t="n">
        <v>2000009210</v>
      </c>
      <c r="F4868" s="5" t="n"/>
      <c r="G4868" s="5" t="inlineStr">
        <is>
          <t>BRL</t>
        </is>
      </c>
      <c r="H4868" s="9" t="n">
        <v>260</v>
      </c>
      <c r="I4868" s="16" t="n">
        <v>46176</v>
      </c>
      <c r="J4868" s="16" t="n">
        <v>46176</v>
      </c>
      <c r="K4868" s="5" t="inlineStr">
        <is>
          <t>Vendor DP Request NAIBHY ADELY GARCIA RODRIGUES 51</t>
        </is>
      </c>
      <c r="L4868" s="5" t="inlineStr">
        <is>
          <t>03062026</t>
        </is>
      </c>
      <c r="M4868" s="5">
        <f>IF(YEAR(I4868)&lt;=2020,"Até 2020",TEXT(YEAR(I4868),"0"))</f>
        <v/>
      </c>
      <c r="N4868" s="5">
        <f>IFERROR(INDEX(DePara!$A:$A,MATCH(TEXT(B4868,"0"),DePara!$D:$D,0)),"(sem categoria)")</f>
        <v/>
      </c>
      <c r="O4868" s="5">
        <f>IF(J4868="","",Parametros!$B$6-J4868)</f>
        <v/>
      </c>
      <c r="P4868" s="5">
        <f>IF(O4868="","",IF(O4868&gt;0,1,0))</f>
        <v/>
      </c>
    </row>
    <row r="4869">
      <c r="A4869" s="5" t="n">
        <v>1117730000</v>
      </c>
      <c r="B4869" s="5" t="inlineStr">
        <is>
          <t>EM000593</t>
        </is>
      </c>
      <c r="C4869" s="5" t="inlineStr">
        <is>
          <t>PEDRO JUNIOR DA SILVA ARAUJO</t>
        </is>
      </c>
      <c r="D4869" s="5" t="inlineStr">
        <is>
          <t>ZP</t>
        </is>
      </c>
      <c r="E4869" s="5" t="n">
        <v>2000009214</v>
      </c>
      <c r="F4869" s="5" t="n"/>
      <c r="G4869" s="5" t="inlineStr">
        <is>
          <t>BRL</t>
        </is>
      </c>
      <c r="H4869" s="9" t="n">
        <v>2955</v>
      </c>
      <c r="I4869" s="16" t="n">
        <v>45763</v>
      </c>
      <c r="J4869" s="16" t="n">
        <v>45763</v>
      </c>
      <c r="K4869" s="5" t="inlineStr">
        <is>
          <t>Documento fornecedor PEDRO JUNIOR DA SILVA ARAUJO</t>
        </is>
      </c>
      <c r="L4869" s="5" t="inlineStr">
        <is>
          <t>16042025</t>
        </is>
      </c>
      <c r="M4869" s="5">
        <f>IF(YEAR(I4869)&lt;=2020,"Até 2020",TEXT(YEAR(I4869),"0"))</f>
        <v/>
      </c>
      <c r="N4869" s="5">
        <f>IFERROR(INDEX(DePara!$A:$A,MATCH(TEXT(B4869,"0"),DePara!$D:$D,0)),"(sem categoria)")</f>
        <v/>
      </c>
      <c r="O4869" s="5">
        <f>IF(J4869="","",Parametros!$B$6-J4869)</f>
        <v/>
      </c>
      <c r="P4869" s="5">
        <f>IF(O4869="","",IF(O4869&gt;0,1,0))</f>
        <v/>
      </c>
    </row>
    <row r="4870">
      <c r="A4870" s="5" t="n">
        <v>1117730000</v>
      </c>
      <c r="B4870" s="5" t="inlineStr">
        <is>
          <t>EM000594</t>
        </is>
      </c>
      <c r="C4870" s="5" t="inlineStr">
        <is>
          <t>WELLINGTON LOPES DOS SANTOS</t>
        </is>
      </c>
      <c r="D4870" s="5" t="inlineStr">
        <is>
          <t>ZP</t>
        </is>
      </c>
      <c r="E4870" s="5" t="n">
        <v>2000009215</v>
      </c>
      <c r="F4870" s="5" t="n"/>
      <c r="G4870" s="5" t="inlineStr">
        <is>
          <t>BRL</t>
        </is>
      </c>
      <c r="H4870" s="9" t="n">
        <v>2955</v>
      </c>
      <c r="I4870" s="16" t="n">
        <v>45763</v>
      </c>
      <c r="J4870" s="16" t="n">
        <v>45763</v>
      </c>
      <c r="K4870" s="5" t="inlineStr">
        <is>
          <t>Documento fornecedor WELLINGTON LOPES DOS SANTOS A</t>
        </is>
      </c>
      <c r="L4870" s="5" t="inlineStr">
        <is>
          <t>16042025</t>
        </is>
      </c>
      <c r="M4870" s="5">
        <f>IF(YEAR(I4870)&lt;=2020,"Até 2020",TEXT(YEAR(I4870),"0"))</f>
        <v/>
      </c>
      <c r="N4870" s="5">
        <f>IFERROR(INDEX(DePara!$A:$A,MATCH(TEXT(B4870,"0"),DePara!$D:$D,0)),"(sem categoria)")</f>
        <v/>
      </c>
      <c r="O4870" s="5">
        <f>IF(J4870="","",Parametros!$B$6-J4870)</f>
        <v/>
      </c>
      <c r="P4870" s="5">
        <f>IF(O4870="","",IF(O4870&gt;0,1,0))</f>
        <v/>
      </c>
    </row>
    <row r="4871">
      <c r="A4871" s="5" t="n">
        <v>1117730000</v>
      </c>
      <c r="B4871" s="5" t="inlineStr">
        <is>
          <t>EM000955</t>
        </is>
      </c>
      <c r="C4871" s="5" t="inlineStr">
        <is>
          <t>JOE MAGNI FREITAS SANTOS</t>
        </is>
      </c>
      <c r="D4871" s="5" t="inlineStr">
        <is>
          <t>ZP</t>
        </is>
      </c>
      <c r="E4871" s="5" t="n">
        <v>2000009219</v>
      </c>
      <c r="F4871" s="5" t="n"/>
      <c r="G4871" s="5" t="inlineStr">
        <is>
          <t>BRL</t>
        </is>
      </c>
      <c r="H4871" s="9" t="n">
        <v>2955</v>
      </c>
      <c r="I4871" s="16" t="n">
        <v>45763</v>
      </c>
      <c r="J4871" s="16" t="n">
        <v>45763</v>
      </c>
      <c r="K4871" s="5" t="inlineStr">
        <is>
          <t>Documento fornecedor JOE MAGNI FREITAS SANTOS ADTO</t>
        </is>
      </c>
      <c r="L4871" s="5" t="inlineStr">
        <is>
          <t>16042025</t>
        </is>
      </c>
      <c r="M4871" s="5">
        <f>IF(YEAR(I4871)&lt;=2020,"Até 2020",TEXT(YEAR(I4871),"0"))</f>
        <v/>
      </c>
      <c r="N4871" s="5">
        <f>IFERROR(INDEX(DePara!$A:$A,MATCH(TEXT(B4871,"0"),DePara!$D:$D,0)),"(sem categoria)")</f>
        <v/>
      </c>
      <c r="O4871" s="5">
        <f>IF(J4871="","",Parametros!$B$6-J4871)</f>
        <v/>
      </c>
      <c r="P4871" s="5">
        <f>IF(O4871="","",IF(O4871&gt;0,1,0))</f>
        <v/>
      </c>
    </row>
    <row r="4872">
      <c r="A4872" s="5" t="n">
        <v>1117730000</v>
      </c>
      <c r="B4872" s="5" t="inlineStr">
        <is>
          <t>EM000959</t>
        </is>
      </c>
      <c r="C4872" s="5" t="inlineStr">
        <is>
          <t>GEOVANE SANTOS GOMES</t>
        </is>
      </c>
      <c r="D4872" s="5" t="inlineStr">
        <is>
          <t>ZP</t>
        </is>
      </c>
      <c r="E4872" s="5" t="n">
        <v>2000009223</v>
      </c>
      <c r="F4872" s="5" t="n"/>
      <c r="G4872" s="5" t="inlineStr">
        <is>
          <t>BRL</t>
        </is>
      </c>
      <c r="H4872" s="9" t="n">
        <v>2955</v>
      </c>
      <c r="I4872" s="16" t="n">
        <v>45763</v>
      </c>
      <c r="J4872" s="16" t="n">
        <v>45763</v>
      </c>
      <c r="K4872" s="5" t="inlineStr">
        <is>
          <t>Documento fornecedor GEOVANE SANTOS GOMES ADTO 500</t>
        </is>
      </c>
      <c r="L4872" s="5" t="inlineStr">
        <is>
          <t>16042025</t>
        </is>
      </c>
      <c r="M4872" s="5">
        <f>IF(YEAR(I4872)&lt;=2020,"Até 2020",TEXT(YEAR(I4872),"0"))</f>
        <v/>
      </c>
      <c r="N4872" s="5">
        <f>IFERROR(INDEX(DePara!$A:$A,MATCH(TEXT(B4872,"0"),DePara!$D:$D,0)),"(sem categoria)")</f>
        <v/>
      </c>
      <c r="O4872" s="5">
        <f>IF(J4872="","",Parametros!$B$6-J4872)</f>
        <v/>
      </c>
      <c r="P4872" s="5">
        <f>IF(O4872="","",IF(O4872&gt;0,1,0))</f>
        <v/>
      </c>
    </row>
    <row r="4873">
      <c r="A4873" s="5" t="n">
        <v>1117730000</v>
      </c>
      <c r="B4873" s="5" t="inlineStr">
        <is>
          <t>EM000666</t>
        </is>
      </c>
      <c r="C4873" s="5" t="inlineStr">
        <is>
          <t>FAGNER OLIVEIRA DA SILVA</t>
        </is>
      </c>
      <c r="D4873" s="5" t="inlineStr">
        <is>
          <t>ZP</t>
        </is>
      </c>
      <c r="E4873" s="5" t="n">
        <v>2000009224</v>
      </c>
      <c r="F4873" s="5" t="n"/>
      <c r="G4873" s="5" t="inlineStr">
        <is>
          <t>BRL</t>
        </is>
      </c>
      <c r="H4873" s="9" t="n">
        <v>650</v>
      </c>
      <c r="I4873" s="16" t="n">
        <v>46176</v>
      </c>
      <c r="J4873" s="16" t="n">
        <v>46176</v>
      </c>
      <c r="K4873" s="5" t="inlineStr">
        <is>
          <t>Vendor DP Request FAGNER OLIVEIRA DA SILVA 49949</t>
        </is>
      </c>
      <c r="L4873" s="5" t="inlineStr">
        <is>
          <t>03062026</t>
        </is>
      </c>
      <c r="M4873" s="5">
        <f>IF(YEAR(I4873)&lt;=2020,"Até 2020",TEXT(YEAR(I4873),"0"))</f>
        <v/>
      </c>
      <c r="N4873" s="5">
        <f>IFERROR(INDEX(DePara!$A:$A,MATCH(TEXT(B4873,"0"),DePara!$D:$D,0)),"(sem categoria)")</f>
        <v/>
      </c>
      <c r="O4873" s="5">
        <f>IF(J4873="","",Parametros!$B$6-J4873)</f>
        <v/>
      </c>
      <c r="P4873" s="5">
        <f>IF(O4873="","",IF(O4873&gt;0,1,0))</f>
        <v/>
      </c>
    </row>
    <row r="4874">
      <c r="A4874" s="5" t="n">
        <v>1117730000</v>
      </c>
      <c r="B4874" s="5" t="inlineStr">
        <is>
          <t>EM000960</t>
        </is>
      </c>
      <c r="C4874" s="5" t="inlineStr">
        <is>
          <t>ITALO OLIVEIRA FERREIRA</t>
        </is>
      </c>
      <c r="D4874" s="5" t="inlineStr">
        <is>
          <t>ZP</t>
        </is>
      </c>
      <c r="E4874" s="5" t="n">
        <v>2000009225</v>
      </c>
      <c r="F4874" s="5" t="n"/>
      <c r="G4874" s="5" t="inlineStr">
        <is>
          <t>BRL</t>
        </is>
      </c>
      <c r="H4874" s="9" t="n">
        <v>2955</v>
      </c>
      <c r="I4874" s="16" t="n">
        <v>45763</v>
      </c>
      <c r="J4874" s="16" t="n">
        <v>45763</v>
      </c>
      <c r="K4874" s="5" t="inlineStr">
        <is>
          <t>Documento fornecedor ITALO OLIVEIRA FERREIRA ADTO</t>
        </is>
      </c>
      <c r="L4874" s="5" t="inlineStr">
        <is>
          <t>16042025</t>
        </is>
      </c>
      <c r="M4874" s="5">
        <f>IF(YEAR(I4874)&lt;=2020,"Até 2020",TEXT(YEAR(I4874),"0"))</f>
        <v/>
      </c>
      <c r="N4874" s="5">
        <f>IFERROR(INDEX(DePara!$A:$A,MATCH(TEXT(B4874,"0"),DePara!$D:$D,0)),"(sem categoria)")</f>
        <v/>
      </c>
      <c r="O4874" s="5">
        <f>IF(J4874="","",Parametros!$B$6-J4874)</f>
        <v/>
      </c>
      <c r="P4874" s="5">
        <f>IF(O4874="","",IF(O4874&gt;0,1,0))</f>
        <v/>
      </c>
    </row>
    <row r="4875">
      <c r="A4875" s="5" t="n">
        <v>1117730000</v>
      </c>
      <c r="B4875" s="5" t="inlineStr">
        <is>
          <t>EM000969</t>
        </is>
      </c>
      <c r="C4875" s="5" t="inlineStr">
        <is>
          <t>KEVIN LUCAS DA SILVA</t>
        </is>
      </c>
      <c r="D4875" s="5" t="inlineStr">
        <is>
          <t>ZP</t>
        </is>
      </c>
      <c r="E4875" s="5" t="n">
        <v>2000009235</v>
      </c>
      <c r="F4875" s="5" t="n"/>
      <c r="G4875" s="5" t="inlineStr">
        <is>
          <t>BRL</t>
        </is>
      </c>
      <c r="H4875" s="9" t="n">
        <v>910</v>
      </c>
      <c r="I4875" s="16" t="n">
        <v>46176</v>
      </c>
      <c r="J4875" s="16" t="n">
        <v>46176</v>
      </c>
      <c r="K4875" s="5" t="inlineStr">
        <is>
          <t>Vendor DP Request KEVIN LUCAS DA SILVA 51025</t>
        </is>
      </c>
      <c r="L4875" s="5" t="inlineStr">
        <is>
          <t>03062026</t>
        </is>
      </c>
      <c r="M4875" s="5">
        <f>IF(YEAR(I4875)&lt;=2020,"Até 2020",TEXT(YEAR(I4875),"0"))</f>
        <v/>
      </c>
      <c r="N4875" s="5">
        <f>IFERROR(INDEX(DePara!$A:$A,MATCH(TEXT(B4875,"0"),DePara!$D:$D,0)),"(sem categoria)")</f>
        <v/>
      </c>
      <c r="O4875" s="5">
        <f>IF(J4875="","",Parametros!$B$6-J4875)</f>
        <v/>
      </c>
      <c r="P4875" s="5">
        <f>IF(O4875="","",IF(O4875&gt;0,1,0))</f>
        <v/>
      </c>
    </row>
    <row r="4876">
      <c r="A4876" s="5" t="n">
        <v>1117730000</v>
      </c>
      <c r="B4876" s="5" t="inlineStr">
        <is>
          <t>EM000027</t>
        </is>
      </c>
      <c r="C4876" s="5" t="inlineStr">
        <is>
          <t>RAFAEL AUGUSTO DA SILVA GOULARTE</t>
        </is>
      </c>
      <c r="D4876" s="5" t="inlineStr">
        <is>
          <t>ZP</t>
        </is>
      </c>
      <c r="E4876" s="5" t="n">
        <v>2000009701</v>
      </c>
      <c r="F4876" s="5" t="n"/>
      <c r="G4876" s="5" t="inlineStr">
        <is>
          <t>BRL</t>
        </is>
      </c>
      <c r="H4876" s="9" t="n">
        <v>1560</v>
      </c>
      <c r="I4876" s="16" t="n">
        <v>46183</v>
      </c>
      <c r="J4876" s="16" t="n">
        <v>46183</v>
      </c>
      <c r="K4876" s="5" t="inlineStr">
        <is>
          <t>Vendor DP Request RAFAEL AUGUSTO DA SILVA GOULARTE</t>
        </is>
      </c>
      <c r="L4876" s="5" t="inlineStr">
        <is>
          <t>10062026</t>
        </is>
      </c>
      <c r="M4876" s="5">
        <f>IF(YEAR(I4876)&lt;=2020,"Até 2020",TEXT(YEAR(I4876),"0"))</f>
        <v/>
      </c>
      <c r="N4876" s="5">
        <f>IFERROR(INDEX(DePara!$A:$A,MATCH(TEXT(B4876,"0"),DePara!$D:$D,0)),"(sem categoria)")</f>
        <v/>
      </c>
      <c r="O4876" s="5">
        <f>IF(J4876="","",Parametros!$B$6-J4876)</f>
        <v/>
      </c>
      <c r="P4876" s="5">
        <f>IF(O4876="","",IF(O4876&gt;0,1,0))</f>
        <v/>
      </c>
    </row>
    <row r="4877">
      <c r="A4877" s="5" t="n">
        <v>1117730000</v>
      </c>
      <c r="B4877" s="5" t="inlineStr">
        <is>
          <t>EM000129</t>
        </is>
      </c>
      <c r="C4877" s="5" t="inlineStr">
        <is>
          <t>JOCIVAN DE SOUZA SILVA</t>
        </is>
      </c>
      <c r="D4877" s="5" t="inlineStr">
        <is>
          <t>ZP</t>
        </is>
      </c>
      <c r="E4877" s="5" t="n">
        <v>2000009709</v>
      </c>
      <c r="F4877" s="5" t="n"/>
      <c r="G4877" s="5" t="inlineStr">
        <is>
          <t>BRL</t>
        </is>
      </c>
      <c r="H4877" s="9" t="n">
        <v>520</v>
      </c>
      <c r="I4877" s="16" t="n">
        <v>46183</v>
      </c>
      <c r="J4877" s="16" t="n">
        <v>46183</v>
      </c>
      <c r="K4877" s="5" t="inlineStr">
        <is>
          <t>Vendor DP Request JOCIVAN DE SOUZA SILVA 48885</t>
        </is>
      </c>
      <c r="L4877" s="5" t="inlineStr">
        <is>
          <t>10062026</t>
        </is>
      </c>
      <c r="M4877" s="5">
        <f>IF(YEAR(I4877)&lt;=2020,"Até 2020",TEXT(YEAR(I4877),"0"))</f>
        <v/>
      </c>
      <c r="N4877" s="5">
        <f>IFERROR(INDEX(DePara!$A:$A,MATCH(TEXT(B4877,"0"),DePara!$D:$D,0)),"(sem categoria)")</f>
        <v/>
      </c>
      <c r="O4877" s="5">
        <f>IF(J4877="","",Parametros!$B$6-J4877)</f>
        <v/>
      </c>
      <c r="P4877" s="5">
        <f>IF(O4877="","",IF(O4877&gt;0,1,0))</f>
        <v/>
      </c>
    </row>
    <row r="4878">
      <c r="A4878" s="5" t="n">
        <v>1117730000</v>
      </c>
      <c r="B4878" s="5" t="inlineStr">
        <is>
          <t>EM000417</t>
        </is>
      </c>
      <c r="C4878" s="5" t="inlineStr">
        <is>
          <t>VICTOR DOS SANTOS DE JESUS</t>
        </is>
      </c>
      <c r="D4878" s="5" t="inlineStr">
        <is>
          <t>ZP</t>
        </is>
      </c>
      <c r="E4878" s="5" t="n">
        <v>2000009717</v>
      </c>
      <c r="F4878" s="5" t="n"/>
      <c r="G4878" s="5" t="inlineStr">
        <is>
          <t>BRL</t>
        </is>
      </c>
      <c r="H4878" s="9" t="n">
        <v>260</v>
      </c>
      <c r="I4878" s="16" t="n">
        <v>46183</v>
      </c>
      <c r="J4878" s="16" t="n">
        <v>46183</v>
      </c>
      <c r="K4878" s="5" t="inlineStr">
        <is>
          <t>Vendor DP Request VICTOR DOS SANTOS DE JESUS 51201</t>
        </is>
      </c>
      <c r="L4878" s="5" t="inlineStr">
        <is>
          <t>10062026</t>
        </is>
      </c>
      <c r="M4878" s="5">
        <f>IF(YEAR(I4878)&lt;=2020,"Até 2020",TEXT(YEAR(I4878),"0"))</f>
        <v/>
      </c>
      <c r="N4878" s="5">
        <f>IFERROR(INDEX(DePara!$A:$A,MATCH(TEXT(B4878,"0"),DePara!$D:$D,0)),"(sem categoria)")</f>
        <v/>
      </c>
      <c r="O4878" s="5">
        <f>IF(J4878="","",Parametros!$B$6-J4878)</f>
        <v/>
      </c>
      <c r="P4878" s="5">
        <f>IF(O4878="","",IF(O4878&gt;0,1,0))</f>
        <v/>
      </c>
    </row>
    <row r="4879">
      <c r="A4879" s="5" t="n">
        <v>1117730000</v>
      </c>
      <c r="B4879" s="5" t="inlineStr">
        <is>
          <t>EM000866</t>
        </is>
      </c>
      <c r="C4879" s="5" t="inlineStr">
        <is>
          <t>FRANCISCO MARCOS DE FREITAS</t>
        </is>
      </c>
      <c r="D4879" s="5" t="inlineStr">
        <is>
          <t>ZP</t>
        </is>
      </c>
      <c r="E4879" s="5" t="n">
        <v>2000009728</v>
      </c>
      <c r="F4879" s="5" t="n"/>
      <c r="G4879" s="5" t="inlineStr">
        <is>
          <t>BRL</t>
        </is>
      </c>
      <c r="H4879" s="9" t="n">
        <v>1040</v>
      </c>
      <c r="I4879" s="16" t="n">
        <v>46183</v>
      </c>
      <c r="J4879" s="16" t="n">
        <v>46183</v>
      </c>
      <c r="K4879" s="5" t="inlineStr">
        <is>
          <t>Vendor DP Request FRANCISCO MARCOS DE FREITAS 4888</t>
        </is>
      </c>
      <c r="L4879" s="5" t="inlineStr">
        <is>
          <t>10062026</t>
        </is>
      </c>
      <c r="M4879" s="5">
        <f>IF(YEAR(I4879)&lt;=2020,"Até 2020",TEXT(YEAR(I4879),"0"))</f>
        <v/>
      </c>
      <c r="N4879" s="5">
        <f>IFERROR(INDEX(DePara!$A:$A,MATCH(TEXT(B4879,"0"),DePara!$D:$D,0)),"(sem categoria)")</f>
        <v/>
      </c>
      <c r="O4879" s="5">
        <f>IF(J4879="","",Parametros!$B$6-J4879)</f>
        <v/>
      </c>
      <c r="P4879" s="5">
        <f>IF(O4879="","",IF(O4879&gt;0,1,0))</f>
        <v/>
      </c>
    </row>
    <row r="4880">
      <c r="A4880" s="5" t="n">
        <v>1117730000</v>
      </c>
      <c r="B4880" s="5" t="inlineStr">
        <is>
          <t>EM000866</t>
        </is>
      </c>
      <c r="C4880" s="5" t="inlineStr">
        <is>
          <t>FRANCISCO MARCOS DE FREITAS</t>
        </is>
      </c>
      <c r="D4880" s="5" t="inlineStr">
        <is>
          <t>ZP</t>
        </is>
      </c>
      <c r="E4880" s="5" t="n">
        <v>2000010059</v>
      </c>
      <c r="F4880" s="5" t="n"/>
      <c r="G4880" s="5" t="inlineStr">
        <is>
          <t>BRL</t>
        </is>
      </c>
      <c r="H4880" s="9" t="n">
        <v>650</v>
      </c>
      <c r="I4880" s="16" t="n">
        <v>46190</v>
      </c>
      <c r="J4880" s="16" t="n">
        <v>46190</v>
      </c>
      <c r="K4880" s="5" t="inlineStr">
        <is>
          <t>Vendor DP Request FRANCISCO MARCOS DE FREITAS 4888</t>
        </is>
      </c>
      <c r="L4880" s="5" t="inlineStr">
        <is>
          <t>17062026</t>
        </is>
      </c>
      <c r="M4880" s="5">
        <f>IF(YEAR(I4880)&lt;=2020,"Até 2020",TEXT(YEAR(I4880),"0"))</f>
        <v/>
      </c>
      <c r="N4880" s="5">
        <f>IFERROR(INDEX(DePara!$A:$A,MATCH(TEXT(B4880,"0"),DePara!$D:$D,0)),"(sem categoria)")</f>
        <v/>
      </c>
      <c r="O4880" s="5">
        <f>IF(J4880="","",Parametros!$B$6-J4880)</f>
        <v/>
      </c>
      <c r="P4880" s="5">
        <f>IF(O4880="","",IF(O4880&gt;0,1,0))</f>
        <v/>
      </c>
    </row>
    <row r="4881">
      <c r="A4881" s="5" t="n">
        <v>1117730000</v>
      </c>
      <c r="B4881" s="5" t="inlineStr">
        <is>
          <t>EM000546</t>
        </is>
      </c>
      <c r="C4881" s="5" t="inlineStr">
        <is>
          <t>FELLIPE MATHEUS OLIVEIRA DO NASCIMENTO</t>
        </is>
      </c>
      <c r="D4881" s="5" t="inlineStr">
        <is>
          <t>ZP</t>
        </is>
      </c>
      <c r="E4881" s="5" t="n">
        <v>2000010109</v>
      </c>
      <c r="F4881" s="5" t="n"/>
      <c r="G4881" s="5" t="inlineStr">
        <is>
          <t>BRL</t>
        </is>
      </c>
      <c r="H4881" s="9" t="n">
        <v>3900</v>
      </c>
      <c r="I4881" s="16" t="n">
        <v>46190</v>
      </c>
      <c r="J4881" s="16" t="n">
        <v>46190</v>
      </c>
      <c r="K4881" s="5" t="inlineStr">
        <is>
          <t>Vendor DP Request FELLIPE MATHEUS OLIVEIRA DO NASC</t>
        </is>
      </c>
      <c r="L4881" s="5" t="inlineStr">
        <is>
          <t>17062026</t>
        </is>
      </c>
      <c r="M4881" s="5">
        <f>IF(YEAR(I4881)&lt;=2020,"Até 2020",TEXT(YEAR(I4881),"0"))</f>
        <v/>
      </c>
      <c r="N4881" s="5">
        <f>IFERROR(INDEX(DePara!$A:$A,MATCH(TEXT(B4881,"0"),DePara!$D:$D,0)),"(sem categoria)")</f>
        <v/>
      </c>
      <c r="O4881" s="5">
        <f>IF(J4881="","",Parametros!$B$6-J4881)</f>
        <v/>
      </c>
      <c r="P4881" s="5">
        <f>IF(O4881="","",IF(O4881&gt;0,1,0))</f>
        <v/>
      </c>
    </row>
    <row r="4882">
      <c r="A4882" s="5" t="n">
        <v>1117730000</v>
      </c>
      <c r="B4882" s="5" t="inlineStr">
        <is>
          <t>EM003688</t>
        </is>
      </c>
      <c r="C4882" s="5" t="inlineStr">
        <is>
          <t>Felipe Affonso de Carvalho Quita</t>
        </is>
      </c>
      <c r="D4882" s="5" t="inlineStr">
        <is>
          <t>ZP</t>
        </is>
      </c>
      <c r="E4882" s="5" t="n">
        <v>2000010118</v>
      </c>
      <c r="F4882" s="5" t="n"/>
      <c r="G4882" s="5" t="inlineStr">
        <is>
          <t>BRL</t>
        </is>
      </c>
      <c r="H4882" s="9" t="n">
        <v>1490.4</v>
      </c>
      <c r="I4882" s="16" t="n">
        <v>46190</v>
      </c>
      <c r="J4882" s="16" t="n">
        <v>46190</v>
      </c>
      <c r="K4882" s="5" t="inlineStr">
        <is>
          <t>Vendor DP Request Felipe Affonso de Carvalho Quita</t>
        </is>
      </c>
      <c r="L4882" s="5" t="inlineStr">
        <is>
          <t>17062026</t>
        </is>
      </c>
      <c r="M4882" s="5">
        <f>IF(YEAR(I4882)&lt;=2020,"Até 2020",TEXT(YEAR(I4882),"0"))</f>
        <v/>
      </c>
      <c r="N4882" s="5">
        <f>IFERROR(INDEX(DePara!$A:$A,MATCH(TEXT(B4882,"0"),DePara!$D:$D,0)),"(sem categoria)")</f>
        <v/>
      </c>
      <c r="O4882" s="5">
        <f>IF(J4882="","",Parametros!$B$6-J4882)</f>
        <v/>
      </c>
      <c r="P4882" s="5">
        <f>IF(O4882="","",IF(O4882&gt;0,1,0))</f>
        <v/>
      </c>
    </row>
    <row r="4883">
      <c r="A4883" s="5" t="n">
        <v>1117730000</v>
      </c>
      <c r="B4883" s="5" t="inlineStr">
        <is>
          <t>EM003688</t>
        </is>
      </c>
      <c r="C4883" s="5" t="inlineStr">
        <is>
          <t>Felipe Affonso de Carvalho Quita</t>
        </is>
      </c>
      <c r="D4883" s="5" t="inlineStr">
        <is>
          <t>ZP</t>
        </is>
      </c>
      <c r="E4883" s="5" t="n">
        <v>2000010119</v>
      </c>
      <c r="F4883" s="5" t="n"/>
      <c r="G4883" s="5" t="inlineStr">
        <is>
          <t>BRL</t>
        </is>
      </c>
      <c r="H4883" s="9" t="n">
        <v>1579.2</v>
      </c>
      <c r="I4883" s="16" t="n">
        <v>46190</v>
      </c>
      <c r="J4883" s="16" t="n">
        <v>46190</v>
      </c>
      <c r="K4883" s="5" t="inlineStr">
        <is>
          <t>Vendor DP Request Felipe Affonso de Carvalho Quita</t>
        </is>
      </c>
      <c r="L4883" s="5" t="inlineStr">
        <is>
          <t>17062026</t>
        </is>
      </c>
      <c r="M4883" s="5">
        <f>IF(YEAR(I4883)&lt;=2020,"Até 2020",TEXT(YEAR(I4883),"0"))</f>
        <v/>
      </c>
      <c r="N4883" s="5">
        <f>IFERROR(INDEX(DePara!$A:$A,MATCH(TEXT(B4883,"0"),DePara!$D:$D,0)),"(sem categoria)")</f>
        <v/>
      </c>
      <c r="O4883" s="5">
        <f>IF(J4883="","",Parametros!$B$6-J4883)</f>
        <v/>
      </c>
      <c r="P4883" s="5">
        <f>IF(O4883="","",IF(O4883&gt;0,1,0))</f>
        <v/>
      </c>
    </row>
    <row r="4884">
      <c r="A4884" s="5" t="n">
        <v>1117730000</v>
      </c>
      <c r="B4884" s="5" t="inlineStr">
        <is>
          <t>EM003688</t>
        </is>
      </c>
      <c r="C4884" s="5" t="inlineStr">
        <is>
          <t>Felipe Affonso de Carvalho Quita</t>
        </is>
      </c>
      <c r="D4884" s="5" t="inlineStr">
        <is>
          <t>ZP</t>
        </is>
      </c>
      <c r="E4884" s="5" t="n">
        <v>2000010120</v>
      </c>
      <c r="F4884" s="5" t="n"/>
      <c r="G4884" s="5" t="inlineStr">
        <is>
          <t>BRL</t>
        </is>
      </c>
      <c r="H4884" s="9" t="n">
        <v>3005.76</v>
      </c>
      <c r="I4884" s="16" t="n">
        <v>46190</v>
      </c>
      <c r="J4884" s="16" t="n">
        <v>46190</v>
      </c>
      <c r="K4884" s="5" t="inlineStr">
        <is>
          <t>Vendor DP Request Felipe Affonso de Carvalho Quita</t>
        </is>
      </c>
      <c r="L4884" s="5" t="inlineStr">
        <is>
          <t>17062026</t>
        </is>
      </c>
      <c r="M4884" s="5">
        <f>IF(YEAR(I4884)&lt;=2020,"Até 2020",TEXT(YEAR(I4884),"0"))</f>
        <v/>
      </c>
      <c r="N4884" s="5">
        <f>IFERROR(INDEX(DePara!$A:$A,MATCH(TEXT(B4884,"0"),DePara!$D:$D,0)),"(sem categoria)")</f>
        <v/>
      </c>
      <c r="O4884" s="5">
        <f>IF(J4884="","",Parametros!$B$6-J4884)</f>
        <v/>
      </c>
      <c r="P4884" s="5">
        <f>IF(O4884="","",IF(O4884&gt;0,1,0))</f>
        <v/>
      </c>
    </row>
    <row r="4885">
      <c r="A4885" s="5" t="n">
        <v>1117730000</v>
      </c>
      <c r="B4885" s="5" t="inlineStr">
        <is>
          <t>EM000027</t>
        </is>
      </c>
      <c r="C4885" s="5" t="inlineStr">
        <is>
          <t>RAFAEL AUGUSTO DA SILVA GOULARTE</t>
        </is>
      </c>
      <c r="D4885" s="5" t="inlineStr">
        <is>
          <t>ZP</t>
        </is>
      </c>
      <c r="E4885" s="5" t="n">
        <v>2000010345</v>
      </c>
      <c r="F4885" s="5" t="n"/>
      <c r="G4885" s="5" t="inlineStr">
        <is>
          <t>BRL</t>
        </is>
      </c>
      <c r="H4885" s="9" t="n">
        <v>1300</v>
      </c>
      <c r="I4885" s="16" t="n">
        <v>46197</v>
      </c>
      <c r="J4885" s="16" t="n">
        <v>46197</v>
      </c>
      <c r="K4885" s="5" t="inlineStr">
        <is>
          <t>Vendor DP Request RAFAEL AUGUSTO DA SILVA GOULARTE</t>
        </is>
      </c>
      <c r="L4885" s="5" t="inlineStr">
        <is>
          <t>24062026</t>
        </is>
      </c>
      <c r="M4885" s="5">
        <f>IF(YEAR(I4885)&lt;=2020,"Até 2020",TEXT(YEAR(I4885),"0"))</f>
        <v/>
      </c>
      <c r="N4885" s="5">
        <f>IFERROR(INDEX(DePara!$A:$A,MATCH(TEXT(B4885,"0"),DePara!$D:$D,0)),"(sem categoria)")</f>
        <v/>
      </c>
      <c r="O4885" s="5">
        <f>IF(J4885="","",Parametros!$B$6-J4885)</f>
        <v/>
      </c>
      <c r="P4885" s="5">
        <f>IF(O4885="","",IF(O4885&gt;0,1,0))</f>
        <v/>
      </c>
    </row>
    <row r="4886">
      <c r="A4886" s="5" t="n">
        <v>1117730000</v>
      </c>
      <c r="B4886" s="5" t="inlineStr">
        <is>
          <t>EM000125</t>
        </is>
      </c>
      <c r="C4886" s="5" t="inlineStr">
        <is>
          <t>RODRIGO RAFAEL LIMA DE FARIAS</t>
        </is>
      </c>
      <c r="D4886" s="5" t="inlineStr">
        <is>
          <t>ZP</t>
        </is>
      </c>
      <c r="E4886" s="5" t="n">
        <v>2000010352</v>
      </c>
      <c r="F4886" s="5" t="n"/>
      <c r="G4886" s="5" t="inlineStr">
        <is>
          <t>BRL</t>
        </is>
      </c>
      <c r="H4886" s="9" t="n">
        <v>260</v>
      </c>
      <c r="I4886" s="16" t="n">
        <v>46197</v>
      </c>
      <c r="J4886" s="16" t="n">
        <v>46197</v>
      </c>
      <c r="K4886" s="5" t="inlineStr">
        <is>
          <t>Vendor DP Request RODRIGO RAFAEL LIMA DE FARIAS 51</t>
        </is>
      </c>
      <c r="L4886" s="5" t="inlineStr">
        <is>
          <t>24062026</t>
        </is>
      </c>
      <c r="M4886" s="5">
        <f>IF(YEAR(I4886)&lt;=2020,"Até 2020",TEXT(YEAR(I4886),"0"))</f>
        <v/>
      </c>
      <c r="N4886" s="5">
        <f>IFERROR(INDEX(DePara!$A:$A,MATCH(TEXT(B4886,"0"),DePara!$D:$D,0)),"(sem categoria)")</f>
        <v/>
      </c>
      <c r="O4886" s="5">
        <f>IF(J4886="","",Parametros!$B$6-J4886)</f>
        <v/>
      </c>
      <c r="P4886" s="5">
        <f>IF(O4886="","",IF(O4886&gt;0,1,0))</f>
        <v/>
      </c>
    </row>
    <row r="4887">
      <c r="A4887" s="5" t="n">
        <v>1117730000</v>
      </c>
      <c r="B4887" s="5" t="inlineStr">
        <is>
          <t>EM000129</t>
        </is>
      </c>
      <c r="C4887" s="5" t="inlineStr">
        <is>
          <t>JOCIVAN DE SOUZA SILVA</t>
        </is>
      </c>
      <c r="D4887" s="5" t="inlineStr">
        <is>
          <t>ZP</t>
        </is>
      </c>
      <c r="E4887" s="5" t="n">
        <v>2000010354</v>
      </c>
      <c r="F4887" s="5" t="n"/>
      <c r="G4887" s="5" t="inlineStr">
        <is>
          <t>BRL</t>
        </is>
      </c>
      <c r="H4887" s="9" t="n">
        <v>1300</v>
      </c>
      <c r="I4887" s="16" t="n">
        <v>46197</v>
      </c>
      <c r="J4887" s="16" t="n">
        <v>46197</v>
      </c>
      <c r="K4887" s="5" t="inlineStr">
        <is>
          <t>Vendor DP Request JOCIVAN DE SOUZA SILVA 48885</t>
        </is>
      </c>
      <c r="L4887" s="5" t="inlineStr">
        <is>
          <t>24062026</t>
        </is>
      </c>
      <c r="M4887" s="5">
        <f>IF(YEAR(I4887)&lt;=2020,"Até 2020",TEXT(YEAR(I4887),"0"))</f>
        <v/>
      </c>
      <c r="N4887" s="5">
        <f>IFERROR(INDEX(DePara!$A:$A,MATCH(TEXT(B4887,"0"),DePara!$D:$D,0)),"(sem categoria)")</f>
        <v/>
      </c>
      <c r="O4887" s="5">
        <f>IF(J4887="","",Parametros!$B$6-J4887)</f>
        <v/>
      </c>
      <c r="P4887" s="5">
        <f>IF(O4887="","",IF(O4887&gt;0,1,0))</f>
        <v/>
      </c>
    </row>
    <row r="4888">
      <c r="A4888" s="5" t="n">
        <v>1117730000</v>
      </c>
      <c r="B4888" s="5" t="inlineStr">
        <is>
          <t>EM000278</t>
        </is>
      </c>
      <c r="C4888" s="5" t="inlineStr">
        <is>
          <t>LEONARDO FERNANDES PEREIRA MOREIRA</t>
        </is>
      </c>
      <c r="D4888" s="5" t="inlineStr">
        <is>
          <t>ZP</t>
        </is>
      </c>
      <c r="E4888" s="5" t="n">
        <v>2000010355</v>
      </c>
      <c r="F4888" s="5" t="n"/>
      <c r="G4888" s="5" t="inlineStr">
        <is>
          <t>BRL</t>
        </is>
      </c>
      <c r="H4888" s="9" t="n">
        <v>910</v>
      </c>
      <c r="I4888" s="16" t="n">
        <v>46197</v>
      </c>
      <c r="J4888" s="16" t="n">
        <v>46197</v>
      </c>
      <c r="K4888" s="5" t="inlineStr">
        <is>
          <t>Vendor DP Request LEONARDO FERNANDES PEREIRA MOREI</t>
        </is>
      </c>
      <c r="L4888" s="5" t="inlineStr">
        <is>
          <t>24062026</t>
        </is>
      </c>
      <c r="M4888" s="5">
        <f>IF(YEAR(I4888)&lt;=2020,"Até 2020",TEXT(YEAR(I4888),"0"))</f>
        <v/>
      </c>
      <c r="N4888" s="5">
        <f>IFERROR(INDEX(DePara!$A:$A,MATCH(TEXT(B4888,"0"),DePara!$D:$D,0)),"(sem categoria)")</f>
        <v/>
      </c>
      <c r="O4888" s="5">
        <f>IF(J4888="","",Parametros!$B$6-J4888)</f>
        <v/>
      </c>
      <c r="P4888" s="5">
        <f>IF(O4888="","",IF(O4888&gt;0,1,0))</f>
        <v/>
      </c>
    </row>
    <row r="4889">
      <c r="A4889" s="5" t="n">
        <v>1117730000</v>
      </c>
      <c r="B4889" s="5" t="inlineStr">
        <is>
          <t>EM000301</t>
        </is>
      </c>
      <c r="C4889" s="5" t="inlineStr">
        <is>
          <t>CLEBER JULIAN DA SILVA</t>
        </is>
      </c>
      <c r="D4889" s="5" t="inlineStr">
        <is>
          <t>ZP</t>
        </is>
      </c>
      <c r="E4889" s="5" t="n">
        <v>2000010360</v>
      </c>
      <c r="F4889" s="5" t="n"/>
      <c r="G4889" s="5" t="inlineStr">
        <is>
          <t>BRL</t>
        </is>
      </c>
      <c r="H4889" s="9" t="n">
        <v>10908</v>
      </c>
      <c r="I4889" s="16" t="n">
        <v>46197</v>
      </c>
      <c r="J4889" s="16" t="n">
        <v>46197</v>
      </c>
      <c r="K4889" s="5" t="inlineStr">
        <is>
          <t>Vendor DP Request CLEBER JULIAN DA SILVA 51309</t>
        </is>
      </c>
      <c r="L4889" s="5" t="inlineStr">
        <is>
          <t>24062026</t>
        </is>
      </c>
      <c r="M4889" s="5">
        <f>IF(YEAR(I4889)&lt;=2020,"Até 2020",TEXT(YEAR(I4889),"0"))</f>
        <v/>
      </c>
      <c r="N4889" s="5">
        <f>IFERROR(INDEX(DePara!$A:$A,MATCH(TEXT(B4889,"0"),DePara!$D:$D,0)),"(sem categoria)")</f>
        <v/>
      </c>
      <c r="O4889" s="5">
        <f>IF(J4889="","",Parametros!$B$6-J4889)</f>
        <v/>
      </c>
      <c r="P4889" s="5">
        <f>IF(O4889="","",IF(O4889&gt;0,1,0))</f>
        <v/>
      </c>
    </row>
    <row r="4890">
      <c r="A4890" s="5" t="n">
        <v>1117730000</v>
      </c>
      <c r="B4890" s="5" t="inlineStr">
        <is>
          <t>EM000490</t>
        </is>
      </c>
      <c r="C4890" s="5" t="inlineStr">
        <is>
          <t>JOAQUIM INACIO PEREIRA DA SILVA</t>
        </is>
      </c>
      <c r="D4890" s="5" t="inlineStr">
        <is>
          <t>ZP</t>
        </is>
      </c>
      <c r="E4890" s="5" t="n">
        <v>2000010365</v>
      </c>
      <c r="F4890" s="5" t="n"/>
      <c r="G4890" s="5" t="inlineStr">
        <is>
          <t>BRL</t>
        </is>
      </c>
      <c r="H4890" s="9" t="n">
        <v>650</v>
      </c>
      <c r="I4890" s="16" t="n">
        <v>46197</v>
      </c>
      <c r="J4890" s="16" t="n">
        <v>46197</v>
      </c>
      <c r="K4890" s="5" t="inlineStr">
        <is>
          <t>Vendor DP Request JOAQUIM INACIO PEREIRA DA SILVA</t>
        </is>
      </c>
      <c r="L4890" s="5" t="inlineStr">
        <is>
          <t>24062026</t>
        </is>
      </c>
      <c r="M4890" s="5">
        <f>IF(YEAR(I4890)&lt;=2020,"Até 2020",TEXT(YEAR(I4890),"0"))</f>
        <v/>
      </c>
      <c r="N4890" s="5">
        <f>IFERROR(INDEX(DePara!$A:$A,MATCH(TEXT(B4890,"0"),DePara!$D:$D,0)),"(sem categoria)")</f>
        <v/>
      </c>
      <c r="O4890" s="5">
        <f>IF(J4890="","",Parametros!$B$6-J4890)</f>
        <v/>
      </c>
      <c r="P4890" s="5">
        <f>IF(O4890="","",IF(O4890&gt;0,1,0))</f>
        <v/>
      </c>
    </row>
    <row r="4891">
      <c r="A4891" s="5" t="n">
        <v>1117730000</v>
      </c>
      <c r="B4891" s="5" t="inlineStr">
        <is>
          <t>EM000532</t>
        </is>
      </c>
      <c r="C4891" s="5" t="inlineStr">
        <is>
          <t>VALDIRENE MESSONES PINTO DA SILVA</t>
        </is>
      </c>
      <c r="D4891" s="5" t="inlineStr">
        <is>
          <t>ZP</t>
        </is>
      </c>
      <c r="E4891" s="5" t="n">
        <v>2000010366</v>
      </c>
      <c r="F4891" s="5" t="n"/>
      <c r="G4891" s="5" t="inlineStr">
        <is>
          <t>BRL</t>
        </is>
      </c>
      <c r="H4891" s="9" t="n">
        <v>1820</v>
      </c>
      <c r="I4891" s="16" t="n">
        <v>46197</v>
      </c>
      <c r="J4891" s="16" t="n">
        <v>46197</v>
      </c>
      <c r="K4891" s="5" t="inlineStr">
        <is>
          <t>Vendor DP Request VALDIRENE MESSONES PINTO DA SILV</t>
        </is>
      </c>
      <c r="L4891" s="5" t="inlineStr">
        <is>
          <t>24062026</t>
        </is>
      </c>
      <c r="M4891" s="5">
        <f>IF(YEAR(I4891)&lt;=2020,"Até 2020",TEXT(YEAR(I4891),"0"))</f>
        <v/>
      </c>
      <c r="N4891" s="5">
        <f>IFERROR(INDEX(DePara!$A:$A,MATCH(TEXT(B4891,"0"),DePara!$D:$D,0)),"(sem categoria)")</f>
        <v/>
      </c>
      <c r="O4891" s="5">
        <f>IF(J4891="","",Parametros!$B$6-J4891)</f>
        <v/>
      </c>
      <c r="P4891" s="5">
        <f>IF(O4891="","",IF(O4891&gt;0,1,0))</f>
        <v/>
      </c>
    </row>
    <row r="4892">
      <c r="A4892" s="5" t="n">
        <v>1117730000</v>
      </c>
      <c r="B4892" s="5" t="inlineStr">
        <is>
          <t>EM000674</t>
        </is>
      </c>
      <c r="C4892" s="5" t="inlineStr">
        <is>
          <t>PAULO HENRIQUE DA CRUZ BOTELHO</t>
        </is>
      </c>
      <c r="D4892" s="5" t="inlineStr">
        <is>
          <t>ZP</t>
        </is>
      </c>
      <c r="E4892" s="5" t="n">
        <v>2000010369</v>
      </c>
      <c r="F4892" s="5" t="n"/>
      <c r="G4892" s="5" t="inlineStr">
        <is>
          <t>BRL</t>
        </is>
      </c>
      <c r="H4892" s="9" t="n">
        <v>390</v>
      </c>
      <c r="I4892" s="16" t="n">
        <v>46197</v>
      </c>
      <c r="J4892" s="16" t="n">
        <v>46197</v>
      </c>
      <c r="K4892" s="5" t="inlineStr">
        <is>
          <t>Vendor DP Request PAULO HENRIQUE DA CRUZ BOTELHO 5</t>
        </is>
      </c>
      <c r="L4892" s="5" t="inlineStr">
        <is>
          <t>24062026</t>
        </is>
      </c>
      <c r="M4892" s="5">
        <f>IF(YEAR(I4892)&lt;=2020,"Até 2020",TEXT(YEAR(I4892),"0"))</f>
        <v/>
      </c>
      <c r="N4892" s="5">
        <f>IFERROR(INDEX(DePara!$A:$A,MATCH(TEXT(B4892,"0"),DePara!$D:$D,0)),"(sem categoria)")</f>
        <v/>
      </c>
      <c r="O4892" s="5">
        <f>IF(J4892="","",Parametros!$B$6-J4892)</f>
        <v/>
      </c>
      <c r="P4892" s="5">
        <f>IF(O4892="","",IF(O4892&gt;0,1,0))</f>
        <v/>
      </c>
    </row>
    <row r="4893">
      <c r="A4893" s="5" t="n">
        <v>1117730000</v>
      </c>
      <c r="B4893" s="5" t="inlineStr">
        <is>
          <t>EM000866</t>
        </is>
      </c>
      <c r="C4893" s="5" t="inlineStr">
        <is>
          <t>FRANCISCO MARCOS DE FREITAS</t>
        </is>
      </c>
      <c r="D4893" s="5" t="inlineStr">
        <is>
          <t>ZP</t>
        </is>
      </c>
      <c r="E4893" s="5" t="n">
        <v>2000010373</v>
      </c>
      <c r="F4893" s="5" t="n"/>
      <c r="G4893" s="5" t="inlineStr">
        <is>
          <t>BRL</t>
        </is>
      </c>
      <c r="H4893" s="9" t="n">
        <v>650</v>
      </c>
      <c r="I4893" s="16" t="n">
        <v>46197</v>
      </c>
      <c r="J4893" s="16" t="n">
        <v>46197</v>
      </c>
      <c r="K4893" s="5" t="inlineStr">
        <is>
          <t>Vendor DP Request FRANCISCO MARCOS DE FREITAS 4888</t>
        </is>
      </c>
      <c r="L4893" s="5" t="inlineStr">
        <is>
          <t>24062026</t>
        </is>
      </c>
      <c r="M4893" s="5">
        <f>IF(YEAR(I4893)&lt;=2020,"Até 2020",TEXT(YEAR(I4893),"0"))</f>
        <v/>
      </c>
      <c r="N4893" s="5">
        <f>IFERROR(INDEX(DePara!$A:$A,MATCH(TEXT(B4893,"0"),DePara!$D:$D,0)),"(sem categoria)")</f>
        <v/>
      </c>
      <c r="O4893" s="5">
        <f>IF(J4893="","",Parametros!$B$6-J4893)</f>
        <v/>
      </c>
      <c r="P4893" s="5">
        <f>IF(O4893="","",IF(O4893&gt;0,1,0))</f>
        <v/>
      </c>
    </row>
    <row r="4894">
      <c r="A4894" s="5" t="n">
        <v>1117730000</v>
      </c>
      <c r="B4894" s="5" t="inlineStr">
        <is>
          <t>EM000012</t>
        </is>
      </c>
      <c r="C4894" s="5" t="inlineStr">
        <is>
          <t>EDERSON GOMES XABIER BARBALHO</t>
        </is>
      </c>
      <c r="D4894" s="5" t="inlineStr">
        <is>
          <t>ZP</t>
        </is>
      </c>
      <c r="E4894" s="5" t="n">
        <v>2000010585</v>
      </c>
      <c r="F4894" s="5" t="n"/>
      <c r="G4894" s="5" t="inlineStr">
        <is>
          <t>BRL</t>
        </is>
      </c>
      <c r="H4894" s="9" t="n">
        <v>390</v>
      </c>
      <c r="I4894" s="16" t="n">
        <v>46204</v>
      </c>
      <c r="J4894" s="16" t="n">
        <v>46204</v>
      </c>
      <c r="K4894" s="5" t="inlineStr">
        <is>
          <t>Vendor DP Request EDERSON GOMES XABIER BARBALHO 51</t>
        </is>
      </c>
      <c r="L4894" s="5" t="inlineStr">
        <is>
          <t>01072026</t>
        </is>
      </c>
      <c r="M4894" s="5">
        <f>IF(YEAR(I4894)&lt;=2020,"Até 2020",TEXT(YEAR(I4894),"0"))</f>
        <v/>
      </c>
      <c r="N4894" s="5">
        <f>IFERROR(INDEX(DePara!$A:$A,MATCH(TEXT(B4894,"0"),DePara!$D:$D,0)),"(sem categoria)")</f>
        <v/>
      </c>
      <c r="O4894" s="5">
        <f>IF(J4894="","",Parametros!$B$6-J4894)</f>
        <v/>
      </c>
      <c r="P4894" s="5">
        <f>IF(O4894="","",IF(O4894&gt;0,1,0))</f>
        <v/>
      </c>
    </row>
    <row r="4895">
      <c r="A4895" s="5" t="n">
        <v>1117730000</v>
      </c>
      <c r="B4895" s="5" t="inlineStr">
        <is>
          <t>EM000125</t>
        </is>
      </c>
      <c r="C4895" s="5" t="inlineStr">
        <is>
          <t>RODRIGO RAFAEL LIMA DE FARIAS</t>
        </is>
      </c>
      <c r="D4895" s="5" t="inlineStr">
        <is>
          <t>ZP</t>
        </is>
      </c>
      <c r="E4895" s="5" t="n">
        <v>2000010592</v>
      </c>
      <c r="F4895" s="5" t="n"/>
      <c r="G4895" s="5" t="inlineStr">
        <is>
          <t>BRL</t>
        </is>
      </c>
      <c r="H4895" s="9" t="n">
        <v>650</v>
      </c>
      <c r="I4895" s="16" t="n">
        <v>46204</v>
      </c>
      <c r="J4895" s="16" t="n">
        <v>46204</v>
      </c>
      <c r="K4895" s="5" t="inlineStr">
        <is>
          <t>Vendor DP Request RODRIGO RAFAEL LIMA DE FARIAS 51</t>
        </is>
      </c>
      <c r="L4895" s="5" t="inlineStr">
        <is>
          <t>01072026</t>
        </is>
      </c>
      <c r="M4895" s="5">
        <f>IF(YEAR(I4895)&lt;=2020,"Até 2020",TEXT(YEAR(I4895),"0"))</f>
        <v/>
      </c>
      <c r="N4895" s="5">
        <f>IFERROR(INDEX(DePara!$A:$A,MATCH(TEXT(B4895,"0"),DePara!$D:$D,0)),"(sem categoria)")</f>
        <v/>
      </c>
      <c r="O4895" s="5">
        <f>IF(J4895="","",Parametros!$B$6-J4895)</f>
        <v/>
      </c>
      <c r="P4895" s="5">
        <f>IF(O4895="","",IF(O4895&gt;0,1,0))</f>
        <v/>
      </c>
    </row>
    <row r="4896">
      <c r="A4896" s="5" t="n">
        <v>1117730000</v>
      </c>
      <c r="B4896" s="5" t="inlineStr">
        <is>
          <t>EM000129</t>
        </is>
      </c>
      <c r="C4896" s="5" t="inlineStr">
        <is>
          <t>JOCIVAN DE SOUZA SILVA</t>
        </is>
      </c>
      <c r="D4896" s="5" t="inlineStr">
        <is>
          <t>ZP</t>
        </is>
      </c>
      <c r="E4896" s="5" t="n">
        <v>2000010594</v>
      </c>
      <c r="F4896" s="5" t="n"/>
      <c r="G4896" s="5" t="inlineStr">
        <is>
          <t>BRL</t>
        </is>
      </c>
      <c r="H4896" s="9" t="n">
        <v>650</v>
      </c>
      <c r="I4896" s="16" t="n">
        <v>46204</v>
      </c>
      <c r="J4896" s="16" t="n">
        <v>46204</v>
      </c>
      <c r="K4896" s="5" t="inlineStr">
        <is>
          <t>Vendor DP Request JOCIVAN DE SOUZA SILVA 48885</t>
        </is>
      </c>
      <c r="L4896" s="5" t="inlineStr">
        <is>
          <t>01072026</t>
        </is>
      </c>
      <c r="M4896" s="5">
        <f>IF(YEAR(I4896)&lt;=2020,"Até 2020",TEXT(YEAR(I4896),"0"))</f>
        <v/>
      </c>
      <c r="N4896" s="5">
        <f>IFERROR(INDEX(DePara!$A:$A,MATCH(TEXT(B4896,"0"),DePara!$D:$D,0)),"(sem categoria)")</f>
        <v/>
      </c>
      <c r="O4896" s="5">
        <f>IF(J4896="","",Parametros!$B$6-J4896)</f>
        <v/>
      </c>
      <c r="P4896" s="5">
        <f>IF(O4896="","",IF(O4896&gt;0,1,0))</f>
        <v/>
      </c>
    </row>
    <row r="4897">
      <c r="A4897" s="5" t="n">
        <v>1117730000</v>
      </c>
      <c r="B4897" s="5" t="inlineStr">
        <is>
          <t>EM000278</t>
        </is>
      </c>
      <c r="C4897" s="5" t="inlineStr">
        <is>
          <t>LEONARDO FERNANDES PEREIRA MOREIRA</t>
        </is>
      </c>
      <c r="D4897" s="5" t="inlineStr">
        <is>
          <t>ZP</t>
        </is>
      </c>
      <c r="E4897" s="5" t="n">
        <v>2000010602</v>
      </c>
      <c r="F4897" s="5" t="n"/>
      <c r="G4897" s="5" t="inlineStr">
        <is>
          <t>BRL</t>
        </is>
      </c>
      <c r="H4897" s="9" t="n">
        <v>3900</v>
      </c>
      <c r="I4897" s="16" t="n">
        <v>46204</v>
      </c>
      <c r="J4897" s="16" t="n">
        <v>46204</v>
      </c>
      <c r="K4897" s="5" t="inlineStr">
        <is>
          <t>Vendor DP Request LEONARDO FERNANDES PEREIRA MOREI</t>
        </is>
      </c>
      <c r="L4897" s="5" t="inlineStr">
        <is>
          <t>01072026</t>
        </is>
      </c>
      <c r="M4897" s="5">
        <f>IF(YEAR(I4897)&lt;=2020,"Até 2020",TEXT(YEAR(I4897),"0"))</f>
        <v/>
      </c>
      <c r="N4897" s="5">
        <f>IFERROR(INDEX(DePara!$A:$A,MATCH(TEXT(B4897,"0"),DePara!$D:$D,0)),"(sem categoria)")</f>
        <v/>
      </c>
      <c r="O4897" s="5">
        <f>IF(J4897="","",Parametros!$B$6-J4897)</f>
        <v/>
      </c>
      <c r="P4897" s="5">
        <f>IF(O4897="","",IF(O4897&gt;0,1,0))</f>
        <v/>
      </c>
    </row>
    <row r="4898">
      <c r="A4898" s="5" t="n">
        <v>1117730000</v>
      </c>
      <c r="B4898" s="5" t="inlineStr">
        <is>
          <t>EM000373</t>
        </is>
      </c>
      <c r="C4898" s="5" t="inlineStr">
        <is>
          <t>JACKSON VICENTE SOUZA FERREIRA</t>
        </is>
      </c>
      <c r="D4898" s="5" t="inlineStr">
        <is>
          <t>ZP</t>
        </is>
      </c>
      <c r="E4898" s="5" t="n">
        <v>2000010610</v>
      </c>
      <c r="F4898" s="5" t="n"/>
      <c r="G4898" s="5" t="inlineStr">
        <is>
          <t>BRL</t>
        </is>
      </c>
      <c r="H4898" s="9" t="n">
        <v>1430</v>
      </c>
      <c r="I4898" s="16" t="n">
        <v>46204</v>
      </c>
      <c r="J4898" s="16" t="n">
        <v>46204</v>
      </c>
      <c r="K4898" s="5" t="inlineStr">
        <is>
          <t>Vendor DP Request JACKSON VICENTE SOUZA FERREIRA 5</t>
        </is>
      </c>
      <c r="L4898" s="5" t="inlineStr">
        <is>
          <t>01072026</t>
        </is>
      </c>
      <c r="M4898" s="5">
        <f>IF(YEAR(I4898)&lt;=2020,"Até 2020",TEXT(YEAR(I4898),"0"))</f>
        <v/>
      </c>
      <c r="N4898" s="5">
        <f>IFERROR(INDEX(DePara!$A:$A,MATCH(TEXT(B4898,"0"),DePara!$D:$D,0)),"(sem categoria)")</f>
        <v/>
      </c>
      <c r="O4898" s="5">
        <f>IF(J4898="","",Parametros!$B$6-J4898)</f>
        <v/>
      </c>
      <c r="P4898" s="5">
        <f>IF(O4898="","",IF(O4898&gt;0,1,0))</f>
        <v/>
      </c>
    </row>
    <row r="4899">
      <c r="A4899" s="5" t="n">
        <v>1117730000</v>
      </c>
      <c r="B4899" s="5" t="inlineStr">
        <is>
          <t>EM000390</t>
        </is>
      </c>
      <c r="C4899" s="5" t="inlineStr">
        <is>
          <t>BRUNO RAFAEL REBOUCAS DE SOUZA</t>
        </is>
      </c>
      <c r="D4899" s="5" t="inlineStr">
        <is>
          <t>ZP</t>
        </is>
      </c>
      <c r="E4899" s="5" t="n">
        <v>2000010611</v>
      </c>
      <c r="F4899" s="5" t="n"/>
      <c r="G4899" s="5" t="inlineStr">
        <is>
          <t>BRL</t>
        </is>
      </c>
      <c r="H4899" s="9" t="n">
        <v>3900</v>
      </c>
      <c r="I4899" s="16" t="n">
        <v>46204</v>
      </c>
      <c r="J4899" s="16" t="n">
        <v>46204</v>
      </c>
      <c r="K4899" s="5" t="inlineStr">
        <is>
          <t>Vendor DP Request BRUNO RAFAEL REBOUCAS DE SOUZA 5</t>
        </is>
      </c>
      <c r="L4899" s="5" t="inlineStr">
        <is>
          <t>01072026</t>
        </is>
      </c>
      <c r="M4899" s="5">
        <f>IF(YEAR(I4899)&lt;=2020,"Até 2020",TEXT(YEAR(I4899),"0"))</f>
        <v/>
      </c>
      <c r="N4899" s="5">
        <f>IFERROR(INDEX(DePara!$A:$A,MATCH(TEXT(B4899,"0"),DePara!$D:$D,0)),"(sem categoria)")</f>
        <v/>
      </c>
      <c r="O4899" s="5">
        <f>IF(J4899="","",Parametros!$B$6-J4899)</f>
        <v/>
      </c>
      <c r="P4899" s="5">
        <f>IF(O4899="","",IF(O4899&gt;0,1,0))</f>
        <v/>
      </c>
    </row>
    <row r="4900">
      <c r="A4900" s="5" t="n">
        <v>1117730000</v>
      </c>
      <c r="B4900" s="5" t="inlineStr">
        <is>
          <t>EM000443</t>
        </is>
      </c>
      <c r="C4900" s="5" t="inlineStr">
        <is>
          <t>WAGNER STHALONE SILVA DE MEDEIROS</t>
        </is>
      </c>
      <c r="D4900" s="5" t="inlineStr">
        <is>
          <t>ZP</t>
        </is>
      </c>
      <c r="E4900" s="5" t="n">
        <v>2000010613</v>
      </c>
      <c r="F4900" s="5" t="n"/>
      <c r="G4900" s="5" t="inlineStr">
        <is>
          <t>BRL</t>
        </is>
      </c>
      <c r="H4900" s="9" t="n">
        <v>1950</v>
      </c>
      <c r="I4900" s="16" t="n">
        <v>46204</v>
      </c>
      <c r="J4900" s="16" t="n">
        <v>46204</v>
      </c>
      <c r="K4900" s="5" t="inlineStr">
        <is>
          <t>Vendor DP Request WAGNER STHALONE SILVA DE MEDEIRO</t>
        </is>
      </c>
      <c r="L4900" s="5" t="inlineStr">
        <is>
          <t>01072026</t>
        </is>
      </c>
      <c r="M4900" s="5">
        <f>IF(YEAR(I4900)&lt;=2020,"Até 2020",TEXT(YEAR(I4900),"0"))</f>
        <v/>
      </c>
      <c r="N4900" s="5">
        <f>IFERROR(INDEX(DePara!$A:$A,MATCH(TEXT(B4900,"0"),DePara!$D:$D,0)),"(sem categoria)")</f>
        <v/>
      </c>
      <c r="O4900" s="5">
        <f>IF(J4900="","",Parametros!$B$6-J4900)</f>
        <v/>
      </c>
      <c r="P4900" s="5">
        <f>IF(O4900="","",IF(O4900&gt;0,1,0))</f>
        <v/>
      </c>
    </row>
    <row r="4901">
      <c r="A4901" s="5" t="n">
        <v>1117730000</v>
      </c>
      <c r="B4901" s="5" t="inlineStr">
        <is>
          <t>EM000468</t>
        </is>
      </c>
      <c r="C4901" s="5" t="inlineStr">
        <is>
          <t>LUCAS EMANUEL ALVES DE SOUSA</t>
        </is>
      </c>
      <c r="D4901" s="5" t="inlineStr">
        <is>
          <t>ZP</t>
        </is>
      </c>
      <c r="E4901" s="5" t="n">
        <v>2000010616</v>
      </c>
      <c r="F4901" s="5" t="n"/>
      <c r="G4901" s="5" t="inlineStr">
        <is>
          <t>BRL</t>
        </is>
      </c>
      <c r="H4901" s="9" t="n">
        <v>4964.4</v>
      </c>
      <c r="I4901" s="16" t="n">
        <v>46204</v>
      </c>
      <c r="J4901" s="16" t="n">
        <v>46204</v>
      </c>
      <c r="K4901" s="5" t="inlineStr">
        <is>
          <t>Vendor DP Request LUCAS EMANUEL ALVES DE SOUSA 513</t>
        </is>
      </c>
      <c r="L4901" s="5" t="inlineStr">
        <is>
          <t>01072026</t>
        </is>
      </c>
      <c r="M4901" s="5">
        <f>IF(YEAR(I4901)&lt;=2020,"Até 2020",TEXT(YEAR(I4901),"0"))</f>
        <v/>
      </c>
      <c r="N4901" s="5">
        <f>IFERROR(INDEX(DePara!$A:$A,MATCH(TEXT(B4901,"0"),DePara!$D:$D,0)),"(sem categoria)")</f>
        <v/>
      </c>
      <c r="O4901" s="5">
        <f>IF(J4901="","",Parametros!$B$6-J4901)</f>
        <v/>
      </c>
      <c r="P4901" s="5">
        <f>IF(O4901="","",IF(O4901&gt;0,1,0))</f>
        <v/>
      </c>
    </row>
    <row r="4902">
      <c r="A4902" s="5" t="n">
        <v>1117730000</v>
      </c>
      <c r="B4902" s="5" t="inlineStr">
        <is>
          <t>EM000482</t>
        </is>
      </c>
      <c r="C4902" s="5" t="inlineStr">
        <is>
          <t>FRANCISCO EGON ROQUE DE SOUSA</t>
        </is>
      </c>
      <c r="D4902" s="5" t="inlineStr">
        <is>
          <t>ZP</t>
        </is>
      </c>
      <c r="E4902" s="5" t="n">
        <v>2000010617</v>
      </c>
      <c r="F4902" s="5" t="n"/>
      <c r="G4902" s="5" t="inlineStr">
        <is>
          <t>BRL</t>
        </is>
      </c>
      <c r="H4902" s="9" t="n">
        <v>390</v>
      </c>
      <c r="I4902" s="16" t="n">
        <v>46204</v>
      </c>
      <c r="J4902" s="16" t="n">
        <v>46204</v>
      </c>
      <c r="K4902" s="5" t="inlineStr">
        <is>
          <t>Vendor DP Request FRANCISCO EGON ROQUE DE SOUSA 44</t>
        </is>
      </c>
      <c r="L4902" s="5" t="inlineStr">
        <is>
          <t>01072026</t>
        </is>
      </c>
      <c r="M4902" s="5">
        <f>IF(YEAR(I4902)&lt;=2020,"Até 2020",TEXT(YEAR(I4902),"0"))</f>
        <v/>
      </c>
      <c r="N4902" s="5">
        <f>IFERROR(INDEX(DePara!$A:$A,MATCH(TEXT(B4902,"0"),DePara!$D:$D,0)),"(sem categoria)")</f>
        <v/>
      </c>
      <c r="O4902" s="5">
        <f>IF(J4902="","",Parametros!$B$6-J4902)</f>
        <v/>
      </c>
      <c r="P4902" s="5">
        <f>IF(O4902="","",IF(O4902&gt;0,1,0))</f>
        <v/>
      </c>
    </row>
    <row r="4903">
      <c r="A4903" s="5" t="n">
        <v>1117730000</v>
      </c>
      <c r="B4903" s="5" t="inlineStr">
        <is>
          <t>EM000553</t>
        </is>
      </c>
      <c r="C4903" s="5" t="inlineStr">
        <is>
          <t>JAILSON SILVA PEREIRA</t>
        </is>
      </c>
      <c r="D4903" s="5" t="inlineStr">
        <is>
          <t>ZP</t>
        </is>
      </c>
      <c r="E4903" s="5" t="n">
        <v>2000010618</v>
      </c>
      <c r="F4903" s="5" t="n"/>
      <c r="G4903" s="5" t="inlineStr">
        <is>
          <t>BRL</t>
        </is>
      </c>
      <c r="H4903" s="9" t="n">
        <v>3900</v>
      </c>
      <c r="I4903" s="16" t="n">
        <v>46204</v>
      </c>
      <c r="J4903" s="16" t="n">
        <v>46204</v>
      </c>
      <c r="K4903" s="5" t="inlineStr">
        <is>
          <t>Vendor DP Request JAILSON SILVA PEREIRA 51350</t>
        </is>
      </c>
      <c r="L4903" s="5" t="inlineStr">
        <is>
          <t>01072026</t>
        </is>
      </c>
      <c r="M4903" s="5">
        <f>IF(YEAR(I4903)&lt;=2020,"Até 2020",TEXT(YEAR(I4903),"0"))</f>
        <v/>
      </c>
      <c r="N4903" s="5">
        <f>IFERROR(INDEX(DePara!$A:$A,MATCH(TEXT(B4903,"0"),DePara!$D:$D,0)),"(sem categoria)")</f>
        <v/>
      </c>
      <c r="O4903" s="5">
        <f>IF(J4903="","",Parametros!$B$6-J4903)</f>
        <v/>
      </c>
      <c r="P4903" s="5">
        <f>IF(O4903="","",IF(O4903&gt;0,1,0))</f>
        <v/>
      </c>
    </row>
    <row r="4904">
      <c r="A4904" s="5" t="n">
        <v>1117730000</v>
      </c>
      <c r="B4904" s="5" t="inlineStr">
        <is>
          <t>EM000619</t>
        </is>
      </c>
      <c r="C4904" s="5" t="inlineStr">
        <is>
          <t>GLEUSON DE QUEIROZ FERNANDES</t>
        </is>
      </c>
      <c r="D4904" s="5" t="inlineStr">
        <is>
          <t>ZP</t>
        </is>
      </c>
      <c r="E4904" s="5" t="n">
        <v>2000010620</v>
      </c>
      <c r="F4904" s="5" t="n"/>
      <c r="G4904" s="5" t="inlineStr">
        <is>
          <t>BRL</t>
        </is>
      </c>
      <c r="H4904" s="9" t="n">
        <v>650</v>
      </c>
      <c r="I4904" s="16" t="n">
        <v>46204</v>
      </c>
      <c r="J4904" s="16" t="n">
        <v>46204</v>
      </c>
      <c r="K4904" s="5" t="inlineStr">
        <is>
          <t>Vendor DP Request GLEUSON DE QUEIROZ FERNANDES 514</t>
        </is>
      </c>
      <c r="L4904" s="5" t="inlineStr">
        <is>
          <t>01072026</t>
        </is>
      </c>
      <c r="M4904" s="5">
        <f>IF(YEAR(I4904)&lt;=2020,"Até 2020",TEXT(YEAR(I4904),"0"))</f>
        <v/>
      </c>
      <c r="N4904" s="5">
        <f>IFERROR(INDEX(DePara!$A:$A,MATCH(TEXT(B4904,"0"),DePara!$D:$D,0)),"(sem categoria)")</f>
        <v/>
      </c>
      <c r="O4904" s="5">
        <f>IF(J4904="","",Parametros!$B$6-J4904)</f>
        <v/>
      </c>
      <c r="P4904" s="5">
        <f>IF(O4904="","",IF(O4904&gt;0,1,0))</f>
        <v/>
      </c>
    </row>
    <row r="4905">
      <c r="A4905" s="5" t="n">
        <v>1117730000</v>
      </c>
      <c r="B4905" s="5" t="inlineStr">
        <is>
          <t>EM000866</t>
        </is>
      </c>
      <c r="C4905" s="5" t="inlineStr">
        <is>
          <t>FRANCISCO MARCOS DE FREITAS</t>
        </is>
      </c>
      <c r="D4905" s="5" t="inlineStr">
        <is>
          <t>ZP</t>
        </is>
      </c>
      <c r="E4905" s="5" t="n">
        <v>2000010626</v>
      </c>
      <c r="F4905" s="5" t="n"/>
      <c r="G4905" s="5" t="inlineStr">
        <is>
          <t>BRL</t>
        </is>
      </c>
      <c r="H4905" s="9" t="n">
        <v>650</v>
      </c>
      <c r="I4905" s="16" t="n">
        <v>46204</v>
      </c>
      <c r="J4905" s="16" t="n">
        <v>46204</v>
      </c>
      <c r="K4905" s="5" t="inlineStr">
        <is>
          <t>Vendor DP Request FRANCISCO MARCOS DE FREITAS 4888</t>
        </is>
      </c>
      <c r="L4905" s="5" t="inlineStr">
        <is>
          <t>01072026</t>
        </is>
      </c>
      <c r="M4905" s="5">
        <f>IF(YEAR(I4905)&lt;=2020,"Até 2020",TEXT(YEAR(I4905),"0"))</f>
        <v/>
      </c>
      <c r="N4905" s="5">
        <f>IFERROR(INDEX(DePara!$A:$A,MATCH(TEXT(B4905,"0"),DePara!$D:$D,0)),"(sem categoria)")</f>
        <v/>
      </c>
      <c r="O4905" s="5">
        <f>IF(J4905="","",Parametros!$B$6-J4905)</f>
        <v/>
      </c>
      <c r="P4905" s="5">
        <f>IF(O4905="","",IF(O4905&gt;0,1,0))</f>
        <v/>
      </c>
    </row>
    <row r="4906">
      <c r="A4906" s="5" t="n">
        <v>1117730000</v>
      </c>
      <c r="B4906" s="5" t="inlineStr">
        <is>
          <t>EM000887</t>
        </is>
      </c>
      <c r="C4906" s="5" t="inlineStr">
        <is>
          <t>WANDERLEY RODRIGUES DO BOMFIM JUNIOR</t>
        </is>
      </c>
      <c r="D4906" s="5" t="inlineStr">
        <is>
          <t>ZP</t>
        </is>
      </c>
      <c r="E4906" s="5" t="n">
        <v>2000010627</v>
      </c>
      <c r="F4906" s="5" t="n"/>
      <c r="G4906" s="5" t="inlineStr">
        <is>
          <t>BRL</t>
        </is>
      </c>
      <c r="H4906" s="9" t="n">
        <v>1300</v>
      </c>
      <c r="I4906" s="16" t="n">
        <v>46204</v>
      </c>
      <c r="J4906" s="16" t="n">
        <v>46204</v>
      </c>
      <c r="K4906" s="5" t="inlineStr">
        <is>
          <t>Vendor DP Request WANDERLEY RODRIGUES DO BOMFIM JU</t>
        </is>
      </c>
      <c r="L4906" s="5" t="inlineStr">
        <is>
          <t>01072026</t>
        </is>
      </c>
      <c r="M4906" s="5">
        <f>IF(YEAR(I4906)&lt;=2020,"Até 2020",TEXT(YEAR(I4906),"0"))</f>
        <v/>
      </c>
      <c r="N4906" s="5">
        <f>IFERROR(INDEX(DePara!$A:$A,MATCH(TEXT(B4906,"0"),DePara!$D:$D,0)),"(sem categoria)")</f>
        <v/>
      </c>
      <c r="O4906" s="5">
        <f>IF(J4906="","",Parametros!$B$6-J4906)</f>
        <v/>
      </c>
      <c r="P4906" s="5">
        <f>IF(O4906="","",IF(O4906&gt;0,1,0))</f>
        <v/>
      </c>
    </row>
    <row r="4907">
      <c r="A4907" s="5" t="n">
        <v>1117730000</v>
      </c>
      <c r="B4907" s="5" t="inlineStr">
        <is>
          <t>EM000976</t>
        </is>
      </c>
      <c r="C4907" s="5" t="inlineStr">
        <is>
          <t>MICHEL EDWIN ZAMBRANA GUEVARA</t>
        </is>
      </c>
      <c r="D4907" s="5" t="inlineStr">
        <is>
          <t>ZP</t>
        </is>
      </c>
      <c r="E4907" s="5" t="n">
        <v>2000010630</v>
      </c>
      <c r="F4907" s="5" t="n"/>
      <c r="G4907" s="5" t="inlineStr">
        <is>
          <t>BRL</t>
        </is>
      </c>
      <c r="H4907" s="9" t="n">
        <v>1800.5</v>
      </c>
      <c r="I4907" s="16" t="n">
        <v>46204</v>
      </c>
      <c r="J4907" s="16" t="n">
        <v>46204</v>
      </c>
      <c r="K4907" s="5" t="inlineStr">
        <is>
          <t>Vendor DP Request MICHEL EDWIN ZAMBRANA GUEVARA 51</t>
        </is>
      </c>
      <c r="L4907" s="5" t="inlineStr">
        <is>
          <t>01072026</t>
        </is>
      </c>
      <c r="M4907" s="5">
        <f>IF(YEAR(I4907)&lt;=2020,"Até 2020",TEXT(YEAR(I4907),"0"))</f>
        <v/>
      </c>
      <c r="N4907" s="5">
        <f>IFERROR(INDEX(DePara!$A:$A,MATCH(TEXT(B4907,"0"),DePara!$D:$D,0)),"(sem categoria)")</f>
        <v/>
      </c>
      <c r="O4907" s="5">
        <f>IF(J4907="","",Parametros!$B$6-J4907)</f>
        <v/>
      </c>
      <c r="P4907" s="5">
        <f>IF(O4907="","",IF(O4907&gt;0,1,0))</f>
        <v/>
      </c>
    </row>
    <row r="4908">
      <c r="A4908" s="5" t="n">
        <v>1117730000</v>
      </c>
      <c r="B4908" s="5" t="inlineStr">
        <is>
          <t>EM003655</t>
        </is>
      </c>
      <c r="C4908" s="5" t="inlineStr">
        <is>
          <t>JOSE ARLINDO DE SOUSA JUNIOR</t>
        </is>
      </c>
      <c r="D4908" s="5" t="inlineStr">
        <is>
          <t>ZP</t>
        </is>
      </c>
      <c r="E4908" s="5" t="n">
        <v>2000010632</v>
      </c>
      <c r="F4908" s="5" t="n"/>
      <c r="G4908" s="5" t="inlineStr">
        <is>
          <t>BRL</t>
        </is>
      </c>
      <c r="H4908" s="9" t="n">
        <v>3052.8</v>
      </c>
      <c r="I4908" s="16" t="n">
        <v>46204</v>
      </c>
      <c r="J4908" s="16" t="n">
        <v>46204</v>
      </c>
      <c r="K4908" s="5" t="inlineStr">
        <is>
          <t>Vendor DP Request JOSE ARLINDO DE SOUSA JUNIOR 513</t>
        </is>
      </c>
      <c r="L4908" s="5" t="inlineStr">
        <is>
          <t>01072026</t>
        </is>
      </c>
      <c r="M4908" s="5">
        <f>IF(YEAR(I4908)&lt;=2020,"Até 2020",TEXT(YEAR(I4908),"0"))</f>
        <v/>
      </c>
      <c r="N4908" s="5">
        <f>IFERROR(INDEX(DePara!$A:$A,MATCH(TEXT(B4908,"0"),DePara!$D:$D,0)),"(sem categoria)")</f>
        <v/>
      </c>
      <c r="O4908" s="5">
        <f>IF(J4908="","",Parametros!$B$6-J4908)</f>
        <v/>
      </c>
      <c r="P4908" s="5">
        <f>IF(O4908="","",IF(O4908&gt;0,1,0))</f>
        <v/>
      </c>
    </row>
    <row r="4909">
      <c r="A4909" s="5" t="n">
        <v>1117730000</v>
      </c>
      <c r="B4909" s="5" t="inlineStr">
        <is>
          <t>EM003693</t>
        </is>
      </c>
      <c r="C4909" s="5" t="inlineStr">
        <is>
          <t>Fabio Fernando Pereira de Andrade</t>
        </is>
      </c>
      <c r="D4909" s="5" t="inlineStr">
        <is>
          <t>ZP</t>
        </is>
      </c>
      <c r="E4909" s="5" t="n">
        <v>2000010633</v>
      </c>
      <c r="F4909" s="5" t="n"/>
      <c r="G4909" s="5" t="inlineStr">
        <is>
          <t>BRL</t>
        </is>
      </c>
      <c r="H4909" s="9" t="n">
        <v>1950</v>
      </c>
      <c r="I4909" s="16" t="n">
        <v>46204</v>
      </c>
      <c r="J4909" s="16" t="n">
        <v>46204</v>
      </c>
      <c r="K4909" s="5" t="inlineStr">
        <is>
          <t>Vendor DP Request Fabio Fernando Pereira de Andrad</t>
        </is>
      </c>
      <c r="L4909" s="5" t="inlineStr">
        <is>
          <t>01072026</t>
        </is>
      </c>
      <c r="M4909" s="5">
        <f>IF(YEAR(I4909)&lt;=2020,"Até 2020",TEXT(YEAR(I4909),"0"))</f>
        <v/>
      </c>
      <c r="N4909" s="5">
        <f>IFERROR(INDEX(DePara!$A:$A,MATCH(TEXT(B4909,"0"),DePara!$D:$D,0)),"(sem categoria)")</f>
        <v/>
      </c>
      <c r="O4909" s="5">
        <f>IF(J4909="","",Parametros!$B$6-J4909)</f>
        <v/>
      </c>
      <c r="P4909" s="5">
        <f>IF(O4909="","",IF(O4909&gt;0,1,0))</f>
        <v/>
      </c>
    </row>
    <row r="4910">
      <c r="A4910" s="5" t="n">
        <v>1117730000</v>
      </c>
      <c r="B4910" s="5" t="inlineStr">
        <is>
          <t>EM003694</t>
        </is>
      </c>
      <c r="C4910" s="5" t="inlineStr">
        <is>
          <t>José Ribamar Morais Frazão</t>
        </is>
      </c>
      <c r="D4910" s="5" t="inlineStr">
        <is>
          <t>ZP</t>
        </is>
      </c>
      <c r="E4910" s="5" t="n">
        <v>2000010634</v>
      </c>
      <c r="F4910" s="5" t="n"/>
      <c r="G4910" s="5" t="inlineStr">
        <is>
          <t>BRL</t>
        </is>
      </c>
      <c r="H4910" s="9" t="n">
        <v>1950</v>
      </c>
      <c r="I4910" s="16" t="n">
        <v>46204</v>
      </c>
      <c r="J4910" s="16" t="n">
        <v>46204</v>
      </c>
      <c r="K4910" s="5" t="inlineStr">
        <is>
          <t>Vendor DP Request José Ribamar Morais Frazão 51361</t>
        </is>
      </c>
      <c r="L4910" s="5" t="inlineStr">
        <is>
          <t>01072026</t>
        </is>
      </c>
      <c r="M4910" s="5">
        <f>IF(YEAR(I4910)&lt;=2020,"Até 2020",TEXT(YEAR(I4910),"0"))</f>
        <v/>
      </c>
      <c r="N4910" s="5">
        <f>IFERROR(INDEX(DePara!$A:$A,MATCH(TEXT(B4910,"0"),DePara!$D:$D,0)),"(sem categoria)")</f>
        <v/>
      </c>
      <c r="O4910" s="5">
        <f>IF(J4910="","",Parametros!$B$6-J4910)</f>
        <v/>
      </c>
      <c r="P4910" s="5">
        <f>IF(O4910="","",IF(O4910&gt;0,1,0))</f>
        <v/>
      </c>
    </row>
    <row r="4911">
      <c r="A4911" s="5" t="n">
        <v>1117730000</v>
      </c>
      <c r="B4911" s="5" t="inlineStr">
        <is>
          <t>EM003655</t>
        </is>
      </c>
      <c r="C4911" s="5" t="inlineStr">
        <is>
          <t>JOSE ARLINDO DE SOUSA JUNIOR</t>
        </is>
      </c>
      <c r="D4911" s="5" t="inlineStr">
        <is>
          <t>ZP</t>
        </is>
      </c>
      <c r="E4911" s="5" t="n">
        <v>2000011262</v>
      </c>
      <c r="F4911" s="5" t="n"/>
      <c r="G4911" s="5" t="inlineStr">
        <is>
          <t>BRL</t>
        </is>
      </c>
      <c r="H4911" s="9" t="n">
        <v>910</v>
      </c>
      <c r="I4911" s="16" t="n">
        <v>46211</v>
      </c>
      <c r="J4911" s="16" t="n">
        <v>46211</v>
      </c>
      <c r="K4911" s="5" t="inlineStr">
        <is>
          <t>Vendor DP Request JOSE ARLINDO DE SOUSA JUNIOR 487</t>
        </is>
      </c>
      <c r="L4911" s="5" t="inlineStr">
        <is>
          <t>08072026</t>
        </is>
      </c>
      <c r="M4911" s="5">
        <f>IF(YEAR(I4911)&lt;=2020,"Até 2020",TEXT(YEAR(I4911),"0"))</f>
        <v/>
      </c>
      <c r="N4911" s="5">
        <f>IFERROR(INDEX(DePara!$A:$A,MATCH(TEXT(B4911,"0"),DePara!$D:$D,0)),"(sem categoria)")</f>
        <v/>
      </c>
      <c r="O4911" s="5">
        <f>IF(J4911="","",Parametros!$B$6-J4911)</f>
        <v/>
      </c>
      <c r="P4911" s="5">
        <f>IF(O4911="","",IF(O4911&gt;0,1,0))</f>
        <v/>
      </c>
    </row>
    <row r="4912">
      <c r="A4912" s="5" t="n">
        <v>1117730000</v>
      </c>
      <c r="B4912" s="5" t="inlineStr">
        <is>
          <t>EM000016</t>
        </is>
      </c>
      <c r="C4912" s="5" t="inlineStr">
        <is>
          <t>JAMERSON BEZERRA DA SILVA</t>
        </is>
      </c>
      <c r="D4912" s="5" t="inlineStr">
        <is>
          <t>ZP</t>
        </is>
      </c>
      <c r="E4912" s="5" t="n">
        <v>2000011293</v>
      </c>
      <c r="F4912" s="5" t="n"/>
      <c r="G4912" s="5" t="inlineStr">
        <is>
          <t>BRL</t>
        </is>
      </c>
      <c r="H4912" s="9" t="n">
        <v>390</v>
      </c>
      <c r="I4912" s="16" t="n">
        <v>46211</v>
      </c>
      <c r="J4912" s="16" t="n">
        <v>46211</v>
      </c>
      <c r="K4912" s="5" t="inlineStr">
        <is>
          <t>Vendor DP Request JAMERSON BEZERRA DA SILVA 52430</t>
        </is>
      </c>
      <c r="L4912" s="5" t="inlineStr">
        <is>
          <t>08072026</t>
        </is>
      </c>
      <c r="M4912" s="5">
        <f>IF(YEAR(I4912)&lt;=2020,"Até 2020",TEXT(YEAR(I4912),"0"))</f>
        <v/>
      </c>
      <c r="N4912" s="5">
        <f>IFERROR(INDEX(DePara!$A:$A,MATCH(TEXT(B4912,"0"),DePara!$D:$D,0)),"(sem categoria)")</f>
        <v/>
      </c>
      <c r="O4912" s="5">
        <f>IF(J4912="","",Parametros!$B$6-J4912)</f>
        <v/>
      </c>
      <c r="P4912" s="5">
        <f>IF(O4912="","",IF(O4912&gt;0,1,0))</f>
        <v/>
      </c>
    </row>
    <row r="4913">
      <c r="A4913" s="5" t="n">
        <v>1117730000</v>
      </c>
      <c r="B4913" s="5" t="inlineStr">
        <is>
          <t>EM000055</t>
        </is>
      </c>
      <c r="C4913" s="5" t="inlineStr">
        <is>
          <t>VINICIUS MECCHI SILVA</t>
        </is>
      </c>
      <c r="D4913" s="5" t="inlineStr">
        <is>
          <t>ZP</t>
        </is>
      </c>
      <c r="E4913" s="5" t="n">
        <v>2000011299</v>
      </c>
      <c r="F4913" s="5" t="n"/>
      <c r="G4913" s="5" t="inlineStr">
        <is>
          <t>BRL</t>
        </is>
      </c>
      <c r="H4913" s="9" t="n">
        <v>390</v>
      </c>
      <c r="I4913" s="16" t="n">
        <v>46211</v>
      </c>
      <c r="J4913" s="16" t="n">
        <v>46211</v>
      </c>
      <c r="K4913" s="5" t="inlineStr">
        <is>
          <t>Vendor DP Request VINICIUS MECCHI SILVA 52431</t>
        </is>
      </c>
      <c r="L4913" s="5" t="inlineStr">
        <is>
          <t>08072026</t>
        </is>
      </c>
      <c r="M4913" s="5">
        <f>IF(YEAR(I4913)&lt;=2020,"Até 2020",TEXT(YEAR(I4913),"0"))</f>
        <v/>
      </c>
      <c r="N4913" s="5">
        <f>IFERROR(INDEX(DePara!$A:$A,MATCH(TEXT(B4913,"0"),DePara!$D:$D,0)),"(sem categoria)")</f>
        <v/>
      </c>
      <c r="O4913" s="5">
        <f>IF(J4913="","",Parametros!$B$6-J4913)</f>
        <v/>
      </c>
      <c r="P4913" s="5">
        <f>IF(O4913="","",IF(O4913&gt;0,1,0))</f>
        <v/>
      </c>
    </row>
    <row r="4914">
      <c r="A4914" s="5" t="n">
        <v>1117730000</v>
      </c>
      <c r="B4914" s="5" t="inlineStr">
        <is>
          <t>EM000135</t>
        </is>
      </c>
      <c r="C4914" s="5" t="inlineStr">
        <is>
          <t>MARCELO DE MOURA SILVA</t>
        </is>
      </c>
      <c r="D4914" s="5" t="inlineStr">
        <is>
          <t>ZP</t>
        </is>
      </c>
      <c r="E4914" s="5" t="n">
        <v>2000011306</v>
      </c>
      <c r="F4914" s="5" t="n"/>
      <c r="G4914" s="5" t="inlineStr">
        <is>
          <t>BRL</t>
        </is>
      </c>
      <c r="H4914" s="9" t="n">
        <v>910</v>
      </c>
      <c r="I4914" s="16" t="n">
        <v>46211</v>
      </c>
      <c r="J4914" s="16" t="n">
        <v>46211</v>
      </c>
      <c r="K4914" s="5" t="inlineStr">
        <is>
          <t>Vendor DP Request MARCELO DE MOURA SILVA 52458</t>
        </is>
      </c>
      <c r="L4914" s="5" t="inlineStr">
        <is>
          <t>08072026</t>
        </is>
      </c>
      <c r="M4914" s="5">
        <f>IF(YEAR(I4914)&lt;=2020,"Até 2020",TEXT(YEAR(I4914),"0"))</f>
        <v/>
      </c>
      <c r="N4914" s="5">
        <f>IFERROR(INDEX(DePara!$A:$A,MATCH(TEXT(B4914,"0"),DePara!$D:$D,0)),"(sem categoria)")</f>
        <v/>
      </c>
      <c r="O4914" s="5">
        <f>IF(J4914="","",Parametros!$B$6-J4914)</f>
        <v/>
      </c>
      <c r="P4914" s="5">
        <f>IF(O4914="","",IF(O4914&gt;0,1,0))</f>
        <v/>
      </c>
    </row>
    <row r="4915">
      <c r="A4915" s="5" t="n">
        <v>1117730000</v>
      </c>
      <c r="B4915" s="5" t="inlineStr">
        <is>
          <t>EM000153</t>
        </is>
      </c>
      <c r="C4915" s="5" t="inlineStr">
        <is>
          <t>FRANCISCO WAGNER DE FREITAS ARAUJO</t>
        </is>
      </c>
      <c r="D4915" s="5" t="inlineStr">
        <is>
          <t>ZP</t>
        </is>
      </c>
      <c r="E4915" s="5" t="n">
        <v>2000011307</v>
      </c>
      <c r="F4915" s="5" t="n"/>
      <c r="G4915" s="5" t="inlineStr">
        <is>
          <t>BRL</t>
        </is>
      </c>
      <c r="H4915" s="9" t="n">
        <v>910</v>
      </c>
      <c r="I4915" s="16" t="n">
        <v>46211</v>
      </c>
      <c r="J4915" s="16" t="n">
        <v>46211</v>
      </c>
      <c r="K4915" s="5" t="inlineStr">
        <is>
          <t>Vendor DP Request FRANCISCO WAGNER DE FREITAS ARAU</t>
        </is>
      </c>
      <c r="L4915" s="5" t="inlineStr">
        <is>
          <t>08072026</t>
        </is>
      </c>
      <c r="M4915" s="5">
        <f>IF(YEAR(I4915)&lt;=2020,"Até 2020",TEXT(YEAR(I4915),"0"))</f>
        <v/>
      </c>
      <c r="N4915" s="5">
        <f>IFERROR(INDEX(DePara!$A:$A,MATCH(TEXT(B4915,"0"),DePara!$D:$D,0)),"(sem categoria)")</f>
        <v/>
      </c>
      <c r="O4915" s="5">
        <f>IF(J4915="","",Parametros!$B$6-J4915)</f>
        <v/>
      </c>
      <c r="P4915" s="5">
        <f>IF(O4915="","",IF(O4915&gt;0,1,0))</f>
        <v/>
      </c>
    </row>
    <row r="4916">
      <c r="A4916" s="5" t="n">
        <v>1117730000</v>
      </c>
      <c r="B4916" s="5" t="inlineStr">
        <is>
          <t>EM000159</t>
        </is>
      </c>
      <c r="C4916" s="5" t="inlineStr">
        <is>
          <t>FABIO COFFANI DOS SANTOS DE SIQUEIRA</t>
        </is>
      </c>
      <c r="D4916" s="5" t="inlineStr">
        <is>
          <t>ZP</t>
        </is>
      </c>
      <c r="E4916" s="5" t="n">
        <v>2000011308</v>
      </c>
      <c r="F4916" s="5" t="n"/>
      <c r="G4916" s="5" t="inlineStr">
        <is>
          <t>BRL</t>
        </is>
      </c>
      <c r="H4916" s="9" t="n">
        <v>6840</v>
      </c>
      <c r="I4916" s="16" t="n">
        <v>46211</v>
      </c>
      <c r="J4916" s="16" t="n">
        <v>46211</v>
      </c>
      <c r="K4916" s="5" t="inlineStr">
        <is>
          <t>Vendor DP Request FABIO COFFANI DOS SANTOS DE SIQU</t>
        </is>
      </c>
      <c r="L4916" s="5" t="inlineStr">
        <is>
          <t>08072026</t>
        </is>
      </c>
      <c r="M4916" s="5">
        <f>IF(YEAR(I4916)&lt;=2020,"Até 2020",TEXT(YEAR(I4916),"0"))</f>
        <v/>
      </c>
      <c r="N4916" s="5">
        <f>IFERROR(INDEX(DePara!$A:$A,MATCH(TEXT(B4916,"0"),DePara!$D:$D,0)),"(sem categoria)")</f>
        <v/>
      </c>
      <c r="O4916" s="5">
        <f>IF(J4916="","",Parametros!$B$6-J4916)</f>
        <v/>
      </c>
      <c r="P4916" s="5">
        <f>IF(O4916="","",IF(O4916&gt;0,1,0))</f>
        <v/>
      </c>
    </row>
    <row r="4917">
      <c r="A4917" s="5" t="n">
        <v>1117730000</v>
      </c>
      <c r="B4917" s="5" t="inlineStr">
        <is>
          <t>EM000420</t>
        </is>
      </c>
      <c r="C4917" s="5" t="inlineStr">
        <is>
          <t>RAFAEL SILVA DE FREITAS</t>
        </is>
      </c>
      <c r="D4917" s="5" t="inlineStr">
        <is>
          <t>ZP</t>
        </is>
      </c>
      <c r="E4917" s="5" t="n">
        <v>2000011320</v>
      </c>
      <c r="F4917" s="5" t="n"/>
      <c r="G4917" s="5" t="inlineStr">
        <is>
          <t>BRL</t>
        </is>
      </c>
      <c r="H4917" s="9" t="n">
        <v>910</v>
      </c>
      <c r="I4917" s="16" t="n">
        <v>46211</v>
      </c>
      <c r="J4917" s="16" t="n">
        <v>46211</v>
      </c>
      <c r="K4917" s="5" t="inlineStr">
        <is>
          <t>Vendor DP Request RAFAEL SILVA DE FREITAS 52432</t>
        </is>
      </c>
      <c r="L4917" s="5" t="inlineStr">
        <is>
          <t>08072026</t>
        </is>
      </c>
      <c r="M4917" s="5">
        <f>IF(YEAR(I4917)&lt;=2020,"Até 2020",TEXT(YEAR(I4917),"0"))</f>
        <v/>
      </c>
      <c r="N4917" s="5">
        <f>IFERROR(INDEX(DePara!$A:$A,MATCH(TEXT(B4917,"0"),DePara!$D:$D,0)),"(sem categoria)")</f>
        <v/>
      </c>
      <c r="O4917" s="5">
        <f>IF(J4917="","",Parametros!$B$6-J4917)</f>
        <v/>
      </c>
      <c r="P4917" s="5">
        <f>IF(O4917="","",IF(O4917&gt;0,1,0))</f>
        <v/>
      </c>
    </row>
    <row r="4918">
      <c r="A4918" s="5" t="n">
        <v>1117730000</v>
      </c>
      <c r="B4918" s="5" t="inlineStr">
        <is>
          <t>EM000652</t>
        </is>
      </c>
      <c r="C4918" s="5" t="inlineStr">
        <is>
          <t>LUCAS TURCI</t>
        </is>
      </c>
      <c r="D4918" s="5" t="inlineStr">
        <is>
          <t>ZP</t>
        </is>
      </c>
      <c r="E4918" s="5" t="n">
        <v>2000011329</v>
      </c>
      <c r="F4918" s="5" t="n"/>
      <c r="G4918" s="5" t="inlineStr">
        <is>
          <t>BRL</t>
        </is>
      </c>
      <c r="H4918" s="9" t="n">
        <v>1770</v>
      </c>
      <c r="I4918" s="16" t="n">
        <v>46211</v>
      </c>
      <c r="J4918" s="16" t="n">
        <v>46211</v>
      </c>
      <c r="K4918" s="5" t="inlineStr">
        <is>
          <t>Vendor DP Request LUCAS TURCI 53462</t>
        </is>
      </c>
      <c r="L4918" s="5" t="inlineStr">
        <is>
          <t>08072026</t>
        </is>
      </c>
      <c r="M4918" s="5">
        <f>IF(YEAR(I4918)&lt;=2020,"Até 2020",TEXT(YEAR(I4918),"0"))</f>
        <v/>
      </c>
      <c r="N4918" s="5">
        <f>IFERROR(INDEX(DePara!$A:$A,MATCH(TEXT(B4918,"0"),DePara!$D:$D,0)),"(sem categoria)")</f>
        <v/>
      </c>
      <c r="O4918" s="5">
        <f>IF(J4918="","",Parametros!$B$6-J4918)</f>
        <v/>
      </c>
      <c r="P4918" s="5">
        <f>IF(O4918="","",IF(O4918&gt;0,1,0))</f>
        <v/>
      </c>
    </row>
    <row r="4919">
      <c r="A4919" s="5" t="n">
        <v>1117730000</v>
      </c>
      <c r="B4919" s="5" t="inlineStr">
        <is>
          <t>EM000682</t>
        </is>
      </c>
      <c r="C4919" s="5" t="inlineStr">
        <is>
          <t>RAUL GONCALVES RODRIGUES</t>
        </is>
      </c>
      <c r="D4919" s="5" t="inlineStr">
        <is>
          <t>ZP</t>
        </is>
      </c>
      <c r="E4919" s="5" t="n">
        <v>2000011330</v>
      </c>
      <c r="F4919" s="5" t="n"/>
      <c r="G4919" s="5" t="inlineStr">
        <is>
          <t>BRL</t>
        </is>
      </c>
      <c r="H4919" s="9" t="n">
        <v>390</v>
      </c>
      <c r="I4919" s="16" t="n">
        <v>46211</v>
      </c>
      <c r="J4919" s="16" t="n">
        <v>46211</v>
      </c>
      <c r="K4919" s="5" t="inlineStr">
        <is>
          <t>Vendor DP Request RAUL GONCALVES RODRIGUES 52433</t>
        </is>
      </c>
      <c r="L4919" s="5" t="inlineStr">
        <is>
          <t>08072026</t>
        </is>
      </c>
      <c r="M4919" s="5">
        <f>IF(YEAR(I4919)&lt;=2020,"Até 2020",TEXT(YEAR(I4919),"0"))</f>
        <v/>
      </c>
      <c r="N4919" s="5">
        <f>IFERROR(INDEX(DePara!$A:$A,MATCH(TEXT(B4919,"0"),DePara!$D:$D,0)),"(sem categoria)")</f>
        <v/>
      </c>
      <c r="O4919" s="5">
        <f>IF(J4919="","",Parametros!$B$6-J4919)</f>
        <v/>
      </c>
      <c r="P4919" s="5">
        <f>IF(O4919="","",IF(O4919&gt;0,1,0))</f>
        <v/>
      </c>
    </row>
    <row r="4920">
      <c r="A4920" s="5" t="n">
        <v>1117730000</v>
      </c>
      <c r="B4920" s="5" t="inlineStr">
        <is>
          <t>EM000866</t>
        </is>
      </c>
      <c r="C4920" s="5" t="inlineStr">
        <is>
          <t>FRANCISCO MARCOS DE FREITAS</t>
        </is>
      </c>
      <c r="D4920" s="5" t="inlineStr">
        <is>
          <t>ZP</t>
        </is>
      </c>
      <c r="E4920" s="5" t="n">
        <v>2000011335</v>
      </c>
      <c r="F4920" s="5" t="n"/>
      <c r="G4920" s="5" t="inlineStr">
        <is>
          <t>BRL</t>
        </is>
      </c>
      <c r="H4920" s="9" t="n">
        <v>650</v>
      </c>
      <c r="I4920" s="16" t="n">
        <v>46211</v>
      </c>
      <c r="J4920" s="16" t="n">
        <v>46211</v>
      </c>
      <c r="K4920" s="5" t="inlineStr">
        <is>
          <t>Vendor DP Request FRANCISCO MARCOS DE FREITAS 4888</t>
        </is>
      </c>
      <c r="L4920" s="5" t="inlineStr">
        <is>
          <t>08072026</t>
        </is>
      </c>
      <c r="M4920" s="5">
        <f>IF(YEAR(I4920)&lt;=2020,"Até 2020",TEXT(YEAR(I4920),"0"))</f>
        <v/>
      </c>
      <c r="N4920" s="5">
        <f>IFERROR(INDEX(DePara!$A:$A,MATCH(TEXT(B4920,"0"),DePara!$D:$D,0)),"(sem categoria)")</f>
        <v/>
      </c>
      <c r="O4920" s="5">
        <f>IF(J4920="","",Parametros!$B$6-J4920)</f>
        <v/>
      </c>
      <c r="P4920" s="5">
        <f>IF(O4920="","",IF(O4920&gt;0,1,0))</f>
        <v/>
      </c>
    </row>
    <row r="4921">
      <c r="A4921" s="5" t="n">
        <v>1117730000</v>
      </c>
      <c r="B4921" s="5" t="inlineStr">
        <is>
          <t>EM003535</t>
        </is>
      </c>
      <c r="C4921" s="5" t="inlineStr">
        <is>
          <t>JOILTON MARQUES DA SILVA</t>
        </is>
      </c>
      <c r="D4921" s="5" t="inlineStr">
        <is>
          <t>ZP</t>
        </is>
      </c>
      <c r="E4921" s="5" t="n">
        <v>2000011336</v>
      </c>
      <c r="F4921" s="5" t="n"/>
      <c r="G4921" s="5" t="inlineStr">
        <is>
          <t>BRL</t>
        </is>
      </c>
      <c r="H4921" s="9" t="n">
        <v>910</v>
      </c>
      <c r="I4921" s="16" t="n">
        <v>46211</v>
      </c>
      <c r="J4921" s="16" t="n">
        <v>46211</v>
      </c>
      <c r="K4921" s="5" t="inlineStr">
        <is>
          <t>Vendor DP Request JOILTON MARQUES DA SILVA 52447</t>
        </is>
      </c>
      <c r="L4921" s="5" t="inlineStr">
        <is>
          <t>08072026</t>
        </is>
      </c>
      <c r="M4921" s="5">
        <f>IF(YEAR(I4921)&lt;=2020,"Até 2020",TEXT(YEAR(I4921),"0"))</f>
        <v/>
      </c>
      <c r="N4921" s="5">
        <f>IFERROR(INDEX(DePara!$A:$A,MATCH(TEXT(B4921,"0"),DePara!$D:$D,0)),"(sem categoria)")</f>
        <v/>
      </c>
      <c r="O4921" s="5">
        <f>IF(J4921="","",Parametros!$B$6-J4921)</f>
        <v/>
      </c>
      <c r="P4921" s="5">
        <f>IF(O4921="","",IF(O4921&gt;0,1,0))</f>
        <v/>
      </c>
    </row>
    <row r="4922">
      <c r="A4922" s="5" t="n">
        <v>1117730000</v>
      </c>
      <c r="B4922" s="5" t="inlineStr">
        <is>
          <t>EM003724</t>
        </is>
      </c>
      <c r="C4922" s="5" t="inlineStr">
        <is>
          <t>OTÁVIO PAULINO DA SILVA NETO</t>
        </is>
      </c>
      <c r="D4922" s="5" t="inlineStr">
        <is>
          <t>ZP</t>
        </is>
      </c>
      <c r="E4922" s="5" t="n">
        <v>2000011337</v>
      </c>
      <c r="F4922" s="5" t="n"/>
      <c r="G4922" s="5" t="inlineStr">
        <is>
          <t>BRL</t>
        </is>
      </c>
      <c r="H4922" s="9" t="n">
        <v>1820</v>
      </c>
      <c r="I4922" s="16" t="n">
        <v>46211</v>
      </c>
      <c r="J4922" s="16" t="n">
        <v>46211</v>
      </c>
      <c r="K4922" s="5" t="inlineStr">
        <is>
          <t>Vendor DP Request OTÁVIO PAULINO DA SILVA NETO 524</t>
        </is>
      </c>
      <c r="L4922" s="5" t="inlineStr">
        <is>
          <t>08072026</t>
        </is>
      </c>
      <c r="M4922" s="5">
        <f>IF(YEAR(I4922)&lt;=2020,"Até 2020",TEXT(YEAR(I4922),"0"))</f>
        <v/>
      </c>
      <c r="N4922" s="5">
        <f>IFERROR(INDEX(DePara!$A:$A,MATCH(TEXT(B4922,"0"),DePara!$D:$D,0)),"(sem categoria)")</f>
        <v/>
      </c>
      <c r="O4922" s="5">
        <f>IF(J4922="","",Parametros!$B$6-J4922)</f>
        <v/>
      </c>
      <c r="P4922" s="5">
        <f>IF(O4922="","",IF(O4922&gt;0,1,0))</f>
        <v/>
      </c>
    </row>
    <row r="4923">
      <c r="A4923" s="5" t="n">
        <v>1117730000</v>
      </c>
      <c r="B4923" s="5" t="inlineStr">
        <is>
          <t>EM003725</t>
        </is>
      </c>
      <c r="C4923" s="5" t="inlineStr">
        <is>
          <t>FRANKLIN CLEMENTE DE FRANÇA</t>
        </is>
      </c>
      <c r="D4923" s="5" t="inlineStr">
        <is>
          <t>ZP</t>
        </is>
      </c>
      <c r="E4923" s="5" t="n">
        <v>2000011338</v>
      </c>
      <c r="F4923" s="5" t="n"/>
      <c r="G4923" s="5" t="inlineStr">
        <is>
          <t>BRL</t>
        </is>
      </c>
      <c r="H4923" s="9" t="n">
        <v>1820</v>
      </c>
      <c r="I4923" s="16" t="n">
        <v>46211</v>
      </c>
      <c r="J4923" s="16" t="n">
        <v>46211</v>
      </c>
      <c r="K4923" s="5" t="inlineStr">
        <is>
          <t>Vendor DP Request FRANKLIN CLEMENTE DE FRANÇA 5242</t>
        </is>
      </c>
      <c r="L4923" s="5" t="inlineStr">
        <is>
          <t>08072026</t>
        </is>
      </c>
      <c r="M4923" s="5">
        <f>IF(YEAR(I4923)&lt;=2020,"Até 2020",TEXT(YEAR(I4923),"0"))</f>
        <v/>
      </c>
      <c r="N4923" s="5">
        <f>IFERROR(INDEX(DePara!$A:$A,MATCH(TEXT(B4923,"0"),DePara!$D:$D,0)),"(sem categoria)")</f>
        <v/>
      </c>
      <c r="O4923" s="5">
        <f>IF(J4923="","",Parametros!$B$6-J4923)</f>
        <v/>
      </c>
      <c r="P4923" s="5">
        <f>IF(O4923="","",IF(O4923&gt;0,1,0))</f>
        <v/>
      </c>
    </row>
    <row r="4924">
      <c r="A4924" s="5" t="n">
        <v>1117730000</v>
      </c>
      <c r="B4924" s="5" t="inlineStr">
        <is>
          <t>EM000039</t>
        </is>
      </c>
      <c r="C4924" s="5" t="inlineStr">
        <is>
          <t>ANDRE LUIS MENDES VELOSO</t>
        </is>
      </c>
      <c r="D4924" s="5" t="inlineStr">
        <is>
          <t>ZP</t>
        </is>
      </c>
      <c r="E4924" s="5" t="n">
        <v>2000011709</v>
      </c>
      <c r="F4924" s="5" t="n"/>
      <c r="G4924" s="5" t="inlineStr">
        <is>
          <t>BRL</t>
        </is>
      </c>
      <c r="H4924" s="9" t="n">
        <v>4138.2</v>
      </c>
      <c r="I4924" s="16" t="n">
        <v>46225</v>
      </c>
      <c r="J4924" s="16" t="n">
        <v>46225</v>
      </c>
      <c r="K4924" s="5" t="inlineStr">
        <is>
          <t>Documento fornecedor ANDRE LUIS MENDES VELOSO 5350</t>
        </is>
      </c>
      <c r="L4924" s="5" t="inlineStr">
        <is>
          <t>22072026</t>
        </is>
      </c>
      <c r="M4924" s="5">
        <f>IF(YEAR(I4924)&lt;=2020,"Até 2020",TEXT(YEAR(I4924),"0"))</f>
        <v/>
      </c>
      <c r="N4924" s="5">
        <f>IFERROR(INDEX(DePara!$A:$A,MATCH(TEXT(B4924,"0"),DePara!$D:$D,0)),"(sem categoria)")</f>
        <v/>
      </c>
      <c r="O4924" s="5">
        <f>IF(J4924="","",Parametros!$B$6-J4924)</f>
        <v/>
      </c>
      <c r="P4924" s="5">
        <f>IF(O4924="","",IF(O4924&gt;0,1,0))</f>
        <v/>
      </c>
    </row>
    <row r="4925">
      <c r="A4925" s="5" t="n">
        <v>1117730000</v>
      </c>
      <c r="B4925" s="5" t="inlineStr">
        <is>
          <t>EM000075</t>
        </is>
      </c>
      <c r="C4925" s="5" t="inlineStr">
        <is>
          <t>RENATO CAIO FERNANDES SILVA</t>
        </is>
      </c>
      <c r="D4925" s="5" t="inlineStr">
        <is>
          <t>ZP</t>
        </is>
      </c>
      <c r="E4925" s="5" t="n">
        <v>2000011712</v>
      </c>
      <c r="F4925" s="5" t="n"/>
      <c r="G4925" s="5" t="inlineStr">
        <is>
          <t>BRL</t>
        </is>
      </c>
      <c r="H4925" s="9" t="n">
        <v>910</v>
      </c>
      <c r="I4925" s="16" t="n">
        <v>46225</v>
      </c>
      <c r="J4925" s="16" t="n">
        <v>46225</v>
      </c>
      <c r="K4925" s="5" t="inlineStr">
        <is>
          <t>Documento fornecedor RENATO CAIO FERNANDES SILVA P</t>
        </is>
      </c>
      <c r="L4925" s="5" t="inlineStr">
        <is>
          <t>22072026</t>
        </is>
      </c>
      <c r="M4925" s="5">
        <f>IF(YEAR(I4925)&lt;=2020,"Até 2020",TEXT(YEAR(I4925),"0"))</f>
        <v/>
      </c>
      <c r="N4925" s="5">
        <f>IFERROR(INDEX(DePara!$A:$A,MATCH(TEXT(B4925,"0"),DePara!$D:$D,0)),"(sem categoria)")</f>
        <v/>
      </c>
      <c r="O4925" s="5">
        <f>IF(J4925="","",Parametros!$B$6-J4925)</f>
        <v/>
      </c>
      <c r="P4925" s="5">
        <f>IF(O4925="","",IF(O4925&gt;0,1,0))</f>
        <v/>
      </c>
    </row>
    <row r="4926">
      <c r="A4926" s="5" t="n">
        <v>1117730000</v>
      </c>
      <c r="B4926" s="5" t="inlineStr">
        <is>
          <t>EM000162</t>
        </is>
      </c>
      <c r="C4926" s="5" t="inlineStr">
        <is>
          <t>ASSUERO SAVIO TEIXEIRA SOUSA</t>
        </is>
      </c>
      <c r="D4926" s="5" t="inlineStr">
        <is>
          <t>ZP</t>
        </is>
      </c>
      <c r="E4926" s="5" t="n">
        <v>2000011718</v>
      </c>
      <c r="F4926" s="5" t="n"/>
      <c r="G4926" s="5" t="inlineStr">
        <is>
          <t>BRL</t>
        </is>
      </c>
      <c r="H4926" s="9" t="n">
        <v>260</v>
      </c>
      <c r="I4926" s="16" t="n">
        <v>46225</v>
      </c>
      <c r="J4926" s="16" t="n">
        <v>46225</v>
      </c>
      <c r="K4926" s="5" t="inlineStr">
        <is>
          <t>Documento fornecedor ASSUERO SAVIO TEIXEIRA SOUSA</t>
        </is>
      </c>
      <c r="L4926" s="5" t="inlineStr">
        <is>
          <t>22072026</t>
        </is>
      </c>
      <c r="M4926" s="5">
        <f>IF(YEAR(I4926)&lt;=2020,"Até 2020",TEXT(YEAR(I4926),"0"))</f>
        <v/>
      </c>
      <c r="N4926" s="5">
        <f>IFERROR(INDEX(DePara!$A:$A,MATCH(TEXT(B4926,"0"),DePara!$D:$D,0)),"(sem categoria)")</f>
        <v/>
      </c>
      <c r="O4926" s="5">
        <f>IF(J4926="","",Parametros!$B$6-J4926)</f>
        <v/>
      </c>
      <c r="P4926" s="5">
        <f>IF(O4926="","",IF(O4926&gt;0,1,0))</f>
        <v/>
      </c>
    </row>
    <row r="4927">
      <c r="A4927" s="5" t="n">
        <v>1117730000</v>
      </c>
      <c r="B4927" s="5" t="inlineStr">
        <is>
          <t>EM000162</t>
        </is>
      </c>
      <c r="C4927" s="5" t="inlineStr">
        <is>
          <t>ASSUERO SAVIO TEIXEIRA SOUSA</t>
        </is>
      </c>
      <c r="D4927" s="5" t="inlineStr">
        <is>
          <t>ZP</t>
        </is>
      </c>
      <c r="E4927" s="5" t="n">
        <v>2000011719</v>
      </c>
      <c r="F4927" s="5" t="n"/>
      <c r="G4927" s="5" t="inlineStr">
        <is>
          <t>BRL</t>
        </is>
      </c>
      <c r="H4927" s="9" t="n">
        <v>260</v>
      </c>
      <c r="I4927" s="16" t="n">
        <v>46225</v>
      </c>
      <c r="J4927" s="16" t="n">
        <v>46225</v>
      </c>
      <c r="K4927" s="5" t="inlineStr">
        <is>
          <t>Documento fornecedor ASSUERO SAVIO TEIXEIRA SOUSA</t>
        </is>
      </c>
      <c r="L4927" s="5" t="inlineStr">
        <is>
          <t>22072026</t>
        </is>
      </c>
      <c r="M4927" s="5">
        <f>IF(YEAR(I4927)&lt;=2020,"Até 2020",TEXT(YEAR(I4927),"0"))</f>
        <v/>
      </c>
      <c r="N4927" s="5">
        <f>IFERROR(INDEX(DePara!$A:$A,MATCH(TEXT(B4927,"0"),DePara!$D:$D,0)),"(sem categoria)")</f>
        <v/>
      </c>
      <c r="O4927" s="5">
        <f>IF(J4927="","",Parametros!$B$6-J4927)</f>
        <v/>
      </c>
      <c r="P4927" s="5">
        <f>IF(O4927="","",IF(O4927&gt;0,1,0))</f>
        <v/>
      </c>
    </row>
    <row r="4928">
      <c r="A4928" s="5" t="n">
        <v>1117730000</v>
      </c>
      <c r="B4928" s="5" t="inlineStr">
        <is>
          <t>EM000162</t>
        </is>
      </c>
      <c r="C4928" s="5" t="inlineStr">
        <is>
          <t>ASSUERO SAVIO TEIXEIRA SOUSA</t>
        </is>
      </c>
      <c r="D4928" s="5" t="inlineStr">
        <is>
          <t>ZP</t>
        </is>
      </c>
      <c r="E4928" s="5" t="n">
        <v>2000011720</v>
      </c>
      <c r="F4928" s="5" t="n"/>
      <c r="G4928" s="5" t="inlineStr">
        <is>
          <t>BRL</t>
        </is>
      </c>
      <c r="H4928" s="9" t="n">
        <v>390</v>
      </c>
      <c r="I4928" s="16" t="n">
        <v>46225</v>
      </c>
      <c r="J4928" s="16" t="n">
        <v>46225</v>
      </c>
      <c r="K4928" s="5" t="inlineStr">
        <is>
          <t>Documento fornecedor ASSUERO SAVIO TEIXEIRA SOUSA</t>
        </is>
      </c>
      <c r="L4928" s="5" t="inlineStr">
        <is>
          <t>22072026</t>
        </is>
      </c>
      <c r="M4928" s="5">
        <f>IF(YEAR(I4928)&lt;=2020,"Até 2020",TEXT(YEAR(I4928),"0"))</f>
        <v/>
      </c>
      <c r="N4928" s="5">
        <f>IFERROR(INDEX(DePara!$A:$A,MATCH(TEXT(B4928,"0"),DePara!$D:$D,0)),"(sem categoria)")</f>
        <v/>
      </c>
      <c r="O4928" s="5">
        <f>IF(J4928="","",Parametros!$B$6-J4928)</f>
        <v/>
      </c>
      <c r="P4928" s="5">
        <f>IF(O4928="","",IF(O4928&gt;0,1,0))</f>
        <v/>
      </c>
    </row>
    <row r="4929">
      <c r="A4929" s="5" t="n">
        <v>1117730000</v>
      </c>
      <c r="B4929" s="5" t="inlineStr">
        <is>
          <t>EM000162</t>
        </is>
      </c>
      <c r="C4929" s="5" t="inlineStr">
        <is>
          <t>ASSUERO SAVIO TEIXEIRA SOUSA</t>
        </is>
      </c>
      <c r="D4929" s="5" t="inlineStr">
        <is>
          <t>ZP</t>
        </is>
      </c>
      <c r="E4929" s="5" t="n">
        <v>2000011721</v>
      </c>
      <c r="F4929" s="5" t="n"/>
      <c r="G4929" s="5" t="inlineStr">
        <is>
          <t>BRL</t>
        </is>
      </c>
      <c r="H4929" s="9" t="n">
        <v>780</v>
      </c>
      <c r="I4929" s="16" t="n">
        <v>46225</v>
      </c>
      <c r="J4929" s="16" t="n">
        <v>46225</v>
      </c>
      <c r="K4929" s="5" t="inlineStr">
        <is>
          <t>Documento fornecedor ASSUERO SAVIO TEIXEIRA SOUSA</t>
        </is>
      </c>
      <c r="L4929" s="5" t="inlineStr">
        <is>
          <t>22072026</t>
        </is>
      </c>
      <c r="M4929" s="5">
        <f>IF(YEAR(I4929)&lt;=2020,"Até 2020",TEXT(YEAR(I4929),"0"))</f>
        <v/>
      </c>
      <c r="N4929" s="5">
        <f>IFERROR(INDEX(DePara!$A:$A,MATCH(TEXT(B4929,"0"),DePara!$D:$D,0)),"(sem categoria)")</f>
        <v/>
      </c>
      <c r="O4929" s="5">
        <f>IF(J4929="","",Parametros!$B$6-J4929)</f>
        <v/>
      </c>
      <c r="P4929" s="5">
        <f>IF(O4929="","",IF(O4929&gt;0,1,0))</f>
        <v/>
      </c>
    </row>
    <row r="4930">
      <c r="A4930" s="5" t="n">
        <v>1117730000</v>
      </c>
      <c r="B4930" s="5" t="inlineStr">
        <is>
          <t>EM000162</t>
        </is>
      </c>
      <c r="C4930" s="5" t="inlineStr">
        <is>
          <t>ASSUERO SAVIO TEIXEIRA SOUSA</t>
        </is>
      </c>
      <c r="D4930" s="5" t="inlineStr">
        <is>
          <t>ZP</t>
        </is>
      </c>
      <c r="E4930" s="5" t="n">
        <v>2000011722</v>
      </c>
      <c r="F4930" s="5" t="n"/>
      <c r="G4930" s="5" t="inlineStr">
        <is>
          <t>BRL</t>
        </is>
      </c>
      <c r="H4930" s="9" t="n">
        <v>910</v>
      </c>
      <c r="I4930" s="16" t="n">
        <v>46225</v>
      </c>
      <c r="J4930" s="16" t="n">
        <v>46225</v>
      </c>
      <c r="K4930" s="5" t="inlineStr">
        <is>
          <t>Documento fornecedor ASSUERO SAVIO TEIXEIRA SOUSA</t>
        </is>
      </c>
      <c r="L4930" s="5" t="inlineStr">
        <is>
          <t>22072026</t>
        </is>
      </c>
      <c r="M4930" s="5">
        <f>IF(YEAR(I4930)&lt;=2020,"Até 2020",TEXT(YEAR(I4930),"0"))</f>
        <v/>
      </c>
      <c r="N4930" s="5">
        <f>IFERROR(INDEX(DePara!$A:$A,MATCH(TEXT(B4930,"0"),DePara!$D:$D,0)),"(sem categoria)")</f>
        <v/>
      </c>
      <c r="O4930" s="5">
        <f>IF(J4930="","",Parametros!$B$6-J4930)</f>
        <v/>
      </c>
      <c r="P4930" s="5">
        <f>IF(O4930="","",IF(O4930&gt;0,1,0))</f>
        <v/>
      </c>
    </row>
    <row r="4931">
      <c r="A4931" s="5" t="n">
        <v>1117730000</v>
      </c>
      <c r="B4931" s="5" t="inlineStr">
        <is>
          <t>EM000190</t>
        </is>
      </c>
      <c r="C4931" s="5" t="inlineStr">
        <is>
          <t>DOUGLAS NASCIMENTO</t>
        </is>
      </c>
      <c r="D4931" s="5" t="inlineStr">
        <is>
          <t>ZP</t>
        </is>
      </c>
      <c r="E4931" s="5" t="n">
        <v>2000011723</v>
      </c>
      <c r="F4931" s="5" t="n"/>
      <c r="G4931" s="5" t="inlineStr">
        <is>
          <t>BRL</t>
        </is>
      </c>
      <c r="H4931" s="9" t="n">
        <v>390</v>
      </c>
      <c r="I4931" s="16" t="n">
        <v>46225</v>
      </c>
      <c r="J4931" s="16" t="n">
        <v>46225</v>
      </c>
      <c r="K4931" s="5" t="inlineStr">
        <is>
          <t>Documento fornecedor DOUGLAS NASCIMENTO PLANO 5013</t>
        </is>
      </c>
      <c r="L4931" s="5" t="inlineStr">
        <is>
          <t>22072026</t>
        </is>
      </c>
      <c r="M4931" s="5">
        <f>IF(YEAR(I4931)&lt;=2020,"Até 2020",TEXT(YEAR(I4931),"0"))</f>
        <v/>
      </c>
      <c r="N4931" s="5">
        <f>IFERROR(INDEX(DePara!$A:$A,MATCH(TEXT(B4931,"0"),DePara!$D:$D,0)),"(sem categoria)")</f>
        <v/>
      </c>
      <c r="O4931" s="5">
        <f>IF(J4931="","",Parametros!$B$6-J4931)</f>
        <v/>
      </c>
      <c r="P4931" s="5">
        <f>IF(O4931="","",IF(O4931&gt;0,1,0))</f>
        <v/>
      </c>
    </row>
    <row r="4932">
      <c r="A4932" s="5" t="n">
        <v>1117730000</v>
      </c>
      <c r="B4932" s="5" t="inlineStr">
        <is>
          <t>EM000394</t>
        </is>
      </c>
      <c r="C4932" s="5" t="inlineStr">
        <is>
          <t>WAGNER DELLA FLORA GROSS</t>
        </is>
      </c>
      <c r="D4932" s="5" t="inlineStr">
        <is>
          <t>ZP</t>
        </is>
      </c>
      <c r="E4932" s="5" t="n">
        <v>2000011726</v>
      </c>
      <c r="F4932" s="5" t="n"/>
      <c r="G4932" s="5" t="inlineStr">
        <is>
          <t>BRL</t>
        </is>
      </c>
      <c r="H4932" s="9" t="n">
        <v>1103.4</v>
      </c>
      <c r="I4932" s="16" t="n">
        <v>46225</v>
      </c>
      <c r="J4932" s="16" t="n">
        <v>46225</v>
      </c>
      <c r="K4932" s="5" t="inlineStr">
        <is>
          <t>Documento fornecedor WAGNER DELLA FLORA GROSS 5129</t>
        </is>
      </c>
      <c r="L4932" s="5" t="inlineStr">
        <is>
          <t>22072026</t>
        </is>
      </c>
      <c r="M4932" s="5">
        <f>IF(YEAR(I4932)&lt;=2020,"Até 2020",TEXT(YEAR(I4932),"0"))</f>
        <v/>
      </c>
      <c r="N4932" s="5">
        <f>IFERROR(INDEX(DePara!$A:$A,MATCH(TEXT(B4932,"0"),DePara!$D:$D,0)),"(sem categoria)")</f>
        <v/>
      </c>
      <c r="O4932" s="5">
        <f>IF(J4932="","",Parametros!$B$6-J4932)</f>
        <v/>
      </c>
      <c r="P4932" s="5">
        <f>IF(O4932="","",IF(O4932&gt;0,1,0))</f>
        <v/>
      </c>
    </row>
    <row r="4933">
      <c r="A4933" s="5" t="n">
        <v>1117730000</v>
      </c>
      <c r="B4933" s="5" t="inlineStr">
        <is>
          <t>EM000425</t>
        </is>
      </c>
      <c r="C4933" s="5" t="inlineStr">
        <is>
          <t>NAIGUEL PEREIRA DO SANTOS</t>
        </is>
      </c>
      <c r="D4933" s="5" t="inlineStr">
        <is>
          <t>ZP</t>
        </is>
      </c>
      <c r="E4933" s="5" t="n">
        <v>2000011727</v>
      </c>
      <c r="F4933" s="5" t="n"/>
      <c r="G4933" s="5" t="inlineStr">
        <is>
          <t>BRL</t>
        </is>
      </c>
      <c r="H4933" s="9" t="n">
        <v>2600</v>
      </c>
      <c r="I4933" s="16" t="n">
        <v>46225</v>
      </c>
      <c r="J4933" s="16" t="n">
        <v>46225</v>
      </c>
      <c r="K4933" s="5" t="inlineStr">
        <is>
          <t>Documento fornecedor NAIGUEL PEREIRA DO SANTOS PLA</t>
        </is>
      </c>
      <c r="L4933" s="5" t="inlineStr">
        <is>
          <t>22072026</t>
        </is>
      </c>
      <c r="M4933" s="5">
        <f>IF(YEAR(I4933)&lt;=2020,"Até 2020",TEXT(YEAR(I4933),"0"))</f>
        <v/>
      </c>
      <c r="N4933" s="5">
        <f>IFERROR(INDEX(DePara!$A:$A,MATCH(TEXT(B4933,"0"),DePara!$D:$D,0)),"(sem categoria)")</f>
        <v/>
      </c>
      <c r="O4933" s="5">
        <f>IF(J4933="","",Parametros!$B$6-J4933)</f>
        <v/>
      </c>
      <c r="P4933" s="5">
        <f>IF(O4933="","",IF(O4933&gt;0,1,0))</f>
        <v/>
      </c>
    </row>
    <row r="4934">
      <c r="A4934" s="5" t="n">
        <v>1117730000</v>
      </c>
      <c r="B4934" s="5" t="inlineStr">
        <is>
          <t>EM000516</t>
        </is>
      </c>
      <c r="C4934" s="5" t="inlineStr">
        <is>
          <t>KLEBER JERONIMO DA SILVA</t>
        </is>
      </c>
      <c r="D4934" s="5" t="inlineStr">
        <is>
          <t>ZP</t>
        </is>
      </c>
      <c r="E4934" s="5" t="n">
        <v>2000011733</v>
      </c>
      <c r="F4934" s="5" t="n"/>
      <c r="G4934" s="5" t="inlineStr">
        <is>
          <t>BRL</t>
        </is>
      </c>
      <c r="H4934" s="9" t="n">
        <v>910</v>
      </c>
      <c r="I4934" s="16" t="n">
        <v>46225</v>
      </c>
      <c r="J4934" s="16" t="n">
        <v>46225</v>
      </c>
      <c r="K4934" s="5" t="inlineStr">
        <is>
          <t>Documento fornecedor KLEBER JERONIMO DA SILVA PLAN</t>
        </is>
      </c>
      <c r="L4934" s="5" t="inlineStr">
        <is>
          <t>22072026</t>
        </is>
      </c>
      <c r="M4934" s="5">
        <f>IF(YEAR(I4934)&lt;=2020,"Até 2020",TEXT(YEAR(I4934),"0"))</f>
        <v/>
      </c>
      <c r="N4934" s="5">
        <f>IFERROR(INDEX(DePara!$A:$A,MATCH(TEXT(B4934,"0"),DePara!$D:$D,0)),"(sem categoria)")</f>
        <v/>
      </c>
      <c r="O4934" s="5">
        <f>IF(J4934="","",Parametros!$B$6-J4934)</f>
        <v/>
      </c>
      <c r="P4934" s="5">
        <f>IF(O4934="","",IF(O4934&gt;0,1,0))</f>
        <v/>
      </c>
    </row>
    <row r="4935">
      <c r="A4935" s="5" t="n">
        <v>1117730000</v>
      </c>
      <c r="B4935" s="5" t="inlineStr">
        <is>
          <t>EM000549</t>
        </is>
      </c>
      <c r="C4935" s="5" t="inlineStr">
        <is>
          <t>ALISSON ALEXANDRE CARVALHO ARAUJO</t>
        </is>
      </c>
      <c r="D4935" s="5" t="inlineStr">
        <is>
          <t>ZP</t>
        </is>
      </c>
      <c r="E4935" s="5" t="n">
        <v>2000011737</v>
      </c>
      <c r="F4935" s="5" t="n"/>
      <c r="G4935" s="5" t="inlineStr">
        <is>
          <t>BRL</t>
        </is>
      </c>
      <c r="H4935" s="9" t="n">
        <v>910</v>
      </c>
      <c r="I4935" s="16" t="n">
        <v>46225</v>
      </c>
      <c r="J4935" s="16" t="n">
        <v>46225</v>
      </c>
      <c r="K4935" s="5" t="inlineStr">
        <is>
          <t>Documento fornecedor ALISSON ALEXANDRE CARVALHO AR</t>
        </is>
      </c>
      <c r="L4935" s="5" t="inlineStr">
        <is>
          <t>22072026</t>
        </is>
      </c>
      <c r="M4935" s="5">
        <f>IF(YEAR(I4935)&lt;=2020,"Até 2020",TEXT(YEAR(I4935),"0"))</f>
        <v/>
      </c>
      <c r="N4935" s="5">
        <f>IFERROR(INDEX(DePara!$A:$A,MATCH(TEXT(B4935,"0"),DePara!$D:$D,0)),"(sem categoria)")</f>
        <v/>
      </c>
      <c r="O4935" s="5">
        <f>IF(J4935="","",Parametros!$B$6-J4935)</f>
        <v/>
      </c>
      <c r="P4935" s="5">
        <f>IF(O4935="","",IF(O4935&gt;0,1,0))</f>
        <v/>
      </c>
    </row>
    <row r="4936">
      <c r="A4936" s="5" t="n">
        <v>1117730000</v>
      </c>
      <c r="B4936" s="5" t="inlineStr">
        <is>
          <t>EM000654</t>
        </is>
      </c>
      <c r="C4936" s="5" t="inlineStr">
        <is>
          <t>FRANCISCO THOMAZ AMIRATI UCHOA</t>
        </is>
      </c>
      <c r="D4936" s="5" t="inlineStr">
        <is>
          <t>ZP</t>
        </is>
      </c>
      <c r="E4936" s="5" t="n">
        <v>2000011739</v>
      </c>
      <c r="F4936" s="5" t="n"/>
      <c r="G4936" s="5" t="inlineStr">
        <is>
          <t>BRL</t>
        </is>
      </c>
      <c r="H4936" s="9" t="n">
        <v>6372</v>
      </c>
      <c r="I4936" s="16" t="n">
        <v>46225</v>
      </c>
      <c r="J4936" s="16" t="n">
        <v>46225</v>
      </c>
      <c r="K4936" s="5" t="inlineStr">
        <is>
          <t>Documento fornecedor FRANCISCO THOMAZ AMIRATI UCHO</t>
        </is>
      </c>
      <c r="L4936" s="5" t="inlineStr">
        <is>
          <t>22072026</t>
        </is>
      </c>
      <c r="M4936" s="5">
        <f>IF(YEAR(I4936)&lt;=2020,"Até 2020",TEXT(YEAR(I4936),"0"))</f>
        <v/>
      </c>
      <c r="N4936" s="5">
        <f>IFERROR(INDEX(DePara!$A:$A,MATCH(TEXT(B4936,"0"),DePara!$D:$D,0)),"(sem categoria)")</f>
        <v/>
      </c>
      <c r="O4936" s="5">
        <f>IF(J4936="","",Parametros!$B$6-J4936)</f>
        <v/>
      </c>
      <c r="P4936" s="5">
        <f>IF(O4936="","",IF(O4936&gt;0,1,0))</f>
        <v/>
      </c>
    </row>
    <row r="4937">
      <c r="A4937" s="5" t="n">
        <v>1117730000</v>
      </c>
      <c r="B4937" s="5" t="inlineStr">
        <is>
          <t>EM000674</t>
        </is>
      </c>
      <c r="C4937" s="5" t="inlineStr">
        <is>
          <t>PAULO HENRIQUE DA CRUZ BOTELHO</t>
        </is>
      </c>
      <c r="D4937" s="5" t="inlineStr">
        <is>
          <t>ZP</t>
        </is>
      </c>
      <c r="E4937" s="5" t="n">
        <v>2000011740</v>
      </c>
      <c r="F4937" s="5" t="n"/>
      <c r="G4937" s="5" t="inlineStr">
        <is>
          <t>BRL</t>
        </is>
      </c>
      <c r="H4937" s="9" t="n">
        <v>1430</v>
      </c>
      <c r="I4937" s="16" t="n">
        <v>46225</v>
      </c>
      <c r="J4937" s="16" t="n">
        <v>46225</v>
      </c>
      <c r="K4937" s="5" t="inlineStr">
        <is>
          <t>Documento fornecedor PAULO HENRIQUE DA CRUZ BOTELH</t>
        </is>
      </c>
      <c r="L4937" s="5" t="inlineStr">
        <is>
          <t>22072026</t>
        </is>
      </c>
      <c r="M4937" s="5">
        <f>IF(YEAR(I4937)&lt;=2020,"Até 2020",TEXT(YEAR(I4937),"0"))</f>
        <v/>
      </c>
      <c r="N4937" s="5">
        <f>IFERROR(INDEX(DePara!$A:$A,MATCH(TEXT(B4937,"0"),DePara!$D:$D,0)),"(sem categoria)")</f>
        <v/>
      </c>
      <c r="O4937" s="5">
        <f>IF(J4937="","",Parametros!$B$6-J4937)</f>
        <v/>
      </c>
      <c r="P4937" s="5">
        <f>IF(O4937="","",IF(O4937&gt;0,1,0))</f>
        <v/>
      </c>
    </row>
    <row r="4938">
      <c r="A4938" s="5" t="n">
        <v>1117730000</v>
      </c>
      <c r="B4938" s="5" t="inlineStr">
        <is>
          <t>EM000792</t>
        </is>
      </c>
      <c r="C4938" s="5" t="inlineStr">
        <is>
          <t>BRUNO INÁCIO LOURENÇO</t>
        </is>
      </c>
      <c r="D4938" s="5" t="inlineStr">
        <is>
          <t>ZP</t>
        </is>
      </c>
      <c r="E4938" s="5" t="n">
        <v>2000011743</v>
      </c>
      <c r="F4938" s="5" t="n"/>
      <c r="G4938" s="5" t="inlineStr">
        <is>
          <t>BRL</t>
        </is>
      </c>
      <c r="H4938" s="9" t="n">
        <v>4890.6</v>
      </c>
      <c r="I4938" s="16" t="n">
        <v>46225</v>
      </c>
      <c r="J4938" s="16" t="n">
        <v>46225</v>
      </c>
      <c r="K4938" s="5" t="inlineStr">
        <is>
          <t>Documento fornecedor BRUNO INÁCIO LOURENÇO PLANO 5</t>
        </is>
      </c>
      <c r="L4938" s="5" t="inlineStr">
        <is>
          <t>22072026</t>
        </is>
      </c>
      <c r="M4938" s="5">
        <f>IF(YEAR(I4938)&lt;=2020,"Até 2020",TEXT(YEAR(I4938),"0"))</f>
        <v/>
      </c>
      <c r="N4938" s="5">
        <f>IFERROR(INDEX(DePara!$A:$A,MATCH(TEXT(B4938,"0"),DePara!$D:$D,0)),"(sem categoria)")</f>
        <v/>
      </c>
      <c r="O4938" s="5">
        <f>IF(J4938="","",Parametros!$B$6-J4938)</f>
        <v/>
      </c>
      <c r="P4938" s="5">
        <f>IF(O4938="","",IF(O4938&gt;0,1,0))</f>
        <v/>
      </c>
    </row>
    <row r="4939">
      <c r="A4939" s="5" t="n">
        <v>1117730000</v>
      </c>
      <c r="B4939" s="5" t="inlineStr">
        <is>
          <t>EM000901</t>
        </is>
      </c>
      <c r="C4939" s="5" t="inlineStr">
        <is>
          <t>LEOJAIME DOS SANTOS LIMA</t>
        </is>
      </c>
      <c r="D4939" s="5" t="inlineStr">
        <is>
          <t>ZP</t>
        </is>
      </c>
      <c r="E4939" s="5" t="n">
        <v>2000011746</v>
      </c>
      <c r="F4939" s="5" t="n"/>
      <c r="G4939" s="5" t="inlineStr">
        <is>
          <t>BRL</t>
        </is>
      </c>
      <c r="H4939" s="9" t="n">
        <v>910</v>
      </c>
      <c r="I4939" s="16" t="n">
        <v>46225</v>
      </c>
      <c r="J4939" s="16" t="n">
        <v>46225</v>
      </c>
      <c r="K4939" s="5" t="inlineStr">
        <is>
          <t>Documento fornecedor LEOJAIME DOS SANTOS LIMA PLAN</t>
        </is>
      </c>
      <c r="L4939" s="5" t="inlineStr">
        <is>
          <t>22072026</t>
        </is>
      </c>
      <c r="M4939" s="5">
        <f>IF(YEAR(I4939)&lt;=2020,"Até 2020",TEXT(YEAR(I4939),"0"))</f>
        <v/>
      </c>
      <c r="N4939" s="5">
        <f>IFERROR(INDEX(DePara!$A:$A,MATCH(TEXT(B4939,"0"),DePara!$D:$D,0)),"(sem categoria)")</f>
        <v/>
      </c>
      <c r="O4939" s="5">
        <f>IF(J4939="","",Parametros!$B$6-J4939)</f>
        <v/>
      </c>
      <c r="P4939" s="5">
        <f>IF(O4939="","",IF(O4939&gt;0,1,0))</f>
        <v/>
      </c>
    </row>
    <row r="4940">
      <c r="A4940" s="5" t="n">
        <v>1117730000</v>
      </c>
      <c r="B4940" s="5" t="inlineStr">
        <is>
          <t>EM000927</t>
        </is>
      </c>
      <c r="C4940" s="5" t="inlineStr">
        <is>
          <t>JOSE AELIO NASCIMENTO DA SILVA</t>
        </is>
      </c>
      <c r="D4940" s="5" t="inlineStr">
        <is>
          <t>ZP</t>
        </is>
      </c>
      <c r="E4940" s="5" t="n">
        <v>2000011747</v>
      </c>
      <c r="F4940" s="5" t="n"/>
      <c r="G4940" s="5" t="inlineStr">
        <is>
          <t>BRL</t>
        </is>
      </c>
      <c r="H4940" s="9" t="n">
        <v>910</v>
      </c>
      <c r="I4940" s="16" t="n">
        <v>46225</v>
      </c>
      <c r="J4940" s="16" t="n">
        <v>46225</v>
      </c>
      <c r="K4940" s="5" t="inlineStr">
        <is>
          <t>Documento fornecedor JOSE AELIO NASCIMENTO DA SILV</t>
        </is>
      </c>
      <c r="L4940" s="5" t="inlineStr">
        <is>
          <t>22072026</t>
        </is>
      </c>
      <c r="M4940" s="5">
        <f>IF(YEAR(I4940)&lt;=2020,"Até 2020",TEXT(YEAR(I4940),"0"))</f>
        <v/>
      </c>
      <c r="N4940" s="5">
        <f>IFERROR(INDEX(DePara!$A:$A,MATCH(TEXT(B4940,"0"),DePara!$D:$D,0)),"(sem categoria)")</f>
        <v/>
      </c>
      <c r="O4940" s="5">
        <f>IF(J4940="","",Parametros!$B$6-J4940)</f>
        <v/>
      </c>
      <c r="P4940" s="5">
        <f>IF(O4940="","",IF(O4940&gt;0,1,0))</f>
        <v/>
      </c>
    </row>
    <row r="4941">
      <c r="A4941" s="5" t="n">
        <v>1117730000</v>
      </c>
      <c r="B4941" s="5" t="inlineStr">
        <is>
          <t>EM000967</t>
        </is>
      </c>
      <c r="C4941" s="5" t="inlineStr">
        <is>
          <t>THIAGO RODRIGUES DOS SANTOS COSTA</t>
        </is>
      </c>
      <c r="D4941" s="5" t="inlineStr">
        <is>
          <t>ZP</t>
        </is>
      </c>
      <c r="E4941" s="5" t="n">
        <v>2000011749</v>
      </c>
      <c r="F4941" s="5" t="n"/>
      <c r="G4941" s="5" t="inlineStr">
        <is>
          <t>BRL</t>
        </is>
      </c>
      <c r="H4941" s="9" t="n">
        <v>14277.84</v>
      </c>
      <c r="I4941" s="16" t="n">
        <v>46225</v>
      </c>
      <c r="J4941" s="16" t="n">
        <v>46225</v>
      </c>
      <c r="K4941" s="5" t="inlineStr">
        <is>
          <t>Documento fornecedor THIAGO RODRIGUES DOS SANTOS C</t>
        </is>
      </c>
      <c r="L4941" s="5" t="inlineStr">
        <is>
          <t>22072026</t>
        </is>
      </c>
      <c r="M4941" s="5">
        <f>IF(YEAR(I4941)&lt;=2020,"Até 2020",TEXT(YEAR(I4941),"0"))</f>
        <v/>
      </c>
      <c r="N4941" s="5">
        <f>IFERROR(INDEX(DePara!$A:$A,MATCH(TEXT(B4941,"0"),DePara!$D:$D,0)),"(sem categoria)")</f>
        <v/>
      </c>
      <c r="O4941" s="5">
        <f>IF(J4941="","",Parametros!$B$6-J4941)</f>
        <v/>
      </c>
      <c r="P4941" s="5">
        <f>IF(O4941="","",IF(O4941&gt;0,1,0))</f>
        <v/>
      </c>
    </row>
    <row r="4942">
      <c r="A4942" s="5" t="n">
        <v>1117730000</v>
      </c>
      <c r="B4942" s="5" t="inlineStr">
        <is>
          <t>EM000968</t>
        </is>
      </c>
      <c r="C4942" s="5" t="inlineStr">
        <is>
          <t>THIAGO NOGUEIRA FIGUEREDO</t>
        </is>
      </c>
      <c r="D4942" s="5" t="inlineStr">
        <is>
          <t>ZP</t>
        </is>
      </c>
      <c r="E4942" s="5" t="n">
        <v>2000011750</v>
      </c>
      <c r="F4942" s="5" t="n"/>
      <c r="G4942" s="5" t="inlineStr">
        <is>
          <t>BRL</t>
        </is>
      </c>
      <c r="H4942" s="9" t="n">
        <v>390</v>
      </c>
      <c r="I4942" s="16" t="n">
        <v>46225</v>
      </c>
      <c r="J4942" s="16" t="n">
        <v>46225</v>
      </c>
      <c r="K4942" s="5" t="inlineStr">
        <is>
          <t>Documento fornecedor THIAGO NOGUEIRA FIGUEREDO 514</t>
        </is>
      </c>
      <c r="L4942" s="5" t="inlineStr">
        <is>
          <t>22072026</t>
        </is>
      </c>
      <c r="M4942" s="5">
        <f>IF(YEAR(I4942)&lt;=2020,"Até 2020",TEXT(YEAR(I4942),"0"))</f>
        <v/>
      </c>
      <c r="N4942" s="5">
        <f>IFERROR(INDEX(DePara!$A:$A,MATCH(TEXT(B4942,"0"),DePara!$D:$D,0)),"(sem categoria)")</f>
        <v/>
      </c>
      <c r="O4942" s="5">
        <f>IF(J4942="","",Parametros!$B$6-J4942)</f>
        <v/>
      </c>
      <c r="P4942" s="5">
        <f>IF(O4942="","",IF(O4942&gt;0,1,0))</f>
        <v/>
      </c>
    </row>
    <row r="4943">
      <c r="A4943" s="5" t="n">
        <v>1117730000</v>
      </c>
      <c r="B4943" s="5" t="inlineStr">
        <is>
          <t>EM000976</t>
        </is>
      </c>
      <c r="C4943" s="5" t="inlineStr">
        <is>
          <t>MICHEL EDWIN ZAMBRANA GUEVARA</t>
        </is>
      </c>
      <c r="D4943" s="5" t="inlineStr">
        <is>
          <t>ZP</t>
        </is>
      </c>
      <c r="E4943" s="5" t="n">
        <v>2000011751</v>
      </c>
      <c r="F4943" s="5" t="n"/>
      <c r="G4943" s="5" t="inlineStr">
        <is>
          <t>BRL</t>
        </is>
      </c>
      <c r="H4943" s="9" t="n">
        <v>520</v>
      </c>
      <c r="I4943" s="16" t="n">
        <v>46225</v>
      </c>
      <c r="J4943" s="16" t="n">
        <v>46225</v>
      </c>
      <c r="K4943" s="5" t="inlineStr">
        <is>
          <t>Documento fornecedor MICHEL EDWIN ZAMBRANA GUEVARA</t>
        </is>
      </c>
      <c r="L4943" s="5" t="inlineStr">
        <is>
          <t>22072026</t>
        </is>
      </c>
      <c r="M4943" s="5">
        <f>IF(YEAR(I4943)&lt;=2020,"Até 2020",TEXT(YEAR(I4943),"0"))</f>
        <v/>
      </c>
      <c r="N4943" s="5">
        <f>IFERROR(INDEX(DePara!$A:$A,MATCH(TEXT(B4943,"0"),DePara!$D:$D,0)),"(sem categoria)")</f>
        <v/>
      </c>
      <c r="O4943" s="5">
        <f>IF(J4943="","",Parametros!$B$6-J4943)</f>
        <v/>
      </c>
      <c r="P4943" s="5">
        <f>IF(O4943="","",IF(O4943&gt;0,1,0))</f>
        <v/>
      </c>
    </row>
    <row r="4944">
      <c r="A4944" s="5" t="n">
        <v>1117730000</v>
      </c>
      <c r="B4944" s="5" t="inlineStr">
        <is>
          <t>EM003535</t>
        </is>
      </c>
      <c r="C4944" s="5" t="inlineStr">
        <is>
          <t>JOILTON MARQUES DA SILVA</t>
        </is>
      </c>
      <c r="D4944" s="5" t="inlineStr">
        <is>
          <t>ZP</t>
        </is>
      </c>
      <c r="E4944" s="5" t="n">
        <v>2000011752</v>
      </c>
      <c r="F4944" s="5" t="n"/>
      <c r="G4944" s="5" t="inlineStr">
        <is>
          <t>BRL</t>
        </is>
      </c>
      <c r="H4944" s="9" t="n">
        <v>2210</v>
      </c>
      <c r="I4944" s="16" t="n">
        <v>46225</v>
      </c>
      <c r="J4944" s="16" t="n">
        <v>46225</v>
      </c>
      <c r="K4944" s="5" t="inlineStr">
        <is>
          <t>Documento fornecedor JOILTON MARQUES DA SILVA PLAN</t>
        </is>
      </c>
      <c r="L4944" s="5" t="inlineStr">
        <is>
          <t>22072026</t>
        </is>
      </c>
      <c r="M4944" s="5">
        <f>IF(YEAR(I4944)&lt;=2020,"Até 2020",TEXT(YEAR(I4944),"0"))</f>
        <v/>
      </c>
      <c r="N4944" s="5">
        <f>IFERROR(INDEX(DePara!$A:$A,MATCH(TEXT(B4944,"0"),DePara!$D:$D,0)),"(sem categoria)")</f>
        <v/>
      </c>
      <c r="O4944" s="5">
        <f>IF(J4944="","",Parametros!$B$6-J4944)</f>
        <v/>
      </c>
      <c r="P4944" s="5">
        <f>IF(O4944="","",IF(O4944&gt;0,1,0))</f>
        <v/>
      </c>
    </row>
    <row r="4945">
      <c r="A4945" s="5" t="n">
        <v>1117730000</v>
      </c>
      <c r="B4945" s="5" t="inlineStr">
        <is>
          <t>EM003688</t>
        </is>
      </c>
      <c r="C4945" s="5" t="inlineStr">
        <is>
          <t>Felipe Affonso de Carvalho Quita</t>
        </is>
      </c>
      <c r="D4945" s="5" t="inlineStr">
        <is>
          <t>ZP</t>
        </is>
      </c>
      <c r="E4945" s="5" t="n">
        <v>2000011754</v>
      </c>
      <c r="F4945" s="5" t="n"/>
      <c r="G4945" s="5" t="inlineStr">
        <is>
          <t>BRL</t>
        </is>
      </c>
      <c r="H4945" s="9" t="n">
        <v>390</v>
      </c>
      <c r="I4945" s="16" t="n">
        <v>46225</v>
      </c>
      <c r="J4945" s="16" t="n">
        <v>46225</v>
      </c>
      <c r="K4945" s="5" t="inlineStr">
        <is>
          <t>Documento fornecedor Felipe Affonso de Carvalho Qu</t>
        </is>
      </c>
      <c r="L4945" s="5" t="inlineStr">
        <is>
          <t>22072026</t>
        </is>
      </c>
      <c r="M4945" s="5">
        <f>IF(YEAR(I4945)&lt;=2020,"Até 2020",TEXT(YEAR(I4945),"0"))</f>
        <v/>
      </c>
      <c r="N4945" s="5">
        <f>IFERROR(INDEX(DePara!$A:$A,MATCH(TEXT(B4945,"0"),DePara!$D:$D,0)),"(sem categoria)")</f>
        <v/>
      </c>
      <c r="O4945" s="5">
        <f>IF(J4945="","",Parametros!$B$6-J4945)</f>
        <v/>
      </c>
      <c r="P4945" s="5">
        <f>IF(O4945="","",IF(O4945&gt;0,1,0))</f>
        <v/>
      </c>
    </row>
    <row r="4946">
      <c r="A4946" s="5" t="n">
        <v>1117730000</v>
      </c>
      <c r="B4946" s="5" t="inlineStr">
        <is>
          <t>EM003688</t>
        </is>
      </c>
      <c r="C4946" s="5" t="inlineStr">
        <is>
          <t>Felipe Affonso de Carvalho Quita</t>
        </is>
      </c>
      <c r="D4946" s="5" t="inlineStr">
        <is>
          <t>ZP</t>
        </is>
      </c>
      <c r="E4946" s="5" t="n">
        <v>2000011755</v>
      </c>
      <c r="F4946" s="5" t="n"/>
      <c r="G4946" s="5" t="inlineStr">
        <is>
          <t>BRL</t>
        </is>
      </c>
      <c r="H4946" s="9" t="n">
        <v>650</v>
      </c>
      <c r="I4946" s="16" t="n">
        <v>46225</v>
      </c>
      <c r="J4946" s="16" t="n">
        <v>46225</v>
      </c>
      <c r="K4946" s="5" t="inlineStr">
        <is>
          <t>Documento fornecedor Felipe Affonso de Carvalho Qu</t>
        </is>
      </c>
      <c r="L4946" s="5" t="inlineStr">
        <is>
          <t>22072026</t>
        </is>
      </c>
      <c r="M4946" s="5">
        <f>IF(YEAR(I4946)&lt;=2020,"Até 2020",TEXT(YEAR(I4946),"0"))</f>
        <v/>
      </c>
      <c r="N4946" s="5">
        <f>IFERROR(INDEX(DePara!$A:$A,MATCH(TEXT(B4946,"0"),DePara!$D:$D,0)),"(sem categoria)")</f>
        <v/>
      </c>
      <c r="O4946" s="5">
        <f>IF(J4946="","",Parametros!$B$6-J4946)</f>
        <v/>
      </c>
      <c r="P4946" s="5">
        <f>IF(O4946="","",IF(O4946&gt;0,1,0))</f>
        <v/>
      </c>
    </row>
    <row r="4947">
      <c r="A4947" s="5" t="n">
        <v>1117730000</v>
      </c>
      <c r="B4947" s="5" t="inlineStr">
        <is>
          <t>EM003693</t>
        </is>
      </c>
      <c r="C4947" s="5" t="inlineStr">
        <is>
          <t>Fabio Fernando Pereira de Andrade</t>
        </is>
      </c>
      <c r="D4947" s="5" t="inlineStr">
        <is>
          <t>ZP</t>
        </is>
      </c>
      <c r="E4947" s="5" t="n">
        <v>2000011756</v>
      </c>
      <c r="F4947" s="5" t="n"/>
      <c r="G4947" s="5" t="inlineStr">
        <is>
          <t>BRL</t>
        </is>
      </c>
      <c r="H4947" s="9" t="n">
        <v>1950</v>
      </c>
      <c r="I4947" s="16" t="n">
        <v>46225</v>
      </c>
      <c r="J4947" s="16" t="n">
        <v>46225</v>
      </c>
      <c r="K4947" s="5" t="inlineStr">
        <is>
          <t>Documento fornecedor Fabio Fernando Pereira de And</t>
        </is>
      </c>
      <c r="L4947" s="5" t="inlineStr">
        <is>
          <t>22072026</t>
        </is>
      </c>
      <c r="M4947" s="5">
        <f>IF(YEAR(I4947)&lt;=2020,"Até 2020",TEXT(YEAR(I4947),"0"))</f>
        <v/>
      </c>
      <c r="N4947" s="5">
        <f>IFERROR(INDEX(DePara!$A:$A,MATCH(TEXT(B4947,"0"),DePara!$D:$D,0)),"(sem categoria)")</f>
        <v/>
      </c>
      <c r="O4947" s="5">
        <f>IF(J4947="","",Parametros!$B$6-J4947)</f>
        <v/>
      </c>
      <c r="P4947" s="5">
        <f>IF(O4947="","",IF(O4947&gt;0,1,0))</f>
        <v/>
      </c>
    </row>
    <row r="4948">
      <c r="A4948" s="5" t="n">
        <v>1117730000</v>
      </c>
      <c r="B4948" s="5" t="inlineStr">
        <is>
          <t>EM003694</t>
        </is>
      </c>
      <c r="C4948" s="5" t="inlineStr">
        <is>
          <t>José Ribamar Morais Frazão</t>
        </is>
      </c>
      <c r="D4948" s="5" t="inlineStr">
        <is>
          <t>ZP</t>
        </is>
      </c>
      <c r="E4948" s="5" t="n">
        <v>2000011757</v>
      </c>
      <c r="F4948" s="5" t="n"/>
      <c r="G4948" s="5" t="inlineStr">
        <is>
          <t>BRL</t>
        </is>
      </c>
      <c r="H4948" s="9" t="n">
        <v>1950</v>
      </c>
      <c r="I4948" s="16" t="n">
        <v>46225</v>
      </c>
      <c r="J4948" s="16" t="n">
        <v>46225</v>
      </c>
      <c r="K4948" s="5" t="inlineStr">
        <is>
          <t>Documento fornecedor José Ribamar Morais Frazão PL</t>
        </is>
      </c>
      <c r="L4948" s="5" t="inlineStr">
        <is>
          <t>22072026</t>
        </is>
      </c>
      <c r="M4948" s="5">
        <f>IF(YEAR(I4948)&lt;=2020,"Até 2020",TEXT(YEAR(I4948),"0"))</f>
        <v/>
      </c>
      <c r="N4948" s="5">
        <f>IFERROR(INDEX(DePara!$A:$A,MATCH(TEXT(B4948,"0"),DePara!$D:$D,0)),"(sem categoria)")</f>
        <v/>
      </c>
      <c r="O4948" s="5">
        <f>IF(J4948="","",Parametros!$B$6-J4948)</f>
        <v/>
      </c>
      <c r="P4948" s="5">
        <f>IF(O4948="","",IF(O4948&gt;0,1,0))</f>
        <v/>
      </c>
    </row>
    <row r="4949">
      <c r="A4949" s="5" t="n">
        <v>1117730000</v>
      </c>
      <c r="B4949" s="5" t="inlineStr">
        <is>
          <t>EM000468</t>
        </is>
      </c>
      <c r="C4949" s="5" t="inlineStr">
        <is>
          <t>LUCAS EMANUEL ALVES DE SOUSA</t>
        </is>
      </c>
      <c r="D4949" s="5" t="inlineStr">
        <is>
          <t>ZP</t>
        </is>
      </c>
      <c r="E4949" s="5" t="n">
        <v>2000011951</v>
      </c>
      <c r="F4949" s="5" t="n"/>
      <c r="G4949" s="5" t="inlineStr">
        <is>
          <t>BRL</t>
        </is>
      </c>
      <c r="H4949" s="9" t="n">
        <v>3202.2</v>
      </c>
      <c r="I4949" s="16" t="n">
        <v>46232</v>
      </c>
      <c r="J4949" s="16" t="n">
        <v>46232</v>
      </c>
      <c r="K4949" s="5" t="inlineStr">
        <is>
          <t>Vendor DP Request LUCAS EMANUEL ALVES DE SOUSA 513</t>
        </is>
      </c>
      <c r="L4949" s="5" t="inlineStr">
        <is>
          <t>29072026</t>
        </is>
      </c>
      <c r="M4949" s="5">
        <f>IF(YEAR(I4949)&lt;=2020,"Até 2020",TEXT(YEAR(I4949),"0"))</f>
        <v/>
      </c>
      <c r="N4949" s="5">
        <f>IFERROR(INDEX(DePara!$A:$A,MATCH(TEXT(B4949,"0"),DePara!$D:$D,0)),"(sem categoria)")</f>
        <v/>
      </c>
      <c r="O4949" s="5">
        <f>IF(J4949="","",Parametros!$B$6-J4949)</f>
        <v/>
      </c>
      <c r="P4949" s="5">
        <f>IF(O4949="","",IF(O4949&gt;0,1,0))</f>
        <v/>
      </c>
    </row>
    <row r="4950">
      <c r="A4950" s="5" t="n">
        <v>1117730000</v>
      </c>
      <c r="B4950" s="5" t="inlineStr">
        <is>
          <t>EM000058</t>
        </is>
      </c>
      <c r="C4950" s="5" t="inlineStr">
        <is>
          <t>VITOR DE CASTRO SANTOS</t>
        </is>
      </c>
      <c r="D4950" s="5" t="inlineStr">
        <is>
          <t>ZP</t>
        </is>
      </c>
      <c r="E4950" s="5" t="n">
        <v>2000011987</v>
      </c>
      <c r="F4950" s="5" t="n"/>
      <c r="G4950" s="5" t="inlineStr">
        <is>
          <t>BRL</t>
        </is>
      </c>
      <c r="H4950" s="9" t="n">
        <v>520</v>
      </c>
      <c r="I4950" s="16" t="n">
        <v>46232</v>
      </c>
      <c r="J4950" s="16" t="n">
        <v>46232</v>
      </c>
      <c r="K4950" s="5" t="inlineStr">
        <is>
          <t>Vendor DP Request VITOR DE CASTRO SANTOS 53558</t>
        </is>
      </c>
      <c r="L4950" s="5" t="inlineStr">
        <is>
          <t>29072026</t>
        </is>
      </c>
      <c r="M4950" s="5">
        <f>IF(YEAR(I4950)&lt;=2020,"Até 2020",TEXT(YEAR(I4950),"0"))</f>
        <v/>
      </c>
      <c r="N4950" s="5">
        <f>IFERROR(INDEX(DePara!$A:$A,MATCH(TEXT(B4950,"0"),DePara!$D:$D,0)),"(sem categoria)")</f>
        <v/>
      </c>
      <c r="O4950" s="5">
        <f>IF(J4950="","",Parametros!$B$6-J4950)</f>
        <v/>
      </c>
      <c r="P4950" s="5">
        <f>IF(O4950="","",IF(O4950&gt;0,1,0))</f>
        <v/>
      </c>
    </row>
    <row r="4951">
      <c r="A4951" s="5" t="n">
        <v>1117730000</v>
      </c>
      <c r="B4951" s="5" t="inlineStr">
        <is>
          <t>EM000075</t>
        </is>
      </c>
      <c r="C4951" s="5" t="inlineStr">
        <is>
          <t>RENATO CAIO FERNANDES SILVA</t>
        </is>
      </c>
      <c r="D4951" s="5" t="inlineStr">
        <is>
          <t>ZP</t>
        </is>
      </c>
      <c r="E4951" s="5" t="n">
        <v>2000011988</v>
      </c>
      <c r="F4951" s="5" t="n"/>
      <c r="G4951" s="5" t="inlineStr">
        <is>
          <t>BRL</t>
        </is>
      </c>
      <c r="H4951" s="9" t="n">
        <v>650</v>
      </c>
      <c r="I4951" s="16" t="n">
        <v>46232</v>
      </c>
      <c r="J4951" s="16" t="n">
        <v>46232</v>
      </c>
      <c r="K4951" s="5" t="inlineStr">
        <is>
          <t>Vendor DP Request RENATO CAIO FERNANDES SILVA 5349</t>
        </is>
      </c>
      <c r="L4951" s="5" t="inlineStr">
        <is>
          <t>29072026</t>
        </is>
      </c>
      <c r="M4951" s="5">
        <f>IF(YEAR(I4951)&lt;=2020,"Até 2020",TEXT(YEAR(I4951),"0"))</f>
        <v/>
      </c>
      <c r="N4951" s="5">
        <f>IFERROR(INDEX(DePara!$A:$A,MATCH(TEXT(B4951,"0"),DePara!$D:$D,0)),"(sem categoria)")</f>
        <v/>
      </c>
      <c r="O4951" s="5">
        <f>IF(J4951="","",Parametros!$B$6-J4951)</f>
        <v/>
      </c>
      <c r="P4951" s="5">
        <f>IF(O4951="","",IF(O4951&gt;0,1,0))</f>
        <v/>
      </c>
    </row>
    <row r="4952">
      <c r="A4952" s="5" t="n">
        <v>1117730000</v>
      </c>
      <c r="B4952" s="5" t="inlineStr">
        <is>
          <t>EM000129</t>
        </is>
      </c>
      <c r="C4952" s="5" t="inlineStr">
        <is>
          <t>JOCIVAN DE SOUZA SILVA</t>
        </is>
      </c>
      <c r="D4952" s="5" t="inlineStr">
        <is>
          <t>ZP</t>
        </is>
      </c>
      <c r="E4952" s="5" t="n">
        <v>2000011990</v>
      </c>
      <c r="F4952" s="5" t="n"/>
      <c r="G4952" s="5" t="inlineStr">
        <is>
          <t>BRL</t>
        </is>
      </c>
      <c r="H4952" s="9" t="n">
        <v>650</v>
      </c>
      <c r="I4952" s="16" t="n">
        <v>46232</v>
      </c>
      <c r="J4952" s="16" t="n">
        <v>46232</v>
      </c>
      <c r="K4952" s="5" t="inlineStr">
        <is>
          <t>Vendor DP Request JOCIVAN DE SOUZA SILVA 48885</t>
        </is>
      </c>
      <c r="L4952" s="5" t="inlineStr">
        <is>
          <t>29072026</t>
        </is>
      </c>
      <c r="M4952" s="5">
        <f>IF(YEAR(I4952)&lt;=2020,"Até 2020",TEXT(YEAR(I4952),"0"))</f>
        <v/>
      </c>
      <c r="N4952" s="5">
        <f>IFERROR(INDEX(DePara!$A:$A,MATCH(TEXT(B4952,"0"),DePara!$D:$D,0)),"(sem categoria)")</f>
        <v/>
      </c>
      <c r="O4952" s="5">
        <f>IF(J4952="","",Parametros!$B$6-J4952)</f>
        <v/>
      </c>
      <c r="P4952" s="5">
        <f>IF(O4952="","",IF(O4952&gt;0,1,0))</f>
        <v/>
      </c>
    </row>
    <row r="4953">
      <c r="A4953" s="5" t="n">
        <v>1117730000</v>
      </c>
      <c r="B4953" s="5" t="inlineStr">
        <is>
          <t>EM000373</t>
        </is>
      </c>
      <c r="C4953" s="5" t="inlineStr">
        <is>
          <t>JACKSON VICENTE SOUZA FERREIRA</t>
        </is>
      </c>
      <c r="D4953" s="5" t="inlineStr">
        <is>
          <t>ZP</t>
        </is>
      </c>
      <c r="E4953" s="5" t="n">
        <v>2000011998</v>
      </c>
      <c r="F4953" s="5" t="n"/>
      <c r="G4953" s="5" t="inlineStr">
        <is>
          <t>BRL</t>
        </is>
      </c>
      <c r="H4953" s="9" t="n">
        <v>910</v>
      </c>
      <c r="I4953" s="16" t="n">
        <v>46232</v>
      </c>
      <c r="J4953" s="16" t="n">
        <v>46232</v>
      </c>
      <c r="K4953" s="5" t="inlineStr">
        <is>
          <t>Vendor DP Request JACKSON VICENTE SOUZA FERREIRA 5</t>
        </is>
      </c>
      <c r="L4953" s="5" t="inlineStr">
        <is>
          <t>29072026</t>
        </is>
      </c>
      <c r="M4953" s="5">
        <f>IF(YEAR(I4953)&lt;=2020,"Até 2020",TEXT(YEAR(I4953),"0"))</f>
        <v/>
      </c>
      <c r="N4953" s="5">
        <f>IFERROR(INDEX(DePara!$A:$A,MATCH(TEXT(B4953,"0"),DePara!$D:$D,0)),"(sem categoria)")</f>
        <v/>
      </c>
      <c r="O4953" s="5">
        <f>IF(J4953="","",Parametros!$B$6-J4953)</f>
        <v/>
      </c>
      <c r="P4953" s="5">
        <f>IF(O4953="","",IF(O4953&gt;0,1,0))</f>
        <v/>
      </c>
    </row>
    <row r="4954">
      <c r="A4954" s="5" t="n">
        <v>1117730000</v>
      </c>
      <c r="B4954" s="5" t="inlineStr">
        <is>
          <t>EM000451</t>
        </is>
      </c>
      <c r="C4954" s="5" t="inlineStr">
        <is>
          <t>ALEX DA SILVA CONCEIÇÃO</t>
        </is>
      </c>
      <c r="D4954" s="5" t="inlineStr">
        <is>
          <t>ZP</t>
        </is>
      </c>
      <c r="E4954" s="5" t="n">
        <v>2000012001</v>
      </c>
      <c r="F4954" s="5" t="n"/>
      <c r="G4954" s="5" t="inlineStr">
        <is>
          <t>BRL</t>
        </is>
      </c>
      <c r="H4954" s="9" t="n">
        <v>2990</v>
      </c>
      <c r="I4954" s="16" t="n">
        <v>46232</v>
      </c>
      <c r="J4954" s="16" t="n">
        <v>46232</v>
      </c>
      <c r="K4954" s="5" t="inlineStr">
        <is>
          <t>Vendor DP Request ALEX DA SILVA CONCEIÇÃO 53561</t>
        </is>
      </c>
      <c r="L4954" s="5" t="inlineStr">
        <is>
          <t>29072026</t>
        </is>
      </c>
      <c r="M4954" s="5">
        <f>IF(YEAR(I4954)&lt;=2020,"Até 2020",TEXT(YEAR(I4954),"0"))</f>
        <v/>
      </c>
      <c r="N4954" s="5">
        <f>IFERROR(INDEX(DePara!$A:$A,MATCH(TEXT(B4954,"0"),DePara!$D:$D,0)),"(sem categoria)")</f>
        <v/>
      </c>
      <c r="O4954" s="5">
        <f>IF(J4954="","",Parametros!$B$6-J4954)</f>
        <v/>
      </c>
      <c r="P4954" s="5">
        <f>IF(O4954="","",IF(O4954&gt;0,1,0))</f>
        <v/>
      </c>
    </row>
    <row r="4955">
      <c r="A4955" s="5" t="n">
        <v>1117730000</v>
      </c>
      <c r="B4955" s="5" t="inlineStr">
        <is>
          <t>EM000458</t>
        </is>
      </c>
      <c r="C4955" s="5" t="inlineStr">
        <is>
          <t>CARLOS CESAR FONSECA MACHADO</t>
        </is>
      </c>
      <c r="D4955" s="5" t="inlineStr">
        <is>
          <t>ZP</t>
        </is>
      </c>
      <c r="E4955" s="5" t="n">
        <v>2000012002</v>
      </c>
      <c r="F4955" s="5" t="n"/>
      <c r="G4955" s="5" t="inlineStr">
        <is>
          <t>BRL</t>
        </is>
      </c>
      <c r="H4955" s="9" t="n">
        <v>260</v>
      </c>
      <c r="I4955" s="16" t="n">
        <v>46232</v>
      </c>
      <c r="J4955" s="16" t="n">
        <v>46232</v>
      </c>
      <c r="K4955" s="5" t="inlineStr">
        <is>
          <t>Vendor DP Request CARLOS CESAR FONSECA MACHADO 535</t>
        </is>
      </c>
      <c r="L4955" s="5" t="inlineStr">
        <is>
          <t>29072026</t>
        </is>
      </c>
      <c r="M4955" s="5">
        <f>IF(YEAR(I4955)&lt;=2020,"Até 2020",TEXT(YEAR(I4955),"0"))</f>
        <v/>
      </c>
      <c r="N4955" s="5">
        <f>IFERROR(INDEX(DePara!$A:$A,MATCH(TEXT(B4955,"0"),DePara!$D:$D,0)),"(sem categoria)")</f>
        <v/>
      </c>
      <c r="O4955" s="5">
        <f>IF(J4955="","",Parametros!$B$6-J4955)</f>
        <v/>
      </c>
      <c r="P4955" s="5">
        <f>IF(O4955="","",IF(O4955&gt;0,1,0))</f>
        <v/>
      </c>
    </row>
    <row r="4956">
      <c r="A4956" s="5" t="n">
        <v>1117730000</v>
      </c>
      <c r="B4956" s="5" t="inlineStr">
        <is>
          <t>EM000901</t>
        </is>
      </c>
      <c r="C4956" s="5" t="inlineStr">
        <is>
          <t>LEOJAIME DOS SANTOS LIMA</t>
        </is>
      </c>
      <c r="D4956" s="5" t="inlineStr">
        <is>
          <t>ZP</t>
        </is>
      </c>
      <c r="E4956" s="5" t="n">
        <v>2000012003</v>
      </c>
      <c r="F4956" s="5" t="n"/>
      <c r="G4956" s="5" t="inlineStr">
        <is>
          <t>BRL</t>
        </is>
      </c>
      <c r="H4956" s="9" t="n">
        <v>1040</v>
      </c>
      <c r="I4956" s="16" t="n">
        <v>45798</v>
      </c>
      <c r="J4956" s="16" t="n">
        <v>45798</v>
      </c>
      <c r="K4956" s="5" t="inlineStr">
        <is>
          <t>Documento fornecedor LEOJAIME DOS SANTOS LIMA PLAN</t>
        </is>
      </c>
      <c r="L4956" s="5" t="inlineStr">
        <is>
          <t>21052025</t>
        </is>
      </c>
      <c r="M4956" s="5">
        <f>IF(YEAR(I4956)&lt;=2020,"Até 2020",TEXT(YEAR(I4956),"0"))</f>
        <v/>
      </c>
      <c r="N4956" s="5">
        <f>IFERROR(INDEX(DePara!$A:$A,MATCH(TEXT(B4956,"0"),DePara!$D:$D,0)),"(sem categoria)")</f>
        <v/>
      </c>
      <c r="O4956" s="5">
        <f>IF(J4956="","",Parametros!$B$6-J4956)</f>
        <v/>
      </c>
      <c r="P4956" s="5">
        <f>IF(O4956="","",IF(O4956&gt;0,1,0))</f>
        <v/>
      </c>
    </row>
    <row r="4957">
      <c r="A4957" s="5" t="n">
        <v>1117730000</v>
      </c>
      <c r="B4957" s="5" t="inlineStr">
        <is>
          <t>EM000532</t>
        </is>
      </c>
      <c r="C4957" s="5" t="inlineStr">
        <is>
          <t>VALDIRENE MESSONES PINTO DA SILVA</t>
        </is>
      </c>
      <c r="D4957" s="5" t="inlineStr">
        <is>
          <t>ZP</t>
        </is>
      </c>
      <c r="E4957" s="5" t="n">
        <v>2000012005</v>
      </c>
      <c r="F4957" s="5" t="n"/>
      <c r="G4957" s="5" t="inlineStr">
        <is>
          <t>BRL</t>
        </is>
      </c>
      <c r="H4957" s="9" t="n">
        <v>650</v>
      </c>
      <c r="I4957" s="16" t="n">
        <v>46232</v>
      </c>
      <c r="J4957" s="16" t="n">
        <v>46232</v>
      </c>
      <c r="K4957" s="5" t="inlineStr">
        <is>
          <t>Vendor DP Request VALDIRENE MESSONES PINTO DA SILV</t>
        </is>
      </c>
      <c r="L4957" s="5" t="inlineStr">
        <is>
          <t>29072026</t>
        </is>
      </c>
      <c r="M4957" s="5">
        <f>IF(YEAR(I4957)&lt;=2020,"Até 2020",TEXT(YEAR(I4957),"0"))</f>
        <v/>
      </c>
      <c r="N4957" s="5">
        <f>IFERROR(INDEX(DePara!$A:$A,MATCH(TEXT(B4957,"0"),DePara!$D:$D,0)),"(sem categoria)")</f>
        <v/>
      </c>
      <c r="O4957" s="5">
        <f>IF(J4957="","",Parametros!$B$6-J4957)</f>
        <v/>
      </c>
      <c r="P4957" s="5">
        <f>IF(O4957="","",IF(O4957&gt;0,1,0))</f>
        <v/>
      </c>
    </row>
    <row r="4958">
      <c r="A4958" s="5" t="n">
        <v>1117730000</v>
      </c>
      <c r="B4958" s="5" t="inlineStr">
        <is>
          <t>EM000608</t>
        </is>
      </c>
      <c r="C4958" s="5" t="inlineStr">
        <is>
          <t>ERLAN MARQUES DO NASCIMENTO SOUZA</t>
        </is>
      </c>
      <c r="D4958" s="5" t="inlineStr">
        <is>
          <t>ZP</t>
        </is>
      </c>
      <c r="E4958" s="5" t="n">
        <v>2000012006</v>
      </c>
      <c r="F4958" s="5" t="n"/>
      <c r="G4958" s="5" t="inlineStr">
        <is>
          <t>BRL</t>
        </is>
      </c>
      <c r="H4958" s="9" t="n">
        <v>650</v>
      </c>
      <c r="I4958" s="16" t="n">
        <v>46232</v>
      </c>
      <c r="J4958" s="16" t="n">
        <v>46232</v>
      </c>
      <c r="K4958" s="5" t="inlineStr">
        <is>
          <t>Vendor DP Request ERLAN MARQUES DO NASCIMENTO SOUZ</t>
        </is>
      </c>
      <c r="L4958" s="5" t="inlineStr">
        <is>
          <t>29072026</t>
        </is>
      </c>
      <c r="M4958" s="5">
        <f>IF(YEAR(I4958)&lt;=2020,"Até 2020",TEXT(YEAR(I4958),"0"))</f>
        <v/>
      </c>
      <c r="N4958" s="5">
        <f>IFERROR(INDEX(DePara!$A:$A,MATCH(TEXT(B4958,"0"),DePara!$D:$D,0)),"(sem categoria)")</f>
        <v/>
      </c>
      <c r="O4958" s="5">
        <f>IF(J4958="","",Parametros!$B$6-J4958)</f>
        <v/>
      </c>
      <c r="P4958" s="5">
        <f>IF(O4958="","",IF(O4958&gt;0,1,0))</f>
        <v/>
      </c>
    </row>
    <row r="4959">
      <c r="A4959" s="5" t="n">
        <v>1117730000</v>
      </c>
      <c r="B4959" s="5" t="inlineStr">
        <is>
          <t>EM000670</t>
        </is>
      </c>
      <c r="C4959" s="5" t="inlineStr">
        <is>
          <t>JULIANO DE PAULA NEVES NASCIMENTO</t>
        </is>
      </c>
      <c r="D4959" s="5" t="inlineStr">
        <is>
          <t>ZP</t>
        </is>
      </c>
      <c r="E4959" s="5" t="n">
        <v>2000012007</v>
      </c>
      <c r="F4959" s="5" t="n"/>
      <c r="G4959" s="5" t="inlineStr">
        <is>
          <t>BRL</t>
        </is>
      </c>
      <c r="H4959" s="9" t="n">
        <v>2124</v>
      </c>
      <c r="I4959" s="16" t="n">
        <v>46232</v>
      </c>
      <c r="J4959" s="16" t="n">
        <v>46232</v>
      </c>
      <c r="K4959" s="5" t="inlineStr">
        <is>
          <t>Vendor DP Request JULIANO DE PAULA NEVES NASCIMENT</t>
        </is>
      </c>
      <c r="L4959" s="5" t="inlineStr">
        <is>
          <t>29072026</t>
        </is>
      </c>
      <c r="M4959" s="5">
        <f>IF(YEAR(I4959)&lt;=2020,"Até 2020",TEXT(YEAR(I4959),"0"))</f>
        <v/>
      </c>
      <c r="N4959" s="5">
        <f>IFERROR(INDEX(DePara!$A:$A,MATCH(TEXT(B4959,"0"),DePara!$D:$D,0)),"(sem categoria)")</f>
        <v/>
      </c>
      <c r="O4959" s="5">
        <f>IF(J4959="","",Parametros!$B$6-J4959)</f>
        <v/>
      </c>
      <c r="P4959" s="5">
        <f>IF(O4959="","",IF(O4959&gt;0,1,0))</f>
        <v/>
      </c>
    </row>
    <row r="4960">
      <c r="A4960" s="5" t="n">
        <v>1117730000</v>
      </c>
      <c r="B4960" s="5" t="inlineStr">
        <is>
          <t>EM000793</t>
        </is>
      </c>
      <c r="C4960" s="5" t="inlineStr">
        <is>
          <t>Marcio Hoffmann Fernandes</t>
        </is>
      </c>
      <c r="D4960" s="5" t="inlineStr">
        <is>
          <t>ZP</t>
        </is>
      </c>
      <c r="E4960" s="5" t="n">
        <v>2000012011</v>
      </c>
      <c r="F4960" s="5" t="n"/>
      <c r="G4960" s="5" t="inlineStr">
        <is>
          <t>BRL</t>
        </is>
      </c>
      <c r="H4960" s="9" t="n">
        <v>7191.49</v>
      </c>
      <c r="I4960" s="16" t="n">
        <v>46232</v>
      </c>
      <c r="J4960" s="16" t="n">
        <v>46232</v>
      </c>
      <c r="K4960" s="5" t="inlineStr">
        <is>
          <t>Vendor DP Request Marcio Hoffmann Fernandes 53463</t>
        </is>
      </c>
      <c r="L4960" s="5" t="inlineStr">
        <is>
          <t>29072026</t>
        </is>
      </c>
      <c r="M4960" s="5">
        <f>IF(YEAR(I4960)&lt;=2020,"Até 2020",TEXT(YEAR(I4960),"0"))</f>
        <v/>
      </c>
      <c r="N4960" s="5">
        <f>IFERROR(INDEX(DePara!$A:$A,MATCH(TEXT(B4960,"0"),DePara!$D:$D,0)),"(sem categoria)")</f>
        <v/>
      </c>
      <c r="O4960" s="5">
        <f>IF(J4960="","",Parametros!$B$6-J4960)</f>
        <v/>
      </c>
      <c r="P4960" s="5">
        <f>IF(O4960="","",IF(O4960&gt;0,1,0))</f>
        <v/>
      </c>
    </row>
    <row r="4961">
      <c r="A4961" s="5" t="n">
        <v>1117730000</v>
      </c>
      <c r="B4961" s="5" t="inlineStr">
        <is>
          <t>EM000866</t>
        </is>
      </c>
      <c r="C4961" s="5" t="inlineStr">
        <is>
          <t>FRANCISCO MARCOS DE FREITAS</t>
        </is>
      </c>
      <c r="D4961" s="5" t="inlineStr">
        <is>
          <t>ZP</t>
        </is>
      </c>
      <c r="E4961" s="5" t="n">
        <v>2000012013</v>
      </c>
      <c r="F4961" s="5" t="n"/>
      <c r="G4961" s="5" t="inlineStr">
        <is>
          <t>BRL</t>
        </is>
      </c>
      <c r="H4961" s="9" t="n">
        <v>1950</v>
      </c>
      <c r="I4961" s="16" t="n">
        <v>46232</v>
      </c>
      <c r="J4961" s="16" t="n">
        <v>46232</v>
      </c>
      <c r="K4961" s="5" t="inlineStr">
        <is>
          <t>Vendor DP Request FRANCISCO MARCOS DE FREITAS 4888</t>
        </is>
      </c>
      <c r="L4961" s="5" t="inlineStr">
        <is>
          <t>29072026</t>
        </is>
      </c>
      <c r="M4961" s="5">
        <f>IF(YEAR(I4961)&lt;=2020,"Até 2020",TEXT(YEAR(I4961),"0"))</f>
        <v/>
      </c>
      <c r="N4961" s="5">
        <f>IFERROR(INDEX(DePara!$A:$A,MATCH(TEXT(B4961,"0"),DePara!$D:$D,0)),"(sem categoria)")</f>
        <v/>
      </c>
      <c r="O4961" s="5">
        <f>IF(J4961="","",Parametros!$B$6-J4961)</f>
        <v/>
      </c>
      <c r="P4961" s="5">
        <f>IF(O4961="","",IF(O4961&gt;0,1,0))</f>
        <v/>
      </c>
    </row>
    <row r="4962">
      <c r="A4962" s="5" t="n">
        <v>1117730000</v>
      </c>
      <c r="B4962" s="5" t="inlineStr">
        <is>
          <t>EM000903</t>
        </is>
      </c>
      <c r="C4962" s="5" t="inlineStr">
        <is>
          <t>ELANIO MAXIMINIANO OLIVEIRA DA SILVA</t>
        </is>
      </c>
      <c r="D4962" s="5" t="inlineStr">
        <is>
          <t>ZP</t>
        </is>
      </c>
      <c r="E4962" s="5" t="n">
        <v>2000012016</v>
      </c>
      <c r="F4962" s="5" t="n"/>
      <c r="G4962" s="5" t="inlineStr">
        <is>
          <t>BRL</t>
        </is>
      </c>
      <c r="H4962" s="9" t="n">
        <v>910</v>
      </c>
      <c r="I4962" s="16" t="n">
        <v>46232</v>
      </c>
      <c r="J4962" s="16" t="n">
        <v>46232</v>
      </c>
      <c r="K4962" s="5" t="inlineStr">
        <is>
          <t>Vendor DP Request ELANIO MAXIMINIANO OLIVEIRA DA S</t>
        </is>
      </c>
      <c r="L4962" s="5" t="inlineStr">
        <is>
          <t>29072026</t>
        </is>
      </c>
      <c r="M4962" s="5">
        <f>IF(YEAR(I4962)&lt;=2020,"Até 2020",TEXT(YEAR(I4962),"0"))</f>
        <v/>
      </c>
      <c r="N4962" s="5">
        <f>IFERROR(INDEX(DePara!$A:$A,MATCH(TEXT(B4962,"0"),DePara!$D:$D,0)),"(sem categoria)")</f>
        <v/>
      </c>
      <c r="O4962" s="5">
        <f>IF(J4962="","",Parametros!$B$6-J4962)</f>
        <v/>
      </c>
      <c r="P4962" s="5">
        <f>IF(O4962="","",IF(O4962&gt;0,1,0))</f>
        <v/>
      </c>
    </row>
    <row r="4963">
      <c r="A4963" s="5" t="n">
        <v>1117730000</v>
      </c>
      <c r="B4963" s="5" t="inlineStr">
        <is>
          <t>EM003756</t>
        </is>
      </c>
      <c r="C4963" s="5" t="inlineStr">
        <is>
          <t>DAVID DA CRUZ SILVA</t>
        </is>
      </c>
      <c r="D4963" s="5" t="inlineStr">
        <is>
          <t>ZP</t>
        </is>
      </c>
      <c r="E4963" s="5" t="n">
        <v>2000012019</v>
      </c>
      <c r="F4963" s="5" t="n"/>
      <c r="G4963" s="5" t="inlineStr">
        <is>
          <t>BRL</t>
        </is>
      </c>
      <c r="H4963" s="9" t="n">
        <v>910</v>
      </c>
      <c r="I4963" s="16" t="n">
        <v>46232</v>
      </c>
      <c r="J4963" s="16" t="n">
        <v>46232</v>
      </c>
      <c r="K4963" s="5" t="inlineStr">
        <is>
          <t>Vendor DP Request DAVID DA CRUZ SILVA 52451</t>
        </is>
      </c>
      <c r="L4963" s="5" t="inlineStr">
        <is>
          <t>29072026</t>
        </is>
      </c>
      <c r="M4963" s="5">
        <f>IF(YEAR(I4963)&lt;=2020,"Até 2020",TEXT(YEAR(I4963),"0"))</f>
        <v/>
      </c>
      <c r="N4963" s="5">
        <f>IFERROR(INDEX(DePara!$A:$A,MATCH(TEXT(B4963,"0"),DePara!$D:$D,0)),"(sem categoria)")</f>
        <v/>
      </c>
      <c r="O4963" s="5">
        <f>IF(J4963="","",Parametros!$B$6-J4963)</f>
        <v/>
      </c>
      <c r="P4963" s="5">
        <f>IF(O4963="","",IF(O4963&gt;0,1,0))</f>
        <v/>
      </c>
    </row>
    <row r="4964">
      <c r="A4964" s="5" t="n">
        <v>1117730000</v>
      </c>
      <c r="B4964" s="5" t="inlineStr">
        <is>
          <t>EM000006</t>
        </is>
      </c>
      <c r="C4964" s="5" t="inlineStr">
        <is>
          <t>FERNANDA CYNTHIA DA SILVA</t>
        </is>
      </c>
      <c r="D4964" s="5" t="inlineStr">
        <is>
          <t>ZP</t>
        </is>
      </c>
      <c r="E4964" s="5" t="n">
        <v>2000012923</v>
      </c>
      <c r="F4964" s="5" t="n"/>
      <c r="G4964" s="5" t="inlineStr">
        <is>
          <t>BRL</t>
        </is>
      </c>
      <c r="H4964" s="9" t="n">
        <v>910</v>
      </c>
      <c r="I4964" s="16" t="n">
        <v>46239</v>
      </c>
      <c r="J4964" s="16" t="n">
        <v>46239</v>
      </c>
      <c r="K4964" s="5" t="inlineStr">
        <is>
          <t>Vendor DP Request FERNANDA CYNTHIA DA SILVA 53666</t>
        </is>
      </c>
      <c r="L4964" s="5" t="inlineStr">
        <is>
          <t>05082026</t>
        </is>
      </c>
      <c r="M4964" s="5">
        <f>IF(YEAR(I4964)&lt;=2020,"Até 2020",TEXT(YEAR(I4964),"0"))</f>
        <v/>
      </c>
      <c r="N4964" s="5">
        <f>IFERROR(INDEX(DePara!$A:$A,MATCH(TEXT(B4964,"0"),DePara!$D:$D,0)),"(sem categoria)")</f>
        <v/>
      </c>
      <c r="O4964" s="5">
        <f>IF(J4964="","",Parametros!$B$6-J4964)</f>
        <v/>
      </c>
      <c r="P4964" s="5">
        <f>IF(O4964="","",IF(O4964&gt;0,1,0))</f>
        <v/>
      </c>
    </row>
    <row r="4965">
      <c r="A4965" s="5" t="n">
        <v>1117730000</v>
      </c>
      <c r="B4965" s="5" t="inlineStr">
        <is>
          <t>EM000021</t>
        </is>
      </c>
      <c r="C4965" s="5" t="inlineStr">
        <is>
          <t>PAULO HENRIQUE BARBOSA ORTIZ DE SOUZA</t>
        </is>
      </c>
      <c r="D4965" s="5" t="inlineStr">
        <is>
          <t>ZP</t>
        </is>
      </c>
      <c r="E4965" s="5" t="n">
        <v>2000012924</v>
      </c>
      <c r="F4965" s="5" t="n"/>
      <c r="G4965" s="5" t="inlineStr">
        <is>
          <t>BRL</t>
        </is>
      </c>
      <c r="H4965" s="9" t="n">
        <v>2600</v>
      </c>
      <c r="I4965" s="16" t="n">
        <v>46239</v>
      </c>
      <c r="J4965" s="16" t="n">
        <v>46239</v>
      </c>
      <c r="K4965" s="5" t="inlineStr">
        <is>
          <t>Vendor DP Request PAULO HENRIQUE BARBOSA ORTIZ DE</t>
        </is>
      </c>
      <c r="L4965" s="5" t="inlineStr">
        <is>
          <t>05082026</t>
        </is>
      </c>
      <c r="M4965" s="5">
        <f>IF(YEAR(I4965)&lt;=2020,"Até 2020",TEXT(YEAR(I4965),"0"))</f>
        <v/>
      </c>
      <c r="N4965" s="5">
        <f>IFERROR(INDEX(DePara!$A:$A,MATCH(TEXT(B4965,"0"),DePara!$D:$D,0)),"(sem categoria)")</f>
        <v/>
      </c>
      <c r="O4965" s="5">
        <f>IF(J4965="","",Parametros!$B$6-J4965)</f>
        <v/>
      </c>
      <c r="P4965" s="5">
        <f>IF(O4965="","",IF(O4965&gt;0,1,0))</f>
        <v/>
      </c>
    </row>
    <row r="4966">
      <c r="A4966" s="5" t="n">
        <v>1117730000</v>
      </c>
      <c r="B4966" s="5" t="inlineStr">
        <is>
          <t>EM000023</t>
        </is>
      </c>
      <c r="C4966" s="5" t="inlineStr">
        <is>
          <t>RAFAEL MACHADO SALLES</t>
        </is>
      </c>
      <c r="D4966" s="5" t="inlineStr">
        <is>
          <t>ZP</t>
        </is>
      </c>
      <c r="E4966" s="5" t="n">
        <v>2000012925</v>
      </c>
      <c r="F4966" s="5" t="n"/>
      <c r="G4966" s="5" t="inlineStr">
        <is>
          <t>BRL</t>
        </is>
      </c>
      <c r="H4966" s="9" t="n">
        <v>2545.2</v>
      </c>
      <c r="I4966" s="16" t="n">
        <v>46239</v>
      </c>
      <c r="J4966" s="16" t="n">
        <v>46239</v>
      </c>
      <c r="K4966" s="5" t="inlineStr">
        <is>
          <t>Vendor DP Request RAFAEL MACHADO SALLES 53591</t>
        </is>
      </c>
      <c r="L4966" s="5" t="inlineStr">
        <is>
          <t>05082026</t>
        </is>
      </c>
      <c r="M4966" s="5">
        <f>IF(YEAR(I4966)&lt;=2020,"Até 2020",TEXT(YEAR(I4966),"0"))</f>
        <v/>
      </c>
      <c r="N4966" s="5">
        <f>IFERROR(INDEX(DePara!$A:$A,MATCH(TEXT(B4966,"0"),DePara!$D:$D,0)),"(sem categoria)")</f>
        <v/>
      </c>
      <c r="O4966" s="5">
        <f>IF(J4966="","",Parametros!$B$6-J4966)</f>
        <v/>
      </c>
      <c r="P4966" s="5">
        <f>IF(O4966="","",IF(O4966&gt;0,1,0))</f>
        <v/>
      </c>
    </row>
    <row r="4967">
      <c r="A4967" s="5" t="n">
        <v>1117730000</v>
      </c>
      <c r="B4967" s="5" t="inlineStr">
        <is>
          <t>EM000035</t>
        </is>
      </c>
      <c r="C4967" s="5" t="inlineStr">
        <is>
          <t>ALEXANDRE SILVEIRA TRINDADE</t>
        </is>
      </c>
      <c r="D4967" s="5" t="inlineStr">
        <is>
          <t>ZP</t>
        </is>
      </c>
      <c r="E4967" s="5" t="n">
        <v>2000012928</v>
      </c>
      <c r="F4967" s="5" t="n"/>
      <c r="G4967" s="5" t="inlineStr">
        <is>
          <t>BRL</t>
        </is>
      </c>
      <c r="H4967" s="9" t="n">
        <v>10710</v>
      </c>
      <c r="I4967" s="16" t="n">
        <v>46239</v>
      </c>
      <c r="J4967" s="16" t="n">
        <v>46239</v>
      </c>
      <c r="K4967" s="5" t="inlineStr">
        <is>
          <t>Vendor DP Request ALEXANDRE SILVEIRA TRINDADE 5362</t>
        </is>
      </c>
      <c r="L4967" s="5" t="inlineStr">
        <is>
          <t>05082026</t>
        </is>
      </c>
      <c r="M4967" s="5">
        <f>IF(YEAR(I4967)&lt;=2020,"Até 2020",TEXT(YEAR(I4967),"0"))</f>
        <v/>
      </c>
      <c r="N4967" s="5">
        <f>IFERROR(INDEX(DePara!$A:$A,MATCH(TEXT(B4967,"0"),DePara!$D:$D,0)),"(sem categoria)")</f>
        <v/>
      </c>
      <c r="O4967" s="5">
        <f>IF(J4967="","",Parametros!$B$6-J4967)</f>
        <v/>
      </c>
      <c r="P4967" s="5">
        <f>IF(O4967="","",IF(O4967&gt;0,1,0))</f>
        <v/>
      </c>
    </row>
    <row r="4968">
      <c r="A4968" s="5" t="n">
        <v>1117730000</v>
      </c>
      <c r="B4968" s="5" t="inlineStr">
        <is>
          <t>EM000041</t>
        </is>
      </c>
      <c r="C4968" s="5" t="inlineStr">
        <is>
          <t>FLAVIO BELLOLI</t>
        </is>
      </c>
      <c r="D4968" s="5" t="inlineStr">
        <is>
          <t>ZP</t>
        </is>
      </c>
      <c r="E4968" s="5" t="n">
        <v>2000012929</v>
      </c>
      <c r="F4968" s="5" t="n"/>
      <c r="G4968" s="5" t="inlineStr">
        <is>
          <t>BRL</t>
        </is>
      </c>
      <c r="H4968" s="9" t="n">
        <v>2124</v>
      </c>
      <c r="I4968" s="16" t="n">
        <v>46239</v>
      </c>
      <c r="J4968" s="16" t="n">
        <v>46239</v>
      </c>
      <c r="K4968" s="5" t="inlineStr">
        <is>
          <t>Vendor DP Request FLAVIO BELLOLI 53634</t>
        </is>
      </c>
      <c r="L4968" s="5" t="inlineStr">
        <is>
          <t>05082026</t>
        </is>
      </c>
      <c r="M4968" s="5">
        <f>IF(YEAR(I4968)&lt;=2020,"Até 2020",TEXT(YEAR(I4968),"0"))</f>
        <v/>
      </c>
      <c r="N4968" s="5">
        <f>IFERROR(INDEX(DePara!$A:$A,MATCH(TEXT(B4968,"0"),DePara!$D:$D,0)),"(sem categoria)")</f>
        <v/>
      </c>
      <c r="O4968" s="5">
        <f>IF(J4968="","",Parametros!$B$6-J4968)</f>
        <v/>
      </c>
      <c r="P4968" s="5">
        <f>IF(O4968="","",IF(O4968&gt;0,1,0))</f>
        <v/>
      </c>
    </row>
    <row r="4969">
      <c r="A4969" s="5" t="n">
        <v>1117730000</v>
      </c>
      <c r="B4969" s="5" t="inlineStr">
        <is>
          <t>EM000050</t>
        </is>
      </c>
      <c r="C4969" s="5" t="inlineStr">
        <is>
          <t>RICARDO DANTAS ALVES JUNIOR</t>
        </is>
      </c>
      <c r="D4969" s="5" t="inlineStr">
        <is>
          <t>ZP</t>
        </is>
      </c>
      <c r="E4969" s="5" t="n">
        <v>2000012930</v>
      </c>
      <c r="F4969" s="5" t="n"/>
      <c r="G4969" s="5" t="inlineStr">
        <is>
          <t>BRL</t>
        </is>
      </c>
      <c r="H4969" s="9" t="n">
        <v>2104.38</v>
      </c>
      <c r="I4969" s="16" t="n">
        <v>46239</v>
      </c>
      <c r="J4969" s="16" t="n">
        <v>46239</v>
      </c>
      <c r="K4969" s="5" t="inlineStr">
        <is>
          <t>Vendor DP Request RICARDO DANTAS ALVES JUNIOR 5363</t>
        </is>
      </c>
      <c r="L4969" s="5" t="inlineStr">
        <is>
          <t>05082026</t>
        </is>
      </c>
      <c r="M4969" s="5">
        <f>IF(YEAR(I4969)&lt;=2020,"Até 2020",TEXT(YEAR(I4969),"0"))</f>
        <v/>
      </c>
      <c r="N4969" s="5">
        <f>IFERROR(INDEX(DePara!$A:$A,MATCH(TEXT(B4969,"0"),DePara!$D:$D,0)),"(sem categoria)")</f>
        <v/>
      </c>
      <c r="O4969" s="5">
        <f>IF(J4969="","",Parametros!$B$6-J4969)</f>
        <v/>
      </c>
      <c r="P4969" s="5">
        <f>IF(O4969="","",IF(O4969&gt;0,1,0))</f>
        <v/>
      </c>
    </row>
    <row r="4970">
      <c r="A4970" s="5" t="n">
        <v>1117730000</v>
      </c>
      <c r="B4970" s="5" t="inlineStr">
        <is>
          <t>EM000058</t>
        </is>
      </c>
      <c r="C4970" s="5" t="inlineStr">
        <is>
          <t>VITOR DE CASTRO SANTOS</t>
        </is>
      </c>
      <c r="D4970" s="5" t="inlineStr">
        <is>
          <t>ZP</t>
        </is>
      </c>
      <c r="E4970" s="5" t="n">
        <v>2000012931</v>
      </c>
      <c r="F4970" s="5" t="n"/>
      <c r="G4970" s="5" t="inlineStr">
        <is>
          <t>BRL</t>
        </is>
      </c>
      <c r="H4970" s="9" t="n">
        <v>780</v>
      </c>
      <c r="I4970" s="16" t="n">
        <v>46239</v>
      </c>
      <c r="J4970" s="16" t="n">
        <v>46239</v>
      </c>
      <c r="K4970" s="5" t="inlineStr">
        <is>
          <t>Vendor DP Request VITOR DE CASTRO SANTOS 53670</t>
        </is>
      </c>
      <c r="L4970" s="5" t="inlineStr">
        <is>
          <t>05082026</t>
        </is>
      </c>
      <c r="M4970" s="5">
        <f>IF(YEAR(I4970)&lt;=2020,"Até 2020",TEXT(YEAR(I4970),"0"))</f>
        <v/>
      </c>
      <c r="N4970" s="5">
        <f>IFERROR(INDEX(DePara!$A:$A,MATCH(TEXT(B4970,"0"),DePara!$D:$D,0)),"(sem categoria)")</f>
        <v/>
      </c>
      <c r="O4970" s="5">
        <f>IF(J4970="","",Parametros!$B$6-J4970)</f>
        <v/>
      </c>
      <c r="P4970" s="5">
        <f>IF(O4970="","",IF(O4970&gt;0,1,0))</f>
        <v/>
      </c>
    </row>
    <row r="4971">
      <c r="A4971" s="5" t="n">
        <v>1117730000</v>
      </c>
      <c r="B4971" s="5" t="inlineStr">
        <is>
          <t>EM000105</t>
        </is>
      </c>
      <c r="C4971" s="5" t="inlineStr">
        <is>
          <t>THIAGO CARVALHO</t>
        </is>
      </c>
      <c r="D4971" s="5" t="inlineStr">
        <is>
          <t>ZP</t>
        </is>
      </c>
      <c r="E4971" s="5" t="n">
        <v>2000012933</v>
      </c>
      <c r="F4971" s="5" t="n"/>
      <c r="G4971" s="5" t="inlineStr">
        <is>
          <t>BRL</t>
        </is>
      </c>
      <c r="H4971" s="9" t="n">
        <v>1761</v>
      </c>
      <c r="I4971" s="16" t="n">
        <v>46239</v>
      </c>
      <c r="J4971" s="16" t="n">
        <v>46239</v>
      </c>
      <c r="K4971" s="5" t="inlineStr">
        <is>
          <t>Vendor DP Request THIAGO CARVALHO 53681</t>
        </is>
      </c>
      <c r="L4971" s="5" t="inlineStr">
        <is>
          <t>05082026</t>
        </is>
      </c>
      <c r="M4971" s="5">
        <f>IF(YEAR(I4971)&lt;=2020,"Até 2020",TEXT(YEAR(I4971),"0"))</f>
        <v/>
      </c>
      <c r="N4971" s="5">
        <f>IFERROR(INDEX(DePara!$A:$A,MATCH(TEXT(B4971,"0"),DePara!$D:$D,0)),"(sem categoria)")</f>
        <v/>
      </c>
      <c r="O4971" s="5">
        <f>IF(J4971="","",Parametros!$B$6-J4971)</f>
        <v/>
      </c>
      <c r="P4971" s="5">
        <f>IF(O4971="","",IF(O4971&gt;0,1,0))</f>
        <v/>
      </c>
    </row>
    <row r="4972">
      <c r="A4972" s="5" t="n">
        <v>1117730000</v>
      </c>
      <c r="B4972" s="5" t="inlineStr">
        <is>
          <t>EM000129</t>
        </is>
      </c>
      <c r="C4972" s="5" t="inlineStr">
        <is>
          <t>JOCIVAN DE SOUZA SILVA</t>
        </is>
      </c>
      <c r="D4972" s="5" t="inlineStr">
        <is>
          <t>ZP</t>
        </is>
      </c>
      <c r="E4972" s="5" t="n">
        <v>2000012937</v>
      </c>
      <c r="F4972" s="5" t="n"/>
      <c r="G4972" s="5" t="inlineStr">
        <is>
          <t>BRL</t>
        </is>
      </c>
      <c r="H4972" s="9" t="n">
        <v>650</v>
      </c>
      <c r="I4972" s="16" t="n">
        <v>46239</v>
      </c>
      <c r="J4972" s="16" t="n">
        <v>46239</v>
      </c>
      <c r="K4972" s="5" t="inlineStr">
        <is>
          <t>Vendor DP Request JOCIVAN DE SOUZA SILVA 48885</t>
        </is>
      </c>
      <c r="L4972" s="5" t="inlineStr">
        <is>
          <t>05082026</t>
        </is>
      </c>
      <c r="M4972" s="5">
        <f>IF(YEAR(I4972)&lt;=2020,"Até 2020",TEXT(YEAR(I4972),"0"))</f>
        <v/>
      </c>
      <c r="N4972" s="5">
        <f>IFERROR(INDEX(DePara!$A:$A,MATCH(TEXT(B4972,"0"),DePara!$D:$D,0)),"(sem categoria)")</f>
        <v/>
      </c>
      <c r="O4972" s="5">
        <f>IF(J4972="","",Parametros!$B$6-J4972)</f>
        <v/>
      </c>
      <c r="P4972" s="5">
        <f>IF(O4972="","",IF(O4972&gt;0,1,0))</f>
        <v/>
      </c>
    </row>
    <row r="4973">
      <c r="A4973" s="5" t="n">
        <v>1117730000</v>
      </c>
      <c r="B4973" s="5" t="inlineStr">
        <is>
          <t>EM000243</t>
        </is>
      </c>
      <c r="C4973" s="5" t="inlineStr">
        <is>
          <t>JOSE LUIZ CONCEICAO DE SOUZA</t>
        </is>
      </c>
      <c r="D4973" s="5" t="inlineStr">
        <is>
          <t>ZP</t>
        </is>
      </c>
      <c r="E4973" s="5" t="n">
        <v>2000012944</v>
      </c>
      <c r="F4973" s="5" t="n"/>
      <c r="G4973" s="5" t="inlineStr">
        <is>
          <t>BRL</t>
        </is>
      </c>
      <c r="H4973" s="9" t="n">
        <v>1950</v>
      </c>
      <c r="I4973" s="16" t="n">
        <v>46239</v>
      </c>
      <c r="J4973" s="16" t="n">
        <v>46239</v>
      </c>
      <c r="K4973" s="5" t="inlineStr">
        <is>
          <t>Vendor DP Request JOSE LUIZ CONCEICAO DE SOUZA 536</t>
        </is>
      </c>
      <c r="L4973" s="5" t="inlineStr">
        <is>
          <t>05082026</t>
        </is>
      </c>
      <c r="M4973" s="5">
        <f>IF(YEAR(I4973)&lt;=2020,"Até 2020",TEXT(YEAR(I4973),"0"))</f>
        <v/>
      </c>
      <c r="N4973" s="5">
        <f>IFERROR(INDEX(DePara!$A:$A,MATCH(TEXT(B4973,"0"),DePara!$D:$D,0)),"(sem categoria)")</f>
        <v/>
      </c>
      <c r="O4973" s="5">
        <f>IF(J4973="","",Parametros!$B$6-J4973)</f>
        <v/>
      </c>
      <c r="P4973" s="5">
        <f>IF(O4973="","",IF(O4973&gt;0,1,0))</f>
        <v/>
      </c>
    </row>
    <row r="4974">
      <c r="A4974" s="5" t="n">
        <v>1117730000</v>
      </c>
      <c r="B4974" s="5" t="inlineStr">
        <is>
          <t>EM000310</t>
        </is>
      </c>
      <c r="C4974" s="5" t="inlineStr">
        <is>
          <t>CARLOS EDUARDO LAUREANO</t>
        </is>
      </c>
      <c r="D4974" s="5" t="inlineStr">
        <is>
          <t>ZP</t>
        </is>
      </c>
      <c r="E4974" s="5" t="n">
        <v>2000012945</v>
      </c>
      <c r="F4974" s="5" t="n"/>
      <c r="G4974" s="5" t="inlineStr">
        <is>
          <t>BRL</t>
        </is>
      </c>
      <c r="H4974" s="9" t="n">
        <v>10710</v>
      </c>
      <c r="I4974" s="16" t="n">
        <v>46239</v>
      </c>
      <c r="J4974" s="16" t="n">
        <v>46239</v>
      </c>
      <c r="K4974" s="5" t="inlineStr">
        <is>
          <t>Vendor DP Request CARLOS EDUARDO LAUREANO 53640</t>
        </is>
      </c>
      <c r="L4974" s="5" t="inlineStr">
        <is>
          <t>05082026</t>
        </is>
      </c>
      <c r="M4974" s="5">
        <f>IF(YEAR(I4974)&lt;=2020,"Até 2020",TEXT(YEAR(I4974),"0"))</f>
        <v/>
      </c>
      <c r="N4974" s="5">
        <f>IFERROR(INDEX(DePara!$A:$A,MATCH(TEXT(B4974,"0"),DePara!$D:$D,0)),"(sem categoria)")</f>
        <v/>
      </c>
      <c r="O4974" s="5">
        <f>IF(J4974="","",Parametros!$B$6-J4974)</f>
        <v/>
      </c>
      <c r="P4974" s="5">
        <f>IF(O4974="","",IF(O4974&gt;0,1,0))</f>
        <v/>
      </c>
    </row>
    <row r="4975">
      <c r="A4975" s="5" t="n">
        <v>1117730000</v>
      </c>
      <c r="B4975" s="5" t="inlineStr">
        <is>
          <t>EM000327</t>
        </is>
      </c>
      <c r="C4975" s="5" t="inlineStr">
        <is>
          <t>JOSE MARTINS TEIXEIRA NETO</t>
        </is>
      </c>
      <c r="D4975" s="5" t="inlineStr">
        <is>
          <t>ZP</t>
        </is>
      </c>
      <c r="E4975" s="5" t="n">
        <v>2000012946</v>
      </c>
      <c r="F4975" s="5" t="n"/>
      <c r="G4975" s="5" t="inlineStr">
        <is>
          <t>BRL</t>
        </is>
      </c>
      <c r="H4975" s="9" t="n">
        <v>2990</v>
      </c>
      <c r="I4975" s="16" t="n">
        <v>46239</v>
      </c>
      <c r="J4975" s="16" t="n">
        <v>46239</v>
      </c>
      <c r="K4975" s="5" t="inlineStr">
        <is>
          <t>Vendor DP Request JOSE MARTINS TEIXEIRA NETO 53665</t>
        </is>
      </c>
      <c r="L4975" s="5" t="inlineStr">
        <is>
          <t>05082026</t>
        </is>
      </c>
      <c r="M4975" s="5">
        <f>IF(YEAR(I4975)&lt;=2020,"Até 2020",TEXT(YEAR(I4975),"0"))</f>
        <v/>
      </c>
      <c r="N4975" s="5">
        <f>IFERROR(INDEX(DePara!$A:$A,MATCH(TEXT(B4975,"0"),DePara!$D:$D,0)),"(sem categoria)")</f>
        <v/>
      </c>
      <c r="O4975" s="5">
        <f>IF(J4975="","",Parametros!$B$6-J4975)</f>
        <v/>
      </c>
      <c r="P4975" s="5">
        <f>IF(O4975="","",IF(O4975&gt;0,1,0))</f>
        <v/>
      </c>
    </row>
    <row r="4976">
      <c r="A4976" s="5" t="n">
        <v>1117730000</v>
      </c>
      <c r="B4976" s="5" t="inlineStr">
        <is>
          <t>EM000437</t>
        </is>
      </c>
      <c r="C4976" s="5" t="inlineStr">
        <is>
          <t>CLEODON MARIO DA SILVA FILHO</t>
        </is>
      </c>
      <c r="D4976" s="5" t="inlineStr">
        <is>
          <t>ZP</t>
        </is>
      </c>
      <c r="E4976" s="5" t="n">
        <v>2000012947</v>
      </c>
      <c r="F4976" s="5" t="n"/>
      <c r="G4976" s="5" t="inlineStr">
        <is>
          <t>BRL</t>
        </is>
      </c>
      <c r="H4976" s="9" t="n">
        <v>3510</v>
      </c>
      <c r="I4976" s="16" t="n">
        <v>46239</v>
      </c>
      <c r="J4976" s="16" t="n">
        <v>46239</v>
      </c>
      <c r="K4976" s="5" t="inlineStr">
        <is>
          <t>Vendor DP Request CLEODON MARIO DA SILVA FILHO 535</t>
        </is>
      </c>
      <c r="L4976" s="5" t="inlineStr">
        <is>
          <t>05082026</t>
        </is>
      </c>
      <c r="M4976" s="5">
        <f>IF(YEAR(I4976)&lt;=2020,"Até 2020",TEXT(YEAR(I4976),"0"))</f>
        <v/>
      </c>
      <c r="N4976" s="5">
        <f>IFERROR(INDEX(DePara!$A:$A,MATCH(TEXT(B4976,"0"),DePara!$D:$D,0)),"(sem categoria)")</f>
        <v/>
      </c>
      <c r="O4976" s="5">
        <f>IF(J4976="","",Parametros!$B$6-J4976)</f>
        <v/>
      </c>
      <c r="P4976" s="5">
        <f>IF(O4976="","",IF(O4976&gt;0,1,0))</f>
        <v/>
      </c>
    </row>
    <row r="4977">
      <c r="A4977" s="5" t="n">
        <v>1117730000</v>
      </c>
      <c r="B4977" s="5" t="inlineStr">
        <is>
          <t>EM000468</t>
        </is>
      </c>
      <c r="C4977" s="5" t="inlineStr">
        <is>
          <t>LUCAS EMANUEL ALVES DE SOUSA</t>
        </is>
      </c>
      <c r="D4977" s="5" t="inlineStr">
        <is>
          <t>ZP</t>
        </is>
      </c>
      <c r="E4977" s="5" t="n">
        <v>2000012949</v>
      </c>
      <c r="F4977" s="5" t="n"/>
      <c r="G4977" s="5" t="inlineStr">
        <is>
          <t>BRL</t>
        </is>
      </c>
      <c r="H4977" s="9" t="n">
        <v>9228.450000000001</v>
      </c>
      <c r="I4977" s="16" t="n">
        <v>46239</v>
      </c>
      <c r="J4977" s="16" t="n">
        <v>46239</v>
      </c>
      <c r="K4977" s="5" t="inlineStr">
        <is>
          <t>Vendor DP Request LUCAS EMANUEL ALVES DE SOUSA 513</t>
        </is>
      </c>
      <c r="L4977" s="5" t="inlineStr">
        <is>
          <t>05082026</t>
        </is>
      </c>
      <c r="M4977" s="5">
        <f>IF(YEAR(I4977)&lt;=2020,"Até 2020",TEXT(YEAR(I4977),"0"))</f>
        <v/>
      </c>
      <c r="N4977" s="5">
        <f>IFERROR(INDEX(DePara!$A:$A,MATCH(TEXT(B4977,"0"),DePara!$D:$D,0)),"(sem categoria)")</f>
        <v/>
      </c>
      <c r="O4977" s="5">
        <f>IF(J4977="","",Parametros!$B$6-J4977)</f>
        <v/>
      </c>
      <c r="P4977" s="5">
        <f>IF(O4977="","",IF(O4977&gt;0,1,0))</f>
        <v/>
      </c>
    </row>
    <row r="4978">
      <c r="A4978" s="5" t="n">
        <v>1117730000</v>
      </c>
      <c r="B4978" s="5" t="inlineStr">
        <is>
          <t>EM000532</t>
        </is>
      </c>
      <c r="C4978" s="5" t="inlineStr">
        <is>
          <t>VALDIRENE MESSONES PINTO DA SILVA</t>
        </is>
      </c>
      <c r="D4978" s="5" t="inlineStr">
        <is>
          <t>ZP</t>
        </is>
      </c>
      <c r="E4978" s="5" t="n">
        <v>2000012953</v>
      </c>
      <c r="F4978" s="5" t="n"/>
      <c r="G4978" s="5" t="inlineStr">
        <is>
          <t>BRL</t>
        </is>
      </c>
      <c r="H4978" s="9" t="n">
        <v>910</v>
      </c>
      <c r="I4978" s="16" t="n">
        <v>46239</v>
      </c>
      <c r="J4978" s="16" t="n">
        <v>46239</v>
      </c>
      <c r="K4978" s="5" t="inlineStr">
        <is>
          <t>Vendor DP Request VALDIRENE MESSONES PINTO DA SILV</t>
        </is>
      </c>
      <c r="L4978" s="5" t="inlineStr">
        <is>
          <t>05082026</t>
        </is>
      </c>
      <c r="M4978" s="5">
        <f>IF(YEAR(I4978)&lt;=2020,"Até 2020",TEXT(YEAR(I4978),"0"))</f>
        <v/>
      </c>
      <c r="N4978" s="5">
        <f>IFERROR(INDEX(DePara!$A:$A,MATCH(TEXT(B4978,"0"),DePara!$D:$D,0)),"(sem categoria)")</f>
        <v/>
      </c>
      <c r="O4978" s="5">
        <f>IF(J4978="","",Parametros!$B$6-J4978)</f>
        <v/>
      </c>
      <c r="P4978" s="5">
        <f>IF(O4978="","",IF(O4978&gt;0,1,0))</f>
        <v/>
      </c>
    </row>
    <row r="4979">
      <c r="A4979" s="5" t="n">
        <v>1117730000</v>
      </c>
      <c r="B4979" s="5" t="inlineStr">
        <is>
          <t>EM000561</t>
        </is>
      </c>
      <c r="C4979" s="5" t="inlineStr">
        <is>
          <t>GEOVANE PASSOS LOPES</t>
        </is>
      </c>
      <c r="D4979" s="5" t="inlineStr">
        <is>
          <t>ZP</t>
        </is>
      </c>
      <c r="E4979" s="5" t="n">
        <v>2000012955</v>
      </c>
      <c r="F4979" s="5" t="n"/>
      <c r="G4979" s="5" t="inlineStr">
        <is>
          <t>BRL</t>
        </is>
      </c>
      <c r="H4979" s="9" t="n">
        <v>8652.6</v>
      </c>
      <c r="I4979" s="16" t="n">
        <v>46239</v>
      </c>
      <c r="J4979" s="16" t="n">
        <v>46239</v>
      </c>
      <c r="K4979" s="5" t="inlineStr">
        <is>
          <t>Vendor DP Request GEOVANE PASSOS LOPES 53656</t>
        </is>
      </c>
      <c r="L4979" s="5" t="inlineStr">
        <is>
          <t>05082026</t>
        </is>
      </c>
      <c r="M4979" s="5">
        <f>IF(YEAR(I4979)&lt;=2020,"Até 2020",TEXT(YEAR(I4979),"0"))</f>
        <v/>
      </c>
      <c r="N4979" s="5">
        <f>IFERROR(INDEX(DePara!$A:$A,MATCH(TEXT(B4979,"0"),DePara!$D:$D,0)),"(sem categoria)")</f>
        <v/>
      </c>
      <c r="O4979" s="5">
        <f>IF(J4979="","",Parametros!$B$6-J4979)</f>
        <v/>
      </c>
      <c r="P4979" s="5">
        <f>IF(O4979="","",IF(O4979&gt;0,1,0))</f>
        <v/>
      </c>
    </row>
    <row r="4980">
      <c r="A4980" s="5" t="n">
        <v>1117730000</v>
      </c>
      <c r="B4980" s="5" t="inlineStr">
        <is>
          <t>EM000670</t>
        </is>
      </c>
      <c r="C4980" s="5" t="inlineStr">
        <is>
          <t>JULIANO DE PAULA NEVES NASCIMENTO</t>
        </is>
      </c>
      <c r="D4980" s="5" t="inlineStr">
        <is>
          <t>ZP</t>
        </is>
      </c>
      <c r="E4980" s="5" t="n">
        <v>2000012956</v>
      </c>
      <c r="F4980" s="5" t="n"/>
      <c r="G4980" s="5" t="inlineStr">
        <is>
          <t>BRL</t>
        </is>
      </c>
      <c r="H4980" s="9" t="n">
        <v>1752</v>
      </c>
      <c r="I4980" s="16" t="n">
        <v>46239</v>
      </c>
      <c r="J4980" s="16" t="n">
        <v>46239</v>
      </c>
      <c r="K4980" s="5" t="inlineStr">
        <is>
          <t>Vendor DP Request JULIANO DE PAULA NEVES NASCIMENT</t>
        </is>
      </c>
      <c r="L4980" s="5" t="inlineStr">
        <is>
          <t>05082026</t>
        </is>
      </c>
      <c r="M4980" s="5">
        <f>IF(YEAR(I4980)&lt;=2020,"Até 2020",TEXT(YEAR(I4980),"0"))</f>
        <v/>
      </c>
      <c r="N4980" s="5">
        <f>IFERROR(INDEX(DePara!$A:$A,MATCH(TEXT(B4980,"0"),DePara!$D:$D,0)),"(sem categoria)")</f>
        <v/>
      </c>
      <c r="O4980" s="5">
        <f>IF(J4980="","",Parametros!$B$6-J4980)</f>
        <v/>
      </c>
      <c r="P4980" s="5">
        <f>IF(O4980="","",IF(O4980&gt;0,1,0))</f>
        <v/>
      </c>
    </row>
    <row r="4981">
      <c r="A4981" s="5" t="n">
        <v>1117730000</v>
      </c>
      <c r="B4981" s="5" t="inlineStr">
        <is>
          <t>EM000866</t>
        </is>
      </c>
      <c r="C4981" s="5" t="inlineStr">
        <is>
          <t>FRANCISCO MARCOS DE FREITAS</t>
        </is>
      </c>
      <c r="D4981" s="5" t="inlineStr">
        <is>
          <t>ZP</t>
        </is>
      </c>
      <c r="E4981" s="5" t="n">
        <v>2000012961</v>
      </c>
      <c r="F4981" s="5" t="n"/>
      <c r="G4981" s="5" t="inlineStr">
        <is>
          <t>BRL</t>
        </is>
      </c>
      <c r="H4981" s="9" t="n">
        <v>650</v>
      </c>
      <c r="I4981" s="16" t="n">
        <v>46239</v>
      </c>
      <c r="J4981" s="16" t="n">
        <v>46239</v>
      </c>
      <c r="K4981" s="5" t="inlineStr">
        <is>
          <t>Vendor DP Request FRANCISCO MARCOS DE FREITAS 4888</t>
        </is>
      </c>
      <c r="L4981" s="5" t="inlineStr">
        <is>
          <t>05082026</t>
        </is>
      </c>
      <c r="M4981" s="5">
        <f>IF(YEAR(I4981)&lt;=2020,"Até 2020",TEXT(YEAR(I4981),"0"))</f>
        <v/>
      </c>
      <c r="N4981" s="5">
        <f>IFERROR(INDEX(DePara!$A:$A,MATCH(TEXT(B4981,"0"),DePara!$D:$D,0)),"(sem categoria)")</f>
        <v/>
      </c>
      <c r="O4981" s="5">
        <f>IF(J4981="","",Parametros!$B$6-J4981)</f>
        <v/>
      </c>
      <c r="P4981" s="5">
        <f>IF(O4981="","",IF(O4981&gt;0,1,0))</f>
        <v/>
      </c>
    </row>
    <row r="4982">
      <c r="A4982" s="5" t="n">
        <v>1117730000</v>
      </c>
      <c r="B4982" s="5" t="inlineStr">
        <is>
          <t>EM000890</t>
        </is>
      </c>
      <c r="C4982" s="5" t="inlineStr">
        <is>
          <t>DENILSON FERNANDES SILVA</t>
        </is>
      </c>
      <c r="D4982" s="5" t="inlineStr">
        <is>
          <t>ZP</t>
        </is>
      </c>
      <c r="E4982" s="5" t="n">
        <v>2000012963</v>
      </c>
      <c r="F4982" s="5" t="n"/>
      <c r="G4982" s="5" t="inlineStr">
        <is>
          <t>BRL</t>
        </is>
      </c>
      <c r="H4982" s="9" t="n">
        <v>390</v>
      </c>
      <c r="I4982" s="16" t="n">
        <v>46239</v>
      </c>
      <c r="J4982" s="16" t="n">
        <v>46239</v>
      </c>
      <c r="K4982" s="5" t="inlineStr">
        <is>
          <t>Vendor DP Request DENILSON FERNANDES SILVA 53647</t>
        </is>
      </c>
      <c r="L4982" s="5" t="inlineStr">
        <is>
          <t>05082026</t>
        </is>
      </c>
      <c r="M4982" s="5">
        <f>IF(YEAR(I4982)&lt;=2020,"Até 2020",TEXT(YEAR(I4982),"0"))</f>
        <v/>
      </c>
      <c r="N4982" s="5">
        <f>IFERROR(INDEX(DePara!$A:$A,MATCH(TEXT(B4982,"0"),DePara!$D:$D,0)),"(sem categoria)")</f>
        <v/>
      </c>
      <c r="O4982" s="5">
        <f>IF(J4982="","",Parametros!$B$6-J4982)</f>
        <v/>
      </c>
      <c r="P4982" s="5">
        <f>IF(O4982="","",IF(O4982&gt;0,1,0))</f>
        <v/>
      </c>
    </row>
    <row r="4983">
      <c r="A4983" s="5" t="n">
        <v>1117730000</v>
      </c>
      <c r="B4983" s="5" t="inlineStr">
        <is>
          <t>EM000905</t>
        </is>
      </c>
      <c r="C4983" s="5" t="inlineStr">
        <is>
          <t>TIAGO DA SILVA SANTANA</t>
        </is>
      </c>
      <c r="D4983" s="5" t="inlineStr">
        <is>
          <t>ZP</t>
        </is>
      </c>
      <c r="E4983" s="5" t="n">
        <v>2000012965</v>
      </c>
      <c r="F4983" s="5" t="n"/>
      <c r="G4983" s="5" t="inlineStr">
        <is>
          <t>BRL</t>
        </is>
      </c>
      <c r="H4983" s="9" t="n">
        <v>28479.6</v>
      </c>
      <c r="I4983" s="16" t="n">
        <v>46239</v>
      </c>
      <c r="J4983" s="16" t="n">
        <v>46239</v>
      </c>
      <c r="K4983" s="5" t="inlineStr">
        <is>
          <t>Vendor DP Request TIAGO DA SILVA SANTANA 53624</t>
        </is>
      </c>
      <c r="L4983" s="5" t="inlineStr">
        <is>
          <t>05082026</t>
        </is>
      </c>
      <c r="M4983" s="5">
        <f>IF(YEAR(I4983)&lt;=2020,"Até 2020",TEXT(YEAR(I4983),"0"))</f>
        <v/>
      </c>
      <c r="N4983" s="5">
        <f>IFERROR(INDEX(DePara!$A:$A,MATCH(TEXT(B4983,"0"),DePara!$D:$D,0)),"(sem categoria)")</f>
        <v/>
      </c>
      <c r="O4983" s="5">
        <f>IF(J4983="","",Parametros!$B$6-J4983)</f>
        <v/>
      </c>
      <c r="P4983" s="5">
        <f>IF(O4983="","",IF(O4983&gt;0,1,0))</f>
        <v/>
      </c>
    </row>
    <row r="4984">
      <c r="A4984" s="5" t="n">
        <v>1117730000</v>
      </c>
      <c r="B4984" s="5" t="inlineStr">
        <is>
          <t>EM000919</t>
        </is>
      </c>
      <c r="C4984" s="5" t="inlineStr">
        <is>
          <t>LUCAS MEDEIROS DE OLIVEIRA</t>
        </is>
      </c>
      <c r="D4984" s="5" t="inlineStr">
        <is>
          <t>ZP</t>
        </is>
      </c>
      <c r="E4984" s="5" t="n">
        <v>2000012967</v>
      </c>
      <c r="F4984" s="5" t="n"/>
      <c r="G4984" s="5" t="inlineStr">
        <is>
          <t>BRL</t>
        </is>
      </c>
      <c r="H4984" s="9" t="n">
        <v>11286</v>
      </c>
      <c r="I4984" s="16" t="n">
        <v>46239</v>
      </c>
      <c r="J4984" s="16" t="n">
        <v>46239</v>
      </c>
      <c r="K4984" s="5" t="inlineStr">
        <is>
          <t>Vendor DP Request LUCAS MEDEIROS DE OLIVEIRA 53651</t>
        </is>
      </c>
      <c r="L4984" s="5" t="inlineStr">
        <is>
          <t>05082026</t>
        </is>
      </c>
      <c r="M4984" s="5">
        <f>IF(YEAR(I4984)&lt;=2020,"Até 2020",TEXT(YEAR(I4984),"0"))</f>
        <v/>
      </c>
      <c r="N4984" s="5">
        <f>IFERROR(INDEX(DePara!$A:$A,MATCH(TEXT(B4984,"0"),DePara!$D:$D,0)),"(sem categoria)")</f>
        <v/>
      </c>
      <c r="O4984" s="5">
        <f>IF(J4984="","",Parametros!$B$6-J4984)</f>
        <v/>
      </c>
      <c r="P4984" s="5">
        <f>IF(O4984="","",IF(O4984&gt;0,1,0))</f>
        <v/>
      </c>
    </row>
    <row r="4985">
      <c r="A4985" s="5" t="n">
        <v>1117730000</v>
      </c>
      <c r="B4985" s="5" t="inlineStr">
        <is>
          <t>EM000982</t>
        </is>
      </c>
      <c r="C4985" s="5" t="inlineStr">
        <is>
          <t>SADRAQUE DA COSTA PEREIRA</t>
        </is>
      </c>
      <c r="D4985" s="5" t="inlineStr">
        <is>
          <t>ZP</t>
        </is>
      </c>
      <c r="E4985" s="5" t="n">
        <v>2000012968</v>
      </c>
      <c r="F4985" s="5" t="n"/>
      <c r="G4985" s="5" t="inlineStr">
        <is>
          <t>BRL</t>
        </is>
      </c>
      <c r="H4985" s="9" t="n">
        <v>4290</v>
      </c>
      <c r="I4985" s="16" t="n">
        <v>46239</v>
      </c>
      <c r="J4985" s="16" t="n">
        <v>46239</v>
      </c>
      <c r="K4985" s="5" t="inlineStr">
        <is>
          <t>Vendor DP Request SADRAQUE DA COSTA PEREIRA 53678</t>
        </is>
      </c>
      <c r="L4985" s="5" t="inlineStr">
        <is>
          <t>05082026</t>
        </is>
      </c>
      <c r="M4985" s="5">
        <f>IF(YEAR(I4985)&lt;=2020,"Até 2020",TEXT(YEAR(I4985),"0"))</f>
        <v/>
      </c>
      <c r="N4985" s="5">
        <f>IFERROR(INDEX(DePara!$A:$A,MATCH(TEXT(B4985,"0"),DePara!$D:$D,0)),"(sem categoria)")</f>
        <v/>
      </c>
      <c r="O4985" s="5">
        <f>IF(J4985="","",Parametros!$B$6-J4985)</f>
        <v/>
      </c>
      <c r="P4985" s="5">
        <f>IF(O4985="","",IF(O4985&gt;0,1,0))</f>
        <v/>
      </c>
    </row>
    <row r="4986">
      <c r="A4986" s="5" t="n">
        <v>1117730000</v>
      </c>
      <c r="B4986" s="5" t="inlineStr">
        <is>
          <t>EM000987</t>
        </is>
      </c>
      <c r="C4986" s="5" t="inlineStr">
        <is>
          <t>SIDEMARIO SANTANA SILVA</t>
        </is>
      </c>
      <c r="D4986" s="5" t="inlineStr">
        <is>
          <t>ZP</t>
        </is>
      </c>
      <c r="E4986" s="5" t="n">
        <v>2000012969</v>
      </c>
      <c r="F4986" s="5" t="n"/>
      <c r="G4986" s="5" t="inlineStr">
        <is>
          <t>BRL</t>
        </is>
      </c>
      <c r="H4986" s="9" t="n">
        <v>3770</v>
      </c>
      <c r="I4986" s="16" t="n">
        <v>46239</v>
      </c>
      <c r="J4986" s="16" t="n">
        <v>46239</v>
      </c>
      <c r="K4986" s="5" t="inlineStr">
        <is>
          <t>Vendor DP Request SIDEMARIO SANTANA SILVA 53648</t>
        </is>
      </c>
      <c r="L4986" s="5" t="inlineStr">
        <is>
          <t>05082026</t>
        </is>
      </c>
      <c r="M4986" s="5">
        <f>IF(YEAR(I4986)&lt;=2020,"Até 2020",TEXT(YEAR(I4986),"0"))</f>
        <v/>
      </c>
      <c r="N4986" s="5">
        <f>IFERROR(INDEX(DePara!$A:$A,MATCH(TEXT(B4986,"0"),DePara!$D:$D,0)),"(sem categoria)")</f>
        <v/>
      </c>
      <c r="O4986" s="5">
        <f>IF(J4986="","",Parametros!$B$6-J4986)</f>
        <v/>
      </c>
      <c r="P4986" s="5">
        <f>IF(O4986="","",IF(O4986&gt;0,1,0))</f>
        <v/>
      </c>
    </row>
    <row r="4987">
      <c r="A4987" s="5" t="n">
        <v>1117730000</v>
      </c>
      <c r="B4987" s="5" t="inlineStr">
        <is>
          <t>EM003535</t>
        </is>
      </c>
      <c r="C4987" s="5" t="inlineStr">
        <is>
          <t>JOILTON MARQUES DA SILVA</t>
        </is>
      </c>
      <c r="D4987" s="5" t="inlineStr">
        <is>
          <t>ZP</t>
        </is>
      </c>
      <c r="E4987" s="5" t="n">
        <v>2000012970</v>
      </c>
      <c r="F4987" s="5" t="n"/>
      <c r="G4987" s="5" t="inlineStr">
        <is>
          <t>BRL</t>
        </is>
      </c>
      <c r="H4987" s="9" t="n">
        <v>1040</v>
      </c>
      <c r="I4987" s="16" t="n">
        <v>46239</v>
      </c>
      <c r="J4987" s="16" t="n">
        <v>46239</v>
      </c>
      <c r="K4987" s="5" t="inlineStr">
        <is>
          <t>Vendor DP Request JOILTON MARQUES DA SILVA 53529</t>
        </is>
      </c>
      <c r="L4987" s="5" t="inlineStr">
        <is>
          <t>05082026</t>
        </is>
      </c>
      <c r="M4987" s="5">
        <f>IF(YEAR(I4987)&lt;=2020,"Até 2020",TEXT(YEAR(I4987),"0"))</f>
        <v/>
      </c>
      <c r="N4987" s="5">
        <f>IFERROR(INDEX(DePara!$A:$A,MATCH(TEXT(B4987,"0"),DePara!$D:$D,0)),"(sem categoria)")</f>
        <v/>
      </c>
      <c r="O4987" s="5">
        <f>IF(J4987="","",Parametros!$B$6-J4987)</f>
        <v/>
      </c>
      <c r="P4987" s="5">
        <f>IF(O4987="","",IF(O4987&gt;0,1,0))</f>
        <v/>
      </c>
    </row>
    <row r="4988">
      <c r="A4988" s="5" t="n">
        <v>1117730000</v>
      </c>
      <c r="B4988" s="5" t="inlineStr">
        <is>
          <t>EM003688</t>
        </is>
      </c>
      <c r="C4988" s="5" t="inlineStr">
        <is>
          <t>Felipe Affonso de Carvalho Quita</t>
        </is>
      </c>
      <c r="D4988" s="5" t="inlineStr">
        <is>
          <t>ZP</t>
        </is>
      </c>
      <c r="E4988" s="5" t="n">
        <v>2000012971</v>
      </c>
      <c r="F4988" s="5" t="n"/>
      <c r="G4988" s="5" t="inlineStr">
        <is>
          <t>BRL</t>
        </is>
      </c>
      <c r="H4988" s="9" t="n">
        <v>1444.8</v>
      </c>
      <c r="I4988" s="16" t="n">
        <v>46239</v>
      </c>
      <c r="J4988" s="16" t="n">
        <v>46239</v>
      </c>
      <c r="K4988" s="5" t="inlineStr">
        <is>
          <t>Documento fornecedor Felipe Affonso de Carvalho Qu</t>
        </is>
      </c>
      <c r="L4988" s="5" t="inlineStr">
        <is>
          <t>05082026</t>
        </is>
      </c>
      <c r="M4988" s="5">
        <f>IF(YEAR(I4988)&lt;=2020,"Até 2020",TEXT(YEAR(I4988),"0"))</f>
        <v/>
      </c>
      <c r="N4988" s="5">
        <f>IFERROR(INDEX(DePara!$A:$A,MATCH(TEXT(B4988,"0"),DePara!$D:$D,0)),"(sem categoria)")</f>
        <v/>
      </c>
      <c r="O4988" s="5">
        <f>IF(J4988="","",Parametros!$B$6-J4988)</f>
        <v/>
      </c>
      <c r="P4988" s="5">
        <f>IF(O4988="","",IF(O4988&gt;0,1,0))</f>
        <v/>
      </c>
    </row>
    <row r="4989">
      <c r="A4989" s="5" t="n">
        <v>1117730000</v>
      </c>
      <c r="B4989" s="5" t="inlineStr">
        <is>
          <t>EM000048</t>
        </is>
      </c>
      <c r="C4989" s="5" t="inlineStr">
        <is>
          <t>ARLINDO ASTYZEM REGO</t>
        </is>
      </c>
      <c r="D4989" s="5" t="inlineStr">
        <is>
          <t>ZP</t>
        </is>
      </c>
      <c r="E4989" s="5" t="n">
        <v>2000013234</v>
      </c>
      <c r="F4989" s="5" t="n"/>
      <c r="G4989" s="5" t="inlineStr">
        <is>
          <t>BRL</t>
        </is>
      </c>
      <c r="H4989" s="9" t="n">
        <v>2836.8</v>
      </c>
      <c r="I4989" s="16" t="n">
        <v>46246</v>
      </c>
      <c r="J4989" s="16" t="n">
        <v>46246</v>
      </c>
      <c r="K4989" s="5" t="inlineStr">
        <is>
          <t>Vendor DP Request ARLINDO ASTYZEM REGO 53693</t>
        </is>
      </c>
      <c r="L4989" s="5" t="inlineStr">
        <is>
          <t>12082026</t>
        </is>
      </c>
      <c r="M4989" s="5">
        <f>IF(YEAR(I4989)&lt;=2020,"Até 2020",TEXT(YEAR(I4989),"0"))</f>
        <v/>
      </c>
      <c r="N4989" s="5">
        <f>IFERROR(INDEX(DePara!$A:$A,MATCH(TEXT(B4989,"0"),DePara!$D:$D,0)),"(sem categoria)")</f>
        <v/>
      </c>
      <c r="O4989" s="5">
        <f>IF(J4989="","",Parametros!$B$6-J4989)</f>
        <v/>
      </c>
      <c r="P4989" s="5">
        <f>IF(O4989="","",IF(O4989&gt;0,1,0))</f>
        <v/>
      </c>
    </row>
    <row r="4990">
      <c r="A4990" s="5" t="n">
        <v>1117730000</v>
      </c>
      <c r="B4990" s="5" t="inlineStr">
        <is>
          <t>EM000141</t>
        </is>
      </c>
      <c r="C4990" s="5" t="inlineStr">
        <is>
          <t>EDGLEISON TAMBORIL FIRMIANO</t>
        </is>
      </c>
      <c r="D4990" s="5" t="inlineStr">
        <is>
          <t>ZP</t>
        </is>
      </c>
      <c r="E4990" s="5" t="n">
        <v>2000013240</v>
      </c>
      <c r="F4990" s="5" t="n"/>
      <c r="G4990" s="5" t="inlineStr">
        <is>
          <t>BRL</t>
        </is>
      </c>
      <c r="H4990" s="9" t="n">
        <v>3900</v>
      </c>
      <c r="I4990" s="16" t="n">
        <v>46246</v>
      </c>
      <c r="J4990" s="16" t="n">
        <v>46246</v>
      </c>
      <c r="K4990" s="5" t="inlineStr">
        <is>
          <t>Vendor DP Request EDGLEISON TAMBORIL FIRMIANO 5359</t>
        </is>
      </c>
      <c r="L4990" s="5" t="inlineStr">
        <is>
          <t>12082026</t>
        </is>
      </c>
      <c r="M4990" s="5">
        <f>IF(YEAR(I4990)&lt;=2020,"Até 2020",TEXT(YEAR(I4990),"0"))</f>
        <v/>
      </c>
      <c r="N4990" s="5">
        <f>IFERROR(INDEX(DePara!$A:$A,MATCH(TEXT(B4990,"0"),DePara!$D:$D,0)),"(sem categoria)")</f>
        <v/>
      </c>
      <c r="O4990" s="5">
        <f>IF(J4990="","",Parametros!$B$6-J4990)</f>
        <v/>
      </c>
      <c r="P4990" s="5">
        <f>IF(O4990="","",IF(O4990&gt;0,1,0))</f>
        <v/>
      </c>
    </row>
    <row r="4991">
      <c r="A4991" s="5" t="n">
        <v>1117730000</v>
      </c>
      <c r="B4991" s="5" t="inlineStr">
        <is>
          <t>EM000243</t>
        </is>
      </c>
      <c r="C4991" s="5" t="inlineStr">
        <is>
          <t>JOSE LUIZ CONCEICAO DE SOUZA</t>
        </is>
      </c>
      <c r="D4991" s="5" t="inlineStr">
        <is>
          <t>ZP</t>
        </is>
      </c>
      <c r="E4991" s="5" t="n">
        <v>2000013242</v>
      </c>
      <c r="F4991" s="5" t="n"/>
      <c r="G4991" s="5" t="inlineStr">
        <is>
          <t>BRL</t>
        </is>
      </c>
      <c r="H4991" s="9" t="n">
        <v>1040</v>
      </c>
      <c r="I4991" s="16" t="n">
        <v>46246</v>
      </c>
      <c r="J4991" s="16" t="n">
        <v>46246</v>
      </c>
      <c r="K4991" s="5" t="inlineStr">
        <is>
          <t>Vendor DP Request JOSE LUIZ CONCEICAO DE SOUZA 536</t>
        </is>
      </c>
      <c r="L4991" s="5" t="inlineStr">
        <is>
          <t>12082026</t>
        </is>
      </c>
      <c r="M4991" s="5">
        <f>IF(YEAR(I4991)&lt;=2020,"Até 2020",TEXT(YEAR(I4991),"0"))</f>
        <v/>
      </c>
      <c r="N4991" s="5">
        <f>IFERROR(INDEX(DePara!$A:$A,MATCH(TEXT(B4991,"0"),DePara!$D:$D,0)),"(sem categoria)")</f>
        <v/>
      </c>
      <c r="O4991" s="5">
        <f>IF(J4991="","",Parametros!$B$6-J4991)</f>
        <v/>
      </c>
      <c r="P4991" s="5">
        <f>IF(O4991="","",IF(O4991&gt;0,1,0))</f>
        <v/>
      </c>
    </row>
    <row r="4992">
      <c r="A4992" s="5" t="n">
        <v>1117730000</v>
      </c>
      <c r="B4992" s="5" t="inlineStr">
        <is>
          <t>EM000324</t>
        </is>
      </c>
      <c r="C4992" s="5" t="inlineStr">
        <is>
          <t>LUIZ EDUARDO PEREIRA DA SILVA</t>
        </is>
      </c>
      <c r="D4992" s="5" t="inlineStr">
        <is>
          <t>ZP</t>
        </is>
      </c>
      <c r="E4992" s="5" t="n">
        <v>2000013243</v>
      </c>
      <c r="F4992" s="5" t="n"/>
      <c r="G4992" s="5" t="inlineStr">
        <is>
          <t>BRL</t>
        </is>
      </c>
      <c r="H4992" s="9" t="n">
        <v>2990</v>
      </c>
      <c r="I4992" s="16" t="n">
        <v>46246</v>
      </c>
      <c r="J4992" s="16" t="n">
        <v>46246</v>
      </c>
      <c r="K4992" s="5" t="inlineStr">
        <is>
          <t>Vendor DP Request LUIZ EDUARDO PEREIRA DA SILVA 53</t>
        </is>
      </c>
      <c r="L4992" s="5" t="inlineStr">
        <is>
          <t>12082026</t>
        </is>
      </c>
      <c r="M4992" s="5">
        <f>IF(YEAR(I4992)&lt;=2020,"Até 2020",TEXT(YEAR(I4992),"0"))</f>
        <v/>
      </c>
      <c r="N4992" s="5">
        <f>IFERROR(INDEX(DePara!$A:$A,MATCH(TEXT(B4992,"0"),DePara!$D:$D,0)),"(sem categoria)")</f>
        <v/>
      </c>
      <c r="O4992" s="5">
        <f>IF(J4992="","",Parametros!$B$6-J4992)</f>
        <v/>
      </c>
      <c r="P4992" s="5">
        <f>IF(O4992="","",IF(O4992&gt;0,1,0))</f>
        <v/>
      </c>
    </row>
    <row r="4993">
      <c r="A4993" s="5" t="n">
        <v>1117730000</v>
      </c>
      <c r="B4993" s="5" t="inlineStr">
        <is>
          <t>EM000425</t>
        </is>
      </c>
      <c r="C4993" s="5" t="inlineStr">
        <is>
          <t>NAIGUEL PEREIRA DO SANTOS</t>
        </is>
      </c>
      <c r="D4993" s="5" t="inlineStr">
        <is>
          <t>ZP</t>
        </is>
      </c>
      <c r="E4993" s="5" t="n">
        <v>2000013244</v>
      </c>
      <c r="F4993" s="5" t="n"/>
      <c r="G4993" s="5" t="inlineStr">
        <is>
          <t>BRL</t>
        </is>
      </c>
      <c r="H4993" s="9" t="n">
        <v>1820</v>
      </c>
      <c r="I4993" s="16" t="n">
        <v>46246</v>
      </c>
      <c r="J4993" s="16" t="n">
        <v>46246</v>
      </c>
      <c r="K4993" s="5" t="inlineStr">
        <is>
          <t>Vendor DP Request NAIGUEL PEREIRA DO SANTOS 53542</t>
        </is>
      </c>
      <c r="L4993" s="5" t="inlineStr">
        <is>
          <t>12082026</t>
        </is>
      </c>
      <c r="M4993" s="5">
        <f>IF(YEAR(I4993)&lt;=2020,"Até 2020",TEXT(YEAR(I4993),"0"))</f>
        <v/>
      </c>
      <c r="N4993" s="5">
        <f>IFERROR(INDEX(DePara!$A:$A,MATCH(TEXT(B4993,"0"),DePara!$D:$D,0)),"(sem categoria)")</f>
        <v/>
      </c>
      <c r="O4993" s="5">
        <f>IF(J4993="","",Parametros!$B$6-J4993)</f>
        <v/>
      </c>
      <c r="P4993" s="5">
        <f>IF(O4993="","",IF(O4993&gt;0,1,0))</f>
        <v/>
      </c>
    </row>
    <row r="4994">
      <c r="A4994" s="5" t="n">
        <v>1117730000</v>
      </c>
      <c r="B4994" s="5" t="inlineStr">
        <is>
          <t>EM000591</t>
        </is>
      </c>
      <c r="C4994" s="5" t="inlineStr">
        <is>
          <t>SANDERSON SILVA GONCALVES</t>
        </is>
      </c>
      <c r="D4994" s="5" t="inlineStr">
        <is>
          <t>ZP</t>
        </is>
      </c>
      <c r="E4994" s="5" t="n">
        <v>2000013245</v>
      </c>
      <c r="F4994" s="5" t="n"/>
      <c r="G4994" s="5" t="inlineStr">
        <is>
          <t>BRL</t>
        </is>
      </c>
      <c r="H4994" s="9" t="n">
        <v>2470</v>
      </c>
      <c r="I4994" s="16" t="n">
        <v>46246</v>
      </c>
      <c r="J4994" s="16" t="n">
        <v>46246</v>
      </c>
      <c r="K4994" s="5" t="inlineStr">
        <is>
          <t>Vendor DP Request SANDERSON SILVA GONCALVES 53701</t>
        </is>
      </c>
      <c r="L4994" s="5" t="inlineStr">
        <is>
          <t>12082026</t>
        </is>
      </c>
      <c r="M4994" s="5">
        <f>IF(YEAR(I4994)&lt;=2020,"Até 2020",TEXT(YEAR(I4994),"0"))</f>
        <v/>
      </c>
      <c r="N4994" s="5">
        <f>IFERROR(INDEX(DePara!$A:$A,MATCH(TEXT(B4994,"0"),DePara!$D:$D,0)),"(sem categoria)")</f>
        <v/>
      </c>
      <c r="O4994" s="5">
        <f>IF(J4994="","",Parametros!$B$6-J4994)</f>
        <v/>
      </c>
      <c r="P4994" s="5">
        <f>IF(O4994="","",IF(O4994&gt;0,1,0))</f>
        <v/>
      </c>
    </row>
    <row r="4995">
      <c r="A4995" s="5" t="n">
        <v>1117730000</v>
      </c>
      <c r="B4995" s="5" t="inlineStr">
        <is>
          <t>EM000702</t>
        </is>
      </c>
      <c r="C4995" s="5" t="inlineStr">
        <is>
          <t>EDGARD ALEXANDRE DE ANDRADE VARELA</t>
        </is>
      </c>
      <c r="D4995" s="5" t="inlineStr">
        <is>
          <t>ZP</t>
        </is>
      </c>
      <c r="E4995" s="5" t="n">
        <v>2000013247</v>
      </c>
      <c r="F4995" s="5" t="n"/>
      <c r="G4995" s="5" t="inlineStr">
        <is>
          <t>BRL</t>
        </is>
      </c>
      <c r="H4995" s="9" t="n">
        <v>2470</v>
      </c>
      <c r="I4995" s="16" t="n">
        <v>46246</v>
      </c>
      <c r="J4995" s="16" t="n">
        <v>46246</v>
      </c>
      <c r="K4995" s="5" t="inlineStr">
        <is>
          <t>Vendor DP Request EDGARD ALEXANDRE DE ANDRADE VARE</t>
        </is>
      </c>
      <c r="L4995" s="5" t="inlineStr">
        <is>
          <t>12082026</t>
        </is>
      </c>
      <c r="M4995" s="5">
        <f>IF(YEAR(I4995)&lt;=2020,"Até 2020",TEXT(YEAR(I4995),"0"))</f>
        <v/>
      </c>
      <c r="N4995" s="5">
        <f>IFERROR(INDEX(DePara!$A:$A,MATCH(TEXT(B4995,"0"),DePara!$D:$D,0)),"(sem categoria)")</f>
        <v/>
      </c>
      <c r="O4995" s="5">
        <f>IF(J4995="","",Parametros!$B$6-J4995)</f>
        <v/>
      </c>
      <c r="P4995" s="5">
        <f>IF(O4995="","",IF(O4995&gt;0,1,0))</f>
        <v/>
      </c>
    </row>
    <row r="4996">
      <c r="A4996" s="5" t="n">
        <v>1117730000</v>
      </c>
      <c r="B4996" s="5" t="inlineStr">
        <is>
          <t>EM000770</t>
        </is>
      </c>
      <c r="C4996" s="5" t="inlineStr">
        <is>
          <t>THIAGO MENDES DE MESQUITA</t>
        </is>
      </c>
      <c r="D4996" s="5" t="inlineStr">
        <is>
          <t>ZP</t>
        </is>
      </c>
      <c r="E4996" s="5" t="n">
        <v>2000013250</v>
      </c>
      <c r="F4996" s="5" t="n"/>
      <c r="G4996" s="5" t="inlineStr">
        <is>
          <t>BRL</t>
        </is>
      </c>
      <c r="H4996" s="9" t="n">
        <v>650</v>
      </c>
      <c r="I4996" s="16" t="n">
        <v>46246</v>
      </c>
      <c r="J4996" s="16" t="n">
        <v>46246</v>
      </c>
      <c r="K4996" s="5" t="inlineStr">
        <is>
          <t>Vendor DP Request THIAGO MENDES DE MESQUITA 53685</t>
        </is>
      </c>
      <c r="L4996" s="5" t="inlineStr">
        <is>
          <t>12082026</t>
        </is>
      </c>
      <c r="M4996" s="5">
        <f>IF(YEAR(I4996)&lt;=2020,"Até 2020",TEXT(YEAR(I4996),"0"))</f>
        <v/>
      </c>
      <c r="N4996" s="5">
        <f>IFERROR(INDEX(DePara!$A:$A,MATCH(TEXT(B4996,"0"),DePara!$D:$D,0)),"(sem categoria)")</f>
        <v/>
      </c>
      <c r="O4996" s="5">
        <f>IF(J4996="","",Parametros!$B$6-J4996)</f>
        <v/>
      </c>
      <c r="P4996" s="5">
        <f>IF(O4996="","",IF(O4996&gt;0,1,0))</f>
        <v/>
      </c>
    </row>
    <row r="4997">
      <c r="A4997" s="5" t="n">
        <v>1117730000</v>
      </c>
      <c r="B4997" s="5" t="inlineStr">
        <is>
          <t>EM000861</t>
        </is>
      </c>
      <c r="C4997" s="5" t="inlineStr">
        <is>
          <t>JOSE ELIMAR PALHARES JUNIOR</t>
        </is>
      </c>
      <c r="D4997" s="5" t="inlineStr">
        <is>
          <t>ZP</t>
        </is>
      </c>
      <c r="E4997" s="5" t="n">
        <v>2000013252</v>
      </c>
      <c r="F4997" s="5" t="n"/>
      <c r="G4997" s="5" t="inlineStr">
        <is>
          <t>BRL</t>
        </is>
      </c>
      <c r="H4997" s="9" t="n">
        <v>4160</v>
      </c>
      <c r="I4997" s="16" t="n">
        <v>46246</v>
      </c>
      <c r="J4997" s="16" t="n">
        <v>46246</v>
      </c>
      <c r="K4997" s="5" t="inlineStr">
        <is>
          <t>Vendor DP Request JOSE ELIMAR PALHARES JUNIOR 5371</t>
        </is>
      </c>
      <c r="L4997" s="5" t="inlineStr">
        <is>
          <t>12082026</t>
        </is>
      </c>
      <c r="M4997" s="5">
        <f>IF(YEAR(I4997)&lt;=2020,"Até 2020",TEXT(YEAR(I4997),"0"))</f>
        <v/>
      </c>
      <c r="N4997" s="5">
        <f>IFERROR(INDEX(DePara!$A:$A,MATCH(TEXT(B4997,"0"),DePara!$D:$D,0)),"(sem categoria)")</f>
        <v/>
      </c>
      <c r="O4997" s="5">
        <f>IF(J4997="","",Parametros!$B$6-J4997)</f>
        <v/>
      </c>
      <c r="P4997" s="5">
        <f>IF(O4997="","",IF(O4997&gt;0,1,0))</f>
        <v/>
      </c>
    </row>
    <row r="4998">
      <c r="A4998" s="5" t="n">
        <v>1117730000</v>
      </c>
      <c r="B4998" s="5" t="inlineStr">
        <is>
          <t>EM000863</t>
        </is>
      </c>
      <c r="C4998" s="5" t="inlineStr">
        <is>
          <t>LEANDRO CLEYTON MAIA DE SOUSA</t>
        </is>
      </c>
      <c r="D4998" s="5" t="inlineStr">
        <is>
          <t>ZP</t>
        </is>
      </c>
      <c r="E4998" s="5" t="n">
        <v>2000013253</v>
      </c>
      <c r="F4998" s="5" t="n"/>
      <c r="G4998" s="5" t="inlineStr">
        <is>
          <t>BRL</t>
        </is>
      </c>
      <c r="H4998" s="9" t="n">
        <v>650</v>
      </c>
      <c r="I4998" s="16" t="n">
        <v>46246</v>
      </c>
      <c r="J4998" s="16" t="n">
        <v>46246</v>
      </c>
      <c r="K4998" s="5" t="inlineStr">
        <is>
          <t>Vendor DP Request LEANDRO CLEYTON MAIA DE SOUSA 53</t>
        </is>
      </c>
      <c r="L4998" s="5" t="inlineStr">
        <is>
          <t>12082026</t>
        </is>
      </c>
      <c r="M4998" s="5">
        <f>IF(YEAR(I4998)&lt;=2020,"Até 2020",TEXT(YEAR(I4998),"0"))</f>
        <v/>
      </c>
      <c r="N4998" s="5">
        <f>IFERROR(INDEX(DePara!$A:$A,MATCH(TEXT(B4998,"0"),DePara!$D:$D,0)),"(sem categoria)")</f>
        <v/>
      </c>
      <c r="O4998" s="5">
        <f>IF(J4998="","",Parametros!$B$6-J4998)</f>
        <v/>
      </c>
      <c r="P4998" s="5">
        <f>IF(O4998="","",IF(O4998&gt;0,1,0))</f>
        <v/>
      </c>
    </row>
    <row r="4999">
      <c r="A4999" s="5" t="n">
        <v>1117730000</v>
      </c>
      <c r="B4999" s="5" t="inlineStr">
        <is>
          <t>EM000890</t>
        </is>
      </c>
      <c r="C4999" s="5" t="inlineStr">
        <is>
          <t>DENILSON FERNANDES SILVA</t>
        </is>
      </c>
      <c r="D4999" s="5" t="inlineStr">
        <is>
          <t>ZP</t>
        </is>
      </c>
      <c r="E4999" s="5" t="n">
        <v>2000013254</v>
      </c>
      <c r="F4999" s="5" t="n"/>
      <c r="G4999" s="5" t="inlineStr">
        <is>
          <t>BRL</t>
        </is>
      </c>
      <c r="H4999" s="9" t="n">
        <v>520</v>
      </c>
      <c r="I4999" s="16" t="n">
        <v>46246</v>
      </c>
      <c r="J4999" s="16" t="n">
        <v>46246</v>
      </c>
      <c r="K4999" s="5" t="inlineStr">
        <is>
          <t>Vendor DP Request DENILSON FERNANDES SILVA 53647</t>
        </is>
      </c>
      <c r="L4999" s="5" t="inlineStr">
        <is>
          <t>12082026</t>
        </is>
      </c>
      <c r="M4999" s="5">
        <f>IF(YEAR(I4999)&lt;=2020,"Até 2020",TEXT(YEAR(I4999),"0"))</f>
        <v/>
      </c>
      <c r="N4999" s="5">
        <f>IFERROR(INDEX(DePara!$A:$A,MATCH(TEXT(B4999,"0"),DePara!$D:$D,0)),"(sem categoria)")</f>
        <v/>
      </c>
      <c r="O4999" s="5">
        <f>IF(J4999="","",Parametros!$B$6-J4999)</f>
        <v/>
      </c>
      <c r="P4999" s="5">
        <f>IF(O4999="","",IF(O4999&gt;0,1,0))</f>
        <v/>
      </c>
    </row>
    <row r="5000">
      <c r="A5000" s="5" t="n">
        <v>1117730000</v>
      </c>
      <c r="B5000" s="5" t="inlineStr">
        <is>
          <t>EM000900</t>
        </is>
      </c>
      <c r="C5000" s="5" t="inlineStr">
        <is>
          <t>PAULO JOSE DE BRITO</t>
        </is>
      </c>
      <c r="D5000" s="5" t="inlineStr">
        <is>
          <t>ZP</t>
        </is>
      </c>
      <c r="E5000" s="5" t="n">
        <v>2000013255</v>
      </c>
      <c r="F5000" s="5" t="n"/>
      <c r="G5000" s="5" t="inlineStr">
        <is>
          <t>BRL</t>
        </is>
      </c>
      <c r="H5000" s="9" t="n">
        <v>910</v>
      </c>
      <c r="I5000" s="16" t="n">
        <v>46246</v>
      </c>
      <c r="J5000" s="16" t="n">
        <v>46246</v>
      </c>
      <c r="K5000" s="5" t="inlineStr">
        <is>
          <t>Vendor DP Request PAULO JOSE DE BRITO 53691</t>
        </is>
      </c>
      <c r="L5000" s="5" t="inlineStr">
        <is>
          <t>12082026</t>
        </is>
      </c>
      <c r="M5000" s="5">
        <f>IF(YEAR(I5000)&lt;=2020,"Até 2020",TEXT(YEAR(I5000),"0"))</f>
        <v/>
      </c>
      <c r="N5000" s="5">
        <f>IFERROR(INDEX(DePara!$A:$A,MATCH(TEXT(B5000,"0"),DePara!$D:$D,0)),"(sem categoria)")</f>
        <v/>
      </c>
      <c r="O5000" s="5">
        <f>IF(J5000="","",Parametros!$B$6-J5000)</f>
        <v/>
      </c>
      <c r="P5000" s="5">
        <f>IF(O5000="","",IF(O5000&gt;0,1,0))</f>
        <v/>
      </c>
    </row>
    <row r="5001">
      <c r="A5001" s="5" t="n">
        <v>1117730000</v>
      </c>
      <c r="B5001" s="5" t="inlineStr">
        <is>
          <t>EM000905</t>
        </is>
      </c>
      <c r="C5001" s="5" t="inlineStr">
        <is>
          <t>TIAGO DA SILVA SANTANA</t>
        </is>
      </c>
      <c r="D5001" s="5" t="inlineStr">
        <is>
          <t>ZP</t>
        </is>
      </c>
      <c r="E5001" s="5" t="n">
        <v>2000013256</v>
      </c>
      <c r="F5001" s="5" t="n"/>
      <c r="G5001" s="5" t="inlineStr">
        <is>
          <t>BRL</t>
        </is>
      </c>
      <c r="H5001" s="9" t="n">
        <v>3867.6</v>
      </c>
      <c r="I5001" s="16" t="n">
        <v>46246</v>
      </c>
      <c r="J5001" s="16" t="n">
        <v>46246</v>
      </c>
      <c r="K5001" s="5" t="inlineStr">
        <is>
          <t>Vendor DP Request TIAGO DA SILVA SANTANA 53624</t>
        </is>
      </c>
      <c r="L5001" s="5" t="inlineStr">
        <is>
          <t>12082026</t>
        </is>
      </c>
      <c r="M5001" s="5">
        <f>IF(YEAR(I5001)&lt;=2020,"Até 2020",TEXT(YEAR(I5001),"0"))</f>
        <v/>
      </c>
      <c r="N5001" s="5">
        <f>IFERROR(INDEX(DePara!$A:$A,MATCH(TEXT(B5001,"0"),DePara!$D:$D,0)),"(sem categoria)")</f>
        <v/>
      </c>
      <c r="O5001" s="5">
        <f>IF(J5001="","",Parametros!$B$6-J5001)</f>
        <v/>
      </c>
      <c r="P5001" s="5">
        <f>IF(O5001="","",IF(O5001&gt;0,1,0))</f>
        <v/>
      </c>
    </row>
    <row r="5002">
      <c r="A5002" s="5" t="n">
        <v>1117730000</v>
      </c>
      <c r="B5002" s="5" t="inlineStr">
        <is>
          <t>EM003645</t>
        </is>
      </c>
      <c r="C5002" s="5" t="inlineStr">
        <is>
          <t>RAMON PINHEIRO DE AFONSECA</t>
        </is>
      </c>
      <c r="D5002" s="5" t="inlineStr">
        <is>
          <t>ZP</t>
        </is>
      </c>
      <c r="E5002" s="5" t="n">
        <v>2000013257</v>
      </c>
      <c r="F5002" s="5" t="n"/>
      <c r="G5002" s="5" t="inlineStr">
        <is>
          <t>BRL</t>
        </is>
      </c>
      <c r="H5002" s="9" t="n">
        <v>2470</v>
      </c>
      <c r="I5002" s="16" t="n">
        <v>46246</v>
      </c>
      <c r="J5002" s="16" t="n">
        <v>46246</v>
      </c>
      <c r="K5002" s="5" t="inlineStr">
        <is>
          <t>Vendor DP Request RAMON PINHEIRO DE AFONSECA 53703</t>
        </is>
      </c>
      <c r="L5002" s="5" t="inlineStr">
        <is>
          <t>12082026</t>
        </is>
      </c>
      <c r="M5002" s="5">
        <f>IF(YEAR(I5002)&lt;=2020,"Até 2020",TEXT(YEAR(I5002),"0"))</f>
        <v/>
      </c>
      <c r="N5002" s="5">
        <f>IFERROR(INDEX(DePara!$A:$A,MATCH(TEXT(B5002,"0"),DePara!$D:$D,0)),"(sem categoria)")</f>
        <v/>
      </c>
      <c r="O5002" s="5">
        <f>IF(J5002="","",Parametros!$B$6-J5002)</f>
        <v/>
      </c>
      <c r="P5002" s="5">
        <f>IF(O5002="","",IF(O5002&gt;0,1,0))</f>
        <v/>
      </c>
    </row>
    <row r="5003">
      <c r="A5003" s="5" t="n">
        <v>1117730000</v>
      </c>
      <c r="B5003" s="5" t="inlineStr">
        <is>
          <t>EM003694</t>
        </is>
      </c>
      <c r="C5003" s="5" t="inlineStr">
        <is>
          <t>José Ribamar Morais Frazão</t>
        </is>
      </c>
      <c r="D5003" s="5" t="inlineStr">
        <is>
          <t>ZP</t>
        </is>
      </c>
      <c r="E5003" s="5" t="n">
        <v>2000013259</v>
      </c>
      <c r="F5003" s="5" t="n"/>
      <c r="G5003" s="5" t="inlineStr">
        <is>
          <t>BRL</t>
        </is>
      </c>
      <c r="H5003" s="9" t="n">
        <v>1690</v>
      </c>
      <c r="I5003" s="16" t="n">
        <v>46246</v>
      </c>
      <c r="J5003" s="16" t="n">
        <v>46246</v>
      </c>
      <c r="K5003" s="5" t="inlineStr">
        <is>
          <t>Vendor DP Request José Ribamar Morais Frazão 53683</t>
        </is>
      </c>
      <c r="L5003" s="5" t="inlineStr">
        <is>
          <t>12082026</t>
        </is>
      </c>
      <c r="M5003" s="5">
        <f>IF(YEAR(I5003)&lt;=2020,"Até 2020",TEXT(YEAR(I5003),"0"))</f>
        <v/>
      </c>
      <c r="N5003" s="5">
        <f>IFERROR(INDEX(DePara!$A:$A,MATCH(TEXT(B5003,"0"),DePara!$D:$D,0)),"(sem categoria)")</f>
        <v/>
      </c>
      <c r="O5003" s="5">
        <f>IF(J5003="","",Parametros!$B$6-J5003)</f>
        <v/>
      </c>
      <c r="P5003" s="5">
        <f>IF(O5003="","",IF(O5003&gt;0,1,0))</f>
        <v/>
      </c>
    </row>
    <row r="5004">
      <c r="A5004" s="5" t="n">
        <v>1117730000</v>
      </c>
      <c r="B5004" s="5" t="inlineStr">
        <is>
          <t>EM003695</t>
        </is>
      </c>
      <c r="C5004" s="5" t="inlineStr">
        <is>
          <t>Veranilson Santana da silva</t>
        </is>
      </c>
      <c r="D5004" s="5" t="inlineStr">
        <is>
          <t>ZP</t>
        </is>
      </c>
      <c r="E5004" s="5" t="n">
        <v>2000013260</v>
      </c>
      <c r="F5004" s="5" t="n"/>
      <c r="G5004" s="5" t="inlineStr">
        <is>
          <t>BRL</t>
        </is>
      </c>
      <c r="H5004" s="9" t="n">
        <v>1690</v>
      </c>
      <c r="I5004" s="16" t="n">
        <v>46246</v>
      </c>
      <c r="J5004" s="16" t="n">
        <v>46246</v>
      </c>
      <c r="K5004" s="5" t="inlineStr">
        <is>
          <t>Vendor DP Request Veranilson Santana da silva 5368</t>
        </is>
      </c>
      <c r="L5004" s="5" t="inlineStr">
        <is>
          <t>12082026</t>
        </is>
      </c>
      <c r="M5004" s="5">
        <f>IF(YEAR(I5004)&lt;=2020,"Até 2020",TEXT(YEAR(I5004),"0"))</f>
        <v/>
      </c>
      <c r="N5004" s="5">
        <f>IFERROR(INDEX(DePara!$A:$A,MATCH(TEXT(B5004,"0"),DePara!$D:$D,0)),"(sem categoria)")</f>
        <v/>
      </c>
      <c r="O5004" s="5">
        <f>IF(J5004="","",Parametros!$B$6-J5004)</f>
        <v/>
      </c>
      <c r="P5004" s="5">
        <f>IF(O5004="","",IF(O5004&gt;0,1,0))</f>
        <v/>
      </c>
    </row>
    <row r="5005">
      <c r="A5005" s="5" t="n">
        <v>1117730000</v>
      </c>
      <c r="B5005" s="5" t="inlineStr">
        <is>
          <t>EM000210</t>
        </is>
      </c>
      <c r="C5005" s="5" t="inlineStr">
        <is>
          <t>LUCAS HENRIQUE SOARES</t>
        </is>
      </c>
      <c r="D5005" s="5" t="inlineStr">
        <is>
          <t>ZP</t>
        </is>
      </c>
      <c r="E5005" s="5" t="n">
        <v>2000013422</v>
      </c>
      <c r="F5005" s="5" t="n"/>
      <c r="G5005" s="5" t="inlineStr">
        <is>
          <t>BRL</t>
        </is>
      </c>
      <c r="H5005" s="9" t="n">
        <v>2600</v>
      </c>
      <c r="I5005" s="16" t="n">
        <v>46253</v>
      </c>
      <c r="J5005" s="16" t="n">
        <v>46253</v>
      </c>
      <c r="K5005" s="5" t="inlineStr">
        <is>
          <t>Vendor DP Request LUCAS HENRIQUE SOARES 53719</t>
        </is>
      </c>
      <c r="L5005" s="5" t="n"/>
      <c r="M5005" s="5">
        <f>IF(YEAR(I5005)&lt;=2020,"Até 2020",TEXT(YEAR(I5005),"0"))</f>
        <v/>
      </c>
      <c r="N5005" s="5">
        <f>IFERROR(INDEX(DePara!$A:$A,MATCH(TEXT(B5005,"0"),DePara!$D:$D,0)),"(sem categoria)")</f>
        <v/>
      </c>
      <c r="O5005" s="5">
        <f>IF(J5005="","",Parametros!$B$6-J5005)</f>
        <v/>
      </c>
      <c r="P5005" s="5">
        <f>IF(O5005="","",IF(O5005&gt;0,1,0))</f>
        <v/>
      </c>
    </row>
    <row r="5006">
      <c r="A5006" s="5" t="n">
        <v>1117730000</v>
      </c>
      <c r="B5006" s="5" t="inlineStr">
        <is>
          <t>EM000296</t>
        </is>
      </c>
      <c r="C5006" s="5" t="inlineStr">
        <is>
          <t>ROBERTISON JOSE DE BRITO</t>
        </is>
      </c>
      <c r="D5006" s="5" t="inlineStr">
        <is>
          <t>ZP</t>
        </is>
      </c>
      <c r="E5006" s="5" t="n">
        <v>2000013425</v>
      </c>
      <c r="F5006" s="5" t="n"/>
      <c r="G5006" s="5" t="inlineStr">
        <is>
          <t>BRL</t>
        </is>
      </c>
      <c r="H5006" s="9" t="n">
        <v>1040</v>
      </c>
      <c r="I5006" s="16" t="n">
        <v>46253</v>
      </c>
      <c r="J5006" s="16" t="n">
        <v>46253</v>
      </c>
      <c r="K5006" s="5" t="inlineStr">
        <is>
          <t>Vendor DP Request ROBERTISON JOSE DE BRITO 43706</t>
        </is>
      </c>
      <c r="L5006" s="5" t="n"/>
      <c r="M5006" s="5">
        <f>IF(YEAR(I5006)&lt;=2020,"Até 2020",TEXT(YEAR(I5006),"0"))</f>
        <v/>
      </c>
      <c r="N5006" s="5">
        <f>IFERROR(INDEX(DePara!$A:$A,MATCH(TEXT(B5006,"0"),DePara!$D:$D,0)),"(sem categoria)")</f>
        <v/>
      </c>
      <c r="O5006" s="5">
        <f>IF(J5006="","",Parametros!$B$6-J5006)</f>
        <v/>
      </c>
      <c r="P5006" s="5">
        <f>IF(O5006="","",IF(O5006&gt;0,1,0))</f>
        <v/>
      </c>
    </row>
    <row r="5007">
      <c r="A5007" s="5" t="n">
        <v>1117730000</v>
      </c>
      <c r="B5007" s="5" t="inlineStr">
        <is>
          <t>EM000296</t>
        </is>
      </c>
      <c r="C5007" s="5" t="inlineStr">
        <is>
          <t>ROBERTISON JOSE DE BRITO</t>
        </is>
      </c>
      <c r="D5007" s="5" t="inlineStr">
        <is>
          <t>ZP</t>
        </is>
      </c>
      <c r="E5007" s="5" t="n">
        <v>2000013427</v>
      </c>
      <c r="F5007" s="5" t="n"/>
      <c r="G5007" s="5" t="inlineStr">
        <is>
          <t>BRL</t>
        </is>
      </c>
      <c r="H5007" s="9" t="n">
        <v>2836.06</v>
      </c>
      <c r="I5007" s="16" t="n">
        <v>46253</v>
      </c>
      <c r="J5007" s="16" t="n">
        <v>46253</v>
      </c>
      <c r="K5007" s="5" t="inlineStr">
        <is>
          <t>Vendor DP Request ROBERTISON JOSE DE BRITO 43770</t>
        </is>
      </c>
      <c r="L5007" s="5" t="n"/>
      <c r="M5007" s="5">
        <f>IF(YEAR(I5007)&lt;=2020,"Até 2020",TEXT(YEAR(I5007),"0"))</f>
        <v/>
      </c>
      <c r="N5007" s="5">
        <f>IFERROR(INDEX(DePara!$A:$A,MATCH(TEXT(B5007,"0"),DePara!$D:$D,0)),"(sem categoria)")</f>
        <v/>
      </c>
      <c r="O5007" s="5">
        <f>IF(J5007="","",Parametros!$B$6-J5007)</f>
        <v/>
      </c>
      <c r="P5007" s="5">
        <f>IF(O5007="","",IF(O5007&gt;0,1,0))</f>
        <v/>
      </c>
    </row>
    <row r="5008">
      <c r="A5008" s="5" t="n">
        <v>1117730000</v>
      </c>
      <c r="B5008" s="5" t="inlineStr">
        <is>
          <t>EM003789</t>
        </is>
      </c>
      <c r="C5008" s="5" t="inlineStr">
        <is>
          <t>Wagner Munhoz Pezzopani</t>
        </is>
      </c>
      <c r="D5008" s="5" t="inlineStr">
        <is>
          <t>ZP</t>
        </is>
      </c>
      <c r="E5008" s="5" t="n">
        <v>2000013432</v>
      </c>
      <c r="F5008" s="5" t="n"/>
      <c r="G5008" s="5" t="inlineStr">
        <is>
          <t>BRL</t>
        </is>
      </c>
      <c r="H5008" s="9" t="n">
        <v>4420</v>
      </c>
      <c r="I5008" s="16" t="n">
        <v>46253</v>
      </c>
      <c r="J5008" s="16" t="n">
        <v>46253</v>
      </c>
      <c r="K5008" s="5" t="inlineStr">
        <is>
          <t>Vendor DP Request Wagner Munhoz Pezzopani 53697</t>
        </is>
      </c>
      <c r="L5008" s="5" t="n"/>
      <c r="M5008" s="5">
        <f>IF(YEAR(I5008)&lt;=2020,"Até 2020",TEXT(YEAR(I5008),"0"))</f>
        <v/>
      </c>
      <c r="N5008" s="5">
        <f>IFERROR(INDEX(DePara!$A:$A,MATCH(TEXT(B5008,"0"),DePara!$D:$D,0)),"(sem categoria)")</f>
        <v/>
      </c>
      <c r="O5008" s="5">
        <f>IF(J5008="","",Parametros!$B$6-J5008)</f>
        <v/>
      </c>
      <c r="P5008" s="5">
        <f>IF(O5008="","",IF(O5008&gt;0,1,0))</f>
        <v/>
      </c>
    </row>
    <row r="5009">
      <c r="A5009" s="5" t="n">
        <v>1117730000</v>
      </c>
      <c r="B5009" s="5" t="inlineStr">
        <is>
          <t>EM000025</t>
        </is>
      </c>
      <c r="C5009" s="5" t="inlineStr">
        <is>
          <t>DANIEL SPARREMBERGER SHWARTZHAUPT</t>
        </is>
      </c>
      <c r="D5009" s="5" t="inlineStr">
        <is>
          <t>ZP</t>
        </is>
      </c>
      <c r="E5009" s="5" t="n">
        <v>2000013456</v>
      </c>
      <c r="F5009" s="5" t="n"/>
      <c r="G5009" s="5" t="inlineStr">
        <is>
          <t>BRL</t>
        </is>
      </c>
      <c r="H5009" s="9" t="n">
        <v>130</v>
      </c>
      <c r="I5009" s="16" t="n">
        <v>46253</v>
      </c>
      <c r="J5009" s="16" t="n">
        <v>46253</v>
      </c>
      <c r="K5009" s="5" t="inlineStr">
        <is>
          <t>Vendor DP Request DANIEL SPARREMBERGER SHWARTZHAUP</t>
        </is>
      </c>
      <c r="L5009" s="5" t="inlineStr">
        <is>
          <t>19082026</t>
        </is>
      </c>
      <c r="M5009" s="5">
        <f>IF(YEAR(I5009)&lt;=2020,"Até 2020",TEXT(YEAR(I5009),"0"))</f>
        <v/>
      </c>
      <c r="N5009" s="5">
        <f>IFERROR(INDEX(DePara!$A:$A,MATCH(TEXT(B5009,"0"),DePara!$D:$D,0)),"(sem categoria)")</f>
        <v/>
      </c>
      <c r="O5009" s="5">
        <f>IF(J5009="","",Parametros!$B$6-J5009)</f>
        <v/>
      </c>
      <c r="P5009" s="5">
        <f>IF(O5009="","",IF(O5009&gt;0,1,0))</f>
        <v/>
      </c>
    </row>
    <row r="5010">
      <c r="A5010" s="5" t="n">
        <v>1117730000</v>
      </c>
      <c r="B5010" s="5" t="inlineStr">
        <is>
          <t>EM000027</t>
        </is>
      </c>
      <c r="C5010" s="5" t="inlineStr">
        <is>
          <t>RAFAEL AUGUSTO DA SILVA GOULARTE</t>
        </is>
      </c>
      <c r="D5010" s="5" t="inlineStr">
        <is>
          <t>ZP</t>
        </is>
      </c>
      <c r="E5010" s="5" t="n">
        <v>2000013457</v>
      </c>
      <c r="F5010" s="5" t="n"/>
      <c r="G5010" s="5" t="inlineStr">
        <is>
          <t>BRL</t>
        </is>
      </c>
      <c r="H5010" s="9" t="n">
        <v>1800</v>
      </c>
      <c r="I5010" s="16" t="n">
        <v>46253</v>
      </c>
      <c r="J5010" s="16" t="n">
        <v>46253</v>
      </c>
      <c r="K5010" s="5" t="inlineStr">
        <is>
          <t>Vendor DP Request RAFAEL AUGUSTO DA SILVA GOULARTE</t>
        </is>
      </c>
      <c r="L5010" s="5" t="inlineStr">
        <is>
          <t>19082026</t>
        </is>
      </c>
      <c r="M5010" s="5">
        <f>IF(YEAR(I5010)&lt;=2020,"Até 2020",TEXT(YEAR(I5010),"0"))</f>
        <v/>
      </c>
      <c r="N5010" s="5">
        <f>IFERROR(INDEX(DePara!$A:$A,MATCH(TEXT(B5010,"0"),DePara!$D:$D,0)),"(sem categoria)")</f>
        <v/>
      </c>
      <c r="O5010" s="5">
        <f>IF(J5010="","",Parametros!$B$6-J5010)</f>
        <v/>
      </c>
      <c r="P5010" s="5">
        <f>IF(O5010="","",IF(O5010&gt;0,1,0))</f>
        <v/>
      </c>
    </row>
    <row r="5011">
      <c r="A5011" s="5" t="n">
        <v>1117730000</v>
      </c>
      <c r="B5011" s="5" t="inlineStr">
        <is>
          <t>EM000035</t>
        </is>
      </c>
      <c r="C5011" s="5" t="inlineStr">
        <is>
          <t>ALEXANDRE SILVEIRA TRINDADE</t>
        </is>
      </c>
      <c r="D5011" s="5" t="inlineStr">
        <is>
          <t>ZP</t>
        </is>
      </c>
      <c r="E5011" s="5" t="n">
        <v>2000013458</v>
      </c>
      <c r="F5011" s="5" t="n"/>
      <c r="G5011" s="5" t="inlineStr">
        <is>
          <t>BRL</t>
        </is>
      </c>
      <c r="H5011" s="9" t="n">
        <v>780</v>
      </c>
      <c r="I5011" s="16" t="n">
        <v>46253</v>
      </c>
      <c r="J5011" s="16" t="n">
        <v>46253</v>
      </c>
      <c r="K5011" s="5" t="inlineStr">
        <is>
          <t>Vendor DP Request ALEXANDRE SILVEIRA TRINDADE 5474</t>
        </is>
      </c>
      <c r="L5011" s="5" t="inlineStr">
        <is>
          <t>19082026</t>
        </is>
      </c>
      <c r="M5011" s="5">
        <f>IF(YEAR(I5011)&lt;=2020,"Até 2020",TEXT(YEAR(I5011),"0"))</f>
        <v/>
      </c>
      <c r="N5011" s="5">
        <f>IFERROR(INDEX(DePara!$A:$A,MATCH(TEXT(B5011,"0"),DePara!$D:$D,0)),"(sem categoria)")</f>
        <v/>
      </c>
      <c r="O5011" s="5">
        <f>IF(J5011="","",Parametros!$B$6-J5011)</f>
        <v/>
      </c>
      <c r="P5011" s="5">
        <f>IF(O5011="","",IF(O5011&gt;0,1,0))</f>
        <v/>
      </c>
    </row>
    <row r="5012">
      <c r="A5012" s="5" t="n">
        <v>1117730000</v>
      </c>
      <c r="B5012" s="5" t="inlineStr">
        <is>
          <t>EM000036</t>
        </is>
      </c>
      <c r="C5012" s="5" t="inlineStr">
        <is>
          <t>FELIPE EDUARDO GONCALVES</t>
        </is>
      </c>
      <c r="D5012" s="5" t="inlineStr">
        <is>
          <t>ZP</t>
        </is>
      </c>
      <c r="E5012" s="5" t="n">
        <v>2000013459</v>
      </c>
      <c r="F5012" s="5" t="n"/>
      <c r="G5012" s="5" t="inlineStr">
        <is>
          <t>BRL</t>
        </is>
      </c>
      <c r="H5012" s="9" t="n">
        <v>1950</v>
      </c>
      <c r="I5012" s="16" t="n">
        <v>46253</v>
      </c>
      <c r="J5012" s="16" t="n">
        <v>46253</v>
      </c>
      <c r="K5012" s="5" t="inlineStr">
        <is>
          <t>Vendor DP Request FELIPE EDUARDO GONCALVES 53473</t>
        </is>
      </c>
      <c r="L5012" s="5" t="inlineStr">
        <is>
          <t>19082026</t>
        </is>
      </c>
      <c r="M5012" s="5">
        <f>IF(YEAR(I5012)&lt;=2020,"Até 2020",TEXT(YEAR(I5012),"0"))</f>
        <v/>
      </c>
      <c r="N5012" s="5">
        <f>IFERROR(INDEX(DePara!$A:$A,MATCH(TEXT(B5012,"0"),DePara!$D:$D,0)),"(sem categoria)")</f>
        <v/>
      </c>
      <c r="O5012" s="5">
        <f>IF(J5012="","",Parametros!$B$6-J5012)</f>
        <v/>
      </c>
      <c r="P5012" s="5">
        <f>IF(O5012="","",IF(O5012&gt;0,1,0))</f>
        <v/>
      </c>
    </row>
    <row r="5013">
      <c r="A5013" s="5" t="n">
        <v>1117730000</v>
      </c>
      <c r="B5013" s="5" t="inlineStr">
        <is>
          <t>EM000048</t>
        </is>
      </c>
      <c r="C5013" s="5" t="inlineStr">
        <is>
          <t>ARLINDO ASTYZEM REGO</t>
        </is>
      </c>
      <c r="D5013" s="5" t="inlineStr">
        <is>
          <t>ZP</t>
        </is>
      </c>
      <c r="E5013" s="5" t="n">
        <v>2000013461</v>
      </c>
      <c r="F5013" s="5" t="n"/>
      <c r="G5013" s="5" t="inlineStr">
        <is>
          <t>BRL</t>
        </is>
      </c>
      <c r="H5013" s="9" t="n">
        <v>390</v>
      </c>
      <c r="I5013" s="16" t="n">
        <v>46253</v>
      </c>
      <c r="J5013" s="16" t="n">
        <v>46253</v>
      </c>
      <c r="K5013" s="5" t="inlineStr">
        <is>
          <t>Vendor DP Request ARLINDO ASTYZEM REGO 53733</t>
        </is>
      </c>
      <c r="L5013" s="5" t="inlineStr">
        <is>
          <t>19082026</t>
        </is>
      </c>
      <c r="M5013" s="5">
        <f>IF(YEAR(I5013)&lt;=2020,"Até 2020",TEXT(YEAR(I5013),"0"))</f>
        <v/>
      </c>
      <c r="N5013" s="5">
        <f>IFERROR(INDEX(DePara!$A:$A,MATCH(TEXT(B5013,"0"),DePara!$D:$D,0)),"(sem categoria)")</f>
        <v/>
      </c>
      <c r="O5013" s="5">
        <f>IF(J5013="","",Parametros!$B$6-J5013)</f>
        <v/>
      </c>
      <c r="P5013" s="5">
        <f>IF(O5013="","",IF(O5013&gt;0,1,0))</f>
        <v/>
      </c>
    </row>
    <row r="5014">
      <c r="A5014" s="5" t="n">
        <v>1117730000</v>
      </c>
      <c r="B5014" s="5" t="inlineStr">
        <is>
          <t>EM000050</t>
        </is>
      </c>
      <c r="C5014" s="5" t="inlineStr">
        <is>
          <t>RICARDO DANTAS ALVES JUNIOR</t>
        </is>
      </c>
      <c r="D5014" s="5" t="inlineStr">
        <is>
          <t>ZP</t>
        </is>
      </c>
      <c r="E5014" s="5" t="n">
        <v>2000013462</v>
      </c>
      <c r="F5014" s="5" t="n"/>
      <c r="G5014" s="5" t="inlineStr">
        <is>
          <t>BRL</t>
        </is>
      </c>
      <c r="H5014" s="9" t="n">
        <v>390</v>
      </c>
      <c r="I5014" s="16" t="n">
        <v>46253</v>
      </c>
      <c r="J5014" s="16" t="n">
        <v>46253</v>
      </c>
      <c r="K5014" s="5" t="inlineStr">
        <is>
          <t>Vendor DP Request RICARDO DANTAS ALVES JUNIOR 5475</t>
        </is>
      </c>
      <c r="L5014" s="5" t="inlineStr">
        <is>
          <t>19082026</t>
        </is>
      </c>
      <c r="M5014" s="5">
        <f>IF(YEAR(I5014)&lt;=2020,"Até 2020",TEXT(YEAR(I5014),"0"))</f>
        <v/>
      </c>
      <c r="N5014" s="5">
        <f>IFERROR(INDEX(DePara!$A:$A,MATCH(TEXT(B5014,"0"),DePara!$D:$D,0)),"(sem categoria)")</f>
        <v/>
      </c>
      <c r="O5014" s="5">
        <f>IF(J5014="","",Parametros!$B$6-J5014)</f>
        <v/>
      </c>
      <c r="P5014" s="5">
        <f>IF(O5014="","",IF(O5014&gt;0,1,0))</f>
        <v/>
      </c>
    </row>
    <row r="5015">
      <c r="A5015" s="5" t="n">
        <v>1117730000</v>
      </c>
      <c r="B5015" s="5" t="inlineStr">
        <is>
          <t>EM000058</t>
        </is>
      </c>
      <c r="C5015" s="5" t="inlineStr">
        <is>
          <t>VITOR DE CASTRO SANTOS</t>
        </is>
      </c>
      <c r="D5015" s="5" t="inlineStr">
        <is>
          <t>ZP</t>
        </is>
      </c>
      <c r="E5015" s="5" t="n">
        <v>2000013464</v>
      </c>
      <c r="F5015" s="5" t="n"/>
      <c r="G5015" s="5" t="inlineStr">
        <is>
          <t>BRL</t>
        </is>
      </c>
      <c r="H5015" s="9" t="n">
        <v>520</v>
      </c>
      <c r="I5015" s="16" t="n">
        <v>46253</v>
      </c>
      <c r="J5015" s="16" t="n">
        <v>46253</v>
      </c>
      <c r="K5015" s="5" t="inlineStr">
        <is>
          <t>Vendor DP Request VITOR DE CASTRO SANTOS 54763</t>
        </is>
      </c>
      <c r="L5015" s="5" t="inlineStr">
        <is>
          <t>19082026</t>
        </is>
      </c>
      <c r="M5015" s="5">
        <f>IF(YEAR(I5015)&lt;=2020,"Até 2020",TEXT(YEAR(I5015),"0"))</f>
        <v/>
      </c>
      <c r="N5015" s="5">
        <f>IFERROR(INDEX(DePara!$A:$A,MATCH(TEXT(B5015,"0"),DePara!$D:$D,0)),"(sem categoria)")</f>
        <v/>
      </c>
      <c r="O5015" s="5">
        <f>IF(J5015="","",Parametros!$B$6-J5015)</f>
        <v/>
      </c>
      <c r="P5015" s="5">
        <f>IF(O5015="","",IF(O5015&gt;0,1,0))</f>
        <v/>
      </c>
    </row>
    <row r="5016">
      <c r="A5016" s="5" t="n">
        <v>1117730000</v>
      </c>
      <c r="B5016" s="5" t="inlineStr">
        <is>
          <t>EM000063</t>
        </is>
      </c>
      <c r="C5016" s="5" t="inlineStr">
        <is>
          <t>GUSTAVO CRISTYAN DE MACEDO SILVA</t>
        </is>
      </c>
      <c r="D5016" s="5" t="inlineStr">
        <is>
          <t>ZP</t>
        </is>
      </c>
      <c r="E5016" s="5" t="n">
        <v>2000013465</v>
      </c>
      <c r="F5016" s="5" t="n"/>
      <c r="G5016" s="5" t="inlineStr">
        <is>
          <t>BRL</t>
        </is>
      </c>
      <c r="H5016" s="9" t="n">
        <v>780</v>
      </c>
      <c r="I5016" s="16" t="n">
        <v>46253</v>
      </c>
      <c r="J5016" s="16" t="n">
        <v>46253</v>
      </c>
      <c r="K5016" s="5" t="inlineStr">
        <is>
          <t>Vendor DP Request GUSTAVO CRISTYAN DE MACEDO SILVA</t>
        </is>
      </c>
      <c r="L5016" s="5" t="inlineStr">
        <is>
          <t>19082026</t>
        </is>
      </c>
      <c r="M5016" s="5">
        <f>IF(YEAR(I5016)&lt;=2020,"Até 2020",TEXT(YEAR(I5016),"0"))</f>
        <v/>
      </c>
      <c r="N5016" s="5">
        <f>IFERROR(INDEX(DePara!$A:$A,MATCH(TEXT(B5016,"0"),DePara!$D:$D,0)),"(sem categoria)")</f>
        <v/>
      </c>
      <c r="O5016" s="5">
        <f>IF(J5016="","",Parametros!$B$6-J5016)</f>
        <v/>
      </c>
      <c r="P5016" s="5">
        <f>IF(O5016="","",IF(O5016&gt;0,1,0))</f>
        <v/>
      </c>
    </row>
    <row r="5017">
      <c r="A5017" s="5" t="n">
        <v>1117730000</v>
      </c>
      <c r="B5017" s="5" t="inlineStr">
        <is>
          <t>EM000075</t>
        </is>
      </c>
      <c r="C5017" s="5" t="inlineStr">
        <is>
          <t>RENATO CAIO FERNANDES SILVA</t>
        </is>
      </c>
      <c r="D5017" s="5" t="inlineStr">
        <is>
          <t>ZP</t>
        </is>
      </c>
      <c r="E5017" s="5" t="n">
        <v>2000013467</v>
      </c>
      <c r="F5017" s="5" t="n"/>
      <c r="G5017" s="5" t="inlineStr">
        <is>
          <t>BRL</t>
        </is>
      </c>
      <c r="H5017" s="9" t="n">
        <v>910</v>
      </c>
      <c r="I5017" s="16" t="n">
        <v>46253</v>
      </c>
      <c r="J5017" s="16" t="n">
        <v>46253</v>
      </c>
      <c r="K5017" s="5" t="inlineStr">
        <is>
          <t>Vendor DP Request RENATO CAIO FERNANDES SILVA 5369</t>
        </is>
      </c>
      <c r="L5017" s="5" t="inlineStr">
        <is>
          <t>19082026</t>
        </is>
      </c>
      <c r="M5017" s="5">
        <f>IF(YEAR(I5017)&lt;=2020,"Até 2020",TEXT(YEAR(I5017),"0"))</f>
        <v/>
      </c>
      <c r="N5017" s="5">
        <f>IFERROR(INDEX(DePara!$A:$A,MATCH(TEXT(B5017,"0"),DePara!$D:$D,0)),"(sem categoria)")</f>
        <v/>
      </c>
      <c r="O5017" s="5">
        <f>IF(J5017="","",Parametros!$B$6-J5017)</f>
        <v/>
      </c>
      <c r="P5017" s="5">
        <f>IF(O5017="","",IF(O5017&gt;0,1,0))</f>
        <v/>
      </c>
    </row>
    <row r="5018">
      <c r="A5018" s="5" t="n">
        <v>1117730000</v>
      </c>
      <c r="B5018" s="5" t="inlineStr">
        <is>
          <t>EM000095</t>
        </is>
      </c>
      <c r="C5018" s="5" t="inlineStr">
        <is>
          <t>DEYMSON ROBSON AMARAL BEZERRA</t>
        </is>
      </c>
      <c r="D5018" s="5" t="inlineStr">
        <is>
          <t>ZP</t>
        </is>
      </c>
      <c r="E5018" s="5" t="n">
        <v>2000013468</v>
      </c>
      <c r="F5018" s="5" t="n"/>
      <c r="G5018" s="5" t="inlineStr">
        <is>
          <t>BRL</t>
        </is>
      </c>
      <c r="H5018" s="9" t="n">
        <v>1950</v>
      </c>
      <c r="I5018" s="16" t="n">
        <v>46253</v>
      </c>
      <c r="J5018" s="16" t="n">
        <v>46253</v>
      </c>
      <c r="K5018" s="5" t="inlineStr">
        <is>
          <t>Vendor DP Request DEYMSON ROBSON AMARAL BEZERRA 54</t>
        </is>
      </c>
      <c r="L5018" s="5" t="inlineStr">
        <is>
          <t>19082026</t>
        </is>
      </c>
      <c r="M5018" s="5">
        <f>IF(YEAR(I5018)&lt;=2020,"Até 2020",TEXT(YEAR(I5018),"0"))</f>
        <v/>
      </c>
      <c r="N5018" s="5">
        <f>IFERROR(INDEX(DePara!$A:$A,MATCH(TEXT(B5018,"0"),DePara!$D:$D,0)),"(sem categoria)")</f>
        <v/>
      </c>
      <c r="O5018" s="5">
        <f>IF(J5018="","",Parametros!$B$6-J5018)</f>
        <v/>
      </c>
      <c r="P5018" s="5">
        <f>IF(O5018="","",IF(O5018&gt;0,1,0))</f>
        <v/>
      </c>
    </row>
    <row r="5019">
      <c r="A5019" s="5" t="n">
        <v>1117730000</v>
      </c>
      <c r="B5019" s="5" t="inlineStr">
        <is>
          <t>EM000105</t>
        </is>
      </c>
      <c r="C5019" s="5" t="inlineStr">
        <is>
          <t>THIAGO CARVALHO</t>
        </is>
      </c>
      <c r="D5019" s="5" t="inlineStr">
        <is>
          <t>ZP</t>
        </is>
      </c>
      <c r="E5019" s="5" t="n">
        <v>2000013469</v>
      </c>
      <c r="F5019" s="5" t="n"/>
      <c r="G5019" s="5" t="inlineStr">
        <is>
          <t>BRL</t>
        </is>
      </c>
      <c r="H5019" s="9" t="n">
        <v>1773</v>
      </c>
      <c r="I5019" s="16" t="n">
        <v>46253</v>
      </c>
      <c r="J5019" s="16" t="n">
        <v>46253</v>
      </c>
      <c r="K5019" s="5" t="inlineStr">
        <is>
          <t>Vendor DP Request THIAGO CARVALHO 53704</t>
        </is>
      </c>
      <c r="L5019" s="5" t="inlineStr">
        <is>
          <t>19082026</t>
        </is>
      </c>
      <c r="M5019" s="5">
        <f>IF(YEAR(I5019)&lt;=2020,"Até 2020",TEXT(YEAR(I5019),"0"))</f>
        <v/>
      </c>
      <c r="N5019" s="5">
        <f>IFERROR(INDEX(DePara!$A:$A,MATCH(TEXT(B5019,"0"),DePara!$D:$D,0)),"(sem categoria)")</f>
        <v/>
      </c>
      <c r="O5019" s="5">
        <f>IF(J5019="","",Parametros!$B$6-J5019)</f>
        <v/>
      </c>
      <c r="P5019" s="5">
        <f>IF(O5019="","",IF(O5019&gt;0,1,0))</f>
        <v/>
      </c>
    </row>
    <row r="5020">
      <c r="A5020" s="5" t="n">
        <v>1117730000</v>
      </c>
      <c r="B5020" s="5" t="inlineStr">
        <is>
          <t>EM000116</t>
        </is>
      </c>
      <c r="C5020" s="5" t="inlineStr">
        <is>
          <t>NAJARA MENDES OLIVEIRA</t>
        </is>
      </c>
      <c r="D5020" s="5" t="inlineStr">
        <is>
          <t>ZP</t>
        </is>
      </c>
      <c r="E5020" s="5" t="n">
        <v>2000013470</v>
      </c>
      <c r="F5020" s="5" t="n"/>
      <c r="G5020" s="5" t="inlineStr">
        <is>
          <t>BRL</t>
        </is>
      </c>
      <c r="H5020" s="9" t="n">
        <v>520</v>
      </c>
      <c r="I5020" s="16" t="n">
        <v>46253</v>
      </c>
      <c r="J5020" s="16" t="n">
        <v>46253</v>
      </c>
      <c r="K5020" s="5" t="inlineStr">
        <is>
          <t>Vendor DP Request NAJARA MENDES OLIVEIRA 54761</t>
        </is>
      </c>
      <c r="L5020" s="5" t="inlineStr">
        <is>
          <t>19082026</t>
        </is>
      </c>
      <c r="M5020" s="5">
        <f>IF(YEAR(I5020)&lt;=2020,"Até 2020",TEXT(YEAR(I5020),"0"))</f>
        <v/>
      </c>
      <c r="N5020" s="5">
        <f>IFERROR(INDEX(DePara!$A:$A,MATCH(TEXT(B5020,"0"),DePara!$D:$D,0)),"(sem categoria)")</f>
        <v/>
      </c>
      <c r="O5020" s="5">
        <f>IF(J5020="","",Parametros!$B$6-J5020)</f>
        <v/>
      </c>
      <c r="P5020" s="5">
        <f>IF(O5020="","",IF(O5020&gt;0,1,0))</f>
        <v/>
      </c>
    </row>
    <row r="5021">
      <c r="A5021" s="5" t="n">
        <v>1117730000</v>
      </c>
      <c r="B5021" s="5" t="inlineStr">
        <is>
          <t>EM000127</t>
        </is>
      </c>
      <c r="C5021" s="5" t="inlineStr">
        <is>
          <t>GUSTAVO FERNANDES LIMA</t>
        </is>
      </c>
      <c r="D5021" s="5" t="inlineStr">
        <is>
          <t>ZP</t>
        </is>
      </c>
      <c r="E5021" s="5" t="n">
        <v>2000013471</v>
      </c>
      <c r="F5021" s="5" t="n"/>
      <c r="G5021" s="5" t="inlineStr">
        <is>
          <t>BRL</t>
        </is>
      </c>
      <c r="H5021" s="9" t="n">
        <v>1690</v>
      </c>
      <c r="I5021" s="16" t="n">
        <v>46253</v>
      </c>
      <c r="J5021" s="16" t="n">
        <v>46253</v>
      </c>
      <c r="K5021" s="5" t="inlineStr">
        <is>
          <t>Vendor DP Request GUSTAVO FERNANDES LIMA 53662</t>
        </is>
      </c>
      <c r="L5021" s="5" t="inlineStr">
        <is>
          <t>19082026</t>
        </is>
      </c>
      <c r="M5021" s="5">
        <f>IF(YEAR(I5021)&lt;=2020,"Até 2020",TEXT(YEAR(I5021),"0"))</f>
        <v/>
      </c>
      <c r="N5021" s="5">
        <f>IFERROR(INDEX(DePara!$A:$A,MATCH(TEXT(B5021,"0"),DePara!$D:$D,0)),"(sem categoria)")</f>
        <v/>
      </c>
      <c r="O5021" s="5">
        <f>IF(J5021="","",Parametros!$B$6-J5021)</f>
        <v/>
      </c>
      <c r="P5021" s="5">
        <f>IF(O5021="","",IF(O5021&gt;0,1,0))</f>
        <v/>
      </c>
    </row>
    <row r="5022">
      <c r="A5022" s="5" t="n">
        <v>1117730000</v>
      </c>
      <c r="B5022" s="5" t="inlineStr">
        <is>
          <t>EM000128</t>
        </is>
      </c>
      <c r="C5022" s="5" t="inlineStr">
        <is>
          <t>FRANCISCO MARDONIO TORRES DA SILVA</t>
        </is>
      </c>
      <c r="D5022" s="5" t="inlineStr">
        <is>
          <t>ZP</t>
        </is>
      </c>
      <c r="E5022" s="5" t="n">
        <v>2000013472</v>
      </c>
      <c r="F5022" s="5" t="n"/>
      <c r="G5022" s="5" t="inlineStr">
        <is>
          <t>BRL</t>
        </is>
      </c>
      <c r="H5022" s="9" t="n">
        <v>910</v>
      </c>
      <c r="I5022" s="16" t="n">
        <v>46253</v>
      </c>
      <c r="J5022" s="16" t="n">
        <v>46253</v>
      </c>
      <c r="K5022" s="5" t="inlineStr">
        <is>
          <t>Vendor DP Request FRANCISCO MARDONIO TORRES DA SIL</t>
        </is>
      </c>
      <c r="L5022" s="5" t="inlineStr">
        <is>
          <t>19082026</t>
        </is>
      </c>
      <c r="M5022" s="5">
        <f>IF(YEAR(I5022)&lt;=2020,"Até 2020",TEXT(YEAR(I5022),"0"))</f>
        <v/>
      </c>
      <c r="N5022" s="5">
        <f>IFERROR(INDEX(DePara!$A:$A,MATCH(TEXT(B5022,"0"),DePara!$D:$D,0)),"(sem categoria)")</f>
        <v/>
      </c>
      <c r="O5022" s="5">
        <f>IF(J5022="","",Parametros!$B$6-J5022)</f>
        <v/>
      </c>
      <c r="P5022" s="5">
        <f>IF(O5022="","",IF(O5022&gt;0,1,0))</f>
        <v/>
      </c>
    </row>
    <row r="5023">
      <c r="A5023" s="5" t="n">
        <v>1117730000</v>
      </c>
      <c r="B5023" s="5" t="inlineStr">
        <is>
          <t>EM000242</t>
        </is>
      </c>
      <c r="C5023" s="5" t="inlineStr">
        <is>
          <t>JOSE EDUARDO DE SOUSA SOARES</t>
        </is>
      </c>
      <c r="D5023" s="5" t="inlineStr">
        <is>
          <t>ZP</t>
        </is>
      </c>
      <c r="E5023" s="5" t="n">
        <v>2000013474</v>
      </c>
      <c r="F5023" s="5" t="n"/>
      <c r="G5023" s="5" t="inlineStr">
        <is>
          <t>BRL</t>
        </is>
      </c>
      <c r="H5023" s="9" t="n">
        <v>14062.52</v>
      </c>
      <c r="I5023" s="16" t="n">
        <v>46253</v>
      </c>
      <c r="J5023" s="16" t="n">
        <v>46253</v>
      </c>
      <c r="K5023" s="5" t="inlineStr">
        <is>
          <t>Vendor DP Request JOSE EDUARDO DE SOUSA SOARES 547</t>
        </is>
      </c>
      <c r="L5023" s="5" t="inlineStr">
        <is>
          <t>19082026</t>
        </is>
      </c>
      <c r="M5023" s="5">
        <f>IF(YEAR(I5023)&lt;=2020,"Até 2020",TEXT(YEAR(I5023),"0"))</f>
        <v/>
      </c>
      <c r="N5023" s="5">
        <f>IFERROR(INDEX(DePara!$A:$A,MATCH(TEXT(B5023,"0"),DePara!$D:$D,0)),"(sem categoria)")</f>
        <v/>
      </c>
      <c r="O5023" s="5">
        <f>IF(J5023="","",Parametros!$B$6-J5023)</f>
        <v/>
      </c>
      <c r="P5023" s="5">
        <f>IF(O5023="","",IF(O5023&gt;0,1,0))</f>
        <v/>
      </c>
    </row>
    <row r="5024">
      <c r="A5024" s="5" t="n">
        <v>1117730000</v>
      </c>
      <c r="B5024" s="5" t="inlineStr">
        <is>
          <t>EM000367</t>
        </is>
      </c>
      <c r="C5024" s="5" t="inlineStr">
        <is>
          <t>MARCELLA GOMES PEREZ</t>
        </is>
      </c>
      <c r="D5024" s="5" t="inlineStr">
        <is>
          <t>ZP</t>
        </is>
      </c>
      <c r="E5024" s="5" t="n">
        <v>2000013478</v>
      </c>
      <c r="F5024" s="5" t="n"/>
      <c r="G5024" s="5" t="inlineStr">
        <is>
          <t>BRL</t>
        </is>
      </c>
      <c r="H5024" s="9" t="n">
        <v>1060.2</v>
      </c>
      <c r="I5024" s="16" t="n">
        <v>46253</v>
      </c>
      <c r="J5024" s="16" t="n">
        <v>46253</v>
      </c>
      <c r="K5024" s="5" t="inlineStr">
        <is>
          <t>Vendor DP Request MARCELLA GOMES PEREZ 53721</t>
        </is>
      </c>
      <c r="L5024" s="5" t="inlineStr">
        <is>
          <t>19082026</t>
        </is>
      </c>
      <c r="M5024" s="5">
        <f>IF(YEAR(I5024)&lt;=2020,"Até 2020",TEXT(YEAR(I5024),"0"))</f>
        <v/>
      </c>
      <c r="N5024" s="5">
        <f>IFERROR(INDEX(DePara!$A:$A,MATCH(TEXT(B5024,"0"),DePara!$D:$D,0)),"(sem categoria)")</f>
        <v/>
      </c>
      <c r="O5024" s="5">
        <f>IF(J5024="","",Parametros!$B$6-J5024)</f>
        <v/>
      </c>
      <c r="P5024" s="5">
        <f>IF(O5024="","",IF(O5024&gt;0,1,0))</f>
        <v/>
      </c>
    </row>
    <row r="5025">
      <c r="A5025" s="5" t="n">
        <v>1117730000</v>
      </c>
      <c r="B5025" s="5" t="inlineStr">
        <is>
          <t>EM000394</t>
        </is>
      </c>
      <c r="C5025" s="5" t="inlineStr">
        <is>
          <t>WAGNER DELLA FLORA GROSS</t>
        </is>
      </c>
      <c r="D5025" s="5" t="inlineStr">
        <is>
          <t>ZP</t>
        </is>
      </c>
      <c r="E5025" s="5" t="n">
        <v>2000013480</v>
      </c>
      <c r="F5025" s="5" t="n"/>
      <c r="G5025" s="5" t="inlineStr">
        <is>
          <t>BRL</t>
        </is>
      </c>
      <c r="H5025" s="9" t="n">
        <v>1468.8</v>
      </c>
      <c r="I5025" s="16" t="n">
        <v>46253</v>
      </c>
      <c r="J5025" s="16" t="n">
        <v>46253</v>
      </c>
      <c r="K5025" s="5" t="inlineStr">
        <is>
          <t>Vendor DP Request WAGNER DELLA FLORA GROSS 53679</t>
        </is>
      </c>
      <c r="L5025" s="5" t="inlineStr">
        <is>
          <t>19082026</t>
        </is>
      </c>
      <c r="M5025" s="5">
        <f>IF(YEAR(I5025)&lt;=2020,"Até 2020",TEXT(YEAR(I5025),"0"))</f>
        <v/>
      </c>
      <c r="N5025" s="5">
        <f>IFERROR(INDEX(DePara!$A:$A,MATCH(TEXT(B5025,"0"),DePara!$D:$D,0)),"(sem categoria)")</f>
        <v/>
      </c>
      <c r="O5025" s="5">
        <f>IF(J5025="","",Parametros!$B$6-J5025)</f>
        <v/>
      </c>
      <c r="P5025" s="5">
        <f>IF(O5025="","",IF(O5025&gt;0,1,0))</f>
        <v/>
      </c>
    </row>
    <row r="5026">
      <c r="A5026" s="5" t="n">
        <v>1117730000</v>
      </c>
      <c r="B5026" s="5" t="inlineStr">
        <is>
          <t>EM000417</t>
        </is>
      </c>
      <c r="C5026" s="5" t="inlineStr">
        <is>
          <t>VICTOR DOS SANTOS DE JESUS</t>
        </is>
      </c>
      <c r="D5026" s="5" t="inlineStr">
        <is>
          <t>ZP</t>
        </is>
      </c>
      <c r="E5026" s="5" t="n">
        <v>2000013482</v>
      </c>
      <c r="F5026" s="5" t="n"/>
      <c r="G5026" s="5" t="inlineStr">
        <is>
          <t>BRL</t>
        </is>
      </c>
      <c r="H5026" s="9" t="n">
        <v>2520</v>
      </c>
      <c r="I5026" s="16" t="n">
        <v>46253</v>
      </c>
      <c r="J5026" s="16" t="n">
        <v>46253</v>
      </c>
      <c r="K5026" s="5" t="inlineStr">
        <is>
          <t>Vendor DP Request VICTOR DOS SANTOS DE JESUS 53725</t>
        </is>
      </c>
      <c r="L5026" s="5" t="inlineStr">
        <is>
          <t>19082026</t>
        </is>
      </c>
      <c r="M5026" s="5">
        <f>IF(YEAR(I5026)&lt;=2020,"Até 2020",TEXT(YEAR(I5026),"0"))</f>
        <v/>
      </c>
      <c r="N5026" s="5">
        <f>IFERROR(INDEX(DePara!$A:$A,MATCH(TEXT(B5026,"0"),DePara!$D:$D,0)),"(sem categoria)")</f>
        <v/>
      </c>
      <c r="O5026" s="5">
        <f>IF(J5026="","",Parametros!$B$6-J5026)</f>
        <v/>
      </c>
      <c r="P5026" s="5">
        <f>IF(O5026="","",IF(O5026&gt;0,1,0))</f>
        <v/>
      </c>
    </row>
    <row r="5027">
      <c r="A5027" s="5" t="n">
        <v>1117730000</v>
      </c>
      <c r="B5027" s="5" t="inlineStr">
        <is>
          <t>EM000423</t>
        </is>
      </c>
      <c r="C5027" s="5" t="inlineStr">
        <is>
          <t>CARLOS GUILHERME RODRIGUES DA SILVA</t>
        </is>
      </c>
      <c r="D5027" s="5" t="inlineStr">
        <is>
          <t>ZP</t>
        </is>
      </c>
      <c r="E5027" s="5" t="n">
        <v>2000013483</v>
      </c>
      <c r="F5027" s="5" t="n"/>
      <c r="G5027" s="5" t="inlineStr">
        <is>
          <t>BRL</t>
        </is>
      </c>
      <c r="H5027" s="9" t="n">
        <v>130</v>
      </c>
      <c r="I5027" s="16" t="n">
        <v>46253</v>
      </c>
      <c r="J5027" s="16" t="n">
        <v>46253</v>
      </c>
      <c r="K5027" s="5" t="inlineStr">
        <is>
          <t>Vendor DP Request CARLOS GUILHERME RODRIGUES DA SI</t>
        </is>
      </c>
      <c r="L5027" s="5" t="inlineStr">
        <is>
          <t>19082026</t>
        </is>
      </c>
      <c r="M5027" s="5">
        <f>IF(YEAR(I5027)&lt;=2020,"Até 2020",TEXT(YEAR(I5027),"0"))</f>
        <v/>
      </c>
      <c r="N5027" s="5">
        <f>IFERROR(INDEX(DePara!$A:$A,MATCH(TEXT(B5027,"0"),DePara!$D:$D,0)),"(sem categoria)")</f>
        <v/>
      </c>
      <c r="O5027" s="5">
        <f>IF(J5027="","",Parametros!$B$6-J5027)</f>
        <v/>
      </c>
      <c r="P5027" s="5">
        <f>IF(O5027="","",IF(O5027&gt;0,1,0))</f>
        <v/>
      </c>
    </row>
    <row r="5028">
      <c r="A5028" s="5" t="n">
        <v>1117730000</v>
      </c>
      <c r="B5028" s="5" t="inlineStr">
        <is>
          <t>EM000437</t>
        </is>
      </c>
      <c r="C5028" s="5" t="inlineStr">
        <is>
          <t>CLEODON MARIO DA SILVA FILHO</t>
        </is>
      </c>
      <c r="D5028" s="5" t="inlineStr">
        <is>
          <t>ZP</t>
        </is>
      </c>
      <c r="E5028" s="5" t="n">
        <v>2000013485</v>
      </c>
      <c r="F5028" s="5" t="n"/>
      <c r="G5028" s="5" t="inlineStr">
        <is>
          <t>BRL</t>
        </is>
      </c>
      <c r="H5028" s="9" t="n">
        <v>910</v>
      </c>
      <c r="I5028" s="16" t="n">
        <v>46253</v>
      </c>
      <c r="J5028" s="16" t="n">
        <v>46253</v>
      </c>
      <c r="K5028" s="5" t="inlineStr">
        <is>
          <t>Vendor DP Request CLEODON MARIO DA SILVA FILHO 535</t>
        </is>
      </c>
      <c r="L5028" s="5" t="inlineStr">
        <is>
          <t>19082026</t>
        </is>
      </c>
      <c r="M5028" s="5">
        <f>IF(YEAR(I5028)&lt;=2020,"Até 2020",TEXT(YEAR(I5028),"0"))</f>
        <v/>
      </c>
      <c r="N5028" s="5">
        <f>IFERROR(INDEX(DePara!$A:$A,MATCH(TEXT(B5028,"0"),DePara!$D:$D,0)),"(sem categoria)")</f>
        <v/>
      </c>
      <c r="O5028" s="5">
        <f>IF(J5028="","",Parametros!$B$6-J5028)</f>
        <v/>
      </c>
      <c r="P5028" s="5">
        <f>IF(O5028="","",IF(O5028&gt;0,1,0))</f>
        <v/>
      </c>
    </row>
    <row r="5029">
      <c r="A5029" s="5" t="n">
        <v>1117730000</v>
      </c>
      <c r="B5029" s="5" t="inlineStr">
        <is>
          <t>EM000464</t>
        </is>
      </c>
      <c r="C5029" s="5" t="inlineStr">
        <is>
          <t>EVELANGE PEREIRA DE OLIVEIRA</t>
        </is>
      </c>
      <c r="D5029" s="5" t="inlineStr">
        <is>
          <t>ZP</t>
        </is>
      </c>
      <c r="E5029" s="5" t="n">
        <v>2000013487</v>
      </c>
      <c r="F5029" s="5" t="n"/>
      <c r="G5029" s="5" t="inlineStr">
        <is>
          <t>BRL</t>
        </is>
      </c>
      <c r="H5029" s="9" t="n">
        <v>910</v>
      </c>
      <c r="I5029" s="16" t="n">
        <v>46253</v>
      </c>
      <c r="J5029" s="16" t="n">
        <v>46253</v>
      </c>
      <c r="K5029" s="5" t="inlineStr">
        <is>
          <t>Documento fornecedor EVELANGE PEREIRA DE OLIVEIRA</t>
        </is>
      </c>
      <c r="L5029" s="5" t="inlineStr">
        <is>
          <t>19082026</t>
        </is>
      </c>
      <c r="M5029" s="5">
        <f>IF(YEAR(I5029)&lt;=2020,"Até 2020",TEXT(YEAR(I5029),"0"))</f>
        <v/>
      </c>
      <c r="N5029" s="5">
        <f>IFERROR(INDEX(DePara!$A:$A,MATCH(TEXT(B5029,"0"),DePara!$D:$D,0)),"(sem categoria)")</f>
        <v/>
      </c>
      <c r="O5029" s="5">
        <f>IF(J5029="","",Parametros!$B$6-J5029)</f>
        <v/>
      </c>
      <c r="P5029" s="5">
        <f>IF(O5029="","",IF(O5029&gt;0,1,0))</f>
        <v/>
      </c>
    </row>
    <row r="5030">
      <c r="A5030" s="5" t="n">
        <v>1117730000</v>
      </c>
      <c r="B5030" s="5" t="inlineStr">
        <is>
          <t>EM000464</t>
        </is>
      </c>
      <c r="C5030" s="5" t="inlineStr">
        <is>
          <t>EVELANGE PEREIRA DE OLIVEIRA</t>
        </is>
      </c>
      <c r="D5030" s="5" t="inlineStr">
        <is>
          <t>ZP</t>
        </is>
      </c>
      <c r="E5030" s="5" t="n">
        <v>2000013488</v>
      </c>
      <c r="F5030" s="5" t="n"/>
      <c r="G5030" s="5" t="inlineStr">
        <is>
          <t>BRL</t>
        </is>
      </c>
      <c r="H5030" s="9" t="n">
        <v>2600</v>
      </c>
      <c r="I5030" s="16" t="n">
        <v>46253</v>
      </c>
      <c r="J5030" s="16" t="n">
        <v>46253</v>
      </c>
      <c r="K5030" s="5" t="inlineStr">
        <is>
          <t>Documento fornecedor EVELANGE PEREIRA DE OLIVEIRA</t>
        </is>
      </c>
      <c r="L5030" s="5" t="inlineStr">
        <is>
          <t>19082026</t>
        </is>
      </c>
      <c r="M5030" s="5">
        <f>IF(YEAR(I5030)&lt;=2020,"Até 2020",TEXT(YEAR(I5030),"0"))</f>
        <v/>
      </c>
      <c r="N5030" s="5">
        <f>IFERROR(INDEX(DePara!$A:$A,MATCH(TEXT(B5030,"0"),DePara!$D:$D,0)),"(sem categoria)")</f>
        <v/>
      </c>
      <c r="O5030" s="5">
        <f>IF(J5030="","",Parametros!$B$6-J5030)</f>
        <v/>
      </c>
      <c r="P5030" s="5">
        <f>IF(O5030="","",IF(O5030&gt;0,1,0))</f>
        <v/>
      </c>
    </row>
    <row r="5031">
      <c r="A5031" s="5" t="n">
        <v>1117730000</v>
      </c>
      <c r="B5031" s="5" t="inlineStr">
        <is>
          <t>EM000532</t>
        </is>
      </c>
      <c r="C5031" s="5" t="inlineStr">
        <is>
          <t>VALDIRENE MESSONES PINTO DA SILVA</t>
        </is>
      </c>
      <c r="D5031" s="5" t="inlineStr">
        <is>
          <t>ZP</t>
        </is>
      </c>
      <c r="E5031" s="5" t="n">
        <v>2000013491</v>
      </c>
      <c r="F5031" s="5" t="n"/>
      <c r="G5031" s="5" t="inlineStr">
        <is>
          <t>BRL</t>
        </is>
      </c>
      <c r="H5031" s="9" t="n">
        <v>1690</v>
      </c>
      <c r="I5031" s="16" t="n">
        <v>46253</v>
      </c>
      <c r="J5031" s="16" t="n">
        <v>46253</v>
      </c>
      <c r="K5031" s="5" t="inlineStr">
        <is>
          <t>Vendor DP Request VALDIRENE MESSONES PINTO DA SILV</t>
        </is>
      </c>
      <c r="L5031" s="5" t="inlineStr">
        <is>
          <t>19082026</t>
        </is>
      </c>
      <c r="M5031" s="5">
        <f>IF(YEAR(I5031)&lt;=2020,"Até 2020",TEXT(YEAR(I5031),"0"))</f>
        <v/>
      </c>
      <c r="N5031" s="5">
        <f>IFERROR(INDEX(DePara!$A:$A,MATCH(TEXT(B5031,"0"),DePara!$D:$D,0)),"(sem categoria)")</f>
        <v/>
      </c>
      <c r="O5031" s="5">
        <f>IF(J5031="","",Parametros!$B$6-J5031)</f>
        <v/>
      </c>
      <c r="P5031" s="5">
        <f>IF(O5031="","",IF(O5031&gt;0,1,0))</f>
        <v/>
      </c>
    </row>
    <row r="5032">
      <c r="A5032" s="5" t="n">
        <v>1117730000</v>
      </c>
      <c r="B5032" s="5" t="inlineStr">
        <is>
          <t>EM000544</t>
        </is>
      </c>
      <c r="C5032" s="5" t="inlineStr">
        <is>
          <t>JOSE TEIXEIRA DA SILVA NETO</t>
        </is>
      </c>
      <c r="D5032" s="5" t="inlineStr">
        <is>
          <t>ZP</t>
        </is>
      </c>
      <c r="E5032" s="5" t="n">
        <v>2000013492</v>
      </c>
      <c r="F5032" s="5" t="n"/>
      <c r="G5032" s="5" t="inlineStr">
        <is>
          <t>BRL</t>
        </is>
      </c>
      <c r="H5032" s="9" t="n">
        <v>1950</v>
      </c>
      <c r="I5032" s="16" t="n">
        <v>46253</v>
      </c>
      <c r="J5032" s="16" t="n">
        <v>46253</v>
      </c>
      <c r="K5032" s="5" t="inlineStr">
        <is>
          <t>Vendor DP Request JOSE TEIXEIRA DA SILVA NETO 5476</t>
        </is>
      </c>
      <c r="L5032" s="5" t="inlineStr">
        <is>
          <t>19082026</t>
        </is>
      </c>
      <c r="M5032" s="5">
        <f>IF(YEAR(I5032)&lt;=2020,"Até 2020",TEXT(YEAR(I5032),"0"))</f>
        <v/>
      </c>
      <c r="N5032" s="5">
        <f>IFERROR(INDEX(DePara!$A:$A,MATCH(TEXT(B5032,"0"),DePara!$D:$D,0)),"(sem categoria)")</f>
        <v/>
      </c>
      <c r="O5032" s="5">
        <f>IF(J5032="","",Parametros!$B$6-J5032)</f>
        <v/>
      </c>
      <c r="P5032" s="5">
        <f>IF(O5032="","",IF(O5032&gt;0,1,0))</f>
        <v/>
      </c>
    </row>
    <row r="5033">
      <c r="A5033" s="5" t="n">
        <v>1117730000</v>
      </c>
      <c r="B5033" s="5" t="inlineStr">
        <is>
          <t>EM000755</t>
        </is>
      </c>
      <c r="C5033" s="5" t="inlineStr">
        <is>
          <t>Elvio Salvador Junior</t>
        </is>
      </c>
      <c r="D5033" s="5" t="inlineStr">
        <is>
          <t>ZP</t>
        </is>
      </c>
      <c r="E5033" s="5" t="n">
        <v>2000013494</v>
      </c>
      <c r="F5033" s="5" t="n"/>
      <c r="G5033" s="5" t="inlineStr">
        <is>
          <t>BRL</t>
        </is>
      </c>
      <c r="H5033" s="9" t="n">
        <v>1950</v>
      </c>
      <c r="I5033" s="16" t="n">
        <v>46253</v>
      </c>
      <c r="J5033" s="16" t="n">
        <v>46253</v>
      </c>
      <c r="K5033" s="5" t="inlineStr">
        <is>
          <t>Vendor DP Request Elvio Salvador Junior 53713</t>
        </is>
      </c>
      <c r="L5033" s="5" t="inlineStr">
        <is>
          <t>19082026</t>
        </is>
      </c>
      <c r="M5033" s="5">
        <f>IF(YEAR(I5033)&lt;=2020,"Até 2020",TEXT(YEAR(I5033),"0"))</f>
        <v/>
      </c>
      <c r="N5033" s="5">
        <f>IFERROR(INDEX(DePara!$A:$A,MATCH(TEXT(B5033,"0"),DePara!$D:$D,0)),"(sem categoria)")</f>
        <v/>
      </c>
      <c r="O5033" s="5">
        <f>IF(J5033="","",Parametros!$B$6-J5033)</f>
        <v/>
      </c>
      <c r="P5033" s="5">
        <f>IF(O5033="","",IF(O5033&gt;0,1,0))</f>
        <v/>
      </c>
    </row>
    <row r="5034">
      <c r="A5034" s="5" t="n">
        <v>1117730000</v>
      </c>
      <c r="B5034" s="5" t="inlineStr">
        <is>
          <t>EM000874</t>
        </is>
      </c>
      <c r="C5034" s="5" t="inlineStr">
        <is>
          <t>Maciel do Nascimento Santos</t>
        </is>
      </c>
      <c r="D5034" s="5" t="inlineStr">
        <is>
          <t>ZP</t>
        </is>
      </c>
      <c r="E5034" s="5" t="n">
        <v>2000013500</v>
      </c>
      <c r="F5034" s="5" t="n"/>
      <c r="G5034" s="5" t="inlineStr">
        <is>
          <t>BRL</t>
        </is>
      </c>
      <c r="H5034" s="9" t="n">
        <v>390</v>
      </c>
      <c r="I5034" s="16" t="n">
        <v>46253</v>
      </c>
      <c r="J5034" s="16" t="n">
        <v>46253</v>
      </c>
      <c r="K5034" s="5" t="inlineStr">
        <is>
          <t>Vendor DP Request Maciel do Nascimento Santos 5474</t>
        </is>
      </c>
      <c r="L5034" s="5" t="inlineStr">
        <is>
          <t>19082026</t>
        </is>
      </c>
      <c r="M5034" s="5">
        <f>IF(YEAR(I5034)&lt;=2020,"Até 2020",TEXT(YEAR(I5034),"0"))</f>
        <v/>
      </c>
      <c r="N5034" s="5">
        <f>IFERROR(INDEX(DePara!$A:$A,MATCH(TEXT(B5034,"0"),DePara!$D:$D,0)),"(sem categoria)")</f>
        <v/>
      </c>
      <c r="O5034" s="5">
        <f>IF(J5034="","",Parametros!$B$6-J5034)</f>
        <v/>
      </c>
      <c r="P5034" s="5">
        <f>IF(O5034="","",IF(O5034&gt;0,1,0))</f>
        <v/>
      </c>
    </row>
    <row r="5035">
      <c r="A5035" s="5" t="n">
        <v>1117730000</v>
      </c>
      <c r="B5035" s="5" t="inlineStr">
        <is>
          <t>EM000887</t>
        </is>
      </c>
      <c r="C5035" s="5" t="inlineStr">
        <is>
          <t>WANDERLEY RODRIGUES DO BOMFIM JUNIOR</t>
        </is>
      </c>
      <c r="D5035" s="5" t="inlineStr">
        <is>
          <t>ZP</t>
        </is>
      </c>
      <c r="E5035" s="5" t="n">
        <v>2000013501</v>
      </c>
      <c r="F5035" s="5" t="n"/>
      <c r="G5035" s="5" t="inlineStr">
        <is>
          <t>BRL</t>
        </is>
      </c>
      <c r="H5035" s="9" t="n">
        <v>1300</v>
      </c>
      <c r="I5035" s="16" t="n">
        <v>46253</v>
      </c>
      <c r="J5035" s="16" t="n">
        <v>46253</v>
      </c>
      <c r="K5035" s="5" t="inlineStr">
        <is>
          <t>Vendor DP Request WANDERLEY RODRIGUES DO BOMFIM JU</t>
        </is>
      </c>
      <c r="L5035" s="5" t="inlineStr">
        <is>
          <t>19082026</t>
        </is>
      </c>
      <c r="M5035" s="5">
        <f>IF(YEAR(I5035)&lt;=2020,"Até 2020",TEXT(YEAR(I5035),"0"))</f>
        <v/>
      </c>
      <c r="N5035" s="5">
        <f>IFERROR(INDEX(DePara!$A:$A,MATCH(TEXT(B5035,"0"),DePara!$D:$D,0)),"(sem categoria)")</f>
        <v/>
      </c>
      <c r="O5035" s="5">
        <f>IF(J5035="","",Parametros!$B$6-J5035)</f>
        <v/>
      </c>
      <c r="P5035" s="5">
        <f>IF(O5035="","",IF(O5035&gt;0,1,0))</f>
        <v/>
      </c>
    </row>
    <row r="5036">
      <c r="A5036" s="5" t="n">
        <v>1117730000</v>
      </c>
      <c r="B5036" s="5" t="inlineStr">
        <is>
          <t>EM000913</t>
        </is>
      </c>
      <c r="C5036" s="5" t="inlineStr">
        <is>
          <t>JOVERLAND FERNANDES DE SOUSA FILHO</t>
        </is>
      </c>
      <c r="D5036" s="5" t="inlineStr">
        <is>
          <t>ZP</t>
        </is>
      </c>
      <c r="E5036" s="5" t="n">
        <v>2000013503</v>
      </c>
      <c r="F5036" s="5" t="n"/>
      <c r="G5036" s="5" t="inlineStr">
        <is>
          <t>BRL</t>
        </is>
      </c>
      <c r="H5036" s="9" t="n">
        <v>130</v>
      </c>
      <c r="I5036" s="16" t="n">
        <v>46253</v>
      </c>
      <c r="J5036" s="16" t="n">
        <v>46253</v>
      </c>
      <c r="K5036" s="5" t="inlineStr">
        <is>
          <t>Vendor DP Request JOVERLAND FERNANDES DE SOUSA FIL</t>
        </is>
      </c>
      <c r="L5036" s="5" t="inlineStr">
        <is>
          <t>19082026</t>
        </is>
      </c>
      <c r="M5036" s="5">
        <f>IF(YEAR(I5036)&lt;=2020,"Até 2020",TEXT(YEAR(I5036),"0"))</f>
        <v/>
      </c>
      <c r="N5036" s="5">
        <f>IFERROR(INDEX(DePara!$A:$A,MATCH(TEXT(B5036,"0"),DePara!$D:$D,0)),"(sem categoria)")</f>
        <v/>
      </c>
      <c r="O5036" s="5">
        <f>IF(J5036="","",Parametros!$B$6-J5036)</f>
        <v/>
      </c>
      <c r="P5036" s="5">
        <f>IF(O5036="","",IF(O5036&gt;0,1,0))</f>
        <v/>
      </c>
    </row>
    <row r="5037">
      <c r="A5037" s="5" t="n">
        <v>1117730000</v>
      </c>
      <c r="B5037" s="5" t="inlineStr">
        <is>
          <t>EM000970</t>
        </is>
      </c>
      <c r="C5037" s="5" t="inlineStr">
        <is>
          <t>VIVIANE PEIXOTO GOMES</t>
        </is>
      </c>
      <c r="D5037" s="5" t="inlineStr">
        <is>
          <t>ZP</t>
        </is>
      </c>
      <c r="E5037" s="5" t="n">
        <v>2000013505</v>
      </c>
      <c r="F5037" s="5" t="n"/>
      <c r="G5037" s="5" t="inlineStr">
        <is>
          <t>BRL</t>
        </is>
      </c>
      <c r="H5037" s="9" t="n">
        <v>1923</v>
      </c>
      <c r="I5037" s="16" t="n">
        <v>46253</v>
      </c>
      <c r="J5037" s="16" t="n">
        <v>46253</v>
      </c>
      <c r="K5037" s="5" t="inlineStr">
        <is>
          <t>Vendor DP Request VIVIANE PEIXOTO GOMES 53739</t>
        </is>
      </c>
      <c r="L5037" s="5" t="inlineStr">
        <is>
          <t>19082026</t>
        </is>
      </c>
      <c r="M5037" s="5">
        <f>IF(YEAR(I5037)&lt;=2020,"Até 2020",TEXT(YEAR(I5037),"0"))</f>
        <v/>
      </c>
      <c r="N5037" s="5">
        <f>IFERROR(INDEX(DePara!$A:$A,MATCH(TEXT(B5037,"0"),DePara!$D:$D,0)),"(sem categoria)")</f>
        <v/>
      </c>
      <c r="O5037" s="5">
        <f>IF(J5037="","",Parametros!$B$6-J5037)</f>
        <v/>
      </c>
      <c r="P5037" s="5">
        <f>IF(O5037="","",IF(O5037&gt;0,1,0))</f>
        <v/>
      </c>
    </row>
    <row r="5038">
      <c r="A5038" s="5" t="n">
        <v>1117730000</v>
      </c>
      <c r="B5038" s="5" t="inlineStr">
        <is>
          <t>EM000981</t>
        </is>
      </c>
      <c r="C5038" s="5" t="inlineStr">
        <is>
          <t>MATEUS DOS SANTOS PESSOA</t>
        </is>
      </c>
      <c r="D5038" s="5" t="inlineStr">
        <is>
          <t>ZP</t>
        </is>
      </c>
      <c r="E5038" s="5" t="n">
        <v>2000013506</v>
      </c>
      <c r="F5038" s="5" t="n"/>
      <c r="G5038" s="5" t="inlineStr">
        <is>
          <t>BRL</t>
        </is>
      </c>
      <c r="H5038" s="9" t="n">
        <v>1950</v>
      </c>
      <c r="I5038" s="16" t="n">
        <v>46253</v>
      </c>
      <c r="J5038" s="16" t="n">
        <v>46253</v>
      </c>
      <c r="K5038" s="5" t="inlineStr">
        <is>
          <t>Vendor DP Request MATEUS DOS SANTOS PESSOA 53578</t>
        </is>
      </c>
      <c r="L5038" s="5" t="inlineStr">
        <is>
          <t>19082026</t>
        </is>
      </c>
      <c r="M5038" s="5">
        <f>IF(YEAR(I5038)&lt;=2020,"Até 2020",TEXT(YEAR(I5038),"0"))</f>
        <v/>
      </c>
      <c r="N5038" s="5">
        <f>IFERROR(INDEX(DePara!$A:$A,MATCH(TEXT(B5038,"0"),DePara!$D:$D,0)),"(sem categoria)")</f>
        <v/>
      </c>
      <c r="O5038" s="5">
        <f>IF(J5038="","",Parametros!$B$6-J5038)</f>
        <v/>
      </c>
      <c r="P5038" s="5">
        <f>IF(O5038="","",IF(O5038&gt;0,1,0))</f>
        <v/>
      </c>
    </row>
    <row r="5039">
      <c r="A5039" s="5" t="n">
        <v>1117730000</v>
      </c>
      <c r="B5039" s="5" t="inlineStr">
        <is>
          <t>EM000106</t>
        </is>
      </c>
      <c r="C5039" s="5" t="inlineStr">
        <is>
          <t>JONATHAN ITOI DE MORAIS</t>
        </is>
      </c>
      <c r="D5039" s="5" t="inlineStr">
        <is>
          <t>ZP</t>
        </is>
      </c>
      <c r="E5039" s="5" t="n">
        <v>2000013641</v>
      </c>
      <c r="F5039" s="5" t="n"/>
      <c r="G5039" s="5" t="inlineStr">
        <is>
          <t>BRL</t>
        </is>
      </c>
      <c r="H5039" s="9" t="n">
        <v>4262.4</v>
      </c>
      <c r="I5039" s="16" t="n">
        <v>46260</v>
      </c>
      <c r="J5039" s="16" t="n">
        <v>46260</v>
      </c>
      <c r="K5039" s="5" t="inlineStr">
        <is>
          <t>Vendor DP Request JONATHAN ITOI DE MORAIS 53689</t>
        </is>
      </c>
      <c r="L5039" s="5" t="inlineStr">
        <is>
          <t>26082026</t>
        </is>
      </c>
      <c r="M5039" s="5">
        <f>IF(YEAR(I5039)&lt;=2020,"Até 2020",TEXT(YEAR(I5039),"0"))</f>
        <v/>
      </c>
      <c r="N5039" s="5">
        <f>IFERROR(INDEX(DePara!$A:$A,MATCH(TEXT(B5039,"0"),DePara!$D:$D,0)),"(sem categoria)")</f>
        <v/>
      </c>
      <c r="O5039" s="5">
        <f>IF(J5039="","",Parametros!$B$6-J5039)</f>
        <v/>
      </c>
      <c r="P5039" s="5">
        <f>IF(O5039="","",IF(O5039&gt;0,1,0))</f>
        <v/>
      </c>
    </row>
    <row r="5040">
      <c r="A5040" s="5" t="n">
        <v>1117730000</v>
      </c>
      <c r="B5040" s="5" t="inlineStr">
        <is>
          <t>EM000025</t>
        </is>
      </c>
      <c r="C5040" s="5" t="inlineStr">
        <is>
          <t>DANIEL SPARREMBERGER SHWARTZHAUPT</t>
        </is>
      </c>
      <c r="D5040" s="5" t="inlineStr">
        <is>
          <t>ZP</t>
        </is>
      </c>
      <c r="E5040" s="5" t="n">
        <v>2000013674</v>
      </c>
      <c r="F5040" s="5" t="n"/>
      <c r="G5040" s="5" t="inlineStr">
        <is>
          <t>BRL</t>
        </is>
      </c>
      <c r="H5040" s="9" t="n">
        <v>1430</v>
      </c>
      <c r="I5040" s="16" t="n">
        <v>46260</v>
      </c>
      <c r="J5040" s="16" t="n">
        <v>46260</v>
      </c>
      <c r="K5040" s="5" t="inlineStr">
        <is>
          <t>Vendor DP Request DANIEL SPARREMBERGER SHWARTZHAUP</t>
        </is>
      </c>
      <c r="L5040" s="5" t="inlineStr">
        <is>
          <t>26082026</t>
        </is>
      </c>
      <c r="M5040" s="5">
        <f>IF(YEAR(I5040)&lt;=2020,"Até 2020",TEXT(YEAR(I5040),"0"))</f>
        <v/>
      </c>
      <c r="N5040" s="5">
        <f>IFERROR(INDEX(DePara!$A:$A,MATCH(TEXT(B5040,"0"),DePara!$D:$D,0)),"(sem categoria)")</f>
        <v/>
      </c>
      <c r="O5040" s="5">
        <f>IF(J5040="","",Parametros!$B$6-J5040)</f>
        <v/>
      </c>
      <c r="P5040" s="5">
        <f>IF(O5040="","",IF(O5040&gt;0,1,0))</f>
        <v/>
      </c>
    </row>
    <row r="5041">
      <c r="A5041" s="5" t="n">
        <v>1117730000</v>
      </c>
      <c r="B5041" s="5" t="inlineStr">
        <is>
          <t>EM000034</t>
        </is>
      </c>
      <c r="C5041" s="5" t="inlineStr">
        <is>
          <t>WALLYSON HENRIQUE VIEIRA GALDINO</t>
        </is>
      </c>
      <c r="D5041" s="5" t="inlineStr">
        <is>
          <t>ZP</t>
        </is>
      </c>
      <c r="E5041" s="5" t="n">
        <v>2000013675</v>
      </c>
      <c r="F5041" s="5" t="n"/>
      <c r="G5041" s="5" t="inlineStr">
        <is>
          <t>BRL</t>
        </is>
      </c>
      <c r="H5041" s="9" t="n">
        <v>1430</v>
      </c>
      <c r="I5041" s="16" t="n">
        <v>46260</v>
      </c>
      <c r="J5041" s="16" t="n">
        <v>46260</v>
      </c>
      <c r="K5041" s="5" t="inlineStr">
        <is>
          <t>Vendor DP Request WALLYSON HENRIQUE VIEIRA GALDINO</t>
        </is>
      </c>
      <c r="L5041" s="5" t="inlineStr">
        <is>
          <t>26082026</t>
        </is>
      </c>
      <c r="M5041" s="5">
        <f>IF(YEAR(I5041)&lt;=2020,"Até 2020",TEXT(YEAR(I5041),"0"))</f>
        <v/>
      </c>
      <c r="N5041" s="5">
        <f>IFERROR(INDEX(DePara!$A:$A,MATCH(TEXT(B5041,"0"),DePara!$D:$D,0)),"(sem categoria)")</f>
        <v/>
      </c>
      <c r="O5041" s="5">
        <f>IF(J5041="","",Parametros!$B$6-J5041)</f>
        <v/>
      </c>
      <c r="P5041" s="5">
        <f>IF(O5041="","",IF(O5041&gt;0,1,0))</f>
        <v/>
      </c>
    </row>
    <row r="5042">
      <c r="A5042" s="5" t="n">
        <v>1117730000</v>
      </c>
      <c r="B5042" s="5" t="inlineStr">
        <is>
          <t>EM000035</t>
        </is>
      </c>
      <c r="C5042" s="5" t="inlineStr">
        <is>
          <t>ALEXANDRE SILVEIRA TRINDADE</t>
        </is>
      </c>
      <c r="D5042" s="5" t="inlineStr">
        <is>
          <t>ZP</t>
        </is>
      </c>
      <c r="E5042" s="5" t="n">
        <v>2000013676</v>
      </c>
      <c r="F5042" s="5" t="n"/>
      <c r="G5042" s="5" t="inlineStr">
        <is>
          <t>BRL</t>
        </is>
      </c>
      <c r="H5042" s="9" t="n">
        <v>1830</v>
      </c>
      <c r="I5042" s="16" t="n">
        <v>46260</v>
      </c>
      <c r="J5042" s="16" t="n">
        <v>46260</v>
      </c>
      <c r="K5042" s="5" t="inlineStr">
        <is>
          <t>Vendor DP Request ALEXANDRE SILVEIRA TRINDADE 5372</t>
        </is>
      </c>
      <c r="L5042" s="5" t="inlineStr">
        <is>
          <t>26082026</t>
        </is>
      </c>
      <c r="M5042" s="5">
        <f>IF(YEAR(I5042)&lt;=2020,"Até 2020",TEXT(YEAR(I5042),"0"))</f>
        <v/>
      </c>
      <c r="N5042" s="5">
        <f>IFERROR(INDEX(DePara!$A:$A,MATCH(TEXT(B5042,"0"),DePara!$D:$D,0)),"(sem categoria)")</f>
        <v/>
      </c>
      <c r="O5042" s="5">
        <f>IF(J5042="","",Parametros!$B$6-J5042)</f>
        <v/>
      </c>
      <c r="P5042" s="5">
        <f>IF(O5042="","",IF(O5042&gt;0,1,0))</f>
        <v/>
      </c>
    </row>
    <row r="5043">
      <c r="A5043" s="5" t="n">
        <v>1117730000</v>
      </c>
      <c r="B5043" s="5" t="inlineStr">
        <is>
          <t>EM000123</t>
        </is>
      </c>
      <c r="C5043" s="5" t="inlineStr">
        <is>
          <t>MARCELO LUIZ REZENDE DE CARVALHO SILVA</t>
        </is>
      </c>
      <c r="D5043" s="5" t="inlineStr">
        <is>
          <t>ZP</t>
        </is>
      </c>
      <c r="E5043" s="5" t="n">
        <v>2000013677</v>
      </c>
      <c r="F5043" s="5" t="n"/>
      <c r="G5043" s="5" t="inlineStr">
        <is>
          <t>BRL</t>
        </is>
      </c>
      <c r="H5043" s="9" t="n">
        <v>2470</v>
      </c>
      <c r="I5043" s="16" t="n">
        <v>46260</v>
      </c>
      <c r="J5043" s="16" t="n">
        <v>46260</v>
      </c>
      <c r="K5043" s="5" t="inlineStr">
        <is>
          <t>Vendor DP Request MARCELO LUIZ REZENDE DE CARVALHO</t>
        </is>
      </c>
      <c r="L5043" s="5" t="inlineStr">
        <is>
          <t>26082026</t>
        </is>
      </c>
      <c r="M5043" s="5">
        <f>IF(YEAR(I5043)&lt;=2020,"Até 2020",TEXT(YEAR(I5043),"0"))</f>
        <v/>
      </c>
      <c r="N5043" s="5">
        <f>IFERROR(INDEX(DePara!$A:$A,MATCH(TEXT(B5043,"0"),DePara!$D:$D,0)),"(sem categoria)")</f>
        <v/>
      </c>
      <c r="O5043" s="5">
        <f>IF(J5043="","",Parametros!$B$6-J5043)</f>
        <v/>
      </c>
      <c r="P5043" s="5">
        <f>IF(O5043="","",IF(O5043&gt;0,1,0))</f>
        <v/>
      </c>
    </row>
    <row r="5044">
      <c r="A5044" s="5" t="n">
        <v>1117730000</v>
      </c>
      <c r="B5044" s="5" t="inlineStr">
        <is>
          <t>EM000127</t>
        </is>
      </c>
      <c r="C5044" s="5" t="inlineStr">
        <is>
          <t>GUSTAVO FERNANDES LIMA</t>
        </is>
      </c>
      <c r="D5044" s="5" t="inlineStr">
        <is>
          <t>ZP</t>
        </is>
      </c>
      <c r="E5044" s="5" t="n">
        <v>2000013678</v>
      </c>
      <c r="F5044" s="5" t="n"/>
      <c r="G5044" s="5" t="inlineStr">
        <is>
          <t>BRL</t>
        </is>
      </c>
      <c r="H5044" s="9" t="n">
        <v>2860</v>
      </c>
      <c r="I5044" s="16" t="n">
        <v>46260</v>
      </c>
      <c r="J5044" s="16" t="n">
        <v>46260</v>
      </c>
      <c r="K5044" s="5" t="inlineStr">
        <is>
          <t>Vendor DP Request GUSTAVO FERNANDES LIMA 53662</t>
        </is>
      </c>
      <c r="L5044" s="5" t="inlineStr">
        <is>
          <t>26082026</t>
        </is>
      </c>
      <c r="M5044" s="5">
        <f>IF(YEAR(I5044)&lt;=2020,"Até 2020",TEXT(YEAR(I5044),"0"))</f>
        <v/>
      </c>
      <c r="N5044" s="5">
        <f>IFERROR(INDEX(DePara!$A:$A,MATCH(TEXT(B5044,"0"),DePara!$D:$D,0)),"(sem categoria)")</f>
        <v/>
      </c>
      <c r="O5044" s="5">
        <f>IF(J5044="","",Parametros!$B$6-J5044)</f>
        <v/>
      </c>
      <c r="P5044" s="5">
        <f>IF(O5044="","",IF(O5044&gt;0,1,0))</f>
        <v/>
      </c>
    </row>
    <row r="5045">
      <c r="A5045" s="5" t="n">
        <v>1117730000</v>
      </c>
      <c r="B5045" s="5" t="inlineStr">
        <is>
          <t>EM000133</t>
        </is>
      </c>
      <c r="C5045" s="5" t="inlineStr">
        <is>
          <t>WILLIAM MEDEIROS PONTES</t>
        </is>
      </c>
      <c r="D5045" s="5" t="inlineStr">
        <is>
          <t>ZP</t>
        </is>
      </c>
      <c r="E5045" s="5" t="n">
        <v>2000013679</v>
      </c>
      <c r="F5045" s="5" t="n"/>
      <c r="G5045" s="5" t="inlineStr">
        <is>
          <t>BRL</t>
        </is>
      </c>
      <c r="H5045" s="9" t="n">
        <v>390</v>
      </c>
      <c r="I5045" s="16" t="n">
        <v>46260</v>
      </c>
      <c r="J5045" s="16" t="n">
        <v>46260</v>
      </c>
      <c r="K5045" s="5" t="inlineStr">
        <is>
          <t>Vendor DP Request WILLIAM MEDEIROS PONTES 54835</t>
        </is>
      </c>
      <c r="L5045" s="5" t="inlineStr">
        <is>
          <t>26082026</t>
        </is>
      </c>
      <c r="M5045" s="5">
        <f>IF(YEAR(I5045)&lt;=2020,"Até 2020",TEXT(YEAR(I5045),"0"))</f>
        <v/>
      </c>
      <c r="N5045" s="5">
        <f>IFERROR(INDEX(DePara!$A:$A,MATCH(TEXT(B5045,"0"),DePara!$D:$D,0)),"(sem categoria)")</f>
        <v/>
      </c>
      <c r="O5045" s="5">
        <f>IF(J5045="","",Parametros!$B$6-J5045)</f>
        <v/>
      </c>
      <c r="P5045" s="5">
        <f>IF(O5045="","",IF(O5045&gt;0,1,0))</f>
        <v/>
      </c>
    </row>
    <row r="5046">
      <c r="A5046" s="5" t="n">
        <v>1117730000</v>
      </c>
      <c r="B5046" s="5" t="inlineStr">
        <is>
          <t>EM000147</t>
        </is>
      </c>
      <c r="C5046" s="5" t="inlineStr">
        <is>
          <t>AIRTON SHARLES E SILVA PESSOA</t>
        </is>
      </c>
      <c r="D5046" s="5" t="inlineStr">
        <is>
          <t>ZP</t>
        </is>
      </c>
      <c r="E5046" s="5" t="n">
        <v>2000013680</v>
      </c>
      <c r="F5046" s="5" t="n"/>
      <c r="G5046" s="5" t="inlineStr">
        <is>
          <t>BRL</t>
        </is>
      </c>
      <c r="H5046" s="9" t="n">
        <v>780</v>
      </c>
      <c r="I5046" s="16" t="n">
        <v>46260</v>
      </c>
      <c r="J5046" s="16" t="n">
        <v>46260</v>
      </c>
      <c r="K5046" s="5" t="inlineStr">
        <is>
          <t>Vendor DP Request AIRTON SHARLES E SILVA PESSOA 54</t>
        </is>
      </c>
      <c r="L5046" s="5" t="inlineStr">
        <is>
          <t>26082026</t>
        </is>
      </c>
      <c r="M5046" s="5">
        <f>IF(YEAR(I5046)&lt;=2020,"Até 2020",TEXT(YEAR(I5046),"0"))</f>
        <v/>
      </c>
      <c r="N5046" s="5">
        <f>IFERROR(INDEX(DePara!$A:$A,MATCH(TEXT(B5046,"0"),DePara!$D:$D,0)),"(sem categoria)")</f>
        <v/>
      </c>
      <c r="O5046" s="5">
        <f>IF(J5046="","",Parametros!$B$6-J5046)</f>
        <v/>
      </c>
      <c r="P5046" s="5">
        <f>IF(O5046="","",IF(O5046&gt;0,1,0))</f>
        <v/>
      </c>
    </row>
    <row r="5047">
      <c r="A5047" s="5" t="n">
        <v>1117730000</v>
      </c>
      <c r="B5047" s="5" t="inlineStr">
        <is>
          <t>EM000296</t>
        </is>
      </c>
      <c r="C5047" s="5" t="inlineStr">
        <is>
          <t>ROBERTISON JOSE DE BRITO</t>
        </is>
      </c>
      <c r="D5047" s="5" t="inlineStr">
        <is>
          <t>ZP</t>
        </is>
      </c>
      <c r="E5047" s="5" t="n">
        <v>2000013681</v>
      </c>
      <c r="F5047" s="5" t="n"/>
      <c r="G5047" s="5" t="inlineStr">
        <is>
          <t>BRL</t>
        </is>
      </c>
      <c r="H5047" s="9" t="n">
        <v>2709.42</v>
      </c>
      <c r="I5047" s="16" t="n">
        <v>46260</v>
      </c>
      <c r="J5047" s="16" t="n">
        <v>46260</v>
      </c>
      <c r="K5047" s="5" t="inlineStr">
        <is>
          <t>Vendor DP Request ROBERTISON JOSE DE BRITO 53471</t>
        </is>
      </c>
      <c r="L5047" s="5" t="inlineStr">
        <is>
          <t>26082026</t>
        </is>
      </c>
      <c r="M5047" s="5">
        <f>IF(YEAR(I5047)&lt;=2020,"Até 2020",TEXT(YEAR(I5047),"0"))</f>
        <v/>
      </c>
      <c r="N5047" s="5">
        <f>IFERROR(INDEX(DePara!$A:$A,MATCH(TEXT(B5047,"0"),DePara!$D:$D,0)),"(sem categoria)")</f>
        <v/>
      </c>
      <c r="O5047" s="5">
        <f>IF(J5047="","",Parametros!$B$6-J5047)</f>
        <v/>
      </c>
      <c r="P5047" s="5">
        <f>IF(O5047="","",IF(O5047&gt;0,1,0))</f>
        <v/>
      </c>
    </row>
    <row r="5048">
      <c r="A5048" s="5" t="n">
        <v>1117730000</v>
      </c>
      <c r="B5048" s="5" t="inlineStr">
        <is>
          <t>EM000310</t>
        </is>
      </c>
      <c r="C5048" s="5" t="inlineStr">
        <is>
          <t>CARLOS EDUARDO LAUREANO</t>
        </is>
      </c>
      <c r="D5048" s="5" t="inlineStr">
        <is>
          <t>ZP</t>
        </is>
      </c>
      <c r="E5048" s="5" t="n">
        <v>2000013682</v>
      </c>
      <c r="F5048" s="5" t="n"/>
      <c r="G5048" s="5" t="inlineStr">
        <is>
          <t>BRL</t>
        </is>
      </c>
      <c r="H5048" s="9" t="n">
        <v>2181.6</v>
      </c>
      <c r="I5048" s="16" t="n">
        <v>46260</v>
      </c>
      <c r="J5048" s="16" t="n">
        <v>46260</v>
      </c>
      <c r="K5048" s="5" t="inlineStr">
        <is>
          <t>Vendor DP Request CARLOS EDUARDO LAUREANO 51392</t>
        </is>
      </c>
      <c r="L5048" s="5" t="inlineStr">
        <is>
          <t>26082026</t>
        </is>
      </c>
      <c r="M5048" s="5">
        <f>IF(YEAR(I5048)&lt;=2020,"Até 2020",TEXT(YEAR(I5048),"0"))</f>
        <v/>
      </c>
      <c r="N5048" s="5">
        <f>IFERROR(INDEX(DePara!$A:$A,MATCH(TEXT(B5048,"0"),DePara!$D:$D,0)),"(sem categoria)")</f>
        <v/>
      </c>
      <c r="O5048" s="5">
        <f>IF(J5048="","",Parametros!$B$6-J5048)</f>
        <v/>
      </c>
      <c r="P5048" s="5">
        <f>IF(O5048="","",IF(O5048&gt;0,1,0))</f>
        <v/>
      </c>
    </row>
    <row r="5049">
      <c r="A5049" s="5" t="n">
        <v>1117730000</v>
      </c>
      <c r="B5049" s="5" t="inlineStr">
        <is>
          <t>EM000319</t>
        </is>
      </c>
      <c r="C5049" s="5" t="inlineStr">
        <is>
          <t>LAYSON RAYRE ROCHA RIBEIRO</t>
        </is>
      </c>
      <c r="D5049" s="5" t="inlineStr">
        <is>
          <t>ZP</t>
        </is>
      </c>
      <c r="E5049" s="5" t="n">
        <v>2000013683</v>
      </c>
      <c r="F5049" s="5" t="n"/>
      <c r="G5049" s="5" t="inlineStr">
        <is>
          <t>BRL</t>
        </is>
      </c>
      <c r="H5049" s="9" t="n">
        <v>8250</v>
      </c>
      <c r="I5049" s="16" t="n">
        <v>46260</v>
      </c>
      <c r="J5049" s="16" t="n">
        <v>46260</v>
      </c>
      <c r="K5049" s="5" t="inlineStr">
        <is>
          <t>Vendor DP Request LAYSON RAYRE ROCHA RIBEIRO 53722</t>
        </is>
      </c>
      <c r="L5049" s="5" t="inlineStr">
        <is>
          <t>26082026</t>
        </is>
      </c>
      <c r="M5049" s="5">
        <f>IF(YEAR(I5049)&lt;=2020,"Até 2020",TEXT(YEAR(I5049),"0"))</f>
        <v/>
      </c>
      <c r="N5049" s="5">
        <f>IFERROR(INDEX(DePara!$A:$A,MATCH(TEXT(B5049,"0"),DePara!$D:$D,0)),"(sem categoria)")</f>
        <v/>
      </c>
      <c r="O5049" s="5">
        <f>IF(J5049="","",Parametros!$B$6-J5049)</f>
        <v/>
      </c>
      <c r="P5049" s="5">
        <f>IF(O5049="","",IF(O5049&gt;0,1,0))</f>
        <v/>
      </c>
    </row>
    <row r="5050">
      <c r="A5050" s="5" t="n">
        <v>1117730000</v>
      </c>
      <c r="B5050" s="5" t="inlineStr">
        <is>
          <t>EM000398</t>
        </is>
      </c>
      <c r="C5050" s="5" t="inlineStr">
        <is>
          <t>EDUARDO SCHAPLIN ROCHA</t>
        </is>
      </c>
      <c r="D5050" s="5" t="inlineStr">
        <is>
          <t>ZP</t>
        </is>
      </c>
      <c r="E5050" s="5" t="n">
        <v>2000013685</v>
      </c>
      <c r="F5050" s="5" t="n"/>
      <c r="G5050" s="5" t="inlineStr">
        <is>
          <t>BRL</t>
        </is>
      </c>
      <c r="H5050" s="9" t="n">
        <v>9750</v>
      </c>
      <c r="I5050" s="16" t="n">
        <v>46260</v>
      </c>
      <c r="J5050" s="16" t="n">
        <v>46260</v>
      </c>
      <c r="K5050" s="5" t="inlineStr">
        <is>
          <t>Vendor DP Request EDUARDO SCHAPLIN ROCHA 54821</t>
        </is>
      </c>
      <c r="L5050" s="5" t="inlineStr">
        <is>
          <t>26082026</t>
        </is>
      </c>
      <c r="M5050" s="5">
        <f>IF(YEAR(I5050)&lt;=2020,"Até 2020",TEXT(YEAR(I5050),"0"))</f>
        <v/>
      </c>
      <c r="N5050" s="5">
        <f>IFERROR(INDEX(DePara!$A:$A,MATCH(TEXT(B5050,"0"),DePara!$D:$D,0)),"(sem categoria)")</f>
        <v/>
      </c>
      <c r="O5050" s="5">
        <f>IF(J5050="","",Parametros!$B$6-J5050)</f>
        <v/>
      </c>
      <c r="P5050" s="5">
        <f>IF(O5050="","",IF(O5050&gt;0,1,0))</f>
        <v/>
      </c>
    </row>
    <row r="5051">
      <c r="A5051" s="5" t="n">
        <v>1117730000</v>
      </c>
      <c r="B5051" s="5" t="inlineStr">
        <is>
          <t>EM000425</t>
        </is>
      </c>
      <c r="C5051" s="5" t="inlineStr">
        <is>
          <t>NAIGUEL PEREIRA DO SANTOS</t>
        </is>
      </c>
      <c r="D5051" s="5" t="inlineStr">
        <is>
          <t>ZP</t>
        </is>
      </c>
      <c r="E5051" s="5" t="n">
        <v>2000013687</v>
      </c>
      <c r="F5051" s="5" t="n"/>
      <c r="G5051" s="5" t="inlineStr">
        <is>
          <t>BRL</t>
        </is>
      </c>
      <c r="H5051" s="9" t="n">
        <v>2600</v>
      </c>
      <c r="I5051" s="16" t="n">
        <v>46260</v>
      </c>
      <c r="J5051" s="16" t="n">
        <v>46260</v>
      </c>
      <c r="K5051" s="5" t="inlineStr">
        <is>
          <t>Vendor DP Request NAIGUEL PEREIRA DO SANTOS 53542</t>
        </is>
      </c>
      <c r="L5051" s="5" t="inlineStr">
        <is>
          <t>26082026</t>
        </is>
      </c>
      <c r="M5051" s="5">
        <f>IF(YEAR(I5051)&lt;=2020,"Até 2020",TEXT(YEAR(I5051),"0"))</f>
        <v/>
      </c>
      <c r="N5051" s="5">
        <f>IFERROR(INDEX(DePara!$A:$A,MATCH(TEXT(B5051,"0"),DePara!$D:$D,0)),"(sem categoria)")</f>
        <v/>
      </c>
      <c r="O5051" s="5">
        <f>IF(J5051="","",Parametros!$B$6-J5051)</f>
        <v/>
      </c>
      <c r="P5051" s="5">
        <f>IF(O5051="","",IF(O5051&gt;0,1,0))</f>
        <v/>
      </c>
    </row>
    <row r="5052">
      <c r="A5052" s="5" t="n">
        <v>1117730000</v>
      </c>
      <c r="B5052" s="5" t="inlineStr">
        <is>
          <t>EM000437</t>
        </is>
      </c>
      <c r="C5052" s="5" t="inlineStr">
        <is>
          <t>CLEODON MARIO DA SILVA FILHO</t>
        </is>
      </c>
      <c r="D5052" s="5" t="inlineStr">
        <is>
          <t>ZP</t>
        </is>
      </c>
      <c r="E5052" s="5" t="n">
        <v>2000013688</v>
      </c>
      <c r="F5052" s="5" t="n"/>
      <c r="G5052" s="5" t="inlineStr">
        <is>
          <t>BRL</t>
        </is>
      </c>
      <c r="H5052" s="9" t="n">
        <v>1300</v>
      </c>
      <c r="I5052" s="16" t="n">
        <v>46260</v>
      </c>
      <c r="J5052" s="16" t="n">
        <v>46260</v>
      </c>
      <c r="K5052" s="5" t="inlineStr">
        <is>
          <t>Vendor DP Request CLEODON MARIO DA SILVA FILHO 535</t>
        </is>
      </c>
      <c r="L5052" s="5" t="inlineStr">
        <is>
          <t>26082026</t>
        </is>
      </c>
      <c r="M5052" s="5">
        <f>IF(YEAR(I5052)&lt;=2020,"Até 2020",TEXT(YEAR(I5052),"0"))</f>
        <v/>
      </c>
      <c r="N5052" s="5">
        <f>IFERROR(INDEX(DePara!$A:$A,MATCH(TEXT(B5052,"0"),DePara!$D:$D,0)),"(sem categoria)")</f>
        <v/>
      </c>
      <c r="O5052" s="5">
        <f>IF(J5052="","",Parametros!$B$6-J5052)</f>
        <v/>
      </c>
      <c r="P5052" s="5">
        <f>IF(O5052="","",IF(O5052&gt;0,1,0))</f>
        <v/>
      </c>
    </row>
    <row r="5053">
      <c r="A5053" s="5" t="n">
        <v>1117730000</v>
      </c>
      <c r="B5053" s="5" t="inlineStr">
        <is>
          <t>EM000464</t>
        </is>
      </c>
      <c r="C5053" s="5" t="inlineStr">
        <is>
          <t>EVELANGE PEREIRA DE OLIVEIRA</t>
        </is>
      </c>
      <c r="D5053" s="5" t="inlineStr">
        <is>
          <t>ZP</t>
        </is>
      </c>
      <c r="E5053" s="5" t="n">
        <v>2000013689</v>
      </c>
      <c r="F5053" s="5" t="n"/>
      <c r="G5053" s="5" t="inlineStr">
        <is>
          <t>BRL</t>
        </is>
      </c>
      <c r="H5053" s="9" t="n">
        <v>3380</v>
      </c>
      <c r="I5053" s="16" t="n">
        <v>46260</v>
      </c>
      <c r="J5053" s="16" t="n">
        <v>46260</v>
      </c>
      <c r="K5053" s="5" t="inlineStr">
        <is>
          <t>Vendor DP Request EVELANGE PEREIRA DE OLIVEIRA 547</t>
        </is>
      </c>
      <c r="L5053" s="5" t="inlineStr">
        <is>
          <t>26082026</t>
        </is>
      </c>
      <c r="M5053" s="5">
        <f>IF(YEAR(I5053)&lt;=2020,"Até 2020",TEXT(YEAR(I5053),"0"))</f>
        <v/>
      </c>
      <c r="N5053" s="5">
        <f>IFERROR(INDEX(DePara!$A:$A,MATCH(TEXT(B5053,"0"),DePara!$D:$D,0)),"(sem categoria)")</f>
        <v/>
      </c>
      <c r="O5053" s="5">
        <f>IF(J5053="","",Parametros!$B$6-J5053)</f>
        <v/>
      </c>
      <c r="P5053" s="5">
        <f>IF(O5053="","",IF(O5053&gt;0,1,0))</f>
        <v/>
      </c>
    </row>
    <row r="5054">
      <c r="A5054" s="5" t="n">
        <v>1117730000</v>
      </c>
      <c r="B5054" s="5" t="inlineStr">
        <is>
          <t>EM000641</t>
        </is>
      </c>
      <c r="C5054" s="5" t="inlineStr">
        <is>
          <t>JAILDSON FERNANDES DE LIMA SOUSA</t>
        </is>
      </c>
      <c r="D5054" s="5" t="inlineStr">
        <is>
          <t>ZP</t>
        </is>
      </c>
      <c r="E5054" s="5" t="n">
        <v>2000013691</v>
      </c>
      <c r="F5054" s="5" t="n"/>
      <c r="G5054" s="5" t="inlineStr">
        <is>
          <t>BRL</t>
        </is>
      </c>
      <c r="H5054" s="9" t="n">
        <v>360</v>
      </c>
      <c r="I5054" s="16" t="n">
        <v>46260</v>
      </c>
      <c r="J5054" s="16" t="n">
        <v>46260</v>
      </c>
      <c r="K5054" s="5" t="inlineStr">
        <is>
          <t>Vendor DP Request JAILDSON FERNANDES DE LIMA SOUSA</t>
        </is>
      </c>
      <c r="L5054" s="5" t="inlineStr">
        <is>
          <t>26082026</t>
        </is>
      </c>
      <c r="M5054" s="5">
        <f>IF(YEAR(I5054)&lt;=2020,"Até 2020",TEXT(YEAR(I5054),"0"))</f>
        <v/>
      </c>
      <c r="N5054" s="5">
        <f>IFERROR(INDEX(DePara!$A:$A,MATCH(TEXT(B5054,"0"),DePara!$D:$D,0)),"(sem categoria)")</f>
        <v/>
      </c>
      <c r="O5054" s="5">
        <f>IF(J5054="","",Parametros!$B$6-J5054)</f>
        <v/>
      </c>
      <c r="P5054" s="5">
        <f>IF(O5054="","",IF(O5054&gt;0,1,0))</f>
        <v/>
      </c>
    </row>
    <row r="5055">
      <c r="A5055" s="5" t="n">
        <v>1117730000</v>
      </c>
      <c r="B5055" s="5" t="inlineStr">
        <is>
          <t>EM000652</t>
        </is>
      </c>
      <c r="C5055" s="5" t="inlineStr">
        <is>
          <t>LUCAS TURCI</t>
        </is>
      </c>
      <c r="D5055" s="5" t="inlineStr">
        <is>
          <t>ZP</t>
        </is>
      </c>
      <c r="E5055" s="5" t="n">
        <v>2000013692</v>
      </c>
      <c r="F5055" s="5" t="n"/>
      <c r="G5055" s="5" t="inlineStr">
        <is>
          <t>BRL</t>
        </is>
      </c>
      <c r="H5055" s="9" t="n">
        <v>1809</v>
      </c>
      <c r="I5055" s="16" t="n">
        <v>46260</v>
      </c>
      <c r="J5055" s="16" t="n">
        <v>46260</v>
      </c>
      <c r="K5055" s="5" t="inlineStr">
        <is>
          <t>Vendor DP Request LUCAS TURCI 54797</t>
        </is>
      </c>
      <c r="L5055" s="5" t="inlineStr">
        <is>
          <t>26082026</t>
        </is>
      </c>
      <c r="M5055" s="5">
        <f>IF(YEAR(I5055)&lt;=2020,"Até 2020",TEXT(YEAR(I5055),"0"))</f>
        <v/>
      </c>
      <c r="N5055" s="5">
        <f>IFERROR(INDEX(DePara!$A:$A,MATCH(TEXT(B5055,"0"),DePara!$D:$D,0)),"(sem categoria)")</f>
        <v/>
      </c>
      <c r="O5055" s="5">
        <f>IF(J5055="","",Parametros!$B$6-J5055)</f>
        <v/>
      </c>
      <c r="P5055" s="5">
        <f>IF(O5055="","",IF(O5055&gt;0,1,0))</f>
        <v/>
      </c>
    </row>
    <row r="5056">
      <c r="A5056" s="5" t="n">
        <v>1117730000</v>
      </c>
      <c r="B5056" s="5" t="inlineStr">
        <is>
          <t>EM000654</t>
        </is>
      </c>
      <c r="C5056" s="5" t="inlineStr">
        <is>
          <t>FRANCISCO THOMAZ AMIRATI UCHOA</t>
        </is>
      </c>
      <c r="D5056" s="5" t="inlineStr">
        <is>
          <t>ZP</t>
        </is>
      </c>
      <c r="E5056" s="5" t="n">
        <v>2000013693</v>
      </c>
      <c r="F5056" s="5" t="n"/>
      <c r="G5056" s="5" t="inlineStr">
        <is>
          <t>BRL</t>
        </is>
      </c>
      <c r="H5056" s="9" t="n">
        <v>2553.6</v>
      </c>
      <c r="I5056" s="16" t="n">
        <v>46260</v>
      </c>
      <c r="J5056" s="16" t="n">
        <v>46260</v>
      </c>
      <c r="K5056" s="5" t="inlineStr">
        <is>
          <t>Vendor DP Request FRANCISCO THOMAZ AMIRATI UCHOA 5</t>
        </is>
      </c>
      <c r="L5056" s="5" t="inlineStr">
        <is>
          <t>26082026</t>
        </is>
      </c>
      <c r="M5056" s="5">
        <f>IF(YEAR(I5056)&lt;=2020,"Até 2020",TEXT(YEAR(I5056),"0"))</f>
        <v/>
      </c>
      <c r="N5056" s="5">
        <f>IFERROR(INDEX(DePara!$A:$A,MATCH(TEXT(B5056,"0"),DePara!$D:$D,0)),"(sem categoria)")</f>
        <v/>
      </c>
      <c r="O5056" s="5">
        <f>IF(J5056="","",Parametros!$B$6-J5056)</f>
        <v/>
      </c>
      <c r="P5056" s="5">
        <f>IF(O5056="","",IF(O5056&gt;0,1,0))</f>
        <v/>
      </c>
    </row>
    <row r="5057">
      <c r="A5057" s="5" t="n">
        <v>1117730000</v>
      </c>
      <c r="B5057" s="5" t="inlineStr">
        <is>
          <t>EM000774</t>
        </is>
      </c>
      <c r="C5057" s="5" t="inlineStr">
        <is>
          <t>DAIANE SILVA TRIGO</t>
        </is>
      </c>
      <c r="D5057" s="5" t="inlineStr">
        <is>
          <t>ZP</t>
        </is>
      </c>
      <c r="E5057" s="5" t="n">
        <v>2000013697</v>
      </c>
      <c r="F5057" s="5" t="n"/>
      <c r="G5057" s="5" t="inlineStr">
        <is>
          <t>BRL</t>
        </is>
      </c>
      <c r="H5057" s="9" t="n">
        <v>2636.97</v>
      </c>
      <c r="I5057" s="16" t="n">
        <v>46260</v>
      </c>
      <c r="J5057" s="16" t="n">
        <v>46260</v>
      </c>
      <c r="K5057" s="5" t="inlineStr">
        <is>
          <t>Vendor DP Request DAIANE SILVA TRIGO 54765</t>
        </is>
      </c>
      <c r="L5057" s="5" t="inlineStr">
        <is>
          <t>26082026</t>
        </is>
      </c>
      <c r="M5057" s="5">
        <f>IF(YEAR(I5057)&lt;=2020,"Até 2020",TEXT(YEAR(I5057),"0"))</f>
        <v/>
      </c>
      <c r="N5057" s="5">
        <f>IFERROR(INDEX(DePara!$A:$A,MATCH(TEXT(B5057,"0"),DePara!$D:$D,0)),"(sem categoria)")</f>
        <v/>
      </c>
      <c r="O5057" s="5">
        <f>IF(J5057="","",Parametros!$B$6-J5057)</f>
        <v/>
      </c>
      <c r="P5057" s="5">
        <f>IF(O5057="","",IF(O5057&gt;0,1,0))</f>
        <v/>
      </c>
    </row>
    <row r="5058">
      <c r="A5058" s="5" t="n">
        <v>1117730000</v>
      </c>
      <c r="B5058" s="5" t="inlineStr">
        <is>
          <t>EM000777</t>
        </is>
      </c>
      <c r="C5058" s="5" t="inlineStr">
        <is>
          <t>LEONARDO CENTOAMORE</t>
        </is>
      </c>
      <c r="D5058" s="5" t="inlineStr">
        <is>
          <t>ZP</t>
        </is>
      </c>
      <c r="E5058" s="5" t="n">
        <v>2000013698</v>
      </c>
      <c r="F5058" s="5" t="n"/>
      <c r="G5058" s="5" t="inlineStr">
        <is>
          <t>BRL</t>
        </is>
      </c>
      <c r="H5058" s="9" t="n">
        <v>2643.06</v>
      </c>
      <c r="I5058" s="16" t="n">
        <v>46260</v>
      </c>
      <c r="J5058" s="16" t="n">
        <v>46260</v>
      </c>
      <c r="K5058" s="5" t="inlineStr">
        <is>
          <t>Vendor DP Request LEONARDO CENTOAMORE 54752</t>
        </is>
      </c>
      <c r="L5058" s="5" t="inlineStr">
        <is>
          <t>26082026</t>
        </is>
      </c>
      <c r="M5058" s="5">
        <f>IF(YEAR(I5058)&lt;=2020,"Até 2020",TEXT(YEAR(I5058),"0"))</f>
        <v/>
      </c>
      <c r="N5058" s="5">
        <f>IFERROR(INDEX(DePara!$A:$A,MATCH(TEXT(B5058,"0"),DePara!$D:$D,0)),"(sem categoria)")</f>
        <v/>
      </c>
      <c r="O5058" s="5">
        <f>IF(J5058="","",Parametros!$B$6-J5058)</f>
        <v/>
      </c>
      <c r="P5058" s="5">
        <f>IF(O5058="","",IF(O5058&gt;0,1,0))</f>
        <v/>
      </c>
    </row>
    <row r="5059">
      <c r="A5059" s="5" t="n">
        <v>1117730000</v>
      </c>
      <c r="B5059" s="5" t="inlineStr">
        <is>
          <t>EM000793</t>
        </is>
      </c>
      <c r="C5059" s="5" t="inlineStr">
        <is>
          <t>Marcio Hoffmann Fernandes</t>
        </is>
      </c>
      <c r="D5059" s="5" t="inlineStr">
        <is>
          <t>ZP</t>
        </is>
      </c>
      <c r="E5059" s="5" t="n">
        <v>2000013699</v>
      </c>
      <c r="F5059" s="5" t="n"/>
      <c r="G5059" s="5" t="inlineStr">
        <is>
          <t>BRL</t>
        </is>
      </c>
      <c r="H5059" s="9" t="n">
        <v>2741.74</v>
      </c>
      <c r="I5059" s="16" t="n">
        <v>46260</v>
      </c>
      <c r="J5059" s="16" t="n">
        <v>46260</v>
      </c>
      <c r="K5059" s="5" t="inlineStr">
        <is>
          <t>Vendor DP Request Marcio Hoffmann Fernandes 54793</t>
        </is>
      </c>
      <c r="L5059" s="5" t="inlineStr">
        <is>
          <t>26082026</t>
        </is>
      </c>
      <c r="M5059" s="5">
        <f>IF(YEAR(I5059)&lt;=2020,"Até 2020",TEXT(YEAR(I5059),"0"))</f>
        <v/>
      </c>
      <c r="N5059" s="5">
        <f>IFERROR(INDEX(DePara!$A:$A,MATCH(TEXT(B5059,"0"),DePara!$D:$D,0)),"(sem categoria)")</f>
        <v/>
      </c>
      <c r="O5059" s="5">
        <f>IF(J5059="","",Parametros!$B$6-J5059)</f>
        <v/>
      </c>
      <c r="P5059" s="5">
        <f>IF(O5059="","",IF(O5059&gt;0,1,0))</f>
        <v/>
      </c>
    </row>
    <row r="5060">
      <c r="A5060" s="5" t="n">
        <v>1117730000</v>
      </c>
      <c r="B5060" s="5" t="inlineStr">
        <is>
          <t>EM000816</t>
        </is>
      </c>
      <c r="C5060" s="5" t="inlineStr">
        <is>
          <t>FRANCISCO HELIO CORREIA LIMA</t>
        </is>
      </c>
      <c r="D5060" s="5" t="inlineStr">
        <is>
          <t>ZP</t>
        </is>
      </c>
      <c r="E5060" s="5" t="n">
        <v>2000013700</v>
      </c>
      <c r="F5060" s="5" t="n"/>
      <c r="G5060" s="5" t="inlineStr">
        <is>
          <t>BRL</t>
        </is>
      </c>
      <c r="H5060" s="9" t="n">
        <v>910</v>
      </c>
      <c r="I5060" s="16" t="n">
        <v>46260</v>
      </c>
      <c r="J5060" s="16" t="n">
        <v>46260</v>
      </c>
      <c r="K5060" s="5" t="inlineStr">
        <is>
          <t>Vendor DP Request FRANCISCO HELIO CORREIA LIMA 547</t>
        </is>
      </c>
      <c r="L5060" s="5" t="inlineStr">
        <is>
          <t>26082026</t>
        </is>
      </c>
      <c r="M5060" s="5">
        <f>IF(YEAR(I5060)&lt;=2020,"Até 2020",TEXT(YEAR(I5060),"0"))</f>
        <v/>
      </c>
      <c r="N5060" s="5">
        <f>IFERROR(INDEX(DePara!$A:$A,MATCH(TEXT(B5060,"0"),DePara!$D:$D,0)),"(sem categoria)")</f>
        <v/>
      </c>
      <c r="O5060" s="5">
        <f>IF(J5060="","",Parametros!$B$6-J5060)</f>
        <v/>
      </c>
      <c r="P5060" s="5">
        <f>IF(O5060="","",IF(O5060&gt;0,1,0))</f>
        <v/>
      </c>
    </row>
    <row r="5061">
      <c r="A5061" s="5" t="n">
        <v>1117730000</v>
      </c>
      <c r="B5061" s="5" t="inlineStr">
        <is>
          <t>EM000849</t>
        </is>
      </c>
      <c r="C5061" s="5" t="inlineStr">
        <is>
          <t>GEOVANE FERREIRA DOS SANTOS</t>
        </is>
      </c>
      <c r="D5061" s="5" t="inlineStr">
        <is>
          <t>ZP</t>
        </is>
      </c>
      <c r="E5061" s="5" t="n">
        <v>2000013701</v>
      </c>
      <c r="F5061" s="5" t="n"/>
      <c r="G5061" s="5" t="inlineStr">
        <is>
          <t>BRL</t>
        </is>
      </c>
      <c r="H5061" s="9" t="n">
        <v>1040</v>
      </c>
      <c r="I5061" s="16" t="n">
        <v>46260</v>
      </c>
      <c r="J5061" s="16" t="n">
        <v>46260</v>
      </c>
      <c r="K5061" s="5" t="inlineStr">
        <is>
          <t>Vendor DP Request GEOVANE FERREIRA DOS SANTOS 5480</t>
        </is>
      </c>
      <c r="L5061" s="5" t="inlineStr">
        <is>
          <t>26082026</t>
        </is>
      </c>
      <c r="M5061" s="5">
        <f>IF(YEAR(I5061)&lt;=2020,"Até 2020",TEXT(YEAR(I5061),"0"))</f>
        <v/>
      </c>
      <c r="N5061" s="5">
        <f>IFERROR(INDEX(DePara!$A:$A,MATCH(TEXT(B5061,"0"),DePara!$D:$D,0)),"(sem categoria)")</f>
        <v/>
      </c>
      <c r="O5061" s="5">
        <f>IF(J5061="","",Parametros!$B$6-J5061)</f>
        <v/>
      </c>
      <c r="P5061" s="5">
        <f>IF(O5061="","",IF(O5061&gt;0,1,0))</f>
        <v/>
      </c>
    </row>
    <row r="5062">
      <c r="A5062" s="5" t="n">
        <v>1117730000</v>
      </c>
      <c r="B5062" s="5" t="inlineStr">
        <is>
          <t>EM000851</t>
        </is>
      </c>
      <c r="C5062" s="5" t="inlineStr">
        <is>
          <t>SAULLO SILVA JANUARIO</t>
        </is>
      </c>
      <c r="D5062" s="5" t="inlineStr">
        <is>
          <t>ZP</t>
        </is>
      </c>
      <c r="E5062" s="5" t="n">
        <v>2000013702</v>
      </c>
      <c r="F5062" s="5" t="n"/>
      <c r="G5062" s="5" t="inlineStr">
        <is>
          <t>BRL</t>
        </is>
      </c>
      <c r="H5062" s="9" t="n">
        <v>1690</v>
      </c>
      <c r="I5062" s="16" t="n">
        <v>46260</v>
      </c>
      <c r="J5062" s="16" t="n">
        <v>46260</v>
      </c>
      <c r="K5062" s="5" t="inlineStr">
        <is>
          <t>Vendor DP Request SAULLO SILVA JANUARIO 54813</t>
        </is>
      </c>
      <c r="L5062" s="5" t="inlineStr">
        <is>
          <t>26082026</t>
        </is>
      </c>
      <c r="M5062" s="5">
        <f>IF(YEAR(I5062)&lt;=2020,"Até 2020",TEXT(YEAR(I5062),"0"))</f>
        <v/>
      </c>
      <c r="N5062" s="5">
        <f>IFERROR(INDEX(DePara!$A:$A,MATCH(TEXT(B5062,"0"),DePara!$D:$D,0)),"(sem categoria)")</f>
        <v/>
      </c>
      <c r="O5062" s="5">
        <f>IF(J5062="","",Parametros!$B$6-J5062)</f>
        <v/>
      </c>
      <c r="P5062" s="5">
        <f>IF(O5062="","",IF(O5062&gt;0,1,0))</f>
        <v/>
      </c>
    </row>
    <row r="5063">
      <c r="A5063" s="5" t="n">
        <v>1117730000</v>
      </c>
      <c r="B5063" s="5" t="inlineStr">
        <is>
          <t>EM000964</t>
        </is>
      </c>
      <c r="C5063" s="5" t="inlineStr">
        <is>
          <t>ANA MARIA BOTELHO FONSECA</t>
        </is>
      </c>
      <c r="D5063" s="5" t="inlineStr">
        <is>
          <t>ZP</t>
        </is>
      </c>
      <c r="E5063" s="5" t="n">
        <v>2000013703</v>
      </c>
      <c r="F5063" s="5" t="n"/>
      <c r="G5063" s="5" t="inlineStr">
        <is>
          <t>BRL</t>
        </is>
      </c>
      <c r="H5063" s="9" t="n">
        <v>2257.2</v>
      </c>
      <c r="I5063" s="16" t="n">
        <v>46260</v>
      </c>
      <c r="J5063" s="16" t="n">
        <v>46260</v>
      </c>
      <c r="K5063" s="5" t="inlineStr">
        <is>
          <t>Vendor DP Request ANA MARIA BOTELHO FONSECA 53508</t>
        </is>
      </c>
      <c r="L5063" s="5" t="inlineStr">
        <is>
          <t>26082026</t>
        </is>
      </c>
      <c r="M5063" s="5">
        <f>IF(YEAR(I5063)&lt;=2020,"Até 2020",TEXT(YEAR(I5063),"0"))</f>
        <v/>
      </c>
      <c r="N5063" s="5">
        <f>IFERROR(INDEX(DePara!$A:$A,MATCH(TEXT(B5063,"0"),DePara!$D:$D,0)),"(sem categoria)")</f>
        <v/>
      </c>
      <c r="O5063" s="5">
        <f>IF(J5063="","",Parametros!$B$6-J5063)</f>
        <v/>
      </c>
      <c r="P5063" s="5">
        <f>IF(O5063="","",IF(O5063&gt;0,1,0))</f>
        <v/>
      </c>
    </row>
    <row r="5064">
      <c r="A5064" s="5" t="n">
        <v>1117730000</v>
      </c>
      <c r="B5064" s="5" t="inlineStr">
        <is>
          <t>EM003810</t>
        </is>
      </c>
      <c r="C5064" s="5" t="inlineStr">
        <is>
          <t>RONERIO AMORIM DE ARARIPE</t>
        </is>
      </c>
      <c r="D5064" s="5" t="inlineStr">
        <is>
          <t>ZP</t>
        </is>
      </c>
      <c r="E5064" s="5" t="n">
        <v>2000013704</v>
      </c>
      <c r="F5064" s="5" t="n"/>
      <c r="G5064" s="5" t="inlineStr">
        <is>
          <t>BRL</t>
        </is>
      </c>
      <c r="H5064" s="9" t="n">
        <v>4160</v>
      </c>
      <c r="I5064" s="16" t="n">
        <v>46260</v>
      </c>
      <c r="J5064" s="16" t="n">
        <v>46260</v>
      </c>
      <c r="K5064" s="5" t="inlineStr">
        <is>
          <t>Vendor DP Request RONERIO AMORIM DE ARARIPE 54820</t>
        </is>
      </c>
      <c r="L5064" s="5" t="inlineStr">
        <is>
          <t>26082026</t>
        </is>
      </c>
      <c r="M5064" s="5">
        <f>IF(YEAR(I5064)&lt;=2020,"Até 2020",TEXT(YEAR(I5064),"0"))</f>
        <v/>
      </c>
      <c r="N5064" s="5">
        <f>IFERROR(INDEX(DePara!$A:$A,MATCH(TEXT(B5064,"0"),DePara!$D:$D,0)),"(sem categoria)")</f>
        <v/>
      </c>
      <c r="O5064" s="5">
        <f>IF(J5064="","",Parametros!$B$6-J5064)</f>
        <v/>
      </c>
      <c r="P5064" s="5">
        <f>IF(O5064="","",IF(O5064&gt;0,1,0))</f>
        <v/>
      </c>
    </row>
    <row r="5065">
      <c r="A5065" s="5" t="n">
        <v>1117730000</v>
      </c>
      <c r="B5065" s="5" t="inlineStr">
        <is>
          <t>EM200818</t>
        </is>
      </c>
      <c r="C5065" s="5" t="inlineStr">
        <is>
          <t>MARCOS GRANDE JACOBOVSKI NICARETTA</t>
        </is>
      </c>
      <c r="D5065" s="5" t="inlineStr">
        <is>
          <t>ZP</t>
        </is>
      </c>
      <c r="E5065" s="5" t="n">
        <v>2000013705</v>
      </c>
      <c r="F5065" s="5" t="n"/>
      <c r="G5065" s="5" t="inlineStr">
        <is>
          <t>BRL</t>
        </is>
      </c>
      <c r="H5065" s="9" t="n">
        <v>1507.2</v>
      </c>
      <c r="I5065" s="16" t="n">
        <v>46260</v>
      </c>
      <c r="J5065" s="16" t="n">
        <v>46260</v>
      </c>
      <c r="K5065" s="5" t="inlineStr">
        <is>
          <t>Vendor DP Request MARCOS GRANDE JACOBOVSKI NICARET</t>
        </is>
      </c>
      <c r="L5065" s="5" t="inlineStr">
        <is>
          <t>26082026</t>
        </is>
      </c>
      <c r="M5065" s="5">
        <f>IF(YEAR(I5065)&lt;=2020,"Até 2020",TEXT(YEAR(I5065),"0"))</f>
        <v/>
      </c>
      <c r="N5065" s="5">
        <f>IFERROR(INDEX(DePara!$A:$A,MATCH(TEXT(B5065,"0"),DePara!$D:$D,0)),"(sem categoria)")</f>
        <v/>
      </c>
      <c r="O5065" s="5">
        <f>IF(J5065="","",Parametros!$B$6-J5065)</f>
        <v/>
      </c>
      <c r="P5065" s="5">
        <f>IF(O5065="","",IF(O5065&gt;0,1,0))</f>
        <v/>
      </c>
    </row>
    <row r="5066">
      <c r="A5066" s="5" t="n">
        <v>1117730000</v>
      </c>
      <c r="B5066" s="5" t="inlineStr">
        <is>
          <t>EM000882</t>
        </is>
      </c>
      <c r="C5066" s="5" t="inlineStr">
        <is>
          <t>LEANDRO SILVINO DE MOURA</t>
        </is>
      </c>
      <c r="D5066" s="5" t="inlineStr">
        <is>
          <t>ZP</t>
        </is>
      </c>
      <c r="E5066" s="5" t="n">
        <v>2000014297</v>
      </c>
      <c r="F5066" s="5" t="n"/>
      <c r="G5066" s="5" t="inlineStr">
        <is>
          <t>BRL</t>
        </is>
      </c>
      <c r="H5066" s="9" t="n">
        <v>4160</v>
      </c>
      <c r="I5066" s="16" t="n">
        <v>45534</v>
      </c>
      <c r="J5066" s="16" t="n">
        <v>45534</v>
      </c>
      <c r="K5066" s="5" t="inlineStr">
        <is>
          <t>Documento fornecedor Leandro Silvino de Moura PLAN</t>
        </is>
      </c>
      <c r="L5066" s="5" t="inlineStr">
        <is>
          <t>30082024</t>
        </is>
      </c>
      <c r="M5066" s="5">
        <f>IF(YEAR(I5066)&lt;=2020,"Até 2020",TEXT(YEAR(I5066),"0"))</f>
        <v/>
      </c>
      <c r="N5066" s="5">
        <f>IFERROR(INDEX(DePara!$A:$A,MATCH(TEXT(B5066,"0"),DePara!$D:$D,0)),"(sem categoria)")</f>
        <v/>
      </c>
      <c r="O5066" s="5">
        <f>IF(J5066="","",Parametros!$B$6-J5066)</f>
        <v/>
      </c>
      <c r="P5066" s="5">
        <f>IF(O5066="","",IF(O5066&gt;0,1,0))</f>
        <v/>
      </c>
    </row>
    <row r="5067">
      <c r="A5067" s="5" t="n">
        <v>1117730000</v>
      </c>
      <c r="B5067" s="5" t="inlineStr">
        <is>
          <t>EM000472</t>
        </is>
      </c>
      <c r="C5067" s="5" t="inlineStr">
        <is>
          <t>LEANDRO DE OLIVEIRA</t>
        </is>
      </c>
      <c r="D5067" s="5" t="inlineStr">
        <is>
          <t>ZP</t>
        </is>
      </c>
      <c r="E5067" s="5" t="n">
        <v>2000015322</v>
      </c>
      <c r="F5067" s="5" t="n"/>
      <c r="G5067" s="5" t="inlineStr">
        <is>
          <t>BRL</t>
        </is>
      </c>
      <c r="H5067" s="9" t="n">
        <v>3120</v>
      </c>
      <c r="I5067" s="16" t="n">
        <v>45840</v>
      </c>
      <c r="J5067" s="16" t="n">
        <v>45840</v>
      </c>
      <c r="K5067" s="5" t="inlineStr">
        <is>
          <t>Documento fornecedor LEANDRO DE OLIVEIRA PLANO 394</t>
        </is>
      </c>
      <c r="L5067" s="5" t="inlineStr">
        <is>
          <t>02072025</t>
        </is>
      </c>
      <c r="M5067" s="5">
        <f>IF(YEAR(I5067)&lt;=2020,"Até 2020",TEXT(YEAR(I5067),"0"))</f>
        <v/>
      </c>
      <c r="N5067" s="5">
        <f>IFERROR(INDEX(DePara!$A:$A,MATCH(TEXT(B5067,"0"),DePara!$D:$D,0)),"(sem categoria)")</f>
        <v/>
      </c>
      <c r="O5067" s="5">
        <f>IF(J5067="","",Parametros!$B$6-J5067)</f>
        <v/>
      </c>
      <c r="P5067" s="5">
        <f>IF(O5067="","",IF(O5067&gt;0,1,0))</f>
        <v/>
      </c>
    </row>
    <row r="5068">
      <c r="A5068" s="5" t="n">
        <v>1117730000</v>
      </c>
      <c r="B5068" s="5" t="inlineStr">
        <is>
          <t>EM000943</t>
        </is>
      </c>
      <c r="C5068" s="5" t="inlineStr">
        <is>
          <t>CLAUDIONOR PEREIRA BORGES FILHO</t>
        </is>
      </c>
      <c r="D5068" s="5" t="inlineStr">
        <is>
          <t>ZP</t>
        </is>
      </c>
      <c r="E5068" s="5" t="n">
        <v>2000015335</v>
      </c>
      <c r="F5068" s="5" t="n"/>
      <c r="G5068" s="5" t="inlineStr">
        <is>
          <t>BRL</t>
        </is>
      </c>
      <c r="H5068" s="9" t="n">
        <v>130</v>
      </c>
      <c r="I5068" s="16" t="n">
        <v>45840</v>
      </c>
      <c r="J5068" s="16" t="n">
        <v>45840</v>
      </c>
      <c r="K5068" s="5" t="inlineStr">
        <is>
          <t>Documento fornecedor CLAUDIONOR PEREIRA BORGES FIL</t>
        </is>
      </c>
      <c r="L5068" s="5" t="inlineStr">
        <is>
          <t>02072025</t>
        </is>
      </c>
      <c r="M5068" s="5">
        <f>IF(YEAR(I5068)&lt;=2020,"Até 2020",TEXT(YEAR(I5068),"0"))</f>
        <v/>
      </c>
      <c r="N5068" s="5">
        <f>IFERROR(INDEX(DePara!$A:$A,MATCH(TEXT(B5068,"0"),DePara!$D:$D,0)),"(sem categoria)")</f>
        <v/>
      </c>
      <c r="O5068" s="5">
        <f>IF(J5068="","",Parametros!$B$6-J5068)</f>
        <v/>
      </c>
      <c r="P5068" s="5">
        <f>IF(O5068="","",IF(O5068&gt;0,1,0))</f>
        <v/>
      </c>
    </row>
    <row r="5069">
      <c r="A5069" s="5" t="n">
        <v>1117730000</v>
      </c>
      <c r="B5069" s="5" t="inlineStr">
        <is>
          <t>EM000472</t>
        </is>
      </c>
      <c r="C5069" s="5" t="inlineStr">
        <is>
          <t>LEANDRO DE OLIVEIRA</t>
        </is>
      </c>
      <c r="D5069" s="5" t="inlineStr">
        <is>
          <t>ZP</t>
        </is>
      </c>
      <c r="E5069" s="5" t="n">
        <v>2000016326</v>
      </c>
      <c r="F5069" s="5" t="n"/>
      <c r="G5069" s="5" t="inlineStr">
        <is>
          <t>BRL</t>
        </is>
      </c>
      <c r="H5069" s="9" t="n">
        <v>910</v>
      </c>
      <c r="I5069" s="16" t="n">
        <v>45848</v>
      </c>
      <c r="J5069" s="16" t="n">
        <v>45848</v>
      </c>
      <c r="K5069" s="5" t="inlineStr">
        <is>
          <t>Documento fornecedor LEANDRO DE OLIVEIRA PLANO 394</t>
        </is>
      </c>
      <c r="L5069" s="5" t="inlineStr">
        <is>
          <t>10072025</t>
        </is>
      </c>
      <c r="M5069" s="5">
        <f>IF(YEAR(I5069)&lt;=2020,"Até 2020",TEXT(YEAR(I5069),"0"))</f>
        <v/>
      </c>
      <c r="N5069" s="5">
        <f>IFERROR(INDEX(DePara!$A:$A,MATCH(TEXT(B5069,"0"),DePara!$D:$D,0)),"(sem categoria)")</f>
        <v/>
      </c>
      <c r="O5069" s="5">
        <f>IF(J5069="","",Parametros!$B$6-J5069)</f>
        <v/>
      </c>
      <c r="P5069" s="5">
        <f>IF(O5069="","",IF(O5069&gt;0,1,0))</f>
        <v/>
      </c>
    </row>
    <row r="5070">
      <c r="A5070" s="5" t="n">
        <v>1117730000</v>
      </c>
      <c r="B5070" s="5" t="inlineStr">
        <is>
          <t>EM000196</t>
        </is>
      </c>
      <c r="C5070" s="5" t="inlineStr">
        <is>
          <t>LEANDRO VINICIUS LINS SILVA</t>
        </is>
      </c>
      <c r="D5070" s="5" t="inlineStr">
        <is>
          <t>ZP</t>
        </is>
      </c>
      <c r="E5070" s="5" t="n">
        <v>2000016812</v>
      </c>
      <c r="F5070" s="5" t="n"/>
      <c r="G5070" s="5" t="inlineStr">
        <is>
          <t>BRL</t>
        </is>
      </c>
      <c r="H5070" s="9" t="n">
        <v>11465.1</v>
      </c>
      <c r="I5070" s="16" t="n">
        <v>45854</v>
      </c>
      <c r="J5070" s="16" t="n">
        <v>45854</v>
      </c>
      <c r="K5070" s="5" t="inlineStr">
        <is>
          <t>Vendor DP Request LEANDRO VINICIUS LINS SILVA 3959</t>
        </is>
      </c>
      <c r="L5070" s="5" t="inlineStr">
        <is>
          <t>16072025</t>
        </is>
      </c>
      <c r="M5070" s="5">
        <f>IF(YEAR(I5070)&lt;=2020,"Até 2020",TEXT(YEAR(I5070),"0"))</f>
        <v/>
      </c>
      <c r="N5070" s="5">
        <f>IFERROR(INDEX(DePara!$A:$A,MATCH(TEXT(B5070,"0"),DePara!$D:$D,0)),"(sem categoria)")</f>
        <v/>
      </c>
      <c r="O5070" s="5">
        <f>IF(J5070="","",Parametros!$B$6-J5070)</f>
        <v/>
      </c>
      <c r="P5070" s="5">
        <f>IF(O5070="","",IF(O5070&gt;0,1,0))</f>
        <v/>
      </c>
    </row>
    <row r="5071">
      <c r="A5071" s="5" t="n">
        <v>1117730000</v>
      </c>
      <c r="B5071" s="5" t="inlineStr">
        <is>
          <t>EM000787</t>
        </is>
      </c>
      <c r="C5071" s="5" t="inlineStr">
        <is>
          <t>GUILLERMO IGNACIO FALCONIS COSTA</t>
        </is>
      </c>
      <c r="D5071" s="5" t="inlineStr">
        <is>
          <t>ZP</t>
        </is>
      </c>
      <c r="E5071" s="5" t="n">
        <v>2000016975</v>
      </c>
      <c r="F5071" s="5" t="n"/>
      <c r="G5071" s="5" t="inlineStr">
        <is>
          <t>BRL</t>
        </is>
      </c>
      <c r="H5071" s="9" t="n">
        <v>780</v>
      </c>
      <c r="I5071" s="16" t="n">
        <v>45567</v>
      </c>
      <c r="J5071" s="16" t="n">
        <v>45567</v>
      </c>
      <c r="K5071" s="5" t="inlineStr">
        <is>
          <t>Documento fornecedor GUILLERMO IGNACIO FALCONIS CO</t>
        </is>
      </c>
      <c r="L5071" s="5" t="inlineStr">
        <is>
          <t>02102024</t>
        </is>
      </c>
      <c r="M5071" s="5">
        <f>IF(YEAR(I5071)&lt;=2020,"Até 2020",TEXT(YEAR(I5071),"0"))</f>
        <v/>
      </c>
      <c r="N5071" s="5">
        <f>IFERROR(INDEX(DePara!$A:$A,MATCH(TEXT(B5071,"0"),DePara!$D:$D,0)),"(sem categoria)")</f>
        <v/>
      </c>
      <c r="O5071" s="5">
        <f>IF(J5071="","",Parametros!$B$6-J5071)</f>
        <v/>
      </c>
      <c r="P5071" s="5">
        <f>IF(O5071="","",IF(O5071&gt;0,1,0))</f>
        <v/>
      </c>
    </row>
    <row r="5072">
      <c r="A5072" s="5" t="n">
        <v>1117730000</v>
      </c>
      <c r="B5072" s="5" t="inlineStr">
        <is>
          <t>EM000153</t>
        </is>
      </c>
      <c r="C5072" s="5" t="inlineStr">
        <is>
          <t>FRANCISCO WAGNER DE FREITAS ARAUJO</t>
        </is>
      </c>
      <c r="D5072" s="5" t="inlineStr">
        <is>
          <t>ZP</t>
        </is>
      </c>
      <c r="E5072" s="5" t="n">
        <v>2000017386</v>
      </c>
      <c r="F5072" s="5" t="n"/>
      <c r="G5072" s="5" t="inlineStr">
        <is>
          <t>BRL</t>
        </is>
      </c>
      <c r="H5072" s="9" t="n">
        <v>390</v>
      </c>
      <c r="I5072" s="16" t="n">
        <v>45868</v>
      </c>
      <c r="J5072" s="16" t="n">
        <v>45868</v>
      </c>
      <c r="K5072" s="5" t="inlineStr">
        <is>
          <t>Documento fornecedor FRANCISCO WAGNER DE FREITAS A</t>
        </is>
      </c>
      <c r="L5072" s="5" t="inlineStr">
        <is>
          <t>30072025</t>
        </is>
      </c>
      <c r="M5072" s="5">
        <f>IF(YEAR(I5072)&lt;=2020,"Até 2020",TEXT(YEAR(I5072),"0"))</f>
        <v/>
      </c>
      <c r="N5072" s="5">
        <f>IFERROR(INDEX(DePara!$A:$A,MATCH(TEXT(B5072,"0"),DePara!$D:$D,0)),"(sem categoria)")</f>
        <v/>
      </c>
      <c r="O5072" s="5">
        <f>IF(J5072="","",Parametros!$B$6-J5072)</f>
        <v/>
      </c>
      <c r="P5072" s="5">
        <f>IF(O5072="","",IF(O5072&gt;0,1,0))</f>
        <v/>
      </c>
    </row>
    <row r="5073">
      <c r="A5073" s="5" t="n">
        <v>1117730000</v>
      </c>
      <c r="B5073" s="5" t="inlineStr">
        <is>
          <t>EM000666</t>
        </is>
      </c>
      <c r="C5073" s="5" t="inlineStr">
        <is>
          <t>FAGNER OLIVEIRA DA SILVA</t>
        </is>
      </c>
      <c r="D5073" s="5" t="inlineStr">
        <is>
          <t>ZP</t>
        </is>
      </c>
      <c r="E5073" s="5" t="n">
        <v>2000018593</v>
      </c>
      <c r="F5073" s="5" t="n"/>
      <c r="G5073" s="5" t="inlineStr">
        <is>
          <t>BRL</t>
        </is>
      </c>
      <c r="H5073" s="9" t="n">
        <v>260</v>
      </c>
      <c r="I5073" s="16" t="n">
        <v>45875</v>
      </c>
      <c r="J5073" s="16" t="n">
        <v>45875</v>
      </c>
      <c r="K5073" s="5" t="inlineStr">
        <is>
          <t>Documento fornecedor FAGNER OLIVEIRA DA SILVA 3973</t>
        </is>
      </c>
      <c r="L5073" s="5" t="inlineStr">
        <is>
          <t>06082025</t>
        </is>
      </c>
      <c r="M5073" s="5">
        <f>IF(YEAR(I5073)&lt;=2020,"Até 2020",TEXT(YEAR(I5073),"0"))</f>
        <v/>
      </c>
      <c r="N5073" s="5">
        <f>IFERROR(INDEX(DePara!$A:$A,MATCH(TEXT(B5073,"0"),DePara!$D:$D,0)),"(sem categoria)")</f>
        <v/>
      </c>
      <c r="O5073" s="5">
        <f>IF(J5073="","",Parametros!$B$6-J5073)</f>
        <v/>
      </c>
      <c r="P5073" s="5">
        <f>IF(O5073="","",IF(O5073&gt;0,1,0))</f>
        <v/>
      </c>
    </row>
    <row r="5074">
      <c r="A5074" s="5" t="n">
        <v>1117730000</v>
      </c>
      <c r="B5074" s="5" t="inlineStr">
        <is>
          <t>EM000354</t>
        </is>
      </c>
      <c r="C5074" s="5" t="inlineStr">
        <is>
          <t>DECIO BISPO DE OLIVEIRA</t>
        </is>
      </c>
      <c r="D5074" s="5" t="inlineStr">
        <is>
          <t>ZP</t>
        </is>
      </c>
      <c r="E5074" s="5" t="n">
        <v>2000018884</v>
      </c>
      <c r="F5074" s="5" t="n"/>
      <c r="G5074" s="5" t="inlineStr">
        <is>
          <t>BRL</t>
        </is>
      </c>
      <c r="H5074" s="9" t="n">
        <v>390</v>
      </c>
      <c r="I5074" s="16" t="n">
        <v>45882</v>
      </c>
      <c r="J5074" s="16" t="n">
        <v>45882</v>
      </c>
      <c r="K5074" s="5" t="inlineStr">
        <is>
          <t>Documento fornecedor DECIO BISPO DE OLIVEIRA 39810</t>
        </is>
      </c>
      <c r="L5074" s="5" t="inlineStr">
        <is>
          <t>13082025</t>
        </is>
      </c>
      <c r="M5074" s="5">
        <f>IF(YEAR(I5074)&lt;=2020,"Até 2020",TEXT(YEAR(I5074),"0"))</f>
        <v/>
      </c>
      <c r="N5074" s="5">
        <f>IFERROR(INDEX(DePara!$A:$A,MATCH(TEXT(B5074,"0"),DePara!$D:$D,0)),"(sem categoria)")</f>
        <v/>
      </c>
      <c r="O5074" s="5">
        <f>IF(J5074="","",Parametros!$B$6-J5074)</f>
        <v/>
      </c>
      <c r="P5074" s="5">
        <f>IF(O5074="","",IF(O5074&gt;0,1,0))</f>
        <v/>
      </c>
    </row>
    <row r="5075">
      <c r="A5075" s="5" t="n">
        <v>1117730000</v>
      </c>
      <c r="B5075" s="5" t="inlineStr">
        <is>
          <t>EM000550</t>
        </is>
      </c>
      <c r="C5075" s="5" t="inlineStr">
        <is>
          <t>CAMILA ROCHA</t>
        </is>
      </c>
      <c r="D5075" s="5" t="inlineStr">
        <is>
          <t>ZP</t>
        </is>
      </c>
      <c r="E5075" s="5" t="n">
        <v>2000018895</v>
      </c>
      <c r="F5075" s="5" t="n"/>
      <c r="G5075" s="5" t="inlineStr">
        <is>
          <t>BRL</t>
        </is>
      </c>
      <c r="H5075" s="9" t="n">
        <v>390</v>
      </c>
      <c r="I5075" s="16" t="n">
        <v>45882</v>
      </c>
      <c r="J5075" s="16" t="n">
        <v>45882</v>
      </c>
      <c r="K5075" s="5" t="inlineStr">
        <is>
          <t>Documento fornecedor CAMILA ROCHA 39807</t>
        </is>
      </c>
      <c r="L5075" s="5" t="inlineStr">
        <is>
          <t>13082025</t>
        </is>
      </c>
      <c r="M5075" s="5">
        <f>IF(YEAR(I5075)&lt;=2020,"Até 2020",TEXT(YEAR(I5075),"0"))</f>
        <v/>
      </c>
      <c r="N5075" s="5">
        <f>IFERROR(INDEX(DePara!$A:$A,MATCH(TEXT(B5075,"0"),DePara!$D:$D,0)),"(sem categoria)")</f>
        <v/>
      </c>
      <c r="O5075" s="5">
        <f>IF(J5075="","",Parametros!$B$6-J5075)</f>
        <v/>
      </c>
      <c r="P5075" s="5">
        <f>IF(O5075="","",IF(O5075&gt;0,1,0))</f>
        <v/>
      </c>
    </row>
    <row r="5076">
      <c r="A5076" s="5" t="n">
        <v>1117730000</v>
      </c>
      <c r="B5076" s="5" t="inlineStr">
        <is>
          <t>EM000889</t>
        </is>
      </c>
      <c r="C5076" s="5" t="inlineStr">
        <is>
          <t>JOSEILTOM PEREIRA DOS SANTOS</t>
        </is>
      </c>
      <c r="D5076" s="5" t="inlineStr">
        <is>
          <t>ZP</t>
        </is>
      </c>
      <c r="E5076" s="5" t="n">
        <v>2000018907</v>
      </c>
      <c r="F5076" s="5" t="n"/>
      <c r="G5076" s="5" t="inlineStr">
        <is>
          <t>BRL</t>
        </is>
      </c>
      <c r="H5076" s="9" t="n">
        <v>260</v>
      </c>
      <c r="I5076" s="16" t="n">
        <v>45882</v>
      </c>
      <c r="J5076" s="16" t="n">
        <v>45882</v>
      </c>
      <c r="K5076" s="5" t="inlineStr">
        <is>
          <t>Documento fornecedor JOSEILTOM PEREIRA DOS SANTOS</t>
        </is>
      </c>
      <c r="L5076" s="5" t="inlineStr">
        <is>
          <t>13082025</t>
        </is>
      </c>
      <c r="M5076" s="5">
        <f>IF(YEAR(I5076)&lt;=2020,"Até 2020",TEXT(YEAR(I5076),"0"))</f>
        <v/>
      </c>
      <c r="N5076" s="5">
        <f>IFERROR(INDEX(DePara!$A:$A,MATCH(TEXT(B5076,"0"),DePara!$D:$D,0)),"(sem categoria)")</f>
        <v/>
      </c>
      <c r="O5076" s="5">
        <f>IF(J5076="","",Parametros!$B$6-J5076)</f>
        <v/>
      </c>
      <c r="P5076" s="5">
        <f>IF(O5076="","",IF(O5076&gt;0,1,0))</f>
        <v/>
      </c>
    </row>
    <row r="5077">
      <c r="A5077" s="5" t="n">
        <v>1117730000</v>
      </c>
      <c r="B5077" s="5" t="inlineStr">
        <is>
          <t>EM000556</t>
        </is>
      </c>
      <c r="C5077" s="5" t="inlineStr">
        <is>
          <t>LUIZ BRAULY RODRIGUES DE AZEVEDO</t>
        </is>
      </c>
      <c r="D5077" s="5" t="inlineStr">
        <is>
          <t>ZP</t>
        </is>
      </c>
      <c r="E5077" s="5" t="n">
        <v>2000020963</v>
      </c>
      <c r="F5077" s="5" t="n"/>
      <c r="G5077" s="5" t="inlineStr">
        <is>
          <t>BRL</t>
        </is>
      </c>
      <c r="H5077" s="9" t="n">
        <v>520</v>
      </c>
      <c r="I5077" s="16" t="n">
        <v>45917</v>
      </c>
      <c r="J5077" s="16" t="n">
        <v>45917</v>
      </c>
      <c r="K5077" s="5" t="inlineStr">
        <is>
          <t>Vendor DP Request LUIZ BRAULY RODRIGUES DE AZEVEDO</t>
        </is>
      </c>
      <c r="L5077" s="5" t="inlineStr">
        <is>
          <t>17092025</t>
        </is>
      </c>
      <c r="M5077" s="5">
        <f>IF(YEAR(I5077)&lt;=2020,"Até 2020",TEXT(YEAR(I5077),"0"))</f>
        <v/>
      </c>
      <c r="N5077" s="5">
        <f>IFERROR(INDEX(DePara!$A:$A,MATCH(TEXT(B5077,"0"),DePara!$D:$D,0)),"(sem categoria)")</f>
        <v/>
      </c>
      <c r="O5077" s="5">
        <f>IF(J5077="","",Parametros!$B$6-J5077)</f>
        <v/>
      </c>
      <c r="P5077" s="5">
        <f>IF(O5077="","",IF(O5077&gt;0,1,0))</f>
        <v/>
      </c>
    </row>
    <row r="5078">
      <c r="A5078" s="5" t="n">
        <v>1117730000</v>
      </c>
      <c r="B5078" s="5" t="inlineStr">
        <is>
          <t>EM000812</t>
        </is>
      </c>
      <c r="C5078" s="5" t="inlineStr">
        <is>
          <t>RICARDO RYOITI YAMAGUCHI</t>
        </is>
      </c>
      <c r="D5078" s="5" t="inlineStr">
        <is>
          <t>ZP</t>
        </is>
      </c>
      <c r="E5078" s="5" t="n">
        <v>2000020976</v>
      </c>
      <c r="F5078" s="5" t="n"/>
      <c r="G5078" s="5" t="inlineStr">
        <is>
          <t>BRL</t>
        </is>
      </c>
      <c r="H5078" s="9" t="n">
        <v>2040</v>
      </c>
      <c r="I5078" s="16" t="n">
        <v>45917</v>
      </c>
      <c r="J5078" s="16" t="n">
        <v>45917</v>
      </c>
      <c r="K5078" s="5" t="inlineStr">
        <is>
          <t>Documento fornecedor RICARDO RYOITI YAMAGUCHI 4114</t>
        </is>
      </c>
      <c r="L5078" s="5" t="inlineStr">
        <is>
          <t>17092025</t>
        </is>
      </c>
      <c r="M5078" s="5">
        <f>IF(YEAR(I5078)&lt;=2020,"Até 2020",TEXT(YEAR(I5078),"0"))</f>
        <v/>
      </c>
      <c r="N5078" s="5">
        <f>IFERROR(INDEX(DePara!$A:$A,MATCH(TEXT(B5078,"0"),DePara!$D:$D,0)),"(sem categoria)")</f>
        <v/>
      </c>
      <c r="O5078" s="5">
        <f>IF(J5078="","",Parametros!$B$6-J5078)</f>
        <v/>
      </c>
      <c r="P5078" s="5">
        <f>IF(O5078="","",IF(O5078&gt;0,1,0))</f>
        <v/>
      </c>
    </row>
    <row r="5079">
      <c r="A5079" s="5" t="n">
        <v>1117730000</v>
      </c>
      <c r="B5079" s="5" t="inlineStr">
        <is>
          <t>EM000512</t>
        </is>
      </c>
      <c r="C5079" s="5" t="inlineStr">
        <is>
          <t>MARCIO FRANCISCO DA SILVA</t>
        </is>
      </c>
      <c r="D5079" s="5" t="inlineStr">
        <is>
          <t>ZP</t>
        </is>
      </c>
      <c r="E5079" s="5" t="n">
        <v>2000023435</v>
      </c>
      <c r="F5079" s="5" t="n"/>
      <c r="G5079" s="5" t="inlineStr">
        <is>
          <t>BRL</t>
        </is>
      </c>
      <c r="H5079" s="9" t="n">
        <v>1950</v>
      </c>
      <c r="I5079" s="16" t="n">
        <v>45938</v>
      </c>
      <c r="J5079" s="16" t="n">
        <v>45938</v>
      </c>
      <c r="K5079" s="5" t="inlineStr">
        <is>
          <t>Vendor DP Request MARCIO FRANCISCO DA SILVA 41127</t>
        </is>
      </c>
      <c r="L5079" s="5" t="inlineStr">
        <is>
          <t>08102025</t>
        </is>
      </c>
      <c r="M5079" s="5">
        <f>IF(YEAR(I5079)&lt;=2020,"Até 2020",TEXT(YEAR(I5079),"0"))</f>
        <v/>
      </c>
      <c r="N5079" s="5">
        <f>IFERROR(INDEX(DePara!$A:$A,MATCH(TEXT(B5079,"0"),DePara!$D:$D,0)),"(sem categoria)")</f>
        <v/>
      </c>
      <c r="O5079" s="5">
        <f>IF(J5079="","",Parametros!$B$6-J5079)</f>
        <v/>
      </c>
      <c r="P5079" s="5">
        <f>IF(O5079="","",IF(O5079&gt;0,1,0))</f>
        <v/>
      </c>
    </row>
    <row r="5080">
      <c r="A5080" s="5" t="n">
        <v>1117730000</v>
      </c>
      <c r="B5080" s="5" t="inlineStr">
        <is>
          <t>EM000744</t>
        </is>
      </c>
      <c r="C5080" s="5" t="inlineStr">
        <is>
          <t>DARLAN FERREIRA FERNANDES</t>
        </is>
      </c>
      <c r="D5080" s="5" t="inlineStr">
        <is>
          <t>ZP</t>
        </is>
      </c>
      <c r="E5080" s="5" t="n">
        <v>2000023455</v>
      </c>
      <c r="F5080" s="5" t="n"/>
      <c r="G5080" s="5" t="inlineStr">
        <is>
          <t>BRL</t>
        </is>
      </c>
      <c r="H5080" s="9" t="n">
        <v>780</v>
      </c>
      <c r="I5080" s="16" t="n">
        <v>45938</v>
      </c>
      <c r="J5080" s="16" t="n">
        <v>45938</v>
      </c>
      <c r="K5080" s="5" t="inlineStr">
        <is>
          <t>Documento fornecedor DARLAN FERREIRA FERNANDES 412</t>
        </is>
      </c>
      <c r="L5080" s="5" t="inlineStr">
        <is>
          <t>08102025</t>
        </is>
      </c>
      <c r="M5080" s="5">
        <f>IF(YEAR(I5080)&lt;=2020,"Até 2020",TEXT(YEAR(I5080),"0"))</f>
        <v/>
      </c>
      <c r="N5080" s="5">
        <f>IFERROR(INDEX(DePara!$A:$A,MATCH(TEXT(B5080,"0"),DePara!$D:$D,0)),"(sem categoria)")</f>
        <v/>
      </c>
      <c r="O5080" s="5">
        <f>IF(J5080="","",Parametros!$B$6-J5080)</f>
        <v/>
      </c>
      <c r="P5080" s="5">
        <f>IF(O5080="","",IF(O5080&gt;0,1,0))</f>
        <v/>
      </c>
    </row>
    <row r="5081">
      <c r="A5081" s="5" t="n">
        <v>1117730000</v>
      </c>
      <c r="B5081" s="5" t="inlineStr">
        <is>
          <t>EM000849</t>
        </is>
      </c>
      <c r="C5081" s="5" t="inlineStr">
        <is>
          <t>GEOVANE FERREIRA DOS SANTOS</t>
        </is>
      </c>
      <c r="D5081" s="5" t="inlineStr">
        <is>
          <t>ZP</t>
        </is>
      </c>
      <c r="E5081" s="5" t="n">
        <v>2000023469</v>
      </c>
      <c r="F5081" s="5" t="n"/>
      <c r="G5081" s="5" t="inlineStr">
        <is>
          <t>BRL</t>
        </is>
      </c>
      <c r="H5081" s="9" t="n">
        <v>780</v>
      </c>
      <c r="I5081" s="16" t="n">
        <v>45938</v>
      </c>
      <c r="J5081" s="16" t="n">
        <v>45938</v>
      </c>
      <c r="K5081" s="5" t="inlineStr">
        <is>
          <t>Vendor DP Request GEOVANE FERREIRA DOS SANTOS 4129</t>
        </is>
      </c>
      <c r="L5081" s="5" t="inlineStr">
        <is>
          <t>08102025</t>
        </is>
      </c>
      <c r="M5081" s="5">
        <f>IF(YEAR(I5081)&lt;=2020,"Até 2020",TEXT(YEAR(I5081),"0"))</f>
        <v/>
      </c>
      <c r="N5081" s="5">
        <f>IFERROR(INDEX(DePara!$A:$A,MATCH(TEXT(B5081,"0"),DePara!$D:$D,0)),"(sem categoria)")</f>
        <v/>
      </c>
      <c r="O5081" s="5">
        <f>IF(J5081="","",Parametros!$B$6-J5081)</f>
        <v/>
      </c>
      <c r="P5081" s="5">
        <f>IF(O5081="","",IF(O5081&gt;0,1,0))</f>
        <v/>
      </c>
    </row>
    <row r="5082">
      <c r="A5082" s="5" t="n">
        <v>1117730000</v>
      </c>
      <c r="B5082" s="5" t="inlineStr">
        <is>
          <t>EM000281</t>
        </is>
      </c>
      <c r="C5082" s="5" t="inlineStr">
        <is>
          <t>VANESSA REGINA DE CAMARGO</t>
        </is>
      </c>
      <c r="D5082" s="5" t="inlineStr">
        <is>
          <t>ZP</t>
        </is>
      </c>
      <c r="E5082" s="5" t="n">
        <v>2000024367</v>
      </c>
      <c r="F5082" s="5" t="n"/>
      <c r="G5082" s="5" t="inlineStr">
        <is>
          <t>BRL</t>
        </is>
      </c>
      <c r="H5082" s="9" t="n">
        <v>130</v>
      </c>
      <c r="I5082" s="16" t="n">
        <v>45623</v>
      </c>
      <c r="J5082" s="16" t="n">
        <v>45623</v>
      </c>
      <c r="K5082" s="5" t="inlineStr">
        <is>
          <t>Documento fornecedor VANESSA REGINA DE CAMARGO 306</t>
        </is>
      </c>
      <c r="L5082" s="5" t="inlineStr">
        <is>
          <t>27112024</t>
        </is>
      </c>
      <c r="M5082" s="5">
        <f>IF(YEAR(I5082)&lt;=2020,"Até 2020",TEXT(YEAR(I5082),"0"))</f>
        <v/>
      </c>
      <c r="N5082" s="5">
        <f>IFERROR(INDEX(DePara!$A:$A,MATCH(TEXT(B5082,"0"),DePara!$D:$D,0)),"(sem categoria)")</f>
        <v/>
      </c>
      <c r="O5082" s="5">
        <f>IF(J5082="","",Parametros!$B$6-J5082)</f>
        <v/>
      </c>
      <c r="P5082" s="5">
        <f>IF(O5082="","",IF(O5082&gt;0,1,0))</f>
        <v/>
      </c>
    </row>
    <row r="5083">
      <c r="A5083" s="5" t="n">
        <v>1117730000</v>
      </c>
      <c r="B5083" s="5" t="inlineStr">
        <is>
          <t>EM000281</t>
        </is>
      </c>
      <c r="C5083" s="5" t="inlineStr">
        <is>
          <t>VANESSA REGINA DE CAMARGO</t>
        </is>
      </c>
      <c r="D5083" s="5" t="inlineStr">
        <is>
          <t>ZP</t>
        </is>
      </c>
      <c r="E5083" s="5" t="n">
        <v>2000024368</v>
      </c>
      <c r="F5083" s="5" t="n"/>
      <c r="G5083" s="5" t="inlineStr">
        <is>
          <t>BRL</t>
        </is>
      </c>
      <c r="H5083" s="9" t="n">
        <v>130</v>
      </c>
      <c r="I5083" s="16" t="n">
        <v>45623</v>
      </c>
      <c r="J5083" s="16" t="n">
        <v>45623</v>
      </c>
      <c r="K5083" s="5" t="inlineStr">
        <is>
          <t>Documento fornecedor VANESSA REGINA DE CAMARGO 297</t>
        </is>
      </c>
      <c r="L5083" s="5" t="inlineStr">
        <is>
          <t>27112024</t>
        </is>
      </c>
      <c r="M5083" s="5">
        <f>IF(YEAR(I5083)&lt;=2020,"Até 2020",TEXT(YEAR(I5083),"0"))</f>
        <v/>
      </c>
      <c r="N5083" s="5">
        <f>IFERROR(INDEX(DePara!$A:$A,MATCH(TEXT(B5083,"0"),DePara!$D:$D,0)),"(sem categoria)")</f>
        <v/>
      </c>
      <c r="O5083" s="5">
        <f>IF(J5083="","",Parametros!$B$6-J5083)</f>
        <v/>
      </c>
      <c r="P5083" s="5">
        <f>IF(O5083="","",IF(O5083&gt;0,1,0))</f>
        <v/>
      </c>
    </row>
    <row r="5084">
      <c r="A5084" s="5" t="n">
        <v>1117730000</v>
      </c>
      <c r="B5084" s="5" t="inlineStr">
        <is>
          <t>EM000281</t>
        </is>
      </c>
      <c r="C5084" s="5" t="inlineStr">
        <is>
          <t>VANESSA REGINA DE CAMARGO</t>
        </is>
      </c>
      <c r="D5084" s="5" t="inlineStr">
        <is>
          <t>ZP</t>
        </is>
      </c>
      <c r="E5084" s="5" t="n">
        <v>2000024369</v>
      </c>
      <c r="F5084" s="5" t="n"/>
      <c r="G5084" s="5" t="inlineStr">
        <is>
          <t>BRL</t>
        </is>
      </c>
      <c r="H5084" s="9" t="n">
        <v>260</v>
      </c>
      <c r="I5084" s="16" t="n">
        <v>45623</v>
      </c>
      <c r="J5084" s="16" t="n">
        <v>45623</v>
      </c>
      <c r="K5084" s="5" t="inlineStr">
        <is>
          <t>Documento fornecedor VANESSA REGINA DE CAMARGO 311</t>
        </is>
      </c>
      <c r="L5084" s="5" t="inlineStr">
        <is>
          <t>27112024</t>
        </is>
      </c>
      <c r="M5084" s="5">
        <f>IF(YEAR(I5084)&lt;=2020,"Até 2020",TEXT(YEAR(I5084),"0"))</f>
        <v/>
      </c>
      <c r="N5084" s="5">
        <f>IFERROR(INDEX(DePara!$A:$A,MATCH(TEXT(B5084,"0"),DePara!$D:$D,0)),"(sem categoria)")</f>
        <v/>
      </c>
      <c r="O5084" s="5">
        <f>IF(J5084="","",Parametros!$B$6-J5084)</f>
        <v/>
      </c>
      <c r="P5084" s="5">
        <f>IF(O5084="","",IF(O5084&gt;0,1,0))</f>
        <v/>
      </c>
    </row>
    <row r="5085">
      <c r="A5085" s="5" t="n">
        <v>1117730000</v>
      </c>
      <c r="B5085" s="5" t="inlineStr">
        <is>
          <t>EM000281</t>
        </is>
      </c>
      <c r="C5085" s="5" t="inlineStr">
        <is>
          <t>VANESSA REGINA DE CAMARGO</t>
        </is>
      </c>
      <c r="D5085" s="5" t="inlineStr">
        <is>
          <t>ZP</t>
        </is>
      </c>
      <c r="E5085" s="5" t="n">
        <v>2000024370</v>
      </c>
      <c r="F5085" s="5" t="n"/>
      <c r="G5085" s="5" t="inlineStr">
        <is>
          <t>BRL</t>
        </is>
      </c>
      <c r="H5085" s="9" t="n">
        <v>390</v>
      </c>
      <c r="I5085" s="16" t="n">
        <v>45623</v>
      </c>
      <c r="J5085" s="16" t="n">
        <v>45623</v>
      </c>
      <c r="K5085" s="5" t="inlineStr">
        <is>
          <t>Documento fornecedor VANESSA REGINA DE CAMARGO 330</t>
        </is>
      </c>
      <c r="L5085" s="5" t="inlineStr">
        <is>
          <t>27112024</t>
        </is>
      </c>
      <c r="M5085" s="5">
        <f>IF(YEAR(I5085)&lt;=2020,"Até 2020",TEXT(YEAR(I5085),"0"))</f>
        <v/>
      </c>
      <c r="N5085" s="5">
        <f>IFERROR(INDEX(DePara!$A:$A,MATCH(TEXT(B5085,"0"),DePara!$D:$D,0)),"(sem categoria)")</f>
        <v/>
      </c>
      <c r="O5085" s="5">
        <f>IF(J5085="","",Parametros!$B$6-J5085)</f>
        <v/>
      </c>
      <c r="P5085" s="5">
        <f>IF(O5085="","",IF(O5085&gt;0,1,0))</f>
        <v/>
      </c>
    </row>
    <row r="5086">
      <c r="A5086" s="5" t="n">
        <v>1117730000</v>
      </c>
      <c r="B5086" s="5" t="inlineStr">
        <is>
          <t>EM000281</t>
        </is>
      </c>
      <c r="C5086" s="5" t="inlineStr">
        <is>
          <t>VANESSA REGINA DE CAMARGO</t>
        </is>
      </c>
      <c r="D5086" s="5" t="inlineStr">
        <is>
          <t>ZP</t>
        </is>
      </c>
      <c r="E5086" s="5" t="n">
        <v>2000024371</v>
      </c>
      <c r="F5086" s="5" t="n"/>
      <c r="G5086" s="5" t="inlineStr">
        <is>
          <t>BRL</t>
        </is>
      </c>
      <c r="H5086" s="9" t="n">
        <v>390</v>
      </c>
      <c r="I5086" s="16" t="n">
        <v>45623</v>
      </c>
      <c r="J5086" s="16" t="n">
        <v>45623</v>
      </c>
      <c r="K5086" s="5" t="inlineStr">
        <is>
          <t>Documento fornecedor VANESSA REGINA DE CAMARGO 307</t>
        </is>
      </c>
      <c r="L5086" s="5" t="inlineStr">
        <is>
          <t>27112024</t>
        </is>
      </c>
      <c r="M5086" s="5">
        <f>IF(YEAR(I5086)&lt;=2020,"Até 2020",TEXT(YEAR(I5086),"0"))</f>
        <v/>
      </c>
      <c r="N5086" s="5">
        <f>IFERROR(INDEX(DePara!$A:$A,MATCH(TEXT(B5086,"0"),DePara!$D:$D,0)),"(sem categoria)")</f>
        <v/>
      </c>
      <c r="O5086" s="5">
        <f>IF(J5086="","",Parametros!$B$6-J5086)</f>
        <v/>
      </c>
      <c r="P5086" s="5">
        <f>IF(O5086="","",IF(O5086&gt;0,1,0))</f>
        <v/>
      </c>
    </row>
    <row r="5087">
      <c r="A5087" s="5" t="n">
        <v>1117730000</v>
      </c>
      <c r="B5087" s="5" t="inlineStr">
        <is>
          <t>EM000281</t>
        </is>
      </c>
      <c r="C5087" s="5" t="inlineStr">
        <is>
          <t>VANESSA REGINA DE CAMARGO</t>
        </is>
      </c>
      <c r="D5087" s="5" t="inlineStr">
        <is>
          <t>ZP</t>
        </is>
      </c>
      <c r="E5087" s="5" t="n">
        <v>2000024372</v>
      </c>
      <c r="F5087" s="5" t="n"/>
      <c r="G5087" s="5" t="inlineStr">
        <is>
          <t>BRL</t>
        </is>
      </c>
      <c r="H5087" s="9" t="n">
        <v>390</v>
      </c>
      <c r="I5087" s="16" t="n">
        <v>45623</v>
      </c>
      <c r="J5087" s="16" t="n">
        <v>45623</v>
      </c>
      <c r="K5087" s="5" t="inlineStr">
        <is>
          <t>Documento fornecedor VANESSA REGINA DE CAMARGO 295</t>
        </is>
      </c>
      <c r="L5087" s="5" t="inlineStr">
        <is>
          <t>27112024</t>
        </is>
      </c>
      <c r="M5087" s="5">
        <f>IF(YEAR(I5087)&lt;=2020,"Até 2020",TEXT(YEAR(I5087),"0"))</f>
        <v/>
      </c>
      <c r="N5087" s="5">
        <f>IFERROR(INDEX(DePara!$A:$A,MATCH(TEXT(B5087,"0"),DePara!$D:$D,0)),"(sem categoria)")</f>
        <v/>
      </c>
      <c r="O5087" s="5">
        <f>IF(J5087="","",Parametros!$B$6-J5087)</f>
        <v/>
      </c>
      <c r="P5087" s="5">
        <f>IF(O5087="","",IF(O5087&gt;0,1,0))</f>
        <v/>
      </c>
    </row>
    <row r="5088">
      <c r="A5088" s="5" t="n">
        <v>1117730000</v>
      </c>
      <c r="B5088" s="5" t="inlineStr">
        <is>
          <t>EM000746</t>
        </is>
      </c>
      <c r="C5088" s="5" t="inlineStr">
        <is>
          <t>FABIO SANTIAGO GOMES</t>
        </is>
      </c>
      <c r="D5088" s="5" t="inlineStr">
        <is>
          <t>ZP</t>
        </is>
      </c>
      <c r="E5088" s="5" t="n">
        <v>2000025264</v>
      </c>
      <c r="F5088" s="5" t="n"/>
      <c r="G5088" s="5" t="inlineStr">
        <is>
          <t>BRL</t>
        </is>
      </c>
      <c r="H5088" s="9" t="n">
        <v>910</v>
      </c>
      <c r="I5088" s="16" t="n">
        <v>45966</v>
      </c>
      <c r="J5088" s="16" t="n">
        <v>45966</v>
      </c>
      <c r="K5088" s="5" t="inlineStr">
        <is>
          <t>Documento fornecedor FABIO SANTIAGO GOMES 43524</t>
        </is>
      </c>
      <c r="L5088" s="5" t="inlineStr">
        <is>
          <t>05112025</t>
        </is>
      </c>
      <c r="M5088" s="5">
        <f>IF(YEAR(I5088)&lt;=2020,"Até 2020",TEXT(YEAR(I5088),"0"))</f>
        <v/>
      </c>
      <c r="N5088" s="5">
        <f>IFERROR(INDEX(DePara!$A:$A,MATCH(TEXT(B5088,"0"),DePara!$D:$D,0)),"(sem categoria)")</f>
        <v/>
      </c>
      <c r="O5088" s="5">
        <f>IF(J5088="","",Parametros!$B$6-J5088)</f>
        <v/>
      </c>
      <c r="P5088" s="5">
        <f>IF(O5088="","",IF(O5088&gt;0,1,0))</f>
        <v/>
      </c>
    </row>
    <row r="5089">
      <c r="A5089" s="5" t="n">
        <v>1117730000</v>
      </c>
      <c r="B5089" s="5" t="inlineStr">
        <is>
          <t>EM000751</t>
        </is>
      </c>
      <c r="C5089" s="5" t="inlineStr">
        <is>
          <t>RANIE DA SILVA FREIRE</t>
        </is>
      </c>
      <c r="D5089" s="5" t="inlineStr">
        <is>
          <t>ZP</t>
        </is>
      </c>
      <c r="E5089" s="5" t="n">
        <v>2000025265</v>
      </c>
      <c r="F5089" s="5" t="n"/>
      <c r="G5089" s="5" t="inlineStr">
        <is>
          <t>BRL</t>
        </is>
      </c>
      <c r="H5089" s="9" t="n">
        <v>910</v>
      </c>
      <c r="I5089" s="16" t="n">
        <v>45966</v>
      </c>
      <c r="J5089" s="16" t="n">
        <v>45966</v>
      </c>
      <c r="K5089" s="5" t="inlineStr">
        <is>
          <t>Documento fornecedor RANIE DA SILVA FREIRE 43527</t>
        </is>
      </c>
      <c r="L5089" s="5" t="inlineStr">
        <is>
          <t>05112025</t>
        </is>
      </c>
      <c r="M5089" s="5">
        <f>IF(YEAR(I5089)&lt;=2020,"Até 2020",TEXT(YEAR(I5089),"0"))</f>
        <v/>
      </c>
      <c r="N5089" s="5">
        <f>IFERROR(INDEX(DePara!$A:$A,MATCH(TEXT(B5089,"0"),DePara!$D:$D,0)),"(sem categoria)")</f>
        <v/>
      </c>
      <c r="O5089" s="5">
        <f>IF(J5089="","",Parametros!$B$6-J5089)</f>
        <v/>
      </c>
      <c r="P5089" s="5">
        <f>IF(O5089="","",IF(O5089&gt;0,1,0))</f>
        <v/>
      </c>
    </row>
    <row r="5090">
      <c r="A5090" s="5" t="n">
        <v>1117730000</v>
      </c>
      <c r="B5090" s="5" t="inlineStr">
        <is>
          <t>EM000583</t>
        </is>
      </c>
      <c r="C5090" s="5" t="inlineStr">
        <is>
          <t>CLEITON MARINHO COELHO</t>
        </is>
      </c>
      <c r="D5090" s="5" t="inlineStr">
        <is>
          <t>ZP</t>
        </is>
      </c>
      <c r="E5090" s="5" t="n">
        <v>2000025523</v>
      </c>
      <c r="F5090" s="5" t="n"/>
      <c r="G5090" s="5" t="inlineStr">
        <is>
          <t>BRL</t>
        </is>
      </c>
      <c r="H5090" s="9" t="n">
        <v>910</v>
      </c>
      <c r="I5090" s="16" t="n">
        <v>45973</v>
      </c>
      <c r="J5090" s="16" t="n">
        <v>45973</v>
      </c>
      <c r="K5090" s="5" t="inlineStr">
        <is>
          <t>Documento fornecedor CLEITON MARINHO COELHO 43617</t>
        </is>
      </c>
      <c r="L5090" s="5" t="inlineStr">
        <is>
          <t>12112025</t>
        </is>
      </c>
      <c r="M5090" s="5">
        <f>IF(YEAR(I5090)&lt;=2020,"Até 2020",TEXT(YEAR(I5090),"0"))</f>
        <v/>
      </c>
      <c r="N5090" s="5">
        <f>IFERROR(INDEX(DePara!$A:$A,MATCH(TEXT(B5090,"0"),DePara!$D:$D,0)),"(sem categoria)")</f>
        <v/>
      </c>
      <c r="O5090" s="5">
        <f>IF(J5090="","",Parametros!$B$6-J5090)</f>
        <v/>
      </c>
      <c r="P5090" s="5">
        <f>IF(O5090="","",IF(O5090&gt;0,1,0))</f>
        <v/>
      </c>
    </row>
    <row r="5091">
      <c r="A5091" s="5" t="n">
        <v>1117730000</v>
      </c>
      <c r="B5091" s="5" t="inlineStr">
        <is>
          <t>EM000841</t>
        </is>
      </c>
      <c r="C5091" s="5" t="inlineStr">
        <is>
          <t>José Leonardo de Sousa Batista</t>
        </is>
      </c>
      <c r="D5091" s="5" t="inlineStr">
        <is>
          <t>ZP</t>
        </is>
      </c>
      <c r="E5091" s="5" t="n">
        <v>2000025537</v>
      </c>
      <c r="F5091" s="5" t="n"/>
      <c r="G5091" s="5" t="inlineStr">
        <is>
          <t>BRL</t>
        </is>
      </c>
      <c r="H5091" s="9" t="n">
        <v>3900</v>
      </c>
      <c r="I5091" s="16" t="n">
        <v>45973</v>
      </c>
      <c r="J5091" s="16" t="n">
        <v>45973</v>
      </c>
      <c r="K5091" s="5" t="inlineStr">
        <is>
          <t>Documento fornecedor José Leonardo de Sousa Batist</t>
        </is>
      </c>
      <c r="L5091" s="5" t="inlineStr">
        <is>
          <t>12112025</t>
        </is>
      </c>
      <c r="M5091" s="5">
        <f>IF(YEAR(I5091)&lt;=2020,"Até 2020",TEXT(YEAR(I5091),"0"))</f>
        <v/>
      </c>
      <c r="N5091" s="5">
        <f>IFERROR(INDEX(DePara!$A:$A,MATCH(TEXT(B5091,"0"),DePara!$D:$D,0)),"(sem categoria)")</f>
        <v/>
      </c>
      <c r="O5091" s="5">
        <f>IF(J5091="","",Parametros!$B$6-J5091)</f>
        <v/>
      </c>
      <c r="P5091" s="5">
        <f>IF(O5091="","",IF(O5091&gt;0,1,0))</f>
        <v/>
      </c>
    </row>
    <row r="5092">
      <c r="A5092" s="5" t="n">
        <v>1117730000</v>
      </c>
      <c r="B5092" s="5" t="inlineStr">
        <is>
          <t>EM000482</t>
        </is>
      </c>
      <c r="C5092" s="5" t="inlineStr">
        <is>
          <t>FRANCISCO EGON ROQUE DE SOUSA</t>
        </is>
      </c>
      <c r="D5092" s="5" t="inlineStr">
        <is>
          <t>ZP</t>
        </is>
      </c>
      <c r="E5092" s="5" t="n">
        <v>2000026499</v>
      </c>
      <c r="F5092" s="5" t="n"/>
      <c r="G5092" s="5" t="inlineStr">
        <is>
          <t>BRL</t>
        </is>
      </c>
      <c r="H5092" s="9" t="n">
        <v>390</v>
      </c>
      <c r="I5092" s="16" t="n">
        <v>45982</v>
      </c>
      <c r="J5092" s="16" t="n">
        <v>45982</v>
      </c>
      <c r="K5092" s="5" t="inlineStr">
        <is>
          <t>Documento fornecedor FRANCISCO EGON ROQUE DE SOUSA</t>
        </is>
      </c>
      <c r="L5092" s="5" t="inlineStr">
        <is>
          <t>21112025</t>
        </is>
      </c>
      <c r="M5092" s="5">
        <f>IF(YEAR(I5092)&lt;=2020,"Até 2020",TEXT(YEAR(I5092),"0"))</f>
        <v/>
      </c>
      <c r="N5092" s="5">
        <f>IFERROR(INDEX(DePara!$A:$A,MATCH(TEXT(B5092,"0"),DePara!$D:$D,0)),"(sem categoria)")</f>
        <v/>
      </c>
      <c r="O5092" s="5">
        <f>IF(J5092="","",Parametros!$B$6-J5092)</f>
        <v/>
      </c>
      <c r="P5092" s="5">
        <f>IF(O5092="","",IF(O5092&gt;0,1,0))</f>
        <v/>
      </c>
    </row>
    <row r="5093">
      <c r="A5093" s="5" t="n">
        <v>1117730000</v>
      </c>
      <c r="B5093" s="5" t="inlineStr">
        <is>
          <t>EM000497</t>
        </is>
      </c>
      <c r="C5093" s="5" t="inlineStr">
        <is>
          <t>SILAS PEREIRA SANTOS MERQUIADES</t>
        </is>
      </c>
      <c r="D5093" s="5" t="inlineStr">
        <is>
          <t>ZP</t>
        </is>
      </c>
      <c r="E5093" s="5" t="n">
        <v>2000026501</v>
      </c>
      <c r="F5093" s="5" t="n"/>
      <c r="G5093" s="5" t="inlineStr">
        <is>
          <t>BRL</t>
        </is>
      </c>
      <c r="H5093" s="9" t="n">
        <v>910</v>
      </c>
      <c r="I5093" s="16" t="n">
        <v>45982</v>
      </c>
      <c r="J5093" s="16" t="n">
        <v>45982</v>
      </c>
      <c r="K5093" s="5" t="inlineStr">
        <is>
          <t>Documento fornecedor SILAS PEREIRA SANTOS MERQUIAD</t>
        </is>
      </c>
      <c r="L5093" s="5" t="inlineStr">
        <is>
          <t>21112025</t>
        </is>
      </c>
      <c r="M5093" s="5">
        <f>IF(YEAR(I5093)&lt;=2020,"Até 2020",TEXT(YEAR(I5093),"0"))</f>
        <v/>
      </c>
      <c r="N5093" s="5">
        <f>IFERROR(INDEX(DePara!$A:$A,MATCH(TEXT(B5093,"0"),DePara!$D:$D,0)),"(sem categoria)")</f>
        <v/>
      </c>
      <c r="O5093" s="5">
        <f>IF(J5093="","",Parametros!$B$6-J5093)</f>
        <v/>
      </c>
      <c r="P5093" s="5">
        <f>IF(O5093="","",IF(O5093&gt;0,1,0))</f>
        <v/>
      </c>
    </row>
    <row r="5094">
      <c r="A5094" s="5" t="n">
        <v>1117730000</v>
      </c>
      <c r="B5094" s="5" t="inlineStr">
        <is>
          <t>EM000542</t>
        </is>
      </c>
      <c r="C5094" s="5" t="inlineStr">
        <is>
          <t>AKIM FELTRIM CARDOSO</t>
        </is>
      </c>
      <c r="D5094" s="5" t="inlineStr">
        <is>
          <t>ZP</t>
        </is>
      </c>
      <c r="E5094" s="5" t="n">
        <v>2000026505</v>
      </c>
      <c r="F5094" s="5" t="n"/>
      <c r="G5094" s="5" t="inlineStr">
        <is>
          <t>BRL</t>
        </is>
      </c>
      <c r="H5094" s="9" t="n">
        <v>260</v>
      </c>
      <c r="I5094" s="16" t="n">
        <v>45982</v>
      </c>
      <c r="J5094" s="16" t="n">
        <v>45982</v>
      </c>
      <c r="K5094" s="5" t="inlineStr">
        <is>
          <t>Documento fornecedor AKIM FELTRIM CARDOSO 43665</t>
        </is>
      </c>
      <c r="L5094" s="5" t="inlineStr">
        <is>
          <t>21112025</t>
        </is>
      </c>
      <c r="M5094" s="5">
        <f>IF(YEAR(I5094)&lt;=2020,"Até 2020",TEXT(YEAR(I5094),"0"))</f>
        <v/>
      </c>
      <c r="N5094" s="5">
        <f>IFERROR(INDEX(DePara!$A:$A,MATCH(TEXT(B5094,"0"),DePara!$D:$D,0)),"(sem categoria)")</f>
        <v/>
      </c>
      <c r="O5094" s="5">
        <f>IF(J5094="","",Parametros!$B$6-J5094)</f>
        <v/>
      </c>
      <c r="P5094" s="5">
        <f>IF(O5094="","",IF(O5094&gt;0,1,0))</f>
        <v/>
      </c>
    </row>
    <row r="5095">
      <c r="A5095" s="5" t="n">
        <v>1117730000</v>
      </c>
      <c r="B5095" s="5" t="inlineStr">
        <is>
          <t>EM000975</t>
        </is>
      </c>
      <c r="C5095" s="5" t="inlineStr">
        <is>
          <t>MATEUS DA SILVA CARVALHO</t>
        </is>
      </c>
      <c r="D5095" s="5" t="inlineStr">
        <is>
          <t>ZP</t>
        </is>
      </c>
      <c r="E5095" s="5" t="n">
        <v>2000026525</v>
      </c>
      <c r="F5095" s="5" t="n"/>
      <c r="G5095" s="5" t="inlineStr">
        <is>
          <t>BRL</t>
        </is>
      </c>
      <c r="H5095" s="9" t="n">
        <v>260</v>
      </c>
      <c r="I5095" s="16" t="n">
        <v>45982</v>
      </c>
      <c r="J5095" s="16" t="n">
        <v>45982</v>
      </c>
      <c r="K5095" s="5" t="inlineStr">
        <is>
          <t>Documento fornecedor MATEUS DA SILVA CARVALHO 4247</t>
        </is>
      </c>
      <c r="L5095" s="5" t="inlineStr">
        <is>
          <t>21112025</t>
        </is>
      </c>
      <c r="M5095" s="5">
        <f>IF(YEAR(I5095)&lt;=2020,"Até 2020",TEXT(YEAR(I5095),"0"))</f>
        <v/>
      </c>
      <c r="N5095" s="5">
        <f>IFERROR(INDEX(DePara!$A:$A,MATCH(TEXT(B5095,"0"),DePara!$D:$D,0)),"(sem categoria)")</f>
        <v/>
      </c>
      <c r="O5095" s="5">
        <f>IF(J5095="","",Parametros!$B$6-J5095)</f>
        <v/>
      </c>
      <c r="P5095" s="5">
        <f>IF(O5095="","",IF(O5095&gt;0,1,0))</f>
        <v/>
      </c>
    </row>
    <row r="5096">
      <c r="A5096" s="5" t="n">
        <v>1117730000</v>
      </c>
      <c r="B5096" s="5" t="inlineStr">
        <is>
          <t>EM000975</t>
        </is>
      </c>
      <c r="C5096" s="5" t="inlineStr">
        <is>
          <t>MATEUS DA SILVA CARVALHO</t>
        </is>
      </c>
      <c r="D5096" s="5" t="inlineStr">
        <is>
          <t>ZP</t>
        </is>
      </c>
      <c r="E5096" s="5" t="n">
        <v>2000026526</v>
      </c>
      <c r="F5096" s="5" t="n"/>
      <c r="G5096" s="5" t="inlineStr">
        <is>
          <t>BRL</t>
        </is>
      </c>
      <c r="H5096" s="9" t="n">
        <v>1820</v>
      </c>
      <c r="I5096" s="16" t="n">
        <v>45982</v>
      </c>
      <c r="J5096" s="16" t="n">
        <v>45982</v>
      </c>
      <c r="K5096" s="5" t="inlineStr">
        <is>
          <t>Documento fornecedor MATEUS DA SILVA CARVALHO 4369</t>
        </is>
      </c>
      <c r="L5096" s="5" t="inlineStr">
        <is>
          <t>21112025</t>
        </is>
      </c>
      <c r="M5096" s="5">
        <f>IF(YEAR(I5096)&lt;=2020,"Até 2020",TEXT(YEAR(I5096),"0"))</f>
        <v/>
      </c>
      <c r="N5096" s="5">
        <f>IFERROR(INDEX(DePara!$A:$A,MATCH(TEXT(B5096,"0"),DePara!$D:$D,0)),"(sem categoria)")</f>
        <v/>
      </c>
      <c r="O5096" s="5">
        <f>IF(J5096="","",Parametros!$B$6-J5096)</f>
        <v/>
      </c>
      <c r="P5096" s="5">
        <f>IF(O5096="","",IF(O5096&gt;0,1,0))</f>
        <v/>
      </c>
    </row>
    <row r="5097">
      <c r="A5097" s="5" t="n">
        <v>1117730000</v>
      </c>
      <c r="B5097" s="5" t="inlineStr">
        <is>
          <t>EM000862</t>
        </is>
      </c>
      <c r="C5097" s="5" t="inlineStr">
        <is>
          <t>ANTONIO FREIRE MENDES FILHO</t>
        </is>
      </c>
      <c r="D5097" s="5" t="inlineStr">
        <is>
          <t>ZP</t>
        </is>
      </c>
      <c r="E5097" s="5" t="n">
        <v>2000026675</v>
      </c>
      <c r="F5097" s="5" t="n"/>
      <c r="G5097" s="5" t="inlineStr">
        <is>
          <t>BRL</t>
        </is>
      </c>
      <c r="H5097" s="9" t="n">
        <v>650</v>
      </c>
      <c r="I5097" s="16" t="n">
        <v>45987</v>
      </c>
      <c r="J5097" s="16" t="n">
        <v>45987</v>
      </c>
      <c r="K5097" s="5" t="inlineStr">
        <is>
          <t>Vendor DP Request ANTONIO FREIRE MENDES FILHO 4365</t>
        </is>
      </c>
      <c r="L5097" s="5" t="inlineStr">
        <is>
          <t>26112025</t>
        </is>
      </c>
      <c r="M5097" s="5">
        <f>IF(YEAR(I5097)&lt;=2020,"Até 2020",TEXT(YEAR(I5097),"0"))</f>
        <v/>
      </c>
      <c r="N5097" s="5">
        <f>IFERROR(INDEX(DePara!$A:$A,MATCH(TEXT(B5097,"0"),DePara!$D:$D,0)),"(sem categoria)")</f>
        <v/>
      </c>
      <c r="O5097" s="5">
        <f>IF(J5097="","",Parametros!$B$6-J5097)</f>
        <v/>
      </c>
      <c r="P5097" s="5">
        <f>IF(O5097="","",IF(O5097&gt;0,1,0))</f>
        <v/>
      </c>
    </row>
    <row r="5098">
      <c r="A5098" s="5" t="n">
        <v>1117730000</v>
      </c>
      <c r="B5098" s="5" t="inlineStr">
        <is>
          <t>EM000881</t>
        </is>
      </c>
      <c r="C5098" s="5" t="inlineStr">
        <is>
          <t>FRANCISCO MARCOS DE SOUSA</t>
        </is>
      </c>
      <c r="D5098" s="5" t="inlineStr">
        <is>
          <t>ZP</t>
        </is>
      </c>
      <c r="E5098" s="5" t="n">
        <v>2000026680</v>
      </c>
      <c r="F5098" s="5" t="n"/>
      <c r="G5098" s="5" t="inlineStr">
        <is>
          <t>BRL</t>
        </is>
      </c>
      <c r="H5098" s="9" t="n">
        <v>910</v>
      </c>
      <c r="I5098" s="16" t="n">
        <v>45987</v>
      </c>
      <c r="J5098" s="16" t="n">
        <v>45987</v>
      </c>
      <c r="K5098" s="5" t="inlineStr">
        <is>
          <t>Vendor DP Request FRANCISCO MARCOS DE SOUSA 43740</t>
        </is>
      </c>
      <c r="L5098" s="5" t="inlineStr">
        <is>
          <t>26112025</t>
        </is>
      </c>
      <c r="M5098" s="5">
        <f>IF(YEAR(I5098)&lt;=2020,"Até 2020",TEXT(YEAR(I5098),"0"))</f>
        <v/>
      </c>
      <c r="N5098" s="5">
        <f>IFERROR(INDEX(DePara!$A:$A,MATCH(TEXT(B5098,"0"),DePara!$D:$D,0)),"(sem categoria)")</f>
        <v/>
      </c>
      <c r="O5098" s="5">
        <f>IF(J5098="","",Parametros!$B$6-J5098)</f>
        <v/>
      </c>
      <c r="P5098" s="5">
        <f>IF(O5098="","",IF(O5098&gt;0,1,0))</f>
        <v/>
      </c>
    </row>
    <row r="5099">
      <c r="A5099" s="5" t="n">
        <v>1117730000</v>
      </c>
      <c r="B5099" s="5" t="inlineStr">
        <is>
          <t>EM000971</t>
        </is>
      </c>
      <c r="C5099" s="5" t="inlineStr">
        <is>
          <t>LUCAS RODRIGUES DOS SANTOS</t>
        </is>
      </c>
      <c r="D5099" s="5" t="inlineStr">
        <is>
          <t>ZP</t>
        </is>
      </c>
      <c r="E5099" s="5" t="n">
        <v>2000026684</v>
      </c>
      <c r="F5099" s="5" t="n"/>
      <c r="G5099" s="5" t="inlineStr">
        <is>
          <t>BRL</t>
        </is>
      </c>
      <c r="H5099" s="9" t="n">
        <v>650</v>
      </c>
      <c r="I5099" s="16" t="n">
        <v>45987</v>
      </c>
      <c r="J5099" s="16" t="n">
        <v>45987</v>
      </c>
      <c r="K5099" s="5" t="inlineStr">
        <is>
          <t>Vendor DP Request LUCAS RODRIGUES DOS SANTOS 43755</t>
        </is>
      </c>
      <c r="L5099" s="5" t="inlineStr">
        <is>
          <t>26112025</t>
        </is>
      </c>
      <c r="M5099" s="5">
        <f>IF(YEAR(I5099)&lt;=2020,"Até 2020",TEXT(YEAR(I5099),"0"))</f>
        <v/>
      </c>
      <c r="N5099" s="5">
        <f>IFERROR(INDEX(DePara!$A:$A,MATCH(TEXT(B5099,"0"),DePara!$D:$D,0)),"(sem categoria)")</f>
        <v/>
      </c>
      <c r="O5099" s="5">
        <f>IF(J5099="","",Parametros!$B$6-J5099)</f>
        <v/>
      </c>
      <c r="P5099" s="5">
        <f>IF(O5099="","",IF(O5099&gt;0,1,0))</f>
        <v/>
      </c>
    </row>
    <row r="5100">
      <c r="A5100" s="5" t="n">
        <v>1117730000</v>
      </c>
      <c r="B5100" s="5" t="inlineStr">
        <is>
          <t>EM000979</t>
        </is>
      </c>
      <c r="C5100" s="5" t="inlineStr">
        <is>
          <t>JOSE NATAN DIAS DOS SANTOS</t>
        </is>
      </c>
      <c r="D5100" s="5" t="inlineStr">
        <is>
          <t>ZP</t>
        </is>
      </c>
      <c r="E5100" s="5" t="n">
        <v>2000026687</v>
      </c>
      <c r="F5100" s="5" t="n"/>
      <c r="G5100" s="5" t="inlineStr">
        <is>
          <t>BRL</t>
        </is>
      </c>
      <c r="H5100" s="9" t="n">
        <v>910</v>
      </c>
      <c r="I5100" s="16" t="n">
        <v>45987</v>
      </c>
      <c r="J5100" s="16" t="n">
        <v>45987</v>
      </c>
      <c r="K5100" s="5" t="inlineStr">
        <is>
          <t>Vendor DP Request JOSE NATAN DIAS DOS SANTOS 43739</t>
        </is>
      </c>
      <c r="L5100" s="5" t="inlineStr">
        <is>
          <t>26112025</t>
        </is>
      </c>
      <c r="M5100" s="5">
        <f>IF(YEAR(I5100)&lt;=2020,"Até 2020",TEXT(YEAR(I5100),"0"))</f>
        <v/>
      </c>
      <c r="N5100" s="5">
        <f>IFERROR(INDEX(DePara!$A:$A,MATCH(TEXT(B5100,"0"),DePara!$D:$D,0)),"(sem categoria)")</f>
        <v/>
      </c>
      <c r="O5100" s="5">
        <f>IF(J5100="","",Parametros!$B$6-J5100)</f>
        <v/>
      </c>
      <c r="P5100" s="5">
        <f>IF(O5100="","",IF(O5100&gt;0,1,0))</f>
        <v/>
      </c>
    </row>
    <row r="5101">
      <c r="A5101" s="5" t="n">
        <v>1117730000</v>
      </c>
      <c r="B5101" s="5" t="inlineStr">
        <is>
          <t>EM003096</t>
        </is>
      </c>
      <c r="C5101" s="5" t="inlineStr">
        <is>
          <t>JOSICLEITON COELHO DE SOUZA</t>
        </is>
      </c>
      <c r="D5101" s="5" t="inlineStr">
        <is>
          <t>ZP</t>
        </is>
      </c>
      <c r="E5101" s="5" t="n">
        <v>2000026994</v>
      </c>
      <c r="F5101" s="5" t="n"/>
      <c r="G5101" s="5" t="inlineStr">
        <is>
          <t>BRL</t>
        </is>
      </c>
      <c r="H5101" s="9" t="n">
        <v>520</v>
      </c>
      <c r="I5101" s="16" t="n">
        <v>45994</v>
      </c>
      <c r="J5101" s="16" t="n">
        <v>45994</v>
      </c>
      <c r="K5101" s="5" t="inlineStr">
        <is>
          <t>Documento fornecedor JOSICLEITON COELHO DE SOUZA 4</t>
        </is>
      </c>
      <c r="L5101" s="5" t="inlineStr">
        <is>
          <t>03122025</t>
        </is>
      </c>
      <c r="M5101" s="5">
        <f>IF(YEAR(I5101)&lt;=2020,"Até 2020",TEXT(YEAR(I5101),"0"))</f>
        <v/>
      </c>
      <c r="N5101" s="5">
        <f>IFERROR(INDEX(DePara!$A:$A,MATCH(TEXT(B5101,"0"),DePara!$D:$D,0)),"(sem categoria)")</f>
        <v/>
      </c>
      <c r="O5101" s="5">
        <f>IF(J5101="","",Parametros!$B$6-J5101)</f>
        <v/>
      </c>
      <c r="P5101" s="5">
        <f>IF(O5101="","",IF(O5101&gt;0,1,0))</f>
        <v/>
      </c>
    </row>
    <row r="5102">
      <c r="A5102" s="5" t="n">
        <v>1117730000</v>
      </c>
      <c r="B5102" s="5" t="inlineStr">
        <is>
          <t>EM000876</t>
        </is>
      </c>
      <c r="C5102" s="5" t="inlineStr">
        <is>
          <t>Juliana Denleschi Fernandes Luis</t>
        </is>
      </c>
      <c r="D5102" s="5" t="inlineStr">
        <is>
          <t>ZP</t>
        </is>
      </c>
      <c r="E5102" s="5" t="n">
        <v>2000027970</v>
      </c>
      <c r="F5102" s="5" t="n"/>
      <c r="G5102" s="5" t="inlineStr">
        <is>
          <t>BRL</t>
        </is>
      </c>
      <c r="H5102" s="9" t="n">
        <v>1495.2</v>
      </c>
      <c r="I5102" s="16" t="n">
        <v>46001</v>
      </c>
      <c r="J5102" s="16" t="n">
        <v>46001</v>
      </c>
      <c r="K5102" s="5" t="inlineStr">
        <is>
          <t>Vendor DP Request Juliana Denleschi Fernandes Luis</t>
        </is>
      </c>
      <c r="L5102" s="5" t="inlineStr">
        <is>
          <t>10122025</t>
        </is>
      </c>
      <c r="M5102" s="5">
        <f>IF(YEAR(I5102)&lt;=2020,"Até 2020",TEXT(YEAR(I5102),"0"))</f>
        <v/>
      </c>
      <c r="N5102" s="5">
        <f>IFERROR(INDEX(DePara!$A:$A,MATCH(TEXT(B5102,"0"),DePara!$D:$D,0)),"(sem categoria)")</f>
        <v/>
      </c>
      <c r="O5102" s="5">
        <f>IF(J5102="","",Parametros!$B$6-J5102)</f>
        <v/>
      </c>
      <c r="P5102" s="5">
        <f>IF(O5102="","",IF(O5102&gt;0,1,0))</f>
        <v/>
      </c>
    </row>
    <row r="5103">
      <c r="A5103" s="5" t="n">
        <v>1117730000</v>
      </c>
      <c r="B5103" s="5" t="inlineStr">
        <is>
          <t>EM000076</t>
        </is>
      </c>
      <c r="C5103" s="5" t="inlineStr">
        <is>
          <t>MOISES MELO DOS SANTOS</t>
        </is>
      </c>
      <c r="D5103" s="5" t="inlineStr">
        <is>
          <t>ZP</t>
        </is>
      </c>
      <c r="E5103" s="5" t="n">
        <v>2000029044</v>
      </c>
      <c r="F5103" s="5" t="n"/>
      <c r="G5103" s="5" t="inlineStr">
        <is>
          <t>BRL</t>
        </is>
      </c>
      <c r="H5103" s="9" t="n">
        <v>260</v>
      </c>
      <c r="I5103" s="16" t="n">
        <v>46010</v>
      </c>
      <c r="J5103" s="16" t="n">
        <v>46010</v>
      </c>
      <c r="K5103" s="5" t="inlineStr">
        <is>
          <t>Vendor DP Request MOISES MELO DOS SANTOS 43560</t>
        </is>
      </c>
      <c r="L5103" s="5" t="inlineStr">
        <is>
          <t>19122025</t>
        </is>
      </c>
      <c r="M5103" s="5">
        <f>IF(YEAR(I5103)&lt;=2020,"Até 2020",TEXT(YEAR(I5103),"0"))</f>
        <v/>
      </c>
      <c r="N5103" s="5">
        <f>IFERROR(INDEX(DePara!$A:$A,MATCH(TEXT(B5103,"0"),DePara!$D:$D,0)),"(sem categoria)")</f>
        <v/>
      </c>
      <c r="O5103" s="5">
        <f>IF(J5103="","",Parametros!$B$6-J5103)</f>
        <v/>
      </c>
      <c r="P5103" s="5">
        <f>IF(O5103="","",IF(O5103&gt;0,1,0))</f>
        <v/>
      </c>
    </row>
    <row r="5104">
      <c r="A5104" s="5" t="n">
        <v>1117730000</v>
      </c>
      <c r="B5104" s="5" t="inlineStr">
        <is>
          <t>EM000607</t>
        </is>
      </c>
      <c r="C5104" s="5" t="inlineStr">
        <is>
          <t>MARLON LEMOS ARIM</t>
        </is>
      </c>
      <c r="D5104" s="5" t="inlineStr">
        <is>
          <t>ZP</t>
        </is>
      </c>
      <c r="E5104" s="5" t="n">
        <v>2000029075</v>
      </c>
      <c r="F5104" s="5" t="n"/>
      <c r="G5104" s="5" t="inlineStr">
        <is>
          <t>BRL</t>
        </is>
      </c>
      <c r="H5104" s="9" t="n">
        <v>130</v>
      </c>
      <c r="I5104" s="16" t="n">
        <v>46010</v>
      </c>
      <c r="J5104" s="16" t="n">
        <v>46010</v>
      </c>
      <c r="K5104" s="5" t="inlineStr">
        <is>
          <t>Vendor DP Request MARLON LEMOS ARIM 43863</t>
        </is>
      </c>
      <c r="L5104" s="5" t="inlineStr">
        <is>
          <t>19122025</t>
        </is>
      </c>
      <c r="M5104" s="5">
        <f>IF(YEAR(I5104)&lt;=2020,"Até 2020",TEXT(YEAR(I5104),"0"))</f>
        <v/>
      </c>
      <c r="N5104" s="5">
        <f>IFERROR(INDEX(DePara!$A:$A,MATCH(TEXT(B5104,"0"),DePara!$D:$D,0)),"(sem categoria)")</f>
        <v/>
      </c>
      <c r="O5104" s="5">
        <f>IF(J5104="","",Parametros!$B$6-J5104)</f>
        <v/>
      </c>
      <c r="P5104" s="5">
        <f>IF(O5104="","",IF(O5104&gt;0,1,0))</f>
        <v/>
      </c>
    </row>
    <row r="5105">
      <c r="A5105" s="5" t="n">
        <v>1000010000</v>
      </c>
      <c r="B5105" s="5" t="inlineStr">
        <is>
          <t>EM000015</t>
        </is>
      </c>
      <c r="C5105" s="5" t="inlineStr">
        <is>
          <t>IZACK DEYVID DIAS VIANA</t>
        </is>
      </c>
      <c r="D5105" s="5" t="inlineStr">
        <is>
          <t>UE</t>
        </is>
      </c>
      <c r="E5105" s="5" t="n">
        <v>200009621</v>
      </c>
      <c r="F5105" s="5" t="inlineStr">
        <is>
          <t>2150</t>
        </is>
      </c>
      <c r="G5105" s="5" t="inlineStr">
        <is>
          <t>BRL</t>
        </is>
      </c>
      <c r="H5105" s="9" t="n">
        <v>2000</v>
      </c>
      <c r="I5105" s="16" t="n">
        <v>44839</v>
      </c>
      <c r="J5105" s="16" t="n">
        <v>44839</v>
      </c>
      <c r="K5105" s="5" t="inlineStr">
        <is>
          <t>ADIANTAMENTO FF</t>
        </is>
      </c>
      <c r="L5105" s="5" t="inlineStr">
        <is>
          <t>570000.110101</t>
        </is>
      </c>
      <c r="M5105" s="5">
        <f>IF(YEAR(I5105)&lt;=2020,"Até 2020",TEXT(YEAR(I5105),"0"))</f>
        <v/>
      </c>
      <c r="N5105" s="5">
        <f>IFERROR(INDEX(DePara!$A:$A,MATCH(TEXT(B5105,"0"),DePara!$D:$D,0)),"(sem categoria)")</f>
        <v/>
      </c>
      <c r="O5105" s="5">
        <f>IF(J5105="","",Parametros!$B$6-J5105)</f>
        <v/>
      </c>
      <c r="P5105" s="5">
        <f>IF(O5105="","",IF(O5105&gt;0,1,0))</f>
        <v/>
      </c>
    </row>
    <row r="5106">
      <c r="A5106" s="5" t="n">
        <v>1000010000</v>
      </c>
      <c r="B5106" s="5" t="inlineStr">
        <is>
          <t>EM000020</t>
        </is>
      </c>
      <c r="C5106" s="5" t="inlineStr">
        <is>
          <t>JOAO JORGE DA SILVA TEMOTEO</t>
        </is>
      </c>
      <c r="D5106" s="5" t="inlineStr">
        <is>
          <t>UE</t>
        </is>
      </c>
      <c r="E5106" s="5" t="n">
        <v>200009623</v>
      </c>
      <c r="F5106" s="5" t="inlineStr">
        <is>
          <t>2152</t>
        </is>
      </c>
      <c r="G5106" s="5" t="inlineStr">
        <is>
          <t>BRL</t>
        </is>
      </c>
      <c r="H5106" s="9" t="n">
        <v>2000</v>
      </c>
      <c r="I5106" s="16" t="n">
        <v>44909</v>
      </c>
      <c r="J5106" s="16" t="n">
        <v>44909</v>
      </c>
      <c r="K5106" s="5" t="inlineStr">
        <is>
          <t>ADIANTAMENTO FF</t>
        </is>
      </c>
      <c r="L5106" s="5" t="inlineStr">
        <is>
          <t>570000.110101</t>
        </is>
      </c>
      <c r="M5106" s="5">
        <f>IF(YEAR(I5106)&lt;=2020,"Até 2020",TEXT(YEAR(I5106),"0"))</f>
        <v/>
      </c>
      <c r="N5106" s="5">
        <f>IFERROR(INDEX(DePara!$A:$A,MATCH(TEXT(B5106,"0"),DePara!$D:$D,0)),"(sem categoria)")</f>
        <v/>
      </c>
      <c r="O5106" s="5">
        <f>IF(J5106="","",Parametros!$B$6-J5106)</f>
        <v/>
      </c>
      <c r="P5106" s="5">
        <f>IF(O5106="","",IF(O5106&gt;0,1,0))</f>
        <v/>
      </c>
    </row>
    <row r="5107">
      <c r="A5107" s="5" t="n">
        <v>1000010000</v>
      </c>
      <c r="B5107" s="5" t="inlineStr">
        <is>
          <t>EM000045</t>
        </is>
      </c>
      <c r="C5107" s="5" t="inlineStr">
        <is>
          <t>EVANDRO DE LIMA MARQUES</t>
        </is>
      </c>
      <c r="D5107" s="5" t="inlineStr">
        <is>
          <t>UE</t>
        </is>
      </c>
      <c r="E5107" s="5" t="n">
        <v>200009633</v>
      </c>
      <c r="F5107" s="5" t="inlineStr">
        <is>
          <t>2161</t>
        </is>
      </c>
      <c r="G5107" s="5" t="inlineStr">
        <is>
          <t>BRL</t>
        </is>
      </c>
      <c r="H5107" s="9" t="n">
        <v>2000</v>
      </c>
      <c r="I5107" s="16" t="n">
        <v>44916</v>
      </c>
      <c r="J5107" s="16" t="n">
        <v>44916</v>
      </c>
      <c r="K5107" s="5" t="inlineStr">
        <is>
          <t>ADIANTAMENTO FF</t>
        </is>
      </c>
      <c r="L5107" s="5" t="inlineStr">
        <is>
          <t>570000.110101</t>
        </is>
      </c>
      <c r="M5107" s="5">
        <f>IF(YEAR(I5107)&lt;=2020,"Até 2020",TEXT(YEAR(I5107),"0"))</f>
        <v/>
      </c>
      <c r="N5107" s="5">
        <f>IFERROR(INDEX(DePara!$A:$A,MATCH(TEXT(B5107,"0"),DePara!$D:$D,0)),"(sem categoria)")</f>
        <v/>
      </c>
      <c r="O5107" s="5">
        <f>IF(J5107="","",Parametros!$B$6-J5107)</f>
        <v/>
      </c>
      <c r="P5107" s="5">
        <f>IF(O5107="","",IF(O5107&gt;0,1,0))</f>
        <v/>
      </c>
    </row>
    <row r="5108">
      <c r="A5108" s="5" t="n">
        <v>1000010000</v>
      </c>
      <c r="B5108" s="5" t="inlineStr">
        <is>
          <t>EM000056</t>
        </is>
      </c>
      <c r="C5108" s="5" t="inlineStr">
        <is>
          <t>MAYCON ALVES DE OLIVEIRA</t>
        </is>
      </c>
      <c r="D5108" s="5" t="inlineStr">
        <is>
          <t>UE</t>
        </is>
      </c>
      <c r="E5108" s="5" t="n">
        <v>200009636</v>
      </c>
      <c r="F5108" s="5" t="inlineStr">
        <is>
          <t>2164</t>
        </is>
      </c>
      <c r="G5108" s="5" t="inlineStr">
        <is>
          <t>BRL</t>
        </is>
      </c>
      <c r="H5108" s="9" t="n">
        <v>1285.5</v>
      </c>
      <c r="I5108" s="16" t="n">
        <v>44680</v>
      </c>
      <c r="J5108" s="16" t="n">
        <v>44680</v>
      </c>
      <c r="K5108" s="5" t="inlineStr">
        <is>
          <t>FF 04.2022</t>
        </is>
      </c>
      <c r="L5108" s="5" t="inlineStr">
        <is>
          <t>570000.110101</t>
        </is>
      </c>
      <c r="M5108" s="5">
        <f>IF(YEAR(I5108)&lt;=2020,"Até 2020",TEXT(YEAR(I5108),"0"))</f>
        <v/>
      </c>
      <c r="N5108" s="5">
        <f>IFERROR(INDEX(DePara!$A:$A,MATCH(TEXT(B5108,"0"),DePara!$D:$D,0)),"(sem categoria)")</f>
        <v/>
      </c>
      <c r="O5108" s="5">
        <f>IF(J5108="","",Parametros!$B$6-J5108)</f>
        <v/>
      </c>
      <c r="P5108" s="5">
        <f>IF(O5108="","",IF(O5108&gt;0,1,0))</f>
        <v/>
      </c>
    </row>
    <row r="5109">
      <c r="A5109" s="5" t="n">
        <v>1000010000</v>
      </c>
      <c r="B5109" s="5" t="inlineStr">
        <is>
          <t>EM000057</t>
        </is>
      </c>
      <c r="C5109" s="5" t="inlineStr">
        <is>
          <t>ANA PATRICIA MORAIS DA SILVA</t>
        </is>
      </c>
      <c r="D5109" s="5" t="inlineStr">
        <is>
          <t>UE</t>
        </is>
      </c>
      <c r="E5109" s="5" t="n">
        <v>200009638</v>
      </c>
      <c r="F5109" s="5" t="inlineStr">
        <is>
          <t>2166</t>
        </is>
      </c>
      <c r="G5109" s="5" t="inlineStr">
        <is>
          <t>BRL</t>
        </is>
      </c>
      <c r="H5109" s="9" t="n">
        <v>3000</v>
      </c>
      <c r="I5109" s="16" t="n">
        <v>44383</v>
      </c>
      <c r="J5109" s="16" t="n">
        <v>44383</v>
      </c>
      <c r="K5109" s="5" t="inlineStr">
        <is>
          <t>FF COMPLEMENTAR</t>
        </is>
      </c>
      <c r="L5109" s="5" t="inlineStr">
        <is>
          <t>570000.110101</t>
        </is>
      </c>
      <c r="M5109" s="5">
        <f>IF(YEAR(I5109)&lt;=2020,"Até 2020",TEXT(YEAR(I5109),"0"))</f>
        <v/>
      </c>
      <c r="N5109" s="5">
        <f>IFERROR(INDEX(DePara!$A:$A,MATCH(TEXT(B5109,"0"),DePara!$D:$D,0)),"(sem categoria)")</f>
        <v/>
      </c>
      <c r="O5109" s="5">
        <f>IF(J5109="","",Parametros!$B$6-J5109)</f>
        <v/>
      </c>
      <c r="P5109" s="5">
        <f>IF(O5109="","",IF(O5109&gt;0,1,0))</f>
        <v/>
      </c>
    </row>
    <row r="5110">
      <c r="A5110" s="5" t="n">
        <v>1000010000</v>
      </c>
      <c r="B5110" s="5" t="inlineStr">
        <is>
          <t>EM000081</t>
        </is>
      </c>
      <c r="C5110" s="5" t="inlineStr">
        <is>
          <t>BRUNO VINICIUS MOREIRA CARDOSO</t>
        </is>
      </c>
      <c r="D5110" s="5" t="inlineStr">
        <is>
          <t>UE</t>
        </is>
      </c>
      <c r="E5110" s="5" t="n">
        <v>200009639</v>
      </c>
      <c r="F5110" s="5" t="inlineStr">
        <is>
          <t>2167</t>
        </is>
      </c>
      <c r="G5110" s="5" t="inlineStr">
        <is>
          <t>BRL</t>
        </is>
      </c>
      <c r="H5110" s="9" t="n">
        <v>2000</v>
      </c>
      <c r="I5110" s="16" t="n">
        <v>45124</v>
      </c>
      <c r="J5110" s="16" t="n">
        <v>45124</v>
      </c>
      <c r="K5110" s="5" t="inlineStr">
        <is>
          <t>ADIANTAMENTO FF</t>
        </is>
      </c>
      <c r="L5110" s="5" t="inlineStr">
        <is>
          <t>570000.110101</t>
        </is>
      </c>
      <c r="M5110" s="5">
        <f>IF(YEAR(I5110)&lt;=2020,"Até 2020",TEXT(YEAR(I5110),"0"))</f>
        <v/>
      </c>
      <c r="N5110" s="5">
        <f>IFERROR(INDEX(DePara!$A:$A,MATCH(TEXT(B5110,"0"),DePara!$D:$D,0)),"(sem categoria)")</f>
        <v/>
      </c>
      <c r="O5110" s="5">
        <f>IF(J5110="","",Parametros!$B$6-J5110)</f>
        <v/>
      </c>
      <c r="P5110" s="5">
        <f>IF(O5110="","",IF(O5110&gt;0,1,0))</f>
        <v/>
      </c>
    </row>
    <row r="5111">
      <c r="A5111" s="5" t="n">
        <v>1000010000</v>
      </c>
      <c r="B5111" s="5" t="inlineStr">
        <is>
          <t>EM000121</t>
        </is>
      </c>
      <c r="C5111" s="5" t="inlineStr">
        <is>
          <t>WILLIAM VICENTE DA SILVA</t>
        </is>
      </c>
      <c r="D5111" s="5" t="inlineStr">
        <is>
          <t>UE</t>
        </is>
      </c>
      <c r="E5111" s="5" t="n">
        <v>200009647</v>
      </c>
      <c r="F5111" s="5" t="inlineStr">
        <is>
          <t>2174</t>
        </is>
      </c>
      <c r="G5111" s="5" t="inlineStr">
        <is>
          <t>BRL</t>
        </is>
      </c>
      <c r="H5111" s="9" t="n">
        <v>3000</v>
      </c>
      <c r="I5111" s="16" t="n">
        <v>44900</v>
      </c>
      <c r="J5111" s="16" t="n">
        <v>44900</v>
      </c>
      <c r="K5111" s="5" t="inlineStr">
        <is>
          <t>ADIANTAMENTO FF</t>
        </is>
      </c>
      <c r="L5111" s="5" t="inlineStr">
        <is>
          <t>570000.110101</t>
        </is>
      </c>
      <c r="M5111" s="5">
        <f>IF(YEAR(I5111)&lt;=2020,"Até 2020",TEXT(YEAR(I5111),"0"))</f>
        <v/>
      </c>
      <c r="N5111" s="5">
        <f>IFERROR(INDEX(DePara!$A:$A,MATCH(TEXT(B5111,"0"),DePara!$D:$D,0)),"(sem categoria)")</f>
        <v/>
      </c>
      <c r="O5111" s="5">
        <f>IF(J5111="","",Parametros!$B$6-J5111)</f>
        <v/>
      </c>
      <c r="P5111" s="5">
        <f>IF(O5111="","",IF(O5111&gt;0,1,0))</f>
        <v/>
      </c>
    </row>
    <row r="5112">
      <c r="A5112" s="5" t="n">
        <v>1000010000</v>
      </c>
      <c r="B5112" s="5" t="inlineStr">
        <is>
          <t>EM000121</t>
        </is>
      </c>
      <c r="C5112" s="5" t="inlineStr">
        <is>
          <t>WILLIAM VICENTE DA SILVA</t>
        </is>
      </c>
      <c r="D5112" s="5" t="inlineStr">
        <is>
          <t>UE</t>
        </is>
      </c>
      <c r="E5112" s="5" t="n">
        <v>200009648</v>
      </c>
      <c r="F5112" s="5" t="inlineStr">
        <is>
          <t>2175</t>
        </is>
      </c>
      <c r="G5112" s="5" t="inlineStr">
        <is>
          <t>BRL</t>
        </is>
      </c>
      <c r="H5112" s="9" t="n">
        <v>2000</v>
      </c>
      <c r="I5112" s="16" t="n">
        <v>44957</v>
      </c>
      <c r="J5112" s="16" t="n">
        <v>44957</v>
      </c>
      <c r="K5112" s="5" t="inlineStr">
        <is>
          <t>AUMENTO FF LDV</t>
        </is>
      </c>
      <c r="L5112" s="5" t="inlineStr">
        <is>
          <t>570000.110101</t>
        </is>
      </c>
      <c r="M5112" s="5">
        <f>IF(YEAR(I5112)&lt;=2020,"Até 2020",TEXT(YEAR(I5112),"0"))</f>
        <v/>
      </c>
      <c r="N5112" s="5">
        <f>IFERROR(INDEX(DePara!$A:$A,MATCH(TEXT(B5112,"0"),DePara!$D:$D,0)),"(sem categoria)")</f>
        <v/>
      </c>
      <c r="O5112" s="5">
        <f>IF(J5112="","",Parametros!$B$6-J5112)</f>
        <v/>
      </c>
      <c r="P5112" s="5">
        <f>IF(O5112="","",IF(O5112&gt;0,1,0))</f>
        <v/>
      </c>
    </row>
    <row r="5113">
      <c r="A5113" s="5" t="n">
        <v>1000010000</v>
      </c>
      <c r="B5113" s="5" t="inlineStr">
        <is>
          <t>EM000137</t>
        </is>
      </c>
      <c r="C5113" s="5" t="inlineStr">
        <is>
          <t>ISLAS MARTINS MACIEL ABREU</t>
        </is>
      </c>
      <c r="D5113" s="5" t="inlineStr">
        <is>
          <t>UE</t>
        </is>
      </c>
      <c r="E5113" s="5" t="n">
        <v>200009649</v>
      </c>
      <c r="F5113" s="5" t="inlineStr">
        <is>
          <t>2176</t>
        </is>
      </c>
      <c r="G5113" s="5" t="inlineStr">
        <is>
          <t>BRL</t>
        </is>
      </c>
      <c r="H5113" s="9" t="n">
        <v>2000</v>
      </c>
      <c r="I5113" s="16" t="n">
        <v>45033</v>
      </c>
      <c r="J5113" s="16" t="n">
        <v>45033</v>
      </c>
      <c r="K5113" s="5" t="inlineStr">
        <is>
          <t>ADIANTAMENTO FF</t>
        </is>
      </c>
      <c r="L5113" s="5" t="inlineStr">
        <is>
          <t>570000.110101</t>
        </is>
      </c>
      <c r="M5113" s="5">
        <f>IF(YEAR(I5113)&lt;=2020,"Até 2020",TEXT(YEAR(I5113),"0"))</f>
        <v/>
      </c>
      <c r="N5113" s="5">
        <f>IFERROR(INDEX(DePara!$A:$A,MATCH(TEXT(B5113,"0"),DePara!$D:$D,0)),"(sem categoria)")</f>
        <v/>
      </c>
      <c r="O5113" s="5">
        <f>IF(J5113="","",Parametros!$B$6-J5113)</f>
        <v/>
      </c>
      <c r="P5113" s="5">
        <f>IF(O5113="","",IF(O5113&gt;0,1,0))</f>
        <v/>
      </c>
    </row>
    <row r="5114">
      <c r="A5114" s="5" t="n">
        <v>1000010000</v>
      </c>
      <c r="B5114" s="5" t="inlineStr">
        <is>
          <t>EM000270</t>
        </is>
      </c>
      <c r="C5114" s="5" t="inlineStr">
        <is>
          <t>THAYS NUNES BARROS</t>
        </is>
      </c>
      <c r="D5114" s="5" t="inlineStr">
        <is>
          <t>UE</t>
        </is>
      </c>
      <c r="E5114" s="5" t="n">
        <v>200009661</v>
      </c>
      <c r="F5114" s="5" t="inlineStr">
        <is>
          <t>2187</t>
        </is>
      </c>
      <c r="G5114" s="5" t="inlineStr">
        <is>
          <t>BRL</t>
        </is>
      </c>
      <c r="H5114" s="9" t="n">
        <v>2000</v>
      </c>
      <c r="I5114" s="16" t="n">
        <v>44713</v>
      </c>
      <c r="J5114" s="16" t="n">
        <v>44713</v>
      </c>
      <c r="K5114" s="5" t="inlineStr">
        <is>
          <t>ADIANTAMENTO FF</t>
        </is>
      </c>
      <c r="L5114" s="5" t="inlineStr">
        <is>
          <t>570000.110101</t>
        </is>
      </c>
      <c r="M5114" s="5">
        <f>IF(YEAR(I5114)&lt;=2020,"Até 2020",TEXT(YEAR(I5114),"0"))</f>
        <v/>
      </c>
      <c r="N5114" s="5">
        <f>IFERROR(INDEX(DePara!$A:$A,MATCH(TEXT(B5114,"0"),DePara!$D:$D,0)),"(sem categoria)")</f>
        <v/>
      </c>
      <c r="O5114" s="5">
        <f>IF(J5114="","",Parametros!$B$6-J5114)</f>
        <v/>
      </c>
      <c r="P5114" s="5">
        <f>IF(O5114="","",IF(O5114&gt;0,1,0))</f>
        <v/>
      </c>
    </row>
    <row r="5115">
      <c r="A5115" s="5" t="n">
        <v>1000010000</v>
      </c>
      <c r="B5115" s="5" t="inlineStr">
        <is>
          <t>EM000274</t>
        </is>
      </c>
      <c r="C5115" s="5" t="inlineStr">
        <is>
          <t>RAFAEL DE OLIVEIRA PATRÍCIO</t>
        </is>
      </c>
      <c r="D5115" s="5" t="inlineStr">
        <is>
          <t>AB</t>
        </is>
      </c>
      <c r="E5115" s="5" t="n">
        <v>1100023426</v>
      </c>
      <c r="F5115" s="5" t="inlineStr">
        <is>
          <t>ADIANTAMENTO FF</t>
        </is>
      </c>
      <c r="G5115" s="5" t="inlineStr">
        <is>
          <t>BRL</t>
        </is>
      </c>
      <c r="H5115" s="9" t="n">
        <v>1095.92</v>
      </c>
      <c r="I5115" s="16" t="n">
        <v>45761</v>
      </c>
      <c r="J5115" s="16" t="n">
        <v>45761</v>
      </c>
      <c r="K5115" s="5" t="inlineStr">
        <is>
          <t>Partida individual RAFAEL DE OLIVEIRA PATRÍCIO ADI</t>
        </is>
      </c>
      <c r="L5115" s="5" t="n"/>
      <c r="M5115" s="5">
        <f>IF(YEAR(I5115)&lt;=2020,"Até 2020",TEXT(YEAR(I5115),"0"))</f>
        <v/>
      </c>
      <c r="N5115" s="5">
        <f>IFERROR(INDEX(DePara!$A:$A,MATCH(TEXT(B5115,"0"),DePara!$D:$D,0)),"(sem categoria)")</f>
        <v/>
      </c>
      <c r="O5115" s="5">
        <f>IF(J5115="","",Parametros!$B$6-J5115)</f>
        <v/>
      </c>
      <c r="P5115" s="5">
        <f>IF(O5115="","",IF(O5115&gt;0,1,0))</f>
        <v/>
      </c>
    </row>
    <row r="5116">
      <c r="A5116" s="5" t="n">
        <v>1000010000</v>
      </c>
      <c r="B5116" s="5" t="inlineStr">
        <is>
          <t>EM000488</t>
        </is>
      </c>
      <c r="C5116" s="5" t="inlineStr">
        <is>
          <t>ANDRE LIRA SILVA DA COSTA</t>
        </is>
      </c>
      <c r="D5116" s="5" t="inlineStr">
        <is>
          <t>ZP</t>
        </is>
      </c>
      <c r="E5116" s="5" t="n">
        <v>2000001331</v>
      </c>
      <c r="F5116" s="5" t="n"/>
      <c r="G5116" s="5" t="inlineStr">
        <is>
          <t>BRL</t>
        </is>
      </c>
      <c r="H5116" s="9" t="n">
        <v>2000</v>
      </c>
      <c r="I5116" s="16" t="n">
        <v>46036</v>
      </c>
      <c r="J5116" s="16" t="n">
        <v>46036</v>
      </c>
      <c r="K5116" s="5" t="inlineStr">
        <is>
          <t>Documento fornecedor ANDRE LIRA SILVA DA COSTA FF</t>
        </is>
      </c>
      <c r="L5116" s="5" t="inlineStr">
        <is>
          <t>14012026</t>
        </is>
      </c>
      <c r="M5116" s="5">
        <f>IF(YEAR(I5116)&lt;=2020,"Até 2020",TEXT(YEAR(I5116),"0"))</f>
        <v/>
      </c>
      <c r="N5116" s="5">
        <f>IFERROR(INDEX(DePara!$A:$A,MATCH(TEXT(B5116,"0"),DePara!$D:$D,0)),"(sem categoria)")</f>
        <v/>
      </c>
      <c r="O5116" s="5">
        <f>IF(J5116="","",Parametros!$B$6-J5116)</f>
        <v/>
      </c>
      <c r="P5116" s="5">
        <f>IF(O5116="","",IF(O5116&gt;0,1,0))</f>
        <v/>
      </c>
    </row>
    <row r="5117">
      <c r="A5117" s="5" t="n">
        <v>1000010000</v>
      </c>
      <c r="B5117" s="5" t="inlineStr">
        <is>
          <t>EM000108</t>
        </is>
      </c>
      <c r="C5117" s="5" t="inlineStr">
        <is>
          <t>GISLANIO GOMES DA SILVA</t>
        </is>
      </c>
      <c r="D5117" s="5" t="inlineStr">
        <is>
          <t>ZP</t>
        </is>
      </c>
      <c r="E5117" s="5" t="n">
        <v>2000004324</v>
      </c>
      <c r="F5117" s="5" t="n"/>
      <c r="G5117" s="5" t="inlineStr">
        <is>
          <t>BRL</t>
        </is>
      </c>
      <c r="H5117" s="9" t="n">
        <v>2000</v>
      </c>
      <c r="I5117" s="16" t="n">
        <v>45401</v>
      </c>
      <c r="J5117" s="16" t="n">
        <v>45401</v>
      </c>
      <c r="K5117" s="5" t="inlineStr">
        <is>
          <t>Documento fornecedor GISLANIO GOMES DA SILVA FF</t>
        </is>
      </c>
      <c r="L5117" s="5" t="inlineStr">
        <is>
          <t>19042024</t>
        </is>
      </c>
      <c r="M5117" s="5">
        <f>IF(YEAR(I5117)&lt;=2020,"Até 2020",TEXT(YEAR(I5117),"0"))</f>
        <v/>
      </c>
      <c r="N5117" s="5">
        <f>IFERROR(INDEX(DePara!$A:$A,MATCH(TEXT(B5117,"0"),DePara!$D:$D,0)),"(sem categoria)")</f>
        <v/>
      </c>
      <c r="O5117" s="5">
        <f>IF(J5117="","",Parametros!$B$6-J5117)</f>
        <v/>
      </c>
      <c r="P5117" s="5">
        <f>IF(O5117="","",IF(O5117&gt;0,1,0))</f>
        <v/>
      </c>
    </row>
    <row r="5118">
      <c r="A5118" s="5" t="n">
        <v>1000010000</v>
      </c>
      <c r="B5118" s="5" t="inlineStr">
        <is>
          <t>EM000129</t>
        </is>
      </c>
      <c r="C5118" s="5" t="inlineStr">
        <is>
          <t>JOCIVAN DE SOUZA SILVA</t>
        </is>
      </c>
      <c r="D5118" s="5" t="inlineStr">
        <is>
          <t>ZP</t>
        </is>
      </c>
      <c r="E5118" s="5" t="n">
        <v>2000005073</v>
      </c>
      <c r="F5118" s="5" t="n"/>
      <c r="G5118" s="5" t="inlineStr">
        <is>
          <t>BRL</t>
        </is>
      </c>
      <c r="H5118" s="9" t="n">
        <v>2000</v>
      </c>
      <c r="I5118" s="16" t="n">
        <v>46106</v>
      </c>
      <c r="J5118" s="16" t="n">
        <v>46106</v>
      </c>
      <c r="K5118" s="5" t="inlineStr">
        <is>
          <t>Documento fornecedor JOCIVAN DE SOUZA SILVA FF PAS</t>
        </is>
      </c>
      <c r="L5118" s="5" t="inlineStr">
        <is>
          <t>25032026</t>
        </is>
      </c>
      <c r="M5118" s="5">
        <f>IF(YEAR(I5118)&lt;=2020,"Até 2020",TEXT(YEAR(I5118),"0"))</f>
        <v/>
      </c>
      <c r="N5118" s="5">
        <f>IFERROR(INDEX(DePara!$A:$A,MATCH(TEXT(B5118,"0"),DePara!$D:$D,0)),"(sem categoria)")</f>
        <v/>
      </c>
      <c r="O5118" s="5">
        <f>IF(J5118="","",Parametros!$B$6-J5118)</f>
        <v/>
      </c>
      <c r="P5118" s="5">
        <f>IF(O5118="","",IF(O5118&gt;0,1,0))</f>
        <v/>
      </c>
    </row>
    <row r="5119">
      <c r="A5119" s="5" t="n">
        <v>1000010000</v>
      </c>
      <c r="B5119" s="5" t="inlineStr">
        <is>
          <t>EM000426</t>
        </is>
      </c>
      <c r="C5119" s="5" t="inlineStr">
        <is>
          <t>NAIBHY ADELY GARCIA RODRIGUES</t>
        </is>
      </c>
      <c r="D5119" s="5" t="inlineStr">
        <is>
          <t>ZP</t>
        </is>
      </c>
      <c r="E5119" s="5" t="n">
        <v>2000005424</v>
      </c>
      <c r="F5119" s="5" t="n"/>
      <c r="G5119" s="5" t="inlineStr">
        <is>
          <t>BRL</t>
        </is>
      </c>
      <c r="H5119" s="9" t="n">
        <v>2000</v>
      </c>
      <c r="I5119" s="16" t="n">
        <v>45429</v>
      </c>
      <c r="J5119" s="16" t="n">
        <v>45429</v>
      </c>
      <c r="K5119" s="5" t="inlineStr">
        <is>
          <t>Documento fornecedor NAIBHY ADELY GARCIA RODRIGUES</t>
        </is>
      </c>
      <c r="L5119" s="5" t="inlineStr">
        <is>
          <t>17052024</t>
        </is>
      </c>
      <c r="M5119" s="5">
        <f>IF(YEAR(I5119)&lt;=2020,"Até 2020",TEXT(YEAR(I5119),"0"))</f>
        <v/>
      </c>
      <c r="N5119" s="5">
        <f>IFERROR(INDEX(DePara!$A:$A,MATCH(TEXT(B5119,"0"),DePara!$D:$D,0)),"(sem categoria)")</f>
        <v/>
      </c>
      <c r="O5119" s="5">
        <f>IF(J5119="","",Parametros!$B$6-J5119)</f>
        <v/>
      </c>
      <c r="P5119" s="5">
        <f>IF(O5119="","",IF(O5119&gt;0,1,0))</f>
        <v/>
      </c>
    </row>
    <row r="5120">
      <c r="A5120" s="5" t="n">
        <v>1000010000</v>
      </c>
      <c r="B5120" s="5" t="inlineStr">
        <is>
          <t>EM000470</t>
        </is>
      </c>
      <c r="C5120" s="5" t="inlineStr">
        <is>
          <t>GUILHERME ROSSONI DOS SANTOS</t>
        </is>
      </c>
      <c r="D5120" s="5" t="inlineStr">
        <is>
          <t>ZP</t>
        </is>
      </c>
      <c r="E5120" s="5" t="n">
        <v>2000005809</v>
      </c>
      <c r="F5120" s="5" t="n"/>
      <c r="G5120" s="5" t="inlineStr">
        <is>
          <t>BRL</t>
        </is>
      </c>
      <c r="H5120" s="9" t="n">
        <v>2000</v>
      </c>
      <c r="I5120" s="16" t="n">
        <v>46120</v>
      </c>
      <c r="J5120" s="16" t="n">
        <v>46120</v>
      </c>
      <c r="K5120" s="5" t="inlineStr">
        <is>
          <t>Documento fornecedor GUILHERME ROSSONI DOS SANTOS</t>
        </is>
      </c>
      <c r="L5120" s="5" t="inlineStr">
        <is>
          <t>08042026</t>
        </is>
      </c>
      <c r="M5120" s="5">
        <f>IF(YEAR(I5120)&lt;=2020,"Até 2020",TEXT(YEAR(I5120),"0"))</f>
        <v/>
      </c>
      <c r="N5120" s="5">
        <f>IFERROR(INDEX(DePara!$A:$A,MATCH(TEXT(B5120,"0"),DePara!$D:$D,0)),"(sem categoria)")</f>
        <v/>
      </c>
      <c r="O5120" s="5">
        <f>IF(J5120="","",Parametros!$B$6-J5120)</f>
        <v/>
      </c>
      <c r="P5120" s="5">
        <f>IF(O5120="","",IF(O5120&gt;0,1,0))</f>
        <v/>
      </c>
    </row>
    <row r="5121">
      <c r="A5121" s="5" t="n">
        <v>1000010000</v>
      </c>
      <c r="B5121" s="5" t="inlineStr">
        <is>
          <t>EM000515</t>
        </is>
      </c>
      <c r="C5121" s="5" t="inlineStr">
        <is>
          <t>EVERTHON RENEBER PEREIRA DA SILVA</t>
        </is>
      </c>
      <c r="D5121" s="5" t="inlineStr">
        <is>
          <t>ZP</t>
        </is>
      </c>
      <c r="E5121" s="5" t="n">
        <v>2000006771</v>
      </c>
      <c r="F5121" s="5" t="n"/>
      <c r="G5121" s="5" t="inlineStr">
        <is>
          <t>BRL</t>
        </is>
      </c>
      <c r="H5121" s="9" t="n">
        <v>2000</v>
      </c>
      <c r="I5121" s="16" t="n">
        <v>45476</v>
      </c>
      <c r="J5121" s="16" t="n">
        <v>45476</v>
      </c>
      <c r="K5121" s="5" t="inlineStr">
        <is>
          <t>Documento fornecedor EVERTHON RENEBER PEREIRA DA S</t>
        </is>
      </c>
      <c r="L5121" s="5" t="inlineStr">
        <is>
          <t>03072024</t>
        </is>
      </c>
      <c r="M5121" s="5">
        <f>IF(YEAR(I5121)&lt;=2020,"Até 2020",TEXT(YEAR(I5121),"0"))</f>
        <v/>
      </c>
      <c r="N5121" s="5">
        <f>IFERROR(INDEX(DePara!$A:$A,MATCH(TEXT(B5121,"0"),DePara!$D:$D,0)),"(sem categoria)")</f>
        <v/>
      </c>
      <c r="O5121" s="5">
        <f>IF(J5121="","",Parametros!$B$6-J5121)</f>
        <v/>
      </c>
      <c r="P5121" s="5">
        <f>IF(O5121="","",IF(O5121&gt;0,1,0))</f>
        <v/>
      </c>
    </row>
    <row r="5122">
      <c r="A5122" s="5" t="n">
        <v>1000010000</v>
      </c>
      <c r="B5122" s="5" t="inlineStr">
        <is>
          <t>EM000443</t>
        </is>
      </c>
      <c r="C5122" s="5" t="inlineStr">
        <is>
          <t>WAGNER STHALONE SILVA DE MEDEIROS</t>
        </is>
      </c>
      <c r="D5122" s="5" t="inlineStr">
        <is>
          <t>ZP</t>
        </is>
      </c>
      <c r="E5122" s="5" t="n">
        <v>2000009212</v>
      </c>
      <c r="F5122" s="5" t="n"/>
      <c r="G5122" s="5" t="inlineStr">
        <is>
          <t>BRL</t>
        </is>
      </c>
      <c r="H5122" s="9" t="n">
        <v>2000</v>
      </c>
      <c r="I5122" s="16" t="n">
        <v>46176</v>
      </c>
      <c r="J5122" s="16" t="n">
        <v>46176</v>
      </c>
      <c r="K5122" s="5" t="inlineStr">
        <is>
          <t>Documento fornecedor WAGNER STHALONE SILVA DE MEDE</t>
        </is>
      </c>
      <c r="L5122" s="5" t="inlineStr">
        <is>
          <t>03062026</t>
        </is>
      </c>
      <c r="M5122" s="5">
        <f>IF(YEAR(I5122)&lt;=2020,"Até 2020",TEXT(YEAR(I5122),"0"))</f>
        <v/>
      </c>
      <c r="N5122" s="5">
        <f>IFERROR(INDEX(DePara!$A:$A,MATCH(TEXT(B5122,"0"),DePara!$D:$D,0)),"(sem categoria)")</f>
        <v/>
      </c>
      <c r="O5122" s="5">
        <f>IF(J5122="","",Parametros!$B$6-J5122)</f>
        <v/>
      </c>
      <c r="P5122" s="5">
        <f>IF(O5122="","",IF(O5122&gt;0,1,0))</f>
        <v/>
      </c>
    </row>
    <row r="5123">
      <c r="A5123" s="5" t="n">
        <v>1000010000</v>
      </c>
      <c r="B5123" s="5" t="inlineStr">
        <is>
          <t>EM000850</t>
        </is>
      </c>
      <c r="C5123" s="5" t="inlineStr">
        <is>
          <t>FRANCISCO NILO SALES</t>
        </is>
      </c>
      <c r="D5123" s="5" t="inlineStr">
        <is>
          <t>ZP</t>
        </is>
      </c>
      <c r="E5123" s="5" t="n">
        <v>2000013283</v>
      </c>
      <c r="F5123" s="5" t="n"/>
      <c r="G5123" s="5" t="inlineStr">
        <is>
          <t>BRL</t>
        </is>
      </c>
      <c r="H5123" s="9" t="n">
        <v>2000</v>
      </c>
      <c r="I5123" s="16" t="n">
        <v>45513</v>
      </c>
      <c r="J5123" s="16" t="n">
        <v>45513</v>
      </c>
      <c r="K5123" s="5" t="inlineStr">
        <is>
          <t>Documento fornecedor FRANCISCO NILO SALES FF</t>
        </is>
      </c>
      <c r="L5123" s="5" t="inlineStr">
        <is>
          <t>09082024</t>
        </is>
      </c>
      <c r="M5123" s="5">
        <f>IF(YEAR(I5123)&lt;=2020,"Até 2020",TEXT(YEAR(I5123),"0"))</f>
        <v/>
      </c>
      <c r="N5123" s="5">
        <f>IFERROR(INDEX(DePara!$A:$A,MATCH(TEXT(B5123,"0"),DePara!$D:$D,0)),"(sem categoria)")</f>
        <v/>
      </c>
      <c r="O5123" s="5">
        <f>IF(J5123="","",Parametros!$B$6-J5123)</f>
        <v/>
      </c>
      <c r="P5123" s="5">
        <f>IF(O5123="","",IF(O5123&gt;0,1,0))</f>
        <v/>
      </c>
    </row>
    <row r="5124">
      <c r="A5124" s="5" t="n">
        <v>1000010000</v>
      </c>
      <c r="B5124" s="5" t="inlineStr">
        <is>
          <t>EM000972</t>
        </is>
      </c>
      <c r="C5124" s="5" t="inlineStr">
        <is>
          <t>POLLYANNO BRUNO DA COSTA SILVA</t>
        </is>
      </c>
      <c r="D5124" s="5" t="inlineStr">
        <is>
          <t>ZP</t>
        </is>
      </c>
      <c r="E5124" s="5" t="n">
        <v>2000015040</v>
      </c>
      <c r="F5124" s="5" t="n"/>
      <c r="G5124" s="5" t="inlineStr">
        <is>
          <t>BRL</t>
        </is>
      </c>
      <c r="H5124" s="9" t="n">
        <v>2000</v>
      </c>
      <c r="I5124" s="16" t="n">
        <v>45833</v>
      </c>
      <c r="J5124" s="16" t="n">
        <v>45833</v>
      </c>
      <c r="K5124" s="5" t="inlineStr">
        <is>
          <t>Documento fornecedor POLLYANNO BRUNO DA COSTA SILV</t>
        </is>
      </c>
      <c r="L5124" s="5" t="inlineStr">
        <is>
          <t>25062025</t>
        </is>
      </c>
      <c r="M5124" s="5">
        <f>IF(YEAR(I5124)&lt;=2020,"Até 2020",TEXT(YEAR(I5124),"0"))</f>
        <v/>
      </c>
      <c r="N5124" s="5">
        <f>IFERROR(INDEX(DePara!$A:$A,MATCH(TEXT(B5124,"0"),DePara!$D:$D,0)),"(sem categoria)")</f>
        <v/>
      </c>
      <c r="O5124" s="5">
        <f>IF(J5124="","",Parametros!$B$6-J5124)</f>
        <v/>
      </c>
      <c r="P5124" s="5">
        <f>IF(O5124="","",IF(O5124&gt;0,1,0))</f>
        <v/>
      </c>
    </row>
    <row r="5125">
      <c r="A5125" s="5" t="n">
        <v>1000010000</v>
      </c>
      <c r="B5125" s="5" t="inlineStr">
        <is>
          <t>EM000586</t>
        </is>
      </c>
      <c r="C5125" s="5" t="inlineStr">
        <is>
          <t>GLAYSON RICARDO DE QUEIROZ</t>
        </is>
      </c>
      <c r="D5125" s="5" t="inlineStr">
        <is>
          <t>ZP</t>
        </is>
      </c>
      <c r="E5125" s="5" t="n">
        <v>2000020495</v>
      </c>
      <c r="F5125" s="5" t="n"/>
      <c r="G5125" s="5" t="inlineStr">
        <is>
          <t>BRL</t>
        </is>
      </c>
      <c r="H5125" s="9" t="n">
        <v>2000</v>
      </c>
      <c r="I5125" s="16" t="n">
        <v>45597</v>
      </c>
      <c r="J5125" s="16" t="n">
        <v>45597</v>
      </c>
      <c r="K5125" s="5" t="inlineStr">
        <is>
          <t>Vendor DP Request GLAYSON RICARDO DE QUEIROZ ADIAN</t>
        </is>
      </c>
      <c r="L5125" s="5" t="inlineStr">
        <is>
          <t>01112024</t>
        </is>
      </c>
      <c r="M5125" s="5">
        <f>IF(YEAR(I5125)&lt;=2020,"Até 2020",TEXT(YEAR(I5125),"0"))</f>
        <v/>
      </c>
      <c r="N5125" s="5">
        <f>IFERROR(INDEX(DePara!$A:$A,MATCH(TEXT(B5125,"0"),DePara!$D:$D,0)),"(sem categoria)")</f>
        <v/>
      </c>
      <c r="O5125" s="5">
        <f>IF(J5125="","",Parametros!$B$6-J5125)</f>
        <v/>
      </c>
      <c r="P5125" s="5">
        <f>IF(O5125="","",IF(O5125&gt;0,1,0))</f>
        <v/>
      </c>
    </row>
    <row r="5126">
      <c r="A5126" s="5" t="n">
        <v>1000010000</v>
      </c>
      <c r="B5126" s="5" t="inlineStr">
        <is>
          <t>EM000396</t>
        </is>
      </c>
      <c r="C5126" s="5" t="inlineStr">
        <is>
          <t>WALTIRLLEY FERREIRA DA COSTA</t>
        </is>
      </c>
      <c r="D5126" s="5" t="inlineStr">
        <is>
          <t>ZP</t>
        </is>
      </c>
      <c r="E5126" s="5" t="n">
        <v>2000021169</v>
      </c>
      <c r="F5126" s="5" t="n"/>
      <c r="G5126" s="5" t="inlineStr">
        <is>
          <t>BRL</t>
        </is>
      </c>
      <c r="H5126" s="9" t="n">
        <v>2000</v>
      </c>
      <c r="I5126" s="16" t="n">
        <v>45924</v>
      </c>
      <c r="J5126" s="16" t="n">
        <v>45924</v>
      </c>
      <c r="K5126" s="5" t="inlineStr">
        <is>
          <t>Documento fornecedor WALTIRLLEY FERREIRA DA COSTA</t>
        </is>
      </c>
      <c r="L5126" s="5" t="inlineStr">
        <is>
          <t>24092025</t>
        </is>
      </c>
      <c r="M5126" s="5">
        <f>IF(YEAR(I5126)&lt;=2020,"Até 2020",TEXT(YEAR(I5126),"0"))</f>
        <v/>
      </c>
      <c r="N5126" s="5">
        <f>IFERROR(INDEX(DePara!$A:$A,MATCH(TEXT(B5126,"0"),DePara!$D:$D,0)),"(sem categoria)")</f>
        <v/>
      </c>
      <c r="O5126" s="5">
        <f>IF(J5126="","",Parametros!$B$6-J5126)</f>
        <v/>
      </c>
      <c r="P5126" s="5">
        <f>IF(O5126="","",IF(O5126&gt;0,1,0))</f>
        <v/>
      </c>
    </row>
    <row r="5127">
      <c r="A5127" s="5" t="n">
        <v>1000010000</v>
      </c>
      <c r="B5127" s="5" t="inlineStr">
        <is>
          <t>EM000440</t>
        </is>
      </c>
      <c r="C5127" s="5" t="inlineStr">
        <is>
          <t>DIEGO LEON DA SILVA BARACHO</t>
        </is>
      </c>
      <c r="D5127" s="5" t="inlineStr">
        <is>
          <t>ZP</t>
        </is>
      </c>
      <c r="E5127" s="5" t="n">
        <v>2000021174</v>
      </c>
      <c r="F5127" s="5" t="n"/>
      <c r="G5127" s="5" t="inlineStr">
        <is>
          <t>BRL</t>
        </is>
      </c>
      <c r="H5127" s="9" t="n">
        <v>2000</v>
      </c>
      <c r="I5127" s="16" t="n">
        <v>45924</v>
      </c>
      <c r="J5127" s="16" t="n">
        <v>45924</v>
      </c>
      <c r="K5127" s="5" t="inlineStr">
        <is>
          <t>Documento fornecedor DIEGO LEON DA SILVA BARACHO F</t>
        </is>
      </c>
      <c r="L5127" s="5" t="inlineStr">
        <is>
          <t>24092025</t>
        </is>
      </c>
      <c r="M5127" s="5">
        <f>IF(YEAR(I5127)&lt;=2020,"Até 2020",TEXT(YEAR(I5127),"0"))</f>
        <v/>
      </c>
      <c r="N5127" s="5">
        <f>IFERROR(INDEX(DePara!$A:$A,MATCH(TEXT(B5127,"0"),DePara!$D:$D,0)),"(sem categoria)")</f>
        <v/>
      </c>
      <c r="O5127" s="5">
        <f>IF(J5127="","",Parametros!$B$6-J5127)</f>
        <v/>
      </c>
      <c r="P5127" s="5">
        <f>IF(O5127="","",IF(O5127&gt;0,1,0))</f>
        <v/>
      </c>
    </row>
    <row r="5128">
      <c r="A5128" s="5" t="n">
        <v>1000010000</v>
      </c>
      <c r="B5128" s="5" t="inlineStr">
        <is>
          <t>EM000006</t>
        </is>
      </c>
      <c r="C5128" s="5" t="inlineStr">
        <is>
          <t>FERNANDA CYNTHIA DA SILVA</t>
        </is>
      </c>
      <c r="D5128" s="5" t="inlineStr">
        <is>
          <t>ZP</t>
        </is>
      </c>
      <c r="E5128" s="5" t="n">
        <v>2000024034</v>
      </c>
      <c r="F5128" s="5" t="n"/>
      <c r="G5128" s="5" t="inlineStr">
        <is>
          <t>BRL</t>
        </is>
      </c>
      <c r="H5128" s="9" t="n">
        <v>1000</v>
      </c>
      <c r="I5128" s="16" t="n">
        <v>45952</v>
      </c>
      <c r="J5128" s="16" t="n">
        <v>45952</v>
      </c>
      <c r="K5128" s="5" t="inlineStr">
        <is>
          <t>Documento fornecedor FERNANDA CYNTHIA DA SILVA FF</t>
        </is>
      </c>
      <c r="L5128" s="5" t="inlineStr">
        <is>
          <t>22102025</t>
        </is>
      </c>
      <c r="M5128" s="5">
        <f>IF(YEAR(I5128)&lt;=2020,"Até 2020",TEXT(YEAR(I5128),"0"))</f>
        <v/>
      </c>
      <c r="N5128" s="5">
        <f>IFERROR(INDEX(DePara!$A:$A,MATCH(TEXT(B5128,"0"),DePara!$D:$D,0)),"(sem categoria)")</f>
        <v/>
      </c>
      <c r="O5128" s="5">
        <f>IF(J5128="","",Parametros!$B$6-J5128)</f>
        <v/>
      </c>
      <c r="P5128" s="5">
        <f>IF(O5128="","",IF(O5128&gt;0,1,0))</f>
        <v/>
      </c>
    </row>
    <row r="5129">
      <c r="A5129" s="5" t="n">
        <v>1000010000</v>
      </c>
      <c r="B5129" s="5" t="inlineStr">
        <is>
          <t>EM000482</t>
        </is>
      </c>
      <c r="C5129" s="5" t="inlineStr">
        <is>
          <t>FRANCISCO EGON ROQUE DE SOUSA</t>
        </is>
      </c>
      <c r="D5129" s="5" t="inlineStr">
        <is>
          <t>ZP</t>
        </is>
      </c>
      <c r="E5129" s="5" t="n">
        <v>2000027260</v>
      </c>
      <c r="F5129" s="5" t="n"/>
      <c r="G5129" s="5" t="inlineStr">
        <is>
          <t>BRL</t>
        </is>
      </c>
      <c r="H5129" s="9" t="n">
        <v>2000</v>
      </c>
      <c r="I5129" s="16" t="n">
        <v>45646</v>
      </c>
      <c r="J5129" s="16" t="n">
        <v>45646</v>
      </c>
      <c r="K5129" s="5" t="inlineStr">
        <is>
          <t>Documento fornecedor FRANCISCO EGON ROQUE DE SOUSA</t>
        </is>
      </c>
      <c r="L5129" s="5" t="inlineStr">
        <is>
          <t>20122024</t>
        </is>
      </c>
      <c r="M5129" s="5">
        <f>IF(YEAR(I5129)&lt;=2020,"Até 2020",TEXT(YEAR(I5129),"0"))</f>
        <v/>
      </c>
      <c r="N5129" s="5">
        <f>IFERROR(INDEX(DePara!$A:$A,MATCH(TEXT(B5129,"0"),DePara!$D:$D,0)),"(sem categoria)")</f>
        <v/>
      </c>
      <c r="O5129" s="5">
        <f>IF(J5129="","",Parametros!$B$6-J5129)</f>
        <v/>
      </c>
      <c r="P5129" s="5">
        <f>IF(O5129="","",IF(O5129&gt;0,1,0))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9"/>
  <sheetViews>
    <sheetView topLeftCell="A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4" customWidth="1" min="4" max="4"/>
  </cols>
  <sheetData>
    <row r="1">
      <c r="A1" s="8" t="inlineStr">
        <is>
          <t>Categoria</t>
        </is>
      </c>
      <c r="B1" s="8" t="inlineStr">
        <is>
          <t>Nome do fornecedor</t>
        </is>
      </c>
      <c r="C1" s="8" t="inlineStr">
        <is>
          <t>Fornecedor</t>
        </is>
      </c>
      <c r="D1" s="8" t="inlineStr">
        <is>
          <t>Fornecedor_txt</t>
        </is>
      </c>
    </row>
    <row r="2">
      <c r="A2" s="5" t="inlineStr">
        <is>
          <t>Other Suppliers</t>
        </is>
      </c>
      <c r="B2" s="5" t="inlineStr"/>
      <c r="C2" s="5" t="n">
        <v>100002</v>
      </c>
      <c r="D2" s="5" t="inlineStr">
        <is>
          <t>100002</t>
        </is>
      </c>
    </row>
    <row r="3">
      <c r="A3" s="5" t="inlineStr">
        <is>
          <t>Other Suppliers</t>
        </is>
      </c>
      <c r="B3" s="5" t="inlineStr"/>
      <c r="C3" s="5" t="n">
        <v>100003</v>
      </c>
      <c r="D3" s="5" t="inlineStr">
        <is>
          <t>100003</t>
        </is>
      </c>
    </row>
    <row r="4">
      <c r="A4" s="5" t="inlineStr">
        <is>
          <t>Operational Suppliers (Wind Farms)</t>
        </is>
      </c>
      <c r="B4" s="5" t="inlineStr"/>
      <c r="C4" s="5" t="n">
        <v>100007</v>
      </c>
      <c r="D4" s="5" t="inlineStr">
        <is>
          <t>100007</t>
        </is>
      </c>
    </row>
    <row r="5">
      <c r="A5" s="5" t="inlineStr">
        <is>
          <t>Other Suppliers</t>
        </is>
      </c>
      <c r="B5" s="5" t="inlineStr">
        <is>
          <t>DB3 SERVICOS DE TELECOMUNICACOES SA</t>
        </is>
      </c>
      <c r="C5" s="5" t="n">
        <v>100008</v>
      </c>
      <c r="D5" s="5" t="inlineStr">
        <is>
          <t>100008</t>
        </is>
      </c>
    </row>
    <row r="6">
      <c r="A6" s="5" t="inlineStr">
        <is>
          <t>Other Suppliers</t>
        </is>
      </c>
      <c r="B6" s="5" t="inlineStr">
        <is>
          <t xml:space="preserve"> TRANSITEX DO BRASIL SERVIÇOS DE LO</t>
        </is>
      </c>
      <c r="C6" s="5" t="n">
        <v>100014</v>
      </c>
      <c r="D6" s="5" t="inlineStr">
        <is>
          <t>100014</t>
        </is>
      </c>
    </row>
    <row r="7">
      <c r="A7" s="5" t="inlineStr">
        <is>
          <t>Other Suppliers</t>
        </is>
      </c>
      <c r="B7" s="5" t="inlineStr">
        <is>
          <t>HOST TECNOLOGIA LTDA</t>
        </is>
      </c>
      <c r="C7" s="5" t="n">
        <v>100018</v>
      </c>
      <c r="D7" s="5" t="inlineStr">
        <is>
          <t>100018</t>
        </is>
      </c>
    </row>
    <row r="8">
      <c r="A8" s="5" t="inlineStr">
        <is>
          <t>Operational Suppliers (Wind Farms)</t>
        </is>
      </c>
      <c r="B8" s="5" t="inlineStr">
        <is>
          <t>PAIVA SERVICOS LTDA</t>
        </is>
      </c>
      <c r="C8" s="5" t="n">
        <v>100026</v>
      </c>
      <c r="D8" s="5" t="inlineStr">
        <is>
          <t>100026</t>
        </is>
      </c>
    </row>
    <row r="9">
      <c r="A9" s="5" t="inlineStr">
        <is>
          <t>Customs Brokerage – Overall</t>
        </is>
      </c>
      <c r="B9" s="5" t="inlineStr">
        <is>
          <t>SUPPLOG PORTO SECO DE IPOJUCA LTDA</t>
        </is>
      </c>
      <c r="C9" s="5" t="n">
        <v>100028</v>
      </c>
      <c r="D9" s="5" t="inlineStr">
        <is>
          <t>100028</t>
        </is>
      </c>
    </row>
    <row r="10">
      <c r="A10" s="5" t="inlineStr">
        <is>
          <t>Operational Suppliers (Wind Farms)</t>
        </is>
      </c>
      <c r="B10" s="5" t="inlineStr">
        <is>
          <t>MEGAWIND INDUSTRIA E COMERCIO</t>
        </is>
      </c>
      <c r="C10" s="5" t="n">
        <v>100031</v>
      </c>
      <c r="D10" s="5" t="inlineStr">
        <is>
          <t>100031</t>
        </is>
      </c>
    </row>
    <row r="11">
      <c r="A11" s="5" t="inlineStr">
        <is>
          <t>Other Suppliers</t>
        </is>
      </c>
      <c r="B11" s="5" t="inlineStr"/>
      <c r="C11" s="5" t="n">
        <v>100032</v>
      </c>
      <c r="D11" s="5" t="inlineStr">
        <is>
          <t>100032</t>
        </is>
      </c>
    </row>
    <row r="12">
      <c r="A12" s="5" t="inlineStr">
        <is>
          <t>Customs Brokerage – Overall</t>
        </is>
      </c>
      <c r="B12" s="5" t="inlineStr">
        <is>
          <t>EMBRAPORT EMPRESA BRASILEIRA DE TER</t>
        </is>
      </c>
      <c r="C12" s="5" t="n">
        <v>100036</v>
      </c>
      <c r="D12" s="5" t="inlineStr">
        <is>
          <t>100036</t>
        </is>
      </c>
    </row>
    <row r="13">
      <c r="A13" s="5" t="inlineStr">
        <is>
          <t>Other Suppliers</t>
        </is>
      </c>
      <c r="B13" s="5" t="inlineStr"/>
      <c r="C13" s="5" t="n">
        <v>100039</v>
      </c>
      <c r="D13" s="5" t="inlineStr">
        <is>
          <t>100039</t>
        </is>
      </c>
    </row>
    <row r="14">
      <c r="A14" s="5" t="inlineStr">
        <is>
          <t>Operational Suppliers (Wind Farms)</t>
        </is>
      </c>
      <c r="B14" s="5" t="inlineStr"/>
      <c r="C14" s="5" t="n">
        <v>100041</v>
      </c>
      <c r="D14" s="5" t="inlineStr">
        <is>
          <t>100041</t>
        </is>
      </c>
    </row>
    <row r="15">
      <c r="A15" s="5" t="inlineStr">
        <is>
          <t>Other Suppliers</t>
        </is>
      </c>
      <c r="B15" s="5" t="inlineStr"/>
      <c r="C15" s="5" t="n">
        <v>100049</v>
      </c>
      <c r="D15" s="5" t="inlineStr">
        <is>
          <t>100049</t>
        </is>
      </c>
    </row>
    <row r="16">
      <c r="A16" s="5" t="inlineStr">
        <is>
          <t>Customs Brokerage – Overall</t>
        </is>
      </c>
      <c r="B16" s="5" t="inlineStr"/>
      <c r="C16" s="5" t="n">
        <v>100051</v>
      </c>
      <c r="D16" s="5" t="inlineStr">
        <is>
          <t>100051</t>
        </is>
      </c>
    </row>
    <row r="17">
      <c r="A17" s="5" t="inlineStr">
        <is>
          <t>Other Suppliers</t>
        </is>
      </c>
      <c r="B17" s="5" t="inlineStr"/>
      <c r="C17" s="5" t="n">
        <v>100094</v>
      </c>
      <c r="D17" s="5" t="inlineStr">
        <is>
          <t>100094</t>
        </is>
      </c>
    </row>
    <row r="18">
      <c r="A18" s="5" t="inlineStr">
        <is>
          <t>Operational Suppliers (Wind Farms)</t>
        </is>
      </c>
      <c r="B18" s="5" t="inlineStr"/>
      <c r="C18" s="5" t="n">
        <v>100095</v>
      </c>
      <c r="D18" s="5" t="inlineStr">
        <is>
          <t>100095</t>
        </is>
      </c>
    </row>
    <row r="19">
      <c r="A19" s="5" t="inlineStr">
        <is>
          <t>Other Suppliers</t>
        </is>
      </c>
      <c r="B19" s="5" t="inlineStr"/>
      <c r="C19" s="5" t="n">
        <v>100097</v>
      </c>
      <c r="D19" s="5" t="inlineStr">
        <is>
          <t>100097</t>
        </is>
      </c>
    </row>
    <row r="20">
      <c r="A20" s="5" t="inlineStr">
        <is>
          <t>Other Suppliers</t>
        </is>
      </c>
      <c r="B20" s="5" t="inlineStr">
        <is>
          <t>PRESENCA COMERCIAL LTDA</t>
        </is>
      </c>
      <c r="C20" s="5" t="n">
        <v>100099</v>
      </c>
      <c r="D20" s="5" t="inlineStr">
        <is>
          <t>100099</t>
        </is>
      </c>
    </row>
    <row r="21">
      <c r="A21" s="5" t="inlineStr">
        <is>
          <t>Operational Suppliers (Wind Farms)</t>
        </is>
      </c>
      <c r="B21" s="5" t="inlineStr"/>
      <c r="C21" s="5" t="n">
        <v>100102</v>
      </c>
      <c r="D21" s="5" t="inlineStr">
        <is>
          <t>100102</t>
        </is>
      </c>
    </row>
    <row r="22">
      <c r="A22" s="5" t="inlineStr">
        <is>
          <t>Operational Suppliers (Wind Farms)</t>
        </is>
      </c>
      <c r="B22" s="5" t="inlineStr"/>
      <c r="C22" s="5" t="n">
        <v>100110</v>
      </c>
      <c r="D22" s="5" t="inlineStr">
        <is>
          <t>100110</t>
        </is>
      </c>
    </row>
    <row r="23">
      <c r="A23" s="5" t="inlineStr">
        <is>
          <t>Other Suppliers</t>
        </is>
      </c>
      <c r="B23" s="5" t="inlineStr">
        <is>
          <t>PREDMEC ENGENHARIA DE MANUTENCAO E</t>
        </is>
      </c>
      <c r="C23" s="5" t="n">
        <v>100111</v>
      </c>
      <c r="D23" s="5" t="inlineStr">
        <is>
          <t>100111</t>
        </is>
      </c>
    </row>
    <row r="24">
      <c r="A24" s="5" t="inlineStr">
        <is>
          <t>Other Suppliers</t>
        </is>
      </c>
      <c r="B24" s="5" t="inlineStr">
        <is>
          <t>PERMETAL S A METAIS PERFURADOS</t>
        </is>
      </c>
      <c r="C24" s="5" t="n">
        <v>100124</v>
      </c>
      <c r="D24" s="5" t="inlineStr">
        <is>
          <t>100124</t>
        </is>
      </c>
    </row>
    <row r="25">
      <c r="A25" s="5" t="inlineStr">
        <is>
          <t>Other Suppliers</t>
        </is>
      </c>
      <c r="B25" s="5" t="inlineStr">
        <is>
          <t>LENGUAE LANGUAGE SERVICES LTDA</t>
        </is>
      </c>
      <c r="C25" s="5" t="n">
        <v>100128</v>
      </c>
      <c r="D25" s="5" t="inlineStr">
        <is>
          <t>100128</t>
        </is>
      </c>
    </row>
    <row r="26">
      <c r="A26" s="5" t="inlineStr">
        <is>
          <t>Other Suppliers</t>
        </is>
      </c>
      <c r="B26" s="5" t="inlineStr">
        <is>
          <t>ULTRATECH MONTAGEM E MANUTENCAO LTD</t>
        </is>
      </c>
      <c r="C26" s="5" t="n">
        <v>100149</v>
      </c>
      <c r="D26" s="5" t="inlineStr">
        <is>
          <t>100149</t>
        </is>
      </c>
    </row>
    <row r="27">
      <c r="A27" s="5" t="inlineStr">
        <is>
          <t>Other Suppliers</t>
        </is>
      </c>
      <c r="B27" s="5" t="inlineStr">
        <is>
          <t>CONQUER HOLDING EDUCACIONAL SA</t>
        </is>
      </c>
      <c r="C27" s="5" t="n">
        <v>100152</v>
      </c>
      <c r="D27" s="5" t="inlineStr">
        <is>
          <t>100152</t>
        </is>
      </c>
    </row>
    <row r="28">
      <c r="A28" s="5" t="inlineStr">
        <is>
          <t>Other Suppliers</t>
        </is>
      </c>
      <c r="B28" s="5" t="inlineStr">
        <is>
          <t>CAMARA DE COM E IND BRASIL ALEMANHA</t>
        </is>
      </c>
      <c r="C28" s="5" t="n">
        <v>100161</v>
      </c>
      <c r="D28" s="5" t="inlineStr">
        <is>
          <t>100161</t>
        </is>
      </c>
    </row>
    <row r="29">
      <c r="A29" s="5" t="inlineStr">
        <is>
          <t>Operational Suppliers (Wind Farms)</t>
        </is>
      </c>
      <c r="B29" s="5" t="inlineStr"/>
      <c r="C29" s="5" t="n">
        <v>100177</v>
      </c>
      <c r="D29" s="5" t="inlineStr">
        <is>
          <t>100177</t>
        </is>
      </c>
    </row>
    <row r="30">
      <c r="A30" s="5" t="inlineStr">
        <is>
          <t>Other Suppliers</t>
        </is>
      </c>
      <c r="B30" s="5" t="inlineStr"/>
      <c r="C30" s="5" t="n">
        <v>100182</v>
      </c>
      <c r="D30" s="5" t="inlineStr">
        <is>
          <t>100182</t>
        </is>
      </c>
    </row>
    <row r="31">
      <c r="A31" s="5" t="inlineStr">
        <is>
          <t>Customs Brokerage – Overall</t>
        </is>
      </c>
      <c r="B31" s="5" t="inlineStr">
        <is>
          <t>AGL TRANSPORTES INTERNACIONAIS LTDA</t>
        </is>
      </c>
      <c r="C31" s="5" t="n">
        <v>100183</v>
      </c>
      <c r="D31" s="5" t="inlineStr">
        <is>
          <t>100183</t>
        </is>
      </c>
    </row>
    <row r="32">
      <c r="A32" s="5" t="inlineStr">
        <is>
          <t>Other Suppliers</t>
        </is>
      </c>
      <c r="B32" s="5" t="inlineStr">
        <is>
          <t>EPHARMA PBM DO BRASIL SA</t>
        </is>
      </c>
      <c r="C32" s="5" t="n">
        <v>100192</v>
      </c>
      <c r="D32" s="5" t="inlineStr">
        <is>
          <t>100192</t>
        </is>
      </c>
    </row>
    <row r="33">
      <c r="A33" s="5" t="inlineStr">
        <is>
          <t>Other Suppliers</t>
        </is>
      </c>
      <c r="B33" s="5" t="inlineStr"/>
      <c r="C33" s="5" t="n">
        <v>100194</v>
      </c>
      <c r="D33" s="5" t="inlineStr">
        <is>
          <t>100194</t>
        </is>
      </c>
    </row>
    <row r="34">
      <c r="A34" s="5" t="inlineStr">
        <is>
          <t>Operational Suppliers (Wind Farms)</t>
        </is>
      </c>
      <c r="B34" s="5" t="inlineStr"/>
      <c r="C34" s="5" t="n">
        <v>100200</v>
      </c>
      <c r="D34" s="5" t="inlineStr">
        <is>
          <t>100200</t>
        </is>
      </c>
    </row>
    <row r="35">
      <c r="A35" s="5" t="inlineStr">
        <is>
          <t>Other Suppliers</t>
        </is>
      </c>
      <c r="B35" s="5" t="inlineStr"/>
      <c r="C35" s="5" t="n">
        <v>100204</v>
      </c>
      <c r="D35" s="5" t="inlineStr">
        <is>
          <t>100204</t>
        </is>
      </c>
    </row>
    <row r="36">
      <c r="A36" s="5" t="inlineStr">
        <is>
          <t>Other Suppliers</t>
        </is>
      </c>
      <c r="B36" s="5" t="inlineStr"/>
      <c r="C36" s="5" t="n">
        <v>100206</v>
      </c>
      <c r="D36" s="5" t="inlineStr">
        <is>
          <t>100206</t>
        </is>
      </c>
    </row>
    <row r="37">
      <c r="A37" s="5" t="inlineStr">
        <is>
          <t>Operational Suppliers (Wind Farms)</t>
        </is>
      </c>
      <c r="B37" s="5" t="inlineStr"/>
      <c r="C37" s="5" t="n">
        <v>100346</v>
      </c>
      <c r="D37" s="5" t="inlineStr">
        <is>
          <t>100346</t>
        </is>
      </c>
    </row>
    <row r="38">
      <c r="A38" s="5" t="inlineStr">
        <is>
          <t>LDs Service Payments</t>
        </is>
      </c>
      <c r="B38" s="5" t="inlineStr"/>
      <c r="C38" s="5" t="n">
        <v>100353</v>
      </c>
      <c r="D38" s="5" t="inlineStr">
        <is>
          <t>100353</t>
        </is>
      </c>
    </row>
    <row r="39">
      <c r="A39" s="5" t="inlineStr">
        <is>
          <t>Operational Suppliers (Wind Farms)</t>
        </is>
      </c>
      <c r="B39" s="5" t="inlineStr"/>
      <c r="C39" s="5" t="n">
        <v>100355</v>
      </c>
      <c r="D39" s="5" t="inlineStr">
        <is>
          <t>100355</t>
        </is>
      </c>
    </row>
    <row r="40">
      <c r="A40" s="5" t="inlineStr">
        <is>
          <t>Other Suppliers</t>
        </is>
      </c>
      <c r="B40" s="5" t="inlineStr">
        <is>
          <t>INOVAR LOCACOES MOSSORO LTDA</t>
        </is>
      </c>
      <c r="C40" s="5" t="n">
        <v>100359</v>
      </c>
      <c r="D40" s="5" t="inlineStr">
        <is>
          <t>100359</t>
        </is>
      </c>
    </row>
    <row r="41">
      <c r="A41" s="5" t="inlineStr">
        <is>
          <t>Vehicle Rental Services</t>
        </is>
      </c>
      <c r="B41" s="5" t="inlineStr"/>
      <c r="C41" s="5" t="n">
        <v>100361</v>
      </c>
      <c r="D41" s="5" t="inlineStr">
        <is>
          <t>100361</t>
        </is>
      </c>
    </row>
    <row r="42">
      <c r="A42" s="5" t="inlineStr">
        <is>
          <t>Vehicle Rental Services</t>
        </is>
      </c>
      <c r="B42" s="5" t="inlineStr"/>
      <c r="C42" s="5" t="n">
        <v>100363</v>
      </c>
      <c r="D42" s="5" t="inlineStr">
        <is>
          <t>100363</t>
        </is>
      </c>
    </row>
    <row r="43">
      <c r="A43" s="5" t="inlineStr">
        <is>
          <t>Other Suppliers</t>
        </is>
      </c>
      <c r="B43" s="5" t="inlineStr">
        <is>
          <t>NUCLEO DE MONITORAMENTO DE DESCARGA</t>
        </is>
      </c>
      <c r="C43" s="5" t="n">
        <v>100369</v>
      </c>
      <c r="D43" s="5" t="inlineStr">
        <is>
          <t>100369</t>
        </is>
      </c>
    </row>
    <row r="44">
      <c r="A44" s="5" t="inlineStr">
        <is>
          <t>Other Suppliers</t>
        </is>
      </c>
      <c r="B44" s="5" t="inlineStr"/>
      <c r="C44" s="5" t="n">
        <v>100375</v>
      </c>
      <c r="D44" s="5" t="inlineStr">
        <is>
          <t>100375</t>
        </is>
      </c>
    </row>
    <row r="45">
      <c r="A45" s="5" t="inlineStr">
        <is>
          <t>Operational Suppliers (Wind Farms)</t>
        </is>
      </c>
      <c r="B45" s="5" t="inlineStr">
        <is>
          <t>RAK LOG TRANSPORTES E LOGISTICA EIR</t>
        </is>
      </c>
      <c r="C45" s="5" t="n">
        <v>100379</v>
      </c>
      <c r="D45" s="5" t="inlineStr">
        <is>
          <t>100379</t>
        </is>
      </c>
    </row>
    <row r="46">
      <c r="A46" s="5" t="inlineStr">
        <is>
          <t>Other Suppliers</t>
        </is>
      </c>
      <c r="B46" s="5" t="inlineStr">
        <is>
          <t>ZIRAN SALVADOR TRANSPORTES LTDA</t>
        </is>
      </c>
      <c r="C46" s="5" t="n">
        <v>100385</v>
      </c>
      <c r="D46" s="5" t="inlineStr">
        <is>
          <t>100385</t>
        </is>
      </c>
    </row>
    <row r="47">
      <c r="A47" s="5" t="inlineStr">
        <is>
          <t>Operational Suppliers (Wind Farms)</t>
        </is>
      </c>
      <c r="B47" s="5" t="inlineStr"/>
      <c r="C47" s="5" t="n">
        <v>100387</v>
      </c>
      <c r="D47" s="5" t="inlineStr">
        <is>
          <t>100387</t>
        </is>
      </c>
    </row>
    <row r="48">
      <c r="A48" s="5" t="inlineStr">
        <is>
          <t>Other Suppliers</t>
        </is>
      </c>
      <c r="B48" s="5" t="inlineStr">
        <is>
          <t>GREEN ENERGIA SERVICOS TECNICOS DE</t>
        </is>
      </c>
      <c r="C48" s="5" t="n">
        <v>100390</v>
      </c>
      <c r="D48" s="5" t="inlineStr">
        <is>
          <t>100390</t>
        </is>
      </c>
    </row>
    <row r="49">
      <c r="A49" s="5" t="inlineStr">
        <is>
          <t>Other Suppliers</t>
        </is>
      </c>
      <c r="B49" s="5" t="inlineStr">
        <is>
          <t>DISTRIBUIDORA DE PRODUCTOS DE ELEVA</t>
        </is>
      </c>
      <c r="C49" s="5" t="n">
        <v>100393</v>
      </c>
      <c r="D49" s="5" t="inlineStr">
        <is>
          <t>100393</t>
        </is>
      </c>
    </row>
    <row r="50">
      <c r="A50" s="5" t="inlineStr">
        <is>
          <t>Operational Suppliers (Wind Farms)</t>
        </is>
      </c>
      <c r="B50" s="5" t="inlineStr">
        <is>
          <t>DISTRIBUI LOGISTICA LTDA 03592033000166</t>
        </is>
      </c>
      <c r="C50" s="5" t="n">
        <v>100396</v>
      </c>
      <c r="D50" s="5" t="inlineStr">
        <is>
          <t>100396</t>
        </is>
      </c>
    </row>
    <row r="51">
      <c r="A51" s="5" t="inlineStr">
        <is>
          <t>Other Suppliers</t>
        </is>
      </c>
      <c r="B51" s="5" t="inlineStr">
        <is>
          <t>TECHNICAL UNIVERSITY OF DENMARK DTU</t>
        </is>
      </c>
      <c r="C51" s="5" t="n">
        <v>100400</v>
      </c>
      <c r="D51" s="5" t="inlineStr">
        <is>
          <t>100400</t>
        </is>
      </c>
    </row>
    <row r="52">
      <c r="A52" s="5" t="inlineStr">
        <is>
          <t>Other Suppliers</t>
        </is>
      </c>
      <c r="B52" s="5" t="inlineStr">
        <is>
          <t>APS COMPONENTES ELETRICOS SA</t>
        </is>
      </c>
      <c r="C52" s="5" t="n">
        <v>100406</v>
      </c>
      <c r="D52" s="5" t="inlineStr">
        <is>
          <t>100406</t>
        </is>
      </c>
    </row>
    <row r="53">
      <c r="A53" s="5" t="inlineStr">
        <is>
          <t>Customs Brokerage – Overall</t>
        </is>
      </c>
      <c r="B53" s="5" t="inlineStr"/>
      <c r="C53" s="5" t="n">
        <v>100409</v>
      </c>
      <c r="D53" s="5" t="inlineStr">
        <is>
          <t>100409</t>
        </is>
      </c>
    </row>
    <row r="54">
      <c r="A54" s="5" t="inlineStr">
        <is>
          <t>Customs Brokerage – Overall</t>
        </is>
      </c>
      <c r="B54" s="5" t="inlineStr"/>
      <c r="C54" s="5" t="n">
        <v>100410</v>
      </c>
      <c r="D54" s="5" t="inlineStr">
        <is>
          <t>100410</t>
        </is>
      </c>
    </row>
    <row r="55">
      <c r="A55" s="5" t="inlineStr">
        <is>
          <t>Other Suppliers</t>
        </is>
      </c>
      <c r="B55" s="5" t="inlineStr">
        <is>
          <t>HOSTFIBER COMUNICACAO MULTIMIDIA LT</t>
        </is>
      </c>
      <c r="C55" s="5" t="n">
        <v>100411</v>
      </c>
      <c r="D55" s="5" t="inlineStr">
        <is>
          <t>100411</t>
        </is>
      </c>
    </row>
    <row r="56">
      <c r="A56" s="5" t="inlineStr">
        <is>
          <t>Operational Suppliers (Wind Farms)</t>
        </is>
      </c>
      <c r="B56" s="5" t="inlineStr"/>
      <c r="C56" s="5" t="n">
        <v>100414</v>
      </c>
      <c r="D56" s="5" t="inlineStr">
        <is>
          <t>100414</t>
        </is>
      </c>
    </row>
    <row r="57">
      <c r="A57" s="5" t="inlineStr">
        <is>
          <t>Other Suppliers</t>
        </is>
      </c>
      <c r="B57" s="5" t="inlineStr">
        <is>
          <t>THE WORLD HOTELS ASSESSORIA E ADM</t>
        </is>
      </c>
      <c r="C57" s="5" t="n">
        <v>100419</v>
      </c>
      <c r="D57" s="5" t="inlineStr">
        <is>
          <t>100419</t>
        </is>
      </c>
    </row>
    <row r="58">
      <c r="A58" s="5" t="inlineStr">
        <is>
          <t>Other Suppliers</t>
        </is>
      </c>
      <c r="B58" s="5" t="inlineStr"/>
      <c r="C58" s="5" t="n">
        <v>100420</v>
      </c>
      <c r="D58" s="5" t="inlineStr">
        <is>
          <t>100420</t>
        </is>
      </c>
    </row>
    <row r="59">
      <c r="A59" s="5" t="inlineStr">
        <is>
          <t>Other Suppliers</t>
        </is>
      </c>
      <c r="B59" s="5" t="inlineStr">
        <is>
          <t>CENTRO DE ESTAGIOS PPM HUMAN RESOUR</t>
        </is>
      </c>
      <c r="C59" s="5" t="n">
        <v>100421</v>
      </c>
      <c r="D59" s="5" t="inlineStr">
        <is>
          <t>100421</t>
        </is>
      </c>
    </row>
    <row r="60">
      <c r="A60" s="5" t="inlineStr">
        <is>
          <t>Operational Suppliers (Wind Farms)</t>
        </is>
      </c>
      <c r="B60" s="5" t="inlineStr"/>
      <c r="C60" s="5" t="n">
        <v>100422</v>
      </c>
      <c r="D60" s="5" t="inlineStr">
        <is>
          <t>100422</t>
        </is>
      </c>
    </row>
    <row r="61">
      <c r="A61" s="5" t="inlineStr">
        <is>
          <t>Facilities</t>
        </is>
      </c>
      <c r="B61" s="5" t="inlineStr"/>
      <c r="C61" s="5" t="n">
        <v>100425</v>
      </c>
      <c r="D61" s="5" t="inlineStr">
        <is>
          <t>100425</t>
        </is>
      </c>
    </row>
    <row r="62">
      <c r="A62" s="5" t="inlineStr">
        <is>
          <t>Other Suppliers</t>
        </is>
      </c>
      <c r="B62" s="5" t="inlineStr"/>
      <c r="C62" s="5" t="n">
        <v>100426</v>
      </c>
      <c r="D62" s="5" t="inlineStr">
        <is>
          <t>100426</t>
        </is>
      </c>
    </row>
    <row r="63">
      <c r="A63" s="5" t="inlineStr">
        <is>
          <t>Operational Suppliers (Wind Farms)</t>
        </is>
      </c>
      <c r="B63" s="5" t="inlineStr"/>
      <c r="C63" s="5" t="n">
        <v>100430</v>
      </c>
      <c r="D63" s="5" t="inlineStr">
        <is>
          <t>100430</t>
        </is>
      </c>
    </row>
    <row r="64">
      <c r="A64" s="5" t="inlineStr">
        <is>
          <t>Operational Suppliers (Wind Farms)</t>
        </is>
      </c>
      <c r="B64" s="5" t="inlineStr">
        <is>
          <t>COVERWIND SOLUTIONS BRASIL LTDA 45580524000137</t>
        </is>
      </c>
      <c r="C64" s="5" t="n">
        <v>100432</v>
      </c>
      <c r="D64" s="5" t="inlineStr">
        <is>
          <t>100432</t>
        </is>
      </c>
    </row>
    <row r="65">
      <c r="A65" s="5" t="inlineStr">
        <is>
          <t>Other Suppliers</t>
        </is>
      </c>
      <c r="B65" s="5" t="inlineStr"/>
      <c r="C65" s="5" t="n">
        <v>100439</v>
      </c>
      <c r="D65" s="5" t="inlineStr">
        <is>
          <t>100439</t>
        </is>
      </c>
    </row>
    <row r="66">
      <c r="A66" s="5" t="inlineStr">
        <is>
          <t>Other Suppliers</t>
        </is>
      </c>
      <c r="B66" s="5" t="inlineStr"/>
      <c r="C66" s="5" t="n">
        <v>100442</v>
      </c>
      <c r="D66" s="5" t="inlineStr">
        <is>
          <t>100442</t>
        </is>
      </c>
    </row>
    <row r="67">
      <c r="A67" s="5" t="inlineStr">
        <is>
          <t>Customs Brokerage – Overall</t>
        </is>
      </c>
      <c r="B67" s="5" t="inlineStr">
        <is>
          <t>DSV AIR &amp; SEA BRASIL LTDA</t>
        </is>
      </c>
      <c r="C67" s="5" t="n">
        <v>100446</v>
      </c>
      <c r="D67" s="5" t="inlineStr">
        <is>
          <t>100446</t>
        </is>
      </c>
    </row>
    <row r="68">
      <c r="A68" s="5" t="inlineStr">
        <is>
          <t>Customs Brokerage – Overall</t>
        </is>
      </c>
      <c r="B68" s="5" t="inlineStr">
        <is>
          <t>DSV AIR &amp; SEA BRASIL LTDA</t>
        </is>
      </c>
      <c r="C68" s="5" t="n">
        <v>100447</v>
      </c>
      <c r="D68" s="5" t="inlineStr">
        <is>
          <t>100447</t>
        </is>
      </c>
    </row>
    <row r="69">
      <c r="A69" s="5" t="inlineStr">
        <is>
          <t>Other Suppliers</t>
        </is>
      </c>
      <c r="B69" s="5" t="inlineStr">
        <is>
          <t>SAMLIFE MSC LTDA</t>
        </is>
      </c>
      <c r="C69" s="5" t="n">
        <v>100450</v>
      </c>
      <c r="D69" s="5" t="inlineStr">
        <is>
          <t>100450</t>
        </is>
      </c>
    </row>
    <row r="70">
      <c r="A70" s="5" t="inlineStr">
        <is>
          <t>Other Suppliers</t>
        </is>
      </c>
      <c r="B70" s="5" t="inlineStr">
        <is>
          <t>GEOMATICS GESTAO DE FROTAS LTDA</t>
        </is>
      </c>
      <c r="C70" s="5" t="n">
        <v>100454</v>
      </c>
      <c r="D70" s="5" t="inlineStr">
        <is>
          <t>100454</t>
        </is>
      </c>
    </row>
    <row r="71">
      <c r="A71" s="5" t="inlineStr">
        <is>
          <t>Other Suppliers</t>
        </is>
      </c>
      <c r="B71" s="5" t="inlineStr">
        <is>
          <t>CARNEVALI EQUIPAMENTOS DE PROTECAO</t>
        </is>
      </c>
      <c r="C71" s="5" t="n">
        <v>100456</v>
      </c>
      <c r="D71" s="5" t="inlineStr">
        <is>
          <t>100456</t>
        </is>
      </c>
    </row>
    <row r="72">
      <c r="A72" s="5" t="inlineStr">
        <is>
          <t>Customs Brokerage – Overall</t>
        </is>
      </c>
      <c r="B72" s="5" t="inlineStr">
        <is>
          <t>NELSON HEUSI LOGISTICA E ARMAZENS G</t>
        </is>
      </c>
      <c r="C72" s="5" t="n">
        <v>100469</v>
      </c>
      <c r="D72" s="5" t="inlineStr">
        <is>
          <t>100469</t>
        </is>
      </c>
    </row>
    <row r="73">
      <c r="A73" s="5" t="inlineStr">
        <is>
          <t>Other Suppliers</t>
        </is>
      </c>
      <c r="B73" s="5" t="inlineStr"/>
      <c r="C73" s="5" t="n">
        <v>100470</v>
      </c>
      <c r="D73" s="5" t="inlineStr">
        <is>
          <t>100470</t>
        </is>
      </c>
    </row>
    <row r="74">
      <c r="A74" s="5" t="inlineStr">
        <is>
          <t>Vehicle Rental Services</t>
        </is>
      </c>
      <c r="B74" s="5" t="inlineStr"/>
      <c r="C74" s="5" t="n">
        <v>100471</v>
      </c>
      <c r="D74" s="5" t="inlineStr">
        <is>
          <t>100471</t>
        </is>
      </c>
    </row>
    <row r="75">
      <c r="A75" s="5" t="inlineStr">
        <is>
          <t>Other Suppliers</t>
        </is>
      </c>
      <c r="B75" s="5" t="inlineStr"/>
      <c r="C75" s="5" t="n">
        <v>100475</v>
      </c>
      <c r="D75" s="5" t="inlineStr">
        <is>
          <t>100475</t>
        </is>
      </c>
    </row>
    <row r="76">
      <c r="A76" s="5" t="inlineStr">
        <is>
          <t>Other Suppliers</t>
        </is>
      </c>
      <c r="B76" s="5" t="inlineStr">
        <is>
          <t>POUSADA ITARETAMA LTDA</t>
        </is>
      </c>
      <c r="C76" s="5" t="n">
        <v>100479</v>
      </c>
      <c r="D76" s="5" t="inlineStr">
        <is>
          <t>100479</t>
        </is>
      </c>
    </row>
    <row r="77">
      <c r="A77" s="5" t="inlineStr">
        <is>
          <t>Operational Suppliers (Wind Farms)</t>
        </is>
      </c>
      <c r="B77" s="5" t="inlineStr"/>
      <c r="C77" s="5" t="n">
        <v>100480</v>
      </c>
      <c r="D77" s="5" t="inlineStr">
        <is>
          <t>100480</t>
        </is>
      </c>
    </row>
    <row r="78">
      <c r="A78" s="5" t="inlineStr">
        <is>
          <t>Operational Suppliers (Wind Farms)</t>
        </is>
      </c>
      <c r="B78" s="5" t="inlineStr">
        <is>
          <t>FUCHS LUBRIFICANTES DO BRASIL LTDA</t>
        </is>
      </c>
      <c r="C78" s="5" t="n">
        <v>100485</v>
      </c>
      <c r="D78" s="5" t="inlineStr">
        <is>
          <t>100485</t>
        </is>
      </c>
    </row>
    <row r="79">
      <c r="A79" s="5" t="inlineStr">
        <is>
          <t>Other Suppliers</t>
        </is>
      </c>
      <c r="B79" s="5" t="inlineStr">
        <is>
          <t>LAGOA EMPREENDIMENTOS E PARTICIPACO</t>
        </is>
      </c>
      <c r="C79" s="5" t="n">
        <v>100490</v>
      </c>
      <c r="D79" s="5" t="inlineStr">
        <is>
          <t>100490</t>
        </is>
      </c>
    </row>
    <row r="80">
      <c r="A80" s="5" t="inlineStr">
        <is>
          <t>Other Suppliers</t>
        </is>
      </c>
      <c r="B80" s="5" t="inlineStr">
        <is>
          <t>JESSYCA MARIA LIMA DE MOURA</t>
        </is>
      </c>
      <c r="C80" s="5" t="n">
        <v>100498</v>
      </c>
      <c r="D80" s="5" t="inlineStr">
        <is>
          <t>100498</t>
        </is>
      </c>
    </row>
    <row r="81">
      <c r="A81" s="5" t="inlineStr">
        <is>
          <t>Other Suppliers</t>
        </is>
      </c>
      <c r="B81" s="5" t="inlineStr">
        <is>
          <t>PREMA TECNOLOGIA E COMERCIO LTDA</t>
        </is>
      </c>
      <c r="C81" s="5" t="n">
        <v>100512</v>
      </c>
      <c r="D81" s="5" t="inlineStr">
        <is>
          <t>100512</t>
        </is>
      </c>
    </row>
    <row r="82">
      <c r="A82" s="5" t="inlineStr">
        <is>
          <t>Other Suppliers</t>
        </is>
      </c>
      <c r="B82" s="5" t="inlineStr"/>
      <c r="C82" s="5" t="n">
        <v>100514</v>
      </c>
      <c r="D82" s="5" t="inlineStr">
        <is>
          <t>100514</t>
        </is>
      </c>
    </row>
    <row r="83">
      <c r="A83" s="5" t="inlineStr">
        <is>
          <t>Operational Suppliers (Wind Farms)</t>
        </is>
      </c>
      <c r="B83" s="5" t="inlineStr">
        <is>
          <t>CORDEIRO TRANSPORTES LTDA 13043748000113</t>
        </is>
      </c>
      <c r="C83" s="5" t="n">
        <v>100519</v>
      </c>
      <c r="D83" s="5" t="inlineStr">
        <is>
          <t>100519</t>
        </is>
      </c>
    </row>
    <row r="84">
      <c r="A84" s="5" t="inlineStr">
        <is>
          <t>Operational Suppliers (Wind Farms)</t>
        </is>
      </c>
      <c r="B84" s="5" t="inlineStr"/>
      <c r="C84" s="5" t="n">
        <v>100520</v>
      </c>
      <c r="D84" s="5" t="inlineStr">
        <is>
          <t>100520</t>
        </is>
      </c>
    </row>
    <row r="85">
      <c r="A85" s="5" t="inlineStr">
        <is>
          <t>Operational Suppliers (Wind Farms)</t>
        </is>
      </c>
      <c r="B85" s="5" t="inlineStr"/>
      <c r="C85" s="5" t="n">
        <v>100524</v>
      </c>
      <c r="D85" s="5" t="inlineStr">
        <is>
          <t>100524</t>
        </is>
      </c>
    </row>
    <row r="86">
      <c r="A86" s="5" t="inlineStr">
        <is>
          <t>Legal Services Suppliers</t>
        </is>
      </c>
      <c r="B86" s="5" t="inlineStr"/>
      <c r="C86" s="5" t="n">
        <v>100539</v>
      </c>
      <c r="D86" s="5" t="inlineStr">
        <is>
          <t>100539</t>
        </is>
      </c>
    </row>
    <row r="87">
      <c r="A87" s="5" t="inlineStr">
        <is>
          <t>Operational Suppliers (Wind Farms)</t>
        </is>
      </c>
      <c r="B87" s="5" t="inlineStr">
        <is>
          <t>EXTREME WIND SERVICOS DE MANUTENCAO</t>
        </is>
      </c>
      <c r="C87" s="5" t="n">
        <v>100542</v>
      </c>
      <c r="D87" s="5" t="inlineStr">
        <is>
          <t>100542</t>
        </is>
      </c>
    </row>
    <row r="88">
      <c r="A88" s="5" t="inlineStr">
        <is>
          <t>Operational Suppliers (Wind Farms)</t>
        </is>
      </c>
      <c r="B88" s="5" t="inlineStr"/>
      <c r="C88" s="5" t="n">
        <v>100543</v>
      </c>
      <c r="D88" s="5" t="inlineStr">
        <is>
          <t>100543</t>
        </is>
      </c>
    </row>
    <row r="89">
      <c r="A89" s="5" t="inlineStr">
        <is>
          <t>Operational Suppliers (Wind Farms)</t>
        </is>
      </c>
      <c r="B89" s="5" t="inlineStr">
        <is>
          <t>POLIMEXE CONCRETOS CONSTRUCOES E SE</t>
        </is>
      </c>
      <c r="C89" s="5" t="n">
        <v>100548</v>
      </c>
      <c r="D89" s="5" t="inlineStr">
        <is>
          <t>100548</t>
        </is>
      </c>
    </row>
    <row r="90">
      <c r="A90" s="5" t="inlineStr">
        <is>
          <t>Other Suppliers</t>
        </is>
      </c>
      <c r="B90" s="5" t="inlineStr">
        <is>
          <t>LYCEG SEGURANCA PATRIMONIAL EIRELI</t>
        </is>
      </c>
      <c r="C90" s="5" t="n">
        <v>100553</v>
      </c>
      <c r="D90" s="5" t="inlineStr">
        <is>
          <t>100553</t>
        </is>
      </c>
    </row>
    <row r="91">
      <c r="A91" s="5" t="inlineStr">
        <is>
          <t>Other Suppliers</t>
        </is>
      </c>
      <c r="B91" s="5" t="inlineStr">
        <is>
          <t>MAC CONSULTORIA E LOGISTICA LTDA</t>
        </is>
      </c>
      <c r="C91" s="5" t="n">
        <v>100555</v>
      </c>
      <c r="D91" s="5" t="inlineStr">
        <is>
          <t>100555</t>
        </is>
      </c>
    </row>
    <row r="92">
      <c r="A92" s="5" t="inlineStr">
        <is>
          <t>Other Suppliers</t>
        </is>
      </c>
      <c r="B92" s="5" t="inlineStr">
        <is>
          <t>REAL SERVICE TRANSPORTE E TURISMO L</t>
        </is>
      </c>
      <c r="C92" s="5" t="n">
        <v>100558</v>
      </c>
      <c r="D92" s="5" t="inlineStr">
        <is>
          <t>100558</t>
        </is>
      </c>
    </row>
    <row r="93">
      <c r="A93" s="5" t="inlineStr">
        <is>
          <t>Operational Suppliers (Wind Farms)</t>
        </is>
      </c>
      <c r="B93" s="5" t="inlineStr"/>
      <c r="C93" s="5" t="n">
        <v>100559</v>
      </c>
      <c r="D93" s="5" t="inlineStr">
        <is>
          <t>100559</t>
        </is>
      </c>
    </row>
    <row r="94">
      <c r="A94" s="5" t="inlineStr">
        <is>
          <t>Other Suppliers</t>
        </is>
      </c>
      <c r="B94" s="5" t="inlineStr">
        <is>
          <t>CONECTA TREINE LTDA</t>
        </is>
      </c>
      <c r="C94" s="5" t="n">
        <v>100561</v>
      </c>
      <c r="D94" s="5" t="inlineStr">
        <is>
          <t>100561</t>
        </is>
      </c>
    </row>
    <row r="95">
      <c r="A95" s="5" t="inlineStr">
        <is>
          <t>Other Suppliers</t>
        </is>
      </c>
      <c r="B95" s="5" t="inlineStr"/>
      <c r="C95" s="5" t="n">
        <v>100563</v>
      </c>
      <c r="D95" s="5" t="inlineStr">
        <is>
          <t>100563</t>
        </is>
      </c>
    </row>
    <row r="96">
      <c r="A96" s="5" t="inlineStr">
        <is>
          <t>Other Suppliers</t>
        </is>
      </c>
      <c r="B96" s="5" t="inlineStr"/>
      <c r="C96" s="5" t="n">
        <v>100564</v>
      </c>
      <c r="D96" s="5" t="inlineStr">
        <is>
          <t>100564</t>
        </is>
      </c>
    </row>
    <row r="97">
      <c r="A97" s="5" t="inlineStr">
        <is>
          <t>Customs Brokerage – Overall</t>
        </is>
      </c>
      <c r="B97" s="5" t="inlineStr">
        <is>
          <t>BRASIL TERMINAL PORTUARIO S.A.</t>
        </is>
      </c>
      <c r="C97" s="5" t="n">
        <v>100566</v>
      </c>
      <c r="D97" s="5" t="inlineStr">
        <is>
          <t>100566</t>
        </is>
      </c>
    </row>
    <row r="98">
      <c r="A98" s="5" t="inlineStr">
        <is>
          <t>Other Suppliers</t>
        </is>
      </c>
      <c r="B98" s="5" t="inlineStr">
        <is>
          <t>FEDERAL EXPRESS CORPORATION</t>
        </is>
      </c>
      <c r="C98" s="5" t="n">
        <v>100573</v>
      </c>
      <c r="D98" s="5" t="inlineStr">
        <is>
          <t>100573</t>
        </is>
      </c>
    </row>
    <row r="99">
      <c r="A99" s="5" t="inlineStr">
        <is>
          <t>Operational Suppliers (Wind Farms)</t>
        </is>
      </c>
      <c r="B99" s="5" t="inlineStr"/>
      <c r="C99" s="5" t="n">
        <v>100574</v>
      </c>
      <c r="D99" s="5" t="inlineStr">
        <is>
          <t>100574</t>
        </is>
      </c>
    </row>
    <row r="100">
      <c r="A100" s="5" t="inlineStr">
        <is>
          <t>Legal Services Suppliers</t>
        </is>
      </c>
      <c r="B100" s="5" t="inlineStr">
        <is>
          <t>DNIT DEP NAC DE INFRAEST DE TRANSPO</t>
        </is>
      </c>
      <c r="C100" s="5" t="n">
        <v>100575</v>
      </c>
      <c r="D100" s="5" t="inlineStr">
        <is>
          <t>100575</t>
        </is>
      </c>
    </row>
    <row r="101">
      <c r="A101" s="5" t="inlineStr">
        <is>
          <t>Other Suppliers</t>
        </is>
      </c>
      <c r="B101" s="5" t="inlineStr">
        <is>
          <t>MM ENERGIA CONSTRUCOES E MANUTENCOE</t>
        </is>
      </c>
      <c r="C101" s="5" t="n">
        <v>100585</v>
      </c>
      <c r="D101" s="5" t="inlineStr">
        <is>
          <t>100585</t>
        </is>
      </c>
    </row>
    <row r="102">
      <c r="A102" s="5" t="inlineStr">
        <is>
          <t>Other Suppliers</t>
        </is>
      </c>
      <c r="B102" s="5" t="inlineStr"/>
      <c r="C102" s="5" t="n">
        <v>100589</v>
      </c>
      <c r="D102" s="5" t="inlineStr">
        <is>
          <t>100589</t>
        </is>
      </c>
    </row>
    <row r="103">
      <c r="A103" s="5" t="inlineStr">
        <is>
          <t>Other Suppliers</t>
        </is>
      </c>
      <c r="B103" s="5" t="inlineStr">
        <is>
          <t>WDS ENGENHARIA E LOGISTICA LTDA</t>
        </is>
      </c>
      <c r="C103" s="5" t="n">
        <v>100590</v>
      </c>
      <c r="D103" s="5" t="inlineStr">
        <is>
          <t>100590</t>
        </is>
      </c>
    </row>
    <row r="104">
      <c r="A104" s="5" t="inlineStr">
        <is>
          <t>Other Suppliers</t>
        </is>
      </c>
      <c r="B104" s="5" t="inlineStr"/>
      <c r="C104" s="5" t="n">
        <v>100591</v>
      </c>
      <c r="D104" s="5" t="inlineStr">
        <is>
          <t>100591</t>
        </is>
      </c>
    </row>
    <row r="105">
      <c r="A105" s="5" t="inlineStr">
        <is>
          <t>Other Suppliers</t>
        </is>
      </c>
      <c r="B105" s="5" t="inlineStr"/>
      <c r="C105" s="5" t="n">
        <v>100593</v>
      </c>
      <c r="D105" s="5" t="inlineStr">
        <is>
          <t>100593</t>
        </is>
      </c>
    </row>
    <row r="106">
      <c r="A106" s="5" t="inlineStr">
        <is>
          <t>Other Suppliers</t>
        </is>
      </c>
      <c r="B106" s="5" t="inlineStr"/>
      <c r="C106" s="5" t="n">
        <v>100594</v>
      </c>
      <c r="D106" s="5" t="inlineStr">
        <is>
          <t>100594</t>
        </is>
      </c>
    </row>
    <row r="107">
      <c r="A107" s="5" t="inlineStr">
        <is>
          <t>Operational Suppliers (Wind Farms)</t>
        </is>
      </c>
      <c r="B107" s="5" t="inlineStr"/>
      <c r="C107" s="5" t="n">
        <v>100597</v>
      </c>
      <c r="D107" s="5" t="inlineStr">
        <is>
          <t>100597</t>
        </is>
      </c>
    </row>
    <row r="108">
      <c r="A108" s="5" t="inlineStr">
        <is>
          <t>Other Suppliers</t>
        </is>
      </c>
      <c r="B108" s="5" t="inlineStr"/>
      <c r="C108" s="5" t="n">
        <v>100602</v>
      </c>
      <c r="D108" s="5" t="inlineStr">
        <is>
          <t>100602</t>
        </is>
      </c>
    </row>
    <row r="109">
      <c r="A109" s="5" t="inlineStr">
        <is>
          <t>Other Suppliers</t>
        </is>
      </c>
      <c r="B109" s="5" t="inlineStr">
        <is>
          <t>NOVA ERA COMERCIAL DE TINTAS LTDA</t>
        </is>
      </c>
      <c r="C109" s="5" t="n">
        <v>100606</v>
      </c>
      <c r="D109" s="5" t="inlineStr">
        <is>
          <t>100606</t>
        </is>
      </c>
    </row>
    <row r="110">
      <c r="A110" s="5" t="inlineStr">
        <is>
          <t>Other Suppliers</t>
        </is>
      </c>
      <c r="B110" s="5" t="inlineStr"/>
      <c r="C110" s="5" t="n">
        <v>100612</v>
      </c>
      <c r="D110" s="5" t="inlineStr">
        <is>
          <t>100612</t>
        </is>
      </c>
    </row>
    <row r="111">
      <c r="A111" s="5" t="inlineStr">
        <is>
          <t>Other Suppliers</t>
        </is>
      </c>
      <c r="B111" s="5" t="inlineStr">
        <is>
          <t>SKYFOR TREINAMENTOS LTDA 39426894000111</t>
        </is>
      </c>
      <c r="C111" s="5" t="n">
        <v>100614</v>
      </c>
      <c r="D111" s="5" t="inlineStr">
        <is>
          <t>100614</t>
        </is>
      </c>
    </row>
    <row r="112">
      <c r="A112" s="5" t="inlineStr">
        <is>
          <t>Other Suppliers</t>
        </is>
      </c>
      <c r="B112" s="5" t="inlineStr">
        <is>
          <t>PREST SERVICOS DE SISTEMAS DE SEGUR</t>
        </is>
      </c>
      <c r="C112" s="5" t="n">
        <v>100617</v>
      </c>
      <c r="D112" s="5" t="inlineStr">
        <is>
          <t>100617</t>
        </is>
      </c>
    </row>
    <row r="113">
      <c r="A113" s="5" t="inlineStr">
        <is>
          <t>Other Suppliers</t>
        </is>
      </c>
      <c r="B113" s="5" t="inlineStr">
        <is>
          <t>CALTER ENGENHARIA LTDA</t>
        </is>
      </c>
      <c r="C113" s="5" t="n">
        <v>100621</v>
      </c>
      <c r="D113" s="5" t="inlineStr">
        <is>
          <t>100621</t>
        </is>
      </c>
    </row>
    <row r="114">
      <c r="A114" s="5" t="inlineStr">
        <is>
          <t>Other Suppliers</t>
        </is>
      </c>
      <c r="B114" s="5" t="inlineStr"/>
      <c r="C114" s="5" t="n">
        <v>100623</v>
      </c>
      <c r="D114" s="5" t="inlineStr">
        <is>
          <t>100623</t>
        </is>
      </c>
    </row>
    <row r="115">
      <c r="A115" s="5" t="inlineStr">
        <is>
          <t>Operational Suppliers (Wind Farms)</t>
        </is>
      </c>
      <c r="B115" s="5" t="inlineStr"/>
      <c r="C115" s="5" t="n">
        <v>100628</v>
      </c>
      <c r="D115" s="5" t="inlineStr">
        <is>
          <t>100628</t>
        </is>
      </c>
    </row>
    <row r="116">
      <c r="A116" s="5" t="inlineStr">
        <is>
          <t>Customs Brokerage – Overall</t>
        </is>
      </c>
      <c r="B116" s="5" t="inlineStr">
        <is>
          <t>BRANDAO FILHOS FORTSHIP AGENCIA MAR 11826476000100</t>
        </is>
      </c>
      <c r="C116" s="5" t="n">
        <v>100631</v>
      </c>
      <c r="D116" s="5" t="inlineStr">
        <is>
          <t>100631</t>
        </is>
      </c>
    </row>
    <row r="117">
      <c r="A117" s="5" t="inlineStr">
        <is>
          <t>Other Suppliers</t>
        </is>
      </c>
      <c r="B117" s="5" t="inlineStr"/>
      <c r="C117" s="5" t="n">
        <v>100745</v>
      </c>
      <c r="D117" s="5" t="inlineStr">
        <is>
          <t>100745</t>
        </is>
      </c>
    </row>
    <row r="118">
      <c r="A118" s="5" t="inlineStr">
        <is>
          <t>Other Suppliers</t>
        </is>
      </c>
      <c r="B118" s="5" t="inlineStr">
        <is>
          <t>PAPERCLEAN DISTRIBUIDORA LTDA ME</t>
        </is>
      </c>
      <c r="C118" s="5" t="n">
        <v>100746</v>
      </c>
      <c r="D118" s="5" t="inlineStr">
        <is>
          <t>100746</t>
        </is>
      </c>
    </row>
    <row r="119">
      <c r="A119" s="5" t="inlineStr">
        <is>
          <t>Other Suppliers</t>
        </is>
      </c>
      <c r="B119" s="5" t="inlineStr">
        <is>
          <t>MA TECH ENGENHARIA DA CONSTRUCAO LT</t>
        </is>
      </c>
      <c r="C119" s="5" t="n">
        <v>100747</v>
      </c>
      <c r="D119" s="5" t="inlineStr">
        <is>
          <t>100747</t>
        </is>
      </c>
    </row>
    <row r="120">
      <c r="A120" s="5" t="inlineStr">
        <is>
          <t>Operational Suppliers (Wind Farms)</t>
        </is>
      </c>
      <c r="B120" s="5" t="inlineStr">
        <is>
          <t>OMI BRASIL ENGENHARIA</t>
        </is>
      </c>
      <c r="C120" s="5" t="n">
        <v>100757</v>
      </c>
      <c r="D120" s="5" t="inlineStr">
        <is>
          <t>100757</t>
        </is>
      </c>
    </row>
    <row r="121">
      <c r="A121" s="5" t="inlineStr">
        <is>
          <t>Taxes Payable</t>
        </is>
      </c>
      <c r="B121" s="5" t="inlineStr">
        <is>
          <t>MUNICIPIO DE UIBAI</t>
        </is>
      </c>
      <c r="C121" s="5" t="n">
        <v>100759</v>
      </c>
      <c r="D121" s="5" t="inlineStr">
        <is>
          <t>100759</t>
        </is>
      </c>
    </row>
    <row r="122">
      <c r="A122" s="5" t="inlineStr">
        <is>
          <t>Other Suppliers</t>
        </is>
      </c>
      <c r="B122" s="5" t="inlineStr"/>
      <c r="C122" s="5" t="n">
        <v>100761</v>
      </c>
      <c r="D122" s="5" t="inlineStr">
        <is>
          <t>100761</t>
        </is>
      </c>
    </row>
    <row r="123">
      <c r="A123" s="5" t="inlineStr">
        <is>
          <t>Operational Suppliers (Wind Farms)</t>
        </is>
      </c>
      <c r="B123" s="5" t="inlineStr"/>
      <c r="C123" s="5" t="n">
        <v>100771</v>
      </c>
      <c r="D123" s="5" t="inlineStr">
        <is>
          <t>100771</t>
        </is>
      </c>
    </row>
    <row r="124">
      <c r="A124" s="5" t="inlineStr">
        <is>
          <t>Operational Suppliers (Wind Farms)</t>
        </is>
      </c>
      <c r="B124" s="5" t="inlineStr">
        <is>
          <t>G WIND SOLUCOES EOLICAS LTDA</t>
        </is>
      </c>
      <c r="C124" s="5" t="n">
        <v>100773</v>
      </c>
      <c r="D124" s="5" t="inlineStr">
        <is>
          <t>100773</t>
        </is>
      </c>
    </row>
    <row r="125">
      <c r="A125" s="5" t="inlineStr">
        <is>
          <t>Operational Suppliers (Wind Farms)</t>
        </is>
      </c>
      <c r="B125" s="5" t="inlineStr"/>
      <c r="C125" s="5" t="n">
        <v>100776</v>
      </c>
      <c r="D125" s="5" t="inlineStr">
        <is>
          <t>100776</t>
        </is>
      </c>
    </row>
    <row r="126">
      <c r="A126" s="5" t="inlineStr">
        <is>
          <t>Other Suppliers</t>
        </is>
      </c>
      <c r="B126" s="5" t="inlineStr"/>
      <c r="C126" s="5" t="n">
        <v>100777</v>
      </c>
      <c r="D126" s="5" t="inlineStr">
        <is>
          <t>100777</t>
        </is>
      </c>
    </row>
    <row r="127">
      <c r="A127" s="5" t="inlineStr">
        <is>
          <t>Facilities</t>
        </is>
      </c>
      <c r="B127" s="5" t="inlineStr"/>
      <c r="C127" s="5" t="n">
        <v>100782</v>
      </c>
      <c r="D127" s="5" t="inlineStr">
        <is>
          <t>100782</t>
        </is>
      </c>
    </row>
    <row r="128">
      <c r="A128" s="5" t="inlineStr">
        <is>
          <t>Other Suppliers</t>
        </is>
      </c>
      <c r="B128" s="5" t="inlineStr"/>
      <c r="C128" s="5" t="n">
        <v>100783</v>
      </c>
      <c r="D128" s="5" t="inlineStr">
        <is>
          <t>100783</t>
        </is>
      </c>
    </row>
    <row r="129">
      <c r="A129" s="5" t="inlineStr">
        <is>
          <t>Other Suppliers</t>
        </is>
      </c>
      <c r="B129" s="5" t="inlineStr"/>
      <c r="C129" s="5" t="n">
        <v>100791</v>
      </c>
      <c r="D129" s="5" t="inlineStr">
        <is>
          <t>100791</t>
        </is>
      </c>
    </row>
    <row r="130">
      <c r="A130" s="5" t="inlineStr">
        <is>
          <t>Other Suppliers</t>
        </is>
      </c>
      <c r="B130" s="5" t="inlineStr">
        <is>
          <t>TOXICLIN SERVICOS MEDICOS EIRELI</t>
        </is>
      </c>
      <c r="C130" s="5" t="n">
        <v>100800</v>
      </c>
      <c r="D130" s="5" t="inlineStr">
        <is>
          <t>100800</t>
        </is>
      </c>
    </row>
    <row r="131">
      <c r="A131" s="5" t="inlineStr">
        <is>
          <t>Operational Suppliers (Wind Farms)</t>
        </is>
      </c>
      <c r="B131" s="5" t="inlineStr">
        <is>
          <t>EXPRESSO VALE REAL LTDA</t>
        </is>
      </c>
      <c r="C131" s="5" t="n">
        <v>100805</v>
      </c>
      <c r="D131" s="5" t="inlineStr">
        <is>
          <t>100805</t>
        </is>
      </c>
    </row>
    <row r="132">
      <c r="A132" s="5" t="inlineStr">
        <is>
          <t>Operational Suppliers (Wind Farms)</t>
        </is>
      </c>
      <c r="B132" s="5" t="inlineStr">
        <is>
          <t>MODULAR TRANSPORTES LTDA</t>
        </is>
      </c>
      <c r="C132" s="5" t="n">
        <v>100812</v>
      </c>
      <c r="D132" s="5" t="inlineStr">
        <is>
          <t>100812</t>
        </is>
      </c>
    </row>
    <row r="133">
      <c r="A133" s="5" t="inlineStr">
        <is>
          <t>Operational Suppliers (Wind Farms)</t>
        </is>
      </c>
      <c r="B133" s="5" t="inlineStr"/>
      <c r="C133" s="5" t="n">
        <v>100829</v>
      </c>
      <c r="D133" s="5" t="inlineStr">
        <is>
          <t>100829</t>
        </is>
      </c>
    </row>
    <row r="134">
      <c r="A134" s="5" t="inlineStr">
        <is>
          <t>Operational Suppliers (Wind Farms)</t>
        </is>
      </c>
      <c r="B134" s="5" t="inlineStr">
        <is>
          <t>EXPRESSO VALE REAL LTDA</t>
        </is>
      </c>
      <c r="C134" s="5" t="n">
        <v>100830</v>
      </c>
      <c r="D134" s="5" t="inlineStr">
        <is>
          <t>100830</t>
        </is>
      </c>
    </row>
    <row r="135">
      <c r="A135" s="5" t="inlineStr">
        <is>
          <t>Taxes Payable</t>
        </is>
      </c>
      <c r="B135" s="5" t="inlineStr">
        <is>
          <t>MUNICIPIO DE JANDAIRA</t>
        </is>
      </c>
      <c r="C135" s="5" t="n">
        <v>100833</v>
      </c>
      <c r="D135" s="5" t="inlineStr">
        <is>
          <t>100833</t>
        </is>
      </c>
    </row>
    <row r="136">
      <c r="A136" s="5" t="inlineStr">
        <is>
          <t>Operational Suppliers (Wind Farms)</t>
        </is>
      </c>
      <c r="B136" s="5" t="inlineStr"/>
      <c r="C136" s="5" t="n">
        <v>100835</v>
      </c>
      <c r="D136" s="5" t="inlineStr">
        <is>
          <t>100835</t>
        </is>
      </c>
    </row>
    <row r="137">
      <c r="A137" s="5" t="inlineStr">
        <is>
          <t>Customs Brokerage – Overall</t>
        </is>
      </c>
      <c r="B137" s="5" t="inlineStr"/>
      <c r="C137" s="5" t="n">
        <v>100836</v>
      </c>
      <c r="D137" s="5" t="inlineStr">
        <is>
          <t>100836</t>
        </is>
      </c>
    </row>
    <row r="138">
      <c r="A138" s="5" t="inlineStr">
        <is>
          <t>Operational Suppliers (Wind Farms)</t>
        </is>
      </c>
      <c r="B138" s="5" t="inlineStr"/>
      <c r="C138" s="5" t="n">
        <v>100841</v>
      </c>
      <c r="D138" s="5" t="inlineStr">
        <is>
          <t>100841</t>
        </is>
      </c>
    </row>
    <row r="139">
      <c r="A139" s="5" t="inlineStr">
        <is>
          <t>Operational Suppliers (Wind Farms)</t>
        </is>
      </c>
      <c r="B139" s="5" t="inlineStr">
        <is>
          <t>DRIVEMEC MANUTENCAO INDUSTRIAL EIRE</t>
        </is>
      </c>
      <c r="C139" s="5" t="n">
        <v>100845</v>
      </c>
      <c r="D139" s="5" t="inlineStr">
        <is>
          <t>100845</t>
        </is>
      </c>
    </row>
    <row r="140">
      <c r="A140" s="5" t="inlineStr">
        <is>
          <t>Legal Services Suppliers</t>
        </is>
      </c>
      <c r="B140" s="5" t="inlineStr"/>
      <c r="C140" s="5" t="n">
        <v>100846</v>
      </c>
      <c r="D140" s="5" t="inlineStr">
        <is>
          <t>100846</t>
        </is>
      </c>
    </row>
    <row r="141">
      <c r="A141" s="5" t="inlineStr">
        <is>
          <t>Other Suppliers</t>
        </is>
      </c>
      <c r="B141" s="5" t="inlineStr">
        <is>
          <t>RECONLOG LTDA</t>
        </is>
      </c>
      <c r="C141" s="5" t="n">
        <v>100847</v>
      </c>
      <c r="D141" s="5" t="inlineStr">
        <is>
          <t>100847</t>
        </is>
      </c>
    </row>
    <row r="142">
      <c r="A142" s="5" t="inlineStr">
        <is>
          <t>Other Suppliers</t>
        </is>
      </c>
      <c r="B142" s="5" t="inlineStr">
        <is>
          <t>LAVITA SERVICOS DE LAVANDERIA E TIN</t>
        </is>
      </c>
      <c r="C142" s="5" t="n">
        <v>100855</v>
      </c>
      <c r="D142" s="5" t="inlineStr">
        <is>
          <t>100855</t>
        </is>
      </c>
    </row>
    <row r="143">
      <c r="A143" s="5" t="inlineStr">
        <is>
          <t>Operational Suppliers (Wind Farms)</t>
        </is>
      </c>
      <c r="B143" s="5" t="inlineStr"/>
      <c r="C143" s="5" t="n">
        <v>100858</v>
      </c>
      <c r="D143" s="5" t="inlineStr">
        <is>
          <t>100858</t>
        </is>
      </c>
    </row>
    <row r="144">
      <c r="A144" s="5" t="inlineStr">
        <is>
          <t>Other Suppliers</t>
        </is>
      </c>
      <c r="B144" s="5" t="inlineStr">
        <is>
          <t>CSA - CASE SOLUCOES AMBIENTAIS LTDA</t>
        </is>
      </c>
      <c r="C144" s="5" t="n">
        <v>100867</v>
      </c>
      <c r="D144" s="5" t="inlineStr">
        <is>
          <t>100867</t>
        </is>
      </c>
    </row>
    <row r="145">
      <c r="A145" s="5" t="inlineStr">
        <is>
          <t>Operational Suppliers (Wind Farms)</t>
        </is>
      </c>
      <c r="B145" s="5" t="inlineStr"/>
      <c r="C145" s="5" t="n">
        <v>100869</v>
      </c>
      <c r="D145" s="5" t="inlineStr">
        <is>
          <t>100869</t>
        </is>
      </c>
    </row>
    <row r="146">
      <c r="A146" s="5" t="inlineStr">
        <is>
          <t>Operational Suppliers (Wind Farms)</t>
        </is>
      </c>
      <c r="B146" s="5" t="inlineStr"/>
      <c r="C146" s="5" t="n">
        <v>100870</v>
      </c>
      <c r="D146" s="5" t="inlineStr">
        <is>
          <t>100870</t>
        </is>
      </c>
    </row>
    <row r="147">
      <c r="A147" s="5" t="inlineStr">
        <is>
          <t>Other Suppliers</t>
        </is>
      </c>
      <c r="B147" s="5" t="inlineStr">
        <is>
          <t>EQUIPO INFO SERVICOS DE TECNOLOGIA</t>
        </is>
      </c>
      <c r="C147" s="5" t="n">
        <v>100876</v>
      </c>
      <c r="D147" s="5" t="inlineStr">
        <is>
          <t>100876</t>
        </is>
      </c>
    </row>
    <row r="148">
      <c r="A148" s="5" t="inlineStr">
        <is>
          <t>Customs Brokerage – Overall</t>
        </is>
      </c>
      <c r="B148" s="5" t="inlineStr">
        <is>
          <t>TRANSPORTES AEREOS PORTUGUESES SA</t>
        </is>
      </c>
      <c r="C148" s="5" t="n">
        <v>100877</v>
      </c>
      <c r="D148" s="5" t="inlineStr">
        <is>
          <t>100877</t>
        </is>
      </c>
    </row>
    <row r="149">
      <c r="A149" s="5" t="inlineStr">
        <is>
          <t>Operational Suppliers (Wind Farms)</t>
        </is>
      </c>
      <c r="B149" s="5" t="inlineStr">
        <is>
          <t>QUELMAR TRANSPORTES LTDA</t>
        </is>
      </c>
      <c r="C149" s="5" t="n">
        <v>100883</v>
      </c>
      <c r="D149" s="5" t="inlineStr">
        <is>
          <t>100883</t>
        </is>
      </c>
    </row>
    <row r="150">
      <c r="A150" s="5" t="inlineStr">
        <is>
          <t>Customs Brokerage – Overall</t>
        </is>
      </c>
      <c r="B150" s="5" t="inlineStr"/>
      <c r="C150" s="5" t="n">
        <v>100893</v>
      </c>
      <c r="D150" s="5" t="inlineStr">
        <is>
          <t>100893</t>
        </is>
      </c>
    </row>
    <row r="151">
      <c r="A151" s="5" t="inlineStr">
        <is>
          <t>Operational Suppliers (Wind Farms)</t>
        </is>
      </c>
      <c r="B151" s="5" t="inlineStr"/>
      <c r="C151" s="5" t="n">
        <v>100903</v>
      </c>
      <c r="D151" s="5" t="inlineStr">
        <is>
          <t>100903</t>
        </is>
      </c>
    </row>
    <row r="152">
      <c r="A152" s="5" t="inlineStr">
        <is>
          <t>Other Suppliers</t>
        </is>
      </c>
      <c r="B152" s="5" t="inlineStr">
        <is>
          <t>R &amp; G TELECOM LTDA</t>
        </is>
      </c>
      <c r="C152" s="5" t="n">
        <v>100906</v>
      </c>
      <c r="D152" s="5" t="inlineStr">
        <is>
          <t>100906</t>
        </is>
      </c>
    </row>
    <row r="153">
      <c r="A153" s="5" t="inlineStr">
        <is>
          <t>Operational Suppliers (Wind Farms)</t>
        </is>
      </c>
      <c r="B153" s="5" t="inlineStr">
        <is>
          <t>Unimacts Global LLC</t>
        </is>
      </c>
      <c r="C153" s="5" t="n">
        <v>100908</v>
      </c>
      <c r="D153" s="5" t="inlineStr">
        <is>
          <t>100908</t>
        </is>
      </c>
    </row>
    <row r="154">
      <c r="A154" s="5" t="inlineStr">
        <is>
          <t>Other Suppliers</t>
        </is>
      </c>
      <c r="B154" s="5" t="inlineStr">
        <is>
          <t>FCG COMERCIO DE ALIMENTOS LTDA</t>
        </is>
      </c>
      <c r="C154" s="5" t="n">
        <v>100909</v>
      </c>
      <c r="D154" s="5" t="inlineStr">
        <is>
          <t>100909</t>
        </is>
      </c>
    </row>
    <row r="155">
      <c r="A155" s="5" t="inlineStr">
        <is>
          <t>Customs Brokerage – Overall</t>
        </is>
      </c>
      <c r="B155" s="5" t="inlineStr">
        <is>
          <t>DSV AIR E SEA BRASIL LTDA</t>
        </is>
      </c>
      <c r="C155" s="5" t="n">
        <v>100910</v>
      </c>
      <c r="D155" s="5" t="inlineStr">
        <is>
          <t>100910</t>
        </is>
      </c>
    </row>
    <row r="156">
      <c r="A156" s="5" t="inlineStr">
        <is>
          <t>Other Suppliers</t>
        </is>
      </c>
      <c r="B156" s="5" t="inlineStr">
        <is>
          <t>SRJ Peety Steels Pvt Ltd</t>
        </is>
      </c>
      <c r="C156" s="5" t="n">
        <v>100916</v>
      </c>
      <c r="D156" s="5" t="inlineStr">
        <is>
          <t>100916</t>
        </is>
      </c>
    </row>
    <row r="157">
      <c r="A157" s="5" t="inlineStr">
        <is>
          <t>Other Suppliers</t>
        </is>
      </c>
      <c r="B157" s="5" t="inlineStr">
        <is>
          <t>GREENLEGIS SERVIÇOS EM MANUTENÇÃO</t>
        </is>
      </c>
      <c r="C157" s="5" t="n">
        <v>100917</v>
      </c>
      <c r="D157" s="5" t="inlineStr">
        <is>
          <t>100917</t>
        </is>
      </c>
    </row>
    <row r="158">
      <c r="A158" s="5" t="inlineStr">
        <is>
          <t>Customs Brokerage – Overall</t>
        </is>
      </c>
      <c r="B158" s="5" t="inlineStr">
        <is>
          <t>DSV SOLUTIONS BRASIL SERVICOS DE LO</t>
        </is>
      </c>
      <c r="C158" s="5" t="n">
        <v>100920</v>
      </c>
      <c r="D158" s="5" t="inlineStr">
        <is>
          <t>100920</t>
        </is>
      </c>
    </row>
    <row r="159">
      <c r="A159" s="5" t="inlineStr">
        <is>
          <t>Customs Brokerage – Overall</t>
        </is>
      </c>
      <c r="B159" s="5" t="inlineStr"/>
      <c r="C159" s="5" t="n">
        <v>100921</v>
      </c>
      <c r="D159" s="5" t="inlineStr">
        <is>
          <t>100921</t>
        </is>
      </c>
    </row>
    <row r="160">
      <c r="A160" s="5" t="inlineStr">
        <is>
          <t>Operational Suppliers (Wind Farms)</t>
        </is>
      </c>
      <c r="B160" s="5" t="inlineStr">
        <is>
          <t>EXPRESSO VALE REAL LTDA</t>
        </is>
      </c>
      <c r="C160" s="5" t="n">
        <v>100929</v>
      </c>
      <c r="D160" s="5" t="inlineStr">
        <is>
          <t>100929</t>
        </is>
      </c>
    </row>
    <row r="161">
      <c r="A161" s="5" t="inlineStr">
        <is>
          <t>Other Suppliers</t>
        </is>
      </c>
      <c r="B161" s="5" t="inlineStr"/>
      <c r="C161" s="5" t="n">
        <v>100932</v>
      </c>
      <c r="D161" s="5" t="inlineStr">
        <is>
          <t>100932</t>
        </is>
      </c>
    </row>
    <row r="162">
      <c r="A162" s="5" t="inlineStr">
        <is>
          <t>Operational Suppliers (Wind Farms)</t>
        </is>
      </c>
      <c r="B162" s="5" t="inlineStr"/>
      <c r="C162" s="5" t="n">
        <v>100940</v>
      </c>
      <c r="D162" s="5" t="inlineStr">
        <is>
          <t>100940</t>
        </is>
      </c>
    </row>
    <row r="163">
      <c r="A163" s="5" t="inlineStr">
        <is>
          <t>Legal Services Suppliers</t>
        </is>
      </c>
      <c r="B163" s="5" t="inlineStr"/>
      <c r="C163" s="5" t="n">
        <v>100949</v>
      </c>
      <c r="D163" s="5" t="inlineStr">
        <is>
          <t>100949</t>
        </is>
      </c>
    </row>
    <row r="164">
      <c r="A164" s="5" t="inlineStr">
        <is>
          <t>Operational Suppliers (Wind Farms)</t>
        </is>
      </c>
      <c r="B164" s="5" t="inlineStr">
        <is>
          <t>CONCRELOC CONCRETO LTDA</t>
        </is>
      </c>
      <c r="C164" s="5" t="n">
        <v>100951</v>
      </c>
      <c r="D164" s="5" t="inlineStr">
        <is>
          <t>100951</t>
        </is>
      </c>
    </row>
    <row r="165">
      <c r="A165" s="5" t="inlineStr">
        <is>
          <t>Customs Brokerage – Overall</t>
        </is>
      </c>
      <c r="B165" s="5" t="inlineStr"/>
      <c r="C165" s="5" t="n">
        <v>100954</v>
      </c>
      <c r="D165" s="5" t="inlineStr">
        <is>
          <t>100954</t>
        </is>
      </c>
    </row>
    <row r="166">
      <c r="A166" s="5" t="inlineStr">
        <is>
          <t>Customs Brokerage – Overall</t>
        </is>
      </c>
      <c r="B166" s="5" t="inlineStr">
        <is>
          <t>BREMER LLOYD BRAZIL LOGISTICS LTDA</t>
        </is>
      </c>
      <c r="C166" s="5" t="n">
        <v>100956</v>
      </c>
      <c r="D166" s="5" t="inlineStr">
        <is>
          <t>100956</t>
        </is>
      </c>
    </row>
    <row r="167">
      <c r="A167" s="5" t="inlineStr">
        <is>
          <t>Other Suppliers</t>
        </is>
      </c>
      <c r="B167" s="5" t="inlineStr"/>
      <c r="C167" s="5" t="n">
        <v>100960</v>
      </c>
      <c r="D167" s="5" t="inlineStr">
        <is>
          <t>100960</t>
        </is>
      </c>
    </row>
    <row r="168">
      <c r="A168" s="5" t="inlineStr">
        <is>
          <t>Consumables Suppliers</t>
        </is>
      </c>
      <c r="B168" s="5" t="inlineStr">
        <is>
          <t>VPS BRASIL SUPRIMENTOS INDUSTRIAIS</t>
        </is>
      </c>
      <c r="C168" s="5" t="n">
        <v>100961</v>
      </c>
      <c r="D168" s="5" t="inlineStr">
        <is>
          <t>100961</t>
        </is>
      </c>
    </row>
    <row r="169">
      <c r="A169" s="5" t="inlineStr">
        <is>
          <t>Operational Suppliers (Wind Farms)</t>
        </is>
      </c>
      <c r="B169" s="5" t="inlineStr"/>
      <c r="C169" s="5" t="n">
        <v>100968</v>
      </c>
      <c r="D169" s="5" t="inlineStr">
        <is>
          <t>100968</t>
        </is>
      </c>
    </row>
    <row r="170">
      <c r="A170" s="5" t="inlineStr">
        <is>
          <t>Other Suppliers</t>
        </is>
      </c>
      <c r="B170" s="5" t="inlineStr">
        <is>
          <t>RONALDO LUIS DE SOUSA</t>
        </is>
      </c>
      <c r="C170" s="5" t="n">
        <v>100969</v>
      </c>
      <c r="D170" s="5" t="inlineStr">
        <is>
          <t>100969</t>
        </is>
      </c>
    </row>
    <row r="171">
      <c r="A171" s="5" t="inlineStr">
        <is>
          <t>Other Suppliers</t>
        </is>
      </c>
      <c r="B171" s="5" t="inlineStr"/>
      <c r="C171" s="5" t="n">
        <v>100970</v>
      </c>
      <c r="D171" s="5" t="inlineStr">
        <is>
          <t>100970</t>
        </is>
      </c>
    </row>
    <row r="172">
      <c r="A172" s="5" t="inlineStr">
        <is>
          <t>Operational Suppliers (Wind Farms)</t>
        </is>
      </c>
      <c r="B172" s="5" t="inlineStr">
        <is>
          <t>MUNGI ENGINEERS PVT LTD</t>
        </is>
      </c>
      <c r="C172" s="5" t="n">
        <v>100973</v>
      </c>
      <c r="D172" s="5" t="inlineStr">
        <is>
          <t>100973</t>
        </is>
      </c>
    </row>
    <row r="173">
      <c r="A173" s="5" t="inlineStr">
        <is>
          <t>Vehicle Rental Services</t>
        </is>
      </c>
      <c r="B173" s="5" t="inlineStr"/>
      <c r="C173" s="5" t="n">
        <v>100976</v>
      </c>
      <c r="D173" s="5" t="inlineStr">
        <is>
          <t>100976</t>
        </is>
      </c>
    </row>
    <row r="174">
      <c r="A174" s="5" t="inlineStr">
        <is>
          <t>Other Suppliers</t>
        </is>
      </c>
      <c r="B174" s="5" t="inlineStr">
        <is>
          <t>CMPRO CONSULTORIA EMPRESARIAL LTDA</t>
        </is>
      </c>
      <c r="C174" s="5" t="n">
        <v>100980</v>
      </c>
      <c r="D174" s="5" t="inlineStr">
        <is>
          <t>100980</t>
        </is>
      </c>
    </row>
    <row r="175">
      <c r="A175" s="5" t="inlineStr">
        <is>
          <t>Other Suppliers</t>
        </is>
      </c>
      <c r="B175" s="5" t="inlineStr">
        <is>
          <t>P W GESTAO DE SAUDE E SEGURANÇA LTD</t>
        </is>
      </c>
      <c r="C175" s="5" t="n">
        <v>100992</v>
      </c>
      <c r="D175" s="5" t="inlineStr">
        <is>
          <t>100992</t>
        </is>
      </c>
    </row>
    <row r="176">
      <c r="A176" s="5" t="inlineStr">
        <is>
          <t>Other Suppliers</t>
        </is>
      </c>
      <c r="B176" s="5" t="inlineStr"/>
      <c r="C176" s="5" t="n">
        <v>100993</v>
      </c>
      <c r="D176" s="5" t="inlineStr">
        <is>
          <t>100993</t>
        </is>
      </c>
    </row>
    <row r="177">
      <c r="A177" s="5" t="inlineStr">
        <is>
          <t>Other Suppliers</t>
        </is>
      </c>
      <c r="B177" s="5" t="inlineStr">
        <is>
          <t>P W TREINAMENTO E CAPACITACOES LTDA</t>
        </is>
      </c>
      <c r="C177" s="5" t="n">
        <v>100994</v>
      </c>
      <c r="D177" s="5" t="inlineStr">
        <is>
          <t>100994</t>
        </is>
      </c>
    </row>
    <row r="178">
      <c r="A178" s="5" t="inlineStr">
        <is>
          <t>Customs Brokerage – Overall</t>
        </is>
      </c>
      <c r="B178" s="5" t="inlineStr"/>
      <c r="C178" s="5" t="n">
        <v>101001</v>
      </c>
      <c r="D178" s="5" t="inlineStr">
        <is>
          <t>101001</t>
        </is>
      </c>
    </row>
    <row r="179">
      <c r="A179" s="5" t="inlineStr">
        <is>
          <t>Other Suppliers</t>
        </is>
      </c>
      <c r="B179" s="5" t="inlineStr">
        <is>
          <t>SOLO PROJETOS LTDA</t>
        </is>
      </c>
      <c r="C179" s="5" t="n">
        <v>101005</v>
      </c>
      <c r="D179" s="5" t="inlineStr">
        <is>
          <t>101005</t>
        </is>
      </c>
    </row>
    <row r="180">
      <c r="A180" s="5" t="inlineStr">
        <is>
          <t>Taxes Payable</t>
        </is>
      </c>
      <c r="B180" s="5" t="inlineStr">
        <is>
          <t>MUNICIPIO DE SAO BENTO DO NORTE</t>
        </is>
      </c>
      <c r="C180" s="5" t="n">
        <v>101006</v>
      </c>
      <c r="D180" s="5" t="inlineStr">
        <is>
          <t>101006</t>
        </is>
      </c>
    </row>
    <row r="181">
      <c r="A181" s="5" t="inlineStr">
        <is>
          <t>Other Suppliers</t>
        </is>
      </c>
      <c r="B181" s="5" t="inlineStr">
        <is>
          <t>SANTA BARBARA TRANSPORTES E LOGISTI</t>
        </is>
      </c>
      <c r="C181" s="5" t="n">
        <v>101007</v>
      </c>
      <c r="D181" s="5" t="inlineStr">
        <is>
          <t>101007</t>
        </is>
      </c>
    </row>
    <row r="182">
      <c r="A182" s="5" t="inlineStr">
        <is>
          <t>Operational Suppliers (Wind Farms)</t>
        </is>
      </c>
      <c r="B182" s="5" t="inlineStr">
        <is>
          <t>OXIGENIO IRECE LTDA</t>
        </is>
      </c>
      <c r="C182" s="5" t="n">
        <v>101008</v>
      </c>
      <c r="D182" s="5" t="inlineStr">
        <is>
          <t>101008</t>
        </is>
      </c>
    </row>
    <row r="183">
      <c r="A183" s="5" t="inlineStr">
        <is>
          <t>Social charges</t>
        </is>
      </c>
      <c r="B183" s="5" t="inlineStr"/>
      <c r="C183" s="5" t="n">
        <v>101009</v>
      </c>
      <c r="D183" s="5" t="inlineStr">
        <is>
          <t>101009</t>
        </is>
      </c>
    </row>
    <row r="184">
      <c r="A184" s="5" t="inlineStr">
        <is>
          <t>Operational Suppliers (Wind Farms)</t>
        </is>
      </c>
      <c r="B184" s="5" t="inlineStr">
        <is>
          <t>THYSSENKRUPP BRASIL LTDA</t>
        </is>
      </c>
      <c r="C184" s="5" t="n">
        <v>101011</v>
      </c>
      <c r="D184" s="5" t="inlineStr">
        <is>
          <t>101011</t>
        </is>
      </c>
    </row>
    <row r="185">
      <c r="A185" s="5" t="inlineStr">
        <is>
          <t>Operational Suppliers (Wind Farms)</t>
        </is>
      </c>
      <c r="B185" s="5" t="inlineStr">
        <is>
          <t>CELMAR COMERCIAL E IMPORTADORA LIMI</t>
        </is>
      </c>
      <c r="C185" s="5" t="n">
        <v>101018</v>
      </c>
      <c r="D185" s="5" t="inlineStr">
        <is>
          <t>101018</t>
        </is>
      </c>
    </row>
    <row r="186">
      <c r="A186" s="5" t="inlineStr">
        <is>
          <t>Other Suppliers</t>
        </is>
      </c>
      <c r="B186" s="5" t="inlineStr"/>
      <c r="C186" s="5" t="n">
        <v>101019</v>
      </c>
      <c r="D186" s="5" t="inlineStr">
        <is>
          <t>101019</t>
        </is>
      </c>
    </row>
    <row r="187">
      <c r="A187" s="5" t="inlineStr">
        <is>
          <t>Other Suppliers</t>
        </is>
      </c>
      <c r="B187" s="5" t="inlineStr">
        <is>
          <t>CSI SERVICOS DE BPO E TECN DA INFOR</t>
        </is>
      </c>
      <c r="C187" s="5" t="n">
        <v>101021</v>
      </c>
      <c r="D187" s="5" t="inlineStr">
        <is>
          <t>101021</t>
        </is>
      </c>
    </row>
    <row r="188">
      <c r="A188" s="5" t="inlineStr">
        <is>
          <t>Legal Services Suppliers</t>
        </is>
      </c>
      <c r="B188" s="5" t="inlineStr"/>
      <c r="C188" s="5" t="n">
        <v>101023</v>
      </c>
      <c r="D188" s="5" t="inlineStr">
        <is>
          <t>101023</t>
        </is>
      </c>
    </row>
    <row r="189">
      <c r="A189" s="5" t="inlineStr">
        <is>
          <t>Customs Brokerage – Overall</t>
        </is>
      </c>
      <c r="B189" s="5" t="inlineStr"/>
      <c r="C189" s="5" t="n">
        <v>101025</v>
      </c>
      <c r="D189" s="5" t="inlineStr">
        <is>
          <t>101025</t>
        </is>
      </c>
    </row>
    <row r="190">
      <c r="A190" s="5" t="inlineStr">
        <is>
          <t>Other Suppliers</t>
        </is>
      </c>
      <c r="B190" s="5" t="inlineStr"/>
      <c r="C190" s="5" t="n">
        <v>101027</v>
      </c>
      <c r="D190" s="5" t="inlineStr">
        <is>
          <t>101027</t>
        </is>
      </c>
    </row>
    <row r="191">
      <c r="A191" s="5" t="inlineStr">
        <is>
          <t>Other Suppliers</t>
        </is>
      </c>
      <c r="B191" s="5" t="inlineStr"/>
      <c r="C191" s="5" t="n">
        <v>101028</v>
      </c>
      <c r="D191" s="5" t="inlineStr">
        <is>
          <t>101028</t>
        </is>
      </c>
    </row>
    <row r="192">
      <c r="A192" s="5" t="inlineStr">
        <is>
          <t>Legal Services Suppliers</t>
        </is>
      </c>
      <c r="B192" s="5" t="inlineStr">
        <is>
          <t>ISAAC ALCANTARA SOC INDIV DE ADVOCA</t>
        </is>
      </c>
      <c r="C192" s="5" t="n">
        <v>101030</v>
      </c>
      <c r="D192" s="5" t="inlineStr">
        <is>
          <t>101030</t>
        </is>
      </c>
    </row>
    <row r="193">
      <c r="A193" s="5" t="inlineStr">
        <is>
          <t>Operational Suppliers (Wind Farms)</t>
        </is>
      </c>
      <c r="B193" s="5" t="inlineStr"/>
      <c r="C193" s="5" t="n">
        <v>101036</v>
      </c>
      <c r="D193" s="5" t="inlineStr">
        <is>
          <t>101036</t>
        </is>
      </c>
    </row>
    <row r="194">
      <c r="A194" s="5" t="inlineStr">
        <is>
          <t>Other Suppliers</t>
        </is>
      </c>
      <c r="B194" s="5" t="inlineStr"/>
      <c r="C194" s="5" t="n">
        <v>101039</v>
      </c>
      <c r="D194" s="5" t="inlineStr">
        <is>
          <t>101039</t>
        </is>
      </c>
    </row>
    <row r="195">
      <c r="A195" s="5" t="inlineStr">
        <is>
          <t>Customs Brokerage – Overall</t>
        </is>
      </c>
      <c r="B195" s="5" t="inlineStr"/>
      <c r="C195" s="5" t="n">
        <v>101040</v>
      </c>
      <c r="D195" s="5" t="inlineStr">
        <is>
          <t>101040</t>
        </is>
      </c>
    </row>
    <row r="196">
      <c r="A196" s="5" t="inlineStr">
        <is>
          <t>Customs Brokerage – Overall</t>
        </is>
      </c>
      <c r="B196" s="5" t="inlineStr">
        <is>
          <t>DSV UTI AIR &amp; SEA AGENCIAMENTO DE T</t>
        </is>
      </c>
      <c r="C196" s="5" t="n">
        <v>101041</v>
      </c>
      <c r="D196" s="5" t="inlineStr">
        <is>
          <t>101041</t>
        </is>
      </c>
    </row>
    <row r="197">
      <c r="A197" s="5" t="inlineStr">
        <is>
          <t>Customs Brokerage – Overall</t>
        </is>
      </c>
      <c r="B197" s="5" t="inlineStr">
        <is>
          <t>AEROPORTO BRASIL VIRACOPOS SA</t>
        </is>
      </c>
      <c r="C197" s="5" t="n">
        <v>101043</v>
      </c>
      <c r="D197" s="5" t="inlineStr">
        <is>
          <t>101043</t>
        </is>
      </c>
    </row>
    <row r="198">
      <c r="A198" s="5" t="inlineStr">
        <is>
          <t>Other Suppliers</t>
        </is>
      </c>
      <c r="B198" s="5" t="inlineStr"/>
      <c r="C198" s="5" t="n">
        <v>101044</v>
      </c>
      <c r="D198" s="5" t="inlineStr">
        <is>
          <t>101044</t>
        </is>
      </c>
    </row>
    <row r="199">
      <c r="A199" s="5" t="inlineStr">
        <is>
          <t>Operational Suppliers (Wind Farms)</t>
        </is>
      </c>
      <c r="B199" s="5" t="inlineStr">
        <is>
          <t>WILSON SONS LOGISTICA LTDA</t>
        </is>
      </c>
      <c r="C199" s="5" t="n">
        <v>101045</v>
      </c>
      <c r="D199" s="5" t="inlineStr">
        <is>
          <t>101045</t>
        </is>
      </c>
    </row>
    <row r="200">
      <c r="A200" s="5" t="inlineStr">
        <is>
          <t>Other Suppliers</t>
        </is>
      </c>
      <c r="B200" s="5" t="inlineStr"/>
      <c r="C200" s="5" t="n">
        <v>101046</v>
      </c>
      <c r="D200" s="5" t="inlineStr">
        <is>
          <t>101046</t>
        </is>
      </c>
    </row>
    <row r="201">
      <c r="A201" s="5" t="inlineStr">
        <is>
          <t>Other Suppliers</t>
        </is>
      </c>
      <c r="B201" s="5" t="inlineStr">
        <is>
          <t>M R DE MEDEIROS</t>
        </is>
      </c>
      <c r="C201" s="5" t="n">
        <v>101048</v>
      </c>
      <c r="D201" s="5" t="inlineStr">
        <is>
          <t>101048</t>
        </is>
      </c>
    </row>
    <row r="202">
      <c r="A202" s="5" t="inlineStr">
        <is>
          <t>Other Suppliers</t>
        </is>
      </c>
      <c r="B202" s="5" t="inlineStr"/>
      <c r="C202" s="5" t="n">
        <v>101050</v>
      </c>
      <c r="D202" s="5" t="inlineStr">
        <is>
          <t>101050</t>
        </is>
      </c>
    </row>
    <row r="203">
      <c r="A203" s="5" t="inlineStr">
        <is>
          <t>Other Suppliers</t>
        </is>
      </c>
      <c r="B203" s="5" t="inlineStr">
        <is>
          <t>MEGALIFT LOCACAO E TRANSP INTERM LT</t>
        </is>
      </c>
      <c r="C203" s="5" t="n">
        <v>101052</v>
      </c>
      <c r="D203" s="5" t="inlineStr">
        <is>
          <t>101052</t>
        </is>
      </c>
    </row>
    <row r="204">
      <c r="A204" s="5" t="inlineStr">
        <is>
          <t>Operational Suppliers (Wind Farms)</t>
        </is>
      </c>
      <c r="B204" s="5" t="inlineStr">
        <is>
          <t>NLA LATINOAMERICANA LOGISTICA LTDA</t>
        </is>
      </c>
      <c r="C204" s="5" t="n">
        <v>101053</v>
      </c>
      <c r="D204" s="5" t="inlineStr">
        <is>
          <t>101053</t>
        </is>
      </c>
    </row>
    <row r="205">
      <c r="A205" s="5" t="inlineStr">
        <is>
          <t>Other Suppliers</t>
        </is>
      </c>
      <c r="B205" s="5" t="inlineStr">
        <is>
          <t>CAMARA DE COMER ENERGIA ELETRICA CC</t>
        </is>
      </c>
      <c r="C205" s="5" t="n">
        <v>101056</v>
      </c>
      <c r="D205" s="5" t="inlineStr">
        <is>
          <t>101056</t>
        </is>
      </c>
    </row>
    <row r="206">
      <c r="A206" s="5" t="inlineStr">
        <is>
          <t>Other Suppliers</t>
        </is>
      </c>
      <c r="B206" s="5" t="inlineStr">
        <is>
          <t>NC ENERGIA S A</t>
        </is>
      </c>
      <c r="C206" s="5" t="n">
        <v>101057</v>
      </c>
      <c r="D206" s="5" t="inlineStr">
        <is>
          <t>101057</t>
        </is>
      </c>
    </row>
    <row r="207">
      <c r="A207" s="5" t="inlineStr">
        <is>
          <t>Other Suppliers</t>
        </is>
      </c>
      <c r="B207" s="5" t="inlineStr"/>
      <c r="C207" s="5" t="n">
        <v>101064</v>
      </c>
      <c r="D207" s="5" t="inlineStr">
        <is>
          <t>101064</t>
        </is>
      </c>
    </row>
    <row r="208">
      <c r="A208" s="5" t="inlineStr">
        <is>
          <t>Other Suppliers</t>
        </is>
      </c>
      <c r="B208" s="5" t="inlineStr"/>
      <c r="C208" s="5" t="n">
        <v>101069</v>
      </c>
      <c r="D208" s="5" t="inlineStr">
        <is>
          <t>101069</t>
        </is>
      </c>
    </row>
    <row r="209">
      <c r="A209" s="5" t="inlineStr">
        <is>
          <t>Customs Brokerage – Overall</t>
        </is>
      </c>
      <c r="B209" s="5" t="inlineStr">
        <is>
          <t>CUSTOM COMERCIO INTERNACIONAL LTDA</t>
        </is>
      </c>
      <c r="C209" s="5" t="n">
        <v>101071</v>
      </c>
      <c r="D209" s="5" t="inlineStr">
        <is>
          <t>101071</t>
        </is>
      </c>
    </row>
    <row r="210">
      <c r="A210" s="5" t="inlineStr">
        <is>
          <t>Operational Suppliers (Wind Farms)</t>
        </is>
      </c>
      <c r="B210" s="5" t="inlineStr"/>
      <c r="C210" s="5" t="n">
        <v>101074</v>
      </c>
      <c r="D210" s="5" t="inlineStr">
        <is>
          <t>101074</t>
        </is>
      </c>
    </row>
    <row r="211">
      <c r="A211" s="5" t="inlineStr">
        <is>
          <t>Consumables Suppliers</t>
        </is>
      </c>
      <c r="B211" s="5" t="inlineStr"/>
      <c r="C211" s="5" t="n">
        <v>101075</v>
      </c>
      <c r="D211" s="5" t="inlineStr">
        <is>
          <t>101075</t>
        </is>
      </c>
    </row>
    <row r="212">
      <c r="A212" s="5" t="inlineStr">
        <is>
          <t>Operational Suppliers (Wind Farms)</t>
        </is>
      </c>
      <c r="B212" s="5" t="inlineStr"/>
      <c r="C212" s="5" t="n">
        <v>101080</v>
      </c>
      <c r="D212" s="5" t="inlineStr">
        <is>
          <t>101080</t>
        </is>
      </c>
    </row>
    <row r="213">
      <c r="A213" s="5" t="inlineStr">
        <is>
          <t>Other Suppliers</t>
        </is>
      </c>
      <c r="B213" s="5" t="inlineStr"/>
      <c r="C213" s="5" t="n">
        <v>101083</v>
      </c>
      <c r="D213" s="5" t="inlineStr">
        <is>
          <t>101083</t>
        </is>
      </c>
    </row>
    <row r="214">
      <c r="A214" s="5" t="inlineStr">
        <is>
          <t>Other Suppliers</t>
        </is>
      </c>
      <c r="B214" s="5" t="inlineStr"/>
      <c r="C214" s="5" t="n">
        <v>101086</v>
      </c>
      <c r="D214" s="5" t="inlineStr">
        <is>
          <t>101086</t>
        </is>
      </c>
    </row>
    <row r="215">
      <c r="A215" s="5" t="inlineStr">
        <is>
          <t>Operational Suppliers (Wind Farms)</t>
        </is>
      </c>
      <c r="B215" s="5" t="inlineStr"/>
      <c r="C215" s="5" t="n">
        <v>101091</v>
      </c>
      <c r="D215" s="5" t="inlineStr">
        <is>
          <t>101091</t>
        </is>
      </c>
    </row>
    <row r="216">
      <c r="A216" s="5" t="inlineStr">
        <is>
          <t>Operational Suppliers (Wind Farms)</t>
        </is>
      </c>
      <c r="B216" s="5" t="inlineStr">
        <is>
          <t>HAILO SISTEMAS METALICOS LTDA</t>
        </is>
      </c>
      <c r="C216" s="5" t="n">
        <v>101095</v>
      </c>
      <c r="D216" s="5" t="inlineStr">
        <is>
          <t>101095</t>
        </is>
      </c>
    </row>
    <row r="217">
      <c r="A217" s="5" t="inlineStr">
        <is>
          <t>Operational Suppliers (Wind Farms)</t>
        </is>
      </c>
      <c r="B217" s="5" t="inlineStr">
        <is>
          <t>RUDLOFF INDUSTRIAL LTDA</t>
        </is>
      </c>
      <c r="C217" s="5" t="n">
        <v>101096</v>
      </c>
      <c r="D217" s="5" t="inlineStr">
        <is>
          <t>101096</t>
        </is>
      </c>
    </row>
    <row r="218">
      <c r="A218" s="5" t="inlineStr">
        <is>
          <t>Operational Suppliers (Wind Farms)</t>
        </is>
      </c>
      <c r="B218" s="5" t="inlineStr"/>
      <c r="C218" s="5" t="n">
        <v>101097</v>
      </c>
      <c r="D218" s="5" t="inlineStr">
        <is>
          <t>101097</t>
        </is>
      </c>
    </row>
    <row r="219">
      <c r="A219" s="5" t="inlineStr">
        <is>
          <t>Operational Suppliers (Wind Farms)</t>
        </is>
      </c>
      <c r="B219" s="5" t="inlineStr">
        <is>
          <t>HYDAC TECNOLOGIA LTDA</t>
        </is>
      </c>
      <c r="C219" s="5" t="n">
        <v>101099</v>
      </c>
      <c r="D219" s="5" t="inlineStr">
        <is>
          <t>101099</t>
        </is>
      </c>
    </row>
    <row r="220">
      <c r="A220" s="5" t="inlineStr">
        <is>
          <t>Other Suppliers</t>
        </is>
      </c>
      <c r="B220" s="5" t="inlineStr"/>
      <c r="C220" s="5" t="n">
        <v>101103</v>
      </c>
      <c r="D220" s="5" t="inlineStr">
        <is>
          <t>101103</t>
        </is>
      </c>
    </row>
    <row r="221">
      <c r="A221" s="5" t="inlineStr">
        <is>
          <t>Other Suppliers</t>
        </is>
      </c>
      <c r="B221" s="5" t="inlineStr">
        <is>
          <t>IMUNIZADORA POTYGUAR E SERVICOS LTD</t>
        </is>
      </c>
      <c r="C221" s="5" t="n">
        <v>101105</v>
      </c>
      <c r="D221" s="5" t="inlineStr">
        <is>
          <t>101105</t>
        </is>
      </c>
    </row>
    <row r="222">
      <c r="A222" s="5" t="inlineStr">
        <is>
          <t>Other Suppliers</t>
        </is>
      </c>
      <c r="B222" s="5" t="inlineStr"/>
      <c r="C222" s="5" t="n">
        <v>101106</v>
      </c>
      <c r="D222" s="5" t="inlineStr">
        <is>
          <t>101106</t>
        </is>
      </c>
    </row>
    <row r="223">
      <c r="A223" s="5" t="inlineStr">
        <is>
          <t>Other Suppliers</t>
        </is>
      </c>
      <c r="B223" s="5" t="inlineStr"/>
      <c r="C223" s="5" t="n">
        <v>101110</v>
      </c>
      <c r="D223" s="5" t="inlineStr">
        <is>
          <t>101110</t>
        </is>
      </c>
    </row>
    <row r="224">
      <c r="A224" s="5" t="inlineStr">
        <is>
          <t>Consumables Suppliers</t>
        </is>
      </c>
      <c r="B224" s="5" t="inlineStr"/>
      <c r="C224" s="5" t="n">
        <v>101113</v>
      </c>
      <c r="D224" s="5" t="inlineStr">
        <is>
          <t>101113</t>
        </is>
      </c>
    </row>
    <row r="225">
      <c r="A225" s="5" t="inlineStr">
        <is>
          <t>Legal Services Suppliers</t>
        </is>
      </c>
      <c r="B225" s="5" t="inlineStr">
        <is>
          <t>WAITMAN &amp; SKOLIMOVSKI ADVOGADOS</t>
        </is>
      </c>
      <c r="C225" s="5" t="n">
        <v>101115</v>
      </c>
      <c r="D225" s="5" t="inlineStr">
        <is>
          <t>101115</t>
        </is>
      </c>
    </row>
    <row r="226">
      <c r="A226" s="5" t="inlineStr">
        <is>
          <t>Operational Suppliers (Wind Farms)</t>
        </is>
      </c>
      <c r="B226" s="5" t="inlineStr"/>
      <c r="C226" s="5" t="n">
        <v>101117</v>
      </c>
      <c r="D226" s="5" t="inlineStr">
        <is>
          <t>101117</t>
        </is>
      </c>
    </row>
    <row r="227">
      <c r="A227" s="5" t="inlineStr">
        <is>
          <t>Other Suppliers</t>
        </is>
      </c>
      <c r="B227" s="5" t="inlineStr"/>
      <c r="C227" s="5" t="n">
        <v>101118</v>
      </c>
      <c r="D227" s="5" t="inlineStr">
        <is>
          <t>101118</t>
        </is>
      </c>
    </row>
    <row r="228">
      <c r="A228" s="5" t="inlineStr">
        <is>
          <t>Operational Suppliers (Wind Farms)</t>
        </is>
      </c>
      <c r="B228" s="5" t="inlineStr"/>
      <c r="C228" s="5" t="n">
        <v>101123</v>
      </c>
      <c r="D228" s="5" t="inlineStr">
        <is>
          <t>101123</t>
        </is>
      </c>
    </row>
    <row r="229">
      <c r="A229" s="5" t="inlineStr">
        <is>
          <t>Operational Suppliers (Wind Farms)</t>
        </is>
      </c>
      <c r="B229" s="5" t="inlineStr"/>
      <c r="C229" s="5" t="n">
        <v>101124</v>
      </c>
      <c r="D229" s="5" t="inlineStr">
        <is>
          <t>101124</t>
        </is>
      </c>
    </row>
    <row r="230">
      <c r="A230" s="5" t="inlineStr">
        <is>
          <t>Insurance</t>
        </is>
      </c>
      <c r="B230" s="5" t="inlineStr">
        <is>
          <t>ALLIANZ SEGUROS SA USD</t>
        </is>
      </c>
      <c r="C230" s="5" t="n">
        <v>101133</v>
      </c>
      <c r="D230" s="5" t="inlineStr">
        <is>
          <t>101133</t>
        </is>
      </c>
    </row>
    <row r="231">
      <c r="A231" s="5" t="inlineStr">
        <is>
          <t>Consumables Suppliers</t>
        </is>
      </c>
      <c r="B231" s="5" t="inlineStr">
        <is>
          <t>IDEAL WORK UNIFORMES E E.P.I.S LTDA</t>
        </is>
      </c>
      <c r="C231" s="5" t="n">
        <v>101135</v>
      </c>
      <c r="D231" s="5" t="inlineStr">
        <is>
          <t>101135</t>
        </is>
      </c>
    </row>
    <row r="232">
      <c r="A232" s="5" t="inlineStr">
        <is>
          <t>Operational Suppliers (Wind Farms)</t>
        </is>
      </c>
      <c r="B232" s="5" t="inlineStr"/>
      <c r="C232" s="5" t="n">
        <v>101139</v>
      </c>
      <c r="D232" s="5" t="inlineStr">
        <is>
          <t>101139</t>
        </is>
      </c>
    </row>
    <row r="233">
      <c r="A233" s="5" t="inlineStr">
        <is>
          <t>Operational Suppliers (Wind Farms)</t>
        </is>
      </c>
      <c r="B233" s="5" t="inlineStr"/>
      <c r="C233" s="5" t="n">
        <v>101152</v>
      </c>
      <c r="D233" s="5" t="inlineStr">
        <is>
          <t>101152</t>
        </is>
      </c>
    </row>
    <row r="234">
      <c r="A234" s="5" t="inlineStr">
        <is>
          <t>Operational Suppliers (Wind Farms)</t>
        </is>
      </c>
      <c r="B234" s="5" t="inlineStr">
        <is>
          <t>TEKHELIUS PRESTAÇÃO DE SERVIÇOS LTD 37245993000171</t>
        </is>
      </c>
      <c r="C234" s="5" t="n">
        <v>101156</v>
      </c>
      <c r="D234" s="5" t="inlineStr">
        <is>
          <t>101156</t>
        </is>
      </c>
    </row>
    <row r="235">
      <c r="A235" s="5" t="inlineStr">
        <is>
          <t>Other Suppliers</t>
        </is>
      </c>
      <c r="B235" s="5" t="inlineStr">
        <is>
          <t>DOCUSIGN BRASIL SOLUCOES EM TECNOLO 05516218000117</t>
        </is>
      </c>
      <c r="C235" s="5" t="n">
        <v>101159</v>
      </c>
      <c r="D235" s="5" t="inlineStr">
        <is>
          <t>101159</t>
        </is>
      </c>
    </row>
    <row r="236">
      <c r="A236" s="5" t="inlineStr">
        <is>
          <t>Other Suppliers</t>
        </is>
      </c>
      <c r="B236" s="5" t="inlineStr"/>
      <c r="C236" s="5" t="n">
        <v>101161</v>
      </c>
      <c r="D236" s="5" t="inlineStr">
        <is>
          <t>101161</t>
        </is>
      </c>
    </row>
    <row r="237">
      <c r="A237" s="5" t="inlineStr">
        <is>
          <t>Other Suppliers</t>
        </is>
      </c>
      <c r="B237" s="5" t="inlineStr"/>
      <c r="C237" s="5" t="n">
        <v>101165</v>
      </c>
      <c r="D237" s="5" t="inlineStr">
        <is>
          <t>101165</t>
        </is>
      </c>
    </row>
    <row r="238">
      <c r="A238" s="5" t="inlineStr">
        <is>
          <t>Other Suppliers</t>
        </is>
      </c>
      <c r="B238" s="5" t="inlineStr">
        <is>
          <t>HANSA-FLEX DO BRASIL LTDA</t>
        </is>
      </c>
      <c r="C238" s="5" t="n">
        <v>101166</v>
      </c>
      <c r="D238" s="5" t="inlineStr">
        <is>
          <t>101166</t>
        </is>
      </c>
    </row>
    <row r="239">
      <c r="A239" s="5" t="inlineStr">
        <is>
          <t>Legal Services Suppliers</t>
        </is>
      </c>
      <c r="B239" s="5" t="inlineStr"/>
      <c r="C239" s="5" t="n">
        <v>101168</v>
      </c>
      <c r="D239" s="5" t="inlineStr">
        <is>
          <t>101168</t>
        </is>
      </c>
    </row>
    <row r="240">
      <c r="A240" s="5" t="inlineStr">
        <is>
          <t>Other Suppliers</t>
        </is>
      </c>
      <c r="B240" s="5" t="inlineStr">
        <is>
          <t>N D S ENGENHARIA LTDA</t>
        </is>
      </c>
      <c r="C240" s="5" t="n">
        <v>101172</v>
      </c>
      <c r="D240" s="5" t="inlineStr">
        <is>
          <t>101172</t>
        </is>
      </c>
    </row>
    <row r="241">
      <c r="A241" s="5" t="inlineStr">
        <is>
          <t>Other Suppliers</t>
        </is>
      </c>
      <c r="B241" s="5" t="inlineStr"/>
      <c r="C241" s="5" t="n">
        <v>101175</v>
      </c>
      <c r="D241" s="5" t="inlineStr">
        <is>
          <t>101175</t>
        </is>
      </c>
    </row>
    <row r="242">
      <c r="A242" s="5" t="inlineStr">
        <is>
          <t>Operational Suppliers (Wind Farms)</t>
        </is>
      </c>
      <c r="B242" s="5" t="inlineStr">
        <is>
          <t>DEUBLIN BRASIL JUNTAS ROTATIVAS DE</t>
        </is>
      </c>
      <c r="C242" s="5" t="n">
        <v>101176</v>
      </c>
      <c r="D242" s="5" t="inlineStr">
        <is>
          <t>101176</t>
        </is>
      </c>
    </row>
    <row r="243">
      <c r="A243" s="5" t="inlineStr">
        <is>
          <t>Other Suppliers</t>
        </is>
      </c>
      <c r="B243" s="5" t="inlineStr">
        <is>
          <t>ACTUANT GMBH</t>
        </is>
      </c>
      <c r="C243" s="5" t="n">
        <v>101178</v>
      </c>
      <c r="D243" s="5" t="inlineStr">
        <is>
          <t>101178</t>
        </is>
      </c>
    </row>
    <row r="244">
      <c r="A244" s="5" t="inlineStr">
        <is>
          <t>Other Suppliers</t>
        </is>
      </c>
      <c r="B244" s="5" t="inlineStr">
        <is>
          <t>GAHE GASES E TRANSPORTES EIRELI</t>
        </is>
      </c>
      <c r="C244" s="5" t="n">
        <v>101182</v>
      </c>
      <c r="D244" s="5" t="inlineStr">
        <is>
          <t>101182</t>
        </is>
      </c>
    </row>
    <row r="245">
      <c r="A245" s="5" t="inlineStr">
        <is>
          <t>Operational Suppliers (Wind Farms)</t>
        </is>
      </c>
      <c r="B245" s="5" t="inlineStr"/>
      <c r="C245" s="5" t="n">
        <v>101191</v>
      </c>
      <c r="D245" s="5" t="inlineStr">
        <is>
          <t>101191</t>
        </is>
      </c>
    </row>
    <row r="246">
      <c r="A246" s="5" t="inlineStr">
        <is>
          <t>Operational Suppliers (Wind Farms)</t>
        </is>
      </c>
      <c r="B246" s="5" t="inlineStr"/>
      <c r="C246" s="5" t="n">
        <v>101199</v>
      </c>
      <c r="D246" s="5" t="inlineStr">
        <is>
          <t>101199</t>
        </is>
      </c>
    </row>
    <row r="247">
      <c r="A247" s="5" t="inlineStr">
        <is>
          <t>Other Suppliers</t>
        </is>
      </c>
      <c r="B247" s="5" t="inlineStr">
        <is>
          <t>FUNDACAO EZUTE</t>
        </is>
      </c>
      <c r="C247" s="5" t="n">
        <v>101202</v>
      </c>
      <c r="D247" s="5" t="inlineStr">
        <is>
          <t>101202</t>
        </is>
      </c>
    </row>
    <row r="248">
      <c r="A248" s="5" t="inlineStr">
        <is>
          <t>Other Suppliers</t>
        </is>
      </c>
      <c r="B248" s="5" t="inlineStr">
        <is>
          <t>MCADOFFICES COMERCIO DE MOVEIS E MA</t>
        </is>
      </c>
      <c r="C248" s="5" t="n">
        <v>101204</v>
      </c>
      <c r="D248" s="5" t="inlineStr">
        <is>
          <t>101204</t>
        </is>
      </c>
    </row>
    <row r="249">
      <c r="A249" s="5" t="inlineStr">
        <is>
          <t>Other Suppliers</t>
        </is>
      </c>
      <c r="B249" s="5" t="inlineStr"/>
      <c r="C249" s="5" t="n">
        <v>101208</v>
      </c>
      <c r="D249" s="5" t="inlineStr">
        <is>
          <t>101208</t>
        </is>
      </c>
    </row>
    <row r="250">
      <c r="A250" s="5" t="inlineStr">
        <is>
          <t>Other Suppliers</t>
        </is>
      </c>
      <c r="B250" s="5" t="inlineStr">
        <is>
          <t>SHEKINAH SERVICOS DE USINAGEM E CAL</t>
        </is>
      </c>
      <c r="C250" s="5" t="n">
        <v>101211</v>
      </c>
      <c r="D250" s="5" t="inlineStr">
        <is>
          <t>101211</t>
        </is>
      </c>
    </row>
    <row r="251">
      <c r="A251" s="5" t="inlineStr">
        <is>
          <t>Operational Suppliers (Wind Farms)</t>
        </is>
      </c>
      <c r="B251" s="5" t="inlineStr">
        <is>
          <t>PROTENDIDOS DYWIDAG LIMITADA</t>
        </is>
      </c>
      <c r="C251" s="5" t="n">
        <v>101214</v>
      </c>
      <c r="D251" s="5" t="inlineStr">
        <is>
          <t>101214</t>
        </is>
      </c>
    </row>
    <row r="252">
      <c r="A252" s="5" t="inlineStr">
        <is>
          <t>Customs Brokerage – Overall</t>
        </is>
      </c>
      <c r="B252" s="5" t="inlineStr">
        <is>
          <t>ECOPORTO SANTOS SA</t>
        </is>
      </c>
      <c r="C252" s="5" t="n">
        <v>101215</v>
      </c>
      <c r="D252" s="5" t="inlineStr">
        <is>
          <t>101215</t>
        </is>
      </c>
    </row>
    <row r="253">
      <c r="A253" s="5" t="inlineStr">
        <is>
          <t>Taxes Payable</t>
        </is>
      </c>
      <c r="B253" s="5" t="inlineStr"/>
      <c r="C253" s="5" t="n">
        <v>101217</v>
      </c>
      <c r="D253" s="5" t="inlineStr">
        <is>
          <t>101217</t>
        </is>
      </c>
    </row>
    <row r="254">
      <c r="A254" s="5" t="inlineStr">
        <is>
          <t>Consumables Suppliers</t>
        </is>
      </c>
      <c r="B254" s="5" t="inlineStr">
        <is>
          <t>CARLSONS PRODUTOS INDUSTRIAIS LTDA</t>
        </is>
      </c>
      <c r="C254" s="5" t="n">
        <v>101218</v>
      </c>
      <c r="D254" s="5" t="inlineStr">
        <is>
          <t>101218</t>
        </is>
      </c>
    </row>
    <row r="255">
      <c r="A255" s="5" t="inlineStr">
        <is>
          <t>Consumables Suppliers</t>
        </is>
      </c>
      <c r="B255" s="5" t="inlineStr"/>
      <c r="C255" s="5" t="n">
        <v>101220</v>
      </c>
      <c r="D255" s="5" t="inlineStr">
        <is>
          <t>101220</t>
        </is>
      </c>
    </row>
    <row r="256">
      <c r="A256" s="5" t="inlineStr">
        <is>
          <t>Operational Suppliers (Wind Farms)</t>
        </is>
      </c>
      <c r="B256" s="5" t="inlineStr"/>
      <c r="C256" s="5" t="n">
        <v>101221</v>
      </c>
      <c r="D256" s="5" t="inlineStr">
        <is>
          <t>101221</t>
        </is>
      </c>
    </row>
    <row r="257">
      <c r="A257" s="5" t="inlineStr">
        <is>
          <t>Other Suppliers</t>
        </is>
      </c>
      <c r="B257" s="5" t="inlineStr">
        <is>
          <t>AGROPECUARIA CANOA MIRIM SA</t>
        </is>
      </c>
      <c r="C257" s="5" t="n">
        <v>101222</v>
      </c>
      <c r="D257" s="5" t="inlineStr">
        <is>
          <t>101222</t>
        </is>
      </c>
    </row>
    <row r="258">
      <c r="A258" s="5" t="inlineStr">
        <is>
          <t>Other Suppliers</t>
        </is>
      </c>
      <c r="B258" s="5" t="inlineStr">
        <is>
          <t>AL WIND SOLUCOES LTDA</t>
        </is>
      </c>
      <c r="C258" s="5" t="n">
        <v>101226</v>
      </c>
      <c r="D258" s="5" t="inlineStr">
        <is>
          <t>101226</t>
        </is>
      </c>
    </row>
    <row r="259">
      <c r="A259" s="5" t="inlineStr">
        <is>
          <t>Other Suppliers</t>
        </is>
      </c>
      <c r="B259" s="5" t="inlineStr">
        <is>
          <t>EDIFICIO ATRIUM VI COM</t>
        </is>
      </c>
      <c r="C259" s="5" t="n">
        <v>101228</v>
      </c>
      <c r="D259" s="5" t="inlineStr">
        <is>
          <t>101228</t>
        </is>
      </c>
    </row>
    <row r="260">
      <c r="A260" s="5" t="inlineStr">
        <is>
          <t>Other Suppliers</t>
        </is>
      </c>
      <c r="B260" s="5" t="inlineStr">
        <is>
          <t>TRANSDATA ENGENHARIA E MOVIMENTACAO</t>
        </is>
      </c>
      <c r="C260" s="5" t="n">
        <v>101232</v>
      </c>
      <c r="D260" s="5" t="inlineStr">
        <is>
          <t>101232</t>
        </is>
      </c>
    </row>
    <row r="261">
      <c r="A261" s="5" t="inlineStr">
        <is>
          <t>Customs Brokerage – Overall</t>
        </is>
      </c>
      <c r="B261" s="5" t="inlineStr">
        <is>
          <t>EURO AMERICA ASSESSORIA DESPACHOS</t>
        </is>
      </c>
      <c r="C261" s="5" t="n">
        <v>101237</v>
      </c>
      <c r="D261" s="5" t="inlineStr">
        <is>
          <t>101237</t>
        </is>
      </c>
    </row>
    <row r="262">
      <c r="A262" s="5" t="inlineStr">
        <is>
          <t>Operational Suppliers (Wind Farms)</t>
        </is>
      </c>
      <c r="B262" s="5" t="inlineStr"/>
      <c r="C262" s="5" t="n">
        <v>101243</v>
      </c>
      <c r="D262" s="5" t="inlineStr">
        <is>
          <t>101243</t>
        </is>
      </c>
    </row>
    <row r="263">
      <c r="A263" s="5" t="inlineStr">
        <is>
          <t>Facilities</t>
        </is>
      </c>
      <c r="B263" s="5" t="inlineStr">
        <is>
          <t>CIA DE SANEAMENTO BASICO DO ESTADO</t>
        </is>
      </c>
      <c r="C263" s="5" t="n">
        <v>101247</v>
      </c>
      <c r="D263" s="5" t="inlineStr">
        <is>
          <t>101247</t>
        </is>
      </c>
    </row>
    <row r="264">
      <c r="A264" s="5" t="inlineStr">
        <is>
          <t>Other Suppliers</t>
        </is>
      </c>
      <c r="B264" s="5" t="inlineStr">
        <is>
          <t>ALTUS SISTEMAS DE AUTOMACAO SA</t>
        </is>
      </c>
      <c r="C264" s="5" t="n">
        <v>101253</v>
      </c>
      <c r="D264" s="5" t="inlineStr">
        <is>
          <t>101253</t>
        </is>
      </c>
    </row>
    <row r="265">
      <c r="A265" s="5" t="inlineStr">
        <is>
          <t>Other Suppliers</t>
        </is>
      </c>
      <c r="B265" s="5" t="inlineStr">
        <is>
          <t>AGENCIA BRASILEIRA DE METEOROLOGIA</t>
        </is>
      </c>
      <c r="C265" s="5" t="n">
        <v>101254</v>
      </c>
      <c r="D265" s="5" t="inlineStr">
        <is>
          <t>101254</t>
        </is>
      </c>
    </row>
    <row r="266">
      <c r="A266" s="5" t="inlineStr">
        <is>
          <t>Operational Suppliers (Wind Farms)</t>
        </is>
      </c>
      <c r="B266" s="5" t="inlineStr">
        <is>
          <t>WILSON SONS LOGISTICA LTDA</t>
        </is>
      </c>
      <c r="C266" s="5" t="n">
        <v>101255</v>
      </c>
      <c r="D266" s="5" t="inlineStr">
        <is>
          <t>101255</t>
        </is>
      </c>
    </row>
    <row r="267">
      <c r="A267" s="5" t="inlineStr">
        <is>
          <t>Other Suppliers</t>
        </is>
      </c>
      <c r="B267" s="5" t="inlineStr">
        <is>
          <t>ECOLOGICA NORDESTE EIRELI ME</t>
        </is>
      </c>
      <c r="C267" s="5" t="n">
        <v>101260</v>
      </c>
      <c r="D267" s="5" t="inlineStr">
        <is>
          <t>101260</t>
        </is>
      </c>
    </row>
    <row r="268">
      <c r="A268" s="5" t="inlineStr">
        <is>
          <t>Other Suppliers</t>
        </is>
      </c>
      <c r="B268" s="5" t="inlineStr">
        <is>
          <t>NET2PHONE BRASIL TELECOMUNICAÇÕES L</t>
        </is>
      </c>
      <c r="C268" s="5" t="n">
        <v>101265</v>
      </c>
      <c r="D268" s="5" t="inlineStr">
        <is>
          <t>101265</t>
        </is>
      </c>
    </row>
    <row r="269">
      <c r="A269" s="5" t="inlineStr">
        <is>
          <t>Other Suppliers</t>
        </is>
      </c>
      <c r="B269" s="5" t="inlineStr">
        <is>
          <t>CERTISIGN CERTIFICADORA DIGITAL SA</t>
        </is>
      </c>
      <c r="C269" s="5" t="n">
        <v>101269</v>
      </c>
      <c r="D269" s="5" t="inlineStr">
        <is>
          <t>101269</t>
        </is>
      </c>
    </row>
    <row r="270">
      <c r="A270" s="5" t="inlineStr">
        <is>
          <t>Other Suppliers</t>
        </is>
      </c>
      <c r="B270" s="5" t="inlineStr"/>
      <c r="C270" s="5" t="n">
        <v>101270</v>
      </c>
      <c r="D270" s="5" t="inlineStr">
        <is>
          <t>101270</t>
        </is>
      </c>
    </row>
    <row r="271">
      <c r="A271" s="5" t="inlineStr">
        <is>
          <t>Other Suppliers</t>
        </is>
      </c>
      <c r="B271" s="5" t="inlineStr">
        <is>
          <t>UNYVERSE PTE LTD</t>
        </is>
      </c>
      <c r="C271" s="5" t="n">
        <v>101271</v>
      </c>
      <c r="D271" s="5" t="inlineStr">
        <is>
          <t>101271</t>
        </is>
      </c>
    </row>
    <row r="272">
      <c r="A272" s="5" t="inlineStr">
        <is>
          <t>Insurance</t>
        </is>
      </c>
      <c r="B272" s="5" t="inlineStr"/>
      <c r="C272" s="5" t="n">
        <v>101283</v>
      </c>
      <c r="D272" s="5" t="inlineStr">
        <is>
          <t>101283</t>
        </is>
      </c>
    </row>
    <row r="273">
      <c r="A273" s="5" t="inlineStr">
        <is>
          <t>Operational Suppliers (Wind Farms)</t>
        </is>
      </c>
      <c r="B273" s="5" t="inlineStr"/>
      <c r="C273" s="5" t="n">
        <v>101284</v>
      </c>
      <c r="D273" s="5" t="inlineStr">
        <is>
          <t>101284</t>
        </is>
      </c>
    </row>
    <row r="274">
      <c r="A274" s="5" t="inlineStr">
        <is>
          <t>Facilities</t>
        </is>
      </c>
      <c r="B274" s="5" t="inlineStr">
        <is>
          <t>TELEFONICA BRASIL SA</t>
        </is>
      </c>
      <c r="C274" s="5" t="n">
        <v>101287</v>
      </c>
      <c r="D274" s="5" t="inlineStr">
        <is>
          <t>101287</t>
        </is>
      </c>
    </row>
    <row r="275">
      <c r="A275" s="5" t="inlineStr">
        <is>
          <t>Legal Services Suppliers</t>
        </is>
      </c>
      <c r="B275" s="5" t="inlineStr"/>
      <c r="C275" s="5" t="n">
        <v>101288</v>
      </c>
      <c r="D275" s="5" t="inlineStr">
        <is>
          <t>101288</t>
        </is>
      </c>
    </row>
    <row r="276">
      <c r="A276" s="5" t="inlineStr">
        <is>
          <t>Customs Brokerage – Overall</t>
        </is>
      </c>
      <c r="B276" s="5" t="inlineStr">
        <is>
          <t>DHUAN COMISSARIA DE DESP ADUAN LTDA</t>
        </is>
      </c>
      <c r="C276" s="5" t="n">
        <v>101289</v>
      </c>
      <c r="D276" s="5" t="inlineStr">
        <is>
          <t>101289</t>
        </is>
      </c>
    </row>
    <row r="277">
      <c r="A277" s="5" t="inlineStr">
        <is>
          <t>Other Suppliers</t>
        </is>
      </c>
      <c r="B277" s="5" t="inlineStr">
        <is>
          <t>ARTH WIND SERVICES&amp;CONSULTING EIREL</t>
        </is>
      </c>
      <c r="C277" s="5" t="n">
        <v>101290</v>
      </c>
      <c r="D277" s="5" t="inlineStr">
        <is>
          <t>101290</t>
        </is>
      </c>
    </row>
    <row r="278">
      <c r="A278" s="5" t="inlineStr">
        <is>
          <t>Social charges</t>
        </is>
      </c>
      <c r="B278" s="5" t="inlineStr"/>
      <c r="C278" s="5" t="n">
        <v>101292</v>
      </c>
      <c r="D278" s="5" t="inlineStr">
        <is>
          <t>101292</t>
        </is>
      </c>
    </row>
    <row r="279">
      <c r="A279" s="5" t="inlineStr">
        <is>
          <t>Other Suppliers</t>
        </is>
      </c>
      <c r="B279" s="5" t="inlineStr"/>
      <c r="C279" s="5" t="n">
        <v>101296</v>
      </c>
      <c r="D279" s="5" t="inlineStr">
        <is>
          <t>101296</t>
        </is>
      </c>
    </row>
    <row r="280">
      <c r="A280" s="5" t="inlineStr">
        <is>
          <t>Other Suppliers</t>
        </is>
      </c>
      <c r="B280" s="5" t="inlineStr"/>
      <c r="C280" s="5" t="n">
        <v>101297</v>
      </c>
      <c r="D280" s="5" t="inlineStr">
        <is>
          <t>101297</t>
        </is>
      </c>
    </row>
    <row r="281">
      <c r="A281" s="5" t="inlineStr">
        <is>
          <t>Other Suppliers</t>
        </is>
      </c>
      <c r="B281" s="5" t="inlineStr"/>
      <c r="C281" s="5" t="n">
        <v>101299</v>
      </c>
      <c r="D281" s="5" t="inlineStr">
        <is>
          <t>101299</t>
        </is>
      </c>
    </row>
    <row r="282">
      <c r="A282" s="5" t="inlineStr">
        <is>
          <t>Customs Brokerage – Overall</t>
        </is>
      </c>
      <c r="B282" s="5" t="inlineStr">
        <is>
          <t>GOL LINHAS AEREAS SA</t>
        </is>
      </c>
      <c r="C282" s="5" t="n">
        <v>101300</v>
      </c>
      <c r="D282" s="5" t="inlineStr">
        <is>
          <t>101300</t>
        </is>
      </c>
    </row>
    <row r="283">
      <c r="A283" s="5" t="inlineStr">
        <is>
          <t>Other Suppliers</t>
        </is>
      </c>
      <c r="B283" s="5" t="inlineStr"/>
      <c r="C283" s="5" t="n">
        <v>101304</v>
      </c>
      <c r="D283" s="5" t="inlineStr">
        <is>
          <t>101304</t>
        </is>
      </c>
    </row>
    <row r="284">
      <c r="A284" s="5" t="inlineStr">
        <is>
          <t>Legal Services Suppliers</t>
        </is>
      </c>
      <c r="B284" s="5" t="inlineStr"/>
      <c r="C284" s="5" t="n">
        <v>101305</v>
      </c>
      <c r="D284" s="5" t="inlineStr">
        <is>
          <t>101305</t>
        </is>
      </c>
    </row>
    <row r="285">
      <c r="A285" s="5" t="inlineStr">
        <is>
          <t>Legal Services Suppliers</t>
        </is>
      </c>
      <c r="B285" s="5" t="inlineStr"/>
      <c r="C285" s="5" t="n">
        <v>101309</v>
      </c>
      <c r="D285" s="5" t="inlineStr">
        <is>
          <t>101309</t>
        </is>
      </c>
    </row>
    <row r="286">
      <c r="A286" s="5" t="inlineStr">
        <is>
          <t>Facilities</t>
        </is>
      </c>
      <c r="B286" s="5" t="inlineStr"/>
      <c r="C286" s="5" t="n">
        <v>101312</v>
      </c>
      <c r="D286" s="5" t="inlineStr">
        <is>
          <t>101312</t>
        </is>
      </c>
    </row>
    <row r="287">
      <c r="A287" s="5" t="inlineStr">
        <is>
          <t>Customs Brokerage – Overall</t>
        </is>
      </c>
      <c r="B287" s="5" t="inlineStr"/>
      <c r="C287" s="5" t="n">
        <v>101316</v>
      </c>
      <c r="D287" s="5" t="inlineStr">
        <is>
          <t>101316</t>
        </is>
      </c>
    </row>
    <row r="288">
      <c r="A288" s="5" t="inlineStr">
        <is>
          <t>Other Suppliers</t>
        </is>
      </c>
      <c r="B288" s="5" t="inlineStr">
        <is>
          <t>JOAO VANDERLEI ROYER</t>
        </is>
      </c>
      <c r="C288" s="5" t="n">
        <v>101317</v>
      </c>
      <c r="D288" s="5" t="inlineStr">
        <is>
          <t>101317</t>
        </is>
      </c>
    </row>
    <row r="289">
      <c r="A289" s="5" t="inlineStr">
        <is>
          <t>Customs Brokerage – Overall</t>
        </is>
      </c>
      <c r="B289" s="5" t="inlineStr">
        <is>
          <t>SECRETARIA DA FAZENDA RS</t>
        </is>
      </c>
      <c r="C289" s="5" t="n">
        <v>101318</v>
      </c>
      <c r="D289" s="5" t="inlineStr">
        <is>
          <t>101318</t>
        </is>
      </c>
    </row>
    <row r="290">
      <c r="A290" s="5" t="inlineStr">
        <is>
          <t>Taxes Payable</t>
        </is>
      </c>
      <c r="B290" s="5" t="inlineStr">
        <is>
          <t>MUNICIPIO DE QUEIMADA NOVA</t>
        </is>
      </c>
      <c r="C290" s="5" t="n">
        <v>101320</v>
      </c>
      <c r="D290" s="5" t="inlineStr">
        <is>
          <t>101320</t>
        </is>
      </c>
    </row>
    <row r="291">
      <c r="A291" s="5" t="inlineStr">
        <is>
          <t>Legal Services Suppliers</t>
        </is>
      </c>
      <c r="B291" s="5" t="inlineStr"/>
      <c r="C291" s="5" t="n">
        <v>101326</v>
      </c>
      <c r="D291" s="5" t="inlineStr">
        <is>
          <t>101326</t>
        </is>
      </c>
    </row>
    <row r="292">
      <c r="A292" s="5" t="inlineStr">
        <is>
          <t>Customs Brokerage – Overall</t>
        </is>
      </c>
      <c r="B292" s="5" t="inlineStr">
        <is>
          <t>GEODIS GERENCI DE FRETES DO BRASIL</t>
        </is>
      </c>
      <c r="C292" s="5" t="n">
        <v>101331</v>
      </c>
      <c r="D292" s="5" t="inlineStr">
        <is>
          <t>101331</t>
        </is>
      </c>
    </row>
    <row r="293">
      <c r="A293" s="5" t="inlineStr">
        <is>
          <t>Customs Brokerage – Overall</t>
        </is>
      </c>
      <c r="B293" s="5" t="inlineStr">
        <is>
          <t>CONCESSIONARIA DO AEROPORTO DE SALV</t>
        </is>
      </c>
      <c r="C293" s="5" t="n">
        <v>101333</v>
      </c>
      <c r="D293" s="5" t="inlineStr">
        <is>
          <t>101333</t>
        </is>
      </c>
    </row>
    <row r="294">
      <c r="A294" s="5" t="inlineStr">
        <is>
          <t>Other Suppliers</t>
        </is>
      </c>
      <c r="B294" s="5" t="inlineStr">
        <is>
          <t>ABRILSAN ASSES EM CART DE PROT LTDA</t>
        </is>
      </c>
      <c r="C294" s="5" t="n">
        <v>101334</v>
      </c>
      <c r="D294" s="5" t="inlineStr">
        <is>
          <t>101334</t>
        </is>
      </c>
    </row>
    <row r="295">
      <c r="A295" s="5" t="inlineStr">
        <is>
          <t>Other Suppliers</t>
        </is>
      </c>
      <c r="B295" s="5" t="inlineStr"/>
      <c r="C295" s="5" t="n">
        <v>101335</v>
      </c>
      <c r="D295" s="5" t="inlineStr">
        <is>
          <t>101335</t>
        </is>
      </c>
    </row>
    <row r="296">
      <c r="A296" s="5" t="inlineStr">
        <is>
          <t>Other Suppliers</t>
        </is>
      </c>
      <c r="B296" s="5" t="inlineStr"/>
      <c r="C296" s="5" t="n">
        <v>101336</v>
      </c>
      <c r="D296" s="5" t="inlineStr">
        <is>
          <t>101336</t>
        </is>
      </c>
    </row>
    <row r="297">
      <c r="A297" s="5" t="inlineStr">
        <is>
          <t>Other Suppliers</t>
        </is>
      </c>
      <c r="B297" s="5" t="inlineStr">
        <is>
          <t>ALS TRIBOLOGY BRASIL ANALISE DE FLU</t>
        </is>
      </c>
      <c r="C297" s="5" t="n">
        <v>101340</v>
      </c>
      <c r="D297" s="5" t="inlineStr">
        <is>
          <t>101340</t>
        </is>
      </c>
    </row>
    <row r="298">
      <c r="A298" s="5" t="inlineStr">
        <is>
          <t>Other Suppliers</t>
        </is>
      </c>
      <c r="B298" s="5" t="inlineStr"/>
      <c r="C298" s="5" t="n">
        <v>101341</v>
      </c>
      <c r="D298" s="5" t="inlineStr">
        <is>
          <t>101341</t>
        </is>
      </c>
    </row>
    <row r="299">
      <c r="A299" s="5" t="inlineStr">
        <is>
          <t>Operational Suppliers (Wind Farms)</t>
        </is>
      </c>
      <c r="B299" s="5" t="inlineStr"/>
      <c r="C299" s="5" t="n">
        <v>101344</v>
      </c>
      <c r="D299" s="5" t="inlineStr">
        <is>
          <t>101344</t>
        </is>
      </c>
    </row>
    <row r="300">
      <c r="A300" s="5" t="inlineStr">
        <is>
          <t>Other Suppliers</t>
        </is>
      </c>
      <c r="B300" s="5" t="inlineStr"/>
      <c r="C300" s="5" t="n">
        <v>101346</v>
      </c>
      <c r="D300" s="5" t="inlineStr">
        <is>
          <t>101346</t>
        </is>
      </c>
    </row>
    <row r="301">
      <c r="A301" s="5" t="inlineStr">
        <is>
          <t>Operational Suppliers (Wind Farms)</t>
        </is>
      </c>
      <c r="B301" s="5" t="inlineStr"/>
      <c r="C301" s="5" t="n">
        <v>101352</v>
      </c>
      <c r="D301" s="5" t="inlineStr">
        <is>
          <t>101352</t>
        </is>
      </c>
    </row>
    <row r="302">
      <c r="A302" s="5" t="inlineStr">
        <is>
          <t>Other Suppliers</t>
        </is>
      </c>
      <c r="B302" s="5" t="inlineStr">
        <is>
          <t>SOMAR GASES COMERCIO E SERVICOS LTD</t>
        </is>
      </c>
      <c r="C302" s="5" t="n">
        <v>101353</v>
      </c>
      <c r="D302" s="5" t="inlineStr">
        <is>
          <t>101353</t>
        </is>
      </c>
    </row>
    <row r="303">
      <c r="A303" s="5" t="inlineStr">
        <is>
          <t>Other Suppliers</t>
        </is>
      </c>
      <c r="B303" s="5" t="inlineStr"/>
      <c r="C303" s="5" t="n">
        <v>101355</v>
      </c>
      <c r="D303" s="5" t="inlineStr">
        <is>
          <t>101355</t>
        </is>
      </c>
    </row>
    <row r="304">
      <c r="A304" s="5" t="inlineStr">
        <is>
          <t>Taxes Payable</t>
        </is>
      </c>
      <c r="B304" s="5" t="inlineStr">
        <is>
          <t>MUNICIPIO DE LAJES</t>
        </is>
      </c>
      <c r="C304" s="5" t="n">
        <v>101358</v>
      </c>
      <c r="D304" s="5" t="inlineStr">
        <is>
          <t>101358</t>
        </is>
      </c>
    </row>
    <row r="305">
      <c r="A305" s="5" t="inlineStr">
        <is>
          <t>Legal Services Suppliers</t>
        </is>
      </c>
      <c r="B305" s="5" t="inlineStr">
        <is>
          <t>TRIBUNAL REGIONAL TRABALHO 5A REGIA</t>
        </is>
      </c>
      <c r="C305" s="5" t="n">
        <v>101359</v>
      </c>
      <c r="D305" s="5" t="inlineStr">
        <is>
          <t>101359</t>
        </is>
      </c>
    </row>
    <row r="306">
      <c r="A306" s="5" t="inlineStr">
        <is>
          <t>Customs Brokerage – Overall</t>
        </is>
      </c>
      <c r="B306" s="5" t="inlineStr">
        <is>
          <t>MULTILOG SUL ARMAZENS GERAIS LTDA</t>
        </is>
      </c>
      <c r="C306" s="5" t="n">
        <v>101360</v>
      </c>
      <c r="D306" s="5" t="inlineStr">
        <is>
          <t>101360</t>
        </is>
      </c>
    </row>
    <row r="307">
      <c r="A307" s="5" t="inlineStr">
        <is>
          <t>Operational Suppliers (Wind Farms)</t>
        </is>
      </c>
      <c r="B307" s="5" t="inlineStr"/>
      <c r="C307" s="5" t="n">
        <v>101364</v>
      </c>
      <c r="D307" s="5" t="inlineStr">
        <is>
          <t>101364</t>
        </is>
      </c>
    </row>
    <row r="308">
      <c r="A308" s="5" t="inlineStr">
        <is>
          <t>Other Suppliers</t>
        </is>
      </c>
      <c r="B308" s="5" t="inlineStr">
        <is>
          <t>APAGUE EQUIP DE COMBATE A INCENDIO</t>
        </is>
      </c>
      <c r="C308" s="5" t="n">
        <v>101377</v>
      </c>
      <c r="D308" s="5" t="inlineStr">
        <is>
          <t>101377</t>
        </is>
      </c>
    </row>
    <row r="309">
      <c r="A309" s="5" t="inlineStr">
        <is>
          <t>Other Suppliers</t>
        </is>
      </c>
      <c r="B309" s="5" t="inlineStr"/>
      <c r="C309" s="5" t="n">
        <v>101378</v>
      </c>
      <c r="D309" s="5" t="inlineStr">
        <is>
          <t>101378</t>
        </is>
      </c>
    </row>
    <row r="310">
      <c r="A310" s="5" t="inlineStr">
        <is>
          <t>Other Suppliers</t>
        </is>
      </c>
      <c r="B310" s="5" t="inlineStr"/>
      <c r="C310" s="5" t="n">
        <v>101379</v>
      </c>
      <c r="D310" s="5" t="inlineStr">
        <is>
          <t>101379</t>
        </is>
      </c>
    </row>
    <row r="311">
      <c r="A311" s="5" t="inlineStr">
        <is>
          <t>Other Suppliers</t>
        </is>
      </c>
      <c r="B311" s="5" t="inlineStr"/>
      <c r="C311" s="5" t="n">
        <v>101381</v>
      </c>
      <c r="D311" s="5" t="inlineStr">
        <is>
          <t>101381</t>
        </is>
      </c>
    </row>
    <row r="312">
      <c r="A312" s="5" t="inlineStr">
        <is>
          <t>Other Suppliers</t>
        </is>
      </c>
      <c r="B312" s="5" t="inlineStr">
        <is>
          <t>AZEVEDO ENGENHARIA E PARTICIPAÇÕES</t>
        </is>
      </c>
      <c r="C312" s="5" t="n">
        <v>101387</v>
      </c>
      <c r="D312" s="5" t="inlineStr">
        <is>
          <t>101387</t>
        </is>
      </c>
    </row>
    <row r="313">
      <c r="A313" s="5" t="inlineStr">
        <is>
          <t>Other Suppliers</t>
        </is>
      </c>
      <c r="B313" s="5" t="inlineStr"/>
      <c r="C313" s="5" t="n">
        <v>101391</v>
      </c>
      <c r="D313" s="5" t="inlineStr">
        <is>
          <t>101391</t>
        </is>
      </c>
    </row>
    <row r="314">
      <c r="A314" s="5" t="inlineStr">
        <is>
          <t>Other Suppliers</t>
        </is>
      </c>
      <c r="B314" s="5" t="inlineStr"/>
      <c r="C314" s="5" t="n">
        <v>101396</v>
      </c>
      <c r="D314" s="5" t="inlineStr">
        <is>
          <t>101396</t>
        </is>
      </c>
    </row>
    <row r="315">
      <c r="A315" s="5" t="inlineStr">
        <is>
          <t>Operational Suppliers (Wind Farms)</t>
        </is>
      </c>
      <c r="B315" s="5" t="inlineStr">
        <is>
          <t>I. V. TRANSPORTES E LOCAÇÕES LTDA</t>
        </is>
      </c>
      <c r="C315" s="5" t="n">
        <v>101400</v>
      </c>
      <c r="D315" s="5" t="inlineStr">
        <is>
          <t>101400</t>
        </is>
      </c>
    </row>
    <row r="316">
      <c r="A316" s="5" t="inlineStr">
        <is>
          <t>Other Suppliers</t>
        </is>
      </c>
      <c r="B316" s="5" t="inlineStr"/>
      <c r="C316" s="5" t="n">
        <v>101402</v>
      </c>
      <c r="D316" s="5" t="inlineStr">
        <is>
          <t>101402</t>
        </is>
      </c>
    </row>
    <row r="317">
      <c r="A317" s="5" t="inlineStr">
        <is>
          <t>Operational Suppliers (Wind Farms)</t>
        </is>
      </c>
      <c r="B317" s="5" t="inlineStr"/>
      <c r="C317" s="5" t="n">
        <v>101403</v>
      </c>
      <c r="D317" s="5" t="inlineStr">
        <is>
          <t>101403</t>
        </is>
      </c>
    </row>
    <row r="318">
      <c r="A318" s="5" t="inlineStr">
        <is>
          <t>Operational Suppliers (Wind Farms)</t>
        </is>
      </c>
      <c r="B318" s="5" t="inlineStr"/>
      <c r="C318" s="5" t="n">
        <v>101406</v>
      </c>
      <c r="D318" s="5" t="inlineStr">
        <is>
          <t>101406</t>
        </is>
      </c>
    </row>
    <row r="319">
      <c r="A319" s="5" t="inlineStr">
        <is>
          <t>Other Suppliers</t>
        </is>
      </c>
      <c r="B319" s="5" t="inlineStr"/>
      <c r="C319" s="5" t="n">
        <v>101414</v>
      </c>
      <c r="D319" s="5" t="inlineStr">
        <is>
          <t>101414</t>
        </is>
      </c>
    </row>
    <row r="320">
      <c r="A320" s="5" t="inlineStr">
        <is>
          <t>Other Suppliers</t>
        </is>
      </c>
      <c r="B320" s="5" t="inlineStr">
        <is>
          <t>CENTRO DAS INDUSTRIAS DO ESTADO DE</t>
        </is>
      </c>
      <c r="C320" s="5" t="n">
        <v>101416</v>
      </c>
      <c r="D320" s="5" t="inlineStr">
        <is>
          <t>101416</t>
        </is>
      </c>
    </row>
    <row r="321">
      <c r="A321" s="5" t="inlineStr">
        <is>
          <t>Other Suppliers</t>
        </is>
      </c>
      <c r="B321" s="5" t="inlineStr"/>
      <c r="C321" s="5" t="n">
        <v>101419</v>
      </c>
      <c r="D321" s="5" t="inlineStr">
        <is>
          <t>101419</t>
        </is>
      </c>
    </row>
    <row r="322">
      <c r="A322" s="5" t="inlineStr">
        <is>
          <t>Customs Brokerage – Overall</t>
        </is>
      </c>
      <c r="B322" s="5" t="inlineStr">
        <is>
          <t>MEDEIROS GALVAO SOLUÇÕES LTDA</t>
        </is>
      </c>
      <c r="C322" s="5" t="n">
        <v>101420</v>
      </c>
      <c r="D322" s="5" t="inlineStr">
        <is>
          <t>101420</t>
        </is>
      </c>
    </row>
    <row r="323">
      <c r="A323" s="5" t="inlineStr">
        <is>
          <t>Taxes Payable</t>
        </is>
      </c>
      <c r="B323" s="5" t="inlineStr"/>
      <c r="C323" s="5" t="n">
        <v>101423</v>
      </c>
      <c r="D323" s="5" t="inlineStr">
        <is>
          <t>101423</t>
        </is>
      </c>
    </row>
    <row r="324">
      <c r="A324" s="5" t="inlineStr">
        <is>
          <t>Operational Suppliers (Wind Farms)</t>
        </is>
      </c>
      <c r="B324" s="5" t="inlineStr"/>
      <c r="C324" s="5" t="n">
        <v>101425</v>
      </c>
      <c r="D324" s="5" t="inlineStr">
        <is>
          <t>101425</t>
        </is>
      </c>
    </row>
    <row r="325">
      <c r="A325" s="5" t="inlineStr">
        <is>
          <t>Legal Services Suppliers</t>
        </is>
      </c>
      <c r="B325" s="5" t="inlineStr">
        <is>
          <t>TRIBUNAL REGIONAL FEDERAL 3 REGIAO</t>
        </is>
      </c>
      <c r="C325" s="5" t="n">
        <v>101427</v>
      </c>
      <c r="D325" s="5" t="inlineStr">
        <is>
          <t>101427</t>
        </is>
      </c>
    </row>
    <row r="326">
      <c r="A326" s="5" t="inlineStr">
        <is>
          <t>Other Suppliers</t>
        </is>
      </c>
      <c r="B326" s="5" t="inlineStr"/>
      <c r="C326" s="5" t="n">
        <v>101428</v>
      </c>
      <c r="D326" s="5" t="inlineStr">
        <is>
          <t>101428</t>
        </is>
      </c>
    </row>
    <row r="327">
      <c r="A327" s="5" t="inlineStr">
        <is>
          <t>Other Suppliers</t>
        </is>
      </c>
      <c r="B327" s="5" t="inlineStr"/>
      <c r="C327" s="5" t="n">
        <v>101429</v>
      </c>
      <c r="D327" s="5" t="inlineStr">
        <is>
          <t>101429</t>
        </is>
      </c>
    </row>
    <row r="328">
      <c r="A328" s="5" t="inlineStr">
        <is>
          <t>Operational Suppliers (Wind Farms)</t>
        </is>
      </c>
      <c r="B328" s="5" t="inlineStr">
        <is>
          <t>CONSTRUTORA MD EIRELI</t>
        </is>
      </c>
      <c r="C328" s="5" t="n">
        <v>101432</v>
      </c>
      <c r="D328" s="5" t="inlineStr">
        <is>
          <t>101432</t>
        </is>
      </c>
    </row>
    <row r="329">
      <c r="A329" s="5" t="inlineStr">
        <is>
          <t>Other Suppliers</t>
        </is>
      </c>
      <c r="B329" s="5" t="inlineStr"/>
      <c r="C329" s="5" t="n">
        <v>101433</v>
      </c>
      <c r="D329" s="5" t="inlineStr">
        <is>
          <t>101433</t>
        </is>
      </c>
    </row>
    <row r="330">
      <c r="A330" s="5" t="inlineStr">
        <is>
          <t>Other Suppliers</t>
        </is>
      </c>
      <c r="B330" s="5" t="inlineStr">
        <is>
          <t>DAYCOVAL LEASING BANCO MULTIPLO S A</t>
        </is>
      </c>
      <c r="C330" s="5" t="n">
        <v>101435</v>
      </c>
      <c r="D330" s="5" t="inlineStr">
        <is>
          <t>101435</t>
        </is>
      </c>
    </row>
    <row r="331">
      <c r="A331" s="5" t="inlineStr">
        <is>
          <t>Other Suppliers</t>
        </is>
      </c>
      <c r="B331" s="5" t="inlineStr"/>
      <c r="C331" s="5" t="n">
        <v>101437</v>
      </c>
      <c r="D331" s="5" t="inlineStr">
        <is>
          <t>101437</t>
        </is>
      </c>
    </row>
    <row r="332">
      <c r="A332" s="5" t="inlineStr">
        <is>
          <t>Other Suppliers</t>
        </is>
      </c>
      <c r="B332" s="5" t="inlineStr"/>
      <c r="C332" s="5" t="n">
        <v>101438</v>
      </c>
      <c r="D332" s="5" t="inlineStr">
        <is>
          <t>101438</t>
        </is>
      </c>
    </row>
    <row r="333">
      <c r="A333" s="5" t="inlineStr">
        <is>
          <t>Operational Suppliers (Wind Farms)</t>
        </is>
      </c>
      <c r="B333" s="5" t="inlineStr"/>
      <c r="C333" s="5" t="n">
        <v>101440</v>
      </c>
      <c r="D333" s="5" t="inlineStr">
        <is>
          <t>101440</t>
        </is>
      </c>
    </row>
    <row r="334">
      <c r="A334" s="5" t="inlineStr">
        <is>
          <t>Other Suppliers</t>
        </is>
      </c>
      <c r="B334" s="5" t="inlineStr"/>
      <c r="C334" s="5" t="n">
        <v>101441</v>
      </c>
      <c r="D334" s="5" t="inlineStr">
        <is>
          <t>101441</t>
        </is>
      </c>
    </row>
    <row r="335">
      <c r="A335" s="5" t="inlineStr">
        <is>
          <t>Operational Suppliers (Wind Farms)</t>
        </is>
      </c>
      <c r="B335" s="5" t="inlineStr"/>
      <c r="C335" s="5" t="n">
        <v>101452</v>
      </c>
      <c r="D335" s="5" t="inlineStr">
        <is>
          <t>101452</t>
        </is>
      </c>
    </row>
    <row r="336">
      <c r="A336" s="5" t="inlineStr">
        <is>
          <t>Operational Suppliers (Wind Farms)</t>
        </is>
      </c>
      <c r="B336" s="5" t="inlineStr"/>
      <c r="C336" s="5" t="n">
        <v>101457</v>
      </c>
      <c r="D336" s="5" t="inlineStr">
        <is>
          <t>101457</t>
        </is>
      </c>
    </row>
    <row r="337">
      <c r="A337" s="5" t="inlineStr">
        <is>
          <t>Other Suppliers</t>
        </is>
      </c>
      <c r="B337" s="5" t="inlineStr">
        <is>
          <t>NS AUTOMACAO E INSTRUMENTAÇAO LTDA</t>
        </is>
      </c>
      <c r="C337" s="5" t="n">
        <v>101460</v>
      </c>
      <c r="D337" s="5" t="inlineStr">
        <is>
          <t>101460</t>
        </is>
      </c>
    </row>
    <row r="338">
      <c r="A338" s="5" t="inlineStr">
        <is>
          <t>Other Suppliers</t>
        </is>
      </c>
      <c r="B338" s="5" t="inlineStr">
        <is>
          <t>EMERSON MEDEIROS DE MELO</t>
        </is>
      </c>
      <c r="C338" s="5" t="n">
        <v>101462</v>
      </c>
      <c r="D338" s="5" t="inlineStr">
        <is>
          <t>101462</t>
        </is>
      </c>
    </row>
    <row r="339">
      <c r="A339" s="5" t="inlineStr">
        <is>
          <t>Insurance</t>
        </is>
      </c>
      <c r="B339" s="5" t="inlineStr">
        <is>
          <t>ZURICH MINAS BRASIL SEGUROS S A</t>
        </is>
      </c>
      <c r="C339" s="5" t="n">
        <v>101463</v>
      </c>
      <c r="D339" s="5" t="inlineStr">
        <is>
          <t>101463</t>
        </is>
      </c>
    </row>
    <row r="340">
      <c r="A340" s="5" t="inlineStr">
        <is>
          <t>Other Suppliers</t>
        </is>
      </c>
      <c r="B340" s="5" t="inlineStr"/>
      <c r="C340" s="5" t="n">
        <v>101468</v>
      </c>
      <c r="D340" s="5" t="inlineStr">
        <is>
          <t>101468</t>
        </is>
      </c>
    </row>
    <row r="341">
      <c r="A341" s="5" t="inlineStr">
        <is>
          <t>Operational Suppliers (Wind Farms)</t>
        </is>
      </c>
      <c r="B341" s="5" t="inlineStr">
        <is>
          <t>CRIL EMPREENDIMENTO AMBIENTAL LTDA</t>
        </is>
      </c>
      <c r="C341" s="5" t="n">
        <v>101470</v>
      </c>
      <c r="D341" s="5" t="inlineStr">
        <is>
          <t>101470</t>
        </is>
      </c>
    </row>
    <row r="342">
      <c r="A342" s="5" t="inlineStr">
        <is>
          <t>Other Suppliers</t>
        </is>
      </c>
      <c r="B342" s="5" t="inlineStr"/>
      <c r="C342" s="5" t="n">
        <v>101473</v>
      </c>
      <c r="D342" s="5" t="inlineStr">
        <is>
          <t>101473</t>
        </is>
      </c>
    </row>
    <row r="343">
      <c r="A343" s="5" t="inlineStr">
        <is>
          <t>Other Suppliers</t>
        </is>
      </c>
      <c r="B343" s="5" t="inlineStr"/>
      <c r="C343" s="5" t="n">
        <v>101475</v>
      </c>
      <c r="D343" s="5" t="inlineStr">
        <is>
          <t>101475</t>
        </is>
      </c>
    </row>
    <row r="344">
      <c r="A344" s="5" t="inlineStr">
        <is>
          <t>Other Suppliers</t>
        </is>
      </c>
      <c r="B344" s="5" t="inlineStr"/>
      <c r="C344" s="5" t="n">
        <v>101476</v>
      </c>
      <c r="D344" s="5" t="inlineStr">
        <is>
          <t>101476</t>
        </is>
      </c>
    </row>
    <row r="345">
      <c r="A345" s="5" t="inlineStr">
        <is>
          <t>Other Suppliers</t>
        </is>
      </c>
      <c r="B345" s="5" t="inlineStr"/>
      <c r="C345" s="5" t="n">
        <v>101477</v>
      </c>
      <c r="D345" s="5" t="inlineStr">
        <is>
          <t>101477</t>
        </is>
      </c>
    </row>
    <row r="346">
      <c r="A346" s="5" t="inlineStr">
        <is>
          <t>Operational Suppliers (Wind Farms)</t>
        </is>
      </c>
      <c r="B346" s="5" t="inlineStr">
        <is>
          <t>SANTIN EMPRESA DE TRANSP. ESPECIAIS 22902476000312</t>
        </is>
      </c>
      <c r="C346" s="5" t="n">
        <v>101481</v>
      </c>
      <c r="D346" s="5" t="inlineStr">
        <is>
          <t>101481</t>
        </is>
      </c>
    </row>
    <row r="347">
      <c r="A347" s="5" t="inlineStr">
        <is>
          <t>Operational Suppliers (Wind Farms)</t>
        </is>
      </c>
      <c r="B347" s="5" t="inlineStr">
        <is>
          <t>SANTIN EMPRESA DE TRANSP. ESPECIAIS 22902476000584</t>
        </is>
      </c>
      <c r="C347" s="5" t="n">
        <v>101482</v>
      </c>
      <c r="D347" s="5" t="inlineStr">
        <is>
          <t>101482</t>
        </is>
      </c>
    </row>
    <row r="348">
      <c r="A348" s="5" t="inlineStr">
        <is>
          <t>Operational Suppliers (Wind Farms)</t>
        </is>
      </c>
      <c r="B348" s="5" t="inlineStr">
        <is>
          <t>SANTIN EMPRESA DE TRANSP. ESPECIAIS 22902476000150</t>
        </is>
      </c>
      <c r="C348" s="5" t="n">
        <v>101483</v>
      </c>
      <c r="D348" s="5" t="inlineStr">
        <is>
          <t>101483</t>
        </is>
      </c>
    </row>
    <row r="349">
      <c r="A349" s="5" t="inlineStr">
        <is>
          <t>Operational Suppliers (Wind Farms)</t>
        </is>
      </c>
      <c r="B349" s="5" t="inlineStr">
        <is>
          <t>SANTIN EMPRESA DE TRANSP. ESPECIAIS 22902476000401</t>
        </is>
      </c>
      <c r="C349" s="5" t="n">
        <v>101484</v>
      </c>
      <c r="D349" s="5" t="inlineStr">
        <is>
          <t>101484</t>
        </is>
      </c>
    </row>
    <row r="350">
      <c r="A350" s="5" t="inlineStr">
        <is>
          <t>Operational Suppliers (Wind Farms)</t>
        </is>
      </c>
      <c r="B350" s="5" t="inlineStr">
        <is>
          <t>RUDLOFF SISTEMA DE PROTENSAO LTDA</t>
        </is>
      </c>
      <c r="C350" s="5" t="n">
        <v>101485</v>
      </c>
      <c r="D350" s="5" t="inlineStr">
        <is>
          <t>101485</t>
        </is>
      </c>
    </row>
    <row r="351">
      <c r="A351" s="5" t="inlineStr">
        <is>
          <t>Other Suppliers</t>
        </is>
      </c>
      <c r="B351" s="5" t="inlineStr"/>
      <c r="C351" s="5" t="n">
        <v>101490</v>
      </c>
      <c r="D351" s="5" t="inlineStr">
        <is>
          <t>101490</t>
        </is>
      </c>
    </row>
    <row r="352">
      <c r="A352" s="5" t="inlineStr">
        <is>
          <t>Other Suppliers</t>
        </is>
      </c>
      <c r="B352" s="5" t="inlineStr">
        <is>
          <t>AG SOLVE MONITORAMENTO AMBIENTAL LT</t>
        </is>
      </c>
      <c r="C352" s="5" t="n">
        <v>101494</v>
      </c>
      <c r="D352" s="5" t="inlineStr">
        <is>
          <t>101494</t>
        </is>
      </c>
    </row>
    <row r="353">
      <c r="A353" s="5" t="inlineStr">
        <is>
          <t>Operational Suppliers (Wind Farms)</t>
        </is>
      </c>
      <c r="B353" s="5" t="inlineStr">
        <is>
          <t>NEW ENERGY LOGISTIC EIRELI</t>
        </is>
      </c>
      <c r="C353" s="5" t="n">
        <v>101499</v>
      </c>
      <c r="D353" s="5" t="inlineStr">
        <is>
          <t>101499</t>
        </is>
      </c>
    </row>
    <row r="354">
      <c r="A354" s="5" t="inlineStr">
        <is>
          <t>Other Suppliers</t>
        </is>
      </c>
      <c r="B354" s="5" t="inlineStr"/>
      <c r="C354" s="5" t="n">
        <v>101503</v>
      </c>
      <c r="D354" s="5" t="inlineStr">
        <is>
          <t>101503</t>
        </is>
      </c>
    </row>
    <row r="355">
      <c r="A355" s="5" t="inlineStr">
        <is>
          <t>Other Suppliers</t>
        </is>
      </c>
      <c r="B355" s="5" t="inlineStr">
        <is>
          <t>RANDSTAD BRASIL RECURSOS HUMANOS LT</t>
        </is>
      </c>
      <c r="C355" s="5" t="n">
        <v>101508</v>
      </c>
      <c r="D355" s="5" t="inlineStr">
        <is>
          <t>101508</t>
        </is>
      </c>
    </row>
    <row r="356">
      <c r="A356" s="5" t="inlineStr">
        <is>
          <t>Operational Suppliers (Wind Farms)</t>
        </is>
      </c>
      <c r="B356" s="5" t="inlineStr"/>
      <c r="C356" s="5" t="n">
        <v>101510</v>
      </c>
      <c r="D356" s="5" t="inlineStr">
        <is>
          <t>101510</t>
        </is>
      </c>
    </row>
    <row r="357">
      <c r="A357" s="5" t="inlineStr">
        <is>
          <t>Customs Brokerage – Overall</t>
        </is>
      </c>
      <c r="B357" s="5" t="inlineStr">
        <is>
          <t>COLI SHIPPING &amp; TRANSPORT DO BRASIL</t>
        </is>
      </c>
      <c r="C357" s="5" t="n">
        <v>101513</v>
      </c>
      <c r="D357" s="5" t="inlineStr">
        <is>
          <t>101513</t>
        </is>
      </c>
    </row>
    <row r="358">
      <c r="A358" s="5" t="inlineStr">
        <is>
          <t>Operational Suppliers (Wind Farms)</t>
        </is>
      </c>
      <c r="B358" s="5" t="inlineStr"/>
      <c r="C358" s="5" t="n">
        <v>101517</v>
      </c>
      <c r="D358" s="5" t="inlineStr">
        <is>
          <t>101517</t>
        </is>
      </c>
    </row>
    <row r="359">
      <c r="A359" s="5" t="inlineStr">
        <is>
          <t>Other Suppliers</t>
        </is>
      </c>
      <c r="B359" s="5" t="inlineStr"/>
      <c r="C359" s="5" t="n">
        <v>101519</v>
      </c>
      <c r="D359" s="5" t="inlineStr">
        <is>
          <t>101519</t>
        </is>
      </c>
    </row>
    <row r="360">
      <c r="A360" s="5" t="inlineStr">
        <is>
          <t>Other Suppliers</t>
        </is>
      </c>
      <c r="B360" s="5" t="inlineStr"/>
      <c r="C360" s="5" t="n">
        <v>101520</v>
      </c>
      <c r="D360" s="5" t="inlineStr">
        <is>
          <t>101520</t>
        </is>
      </c>
    </row>
    <row r="361">
      <c r="A361" s="5" t="inlineStr">
        <is>
          <t>Operational Suppliers (Wind Farms)</t>
        </is>
      </c>
      <c r="B361" s="5" t="inlineStr"/>
      <c r="C361" s="5" t="n">
        <v>101521</v>
      </c>
      <c r="D361" s="5" t="inlineStr">
        <is>
          <t>101521</t>
        </is>
      </c>
    </row>
    <row r="362">
      <c r="A362" s="5" t="inlineStr">
        <is>
          <t>Other Suppliers</t>
        </is>
      </c>
      <c r="B362" s="5" t="inlineStr">
        <is>
          <t>TRANSPORTES PESADOS MINAS SA 17215039000129</t>
        </is>
      </c>
      <c r="C362" s="5" t="n">
        <v>101523</v>
      </c>
      <c r="D362" s="5" t="inlineStr">
        <is>
          <t>101523</t>
        </is>
      </c>
    </row>
    <row r="363">
      <c r="A363" s="5" t="inlineStr">
        <is>
          <t>Other Suppliers</t>
        </is>
      </c>
      <c r="B363" s="5" t="inlineStr">
        <is>
          <t>COOP DE RADIO TAXI E TRANSP EXEC DE SIMOES FILHO - COOTRANSPEX</t>
        </is>
      </c>
      <c r="C363" s="5" t="n">
        <v>101529</v>
      </c>
      <c r="D363" s="5" t="inlineStr">
        <is>
          <t>101529</t>
        </is>
      </c>
    </row>
    <row r="364">
      <c r="A364" s="5" t="inlineStr">
        <is>
          <t>Other Suppliers</t>
        </is>
      </c>
      <c r="B364" s="5" t="inlineStr"/>
      <c r="C364" s="5" t="n">
        <v>101530</v>
      </c>
      <c r="D364" s="5" t="inlineStr">
        <is>
          <t>101530</t>
        </is>
      </c>
    </row>
    <row r="365">
      <c r="A365" s="5" t="inlineStr">
        <is>
          <t>Other Suppliers</t>
        </is>
      </c>
      <c r="B365" s="5" t="inlineStr"/>
      <c r="C365" s="5" t="n">
        <v>101532</v>
      </c>
      <c r="D365" s="5" t="inlineStr">
        <is>
          <t>101532</t>
        </is>
      </c>
    </row>
    <row r="366">
      <c r="A366" s="5" t="inlineStr">
        <is>
          <t>Operational Suppliers (Wind Farms)</t>
        </is>
      </c>
      <c r="B366" s="5" t="inlineStr">
        <is>
          <t>TRANSPORTES PESADOS MINAS SA 17215039001796</t>
        </is>
      </c>
      <c r="C366" s="5" t="n">
        <v>101535</v>
      </c>
      <c r="D366" s="5" t="inlineStr">
        <is>
          <t>101535</t>
        </is>
      </c>
    </row>
    <row r="367">
      <c r="A367" s="5" t="inlineStr">
        <is>
          <t>Other Suppliers</t>
        </is>
      </c>
      <c r="B367" s="5" t="inlineStr">
        <is>
          <t>RICOH PY EQUIPAMENTOS DE INFORMATIC</t>
        </is>
      </c>
      <c r="C367" s="5" t="n">
        <v>101540</v>
      </c>
      <c r="D367" s="5" t="inlineStr">
        <is>
          <t>101540</t>
        </is>
      </c>
    </row>
    <row r="368">
      <c r="A368" s="5" t="inlineStr">
        <is>
          <t>Taxes Payable</t>
        </is>
      </c>
      <c r="B368" s="5" t="inlineStr">
        <is>
          <t>PREFEITURA MUNICIPAL DE MOSSORO</t>
        </is>
      </c>
      <c r="C368" s="5" t="n">
        <v>101542</v>
      </c>
      <c r="D368" s="5" t="inlineStr">
        <is>
          <t>101542</t>
        </is>
      </c>
    </row>
    <row r="369">
      <c r="A369" s="5" t="inlineStr">
        <is>
          <t>LDs Service Payments</t>
        </is>
      </c>
      <c r="B369" s="5" t="inlineStr"/>
      <c r="C369" s="5" t="n">
        <v>101543</v>
      </c>
      <c r="D369" s="5" t="inlineStr">
        <is>
          <t>101543</t>
        </is>
      </c>
    </row>
    <row r="370">
      <c r="A370" s="5" t="inlineStr">
        <is>
          <t>LDs Service Payments</t>
        </is>
      </c>
      <c r="B370" s="5" t="inlineStr"/>
      <c r="C370" s="5" t="n">
        <v>101544</v>
      </c>
      <c r="D370" s="5" t="inlineStr">
        <is>
          <t>101544</t>
        </is>
      </c>
    </row>
    <row r="371">
      <c r="A371" s="5" t="inlineStr">
        <is>
          <t>LDs Service Payments</t>
        </is>
      </c>
      <c r="B371" s="5" t="inlineStr"/>
      <c r="C371" s="5" t="n">
        <v>101545</v>
      </c>
      <c r="D371" s="5" t="inlineStr">
        <is>
          <t>101545</t>
        </is>
      </c>
    </row>
    <row r="372">
      <c r="A372" s="5" t="inlineStr">
        <is>
          <t>LDs Service Payments</t>
        </is>
      </c>
      <c r="B372" s="5" t="inlineStr"/>
      <c r="C372" s="5" t="n">
        <v>101546</v>
      </c>
      <c r="D372" s="5" t="inlineStr">
        <is>
          <t>101546</t>
        </is>
      </c>
    </row>
    <row r="373">
      <c r="A373" s="5" t="inlineStr">
        <is>
          <t>Other Suppliers</t>
        </is>
      </c>
      <c r="B373" s="5" t="inlineStr">
        <is>
          <t>BARRACUDA PRODUTOS MATERIAIS C LTDA</t>
        </is>
      </c>
      <c r="C373" s="5" t="n">
        <v>101547</v>
      </c>
      <c r="D373" s="5" t="inlineStr">
        <is>
          <t>101547</t>
        </is>
      </c>
    </row>
    <row r="374">
      <c r="A374" s="5" t="inlineStr">
        <is>
          <t>Customs Brokerage – Overall</t>
        </is>
      </c>
      <c r="B374" s="5" t="inlineStr">
        <is>
          <t>KUEHNENAGEL SERVICOS LOGISTICOS LTD</t>
        </is>
      </c>
      <c r="C374" s="5" t="n">
        <v>101552</v>
      </c>
      <c r="D374" s="5" t="inlineStr">
        <is>
          <t>101552</t>
        </is>
      </c>
    </row>
    <row r="375">
      <c r="A375" s="5" t="inlineStr">
        <is>
          <t>Other Suppliers</t>
        </is>
      </c>
      <c r="B375" s="5" t="inlineStr">
        <is>
          <t>LABOTECH METROLOGIA LTDA ME</t>
        </is>
      </c>
      <c r="C375" s="5" t="n">
        <v>101553</v>
      </c>
      <c r="D375" s="5" t="inlineStr">
        <is>
          <t>101553</t>
        </is>
      </c>
    </row>
    <row r="376">
      <c r="A376" s="5" t="inlineStr">
        <is>
          <t>Operational Suppliers (Wind Farms)</t>
        </is>
      </c>
      <c r="B376" s="5" t="inlineStr"/>
      <c r="C376" s="5" t="n">
        <v>101556</v>
      </c>
      <c r="D376" s="5" t="inlineStr">
        <is>
          <t>101556</t>
        </is>
      </c>
    </row>
    <row r="377">
      <c r="A377" s="5" t="inlineStr">
        <is>
          <t>Operational Suppliers (Wind Farms)</t>
        </is>
      </c>
      <c r="B377" s="5" t="inlineStr">
        <is>
          <t>ALTRA INDUSTRIAL MOTION B E I LTDA</t>
        </is>
      </c>
      <c r="C377" s="5" t="n">
        <v>101558</v>
      </c>
      <c r="D377" s="5" t="inlineStr">
        <is>
          <t>101558</t>
        </is>
      </c>
    </row>
    <row r="378">
      <c r="A378" s="5" t="inlineStr">
        <is>
          <t>Customs Brokerage – Overall</t>
        </is>
      </c>
      <c r="B378" s="5" t="inlineStr">
        <is>
          <t>SIND DOS DESPACH ADUANEIROS DE SANT</t>
        </is>
      </c>
      <c r="C378" s="5" t="n">
        <v>101559</v>
      </c>
      <c r="D378" s="5" t="inlineStr">
        <is>
          <t>101559</t>
        </is>
      </c>
    </row>
    <row r="379">
      <c r="A379" s="5" t="inlineStr">
        <is>
          <t>Customs Brokerage – Overall</t>
        </is>
      </c>
      <c r="B379" s="5" t="inlineStr">
        <is>
          <t>SINDICATO DOS DESPACHANTES ADUANEIR DE SAO PAULO SINDASP</t>
        </is>
      </c>
      <c r="C379" s="5" t="n">
        <v>101560</v>
      </c>
      <c r="D379" s="5" t="inlineStr">
        <is>
          <t>101560</t>
        </is>
      </c>
    </row>
    <row r="380">
      <c r="A380" s="5" t="inlineStr">
        <is>
          <t>Other Suppliers</t>
        </is>
      </c>
      <c r="B380" s="5" t="inlineStr"/>
      <c r="C380" s="5" t="n">
        <v>101561</v>
      </c>
      <c r="D380" s="5" t="inlineStr">
        <is>
          <t>101561</t>
        </is>
      </c>
    </row>
    <row r="381">
      <c r="A381" s="5" t="inlineStr">
        <is>
          <t>Taxes Payable</t>
        </is>
      </c>
      <c r="B381" s="5" t="inlineStr">
        <is>
          <t>MUNICIPIO DE DIAS D AVILA</t>
        </is>
      </c>
      <c r="C381" s="5" t="n">
        <v>101562</v>
      </c>
      <c r="D381" s="5" t="inlineStr">
        <is>
          <t>101562</t>
        </is>
      </c>
    </row>
    <row r="382">
      <c r="A382" s="5" t="inlineStr">
        <is>
          <t>Other Suppliers</t>
        </is>
      </c>
      <c r="B382" s="5" t="inlineStr"/>
      <c r="C382" s="5" t="n">
        <v>101564</v>
      </c>
      <c r="D382" s="5" t="inlineStr">
        <is>
          <t>101564</t>
        </is>
      </c>
    </row>
    <row r="383">
      <c r="A383" s="5" t="inlineStr">
        <is>
          <t>Other Suppliers</t>
        </is>
      </c>
      <c r="B383" s="5" t="inlineStr">
        <is>
          <t>GLOBAL AIR CARGO LTDA</t>
        </is>
      </c>
      <c r="C383" s="5" t="n">
        <v>101568</v>
      </c>
      <c r="D383" s="5" t="inlineStr">
        <is>
          <t>101568</t>
        </is>
      </c>
    </row>
    <row r="384">
      <c r="A384" s="5" t="inlineStr">
        <is>
          <t>Customs Brokerage – Overall</t>
        </is>
      </c>
      <c r="B384" s="5" t="inlineStr">
        <is>
          <t>SECRETARIA DA FAZENDA CEARA</t>
        </is>
      </c>
      <c r="C384" s="5" t="n">
        <v>101569</v>
      </c>
      <c r="D384" s="5" t="inlineStr">
        <is>
          <t>101569</t>
        </is>
      </c>
    </row>
    <row r="385">
      <c r="A385" s="5" t="inlineStr">
        <is>
          <t>Other Suppliers</t>
        </is>
      </c>
      <c r="B385" s="5" t="inlineStr"/>
      <c r="C385" s="5" t="n">
        <v>101572</v>
      </c>
      <c r="D385" s="5" t="inlineStr">
        <is>
          <t>101572</t>
        </is>
      </c>
    </row>
    <row r="386">
      <c r="A386" s="5" t="inlineStr">
        <is>
          <t>Other Suppliers</t>
        </is>
      </c>
      <c r="B386" s="5" t="inlineStr"/>
      <c r="C386" s="5" t="n">
        <v>101575</v>
      </c>
      <c r="D386" s="5" t="inlineStr">
        <is>
          <t>101575</t>
        </is>
      </c>
    </row>
    <row r="387">
      <c r="A387" s="5" t="inlineStr">
        <is>
          <t>Facilities</t>
        </is>
      </c>
      <c r="B387" s="5" t="inlineStr">
        <is>
          <t>CLARO S.A</t>
        </is>
      </c>
      <c r="C387" s="5" t="n">
        <v>101576</v>
      </c>
      <c r="D387" s="5" t="inlineStr">
        <is>
          <t>101576</t>
        </is>
      </c>
    </row>
    <row r="388">
      <c r="A388" s="5" t="inlineStr">
        <is>
          <t>Operational Suppliers (Wind Farms)</t>
        </is>
      </c>
      <c r="B388" s="5" t="inlineStr"/>
      <c r="C388" s="5" t="n">
        <v>101578</v>
      </c>
      <c r="D388" s="5" t="inlineStr">
        <is>
          <t>101578</t>
        </is>
      </c>
    </row>
    <row r="389">
      <c r="A389" s="5" t="inlineStr">
        <is>
          <t>Other Suppliers</t>
        </is>
      </c>
      <c r="B389" s="5" t="inlineStr"/>
      <c r="C389" s="5" t="n">
        <v>101579</v>
      </c>
      <c r="D389" s="5" t="inlineStr">
        <is>
          <t>101579</t>
        </is>
      </c>
    </row>
    <row r="390">
      <c r="A390" s="5" t="inlineStr">
        <is>
          <t>Other Suppliers</t>
        </is>
      </c>
      <c r="B390" s="5" t="inlineStr"/>
      <c r="C390" s="5" t="n">
        <v>101590</v>
      </c>
      <c r="D390" s="5" t="inlineStr">
        <is>
          <t>101590</t>
        </is>
      </c>
    </row>
    <row r="391">
      <c r="A391" s="5" t="inlineStr">
        <is>
          <t>Other Suppliers</t>
        </is>
      </c>
      <c r="B391" s="5" t="inlineStr"/>
      <c r="C391" s="5" t="n">
        <v>101591</v>
      </c>
      <c r="D391" s="5" t="inlineStr">
        <is>
          <t>101591</t>
        </is>
      </c>
    </row>
    <row r="392">
      <c r="A392" s="5" t="inlineStr">
        <is>
          <t>Operational Suppliers (Wind Farms)</t>
        </is>
      </c>
      <c r="B392" s="5" t="inlineStr"/>
      <c r="C392" s="5" t="n">
        <v>101592</v>
      </c>
      <c r="D392" s="5" t="inlineStr">
        <is>
          <t>101592</t>
        </is>
      </c>
    </row>
    <row r="393">
      <c r="A393" s="5" t="inlineStr">
        <is>
          <t>Other Suppliers</t>
        </is>
      </c>
      <c r="B393" s="5" t="inlineStr"/>
      <c r="C393" s="5" t="n">
        <v>101594</v>
      </c>
      <c r="D393" s="5" t="inlineStr">
        <is>
          <t>101594</t>
        </is>
      </c>
    </row>
    <row r="394">
      <c r="A394" s="5" t="inlineStr">
        <is>
          <t>Other Suppliers</t>
        </is>
      </c>
      <c r="B394" s="5" t="inlineStr"/>
      <c r="C394" s="5" t="n">
        <v>101596</v>
      </c>
      <c r="D394" s="5" t="inlineStr">
        <is>
          <t>101596</t>
        </is>
      </c>
    </row>
    <row r="395">
      <c r="A395" s="5" t="inlineStr">
        <is>
          <t>Facilities</t>
        </is>
      </c>
      <c r="B395" s="5" t="inlineStr">
        <is>
          <t>TELEFONICA BRASIL SA</t>
        </is>
      </c>
      <c r="C395" s="5" t="n">
        <v>101597</v>
      </c>
      <c r="D395" s="5" t="inlineStr">
        <is>
          <t>101597</t>
        </is>
      </c>
    </row>
    <row r="396">
      <c r="A396" s="5" t="inlineStr">
        <is>
          <t>Operational Suppliers (Wind Farms)</t>
        </is>
      </c>
      <c r="B396" s="5" t="inlineStr"/>
      <c r="C396" s="5" t="n">
        <v>101602</v>
      </c>
      <c r="D396" s="5" t="inlineStr">
        <is>
          <t>101602</t>
        </is>
      </c>
    </row>
    <row r="397">
      <c r="A397" s="5" t="inlineStr">
        <is>
          <t>Operational Suppliers (Wind Farms)</t>
        </is>
      </c>
      <c r="B397" s="5" t="inlineStr"/>
      <c r="C397" s="5" t="n">
        <v>101603</v>
      </c>
      <c r="D397" s="5" t="inlineStr">
        <is>
          <t>101603</t>
        </is>
      </c>
    </row>
    <row r="398">
      <c r="A398" s="5" t="inlineStr">
        <is>
          <t>Taxes Payable</t>
        </is>
      </c>
      <c r="B398" s="5" t="inlineStr">
        <is>
          <t>PREFEITURA SANTA VITORIA DO PALMAR</t>
        </is>
      </c>
      <c r="C398" s="5" t="n">
        <v>101604</v>
      </c>
      <c r="D398" s="5" t="inlineStr">
        <is>
          <t>101604</t>
        </is>
      </c>
    </row>
    <row r="399">
      <c r="A399" s="5" t="inlineStr">
        <is>
          <t>Operational Suppliers (Wind Farms)</t>
        </is>
      </c>
      <c r="B399" s="5" t="inlineStr"/>
      <c r="C399" s="5" t="n">
        <v>101607</v>
      </c>
      <c r="D399" s="5" t="inlineStr">
        <is>
          <t>101607</t>
        </is>
      </c>
    </row>
    <row r="400">
      <c r="A400" s="5" t="inlineStr">
        <is>
          <t>Other Suppliers</t>
        </is>
      </c>
      <c r="B400" s="5" t="inlineStr"/>
      <c r="C400" s="5" t="n">
        <v>101610</v>
      </c>
      <c r="D400" s="5" t="inlineStr">
        <is>
          <t>101610</t>
        </is>
      </c>
    </row>
    <row r="401">
      <c r="A401" s="5" t="inlineStr">
        <is>
          <t>Taxes Payable</t>
        </is>
      </c>
      <c r="B401" s="5" t="inlineStr">
        <is>
          <t>SECRETARIA DA FAZENDA BAHIA</t>
        </is>
      </c>
      <c r="C401" s="5" t="n">
        <v>101611</v>
      </c>
      <c r="D401" s="5" t="inlineStr">
        <is>
          <t>101611</t>
        </is>
      </c>
    </row>
    <row r="402">
      <c r="A402" s="5" t="inlineStr">
        <is>
          <t>Other Suppliers</t>
        </is>
      </c>
      <c r="B402" s="5" t="inlineStr"/>
      <c r="C402" s="5" t="n">
        <v>101612</v>
      </c>
      <c r="D402" s="5" t="inlineStr">
        <is>
          <t>101612</t>
        </is>
      </c>
    </row>
    <row r="403">
      <c r="A403" s="5" t="inlineStr">
        <is>
          <t>Operational Suppliers (Wind Farms)</t>
        </is>
      </c>
      <c r="B403" s="5" t="inlineStr">
        <is>
          <t>BAGAREL COMERCIO DE INSTRUMENTOS LT</t>
        </is>
      </c>
      <c r="C403" s="5" t="n">
        <v>101622</v>
      </c>
      <c r="D403" s="5" t="inlineStr">
        <is>
          <t>101622</t>
        </is>
      </c>
    </row>
    <row r="404">
      <c r="A404" s="5" t="inlineStr">
        <is>
          <t>Operational Suppliers (Wind Farms)</t>
        </is>
      </c>
      <c r="B404" s="5" t="inlineStr"/>
      <c r="C404" s="5" t="n">
        <v>101626</v>
      </c>
      <c r="D404" s="5" t="inlineStr">
        <is>
          <t>101626</t>
        </is>
      </c>
    </row>
    <row r="405">
      <c r="A405" s="5" t="inlineStr">
        <is>
          <t>Operational Suppliers (Wind Farms)</t>
        </is>
      </c>
      <c r="B405" s="5" t="inlineStr"/>
      <c r="C405" s="5" t="n">
        <v>101627</v>
      </c>
      <c r="D405" s="5" t="inlineStr">
        <is>
          <t>101627</t>
        </is>
      </c>
    </row>
    <row r="406">
      <c r="A406" s="5" t="inlineStr">
        <is>
          <t>Other Suppliers</t>
        </is>
      </c>
      <c r="B406" s="5" t="inlineStr">
        <is>
          <t>BVQI DO BRASIL SOCIEDADE CERTIFICAD</t>
        </is>
      </c>
      <c r="C406" s="5" t="n">
        <v>101632</v>
      </c>
      <c r="D406" s="5" t="inlineStr">
        <is>
          <t>101632</t>
        </is>
      </c>
    </row>
    <row r="407">
      <c r="A407" s="5" t="inlineStr">
        <is>
          <t>Operational Suppliers (Wind Farms)</t>
        </is>
      </c>
      <c r="B407" s="5" t="inlineStr"/>
      <c r="C407" s="5" t="n">
        <v>101638</v>
      </c>
      <c r="D407" s="5" t="inlineStr">
        <is>
          <t>101638</t>
        </is>
      </c>
    </row>
    <row r="408">
      <c r="A408" s="5" t="inlineStr">
        <is>
          <t>Other Suppliers</t>
        </is>
      </c>
      <c r="B408" s="5" t="inlineStr"/>
      <c r="C408" s="5" t="n">
        <v>101643</v>
      </c>
      <c r="D408" s="5" t="inlineStr">
        <is>
          <t>101643</t>
        </is>
      </c>
    </row>
    <row r="409">
      <c r="A409" s="5" t="inlineStr">
        <is>
          <t>Operational Suppliers (Wind Farms)</t>
        </is>
      </c>
      <c r="B409" s="5" t="inlineStr">
        <is>
          <t>LUITEX MAQUINAS E FERRAMENTAS LTDA</t>
        </is>
      </c>
      <c r="C409" s="5" t="n">
        <v>101645</v>
      </c>
      <c r="D409" s="5" t="inlineStr">
        <is>
          <t>101645</t>
        </is>
      </c>
    </row>
    <row r="410">
      <c r="A410" s="5" t="inlineStr">
        <is>
          <t>Other Suppliers</t>
        </is>
      </c>
      <c r="B410" s="5" t="inlineStr"/>
      <c r="C410" s="5" t="n">
        <v>101655</v>
      </c>
      <c r="D410" s="5" t="inlineStr">
        <is>
          <t>101655</t>
        </is>
      </c>
    </row>
    <row r="411">
      <c r="A411" s="5" t="inlineStr">
        <is>
          <t>Other Suppliers</t>
        </is>
      </c>
      <c r="B411" s="5" t="inlineStr"/>
      <c r="C411" s="5" t="n">
        <v>101658</v>
      </c>
      <c r="D411" s="5" t="inlineStr">
        <is>
          <t>101658</t>
        </is>
      </c>
    </row>
    <row r="412">
      <c r="A412" s="5" t="inlineStr">
        <is>
          <t>Other Suppliers</t>
        </is>
      </c>
      <c r="B412" s="5" t="inlineStr"/>
      <c r="C412" s="5" t="n">
        <v>101667</v>
      </c>
      <c r="D412" s="5" t="inlineStr">
        <is>
          <t>101667</t>
        </is>
      </c>
    </row>
    <row r="413">
      <c r="A413" s="5" t="inlineStr">
        <is>
          <t>Operational Suppliers (Wind Farms)</t>
        </is>
      </c>
      <c r="B413" s="5" t="inlineStr"/>
      <c r="C413" s="5" t="n">
        <v>101669</v>
      </c>
      <c r="D413" s="5" t="inlineStr">
        <is>
          <t>101669</t>
        </is>
      </c>
    </row>
    <row r="414">
      <c r="A414" s="5" t="inlineStr">
        <is>
          <t>Other Suppliers</t>
        </is>
      </c>
      <c r="B414" s="5" t="inlineStr">
        <is>
          <t>NSA BR ASSESSORIA TR E CO DE SE TO</t>
        </is>
      </c>
      <c r="C414" s="5" t="n">
        <v>101670</v>
      </c>
      <c r="D414" s="5" t="inlineStr">
        <is>
          <t>101670</t>
        </is>
      </c>
    </row>
    <row r="415">
      <c r="A415" s="5" t="inlineStr">
        <is>
          <t>Other Suppliers</t>
        </is>
      </c>
      <c r="B415" s="5" t="inlineStr">
        <is>
          <t>SANTOS BRASIL PARTICIPACOES SA</t>
        </is>
      </c>
      <c r="C415" s="5" t="n">
        <v>101673</v>
      </c>
      <c r="D415" s="5" t="inlineStr">
        <is>
          <t>101673</t>
        </is>
      </c>
    </row>
    <row r="416">
      <c r="A416" s="5" t="inlineStr">
        <is>
          <t>Other Suppliers</t>
        </is>
      </c>
      <c r="B416" s="5" t="inlineStr"/>
      <c r="C416" s="5" t="n">
        <v>101674</v>
      </c>
      <c r="D416" s="5" t="inlineStr">
        <is>
          <t>101674</t>
        </is>
      </c>
    </row>
    <row r="417">
      <c r="A417" s="5" t="inlineStr">
        <is>
          <t>Operational Suppliers (Wind Farms)</t>
        </is>
      </c>
      <c r="B417" s="5" t="inlineStr"/>
      <c r="C417" s="5" t="n">
        <v>101676</v>
      </c>
      <c r="D417" s="5" t="inlineStr">
        <is>
          <t>101676</t>
        </is>
      </c>
    </row>
    <row r="418">
      <c r="A418" s="5" t="inlineStr">
        <is>
          <t>Other Suppliers</t>
        </is>
      </c>
      <c r="B418" s="5" t="inlineStr">
        <is>
          <t>TF DANTAS</t>
        </is>
      </c>
      <c r="C418" s="5" t="n">
        <v>101683</v>
      </c>
      <c r="D418" s="5" t="inlineStr">
        <is>
          <t>101683</t>
        </is>
      </c>
    </row>
    <row r="419">
      <c r="A419" s="5" t="inlineStr">
        <is>
          <t>Other Suppliers</t>
        </is>
      </c>
      <c r="B419" s="5" t="inlineStr">
        <is>
          <t>POLIMIX CONCRETO LTDA</t>
        </is>
      </c>
      <c r="C419" s="5" t="n">
        <v>101685</v>
      </c>
      <c r="D419" s="5" t="inlineStr">
        <is>
          <t>101685</t>
        </is>
      </c>
    </row>
    <row r="420">
      <c r="A420" s="5" t="inlineStr">
        <is>
          <t>Other Suppliers</t>
        </is>
      </c>
      <c r="B420" s="5" t="inlineStr">
        <is>
          <t>UNIAO EDUCACIONAL T IMPACTA U IMPAC</t>
        </is>
      </c>
      <c r="C420" s="5" t="n">
        <v>101687</v>
      </c>
      <c r="D420" s="5" t="inlineStr">
        <is>
          <t>101687</t>
        </is>
      </c>
    </row>
    <row r="421">
      <c r="A421" s="5" t="inlineStr">
        <is>
          <t>Consumables Suppliers</t>
        </is>
      </c>
      <c r="B421" s="5" t="inlineStr">
        <is>
          <t>AGIS EQUIPAMENTOS E SERVIÇOS DE INFORMATICA LTDA</t>
        </is>
      </c>
      <c r="C421" s="5" t="n">
        <v>101688</v>
      </c>
      <c r="D421" s="5" t="inlineStr">
        <is>
          <t>101688</t>
        </is>
      </c>
    </row>
    <row r="422">
      <c r="A422" s="5" t="inlineStr">
        <is>
          <t>Other Suppliers</t>
        </is>
      </c>
      <c r="B422" s="5" t="inlineStr">
        <is>
          <t>UNILINK TRANSPORTES INTEGRADOS LTDA</t>
        </is>
      </c>
      <c r="C422" s="5" t="n">
        <v>101689</v>
      </c>
      <c r="D422" s="5" t="inlineStr">
        <is>
          <t>101689</t>
        </is>
      </c>
    </row>
    <row r="423">
      <c r="A423" s="5" t="inlineStr">
        <is>
          <t>Legal Services Suppliers</t>
        </is>
      </c>
      <c r="B423" s="5" t="inlineStr">
        <is>
          <t>TES TRANSFOR EQUIPAMENTOS ELETRICOS</t>
        </is>
      </c>
      <c r="C423" s="5" t="n">
        <v>101690</v>
      </c>
      <c r="D423" s="5" t="inlineStr">
        <is>
          <t>101690</t>
        </is>
      </c>
    </row>
    <row r="424">
      <c r="A424" s="5" t="inlineStr">
        <is>
          <t>Operational Suppliers (Wind Farms)</t>
        </is>
      </c>
      <c r="B424" s="5" t="inlineStr">
        <is>
          <t>SETE RADIOCOMUNICACAO LTDA ME</t>
        </is>
      </c>
      <c r="C424" s="5" t="n">
        <v>101692</v>
      </c>
      <c r="D424" s="5" t="inlineStr">
        <is>
          <t>101692</t>
        </is>
      </c>
    </row>
    <row r="425">
      <c r="A425" s="5" t="inlineStr">
        <is>
          <t>Operational Suppliers (Wind Farms)</t>
        </is>
      </c>
      <c r="B425" s="5" t="inlineStr">
        <is>
          <t>LANA CALIBRACAO DE INST E MANUTENCO</t>
        </is>
      </c>
      <c r="C425" s="5" t="n">
        <v>101696</v>
      </c>
      <c r="D425" s="5" t="inlineStr">
        <is>
          <t>101696</t>
        </is>
      </c>
    </row>
    <row r="426">
      <c r="A426" s="5" t="inlineStr">
        <is>
          <t>Taxes Payable</t>
        </is>
      </c>
      <c r="B426" s="5" t="inlineStr">
        <is>
          <t>MUNICIPIO DE MULUNGU DO MORRO</t>
        </is>
      </c>
      <c r="C426" s="5" t="n">
        <v>101700</v>
      </c>
      <c r="D426" s="5" t="inlineStr">
        <is>
          <t>101700</t>
        </is>
      </c>
    </row>
    <row r="427">
      <c r="A427" s="5" t="inlineStr">
        <is>
          <t>Other Suppliers</t>
        </is>
      </c>
      <c r="B427" s="5" t="inlineStr"/>
      <c r="C427" s="5" t="n">
        <v>101701</v>
      </c>
      <c r="D427" s="5" t="inlineStr">
        <is>
          <t>101701</t>
        </is>
      </c>
    </row>
    <row r="428">
      <c r="A428" s="5" t="inlineStr">
        <is>
          <t>Other Suppliers</t>
        </is>
      </c>
      <c r="B428" s="5" t="inlineStr"/>
      <c r="C428" s="5" t="n">
        <v>101702</v>
      </c>
      <c r="D428" s="5" t="inlineStr">
        <is>
          <t>101702</t>
        </is>
      </c>
    </row>
    <row r="429">
      <c r="A429" s="5" t="inlineStr">
        <is>
          <t>Other Suppliers</t>
        </is>
      </c>
      <c r="B429" s="5" t="inlineStr">
        <is>
          <t>ARK TEC GUARDA DE DOCUMENTOS LTDA</t>
        </is>
      </c>
      <c r="C429" s="5" t="n">
        <v>101703</v>
      </c>
      <c r="D429" s="5" t="inlineStr">
        <is>
          <t>101703</t>
        </is>
      </c>
    </row>
    <row r="430">
      <c r="A430" s="5" t="inlineStr">
        <is>
          <t>Operational Suppliers (Wind Farms)</t>
        </is>
      </c>
      <c r="B430" s="5" t="inlineStr"/>
      <c r="C430" s="5" t="n">
        <v>101705</v>
      </c>
      <c r="D430" s="5" t="inlineStr">
        <is>
          <t>101705</t>
        </is>
      </c>
    </row>
    <row r="431">
      <c r="A431" s="5" t="inlineStr">
        <is>
          <t>Other Suppliers</t>
        </is>
      </c>
      <c r="B431" s="5" t="inlineStr"/>
      <c r="C431" s="5" t="n">
        <v>101711</v>
      </c>
      <c r="D431" s="5" t="inlineStr">
        <is>
          <t>101711</t>
        </is>
      </c>
    </row>
    <row r="432">
      <c r="A432" s="5" t="inlineStr">
        <is>
          <t>Other Suppliers</t>
        </is>
      </c>
      <c r="B432" s="5" t="inlineStr">
        <is>
          <t>COPLAS INDUSTRIA DE PLASTICOS LTDA</t>
        </is>
      </c>
      <c r="C432" s="5" t="n">
        <v>101713</v>
      </c>
      <c r="D432" s="5" t="inlineStr">
        <is>
          <t>101713</t>
        </is>
      </c>
    </row>
    <row r="433">
      <c r="A433" s="5" t="inlineStr">
        <is>
          <t>Operational Suppliers (Wind Farms)</t>
        </is>
      </c>
      <c r="B433" s="5" t="inlineStr">
        <is>
          <t>VCI DO BRASIL IND E COMERC DE COMP</t>
        </is>
      </c>
      <c r="C433" s="5" t="n">
        <v>101714</v>
      </c>
      <c r="D433" s="5" t="inlineStr">
        <is>
          <t>101714</t>
        </is>
      </c>
    </row>
    <row r="434">
      <c r="A434" s="5" t="inlineStr">
        <is>
          <t>Operational Suppliers (Wind Farms)</t>
        </is>
      </c>
      <c r="B434" s="5" t="inlineStr"/>
      <c r="C434" s="5" t="n">
        <v>101717</v>
      </c>
      <c r="D434" s="5" t="inlineStr">
        <is>
          <t>101717</t>
        </is>
      </c>
    </row>
    <row r="435">
      <c r="A435" s="5" t="inlineStr">
        <is>
          <t>Other Suppliers</t>
        </is>
      </c>
      <c r="B435" s="5" t="inlineStr">
        <is>
          <t>ITS TELECOMUNICACOES LTDA</t>
        </is>
      </c>
      <c r="C435" s="5" t="n">
        <v>101718</v>
      </c>
      <c r="D435" s="5" t="inlineStr">
        <is>
          <t>101718</t>
        </is>
      </c>
    </row>
    <row r="436">
      <c r="A436" s="5" t="inlineStr">
        <is>
          <t>Other Suppliers</t>
        </is>
      </c>
      <c r="B436" s="5" t="inlineStr"/>
      <c r="C436" s="5" t="n">
        <v>101719</v>
      </c>
      <c r="D436" s="5" t="inlineStr">
        <is>
          <t>101719</t>
        </is>
      </c>
    </row>
    <row r="437">
      <c r="A437" s="5" t="inlineStr">
        <is>
          <t>Other Suppliers</t>
        </is>
      </c>
      <c r="B437" s="5" t="inlineStr"/>
      <c r="C437" s="5" t="n">
        <v>101720</v>
      </c>
      <c r="D437" s="5" t="inlineStr">
        <is>
          <t>101720</t>
        </is>
      </c>
    </row>
    <row r="438">
      <c r="A438" s="5" t="inlineStr">
        <is>
          <t>Other Suppliers</t>
        </is>
      </c>
      <c r="B438" s="5" t="inlineStr"/>
      <c r="C438" s="5" t="n">
        <v>101722</v>
      </c>
      <c r="D438" s="5" t="inlineStr">
        <is>
          <t>101722</t>
        </is>
      </c>
    </row>
    <row r="439">
      <c r="A439" s="5" t="inlineStr">
        <is>
          <t>Other Suppliers</t>
        </is>
      </c>
      <c r="B439" s="5" t="inlineStr"/>
      <c r="C439" s="5" t="n">
        <v>101723</v>
      </c>
      <c r="D439" s="5" t="inlineStr">
        <is>
          <t>101723</t>
        </is>
      </c>
    </row>
    <row r="440">
      <c r="A440" s="5" t="inlineStr">
        <is>
          <t>Other Suppliers</t>
        </is>
      </c>
      <c r="B440" s="5" t="inlineStr"/>
      <c r="C440" s="5" t="n">
        <v>101724</v>
      </c>
      <c r="D440" s="5" t="inlineStr">
        <is>
          <t>101724</t>
        </is>
      </c>
    </row>
    <row r="441">
      <c r="A441" s="5" t="inlineStr">
        <is>
          <t>Other Suppliers</t>
        </is>
      </c>
      <c r="B441" s="5" t="inlineStr"/>
      <c r="C441" s="5" t="n">
        <v>101725</v>
      </c>
      <c r="D441" s="5" t="inlineStr">
        <is>
          <t>101725</t>
        </is>
      </c>
    </row>
    <row r="442">
      <c r="A442" s="5" t="inlineStr">
        <is>
          <t>Operational Suppliers (Wind Farms)</t>
        </is>
      </c>
      <c r="B442" s="5" t="inlineStr">
        <is>
          <t>TRANSFORTECH ENGENHARIA LTDA</t>
        </is>
      </c>
      <c r="C442" s="5" t="n">
        <v>101726</v>
      </c>
      <c r="D442" s="5" t="inlineStr">
        <is>
          <t>101726</t>
        </is>
      </c>
    </row>
    <row r="443">
      <c r="A443" s="5" t="inlineStr">
        <is>
          <t>Other Suppliers</t>
        </is>
      </c>
      <c r="B443" s="5" t="inlineStr"/>
      <c r="C443" s="5" t="n">
        <v>101729</v>
      </c>
      <c r="D443" s="5" t="inlineStr">
        <is>
          <t>101729</t>
        </is>
      </c>
    </row>
    <row r="444">
      <c r="A444" s="5" t="inlineStr">
        <is>
          <t>Other Suppliers</t>
        </is>
      </c>
      <c r="B444" s="5" t="inlineStr"/>
      <c r="C444" s="5" t="n">
        <v>101732</v>
      </c>
      <c r="D444" s="5" t="inlineStr">
        <is>
          <t>101732</t>
        </is>
      </c>
    </row>
    <row r="445">
      <c r="A445" s="5" t="inlineStr">
        <is>
          <t>Other Suppliers</t>
        </is>
      </c>
      <c r="B445" s="5" t="inlineStr"/>
      <c r="C445" s="5" t="n">
        <v>101742</v>
      </c>
      <c r="D445" s="5" t="inlineStr">
        <is>
          <t>101742</t>
        </is>
      </c>
    </row>
    <row r="446">
      <c r="A446" s="5" t="inlineStr">
        <is>
          <t>Other Suppliers</t>
        </is>
      </c>
      <c r="B446" s="5" t="inlineStr"/>
      <c r="C446" s="5" t="n">
        <v>101745</v>
      </c>
      <c r="D446" s="5" t="inlineStr">
        <is>
          <t>101745</t>
        </is>
      </c>
    </row>
    <row r="447">
      <c r="A447" s="5" t="inlineStr">
        <is>
          <t>Customs Brokerage – Overall</t>
        </is>
      </c>
      <c r="B447" s="5" t="inlineStr">
        <is>
          <t>SECRETARIA DA FAZENDA DO ESTADO DO</t>
        </is>
      </c>
      <c r="C447" s="5" t="n">
        <v>101746</v>
      </c>
      <c r="D447" s="5" t="inlineStr">
        <is>
          <t>101746</t>
        </is>
      </c>
    </row>
    <row r="448">
      <c r="A448" s="5" t="inlineStr">
        <is>
          <t>Other Suppliers</t>
        </is>
      </c>
      <c r="B448" s="5" t="inlineStr"/>
      <c r="C448" s="5" t="n">
        <v>101748</v>
      </c>
      <c r="D448" s="5" t="inlineStr">
        <is>
          <t>101748</t>
        </is>
      </c>
    </row>
    <row r="449">
      <c r="A449" s="5" t="inlineStr">
        <is>
          <t>Other Suppliers</t>
        </is>
      </c>
      <c r="B449" s="5" t="inlineStr">
        <is>
          <t>METLIFE PLANOS ODONTOLOGICOS LTDA</t>
        </is>
      </c>
      <c r="C449" s="5" t="n">
        <v>101751</v>
      </c>
      <c r="D449" s="5" t="inlineStr">
        <is>
          <t>101751</t>
        </is>
      </c>
    </row>
    <row r="450">
      <c r="A450" s="5" t="inlineStr">
        <is>
          <t>Other Suppliers</t>
        </is>
      </c>
      <c r="B450" s="5" t="inlineStr"/>
      <c r="C450" s="5" t="n">
        <v>101752</v>
      </c>
      <c r="D450" s="5" t="inlineStr">
        <is>
          <t>101752</t>
        </is>
      </c>
    </row>
    <row r="451">
      <c r="A451" s="5" t="inlineStr">
        <is>
          <t>Customs Brokerage – Overall</t>
        </is>
      </c>
      <c r="B451" s="5" t="inlineStr">
        <is>
          <t>NEW SMART LOG TRANSP INTERNAC LTDA</t>
        </is>
      </c>
      <c r="C451" s="5" t="n">
        <v>101755</v>
      </c>
      <c r="D451" s="5" t="inlineStr">
        <is>
          <t>101755</t>
        </is>
      </c>
    </row>
    <row r="452">
      <c r="A452" s="5" t="inlineStr">
        <is>
          <t>Customs Brokerage – Overall</t>
        </is>
      </c>
      <c r="B452" s="5" t="inlineStr"/>
      <c r="C452" s="5" t="n">
        <v>101756</v>
      </c>
      <c r="D452" s="5" t="inlineStr">
        <is>
          <t>101756</t>
        </is>
      </c>
    </row>
    <row r="453">
      <c r="A453" s="5" t="inlineStr">
        <is>
          <t>Other Suppliers</t>
        </is>
      </c>
      <c r="B453" s="5" t="inlineStr">
        <is>
          <t>R J C COELHO  ME</t>
        </is>
      </c>
      <c r="C453" s="5" t="n">
        <v>101760</v>
      </c>
      <c r="D453" s="5" t="inlineStr">
        <is>
          <t>101760</t>
        </is>
      </c>
    </row>
    <row r="454">
      <c r="A454" s="5" t="inlineStr">
        <is>
          <t>Taxes Payable</t>
        </is>
      </c>
      <c r="B454" s="5" t="inlineStr">
        <is>
          <t>MUNICIPIO DE LAGOA DO BARRO DO PIAU</t>
        </is>
      </c>
      <c r="C454" s="5" t="n">
        <v>101763</v>
      </c>
      <c r="D454" s="5" t="inlineStr">
        <is>
          <t>101763</t>
        </is>
      </c>
    </row>
    <row r="455">
      <c r="A455" s="5" t="inlineStr">
        <is>
          <t>Other Suppliers</t>
        </is>
      </c>
      <c r="B455" s="5" t="inlineStr">
        <is>
          <t>INTERJATO TELECOM LTDA - ME</t>
        </is>
      </c>
      <c r="C455" s="5" t="n">
        <v>101764</v>
      </c>
      <c r="D455" s="5" t="inlineStr">
        <is>
          <t>101764</t>
        </is>
      </c>
    </row>
    <row r="456">
      <c r="A456" s="5" t="inlineStr">
        <is>
          <t>Other Suppliers</t>
        </is>
      </c>
      <c r="B456" s="5" t="inlineStr">
        <is>
          <t>C DA SILVA CARVALHO E FILHA LTDA</t>
        </is>
      </c>
      <c r="C456" s="5" t="n">
        <v>101765</v>
      </c>
      <c r="D456" s="5" t="inlineStr">
        <is>
          <t>101765</t>
        </is>
      </c>
    </row>
    <row r="457">
      <c r="A457" s="5" t="inlineStr">
        <is>
          <t>Other Suppliers</t>
        </is>
      </c>
      <c r="B457" s="5" t="inlineStr"/>
      <c r="C457" s="5" t="n">
        <v>101768</v>
      </c>
      <c r="D457" s="5" t="inlineStr">
        <is>
          <t>101768</t>
        </is>
      </c>
    </row>
    <row r="458">
      <c r="A458" s="5" t="inlineStr">
        <is>
          <t>Other Suppliers</t>
        </is>
      </c>
      <c r="B458" s="5" t="inlineStr"/>
      <c r="C458" s="5" t="n">
        <v>101769</v>
      </c>
      <c r="D458" s="5" t="inlineStr">
        <is>
          <t>101769</t>
        </is>
      </c>
    </row>
    <row r="459">
      <c r="A459" s="5" t="inlineStr">
        <is>
          <t>Other Suppliers</t>
        </is>
      </c>
      <c r="B459" s="5" t="inlineStr">
        <is>
          <t>RUZINALDO BARROS MOURA</t>
        </is>
      </c>
      <c r="C459" s="5" t="n">
        <v>101771</v>
      </c>
      <c r="D459" s="5" t="inlineStr">
        <is>
          <t>101771</t>
        </is>
      </c>
    </row>
    <row r="460">
      <c r="A460" s="5" t="inlineStr">
        <is>
          <t>Other Suppliers</t>
        </is>
      </c>
      <c r="B460" s="5" t="inlineStr">
        <is>
          <t>SOUSATEC.NET LTDA  ME</t>
        </is>
      </c>
      <c r="C460" s="5" t="n">
        <v>101775</v>
      </c>
      <c r="D460" s="5" t="inlineStr">
        <is>
          <t>101775</t>
        </is>
      </c>
    </row>
    <row r="461">
      <c r="A461" s="5" t="inlineStr">
        <is>
          <t>Other Suppliers</t>
        </is>
      </c>
      <c r="B461" s="5" t="inlineStr">
        <is>
          <t>INGRAM MICRO BRASIL LTDA</t>
        </is>
      </c>
      <c r="C461" s="5" t="n">
        <v>101777</v>
      </c>
      <c r="D461" s="5" t="inlineStr">
        <is>
          <t>101777</t>
        </is>
      </c>
    </row>
    <row r="462">
      <c r="A462" s="5" t="inlineStr">
        <is>
          <t>Other Suppliers</t>
        </is>
      </c>
      <c r="B462" s="5" t="inlineStr"/>
      <c r="C462" s="5" t="n">
        <v>101778</v>
      </c>
      <c r="D462" s="5" t="inlineStr">
        <is>
          <t>101778</t>
        </is>
      </c>
    </row>
    <row r="463">
      <c r="A463" s="5" t="inlineStr">
        <is>
          <t>Operational Suppliers (Wind Farms)</t>
        </is>
      </c>
      <c r="B463" s="5" t="inlineStr"/>
      <c r="C463" s="5" t="n">
        <v>101780</v>
      </c>
      <c r="D463" s="5" t="inlineStr">
        <is>
          <t>101780</t>
        </is>
      </c>
    </row>
    <row r="464">
      <c r="A464" s="5" t="inlineStr">
        <is>
          <t>Operational Suppliers (Wind Farms)</t>
        </is>
      </c>
      <c r="B464" s="5" t="inlineStr"/>
      <c r="C464" s="5" t="n">
        <v>101786</v>
      </c>
      <c r="D464" s="5" t="inlineStr">
        <is>
          <t>101786</t>
        </is>
      </c>
    </row>
    <row r="465">
      <c r="A465" s="5" t="inlineStr">
        <is>
          <t>Other Suppliers</t>
        </is>
      </c>
      <c r="B465" s="5" t="inlineStr"/>
      <c r="C465" s="5" t="n">
        <v>101787</v>
      </c>
      <c r="D465" s="5" t="inlineStr">
        <is>
          <t>101787</t>
        </is>
      </c>
    </row>
    <row r="466">
      <c r="A466" s="5" t="inlineStr">
        <is>
          <t>Operational Suppliers (Wind Farms)</t>
        </is>
      </c>
      <c r="B466" s="5" t="inlineStr">
        <is>
          <t>FERRAMENTAS GERAIS COM IMP DE FER E</t>
        </is>
      </c>
      <c r="C466" s="5" t="n">
        <v>101790</v>
      </c>
      <c r="D466" s="5" t="inlineStr">
        <is>
          <t>101790</t>
        </is>
      </c>
    </row>
    <row r="467">
      <c r="A467" s="5" t="inlineStr">
        <is>
          <t>Other Suppliers</t>
        </is>
      </c>
      <c r="B467" s="5" t="inlineStr">
        <is>
          <t>INT DE PESQUISAS TECNOLOGICAS EST D</t>
        </is>
      </c>
      <c r="C467" s="5" t="n">
        <v>101791</v>
      </c>
      <c r="D467" s="5" t="inlineStr">
        <is>
          <t>101791</t>
        </is>
      </c>
    </row>
    <row r="468">
      <c r="A468" s="5" t="inlineStr">
        <is>
          <t>Other Suppliers</t>
        </is>
      </c>
      <c r="B468" s="5" t="inlineStr"/>
      <c r="C468" s="5" t="n">
        <v>101795</v>
      </c>
      <c r="D468" s="5" t="inlineStr">
        <is>
          <t>101795</t>
        </is>
      </c>
    </row>
    <row r="469">
      <c r="A469" s="5" t="inlineStr">
        <is>
          <t>Operational Suppliers (Wind Farms)</t>
        </is>
      </c>
      <c r="B469" s="5" t="inlineStr"/>
      <c r="C469" s="5" t="n">
        <v>101798</v>
      </c>
      <c r="D469" s="5" t="inlineStr">
        <is>
          <t>101798</t>
        </is>
      </c>
    </row>
    <row r="470">
      <c r="A470" s="5" t="inlineStr">
        <is>
          <t>Operational Suppliers (Wind Farms)</t>
        </is>
      </c>
      <c r="B470" s="5" t="inlineStr"/>
      <c r="C470" s="5" t="n">
        <v>101799</v>
      </c>
      <c r="D470" s="5" t="inlineStr">
        <is>
          <t>101799</t>
        </is>
      </c>
    </row>
    <row r="471">
      <c r="A471" s="5" t="inlineStr">
        <is>
          <t>Operational Suppliers (Wind Farms)</t>
        </is>
      </c>
      <c r="B471" s="5" t="inlineStr">
        <is>
          <t>DARCY PACHECO SOLUCOES DE PESO LTDA 89396121000108</t>
        </is>
      </c>
      <c r="C471" s="5" t="n">
        <v>101801</v>
      </c>
      <c r="D471" s="5" t="inlineStr">
        <is>
          <t>101801</t>
        </is>
      </c>
    </row>
    <row r="472">
      <c r="A472" s="5" t="inlineStr">
        <is>
          <t>Operational Suppliers (Wind Farms)</t>
        </is>
      </c>
      <c r="B472" s="5" t="inlineStr"/>
      <c r="C472" s="5" t="n">
        <v>101802</v>
      </c>
      <c r="D472" s="5" t="inlineStr">
        <is>
          <t>101802</t>
        </is>
      </c>
    </row>
    <row r="473">
      <c r="A473" s="5" t="inlineStr">
        <is>
          <t>Operational Suppliers (Wind Farms)</t>
        </is>
      </c>
      <c r="B473" s="5" t="inlineStr"/>
      <c r="C473" s="5" t="n">
        <v>101804</v>
      </c>
      <c r="D473" s="5" t="inlineStr">
        <is>
          <t>101804</t>
        </is>
      </c>
    </row>
    <row r="474">
      <c r="A474" s="5" t="inlineStr">
        <is>
          <t>Customs Brokerage – Overall</t>
        </is>
      </c>
      <c r="B474" s="5" t="inlineStr">
        <is>
          <t>COLUMBIA DO NORD S A</t>
        </is>
      </c>
      <c r="C474" s="5" t="n">
        <v>101806</v>
      </c>
      <c r="D474" s="5" t="inlineStr">
        <is>
          <t>101806</t>
        </is>
      </c>
    </row>
    <row r="475">
      <c r="A475" s="5" t="inlineStr">
        <is>
          <t>Customs Brokerage – Overall</t>
        </is>
      </c>
      <c r="B475" s="5" t="inlineStr">
        <is>
          <t>TECON SUAPE SA</t>
        </is>
      </c>
      <c r="C475" s="5" t="n">
        <v>101809</v>
      </c>
      <c r="D475" s="5" t="inlineStr">
        <is>
          <t>101809</t>
        </is>
      </c>
    </row>
    <row r="476">
      <c r="A476" s="5" t="inlineStr">
        <is>
          <t>Customs Brokerage – Overall</t>
        </is>
      </c>
      <c r="B476" s="5" t="inlineStr">
        <is>
          <t>TECON RIO GRANDE SA</t>
        </is>
      </c>
      <c r="C476" s="5" t="n">
        <v>101813</v>
      </c>
      <c r="D476" s="5" t="inlineStr">
        <is>
          <t>101813</t>
        </is>
      </c>
    </row>
    <row r="477">
      <c r="A477" s="5" t="inlineStr">
        <is>
          <t>Other Suppliers</t>
        </is>
      </c>
      <c r="B477" s="5" t="inlineStr"/>
      <c r="C477" s="5" t="n">
        <v>101814</v>
      </c>
      <c r="D477" s="5" t="inlineStr">
        <is>
          <t>101814</t>
        </is>
      </c>
    </row>
    <row r="478">
      <c r="A478" s="5" t="inlineStr">
        <is>
          <t>Customs Brokerage – Overall</t>
        </is>
      </c>
      <c r="B478" s="5" t="inlineStr">
        <is>
          <t>FIGWAL TRANSPORTES INTERNACIONAIS L</t>
        </is>
      </c>
      <c r="C478" s="5" t="n">
        <v>101817</v>
      </c>
      <c r="D478" s="5" t="inlineStr">
        <is>
          <t>101817</t>
        </is>
      </c>
    </row>
    <row r="479">
      <c r="A479" s="5" t="inlineStr">
        <is>
          <t>Other Suppliers</t>
        </is>
      </c>
      <c r="B479" s="5" t="inlineStr"/>
      <c r="C479" s="5" t="n">
        <v>101821</v>
      </c>
      <c r="D479" s="5" t="inlineStr">
        <is>
          <t>101821</t>
        </is>
      </c>
    </row>
    <row r="480">
      <c r="A480" s="5" t="inlineStr">
        <is>
          <t>Other Suppliers</t>
        </is>
      </c>
      <c r="B480" s="5" t="inlineStr"/>
      <c r="C480" s="5" t="n">
        <v>101823</v>
      </c>
      <c r="D480" s="5" t="inlineStr">
        <is>
          <t>101823</t>
        </is>
      </c>
    </row>
    <row r="481">
      <c r="A481" s="5" t="inlineStr">
        <is>
          <t>Other Suppliers</t>
        </is>
      </c>
      <c r="B481" s="5" t="inlineStr"/>
      <c r="C481" s="5" t="n">
        <v>101824</v>
      </c>
      <c r="D481" s="5" t="inlineStr">
        <is>
          <t>101824</t>
        </is>
      </c>
    </row>
    <row r="482">
      <c r="A482" s="5" t="inlineStr">
        <is>
          <t>Other Suppliers</t>
        </is>
      </c>
      <c r="B482" s="5" t="inlineStr">
        <is>
          <t>WURTH DO BRASIL PECAS DE FIXACAO LT</t>
        </is>
      </c>
      <c r="C482" s="5" t="n">
        <v>101825</v>
      </c>
      <c r="D482" s="5" t="inlineStr">
        <is>
          <t>101825</t>
        </is>
      </c>
    </row>
    <row r="483">
      <c r="A483" s="5" t="inlineStr">
        <is>
          <t>Other Suppliers</t>
        </is>
      </c>
      <c r="B483" s="5" t="inlineStr">
        <is>
          <t>BUNZL EQUIP DE PROTECÃO INDIVIDUAL</t>
        </is>
      </c>
      <c r="C483" s="5" t="n">
        <v>101826</v>
      </c>
      <c r="D483" s="5" t="inlineStr">
        <is>
          <t>101826</t>
        </is>
      </c>
    </row>
    <row r="484">
      <c r="A484" s="5" t="inlineStr">
        <is>
          <t>Customs Brokerage – Overall</t>
        </is>
      </c>
      <c r="B484" s="5" t="inlineStr"/>
      <c r="C484" s="5" t="n">
        <v>101831</v>
      </c>
      <c r="D484" s="5" t="inlineStr">
        <is>
          <t>101831</t>
        </is>
      </c>
    </row>
    <row r="485">
      <c r="A485" s="5" t="inlineStr">
        <is>
          <t>Taxes Payable</t>
        </is>
      </c>
      <c r="B485" s="5" t="inlineStr"/>
      <c r="C485" s="5" t="n">
        <v>101832</v>
      </c>
      <c r="D485" s="5" t="inlineStr">
        <is>
          <t>101832</t>
        </is>
      </c>
    </row>
    <row r="486">
      <c r="A486" s="5" t="inlineStr">
        <is>
          <t>Consumables Suppliers</t>
        </is>
      </c>
      <c r="B486" s="5" t="inlineStr"/>
      <c r="C486" s="5" t="n">
        <v>101833</v>
      </c>
      <c r="D486" s="5" t="inlineStr">
        <is>
          <t>101833</t>
        </is>
      </c>
    </row>
    <row r="487">
      <c r="A487" s="5" t="inlineStr">
        <is>
          <t>Operational Suppliers (Wind Farms)</t>
        </is>
      </c>
      <c r="B487" s="5" t="inlineStr"/>
      <c r="C487" s="5" t="n">
        <v>101835</v>
      </c>
      <c r="D487" s="5" t="inlineStr">
        <is>
          <t>101835</t>
        </is>
      </c>
    </row>
    <row r="488">
      <c r="A488" s="5" t="inlineStr">
        <is>
          <t>Operational Suppliers (Wind Farms)</t>
        </is>
      </c>
      <c r="B488" s="5" t="inlineStr">
        <is>
          <t>SIKA S/A</t>
        </is>
      </c>
      <c r="C488" s="5" t="n">
        <v>101836</v>
      </c>
      <c r="D488" s="5" t="inlineStr">
        <is>
          <t>101836</t>
        </is>
      </c>
    </row>
    <row r="489">
      <c r="A489" s="5" t="inlineStr">
        <is>
          <t>Operational Suppliers (Wind Farms)</t>
        </is>
      </c>
      <c r="B489" s="5" t="inlineStr"/>
      <c r="C489" s="5" t="n">
        <v>101837</v>
      </c>
      <c r="D489" s="5" t="inlineStr">
        <is>
          <t>101837</t>
        </is>
      </c>
    </row>
    <row r="490">
      <c r="A490" s="5" t="inlineStr">
        <is>
          <t>Other Suppliers</t>
        </is>
      </c>
      <c r="B490" s="5" t="inlineStr"/>
      <c r="C490" s="5" t="n">
        <v>101839</v>
      </c>
      <c r="D490" s="5" t="inlineStr">
        <is>
          <t>101839</t>
        </is>
      </c>
    </row>
    <row r="491">
      <c r="A491" s="5" t="inlineStr">
        <is>
          <t>Other Suppliers</t>
        </is>
      </c>
      <c r="B491" s="5" t="inlineStr"/>
      <c r="C491" s="5" t="n">
        <v>101841</v>
      </c>
      <c r="D491" s="5" t="inlineStr">
        <is>
          <t>101841</t>
        </is>
      </c>
    </row>
    <row r="492">
      <c r="A492" s="5" t="inlineStr">
        <is>
          <t>Operational Suppliers (Wind Farms)</t>
        </is>
      </c>
      <c r="B492" s="5" t="inlineStr">
        <is>
          <t>COATE CONCRETO AGUA E TERRA LTDA</t>
        </is>
      </c>
      <c r="C492" s="5" t="n">
        <v>101844</v>
      </c>
      <c r="D492" s="5" t="inlineStr">
        <is>
          <t>101844</t>
        </is>
      </c>
    </row>
    <row r="493">
      <c r="A493" s="5" t="inlineStr">
        <is>
          <t>Other Suppliers</t>
        </is>
      </c>
      <c r="B493" s="5" t="inlineStr">
        <is>
          <t>INNOVARE CONTABILIDADE LTDA EPP</t>
        </is>
      </c>
      <c r="C493" s="5" t="n">
        <v>101846</v>
      </c>
      <c r="D493" s="5" t="inlineStr">
        <is>
          <t>101846</t>
        </is>
      </c>
    </row>
    <row r="494">
      <c r="A494" s="5" t="inlineStr">
        <is>
          <t>Other Suppliers</t>
        </is>
      </c>
      <c r="B494" s="5" t="inlineStr">
        <is>
          <t>KLUBER LUBRICATION LUBRIF ESPECIAIS</t>
        </is>
      </c>
      <c r="C494" s="5" t="n">
        <v>101848</v>
      </c>
      <c r="D494" s="5" t="inlineStr">
        <is>
          <t>101848</t>
        </is>
      </c>
    </row>
    <row r="495">
      <c r="A495" s="5" t="inlineStr">
        <is>
          <t>Other Suppliers</t>
        </is>
      </c>
      <c r="B495" s="5" t="inlineStr"/>
      <c r="C495" s="5" t="n">
        <v>101854</v>
      </c>
      <c r="D495" s="5" t="inlineStr">
        <is>
          <t>101854</t>
        </is>
      </c>
    </row>
    <row r="496">
      <c r="A496" s="5" t="inlineStr">
        <is>
          <t>Operational Suppliers (Wind Farms)</t>
        </is>
      </c>
      <c r="B496" s="5" t="inlineStr">
        <is>
          <t>GERDAU ACOS LONGOS SA</t>
        </is>
      </c>
      <c r="C496" s="5" t="n">
        <v>101855</v>
      </c>
      <c r="D496" s="5" t="inlineStr">
        <is>
          <t>101855</t>
        </is>
      </c>
    </row>
    <row r="497">
      <c r="A497" s="5" t="inlineStr">
        <is>
          <t>Legal Services Suppliers</t>
        </is>
      </c>
      <c r="B497" s="5" t="inlineStr">
        <is>
          <t>PAULO FRANCO SOCIEDADE DE ADVOGADOS</t>
        </is>
      </c>
      <c r="C497" s="5" t="n">
        <v>101858</v>
      </c>
      <c r="D497" s="5" t="inlineStr">
        <is>
          <t>101858</t>
        </is>
      </c>
    </row>
    <row r="498">
      <c r="A498" s="5" t="inlineStr">
        <is>
          <t>Other Suppliers</t>
        </is>
      </c>
      <c r="B498" s="5" t="inlineStr"/>
      <c r="C498" s="5" t="n">
        <v>101868</v>
      </c>
      <c r="D498" s="5" t="inlineStr">
        <is>
          <t>101868</t>
        </is>
      </c>
    </row>
    <row r="499">
      <c r="A499" s="5" t="inlineStr">
        <is>
          <t>Other Suppliers</t>
        </is>
      </c>
      <c r="B499" s="5" t="inlineStr">
        <is>
          <t>ASSOCIACAO BRASILEIRA DA IND DE MAQ</t>
        </is>
      </c>
      <c r="C499" s="5" t="n">
        <v>101869</v>
      </c>
      <c r="D499" s="5" t="inlineStr">
        <is>
          <t>101869</t>
        </is>
      </c>
    </row>
    <row r="500">
      <c r="A500" s="5" t="inlineStr">
        <is>
          <t>Operational Suppliers (Wind Farms)</t>
        </is>
      </c>
      <c r="B500" s="5" t="inlineStr">
        <is>
          <t>DANIEL TRANSPORTES LTDA</t>
        </is>
      </c>
      <c r="C500" s="5" t="n">
        <v>101875</v>
      </c>
      <c r="D500" s="5" t="inlineStr">
        <is>
          <t>101875</t>
        </is>
      </c>
    </row>
    <row r="501">
      <c r="A501" s="5" t="inlineStr">
        <is>
          <t>Other Suppliers</t>
        </is>
      </c>
      <c r="B501" s="5" t="inlineStr"/>
      <c r="C501" s="5" t="n">
        <v>101876</v>
      </c>
      <c r="D501" s="5" t="inlineStr">
        <is>
          <t>101876</t>
        </is>
      </c>
    </row>
    <row r="502">
      <c r="A502" s="5" t="inlineStr">
        <is>
          <t>Operational Suppliers (Wind Farms)</t>
        </is>
      </c>
      <c r="B502" s="5" t="inlineStr">
        <is>
          <t>UPLOG TRANSPORTES E LOGISTICA EIREL</t>
        </is>
      </c>
      <c r="C502" s="5" t="n">
        <v>101878</v>
      </c>
      <c r="D502" s="5" t="inlineStr">
        <is>
          <t>101878</t>
        </is>
      </c>
    </row>
    <row r="503">
      <c r="A503" s="5" t="inlineStr">
        <is>
          <t>LDs Service Payments</t>
        </is>
      </c>
      <c r="B503" s="5" t="inlineStr"/>
      <c r="C503" s="5" t="n">
        <v>101879</v>
      </c>
      <c r="D503" s="5" t="inlineStr">
        <is>
          <t>101879</t>
        </is>
      </c>
    </row>
    <row r="504">
      <c r="A504" s="5" t="inlineStr">
        <is>
          <t>LDs Service Payments</t>
        </is>
      </c>
      <c r="B504" s="5" t="inlineStr"/>
      <c r="C504" s="5" t="n">
        <v>101880</v>
      </c>
      <c r="D504" s="5" t="inlineStr">
        <is>
          <t>101880</t>
        </is>
      </c>
    </row>
    <row r="505">
      <c r="A505" s="5" t="inlineStr">
        <is>
          <t>LDs Service Payments</t>
        </is>
      </c>
      <c r="B505" s="5" t="inlineStr"/>
      <c r="C505" s="5" t="n">
        <v>101881</v>
      </c>
      <c r="D505" s="5" t="inlineStr">
        <is>
          <t>101881</t>
        </is>
      </c>
    </row>
    <row r="506">
      <c r="A506" s="5" t="inlineStr">
        <is>
          <t>Other Suppliers</t>
        </is>
      </c>
      <c r="B506" s="5" t="inlineStr"/>
      <c r="C506" s="5" t="n">
        <v>101882</v>
      </c>
      <c r="D506" s="5" t="inlineStr">
        <is>
          <t>101882</t>
        </is>
      </c>
    </row>
    <row r="507">
      <c r="A507" s="5" t="inlineStr">
        <is>
          <t>Other Suppliers</t>
        </is>
      </c>
      <c r="B507" s="5" t="inlineStr">
        <is>
          <t>MGO DE FREITAS</t>
        </is>
      </c>
      <c r="C507" s="5" t="n">
        <v>101887</v>
      </c>
      <c r="D507" s="5" t="inlineStr">
        <is>
          <t>101887</t>
        </is>
      </c>
    </row>
    <row r="508">
      <c r="A508" s="5" t="inlineStr">
        <is>
          <t>Corporate Card Payments</t>
        </is>
      </c>
      <c r="B508" s="5" t="inlineStr">
        <is>
          <t>BANCO SANTANDER BRASIL SA</t>
        </is>
      </c>
      <c r="C508" s="5" t="n">
        <v>101888</v>
      </c>
      <c r="D508" s="5" t="inlineStr">
        <is>
          <t>101888</t>
        </is>
      </c>
    </row>
    <row r="509">
      <c r="A509" s="5" t="inlineStr">
        <is>
          <t>Operational Suppliers (Wind Farms)</t>
        </is>
      </c>
      <c r="B509" s="5" t="inlineStr"/>
      <c r="C509" s="5" t="n">
        <v>101890</v>
      </c>
      <c r="D509" s="5" t="inlineStr">
        <is>
          <t>101890</t>
        </is>
      </c>
    </row>
    <row r="510">
      <c r="A510" s="5" t="inlineStr">
        <is>
          <t>Other Suppliers</t>
        </is>
      </c>
      <c r="B510" s="5" t="inlineStr"/>
      <c r="C510" s="5" t="n">
        <v>101892</v>
      </c>
      <c r="D510" s="5" t="inlineStr">
        <is>
          <t>101892</t>
        </is>
      </c>
    </row>
    <row r="511">
      <c r="A511" s="5" t="inlineStr">
        <is>
          <t>Other Suppliers</t>
        </is>
      </c>
      <c r="B511" s="5" t="inlineStr"/>
      <c r="C511" s="5" t="n">
        <v>101894</v>
      </c>
      <c r="D511" s="5" t="inlineStr">
        <is>
          <t>101894</t>
        </is>
      </c>
    </row>
    <row r="512">
      <c r="A512" s="5" t="inlineStr">
        <is>
          <t>Other Suppliers</t>
        </is>
      </c>
      <c r="B512" s="5" t="inlineStr"/>
      <c r="C512" s="5" t="n">
        <v>101895</v>
      </c>
      <c r="D512" s="5" t="inlineStr">
        <is>
          <t>101895</t>
        </is>
      </c>
    </row>
    <row r="513">
      <c r="A513" s="5" t="inlineStr">
        <is>
          <t>Other Suppliers</t>
        </is>
      </c>
      <c r="B513" s="5" t="inlineStr">
        <is>
          <t>EMTERC SERVICOS E CONSTRUCOES LTDA</t>
        </is>
      </c>
      <c r="C513" s="5" t="n">
        <v>101896</v>
      </c>
      <c r="D513" s="5" t="inlineStr">
        <is>
          <t>101896</t>
        </is>
      </c>
    </row>
    <row r="514">
      <c r="A514" s="5" t="inlineStr">
        <is>
          <t>Other Suppliers</t>
        </is>
      </c>
      <c r="B514" s="5" t="inlineStr">
        <is>
          <t>KL LOCACOES E SOLUCOES AMBIENTAIS L KL CONSTRUCOES E SERVICOS IMOBILIAR</t>
        </is>
      </c>
      <c r="C514" s="5" t="n">
        <v>101897</v>
      </c>
      <c r="D514" s="5" t="inlineStr">
        <is>
          <t>101897</t>
        </is>
      </c>
    </row>
    <row r="515">
      <c r="A515" s="5" t="inlineStr">
        <is>
          <t>Operational Suppliers (Wind Farms)</t>
        </is>
      </c>
      <c r="B515" s="5" t="inlineStr"/>
      <c r="C515" s="5" t="n">
        <v>101902</v>
      </c>
      <c r="D515" s="5" t="inlineStr">
        <is>
          <t>101902</t>
        </is>
      </c>
    </row>
    <row r="516">
      <c r="A516" s="5" t="inlineStr">
        <is>
          <t>Other Suppliers</t>
        </is>
      </c>
      <c r="B516" s="5" t="inlineStr"/>
      <c r="C516" s="5" t="n">
        <v>101905</v>
      </c>
      <c r="D516" s="5" t="inlineStr">
        <is>
          <t>101905</t>
        </is>
      </c>
    </row>
    <row r="517">
      <c r="A517" s="5" t="inlineStr">
        <is>
          <t>Other Suppliers</t>
        </is>
      </c>
      <c r="B517" s="5" t="inlineStr">
        <is>
          <t>F H F DE LIMA</t>
        </is>
      </c>
      <c r="C517" s="5" t="n">
        <v>101907</v>
      </c>
      <c r="D517" s="5" t="inlineStr">
        <is>
          <t>101907</t>
        </is>
      </c>
    </row>
    <row r="518">
      <c r="A518" s="5" t="inlineStr">
        <is>
          <t>Operational Suppliers (Wind Farms)</t>
        </is>
      </c>
      <c r="B518" s="5" t="inlineStr">
        <is>
          <t>INTERLAGOS SERVICE MOTORES LTDA  ME</t>
        </is>
      </c>
      <c r="C518" s="5" t="n">
        <v>101911</v>
      </c>
      <c r="D518" s="5" t="inlineStr">
        <is>
          <t>101911</t>
        </is>
      </c>
    </row>
    <row r="519">
      <c r="A519" s="5" t="inlineStr">
        <is>
          <t>Other Suppliers</t>
        </is>
      </c>
      <c r="B519" s="5" t="inlineStr">
        <is>
          <t>ELETRO TECNICA INTERLAGOS IND E COM</t>
        </is>
      </c>
      <c r="C519" s="5" t="n">
        <v>101913</v>
      </c>
      <c r="D519" s="5" t="inlineStr">
        <is>
          <t>101913</t>
        </is>
      </c>
    </row>
    <row r="520">
      <c r="A520" s="5" t="inlineStr">
        <is>
          <t>Consumables Suppliers</t>
        </is>
      </c>
      <c r="B520" s="5" t="inlineStr"/>
      <c r="C520" s="5" t="n">
        <v>101914</v>
      </c>
      <c r="D520" s="5" t="inlineStr">
        <is>
          <t>101914</t>
        </is>
      </c>
    </row>
    <row r="521">
      <c r="A521" s="5" t="inlineStr">
        <is>
          <t>Other Suppliers</t>
        </is>
      </c>
      <c r="B521" s="5" t="inlineStr">
        <is>
          <t>ROSCAFIX FIXACAO E VEDACAO LTDA</t>
        </is>
      </c>
      <c r="C521" s="5" t="n">
        <v>101917</v>
      </c>
      <c r="D521" s="5" t="inlineStr">
        <is>
          <t>101917</t>
        </is>
      </c>
    </row>
    <row r="522">
      <c r="A522" s="5" t="inlineStr">
        <is>
          <t>Taxes Payable</t>
        </is>
      </c>
      <c r="B522" s="5" t="inlineStr">
        <is>
          <t>MUNICIPIO DE AREIA BRANCA</t>
        </is>
      </c>
      <c r="C522" s="5" t="n">
        <v>101918</v>
      </c>
      <c r="D522" s="5" t="inlineStr">
        <is>
          <t>101918</t>
        </is>
      </c>
    </row>
    <row r="523">
      <c r="A523" s="5" t="inlineStr">
        <is>
          <t>Other Suppliers</t>
        </is>
      </c>
      <c r="B523" s="5" t="inlineStr"/>
      <c r="C523" s="5" t="n">
        <v>101919</v>
      </c>
      <c r="D523" s="5" t="inlineStr">
        <is>
          <t>101919</t>
        </is>
      </c>
    </row>
    <row r="524">
      <c r="A524" s="5" t="inlineStr">
        <is>
          <t>Operational Suppliers (Wind Farms)</t>
        </is>
      </c>
      <c r="B524" s="5" t="inlineStr"/>
      <c r="C524" s="5" t="n">
        <v>101922</v>
      </c>
      <c r="D524" s="5" t="inlineStr">
        <is>
          <t>101922</t>
        </is>
      </c>
    </row>
    <row r="525">
      <c r="A525" s="5" t="inlineStr">
        <is>
          <t>LDs Service Payments</t>
        </is>
      </c>
      <c r="B525" s="5" t="inlineStr"/>
      <c r="C525" s="5" t="n">
        <v>101923</v>
      </c>
      <c r="D525" s="5" t="inlineStr">
        <is>
          <t>101923</t>
        </is>
      </c>
    </row>
    <row r="526">
      <c r="A526" s="5" t="inlineStr">
        <is>
          <t>Other Suppliers</t>
        </is>
      </c>
      <c r="B526" s="5" t="inlineStr"/>
      <c r="C526" s="5" t="n">
        <v>101926</v>
      </c>
      <c r="D526" s="5" t="inlineStr">
        <is>
          <t>101926</t>
        </is>
      </c>
    </row>
    <row r="527">
      <c r="A527" s="5" t="inlineStr">
        <is>
          <t>Operational Suppliers (Wind Farms)</t>
        </is>
      </c>
      <c r="B527" s="5" t="inlineStr">
        <is>
          <t>TECNOFIX INDUSTRIA E COMERCIO DE PA</t>
        </is>
      </c>
      <c r="C527" s="5" t="n">
        <v>101929</v>
      </c>
      <c r="D527" s="5" t="inlineStr">
        <is>
          <t>101929</t>
        </is>
      </c>
    </row>
    <row r="528">
      <c r="A528" s="5" t="inlineStr">
        <is>
          <t>Other Suppliers</t>
        </is>
      </c>
      <c r="B528" s="5" t="inlineStr"/>
      <c r="C528" s="5" t="n">
        <v>101930</v>
      </c>
      <c r="D528" s="5" t="inlineStr">
        <is>
          <t>101930</t>
        </is>
      </c>
    </row>
    <row r="529">
      <c r="A529" s="5" t="inlineStr">
        <is>
          <t>Other Suppliers</t>
        </is>
      </c>
      <c r="B529" s="5" t="inlineStr"/>
      <c r="C529" s="5" t="n">
        <v>101931</v>
      </c>
      <c r="D529" s="5" t="inlineStr">
        <is>
          <t>101931</t>
        </is>
      </c>
    </row>
    <row r="530">
      <c r="A530" s="5" t="inlineStr">
        <is>
          <t>Social charges</t>
        </is>
      </c>
      <c r="B530" s="5" t="inlineStr"/>
      <c r="C530" s="5" t="n">
        <v>101933</v>
      </c>
      <c r="D530" s="5" t="inlineStr">
        <is>
          <t>101933</t>
        </is>
      </c>
    </row>
    <row r="531">
      <c r="A531" s="5" t="inlineStr">
        <is>
          <t>Other Suppliers</t>
        </is>
      </c>
      <c r="B531" s="5" t="inlineStr"/>
      <c r="C531" s="5" t="n">
        <v>101936</v>
      </c>
      <c r="D531" s="5" t="inlineStr">
        <is>
          <t>101936</t>
        </is>
      </c>
    </row>
    <row r="532">
      <c r="A532" s="5" t="inlineStr">
        <is>
          <t>Operational Suppliers (Wind Farms)</t>
        </is>
      </c>
      <c r="B532" s="5" t="inlineStr">
        <is>
          <t>ALONSO DOLDAN INGENIERIA Y SERVICIO</t>
        </is>
      </c>
      <c r="C532" s="5" t="n">
        <v>101937</v>
      </c>
      <c r="D532" s="5" t="inlineStr">
        <is>
          <t>101937</t>
        </is>
      </c>
    </row>
    <row r="533">
      <c r="A533" s="5" t="inlineStr">
        <is>
          <t>Other Suppliers</t>
        </is>
      </c>
      <c r="B533" s="5" t="inlineStr"/>
      <c r="C533" s="5" t="n">
        <v>101939</v>
      </c>
      <c r="D533" s="5" t="inlineStr">
        <is>
          <t>101939</t>
        </is>
      </c>
    </row>
    <row r="534">
      <c r="A534" s="5" t="inlineStr">
        <is>
          <t>Other Suppliers</t>
        </is>
      </c>
      <c r="B534" s="5" t="inlineStr"/>
      <c r="C534" s="5" t="n">
        <v>101940</v>
      </c>
      <c r="D534" s="5" t="inlineStr">
        <is>
          <t>101940</t>
        </is>
      </c>
    </row>
    <row r="535">
      <c r="A535" s="5" t="inlineStr">
        <is>
          <t>Operational Suppliers (Wind Farms)</t>
        </is>
      </c>
      <c r="B535" s="5" t="inlineStr"/>
      <c r="C535" s="5" t="n">
        <v>101942</v>
      </c>
      <c r="D535" s="5" t="inlineStr">
        <is>
          <t>101942</t>
        </is>
      </c>
    </row>
    <row r="536">
      <c r="A536" s="5" t="inlineStr">
        <is>
          <t>Operational Suppliers (Wind Farms)</t>
        </is>
      </c>
      <c r="B536" s="5" t="inlineStr">
        <is>
          <t>TEXAS CONTROLS DO BRASIL LTDA</t>
        </is>
      </c>
      <c r="C536" s="5" t="n">
        <v>101944</v>
      </c>
      <c r="D536" s="5" t="inlineStr">
        <is>
          <t>101944</t>
        </is>
      </c>
    </row>
    <row r="537">
      <c r="A537" s="5" t="inlineStr">
        <is>
          <t>Other Suppliers</t>
        </is>
      </c>
      <c r="B537" s="5" t="inlineStr">
        <is>
          <t>JOAO MARIA BARBOSA DE MOURA</t>
        </is>
      </c>
      <c r="C537" s="5" t="n">
        <v>101945</v>
      </c>
      <c r="D537" s="5" t="inlineStr">
        <is>
          <t>101945</t>
        </is>
      </c>
    </row>
    <row r="538">
      <c r="A538" s="5" t="inlineStr">
        <is>
          <t>Other Suppliers</t>
        </is>
      </c>
      <c r="B538" s="5" t="inlineStr">
        <is>
          <t>EXTINSERVICE EQUIPAMENTOS E SERVIÇO</t>
        </is>
      </c>
      <c r="C538" s="5" t="n">
        <v>101946</v>
      </c>
      <c r="D538" s="5" t="inlineStr">
        <is>
          <t>101946</t>
        </is>
      </c>
    </row>
    <row r="539">
      <c r="A539" s="5" t="inlineStr">
        <is>
          <t>Operational Suppliers (Wind Farms)</t>
        </is>
      </c>
      <c r="B539" s="5" t="inlineStr"/>
      <c r="C539" s="5" t="n">
        <v>101947</v>
      </c>
      <c r="D539" s="5" t="inlineStr">
        <is>
          <t>101947</t>
        </is>
      </c>
    </row>
    <row r="540">
      <c r="A540" s="5" t="inlineStr">
        <is>
          <t>Other Suppliers</t>
        </is>
      </c>
      <c r="B540" s="5" t="inlineStr">
        <is>
          <t>INSTITUTO BRAS DO MEIO AMBIEN E DOS</t>
        </is>
      </c>
      <c r="C540" s="5" t="n">
        <v>101948</v>
      </c>
      <c r="D540" s="5" t="inlineStr">
        <is>
          <t>101948</t>
        </is>
      </c>
    </row>
    <row r="541">
      <c r="A541" s="5" t="inlineStr">
        <is>
          <t>Operational Suppliers (Wind Farms)</t>
        </is>
      </c>
      <c r="B541" s="5" t="inlineStr">
        <is>
          <t>SHELL BRASIL PETROLEO LTDA</t>
        </is>
      </c>
      <c r="C541" s="5" t="n">
        <v>101950</v>
      </c>
      <c r="D541" s="5" t="inlineStr">
        <is>
          <t>101950</t>
        </is>
      </c>
    </row>
    <row r="542">
      <c r="A542" s="5" t="inlineStr">
        <is>
          <t>Taxes Payable</t>
        </is>
      </c>
      <c r="B542" s="5" t="inlineStr"/>
      <c r="C542" s="5" t="n">
        <v>101952</v>
      </c>
      <c r="D542" s="5" t="inlineStr">
        <is>
          <t>101952</t>
        </is>
      </c>
    </row>
    <row r="543">
      <c r="A543" s="5" t="inlineStr">
        <is>
          <t>Taxes Payable</t>
        </is>
      </c>
      <c r="B543" s="5" t="inlineStr">
        <is>
          <t>PREFEITURA DE SAO PAULO</t>
        </is>
      </c>
      <c r="C543" s="5" t="n">
        <v>101958</v>
      </c>
      <c r="D543" s="5" t="inlineStr">
        <is>
          <t>101958</t>
        </is>
      </c>
    </row>
    <row r="544">
      <c r="A544" s="5" t="inlineStr">
        <is>
          <t>Operational Suppliers (Wind Farms)</t>
        </is>
      </c>
      <c r="B544" s="5" t="inlineStr"/>
      <c r="C544" s="5" t="n">
        <v>101962</v>
      </c>
      <c r="D544" s="5" t="inlineStr">
        <is>
          <t>101962</t>
        </is>
      </c>
    </row>
    <row r="545">
      <c r="A545" s="5" t="inlineStr">
        <is>
          <t>Construction Services – Under Litigation</t>
        </is>
      </c>
      <c r="B545" s="5" t="inlineStr">
        <is>
          <t>4U CONSTRUCOES LTDA EPP</t>
        </is>
      </c>
      <c r="C545" s="5" t="n">
        <v>101963</v>
      </c>
      <c r="D545" s="5" t="inlineStr">
        <is>
          <t>101963</t>
        </is>
      </c>
    </row>
    <row r="546">
      <c r="A546" s="5" t="inlineStr">
        <is>
          <t>Other Suppliers</t>
        </is>
      </c>
      <c r="B546" s="5" t="inlineStr"/>
      <c r="C546" s="5" t="n">
        <v>101965</v>
      </c>
      <c r="D546" s="5" t="inlineStr">
        <is>
          <t>101965</t>
        </is>
      </c>
    </row>
    <row r="547">
      <c r="A547" s="5" t="inlineStr">
        <is>
          <t>Other Suppliers</t>
        </is>
      </c>
      <c r="B547" s="5" t="inlineStr">
        <is>
          <t>JR EQUIPAMENTOS E SERVICOS LTDA  ME</t>
        </is>
      </c>
      <c r="C547" s="5" t="n">
        <v>101967</v>
      </c>
      <c r="D547" s="5" t="inlineStr">
        <is>
          <t>101967</t>
        </is>
      </c>
    </row>
    <row r="548">
      <c r="A548" s="5" t="inlineStr">
        <is>
          <t>Customs Brokerage – Overall</t>
        </is>
      </c>
      <c r="B548" s="5" t="inlineStr">
        <is>
          <t>SECRETARIA DE ESTADO DA FAZENDA RN</t>
        </is>
      </c>
      <c r="C548" s="5" t="n">
        <v>101969</v>
      </c>
      <c r="D548" s="5" t="inlineStr">
        <is>
          <t>101969</t>
        </is>
      </c>
    </row>
    <row r="549">
      <c r="A549" s="5" t="inlineStr">
        <is>
          <t>Taxes Payable</t>
        </is>
      </c>
      <c r="B549" s="5" t="inlineStr"/>
      <c r="C549" s="5" t="n">
        <v>101970</v>
      </c>
      <c r="D549" s="5" t="inlineStr">
        <is>
          <t>101970</t>
        </is>
      </c>
    </row>
    <row r="550">
      <c r="A550" s="5" t="inlineStr">
        <is>
          <t>Customs Brokerage – Overall</t>
        </is>
      </c>
      <c r="B550" s="5" t="inlineStr">
        <is>
          <t>APM TERMINALS PECEM OPERACOES P LTD</t>
        </is>
      </c>
      <c r="C550" s="5" t="n">
        <v>101973</v>
      </c>
      <c r="D550" s="5" t="inlineStr">
        <is>
          <t>101973</t>
        </is>
      </c>
    </row>
    <row r="551">
      <c r="A551" s="5" t="inlineStr">
        <is>
          <t>Other Suppliers</t>
        </is>
      </c>
      <c r="B551" s="5" t="inlineStr"/>
      <c r="C551" s="5" t="n">
        <v>101974</v>
      </c>
      <c r="D551" s="5" t="inlineStr">
        <is>
          <t>101974</t>
        </is>
      </c>
    </row>
    <row r="552">
      <c r="A552" s="5" t="inlineStr">
        <is>
          <t>Legal Services Suppliers</t>
        </is>
      </c>
      <c r="B552" s="5" t="inlineStr">
        <is>
          <t>SAO PAULO TRIBUNAL DE JUSTICA</t>
        </is>
      </c>
      <c r="C552" s="5" t="n">
        <v>101976</v>
      </c>
      <c r="D552" s="5" t="inlineStr">
        <is>
          <t>101976</t>
        </is>
      </c>
    </row>
    <row r="553">
      <c r="A553" s="5" t="inlineStr">
        <is>
          <t>Operational Suppliers (Wind Farms)</t>
        </is>
      </c>
      <c r="B553" s="5" t="inlineStr"/>
      <c r="C553" s="5" t="n">
        <v>101980</v>
      </c>
      <c r="D553" s="5" t="inlineStr">
        <is>
          <t>101980</t>
        </is>
      </c>
    </row>
    <row r="554">
      <c r="A554" s="5" t="inlineStr">
        <is>
          <t>Operational Suppliers (Wind Farms)</t>
        </is>
      </c>
      <c r="B554" s="5" t="inlineStr">
        <is>
          <t>NEW ENERGY TECH LTDA</t>
        </is>
      </c>
      <c r="C554" s="5" t="n">
        <v>101982</v>
      </c>
      <c r="D554" s="5" t="inlineStr">
        <is>
          <t>101982</t>
        </is>
      </c>
    </row>
    <row r="555">
      <c r="A555" s="5" t="inlineStr">
        <is>
          <t>LDs Service Payments</t>
        </is>
      </c>
      <c r="B555" s="5" t="inlineStr"/>
      <c r="C555" s="5" t="n">
        <v>101987</v>
      </c>
      <c r="D555" s="5" t="inlineStr">
        <is>
          <t>101987</t>
        </is>
      </c>
    </row>
    <row r="556">
      <c r="A556" s="5" t="inlineStr">
        <is>
          <t>LDs Service Payments</t>
        </is>
      </c>
      <c r="B556" s="5" t="inlineStr"/>
      <c r="C556" s="5" t="n">
        <v>101988</v>
      </c>
      <c r="D556" s="5" t="inlineStr">
        <is>
          <t>101988</t>
        </is>
      </c>
    </row>
    <row r="557">
      <c r="A557" s="5" t="inlineStr">
        <is>
          <t>LDs Service Payments</t>
        </is>
      </c>
      <c r="B557" s="5" t="inlineStr"/>
      <c r="C557" s="5" t="n">
        <v>101989</v>
      </c>
      <c r="D557" s="5" t="inlineStr">
        <is>
          <t>101989</t>
        </is>
      </c>
    </row>
    <row r="558">
      <c r="A558" s="5" t="inlineStr">
        <is>
          <t>LDs Service Payments</t>
        </is>
      </c>
      <c r="B558" s="5" t="inlineStr"/>
      <c r="C558" s="5" t="n">
        <v>101990</v>
      </c>
      <c r="D558" s="5" t="inlineStr">
        <is>
          <t>101990</t>
        </is>
      </c>
    </row>
    <row r="559">
      <c r="A559" s="5" t="inlineStr">
        <is>
          <t>Taxes Payable</t>
        </is>
      </c>
      <c r="B559" s="5" t="inlineStr">
        <is>
          <t>MUNICIPIO DE SERRA DO MEL</t>
        </is>
      </c>
      <c r="C559" s="5" t="n">
        <v>101998</v>
      </c>
      <c r="D559" s="5" t="inlineStr">
        <is>
          <t>101998</t>
        </is>
      </c>
    </row>
    <row r="560">
      <c r="A560" s="5" t="inlineStr">
        <is>
          <t>Legal Services Suppliers</t>
        </is>
      </c>
      <c r="B560" s="5" t="inlineStr">
        <is>
          <t>TRIBUNAL REGIONAL TRABALHO 21A REGI</t>
        </is>
      </c>
      <c r="C560" s="5" t="n">
        <v>102001</v>
      </c>
      <c r="D560" s="5" t="inlineStr">
        <is>
          <t>102001</t>
        </is>
      </c>
    </row>
    <row r="561">
      <c r="A561" s="5" t="inlineStr">
        <is>
          <t>Other Suppliers</t>
        </is>
      </c>
      <c r="B561" s="5" t="inlineStr">
        <is>
          <t>COMPANHIA ENERGETICA RIO G N COSERN</t>
        </is>
      </c>
      <c r="C561" s="5" t="n">
        <v>102005</v>
      </c>
      <c r="D561" s="5" t="inlineStr">
        <is>
          <t>102005</t>
        </is>
      </c>
    </row>
    <row r="562">
      <c r="A562" s="5" t="inlineStr">
        <is>
          <t>Other Suppliers</t>
        </is>
      </c>
      <c r="B562" s="5" t="inlineStr"/>
      <c r="C562" s="5" t="n">
        <v>102006</v>
      </c>
      <c r="D562" s="5" t="inlineStr">
        <is>
          <t>102006</t>
        </is>
      </c>
    </row>
    <row r="563">
      <c r="A563" s="5" t="inlineStr">
        <is>
          <t>Taxes Payable</t>
        </is>
      </c>
      <c r="B563" s="5" t="inlineStr">
        <is>
          <t>MUNICIPIO DE ITAREMA</t>
        </is>
      </c>
      <c r="C563" s="5" t="n">
        <v>102008</v>
      </c>
      <c r="D563" s="5" t="inlineStr">
        <is>
          <t>102008</t>
        </is>
      </c>
    </row>
    <row r="564">
      <c r="A564" s="5" t="inlineStr">
        <is>
          <t>Customs Brokerage – Overall</t>
        </is>
      </c>
      <c r="B564" s="5" t="inlineStr">
        <is>
          <t>COMPANHIA D COMPLEXO I P PECEM C SA</t>
        </is>
      </c>
      <c r="C564" s="5" t="n">
        <v>102011</v>
      </c>
      <c r="D564" s="5" t="inlineStr">
        <is>
          <t>102011</t>
        </is>
      </c>
    </row>
    <row r="565">
      <c r="A565" s="5" t="inlineStr">
        <is>
          <t>Customs Brokerage – Overall</t>
        </is>
      </c>
      <c r="B565" s="5" t="inlineStr">
        <is>
          <t>DSV AIR &amp; SEA LOGISTICA LTDA</t>
        </is>
      </c>
      <c r="C565" s="5" t="n">
        <v>102014</v>
      </c>
      <c r="D565" s="5" t="inlineStr">
        <is>
          <t>102014</t>
        </is>
      </c>
    </row>
    <row r="566">
      <c r="A566" s="5" t="inlineStr">
        <is>
          <t>Other Suppliers</t>
        </is>
      </c>
      <c r="B566" s="5" t="inlineStr">
        <is>
          <t>GLOBO COMERCIO DE MAQUINAS E FERRAM</t>
        </is>
      </c>
      <c r="C566" s="5" t="n">
        <v>102017</v>
      </c>
      <c r="D566" s="5" t="inlineStr">
        <is>
          <t>102017</t>
        </is>
      </c>
    </row>
    <row r="567">
      <c r="A567" s="5" t="inlineStr">
        <is>
          <t>Other Suppliers</t>
        </is>
      </c>
      <c r="B567" s="5" t="inlineStr">
        <is>
          <t>OBJECTA CONSULTORIA LTDA</t>
        </is>
      </c>
      <c r="C567" s="5" t="n">
        <v>102022</v>
      </c>
      <c r="D567" s="5" t="inlineStr">
        <is>
          <t>102022</t>
        </is>
      </c>
    </row>
    <row r="568">
      <c r="A568" s="5" t="inlineStr">
        <is>
          <t>Operational Suppliers (Wind Farms)</t>
        </is>
      </c>
      <c r="B568" s="5" t="inlineStr"/>
      <c r="C568" s="5" t="n">
        <v>102024</v>
      </c>
      <c r="D568" s="5" t="inlineStr">
        <is>
          <t>102024</t>
        </is>
      </c>
    </row>
    <row r="569">
      <c r="A569" s="5" t="inlineStr">
        <is>
          <t>Customs Brokerage – Overall</t>
        </is>
      </c>
      <c r="B569" s="5" t="inlineStr">
        <is>
          <t>DSV AIR &amp; SEA LOGISTICA LTDA.</t>
        </is>
      </c>
      <c r="C569" s="5" t="n">
        <v>102028</v>
      </c>
      <c r="D569" s="5" t="inlineStr">
        <is>
          <t>102028</t>
        </is>
      </c>
    </row>
    <row r="570">
      <c r="A570" s="5" t="inlineStr">
        <is>
          <t>Customs Brokerage – Overall</t>
        </is>
      </c>
      <c r="B570" s="5" t="inlineStr">
        <is>
          <t>LEEWARD INTERNACIONAL DO BRASIL LTD</t>
        </is>
      </c>
      <c r="C570" s="5" t="n">
        <v>102029</v>
      </c>
      <c r="D570" s="5" t="inlineStr">
        <is>
          <t>102029</t>
        </is>
      </c>
    </row>
    <row r="571">
      <c r="A571" s="5" t="inlineStr">
        <is>
          <t>Customs Brokerage – Overall</t>
        </is>
      </c>
      <c r="B571" s="5" t="inlineStr">
        <is>
          <t>TECON SALVADOR SA</t>
        </is>
      </c>
      <c r="C571" s="5" t="n">
        <v>102030</v>
      </c>
      <c r="D571" s="5" t="inlineStr">
        <is>
          <t>102030</t>
        </is>
      </c>
    </row>
    <row r="572">
      <c r="A572" s="5" t="inlineStr">
        <is>
          <t>Facilities</t>
        </is>
      </c>
      <c r="B572" s="5" t="inlineStr">
        <is>
          <t>COMPANHIA AGUAS ESGOTOS RIO GRANDE</t>
        </is>
      </c>
      <c r="C572" s="5" t="n">
        <v>102032</v>
      </c>
      <c r="D572" s="5" t="inlineStr">
        <is>
          <t>102032</t>
        </is>
      </c>
    </row>
    <row r="573">
      <c r="A573" s="5" t="inlineStr">
        <is>
          <t>Other Suppliers</t>
        </is>
      </c>
      <c r="B573" s="5" t="inlineStr">
        <is>
          <t>WHITE MARTINS GASES INDUSTRIAIS DO</t>
        </is>
      </c>
      <c r="C573" s="5" t="n">
        <v>102038</v>
      </c>
      <c r="D573" s="5" t="inlineStr">
        <is>
          <t>102038</t>
        </is>
      </c>
    </row>
    <row r="574">
      <c r="A574" s="5" t="inlineStr">
        <is>
          <t>Customs Brokerage – Overall</t>
        </is>
      </c>
      <c r="B574" s="5" t="inlineStr"/>
      <c r="C574" s="5" t="n">
        <v>102039</v>
      </c>
      <c r="D574" s="5" t="inlineStr">
        <is>
          <t>102039</t>
        </is>
      </c>
    </row>
    <row r="575">
      <c r="A575" s="5" t="inlineStr">
        <is>
          <t>Operational Suppliers (Wind Farms)</t>
        </is>
      </c>
      <c r="B575" s="5" t="inlineStr">
        <is>
          <t>TOME EQUIPAMENTOS E TRANSPORTES LTD 44384832000124</t>
        </is>
      </c>
      <c r="C575" s="5" t="n">
        <v>102052</v>
      </c>
      <c r="D575" s="5" t="inlineStr">
        <is>
          <t>102052</t>
        </is>
      </c>
    </row>
    <row r="576">
      <c r="A576" s="5" t="inlineStr">
        <is>
          <t>Operational Suppliers (Wind Farms)</t>
        </is>
      </c>
      <c r="B576" s="5" t="inlineStr">
        <is>
          <t>GH DO BRASIL INDUSTRIA E COMERCIO L</t>
        </is>
      </c>
      <c r="C576" s="5" t="n">
        <v>102053</v>
      </c>
      <c r="D576" s="5" t="inlineStr">
        <is>
          <t>102053</t>
        </is>
      </c>
    </row>
    <row r="577">
      <c r="A577" s="5" t="inlineStr">
        <is>
          <t>Aeris</t>
        </is>
      </c>
      <c r="B577" s="5" t="inlineStr">
        <is>
          <t>AERIS INDUSTRIA E COM EQUI GERACAO</t>
        </is>
      </c>
      <c r="C577" s="5" t="n">
        <v>102057</v>
      </c>
      <c r="D577" s="5" t="inlineStr">
        <is>
          <t>102057</t>
        </is>
      </c>
    </row>
    <row r="578">
      <c r="A578" s="5" t="inlineStr">
        <is>
          <t>Other Suppliers</t>
        </is>
      </c>
      <c r="B578" s="5" t="inlineStr"/>
      <c r="C578" s="5" t="n">
        <v>102058</v>
      </c>
      <c r="D578" s="5" t="inlineStr">
        <is>
          <t>102058</t>
        </is>
      </c>
    </row>
    <row r="579">
      <c r="A579" s="5" t="inlineStr">
        <is>
          <t>Operational Suppliers (Wind Farms)</t>
        </is>
      </c>
      <c r="B579" s="5" t="inlineStr">
        <is>
          <t>INGETEAM LTDA 03306629000152</t>
        </is>
      </c>
      <c r="C579" s="5" t="n">
        <v>102060</v>
      </c>
      <c r="D579" s="5" t="inlineStr">
        <is>
          <t>102060</t>
        </is>
      </c>
    </row>
    <row r="580">
      <c r="A580" s="5" t="inlineStr">
        <is>
          <t>Other Suppliers</t>
        </is>
      </c>
      <c r="B580" s="5" t="inlineStr"/>
      <c r="C580" s="5" t="n">
        <v>102061</v>
      </c>
      <c r="D580" s="5" t="inlineStr">
        <is>
          <t>102061</t>
        </is>
      </c>
    </row>
    <row r="581">
      <c r="A581" s="5" t="inlineStr">
        <is>
          <t>Operational Suppliers (Wind Farms)</t>
        </is>
      </c>
      <c r="B581" s="5" t="inlineStr"/>
      <c r="C581" s="5" t="n">
        <v>102062</v>
      </c>
      <c r="D581" s="5" t="inlineStr">
        <is>
          <t>102062</t>
        </is>
      </c>
    </row>
    <row r="582">
      <c r="A582" s="5" t="inlineStr">
        <is>
          <t>Other Suppliers</t>
        </is>
      </c>
      <c r="B582" s="5" t="inlineStr"/>
      <c r="C582" s="5" t="n">
        <v>102066</v>
      </c>
      <c r="D582" s="5" t="inlineStr">
        <is>
          <t>102066</t>
        </is>
      </c>
    </row>
    <row r="583">
      <c r="A583" s="5" t="inlineStr">
        <is>
          <t>Other Suppliers</t>
        </is>
      </c>
      <c r="B583" s="5" t="inlineStr">
        <is>
          <t>SUPRICORP SUPRIMENTOS LTDA</t>
        </is>
      </c>
      <c r="C583" s="5" t="n">
        <v>102067</v>
      </c>
      <c r="D583" s="5" t="inlineStr">
        <is>
          <t>102067</t>
        </is>
      </c>
    </row>
    <row r="584">
      <c r="A584" s="5" t="inlineStr">
        <is>
          <t>Other Suppliers</t>
        </is>
      </c>
      <c r="B584" s="5" t="inlineStr">
        <is>
          <t>ASSESSORIA TECNICA ATENE LIMITADA</t>
        </is>
      </c>
      <c r="C584" s="5" t="n">
        <v>102068</v>
      </c>
      <c r="D584" s="5" t="inlineStr">
        <is>
          <t>102068</t>
        </is>
      </c>
    </row>
    <row r="585">
      <c r="A585" s="5" t="inlineStr">
        <is>
          <t>Other Suppliers</t>
        </is>
      </c>
      <c r="B585" s="5" t="inlineStr">
        <is>
          <t>AMBAR PATRIMONIAL LTDA</t>
        </is>
      </c>
      <c r="C585" s="5" t="n">
        <v>102069</v>
      </c>
      <c r="D585" s="5" t="inlineStr">
        <is>
          <t>102069</t>
        </is>
      </c>
    </row>
    <row r="586">
      <c r="A586" s="5" t="inlineStr">
        <is>
          <t>Other Suppliers</t>
        </is>
      </c>
      <c r="B586" s="5" t="inlineStr">
        <is>
          <t>HINE DO BRASIL IND E COM HIDR E PN</t>
        </is>
      </c>
      <c r="C586" s="5" t="n">
        <v>102071</v>
      </c>
      <c r="D586" s="5" t="inlineStr">
        <is>
          <t>102071</t>
        </is>
      </c>
    </row>
    <row r="587">
      <c r="A587" s="5" t="inlineStr">
        <is>
          <t>Other Suppliers</t>
        </is>
      </c>
      <c r="B587" s="5" t="inlineStr">
        <is>
          <t>TAGUS TEC SERVIÇOS TECNOLOGIA LTDA</t>
        </is>
      </c>
      <c r="C587" s="5" t="n">
        <v>102074</v>
      </c>
      <c r="D587" s="5" t="inlineStr">
        <is>
          <t>102074</t>
        </is>
      </c>
    </row>
    <row r="588">
      <c r="A588" s="5" t="inlineStr">
        <is>
          <t>Social charges</t>
        </is>
      </c>
      <c r="B588" s="5" t="inlineStr">
        <is>
          <t>SINDICATO IND MET MEC E MAT EL NO E</t>
        </is>
      </c>
      <c r="C588" s="5" t="n">
        <v>102077</v>
      </c>
      <c r="D588" s="5" t="inlineStr">
        <is>
          <t>102077</t>
        </is>
      </c>
    </row>
    <row r="589">
      <c r="A589" s="5" t="inlineStr">
        <is>
          <t>Customs Brokerage – Overall</t>
        </is>
      </c>
      <c r="B589" s="5" t="inlineStr">
        <is>
          <t>RECEITA FEDERAL DO BRASIL</t>
        </is>
      </c>
      <c r="C589" s="5" t="n">
        <v>102080</v>
      </c>
      <c r="D589" s="5" t="inlineStr">
        <is>
          <t>102080</t>
        </is>
      </c>
    </row>
    <row r="590">
      <c r="A590" s="5" t="inlineStr">
        <is>
          <t>Taxes Payable</t>
        </is>
      </c>
      <c r="B590" s="5" t="inlineStr">
        <is>
          <t>MUNICIPIO DE PALMARES DO SUL</t>
        </is>
      </c>
      <c r="C590" s="5" t="n">
        <v>102081</v>
      </c>
      <c r="D590" s="5" t="inlineStr">
        <is>
          <t>102081</t>
        </is>
      </c>
    </row>
    <row r="591">
      <c r="A591" s="5" t="inlineStr">
        <is>
          <t>Facilities</t>
        </is>
      </c>
      <c r="B591" s="5" t="inlineStr">
        <is>
          <t>TELEFONICA BRASIL SA</t>
        </is>
      </c>
      <c r="C591" s="5" t="n">
        <v>102084</v>
      </c>
      <c r="D591" s="5" t="inlineStr">
        <is>
          <t>102084</t>
        </is>
      </c>
    </row>
    <row r="592">
      <c r="A592" s="5" t="inlineStr">
        <is>
          <t>Other Suppliers</t>
        </is>
      </c>
      <c r="B592" s="5" t="inlineStr"/>
      <c r="C592" s="5" t="n">
        <v>102085</v>
      </c>
      <c r="D592" s="5" t="inlineStr">
        <is>
          <t>102085</t>
        </is>
      </c>
    </row>
    <row r="593">
      <c r="A593" s="5" t="inlineStr">
        <is>
          <t>Other Suppliers</t>
        </is>
      </c>
      <c r="B593" s="5" t="inlineStr">
        <is>
          <t>ASSOCIACAO BRASILEIRA E E ABEEOLICA</t>
        </is>
      </c>
      <c r="C593" s="5" t="n">
        <v>102086</v>
      </c>
      <c r="D593" s="5" t="inlineStr">
        <is>
          <t>102086</t>
        </is>
      </c>
    </row>
    <row r="594">
      <c r="A594" s="5" t="inlineStr">
        <is>
          <t>Social charges</t>
        </is>
      </c>
      <c r="B594" s="5" t="inlineStr">
        <is>
          <t>CAIXA ECONOMICA FEDERAL</t>
        </is>
      </c>
      <c r="C594" s="5" t="n">
        <v>102087</v>
      </c>
      <c r="D594" s="5" t="inlineStr">
        <is>
          <t>102087</t>
        </is>
      </c>
    </row>
    <row r="595">
      <c r="A595" s="5" t="inlineStr">
        <is>
          <t>Taxes Payable</t>
        </is>
      </c>
      <c r="B595" s="5" t="inlineStr"/>
      <c r="C595" s="5" t="n">
        <v>102091</v>
      </c>
      <c r="D595" s="5" t="inlineStr">
        <is>
          <t>102091</t>
        </is>
      </c>
    </row>
    <row r="596">
      <c r="A596" s="5" t="inlineStr">
        <is>
          <t>Taxes Payable</t>
        </is>
      </c>
      <c r="B596" s="5" t="inlineStr"/>
      <c r="C596" s="5" t="n">
        <v>102092</v>
      </c>
      <c r="D596" s="5" t="inlineStr">
        <is>
          <t>102092</t>
        </is>
      </c>
    </row>
    <row r="597">
      <c r="A597" s="5" t="inlineStr">
        <is>
          <t>Other Suppliers</t>
        </is>
      </c>
      <c r="B597" s="5" t="inlineStr">
        <is>
          <t>MILLS LOCACAO SERVICOS E LOGISTICA</t>
        </is>
      </c>
      <c r="C597" s="5" t="n">
        <v>102094</v>
      </c>
      <c r="D597" s="5" t="inlineStr">
        <is>
          <t>102094</t>
        </is>
      </c>
    </row>
    <row r="598">
      <c r="A598" s="5" t="inlineStr">
        <is>
          <t>Operational Suppliers (Wind Farms)</t>
        </is>
      </c>
      <c r="B598" s="5" t="inlineStr"/>
      <c r="C598" s="5" t="n">
        <v>102096</v>
      </c>
      <c r="D598" s="5" t="inlineStr">
        <is>
          <t>102096</t>
        </is>
      </c>
    </row>
    <row r="599">
      <c r="A599" s="5" t="inlineStr">
        <is>
          <t>Consumables Suppliers</t>
        </is>
      </c>
      <c r="B599" s="5" t="inlineStr"/>
      <c r="C599" s="5" t="n">
        <v>102097</v>
      </c>
      <c r="D599" s="5" t="inlineStr">
        <is>
          <t>102097</t>
        </is>
      </c>
    </row>
    <row r="600">
      <c r="A600" s="5" t="inlineStr">
        <is>
          <t>Other Suppliers</t>
        </is>
      </c>
      <c r="B600" s="5" t="inlineStr">
        <is>
          <t>INGRAM MICRO BRASIL LTDA</t>
        </is>
      </c>
      <c r="C600" s="5" t="n">
        <v>102099</v>
      </c>
      <c r="D600" s="5" t="inlineStr">
        <is>
          <t>102099</t>
        </is>
      </c>
    </row>
    <row r="601">
      <c r="A601" s="5" t="inlineStr">
        <is>
          <t>Social charges</t>
        </is>
      </c>
      <c r="B601" s="5" t="inlineStr"/>
      <c r="C601" s="5" t="n">
        <v>102104</v>
      </c>
      <c r="D601" s="5" t="inlineStr">
        <is>
          <t>102104</t>
        </is>
      </c>
    </row>
    <row r="602">
      <c r="A602" s="5" t="inlineStr">
        <is>
          <t>Other Suppliers</t>
        </is>
      </c>
      <c r="B602" s="5" t="inlineStr">
        <is>
          <t>THOMSON REUTERS BRASIL C T LTDA</t>
        </is>
      </c>
      <c r="C602" s="5" t="n">
        <v>102105</v>
      </c>
      <c r="D602" s="5" t="inlineStr">
        <is>
          <t>102105</t>
        </is>
      </c>
    </row>
    <row r="603">
      <c r="A603" s="5" t="inlineStr">
        <is>
          <t>Other Suppliers</t>
        </is>
      </c>
      <c r="B603" s="5" t="inlineStr">
        <is>
          <t>L AMORIM LOCACAO DE EQUIPAMENTOS LT</t>
        </is>
      </c>
      <c r="C603" s="5" t="n">
        <v>102109</v>
      </c>
      <c r="D603" s="5" t="inlineStr">
        <is>
          <t>102109</t>
        </is>
      </c>
    </row>
    <row r="604">
      <c r="A604" s="5" t="inlineStr">
        <is>
          <t>Operational Suppliers (Wind Farms)</t>
        </is>
      </c>
      <c r="B604" s="5" t="inlineStr"/>
      <c r="C604" s="5" t="n">
        <v>102111</v>
      </c>
      <c r="D604" s="5" t="inlineStr">
        <is>
          <t>102111</t>
        </is>
      </c>
    </row>
    <row r="605">
      <c r="A605" s="5" t="inlineStr">
        <is>
          <t>Operational Suppliers (Wind Farms)</t>
        </is>
      </c>
      <c r="B605" s="5" t="inlineStr">
        <is>
          <t>3Z MOVIMENTACAO INTELIGENTE LTDA 94772233000237</t>
        </is>
      </c>
      <c r="C605" s="5" t="n">
        <v>102113</v>
      </c>
      <c r="D605" s="5" t="inlineStr">
        <is>
          <t>102113</t>
        </is>
      </c>
    </row>
    <row r="606">
      <c r="A606" s="5" t="inlineStr">
        <is>
          <t>Operational Suppliers (Wind Farms)</t>
        </is>
      </c>
      <c r="B606" s="5" t="inlineStr">
        <is>
          <t>LUBRISINT LUBR SINTETICOS ESPECIAS 50484476000113</t>
        </is>
      </c>
      <c r="C606" s="5" t="n">
        <v>102114</v>
      </c>
      <c r="D606" s="5" t="inlineStr">
        <is>
          <t>102114</t>
        </is>
      </c>
    </row>
    <row r="607">
      <c r="A607" s="5" t="inlineStr">
        <is>
          <t>Facilities</t>
        </is>
      </c>
      <c r="B607" s="5" t="inlineStr">
        <is>
          <t>CLARO SA SAO PAULO</t>
        </is>
      </c>
      <c r="C607" s="5" t="n">
        <v>102115</v>
      </c>
      <c r="D607" s="5" t="inlineStr">
        <is>
          <t>102115</t>
        </is>
      </c>
    </row>
    <row r="608">
      <c r="A608" s="5" t="inlineStr">
        <is>
          <t>Other Suppliers</t>
        </is>
      </c>
      <c r="B608" s="5" t="inlineStr">
        <is>
          <t>COMPANHIA DE ELETR DO ESTADO DA BAH</t>
        </is>
      </c>
      <c r="C608" s="5" t="n">
        <v>102116</v>
      </c>
      <c r="D608" s="5" t="inlineStr">
        <is>
          <t>102116</t>
        </is>
      </c>
    </row>
    <row r="609">
      <c r="A609" s="5" t="inlineStr">
        <is>
          <t>Other Suppliers</t>
        </is>
      </c>
      <c r="B609" s="5" t="inlineStr">
        <is>
          <t>ELETROPAULO METRO ELETRICIDADE DE S</t>
        </is>
      </c>
      <c r="C609" s="5" t="n">
        <v>102117</v>
      </c>
      <c r="D609" s="5" t="inlineStr">
        <is>
          <t>102117</t>
        </is>
      </c>
    </row>
    <row r="610">
      <c r="A610" s="5" t="inlineStr">
        <is>
          <t>Other Suppliers</t>
        </is>
      </c>
      <c r="B610" s="5" t="inlineStr">
        <is>
          <t>EMP BRASILEIRA DE CORREIOS E TELEGR</t>
        </is>
      </c>
      <c r="C610" s="5" t="n">
        <v>102118</v>
      </c>
      <c r="D610" s="5" t="inlineStr">
        <is>
          <t>102118</t>
        </is>
      </c>
    </row>
    <row r="611">
      <c r="A611" s="5" t="inlineStr">
        <is>
          <t>Customs Brokerage – Overall</t>
        </is>
      </c>
      <c r="B611" s="5" t="inlineStr"/>
      <c r="C611" s="5" t="n">
        <v>102121</v>
      </c>
      <c r="D611" s="5" t="inlineStr">
        <is>
          <t>102121</t>
        </is>
      </c>
    </row>
    <row r="612">
      <c r="A612" s="5" t="inlineStr">
        <is>
          <t>Customs Brokerage – Overall</t>
        </is>
      </c>
      <c r="B612" s="5" t="inlineStr">
        <is>
          <t>COLUMBIA DO NORDESTE S A</t>
        </is>
      </c>
      <c r="C612" s="5" t="n">
        <v>102123</v>
      </c>
      <c r="D612" s="5" t="inlineStr">
        <is>
          <t>102123</t>
        </is>
      </c>
    </row>
    <row r="613">
      <c r="A613" s="5" t="inlineStr">
        <is>
          <t>Other Suppliers</t>
        </is>
      </c>
      <c r="B613" s="5" t="inlineStr">
        <is>
          <t>GV NONDESTRUCTIVE TESTING LTDA ME</t>
        </is>
      </c>
      <c r="C613" s="5" t="n">
        <v>102126</v>
      </c>
      <c r="D613" s="5" t="inlineStr">
        <is>
          <t>102126</t>
        </is>
      </c>
    </row>
    <row r="614">
      <c r="A614" s="5" t="inlineStr">
        <is>
          <t>Vehicle Rental Services</t>
        </is>
      </c>
      <c r="B614" s="5" t="inlineStr"/>
      <c r="C614" s="5" t="n">
        <v>102127</v>
      </c>
      <c r="D614" s="5" t="inlineStr">
        <is>
          <t>102127</t>
        </is>
      </c>
    </row>
    <row r="615">
      <c r="A615" s="5" t="inlineStr">
        <is>
          <t>Other Suppliers</t>
        </is>
      </c>
      <c r="B615" s="5" t="inlineStr"/>
      <c r="C615" s="5" t="n">
        <v>102129</v>
      </c>
      <c r="D615" s="5" t="inlineStr">
        <is>
          <t>102129</t>
        </is>
      </c>
    </row>
    <row r="616">
      <c r="A616" s="5" t="inlineStr">
        <is>
          <t>Social charges</t>
        </is>
      </c>
      <c r="B616" s="5" t="inlineStr"/>
      <c r="C616" s="5" t="n">
        <v>102136</v>
      </c>
      <c r="D616" s="5" t="inlineStr">
        <is>
          <t>102136</t>
        </is>
      </c>
    </row>
    <row r="617">
      <c r="A617" s="5" t="inlineStr">
        <is>
          <t>Customs Brokerage – Overall</t>
        </is>
      </c>
      <c r="B617" s="5" t="inlineStr"/>
      <c r="C617" s="5" t="n">
        <v>102137</v>
      </c>
      <c r="D617" s="5" t="inlineStr">
        <is>
          <t>102137</t>
        </is>
      </c>
    </row>
    <row r="618">
      <c r="A618" s="5" t="inlineStr">
        <is>
          <t>Other Suppliers</t>
        </is>
      </c>
      <c r="B618" s="5" t="inlineStr"/>
      <c r="C618" s="5" t="n">
        <v>102139</v>
      </c>
      <c r="D618" s="5" t="inlineStr">
        <is>
          <t>102139</t>
        </is>
      </c>
    </row>
    <row r="619">
      <c r="A619" s="5" t="inlineStr">
        <is>
          <t>Other Suppliers</t>
        </is>
      </c>
      <c r="B619" s="5" t="inlineStr">
        <is>
          <t>SERASA SA</t>
        </is>
      </c>
      <c r="C619" s="5" t="n">
        <v>102140</v>
      </c>
      <c r="D619" s="5" t="inlineStr">
        <is>
          <t>102140</t>
        </is>
      </c>
    </row>
    <row r="620">
      <c r="A620" s="5" t="inlineStr">
        <is>
          <t>Operational Suppliers (Wind Farms)</t>
        </is>
      </c>
      <c r="B620" s="5" t="inlineStr">
        <is>
          <t>FARDIER LOGISTICA ESP EM CARGAS EPE</t>
        </is>
      </c>
      <c r="C620" s="5" t="n">
        <v>102143</v>
      </c>
      <c r="D620" s="5" t="inlineStr">
        <is>
          <t>102143</t>
        </is>
      </c>
    </row>
    <row r="621">
      <c r="A621" s="5" t="inlineStr">
        <is>
          <t>Customs Brokerage – Overall</t>
        </is>
      </c>
      <c r="B621" s="5" t="inlineStr">
        <is>
          <t>KALEIDO FREIGHT SERVICES B A L I LT</t>
        </is>
      </c>
      <c r="C621" s="5" t="n">
        <v>102144</v>
      </c>
      <c r="D621" s="5" t="inlineStr">
        <is>
          <t>102144</t>
        </is>
      </c>
    </row>
    <row r="622">
      <c r="A622" s="5" t="inlineStr">
        <is>
          <t>LDs Service Payments</t>
        </is>
      </c>
      <c r="B622" s="5" t="inlineStr"/>
      <c r="C622" s="5" t="n">
        <v>102152</v>
      </c>
      <c r="D622" s="5" t="inlineStr">
        <is>
          <t>102152</t>
        </is>
      </c>
    </row>
    <row r="623">
      <c r="A623" s="5" t="inlineStr">
        <is>
          <t>LDs Service Payments</t>
        </is>
      </c>
      <c r="B623" s="5" t="inlineStr"/>
      <c r="C623" s="5" t="n">
        <v>102153</v>
      </c>
      <c r="D623" s="5" t="inlineStr">
        <is>
          <t>102153</t>
        </is>
      </c>
    </row>
    <row r="624">
      <c r="A624" s="5" t="inlineStr">
        <is>
          <t>LDs Service Payments</t>
        </is>
      </c>
      <c r="B624" s="5" t="inlineStr"/>
      <c r="C624" s="5" t="n">
        <v>102154</v>
      </c>
      <c r="D624" s="5" t="inlineStr">
        <is>
          <t>102154</t>
        </is>
      </c>
    </row>
    <row r="625">
      <c r="A625" s="5" t="inlineStr">
        <is>
          <t>Other Suppliers</t>
        </is>
      </c>
      <c r="B625" s="5" t="inlineStr">
        <is>
          <t>ENEL GREEN POWER V DE SANTA ANGELA 29711059000250</t>
        </is>
      </c>
      <c r="C625" s="5" t="n">
        <v>102209</v>
      </c>
      <c r="D625" s="5" t="inlineStr">
        <is>
          <t>102209</t>
        </is>
      </c>
    </row>
    <row r="626">
      <c r="A626" s="5" t="inlineStr">
        <is>
          <t>LDs Service Payments</t>
        </is>
      </c>
      <c r="B626" s="5" t="inlineStr"/>
      <c r="C626" s="5" t="n">
        <v>102228</v>
      </c>
      <c r="D626" s="5" t="inlineStr">
        <is>
          <t>102228</t>
        </is>
      </c>
    </row>
    <row r="627">
      <c r="A627" s="5" t="inlineStr">
        <is>
          <t>LDs Service Payments</t>
        </is>
      </c>
      <c r="B627" s="5" t="inlineStr"/>
      <c r="C627" s="5" t="n">
        <v>102229</v>
      </c>
      <c r="D627" s="5" t="inlineStr">
        <is>
          <t>102229</t>
        </is>
      </c>
    </row>
    <row r="628">
      <c r="A628" s="5" t="inlineStr">
        <is>
          <t>LDs Service Payments</t>
        </is>
      </c>
      <c r="B628" s="5" t="inlineStr"/>
      <c r="C628" s="5" t="n">
        <v>102230</v>
      </c>
      <c r="D628" s="5" t="inlineStr">
        <is>
          <t>102230</t>
        </is>
      </c>
    </row>
    <row r="629">
      <c r="A629" s="5" t="inlineStr">
        <is>
          <t>LDs Service Payments</t>
        </is>
      </c>
      <c r="B629" s="5" t="inlineStr"/>
      <c r="C629" s="5" t="n">
        <v>102231</v>
      </c>
      <c r="D629" s="5" t="inlineStr">
        <is>
          <t>102231</t>
        </is>
      </c>
    </row>
    <row r="630">
      <c r="A630" s="5" t="inlineStr">
        <is>
          <t>LDs Service Payments</t>
        </is>
      </c>
      <c r="B630" s="5" t="inlineStr"/>
      <c r="C630" s="5" t="n">
        <v>102232</v>
      </c>
      <c r="D630" s="5" t="inlineStr">
        <is>
          <t>102232</t>
        </is>
      </c>
    </row>
    <row r="631">
      <c r="A631" s="5" t="inlineStr">
        <is>
          <t>LDs Service Payments</t>
        </is>
      </c>
      <c r="B631" s="5" t="inlineStr"/>
      <c r="C631" s="5" t="n">
        <v>102234</v>
      </c>
      <c r="D631" s="5" t="inlineStr">
        <is>
          <t>102234</t>
        </is>
      </c>
    </row>
    <row r="632">
      <c r="A632" s="5" t="inlineStr">
        <is>
          <t>LDs Service Payments</t>
        </is>
      </c>
      <c r="B632" s="5" t="inlineStr"/>
      <c r="C632" s="5" t="n">
        <v>102237</v>
      </c>
      <c r="D632" s="5" t="inlineStr">
        <is>
          <t>102237</t>
        </is>
      </c>
    </row>
    <row r="633">
      <c r="A633" s="5" t="inlineStr">
        <is>
          <t>LDs Service Payments</t>
        </is>
      </c>
      <c r="B633" s="5" t="inlineStr"/>
      <c r="C633" s="5" t="n">
        <v>102239</v>
      </c>
      <c r="D633" s="5" t="inlineStr">
        <is>
          <t>102239</t>
        </is>
      </c>
    </row>
    <row r="634">
      <c r="A634" s="5" t="inlineStr">
        <is>
          <t>LDs Service Payments</t>
        </is>
      </c>
      <c r="B634" s="5" t="inlineStr"/>
      <c r="C634" s="5" t="n">
        <v>102240</v>
      </c>
      <c r="D634" s="5" t="inlineStr">
        <is>
          <t>102240</t>
        </is>
      </c>
    </row>
    <row r="635">
      <c r="A635" s="5" t="inlineStr">
        <is>
          <t>LDs Service Payments</t>
        </is>
      </c>
      <c r="B635" s="5" t="inlineStr"/>
      <c r="C635" s="5" t="n">
        <v>102261</v>
      </c>
      <c r="D635" s="5" t="inlineStr">
        <is>
          <t>102261</t>
        </is>
      </c>
    </row>
    <row r="636">
      <c r="A636" s="5" t="inlineStr">
        <is>
          <t>LDs Service Payments</t>
        </is>
      </c>
      <c r="B636" s="5" t="inlineStr"/>
      <c r="C636" s="5" t="n">
        <v>102266</v>
      </c>
      <c r="D636" s="5" t="inlineStr">
        <is>
          <t>102266</t>
        </is>
      </c>
    </row>
    <row r="637">
      <c r="A637" s="5" t="inlineStr">
        <is>
          <t>Customs Brokerage – Overall</t>
        </is>
      </c>
      <c r="B637" s="5" t="inlineStr"/>
      <c r="C637" s="5" t="n">
        <v>102273</v>
      </c>
      <c r="D637" s="5" t="inlineStr">
        <is>
          <t>102273</t>
        </is>
      </c>
    </row>
    <row r="638">
      <c r="A638" s="5" t="inlineStr">
        <is>
          <t>Other Suppliers</t>
        </is>
      </c>
      <c r="B638" s="5" t="inlineStr"/>
      <c r="C638" s="5" t="n">
        <v>102279</v>
      </c>
      <c r="D638" s="5" t="inlineStr">
        <is>
          <t>102279</t>
        </is>
      </c>
    </row>
    <row r="639">
      <c r="A639" s="5" t="inlineStr">
        <is>
          <t>Customs Brokerage – Overall</t>
        </is>
      </c>
      <c r="B639" s="5" t="inlineStr">
        <is>
          <t>ARISTOTELES MARCIO SOUZA ARAUJO</t>
        </is>
      </c>
      <c r="C639" s="5" t="n">
        <v>102282</v>
      </c>
      <c r="D639" s="5" t="inlineStr">
        <is>
          <t>102282</t>
        </is>
      </c>
    </row>
    <row r="640">
      <c r="A640" s="5" t="inlineStr">
        <is>
          <t>Other Suppliers</t>
        </is>
      </c>
      <c r="B640" s="5" t="inlineStr"/>
      <c r="C640" s="5" t="n">
        <v>102286</v>
      </c>
      <c r="D640" s="5" t="inlineStr">
        <is>
          <t>102286</t>
        </is>
      </c>
    </row>
    <row r="641">
      <c r="A641" s="5" t="inlineStr">
        <is>
          <t>Operational Suppliers (Wind Farms)</t>
        </is>
      </c>
      <c r="B641" s="5" t="inlineStr">
        <is>
          <t>MAURICIO FREDERICO SIMOES</t>
        </is>
      </c>
      <c r="C641" s="5" t="n">
        <v>102287</v>
      </c>
      <c r="D641" s="5" t="inlineStr">
        <is>
          <t>102287</t>
        </is>
      </c>
    </row>
    <row r="642">
      <c r="A642" s="5" t="inlineStr">
        <is>
          <t>Other Suppliers</t>
        </is>
      </c>
      <c r="B642" s="5" t="inlineStr">
        <is>
          <t>GILDO MARQUES RIBEIRO</t>
        </is>
      </c>
      <c r="C642" s="5" t="n">
        <v>102290</v>
      </c>
      <c r="D642" s="5" t="inlineStr">
        <is>
          <t>102290</t>
        </is>
      </c>
    </row>
    <row r="643">
      <c r="A643" s="5" t="inlineStr">
        <is>
          <t>Other Suppliers</t>
        </is>
      </c>
      <c r="B643" s="5" t="inlineStr">
        <is>
          <t>ENEDINO DANIEL DA SILVA</t>
        </is>
      </c>
      <c r="C643" s="5" t="n">
        <v>102297</v>
      </c>
      <c r="D643" s="5" t="inlineStr">
        <is>
          <t>102297</t>
        </is>
      </c>
    </row>
    <row r="644">
      <c r="A644" s="5" t="inlineStr">
        <is>
          <t>Operational Suppliers (Wind Farms)</t>
        </is>
      </c>
      <c r="B644" s="5" t="inlineStr"/>
      <c r="C644" s="5" t="n">
        <v>102309</v>
      </c>
      <c r="D644" s="5" t="inlineStr">
        <is>
          <t>102309</t>
        </is>
      </c>
    </row>
    <row r="645">
      <c r="A645" s="5" t="inlineStr">
        <is>
          <t>Other Suppliers</t>
        </is>
      </c>
      <c r="B645" s="5" t="inlineStr">
        <is>
          <t>RAFAEL ANTONIO SAADI</t>
        </is>
      </c>
      <c r="C645" s="5" t="n">
        <v>102332</v>
      </c>
      <c r="D645" s="5" t="inlineStr">
        <is>
          <t>102332</t>
        </is>
      </c>
    </row>
    <row r="646">
      <c r="A646" s="5" t="inlineStr">
        <is>
          <t>Other Suppliers</t>
        </is>
      </c>
      <c r="B646" s="5" t="inlineStr">
        <is>
          <t>MELO E BARRETO CLINICA MEDICA LTDA</t>
        </is>
      </c>
      <c r="C646" s="5" t="n">
        <v>102339</v>
      </c>
      <c r="D646" s="5" t="inlineStr">
        <is>
          <t>102339</t>
        </is>
      </c>
    </row>
    <row r="647">
      <c r="A647" s="5" t="inlineStr">
        <is>
          <t>Other Suppliers</t>
        </is>
      </c>
      <c r="B647" s="5" t="inlineStr"/>
      <c r="C647" s="5" t="n">
        <v>102422</v>
      </c>
      <c r="D647" s="5" t="inlineStr">
        <is>
          <t>102422</t>
        </is>
      </c>
    </row>
    <row r="648">
      <c r="A648" s="5" t="inlineStr">
        <is>
          <t>Other Suppliers</t>
        </is>
      </c>
      <c r="B648" s="5" t="inlineStr">
        <is>
          <t>CAFE COM COMPRADOR CONSULTORIA EMPR</t>
        </is>
      </c>
      <c r="C648" s="5" t="n">
        <v>102426</v>
      </c>
      <c r="D648" s="5" t="inlineStr">
        <is>
          <t>102426</t>
        </is>
      </c>
    </row>
    <row r="649">
      <c r="A649" s="5" t="inlineStr">
        <is>
          <t>Customs Brokerage – Overall</t>
        </is>
      </c>
      <c r="B649" s="5" t="inlineStr">
        <is>
          <t>BECOMEX CONSULTORIA LTDA</t>
        </is>
      </c>
      <c r="C649" s="5" t="n">
        <v>102433</v>
      </c>
      <c r="D649" s="5" t="inlineStr">
        <is>
          <t>102433</t>
        </is>
      </c>
    </row>
    <row r="650">
      <c r="A650" s="5" t="inlineStr">
        <is>
          <t>Social charges</t>
        </is>
      </c>
      <c r="B650" s="5" t="inlineStr">
        <is>
          <t>PREVIDENCIA SOCIAL DO BRASIL</t>
        </is>
      </c>
      <c r="C650" s="5" t="n">
        <v>102440</v>
      </c>
      <c r="D650" s="5" t="inlineStr">
        <is>
          <t>102440</t>
        </is>
      </c>
    </row>
    <row r="651">
      <c r="A651" s="5" t="inlineStr">
        <is>
          <t>Other Suppliers</t>
        </is>
      </c>
      <c r="B651" s="5" t="inlineStr"/>
      <c r="C651" s="5" t="n">
        <v>102443</v>
      </c>
      <c r="D651" s="5" t="inlineStr">
        <is>
          <t>102443</t>
        </is>
      </c>
    </row>
    <row r="652">
      <c r="A652" s="5" t="inlineStr">
        <is>
          <t>Other Suppliers</t>
        </is>
      </c>
      <c r="B652" s="5" t="inlineStr"/>
      <c r="C652" s="5" t="n">
        <v>102446</v>
      </c>
      <c r="D652" s="5" t="inlineStr">
        <is>
          <t>102446</t>
        </is>
      </c>
    </row>
    <row r="653">
      <c r="A653" s="5" t="inlineStr">
        <is>
          <t>Other Suppliers</t>
        </is>
      </c>
      <c r="B653" s="5" t="inlineStr"/>
      <c r="C653" s="5" t="n">
        <v>102448</v>
      </c>
      <c r="D653" s="5" t="inlineStr">
        <is>
          <t>102448</t>
        </is>
      </c>
    </row>
    <row r="654">
      <c r="A654" s="5" t="inlineStr">
        <is>
          <t>Other Suppliers</t>
        </is>
      </c>
      <c r="B654" s="5" t="inlineStr">
        <is>
          <t>ANTONIO FERNANDES VIEIRA</t>
        </is>
      </c>
      <c r="C654" s="5" t="n">
        <v>102452</v>
      </c>
      <c r="D654" s="5" t="inlineStr">
        <is>
          <t>102452</t>
        </is>
      </c>
    </row>
    <row r="655">
      <c r="A655" s="5" t="inlineStr">
        <is>
          <t>Other Suppliers</t>
        </is>
      </c>
      <c r="B655" s="5" t="inlineStr">
        <is>
          <t>GILVAN GONÇALVES DE ANDRADE</t>
        </is>
      </c>
      <c r="C655" s="5" t="n">
        <v>102453</v>
      </c>
      <c r="D655" s="5" t="inlineStr">
        <is>
          <t>102453</t>
        </is>
      </c>
    </row>
    <row r="656">
      <c r="A656" s="5" t="inlineStr">
        <is>
          <t>Other Suppliers</t>
        </is>
      </c>
      <c r="B656" s="5" t="inlineStr"/>
      <c r="C656" s="5" t="n">
        <v>102471</v>
      </c>
      <c r="D656" s="5" t="inlineStr">
        <is>
          <t>102471</t>
        </is>
      </c>
    </row>
    <row r="657">
      <c r="A657" s="5" t="inlineStr">
        <is>
          <t>Consumables Suppliers</t>
        </is>
      </c>
      <c r="B657" s="5" t="inlineStr">
        <is>
          <t>BALASKA EQUIPE INDUSTRIA E COMERCIO</t>
        </is>
      </c>
      <c r="C657" s="5" t="n">
        <v>102472</v>
      </c>
      <c r="D657" s="5" t="inlineStr">
        <is>
          <t>102472</t>
        </is>
      </c>
    </row>
    <row r="658">
      <c r="A658" s="5" t="inlineStr">
        <is>
          <t>Consumables Suppliers</t>
        </is>
      </c>
      <c r="B658" s="5" t="inlineStr">
        <is>
          <t>AMBIENTESEE COMERCIO E SERVICOS LTD 19246312000108</t>
        </is>
      </c>
      <c r="C658" s="5" t="n">
        <v>102473</v>
      </c>
      <c r="D658" s="5" t="inlineStr">
        <is>
          <t>102473</t>
        </is>
      </c>
    </row>
    <row r="659">
      <c r="A659" s="5" t="inlineStr">
        <is>
          <t>Customs Brokerage – Overall</t>
        </is>
      </c>
      <c r="B659" s="5" t="inlineStr">
        <is>
          <t>SUATA SERVICO UNIFICADO DE ARMAZENA</t>
        </is>
      </c>
      <c r="C659" s="5" t="n">
        <v>102485</v>
      </c>
      <c r="D659" s="5" t="inlineStr">
        <is>
          <t>102485</t>
        </is>
      </c>
    </row>
    <row r="660">
      <c r="A660" s="5" t="inlineStr">
        <is>
          <t>Other Suppliers</t>
        </is>
      </c>
      <c r="B660" s="5" t="inlineStr">
        <is>
          <t>F&amp;F ATIVIDADES ESPORTIVAS LTDA</t>
        </is>
      </c>
      <c r="C660" s="5" t="n">
        <v>102486</v>
      </c>
      <c r="D660" s="5" t="inlineStr">
        <is>
          <t>102486</t>
        </is>
      </c>
    </row>
    <row r="661">
      <c r="A661" s="5" t="inlineStr">
        <is>
          <t>Nordex Employees</t>
        </is>
      </c>
      <c r="B661" s="5" t="inlineStr"/>
      <c r="C661" s="5" t="n">
        <v>102535</v>
      </c>
      <c r="D661" s="5" t="inlineStr">
        <is>
          <t>102535</t>
        </is>
      </c>
    </row>
    <row r="662">
      <c r="A662" s="5" t="inlineStr">
        <is>
          <t>Nordex Employees</t>
        </is>
      </c>
      <c r="B662" s="5" t="inlineStr"/>
      <c r="C662" s="5" t="n">
        <v>102557</v>
      </c>
      <c r="D662" s="5" t="inlineStr">
        <is>
          <t>102557</t>
        </is>
      </c>
    </row>
    <row r="663">
      <c r="A663" s="5" t="inlineStr">
        <is>
          <t>Other Suppliers</t>
        </is>
      </c>
      <c r="B663" s="5" t="inlineStr"/>
      <c r="C663" s="5" t="n">
        <v>102791</v>
      </c>
      <c r="D663" s="5" t="inlineStr">
        <is>
          <t>102791</t>
        </is>
      </c>
    </row>
    <row r="664">
      <c r="A664" s="5" t="inlineStr">
        <is>
          <t>Other Suppliers</t>
        </is>
      </c>
      <c r="B664" s="5" t="inlineStr"/>
      <c r="C664" s="5" t="n">
        <v>102832</v>
      </c>
      <c r="D664" s="5" t="inlineStr">
        <is>
          <t>102832</t>
        </is>
      </c>
    </row>
    <row r="665">
      <c r="A665" s="5" t="inlineStr">
        <is>
          <t>Nordex Employees</t>
        </is>
      </c>
      <c r="B665" s="5" t="inlineStr"/>
      <c r="C665" s="5" t="n">
        <v>102864</v>
      </c>
      <c r="D665" s="5" t="inlineStr">
        <is>
          <t>102864</t>
        </is>
      </c>
    </row>
    <row r="666">
      <c r="A666" s="5" t="inlineStr">
        <is>
          <t>Nordex Employees</t>
        </is>
      </c>
      <c r="B666" s="5" t="inlineStr">
        <is>
          <t>Wanderley Junior</t>
        </is>
      </c>
      <c r="C666" s="5" t="n">
        <v>102960</v>
      </c>
      <c r="D666" s="5" t="inlineStr">
        <is>
          <t>102960</t>
        </is>
      </c>
    </row>
    <row r="667">
      <c r="A667" s="5" t="inlineStr">
        <is>
          <t>Other Suppliers</t>
        </is>
      </c>
      <c r="B667" s="5" t="inlineStr"/>
      <c r="C667" s="5" t="n">
        <v>103102</v>
      </c>
      <c r="D667" s="5" t="inlineStr">
        <is>
          <t>103102</t>
        </is>
      </c>
    </row>
    <row r="668">
      <c r="A668" s="5" t="inlineStr">
        <is>
          <t>Other Suppliers</t>
        </is>
      </c>
      <c r="B668" s="5" t="inlineStr"/>
      <c r="C668" s="5" t="n">
        <v>103189</v>
      </c>
      <c r="D668" s="5" t="inlineStr">
        <is>
          <t>103189</t>
        </is>
      </c>
    </row>
    <row r="669">
      <c r="A669" s="5" t="inlineStr">
        <is>
          <t>Other Suppliers</t>
        </is>
      </c>
      <c r="B669" s="5" t="inlineStr"/>
      <c r="C669" s="5" t="n">
        <v>103234</v>
      </c>
      <c r="D669" s="5" t="inlineStr">
        <is>
          <t>103234</t>
        </is>
      </c>
    </row>
    <row r="670">
      <c r="A670" s="5" t="inlineStr">
        <is>
          <t>Nordex Employees</t>
        </is>
      </c>
      <c r="B670" s="5" t="inlineStr"/>
      <c r="C670" s="5" t="n">
        <v>103303</v>
      </c>
      <c r="D670" s="5" t="inlineStr">
        <is>
          <t>103303</t>
        </is>
      </c>
    </row>
    <row r="671">
      <c r="A671" s="5" t="inlineStr">
        <is>
          <t>Other Suppliers</t>
        </is>
      </c>
      <c r="B671" s="5" t="inlineStr"/>
      <c r="C671" s="5" t="n">
        <v>103319</v>
      </c>
      <c r="D671" s="5" t="inlineStr">
        <is>
          <t>103319</t>
        </is>
      </c>
    </row>
    <row r="672">
      <c r="A672" s="5" t="inlineStr">
        <is>
          <t>Other Suppliers</t>
        </is>
      </c>
      <c r="B672" s="5" t="inlineStr"/>
      <c r="C672" s="5" t="n">
        <v>103325</v>
      </c>
      <c r="D672" s="5" t="inlineStr">
        <is>
          <t>103325</t>
        </is>
      </c>
    </row>
    <row r="673">
      <c r="A673" s="5" t="inlineStr">
        <is>
          <t>Other Suppliers</t>
        </is>
      </c>
      <c r="B673" s="5" t="inlineStr"/>
      <c r="C673" s="5" t="n">
        <v>103342</v>
      </c>
      <c r="D673" s="5" t="inlineStr">
        <is>
          <t>103342</t>
        </is>
      </c>
    </row>
    <row r="674">
      <c r="A674" s="5" t="inlineStr">
        <is>
          <t>Other Suppliers</t>
        </is>
      </c>
      <c r="B674" s="5" t="inlineStr"/>
      <c r="C674" s="5" t="n">
        <v>103414</v>
      </c>
      <c r="D674" s="5" t="inlineStr">
        <is>
          <t>103414</t>
        </is>
      </c>
    </row>
    <row r="675">
      <c r="A675" s="5" t="inlineStr">
        <is>
          <t>Other Suppliers</t>
        </is>
      </c>
      <c r="B675" s="5" t="inlineStr"/>
      <c r="C675" s="5" t="n">
        <v>103415</v>
      </c>
      <c r="D675" s="5" t="inlineStr">
        <is>
          <t>103415</t>
        </is>
      </c>
    </row>
    <row r="676">
      <c r="A676" s="5" t="inlineStr">
        <is>
          <t>Nordex Employees</t>
        </is>
      </c>
      <c r="B676" s="5" t="inlineStr">
        <is>
          <t>Cleber Aparecido Araujo</t>
        </is>
      </c>
      <c r="C676" s="5" t="n">
        <v>103437</v>
      </c>
      <c r="D676" s="5" t="inlineStr">
        <is>
          <t>103437</t>
        </is>
      </c>
    </row>
    <row r="677">
      <c r="A677" s="5" t="inlineStr">
        <is>
          <t>Other Suppliers</t>
        </is>
      </c>
      <c r="B677" s="5" t="inlineStr"/>
      <c r="C677" s="5" t="n">
        <v>103568</v>
      </c>
      <c r="D677" s="5" t="inlineStr">
        <is>
          <t>103568</t>
        </is>
      </c>
    </row>
    <row r="678">
      <c r="A678" s="5" t="inlineStr">
        <is>
          <t>Other Suppliers</t>
        </is>
      </c>
      <c r="B678" s="5" t="inlineStr"/>
      <c r="C678" s="5" t="n">
        <v>103583</v>
      </c>
      <c r="D678" s="5" t="inlineStr">
        <is>
          <t>103583</t>
        </is>
      </c>
    </row>
    <row r="679">
      <c r="A679" s="5" t="inlineStr">
        <is>
          <t>Taxes Payable</t>
        </is>
      </c>
      <c r="B679" s="5" t="inlineStr">
        <is>
          <t>SECRETARIA DA FAZENDA BAHIA</t>
        </is>
      </c>
      <c r="C679" s="5" t="n">
        <v>103681</v>
      </c>
      <c r="D679" s="5" t="inlineStr">
        <is>
          <t>103681</t>
        </is>
      </c>
    </row>
    <row r="680">
      <c r="A680" s="5" t="inlineStr">
        <is>
          <t>Other Suppliers</t>
        </is>
      </c>
      <c r="B680" s="5" t="inlineStr">
        <is>
          <t>MALAGRINO JOSE ANTONIO</t>
        </is>
      </c>
      <c r="C680" s="5" t="n">
        <v>103687</v>
      </c>
      <c r="D680" s="5" t="inlineStr">
        <is>
          <t>103687</t>
        </is>
      </c>
    </row>
    <row r="681">
      <c r="A681" s="5" t="inlineStr">
        <is>
          <t>Taxes Payable</t>
        </is>
      </c>
      <c r="B681" s="5" t="inlineStr">
        <is>
          <t>MUNICIPIO DE BROTAS DE MACAUBAS</t>
        </is>
      </c>
      <c r="C681" s="5" t="n">
        <v>103689</v>
      </c>
      <c r="D681" s="5" t="inlineStr">
        <is>
          <t>103689</t>
        </is>
      </c>
    </row>
    <row r="682">
      <c r="A682" s="5" t="inlineStr">
        <is>
          <t>Other Suppliers</t>
        </is>
      </c>
      <c r="B682" s="5" t="inlineStr">
        <is>
          <t>IMERSA AUDITORIA E CONSULTORIA LTDA</t>
        </is>
      </c>
      <c r="C682" s="5" t="n">
        <v>103693</v>
      </c>
      <c r="D682" s="5" t="inlineStr">
        <is>
          <t>103693</t>
        </is>
      </c>
    </row>
    <row r="683">
      <c r="A683" s="5" t="inlineStr">
        <is>
          <t>Other Suppliers</t>
        </is>
      </c>
      <c r="B683" s="5" t="inlineStr">
        <is>
          <t>INTERNATIONAL CHAMBER OF COMMERCE</t>
        </is>
      </c>
      <c r="C683" s="5" t="n">
        <v>103702</v>
      </c>
      <c r="D683" s="5" t="inlineStr">
        <is>
          <t>103702</t>
        </is>
      </c>
    </row>
    <row r="684">
      <c r="A684" s="5" t="inlineStr">
        <is>
          <t>Customs Brokerage – Overall</t>
        </is>
      </c>
      <c r="B684" s="5" t="inlineStr"/>
      <c r="C684" s="5" t="n">
        <v>103709</v>
      </c>
      <c r="D684" s="5" t="inlineStr">
        <is>
          <t>103709</t>
        </is>
      </c>
    </row>
    <row r="685">
      <c r="A685" s="5" t="inlineStr">
        <is>
          <t>Other Suppliers</t>
        </is>
      </c>
      <c r="B685" s="5" t="inlineStr"/>
      <c r="C685" s="5" t="n">
        <v>103712</v>
      </c>
      <c r="D685" s="5" t="inlineStr">
        <is>
          <t>103712</t>
        </is>
      </c>
    </row>
    <row r="686">
      <c r="A686" s="5" t="inlineStr">
        <is>
          <t>Operational Suppliers (Wind Farms)</t>
        </is>
      </c>
      <c r="B686" s="5" t="inlineStr"/>
      <c r="C686" s="5" t="n">
        <v>103724</v>
      </c>
      <c r="D686" s="5" t="inlineStr">
        <is>
          <t>103724</t>
        </is>
      </c>
    </row>
    <row r="687">
      <c r="A687" s="5" t="inlineStr">
        <is>
          <t>Other Suppliers</t>
        </is>
      </c>
      <c r="B687" s="5" t="inlineStr">
        <is>
          <t>COMECIAL NGS LTDA</t>
        </is>
      </c>
      <c r="C687" s="5" t="n">
        <v>103727</v>
      </c>
      <c r="D687" s="5" t="inlineStr">
        <is>
          <t>103727</t>
        </is>
      </c>
    </row>
    <row r="688">
      <c r="A688" s="5" t="inlineStr">
        <is>
          <t>Operational Suppliers (Wind Farms)</t>
        </is>
      </c>
      <c r="B688" s="5" t="inlineStr">
        <is>
          <t>RAK LOG TRANSPORTES E LOGISTICA LTD</t>
        </is>
      </c>
      <c r="C688" s="5" t="n">
        <v>103730</v>
      </c>
      <c r="D688" s="5" t="inlineStr">
        <is>
          <t>103730</t>
        </is>
      </c>
    </row>
    <row r="689">
      <c r="A689" s="5" t="inlineStr">
        <is>
          <t>Operational Suppliers (Wind Farms)</t>
        </is>
      </c>
      <c r="B689" s="5" t="inlineStr"/>
      <c r="C689" s="5" t="n">
        <v>103731</v>
      </c>
      <c r="D689" s="5" t="inlineStr">
        <is>
          <t>103731</t>
        </is>
      </c>
    </row>
    <row r="690">
      <c r="A690" s="5" t="inlineStr">
        <is>
          <t>Operational Suppliers (Wind Farms)</t>
        </is>
      </c>
      <c r="B690" s="5" t="inlineStr"/>
      <c r="C690" s="5" t="n">
        <v>103734</v>
      </c>
      <c r="D690" s="5" t="inlineStr">
        <is>
          <t>103734</t>
        </is>
      </c>
    </row>
    <row r="691">
      <c r="A691" s="5" t="inlineStr">
        <is>
          <t>Other Suppliers</t>
        </is>
      </c>
      <c r="B691" s="5" t="inlineStr">
        <is>
          <t>SEM PARAR INSTITUIÇÃO DE PAGAMENTO</t>
        </is>
      </c>
      <c r="C691" s="5" t="n">
        <v>103740</v>
      </c>
      <c r="D691" s="5" t="inlineStr">
        <is>
          <t>103740</t>
        </is>
      </c>
    </row>
    <row r="692">
      <c r="A692" s="5" t="inlineStr">
        <is>
          <t>Other Suppliers</t>
        </is>
      </c>
      <c r="B692" s="5" t="inlineStr"/>
      <c r="C692" s="5" t="n">
        <v>103741</v>
      </c>
      <c r="D692" s="5" t="inlineStr">
        <is>
          <t>103741</t>
        </is>
      </c>
    </row>
    <row r="693">
      <c r="A693" s="5" t="inlineStr">
        <is>
          <t>Other Suppliers</t>
        </is>
      </c>
      <c r="B693" s="5" t="inlineStr">
        <is>
          <t>J G SERVICOS DE HOSPEDAGEM LTDA</t>
        </is>
      </c>
      <c r="C693" s="5" t="n">
        <v>103744</v>
      </c>
      <c r="D693" s="5" t="inlineStr">
        <is>
          <t>103744</t>
        </is>
      </c>
    </row>
    <row r="694">
      <c r="A694" s="5" t="inlineStr">
        <is>
          <t>Other Suppliers</t>
        </is>
      </c>
      <c r="B694" s="5" t="inlineStr">
        <is>
          <t>AIR LIDER COMERCIO E TRANSPORTE DE</t>
        </is>
      </c>
      <c r="C694" s="5" t="n">
        <v>103745</v>
      </c>
      <c r="D694" s="5" t="inlineStr">
        <is>
          <t>103745</t>
        </is>
      </c>
    </row>
    <row r="695">
      <c r="A695" s="5" t="inlineStr">
        <is>
          <t>Other Suppliers</t>
        </is>
      </c>
      <c r="B695" s="5" t="inlineStr">
        <is>
          <t>TW TRANSPORTES E LOGISTICA LTDA</t>
        </is>
      </c>
      <c r="C695" s="5" t="n">
        <v>103756</v>
      </c>
      <c r="D695" s="5" t="inlineStr">
        <is>
          <t>103756</t>
        </is>
      </c>
    </row>
    <row r="696">
      <c r="A696" s="5" t="inlineStr">
        <is>
          <t>Other Suppliers</t>
        </is>
      </c>
      <c r="B696" s="5" t="inlineStr"/>
      <c r="C696" s="5" t="n">
        <v>103757</v>
      </c>
      <c r="D696" s="5" t="inlineStr">
        <is>
          <t>103757</t>
        </is>
      </c>
    </row>
    <row r="697">
      <c r="A697" s="5" t="inlineStr">
        <is>
          <t>Taxes Payable</t>
        </is>
      </c>
      <c r="B697" s="5" t="inlineStr">
        <is>
          <t>MUNICIPIO DE SIMOES</t>
        </is>
      </c>
      <c r="C697" s="5" t="n">
        <v>103759</v>
      </c>
      <c r="D697" s="5" t="inlineStr">
        <is>
          <t>103759</t>
        </is>
      </c>
    </row>
    <row r="698">
      <c r="A698" s="5" t="inlineStr">
        <is>
          <t>Other Suppliers</t>
        </is>
      </c>
      <c r="B698" s="5" t="inlineStr">
        <is>
          <t>CLEDSON RIBEIRO DOS SANTOS</t>
        </is>
      </c>
      <c r="C698" s="5" t="n">
        <v>103761</v>
      </c>
      <c r="D698" s="5" t="inlineStr">
        <is>
          <t>103761</t>
        </is>
      </c>
    </row>
    <row r="699">
      <c r="A699" s="5" t="inlineStr">
        <is>
          <t>Other Suppliers</t>
        </is>
      </c>
      <c r="B699" s="5" t="inlineStr">
        <is>
          <t>ROBERT HALF TRABALHO TEMPORARIO</t>
        </is>
      </c>
      <c r="C699" s="5" t="n">
        <v>103767</v>
      </c>
      <c r="D699" s="5" t="inlineStr">
        <is>
          <t>103767</t>
        </is>
      </c>
    </row>
    <row r="700">
      <c r="A700" s="5" t="inlineStr">
        <is>
          <t>Operational Suppliers (Wind Farms)</t>
        </is>
      </c>
      <c r="B700" s="5" t="inlineStr">
        <is>
          <t>BRASPRESS TRANSPORTES URGENTES LTDA</t>
        </is>
      </c>
      <c r="C700" s="5" t="n">
        <v>103772</v>
      </c>
      <c r="D700" s="5" t="inlineStr">
        <is>
          <t>103772</t>
        </is>
      </c>
    </row>
    <row r="701">
      <c r="A701" s="5" t="inlineStr">
        <is>
          <t>Other Suppliers</t>
        </is>
      </c>
      <c r="B701" s="5" t="inlineStr">
        <is>
          <t>INSTITUTO NACIONAL DA PROPRIEDADE I</t>
        </is>
      </c>
      <c r="C701" s="5" t="n">
        <v>103781</v>
      </c>
      <c r="D701" s="5" t="inlineStr">
        <is>
          <t>103781</t>
        </is>
      </c>
    </row>
    <row r="702">
      <c r="A702" s="5" t="inlineStr">
        <is>
          <t>Social charges</t>
        </is>
      </c>
      <c r="B702" s="5" t="inlineStr"/>
      <c r="C702" s="5" t="n">
        <v>103785</v>
      </c>
      <c r="D702" s="5" t="inlineStr">
        <is>
          <t>103785</t>
        </is>
      </c>
    </row>
    <row r="703">
      <c r="A703" s="5" t="inlineStr">
        <is>
          <t>Other Suppliers</t>
        </is>
      </c>
      <c r="B703" s="5" t="inlineStr">
        <is>
          <t>GSW SUL SOLUCOES DE INFORMATICA LTD</t>
        </is>
      </c>
      <c r="C703" s="5" t="n">
        <v>103789</v>
      </c>
      <c r="D703" s="5" t="inlineStr">
        <is>
          <t>103789</t>
        </is>
      </c>
    </row>
    <row r="704">
      <c r="A704" s="5" t="inlineStr">
        <is>
          <t>Other Suppliers</t>
        </is>
      </c>
      <c r="B704" s="5" t="inlineStr"/>
      <c r="C704" s="5" t="n">
        <v>103798</v>
      </c>
      <c r="D704" s="5" t="inlineStr">
        <is>
          <t>103798</t>
        </is>
      </c>
    </row>
    <row r="705">
      <c r="A705" s="5" t="inlineStr">
        <is>
          <t>Other Suppliers</t>
        </is>
      </c>
      <c r="B705" s="5" t="inlineStr">
        <is>
          <t>NUMEN IT SOLUCOES EM TECNOLOGIA LTD</t>
        </is>
      </c>
      <c r="C705" s="5" t="n">
        <v>103805</v>
      </c>
      <c r="D705" s="5" t="inlineStr">
        <is>
          <t>103805</t>
        </is>
      </c>
    </row>
    <row r="706">
      <c r="A706" s="5" t="inlineStr">
        <is>
          <t>Other Suppliers</t>
        </is>
      </c>
      <c r="B706" s="5" t="inlineStr"/>
      <c r="C706" s="5" t="n">
        <v>103806</v>
      </c>
      <c r="D706" s="5" t="inlineStr">
        <is>
          <t>103806</t>
        </is>
      </c>
    </row>
    <row r="707">
      <c r="A707" s="5" t="inlineStr">
        <is>
          <t>Other Suppliers</t>
        </is>
      </c>
      <c r="B707" s="5" t="inlineStr"/>
      <c r="C707" s="5" t="n">
        <v>103807</v>
      </c>
      <c r="D707" s="5" t="inlineStr">
        <is>
          <t>103807</t>
        </is>
      </c>
    </row>
    <row r="708">
      <c r="A708" s="5" t="inlineStr">
        <is>
          <t>Operational Suppliers (Wind Farms)</t>
        </is>
      </c>
      <c r="B708" s="5" t="inlineStr"/>
      <c r="C708" s="5" t="n">
        <v>103834</v>
      </c>
      <c r="D708" s="5" t="inlineStr">
        <is>
          <t>103834</t>
        </is>
      </c>
    </row>
    <row r="709">
      <c r="A709" s="5" t="inlineStr">
        <is>
          <t>Operational Suppliers (Wind Farms)</t>
        </is>
      </c>
      <c r="B709" s="5" t="inlineStr">
        <is>
          <t>NORTEL SUPRIMENTOS INDUSTRIAIS LTDA</t>
        </is>
      </c>
      <c r="C709" s="5" t="n">
        <v>103839</v>
      </c>
      <c r="D709" s="5" t="inlineStr">
        <is>
          <t>103839</t>
        </is>
      </c>
    </row>
    <row r="710">
      <c r="A710" s="5" t="inlineStr">
        <is>
          <t>Other Suppliers</t>
        </is>
      </c>
      <c r="B710" s="5" t="inlineStr"/>
      <c r="C710" s="5" t="n">
        <v>103847</v>
      </c>
      <c r="D710" s="5" t="inlineStr">
        <is>
          <t>103847</t>
        </is>
      </c>
    </row>
    <row r="711">
      <c r="A711" s="5" t="inlineStr">
        <is>
          <t>SINOMA</t>
        </is>
      </c>
      <c r="B711" s="5" t="inlineStr">
        <is>
          <t>SINOMA WIND POWER BLADE (BRAZIL) LT</t>
        </is>
      </c>
      <c r="C711" s="5" t="n">
        <v>103849</v>
      </c>
      <c r="D711" s="5" t="inlineStr">
        <is>
          <t>103849</t>
        </is>
      </c>
    </row>
    <row r="712">
      <c r="A712" s="5" t="inlineStr">
        <is>
          <t>Other Suppliers</t>
        </is>
      </c>
      <c r="B712" s="5" t="inlineStr"/>
      <c r="C712" s="5" t="n">
        <v>103852</v>
      </c>
      <c r="D712" s="5" t="inlineStr">
        <is>
          <t>103852</t>
        </is>
      </c>
    </row>
    <row r="713">
      <c r="A713" s="5" t="inlineStr">
        <is>
          <t>Other Suppliers</t>
        </is>
      </c>
      <c r="B713" s="5" t="inlineStr"/>
      <c r="C713" s="5" t="n">
        <v>103869</v>
      </c>
      <c r="D713" s="5" t="inlineStr">
        <is>
          <t>103869</t>
        </is>
      </c>
    </row>
    <row r="714">
      <c r="A714" s="5" t="inlineStr">
        <is>
          <t>Operational Suppliers (Wind Farms)</t>
        </is>
      </c>
      <c r="B714" s="5" t="inlineStr"/>
      <c r="C714" s="5" t="n">
        <v>103871</v>
      </c>
      <c r="D714" s="5" t="inlineStr">
        <is>
          <t>103871</t>
        </is>
      </c>
    </row>
    <row r="715">
      <c r="A715" s="5" t="inlineStr">
        <is>
          <t>Operational Suppliers (Wind Farms)</t>
        </is>
      </c>
      <c r="B715" s="5" t="inlineStr"/>
      <c r="C715" s="5" t="n">
        <v>103885</v>
      </c>
      <c r="D715" s="5" t="inlineStr">
        <is>
          <t>103885</t>
        </is>
      </c>
    </row>
    <row r="716">
      <c r="A716" s="5" t="inlineStr">
        <is>
          <t>Other Suppliers</t>
        </is>
      </c>
      <c r="B716" s="5" t="inlineStr">
        <is>
          <t>FEDERAL EXPRESS CORPORATION</t>
        </is>
      </c>
      <c r="C716" s="5" t="n">
        <v>103886</v>
      </c>
      <c r="D716" s="5" t="inlineStr">
        <is>
          <t>103886</t>
        </is>
      </c>
    </row>
    <row r="717">
      <c r="A717" s="5" t="inlineStr">
        <is>
          <t>Other Suppliers</t>
        </is>
      </c>
      <c r="B717" s="5" t="inlineStr"/>
      <c r="C717" s="5" t="n">
        <v>103894</v>
      </c>
      <c r="D717" s="5" t="inlineStr">
        <is>
          <t>103894</t>
        </is>
      </c>
    </row>
    <row r="718">
      <c r="A718" s="5" t="inlineStr">
        <is>
          <t>Other Suppliers</t>
        </is>
      </c>
      <c r="B718" s="5" t="inlineStr"/>
      <c r="C718" s="5" t="n">
        <v>103901</v>
      </c>
      <c r="D718" s="5" t="inlineStr">
        <is>
          <t>103901</t>
        </is>
      </c>
    </row>
    <row r="719">
      <c r="A719" s="5" t="inlineStr">
        <is>
          <t>Other Suppliers</t>
        </is>
      </c>
      <c r="B719" s="5" t="inlineStr">
        <is>
          <t>EDSON MELO</t>
        </is>
      </c>
      <c r="C719" s="5" t="n">
        <v>103904</v>
      </c>
      <c r="D719" s="5" t="inlineStr">
        <is>
          <t>103904</t>
        </is>
      </c>
    </row>
    <row r="720">
      <c r="A720" s="5" t="inlineStr">
        <is>
          <t>Operational Suppliers (Wind Farms)</t>
        </is>
      </c>
      <c r="B720" s="5" t="inlineStr"/>
      <c r="C720" s="5" t="n">
        <v>103908</v>
      </c>
      <c r="D720" s="5" t="inlineStr">
        <is>
          <t>103908</t>
        </is>
      </c>
    </row>
    <row r="721">
      <c r="A721" s="5" t="inlineStr">
        <is>
          <t>Taxes Payable</t>
        </is>
      </c>
      <c r="B721" s="5" t="inlineStr"/>
      <c r="C721" s="5" t="n">
        <v>103909</v>
      </c>
      <c r="D721" s="5" t="inlineStr">
        <is>
          <t>103909</t>
        </is>
      </c>
    </row>
    <row r="722">
      <c r="A722" s="5" t="inlineStr">
        <is>
          <t>Legal Services Suppliers</t>
        </is>
      </c>
      <c r="B722" s="5" t="inlineStr"/>
      <c r="C722" s="5" t="n">
        <v>103910</v>
      </c>
      <c r="D722" s="5" t="inlineStr">
        <is>
          <t>103910</t>
        </is>
      </c>
    </row>
    <row r="723">
      <c r="A723" s="5" t="inlineStr">
        <is>
          <t>Operational Suppliers (Wind Farms)</t>
        </is>
      </c>
      <c r="B723" s="5" t="inlineStr"/>
      <c r="C723" s="5" t="n">
        <v>103912</v>
      </c>
      <c r="D723" s="5" t="inlineStr">
        <is>
          <t>103912</t>
        </is>
      </c>
    </row>
    <row r="724">
      <c r="A724" s="5" t="inlineStr">
        <is>
          <t>Other Suppliers</t>
        </is>
      </c>
      <c r="B724" s="5" t="inlineStr"/>
      <c r="C724" s="5" t="n">
        <v>103915</v>
      </c>
      <c r="D724" s="5" t="inlineStr">
        <is>
          <t>103915</t>
        </is>
      </c>
    </row>
    <row r="725">
      <c r="A725" s="5" t="inlineStr">
        <is>
          <t>Other Suppliers</t>
        </is>
      </c>
      <c r="B725" s="5" t="inlineStr"/>
      <c r="C725" s="5" t="n">
        <v>103919</v>
      </c>
      <c r="D725" s="5" t="inlineStr">
        <is>
          <t>103919</t>
        </is>
      </c>
    </row>
    <row r="726">
      <c r="A726" s="5" t="inlineStr">
        <is>
          <t>Other Suppliers</t>
        </is>
      </c>
      <c r="B726" s="5" t="inlineStr">
        <is>
          <t>MOVIDA PARTICIPACOES</t>
        </is>
      </c>
      <c r="C726" s="5" t="n">
        <v>103927</v>
      </c>
      <c r="D726" s="5" t="inlineStr">
        <is>
          <t>103927</t>
        </is>
      </c>
    </row>
    <row r="727">
      <c r="A727" s="5" t="inlineStr">
        <is>
          <t>Operational Suppliers (Wind Farms)</t>
        </is>
      </c>
      <c r="B727" s="5" t="inlineStr"/>
      <c r="C727" s="5" t="n">
        <v>103929</v>
      </c>
      <c r="D727" s="5" t="inlineStr">
        <is>
          <t>103929</t>
        </is>
      </c>
    </row>
    <row r="728">
      <c r="A728" s="5" t="inlineStr">
        <is>
          <t>Other Suppliers</t>
        </is>
      </c>
      <c r="B728" s="5" t="inlineStr">
        <is>
          <t>WPK SERVICOS E MONITORAMENTO LTDA 43980265000106</t>
        </is>
      </c>
      <c r="C728" s="5" t="n">
        <v>103931</v>
      </c>
      <c r="D728" s="5" t="inlineStr">
        <is>
          <t>103931</t>
        </is>
      </c>
    </row>
    <row r="729">
      <c r="A729" s="5" t="inlineStr">
        <is>
          <t>Other Suppliers</t>
        </is>
      </c>
      <c r="B729" s="5" t="inlineStr">
        <is>
          <t>BELA VISTA RENOVAVEIS II LTDA</t>
        </is>
      </c>
      <c r="C729" s="5" t="n">
        <v>103936</v>
      </c>
      <c r="D729" s="5" t="inlineStr">
        <is>
          <t>103936</t>
        </is>
      </c>
    </row>
    <row r="730">
      <c r="A730" s="5" t="inlineStr">
        <is>
          <t>Operational Suppliers (Wind Farms)</t>
        </is>
      </c>
      <c r="B730" s="5" t="inlineStr">
        <is>
          <t>HINE DO BRASIL IND E COM HIDR E PN 12482538000754</t>
        </is>
      </c>
      <c r="C730" s="5" t="n">
        <v>103966</v>
      </c>
      <c r="D730" s="5" t="inlineStr">
        <is>
          <t>103966</t>
        </is>
      </c>
    </row>
    <row r="731">
      <c r="A731" s="5" t="inlineStr">
        <is>
          <t>Other Suppliers</t>
        </is>
      </c>
      <c r="B731" s="5" t="inlineStr"/>
      <c r="C731" s="5" t="n">
        <v>103967</v>
      </c>
      <c r="D731" s="5" t="inlineStr">
        <is>
          <t>103967</t>
        </is>
      </c>
    </row>
    <row r="732">
      <c r="A732" s="5" t="inlineStr">
        <is>
          <t>Other Suppliers</t>
        </is>
      </c>
      <c r="B732" s="5" t="inlineStr"/>
      <c r="C732" s="5" t="n">
        <v>103981</v>
      </c>
      <c r="D732" s="5" t="inlineStr">
        <is>
          <t>103981</t>
        </is>
      </c>
    </row>
    <row r="733">
      <c r="A733" s="5" t="inlineStr">
        <is>
          <t>Other Suppliers</t>
        </is>
      </c>
      <c r="B733" s="5" t="inlineStr"/>
      <c r="C733" s="5" t="n">
        <v>103994</v>
      </c>
      <c r="D733" s="5" t="inlineStr">
        <is>
          <t>103994</t>
        </is>
      </c>
    </row>
    <row r="734">
      <c r="A734" s="5" t="inlineStr">
        <is>
          <t>Other Suppliers</t>
        </is>
      </c>
      <c r="B734" s="5" t="inlineStr">
        <is>
          <t>SS SECURITY SERVICE E ADMINISTRATIV 52856037000110</t>
        </is>
      </c>
      <c r="C734" s="5" t="n">
        <v>103996</v>
      </c>
      <c r="D734" s="5" t="inlineStr">
        <is>
          <t>103996</t>
        </is>
      </c>
    </row>
    <row r="735">
      <c r="A735" s="5" t="inlineStr">
        <is>
          <t>Operational Suppliers (Wind Farms)</t>
        </is>
      </c>
      <c r="B735" s="5" t="inlineStr">
        <is>
          <t>TECNOCON SOLUCOES PARA ENERGIAS REN</t>
        </is>
      </c>
      <c r="C735" s="5" t="n">
        <v>103999</v>
      </c>
      <c r="D735" s="5" t="inlineStr">
        <is>
          <t>103999</t>
        </is>
      </c>
    </row>
    <row r="736">
      <c r="A736" s="5" t="inlineStr">
        <is>
          <t>Other Suppliers</t>
        </is>
      </c>
      <c r="B736" s="5" t="inlineStr"/>
      <c r="C736" s="5" t="n">
        <v>104000</v>
      </c>
      <c r="D736" s="5" t="inlineStr">
        <is>
          <t>104000</t>
        </is>
      </c>
    </row>
    <row r="737">
      <c r="A737" s="5" t="inlineStr">
        <is>
          <t>Other Suppliers</t>
        </is>
      </c>
      <c r="B737" s="5" t="inlineStr">
        <is>
          <t>TOP LOCACOES LTDA 43452661000160</t>
        </is>
      </c>
      <c r="C737" s="5" t="n">
        <v>104002</v>
      </c>
      <c r="D737" s="5" t="inlineStr">
        <is>
          <t>104002</t>
        </is>
      </c>
    </row>
    <row r="738">
      <c r="A738" s="5" t="inlineStr">
        <is>
          <t>Other Suppliers</t>
        </is>
      </c>
      <c r="B738" s="5" t="inlineStr">
        <is>
          <t>THIAGO DE MORAES 21707151000154</t>
        </is>
      </c>
      <c r="C738" s="5" t="n">
        <v>104003</v>
      </c>
      <c r="D738" s="5" t="inlineStr">
        <is>
          <t>104003</t>
        </is>
      </c>
    </row>
    <row r="739">
      <c r="A739" s="5" t="inlineStr">
        <is>
          <t>Other Suppliers</t>
        </is>
      </c>
      <c r="B739" s="5" t="inlineStr">
        <is>
          <t>MC CONSULTORIA E SERVICOES LTDA</t>
        </is>
      </c>
      <c r="C739" s="5" t="n">
        <v>104018</v>
      </c>
      <c r="D739" s="5" t="inlineStr">
        <is>
          <t>104018</t>
        </is>
      </c>
    </row>
    <row r="740">
      <c r="A740" s="5" t="inlineStr">
        <is>
          <t>Operational Suppliers (Wind Farms)</t>
        </is>
      </c>
      <c r="B740" s="5" t="inlineStr"/>
      <c r="C740" s="5" t="n">
        <v>104021</v>
      </c>
      <c r="D740" s="5" t="inlineStr">
        <is>
          <t>104021</t>
        </is>
      </c>
    </row>
    <row r="741">
      <c r="A741" s="5" t="inlineStr">
        <is>
          <t>Other Suppliers</t>
        </is>
      </c>
      <c r="B741" s="5" t="inlineStr">
        <is>
          <t>DEFENSY SEGURANCA E SERVICOS LTDA 49758078000169</t>
        </is>
      </c>
      <c r="C741" s="5" t="n">
        <v>104050</v>
      </c>
      <c r="D741" s="5" t="inlineStr">
        <is>
          <t>104050</t>
        </is>
      </c>
    </row>
    <row r="742">
      <c r="A742" s="5" t="inlineStr">
        <is>
          <t>Other Suppliers</t>
        </is>
      </c>
      <c r="B742" s="5" t="inlineStr"/>
      <c r="C742" s="5" t="n">
        <v>104054</v>
      </c>
      <c r="D742" s="5" t="inlineStr">
        <is>
          <t>104054</t>
        </is>
      </c>
    </row>
    <row r="743">
      <c r="A743" s="5" t="inlineStr">
        <is>
          <t>Legal Services Suppliers</t>
        </is>
      </c>
      <c r="B743" s="5" t="inlineStr"/>
      <c r="C743" s="5" t="n">
        <v>104056</v>
      </c>
      <c r="D743" s="5" t="inlineStr">
        <is>
          <t>104056</t>
        </is>
      </c>
    </row>
    <row r="744">
      <c r="A744" s="5" t="inlineStr">
        <is>
          <t>Other Suppliers</t>
        </is>
      </c>
      <c r="B744" s="5" t="inlineStr"/>
      <c r="C744" s="5" t="n">
        <v>104058</v>
      </c>
      <c r="D744" s="5" t="inlineStr">
        <is>
          <t>104058</t>
        </is>
      </c>
    </row>
    <row r="745">
      <c r="A745" s="5" t="inlineStr">
        <is>
          <t>Other Suppliers</t>
        </is>
      </c>
      <c r="B745" s="5" t="inlineStr">
        <is>
          <t>MG SERVICOS E SAUDE LTDA 48515732000140</t>
        </is>
      </c>
      <c r="C745" s="5" t="n">
        <v>104059</v>
      </c>
      <c r="D745" s="5" t="inlineStr">
        <is>
          <t>104059</t>
        </is>
      </c>
    </row>
    <row r="746">
      <c r="A746" s="5" t="inlineStr">
        <is>
          <t>Other Suppliers</t>
        </is>
      </c>
      <c r="B746" s="5" t="inlineStr"/>
      <c r="C746" s="5" t="n">
        <v>104062</v>
      </c>
      <c r="D746" s="5" t="inlineStr">
        <is>
          <t>104062</t>
        </is>
      </c>
    </row>
    <row r="747">
      <c r="A747" s="5" t="inlineStr">
        <is>
          <t>Operational Suppliers (Wind Farms)</t>
        </is>
      </c>
      <c r="B747" s="5" t="inlineStr">
        <is>
          <t>TRANSPORTES PESADOS MINAS S A 17215039000633</t>
        </is>
      </c>
      <c r="C747" s="5" t="n">
        <v>104064</v>
      </c>
      <c r="D747" s="5" t="inlineStr">
        <is>
          <t>104064</t>
        </is>
      </c>
    </row>
    <row r="748">
      <c r="A748" s="5" t="inlineStr">
        <is>
          <t>Taxes Payable</t>
        </is>
      </c>
      <c r="B748" s="5" t="inlineStr"/>
      <c r="C748" s="5" t="n">
        <v>104068</v>
      </c>
      <c r="D748" s="5" t="inlineStr">
        <is>
          <t>104068</t>
        </is>
      </c>
    </row>
    <row r="749">
      <c r="A749" s="5" t="inlineStr">
        <is>
          <t>Taxes Payable</t>
        </is>
      </c>
      <c r="B749" s="5" t="inlineStr">
        <is>
          <t>MUNICIPIO DE POCINHOS 08741688000172</t>
        </is>
      </c>
      <c r="C749" s="5" t="n">
        <v>104069</v>
      </c>
      <c r="D749" s="5" t="inlineStr">
        <is>
          <t>104069</t>
        </is>
      </c>
    </row>
    <row r="750">
      <c r="A750" s="5" t="inlineStr">
        <is>
          <t>Taxes Payable</t>
        </is>
      </c>
      <c r="B750" s="5" t="inlineStr"/>
      <c r="C750" s="5" t="n">
        <v>104070</v>
      </c>
      <c r="D750" s="5" t="inlineStr">
        <is>
          <t>104070</t>
        </is>
      </c>
    </row>
    <row r="751">
      <c r="A751" s="5" t="inlineStr">
        <is>
          <t>Operational Suppliers (Wind Farms)</t>
        </is>
      </c>
      <c r="B751" s="5" t="inlineStr"/>
      <c r="C751" s="5" t="n">
        <v>104074</v>
      </c>
      <c r="D751" s="5" t="inlineStr">
        <is>
          <t>104074</t>
        </is>
      </c>
    </row>
    <row r="752">
      <c r="A752" s="5" t="inlineStr">
        <is>
          <t>Other Suppliers</t>
        </is>
      </c>
      <c r="B752" s="5" t="inlineStr">
        <is>
          <t>XRS SERVICOS AUXILIARES DE PORTARIA 31996152000110</t>
        </is>
      </c>
      <c r="C752" s="5" t="n">
        <v>104077</v>
      </c>
      <c r="D752" s="5" t="inlineStr">
        <is>
          <t>104077</t>
        </is>
      </c>
    </row>
    <row r="753">
      <c r="A753" s="5" t="inlineStr">
        <is>
          <t>Other Suppliers</t>
        </is>
      </c>
      <c r="B753" s="5" t="inlineStr"/>
      <c r="C753" s="5" t="n">
        <v>104078</v>
      </c>
      <c r="D753" s="5" t="inlineStr">
        <is>
          <t>104078</t>
        </is>
      </c>
    </row>
    <row r="754">
      <c r="A754" s="5" t="inlineStr">
        <is>
          <t>Other Suppliers</t>
        </is>
      </c>
      <c r="B754" s="5" t="inlineStr"/>
      <c r="C754" s="5" t="n">
        <v>104081</v>
      </c>
      <c r="D754" s="5" t="inlineStr">
        <is>
          <t>104081</t>
        </is>
      </c>
    </row>
    <row r="755">
      <c r="A755" s="5" t="inlineStr">
        <is>
          <t>Other Suppliers</t>
        </is>
      </c>
      <c r="B755" s="5" t="inlineStr">
        <is>
          <t>POLIMATEC MECANICA INDUSTRIAL LTDA 30108394000167</t>
        </is>
      </c>
      <c r="C755" s="5" t="n">
        <v>104122</v>
      </c>
      <c r="D755" s="5" t="inlineStr">
        <is>
          <t>104122</t>
        </is>
      </c>
    </row>
    <row r="756">
      <c r="A756" s="5" t="inlineStr">
        <is>
          <t>Operational Suppliers (Wind Farms)</t>
        </is>
      </c>
      <c r="B756" s="5" t="inlineStr"/>
      <c r="C756" s="5" t="n">
        <v>104125</v>
      </c>
      <c r="D756" s="5" t="inlineStr">
        <is>
          <t>104125</t>
        </is>
      </c>
    </row>
    <row r="757">
      <c r="A757" s="5" t="inlineStr">
        <is>
          <t>Operational Suppliers (Wind Farms)</t>
        </is>
      </c>
      <c r="B757" s="5" t="inlineStr"/>
      <c r="C757" s="5" t="n">
        <v>104127</v>
      </c>
      <c r="D757" s="5" t="inlineStr">
        <is>
          <t>104127</t>
        </is>
      </c>
    </row>
    <row r="758">
      <c r="A758" s="5" t="inlineStr">
        <is>
          <t>Other Suppliers</t>
        </is>
      </c>
      <c r="B758" s="5" t="inlineStr"/>
      <c r="C758" s="5" t="n">
        <v>104128</v>
      </c>
      <c r="D758" s="5" t="inlineStr">
        <is>
          <t>104128</t>
        </is>
      </c>
    </row>
    <row r="759">
      <c r="A759" s="5" t="inlineStr">
        <is>
          <t>Other Suppliers</t>
        </is>
      </c>
      <c r="B759" s="5" t="inlineStr"/>
      <c r="C759" s="5" t="n">
        <v>104129</v>
      </c>
      <c r="D759" s="5" t="inlineStr">
        <is>
          <t>104129</t>
        </is>
      </c>
    </row>
    <row r="760">
      <c r="A760" s="5" t="inlineStr">
        <is>
          <t>Other Suppliers</t>
        </is>
      </c>
      <c r="B760" s="5" t="inlineStr">
        <is>
          <t>B&amp;M LOGISTICA INTERNACIONAL LTDA 07720307000106</t>
        </is>
      </c>
      <c r="C760" s="5" t="n">
        <v>104134</v>
      </c>
      <c r="D760" s="5" t="inlineStr">
        <is>
          <t>104134</t>
        </is>
      </c>
    </row>
    <row r="761">
      <c r="A761" s="5" t="inlineStr">
        <is>
          <t>Other Suppliers</t>
        </is>
      </c>
      <c r="B761" s="5" t="inlineStr">
        <is>
          <t>H K ABDOUNI INSPECOES LTDA 10620234000195</t>
        </is>
      </c>
      <c r="C761" s="5" t="n">
        <v>104143</v>
      </c>
      <c r="D761" s="5" t="inlineStr">
        <is>
          <t>104143</t>
        </is>
      </c>
    </row>
    <row r="762">
      <c r="A762" s="5" t="inlineStr">
        <is>
          <t>Other Suppliers</t>
        </is>
      </c>
      <c r="B762" s="5" t="inlineStr"/>
      <c r="C762" s="5" t="n">
        <v>105236</v>
      </c>
      <c r="D762" s="5" t="inlineStr">
        <is>
          <t>105236</t>
        </is>
      </c>
    </row>
    <row r="763">
      <c r="A763" s="5" t="inlineStr">
        <is>
          <t>Customs Brokerage – Overall</t>
        </is>
      </c>
      <c r="B763" s="5" t="inlineStr">
        <is>
          <t>TGP BRASIL PROJETOS &amp; TRANSPORTES I 07752487000108</t>
        </is>
      </c>
      <c r="C763" s="5" t="n">
        <v>105237</v>
      </c>
      <c r="D763" s="5" t="inlineStr">
        <is>
          <t>105237</t>
        </is>
      </c>
    </row>
    <row r="764">
      <c r="A764" s="5" t="inlineStr">
        <is>
          <t>Other Suppliers</t>
        </is>
      </c>
      <c r="B764" s="5" t="inlineStr"/>
      <c r="C764" s="5" t="n">
        <v>105238</v>
      </c>
      <c r="D764" s="5" t="inlineStr">
        <is>
          <t>105238</t>
        </is>
      </c>
    </row>
    <row r="765">
      <c r="A765" s="5" t="inlineStr">
        <is>
          <t>Audit Services</t>
        </is>
      </c>
      <c r="B765" s="5" t="inlineStr"/>
      <c r="C765" s="5" t="n">
        <v>105250</v>
      </c>
      <c r="D765" s="5" t="inlineStr">
        <is>
          <t>105250</t>
        </is>
      </c>
    </row>
    <row r="766">
      <c r="A766" s="5" t="inlineStr">
        <is>
          <t>Other Suppliers</t>
        </is>
      </c>
      <c r="B766" s="5" t="inlineStr"/>
      <c r="C766" s="5" t="n">
        <v>105251</v>
      </c>
      <c r="D766" s="5" t="inlineStr">
        <is>
          <t>105251</t>
        </is>
      </c>
    </row>
    <row r="767">
      <c r="A767" s="5" t="inlineStr">
        <is>
          <t>Other Suppliers</t>
        </is>
      </c>
      <c r="B767" s="5" t="inlineStr"/>
      <c r="C767" s="5" t="n">
        <v>105258</v>
      </c>
      <c r="D767" s="5" t="inlineStr">
        <is>
          <t>105258</t>
        </is>
      </c>
    </row>
    <row r="768">
      <c r="A768" s="5" t="inlineStr">
        <is>
          <t>LDs Service Payments</t>
        </is>
      </c>
      <c r="B768" s="5" t="inlineStr"/>
      <c r="C768" s="5" t="n">
        <v>105525</v>
      </c>
      <c r="D768" s="5" t="inlineStr">
        <is>
          <t>105525</t>
        </is>
      </c>
    </row>
    <row r="769">
      <c r="A769" s="5" t="inlineStr">
        <is>
          <t>LDs Service Payments</t>
        </is>
      </c>
      <c r="B769" s="5" t="inlineStr"/>
      <c r="C769" s="5" t="n">
        <v>105526</v>
      </c>
      <c r="D769" s="5" t="inlineStr">
        <is>
          <t>105526</t>
        </is>
      </c>
    </row>
    <row r="770">
      <c r="A770" s="5" t="inlineStr">
        <is>
          <t>Facilities</t>
        </is>
      </c>
      <c r="B770" s="5" t="inlineStr">
        <is>
          <t>ENEL GREEN POWER VENTOS DE SAO ROQU 36051515000249</t>
        </is>
      </c>
      <c r="C770" s="5" t="n">
        <v>105589</v>
      </c>
      <c r="D770" s="5" t="inlineStr">
        <is>
          <t>105589</t>
        </is>
      </c>
    </row>
    <row r="771">
      <c r="A771" s="5" t="inlineStr">
        <is>
          <t>Other Suppliers</t>
        </is>
      </c>
      <c r="B771" s="5" t="inlineStr"/>
      <c r="C771" s="5" t="n">
        <v>105598</v>
      </c>
      <c r="D771" s="5" t="inlineStr">
        <is>
          <t>105598</t>
        </is>
      </c>
    </row>
    <row r="772">
      <c r="A772" s="5" t="inlineStr">
        <is>
          <t>Suppliers Under Litigation</t>
        </is>
      </c>
      <c r="B772" s="5" t="inlineStr"/>
      <c r="C772" s="5" t="n">
        <v>105599</v>
      </c>
      <c r="D772" s="5" t="inlineStr">
        <is>
          <t>105599</t>
        </is>
      </c>
    </row>
    <row r="773">
      <c r="A773" s="5" t="inlineStr">
        <is>
          <t>Operational Suppliers (Wind Farms)</t>
        </is>
      </c>
      <c r="B773" s="5" t="inlineStr"/>
      <c r="C773" s="5" t="n">
        <v>105603</v>
      </c>
      <c r="D773" s="5" t="inlineStr">
        <is>
          <t>105603</t>
        </is>
      </c>
    </row>
    <row r="774">
      <c r="A774" s="5" t="inlineStr">
        <is>
          <t>Other Suppliers</t>
        </is>
      </c>
      <c r="B774" s="5" t="inlineStr"/>
      <c r="C774" s="5" t="n">
        <v>105604</v>
      </c>
      <c r="D774" s="5" t="inlineStr">
        <is>
          <t>105604</t>
        </is>
      </c>
    </row>
    <row r="775">
      <c r="A775" s="5" t="inlineStr">
        <is>
          <t>LDs Service Payments</t>
        </is>
      </c>
      <c r="B775" s="5" t="inlineStr"/>
      <c r="C775" s="5" t="n">
        <v>105605</v>
      </c>
      <c r="D775" s="5" t="inlineStr">
        <is>
          <t>105605</t>
        </is>
      </c>
    </row>
    <row r="776">
      <c r="A776" s="5" t="inlineStr">
        <is>
          <t>LDs Service Payments</t>
        </is>
      </c>
      <c r="B776" s="5" t="inlineStr"/>
      <c r="C776" s="5" t="n">
        <v>105606</v>
      </c>
      <c r="D776" s="5" t="inlineStr">
        <is>
          <t>105606</t>
        </is>
      </c>
    </row>
    <row r="777">
      <c r="A777" s="5" t="inlineStr">
        <is>
          <t>LDs Service Payments</t>
        </is>
      </c>
      <c r="B777" s="5" t="inlineStr"/>
      <c r="C777" s="5" t="n">
        <v>105607</v>
      </c>
      <c r="D777" s="5" t="inlineStr">
        <is>
          <t>105607</t>
        </is>
      </c>
    </row>
    <row r="778">
      <c r="A778" s="5" t="inlineStr">
        <is>
          <t>LDs Service Payments</t>
        </is>
      </c>
      <c r="B778" s="5" t="inlineStr"/>
      <c r="C778" s="5" t="n">
        <v>105608</v>
      </c>
      <c r="D778" s="5" t="inlineStr">
        <is>
          <t>105608</t>
        </is>
      </c>
    </row>
    <row r="779">
      <c r="A779" s="5" t="inlineStr">
        <is>
          <t>Legal Services Suppliers</t>
        </is>
      </c>
      <c r="B779" s="5" t="inlineStr"/>
      <c r="C779" s="5" t="n">
        <v>105610</v>
      </c>
      <c r="D779" s="5" t="inlineStr">
        <is>
          <t>105610</t>
        </is>
      </c>
    </row>
    <row r="780">
      <c r="A780" s="5" t="inlineStr">
        <is>
          <t>Legal Services Suppliers</t>
        </is>
      </c>
      <c r="B780" s="5" t="inlineStr"/>
      <c r="C780" s="5" t="n">
        <v>105611</v>
      </c>
      <c r="D780" s="5" t="inlineStr">
        <is>
          <t>105611</t>
        </is>
      </c>
    </row>
    <row r="781">
      <c r="A781" s="5" t="inlineStr">
        <is>
          <t>Other Suppliers</t>
        </is>
      </c>
      <c r="B781" s="5" t="inlineStr"/>
      <c r="C781" s="5" t="n">
        <v>105624</v>
      </c>
      <c r="D781" s="5" t="inlineStr">
        <is>
          <t>105624</t>
        </is>
      </c>
    </row>
    <row r="782">
      <c r="A782" s="5" t="inlineStr">
        <is>
          <t>Other Suppliers</t>
        </is>
      </c>
      <c r="B782" s="5" t="inlineStr">
        <is>
          <t>RESTAURANTE SANTA GERTRUDES LTDA 47904495000309</t>
        </is>
      </c>
      <c r="C782" s="5" t="n">
        <v>105629</v>
      </c>
      <c r="D782" s="5" t="inlineStr">
        <is>
          <t>105629</t>
        </is>
      </c>
    </row>
    <row r="783">
      <c r="A783" s="5" t="inlineStr">
        <is>
          <t>Operational Suppliers (Wind Farms)</t>
        </is>
      </c>
      <c r="B783" s="5" t="inlineStr">
        <is>
          <t>DOIS A ENGENHARIA E TECNOLOGIA LTDA 03092799000181</t>
        </is>
      </c>
      <c r="C783" s="5" t="n">
        <v>105635</v>
      </c>
      <c r="D783" s="5" t="inlineStr">
        <is>
          <t>105635</t>
        </is>
      </c>
    </row>
    <row r="784">
      <c r="A784" s="5" t="inlineStr">
        <is>
          <t>Other Suppliers</t>
        </is>
      </c>
      <c r="B784" s="5" t="inlineStr"/>
      <c r="C784" s="5" t="n">
        <v>105646</v>
      </c>
      <c r="D784" s="5" t="inlineStr">
        <is>
          <t>105646</t>
        </is>
      </c>
    </row>
    <row r="785">
      <c r="A785" s="5" t="inlineStr">
        <is>
          <t>Other Suppliers</t>
        </is>
      </c>
      <c r="B785" s="5" t="inlineStr"/>
      <c r="C785" s="5" t="n">
        <v>105649</v>
      </c>
      <c r="D785" s="5" t="inlineStr">
        <is>
          <t>105649</t>
        </is>
      </c>
    </row>
    <row r="786">
      <c r="A786" s="5" t="inlineStr">
        <is>
          <t>LDs Service Payments</t>
        </is>
      </c>
      <c r="B786" s="5" t="inlineStr"/>
      <c r="C786" s="5" t="n">
        <v>105657</v>
      </c>
      <c r="D786" s="5" t="inlineStr">
        <is>
          <t>105657</t>
        </is>
      </c>
    </row>
    <row r="787">
      <c r="A787" s="5" t="inlineStr">
        <is>
          <t>Operational Suppliers (Wind Farms)</t>
        </is>
      </c>
      <c r="B787" s="5" t="inlineStr">
        <is>
          <t>TERMOPLAST PLASTIK ENJEKSIYON VE</t>
        </is>
      </c>
      <c r="C787" s="5" t="n">
        <v>105667</v>
      </c>
      <c r="D787" s="5" t="inlineStr">
        <is>
          <t>105667</t>
        </is>
      </c>
    </row>
    <row r="788">
      <c r="A788" s="5" t="inlineStr">
        <is>
          <t>Other Suppliers</t>
        </is>
      </c>
      <c r="B788" s="5" t="inlineStr"/>
      <c r="C788" s="5" t="n">
        <v>105682</v>
      </c>
      <c r="D788" s="5" t="inlineStr">
        <is>
          <t>105682</t>
        </is>
      </c>
    </row>
    <row r="789">
      <c r="A789" s="5" t="inlineStr">
        <is>
          <t>Other Suppliers</t>
        </is>
      </c>
      <c r="B789" s="5" t="inlineStr"/>
      <c r="C789" s="5" t="n">
        <v>105687</v>
      </c>
      <c r="D789" s="5" t="inlineStr">
        <is>
          <t>105687</t>
        </is>
      </c>
    </row>
    <row r="790">
      <c r="A790" s="5" t="inlineStr">
        <is>
          <t>Other Suppliers</t>
        </is>
      </c>
      <c r="B790" s="5" t="inlineStr"/>
      <c r="C790" s="5" t="n">
        <v>105688</v>
      </c>
      <c r="D790" s="5" t="inlineStr">
        <is>
          <t>105688</t>
        </is>
      </c>
    </row>
    <row r="791">
      <c r="A791" s="5" t="inlineStr">
        <is>
          <t>Other Suppliers</t>
        </is>
      </c>
      <c r="B791" s="5" t="inlineStr"/>
      <c r="C791" s="5" t="n">
        <v>105689</v>
      </c>
      <c r="D791" s="5" t="inlineStr">
        <is>
          <t>105689</t>
        </is>
      </c>
    </row>
    <row r="792">
      <c r="A792" s="5" t="inlineStr">
        <is>
          <t>Other Suppliers</t>
        </is>
      </c>
      <c r="B792" s="5" t="inlineStr"/>
      <c r="C792" s="5" t="n">
        <v>105692</v>
      </c>
      <c r="D792" s="5" t="inlineStr">
        <is>
          <t>105692</t>
        </is>
      </c>
    </row>
    <row r="793">
      <c r="A793" s="5" t="inlineStr">
        <is>
          <t>Other Suppliers</t>
        </is>
      </c>
      <c r="B793" s="5" t="inlineStr">
        <is>
          <t>WINSERVICE SOLUTION INFORMATICA LTD 02598005000193</t>
        </is>
      </c>
      <c r="C793" s="5" t="n">
        <v>105693</v>
      </c>
      <c r="D793" s="5" t="inlineStr">
        <is>
          <t>105693</t>
        </is>
      </c>
    </row>
    <row r="794">
      <c r="A794" s="5" t="inlineStr">
        <is>
          <t>LDs Service Payments</t>
        </is>
      </c>
      <c r="B794" s="5" t="inlineStr"/>
      <c r="C794" s="5" t="n">
        <v>105722</v>
      </c>
      <c r="D794" s="5" t="inlineStr">
        <is>
          <t>105722</t>
        </is>
      </c>
    </row>
    <row r="795">
      <c r="A795" s="5" t="inlineStr">
        <is>
          <t>Operational Suppliers (Wind Farms)</t>
        </is>
      </c>
      <c r="B795" s="5" t="inlineStr"/>
      <c r="C795" s="5" t="n">
        <v>105725</v>
      </c>
      <c r="D795" s="5" t="inlineStr">
        <is>
          <t>105725</t>
        </is>
      </c>
    </row>
    <row r="796">
      <c r="A796" s="5" t="inlineStr">
        <is>
          <t>Operational Suppliers (Wind Farms)</t>
        </is>
      </c>
      <c r="B796" s="5" t="inlineStr"/>
      <c r="C796" s="5" t="n">
        <v>105732</v>
      </c>
      <c r="D796" s="5" t="inlineStr">
        <is>
          <t>105732</t>
        </is>
      </c>
    </row>
    <row r="797">
      <c r="A797" s="5" t="inlineStr">
        <is>
          <t>LDs Service Payments</t>
        </is>
      </c>
      <c r="B797" s="5" t="inlineStr"/>
      <c r="C797" s="5" t="n">
        <v>105743</v>
      </c>
      <c r="D797" s="5" t="inlineStr">
        <is>
          <t>105743</t>
        </is>
      </c>
    </row>
    <row r="798">
      <c r="A798" s="5" t="inlineStr">
        <is>
          <t>LDs Service Payments</t>
        </is>
      </c>
      <c r="B798" s="5" t="inlineStr"/>
      <c r="C798" s="5" t="n">
        <v>105744</v>
      </c>
      <c r="D798" s="5" t="inlineStr">
        <is>
          <t>105744</t>
        </is>
      </c>
    </row>
    <row r="799">
      <c r="A799" s="5" t="inlineStr">
        <is>
          <t>Operational Suppliers (Wind Farms)</t>
        </is>
      </c>
      <c r="B799" s="5" t="inlineStr">
        <is>
          <t>SULZER SCHMID BRAZIL LTDA 57465227000120</t>
        </is>
      </c>
      <c r="C799" s="5" t="n">
        <v>105751</v>
      </c>
      <c r="D799" s="5" t="inlineStr">
        <is>
          <t>105751</t>
        </is>
      </c>
    </row>
    <row r="800">
      <c r="A800" s="5" t="inlineStr">
        <is>
          <t>Customs Brokerage – Overall</t>
        </is>
      </c>
      <c r="B800" s="5" t="inlineStr"/>
      <c r="C800" s="5" t="n">
        <v>105757</v>
      </c>
      <c r="D800" s="5" t="inlineStr">
        <is>
          <t>105757</t>
        </is>
      </c>
    </row>
    <row r="801">
      <c r="A801" s="5" t="inlineStr">
        <is>
          <t>Legal Services Suppliers</t>
        </is>
      </c>
      <c r="B801" s="5" t="inlineStr">
        <is>
          <t>TELES &amp; VILANOVA ADVOGADOS 57783429000110</t>
        </is>
      </c>
      <c r="C801" s="5" t="n">
        <v>105982</v>
      </c>
      <c r="D801" s="5" t="inlineStr">
        <is>
          <t>105982</t>
        </is>
      </c>
    </row>
    <row r="802">
      <c r="A802" s="5" t="inlineStr">
        <is>
          <t>Customs Brokerage – Overall</t>
        </is>
      </c>
      <c r="B802" s="5" t="inlineStr">
        <is>
          <t>TRADEWORKS SERVICOS DE COMERCIO EXT 04955748000107</t>
        </is>
      </c>
      <c r="C802" s="5" t="n">
        <v>105984</v>
      </c>
      <c r="D802" s="5" t="inlineStr">
        <is>
          <t>105984</t>
        </is>
      </c>
    </row>
    <row r="803">
      <c r="A803" s="5" t="inlineStr">
        <is>
          <t>Customs Brokerage – Overall</t>
        </is>
      </c>
      <c r="B803" s="5" t="inlineStr"/>
      <c r="C803" s="5" t="n">
        <v>105988</v>
      </c>
      <c r="D803" s="5" t="inlineStr">
        <is>
          <t>105988</t>
        </is>
      </c>
    </row>
    <row r="804">
      <c r="A804" s="5" t="inlineStr">
        <is>
          <t>Operational Suppliers (Wind Farms)</t>
        </is>
      </c>
      <c r="B804" s="5" t="inlineStr"/>
      <c r="C804" s="5" t="n">
        <v>105990</v>
      </c>
      <c r="D804" s="5" t="inlineStr">
        <is>
          <t>105990</t>
        </is>
      </c>
    </row>
    <row r="805">
      <c r="A805" s="5" t="inlineStr">
        <is>
          <t>Other Suppliers</t>
        </is>
      </c>
      <c r="B805" s="5" t="inlineStr"/>
      <c r="C805" s="5" t="n">
        <v>106006</v>
      </c>
      <c r="D805" s="5" t="inlineStr">
        <is>
          <t>106006</t>
        </is>
      </c>
    </row>
    <row r="806">
      <c r="A806" s="5" t="inlineStr">
        <is>
          <t>Operational Suppliers (Wind Farms)</t>
        </is>
      </c>
      <c r="B806" s="5" t="inlineStr"/>
      <c r="C806" s="5" t="n">
        <v>106010</v>
      </c>
      <c r="D806" s="5" t="inlineStr">
        <is>
          <t>106010</t>
        </is>
      </c>
    </row>
    <row r="807">
      <c r="A807" s="5" t="inlineStr">
        <is>
          <t>Other Suppliers</t>
        </is>
      </c>
      <c r="B807" s="5" t="inlineStr">
        <is>
          <t>NS AUTOMACAO E INSTRUMENTACAO LTDA 13786265000290</t>
        </is>
      </c>
      <c r="C807" s="5" t="n">
        <v>106024</v>
      </c>
      <c r="D807" s="5" t="inlineStr">
        <is>
          <t>106024</t>
        </is>
      </c>
    </row>
    <row r="808">
      <c r="A808" s="5" t="inlineStr">
        <is>
          <t>Customs Brokerage – Overall</t>
        </is>
      </c>
      <c r="B808" s="5" t="inlineStr"/>
      <c r="C808" s="5" t="n">
        <v>106026</v>
      </c>
      <c r="D808" s="5" t="inlineStr">
        <is>
          <t>106026</t>
        </is>
      </c>
    </row>
    <row r="809">
      <c r="A809" s="5" t="inlineStr">
        <is>
          <t>Facilities</t>
        </is>
      </c>
      <c r="B809" s="5" t="inlineStr">
        <is>
          <t>WANTEL TECNOLOGIA LTDA</t>
        </is>
      </c>
      <c r="C809" s="5" t="n">
        <v>106040</v>
      </c>
      <c r="D809" s="5" t="inlineStr">
        <is>
          <t>106040</t>
        </is>
      </c>
    </row>
    <row r="810">
      <c r="A810" s="5" t="inlineStr">
        <is>
          <t>Other Suppliers</t>
        </is>
      </c>
      <c r="B810" s="5" t="inlineStr"/>
      <c r="C810" s="5" t="n">
        <v>106043</v>
      </c>
      <c r="D810" s="5" t="inlineStr">
        <is>
          <t>106043</t>
        </is>
      </c>
    </row>
    <row r="811">
      <c r="A811" s="5" t="inlineStr">
        <is>
          <t>Other Suppliers</t>
        </is>
      </c>
      <c r="B811" s="5" t="inlineStr">
        <is>
          <t>ECOVIS NORDESTE LTDA 52979841000196</t>
        </is>
      </c>
      <c r="C811" s="5" t="n">
        <v>106044</v>
      </c>
      <c r="D811" s="5" t="inlineStr">
        <is>
          <t>106044</t>
        </is>
      </c>
    </row>
    <row r="812">
      <c r="A812" s="5" t="inlineStr">
        <is>
          <t>Customs Brokerage – Overall</t>
        </is>
      </c>
      <c r="B812" s="5" t="inlineStr"/>
      <c r="C812" s="5" t="n">
        <v>106292</v>
      </c>
      <c r="D812" s="5" t="inlineStr">
        <is>
          <t>106292</t>
        </is>
      </c>
    </row>
    <row r="813">
      <c r="A813" s="5" t="inlineStr">
        <is>
          <t>Customs Brokerage – Overall</t>
        </is>
      </c>
      <c r="B813" s="5" t="inlineStr"/>
      <c r="C813" s="5" t="n">
        <v>106309</v>
      </c>
      <c r="D813" s="5" t="inlineStr">
        <is>
          <t>106309</t>
        </is>
      </c>
    </row>
    <row r="814">
      <c r="A814" s="5" t="inlineStr">
        <is>
          <t>Other Suppliers</t>
        </is>
      </c>
      <c r="B814" s="5" t="inlineStr"/>
      <c r="C814" s="5" t="n">
        <v>106321</v>
      </c>
      <c r="D814" s="5" t="inlineStr">
        <is>
          <t>106321</t>
        </is>
      </c>
    </row>
    <row r="815">
      <c r="A815" s="5" t="inlineStr">
        <is>
          <t>Other Suppliers</t>
        </is>
      </c>
      <c r="B815" s="5" t="inlineStr"/>
      <c r="C815" s="5" t="n">
        <v>106328</v>
      </c>
      <c r="D815" s="5" t="inlineStr">
        <is>
          <t>106328</t>
        </is>
      </c>
    </row>
    <row r="816">
      <c r="A816" s="5" t="inlineStr">
        <is>
          <t>Other Suppliers</t>
        </is>
      </c>
      <c r="B816" s="5" t="inlineStr">
        <is>
          <t>INTERCARGAS ENCOMENDAS E CARGAS LTD</t>
        </is>
      </c>
      <c r="C816" s="5" t="n">
        <v>106331</v>
      </c>
      <c r="D816" s="5" t="inlineStr">
        <is>
          <t>106331</t>
        </is>
      </c>
    </row>
    <row r="817">
      <c r="A817" s="5" t="inlineStr">
        <is>
          <t>Other Suppliers</t>
        </is>
      </c>
      <c r="B817" s="5" t="inlineStr">
        <is>
          <t>CAROLINE LENICE DE SOUSA OLIVEIRA</t>
        </is>
      </c>
      <c r="C817" s="5" t="n">
        <v>106332</v>
      </c>
      <c r="D817" s="5" t="inlineStr">
        <is>
          <t>106332</t>
        </is>
      </c>
    </row>
    <row r="818">
      <c r="A818" s="5" t="inlineStr">
        <is>
          <t>Operational Suppliers (Wind Farms)</t>
        </is>
      </c>
      <c r="B818" s="5" t="inlineStr"/>
      <c r="C818" s="5" t="n">
        <v>106342</v>
      </c>
      <c r="D818" s="5" t="inlineStr">
        <is>
          <t>106342</t>
        </is>
      </c>
    </row>
    <row r="819">
      <c r="A819" s="5" t="inlineStr">
        <is>
          <t>Other Suppliers</t>
        </is>
      </c>
      <c r="B819" s="5" t="inlineStr"/>
      <c r="C819" s="5" t="n">
        <v>106345</v>
      </c>
      <c r="D819" s="5" t="inlineStr">
        <is>
          <t>106345</t>
        </is>
      </c>
    </row>
    <row r="820">
      <c r="A820" s="5" t="inlineStr">
        <is>
          <t>Other Suppliers</t>
        </is>
      </c>
      <c r="B820" s="5" t="inlineStr"/>
      <c r="C820" s="5" t="n">
        <v>106348</v>
      </c>
      <c r="D820" s="5" t="inlineStr">
        <is>
          <t>106348</t>
        </is>
      </c>
    </row>
    <row r="821">
      <c r="A821" s="5" t="inlineStr">
        <is>
          <t>Other Suppliers</t>
        </is>
      </c>
      <c r="B821" s="5" t="inlineStr"/>
      <c r="C821" s="5" t="n">
        <v>106358</v>
      </c>
      <c r="D821" s="5" t="inlineStr">
        <is>
          <t>106358</t>
        </is>
      </c>
    </row>
    <row r="822">
      <c r="A822" s="5" t="inlineStr">
        <is>
          <t>Other Suppliers</t>
        </is>
      </c>
      <c r="B822" s="5" t="inlineStr"/>
      <c r="C822" s="5" t="n">
        <v>106359</v>
      </c>
      <c r="D822" s="5" t="inlineStr">
        <is>
          <t>106359</t>
        </is>
      </c>
    </row>
    <row r="823">
      <c r="A823" s="5" t="inlineStr">
        <is>
          <t>Legal Services Suppliers</t>
        </is>
      </c>
      <c r="B823" s="5" t="inlineStr"/>
      <c r="C823" s="5" t="n">
        <v>106377</v>
      </c>
      <c r="D823" s="5" t="inlineStr">
        <is>
          <t>106377</t>
        </is>
      </c>
    </row>
    <row r="824">
      <c r="A824" s="5" t="inlineStr">
        <is>
          <t>Other Suppliers</t>
        </is>
      </c>
      <c r="B824" s="5" t="inlineStr"/>
      <c r="C824" s="5" t="n">
        <v>106392</v>
      </c>
      <c r="D824" s="5" t="inlineStr">
        <is>
          <t>106392</t>
        </is>
      </c>
    </row>
    <row r="825">
      <c r="A825" s="5" t="inlineStr">
        <is>
          <t>Other Suppliers</t>
        </is>
      </c>
      <c r="B825" s="5" t="inlineStr"/>
      <c r="C825" s="5" t="n">
        <v>106396</v>
      </c>
      <c r="D825" s="5" t="inlineStr">
        <is>
          <t>106396</t>
        </is>
      </c>
    </row>
    <row r="826">
      <c r="A826" s="5" t="inlineStr">
        <is>
          <t>Legal Services Suppliers</t>
        </is>
      </c>
      <c r="B826" s="5" t="inlineStr"/>
      <c r="C826" s="5" t="n">
        <v>106407</v>
      </c>
      <c r="D826" s="5" t="inlineStr">
        <is>
          <t>106407</t>
        </is>
      </c>
    </row>
    <row r="827">
      <c r="A827" s="5" t="inlineStr">
        <is>
          <t>Facilities</t>
        </is>
      </c>
      <c r="B827" s="5" t="inlineStr"/>
      <c r="C827" s="5" t="n">
        <v>106410</v>
      </c>
      <c r="D827" s="5" t="inlineStr">
        <is>
          <t>106410</t>
        </is>
      </c>
    </row>
    <row r="828">
      <c r="A828" s="5" t="inlineStr">
        <is>
          <t>Customs Brokerage – Overall</t>
        </is>
      </c>
      <c r="B828" s="5" t="inlineStr"/>
      <c r="C828" s="5" t="n">
        <v>106422</v>
      </c>
      <c r="D828" s="5" t="inlineStr">
        <is>
          <t>106422</t>
        </is>
      </c>
    </row>
    <row r="829">
      <c r="A829" s="5" t="inlineStr">
        <is>
          <t>Operational Suppliers (Wind Farms)</t>
        </is>
      </c>
      <c r="B829" s="5" t="inlineStr">
        <is>
          <t>HIDRAULICA CONSTRUCCION Y CONSERVAC SA</t>
        </is>
      </c>
      <c r="C829" s="5" t="n">
        <v>106430</v>
      </c>
      <c r="D829" s="5" t="inlineStr">
        <is>
          <t>106430</t>
        </is>
      </c>
    </row>
    <row r="830">
      <c r="A830" s="5" t="inlineStr">
        <is>
          <t>Operational Suppliers (Wind Farms)</t>
        </is>
      </c>
      <c r="B830" s="5" t="inlineStr"/>
      <c r="C830" s="5" t="n">
        <v>106437</v>
      </c>
      <c r="D830" s="5" t="inlineStr">
        <is>
          <t>106437</t>
        </is>
      </c>
    </row>
    <row r="831">
      <c r="A831" s="5" t="inlineStr">
        <is>
          <t>Operational Suppliers (Wind Farms)</t>
        </is>
      </c>
      <c r="B831" s="5" t="inlineStr"/>
      <c r="C831" s="5" t="n">
        <v>106449</v>
      </c>
      <c r="D831" s="5" t="inlineStr">
        <is>
          <t>106449</t>
        </is>
      </c>
    </row>
    <row r="832">
      <c r="A832" s="5" t="inlineStr">
        <is>
          <t>Other Suppliers</t>
        </is>
      </c>
      <c r="B832" s="5" t="inlineStr"/>
      <c r="C832" s="5" t="n">
        <v>106453</v>
      </c>
      <c r="D832" s="5" t="inlineStr">
        <is>
          <t>106453</t>
        </is>
      </c>
    </row>
    <row r="833">
      <c r="A833" s="5" t="inlineStr">
        <is>
          <t>Other Suppliers</t>
        </is>
      </c>
      <c r="B833" s="5" t="inlineStr"/>
      <c r="C833" s="5" t="n">
        <v>106465</v>
      </c>
      <c r="D833" s="5" t="inlineStr">
        <is>
          <t>106465</t>
        </is>
      </c>
    </row>
    <row r="834">
      <c r="A834" s="5" t="inlineStr">
        <is>
          <t>Operational Suppliers (Wind Farms)</t>
        </is>
      </c>
      <c r="B834" s="5" t="inlineStr"/>
      <c r="C834" s="5" t="n">
        <v>106467</v>
      </c>
      <c r="D834" s="5" t="inlineStr">
        <is>
          <t>106467</t>
        </is>
      </c>
    </row>
    <row r="835">
      <c r="A835" s="5" t="inlineStr">
        <is>
          <t>Operational Suppliers (Wind Farms)</t>
        </is>
      </c>
      <c r="B835" s="5" t="inlineStr"/>
      <c r="C835" s="5" t="n">
        <v>106468</v>
      </c>
      <c r="D835" s="5" t="inlineStr">
        <is>
          <t>106468</t>
        </is>
      </c>
    </row>
    <row r="836">
      <c r="A836" s="5" t="inlineStr">
        <is>
          <t>Operational Suppliers (Wind Farms)</t>
        </is>
      </c>
      <c r="B836" s="5" t="inlineStr"/>
      <c r="C836" s="5" t="n">
        <v>106469</v>
      </c>
      <c r="D836" s="5" t="inlineStr">
        <is>
          <t>106469</t>
        </is>
      </c>
    </row>
    <row r="837">
      <c r="A837" s="5" t="inlineStr">
        <is>
          <t>Operational Suppliers (Wind Farms)</t>
        </is>
      </c>
      <c r="B837" s="5" t="inlineStr"/>
      <c r="C837" s="5" t="n">
        <v>106470</v>
      </c>
      <c r="D837" s="5" t="inlineStr">
        <is>
          <t>106470</t>
        </is>
      </c>
    </row>
    <row r="838">
      <c r="A838" s="5" t="inlineStr">
        <is>
          <t>Operational Suppliers (Wind Farms)</t>
        </is>
      </c>
      <c r="B838" s="5" t="inlineStr">
        <is>
          <t>P M C FERNANDES</t>
        </is>
      </c>
      <c r="C838" s="5" t="n">
        <v>106471</v>
      </c>
      <c r="D838" s="5" t="inlineStr">
        <is>
          <t>106471</t>
        </is>
      </c>
    </row>
    <row r="839">
      <c r="A839" s="5" t="inlineStr">
        <is>
          <t>Other Suppliers</t>
        </is>
      </c>
      <c r="B839" s="5" t="inlineStr"/>
      <c r="C839" s="5" t="n">
        <v>106676</v>
      </c>
      <c r="D839" s="5" t="inlineStr">
        <is>
          <t>106676</t>
        </is>
      </c>
    </row>
    <row r="840">
      <c r="A840" s="5" t="inlineStr">
        <is>
          <t>Other Suppliers</t>
        </is>
      </c>
      <c r="B840" s="5" t="inlineStr">
        <is>
          <t>OBJECTA LIFTING LASHING AND TECHNIC</t>
        </is>
      </c>
      <c r="C840" s="5" t="n">
        <v>107274</v>
      </c>
      <c r="D840" s="5" t="inlineStr">
        <is>
          <t>107274</t>
        </is>
      </c>
    </row>
    <row r="841">
      <c r="A841" s="5" t="inlineStr">
        <is>
          <t>Other Suppliers</t>
        </is>
      </c>
      <c r="B841" s="5" t="inlineStr"/>
      <c r="C841" s="5" t="n">
        <v>107304</v>
      </c>
      <c r="D841" s="5" t="inlineStr">
        <is>
          <t>107304</t>
        </is>
      </c>
    </row>
    <row r="842">
      <c r="A842" s="5" t="inlineStr">
        <is>
          <t>Other Suppliers</t>
        </is>
      </c>
      <c r="B842" s="5" t="inlineStr">
        <is>
          <t>BRS SUPRIMENTOS CORPORATIVOS S A</t>
        </is>
      </c>
      <c r="C842" s="5" t="n">
        <v>107311</v>
      </c>
      <c r="D842" s="5" t="inlineStr">
        <is>
          <t>107311</t>
        </is>
      </c>
    </row>
    <row r="843">
      <c r="A843" s="5" t="inlineStr">
        <is>
          <t>Other Suppliers</t>
        </is>
      </c>
      <c r="B843" s="5" t="inlineStr"/>
      <c r="C843" s="5" t="n">
        <v>107342</v>
      </c>
      <c r="D843" s="5" t="inlineStr">
        <is>
          <t>107342</t>
        </is>
      </c>
    </row>
    <row r="844">
      <c r="A844" s="5" t="inlineStr">
        <is>
          <t>Other Suppliers</t>
        </is>
      </c>
      <c r="B844" s="5" t="inlineStr"/>
      <c r="C844" s="5" t="n">
        <v>107548</v>
      </c>
      <c r="D844" s="5" t="inlineStr">
        <is>
          <t>107548</t>
        </is>
      </c>
    </row>
    <row r="845">
      <c r="A845" s="5" t="inlineStr">
        <is>
          <t>Other Suppliers</t>
        </is>
      </c>
      <c r="B845" s="5" t="inlineStr"/>
      <c r="C845" s="5" t="n">
        <v>107554</v>
      </c>
      <c r="D845" s="5" t="inlineStr">
        <is>
          <t>107554</t>
        </is>
      </c>
    </row>
    <row r="846">
      <c r="A846" s="5" t="inlineStr">
        <is>
          <t>Operational Suppliers (Wind Farms)</t>
        </is>
      </c>
      <c r="B846" s="5" t="inlineStr"/>
      <c r="C846" s="5" t="n">
        <v>107558</v>
      </c>
      <c r="D846" s="5" t="inlineStr">
        <is>
          <t>107558</t>
        </is>
      </c>
    </row>
    <row r="847">
      <c r="A847" s="5" t="inlineStr">
        <is>
          <t>Other Suppliers</t>
        </is>
      </c>
      <c r="B847" s="5" t="inlineStr"/>
      <c r="C847" s="5" t="n">
        <v>107578</v>
      </c>
      <c r="D847" s="5" t="inlineStr">
        <is>
          <t>107578</t>
        </is>
      </c>
    </row>
    <row r="848">
      <c r="A848" s="5" t="inlineStr">
        <is>
          <t>Other Suppliers</t>
        </is>
      </c>
      <c r="B848" s="5" t="inlineStr"/>
      <c r="C848" s="5" t="n">
        <v>107595</v>
      </c>
      <c r="D848" s="5" t="inlineStr">
        <is>
          <t>107595</t>
        </is>
      </c>
    </row>
    <row r="849">
      <c r="A849" s="5" t="inlineStr">
        <is>
          <t>Other Suppliers</t>
        </is>
      </c>
      <c r="B849" s="5" t="inlineStr"/>
      <c r="C849" s="5" t="n">
        <v>107614</v>
      </c>
      <c r="D849" s="5" t="inlineStr">
        <is>
          <t>107614</t>
        </is>
      </c>
    </row>
    <row r="850">
      <c r="A850" s="5" t="inlineStr">
        <is>
          <t>Other Suppliers</t>
        </is>
      </c>
      <c r="B850" s="5" t="inlineStr">
        <is>
          <t>DELTHA SERVICOS LTDA</t>
        </is>
      </c>
      <c r="C850" s="5" t="n">
        <v>107626</v>
      </c>
      <c r="D850" s="5" t="inlineStr">
        <is>
          <t>107626</t>
        </is>
      </c>
    </row>
    <row r="851">
      <c r="A851" s="5" t="inlineStr">
        <is>
          <t>Other Suppliers</t>
        </is>
      </c>
      <c r="B851" s="5" t="inlineStr"/>
      <c r="C851" s="5" t="n">
        <v>107628</v>
      </c>
      <c r="D851" s="5" t="inlineStr">
        <is>
          <t>107628</t>
        </is>
      </c>
    </row>
    <row r="852">
      <c r="A852" s="5" t="inlineStr">
        <is>
          <t>Operational Suppliers (Wind Farms)</t>
        </is>
      </c>
      <c r="B852" s="5" t="inlineStr"/>
      <c r="C852" s="5" t="n">
        <v>107631</v>
      </c>
      <c r="D852" s="5" t="inlineStr">
        <is>
          <t>107631</t>
        </is>
      </c>
    </row>
    <row r="853">
      <c r="A853" s="5" t="inlineStr">
        <is>
          <t>Operational Suppliers (Wind Farms)</t>
        </is>
      </c>
      <c r="B853" s="5" t="inlineStr">
        <is>
          <t>PMI SOUTH AMERICA CONSUMER GOODS LT</t>
        </is>
      </c>
      <c r="C853" s="5" t="n">
        <v>107632</v>
      </c>
      <c r="D853" s="5" t="inlineStr">
        <is>
          <t>107632</t>
        </is>
      </c>
    </row>
    <row r="854">
      <c r="A854" s="5" t="inlineStr">
        <is>
          <t>Other Suppliers</t>
        </is>
      </c>
      <c r="B854" s="5" t="inlineStr">
        <is>
          <t>FIRST ENGLISH SCHOOL IDIOMAS LTDA</t>
        </is>
      </c>
      <c r="C854" s="5" t="n">
        <v>107644</v>
      </c>
      <c r="D854" s="5" t="inlineStr">
        <is>
          <t>107644</t>
        </is>
      </c>
    </row>
    <row r="855">
      <c r="A855" s="5" t="inlineStr">
        <is>
          <t>Legal Services Suppliers</t>
        </is>
      </c>
      <c r="B855" s="5" t="inlineStr">
        <is>
          <t>WONGTSCHOWSKI KLEIMAN ADVOGADOS</t>
        </is>
      </c>
      <c r="C855" s="5" t="n">
        <v>107672</v>
      </c>
      <c r="D855" s="5" t="inlineStr">
        <is>
          <t>107672</t>
        </is>
      </c>
    </row>
    <row r="856">
      <c r="A856" s="5" t="inlineStr">
        <is>
          <t>Other Suppliers</t>
        </is>
      </c>
      <c r="B856" s="5" t="inlineStr"/>
      <c r="C856" s="5" t="n">
        <v>107679</v>
      </c>
      <c r="D856" s="5" t="inlineStr">
        <is>
          <t>107679</t>
        </is>
      </c>
    </row>
    <row r="857">
      <c r="A857" s="5" t="inlineStr">
        <is>
          <t>Other Suppliers</t>
        </is>
      </c>
      <c r="B857" s="5" t="inlineStr"/>
      <c r="C857" s="5" t="n">
        <v>107685</v>
      </c>
      <c r="D857" s="5" t="inlineStr">
        <is>
          <t>107685</t>
        </is>
      </c>
    </row>
    <row r="858">
      <c r="A858" s="5" t="inlineStr">
        <is>
          <t>Other Suppliers</t>
        </is>
      </c>
      <c r="B858" s="5" t="inlineStr"/>
      <c r="C858" s="5" t="n">
        <v>107694</v>
      </c>
      <c r="D858" s="5" t="inlineStr">
        <is>
          <t>107694</t>
        </is>
      </c>
    </row>
    <row r="859">
      <c r="A859" s="5" t="inlineStr">
        <is>
          <t>Operational Suppliers (Wind Farms)</t>
        </is>
      </c>
      <c r="B859" s="5" t="inlineStr">
        <is>
          <t>SIMM MONTAGENS EOLICAS LTDA</t>
        </is>
      </c>
      <c r="C859" s="5" t="n">
        <v>107696</v>
      </c>
      <c r="D859" s="5" t="inlineStr">
        <is>
          <t>107696</t>
        </is>
      </c>
    </row>
    <row r="860">
      <c r="A860" s="5" t="inlineStr">
        <is>
          <t>Other Suppliers</t>
        </is>
      </c>
      <c r="B860" s="5" t="inlineStr">
        <is>
          <t>DAYCOVAL LEASING SOCIEDADE DE ARRENDAMENTO MERCANTIL S.A</t>
        </is>
      </c>
      <c r="C860" s="5" t="n">
        <v>107720</v>
      </c>
      <c r="D860" s="5" t="inlineStr">
        <is>
          <t>107720</t>
        </is>
      </c>
    </row>
    <row r="861">
      <c r="A861" s="5" t="inlineStr">
        <is>
          <t>Customs Brokerage – Overall</t>
        </is>
      </c>
      <c r="B861" s="5" t="inlineStr">
        <is>
          <t>BLUEWAY TRADING IMPORTACAO E EXPORT S.A</t>
        </is>
      </c>
      <c r="C861" s="5" t="n">
        <v>107723</v>
      </c>
      <c r="D861" s="5" t="inlineStr">
        <is>
          <t>107723</t>
        </is>
      </c>
    </row>
    <row r="862">
      <c r="A862" s="5" t="inlineStr">
        <is>
          <t>Other Suppliers</t>
        </is>
      </c>
      <c r="B862" s="5" t="inlineStr"/>
      <c r="C862" s="5" t="n">
        <v>107728</v>
      </c>
      <c r="D862" s="5" t="inlineStr">
        <is>
          <t>107728</t>
        </is>
      </c>
    </row>
    <row r="863">
      <c r="A863" s="5" t="inlineStr">
        <is>
          <t>Legal Services Suppliers</t>
        </is>
      </c>
      <c r="B863" s="5" t="inlineStr"/>
      <c r="C863" s="5" t="n">
        <v>107739</v>
      </c>
      <c r="D863" s="5" t="inlineStr">
        <is>
          <t>107739</t>
        </is>
      </c>
    </row>
    <row r="864">
      <c r="A864" s="5" t="inlineStr">
        <is>
          <t>Operational Suppliers (Wind Farms)</t>
        </is>
      </c>
      <c r="B864" s="5" t="inlineStr"/>
      <c r="C864" s="5" t="n">
        <v>107751</v>
      </c>
      <c r="D864" s="5" t="inlineStr">
        <is>
          <t>107751</t>
        </is>
      </c>
    </row>
    <row r="865">
      <c r="A865" s="5" t="inlineStr">
        <is>
          <t>Other Suppliers</t>
        </is>
      </c>
      <c r="B865" s="5" t="inlineStr">
        <is>
          <t>AMBAR INOVAÇÕES SPE LTDA</t>
        </is>
      </c>
      <c r="C865" s="5" t="n">
        <v>107759</v>
      </c>
      <c r="D865" s="5" t="inlineStr">
        <is>
          <t>107759</t>
        </is>
      </c>
    </row>
    <row r="866">
      <c r="A866" s="5" t="inlineStr">
        <is>
          <t>Other Suppliers</t>
        </is>
      </c>
      <c r="B866" s="5" t="inlineStr"/>
      <c r="C866" s="5" t="n">
        <v>107788</v>
      </c>
      <c r="D866" s="5" t="inlineStr">
        <is>
          <t>107788</t>
        </is>
      </c>
    </row>
    <row r="867">
      <c r="A867" s="5" t="inlineStr">
        <is>
          <t>Other Suppliers</t>
        </is>
      </c>
      <c r="B867" s="5" t="inlineStr"/>
      <c r="C867" s="5" t="n">
        <v>107789</v>
      </c>
      <c r="D867" s="5" t="inlineStr">
        <is>
          <t>107789</t>
        </is>
      </c>
    </row>
    <row r="868">
      <c r="A868" s="5" t="inlineStr">
        <is>
          <t>Operational Suppliers (Wind Farms)</t>
        </is>
      </c>
      <c r="B868" s="5" t="inlineStr"/>
      <c r="C868" s="5" t="n">
        <v>107790</v>
      </c>
      <c r="D868" s="5" t="inlineStr">
        <is>
          <t>107790</t>
        </is>
      </c>
    </row>
    <row r="869">
      <c r="A869" s="5" t="inlineStr">
        <is>
          <t>Operational Suppliers (Wind Farms)</t>
        </is>
      </c>
      <c r="B869" s="5" t="inlineStr">
        <is>
          <t>RUDLOFF STRONGFORCE STRUCTURAL SYST L.L.C</t>
        </is>
      </c>
      <c r="C869" s="5" t="n">
        <v>107793</v>
      </c>
      <c r="D869" s="5" t="inlineStr">
        <is>
          <t>107793</t>
        </is>
      </c>
    </row>
    <row r="870">
      <c r="A870" s="5" t="inlineStr">
        <is>
          <t>Operational Suppliers (Wind Farms)</t>
        </is>
      </c>
      <c r="B870" s="5" t="inlineStr">
        <is>
          <t>COTECH IRM SERVICES LTDA</t>
        </is>
      </c>
      <c r="C870" s="5" t="n">
        <v>107877</v>
      </c>
      <c r="D870" s="5" t="inlineStr">
        <is>
          <t>107877</t>
        </is>
      </c>
    </row>
    <row r="871">
      <c r="A871" s="5" t="inlineStr">
        <is>
          <t>Other Suppliers</t>
        </is>
      </c>
      <c r="B871" s="5" t="inlineStr"/>
      <c r="C871" s="5" t="n">
        <v>107886</v>
      </c>
      <c r="D871" s="5" t="inlineStr">
        <is>
          <t>107886</t>
        </is>
      </c>
    </row>
    <row r="872">
      <c r="A872" s="5" t="inlineStr">
        <is>
          <t>Other Suppliers</t>
        </is>
      </c>
      <c r="B872" s="5" t="inlineStr"/>
      <c r="C872" s="5" t="n">
        <v>107894</v>
      </c>
      <c r="D872" s="5" t="inlineStr">
        <is>
          <t>107894</t>
        </is>
      </c>
    </row>
    <row r="873">
      <c r="A873" s="5" t="inlineStr">
        <is>
          <t>Other Suppliers</t>
        </is>
      </c>
      <c r="B873" s="5" t="inlineStr">
        <is>
          <t>CARLOS DIAS DOS SANTOS</t>
        </is>
      </c>
      <c r="C873" s="5" t="n">
        <v>108017</v>
      </c>
      <c r="D873" s="5" t="inlineStr">
        <is>
          <t>108017</t>
        </is>
      </c>
    </row>
    <row r="874">
      <c r="A874" s="5" t="inlineStr">
        <is>
          <t>Other Suppliers</t>
        </is>
      </c>
      <c r="B874" s="5" t="inlineStr">
        <is>
          <t>GERSON PEDRO DOS SANTOS OLIVEIRA -M</t>
        </is>
      </c>
      <c r="C874" s="5" t="n">
        <v>108019</v>
      </c>
      <c r="D874" s="5" t="inlineStr">
        <is>
          <t>108019</t>
        </is>
      </c>
    </row>
    <row r="875">
      <c r="A875" s="5" t="inlineStr">
        <is>
          <t>Other Suppliers</t>
        </is>
      </c>
      <c r="B875" s="5" t="inlineStr"/>
      <c r="C875" s="5" t="n">
        <v>108030</v>
      </c>
      <c r="D875" s="5" t="inlineStr">
        <is>
          <t>108030</t>
        </is>
      </c>
    </row>
    <row r="876">
      <c r="A876" s="5" t="inlineStr">
        <is>
          <t>Operational Suppliers (Wind Farms)</t>
        </is>
      </c>
      <c r="B876" s="5" t="inlineStr">
        <is>
          <t>ISELETRICA LTDA -EPP</t>
        </is>
      </c>
      <c r="C876" s="5" t="n">
        <v>108031</v>
      </c>
      <c r="D876" s="5" t="inlineStr">
        <is>
          <t>108031</t>
        </is>
      </c>
    </row>
    <row r="877">
      <c r="A877" s="5" t="inlineStr">
        <is>
          <t>Other Suppliers</t>
        </is>
      </c>
      <c r="B877" s="5" t="inlineStr"/>
      <c r="C877" s="5" t="n">
        <v>110348</v>
      </c>
      <c r="D877" s="5" t="inlineStr">
        <is>
          <t>110348</t>
        </is>
      </c>
    </row>
    <row r="878">
      <c r="A878" s="5" t="inlineStr">
        <is>
          <t>Other Suppliers</t>
        </is>
      </c>
      <c r="B878" s="5" t="inlineStr"/>
      <c r="C878" s="5" t="n">
        <v>110598</v>
      </c>
      <c r="D878" s="5" t="inlineStr">
        <is>
          <t>110598</t>
        </is>
      </c>
    </row>
    <row r="879">
      <c r="A879" s="5" t="inlineStr">
        <is>
          <t>Other Suppliers</t>
        </is>
      </c>
      <c r="B879" s="5" t="inlineStr">
        <is>
          <t>A DE SN CARVALHO REFRIGERAÇÃO ME</t>
        </is>
      </c>
      <c r="C879" s="5" t="n">
        <v>110770</v>
      </c>
      <c r="D879" s="5" t="inlineStr">
        <is>
          <t>110770</t>
        </is>
      </c>
    </row>
    <row r="880">
      <c r="A880" s="5" t="inlineStr">
        <is>
          <t>Operational Suppliers (Wind Farms)</t>
        </is>
      </c>
      <c r="B880" s="5" t="inlineStr">
        <is>
          <t>PROXIMA ENGENHARIA E CONSULTORIA LT</t>
        </is>
      </c>
      <c r="C880" s="5" t="n">
        <v>111041</v>
      </c>
      <c r="D880" s="5" t="inlineStr">
        <is>
          <t>111041</t>
        </is>
      </c>
    </row>
    <row r="881">
      <c r="A881" s="5" t="inlineStr">
        <is>
          <t>Consumables Suppliers</t>
        </is>
      </c>
      <c r="B881" s="5" t="inlineStr">
        <is>
          <t>BLUEWAY TRADING IMPORTAÇAO E EXPORT SA</t>
        </is>
      </c>
      <c r="C881" s="5" t="n">
        <v>114597</v>
      </c>
      <c r="D881" s="5" t="inlineStr">
        <is>
          <t>114597</t>
        </is>
      </c>
    </row>
    <row r="882">
      <c r="A882" s="5" t="inlineStr">
        <is>
          <t>Consumables Suppliers</t>
        </is>
      </c>
      <c r="B882" s="5" t="inlineStr">
        <is>
          <t>BLUEWAY TRADING IMPORTAÇAO E EXPORT SA</t>
        </is>
      </c>
      <c r="C882" s="5" t="n">
        <v>115019</v>
      </c>
      <c r="D882" s="5" t="inlineStr">
        <is>
          <t>115019</t>
        </is>
      </c>
    </row>
    <row r="883">
      <c r="A883" s="5" t="inlineStr">
        <is>
          <t>Other Suppliers</t>
        </is>
      </c>
      <c r="B883" s="5" t="inlineStr">
        <is>
          <t>AIR LIDER GROUP COMERCIO DE GASES</t>
        </is>
      </c>
      <c r="C883" s="5" t="n">
        <v>115200</v>
      </c>
      <c r="D883" s="5" t="inlineStr">
        <is>
          <t>115200</t>
        </is>
      </c>
    </row>
    <row r="884">
      <c r="A884" s="5" t="inlineStr">
        <is>
          <t>Other Suppliers</t>
        </is>
      </c>
      <c r="B884" s="5" t="inlineStr">
        <is>
          <t>IVANALDO DIAS DA SILVA 52.029.512</t>
        </is>
      </c>
      <c r="C884" s="5" t="n">
        <v>115365</v>
      </c>
      <c r="D884" s="5" t="inlineStr">
        <is>
          <t>115365</t>
        </is>
      </c>
    </row>
    <row r="885">
      <c r="A885" s="5" t="inlineStr">
        <is>
          <t>Nordex Employees</t>
        </is>
      </c>
      <c r="B885" s="5" t="inlineStr">
        <is>
          <t>LUIZ SAVIO DE CAMPOS SIQUEIRA</t>
        </is>
      </c>
      <c r="C885" s="5" t="inlineStr">
        <is>
          <t>EM000005</t>
        </is>
      </c>
      <c r="D885" s="5" t="inlineStr">
        <is>
          <t>EM000005</t>
        </is>
      </c>
    </row>
    <row r="886">
      <c r="A886" s="5" t="inlineStr">
        <is>
          <t>Nordex Employees</t>
        </is>
      </c>
      <c r="B886" s="5" t="inlineStr">
        <is>
          <t>FERNANDA CYNTHIA DA SILVA</t>
        </is>
      </c>
      <c r="C886" s="5" t="inlineStr">
        <is>
          <t>EM000006</t>
        </is>
      </c>
      <c r="D886" s="5" t="inlineStr">
        <is>
          <t>EM000006</t>
        </is>
      </c>
    </row>
    <row r="887">
      <c r="A887" s="5" t="inlineStr">
        <is>
          <t>Nordex Employees</t>
        </is>
      </c>
      <c r="B887" s="5" t="inlineStr">
        <is>
          <t>FABIANO DAYBSON DA SILVA CAMARA</t>
        </is>
      </c>
      <c r="C887" s="5" t="inlineStr">
        <is>
          <t>EM000010</t>
        </is>
      </c>
      <c r="D887" s="5" t="inlineStr">
        <is>
          <t>EM000010</t>
        </is>
      </c>
    </row>
    <row r="888">
      <c r="A888" s="5" t="inlineStr">
        <is>
          <t>Nordex Employees</t>
        </is>
      </c>
      <c r="B888" s="5" t="inlineStr">
        <is>
          <t>EDERSON GOMES XABIER BARBALHO</t>
        </is>
      </c>
      <c r="C888" s="5" t="inlineStr">
        <is>
          <t>EM000012</t>
        </is>
      </c>
      <c r="D888" s="5" t="inlineStr">
        <is>
          <t>EM000012</t>
        </is>
      </c>
    </row>
    <row r="889">
      <c r="A889" s="5" t="inlineStr">
        <is>
          <t>Nordex Employees</t>
        </is>
      </c>
      <c r="B889" s="5" t="inlineStr">
        <is>
          <t>IZACK DEYVID DIAS VIANA</t>
        </is>
      </c>
      <c r="C889" s="5" t="inlineStr">
        <is>
          <t>EM000015</t>
        </is>
      </c>
      <c r="D889" s="5" t="inlineStr">
        <is>
          <t>EM000015</t>
        </is>
      </c>
    </row>
    <row r="890">
      <c r="A890" s="5" t="inlineStr">
        <is>
          <t>Nordex Employees</t>
        </is>
      </c>
      <c r="B890" s="5" t="inlineStr">
        <is>
          <t>JAMERSON BEZERRA DA SILVA</t>
        </is>
      </c>
      <c r="C890" s="5" t="inlineStr">
        <is>
          <t>EM000016</t>
        </is>
      </c>
      <c r="D890" s="5" t="inlineStr">
        <is>
          <t>EM000016</t>
        </is>
      </c>
    </row>
    <row r="891">
      <c r="A891" s="5" t="inlineStr">
        <is>
          <t>Nordex Employees</t>
        </is>
      </c>
      <c r="B891" s="5" t="inlineStr"/>
      <c r="C891" s="5" t="inlineStr">
        <is>
          <t>EM000017</t>
        </is>
      </c>
      <c r="D891" s="5" t="inlineStr">
        <is>
          <t>EM000017</t>
        </is>
      </c>
    </row>
    <row r="892">
      <c r="A892" s="5" t="inlineStr">
        <is>
          <t>Nordex Employees</t>
        </is>
      </c>
      <c r="B892" s="5" t="inlineStr">
        <is>
          <t>ALESSANDRO SANTANA CORTES</t>
        </is>
      </c>
      <c r="C892" s="5" t="inlineStr">
        <is>
          <t>EM000018</t>
        </is>
      </c>
      <c r="D892" s="5" t="inlineStr">
        <is>
          <t>EM000018</t>
        </is>
      </c>
    </row>
    <row r="893">
      <c r="A893" s="5" t="inlineStr">
        <is>
          <t>Nordex Employees</t>
        </is>
      </c>
      <c r="B893" s="5" t="inlineStr">
        <is>
          <t>MARCIO RISSO LEITAO</t>
        </is>
      </c>
      <c r="C893" s="5" t="inlineStr">
        <is>
          <t>EM000019</t>
        </is>
      </c>
      <c r="D893" s="5" t="inlineStr">
        <is>
          <t>EM000019</t>
        </is>
      </c>
    </row>
    <row r="894">
      <c r="A894" s="5" t="inlineStr">
        <is>
          <t>Nordex Employees</t>
        </is>
      </c>
      <c r="B894" s="5" t="inlineStr">
        <is>
          <t>JOAO JORGE DA SILVA TEMOTEO</t>
        </is>
      </c>
      <c r="C894" s="5" t="inlineStr">
        <is>
          <t>EM000020</t>
        </is>
      </c>
      <c r="D894" s="5" t="inlineStr">
        <is>
          <t>EM000020</t>
        </is>
      </c>
    </row>
    <row r="895">
      <c r="A895" s="5" t="inlineStr">
        <is>
          <t>Nordex Employees</t>
        </is>
      </c>
      <c r="B895" s="5" t="inlineStr">
        <is>
          <t>PAULO HENRIQUE BARBOSA ORTIZ DE SOUZA</t>
        </is>
      </c>
      <c r="C895" s="5" t="inlineStr">
        <is>
          <t>EM000021</t>
        </is>
      </c>
      <c r="D895" s="5" t="inlineStr">
        <is>
          <t>EM000021</t>
        </is>
      </c>
    </row>
    <row r="896">
      <c r="A896" s="5" t="inlineStr">
        <is>
          <t>Nordex Employees</t>
        </is>
      </c>
      <c r="B896" s="5" t="inlineStr">
        <is>
          <t>RAFAEL MACHADO SALLES</t>
        </is>
      </c>
      <c r="C896" s="5" t="inlineStr">
        <is>
          <t>EM000023</t>
        </is>
      </c>
      <c r="D896" s="5" t="inlineStr">
        <is>
          <t>EM000023</t>
        </is>
      </c>
    </row>
    <row r="897">
      <c r="A897" s="5" t="inlineStr">
        <is>
          <t>Nordex Employees</t>
        </is>
      </c>
      <c r="B897" s="5" t="inlineStr">
        <is>
          <t>GUILLERMO ROSSI</t>
        </is>
      </c>
      <c r="C897" s="5" t="inlineStr">
        <is>
          <t>EM000024</t>
        </is>
      </c>
      <c r="D897" s="5" t="inlineStr">
        <is>
          <t>EM000024</t>
        </is>
      </c>
    </row>
    <row r="898">
      <c r="A898" s="5" t="inlineStr">
        <is>
          <t>Nordex Employees</t>
        </is>
      </c>
      <c r="B898" s="5" t="inlineStr">
        <is>
          <t>DANIEL SPARREMBERGER SHWARTZHAUPT</t>
        </is>
      </c>
      <c r="C898" s="5" t="inlineStr">
        <is>
          <t>EM000025</t>
        </is>
      </c>
      <c r="D898" s="5" t="inlineStr">
        <is>
          <t>EM000025</t>
        </is>
      </c>
    </row>
    <row r="899">
      <c r="A899" s="5" t="inlineStr">
        <is>
          <t>Nordex Employees</t>
        </is>
      </c>
      <c r="B899" s="5" t="inlineStr">
        <is>
          <t>DIEGO ALAN DE OLIVEIRA DA SILVA</t>
        </is>
      </c>
      <c r="C899" s="5" t="inlineStr">
        <is>
          <t>EM000026</t>
        </is>
      </c>
      <c r="D899" s="5" t="inlineStr">
        <is>
          <t>EM000026</t>
        </is>
      </c>
    </row>
    <row r="900">
      <c r="A900" s="5" t="inlineStr">
        <is>
          <t>Nordex Employees</t>
        </is>
      </c>
      <c r="B900" s="5" t="inlineStr">
        <is>
          <t>RAFAEL AUGUSTO DA SILVA GOULARTE</t>
        </is>
      </c>
      <c r="C900" s="5" t="inlineStr">
        <is>
          <t>EM000027</t>
        </is>
      </c>
      <c r="D900" s="5" t="inlineStr">
        <is>
          <t>EM000027</t>
        </is>
      </c>
    </row>
    <row r="901">
      <c r="A901" s="5" t="inlineStr">
        <is>
          <t>Nordex Employees</t>
        </is>
      </c>
      <c r="B901" s="5" t="inlineStr">
        <is>
          <t>RENATO BRUNO LIMA DE FARIAS</t>
        </is>
      </c>
      <c r="C901" s="5" t="inlineStr">
        <is>
          <t>EM000029</t>
        </is>
      </c>
      <c r="D901" s="5" t="inlineStr">
        <is>
          <t>EM000029</t>
        </is>
      </c>
    </row>
    <row r="902">
      <c r="A902" s="5" t="inlineStr">
        <is>
          <t>Nordex Employees</t>
        </is>
      </c>
      <c r="B902" s="5" t="inlineStr"/>
      <c r="C902" s="5" t="inlineStr">
        <is>
          <t>EM000030</t>
        </is>
      </c>
      <c r="D902" s="5" t="inlineStr">
        <is>
          <t>EM000030</t>
        </is>
      </c>
    </row>
    <row r="903">
      <c r="A903" s="5" t="inlineStr">
        <is>
          <t>Nordex Employees</t>
        </is>
      </c>
      <c r="B903" s="5" t="inlineStr"/>
      <c r="C903" s="5" t="inlineStr">
        <is>
          <t>EM000032</t>
        </is>
      </c>
      <c r="D903" s="5" t="inlineStr">
        <is>
          <t>EM000032</t>
        </is>
      </c>
    </row>
    <row r="904">
      <c r="A904" s="5" t="inlineStr">
        <is>
          <t>Nordex Employees</t>
        </is>
      </c>
      <c r="B904" s="5" t="inlineStr">
        <is>
          <t>WALLYSON HENRIQUE VIEIRA GALDINO</t>
        </is>
      </c>
      <c r="C904" s="5" t="inlineStr">
        <is>
          <t>EM000034</t>
        </is>
      </c>
      <c r="D904" s="5" t="inlineStr">
        <is>
          <t>EM000034</t>
        </is>
      </c>
    </row>
    <row r="905">
      <c r="A905" s="5" t="inlineStr">
        <is>
          <t>Nordex Employees</t>
        </is>
      </c>
      <c r="B905" s="5" t="inlineStr">
        <is>
          <t>ALEXANDRE SILVEIRA TRINDADE</t>
        </is>
      </c>
      <c r="C905" s="5" t="inlineStr">
        <is>
          <t>EM000035</t>
        </is>
      </c>
      <c r="D905" s="5" t="inlineStr">
        <is>
          <t>EM000035</t>
        </is>
      </c>
    </row>
    <row r="906">
      <c r="A906" s="5" t="inlineStr">
        <is>
          <t>Nordex Employees</t>
        </is>
      </c>
      <c r="B906" s="5" t="inlineStr">
        <is>
          <t>FELIPE EDUARDO GONCALVES</t>
        </is>
      </c>
      <c r="C906" s="5" t="inlineStr">
        <is>
          <t>EM000036</t>
        </is>
      </c>
      <c r="D906" s="5" t="inlineStr">
        <is>
          <t>EM000036</t>
        </is>
      </c>
    </row>
    <row r="907">
      <c r="A907" s="5" t="inlineStr">
        <is>
          <t>Nordex Employees</t>
        </is>
      </c>
      <c r="B907" s="5" t="inlineStr"/>
      <c r="C907" s="5" t="inlineStr">
        <is>
          <t>EM000037</t>
        </is>
      </c>
      <c r="D907" s="5" t="inlineStr">
        <is>
          <t>EM000037</t>
        </is>
      </c>
    </row>
    <row r="908">
      <c r="A908" s="5" t="inlineStr">
        <is>
          <t>Nordex Employees</t>
        </is>
      </c>
      <c r="B908" s="5" t="inlineStr">
        <is>
          <t>FRANCISCO BENEDITO FILHO</t>
        </is>
      </c>
      <c r="C908" s="5" t="inlineStr">
        <is>
          <t>EM000038</t>
        </is>
      </c>
      <c r="D908" s="5" t="inlineStr">
        <is>
          <t>EM000038</t>
        </is>
      </c>
    </row>
    <row r="909">
      <c r="A909" s="5" t="inlineStr">
        <is>
          <t>Nordex Employees</t>
        </is>
      </c>
      <c r="B909" s="5" t="inlineStr">
        <is>
          <t>ANDRE LUIS MENDES VELOSO</t>
        </is>
      </c>
      <c r="C909" s="5" t="inlineStr">
        <is>
          <t>EM000039</t>
        </is>
      </c>
      <c r="D909" s="5" t="inlineStr">
        <is>
          <t>EM000039</t>
        </is>
      </c>
    </row>
    <row r="910">
      <c r="A910" s="5" t="inlineStr">
        <is>
          <t>Nordex Employees</t>
        </is>
      </c>
      <c r="B910" s="5" t="inlineStr"/>
      <c r="C910" s="5" t="inlineStr">
        <is>
          <t>EM000040</t>
        </is>
      </c>
      <c r="D910" s="5" t="inlineStr">
        <is>
          <t>EM000040</t>
        </is>
      </c>
    </row>
    <row r="911">
      <c r="A911" s="5" t="inlineStr">
        <is>
          <t>Nordex Employees</t>
        </is>
      </c>
      <c r="B911" s="5" t="inlineStr">
        <is>
          <t>FLAVIO BELLOLI</t>
        </is>
      </c>
      <c r="C911" s="5" t="inlineStr">
        <is>
          <t>EM000041</t>
        </is>
      </c>
      <c r="D911" s="5" t="inlineStr">
        <is>
          <t>EM000041</t>
        </is>
      </c>
    </row>
    <row r="912">
      <c r="A912" s="5" t="inlineStr">
        <is>
          <t>Nordex Employees</t>
        </is>
      </c>
      <c r="B912" s="5" t="inlineStr"/>
      <c r="C912" s="5" t="inlineStr">
        <is>
          <t>EM000042</t>
        </is>
      </c>
      <c r="D912" s="5" t="inlineStr">
        <is>
          <t>EM000042</t>
        </is>
      </c>
    </row>
    <row r="913">
      <c r="A913" s="5" t="inlineStr">
        <is>
          <t>Nordex Employees</t>
        </is>
      </c>
      <c r="B913" s="5" t="inlineStr">
        <is>
          <t>JOAO BATISTA DA COSTA CARDOSO</t>
        </is>
      </c>
      <c r="C913" s="5" t="inlineStr">
        <is>
          <t>EM000043</t>
        </is>
      </c>
      <c r="D913" s="5" t="inlineStr">
        <is>
          <t>EM000043</t>
        </is>
      </c>
    </row>
    <row r="914">
      <c r="A914" s="5" t="inlineStr">
        <is>
          <t>Nordex Employees</t>
        </is>
      </c>
      <c r="B914" s="5" t="inlineStr">
        <is>
          <t>EVANDRO DE LIMA MARQUES</t>
        </is>
      </c>
      <c r="C914" s="5" t="inlineStr">
        <is>
          <t>EM000045</t>
        </is>
      </c>
      <c r="D914" s="5" t="inlineStr">
        <is>
          <t>EM000045</t>
        </is>
      </c>
    </row>
    <row r="915">
      <c r="A915" s="5" t="inlineStr">
        <is>
          <t>Nordex Employees</t>
        </is>
      </c>
      <c r="B915" s="5" t="inlineStr"/>
      <c r="C915" s="5" t="inlineStr">
        <is>
          <t>EM000046</t>
        </is>
      </c>
      <c r="D915" s="5" t="inlineStr">
        <is>
          <t>EM000046</t>
        </is>
      </c>
    </row>
    <row r="916">
      <c r="A916" s="5" t="inlineStr">
        <is>
          <t>Nordex Employees</t>
        </is>
      </c>
      <c r="B916" s="5" t="inlineStr">
        <is>
          <t>ARLINDO ASTYZEM REGO</t>
        </is>
      </c>
      <c r="C916" s="5" t="inlineStr">
        <is>
          <t>EM000048</t>
        </is>
      </c>
      <c r="D916" s="5" t="inlineStr">
        <is>
          <t>EM000048</t>
        </is>
      </c>
    </row>
    <row r="917">
      <c r="A917" s="5" t="inlineStr">
        <is>
          <t>Nordex Employees</t>
        </is>
      </c>
      <c r="B917" s="5" t="inlineStr">
        <is>
          <t>RICARDO DANTAS ALVES JUNIOR</t>
        </is>
      </c>
      <c r="C917" s="5" t="inlineStr">
        <is>
          <t>EM000050</t>
        </is>
      </c>
      <c r="D917" s="5" t="inlineStr">
        <is>
          <t>EM000050</t>
        </is>
      </c>
    </row>
    <row r="918">
      <c r="A918" s="5" t="inlineStr">
        <is>
          <t>Nordex Employees</t>
        </is>
      </c>
      <c r="B918" s="5" t="inlineStr"/>
      <c r="C918" s="5" t="inlineStr">
        <is>
          <t>EM000052</t>
        </is>
      </c>
      <c r="D918" s="5" t="inlineStr">
        <is>
          <t>EM000052</t>
        </is>
      </c>
    </row>
    <row r="919">
      <c r="A919" s="5" t="inlineStr">
        <is>
          <t>Nordex Employees</t>
        </is>
      </c>
      <c r="B919" s="5" t="inlineStr"/>
      <c r="C919" s="5" t="inlineStr">
        <is>
          <t>EM000053</t>
        </is>
      </c>
      <c r="D919" s="5" t="inlineStr">
        <is>
          <t>EM000053</t>
        </is>
      </c>
    </row>
    <row r="920">
      <c r="A920" s="5" t="inlineStr">
        <is>
          <t>Nordex Employees</t>
        </is>
      </c>
      <c r="B920" s="5" t="inlineStr">
        <is>
          <t>FERNANDO SCHNEIDER FERNANDES</t>
        </is>
      </c>
      <c r="C920" s="5" t="inlineStr">
        <is>
          <t>EM000054</t>
        </is>
      </c>
      <c r="D920" s="5" t="inlineStr">
        <is>
          <t>EM000054</t>
        </is>
      </c>
    </row>
    <row r="921">
      <c r="A921" s="5" t="inlineStr">
        <is>
          <t>Nordex Employees</t>
        </is>
      </c>
      <c r="B921" s="5" t="inlineStr">
        <is>
          <t>VINICIUS MECCHI SILVA</t>
        </is>
      </c>
      <c r="C921" s="5" t="inlineStr">
        <is>
          <t>EM000055</t>
        </is>
      </c>
      <c r="D921" s="5" t="inlineStr">
        <is>
          <t>EM000055</t>
        </is>
      </c>
    </row>
    <row r="922">
      <c r="A922" s="5" t="inlineStr">
        <is>
          <t>Nordex Employees</t>
        </is>
      </c>
      <c r="B922" s="5" t="inlineStr">
        <is>
          <t>MAYCON ALVES DE OLIVEIRA</t>
        </is>
      </c>
      <c r="C922" s="5" t="inlineStr">
        <is>
          <t>EM000056</t>
        </is>
      </c>
      <c r="D922" s="5" t="inlineStr">
        <is>
          <t>EM000056</t>
        </is>
      </c>
    </row>
    <row r="923">
      <c r="A923" s="5" t="inlineStr">
        <is>
          <t>Nordex Employees</t>
        </is>
      </c>
      <c r="B923" s="5" t="inlineStr">
        <is>
          <t>ANA PATRICIA MORAIS DA SILVA</t>
        </is>
      </c>
      <c r="C923" s="5" t="inlineStr">
        <is>
          <t>EM000057</t>
        </is>
      </c>
      <c r="D923" s="5" t="inlineStr">
        <is>
          <t>EM000057</t>
        </is>
      </c>
    </row>
    <row r="924">
      <c r="A924" s="5" t="inlineStr">
        <is>
          <t>Nordex Employees</t>
        </is>
      </c>
      <c r="B924" s="5" t="inlineStr">
        <is>
          <t>VITOR DE CASTRO SANTOS</t>
        </is>
      </c>
      <c r="C924" s="5" t="inlineStr">
        <is>
          <t>EM000058</t>
        </is>
      </c>
      <c r="D924" s="5" t="inlineStr">
        <is>
          <t>EM000058</t>
        </is>
      </c>
    </row>
    <row r="925">
      <c r="A925" s="5" t="inlineStr">
        <is>
          <t>Nordex Employees</t>
        </is>
      </c>
      <c r="B925" s="5" t="inlineStr">
        <is>
          <t>CRISOSTOMO CUNHA DE SOUSA</t>
        </is>
      </c>
      <c r="C925" s="5" t="inlineStr">
        <is>
          <t>EM000059</t>
        </is>
      </c>
      <c r="D925" s="5" t="inlineStr">
        <is>
          <t>EM000059</t>
        </is>
      </c>
    </row>
    <row r="926">
      <c r="A926" s="5" t="inlineStr">
        <is>
          <t>Nordex Employees</t>
        </is>
      </c>
      <c r="B926" s="5" t="inlineStr">
        <is>
          <t>DANIELLA PANCA PADILHA</t>
        </is>
      </c>
      <c r="C926" s="5" t="inlineStr">
        <is>
          <t>EM000060</t>
        </is>
      </c>
      <c r="D926" s="5" t="inlineStr">
        <is>
          <t>EM000060</t>
        </is>
      </c>
    </row>
    <row r="927">
      <c r="A927" s="5" t="inlineStr">
        <is>
          <t>Nordex Employees</t>
        </is>
      </c>
      <c r="B927" s="5" t="inlineStr"/>
      <c r="C927" s="5" t="inlineStr">
        <is>
          <t>EM000061</t>
        </is>
      </c>
      <c r="D927" s="5" t="inlineStr">
        <is>
          <t>EM000061</t>
        </is>
      </c>
    </row>
    <row r="928">
      <c r="A928" s="5" t="inlineStr">
        <is>
          <t>Nordex Employees</t>
        </is>
      </c>
      <c r="B928" s="5" t="inlineStr">
        <is>
          <t>GUSTAVO CRISTYAN DE MACEDO SILVA</t>
        </is>
      </c>
      <c r="C928" s="5" t="inlineStr">
        <is>
          <t>EM000063</t>
        </is>
      </c>
      <c r="D928" s="5" t="inlineStr">
        <is>
          <t>EM000063</t>
        </is>
      </c>
    </row>
    <row r="929">
      <c r="A929" s="5" t="inlineStr">
        <is>
          <t>Nordex Employees</t>
        </is>
      </c>
      <c r="B929" s="5" t="inlineStr">
        <is>
          <t>JOABE MACEDO DA SILVA</t>
        </is>
      </c>
      <c r="C929" s="5" t="inlineStr">
        <is>
          <t>EM000065</t>
        </is>
      </c>
      <c r="D929" s="5" t="inlineStr">
        <is>
          <t>EM000065</t>
        </is>
      </c>
    </row>
    <row r="930">
      <c r="A930" s="5" t="inlineStr">
        <is>
          <t>Nordex Employees</t>
        </is>
      </c>
      <c r="B930" s="5" t="inlineStr"/>
      <c r="C930" s="5" t="inlineStr">
        <is>
          <t>EM000069</t>
        </is>
      </c>
      <c r="D930" s="5" t="inlineStr">
        <is>
          <t>EM000069</t>
        </is>
      </c>
    </row>
    <row r="931">
      <c r="A931" s="5" t="inlineStr">
        <is>
          <t>Nordex Employees</t>
        </is>
      </c>
      <c r="B931" s="5" t="inlineStr"/>
      <c r="C931" s="5" t="inlineStr">
        <is>
          <t>EM000074</t>
        </is>
      </c>
      <c r="D931" s="5" t="inlineStr">
        <is>
          <t>EM000074</t>
        </is>
      </c>
    </row>
    <row r="932">
      <c r="A932" s="5" t="inlineStr">
        <is>
          <t>Nordex Employees</t>
        </is>
      </c>
      <c r="B932" s="5" t="inlineStr">
        <is>
          <t>RENATO CAIO FERNANDES SILVA</t>
        </is>
      </c>
      <c r="C932" s="5" t="inlineStr">
        <is>
          <t>EM000075</t>
        </is>
      </c>
      <c r="D932" s="5" t="inlineStr">
        <is>
          <t>EM000075</t>
        </is>
      </c>
    </row>
    <row r="933">
      <c r="A933" s="5" t="inlineStr">
        <is>
          <t>Nordex Employees</t>
        </is>
      </c>
      <c r="B933" s="5" t="inlineStr">
        <is>
          <t>MOISES MELO DOS SANTOS</t>
        </is>
      </c>
      <c r="C933" s="5" t="inlineStr">
        <is>
          <t>EM000076</t>
        </is>
      </c>
      <c r="D933" s="5" t="inlineStr">
        <is>
          <t>EM000076</t>
        </is>
      </c>
    </row>
    <row r="934">
      <c r="A934" s="5" t="inlineStr">
        <is>
          <t>Nordex Employees</t>
        </is>
      </c>
      <c r="B934" s="5" t="inlineStr"/>
      <c r="C934" s="5" t="inlineStr">
        <is>
          <t>EM000077</t>
        </is>
      </c>
      <c r="D934" s="5" t="inlineStr">
        <is>
          <t>EM000077</t>
        </is>
      </c>
    </row>
    <row r="935">
      <c r="A935" s="5" t="inlineStr">
        <is>
          <t>Nordex Employees</t>
        </is>
      </c>
      <c r="B935" s="5" t="inlineStr">
        <is>
          <t>SAIRON DOS SANTOS BASTOS</t>
        </is>
      </c>
      <c r="C935" s="5" t="inlineStr">
        <is>
          <t>EM000080</t>
        </is>
      </c>
      <c r="D935" s="5" t="inlineStr">
        <is>
          <t>EM000080</t>
        </is>
      </c>
    </row>
    <row r="936">
      <c r="A936" s="5" t="inlineStr">
        <is>
          <t>Nordex Employees</t>
        </is>
      </c>
      <c r="B936" s="5" t="inlineStr">
        <is>
          <t>BRUNO VINICIUS MOREIRA CARDOSO</t>
        </is>
      </c>
      <c r="C936" s="5" t="inlineStr">
        <is>
          <t>EM000081</t>
        </is>
      </c>
      <c r="D936" s="5" t="inlineStr">
        <is>
          <t>EM000081</t>
        </is>
      </c>
    </row>
    <row r="937">
      <c r="A937" s="5" t="inlineStr">
        <is>
          <t>Nordex Employees</t>
        </is>
      </c>
      <c r="B937" s="5" t="inlineStr"/>
      <c r="C937" s="5" t="inlineStr">
        <is>
          <t>EM000082</t>
        </is>
      </c>
      <c r="D937" s="5" t="inlineStr">
        <is>
          <t>EM000082</t>
        </is>
      </c>
    </row>
    <row r="938">
      <c r="A938" s="5" t="inlineStr">
        <is>
          <t>Nordex Employees</t>
        </is>
      </c>
      <c r="B938" s="5" t="inlineStr">
        <is>
          <t>ANDERSON DE SOUZA MOTA</t>
        </is>
      </c>
      <c r="C938" s="5" t="inlineStr">
        <is>
          <t>EM000083</t>
        </is>
      </c>
      <c r="D938" s="5" t="inlineStr">
        <is>
          <t>EM000083</t>
        </is>
      </c>
    </row>
    <row r="939">
      <c r="A939" s="5" t="inlineStr">
        <is>
          <t>Nordex Employees</t>
        </is>
      </c>
      <c r="B939" s="5" t="inlineStr"/>
      <c r="C939" s="5" t="inlineStr">
        <is>
          <t>EM000088</t>
        </is>
      </c>
      <c r="D939" s="5" t="inlineStr">
        <is>
          <t>EM000088</t>
        </is>
      </c>
    </row>
    <row r="940">
      <c r="A940" s="5" t="inlineStr">
        <is>
          <t>Nordex Employees</t>
        </is>
      </c>
      <c r="B940" s="5" t="inlineStr">
        <is>
          <t>CARLOS ALVES DE AZEVEDO</t>
        </is>
      </c>
      <c r="C940" s="5" t="inlineStr">
        <is>
          <t>EM000093</t>
        </is>
      </c>
      <c r="D940" s="5" t="inlineStr">
        <is>
          <t>EM000093</t>
        </is>
      </c>
    </row>
    <row r="941">
      <c r="A941" s="5" t="inlineStr">
        <is>
          <t>Nordex Employees</t>
        </is>
      </c>
      <c r="B941" s="5" t="inlineStr">
        <is>
          <t>DEYMSON ROBSON AMARAL BEZERRA</t>
        </is>
      </c>
      <c r="C941" s="5" t="inlineStr">
        <is>
          <t>EM000095</t>
        </is>
      </c>
      <c r="D941" s="5" t="inlineStr">
        <is>
          <t>EM000095</t>
        </is>
      </c>
    </row>
    <row r="942">
      <c r="A942" s="5" t="inlineStr">
        <is>
          <t>Nordex Employees</t>
        </is>
      </c>
      <c r="B942" s="5" t="inlineStr"/>
      <c r="C942" s="5" t="inlineStr">
        <is>
          <t>EM000098</t>
        </is>
      </c>
      <c r="D942" s="5" t="inlineStr">
        <is>
          <t>EM000098</t>
        </is>
      </c>
    </row>
    <row r="943">
      <c r="A943" s="5" t="inlineStr">
        <is>
          <t>Nordex Employees</t>
        </is>
      </c>
      <c r="B943" s="5" t="inlineStr">
        <is>
          <t>GUSTAVO ROCHA PACHECO</t>
        </is>
      </c>
      <c r="C943" s="5" t="inlineStr">
        <is>
          <t>EM000100</t>
        </is>
      </c>
      <c r="D943" s="5" t="inlineStr">
        <is>
          <t>EM000100</t>
        </is>
      </c>
    </row>
    <row r="944">
      <c r="A944" s="5" t="inlineStr">
        <is>
          <t>Nordex Employees</t>
        </is>
      </c>
      <c r="B944" s="5" t="inlineStr">
        <is>
          <t>LAZARO DE OLIVEIRA SOUSA</t>
        </is>
      </c>
      <c r="C944" s="5" t="inlineStr">
        <is>
          <t>EM000101</t>
        </is>
      </c>
      <c r="D944" s="5" t="inlineStr">
        <is>
          <t>EM000101</t>
        </is>
      </c>
    </row>
    <row r="945">
      <c r="A945" s="5" t="inlineStr">
        <is>
          <t>Nordex Employees</t>
        </is>
      </c>
      <c r="B945" s="5" t="inlineStr">
        <is>
          <t>LUIZ MARCELO SILVA MENESCAL CAMPOS</t>
        </is>
      </c>
      <c r="C945" s="5" t="inlineStr">
        <is>
          <t>EM000102</t>
        </is>
      </c>
      <c r="D945" s="5" t="inlineStr">
        <is>
          <t>EM000102</t>
        </is>
      </c>
    </row>
    <row r="946">
      <c r="A946" s="5" t="inlineStr">
        <is>
          <t>Nordex Employees</t>
        </is>
      </c>
      <c r="B946" s="5" t="inlineStr">
        <is>
          <t>THIAGO CARVALHO</t>
        </is>
      </c>
      <c r="C946" s="5" t="inlineStr">
        <is>
          <t>EM000105</t>
        </is>
      </c>
      <c r="D946" s="5" t="inlineStr">
        <is>
          <t>EM000105</t>
        </is>
      </c>
    </row>
    <row r="947">
      <c r="A947" s="5" t="inlineStr">
        <is>
          <t>Nordex Employees</t>
        </is>
      </c>
      <c r="B947" s="5" t="inlineStr">
        <is>
          <t>JONATHAN ITOI DE MORAIS</t>
        </is>
      </c>
      <c r="C947" s="5" t="inlineStr">
        <is>
          <t>EM000106</t>
        </is>
      </c>
      <c r="D947" s="5" t="inlineStr">
        <is>
          <t>EM000106</t>
        </is>
      </c>
    </row>
    <row r="948">
      <c r="A948" s="5" t="inlineStr">
        <is>
          <t>Nordex Employees</t>
        </is>
      </c>
      <c r="B948" s="5" t="inlineStr">
        <is>
          <t>GISLANIO GOMES DA SILVA</t>
        </is>
      </c>
      <c r="C948" s="5" t="inlineStr">
        <is>
          <t>EM000108</t>
        </is>
      </c>
      <c r="D948" s="5" t="inlineStr">
        <is>
          <t>EM000108</t>
        </is>
      </c>
    </row>
    <row r="949">
      <c r="A949" s="5" t="inlineStr">
        <is>
          <t>Nordex Employees</t>
        </is>
      </c>
      <c r="B949" s="5" t="inlineStr">
        <is>
          <t>DANILO MOREIRA DOS SANTOS</t>
        </is>
      </c>
      <c r="C949" s="5" t="inlineStr">
        <is>
          <t>EM000109</t>
        </is>
      </c>
      <c r="D949" s="5" t="inlineStr">
        <is>
          <t>EM000109</t>
        </is>
      </c>
    </row>
    <row r="950">
      <c r="A950" s="5" t="inlineStr">
        <is>
          <t>Nordex Employees</t>
        </is>
      </c>
      <c r="B950" s="5" t="inlineStr"/>
      <c r="C950" s="5" t="inlineStr">
        <is>
          <t>EM000115</t>
        </is>
      </c>
      <c r="D950" s="5" t="inlineStr">
        <is>
          <t>EM000115</t>
        </is>
      </c>
    </row>
    <row r="951">
      <c r="A951" s="5" t="inlineStr">
        <is>
          <t>Nordex Employees</t>
        </is>
      </c>
      <c r="B951" s="5" t="inlineStr">
        <is>
          <t>NAJARA MENDES OLIVEIRA</t>
        </is>
      </c>
      <c r="C951" s="5" t="inlineStr">
        <is>
          <t>EM000116</t>
        </is>
      </c>
      <c r="D951" s="5" t="inlineStr">
        <is>
          <t>EM000116</t>
        </is>
      </c>
    </row>
    <row r="952">
      <c r="A952" s="5" t="inlineStr">
        <is>
          <t>Nordex Employees</t>
        </is>
      </c>
      <c r="B952" s="5" t="inlineStr">
        <is>
          <t>WILLIAM VICENTE DA SILVA</t>
        </is>
      </c>
      <c r="C952" s="5" t="inlineStr">
        <is>
          <t>EM000121</t>
        </is>
      </c>
      <c r="D952" s="5" t="inlineStr">
        <is>
          <t>EM000121</t>
        </is>
      </c>
    </row>
    <row r="953">
      <c r="A953" s="5" t="inlineStr">
        <is>
          <t>Nordex Employees</t>
        </is>
      </c>
      <c r="B953" s="5" t="inlineStr"/>
      <c r="C953" s="5" t="inlineStr">
        <is>
          <t>EM000122</t>
        </is>
      </c>
      <c r="D953" s="5" t="inlineStr">
        <is>
          <t>EM000122</t>
        </is>
      </c>
    </row>
    <row r="954">
      <c r="A954" s="5" t="inlineStr">
        <is>
          <t>Nordex Employees</t>
        </is>
      </c>
      <c r="B954" s="5" t="inlineStr">
        <is>
          <t>MARCELO LUIZ REZENDE DE CARVALHO SILVA</t>
        </is>
      </c>
      <c r="C954" s="5" t="inlineStr">
        <is>
          <t>EM000123</t>
        </is>
      </c>
      <c r="D954" s="5" t="inlineStr">
        <is>
          <t>EM000123</t>
        </is>
      </c>
    </row>
    <row r="955">
      <c r="A955" s="5" t="inlineStr">
        <is>
          <t>Nordex Employees</t>
        </is>
      </c>
      <c r="B955" s="5" t="inlineStr"/>
      <c r="C955" s="5" t="inlineStr">
        <is>
          <t>EM000124</t>
        </is>
      </c>
      <c r="D955" s="5" t="inlineStr">
        <is>
          <t>EM000124</t>
        </is>
      </c>
    </row>
    <row r="956">
      <c r="A956" s="5" t="inlineStr">
        <is>
          <t>Nordex Employees</t>
        </is>
      </c>
      <c r="B956" s="5" t="inlineStr">
        <is>
          <t>RODRIGO RAFAEL LIMA DE FARIAS</t>
        </is>
      </c>
      <c r="C956" s="5" t="inlineStr">
        <is>
          <t>EM000125</t>
        </is>
      </c>
      <c r="D956" s="5" t="inlineStr">
        <is>
          <t>EM000125</t>
        </is>
      </c>
    </row>
    <row r="957">
      <c r="A957" s="5" t="inlineStr">
        <is>
          <t>Nordex Employees</t>
        </is>
      </c>
      <c r="B957" s="5" t="inlineStr"/>
      <c r="C957" s="5" t="inlineStr">
        <is>
          <t>EM000126</t>
        </is>
      </c>
      <c r="D957" s="5" t="inlineStr">
        <is>
          <t>EM000126</t>
        </is>
      </c>
    </row>
    <row r="958">
      <c r="A958" s="5" t="inlineStr">
        <is>
          <t>Nordex Employees</t>
        </is>
      </c>
      <c r="B958" s="5" t="inlineStr">
        <is>
          <t>GUSTAVO FERNANDES LIMA</t>
        </is>
      </c>
      <c r="C958" s="5" t="inlineStr">
        <is>
          <t>EM000127</t>
        </is>
      </c>
      <c r="D958" s="5" t="inlineStr">
        <is>
          <t>EM000127</t>
        </is>
      </c>
    </row>
    <row r="959">
      <c r="A959" s="5" t="inlineStr">
        <is>
          <t>Nordex Employees</t>
        </is>
      </c>
      <c r="B959" s="5" t="inlineStr">
        <is>
          <t>FRANCISCO MARDONIO TORRES DA SILVA</t>
        </is>
      </c>
      <c r="C959" s="5" t="inlineStr">
        <is>
          <t>EM000128</t>
        </is>
      </c>
      <c r="D959" s="5" t="inlineStr">
        <is>
          <t>EM000128</t>
        </is>
      </c>
    </row>
    <row r="960">
      <c r="A960" s="5" t="inlineStr">
        <is>
          <t>Nordex Employees</t>
        </is>
      </c>
      <c r="B960" s="5" t="inlineStr">
        <is>
          <t>JOCIVAN DE SOUZA SILVA</t>
        </is>
      </c>
      <c r="C960" s="5" t="inlineStr">
        <is>
          <t>EM000129</t>
        </is>
      </c>
      <c r="D960" s="5" t="inlineStr">
        <is>
          <t>EM000129</t>
        </is>
      </c>
    </row>
    <row r="961">
      <c r="A961" s="5" t="inlineStr">
        <is>
          <t>Nordex Employees</t>
        </is>
      </c>
      <c r="B961" s="5" t="inlineStr">
        <is>
          <t>RANDSON BUENO SOARES SALES</t>
        </is>
      </c>
      <c r="C961" s="5" t="inlineStr">
        <is>
          <t>EM000130</t>
        </is>
      </c>
      <c r="D961" s="5" t="inlineStr">
        <is>
          <t>EM000130</t>
        </is>
      </c>
    </row>
    <row r="962">
      <c r="A962" s="5" t="inlineStr">
        <is>
          <t>Nordex Employees</t>
        </is>
      </c>
      <c r="B962" s="5" t="inlineStr">
        <is>
          <t>RICARDO COSTA DA SILVA</t>
        </is>
      </c>
      <c r="C962" s="5" t="inlineStr">
        <is>
          <t>EM000131</t>
        </is>
      </c>
      <c r="D962" s="5" t="inlineStr">
        <is>
          <t>EM000131</t>
        </is>
      </c>
    </row>
    <row r="963">
      <c r="A963" s="5" t="inlineStr">
        <is>
          <t>Nordex Employees</t>
        </is>
      </c>
      <c r="B963" s="5" t="inlineStr">
        <is>
          <t>WILLIAM MEDEIROS PONTES</t>
        </is>
      </c>
      <c r="C963" s="5" t="inlineStr">
        <is>
          <t>EM000133</t>
        </is>
      </c>
      <c r="D963" s="5" t="inlineStr">
        <is>
          <t>EM000133</t>
        </is>
      </c>
    </row>
    <row r="964">
      <c r="A964" s="5" t="inlineStr">
        <is>
          <t>Nordex Employees</t>
        </is>
      </c>
      <c r="B964" s="5" t="inlineStr">
        <is>
          <t>FRED LACERDA MACEDO</t>
        </is>
      </c>
      <c r="C964" s="5" t="inlineStr">
        <is>
          <t>EM000134</t>
        </is>
      </c>
      <c r="D964" s="5" t="inlineStr">
        <is>
          <t>EM000134</t>
        </is>
      </c>
    </row>
    <row r="965">
      <c r="A965" s="5" t="inlineStr">
        <is>
          <t>Nordex Employees</t>
        </is>
      </c>
      <c r="B965" s="5" t="inlineStr">
        <is>
          <t>MARCELO DE MOURA SILVA</t>
        </is>
      </c>
      <c r="C965" s="5" t="inlineStr">
        <is>
          <t>EM000135</t>
        </is>
      </c>
      <c r="D965" s="5" t="inlineStr">
        <is>
          <t>EM000135</t>
        </is>
      </c>
    </row>
    <row r="966">
      <c r="A966" s="5" t="inlineStr">
        <is>
          <t>Nordex Employees</t>
        </is>
      </c>
      <c r="B966" s="5" t="inlineStr"/>
      <c r="C966" s="5" t="inlineStr">
        <is>
          <t>EM000136</t>
        </is>
      </c>
      <c r="D966" s="5" t="inlineStr">
        <is>
          <t>EM000136</t>
        </is>
      </c>
    </row>
    <row r="967">
      <c r="A967" s="5" t="inlineStr">
        <is>
          <t>Nordex Employees</t>
        </is>
      </c>
      <c r="B967" s="5" t="inlineStr">
        <is>
          <t>ISLAS MARTINS MACIEL ABREU</t>
        </is>
      </c>
      <c r="C967" s="5" t="inlineStr">
        <is>
          <t>EM000137</t>
        </is>
      </c>
      <c r="D967" s="5" t="inlineStr">
        <is>
          <t>EM000137</t>
        </is>
      </c>
    </row>
    <row r="968">
      <c r="A968" s="5" t="inlineStr">
        <is>
          <t>Nordex Employees</t>
        </is>
      </c>
      <c r="B968" s="5" t="inlineStr">
        <is>
          <t>EDGLEISON TAMBORIL FIRMIANO</t>
        </is>
      </c>
      <c r="C968" s="5" t="inlineStr">
        <is>
          <t>EM000141</t>
        </is>
      </c>
      <c r="D968" s="5" t="inlineStr">
        <is>
          <t>EM000141</t>
        </is>
      </c>
    </row>
    <row r="969">
      <c r="A969" s="5" t="inlineStr">
        <is>
          <t>Nordex Employees</t>
        </is>
      </c>
      <c r="B969" s="5" t="inlineStr">
        <is>
          <t>CARLOS ADRIANO SILVA DE OLIVEIRA</t>
        </is>
      </c>
      <c r="C969" s="5" t="inlineStr">
        <is>
          <t>EM000143</t>
        </is>
      </c>
      <c r="D969" s="5" t="inlineStr">
        <is>
          <t>EM000143</t>
        </is>
      </c>
    </row>
    <row r="970">
      <c r="A970" s="5" t="inlineStr">
        <is>
          <t>Nordex Employees</t>
        </is>
      </c>
      <c r="B970" s="5" t="inlineStr">
        <is>
          <t>THIAGO SPINOSA</t>
        </is>
      </c>
      <c r="C970" s="5" t="inlineStr">
        <is>
          <t>EM000145</t>
        </is>
      </c>
      <c r="D970" s="5" t="inlineStr">
        <is>
          <t>EM000145</t>
        </is>
      </c>
    </row>
    <row r="971">
      <c r="A971" s="5" t="inlineStr">
        <is>
          <t>Nordex Employees</t>
        </is>
      </c>
      <c r="B971" s="5" t="inlineStr">
        <is>
          <t>AIRTON SHARLES E SILVA PESSOA</t>
        </is>
      </c>
      <c r="C971" s="5" t="inlineStr">
        <is>
          <t>EM000147</t>
        </is>
      </c>
      <c r="D971" s="5" t="inlineStr">
        <is>
          <t>EM000147</t>
        </is>
      </c>
    </row>
    <row r="972">
      <c r="A972" s="5" t="inlineStr">
        <is>
          <t>Nordex Employees</t>
        </is>
      </c>
      <c r="B972" s="5" t="inlineStr">
        <is>
          <t>FRANCISCO WAGNER DE FREITAS ARAUJO</t>
        </is>
      </c>
      <c r="C972" s="5" t="inlineStr">
        <is>
          <t>EM000153</t>
        </is>
      </c>
      <c r="D972" s="5" t="inlineStr">
        <is>
          <t>EM000153</t>
        </is>
      </c>
    </row>
    <row r="973">
      <c r="A973" s="5" t="inlineStr">
        <is>
          <t>Nordex Employees</t>
        </is>
      </c>
      <c r="B973" s="5" t="inlineStr">
        <is>
          <t>IAGO TEIXEIRA MORGADO</t>
        </is>
      </c>
      <c r="C973" s="5" t="inlineStr">
        <is>
          <t>EM000155</t>
        </is>
      </c>
      <c r="D973" s="5" t="inlineStr">
        <is>
          <t>EM000155</t>
        </is>
      </c>
    </row>
    <row r="974">
      <c r="A974" s="5" t="inlineStr">
        <is>
          <t>Nordex Employees</t>
        </is>
      </c>
      <c r="B974" s="5" t="inlineStr">
        <is>
          <t>JULIANO NASCIMIENTO</t>
        </is>
      </c>
      <c r="C974" s="5" t="inlineStr">
        <is>
          <t>EM000157</t>
        </is>
      </c>
      <c r="D974" s="5" t="inlineStr">
        <is>
          <t>EM000157</t>
        </is>
      </c>
    </row>
    <row r="975">
      <c r="A975" s="5" t="inlineStr">
        <is>
          <t>Nordex Employees</t>
        </is>
      </c>
      <c r="B975" s="5" t="inlineStr">
        <is>
          <t>FABIO COFFANI DOS SANTOS DE SIQUEIRA</t>
        </is>
      </c>
      <c r="C975" s="5" t="inlineStr">
        <is>
          <t>EM000159</t>
        </is>
      </c>
      <c r="D975" s="5" t="inlineStr">
        <is>
          <t>EM000159</t>
        </is>
      </c>
    </row>
    <row r="976">
      <c r="A976" s="5" t="inlineStr">
        <is>
          <t>Nordex Employees</t>
        </is>
      </c>
      <c r="B976" s="5" t="inlineStr"/>
      <c r="C976" s="5" t="inlineStr">
        <is>
          <t>EM000160</t>
        </is>
      </c>
      <c r="D976" s="5" t="inlineStr">
        <is>
          <t>EM000160</t>
        </is>
      </c>
    </row>
    <row r="977">
      <c r="A977" s="5" t="inlineStr">
        <is>
          <t>Nordex Employees</t>
        </is>
      </c>
      <c r="B977" s="5" t="inlineStr">
        <is>
          <t>ARIOVALDO COSTA FILHO</t>
        </is>
      </c>
      <c r="C977" s="5" t="inlineStr">
        <is>
          <t>EM000161</t>
        </is>
      </c>
      <c r="D977" s="5" t="inlineStr">
        <is>
          <t>EM000161</t>
        </is>
      </c>
    </row>
    <row r="978">
      <c r="A978" s="5" t="inlineStr">
        <is>
          <t>Nordex Employees</t>
        </is>
      </c>
      <c r="B978" s="5" t="inlineStr">
        <is>
          <t>ASSUERO SAVIO TEIXEIRA SOUSA</t>
        </is>
      </c>
      <c r="C978" s="5" t="inlineStr">
        <is>
          <t>EM000162</t>
        </is>
      </c>
      <c r="D978" s="5" t="inlineStr">
        <is>
          <t>EM000162</t>
        </is>
      </c>
    </row>
    <row r="979">
      <c r="A979" s="5" t="inlineStr">
        <is>
          <t>Nordex Employees</t>
        </is>
      </c>
      <c r="B979" s="5" t="inlineStr"/>
      <c r="C979" s="5" t="inlineStr">
        <is>
          <t>EM000165</t>
        </is>
      </c>
      <c r="D979" s="5" t="inlineStr">
        <is>
          <t>EM000165</t>
        </is>
      </c>
    </row>
    <row r="980">
      <c r="A980" s="5" t="inlineStr">
        <is>
          <t>Nordex Employees</t>
        </is>
      </c>
      <c r="B980" s="5" t="inlineStr">
        <is>
          <t>ANDERSON DE LIMA AFFONSO</t>
        </is>
      </c>
      <c r="C980" s="5" t="inlineStr">
        <is>
          <t>EM000167</t>
        </is>
      </c>
      <c r="D980" s="5" t="inlineStr">
        <is>
          <t>EM000167</t>
        </is>
      </c>
    </row>
    <row r="981">
      <c r="A981" s="5" t="inlineStr">
        <is>
          <t>Nordex Employees</t>
        </is>
      </c>
      <c r="B981" s="5" t="inlineStr">
        <is>
          <t>ALESSANDRA RAFFO SCHNEIDER</t>
        </is>
      </c>
      <c r="C981" s="5" t="inlineStr">
        <is>
          <t>EM000171</t>
        </is>
      </c>
      <c r="D981" s="5" t="inlineStr">
        <is>
          <t>EM000171</t>
        </is>
      </c>
    </row>
    <row r="982">
      <c r="A982" s="5" t="inlineStr">
        <is>
          <t>Nordex Employees</t>
        </is>
      </c>
      <c r="B982" s="5" t="inlineStr"/>
      <c r="C982" s="5" t="inlineStr">
        <is>
          <t>EM000173</t>
        </is>
      </c>
      <c r="D982" s="5" t="inlineStr">
        <is>
          <t>EM000173</t>
        </is>
      </c>
    </row>
    <row r="983">
      <c r="A983" s="5" t="inlineStr">
        <is>
          <t>Nordex Employees</t>
        </is>
      </c>
      <c r="B983" s="5" t="inlineStr">
        <is>
          <t>DOUGLAS NASCIMENTO</t>
        </is>
      </c>
      <c r="C983" s="5" t="inlineStr">
        <is>
          <t>EM000190</t>
        </is>
      </c>
      <c r="D983" s="5" t="inlineStr">
        <is>
          <t>EM000190</t>
        </is>
      </c>
    </row>
    <row r="984">
      <c r="A984" s="5" t="inlineStr">
        <is>
          <t>Nordex Employees</t>
        </is>
      </c>
      <c r="B984" s="5" t="inlineStr">
        <is>
          <t>LEANDRO VINICIUS LINS SILVA</t>
        </is>
      </c>
      <c r="C984" s="5" t="inlineStr">
        <is>
          <t>EM000196</t>
        </is>
      </c>
      <c r="D984" s="5" t="inlineStr">
        <is>
          <t>EM000196</t>
        </is>
      </c>
    </row>
    <row r="985">
      <c r="A985" s="5" t="inlineStr">
        <is>
          <t>Nordex Employees</t>
        </is>
      </c>
      <c r="B985" s="5" t="inlineStr">
        <is>
          <t>DIEGO DE SOUSA ALMEIDA</t>
        </is>
      </c>
      <c r="C985" s="5" t="inlineStr">
        <is>
          <t>EM000202</t>
        </is>
      </c>
      <c r="D985" s="5" t="inlineStr">
        <is>
          <t>EM000202</t>
        </is>
      </c>
    </row>
    <row r="986">
      <c r="A986" s="5" t="inlineStr">
        <is>
          <t>Nordex Employees</t>
        </is>
      </c>
      <c r="B986" s="5" t="inlineStr"/>
      <c r="C986" s="5" t="inlineStr">
        <is>
          <t>EM000204</t>
        </is>
      </c>
      <c r="D986" s="5" t="inlineStr">
        <is>
          <t>EM000204</t>
        </is>
      </c>
    </row>
    <row r="987">
      <c r="A987" s="5" t="inlineStr">
        <is>
          <t>Nordex Employees</t>
        </is>
      </c>
      <c r="B987" s="5" t="inlineStr">
        <is>
          <t>LUCAS HENRIQUE SOARES</t>
        </is>
      </c>
      <c r="C987" s="5" t="inlineStr">
        <is>
          <t>EM000210</t>
        </is>
      </c>
      <c r="D987" s="5" t="inlineStr">
        <is>
          <t>EM000210</t>
        </is>
      </c>
    </row>
    <row r="988">
      <c r="A988" s="5" t="inlineStr">
        <is>
          <t>Nordex Employees</t>
        </is>
      </c>
      <c r="B988" s="5" t="inlineStr"/>
      <c r="C988" s="5" t="inlineStr">
        <is>
          <t>EM000221</t>
        </is>
      </c>
      <c r="D988" s="5" t="inlineStr">
        <is>
          <t>EM000221</t>
        </is>
      </c>
    </row>
    <row r="989">
      <c r="A989" s="5" t="inlineStr">
        <is>
          <t>Nordex Employees</t>
        </is>
      </c>
      <c r="B989" s="5" t="inlineStr"/>
      <c r="C989" s="5" t="inlineStr">
        <is>
          <t>EM000233</t>
        </is>
      </c>
      <c r="D989" s="5" t="inlineStr">
        <is>
          <t>EM000233</t>
        </is>
      </c>
    </row>
    <row r="990">
      <c r="A990" s="5" t="inlineStr">
        <is>
          <t>Nordex Employees</t>
        </is>
      </c>
      <c r="B990" s="5" t="inlineStr">
        <is>
          <t>PEDRO DA CRUZ SILVA JUNIOR</t>
        </is>
      </c>
      <c r="C990" s="5" t="inlineStr">
        <is>
          <t>EM000237</t>
        </is>
      </c>
      <c r="D990" s="5" t="inlineStr">
        <is>
          <t>EM000237</t>
        </is>
      </c>
    </row>
    <row r="991">
      <c r="A991" s="5" t="inlineStr">
        <is>
          <t>Nordex Employees</t>
        </is>
      </c>
      <c r="B991" s="5" t="inlineStr">
        <is>
          <t>FEDERICO BIANCHI</t>
        </is>
      </c>
      <c r="C991" s="5" t="inlineStr">
        <is>
          <t>EM000238</t>
        </is>
      </c>
      <c r="D991" s="5" t="inlineStr">
        <is>
          <t>EM000238</t>
        </is>
      </c>
    </row>
    <row r="992">
      <c r="A992" s="5" t="inlineStr">
        <is>
          <t>Nordex Employees</t>
        </is>
      </c>
      <c r="B992" s="5" t="inlineStr">
        <is>
          <t>JOSE EDUARDO DE SOUSA SOARES</t>
        </is>
      </c>
      <c r="C992" s="5" t="inlineStr">
        <is>
          <t>EM000242</t>
        </is>
      </c>
      <c r="D992" s="5" t="inlineStr">
        <is>
          <t>EM000242</t>
        </is>
      </c>
    </row>
    <row r="993">
      <c r="A993" s="5" t="inlineStr">
        <is>
          <t>Nordex Employees</t>
        </is>
      </c>
      <c r="B993" s="5" t="inlineStr">
        <is>
          <t>JOSE LUIZ CONCEICAO DE SOUZA</t>
        </is>
      </c>
      <c r="C993" s="5" t="inlineStr">
        <is>
          <t>EM000243</t>
        </is>
      </c>
      <c r="D993" s="5" t="inlineStr">
        <is>
          <t>EM000243</t>
        </is>
      </c>
    </row>
    <row r="994">
      <c r="A994" s="5" t="inlineStr">
        <is>
          <t>Nordex Employees</t>
        </is>
      </c>
      <c r="B994" s="5" t="inlineStr"/>
      <c r="C994" s="5" t="inlineStr">
        <is>
          <t>EM000248</t>
        </is>
      </c>
      <c r="D994" s="5" t="inlineStr">
        <is>
          <t>EM000248</t>
        </is>
      </c>
    </row>
    <row r="995">
      <c r="A995" s="5" t="inlineStr">
        <is>
          <t>Nordex Employees</t>
        </is>
      </c>
      <c r="B995" s="5" t="inlineStr">
        <is>
          <t>ALLYSSON LAURENTINO DE MELO RAMOS</t>
        </is>
      </c>
      <c r="C995" s="5" t="inlineStr">
        <is>
          <t>EM000262</t>
        </is>
      </c>
      <c r="D995" s="5" t="inlineStr">
        <is>
          <t>EM000262</t>
        </is>
      </c>
    </row>
    <row r="996">
      <c r="A996" s="5" t="inlineStr">
        <is>
          <t>Nordex Employees</t>
        </is>
      </c>
      <c r="B996" s="5" t="inlineStr"/>
      <c r="C996" s="5" t="inlineStr">
        <is>
          <t>EM000269</t>
        </is>
      </c>
      <c r="D996" s="5" t="inlineStr">
        <is>
          <t>EM000269</t>
        </is>
      </c>
    </row>
    <row r="997">
      <c r="A997" s="5" t="inlineStr">
        <is>
          <t>Nordex Employees</t>
        </is>
      </c>
      <c r="B997" s="5" t="inlineStr">
        <is>
          <t>THAYS NUNES BARROS</t>
        </is>
      </c>
      <c r="C997" s="5" t="inlineStr">
        <is>
          <t>EM000270</t>
        </is>
      </c>
      <c r="D997" s="5" t="inlineStr">
        <is>
          <t>EM000270</t>
        </is>
      </c>
    </row>
    <row r="998">
      <c r="A998" s="5" t="inlineStr">
        <is>
          <t>Nordex Employees</t>
        </is>
      </c>
      <c r="B998" s="5" t="inlineStr">
        <is>
          <t>PABLO SUEIRAS BLANCO</t>
        </is>
      </c>
      <c r="C998" s="5" t="inlineStr">
        <is>
          <t>EM000271</t>
        </is>
      </c>
      <c r="D998" s="5" t="inlineStr">
        <is>
          <t>EM000271</t>
        </is>
      </c>
    </row>
    <row r="999">
      <c r="A999" s="5" t="inlineStr">
        <is>
          <t>Nordex Employees</t>
        </is>
      </c>
      <c r="B999" s="5" t="inlineStr">
        <is>
          <t>JOBSON BARBOSA DE OLIVEIRA</t>
        </is>
      </c>
      <c r="C999" s="5" t="inlineStr">
        <is>
          <t>EM000272</t>
        </is>
      </c>
      <c r="D999" s="5" t="inlineStr">
        <is>
          <t>EM000272</t>
        </is>
      </c>
    </row>
    <row r="1000">
      <c r="A1000" s="5" t="inlineStr">
        <is>
          <t>Nordex Employees</t>
        </is>
      </c>
      <c r="B1000" s="5" t="inlineStr">
        <is>
          <t>RAFAEL DE OLIVEIRA PATRÍCIO</t>
        </is>
      </c>
      <c r="C1000" s="5" t="inlineStr">
        <is>
          <t>EM000274</t>
        </is>
      </c>
      <c r="D1000" s="5" t="inlineStr">
        <is>
          <t>EM000274</t>
        </is>
      </c>
    </row>
    <row r="1001">
      <c r="A1001" s="5" t="inlineStr">
        <is>
          <t>Nordex Employees</t>
        </is>
      </c>
      <c r="B1001" s="5" t="inlineStr"/>
      <c r="C1001" s="5" t="inlineStr">
        <is>
          <t>EM000277</t>
        </is>
      </c>
      <c r="D1001" s="5" t="inlineStr">
        <is>
          <t>EM000277</t>
        </is>
      </c>
    </row>
    <row r="1002">
      <c r="A1002" s="5" t="inlineStr">
        <is>
          <t>Nordex Employees</t>
        </is>
      </c>
      <c r="B1002" s="5" t="inlineStr">
        <is>
          <t>LEONARDO FERNANDES PEREIRA MOREIRA</t>
        </is>
      </c>
      <c r="C1002" s="5" t="inlineStr">
        <is>
          <t>EM000278</t>
        </is>
      </c>
      <c r="D1002" s="5" t="inlineStr">
        <is>
          <t>EM000278</t>
        </is>
      </c>
    </row>
    <row r="1003">
      <c r="A1003" s="5" t="inlineStr">
        <is>
          <t>Nordex Employees</t>
        </is>
      </c>
      <c r="B1003" s="5" t="inlineStr">
        <is>
          <t>HOSAIAS VIEIRA CHAVES</t>
        </is>
      </c>
      <c r="C1003" s="5" t="inlineStr">
        <is>
          <t>EM000279</t>
        </is>
      </c>
      <c r="D1003" s="5" t="inlineStr">
        <is>
          <t>EM000279</t>
        </is>
      </c>
    </row>
    <row r="1004">
      <c r="A1004" s="5" t="inlineStr">
        <is>
          <t>Nordex Employees</t>
        </is>
      </c>
      <c r="B1004" s="5" t="inlineStr">
        <is>
          <t>VANESSA REGINA DE CAMARGO</t>
        </is>
      </c>
      <c r="C1004" s="5" t="inlineStr">
        <is>
          <t>EM000281</t>
        </is>
      </c>
      <c r="D1004" s="5" t="inlineStr">
        <is>
          <t>EM000281</t>
        </is>
      </c>
    </row>
    <row r="1005">
      <c r="A1005" s="5" t="inlineStr">
        <is>
          <t>Nordex Employees</t>
        </is>
      </c>
      <c r="B1005" s="5" t="inlineStr"/>
      <c r="C1005" s="5" t="inlineStr">
        <is>
          <t>EM000282</t>
        </is>
      </c>
      <c r="D1005" s="5" t="inlineStr">
        <is>
          <t>EM000282</t>
        </is>
      </c>
    </row>
    <row r="1006">
      <c r="A1006" s="5" t="inlineStr">
        <is>
          <t>Nordex Employees</t>
        </is>
      </c>
      <c r="B1006" s="5" t="inlineStr"/>
      <c r="C1006" s="5" t="inlineStr">
        <is>
          <t>EM000283</t>
        </is>
      </c>
      <c r="D1006" s="5" t="inlineStr">
        <is>
          <t>EM000283</t>
        </is>
      </c>
    </row>
    <row r="1007">
      <c r="A1007" s="5" t="inlineStr">
        <is>
          <t>Nordex Employees</t>
        </is>
      </c>
      <c r="B1007" s="5" t="inlineStr"/>
      <c r="C1007" s="5" t="inlineStr">
        <is>
          <t>EM000285</t>
        </is>
      </c>
      <c r="D1007" s="5" t="inlineStr">
        <is>
          <t>EM000285</t>
        </is>
      </c>
    </row>
    <row r="1008">
      <c r="A1008" s="5" t="inlineStr">
        <is>
          <t>Nordex Employees</t>
        </is>
      </c>
      <c r="B1008" s="5" t="inlineStr"/>
      <c r="C1008" s="5" t="inlineStr">
        <is>
          <t>EM000286</t>
        </is>
      </c>
      <c r="D1008" s="5" t="inlineStr">
        <is>
          <t>EM000286</t>
        </is>
      </c>
    </row>
    <row r="1009">
      <c r="A1009" s="5" t="inlineStr">
        <is>
          <t>Nordex Employees</t>
        </is>
      </c>
      <c r="B1009" s="5" t="inlineStr"/>
      <c r="C1009" s="5" t="inlineStr">
        <is>
          <t>EM000292</t>
        </is>
      </c>
      <c r="D1009" s="5" t="inlineStr">
        <is>
          <t>EM000292</t>
        </is>
      </c>
    </row>
    <row r="1010">
      <c r="A1010" s="5" t="inlineStr">
        <is>
          <t>Nordex Employees</t>
        </is>
      </c>
      <c r="B1010" s="5" t="inlineStr">
        <is>
          <t>ROBERTISON JOSE DE BRITO</t>
        </is>
      </c>
      <c r="C1010" s="5" t="inlineStr">
        <is>
          <t>EM000296</t>
        </is>
      </c>
      <c r="D1010" s="5" t="inlineStr">
        <is>
          <t>EM000296</t>
        </is>
      </c>
    </row>
    <row r="1011">
      <c r="A1011" s="5" t="inlineStr">
        <is>
          <t>Nordex Employees</t>
        </is>
      </c>
      <c r="B1011" s="5" t="inlineStr">
        <is>
          <t>ARIEL VANZETTO DUARTE</t>
        </is>
      </c>
      <c r="C1011" s="5" t="inlineStr">
        <is>
          <t>EM000297</t>
        </is>
      </c>
      <c r="D1011" s="5" t="inlineStr">
        <is>
          <t>EM000297</t>
        </is>
      </c>
    </row>
    <row r="1012">
      <c r="A1012" s="5" t="inlineStr">
        <is>
          <t>Nordex Employees</t>
        </is>
      </c>
      <c r="B1012" s="5" t="inlineStr"/>
      <c r="C1012" s="5" t="inlineStr">
        <is>
          <t>EM000299</t>
        </is>
      </c>
      <c r="D1012" s="5" t="inlineStr">
        <is>
          <t>EM000299</t>
        </is>
      </c>
    </row>
    <row r="1013">
      <c r="A1013" s="5" t="inlineStr">
        <is>
          <t>Nordex Employees</t>
        </is>
      </c>
      <c r="B1013" s="5" t="inlineStr"/>
      <c r="C1013" s="5" t="inlineStr">
        <is>
          <t>EM000300</t>
        </is>
      </c>
      <c r="D1013" s="5" t="inlineStr">
        <is>
          <t>EM000300</t>
        </is>
      </c>
    </row>
    <row r="1014">
      <c r="A1014" s="5" t="inlineStr">
        <is>
          <t>Nordex Employees</t>
        </is>
      </c>
      <c r="B1014" s="5" t="inlineStr">
        <is>
          <t>CLEBER JULIAN DA SILVA</t>
        </is>
      </c>
      <c r="C1014" s="5" t="inlineStr">
        <is>
          <t>EM000301</t>
        </is>
      </c>
      <c r="D1014" s="5" t="inlineStr">
        <is>
          <t>EM000301</t>
        </is>
      </c>
    </row>
    <row r="1015">
      <c r="A1015" s="5" t="inlineStr">
        <is>
          <t>Nordex Employees</t>
        </is>
      </c>
      <c r="B1015" s="5" t="inlineStr"/>
      <c r="C1015" s="5" t="inlineStr">
        <is>
          <t>EM000302</t>
        </is>
      </c>
      <c r="D1015" s="5" t="inlineStr">
        <is>
          <t>EM000302</t>
        </is>
      </c>
    </row>
    <row r="1016">
      <c r="A1016" s="5" t="inlineStr">
        <is>
          <t>Nordex Employees</t>
        </is>
      </c>
      <c r="B1016" s="5" t="inlineStr">
        <is>
          <t>CARLOS EDUARDO LAUREANO</t>
        </is>
      </c>
      <c r="C1016" s="5" t="inlineStr">
        <is>
          <t>EM000310</t>
        </is>
      </c>
      <c r="D1016" s="5" t="inlineStr">
        <is>
          <t>EM000310</t>
        </is>
      </c>
    </row>
    <row r="1017">
      <c r="A1017" s="5" t="inlineStr">
        <is>
          <t>Nordex Employees</t>
        </is>
      </c>
      <c r="B1017" s="5" t="inlineStr"/>
      <c r="C1017" s="5" t="inlineStr">
        <is>
          <t>EM0003110</t>
        </is>
      </c>
      <c r="D1017" s="5" t="inlineStr">
        <is>
          <t>EM0003110</t>
        </is>
      </c>
    </row>
    <row r="1018">
      <c r="A1018" s="5" t="inlineStr">
        <is>
          <t>Nordex Employees</t>
        </is>
      </c>
      <c r="B1018" s="5" t="inlineStr"/>
      <c r="C1018" s="5" t="inlineStr">
        <is>
          <t>EM000313</t>
        </is>
      </c>
      <c r="D1018" s="5" t="inlineStr">
        <is>
          <t>EM000313</t>
        </is>
      </c>
    </row>
    <row r="1019">
      <c r="A1019" s="5" t="inlineStr">
        <is>
          <t>Nordex Employees</t>
        </is>
      </c>
      <c r="B1019" s="5" t="inlineStr"/>
      <c r="C1019" s="5" t="inlineStr">
        <is>
          <t>EM000314</t>
        </is>
      </c>
      <c r="D1019" s="5" t="inlineStr">
        <is>
          <t>EM000314</t>
        </is>
      </c>
    </row>
    <row r="1020">
      <c r="A1020" s="5" t="inlineStr">
        <is>
          <t>Nordex Employees</t>
        </is>
      </c>
      <c r="B1020" s="5" t="inlineStr"/>
      <c r="C1020" s="5" t="inlineStr">
        <is>
          <t>EM000317</t>
        </is>
      </c>
      <c r="D1020" s="5" t="inlineStr">
        <is>
          <t>EM000317</t>
        </is>
      </c>
    </row>
    <row r="1021">
      <c r="A1021" s="5" t="inlineStr">
        <is>
          <t>Nordex Employees</t>
        </is>
      </c>
      <c r="B1021" s="5" t="inlineStr">
        <is>
          <t>LAYSON RAYRE ROCHA RIBEIRO</t>
        </is>
      </c>
      <c r="C1021" s="5" t="inlineStr">
        <is>
          <t>EM000319</t>
        </is>
      </c>
      <c r="D1021" s="5" t="inlineStr">
        <is>
          <t>EM000319</t>
        </is>
      </c>
    </row>
    <row r="1022">
      <c r="A1022" s="5" t="inlineStr">
        <is>
          <t>Nordex Employees</t>
        </is>
      </c>
      <c r="B1022" s="5" t="inlineStr">
        <is>
          <t>JOSE LEONARDO RIBEIRO DUARTE</t>
        </is>
      </c>
      <c r="C1022" s="5" t="inlineStr">
        <is>
          <t>EM000323</t>
        </is>
      </c>
      <c r="D1022" s="5" t="inlineStr">
        <is>
          <t>EM000323</t>
        </is>
      </c>
    </row>
    <row r="1023">
      <c r="A1023" s="5" t="inlineStr">
        <is>
          <t>Nordex Employees</t>
        </is>
      </c>
      <c r="B1023" s="5" t="inlineStr">
        <is>
          <t>LUIZ EDUARDO PEREIRA DA SILVA</t>
        </is>
      </c>
      <c r="C1023" s="5" t="inlineStr">
        <is>
          <t>EM000324</t>
        </is>
      </c>
      <c r="D1023" s="5" t="inlineStr">
        <is>
          <t>EM000324</t>
        </is>
      </c>
    </row>
    <row r="1024">
      <c r="A1024" s="5" t="inlineStr">
        <is>
          <t>Nordex Employees</t>
        </is>
      </c>
      <c r="B1024" s="5" t="inlineStr"/>
      <c r="C1024" s="5" t="inlineStr">
        <is>
          <t>EM000325</t>
        </is>
      </c>
      <c r="D1024" s="5" t="inlineStr">
        <is>
          <t>EM000325</t>
        </is>
      </c>
    </row>
    <row r="1025">
      <c r="A1025" s="5" t="inlineStr">
        <is>
          <t>Nordex Employees</t>
        </is>
      </c>
      <c r="B1025" s="5" t="inlineStr">
        <is>
          <t>VITOR ARAUJO DOS SANTOS</t>
        </is>
      </c>
      <c r="C1025" s="5" t="inlineStr">
        <is>
          <t>EM000326</t>
        </is>
      </c>
      <c r="D1025" s="5" t="inlineStr">
        <is>
          <t>EM000326</t>
        </is>
      </c>
    </row>
    <row r="1026">
      <c r="A1026" s="5" t="inlineStr">
        <is>
          <t>Nordex Employees</t>
        </is>
      </c>
      <c r="B1026" s="5" t="inlineStr">
        <is>
          <t>JOSE MARTINS TEIXEIRA NETO</t>
        </is>
      </c>
      <c r="C1026" s="5" t="inlineStr">
        <is>
          <t>EM000327</t>
        </is>
      </c>
      <c r="D1026" s="5" t="inlineStr">
        <is>
          <t>EM000327</t>
        </is>
      </c>
    </row>
    <row r="1027">
      <c r="A1027" s="5" t="inlineStr">
        <is>
          <t>Nordex Employees</t>
        </is>
      </c>
      <c r="B1027" s="5" t="inlineStr"/>
      <c r="C1027" s="5" t="inlineStr">
        <is>
          <t>EM000328</t>
        </is>
      </c>
      <c r="D1027" s="5" t="inlineStr">
        <is>
          <t>EM000328</t>
        </is>
      </c>
    </row>
    <row r="1028">
      <c r="A1028" s="5" t="inlineStr">
        <is>
          <t>Nordex Employees</t>
        </is>
      </c>
      <c r="B1028" s="5" t="inlineStr">
        <is>
          <t>MARIO SERGIO NASCIMENTO DOS SANTOS</t>
        </is>
      </c>
      <c r="C1028" s="5" t="inlineStr">
        <is>
          <t>EM000332</t>
        </is>
      </c>
      <c r="D1028" s="5" t="inlineStr">
        <is>
          <t>EM000332</t>
        </is>
      </c>
    </row>
    <row r="1029">
      <c r="A1029" s="5" t="inlineStr">
        <is>
          <t>Nordex Employees</t>
        </is>
      </c>
      <c r="B1029" s="5" t="inlineStr"/>
      <c r="C1029" s="5" t="inlineStr">
        <is>
          <t>EM000333</t>
        </is>
      </c>
      <c r="D1029" s="5" t="inlineStr">
        <is>
          <t>EM000333</t>
        </is>
      </c>
    </row>
    <row r="1030">
      <c r="A1030" s="5" t="inlineStr">
        <is>
          <t>Nordex Employees</t>
        </is>
      </c>
      <c r="B1030" s="5" t="inlineStr"/>
      <c r="C1030" s="5" t="inlineStr">
        <is>
          <t>EM000339</t>
        </is>
      </c>
      <c r="D1030" s="5" t="inlineStr">
        <is>
          <t>EM000339</t>
        </is>
      </c>
    </row>
    <row r="1031">
      <c r="A1031" s="5" t="inlineStr">
        <is>
          <t>Nordex Employees</t>
        </is>
      </c>
      <c r="B1031" s="5" t="inlineStr"/>
      <c r="C1031" s="5" t="inlineStr">
        <is>
          <t>EM000340</t>
        </is>
      </c>
      <c r="D1031" s="5" t="inlineStr">
        <is>
          <t>EM000340</t>
        </is>
      </c>
    </row>
    <row r="1032">
      <c r="A1032" s="5" t="inlineStr">
        <is>
          <t>Nordex Employees</t>
        </is>
      </c>
      <c r="B1032" s="5" t="inlineStr">
        <is>
          <t>FABIO SANTANA DA CONCEICAO</t>
        </is>
      </c>
      <c r="C1032" s="5" t="inlineStr">
        <is>
          <t>EM000347</t>
        </is>
      </c>
      <c r="D1032" s="5" t="inlineStr">
        <is>
          <t>EM000347</t>
        </is>
      </c>
    </row>
    <row r="1033">
      <c r="A1033" s="5" t="inlineStr">
        <is>
          <t>Nordex Employees</t>
        </is>
      </c>
      <c r="B1033" s="5" t="inlineStr"/>
      <c r="C1033" s="5" t="inlineStr">
        <is>
          <t>EM000348</t>
        </is>
      </c>
      <c r="D1033" s="5" t="inlineStr">
        <is>
          <t>EM000348</t>
        </is>
      </c>
    </row>
    <row r="1034">
      <c r="A1034" s="5" t="inlineStr">
        <is>
          <t>Nordex Employees</t>
        </is>
      </c>
      <c r="B1034" s="5" t="inlineStr"/>
      <c r="C1034" s="5" t="inlineStr">
        <is>
          <t>EM000350</t>
        </is>
      </c>
      <c r="D1034" s="5" t="inlineStr">
        <is>
          <t>EM000350</t>
        </is>
      </c>
    </row>
    <row r="1035">
      <c r="A1035" s="5" t="inlineStr">
        <is>
          <t>Nordex Employees</t>
        </is>
      </c>
      <c r="B1035" s="5" t="inlineStr"/>
      <c r="C1035" s="5" t="inlineStr">
        <is>
          <t>EM000351</t>
        </is>
      </c>
      <c r="D1035" s="5" t="inlineStr">
        <is>
          <t>EM000351</t>
        </is>
      </c>
    </row>
    <row r="1036">
      <c r="A1036" s="5" t="inlineStr">
        <is>
          <t>Nordex Employees</t>
        </is>
      </c>
      <c r="B1036" s="5" t="inlineStr">
        <is>
          <t>DECIO BISPO DE OLIVEIRA</t>
        </is>
      </c>
      <c r="C1036" s="5" t="inlineStr">
        <is>
          <t>EM000354</t>
        </is>
      </c>
      <c r="D1036" s="5" t="inlineStr">
        <is>
          <t>EM000354</t>
        </is>
      </c>
    </row>
    <row r="1037">
      <c r="A1037" s="5" t="inlineStr">
        <is>
          <t>Nordex Employees</t>
        </is>
      </c>
      <c r="B1037" s="5" t="inlineStr"/>
      <c r="C1037" s="5" t="inlineStr">
        <is>
          <t>EM000359</t>
        </is>
      </c>
      <c r="D1037" s="5" t="inlineStr">
        <is>
          <t>EM000359</t>
        </is>
      </c>
    </row>
    <row r="1038">
      <c r="A1038" s="5" t="inlineStr">
        <is>
          <t>Nordex Employees</t>
        </is>
      </c>
      <c r="B1038" s="5" t="inlineStr"/>
      <c r="C1038" s="5" t="inlineStr">
        <is>
          <t>EM000362</t>
        </is>
      </c>
      <c r="D1038" s="5" t="inlineStr">
        <is>
          <t>EM000362</t>
        </is>
      </c>
    </row>
    <row r="1039">
      <c r="A1039" s="5" t="inlineStr">
        <is>
          <t>Nordex Employees</t>
        </is>
      </c>
      <c r="B1039" s="5" t="inlineStr"/>
      <c r="C1039" s="5" t="inlineStr">
        <is>
          <t>EM000363</t>
        </is>
      </c>
      <c r="D1039" s="5" t="inlineStr">
        <is>
          <t>EM000363</t>
        </is>
      </c>
    </row>
    <row r="1040">
      <c r="A1040" s="5" t="inlineStr">
        <is>
          <t>Nordex Employees</t>
        </is>
      </c>
      <c r="B1040" s="5" t="inlineStr">
        <is>
          <t>LUCIANA OLIVEIRA COSTA LOREDO</t>
        </is>
      </c>
      <c r="C1040" s="5" t="inlineStr">
        <is>
          <t>EM000365</t>
        </is>
      </c>
      <c r="D1040" s="5" t="inlineStr">
        <is>
          <t>EM000365</t>
        </is>
      </c>
    </row>
    <row r="1041">
      <c r="A1041" s="5" t="inlineStr">
        <is>
          <t>Nordex Employees</t>
        </is>
      </c>
      <c r="B1041" s="5" t="inlineStr"/>
      <c r="C1041" s="5" t="inlineStr">
        <is>
          <t>EM000366</t>
        </is>
      </c>
      <c r="D1041" s="5" t="inlineStr">
        <is>
          <t>EM000366</t>
        </is>
      </c>
    </row>
    <row r="1042">
      <c r="A1042" s="5" t="inlineStr">
        <is>
          <t>Nordex Employees</t>
        </is>
      </c>
      <c r="B1042" s="5" t="inlineStr">
        <is>
          <t>MARCELLA GOMES PEREZ</t>
        </is>
      </c>
      <c r="C1042" s="5" t="inlineStr">
        <is>
          <t>EM000367</t>
        </is>
      </c>
      <c r="D1042" s="5" t="inlineStr">
        <is>
          <t>EM000367</t>
        </is>
      </c>
    </row>
    <row r="1043">
      <c r="A1043" s="5" t="inlineStr">
        <is>
          <t>Nordex Employees</t>
        </is>
      </c>
      <c r="B1043" s="5" t="inlineStr">
        <is>
          <t>JACKSON VICENTE SOUZA FERREIRA</t>
        </is>
      </c>
      <c r="C1043" s="5" t="inlineStr">
        <is>
          <t>EM000373</t>
        </is>
      </c>
      <c r="D1043" s="5" t="inlineStr">
        <is>
          <t>EM000373</t>
        </is>
      </c>
    </row>
    <row r="1044">
      <c r="A1044" s="5" t="inlineStr">
        <is>
          <t>Nordex Employees</t>
        </is>
      </c>
      <c r="B1044" s="5" t="inlineStr"/>
      <c r="C1044" s="5" t="inlineStr">
        <is>
          <t>EM000374</t>
        </is>
      </c>
      <c r="D1044" s="5" t="inlineStr">
        <is>
          <t>EM000374</t>
        </is>
      </c>
    </row>
    <row r="1045">
      <c r="A1045" s="5" t="inlineStr">
        <is>
          <t>Nordex Employees</t>
        </is>
      </c>
      <c r="B1045" s="5" t="inlineStr"/>
      <c r="C1045" s="5" t="inlineStr">
        <is>
          <t>EM000375</t>
        </is>
      </c>
      <c r="D1045" s="5" t="inlineStr">
        <is>
          <t>EM000375</t>
        </is>
      </c>
    </row>
    <row r="1046">
      <c r="A1046" s="5" t="inlineStr">
        <is>
          <t>Nordex Employees</t>
        </is>
      </c>
      <c r="B1046" s="5" t="inlineStr"/>
      <c r="C1046" s="5" t="inlineStr">
        <is>
          <t>EM000379</t>
        </is>
      </c>
      <c r="D1046" s="5" t="inlineStr">
        <is>
          <t>EM000379</t>
        </is>
      </c>
    </row>
    <row r="1047">
      <c r="A1047" s="5" t="inlineStr">
        <is>
          <t>Nordex Employees</t>
        </is>
      </c>
      <c r="B1047" s="5" t="inlineStr"/>
      <c r="C1047" s="5" t="inlineStr">
        <is>
          <t>EM000380</t>
        </is>
      </c>
      <c r="D1047" s="5" t="inlineStr">
        <is>
          <t>EM000380</t>
        </is>
      </c>
    </row>
    <row r="1048">
      <c r="A1048" s="5" t="inlineStr">
        <is>
          <t>Nordex Employees</t>
        </is>
      </c>
      <c r="B1048" s="5" t="inlineStr"/>
      <c r="C1048" s="5" t="inlineStr">
        <is>
          <t>EM000387</t>
        </is>
      </c>
      <c r="D1048" s="5" t="inlineStr">
        <is>
          <t>EM000387</t>
        </is>
      </c>
    </row>
    <row r="1049">
      <c r="A1049" s="5" t="inlineStr">
        <is>
          <t>Nordex Employees</t>
        </is>
      </c>
      <c r="B1049" s="5" t="inlineStr">
        <is>
          <t>BRUNO RAFAEL REBOUCAS DE SOUZA</t>
        </is>
      </c>
      <c r="C1049" s="5" t="inlineStr">
        <is>
          <t>EM000390</t>
        </is>
      </c>
      <c r="D1049" s="5" t="inlineStr">
        <is>
          <t>EM000390</t>
        </is>
      </c>
    </row>
    <row r="1050">
      <c r="A1050" s="5" t="inlineStr">
        <is>
          <t>Nordex Employees</t>
        </is>
      </c>
      <c r="B1050" s="5" t="inlineStr">
        <is>
          <t>GERLAN DA SILVA SAMPAIO</t>
        </is>
      </c>
      <c r="C1050" s="5" t="inlineStr">
        <is>
          <t>EM000391</t>
        </is>
      </c>
      <c r="D1050" s="5" t="inlineStr">
        <is>
          <t>EM000391</t>
        </is>
      </c>
    </row>
    <row r="1051">
      <c r="A1051" s="5" t="inlineStr">
        <is>
          <t>Nordex Employees</t>
        </is>
      </c>
      <c r="B1051" s="5" t="inlineStr">
        <is>
          <t>WAGNER DELLA FLORA GROSS</t>
        </is>
      </c>
      <c r="C1051" s="5" t="inlineStr">
        <is>
          <t>EM000394</t>
        </is>
      </c>
      <c r="D1051" s="5" t="inlineStr">
        <is>
          <t>EM000394</t>
        </is>
      </c>
    </row>
    <row r="1052">
      <c r="A1052" s="5" t="inlineStr">
        <is>
          <t>Nordex Employees</t>
        </is>
      </c>
      <c r="B1052" s="5" t="inlineStr">
        <is>
          <t>WALTIRLLEY FERREIRA DA COSTA</t>
        </is>
      </c>
      <c r="C1052" s="5" t="inlineStr">
        <is>
          <t>EM000396</t>
        </is>
      </c>
      <c r="D1052" s="5" t="inlineStr">
        <is>
          <t>EM000396</t>
        </is>
      </c>
    </row>
    <row r="1053">
      <c r="A1053" s="5" t="inlineStr">
        <is>
          <t>Nordex Employees</t>
        </is>
      </c>
      <c r="B1053" s="5" t="inlineStr">
        <is>
          <t>EDUARDO SCHAPLIN ROCHA</t>
        </is>
      </c>
      <c r="C1053" s="5" t="inlineStr">
        <is>
          <t>EM000398</t>
        </is>
      </c>
      <c r="D1053" s="5" t="inlineStr">
        <is>
          <t>EM000398</t>
        </is>
      </c>
    </row>
    <row r="1054">
      <c r="A1054" s="5" t="inlineStr">
        <is>
          <t>Nordex Employees</t>
        </is>
      </c>
      <c r="B1054" s="5" t="inlineStr"/>
      <c r="C1054" s="5" t="inlineStr">
        <is>
          <t>EM000403</t>
        </is>
      </c>
      <c r="D1054" s="5" t="inlineStr">
        <is>
          <t>EM000403</t>
        </is>
      </c>
    </row>
    <row r="1055">
      <c r="A1055" s="5" t="inlineStr">
        <is>
          <t>Nordex Employees</t>
        </is>
      </c>
      <c r="B1055" s="5" t="inlineStr"/>
      <c r="C1055" s="5" t="inlineStr">
        <is>
          <t>EM000410</t>
        </is>
      </c>
      <c r="D1055" s="5" t="inlineStr">
        <is>
          <t>EM000410</t>
        </is>
      </c>
    </row>
    <row r="1056">
      <c r="A1056" s="5" t="inlineStr">
        <is>
          <t>Nordex Employees</t>
        </is>
      </c>
      <c r="B1056" s="5" t="inlineStr"/>
      <c r="C1056" s="5" t="inlineStr">
        <is>
          <t>EM000415</t>
        </is>
      </c>
      <c r="D1056" s="5" t="inlineStr">
        <is>
          <t>EM000415</t>
        </is>
      </c>
    </row>
    <row r="1057">
      <c r="A1057" s="5" t="inlineStr">
        <is>
          <t>Nordex Employees</t>
        </is>
      </c>
      <c r="B1057" s="5" t="inlineStr">
        <is>
          <t>VICTOR DOS SANTOS DE JESUS</t>
        </is>
      </c>
      <c r="C1057" s="5" t="inlineStr">
        <is>
          <t>EM000417</t>
        </is>
      </c>
      <c r="D1057" s="5" t="inlineStr">
        <is>
          <t>EM000417</t>
        </is>
      </c>
    </row>
    <row r="1058">
      <c r="A1058" s="5" t="inlineStr">
        <is>
          <t>Nordex Employees</t>
        </is>
      </c>
      <c r="B1058" s="5" t="inlineStr">
        <is>
          <t>RAFAEL SILVA DE FREITAS</t>
        </is>
      </c>
      <c r="C1058" s="5" t="inlineStr">
        <is>
          <t>EM000420</t>
        </is>
      </c>
      <c r="D1058" s="5" t="inlineStr">
        <is>
          <t>EM000420</t>
        </is>
      </c>
    </row>
    <row r="1059">
      <c r="A1059" s="5" t="inlineStr">
        <is>
          <t>Nordex Employees</t>
        </is>
      </c>
      <c r="B1059" s="5" t="inlineStr">
        <is>
          <t>CARLOS GUILHERME RODRIGUES DA SILVA</t>
        </is>
      </c>
      <c r="C1059" s="5" t="inlineStr">
        <is>
          <t>EM000423</t>
        </is>
      </c>
      <c r="D1059" s="5" t="inlineStr">
        <is>
          <t>EM000423</t>
        </is>
      </c>
    </row>
    <row r="1060">
      <c r="A1060" s="5" t="inlineStr">
        <is>
          <t>Nordex Employees</t>
        </is>
      </c>
      <c r="B1060" s="5" t="inlineStr">
        <is>
          <t>NAIGUEL PEREIRA DO SANTOS</t>
        </is>
      </c>
      <c r="C1060" s="5" t="inlineStr">
        <is>
          <t>EM000425</t>
        </is>
      </c>
      <c r="D1060" s="5" t="inlineStr">
        <is>
          <t>EM000425</t>
        </is>
      </c>
    </row>
    <row r="1061">
      <c r="A1061" s="5" t="inlineStr">
        <is>
          <t>Nordex Employees</t>
        </is>
      </c>
      <c r="B1061" s="5" t="inlineStr">
        <is>
          <t>NAIBHY ADELY GARCIA RODRIGUES</t>
        </is>
      </c>
      <c r="C1061" s="5" t="inlineStr">
        <is>
          <t>EM000426</t>
        </is>
      </c>
      <c r="D1061" s="5" t="inlineStr">
        <is>
          <t>EM000426</t>
        </is>
      </c>
    </row>
    <row r="1062">
      <c r="A1062" s="5" t="inlineStr">
        <is>
          <t>Nordex Employees</t>
        </is>
      </c>
      <c r="B1062" s="5" t="inlineStr">
        <is>
          <t>EVALDO SOARES DA SILVEIRA</t>
        </is>
      </c>
      <c r="C1062" s="5" t="inlineStr">
        <is>
          <t>EM000428</t>
        </is>
      </c>
      <c r="D1062" s="5" t="inlineStr">
        <is>
          <t>EM000428</t>
        </is>
      </c>
    </row>
    <row r="1063">
      <c r="A1063" s="5" t="inlineStr">
        <is>
          <t>Nordex Employees</t>
        </is>
      </c>
      <c r="B1063" s="5" t="inlineStr">
        <is>
          <t>HERVERTON CAVALCANTE LIMA</t>
        </is>
      </c>
      <c r="C1063" s="5" t="inlineStr">
        <is>
          <t>EM000431</t>
        </is>
      </c>
      <c r="D1063" s="5" t="inlineStr">
        <is>
          <t>EM000431</t>
        </is>
      </c>
    </row>
    <row r="1064">
      <c r="A1064" s="5" t="inlineStr">
        <is>
          <t>Nordex Employees</t>
        </is>
      </c>
      <c r="B1064" s="5" t="inlineStr">
        <is>
          <t>CLEODON MARIO DA SILVA FILHO</t>
        </is>
      </c>
      <c r="C1064" s="5" t="inlineStr">
        <is>
          <t>EM000437</t>
        </is>
      </c>
      <c r="D1064" s="5" t="inlineStr">
        <is>
          <t>EM000437</t>
        </is>
      </c>
    </row>
    <row r="1065">
      <c r="A1065" s="5" t="inlineStr">
        <is>
          <t>Nordex Employees</t>
        </is>
      </c>
      <c r="B1065" s="5" t="inlineStr">
        <is>
          <t>DIEGO LEON DA SILVA BARACHO</t>
        </is>
      </c>
      <c r="C1065" s="5" t="inlineStr">
        <is>
          <t>EM000440</t>
        </is>
      </c>
      <c r="D1065" s="5" t="inlineStr">
        <is>
          <t>EM000440</t>
        </is>
      </c>
    </row>
    <row r="1066">
      <c r="A1066" s="5" t="inlineStr">
        <is>
          <t>Nordex Employees</t>
        </is>
      </c>
      <c r="B1066" s="5" t="inlineStr">
        <is>
          <t>WAGNER STHALONE SILVA DE MEDEIROS</t>
        </is>
      </c>
      <c r="C1066" s="5" t="inlineStr">
        <is>
          <t>EM000443</t>
        </is>
      </c>
      <c r="D1066" s="5" t="inlineStr">
        <is>
          <t>EM000443</t>
        </is>
      </c>
    </row>
    <row r="1067">
      <c r="A1067" s="5" t="inlineStr">
        <is>
          <t>Nordex Employees</t>
        </is>
      </c>
      <c r="B1067" s="5" t="inlineStr">
        <is>
          <t>ALEX DA SILVA CONCEIÇÃO</t>
        </is>
      </c>
      <c r="C1067" s="5" t="inlineStr">
        <is>
          <t>EM000451</t>
        </is>
      </c>
      <c r="D1067" s="5" t="inlineStr">
        <is>
          <t>EM000451</t>
        </is>
      </c>
    </row>
    <row r="1068">
      <c r="A1068" s="5" t="inlineStr">
        <is>
          <t>Nordex Employees</t>
        </is>
      </c>
      <c r="B1068" s="5" t="inlineStr"/>
      <c r="C1068" s="5" t="inlineStr">
        <is>
          <t>EM000452</t>
        </is>
      </c>
      <c r="D1068" s="5" t="inlineStr">
        <is>
          <t>EM000452</t>
        </is>
      </c>
    </row>
    <row r="1069">
      <c r="A1069" s="5" t="inlineStr">
        <is>
          <t>Nordex Employees</t>
        </is>
      </c>
      <c r="B1069" s="5" t="inlineStr">
        <is>
          <t>CARLOS CESAR FONSECA MACHADO</t>
        </is>
      </c>
      <c r="C1069" s="5" t="inlineStr">
        <is>
          <t>EM000458</t>
        </is>
      </c>
      <c r="D1069" s="5" t="inlineStr">
        <is>
          <t>EM000458</t>
        </is>
      </c>
    </row>
    <row r="1070">
      <c r="A1070" s="5" t="inlineStr">
        <is>
          <t>Nordex Employees</t>
        </is>
      </c>
      <c r="B1070" s="5" t="inlineStr"/>
      <c r="C1070" s="5" t="inlineStr">
        <is>
          <t>EM000459</t>
        </is>
      </c>
      <c r="D1070" s="5" t="inlineStr">
        <is>
          <t>EM000459</t>
        </is>
      </c>
    </row>
    <row r="1071">
      <c r="A1071" s="5" t="inlineStr">
        <is>
          <t>Nordex Employees</t>
        </is>
      </c>
      <c r="B1071" s="5" t="inlineStr">
        <is>
          <t>EVELANGE PEREIRA DE OLIVEIRA</t>
        </is>
      </c>
      <c r="C1071" s="5" t="inlineStr">
        <is>
          <t>EM000464</t>
        </is>
      </c>
      <c r="D1071" s="5" t="inlineStr">
        <is>
          <t>EM000464</t>
        </is>
      </c>
    </row>
    <row r="1072">
      <c r="A1072" s="5" t="inlineStr">
        <is>
          <t>Nordex Employees</t>
        </is>
      </c>
      <c r="B1072" s="5" t="inlineStr">
        <is>
          <t>LUCAS EMANUEL ALVES DE SOUSA</t>
        </is>
      </c>
      <c r="C1072" s="5" t="inlineStr">
        <is>
          <t>EM000468</t>
        </is>
      </c>
      <c r="D1072" s="5" t="inlineStr">
        <is>
          <t>EM000468</t>
        </is>
      </c>
    </row>
    <row r="1073">
      <c r="A1073" s="5" t="inlineStr">
        <is>
          <t>Nordex Employees</t>
        </is>
      </c>
      <c r="B1073" s="5" t="inlineStr"/>
      <c r="C1073" s="5" t="inlineStr">
        <is>
          <t>EM000469</t>
        </is>
      </c>
      <c r="D1073" s="5" t="inlineStr">
        <is>
          <t>EM000469</t>
        </is>
      </c>
    </row>
    <row r="1074">
      <c r="A1074" s="5" t="inlineStr">
        <is>
          <t>Nordex Employees</t>
        </is>
      </c>
      <c r="B1074" s="5" t="inlineStr">
        <is>
          <t>GUILHERME ROSSONI DOS SANTOS</t>
        </is>
      </c>
      <c r="C1074" s="5" t="inlineStr">
        <is>
          <t>EM000470</t>
        </is>
      </c>
      <c r="D1074" s="5" t="inlineStr">
        <is>
          <t>EM000470</t>
        </is>
      </c>
    </row>
    <row r="1075">
      <c r="A1075" s="5" t="inlineStr">
        <is>
          <t>Nordex Employees</t>
        </is>
      </c>
      <c r="B1075" s="5" t="inlineStr"/>
      <c r="C1075" s="5" t="inlineStr">
        <is>
          <t>EM000471</t>
        </is>
      </c>
      <c r="D1075" s="5" t="inlineStr">
        <is>
          <t>EM000471</t>
        </is>
      </c>
    </row>
    <row r="1076">
      <c r="A1076" s="5" t="inlineStr">
        <is>
          <t>Nordex Employees</t>
        </is>
      </c>
      <c r="B1076" s="5" t="inlineStr">
        <is>
          <t>LEANDRO DE OLIVEIRA</t>
        </is>
      </c>
      <c r="C1076" s="5" t="inlineStr">
        <is>
          <t>EM000472</t>
        </is>
      </c>
      <c r="D1076" s="5" t="inlineStr">
        <is>
          <t>EM000472</t>
        </is>
      </c>
    </row>
    <row r="1077">
      <c r="A1077" s="5" t="inlineStr">
        <is>
          <t>Nordex Employees</t>
        </is>
      </c>
      <c r="B1077" s="5" t="inlineStr">
        <is>
          <t>FRANCISCO EGON ROQUE DE SOUSA</t>
        </is>
      </c>
      <c r="C1077" s="5" t="inlineStr">
        <is>
          <t>EM000482</t>
        </is>
      </c>
      <c r="D1077" s="5" t="inlineStr">
        <is>
          <t>EM000482</t>
        </is>
      </c>
    </row>
    <row r="1078">
      <c r="A1078" s="5" t="inlineStr">
        <is>
          <t>Nordex Employees</t>
        </is>
      </c>
      <c r="B1078" s="5" t="inlineStr">
        <is>
          <t>ANDRE LIRA SILVA DA COSTA</t>
        </is>
      </c>
      <c r="C1078" s="5" t="inlineStr">
        <is>
          <t>EM000488</t>
        </is>
      </c>
      <c r="D1078" s="5" t="inlineStr">
        <is>
          <t>EM000488</t>
        </is>
      </c>
    </row>
    <row r="1079">
      <c r="A1079" s="5" t="inlineStr">
        <is>
          <t>Nordex Employees</t>
        </is>
      </c>
      <c r="B1079" s="5" t="inlineStr"/>
      <c r="C1079" s="5" t="inlineStr">
        <is>
          <t>EM000489</t>
        </is>
      </c>
      <c r="D1079" s="5" t="inlineStr">
        <is>
          <t>EM000489</t>
        </is>
      </c>
    </row>
    <row r="1080">
      <c r="A1080" s="5" t="inlineStr">
        <is>
          <t>Nordex Employees</t>
        </is>
      </c>
      <c r="B1080" s="5" t="inlineStr">
        <is>
          <t>JOAQUIM INACIO PEREIRA DA SILVA</t>
        </is>
      </c>
      <c r="C1080" s="5" t="inlineStr">
        <is>
          <t>EM000490</t>
        </is>
      </c>
      <c r="D1080" s="5" t="inlineStr">
        <is>
          <t>EM000490</t>
        </is>
      </c>
    </row>
    <row r="1081">
      <c r="A1081" s="5" t="inlineStr">
        <is>
          <t>Nordex Employees</t>
        </is>
      </c>
      <c r="B1081" s="5" t="inlineStr"/>
      <c r="C1081" s="5" t="inlineStr">
        <is>
          <t>EM000495</t>
        </is>
      </c>
      <c r="D1081" s="5" t="inlineStr">
        <is>
          <t>EM000495</t>
        </is>
      </c>
    </row>
    <row r="1082">
      <c r="A1082" s="5" t="inlineStr">
        <is>
          <t>Nordex Employees</t>
        </is>
      </c>
      <c r="B1082" s="5" t="inlineStr">
        <is>
          <t>SILAS PEREIRA SANTOS MERQUIADES</t>
        </is>
      </c>
      <c r="C1082" s="5" t="inlineStr">
        <is>
          <t>EM000497</t>
        </is>
      </c>
      <c r="D1082" s="5" t="inlineStr">
        <is>
          <t>EM000497</t>
        </is>
      </c>
    </row>
    <row r="1083">
      <c r="A1083" s="5" t="inlineStr">
        <is>
          <t>Nordex Employees</t>
        </is>
      </c>
      <c r="B1083" s="5" t="inlineStr">
        <is>
          <t>ALLISON DE OLIVEIRA COSTA</t>
        </is>
      </c>
      <c r="C1083" s="5" t="inlineStr">
        <is>
          <t>EM000511</t>
        </is>
      </c>
      <c r="D1083" s="5" t="inlineStr">
        <is>
          <t>EM000511</t>
        </is>
      </c>
    </row>
    <row r="1084">
      <c r="A1084" s="5" t="inlineStr">
        <is>
          <t>Nordex Employees</t>
        </is>
      </c>
      <c r="B1084" s="5" t="inlineStr">
        <is>
          <t>MARCIO FRANCISCO DA SILVA</t>
        </is>
      </c>
      <c r="C1084" s="5" t="inlineStr">
        <is>
          <t>EM000512</t>
        </is>
      </c>
      <c r="D1084" s="5" t="inlineStr">
        <is>
          <t>EM000512</t>
        </is>
      </c>
    </row>
    <row r="1085">
      <c r="A1085" s="5" t="inlineStr">
        <is>
          <t>Nordex Employees</t>
        </is>
      </c>
      <c r="B1085" s="5" t="inlineStr">
        <is>
          <t>EVERTHON RENEBER PEREIRA DA SILVA</t>
        </is>
      </c>
      <c r="C1085" s="5" t="inlineStr">
        <is>
          <t>EM000515</t>
        </is>
      </c>
      <c r="D1085" s="5" t="inlineStr">
        <is>
          <t>EM000515</t>
        </is>
      </c>
    </row>
    <row r="1086">
      <c r="A1086" s="5" t="inlineStr">
        <is>
          <t>Nordex Employees</t>
        </is>
      </c>
      <c r="B1086" s="5" t="inlineStr">
        <is>
          <t>KLEBER JERONIMO DA SILVA</t>
        </is>
      </c>
      <c r="C1086" s="5" t="inlineStr">
        <is>
          <t>EM000516</t>
        </is>
      </c>
      <c r="D1086" s="5" t="inlineStr">
        <is>
          <t>EM000516</t>
        </is>
      </c>
    </row>
    <row r="1087">
      <c r="A1087" s="5" t="inlineStr">
        <is>
          <t>Nordex Employees</t>
        </is>
      </c>
      <c r="B1087" s="5" t="inlineStr">
        <is>
          <t>RIVALDO FRANCISCO DE SOUZA QUEIROZ</t>
        </is>
      </c>
      <c r="C1087" s="5" t="inlineStr">
        <is>
          <t>EM000518</t>
        </is>
      </c>
      <c r="D1087" s="5" t="inlineStr">
        <is>
          <t>EM000518</t>
        </is>
      </c>
    </row>
    <row r="1088">
      <c r="A1088" s="5" t="inlineStr">
        <is>
          <t>Nordex Employees</t>
        </is>
      </c>
      <c r="B1088" s="5" t="inlineStr"/>
      <c r="C1088" s="5" t="inlineStr">
        <is>
          <t>EM000519</t>
        </is>
      </c>
      <c r="D1088" s="5" t="inlineStr">
        <is>
          <t>EM000519</t>
        </is>
      </c>
    </row>
    <row r="1089">
      <c r="A1089" s="5" t="inlineStr">
        <is>
          <t>Nordex Employees</t>
        </is>
      </c>
      <c r="B1089" s="5" t="inlineStr">
        <is>
          <t>JOSE EDINELE MARTINS</t>
        </is>
      </c>
      <c r="C1089" s="5" t="inlineStr">
        <is>
          <t>EM000521</t>
        </is>
      </c>
      <c r="D1089" s="5" t="inlineStr">
        <is>
          <t>EM000521</t>
        </is>
      </c>
    </row>
    <row r="1090">
      <c r="A1090" s="5" t="inlineStr">
        <is>
          <t>Nordex Employees</t>
        </is>
      </c>
      <c r="B1090" s="5" t="inlineStr"/>
      <c r="C1090" s="5" t="inlineStr">
        <is>
          <t>EM000525</t>
        </is>
      </c>
      <c r="D1090" s="5" t="inlineStr">
        <is>
          <t>EM000525</t>
        </is>
      </c>
    </row>
    <row r="1091">
      <c r="A1091" s="5" t="inlineStr">
        <is>
          <t>Nordex Employees</t>
        </is>
      </c>
      <c r="B1091" s="5" t="inlineStr"/>
      <c r="C1091" s="5" t="inlineStr">
        <is>
          <t>EM000526</t>
        </is>
      </c>
      <c r="D1091" s="5" t="inlineStr">
        <is>
          <t>EM000526</t>
        </is>
      </c>
    </row>
    <row r="1092">
      <c r="A1092" s="5" t="inlineStr">
        <is>
          <t>Nordex Employees</t>
        </is>
      </c>
      <c r="B1092" s="5" t="inlineStr"/>
      <c r="C1092" s="5" t="inlineStr">
        <is>
          <t>EM000528</t>
        </is>
      </c>
      <c r="D1092" s="5" t="inlineStr">
        <is>
          <t>EM000528</t>
        </is>
      </c>
    </row>
    <row r="1093">
      <c r="A1093" s="5" t="inlineStr">
        <is>
          <t>Nordex Employees</t>
        </is>
      </c>
      <c r="B1093" s="5" t="inlineStr"/>
      <c r="C1093" s="5" t="inlineStr">
        <is>
          <t>EM000530</t>
        </is>
      </c>
      <c r="D1093" s="5" t="inlineStr">
        <is>
          <t>EM000530</t>
        </is>
      </c>
    </row>
    <row r="1094">
      <c r="A1094" s="5" t="inlineStr">
        <is>
          <t>Nordex Employees</t>
        </is>
      </c>
      <c r="B1094" s="5" t="inlineStr">
        <is>
          <t>VALDIRENE MESSONES PINTO DA SILVA</t>
        </is>
      </c>
      <c r="C1094" s="5" t="inlineStr">
        <is>
          <t>EM000532</t>
        </is>
      </c>
      <c r="D1094" s="5" t="inlineStr">
        <is>
          <t>EM000532</t>
        </is>
      </c>
    </row>
    <row r="1095">
      <c r="A1095" s="5" t="inlineStr">
        <is>
          <t>Nordex Employees</t>
        </is>
      </c>
      <c r="B1095" s="5" t="inlineStr"/>
      <c r="C1095" s="5" t="inlineStr">
        <is>
          <t>EM000534</t>
        </is>
      </c>
      <c r="D1095" s="5" t="inlineStr">
        <is>
          <t>EM000534</t>
        </is>
      </c>
    </row>
    <row r="1096">
      <c r="A1096" s="5" t="inlineStr">
        <is>
          <t>Nordex Employees</t>
        </is>
      </c>
      <c r="B1096" s="5" t="inlineStr"/>
      <c r="C1096" s="5" t="inlineStr">
        <is>
          <t>EM000537</t>
        </is>
      </c>
      <c r="D1096" s="5" t="inlineStr">
        <is>
          <t>EM000537</t>
        </is>
      </c>
    </row>
    <row r="1097">
      <c r="A1097" s="5" t="inlineStr">
        <is>
          <t>Nordex Employees</t>
        </is>
      </c>
      <c r="B1097" s="5" t="inlineStr"/>
      <c r="C1097" s="5" t="inlineStr">
        <is>
          <t>EM000541</t>
        </is>
      </c>
      <c r="D1097" s="5" t="inlineStr">
        <is>
          <t>EM000541</t>
        </is>
      </c>
    </row>
    <row r="1098">
      <c r="A1098" s="5" t="inlineStr">
        <is>
          <t>Nordex Employees</t>
        </is>
      </c>
      <c r="B1098" s="5" t="inlineStr">
        <is>
          <t>AKIM FELTRIM CARDOSO</t>
        </is>
      </c>
      <c r="C1098" s="5" t="inlineStr">
        <is>
          <t>EM000542</t>
        </is>
      </c>
      <c r="D1098" s="5" t="inlineStr">
        <is>
          <t>EM000542</t>
        </is>
      </c>
    </row>
    <row r="1099">
      <c r="A1099" s="5" t="inlineStr">
        <is>
          <t>Nordex Employees</t>
        </is>
      </c>
      <c r="B1099" s="5" t="inlineStr">
        <is>
          <t>JOSE TEIXEIRA DA SILVA NETO</t>
        </is>
      </c>
      <c r="C1099" s="5" t="inlineStr">
        <is>
          <t>EM000544</t>
        </is>
      </c>
      <c r="D1099" s="5" t="inlineStr">
        <is>
          <t>EM000544</t>
        </is>
      </c>
    </row>
    <row r="1100">
      <c r="A1100" s="5" t="inlineStr">
        <is>
          <t>Nordex Employees</t>
        </is>
      </c>
      <c r="B1100" s="5" t="inlineStr">
        <is>
          <t>FELLIPE MATHEUS OLIVEIRA DO NASCIMENTO</t>
        </is>
      </c>
      <c r="C1100" s="5" t="inlineStr">
        <is>
          <t>EM000546</t>
        </is>
      </c>
      <c r="D1100" s="5" t="inlineStr">
        <is>
          <t>EM000546</t>
        </is>
      </c>
    </row>
    <row r="1101">
      <c r="A1101" s="5" t="inlineStr">
        <is>
          <t>Nordex Employees</t>
        </is>
      </c>
      <c r="B1101" s="5" t="inlineStr"/>
      <c r="C1101" s="5" t="inlineStr">
        <is>
          <t>EM000547</t>
        </is>
      </c>
      <c r="D1101" s="5" t="inlineStr">
        <is>
          <t>EM000547</t>
        </is>
      </c>
    </row>
    <row r="1102">
      <c r="A1102" s="5" t="inlineStr">
        <is>
          <t>Nordex Employees</t>
        </is>
      </c>
      <c r="B1102" s="5" t="inlineStr"/>
      <c r="C1102" s="5" t="inlineStr">
        <is>
          <t>EM000548</t>
        </is>
      </c>
      <c r="D1102" s="5" t="inlineStr">
        <is>
          <t>EM000548</t>
        </is>
      </c>
    </row>
    <row r="1103">
      <c r="A1103" s="5" t="inlineStr">
        <is>
          <t>Nordex Employees</t>
        </is>
      </c>
      <c r="B1103" s="5" t="inlineStr">
        <is>
          <t>ALISSON ALEXANDRE CARVALHO ARAUJO</t>
        </is>
      </c>
      <c r="C1103" s="5" t="inlineStr">
        <is>
          <t>EM000549</t>
        </is>
      </c>
      <c r="D1103" s="5" t="inlineStr">
        <is>
          <t>EM000549</t>
        </is>
      </c>
    </row>
    <row r="1104">
      <c r="A1104" s="5" t="inlineStr">
        <is>
          <t>Nordex Employees</t>
        </is>
      </c>
      <c r="B1104" s="5" t="inlineStr">
        <is>
          <t>CAMILA ROCHA</t>
        </is>
      </c>
      <c r="C1104" s="5" t="inlineStr">
        <is>
          <t>EM000550</t>
        </is>
      </c>
      <c r="D1104" s="5" t="inlineStr">
        <is>
          <t>EM000550</t>
        </is>
      </c>
    </row>
    <row r="1105">
      <c r="A1105" s="5" t="inlineStr">
        <is>
          <t>Nordex Employees</t>
        </is>
      </c>
      <c r="B1105" s="5" t="inlineStr">
        <is>
          <t>JAILSON SILVA PEREIRA</t>
        </is>
      </c>
      <c r="C1105" s="5" t="inlineStr">
        <is>
          <t>EM000553</t>
        </is>
      </c>
      <c r="D1105" s="5" t="inlineStr">
        <is>
          <t>EM000553</t>
        </is>
      </c>
    </row>
    <row r="1106">
      <c r="A1106" s="5" t="inlineStr">
        <is>
          <t>Nordex Employees</t>
        </is>
      </c>
      <c r="B1106" s="5" t="inlineStr">
        <is>
          <t>LUIZ BRAULY RODRIGUES DE AZEVEDO</t>
        </is>
      </c>
      <c r="C1106" s="5" t="inlineStr">
        <is>
          <t>EM000556</t>
        </is>
      </c>
      <c r="D1106" s="5" t="inlineStr">
        <is>
          <t>EM000556</t>
        </is>
      </c>
    </row>
    <row r="1107">
      <c r="A1107" s="5" t="inlineStr">
        <is>
          <t>Nordex Employees</t>
        </is>
      </c>
      <c r="B1107" s="5" t="inlineStr"/>
      <c r="C1107" s="5" t="inlineStr">
        <is>
          <t>EM000557</t>
        </is>
      </c>
      <c r="D1107" s="5" t="inlineStr">
        <is>
          <t>EM000557</t>
        </is>
      </c>
    </row>
    <row r="1108">
      <c r="A1108" s="5" t="inlineStr">
        <is>
          <t>Nordex Employees</t>
        </is>
      </c>
      <c r="B1108" s="5" t="inlineStr">
        <is>
          <t>GEOVANE PASSOS LOPES</t>
        </is>
      </c>
      <c r="C1108" s="5" t="inlineStr">
        <is>
          <t>EM000561</t>
        </is>
      </c>
      <c r="D1108" s="5" t="inlineStr">
        <is>
          <t>EM000561</t>
        </is>
      </c>
    </row>
    <row r="1109">
      <c r="A1109" s="5" t="inlineStr">
        <is>
          <t>Nordex Employees</t>
        </is>
      </c>
      <c r="B1109" s="5" t="inlineStr"/>
      <c r="C1109" s="5" t="inlineStr">
        <is>
          <t>EM000564</t>
        </is>
      </c>
      <c r="D1109" s="5" t="inlineStr">
        <is>
          <t>EM000564</t>
        </is>
      </c>
    </row>
    <row r="1110">
      <c r="A1110" s="5" t="inlineStr">
        <is>
          <t>Nordex Employees</t>
        </is>
      </c>
      <c r="B1110" s="5" t="inlineStr"/>
      <c r="C1110" s="5" t="inlineStr">
        <is>
          <t>EM000578</t>
        </is>
      </c>
      <c r="D1110" s="5" t="inlineStr">
        <is>
          <t>EM000578</t>
        </is>
      </c>
    </row>
    <row r="1111">
      <c r="A1111" s="5" t="inlineStr">
        <is>
          <t>Nordex Employees</t>
        </is>
      </c>
      <c r="B1111" s="5" t="inlineStr">
        <is>
          <t>FRANCILIO FRANCISCO DE ARAUJO</t>
        </is>
      </c>
      <c r="C1111" s="5" t="inlineStr">
        <is>
          <t>EM000582</t>
        </is>
      </c>
      <c r="D1111" s="5" t="inlineStr">
        <is>
          <t>EM000582</t>
        </is>
      </c>
    </row>
    <row r="1112">
      <c r="A1112" s="5" t="inlineStr">
        <is>
          <t>Nordex Employees</t>
        </is>
      </c>
      <c r="B1112" s="5" t="inlineStr">
        <is>
          <t>CLEITON MARINHO COELHO</t>
        </is>
      </c>
      <c r="C1112" s="5" t="inlineStr">
        <is>
          <t>EM000583</t>
        </is>
      </c>
      <c r="D1112" s="5" t="inlineStr">
        <is>
          <t>EM000583</t>
        </is>
      </c>
    </row>
    <row r="1113">
      <c r="A1113" s="5" t="inlineStr">
        <is>
          <t>Nordex Employees</t>
        </is>
      </c>
      <c r="B1113" s="5" t="inlineStr">
        <is>
          <t>GLAYSON RICARDO DE QUEIROZ</t>
        </is>
      </c>
      <c r="C1113" s="5" t="inlineStr">
        <is>
          <t>EM000586</t>
        </is>
      </c>
      <c r="D1113" s="5" t="inlineStr">
        <is>
          <t>EM000586</t>
        </is>
      </c>
    </row>
    <row r="1114">
      <c r="A1114" s="5" t="inlineStr">
        <is>
          <t>Nordex Employees</t>
        </is>
      </c>
      <c r="B1114" s="5" t="inlineStr">
        <is>
          <t>SANDERSON SILVA GONCALVES</t>
        </is>
      </c>
      <c r="C1114" s="5" t="inlineStr">
        <is>
          <t>EM000591</t>
        </is>
      </c>
      <c r="D1114" s="5" t="inlineStr">
        <is>
          <t>EM000591</t>
        </is>
      </c>
    </row>
    <row r="1115">
      <c r="A1115" s="5" t="inlineStr">
        <is>
          <t>Nordex Employees</t>
        </is>
      </c>
      <c r="B1115" s="5" t="inlineStr"/>
      <c r="C1115" s="5" t="inlineStr">
        <is>
          <t>EM000592</t>
        </is>
      </c>
      <c r="D1115" s="5" t="inlineStr">
        <is>
          <t>EM000592</t>
        </is>
      </c>
    </row>
    <row r="1116">
      <c r="A1116" s="5" t="inlineStr">
        <is>
          <t>Nordex Employees</t>
        </is>
      </c>
      <c r="B1116" s="5" t="inlineStr">
        <is>
          <t>PEDRO JUNIOR DA SILVA ARAUJO</t>
        </is>
      </c>
      <c r="C1116" s="5" t="inlineStr">
        <is>
          <t>EM000593</t>
        </is>
      </c>
      <c r="D1116" s="5" t="inlineStr">
        <is>
          <t>EM000593</t>
        </is>
      </c>
    </row>
    <row r="1117">
      <c r="A1117" s="5" t="inlineStr">
        <is>
          <t>Nordex Employees</t>
        </is>
      </c>
      <c r="B1117" s="5" t="inlineStr">
        <is>
          <t>WELLINGTON LOPES DOS SANTOS</t>
        </is>
      </c>
      <c r="C1117" s="5" t="inlineStr">
        <is>
          <t>EM000594</t>
        </is>
      </c>
      <c r="D1117" s="5" t="inlineStr">
        <is>
          <t>EM000594</t>
        </is>
      </c>
    </row>
    <row r="1118">
      <c r="A1118" s="5" t="inlineStr">
        <is>
          <t>Nordex Employees</t>
        </is>
      </c>
      <c r="B1118" s="5" t="inlineStr"/>
      <c r="C1118" s="5" t="inlineStr">
        <is>
          <t>EM000605</t>
        </is>
      </c>
      <c r="D1118" s="5" t="inlineStr">
        <is>
          <t>EM000605</t>
        </is>
      </c>
    </row>
    <row r="1119">
      <c r="A1119" s="5" t="inlineStr">
        <is>
          <t>Nordex Employees</t>
        </is>
      </c>
      <c r="B1119" s="5" t="inlineStr">
        <is>
          <t>MARLON LEMOS ARIM</t>
        </is>
      </c>
      <c r="C1119" s="5" t="inlineStr">
        <is>
          <t>EM000607</t>
        </is>
      </c>
      <c r="D1119" s="5" t="inlineStr">
        <is>
          <t>EM000607</t>
        </is>
      </c>
    </row>
    <row r="1120">
      <c r="A1120" s="5" t="inlineStr">
        <is>
          <t>Nordex Employees</t>
        </is>
      </c>
      <c r="B1120" s="5" t="inlineStr">
        <is>
          <t>ERLAN MARQUES DO NASCIMENTO SOUZA</t>
        </is>
      </c>
      <c r="C1120" s="5" t="inlineStr">
        <is>
          <t>EM000608</t>
        </is>
      </c>
      <c r="D1120" s="5" t="inlineStr">
        <is>
          <t>EM000608</t>
        </is>
      </c>
    </row>
    <row r="1121">
      <c r="A1121" s="5" t="inlineStr">
        <is>
          <t>Nordex Employees</t>
        </is>
      </c>
      <c r="B1121" s="5" t="inlineStr">
        <is>
          <t>ROBSON RUBELTON RODIGUES RAMOS JUNIOR</t>
        </is>
      </c>
      <c r="C1121" s="5" t="inlineStr">
        <is>
          <t>EM000609</t>
        </is>
      </c>
      <c r="D1121" s="5" t="inlineStr">
        <is>
          <t>EM000609</t>
        </is>
      </c>
    </row>
    <row r="1122">
      <c r="A1122" s="5" t="inlineStr">
        <is>
          <t>Nordex Employees</t>
        </is>
      </c>
      <c r="B1122" s="5" t="inlineStr">
        <is>
          <t>GLEUSON DE QUEIROZ FERNANDES</t>
        </is>
      </c>
      <c r="C1122" s="5" t="inlineStr">
        <is>
          <t>EM000619</t>
        </is>
      </c>
      <c r="D1122" s="5" t="inlineStr">
        <is>
          <t>EM000619</t>
        </is>
      </c>
    </row>
    <row r="1123">
      <c r="A1123" s="5" t="inlineStr">
        <is>
          <t>Nordex Employees</t>
        </is>
      </c>
      <c r="B1123" s="5" t="inlineStr"/>
      <c r="C1123" s="5" t="inlineStr">
        <is>
          <t>EM000620</t>
        </is>
      </c>
      <c r="D1123" s="5" t="inlineStr">
        <is>
          <t>EM000620</t>
        </is>
      </c>
    </row>
    <row r="1124">
      <c r="A1124" s="5" t="inlineStr">
        <is>
          <t>Nordex Employees</t>
        </is>
      </c>
      <c r="B1124" s="5" t="inlineStr"/>
      <c r="C1124" s="5" t="inlineStr">
        <is>
          <t>EM000621</t>
        </is>
      </c>
      <c r="D1124" s="5" t="inlineStr">
        <is>
          <t>EM000621</t>
        </is>
      </c>
    </row>
    <row r="1125">
      <c r="A1125" s="5" t="inlineStr">
        <is>
          <t>Nordex Employees</t>
        </is>
      </c>
      <c r="B1125" s="5" t="inlineStr"/>
      <c r="C1125" s="5" t="inlineStr">
        <is>
          <t>EM000622</t>
        </is>
      </c>
      <c r="D1125" s="5" t="inlineStr">
        <is>
          <t>EM000622</t>
        </is>
      </c>
    </row>
    <row r="1126">
      <c r="A1126" s="5" t="inlineStr">
        <is>
          <t>Nordex Employees</t>
        </is>
      </c>
      <c r="B1126" s="5" t="inlineStr"/>
      <c r="C1126" s="5" t="inlineStr">
        <is>
          <t>EM000625</t>
        </is>
      </c>
      <c r="D1126" s="5" t="inlineStr">
        <is>
          <t>EM000625</t>
        </is>
      </c>
    </row>
    <row r="1127">
      <c r="A1127" s="5" t="inlineStr">
        <is>
          <t>Nordex Employees</t>
        </is>
      </c>
      <c r="B1127" s="5" t="inlineStr"/>
      <c r="C1127" s="5" t="inlineStr">
        <is>
          <t>EM000627</t>
        </is>
      </c>
      <c r="D1127" s="5" t="inlineStr">
        <is>
          <t>EM000627</t>
        </is>
      </c>
    </row>
    <row r="1128">
      <c r="A1128" s="5" t="inlineStr">
        <is>
          <t>Nordex Employees</t>
        </is>
      </c>
      <c r="B1128" s="5" t="inlineStr">
        <is>
          <t>ROGERIO PEREIRA PASSOS</t>
        </is>
      </c>
      <c r="C1128" s="5" t="inlineStr">
        <is>
          <t>EM000633</t>
        </is>
      </c>
      <c r="D1128" s="5" t="inlineStr">
        <is>
          <t>EM000633</t>
        </is>
      </c>
    </row>
    <row r="1129">
      <c r="A1129" s="5" t="inlineStr">
        <is>
          <t>Nordex Employees</t>
        </is>
      </c>
      <c r="B1129" s="5" t="inlineStr">
        <is>
          <t>MARLON MICHEL MACHADO RIBEIRO</t>
        </is>
      </c>
      <c r="C1129" s="5" t="inlineStr">
        <is>
          <t>EM000635</t>
        </is>
      </c>
      <c r="D1129" s="5" t="inlineStr">
        <is>
          <t>EM000635</t>
        </is>
      </c>
    </row>
    <row r="1130">
      <c r="A1130" s="5" t="inlineStr">
        <is>
          <t>Nordex Employees</t>
        </is>
      </c>
      <c r="B1130" s="5" t="inlineStr">
        <is>
          <t>JAILDSON FERNANDES DE LIMA SOUSA</t>
        </is>
      </c>
      <c r="C1130" s="5" t="inlineStr">
        <is>
          <t>EM000641</t>
        </is>
      </c>
      <c r="D1130" s="5" t="inlineStr">
        <is>
          <t>EM000641</t>
        </is>
      </c>
    </row>
    <row r="1131">
      <c r="A1131" s="5" t="inlineStr">
        <is>
          <t>Nordex Employees</t>
        </is>
      </c>
      <c r="B1131" s="5" t="inlineStr"/>
      <c r="C1131" s="5" t="inlineStr">
        <is>
          <t>EM000642</t>
        </is>
      </c>
      <c r="D1131" s="5" t="inlineStr">
        <is>
          <t>EM000642</t>
        </is>
      </c>
    </row>
    <row r="1132">
      <c r="A1132" s="5" t="inlineStr">
        <is>
          <t>Nordex Employees</t>
        </is>
      </c>
      <c r="B1132" s="5" t="inlineStr">
        <is>
          <t>JULIA SERAPHIM DE CASTRO</t>
        </is>
      </c>
      <c r="C1132" s="5" t="inlineStr">
        <is>
          <t>EM000648</t>
        </is>
      </c>
      <c r="D1132" s="5" t="inlineStr">
        <is>
          <t>EM000648</t>
        </is>
      </c>
    </row>
    <row r="1133">
      <c r="A1133" s="5" t="inlineStr">
        <is>
          <t>Nordex Employees</t>
        </is>
      </c>
      <c r="B1133" s="5" t="inlineStr"/>
      <c r="C1133" s="5" t="inlineStr">
        <is>
          <t>EM000650</t>
        </is>
      </c>
      <c r="D1133" s="5" t="inlineStr">
        <is>
          <t>EM000650</t>
        </is>
      </c>
    </row>
    <row r="1134">
      <c r="A1134" s="5" t="inlineStr">
        <is>
          <t>Nordex Employees</t>
        </is>
      </c>
      <c r="B1134" s="5" t="inlineStr">
        <is>
          <t>LUCAS TURCI</t>
        </is>
      </c>
      <c r="C1134" s="5" t="inlineStr">
        <is>
          <t>EM000652</t>
        </is>
      </c>
      <c r="D1134" s="5" t="inlineStr">
        <is>
          <t>EM000652</t>
        </is>
      </c>
    </row>
    <row r="1135">
      <c r="A1135" s="5" t="inlineStr">
        <is>
          <t>Nordex Employees</t>
        </is>
      </c>
      <c r="B1135" s="5" t="inlineStr">
        <is>
          <t>FRANCISCO THOMAZ AMIRATI UCHOA</t>
        </is>
      </c>
      <c r="C1135" s="5" t="inlineStr">
        <is>
          <t>EM000654</t>
        </is>
      </c>
      <c r="D1135" s="5" t="inlineStr">
        <is>
          <t>EM000654</t>
        </is>
      </c>
    </row>
    <row r="1136">
      <c r="A1136" s="5" t="inlineStr">
        <is>
          <t>Nordex Employees</t>
        </is>
      </c>
      <c r="B1136" s="5" t="inlineStr"/>
      <c r="C1136" s="5" t="inlineStr">
        <is>
          <t>EM000658</t>
        </is>
      </c>
      <c r="D1136" s="5" t="inlineStr">
        <is>
          <t>EM000658</t>
        </is>
      </c>
    </row>
    <row r="1137">
      <c r="A1137" s="5" t="inlineStr">
        <is>
          <t>Nordex Employees</t>
        </is>
      </c>
      <c r="B1137" s="5" t="inlineStr"/>
      <c r="C1137" s="5" t="inlineStr">
        <is>
          <t>EM000659</t>
        </is>
      </c>
      <c r="D1137" s="5" t="inlineStr">
        <is>
          <t>EM000659</t>
        </is>
      </c>
    </row>
    <row r="1138">
      <c r="A1138" s="5" t="inlineStr">
        <is>
          <t>Nordex Employees</t>
        </is>
      </c>
      <c r="B1138" s="5" t="inlineStr"/>
      <c r="C1138" s="5" t="inlineStr">
        <is>
          <t>EM000661</t>
        </is>
      </c>
      <c r="D1138" s="5" t="inlineStr">
        <is>
          <t>EM000661</t>
        </is>
      </c>
    </row>
    <row r="1139">
      <c r="A1139" s="5" t="inlineStr">
        <is>
          <t>Nordex Employees</t>
        </is>
      </c>
      <c r="B1139" s="5" t="inlineStr"/>
      <c r="C1139" s="5" t="inlineStr">
        <is>
          <t>EM000662</t>
        </is>
      </c>
      <c r="D1139" s="5" t="inlineStr">
        <is>
          <t>EM000662</t>
        </is>
      </c>
    </row>
    <row r="1140">
      <c r="A1140" s="5" t="inlineStr">
        <is>
          <t>Nordex Employees</t>
        </is>
      </c>
      <c r="B1140" s="5" t="inlineStr">
        <is>
          <t>MARCELO DA COSTA BRAS</t>
        </is>
      </c>
      <c r="C1140" s="5" t="inlineStr">
        <is>
          <t>EM000663</t>
        </is>
      </c>
      <c r="D1140" s="5" t="inlineStr">
        <is>
          <t>EM000663</t>
        </is>
      </c>
    </row>
    <row r="1141">
      <c r="A1141" s="5" t="inlineStr">
        <is>
          <t>Nordex Employees</t>
        </is>
      </c>
      <c r="B1141" s="5" t="inlineStr">
        <is>
          <t>FAGNER OLIVEIRA DA SILVA</t>
        </is>
      </c>
      <c r="C1141" s="5" t="inlineStr">
        <is>
          <t>EM000666</t>
        </is>
      </c>
      <c r="D1141" s="5" t="inlineStr">
        <is>
          <t>EM000666</t>
        </is>
      </c>
    </row>
    <row r="1142">
      <c r="A1142" s="5" t="inlineStr">
        <is>
          <t>Nordex Employees</t>
        </is>
      </c>
      <c r="B1142" s="5" t="inlineStr"/>
      <c r="C1142" s="5" t="inlineStr">
        <is>
          <t>EM000669</t>
        </is>
      </c>
      <c r="D1142" s="5" t="inlineStr">
        <is>
          <t>EM000669</t>
        </is>
      </c>
    </row>
    <row r="1143">
      <c r="A1143" s="5" t="inlineStr">
        <is>
          <t>Nordex Employees</t>
        </is>
      </c>
      <c r="B1143" s="5" t="inlineStr">
        <is>
          <t>JULIANO DE PAULA NEVES NASCIMENTO</t>
        </is>
      </c>
      <c r="C1143" s="5" t="inlineStr">
        <is>
          <t>EM000670</t>
        </is>
      </c>
      <c r="D1143" s="5" t="inlineStr">
        <is>
          <t>EM000670</t>
        </is>
      </c>
    </row>
    <row r="1144">
      <c r="A1144" s="5" t="inlineStr">
        <is>
          <t>Nordex Employees</t>
        </is>
      </c>
      <c r="B1144" s="5" t="inlineStr">
        <is>
          <t>PAULO HENRIQUE DA CRUZ BOTELHO</t>
        </is>
      </c>
      <c r="C1144" s="5" t="inlineStr">
        <is>
          <t>EM000674</t>
        </is>
      </c>
      <c r="D1144" s="5" t="inlineStr">
        <is>
          <t>EM000674</t>
        </is>
      </c>
    </row>
    <row r="1145">
      <c r="A1145" s="5" t="inlineStr">
        <is>
          <t>Nordex Employees</t>
        </is>
      </c>
      <c r="B1145" s="5" t="inlineStr"/>
      <c r="C1145" s="5" t="inlineStr">
        <is>
          <t>EM000677</t>
        </is>
      </c>
      <c r="D1145" s="5" t="inlineStr">
        <is>
          <t>EM000677</t>
        </is>
      </c>
    </row>
    <row r="1146">
      <c r="A1146" s="5" t="inlineStr">
        <is>
          <t>Nordex Employees</t>
        </is>
      </c>
      <c r="B1146" s="5" t="inlineStr"/>
      <c r="C1146" s="5" t="inlineStr">
        <is>
          <t>EM000679</t>
        </is>
      </c>
      <c r="D1146" s="5" t="inlineStr">
        <is>
          <t>EM000679</t>
        </is>
      </c>
    </row>
    <row r="1147">
      <c r="A1147" s="5" t="inlineStr">
        <is>
          <t>Nordex Employees</t>
        </is>
      </c>
      <c r="B1147" s="5" t="inlineStr">
        <is>
          <t>RAUL GONCALVES RODRIGUES</t>
        </is>
      </c>
      <c r="C1147" s="5" t="inlineStr">
        <is>
          <t>EM000682</t>
        </is>
      </c>
      <c r="D1147" s="5" t="inlineStr">
        <is>
          <t>EM000682</t>
        </is>
      </c>
    </row>
    <row r="1148">
      <c r="A1148" s="5" t="inlineStr">
        <is>
          <t>Nordex Employees</t>
        </is>
      </c>
      <c r="B1148" s="5" t="inlineStr"/>
      <c r="C1148" s="5" t="inlineStr">
        <is>
          <t>EM000684</t>
        </is>
      </c>
      <c r="D1148" s="5" t="inlineStr">
        <is>
          <t>EM000684</t>
        </is>
      </c>
    </row>
    <row r="1149">
      <c r="A1149" s="5" t="inlineStr">
        <is>
          <t>Nordex Employees</t>
        </is>
      </c>
      <c r="B1149" s="5" t="inlineStr"/>
      <c r="C1149" s="5" t="inlineStr">
        <is>
          <t>EM000696</t>
        </is>
      </c>
      <c r="D1149" s="5" t="inlineStr">
        <is>
          <t>EM000696</t>
        </is>
      </c>
    </row>
    <row r="1150">
      <c r="A1150" s="5" t="inlineStr">
        <is>
          <t>Nordex Employees</t>
        </is>
      </c>
      <c r="B1150" s="5" t="inlineStr"/>
      <c r="C1150" s="5" t="inlineStr">
        <is>
          <t>EM000699</t>
        </is>
      </c>
      <c r="D1150" s="5" t="inlineStr">
        <is>
          <t>EM000699</t>
        </is>
      </c>
    </row>
    <row r="1151">
      <c r="A1151" s="5" t="inlineStr">
        <is>
          <t>Nordex Employees</t>
        </is>
      </c>
      <c r="B1151" s="5" t="inlineStr">
        <is>
          <t>EDGARD ALEXANDRE DE ANDRADE VARELA</t>
        </is>
      </c>
      <c r="C1151" s="5" t="inlineStr">
        <is>
          <t>EM000702</t>
        </is>
      </c>
      <c r="D1151" s="5" t="inlineStr">
        <is>
          <t>EM000702</t>
        </is>
      </c>
    </row>
    <row r="1152">
      <c r="A1152" s="5" t="inlineStr">
        <is>
          <t>Nordex Employees</t>
        </is>
      </c>
      <c r="B1152" s="5" t="inlineStr"/>
      <c r="C1152" s="5" t="inlineStr">
        <is>
          <t>EM000703</t>
        </is>
      </c>
      <c r="D1152" s="5" t="inlineStr">
        <is>
          <t>EM000703</t>
        </is>
      </c>
    </row>
    <row r="1153">
      <c r="A1153" s="5" t="inlineStr">
        <is>
          <t>Nordex Employees</t>
        </is>
      </c>
      <c r="B1153" s="5" t="inlineStr"/>
      <c r="C1153" s="5" t="inlineStr">
        <is>
          <t>EM000715</t>
        </is>
      </c>
      <c r="D1153" s="5" t="inlineStr">
        <is>
          <t>EM000715</t>
        </is>
      </c>
    </row>
    <row r="1154">
      <c r="A1154" s="5" t="inlineStr">
        <is>
          <t>Nordex Employees</t>
        </is>
      </c>
      <c r="B1154" s="5" t="inlineStr"/>
      <c r="C1154" s="5" t="inlineStr">
        <is>
          <t>EM000719</t>
        </is>
      </c>
      <c r="D1154" s="5" t="inlineStr">
        <is>
          <t>EM000719</t>
        </is>
      </c>
    </row>
    <row r="1155">
      <c r="A1155" s="5" t="inlineStr">
        <is>
          <t>Nordex Employees</t>
        </is>
      </c>
      <c r="B1155" s="5" t="inlineStr"/>
      <c r="C1155" s="5" t="inlineStr">
        <is>
          <t>EM000721</t>
        </is>
      </c>
      <c r="D1155" s="5" t="inlineStr">
        <is>
          <t>EM000721</t>
        </is>
      </c>
    </row>
    <row r="1156">
      <c r="A1156" s="5" t="inlineStr">
        <is>
          <t>Nordex Employees</t>
        </is>
      </c>
      <c r="B1156" s="5" t="inlineStr">
        <is>
          <t>EMMANOEL LELIS EZIAS DOS SANTOS</t>
        </is>
      </c>
      <c r="C1156" s="5" t="inlineStr">
        <is>
          <t>EM000724</t>
        </is>
      </c>
      <c r="D1156" s="5" t="inlineStr">
        <is>
          <t>EM000724</t>
        </is>
      </c>
    </row>
    <row r="1157">
      <c r="A1157" s="5" t="inlineStr">
        <is>
          <t>Nordex Employees</t>
        </is>
      </c>
      <c r="B1157" s="5" t="inlineStr"/>
      <c r="C1157" s="5" t="inlineStr">
        <is>
          <t>EM000730</t>
        </is>
      </c>
      <c r="D1157" s="5" t="inlineStr">
        <is>
          <t>EM000730</t>
        </is>
      </c>
    </row>
    <row r="1158">
      <c r="A1158" s="5" t="inlineStr">
        <is>
          <t>Nordex Employees</t>
        </is>
      </c>
      <c r="B1158" s="5" t="inlineStr"/>
      <c r="C1158" s="5" t="inlineStr">
        <is>
          <t>EM000733</t>
        </is>
      </c>
      <c r="D1158" s="5" t="inlineStr">
        <is>
          <t>EM000733</t>
        </is>
      </c>
    </row>
    <row r="1159">
      <c r="A1159" s="5" t="inlineStr">
        <is>
          <t>Nordex Employees</t>
        </is>
      </c>
      <c r="B1159" s="5" t="inlineStr"/>
      <c r="C1159" s="5" t="inlineStr">
        <is>
          <t>EM000740</t>
        </is>
      </c>
      <c r="D1159" s="5" t="inlineStr">
        <is>
          <t>EM000740</t>
        </is>
      </c>
    </row>
    <row r="1160">
      <c r="A1160" s="5" t="inlineStr">
        <is>
          <t>Nordex Employees</t>
        </is>
      </c>
      <c r="B1160" s="5" t="inlineStr">
        <is>
          <t>DARLAN FERREIRA FERNANDES</t>
        </is>
      </c>
      <c r="C1160" s="5" t="inlineStr">
        <is>
          <t>EM000744</t>
        </is>
      </c>
      <c r="D1160" s="5" t="inlineStr">
        <is>
          <t>EM000744</t>
        </is>
      </c>
    </row>
    <row r="1161">
      <c r="A1161" s="5" t="inlineStr">
        <is>
          <t>Nordex Employees</t>
        </is>
      </c>
      <c r="B1161" s="5" t="inlineStr"/>
      <c r="C1161" s="5" t="inlineStr">
        <is>
          <t>EM000745</t>
        </is>
      </c>
      <c r="D1161" s="5" t="inlineStr">
        <is>
          <t>EM000745</t>
        </is>
      </c>
    </row>
    <row r="1162">
      <c r="A1162" s="5" t="inlineStr">
        <is>
          <t>Nordex Employees</t>
        </is>
      </c>
      <c r="B1162" s="5" t="inlineStr">
        <is>
          <t>FABIO SANTIAGO GOMES</t>
        </is>
      </c>
      <c r="C1162" s="5" t="inlineStr">
        <is>
          <t>EM000746</t>
        </is>
      </c>
      <c r="D1162" s="5" t="inlineStr">
        <is>
          <t>EM000746</t>
        </is>
      </c>
    </row>
    <row r="1163">
      <c r="A1163" s="5" t="inlineStr">
        <is>
          <t>Nordex Employees</t>
        </is>
      </c>
      <c r="B1163" s="5" t="inlineStr">
        <is>
          <t>IGOR RAFAEL DA SILVA RAMOS</t>
        </is>
      </c>
      <c r="C1163" s="5" t="inlineStr">
        <is>
          <t>EM000747</t>
        </is>
      </c>
      <c r="D1163" s="5" t="inlineStr">
        <is>
          <t>EM000747</t>
        </is>
      </c>
    </row>
    <row r="1164">
      <c r="A1164" s="5" t="inlineStr">
        <is>
          <t>Nordex Employees</t>
        </is>
      </c>
      <c r="B1164" s="5" t="inlineStr"/>
      <c r="C1164" s="5" t="inlineStr">
        <is>
          <t>EM000750</t>
        </is>
      </c>
      <c r="D1164" s="5" t="inlineStr">
        <is>
          <t>EM000750</t>
        </is>
      </c>
    </row>
    <row r="1165">
      <c r="A1165" s="5" t="inlineStr">
        <is>
          <t>Nordex Employees</t>
        </is>
      </c>
      <c r="B1165" s="5" t="inlineStr">
        <is>
          <t>RANIE DA SILVA FREIRE</t>
        </is>
      </c>
      <c r="C1165" s="5" t="inlineStr">
        <is>
          <t>EM000751</t>
        </is>
      </c>
      <c r="D1165" s="5" t="inlineStr">
        <is>
          <t>EM000751</t>
        </is>
      </c>
    </row>
    <row r="1166">
      <c r="A1166" s="5" t="inlineStr">
        <is>
          <t>Nordex Employees</t>
        </is>
      </c>
      <c r="B1166" s="5" t="inlineStr"/>
      <c r="C1166" s="5" t="inlineStr">
        <is>
          <t>EM000752</t>
        </is>
      </c>
      <c r="D1166" s="5" t="inlineStr">
        <is>
          <t>EM000752</t>
        </is>
      </c>
    </row>
    <row r="1167">
      <c r="A1167" s="5" t="inlineStr">
        <is>
          <t>Nordex Employees</t>
        </is>
      </c>
      <c r="B1167" s="5" t="inlineStr">
        <is>
          <t>Thiago Maxwel da Costa Soares</t>
        </is>
      </c>
      <c r="C1167" s="5" t="inlineStr">
        <is>
          <t>EM000753</t>
        </is>
      </c>
      <c r="D1167" s="5" t="inlineStr">
        <is>
          <t>EM000753</t>
        </is>
      </c>
    </row>
    <row r="1168">
      <c r="A1168" s="5" t="inlineStr">
        <is>
          <t>Nordex Employees</t>
        </is>
      </c>
      <c r="B1168" s="5" t="inlineStr">
        <is>
          <t>Elvio Salvador Junior</t>
        </is>
      </c>
      <c r="C1168" s="5" t="inlineStr">
        <is>
          <t>EM000755</t>
        </is>
      </c>
      <c r="D1168" s="5" t="inlineStr">
        <is>
          <t>EM000755</t>
        </is>
      </c>
    </row>
    <row r="1169">
      <c r="A1169" s="5" t="inlineStr">
        <is>
          <t>Nordex Employees</t>
        </is>
      </c>
      <c r="B1169" s="5" t="inlineStr"/>
      <c r="C1169" s="5" t="inlineStr">
        <is>
          <t>EM000759</t>
        </is>
      </c>
      <c r="D1169" s="5" t="inlineStr">
        <is>
          <t>EM000759</t>
        </is>
      </c>
    </row>
    <row r="1170">
      <c r="A1170" s="5" t="inlineStr">
        <is>
          <t>Nordex Employees</t>
        </is>
      </c>
      <c r="B1170" s="5" t="inlineStr">
        <is>
          <t>YNDIANE CARVALHO DOURADO</t>
        </is>
      </c>
      <c r="C1170" s="5" t="inlineStr">
        <is>
          <t>EM000761</t>
        </is>
      </c>
      <c r="D1170" s="5" t="inlineStr">
        <is>
          <t>EM000761</t>
        </is>
      </c>
    </row>
    <row r="1171">
      <c r="A1171" s="5" t="inlineStr">
        <is>
          <t>Nordex Employees</t>
        </is>
      </c>
      <c r="B1171" s="5" t="inlineStr"/>
      <c r="C1171" s="5" t="inlineStr">
        <is>
          <t>EM000762</t>
        </is>
      </c>
      <c r="D1171" s="5" t="inlineStr">
        <is>
          <t>EM000762</t>
        </is>
      </c>
    </row>
    <row r="1172">
      <c r="A1172" s="5" t="inlineStr">
        <is>
          <t>Nordex Employees</t>
        </is>
      </c>
      <c r="B1172" s="5" t="inlineStr"/>
      <c r="C1172" s="5" t="inlineStr">
        <is>
          <t>EM000764</t>
        </is>
      </c>
      <c r="D1172" s="5" t="inlineStr">
        <is>
          <t>EM000764</t>
        </is>
      </c>
    </row>
    <row r="1173">
      <c r="A1173" s="5" t="inlineStr">
        <is>
          <t>Nordex Employees</t>
        </is>
      </c>
      <c r="B1173" s="5" t="inlineStr"/>
      <c r="C1173" s="5" t="inlineStr">
        <is>
          <t>EM000768</t>
        </is>
      </c>
      <c r="D1173" s="5" t="inlineStr">
        <is>
          <t>EM000768</t>
        </is>
      </c>
    </row>
    <row r="1174">
      <c r="A1174" s="5" t="inlineStr">
        <is>
          <t>Nordex Employees</t>
        </is>
      </c>
      <c r="B1174" s="5" t="inlineStr">
        <is>
          <t>THIAGO MENDES DE MESQUITA</t>
        </is>
      </c>
      <c r="C1174" s="5" t="inlineStr">
        <is>
          <t>EM000770</t>
        </is>
      </c>
      <c r="D1174" s="5" t="inlineStr">
        <is>
          <t>EM000770</t>
        </is>
      </c>
    </row>
    <row r="1175">
      <c r="A1175" s="5" t="inlineStr">
        <is>
          <t>Nordex Employees</t>
        </is>
      </c>
      <c r="B1175" s="5" t="inlineStr"/>
      <c r="C1175" s="5" t="inlineStr">
        <is>
          <t>EM000771</t>
        </is>
      </c>
      <c r="D1175" s="5" t="inlineStr">
        <is>
          <t>EM000771</t>
        </is>
      </c>
    </row>
    <row r="1176">
      <c r="A1176" s="5" t="inlineStr">
        <is>
          <t>Nordex Employees</t>
        </is>
      </c>
      <c r="B1176" s="5" t="inlineStr"/>
      <c r="C1176" s="5" t="inlineStr">
        <is>
          <t>EM000773</t>
        </is>
      </c>
      <c r="D1176" s="5" t="inlineStr">
        <is>
          <t>EM000773</t>
        </is>
      </c>
    </row>
    <row r="1177">
      <c r="A1177" s="5" t="inlineStr">
        <is>
          <t>Nordex Employees</t>
        </is>
      </c>
      <c r="B1177" s="5" t="inlineStr">
        <is>
          <t>DAIANE SILVA TRIGO</t>
        </is>
      </c>
      <c r="C1177" s="5" t="inlineStr">
        <is>
          <t>EM000774</t>
        </is>
      </c>
      <c r="D1177" s="5" t="inlineStr">
        <is>
          <t>EM000774</t>
        </is>
      </c>
    </row>
    <row r="1178">
      <c r="A1178" s="5" t="inlineStr">
        <is>
          <t>Nordex Employees</t>
        </is>
      </c>
      <c r="B1178" s="5" t="inlineStr"/>
      <c r="C1178" s="5" t="inlineStr">
        <is>
          <t>EM000775</t>
        </is>
      </c>
      <c r="D1178" s="5" t="inlineStr">
        <is>
          <t>EM000775</t>
        </is>
      </c>
    </row>
    <row r="1179">
      <c r="A1179" s="5" t="inlineStr">
        <is>
          <t>Nordex Employees</t>
        </is>
      </c>
      <c r="B1179" s="5" t="inlineStr">
        <is>
          <t>Natanael Gonçalves</t>
        </is>
      </c>
      <c r="C1179" s="5" t="inlineStr">
        <is>
          <t>EM000776</t>
        </is>
      </c>
      <c r="D1179" s="5" t="inlineStr">
        <is>
          <t>EM000776</t>
        </is>
      </c>
    </row>
    <row r="1180">
      <c r="A1180" s="5" t="inlineStr">
        <is>
          <t>Nordex Employees</t>
        </is>
      </c>
      <c r="B1180" s="5" t="inlineStr">
        <is>
          <t>LEONARDO CENTOAMORE</t>
        </is>
      </c>
      <c r="C1180" s="5" t="inlineStr">
        <is>
          <t>EM000777</t>
        </is>
      </c>
      <c r="D1180" s="5" t="inlineStr">
        <is>
          <t>EM000777</t>
        </is>
      </c>
    </row>
    <row r="1181">
      <c r="A1181" s="5" t="inlineStr">
        <is>
          <t>Nordex Employees</t>
        </is>
      </c>
      <c r="B1181" s="5" t="inlineStr">
        <is>
          <t>Diego Ribeiro Brito</t>
        </is>
      </c>
      <c r="C1181" s="5" t="inlineStr">
        <is>
          <t>EM000780</t>
        </is>
      </c>
      <c r="D1181" s="5" t="inlineStr">
        <is>
          <t>EM000780</t>
        </is>
      </c>
    </row>
    <row r="1182">
      <c r="A1182" s="5" t="inlineStr">
        <is>
          <t>Nordex Employees</t>
        </is>
      </c>
      <c r="B1182" s="5" t="inlineStr"/>
      <c r="C1182" s="5" t="inlineStr">
        <is>
          <t>EM000781</t>
        </is>
      </c>
      <c r="D1182" s="5" t="inlineStr">
        <is>
          <t>EM000781</t>
        </is>
      </c>
    </row>
    <row r="1183">
      <c r="A1183" s="5" t="inlineStr">
        <is>
          <t>Nordex Employees</t>
        </is>
      </c>
      <c r="B1183" s="5" t="inlineStr"/>
      <c r="C1183" s="5" t="inlineStr">
        <is>
          <t>EM000782</t>
        </is>
      </c>
      <c r="D1183" s="5" t="inlineStr">
        <is>
          <t>EM000782</t>
        </is>
      </c>
    </row>
    <row r="1184">
      <c r="A1184" s="5" t="inlineStr">
        <is>
          <t>Nordex Employees</t>
        </is>
      </c>
      <c r="B1184" s="5" t="inlineStr">
        <is>
          <t>JEYSON DE OLIVEIRA BARROS</t>
        </is>
      </c>
      <c r="C1184" s="5" t="inlineStr">
        <is>
          <t>EM000783</t>
        </is>
      </c>
      <c r="D1184" s="5" t="inlineStr">
        <is>
          <t>EM000783</t>
        </is>
      </c>
    </row>
    <row r="1185">
      <c r="A1185" s="5" t="inlineStr">
        <is>
          <t>Nordex Employees</t>
        </is>
      </c>
      <c r="B1185" s="5" t="inlineStr"/>
      <c r="C1185" s="5" t="inlineStr">
        <is>
          <t>EM000784</t>
        </is>
      </c>
      <c r="D1185" s="5" t="inlineStr">
        <is>
          <t>EM000784</t>
        </is>
      </c>
    </row>
    <row r="1186">
      <c r="A1186" s="5" t="inlineStr">
        <is>
          <t>Nordex Employees</t>
        </is>
      </c>
      <c r="B1186" s="5" t="inlineStr">
        <is>
          <t>LIVIA TOSTES CALVO</t>
        </is>
      </c>
      <c r="C1186" s="5" t="inlineStr">
        <is>
          <t>EM000786</t>
        </is>
      </c>
      <c r="D1186" s="5" t="inlineStr">
        <is>
          <t>EM000786</t>
        </is>
      </c>
    </row>
    <row r="1187">
      <c r="A1187" s="5" t="inlineStr">
        <is>
          <t>Nordex Employees</t>
        </is>
      </c>
      <c r="B1187" s="5" t="inlineStr">
        <is>
          <t>GUILLERMO IGNACIO FALCONIS COSTA</t>
        </is>
      </c>
      <c r="C1187" s="5" t="inlineStr">
        <is>
          <t>EM000787</t>
        </is>
      </c>
      <c r="D1187" s="5" t="inlineStr">
        <is>
          <t>EM000787</t>
        </is>
      </c>
    </row>
    <row r="1188">
      <c r="A1188" s="5" t="inlineStr">
        <is>
          <t>Nordex Employees</t>
        </is>
      </c>
      <c r="B1188" s="5" t="inlineStr"/>
      <c r="C1188" s="5" t="inlineStr">
        <is>
          <t>EM000789</t>
        </is>
      </c>
      <c r="D1188" s="5" t="inlineStr">
        <is>
          <t>EM000789</t>
        </is>
      </c>
    </row>
    <row r="1189">
      <c r="A1189" s="5" t="inlineStr">
        <is>
          <t>Nordex Employees</t>
        </is>
      </c>
      <c r="B1189" s="5" t="inlineStr">
        <is>
          <t>BRUNO INÁCIO LOURENÇO</t>
        </is>
      </c>
      <c r="C1189" s="5" t="inlineStr">
        <is>
          <t>EM000792</t>
        </is>
      </c>
      <c r="D1189" s="5" t="inlineStr">
        <is>
          <t>EM000792</t>
        </is>
      </c>
    </row>
    <row r="1190">
      <c r="A1190" s="5" t="inlineStr">
        <is>
          <t>Nordex Employees</t>
        </is>
      </c>
      <c r="B1190" s="5" t="inlineStr">
        <is>
          <t>Marcio Hoffmann Fernandes</t>
        </is>
      </c>
      <c r="C1190" s="5" t="inlineStr">
        <is>
          <t>EM000793</t>
        </is>
      </c>
      <c r="D1190" s="5" t="inlineStr">
        <is>
          <t>EM000793</t>
        </is>
      </c>
    </row>
    <row r="1191">
      <c r="A1191" s="5" t="inlineStr">
        <is>
          <t>Nordex Employees</t>
        </is>
      </c>
      <c r="B1191" s="5" t="inlineStr">
        <is>
          <t>Gian Walter dos Santos</t>
        </is>
      </c>
      <c r="C1191" s="5" t="inlineStr">
        <is>
          <t>EM000795</t>
        </is>
      </c>
      <c r="D1191" s="5" t="inlineStr">
        <is>
          <t>EM000795</t>
        </is>
      </c>
    </row>
    <row r="1192">
      <c r="A1192" s="5" t="inlineStr">
        <is>
          <t>Nordex Employees</t>
        </is>
      </c>
      <c r="B1192" s="5" t="inlineStr"/>
      <c r="C1192" s="5" t="inlineStr">
        <is>
          <t>EM000796</t>
        </is>
      </c>
      <c r="D1192" s="5" t="inlineStr">
        <is>
          <t>EM000796</t>
        </is>
      </c>
    </row>
    <row r="1193">
      <c r="A1193" s="5" t="inlineStr">
        <is>
          <t>Nordex Employees</t>
        </is>
      </c>
      <c r="B1193" s="5" t="inlineStr">
        <is>
          <t>RICARDO RYOITI YAMAGUCHI</t>
        </is>
      </c>
      <c r="C1193" s="5" t="inlineStr">
        <is>
          <t>EM000812</t>
        </is>
      </c>
      <c r="D1193" s="5" t="inlineStr">
        <is>
          <t>EM000812</t>
        </is>
      </c>
    </row>
    <row r="1194">
      <c r="A1194" s="5" t="inlineStr">
        <is>
          <t>Nordex Employees</t>
        </is>
      </c>
      <c r="B1194" s="5" t="inlineStr"/>
      <c r="C1194" s="5" t="inlineStr">
        <is>
          <t>EM000815</t>
        </is>
      </c>
      <c r="D1194" s="5" t="inlineStr">
        <is>
          <t>EM000815</t>
        </is>
      </c>
    </row>
    <row r="1195">
      <c r="A1195" s="5" t="inlineStr">
        <is>
          <t>Nordex Employees</t>
        </is>
      </c>
      <c r="B1195" s="5" t="inlineStr">
        <is>
          <t>FRANCISCO HELIO CORREIA LIMA</t>
        </is>
      </c>
      <c r="C1195" s="5" t="inlineStr">
        <is>
          <t>EM000816</t>
        </is>
      </c>
      <c r="D1195" s="5" t="inlineStr">
        <is>
          <t>EM000816</t>
        </is>
      </c>
    </row>
    <row r="1196">
      <c r="A1196" s="5" t="inlineStr">
        <is>
          <t>Nordex Employees</t>
        </is>
      </c>
      <c r="B1196" s="5" t="inlineStr">
        <is>
          <t>JOSE RENATO SILVA DE SOUZA</t>
        </is>
      </c>
      <c r="C1196" s="5" t="inlineStr">
        <is>
          <t>EM000820</t>
        </is>
      </c>
      <c r="D1196" s="5" t="inlineStr">
        <is>
          <t>EM000820</t>
        </is>
      </c>
    </row>
    <row r="1197">
      <c r="A1197" s="5" t="inlineStr">
        <is>
          <t>Nordex Employees</t>
        </is>
      </c>
      <c r="B1197" s="5" t="inlineStr">
        <is>
          <t>ADALBERTO COELHO DE SOUSA</t>
        </is>
      </c>
      <c r="C1197" s="5" t="inlineStr">
        <is>
          <t>EM000826</t>
        </is>
      </c>
      <c r="D1197" s="5" t="inlineStr">
        <is>
          <t>EM000826</t>
        </is>
      </c>
    </row>
    <row r="1198">
      <c r="A1198" s="5" t="inlineStr">
        <is>
          <t>Nordex Employees</t>
        </is>
      </c>
      <c r="B1198" s="5" t="inlineStr"/>
      <c r="C1198" s="5" t="inlineStr">
        <is>
          <t>EM000829</t>
        </is>
      </c>
      <c r="D1198" s="5" t="inlineStr">
        <is>
          <t>EM000829</t>
        </is>
      </c>
    </row>
    <row r="1199">
      <c r="A1199" s="5" t="inlineStr">
        <is>
          <t>Nordex Employees</t>
        </is>
      </c>
      <c r="B1199" s="5" t="inlineStr"/>
      <c r="C1199" s="5" t="inlineStr">
        <is>
          <t>EM000835</t>
        </is>
      </c>
      <c r="D1199" s="5" t="inlineStr">
        <is>
          <t>EM000835</t>
        </is>
      </c>
    </row>
    <row r="1200">
      <c r="A1200" s="5" t="inlineStr">
        <is>
          <t>Nordex Employees</t>
        </is>
      </c>
      <c r="B1200" s="5" t="inlineStr"/>
      <c r="C1200" s="5" t="inlineStr">
        <is>
          <t>EM000840</t>
        </is>
      </c>
      <c r="D1200" s="5" t="inlineStr">
        <is>
          <t>EM000840</t>
        </is>
      </c>
    </row>
    <row r="1201">
      <c r="A1201" s="5" t="inlineStr">
        <is>
          <t>Nordex Employees</t>
        </is>
      </c>
      <c r="B1201" s="5" t="inlineStr">
        <is>
          <t>José Leonardo de Sousa Batista</t>
        </is>
      </c>
      <c r="C1201" s="5" t="inlineStr">
        <is>
          <t>EM000841</t>
        </is>
      </c>
      <c r="D1201" s="5" t="inlineStr">
        <is>
          <t>EM000841</t>
        </is>
      </c>
    </row>
    <row r="1202">
      <c r="A1202" s="5" t="inlineStr">
        <is>
          <t>Nordex Employees</t>
        </is>
      </c>
      <c r="B1202" s="5" t="inlineStr"/>
      <c r="C1202" s="5" t="inlineStr">
        <is>
          <t>EM000842</t>
        </is>
      </c>
      <c r="D1202" s="5" t="inlineStr">
        <is>
          <t>EM000842</t>
        </is>
      </c>
    </row>
    <row r="1203">
      <c r="A1203" s="5" t="inlineStr">
        <is>
          <t>Nordex Employees</t>
        </is>
      </c>
      <c r="B1203" s="5" t="inlineStr"/>
      <c r="C1203" s="5" t="inlineStr">
        <is>
          <t>EM000843</t>
        </is>
      </c>
      <c r="D1203" s="5" t="inlineStr">
        <is>
          <t>EM000843</t>
        </is>
      </c>
    </row>
    <row r="1204">
      <c r="A1204" s="5" t="inlineStr">
        <is>
          <t>Nordex Employees</t>
        </is>
      </c>
      <c r="B1204" s="5" t="inlineStr">
        <is>
          <t>HUGO MARQUES DA SILVA</t>
        </is>
      </c>
      <c r="C1204" s="5" t="inlineStr">
        <is>
          <t>EM000846</t>
        </is>
      </c>
      <c r="D1204" s="5" t="inlineStr">
        <is>
          <t>EM000846</t>
        </is>
      </c>
    </row>
    <row r="1205">
      <c r="A1205" s="5" t="inlineStr">
        <is>
          <t>Nordex Employees</t>
        </is>
      </c>
      <c r="B1205" s="5" t="inlineStr">
        <is>
          <t>GEOVANE FERREIRA DOS SANTOS</t>
        </is>
      </c>
      <c r="C1205" s="5" t="inlineStr">
        <is>
          <t>EM000849</t>
        </is>
      </c>
      <c r="D1205" s="5" t="inlineStr">
        <is>
          <t>EM000849</t>
        </is>
      </c>
    </row>
    <row r="1206">
      <c r="A1206" s="5" t="inlineStr">
        <is>
          <t>Nordex Employees</t>
        </is>
      </c>
      <c r="B1206" s="5" t="inlineStr">
        <is>
          <t>FRANCISCO NILO SALES</t>
        </is>
      </c>
      <c r="C1206" s="5" t="inlineStr">
        <is>
          <t>EM000850</t>
        </is>
      </c>
      <c r="D1206" s="5" t="inlineStr">
        <is>
          <t>EM000850</t>
        </is>
      </c>
    </row>
    <row r="1207">
      <c r="A1207" s="5" t="inlineStr">
        <is>
          <t>Nordex Employees</t>
        </is>
      </c>
      <c r="B1207" s="5" t="inlineStr">
        <is>
          <t>SAULLO SILVA JANUARIO</t>
        </is>
      </c>
      <c r="C1207" s="5" t="inlineStr">
        <is>
          <t>EM000851</t>
        </is>
      </c>
      <c r="D1207" s="5" t="inlineStr">
        <is>
          <t>EM000851</t>
        </is>
      </c>
    </row>
    <row r="1208">
      <c r="A1208" s="5" t="inlineStr">
        <is>
          <t>Nordex Employees</t>
        </is>
      </c>
      <c r="B1208" s="5" t="inlineStr"/>
      <c r="C1208" s="5" t="inlineStr">
        <is>
          <t>EM000858</t>
        </is>
      </c>
      <c r="D1208" s="5" t="inlineStr">
        <is>
          <t>EM000858</t>
        </is>
      </c>
    </row>
    <row r="1209">
      <c r="A1209" s="5" t="inlineStr">
        <is>
          <t>Nordex Employees</t>
        </is>
      </c>
      <c r="B1209" s="5" t="inlineStr"/>
      <c r="C1209" s="5" t="inlineStr">
        <is>
          <t>EM000859</t>
        </is>
      </c>
      <c r="D1209" s="5" t="inlineStr">
        <is>
          <t>EM000859</t>
        </is>
      </c>
    </row>
    <row r="1210">
      <c r="A1210" s="5" t="inlineStr">
        <is>
          <t>Nordex Employees</t>
        </is>
      </c>
      <c r="B1210" s="5" t="inlineStr">
        <is>
          <t>JOSE ELIMAR PALHARES JUNIOR</t>
        </is>
      </c>
      <c r="C1210" s="5" t="inlineStr">
        <is>
          <t>EM000861</t>
        </is>
      </c>
      <c r="D1210" s="5" t="inlineStr">
        <is>
          <t>EM000861</t>
        </is>
      </c>
    </row>
    <row r="1211">
      <c r="A1211" s="5" t="inlineStr">
        <is>
          <t>Nordex Employees</t>
        </is>
      </c>
      <c r="B1211" s="5" t="inlineStr">
        <is>
          <t>ANTONIO FREIRE MENDES FILHO</t>
        </is>
      </c>
      <c r="C1211" s="5" t="inlineStr">
        <is>
          <t>EM000862</t>
        </is>
      </c>
      <c r="D1211" s="5" t="inlineStr">
        <is>
          <t>EM000862</t>
        </is>
      </c>
    </row>
    <row r="1212">
      <c r="A1212" s="5" t="inlineStr">
        <is>
          <t>Nordex Employees</t>
        </is>
      </c>
      <c r="B1212" s="5" t="inlineStr">
        <is>
          <t>LEANDRO CLEYTON MAIA DE SOUSA</t>
        </is>
      </c>
      <c r="C1212" s="5" t="inlineStr">
        <is>
          <t>EM000863</t>
        </is>
      </c>
      <c r="D1212" s="5" t="inlineStr">
        <is>
          <t>EM000863</t>
        </is>
      </c>
    </row>
    <row r="1213">
      <c r="A1213" s="5" t="inlineStr">
        <is>
          <t>Nordex Employees</t>
        </is>
      </c>
      <c r="B1213" s="5" t="inlineStr">
        <is>
          <t>FRANCISCO MARCOS DE FREITAS</t>
        </is>
      </c>
      <c r="C1213" s="5" t="inlineStr">
        <is>
          <t>EM000866</t>
        </is>
      </c>
      <c r="D1213" s="5" t="inlineStr">
        <is>
          <t>EM000866</t>
        </is>
      </c>
    </row>
    <row r="1214">
      <c r="A1214" s="5" t="inlineStr">
        <is>
          <t>Nordex Employees</t>
        </is>
      </c>
      <c r="B1214" s="5" t="inlineStr"/>
      <c r="C1214" s="5" t="inlineStr">
        <is>
          <t>EM000867</t>
        </is>
      </c>
      <c r="D1214" s="5" t="inlineStr">
        <is>
          <t>EM000867</t>
        </is>
      </c>
    </row>
    <row r="1215">
      <c r="A1215" s="5" t="inlineStr">
        <is>
          <t>Nordex Employees</t>
        </is>
      </c>
      <c r="B1215" s="5" t="inlineStr">
        <is>
          <t>BERNARDO SÉRGIO MENDONÇA</t>
        </is>
      </c>
      <c r="C1215" s="5" t="inlineStr">
        <is>
          <t>EM000868</t>
        </is>
      </c>
      <c r="D1215" s="5" t="inlineStr">
        <is>
          <t>EM000868</t>
        </is>
      </c>
    </row>
    <row r="1216">
      <c r="A1216" s="5" t="inlineStr">
        <is>
          <t>Nordex Employees</t>
        </is>
      </c>
      <c r="B1216" s="5" t="inlineStr">
        <is>
          <t>Maciel do Nascimento Santos</t>
        </is>
      </c>
      <c r="C1216" s="5" t="inlineStr">
        <is>
          <t>EM000874</t>
        </is>
      </c>
      <c r="D1216" s="5" t="inlineStr">
        <is>
          <t>EM000874</t>
        </is>
      </c>
    </row>
    <row r="1217">
      <c r="A1217" s="5" t="inlineStr">
        <is>
          <t>Nordex Employees</t>
        </is>
      </c>
      <c r="B1217" s="5" t="inlineStr"/>
      <c r="C1217" s="5" t="inlineStr">
        <is>
          <t>EM000875</t>
        </is>
      </c>
      <c r="D1217" s="5" t="inlineStr">
        <is>
          <t>EM000875</t>
        </is>
      </c>
    </row>
    <row r="1218">
      <c r="A1218" s="5" t="inlineStr">
        <is>
          <t>Nordex Employees</t>
        </is>
      </c>
      <c r="B1218" s="5" t="inlineStr">
        <is>
          <t>Juliana Denleschi Fernandes Luis</t>
        </is>
      </c>
      <c r="C1218" s="5" t="inlineStr">
        <is>
          <t>EM000876</t>
        </is>
      </c>
      <c r="D1218" s="5" t="inlineStr">
        <is>
          <t>EM000876</t>
        </is>
      </c>
    </row>
    <row r="1219">
      <c r="A1219" s="5" t="inlineStr">
        <is>
          <t>Nordex Employees</t>
        </is>
      </c>
      <c r="B1219" s="5" t="inlineStr"/>
      <c r="C1219" s="5" t="inlineStr">
        <is>
          <t>EM000878</t>
        </is>
      </c>
      <c r="D1219" s="5" t="inlineStr">
        <is>
          <t>EM000878</t>
        </is>
      </c>
    </row>
    <row r="1220">
      <c r="A1220" s="5" t="inlineStr">
        <is>
          <t>Nordex Employees</t>
        </is>
      </c>
      <c r="B1220" s="5" t="inlineStr">
        <is>
          <t>JOSE LUIS COELHO DE SOUSA</t>
        </is>
      </c>
      <c r="C1220" s="5" t="inlineStr">
        <is>
          <t>EM000879</t>
        </is>
      </c>
      <c r="D1220" s="5" t="inlineStr">
        <is>
          <t>EM000879</t>
        </is>
      </c>
    </row>
    <row r="1221">
      <c r="A1221" s="5" t="inlineStr">
        <is>
          <t>Nordex Employees</t>
        </is>
      </c>
      <c r="B1221" s="5" t="inlineStr"/>
      <c r="C1221" s="5" t="inlineStr">
        <is>
          <t>EM000880</t>
        </is>
      </c>
      <c r="D1221" s="5" t="inlineStr">
        <is>
          <t>EM000880</t>
        </is>
      </c>
    </row>
    <row r="1222">
      <c r="A1222" s="5" t="inlineStr">
        <is>
          <t>Nordex Employees</t>
        </is>
      </c>
      <c r="B1222" s="5" t="inlineStr">
        <is>
          <t>FRANCISCO MARCOS DE SOUSA</t>
        </is>
      </c>
      <c r="C1222" s="5" t="inlineStr">
        <is>
          <t>EM000881</t>
        </is>
      </c>
      <c r="D1222" s="5" t="inlineStr">
        <is>
          <t>EM000881</t>
        </is>
      </c>
    </row>
    <row r="1223">
      <c r="A1223" s="5" t="inlineStr">
        <is>
          <t>Nordex Employees</t>
        </is>
      </c>
      <c r="B1223" s="5" t="inlineStr">
        <is>
          <t>LEANDRO SILVINO DE MOURA</t>
        </is>
      </c>
      <c r="C1223" s="5" t="inlineStr">
        <is>
          <t>EM000882</t>
        </is>
      </c>
      <c r="D1223" s="5" t="inlineStr">
        <is>
          <t>EM000882</t>
        </is>
      </c>
    </row>
    <row r="1224">
      <c r="A1224" s="5" t="inlineStr">
        <is>
          <t>Nordex Employees</t>
        </is>
      </c>
      <c r="B1224" s="5" t="inlineStr">
        <is>
          <t>GLINTON LEONARDO FERNANDES PEREIRA</t>
        </is>
      </c>
      <c r="C1224" s="5" t="inlineStr">
        <is>
          <t>EM000883</t>
        </is>
      </c>
      <c r="D1224" s="5" t="inlineStr">
        <is>
          <t>EM000883</t>
        </is>
      </c>
    </row>
    <row r="1225">
      <c r="A1225" s="5" t="inlineStr">
        <is>
          <t>Nordex Employees</t>
        </is>
      </c>
      <c r="B1225" s="5" t="inlineStr">
        <is>
          <t>WANDERLEY RODRIGUES DO BOMFIM JUNIOR</t>
        </is>
      </c>
      <c r="C1225" s="5" t="inlineStr">
        <is>
          <t>EM000887</t>
        </is>
      </c>
      <c r="D1225" s="5" t="inlineStr">
        <is>
          <t>EM000887</t>
        </is>
      </c>
    </row>
    <row r="1226">
      <c r="A1226" s="5" t="inlineStr">
        <is>
          <t>Nordex Employees</t>
        </is>
      </c>
      <c r="B1226" s="5" t="inlineStr"/>
      <c r="C1226" s="5" t="inlineStr">
        <is>
          <t>EM000888</t>
        </is>
      </c>
      <c r="D1226" s="5" t="inlineStr">
        <is>
          <t>EM000888</t>
        </is>
      </c>
    </row>
    <row r="1227">
      <c r="A1227" s="5" t="inlineStr">
        <is>
          <t>Nordex Employees</t>
        </is>
      </c>
      <c r="B1227" s="5" t="inlineStr">
        <is>
          <t>JOSEILTOM PEREIRA DOS SANTOS</t>
        </is>
      </c>
      <c r="C1227" s="5" t="inlineStr">
        <is>
          <t>EM000889</t>
        </is>
      </c>
      <c r="D1227" s="5" t="inlineStr">
        <is>
          <t>EM000889</t>
        </is>
      </c>
    </row>
    <row r="1228">
      <c r="A1228" s="5" t="inlineStr">
        <is>
          <t>Nordex Employees</t>
        </is>
      </c>
      <c r="B1228" s="5" t="inlineStr">
        <is>
          <t>DENILSON FERNANDES SILVA</t>
        </is>
      </c>
      <c r="C1228" s="5" t="inlineStr">
        <is>
          <t>EM000890</t>
        </is>
      </c>
      <c r="D1228" s="5" t="inlineStr">
        <is>
          <t>EM000890</t>
        </is>
      </c>
    </row>
    <row r="1229">
      <c r="A1229" s="5" t="inlineStr">
        <is>
          <t>Nordex Employees</t>
        </is>
      </c>
      <c r="B1229" s="5" t="inlineStr"/>
      <c r="C1229" s="5" t="inlineStr">
        <is>
          <t>EM000892</t>
        </is>
      </c>
      <c r="D1229" s="5" t="inlineStr">
        <is>
          <t>EM000892</t>
        </is>
      </c>
    </row>
    <row r="1230">
      <c r="A1230" s="5" t="inlineStr">
        <is>
          <t>Nordex Employees</t>
        </is>
      </c>
      <c r="B1230" s="5" t="inlineStr">
        <is>
          <t>IVONALDO FERNANDES DOS SANTOS</t>
        </is>
      </c>
      <c r="C1230" s="5" t="inlineStr">
        <is>
          <t>EM000895</t>
        </is>
      </c>
      <c r="D1230" s="5" t="inlineStr">
        <is>
          <t>EM000895</t>
        </is>
      </c>
    </row>
    <row r="1231">
      <c r="A1231" s="5" t="inlineStr">
        <is>
          <t>Nordex Employees</t>
        </is>
      </c>
      <c r="B1231" s="5" t="inlineStr">
        <is>
          <t>PAULO JOSE DE BRITO</t>
        </is>
      </c>
      <c r="C1231" s="5" t="inlineStr">
        <is>
          <t>EM000900</t>
        </is>
      </c>
      <c r="D1231" s="5" t="inlineStr">
        <is>
          <t>EM000900</t>
        </is>
      </c>
    </row>
    <row r="1232">
      <c r="A1232" s="5" t="inlineStr">
        <is>
          <t>Nordex Employees</t>
        </is>
      </c>
      <c r="B1232" s="5" t="inlineStr">
        <is>
          <t>LEOJAIME DOS SANTOS LIMA</t>
        </is>
      </c>
      <c r="C1232" s="5" t="inlineStr">
        <is>
          <t>EM000901</t>
        </is>
      </c>
      <c r="D1232" s="5" t="inlineStr">
        <is>
          <t>EM000901</t>
        </is>
      </c>
    </row>
    <row r="1233">
      <c r="A1233" s="5" t="inlineStr">
        <is>
          <t>Nordex Employees</t>
        </is>
      </c>
      <c r="B1233" s="5" t="inlineStr"/>
      <c r="C1233" s="5" t="inlineStr">
        <is>
          <t>EM000902</t>
        </is>
      </c>
      <c r="D1233" s="5" t="inlineStr">
        <is>
          <t>EM000902</t>
        </is>
      </c>
    </row>
    <row r="1234">
      <c r="A1234" s="5" t="inlineStr">
        <is>
          <t>Nordex Employees</t>
        </is>
      </c>
      <c r="B1234" s="5" t="inlineStr">
        <is>
          <t>ELANIO MAXIMINIANO OLIVEIRA DA SILVA</t>
        </is>
      </c>
      <c r="C1234" s="5" t="inlineStr">
        <is>
          <t>EM000903</t>
        </is>
      </c>
      <c r="D1234" s="5" t="inlineStr">
        <is>
          <t>EM000903</t>
        </is>
      </c>
    </row>
    <row r="1235">
      <c r="A1235" s="5" t="inlineStr">
        <is>
          <t>Nordex Employees</t>
        </is>
      </c>
      <c r="B1235" s="5" t="inlineStr">
        <is>
          <t>TIAGO DA SILVA SANTANA</t>
        </is>
      </c>
      <c r="C1235" s="5" t="inlineStr">
        <is>
          <t>EM000905</t>
        </is>
      </c>
      <c r="D1235" s="5" t="inlineStr">
        <is>
          <t>EM000905</t>
        </is>
      </c>
    </row>
    <row r="1236">
      <c r="A1236" s="5" t="inlineStr">
        <is>
          <t>Nordex Employees</t>
        </is>
      </c>
      <c r="B1236" s="5" t="inlineStr"/>
      <c r="C1236" s="5" t="inlineStr">
        <is>
          <t>EM000906</t>
        </is>
      </c>
      <c r="D1236" s="5" t="inlineStr">
        <is>
          <t>EM000906</t>
        </is>
      </c>
    </row>
    <row r="1237">
      <c r="A1237" s="5" t="inlineStr">
        <is>
          <t>Nordex Employees</t>
        </is>
      </c>
      <c r="B1237" s="5" t="inlineStr"/>
      <c r="C1237" s="5" t="inlineStr">
        <is>
          <t>EM000909</t>
        </is>
      </c>
      <c r="D1237" s="5" t="inlineStr">
        <is>
          <t>EM000909</t>
        </is>
      </c>
    </row>
    <row r="1238">
      <c r="A1238" s="5" t="inlineStr">
        <is>
          <t>Nordex Employees</t>
        </is>
      </c>
      <c r="B1238" s="5" t="inlineStr"/>
      <c r="C1238" s="5" t="inlineStr">
        <is>
          <t>EM000911</t>
        </is>
      </c>
      <c r="D1238" s="5" t="inlineStr">
        <is>
          <t>EM000911</t>
        </is>
      </c>
    </row>
    <row r="1239">
      <c r="A1239" s="5" t="inlineStr">
        <is>
          <t>Nordex Employees</t>
        </is>
      </c>
      <c r="B1239" s="5" t="inlineStr"/>
      <c r="C1239" s="5" t="inlineStr">
        <is>
          <t>EM000912</t>
        </is>
      </c>
      <c r="D1239" s="5" t="inlineStr">
        <is>
          <t>EM000912</t>
        </is>
      </c>
    </row>
    <row r="1240">
      <c r="A1240" s="5" t="inlineStr">
        <is>
          <t>Nordex Employees</t>
        </is>
      </c>
      <c r="B1240" s="5" t="inlineStr">
        <is>
          <t>JOVERLAND FERNANDES DE SOUSA FILHO</t>
        </is>
      </c>
      <c r="C1240" s="5" t="inlineStr">
        <is>
          <t>EM000913</t>
        </is>
      </c>
      <c r="D1240" s="5" t="inlineStr">
        <is>
          <t>EM000913</t>
        </is>
      </c>
    </row>
    <row r="1241">
      <c r="A1241" s="5" t="inlineStr">
        <is>
          <t>Nordex Employees</t>
        </is>
      </c>
      <c r="B1241" s="5" t="inlineStr"/>
      <c r="C1241" s="5" t="inlineStr">
        <is>
          <t>EM000915</t>
        </is>
      </c>
      <c r="D1241" s="5" t="inlineStr">
        <is>
          <t>EM000915</t>
        </is>
      </c>
    </row>
    <row r="1242">
      <c r="A1242" s="5" t="inlineStr">
        <is>
          <t>Nordex Employees</t>
        </is>
      </c>
      <c r="B1242" s="5" t="inlineStr"/>
      <c r="C1242" s="5" t="inlineStr">
        <is>
          <t>EM000916</t>
        </is>
      </c>
      <c r="D1242" s="5" t="inlineStr">
        <is>
          <t>EM000916</t>
        </is>
      </c>
    </row>
    <row r="1243">
      <c r="A1243" s="5" t="inlineStr">
        <is>
          <t>Nordex Employees</t>
        </is>
      </c>
      <c r="B1243" s="5" t="inlineStr">
        <is>
          <t>LUCAS MEDEIROS DE OLIVEIRA</t>
        </is>
      </c>
      <c r="C1243" s="5" t="inlineStr">
        <is>
          <t>EM000919</t>
        </is>
      </c>
      <c r="D1243" s="5" t="inlineStr">
        <is>
          <t>EM000919</t>
        </is>
      </c>
    </row>
    <row r="1244">
      <c r="A1244" s="5" t="inlineStr">
        <is>
          <t>Nordex Employees</t>
        </is>
      </c>
      <c r="B1244" s="5" t="inlineStr">
        <is>
          <t>PAULO HENRIQUE LAPERA ZORZETO</t>
        </is>
      </c>
      <c r="C1244" s="5" t="inlineStr">
        <is>
          <t>EM000921</t>
        </is>
      </c>
      <c r="D1244" s="5" t="inlineStr">
        <is>
          <t>EM000921</t>
        </is>
      </c>
    </row>
    <row r="1245">
      <c r="A1245" s="5" t="inlineStr">
        <is>
          <t>Nordex Employees</t>
        </is>
      </c>
      <c r="B1245" s="5" t="inlineStr"/>
      <c r="C1245" s="5" t="inlineStr">
        <is>
          <t>EM000923</t>
        </is>
      </c>
      <c r="D1245" s="5" t="inlineStr">
        <is>
          <t>EM000923</t>
        </is>
      </c>
    </row>
    <row r="1246">
      <c r="A1246" s="5" t="inlineStr">
        <is>
          <t>Nordex Employees</t>
        </is>
      </c>
      <c r="B1246" s="5" t="inlineStr"/>
      <c r="C1246" s="5" t="inlineStr">
        <is>
          <t>EM000926</t>
        </is>
      </c>
      <c r="D1246" s="5" t="inlineStr">
        <is>
          <t>EM000926</t>
        </is>
      </c>
    </row>
    <row r="1247">
      <c r="A1247" s="5" t="inlineStr">
        <is>
          <t>Nordex Employees</t>
        </is>
      </c>
      <c r="B1247" s="5" t="inlineStr">
        <is>
          <t>JOSE AELIO NASCIMENTO DA SILVA</t>
        </is>
      </c>
      <c r="C1247" s="5" t="inlineStr">
        <is>
          <t>EM000927</t>
        </is>
      </c>
      <c r="D1247" s="5" t="inlineStr">
        <is>
          <t>EM000927</t>
        </is>
      </c>
    </row>
    <row r="1248">
      <c r="A1248" s="5" t="inlineStr">
        <is>
          <t>Nordex Employees</t>
        </is>
      </c>
      <c r="B1248" s="5" t="inlineStr">
        <is>
          <t>LUCAS VINICIUS ALENCAR RIBEIRO</t>
        </is>
      </c>
      <c r="C1248" s="5" t="inlineStr">
        <is>
          <t>EM000928</t>
        </is>
      </c>
      <c r="D1248" s="5" t="inlineStr">
        <is>
          <t>EM000928</t>
        </is>
      </c>
    </row>
    <row r="1249">
      <c r="A1249" s="5" t="inlineStr">
        <is>
          <t>Nordex Employees</t>
        </is>
      </c>
      <c r="B1249" s="5" t="inlineStr"/>
      <c r="C1249" s="5" t="inlineStr">
        <is>
          <t>EM000934</t>
        </is>
      </c>
      <c r="D1249" s="5" t="inlineStr">
        <is>
          <t>EM000934</t>
        </is>
      </c>
    </row>
    <row r="1250">
      <c r="A1250" s="5" t="inlineStr">
        <is>
          <t>Nordex Employees</t>
        </is>
      </c>
      <c r="B1250" s="5" t="inlineStr"/>
      <c r="C1250" s="5" t="inlineStr">
        <is>
          <t>EM000939</t>
        </is>
      </c>
      <c r="D1250" s="5" t="inlineStr">
        <is>
          <t>EM000939</t>
        </is>
      </c>
    </row>
    <row r="1251">
      <c r="A1251" s="5" t="inlineStr">
        <is>
          <t>Nordex Employees</t>
        </is>
      </c>
      <c r="B1251" s="5" t="inlineStr"/>
      <c r="C1251" s="5" t="inlineStr">
        <is>
          <t>EM000940</t>
        </is>
      </c>
      <c r="D1251" s="5" t="inlineStr">
        <is>
          <t>EM000940</t>
        </is>
      </c>
    </row>
    <row r="1252">
      <c r="A1252" s="5" t="inlineStr">
        <is>
          <t>Nordex Employees</t>
        </is>
      </c>
      <c r="B1252" s="5" t="inlineStr">
        <is>
          <t>CLAUDIONOR PEREIRA BORGES FILHO</t>
        </is>
      </c>
      <c r="C1252" s="5" t="inlineStr">
        <is>
          <t>EM000943</t>
        </is>
      </c>
      <c r="D1252" s="5" t="inlineStr">
        <is>
          <t>EM000943</t>
        </is>
      </c>
    </row>
    <row r="1253">
      <c r="A1253" s="5" t="inlineStr">
        <is>
          <t>Nordex Employees</t>
        </is>
      </c>
      <c r="B1253" s="5" t="inlineStr">
        <is>
          <t>LEANDRO CRUZ VIEIRA</t>
        </is>
      </c>
      <c r="C1253" s="5" t="inlineStr">
        <is>
          <t>EM000949</t>
        </is>
      </c>
      <c r="D1253" s="5" t="inlineStr">
        <is>
          <t>EM000949</t>
        </is>
      </c>
    </row>
    <row r="1254">
      <c r="A1254" s="5" t="inlineStr">
        <is>
          <t>Nordex Employees</t>
        </is>
      </c>
      <c r="B1254" s="5" t="inlineStr"/>
      <c r="C1254" s="5" t="inlineStr">
        <is>
          <t>EM000951</t>
        </is>
      </c>
      <c r="D1254" s="5" t="inlineStr">
        <is>
          <t>EM000951</t>
        </is>
      </c>
    </row>
    <row r="1255">
      <c r="A1255" s="5" t="inlineStr">
        <is>
          <t>Nordex Employees</t>
        </is>
      </c>
      <c r="B1255" s="5" t="inlineStr"/>
      <c r="C1255" s="5" t="inlineStr">
        <is>
          <t>EM000953</t>
        </is>
      </c>
      <c r="D1255" s="5" t="inlineStr">
        <is>
          <t>EM000953</t>
        </is>
      </c>
    </row>
    <row r="1256">
      <c r="A1256" s="5" t="inlineStr">
        <is>
          <t>Nordex Employees</t>
        </is>
      </c>
      <c r="B1256" s="5" t="inlineStr">
        <is>
          <t>JOE MAGNI FREITAS SANTOS</t>
        </is>
      </c>
      <c r="C1256" s="5" t="inlineStr">
        <is>
          <t>EM000955</t>
        </is>
      </c>
      <c r="D1256" s="5" t="inlineStr">
        <is>
          <t>EM000955</t>
        </is>
      </c>
    </row>
    <row r="1257">
      <c r="A1257" s="5" t="inlineStr">
        <is>
          <t>Nordex Employees</t>
        </is>
      </c>
      <c r="B1257" s="5" t="inlineStr"/>
      <c r="C1257" s="5" t="inlineStr">
        <is>
          <t>EM000956</t>
        </is>
      </c>
      <c r="D1257" s="5" t="inlineStr">
        <is>
          <t>EM000956</t>
        </is>
      </c>
    </row>
    <row r="1258">
      <c r="A1258" s="5" t="inlineStr">
        <is>
          <t>Nordex Employees</t>
        </is>
      </c>
      <c r="B1258" s="5" t="inlineStr">
        <is>
          <t>GEOVANE SANTOS GOMES</t>
        </is>
      </c>
      <c r="C1258" s="5" t="inlineStr">
        <is>
          <t>EM000959</t>
        </is>
      </c>
      <c r="D1258" s="5" t="inlineStr">
        <is>
          <t>EM000959</t>
        </is>
      </c>
    </row>
    <row r="1259">
      <c r="A1259" s="5" t="inlineStr">
        <is>
          <t>Nordex Employees</t>
        </is>
      </c>
      <c r="B1259" s="5" t="inlineStr">
        <is>
          <t>ITALO OLIVEIRA FERREIRA</t>
        </is>
      </c>
      <c r="C1259" s="5" t="inlineStr">
        <is>
          <t>EM000960</t>
        </is>
      </c>
      <c r="D1259" s="5" t="inlineStr">
        <is>
          <t>EM000960</t>
        </is>
      </c>
    </row>
    <row r="1260">
      <c r="A1260" s="5" t="inlineStr">
        <is>
          <t>Nordex Employees</t>
        </is>
      </c>
      <c r="B1260" s="5" t="inlineStr"/>
      <c r="C1260" s="5" t="inlineStr">
        <is>
          <t>EM000962</t>
        </is>
      </c>
      <c r="D1260" s="5" t="inlineStr">
        <is>
          <t>EM000962</t>
        </is>
      </c>
    </row>
    <row r="1261">
      <c r="A1261" s="5" t="inlineStr">
        <is>
          <t>Nordex Employees</t>
        </is>
      </c>
      <c r="B1261" s="5" t="inlineStr">
        <is>
          <t>ANA MARIA BOTELHO FONSECA</t>
        </is>
      </c>
      <c r="C1261" s="5" t="inlineStr">
        <is>
          <t>EM000964</t>
        </is>
      </c>
      <c r="D1261" s="5" t="inlineStr">
        <is>
          <t>EM000964</t>
        </is>
      </c>
    </row>
    <row r="1262">
      <c r="A1262" s="5" t="inlineStr">
        <is>
          <t>Nordex Employees</t>
        </is>
      </c>
      <c r="B1262" s="5" t="inlineStr"/>
      <c r="C1262" s="5" t="inlineStr">
        <is>
          <t>EM000965</t>
        </is>
      </c>
      <c r="D1262" s="5" t="inlineStr">
        <is>
          <t>EM000965</t>
        </is>
      </c>
    </row>
    <row r="1263">
      <c r="A1263" s="5" t="inlineStr">
        <is>
          <t>Nordex Employees</t>
        </is>
      </c>
      <c r="B1263" s="5" t="inlineStr"/>
      <c r="C1263" s="5" t="inlineStr">
        <is>
          <t>EM000966</t>
        </is>
      </c>
      <c r="D1263" s="5" t="inlineStr">
        <is>
          <t>EM000966</t>
        </is>
      </c>
    </row>
    <row r="1264">
      <c r="A1264" s="5" t="inlineStr">
        <is>
          <t>Nordex Employees</t>
        </is>
      </c>
      <c r="B1264" s="5" t="inlineStr">
        <is>
          <t>THIAGO RODRIGUES DOS SANTOS COSTA</t>
        </is>
      </c>
      <c r="C1264" s="5" t="inlineStr">
        <is>
          <t>EM000967</t>
        </is>
      </c>
      <c r="D1264" s="5" t="inlineStr">
        <is>
          <t>EM000967</t>
        </is>
      </c>
    </row>
    <row r="1265">
      <c r="A1265" s="5" t="inlineStr">
        <is>
          <t>Nordex Employees</t>
        </is>
      </c>
      <c r="B1265" s="5" t="inlineStr">
        <is>
          <t>THIAGO NOGUEIRA FIGUEREDO</t>
        </is>
      </c>
      <c r="C1265" s="5" t="inlineStr">
        <is>
          <t>EM000968</t>
        </is>
      </c>
      <c r="D1265" s="5" t="inlineStr">
        <is>
          <t>EM000968</t>
        </is>
      </c>
    </row>
    <row r="1266">
      <c r="A1266" s="5" t="inlineStr">
        <is>
          <t>Nordex Employees</t>
        </is>
      </c>
      <c r="B1266" s="5" t="inlineStr">
        <is>
          <t>KEVIN LUCAS DA SILVA</t>
        </is>
      </c>
      <c r="C1266" s="5" t="inlineStr">
        <is>
          <t>EM000969</t>
        </is>
      </c>
      <c r="D1266" s="5" t="inlineStr">
        <is>
          <t>EM000969</t>
        </is>
      </c>
    </row>
    <row r="1267">
      <c r="A1267" s="5" t="inlineStr">
        <is>
          <t>Nordex Employees</t>
        </is>
      </c>
      <c r="B1267" s="5" t="inlineStr">
        <is>
          <t>VIVIANE PEIXOTO GOMES</t>
        </is>
      </c>
      <c r="C1267" s="5" t="inlineStr">
        <is>
          <t>EM000970</t>
        </is>
      </c>
      <c r="D1267" s="5" t="inlineStr">
        <is>
          <t>EM000970</t>
        </is>
      </c>
    </row>
    <row r="1268">
      <c r="A1268" s="5" t="inlineStr">
        <is>
          <t>Nordex Employees</t>
        </is>
      </c>
      <c r="B1268" s="5" t="inlineStr">
        <is>
          <t>LUCAS RODRIGUES DOS SANTOS</t>
        </is>
      </c>
      <c r="C1268" s="5" t="inlineStr">
        <is>
          <t>EM000971</t>
        </is>
      </c>
      <c r="D1268" s="5" t="inlineStr">
        <is>
          <t>EM000971</t>
        </is>
      </c>
    </row>
    <row r="1269">
      <c r="A1269" s="5" t="inlineStr">
        <is>
          <t>Nordex Employees</t>
        </is>
      </c>
      <c r="B1269" s="5" t="inlineStr">
        <is>
          <t>POLLYANNO BRUNO DA COSTA SILVA</t>
        </is>
      </c>
      <c r="C1269" s="5" t="inlineStr">
        <is>
          <t>EM000972</t>
        </is>
      </c>
      <c r="D1269" s="5" t="inlineStr">
        <is>
          <t>EM000972</t>
        </is>
      </c>
    </row>
    <row r="1270">
      <c r="A1270" s="5" t="inlineStr">
        <is>
          <t>Nordex Employees</t>
        </is>
      </c>
      <c r="B1270" s="5" t="inlineStr">
        <is>
          <t>JACKSON LUCAS DA SILVA</t>
        </is>
      </c>
      <c r="C1270" s="5" t="inlineStr">
        <is>
          <t>EM000973</t>
        </is>
      </c>
      <c r="D1270" s="5" t="inlineStr">
        <is>
          <t>EM000973</t>
        </is>
      </c>
    </row>
    <row r="1271">
      <c r="A1271" s="5" t="inlineStr">
        <is>
          <t>Nordex Employees</t>
        </is>
      </c>
      <c r="B1271" s="5" t="inlineStr"/>
      <c r="C1271" s="5" t="inlineStr">
        <is>
          <t>EM000974</t>
        </is>
      </c>
      <c r="D1271" s="5" t="inlineStr">
        <is>
          <t>EM000974</t>
        </is>
      </c>
    </row>
    <row r="1272">
      <c r="A1272" s="5" t="inlineStr">
        <is>
          <t>Nordex Employees</t>
        </is>
      </c>
      <c r="B1272" s="5" t="inlineStr">
        <is>
          <t>MATEUS DA SILVA CARVALHO</t>
        </is>
      </c>
      <c r="C1272" s="5" t="inlineStr">
        <is>
          <t>EM000975</t>
        </is>
      </c>
      <c r="D1272" s="5" t="inlineStr">
        <is>
          <t>EM000975</t>
        </is>
      </c>
    </row>
    <row r="1273">
      <c r="A1273" s="5" t="inlineStr">
        <is>
          <t>Nordex Employees</t>
        </is>
      </c>
      <c r="B1273" s="5" t="inlineStr">
        <is>
          <t>MICHEL EDWIN ZAMBRANA GUEVARA</t>
        </is>
      </c>
      <c r="C1273" s="5" t="inlineStr">
        <is>
          <t>EM000976</t>
        </is>
      </c>
      <c r="D1273" s="5" t="inlineStr">
        <is>
          <t>EM000976</t>
        </is>
      </c>
    </row>
    <row r="1274">
      <c r="A1274" s="5" t="inlineStr">
        <is>
          <t>Nordex Employees</t>
        </is>
      </c>
      <c r="B1274" s="5" t="inlineStr"/>
      <c r="C1274" s="5" t="inlineStr">
        <is>
          <t>EM000977</t>
        </is>
      </c>
      <c r="D1274" s="5" t="inlineStr">
        <is>
          <t>EM000977</t>
        </is>
      </c>
    </row>
    <row r="1275">
      <c r="A1275" s="5" t="inlineStr">
        <is>
          <t>Nordex Employees</t>
        </is>
      </c>
      <c r="B1275" s="5" t="inlineStr"/>
      <c r="C1275" s="5" t="inlineStr">
        <is>
          <t>EM000978</t>
        </is>
      </c>
      <c r="D1275" s="5" t="inlineStr">
        <is>
          <t>EM000978</t>
        </is>
      </c>
    </row>
    <row r="1276">
      <c r="A1276" s="5" t="inlineStr">
        <is>
          <t>Nordex Employees</t>
        </is>
      </c>
      <c r="B1276" s="5" t="inlineStr">
        <is>
          <t>JOSE NATAN DIAS DOS SANTOS</t>
        </is>
      </c>
      <c r="C1276" s="5" t="inlineStr">
        <is>
          <t>EM000979</t>
        </is>
      </c>
      <c r="D1276" s="5" t="inlineStr">
        <is>
          <t>EM000979</t>
        </is>
      </c>
    </row>
    <row r="1277">
      <c r="A1277" s="5" t="inlineStr">
        <is>
          <t>Nordex Employees</t>
        </is>
      </c>
      <c r="B1277" s="5" t="inlineStr"/>
      <c r="C1277" s="5" t="inlineStr">
        <is>
          <t>EM000980</t>
        </is>
      </c>
      <c r="D1277" s="5" t="inlineStr">
        <is>
          <t>EM000980</t>
        </is>
      </c>
    </row>
    <row r="1278">
      <c r="A1278" s="5" t="inlineStr">
        <is>
          <t>Nordex Employees</t>
        </is>
      </c>
      <c r="B1278" s="5" t="inlineStr">
        <is>
          <t>MATEUS DOS SANTOS PESSOA</t>
        </is>
      </c>
      <c r="C1278" s="5" t="inlineStr">
        <is>
          <t>EM000981</t>
        </is>
      </c>
      <c r="D1278" s="5" t="inlineStr">
        <is>
          <t>EM000981</t>
        </is>
      </c>
    </row>
    <row r="1279">
      <c r="A1279" s="5" t="inlineStr">
        <is>
          <t>Nordex Employees</t>
        </is>
      </c>
      <c r="B1279" s="5" t="inlineStr">
        <is>
          <t>SADRAQUE DA COSTA PEREIRA</t>
        </is>
      </c>
      <c r="C1279" s="5" t="inlineStr">
        <is>
          <t>EM000982</t>
        </is>
      </c>
      <c r="D1279" s="5" t="inlineStr">
        <is>
          <t>EM000982</t>
        </is>
      </c>
    </row>
    <row r="1280">
      <c r="A1280" s="5" t="inlineStr">
        <is>
          <t>Nordex Employees</t>
        </is>
      </c>
      <c r="B1280" s="5" t="inlineStr"/>
      <c r="C1280" s="5" t="inlineStr">
        <is>
          <t>EM000983</t>
        </is>
      </c>
      <c r="D1280" s="5" t="inlineStr">
        <is>
          <t>EM000983</t>
        </is>
      </c>
    </row>
    <row r="1281">
      <c r="A1281" s="5" t="inlineStr">
        <is>
          <t>Nordex Employees</t>
        </is>
      </c>
      <c r="B1281" s="5" t="inlineStr"/>
      <c r="C1281" s="5" t="inlineStr">
        <is>
          <t>EM000984</t>
        </is>
      </c>
      <c r="D1281" s="5" t="inlineStr">
        <is>
          <t>EM000984</t>
        </is>
      </c>
    </row>
    <row r="1282">
      <c r="A1282" s="5" t="inlineStr">
        <is>
          <t>Nordex Employees</t>
        </is>
      </c>
      <c r="B1282" s="5" t="inlineStr"/>
      <c r="C1282" s="5" t="inlineStr">
        <is>
          <t>EM000985</t>
        </is>
      </c>
      <c r="D1282" s="5" t="inlineStr">
        <is>
          <t>EM000985</t>
        </is>
      </c>
    </row>
    <row r="1283">
      <c r="A1283" s="5" t="inlineStr">
        <is>
          <t>Nordex Employees</t>
        </is>
      </c>
      <c r="B1283" s="5" t="inlineStr">
        <is>
          <t>JESSE IVO PRATES FERNANDES</t>
        </is>
      </c>
      <c r="C1283" s="5" t="inlineStr">
        <is>
          <t>EM000986</t>
        </is>
      </c>
      <c r="D1283" s="5" t="inlineStr">
        <is>
          <t>EM000986</t>
        </is>
      </c>
    </row>
    <row r="1284">
      <c r="A1284" s="5" t="inlineStr">
        <is>
          <t>Nordex Employees</t>
        </is>
      </c>
      <c r="B1284" s="5" t="inlineStr">
        <is>
          <t>SIDEMARIO SANTANA SILVA</t>
        </is>
      </c>
      <c r="C1284" s="5" t="inlineStr">
        <is>
          <t>EM000987</t>
        </is>
      </c>
      <c r="D1284" s="5" t="inlineStr">
        <is>
          <t>EM000987</t>
        </is>
      </c>
    </row>
    <row r="1285">
      <c r="A1285" s="5" t="inlineStr">
        <is>
          <t>Nordex Employees</t>
        </is>
      </c>
      <c r="B1285" s="5" t="inlineStr"/>
      <c r="C1285" s="5" t="inlineStr">
        <is>
          <t>EM000988</t>
        </is>
      </c>
      <c r="D1285" s="5" t="inlineStr">
        <is>
          <t>EM000988</t>
        </is>
      </c>
    </row>
    <row r="1286">
      <c r="A1286" s="5" t="inlineStr">
        <is>
          <t>Nordex Employees</t>
        </is>
      </c>
      <c r="B1286" s="5" t="inlineStr"/>
      <c r="C1286" s="5" t="inlineStr">
        <is>
          <t>EM000989</t>
        </is>
      </c>
      <c r="D1286" s="5" t="inlineStr">
        <is>
          <t>EM000989</t>
        </is>
      </c>
    </row>
    <row r="1287">
      <c r="A1287" s="5" t="inlineStr">
        <is>
          <t>Nordex Employees</t>
        </is>
      </c>
      <c r="B1287" s="5" t="inlineStr"/>
      <c r="C1287" s="5" t="inlineStr">
        <is>
          <t>EM003041</t>
        </is>
      </c>
      <c r="D1287" s="5" t="inlineStr">
        <is>
          <t>EM003041</t>
        </is>
      </c>
    </row>
    <row r="1288">
      <c r="A1288" s="5" t="inlineStr">
        <is>
          <t>Nordex Employees</t>
        </is>
      </c>
      <c r="B1288" s="5" t="inlineStr"/>
      <c r="C1288" s="5" t="inlineStr">
        <is>
          <t>EM003049</t>
        </is>
      </c>
      <c r="D1288" s="5" t="inlineStr">
        <is>
          <t>EM003049</t>
        </is>
      </c>
    </row>
    <row r="1289">
      <c r="A1289" s="5" t="inlineStr">
        <is>
          <t>Nordex Employees</t>
        </is>
      </c>
      <c r="B1289" s="5" t="inlineStr">
        <is>
          <t>VALQUIRIA STRAHLR DA SILVA</t>
        </is>
      </c>
      <c r="C1289" s="5" t="inlineStr">
        <is>
          <t>EM003090</t>
        </is>
      </c>
      <c r="D1289" s="5" t="inlineStr">
        <is>
          <t>EM003090</t>
        </is>
      </c>
    </row>
    <row r="1290">
      <c r="A1290" s="5" t="inlineStr">
        <is>
          <t>Nordex Employees</t>
        </is>
      </c>
      <c r="B1290" s="5" t="inlineStr">
        <is>
          <t>JAIRO DIAS RIBEIRO</t>
        </is>
      </c>
      <c r="C1290" s="5" t="inlineStr">
        <is>
          <t>EM003093</t>
        </is>
      </c>
      <c r="D1290" s="5" t="inlineStr">
        <is>
          <t>EM003093</t>
        </is>
      </c>
    </row>
    <row r="1291">
      <c r="A1291" s="5" t="inlineStr">
        <is>
          <t>Nordex Employees</t>
        </is>
      </c>
      <c r="B1291" s="5" t="inlineStr">
        <is>
          <t>JOSICLEITON COELHO DE SOUZA</t>
        </is>
      </c>
      <c r="C1291" s="5" t="inlineStr">
        <is>
          <t>EM003096</t>
        </is>
      </c>
      <c r="D1291" s="5" t="inlineStr">
        <is>
          <t>EM003096</t>
        </is>
      </c>
    </row>
    <row r="1292">
      <c r="A1292" s="5" t="inlineStr">
        <is>
          <t>Nordex Employees</t>
        </is>
      </c>
      <c r="B1292" s="5" t="inlineStr"/>
      <c r="C1292" s="5" t="inlineStr">
        <is>
          <t>EM0031005</t>
        </is>
      </c>
      <c r="D1292" s="5" t="inlineStr">
        <is>
          <t>EM0031005</t>
        </is>
      </c>
    </row>
    <row r="1293">
      <c r="A1293" s="5" t="inlineStr">
        <is>
          <t>Nordex Employees</t>
        </is>
      </c>
      <c r="B1293" s="5" t="inlineStr"/>
      <c r="C1293" s="5" t="inlineStr">
        <is>
          <t>EM003106</t>
        </is>
      </c>
      <c r="D1293" s="5" t="inlineStr">
        <is>
          <t>EM003106</t>
        </is>
      </c>
    </row>
    <row r="1294">
      <c r="A1294" s="5" t="inlineStr">
        <is>
          <t>Nordex Employees</t>
        </is>
      </c>
      <c r="B1294" s="5" t="inlineStr">
        <is>
          <t>DAMIÃO FERREIRA</t>
        </is>
      </c>
      <c r="C1294" s="5" t="inlineStr">
        <is>
          <t>EM003135</t>
        </is>
      </c>
      <c r="D1294" s="5" t="inlineStr">
        <is>
          <t>EM003135</t>
        </is>
      </c>
    </row>
    <row r="1295">
      <c r="A1295" s="5" t="inlineStr">
        <is>
          <t>Nordex Employees</t>
        </is>
      </c>
      <c r="B1295" s="5" t="inlineStr">
        <is>
          <t>ISLAILSON MARTINS MACIEL ABREU</t>
        </is>
      </c>
      <c r="C1295" s="5" t="inlineStr">
        <is>
          <t>EM003480</t>
        </is>
      </c>
      <c r="D1295" s="5" t="inlineStr">
        <is>
          <t>EM003480</t>
        </is>
      </c>
    </row>
    <row r="1296">
      <c r="A1296" s="5" t="inlineStr">
        <is>
          <t>Nordex Employees</t>
        </is>
      </c>
      <c r="B1296" s="5" t="inlineStr">
        <is>
          <t>CLAUDIO COELHO</t>
        </is>
      </c>
      <c r="C1296" s="5" t="inlineStr">
        <is>
          <t>EM003521</t>
        </is>
      </c>
      <c r="D1296" s="5" t="inlineStr">
        <is>
          <t>EM003521</t>
        </is>
      </c>
    </row>
    <row r="1297">
      <c r="A1297" s="5" t="inlineStr">
        <is>
          <t>Nordex Employees</t>
        </is>
      </c>
      <c r="B1297" s="5" t="inlineStr">
        <is>
          <t>JOILTON MARQUES DA SILVA</t>
        </is>
      </c>
      <c r="C1297" s="5" t="inlineStr">
        <is>
          <t>EM003535</t>
        </is>
      </c>
      <c r="D1297" s="5" t="inlineStr">
        <is>
          <t>EM003535</t>
        </is>
      </c>
    </row>
    <row r="1298">
      <c r="A1298" s="5" t="inlineStr">
        <is>
          <t>Nordex Employees</t>
        </is>
      </c>
      <c r="B1298" s="5" t="inlineStr"/>
      <c r="C1298" s="5" t="inlineStr">
        <is>
          <t>EM003547</t>
        </is>
      </c>
      <c r="D1298" s="5" t="inlineStr">
        <is>
          <t>EM003547</t>
        </is>
      </c>
    </row>
    <row r="1299">
      <c r="A1299" s="5" t="inlineStr">
        <is>
          <t>Nordex Employees</t>
        </is>
      </c>
      <c r="B1299" s="5" t="inlineStr">
        <is>
          <t>RANILSON DE SOUSA SANTANA</t>
        </is>
      </c>
      <c r="C1299" s="5" t="inlineStr">
        <is>
          <t>EM003567</t>
        </is>
      </c>
      <c r="D1299" s="5" t="inlineStr">
        <is>
          <t>EM003567</t>
        </is>
      </c>
    </row>
    <row r="1300">
      <c r="A1300" s="5" t="inlineStr">
        <is>
          <t>Nordex Employees</t>
        </is>
      </c>
      <c r="B1300" s="5" t="inlineStr"/>
      <c r="C1300" s="5" t="inlineStr">
        <is>
          <t>EM003568</t>
        </is>
      </c>
      <c r="D1300" s="5" t="inlineStr">
        <is>
          <t>EM003568</t>
        </is>
      </c>
    </row>
    <row r="1301">
      <c r="A1301" s="5" t="inlineStr">
        <is>
          <t>Nordex Employees</t>
        </is>
      </c>
      <c r="B1301" s="5" t="inlineStr">
        <is>
          <t>JOSIVALDO COELHO DE SOUSA</t>
        </is>
      </c>
      <c r="C1301" s="5" t="inlineStr">
        <is>
          <t>EM003569</t>
        </is>
      </c>
      <c r="D1301" s="5" t="inlineStr">
        <is>
          <t>EM003569</t>
        </is>
      </c>
    </row>
    <row r="1302">
      <c r="A1302" s="5" t="inlineStr">
        <is>
          <t>Nordex Employees</t>
        </is>
      </c>
      <c r="B1302" s="5" t="inlineStr"/>
      <c r="C1302" s="5" t="inlineStr">
        <is>
          <t>EM003570</t>
        </is>
      </c>
      <c r="D1302" s="5" t="inlineStr">
        <is>
          <t>EM003570</t>
        </is>
      </c>
    </row>
    <row r="1303">
      <c r="A1303" s="5" t="inlineStr">
        <is>
          <t>Nordex Employees</t>
        </is>
      </c>
      <c r="B1303" s="5" t="inlineStr"/>
      <c r="C1303" s="5" t="inlineStr">
        <is>
          <t>EM003571</t>
        </is>
      </c>
      <c r="D1303" s="5" t="inlineStr">
        <is>
          <t>EM003571</t>
        </is>
      </c>
    </row>
    <row r="1304">
      <c r="A1304" s="5" t="inlineStr">
        <is>
          <t>Nordex Employees</t>
        </is>
      </c>
      <c r="B1304" s="5" t="inlineStr">
        <is>
          <t>IVO DE SOUSA RODRIGUES</t>
        </is>
      </c>
      <c r="C1304" s="5" t="inlineStr">
        <is>
          <t>EM003580</t>
        </is>
      </c>
      <c r="D1304" s="5" t="inlineStr">
        <is>
          <t>EM003580</t>
        </is>
      </c>
    </row>
    <row r="1305">
      <c r="A1305" s="5" t="inlineStr">
        <is>
          <t>Nordex Employees</t>
        </is>
      </c>
      <c r="B1305" s="5" t="inlineStr">
        <is>
          <t>CAIO GEANDERSON MACIEL MARTINS</t>
        </is>
      </c>
      <c r="C1305" s="5" t="inlineStr">
        <is>
          <t>EM003594</t>
        </is>
      </c>
      <c r="D1305" s="5" t="inlineStr">
        <is>
          <t>EM003594</t>
        </is>
      </c>
    </row>
    <row r="1306">
      <c r="A1306" s="5" t="inlineStr">
        <is>
          <t>Nordex Employees</t>
        </is>
      </c>
      <c r="B1306" s="5" t="inlineStr">
        <is>
          <t>RAMON PINHEIRO DE AFONSECA</t>
        </is>
      </c>
      <c r="C1306" s="5" t="inlineStr">
        <is>
          <t>EM003645</t>
        </is>
      </c>
      <c r="D1306" s="5" t="inlineStr">
        <is>
          <t>EM003645</t>
        </is>
      </c>
    </row>
    <row r="1307">
      <c r="A1307" s="5" t="inlineStr">
        <is>
          <t>Nordex Employees</t>
        </is>
      </c>
      <c r="B1307" s="5" t="inlineStr">
        <is>
          <t>JOSE ARLINDO DE SOUSA JUNIOR</t>
        </is>
      </c>
      <c r="C1307" s="5" t="inlineStr">
        <is>
          <t>EM003655</t>
        </is>
      </c>
      <c r="D1307" s="5" t="inlineStr">
        <is>
          <t>EM003655</t>
        </is>
      </c>
    </row>
    <row r="1308">
      <c r="A1308" s="5" t="inlineStr">
        <is>
          <t>Nordex Employees</t>
        </is>
      </c>
      <c r="B1308" s="5" t="inlineStr">
        <is>
          <t>Felipe Affonso de Carvalho Quita</t>
        </is>
      </c>
      <c r="C1308" s="5" t="inlineStr">
        <is>
          <t>EM003688</t>
        </is>
      </c>
      <c r="D1308" s="5" t="inlineStr">
        <is>
          <t>EM003688</t>
        </is>
      </c>
    </row>
    <row r="1309">
      <c r="A1309" s="5" t="inlineStr">
        <is>
          <t>Nordex Employees</t>
        </is>
      </c>
      <c r="B1309" s="5" t="inlineStr">
        <is>
          <t>Fabio Fernando Pereira de Andrade</t>
        </is>
      </c>
      <c r="C1309" s="5" t="inlineStr">
        <is>
          <t>EM003693</t>
        </is>
      </c>
      <c r="D1309" s="5" t="inlineStr">
        <is>
          <t>EM003693</t>
        </is>
      </c>
    </row>
    <row r="1310">
      <c r="A1310" s="5" t="inlineStr">
        <is>
          <t>Nordex Employees</t>
        </is>
      </c>
      <c r="B1310" s="5" t="inlineStr">
        <is>
          <t>José Ribamar Morais Frazão</t>
        </is>
      </c>
      <c r="C1310" s="5" t="inlineStr">
        <is>
          <t>EM003694</t>
        </is>
      </c>
      <c r="D1310" s="5" t="inlineStr">
        <is>
          <t>EM003694</t>
        </is>
      </c>
    </row>
    <row r="1311">
      <c r="A1311" s="5" t="inlineStr">
        <is>
          <t>Nordex Employees</t>
        </is>
      </c>
      <c r="B1311" s="5" t="inlineStr">
        <is>
          <t>Veranilson Santana da silva</t>
        </is>
      </c>
      <c r="C1311" s="5" t="inlineStr">
        <is>
          <t>EM003695</t>
        </is>
      </c>
      <c r="D1311" s="5" t="inlineStr">
        <is>
          <t>EM003695</t>
        </is>
      </c>
    </row>
    <row r="1312">
      <c r="A1312" s="5" t="inlineStr">
        <is>
          <t>Nordex Employees</t>
        </is>
      </c>
      <c r="B1312" s="5" t="inlineStr">
        <is>
          <t>OTÁVIO PAULINO DA SILVA NETO</t>
        </is>
      </c>
      <c r="C1312" s="5" t="inlineStr">
        <is>
          <t>EM003724</t>
        </is>
      </c>
      <c r="D1312" s="5" t="inlineStr">
        <is>
          <t>EM003724</t>
        </is>
      </c>
    </row>
    <row r="1313">
      <c r="A1313" s="5" t="inlineStr">
        <is>
          <t>Nordex Employees</t>
        </is>
      </c>
      <c r="B1313" s="5" t="inlineStr">
        <is>
          <t>FRANKLIN CLEMENTE DE FRANÇA</t>
        </is>
      </c>
      <c r="C1313" s="5" t="inlineStr">
        <is>
          <t>EM003725</t>
        </is>
      </c>
      <c r="D1313" s="5" t="inlineStr">
        <is>
          <t>EM003725</t>
        </is>
      </c>
    </row>
    <row r="1314">
      <c r="A1314" s="5" t="inlineStr">
        <is>
          <t>Nordex Employees</t>
        </is>
      </c>
      <c r="B1314" s="5" t="inlineStr">
        <is>
          <t>DAVID DA CRUZ SILVA</t>
        </is>
      </c>
      <c r="C1314" s="5" t="inlineStr">
        <is>
          <t>EM003756</t>
        </is>
      </c>
      <c r="D1314" s="5" t="inlineStr">
        <is>
          <t>EM003756</t>
        </is>
      </c>
    </row>
    <row r="1315">
      <c r="A1315" s="5" t="inlineStr">
        <is>
          <t>Nordex Employees</t>
        </is>
      </c>
      <c r="B1315" s="5" t="inlineStr">
        <is>
          <t>Wagner Munhoz Pezzopani</t>
        </is>
      </c>
      <c r="C1315" s="5" t="inlineStr">
        <is>
          <t>EM003789</t>
        </is>
      </c>
      <c r="D1315" s="5" t="inlineStr">
        <is>
          <t>EM003789</t>
        </is>
      </c>
    </row>
    <row r="1316">
      <c r="A1316" s="5" t="inlineStr">
        <is>
          <t>Nordex Employees</t>
        </is>
      </c>
      <c r="B1316" s="5" t="inlineStr">
        <is>
          <t>RONERIO AMORIM DE ARARIPE</t>
        </is>
      </c>
      <c r="C1316" s="5" t="inlineStr">
        <is>
          <t>EM003810</t>
        </is>
      </c>
      <c r="D1316" s="5" t="inlineStr">
        <is>
          <t>EM003810</t>
        </is>
      </c>
    </row>
    <row r="1317">
      <c r="A1317" s="5" t="inlineStr">
        <is>
          <t>Nordex Employees</t>
        </is>
      </c>
      <c r="B1317" s="5" t="inlineStr">
        <is>
          <t>MARCOS GRANDE JACOBOVSKI NICARETTA</t>
        </is>
      </c>
      <c r="C1317" s="5" t="inlineStr">
        <is>
          <t>EM200818</t>
        </is>
      </c>
      <c r="D1317" s="5" t="inlineStr">
        <is>
          <t>EM200818</t>
        </is>
      </c>
    </row>
    <row r="1318">
      <c r="A1318" s="5" t="inlineStr">
        <is>
          <t>Intercompany</t>
        </is>
      </c>
      <c r="B1318" s="5" t="inlineStr">
        <is>
          <t>NORDEX ENERGY SE &amp; CO KG</t>
        </is>
      </c>
      <c r="C1318" s="5" t="inlineStr">
        <is>
          <t>IC1000</t>
        </is>
      </c>
      <c r="D1318" s="5" t="inlineStr">
        <is>
          <t>IC1000</t>
        </is>
      </c>
    </row>
    <row r="1319">
      <c r="A1319" s="5" t="inlineStr">
        <is>
          <t>Intercompany</t>
        </is>
      </c>
      <c r="B1319" s="5" t="inlineStr"/>
      <c r="C1319" s="5" t="inlineStr">
        <is>
          <t>IC2090</t>
        </is>
      </c>
      <c r="D1319" s="5" t="inlineStr">
        <is>
          <t>IC2090</t>
        </is>
      </c>
    </row>
    <row r="1320">
      <c r="A1320" s="5" t="inlineStr">
        <is>
          <t>Intercompany</t>
        </is>
      </c>
      <c r="B1320" s="5" t="inlineStr"/>
      <c r="C1320" s="5" t="inlineStr">
        <is>
          <t>IC3100</t>
        </is>
      </c>
      <c r="D1320" s="5" t="inlineStr">
        <is>
          <t>IC3100</t>
        </is>
      </c>
    </row>
    <row r="1321">
      <c r="A1321" s="5" t="inlineStr">
        <is>
          <t>Intercompany</t>
        </is>
      </c>
      <c r="B1321" s="5" t="inlineStr">
        <is>
          <t>NORDEX ENERGY SPAIN S A U</t>
        </is>
      </c>
      <c r="C1321" s="5" t="inlineStr">
        <is>
          <t>IC4420</t>
        </is>
      </c>
      <c r="D1321" s="5" t="inlineStr">
        <is>
          <t>IC4420</t>
        </is>
      </c>
    </row>
    <row r="1322">
      <c r="A1322" s="5" t="inlineStr">
        <is>
          <t>Intercompany</t>
        </is>
      </c>
      <c r="B1322" s="5" t="inlineStr">
        <is>
          <t>Nordex Concrete Towers, S.L.</t>
        </is>
      </c>
      <c r="C1322" s="5" t="inlineStr">
        <is>
          <t>IC4441</t>
        </is>
      </c>
      <c r="D1322" s="5" t="inlineStr">
        <is>
          <t>IC4441</t>
        </is>
      </c>
    </row>
    <row r="1323">
      <c r="A1323" s="5" t="inlineStr">
        <is>
          <t>Intercompany</t>
        </is>
      </c>
      <c r="B1323" s="5" t="inlineStr">
        <is>
          <t>NORDEX USA INC 4650</t>
        </is>
      </c>
      <c r="C1323" s="5" t="inlineStr">
        <is>
          <t>IC4600</t>
        </is>
      </c>
      <c r="D1323" s="5" t="inlineStr">
        <is>
          <t>IC4600</t>
        </is>
      </c>
    </row>
    <row r="1324">
      <c r="A1324" s="5" t="inlineStr">
        <is>
          <t>Intercompany</t>
        </is>
      </c>
      <c r="B1324" s="5" t="inlineStr">
        <is>
          <t>NORDEX WINDPOWER PERU SA</t>
        </is>
      </c>
      <c r="C1324" s="5" t="inlineStr">
        <is>
          <t>IC4665</t>
        </is>
      </c>
      <c r="D1324" s="5" t="inlineStr">
        <is>
          <t>IC4665</t>
        </is>
      </c>
    </row>
    <row r="1325">
      <c r="A1325" s="5" t="inlineStr">
        <is>
          <t>Intercompany</t>
        </is>
      </c>
      <c r="B1325" s="5" t="inlineStr"/>
      <c r="C1325" s="5" t="inlineStr">
        <is>
          <t>IC4667</t>
        </is>
      </c>
      <c r="D1325" s="5" t="inlineStr">
        <is>
          <t>IC4667</t>
        </is>
      </c>
    </row>
    <row r="1326">
      <c r="A1326" s="5" t="inlineStr">
        <is>
          <t>Intercompany</t>
        </is>
      </c>
      <c r="B1326" s="5" t="inlineStr">
        <is>
          <t>NORDEX ENERGY CHILE SA</t>
        </is>
      </c>
      <c r="C1326" s="5" t="inlineStr">
        <is>
          <t>IC4670</t>
        </is>
      </c>
      <c r="D1326" s="5" t="inlineStr">
        <is>
          <t>IC4670</t>
        </is>
      </c>
    </row>
    <row r="1327">
      <c r="A1327" s="5" t="inlineStr">
        <is>
          <t>Intercompany</t>
        </is>
      </c>
      <c r="B1327" s="5" t="inlineStr">
        <is>
          <t>NORDEX ENERGY MEXICO S DE RL DE CV</t>
        </is>
      </c>
      <c r="C1327" s="5" t="inlineStr">
        <is>
          <t>IC4680</t>
        </is>
      </c>
      <c r="D1327" s="5" t="inlineStr">
        <is>
          <t>IC4680</t>
        </is>
      </c>
    </row>
    <row r="1328">
      <c r="A1328" s="5" t="inlineStr">
        <is>
          <t>Intercompany</t>
        </is>
      </c>
      <c r="B1328" s="5" t="inlineStr">
        <is>
          <t>NORDEX SE</t>
        </is>
      </c>
      <c r="C1328" s="5" t="inlineStr">
        <is>
          <t>IC5000</t>
        </is>
      </c>
      <c r="D1328" s="5" t="inlineStr">
        <is>
          <t>IC5000</t>
        </is>
      </c>
    </row>
    <row r="1329">
      <c r="A1329" s="5" t="inlineStr">
        <is>
          <t>Employee-Related Liabilities</t>
        </is>
      </c>
      <c r="B1329" s="5" t="inlineStr">
        <is>
          <t>NORDEX ENERGY BRASIL - COMERCIO E I</t>
        </is>
      </c>
      <c r="C1329" s="5" t="inlineStr">
        <is>
          <t>ICBRWA</t>
        </is>
      </c>
      <c r="D1329" s="5" t="inlineStr">
        <is>
          <t>ICBRWA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CONFIGURACAO</t>
        </is>
      </c>
    </row>
    <row r="2">
      <c r="A2" s="11" t="inlineStr">
        <is>
          <t>Parametros da base</t>
        </is>
      </c>
    </row>
    <row r="3">
      <c r="A3" s="4" t="inlineStr">
        <is>
          <t>Definicoes de extracao e conferencia do relatorio</t>
        </is>
      </c>
    </row>
    <row r="5">
      <c r="A5" s="11" t="inlineStr">
        <is>
          <t>Empresa</t>
        </is>
      </c>
      <c r="B5" s="5" t="inlineStr">
        <is>
          <t>4690 — Nordex Energy Brasil LTDA</t>
        </is>
      </c>
    </row>
    <row r="6">
      <c r="A6" s="11" t="inlineStr">
        <is>
          <t>Data de corte</t>
        </is>
      </c>
      <c r="B6" s="16" t="n">
        <v>46265</v>
      </c>
    </row>
    <row r="7">
      <c r="A7" s="11" t="inlineStr">
        <is>
          <t>Relatorio-fonte</t>
        </is>
      </c>
      <c r="B7" s="5" t="inlineStr">
        <is>
          <t>Administrar itens fornecedor (SAP Fiori)</t>
        </is>
      </c>
    </row>
    <row r="8">
      <c r="A8" s="11" t="inlineStr">
        <is>
          <t>Criterio de extracao</t>
        </is>
      </c>
      <c r="B8" s="5" t="inlineStr">
        <is>
          <t>Partidas em aberto | Aberto na data fixada = data de corte | Itens normais + Transacoes do Razao Especial</t>
        </is>
      </c>
    </row>
    <row r="9">
      <c r="A9" s="11" t="inlineStr">
        <is>
          <t>Eixo de envelhecimento</t>
        </is>
      </c>
      <c r="B9" s="5" t="inlineStr">
        <is>
          <t>Idade do documento contabil de origem</t>
        </is>
      </c>
    </row>
    <row r="11">
      <c r="A11" s="11" t="inlineStr">
        <is>
          <t>RECONCILIACAO</t>
        </is>
      </c>
    </row>
    <row r="12">
      <c r="A12" s="5" t="inlineStr">
        <is>
          <t>Total da base</t>
        </is>
      </c>
      <c r="B12" s="12">
        <f>SUM(Base[Montante])</f>
        <v/>
      </c>
    </row>
    <row r="13">
      <c r="A13" s="5" t="inlineStr">
        <is>
          <t>Total de conferencia (Razao)</t>
        </is>
      </c>
      <c r="B13" s="12" t="n">
        <v>-1202740652.95</v>
      </c>
    </row>
    <row r="14">
      <c r="A14" s="5" t="inlineStr">
        <is>
          <t>Diferenca</t>
        </is>
      </c>
      <c r="B14">
        <f>B12-B13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AP AGING</t>
        </is>
      </c>
    </row>
    <row r="2">
      <c r="A2" s="11" t="inlineStr">
        <is>
          <t>Exposicao por categoria</t>
        </is>
      </c>
    </row>
    <row r="3">
      <c r="A3" s="4" t="inlineStr">
        <is>
          <t>Envelhecimento pela idade do documento contabil de origem</t>
        </is>
      </c>
    </row>
    <row r="4">
      <c r="A4" s="8" t="inlineStr">
        <is>
          <t>Categoria</t>
        </is>
      </c>
      <c r="B4" s="8" t="inlineStr">
        <is>
          <t>Até 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  <c r="G4" s="8" t="inlineStr">
        <is>
          <t>2025</t>
        </is>
      </c>
      <c r="H4" s="8" t="inlineStr">
        <is>
          <t>2026</t>
        </is>
      </c>
      <c r="I4" s="8" t="inlineStr">
        <is>
          <t>Total</t>
        </is>
      </c>
    </row>
    <row r="5">
      <c r="A5" s="5" t="inlineStr">
        <is>
          <t>Construction Services – Under Litigation</t>
        </is>
      </c>
      <c r="B5" s="12">
        <f>SUMIFS(Base[Montante],Base[Categoria],$A5,Base[Ano],B$4)</f>
        <v/>
      </c>
      <c r="C5" s="12">
        <f>SUMIFS(Base[Montante],Base[Categoria],$A5,Base[Ano],C$4)</f>
        <v/>
      </c>
      <c r="D5" s="12">
        <f>SUMIFS(Base[Montante],Base[Categoria],$A5,Base[Ano],D$4)</f>
        <v/>
      </c>
      <c r="E5" s="12">
        <f>SUMIFS(Base[Montante],Base[Categoria],$A5,Base[Ano],E$4)</f>
        <v/>
      </c>
      <c r="F5" s="12">
        <f>SUMIFS(Base[Montante],Base[Categoria],$A5,Base[Ano],F$4)</f>
        <v/>
      </c>
      <c r="G5" s="12">
        <f>SUMIFS(Base[Montante],Base[Categoria],$A5,Base[Ano],G$4)</f>
        <v/>
      </c>
      <c r="H5" s="12">
        <f>SUMIFS(Base[Montante],Base[Categoria],$A5,Base[Ano],H$4)</f>
        <v/>
      </c>
      <c r="I5" s="12">
        <f>SUM(B5:H5)</f>
        <v/>
      </c>
    </row>
    <row r="6">
      <c r="A6" s="5" t="inlineStr">
        <is>
          <t>Aeris</t>
        </is>
      </c>
      <c r="B6" s="12">
        <f>SUMIFS(Base[Montante],Base[Categoria],$A6,Base[Ano],B$4)</f>
        <v/>
      </c>
      <c r="C6" s="12">
        <f>SUMIFS(Base[Montante],Base[Categoria],$A6,Base[Ano],C$4)</f>
        <v/>
      </c>
      <c r="D6" s="12">
        <f>SUMIFS(Base[Montante],Base[Categoria],$A6,Base[Ano],D$4)</f>
        <v/>
      </c>
      <c r="E6" s="12">
        <f>SUMIFS(Base[Montante],Base[Categoria],$A6,Base[Ano],E$4)</f>
        <v/>
      </c>
      <c r="F6" s="12">
        <f>SUMIFS(Base[Montante],Base[Categoria],$A6,Base[Ano],F$4)</f>
        <v/>
      </c>
      <c r="G6" s="12">
        <f>SUMIFS(Base[Montante],Base[Categoria],$A6,Base[Ano],G$4)</f>
        <v/>
      </c>
      <c r="H6" s="12">
        <f>SUMIFS(Base[Montante],Base[Categoria],$A6,Base[Ano],H$4)</f>
        <v/>
      </c>
      <c r="I6" s="12">
        <f>SUM(B6:H6)</f>
        <v/>
      </c>
    </row>
    <row r="7">
      <c r="A7" s="5" t="inlineStr">
        <is>
          <t>Consumables Suppliers</t>
        </is>
      </c>
      <c r="B7" s="12">
        <f>SUMIFS(Base[Montante],Base[Categoria],$A7,Base[Ano],B$4)</f>
        <v/>
      </c>
      <c r="C7" s="12">
        <f>SUMIFS(Base[Montante],Base[Categoria],$A7,Base[Ano],C$4)</f>
        <v/>
      </c>
      <c r="D7" s="12">
        <f>SUMIFS(Base[Montante],Base[Categoria],$A7,Base[Ano],D$4)</f>
        <v/>
      </c>
      <c r="E7" s="12">
        <f>SUMIFS(Base[Montante],Base[Categoria],$A7,Base[Ano],E$4)</f>
        <v/>
      </c>
      <c r="F7" s="12">
        <f>SUMIFS(Base[Montante],Base[Categoria],$A7,Base[Ano],F$4)</f>
        <v/>
      </c>
      <c r="G7" s="12">
        <f>SUMIFS(Base[Montante],Base[Categoria],$A7,Base[Ano],G$4)</f>
        <v/>
      </c>
      <c r="H7" s="12">
        <f>SUMIFS(Base[Montante],Base[Categoria],$A7,Base[Ano],H$4)</f>
        <v/>
      </c>
      <c r="I7" s="12">
        <f>SUM(B7:H7)</f>
        <v/>
      </c>
    </row>
    <row r="8">
      <c r="A8" s="5" t="inlineStr">
        <is>
          <t>Customs Brokerage – Overall</t>
        </is>
      </c>
      <c r="B8" s="12">
        <f>SUMIFS(Base[Montante],Base[Categoria],$A8,Base[Ano],B$4)</f>
        <v/>
      </c>
      <c r="C8" s="12">
        <f>SUMIFS(Base[Montante],Base[Categoria],$A8,Base[Ano],C$4)</f>
        <v/>
      </c>
      <c r="D8" s="12">
        <f>SUMIFS(Base[Montante],Base[Categoria],$A8,Base[Ano],D$4)</f>
        <v/>
      </c>
      <c r="E8" s="12">
        <f>SUMIFS(Base[Montante],Base[Categoria],$A8,Base[Ano],E$4)</f>
        <v/>
      </c>
      <c r="F8" s="12">
        <f>SUMIFS(Base[Montante],Base[Categoria],$A8,Base[Ano],F$4)</f>
        <v/>
      </c>
      <c r="G8" s="12">
        <f>SUMIFS(Base[Montante],Base[Categoria],$A8,Base[Ano],G$4)</f>
        <v/>
      </c>
      <c r="H8" s="12">
        <f>SUMIFS(Base[Montante],Base[Categoria],$A8,Base[Ano],H$4)</f>
        <v/>
      </c>
      <c r="I8" s="12">
        <f>SUM(B8:H8)</f>
        <v/>
      </c>
    </row>
    <row r="9">
      <c r="A9" s="5" t="inlineStr">
        <is>
          <t>Corporate Card Payments</t>
        </is>
      </c>
      <c r="B9" s="12">
        <f>SUMIFS(Base[Montante],Base[Categoria],$A9,Base[Ano],B$4)</f>
        <v/>
      </c>
      <c r="C9" s="12">
        <f>SUMIFS(Base[Montante],Base[Categoria],$A9,Base[Ano],C$4)</f>
        <v/>
      </c>
      <c r="D9" s="12">
        <f>SUMIFS(Base[Montante],Base[Categoria],$A9,Base[Ano],D$4)</f>
        <v/>
      </c>
      <c r="E9" s="12">
        <f>SUMIFS(Base[Montante],Base[Categoria],$A9,Base[Ano],E$4)</f>
        <v/>
      </c>
      <c r="F9" s="12">
        <f>SUMIFS(Base[Montante],Base[Categoria],$A9,Base[Ano],F$4)</f>
        <v/>
      </c>
      <c r="G9" s="12">
        <f>SUMIFS(Base[Montante],Base[Categoria],$A9,Base[Ano],G$4)</f>
        <v/>
      </c>
      <c r="H9" s="12">
        <f>SUMIFS(Base[Montante],Base[Categoria],$A9,Base[Ano],H$4)</f>
        <v/>
      </c>
      <c r="I9" s="12">
        <f>SUM(B9:H9)</f>
        <v/>
      </c>
    </row>
    <row r="10">
      <c r="A10" s="5" t="inlineStr">
        <is>
          <t>Facilities</t>
        </is>
      </c>
      <c r="B10" s="12">
        <f>SUMIFS(Base[Montante],Base[Categoria],$A10,Base[Ano],B$4)</f>
        <v/>
      </c>
      <c r="C10" s="12">
        <f>SUMIFS(Base[Montante],Base[Categoria],$A10,Base[Ano],C$4)</f>
        <v/>
      </c>
      <c r="D10" s="12">
        <f>SUMIFS(Base[Montante],Base[Categoria],$A10,Base[Ano],D$4)</f>
        <v/>
      </c>
      <c r="E10" s="12">
        <f>SUMIFS(Base[Montante],Base[Categoria],$A10,Base[Ano],E$4)</f>
        <v/>
      </c>
      <c r="F10" s="12">
        <f>SUMIFS(Base[Montante],Base[Categoria],$A10,Base[Ano],F$4)</f>
        <v/>
      </c>
      <c r="G10" s="12">
        <f>SUMIFS(Base[Montante],Base[Categoria],$A10,Base[Ano],G$4)</f>
        <v/>
      </c>
      <c r="H10" s="12">
        <f>SUMIFS(Base[Montante],Base[Categoria],$A10,Base[Ano],H$4)</f>
        <v/>
      </c>
      <c r="I10" s="12">
        <f>SUM(B10:H10)</f>
        <v/>
      </c>
    </row>
    <row r="11">
      <c r="A11" s="5" t="inlineStr">
        <is>
          <t>Insurance</t>
        </is>
      </c>
      <c r="B11" s="12">
        <f>SUMIFS(Base[Montante],Base[Categoria],$A11,Base[Ano],B$4)</f>
        <v/>
      </c>
      <c r="C11" s="12">
        <f>SUMIFS(Base[Montante],Base[Categoria],$A11,Base[Ano],C$4)</f>
        <v/>
      </c>
      <c r="D11" s="12">
        <f>SUMIFS(Base[Montante],Base[Categoria],$A11,Base[Ano],D$4)</f>
        <v/>
      </c>
      <c r="E11" s="12">
        <f>SUMIFS(Base[Montante],Base[Categoria],$A11,Base[Ano],E$4)</f>
        <v/>
      </c>
      <c r="F11" s="12">
        <f>SUMIFS(Base[Montante],Base[Categoria],$A11,Base[Ano],F$4)</f>
        <v/>
      </c>
      <c r="G11" s="12">
        <f>SUMIFS(Base[Montante],Base[Categoria],$A11,Base[Ano],G$4)</f>
        <v/>
      </c>
      <c r="H11" s="12">
        <f>SUMIFS(Base[Montante],Base[Categoria],$A11,Base[Ano],H$4)</f>
        <v/>
      </c>
      <c r="I11" s="12">
        <f>SUM(B11:H11)</f>
        <v/>
      </c>
    </row>
    <row r="12">
      <c r="A12" s="5" t="inlineStr">
        <is>
          <t>Intercompany</t>
        </is>
      </c>
      <c r="B12" s="12">
        <f>SUMIFS(Base[Montante],Base[Categoria],$A12,Base[Ano],B$4)</f>
        <v/>
      </c>
      <c r="C12" s="12">
        <f>SUMIFS(Base[Montante],Base[Categoria],$A12,Base[Ano],C$4)</f>
        <v/>
      </c>
      <c r="D12" s="12">
        <f>SUMIFS(Base[Montante],Base[Categoria],$A12,Base[Ano],D$4)</f>
        <v/>
      </c>
      <c r="E12" s="12">
        <f>SUMIFS(Base[Montante],Base[Categoria],$A12,Base[Ano],E$4)</f>
        <v/>
      </c>
      <c r="F12" s="12">
        <f>SUMIFS(Base[Montante],Base[Categoria],$A12,Base[Ano],F$4)</f>
        <v/>
      </c>
      <c r="G12" s="12">
        <f>SUMIFS(Base[Montante],Base[Categoria],$A12,Base[Ano],G$4)</f>
        <v/>
      </c>
      <c r="H12" s="12">
        <f>SUMIFS(Base[Montante],Base[Categoria],$A12,Base[Ano],H$4)</f>
        <v/>
      </c>
      <c r="I12" s="12">
        <f>SUM(B12:H12)</f>
        <v/>
      </c>
    </row>
    <row r="13">
      <c r="A13" s="5" t="inlineStr">
        <is>
          <t>Legal Services Suppliers</t>
        </is>
      </c>
      <c r="B13" s="12">
        <f>SUMIFS(Base[Montante],Base[Categoria],$A13,Base[Ano],B$4)</f>
        <v/>
      </c>
      <c r="C13" s="12">
        <f>SUMIFS(Base[Montante],Base[Categoria],$A13,Base[Ano],C$4)</f>
        <v/>
      </c>
      <c r="D13" s="12">
        <f>SUMIFS(Base[Montante],Base[Categoria],$A13,Base[Ano],D$4)</f>
        <v/>
      </c>
      <c r="E13" s="12">
        <f>SUMIFS(Base[Montante],Base[Categoria],$A13,Base[Ano],E$4)</f>
        <v/>
      </c>
      <c r="F13" s="12">
        <f>SUMIFS(Base[Montante],Base[Categoria],$A13,Base[Ano],F$4)</f>
        <v/>
      </c>
      <c r="G13" s="12">
        <f>SUMIFS(Base[Montante],Base[Categoria],$A13,Base[Ano],G$4)</f>
        <v/>
      </c>
      <c r="H13" s="12">
        <f>SUMIFS(Base[Montante],Base[Categoria],$A13,Base[Ano],H$4)</f>
        <v/>
      </c>
      <c r="I13" s="12">
        <f>SUM(B13:H13)</f>
        <v/>
      </c>
    </row>
    <row r="14">
      <c r="A14" s="5" t="inlineStr">
        <is>
          <t>Nordex Employees</t>
        </is>
      </c>
      <c r="B14" s="12">
        <f>SUMIFS(Base[Montante],Base[Categoria],$A14,Base[Ano],B$4)</f>
        <v/>
      </c>
      <c r="C14" s="12">
        <f>SUMIFS(Base[Montante],Base[Categoria],$A14,Base[Ano],C$4)</f>
        <v/>
      </c>
      <c r="D14" s="12">
        <f>SUMIFS(Base[Montante],Base[Categoria],$A14,Base[Ano],D$4)</f>
        <v/>
      </c>
      <c r="E14" s="12">
        <f>SUMIFS(Base[Montante],Base[Categoria],$A14,Base[Ano],E$4)</f>
        <v/>
      </c>
      <c r="F14" s="12">
        <f>SUMIFS(Base[Montante],Base[Categoria],$A14,Base[Ano],F$4)</f>
        <v/>
      </c>
      <c r="G14" s="12">
        <f>SUMIFS(Base[Montante],Base[Categoria],$A14,Base[Ano],G$4)</f>
        <v/>
      </c>
      <c r="H14" s="12">
        <f>SUMIFS(Base[Montante],Base[Categoria],$A14,Base[Ano],H$4)</f>
        <v/>
      </c>
      <c r="I14" s="12">
        <f>SUM(B14:H14)</f>
        <v/>
      </c>
    </row>
    <row r="15">
      <c r="A15" s="5" t="inlineStr">
        <is>
          <t>Operational Suppliers (Wind Farms)</t>
        </is>
      </c>
      <c r="B15" s="12">
        <f>SUMIFS(Base[Montante],Base[Categoria],$A15,Base[Ano],B$4)</f>
        <v/>
      </c>
      <c r="C15" s="12">
        <f>SUMIFS(Base[Montante],Base[Categoria],$A15,Base[Ano],C$4)</f>
        <v/>
      </c>
      <c r="D15" s="12">
        <f>SUMIFS(Base[Montante],Base[Categoria],$A15,Base[Ano],D$4)</f>
        <v/>
      </c>
      <c r="E15" s="12">
        <f>SUMIFS(Base[Montante],Base[Categoria],$A15,Base[Ano],E$4)</f>
        <v/>
      </c>
      <c r="F15" s="12">
        <f>SUMIFS(Base[Montante],Base[Categoria],$A15,Base[Ano],F$4)</f>
        <v/>
      </c>
      <c r="G15" s="12">
        <f>SUMIFS(Base[Montante],Base[Categoria],$A15,Base[Ano],G$4)</f>
        <v/>
      </c>
      <c r="H15" s="12">
        <f>SUMIFS(Base[Montante],Base[Categoria],$A15,Base[Ano],H$4)</f>
        <v/>
      </c>
      <c r="I15" s="12">
        <f>SUM(B15:H15)</f>
        <v/>
      </c>
    </row>
    <row r="16">
      <c r="A16" s="5" t="inlineStr">
        <is>
          <t>Other Suppliers</t>
        </is>
      </c>
      <c r="B16" s="12">
        <f>SUMIFS(Base[Montante],Base[Categoria],$A16,Base[Ano],B$4)</f>
        <v/>
      </c>
      <c r="C16" s="12">
        <f>SUMIFS(Base[Montante],Base[Categoria],$A16,Base[Ano],C$4)</f>
        <v/>
      </c>
      <c r="D16" s="12">
        <f>SUMIFS(Base[Montante],Base[Categoria],$A16,Base[Ano],D$4)</f>
        <v/>
      </c>
      <c r="E16" s="12">
        <f>SUMIFS(Base[Montante],Base[Categoria],$A16,Base[Ano],E$4)</f>
        <v/>
      </c>
      <c r="F16" s="12">
        <f>SUMIFS(Base[Montante],Base[Categoria],$A16,Base[Ano],F$4)</f>
        <v/>
      </c>
      <c r="G16" s="12">
        <f>SUMIFS(Base[Montante],Base[Categoria],$A16,Base[Ano],G$4)</f>
        <v/>
      </c>
      <c r="H16" s="12">
        <f>SUMIFS(Base[Montante],Base[Categoria],$A16,Base[Ano],H$4)</f>
        <v/>
      </c>
      <c r="I16" s="12">
        <f>SUM(B16:H16)</f>
        <v/>
      </c>
    </row>
    <row r="17">
      <c r="A17" s="5" t="inlineStr">
        <is>
          <t>Employee-Related Liabilities</t>
        </is>
      </c>
      <c r="B17" s="12">
        <f>SUMIFS(Base[Montante],Base[Categoria],$A17,Base[Ano],B$4)</f>
        <v/>
      </c>
      <c r="C17" s="12">
        <f>SUMIFS(Base[Montante],Base[Categoria],$A17,Base[Ano],C$4)</f>
        <v/>
      </c>
      <c r="D17" s="12">
        <f>SUMIFS(Base[Montante],Base[Categoria],$A17,Base[Ano],D$4)</f>
        <v/>
      </c>
      <c r="E17" s="12">
        <f>SUMIFS(Base[Montante],Base[Categoria],$A17,Base[Ano],E$4)</f>
        <v/>
      </c>
      <c r="F17" s="12">
        <f>SUMIFS(Base[Montante],Base[Categoria],$A17,Base[Ano],F$4)</f>
        <v/>
      </c>
      <c r="G17" s="12">
        <f>SUMIFS(Base[Montante],Base[Categoria],$A17,Base[Ano],G$4)</f>
        <v/>
      </c>
      <c r="H17" s="12">
        <f>SUMIFS(Base[Montante],Base[Categoria],$A17,Base[Ano],H$4)</f>
        <v/>
      </c>
      <c r="I17" s="12">
        <f>SUM(B17:H17)</f>
        <v/>
      </c>
    </row>
    <row r="18">
      <c r="A18" s="5" t="inlineStr">
        <is>
          <t>SINOMA</t>
        </is>
      </c>
      <c r="B18" s="12">
        <f>SUMIFS(Base[Montante],Base[Categoria],$A18,Base[Ano],B$4)</f>
        <v/>
      </c>
      <c r="C18" s="12">
        <f>SUMIFS(Base[Montante],Base[Categoria],$A18,Base[Ano],C$4)</f>
        <v/>
      </c>
      <c r="D18" s="12">
        <f>SUMIFS(Base[Montante],Base[Categoria],$A18,Base[Ano],D$4)</f>
        <v/>
      </c>
      <c r="E18" s="12">
        <f>SUMIFS(Base[Montante],Base[Categoria],$A18,Base[Ano],E$4)</f>
        <v/>
      </c>
      <c r="F18" s="12">
        <f>SUMIFS(Base[Montante],Base[Categoria],$A18,Base[Ano],F$4)</f>
        <v/>
      </c>
      <c r="G18" s="12">
        <f>SUMIFS(Base[Montante],Base[Categoria],$A18,Base[Ano],G$4)</f>
        <v/>
      </c>
      <c r="H18" s="12">
        <f>SUMIFS(Base[Montante],Base[Categoria],$A18,Base[Ano],H$4)</f>
        <v/>
      </c>
      <c r="I18" s="12">
        <f>SUM(B18:H18)</f>
        <v/>
      </c>
    </row>
    <row r="19">
      <c r="A19" s="5" t="inlineStr">
        <is>
          <t>Social charges</t>
        </is>
      </c>
      <c r="B19" s="12">
        <f>SUMIFS(Base[Montante],Base[Categoria],$A19,Base[Ano],B$4)</f>
        <v/>
      </c>
      <c r="C19" s="12">
        <f>SUMIFS(Base[Montante],Base[Categoria],$A19,Base[Ano],C$4)</f>
        <v/>
      </c>
      <c r="D19" s="12">
        <f>SUMIFS(Base[Montante],Base[Categoria],$A19,Base[Ano],D$4)</f>
        <v/>
      </c>
      <c r="E19" s="12">
        <f>SUMIFS(Base[Montante],Base[Categoria],$A19,Base[Ano],E$4)</f>
        <v/>
      </c>
      <c r="F19" s="12">
        <f>SUMIFS(Base[Montante],Base[Categoria],$A19,Base[Ano],F$4)</f>
        <v/>
      </c>
      <c r="G19" s="12">
        <f>SUMIFS(Base[Montante],Base[Categoria],$A19,Base[Ano],G$4)</f>
        <v/>
      </c>
      <c r="H19" s="12">
        <f>SUMIFS(Base[Montante],Base[Categoria],$A19,Base[Ano],H$4)</f>
        <v/>
      </c>
      <c r="I19" s="12">
        <f>SUM(B19:H19)</f>
        <v/>
      </c>
    </row>
    <row r="20">
      <c r="A20" s="5" t="inlineStr">
        <is>
          <t>Taxes Payable</t>
        </is>
      </c>
      <c r="B20" s="12">
        <f>SUMIFS(Base[Montante],Base[Categoria],$A20,Base[Ano],B$4)</f>
        <v/>
      </c>
      <c r="C20" s="12">
        <f>SUMIFS(Base[Montante],Base[Categoria],$A20,Base[Ano],C$4)</f>
        <v/>
      </c>
      <c r="D20" s="12">
        <f>SUMIFS(Base[Montante],Base[Categoria],$A20,Base[Ano],D$4)</f>
        <v/>
      </c>
      <c r="E20" s="12">
        <f>SUMIFS(Base[Montante],Base[Categoria],$A20,Base[Ano],E$4)</f>
        <v/>
      </c>
      <c r="F20" s="12">
        <f>SUMIFS(Base[Montante],Base[Categoria],$A20,Base[Ano],F$4)</f>
        <v/>
      </c>
      <c r="G20" s="12">
        <f>SUMIFS(Base[Montante],Base[Categoria],$A20,Base[Ano],G$4)</f>
        <v/>
      </c>
      <c r="H20" s="12">
        <f>SUMIFS(Base[Montante],Base[Categoria],$A20,Base[Ano],H$4)</f>
        <v/>
      </c>
      <c r="I20" s="12">
        <f>SUM(B20:H20)</f>
        <v/>
      </c>
    </row>
    <row r="21">
      <c r="A21" s="5" t="inlineStr">
        <is>
          <t>(sem categoria)</t>
        </is>
      </c>
      <c r="B21" s="12">
        <f>SUMIFS(Base[Montante],Base[Categoria],$A21,Base[Ano],B$4)</f>
        <v/>
      </c>
      <c r="C21" s="12">
        <f>SUMIFS(Base[Montante],Base[Categoria],$A21,Base[Ano],C$4)</f>
        <v/>
      </c>
      <c r="D21" s="12">
        <f>SUMIFS(Base[Montante],Base[Categoria],$A21,Base[Ano],D$4)</f>
        <v/>
      </c>
      <c r="E21" s="12">
        <f>SUMIFS(Base[Montante],Base[Categoria],$A21,Base[Ano],E$4)</f>
        <v/>
      </c>
      <c r="F21" s="12">
        <f>SUMIFS(Base[Montante],Base[Categoria],$A21,Base[Ano],F$4)</f>
        <v/>
      </c>
      <c r="G21" s="12">
        <f>SUMIFS(Base[Montante],Base[Categoria],$A21,Base[Ano],G$4)</f>
        <v/>
      </c>
      <c r="H21" s="12">
        <f>SUMIFS(Base[Montante],Base[Categoria],$A21,Base[Ano],H$4)</f>
        <v/>
      </c>
      <c r="I21" s="12">
        <f>SUM(B21:H21)</f>
        <v/>
      </c>
    </row>
    <row r="22">
      <c r="A22" s="11" t="inlineStr">
        <is>
          <t>Total geral</t>
        </is>
      </c>
      <c r="B22" s="13">
        <f>SUM(B5:B21)</f>
        <v/>
      </c>
      <c r="C22" s="13">
        <f>SUM(C5:C21)</f>
        <v/>
      </c>
      <c r="D22" s="13">
        <f>SUM(D5:D21)</f>
        <v/>
      </c>
      <c r="E22" s="13">
        <f>SUM(E5:E21)</f>
        <v/>
      </c>
      <c r="F22" s="13">
        <f>SUM(F5:F21)</f>
        <v/>
      </c>
      <c r="G22" s="13">
        <f>SUM(G5:G21)</f>
        <v/>
      </c>
      <c r="H22" s="13">
        <f>SUM(H5:H21)</f>
        <v/>
      </c>
      <c r="I22" s="13">
        <f>SUM(I5:I21)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AP AGING</t>
        </is>
      </c>
    </row>
    <row r="2">
      <c r="A2" s="11" t="inlineStr">
        <is>
          <t>Exposicao por conta contabil</t>
        </is>
      </c>
    </row>
    <row r="3">
      <c r="A3" s="4" t="inlineStr">
        <is>
          <t>Envelhecimento pela idade do documento contabil de origem</t>
        </is>
      </c>
    </row>
    <row r="4">
      <c r="A4" s="8" t="inlineStr">
        <is>
          <t>Conta</t>
        </is>
      </c>
      <c r="B4" s="8" t="inlineStr">
        <is>
          <t>Descricao</t>
        </is>
      </c>
      <c r="C4" s="8" t="inlineStr">
        <is>
          <t>Até 2020</t>
        </is>
      </c>
      <c r="D4" s="8" t="inlineStr">
        <is>
          <t>2021</t>
        </is>
      </c>
      <c r="E4" s="8" t="inlineStr">
        <is>
          <t>2022</t>
        </is>
      </c>
      <c r="F4" s="8" t="inlineStr">
        <is>
          <t>2023</t>
        </is>
      </c>
      <c r="G4" s="8" t="inlineStr">
        <is>
          <t>2024</t>
        </is>
      </c>
      <c r="H4" s="8" t="inlineStr">
        <is>
          <t>2025</t>
        </is>
      </c>
      <c r="I4" s="8" t="inlineStr">
        <is>
          <t>2026</t>
        </is>
      </c>
      <c r="J4" s="8" t="inlineStr">
        <is>
          <t>Total</t>
        </is>
      </c>
    </row>
    <row r="5">
      <c r="A5" s="5" t="n">
        <v>1000010000</v>
      </c>
      <c r="B5" s="5" t="inlineStr">
        <is>
          <t>FUNDO FIXO DE CAIXA</t>
        </is>
      </c>
      <c r="C5" s="12">
        <f>SUMIFS(Base[Montante],Base[Conta],$A5,Base[Ano],C$4)</f>
        <v/>
      </c>
      <c r="D5" s="12">
        <f>SUMIFS(Base[Montante],Base[Conta],$A5,Base[Ano],D$4)</f>
        <v/>
      </c>
      <c r="E5" s="12">
        <f>SUMIFS(Base[Montante],Base[Conta],$A5,Base[Ano],E$4)</f>
        <v/>
      </c>
      <c r="F5" s="12">
        <f>SUMIFS(Base[Montante],Base[Conta],$A5,Base[Ano],F$4)</f>
        <v/>
      </c>
      <c r="G5" s="12">
        <f>SUMIFS(Base[Montante],Base[Conta],$A5,Base[Ano],G$4)</f>
        <v/>
      </c>
      <c r="H5" s="12">
        <f>SUMIFS(Base[Montante],Base[Conta],$A5,Base[Ano],H$4)</f>
        <v/>
      </c>
      <c r="I5" s="12">
        <f>SUMIFS(Base[Montante],Base[Conta],$A5,Base[Ano],I$4)</f>
        <v/>
      </c>
      <c r="J5" s="12">
        <f>SUM(C5:I5)</f>
        <v/>
      </c>
    </row>
    <row r="6">
      <c r="A6" s="5" t="n">
        <v>1117730000</v>
      </c>
      <c r="B6" s="5" t="inlineStr">
        <is>
          <t>ADIANTAMENTO DE VIAGENS</t>
        </is>
      </c>
      <c r="C6" s="12">
        <f>SUMIFS(Base[Montante],Base[Conta],$A6,Base[Ano],C$4)</f>
        <v/>
      </c>
      <c r="D6" s="12">
        <f>SUMIFS(Base[Montante],Base[Conta],$A6,Base[Ano],D$4)</f>
        <v/>
      </c>
      <c r="E6" s="12">
        <f>SUMIFS(Base[Montante],Base[Conta],$A6,Base[Ano],E$4)</f>
        <v/>
      </c>
      <c r="F6" s="12">
        <f>SUMIFS(Base[Montante],Base[Conta],$A6,Base[Ano],F$4)</f>
        <v/>
      </c>
      <c r="G6" s="12">
        <f>SUMIFS(Base[Montante],Base[Conta],$A6,Base[Ano],G$4)</f>
        <v/>
      </c>
      <c r="H6" s="12">
        <f>SUMIFS(Base[Montante],Base[Conta],$A6,Base[Ano],H$4)</f>
        <v/>
      </c>
      <c r="I6" s="12">
        <f>SUMIFS(Base[Montante],Base[Conta],$A6,Base[Ano],I$4)</f>
        <v/>
      </c>
      <c r="J6" s="12">
        <f>SUM(C6:I6)</f>
        <v/>
      </c>
    </row>
    <row r="7">
      <c r="A7" s="5" t="n">
        <v>1191000000</v>
      </c>
      <c r="B7" s="5" t="inlineStr">
        <is>
          <t>ADIANT. FORNECEDORES - TERCEIROS</t>
        </is>
      </c>
      <c r="C7" s="12">
        <f>SUMIFS(Base[Montante],Base[Conta],$A7,Base[Ano],C$4)</f>
        <v/>
      </c>
      <c r="D7" s="12">
        <f>SUMIFS(Base[Montante],Base[Conta],$A7,Base[Ano],D$4)</f>
        <v/>
      </c>
      <c r="E7" s="12">
        <f>SUMIFS(Base[Montante],Base[Conta],$A7,Base[Ano],E$4)</f>
        <v/>
      </c>
      <c r="F7" s="12">
        <f>SUMIFS(Base[Montante],Base[Conta],$A7,Base[Ano],F$4)</f>
        <v/>
      </c>
      <c r="G7" s="12">
        <f>SUMIFS(Base[Montante],Base[Conta],$A7,Base[Ano],G$4)</f>
        <v/>
      </c>
      <c r="H7" s="12">
        <f>SUMIFS(Base[Montante],Base[Conta],$A7,Base[Ano],H$4)</f>
        <v/>
      </c>
      <c r="I7" s="12">
        <f>SUMIFS(Base[Montante],Base[Conta],$A7,Base[Ano],I$4)</f>
        <v/>
      </c>
      <c r="J7" s="12">
        <f>SUM(C7:I7)</f>
        <v/>
      </c>
    </row>
    <row r="8">
      <c r="A8" s="5" t="n">
        <v>1193100000</v>
      </c>
      <c r="B8" s="5" t="inlineStr">
        <is>
          <t>ADIANT. FORNECEDORES - PARTES RELACIONADAS</t>
        </is>
      </c>
      <c r="C8" s="12">
        <f>SUMIFS(Base[Montante],Base[Conta],$A8,Base[Ano],C$4)</f>
        <v/>
      </c>
      <c r="D8" s="12">
        <f>SUMIFS(Base[Montante],Base[Conta],$A8,Base[Ano],D$4)</f>
        <v/>
      </c>
      <c r="E8" s="12">
        <f>SUMIFS(Base[Montante],Base[Conta],$A8,Base[Ano],E$4)</f>
        <v/>
      </c>
      <c r="F8" s="12">
        <f>SUMIFS(Base[Montante],Base[Conta],$A8,Base[Ano],F$4)</f>
        <v/>
      </c>
      <c r="G8" s="12">
        <f>SUMIFS(Base[Montante],Base[Conta],$A8,Base[Ano],G$4)</f>
        <v/>
      </c>
      <c r="H8" s="12">
        <f>SUMIFS(Base[Montante],Base[Conta],$A8,Base[Ano],H$4)</f>
        <v/>
      </c>
      <c r="I8" s="12">
        <f>SUMIFS(Base[Montante],Base[Conta],$A8,Base[Ano],I$4)</f>
        <v/>
      </c>
      <c r="J8" s="12">
        <f>SUM(C8:I8)</f>
        <v/>
      </c>
    </row>
    <row r="9">
      <c r="A9" s="5" t="n">
        <v>1517730000</v>
      </c>
      <c r="B9" s="5" t="inlineStr">
        <is>
          <t>ADIANTAMENTO DE VIAGEM</t>
        </is>
      </c>
      <c r="C9" s="12">
        <f>SUMIFS(Base[Montante],Base[Conta],$A9,Base[Ano],C$4)</f>
        <v/>
      </c>
      <c r="D9" s="12">
        <f>SUMIFS(Base[Montante],Base[Conta],$A9,Base[Ano],D$4)</f>
        <v/>
      </c>
      <c r="E9" s="12">
        <f>SUMIFS(Base[Montante],Base[Conta],$A9,Base[Ano],E$4)</f>
        <v/>
      </c>
      <c r="F9" s="12">
        <f>SUMIFS(Base[Montante],Base[Conta],$A9,Base[Ano],F$4)</f>
        <v/>
      </c>
      <c r="G9" s="12">
        <f>SUMIFS(Base[Montante],Base[Conta],$A9,Base[Ano],G$4)</f>
        <v/>
      </c>
      <c r="H9" s="12">
        <f>SUMIFS(Base[Montante],Base[Conta],$A9,Base[Ano],H$4)</f>
        <v/>
      </c>
      <c r="I9" s="12">
        <f>SUMIFS(Base[Montante],Base[Conta],$A9,Base[Ano],I$4)</f>
        <v/>
      </c>
      <c r="J9" s="12">
        <f>SUM(C9:I9)</f>
        <v/>
      </c>
    </row>
    <row r="10">
      <c r="A10" s="5" t="n">
        <v>2111000000</v>
      </c>
      <c r="B10" s="5" t="inlineStr">
        <is>
          <t>FORNECEDORES NACIONAIS</t>
        </is>
      </c>
      <c r="C10" s="12">
        <f>SUMIFS(Base[Montante],Base[Conta],$A10,Base[Ano],C$4)</f>
        <v/>
      </c>
      <c r="D10" s="12">
        <f>SUMIFS(Base[Montante],Base[Conta],$A10,Base[Ano],D$4)</f>
        <v/>
      </c>
      <c r="E10" s="12">
        <f>SUMIFS(Base[Montante],Base[Conta],$A10,Base[Ano],E$4)</f>
        <v/>
      </c>
      <c r="F10" s="12">
        <f>SUMIFS(Base[Montante],Base[Conta],$A10,Base[Ano],F$4)</f>
        <v/>
      </c>
      <c r="G10" s="12">
        <f>SUMIFS(Base[Montante],Base[Conta],$A10,Base[Ano],G$4)</f>
        <v/>
      </c>
      <c r="H10" s="12">
        <f>SUMIFS(Base[Montante],Base[Conta],$A10,Base[Ano],H$4)</f>
        <v/>
      </c>
      <c r="I10" s="12">
        <f>SUMIFS(Base[Montante],Base[Conta],$A10,Base[Ano],I$4)</f>
        <v/>
      </c>
      <c r="J10" s="12">
        <f>SUM(C10:I10)</f>
        <v/>
      </c>
    </row>
    <row r="11">
      <c r="A11" s="5" t="n">
        <v>2112000000</v>
      </c>
      <c r="B11" s="5" t="inlineStr">
        <is>
          <t>CONTAS A PAGAR - PAISES ESTRANGEIROS</t>
        </is>
      </c>
      <c r="C11" s="12">
        <f>SUMIFS(Base[Montante],Base[Conta],$A11,Base[Ano],C$4)</f>
        <v/>
      </c>
      <c r="D11" s="12">
        <f>SUMIFS(Base[Montante],Base[Conta],$A11,Base[Ano],D$4)</f>
        <v/>
      </c>
      <c r="E11" s="12">
        <f>SUMIFS(Base[Montante],Base[Conta],$A11,Base[Ano],E$4)</f>
        <v/>
      </c>
      <c r="F11" s="12">
        <f>SUMIFS(Base[Montante],Base[Conta],$A11,Base[Ano],F$4)</f>
        <v/>
      </c>
      <c r="G11" s="12">
        <f>SUMIFS(Base[Montante],Base[Conta],$A11,Base[Ano],G$4)</f>
        <v/>
      </c>
      <c r="H11" s="12">
        <f>SUMIFS(Base[Montante],Base[Conta],$A11,Base[Ano],H$4)</f>
        <v/>
      </c>
      <c r="I11" s="12">
        <f>SUMIFS(Base[Montante],Base[Conta],$A11,Base[Ano],I$4)</f>
        <v/>
      </c>
      <c r="J11" s="12">
        <f>SUM(C11:I11)</f>
        <v/>
      </c>
    </row>
    <row r="12">
      <c r="A12" s="5" t="n">
        <v>2114340000</v>
      </c>
      <c r="B12" s="5" t="inlineStr">
        <is>
          <t>RESPONSABILIDADES COM EMPREGADOS</t>
        </is>
      </c>
      <c r="C12" s="12">
        <f>SUMIFS(Base[Montante],Base[Conta],$A12,Base[Ano],C$4)</f>
        <v/>
      </c>
      <c r="D12" s="12">
        <f>SUMIFS(Base[Montante],Base[Conta],$A12,Base[Ano],D$4)</f>
        <v/>
      </c>
      <c r="E12" s="12">
        <f>SUMIFS(Base[Montante],Base[Conta],$A12,Base[Ano],E$4)</f>
        <v/>
      </c>
      <c r="F12" s="12">
        <f>SUMIFS(Base[Montante],Base[Conta],$A12,Base[Ano],F$4)</f>
        <v/>
      </c>
      <c r="G12" s="12">
        <f>SUMIFS(Base[Montante],Base[Conta],$A12,Base[Ano],G$4)</f>
        <v/>
      </c>
      <c r="H12" s="12">
        <f>SUMIFS(Base[Montante],Base[Conta],$A12,Base[Ano],H$4)</f>
        <v/>
      </c>
      <c r="I12" s="12">
        <f>SUMIFS(Base[Montante],Base[Conta],$A12,Base[Ano],I$4)</f>
        <v/>
      </c>
      <c r="J12" s="12">
        <f>SUM(C12:I12)</f>
        <v/>
      </c>
    </row>
    <row r="13">
      <c r="A13" s="5" t="n">
        <v>2122100000</v>
      </c>
      <c r="B13" s="5" t="inlineStr">
        <is>
          <t>FORNECEDORES - PARTES RELACIONADAS</t>
        </is>
      </c>
      <c r="C13" s="12">
        <f>SUMIFS(Base[Montante],Base[Conta],$A13,Base[Ano],C$4)</f>
        <v/>
      </c>
      <c r="D13" s="12">
        <f>SUMIFS(Base[Montante],Base[Conta],$A13,Base[Ano],D$4)</f>
        <v/>
      </c>
      <c r="E13" s="12">
        <f>SUMIFS(Base[Montante],Base[Conta],$A13,Base[Ano],E$4)</f>
        <v/>
      </c>
      <c r="F13" s="12">
        <f>SUMIFS(Base[Montante],Base[Conta],$A13,Base[Ano],F$4)</f>
        <v/>
      </c>
      <c r="G13" s="12">
        <f>SUMIFS(Base[Montante],Base[Conta],$A13,Base[Ano],G$4)</f>
        <v/>
      </c>
      <c r="H13" s="12">
        <f>SUMIFS(Base[Montante],Base[Conta],$A13,Base[Ano],H$4)</f>
        <v/>
      </c>
      <c r="I13" s="12">
        <f>SUMIFS(Base[Montante],Base[Conta],$A13,Base[Ano],I$4)</f>
        <v/>
      </c>
      <c r="J13" s="12">
        <f>SUM(C13:I13)</f>
        <v/>
      </c>
    </row>
    <row r="14">
      <c r="A14" s="11" t="inlineStr">
        <is>
          <t>Total geral</t>
        </is>
      </c>
      <c r="C14" s="13">
        <f>SUM(C5:C13)</f>
        <v/>
      </c>
      <c r="D14" s="13">
        <f>SUM(D5:D13)</f>
        <v/>
      </c>
      <c r="E14" s="13">
        <f>SUM(E5:E13)</f>
        <v/>
      </c>
      <c r="F14" s="13">
        <f>SUM(F5:F13)</f>
        <v/>
      </c>
      <c r="G14" s="13">
        <f>SUM(G5:G13)</f>
        <v/>
      </c>
      <c r="H14" s="13">
        <f>SUM(H5:H13)</f>
        <v/>
      </c>
      <c r="I14" s="13">
        <f>SUM(I5:I13)</f>
        <v/>
      </c>
      <c r="J14" s="13">
        <f>SUM(J5:J13)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AP AGING</t>
        </is>
      </c>
    </row>
    <row r="2">
      <c r="A2" s="11" t="inlineStr">
        <is>
          <t>Posicao por fornecedor</t>
        </is>
      </c>
    </row>
    <row r="3">
      <c r="A3" s="4" t="inlineStr">
        <is>
          <t>Filtre pela coluna Categoria ou Fornecedor usando as setas do cabecalho</t>
        </is>
      </c>
    </row>
    <row r="4">
      <c r="A4" s="8" t="inlineStr">
        <is>
          <t>Fornecedor</t>
        </is>
      </c>
      <c r="B4" s="8" t="inlineStr">
        <is>
          <t>Nome do fornecedor</t>
        </is>
      </c>
      <c r="C4" s="8" t="inlineStr">
        <is>
          <t>Categoria</t>
        </is>
      </c>
      <c r="D4" s="8" t="inlineStr">
        <is>
          <t>Até 2020</t>
        </is>
      </c>
      <c r="E4" s="8" t="inlineStr">
        <is>
          <t>2021</t>
        </is>
      </c>
      <c r="F4" s="8" t="inlineStr">
        <is>
          <t>2022</t>
        </is>
      </c>
      <c r="G4" s="8" t="inlineStr">
        <is>
          <t>2023</t>
        </is>
      </c>
      <c r="H4" s="8" t="inlineStr">
        <is>
          <t>2024</t>
        </is>
      </c>
      <c r="I4" s="8" t="inlineStr">
        <is>
          <t>2025</t>
        </is>
      </c>
      <c r="J4" s="8" t="inlineStr">
        <is>
          <t>2026</t>
        </is>
      </c>
      <c r="K4" s="8" t="inlineStr">
        <is>
          <t>Total</t>
        </is>
      </c>
    </row>
    <row r="5">
      <c r="A5" s="5" t="n">
        <v>114597</v>
      </c>
      <c r="B5" s="5" t="inlineStr">
        <is>
          <t>BLUEWAY TRADING IMPORTAÇAO E EXPORT SA</t>
        </is>
      </c>
      <c r="C5" s="5">
        <f>IFERROR(INDEX(DePara[Categoria],MATCH(TEXT(A5,"0"),DePara[Fornecedor_txt],0)),"(sem categoria)")</f>
        <v/>
      </c>
      <c r="D5" s="12">
        <f>SUMIFS(Base[Montante],Base[Fornecedor],$A5&amp;"",Base[Ano],D$4)</f>
        <v/>
      </c>
      <c r="E5" s="12">
        <f>SUMIFS(Base[Montante],Base[Fornecedor],$A5&amp;"",Base[Ano],E$4)</f>
        <v/>
      </c>
      <c r="F5" s="12">
        <f>SUMIFS(Base[Montante],Base[Fornecedor],$A5&amp;"",Base[Ano],F$4)</f>
        <v/>
      </c>
      <c r="G5" s="12">
        <f>SUMIFS(Base[Montante],Base[Fornecedor],$A5&amp;"",Base[Ano],G$4)</f>
        <v/>
      </c>
      <c r="H5" s="12">
        <f>SUMIFS(Base[Montante],Base[Fornecedor],$A5&amp;"",Base[Ano],H$4)</f>
        <v/>
      </c>
      <c r="I5" s="12">
        <f>SUMIFS(Base[Montante],Base[Fornecedor],$A5&amp;"",Base[Ano],I$4)</f>
        <v/>
      </c>
      <c r="J5" s="12">
        <f>SUMIFS(Base[Montante],Base[Fornecedor],$A5&amp;"",Base[Ano],J$4)</f>
        <v/>
      </c>
      <c r="K5" s="12">
        <f>SUM(D5:J5)</f>
        <v/>
      </c>
    </row>
    <row r="6">
      <c r="A6" s="5" t="n">
        <v>115019</v>
      </c>
      <c r="B6" s="5" t="inlineStr">
        <is>
          <t>BLUEWAY TRADING IMPORTAÇAO E EXPORT SA</t>
        </is>
      </c>
      <c r="C6" s="5">
        <f>IFERROR(INDEX(DePara[Categoria],MATCH(TEXT(A6,"0"),DePara[Fornecedor_txt],0)),"(sem categoria)")</f>
        <v/>
      </c>
      <c r="D6" s="12">
        <f>SUMIFS(Base[Montante],Base[Fornecedor],$A6&amp;"",Base[Ano],D$4)</f>
        <v/>
      </c>
      <c r="E6" s="12">
        <f>SUMIFS(Base[Montante],Base[Fornecedor],$A6&amp;"",Base[Ano],E$4)</f>
        <v/>
      </c>
      <c r="F6" s="12">
        <f>SUMIFS(Base[Montante],Base[Fornecedor],$A6&amp;"",Base[Ano],F$4)</f>
        <v/>
      </c>
      <c r="G6" s="12">
        <f>SUMIFS(Base[Montante],Base[Fornecedor],$A6&amp;"",Base[Ano],G$4)</f>
        <v/>
      </c>
      <c r="H6" s="12">
        <f>SUMIFS(Base[Montante],Base[Fornecedor],$A6&amp;"",Base[Ano],H$4)</f>
        <v/>
      </c>
      <c r="I6" s="12">
        <f>SUMIFS(Base[Montante],Base[Fornecedor],$A6&amp;"",Base[Ano],I$4)</f>
        <v/>
      </c>
      <c r="J6" s="12">
        <f>SUMIFS(Base[Montante],Base[Fornecedor],$A6&amp;"",Base[Ano],J$4)</f>
        <v/>
      </c>
      <c r="K6" s="12">
        <f>SUM(D6:J6)</f>
        <v/>
      </c>
    </row>
    <row r="7">
      <c r="A7" s="5" t="n">
        <v>100446</v>
      </c>
      <c r="B7" s="5" t="inlineStr">
        <is>
          <t>DSV AIR &amp; SEA BRASIL LTDA</t>
        </is>
      </c>
      <c r="C7" s="5">
        <f>IFERROR(INDEX(DePara[Categoria],MATCH(TEXT(A7,"0"),DePara[Fornecedor_txt],0)),"(sem categoria)")</f>
        <v/>
      </c>
      <c r="D7" s="12">
        <f>SUMIFS(Base[Montante],Base[Fornecedor],$A7&amp;"",Base[Ano],D$4)</f>
        <v/>
      </c>
      <c r="E7" s="12">
        <f>SUMIFS(Base[Montante],Base[Fornecedor],$A7&amp;"",Base[Ano],E$4)</f>
        <v/>
      </c>
      <c r="F7" s="12">
        <f>SUMIFS(Base[Montante],Base[Fornecedor],$A7&amp;"",Base[Ano],F$4)</f>
        <v/>
      </c>
      <c r="G7" s="12">
        <f>SUMIFS(Base[Montante],Base[Fornecedor],$A7&amp;"",Base[Ano],G$4)</f>
        <v/>
      </c>
      <c r="H7" s="12">
        <f>SUMIFS(Base[Montante],Base[Fornecedor],$A7&amp;"",Base[Ano],H$4)</f>
        <v/>
      </c>
      <c r="I7" s="12">
        <f>SUMIFS(Base[Montante],Base[Fornecedor],$A7&amp;"",Base[Ano],I$4)</f>
        <v/>
      </c>
      <c r="J7" s="12">
        <f>SUMIFS(Base[Montante],Base[Fornecedor],$A7&amp;"",Base[Ano],J$4)</f>
        <v/>
      </c>
      <c r="K7" s="12">
        <f>SUM(D7:J7)</f>
        <v/>
      </c>
    </row>
    <row r="8">
      <c r="A8" s="5" t="n">
        <v>100447</v>
      </c>
      <c r="B8" s="5" t="inlineStr">
        <is>
          <t>DSV AIR &amp; SEA BRASIL LTDA</t>
        </is>
      </c>
      <c r="C8" s="5">
        <f>IFERROR(INDEX(DePara[Categoria],MATCH(TEXT(A8,"0"),DePara[Fornecedor_txt],0)),"(sem categoria)")</f>
        <v/>
      </c>
      <c r="D8" s="12">
        <f>SUMIFS(Base[Montante],Base[Fornecedor],$A8&amp;"",Base[Ano],D$4)</f>
        <v/>
      </c>
      <c r="E8" s="12">
        <f>SUMIFS(Base[Montante],Base[Fornecedor],$A8&amp;"",Base[Ano],E$4)</f>
        <v/>
      </c>
      <c r="F8" s="12">
        <f>SUMIFS(Base[Montante],Base[Fornecedor],$A8&amp;"",Base[Ano],F$4)</f>
        <v/>
      </c>
      <c r="G8" s="12">
        <f>SUMIFS(Base[Montante],Base[Fornecedor],$A8&amp;"",Base[Ano],G$4)</f>
        <v/>
      </c>
      <c r="H8" s="12">
        <f>SUMIFS(Base[Montante],Base[Fornecedor],$A8&amp;"",Base[Ano],H$4)</f>
        <v/>
      </c>
      <c r="I8" s="12">
        <f>SUMIFS(Base[Montante],Base[Fornecedor],$A8&amp;"",Base[Ano],I$4)</f>
        <v/>
      </c>
      <c r="J8" s="12">
        <f>SUMIFS(Base[Montante],Base[Fornecedor],$A8&amp;"",Base[Ano],J$4)</f>
        <v/>
      </c>
      <c r="K8" s="12">
        <f>SUM(D8:J8)</f>
        <v/>
      </c>
    </row>
    <row r="9">
      <c r="A9" s="5" t="n">
        <v>100805</v>
      </c>
      <c r="B9" s="5" t="inlineStr">
        <is>
          <t>EXPRESSO VALE REAL LTDA</t>
        </is>
      </c>
      <c r="C9" s="5">
        <f>IFERROR(INDEX(DePara[Categoria],MATCH(TEXT(A9,"0"),DePara[Fornecedor_txt],0)),"(sem categoria)")</f>
        <v/>
      </c>
      <c r="D9" s="12">
        <f>SUMIFS(Base[Montante],Base[Fornecedor],$A9&amp;"",Base[Ano],D$4)</f>
        <v/>
      </c>
      <c r="E9" s="12">
        <f>SUMIFS(Base[Montante],Base[Fornecedor],$A9&amp;"",Base[Ano],E$4)</f>
        <v/>
      </c>
      <c r="F9" s="12">
        <f>SUMIFS(Base[Montante],Base[Fornecedor],$A9&amp;"",Base[Ano],F$4)</f>
        <v/>
      </c>
      <c r="G9" s="12">
        <f>SUMIFS(Base[Montante],Base[Fornecedor],$A9&amp;"",Base[Ano],G$4)</f>
        <v/>
      </c>
      <c r="H9" s="12">
        <f>SUMIFS(Base[Montante],Base[Fornecedor],$A9&amp;"",Base[Ano],H$4)</f>
        <v/>
      </c>
      <c r="I9" s="12">
        <f>SUMIFS(Base[Montante],Base[Fornecedor],$A9&amp;"",Base[Ano],I$4)</f>
        <v/>
      </c>
      <c r="J9" s="12">
        <f>SUMIFS(Base[Montante],Base[Fornecedor],$A9&amp;"",Base[Ano],J$4)</f>
        <v/>
      </c>
      <c r="K9" s="12">
        <f>SUM(D9:J9)</f>
        <v/>
      </c>
    </row>
    <row r="10">
      <c r="A10" s="5" t="n">
        <v>100830</v>
      </c>
      <c r="B10" s="5" t="inlineStr">
        <is>
          <t>EXPRESSO VALE REAL LTDA</t>
        </is>
      </c>
      <c r="C10" s="5">
        <f>IFERROR(INDEX(DePara[Categoria],MATCH(TEXT(A10,"0"),DePara[Fornecedor_txt],0)),"(sem categoria)")</f>
        <v/>
      </c>
      <c r="D10" s="12">
        <f>SUMIFS(Base[Montante],Base[Fornecedor],$A10&amp;"",Base[Ano],D$4)</f>
        <v/>
      </c>
      <c r="E10" s="12">
        <f>SUMIFS(Base[Montante],Base[Fornecedor],$A10&amp;"",Base[Ano],E$4)</f>
        <v/>
      </c>
      <c r="F10" s="12">
        <f>SUMIFS(Base[Montante],Base[Fornecedor],$A10&amp;"",Base[Ano],F$4)</f>
        <v/>
      </c>
      <c r="G10" s="12">
        <f>SUMIFS(Base[Montante],Base[Fornecedor],$A10&amp;"",Base[Ano],G$4)</f>
        <v/>
      </c>
      <c r="H10" s="12">
        <f>SUMIFS(Base[Montante],Base[Fornecedor],$A10&amp;"",Base[Ano],H$4)</f>
        <v/>
      </c>
      <c r="I10" s="12">
        <f>SUMIFS(Base[Montante],Base[Fornecedor],$A10&amp;"",Base[Ano],I$4)</f>
        <v/>
      </c>
      <c r="J10" s="12">
        <f>SUMIFS(Base[Montante],Base[Fornecedor],$A10&amp;"",Base[Ano],J$4)</f>
        <v/>
      </c>
      <c r="K10" s="12">
        <f>SUM(D10:J10)</f>
        <v/>
      </c>
    </row>
    <row r="11">
      <c r="A11" s="5" t="n">
        <v>100929</v>
      </c>
      <c r="B11" s="5" t="inlineStr">
        <is>
          <t>EXPRESSO VALE REAL LTDA</t>
        </is>
      </c>
      <c r="C11" s="5">
        <f>IFERROR(INDEX(DePara[Categoria],MATCH(TEXT(A11,"0"),DePara[Fornecedor_txt],0)),"(sem categoria)")</f>
        <v/>
      </c>
      <c r="D11" s="12">
        <f>SUMIFS(Base[Montante],Base[Fornecedor],$A11&amp;"",Base[Ano],D$4)</f>
        <v/>
      </c>
      <c r="E11" s="12">
        <f>SUMIFS(Base[Montante],Base[Fornecedor],$A11&amp;"",Base[Ano],E$4)</f>
        <v/>
      </c>
      <c r="F11" s="12">
        <f>SUMIFS(Base[Montante],Base[Fornecedor],$A11&amp;"",Base[Ano],F$4)</f>
        <v/>
      </c>
      <c r="G11" s="12">
        <f>SUMIFS(Base[Montante],Base[Fornecedor],$A11&amp;"",Base[Ano],G$4)</f>
        <v/>
      </c>
      <c r="H11" s="12">
        <f>SUMIFS(Base[Montante],Base[Fornecedor],$A11&amp;"",Base[Ano],H$4)</f>
        <v/>
      </c>
      <c r="I11" s="12">
        <f>SUMIFS(Base[Montante],Base[Fornecedor],$A11&amp;"",Base[Ano],I$4)</f>
        <v/>
      </c>
      <c r="J11" s="12">
        <f>SUMIFS(Base[Montante],Base[Fornecedor],$A11&amp;"",Base[Ano],J$4)</f>
        <v/>
      </c>
      <c r="K11" s="12">
        <f>SUM(D11:J11)</f>
        <v/>
      </c>
    </row>
    <row r="12">
      <c r="A12" s="5" t="n">
        <v>100573</v>
      </c>
      <c r="B12" s="5" t="inlineStr">
        <is>
          <t>FEDERAL EXPRESS CORPORATION</t>
        </is>
      </c>
      <c r="C12" s="5">
        <f>IFERROR(INDEX(DePara[Categoria],MATCH(TEXT(A12,"0"),DePara[Fornecedor_txt],0)),"(sem categoria)")</f>
        <v/>
      </c>
      <c r="D12" s="12">
        <f>SUMIFS(Base[Montante],Base[Fornecedor],$A12&amp;"",Base[Ano],D$4)</f>
        <v/>
      </c>
      <c r="E12" s="12">
        <f>SUMIFS(Base[Montante],Base[Fornecedor],$A12&amp;"",Base[Ano],E$4)</f>
        <v/>
      </c>
      <c r="F12" s="12">
        <f>SUMIFS(Base[Montante],Base[Fornecedor],$A12&amp;"",Base[Ano],F$4)</f>
        <v/>
      </c>
      <c r="G12" s="12">
        <f>SUMIFS(Base[Montante],Base[Fornecedor],$A12&amp;"",Base[Ano],G$4)</f>
        <v/>
      </c>
      <c r="H12" s="12">
        <f>SUMIFS(Base[Montante],Base[Fornecedor],$A12&amp;"",Base[Ano],H$4)</f>
        <v/>
      </c>
      <c r="I12" s="12">
        <f>SUMIFS(Base[Montante],Base[Fornecedor],$A12&amp;"",Base[Ano],I$4)</f>
        <v/>
      </c>
      <c r="J12" s="12">
        <f>SUMIFS(Base[Montante],Base[Fornecedor],$A12&amp;"",Base[Ano],J$4)</f>
        <v/>
      </c>
      <c r="K12" s="12">
        <f>SUM(D12:J12)</f>
        <v/>
      </c>
    </row>
    <row r="13">
      <c r="A13" s="5" t="n">
        <v>103886</v>
      </c>
      <c r="B13" s="5" t="inlineStr">
        <is>
          <t>FEDERAL EXPRESS CORPORATION</t>
        </is>
      </c>
      <c r="C13" s="5">
        <f>IFERROR(INDEX(DePara[Categoria],MATCH(TEXT(A13,"0"),DePara[Fornecedor_txt],0)),"(sem categoria)")</f>
        <v/>
      </c>
      <c r="D13" s="12">
        <f>SUMIFS(Base[Montante],Base[Fornecedor],$A13&amp;"",Base[Ano],D$4)</f>
        <v/>
      </c>
      <c r="E13" s="12">
        <f>SUMIFS(Base[Montante],Base[Fornecedor],$A13&amp;"",Base[Ano],E$4)</f>
        <v/>
      </c>
      <c r="F13" s="12">
        <f>SUMIFS(Base[Montante],Base[Fornecedor],$A13&amp;"",Base[Ano],F$4)</f>
        <v/>
      </c>
      <c r="G13" s="12">
        <f>SUMIFS(Base[Montante],Base[Fornecedor],$A13&amp;"",Base[Ano],G$4)</f>
        <v/>
      </c>
      <c r="H13" s="12">
        <f>SUMIFS(Base[Montante],Base[Fornecedor],$A13&amp;"",Base[Ano],H$4)</f>
        <v/>
      </c>
      <c r="I13" s="12">
        <f>SUMIFS(Base[Montante],Base[Fornecedor],$A13&amp;"",Base[Ano],I$4)</f>
        <v/>
      </c>
      <c r="J13" s="12">
        <f>SUMIFS(Base[Montante],Base[Fornecedor],$A13&amp;"",Base[Ano],J$4)</f>
        <v/>
      </c>
      <c r="K13" s="12">
        <f>SUM(D13:J13)</f>
        <v/>
      </c>
    </row>
    <row r="14">
      <c r="A14" s="5" t="n">
        <v>101777</v>
      </c>
      <c r="B14" s="5" t="inlineStr">
        <is>
          <t>INGRAM MICRO BRASIL LTDA</t>
        </is>
      </c>
      <c r="C14" s="5">
        <f>IFERROR(INDEX(DePara[Categoria],MATCH(TEXT(A14,"0"),DePara[Fornecedor_txt],0)),"(sem categoria)")</f>
        <v/>
      </c>
      <c r="D14" s="12">
        <f>SUMIFS(Base[Montante],Base[Fornecedor],$A14&amp;"",Base[Ano],D$4)</f>
        <v/>
      </c>
      <c r="E14" s="12">
        <f>SUMIFS(Base[Montante],Base[Fornecedor],$A14&amp;"",Base[Ano],E$4)</f>
        <v/>
      </c>
      <c r="F14" s="12">
        <f>SUMIFS(Base[Montante],Base[Fornecedor],$A14&amp;"",Base[Ano],F$4)</f>
        <v/>
      </c>
      <c r="G14" s="12">
        <f>SUMIFS(Base[Montante],Base[Fornecedor],$A14&amp;"",Base[Ano],G$4)</f>
        <v/>
      </c>
      <c r="H14" s="12">
        <f>SUMIFS(Base[Montante],Base[Fornecedor],$A14&amp;"",Base[Ano],H$4)</f>
        <v/>
      </c>
      <c r="I14" s="12">
        <f>SUMIFS(Base[Montante],Base[Fornecedor],$A14&amp;"",Base[Ano],I$4)</f>
        <v/>
      </c>
      <c r="J14" s="12">
        <f>SUMIFS(Base[Montante],Base[Fornecedor],$A14&amp;"",Base[Ano],J$4)</f>
        <v/>
      </c>
      <c r="K14" s="12">
        <f>SUM(D14:J14)</f>
        <v/>
      </c>
    </row>
    <row r="15">
      <c r="A15" s="5" t="n">
        <v>102099</v>
      </c>
      <c r="B15" s="5" t="inlineStr">
        <is>
          <t>INGRAM MICRO BRASIL LTDA</t>
        </is>
      </c>
      <c r="C15" s="5">
        <f>IFERROR(INDEX(DePara[Categoria],MATCH(TEXT(A15,"0"),DePara[Fornecedor_txt],0)),"(sem categoria)")</f>
        <v/>
      </c>
      <c r="D15" s="12">
        <f>SUMIFS(Base[Montante],Base[Fornecedor],$A15&amp;"",Base[Ano],D$4)</f>
        <v/>
      </c>
      <c r="E15" s="12">
        <f>SUMIFS(Base[Montante],Base[Fornecedor],$A15&amp;"",Base[Ano],E$4)</f>
        <v/>
      </c>
      <c r="F15" s="12">
        <f>SUMIFS(Base[Montante],Base[Fornecedor],$A15&amp;"",Base[Ano],F$4)</f>
        <v/>
      </c>
      <c r="G15" s="12">
        <f>SUMIFS(Base[Montante],Base[Fornecedor],$A15&amp;"",Base[Ano],G$4)</f>
        <v/>
      </c>
      <c r="H15" s="12">
        <f>SUMIFS(Base[Montante],Base[Fornecedor],$A15&amp;"",Base[Ano],H$4)</f>
        <v/>
      </c>
      <c r="I15" s="12">
        <f>SUMIFS(Base[Montante],Base[Fornecedor],$A15&amp;"",Base[Ano],I$4)</f>
        <v/>
      </c>
      <c r="J15" s="12">
        <f>SUMIFS(Base[Montante],Base[Fornecedor],$A15&amp;"",Base[Ano],J$4)</f>
        <v/>
      </c>
      <c r="K15" s="12">
        <f>SUM(D15:J15)</f>
        <v/>
      </c>
    </row>
    <row r="16">
      <c r="A16" s="5" t="n">
        <v>101611</v>
      </c>
      <c r="B16" s="5" t="inlineStr">
        <is>
          <t>SECRETARIA DA FAZENDA BAHIA</t>
        </is>
      </c>
      <c r="C16" s="5">
        <f>IFERROR(INDEX(DePara[Categoria],MATCH(TEXT(A16,"0"),DePara[Fornecedor_txt],0)),"(sem categoria)")</f>
        <v/>
      </c>
      <c r="D16" s="12">
        <f>SUMIFS(Base[Montante],Base[Fornecedor],$A16&amp;"",Base[Ano],D$4)</f>
        <v/>
      </c>
      <c r="E16" s="12">
        <f>SUMIFS(Base[Montante],Base[Fornecedor],$A16&amp;"",Base[Ano],E$4)</f>
        <v/>
      </c>
      <c r="F16" s="12">
        <f>SUMIFS(Base[Montante],Base[Fornecedor],$A16&amp;"",Base[Ano],F$4)</f>
        <v/>
      </c>
      <c r="G16" s="12">
        <f>SUMIFS(Base[Montante],Base[Fornecedor],$A16&amp;"",Base[Ano],G$4)</f>
        <v/>
      </c>
      <c r="H16" s="12">
        <f>SUMIFS(Base[Montante],Base[Fornecedor],$A16&amp;"",Base[Ano],H$4)</f>
        <v/>
      </c>
      <c r="I16" s="12">
        <f>SUMIFS(Base[Montante],Base[Fornecedor],$A16&amp;"",Base[Ano],I$4)</f>
        <v/>
      </c>
      <c r="J16" s="12">
        <f>SUMIFS(Base[Montante],Base[Fornecedor],$A16&amp;"",Base[Ano],J$4)</f>
        <v/>
      </c>
      <c r="K16" s="12">
        <f>SUM(D16:J16)</f>
        <v/>
      </c>
    </row>
    <row r="17">
      <c r="A17" s="5" t="n">
        <v>103681</v>
      </c>
      <c r="B17" s="5" t="inlineStr">
        <is>
          <t>SECRETARIA DA FAZENDA BAHIA</t>
        </is>
      </c>
      <c r="C17" s="5">
        <f>IFERROR(INDEX(DePara[Categoria],MATCH(TEXT(A17,"0"),DePara[Fornecedor_txt],0)),"(sem categoria)")</f>
        <v/>
      </c>
      <c r="D17" s="12">
        <f>SUMIFS(Base[Montante],Base[Fornecedor],$A17&amp;"",Base[Ano],D$4)</f>
        <v/>
      </c>
      <c r="E17" s="12">
        <f>SUMIFS(Base[Montante],Base[Fornecedor],$A17&amp;"",Base[Ano],E$4)</f>
        <v/>
      </c>
      <c r="F17" s="12">
        <f>SUMIFS(Base[Montante],Base[Fornecedor],$A17&amp;"",Base[Ano],F$4)</f>
        <v/>
      </c>
      <c r="G17" s="12">
        <f>SUMIFS(Base[Montante],Base[Fornecedor],$A17&amp;"",Base[Ano],G$4)</f>
        <v/>
      </c>
      <c r="H17" s="12">
        <f>SUMIFS(Base[Montante],Base[Fornecedor],$A17&amp;"",Base[Ano],H$4)</f>
        <v/>
      </c>
      <c r="I17" s="12">
        <f>SUMIFS(Base[Montante],Base[Fornecedor],$A17&amp;"",Base[Ano],I$4)</f>
        <v/>
      </c>
      <c r="J17" s="12">
        <f>SUMIFS(Base[Montante],Base[Fornecedor],$A17&amp;"",Base[Ano],J$4)</f>
        <v/>
      </c>
      <c r="K17" s="12">
        <f>SUM(D17:J17)</f>
        <v/>
      </c>
    </row>
    <row r="18">
      <c r="A18" s="5" t="n">
        <v>101287</v>
      </c>
      <c r="B18" s="5" t="inlineStr">
        <is>
          <t>TELEFONICA BRASIL SA</t>
        </is>
      </c>
      <c r="C18" s="5">
        <f>IFERROR(INDEX(DePara[Categoria],MATCH(TEXT(A18,"0"),DePara[Fornecedor_txt],0)),"(sem categoria)")</f>
        <v/>
      </c>
      <c r="D18" s="12">
        <f>SUMIFS(Base[Montante],Base[Fornecedor],$A18&amp;"",Base[Ano],D$4)</f>
        <v/>
      </c>
      <c r="E18" s="12">
        <f>SUMIFS(Base[Montante],Base[Fornecedor],$A18&amp;"",Base[Ano],E$4)</f>
        <v/>
      </c>
      <c r="F18" s="12">
        <f>SUMIFS(Base[Montante],Base[Fornecedor],$A18&amp;"",Base[Ano],F$4)</f>
        <v/>
      </c>
      <c r="G18" s="12">
        <f>SUMIFS(Base[Montante],Base[Fornecedor],$A18&amp;"",Base[Ano],G$4)</f>
        <v/>
      </c>
      <c r="H18" s="12">
        <f>SUMIFS(Base[Montante],Base[Fornecedor],$A18&amp;"",Base[Ano],H$4)</f>
        <v/>
      </c>
      <c r="I18" s="12">
        <f>SUMIFS(Base[Montante],Base[Fornecedor],$A18&amp;"",Base[Ano],I$4)</f>
        <v/>
      </c>
      <c r="J18" s="12">
        <f>SUMIFS(Base[Montante],Base[Fornecedor],$A18&amp;"",Base[Ano],J$4)</f>
        <v/>
      </c>
      <c r="K18" s="12">
        <f>SUM(D18:J18)</f>
        <v/>
      </c>
    </row>
    <row r="19">
      <c r="A19" s="5" t="n">
        <v>101597</v>
      </c>
      <c r="B19" s="5" t="inlineStr">
        <is>
          <t>TELEFONICA BRASIL SA</t>
        </is>
      </c>
      <c r="C19" s="5">
        <f>IFERROR(INDEX(DePara[Categoria],MATCH(TEXT(A19,"0"),DePara[Fornecedor_txt],0)),"(sem categoria)")</f>
        <v/>
      </c>
      <c r="D19" s="12">
        <f>SUMIFS(Base[Montante],Base[Fornecedor],$A19&amp;"",Base[Ano],D$4)</f>
        <v/>
      </c>
      <c r="E19" s="12">
        <f>SUMIFS(Base[Montante],Base[Fornecedor],$A19&amp;"",Base[Ano],E$4)</f>
        <v/>
      </c>
      <c r="F19" s="12">
        <f>SUMIFS(Base[Montante],Base[Fornecedor],$A19&amp;"",Base[Ano],F$4)</f>
        <v/>
      </c>
      <c r="G19" s="12">
        <f>SUMIFS(Base[Montante],Base[Fornecedor],$A19&amp;"",Base[Ano],G$4)</f>
        <v/>
      </c>
      <c r="H19" s="12">
        <f>SUMIFS(Base[Montante],Base[Fornecedor],$A19&amp;"",Base[Ano],H$4)</f>
        <v/>
      </c>
      <c r="I19" s="12">
        <f>SUMIFS(Base[Montante],Base[Fornecedor],$A19&amp;"",Base[Ano],I$4)</f>
        <v/>
      </c>
      <c r="J19" s="12">
        <f>SUMIFS(Base[Montante],Base[Fornecedor],$A19&amp;"",Base[Ano],J$4)</f>
        <v/>
      </c>
      <c r="K19" s="12">
        <f>SUM(D19:J19)</f>
        <v/>
      </c>
    </row>
    <row r="20">
      <c r="A20" s="5" t="n">
        <v>102084</v>
      </c>
      <c r="B20" s="5" t="inlineStr">
        <is>
          <t>TELEFONICA BRASIL SA</t>
        </is>
      </c>
      <c r="C20" s="5">
        <f>IFERROR(INDEX(DePara[Categoria],MATCH(TEXT(A20,"0"),DePara[Fornecedor_txt],0)),"(sem categoria)")</f>
        <v/>
      </c>
      <c r="D20" s="12">
        <f>SUMIFS(Base[Montante],Base[Fornecedor],$A20&amp;"",Base[Ano],D$4)</f>
        <v/>
      </c>
      <c r="E20" s="12">
        <f>SUMIFS(Base[Montante],Base[Fornecedor],$A20&amp;"",Base[Ano],E$4)</f>
        <v/>
      </c>
      <c r="F20" s="12">
        <f>SUMIFS(Base[Montante],Base[Fornecedor],$A20&amp;"",Base[Ano],F$4)</f>
        <v/>
      </c>
      <c r="G20" s="12">
        <f>SUMIFS(Base[Montante],Base[Fornecedor],$A20&amp;"",Base[Ano],G$4)</f>
        <v/>
      </c>
      <c r="H20" s="12">
        <f>SUMIFS(Base[Montante],Base[Fornecedor],$A20&amp;"",Base[Ano],H$4)</f>
        <v/>
      </c>
      <c r="I20" s="12">
        <f>SUMIFS(Base[Montante],Base[Fornecedor],$A20&amp;"",Base[Ano],I$4)</f>
        <v/>
      </c>
      <c r="J20" s="12">
        <f>SUMIFS(Base[Montante],Base[Fornecedor],$A20&amp;"",Base[Ano],J$4)</f>
        <v/>
      </c>
      <c r="K20" s="12">
        <f>SUM(D20:J20)</f>
        <v/>
      </c>
    </row>
    <row r="21">
      <c r="A21" s="5" t="n">
        <v>101045</v>
      </c>
      <c r="B21" s="5" t="inlineStr">
        <is>
          <t>WILSON SONS LOGISTICA LTDA</t>
        </is>
      </c>
      <c r="C21" s="5">
        <f>IFERROR(INDEX(DePara[Categoria],MATCH(TEXT(A21,"0"),DePara[Fornecedor_txt],0)),"(sem categoria)")</f>
        <v/>
      </c>
      <c r="D21" s="12">
        <f>SUMIFS(Base[Montante],Base[Fornecedor],$A21&amp;"",Base[Ano],D$4)</f>
        <v/>
      </c>
      <c r="E21" s="12">
        <f>SUMIFS(Base[Montante],Base[Fornecedor],$A21&amp;"",Base[Ano],E$4)</f>
        <v/>
      </c>
      <c r="F21" s="12">
        <f>SUMIFS(Base[Montante],Base[Fornecedor],$A21&amp;"",Base[Ano],F$4)</f>
        <v/>
      </c>
      <c r="G21" s="12">
        <f>SUMIFS(Base[Montante],Base[Fornecedor],$A21&amp;"",Base[Ano],G$4)</f>
        <v/>
      </c>
      <c r="H21" s="12">
        <f>SUMIFS(Base[Montante],Base[Fornecedor],$A21&amp;"",Base[Ano],H$4)</f>
        <v/>
      </c>
      <c r="I21" s="12">
        <f>SUMIFS(Base[Montante],Base[Fornecedor],$A21&amp;"",Base[Ano],I$4)</f>
        <v/>
      </c>
      <c r="J21" s="12">
        <f>SUMIFS(Base[Montante],Base[Fornecedor],$A21&amp;"",Base[Ano],J$4)</f>
        <v/>
      </c>
      <c r="K21" s="12">
        <f>SUM(D21:J21)</f>
        <v/>
      </c>
    </row>
    <row r="22">
      <c r="A22" s="5" t="n">
        <v>101255</v>
      </c>
      <c r="B22" s="5" t="inlineStr">
        <is>
          <t>WILSON SONS LOGISTICA LTDA</t>
        </is>
      </c>
      <c r="C22" s="5">
        <f>IFERROR(INDEX(DePara[Categoria],MATCH(TEXT(A22,"0"),DePara[Fornecedor_txt],0)),"(sem categoria)")</f>
        <v/>
      </c>
      <c r="D22" s="12">
        <f>SUMIFS(Base[Montante],Base[Fornecedor],$A22&amp;"",Base[Ano],D$4)</f>
        <v/>
      </c>
      <c r="E22" s="12">
        <f>SUMIFS(Base[Montante],Base[Fornecedor],$A22&amp;"",Base[Ano],E$4)</f>
        <v/>
      </c>
      <c r="F22" s="12">
        <f>SUMIFS(Base[Montante],Base[Fornecedor],$A22&amp;"",Base[Ano],F$4)</f>
        <v/>
      </c>
      <c r="G22" s="12">
        <f>SUMIFS(Base[Montante],Base[Fornecedor],$A22&amp;"",Base[Ano],G$4)</f>
        <v/>
      </c>
      <c r="H22" s="12">
        <f>SUMIFS(Base[Montante],Base[Fornecedor],$A22&amp;"",Base[Ano],H$4)</f>
        <v/>
      </c>
      <c r="I22" s="12">
        <f>SUMIFS(Base[Montante],Base[Fornecedor],$A22&amp;"",Base[Ano],I$4)</f>
        <v/>
      </c>
      <c r="J22" s="12">
        <f>SUMIFS(Base[Montante],Base[Fornecedor],$A22&amp;"",Base[Ano],J$4)</f>
        <v/>
      </c>
      <c r="K22" s="12">
        <f>SUM(D22:J22)</f>
        <v/>
      </c>
    </row>
    <row r="23">
      <c r="A23" s="5" t="n">
        <v>100014</v>
      </c>
      <c r="B23" s="5" t="inlineStr">
        <is>
          <t xml:space="preserve"> TRANSITEX DO BRASIL SERVIÇOS DE LO</t>
        </is>
      </c>
      <c r="C23" s="5">
        <f>IFERROR(INDEX(DePara[Categoria],MATCH(TEXT(A23,"0"),DePara[Fornecedor_txt],0)),"(sem categoria)")</f>
        <v/>
      </c>
      <c r="D23" s="12">
        <f>SUMIFS(Base[Montante],Base[Fornecedor],$A23&amp;"",Base[Ano],D$4)</f>
        <v/>
      </c>
      <c r="E23" s="12">
        <f>SUMIFS(Base[Montante],Base[Fornecedor],$A23&amp;"",Base[Ano],E$4)</f>
        <v/>
      </c>
      <c r="F23" s="12">
        <f>SUMIFS(Base[Montante],Base[Fornecedor],$A23&amp;"",Base[Ano],F$4)</f>
        <v/>
      </c>
      <c r="G23" s="12">
        <f>SUMIFS(Base[Montante],Base[Fornecedor],$A23&amp;"",Base[Ano],G$4)</f>
        <v/>
      </c>
      <c r="H23" s="12">
        <f>SUMIFS(Base[Montante],Base[Fornecedor],$A23&amp;"",Base[Ano],H$4)</f>
        <v/>
      </c>
      <c r="I23" s="12">
        <f>SUMIFS(Base[Montante],Base[Fornecedor],$A23&amp;"",Base[Ano],I$4)</f>
        <v/>
      </c>
      <c r="J23" s="12">
        <f>SUMIFS(Base[Montante],Base[Fornecedor],$A23&amp;"",Base[Ano],J$4)</f>
        <v/>
      </c>
      <c r="K23" s="12">
        <f>SUM(D23:J23)</f>
        <v/>
      </c>
    </row>
    <row r="24">
      <c r="A24" s="5" t="n">
        <v>102113</v>
      </c>
      <c r="B24" s="5" t="inlineStr">
        <is>
          <t>3Z MOVIMENTACAO INTELIGENTE LTDA 94772233000237</t>
        </is>
      </c>
      <c r="C24" s="5">
        <f>IFERROR(INDEX(DePara[Categoria],MATCH(TEXT(A24,"0"),DePara[Fornecedor_txt],0)),"(sem categoria)")</f>
        <v/>
      </c>
      <c r="D24" s="12">
        <f>SUMIFS(Base[Montante],Base[Fornecedor],$A24&amp;"",Base[Ano],D$4)</f>
        <v/>
      </c>
      <c r="E24" s="12">
        <f>SUMIFS(Base[Montante],Base[Fornecedor],$A24&amp;"",Base[Ano],E$4)</f>
        <v/>
      </c>
      <c r="F24" s="12">
        <f>SUMIFS(Base[Montante],Base[Fornecedor],$A24&amp;"",Base[Ano],F$4)</f>
        <v/>
      </c>
      <c r="G24" s="12">
        <f>SUMIFS(Base[Montante],Base[Fornecedor],$A24&amp;"",Base[Ano],G$4)</f>
        <v/>
      </c>
      <c r="H24" s="12">
        <f>SUMIFS(Base[Montante],Base[Fornecedor],$A24&amp;"",Base[Ano],H$4)</f>
        <v/>
      </c>
      <c r="I24" s="12">
        <f>SUMIFS(Base[Montante],Base[Fornecedor],$A24&amp;"",Base[Ano],I$4)</f>
        <v/>
      </c>
      <c r="J24" s="12">
        <f>SUMIFS(Base[Montante],Base[Fornecedor],$A24&amp;"",Base[Ano],J$4)</f>
        <v/>
      </c>
      <c r="K24" s="12">
        <f>SUM(D24:J24)</f>
        <v/>
      </c>
    </row>
    <row r="25">
      <c r="A25" s="5" t="n">
        <v>101963</v>
      </c>
      <c r="B25" s="5" t="inlineStr">
        <is>
          <t>4U CONSTRUCOES LTDA EPP</t>
        </is>
      </c>
      <c r="C25" s="5">
        <f>IFERROR(INDEX(DePara[Categoria],MATCH(TEXT(A25,"0"),DePara[Fornecedor_txt],0)),"(sem categoria)")</f>
        <v/>
      </c>
      <c r="D25" s="12">
        <f>SUMIFS(Base[Montante],Base[Fornecedor],$A25&amp;"",Base[Ano],D$4)</f>
        <v/>
      </c>
      <c r="E25" s="12">
        <f>SUMIFS(Base[Montante],Base[Fornecedor],$A25&amp;"",Base[Ano],E$4)</f>
        <v/>
      </c>
      <c r="F25" s="12">
        <f>SUMIFS(Base[Montante],Base[Fornecedor],$A25&amp;"",Base[Ano],F$4)</f>
        <v/>
      </c>
      <c r="G25" s="12">
        <f>SUMIFS(Base[Montante],Base[Fornecedor],$A25&amp;"",Base[Ano],G$4)</f>
        <v/>
      </c>
      <c r="H25" s="12">
        <f>SUMIFS(Base[Montante],Base[Fornecedor],$A25&amp;"",Base[Ano],H$4)</f>
        <v/>
      </c>
      <c r="I25" s="12">
        <f>SUMIFS(Base[Montante],Base[Fornecedor],$A25&amp;"",Base[Ano],I$4)</f>
        <v/>
      </c>
      <c r="J25" s="12">
        <f>SUMIFS(Base[Montante],Base[Fornecedor],$A25&amp;"",Base[Ano],J$4)</f>
        <v/>
      </c>
      <c r="K25" s="12">
        <f>SUM(D25:J25)</f>
        <v/>
      </c>
    </row>
    <row r="26">
      <c r="A26" s="5" t="n">
        <v>110770</v>
      </c>
      <c r="B26" s="5" t="inlineStr">
        <is>
          <t>A DE SN CARVALHO REFRIGERAÇÃO ME</t>
        </is>
      </c>
      <c r="C26" s="5">
        <f>IFERROR(INDEX(DePara[Categoria],MATCH(TEXT(A26,"0"),DePara[Fornecedor_txt],0)),"(sem categoria)")</f>
        <v/>
      </c>
      <c r="D26" s="12">
        <f>SUMIFS(Base[Montante],Base[Fornecedor],$A26&amp;"",Base[Ano],D$4)</f>
        <v/>
      </c>
      <c r="E26" s="12">
        <f>SUMIFS(Base[Montante],Base[Fornecedor],$A26&amp;"",Base[Ano],E$4)</f>
        <v/>
      </c>
      <c r="F26" s="12">
        <f>SUMIFS(Base[Montante],Base[Fornecedor],$A26&amp;"",Base[Ano],F$4)</f>
        <v/>
      </c>
      <c r="G26" s="12">
        <f>SUMIFS(Base[Montante],Base[Fornecedor],$A26&amp;"",Base[Ano],G$4)</f>
        <v/>
      </c>
      <c r="H26" s="12">
        <f>SUMIFS(Base[Montante],Base[Fornecedor],$A26&amp;"",Base[Ano],H$4)</f>
        <v/>
      </c>
      <c r="I26" s="12">
        <f>SUMIFS(Base[Montante],Base[Fornecedor],$A26&amp;"",Base[Ano],I$4)</f>
        <v/>
      </c>
      <c r="J26" s="12">
        <f>SUMIFS(Base[Montante],Base[Fornecedor],$A26&amp;"",Base[Ano],J$4)</f>
        <v/>
      </c>
      <c r="K26" s="12">
        <f>SUM(D26:J26)</f>
        <v/>
      </c>
    </row>
    <row r="27">
      <c r="A27" s="5" t="n">
        <v>101334</v>
      </c>
      <c r="B27" s="5" t="inlineStr">
        <is>
          <t>ABRILSAN ASSES EM CART DE PROT LTDA</t>
        </is>
      </c>
      <c r="C27" s="5">
        <f>IFERROR(INDEX(DePara[Categoria],MATCH(TEXT(A27,"0"),DePara[Fornecedor_txt],0)),"(sem categoria)")</f>
        <v/>
      </c>
      <c r="D27" s="12">
        <f>SUMIFS(Base[Montante],Base[Fornecedor],$A27&amp;"",Base[Ano],D$4)</f>
        <v/>
      </c>
      <c r="E27" s="12">
        <f>SUMIFS(Base[Montante],Base[Fornecedor],$A27&amp;"",Base[Ano],E$4)</f>
        <v/>
      </c>
      <c r="F27" s="12">
        <f>SUMIFS(Base[Montante],Base[Fornecedor],$A27&amp;"",Base[Ano],F$4)</f>
        <v/>
      </c>
      <c r="G27" s="12">
        <f>SUMIFS(Base[Montante],Base[Fornecedor],$A27&amp;"",Base[Ano],G$4)</f>
        <v/>
      </c>
      <c r="H27" s="12">
        <f>SUMIFS(Base[Montante],Base[Fornecedor],$A27&amp;"",Base[Ano],H$4)</f>
        <v/>
      </c>
      <c r="I27" s="12">
        <f>SUMIFS(Base[Montante],Base[Fornecedor],$A27&amp;"",Base[Ano],I$4)</f>
        <v/>
      </c>
      <c r="J27" s="12">
        <f>SUMIFS(Base[Montante],Base[Fornecedor],$A27&amp;"",Base[Ano],J$4)</f>
        <v/>
      </c>
      <c r="K27" s="12">
        <f>SUM(D27:J27)</f>
        <v/>
      </c>
    </row>
    <row r="28">
      <c r="A28" s="5" t="n">
        <v>101178</v>
      </c>
      <c r="B28" s="5" t="inlineStr">
        <is>
          <t>ACTUANT GMBH</t>
        </is>
      </c>
      <c r="C28" s="5">
        <f>IFERROR(INDEX(DePara[Categoria],MATCH(TEXT(A28,"0"),DePara[Fornecedor_txt],0)),"(sem categoria)")</f>
        <v/>
      </c>
      <c r="D28" s="12">
        <f>SUMIFS(Base[Montante],Base[Fornecedor],$A28&amp;"",Base[Ano],D$4)</f>
        <v/>
      </c>
      <c r="E28" s="12">
        <f>SUMIFS(Base[Montante],Base[Fornecedor],$A28&amp;"",Base[Ano],E$4)</f>
        <v/>
      </c>
      <c r="F28" s="12">
        <f>SUMIFS(Base[Montante],Base[Fornecedor],$A28&amp;"",Base[Ano],F$4)</f>
        <v/>
      </c>
      <c r="G28" s="12">
        <f>SUMIFS(Base[Montante],Base[Fornecedor],$A28&amp;"",Base[Ano],G$4)</f>
        <v/>
      </c>
      <c r="H28" s="12">
        <f>SUMIFS(Base[Montante],Base[Fornecedor],$A28&amp;"",Base[Ano],H$4)</f>
        <v/>
      </c>
      <c r="I28" s="12">
        <f>SUMIFS(Base[Montante],Base[Fornecedor],$A28&amp;"",Base[Ano],I$4)</f>
        <v/>
      </c>
      <c r="J28" s="12">
        <f>SUMIFS(Base[Montante],Base[Fornecedor],$A28&amp;"",Base[Ano],J$4)</f>
        <v/>
      </c>
      <c r="K28" s="12">
        <f>SUM(D28:J28)</f>
        <v/>
      </c>
    </row>
    <row r="29">
      <c r="A29" s="5" t="inlineStr">
        <is>
          <t>EM000826</t>
        </is>
      </c>
      <c r="B29" s="5" t="inlineStr">
        <is>
          <t>ADALBERTO COELHO DE SOUSA</t>
        </is>
      </c>
      <c r="C29" s="5">
        <f>IFERROR(INDEX(DePara[Categoria],MATCH(TEXT(A29,"0"),DePara[Fornecedor_txt],0)),"(sem categoria)")</f>
        <v/>
      </c>
      <c r="D29" s="12">
        <f>SUMIFS(Base[Montante],Base[Fornecedor],$A29&amp;"",Base[Ano],D$4)</f>
        <v/>
      </c>
      <c r="E29" s="12">
        <f>SUMIFS(Base[Montante],Base[Fornecedor],$A29&amp;"",Base[Ano],E$4)</f>
        <v/>
      </c>
      <c r="F29" s="12">
        <f>SUMIFS(Base[Montante],Base[Fornecedor],$A29&amp;"",Base[Ano],F$4)</f>
        <v/>
      </c>
      <c r="G29" s="12">
        <f>SUMIFS(Base[Montante],Base[Fornecedor],$A29&amp;"",Base[Ano],G$4)</f>
        <v/>
      </c>
      <c r="H29" s="12">
        <f>SUMIFS(Base[Montante],Base[Fornecedor],$A29&amp;"",Base[Ano],H$4)</f>
        <v/>
      </c>
      <c r="I29" s="12">
        <f>SUMIFS(Base[Montante],Base[Fornecedor],$A29&amp;"",Base[Ano],I$4)</f>
        <v/>
      </c>
      <c r="J29" s="12">
        <f>SUMIFS(Base[Montante],Base[Fornecedor],$A29&amp;"",Base[Ano],J$4)</f>
        <v/>
      </c>
      <c r="K29" s="12">
        <f>SUM(D29:J29)</f>
        <v/>
      </c>
    </row>
    <row r="30">
      <c r="A30" s="5" t="n">
        <v>102057</v>
      </c>
      <c r="B30" s="5" t="inlineStr">
        <is>
          <t>AERIS INDUSTRIA E COM EQUI GERACAO</t>
        </is>
      </c>
      <c r="C30" s="5">
        <f>IFERROR(INDEX(DePara[Categoria],MATCH(TEXT(A30,"0"),DePara[Fornecedor_txt],0)),"(sem categoria)")</f>
        <v/>
      </c>
      <c r="D30" s="12">
        <f>SUMIFS(Base[Montante],Base[Fornecedor],$A30&amp;"",Base[Ano],D$4)</f>
        <v/>
      </c>
      <c r="E30" s="12">
        <f>SUMIFS(Base[Montante],Base[Fornecedor],$A30&amp;"",Base[Ano],E$4)</f>
        <v/>
      </c>
      <c r="F30" s="12">
        <f>SUMIFS(Base[Montante],Base[Fornecedor],$A30&amp;"",Base[Ano],F$4)</f>
        <v/>
      </c>
      <c r="G30" s="12">
        <f>SUMIFS(Base[Montante],Base[Fornecedor],$A30&amp;"",Base[Ano],G$4)</f>
        <v/>
      </c>
      <c r="H30" s="12">
        <f>SUMIFS(Base[Montante],Base[Fornecedor],$A30&amp;"",Base[Ano],H$4)</f>
        <v/>
      </c>
      <c r="I30" s="12">
        <f>SUMIFS(Base[Montante],Base[Fornecedor],$A30&amp;"",Base[Ano],I$4)</f>
        <v/>
      </c>
      <c r="J30" s="12">
        <f>SUMIFS(Base[Montante],Base[Fornecedor],$A30&amp;"",Base[Ano],J$4)</f>
        <v/>
      </c>
      <c r="K30" s="12">
        <f>SUM(D30:J30)</f>
        <v/>
      </c>
    </row>
    <row r="31">
      <c r="A31" s="5" t="n">
        <v>101043</v>
      </c>
      <c r="B31" s="5" t="inlineStr">
        <is>
          <t>AEROPORTO BRASIL VIRACOPOS SA</t>
        </is>
      </c>
      <c r="C31" s="5">
        <f>IFERROR(INDEX(DePara[Categoria],MATCH(TEXT(A31,"0"),DePara[Fornecedor_txt],0)),"(sem categoria)")</f>
        <v/>
      </c>
      <c r="D31" s="12">
        <f>SUMIFS(Base[Montante],Base[Fornecedor],$A31&amp;"",Base[Ano],D$4)</f>
        <v/>
      </c>
      <c r="E31" s="12">
        <f>SUMIFS(Base[Montante],Base[Fornecedor],$A31&amp;"",Base[Ano],E$4)</f>
        <v/>
      </c>
      <c r="F31" s="12">
        <f>SUMIFS(Base[Montante],Base[Fornecedor],$A31&amp;"",Base[Ano],F$4)</f>
        <v/>
      </c>
      <c r="G31" s="12">
        <f>SUMIFS(Base[Montante],Base[Fornecedor],$A31&amp;"",Base[Ano],G$4)</f>
        <v/>
      </c>
      <c r="H31" s="12">
        <f>SUMIFS(Base[Montante],Base[Fornecedor],$A31&amp;"",Base[Ano],H$4)</f>
        <v/>
      </c>
      <c r="I31" s="12">
        <f>SUMIFS(Base[Montante],Base[Fornecedor],$A31&amp;"",Base[Ano],I$4)</f>
        <v/>
      </c>
      <c r="J31" s="12">
        <f>SUMIFS(Base[Montante],Base[Fornecedor],$A31&amp;"",Base[Ano],J$4)</f>
        <v/>
      </c>
      <c r="K31" s="12">
        <f>SUM(D31:J31)</f>
        <v/>
      </c>
    </row>
    <row r="32">
      <c r="A32" s="5" t="n">
        <v>101494</v>
      </c>
      <c r="B32" s="5" t="inlineStr">
        <is>
          <t>AG SOLVE MONITORAMENTO AMBIENTAL LT</t>
        </is>
      </c>
      <c r="C32" s="5">
        <f>IFERROR(INDEX(DePara[Categoria],MATCH(TEXT(A32,"0"),DePara[Fornecedor_txt],0)),"(sem categoria)")</f>
        <v/>
      </c>
      <c r="D32" s="12">
        <f>SUMIFS(Base[Montante],Base[Fornecedor],$A32&amp;"",Base[Ano],D$4)</f>
        <v/>
      </c>
      <c r="E32" s="12">
        <f>SUMIFS(Base[Montante],Base[Fornecedor],$A32&amp;"",Base[Ano],E$4)</f>
        <v/>
      </c>
      <c r="F32" s="12">
        <f>SUMIFS(Base[Montante],Base[Fornecedor],$A32&amp;"",Base[Ano],F$4)</f>
        <v/>
      </c>
      <c r="G32" s="12">
        <f>SUMIFS(Base[Montante],Base[Fornecedor],$A32&amp;"",Base[Ano],G$4)</f>
        <v/>
      </c>
      <c r="H32" s="12">
        <f>SUMIFS(Base[Montante],Base[Fornecedor],$A32&amp;"",Base[Ano],H$4)</f>
        <v/>
      </c>
      <c r="I32" s="12">
        <f>SUMIFS(Base[Montante],Base[Fornecedor],$A32&amp;"",Base[Ano],I$4)</f>
        <v/>
      </c>
      <c r="J32" s="12">
        <f>SUMIFS(Base[Montante],Base[Fornecedor],$A32&amp;"",Base[Ano],J$4)</f>
        <v/>
      </c>
      <c r="K32" s="12">
        <f>SUM(D32:J32)</f>
        <v/>
      </c>
    </row>
    <row r="33">
      <c r="A33" s="5" t="n">
        <v>101254</v>
      </c>
      <c r="B33" s="5" t="inlineStr">
        <is>
          <t>AGENCIA BRASILEIRA DE METEOROLOGIA</t>
        </is>
      </c>
      <c r="C33" s="5">
        <f>IFERROR(INDEX(DePara[Categoria],MATCH(TEXT(A33,"0"),DePara[Fornecedor_txt],0)),"(sem categoria)")</f>
        <v/>
      </c>
      <c r="D33" s="12">
        <f>SUMIFS(Base[Montante],Base[Fornecedor],$A33&amp;"",Base[Ano],D$4)</f>
        <v/>
      </c>
      <c r="E33" s="12">
        <f>SUMIFS(Base[Montante],Base[Fornecedor],$A33&amp;"",Base[Ano],E$4)</f>
        <v/>
      </c>
      <c r="F33" s="12">
        <f>SUMIFS(Base[Montante],Base[Fornecedor],$A33&amp;"",Base[Ano],F$4)</f>
        <v/>
      </c>
      <c r="G33" s="12">
        <f>SUMIFS(Base[Montante],Base[Fornecedor],$A33&amp;"",Base[Ano],G$4)</f>
        <v/>
      </c>
      <c r="H33" s="12">
        <f>SUMIFS(Base[Montante],Base[Fornecedor],$A33&amp;"",Base[Ano],H$4)</f>
        <v/>
      </c>
      <c r="I33" s="12">
        <f>SUMIFS(Base[Montante],Base[Fornecedor],$A33&amp;"",Base[Ano],I$4)</f>
        <v/>
      </c>
      <c r="J33" s="12">
        <f>SUMIFS(Base[Montante],Base[Fornecedor],$A33&amp;"",Base[Ano],J$4)</f>
        <v/>
      </c>
      <c r="K33" s="12">
        <f>SUM(D33:J33)</f>
        <v/>
      </c>
    </row>
    <row r="34">
      <c r="A34" s="5" t="n">
        <v>101688</v>
      </c>
      <c r="B34" s="5" t="inlineStr">
        <is>
          <t>AGIS EQUIPAMENTOS E SERVIÇOS DE INFORMATICA LTDA</t>
        </is>
      </c>
      <c r="C34" s="5">
        <f>IFERROR(INDEX(DePara[Categoria],MATCH(TEXT(A34,"0"),DePara[Fornecedor_txt],0)),"(sem categoria)")</f>
        <v/>
      </c>
      <c r="D34" s="12">
        <f>SUMIFS(Base[Montante],Base[Fornecedor],$A34&amp;"",Base[Ano],D$4)</f>
        <v/>
      </c>
      <c r="E34" s="12">
        <f>SUMIFS(Base[Montante],Base[Fornecedor],$A34&amp;"",Base[Ano],E$4)</f>
        <v/>
      </c>
      <c r="F34" s="12">
        <f>SUMIFS(Base[Montante],Base[Fornecedor],$A34&amp;"",Base[Ano],F$4)</f>
        <v/>
      </c>
      <c r="G34" s="12">
        <f>SUMIFS(Base[Montante],Base[Fornecedor],$A34&amp;"",Base[Ano],G$4)</f>
        <v/>
      </c>
      <c r="H34" s="12">
        <f>SUMIFS(Base[Montante],Base[Fornecedor],$A34&amp;"",Base[Ano],H$4)</f>
        <v/>
      </c>
      <c r="I34" s="12">
        <f>SUMIFS(Base[Montante],Base[Fornecedor],$A34&amp;"",Base[Ano],I$4)</f>
        <v/>
      </c>
      <c r="J34" s="12">
        <f>SUMIFS(Base[Montante],Base[Fornecedor],$A34&amp;"",Base[Ano],J$4)</f>
        <v/>
      </c>
      <c r="K34" s="12">
        <f>SUM(D34:J34)</f>
        <v/>
      </c>
    </row>
    <row r="35">
      <c r="A35" s="5" t="n">
        <v>100183</v>
      </c>
      <c r="B35" s="5" t="inlineStr">
        <is>
          <t>AGL TRANSPORTES INTERNACIONAIS LTDA</t>
        </is>
      </c>
      <c r="C35" s="5">
        <f>IFERROR(INDEX(DePara[Categoria],MATCH(TEXT(A35,"0"),DePara[Fornecedor_txt],0)),"(sem categoria)")</f>
        <v/>
      </c>
      <c r="D35" s="12">
        <f>SUMIFS(Base[Montante],Base[Fornecedor],$A35&amp;"",Base[Ano],D$4)</f>
        <v/>
      </c>
      <c r="E35" s="12">
        <f>SUMIFS(Base[Montante],Base[Fornecedor],$A35&amp;"",Base[Ano],E$4)</f>
        <v/>
      </c>
      <c r="F35" s="12">
        <f>SUMIFS(Base[Montante],Base[Fornecedor],$A35&amp;"",Base[Ano],F$4)</f>
        <v/>
      </c>
      <c r="G35" s="12">
        <f>SUMIFS(Base[Montante],Base[Fornecedor],$A35&amp;"",Base[Ano],G$4)</f>
        <v/>
      </c>
      <c r="H35" s="12">
        <f>SUMIFS(Base[Montante],Base[Fornecedor],$A35&amp;"",Base[Ano],H$4)</f>
        <v/>
      </c>
      <c r="I35" s="12">
        <f>SUMIFS(Base[Montante],Base[Fornecedor],$A35&amp;"",Base[Ano],I$4)</f>
        <v/>
      </c>
      <c r="J35" s="12">
        <f>SUMIFS(Base[Montante],Base[Fornecedor],$A35&amp;"",Base[Ano],J$4)</f>
        <v/>
      </c>
      <c r="K35" s="12">
        <f>SUM(D35:J35)</f>
        <v/>
      </c>
    </row>
    <row r="36">
      <c r="A36" s="5" t="n">
        <v>101222</v>
      </c>
      <c r="B36" s="5" t="inlineStr">
        <is>
          <t>AGROPECUARIA CANOA MIRIM SA</t>
        </is>
      </c>
      <c r="C36" s="5">
        <f>IFERROR(INDEX(DePara[Categoria],MATCH(TEXT(A36,"0"),DePara[Fornecedor_txt],0)),"(sem categoria)")</f>
        <v/>
      </c>
      <c r="D36" s="12">
        <f>SUMIFS(Base[Montante],Base[Fornecedor],$A36&amp;"",Base[Ano],D$4)</f>
        <v/>
      </c>
      <c r="E36" s="12">
        <f>SUMIFS(Base[Montante],Base[Fornecedor],$A36&amp;"",Base[Ano],E$4)</f>
        <v/>
      </c>
      <c r="F36" s="12">
        <f>SUMIFS(Base[Montante],Base[Fornecedor],$A36&amp;"",Base[Ano],F$4)</f>
        <v/>
      </c>
      <c r="G36" s="12">
        <f>SUMIFS(Base[Montante],Base[Fornecedor],$A36&amp;"",Base[Ano],G$4)</f>
        <v/>
      </c>
      <c r="H36" s="12">
        <f>SUMIFS(Base[Montante],Base[Fornecedor],$A36&amp;"",Base[Ano],H$4)</f>
        <v/>
      </c>
      <c r="I36" s="12">
        <f>SUMIFS(Base[Montante],Base[Fornecedor],$A36&amp;"",Base[Ano],I$4)</f>
        <v/>
      </c>
      <c r="J36" s="12">
        <f>SUMIFS(Base[Montante],Base[Fornecedor],$A36&amp;"",Base[Ano],J$4)</f>
        <v/>
      </c>
      <c r="K36" s="12">
        <f>SUM(D36:J36)</f>
        <v/>
      </c>
    </row>
    <row r="37">
      <c r="A37" s="5" t="n">
        <v>103745</v>
      </c>
      <c r="B37" s="5" t="inlineStr">
        <is>
          <t>AIR LIDER COMERCIO E TRANSPORTE DE</t>
        </is>
      </c>
      <c r="C37" s="5">
        <f>IFERROR(INDEX(DePara[Categoria],MATCH(TEXT(A37,"0"),DePara[Fornecedor_txt],0)),"(sem categoria)")</f>
        <v/>
      </c>
      <c r="D37" s="12">
        <f>SUMIFS(Base[Montante],Base[Fornecedor],$A37&amp;"",Base[Ano],D$4)</f>
        <v/>
      </c>
      <c r="E37" s="12">
        <f>SUMIFS(Base[Montante],Base[Fornecedor],$A37&amp;"",Base[Ano],E$4)</f>
        <v/>
      </c>
      <c r="F37" s="12">
        <f>SUMIFS(Base[Montante],Base[Fornecedor],$A37&amp;"",Base[Ano],F$4)</f>
        <v/>
      </c>
      <c r="G37" s="12">
        <f>SUMIFS(Base[Montante],Base[Fornecedor],$A37&amp;"",Base[Ano],G$4)</f>
        <v/>
      </c>
      <c r="H37" s="12">
        <f>SUMIFS(Base[Montante],Base[Fornecedor],$A37&amp;"",Base[Ano],H$4)</f>
        <v/>
      </c>
      <c r="I37" s="12">
        <f>SUMIFS(Base[Montante],Base[Fornecedor],$A37&amp;"",Base[Ano],I$4)</f>
        <v/>
      </c>
      <c r="J37" s="12">
        <f>SUMIFS(Base[Montante],Base[Fornecedor],$A37&amp;"",Base[Ano],J$4)</f>
        <v/>
      </c>
      <c r="K37" s="12">
        <f>SUM(D37:J37)</f>
        <v/>
      </c>
    </row>
    <row r="38">
      <c r="A38" s="5" t="n">
        <v>115200</v>
      </c>
      <c r="B38" s="5" t="inlineStr">
        <is>
          <t>AIR LIDER GROUP COMERCIO DE GASES</t>
        </is>
      </c>
      <c r="C38" s="5">
        <f>IFERROR(INDEX(DePara[Categoria],MATCH(TEXT(A38,"0"),DePara[Fornecedor_txt],0)),"(sem categoria)")</f>
        <v/>
      </c>
      <c r="D38" s="12">
        <f>SUMIFS(Base[Montante],Base[Fornecedor],$A38&amp;"",Base[Ano],D$4)</f>
        <v/>
      </c>
      <c r="E38" s="12">
        <f>SUMIFS(Base[Montante],Base[Fornecedor],$A38&amp;"",Base[Ano],E$4)</f>
        <v/>
      </c>
      <c r="F38" s="12">
        <f>SUMIFS(Base[Montante],Base[Fornecedor],$A38&amp;"",Base[Ano],F$4)</f>
        <v/>
      </c>
      <c r="G38" s="12">
        <f>SUMIFS(Base[Montante],Base[Fornecedor],$A38&amp;"",Base[Ano],G$4)</f>
        <v/>
      </c>
      <c r="H38" s="12">
        <f>SUMIFS(Base[Montante],Base[Fornecedor],$A38&amp;"",Base[Ano],H$4)</f>
        <v/>
      </c>
      <c r="I38" s="12">
        <f>SUMIFS(Base[Montante],Base[Fornecedor],$A38&amp;"",Base[Ano],I$4)</f>
        <v/>
      </c>
      <c r="J38" s="12">
        <f>SUMIFS(Base[Montante],Base[Fornecedor],$A38&amp;"",Base[Ano],J$4)</f>
        <v/>
      </c>
      <c r="K38" s="12">
        <f>SUM(D38:J38)</f>
        <v/>
      </c>
    </row>
    <row r="39">
      <c r="A39" s="5" t="inlineStr">
        <is>
          <t>EM000147</t>
        </is>
      </c>
      <c r="B39" s="5" t="inlineStr">
        <is>
          <t>AIRTON SHARLES E SILVA PESSOA</t>
        </is>
      </c>
      <c r="C39" s="5">
        <f>IFERROR(INDEX(DePara[Categoria],MATCH(TEXT(A39,"0"),DePara[Fornecedor_txt],0)),"(sem categoria)")</f>
        <v/>
      </c>
      <c r="D39" s="12">
        <f>SUMIFS(Base[Montante],Base[Fornecedor],$A39&amp;"",Base[Ano],D$4)</f>
        <v/>
      </c>
      <c r="E39" s="12">
        <f>SUMIFS(Base[Montante],Base[Fornecedor],$A39&amp;"",Base[Ano],E$4)</f>
        <v/>
      </c>
      <c r="F39" s="12">
        <f>SUMIFS(Base[Montante],Base[Fornecedor],$A39&amp;"",Base[Ano],F$4)</f>
        <v/>
      </c>
      <c r="G39" s="12">
        <f>SUMIFS(Base[Montante],Base[Fornecedor],$A39&amp;"",Base[Ano],G$4)</f>
        <v/>
      </c>
      <c r="H39" s="12">
        <f>SUMIFS(Base[Montante],Base[Fornecedor],$A39&amp;"",Base[Ano],H$4)</f>
        <v/>
      </c>
      <c r="I39" s="12">
        <f>SUMIFS(Base[Montante],Base[Fornecedor],$A39&amp;"",Base[Ano],I$4)</f>
        <v/>
      </c>
      <c r="J39" s="12">
        <f>SUMIFS(Base[Montante],Base[Fornecedor],$A39&amp;"",Base[Ano],J$4)</f>
        <v/>
      </c>
      <c r="K39" s="12">
        <f>SUM(D39:J39)</f>
        <v/>
      </c>
    </row>
    <row r="40">
      <c r="A40" s="5" t="inlineStr">
        <is>
          <t>EM000542</t>
        </is>
      </c>
      <c r="B40" s="5" t="inlineStr">
        <is>
          <t>AKIM FELTRIM CARDOSO</t>
        </is>
      </c>
      <c r="C40" s="5">
        <f>IFERROR(INDEX(DePara[Categoria],MATCH(TEXT(A40,"0"),DePara[Fornecedor_txt],0)),"(sem categoria)")</f>
        <v/>
      </c>
      <c r="D40" s="12">
        <f>SUMIFS(Base[Montante],Base[Fornecedor],$A40&amp;"",Base[Ano],D$4)</f>
        <v/>
      </c>
      <c r="E40" s="12">
        <f>SUMIFS(Base[Montante],Base[Fornecedor],$A40&amp;"",Base[Ano],E$4)</f>
        <v/>
      </c>
      <c r="F40" s="12">
        <f>SUMIFS(Base[Montante],Base[Fornecedor],$A40&amp;"",Base[Ano],F$4)</f>
        <v/>
      </c>
      <c r="G40" s="12">
        <f>SUMIFS(Base[Montante],Base[Fornecedor],$A40&amp;"",Base[Ano],G$4)</f>
        <v/>
      </c>
      <c r="H40" s="12">
        <f>SUMIFS(Base[Montante],Base[Fornecedor],$A40&amp;"",Base[Ano],H$4)</f>
        <v/>
      </c>
      <c r="I40" s="12">
        <f>SUMIFS(Base[Montante],Base[Fornecedor],$A40&amp;"",Base[Ano],I$4)</f>
        <v/>
      </c>
      <c r="J40" s="12">
        <f>SUMIFS(Base[Montante],Base[Fornecedor],$A40&amp;"",Base[Ano],J$4)</f>
        <v/>
      </c>
      <c r="K40" s="12">
        <f>SUM(D40:J40)</f>
        <v/>
      </c>
    </row>
    <row r="41">
      <c r="A41" s="5" t="n">
        <v>101226</v>
      </c>
      <c r="B41" s="5" t="inlineStr">
        <is>
          <t>AL WIND SOLUCOES LTDA</t>
        </is>
      </c>
      <c r="C41" s="5">
        <f>IFERROR(INDEX(DePara[Categoria],MATCH(TEXT(A41,"0"),DePara[Fornecedor_txt],0)),"(sem categoria)")</f>
        <v/>
      </c>
      <c r="D41" s="12">
        <f>SUMIFS(Base[Montante],Base[Fornecedor],$A41&amp;"",Base[Ano],D$4)</f>
        <v/>
      </c>
      <c r="E41" s="12">
        <f>SUMIFS(Base[Montante],Base[Fornecedor],$A41&amp;"",Base[Ano],E$4)</f>
        <v/>
      </c>
      <c r="F41" s="12">
        <f>SUMIFS(Base[Montante],Base[Fornecedor],$A41&amp;"",Base[Ano],F$4)</f>
        <v/>
      </c>
      <c r="G41" s="12">
        <f>SUMIFS(Base[Montante],Base[Fornecedor],$A41&amp;"",Base[Ano],G$4)</f>
        <v/>
      </c>
      <c r="H41" s="12">
        <f>SUMIFS(Base[Montante],Base[Fornecedor],$A41&amp;"",Base[Ano],H$4)</f>
        <v/>
      </c>
      <c r="I41" s="12">
        <f>SUMIFS(Base[Montante],Base[Fornecedor],$A41&amp;"",Base[Ano],I$4)</f>
        <v/>
      </c>
      <c r="J41" s="12">
        <f>SUMIFS(Base[Montante],Base[Fornecedor],$A41&amp;"",Base[Ano],J$4)</f>
        <v/>
      </c>
      <c r="K41" s="12">
        <f>SUM(D41:J41)</f>
        <v/>
      </c>
    </row>
    <row r="42">
      <c r="A42" s="5" t="inlineStr">
        <is>
          <t>EM000171</t>
        </is>
      </c>
      <c r="B42" s="5" t="inlineStr">
        <is>
          <t>ALESSANDRA RAFFO SCHNEIDER</t>
        </is>
      </c>
      <c r="C42" s="5">
        <f>IFERROR(INDEX(DePara[Categoria],MATCH(TEXT(A42,"0"),DePara[Fornecedor_txt],0)),"(sem categoria)")</f>
        <v/>
      </c>
      <c r="D42" s="12">
        <f>SUMIFS(Base[Montante],Base[Fornecedor],$A42&amp;"",Base[Ano],D$4)</f>
        <v/>
      </c>
      <c r="E42" s="12">
        <f>SUMIFS(Base[Montante],Base[Fornecedor],$A42&amp;"",Base[Ano],E$4)</f>
        <v/>
      </c>
      <c r="F42" s="12">
        <f>SUMIFS(Base[Montante],Base[Fornecedor],$A42&amp;"",Base[Ano],F$4)</f>
        <v/>
      </c>
      <c r="G42" s="12">
        <f>SUMIFS(Base[Montante],Base[Fornecedor],$A42&amp;"",Base[Ano],G$4)</f>
        <v/>
      </c>
      <c r="H42" s="12">
        <f>SUMIFS(Base[Montante],Base[Fornecedor],$A42&amp;"",Base[Ano],H$4)</f>
        <v/>
      </c>
      <c r="I42" s="12">
        <f>SUMIFS(Base[Montante],Base[Fornecedor],$A42&amp;"",Base[Ano],I$4)</f>
        <v/>
      </c>
      <c r="J42" s="12">
        <f>SUMIFS(Base[Montante],Base[Fornecedor],$A42&amp;"",Base[Ano],J$4)</f>
        <v/>
      </c>
      <c r="K42" s="12">
        <f>SUM(D42:J42)</f>
        <v/>
      </c>
    </row>
    <row r="43">
      <c r="A43" s="5" t="inlineStr">
        <is>
          <t>EM000018</t>
        </is>
      </c>
      <c r="B43" s="5" t="inlineStr">
        <is>
          <t>ALESSANDRO SANTANA CORTES</t>
        </is>
      </c>
      <c r="C43" s="5">
        <f>IFERROR(INDEX(DePara[Categoria],MATCH(TEXT(A43,"0"),DePara[Fornecedor_txt],0)),"(sem categoria)")</f>
        <v/>
      </c>
      <c r="D43" s="12">
        <f>SUMIFS(Base[Montante],Base[Fornecedor],$A43&amp;"",Base[Ano],D$4)</f>
        <v/>
      </c>
      <c r="E43" s="12">
        <f>SUMIFS(Base[Montante],Base[Fornecedor],$A43&amp;"",Base[Ano],E$4)</f>
        <v/>
      </c>
      <c r="F43" s="12">
        <f>SUMIFS(Base[Montante],Base[Fornecedor],$A43&amp;"",Base[Ano],F$4)</f>
        <v/>
      </c>
      <c r="G43" s="12">
        <f>SUMIFS(Base[Montante],Base[Fornecedor],$A43&amp;"",Base[Ano],G$4)</f>
        <v/>
      </c>
      <c r="H43" s="12">
        <f>SUMIFS(Base[Montante],Base[Fornecedor],$A43&amp;"",Base[Ano],H$4)</f>
        <v/>
      </c>
      <c r="I43" s="12">
        <f>SUMIFS(Base[Montante],Base[Fornecedor],$A43&amp;"",Base[Ano],I$4)</f>
        <v/>
      </c>
      <c r="J43" s="12">
        <f>SUMIFS(Base[Montante],Base[Fornecedor],$A43&amp;"",Base[Ano],J$4)</f>
        <v/>
      </c>
      <c r="K43" s="12">
        <f>SUM(D43:J43)</f>
        <v/>
      </c>
    </row>
    <row r="44">
      <c r="A44" s="5" t="inlineStr">
        <is>
          <t>EM000451</t>
        </is>
      </c>
      <c r="B44" s="5" t="inlineStr">
        <is>
          <t>ALEX DA SILVA CONCEIÇÃO</t>
        </is>
      </c>
      <c r="C44" s="5">
        <f>IFERROR(INDEX(DePara[Categoria],MATCH(TEXT(A44,"0"),DePara[Fornecedor_txt],0)),"(sem categoria)")</f>
        <v/>
      </c>
      <c r="D44" s="12">
        <f>SUMIFS(Base[Montante],Base[Fornecedor],$A44&amp;"",Base[Ano],D$4)</f>
        <v/>
      </c>
      <c r="E44" s="12">
        <f>SUMIFS(Base[Montante],Base[Fornecedor],$A44&amp;"",Base[Ano],E$4)</f>
        <v/>
      </c>
      <c r="F44" s="12">
        <f>SUMIFS(Base[Montante],Base[Fornecedor],$A44&amp;"",Base[Ano],F$4)</f>
        <v/>
      </c>
      <c r="G44" s="12">
        <f>SUMIFS(Base[Montante],Base[Fornecedor],$A44&amp;"",Base[Ano],G$4)</f>
        <v/>
      </c>
      <c r="H44" s="12">
        <f>SUMIFS(Base[Montante],Base[Fornecedor],$A44&amp;"",Base[Ano],H$4)</f>
        <v/>
      </c>
      <c r="I44" s="12">
        <f>SUMIFS(Base[Montante],Base[Fornecedor],$A44&amp;"",Base[Ano],I$4)</f>
        <v/>
      </c>
      <c r="J44" s="12">
        <f>SUMIFS(Base[Montante],Base[Fornecedor],$A44&amp;"",Base[Ano],J$4)</f>
        <v/>
      </c>
      <c r="K44" s="12">
        <f>SUM(D44:J44)</f>
        <v/>
      </c>
    </row>
    <row r="45">
      <c r="A45" s="5" t="inlineStr">
        <is>
          <t>EM000035</t>
        </is>
      </c>
      <c r="B45" s="5" t="inlineStr">
        <is>
          <t>ALEXANDRE SILVEIRA TRINDADE</t>
        </is>
      </c>
      <c r="C45" s="5">
        <f>IFERROR(INDEX(DePara[Categoria],MATCH(TEXT(A45,"0"),DePara[Fornecedor_txt],0)),"(sem categoria)")</f>
        <v/>
      </c>
      <c r="D45" s="12">
        <f>SUMIFS(Base[Montante],Base[Fornecedor],$A45&amp;"",Base[Ano],D$4)</f>
        <v/>
      </c>
      <c r="E45" s="12">
        <f>SUMIFS(Base[Montante],Base[Fornecedor],$A45&amp;"",Base[Ano],E$4)</f>
        <v/>
      </c>
      <c r="F45" s="12">
        <f>SUMIFS(Base[Montante],Base[Fornecedor],$A45&amp;"",Base[Ano],F$4)</f>
        <v/>
      </c>
      <c r="G45" s="12">
        <f>SUMIFS(Base[Montante],Base[Fornecedor],$A45&amp;"",Base[Ano],G$4)</f>
        <v/>
      </c>
      <c r="H45" s="12">
        <f>SUMIFS(Base[Montante],Base[Fornecedor],$A45&amp;"",Base[Ano],H$4)</f>
        <v/>
      </c>
      <c r="I45" s="12">
        <f>SUMIFS(Base[Montante],Base[Fornecedor],$A45&amp;"",Base[Ano],I$4)</f>
        <v/>
      </c>
      <c r="J45" s="12">
        <f>SUMIFS(Base[Montante],Base[Fornecedor],$A45&amp;"",Base[Ano],J$4)</f>
        <v/>
      </c>
      <c r="K45" s="12">
        <f>SUM(D45:J45)</f>
        <v/>
      </c>
    </row>
    <row r="46">
      <c r="A46" s="5" t="inlineStr">
        <is>
          <t>EM000549</t>
        </is>
      </c>
      <c r="B46" s="5" t="inlineStr">
        <is>
          <t>ALISSON ALEXANDRE CARVALHO ARAUJO</t>
        </is>
      </c>
      <c r="C46" s="5">
        <f>IFERROR(INDEX(DePara[Categoria],MATCH(TEXT(A46,"0"),DePara[Fornecedor_txt],0)),"(sem categoria)")</f>
        <v/>
      </c>
      <c r="D46" s="12">
        <f>SUMIFS(Base[Montante],Base[Fornecedor],$A46&amp;"",Base[Ano],D$4)</f>
        <v/>
      </c>
      <c r="E46" s="12">
        <f>SUMIFS(Base[Montante],Base[Fornecedor],$A46&amp;"",Base[Ano],E$4)</f>
        <v/>
      </c>
      <c r="F46" s="12">
        <f>SUMIFS(Base[Montante],Base[Fornecedor],$A46&amp;"",Base[Ano],F$4)</f>
        <v/>
      </c>
      <c r="G46" s="12">
        <f>SUMIFS(Base[Montante],Base[Fornecedor],$A46&amp;"",Base[Ano],G$4)</f>
        <v/>
      </c>
      <c r="H46" s="12">
        <f>SUMIFS(Base[Montante],Base[Fornecedor],$A46&amp;"",Base[Ano],H$4)</f>
        <v/>
      </c>
      <c r="I46" s="12">
        <f>SUMIFS(Base[Montante],Base[Fornecedor],$A46&amp;"",Base[Ano],I$4)</f>
        <v/>
      </c>
      <c r="J46" s="12">
        <f>SUMIFS(Base[Montante],Base[Fornecedor],$A46&amp;"",Base[Ano],J$4)</f>
        <v/>
      </c>
      <c r="K46" s="12">
        <f>SUM(D46:J46)</f>
        <v/>
      </c>
    </row>
    <row r="47">
      <c r="A47" s="5" t="n">
        <v>101133</v>
      </c>
      <c r="B47" s="5" t="inlineStr">
        <is>
          <t>ALLIANZ SEGUROS SA USD</t>
        </is>
      </c>
      <c r="C47" s="5">
        <f>IFERROR(INDEX(DePara[Categoria],MATCH(TEXT(A47,"0"),DePara[Fornecedor_txt],0)),"(sem categoria)")</f>
        <v/>
      </c>
      <c r="D47" s="12">
        <f>SUMIFS(Base[Montante],Base[Fornecedor],$A47&amp;"",Base[Ano],D$4)</f>
        <v/>
      </c>
      <c r="E47" s="12">
        <f>SUMIFS(Base[Montante],Base[Fornecedor],$A47&amp;"",Base[Ano],E$4)</f>
        <v/>
      </c>
      <c r="F47" s="12">
        <f>SUMIFS(Base[Montante],Base[Fornecedor],$A47&amp;"",Base[Ano],F$4)</f>
        <v/>
      </c>
      <c r="G47" s="12">
        <f>SUMIFS(Base[Montante],Base[Fornecedor],$A47&amp;"",Base[Ano],G$4)</f>
        <v/>
      </c>
      <c r="H47" s="12">
        <f>SUMIFS(Base[Montante],Base[Fornecedor],$A47&amp;"",Base[Ano],H$4)</f>
        <v/>
      </c>
      <c r="I47" s="12">
        <f>SUMIFS(Base[Montante],Base[Fornecedor],$A47&amp;"",Base[Ano],I$4)</f>
        <v/>
      </c>
      <c r="J47" s="12">
        <f>SUMIFS(Base[Montante],Base[Fornecedor],$A47&amp;"",Base[Ano],J$4)</f>
        <v/>
      </c>
      <c r="K47" s="12">
        <f>SUM(D47:J47)</f>
        <v/>
      </c>
    </row>
    <row r="48">
      <c r="A48" s="5" t="inlineStr">
        <is>
          <t>EM000511</t>
        </is>
      </c>
      <c r="B48" s="5" t="inlineStr">
        <is>
          <t>ALLISON DE OLIVEIRA COSTA</t>
        </is>
      </c>
      <c r="C48" s="5">
        <f>IFERROR(INDEX(DePara[Categoria],MATCH(TEXT(A48,"0"),DePara[Fornecedor_txt],0)),"(sem categoria)")</f>
        <v/>
      </c>
      <c r="D48" s="12">
        <f>SUMIFS(Base[Montante],Base[Fornecedor],$A48&amp;"",Base[Ano],D$4)</f>
        <v/>
      </c>
      <c r="E48" s="12">
        <f>SUMIFS(Base[Montante],Base[Fornecedor],$A48&amp;"",Base[Ano],E$4)</f>
        <v/>
      </c>
      <c r="F48" s="12">
        <f>SUMIFS(Base[Montante],Base[Fornecedor],$A48&amp;"",Base[Ano],F$4)</f>
        <v/>
      </c>
      <c r="G48" s="12">
        <f>SUMIFS(Base[Montante],Base[Fornecedor],$A48&amp;"",Base[Ano],G$4)</f>
        <v/>
      </c>
      <c r="H48" s="12">
        <f>SUMIFS(Base[Montante],Base[Fornecedor],$A48&amp;"",Base[Ano],H$4)</f>
        <v/>
      </c>
      <c r="I48" s="12">
        <f>SUMIFS(Base[Montante],Base[Fornecedor],$A48&amp;"",Base[Ano],I$4)</f>
        <v/>
      </c>
      <c r="J48" s="12">
        <f>SUMIFS(Base[Montante],Base[Fornecedor],$A48&amp;"",Base[Ano],J$4)</f>
        <v/>
      </c>
      <c r="K48" s="12">
        <f>SUM(D48:J48)</f>
        <v/>
      </c>
    </row>
    <row r="49">
      <c r="A49" s="5" t="inlineStr">
        <is>
          <t>EM000262</t>
        </is>
      </c>
      <c r="B49" s="5" t="inlineStr">
        <is>
          <t>ALLYSSON LAURENTINO DE MELO RAMOS</t>
        </is>
      </c>
      <c r="C49" s="5">
        <f>IFERROR(INDEX(DePara[Categoria],MATCH(TEXT(A49,"0"),DePara[Fornecedor_txt],0)),"(sem categoria)")</f>
        <v/>
      </c>
      <c r="D49" s="12">
        <f>SUMIFS(Base[Montante],Base[Fornecedor],$A49&amp;"",Base[Ano],D$4)</f>
        <v/>
      </c>
      <c r="E49" s="12">
        <f>SUMIFS(Base[Montante],Base[Fornecedor],$A49&amp;"",Base[Ano],E$4)</f>
        <v/>
      </c>
      <c r="F49" s="12">
        <f>SUMIFS(Base[Montante],Base[Fornecedor],$A49&amp;"",Base[Ano],F$4)</f>
        <v/>
      </c>
      <c r="G49" s="12">
        <f>SUMIFS(Base[Montante],Base[Fornecedor],$A49&amp;"",Base[Ano],G$4)</f>
        <v/>
      </c>
      <c r="H49" s="12">
        <f>SUMIFS(Base[Montante],Base[Fornecedor],$A49&amp;"",Base[Ano],H$4)</f>
        <v/>
      </c>
      <c r="I49" s="12">
        <f>SUMIFS(Base[Montante],Base[Fornecedor],$A49&amp;"",Base[Ano],I$4)</f>
        <v/>
      </c>
      <c r="J49" s="12">
        <f>SUMIFS(Base[Montante],Base[Fornecedor],$A49&amp;"",Base[Ano],J$4)</f>
        <v/>
      </c>
      <c r="K49" s="12">
        <f>SUM(D49:J49)</f>
        <v/>
      </c>
    </row>
    <row r="50">
      <c r="A50" s="5" t="n">
        <v>101937</v>
      </c>
      <c r="B50" s="5" t="inlineStr">
        <is>
          <t>ALONSO DOLDAN INGENIERIA Y SERVICIO</t>
        </is>
      </c>
      <c r="C50" s="5">
        <f>IFERROR(INDEX(DePara[Categoria],MATCH(TEXT(A50,"0"),DePara[Fornecedor_txt],0)),"(sem categoria)")</f>
        <v/>
      </c>
      <c r="D50" s="12">
        <f>SUMIFS(Base[Montante],Base[Fornecedor],$A50&amp;"",Base[Ano],D$4)</f>
        <v/>
      </c>
      <c r="E50" s="12">
        <f>SUMIFS(Base[Montante],Base[Fornecedor],$A50&amp;"",Base[Ano],E$4)</f>
        <v/>
      </c>
      <c r="F50" s="12">
        <f>SUMIFS(Base[Montante],Base[Fornecedor],$A50&amp;"",Base[Ano],F$4)</f>
        <v/>
      </c>
      <c r="G50" s="12">
        <f>SUMIFS(Base[Montante],Base[Fornecedor],$A50&amp;"",Base[Ano],G$4)</f>
        <v/>
      </c>
      <c r="H50" s="12">
        <f>SUMIFS(Base[Montante],Base[Fornecedor],$A50&amp;"",Base[Ano],H$4)</f>
        <v/>
      </c>
      <c r="I50" s="12">
        <f>SUMIFS(Base[Montante],Base[Fornecedor],$A50&amp;"",Base[Ano],I$4)</f>
        <v/>
      </c>
      <c r="J50" s="12">
        <f>SUMIFS(Base[Montante],Base[Fornecedor],$A50&amp;"",Base[Ano],J$4)</f>
        <v/>
      </c>
      <c r="K50" s="12">
        <f>SUM(D50:J50)</f>
        <v/>
      </c>
    </row>
    <row r="51">
      <c r="A51" s="5" t="n">
        <v>101340</v>
      </c>
      <c r="B51" s="5" t="inlineStr">
        <is>
          <t>ALS TRIBOLOGY BRASIL ANALISE DE FLU</t>
        </is>
      </c>
      <c r="C51" s="5">
        <f>IFERROR(INDEX(DePara[Categoria],MATCH(TEXT(A51,"0"),DePara[Fornecedor_txt],0)),"(sem categoria)")</f>
        <v/>
      </c>
      <c r="D51" s="12">
        <f>SUMIFS(Base[Montante],Base[Fornecedor],$A51&amp;"",Base[Ano],D$4)</f>
        <v/>
      </c>
      <c r="E51" s="12">
        <f>SUMIFS(Base[Montante],Base[Fornecedor],$A51&amp;"",Base[Ano],E$4)</f>
        <v/>
      </c>
      <c r="F51" s="12">
        <f>SUMIFS(Base[Montante],Base[Fornecedor],$A51&amp;"",Base[Ano],F$4)</f>
        <v/>
      </c>
      <c r="G51" s="12">
        <f>SUMIFS(Base[Montante],Base[Fornecedor],$A51&amp;"",Base[Ano],G$4)</f>
        <v/>
      </c>
      <c r="H51" s="12">
        <f>SUMIFS(Base[Montante],Base[Fornecedor],$A51&amp;"",Base[Ano],H$4)</f>
        <v/>
      </c>
      <c r="I51" s="12">
        <f>SUMIFS(Base[Montante],Base[Fornecedor],$A51&amp;"",Base[Ano],I$4)</f>
        <v/>
      </c>
      <c r="J51" s="12">
        <f>SUMIFS(Base[Montante],Base[Fornecedor],$A51&amp;"",Base[Ano],J$4)</f>
        <v/>
      </c>
      <c r="K51" s="12">
        <f>SUM(D51:J51)</f>
        <v/>
      </c>
    </row>
    <row r="52">
      <c r="A52" s="5" t="n">
        <v>101558</v>
      </c>
      <c r="B52" s="5" t="inlineStr">
        <is>
          <t>ALTRA INDUSTRIAL MOTION B E I LTDA</t>
        </is>
      </c>
      <c r="C52" s="5">
        <f>IFERROR(INDEX(DePara[Categoria],MATCH(TEXT(A52,"0"),DePara[Fornecedor_txt],0)),"(sem categoria)")</f>
        <v/>
      </c>
      <c r="D52" s="12">
        <f>SUMIFS(Base[Montante],Base[Fornecedor],$A52&amp;"",Base[Ano],D$4)</f>
        <v/>
      </c>
      <c r="E52" s="12">
        <f>SUMIFS(Base[Montante],Base[Fornecedor],$A52&amp;"",Base[Ano],E$4)</f>
        <v/>
      </c>
      <c r="F52" s="12">
        <f>SUMIFS(Base[Montante],Base[Fornecedor],$A52&amp;"",Base[Ano],F$4)</f>
        <v/>
      </c>
      <c r="G52" s="12">
        <f>SUMIFS(Base[Montante],Base[Fornecedor],$A52&amp;"",Base[Ano],G$4)</f>
        <v/>
      </c>
      <c r="H52" s="12">
        <f>SUMIFS(Base[Montante],Base[Fornecedor],$A52&amp;"",Base[Ano],H$4)</f>
        <v/>
      </c>
      <c r="I52" s="12">
        <f>SUMIFS(Base[Montante],Base[Fornecedor],$A52&amp;"",Base[Ano],I$4)</f>
        <v/>
      </c>
      <c r="J52" s="12">
        <f>SUMIFS(Base[Montante],Base[Fornecedor],$A52&amp;"",Base[Ano],J$4)</f>
        <v/>
      </c>
      <c r="K52" s="12">
        <f>SUM(D52:J52)</f>
        <v/>
      </c>
    </row>
    <row r="53">
      <c r="A53" s="5" t="n">
        <v>101253</v>
      </c>
      <c r="B53" s="5" t="inlineStr">
        <is>
          <t>ALTUS SISTEMAS DE AUTOMACAO SA</t>
        </is>
      </c>
      <c r="C53" s="5">
        <f>IFERROR(INDEX(DePara[Categoria],MATCH(TEXT(A53,"0"),DePara[Fornecedor_txt],0)),"(sem categoria)")</f>
        <v/>
      </c>
      <c r="D53" s="12">
        <f>SUMIFS(Base[Montante],Base[Fornecedor],$A53&amp;"",Base[Ano],D$4)</f>
        <v/>
      </c>
      <c r="E53" s="12">
        <f>SUMIFS(Base[Montante],Base[Fornecedor],$A53&amp;"",Base[Ano],E$4)</f>
        <v/>
      </c>
      <c r="F53" s="12">
        <f>SUMIFS(Base[Montante],Base[Fornecedor],$A53&amp;"",Base[Ano],F$4)</f>
        <v/>
      </c>
      <c r="G53" s="12">
        <f>SUMIFS(Base[Montante],Base[Fornecedor],$A53&amp;"",Base[Ano],G$4)</f>
        <v/>
      </c>
      <c r="H53" s="12">
        <f>SUMIFS(Base[Montante],Base[Fornecedor],$A53&amp;"",Base[Ano],H$4)</f>
        <v/>
      </c>
      <c r="I53" s="12">
        <f>SUMIFS(Base[Montante],Base[Fornecedor],$A53&amp;"",Base[Ano],I$4)</f>
        <v/>
      </c>
      <c r="J53" s="12">
        <f>SUMIFS(Base[Montante],Base[Fornecedor],$A53&amp;"",Base[Ano],J$4)</f>
        <v/>
      </c>
      <c r="K53" s="12">
        <f>SUM(D53:J53)</f>
        <v/>
      </c>
    </row>
    <row r="54">
      <c r="A54" s="5" t="n">
        <v>107759</v>
      </c>
      <c r="B54" s="5" t="inlineStr">
        <is>
          <t>AMBAR INOVAÇÕES SPE LTDA</t>
        </is>
      </c>
      <c r="C54" s="5">
        <f>IFERROR(INDEX(DePara[Categoria],MATCH(TEXT(A54,"0"),DePara[Fornecedor_txt],0)),"(sem categoria)")</f>
        <v/>
      </c>
      <c r="D54" s="12">
        <f>SUMIFS(Base[Montante],Base[Fornecedor],$A54&amp;"",Base[Ano],D$4)</f>
        <v/>
      </c>
      <c r="E54" s="12">
        <f>SUMIFS(Base[Montante],Base[Fornecedor],$A54&amp;"",Base[Ano],E$4)</f>
        <v/>
      </c>
      <c r="F54" s="12">
        <f>SUMIFS(Base[Montante],Base[Fornecedor],$A54&amp;"",Base[Ano],F$4)</f>
        <v/>
      </c>
      <c r="G54" s="12">
        <f>SUMIFS(Base[Montante],Base[Fornecedor],$A54&amp;"",Base[Ano],G$4)</f>
        <v/>
      </c>
      <c r="H54" s="12">
        <f>SUMIFS(Base[Montante],Base[Fornecedor],$A54&amp;"",Base[Ano],H$4)</f>
        <v/>
      </c>
      <c r="I54" s="12">
        <f>SUMIFS(Base[Montante],Base[Fornecedor],$A54&amp;"",Base[Ano],I$4)</f>
        <v/>
      </c>
      <c r="J54" s="12">
        <f>SUMIFS(Base[Montante],Base[Fornecedor],$A54&amp;"",Base[Ano],J$4)</f>
        <v/>
      </c>
      <c r="K54" s="12">
        <f>SUM(D54:J54)</f>
        <v/>
      </c>
    </row>
    <row r="55">
      <c r="A55" s="5" t="n">
        <v>102069</v>
      </c>
      <c r="B55" s="5" t="inlineStr">
        <is>
          <t>AMBAR PATRIMONIAL LTDA</t>
        </is>
      </c>
      <c r="C55" s="5">
        <f>IFERROR(INDEX(DePara[Categoria],MATCH(TEXT(A55,"0"),DePara[Fornecedor_txt],0)),"(sem categoria)")</f>
        <v/>
      </c>
      <c r="D55" s="12">
        <f>SUMIFS(Base[Montante],Base[Fornecedor],$A55&amp;"",Base[Ano],D$4)</f>
        <v/>
      </c>
      <c r="E55" s="12">
        <f>SUMIFS(Base[Montante],Base[Fornecedor],$A55&amp;"",Base[Ano],E$4)</f>
        <v/>
      </c>
      <c r="F55" s="12">
        <f>SUMIFS(Base[Montante],Base[Fornecedor],$A55&amp;"",Base[Ano],F$4)</f>
        <v/>
      </c>
      <c r="G55" s="12">
        <f>SUMIFS(Base[Montante],Base[Fornecedor],$A55&amp;"",Base[Ano],G$4)</f>
        <v/>
      </c>
      <c r="H55" s="12">
        <f>SUMIFS(Base[Montante],Base[Fornecedor],$A55&amp;"",Base[Ano],H$4)</f>
        <v/>
      </c>
      <c r="I55" s="12">
        <f>SUMIFS(Base[Montante],Base[Fornecedor],$A55&amp;"",Base[Ano],I$4)</f>
        <v/>
      </c>
      <c r="J55" s="12">
        <f>SUMIFS(Base[Montante],Base[Fornecedor],$A55&amp;"",Base[Ano],J$4)</f>
        <v/>
      </c>
      <c r="K55" s="12">
        <f>SUM(D55:J55)</f>
        <v/>
      </c>
    </row>
    <row r="56">
      <c r="A56" s="5" t="n">
        <v>102473</v>
      </c>
      <c r="B56" s="5" t="inlineStr">
        <is>
          <t>AMBIENTESEE COMERCIO E SERVICOS LTD 19246312000108</t>
        </is>
      </c>
      <c r="C56" s="5">
        <f>IFERROR(INDEX(DePara[Categoria],MATCH(TEXT(A56,"0"),DePara[Fornecedor_txt],0)),"(sem categoria)")</f>
        <v/>
      </c>
      <c r="D56" s="12">
        <f>SUMIFS(Base[Montante],Base[Fornecedor],$A56&amp;"",Base[Ano],D$4)</f>
        <v/>
      </c>
      <c r="E56" s="12">
        <f>SUMIFS(Base[Montante],Base[Fornecedor],$A56&amp;"",Base[Ano],E$4)</f>
        <v/>
      </c>
      <c r="F56" s="12">
        <f>SUMIFS(Base[Montante],Base[Fornecedor],$A56&amp;"",Base[Ano],F$4)</f>
        <v/>
      </c>
      <c r="G56" s="12">
        <f>SUMIFS(Base[Montante],Base[Fornecedor],$A56&amp;"",Base[Ano],G$4)</f>
        <v/>
      </c>
      <c r="H56" s="12">
        <f>SUMIFS(Base[Montante],Base[Fornecedor],$A56&amp;"",Base[Ano],H$4)</f>
        <v/>
      </c>
      <c r="I56" s="12">
        <f>SUMIFS(Base[Montante],Base[Fornecedor],$A56&amp;"",Base[Ano],I$4)</f>
        <v/>
      </c>
      <c r="J56" s="12">
        <f>SUMIFS(Base[Montante],Base[Fornecedor],$A56&amp;"",Base[Ano],J$4)</f>
        <v/>
      </c>
      <c r="K56" s="12">
        <f>SUM(D56:J56)</f>
        <v/>
      </c>
    </row>
    <row r="57">
      <c r="A57" s="5" t="inlineStr">
        <is>
          <t>EM000964</t>
        </is>
      </c>
      <c r="B57" s="5" t="inlineStr">
        <is>
          <t>ANA MARIA BOTELHO FONSECA</t>
        </is>
      </c>
      <c r="C57" s="5">
        <f>IFERROR(INDEX(DePara[Categoria],MATCH(TEXT(A57,"0"),DePara[Fornecedor_txt],0)),"(sem categoria)")</f>
        <v/>
      </c>
      <c r="D57" s="12">
        <f>SUMIFS(Base[Montante],Base[Fornecedor],$A57&amp;"",Base[Ano],D$4)</f>
        <v/>
      </c>
      <c r="E57" s="12">
        <f>SUMIFS(Base[Montante],Base[Fornecedor],$A57&amp;"",Base[Ano],E$4)</f>
        <v/>
      </c>
      <c r="F57" s="12">
        <f>SUMIFS(Base[Montante],Base[Fornecedor],$A57&amp;"",Base[Ano],F$4)</f>
        <v/>
      </c>
      <c r="G57" s="12">
        <f>SUMIFS(Base[Montante],Base[Fornecedor],$A57&amp;"",Base[Ano],G$4)</f>
        <v/>
      </c>
      <c r="H57" s="12">
        <f>SUMIFS(Base[Montante],Base[Fornecedor],$A57&amp;"",Base[Ano],H$4)</f>
        <v/>
      </c>
      <c r="I57" s="12">
        <f>SUMIFS(Base[Montante],Base[Fornecedor],$A57&amp;"",Base[Ano],I$4)</f>
        <v/>
      </c>
      <c r="J57" s="12">
        <f>SUMIFS(Base[Montante],Base[Fornecedor],$A57&amp;"",Base[Ano],J$4)</f>
        <v/>
      </c>
      <c r="K57" s="12">
        <f>SUM(D57:J57)</f>
        <v/>
      </c>
    </row>
    <row r="58">
      <c r="A58" s="5" t="inlineStr">
        <is>
          <t>EM000057</t>
        </is>
      </c>
      <c r="B58" s="5" t="inlineStr">
        <is>
          <t>ANA PATRICIA MORAIS DA SILVA</t>
        </is>
      </c>
      <c r="C58" s="5">
        <f>IFERROR(INDEX(DePara[Categoria],MATCH(TEXT(A58,"0"),DePara[Fornecedor_txt],0)),"(sem categoria)")</f>
        <v/>
      </c>
      <c r="D58" s="12">
        <f>SUMIFS(Base[Montante],Base[Fornecedor],$A58&amp;"",Base[Ano],D$4)</f>
        <v/>
      </c>
      <c r="E58" s="12">
        <f>SUMIFS(Base[Montante],Base[Fornecedor],$A58&amp;"",Base[Ano],E$4)</f>
        <v/>
      </c>
      <c r="F58" s="12">
        <f>SUMIFS(Base[Montante],Base[Fornecedor],$A58&amp;"",Base[Ano],F$4)</f>
        <v/>
      </c>
      <c r="G58" s="12">
        <f>SUMIFS(Base[Montante],Base[Fornecedor],$A58&amp;"",Base[Ano],G$4)</f>
        <v/>
      </c>
      <c r="H58" s="12">
        <f>SUMIFS(Base[Montante],Base[Fornecedor],$A58&amp;"",Base[Ano],H$4)</f>
        <v/>
      </c>
      <c r="I58" s="12">
        <f>SUMIFS(Base[Montante],Base[Fornecedor],$A58&amp;"",Base[Ano],I$4)</f>
        <v/>
      </c>
      <c r="J58" s="12">
        <f>SUMIFS(Base[Montante],Base[Fornecedor],$A58&amp;"",Base[Ano],J$4)</f>
        <v/>
      </c>
      <c r="K58" s="12">
        <f>SUM(D58:J58)</f>
        <v/>
      </c>
    </row>
    <row r="59">
      <c r="A59" s="5" t="inlineStr">
        <is>
          <t>EM000167</t>
        </is>
      </c>
      <c r="B59" s="5" t="inlineStr">
        <is>
          <t>ANDERSON DE LIMA AFFONSO</t>
        </is>
      </c>
      <c r="C59" s="5">
        <f>IFERROR(INDEX(DePara[Categoria],MATCH(TEXT(A59,"0"),DePara[Fornecedor_txt],0)),"(sem categoria)")</f>
        <v/>
      </c>
      <c r="D59" s="12">
        <f>SUMIFS(Base[Montante],Base[Fornecedor],$A59&amp;"",Base[Ano],D$4)</f>
        <v/>
      </c>
      <c r="E59" s="12">
        <f>SUMIFS(Base[Montante],Base[Fornecedor],$A59&amp;"",Base[Ano],E$4)</f>
        <v/>
      </c>
      <c r="F59" s="12">
        <f>SUMIFS(Base[Montante],Base[Fornecedor],$A59&amp;"",Base[Ano],F$4)</f>
        <v/>
      </c>
      <c r="G59" s="12">
        <f>SUMIFS(Base[Montante],Base[Fornecedor],$A59&amp;"",Base[Ano],G$4)</f>
        <v/>
      </c>
      <c r="H59" s="12">
        <f>SUMIFS(Base[Montante],Base[Fornecedor],$A59&amp;"",Base[Ano],H$4)</f>
        <v/>
      </c>
      <c r="I59" s="12">
        <f>SUMIFS(Base[Montante],Base[Fornecedor],$A59&amp;"",Base[Ano],I$4)</f>
        <v/>
      </c>
      <c r="J59" s="12">
        <f>SUMIFS(Base[Montante],Base[Fornecedor],$A59&amp;"",Base[Ano],J$4)</f>
        <v/>
      </c>
      <c r="K59" s="12">
        <f>SUM(D59:J59)</f>
        <v/>
      </c>
    </row>
    <row r="60">
      <c r="A60" s="5" t="inlineStr">
        <is>
          <t>EM000083</t>
        </is>
      </c>
      <c r="B60" s="5" t="inlineStr">
        <is>
          <t>ANDERSON DE SOUZA MOTA</t>
        </is>
      </c>
      <c r="C60" s="5">
        <f>IFERROR(INDEX(DePara[Categoria],MATCH(TEXT(A60,"0"),DePara[Fornecedor_txt],0)),"(sem categoria)")</f>
        <v/>
      </c>
      <c r="D60" s="12">
        <f>SUMIFS(Base[Montante],Base[Fornecedor],$A60&amp;"",Base[Ano],D$4)</f>
        <v/>
      </c>
      <c r="E60" s="12">
        <f>SUMIFS(Base[Montante],Base[Fornecedor],$A60&amp;"",Base[Ano],E$4)</f>
        <v/>
      </c>
      <c r="F60" s="12">
        <f>SUMIFS(Base[Montante],Base[Fornecedor],$A60&amp;"",Base[Ano],F$4)</f>
        <v/>
      </c>
      <c r="G60" s="12">
        <f>SUMIFS(Base[Montante],Base[Fornecedor],$A60&amp;"",Base[Ano],G$4)</f>
        <v/>
      </c>
      <c r="H60" s="12">
        <f>SUMIFS(Base[Montante],Base[Fornecedor],$A60&amp;"",Base[Ano],H$4)</f>
        <v/>
      </c>
      <c r="I60" s="12">
        <f>SUMIFS(Base[Montante],Base[Fornecedor],$A60&amp;"",Base[Ano],I$4)</f>
        <v/>
      </c>
      <c r="J60" s="12">
        <f>SUMIFS(Base[Montante],Base[Fornecedor],$A60&amp;"",Base[Ano],J$4)</f>
        <v/>
      </c>
      <c r="K60" s="12">
        <f>SUM(D60:J60)</f>
        <v/>
      </c>
    </row>
    <row r="61">
      <c r="A61" s="5" t="inlineStr">
        <is>
          <t>EM000488</t>
        </is>
      </c>
      <c r="B61" s="5" t="inlineStr">
        <is>
          <t>ANDRE LIRA SILVA DA COSTA</t>
        </is>
      </c>
      <c r="C61" s="5">
        <f>IFERROR(INDEX(DePara[Categoria],MATCH(TEXT(A61,"0"),DePara[Fornecedor_txt],0)),"(sem categoria)")</f>
        <v/>
      </c>
      <c r="D61" s="12">
        <f>SUMIFS(Base[Montante],Base[Fornecedor],$A61&amp;"",Base[Ano],D$4)</f>
        <v/>
      </c>
      <c r="E61" s="12">
        <f>SUMIFS(Base[Montante],Base[Fornecedor],$A61&amp;"",Base[Ano],E$4)</f>
        <v/>
      </c>
      <c r="F61" s="12">
        <f>SUMIFS(Base[Montante],Base[Fornecedor],$A61&amp;"",Base[Ano],F$4)</f>
        <v/>
      </c>
      <c r="G61" s="12">
        <f>SUMIFS(Base[Montante],Base[Fornecedor],$A61&amp;"",Base[Ano],G$4)</f>
        <v/>
      </c>
      <c r="H61" s="12">
        <f>SUMIFS(Base[Montante],Base[Fornecedor],$A61&amp;"",Base[Ano],H$4)</f>
        <v/>
      </c>
      <c r="I61" s="12">
        <f>SUMIFS(Base[Montante],Base[Fornecedor],$A61&amp;"",Base[Ano],I$4)</f>
        <v/>
      </c>
      <c r="J61" s="12">
        <f>SUMIFS(Base[Montante],Base[Fornecedor],$A61&amp;"",Base[Ano],J$4)</f>
        <v/>
      </c>
      <c r="K61" s="12">
        <f>SUM(D61:J61)</f>
        <v/>
      </c>
    </row>
    <row r="62">
      <c r="A62" s="5" t="inlineStr">
        <is>
          <t>EM000039</t>
        </is>
      </c>
      <c r="B62" s="5" t="inlineStr">
        <is>
          <t>ANDRE LUIS MENDES VELOSO</t>
        </is>
      </c>
      <c r="C62" s="5">
        <f>IFERROR(INDEX(DePara[Categoria],MATCH(TEXT(A62,"0"),DePara[Fornecedor_txt],0)),"(sem categoria)")</f>
        <v/>
      </c>
      <c r="D62" s="12">
        <f>SUMIFS(Base[Montante],Base[Fornecedor],$A62&amp;"",Base[Ano],D$4)</f>
        <v/>
      </c>
      <c r="E62" s="12">
        <f>SUMIFS(Base[Montante],Base[Fornecedor],$A62&amp;"",Base[Ano],E$4)</f>
        <v/>
      </c>
      <c r="F62" s="12">
        <f>SUMIFS(Base[Montante],Base[Fornecedor],$A62&amp;"",Base[Ano],F$4)</f>
        <v/>
      </c>
      <c r="G62" s="12">
        <f>SUMIFS(Base[Montante],Base[Fornecedor],$A62&amp;"",Base[Ano],G$4)</f>
        <v/>
      </c>
      <c r="H62" s="12">
        <f>SUMIFS(Base[Montante],Base[Fornecedor],$A62&amp;"",Base[Ano],H$4)</f>
        <v/>
      </c>
      <c r="I62" s="12">
        <f>SUMIFS(Base[Montante],Base[Fornecedor],$A62&amp;"",Base[Ano],I$4)</f>
        <v/>
      </c>
      <c r="J62" s="12">
        <f>SUMIFS(Base[Montante],Base[Fornecedor],$A62&amp;"",Base[Ano],J$4)</f>
        <v/>
      </c>
      <c r="K62" s="12">
        <f>SUM(D62:J62)</f>
        <v/>
      </c>
    </row>
    <row r="63">
      <c r="A63" s="5" t="n">
        <v>102452</v>
      </c>
      <c r="B63" s="5" t="inlineStr">
        <is>
          <t>ANTONIO FERNANDES VIEIRA</t>
        </is>
      </c>
      <c r="C63" s="5">
        <f>IFERROR(INDEX(DePara[Categoria],MATCH(TEXT(A63,"0"),DePara[Fornecedor_txt],0)),"(sem categoria)")</f>
        <v/>
      </c>
      <c r="D63" s="12">
        <f>SUMIFS(Base[Montante],Base[Fornecedor],$A63&amp;"",Base[Ano],D$4)</f>
        <v/>
      </c>
      <c r="E63" s="12">
        <f>SUMIFS(Base[Montante],Base[Fornecedor],$A63&amp;"",Base[Ano],E$4)</f>
        <v/>
      </c>
      <c r="F63" s="12">
        <f>SUMIFS(Base[Montante],Base[Fornecedor],$A63&amp;"",Base[Ano],F$4)</f>
        <v/>
      </c>
      <c r="G63" s="12">
        <f>SUMIFS(Base[Montante],Base[Fornecedor],$A63&amp;"",Base[Ano],G$4)</f>
        <v/>
      </c>
      <c r="H63" s="12">
        <f>SUMIFS(Base[Montante],Base[Fornecedor],$A63&amp;"",Base[Ano],H$4)</f>
        <v/>
      </c>
      <c r="I63" s="12">
        <f>SUMIFS(Base[Montante],Base[Fornecedor],$A63&amp;"",Base[Ano],I$4)</f>
        <v/>
      </c>
      <c r="J63" s="12">
        <f>SUMIFS(Base[Montante],Base[Fornecedor],$A63&amp;"",Base[Ano],J$4)</f>
        <v/>
      </c>
      <c r="K63" s="12">
        <f>SUM(D63:J63)</f>
        <v/>
      </c>
    </row>
    <row r="64">
      <c r="A64" s="5" t="inlineStr">
        <is>
          <t>EM000862</t>
        </is>
      </c>
      <c r="B64" s="5" t="inlineStr">
        <is>
          <t>ANTONIO FREIRE MENDES FILHO</t>
        </is>
      </c>
      <c r="C64" s="5">
        <f>IFERROR(INDEX(DePara[Categoria],MATCH(TEXT(A64,"0"),DePara[Fornecedor_txt],0)),"(sem categoria)")</f>
        <v/>
      </c>
      <c r="D64" s="12">
        <f>SUMIFS(Base[Montante],Base[Fornecedor],$A64&amp;"",Base[Ano],D$4)</f>
        <v/>
      </c>
      <c r="E64" s="12">
        <f>SUMIFS(Base[Montante],Base[Fornecedor],$A64&amp;"",Base[Ano],E$4)</f>
        <v/>
      </c>
      <c r="F64" s="12">
        <f>SUMIFS(Base[Montante],Base[Fornecedor],$A64&amp;"",Base[Ano],F$4)</f>
        <v/>
      </c>
      <c r="G64" s="12">
        <f>SUMIFS(Base[Montante],Base[Fornecedor],$A64&amp;"",Base[Ano],G$4)</f>
        <v/>
      </c>
      <c r="H64" s="12">
        <f>SUMIFS(Base[Montante],Base[Fornecedor],$A64&amp;"",Base[Ano],H$4)</f>
        <v/>
      </c>
      <c r="I64" s="12">
        <f>SUMIFS(Base[Montante],Base[Fornecedor],$A64&amp;"",Base[Ano],I$4)</f>
        <v/>
      </c>
      <c r="J64" s="12">
        <f>SUMIFS(Base[Montante],Base[Fornecedor],$A64&amp;"",Base[Ano],J$4)</f>
        <v/>
      </c>
      <c r="K64" s="12">
        <f>SUM(D64:J64)</f>
        <v/>
      </c>
    </row>
    <row r="65">
      <c r="A65" s="5" t="n">
        <v>101377</v>
      </c>
      <c r="B65" s="5" t="inlineStr">
        <is>
          <t>APAGUE EQUIP DE COMBATE A INCENDIO</t>
        </is>
      </c>
      <c r="C65" s="5">
        <f>IFERROR(INDEX(DePara[Categoria],MATCH(TEXT(A65,"0"),DePara[Fornecedor_txt],0)),"(sem categoria)")</f>
        <v/>
      </c>
      <c r="D65" s="12">
        <f>SUMIFS(Base[Montante],Base[Fornecedor],$A65&amp;"",Base[Ano],D$4)</f>
        <v/>
      </c>
      <c r="E65" s="12">
        <f>SUMIFS(Base[Montante],Base[Fornecedor],$A65&amp;"",Base[Ano],E$4)</f>
        <v/>
      </c>
      <c r="F65" s="12">
        <f>SUMIFS(Base[Montante],Base[Fornecedor],$A65&amp;"",Base[Ano],F$4)</f>
        <v/>
      </c>
      <c r="G65" s="12">
        <f>SUMIFS(Base[Montante],Base[Fornecedor],$A65&amp;"",Base[Ano],G$4)</f>
        <v/>
      </c>
      <c r="H65" s="12">
        <f>SUMIFS(Base[Montante],Base[Fornecedor],$A65&amp;"",Base[Ano],H$4)</f>
        <v/>
      </c>
      <c r="I65" s="12">
        <f>SUMIFS(Base[Montante],Base[Fornecedor],$A65&amp;"",Base[Ano],I$4)</f>
        <v/>
      </c>
      <c r="J65" s="12">
        <f>SUMIFS(Base[Montante],Base[Fornecedor],$A65&amp;"",Base[Ano],J$4)</f>
        <v/>
      </c>
      <c r="K65" s="12">
        <f>SUM(D65:J65)</f>
        <v/>
      </c>
    </row>
    <row r="66">
      <c r="A66" s="5" t="n">
        <v>101973</v>
      </c>
      <c r="B66" s="5" t="inlineStr">
        <is>
          <t>APM TERMINALS PECEM OPERACOES P LTD</t>
        </is>
      </c>
      <c r="C66" s="5">
        <f>IFERROR(INDEX(DePara[Categoria],MATCH(TEXT(A66,"0"),DePara[Fornecedor_txt],0)),"(sem categoria)")</f>
        <v/>
      </c>
      <c r="D66" s="12">
        <f>SUMIFS(Base[Montante],Base[Fornecedor],$A66&amp;"",Base[Ano],D$4)</f>
        <v/>
      </c>
      <c r="E66" s="12">
        <f>SUMIFS(Base[Montante],Base[Fornecedor],$A66&amp;"",Base[Ano],E$4)</f>
        <v/>
      </c>
      <c r="F66" s="12">
        <f>SUMIFS(Base[Montante],Base[Fornecedor],$A66&amp;"",Base[Ano],F$4)</f>
        <v/>
      </c>
      <c r="G66" s="12">
        <f>SUMIFS(Base[Montante],Base[Fornecedor],$A66&amp;"",Base[Ano],G$4)</f>
        <v/>
      </c>
      <c r="H66" s="12">
        <f>SUMIFS(Base[Montante],Base[Fornecedor],$A66&amp;"",Base[Ano],H$4)</f>
        <v/>
      </c>
      <c r="I66" s="12">
        <f>SUMIFS(Base[Montante],Base[Fornecedor],$A66&amp;"",Base[Ano],I$4)</f>
        <v/>
      </c>
      <c r="J66" s="12">
        <f>SUMIFS(Base[Montante],Base[Fornecedor],$A66&amp;"",Base[Ano],J$4)</f>
        <v/>
      </c>
      <c r="K66" s="12">
        <f>SUM(D66:J66)</f>
        <v/>
      </c>
    </row>
    <row r="67">
      <c r="A67" s="5" t="n">
        <v>100406</v>
      </c>
      <c r="B67" s="5" t="inlineStr">
        <is>
          <t>APS COMPONENTES ELETRICOS SA</t>
        </is>
      </c>
      <c r="C67" s="5">
        <f>IFERROR(INDEX(DePara[Categoria],MATCH(TEXT(A67,"0"),DePara[Fornecedor_txt],0)),"(sem categoria)")</f>
        <v/>
      </c>
      <c r="D67" s="12">
        <f>SUMIFS(Base[Montante],Base[Fornecedor],$A67&amp;"",Base[Ano],D$4)</f>
        <v/>
      </c>
      <c r="E67" s="12">
        <f>SUMIFS(Base[Montante],Base[Fornecedor],$A67&amp;"",Base[Ano],E$4)</f>
        <v/>
      </c>
      <c r="F67" s="12">
        <f>SUMIFS(Base[Montante],Base[Fornecedor],$A67&amp;"",Base[Ano],F$4)</f>
        <v/>
      </c>
      <c r="G67" s="12">
        <f>SUMIFS(Base[Montante],Base[Fornecedor],$A67&amp;"",Base[Ano],G$4)</f>
        <v/>
      </c>
      <c r="H67" s="12">
        <f>SUMIFS(Base[Montante],Base[Fornecedor],$A67&amp;"",Base[Ano],H$4)</f>
        <v/>
      </c>
      <c r="I67" s="12">
        <f>SUMIFS(Base[Montante],Base[Fornecedor],$A67&amp;"",Base[Ano],I$4)</f>
        <v/>
      </c>
      <c r="J67" s="12">
        <f>SUMIFS(Base[Montante],Base[Fornecedor],$A67&amp;"",Base[Ano],J$4)</f>
        <v/>
      </c>
      <c r="K67" s="12">
        <f>SUM(D67:J67)</f>
        <v/>
      </c>
    </row>
    <row r="68">
      <c r="A68" s="5" t="inlineStr">
        <is>
          <t>EM000297</t>
        </is>
      </c>
      <c r="B68" s="5" t="inlineStr">
        <is>
          <t>ARIEL VANZETTO DUARTE</t>
        </is>
      </c>
      <c r="C68" s="5">
        <f>IFERROR(INDEX(DePara[Categoria],MATCH(TEXT(A68,"0"),DePara[Fornecedor_txt],0)),"(sem categoria)")</f>
        <v/>
      </c>
      <c r="D68" s="12">
        <f>SUMIFS(Base[Montante],Base[Fornecedor],$A68&amp;"",Base[Ano],D$4)</f>
        <v/>
      </c>
      <c r="E68" s="12">
        <f>SUMIFS(Base[Montante],Base[Fornecedor],$A68&amp;"",Base[Ano],E$4)</f>
        <v/>
      </c>
      <c r="F68" s="12">
        <f>SUMIFS(Base[Montante],Base[Fornecedor],$A68&amp;"",Base[Ano],F$4)</f>
        <v/>
      </c>
      <c r="G68" s="12">
        <f>SUMIFS(Base[Montante],Base[Fornecedor],$A68&amp;"",Base[Ano],G$4)</f>
        <v/>
      </c>
      <c r="H68" s="12">
        <f>SUMIFS(Base[Montante],Base[Fornecedor],$A68&amp;"",Base[Ano],H$4)</f>
        <v/>
      </c>
      <c r="I68" s="12">
        <f>SUMIFS(Base[Montante],Base[Fornecedor],$A68&amp;"",Base[Ano],I$4)</f>
        <v/>
      </c>
      <c r="J68" s="12">
        <f>SUMIFS(Base[Montante],Base[Fornecedor],$A68&amp;"",Base[Ano],J$4)</f>
        <v/>
      </c>
      <c r="K68" s="12">
        <f>SUM(D68:J68)</f>
        <v/>
      </c>
    </row>
    <row r="69">
      <c r="A69" s="5" t="inlineStr">
        <is>
          <t>EM000161</t>
        </is>
      </c>
      <c r="B69" s="5" t="inlineStr">
        <is>
          <t>ARIOVALDO COSTA FILHO</t>
        </is>
      </c>
      <c r="C69" s="5">
        <f>IFERROR(INDEX(DePara[Categoria],MATCH(TEXT(A69,"0"),DePara[Fornecedor_txt],0)),"(sem categoria)")</f>
        <v/>
      </c>
      <c r="D69" s="12">
        <f>SUMIFS(Base[Montante],Base[Fornecedor],$A69&amp;"",Base[Ano],D$4)</f>
        <v/>
      </c>
      <c r="E69" s="12">
        <f>SUMIFS(Base[Montante],Base[Fornecedor],$A69&amp;"",Base[Ano],E$4)</f>
        <v/>
      </c>
      <c r="F69" s="12">
        <f>SUMIFS(Base[Montante],Base[Fornecedor],$A69&amp;"",Base[Ano],F$4)</f>
        <v/>
      </c>
      <c r="G69" s="12">
        <f>SUMIFS(Base[Montante],Base[Fornecedor],$A69&amp;"",Base[Ano],G$4)</f>
        <v/>
      </c>
      <c r="H69" s="12">
        <f>SUMIFS(Base[Montante],Base[Fornecedor],$A69&amp;"",Base[Ano],H$4)</f>
        <v/>
      </c>
      <c r="I69" s="12">
        <f>SUMIFS(Base[Montante],Base[Fornecedor],$A69&amp;"",Base[Ano],I$4)</f>
        <v/>
      </c>
      <c r="J69" s="12">
        <f>SUMIFS(Base[Montante],Base[Fornecedor],$A69&amp;"",Base[Ano],J$4)</f>
        <v/>
      </c>
      <c r="K69" s="12">
        <f>SUM(D69:J69)</f>
        <v/>
      </c>
    </row>
    <row r="70">
      <c r="A70" s="5" t="n">
        <v>102282</v>
      </c>
      <c r="B70" s="5" t="inlineStr">
        <is>
          <t>ARISTOTELES MARCIO SOUZA ARAUJO</t>
        </is>
      </c>
      <c r="C70" s="5">
        <f>IFERROR(INDEX(DePara[Categoria],MATCH(TEXT(A70,"0"),DePara[Fornecedor_txt],0)),"(sem categoria)")</f>
        <v/>
      </c>
      <c r="D70" s="12">
        <f>SUMIFS(Base[Montante],Base[Fornecedor],$A70&amp;"",Base[Ano],D$4)</f>
        <v/>
      </c>
      <c r="E70" s="12">
        <f>SUMIFS(Base[Montante],Base[Fornecedor],$A70&amp;"",Base[Ano],E$4)</f>
        <v/>
      </c>
      <c r="F70" s="12">
        <f>SUMIFS(Base[Montante],Base[Fornecedor],$A70&amp;"",Base[Ano],F$4)</f>
        <v/>
      </c>
      <c r="G70" s="12">
        <f>SUMIFS(Base[Montante],Base[Fornecedor],$A70&amp;"",Base[Ano],G$4)</f>
        <v/>
      </c>
      <c r="H70" s="12">
        <f>SUMIFS(Base[Montante],Base[Fornecedor],$A70&amp;"",Base[Ano],H$4)</f>
        <v/>
      </c>
      <c r="I70" s="12">
        <f>SUMIFS(Base[Montante],Base[Fornecedor],$A70&amp;"",Base[Ano],I$4)</f>
        <v/>
      </c>
      <c r="J70" s="12">
        <f>SUMIFS(Base[Montante],Base[Fornecedor],$A70&amp;"",Base[Ano],J$4)</f>
        <v/>
      </c>
      <c r="K70" s="12">
        <f>SUM(D70:J70)</f>
        <v/>
      </c>
    </row>
    <row r="71">
      <c r="A71" s="5" t="n">
        <v>101703</v>
      </c>
      <c r="B71" s="5" t="inlineStr">
        <is>
          <t>ARK TEC GUARDA DE DOCUMENTOS LTDA</t>
        </is>
      </c>
      <c r="C71" s="5">
        <f>IFERROR(INDEX(DePara[Categoria],MATCH(TEXT(A71,"0"),DePara[Fornecedor_txt],0)),"(sem categoria)")</f>
        <v/>
      </c>
      <c r="D71" s="12">
        <f>SUMIFS(Base[Montante],Base[Fornecedor],$A71&amp;"",Base[Ano],D$4)</f>
        <v/>
      </c>
      <c r="E71" s="12">
        <f>SUMIFS(Base[Montante],Base[Fornecedor],$A71&amp;"",Base[Ano],E$4)</f>
        <v/>
      </c>
      <c r="F71" s="12">
        <f>SUMIFS(Base[Montante],Base[Fornecedor],$A71&amp;"",Base[Ano],F$4)</f>
        <v/>
      </c>
      <c r="G71" s="12">
        <f>SUMIFS(Base[Montante],Base[Fornecedor],$A71&amp;"",Base[Ano],G$4)</f>
        <v/>
      </c>
      <c r="H71" s="12">
        <f>SUMIFS(Base[Montante],Base[Fornecedor],$A71&amp;"",Base[Ano],H$4)</f>
        <v/>
      </c>
      <c r="I71" s="12">
        <f>SUMIFS(Base[Montante],Base[Fornecedor],$A71&amp;"",Base[Ano],I$4)</f>
        <v/>
      </c>
      <c r="J71" s="12">
        <f>SUMIFS(Base[Montante],Base[Fornecedor],$A71&amp;"",Base[Ano],J$4)</f>
        <v/>
      </c>
      <c r="K71" s="12">
        <f>SUM(D71:J71)</f>
        <v/>
      </c>
    </row>
    <row r="72">
      <c r="A72" s="5" t="inlineStr">
        <is>
          <t>EM000048</t>
        </is>
      </c>
      <c r="B72" s="5" t="inlineStr">
        <is>
          <t>ARLINDO ASTYZEM REGO</t>
        </is>
      </c>
      <c r="C72" s="5">
        <f>IFERROR(INDEX(DePara[Categoria],MATCH(TEXT(A72,"0"),DePara[Fornecedor_txt],0)),"(sem categoria)")</f>
        <v/>
      </c>
      <c r="D72" s="12">
        <f>SUMIFS(Base[Montante],Base[Fornecedor],$A72&amp;"",Base[Ano],D$4)</f>
        <v/>
      </c>
      <c r="E72" s="12">
        <f>SUMIFS(Base[Montante],Base[Fornecedor],$A72&amp;"",Base[Ano],E$4)</f>
        <v/>
      </c>
      <c r="F72" s="12">
        <f>SUMIFS(Base[Montante],Base[Fornecedor],$A72&amp;"",Base[Ano],F$4)</f>
        <v/>
      </c>
      <c r="G72" s="12">
        <f>SUMIFS(Base[Montante],Base[Fornecedor],$A72&amp;"",Base[Ano],G$4)</f>
        <v/>
      </c>
      <c r="H72" s="12">
        <f>SUMIFS(Base[Montante],Base[Fornecedor],$A72&amp;"",Base[Ano],H$4)</f>
        <v/>
      </c>
      <c r="I72" s="12">
        <f>SUMIFS(Base[Montante],Base[Fornecedor],$A72&amp;"",Base[Ano],I$4)</f>
        <v/>
      </c>
      <c r="J72" s="12">
        <f>SUMIFS(Base[Montante],Base[Fornecedor],$A72&amp;"",Base[Ano],J$4)</f>
        <v/>
      </c>
      <c r="K72" s="12">
        <f>SUM(D72:J72)</f>
        <v/>
      </c>
    </row>
    <row r="73">
      <c r="A73" s="5" t="n">
        <v>101290</v>
      </c>
      <c r="B73" s="5" t="inlineStr">
        <is>
          <t>ARTH WIND SERVICES&amp;CONSULTING EIREL</t>
        </is>
      </c>
      <c r="C73" s="5">
        <f>IFERROR(INDEX(DePara[Categoria],MATCH(TEXT(A73,"0"),DePara[Fornecedor_txt],0)),"(sem categoria)")</f>
        <v/>
      </c>
      <c r="D73" s="12">
        <f>SUMIFS(Base[Montante],Base[Fornecedor],$A73&amp;"",Base[Ano],D$4)</f>
        <v/>
      </c>
      <c r="E73" s="12">
        <f>SUMIFS(Base[Montante],Base[Fornecedor],$A73&amp;"",Base[Ano],E$4)</f>
        <v/>
      </c>
      <c r="F73" s="12">
        <f>SUMIFS(Base[Montante],Base[Fornecedor],$A73&amp;"",Base[Ano],F$4)</f>
        <v/>
      </c>
      <c r="G73" s="12">
        <f>SUMIFS(Base[Montante],Base[Fornecedor],$A73&amp;"",Base[Ano],G$4)</f>
        <v/>
      </c>
      <c r="H73" s="12">
        <f>SUMIFS(Base[Montante],Base[Fornecedor],$A73&amp;"",Base[Ano],H$4)</f>
        <v/>
      </c>
      <c r="I73" s="12">
        <f>SUMIFS(Base[Montante],Base[Fornecedor],$A73&amp;"",Base[Ano],I$4)</f>
        <v/>
      </c>
      <c r="J73" s="12">
        <f>SUMIFS(Base[Montante],Base[Fornecedor],$A73&amp;"",Base[Ano],J$4)</f>
        <v/>
      </c>
      <c r="K73" s="12">
        <f>SUM(D73:J73)</f>
        <v/>
      </c>
    </row>
    <row r="74">
      <c r="A74" s="5" t="n">
        <v>102068</v>
      </c>
      <c r="B74" s="5" t="inlineStr">
        <is>
          <t>ASSESSORIA TECNICA ATENE LIMITADA</t>
        </is>
      </c>
      <c r="C74" s="5">
        <f>IFERROR(INDEX(DePara[Categoria],MATCH(TEXT(A74,"0"),DePara[Fornecedor_txt],0)),"(sem categoria)")</f>
        <v/>
      </c>
      <c r="D74" s="12">
        <f>SUMIFS(Base[Montante],Base[Fornecedor],$A74&amp;"",Base[Ano],D$4)</f>
        <v/>
      </c>
      <c r="E74" s="12">
        <f>SUMIFS(Base[Montante],Base[Fornecedor],$A74&amp;"",Base[Ano],E$4)</f>
        <v/>
      </c>
      <c r="F74" s="12">
        <f>SUMIFS(Base[Montante],Base[Fornecedor],$A74&amp;"",Base[Ano],F$4)</f>
        <v/>
      </c>
      <c r="G74" s="12">
        <f>SUMIFS(Base[Montante],Base[Fornecedor],$A74&amp;"",Base[Ano],G$4)</f>
        <v/>
      </c>
      <c r="H74" s="12">
        <f>SUMIFS(Base[Montante],Base[Fornecedor],$A74&amp;"",Base[Ano],H$4)</f>
        <v/>
      </c>
      <c r="I74" s="12">
        <f>SUMIFS(Base[Montante],Base[Fornecedor],$A74&amp;"",Base[Ano],I$4)</f>
        <v/>
      </c>
      <c r="J74" s="12">
        <f>SUMIFS(Base[Montante],Base[Fornecedor],$A74&amp;"",Base[Ano],J$4)</f>
        <v/>
      </c>
      <c r="K74" s="12">
        <f>SUM(D74:J74)</f>
        <v/>
      </c>
    </row>
    <row r="75">
      <c r="A75" s="5" t="n">
        <v>101869</v>
      </c>
      <c r="B75" s="5" t="inlineStr">
        <is>
          <t>ASSOCIACAO BRASILEIRA DA IND DE MAQ</t>
        </is>
      </c>
      <c r="C75" s="5">
        <f>IFERROR(INDEX(DePara[Categoria],MATCH(TEXT(A75,"0"),DePara[Fornecedor_txt],0)),"(sem categoria)")</f>
        <v/>
      </c>
      <c r="D75" s="12">
        <f>SUMIFS(Base[Montante],Base[Fornecedor],$A75&amp;"",Base[Ano],D$4)</f>
        <v/>
      </c>
      <c r="E75" s="12">
        <f>SUMIFS(Base[Montante],Base[Fornecedor],$A75&amp;"",Base[Ano],E$4)</f>
        <v/>
      </c>
      <c r="F75" s="12">
        <f>SUMIFS(Base[Montante],Base[Fornecedor],$A75&amp;"",Base[Ano],F$4)</f>
        <v/>
      </c>
      <c r="G75" s="12">
        <f>SUMIFS(Base[Montante],Base[Fornecedor],$A75&amp;"",Base[Ano],G$4)</f>
        <v/>
      </c>
      <c r="H75" s="12">
        <f>SUMIFS(Base[Montante],Base[Fornecedor],$A75&amp;"",Base[Ano],H$4)</f>
        <v/>
      </c>
      <c r="I75" s="12">
        <f>SUMIFS(Base[Montante],Base[Fornecedor],$A75&amp;"",Base[Ano],I$4)</f>
        <v/>
      </c>
      <c r="J75" s="12">
        <f>SUMIFS(Base[Montante],Base[Fornecedor],$A75&amp;"",Base[Ano],J$4)</f>
        <v/>
      </c>
      <c r="K75" s="12">
        <f>SUM(D75:J75)</f>
        <v/>
      </c>
    </row>
    <row r="76">
      <c r="A76" s="5" t="n">
        <v>102086</v>
      </c>
      <c r="B76" s="5" t="inlineStr">
        <is>
          <t>ASSOCIACAO BRASILEIRA E E ABEEOLICA</t>
        </is>
      </c>
      <c r="C76" s="5">
        <f>IFERROR(INDEX(DePara[Categoria],MATCH(TEXT(A76,"0"),DePara[Fornecedor_txt],0)),"(sem categoria)")</f>
        <v/>
      </c>
      <c r="D76" s="12">
        <f>SUMIFS(Base[Montante],Base[Fornecedor],$A76&amp;"",Base[Ano],D$4)</f>
        <v/>
      </c>
      <c r="E76" s="12">
        <f>SUMIFS(Base[Montante],Base[Fornecedor],$A76&amp;"",Base[Ano],E$4)</f>
        <v/>
      </c>
      <c r="F76" s="12">
        <f>SUMIFS(Base[Montante],Base[Fornecedor],$A76&amp;"",Base[Ano],F$4)</f>
        <v/>
      </c>
      <c r="G76" s="12">
        <f>SUMIFS(Base[Montante],Base[Fornecedor],$A76&amp;"",Base[Ano],G$4)</f>
        <v/>
      </c>
      <c r="H76" s="12">
        <f>SUMIFS(Base[Montante],Base[Fornecedor],$A76&amp;"",Base[Ano],H$4)</f>
        <v/>
      </c>
      <c r="I76" s="12">
        <f>SUMIFS(Base[Montante],Base[Fornecedor],$A76&amp;"",Base[Ano],I$4)</f>
        <v/>
      </c>
      <c r="J76" s="12">
        <f>SUMIFS(Base[Montante],Base[Fornecedor],$A76&amp;"",Base[Ano],J$4)</f>
        <v/>
      </c>
      <c r="K76" s="12">
        <f>SUM(D76:J76)</f>
        <v/>
      </c>
    </row>
    <row r="77">
      <c r="A77" s="5" t="inlineStr">
        <is>
          <t>EM000162</t>
        </is>
      </c>
      <c r="B77" s="5" t="inlineStr">
        <is>
          <t>ASSUERO SAVIO TEIXEIRA SOUSA</t>
        </is>
      </c>
      <c r="C77" s="5">
        <f>IFERROR(INDEX(DePara[Categoria],MATCH(TEXT(A77,"0"),DePara[Fornecedor_txt],0)),"(sem categoria)")</f>
        <v/>
      </c>
      <c r="D77" s="12">
        <f>SUMIFS(Base[Montante],Base[Fornecedor],$A77&amp;"",Base[Ano],D$4)</f>
        <v/>
      </c>
      <c r="E77" s="12">
        <f>SUMIFS(Base[Montante],Base[Fornecedor],$A77&amp;"",Base[Ano],E$4)</f>
        <v/>
      </c>
      <c r="F77" s="12">
        <f>SUMIFS(Base[Montante],Base[Fornecedor],$A77&amp;"",Base[Ano],F$4)</f>
        <v/>
      </c>
      <c r="G77" s="12">
        <f>SUMIFS(Base[Montante],Base[Fornecedor],$A77&amp;"",Base[Ano],G$4)</f>
        <v/>
      </c>
      <c r="H77" s="12">
        <f>SUMIFS(Base[Montante],Base[Fornecedor],$A77&amp;"",Base[Ano],H$4)</f>
        <v/>
      </c>
      <c r="I77" s="12">
        <f>SUMIFS(Base[Montante],Base[Fornecedor],$A77&amp;"",Base[Ano],I$4)</f>
        <v/>
      </c>
      <c r="J77" s="12">
        <f>SUMIFS(Base[Montante],Base[Fornecedor],$A77&amp;"",Base[Ano],J$4)</f>
        <v/>
      </c>
      <c r="K77" s="12">
        <f>SUM(D77:J77)</f>
        <v/>
      </c>
    </row>
    <row r="78">
      <c r="A78" s="5" t="n">
        <v>101387</v>
      </c>
      <c r="B78" s="5" t="inlineStr">
        <is>
          <t>AZEVEDO ENGENHARIA E PARTICIPAÇÕES</t>
        </is>
      </c>
      <c r="C78" s="5">
        <f>IFERROR(INDEX(DePara[Categoria],MATCH(TEXT(A78,"0"),DePara[Fornecedor_txt],0)),"(sem categoria)")</f>
        <v/>
      </c>
      <c r="D78" s="12">
        <f>SUMIFS(Base[Montante],Base[Fornecedor],$A78&amp;"",Base[Ano],D$4)</f>
        <v/>
      </c>
      <c r="E78" s="12">
        <f>SUMIFS(Base[Montante],Base[Fornecedor],$A78&amp;"",Base[Ano],E$4)</f>
        <v/>
      </c>
      <c r="F78" s="12">
        <f>SUMIFS(Base[Montante],Base[Fornecedor],$A78&amp;"",Base[Ano],F$4)</f>
        <v/>
      </c>
      <c r="G78" s="12">
        <f>SUMIFS(Base[Montante],Base[Fornecedor],$A78&amp;"",Base[Ano],G$4)</f>
        <v/>
      </c>
      <c r="H78" s="12">
        <f>SUMIFS(Base[Montante],Base[Fornecedor],$A78&amp;"",Base[Ano],H$4)</f>
        <v/>
      </c>
      <c r="I78" s="12">
        <f>SUMIFS(Base[Montante],Base[Fornecedor],$A78&amp;"",Base[Ano],I$4)</f>
        <v/>
      </c>
      <c r="J78" s="12">
        <f>SUMIFS(Base[Montante],Base[Fornecedor],$A78&amp;"",Base[Ano],J$4)</f>
        <v/>
      </c>
      <c r="K78" s="12">
        <f>SUM(D78:J78)</f>
        <v/>
      </c>
    </row>
    <row r="79">
      <c r="A79" s="5" t="n">
        <v>104134</v>
      </c>
      <c r="B79" s="5" t="inlineStr">
        <is>
          <t>B&amp;M LOGISTICA INTERNACIONAL LTDA 07720307000106</t>
        </is>
      </c>
      <c r="C79" s="5">
        <f>IFERROR(INDEX(DePara[Categoria],MATCH(TEXT(A79,"0"),DePara[Fornecedor_txt],0)),"(sem categoria)")</f>
        <v/>
      </c>
      <c r="D79" s="12">
        <f>SUMIFS(Base[Montante],Base[Fornecedor],$A79&amp;"",Base[Ano],D$4)</f>
        <v/>
      </c>
      <c r="E79" s="12">
        <f>SUMIFS(Base[Montante],Base[Fornecedor],$A79&amp;"",Base[Ano],E$4)</f>
        <v/>
      </c>
      <c r="F79" s="12">
        <f>SUMIFS(Base[Montante],Base[Fornecedor],$A79&amp;"",Base[Ano],F$4)</f>
        <v/>
      </c>
      <c r="G79" s="12">
        <f>SUMIFS(Base[Montante],Base[Fornecedor],$A79&amp;"",Base[Ano],G$4)</f>
        <v/>
      </c>
      <c r="H79" s="12">
        <f>SUMIFS(Base[Montante],Base[Fornecedor],$A79&amp;"",Base[Ano],H$4)</f>
        <v/>
      </c>
      <c r="I79" s="12">
        <f>SUMIFS(Base[Montante],Base[Fornecedor],$A79&amp;"",Base[Ano],I$4)</f>
        <v/>
      </c>
      <c r="J79" s="12">
        <f>SUMIFS(Base[Montante],Base[Fornecedor],$A79&amp;"",Base[Ano],J$4)</f>
        <v/>
      </c>
      <c r="K79" s="12">
        <f>SUM(D79:J79)</f>
        <v/>
      </c>
    </row>
    <row r="80">
      <c r="A80" s="5" t="n">
        <v>101622</v>
      </c>
      <c r="B80" s="5" t="inlineStr">
        <is>
          <t>BAGAREL COMERCIO DE INSTRUMENTOS LT</t>
        </is>
      </c>
      <c r="C80" s="5">
        <f>IFERROR(INDEX(DePara[Categoria],MATCH(TEXT(A80,"0"),DePara[Fornecedor_txt],0)),"(sem categoria)")</f>
        <v/>
      </c>
      <c r="D80" s="12">
        <f>SUMIFS(Base[Montante],Base[Fornecedor],$A80&amp;"",Base[Ano],D$4)</f>
        <v/>
      </c>
      <c r="E80" s="12">
        <f>SUMIFS(Base[Montante],Base[Fornecedor],$A80&amp;"",Base[Ano],E$4)</f>
        <v/>
      </c>
      <c r="F80" s="12">
        <f>SUMIFS(Base[Montante],Base[Fornecedor],$A80&amp;"",Base[Ano],F$4)</f>
        <v/>
      </c>
      <c r="G80" s="12">
        <f>SUMIFS(Base[Montante],Base[Fornecedor],$A80&amp;"",Base[Ano],G$4)</f>
        <v/>
      </c>
      <c r="H80" s="12">
        <f>SUMIFS(Base[Montante],Base[Fornecedor],$A80&amp;"",Base[Ano],H$4)</f>
        <v/>
      </c>
      <c r="I80" s="12">
        <f>SUMIFS(Base[Montante],Base[Fornecedor],$A80&amp;"",Base[Ano],I$4)</f>
        <v/>
      </c>
      <c r="J80" s="12">
        <f>SUMIFS(Base[Montante],Base[Fornecedor],$A80&amp;"",Base[Ano],J$4)</f>
        <v/>
      </c>
      <c r="K80" s="12">
        <f>SUM(D80:J80)</f>
        <v/>
      </c>
    </row>
    <row r="81">
      <c r="A81" s="5" t="n">
        <v>102472</v>
      </c>
      <c r="B81" s="5" t="inlineStr">
        <is>
          <t>BALASKA EQUIPE INDUSTRIA E COMERCIO</t>
        </is>
      </c>
      <c r="C81" s="5">
        <f>IFERROR(INDEX(DePara[Categoria],MATCH(TEXT(A81,"0"),DePara[Fornecedor_txt],0)),"(sem categoria)")</f>
        <v/>
      </c>
      <c r="D81" s="12">
        <f>SUMIFS(Base[Montante],Base[Fornecedor],$A81&amp;"",Base[Ano],D$4)</f>
        <v/>
      </c>
      <c r="E81" s="12">
        <f>SUMIFS(Base[Montante],Base[Fornecedor],$A81&amp;"",Base[Ano],E$4)</f>
        <v/>
      </c>
      <c r="F81" s="12">
        <f>SUMIFS(Base[Montante],Base[Fornecedor],$A81&amp;"",Base[Ano],F$4)</f>
        <v/>
      </c>
      <c r="G81" s="12">
        <f>SUMIFS(Base[Montante],Base[Fornecedor],$A81&amp;"",Base[Ano],G$4)</f>
        <v/>
      </c>
      <c r="H81" s="12">
        <f>SUMIFS(Base[Montante],Base[Fornecedor],$A81&amp;"",Base[Ano],H$4)</f>
        <v/>
      </c>
      <c r="I81" s="12">
        <f>SUMIFS(Base[Montante],Base[Fornecedor],$A81&amp;"",Base[Ano],I$4)</f>
        <v/>
      </c>
      <c r="J81" s="12">
        <f>SUMIFS(Base[Montante],Base[Fornecedor],$A81&amp;"",Base[Ano],J$4)</f>
        <v/>
      </c>
      <c r="K81" s="12">
        <f>SUM(D81:J81)</f>
        <v/>
      </c>
    </row>
    <row r="82">
      <c r="A82" s="5" t="n">
        <v>101888</v>
      </c>
      <c r="B82" s="5" t="inlineStr">
        <is>
          <t>BANCO SANTANDER BRASIL SA</t>
        </is>
      </c>
      <c r="C82" s="5">
        <f>IFERROR(INDEX(DePara[Categoria],MATCH(TEXT(A82,"0"),DePara[Fornecedor_txt],0)),"(sem categoria)")</f>
        <v/>
      </c>
      <c r="D82" s="12">
        <f>SUMIFS(Base[Montante],Base[Fornecedor],$A82&amp;"",Base[Ano],D$4)</f>
        <v/>
      </c>
      <c r="E82" s="12">
        <f>SUMIFS(Base[Montante],Base[Fornecedor],$A82&amp;"",Base[Ano],E$4)</f>
        <v/>
      </c>
      <c r="F82" s="12">
        <f>SUMIFS(Base[Montante],Base[Fornecedor],$A82&amp;"",Base[Ano],F$4)</f>
        <v/>
      </c>
      <c r="G82" s="12">
        <f>SUMIFS(Base[Montante],Base[Fornecedor],$A82&amp;"",Base[Ano],G$4)</f>
        <v/>
      </c>
      <c r="H82" s="12">
        <f>SUMIFS(Base[Montante],Base[Fornecedor],$A82&amp;"",Base[Ano],H$4)</f>
        <v/>
      </c>
      <c r="I82" s="12">
        <f>SUMIFS(Base[Montante],Base[Fornecedor],$A82&amp;"",Base[Ano],I$4)</f>
        <v/>
      </c>
      <c r="J82" s="12">
        <f>SUMIFS(Base[Montante],Base[Fornecedor],$A82&amp;"",Base[Ano],J$4)</f>
        <v/>
      </c>
      <c r="K82" s="12">
        <f>SUM(D82:J82)</f>
        <v/>
      </c>
    </row>
    <row r="83">
      <c r="A83" s="5" t="n">
        <v>101547</v>
      </c>
      <c r="B83" s="5" t="inlineStr">
        <is>
          <t>BARRACUDA PRODUTOS MATERIAIS C LTDA</t>
        </is>
      </c>
      <c r="C83" s="5">
        <f>IFERROR(INDEX(DePara[Categoria],MATCH(TEXT(A83,"0"),DePara[Fornecedor_txt],0)),"(sem categoria)")</f>
        <v/>
      </c>
      <c r="D83" s="12">
        <f>SUMIFS(Base[Montante],Base[Fornecedor],$A83&amp;"",Base[Ano],D$4)</f>
        <v/>
      </c>
      <c r="E83" s="12">
        <f>SUMIFS(Base[Montante],Base[Fornecedor],$A83&amp;"",Base[Ano],E$4)</f>
        <v/>
      </c>
      <c r="F83" s="12">
        <f>SUMIFS(Base[Montante],Base[Fornecedor],$A83&amp;"",Base[Ano],F$4)</f>
        <v/>
      </c>
      <c r="G83" s="12">
        <f>SUMIFS(Base[Montante],Base[Fornecedor],$A83&amp;"",Base[Ano],G$4)</f>
        <v/>
      </c>
      <c r="H83" s="12">
        <f>SUMIFS(Base[Montante],Base[Fornecedor],$A83&amp;"",Base[Ano],H$4)</f>
        <v/>
      </c>
      <c r="I83" s="12">
        <f>SUMIFS(Base[Montante],Base[Fornecedor],$A83&amp;"",Base[Ano],I$4)</f>
        <v/>
      </c>
      <c r="J83" s="12">
        <f>SUMIFS(Base[Montante],Base[Fornecedor],$A83&amp;"",Base[Ano],J$4)</f>
        <v/>
      </c>
      <c r="K83" s="12">
        <f>SUM(D83:J83)</f>
        <v/>
      </c>
    </row>
    <row r="84">
      <c r="A84" s="5" t="n">
        <v>102433</v>
      </c>
      <c r="B84" s="5" t="inlineStr">
        <is>
          <t>BECOMEX CONSULTORIA LTDA</t>
        </is>
      </c>
      <c r="C84" s="5">
        <f>IFERROR(INDEX(DePara[Categoria],MATCH(TEXT(A84,"0"),DePara[Fornecedor_txt],0)),"(sem categoria)")</f>
        <v/>
      </c>
      <c r="D84" s="12">
        <f>SUMIFS(Base[Montante],Base[Fornecedor],$A84&amp;"",Base[Ano],D$4)</f>
        <v/>
      </c>
      <c r="E84" s="12">
        <f>SUMIFS(Base[Montante],Base[Fornecedor],$A84&amp;"",Base[Ano],E$4)</f>
        <v/>
      </c>
      <c r="F84" s="12">
        <f>SUMIFS(Base[Montante],Base[Fornecedor],$A84&amp;"",Base[Ano],F$4)</f>
        <v/>
      </c>
      <c r="G84" s="12">
        <f>SUMIFS(Base[Montante],Base[Fornecedor],$A84&amp;"",Base[Ano],G$4)</f>
        <v/>
      </c>
      <c r="H84" s="12">
        <f>SUMIFS(Base[Montante],Base[Fornecedor],$A84&amp;"",Base[Ano],H$4)</f>
        <v/>
      </c>
      <c r="I84" s="12">
        <f>SUMIFS(Base[Montante],Base[Fornecedor],$A84&amp;"",Base[Ano],I$4)</f>
        <v/>
      </c>
      <c r="J84" s="12">
        <f>SUMIFS(Base[Montante],Base[Fornecedor],$A84&amp;"",Base[Ano],J$4)</f>
        <v/>
      </c>
      <c r="K84" s="12">
        <f>SUM(D84:J84)</f>
        <v/>
      </c>
    </row>
    <row r="85">
      <c r="A85" s="5" t="n">
        <v>103936</v>
      </c>
      <c r="B85" s="5" t="inlineStr">
        <is>
          <t>BELA VISTA RENOVAVEIS II LTDA</t>
        </is>
      </c>
      <c r="C85" s="5">
        <f>IFERROR(INDEX(DePara[Categoria],MATCH(TEXT(A85,"0"),DePara[Fornecedor_txt],0)),"(sem categoria)")</f>
        <v/>
      </c>
      <c r="D85" s="12">
        <f>SUMIFS(Base[Montante],Base[Fornecedor],$A85&amp;"",Base[Ano],D$4)</f>
        <v/>
      </c>
      <c r="E85" s="12">
        <f>SUMIFS(Base[Montante],Base[Fornecedor],$A85&amp;"",Base[Ano],E$4)</f>
        <v/>
      </c>
      <c r="F85" s="12">
        <f>SUMIFS(Base[Montante],Base[Fornecedor],$A85&amp;"",Base[Ano],F$4)</f>
        <v/>
      </c>
      <c r="G85" s="12">
        <f>SUMIFS(Base[Montante],Base[Fornecedor],$A85&amp;"",Base[Ano],G$4)</f>
        <v/>
      </c>
      <c r="H85" s="12">
        <f>SUMIFS(Base[Montante],Base[Fornecedor],$A85&amp;"",Base[Ano],H$4)</f>
        <v/>
      </c>
      <c r="I85" s="12">
        <f>SUMIFS(Base[Montante],Base[Fornecedor],$A85&amp;"",Base[Ano],I$4)</f>
        <v/>
      </c>
      <c r="J85" s="12">
        <f>SUMIFS(Base[Montante],Base[Fornecedor],$A85&amp;"",Base[Ano],J$4)</f>
        <v/>
      </c>
      <c r="K85" s="12">
        <f>SUM(D85:J85)</f>
        <v/>
      </c>
    </row>
    <row r="86">
      <c r="A86" s="5" t="inlineStr">
        <is>
          <t>EM000868</t>
        </is>
      </c>
      <c r="B86" s="5" t="inlineStr">
        <is>
          <t>BERNARDO SÉRGIO MENDONÇA</t>
        </is>
      </c>
      <c r="C86" s="5">
        <f>IFERROR(INDEX(DePara[Categoria],MATCH(TEXT(A86,"0"),DePara[Fornecedor_txt],0)),"(sem categoria)")</f>
        <v/>
      </c>
      <c r="D86" s="12">
        <f>SUMIFS(Base[Montante],Base[Fornecedor],$A86&amp;"",Base[Ano],D$4)</f>
        <v/>
      </c>
      <c r="E86" s="12">
        <f>SUMIFS(Base[Montante],Base[Fornecedor],$A86&amp;"",Base[Ano],E$4)</f>
        <v/>
      </c>
      <c r="F86" s="12">
        <f>SUMIFS(Base[Montante],Base[Fornecedor],$A86&amp;"",Base[Ano],F$4)</f>
        <v/>
      </c>
      <c r="G86" s="12">
        <f>SUMIFS(Base[Montante],Base[Fornecedor],$A86&amp;"",Base[Ano],G$4)</f>
        <v/>
      </c>
      <c r="H86" s="12">
        <f>SUMIFS(Base[Montante],Base[Fornecedor],$A86&amp;"",Base[Ano],H$4)</f>
        <v/>
      </c>
      <c r="I86" s="12">
        <f>SUMIFS(Base[Montante],Base[Fornecedor],$A86&amp;"",Base[Ano],I$4)</f>
        <v/>
      </c>
      <c r="J86" s="12">
        <f>SUMIFS(Base[Montante],Base[Fornecedor],$A86&amp;"",Base[Ano],J$4)</f>
        <v/>
      </c>
      <c r="K86" s="12">
        <f>SUM(D86:J86)</f>
        <v/>
      </c>
    </row>
    <row r="87">
      <c r="A87" s="5" t="n">
        <v>107723</v>
      </c>
      <c r="B87" s="5" t="inlineStr">
        <is>
          <t>BLUEWAY TRADING IMPORTACAO E EXPORT S.A</t>
        </is>
      </c>
      <c r="C87" s="5">
        <f>IFERROR(INDEX(DePara[Categoria],MATCH(TEXT(A87,"0"),DePara[Fornecedor_txt],0)),"(sem categoria)")</f>
        <v/>
      </c>
      <c r="D87" s="12">
        <f>SUMIFS(Base[Montante],Base[Fornecedor],$A87&amp;"",Base[Ano],D$4)</f>
        <v/>
      </c>
      <c r="E87" s="12">
        <f>SUMIFS(Base[Montante],Base[Fornecedor],$A87&amp;"",Base[Ano],E$4)</f>
        <v/>
      </c>
      <c r="F87" s="12">
        <f>SUMIFS(Base[Montante],Base[Fornecedor],$A87&amp;"",Base[Ano],F$4)</f>
        <v/>
      </c>
      <c r="G87" s="12">
        <f>SUMIFS(Base[Montante],Base[Fornecedor],$A87&amp;"",Base[Ano],G$4)</f>
        <v/>
      </c>
      <c r="H87" s="12">
        <f>SUMIFS(Base[Montante],Base[Fornecedor],$A87&amp;"",Base[Ano],H$4)</f>
        <v/>
      </c>
      <c r="I87" s="12">
        <f>SUMIFS(Base[Montante],Base[Fornecedor],$A87&amp;"",Base[Ano],I$4)</f>
        <v/>
      </c>
      <c r="J87" s="12">
        <f>SUMIFS(Base[Montante],Base[Fornecedor],$A87&amp;"",Base[Ano],J$4)</f>
        <v/>
      </c>
      <c r="K87" s="12">
        <f>SUM(D87:J87)</f>
        <v/>
      </c>
    </row>
    <row r="88">
      <c r="A88" s="5" t="n">
        <v>100631</v>
      </c>
      <c r="B88" s="5" t="inlineStr">
        <is>
          <t>BRANDAO FILHOS FORTSHIP AGENCIA MAR 11826476000100</t>
        </is>
      </c>
      <c r="C88" s="5">
        <f>IFERROR(INDEX(DePara[Categoria],MATCH(TEXT(A88,"0"),DePara[Fornecedor_txt],0)),"(sem categoria)")</f>
        <v/>
      </c>
      <c r="D88" s="12">
        <f>SUMIFS(Base[Montante],Base[Fornecedor],$A88&amp;"",Base[Ano],D$4)</f>
        <v/>
      </c>
      <c r="E88" s="12">
        <f>SUMIFS(Base[Montante],Base[Fornecedor],$A88&amp;"",Base[Ano],E$4)</f>
        <v/>
      </c>
      <c r="F88" s="12">
        <f>SUMIFS(Base[Montante],Base[Fornecedor],$A88&amp;"",Base[Ano],F$4)</f>
        <v/>
      </c>
      <c r="G88" s="12">
        <f>SUMIFS(Base[Montante],Base[Fornecedor],$A88&amp;"",Base[Ano],G$4)</f>
        <v/>
      </c>
      <c r="H88" s="12">
        <f>SUMIFS(Base[Montante],Base[Fornecedor],$A88&amp;"",Base[Ano],H$4)</f>
        <v/>
      </c>
      <c r="I88" s="12">
        <f>SUMIFS(Base[Montante],Base[Fornecedor],$A88&amp;"",Base[Ano],I$4)</f>
        <v/>
      </c>
      <c r="J88" s="12">
        <f>SUMIFS(Base[Montante],Base[Fornecedor],$A88&amp;"",Base[Ano],J$4)</f>
        <v/>
      </c>
      <c r="K88" s="12">
        <f>SUM(D88:J88)</f>
        <v/>
      </c>
    </row>
    <row r="89">
      <c r="A89" s="5" t="n">
        <v>100566</v>
      </c>
      <c r="B89" s="5" t="inlineStr">
        <is>
          <t>BRASIL TERMINAL PORTUARIO S.A.</t>
        </is>
      </c>
      <c r="C89" s="5">
        <f>IFERROR(INDEX(DePara[Categoria],MATCH(TEXT(A89,"0"),DePara[Fornecedor_txt],0)),"(sem categoria)")</f>
        <v/>
      </c>
      <c r="D89" s="12">
        <f>SUMIFS(Base[Montante],Base[Fornecedor],$A89&amp;"",Base[Ano],D$4)</f>
        <v/>
      </c>
      <c r="E89" s="12">
        <f>SUMIFS(Base[Montante],Base[Fornecedor],$A89&amp;"",Base[Ano],E$4)</f>
        <v/>
      </c>
      <c r="F89" s="12">
        <f>SUMIFS(Base[Montante],Base[Fornecedor],$A89&amp;"",Base[Ano],F$4)</f>
        <v/>
      </c>
      <c r="G89" s="12">
        <f>SUMIFS(Base[Montante],Base[Fornecedor],$A89&amp;"",Base[Ano],G$4)</f>
        <v/>
      </c>
      <c r="H89" s="12">
        <f>SUMIFS(Base[Montante],Base[Fornecedor],$A89&amp;"",Base[Ano],H$4)</f>
        <v/>
      </c>
      <c r="I89" s="12">
        <f>SUMIFS(Base[Montante],Base[Fornecedor],$A89&amp;"",Base[Ano],I$4)</f>
        <v/>
      </c>
      <c r="J89" s="12">
        <f>SUMIFS(Base[Montante],Base[Fornecedor],$A89&amp;"",Base[Ano],J$4)</f>
        <v/>
      </c>
      <c r="K89" s="12">
        <f>SUM(D89:J89)</f>
        <v/>
      </c>
    </row>
    <row r="90">
      <c r="A90" s="5" t="n">
        <v>103772</v>
      </c>
      <c r="B90" s="5" t="inlineStr">
        <is>
          <t>BRASPRESS TRANSPORTES URGENTES LTDA</t>
        </is>
      </c>
      <c r="C90" s="5">
        <f>IFERROR(INDEX(DePara[Categoria],MATCH(TEXT(A90,"0"),DePara[Fornecedor_txt],0)),"(sem categoria)")</f>
        <v/>
      </c>
      <c r="D90" s="12">
        <f>SUMIFS(Base[Montante],Base[Fornecedor],$A90&amp;"",Base[Ano],D$4)</f>
        <v/>
      </c>
      <c r="E90" s="12">
        <f>SUMIFS(Base[Montante],Base[Fornecedor],$A90&amp;"",Base[Ano],E$4)</f>
        <v/>
      </c>
      <c r="F90" s="12">
        <f>SUMIFS(Base[Montante],Base[Fornecedor],$A90&amp;"",Base[Ano],F$4)</f>
        <v/>
      </c>
      <c r="G90" s="12">
        <f>SUMIFS(Base[Montante],Base[Fornecedor],$A90&amp;"",Base[Ano],G$4)</f>
        <v/>
      </c>
      <c r="H90" s="12">
        <f>SUMIFS(Base[Montante],Base[Fornecedor],$A90&amp;"",Base[Ano],H$4)</f>
        <v/>
      </c>
      <c r="I90" s="12">
        <f>SUMIFS(Base[Montante],Base[Fornecedor],$A90&amp;"",Base[Ano],I$4)</f>
        <v/>
      </c>
      <c r="J90" s="12">
        <f>SUMIFS(Base[Montante],Base[Fornecedor],$A90&amp;"",Base[Ano],J$4)</f>
        <v/>
      </c>
      <c r="K90" s="12">
        <f>SUM(D90:J90)</f>
        <v/>
      </c>
    </row>
    <row r="91">
      <c r="A91" s="5" t="n">
        <v>100956</v>
      </c>
      <c r="B91" s="5" t="inlineStr">
        <is>
          <t>BREMER LLOYD BRAZIL LOGISTICS LTDA</t>
        </is>
      </c>
      <c r="C91" s="5">
        <f>IFERROR(INDEX(DePara[Categoria],MATCH(TEXT(A91,"0"),DePara[Fornecedor_txt],0)),"(sem categoria)")</f>
        <v/>
      </c>
      <c r="D91" s="12">
        <f>SUMIFS(Base[Montante],Base[Fornecedor],$A91&amp;"",Base[Ano],D$4)</f>
        <v/>
      </c>
      <c r="E91" s="12">
        <f>SUMIFS(Base[Montante],Base[Fornecedor],$A91&amp;"",Base[Ano],E$4)</f>
        <v/>
      </c>
      <c r="F91" s="12">
        <f>SUMIFS(Base[Montante],Base[Fornecedor],$A91&amp;"",Base[Ano],F$4)</f>
        <v/>
      </c>
      <c r="G91" s="12">
        <f>SUMIFS(Base[Montante],Base[Fornecedor],$A91&amp;"",Base[Ano],G$4)</f>
        <v/>
      </c>
      <c r="H91" s="12">
        <f>SUMIFS(Base[Montante],Base[Fornecedor],$A91&amp;"",Base[Ano],H$4)</f>
        <v/>
      </c>
      <c r="I91" s="12">
        <f>SUMIFS(Base[Montante],Base[Fornecedor],$A91&amp;"",Base[Ano],I$4)</f>
        <v/>
      </c>
      <c r="J91" s="12">
        <f>SUMIFS(Base[Montante],Base[Fornecedor],$A91&amp;"",Base[Ano],J$4)</f>
        <v/>
      </c>
      <c r="K91" s="12">
        <f>SUM(D91:J91)</f>
        <v/>
      </c>
    </row>
    <row r="92">
      <c r="A92" s="5" t="n">
        <v>107311</v>
      </c>
      <c r="B92" s="5" t="inlineStr">
        <is>
          <t>BRS SUPRIMENTOS CORPORATIVOS S A</t>
        </is>
      </c>
      <c r="C92" s="5">
        <f>IFERROR(INDEX(DePara[Categoria],MATCH(TEXT(A92,"0"),DePara[Fornecedor_txt],0)),"(sem categoria)")</f>
        <v/>
      </c>
      <c r="D92" s="12">
        <f>SUMIFS(Base[Montante],Base[Fornecedor],$A92&amp;"",Base[Ano],D$4)</f>
        <v/>
      </c>
      <c r="E92" s="12">
        <f>SUMIFS(Base[Montante],Base[Fornecedor],$A92&amp;"",Base[Ano],E$4)</f>
        <v/>
      </c>
      <c r="F92" s="12">
        <f>SUMIFS(Base[Montante],Base[Fornecedor],$A92&amp;"",Base[Ano],F$4)</f>
        <v/>
      </c>
      <c r="G92" s="12">
        <f>SUMIFS(Base[Montante],Base[Fornecedor],$A92&amp;"",Base[Ano],G$4)</f>
        <v/>
      </c>
      <c r="H92" s="12">
        <f>SUMIFS(Base[Montante],Base[Fornecedor],$A92&amp;"",Base[Ano],H$4)</f>
        <v/>
      </c>
      <c r="I92" s="12">
        <f>SUMIFS(Base[Montante],Base[Fornecedor],$A92&amp;"",Base[Ano],I$4)</f>
        <v/>
      </c>
      <c r="J92" s="12">
        <f>SUMIFS(Base[Montante],Base[Fornecedor],$A92&amp;"",Base[Ano],J$4)</f>
        <v/>
      </c>
      <c r="K92" s="12">
        <f>SUM(D92:J92)</f>
        <v/>
      </c>
    </row>
    <row r="93">
      <c r="A93" s="5" t="inlineStr">
        <is>
          <t>EM000792</t>
        </is>
      </c>
      <c r="B93" s="5" t="inlineStr">
        <is>
          <t>BRUNO INÁCIO LOURENÇO</t>
        </is>
      </c>
      <c r="C93" s="5">
        <f>IFERROR(INDEX(DePara[Categoria],MATCH(TEXT(A93,"0"),DePara[Fornecedor_txt],0)),"(sem categoria)")</f>
        <v/>
      </c>
      <c r="D93" s="12">
        <f>SUMIFS(Base[Montante],Base[Fornecedor],$A93&amp;"",Base[Ano],D$4)</f>
        <v/>
      </c>
      <c r="E93" s="12">
        <f>SUMIFS(Base[Montante],Base[Fornecedor],$A93&amp;"",Base[Ano],E$4)</f>
        <v/>
      </c>
      <c r="F93" s="12">
        <f>SUMIFS(Base[Montante],Base[Fornecedor],$A93&amp;"",Base[Ano],F$4)</f>
        <v/>
      </c>
      <c r="G93" s="12">
        <f>SUMIFS(Base[Montante],Base[Fornecedor],$A93&amp;"",Base[Ano],G$4)</f>
        <v/>
      </c>
      <c r="H93" s="12">
        <f>SUMIFS(Base[Montante],Base[Fornecedor],$A93&amp;"",Base[Ano],H$4)</f>
        <v/>
      </c>
      <c r="I93" s="12">
        <f>SUMIFS(Base[Montante],Base[Fornecedor],$A93&amp;"",Base[Ano],I$4)</f>
        <v/>
      </c>
      <c r="J93" s="12">
        <f>SUMIFS(Base[Montante],Base[Fornecedor],$A93&amp;"",Base[Ano],J$4)</f>
        <v/>
      </c>
      <c r="K93" s="12">
        <f>SUM(D93:J93)</f>
        <v/>
      </c>
    </row>
    <row r="94">
      <c r="A94" s="5" t="inlineStr">
        <is>
          <t>EM000390</t>
        </is>
      </c>
      <c r="B94" s="5" t="inlineStr">
        <is>
          <t>BRUNO RAFAEL REBOUCAS DE SOUZA</t>
        </is>
      </c>
      <c r="C94" s="5">
        <f>IFERROR(INDEX(DePara[Categoria],MATCH(TEXT(A94,"0"),DePara[Fornecedor_txt],0)),"(sem categoria)")</f>
        <v/>
      </c>
      <c r="D94" s="12">
        <f>SUMIFS(Base[Montante],Base[Fornecedor],$A94&amp;"",Base[Ano],D$4)</f>
        <v/>
      </c>
      <c r="E94" s="12">
        <f>SUMIFS(Base[Montante],Base[Fornecedor],$A94&amp;"",Base[Ano],E$4)</f>
        <v/>
      </c>
      <c r="F94" s="12">
        <f>SUMIFS(Base[Montante],Base[Fornecedor],$A94&amp;"",Base[Ano],F$4)</f>
        <v/>
      </c>
      <c r="G94" s="12">
        <f>SUMIFS(Base[Montante],Base[Fornecedor],$A94&amp;"",Base[Ano],G$4)</f>
        <v/>
      </c>
      <c r="H94" s="12">
        <f>SUMIFS(Base[Montante],Base[Fornecedor],$A94&amp;"",Base[Ano],H$4)</f>
        <v/>
      </c>
      <c r="I94" s="12">
        <f>SUMIFS(Base[Montante],Base[Fornecedor],$A94&amp;"",Base[Ano],I$4)</f>
        <v/>
      </c>
      <c r="J94" s="12">
        <f>SUMIFS(Base[Montante],Base[Fornecedor],$A94&amp;"",Base[Ano],J$4)</f>
        <v/>
      </c>
      <c r="K94" s="12">
        <f>SUM(D94:J94)</f>
        <v/>
      </c>
    </row>
    <row r="95">
      <c r="A95" s="5" t="inlineStr">
        <is>
          <t>EM000081</t>
        </is>
      </c>
      <c r="B95" s="5" t="inlineStr">
        <is>
          <t>BRUNO VINICIUS MOREIRA CARDOSO</t>
        </is>
      </c>
      <c r="C95" s="5">
        <f>IFERROR(INDEX(DePara[Categoria],MATCH(TEXT(A95,"0"),DePara[Fornecedor_txt],0)),"(sem categoria)")</f>
        <v/>
      </c>
      <c r="D95" s="12">
        <f>SUMIFS(Base[Montante],Base[Fornecedor],$A95&amp;"",Base[Ano],D$4)</f>
        <v/>
      </c>
      <c r="E95" s="12">
        <f>SUMIFS(Base[Montante],Base[Fornecedor],$A95&amp;"",Base[Ano],E$4)</f>
        <v/>
      </c>
      <c r="F95" s="12">
        <f>SUMIFS(Base[Montante],Base[Fornecedor],$A95&amp;"",Base[Ano],F$4)</f>
        <v/>
      </c>
      <c r="G95" s="12">
        <f>SUMIFS(Base[Montante],Base[Fornecedor],$A95&amp;"",Base[Ano],G$4)</f>
        <v/>
      </c>
      <c r="H95" s="12">
        <f>SUMIFS(Base[Montante],Base[Fornecedor],$A95&amp;"",Base[Ano],H$4)</f>
        <v/>
      </c>
      <c r="I95" s="12">
        <f>SUMIFS(Base[Montante],Base[Fornecedor],$A95&amp;"",Base[Ano],I$4)</f>
        <v/>
      </c>
      <c r="J95" s="12">
        <f>SUMIFS(Base[Montante],Base[Fornecedor],$A95&amp;"",Base[Ano],J$4)</f>
        <v/>
      </c>
      <c r="K95" s="12">
        <f>SUM(D95:J95)</f>
        <v/>
      </c>
    </row>
    <row r="96">
      <c r="A96" s="5" t="n">
        <v>101826</v>
      </c>
      <c r="B96" s="5" t="inlineStr">
        <is>
          <t>BUNZL EQUIP DE PROTECÃO INDIVIDUAL</t>
        </is>
      </c>
      <c r="C96" s="5">
        <f>IFERROR(INDEX(DePara[Categoria],MATCH(TEXT(A96,"0"),DePara[Fornecedor_txt],0)),"(sem categoria)")</f>
        <v/>
      </c>
      <c r="D96" s="12">
        <f>SUMIFS(Base[Montante],Base[Fornecedor],$A96&amp;"",Base[Ano],D$4)</f>
        <v/>
      </c>
      <c r="E96" s="12">
        <f>SUMIFS(Base[Montante],Base[Fornecedor],$A96&amp;"",Base[Ano],E$4)</f>
        <v/>
      </c>
      <c r="F96" s="12">
        <f>SUMIFS(Base[Montante],Base[Fornecedor],$A96&amp;"",Base[Ano],F$4)</f>
        <v/>
      </c>
      <c r="G96" s="12">
        <f>SUMIFS(Base[Montante],Base[Fornecedor],$A96&amp;"",Base[Ano],G$4)</f>
        <v/>
      </c>
      <c r="H96" s="12">
        <f>SUMIFS(Base[Montante],Base[Fornecedor],$A96&amp;"",Base[Ano],H$4)</f>
        <v/>
      </c>
      <c r="I96" s="12">
        <f>SUMIFS(Base[Montante],Base[Fornecedor],$A96&amp;"",Base[Ano],I$4)</f>
        <v/>
      </c>
      <c r="J96" s="12">
        <f>SUMIFS(Base[Montante],Base[Fornecedor],$A96&amp;"",Base[Ano],J$4)</f>
        <v/>
      </c>
      <c r="K96" s="12">
        <f>SUM(D96:J96)</f>
        <v/>
      </c>
    </row>
    <row r="97">
      <c r="A97" s="5" t="n">
        <v>101632</v>
      </c>
      <c r="B97" s="5" t="inlineStr">
        <is>
          <t>BVQI DO BRASIL SOCIEDADE CERTIFICAD</t>
        </is>
      </c>
      <c r="C97" s="5">
        <f>IFERROR(INDEX(DePara[Categoria],MATCH(TEXT(A97,"0"),DePara[Fornecedor_txt],0)),"(sem categoria)")</f>
        <v/>
      </c>
      <c r="D97" s="12">
        <f>SUMIFS(Base[Montante],Base[Fornecedor],$A97&amp;"",Base[Ano],D$4)</f>
        <v/>
      </c>
      <c r="E97" s="12">
        <f>SUMIFS(Base[Montante],Base[Fornecedor],$A97&amp;"",Base[Ano],E$4)</f>
        <v/>
      </c>
      <c r="F97" s="12">
        <f>SUMIFS(Base[Montante],Base[Fornecedor],$A97&amp;"",Base[Ano],F$4)</f>
        <v/>
      </c>
      <c r="G97" s="12">
        <f>SUMIFS(Base[Montante],Base[Fornecedor],$A97&amp;"",Base[Ano],G$4)</f>
        <v/>
      </c>
      <c r="H97" s="12">
        <f>SUMIFS(Base[Montante],Base[Fornecedor],$A97&amp;"",Base[Ano],H$4)</f>
        <v/>
      </c>
      <c r="I97" s="12">
        <f>SUMIFS(Base[Montante],Base[Fornecedor],$A97&amp;"",Base[Ano],I$4)</f>
        <v/>
      </c>
      <c r="J97" s="12">
        <f>SUMIFS(Base[Montante],Base[Fornecedor],$A97&amp;"",Base[Ano],J$4)</f>
        <v/>
      </c>
      <c r="K97" s="12">
        <f>SUM(D97:J97)</f>
        <v/>
      </c>
    </row>
    <row r="98">
      <c r="A98" s="5" t="n">
        <v>101765</v>
      </c>
      <c r="B98" s="5" t="inlineStr">
        <is>
          <t>C DA SILVA CARVALHO E FILHA LTDA</t>
        </is>
      </c>
      <c r="C98" s="5">
        <f>IFERROR(INDEX(DePara[Categoria],MATCH(TEXT(A98,"0"),DePara[Fornecedor_txt],0)),"(sem categoria)")</f>
        <v/>
      </c>
      <c r="D98" s="12">
        <f>SUMIFS(Base[Montante],Base[Fornecedor],$A98&amp;"",Base[Ano],D$4)</f>
        <v/>
      </c>
      <c r="E98" s="12">
        <f>SUMIFS(Base[Montante],Base[Fornecedor],$A98&amp;"",Base[Ano],E$4)</f>
        <v/>
      </c>
      <c r="F98" s="12">
        <f>SUMIFS(Base[Montante],Base[Fornecedor],$A98&amp;"",Base[Ano],F$4)</f>
        <v/>
      </c>
      <c r="G98" s="12">
        <f>SUMIFS(Base[Montante],Base[Fornecedor],$A98&amp;"",Base[Ano],G$4)</f>
        <v/>
      </c>
      <c r="H98" s="12">
        <f>SUMIFS(Base[Montante],Base[Fornecedor],$A98&amp;"",Base[Ano],H$4)</f>
        <v/>
      </c>
      <c r="I98" s="12">
        <f>SUMIFS(Base[Montante],Base[Fornecedor],$A98&amp;"",Base[Ano],I$4)</f>
        <v/>
      </c>
      <c r="J98" s="12">
        <f>SUMIFS(Base[Montante],Base[Fornecedor],$A98&amp;"",Base[Ano],J$4)</f>
        <v/>
      </c>
      <c r="K98" s="12">
        <f>SUM(D98:J98)</f>
        <v/>
      </c>
    </row>
    <row r="99">
      <c r="A99" s="5" t="n">
        <v>102426</v>
      </c>
      <c r="B99" s="5" t="inlineStr">
        <is>
          <t>CAFE COM COMPRADOR CONSULTORIA EMPR</t>
        </is>
      </c>
      <c r="C99" s="5">
        <f>IFERROR(INDEX(DePara[Categoria],MATCH(TEXT(A99,"0"),DePara[Fornecedor_txt],0)),"(sem categoria)")</f>
        <v/>
      </c>
      <c r="D99" s="12">
        <f>SUMIFS(Base[Montante],Base[Fornecedor],$A99&amp;"",Base[Ano],D$4)</f>
        <v/>
      </c>
      <c r="E99" s="12">
        <f>SUMIFS(Base[Montante],Base[Fornecedor],$A99&amp;"",Base[Ano],E$4)</f>
        <v/>
      </c>
      <c r="F99" s="12">
        <f>SUMIFS(Base[Montante],Base[Fornecedor],$A99&amp;"",Base[Ano],F$4)</f>
        <v/>
      </c>
      <c r="G99" s="12">
        <f>SUMIFS(Base[Montante],Base[Fornecedor],$A99&amp;"",Base[Ano],G$4)</f>
        <v/>
      </c>
      <c r="H99" s="12">
        <f>SUMIFS(Base[Montante],Base[Fornecedor],$A99&amp;"",Base[Ano],H$4)</f>
        <v/>
      </c>
      <c r="I99" s="12">
        <f>SUMIFS(Base[Montante],Base[Fornecedor],$A99&amp;"",Base[Ano],I$4)</f>
        <v/>
      </c>
      <c r="J99" s="12">
        <f>SUMIFS(Base[Montante],Base[Fornecedor],$A99&amp;"",Base[Ano],J$4)</f>
        <v/>
      </c>
      <c r="K99" s="12">
        <f>SUM(D99:J99)</f>
        <v/>
      </c>
    </row>
    <row r="100">
      <c r="A100" s="5" t="inlineStr">
        <is>
          <t>EM003594</t>
        </is>
      </c>
      <c r="B100" s="5" t="inlineStr">
        <is>
          <t>CAIO GEANDERSON MACIEL MARTINS</t>
        </is>
      </c>
      <c r="C100" s="5">
        <f>IFERROR(INDEX(DePara[Categoria],MATCH(TEXT(A100,"0"),DePara[Fornecedor_txt],0)),"(sem categoria)")</f>
        <v/>
      </c>
      <c r="D100" s="12">
        <f>SUMIFS(Base[Montante],Base[Fornecedor],$A100&amp;"",Base[Ano],D$4)</f>
        <v/>
      </c>
      <c r="E100" s="12">
        <f>SUMIFS(Base[Montante],Base[Fornecedor],$A100&amp;"",Base[Ano],E$4)</f>
        <v/>
      </c>
      <c r="F100" s="12">
        <f>SUMIFS(Base[Montante],Base[Fornecedor],$A100&amp;"",Base[Ano],F$4)</f>
        <v/>
      </c>
      <c r="G100" s="12">
        <f>SUMIFS(Base[Montante],Base[Fornecedor],$A100&amp;"",Base[Ano],G$4)</f>
        <v/>
      </c>
      <c r="H100" s="12">
        <f>SUMIFS(Base[Montante],Base[Fornecedor],$A100&amp;"",Base[Ano],H$4)</f>
        <v/>
      </c>
      <c r="I100" s="12">
        <f>SUMIFS(Base[Montante],Base[Fornecedor],$A100&amp;"",Base[Ano],I$4)</f>
        <v/>
      </c>
      <c r="J100" s="12">
        <f>SUMIFS(Base[Montante],Base[Fornecedor],$A100&amp;"",Base[Ano],J$4)</f>
        <v/>
      </c>
      <c r="K100" s="12">
        <f>SUM(D100:J100)</f>
        <v/>
      </c>
    </row>
    <row r="101">
      <c r="A101" s="5" t="n">
        <v>102087</v>
      </c>
      <c r="B101" s="5" t="inlineStr">
        <is>
          <t>CAIXA ECONOMICA FEDERAL</t>
        </is>
      </c>
      <c r="C101" s="5">
        <f>IFERROR(INDEX(DePara[Categoria],MATCH(TEXT(A101,"0"),DePara[Fornecedor_txt],0)),"(sem categoria)")</f>
        <v/>
      </c>
      <c r="D101" s="12">
        <f>SUMIFS(Base[Montante],Base[Fornecedor],$A101&amp;"",Base[Ano],D$4)</f>
        <v/>
      </c>
      <c r="E101" s="12">
        <f>SUMIFS(Base[Montante],Base[Fornecedor],$A101&amp;"",Base[Ano],E$4)</f>
        <v/>
      </c>
      <c r="F101" s="12">
        <f>SUMIFS(Base[Montante],Base[Fornecedor],$A101&amp;"",Base[Ano],F$4)</f>
        <v/>
      </c>
      <c r="G101" s="12">
        <f>SUMIFS(Base[Montante],Base[Fornecedor],$A101&amp;"",Base[Ano],G$4)</f>
        <v/>
      </c>
      <c r="H101" s="12">
        <f>SUMIFS(Base[Montante],Base[Fornecedor],$A101&amp;"",Base[Ano],H$4)</f>
        <v/>
      </c>
      <c r="I101" s="12">
        <f>SUMIFS(Base[Montante],Base[Fornecedor],$A101&amp;"",Base[Ano],I$4)</f>
        <v/>
      </c>
      <c r="J101" s="12">
        <f>SUMIFS(Base[Montante],Base[Fornecedor],$A101&amp;"",Base[Ano],J$4)</f>
        <v/>
      </c>
      <c r="K101" s="12">
        <f>SUM(D101:J101)</f>
        <v/>
      </c>
    </row>
    <row r="102">
      <c r="A102" s="5" t="n">
        <v>100621</v>
      </c>
      <c r="B102" s="5" t="inlineStr">
        <is>
          <t>CALTER ENGENHARIA LTDA</t>
        </is>
      </c>
      <c r="C102" s="5">
        <f>IFERROR(INDEX(DePara[Categoria],MATCH(TEXT(A102,"0"),DePara[Fornecedor_txt],0)),"(sem categoria)")</f>
        <v/>
      </c>
      <c r="D102" s="12">
        <f>SUMIFS(Base[Montante],Base[Fornecedor],$A102&amp;"",Base[Ano],D$4)</f>
        <v/>
      </c>
      <c r="E102" s="12">
        <f>SUMIFS(Base[Montante],Base[Fornecedor],$A102&amp;"",Base[Ano],E$4)</f>
        <v/>
      </c>
      <c r="F102" s="12">
        <f>SUMIFS(Base[Montante],Base[Fornecedor],$A102&amp;"",Base[Ano],F$4)</f>
        <v/>
      </c>
      <c r="G102" s="12">
        <f>SUMIFS(Base[Montante],Base[Fornecedor],$A102&amp;"",Base[Ano],G$4)</f>
        <v/>
      </c>
      <c r="H102" s="12">
        <f>SUMIFS(Base[Montante],Base[Fornecedor],$A102&amp;"",Base[Ano],H$4)</f>
        <v/>
      </c>
      <c r="I102" s="12">
        <f>SUMIFS(Base[Montante],Base[Fornecedor],$A102&amp;"",Base[Ano],I$4)</f>
        <v/>
      </c>
      <c r="J102" s="12">
        <f>SUMIFS(Base[Montante],Base[Fornecedor],$A102&amp;"",Base[Ano],J$4)</f>
        <v/>
      </c>
      <c r="K102" s="12">
        <f>SUM(D102:J102)</f>
        <v/>
      </c>
    </row>
    <row r="103">
      <c r="A103" s="5" t="n">
        <v>100161</v>
      </c>
      <c r="B103" s="5" t="inlineStr">
        <is>
          <t>CAMARA DE COM E IND BRASIL ALEMANHA</t>
        </is>
      </c>
      <c r="C103" s="5">
        <f>IFERROR(INDEX(DePara[Categoria],MATCH(TEXT(A103,"0"),DePara[Fornecedor_txt],0)),"(sem categoria)")</f>
        <v/>
      </c>
      <c r="D103" s="12">
        <f>SUMIFS(Base[Montante],Base[Fornecedor],$A103&amp;"",Base[Ano],D$4)</f>
        <v/>
      </c>
      <c r="E103" s="12">
        <f>SUMIFS(Base[Montante],Base[Fornecedor],$A103&amp;"",Base[Ano],E$4)</f>
        <v/>
      </c>
      <c r="F103" s="12">
        <f>SUMIFS(Base[Montante],Base[Fornecedor],$A103&amp;"",Base[Ano],F$4)</f>
        <v/>
      </c>
      <c r="G103" s="12">
        <f>SUMIFS(Base[Montante],Base[Fornecedor],$A103&amp;"",Base[Ano],G$4)</f>
        <v/>
      </c>
      <c r="H103" s="12">
        <f>SUMIFS(Base[Montante],Base[Fornecedor],$A103&amp;"",Base[Ano],H$4)</f>
        <v/>
      </c>
      <c r="I103" s="12">
        <f>SUMIFS(Base[Montante],Base[Fornecedor],$A103&amp;"",Base[Ano],I$4)</f>
        <v/>
      </c>
      <c r="J103" s="12">
        <f>SUMIFS(Base[Montante],Base[Fornecedor],$A103&amp;"",Base[Ano],J$4)</f>
        <v/>
      </c>
      <c r="K103" s="12">
        <f>SUM(D103:J103)</f>
        <v/>
      </c>
    </row>
    <row r="104">
      <c r="A104" s="5" t="n">
        <v>101056</v>
      </c>
      <c r="B104" s="5" t="inlineStr">
        <is>
          <t>CAMARA DE COMER ENERGIA ELETRICA CC</t>
        </is>
      </c>
      <c r="C104" s="5">
        <f>IFERROR(INDEX(DePara[Categoria],MATCH(TEXT(A104,"0"),DePara[Fornecedor_txt],0)),"(sem categoria)")</f>
        <v/>
      </c>
      <c r="D104" s="12">
        <f>SUMIFS(Base[Montante],Base[Fornecedor],$A104&amp;"",Base[Ano],D$4)</f>
        <v/>
      </c>
      <c r="E104" s="12">
        <f>SUMIFS(Base[Montante],Base[Fornecedor],$A104&amp;"",Base[Ano],E$4)</f>
        <v/>
      </c>
      <c r="F104" s="12">
        <f>SUMIFS(Base[Montante],Base[Fornecedor],$A104&amp;"",Base[Ano],F$4)</f>
        <v/>
      </c>
      <c r="G104" s="12">
        <f>SUMIFS(Base[Montante],Base[Fornecedor],$A104&amp;"",Base[Ano],G$4)</f>
        <v/>
      </c>
      <c r="H104" s="12">
        <f>SUMIFS(Base[Montante],Base[Fornecedor],$A104&amp;"",Base[Ano],H$4)</f>
        <v/>
      </c>
      <c r="I104" s="12">
        <f>SUMIFS(Base[Montante],Base[Fornecedor],$A104&amp;"",Base[Ano],I$4)</f>
        <v/>
      </c>
      <c r="J104" s="12">
        <f>SUMIFS(Base[Montante],Base[Fornecedor],$A104&amp;"",Base[Ano],J$4)</f>
        <v/>
      </c>
      <c r="K104" s="12">
        <f>SUM(D104:J104)</f>
        <v/>
      </c>
    </row>
    <row r="105">
      <c r="A105" s="5" t="inlineStr">
        <is>
          <t>EM000550</t>
        </is>
      </c>
      <c r="B105" s="5" t="inlineStr">
        <is>
          <t>CAMILA ROCHA</t>
        </is>
      </c>
      <c r="C105" s="5">
        <f>IFERROR(INDEX(DePara[Categoria],MATCH(TEXT(A105,"0"),DePara[Fornecedor_txt],0)),"(sem categoria)")</f>
        <v/>
      </c>
      <c r="D105" s="12">
        <f>SUMIFS(Base[Montante],Base[Fornecedor],$A105&amp;"",Base[Ano],D$4)</f>
        <v/>
      </c>
      <c r="E105" s="12">
        <f>SUMIFS(Base[Montante],Base[Fornecedor],$A105&amp;"",Base[Ano],E$4)</f>
        <v/>
      </c>
      <c r="F105" s="12">
        <f>SUMIFS(Base[Montante],Base[Fornecedor],$A105&amp;"",Base[Ano],F$4)</f>
        <v/>
      </c>
      <c r="G105" s="12">
        <f>SUMIFS(Base[Montante],Base[Fornecedor],$A105&amp;"",Base[Ano],G$4)</f>
        <v/>
      </c>
      <c r="H105" s="12">
        <f>SUMIFS(Base[Montante],Base[Fornecedor],$A105&amp;"",Base[Ano],H$4)</f>
        <v/>
      </c>
      <c r="I105" s="12">
        <f>SUMIFS(Base[Montante],Base[Fornecedor],$A105&amp;"",Base[Ano],I$4)</f>
        <v/>
      </c>
      <c r="J105" s="12">
        <f>SUMIFS(Base[Montante],Base[Fornecedor],$A105&amp;"",Base[Ano],J$4)</f>
        <v/>
      </c>
      <c r="K105" s="12">
        <f>SUM(D105:J105)</f>
        <v/>
      </c>
    </row>
    <row r="106">
      <c r="A106" s="5" t="inlineStr">
        <is>
          <t>EM000143</t>
        </is>
      </c>
      <c r="B106" s="5" t="inlineStr">
        <is>
          <t>CARLOS ADRIANO SILVA DE OLIVEIRA</t>
        </is>
      </c>
      <c r="C106" s="5">
        <f>IFERROR(INDEX(DePara[Categoria],MATCH(TEXT(A106,"0"),DePara[Fornecedor_txt],0)),"(sem categoria)")</f>
        <v/>
      </c>
      <c r="D106" s="12">
        <f>SUMIFS(Base[Montante],Base[Fornecedor],$A106&amp;"",Base[Ano],D$4)</f>
        <v/>
      </c>
      <c r="E106" s="12">
        <f>SUMIFS(Base[Montante],Base[Fornecedor],$A106&amp;"",Base[Ano],E$4)</f>
        <v/>
      </c>
      <c r="F106" s="12">
        <f>SUMIFS(Base[Montante],Base[Fornecedor],$A106&amp;"",Base[Ano],F$4)</f>
        <v/>
      </c>
      <c r="G106" s="12">
        <f>SUMIFS(Base[Montante],Base[Fornecedor],$A106&amp;"",Base[Ano],G$4)</f>
        <v/>
      </c>
      <c r="H106" s="12">
        <f>SUMIFS(Base[Montante],Base[Fornecedor],$A106&amp;"",Base[Ano],H$4)</f>
        <v/>
      </c>
      <c r="I106" s="12">
        <f>SUMIFS(Base[Montante],Base[Fornecedor],$A106&amp;"",Base[Ano],I$4)</f>
        <v/>
      </c>
      <c r="J106" s="12">
        <f>SUMIFS(Base[Montante],Base[Fornecedor],$A106&amp;"",Base[Ano],J$4)</f>
        <v/>
      </c>
      <c r="K106" s="12">
        <f>SUM(D106:J106)</f>
        <v/>
      </c>
    </row>
    <row r="107">
      <c r="A107" s="5" t="inlineStr">
        <is>
          <t>EM000093</t>
        </is>
      </c>
      <c r="B107" s="5" t="inlineStr">
        <is>
          <t>CARLOS ALVES DE AZEVEDO</t>
        </is>
      </c>
      <c r="C107" s="5">
        <f>IFERROR(INDEX(DePara[Categoria],MATCH(TEXT(A107,"0"),DePara[Fornecedor_txt],0)),"(sem categoria)")</f>
        <v/>
      </c>
      <c r="D107" s="12">
        <f>SUMIFS(Base[Montante],Base[Fornecedor],$A107&amp;"",Base[Ano],D$4)</f>
        <v/>
      </c>
      <c r="E107" s="12">
        <f>SUMIFS(Base[Montante],Base[Fornecedor],$A107&amp;"",Base[Ano],E$4)</f>
        <v/>
      </c>
      <c r="F107" s="12">
        <f>SUMIFS(Base[Montante],Base[Fornecedor],$A107&amp;"",Base[Ano],F$4)</f>
        <v/>
      </c>
      <c r="G107" s="12">
        <f>SUMIFS(Base[Montante],Base[Fornecedor],$A107&amp;"",Base[Ano],G$4)</f>
        <v/>
      </c>
      <c r="H107" s="12">
        <f>SUMIFS(Base[Montante],Base[Fornecedor],$A107&amp;"",Base[Ano],H$4)</f>
        <v/>
      </c>
      <c r="I107" s="12">
        <f>SUMIFS(Base[Montante],Base[Fornecedor],$A107&amp;"",Base[Ano],I$4)</f>
        <v/>
      </c>
      <c r="J107" s="12">
        <f>SUMIFS(Base[Montante],Base[Fornecedor],$A107&amp;"",Base[Ano],J$4)</f>
        <v/>
      </c>
      <c r="K107" s="12">
        <f>SUM(D107:J107)</f>
        <v/>
      </c>
    </row>
    <row r="108">
      <c r="A108" s="5" t="inlineStr">
        <is>
          <t>EM000458</t>
        </is>
      </c>
      <c r="B108" s="5" t="inlineStr">
        <is>
          <t>CARLOS CESAR FONSECA MACHADO</t>
        </is>
      </c>
      <c r="C108" s="5">
        <f>IFERROR(INDEX(DePara[Categoria],MATCH(TEXT(A108,"0"),DePara[Fornecedor_txt],0)),"(sem categoria)")</f>
        <v/>
      </c>
      <c r="D108" s="12">
        <f>SUMIFS(Base[Montante],Base[Fornecedor],$A108&amp;"",Base[Ano],D$4)</f>
        <v/>
      </c>
      <c r="E108" s="12">
        <f>SUMIFS(Base[Montante],Base[Fornecedor],$A108&amp;"",Base[Ano],E$4)</f>
        <v/>
      </c>
      <c r="F108" s="12">
        <f>SUMIFS(Base[Montante],Base[Fornecedor],$A108&amp;"",Base[Ano],F$4)</f>
        <v/>
      </c>
      <c r="G108" s="12">
        <f>SUMIFS(Base[Montante],Base[Fornecedor],$A108&amp;"",Base[Ano],G$4)</f>
        <v/>
      </c>
      <c r="H108" s="12">
        <f>SUMIFS(Base[Montante],Base[Fornecedor],$A108&amp;"",Base[Ano],H$4)</f>
        <v/>
      </c>
      <c r="I108" s="12">
        <f>SUMIFS(Base[Montante],Base[Fornecedor],$A108&amp;"",Base[Ano],I$4)</f>
        <v/>
      </c>
      <c r="J108" s="12">
        <f>SUMIFS(Base[Montante],Base[Fornecedor],$A108&amp;"",Base[Ano],J$4)</f>
        <v/>
      </c>
      <c r="K108" s="12">
        <f>SUM(D108:J108)</f>
        <v/>
      </c>
    </row>
    <row r="109">
      <c r="A109" s="5" t="n">
        <v>108017</v>
      </c>
      <c r="B109" s="5" t="inlineStr">
        <is>
          <t>CARLOS DIAS DOS SANTOS</t>
        </is>
      </c>
      <c r="C109" s="5">
        <f>IFERROR(INDEX(DePara[Categoria],MATCH(TEXT(A109,"0"),DePara[Fornecedor_txt],0)),"(sem categoria)")</f>
        <v/>
      </c>
      <c r="D109" s="12">
        <f>SUMIFS(Base[Montante],Base[Fornecedor],$A109&amp;"",Base[Ano],D$4)</f>
        <v/>
      </c>
      <c r="E109" s="12">
        <f>SUMIFS(Base[Montante],Base[Fornecedor],$A109&amp;"",Base[Ano],E$4)</f>
        <v/>
      </c>
      <c r="F109" s="12">
        <f>SUMIFS(Base[Montante],Base[Fornecedor],$A109&amp;"",Base[Ano],F$4)</f>
        <v/>
      </c>
      <c r="G109" s="12">
        <f>SUMIFS(Base[Montante],Base[Fornecedor],$A109&amp;"",Base[Ano],G$4)</f>
        <v/>
      </c>
      <c r="H109" s="12">
        <f>SUMIFS(Base[Montante],Base[Fornecedor],$A109&amp;"",Base[Ano],H$4)</f>
        <v/>
      </c>
      <c r="I109" s="12">
        <f>SUMIFS(Base[Montante],Base[Fornecedor],$A109&amp;"",Base[Ano],I$4)</f>
        <v/>
      </c>
      <c r="J109" s="12">
        <f>SUMIFS(Base[Montante],Base[Fornecedor],$A109&amp;"",Base[Ano],J$4)</f>
        <v/>
      </c>
      <c r="K109" s="12">
        <f>SUM(D109:J109)</f>
        <v/>
      </c>
    </row>
    <row r="110">
      <c r="A110" s="5" t="inlineStr">
        <is>
          <t>EM000310</t>
        </is>
      </c>
      <c r="B110" s="5" t="inlineStr">
        <is>
          <t>CARLOS EDUARDO LAUREANO</t>
        </is>
      </c>
      <c r="C110" s="5">
        <f>IFERROR(INDEX(DePara[Categoria],MATCH(TEXT(A110,"0"),DePara[Fornecedor_txt],0)),"(sem categoria)")</f>
        <v/>
      </c>
      <c r="D110" s="12">
        <f>SUMIFS(Base[Montante],Base[Fornecedor],$A110&amp;"",Base[Ano],D$4)</f>
        <v/>
      </c>
      <c r="E110" s="12">
        <f>SUMIFS(Base[Montante],Base[Fornecedor],$A110&amp;"",Base[Ano],E$4)</f>
        <v/>
      </c>
      <c r="F110" s="12">
        <f>SUMIFS(Base[Montante],Base[Fornecedor],$A110&amp;"",Base[Ano],F$4)</f>
        <v/>
      </c>
      <c r="G110" s="12">
        <f>SUMIFS(Base[Montante],Base[Fornecedor],$A110&amp;"",Base[Ano],G$4)</f>
        <v/>
      </c>
      <c r="H110" s="12">
        <f>SUMIFS(Base[Montante],Base[Fornecedor],$A110&amp;"",Base[Ano],H$4)</f>
        <v/>
      </c>
      <c r="I110" s="12">
        <f>SUMIFS(Base[Montante],Base[Fornecedor],$A110&amp;"",Base[Ano],I$4)</f>
        <v/>
      </c>
      <c r="J110" s="12">
        <f>SUMIFS(Base[Montante],Base[Fornecedor],$A110&amp;"",Base[Ano],J$4)</f>
        <v/>
      </c>
      <c r="K110" s="12">
        <f>SUM(D110:J110)</f>
        <v/>
      </c>
    </row>
    <row r="111">
      <c r="A111" s="5" t="inlineStr">
        <is>
          <t>EM000423</t>
        </is>
      </c>
      <c r="B111" s="5" t="inlineStr">
        <is>
          <t>CARLOS GUILHERME RODRIGUES DA SILVA</t>
        </is>
      </c>
      <c r="C111" s="5">
        <f>IFERROR(INDEX(DePara[Categoria],MATCH(TEXT(A111,"0"),DePara[Fornecedor_txt],0)),"(sem categoria)")</f>
        <v/>
      </c>
      <c r="D111" s="12">
        <f>SUMIFS(Base[Montante],Base[Fornecedor],$A111&amp;"",Base[Ano],D$4)</f>
        <v/>
      </c>
      <c r="E111" s="12">
        <f>SUMIFS(Base[Montante],Base[Fornecedor],$A111&amp;"",Base[Ano],E$4)</f>
        <v/>
      </c>
      <c r="F111" s="12">
        <f>SUMIFS(Base[Montante],Base[Fornecedor],$A111&amp;"",Base[Ano],F$4)</f>
        <v/>
      </c>
      <c r="G111" s="12">
        <f>SUMIFS(Base[Montante],Base[Fornecedor],$A111&amp;"",Base[Ano],G$4)</f>
        <v/>
      </c>
      <c r="H111" s="12">
        <f>SUMIFS(Base[Montante],Base[Fornecedor],$A111&amp;"",Base[Ano],H$4)</f>
        <v/>
      </c>
      <c r="I111" s="12">
        <f>SUMIFS(Base[Montante],Base[Fornecedor],$A111&amp;"",Base[Ano],I$4)</f>
        <v/>
      </c>
      <c r="J111" s="12">
        <f>SUMIFS(Base[Montante],Base[Fornecedor],$A111&amp;"",Base[Ano],J$4)</f>
        <v/>
      </c>
      <c r="K111" s="12">
        <f>SUM(D111:J111)</f>
        <v/>
      </c>
    </row>
    <row r="112">
      <c r="A112" s="5" t="n">
        <v>101218</v>
      </c>
      <c r="B112" s="5" t="inlineStr">
        <is>
          <t>CARLSONS PRODUTOS INDUSTRIAIS LTDA</t>
        </is>
      </c>
      <c r="C112" s="5">
        <f>IFERROR(INDEX(DePara[Categoria],MATCH(TEXT(A112,"0"),DePara[Fornecedor_txt],0)),"(sem categoria)")</f>
        <v/>
      </c>
      <c r="D112" s="12">
        <f>SUMIFS(Base[Montante],Base[Fornecedor],$A112&amp;"",Base[Ano],D$4)</f>
        <v/>
      </c>
      <c r="E112" s="12">
        <f>SUMIFS(Base[Montante],Base[Fornecedor],$A112&amp;"",Base[Ano],E$4)</f>
        <v/>
      </c>
      <c r="F112" s="12">
        <f>SUMIFS(Base[Montante],Base[Fornecedor],$A112&amp;"",Base[Ano],F$4)</f>
        <v/>
      </c>
      <c r="G112" s="12">
        <f>SUMIFS(Base[Montante],Base[Fornecedor],$A112&amp;"",Base[Ano],G$4)</f>
        <v/>
      </c>
      <c r="H112" s="12">
        <f>SUMIFS(Base[Montante],Base[Fornecedor],$A112&amp;"",Base[Ano],H$4)</f>
        <v/>
      </c>
      <c r="I112" s="12">
        <f>SUMIFS(Base[Montante],Base[Fornecedor],$A112&amp;"",Base[Ano],I$4)</f>
        <v/>
      </c>
      <c r="J112" s="12">
        <f>SUMIFS(Base[Montante],Base[Fornecedor],$A112&amp;"",Base[Ano],J$4)</f>
        <v/>
      </c>
      <c r="K112" s="12">
        <f>SUM(D112:J112)</f>
        <v/>
      </c>
    </row>
    <row r="113">
      <c r="A113" s="5" t="n">
        <v>100456</v>
      </c>
      <c r="B113" s="5" t="inlineStr">
        <is>
          <t>CARNEVALI EQUIPAMENTOS DE PROTECAO</t>
        </is>
      </c>
      <c r="C113" s="5">
        <f>IFERROR(INDEX(DePara[Categoria],MATCH(TEXT(A113,"0"),DePara[Fornecedor_txt],0)),"(sem categoria)")</f>
        <v/>
      </c>
      <c r="D113" s="12">
        <f>SUMIFS(Base[Montante],Base[Fornecedor],$A113&amp;"",Base[Ano],D$4)</f>
        <v/>
      </c>
      <c r="E113" s="12">
        <f>SUMIFS(Base[Montante],Base[Fornecedor],$A113&amp;"",Base[Ano],E$4)</f>
        <v/>
      </c>
      <c r="F113" s="12">
        <f>SUMIFS(Base[Montante],Base[Fornecedor],$A113&amp;"",Base[Ano],F$4)</f>
        <v/>
      </c>
      <c r="G113" s="12">
        <f>SUMIFS(Base[Montante],Base[Fornecedor],$A113&amp;"",Base[Ano],G$4)</f>
        <v/>
      </c>
      <c r="H113" s="12">
        <f>SUMIFS(Base[Montante],Base[Fornecedor],$A113&amp;"",Base[Ano],H$4)</f>
        <v/>
      </c>
      <c r="I113" s="12">
        <f>SUMIFS(Base[Montante],Base[Fornecedor],$A113&amp;"",Base[Ano],I$4)</f>
        <v/>
      </c>
      <c r="J113" s="12">
        <f>SUMIFS(Base[Montante],Base[Fornecedor],$A113&amp;"",Base[Ano],J$4)</f>
        <v/>
      </c>
      <c r="K113" s="12">
        <f>SUM(D113:J113)</f>
        <v/>
      </c>
    </row>
    <row r="114">
      <c r="A114" s="5" t="n">
        <v>106332</v>
      </c>
      <c r="B114" s="5" t="inlineStr">
        <is>
          <t>CAROLINE LENICE DE SOUSA OLIVEIRA</t>
        </is>
      </c>
      <c r="C114" s="5">
        <f>IFERROR(INDEX(DePara[Categoria],MATCH(TEXT(A114,"0"),DePara[Fornecedor_txt],0)),"(sem categoria)")</f>
        <v/>
      </c>
      <c r="D114" s="12">
        <f>SUMIFS(Base[Montante],Base[Fornecedor],$A114&amp;"",Base[Ano],D$4)</f>
        <v/>
      </c>
      <c r="E114" s="12">
        <f>SUMIFS(Base[Montante],Base[Fornecedor],$A114&amp;"",Base[Ano],E$4)</f>
        <v/>
      </c>
      <c r="F114" s="12">
        <f>SUMIFS(Base[Montante],Base[Fornecedor],$A114&amp;"",Base[Ano],F$4)</f>
        <v/>
      </c>
      <c r="G114" s="12">
        <f>SUMIFS(Base[Montante],Base[Fornecedor],$A114&amp;"",Base[Ano],G$4)</f>
        <v/>
      </c>
      <c r="H114" s="12">
        <f>SUMIFS(Base[Montante],Base[Fornecedor],$A114&amp;"",Base[Ano],H$4)</f>
        <v/>
      </c>
      <c r="I114" s="12">
        <f>SUMIFS(Base[Montante],Base[Fornecedor],$A114&amp;"",Base[Ano],I$4)</f>
        <v/>
      </c>
      <c r="J114" s="12">
        <f>SUMIFS(Base[Montante],Base[Fornecedor],$A114&amp;"",Base[Ano],J$4)</f>
        <v/>
      </c>
      <c r="K114" s="12">
        <f>SUM(D114:J114)</f>
        <v/>
      </c>
    </row>
    <row r="115">
      <c r="A115" s="5" t="n">
        <v>101018</v>
      </c>
      <c r="B115" s="5" t="inlineStr">
        <is>
          <t>CELMAR COMERCIAL E IMPORTADORA LIMI</t>
        </is>
      </c>
      <c r="C115" s="5">
        <f>IFERROR(INDEX(DePara[Categoria],MATCH(TEXT(A115,"0"),DePara[Fornecedor_txt],0)),"(sem categoria)")</f>
        <v/>
      </c>
      <c r="D115" s="12">
        <f>SUMIFS(Base[Montante],Base[Fornecedor],$A115&amp;"",Base[Ano],D$4)</f>
        <v/>
      </c>
      <c r="E115" s="12">
        <f>SUMIFS(Base[Montante],Base[Fornecedor],$A115&amp;"",Base[Ano],E$4)</f>
        <v/>
      </c>
      <c r="F115" s="12">
        <f>SUMIFS(Base[Montante],Base[Fornecedor],$A115&amp;"",Base[Ano],F$4)</f>
        <v/>
      </c>
      <c r="G115" s="12">
        <f>SUMIFS(Base[Montante],Base[Fornecedor],$A115&amp;"",Base[Ano],G$4)</f>
        <v/>
      </c>
      <c r="H115" s="12">
        <f>SUMIFS(Base[Montante],Base[Fornecedor],$A115&amp;"",Base[Ano],H$4)</f>
        <v/>
      </c>
      <c r="I115" s="12">
        <f>SUMIFS(Base[Montante],Base[Fornecedor],$A115&amp;"",Base[Ano],I$4)</f>
        <v/>
      </c>
      <c r="J115" s="12">
        <f>SUMIFS(Base[Montante],Base[Fornecedor],$A115&amp;"",Base[Ano],J$4)</f>
        <v/>
      </c>
      <c r="K115" s="12">
        <f>SUM(D115:J115)</f>
        <v/>
      </c>
    </row>
    <row r="116">
      <c r="A116" s="5" t="n">
        <v>101416</v>
      </c>
      <c r="B116" s="5" t="inlineStr">
        <is>
          <t>CENTRO DAS INDUSTRIAS DO ESTADO DE</t>
        </is>
      </c>
      <c r="C116" s="5">
        <f>IFERROR(INDEX(DePara[Categoria],MATCH(TEXT(A116,"0"),DePara[Fornecedor_txt],0)),"(sem categoria)")</f>
        <v/>
      </c>
      <c r="D116" s="12">
        <f>SUMIFS(Base[Montante],Base[Fornecedor],$A116&amp;"",Base[Ano],D$4)</f>
        <v/>
      </c>
      <c r="E116" s="12">
        <f>SUMIFS(Base[Montante],Base[Fornecedor],$A116&amp;"",Base[Ano],E$4)</f>
        <v/>
      </c>
      <c r="F116" s="12">
        <f>SUMIFS(Base[Montante],Base[Fornecedor],$A116&amp;"",Base[Ano],F$4)</f>
        <v/>
      </c>
      <c r="G116" s="12">
        <f>SUMIFS(Base[Montante],Base[Fornecedor],$A116&amp;"",Base[Ano],G$4)</f>
        <v/>
      </c>
      <c r="H116" s="12">
        <f>SUMIFS(Base[Montante],Base[Fornecedor],$A116&amp;"",Base[Ano],H$4)</f>
        <v/>
      </c>
      <c r="I116" s="12">
        <f>SUMIFS(Base[Montante],Base[Fornecedor],$A116&amp;"",Base[Ano],I$4)</f>
        <v/>
      </c>
      <c r="J116" s="12">
        <f>SUMIFS(Base[Montante],Base[Fornecedor],$A116&amp;"",Base[Ano],J$4)</f>
        <v/>
      </c>
      <c r="K116" s="12">
        <f>SUM(D116:J116)</f>
        <v/>
      </c>
    </row>
    <row r="117">
      <c r="A117" s="5" t="n">
        <v>100421</v>
      </c>
      <c r="B117" s="5" t="inlineStr">
        <is>
          <t>CENTRO DE ESTAGIOS PPM HUMAN RESOUR</t>
        </is>
      </c>
      <c r="C117" s="5">
        <f>IFERROR(INDEX(DePara[Categoria],MATCH(TEXT(A117,"0"),DePara[Fornecedor_txt],0)),"(sem categoria)")</f>
        <v/>
      </c>
      <c r="D117" s="12">
        <f>SUMIFS(Base[Montante],Base[Fornecedor],$A117&amp;"",Base[Ano],D$4)</f>
        <v/>
      </c>
      <c r="E117" s="12">
        <f>SUMIFS(Base[Montante],Base[Fornecedor],$A117&amp;"",Base[Ano],E$4)</f>
        <v/>
      </c>
      <c r="F117" s="12">
        <f>SUMIFS(Base[Montante],Base[Fornecedor],$A117&amp;"",Base[Ano],F$4)</f>
        <v/>
      </c>
      <c r="G117" s="12">
        <f>SUMIFS(Base[Montante],Base[Fornecedor],$A117&amp;"",Base[Ano],G$4)</f>
        <v/>
      </c>
      <c r="H117" s="12">
        <f>SUMIFS(Base[Montante],Base[Fornecedor],$A117&amp;"",Base[Ano],H$4)</f>
        <v/>
      </c>
      <c r="I117" s="12">
        <f>SUMIFS(Base[Montante],Base[Fornecedor],$A117&amp;"",Base[Ano],I$4)</f>
        <v/>
      </c>
      <c r="J117" s="12">
        <f>SUMIFS(Base[Montante],Base[Fornecedor],$A117&amp;"",Base[Ano],J$4)</f>
        <v/>
      </c>
      <c r="K117" s="12">
        <f>SUM(D117:J117)</f>
        <v/>
      </c>
    </row>
    <row r="118">
      <c r="A118" s="5" t="n">
        <v>101269</v>
      </c>
      <c r="B118" s="5" t="inlineStr">
        <is>
          <t>CERTISIGN CERTIFICADORA DIGITAL SA</t>
        </is>
      </c>
      <c r="C118" s="5">
        <f>IFERROR(INDEX(DePara[Categoria],MATCH(TEXT(A118,"0"),DePara[Fornecedor_txt],0)),"(sem categoria)")</f>
        <v/>
      </c>
      <c r="D118" s="12">
        <f>SUMIFS(Base[Montante],Base[Fornecedor],$A118&amp;"",Base[Ano],D$4)</f>
        <v/>
      </c>
      <c r="E118" s="12">
        <f>SUMIFS(Base[Montante],Base[Fornecedor],$A118&amp;"",Base[Ano],E$4)</f>
        <v/>
      </c>
      <c r="F118" s="12">
        <f>SUMIFS(Base[Montante],Base[Fornecedor],$A118&amp;"",Base[Ano],F$4)</f>
        <v/>
      </c>
      <c r="G118" s="12">
        <f>SUMIFS(Base[Montante],Base[Fornecedor],$A118&amp;"",Base[Ano],G$4)</f>
        <v/>
      </c>
      <c r="H118" s="12">
        <f>SUMIFS(Base[Montante],Base[Fornecedor],$A118&amp;"",Base[Ano],H$4)</f>
        <v/>
      </c>
      <c r="I118" s="12">
        <f>SUMIFS(Base[Montante],Base[Fornecedor],$A118&amp;"",Base[Ano],I$4)</f>
        <v/>
      </c>
      <c r="J118" s="12">
        <f>SUMIFS(Base[Montante],Base[Fornecedor],$A118&amp;"",Base[Ano],J$4)</f>
        <v/>
      </c>
      <c r="K118" s="12">
        <f>SUM(D118:J118)</f>
        <v/>
      </c>
    </row>
    <row r="119">
      <c r="A119" s="5" t="n">
        <v>101247</v>
      </c>
      <c r="B119" s="5" t="inlineStr">
        <is>
          <t>CIA DE SANEAMENTO BASICO DO ESTADO</t>
        </is>
      </c>
      <c r="C119" s="5">
        <f>IFERROR(INDEX(DePara[Categoria],MATCH(TEXT(A119,"0"),DePara[Fornecedor_txt],0)),"(sem categoria)")</f>
        <v/>
      </c>
      <c r="D119" s="12">
        <f>SUMIFS(Base[Montante],Base[Fornecedor],$A119&amp;"",Base[Ano],D$4)</f>
        <v/>
      </c>
      <c r="E119" s="12">
        <f>SUMIFS(Base[Montante],Base[Fornecedor],$A119&amp;"",Base[Ano],E$4)</f>
        <v/>
      </c>
      <c r="F119" s="12">
        <f>SUMIFS(Base[Montante],Base[Fornecedor],$A119&amp;"",Base[Ano],F$4)</f>
        <v/>
      </c>
      <c r="G119" s="12">
        <f>SUMIFS(Base[Montante],Base[Fornecedor],$A119&amp;"",Base[Ano],G$4)</f>
        <v/>
      </c>
      <c r="H119" s="12">
        <f>SUMIFS(Base[Montante],Base[Fornecedor],$A119&amp;"",Base[Ano],H$4)</f>
        <v/>
      </c>
      <c r="I119" s="12">
        <f>SUMIFS(Base[Montante],Base[Fornecedor],$A119&amp;"",Base[Ano],I$4)</f>
        <v/>
      </c>
      <c r="J119" s="12">
        <f>SUMIFS(Base[Montante],Base[Fornecedor],$A119&amp;"",Base[Ano],J$4)</f>
        <v/>
      </c>
      <c r="K119" s="12">
        <f>SUM(D119:J119)</f>
        <v/>
      </c>
    </row>
    <row r="120">
      <c r="A120" s="5" t="n">
        <v>101576</v>
      </c>
      <c r="B120" s="5" t="inlineStr">
        <is>
          <t>CLARO S.A</t>
        </is>
      </c>
      <c r="C120" s="5">
        <f>IFERROR(INDEX(DePara[Categoria],MATCH(TEXT(A120,"0"),DePara[Fornecedor_txt],0)),"(sem categoria)")</f>
        <v/>
      </c>
      <c r="D120" s="12">
        <f>SUMIFS(Base[Montante],Base[Fornecedor],$A120&amp;"",Base[Ano],D$4)</f>
        <v/>
      </c>
      <c r="E120" s="12">
        <f>SUMIFS(Base[Montante],Base[Fornecedor],$A120&amp;"",Base[Ano],E$4)</f>
        <v/>
      </c>
      <c r="F120" s="12">
        <f>SUMIFS(Base[Montante],Base[Fornecedor],$A120&amp;"",Base[Ano],F$4)</f>
        <v/>
      </c>
      <c r="G120" s="12">
        <f>SUMIFS(Base[Montante],Base[Fornecedor],$A120&amp;"",Base[Ano],G$4)</f>
        <v/>
      </c>
      <c r="H120" s="12">
        <f>SUMIFS(Base[Montante],Base[Fornecedor],$A120&amp;"",Base[Ano],H$4)</f>
        <v/>
      </c>
      <c r="I120" s="12">
        <f>SUMIFS(Base[Montante],Base[Fornecedor],$A120&amp;"",Base[Ano],I$4)</f>
        <v/>
      </c>
      <c r="J120" s="12">
        <f>SUMIFS(Base[Montante],Base[Fornecedor],$A120&amp;"",Base[Ano],J$4)</f>
        <v/>
      </c>
      <c r="K120" s="12">
        <f>SUM(D120:J120)</f>
        <v/>
      </c>
    </row>
    <row r="121">
      <c r="A121" s="5" t="n">
        <v>102115</v>
      </c>
      <c r="B121" s="5" t="inlineStr">
        <is>
          <t>CLARO SA SAO PAULO</t>
        </is>
      </c>
      <c r="C121" s="5">
        <f>IFERROR(INDEX(DePara[Categoria],MATCH(TEXT(A121,"0"),DePara[Fornecedor_txt],0)),"(sem categoria)")</f>
        <v/>
      </c>
      <c r="D121" s="12">
        <f>SUMIFS(Base[Montante],Base[Fornecedor],$A121&amp;"",Base[Ano],D$4)</f>
        <v/>
      </c>
      <c r="E121" s="12">
        <f>SUMIFS(Base[Montante],Base[Fornecedor],$A121&amp;"",Base[Ano],E$4)</f>
        <v/>
      </c>
      <c r="F121" s="12">
        <f>SUMIFS(Base[Montante],Base[Fornecedor],$A121&amp;"",Base[Ano],F$4)</f>
        <v/>
      </c>
      <c r="G121" s="12">
        <f>SUMIFS(Base[Montante],Base[Fornecedor],$A121&amp;"",Base[Ano],G$4)</f>
        <v/>
      </c>
      <c r="H121" s="12">
        <f>SUMIFS(Base[Montante],Base[Fornecedor],$A121&amp;"",Base[Ano],H$4)</f>
        <v/>
      </c>
      <c r="I121" s="12">
        <f>SUMIFS(Base[Montante],Base[Fornecedor],$A121&amp;"",Base[Ano],I$4)</f>
        <v/>
      </c>
      <c r="J121" s="12">
        <f>SUMIFS(Base[Montante],Base[Fornecedor],$A121&amp;"",Base[Ano],J$4)</f>
        <v/>
      </c>
      <c r="K121" s="12">
        <f>SUM(D121:J121)</f>
        <v/>
      </c>
    </row>
    <row r="122">
      <c r="A122" s="5" t="inlineStr">
        <is>
          <t>EM003521</t>
        </is>
      </c>
      <c r="B122" s="5" t="inlineStr">
        <is>
          <t>CLAUDIO COELHO</t>
        </is>
      </c>
      <c r="C122" s="5">
        <f>IFERROR(INDEX(DePara[Categoria],MATCH(TEXT(A122,"0"),DePara[Fornecedor_txt],0)),"(sem categoria)")</f>
        <v/>
      </c>
      <c r="D122" s="12">
        <f>SUMIFS(Base[Montante],Base[Fornecedor],$A122&amp;"",Base[Ano],D$4)</f>
        <v/>
      </c>
      <c r="E122" s="12">
        <f>SUMIFS(Base[Montante],Base[Fornecedor],$A122&amp;"",Base[Ano],E$4)</f>
        <v/>
      </c>
      <c r="F122" s="12">
        <f>SUMIFS(Base[Montante],Base[Fornecedor],$A122&amp;"",Base[Ano],F$4)</f>
        <v/>
      </c>
      <c r="G122" s="12">
        <f>SUMIFS(Base[Montante],Base[Fornecedor],$A122&amp;"",Base[Ano],G$4)</f>
        <v/>
      </c>
      <c r="H122" s="12">
        <f>SUMIFS(Base[Montante],Base[Fornecedor],$A122&amp;"",Base[Ano],H$4)</f>
        <v/>
      </c>
      <c r="I122" s="12">
        <f>SUMIFS(Base[Montante],Base[Fornecedor],$A122&amp;"",Base[Ano],I$4)</f>
        <v/>
      </c>
      <c r="J122" s="12">
        <f>SUMIFS(Base[Montante],Base[Fornecedor],$A122&amp;"",Base[Ano],J$4)</f>
        <v/>
      </c>
      <c r="K122" s="12">
        <f>SUM(D122:J122)</f>
        <v/>
      </c>
    </row>
    <row r="123">
      <c r="A123" s="5" t="inlineStr">
        <is>
          <t>EM000943</t>
        </is>
      </c>
      <c r="B123" s="5" t="inlineStr">
        <is>
          <t>CLAUDIONOR PEREIRA BORGES FILHO</t>
        </is>
      </c>
      <c r="C123" s="5">
        <f>IFERROR(INDEX(DePara[Categoria],MATCH(TEXT(A123,"0"),DePara[Fornecedor_txt],0)),"(sem categoria)")</f>
        <v/>
      </c>
      <c r="D123" s="12">
        <f>SUMIFS(Base[Montante],Base[Fornecedor],$A123&amp;"",Base[Ano],D$4)</f>
        <v/>
      </c>
      <c r="E123" s="12">
        <f>SUMIFS(Base[Montante],Base[Fornecedor],$A123&amp;"",Base[Ano],E$4)</f>
        <v/>
      </c>
      <c r="F123" s="12">
        <f>SUMIFS(Base[Montante],Base[Fornecedor],$A123&amp;"",Base[Ano],F$4)</f>
        <v/>
      </c>
      <c r="G123" s="12">
        <f>SUMIFS(Base[Montante],Base[Fornecedor],$A123&amp;"",Base[Ano],G$4)</f>
        <v/>
      </c>
      <c r="H123" s="12">
        <f>SUMIFS(Base[Montante],Base[Fornecedor],$A123&amp;"",Base[Ano],H$4)</f>
        <v/>
      </c>
      <c r="I123" s="12">
        <f>SUMIFS(Base[Montante],Base[Fornecedor],$A123&amp;"",Base[Ano],I$4)</f>
        <v/>
      </c>
      <c r="J123" s="12">
        <f>SUMIFS(Base[Montante],Base[Fornecedor],$A123&amp;"",Base[Ano],J$4)</f>
        <v/>
      </c>
      <c r="K123" s="12">
        <f>SUM(D123:J123)</f>
        <v/>
      </c>
    </row>
    <row r="124">
      <c r="A124" s="5" t="n">
        <v>103437</v>
      </c>
      <c r="B124" s="5" t="inlineStr">
        <is>
          <t>Cleber Aparecido Araujo</t>
        </is>
      </c>
      <c r="C124" s="5">
        <f>IFERROR(INDEX(DePara[Categoria],MATCH(TEXT(A124,"0"),DePara[Fornecedor_txt],0)),"(sem categoria)")</f>
        <v/>
      </c>
      <c r="D124" s="12">
        <f>SUMIFS(Base[Montante],Base[Fornecedor],$A124&amp;"",Base[Ano],D$4)</f>
        <v/>
      </c>
      <c r="E124" s="12">
        <f>SUMIFS(Base[Montante],Base[Fornecedor],$A124&amp;"",Base[Ano],E$4)</f>
        <v/>
      </c>
      <c r="F124" s="12">
        <f>SUMIFS(Base[Montante],Base[Fornecedor],$A124&amp;"",Base[Ano],F$4)</f>
        <v/>
      </c>
      <c r="G124" s="12">
        <f>SUMIFS(Base[Montante],Base[Fornecedor],$A124&amp;"",Base[Ano],G$4)</f>
        <v/>
      </c>
      <c r="H124" s="12">
        <f>SUMIFS(Base[Montante],Base[Fornecedor],$A124&amp;"",Base[Ano],H$4)</f>
        <v/>
      </c>
      <c r="I124" s="12">
        <f>SUMIFS(Base[Montante],Base[Fornecedor],$A124&amp;"",Base[Ano],I$4)</f>
        <v/>
      </c>
      <c r="J124" s="12">
        <f>SUMIFS(Base[Montante],Base[Fornecedor],$A124&amp;"",Base[Ano],J$4)</f>
        <v/>
      </c>
      <c r="K124" s="12">
        <f>SUM(D124:J124)</f>
        <v/>
      </c>
    </row>
    <row r="125">
      <c r="A125" s="5" t="inlineStr">
        <is>
          <t>EM000301</t>
        </is>
      </c>
      <c r="B125" s="5" t="inlineStr">
        <is>
          <t>CLEBER JULIAN DA SILVA</t>
        </is>
      </c>
      <c r="C125" s="5">
        <f>IFERROR(INDEX(DePara[Categoria],MATCH(TEXT(A125,"0"),DePara[Fornecedor_txt],0)),"(sem categoria)")</f>
        <v/>
      </c>
      <c r="D125" s="12">
        <f>SUMIFS(Base[Montante],Base[Fornecedor],$A125&amp;"",Base[Ano],D$4)</f>
        <v/>
      </c>
      <c r="E125" s="12">
        <f>SUMIFS(Base[Montante],Base[Fornecedor],$A125&amp;"",Base[Ano],E$4)</f>
        <v/>
      </c>
      <c r="F125" s="12">
        <f>SUMIFS(Base[Montante],Base[Fornecedor],$A125&amp;"",Base[Ano],F$4)</f>
        <v/>
      </c>
      <c r="G125" s="12">
        <f>SUMIFS(Base[Montante],Base[Fornecedor],$A125&amp;"",Base[Ano],G$4)</f>
        <v/>
      </c>
      <c r="H125" s="12">
        <f>SUMIFS(Base[Montante],Base[Fornecedor],$A125&amp;"",Base[Ano],H$4)</f>
        <v/>
      </c>
      <c r="I125" s="12">
        <f>SUMIFS(Base[Montante],Base[Fornecedor],$A125&amp;"",Base[Ano],I$4)</f>
        <v/>
      </c>
      <c r="J125" s="12">
        <f>SUMIFS(Base[Montante],Base[Fornecedor],$A125&amp;"",Base[Ano],J$4)</f>
        <v/>
      </c>
      <c r="K125" s="12">
        <f>SUM(D125:J125)</f>
        <v/>
      </c>
    </row>
    <row r="126">
      <c r="A126" s="5" t="n">
        <v>103761</v>
      </c>
      <c r="B126" s="5" t="inlineStr">
        <is>
          <t>CLEDSON RIBEIRO DOS SANTOS</t>
        </is>
      </c>
      <c r="C126" s="5">
        <f>IFERROR(INDEX(DePara[Categoria],MATCH(TEXT(A126,"0"),DePara[Fornecedor_txt],0)),"(sem categoria)")</f>
        <v/>
      </c>
      <c r="D126" s="12">
        <f>SUMIFS(Base[Montante],Base[Fornecedor],$A126&amp;"",Base[Ano],D$4)</f>
        <v/>
      </c>
      <c r="E126" s="12">
        <f>SUMIFS(Base[Montante],Base[Fornecedor],$A126&amp;"",Base[Ano],E$4)</f>
        <v/>
      </c>
      <c r="F126" s="12">
        <f>SUMIFS(Base[Montante],Base[Fornecedor],$A126&amp;"",Base[Ano],F$4)</f>
        <v/>
      </c>
      <c r="G126" s="12">
        <f>SUMIFS(Base[Montante],Base[Fornecedor],$A126&amp;"",Base[Ano],G$4)</f>
        <v/>
      </c>
      <c r="H126" s="12">
        <f>SUMIFS(Base[Montante],Base[Fornecedor],$A126&amp;"",Base[Ano],H$4)</f>
        <v/>
      </c>
      <c r="I126" s="12">
        <f>SUMIFS(Base[Montante],Base[Fornecedor],$A126&amp;"",Base[Ano],I$4)</f>
        <v/>
      </c>
      <c r="J126" s="12">
        <f>SUMIFS(Base[Montante],Base[Fornecedor],$A126&amp;"",Base[Ano],J$4)</f>
        <v/>
      </c>
      <c r="K126" s="12">
        <f>SUM(D126:J126)</f>
        <v/>
      </c>
    </row>
    <row r="127">
      <c r="A127" s="5" t="inlineStr">
        <is>
          <t>EM000583</t>
        </is>
      </c>
      <c r="B127" s="5" t="inlineStr">
        <is>
          <t>CLEITON MARINHO COELHO</t>
        </is>
      </c>
      <c r="C127" s="5">
        <f>IFERROR(INDEX(DePara[Categoria],MATCH(TEXT(A127,"0"),DePara[Fornecedor_txt],0)),"(sem categoria)")</f>
        <v/>
      </c>
      <c r="D127" s="12">
        <f>SUMIFS(Base[Montante],Base[Fornecedor],$A127&amp;"",Base[Ano],D$4)</f>
        <v/>
      </c>
      <c r="E127" s="12">
        <f>SUMIFS(Base[Montante],Base[Fornecedor],$A127&amp;"",Base[Ano],E$4)</f>
        <v/>
      </c>
      <c r="F127" s="12">
        <f>SUMIFS(Base[Montante],Base[Fornecedor],$A127&amp;"",Base[Ano],F$4)</f>
        <v/>
      </c>
      <c r="G127" s="12">
        <f>SUMIFS(Base[Montante],Base[Fornecedor],$A127&amp;"",Base[Ano],G$4)</f>
        <v/>
      </c>
      <c r="H127" s="12">
        <f>SUMIFS(Base[Montante],Base[Fornecedor],$A127&amp;"",Base[Ano],H$4)</f>
        <v/>
      </c>
      <c r="I127" s="12">
        <f>SUMIFS(Base[Montante],Base[Fornecedor],$A127&amp;"",Base[Ano],I$4)</f>
        <v/>
      </c>
      <c r="J127" s="12">
        <f>SUMIFS(Base[Montante],Base[Fornecedor],$A127&amp;"",Base[Ano],J$4)</f>
        <v/>
      </c>
      <c r="K127" s="12">
        <f>SUM(D127:J127)</f>
        <v/>
      </c>
    </row>
    <row r="128">
      <c r="A128" s="5" t="inlineStr">
        <is>
          <t>EM000437</t>
        </is>
      </c>
      <c r="B128" s="5" t="inlineStr">
        <is>
          <t>CLEODON MARIO DA SILVA FILHO</t>
        </is>
      </c>
      <c r="C128" s="5">
        <f>IFERROR(INDEX(DePara[Categoria],MATCH(TEXT(A128,"0"),DePara[Fornecedor_txt],0)),"(sem categoria)")</f>
        <v/>
      </c>
      <c r="D128" s="12">
        <f>SUMIFS(Base[Montante],Base[Fornecedor],$A128&amp;"",Base[Ano],D$4)</f>
        <v/>
      </c>
      <c r="E128" s="12">
        <f>SUMIFS(Base[Montante],Base[Fornecedor],$A128&amp;"",Base[Ano],E$4)</f>
        <v/>
      </c>
      <c r="F128" s="12">
        <f>SUMIFS(Base[Montante],Base[Fornecedor],$A128&amp;"",Base[Ano],F$4)</f>
        <v/>
      </c>
      <c r="G128" s="12">
        <f>SUMIFS(Base[Montante],Base[Fornecedor],$A128&amp;"",Base[Ano],G$4)</f>
        <v/>
      </c>
      <c r="H128" s="12">
        <f>SUMIFS(Base[Montante],Base[Fornecedor],$A128&amp;"",Base[Ano],H$4)</f>
        <v/>
      </c>
      <c r="I128" s="12">
        <f>SUMIFS(Base[Montante],Base[Fornecedor],$A128&amp;"",Base[Ano],I$4)</f>
        <v/>
      </c>
      <c r="J128" s="12">
        <f>SUMIFS(Base[Montante],Base[Fornecedor],$A128&amp;"",Base[Ano],J$4)</f>
        <v/>
      </c>
      <c r="K128" s="12">
        <f>SUM(D128:J128)</f>
        <v/>
      </c>
    </row>
    <row r="129">
      <c r="A129" s="5" t="n">
        <v>100980</v>
      </c>
      <c r="B129" s="5" t="inlineStr">
        <is>
          <t>CMPRO CONSULTORIA EMPRESARIAL LTDA</t>
        </is>
      </c>
      <c r="C129" s="5">
        <f>IFERROR(INDEX(DePara[Categoria],MATCH(TEXT(A129,"0"),DePara[Fornecedor_txt],0)),"(sem categoria)")</f>
        <v/>
      </c>
      <c r="D129" s="12">
        <f>SUMIFS(Base[Montante],Base[Fornecedor],$A129&amp;"",Base[Ano],D$4)</f>
        <v/>
      </c>
      <c r="E129" s="12">
        <f>SUMIFS(Base[Montante],Base[Fornecedor],$A129&amp;"",Base[Ano],E$4)</f>
        <v/>
      </c>
      <c r="F129" s="12">
        <f>SUMIFS(Base[Montante],Base[Fornecedor],$A129&amp;"",Base[Ano],F$4)</f>
        <v/>
      </c>
      <c r="G129" s="12">
        <f>SUMIFS(Base[Montante],Base[Fornecedor],$A129&amp;"",Base[Ano],G$4)</f>
        <v/>
      </c>
      <c r="H129" s="12">
        <f>SUMIFS(Base[Montante],Base[Fornecedor],$A129&amp;"",Base[Ano],H$4)</f>
        <v/>
      </c>
      <c r="I129" s="12">
        <f>SUMIFS(Base[Montante],Base[Fornecedor],$A129&amp;"",Base[Ano],I$4)</f>
        <v/>
      </c>
      <c r="J129" s="12">
        <f>SUMIFS(Base[Montante],Base[Fornecedor],$A129&amp;"",Base[Ano],J$4)</f>
        <v/>
      </c>
      <c r="K129" s="12">
        <f>SUM(D129:J129)</f>
        <v/>
      </c>
    </row>
    <row r="130">
      <c r="A130" s="5" t="n">
        <v>101844</v>
      </c>
      <c r="B130" s="5" t="inlineStr">
        <is>
          <t>COATE CONCRETO AGUA E TERRA LTDA</t>
        </is>
      </c>
      <c r="C130" s="5">
        <f>IFERROR(INDEX(DePara[Categoria],MATCH(TEXT(A130,"0"),DePara[Fornecedor_txt],0)),"(sem categoria)")</f>
        <v/>
      </c>
      <c r="D130" s="12">
        <f>SUMIFS(Base[Montante],Base[Fornecedor],$A130&amp;"",Base[Ano],D$4)</f>
        <v/>
      </c>
      <c r="E130" s="12">
        <f>SUMIFS(Base[Montante],Base[Fornecedor],$A130&amp;"",Base[Ano],E$4)</f>
        <v/>
      </c>
      <c r="F130" s="12">
        <f>SUMIFS(Base[Montante],Base[Fornecedor],$A130&amp;"",Base[Ano],F$4)</f>
        <v/>
      </c>
      <c r="G130" s="12">
        <f>SUMIFS(Base[Montante],Base[Fornecedor],$A130&amp;"",Base[Ano],G$4)</f>
        <v/>
      </c>
      <c r="H130" s="12">
        <f>SUMIFS(Base[Montante],Base[Fornecedor],$A130&amp;"",Base[Ano],H$4)</f>
        <v/>
      </c>
      <c r="I130" s="12">
        <f>SUMIFS(Base[Montante],Base[Fornecedor],$A130&amp;"",Base[Ano],I$4)</f>
        <v/>
      </c>
      <c r="J130" s="12">
        <f>SUMIFS(Base[Montante],Base[Fornecedor],$A130&amp;"",Base[Ano],J$4)</f>
        <v/>
      </c>
      <c r="K130" s="12">
        <f>SUM(D130:J130)</f>
        <v/>
      </c>
    </row>
    <row r="131">
      <c r="A131" s="5" t="n">
        <v>101513</v>
      </c>
      <c r="B131" s="5" t="inlineStr">
        <is>
          <t>COLI SHIPPING &amp; TRANSPORT DO BRASIL</t>
        </is>
      </c>
      <c r="C131" s="5">
        <f>IFERROR(INDEX(DePara[Categoria],MATCH(TEXT(A131,"0"),DePara[Fornecedor_txt],0)),"(sem categoria)")</f>
        <v/>
      </c>
      <c r="D131" s="12">
        <f>SUMIFS(Base[Montante],Base[Fornecedor],$A131&amp;"",Base[Ano],D$4)</f>
        <v/>
      </c>
      <c r="E131" s="12">
        <f>SUMIFS(Base[Montante],Base[Fornecedor],$A131&amp;"",Base[Ano],E$4)</f>
        <v/>
      </c>
      <c r="F131" s="12">
        <f>SUMIFS(Base[Montante],Base[Fornecedor],$A131&amp;"",Base[Ano],F$4)</f>
        <v/>
      </c>
      <c r="G131" s="12">
        <f>SUMIFS(Base[Montante],Base[Fornecedor],$A131&amp;"",Base[Ano],G$4)</f>
        <v/>
      </c>
      <c r="H131" s="12">
        <f>SUMIFS(Base[Montante],Base[Fornecedor],$A131&amp;"",Base[Ano],H$4)</f>
        <v/>
      </c>
      <c r="I131" s="12">
        <f>SUMIFS(Base[Montante],Base[Fornecedor],$A131&amp;"",Base[Ano],I$4)</f>
        <v/>
      </c>
      <c r="J131" s="12">
        <f>SUMIFS(Base[Montante],Base[Fornecedor],$A131&amp;"",Base[Ano],J$4)</f>
        <v/>
      </c>
      <c r="K131" s="12">
        <f>SUM(D131:J131)</f>
        <v/>
      </c>
    </row>
    <row r="132">
      <c r="A132" s="5" t="n">
        <v>101806</v>
      </c>
      <c r="B132" s="5" t="inlineStr">
        <is>
          <t>COLUMBIA DO NORD S A</t>
        </is>
      </c>
      <c r="C132" s="5">
        <f>IFERROR(INDEX(DePara[Categoria],MATCH(TEXT(A132,"0"),DePara[Fornecedor_txt],0)),"(sem categoria)")</f>
        <v/>
      </c>
      <c r="D132" s="12">
        <f>SUMIFS(Base[Montante],Base[Fornecedor],$A132&amp;"",Base[Ano],D$4)</f>
        <v/>
      </c>
      <c r="E132" s="12">
        <f>SUMIFS(Base[Montante],Base[Fornecedor],$A132&amp;"",Base[Ano],E$4)</f>
        <v/>
      </c>
      <c r="F132" s="12">
        <f>SUMIFS(Base[Montante],Base[Fornecedor],$A132&amp;"",Base[Ano],F$4)</f>
        <v/>
      </c>
      <c r="G132" s="12">
        <f>SUMIFS(Base[Montante],Base[Fornecedor],$A132&amp;"",Base[Ano],G$4)</f>
        <v/>
      </c>
      <c r="H132" s="12">
        <f>SUMIFS(Base[Montante],Base[Fornecedor],$A132&amp;"",Base[Ano],H$4)</f>
        <v/>
      </c>
      <c r="I132" s="12">
        <f>SUMIFS(Base[Montante],Base[Fornecedor],$A132&amp;"",Base[Ano],I$4)</f>
        <v/>
      </c>
      <c r="J132" s="12">
        <f>SUMIFS(Base[Montante],Base[Fornecedor],$A132&amp;"",Base[Ano],J$4)</f>
        <v/>
      </c>
      <c r="K132" s="12">
        <f>SUM(D132:J132)</f>
        <v/>
      </c>
    </row>
    <row r="133">
      <c r="A133" s="5" t="n">
        <v>102123</v>
      </c>
      <c r="B133" s="5" t="inlineStr">
        <is>
          <t>COLUMBIA DO NORDESTE S A</t>
        </is>
      </c>
      <c r="C133" s="5">
        <f>IFERROR(INDEX(DePara[Categoria],MATCH(TEXT(A133,"0"),DePara[Fornecedor_txt],0)),"(sem categoria)")</f>
        <v/>
      </c>
      <c r="D133" s="12">
        <f>SUMIFS(Base[Montante],Base[Fornecedor],$A133&amp;"",Base[Ano],D$4)</f>
        <v/>
      </c>
      <c r="E133" s="12">
        <f>SUMIFS(Base[Montante],Base[Fornecedor],$A133&amp;"",Base[Ano],E$4)</f>
        <v/>
      </c>
      <c r="F133" s="12">
        <f>SUMIFS(Base[Montante],Base[Fornecedor],$A133&amp;"",Base[Ano],F$4)</f>
        <v/>
      </c>
      <c r="G133" s="12">
        <f>SUMIFS(Base[Montante],Base[Fornecedor],$A133&amp;"",Base[Ano],G$4)</f>
        <v/>
      </c>
      <c r="H133" s="12">
        <f>SUMIFS(Base[Montante],Base[Fornecedor],$A133&amp;"",Base[Ano],H$4)</f>
        <v/>
      </c>
      <c r="I133" s="12">
        <f>SUMIFS(Base[Montante],Base[Fornecedor],$A133&amp;"",Base[Ano],I$4)</f>
        <v/>
      </c>
      <c r="J133" s="12">
        <f>SUMIFS(Base[Montante],Base[Fornecedor],$A133&amp;"",Base[Ano],J$4)</f>
        <v/>
      </c>
      <c r="K133" s="12">
        <f>SUM(D133:J133)</f>
        <v/>
      </c>
    </row>
    <row r="134">
      <c r="A134" s="5" t="n">
        <v>103727</v>
      </c>
      <c r="B134" s="5" t="inlineStr">
        <is>
          <t>COMECIAL NGS LTDA</t>
        </is>
      </c>
      <c r="C134" s="5">
        <f>IFERROR(INDEX(DePara[Categoria],MATCH(TEXT(A134,"0"),DePara[Fornecedor_txt],0)),"(sem categoria)")</f>
        <v/>
      </c>
      <c r="D134" s="12">
        <f>SUMIFS(Base[Montante],Base[Fornecedor],$A134&amp;"",Base[Ano],D$4)</f>
        <v/>
      </c>
      <c r="E134" s="12">
        <f>SUMIFS(Base[Montante],Base[Fornecedor],$A134&amp;"",Base[Ano],E$4)</f>
        <v/>
      </c>
      <c r="F134" s="12">
        <f>SUMIFS(Base[Montante],Base[Fornecedor],$A134&amp;"",Base[Ano],F$4)</f>
        <v/>
      </c>
      <c r="G134" s="12">
        <f>SUMIFS(Base[Montante],Base[Fornecedor],$A134&amp;"",Base[Ano],G$4)</f>
        <v/>
      </c>
      <c r="H134" s="12">
        <f>SUMIFS(Base[Montante],Base[Fornecedor],$A134&amp;"",Base[Ano],H$4)</f>
        <v/>
      </c>
      <c r="I134" s="12">
        <f>SUMIFS(Base[Montante],Base[Fornecedor],$A134&amp;"",Base[Ano],I$4)</f>
        <v/>
      </c>
      <c r="J134" s="12">
        <f>SUMIFS(Base[Montante],Base[Fornecedor],$A134&amp;"",Base[Ano],J$4)</f>
        <v/>
      </c>
      <c r="K134" s="12">
        <f>SUM(D134:J134)</f>
        <v/>
      </c>
    </row>
    <row r="135">
      <c r="A135" s="5" t="n">
        <v>102032</v>
      </c>
      <c r="B135" s="5" t="inlineStr">
        <is>
          <t>COMPANHIA AGUAS ESGOTOS RIO GRANDE</t>
        </is>
      </c>
      <c r="C135" s="5">
        <f>IFERROR(INDEX(DePara[Categoria],MATCH(TEXT(A135,"0"),DePara[Fornecedor_txt],0)),"(sem categoria)")</f>
        <v/>
      </c>
      <c r="D135" s="12">
        <f>SUMIFS(Base[Montante],Base[Fornecedor],$A135&amp;"",Base[Ano],D$4)</f>
        <v/>
      </c>
      <c r="E135" s="12">
        <f>SUMIFS(Base[Montante],Base[Fornecedor],$A135&amp;"",Base[Ano],E$4)</f>
        <v/>
      </c>
      <c r="F135" s="12">
        <f>SUMIFS(Base[Montante],Base[Fornecedor],$A135&amp;"",Base[Ano],F$4)</f>
        <v/>
      </c>
      <c r="G135" s="12">
        <f>SUMIFS(Base[Montante],Base[Fornecedor],$A135&amp;"",Base[Ano],G$4)</f>
        <v/>
      </c>
      <c r="H135" s="12">
        <f>SUMIFS(Base[Montante],Base[Fornecedor],$A135&amp;"",Base[Ano],H$4)</f>
        <v/>
      </c>
      <c r="I135" s="12">
        <f>SUMIFS(Base[Montante],Base[Fornecedor],$A135&amp;"",Base[Ano],I$4)</f>
        <v/>
      </c>
      <c r="J135" s="12">
        <f>SUMIFS(Base[Montante],Base[Fornecedor],$A135&amp;"",Base[Ano],J$4)</f>
        <v/>
      </c>
      <c r="K135" s="12">
        <f>SUM(D135:J135)</f>
        <v/>
      </c>
    </row>
    <row r="136">
      <c r="A136" s="5" t="n">
        <v>102011</v>
      </c>
      <c r="B136" s="5" t="inlineStr">
        <is>
          <t>COMPANHIA D COMPLEXO I P PECEM C SA</t>
        </is>
      </c>
      <c r="C136" s="5">
        <f>IFERROR(INDEX(DePara[Categoria],MATCH(TEXT(A136,"0"),DePara[Fornecedor_txt],0)),"(sem categoria)")</f>
        <v/>
      </c>
      <c r="D136" s="12">
        <f>SUMIFS(Base[Montante],Base[Fornecedor],$A136&amp;"",Base[Ano],D$4)</f>
        <v/>
      </c>
      <c r="E136" s="12">
        <f>SUMIFS(Base[Montante],Base[Fornecedor],$A136&amp;"",Base[Ano],E$4)</f>
        <v/>
      </c>
      <c r="F136" s="12">
        <f>SUMIFS(Base[Montante],Base[Fornecedor],$A136&amp;"",Base[Ano],F$4)</f>
        <v/>
      </c>
      <c r="G136" s="12">
        <f>SUMIFS(Base[Montante],Base[Fornecedor],$A136&amp;"",Base[Ano],G$4)</f>
        <v/>
      </c>
      <c r="H136" s="12">
        <f>SUMIFS(Base[Montante],Base[Fornecedor],$A136&amp;"",Base[Ano],H$4)</f>
        <v/>
      </c>
      <c r="I136" s="12">
        <f>SUMIFS(Base[Montante],Base[Fornecedor],$A136&amp;"",Base[Ano],I$4)</f>
        <v/>
      </c>
      <c r="J136" s="12">
        <f>SUMIFS(Base[Montante],Base[Fornecedor],$A136&amp;"",Base[Ano],J$4)</f>
        <v/>
      </c>
      <c r="K136" s="12">
        <f>SUM(D136:J136)</f>
        <v/>
      </c>
    </row>
    <row r="137">
      <c r="A137" s="5" t="n">
        <v>102116</v>
      </c>
      <c r="B137" s="5" t="inlineStr">
        <is>
          <t>COMPANHIA DE ELETR DO ESTADO DA BAH</t>
        </is>
      </c>
      <c r="C137" s="5">
        <f>IFERROR(INDEX(DePara[Categoria],MATCH(TEXT(A137,"0"),DePara[Fornecedor_txt],0)),"(sem categoria)")</f>
        <v/>
      </c>
      <c r="D137" s="12">
        <f>SUMIFS(Base[Montante],Base[Fornecedor],$A137&amp;"",Base[Ano],D$4)</f>
        <v/>
      </c>
      <c r="E137" s="12">
        <f>SUMIFS(Base[Montante],Base[Fornecedor],$A137&amp;"",Base[Ano],E$4)</f>
        <v/>
      </c>
      <c r="F137" s="12">
        <f>SUMIFS(Base[Montante],Base[Fornecedor],$A137&amp;"",Base[Ano],F$4)</f>
        <v/>
      </c>
      <c r="G137" s="12">
        <f>SUMIFS(Base[Montante],Base[Fornecedor],$A137&amp;"",Base[Ano],G$4)</f>
        <v/>
      </c>
      <c r="H137" s="12">
        <f>SUMIFS(Base[Montante],Base[Fornecedor],$A137&amp;"",Base[Ano],H$4)</f>
        <v/>
      </c>
      <c r="I137" s="12">
        <f>SUMIFS(Base[Montante],Base[Fornecedor],$A137&amp;"",Base[Ano],I$4)</f>
        <v/>
      </c>
      <c r="J137" s="12">
        <f>SUMIFS(Base[Montante],Base[Fornecedor],$A137&amp;"",Base[Ano],J$4)</f>
        <v/>
      </c>
      <c r="K137" s="12">
        <f>SUM(D137:J137)</f>
        <v/>
      </c>
    </row>
    <row r="138">
      <c r="A138" s="5" t="n">
        <v>102005</v>
      </c>
      <c r="B138" s="5" t="inlineStr">
        <is>
          <t>COMPANHIA ENERGETICA RIO G N COSERN</t>
        </is>
      </c>
      <c r="C138" s="5">
        <f>IFERROR(INDEX(DePara[Categoria],MATCH(TEXT(A138,"0"),DePara[Fornecedor_txt],0)),"(sem categoria)")</f>
        <v/>
      </c>
      <c r="D138" s="12">
        <f>SUMIFS(Base[Montante],Base[Fornecedor],$A138&amp;"",Base[Ano],D$4)</f>
        <v/>
      </c>
      <c r="E138" s="12">
        <f>SUMIFS(Base[Montante],Base[Fornecedor],$A138&amp;"",Base[Ano],E$4)</f>
        <v/>
      </c>
      <c r="F138" s="12">
        <f>SUMIFS(Base[Montante],Base[Fornecedor],$A138&amp;"",Base[Ano],F$4)</f>
        <v/>
      </c>
      <c r="G138" s="12">
        <f>SUMIFS(Base[Montante],Base[Fornecedor],$A138&amp;"",Base[Ano],G$4)</f>
        <v/>
      </c>
      <c r="H138" s="12">
        <f>SUMIFS(Base[Montante],Base[Fornecedor],$A138&amp;"",Base[Ano],H$4)</f>
        <v/>
      </c>
      <c r="I138" s="12">
        <f>SUMIFS(Base[Montante],Base[Fornecedor],$A138&amp;"",Base[Ano],I$4)</f>
        <v/>
      </c>
      <c r="J138" s="12">
        <f>SUMIFS(Base[Montante],Base[Fornecedor],$A138&amp;"",Base[Ano],J$4)</f>
        <v/>
      </c>
      <c r="K138" s="12">
        <f>SUM(D138:J138)</f>
        <v/>
      </c>
    </row>
    <row r="139">
      <c r="A139" s="5" t="n">
        <v>101333</v>
      </c>
      <c r="B139" s="5" t="inlineStr">
        <is>
          <t>CONCESSIONARIA DO AEROPORTO DE SALV</t>
        </is>
      </c>
      <c r="C139" s="5">
        <f>IFERROR(INDEX(DePara[Categoria],MATCH(TEXT(A139,"0"),DePara[Fornecedor_txt],0)),"(sem categoria)")</f>
        <v/>
      </c>
      <c r="D139" s="12">
        <f>SUMIFS(Base[Montante],Base[Fornecedor],$A139&amp;"",Base[Ano],D$4)</f>
        <v/>
      </c>
      <c r="E139" s="12">
        <f>SUMIFS(Base[Montante],Base[Fornecedor],$A139&amp;"",Base[Ano],E$4)</f>
        <v/>
      </c>
      <c r="F139" s="12">
        <f>SUMIFS(Base[Montante],Base[Fornecedor],$A139&amp;"",Base[Ano],F$4)</f>
        <v/>
      </c>
      <c r="G139" s="12">
        <f>SUMIFS(Base[Montante],Base[Fornecedor],$A139&amp;"",Base[Ano],G$4)</f>
        <v/>
      </c>
      <c r="H139" s="12">
        <f>SUMIFS(Base[Montante],Base[Fornecedor],$A139&amp;"",Base[Ano],H$4)</f>
        <v/>
      </c>
      <c r="I139" s="12">
        <f>SUMIFS(Base[Montante],Base[Fornecedor],$A139&amp;"",Base[Ano],I$4)</f>
        <v/>
      </c>
      <c r="J139" s="12">
        <f>SUMIFS(Base[Montante],Base[Fornecedor],$A139&amp;"",Base[Ano],J$4)</f>
        <v/>
      </c>
      <c r="K139" s="12">
        <f>SUM(D139:J139)</f>
        <v/>
      </c>
    </row>
    <row r="140">
      <c r="A140" s="5" t="n">
        <v>100951</v>
      </c>
      <c r="B140" s="5" t="inlineStr">
        <is>
          <t>CONCRELOC CONCRETO LTDA</t>
        </is>
      </c>
      <c r="C140" s="5">
        <f>IFERROR(INDEX(DePara[Categoria],MATCH(TEXT(A140,"0"),DePara[Fornecedor_txt],0)),"(sem categoria)")</f>
        <v/>
      </c>
      <c r="D140" s="12">
        <f>SUMIFS(Base[Montante],Base[Fornecedor],$A140&amp;"",Base[Ano],D$4)</f>
        <v/>
      </c>
      <c r="E140" s="12">
        <f>SUMIFS(Base[Montante],Base[Fornecedor],$A140&amp;"",Base[Ano],E$4)</f>
        <v/>
      </c>
      <c r="F140" s="12">
        <f>SUMIFS(Base[Montante],Base[Fornecedor],$A140&amp;"",Base[Ano],F$4)</f>
        <v/>
      </c>
      <c r="G140" s="12">
        <f>SUMIFS(Base[Montante],Base[Fornecedor],$A140&amp;"",Base[Ano],G$4)</f>
        <v/>
      </c>
      <c r="H140" s="12">
        <f>SUMIFS(Base[Montante],Base[Fornecedor],$A140&amp;"",Base[Ano],H$4)</f>
        <v/>
      </c>
      <c r="I140" s="12">
        <f>SUMIFS(Base[Montante],Base[Fornecedor],$A140&amp;"",Base[Ano],I$4)</f>
        <v/>
      </c>
      <c r="J140" s="12">
        <f>SUMIFS(Base[Montante],Base[Fornecedor],$A140&amp;"",Base[Ano],J$4)</f>
        <v/>
      </c>
      <c r="K140" s="12">
        <f>SUM(D140:J140)</f>
        <v/>
      </c>
    </row>
    <row r="141">
      <c r="A141" s="5" t="n">
        <v>100561</v>
      </c>
      <c r="B141" s="5" t="inlineStr">
        <is>
          <t>CONECTA TREINE LTDA</t>
        </is>
      </c>
      <c r="C141" s="5">
        <f>IFERROR(INDEX(DePara[Categoria],MATCH(TEXT(A141,"0"),DePara[Fornecedor_txt],0)),"(sem categoria)")</f>
        <v/>
      </c>
      <c r="D141" s="12">
        <f>SUMIFS(Base[Montante],Base[Fornecedor],$A141&amp;"",Base[Ano],D$4)</f>
        <v/>
      </c>
      <c r="E141" s="12">
        <f>SUMIFS(Base[Montante],Base[Fornecedor],$A141&amp;"",Base[Ano],E$4)</f>
        <v/>
      </c>
      <c r="F141" s="12">
        <f>SUMIFS(Base[Montante],Base[Fornecedor],$A141&amp;"",Base[Ano],F$4)</f>
        <v/>
      </c>
      <c r="G141" s="12">
        <f>SUMIFS(Base[Montante],Base[Fornecedor],$A141&amp;"",Base[Ano],G$4)</f>
        <v/>
      </c>
      <c r="H141" s="12">
        <f>SUMIFS(Base[Montante],Base[Fornecedor],$A141&amp;"",Base[Ano],H$4)</f>
        <v/>
      </c>
      <c r="I141" s="12">
        <f>SUMIFS(Base[Montante],Base[Fornecedor],$A141&amp;"",Base[Ano],I$4)</f>
        <v/>
      </c>
      <c r="J141" s="12">
        <f>SUMIFS(Base[Montante],Base[Fornecedor],$A141&amp;"",Base[Ano],J$4)</f>
        <v/>
      </c>
      <c r="K141" s="12">
        <f>SUM(D141:J141)</f>
        <v/>
      </c>
    </row>
    <row r="142">
      <c r="A142" s="5" t="n">
        <v>100152</v>
      </c>
      <c r="B142" s="5" t="inlineStr">
        <is>
          <t>CONQUER HOLDING EDUCACIONAL SA</t>
        </is>
      </c>
      <c r="C142" s="5">
        <f>IFERROR(INDEX(DePara[Categoria],MATCH(TEXT(A142,"0"),DePara[Fornecedor_txt],0)),"(sem categoria)")</f>
        <v/>
      </c>
      <c r="D142" s="12">
        <f>SUMIFS(Base[Montante],Base[Fornecedor],$A142&amp;"",Base[Ano],D$4)</f>
        <v/>
      </c>
      <c r="E142" s="12">
        <f>SUMIFS(Base[Montante],Base[Fornecedor],$A142&amp;"",Base[Ano],E$4)</f>
        <v/>
      </c>
      <c r="F142" s="12">
        <f>SUMIFS(Base[Montante],Base[Fornecedor],$A142&amp;"",Base[Ano],F$4)</f>
        <v/>
      </c>
      <c r="G142" s="12">
        <f>SUMIFS(Base[Montante],Base[Fornecedor],$A142&amp;"",Base[Ano],G$4)</f>
        <v/>
      </c>
      <c r="H142" s="12">
        <f>SUMIFS(Base[Montante],Base[Fornecedor],$A142&amp;"",Base[Ano],H$4)</f>
        <v/>
      </c>
      <c r="I142" s="12">
        <f>SUMIFS(Base[Montante],Base[Fornecedor],$A142&amp;"",Base[Ano],I$4)</f>
        <v/>
      </c>
      <c r="J142" s="12">
        <f>SUMIFS(Base[Montante],Base[Fornecedor],$A142&amp;"",Base[Ano],J$4)</f>
        <v/>
      </c>
      <c r="K142" s="12">
        <f>SUM(D142:J142)</f>
        <v/>
      </c>
    </row>
    <row r="143">
      <c r="A143" s="5" t="n">
        <v>101432</v>
      </c>
      <c r="B143" s="5" t="inlineStr">
        <is>
          <t>CONSTRUTORA MD EIRELI</t>
        </is>
      </c>
      <c r="C143" s="5">
        <f>IFERROR(INDEX(DePara[Categoria],MATCH(TEXT(A143,"0"),DePara[Fornecedor_txt],0)),"(sem categoria)")</f>
        <v/>
      </c>
      <c r="D143" s="12">
        <f>SUMIFS(Base[Montante],Base[Fornecedor],$A143&amp;"",Base[Ano],D$4)</f>
        <v/>
      </c>
      <c r="E143" s="12">
        <f>SUMIFS(Base[Montante],Base[Fornecedor],$A143&amp;"",Base[Ano],E$4)</f>
        <v/>
      </c>
      <c r="F143" s="12">
        <f>SUMIFS(Base[Montante],Base[Fornecedor],$A143&amp;"",Base[Ano],F$4)</f>
        <v/>
      </c>
      <c r="G143" s="12">
        <f>SUMIFS(Base[Montante],Base[Fornecedor],$A143&amp;"",Base[Ano],G$4)</f>
        <v/>
      </c>
      <c r="H143" s="12">
        <f>SUMIFS(Base[Montante],Base[Fornecedor],$A143&amp;"",Base[Ano],H$4)</f>
        <v/>
      </c>
      <c r="I143" s="12">
        <f>SUMIFS(Base[Montante],Base[Fornecedor],$A143&amp;"",Base[Ano],I$4)</f>
        <v/>
      </c>
      <c r="J143" s="12">
        <f>SUMIFS(Base[Montante],Base[Fornecedor],$A143&amp;"",Base[Ano],J$4)</f>
        <v/>
      </c>
      <c r="K143" s="12">
        <f>SUM(D143:J143)</f>
        <v/>
      </c>
    </row>
    <row r="144">
      <c r="A144" s="5" t="n">
        <v>101529</v>
      </c>
      <c r="B144" s="5" t="inlineStr">
        <is>
          <t>COOP DE RADIO TAXI E TRANSP EXEC DE SIMOES FILHO - COOTRANSPEX</t>
        </is>
      </c>
      <c r="C144" s="5">
        <f>IFERROR(INDEX(DePara[Categoria],MATCH(TEXT(A144,"0"),DePara[Fornecedor_txt],0)),"(sem categoria)")</f>
        <v/>
      </c>
      <c r="D144" s="12">
        <f>SUMIFS(Base[Montante],Base[Fornecedor],$A144&amp;"",Base[Ano],D$4)</f>
        <v/>
      </c>
      <c r="E144" s="12">
        <f>SUMIFS(Base[Montante],Base[Fornecedor],$A144&amp;"",Base[Ano],E$4)</f>
        <v/>
      </c>
      <c r="F144" s="12">
        <f>SUMIFS(Base[Montante],Base[Fornecedor],$A144&amp;"",Base[Ano],F$4)</f>
        <v/>
      </c>
      <c r="G144" s="12">
        <f>SUMIFS(Base[Montante],Base[Fornecedor],$A144&amp;"",Base[Ano],G$4)</f>
        <v/>
      </c>
      <c r="H144" s="12">
        <f>SUMIFS(Base[Montante],Base[Fornecedor],$A144&amp;"",Base[Ano],H$4)</f>
        <v/>
      </c>
      <c r="I144" s="12">
        <f>SUMIFS(Base[Montante],Base[Fornecedor],$A144&amp;"",Base[Ano],I$4)</f>
        <v/>
      </c>
      <c r="J144" s="12">
        <f>SUMIFS(Base[Montante],Base[Fornecedor],$A144&amp;"",Base[Ano],J$4)</f>
        <v/>
      </c>
      <c r="K144" s="12">
        <f>SUM(D144:J144)</f>
        <v/>
      </c>
    </row>
    <row r="145">
      <c r="A145" s="5" t="n">
        <v>101713</v>
      </c>
      <c r="B145" s="5" t="inlineStr">
        <is>
          <t>COPLAS INDUSTRIA DE PLASTICOS LTDA</t>
        </is>
      </c>
      <c r="C145" s="5">
        <f>IFERROR(INDEX(DePara[Categoria],MATCH(TEXT(A145,"0"),DePara[Fornecedor_txt],0)),"(sem categoria)")</f>
        <v/>
      </c>
      <c r="D145" s="12">
        <f>SUMIFS(Base[Montante],Base[Fornecedor],$A145&amp;"",Base[Ano],D$4)</f>
        <v/>
      </c>
      <c r="E145" s="12">
        <f>SUMIFS(Base[Montante],Base[Fornecedor],$A145&amp;"",Base[Ano],E$4)</f>
        <v/>
      </c>
      <c r="F145" s="12">
        <f>SUMIFS(Base[Montante],Base[Fornecedor],$A145&amp;"",Base[Ano],F$4)</f>
        <v/>
      </c>
      <c r="G145" s="12">
        <f>SUMIFS(Base[Montante],Base[Fornecedor],$A145&amp;"",Base[Ano],G$4)</f>
        <v/>
      </c>
      <c r="H145" s="12">
        <f>SUMIFS(Base[Montante],Base[Fornecedor],$A145&amp;"",Base[Ano],H$4)</f>
        <v/>
      </c>
      <c r="I145" s="12">
        <f>SUMIFS(Base[Montante],Base[Fornecedor],$A145&amp;"",Base[Ano],I$4)</f>
        <v/>
      </c>
      <c r="J145" s="12">
        <f>SUMIFS(Base[Montante],Base[Fornecedor],$A145&amp;"",Base[Ano],J$4)</f>
        <v/>
      </c>
      <c r="K145" s="12">
        <f>SUM(D145:J145)</f>
        <v/>
      </c>
    </row>
    <row r="146">
      <c r="A146" s="5" t="n">
        <v>100519</v>
      </c>
      <c r="B146" s="5" t="inlineStr">
        <is>
          <t>CORDEIRO TRANSPORTES LTDA 13043748000113</t>
        </is>
      </c>
      <c r="C146" s="5">
        <f>IFERROR(INDEX(DePara[Categoria],MATCH(TEXT(A146,"0"),DePara[Fornecedor_txt],0)),"(sem categoria)")</f>
        <v/>
      </c>
      <c r="D146" s="12">
        <f>SUMIFS(Base[Montante],Base[Fornecedor],$A146&amp;"",Base[Ano],D$4)</f>
        <v/>
      </c>
      <c r="E146" s="12">
        <f>SUMIFS(Base[Montante],Base[Fornecedor],$A146&amp;"",Base[Ano],E$4)</f>
        <v/>
      </c>
      <c r="F146" s="12">
        <f>SUMIFS(Base[Montante],Base[Fornecedor],$A146&amp;"",Base[Ano],F$4)</f>
        <v/>
      </c>
      <c r="G146" s="12">
        <f>SUMIFS(Base[Montante],Base[Fornecedor],$A146&amp;"",Base[Ano],G$4)</f>
        <v/>
      </c>
      <c r="H146" s="12">
        <f>SUMIFS(Base[Montante],Base[Fornecedor],$A146&amp;"",Base[Ano],H$4)</f>
        <v/>
      </c>
      <c r="I146" s="12">
        <f>SUMIFS(Base[Montante],Base[Fornecedor],$A146&amp;"",Base[Ano],I$4)</f>
        <v/>
      </c>
      <c r="J146" s="12">
        <f>SUMIFS(Base[Montante],Base[Fornecedor],$A146&amp;"",Base[Ano],J$4)</f>
        <v/>
      </c>
      <c r="K146" s="12">
        <f>SUM(D146:J146)</f>
        <v/>
      </c>
    </row>
    <row r="147">
      <c r="A147" s="5" t="n">
        <v>107877</v>
      </c>
      <c r="B147" s="5" t="inlineStr">
        <is>
          <t>COTECH IRM SERVICES LTDA</t>
        </is>
      </c>
      <c r="C147" s="5">
        <f>IFERROR(INDEX(DePara[Categoria],MATCH(TEXT(A147,"0"),DePara[Fornecedor_txt],0)),"(sem categoria)")</f>
        <v/>
      </c>
      <c r="D147" s="12">
        <f>SUMIFS(Base[Montante],Base[Fornecedor],$A147&amp;"",Base[Ano],D$4)</f>
        <v/>
      </c>
      <c r="E147" s="12">
        <f>SUMIFS(Base[Montante],Base[Fornecedor],$A147&amp;"",Base[Ano],E$4)</f>
        <v/>
      </c>
      <c r="F147" s="12">
        <f>SUMIFS(Base[Montante],Base[Fornecedor],$A147&amp;"",Base[Ano],F$4)</f>
        <v/>
      </c>
      <c r="G147" s="12">
        <f>SUMIFS(Base[Montante],Base[Fornecedor],$A147&amp;"",Base[Ano],G$4)</f>
        <v/>
      </c>
      <c r="H147" s="12">
        <f>SUMIFS(Base[Montante],Base[Fornecedor],$A147&amp;"",Base[Ano],H$4)</f>
        <v/>
      </c>
      <c r="I147" s="12">
        <f>SUMIFS(Base[Montante],Base[Fornecedor],$A147&amp;"",Base[Ano],I$4)</f>
        <v/>
      </c>
      <c r="J147" s="12">
        <f>SUMIFS(Base[Montante],Base[Fornecedor],$A147&amp;"",Base[Ano],J$4)</f>
        <v/>
      </c>
      <c r="K147" s="12">
        <f>SUM(D147:J147)</f>
        <v/>
      </c>
    </row>
    <row r="148">
      <c r="A148" s="5" t="n">
        <v>100432</v>
      </c>
      <c r="B148" s="5" t="inlineStr">
        <is>
          <t>COVERWIND SOLUTIONS BRASIL LTDA 45580524000137</t>
        </is>
      </c>
      <c r="C148" s="5">
        <f>IFERROR(INDEX(DePara[Categoria],MATCH(TEXT(A148,"0"),DePara[Fornecedor_txt],0)),"(sem categoria)")</f>
        <v/>
      </c>
      <c r="D148" s="12">
        <f>SUMIFS(Base[Montante],Base[Fornecedor],$A148&amp;"",Base[Ano],D$4)</f>
        <v/>
      </c>
      <c r="E148" s="12">
        <f>SUMIFS(Base[Montante],Base[Fornecedor],$A148&amp;"",Base[Ano],E$4)</f>
        <v/>
      </c>
      <c r="F148" s="12">
        <f>SUMIFS(Base[Montante],Base[Fornecedor],$A148&amp;"",Base[Ano],F$4)</f>
        <v/>
      </c>
      <c r="G148" s="12">
        <f>SUMIFS(Base[Montante],Base[Fornecedor],$A148&amp;"",Base[Ano],G$4)</f>
        <v/>
      </c>
      <c r="H148" s="12">
        <f>SUMIFS(Base[Montante],Base[Fornecedor],$A148&amp;"",Base[Ano],H$4)</f>
        <v/>
      </c>
      <c r="I148" s="12">
        <f>SUMIFS(Base[Montante],Base[Fornecedor],$A148&amp;"",Base[Ano],I$4)</f>
        <v/>
      </c>
      <c r="J148" s="12">
        <f>SUMIFS(Base[Montante],Base[Fornecedor],$A148&amp;"",Base[Ano],J$4)</f>
        <v/>
      </c>
      <c r="K148" s="12">
        <f>SUM(D148:J148)</f>
        <v/>
      </c>
    </row>
    <row r="149">
      <c r="A149" s="5" t="n">
        <v>101470</v>
      </c>
      <c r="B149" s="5" t="inlineStr">
        <is>
          <t>CRIL EMPREENDIMENTO AMBIENTAL LTDA</t>
        </is>
      </c>
      <c r="C149" s="5">
        <f>IFERROR(INDEX(DePara[Categoria],MATCH(TEXT(A149,"0"),DePara[Fornecedor_txt],0)),"(sem categoria)")</f>
        <v/>
      </c>
      <c r="D149" s="12">
        <f>SUMIFS(Base[Montante],Base[Fornecedor],$A149&amp;"",Base[Ano],D$4)</f>
        <v/>
      </c>
      <c r="E149" s="12">
        <f>SUMIFS(Base[Montante],Base[Fornecedor],$A149&amp;"",Base[Ano],E$4)</f>
        <v/>
      </c>
      <c r="F149" s="12">
        <f>SUMIFS(Base[Montante],Base[Fornecedor],$A149&amp;"",Base[Ano],F$4)</f>
        <v/>
      </c>
      <c r="G149" s="12">
        <f>SUMIFS(Base[Montante],Base[Fornecedor],$A149&amp;"",Base[Ano],G$4)</f>
        <v/>
      </c>
      <c r="H149" s="12">
        <f>SUMIFS(Base[Montante],Base[Fornecedor],$A149&amp;"",Base[Ano],H$4)</f>
        <v/>
      </c>
      <c r="I149" s="12">
        <f>SUMIFS(Base[Montante],Base[Fornecedor],$A149&amp;"",Base[Ano],I$4)</f>
        <v/>
      </c>
      <c r="J149" s="12">
        <f>SUMIFS(Base[Montante],Base[Fornecedor],$A149&amp;"",Base[Ano],J$4)</f>
        <v/>
      </c>
      <c r="K149" s="12">
        <f>SUM(D149:J149)</f>
        <v/>
      </c>
    </row>
    <row r="150">
      <c r="A150" s="5" t="inlineStr">
        <is>
          <t>EM000059</t>
        </is>
      </c>
      <c r="B150" s="5" t="inlineStr">
        <is>
          <t>CRISOSTOMO CUNHA DE SOUSA</t>
        </is>
      </c>
      <c r="C150" s="5">
        <f>IFERROR(INDEX(DePara[Categoria],MATCH(TEXT(A150,"0"),DePara[Fornecedor_txt],0)),"(sem categoria)")</f>
        <v/>
      </c>
      <c r="D150" s="12">
        <f>SUMIFS(Base[Montante],Base[Fornecedor],$A150&amp;"",Base[Ano],D$4)</f>
        <v/>
      </c>
      <c r="E150" s="12">
        <f>SUMIFS(Base[Montante],Base[Fornecedor],$A150&amp;"",Base[Ano],E$4)</f>
        <v/>
      </c>
      <c r="F150" s="12">
        <f>SUMIFS(Base[Montante],Base[Fornecedor],$A150&amp;"",Base[Ano],F$4)</f>
        <v/>
      </c>
      <c r="G150" s="12">
        <f>SUMIFS(Base[Montante],Base[Fornecedor],$A150&amp;"",Base[Ano],G$4)</f>
        <v/>
      </c>
      <c r="H150" s="12">
        <f>SUMIFS(Base[Montante],Base[Fornecedor],$A150&amp;"",Base[Ano],H$4)</f>
        <v/>
      </c>
      <c r="I150" s="12">
        <f>SUMIFS(Base[Montante],Base[Fornecedor],$A150&amp;"",Base[Ano],I$4)</f>
        <v/>
      </c>
      <c r="J150" s="12">
        <f>SUMIFS(Base[Montante],Base[Fornecedor],$A150&amp;"",Base[Ano],J$4)</f>
        <v/>
      </c>
      <c r="K150" s="12">
        <f>SUM(D150:J150)</f>
        <v/>
      </c>
    </row>
    <row r="151">
      <c r="A151" s="5" t="n">
        <v>100867</v>
      </c>
      <c r="B151" s="5" t="inlineStr">
        <is>
          <t>CSA - CASE SOLUCOES AMBIENTAIS LTDA</t>
        </is>
      </c>
      <c r="C151" s="5">
        <f>IFERROR(INDEX(DePara[Categoria],MATCH(TEXT(A151,"0"),DePara[Fornecedor_txt],0)),"(sem categoria)")</f>
        <v/>
      </c>
      <c r="D151" s="12">
        <f>SUMIFS(Base[Montante],Base[Fornecedor],$A151&amp;"",Base[Ano],D$4)</f>
        <v/>
      </c>
      <c r="E151" s="12">
        <f>SUMIFS(Base[Montante],Base[Fornecedor],$A151&amp;"",Base[Ano],E$4)</f>
        <v/>
      </c>
      <c r="F151" s="12">
        <f>SUMIFS(Base[Montante],Base[Fornecedor],$A151&amp;"",Base[Ano],F$4)</f>
        <v/>
      </c>
      <c r="G151" s="12">
        <f>SUMIFS(Base[Montante],Base[Fornecedor],$A151&amp;"",Base[Ano],G$4)</f>
        <v/>
      </c>
      <c r="H151" s="12">
        <f>SUMIFS(Base[Montante],Base[Fornecedor],$A151&amp;"",Base[Ano],H$4)</f>
        <v/>
      </c>
      <c r="I151" s="12">
        <f>SUMIFS(Base[Montante],Base[Fornecedor],$A151&amp;"",Base[Ano],I$4)</f>
        <v/>
      </c>
      <c r="J151" s="12">
        <f>SUMIFS(Base[Montante],Base[Fornecedor],$A151&amp;"",Base[Ano],J$4)</f>
        <v/>
      </c>
      <c r="K151" s="12">
        <f>SUM(D151:J151)</f>
        <v/>
      </c>
    </row>
    <row r="152">
      <c r="A152" s="5" t="n">
        <v>101021</v>
      </c>
      <c r="B152" s="5" t="inlineStr">
        <is>
          <t>CSI SERVICOS DE BPO E TECN DA INFOR</t>
        </is>
      </c>
      <c r="C152" s="5">
        <f>IFERROR(INDEX(DePara[Categoria],MATCH(TEXT(A152,"0"),DePara[Fornecedor_txt],0)),"(sem categoria)")</f>
        <v/>
      </c>
      <c r="D152" s="12">
        <f>SUMIFS(Base[Montante],Base[Fornecedor],$A152&amp;"",Base[Ano],D$4)</f>
        <v/>
      </c>
      <c r="E152" s="12">
        <f>SUMIFS(Base[Montante],Base[Fornecedor],$A152&amp;"",Base[Ano],E$4)</f>
        <v/>
      </c>
      <c r="F152" s="12">
        <f>SUMIFS(Base[Montante],Base[Fornecedor],$A152&amp;"",Base[Ano],F$4)</f>
        <v/>
      </c>
      <c r="G152" s="12">
        <f>SUMIFS(Base[Montante],Base[Fornecedor],$A152&amp;"",Base[Ano],G$4)</f>
        <v/>
      </c>
      <c r="H152" s="12">
        <f>SUMIFS(Base[Montante],Base[Fornecedor],$A152&amp;"",Base[Ano],H$4)</f>
        <v/>
      </c>
      <c r="I152" s="12">
        <f>SUMIFS(Base[Montante],Base[Fornecedor],$A152&amp;"",Base[Ano],I$4)</f>
        <v/>
      </c>
      <c r="J152" s="12">
        <f>SUMIFS(Base[Montante],Base[Fornecedor],$A152&amp;"",Base[Ano],J$4)</f>
        <v/>
      </c>
      <c r="K152" s="12">
        <f>SUM(D152:J152)</f>
        <v/>
      </c>
    </row>
    <row r="153">
      <c r="A153" s="5" t="n">
        <v>101071</v>
      </c>
      <c r="B153" s="5" t="inlineStr">
        <is>
          <t>CUSTOM COMERCIO INTERNACIONAL LTDA</t>
        </is>
      </c>
      <c r="C153" s="5">
        <f>IFERROR(INDEX(DePara[Categoria],MATCH(TEXT(A153,"0"),DePara[Fornecedor_txt],0)),"(sem categoria)")</f>
        <v/>
      </c>
      <c r="D153" s="12">
        <f>SUMIFS(Base[Montante],Base[Fornecedor],$A153&amp;"",Base[Ano],D$4)</f>
        <v/>
      </c>
      <c r="E153" s="12">
        <f>SUMIFS(Base[Montante],Base[Fornecedor],$A153&amp;"",Base[Ano],E$4)</f>
        <v/>
      </c>
      <c r="F153" s="12">
        <f>SUMIFS(Base[Montante],Base[Fornecedor],$A153&amp;"",Base[Ano],F$4)</f>
        <v/>
      </c>
      <c r="G153" s="12">
        <f>SUMIFS(Base[Montante],Base[Fornecedor],$A153&amp;"",Base[Ano],G$4)</f>
        <v/>
      </c>
      <c r="H153" s="12">
        <f>SUMIFS(Base[Montante],Base[Fornecedor],$A153&amp;"",Base[Ano],H$4)</f>
        <v/>
      </c>
      <c r="I153" s="12">
        <f>SUMIFS(Base[Montante],Base[Fornecedor],$A153&amp;"",Base[Ano],I$4)</f>
        <v/>
      </c>
      <c r="J153" s="12">
        <f>SUMIFS(Base[Montante],Base[Fornecedor],$A153&amp;"",Base[Ano],J$4)</f>
        <v/>
      </c>
      <c r="K153" s="12">
        <f>SUM(D153:J153)</f>
        <v/>
      </c>
    </row>
    <row r="154">
      <c r="A154" s="5" t="inlineStr">
        <is>
          <t>EM000774</t>
        </is>
      </c>
      <c r="B154" s="5" t="inlineStr">
        <is>
          <t>DAIANE SILVA TRIGO</t>
        </is>
      </c>
      <c r="C154" s="5">
        <f>IFERROR(INDEX(DePara[Categoria],MATCH(TEXT(A154,"0"),DePara[Fornecedor_txt],0)),"(sem categoria)")</f>
        <v/>
      </c>
      <c r="D154" s="12">
        <f>SUMIFS(Base[Montante],Base[Fornecedor],$A154&amp;"",Base[Ano],D$4)</f>
        <v/>
      </c>
      <c r="E154" s="12">
        <f>SUMIFS(Base[Montante],Base[Fornecedor],$A154&amp;"",Base[Ano],E$4)</f>
        <v/>
      </c>
      <c r="F154" s="12">
        <f>SUMIFS(Base[Montante],Base[Fornecedor],$A154&amp;"",Base[Ano],F$4)</f>
        <v/>
      </c>
      <c r="G154" s="12">
        <f>SUMIFS(Base[Montante],Base[Fornecedor],$A154&amp;"",Base[Ano],G$4)</f>
        <v/>
      </c>
      <c r="H154" s="12">
        <f>SUMIFS(Base[Montante],Base[Fornecedor],$A154&amp;"",Base[Ano],H$4)</f>
        <v/>
      </c>
      <c r="I154" s="12">
        <f>SUMIFS(Base[Montante],Base[Fornecedor],$A154&amp;"",Base[Ano],I$4)</f>
        <v/>
      </c>
      <c r="J154" s="12">
        <f>SUMIFS(Base[Montante],Base[Fornecedor],$A154&amp;"",Base[Ano],J$4)</f>
        <v/>
      </c>
      <c r="K154" s="12">
        <f>SUM(D154:J154)</f>
        <v/>
      </c>
    </row>
    <row r="155">
      <c r="A155" s="5" t="inlineStr">
        <is>
          <t>EM003135</t>
        </is>
      </c>
      <c r="B155" s="5" t="inlineStr">
        <is>
          <t>DAMIÃO FERREIRA</t>
        </is>
      </c>
      <c r="C155" s="5">
        <f>IFERROR(INDEX(DePara[Categoria],MATCH(TEXT(A155,"0"),DePara[Fornecedor_txt],0)),"(sem categoria)")</f>
        <v/>
      </c>
      <c r="D155" s="12">
        <f>SUMIFS(Base[Montante],Base[Fornecedor],$A155&amp;"",Base[Ano],D$4)</f>
        <v/>
      </c>
      <c r="E155" s="12">
        <f>SUMIFS(Base[Montante],Base[Fornecedor],$A155&amp;"",Base[Ano],E$4)</f>
        <v/>
      </c>
      <c r="F155" s="12">
        <f>SUMIFS(Base[Montante],Base[Fornecedor],$A155&amp;"",Base[Ano],F$4)</f>
        <v/>
      </c>
      <c r="G155" s="12">
        <f>SUMIFS(Base[Montante],Base[Fornecedor],$A155&amp;"",Base[Ano],G$4)</f>
        <v/>
      </c>
      <c r="H155" s="12">
        <f>SUMIFS(Base[Montante],Base[Fornecedor],$A155&amp;"",Base[Ano],H$4)</f>
        <v/>
      </c>
      <c r="I155" s="12">
        <f>SUMIFS(Base[Montante],Base[Fornecedor],$A155&amp;"",Base[Ano],I$4)</f>
        <v/>
      </c>
      <c r="J155" s="12">
        <f>SUMIFS(Base[Montante],Base[Fornecedor],$A155&amp;"",Base[Ano],J$4)</f>
        <v/>
      </c>
      <c r="K155" s="12">
        <f>SUM(D155:J155)</f>
        <v/>
      </c>
    </row>
    <row r="156">
      <c r="A156" s="5" t="inlineStr">
        <is>
          <t>EM000025</t>
        </is>
      </c>
      <c r="B156" s="5" t="inlineStr">
        <is>
          <t>DANIEL SPARREMBERGER SHWARTZHAUPT</t>
        </is>
      </c>
      <c r="C156" s="5">
        <f>IFERROR(INDEX(DePara[Categoria],MATCH(TEXT(A156,"0"),DePara[Fornecedor_txt],0)),"(sem categoria)")</f>
        <v/>
      </c>
      <c r="D156" s="12">
        <f>SUMIFS(Base[Montante],Base[Fornecedor],$A156&amp;"",Base[Ano],D$4)</f>
        <v/>
      </c>
      <c r="E156" s="12">
        <f>SUMIFS(Base[Montante],Base[Fornecedor],$A156&amp;"",Base[Ano],E$4)</f>
        <v/>
      </c>
      <c r="F156" s="12">
        <f>SUMIFS(Base[Montante],Base[Fornecedor],$A156&amp;"",Base[Ano],F$4)</f>
        <v/>
      </c>
      <c r="G156" s="12">
        <f>SUMIFS(Base[Montante],Base[Fornecedor],$A156&amp;"",Base[Ano],G$4)</f>
        <v/>
      </c>
      <c r="H156" s="12">
        <f>SUMIFS(Base[Montante],Base[Fornecedor],$A156&amp;"",Base[Ano],H$4)</f>
        <v/>
      </c>
      <c r="I156" s="12">
        <f>SUMIFS(Base[Montante],Base[Fornecedor],$A156&amp;"",Base[Ano],I$4)</f>
        <v/>
      </c>
      <c r="J156" s="12">
        <f>SUMIFS(Base[Montante],Base[Fornecedor],$A156&amp;"",Base[Ano],J$4)</f>
        <v/>
      </c>
      <c r="K156" s="12">
        <f>SUM(D156:J156)</f>
        <v/>
      </c>
    </row>
    <row r="157">
      <c r="A157" s="5" t="n">
        <v>101875</v>
      </c>
      <c r="B157" s="5" t="inlineStr">
        <is>
          <t>DANIEL TRANSPORTES LTDA</t>
        </is>
      </c>
      <c r="C157" s="5">
        <f>IFERROR(INDEX(DePara[Categoria],MATCH(TEXT(A157,"0"),DePara[Fornecedor_txt],0)),"(sem categoria)")</f>
        <v/>
      </c>
      <c r="D157" s="12">
        <f>SUMIFS(Base[Montante],Base[Fornecedor],$A157&amp;"",Base[Ano],D$4)</f>
        <v/>
      </c>
      <c r="E157" s="12">
        <f>SUMIFS(Base[Montante],Base[Fornecedor],$A157&amp;"",Base[Ano],E$4)</f>
        <v/>
      </c>
      <c r="F157" s="12">
        <f>SUMIFS(Base[Montante],Base[Fornecedor],$A157&amp;"",Base[Ano],F$4)</f>
        <v/>
      </c>
      <c r="G157" s="12">
        <f>SUMIFS(Base[Montante],Base[Fornecedor],$A157&amp;"",Base[Ano],G$4)</f>
        <v/>
      </c>
      <c r="H157" s="12">
        <f>SUMIFS(Base[Montante],Base[Fornecedor],$A157&amp;"",Base[Ano],H$4)</f>
        <v/>
      </c>
      <c r="I157" s="12">
        <f>SUMIFS(Base[Montante],Base[Fornecedor],$A157&amp;"",Base[Ano],I$4)</f>
        <v/>
      </c>
      <c r="J157" s="12">
        <f>SUMIFS(Base[Montante],Base[Fornecedor],$A157&amp;"",Base[Ano],J$4)</f>
        <v/>
      </c>
      <c r="K157" s="12">
        <f>SUM(D157:J157)</f>
        <v/>
      </c>
    </row>
    <row r="158">
      <c r="A158" s="5" t="inlineStr">
        <is>
          <t>EM000060</t>
        </is>
      </c>
      <c r="B158" s="5" t="inlineStr">
        <is>
          <t>DANIELLA PANCA PADILHA</t>
        </is>
      </c>
      <c r="C158" s="5">
        <f>IFERROR(INDEX(DePara[Categoria],MATCH(TEXT(A158,"0"),DePara[Fornecedor_txt],0)),"(sem categoria)")</f>
        <v/>
      </c>
      <c r="D158" s="12">
        <f>SUMIFS(Base[Montante],Base[Fornecedor],$A158&amp;"",Base[Ano],D$4)</f>
        <v/>
      </c>
      <c r="E158" s="12">
        <f>SUMIFS(Base[Montante],Base[Fornecedor],$A158&amp;"",Base[Ano],E$4)</f>
        <v/>
      </c>
      <c r="F158" s="12">
        <f>SUMIFS(Base[Montante],Base[Fornecedor],$A158&amp;"",Base[Ano],F$4)</f>
        <v/>
      </c>
      <c r="G158" s="12">
        <f>SUMIFS(Base[Montante],Base[Fornecedor],$A158&amp;"",Base[Ano],G$4)</f>
        <v/>
      </c>
      <c r="H158" s="12">
        <f>SUMIFS(Base[Montante],Base[Fornecedor],$A158&amp;"",Base[Ano],H$4)</f>
        <v/>
      </c>
      <c r="I158" s="12">
        <f>SUMIFS(Base[Montante],Base[Fornecedor],$A158&amp;"",Base[Ano],I$4)</f>
        <v/>
      </c>
      <c r="J158" s="12">
        <f>SUMIFS(Base[Montante],Base[Fornecedor],$A158&amp;"",Base[Ano],J$4)</f>
        <v/>
      </c>
      <c r="K158" s="12">
        <f>SUM(D158:J158)</f>
        <v/>
      </c>
    </row>
    <row r="159">
      <c r="A159" s="5" t="inlineStr">
        <is>
          <t>EM000109</t>
        </is>
      </c>
      <c r="B159" s="5" t="inlineStr">
        <is>
          <t>DANILO MOREIRA DOS SANTOS</t>
        </is>
      </c>
      <c r="C159" s="5">
        <f>IFERROR(INDEX(DePara[Categoria],MATCH(TEXT(A159,"0"),DePara[Fornecedor_txt],0)),"(sem categoria)")</f>
        <v/>
      </c>
      <c r="D159" s="12">
        <f>SUMIFS(Base[Montante],Base[Fornecedor],$A159&amp;"",Base[Ano],D$4)</f>
        <v/>
      </c>
      <c r="E159" s="12">
        <f>SUMIFS(Base[Montante],Base[Fornecedor],$A159&amp;"",Base[Ano],E$4)</f>
        <v/>
      </c>
      <c r="F159" s="12">
        <f>SUMIFS(Base[Montante],Base[Fornecedor],$A159&amp;"",Base[Ano],F$4)</f>
        <v/>
      </c>
      <c r="G159" s="12">
        <f>SUMIFS(Base[Montante],Base[Fornecedor],$A159&amp;"",Base[Ano],G$4)</f>
        <v/>
      </c>
      <c r="H159" s="12">
        <f>SUMIFS(Base[Montante],Base[Fornecedor],$A159&amp;"",Base[Ano],H$4)</f>
        <v/>
      </c>
      <c r="I159" s="12">
        <f>SUMIFS(Base[Montante],Base[Fornecedor],$A159&amp;"",Base[Ano],I$4)</f>
        <v/>
      </c>
      <c r="J159" s="12">
        <f>SUMIFS(Base[Montante],Base[Fornecedor],$A159&amp;"",Base[Ano],J$4)</f>
        <v/>
      </c>
      <c r="K159" s="12">
        <f>SUM(D159:J159)</f>
        <v/>
      </c>
    </row>
    <row r="160">
      <c r="A160" s="5" t="n">
        <v>101801</v>
      </c>
      <c r="B160" s="5" t="inlineStr">
        <is>
          <t>DARCY PACHECO SOLUCOES DE PESO LTDA 89396121000108</t>
        </is>
      </c>
      <c r="C160" s="5">
        <f>IFERROR(INDEX(DePara[Categoria],MATCH(TEXT(A160,"0"),DePara[Fornecedor_txt],0)),"(sem categoria)")</f>
        <v/>
      </c>
      <c r="D160" s="12">
        <f>SUMIFS(Base[Montante],Base[Fornecedor],$A160&amp;"",Base[Ano],D$4)</f>
        <v/>
      </c>
      <c r="E160" s="12">
        <f>SUMIFS(Base[Montante],Base[Fornecedor],$A160&amp;"",Base[Ano],E$4)</f>
        <v/>
      </c>
      <c r="F160" s="12">
        <f>SUMIFS(Base[Montante],Base[Fornecedor],$A160&amp;"",Base[Ano],F$4)</f>
        <v/>
      </c>
      <c r="G160" s="12">
        <f>SUMIFS(Base[Montante],Base[Fornecedor],$A160&amp;"",Base[Ano],G$4)</f>
        <v/>
      </c>
      <c r="H160" s="12">
        <f>SUMIFS(Base[Montante],Base[Fornecedor],$A160&amp;"",Base[Ano],H$4)</f>
        <v/>
      </c>
      <c r="I160" s="12">
        <f>SUMIFS(Base[Montante],Base[Fornecedor],$A160&amp;"",Base[Ano],I$4)</f>
        <v/>
      </c>
      <c r="J160" s="12">
        <f>SUMIFS(Base[Montante],Base[Fornecedor],$A160&amp;"",Base[Ano],J$4)</f>
        <v/>
      </c>
      <c r="K160" s="12">
        <f>SUM(D160:J160)</f>
        <v/>
      </c>
    </row>
    <row r="161">
      <c r="A161" s="5" t="inlineStr">
        <is>
          <t>EM000744</t>
        </is>
      </c>
      <c r="B161" s="5" t="inlineStr">
        <is>
          <t>DARLAN FERREIRA FERNANDES</t>
        </is>
      </c>
      <c r="C161" s="5">
        <f>IFERROR(INDEX(DePara[Categoria],MATCH(TEXT(A161,"0"),DePara[Fornecedor_txt],0)),"(sem categoria)")</f>
        <v/>
      </c>
      <c r="D161" s="12">
        <f>SUMIFS(Base[Montante],Base[Fornecedor],$A161&amp;"",Base[Ano],D$4)</f>
        <v/>
      </c>
      <c r="E161" s="12">
        <f>SUMIFS(Base[Montante],Base[Fornecedor],$A161&amp;"",Base[Ano],E$4)</f>
        <v/>
      </c>
      <c r="F161" s="12">
        <f>SUMIFS(Base[Montante],Base[Fornecedor],$A161&amp;"",Base[Ano],F$4)</f>
        <v/>
      </c>
      <c r="G161" s="12">
        <f>SUMIFS(Base[Montante],Base[Fornecedor],$A161&amp;"",Base[Ano],G$4)</f>
        <v/>
      </c>
      <c r="H161" s="12">
        <f>SUMIFS(Base[Montante],Base[Fornecedor],$A161&amp;"",Base[Ano],H$4)</f>
        <v/>
      </c>
      <c r="I161" s="12">
        <f>SUMIFS(Base[Montante],Base[Fornecedor],$A161&amp;"",Base[Ano],I$4)</f>
        <v/>
      </c>
      <c r="J161" s="12">
        <f>SUMIFS(Base[Montante],Base[Fornecedor],$A161&amp;"",Base[Ano],J$4)</f>
        <v/>
      </c>
      <c r="K161" s="12">
        <f>SUM(D161:J161)</f>
        <v/>
      </c>
    </row>
    <row r="162">
      <c r="A162" s="5" t="inlineStr">
        <is>
          <t>EM003756</t>
        </is>
      </c>
      <c r="B162" s="5" t="inlineStr">
        <is>
          <t>DAVID DA CRUZ SILVA</t>
        </is>
      </c>
      <c r="C162" s="5">
        <f>IFERROR(INDEX(DePara[Categoria],MATCH(TEXT(A162,"0"),DePara[Fornecedor_txt],0)),"(sem categoria)")</f>
        <v/>
      </c>
      <c r="D162" s="12">
        <f>SUMIFS(Base[Montante],Base[Fornecedor],$A162&amp;"",Base[Ano],D$4)</f>
        <v/>
      </c>
      <c r="E162" s="12">
        <f>SUMIFS(Base[Montante],Base[Fornecedor],$A162&amp;"",Base[Ano],E$4)</f>
        <v/>
      </c>
      <c r="F162" s="12">
        <f>SUMIFS(Base[Montante],Base[Fornecedor],$A162&amp;"",Base[Ano],F$4)</f>
        <v/>
      </c>
      <c r="G162" s="12">
        <f>SUMIFS(Base[Montante],Base[Fornecedor],$A162&amp;"",Base[Ano],G$4)</f>
        <v/>
      </c>
      <c r="H162" s="12">
        <f>SUMIFS(Base[Montante],Base[Fornecedor],$A162&amp;"",Base[Ano],H$4)</f>
        <v/>
      </c>
      <c r="I162" s="12">
        <f>SUMIFS(Base[Montante],Base[Fornecedor],$A162&amp;"",Base[Ano],I$4)</f>
        <v/>
      </c>
      <c r="J162" s="12">
        <f>SUMIFS(Base[Montante],Base[Fornecedor],$A162&amp;"",Base[Ano],J$4)</f>
        <v/>
      </c>
      <c r="K162" s="12">
        <f>SUM(D162:J162)</f>
        <v/>
      </c>
    </row>
    <row r="163">
      <c r="A163" s="5" t="n">
        <v>101435</v>
      </c>
      <c r="B163" s="5" t="inlineStr">
        <is>
          <t>DAYCOVAL LEASING BANCO MULTIPLO S A</t>
        </is>
      </c>
      <c r="C163" s="5">
        <f>IFERROR(INDEX(DePara[Categoria],MATCH(TEXT(A163,"0"),DePara[Fornecedor_txt],0)),"(sem categoria)")</f>
        <v/>
      </c>
      <c r="D163" s="12">
        <f>SUMIFS(Base[Montante],Base[Fornecedor],$A163&amp;"",Base[Ano],D$4)</f>
        <v/>
      </c>
      <c r="E163" s="12">
        <f>SUMIFS(Base[Montante],Base[Fornecedor],$A163&amp;"",Base[Ano],E$4)</f>
        <v/>
      </c>
      <c r="F163" s="12">
        <f>SUMIFS(Base[Montante],Base[Fornecedor],$A163&amp;"",Base[Ano],F$4)</f>
        <v/>
      </c>
      <c r="G163" s="12">
        <f>SUMIFS(Base[Montante],Base[Fornecedor],$A163&amp;"",Base[Ano],G$4)</f>
        <v/>
      </c>
      <c r="H163" s="12">
        <f>SUMIFS(Base[Montante],Base[Fornecedor],$A163&amp;"",Base[Ano],H$4)</f>
        <v/>
      </c>
      <c r="I163" s="12">
        <f>SUMIFS(Base[Montante],Base[Fornecedor],$A163&amp;"",Base[Ano],I$4)</f>
        <v/>
      </c>
      <c r="J163" s="12">
        <f>SUMIFS(Base[Montante],Base[Fornecedor],$A163&amp;"",Base[Ano],J$4)</f>
        <v/>
      </c>
      <c r="K163" s="12">
        <f>SUM(D163:J163)</f>
        <v/>
      </c>
    </row>
    <row r="164">
      <c r="A164" s="5" t="n">
        <v>107720</v>
      </c>
      <c r="B164" s="5" t="inlineStr">
        <is>
          <t>DAYCOVAL LEASING SOCIEDADE DE ARRENDAMENTO MERCANTIL S.A</t>
        </is>
      </c>
      <c r="C164" s="5">
        <f>IFERROR(INDEX(DePara[Categoria],MATCH(TEXT(A164,"0"),DePara[Fornecedor_txt],0)),"(sem categoria)")</f>
        <v/>
      </c>
      <c r="D164" s="12">
        <f>SUMIFS(Base[Montante],Base[Fornecedor],$A164&amp;"",Base[Ano],D$4)</f>
        <v/>
      </c>
      <c r="E164" s="12">
        <f>SUMIFS(Base[Montante],Base[Fornecedor],$A164&amp;"",Base[Ano],E$4)</f>
        <v/>
      </c>
      <c r="F164" s="12">
        <f>SUMIFS(Base[Montante],Base[Fornecedor],$A164&amp;"",Base[Ano],F$4)</f>
        <v/>
      </c>
      <c r="G164" s="12">
        <f>SUMIFS(Base[Montante],Base[Fornecedor],$A164&amp;"",Base[Ano],G$4)</f>
        <v/>
      </c>
      <c r="H164" s="12">
        <f>SUMIFS(Base[Montante],Base[Fornecedor],$A164&amp;"",Base[Ano],H$4)</f>
        <v/>
      </c>
      <c r="I164" s="12">
        <f>SUMIFS(Base[Montante],Base[Fornecedor],$A164&amp;"",Base[Ano],I$4)</f>
        <v/>
      </c>
      <c r="J164" s="12">
        <f>SUMIFS(Base[Montante],Base[Fornecedor],$A164&amp;"",Base[Ano],J$4)</f>
        <v/>
      </c>
      <c r="K164" s="12">
        <f>SUM(D164:J164)</f>
        <v/>
      </c>
    </row>
    <row r="165">
      <c r="A165" s="5" t="n">
        <v>100008</v>
      </c>
      <c r="B165" s="5" t="inlineStr">
        <is>
          <t>DB3 SERVICOS DE TELECOMUNICACOES SA</t>
        </is>
      </c>
      <c r="C165" s="5">
        <f>IFERROR(INDEX(DePara[Categoria],MATCH(TEXT(A165,"0"),DePara[Fornecedor_txt],0)),"(sem categoria)")</f>
        <v/>
      </c>
      <c r="D165" s="12">
        <f>SUMIFS(Base[Montante],Base[Fornecedor],$A165&amp;"",Base[Ano],D$4)</f>
        <v/>
      </c>
      <c r="E165" s="12">
        <f>SUMIFS(Base[Montante],Base[Fornecedor],$A165&amp;"",Base[Ano],E$4)</f>
        <v/>
      </c>
      <c r="F165" s="12">
        <f>SUMIFS(Base[Montante],Base[Fornecedor],$A165&amp;"",Base[Ano],F$4)</f>
        <v/>
      </c>
      <c r="G165" s="12">
        <f>SUMIFS(Base[Montante],Base[Fornecedor],$A165&amp;"",Base[Ano],G$4)</f>
        <v/>
      </c>
      <c r="H165" s="12">
        <f>SUMIFS(Base[Montante],Base[Fornecedor],$A165&amp;"",Base[Ano],H$4)</f>
        <v/>
      </c>
      <c r="I165" s="12">
        <f>SUMIFS(Base[Montante],Base[Fornecedor],$A165&amp;"",Base[Ano],I$4)</f>
        <v/>
      </c>
      <c r="J165" s="12">
        <f>SUMIFS(Base[Montante],Base[Fornecedor],$A165&amp;"",Base[Ano],J$4)</f>
        <v/>
      </c>
      <c r="K165" s="12">
        <f>SUM(D165:J165)</f>
        <v/>
      </c>
    </row>
    <row r="166">
      <c r="A166" s="5" t="inlineStr">
        <is>
          <t>EM000354</t>
        </is>
      </c>
      <c r="B166" s="5" t="inlineStr">
        <is>
          <t>DECIO BISPO DE OLIVEIRA</t>
        </is>
      </c>
      <c r="C166" s="5">
        <f>IFERROR(INDEX(DePara[Categoria],MATCH(TEXT(A166,"0"),DePara[Fornecedor_txt],0)),"(sem categoria)")</f>
        <v/>
      </c>
      <c r="D166" s="12">
        <f>SUMIFS(Base[Montante],Base[Fornecedor],$A166&amp;"",Base[Ano],D$4)</f>
        <v/>
      </c>
      <c r="E166" s="12">
        <f>SUMIFS(Base[Montante],Base[Fornecedor],$A166&amp;"",Base[Ano],E$4)</f>
        <v/>
      </c>
      <c r="F166" s="12">
        <f>SUMIFS(Base[Montante],Base[Fornecedor],$A166&amp;"",Base[Ano],F$4)</f>
        <v/>
      </c>
      <c r="G166" s="12">
        <f>SUMIFS(Base[Montante],Base[Fornecedor],$A166&amp;"",Base[Ano],G$4)</f>
        <v/>
      </c>
      <c r="H166" s="12">
        <f>SUMIFS(Base[Montante],Base[Fornecedor],$A166&amp;"",Base[Ano],H$4)</f>
        <v/>
      </c>
      <c r="I166" s="12">
        <f>SUMIFS(Base[Montante],Base[Fornecedor],$A166&amp;"",Base[Ano],I$4)</f>
        <v/>
      </c>
      <c r="J166" s="12">
        <f>SUMIFS(Base[Montante],Base[Fornecedor],$A166&amp;"",Base[Ano],J$4)</f>
        <v/>
      </c>
      <c r="K166" s="12">
        <f>SUM(D166:J166)</f>
        <v/>
      </c>
    </row>
    <row r="167">
      <c r="A167" s="5" t="n">
        <v>104050</v>
      </c>
      <c r="B167" s="5" t="inlineStr">
        <is>
          <t>DEFENSY SEGURANCA E SERVICOS LTDA 49758078000169</t>
        </is>
      </c>
      <c r="C167" s="5">
        <f>IFERROR(INDEX(DePara[Categoria],MATCH(TEXT(A167,"0"),DePara[Fornecedor_txt],0)),"(sem categoria)")</f>
        <v/>
      </c>
      <c r="D167" s="12">
        <f>SUMIFS(Base[Montante],Base[Fornecedor],$A167&amp;"",Base[Ano],D$4)</f>
        <v/>
      </c>
      <c r="E167" s="12">
        <f>SUMIFS(Base[Montante],Base[Fornecedor],$A167&amp;"",Base[Ano],E$4)</f>
        <v/>
      </c>
      <c r="F167" s="12">
        <f>SUMIFS(Base[Montante],Base[Fornecedor],$A167&amp;"",Base[Ano],F$4)</f>
        <v/>
      </c>
      <c r="G167" s="12">
        <f>SUMIFS(Base[Montante],Base[Fornecedor],$A167&amp;"",Base[Ano],G$4)</f>
        <v/>
      </c>
      <c r="H167" s="12">
        <f>SUMIFS(Base[Montante],Base[Fornecedor],$A167&amp;"",Base[Ano],H$4)</f>
        <v/>
      </c>
      <c r="I167" s="12">
        <f>SUMIFS(Base[Montante],Base[Fornecedor],$A167&amp;"",Base[Ano],I$4)</f>
        <v/>
      </c>
      <c r="J167" s="12">
        <f>SUMIFS(Base[Montante],Base[Fornecedor],$A167&amp;"",Base[Ano],J$4)</f>
        <v/>
      </c>
      <c r="K167" s="12">
        <f>SUM(D167:J167)</f>
        <v/>
      </c>
    </row>
    <row r="168">
      <c r="A168" s="5" t="n">
        <v>107626</v>
      </c>
      <c r="B168" s="5" t="inlineStr">
        <is>
          <t>DELTHA SERVICOS LTDA</t>
        </is>
      </c>
      <c r="C168" s="5">
        <f>IFERROR(INDEX(DePara[Categoria],MATCH(TEXT(A168,"0"),DePara[Fornecedor_txt],0)),"(sem categoria)")</f>
        <v/>
      </c>
      <c r="D168" s="12">
        <f>SUMIFS(Base[Montante],Base[Fornecedor],$A168&amp;"",Base[Ano],D$4)</f>
        <v/>
      </c>
      <c r="E168" s="12">
        <f>SUMIFS(Base[Montante],Base[Fornecedor],$A168&amp;"",Base[Ano],E$4)</f>
        <v/>
      </c>
      <c r="F168" s="12">
        <f>SUMIFS(Base[Montante],Base[Fornecedor],$A168&amp;"",Base[Ano],F$4)</f>
        <v/>
      </c>
      <c r="G168" s="12">
        <f>SUMIFS(Base[Montante],Base[Fornecedor],$A168&amp;"",Base[Ano],G$4)</f>
        <v/>
      </c>
      <c r="H168" s="12">
        <f>SUMIFS(Base[Montante],Base[Fornecedor],$A168&amp;"",Base[Ano],H$4)</f>
        <v/>
      </c>
      <c r="I168" s="12">
        <f>SUMIFS(Base[Montante],Base[Fornecedor],$A168&amp;"",Base[Ano],I$4)</f>
        <v/>
      </c>
      <c r="J168" s="12">
        <f>SUMIFS(Base[Montante],Base[Fornecedor],$A168&amp;"",Base[Ano],J$4)</f>
        <v/>
      </c>
      <c r="K168" s="12">
        <f>SUM(D168:J168)</f>
        <v/>
      </c>
    </row>
    <row r="169">
      <c r="A169" s="5" t="inlineStr">
        <is>
          <t>EM000890</t>
        </is>
      </c>
      <c r="B169" s="5" t="inlineStr">
        <is>
          <t>DENILSON FERNANDES SILVA</t>
        </is>
      </c>
      <c r="C169" s="5">
        <f>IFERROR(INDEX(DePara[Categoria],MATCH(TEXT(A169,"0"),DePara[Fornecedor_txt],0)),"(sem categoria)")</f>
        <v/>
      </c>
      <c r="D169" s="12">
        <f>SUMIFS(Base[Montante],Base[Fornecedor],$A169&amp;"",Base[Ano],D$4)</f>
        <v/>
      </c>
      <c r="E169" s="12">
        <f>SUMIFS(Base[Montante],Base[Fornecedor],$A169&amp;"",Base[Ano],E$4)</f>
        <v/>
      </c>
      <c r="F169" s="12">
        <f>SUMIFS(Base[Montante],Base[Fornecedor],$A169&amp;"",Base[Ano],F$4)</f>
        <v/>
      </c>
      <c r="G169" s="12">
        <f>SUMIFS(Base[Montante],Base[Fornecedor],$A169&amp;"",Base[Ano],G$4)</f>
        <v/>
      </c>
      <c r="H169" s="12">
        <f>SUMIFS(Base[Montante],Base[Fornecedor],$A169&amp;"",Base[Ano],H$4)</f>
        <v/>
      </c>
      <c r="I169" s="12">
        <f>SUMIFS(Base[Montante],Base[Fornecedor],$A169&amp;"",Base[Ano],I$4)</f>
        <v/>
      </c>
      <c r="J169" s="12">
        <f>SUMIFS(Base[Montante],Base[Fornecedor],$A169&amp;"",Base[Ano],J$4)</f>
        <v/>
      </c>
      <c r="K169" s="12">
        <f>SUM(D169:J169)</f>
        <v/>
      </c>
    </row>
    <row r="170">
      <c r="A170" s="5" t="n">
        <v>101176</v>
      </c>
      <c r="B170" s="5" t="inlineStr">
        <is>
          <t>DEUBLIN BRASIL JUNTAS ROTATIVAS DE</t>
        </is>
      </c>
      <c r="C170" s="5">
        <f>IFERROR(INDEX(DePara[Categoria],MATCH(TEXT(A170,"0"),DePara[Fornecedor_txt],0)),"(sem categoria)")</f>
        <v/>
      </c>
      <c r="D170" s="12">
        <f>SUMIFS(Base[Montante],Base[Fornecedor],$A170&amp;"",Base[Ano],D$4)</f>
        <v/>
      </c>
      <c r="E170" s="12">
        <f>SUMIFS(Base[Montante],Base[Fornecedor],$A170&amp;"",Base[Ano],E$4)</f>
        <v/>
      </c>
      <c r="F170" s="12">
        <f>SUMIFS(Base[Montante],Base[Fornecedor],$A170&amp;"",Base[Ano],F$4)</f>
        <v/>
      </c>
      <c r="G170" s="12">
        <f>SUMIFS(Base[Montante],Base[Fornecedor],$A170&amp;"",Base[Ano],G$4)</f>
        <v/>
      </c>
      <c r="H170" s="12">
        <f>SUMIFS(Base[Montante],Base[Fornecedor],$A170&amp;"",Base[Ano],H$4)</f>
        <v/>
      </c>
      <c r="I170" s="12">
        <f>SUMIFS(Base[Montante],Base[Fornecedor],$A170&amp;"",Base[Ano],I$4)</f>
        <v/>
      </c>
      <c r="J170" s="12">
        <f>SUMIFS(Base[Montante],Base[Fornecedor],$A170&amp;"",Base[Ano],J$4)</f>
        <v/>
      </c>
      <c r="K170" s="12">
        <f>SUM(D170:J170)</f>
        <v/>
      </c>
    </row>
    <row r="171">
      <c r="A171" s="5" t="inlineStr">
        <is>
          <t>EM000095</t>
        </is>
      </c>
      <c r="B171" s="5" t="inlineStr">
        <is>
          <t>DEYMSON ROBSON AMARAL BEZERRA</t>
        </is>
      </c>
      <c r="C171" s="5">
        <f>IFERROR(INDEX(DePara[Categoria],MATCH(TEXT(A171,"0"),DePara[Fornecedor_txt],0)),"(sem categoria)")</f>
        <v/>
      </c>
      <c r="D171" s="12">
        <f>SUMIFS(Base[Montante],Base[Fornecedor],$A171&amp;"",Base[Ano],D$4)</f>
        <v/>
      </c>
      <c r="E171" s="12">
        <f>SUMIFS(Base[Montante],Base[Fornecedor],$A171&amp;"",Base[Ano],E$4)</f>
        <v/>
      </c>
      <c r="F171" s="12">
        <f>SUMIFS(Base[Montante],Base[Fornecedor],$A171&amp;"",Base[Ano],F$4)</f>
        <v/>
      </c>
      <c r="G171" s="12">
        <f>SUMIFS(Base[Montante],Base[Fornecedor],$A171&amp;"",Base[Ano],G$4)</f>
        <v/>
      </c>
      <c r="H171" s="12">
        <f>SUMIFS(Base[Montante],Base[Fornecedor],$A171&amp;"",Base[Ano],H$4)</f>
        <v/>
      </c>
      <c r="I171" s="12">
        <f>SUMIFS(Base[Montante],Base[Fornecedor],$A171&amp;"",Base[Ano],I$4)</f>
        <v/>
      </c>
      <c r="J171" s="12">
        <f>SUMIFS(Base[Montante],Base[Fornecedor],$A171&amp;"",Base[Ano],J$4)</f>
        <v/>
      </c>
      <c r="K171" s="12">
        <f>SUM(D171:J171)</f>
        <v/>
      </c>
    </row>
    <row r="172">
      <c r="A172" s="5" t="n">
        <v>101289</v>
      </c>
      <c r="B172" s="5" t="inlineStr">
        <is>
          <t>DHUAN COMISSARIA DE DESP ADUAN LTDA</t>
        </is>
      </c>
      <c r="C172" s="5">
        <f>IFERROR(INDEX(DePara[Categoria],MATCH(TEXT(A172,"0"),DePara[Fornecedor_txt],0)),"(sem categoria)")</f>
        <v/>
      </c>
      <c r="D172" s="12">
        <f>SUMIFS(Base[Montante],Base[Fornecedor],$A172&amp;"",Base[Ano],D$4)</f>
        <v/>
      </c>
      <c r="E172" s="12">
        <f>SUMIFS(Base[Montante],Base[Fornecedor],$A172&amp;"",Base[Ano],E$4)</f>
        <v/>
      </c>
      <c r="F172" s="12">
        <f>SUMIFS(Base[Montante],Base[Fornecedor],$A172&amp;"",Base[Ano],F$4)</f>
        <v/>
      </c>
      <c r="G172" s="12">
        <f>SUMIFS(Base[Montante],Base[Fornecedor],$A172&amp;"",Base[Ano],G$4)</f>
        <v/>
      </c>
      <c r="H172" s="12">
        <f>SUMIFS(Base[Montante],Base[Fornecedor],$A172&amp;"",Base[Ano],H$4)</f>
        <v/>
      </c>
      <c r="I172" s="12">
        <f>SUMIFS(Base[Montante],Base[Fornecedor],$A172&amp;"",Base[Ano],I$4)</f>
        <v/>
      </c>
      <c r="J172" s="12">
        <f>SUMIFS(Base[Montante],Base[Fornecedor],$A172&amp;"",Base[Ano],J$4)</f>
        <v/>
      </c>
      <c r="K172" s="12">
        <f>SUM(D172:J172)</f>
        <v/>
      </c>
    </row>
    <row r="173">
      <c r="A173" s="5" t="inlineStr">
        <is>
          <t>EM000026</t>
        </is>
      </c>
      <c r="B173" s="5" t="inlineStr">
        <is>
          <t>DIEGO ALAN DE OLIVEIRA DA SILVA</t>
        </is>
      </c>
      <c r="C173" s="5">
        <f>IFERROR(INDEX(DePara[Categoria],MATCH(TEXT(A173,"0"),DePara[Fornecedor_txt],0)),"(sem categoria)")</f>
        <v/>
      </c>
      <c r="D173" s="12">
        <f>SUMIFS(Base[Montante],Base[Fornecedor],$A173&amp;"",Base[Ano],D$4)</f>
        <v/>
      </c>
      <c r="E173" s="12">
        <f>SUMIFS(Base[Montante],Base[Fornecedor],$A173&amp;"",Base[Ano],E$4)</f>
        <v/>
      </c>
      <c r="F173" s="12">
        <f>SUMIFS(Base[Montante],Base[Fornecedor],$A173&amp;"",Base[Ano],F$4)</f>
        <v/>
      </c>
      <c r="G173" s="12">
        <f>SUMIFS(Base[Montante],Base[Fornecedor],$A173&amp;"",Base[Ano],G$4)</f>
        <v/>
      </c>
      <c r="H173" s="12">
        <f>SUMIFS(Base[Montante],Base[Fornecedor],$A173&amp;"",Base[Ano],H$4)</f>
        <v/>
      </c>
      <c r="I173" s="12">
        <f>SUMIFS(Base[Montante],Base[Fornecedor],$A173&amp;"",Base[Ano],I$4)</f>
        <v/>
      </c>
      <c r="J173" s="12">
        <f>SUMIFS(Base[Montante],Base[Fornecedor],$A173&amp;"",Base[Ano],J$4)</f>
        <v/>
      </c>
      <c r="K173" s="12">
        <f>SUM(D173:J173)</f>
        <v/>
      </c>
    </row>
    <row r="174">
      <c r="A174" s="5" t="inlineStr">
        <is>
          <t>EM000202</t>
        </is>
      </c>
      <c r="B174" s="5" t="inlineStr">
        <is>
          <t>DIEGO DE SOUSA ALMEIDA</t>
        </is>
      </c>
      <c r="C174" s="5">
        <f>IFERROR(INDEX(DePara[Categoria],MATCH(TEXT(A174,"0"),DePara[Fornecedor_txt],0)),"(sem categoria)")</f>
        <v/>
      </c>
      <c r="D174" s="12">
        <f>SUMIFS(Base[Montante],Base[Fornecedor],$A174&amp;"",Base[Ano],D$4)</f>
        <v/>
      </c>
      <c r="E174" s="12">
        <f>SUMIFS(Base[Montante],Base[Fornecedor],$A174&amp;"",Base[Ano],E$4)</f>
        <v/>
      </c>
      <c r="F174" s="12">
        <f>SUMIFS(Base[Montante],Base[Fornecedor],$A174&amp;"",Base[Ano],F$4)</f>
        <v/>
      </c>
      <c r="G174" s="12">
        <f>SUMIFS(Base[Montante],Base[Fornecedor],$A174&amp;"",Base[Ano],G$4)</f>
        <v/>
      </c>
      <c r="H174" s="12">
        <f>SUMIFS(Base[Montante],Base[Fornecedor],$A174&amp;"",Base[Ano],H$4)</f>
        <v/>
      </c>
      <c r="I174" s="12">
        <f>SUMIFS(Base[Montante],Base[Fornecedor],$A174&amp;"",Base[Ano],I$4)</f>
        <v/>
      </c>
      <c r="J174" s="12">
        <f>SUMIFS(Base[Montante],Base[Fornecedor],$A174&amp;"",Base[Ano],J$4)</f>
        <v/>
      </c>
      <c r="K174" s="12">
        <f>SUM(D174:J174)</f>
        <v/>
      </c>
    </row>
    <row r="175">
      <c r="A175" s="5" t="inlineStr">
        <is>
          <t>EM000440</t>
        </is>
      </c>
      <c r="B175" s="5" t="inlineStr">
        <is>
          <t>DIEGO LEON DA SILVA BARACHO</t>
        </is>
      </c>
      <c r="C175" s="5">
        <f>IFERROR(INDEX(DePara[Categoria],MATCH(TEXT(A175,"0"),DePara[Fornecedor_txt],0)),"(sem categoria)")</f>
        <v/>
      </c>
      <c r="D175" s="12">
        <f>SUMIFS(Base[Montante],Base[Fornecedor],$A175&amp;"",Base[Ano],D$4)</f>
        <v/>
      </c>
      <c r="E175" s="12">
        <f>SUMIFS(Base[Montante],Base[Fornecedor],$A175&amp;"",Base[Ano],E$4)</f>
        <v/>
      </c>
      <c r="F175" s="12">
        <f>SUMIFS(Base[Montante],Base[Fornecedor],$A175&amp;"",Base[Ano],F$4)</f>
        <v/>
      </c>
      <c r="G175" s="12">
        <f>SUMIFS(Base[Montante],Base[Fornecedor],$A175&amp;"",Base[Ano],G$4)</f>
        <v/>
      </c>
      <c r="H175" s="12">
        <f>SUMIFS(Base[Montante],Base[Fornecedor],$A175&amp;"",Base[Ano],H$4)</f>
        <v/>
      </c>
      <c r="I175" s="12">
        <f>SUMIFS(Base[Montante],Base[Fornecedor],$A175&amp;"",Base[Ano],I$4)</f>
        <v/>
      </c>
      <c r="J175" s="12">
        <f>SUMIFS(Base[Montante],Base[Fornecedor],$A175&amp;"",Base[Ano],J$4)</f>
        <v/>
      </c>
      <c r="K175" s="12">
        <f>SUM(D175:J175)</f>
        <v/>
      </c>
    </row>
    <row r="176">
      <c r="A176" s="5" t="inlineStr">
        <is>
          <t>EM000780</t>
        </is>
      </c>
      <c r="B176" s="5" t="inlineStr">
        <is>
          <t>Diego Ribeiro Brito</t>
        </is>
      </c>
      <c r="C176" s="5">
        <f>IFERROR(INDEX(DePara[Categoria],MATCH(TEXT(A176,"0"),DePara[Fornecedor_txt],0)),"(sem categoria)")</f>
        <v/>
      </c>
      <c r="D176" s="12">
        <f>SUMIFS(Base[Montante],Base[Fornecedor],$A176&amp;"",Base[Ano],D$4)</f>
        <v/>
      </c>
      <c r="E176" s="12">
        <f>SUMIFS(Base[Montante],Base[Fornecedor],$A176&amp;"",Base[Ano],E$4)</f>
        <v/>
      </c>
      <c r="F176" s="12">
        <f>SUMIFS(Base[Montante],Base[Fornecedor],$A176&amp;"",Base[Ano],F$4)</f>
        <v/>
      </c>
      <c r="G176" s="12">
        <f>SUMIFS(Base[Montante],Base[Fornecedor],$A176&amp;"",Base[Ano],G$4)</f>
        <v/>
      </c>
      <c r="H176" s="12">
        <f>SUMIFS(Base[Montante],Base[Fornecedor],$A176&amp;"",Base[Ano],H$4)</f>
        <v/>
      </c>
      <c r="I176" s="12">
        <f>SUMIFS(Base[Montante],Base[Fornecedor],$A176&amp;"",Base[Ano],I$4)</f>
        <v/>
      </c>
      <c r="J176" s="12">
        <f>SUMIFS(Base[Montante],Base[Fornecedor],$A176&amp;"",Base[Ano],J$4)</f>
        <v/>
      </c>
      <c r="K176" s="12">
        <f>SUM(D176:J176)</f>
        <v/>
      </c>
    </row>
    <row r="177">
      <c r="A177" s="5" t="n">
        <v>100396</v>
      </c>
      <c r="B177" s="5" t="inlineStr">
        <is>
          <t>DISTRIBUI LOGISTICA LTDA 03592033000166</t>
        </is>
      </c>
      <c r="C177" s="5">
        <f>IFERROR(INDEX(DePara[Categoria],MATCH(TEXT(A177,"0"),DePara[Fornecedor_txt],0)),"(sem categoria)")</f>
        <v/>
      </c>
      <c r="D177" s="12">
        <f>SUMIFS(Base[Montante],Base[Fornecedor],$A177&amp;"",Base[Ano],D$4)</f>
        <v/>
      </c>
      <c r="E177" s="12">
        <f>SUMIFS(Base[Montante],Base[Fornecedor],$A177&amp;"",Base[Ano],E$4)</f>
        <v/>
      </c>
      <c r="F177" s="12">
        <f>SUMIFS(Base[Montante],Base[Fornecedor],$A177&amp;"",Base[Ano],F$4)</f>
        <v/>
      </c>
      <c r="G177" s="12">
        <f>SUMIFS(Base[Montante],Base[Fornecedor],$A177&amp;"",Base[Ano],G$4)</f>
        <v/>
      </c>
      <c r="H177" s="12">
        <f>SUMIFS(Base[Montante],Base[Fornecedor],$A177&amp;"",Base[Ano],H$4)</f>
        <v/>
      </c>
      <c r="I177" s="12">
        <f>SUMIFS(Base[Montante],Base[Fornecedor],$A177&amp;"",Base[Ano],I$4)</f>
        <v/>
      </c>
      <c r="J177" s="12">
        <f>SUMIFS(Base[Montante],Base[Fornecedor],$A177&amp;"",Base[Ano],J$4)</f>
        <v/>
      </c>
      <c r="K177" s="12">
        <f>SUM(D177:J177)</f>
        <v/>
      </c>
    </row>
    <row r="178">
      <c r="A178" s="5" t="n">
        <v>100393</v>
      </c>
      <c r="B178" s="5" t="inlineStr">
        <is>
          <t>DISTRIBUIDORA DE PRODUCTOS DE ELEVA</t>
        </is>
      </c>
      <c r="C178" s="5">
        <f>IFERROR(INDEX(DePara[Categoria],MATCH(TEXT(A178,"0"),DePara[Fornecedor_txt],0)),"(sem categoria)")</f>
        <v/>
      </c>
      <c r="D178" s="12">
        <f>SUMIFS(Base[Montante],Base[Fornecedor],$A178&amp;"",Base[Ano],D$4)</f>
        <v/>
      </c>
      <c r="E178" s="12">
        <f>SUMIFS(Base[Montante],Base[Fornecedor],$A178&amp;"",Base[Ano],E$4)</f>
        <v/>
      </c>
      <c r="F178" s="12">
        <f>SUMIFS(Base[Montante],Base[Fornecedor],$A178&amp;"",Base[Ano],F$4)</f>
        <v/>
      </c>
      <c r="G178" s="12">
        <f>SUMIFS(Base[Montante],Base[Fornecedor],$A178&amp;"",Base[Ano],G$4)</f>
        <v/>
      </c>
      <c r="H178" s="12">
        <f>SUMIFS(Base[Montante],Base[Fornecedor],$A178&amp;"",Base[Ano],H$4)</f>
        <v/>
      </c>
      <c r="I178" s="12">
        <f>SUMIFS(Base[Montante],Base[Fornecedor],$A178&amp;"",Base[Ano],I$4)</f>
        <v/>
      </c>
      <c r="J178" s="12">
        <f>SUMIFS(Base[Montante],Base[Fornecedor],$A178&amp;"",Base[Ano],J$4)</f>
        <v/>
      </c>
      <c r="K178" s="12">
        <f>SUM(D178:J178)</f>
        <v/>
      </c>
    </row>
    <row r="179">
      <c r="A179" s="5" t="n">
        <v>100575</v>
      </c>
      <c r="B179" s="5" t="inlineStr">
        <is>
          <t>DNIT DEP NAC DE INFRAEST DE TRANSPO</t>
        </is>
      </c>
      <c r="C179" s="5">
        <f>IFERROR(INDEX(DePara[Categoria],MATCH(TEXT(A179,"0"),DePara[Fornecedor_txt],0)),"(sem categoria)")</f>
        <v/>
      </c>
      <c r="D179" s="12">
        <f>SUMIFS(Base[Montante],Base[Fornecedor],$A179&amp;"",Base[Ano],D$4)</f>
        <v/>
      </c>
      <c r="E179" s="12">
        <f>SUMIFS(Base[Montante],Base[Fornecedor],$A179&amp;"",Base[Ano],E$4)</f>
        <v/>
      </c>
      <c r="F179" s="12">
        <f>SUMIFS(Base[Montante],Base[Fornecedor],$A179&amp;"",Base[Ano],F$4)</f>
        <v/>
      </c>
      <c r="G179" s="12">
        <f>SUMIFS(Base[Montante],Base[Fornecedor],$A179&amp;"",Base[Ano],G$4)</f>
        <v/>
      </c>
      <c r="H179" s="12">
        <f>SUMIFS(Base[Montante],Base[Fornecedor],$A179&amp;"",Base[Ano],H$4)</f>
        <v/>
      </c>
      <c r="I179" s="12">
        <f>SUMIFS(Base[Montante],Base[Fornecedor],$A179&amp;"",Base[Ano],I$4)</f>
        <v/>
      </c>
      <c r="J179" s="12">
        <f>SUMIFS(Base[Montante],Base[Fornecedor],$A179&amp;"",Base[Ano],J$4)</f>
        <v/>
      </c>
      <c r="K179" s="12">
        <f>SUM(D179:J179)</f>
        <v/>
      </c>
    </row>
    <row r="180">
      <c r="A180" s="5" t="n">
        <v>101159</v>
      </c>
      <c r="B180" s="5" t="inlineStr">
        <is>
          <t>DOCUSIGN BRASIL SOLUCOES EM TECNOLO 05516218000117</t>
        </is>
      </c>
      <c r="C180" s="5">
        <f>IFERROR(INDEX(DePara[Categoria],MATCH(TEXT(A180,"0"),DePara[Fornecedor_txt],0)),"(sem categoria)")</f>
        <v/>
      </c>
      <c r="D180" s="12">
        <f>SUMIFS(Base[Montante],Base[Fornecedor],$A180&amp;"",Base[Ano],D$4)</f>
        <v/>
      </c>
      <c r="E180" s="12">
        <f>SUMIFS(Base[Montante],Base[Fornecedor],$A180&amp;"",Base[Ano],E$4)</f>
        <v/>
      </c>
      <c r="F180" s="12">
        <f>SUMIFS(Base[Montante],Base[Fornecedor],$A180&amp;"",Base[Ano],F$4)</f>
        <v/>
      </c>
      <c r="G180" s="12">
        <f>SUMIFS(Base[Montante],Base[Fornecedor],$A180&amp;"",Base[Ano],G$4)</f>
        <v/>
      </c>
      <c r="H180" s="12">
        <f>SUMIFS(Base[Montante],Base[Fornecedor],$A180&amp;"",Base[Ano],H$4)</f>
        <v/>
      </c>
      <c r="I180" s="12">
        <f>SUMIFS(Base[Montante],Base[Fornecedor],$A180&amp;"",Base[Ano],I$4)</f>
        <v/>
      </c>
      <c r="J180" s="12">
        <f>SUMIFS(Base[Montante],Base[Fornecedor],$A180&amp;"",Base[Ano],J$4)</f>
        <v/>
      </c>
      <c r="K180" s="12">
        <f>SUM(D180:J180)</f>
        <v/>
      </c>
    </row>
    <row r="181">
      <c r="A181" s="5" t="n">
        <v>105635</v>
      </c>
      <c r="B181" s="5" t="inlineStr">
        <is>
          <t>DOIS A ENGENHARIA E TECNOLOGIA LTDA 03092799000181</t>
        </is>
      </c>
      <c r="C181" s="5">
        <f>IFERROR(INDEX(DePara[Categoria],MATCH(TEXT(A181,"0"),DePara[Fornecedor_txt],0)),"(sem categoria)")</f>
        <v/>
      </c>
      <c r="D181" s="12">
        <f>SUMIFS(Base[Montante],Base[Fornecedor],$A181&amp;"",Base[Ano],D$4)</f>
        <v/>
      </c>
      <c r="E181" s="12">
        <f>SUMIFS(Base[Montante],Base[Fornecedor],$A181&amp;"",Base[Ano],E$4)</f>
        <v/>
      </c>
      <c r="F181" s="12">
        <f>SUMIFS(Base[Montante],Base[Fornecedor],$A181&amp;"",Base[Ano],F$4)</f>
        <v/>
      </c>
      <c r="G181" s="12">
        <f>SUMIFS(Base[Montante],Base[Fornecedor],$A181&amp;"",Base[Ano],G$4)</f>
        <v/>
      </c>
      <c r="H181" s="12">
        <f>SUMIFS(Base[Montante],Base[Fornecedor],$A181&amp;"",Base[Ano],H$4)</f>
        <v/>
      </c>
      <c r="I181" s="12">
        <f>SUMIFS(Base[Montante],Base[Fornecedor],$A181&amp;"",Base[Ano],I$4)</f>
        <v/>
      </c>
      <c r="J181" s="12">
        <f>SUMIFS(Base[Montante],Base[Fornecedor],$A181&amp;"",Base[Ano],J$4)</f>
        <v/>
      </c>
      <c r="K181" s="12">
        <f>SUM(D181:J181)</f>
        <v/>
      </c>
    </row>
    <row r="182">
      <c r="A182" s="5" t="inlineStr">
        <is>
          <t>EM000190</t>
        </is>
      </c>
      <c r="B182" s="5" t="inlineStr">
        <is>
          <t>DOUGLAS NASCIMENTO</t>
        </is>
      </c>
      <c r="C182" s="5">
        <f>IFERROR(INDEX(DePara[Categoria],MATCH(TEXT(A182,"0"),DePara[Fornecedor_txt],0)),"(sem categoria)")</f>
        <v/>
      </c>
      <c r="D182" s="12">
        <f>SUMIFS(Base[Montante],Base[Fornecedor],$A182&amp;"",Base[Ano],D$4)</f>
        <v/>
      </c>
      <c r="E182" s="12">
        <f>SUMIFS(Base[Montante],Base[Fornecedor],$A182&amp;"",Base[Ano],E$4)</f>
        <v/>
      </c>
      <c r="F182" s="12">
        <f>SUMIFS(Base[Montante],Base[Fornecedor],$A182&amp;"",Base[Ano],F$4)</f>
        <v/>
      </c>
      <c r="G182" s="12">
        <f>SUMIFS(Base[Montante],Base[Fornecedor],$A182&amp;"",Base[Ano],G$4)</f>
        <v/>
      </c>
      <c r="H182" s="12">
        <f>SUMIFS(Base[Montante],Base[Fornecedor],$A182&amp;"",Base[Ano],H$4)</f>
        <v/>
      </c>
      <c r="I182" s="12">
        <f>SUMIFS(Base[Montante],Base[Fornecedor],$A182&amp;"",Base[Ano],I$4)</f>
        <v/>
      </c>
      <c r="J182" s="12">
        <f>SUMIFS(Base[Montante],Base[Fornecedor],$A182&amp;"",Base[Ano],J$4)</f>
        <v/>
      </c>
      <c r="K182" s="12">
        <f>SUM(D182:J182)</f>
        <v/>
      </c>
    </row>
    <row r="183">
      <c r="A183" s="5" t="n">
        <v>100845</v>
      </c>
      <c r="B183" s="5" t="inlineStr">
        <is>
          <t>DRIVEMEC MANUTENCAO INDUSTRIAL EIRE</t>
        </is>
      </c>
      <c r="C183" s="5">
        <f>IFERROR(INDEX(DePara[Categoria],MATCH(TEXT(A183,"0"),DePara[Fornecedor_txt],0)),"(sem categoria)")</f>
        <v/>
      </c>
      <c r="D183" s="12">
        <f>SUMIFS(Base[Montante],Base[Fornecedor],$A183&amp;"",Base[Ano],D$4)</f>
        <v/>
      </c>
      <c r="E183" s="12">
        <f>SUMIFS(Base[Montante],Base[Fornecedor],$A183&amp;"",Base[Ano],E$4)</f>
        <v/>
      </c>
      <c r="F183" s="12">
        <f>SUMIFS(Base[Montante],Base[Fornecedor],$A183&amp;"",Base[Ano],F$4)</f>
        <v/>
      </c>
      <c r="G183" s="12">
        <f>SUMIFS(Base[Montante],Base[Fornecedor],$A183&amp;"",Base[Ano],G$4)</f>
        <v/>
      </c>
      <c r="H183" s="12">
        <f>SUMIFS(Base[Montante],Base[Fornecedor],$A183&amp;"",Base[Ano],H$4)</f>
        <v/>
      </c>
      <c r="I183" s="12">
        <f>SUMIFS(Base[Montante],Base[Fornecedor],$A183&amp;"",Base[Ano],I$4)</f>
        <v/>
      </c>
      <c r="J183" s="12">
        <f>SUMIFS(Base[Montante],Base[Fornecedor],$A183&amp;"",Base[Ano],J$4)</f>
        <v/>
      </c>
      <c r="K183" s="12">
        <f>SUM(D183:J183)</f>
        <v/>
      </c>
    </row>
    <row r="184">
      <c r="A184" s="5" t="n">
        <v>102014</v>
      </c>
      <c r="B184" s="5" t="inlineStr">
        <is>
          <t>DSV AIR &amp; SEA LOGISTICA LTDA</t>
        </is>
      </c>
      <c r="C184" s="5">
        <f>IFERROR(INDEX(DePara[Categoria],MATCH(TEXT(A184,"0"),DePara[Fornecedor_txt],0)),"(sem categoria)")</f>
        <v/>
      </c>
      <c r="D184" s="12">
        <f>SUMIFS(Base[Montante],Base[Fornecedor],$A184&amp;"",Base[Ano],D$4)</f>
        <v/>
      </c>
      <c r="E184" s="12">
        <f>SUMIFS(Base[Montante],Base[Fornecedor],$A184&amp;"",Base[Ano],E$4)</f>
        <v/>
      </c>
      <c r="F184" s="12">
        <f>SUMIFS(Base[Montante],Base[Fornecedor],$A184&amp;"",Base[Ano],F$4)</f>
        <v/>
      </c>
      <c r="G184" s="12">
        <f>SUMIFS(Base[Montante],Base[Fornecedor],$A184&amp;"",Base[Ano],G$4)</f>
        <v/>
      </c>
      <c r="H184" s="12">
        <f>SUMIFS(Base[Montante],Base[Fornecedor],$A184&amp;"",Base[Ano],H$4)</f>
        <v/>
      </c>
      <c r="I184" s="12">
        <f>SUMIFS(Base[Montante],Base[Fornecedor],$A184&amp;"",Base[Ano],I$4)</f>
        <v/>
      </c>
      <c r="J184" s="12">
        <f>SUMIFS(Base[Montante],Base[Fornecedor],$A184&amp;"",Base[Ano],J$4)</f>
        <v/>
      </c>
      <c r="K184" s="12">
        <f>SUM(D184:J184)</f>
        <v/>
      </c>
    </row>
    <row r="185">
      <c r="A185" s="5" t="n">
        <v>102028</v>
      </c>
      <c r="B185" s="5" t="inlineStr">
        <is>
          <t>DSV AIR &amp; SEA LOGISTICA LTDA.</t>
        </is>
      </c>
      <c r="C185" s="5">
        <f>IFERROR(INDEX(DePara[Categoria],MATCH(TEXT(A185,"0"),DePara[Fornecedor_txt],0)),"(sem categoria)")</f>
        <v/>
      </c>
      <c r="D185" s="12">
        <f>SUMIFS(Base[Montante],Base[Fornecedor],$A185&amp;"",Base[Ano],D$4)</f>
        <v/>
      </c>
      <c r="E185" s="12">
        <f>SUMIFS(Base[Montante],Base[Fornecedor],$A185&amp;"",Base[Ano],E$4)</f>
        <v/>
      </c>
      <c r="F185" s="12">
        <f>SUMIFS(Base[Montante],Base[Fornecedor],$A185&amp;"",Base[Ano],F$4)</f>
        <v/>
      </c>
      <c r="G185" s="12">
        <f>SUMIFS(Base[Montante],Base[Fornecedor],$A185&amp;"",Base[Ano],G$4)</f>
        <v/>
      </c>
      <c r="H185" s="12">
        <f>SUMIFS(Base[Montante],Base[Fornecedor],$A185&amp;"",Base[Ano],H$4)</f>
        <v/>
      </c>
      <c r="I185" s="12">
        <f>SUMIFS(Base[Montante],Base[Fornecedor],$A185&amp;"",Base[Ano],I$4)</f>
        <v/>
      </c>
      <c r="J185" s="12">
        <f>SUMIFS(Base[Montante],Base[Fornecedor],$A185&amp;"",Base[Ano],J$4)</f>
        <v/>
      </c>
      <c r="K185" s="12">
        <f>SUM(D185:J185)</f>
        <v/>
      </c>
    </row>
    <row r="186">
      <c r="A186" s="5" t="n">
        <v>100910</v>
      </c>
      <c r="B186" s="5" t="inlineStr">
        <is>
          <t>DSV AIR E SEA BRASIL LTDA</t>
        </is>
      </c>
      <c r="C186" s="5">
        <f>IFERROR(INDEX(DePara[Categoria],MATCH(TEXT(A186,"0"),DePara[Fornecedor_txt],0)),"(sem categoria)")</f>
        <v/>
      </c>
      <c r="D186" s="12">
        <f>SUMIFS(Base[Montante],Base[Fornecedor],$A186&amp;"",Base[Ano],D$4)</f>
        <v/>
      </c>
      <c r="E186" s="12">
        <f>SUMIFS(Base[Montante],Base[Fornecedor],$A186&amp;"",Base[Ano],E$4)</f>
        <v/>
      </c>
      <c r="F186" s="12">
        <f>SUMIFS(Base[Montante],Base[Fornecedor],$A186&amp;"",Base[Ano],F$4)</f>
        <v/>
      </c>
      <c r="G186" s="12">
        <f>SUMIFS(Base[Montante],Base[Fornecedor],$A186&amp;"",Base[Ano],G$4)</f>
        <v/>
      </c>
      <c r="H186" s="12">
        <f>SUMIFS(Base[Montante],Base[Fornecedor],$A186&amp;"",Base[Ano],H$4)</f>
        <v/>
      </c>
      <c r="I186" s="12">
        <f>SUMIFS(Base[Montante],Base[Fornecedor],$A186&amp;"",Base[Ano],I$4)</f>
        <v/>
      </c>
      <c r="J186" s="12">
        <f>SUMIFS(Base[Montante],Base[Fornecedor],$A186&amp;"",Base[Ano],J$4)</f>
        <v/>
      </c>
      <c r="K186" s="12">
        <f>SUM(D186:J186)</f>
        <v/>
      </c>
    </row>
    <row r="187">
      <c r="A187" s="5" t="n">
        <v>100920</v>
      </c>
      <c r="B187" s="5" t="inlineStr">
        <is>
          <t>DSV SOLUTIONS BRASIL SERVICOS DE LO</t>
        </is>
      </c>
      <c r="C187" s="5">
        <f>IFERROR(INDEX(DePara[Categoria],MATCH(TEXT(A187,"0"),DePara[Fornecedor_txt],0)),"(sem categoria)")</f>
        <v/>
      </c>
      <c r="D187" s="12">
        <f>SUMIFS(Base[Montante],Base[Fornecedor],$A187&amp;"",Base[Ano],D$4)</f>
        <v/>
      </c>
      <c r="E187" s="12">
        <f>SUMIFS(Base[Montante],Base[Fornecedor],$A187&amp;"",Base[Ano],E$4)</f>
        <v/>
      </c>
      <c r="F187" s="12">
        <f>SUMIFS(Base[Montante],Base[Fornecedor],$A187&amp;"",Base[Ano],F$4)</f>
        <v/>
      </c>
      <c r="G187" s="12">
        <f>SUMIFS(Base[Montante],Base[Fornecedor],$A187&amp;"",Base[Ano],G$4)</f>
        <v/>
      </c>
      <c r="H187" s="12">
        <f>SUMIFS(Base[Montante],Base[Fornecedor],$A187&amp;"",Base[Ano],H$4)</f>
        <v/>
      </c>
      <c r="I187" s="12">
        <f>SUMIFS(Base[Montante],Base[Fornecedor],$A187&amp;"",Base[Ano],I$4)</f>
        <v/>
      </c>
      <c r="J187" s="12">
        <f>SUMIFS(Base[Montante],Base[Fornecedor],$A187&amp;"",Base[Ano],J$4)</f>
        <v/>
      </c>
      <c r="K187" s="12">
        <f>SUM(D187:J187)</f>
        <v/>
      </c>
    </row>
    <row r="188">
      <c r="A188" s="5" t="n">
        <v>101041</v>
      </c>
      <c r="B188" s="5" t="inlineStr">
        <is>
          <t>DSV UTI AIR &amp; SEA AGENCIAMENTO DE T</t>
        </is>
      </c>
      <c r="C188" s="5">
        <f>IFERROR(INDEX(DePara[Categoria],MATCH(TEXT(A188,"0"),DePara[Fornecedor_txt],0)),"(sem categoria)")</f>
        <v/>
      </c>
      <c r="D188" s="12">
        <f>SUMIFS(Base[Montante],Base[Fornecedor],$A188&amp;"",Base[Ano],D$4)</f>
        <v/>
      </c>
      <c r="E188" s="12">
        <f>SUMIFS(Base[Montante],Base[Fornecedor],$A188&amp;"",Base[Ano],E$4)</f>
        <v/>
      </c>
      <c r="F188" s="12">
        <f>SUMIFS(Base[Montante],Base[Fornecedor],$A188&amp;"",Base[Ano],F$4)</f>
        <v/>
      </c>
      <c r="G188" s="12">
        <f>SUMIFS(Base[Montante],Base[Fornecedor],$A188&amp;"",Base[Ano],G$4)</f>
        <v/>
      </c>
      <c r="H188" s="12">
        <f>SUMIFS(Base[Montante],Base[Fornecedor],$A188&amp;"",Base[Ano],H$4)</f>
        <v/>
      </c>
      <c r="I188" s="12">
        <f>SUMIFS(Base[Montante],Base[Fornecedor],$A188&amp;"",Base[Ano],I$4)</f>
        <v/>
      </c>
      <c r="J188" s="12">
        <f>SUMIFS(Base[Montante],Base[Fornecedor],$A188&amp;"",Base[Ano],J$4)</f>
        <v/>
      </c>
      <c r="K188" s="12">
        <f>SUM(D188:J188)</f>
        <v/>
      </c>
    </row>
    <row r="189">
      <c r="A189" s="5" t="n">
        <v>101260</v>
      </c>
      <c r="B189" s="5" t="inlineStr">
        <is>
          <t>ECOLOGICA NORDESTE EIRELI ME</t>
        </is>
      </c>
      <c r="C189" s="5">
        <f>IFERROR(INDEX(DePara[Categoria],MATCH(TEXT(A189,"0"),DePara[Fornecedor_txt],0)),"(sem categoria)")</f>
        <v/>
      </c>
      <c r="D189" s="12">
        <f>SUMIFS(Base[Montante],Base[Fornecedor],$A189&amp;"",Base[Ano],D$4)</f>
        <v/>
      </c>
      <c r="E189" s="12">
        <f>SUMIFS(Base[Montante],Base[Fornecedor],$A189&amp;"",Base[Ano],E$4)</f>
        <v/>
      </c>
      <c r="F189" s="12">
        <f>SUMIFS(Base[Montante],Base[Fornecedor],$A189&amp;"",Base[Ano],F$4)</f>
        <v/>
      </c>
      <c r="G189" s="12">
        <f>SUMIFS(Base[Montante],Base[Fornecedor],$A189&amp;"",Base[Ano],G$4)</f>
        <v/>
      </c>
      <c r="H189" s="12">
        <f>SUMIFS(Base[Montante],Base[Fornecedor],$A189&amp;"",Base[Ano],H$4)</f>
        <v/>
      </c>
      <c r="I189" s="12">
        <f>SUMIFS(Base[Montante],Base[Fornecedor],$A189&amp;"",Base[Ano],I$4)</f>
        <v/>
      </c>
      <c r="J189" s="12">
        <f>SUMIFS(Base[Montante],Base[Fornecedor],$A189&amp;"",Base[Ano],J$4)</f>
        <v/>
      </c>
      <c r="K189" s="12">
        <f>SUM(D189:J189)</f>
        <v/>
      </c>
    </row>
    <row r="190">
      <c r="A190" s="5" t="n">
        <v>101215</v>
      </c>
      <c r="B190" s="5" t="inlineStr">
        <is>
          <t>ECOPORTO SANTOS SA</t>
        </is>
      </c>
      <c r="C190" s="5">
        <f>IFERROR(INDEX(DePara[Categoria],MATCH(TEXT(A190,"0"),DePara[Fornecedor_txt],0)),"(sem categoria)")</f>
        <v/>
      </c>
      <c r="D190" s="12">
        <f>SUMIFS(Base[Montante],Base[Fornecedor],$A190&amp;"",Base[Ano],D$4)</f>
        <v/>
      </c>
      <c r="E190" s="12">
        <f>SUMIFS(Base[Montante],Base[Fornecedor],$A190&amp;"",Base[Ano],E$4)</f>
        <v/>
      </c>
      <c r="F190" s="12">
        <f>SUMIFS(Base[Montante],Base[Fornecedor],$A190&amp;"",Base[Ano],F$4)</f>
        <v/>
      </c>
      <c r="G190" s="12">
        <f>SUMIFS(Base[Montante],Base[Fornecedor],$A190&amp;"",Base[Ano],G$4)</f>
        <v/>
      </c>
      <c r="H190" s="12">
        <f>SUMIFS(Base[Montante],Base[Fornecedor],$A190&amp;"",Base[Ano],H$4)</f>
        <v/>
      </c>
      <c r="I190" s="12">
        <f>SUMIFS(Base[Montante],Base[Fornecedor],$A190&amp;"",Base[Ano],I$4)</f>
        <v/>
      </c>
      <c r="J190" s="12">
        <f>SUMIFS(Base[Montante],Base[Fornecedor],$A190&amp;"",Base[Ano],J$4)</f>
        <v/>
      </c>
      <c r="K190" s="12">
        <f>SUM(D190:J190)</f>
        <v/>
      </c>
    </row>
    <row r="191">
      <c r="A191" s="5" t="n">
        <v>106044</v>
      </c>
      <c r="B191" s="5" t="inlineStr">
        <is>
          <t>ECOVIS NORDESTE LTDA 52979841000196</t>
        </is>
      </c>
      <c r="C191" s="5">
        <f>IFERROR(INDEX(DePara[Categoria],MATCH(TEXT(A191,"0"),DePara[Fornecedor_txt],0)),"(sem categoria)")</f>
        <v/>
      </c>
      <c r="D191" s="12">
        <f>SUMIFS(Base[Montante],Base[Fornecedor],$A191&amp;"",Base[Ano],D$4)</f>
        <v/>
      </c>
      <c r="E191" s="12">
        <f>SUMIFS(Base[Montante],Base[Fornecedor],$A191&amp;"",Base[Ano],E$4)</f>
        <v/>
      </c>
      <c r="F191" s="12">
        <f>SUMIFS(Base[Montante],Base[Fornecedor],$A191&amp;"",Base[Ano],F$4)</f>
        <v/>
      </c>
      <c r="G191" s="12">
        <f>SUMIFS(Base[Montante],Base[Fornecedor],$A191&amp;"",Base[Ano],G$4)</f>
        <v/>
      </c>
      <c r="H191" s="12">
        <f>SUMIFS(Base[Montante],Base[Fornecedor],$A191&amp;"",Base[Ano],H$4)</f>
        <v/>
      </c>
      <c r="I191" s="12">
        <f>SUMIFS(Base[Montante],Base[Fornecedor],$A191&amp;"",Base[Ano],I$4)</f>
        <v/>
      </c>
      <c r="J191" s="12">
        <f>SUMIFS(Base[Montante],Base[Fornecedor],$A191&amp;"",Base[Ano],J$4)</f>
        <v/>
      </c>
      <c r="K191" s="12">
        <f>SUM(D191:J191)</f>
        <v/>
      </c>
    </row>
    <row r="192">
      <c r="A192" s="5" t="inlineStr">
        <is>
          <t>EM000012</t>
        </is>
      </c>
      <c r="B192" s="5" t="inlineStr">
        <is>
          <t>EDERSON GOMES XABIER BARBALHO</t>
        </is>
      </c>
      <c r="C192" s="5">
        <f>IFERROR(INDEX(DePara[Categoria],MATCH(TEXT(A192,"0"),DePara[Fornecedor_txt],0)),"(sem categoria)")</f>
        <v/>
      </c>
      <c r="D192" s="12">
        <f>SUMIFS(Base[Montante],Base[Fornecedor],$A192&amp;"",Base[Ano],D$4)</f>
        <v/>
      </c>
      <c r="E192" s="12">
        <f>SUMIFS(Base[Montante],Base[Fornecedor],$A192&amp;"",Base[Ano],E$4)</f>
        <v/>
      </c>
      <c r="F192" s="12">
        <f>SUMIFS(Base[Montante],Base[Fornecedor],$A192&amp;"",Base[Ano],F$4)</f>
        <v/>
      </c>
      <c r="G192" s="12">
        <f>SUMIFS(Base[Montante],Base[Fornecedor],$A192&amp;"",Base[Ano],G$4)</f>
        <v/>
      </c>
      <c r="H192" s="12">
        <f>SUMIFS(Base[Montante],Base[Fornecedor],$A192&amp;"",Base[Ano],H$4)</f>
        <v/>
      </c>
      <c r="I192" s="12">
        <f>SUMIFS(Base[Montante],Base[Fornecedor],$A192&amp;"",Base[Ano],I$4)</f>
        <v/>
      </c>
      <c r="J192" s="12">
        <f>SUMIFS(Base[Montante],Base[Fornecedor],$A192&amp;"",Base[Ano],J$4)</f>
        <v/>
      </c>
      <c r="K192" s="12">
        <f>SUM(D192:J192)</f>
        <v/>
      </c>
    </row>
    <row r="193">
      <c r="A193" s="5" t="inlineStr">
        <is>
          <t>EM000702</t>
        </is>
      </c>
      <c r="B193" s="5" t="inlineStr">
        <is>
          <t>EDGARD ALEXANDRE DE ANDRADE VARELA</t>
        </is>
      </c>
      <c r="C193" s="5">
        <f>IFERROR(INDEX(DePara[Categoria],MATCH(TEXT(A193,"0"),DePara[Fornecedor_txt],0)),"(sem categoria)")</f>
        <v/>
      </c>
      <c r="D193" s="12">
        <f>SUMIFS(Base[Montante],Base[Fornecedor],$A193&amp;"",Base[Ano],D$4)</f>
        <v/>
      </c>
      <c r="E193" s="12">
        <f>SUMIFS(Base[Montante],Base[Fornecedor],$A193&amp;"",Base[Ano],E$4)</f>
        <v/>
      </c>
      <c r="F193" s="12">
        <f>SUMIFS(Base[Montante],Base[Fornecedor],$A193&amp;"",Base[Ano],F$4)</f>
        <v/>
      </c>
      <c r="G193" s="12">
        <f>SUMIFS(Base[Montante],Base[Fornecedor],$A193&amp;"",Base[Ano],G$4)</f>
        <v/>
      </c>
      <c r="H193" s="12">
        <f>SUMIFS(Base[Montante],Base[Fornecedor],$A193&amp;"",Base[Ano],H$4)</f>
        <v/>
      </c>
      <c r="I193" s="12">
        <f>SUMIFS(Base[Montante],Base[Fornecedor],$A193&amp;"",Base[Ano],I$4)</f>
        <v/>
      </c>
      <c r="J193" s="12">
        <f>SUMIFS(Base[Montante],Base[Fornecedor],$A193&amp;"",Base[Ano],J$4)</f>
        <v/>
      </c>
      <c r="K193" s="12">
        <f>SUM(D193:J193)</f>
        <v/>
      </c>
    </row>
    <row r="194">
      <c r="A194" s="5" t="inlineStr">
        <is>
          <t>EM000141</t>
        </is>
      </c>
      <c r="B194" s="5" t="inlineStr">
        <is>
          <t>EDGLEISON TAMBORIL FIRMIANO</t>
        </is>
      </c>
      <c r="C194" s="5">
        <f>IFERROR(INDEX(DePara[Categoria],MATCH(TEXT(A194,"0"),DePara[Fornecedor_txt],0)),"(sem categoria)")</f>
        <v/>
      </c>
      <c r="D194" s="12">
        <f>SUMIFS(Base[Montante],Base[Fornecedor],$A194&amp;"",Base[Ano],D$4)</f>
        <v/>
      </c>
      <c r="E194" s="12">
        <f>SUMIFS(Base[Montante],Base[Fornecedor],$A194&amp;"",Base[Ano],E$4)</f>
        <v/>
      </c>
      <c r="F194" s="12">
        <f>SUMIFS(Base[Montante],Base[Fornecedor],$A194&amp;"",Base[Ano],F$4)</f>
        <v/>
      </c>
      <c r="G194" s="12">
        <f>SUMIFS(Base[Montante],Base[Fornecedor],$A194&amp;"",Base[Ano],G$4)</f>
        <v/>
      </c>
      <c r="H194" s="12">
        <f>SUMIFS(Base[Montante],Base[Fornecedor],$A194&amp;"",Base[Ano],H$4)</f>
        <v/>
      </c>
      <c r="I194" s="12">
        <f>SUMIFS(Base[Montante],Base[Fornecedor],$A194&amp;"",Base[Ano],I$4)</f>
        <v/>
      </c>
      <c r="J194" s="12">
        <f>SUMIFS(Base[Montante],Base[Fornecedor],$A194&amp;"",Base[Ano],J$4)</f>
        <v/>
      </c>
      <c r="K194" s="12">
        <f>SUM(D194:J194)</f>
        <v/>
      </c>
    </row>
    <row r="195">
      <c r="A195" s="5" t="n">
        <v>101228</v>
      </c>
      <c r="B195" s="5" t="inlineStr">
        <is>
          <t>EDIFICIO ATRIUM VI COM</t>
        </is>
      </c>
      <c r="C195" s="5">
        <f>IFERROR(INDEX(DePara[Categoria],MATCH(TEXT(A195,"0"),DePara[Fornecedor_txt],0)),"(sem categoria)")</f>
        <v/>
      </c>
      <c r="D195" s="12">
        <f>SUMIFS(Base[Montante],Base[Fornecedor],$A195&amp;"",Base[Ano],D$4)</f>
        <v/>
      </c>
      <c r="E195" s="12">
        <f>SUMIFS(Base[Montante],Base[Fornecedor],$A195&amp;"",Base[Ano],E$4)</f>
        <v/>
      </c>
      <c r="F195" s="12">
        <f>SUMIFS(Base[Montante],Base[Fornecedor],$A195&amp;"",Base[Ano],F$4)</f>
        <v/>
      </c>
      <c r="G195" s="12">
        <f>SUMIFS(Base[Montante],Base[Fornecedor],$A195&amp;"",Base[Ano],G$4)</f>
        <v/>
      </c>
      <c r="H195" s="12">
        <f>SUMIFS(Base[Montante],Base[Fornecedor],$A195&amp;"",Base[Ano],H$4)</f>
        <v/>
      </c>
      <c r="I195" s="12">
        <f>SUMIFS(Base[Montante],Base[Fornecedor],$A195&amp;"",Base[Ano],I$4)</f>
        <v/>
      </c>
      <c r="J195" s="12">
        <f>SUMIFS(Base[Montante],Base[Fornecedor],$A195&amp;"",Base[Ano],J$4)</f>
        <v/>
      </c>
      <c r="K195" s="12">
        <f>SUM(D195:J195)</f>
        <v/>
      </c>
    </row>
    <row r="196">
      <c r="A196" s="5" t="n">
        <v>103904</v>
      </c>
      <c r="B196" s="5" t="inlineStr">
        <is>
          <t>EDSON MELO</t>
        </is>
      </c>
      <c r="C196" s="5">
        <f>IFERROR(INDEX(DePara[Categoria],MATCH(TEXT(A196,"0"),DePara[Fornecedor_txt],0)),"(sem categoria)")</f>
        <v/>
      </c>
      <c r="D196" s="12">
        <f>SUMIFS(Base[Montante],Base[Fornecedor],$A196&amp;"",Base[Ano],D$4)</f>
        <v/>
      </c>
      <c r="E196" s="12">
        <f>SUMIFS(Base[Montante],Base[Fornecedor],$A196&amp;"",Base[Ano],E$4)</f>
        <v/>
      </c>
      <c r="F196" s="12">
        <f>SUMIFS(Base[Montante],Base[Fornecedor],$A196&amp;"",Base[Ano],F$4)</f>
        <v/>
      </c>
      <c r="G196" s="12">
        <f>SUMIFS(Base[Montante],Base[Fornecedor],$A196&amp;"",Base[Ano],G$4)</f>
        <v/>
      </c>
      <c r="H196" s="12">
        <f>SUMIFS(Base[Montante],Base[Fornecedor],$A196&amp;"",Base[Ano],H$4)</f>
        <v/>
      </c>
      <c r="I196" s="12">
        <f>SUMIFS(Base[Montante],Base[Fornecedor],$A196&amp;"",Base[Ano],I$4)</f>
        <v/>
      </c>
      <c r="J196" s="12">
        <f>SUMIFS(Base[Montante],Base[Fornecedor],$A196&amp;"",Base[Ano],J$4)</f>
        <v/>
      </c>
      <c r="K196" s="12">
        <f>SUM(D196:J196)</f>
        <v/>
      </c>
    </row>
    <row r="197">
      <c r="A197" s="5" t="inlineStr">
        <is>
          <t>EM000398</t>
        </is>
      </c>
      <c r="B197" s="5" t="inlineStr">
        <is>
          <t>EDUARDO SCHAPLIN ROCHA</t>
        </is>
      </c>
      <c r="C197" s="5">
        <f>IFERROR(INDEX(DePara[Categoria],MATCH(TEXT(A197,"0"),DePara[Fornecedor_txt],0)),"(sem categoria)")</f>
        <v/>
      </c>
      <c r="D197" s="12">
        <f>SUMIFS(Base[Montante],Base[Fornecedor],$A197&amp;"",Base[Ano],D$4)</f>
        <v/>
      </c>
      <c r="E197" s="12">
        <f>SUMIFS(Base[Montante],Base[Fornecedor],$A197&amp;"",Base[Ano],E$4)</f>
        <v/>
      </c>
      <c r="F197" s="12">
        <f>SUMIFS(Base[Montante],Base[Fornecedor],$A197&amp;"",Base[Ano],F$4)</f>
        <v/>
      </c>
      <c r="G197" s="12">
        <f>SUMIFS(Base[Montante],Base[Fornecedor],$A197&amp;"",Base[Ano],G$4)</f>
        <v/>
      </c>
      <c r="H197" s="12">
        <f>SUMIFS(Base[Montante],Base[Fornecedor],$A197&amp;"",Base[Ano],H$4)</f>
        <v/>
      </c>
      <c r="I197" s="12">
        <f>SUMIFS(Base[Montante],Base[Fornecedor],$A197&amp;"",Base[Ano],I$4)</f>
        <v/>
      </c>
      <c r="J197" s="12">
        <f>SUMIFS(Base[Montante],Base[Fornecedor],$A197&amp;"",Base[Ano],J$4)</f>
        <v/>
      </c>
      <c r="K197" s="12">
        <f>SUM(D197:J197)</f>
        <v/>
      </c>
    </row>
    <row r="198">
      <c r="A198" s="5" t="inlineStr">
        <is>
          <t>EM000903</t>
        </is>
      </c>
      <c r="B198" s="5" t="inlineStr">
        <is>
          <t>ELANIO MAXIMINIANO OLIVEIRA DA SILVA</t>
        </is>
      </c>
      <c r="C198" s="5">
        <f>IFERROR(INDEX(DePara[Categoria],MATCH(TEXT(A198,"0"),DePara[Fornecedor_txt],0)),"(sem categoria)")</f>
        <v/>
      </c>
      <c r="D198" s="12">
        <f>SUMIFS(Base[Montante],Base[Fornecedor],$A198&amp;"",Base[Ano],D$4)</f>
        <v/>
      </c>
      <c r="E198" s="12">
        <f>SUMIFS(Base[Montante],Base[Fornecedor],$A198&amp;"",Base[Ano],E$4)</f>
        <v/>
      </c>
      <c r="F198" s="12">
        <f>SUMIFS(Base[Montante],Base[Fornecedor],$A198&amp;"",Base[Ano],F$4)</f>
        <v/>
      </c>
      <c r="G198" s="12">
        <f>SUMIFS(Base[Montante],Base[Fornecedor],$A198&amp;"",Base[Ano],G$4)</f>
        <v/>
      </c>
      <c r="H198" s="12">
        <f>SUMIFS(Base[Montante],Base[Fornecedor],$A198&amp;"",Base[Ano],H$4)</f>
        <v/>
      </c>
      <c r="I198" s="12">
        <f>SUMIFS(Base[Montante],Base[Fornecedor],$A198&amp;"",Base[Ano],I$4)</f>
        <v/>
      </c>
      <c r="J198" s="12">
        <f>SUMIFS(Base[Montante],Base[Fornecedor],$A198&amp;"",Base[Ano],J$4)</f>
        <v/>
      </c>
      <c r="K198" s="12">
        <f>SUM(D198:J198)</f>
        <v/>
      </c>
    </row>
    <row r="199">
      <c r="A199" s="5" t="n">
        <v>101913</v>
      </c>
      <c r="B199" s="5" t="inlineStr">
        <is>
          <t>ELETRO TECNICA INTERLAGOS IND E COM</t>
        </is>
      </c>
      <c r="C199" s="5">
        <f>IFERROR(INDEX(DePara[Categoria],MATCH(TEXT(A199,"0"),DePara[Fornecedor_txt],0)),"(sem categoria)")</f>
        <v/>
      </c>
      <c r="D199" s="12">
        <f>SUMIFS(Base[Montante],Base[Fornecedor],$A199&amp;"",Base[Ano],D$4)</f>
        <v/>
      </c>
      <c r="E199" s="12">
        <f>SUMIFS(Base[Montante],Base[Fornecedor],$A199&amp;"",Base[Ano],E$4)</f>
        <v/>
      </c>
      <c r="F199" s="12">
        <f>SUMIFS(Base[Montante],Base[Fornecedor],$A199&amp;"",Base[Ano],F$4)</f>
        <v/>
      </c>
      <c r="G199" s="12">
        <f>SUMIFS(Base[Montante],Base[Fornecedor],$A199&amp;"",Base[Ano],G$4)</f>
        <v/>
      </c>
      <c r="H199" s="12">
        <f>SUMIFS(Base[Montante],Base[Fornecedor],$A199&amp;"",Base[Ano],H$4)</f>
        <v/>
      </c>
      <c r="I199" s="12">
        <f>SUMIFS(Base[Montante],Base[Fornecedor],$A199&amp;"",Base[Ano],I$4)</f>
        <v/>
      </c>
      <c r="J199" s="12">
        <f>SUMIFS(Base[Montante],Base[Fornecedor],$A199&amp;"",Base[Ano],J$4)</f>
        <v/>
      </c>
      <c r="K199" s="12">
        <f>SUM(D199:J199)</f>
        <v/>
      </c>
    </row>
    <row r="200">
      <c r="A200" s="5" t="n">
        <v>102117</v>
      </c>
      <c r="B200" s="5" t="inlineStr">
        <is>
          <t>ELETROPAULO METRO ELETRICIDADE DE S</t>
        </is>
      </c>
      <c r="C200" s="5">
        <f>IFERROR(INDEX(DePara[Categoria],MATCH(TEXT(A200,"0"),DePara[Fornecedor_txt],0)),"(sem categoria)")</f>
        <v/>
      </c>
      <c r="D200" s="12">
        <f>SUMIFS(Base[Montante],Base[Fornecedor],$A200&amp;"",Base[Ano],D$4)</f>
        <v/>
      </c>
      <c r="E200" s="12">
        <f>SUMIFS(Base[Montante],Base[Fornecedor],$A200&amp;"",Base[Ano],E$4)</f>
        <v/>
      </c>
      <c r="F200" s="12">
        <f>SUMIFS(Base[Montante],Base[Fornecedor],$A200&amp;"",Base[Ano],F$4)</f>
        <v/>
      </c>
      <c r="G200" s="12">
        <f>SUMIFS(Base[Montante],Base[Fornecedor],$A200&amp;"",Base[Ano],G$4)</f>
        <v/>
      </c>
      <c r="H200" s="12">
        <f>SUMIFS(Base[Montante],Base[Fornecedor],$A200&amp;"",Base[Ano],H$4)</f>
        <v/>
      </c>
      <c r="I200" s="12">
        <f>SUMIFS(Base[Montante],Base[Fornecedor],$A200&amp;"",Base[Ano],I$4)</f>
        <v/>
      </c>
      <c r="J200" s="12">
        <f>SUMIFS(Base[Montante],Base[Fornecedor],$A200&amp;"",Base[Ano],J$4)</f>
        <v/>
      </c>
      <c r="K200" s="12">
        <f>SUM(D200:J200)</f>
        <v/>
      </c>
    </row>
    <row r="201">
      <c r="A201" s="5" t="inlineStr">
        <is>
          <t>EM000755</t>
        </is>
      </c>
      <c r="B201" s="5" t="inlineStr">
        <is>
          <t>Elvio Salvador Junior</t>
        </is>
      </c>
      <c r="C201" s="5">
        <f>IFERROR(INDEX(DePara[Categoria],MATCH(TEXT(A201,"0"),DePara[Fornecedor_txt],0)),"(sem categoria)")</f>
        <v/>
      </c>
      <c r="D201" s="12">
        <f>SUMIFS(Base[Montante],Base[Fornecedor],$A201&amp;"",Base[Ano],D$4)</f>
        <v/>
      </c>
      <c r="E201" s="12">
        <f>SUMIFS(Base[Montante],Base[Fornecedor],$A201&amp;"",Base[Ano],E$4)</f>
        <v/>
      </c>
      <c r="F201" s="12">
        <f>SUMIFS(Base[Montante],Base[Fornecedor],$A201&amp;"",Base[Ano],F$4)</f>
        <v/>
      </c>
      <c r="G201" s="12">
        <f>SUMIFS(Base[Montante],Base[Fornecedor],$A201&amp;"",Base[Ano],G$4)</f>
        <v/>
      </c>
      <c r="H201" s="12">
        <f>SUMIFS(Base[Montante],Base[Fornecedor],$A201&amp;"",Base[Ano],H$4)</f>
        <v/>
      </c>
      <c r="I201" s="12">
        <f>SUMIFS(Base[Montante],Base[Fornecedor],$A201&amp;"",Base[Ano],I$4)</f>
        <v/>
      </c>
      <c r="J201" s="12">
        <f>SUMIFS(Base[Montante],Base[Fornecedor],$A201&amp;"",Base[Ano],J$4)</f>
        <v/>
      </c>
      <c r="K201" s="12">
        <f>SUM(D201:J201)</f>
        <v/>
      </c>
    </row>
    <row r="202">
      <c r="A202" s="5" t="n">
        <v>100036</v>
      </c>
      <c r="B202" s="5" t="inlineStr">
        <is>
          <t>EMBRAPORT EMPRESA BRASILEIRA DE TER</t>
        </is>
      </c>
      <c r="C202" s="5">
        <f>IFERROR(INDEX(DePara[Categoria],MATCH(TEXT(A202,"0"),DePara[Fornecedor_txt],0)),"(sem categoria)")</f>
        <v/>
      </c>
      <c r="D202" s="12">
        <f>SUMIFS(Base[Montante],Base[Fornecedor],$A202&amp;"",Base[Ano],D$4)</f>
        <v/>
      </c>
      <c r="E202" s="12">
        <f>SUMIFS(Base[Montante],Base[Fornecedor],$A202&amp;"",Base[Ano],E$4)</f>
        <v/>
      </c>
      <c r="F202" s="12">
        <f>SUMIFS(Base[Montante],Base[Fornecedor],$A202&amp;"",Base[Ano],F$4)</f>
        <v/>
      </c>
      <c r="G202" s="12">
        <f>SUMIFS(Base[Montante],Base[Fornecedor],$A202&amp;"",Base[Ano],G$4)</f>
        <v/>
      </c>
      <c r="H202" s="12">
        <f>SUMIFS(Base[Montante],Base[Fornecedor],$A202&amp;"",Base[Ano],H$4)</f>
        <v/>
      </c>
      <c r="I202" s="12">
        <f>SUMIFS(Base[Montante],Base[Fornecedor],$A202&amp;"",Base[Ano],I$4)</f>
        <v/>
      </c>
      <c r="J202" s="12">
        <f>SUMIFS(Base[Montante],Base[Fornecedor],$A202&amp;"",Base[Ano],J$4)</f>
        <v/>
      </c>
      <c r="K202" s="12">
        <f>SUM(D202:J202)</f>
        <v/>
      </c>
    </row>
    <row r="203">
      <c r="A203" s="5" t="n">
        <v>101462</v>
      </c>
      <c r="B203" s="5" t="inlineStr">
        <is>
          <t>EMERSON MEDEIROS DE MELO</t>
        </is>
      </c>
      <c r="C203" s="5">
        <f>IFERROR(INDEX(DePara[Categoria],MATCH(TEXT(A203,"0"),DePara[Fornecedor_txt],0)),"(sem categoria)")</f>
        <v/>
      </c>
      <c r="D203" s="12">
        <f>SUMIFS(Base[Montante],Base[Fornecedor],$A203&amp;"",Base[Ano],D$4)</f>
        <v/>
      </c>
      <c r="E203" s="12">
        <f>SUMIFS(Base[Montante],Base[Fornecedor],$A203&amp;"",Base[Ano],E$4)</f>
        <v/>
      </c>
      <c r="F203" s="12">
        <f>SUMIFS(Base[Montante],Base[Fornecedor],$A203&amp;"",Base[Ano],F$4)</f>
        <v/>
      </c>
      <c r="G203" s="12">
        <f>SUMIFS(Base[Montante],Base[Fornecedor],$A203&amp;"",Base[Ano],G$4)</f>
        <v/>
      </c>
      <c r="H203" s="12">
        <f>SUMIFS(Base[Montante],Base[Fornecedor],$A203&amp;"",Base[Ano],H$4)</f>
        <v/>
      </c>
      <c r="I203" s="12">
        <f>SUMIFS(Base[Montante],Base[Fornecedor],$A203&amp;"",Base[Ano],I$4)</f>
        <v/>
      </c>
      <c r="J203" s="12">
        <f>SUMIFS(Base[Montante],Base[Fornecedor],$A203&amp;"",Base[Ano],J$4)</f>
        <v/>
      </c>
      <c r="K203" s="12">
        <f>SUM(D203:J203)</f>
        <v/>
      </c>
    </row>
    <row r="204">
      <c r="A204" s="5" t="inlineStr">
        <is>
          <t>EM000724</t>
        </is>
      </c>
      <c r="B204" s="5" t="inlineStr">
        <is>
          <t>EMMANOEL LELIS EZIAS DOS SANTOS</t>
        </is>
      </c>
      <c r="C204" s="5">
        <f>IFERROR(INDEX(DePara[Categoria],MATCH(TEXT(A204,"0"),DePara[Fornecedor_txt],0)),"(sem categoria)")</f>
        <v/>
      </c>
      <c r="D204" s="12">
        <f>SUMIFS(Base[Montante],Base[Fornecedor],$A204&amp;"",Base[Ano],D$4)</f>
        <v/>
      </c>
      <c r="E204" s="12">
        <f>SUMIFS(Base[Montante],Base[Fornecedor],$A204&amp;"",Base[Ano],E$4)</f>
        <v/>
      </c>
      <c r="F204" s="12">
        <f>SUMIFS(Base[Montante],Base[Fornecedor],$A204&amp;"",Base[Ano],F$4)</f>
        <v/>
      </c>
      <c r="G204" s="12">
        <f>SUMIFS(Base[Montante],Base[Fornecedor],$A204&amp;"",Base[Ano],G$4)</f>
        <v/>
      </c>
      <c r="H204" s="12">
        <f>SUMIFS(Base[Montante],Base[Fornecedor],$A204&amp;"",Base[Ano],H$4)</f>
        <v/>
      </c>
      <c r="I204" s="12">
        <f>SUMIFS(Base[Montante],Base[Fornecedor],$A204&amp;"",Base[Ano],I$4)</f>
        <v/>
      </c>
      <c r="J204" s="12">
        <f>SUMIFS(Base[Montante],Base[Fornecedor],$A204&amp;"",Base[Ano],J$4)</f>
        <v/>
      </c>
      <c r="K204" s="12">
        <f>SUM(D204:J204)</f>
        <v/>
      </c>
    </row>
    <row r="205">
      <c r="A205" s="5" t="n">
        <v>102118</v>
      </c>
      <c r="B205" s="5" t="inlineStr">
        <is>
          <t>EMP BRASILEIRA DE CORREIOS E TELEGR</t>
        </is>
      </c>
      <c r="C205" s="5">
        <f>IFERROR(INDEX(DePara[Categoria],MATCH(TEXT(A205,"0"),DePara[Fornecedor_txt],0)),"(sem categoria)")</f>
        <v/>
      </c>
      <c r="D205" s="12">
        <f>SUMIFS(Base[Montante],Base[Fornecedor],$A205&amp;"",Base[Ano],D$4)</f>
        <v/>
      </c>
      <c r="E205" s="12">
        <f>SUMIFS(Base[Montante],Base[Fornecedor],$A205&amp;"",Base[Ano],E$4)</f>
        <v/>
      </c>
      <c r="F205" s="12">
        <f>SUMIFS(Base[Montante],Base[Fornecedor],$A205&amp;"",Base[Ano],F$4)</f>
        <v/>
      </c>
      <c r="G205" s="12">
        <f>SUMIFS(Base[Montante],Base[Fornecedor],$A205&amp;"",Base[Ano],G$4)</f>
        <v/>
      </c>
      <c r="H205" s="12">
        <f>SUMIFS(Base[Montante],Base[Fornecedor],$A205&amp;"",Base[Ano],H$4)</f>
        <v/>
      </c>
      <c r="I205" s="12">
        <f>SUMIFS(Base[Montante],Base[Fornecedor],$A205&amp;"",Base[Ano],I$4)</f>
        <v/>
      </c>
      <c r="J205" s="12">
        <f>SUMIFS(Base[Montante],Base[Fornecedor],$A205&amp;"",Base[Ano],J$4)</f>
        <v/>
      </c>
      <c r="K205" s="12">
        <f>SUM(D205:J205)</f>
        <v/>
      </c>
    </row>
    <row r="206">
      <c r="A206" s="5" t="n">
        <v>101896</v>
      </c>
      <c r="B206" s="5" t="inlineStr">
        <is>
          <t>EMTERC SERVICOS E CONSTRUCOES LTDA</t>
        </is>
      </c>
      <c r="C206" s="5">
        <f>IFERROR(INDEX(DePara[Categoria],MATCH(TEXT(A206,"0"),DePara[Fornecedor_txt],0)),"(sem categoria)")</f>
        <v/>
      </c>
      <c r="D206" s="12">
        <f>SUMIFS(Base[Montante],Base[Fornecedor],$A206&amp;"",Base[Ano],D$4)</f>
        <v/>
      </c>
      <c r="E206" s="12">
        <f>SUMIFS(Base[Montante],Base[Fornecedor],$A206&amp;"",Base[Ano],E$4)</f>
        <v/>
      </c>
      <c r="F206" s="12">
        <f>SUMIFS(Base[Montante],Base[Fornecedor],$A206&amp;"",Base[Ano],F$4)</f>
        <v/>
      </c>
      <c r="G206" s="12">
        <f>SUMIFS(Base[Montante],Base[Fornecedor],$A206&amp;"",Base[Ano],G$4)</f>
        <v/>
      </c>
      <c r="H206" s="12">
        <f>SUMIFS(Base[Montante],Base[Fornecedor],$A206&amp;"",Base[Ano],H$4)</f>
        <v/>
      </c>
      <c r="I206" s="12">
        <f>SUMIFS(Base[Montante],Base[Fornecedor],$A206&amp;"",Base[Ano],I$4)</f>
        <v/>
      </c>
      <c r="J206" s="12">
        <f>SUMIFS(Base[Montante],Base[Fornecedor],$A206&amp;"",Base[Ano],J$4)</f>
        <v/>
      </c>
      <c r="K206" s="12">
        <f>SUM(D206:J206)</f>
        <v/>
      </c>
    </row>
    <row r="207">
      <c r="A207" s="5" t="n">
        <v>102297</v>
      </c>
      <c r="B207" s="5" t="inlineStr">
        <is>
          <t>ENEDINO DANIEL DA SILVA</t>
        </is>
      </c>
      <c r="C207" s="5">
        <f>IFERROR(INDEX(DePara[Categoria],MATCH(TEXT(A207,"0"),DePara[Fornecedor_txt],0)),"(sem categoria)")</f>
        <v/>
      </c>
      <c r="D207" s="12">
        <f>SUMIFS(Base[Montante],Base[Fornecedor],$A207&amp;"",Base[Ano],D$4)</f>
        <v/>
      </c>
      <c r="E207" s="12">
        <f>SUMIFS(Base[Montante],Base[Fornecedor],$A207&amp;"",Base[Ano],E$4)</f>
        <v/>
      </c>
      <c r="F207" s="12">
        <f>SUMIFS(Base[Montante],Base[Fornecedor],$A207&amp;"",Base[Ano],F$4)</f>
        <v/>
      </c>
      <c r="G207" s="12">
        <f>SUMIFS(Base[Montante],Base[Fornecedor],$A207&amp;"",Base[Ano],G$4)</f>
        <v/>
      </c>
      <c r="H207" s="12">
        <f>SUMIFS(Base[Montante],Base[Fornecedor],$A207&amp;"",Base[Ano],H$4)</f>
        <v/>
      </c>
      <c r="I207" s="12">
        <f>SUMIFS(Base[Montante],Base[Fornecedor],$A207&amp;"",Base[Ano],I$4)</f>
        <v/>
      </c>
      <c r="J207" s="12">
        <f>SUMIFS(Base[Montante],Base[Fornecedor],$A207&amp;"",Base[Ano],J$4)</f>
        <v/>
      </c>
      <c r="K207" s="12">
        <f>SUM(D207:J207)</f>
        <v/>
      </c>
    </row>
    <row r="208">
      <c r="A208" s="5" t="n">
        <v>102209</v>
      </c>
      <c r="B208" s="5" t="inlineStr">
        <is>
          <t>ENEL GREEN POWER V DE SANTA ANGELA 29711059000250</t>
        </is>
      </c>
      <c r="C208" s="5">
        <f>IFERROR(INDEX(DePara[Categoria],MATCH(TEXT(A208,"0"),DePara[Fornecedor_txt],0)),"(sem categoria)")</f>
        <v/>
      </c>
      <c r="D208" s="12">
        <f>SUMIFS(Base[Montante],Base[Fornecedor],$A208&amp;"",Base[Ano],D$4)</f>
        <v/>
      </c>
      <c r="E208" s="12">
        <f>SUMIFS(Base[Montante],Base[Fornecedor],$A208&amp;"",Base[Ano],E$4)</f>
        <v/>
      </c>
      <c r="F208" s="12">
        <f>SUMIFS(Base[Montante],Base[Fornecedor],$A208&amp;"",Base[Ano],F$4)</f>
        <v/>
      </c>
      <c r="G208" s="12">
        <f>SUMIFS(Base[Montante],Base[Fornecedor],$A208&amp;"",Base[Ano],G$4)</f>
        <v/>
      </c>
      <c r="H208" s="12">
        <f>SUMIFS(Base[Montante],Base[Fornecedor],$A208&amp;"",Base[Ano],H$4)</f>
        <v/>
      </c>
      <c r="I208" s="12">
        <f>SUMIFS(Base[Montante],Base[Fornecedor],$A208&amp;"",Base[Ano],I$4)</f>
        <v/>
      </c>
      <c r="J208" s="12">
        <f>SUMIFS(Base[Montante],Base[Fornecedor],$A208&amp;"",Base[Ano],J$4)</f>
        <v/>
      </c>
      <c r="K208" s="12">
        <f>SUM(D208:J208)</f>
        <v/>
      </c>
    </row>
    <row r="209">
      <c r="A209" s="5" t="n">
        <v>105589</v>
      </c>
      <c r="B209" s="5" t="inlineStr">
        <is>
          <t>ENEL GREEN POWER VENTOS DE SAO ROQU 36051515000249</t>
        </is>
      </c>
      <c r="C209" s="5">
        <f>IFERROR(INDEX(DePara[Categoria],MATCH(TEXT(A209,"0"),DePara[Fornecedor_txt],0)),"(sem categoria)")</f>
        <v/>
      </c>
      <c r="D209" s="12">
        <f>SUMIFS(Base[Montante],Base[Fornecedor],$A209&amp;"",Base[Ano],D$4)</f>
        <v/>
      </c>
      <c r="E209" s="12">
        <f>SUMIFS(Base[Montante],Base[Fornecedor],$A209&amp;"",Base[Ano],E$4)</f>
        <v/>
      </c>
      <c r="F209" s="12">
        <f>SUMIFS(Base[Montante],Base[Fornecedor],$A209&amp;"",Base[Ano],F$4)</f>
        <v/>
      </c>
      <c r="G209" s="12">
        <f>SUMIFS(Base[Montante],Base[Fornecedor],$A209&amp;"",Base[Ano],G$4)</f>
        <v/>
      </c>
      <c r="H209" s="12">
        <f>SUMIFS(Base[Montante],Base[Fornecedor],$A209&amp;"",Base[Ano],H$4)</f>
        <v/>
      </c>
      <c r="I209" s="12">
        <f>SUMIFS(Base[Montante],Base[Fornecedor],$A209&amp;"",Base[Ano],I$4)</f>
        <v/>
      </c>
      <c r="J209" s="12">
        <f>SUMIFS(Base[Montante],Base[Fornecedor],$A209&amp;"",Base[Ano],J$4)</f>
        <v/>
      </c>
      <c r="K209" s="12">
        <f>SUM(D209:J209)</f>
        <v/>
      </c>
    </row>
    <row r="210">
      <c r="A210" s="5" t="n">
        <v>100192</v>
      </c>
      <c r="B210" s="5" t="inlineStr">
        <is>
          <t>EPHARMA PBM DO BRASIL SA</t>
        </is>
      </c>
      <c r="C210" s="5">
        <f>IFERROR(INDEX(DePara[Categoria],MATCH(TEXT(A210,"0"),DePara[Fornecedor_txt],0)),"(sem categoria)")</f>
        <v/>
      </c>
      <c r="D210" s="12">
        <f>SUMIFS(Base[Montante],Base[Fornecedor],$A210&amp;"",Base[Ano],D$4)</f>
        <v/>
      </c>
      <c r="E210" s="12">
        <f>SUMIFS(Base[Montante],Base[Fornecedor],$A210&amp;"",Base[Ano],E$4)</f>
        <v/>
      </c>
      <c r="F210" s="12">
        <f>SUMIFS(Base[Montante],Base[Fornecedor],$A210&amp;"",Base[Ano],F$4)</f>
        <v/>
      </c>
      <c r="G210" s="12">
        <f>SUMIFS(Base[Montante],Base[Fornecedor],$A210&amp;"",Base[Ano],G$4)</f>
        <v/>
      </c>
      <c r="H210" s="12">
        <f>SUMIFS(Base[Montante],Base[Fornecedor],$A210&amp;"",Base[Ano],H$4)</f>
        <v/>
      </c>
      <c r="I210" s="12">
        <f>SUMIFS(Base[Montante],Base[Fornecedor],$A210&amp;"",Base[Ano],I$4)</f>
        <v/>
      </c>
      <c r="J210" s="12">
        <f>SUMIFS(Base[Montante],Base[Fornecedor],$A210&amp;"",Base[Ano],J$4)</f>
        <v/>
      </c>
      <c r="K210" s="12">
        <f>SUM(D210:J210)</f>
        <v/>
      </c>
    </row>
    <row r="211">
      <c r="A211" s="5" t="n">
        <v>100876</v>
      </c>
      <c r="B211" s="5" t="inlineStr">
        <is>
          <t>EQUIPO INFO SERVICOS DE TECNOLOGIA</t>
        </is>
      </c>
      <c r="C211" s="5">
        <f>IFERROR(INDEX(DePara[Categoria],MATCH(TEXT(A211,"0"),DePara[Fornecedor_txt],0)),"(sem categoria)")</f>
        <v/>
      </c>
      <c r="D211" s="12">
        <f>SUMIFS(Base[Montante],Base[Fornecedor],$A211&amp;"",Base[Ano],D$4)</f>
        <v/>
      </c>
      <c r="E211" s="12">
        <f>SUMIFS(Base[Montante],Base[Fornecedor],$A211&amp;"",Base[Ano],E$4)</f>
        <v/>
      </c>
      <c r="F211" s="12">
        <f>SUMIFS(Base[Montante],Base[Fornecedor],$A211&amp;"",Base[Ano],F$4)</f>
        <v/>
      </c>
      <c r="G211" s="12">
        <f>SUMIFS(Base[Montante],Base[Fornecedor],$A211&amp;"",Base[Ano],G$4)</f>
        <v/>
      </c>
      <c r="H211" s="12">
        <f>SUMIFS(Base[Montante],Base[Fornecedor],$A211&amp;"",Base[Ano],H$4)</f>
        <v/>
      </c>
      <c r="I211" s="12">
        <f>SUMIFS(Base[Montante],Base[Fornecedor],$A211&amp;"",Base[Ano],I$4)</f>
        <v/>
      </c>
      <c r="J211" s="12">
        <f>SUMIFS(Base[Montante],Base[Fornecedor],$A211&amp;"",Base[Ano],J$4)</f>
        <v/>
      </c>
      <c r="K211" s="12">
        <f>SUM(D211:J211)</f>
        <v/>
      </c>
    </row>
    <row r="212">
      <c r="A212" s="5" t="inlineStr">
        <is>
          <t>EM000608</t>
        </is>
      </c>
      <c r="B212" s="5" t="inlineStr">
        <is>
          <t>ERLAN MARQUES DO NASCIMENTO SOUZA</t>
        </is>
      </c>
      <c r="C212" s="5">
        <f>IFERROR(INDEX(DePara[Categoria],MATCH(TEXT(A212,"0"),DePara[Fornecedor_txt],0)),"(sem categoria)")</f>
        <v/>
      </c>
      <c r="D212" s="12">
        <f>SUMIFS(Base[Montante],Base[Fornecedor],$A212&amp;"",Base[Ano],D$4)</f>
        <v/>
      </c>
      <c r="E212" s="12">
        <f>SUMIFS(Base[Montante],Base[Fornecedor],$A212&amp;"",Base[Ano],E$4)</f>
        <v/>
      </c>
      <c r="F212" s="12">
        <f>SUMIFS(Base[Montante],Base[Fornecedor],$A212&amp;"",Base[Ano],F$4)</f>
        <v/>
      </c>
      <c r="G212" s="12">
        <f>SUMIFS(Base[Montante],Base[Fornecedor],$A212&amp;"",Base[Ano],G$4)</f>
        <v/>
      </c>
      <c r="H212" s="12">
        <f>SUMIFS(Base[Montante],Base[Fornecedor],$A212&amp;"",Base[Ano],H$4)</f>
        <v/>
      </c>
      <c r="I212" s="12">
        <f>SUMIFS(Base[Montante],Base[Fornecedor],$A212&amp;"",Base[Ano],I$4)</f>
        <v/>
      </c>
      <c r="J212" s="12">
        <f>SUMIFS(Base[Montante],Base[Fornecedor],$A212&amp;"",Base[Ano],J$4)</f>
        <v/>
      </c>
      <c r="K212" s="12">
        <f>SUM(D212:J212)</f>
        <v/>
      </c>
    </row>
    <row r="213">
      <c r="A213" s="5" t="n">
        <v>101237</v>
      </c>
      <c r="B213" s="5" t="inlineStr">
        <is>
          <t>EURO AMERICA ASSESSORIA DESPACHOS</t>
        </is>
      </c>
      <c r="C213" s="5">
        <f>IFERROR(INDEX(DePara[Categoria],MATCH(TEXT(A213,"0"),DePara[Fornecedor_txt],0)),"(sem categoria)")</f>
        <v/>
      </c>
      <c r="D213" s="12">
        <f>SUMIFS(Base[Montante],Base[Fornecedor],$A213&amp;"",Base[Ano],D$4)</f>
        <v/>
      </c>
      <c r="E213" s="12">
        <f>SUMIFS(Base[Montante],Base[Fornecedor],$A213&amp;"",Base[Ano],E$4)</f>
        <v/>
      </c>
      <c r="F213" s="12">
        <f>SUMIFS(Base[Montante],Base[Fornecedor],$A213&amp;"",Base[Ano],F$4)</f>
        <v/>
      </c>
      <c r="G213" s="12">
        <f>SUMIFS(Base[Montante],Base[Fornecedor],$A213&amp;"",Base[Ano],G$4)</f>
        <v/>
      </c>
      <c r="H213" s="12">
        <f>SUMIFS(Base[Montante],Base[Fornecedor],$A213&amp;"",Base[Ano],H$4)</f>
        <v/>
      </c>
      <c r="I213" s="12">
        <f>SUMIFS(Base[Montante],Base[Fornecedor],$A213&amp;"",Base[Ano],I$4)</f>
        <v/>
      </c>
      <c r="J213" s="12">
        <f>SUMIFS(Base[Montante],Base[Fornecedor],$A213&amp;"",Base[Ano],J$4)</f>
        <v/>
      </c>
      <c r="K213" s="12">
        <f>SUM(D213:J213)</f>
        <v/>
      </c>
    </row>
    <row r="214">
      <c r="A214" s="5" t="inlineStr">
        <is>
          <t>EM000428</t>
        </is>
      </c>
      <c r="B214" s="5" t="inlineStr">
        <is>
          <t>EVALDO SOARES DA SILVEIRA</t>
        </is>
      </c>
      <c r="C214" s="5">
        <f>IFERROR(INDEX(DePara[Categoria],MATCH(TEXT(A214,"0"),DePara[Fornecedor_txt],0)),"(sem categoria)")</f>
        <v/>
      </c>
      <c r="D214" s="12">
        <f>SUMIFS(Base[Montante],Base[Fornecedor],$A214&amp;"",Base[Ano],D$4)</f>
        <v/>
      </c>
      <c r="E214" s="12">
        <f>SUMIFS(Base[Montante],Base[Fornecedor],$A214&amp;"",Base[Ano],E$4)</f>
        <v/>
      </c>
      <c r="F214" s="12">
        <f>SUMIFS(Base[Montante],Base[Fornecedor],$A214&amp;"",Base[Ano],F$4)</f>
        <v/>
      </c>
      <c r="G214" s="12">
        <f>SUMIFS(Base[Montante],Base[Fornecedor],$A214&amp;"",Base[Ano],G$4)</f>
        <v/>
      </c>
      <c r="H214" s="12">
        <f>SUMIFS(Base[Montante],Base[Fornecedor],$A214&amp;"",Base[Ano],H$4)</f>
        <v/>
      </c>
      <c r="I214" s="12">
        <f>SUMIFS(Base[Montante],Base[Fornecedor],$A214&amp;"",Base[Ano],I$4)</f>
        <v/>
      </c>
      <c r="J214" s="12">
        <f>SUMIFS(Base[Montante],Base[Fornecedor],$A214&amp;"",Base[Ano],J$4)</f>
        <v/>
      </c>
      <c r="K214" s="12">
        <f>SUM(D214:J214)</f>
        <v/>
      </c>
    </row>
    <row r="215">
      <c r="A215" s="5" t="inlineStr">
        <is>
          <t>EM000045</t>
        </is>
      </c>
      <c r="B215" s="5" t="inlineStr">
        <is>
          <t>EVANDRO DE LIMA MARQUES</t>
        </is>
      </c>
      <c r="C215" s="5">
        <f>IFERROR(INDEX(DePara[Categoria],MATCH(TEXT(A215,"0"),DePara[Fornecedor_txt],0)),"(sem categoria)")</f>
        <v/>
      </c>
      <c r="D215" s="12">
        <f>SUMIFS(Base[Montante],Base[Fornecedor],$A215&amp;"",Base[Ano],D$4)</f>
        <v/>
      </c>
      <c r="E215" s="12">
        <f>SUMIFS(Base[Montante],Base[Fornecedor],$A215&amp;"",Base[Ano],E$4)</f>
        <v/>
      </c>
      <c r="F215" s="12">
        <f>SUMIFS(Base[Montante],Base[Fornecedor],$A215&amp;"",Base[Ano],F$4)</f>
        <v/>
      </c>
      <c r="G215" s="12">
        <f>SUMIFS(Base[Montante],Base[Fornecedor],$A215&amp;"",Base[Ano],G$4)</f>
        <v/>
      </c>
      <c r="H215" s="12">
        <f>SUMIFS(Base[Montante],Base[Fornecedor],$A215&amp;"",Base[Ano],H$4)</f>
        <v/>
      </c>
      <c r="I215" s="12">
        <f>SUMIFS(Base[Montante],Base[Fornecedor],$A215&amp;"",Base[Ano],I$4)</f>
        <v/>
      </c>
      <c r="J215" s="12">
        <f>SUMIFS(Base[Montante],Base[Fornecedor],$A215&amp;"",Base[Ano],J$4)</f>
        <v/>
      </c>
      <c r="K215" s="12">
        <f>SUM(D215:J215)</f>
        <v/>
      </c>
    </row>
    <row r="216">
      <c r="A216" s="5" t="inlineStr">
        <is>
          <t>EM000464</t>
        </is>
      </c>
      <c r="B216" s="5" t="inlineStr">
        <is>
          <t>EVELANGE PEREIRA DE OLIVEIRA</t>
        </is>
      </c>
      <c r="C216" s="5">
        <f>IFERROR(INDEX(DePara[Categoria],MATCH(TEXT(A216,"0"),DePara[Fornecedor_txt],0)),"(sem categoria)")</f>
        <v/>
      </c>
      <c r="D216" s="12">
        <f>SUMIFS(Base[Montante],Base[Fornecedor],$A216&amp;"",Base[Ano],D$4)</f>
        <v/>
      </c>
      <c r="E216" s="12">
        <f>SUMIFS(Base[Montante],Base[Fornecedor],$A216&amp;"",Base[Ano],E$4)</f>
        <v/>
      </c>
      <c r="F216" s="12">
        <f>SUMIFS(Base[Montante],Base[Fornecedor],$A216&amp;"",Base[Ano],F$4)</f>
        <v/>
      </c>
      <c r="G216" s="12">
        <f>SUMIFS(Base[Montante],Base[Fornecedor],$A216&amp;"",Base[Ano],G$4)</f>
        <v/>
      </c>
      <c r="H216" s="12">
        <f>SUMIFS(Base[Montante],Base[Fornecedor],$A216&amp;"",Base[Ano],H$4)</f>
        <v/>
      </c>
      <c r="I216" s="12">
        <f>SUMIFS(Base[Montante],Base[Fornecedor],$A216&amp;"",Base[Ano],I$4)</f>
        <v/>
      </c>
      <c r="J216" s="12">
        <f>SUMIFS(Base[Montante],Base[Fornecedor],$A216&amp;"",Base[Ano],J$4)</f>
        <v/>
      </c>
      <c r="K216" s="12">
        <f>SUM(D216:J216)</f>
        <v/>
      </c>
    </row>
    <row r="217">
      <c r="A217" s="5" t="inlineStr">
        <is>
          <t>EM000515</t>
        </is>
      </c>
      <c r="B217" s="5" t="inlineStr">
        <is>
          <t>EVERTHON RENEBER PEREIRA DA SILVA</t>
        </is>
      </c>
      <c r="C217" s="5">
        <f>IFERROR(INDEX(DePara[Categoria],MATCH(TEXT(A217,"0"),DePara[Fornecedor_txt],0)),"(sem categoria)")</f>
        <v/>
      </c>
      <c r="D217" s="12">
        <f>SUMIFS(Base[Montante],Base[Fornecedor],$A217&amp;"",Base[Ano],D$4)</f>
        <v/>
      </c>
      <c r="E217" s="12">
        <f>SUMIFS(Base[Montante],Base[Fornecedor],$A217&amp;"",Base[Ano],E$4)</f>
        <v/>
      </c>
      <c r="F217" s="12">
        <f>SUMIFS(Base[Montante],Base[Fornecedor],$A217&amp;"",Base[Ano],F$4)</f>
        <v/>
      </c>
      <c r="G217" s="12">
        <f>SUMIFS(Base[Montante],Base[Fornecedor],$A217&amp;"",Base[Ano],G$4)</f>
        <v/>
      </c>
      <c r="H217" s="12">
        <f>SUMIFS(Base[Montante],Base[Fornecedor],$A217&amp;"",Base[Ano],H$4)</f>
        <v/>
      </c>
      <c r="I217" s="12">
        <f>SUMIFS(Base[Montante],Base[Fornecedor],$A217&amp;"",Base[Ano],I$4)</f>
        <v/>
      </c>
      <c r="J217" s="12">
        <f>SUMIFS(Base[Montante],Base[Fornecedor],$A217&amp;"",Base[Ano],J$4)</f>
        <v/>
      </c>
      <c r="K217" s="12">
        <f>SUM(D217:J217)</f>
        <v/>
      </c>
    </row>
    <row r="218">
      <c r="A218" s="5" t="n">
        <v>101946</v>
      </c>
      <c r="B218" s="5" t="inlineStr">
        <is>
          <t>EXTINSERVICE EQUIPAMENTOS E SERVIÇO</t>
        </is>
      </c>
      <c r="C218" s="5">
        <f>IFERROR(INDEX(DePara[Categoria],MATCH(TEXT(A218,"0"),DePara[Fornecedor_txt],0)),"(sem categoria)")</f>
        <v/>
      </c>
      <c r="D218" s="12">
        <f>SUMIFS(Base[Montante],Base[Fornecedor],$A218&amp;"",Base[Ano],D$4)</f>
        <v/>
      </c>
      <c r="E218" s="12">
        <f>SUMIFS(Base[Montante],Base[Fornecedor],$A218&amp;"",Base[Ano],E$4)</f>
        <v/>
      </c>
      <c r="F218" s="12">
        <f>SUMIFS(Base[Montante],Base[Fornecedor],$A218&amp;"",Base[Ano],F$4)</f>
        <v/>
      </c>
      <c r="G218" s="12">
        <f>SUMIFS(Base[Montante],Base[Fornecedor],$A218&amp;"",Base[Ano],G$4)</f>
        <v/>
      </c>
      <c r="H218" s="12">
        <f>SUMIFS(Base[Montante],Base[Fornecedor],$A218&amp;"",Base[Ano],H$4)</f>
        <v/>
      </c>
      <c r="I218" s="12">
        <f>SUMIFS(Base[Montante],Base[Fornecedor],$A218&amp;"",Base[Ano],I$4)</f>
        <v/>
      </c>
      <c r="J218" s="12">
        <f>SUMIFS(Base[Montante],Base[Fornecedor],$A218&amp;"",Base[Ano],J$4)</f>
        <v/>
      </c>
      <c r="K218" s="12">
        <f>SUM(D218:J218)</f>
        <v/>
      </c>
    </row>
    <row r="219">
      <c r="A219" s="5" t="n">
        <v>100542</v>
      </c>
      <c r="B219" s="5" t="inlineStr">
        <is>
          <t>EXTREME WIND SERVICOS DE MANUTENCAO</t>
        </is>
      </c>
      <c r="C219" s="5">
        <f>IFERROR(INDEX(DePara[Categoria],MATCH(TEXT(A219,"0"),DePara[Fornecedor_txt],0)),"(sem categoria)")</f>
        <v/>
      </c>
      <c r="D219" s="12">
        <f>SUMIFS(Base[Montante],Base[Fornecedor],$A219&amp;"",Base[Ano],D$4)</f>
        <v/>
      </c>
      <c r="E219" s="12">
        <f>SUMIFS(Base[Montante],Base[Fornecedor],$A219&amp;"",Base[Ano],E$4)</f>
        <v/>
      </c>
      <c r="F219" s="12">
        <f>SUMIFS(Base[Montante],Base[Fornecedor],$A219&amp;"",Base[Ano],F$4)</f>
        <v/>
      </c>
      <c r="G219" s="12">
        <f>SUMIFS(Base[Montante],Base[Fornecedor],$A219&amp;"",Base[Ano],G$4)</f>
        <v/>
      </c>
      <c r="H219" s="12">
        <f>SUMIFS(Base[Montante],Base[Fornecedor],$A219&amp;"",Base[Ano],H$4)</f>
        <v/>
      </c>
      <c r="I219" s="12">
        <f>SUMIFS(Base[Montante],Base[Fornecedor],$A219&amp;"",Base[Ano],I$4)</f>
        <v/>
      </c>
      <c r="J219" s="12">
        <f>SUMIFS(Base[Montante],Base[Fornecedor],$A219&amp;"",Base[Ano],J$4)</f>
        <v/>
      </c>
      <c r="K219" s="12">
        <f>SUM(D219:J219)</f>
        <v/>
      </c>
    </row>
    <row r="220">
      <c r="A220" s="5" t="n">
        <v>101907</v>
      </c>
      <c r="B220" s="5" t="inlineStr">
        <is>
          <t>F H F DE LIMA</t>
        </is>
      </c>
      <c r="C220" s="5">
        <f>IFERROR(INDEX(DePara[Categoria],MATCH(TEXT(A220,"0"),DePara[Fornecedor_txt],0)),"(sem categoria)")</f>
        <v/>
      </c>
      <c r="D220" s="12">
        <f>SUMIFS(Base[Montante],Base[Fornecedor],$A220&amp;"",Base[Ano],D$4)</f>
        <v/>
      </c>
      <c r="E220" s="12">
        <f>SUMIFS(Base[Montante],Base[Fornecedor],$A220&amp;"",Base[Ano],E$4)</f>
        <v/>
      </c>
      <c r="F220" s="12">
        <f>SUMIFS(Base[Montante],Base[Fornecedor],$A220&amp;"",Base[Ano],F$4)</f>
        <v/>
      </c>
      <c r="G220" s="12">
        <f>SUMIFS(Base[Montante],Base[Fornecedor],$A220&amp;"",Base[Ano],G$4)</f>
        <v/>
      </c>
      <c r="H220" s="12">
        <f>SUMIFS(Base[Montante],Base[Fornecedor],$A220&amp;"",Base[Ano],H$4)</f>
        <v/>
      </c>
      <c r="I220" s="12">
        <f>SUMIFS(Base[Montante],Base[Fornecedor],$A220&amp;"",Base[Ano],I$4)</f>
        <v/>
      </c>
      <c r="J220" s="12">
        <f>SUMIFS(Base[Montante],Base[Fornecedor],$A220&amp;"",Base[Ano],J$4)</f>
        <v/>
      </c>
      <c r="K220" s="12">
        <f>SUM(D220:J220)</f>
        <v/>
      </c>
    </row>
    <row r="221">
      <c r="A221" s="5" t="n">
        <v>102486</v>
      </c>
      <c r="B221" s="5" t="inlineStr">
        <is>
          <t>F&amp;F ATIVIDADES ESPORTIVAS LTDA</t>
        </is>
      </c>
      <c r="C221" s="5">
        <f>IFERROR(INDEX(DePara[Categoria],MATCH(TEXT(A221,"0"),DePara[Fornecedor_txt],0)),"(sem categoria)")</f>
        <v/>
      </c>
      <c r="D221" s="12">
        <f>SUMIFS(Base[Montante],Base[Fornecedor],$A221&amp;"",Base[Ano],D$4)</f>
        <v/>
      </c>
      <c r="E221" s="12">
        <f>SUMIFS(Base[Montante],Base[Fornecedor],$A221&amp;"",Base[Ano],E$4)</f>
        <v/>
      </c>
      <c r="F221" s="12">
        <f>SUMIFS(Base[Montante],Base[Fornecedor],$A221&amp;"",Base[Ano],F$4)</f>
        <v/>
      </c>
      <c r="G221" s="12">
        <f>SUMIFS(Base[Montante],Base[Fornecedor],$A221&amp;"",Base[Ano],G$4)</f>
        <v/>
      </c>
      <c r="H221" s="12">
        <f>SUMIFS(Base[Montante],Base[Fornecedor],$A221&amp;"",Base[Ano],H$4)</f>
        <v/>
      </c>
      <c r="I221" s="12">
        <f>SUMIFS(Base[Montante],Base[Fornecedor],$A221&amp;"",Base[Ano],I$4)</f>
        <v/>
      </c>
      <c r="J221" s="12">
        <f>SUMIFS(Base[Montante],Base[Fornecedor],$A221&amp;"",Base[Ano],J$4)</f>
        <v/>
      </c>
      <c r="K221" s="12">
        <f>SUM(D221:J221)</f>
        <v/>
      </c>
    </row>
    <row r="222">
      <c r="A222" s="5" t="inlineStr">
        <is>
          <t>EM000010</t>
        </is>
      </c>
      <c r="B222" s="5" t="inlineStr">
        <is>
          <t>FABIANO DAYBSON DA SILVA CAMARA</t>
        </is>
      </c>
      <c r="C222" s="5">
        <f>IFERROR(INDEX(DePara[Categoria],MATCH(TEXT(A222,"0"),DePara[Fornecedor_txt],0)),"(sem categoria)")</f>
        <v/>
      </c>
      <c r="D222" s="12">
        <f>SUMIFS(Base[Montante],Base[Fornecedor],$A222&amp;"",Base[Ano],D$4)</f>
        <v/>
      </c>
      <c r="E222" s="12">
        <f>SUMIFS(Base[Montante],Base[Fornecedor],$A222&amp;"",Base[Ano],E$4)</f>
        <v/>
      </c>
      <c r="F222" s="12">
        <f>SUMIFS(Base[Montante],Base[Fornecedor],$A222&amp;"",Base[Ano],F$4)</f>
        <v/>
      </c>
      <c r="G222" s="12">
        <f>SUMIFS(Base[Montante],Base[Fornecedor],$A222&amp;"",Base[Ano],G$4)</f>
        <v/>
      </c>
      <c r="H222" s="12">
        <f>SUMIFS(Base[Montante],Base[Fornecedor],$A222&amp;"",Base[Ano],H$4)</f>
        <v/>
      </c>
      <c r="I222" s="12">
        <f>SUMIFS(Base[Montante],Base[Fornecedor],$A222&amp;"",Base[Ano],I$4)</f>
        <v/>
      </c>
      <c r="J222" s="12">
        <f>SUMIFS(Base[Montante],Base[Fornecedor],$A222&amp;"",Base[Ano],J$4)</f>
        <v/>
      </c>
      <c r="K222" s="12">
        <f>SUM(D222:J222)</f>
        <v/>
      </c>
    </row>
    <row r="223">
      <c r="A223" s="5" t="inlineStr">
        <is>
          <t>EM000159</t>
        </is>
      </c>
      <c r="B223" s="5" t="inlineStr">
        <is>
          <t>FABIO COFFANI DOS SANTOS DE SIQUEIRA</t>
        </is>
      </c>
      <c r="C223" s="5">
        <f>IFERROR(INDEX(DePara[Categoria],MATCH(TEXT(A223,"0"),DePara[Fornecedor_txt],0)),"(sem categoria)")</f>
        <v/>
      </c>
      <c r="D223" s="12">
        <f>SUMIFS(Base[Montante],Base[Fornecedor],$A223&amp;"",Base[Ano],D$4)</f>
        <v/>
      </c>
      <c r="E223" s="12">
        <f>SUMIFS(Base[Montante],Base[Fornecedor],$A223&amp;"",Base[Ano],E$4)</f>
        <v/>
      </c>
      <c r="F223" s="12">
        <f>SUMIFS(Base[Montante],Base[Fornecedor],$A223&amp;"",Base[Ano],F$4)</f>
        <v/>
      </c>
      <c r="G223" s="12">
        <f>SUMIFS(Base[Montante],Base[Fornecedor],$A223&amp;"",Base[Ano],G$4)</f>
        <v/>
      </c>
      <c r="H223" s="12">
        <f>SUMIFS(Base[Montante],Base[Fornecedor],$A223&amp;"",Base[Ano],H$4)</f>
        <v/>
      </c>
      <c r="I223" s="12">
        <f>SUMIFS(Base[Montante],Base[Fornecedor],$A223&amp;"",Base[Ano],I$4)</f>
        <v/>
      </c>
      <c r="J223" s="12">
        <f>SUMIFS(Base[Montante],Base[Fornecedor],$A223&amp;"",Base[Ano],J$4)</f>
        <v/>
      </c>
      <c r="K223" s="12">
        <f>SUM(D223:J223)</f>
        <v/>
      </c>
    </row>
    <row r="224">
      <c r="A224" s="5" t="inlineStr">
        <is>
          <t>EM003693</t>
        </is>
      </c>
      <c r="B224" s="5" t="inlineStr">
        <is>
          <t>Fabio Fernando Pereira de Andrade</t>
        </is>
      </c>
      <c r="C224" s="5">
        <f>IFERROR(INDEX(DePara[Categoria],MATCH(TEXT(A224,"0"),DePara[Fornecedor_txt],0)),"(sem categoria)")</f>
        <v/>
      </c>
      <c r="D224" s="12">
        <f>SUMIFS(Base[Montante],Base[Fornecedor],$A224&amp;"",Base[Ano],D$4)</f>
        <v/>
      </c>
      <c r="E224" s="12">
        <f>SUMIFS(Base[Montante],Base[Fornecedor],$A224&amp;"",Base[Ano],E$4)</f>
        <v/>
      </c>
      <c r="F224" s="12">
        <f>SUMIFS(Base[Montante],Base[Fornecedor],$A224&amp;"",Base[Ano],F$4)</f>
        <v/>
      </c>
      <c r="G224" s="12">
        <f>SUMIFS(Base[Montante],Base[Fornecedor],$A224&amp;"",Base[Ano],G$4)</f>
        <v/>
      </c>
      <c r="H224" s="12">
        <f>SUMIFS(Base[Montante],Base[Fornecedor],$A224&amp;"",Base[Ano],H$4)</f>
        <v/>
      </c>
      <c r="I224" s="12">
        <f>SUMIFS(Base[Montante],Base[Fornecedor],$A224&amp;"",Base[Ano],I$4)</f>
        <v/>
      </c>
      <c r="J224" s="12">
        <f>SUMIFS(Base[Montante],Base[Fornecedor],$A224&amp;"",Base[Ano],J$4)</f>
        <v/>
      </c>
      <c r="K224" s="12">
        <f>SUM(D224:J224)</f>
        <v/>
      </c>
    </row>
    <row r="225">
      <c r="A225" s="5" t="inlineStr">
        <is>
          <t>EM000347</t>
        </is>
      </c>
      <c r="B225" s="5" t="inlineStr">
        <is>
          <t>FABIO SANTANA DA CONCEICAO</t>
        </is>
      </c>
      <c r="C225" s="5">
        <f>IFERROR(INDEX(DePara[Categoria],MATCH(TEXT(A225,"0"),DePara[Fornecedor_txt],0)),"(sem categoria)")</f>
        <v/>
      </c>
      <c r="D225" s="12">
        <f>SUMIFS(Base[Montante],Base[Fornecedor],$A225&amp;"",Base[Ano],D$4)</f>
        <v/>
      </c>
      <c r="E225" s="12">
        <f>SUMIFS(Base[Montante],Base[Fornecedor],$A225&amp;"",Base[Ano],E$4)</f>
        <v/>
      </c>
      <c r="F225" s="12">
        <f>SUMIFS(Base[Montante],Base[Fornecedor],$A225&amp;"",Base[Ano],F$4)</f>
        <v/>
      </c>
      <c r="G225" s="12">
        <f>SUMIFS(Base[Montante],Base[Fornecedor],$A225&amp;"",Base[Ano],G$4)</f>
        <v/>
      </c>
      <c r="H225" s="12">
        <f>SUMIFS(Base[Montante],Base[Fornecedor],$A225&amp;"",Base[Ano],H$4)</f>
        <v/>
      </c>
      <c r="I225" s="12">
        <f>SUMIFS(Base[Montante],Base[Fornecedor],$A225&amp;"",Base[Ano],I$4)</f>
        <v/>
      </c>
      <c r="J225" s="12">
        <f>SUMIFS(Base[Montante],Base[Fornecedor],$A225&amp;"",Base[Ano],J$4)</f>
        <v/>
      </c>
      <c r="K225" s="12">
        <f>SUM(D225:J225)</f>
        <v/>
      </c>
    </row>
    <row r="226">
      <c r="A226" s="5" t="inlineStr">
        <is>
          <t>EM000746</t>
        </is>
      </c>
      <c r="B226" s="5" t="inlineStr">
        <is>
          <t>FABIO SANTIAGO GOMES</t>
        </is>
      </c>
      <c r="C226" s="5">
        <f>IFERROR(INDEX(DePara[Categoria],MATCH(TEXT(A226,"0"),DePara[Fornecedor_txt],0)),"(sem categoria)")</f>
        <v/>
      </c>
      <c r="D226" s="12">
        <f>SUMIFS(Base[Montante],Base[Fornecedor],$A226&amp;"",Base[Ano],D$4)</f>
        <v/>
      </c>
      <c r="E226" s="12">
        <f>SUMIFS(Base[Montante],Base[Fornecedor],$A226&amp;"",Base[Ano],E$4)</f>
        <v/>
      </c>
      <c r="F226" s="12">
        <f>SUMIFS(Base[Montante],Base[Fornecedor],$A226&amp;"",Base[Ano],F$4)</f>
        <v/>
      </c>
      <c r="G226" s="12">
        <f>SUMIFS(Base[Montante],Base[Fornecedor],$A226&amp;"",Base[Ano],G$4)</f>
        <v/>
      </c>
      <c r="H226" s="12">
        <f>SUMIFS(Base[Montante],Base[Fornecedor],$A226&amp;"",Base[Ano],H$4)</f>
        <v/>
      </c>
      <c r="I226" s="12">
        <f>SUMIFS(Base[Montante],Base[Fornecedor],$A226&amp;"",Base[Ano],I$4)</f>
        <v/>
      </c>
      <c r="J226" s="12">
        <f>SUMIFS(Base[Montante],Base[Fornecedor],$A226&amp;"",Base[Ano],J$4)</f>
        <v/>
      </c>
      <c r="K226" s="12">
        <f>SUM(D226:J226)</f>
        <v/>
      </c>
    </row>
    <row r="227">
      <c r="A227" s="5" t="inlineStr">
        <is>
          <t>EM000666</t>
        </is>
      </c>
      <c r="B227" s="5" t="inlineStr">
        <is>
          <t>FAGNER OLIVEIRA DA SILVA</t>
        </is>
      </c>
      <c r="C227" s="5">
        <f>IFERROR(INDEX(DePara[Categoria],MATCH(TEXT(A227,"0"),DePara[Fornecedor_txt],0)),"(sem categoria)")</f>
        <v/>
      </c>
      <c r="D227" s="12">
        <f>SUMIFS(Base[Montante],Base[Fornecedor],$A227&amp;"",Base[Ano],D$4)</f>
        <v/>
      </c>
      <c r="E227" s="12">
        <f>SUMIFS(Base[Montante],Base[Fornecedor],$A227&amp;"",Base[Ano],E$4)</f>
        <v/>
      </c>
      <c r="F227" s="12">
        <f>SUMIFS(Base[Montante],Base[Fornecedor],$A227&amp;"",Base[Ano],F$4)</f>
        <v/>
      </c>
      <c r="G227" s="12">
        <f>SUMIFS(Base[Montante],Base[Fornecedor],$A227&amp;"",Base[Ano],G$4)</f>
        <v/>
      </c>
      <c r="H227" s="12">
        <f>SUMIFS(Base[Montante],Base[Fornecedor],$A227&amp;"",Base[Ano],H$4)</f>
        <v/>
      </c>
      <c r="I227" s="12">
        <f>SUMIFS(Base[Montante],Base[Fornecedor],$A227&amp;"",Base[Ano],I$4)</f>
        <v/>
      </c>
      <c r="J227" s="12">
        <f>SUMIFS(Base[Montante],Base[Fornecedor],$A227&amp;"",Base[Ano],J$4)</f>
        <v/>
      </c>
      <c r="K227" s="12">
        <f>SUM(D227:J227)</f>
        <v/>
      </c>
    </row>
    <row r="228">
      <c r="A228" s="5" t="n">
        <v>102143</v>
      </c>
      <c r="B228" s="5" t="inlineStr">
        <is>
          <t>FARDIER LOGISTICA ESP EM CARGAS EPE</t>
        </is>
      </c>
      <c r="C228" s="5">
        <f>IFERROR(INDEX(DePara[Categoria],MATCH(TEXT(A228,"0"),DePara[Fornecedor_txt],0)),"(sem categoria)")</f>
        <v/>
      </c>
      <c r="D228" s="12">
        <f>SUMIFS(Base[Montante],Base[Fornecedor],$A228&amp;"",Base[Ano],D$4)</f>
        <v/>
      </c>
      <c r="E228" s="12">
        <f>SUMIFS(Base[Montante],Base[Fornecedor],$A228&amp;"",Base[Ano],E$4)</f>
        <v/>
      </c>
      <c r="F228" s="12">
        <f>SUMIFS(Base[Montante],Base[Fornecedor],$A228&amp;"",Base[Ano],F$4)</f>
        <v/>
      </c>
      <c r="G228" s="12">
        <f>SUMIFS(Base[Montante],Base[Fornecedor],$A228&amp;"",Base[Ano],G$4)</f>
        <v/>
      </c>
      <c r="H228" s="12">
        <f>SUMIFS(Base[Montante],Base[Fornecedor],$A228&amp;"",Base[Ano],H$4)</f>
        <v/>
      </c>
      <c r="I228" s="12">
        <f>SUMIFS(Base[Montante],Base[Fornecedor],$A228&amp;"",Base[Ano],I$4)</f>
        <v/>
      </c>
      <c r="J228" s="12">
        <f>SUMIFS(Base[Montante],Base[Fornecedor],$A228&amp;"",Base[Ano],J$4)</f>
        <v/>
      </c>
      <c r="K228" s="12">
        <f>SUM(D228:J228)</f>
        <v/>
      </c>
    </row>
    <row r="229">
      <c r="A229" s="5" t="n">
        <v>100909</v>
      </c>
      <c r="B229" s="5" t="inlineStr">
        <is>
          <t>FCG COMERCIO DE ALIMENTOS LTDA</t>
        </is>
      </c>
      <c r="C229" s="5">
        <f>IFERROR(INDEX(DePara[Categoria],MATCH(TEXT(A229,"0"),DePara[Fornecedor_txt],0)),"(sem categoria)")</f>
        <v/>
      </c>
      <c r="D229" s="12">
        <f>SUMIFS(Base[Montante],Base[Fornecedor],$A229&amp;"",Base[Ano],D$4)</f>
        <v/>
      </c>
      <c r="E229" s="12">
        <f>SUMIFS(Base[Montante],Base[Fornecedor],$A229&amp;"",Base[Ano],E$4)</f>
        <v/>
      </c>
      <c r="F229" s="12">
        <f>SUMIFS(Base[Montante],Base[Fornecedor],$A229&amp;"",Base[Ano],F$4)</f>
        <v/>
      </c>
      <c r="G229" s="12">
        <f>SUMIFS(Base[Montante],Base[Fornecedor],$A229&amp;"",Base[Ano],G$4)</f>
        <v/>
      </c>
      <c r="H229" s="12">
        <f>SUMIFS(Base[Montante],Base[Fornecedor],$A229&amp;"",Base[Ano],H$4)</f>
        <v/>
      </c>
      <c r="I229" s="12">
        <f>SUMIFS(Base[Montante],Base[Fornecedor],$A229&amp;"",Base[Ano],I$4)</f>
        <v/>
      </c>
      <c r="J229" s="12">
        <f>SUMIFS(Base[Montante],Base[Fornecedor],$A229&amp;"",Base[Ano],J$4)</f>
        <v/>
      </c>
      <c r="K229" s="12">
        <f>SUM(D229:J229)</f>
        <v/>
      </c>
    </row>
    <row r="230">
      <c r="A230" s="5" t="inlineStr">
        <is>
          <t>EM000238</t>
        </is>
      </c>
      <c r="B230" s="5" t="inlineStr">
        <is>
          <t>FEDERICO BIANCHI</t>
        </is>
      </c>
      <c r="C230" s="5">
        <f>IFERROR(INDEX(DePara[Categoria],MATCH(TEXT(A230,"0"),DePara[Fornecedor_txt],0)),"(sem categoria)")</f>
        <v/>
      </c>
      <c r="D230" s="12">
        <f>SUMIFS(Base[Montante],Base[Fornecedor],$A230&amp;"",Base[Ano],D$4)</f>
        <v/>
      </c>
      <c r="E230" s="12">
        <f>SUMIFS(Base[Montante],Base[Fornecedor],$A230&amp;"",Base[Ano],E$4)</f>
        <v/>
      </c>
      <c r="F230" s="12">
        <f>SUMIFS(Base[Montante],Base[Fornecedor],$A230&amp;"",Base[Ano],F$4)</f>
        <v/>
      </c>
      <c r="G230" s="12">
        <f>SUMIFS(Base[Montante],Base[Fornecedor],$A230&amp;"",Base[Ano],G$4)</f>
        <v/>
      </c>
      <c r="H230" s="12">
        <f>SUMIFS(Base[Montante],Base[Fornecedor],$A230&amp;"",Base[Ano],H$4)</f>
        <v/>
      </c>
      <c r="I230" s="12">
        <f>SUMIFS(Base[Montante],Base[Fornecedor],$A230&amp;"",Base[Ano],I$4)</f>
        <v/>
      </c>
      <c r="J230" s="12">
        <f>SUMIFS(Base[Montante],Base[Fornecedor],$A230&amp;"",Base[Ano],J$4)</f>
        <v/>
      </c>
      <c r="K230" s="12">
        <f>SUM(D230:J230)</f>
        <v/>
      </c>
    </row>
    <row r="231">
      <c r="A231" s="5" t="inlineStr">
        <is>
          <t>EM003688</t>
        </is>
      </c>
      <c r="B231" s="5" t="inlineStr">
        <is>
          <t>Felipe Affonso de Carvalho Quita</t>
        </is>
      </c>
      <c r="C231" s="5">
        <f>IFERROR(INDEX(DePara[Categoria],MATCH(TEXT(A231,"0"),DePara[Fornecedor_txt],0)),"(sem categoria)")</f>
        <v/>
      </c>
      <c r="D231" s="12">
        <f>SUMIFS(Base[Montante],Base[Fornecedor],$A231&amp;"",Base[Ano],D$4)</f>
        <v/>
      </c>
      <c r="E231" s="12">
        <f>SUMIFS(Base[Montante],Base[Fornecedor],$A231&amp;"",Base[Ano],E$4)</f>
        <v/>
      </c>
      <c r="F231" s="12">
        <f>SUMIFS(Base[Montante],Base[Fornecedor],$A231&amp;"",Base[Ano],F$4)</f>
        <v/>
      </c>
      <c r="G231" s="12">
        <f>SUMIFS(Base[Montante],Base[Fornecedor],$A231&amp;"",Base[Ano],G$4)</f>
        <v/>
      </c>
      <c r="H231" s="12">
        <f>SUMIFS(Base[Montante],Base[Fornecedor],$A231&amp;"",Base[Ano],H$4)</f>
        <v/>
      </c>
      <c r="I231" s="12">
        <f>SUMIFS(Base[Montante],Base[Fornecedor],$A231&amp;"",Base[Ano],I$4)</f>
        <v/>
      </c>
      <c r="J231" s="12">
        <f>SUMIFS(Base[Montante],Base[Fornecedor],$A231&amp;"",Base[Ano],J$4)</f>
        <v/>
      </c>
      <c r="K231" s="12">
        <f>SUM(D231:J231)</f>
        <v/>
      </c>
    </row>
    <row r="232">
      <c r="A232" s="5" t="inlineStr">
        <is>
          <t>EM000036</t>
        </is>
      </c>
      <c r="B232" s="5" t="inlineStr">
        <is>
          <t>FELIPE EDUARDO GONCALVES</t>
        </is>
      </c>
      <c r="C232" s="5">
        <f>IFERROR(INDEX(DePara[Categoria],MATCH(TEXT(A232,"0"),DePara[Fornecedor_txt],0)),"(sem categoria)")</f>
        <v/>
      </c>
      <c r="D232" s="12">
        <f>SUMIFS(Base[Montante],Base[Fornecedor],$A232&amp;"",Base[Ano],D$4)</f>
        <v/>
      </c>
      <c r="E232" s="12">
        <f>SUMIFS(Base[Montante],Base[Fornecedor],$A232&amp;"",Base[Ano],E$4)</f>
        <v/>
      </c>
      <c r="F232" s="12">
        <f>SUMIFS(Base[Montante],Base[Fornecedor],$A232&amp;"",Base[Ano],F$4)</f>
        <v/>
      </c>
      <c r="G232" s="12">
        <f>SUMIFS(Base[Montante],Base[Fornecedor],$A232&amp;"",Base[Ano],G$4)</f>
        <v/>
      </c>
      <c r="H232" s="12">
        <f>SUMIFS(Base[Montante],Base[Fornecedor],$A232&amp;"",Base[Ano],H$4)</f>
        <v/>
      </c>
      <c r="I232" s="12">
        <f>SUMIFS(Base[Montante],Base[Fornecedor],$A232&amp;"",Base[Ano],I$4)</f>
        <v/>
      </c>
      <c r="J232" s="12">
        <f>SUMIFS(Base[Montante],Base[Fornecedor],$A232&amp;"",Base[Ano],J$4)</f>
        <v/>
      </c>
      <c r="K232" s="12">
        <f>SUM(D232:J232)</f>
        <v/>
      </c>
    </row>
    <row r="233">
      <c r="A233" s="5" t="inlineStr">
        <is>
          <t>EM000546</t>
        </is>
      </c>
      <c r="B233" s="5" t="inlineStr">
        <is>
          <t>FELLIPE MATHEUS OLIVEIRA DO NASCIMENTO</t>
        </is>
      </c>
      <c r="C233" s="5">
        <f>IFERROR(INDEX(DePara[Categoria],MATCH(TEXT(A233,"0"),DePara[Fornecedor_txt],0)),"(sem categoria)")</f>
        <v/>
      </c>
      <c r="D233" s="12">
        <f>SUMIFS(Base[Montante],Base[Fornecedor],$A233&amp;"",Base[Ano],D$4)</f>
        <v/>
      </c>
      <c r="E233" s="12">
        <f>SUMIFS(Base[Montante],Base[Fornecedor],$A233&amp;"",Base[Ano],E$4)</f>
        <v/>
      </c>
      <c r="F233" s="12">
        <f>SUMIFS(Base[Montante],Base[Fornecedor],$A233&amp;"",Base[Ano],F$4)</f>
        <v/>
      </c>
      <c r="G233" s="12">
        <f>SUMIFS(Base[Montante],Base[Fornecedor],$A233&amp;"",Base[Ano],G$4)</f>
        <v/>
      </c>
      <c r="H233" s="12">
        <f>SUMIFS(Base[Montante],Base[Fornecedor],$A233&amp;"",Base[Ano],H$4)</f>
        <v/>
      </c>
      <c r="I233" s="12">
        <f>SUMIFS(Base[Montante],Base[Fornecedor],$A233&amp;"",Base[Ano],I$4)</f>
        <v/>
      </c>
      <c r="J233" s="12">
        <f>SUMIFS(Base[Montante],Base[Fornecedor],$A233&amp;"",Base[Ano],J$4)</f>
        <v/>
      </c>
      <c r="K233" s="12">
        <f>SUM(D233:J233)</f>
        <v/>
      </c>
    </row>
    <row r="234">
      <c r="A234" s="5" t="inlineStr">
        <is>
          <t>EM000006</t>
        </is>
      </c>
      <c r="B234" s="5" t="inlineStr">
        <is>
          <t>FERNANDA CYNTHIA DA SILVA</t>
        </is>
      </c>
      <c r="C234" s="5">
        <f>IFERROR(INDEX(DePara[Categoria],MATCH(TEXT(A234,"0"),DePara[Fornecedor_txt],0)),"(sem categoria)")</f>
        <v/>
      </c>
      <c r="D234" s="12">
        <f>SUMIFS(Base[Montante],Base[Fornecedor],$A234&amp;"",Base[Ano],D$4)</f>
        <v/>
      </c>
      <c r="E234" s="12">
        <f>SUMIFS(Base[Montante],Base[Fornecedor],$A234&amp;"",Base[Ano],E$4)</f>
        <v/>
      </c>
      <c r="F234" s="12">
        <f>SUMIFS(Base[Montante],Base[Fornecedor],$A234&amp;"",Base[Ano],F$4)</f>
        <v/>
      </c>
      <c r="G234" s="12">
        <f>SUMIFS(Base[Montante],Base[Fornecedor],$A234&amp;"",Base[Ano],G$4)</f>
        <v/>
      </c>
      <c r="H234" s="12">
        <f>SUMIFS(Base[Montante],Base[Fornecedor],$A234&amp;"",Base[Ano],H$4)</f>
        <v/>
      </c>
      <c r="I234" s="12">
        <f>SUMIFS(Base[Montante],Base[Fornecedor],$A234&amp;"",Base[Ano],I$4)</f>
        <v/>
      </c>
      <c r="J234" s="12">
        <f>SUMIFS(Base[Montante],Base[Fornecedor],$A234&amp;"",Base[Ano],J$4)</f>
        <v/>
      </c>
      <c r="K234" s="12">
        <f>SUM(D234:J234)</f>
        <v/>
      </c>
    </row>
    <row r="235">
      <c r="A235" s="5" t="inlineStr">
        <is>
          <t>EM000054</t>
        </is>
      </c>
      <c r="B235" s="5" t="inlineStr">
        <is>
          <t>FERNANDO SCHNEIDER FERNANDES</t>
        </is>
      </c>
      <c r="C235" s="5">
        <f>IFERROR(INDEX(DePara[Categoria],MATCH(TEXT(A235,"0"),DePara[Fornecedor_txt],0)),"(sem categoria)")</f>
        <v/>
      </c>
      <c r="D235" s="12">
        <f>SUMIFS(Base[Montante],Base[Fornecedor],$A235&amp;"",Base[Ano],D$4)</f>
        <v/>
      </c>
      <c r="E235" s="12">
        <f>SUMIFS(Base[Montante],Base[Fornecedor],$A235&amp;"",Base[Ano],E$4)</f>
        <v/>
      </c>
      <c r="F235" s="12">
        <f>SUMIFS(Base[Montante],Base[Fornecedor],$A235&amp;"",Base[Ano],F$4)</f>
        <v/>
      </c>
      <c r="G235" s="12">
        <f>SUMIFS(Base[Montante],Base[Fornecedor],$A235&amp;"",Base[Ano],G$4)</f>
        <v/>
      </c>
      <c r="H235" s="12">
        <f>SUMIFS(Base[Montante],Base[Fornecedor],$A235&amp;"",Base[Ano],H$4)</f>
        <v/>
      </c>
      <c r="I235" s="12">
        <f>SUMIFS(Base[Montante],Base[Fornecedor],$A235&amp;"",Base[Ano],I$4)</f>
        <v/>
      </c>
      <c r="J235" s="12">
        <f>SUMIFS(Base[Montante],Base[Fornecedor],$A235&amp;"",Base[Ano],J$4)</f>
        <v/>
      </c>
      <c r="K235" s="12">
        <f>SUM(D235:J235)</f>
        <v/>
      </c>
    </row>
    <row r="236">
      <c r="A236" s="5" t="n">
        <v>101790</v>
      </c>
      <c r="B236" s="5" t="inlineStr">
        <is>
          <t>FERRAMENTAS GERAIS COM IMP DE FER E</t>
        </is>
      </c>
      <c r="C236" s="5">
        <f>IFERROR(INDEX(DePara[Categoria],MATCH(TEXT(A236,"0"),DePara[Fornecedor_txt],0)),"(sem categoria)")</f>
        <v/>
      </c>
      <c r="D236" s="12">
        <f>SUMIFS(Base[Montante],Base[Fornecedor],$A236&amp;"",Base[Ano],D$4)</f>
        <v/>
      </c>
      <c r="E236" s="12">
        <f>SUMIFS(Base[Montante],Base[Fornecedor],$A236&amp;"",Base[Ano],E$4)</f>
        <v/>
      </c>
      <c r="F236" s="12">
        <f>SUMIFS(Base[Montante],Base[Fornecedor],$A236&amp;"",Base[Ano],F$4)</f>
        <v/>
      </c>
      <c r="G236" s="12">
        <f>SUMIFS(Base[Montante],Base[Fornecedor],$A236&amp;"",Base[Ano],G$4)</f>
        <v/>
      </c>
      <c r="H236" s="12">
        <f>SUMIFS(Base[Montante],Base[Fornecedor],$A236&amp;"",Base[Ano],H$4)</f>
        <v/>
      </c>
      <c r="I236" s="12">
        <f>SUMIFS(Base[Montante],Base[Fornecedor],$A236&amp;"",Base[Ano],I$4)</f>
        <v/>
      </c>
      <c r="J236" s="12">
        <f>SUMIFS(Base[Montante],Base[Fornecedor],$A236&amp;"",Base[Ano],J$4)</f>
        <v/>
      </c>
      <c r="K236" s="12">
        <f>SUM(D236:J236)</f>
        <v/>
      </c>
    </row>
    <row r="237">
      <c r="A237" s="5" t="n">
        <v>101817</v>
      </c>
      <c r="B237" s="5" t="inlineStr">
        <is>
          <t>FIGWAL TRANSPORTES INTERNACIONAIS L</t>
        </is>
      </c>
      <c r="C237" s="5">
        <f>IFERROR(INDEX(DePara[Categoria],MATCH(TEXT(A237,"0"),DePara[Fornecedor_txt],0)),"(sem categoria)")</f>
        <v/>
      </c>
      <c r="D237" s="12">
        <f>SUMIFS(Base[Montante],Base[Fornecedor],$A237&amp;"",Base[Ano],D$4)</f>
        <v/>
      </c>
      <c r="E237" s="12">
        <f>SUMIFS(Base[Montante],Base[Fornecedor],$A237&amp;"",Base[Ano],E$4)</f>
        <v/>
      </c>
      <c r="F237" s="12">
        <f>SUMIFS(Base[Montante],Base[Fornecedor],$A237&amp;"",Base[Ano],F$4)</f>
        <v/>
      </c>
      <c r="G237" s="12">
        <f>SUMIFS(Base[Montante],Base[Fornecedor],$A237&amp;"",Base[Ano],G$4)</f>
        <v/>
      </c>
      <c r="H237" s="12">
        <f>SUMIFS(Base[Montante],Base[Fornecedor],$A237&amp;"",Base[Ano],H$4)</f>
        <v/>
      </c>
      <c r="I237" s="12">
        <f>SUMIFS(Base[Montante],Base[Fornecedor],$A237&amp;"",Base[Ano],I$4)</f>
        <v/>
      </c>
      <c r="J237" s="12">
        <f>SUMIFS(Base[Montante],Base[Fornecedor],$A237&amp;"",Base[Ano],J$4)</f>
        <v/>
      </c>
      <c r="K237" s="12">
        <f>SUM(D237:J237)</f>
        <v/>
      </c>
    </row>
    <row r="238">
      <c r="A238" s="5" t="n">
        <v>107644</v>
      </c>
      <c r="B238" s="5" t="inlineStr">
        <is>
          <t>FIRST ENGLISH SCHOOL IDIOMAS LTDA</t>
        </is>
      </c>
      <c r="C238" s="5">
        <f>IFERROR(INDEX(DePara[Categoria],MATCH(TEXT(A238,"0"),DePara[Fornecedor_txt],0)),"(sem categoria)")</f>
        <v/>
      </c>
      <c r="D238" s="12">
        <f>SUMIFS(Base[Montante],Base[Fornecedor],$A238&amp;"",Base[Ano],D$4)</f>
        <v/>
      </c>
      <c r="E238" s="12">
        <f>SUMIFS(Base[Montante],Base[Fornecedor],$A238&amp;"",Base[Ano],E$4)</f>
        <v/>
      </c>
      <c r="F238" s="12">
        <f>SUMIFS(Base[Montante],Base[Fornecedor],$A238&amp;"",Base[Ano],F$4)</f>
        <v/>
      </c>
      <c r="G238" s="12">
        <f>SUMIFS(Base[Montante],Base[Fornecedor],$A238&amp;"",Base[Ano],G$4)</f>
        <v/>
      </c>
      <c r="H238" s="12">
        <f>SUMIFS(Base[Montante],Base[Fornecedor],$A238&amp;"",Base[Ano],H$4)</f>
        <v/>
      </c>
      <c r="I238" s="12">
        <f>SUMIFS(Base[Montante],Base[Fornecedor],$A238&amp;"",Base[Ano],I$4)</f>
        <v/>
      </c>
      <c r="J238" s="12">
        <f>SUMIFS(Base[Montante],Base[Fornecedor],$A238&amp;"",Base[Ano],J$4)</f>
        <v/>
      </c>
      <c r="K238" s="12">
        <f>SUM(D238:J238)</f>
        <v/>
      </c>
    </row>
    <row r="239">
      <c r="A239" s="5" t="inlineStr">
        <is>
          <t>EM000041</t>
        </is>
      </c>
      <c r="B239" s="5" t="inlineStr">
        <is>
          <t>FLAVIO BELLOLI</t>
        </is>
      </c>
      <c r="C239" s="5">
        <f>IFERROR(INDEX(DePara[Categoria],MATCH(TEXT(A239,"0"),DePara[Fornecedor_txt],0)),"(sem categoria)")</f>
        <v/>
      </c>
      <c r="D239" s="12">
        <f>SUMIFS(Base[Montante],Base[Fornecedor],$A239&amp;"",Base[Ano],D$4)</f>
        <v/>
      </c>
      <c r="E239" s="12">
        <f>SUMIFS(Base[Montante],Base[Fornecedor],$A239&amp;"",Base[Ano],E$4)</f>
        <v/>
      </c>
      <c r="F239" s="12">
        <f>SUMIFS(Base[Montante],Base[Fornecedor],$A239&amp;"",Base[Ano],F$4)</f>
        <v/>
      </c>
      <c r="G239" s="12">
        <f>SUMIFS(Base[Montante],Base[Fornecedor],$A239&amp;"",Base[Ano],G$4)</f>
        <v/>
      </c>
      <c r="H239" s="12">
        <f>SUMIFS(Base[Montante],Base[Fornecedor],$A239&amp;"",Base[Ano],H$4)</f>
        <v/>
      </c>
      <c r="I239" s="12">
        <f>SUMIFS(Base[Montante],Base[Fornecedor],$A239&amp;"",Base[Ano],I$4)</f>
        <v/>
      </c>
      <c r="J239" s="12">
        <f>SUMIFS(Base[Montante],Base[Fornecedor],$A239&amp;"",Base[Ano],J$4)</f>
        <v/>
      </c>
      <c r="K239" s="12">
        <f>SUM(D239:J239)</f>
        <v/>
      </c>
    </row>
    <row r="240">
      <c r="A240" s="5" t="inlineStr">
        <is>
          <t>EM000582</t>
        </is>
      </c>
      <c r="B240" s="5" t="inlineStr">
        <is>
          <t>FRANCILIO FRANCISCO DE ARAUJO</t>
        </is>
      </c>
      <c r="C240" s="5">
        <f>IFERROR(INDEX(DePara[Categoria],MATCH(TEXT(A240,"0"),DePara[Fornecedor_txt],0)),"(sem categoria)")</f>
        <v/>
      </c>
      <c r="D240" s="12">
        <f>SUMIFS(Base[Montante],Base[Fornecedor],$A240&amp;"",Base[Ano],D$4)</f>
        <v/>
      </c>
      <c r="E240" s="12">
        <f>SUMIFS(Base[Montante],Base[Fornecedor],$A240&amp;"",Base[Ano],E$4)</f>
        <v/>
      </c>
      <c r="F240" s="12">
        <f>SUMIFS(Base[Montante],Base[Fornecedor],$A240&amp;"",Base[Ano],F$4)</f>
        <v/>
      </c>
      <c r="G240" s="12">
        <f>SUMIFS(Base[Montante],Base[Fornecedor],$A240&amp;"",Base[Ano],G$4)</f>
        <v/>
      </c>
      <c r="H240" s="12">
        <f>SUMIFS(Base[Montante],Base[Fornecedor],$A240&amp;"",Base[Ano],H$4)</f>
        <v/>
      </c>
      <c r="I240" s="12">
        <f>SUMIFS(Base[Montante],Base[Fornecedor],$A240&amp;"",Base[Ano],I$4)</f>
        <v/>
      </c>
      <c r="J240" s="12">
        <f>SUMIFS(Base[Montante],Base[Fornecedor],$A240&amp;"",Base[Ano],J$4)</f>
        <v/>
      </c>
      <c r="K240" s="12">
        <f>SUM(D240:J240)</f>
        <v/>
      </c>
    </row>
    <row r="241">
      <c r="A241" s="5" t="inlineStr">
        <is>
          <t>EM000038</t>
        </is>
      </c>
      <c r="B241" s="5" t="inlineStr">
        <is>
          <t>FRANCISCO BENEDITO FILHO</t>
        </is>
      </c>
      <c r="C241" s="5">
        <f>IFERROR(INDEX(DePara[Categoria],MATCH(TEXT(A241,"0"),DePara[Fornecedor_txt],0)),"(sem categoria)")</f>
        <v/>
      </c>
      <c r="D241" s="12">
        <f>SUMIFS(Base[Montante],Base[Fornecedor],$A241&amp;"",Base[Ano],D$4)</f>
        <v/>
      </c>
      <c r="E241" s="12">
        <f>SUMIFS(Base[Montante],Base[Fornecedor],$A241&amp;"",Base[Ano],E$4)</f>
        <v/>
      </c>
      <c r="F241" s="12">
        <f>SUMIFS(Base[Montante],Base[Fornecedor],$A241&amp;"",Base[Ano],F$4)</f>
        <v/>
      </c>
      <c r="G241" s="12">
        <f>SUMIFS(Base[Montante],Base[Fornecedor],$A241&amp;"",Base[Ano],G$4)</f>
        <v/>
      </c>
      <c r="H241" s="12">
        <f>SUMIFS(Base[Montante],Base[Fornecedor],$A241&amp;"",Base[Ano],H$4)</f>
        <v/>
      </c>
      <c r="I241" s="12">
        <f>SUMIFS(Base[Montante],Base[Fornecedor],$A241&amp;"",Base[Ano],I$4)</f>
        <v/>
      </c>
      <c r="J241" s="12">
        <f>SUMIFS(Base[Montante],Base[Fornecedor],$A241&amp;"",Base[Ano],J$4)</f>
        <v/>
      </c>
      <c r="K241" s="12">
        <f>SUM(D241:J241)</f>
        <v/>
      </c>
    </row>
    <row r="242">
      <c r="A242" s="5" t="inlineStr">
        <is>
          <t>EM000482</t>
        </is>
      </c>
      <c r="B242" s="5" t="inlineStr">
        <is>
          <t>FRANCISCO EGON ROQUE DE SOUSA</t>
        </is>
      </c>
      <c r="C242" s="5">
        <f>IFERROR(INDEX(DePara[Categoria],MATCH(TEXT(A242,"0"),DePara[Fornecedor_txt],0)),"(sem categoria)")</f>
        <v/>
      </c>
      <c r="D242" s="12">
        <f>SUMIFS(Base[Montante],Base[Fornecedor],$A242&amp;"",Base[Ano],D$4)</f>
        <v/>
      </c>
      <c r="E242" s="12">
        <f>SUMIFS(Base[Montante],Base[Fornecedor],$A242&amp;"",Base[Ano],E$4)</f>
        <v/>
      </c>
      <c r="F242" s="12">
        <f>SUMIFS(Base[Montante],Base[Fornecedor],$A242&amp;"",Base[Ano],F$4)</f>
        <v/>
      </c>
      <c r="G242" s="12">
        <f>SUMIFS(Base[Montante],Base[Fornecedor],$A242&amp;"",Base[Ano],G$4)</f>
        <v/>
      </c>
      <c r="H242" s="12">
        <f>SUMIFS(Base[Montante],Base[Fornecedor],$A242&amp;"",Base[Ano],H$4)</f>
        <v/>
      </c>
      <c r="I242" s="12">
        <f>SUMIFS(Base[Montante],Base[Fornecedor],$A242&amp;"",Base[Ano],I$4)</f>
        <v/>
      </c>
      <c r="J242" s="12">
        <f>SUMIFS(Base[Montante],Base[Fornecedor],$A242&amp;"",Base[Ano],J$4)</f>
        <v/>
      </c>
      <c r="K242" s="12">
        <f>SUM(D242:J242)</f>
        <v/>
      </c>
    </row>
    <row r="243">
      <c r="A243" s="5" t="inlineStr">
        <is>
          <t>EM000816</t>
        </is>
      </c>
      <c r="B243" s="5" t="inlineStr">
        <is>
          <t>FRANCISCO HELIO CORREIA LIMA</t>
        </is>
      </c>
      <c r="C243" s="5">
        <f>IFERROR(INDEX(DePara[Categoria],MATCH(TEXT(A243,"0"),DePara[Fornecedor_txt],0)),"(sem categoria)")</f>
        <v/>
      </c>
      <c r="D243" s="12">
        <f>SUMIFS(Base[Montante],Base[Fornecedor],$A243&amp;"",Base[Ano],D$4)</f>
        <v/>
      </c>
      <c r="E243" s="12">
        <f>SUMIFS(Base[Montante],Base[Fornecedor],$A243&amp;"",Base[Ano],E$4)</f>
        <v/>
      </c>
      <c r="F243" s="12">
        <f>SUMIFS(Base[Montante],Base[Fornecedor],$A243&amp;"",Base[Ano],F$4)</f>
        <v/>
      </c>
      <c r="G243" s="12">
        <f>SUMIFS(Base[Montante],Base[Fornecedor],$A243&amp;"",Base[Ano],G$4)</f>
        <v/>
      </c>
      <c r="H243" s="12">
        <f>SUMIFS(Base[Montante],Base[Fornecedor],$A243&amp;"",Base[Ano],H$4)</f>
        <v/>
      </c>
      <c r="I243" s="12">
        <f>SUMIFS(Base[Montante],Base[Fornecedor],$A243&amp;"",Base[Ano],I$4)</f>
        <v/>
      </c>
      <c r="J243" s="12">
        <f>SUMIFS(Base[Montante],Base[Fornecedor],$A243&amp;"",Base[Ano],J$4)</f>
        <v/>
      </c>
      <c r="K243" s="12">
        <f>SUM(D243:J243)</f>
        <v/>
      </c>
    </row>
    <row r="244">
      <c r="A244" s="5" t="inlineStr">
        <is>
          <t>EM000866</t>
        </is>
      </c>
      <c r="B244" s="5" t="inlineStr">
        <is>
          <t>FRANCISCO MARCOS DE FREITAS</t>
        </is>
      </c>
      <c r="C244" s="5">
        <f>IFERROR(INDEX(DePara[Categoria],MATCH(TEXT(A244,"0"),DePara[Fornecedor_txt],0)),"(sem categoria)")</f>
        <v/>
      </c>
      <c r="D244" s="12">
        <f>SUMIFS(Base[Montante],Base[Fornecedor],$A244&amp;"",Base[Ano],D$4)</f>
        <v/>
      </c>
      <c r="E244" s="12">
        <f>SUMIFS(Base[Montante],Base[Fornecedor],$A244&amp;"",Base[Ano],E$4)</f>
        <v/>
      </c>
      <c r="F244" s="12">
        <f>SUMIFS(Base[Montante],Base[Fornecedor],$A244&amp;"",Base[Ano],F$4)</f>
        <v/>
      </c>
      <c r="G244" s="12">
        <f>SUMIFS(Base[Montante],Base[Fornecedor],$A244&amp;"",Base[Ano],G$4)</f>
        <v/>
      </c>
      <c r="H244" s="12">
        <f>SUMIFS(Base[Montante],Base[Fornecedor],$A244&amp;"",Base[Ano],H$4)</f>
        <v/>
      </c>
      <c r="I244" s="12">
        <f>SUMIFS(Base[Montante],Base[Fornecedor],$A244&amp;"",Base[Ano],I$4)</f>
        <v/>
      </c>
      <c r="J244" s="12">
        <f>SUMIFS(Base[Montante],Base[Fornecedor],$A244&amp;"",Base[Ano],J$4)</f>
        <v/>
      </c>
      <c r="K244" s="12">
        <f>SUM(D244:J244)</f>
        <v/>
      </c>
    </row>
    <row r="245">
      <c r="A245" s="5" t="inlineStr">
        <is>
          <t>EM000881</t>
        </is>
      </c>
      <c r="B245" s="5" t="inlineStr">
        <is>
          <t>FRANCISCO MARCOS DE SOUSA</t>
        </is>
      </c>
      <c r="C245" s="5">
        <f>IFERROR(INDEX(DePara[Categoria],MATCH(TEXT(A245,"0"),DePara[Fornecedor_txt],0)),"(sem categoria)")</f>
        <v/>
      </c>
      <c r="D245" s="12">
        <f>SUMIFS(Base[Montante],Base[Fornecedor],$A245&amp;"",Base[Ano],D$4)</f>
        <v/>
      </c>
      <c r="E245" s="12">
        <f>SUMIFS(Base[Montante],Base[Fornecedor],$A245&amp;"",Base[Ano],E$4)</f>
        <v/>
      </c>
      <c r="F245" s="12">
        <f>SUMIFS(Base[Montante],Base[Fornecedor],$A245&amp;"",Base[Ano],F$4)</f>
        <v/>
      </c>
      <c r="G245" s="12">
        <f>SUMIFS(Base[Montante],Base[Fornecedor],$A245&amp;"",Base[Ano],G$4)</f>
        <v/>
      </c>
      <c r="H245" s="12">
        <f>SUMIFS(Base[Montante],Base[Fornecedor],$A245&amp;"",Base[Ano],H$4)</f>
        <v/>
      </c>
      <c r="I245" s="12">
        <f>SUMIFS(Base[Montante],Base[Fornecedor],$A245&amp;"",Base[Ano],I$4)</f>
        <v/>
      </c>
      <c r="J245" s="12">
        <f>SUMIFS(Base[Montante],Base[Fornecedor],$A245&amp;"",Base[Ano],J$4)</f>
        <v/>
      </c>
      <c r="K245" s="12">
        <f>SUM(D245:J245)</f>
        <v/>
      </c>
    </row>
    <row r="246">
      <c r="A246" s="5" t="inlineStr">
        <is>
          <t>EM000128</t>
        </is>
      </c>
      <c r="B246" s="5" t="inlineStr">
        <is>
          <t>FRANCISCO MARDONIO TORRES DA SILVA</t>
        </is>
      </c>
      <c r="C246" s="5">
        <f>IFERROR(INDEX(DePara[Categoria],MATCH(TEXT(A246,"0"),DePara[Fornecedor_txt],0)),"(sem categoria)")</f>
        <v/>
      </c>
      <c r="D246" s="12">
        <f>SUMIFS(Base[Montante],Base[Fornecedor],$A246&amp;"",Base[Ano],D$4)</f>
        <v/>
      </c>
      <c r="E246" s="12">
        <f>SUMIFS(Base[Montante],Base[Fornecedor],$A246&amp;"",Base[Ano],E$4)</f>
        <v/>
      </c>
      <c r="F246" s="12">
        <f>SUMIFS(Base[Montante],Base[Fornecedor],$A246&amp;"",Base[Ano],F$4)</f>
        <v/>
      </c>
      <c r="G246" s="12">
        <f>SUMIFS(Base[Montante],Base[Fornecedor],$A246&amp;"",Base[Ano],G$4)</f>
        <v/>
      </c>
      <c r="H246" s="12">
        <f>SUMIFS(Base[Montante],Base[Fornecedor],$A246&amp;"",Base[Ano],H$4)</f>
        <v/>
      </c>
      <c r="I246" s="12">
        <f>SUMIFS(Base[Montante],Base[Fornecedor],$A246&amp;"",Base[Ano],I$4)</f>
        <v/>
      </c>
      <c r="J246" s="12">
        <f>SUMIFS(Base[Montante],Base[Fornecedor],$A246&amp;"",Base[Ano],J$4)</f>
        <v/>
      </c>
      <c r="K246" s="12">
        <f>SUM(D246:J246)</f>
        <v/>
      </c>
    </row>
    <row r="247">
      <c r="A247" s="5" t="inlineStr">
        <is>
          <t>EM000850</t>
        </is>
      </c>
      <c r="B247" s="5" t="inlineStr">
        <is>
          <t>FRANCISCO NILO SALES</t>
        </is>
      </c>
      <c r="C247" s="5">
        <f>IFERROR(INDEX(DePara[Categoria],MATCH(TEXT(A247,"0"),DePara[Fornecedor_txt],0)),"(sem categoria)")</f>
        <v/>
      </c>
      <c r="D247" s="12">
        <f>SUMIFS(Base[Montante],Base[Fornecedor],$A247&amp;"",Base[Ano],D$4)</f>
        <v/>
      </c>
      <c r="E247" s="12">
        <f>SUMIFS(Base[Montante],Base[Fornecedor],$A247&amp;"",Base[Ano],E$4)</f>
        <v/>
      </c>
      <c r="F247" s="12">
        <f>SUMIFS(Base[Montante],Base[Fornecedor],$A247&amp;"",Base[Ano],F$4)</f>
        <v/>
      </c>
      <c r="G247" s="12">
        <f>SUMIFS(Base[Montante],Base[Fornecedor],$A247&amp;"",Base[Ano],G$4)</f>
        <v/>
      </c>
      <c r="H247" s="12">
        <f>SUMIFS(Base[Montante],Base[Fornecedor],$A247&amp;"",Base[Ano],H$4)</f>
        <v/>
      </c>
      <c r="I247" s="12">
        <f>SUMIFS(Base[Montante],Base[Fornecedor],$A247&amp;"",Base[Ano],I$4)</f>
        <v/>
      </c>
      <c r="J247" s="12">
        <f>SUMIFS(Base[Montante],Base[Fornecedor],$A247&amp;"",Base[Ano],J$4)</f>
        <v/>
      </c>
      <c r="K247" s="12">
        <f>SUM(D247:J247)</f>
        <v/>
      </c>
    </row>
    <row r="248">
      <c r="A248" s="5" t="inlineStr">
        <is>
          <t>EM000654</t>
        </is>
      </c>
      <c r="B248" s="5" t="inlineStr">
        <is>
          <t>FRANCISCO THOMAZ AMIRATI UCHOA</t>
        </is>
      </c>
      <c r="C248" s="5">
        <f>IFERROR(INDEX(DePara[Categoria],MATCH(TEXT(A248,"0"),DePara[Fornecedor_txt],0)),"(sem categoria)")</f>
        <v/>
      </c>
      <c r="D248" s="12">
        <f>SUMIFS(Base[Montante],Base[Fornecedor],$A248&amp;"",Base[Ano],D$4)</f>
        <v/>
      </c>
      <c r="E248" s="12">
        <f>SUMIFS(Base[Montante],Base[Fornecedor],$A248&amp;"",Base[Ano],E$4)</f>
        <v/>
      </c>
      <c r="F248" s="12">
        <f>SUMIFS(Base[Montante],Base[Fornecedor],$A248&amp;"",Base[Ano],F$4)</f>
        <v/>
      </c>
      <c r="G248" s="12">
        <f>SUMIFS(Base[Montante],Base[Fornecedor],$A248&amp;"",Base[Ano],G$4)</f>
        <v/>
      </c>
      <c r="H248" s="12">
        <f>SUMIFS(Base[Montante],Base[Fornecedor],$A248&amp;"",Base[Ano],H$4)</f>
        <v/>
      </c>
      <c r="I248" s="12">
        <f>SUMIFS(Base[Montante],Base[Fornecedor],$A248&amp;"",Base[Ano],I$4)</f>
        <v/>
      </c>
      <c r="J248" s="12">
        <f>SUMIFS(Base[Montante],Base[Fornecedor],$A248&amp;"",Base[Ano],J$4)</f>
        <v/>
      </c>
      <c r="K248" s="12">
        <f>SUM(D248:J248)</f>
        <v/>
      </c>
    </row>
    <row r="249">
      <c r="A249" s="5" t="inlineStr">
        <is>
          <t>EM000153</t>
        </is>
      </c>
      <c r="B249" s="5" t="inlineStr">
        <is>
          <t>FRANCISCO WAGNER DE FREITAS ARAUJO</t>
        </is>
      </c>
      <c r="C249" s="5">
        <f>IFERROR(INDEX(DePara[Categoria],MATCH(TEXT(A249,"0"),DePara[Fornecedor_txt],0)),"(sem categoria)")</f>
        <v/>
      </c>
      <c r="D249" s="12">
        <f>SUMIFS(Base[Montante],Base[Fornecedor],$A249&amp;"",Base[Ano],D$4)</f>
        <v/>
      </c>
      <c r="E249" s="12">
        <f>SUMIFS(Base[Montante],Base[Fornecedor],$A249&amp;"",Base[Ano],E$4)</f>
        <v/>
      </c>
      <c r="F249" s="12">
        <f>SUMIFS(Base[Montante],Base[Fornecedor],$A249&amp;"",Base[Ano],F$4)</f>
        <v/>
      </c>
      <c r="G249" s="12">
        <f>SUMIFS(Base[Montante],Base[Fornecedor],$A249&amp;"",Base[Ano],G$4)</f>
        <v/>
      </c>
      <c r="H249" s="12">
        <f>SUMIFS(Base[Montante],Base[Fornecedor],$A249&amp;"",Base[Ano],H$4)</f>
        <v/>
      </c>
      <c r="I249" s="12">
        <f>SUMIFS(Base[Montante],Base[Fornecedor],$A249&amp;"",Base[Ano],I$4)</f>
        <v/>
      </c>
      <c r="J249" s="12">
        <f>SUMIFS(Base[Montante],Base[Fornecedor],$A249&amp;"",Base[Ano],J$4)</f>
        <v/>
      </c>
      <c r="K249" s="12">
        <f>SUM(D249:J249)</f>
        <v/>
      </c>
    </row>
    <row r="250">
      <c r="A250" s="5" t="inlineStr">
        <is>
          <t>EM003725</t>
        </is>
      </c>
      <c r="B250" s="5" t="inlineStr">
        <is>
          <t>FRANKLIN CLEMENTE DE FRANÇA</t>
        </is>
      </c>
      <c r="C250" s="5">
        <f>IFERROR(INDEX(DePara[Categoria],MATCH(TEXT(A250,"0"),DePara[Fornecedor_txt],0)),"(sem categoria)")</f>
        <v/>
      </c>
      <c r="D250" s="12">
        <f>SUMIFS(Base[Montante],Base[Fornecedor],$A250&amp;"",Base[Ano],D$4)</f>
        <v/>
      </c>
      <c r="E250" s="12">
        <f>SUMIFS(Base[Montante],Base[Fornecedor],$A250&amp;"",Base[Ano],E$4)</f>
        <v/>
      </c>
      <c r="F250" s="12">
        <f>SUMIFS(Base[Montante],Base[Fornecedor],$A250&amp;"",Base[Ano],F$4)</f>
        <v/>
      </c>
      <c r="G250" s="12">
        <f>SUMIFS(Base[Montante],Base[Fornecedor],$A250&amp;"",Base[Ano],G$4)</f>
        <v/>
      </c>
      <c r="H250" s="12">
        <f>SUMIFS(Base[Montante],Base[Fornecedor],$A250&amp;"",Base[Ano],H$4)</f>
        <v/>
      </c>
      <c r="I250" s="12">
        <f>SUMIFS(Base[Montante],Base[Fornecedor],$A250&amp;"",Base[Ano],I$4)</f>
        <v/>
      </c>
      <c r="J250" s="12">
        <f>SUMIFS(Base[Montante],Base[Fornecedor],$A250&amp;"",Base[Ano],J$4)</f>
        <v/>
      </c>
      <c r="K250" s="12">
        <f>SUM(D250:J250)</f>
        <v/>
      </c>
    </row>
    <row r="251">
      <c r="A251" s="5" t="inlineStr">
        <is>
          <t>EM000134</t>
        </is>
      </c>
      <c r="B251" s="5" t="inlineStr">
        <is>
          <t>FRED LACERDA MACEDO</t>
        </is>
      </c>
      <c r="C251" s="5">
        <f>IFERROR(INDEX(DePara[Categoria],MATCH(TEXT(A251,"0"),DePara[Fornecedor_txt],0)),"(sem categoria)")</f>
        <v/>
      </c>
      <c r="D251" s="12">
        <f>SUMIFS(Base[Montante],Base[Fornecedor],$A251&amp;"",Base[Ano],D$4)</f>
        <v/>
      </c>
      <c r="E251" s="12">
        <f>SUMIFS(Base[Montante],Base[Fornecedor],$A251&amp;"",Base[Ano],E$4)</f>
        <v/>
      </c>
      <c r="F251" s="12">
        <f>SUMIFS(Base[Montante],Base[Fornecedor],$A251&amp;"",Base[Ano],F$4)</f>
        <v/>
      </c>
      <c r="G251" s="12">
        <f>SUMIFS(Base[Montante],Base[Fornecedor],$A251&amp;"",Base[Ano],G$4)</f>
        <v/>
      </c>
      <c r="H251" s="12">
        <f>SUMIFS(Base[Montante],Base[Fornecedor],$A251&amp;"",Base[Ano],H$4)</f>
        <v/>
      </c>
      <c r="I251" s="12">
        <f>SUMIFS(Base[Montante],Base[Fornecedor],$A251&amp;"",Base[Ano],I$4)</f>
        <v/>
      </c>
      <c r="J251" s="12">
        <f>SUMIFS(Base[Montante],Base[Fornecedor],$A251&amp;"",Base[Ano],J$4)</f>
        <v/>
      </c>
      <c r="K251" s="12">
        <f>SUM(D251:J251)</f>
        <v/>
      </c>
    </row>
    <row r="252">
      <c r="A252" s="5" t="n">
        <v>100485</v>
      </c>
      <c r="B252" s="5" t="inlineStr">
        <is>
          <t>FUCHS LUBRIFICANTES DO BRASIL LTDA</t>
        </is>
      </c>
      <c r="C252" s="5">
        <f>IFERROR(INDEX(DePara[Categoria],MATCH(TEXT(A252,"0"),DePara[Fornecedor_txt],0)),"(sem categoria)")</f>
        <v/>
      </c>
      <c r="D252" s="12">
        <f>SUMIFS(Base[Montante],Base[Fornecedor],$A252&amp;"",Base[Ano],D$4)</f>
        <v/>
      </c>
      <c r="E252" s="12">
        <f>SUMIFS(Base[Montante],Base[Fornecedor],$A252&amp;"",Base[Ano],E$4)</f>
        <v/>
      </c>
      <c r="F252" s="12">
        <f>SUMIFS(Base[Montante],Base[Fornecedor],$A252&amp;"",Base[Ano],F$4)</f>
        <v/>
      </c>
      <c r="G252" s="12">
        <f>SUMIFS(Base[Montante],Base[Fornecedor],$A252&amp;"",Base[Ano],G$4)</f>
        <v/>
      </c>
      <c r="H252" s="12">
        <f>SUMIFS(Base[Montante],Base[Fornecedor],$A252&amp;"",Base[Ano],H$4)</f>
        <v/>
      </c>
      <c r="I252" s="12">
        <f>SUMIFS(Base[Montante],Base[Fornecedor],$A252&amp;"",Base[Ano],I$4)</f>
        <v/>
      </c>
      <c r="J252" s="12">
        <f>SUMIFS(Base[Montante],Base[Fornecedor],$A252&amp;"",Base[Ano],J$4)</f>
        <v/>
      </c>
      <c r="K252" s="12">
        <f>SUM(D252:J252)</f>
        <v/>
      </c>
    </row>
    <row r="253">
      <c r="A253" s="5" t="n">
        <v>101202</v>
      </c>
      <c r="B253" s="5" t="inlineStr">
        <is>
          <t>FUNDACAO EZUTE</t>
        </is>
      </c>
      <c r="C253" s="5">
        <f>IFERROR(INDEX(DePara[Categoria],MATCH(TEXT(A253,"0"),DePara[Fornecedor_txt],0)),"(sem categoria)")</f>
        <v/>
      </c>
      <c r="D253" s="12">
        <f>SUMIFS(Base[Montante],Base[Fornecedor],$A253&amp;"",Base[Ano],D$4)</f>
        <v/>
      </c>
      <c r="E253" s="12">
        <f>SUMIFS(Base[Montante],Base[Fornecedor],$A253&amp;"",Base[Ano],E$4)</f>
        <v/>
      </c>
      <c r="F253" s="12">
        <f>SUMIFS(Base[Montante],Base[Fornecedor],$A253&amp;"",Base[Ano],F$4)</f>
        <v/>
      </c>
      <c r="G253" s="12">
        <f>SUMIFS(Base[Montante],Base[Fornecedor],$A253&amp;"",Base[Ano],G$4)</f>
        <v/>
      </c>
      <c r="H253" s="12">
        <f>SUMIFS(Base[Montante],Base[Fornecedor],$A253&amp;"",Base[Ano],H$4)</f>
        <v/>
      </c>
      <c r="I253" s="12">
        <f>SUMIFS(Base[Montante],Base[Fornecedor],$A253&amp;"",Base[Ano],I$4)</f>
        <v/>
      </c>
      <c r="J253" s="12">
        <f>SUMIFS(Base[Montante],Base[Fornecedor],$A253&amp;"",Base[Ano],J$4)</f>
        <v/>
      </c>
      <c r="K253" s="12">
        <f>SUM(D253:J253)</f>
        <v/>
      </c>
    </row>
    <row r="254">
      <c r="A254" s="5" t="n">
        <v>100773</v>
      </c>
      <c r="B254" s="5" t="inlineStr">
        <is>
          <t>G WIND SOLUCOES EOLICAS LTDA</t>
        </is>
      </c>
      <c r="C254" s="5">
        <f>IFERROR(INDEX(DePara[Categoria],MATCH(TEXT(A254,"0"),DePara[Fornecedor_txt],0)),"(sem categoria)")</f>
        <v/>
      </c>
      <c r="D254" s="12">
        <f>SUMIFS(Base[Montante],Base[Fornecedor],$A254&amp;"",Base[Ano],D$4)</f>
        <v/>
      </c>
      <c r="E254" s="12">
        <f>SUMIFS(Base[Montante],Base[Fornecedor],$A254&amp;"",Base[Ano],E$4)</f>
        <v/>
      </c>
      <c r="F254" s="12">
        <f>SUMIFS(Base[Montante],Base[Fornecedor],$A254&amp;"",Base[Ano],F$4)</f>
        <v/>
      </c>
      <c r="G254" s="12">
        <f>SUMIFS(Base[Montante],Base[Fornecedor],$A254&amp;"",Base[Ano],G$4)</f>
        <v/>
      </c>
      <c r="H254" s="12">
        <f>SUMIFS(Base[Montante],Base[Fornecedor],$A254&amp;"",Base[Ano],H$4)</f>
        <v/>
      </c>
      <c r="I254" s="12">
        <f>SUMIFS(Base[Montante],Base[Fornecedor],$A254&amp;"",Base[Ano],I$4)</f>
        <v/>
      </c>
      <c r="J254" s="12">
        <f>SUMIFS(Base[Montante],Base[Fornecedor],$A254&amp;"",Base[Ano],J$4)</f>
        <v/>
      </c>
      <c r="K254" s="12">
        <f>SUM(D254:J254)</f>
        <v/>
      </c>
    </row>
    <row r="255">
      <c r="A255" s="5" t="n">
        <v>101182</v>
      </c>
      <c r="B255" s="5" t="inlineStr">
        <is>
          <t>GAHE GASES E TRANSPORTES EIRELI</t>
        </is>
      </c>
      <c r="C255" s="5">
        <f>IFERROR(INDEX(DePara[Categoria],MATCH(TEXT(A255,"0"),DePara[Fornecedor_txt],0)),"(sem categoria)")</f>
        <v/>
      </c>
      <c r="D255" s="12">
        <f>SUMIFS(Base[Montante],Base[Fornecedor],$A255&amp;"",Base[Ano],D$4)</f>
        <v/>
      </c>
      <c r="E255" s="12">
        <f>SUMIFS(Base[Montante],Base[Fornecedor],$A255&amp;"",Base[Ano],E$4)</f>
        <v/>
      </c>
      <c r="F255" s="12">
        <f>SUMIFS(Base[Montante],Base[Fornecedor],$A255&amp;"",Base[Ano],F$4)</f>
        <v/>
      </c>
      <c r="G255" s="12">
        <f>SUMIFS(Base[Montante],Base[Fornecedor],$A255&amp;"",Base[Ano],G$4)</f>
        <v/>
      </c>
      <c r="H255" s="12">
        <f>SUMIFS(Base[Montante],Base[Fornecedor],$A255&amp;"",Base[Ano],H$4)</f>
        <v/>
      </c>
      <c r="I255" s="12">
        <f>SUMIFS(Base[Montante],Base[Fornecedor],$A255&amp;"",Base[Ano],I$4)</f>
        <v/>
      </c>
      <c r="J255" s="12">
        <f>SUMIFS(Base[Montante],Base[Fornecedor],$A255&amp;"",Base[Ano],J$4)</f>
        <v/>
      </c>
      <c r="K255" s="12">
        <f>SUM(D255:J255)</f>
        <v/>
      </c>
    </row>
    <row r="256">
      <c r="A256" s="5" t="n">
        <v>101331</v>
      </c>
      <c r="B256" s="5" t="inlineStr">
        <is>
          <t>GEODIS GERENCI DE FRETES DO BRASIL</t>
        </is>
      </c>
      <c r="C256" s="5">
        <f>IFERROR(INDEX(DePara[Categoria],MATCH(TEXT(A256,"0"),DePara[Fornecedor_txt],0)),"(sem categoria)")</f>
        <v/>
      </c>
      <c r="D256" s="12">
        <f>SUMIFS(Base[Montante],Base[Fornecedor],$A256&amp;"",Base[Ano],D$4)</f>
        <v/>
      </c>
      <c r="E256" s="12">
        <f>SUMIFS(Base[Montante],Base[Fornecedor],$A256&amp;"",Base[Ano],E$4)</f>
        <v/>
      </c>
      <c r="F256" s="12">
        <f>SUMIFS(Base[Montante],Base[Fornecedor],$A256&amp;"",Base[Ano],F$4)</f>
        <v/>
      </c>
      <c r="G256" s="12">
        <f>SUMIFS(Base[Montante],Base[Fornecedor],$A256&amp;"",Base[Ano],G$4)</f>
        <v/>
      </c>
      <c r="H256" s="12">
        <f>SUMIFS(Base[Montante],Base[Fornecedor],$A256&amp;"",Base[Ano],H$4)</f>
        <v/>
      </c>
      <c r="I256" s="12">
        <f>SUMIFS(Base[Montante],Base[Fornecedor],$A256&amp;"",Base[Ano],I$4)</f>
        <v/>
      </c>
      <c r="J256" s="12">
        <f>SUMIFS(Base[Montante],Base[Fornecedor],$A256&amp;"",Base[Ano],J$4)</f>
        <v/>
      </c>
      <c r="K256" s="12">
        <f>SUM(D256:J256)</f>
        <v/>
      </c>
    </row>
    <row r="257">
      <c r="A257" s="5" t="n">
        <v>100454</v>
      </c>
      <c r="B257" s="5" t="inlineStr">
        <is>
          <t>GEOMATICS GESTAO DE FROTAS LTDA</t>
        </is>
      </c>
      <c r="C257" s="5">
        <f>IFERROR(INDEX(DePara[Categoria],MATCH(TEXT(A257,"0"),DePara[Fornecedor_txt],0)),"(sem categoria)")</f>
        <v/>
      </c>
      <c r="D257" s="12">
        <f>SUMIFS(Base[Montante],Base[Fornecedor],$A257&amp;"",Base[Ano],D$4)</f>
        <v/>
      </c>
      <c r="E257" s="12">
        <f>SUMIFS(Base[Montante],Base[Fornecedor],$A257&amp;"",Base[Ano],E$4)</f>
        <v/>
      </c>
      <c r="F257" s="12">
        <f>SUMIFS(Base[Montante],Base[Fornecedor],$A257&amp;"",Base[Ano],F$4)</f>
        <v/>
      </c>
      <c r="G257" s="12">
        <f>SUMIFS(Base[Montante],Base[Fornecedor],$A257&amp;"",Base[Ano],G$4)</f>
        <v/>
      </c>
      <c r="H257" s="12">
        <f>SUMIFS(Base[Montante],Base[Fornecedor],$A257&amp;"",Base[Ano],H$4)</f>
        <v/>
      </c>
      <c r="I257" s="12">
        <f>SUMIFS(Base[Montante],Base[Fornecedor],$A257&amp;"",Base[Ano],I$4)</f>
        <v/>
      </c>
      <c r="J257" s="12">
        <f>SUMIFS(Base[Montante],Base[Fornecedor],$A257&amp;"",Base[Ano],J$4)</f>
        <v/>
      </c>
      <c r="K257" s="12">
        <f>SUM(D257:J257)</f>
        <v/>
      </c>
    </row>
    <row r="258">
      <c r="A258" s="5" t="inlineStr">
        <is>
          <t>EM000849</t>
        </is>
      </c>
      <c r="B258" s="5" t="inlineStr">
        <is>
          <t>GEOVANE FERREIRA DOS SANTOS</t>
        </is>
      </c>
      <c r="C258" s="5">
        <f>IFERROR(INDEX(DePara[Categoria],MATCH(TEXT(A258,"0"),DePara[Fornecedor_txt],0)),"(sem categoria)")</f>
        <v/>
      </c>
      <c r="D258" s="12">
        <f>SUMIFS(Base[Montante],Base[Fornecedor],$A258&amp;"",Base[Ano],D$4)</f>
        <v/>
      </c>
      <c r="E258" s="12">
        <f>SUMIFS(Base[Montante],Base[Fornecedor],$A258&amp;"",Base[Ano],E$4)</f>
        <v/>
      </c>
      <c r="F258" s="12">
        <f>SUMIFS(Base[Montante],Base[Fornecedor],$A258&amp;"",Base[Ano],F$4)</f>
        <v/>
      </c>
      <c r="G258" s="12">
        <f>SUMIFS(Base[Montante],Base[Fornecedor],$A258&amp;"",Base[Ano],G$4)</f>
        <v/>
      </c>
      <c r="H258" s="12">
        <f>SUMIFS(Base[Montante],Base[Fornecedor],$A258&amp;"",Base[Ano],H$4)</f>
        <v/>
      </c>
      <c r="I258" s="12">
        <f>SUMIFS(Base[Montante],Base[Fornecedor],$A258&amp;"",Base[Ano],I$4)</f>
        <v/>
      </c>
      <c r="J258" s="12">
        <f>SUMIFS(Base[Montante],Base[Fornecedor],$A258&amp;"",Base[Ano],J$4)</f>
        <v/>
      </c>
      <c r="K258" s="12">
        <f>SUM(D258:J258)</f>
        <v/>
      </c>
    </row>
    <row r="259">
      <c r="A259" s="5" t="inlineStr">
        <is>
          <t>EM000561</t>
        </is>
      </c>
      <c r="B259" s="5" t="inlineStr">
        <is>
          <t>GEOVANE PASSOS LOPES</t>
        </is>
      </c>
      <c r="C259" s="5">
        <f>IFERROR(INDEX(DePara[Categoria],MATCH(TEXT(A259,"0"),DePara[Fornecedor_txt],0)),"(sem categoria)")</f>
        <v/>
      </c>
      <c r="D259" s="12">
        <f>SUMIFS(Base[Montante],Base[Fornecedor],$A259&amp;"",Base[Ano],D$4)</f>
        <v/>
      </c>
      <c r="E259" s="12">
        <f>SUMIFS(Base[Montante],Base[Fornecedor],$A259&amp;"",Base[Ano],E$4)</f>
        <v/>
      </c>
      <c r="F259" s="12">
        <f>SUMIFS(Base[Montante],Base[Fornecedor],$A259&amp;"",Base[Ano],F$4)</f>
        <v/>
      </c>
      <c r="G259" s="12">
        <f>SUMIFS(Base[Montante],Base[Fornecedor],$A259&amp;"",Base[Ano],G$4)</f>
        <v/>
      </c>
      <c r="H259" s="12">
        <f>SUMIFS(Base[Montante],Base[Fornecedor],$A259&amp;"",Base[Ano],H$4)</f>
        <v/>
      </c>
      <c r="I259" s="12">
        <f>SUMIFS(Base[Montante],Base[Fornecedor],$A259&amp;"",Base[Ano],I$4)</f>
        <v/>
      </c>
      <c r="J259" s="12">
        <f>SUMIFS(Base[Montante],Base[Fornecedor],$A259&amp;"",Base[Ano],J$4)</f>
        <v/>
      </c>
      <c r="K259" s="12">
        <f>SUM(D259:J259)</f>
        <v/>
      </c>
    </row>
    <row r="260">
      <c r="A260" s="5" t="inlineStr">
        <is>
          <t>EM000959</t>
        </is>
      </c>
      <c r="B260" s="5" t="inlineStr">
        <is>
          <t>GEOVANE SANTOS GOMES</t>
        </is>
      </c>
      <c r="C260" s="5">
        <f>IFERROR(INDEX(DePara[Categoria],MATCH(TEXT(A260,"0"),DePara[Fornecedor_txt],0)),"(sem categoria)")</f>
        <v/>
      </c>
      <c r="D260" s="12">
        <f>SUMIFS(Base[Montante],Base[Fornecedor],$A260&amp;"",Base[Ano],D$4)</f>
        <v/>
      </c>
      <c r="E260" s="12">
        <f>SUMIFS(Base[Montante],Base[Fornecedor],$A260&amp;"",Base[Ano],E$4)</f>
        <v/>
      </c>
      <c r="F260" s="12">
        <f>SUMIFS(Base[Montante],Base[Fornecedor],$A260&amp;"",Base[Ano],F$4)</f>
        <v/>
      </c>
      <c r="G260" s="12">
        <f>SUMIFS(Base[Montante],Base[Fornecedor],$A260&amp;"",Base[Ano],G$4)</f>
        <v/>
      </c>
      <c r="H260" s="12">
        <f>SUMIFS(Base[Montante],Base[Fornecedor],$A260&amp;"",Base[Ano],H$4)</f>
        <v/>
      </c>
      <c r="I260" s="12">
        <f>SUMIFS(Base[Montante],Base[Fornecedor],$A260&amp;"",Base[Ano],I$4)</f>
        <v/>
      </c>
      <c r="J260" s="12">
        <f>SUMIFS(Base[Montante],Base[Fornecedor],$A260&amp;"",Base[Ano],J$4)</f>
        <v/>
      </c>
      <c r="K260" s="12">
        <f>SUM(D260:J260)</f>
        <v/>
      </c>
    </row>
    <row r="261">
      <c r="A261" s="5" t="n">
        <v>101855</v>
      </c>
      <c r="B261" s="5" t="inlineStr">
        <is>
          <t>GERDAU ACOS LONGOS SA</t>
        </is>
      </c>
      <c r="C261" s="5">
        <f>IFERROR(INDEX(DePara[Categoria],MATCH(TEXT(A261,"0"),DePara[Fornecedor_txt],0)),"(sem categoria)")</f>
        <v/>
      </c>
      <c r="D261" s="12">
        <f>SUMIFS(Base[Montante],Base[Fornecedor],$A261&amp;"",Base[Ano],D$4)</f>
        <v/>
      </c>
      <c r="E261" s="12">
        <f>SUMIFS(Base[Montante],Base[Fornecedor],$A261&amp;"",Base[Ano],E$4)</f>
        <v/>
      </c>
      <c r="F261" s="12">
        <f>SUMIFS(Base[Montante],Base[Fornecedor],$A261&amp;"",Base[Ano],F$4)</f>
        <v/>
      </c>
      <c r="G261" s="12">
        <f>SUMIFS(Base[Montante],Base[Fornecedor],$A261&amp;"",Base[Ano],G$4)</f>
        <v/>
      </c>
      <c r="H261" s="12">
        <f>SUMIFS(Base[Montante],Base[Fornecedor],$A261&amp;"",Base[Ano],H$4)</f>
        <v/>
      </c>
      <c r="I261" s="12">
        <f>SUMIFS(Base[Montante],Base[Fornecedor],$A261&amp;"",Base[Ano],I$4)</f>
        <v/>
      </c>
      <c r="J261" s="12">
        <f>SUMIFS(Base[Montante],Base[Fornecedor],$A261&amp;"",Base[Ano],J$4)</f>
        <v/>
      </c>
      <c r="K261" s="12">
        <f>SUM(D261:J261)</f>
        <v/>
      </c>
    </row>
    <row r="262">
      <c r="A262" s="5" t="inlineStr">
        <is>
          <t>EM000391</t>
        </is>
      </c>
      <c r="B262" s="5" t="inlineStr">
        <is>
          <t>GERLAN DA SILVA SAMPAIO</t>
        </is>
      </c>
      <c r="C262" s="5">
        <f>IFERROR(INDEX(DePara[Categoria],MATCH(TEXT(A262,"0"),DePara[Fornecedor_txt],0)),"(sem categoria)")</f>
        <v/>
      </c>
      <c r="D262" s="12">
        <f>SUMIFS(Base[Montante],Base[Fornecedor],$A262&amp;"",Base[Ano],D$4)</f>
        <v/>
      </c>
      <c r="E262" s="12">
        <f>SUMIFS(Base[Montante],Base[Fornecedor],$A262&amp;"",Base[Ano],E$4)</f>
        <v/>
      </c>
      <c r="F262" s="12">
        <f>SUMIFS(Base[Montante],Base[Fornecedor],$A262&amp;"",Base[Ano],F$4)</f>
        <v/>
      </c>
      <c r="G262" s="12">
        <f>SUMIFS(Base[Montante],Base[Fornecedor],$A262&amp;"",Base[Ano],G$4)</f>
        <v/>
      </c>
      <c r="H262" s="12">
        <f>SUMIFS(Base[Montante],Base[Fornecedor],$A262&amp;"",Base[Ano],H$4)</f>
        <v/>
      </c>
      <c r="I262" s="12">
        <f>SUMIFS(Base[Montante],Base[Fornecedor],$A262&amp;"",Base[Ano],I$4)</f>
        <v/>
      </c>
      <c r="J262" s="12">
        <f>SUMIFS(Base[Montante],Base[Fornecedor],$A262&amp;"",Base[Ano],J$4)</f>
        <v/>
      </c>
      <c r="K262" s="12">
        <f>SUM(D262:J262)</f>
        <v/>
      </c>
    </row>
    <row r="263">
      <c r="A263" s="5" t="n">
        <v>108019</v>
      </c>
      <c r="B263" s="5" t="inlineStr">
        <is>
          <t>GERSON PEDRO DOS SANTOS OLIVEIRA -M</t>
        </is>
      </c>
      <c r="C263" s="5">
        <f>IFERROR(INDEX(DePara[Categoria],MATCH(TEXT(A263,"0"),DePara[Fornecedor_txt],0)),"(sem categoria)")</f>
        <v/>
      </c>
      <c r="D263" s="12">
        <f>SUMIFS(Base[Montante],Base[Fornecedor],$A263&amp;"",Base[Ano],D$4)</f>
        <v/>
      </c>
      <c r="E263" s="12">
        <f>SUMIFS(Base[Montante],Base[Fornecedor],$A263&amp;"",Base[Ano],E$4)</f>
        <v/>
      </c>
      <c r="F263" s="12">
        <f>SUMIFS(Base[Montante],Base[Fornecedor],$A263&amp;"",Base[Ano],F$4)</f>
        <v/>
      </c>
      <c r="G263" s="12">
        <f>SUMIFS(Base[Montante],Base[Fornecedor],$A263&amp;"",Base[Ano],G$4)</f>
        <v/>
      </c>
      <c r="H263" s="12">
        <f>SUMIFS(Base[Montante],Base[Fornecedor],$A263&amp;"",Base[Ano],H$4)</f>
        <v/>
      </c>
      <c r="I263" s="12">
        <f>SUMIFS(Base[Montante],Base[Fornecedor],$A263&amp;"",Base[Ano],I$4)</f>
        <v/>
      </c>
      <c r="J263" s="12">
        <f>SUMIFS(Base[Montante],Base[Fornecedor],$A263&amp;"",Base[Ano],J$4)</f>
        <v/>
      </c>
      <c r="K263" s="12">
        <f>SUM(D263:J263)</f>
        <v/>
      </c>
    </row>
    <row r="264">
      <c r="A264" s="5" t="n">
        <v>102053</v>
      </c>
      <c r="B264" s="5" t="inlineStr">
        <is>
          <t>GH DO BRASIL INDUSTRIA E COMERCIO L</t>
        </is>
      </c>
      <c r="C264" s="5">
        <f>IFERROR(INDEX(DePara[Categoria],MATCH(TEXT(A264,"0"),DePara[Fornecedor_txt],0)),"(sem categoria)")</f>
        <v/>
      </c>
      <c r="D264" s="12">
        <f>SUMIFS(Base[Montante],Base[Fornecedor],$A264&amp;"",Base[Ano],D$4)</f>
        <v/>
      </c>
      <c r="E264" s="12">
        <f>SUMIFS(Base[Montante],Base[Fornecedor],$A264&amp;"",Base[Ano],E$4)</f>
        <v/>
      </c>
      <c r="F264" s="12">
        <f>SUMIFS(Base[Montante],Base[Fornecedor],$A264&amp;"",Base[Ano],F$4)</f>
        <v/>
      </c>
      <c r="G264" s="12">
        <f>SUMIFS(Base[Montante],Base[Fornecedor],$A264&amp;"",Base[Ano],G$4)</f>
        <v/>
      </c>
      <c r="H264" s="12">
        <f>SUMIFS(Base[Montante],Base[Fornecedor],$A264&amp;"",Base[Ano],H$4)</f>
        <v/>
      </c>
      <c r="I264" s="12">
        <f>SUMIFS(Base[Montante],Base[Fornecedor],$A264&amp;"",Base[Ano],I$4)</f>
        <v/>
      </c>
      <c r="J264" s="12">
        <f>SUMIFS(Base[Montante],Base[Fornecedor],$A264&amp;"",Base[Ano],J$4)</f>
        <v/>
      </c>
      <c r="K264" s="12">
        <f>SUM(D264:J264)</f>
        <v/>
      </c>
    </row>
    <row r="265">
      <c r="A265" s="5" t="inlineStr">
        <is>
          <t>EM000795</t>
        </is>
      </c>
      <c r="B265" s="5" t="inlineStr">
        <is>
          <t>Gian Walter dos Santos</t>
        </is>
      </c>
      <c r="C265" s="5">
        <f>IFERROR(INDEX(DePara[Categoria],MATCH(TEXT(A265,"0"),DePara[Fornecedor_txt],0)),"(sem categoria)")</f>
        <v/>
      </c>
      <c r="D265" s="12">
        <f>SUMIFS(Base[Montante],Base[Fornecedor],$A265&amp;"",Base[Ano],D$4)</f>
        <v/>
      </c>
      <c r="E265" s="12">
        <f>SUMIFS(Base[Montante],Base[Fornecedor],$A265&amp;"",Base[Ano],E$4)</f>
        <v/>
      </c>
      <c r="F265" s="12">
        <f>SUMIFS(Base[Montante],Base[Fornecedor],$A265&amp;"",Base[Ano],F$4)</f>
        <v/>
      </c>
      <c r="G265" s="12">
        <f>SUMIFS(Base[Montante],Base[Fornecedor],$A265&amp;"",Base[Ano],G$4)</f>
        <v/>
      </c>
      <c r="H265" s="12">
        <f>SUMIFS(Base[Montante],Base[Fornecedor],$A265&amp;"",Base[Ano],H$4)</f>
        <v/>
      </c>
      <c r="I265" s="12">
        <f>SUMIFS(Base[Montante],Base[Fornecedor],$A265&amp;"",Base[Ano],I$4)</f>
        <v/>
      </c>
      <c r="J265" s="12">
        <f>SUMIFS(Base[Montante],Base[Fornecedor],$A265&amp;"",Base[Ano],J$4)</f>
        <v/>
      </c>
      <c r="K265" s="12">
        <f>SUM(D265:J265)</f>
        <v/>
      </c>
    </row>
    <row r="266">
      <c r="A266" s="5" t="n">
        <v>102290</v>
      </c>
      <c r="B266" s="5" t="inlineStr">
        <is>
          <t>GILDO MARQUES RIBEIRO</t>
        </is>
      </c>
      <c r="C266" s="5">
        <f>IFERROR(INDEX(DePara[Categoria],MATCH(TEXT(A266,"0"),DePara[Fornecedor_txt],0)),"(sem categoria)")</f>
        <v/>
      </c>
      <c r="D266" s="12">
        <f>SUMIFS(Base[Montante],Base[Fornecedor],$A266&amp;"",Base[Ano],D$4)</f>
        <v/>
      </c>
      <c r="E266" s="12">
        <f>SUMIFS(Base[Montante],Base[Fornecedor],$A266&amp;"",Base[Ano],E$4)</f>
        <v/>
      </c>
      <c r="F266" s="12">
        <f>SUMIFS(Base[Montante],Base[Fornecedor],$A266&amp;"",Base[Ano],F$4)</f>
        <v/>
      </c>
      <c r="G266" s="12">
        <f>SUMIFS(Base[Montante],Base[Fornecedor],$A266&amp;"",Base[Ano],G$4)</f>
        <v/>
      </c>
      <c r="H266" s="12">
        <f>SUMIFS(Base[Montante],Base[Fornecedor],$A266&amp;"",Base[Ano],H$4)</f>
        <v/>
      </c>
      <c r="I266" s="12">
        <f>SUMIFS(Base[Montante],Base[Fornecedor],$A266&amp;"",Base[Ano],I$4)</f>
        <v/>
      </c>
      <c r="J266" s="12">
        <f>SUMIFS(Base[Montante],Base[Fornecedor],$A266&amp;"",Base[Ano],J$4)</f>
        <v/>
      </c>
      <c r="K266" s="12">
        <f>SUM(D266:J266)</f>
        <v/>
      </c>
    </row>
    <row r="267">
      <c r="A267" s="5" t="n">
        <v>102453</v>
      </c>
      <c r="B267" s="5" t="inlineStr">
        <is>
          <t>GILVAN GONÇALVES DE ANDRADE</t>
        </is>
      </c>
      <c r="C267" s="5">
        <f>IFERROR(INDEX(DePara[Categoria],MATCH(TEXT(A267,"0"),DePara[Fornecedor_txt],0)),"(sem categoria)")</f>
        <v/>
      </c>
      <c r="D267" s="12">
        <f>SUMIFS(Base[Montante],Base[Fornecedor],$A267&amp;"",Base[Ano],D$4)</f>
        <v/>
      </c>
      <c r="E267" s="12">
        <f>SUMIFS(Base[Montante],Base[Fornecedor],$A267&amp;"",Base[Ano],E$4)</f>
        <v/>
      </c>
      <c r="F267" s="12">
        <f>SUMIFS(Base[Montante],Base[Fornecedor],$A267&amp;"",Base[Ano],F$4)</f>
        <v/>
      </c>
      <c r="G267" s="12">
        <f>SUMIFS(Base[Montante],Base[Fornecedor],$A267&amp;"",Base[Ano],G$4)</f>
        <v/>
      </c>
      <c r="H267" s="12">
        <f>SUMIFS(Base[Montante],Base[Fornecedor],$A267&amp;"",Base[Ano],H$4)</f>
        <v/>
      </c>
      <c r="I267" s="12">
        <f>SUMIFS(Base[Montante],Base[Fornecedor],$A267&amp;"",Base[Ano],I$4)</f>
        <v/>
      </c>
      <c r="J267" s="12">
        <f>SUMIFS(Base[Montante],Base[Fornecedor],$A267&amp;"",Base[Ano],J$4)</f>
        <v/>
      </c>
      <c r="K267" s="12">
        <f>SUM(D267:J267)</f>
        <v/>
      </c>
    </row>
    <row r="268">
      <c r="A268" s="5" t="inlineStr">
        <is>
          <t>EM000108</t>
        </is>
      </c>
      <c r="B268" s="5" t="inlineStr">
        <is>
          <t>GISLANIO GOMES DA SILVA</t>
        </is>
      </c>
      <c r="C268" s="5">
        <f>IFERROR(INDEX(DePara[Categoria],MATCH(TEXT(A268,"0"),DePara[Fornecedor_txt],0)),"(sem categoria)")</f>
        <v/>
      </c>
      <c r="D268" s="12">
        <f>SUMIFS(Base[Montante],Base[Fornecedor],$A268&amp;"",Base[Ano],D$4)</f>
        <v/>
      </c>
      <c r="E268" s="12">
        <f>SUMIFS(Base[Montante],Base[Fornecedor],$A268&amp;"",Base[Ano],E$4)</f>
        <v/>
      </c>
      <c r="F268" s="12">
        <f>SUMIFS(Base[Montante],Base[Fornecedor],$A268&amp;"",Base[Ano],F$4)</f>
        <v/>
      </c>
      <c r="G268" s="12">
        <f>SUMIFS(Base[Montante],Base[Fornecedor],$A268&amp;"",Base[Ano],G$4)</f>
        <v/>
      </c>
      <c r="H268" s="12">
        <f>SUMIFS(Base[Montante],Base[Fornecedor],$A268&amp;"",Base[Ano],H$4)</f>
        <v/>
      </c>
      <c r="I268" s="12">
        <f>SUMIFS(Base[Montante],Base[Fornecedor],$A268&amp;"",Base[Ano],I$4)</f>
        <v/>
      </c>
      <c r="J268" s="12">
        <f>SUMIFS(Base[Montante],Base[Fornecedor],$A268&amp;"",Base[Ano],J$4)</f>
        <v/>
      </c>
      <c r="K268" s="12">
        <f>SUM(D268:J268)</f>
        <v/>
      </c>
    </row>
    <row r="269">
      <c r="A269" s="5" t="inlineStr">
        <is>
          <t>EM000586</t>
        </is>
      </c>
      <c r="B269" s="5" t="inlineStr">
        <is>
          <t>GLAYSON RICARDO DE QUEIROZ</t>
        </is>
      </c>
      <c r="C269" s="5">
        <f>IFERROR(INDEX(DePara[Categoria],MATCH(TEXT(A269,"0"),DePara[Fornecedor_txt],0)),"(sem categoria)")</f>
        <v/>
      </c>
      <c r="D269" s="12">
        <f>SUMIFS(Base[Montante],Base[Fornecedor],$A269&amp;"",Base[Ano],D$4)</f>
        <v/>
      </c>
      <c r="E269" s="12">
        <f>SUMIFS(Base[Montante],Base[Fornecedor],$A269&amp;"",Base[Ano],E$4)</f>
        <v/>
      </c>
      <c r="F269" s="12">
        <f>SUMIFS(Base[Montante],Base[Fornecedor],$A269&amp;"",Base[Ano],F$4)</f>
        <v/>
      </c>
      <c r="G269" s="12">
        <f>SUMIFS(Base[Montante],Base[Fornecedor],$A269&amp;"",Base[Ano],G$4)</f>
        <v/>
      </c>
      <c r="H269" s="12">
        <f>SUMIFS(Base[Montante],Base[Fornecedor],$A269&amp;"",Base[Ano],H$4)</f>
        <v/>
      </c>
      <c r="I269" s="12">
        <f>SUMIFS(Base[Montante],Base[Fornecedor],$A269&amp;"",Base[Ano],I$4)</f>
        <v/>
      </c>
      <c r="J269" s="12">
        <f>SUMIFS(Base[Montante],Base[Fornecedor],$A269&amp;"",Base[Ano],J$4)</f>
        <v/>
      </c>
      <c r="K269" s="12">
        <f>SUM(D269:J269)</f>
        <v/>
      </c>
    </row>
    <row r="270">
      <c r="A270" s="5" t="inlineStr">
        <is>
          <t>EM000619</t>
        </is>
      </c>
      <c r="B270" s="5" t="inlineStr">
        <is>
          <t>GLEUSON DE QUEIROZ FERNANDES</t>
        </is>
      </c>
      <c r="C270" s="5">
        <f>IFERROR(INDEX(DePara[Categoria],MATCH(TEXT(A270,"0"),DePara[Fornecedor_txt],0)),"(sem categoria)")</f>
        <v/>
      </c>
      <c r="D270" s="12">
        <f>SUMIFS(Base[Montante],Base[Fornecedor],$A270&amp;"",Base[Ano],D$4)</f>
        <v/>
      </c>
      <c r="E270" s="12">
        <f>SUMIFS(Base[Montante],Base[Fornecedor],$A270&amp;"",Base[Ano],E$4)</f>
        <v/>
      </c>
      <c r="F270" s="12">
        <f>SUMIFS(Base[Montante],Base[Fornecedor],$A270&amp;"",Base[Ano],F$4)</f>
        <v/>
      </c>
      <c r="G270" s="12">
        <f>SUMIFS(Base[Montante],Base[Fornecedor],$A270&amp;"",Base[Ano],G$4)</f>
        <v/>
      </c>
      <c r="H270" s="12">
        <f>SUMIFS(Base[Montante],Base[Fornecedor],$A270&amp;"",Base[Ano],H$4)</f>
        <v/>
      </c>
      <c r="I270" s="12">
        <f>SUMIFS(Base[Montante],Base[Fornecedor],$A270&amp;"",Base[Ano],I$4)</f>
        <v/>
      </c>
      <c r="J270" s="12">
        <f>SUMIFS(Base[Montante],Base[Fornecedor],$A270&amp;"",Base[Ano],J$4)</f>
        <v/>
      </c>
      <c r="K270" s="12">
        <f>SUM(D270:J270)</f>
        <v/>
      </c>
    </row>
    <row r="271">
      <c r="A271" s="5" t="inlineStr">
        <is>
          <t>EM000883</t>
        </is>
      </c>
      <c r="B271" s="5" t="inlineStr">
        <is>
          <t>GLINTON LEONARDO FERNANDES PEREIRA</t>
        </is>
      </c>
      <c r="C271" s="5">
        <f>IFERROR(INDEX(DePara[Categoria],MATCH(TEXT(A271,"0"),DePara[Fornecedor_txt],0)),"(sem categoria)")</f>
        <v/>
      </c>
      <c r="D271" s="12">
        <f>SUMIFS(Base[Montante],Base[Fornecedor],$A271&amp;"",Base[Ano],D$4)</f>
        <v/>
      </c>
      <c r="E271" s="12">
        <f>SUMIFS(Base[Montante],Base[Fornecedor],$A271&amp;"",Base[Ano],E$4)</f>
        <v/>
      </c>
      <c r="F271" s="12">
        <f>SUMIFS(Base[Montante],Base[Fornecedor],$A271&amp;"",Base[Ano],F$4)</f>
        <v/>
      </c>
      <c r="G271" s="12">
        <f>SUMIFS(Base[Montante],Base[Fornecedor],$A271&amp;"",Base[Ano],G$4)</f>
        <v/>
      </c>
      <c r="H271" s="12">
        <f>SUMIFS(Base[Montante],Base[Fornecedor],$A271&amp;"",Base[Ano],H$4)</f>
        <v/>
      </c>
      <c r="I271" s="12">
        <f>SUMIFS(Base[Montante],Base[Fornecedor],$A271&amp;"",Base[Ano],I$4)</f>
        <v/>
      </c>
      <c r="J271" s="12">
        <f>SUMIFS(Base[Montante],Base[Fornecedor],$A271&amp;"",Base[Ano],J$4)</f>
        <v/>
      </c>
      <c r="K271" s="12">
        <f>SUM(D271:J271)</f>
        <v/>
      </c>
    </row>
    <row r="272">
      <c r="A272" s="5" t="n">
        <v>101568</v>
      </c>
      <c r="B272" s="5" t="inlineStr">
        <is>
          <t>GLOBAL AIR CARGO LTDA</t>
        </is>
      </c>
      <c r="C272" s="5">
        <f>IFERROR(INDEX(DePara[Categoria],MATCH(TEXT(A272,"0"),DePara[Fornecedor_txt],0)),"(sem categoria)")</f>
        <v/>
      </c>
      <c r="D272" s="12">
        <f>SUMIFS(Base[Montante],Base[Fornecedor],$A272&amp;"",Base[Ano],D$4)</f>
        <v/>
      </c>
      <c r="E272" s="12">
        <f>SUMIFS(Base[Montante],Base[Fornecedor],$A272&amp;"",Base[Ano],E$4)</f>
        <v/>
      </c>
      <c r="F272" s="12">
        <f>SUMIFS(Base[Montante],Base[Fornecedor],$A272&amp;"",Base[Ano],F$4)</f>
        <v/>
      </c>
      <c r="G272" s="12">
        <f>SUMIFS(Base[Montante],Base[Fornecedor],$A272&amp;"",Base[Ano],G$4)</f>
        <v/>
      </c>
      <c r="H272" s="12">
        <f>SUMIFS(Base[Montante],Base[Fornecedor],$A272&amp;"",Base[Ano],H$4)</f>
        <v/>
      </c>
      <c r="I272" s="12">
        <f>SUMIFS(Base[Montante],Base[Fornecedor],$A272&amp;"",Base[Ano],I$4)</f>
        <v/>
      </c>
      <c r="J272" s="12">
        <f>SUMIFS(Base[Montante],Base[Fornecedor],$A272&amp;"",Base[Ano],J$4)</f>
        <v/>
      </c>
      <c r="K272" s="12">
        <f>SUM(D272:J272)</f>
        <v/>
      </c>
    </row>
    <row r="273">
      <c r="A273" s="5" t="n">
        <v>102017</v>
      </c>
      <c r="B273" s="5" t="inlineStr">
        <is>
          <t>GLOBO COMERCIO DE MAQUINAS E FERRAM</t>
        </is>
      </c>
      <c r="C273" s="5">
        <f>IFERROR(INDEX(DePara[Categoria],MATCH(TEXT(A273,"0"),DePara[Fornecedor_txt],0)),"(sem categoria)")</f>
        <v/>
      </c>
      <c r="D273" s="12">
        <f>SUMIFS(Base[Montante],Base[Fornecedor],$A273&amp;"",Base[Ano],D$4)</f>
        <v/>
      </c>
      <c r="E273" s="12">
        <f>SUMIFS(Base[Montante],Base[Fornecedor],$A273&amp;"",Base[Ano],E$4)</f>
        <v/>
      </c>
      <c r="F273" s="12">
        <f>SUMIFS(Base[Montante],Base[Fornecedor],$A273&amp;"",Base[Ano],F$4)</f>
        <v/>
      </c>
      <c r="G273" s="12">
        <f>SUMIFS(Base[Montante],Base[Fornecedor],$A273&amp;"",Base[Ano],G$4)</f>
        <v/>
      </c>
      <c r="H273" s="12">
        <f>SUMIFS(Base[Montante],Base[Fornecedor],$A273&amp;"",Base[Ano],H$4)</f>
        <v/>
      </c>
      <c r="I273" s="12">
        <f>SUMIFS(Base[Montante],Base[Fornecedor],$A273&amp;"",Base[Ano],I$4)</f>
        <v/>
      </c>
      <c r="J273" s="12">
        <f>SUMIFS(Base[Montante],Base[Fornecedor],$A273&amp;"",Base[Ano],J$4)</f>
        <v/>
      </c>
      <c r="K273" s="12">
        <f>SUM(D273:J273)</f>
        <v/>
      </c>
    </row>
    <row r="274">
      <c r="A274" s="5" t="n">
        <v>101300</v>
      </c>
      <c r="B274" s="5" t="inlineStr">
        <is>
          <t>GOL LINHAS AEREAS SA</t>
        </is>
      </c>
      <c r="C274" s="5">
        <f>IFERROR(INDEX(DePara[Categoria],MATCH(TEXT(A274,"0"),DePara[Fornecedor_txt],0)),"(sem categoria)")</f>
        <v/>
      </c>
      <c r="D274" s="12">
        <f>SUMIFS(Base[Montante],Base[Fornecedor],$A274&amp;"",Base[Ano],D$4)</f>
        <v/>
      </c>
      <c r="E274" s="12">
        <f>SUMIFS(Base[Montante],Base[Fornecedor],$A274&amp;"",Base[Ano],E$4)</f>
        <v/>
      </c>
      <c r="F274" s="12">
        <f>SUMIFS(Base[Montante],Base[Fornecedor],$A274&amp;"",Base[Ano],F$4)</f>
        <v/>
      </c>
      <c r="G274" s="12">
        <f>SUMIFS(Base[Montante],Base[Fornecedor],$A274&amp;"",Base[Ano],G$4)</f>
        <v/>
      </c>
      <c r="H274" s="12">
        <f>SUMIFS(Base[Montante],Base[Fornecedor],$A274&amp;"",Base[Ano],H$4)</f>
        <v/>
      </c>
      <c r="I274" s="12">
        <f>SUMIFS(Base[Montante],Base[Fornecedor],$A274&amp;"",Base[Ano],I$4)</f>
        <v/>
      </c>
      <c r="J274" s="12">
        <f>SUMIFS(Base[Montante],Base[Fornecedor],$A274&amp;"",Base[Ano],J$4)</f>
        <v/>
      </c>
      <c r="K274" s="12">
        <f>SUM(D274:J274)</f>
        <v/>
      </c>
    </row>
    <row r="275">
      <c r="A275" s="5" t="n">
        <v>100390</v>
      </c>
      <c r="B275" s="5" t="inlineStr">
        <is>
          <t>GREEN ENERGIA SERVICOS TECNICOS DE</t>
        </is>
      </c>
      <c r="C275" s="5">
        <f>IFERROR(INDEX(DePara[Categoria],MATCH(TEXT(A275,"0"),DePara[Fornecedor_txt],0)),"(sem categoria)")</f>
        <v/>
      </c>
      <c r="D275" s="12">
        <f>SUMIFS(Base[Montante],Base[Fornecedor],$A275&amp;"",Base[Ano],D$4)</f>
        <v/>
      </c>
      <c r="E275" s="12">
        <f>SUMIFS(Base[Montante],Base[Fornecedor],$A275&amp;"",Base[Ano],E$4)</f>
        <v/>
      </c>
      <c r="F275" s="12">
        <f>SUMIFS(Base[Montante],Base[Fornecedor],$A275&amp;"",Base[Ano],F$4)</f>
        <v/>
      </c>
      <c r="G275" s="12">
        <f>SUMIFS(Base[Montante],Base[Fornecedor],$A275&amp;"",Base[Ano],G$4)</f>
        <v/>
      </c>
      <c r="H275" s="12">
        <f>SUMIFS(Base[Montante],Base[Fornecedor],$A275&amp;"",Base[Ano],H$4)</f>
        <v/>
      </c>
      <c r="I275" s="12">
        <f>SUMIFS(Base[Montante],Base[Fornecedor],$A275&amp;"",Base[Ano],I$4)</f>
        <v/>
      </c>
      <c r="J275" s="12">
        <f>SUMIFS(Base[Montante],Base[Fornecedor],$A275&amp;"",Base[Ano],J$4)</f>
        <v/>
      </c>
      <c r="K275" s="12">
        <f>SUM(D275:J275)</f>
        <v/>
      </c>
    </row>
    <row r="276">
      <c r="A276" s="5" t="n">
        <v>100917</v>
      </c>
      <c r="B276" s="5" t="inlineStr">
        <is>
          <t>GREENLEGIS SERVIÇOS EM MANUTENÇÃO</t>
        </is>
      </c>
      <c r="C276" s="5">
        <f>IFERROR(INDEX(DePara[Categoria],MATCH(TEXT(A276,"0"),DePara[Fornecedor_txt],0)),"(sem categoria)")</f>
        <v/>
      </c>
      <c r="D276" s="12">
        <f>SUMIFS(Base[Montante],Base[Fornecedor],$A276&amp;"",Base[Ano],D$4)</f>
        <v/>
      </c>
      <c r="E276" s="12">
        <f>SUMIFS(Base[Montante],Base[Fornecedor],$A276&amp;"",Base[Ano],E$4)</f>
        <v/>
      </c>
      <c r="F276" s="12">
        <f>SUMIFS(Base[Montante],Base[Fornecedor],$A276&amp;"",Base[Ano],F$4)</f>
        <v/>
      </c>
      <c r="G276" s="12">
        <f>SUMIFS(Base[Montante],Base[Fornecedor],$A276&amp;"",Base[Ano],G$4)</f>
        <v/>
      </c>
      <c r="H276" s="12">
        <f>SUMIFS(Base[Montante],Base[Fornecedor],$A276&amp;"",Base[Ano],H$4)</f>
        <v/>
      </c>
      <c r="I276" s="12">
        <f>SUMIFS(Base[Montante],Base[Fornecedor],$A276&amp;"",Base[Ano],I$4)</f>
        <v/>
      </c>
      <c r="J276" s="12">
        <f>SUMIFS(Base[Montante],Base[Fornecedor],$A276&amp;"",Base[Ano],J$4)</f>
        <v/>
      </c>
      <c r="K276" s="12">
        <f>SUM(D276:J276)</f>
        <v/>
      </c>
    </row>
    <row r="277">
      <c r="A277" s="5" t="n">
        <v>103789</v>
      </c>
      <c r="B277" s="5" t="inlineStr">
        <is>
          <t>GSW SUL SOLUCOES DE INFORMATICA LTD</t>
        </is>
      </c>
      <c r="C277" s="5">
        <f>IFERROR(INDEX(DePara[Categoria],MATCH(TEXT(A277,"0"),DePara[Fornecedor_txt],0)),"(sem categoria)")</f>
        <v/>
      </c>
      <c r="D277" s="12">
        <f>SUMIFS(Base[Montante],Base[Fornecedor],$A277&amp;"",Base[Ano],D$4)</f>
        <v/>
      </c>
      <c r="E277" s="12">
        <f>SUMIFS(Base[Montante],Base[Fornecedor],$A277&amp;"",Base[Ano],E$4)</f>
        <v/>
      </c>
      <c r="F277" s="12">
        <f>SUMIFS(Base[Montante],Base[Fornecedor],$A277&amp;"",Base[Ano],F$4)</f>
        <v/>
      </c>
      <c r="G277" s="12">
        <f>SUMIFS(Base[Montante],Base[Fornecedor],$A277&amp;"",Base[Ano],G$4)</f>
        <v/>
      </c>
      <c r="H277" s="12">
        <f>SUMIFS(Base[Montante],Base[Fornecedor],$A277&amp;"",Base[Ano],H$4)</f>
        <v/>
      </c>
      <c r="I277" s="12">
        <f>SUMIFS(Base[Montante],Base[Fornecedor],$A277&amp;"",Base[Ano],I$4)</f>
        <v/>
      </c>
      <c r="J277" s="12">
        <f>SUMIFS(Base[Montante],Base[Fornecedor],$A277&amp;"",Base[Ano],J$4)</f>
        <v/>
      </c>
      <c r="K277" s="12">
        <f>SUM(D277:J277)</f>
        <v/>
      </c>
    </row>
    <row r="278">
      <c r="A278" s="5" t="inlineStr">
        <is>
          <t>EM000470</t>
        </is>
      </c>
      <c r="B278" s="5" t="inlineStr">
        <is>
          <t>GUILHERME ROSSONI DOS SANTOS</t>
        </is>
      </c>
      <c r="C278" s="5">
        <f>IFERROR(INDEX(DePara[Categoria],MATCH(TEXT(A278,"0"),DePara[Fornecedor_txt],0)),"(sem categoria)")</f>
        <v/>
      </c>
      <c r="D278" s="12">
        <f>SUMIFS(Base[Montante],Base[Fornecedor],$A278&amp;"",Base[Ano],D$4)</f>
        <v/>
      </c>
      <c r="E278" s="12">
        <f>SUMIFS(Base[Montante],Base[Fornecedor],$A278&amp;"",Base[Ano],E$4)</f>
        <v/>
      </c>
      <c r="F278" s="12">
        <f>SUMIFS(Base[Montante],Base[Fornecedor],$A278&amp;"",Base[Ano],F$4)</f>
        <v/>
      </c>
      <c r="G278" s="12">
        <f>SUMIFS(Base[Montante],Base[Fornecedor],$A278&amp;"",Base[Ano],G$4)</f>
        <v/>
      </c>
      <c r="H278" s="12">
        <f>SUMIFS(Base[Montante],Base[Fornecedor],$A278&amp;"",Base[Ano],H$4)</f>
        <v/>
      </c>
      <c r="I278" s="12">
        <f>SUMIFS(Base[Montante],Base[Fornecedor],$A278&amp;"",Base[Ano],I$4)</f>
        <v/>
      </c>
      <c r="J278" s="12">
        <f>SUMIFS(Base[Montante],Base[Fornecedor],$A278&amp;"",Base[Ano],J$4)</f>
        <v/>
      </c>
      <c r="K278" s="12">
        <f>SUM(D278:J278)</f>
        <v/>
      </c>
    </row>
    <row r="279">
      <c r="A279" s="5" t="inlineStr">
        <is>
          <t>EM000787</t>
        </is>
      </c>
      <c r="B279" s="5" t="inlineStr">
        <is>
          <t>GUILLERMO IGNACIO FALCONIS COSTA</t>
        </is>
      </c>
      <c r="C279" s="5">
        <f>IFERROR(INDEX(DePara[Categoria],MATCH(TEXT(A279,"0"),DePara[Fornecedor_txt],0)),"(sem categoria)")</f>
        <v/>
      </c>
      <c r="D279" s="12">
        <f>SUMIFS(Base[Montante],Base[Fornecedor],$A279&amp;"",Base[Ano],D$4)</f>
        <v/>
      </c>
      <c r="E279" s="12">
        <f>SUMIFS(Base[Montante],Base[Fornecedor],$A279&amp;"",Base[Ano],E$4)</f>
        <v/>
      </c>
      <c r="F279" s="12">
        <f>SUMIFS(Base[Montante],Base[Fornecedor],$A279&amp;"",Base[Ano],F$4)</f>
        <v/>
      </c>
      <c r="G279" s="12">
        <f>SUMIFS(Base[Montante],Base[Fornecedor],$A279&amp;"",Base[Ano],G$4)</f>
        <v/>
      </c>
      <c r="H279" s="12">
        <f>SUMIFS(Base[Montante],Base[Fornecedor],$A279&amp;"",Base[Ano],H$4)</f>
        <v/>
      </c>
      <c r="I279" s="12">
        <f>SUMIFS(Base[Montante],Base[Fornecedor],$A279&amp;"",Base[Ano],I$4)</f>
        <v/>
      </c>
      <c r="J279" s="12">
        <f>SUMIFS(Base[Montante],Base[Fornecedor],$A279&amp;"",Base[Ano],J$4)</f>
        <v/>
      </c>
      <c r="K279" s="12">
        <f>SUM(D279:J279)</f>
        <v/>
      </c>
    </row>
    <row r="280">
      <c r="A280" s="5" t="inlineStr">
        <is>
          <t>EM000024</t>
        </is>
      </c>
      <c r="B280" s="5" t="inlineStr">
        <is>
          <t>GUILLERMO ROSSI</t>
        </is>
      </c>
      <c r="C280" s="5">
        <f>IFERROR(INDEX(DePara[Categoria],MATCH(TEXT(A280,"0"),DePara[Fornecedor_txt],0)),"(sem categoria)")</f>
        <v/>
      </c>
      <c r="D280" s="12">
        <f>SUMIFS(Base[Montante],Base[Fornecedor],$A280&amp;"",Base[Ano],D$4)</f>
        <v/>
      </c>
      <c r="E280" s="12">
        <f>SUMIFS(Base[Montante],Base[Fornecedor],$A280&amp;"",Base[Ano],E$4)</f>
        <v/>
      </c>
      <c r="F280" s="12">
        <f>SUMIFS(Base[Montante],Base[Fornecedor],$A280&amp;"",Base[Ano],F$4)</f>
        <v/>
      </c>
      <c r="G280" s="12">
        <f>SUMIFS(Base[Montante],Base[Fornecedor],$A280&amp;"",Base[Ano],G$4)</f>
        <v/>
      </c>
      <c r="H280" s="12">
        <f>SUMIFS(Base[Montante],Base[Fornecedor],$A280&amp;"",Base[Ano],H$4)</f>
        <v/>
      </c>
      <c r="I280" s="12">
        <f>SUMIFS(Base[Montante],Base[Fornecedor],$A280&amp;"",Base[Ano],I$4)</f>
        <v/>
      </c>
      <c r="J280" s="12">
        <f>SUMIFS(Base[Montante],Base[Fornecedor],$A280&amp;"",Base[Ano],J$4)</f>
        <v/>
      </c>
      <c r="K280" s="12">
        <f>SUM(D280:J280)</f>
        <v/>
      </c>
    </row>
    <row r="281">
      <c r="A281" s="5" t="inlineStr">
        <is>
          <t>EM000063</t>
        </is>
      </c>
      <c r="B281" s="5" t="inlineStr">
        <is>
          <t>GUSTAVO CRISTYAN DE MACEDO SILVA</t>
        </is>
      </c>
      <c r="C281" s="5">
        <f>IFERROR(INDEX(DePara[Categoria],MATCH(TEXT(A281,"0"),DePara[Fornecedor_txt],0)),"(sem categoria)")</f>
        <v/>
      </c>
      <c r="D281" s="12">
        <f>SUMIFS(Base[Montante],Base[Fornecedor],$A281&amp;"",Base[Ano],D$4)</f>
        <v/>
      </c>
      <c r="E281" s="12">
        <f>SUMIFS(Base[Montante],Base[Fornecedor],$A281&amp;"",Base[Ano],E$4)</f>
        <v/>
      </c>
      <c r="F281" s="12">
        <f>SUMIFS(Base[Montante],Base[Fornecedor],$A281&amp;"",Base[Ano],F$4)</f>
        <v/>
      </c>
      <c r="G281" s="12">
        <f>SUMIFS(Base[Montante],Base[Fornecedor],$A281&amp;"",Base[Ano],G$4)</f>
        <v/>
      </c>
      <c r="H281" s="12">
        <f>SUMIFS(Base[Montante],Base[Fornecedor],$A281&amp;"",Base[Ano],H$4)</f>
        <v/>
      </c>
      <c r="I281" s="12">
        <f>SUMIFS(Base[Montante],Base[Fornecedor],$A281&amp;"",Base[Ano],I$4)</f>
        <v/>
      </c>
      <c r="J281" s="12">
        <f>SUMIFS(Base[Montante],Base[Fornecedor],$A281&amp;"",Base[Ano],J$4)</f>
        <v/>
      </c>
      <c r="K281" s="12">
        <f>SUM(D281:J281)</f>
        <v/>
      </c>
    </row>
    <row r="282">
      <c r="A282" s="5" t="inlineStr">
        <is>
          <t>EM000127</t>
        </is>
      </c>
      <c r="B282" s="5" t="inlineStr">
        <is>
          <t>GUSTAVO FERNANDES LIMA</t>
        </is>
      </c>
      <c r="C282" s="5">
        <f>IFERROR(INDEX(DePara[Categoria],MATCH(TEXT(A282,"0"),DePara[Fornecedor_txt],0)),"(sem categoria)")</f>
        <v/>
      </c>
      <c r="D282" s="12">
        <f>SUMIFS(Base[Montante],Base[Fornecedor],$A282&amp;"",Base[Ano],D$4)</f>
        <v/>
      </c>
      <c r="E282" s="12">
        <f>SUMIFS(Base[Montante],Base[Fornecedor],$A282&amp;"",Base[Ano],E$4)</f>
        <v/>
      </c>
      <c r="F282" s="12">
        <f>SUMIFS(Base[Montante],Base[Fornecedor],$A282&amp;"",Base[Ano],F$4)</f>
        <v/>
      </c>
      <c r="G282" s="12">
        <f>SUMIFS(Base[Montante],Base[Fornecedor],$A282&amp;"",Base[Ano],G$4)</f>
        <v/>
      </c>
      <c r="H282" s="12">
        <f>SUMIFS(Base[Montante],Base[Fornecedor],$A282&amp;"",Base[Ano],H$4)</f>
        <v/>
      </c>
      <c r="I282" s="12">
        <f>SUMIFS(Base[Montante],Base[Fornecedor],$A282&amp;"",Base[Ano],I$4)</f>
        <v/>
      </c>
      <c r="J282" s="12">
        <f>SUMIFS(Base[Montante],Base[Fornecedor],$A282&amp;"",Base[Ano],J$4)</f>
        <v/>
      </c>
      <c r="K282" s="12">
        <f>SUM(D282:J282)</f>
        <v/>
      </c>
    </row>
    <row r="283">
      <c r="A283" s="5" t="inlineStr">
        <is>
          <t>EM000100</t>
        </is>
      </c>
      <c r="B283" s="5" t="inlineStr">
        <is>
          <t>GUSTAVO ROCHA PACHECO</t>
        </is>
      </c>
      <c r="C283" s="5">
        <f>IFERROR(INDEX(DePara[Categoria],MATCH(TEXT(A283,"0"),DePara[Fornecedor_txt],0)),"(sem categoria)")</f>
        <v/>
      </c>
      <c r="D283" s="12">
        <f>SUMIFS(Base[Montante],Base[Fornecedor],$A283&amp;"",Base[Ano],D$4)</f>
        <v/>
      </c>
      <c r="E283" s="12">
        <f>SUMIFS(Base[Montante],Base[Fornecedor],$A283&amp;"",Base[Ano],E$4)</f>
        <v/>
      </c>
      <c r="F283" s="12">
        <f>SUMIFS(Base[Montante],Base[Fornecedor],$A283&amp;"",Base[Ano],F$4)</f>
        <v/>
      </c>
      <c r="G283" s="12">
        <f>SUMIFS(Base[Montante],Base[Fornecedor],$A283&amp;"",Base[Ano],G$4)</f>
        <v/>
      </c>
      <c r="H283" s="12">
        <f>SUMIFS(Base[Montante],Base[Fornecedor],$A283&amp;"",Base[Ano],H$4)</f>
        <v/>
      </c>
      <c r="I283" s="12">
        <f>SUMIFS(Base[Montante],Base[Fornecedor],$A283&amp;"",Base[Ano],I$4)</f>
        <v/>
      </c>
      <c r="J283" s="12">
        <f>SUMIFS(Base[Montante],Base[Fornecedor],$A283&amp;"",Base[Ano],J$4)</f>
        <v/>
      </c>
      <c r="K283" s="12">
        <f>SUM(D283:J283)</f>
        <v/>
      </c>
    </row>
    <row r="284">
      <c r="A284" s="5" t="n">
        <v>102126</v>
      </c>
      <c r="B284" s="5" t="inlineStr">
        <is>
          <t>GV NONDESTRUCTIVE TESTING LTDA ME</t>
        </is>
      </c>
      <c r="C284" s="5">
        <f>IFERROR(INDEX(DePara[Categoria],MATCH(TEXT(A284,"0"),DePara[Fornecedor_txt],0)),"(sem categoria)")</f>
        <v/>
      </c>
      <c r="D284" s="12">
        <f>SUMIFS(Base[Montante],Base[Fornecedor],$A284&amp;"",Base[Ano],D$4)</f>
        <v/>
      </c>
      <c r="E284" s="12">
        <f>SUMIFS(Base[Montante],Base[Fornecedor],$A284&amp;"",Base[Ano],E$4)</f>
        <v/>
      </c>
      <c r="F284" s="12">
        <f>SUMIFS(Base[Montante],Base[Fornecedor],$A284&amp;"",Base[Ano],F$4)</f>
        <v/>
      </c>
      <c r="G284" s="12">
        <f>SUMIFS(Base[Montante],Base[Fornecedor],$A284&amp;"",Base[Ano],G$4)</f>
        <v/>
      </c>
      <c r="H284" s="12">
        <f>SUMIFS(Base[Montante],Base[Fornecedor],$A284&amp;"",Base[Ano],H$4)</f>
        <v/>
      </c>
      <c r="I284" s="12">
        <f>SUMIFS(Base[Montante],Base[Fornecedor],$A284&amp;"",Base[Ano],I$4)</f>
        <v/>
      </c>
      <c r="J284" s="12">
        <f>SUMIFS(Base[Montante],Base[Fornecedor],$A284&amp;"",Base[Ano],J$4)</f>
        <v/>
      </c>
      <c r="K284" s="12">
        <f>SUM(D284:J284)</f>
        <v/>
      </c>
    </row>
    <row r="285">
      <c r="A285" s="5" t="n">
        <v>104143</v>
      </c>
      <c r="B285" s="5" t="inlineStr">
        <is>
          <t>H K ABDOUNI INSPECOES LTDA 10620234000195</t>
        </is>
      </c>
      <c r="C285" s="5">
        <f>IFERROR(INDEX(DePara[Categoria],MATCH(TEXT(A285,"0"),DePara[Fornecedor_txt],0)),"(sem categoria)")</f>
        <v/>
      </c>
      <c r="D285" s="12">
        <f>SUMIFS(Base[Montante],Base[Fornecedor],$A285&amp;"",Base[Ano],D$4)</f>
        <v/>
      </c>
      <c r="E285" s="12">
        <f>SUMIFS(Base[Montante],Base[Fornecedor],$A285&amp;"",Base[Ano],E$4)</f>
        <v/>
      </c>
      <c r="F285" s="12">
        <f>SUMIFS(Base[Montante],Base[Fornecedor],$A285&amp;"",Base[Ano],F$4)</f>
        <v/>
      </c>
      <c r="G285" s="12">
        <f>SUMIFS(Base[Montante],Base[Fornecedor],$A285&amp;"",Base[Ano],G$4)</f>
        <v/>
      </c>
      <c r="H285" s="12">
        <f>SUMIFS(Base[Montante],Base[Fornecedor],$A285&amp;"",Base[Ano],H$4)</f>
        <v/>
      </c>
      <c r="I285" s="12">
        <f>SUMIFS(Base[Montante],Base[Fornecedor],$A285&amp;"",Base[Ano],I$4)</f>
        <v/>
      </c>
      <c r="J285" s="12">
        <f>SUMIFS(Base[Montante],Base[Fornecedor],$A285&amp;"",Base[Ano],J$4)</f>
        <v/>
      </c>
      <c r="K285" s="12">
        <f>SUM(D285:J285)</f>
        <v/>
      </c>
    </row>
    <row r="286">
      <c r="A286" s="5" t="n">
        <v>101095</v>
      </c>
      <c r="B286" s="5" t="inlineStr">
        <is>
          <t>HAILO SISTEMAS METALICOS LTDA</t>
        </is>
      </c>
      <c r="C286" s="5">
        <f>IFERROR(INDEX(DePara[Categoria],MATCH(TEXT(A286,"0"),DePara[Fornecedor_txt],0)),"(sem categoria)")</f>
        <v/>
      </c>
      <c r="D286" s="12">
        <f>SUMIFS(Base[Montante],Base[Fornecedor],$A286&amp;"",Base[Ano],D$4)</f>
        <v/>
      </c>
      <c r="E286" s="12">
        <f>SUMIFS(Base[Montante],Base[Fornecedor],$A286&amp;"",Base[Ano],E$4)</f>
        <v/>
      </c>
      <c r="F286" s="12">
        <f>SUMIFS(Base[Montante],Base[Fornecedor],$A286&amp;"",Base[Ano],F$4)</f>
        <v/>
      </c>
      <c r="G286" s="12">
        <f>SUMIFS(Base[Montante],Base[Fornecedor],$A286&amp;"",Base[Ano],G$4)</f>
        <v/>
      </c>
      <c r="H286" s="12">
        <f>SUMIFS(Base[Montante],Base[Fornecedor],$A286&amp;"",Base[Ano],H$4)</f>
        <v/>
      </c>
      <c r="I286" s="12">
        <f>SUMIFS(Base[Montante],Base[Fornecedor],$A286&amp;"",Base[Ano],I$4)</f>
        <v/>
      </c>
      <c r="J286" s="12">
        <f>SUMIFS(Base[Montante],Base[Fornecedor],$A286&amp;"",Base[Ano],J$4)</f>
        <v/>
      </c>
      <c r="K286" s="12">
        <f>SUM(D286:J286)</f>
        <v/>
      </c>
    </row>
    <row r="287">
      <c r="A287" s="5" t="n">
        <v>101166</v>
      </c>
      <c r="B287" s="5" t="inlineStr">
        <is>
          <t>HANSA-FLEX DO BRASIL LTDA</t>
        </is>
      </c>
      <c r="C287" s="5">
        <f>IFERROR(INDEX(DePara[Categoria],MATCH(TEXT(A287,"0"),DePara[Fornecedor_txt],0)),"(sem categoria)")</f>
        <v/>
      </c>
      <c r="D287" s="12">
        <f>SUMIFS(Base[Montante],Base[Fornecedor],$A287&amp;"",Base[Ano],D$4)</f>
        <v/>
      </c>
      <c r="E287" s="12">
        <f>SUMIFS(Base[Montante],Base[Fornecedor],$A287&amp;"",Base[Ano],E$4)</f>
        <v/>
      </c>
      <c r="F287" s="12">
        <f>SUMIFS(Base[Montante],Base[Fornecedor],$A287&amp;"",Base[Ano],F$4)</f>
        <v/>
      </c>
      <c r="G287" s="12">
        <f>SUMIFS(Base[Montante],Base[Fornecedor],$A287&amp;"",Base[Ano],G$4)</f>
        <v/>
      </c>
      <c r="H287" s="12">
        <f>SUMIFS(Base[Montante],Base[Fornecedor],$A287&amp;"",Base[Ano],H$4)</f>
        <v/>
      </c>
      <c r="I287" s="12">
        <f>SUMIFS(Base[Montante],Base[Fornecedor],$A287&amp;"",Base[Ano],I$4)</f>
        <v/>
      </c>
      <c r="J287" s="12">
        <f>SUMIFS(Base[Montante],Base[Fornecedor],$A287&amp;"",Base[Ano],J$4)</f>
        <v/>
      </c>
      <c r="K287" s="12">
        <f>SUM(D287:J287)</f>
        <v/>
      </c>
    </row>
    <row r="288">
      <c r="A288" s="5" t="inlineStr">
        <is>
          <t>EM000431</t>
        </is>
      </c>
      <c r="B288" s="5" t="inlineStr">
        <is>
          <t>HERVERTON CAVALCANTE LIMA</t>
        </is>
      </c>
      <c r="C288" s="5">
        <f>IFERROR(INDEX(DePara[Categoria],MATCH(TEXT(A288,"0"),DePara[Fornecedor_txt],0)),"(sem categoria)")</f>
        <v/>
      </c>
      <c r="D288" s="12">
        <f>SUMIFS(Base[Montante],Base[Fornecedor],$A288&amp;"",Base[Ano],D$4)</f>
        <v/>
      </c>
      <c r="E288" s="12">
        <f>SUMIFS(Base[Montante],Base[Fornecedor],$A288&amp;"",Base[Ano],E$4)</f>
        <v/>
      </c>
      <c r="F288" s="12">
        <f>SUMIFS(Base[Montante],Base[Fornecedor],$A288&amp;"",Base[Ano],F$4)</f>
        <v/>
      </c>
      <c r="G288" s="12">
        <f>SUMIFS(Base[Montante],Base[Fornecedor],$A288&amp;"",Base[Ano],G$4)</f>
        <v/>
      </c>
      <c r="H288" s="12">
        <f>SUMIFS(Base[Montante],Base[Fornecedor],$A288&amp;"",Base[Ano],H$4)</f>
        <v/>
      </c>
      <c r="I288" s="12">
        <f>SUMIFS(Base[Montante],Base[Fornecedor],$A288&amp;"",Base[Ano],I$4)</f>
        <v/>
      </c>
      <c r="J288" s="12">
        <f>SUMIFS(Base[Montante],Base[Fornecedor],$A288&amp;"",Base[Ano],J$4)</f>
        <v/>
      </c>
      <c r="K288" s="12">
        <f>SUM(D288:J288)</f>
        <v/>
      </c>
    </row>
    <row r="289">
      <c r="A289" s="5" t="n">
        <v>106430</v>
      </c>
      <c r="B289" s="5" t="inlineStr">
        <is>
          <t>HIDRAULICA CONSTRUCCION Y CONSERVAC SA</t>
        </is>
      </c>
      <c r="C289" s="5">
        <f>IFERROR(INDEX(DePara[Categoria],MATCH(TEXT(A289,"0"),DePara[Fornecedor_txt],0)),"(sem categoria)")</f>
        <v/>
      </c>
      <c r="D289" s="12">
        <f>SUMIFS(Base[Montante],Base[Fornecedor],$A289&amp;"",Base[Ano],D$4)</f>
        <v/>
      </c>
      <c r="E289" s="12">
        <f>SUMIFS(Base[Montante],Base[Fornecedor],$A289&amp;"",Base[Ano],E$4)</f>
        <v/>
      </c>
      <c r="F289" s="12">
        <f>SUMIFS(Base[Montante],Base[Fornecedor],$A289&amp;"",Base[Ano],F$4)</f>
        <v/>
      </c>
      <c r="G289" s="12">
        <f>SUMIFS(Base[Montante],Base[Fornecedor],$A289&amp;"",Base[Ano],G$4)</f>
        <v/>
      </c>
      <c r="H289" s="12">
        <f>SUMIFS(Base[Montante],Base[Fornecedor],$A289&amp;"",Base[Ano],H$4)</f>
        <v/>
      </c>
      <c r="I289" s="12">
        <f>SUMIFS(Base[Montante],Base[Fornecedor],$A289&amp;"",Base[Ano],I$4)</f>
        <v/>
      </c>
      <c r="J289" s="12">
        <f>SUMIFS(Base[Montante],Base[Fornecedor],$A289&amp;"",Base[Ano],J$4)</f>
        <v/>
      </c>
      <c r="K289" s="12">
        <f>SUM(D289:J289)</f>
        <v/>
      </c>
    </row>
    <row r="290">
      <c r="A290" s="5" t="n">
        <v>102071</v>
      </c>
      <c r="B290" s="5" t="inlineStr">
        <is>
          <t>HINE DO BRASIL IND E COM HIDR E PN</t>
        </is>
      </c>
      <c r="C290" s="5">
        <f>IFERROR(INDEX(DePara[Categoria],MATCH(TEXT(A290,"0"),DePara[Fornecedor_txt],0)),"(sem categoria)")</f>
        <v/>
      </c>
      <c r="D290" s="12">
        <f>SUMIFS(Base[Montante],Base[Fornecedor],$A290&amp;"",Base[Ano],D$4)</f>
        <v/>
      </c>
      <c r="E290" s="12">
        <f>SUMIFS(Base[Montante],Base[Fornecedor],$A290&amp;"",Base[Ano],E$4)</f>
        <v/>
      </c>
      <c r="F290" s="12">
        <f>SUMIFS(Base[Montante],Base[Fornecedor],$A290&amp;"",Base[Ano],F$4)</f>
        <v/>
      </c>
      <c r="G290" s="12">
        <f>SUMIFS(Base[Montante],Base[Fornecedor],$A290&amp;"",Base[Ano],G$4)</f>
        <v/>
      </c>
      <c r="H290" s="12">
        <f>SUMIFS(Base[Montante],Base[Fornecedor],$A290&amp;"",Base[Ano],H$4)</f>
        <v/>
      </c>
      <c r="I290" s="12">
        <f>SUMIFS(Base[Montante],Base[Fornecedor],$A290&amp;"",Base[Ano],I$4)</f>
        <v/>
      </c>
      <c r="J290" s="12">
        <f>SUMIFS(Base[Montante],Base[Fornecedor],$A290&amp;"",Base[Ano],J$4)</f>
        <v/>
      </c>
      <c r="K290" s="12">
        <f>SUM(D290:J290)</f>
        <v/>
      </c>
    </row>
    <row r="291">
      <c r="A291" s="5" t="n">
        <v>103966</v>
      </c>
      <c r="B291" s="5" t="inlineStr">
        <is>
          <t>HINE DO BRASIL IND E COM HIDR E PN 12482538000754</t>
        </is>
      </c>
      <c r="C291" s="5">
        <f>IFERROR(INDEX(DePara[Categoria],MATCH(TEXT(A291,"0"),DePara[Fornecedor_txt],0)),"(sem categoria)")</f>
        <v/>
      </c>
      <c r="D291" s="12">
        <f>SUMIFS(Base[Montante],Base[Fornecedor],$A291&amp;"",Base[Ano],D$4)</f>
        <v/>
      </c>
      <c r="E291" s="12">
        <f>SUMIFS(Base[Montante],Base[Fornecedor],$A291&amp;"",Base[Ano],E$4)</f>
        <v/>
      </c>
      <c r="F291" s="12">
        <f>SUMIFS(Base[Montante],Base[Fornecedor],$A291&amp;"",Base[Ano],F$4)</f>
        <v/>
      </c>
      <c r="G291" s="12">
        <f>SUMIFS(Base[Montante],Base[Fornecedor],$A291&amp;"",Base[Ano],G$4)</f>
        <v/>
      </c>
      <c r="H291" s="12">
        <f>SUMIFS(Base[Montante],Base[Fornecedor],$A291&amp;"",Base[Ano],H$4)</f>
        <v/>
      </c>
      <c r="I291" s="12">
        <f>SUMIFS(Base[Montante],Base[Fornecedor],$A291&amp;"",Base[Ano],I$4)</f>
        <v/>
      </c>
      <c r="J291" s="12">
        <f>SUMIFS(Base[Montante],Base[Fornecedor],$A291&amp;"",Base[Ano],J$4)</f>
        <v/>
      </c>
      <c r="K291" s="12">
        <f>SUM(D291:J291)</f>
        <v/>
      </c>
    </row>
    <row r="292">
      <c r="A292" s="5" t="inlineStr">
        <is>
          <t>EM000279</t>
        </is>
      </c>
      <c r="B292" s="5" t="inlineStr">
        <is>
          <t>HOSAIAS VIEIRA CHAVES</t>
        </is>
      </c>
      <c r="C292" s="5">
        <f>IFERROR(INDEX(DePara[Categoria],MATCH(TEXT(A292,"0"),DePara[Fornecedor_txt],0)),"(sem categoria)")</f>
        <v/>
      </c>
      <c r="D292" s="12">
        <f>SUMIFS(Base[Montante],Base[Fornecedor],$A292&amp;"",Base[Ano],D$4)</f>
        <v/>
      </c>
      <c r="E292" s="12">
        <f>SUMIFS(Base[Montante],Base[Fornecedor],$A292&amp;"",Base[Ano],E$4)</f>
        <v/>
      </c>
      <c r="F292" s="12">
        <f>SUMIFS(Base[Montante],Base[Fornecedor],$A292&amp;"",Base[Ano],F$4)</f>
        <v/>
      </c>
      <c r="G292" s="12">
        <f>SUMIFS(Base[Montante],Base[Fornecedor],$A292&amp;"",Base[Ano],G$4)</f>
        <v/>
      </c>
      <c r="H292" s="12">
        <f>SUMIFS(Base[Montante],Base[Fornecedor],$A292&amp;"",Base[Ano],H$4)</f>
        <v/>
      </c>
      <c r="I292" s="12">
        <f>SUMIFS(Base[Montante],Base[Fornecedor],$A292&amp;"",Base[Ano],I$4)</f>
        <v/>
      </c>
      <c r="J292" s="12">
        <f>SUMIFS(Base[Montante],Base[Fornecedor],$A292&amp;"",Base[Ano],J$4)</f>
        <v/>
      </c>
      <c r="K292" s="12">
        <f>SUM(D292:J292)</f>
        <v/>
      </c>
    </row>
    <row r="293">
      <c r="A293" s="5" t="n">
        <v>100018</v>
      </c>
      <c r="B293" s="5" t="inlineStr">
        <is>
          <t>HOST TECNOLOGIA LTDA</t>
        </is>
      </c>
      <c r="C293" s="5">
        <f>IFERROR(INDEX(DePara[Categoria],MATCH(TEXT(A293,"0"),DePara[Fornecedor_txt],0)),"(sem categoria)")</f>
        <v/>
      </c>
      <c r="D293" s="12">
        <f>SUMIFS(Base[Montante],Base[Fornecedor],$A293&amp;"",Base[Ano],D$4)</f>
        <v/>
      </c>
      <c r="E293" s="12">
        <f>SUMIFS(Base[Montante],Base[Fornecedor],$A293&amp;"",Base[Ano],E$4)</f>
        <v/>
      </c>
      <c r="F293" s="12">
        <f>SUMIFS(Base[Montante],Base[Fornecedor],$A293&amp;"",Base[Ano],F$4)</f>
        <v/>
      </c>
      <c r="G293" s="12">
        <f>SUMIFS(Base[Montante],Base[Fornecedor],$A293&amp;"",Base[Ano],G$4)</f>
        <v/>
      </c>
      <c r="H293" s="12">
        <f>SUMIFS(Base[Montante],Base[Fornecedor],$A293&amp;"",Base[Ano],H$4)</f>
        <v/>
      </c>
      <c r="I293" s="12">
        <f>SUMIFS(Base[Montante],Base[Fornecedor],$A293&amp;"",Base[Ano],I$4)</f>
        <v/>
      </c>
      <c r="J293" s="12">
        <f>SUMIFS(Base[Montante],Base[Fornecedor],$A293&amp;"",Base[Ano],J$4)</f>
        <v/>
      </c>
      <c r="K293" s="12">
        <f>SUM(D293:J293)</f>
        <v/>
      </c>
    </row>
    <row r="294">
      <c r="A294" s="5" t="n">
        <v>100411</v>
      </c>
      <c r="B294" s="5" t="inlineStr">
        <is>
          <t>HOSTFIBER COMUNICACAO MULTIMIDIA LT</t>
        </is>
      </c>
      <c r="C294" s="5">
        <f>IFERROR(INDEX(DePara[Categoria],MATCH(TEXT(A294,"0"),DePara[Fornecedor_txt],0)),"(sem categoria)")</f>
        <v/>
      </c>
      <c r="D294" s="12">
        <f>SUMIFS(Base[Montante],Base[Fornecedor],$A294&amp;"",Base[Ano],D$4)</f>
        <v/>
      </c>
      <c r="E294" s="12">
        <f>SUMIFS(Base[Montante],Base[Fornecedor],$A294&amp;"",Base[Ano],E$4)</f>
        <v/>
      </c>
      <c r="F294" s="12">
        <f>SUMIFS(Base[Montante],Base[Fornecedor],$A294&amp;"",Base[Ano],F$4)</f>
        <v/>
      </c>
      <c r="G294" s="12">
        <f>SUMIFS(Base[Montante],Base[Fornecedor],$A294&amp;"",Base[Ano],G$4)</f>
        <v/>
      </c>
      <c r="H294" s="12">
        <f>SUMIFS(Base[Montante],Base[Fornecedor],$A294&amp;"",Base[Ano],H$4)</f>
        <v/>
      </c>
      <c r="I294" s="12">
        <f>SUMIFS(Base[Montante],Base[Fornecedor],$A294&amp;"",Base[Ano],I$4)</f>
        <v/>
      </c>
      <c r="J294" s="12">
        <f>SUMIFS(Base[Montante],Base[Fornecedor],$A294&amp;"",Base[Ano],J$4)</f>
        <v/>
      </c>
      <c r="K294" s="12">
        <f>SUM(D294:J294)</f>
        <v/>
      </c>
    </row>
    <row r="295">
      <c r="A295" s="5" t="inlineStr">
        <is>
          <t>EM000846</t>
        </is>
      </c>
      <c r="B295" s="5" t="inlineStr">
        <is>
          <t>HUGO MARQUES DA SILVA</t>
        </is>
      </c>
      <c r="C295" s="5">
        <f>IFERROR(INDEX(DePara[Categoria],MATCH(TEXT(A295,"0"),DePara[Fornecedor_txt],0)),"(sem categoria)")</f>
        <v/>
      </c>
      <c r="D295" s="12">
        <f>SUMIFS(Base[Montante],Base[Fornecedor],$A295&amp;"",Base[Ano],D$4)</f>
        <v/>
      </c>
      <c r="E295" s="12">
        <f>SUMIFS(Base[Montante],Base[Fornecedor],$A295&amp;"",Base[Ano],E$4)</f>
        <v/>
      </c>
      <c r="F295" s="12">
        <f>SUMIFS(Base[Montante],Base[Fornecedor],$A295&amp;"",Base[Ano],F$4)</f>
        <v/>
      </c>
      <c r="G295" s="12">
        <f>SUMIFS(Base[Montante],Base[Fornecedor],$A295&amp;"",Base[Ano],G$4)</f>
        <v/>
      </c>
      <c r="H295" s="12">
        <f>SUMIFS(Base[Montante],Base[Fornecedor],$A295&amp;"",Base[Ano],H$4)</f>
        <v/>
      </c>
      <c r="I295" s="12">
        <f>SUMIFS(Base[Montante],Base[Fornecedor],$A295&amp;"",Base[Ano],I$4)</f>
        <v/>
      </c>
      <c r="J295" s="12">
        <f>SUMIFS(Base[Montante],Base[Fornecedor],$A295&amp;"",Base[Ano],J$4)</f>
        <v/>
      </c>
      <c r="K295" s="12">
        <f>SUM(D295:J295)</f>
        <v/>
      </c>
    </row>
    <row r="296">
      <c r="A296" s="5" t="n">
        <v>101099</v>
      </c>
      <c r="B296" s="5" t="inlineStr">
        <is>
          <t>HYDAC TECNOLOGIA LTDA</t>
        </is>
      </c>
      <c r="C296" s="5">
        <f>IFERROR(INDEX(DePara[Categoria],MATCH(TEXT(A296,"0"),DePara[Fornecedor_txt],0)),"(sem categoria)")</f>
        <v/>
      </c>
      <c r="D296" s="12">
        <f>SUMIFS(Base[Montante],Base[Fornecedor],$A296&amp;"",Base[Ano],D$4)</f>
        <v/>
      </c>
      <c r="E296" s="12">
        <f>SUMIFS(Base[Montante],Base[Fornecedor],$A296&amp;"",Base[Ano],E$4)</f>
        <v/>
      </c>
      <c r="F296" s="12">
        <f>SUMIFS(Base[Montante],Base[Fornecedor],$A296&amp;"",Base[Ano],F$4)</f>
        <v/>
      </c>
      <c r="G296" s="12">
        <f>SUMIFS(Base[Montante],Base[Fornecedor],$A296&amp;"",Base[Ano],G$4)</f>
        <v/>
      </c>
      <c r="H296" s="12">
        <f>SUMIFS(Base[Montante],Base[Fornecedor],$A296&amp;"",Base[Ano],H$4)</f>
        <v/>
      </c>
      <c r="I296" s="12">
        <f>SUMIFS(Base[Montante],Base[Fornecedor],$A296&amp;"",Base[Ano],I$4)</f>
        <v/>
      </c>
      <c r="J296" s="12">
        <f>SUMIFS(Base[Montante],Base[Fornecedor],$A296&amp;"",Base[Ano],J$4)</f>
        <v/>
      </c>
      <c r="K296" s="12">
        <f>SUM(D296:J296)</f>
        <v/>
      </c>
    </row>
    <row r="297">
      <c r="A297" s="5" t="n">
        <v>101400</v>
      </c>
      <c r="B297" s="5" t="inlineStr">
        <is>
          <t>I. V. TRANSPORTES E LOCAÇÕES LTDA</t>
        </is>
      </c>
      <c r="C297" s="5">
        <f>IFERROR(INDEX(DePara[Categoria],MATCH(TEXT(A297,"0"),DePara[Fornecedor_txt],0)),"(sem categoria)")</f>
        <v/>
      </c>
      <c r="D297" s="12">
        <f>SUMIFS(Base[Montante],Base[Fornecedor],$A297&amp;"",Base[Ano],D$4)</f>
        <v/>
      </c>
      <c r="E297" s="12">
        <f>SUMIFS(Base[Montante],Base[Fornecedor],$A297&amp;"",Base[Ano],E$4)</f>
        <v/>
      </c>
      <c r="F297" s="12">
        <f>SUMIFS(Base[Montante],Base[Fornecedor],$A297&amp;"",Base[Ano],F$4)</f>
        <v/>
      </c>
      <c r="G297" s="12">
        <f>SUMIFS(Base[Montante],Base[Fornecedor],$A297&amp;"",Base[Ano],G$4)</f>
        <v/>
      </c>
      <c r="H297" s="12">
        <f>SUMIFS(Base[Montante],Base[Fornecedor],$A297&amp;"",Base[Ano],H$4)</f>
        <v/>
      </c>
      <c r="I297" s="12">
        <f>SUMIFS(Base[Montante],Base[Fornecedor],$A297&amp;"",Base[Ano],I$4)</f>
        <v/>
      </c>
      <c r="J297" s="12">
        <f>SUMIFS(Base[Montante],Base[Fornecedor],$A297&amp;"",Base[Ano],J$4)</f>
        <v/>
      </c>
      <c r="K297" s="12">
        <f>SUM(D297:J297)</f>
        <v/>
      </c>
    </row>
    <row r="298">
      <c r="A298" s="5" t="inlineStr">
        <is>
          <t>EM000155</t>
        </is>
      </c>
      <c r="B298" s="5" t="inlineStr">
        <is>
          <t>IAGO TEIXEIRA MORGADO</t>
        </is>
      </c>
      <c r="C298" s="5">
        <f>IFERROR(INDEX(DePara[Categoria],MATCH(TEXT(A298,"0"),DePara[Fornecedor_txt],0)),"(sem categoria)")</f>
        <v/>
      </c>
      <c r="D298" s="12">
        <f>SUMIFS(Base[Montante],Base[Fornecedor],$A298&amp;"",Base[Ano],D$4)</f>
        <v/>
      </c>
      <c r="E298" s="12">
        <f>SUMIFS(Base[Montante],Base[Fornecedor],$A298&amp;"",Base[Ano],E$4)</f>
        <v/>
      </c>
      <c r="F298" s="12">
        <f>SUMIFS(Base[Montante],Base[Fornecedor],$A298&amp;"",Base[Ano],F$4)</f>
        <v/>
      </c>
      <c r="G298" s="12">
        <f>SUMIFS(Base[Montante],Base[Fornecedor],$A298&amp;"",Base[Ano],G$4)</f>
        <v/>
      </c>
      <c r="H298" s="12">
        <f>SUMIFS(Base[Montante],Base[Fornecedor],$A298&amp;"",Base[Ano],H$4)</f>
        <v/>
      </c>
      <c r="I298" s="12">
        <f>SUMIFS(Base[Montante],Base[Fornecedor],$A298&amp;"",Base[Ano],I$4)</f>
        <v/>
      </c>
      <c r="J298" s="12">
        <f>SUMIFS(Base[Montante],Base[Fornecedor],$A298&amp;"",Base[Ano],J$4)</f>
        <v/>
      </c>
      <c r="K298" s="12">
        <f>SUM(D298:J298)</f>
        <v/>
      </c>
    </row>
    <row r="299">
      <c r="A299" s="5" t="n">
        <v>101135</v>
      </c>
      <c r="B299" s="5" t="inlineStr">
        <is>
          <t>IDEAL WORK UNIFORMES E E.P.I.S LTDA</t>
        </is>
      </c>
      <c r="C299" s="5">
        <f>IFERROR(INDEX(DePara[Categoria],MATCH(TEXT(A299,"0"),DePara[Fornecedor_txt],0)),"(sem categoria)")</f>
        <v/>
      </c>
      <c r="D299" s="12">
        <f>SUMIFS(Base[Montante],Base[Fornecedor],$A299&amp;"",Base[Ano],D$4)</f>
        <v/>
      </c>
      <c r="E299" s="12">
        <f>SUMIFS(Base[Montante],Base[Fornecedor],$A299&amp;"",Base[Ano],E$4)</f>
        <v/>
      </c>
      <c r="F299" s="12">
        <f>SUMIFS(Base[Montante],Base[Fornecedor],$A299&amp;"",Base[Ano],F$4)</f>
        <v/>
      </c>
      <c r="G299" s="12">
        <f>SUMIFS(Base[Montante],Base[Fornecedor],$A299&amp;"",Base[Ano],G$4)</f>
        <v/>
      </c>
      <c r="H299" s="12">
        <f>SUMIFS(Base[Montante],Base[Fornecedor],$A299&amp;"",Base[Ano],H$4)</f>
        <v/>
      </c>
      <c r="I299" s="12">
        <f>SUMIFS(Base[Montante],Base[Fornecedor],$A299&amp;"",Base[Ano],I$4)</f>
        <v/>
      </c>
      <c r="J299" s="12">
        <f>SUMIFS(Base[Montante],Base[Fornecedor],$A299&amp;"",Base[Ano],J$4)</f>
        <v/>
      </c>
      <c r="K299" s="12">
        <f>SUM(D299:J299)</f>
        <v/>
      </c>
    </row>
    <row r="300">
      <c r="A300" s="5" t="inlineStr">
        <is>
          <t>EM000747</t>
        </is>
      </c>
      <c r="B300" s="5" t="inlineStr">
        <is>
          <t>IGOR RAFAEL DA SILVA RAMOS</t>
        </is>
      </c>
      <c r="C300" s="5">
        <f>IFERROR(INDEX(DePara[Categoria],MATCH(TEXT(A300,"0"),DePara[Fornecedor_txt],0)),"(sem categoria)")</f>
        <v/>
      </c>
      <c r="D300" s="12">
        <f>SUMIFS(Base[Montante],Base[Fornecedor],$A300&amp;"",Base[Ano],D$4)</f>
        <v/>
      </c>
      <c r="E300" s="12">
        <f>SUMIFS(Base[Montante],Base[Fornecedor],$A300&amp;"",Base[Ano],E$4)</f>
        <v/>
      </c>
      <c r="F300" s="12">
        <f>SUMIFS(Base[Montante],Base[Fornecedor],$A300&amp;"",Base[Ano],F$4)</f>
        <v/>
      </c>
      <c r="G300" s="12">
        <f>SUMIFS(Base[Montante],Base[Fornecedor],$A300&amp;"",Base[Ano],G$4)</f>
        <v/>
      </c>
      <c r="H300" s="12">
        <f>SUMIFS(Base[Montante],Base[Fornecedor],$A300&amp;"",Base[Ano],H$4)</f>
        <v/>
      </c>
      <c r="I300" s="12">
        <f>SUMIFS(Base[Montante],Base[Fornecedor],$A300&amp;"",Base[Ano],I$4)</f>
        <v/>
      </c>
      <c r="J300" s="12">
        <f>SUMIFS(Base[Montante],Base[Fornecedor],$A300&amp;"",Base[Ano],J$4)</f>
        <v/>
      </c>
      <c r="K300" s="12">
        <f>SUM(D300:J300)</f>
        <v/>
      </c>
    </row>
    <row r="301">
      <c r="A301" s="5" t="n">
        <v>103693</v>
      </c>
      <c r="B301" s="5" t="inlineStr">
        <is>
          <t>IMERSA AUDITORIA E CONSULTORIA LTDA</t>
        </is>
      </c>
      <c r="C301" s="5">
        <f>IFERROR(INDEX(DePara[Categoria],MATCH(TEXT(A301,"0"),DePara[Fornecedor_txt],0)),"(sem categoria)")</f>
        <v/>
      </c>
      <c r="D301" s="12">
        <f>SUMIFS(Base[Montante],Base[Fornecedor],$A301&amp;"",Base[Ano],D$4)</f>
        <v/>
      </c>
      <c r="E301" s="12">
        <f>SUMIFS(Base[Montante],Base[Fornecedor],$A301&amp;"",Base[Ano],E$4)</f>
        <v/>
      </c>
      <c r="F301" s="12">
        <f>SUMIFS(Base[Montante],Base[Fornecedor],$A301&amp;"",Base[Ano],F$4)</f>
        <v/>
      </c>
      <c r="G301" s="12">
        <f>SUMIFS(Base[Montante],Base[Fornecedor],$A301&amp;"",Base[Ano],G$4)</f>
        <v/>
      </c>
      <c r="H301" s="12">
        <f>SUMIFS(Base[Montante],Base[Fornecedor],$A301&amp;"",Base[Ano],H$4)</f>
        <v/>
      </c>
      <c r="I301" s="12">
        <f>SUMIFS(Base[Montante],Base[Fornecedor],$A301&amp;"",Base[Ano],I$4)</f>
        <v/>
      </c>
      <c r="J301" s="12">
        <f>SUMIFS(Base[Montante],Base[Fornecedor],$A301&amp;"",Base[Ano],J$4)</f>
        <v/>
      </c>
      <c r="K301" s="12">
        <f>SUM(D301:J301)</f>
        <v/>
      </c>
    </row>
    <row r="302">
      <c r="A302" s="5" t="n">
        <v>101105</v>
      </c>
      <c r="B302" s="5" t="inlineStr">
        <is>
          <t>IMUNIZADORA POTYGUAR E SERVICOS LTD</t>
        </is>
      </c>
      <c r="C302" s="5">
        <f>IFERROR(INDEX(DePara[Categoria],MATCH(TEXT(A302,"0"),DePara[Fornecedor_txt],0)),"(sem categoria)")</f>
        <v/>
      </c>
      <c r="D302" s="12">
        <f>SUMIFS(Base[Montante],Base[Fornecedor],$A302&amp;"",Base[Ano],D$4)</f>
        <v/>
      </c>
      <c r="E302" s="12">
        <f>SUMIFS(Base[Montante],Base[Fornecedor],$A302&amp;"",Base[Ano],E$4)</f>
        <v/>
      </c>
      <c r="F302" s="12">
        <f>SUMIFS(Base[Montante],Base[Fornecedor],$A302&amp;"",Base[Ano],F$4)</f>
        <v/>
      </c>
      <c r="G302" s="12">
        <f>SUMIFS(Base[Montante],Base[Fornecedor],$A302&amp;"",Base[Ano],G$4)</f>
        <v/>
      </c>
      <c r="H302" s="12">
        <f>SUMIFS(Base[Montante],Base[Fornecedor],$A302&amp;"",Base[Ano],H$4)</f>
        <v/>
      </c>
      <c r="I302" s="12">
        <f>SUMIFS(Base[Montante],Base[Fornecedor],$A302&amp;"",Base[Ano],I$4)</f>
        <v/>
      </c>
      <c r="J302" s="12">
        <f>SUMIFS(Base[Montante],Base[Fornecedor],$A302&amp;"",Base[Ano],J$4)</f>
        <v/>
      </c>
      <c r="K302" s="12">
        <f>SUM(D302:J302)</f>
        <v/>
      </c>
    </row>
    <row r="303">
      <c r="A303" s="5" t="n">
        <v>102060</v>
      </c>
      <c r="B303" s="5" t="inlineStr">
        <is>
          <t>INGETEAM LTDA 03306629000152</t>
        </is>
      </c>
      <c r="C303" s="5">
        <f>IFERROR(INDEX(DePara[Categoria],MATCH(TEXT(A303,"0"),DePara[Fornecedor_txt],0)),"(sem categoria)")</f>
        <v/>
      </c>
      <c r="D303" s="12">
        <f>SUMIFS(Base[Montante],Base[Fornecedor],$A303&amp;"",Base[Ano],D$4)</f>
        <v/>
      </c>
      <c r="E303" s="12">
        <f>SUMIFS(Base[Montante],Base[Fornecedor],$A303&amp;"",Base[Ano],E$4)</f>
        <v/>
      </c>
      <c r="F303" s="12">
        <f>SUMIFS(Base[Montante],Base[Fornecedor],$A303&amp;"",Base[Ano],F$4)</f>
        <v/>
      </c>
      <c r="G303" s="12">
        <f>SUMIFS(Base[Montante],Base[Fornecedor],$A303&amp;"",Base[Ano],G$4)</f>
        <v/>
      </c>
      <c r="H303" s="12">
        <f>SUMIFS(Base[Montante],Base[Fornecedor],$A303&amp;"",Base[Ano],H$4)</f>
        <v/>
      </c>
      <c r="I303" s="12">
        <f>SUMIFS(Base[Montante],Base[Fornecedor],$A303&amp;"",Base[Ano],I$4)</f>
        <v/>
      </c>
      <c r="J303" s="12">
        <f>SUMIFS(Base[Montante],Base[Fornecedor],$A303&amp;"",Base[Ano],J$4)</f>
        <v/>
      </c>
      <c r="K303" s="12">
        <f>SUM(D303:J303)</f>
        <v/>
      </c>
    </row>
    <row r="304">
      <c r="A304" s="5" t="n">
        <v>101846</v>
      </c>
      <c r="B304" s="5" t="inlineStr">
        <is>
          <t>INNOVARE CONTABILIDADE LTDA EPP</t>
        </is>
      </c>
      <c r="C304" s="5">
        <f>IFERROR(INDEX(DePara[Categoria],MATCH(TEXT(A304,"0"),DePara[Fornecedor_txt],0)),"(sem categoria)")</f>
        <v/>
      </c>
      <c r="D304" s="12">
        <f>SUMIFS(Base[Montante],Base[Fornecedor],$A304&amp;"",Base[Ano],D$4)</f>
        <v/>
      </c>
      <c r="E304" s="12">
        <f>SUMIFS(Base[Montante],Base[Fornecedor],$A304&amp;"",Base[Ano],E$4)</f>
        <v/>
      </c>
      <c r="F304" s="12">
        <f>SUMIFS(Base[Montante],Base[Fornecedor],$A304&amp;"",Base[Ano],F$4)</f>
        <v/>
      </c>
      <c r="G304" s="12">
        <f>SUMIFS(Base[Montante],Base[Fornecedor],$A304&amp;"",Base[Ano],G$4)</f>
        <v/>
      </c>
      <c r="H304" s="12">
        <f>SUMIFS(Base[Montante],Base[Fornecedor],$A304&amp;"",Base[Ano],H$4)</f>
        <v/>
      </c>
      <c r="I304" s="12">
        <f>SUMIFS(Base[Montante],Base[Fornecedor],$A304&amp;"",Base[Ano],I$4)</f>
        <v/>
      </c>
      <c r="J304" s="12">
        <f>SUMIFS(Base[Montante],Base[Fornecedor],$A304&amp;"",Base[Ano],J$4)</f>
        <v/>
      </c>
      <c r="K304" s="12">
        <f>SUM(D304:J304)</f>
        <v/>
      </c>
    </row>
    <row r="305">
      <c r="A305" s="5" t="n">
        <v>100359</v>
      </c>
      <c r="B305" s="5" t="inlineStr">
        <is>
          <t>INOVAR LOCACOES MOSSORO LTDA</t>
        </is>
      </c>
      <c r="C305" s="5">
        <f>IFERROR(INDEX(DePara[Categoria],MATCH(TEXT(A305,"0"),DePara[Fornecedor_txt],0)),"(sem categoria)")</f>
        <v/>
      </c>
      <c r="D305" s="12">
        <f>SUMIFS(Base[Montante],Base[Fornecedor],$A305&amp;"",Base[Ano],D$4)</f>
        <v/>
      </c>
      <c r="E305" s="12">
        <f>SUMIFS(Base[Montante],Base[Fornecedor],$A305&amp;"",Base[Ano],E$4)</f>
        <v/>
      </c>
      <c r="F305" s="12">
        <f>SUMIFS(Base[Montante],Base[Fornecedor],$A305&amp;"",Base[Ano],F$4)</f>
        <v/>
      </c>
      <c r="G305" s="12">
        <f>SUMIFS(Base[Montante],Base[Fornecedor],$A305&amp;"",Base[Ano],G$4)</f>
        <v/>
      </c>
      <c r="H305" s="12">
        <f>SUMIFS(Base[Montante],Base[Fornecedor],$A305&amp;"",Base[Ano],H$4)</f>
        <v/>
      </c>
      <c r="I305" s="12">
        <f>SUMIFS(Base[Montante],Base[Fornecedor],$A305&amp;"",Base[Ano],I$4)</f>
        <v/>
      </c>
      <c r="J305" s="12">
        <f>SUMIFS(Base[Montante],Base[Fornecedor],$A305&amp;"",Base[Ano],J$4)</f>
        <v/>
      </c>
      <c r="K305" s="12">
        <f>SUM(D305:J305)</f>
        <v/>
      </c>
    </row>
    <row r="306">
      <c r="A306" s="5" t="n">
        <v>101948</v>
      </c>
      <c r="B306" s="5" t="inlineStr">
        <is>
          <t>INSTITUTO BRAS DO MEIO AMBIEN E DOS</t>
        </is>
      </c>
      <c r="C306" s="5">
        <f>IFERROR(INDEX(DePara[Categoria],MATCH(TEXT(A306,"0"),DePara[Fornecedor_txt],0)),"(sem categoria)")</f>
        <v/>
      </c>
      <c r="D306" s="12">
        <f>SUMIFS(Base[Montante],Base[Fornecedor],$A306&amp;"",Base[Ano],D$4)</f>
        <v/>
      </c>
      <c r="E306" s="12">
        <f>SUMIFS(Base[Montante],Base[Fornecedor],$A306&amp;"",Base[Ano],E$4)</f>
        <v/>
      </c>
      <c r="F306" s="12">
        <f>SUMIFS(Base[Montante],Base[Fornecedor],$A306&amp;"",Base[Ano],F$4)</f>
        <v/>
      </c>
      <c r="G306" s="12">
        <f>SUMIFS(Base[Montante],Base[Fornecedor],$A306&amp;"",Base[Ano],G$4)</f>
        <v/>
      </c>
      <c r="H306" s="12">
        <f>SUMIFS(Base[Montante],Base[Fornecedor],$A306&amp;"",Base[Ano],H$4)</f>
        <v/>
      </c>
      <c r="I306" s="12">
        <f>SUMIFS(Base[Montante],Base[Fornecedor],$A306&amp;"",Base[Ano],I$4)</f>
        <v/>
      </c>
      <c r="J306" s="12">
        <f>SUMIFS(Base[Montante],Base[Fornecedor],$A306&amp;"",Base[Ano],J$4)</f>
        <v/>
      </c>
      <c r="K306" s="12">
        <f>SUM(D306:J306)</f>
        <v/>
      </c>
    </row>
    <row r="307">
      <c r="A307" s="5" t="n">
        <v>103781</v>
      </c>
      <c r="B307" s="5" t="inlineStr">
        <is>
          <t>INSTITUTO NACIONAL DA PROPRIEDADE I</t>
        </is>
      </c>
      <c r="C307" s="5">
        <f>IFERROR(INDEX(DePara[Categoria],MATCH(TEXT(A307,"0"),DePara[Fornecedor_txt],0)),"(sem categoria)")</f>
        <v/>
      </c>
      <c r="D307" s="12">
        <f>SUMIFS(Base[Montante],Base[Fornecedor],$A307&amp;"",Base[Ano],D$4)</f>
        <v/>
      </c>
      <c r="E307" s="12">
        <f>SUMIFS(Base[Montante],Base[Fornecedor],$A307&amp;"",Base[Ano],E$4)</f>
        <v/>
      </c>
      <c r="F307" s="12">
        <f>SUMIFS(Base[Montante],Base[Fornecedor],$A307&amp;"",Base[Ano],F$4)</f>
        <v/>
      </c>
      <c r="G307" s="12">
        <f>SUMIFS(Base[Montante],Base[Fornecedor],$A307&amp;"",Base[Ano],G$4)</f>
        <v/>
      </c>
      <c r="H307" s="12">
        <f>SUMIFS(Base[Montante],Base[Fornecedor],$A307&amp;"",Base[Ano],H$4)</f>
        <v/>
      </c>
      <c r="I307" s="12">
        <f>SUMIFS(Base[Montante],Base[Fornecedor],$A307&amp;"",Base[Ano],I$4)</f>
        <v/>
      </c>
      <c r="J307" s="12">
        <f>SUMIFS(Base[Montante],Base[Fornecedor],$A307&amp;"",Base[Ano],J$4)</f>
        <v/>
      </c>
      <c r="K307" s="12">
        <f>SUM(D307:J307)</f>
        <v/>
      </c>
    </row>
    <row r="308">
      <c r="A308" s="5" t="n">
        <v>101791</v>
      </c>
      <c r="B308" s="5" t="inlineStr">
        <is>
          <t>INT DE PESQUISAS TECNOLOGICAS EST D</t>
        </is>
      </c>
      <c r="C308" s="5">
        <f>IFERROR(INDEX(DePara[Categoria],MATCH(TEXT(A308,"0"),DePara[Fornecedor_txt],0)),"(sem categoria)")</f>
        <v/>
      </c>
      <c r="D308" s="12">
        <f>SUMIFS(Base[Montante],Base[Fornecedor],$A308&amp;"",Base[Ano],D$4)</f>
        <v/>
      </c>
      <c r="E308" s="12">
        <f>SUMIFS(Base[Montante],Base[Fornecedor],$A308&amp;"",Base[Ano],E$4)</f>
        <v/>
      </c>
      <c r="F308" s="12">
        <f>SUMIFS(Base[Montante],Base[Fornecedor],$A308&amp;"",Base[Ano],F$4)</f>
        <v/>
      </c>
      <c r="G308" s="12">
        <f>SUMIFS(Base[Montante],Base[Fornecedor],$A308&amp;"",Base[Ano],G$4)</f>
        <v/>
      </c>
      <c r="H308" s="12">
        <f>SUMIFS(Base[Montante],Base[Fornecedor],$A308&amp;"",Base[Ano],H$4)</f>
        <v/>
      </c>
      <c r="I308" s="12">
        <f>SUMIFS(Base[Montante],Base[Fornecedor],$A308&amp;"",Base[Ano],I$4)</f>
        <v/>
      </c>
      <c r="J308" s="12">
        <f>SUMIFS(Base[Montante],Base[Fornecedor],$A308&amp;"",Base[Ano],J$4)</f>
        <v/>
      </c>
      <c r="K308" s="12">
        <f>SUM(D308:J308)</f>
        <v/>
      </c>
    </row>
    <row r="309">
      <c r="A309" s="5" t="n">
        <v>106331</v>
      </c>
      <c r="B309" s="5" t="inlineStr">
        <is>
          <t>INTERCARGAS ENCOMENDAS E CARGAS LTD</t>
        </is>
      </c>
      <c r="C309" s="5">
        <f>IFERROR(INDEX(DePara[Categoria],MATCH(TEXT(A309,"0"),DePara[Fornecedor_txt],0)),"(sem categoria)")</f>
        <v/>
      </c>
      <c r="D309" s="12">
        <f>SUMIFS(Base[Montante],Base[Fornecedor],$A309&amp;"",Base[Ano],D$4)</f>
        <v/>
      </c>
      <c r="E309" s="12">
        <f>SUMIFS(Base[Montante],Base[Fornecedor],$A309&amp;"",Base[Ano],E$4)</f>
        <v/>
      </c>
      <c r="F309" s="12">
        <f>SUMIFS(Base[Montante],Base[Fornecedor],$A309&amp;"",Base[Ano],F$4)</f>
        <v/>
      </c>
      <c r="G309" s="12">
        <f>SUMIFS(Base[Montante],Base[Fornecedor],$A309&amp;"",Base[Ano],G$4)</f>
        <v/>
      </c>
      <c r="H309" s="12">
        <f>SUMIFS(Base[Montante],Base[Fornecedor],$A309&amp;"",Base[Ano],H$4)</f>
        <v/>
      </c>
      <c r="I309" s="12">
        <f>SUMIFS(Base[Montante],Base[Fornecedor],$A309&amp;"",Base[Ano],I$4)</f>
        <v/>
      </c>
      <c r="J309" s="12">
        <f>SUMIFS(Base[Montante],Base[Fornecedor],$A309&amp;"",Base[Ano],J$4)</f>
        <v/>
      </c>
      <c r="K309" s="12">
        <f>SUM(D309:J309)</f>
        <v/>
      </c>
    </row>
    <row r="310">
      <c r="A310" s="5" t="n">
        <v>101764</v>
      </c>
      <c r="B310" s="5" t="inlineStr">
        <is>
          <t>INTERJATO TELECOM LTDA - ME</t>
        </is>
      </c>
      <c r="C310" s="5">
        <f>IFERROR(INDEX(DePara[Categoria],MATCH(TEXT(A310,"0"),DePara[Fornecedor_txt],0)),"(sem categoria)")</f>
        <v/>
      </c>
      <c r="D310" s="12">
        <f>SUMIFS(Base[Montante],Base[Fornecedor],$A310&amp;"",Base[Ano],D$4)</f>
        <v/>
      </c>
      <c r="E310" s="12">
        <f>SUMIFS(Base[Montante],Base[Fornecedor],$A310&amp;"",Base[Ano],E$4)</f>
        <v/>
      </c>
      <c r="F310" s="12">
        <f>SUMIFS(Base[Montante],Base[Fornecedor],$A310&amp;"",Base[Ano],F$4)</f>
        <v/>
      </c>
      <c r="G310" s="12">
        <f>SUMIFS(Base[Montante],Base[Fornecedor],$A310&amp;"",Base[Ano],G$4)</f>
        <v/>
      </c>
      <c r="H310" s="12">
        <f>SUMIFS(Base[Montante],Base[Fornecedor],$A310&amp;"",Base[Ano],H$4)</f>
        <v/>
      </c>
      <c r="I310" s="12">
        <f>SUMIFS(Base[Montante],Base[Fornecedor],$A310&amp;"",Base[Ano],I$4)</f>
        <v/>
      </c>
      <c r="J310" s="12">
        <f>SUMIFS(Base[Montante],Base[Fornecedor],$A310&amp;"",Base[Ano],J$4)</f>
        <v/>
      </c>
      <c r="K310" s="12">
        <f>SUM(D310:J310)</f>
        <v/>
      </c>
    </row>
    <row r="311">
      <c r="A311" s="5" t="n">
        <v>101911</v>
      </c>
      <c r="B311" s="5" t="inlineStr">
        <is>
          <t>INTERLAGOS SERVICE MOTORES LTDA  ME</t>
        </is>
      </c>
      <c r="C311" s="5">
        <f>IFERROR(INDEX(DePara[Categoria],MATCH(TEXT(A311,"0"),DePara[Fornecedor_txt],0)),"(sem categoria)")</f>
        <v/>
      </c>
      <c r="D311" s="12">
        <f>SUMIFS(Base[Montante],Base[Fornecedor],$A311&amp;"",Base[Ano],D$4)</f>
        <v/>
      </c>
      <c r="E311" s="12">
        <f>SUMIFS(Base[Montante],Base[Fornecedor],$A311&amp;"",Base[Ano],E$4)</f>
        <v/>
      </c>
      <c r="F311" s="12">
        <f>SUMIFS(Base[Montante],Base[Fornecedor],$A311&amp;"",Base[Ano],F$4)</f>
        <v/>
      </c>
      <c r="G311" s="12">
        <f>SUMIFS(Base[Montante],Base[Fornecedor],$A311&amp;"",Base[Ano],G$4)</f>
        <v/>
      </c>
      <c r="H311" s="12">
        <f>SUMIFS(Base[Montante],Base[Fornecedor],$A311&amp;"",Base[Ano],H$4)</f>
        <v/>
      </c>
      <c r="I311" s="12">
        <f>SUMIFS(Base[Montante],Base[Fornecedor],$A311&amp;"",Base[Ano],I$4)</f>
        <v/>
      </c>
      <c r="J311" s="12">
        <f>SUMIFS(Base[Montante],Base[Fornecedor],$A311&amp;"",Base[Ano],J$4)</f>
        <v/>
      </c>
      <c r="K311" s="12">
        <f>SUM(D311:J311)</f>
        <v/>
      </c>
    </row>
    <row r="312">
      <c r="A312" s="5" t="n">
        <v>103702</v>
      </c>
      <c r="B312" s="5" t="inlineStr">
        <is>
          <t>INTERNATIONAL CHAMBER OF COMMERCE</t>
        </is>
      </c>
      <c r="C312" s="5">
        <f>IFERROR(INDEX(DePara[Categoria],MATCH(TEXT(A312,"0"),DePara[Fornecedor_txt],0)),"(sem categoria)")</f>
        <v/>
      </c>
      <c r="D312" s="12">
        <f>SUMIFS(Base[Montante],Base[Fornecedor],$A312&amp;"",Base[Ano],D$4)</f>
        <v/>
      </c>
      <c r="E312" s="12">
        <f>SUMIFS(Base[Montante],Base[Fornecedor],$A312&amp;"",Base[Ano],E$4)</f>
        <v/>
      </c>
      <c r="F312" s="12">
        <f>SUMIFS(Base[Montante],Base[Fornecedor],$A312&amp;"",Base[Ano],F$4)</f>
        <v/>
      </c>
      <c r="G312" s="12">
        <f>SUMIFS(Base[Montante],Base[Fornecedor],$A312&amp;"",Base[Ano],G$4)</f>
        <v/>
      </c>
      <c r="H312" s="12">
        <f>SUMIFS(Base[Montante],Base[Fornecedor],$A312&amp;"",Base[Ano],H$4)</f>
        <v/>
      </c>
      <c r="I312" s="12">
        <f>SUMIFS(Base[Montante],Base[Fornecedor],$A312&amp;"",Base[Ano],I$4)</f>
        <v/>
      </c>
      <c r="J312" s="12">
        <f>SUMIFS(Base[Montante],Base[Fornecedor],$A312&amp;"",Base[Ano],J$4)</f>
        <v/>
      </c>
      <c r="K312" s="12">
        <f>SUM(D312:J312)</f>
        <v/>
      </c>
    </row>
    <row r="313">
      <c r="A313" s="5" t="n">
        <v>101030</v>
      </c>
      <c r="B313" s="5" t="inlineStr">
        <is>
          <t>ISAAC ALCANTARA SOC INDIV DE ADVOCA</t>
        </is>
      </c>
      <c r="C313" s="5">
        <f>IFERROR(INDEX(DePara[Categoria],MATCH(TEXT(A313,"0"),DePara[Fornecedor_txt],0)),"(sem categoria)")</f>
        <v/>
      </c>
      <c r="D313" s="12">
        <f>SUMIFS(Base[Montante],Base[Fornecedor],$A313&amp;"",Base[Ano],D$4)</f>
        <v/>
      </c>
      <c r="E313" s="12">
        <f>SUMIFS(Base[Montante],Base[Fornecedor],$A313&amp;"",Base[Ano],E$4)</f>
        <v/>
      </c>
      <c r="F313" s="12">
        <f>SUMIFS(Base[Montante],Base[Fornecedor],$A313&amp;"",Base[Ano],F$4)</f>
        <v/>
      </c>
      <c r="G313" s="12">
        <f>SUMIFS(Base[Montante],Base[Fornecedor],$A313&amp;"",Base[Ano],G$4)</f>
        <v/>
      </c>
      <c r="H313" s="12">
        <f>SUMIFS(Base[Montante],Base[Fornecedor],$A313&amp;"",Base[Ano],H$4)</f>
        <v/>
      </c>
      <c r="I313" s="12">
        <f>SUMIFS(Base[Montante],Base[Fornecedor],$A313&amp;"",Base[Ano],I$4)</f>
        <v/>
      </c>
      <c r="J313" s="12">
        <f>SUMIFS(Base[Montante],Base[Fornecedor],$A313&amp;"",Base[Ano],J$4)</f>
        <v/>
      </c>
      <c r="K313" s="12">
        <f>SUM(D313:J313)</f>
        <v/>
      </c>
    </row>
    <row r="314">
      <c r="A314" s="5" t="n">
        <v>108031</v>
      </c>
      <c r="B314" s="5" t="inlineStr">
        <is>
          <t>ISELETRICA LTDA -EPP</t>
        </is>
      </c>
      <c r="C314" s="5">
        <f>IFERROR(INDEX(DePara[Categoria],MATCH(TEXT(A314,"0"),DePara[Fornecedor_txt],0)),"(sem categoria)")</f>
        <v/>
      </c>
      <c r="D314" s="12">
        <f>SUMIFS(Base[Montante],Base[Fornecedor],$A314&amp;"",Base[Ano],D$4)</f>
        <v/>
      </c>
      <c r="E314" s="12">
        <f>SUMIFS(Base[Montante],Base[Fornecedor],$A314&amp;"",Base[Ano],E$4)</f>
        <v/>
      </c>
      <c r="F314" s="12">
        <f>SUMIFS(Base[Montante],Base[Fornecedor],$A314&amp;"",Base[Ano],F$4)</f>
        <v/>
      </c>
      <c r="G314" s="12">
        <f>SUMIFS(Base[Montante],Base[Fornecedor],$A314&amp;"",Base[Ano],G$4)</f>
        <v/>
      </c>
      <c r="H314" s="12">
        <f>SUMIFS(Base[Montante],Base[Fornecedor],$A314&amp;"",Base[Ano],H$4)</f>
        <v/>
      </c>
      <c r="I314" s="12">
        <f>SUMIFS(Base[Montante],Base[Fornecedor],$A314&amp;"",Base[Ano],I$4)</f>
        <v/>
      </c>
      <c r="J314" s="12">
        <f>SUMIFS(Base[Montante],Base[Fornecedor],$A314&amp;"",Base[Ano],J$4)</f>
        <v/>
      </c>
      <c r="K314" s="12">
        <f>SUM(D314:J314)</f>
        <v/>
      </c>
    </row>
    <row r="315">
      <c r="A315" s="5" t="inlineStr">
        <is>
          <t>EM003480</t>
        </is>
      </c>
      <c r="B315" s="5" t="inlineStr">
        <is>
          <t>ISLAILSON MARTINS MACIEL ABREU</t>
        </is>
      </c>
      <c r="C315" s="5">
        <f>IFERROR(INDEX(DePara[Categoria],MATCH(TEXT(A315,"0"),DePara[Fornecedor_txt],0)),"(sem categoria)")</f>
        <v/>
      </c>
      <c r="D315" s="12">
        <f>SUMIFS(Base[Montante],Base[Fornecedor],$A315&amp;"",Base[Ano],D$4)</f>
        <v/>
      </c>
      <c r="E315" s="12">
        <f>SUMIFS(Base[Montante],Base[Fornecedor],$A315&amp;"",Base[Ano],E$4)</f>
        <v/>
      </c>
      <c r="F315" s="12">
        <f>SUMIFS(Base[Montante],Base[Fornecedor],$A315&amp;"",Base[Ano],F$4)</f>
        <v/>
      </c>
      <c r="G315" s="12">
        <f>SUMIFS(Base[Montante],Base[Fornecedor],$A315&amp;"",Base[Ano],G$4)</f>
        <v/>
      </c>
      <c r="H315" s="12">
        <f>SUMIFS(Base[Montante],Base[Fornecedor],$A315&amp;"",Base[Ano],H$4)</f>
        <v/>
      </c>
      <c r="I315" s="12">
        <f>SUMIFS(Base[Montante],Base[Fornecedor],$A315&amp;"",Base[Ano],I$4)</f>
        <v/>
      </c>
      <c r="J315" s="12">
        <f>SUMIFS(Base[Montante],Base[Fornecedor],$A315&amp;"",Base[Ano],J$4)</f>
        <v/>
      </c>
      <c r="K315" s="12">
        <f>SUM(D315:J315)</f>
        <v/>
      </c>
    </row>
    <row r="316">
      <c r="A316" s="5" t="inlineStr">
        <is>
          <t>EM000137</t>
        </is>
      </c>
      <c r="B316" s="5" t="inlineStr">
        <is>
          <t>ISLAS MARTINS MACIEL ABREU</t>
        </is>
      </c>
      <c r="C316" s="5">
        <f>IFERROR(INDEX(DePara[Categoria],MATCH(TEXT(A316,"0"),DePara[Fornecedor_txt],0)),"(sem categoria)")</f>
        <v/>
      </c>
      <c r="D316" s="12">
        <f>SUMIFS(Base[Montante],Base[Fornecedor],$A316&amp;"",Base[Ano],D$4)</f>
        <v/>
      </c>
      <c r="E316" s="12">
        <f>SUMIFS(Base[Montante],Base[Fornecedor],$A316&amp;"",Base[Ano],E$4)</f>
        <v/>
      </c>
      <c r="F316" s="12">
        <f>SUMIFS(Base[Montante],Base[Fornecedor],$A316&amp;"",Base[Ano],F$4)</f>
        <v/>
      </c>
      <c r="G316" s="12">
        <f>SUMIFS(Base[Montante],Base[Fornecedor],$A316&amp;"",Base[Ano],G$4)</f>
        <v/>
      </c>
      <c r="H316" s="12">
        <f>SUMIFS(Base[Montante],Base[Fornecedor],$A316&amp;"",Base[Ano],H$4)</f>
        <v/>
      </c>
      <c r="I316" s="12">
        <f>SUMIFS(Base[Montante],Base[Fornecedor],$A316&amp;"",Base[Ano],I$4)</f>
        <v/>
      </c>
      <c r="J316" s="12">
        <f>SUMIFS(Base[Montante],Base[Fornecedor],$A316&amp;"",Base[Ano],J$4)</f>
        <v/>
      </c>
      <c r="K316" s="12">
        <f>SUM(D316:J316)</f>
        <v/>
      </c>
    </row>
    <row r="317">
      <c r="A317" s="5" t="inlineStr">
        <is>
          <t>EM000960</t>
        </is>
      </c>
      <c r="B317" s="5" t="inlineStr">
        <is>
          <t>ITALO OLIVEIRA FERREIRA</t>
        </is>
      </c>
      <c r="C317" s="5">
        <f>IFERROR(INDEX(DePara[Categoria],MATCH(TEXT(A317,"0"),DePara[Fornecedor_txt],0)),"(sem categoria)")</f>
        <v/>
      </c>
      <c r="D317" s="12">
        <f>SUMIFS(Base[Montante],Base[Fornecedor],$A317&amp;"",Base[Ano],D$4)</f>
        <v/>
      </c>
      <c r="E317" s="12">
        <f>SUMIFS(Base[Montante],Base[Fornecedor],$A317&amp;"",Base[Ano],E$4)</f>
        <v/>
      </c>
      <c r="F317" s="12">
        <f>SUMIFS(Base[Montante],Base[Fornecedor],$A317&amp;"",Base[Ano],F$4)</f>
        <v/>
      </c>
      <c r="G317" s="12">
        <f>SUMIFS(Base[Montante],Base[Fornecedor],$A317&amp;"",Base[Ano],G$4)</f>
        <v/>
      </c>
      <c r="H317" s="12">
        <f>SUMIFS(Base[Montante],Base[Fornecedor],$A317&amp;"",Base[Ano],H$4)</f>
        <v/>
      </c>
      <c r="I317" s="12">
        <f>SUMIFS(Base[Montante],Base[Fornecedor],$A317&amp;"",Base[Ano],I$4)</f>
        <v/>
      </c>
      <c r="J317" s="12">
        <f>SUMIFS(Base[Montante],Base[Fornecedor],$A317&amp;"",Base[Ano],J$4)</f>
        <v/>
      </c>
      <c r="K317" s="12">
        <f>SUM(D317:J317)</f>
        <v/>
      </c>
    </row>
    <row r="318">
      <c r="A318" s="5" t="n">
        <v>101718</v>
      </c>
      <c r="B318" s="5" t="inlineStr">
        <is>
          <t>ITS TELECOMUNICACOES LTDA</t>
        </is>
      </c>
      <c r="C318" s="5">
        <f>IFERROR(INDEX(DePara[Categoria],MATCH(TEXT(A318,"0"),DePara[Fornecedor_txt],0)),"(sem categoria)")</f>
        <v/>
      </c>
      <c r="D318" s="12">
        <f>SUMIFS(Base[Montante],Base[Fornecedor],$A318&amp;"",Base[Ano],D$4)</f>
        <v/>
      </c>
      <c r="E318" s="12">
        <f>SUMIFS(Base[Montante],Base[Fornecedor],$A318&amp;"",Base[Ano],E$4)</f>
        <v/>
      </c>
      <c r="F318" s="12">
        <f>SUMIFS(Base[Montante],Base[Fornecedor],$A318&amp;"",Base[Ano],F$4)</f>
        <v/>
      </c>
      <c r="G318" s="12">
        <f>SUMIFS(Base[Montante],Base[Fornecedor],$A318&amp;"",Base[Ano],G$4)</f>
        <v/>
      </c>
      <c r="H318" s="12">
        <f>SUMIFS(Base[Montante],Base[Fornecedor],$A318&amp;"",Base[Ano],H$4)</f>
        <v/>
      </c>
      <c r="I318" s="12">
        <f>SUMIFS(Base[Montante],Base[Fornecedor],$A318&amp;"",Base[Ano],I$4)</f>
        <v/>
      </c>
      <c r="J318" s="12">
        <f>SUMIFS(Base[Montante],Base[Fornecedor],$A318&amp;"",Base[Ano],J$4)</f>
        <v/>
      </c>
      <c r="K318" s="12">
        <f>SUM(D318:J318)</f>
        <v/>
      </c>
    </row>
    <row r="319">
      <c r="A319" s="5" t="n">
        <v>115365</v>
      </c>
      <c r="B319" s="5" t="inlineStr">
        <is>
          <t>IVANALDO DIAS DA SILVA 52.029.512</t>
        </is>
      </c>
      <c r="C319" s="5">
        <f>IFERROR(INDEX(DePara[Categoria],MATCH(TEXT(A319,"0"),DePara[Fornecedor_txt],0)),"(sem categoria)")</f>
        <v/>
      </c>
      <c r="D319" s="12">
        <f>SUMIFS(Base[Montante],Base[Fornecedor],$A319&amp;"",Base[Ano],D$4)</f>
        <v/>
      </c>
      <c r="E319" s="12">
        <f>SUMIFS(Base[Montante],Base[Fornecedor],$A319&amp;"",Base[Ano],E$4)</f>
        <v/>
      </c>
      <c r="F319" s="12">
        <f>SUMIFS(Base[Montante],Base[Fornecedor],$A319&amp;"",Base[Ano],F$4)</f>
        <v/>
      </c>
      <c r="G319" s="12">
        <f>SUMIFS(Base[Montante],Base[Fornecedor],$A319&amp;"",Base[Ano],G$4)</f>
        <v/>
      </c>
      <c r="H319" s="12">
        <f>SUMIFS(Base[Montante],Base[Fornecedor],$A319&amp;"",Base[Ano],H$4)</f>
        <v/>
      </c>
      <c r="I319" s="12">
        <f>SUMIFS(Base[Montante],Base[Fornecedor],$A319&amp;"",Base[Ano],I$4)</f>
        <v/>
      </c>
      <c r="J319" s="12">
        <f>SUMIFS(Base[Montante],Base[Fornecedor],$A319&amp;"",Base[Ano],J$4)</f>
        <v/>
      </c>
      <c r="K319" s="12">
        <f>SUM(D319:J319)</f>
        <v/>
      </c>
    </row>
    <row r="320">
      <c r="A320" s="5" t="inlineStr">
        <is>
          <t>EM003580</t>
        </is>
      </c>
      <c r="B320" s="5" t="inlineStr">
        <is>
          <t>IVO DE SOUSA RODRIGUES</t>
        </is>
      </c>
      <c r="C320" s="5">
        <f>IFERROR(INDEX(DePara[Categoria],MATCH(TEXT(A320,"0"),DePara[Fornecedor_txt],0)),"(sem categoria)")</f>
        <v/>
      </c>
      <c r="D320" s="12">
        <f>SUMIFS(Base[Montante],Base[Fornecedor],$A320&amp;"",Base[Ano],D$4)</f>
        <v/>
      </c>
      <c r="E320" s="12">
        <f>SUMIFS(Base[Montante],Base[Fornecedor],$A320&amp;"",Base[Ano],E$4)</f>
        <v/>
      </c>
      <c r="F320" s="12">
        <f>SUMIFS(Base[Montante],Base[Fornecedor],$A320&amp;"",Base[Ano],F$4)</f>
        <v/>
      </c>
      <c r="G320" s="12">
        <f>SUMIFS(Base[Montante],Base[Fornecedor],$A320&amp;"",Base[Ano],G$4)</f>
        <v/>
      </c>
      <c r="H320" s="12">
        <f>SUMIFS(Base[Montante],Base[Fornecedor],$A320&amp;"",Base[Ano],H$4)</f>
        <v/>
      </c>
      <c r="I320" s="12">
        <f>SUMIFS(Base[Montante],Base[Fornecedor],$A320&amp;"",Base[Ano],I$4)</f>
        <v/>
      </c>
      <c r="J320" s="12">
        <f>SUMIFS(Base[Montante],Base[Fornecedor],$A320&amp;"",Base[Ano],J$4)</f>
        <v/>
      </c>
      <c r="K320" s="12">
        <f>SUM(D320:J320)</f>
        <v/>
      </c>
    </row>
    <row r="321">
      <c r="A321" s="5" t="inlineStr">
        <is>
          <t>EM000895</t>
        </is>
      </c>
      <c r="B321" s="5" t="inlineStr">
        <is>
          <t>IVONALDO FERNANDES DOS SANTOS</t>
        </is>
      </c>
      <c r="C321" s="5">
        <f>IFERROR(INDEX(DePara[Categoria],MATCH(TEXT(A321,"0"),DePara[Fornecedor_txt],0)),"(sem categoria)")</f>
        <v/>
      </c>
      <c r="D321" s="12">
        <f>SUMIFS(Base[Montante],Base[Fornecedor],$A321&amp;"",Base[Ano],D$4)</f>
        <v/>
      </c>
      <c r="E321" s="12">
        <f>SUMIFS(Base[Montante],Base[Fornecedor],$A321&amp;"",Base[Ano],E$4)</f>
        <v/>
      </c>
      <c r="F321" s="12">
        <f>SUMIFS(Base[Montante],Base[Fornecedor],$A321&amp;"",Base[Ano],F$4)</f>
        <v/>
      </c>
      <c r="G321" s="12">
        <f>SUMIFS(Base[Montante],Base[Fornecedor],$A321&amp;"",Base[Ano],G$4)</f>
        <v/>
      </c>
      <c r="H321" s="12">
        <f>SUMIFS(Base[Montante],Base[Fornecedor],$A321&amp;"",Base[Ano],H$4)</f>
        <v/>
      </c>
      <c r="I321" s="12">
        <f>SUMIFS(Base[Montante],Base[Fornecedor],$A321&amp;"",Base[Ano],I$4)</f>
        <v/>
      </c>
      <c r="J321" s="12">
        <f>SUMIFS(Base[Montante],Base[Fornecedor],$A321&amp;"",Base[Ano],J$4)</f>
        <v/>
      </c>
      <c r="K321" s="12">
        <f>SUM(D321:J321)</f>
        <v/>
      </c>
    </row>
    <row r="322">
      <c r="A322" s="5" t="inlineStr">
        <is>
          <t>EM000015</t>
        </is>
      </c>
      <c r="B322" s="5" t="inlineStr">
        <is>
          <t>IZACK DEYVID DIAS VIANA</t>
        </is>
      </c>
      <c r="C322" s="5">
        <f>IFERROR(INDEX(DePara[Categoria],MATCH(TEXT(A322,"0"),DePara[Fornecedor_txt],0)),"(sem categoria)")</f>
        <v/>
      </c>
      <c r="D322" s="12">
        <f>SUMIFS(Base[Montante],Base[Fornecedor],$A322&amp;"",Base[Ano],D$4)</f>
        <v/>
      </c>
      <c r="E322" s="12">
        <f>SUMIFS(Base[Montante],Base[Fornecedor],$A322&amp;"",Base[Ano],E$4)</f>
        <v/>
      </c>
      <c r="F322" s="12">
        <f>SUMIFS(Base[Montante],Base[Fornecedor],$A322&amp;"",Base[Ano],F$4)</f>
        <v/>
      </c>
      <c r="G322" s="12">
        <f>SUMIFS(Base[Montante],Base[Fornecedor],$A322&amp;"",Base[Ano],G$4)</f>
        <v/>
      </c>
      <c r="H322" s="12">
        <f>SUMIFS(Base[Montante],Base[Fornecedor],$A322&amp;"",Base[Ano],H$4)</f>
        <v/>
      </c>
      <c r="I322" s="12">
        <f>SUMIFS(Base[Montante],Base[Fornecedor],$A322&amp;"",Base[Ano],I$4)</f>
        <v/>
      </c>
      <c r="J322" s="12">
        <f>SUMIFS(Base[Montante],Base[Fornecedor],$A322&amp;"",Base[Ano],J$4)</f>
        <v/>
      </c>
      <c r="K322" s="12">
        <f>SUM(D322:J322)</f>
        <v/>
      </c>
    </row>
    <row r="323">
      <c r="A323" s="5" t="n">
        <v>103744</v>
      </c>
      <c r="B323" s="5" t="inlineStr">
        <is>
          <t>J G SERVICOS DE HOSPEDAGEM LTDA</t>
        </is>
      </c>
      <c r="C323" s="5">
        <f>IFERROR(INDEX(DePara[Categoria],MATCH(TEXT(A323,"0"),DePara[Fornecedor_txt],0)),"(sem categoria)")</f>
        <v/>
      </c>
      <c r="D323" s="12">
        <f>SUMIFS(Base[Montante],Base[Fornecedor],$A323&amp;"",Base[Ano],D$4)</f>
        <v/>
      </c>
      <c r="E323" s="12">
        <f>SUMIFS(Base[Montante],Base[Fornecedor],$A323&amp;"",Base[Ano],E$4)</f>
        <v/>
      </c>
      <c r="F323" s="12">
        <f>SUMIFS(Base[Montante],Base[Fornecedor],$A323&amp;"",Base[Ano],F$4)</f>
        <v/>
      </c>
      <c r="G323" s="12">
        <f>SUMIFS(Base[Montante],Base[Fornecedor],$A323&amp;"",Base[Ano],G$4)</f>
        <v/>
      </c>
      <c r="H323" s="12">
        <f>SUMIFS(Base[Montante],Base[Fornecedor],$A323&amp;"",Base[Ano],H$4)</f>
        <v/>
      </c>
      <c r="I323" s="12">
        <f>SUMIFS(Base[Montante],Base[Fornecedor],$A323&amp;"",Base[Ano],I$4)</f>
        <v/>
      </c>
      <c r="J323" s="12">
        <f>SUMIFS(Base[Montante],Base[Fornecedor],$A323&amp;"",Base[Ano],J$4)</f>
        <v/>
      </c>
      <c r="K323" s="12">
        <f>SUM(D323:J323)</f>
        <v/>
      </c>
    </row>
    <row r="324">
      <c r="A324" s="5" t="inlineStr">
        <is>
          <t>EM000973</t>
        </is>
      </c>
      <c r="B324" s="5" t="inlineStr">
        <is>
          <t>JACKSON LUCAS DA SILVA</t>
        </is>
      </c>
      <c r="C324" s="5">
        <f>IFERROR(INDEX(DePara[Categoria],MATCH(TEXT(A324,"0"),DePara[Fornecedor_txt],0)),"(sem categoria)")</f>
        <v/>
      </c>
      <c r="D324" s="12">
        <f>SUMIFS(Base[Montante],Base[Fornecedor],$A324&amp;"",Base[Ano],D$4)</f>
        <v/>
      </c>
      <c r="E324" s="12">
        <f>SUMIFS(Base[Montante],Base[Fornecedor],$A324&amp;"",Base[Ano],E$4)</f>
        <v/>
      </c>
      <c r="F324" s="12">
        <f>SUMIFS(Base[Montante],Base[Fornecedor],$A324&amp;"",Base[Ano],F$4)</f>
        <v/>
      </c>
      <c r="G324" s="12">
        <f>SUMIFS(Base[Montante],Base[Fornecedor],$A324&amp;"",Base[Ano],G$4)</f>
        <v/>
      </c>
      <c r="H324" s="12">
        <f>SUMIFS(Base[Montante],Base[Fornecedor],$A324&amp;"",Base[Ano],H$4)</f>
        <v/>
      </c>
      <c r="I324" s="12">
        <f>SUMIFS(Base[Montante],Base[Fornecedor],$A324&amp;"",Base[Ano],I$4)</f>
        <v/>
      </c>
      <c r="J324" s="12">
        <f>SUMIFS(Base[Montante],Base[Fornecedor],$A324&amp;"",Base[Ano],J$4)</f>
        <v/>
      </c>
      <c r="K324" s="12">
        <f>SUM(D324:J324)</f>
        <v/>
      </c>
    </row>
    <row r="325">
      <c r="A325" s="5" t="inlineStr">
        <is>
          <t>EM000373</t>
        </is>
      </c>
      <c r="B325" s="5" t="inlineStr">
        <is>
          <t>JACKSON VICENTE SOUZA FERREIRA</t>
        </is>
      </c>
      <c r="C325" s="5">
        <f>IFERROR(INDEX(DePara[Categoria],MATCH(TEXT(A325,"0"),DePara[Fornecedor_txt],0)),"(sem categoria)")</f>
        <v/>
      </c>
      <c r="D325" s="12">
        <f>SUMIFS(Base[Montante],Base[Fornecedor],$A325&amp;"",Base[Ano],D$4)</f>
        <v/>
      </c>
      <c r="E325" s="12">
        <f>SUMIFS(Base[Montante],Base[Fornecedor],$A325&amp;"",Base[Ano],E$4)</f>
        <v/>
      </c>
      <c r="F325" s="12">
        <f>SUMIFS(Base[Montante],Base[Fornecedor],$A325&amp;"",Base[Ano],F$4)</f>
        <v/>
      </c>
      <c r="G325" s="12">
        <f>SUMIFS(Base[Montante],Base[Fornecedor],$A325&amp;"",Base[Ano],G$4)</f>
        <v/>
      </c>
      <c r="H325" s="12">
        <f>SUMIFS(Base[Montante],Base[Fornecedor],$A325&amp;"",Base[Ano],H$4)</f>
        <v/>
      </c>
      <c r="I325" s="12">
        <f>SUMIFS(Base[Montante],Base[Fornecedor],$A325&amp;"",Base[Ano],I$4)</f>
        <v/>
      </c>
      <c r="J325" s="12">
        <f>SUMIFS(Base[Montante],Base[Fornecedor],$A325&amp;"",Base[Ano],J$4)</f>
        <v/>
      </c>
      <c r="K325" s="12">
        <f>SUM(D325:J325)</f>
        <v/>
      </c>
    </row>
    <row r="326">
      <c r="A326" s="5" t="inlineStr">
        <is>
          <t>EM000641</t>
        </is>
      </c>
      <c r="B326" s="5" t="inlineStr">
        <is>
          <t>JAILDSON FERNANDES DE LIMA SOUSA</t>
        </is>
      </c>
      <c r="C326" s="5">
        <f>IFERROR(INDEX(DePara[Categoria],MATCH(TEXT(A326,"0"),DePara[Fornecedor_txt],0)),"(sem categoria)")</f>
        <v/>
      </c>
      <c r="D326" s="12">
        <f>SUMIFS(Base[Montante],Base[Fornecedor],$A326&amp;"",Base[Ano],D$4)</f>
        <v/>
      </c>
      <c r="E326" s="12">
        <f>SUMIFS(Base[Montante],Base[Fornecedor],$A326&amp;"",Base[Ano],E$4)</f>
        <v/>
      </c>
      <c r="F326" s="12">
        <f>SUMIFS(Base[Montante],Base[Fornecedor],$A326&amp;"",Base[Ano],F$4)</f>
        <v/>
      </c>
      <c r="G326" s="12">
        <f>SUMIFS(Base[Montante],Base[Fornecedor],$A326&amp;"",Base[Ano],G$4)</f>
        <v/>
      </c>
      <c r="H326" s="12">
        <f>SUMIFS(Base[Montante],Base[Fornecedor],$A326&amp;"",Base[Ano],H$4)</f>
        <v/>
      </c>
      <c r="I326" s="12">
        <f>SUMIFS(Base[Montante],Base[Fornecedor],$A326&amp;"",Base[Ano],I$4)</f>
        <v/>
      </c>
      <c r="J326" s="12">
        <f>SUMIFS(Base[Montante],Base[Fornecedor],$A326&amp;"",Base[Ano],J$4)</f>
        <v/>
      </c>
      <c r="K326" s="12">
        <f>SUM(D326:J326)</f>
        <v/>
      </c>
    </row>
    <row r="327">
      <c r="A327" s="5" t="inlineStr">
        <is>
          <t>EM000553</t>
        </is>
      </c>
      <c r="B327" s="5" t="inlineStr">
        <is>
          <t>JAILSON SILVA PEREIRA</t>
        </is>
      </c>
      <c r="C327" s="5">
        <f>IFERROR(INDEX(DePara[Categoria],MATCH(TEXT(A327,"0"),DePara[Fornecedor_txt],0)),"(sem categoria)")</f>
        <v/>
      </c>
      <c r="D327" s="12">
        <f>SUMIFS(Base[Montante],Base[Fornecedor],$A327&amp;"",Base[Ano],D$4)</f>
        <v/>
      </c>
      <c r="E327" s="12">
        <f>SUMIFS(Base[Montante],Base[Fornecedor],$A327&amp;"",Base[Ano],E$4)</f>
        <v/>
      </c>
      <c r="F327" s="12">
        <f>SUMIFS(Base[Montante],Base[Fornecedor],$A327&amp;"",Base[Ano],F$4)</f>
        <v/>
      </c>
      <c r="G327" s="12">
        <f>SUMIFS(Base[Montante],Base[Fornecedor],$A327&amp;"",Base[Ano],G$4)</f>
        <v/>
      </c>
      <c r="H327" s="12">
        <f>SUMIFS(Base[Montante],Base[Fornecedor],$A327&amp;"",Base[Ano],H$4)</f>
        <v/>
      </c>
      <c r="I327" s="12">
        <f>SUMIFS(Base[Montante],Base[Fornecedor],$A327&amp;"",Base[Ano],I$4)</f>
        <v/>
      </c>
      <c r="J327" s="12">
        <f>SUMIFS(Base[Montante],Base[Fornecedor],$A327&amp;"",Base[Ano],J$4)</f>
        <v/>
      </c>
      <c r="K327" s="12">
        <f>SUM(D327:J327)</f>
        <v/>
      </c>
    </row>
    <row r="328">
      <c r="A328" s="5" t="inlineStr">
        <is>
          <t>EM003093</t>
        </is>
      </c>
      <c r="B328" s="5" t="inlineStr">
        <is>
          <t>JAIRO DIAS RIBEIRO</t>
        </is>
      </c>
      <c r="C328" s="5">
        <f>IFERROR(INDEX(DePara[Categoria],MATCH(TEXT(A328,"0"),DePara[Fornecedor_txt],0)),"(sem categoria)")</f>
        <v/>
      </c>
      <c r="D328" s="12">
        <f>SUMIFS(Base[Montante],Base[Fornecedor],$A328&amp;"",Base[Ano],D$4)</f>
        <v/>
      </c>
      <c r="E328" s="12">
        <f>SUMIFS(Base[Montante],Base[Fornecedor],$A328&amp;"",Base[Ano],E$4)</f>
        <v/>
      </c>
      <c r="F328" s="12">
        <f>SUMIFS(Base[Montante],Base[Fornecedor],$A328&amp;"",Base[Ano],F$4)</f>
        <v/>
      </c>
      <c r="G328" s="12">
        <f>SUMIFS(Base[Montante],Base[Fornecedor],$A328&amp;"",Base[Ano],G$4)</f>
        <v/>
      </c>
      <c r="H328" s="12">
        <f>SUMIFS(Base[Montante],Base[Fornecedor],$A328&amp;"",Base[Ano],H$4)</f>
        <v/>
      </c>
      <c r="I328" s="12">
        <f>SUMIFS(Base[Montante],Base[Fornecedor],$A328&amp;"",Base[Ano],I$4)</f>
        <v/>
      </c>
      <c r="J328" s="12">
        <f>SUMIFS(Base[Montante],Base[Fornecedor],$A328&amp;"",Base[Ano],J$4)</f>
        <v/>
      </c>
      <c r="K328" s="12">
        <f>SUM(D328:J328)</f>
        <v/>
      </c>
    </row>
    <row r="329">
      <c r="A329" s="5" t="inlineStr">
        <is>
          <t>EM000016</t>
        </is>
      </c>
      <c r="B329" s="5" t="inlineStr">
        <is>
          <t>JAMERSON BEZERRA DA SILVA</t>
        </is>
      </c>
      <c r="C329" s="5">
        <f>IFERROR(INDEX(DePara[Categoria],MATCH(TEXT(A329,"0"),DePara[Fornecedor_txt],0)),"(sem categoria)")</f>
        <v/>
      </c>
      <c r="D329" s="12">
        <f>SUMIFS(Base[Montante],Base[Fornecedor],$A329&amp;"",Base[Ano],D$4)</f>
        <v/>
      </c>
      <c r="E329" s="12">
        <f>SUMIFS(Base[Montante],Base[Fornecedor],$A329&amp;"",Base[Ano],E$4)</f>
        <v/>
      </c>
      <c r="F329" s="12">
        <f>SUMIFS(Base[Montante],Base[Fornecedor],$A329&amp;"",Base[Ano],F$4)</f>
        <v/>
      </c>
      <c r="G329" s="12">
        <f>SUMIFS(Base[Montante],Base[Fornecedor],$A329&amp;"",Base[Ano],G$4)</f>
        <v/>
      </c>
      <c r="H329" s="12">
        <f>SUMIFS(Base[Montante],Base[Fornecedor],$A329&amp;"",Base[Ano],H$4)</f>
        <v/>
      </c>
      <c r="I329" s="12">
        <f>SUMIFS(Base[Montante],Base[Fornecedor],$A329&amp;"",Base[Ano],I$4)</f>
        <v/>
      </c>
      <c r="J329" s="12">
        <f>SUMIFS(Base[Montante],Base[Fornecedor],$A329&amp;"",Base[Ano],J$4)</f>
        <v/>
      </c>
      <c r="K329" s="12">
        <f>SUM(D329:J329)</f>
        <v/>
      </c>
    </row>
    <row r="330">
      <c r="A330" s="5" t="inlineStr">
        <is>
          <t>EM000986</t>
        </is>
      </c>
      <c r="B330" s="5" t="inlineStr">
        <is>
          <t>JESSE IVO PRATES FERNANDES</t>
        </is>
      </c>
      <c r="C330" s="5">
        <f>IFERROR(INDEX(DePara[Categoria],MATCH(TEXT(A330,"0"),DePara[Fornecedor_txt],0)),"(sem categoria)")</f>
        <v/>
      </c>
      <c r="D330" s="12">
        <f>SUMIFS(Base[Montante],Base[Fornecedor],$A330&amp;"",Base[Ano],D$4)</f>
        <v/>
      </c>
      <c r="E330" s="12">
        <f>SUMIFS(Base[Montante],Base[Fornecedor],$A330&amp;"",Base[Ano],E$4)</f>
        <v/>
      </c>
      <c r="F330" s="12">
        <f>SUMIFS(Base[Montante],Base[Fornecedor],$A330&amp;"",Base[Ano],F$4)</f>
        <v/>
      </c>
      <c r="G330" s="12">
        <f>SUMIFS(Base[Montante],Base[Fornecedor],$A330&amp;"",Base[Ano],G$4)</f>
        <v/>
      </c>
      <c r="H330" s="12">
        <f>SUMIFS(Base[Montante],Base[Fornecedor],$A330&amp;"",Base[Ano],H$4)</f>
        <v/>
      </c>
      <c r="I330" s="12">
        <f>SUMIFS(Base[Montante],Base[Fornecedor],$A330&amp;"",Base[Ano],I$4)</f>
        <v/>
      </c>
      <c r="J330" s="12">
        <f>SUMIFS(Base[Montante],Base[Fornecedor],$A330&amp;"",Base[Ano],J$4)</f>
        <v/>
      </c>
      <c r="K330" s="12">
        <f>SUM(D330:J330)</f>
        <v/>
      </c>
    </row>
    <row r="331">
      <c r="A331" s="5" t="n">
        <v>100498</v>
      </c>
      <c r="B331" s="5" t="inlineStr">
        <is>
          <t>JESSYCA MARIA LIMA DE MOURA</t>
        </is>
      </c>
      <c r="C331" s="5">
        <f>IFERROR(INDEX(DePara[Categoria],MATCH(TEXT(A331,"0"),DePara[Fornecedor_txt],0)),"(sem categoria)")</f>
        <v/>
      </c>
      <c r="D331" s="12">
        <f>SUMIFS(Base[Montante],Base[Fornecedor],$A331&amp;"",Base[Ano],D$4)</f>
        <v/>
      </c>
      <c r="E331" s="12">
        <f>SUMIFS(Base[Montante],Base[Fornecedor],$A331&amp;"",Base[Ano],E$4)</f>
        <v/>
      </c>
      <c r="F331" s="12">
        <f>SUMIFS(Base[Montante],Base[Fornecedor],$A331&amp;"",Base[Ano],F$4)</f>
        <v/>
      </c>
      <c r="G331" s="12">
        <f>SUMIFS(Base[Montante],Base[Fornecedor],$A331&amp;"",Base[Ano],G$4)</f>
        <v/>
      </c>
      <c r="H331" s="12">
        <f>SUMIFS(Base[Montante],Base[Fornecedor],$A331&amp;"",Base[Ano],H$4)</f>
        <v/>
      </c>
      <c r="I331" s="12">
        <f>SUMIFS(Base[Montante],Base[Fornecedor],$A331&amp;"",Base[Ano],I$4)</f>
        <v/>
      </c>
      <c r="J331" s="12">
        <f>SUMIFS(Base[Montante],Base[Fornecedor],$A331&amp;"",Base[Ano],J$4)</f>
        <v/>
      </c>
      <c r="K331" s="12">
        <f>SUM(D331:J331)</f>
        <v/>
      </c>
    </row>
    <row r="332">
      <c r="A332" s="5" t="inlineStr">
        <is>
          <t>EM000783</t>
        </is>
      </c>
      <c r="B332" s="5" t="inlineStr">
        <is>
          <t>JEYSON DE OLIVEIRA BARROS</t>
        </is>
      </c>
      <c r="C332" s="5">
        <f>IFERROR(INDEX(DePara[Categoria],MATCH(TEXT(A332,"0"),DePara[Fornecedor_txt],0)),"(sem categoria)")</f>
        <v/>
      </c>
      <c r="D332" s="12">
        <f>SUMIFS(Base[Montante],Base[Fornecedor],$A332&amp;"",Base[Ano],D$4)</f>
        <v/>
      </c>
      <c r="E332" s="12">
        <f>SUMIFS(Base[Montante],Base[Fornecedor],$A332&amp;"",Base[Ano],E$4)</f>
        <v/>
      </c>
      <c r="F332" s="12">
        <f>SUMIFS(Base[Montante],Base[Fornecedor],$A332&amp;"",Base[Ano],F$4)</f>
        <v/>
      </c>
      <c r="G332" s="12">
        <f>SUMIFS(Base[Montante],Base[Fornecedor],$A332&amp;"",Base[Ano],G$4)</f>
        <v/>
      </c>
      <c r="H332" s="12">
        <f>SUMIFS(Base[Montante],Base[Fornecedor],$A332&amp;"",Base[Ano],H$4)</f>
        <v/>
      </c>
      <c r="I332" s="12">
        <f>SUMIFS(Base[Montante],Base[Fornecedor],$A332&amp;"",Base[Ano],I$4)</f>
        <v/>
      </c>
      <c r="J332" s="12">
        <f>SUMIFS(Base[Montante],Base[Fornecedor],$A332&amp;"",Base[Ano],J$4)</f>
        <v/>
      </c>
      <c r="K332" s="12">
        <f>SUM(D332:J332)</f>
        <v/>
      </c>
    </row>
    <row r="333">
      <c r="A333" s="5" t="inlineStr">
        <is>
          <t>EM000065</t>
        </is>
      </c>
      <c r="B333" s="5" t="inlineStr">
        <is>
          <t>JOABE MACEDO DA SILVA</t>
        </is>
      </c>
      <c r="C333" s="5">
        <f>IFERROR(INDEX(DePara[Categoria],MATCH(TEXT(A333,"0"),DePara[Fornecedor_txt],0)),"(sem categoria)")</f>
        <v/>
      </c>
      <c r="D333" s="12">
        <f>SUMIFS(Base[Montante],Base[Fornecedor],$A333&amp;"",Base[Ano],D$4)</f>
        <v/>
      </c>
      <c r="E333" s="12">
        <f>SUMIFS(Base[Montante],Base[Fornecedor],$A333&amp;"",Base[Ano],E$4)</f>
        <v/>
      </c>
      <c r="F333" s="12">
        <f>SUMIFS(Base[Montante],Base[Fornecedor],$A333&amp;"",Base[Ano],F$4)</f>
        <v/>
      </c>
      <c r="G333" s="12">
        <f>SUMIFS(Base[Montante],Base[Fornecedor],$A333&amp;"",Base[Ano],G$4)</f>
        <v/>
      </c>
      <c r="H333" s="12">
        <f>SUMIFS(Base[Montante],Base[Fornecedor],$A333&amp;"",Base[Ano],H$4)</f>
        <v/>
      </c>
      <c r="I333" s="12">
        <f>SUMIFS(Base[Montante],Base[Fornecedor],$A333&amp;"",Base[Ano],I$4)</f>
        <v/>
      </c>
      <c r="J333" s="12">
        <f>SUMIFS(Base[Montante],Base[Fornecedor],$A333&amp;"",Base[Ano],J$4)</f>
        <v/>
      </c>
      <c r="K333" s="12">
        <f>SUM(D333:J333)</f>
        <v/>
      </c>
    </row>
    <row r="334">
      <c r="A334" s="5" t="inlineStr">
        <is>
          <t>EM000043</t>
        </is>
      </c>
      <c r="B334" s="5" t="inlineStr">
        <is>
          <t>JOAO BATISTA DA COSTA CARDOSO</t>
        </is>
      </c>
      <c r="C334" s="5">
        <f>IFERROR(INDEX(DePara[Categoria],MATCH(TEXT(A334,"0"),DePara[Fornecedor_txt],0)),"(sem categoria)")</f>
        <v/>
      </c>
      <c r="D334" s="12">
        <f>SUMIFS(Base[Montante],Base[Fornecedor],$A334&amp;"",Base[Ano],D$4)</f>
        <v/>
      </c>
      <c r="E334" s="12">
        <f>SUMIFS(Base[Montante],Base[Fornecedor],$A334&amp;"",Base[Ano],E$4)</f>
        <v/>
      </c>
      <c r="F334" s="12">
        <f>SUMIFS(Base[Montante],Base[Fornecedor],$A334&amp;"",Base[Ano],F$4)</f>
        <v/>
      </c>
      <c r="G334" s="12">
        <f>SUMIFS(Base[Montante],Base[Fornecedor],$A334&amp;"",Base[Ano],G$4)</f>
        <v/>
      </c>
      <c r="H334" s="12">
        <f>SUMIFS(Base[Montante],Base[Fornecedor],$A334&amp;"",Base[Ano],H$4)</f>
        <v/>
      </c>
      <c r="I334" s="12">
        <f>SUMIFS(Base[Montante],Base[Fornecedor],$A334&amp;"",Base[Ano],I$4)</f>
        <v/>
      </c>
      <c r="J334" s="12">
        <f>SUMIFS(Base[Montante],Base[Fornecedor],$A334&amp;"",Base[Ano],J$4)</f>
        <v/>
      </c>
      <c r="K334" s="12">
        <f>SUM(D334:J334)</f>
        <v/>
      </c>
    </row>
    <row r="335">
      <c r="A335" s="5" t="inlineStr">
        <is>
          <t>EM000020</t>
        </is>
      </c>
      <c r="B335" s="5" t="inlineStr">
        <is>
          <t>JOAO JORGE DA SILVA TEMOTEO</t>
        </is>
      </c>
      <c r="C335" s="5">
        <f>IFERROR(INDEX(DePara[Categoria],MATCH(TEXT(A335,"0"),DePara[Fornecedor_txt],0)),"(sem categoria)")</f>
        <v/>
      </c>
      <c r="D335" s="12">
        <f>SUMIFS(Base[Montante],Base[Fornecedor],$A335&amp;"",Base[Ano],D$4)</f>
        <v/>
      </c>
      <c r="E335" s="12">
        <f>SUMIFS(Base[Montante],Base[Fornecedor],$A335&amp;"",Base[Ano],E$4)</f>
        <v/>
      </c>
      <c r="F335" s="12">
        <f>SUMIFS(Base[Montante],Base[Fornecedor],$A335&amp;"",Base[Ano],F$4)</f>
        <v/>
      </c>
      <c r="G335" s="12">
        <f>SUMIFS(Base[Montante],Base[Fornecedor],$A335&amp;"",Base[Ano],G$4)</f>
        <v/>
      </c>
      <c r="H335" s="12">
        <f>SUMIFS(Base[Montante],Base[Fornecedor],$A335&amp;"",Base[Ano],H$4)</f>
        <v/>
      </c>
      <c r="I335" s="12">
        <f>SUMIFS(Base[Montante],Base[Fornecedor],$A335&amp;"",Base[Ano],I$4)</f>
        <v/>
      </c>
      <c r="J335" s="12">
        <f>SUMIFS(Base[Montante],Base[Fornecedor],$A335&amp;"",Base[Ano],J$4)</f>
        <v/>
      </c>
      <c r="K335" s="12">
        <f>SUM(D335:J335)</f>
        <v/>
      </c>
    </row>
    <row r="336">
      <c r="A336" s="5" t="n">
        <v>101945</v>
      </c>
      <c r="B336" s="5" t="inlineStr">
        <is>
          <t>JOAO MARIA BARBOSA DE MOURA</t>
        </is>
      </c>
      <c r="C336" s="5">
        <f>IFERROR(INDEX(DePara[Categoria],MATCH(TEXT(A336,"0"),DePara[Fornecedor_txt],0)),"(sem categoria)")</f>
        <v/>
      </c>
      <c r="D336" s="12">
        <f>SUMIFS(Base[Montante],Base[Fornecedor],$A336&amp;"",Base[Ano],D$4)</f>
        <v/>
      </c>
      <c r="E336" s="12">
        <f>SUMIFS(Base[Montante],Base[Fornecedor],$A336&amp;"",Base[Ano],E$4)</f>
        <v/>
      </c>
      <c r="F336" s="12">
        <f>SUMIFS(Base[Montante],Base[Fornecedor],$A336&amp;"",Base[Ano],F$4)</f>
        <v/>
      </c>
      <c r="G336" s="12">
        <f>SUMIFS(Base[Montante],Base[Fornecedor],$A336&amp;"",Base[Ano],G$4)</f>
        <v/>
      </c>
      <c r="H336" s="12">
        <f>SUMIFS(Base[Montante],Base[Fornecedor],$A336&amp;"",Base[Ano],H$4)</f>
        <v/>
      </c>
      <c r="I336" s="12">
        <f>SUMIFS(Base[Montante],Base[Fornecedor],$A336&amp;"",Base[Ano],I$4)</f>
        <v/>
      </c>
      <c r="J336" s="12">
        <f>SUMIFS(Base[Montante],Base[Fornecedor],$A336&amp;"",Base[Ano],J$4)</f>
        <v/>
      </c>
      <c r="K336" s="12">
        <f>SUM(D336:J336)</f>
        <v/>
      </c>
    </row>
    <row r="337">
      <c r="A337" s="5" t="n">
        <v>101317</v>
      </c>
      <c r="B337" s="5" t="inlineStr">
        <is>
          <t>JOAO VANDERLEI ROYER</t>
        </is>
      </c>
      <c r="C337" s="5">
        <f>IFERROR(INDEX(DePara[Categoria],MATCH(TEXT(A337,"0"),DePara[Fornecedor_txt],0)),"(sem categoria)")</f>
        <v/>
      </c>
      <c r="D337" s="12">
        <f>SUMIFS(Base[Montante],Base[Fornecedor],$A337&amp;"",Base[Ano],D$4)</f>
        <v/>
      </c>
      <c r="E337" s="12">
        <f>SUMIFS(Base[Montante],Base[Fornecedor],$A337&amp;"",Base[Ano],E$4)</f>
        <v/>
      </c>
      <c r="F337" s="12">
        <f>SUMIFS(Base[Montante],Base[Fornecedor],$A337&amp;"",Base[Ano],F$4)</f>
        <v/>
      </c>
      <c r="G337" s="12">
        <f>SUMIFS(Base[Montante],Base[Fornecedor],$A337&amp;"",Base[Ano],G$4)</f>
        <v/>
      </c>
      <c r="H337" s="12">
        <f>SUMIFS(Base[Montante],Base[Fornecedor],$A337&amp;"",Base[Ano],H$4)</f>
        <v/>
      </c>
      <c r="I337" s="12">
        <f>SUMIFS(Base[Montante],Base[Fornecedor],$A337&amp;"",Base[Ano],I$4)</f>
        <v/>
      </c>
      <c r="J337" s="12">
        <f>SUMIFS(Base[Montante],Base[Fornecedor],$A337&amp;"",Base[Ano],J$4)</f>
        <v/>
      </c>
      <c r="K337" s="12">
        <f>SUM(D337:J337)</f>
        <v/>
      </c>
    </row>
    <row r="338">
      <c r="A338" s="5" t="inlineStr">
        <is>
          <t>EM000490</t>
        </is>
      </c>
      <c r="B338" s="5" t="inlineStr">
        <is>
          <t>JOAQUIM INACIO PEREIRA DA SILVA</t>
        </is>
      </c>
      <c r="C338" s="5">
        <f>IFERROR(INDEX(DePara[Categoria],MATCH(TEXT(A338,"0"),DePara[Fornecedor_txt],0)),"(sem categoria)")</f>
        <v/>
      </c>
      <c r="D338" s="12">
        <f>SUMIFS(Base[Montante],Base[Fornecedor],$A338&amp;"",Base[Ano],D$4)</f>
        <v/>
      </c>
      <c r="E338" s="12">
        <f>SUMIFS(Base[Montante],Base[Fornecedor],$A338&amp;"",Base[Ano],E$4)</f>
        <v/>
      </c>
      <c r="F338" s="12">
        <f>SUMIFS(Base[Montante],Base[Fornecedor],$A338&amp;"",Base[Ano],F$4)</f>
        <v/>
      </c>
      <c r="G338" s="12">
        <f>SUMIFS(Base[Montante],Base[Fornecedor],$A338&amp;"",Base[Ano],G$4)</f>
        <v/>
      </c>
      <c r="H338" s="12">
        <f>SUMIFS(Base[Montante],Base[Fornecedor],$A338&amp;"",Base[Ano],H$4)</f>
        <v/>
      </c>
      <c r="I338" s="12">
        <f>SUMIFS(Base[Montante],Base[Fornecedor],$A338&amp;"",Base[Ano],I$4)</f>
        <v/>
      </c>
      <c r="J338" s="12">
        <f>SUMIFS(Base[Montante],Base[Fornecedor],$A338&amp;"",Base[Ano],J$4)</f>
        <v/>
      </c>
      <c r="K338" s="12">
        <f>SUM(D338:J338)</f>
        <v/>
      </c>
    </row>
    <row r="339">
      <c r="A339" s="5" t="inlineStr">
        <is>
          <t>EM000272</t>
        </is>
      </c>
      <c r="B339" s="5" t="inlineStr">
        <is>
          <t>JOBSON BARBOSA DE OLIVEIRA</t>
        </is>
      </c>
      <c r="C339" s="5">
        <f>IFERROR(INDEX(DePara[Categoria],MATCH(TEXT(A339,"0"),DePara[Fornecedor_txt],0)),"(sem categoria)")</f>
        <v/>
      </c>
      <c r="D339" s="12">
        <f>SUMIFS(Base[Montante],Base[Fornecedor],$A339&amp;"",Base[Ano],D$4)</f>
        <v/>
      </c>
      <c r="E339" s="12">
        <f>SUMIFS(Base[Montante],Base[Fornecedor],$A339&amp;"",Base[Ano],E$4)</f>
        <v/>
      </c>
      <c r="F339" s="12">
        <f>SUMIFS(Base[Montante],Base[Fornecedor],$A339&amp;"",Base[Ano],F$4)</f>
        <v/>
      </c>
      <c r="G339" s="12">
        <f>SUMIFS(Base[Montante],Base[Fornecedor],$A339&amp;"",Base[Ano],G$4)</f>
        <v/>
      </c>
      <c r="H339" s="12">
        <f>SUMIFS(Base[Montante],Base[Fornecedor],$A339&amp;"",Base[Ano],H$4)</f>
        <v/>
      </c>
      <c r="I339" s="12">
        <f>SUMIFS(Base[Montante],Base[Fornecedor],$A339&amp;"",Base[Ano],I$4)</f>
        <v/>
      </c>
      <c r="J339" s="12">
        <f>SUMIFS(Base[Montante],Base[Fornecedor],$A339&amp;"",Base[Ano],J$4)</f>
        <v/>
      </c>
      <c r="K339" s="12">
        <f>SUM(D339:J339)</f>
        <v/>
      </c>
    </row>
    <row r="340">
      <c r="A340" s="5" t="inlineStr">
        <is>
          <t>EM000129</t>
        </is>
      </c>
      <c r="B340" s="5" t="inlineStr">
        <is>
          <t>JOCIVAN DE SOUZA SILVA</t>
        </is>
      </c>
      <c r="C340" s="5">
        <f>IFERROR(INDEX(DePara[Categoria],MATCH(TEXT(A340,"0"),DePara[Fornecedor_txt],0)),"(sem categoria)")</f>
        <v/>
      </c>
      <c r="D340" s="12">
        <f>SUMIFS(Base[Montante],Base[Fornecedor],$A340&amp;"",Base[Ano],D$4)</f>
        <v/>
      </c>
      <c r="E340" s="12">
        <f>SUMIFS(Base[Montante],Base[Fornecedor],$A340&amp;"",Base[Ano],E$4)</f>
        <v/>
      </c>
      <c r="F340" s="12">
        <f>SUMIFS(Base[Montante],Base[Fornecedor],$A340&amp;"",Base[Ano],F$4)</f>
        <v/>
      </c>
      <c r="G340" s="12">
        <f>SUMIFS(Base[Montante],Base[Fornecedor],$A340&amp;"",Base[Ano],G$4)</f>
        <v/>
      </c>
      <c r="H340" s="12">
        <f>SUMIFS(Base[Montante],Base[Fornecedor],$A340&amp;"",Base[Ano],H$4)</f>
        <v/>
      </c>
      <c r="I340" s="12">
        <f>SUMIFS(Base[Montante],Base[Fornecedor],$A340&amp;"",Base[Ano],I$4)</f>
        <v/>
      </c>
      <c r="J340" s="12">
        <f>SUMIFS(Base[Montante],Base[Fornecedor],$A340&amp;"",Base[Ano],J$4)</f>
        <v/>
      </c>
      <c r="K340" s="12">
        <f>SUM(D340:J340)</f>
        <v/>
      </c>
    </row>
    <row r="341">
      <c r="A341" s="5" t="inlineStr">
        <is>
          <t>EM000955</t>
        </is>
      </c>
      <c r="B341" s="5" t="inlineStr">
        <is>
          <t>JOE MAGNI FREITAS SANTOS</t>
        </is>
      </c>
      <c r="C341" s="5">
        <f>IFERROR(INDEX(DePara[Categoria],MATCH(TEXT(A341,"0"),DePara[Fornecedor_txt],0)),"(sem categoria)")</f>
        <v/>
      </c>
      <c r="D341" s="12">
        <f>SUMIFS(Base[Montante],Base[Fornecedor],$A341&amp;"",Base[Ano],D$4)</f>
        <v/>
      </c>
      <c r="E341" s="12">
        <f>SUMIFS(Base[Montante],Base[Fornecedor],$A341&amp;"",Base[Ano],E$4)</f>
        <v/>
      </c>
      <c r="F341" s="12">
        <f>SUMIFS(Base[Montante],Base[Fornecedor],$A341&amp;"",Base[Ano],F$4)</f>
        <v/>
      </c>
      <c r="G341" s="12">
        <f>SUMIFS(Base[Montante],Base[Fornecedor],$A341&amp;"",Base[Ano],G$4)</f>
        <v/>
      </c>
      <c r="H341" s="12">
        <f>SUMIFS(Base[Montante],Base[Fornecedor],$A341&amp;"",Base[Ano],H$4)</f>
        <v/>
      </c>
      <c r="I341" s="12">
        <f>SUMIFS(Base[Montante],Base[Fornecedor],$A341&amp;"",Base[Ano],I$4)</f>
        <v/>
      </c>
      <c r="J341" s="12">
        <f>SUMIFS(Base[Montante],Base[Fornecedor],$A341&amp;"",Base[Ano],J$4)</f>
        <v/>
      </c>
      <c r="K341" s="12">
        <f>SUM(D341:J341)</f>
        <v/>
      </c>
    </row>
    <row r="342">
      <c r="A342" s="5" t="inlineStr">
        <is>
          <t>EM003535</t>
        </is>
      </c>
      <c r="B342" s="5" t="inlineStr">
        <is>
          <t>JOILTON MARQUES DA SILVA</t>
        </is>
      </c>
      <c r="C342" s="5">
        <f>IFERROR(INDEX(DePara[Categoria],MATCH(TEXT(A342,"0"),DePara[Fornecedor_txt],0)),"(sem categoria)")</f>
        <v/>
      </c>
      <c r="D342" s="12">
        <f>SUMIFS(Base[Montante],Base[Fornecedor],$A342&amp;"",Base[Ano],D$4)</f>
        <v/>
      </c>
      <c r="E342" s="12">
        <f>SUMIFS(Base[Montante],Base[Fornecedor],$A342&amp;"",Base[Ano],E$4)</f>
        <v/>
      </c>
      <c r="F342" s="12">
        <f>SUMIFS(Base[Montante],Base[Fornecedor],$A342&amp;"",Base[Ano],F$4)</f>
        <v/>
      </c>
      <c r="G342" s="12">
        <f>SUMIFS(Base[Montante],Base[Fornecedor],$A342&amp;"",Base[Ano],G$4)</f>
        <v/>
      </c>
      <c r="H342" s="12">
        <f>SUMIFS(Base[Montante],Base[Fornecedor],$A342&amp;"",Base[Ano],H$4)</f>
        <v/>
      </c>
      <c r="I342" s="12">
        <f>SUMIFS(Base[Montante],Base[Fornecedor],$A342&amp;"",Base[Ano],I$4)</f>
        <v/>
      </c>
      <c r="J342" s="12">
        <f>SUMIFS(Base[Montante],Base[Fornecedor],$A342&amp;"",Base[Ano],J$4)</f>
        <v/>
      </c>
      <c r="K342" s="12">
        <f>SUM(D342:J342)</f>
        <v/>
      </c>
    </row>
    <row r="343">
      <c r="A343" s="5" t="inlineStr">
        <is>
          <t>EM000106</t>
        </is>
      </c>
      <c r="B343" s="5" t="inlineStr">
        <is>
          <t>JONATHAN ITOI DE MORAIS</t>
        </is>
      </c>
      <c r="C343" s="5">
        <f>IFERROR(INDEX(DePara[Categoria],MATCH(TEXT(A343,"0"),DePara[Fornecedor_txt],0)),"(sem categoria)")</f>
        <v/>
      </c>
      <c r="D343" s="12">
        <f>SUMIFS(Base[Montante],Base[Fornecedor],$A343&amp;"",Base[Ano],D$4)</f>
        <v/>
      </c>
      <c r="E343" s="12">
        <f>SUMIFS(Base[Montante],Base[Fornecedor],$A343&amp;"",Base[Ano],E$4)</f>
        <v/>
      </c>
      <c r="F343" s="12">
        <f>SUMIFS(Base[Montante],Base[Fornecedor],$A343&amp;"",Base[Ano],F$4)</f>
        <v/>
      </c>
      <c r="G343" s="12">
        <f>SUMIFS(Base[Montante],Base[Fornecedor],$A343&amp;"",Base[Ano],G$4)</f>
        <v/>
      </c>
      <c r="H343" s="12">
        <f>SUMIFS(Base[Montante],Base[Fornecedor],$A343&amp;"",Base[Ano],H$4)</f>
        <v/>
      </c>
      <c r="I343" s="12">
        <f>SUMIFS(Base[Montante],Base[Fornecedor],$A343&amp;"",Base[Ano],I$4)</f>
        <v/>
      </c>
      <c r="J343" s="12">
        <f>SUMIFS(Base[Montante],Base[Fornecedor],$A343&amp;"",Base[Ano],J$4)</f>
        <v/>
      </c>
      <c r="K343" s="12">
        <f>SUM(D343:J343)</f>
        <v/>
      </c>
    </row>
    <row r="344">
      <c r="A344" s="5" t="inlineStr">
        <is>
          <t>EM000927</t>
        </is>
      </c>
      <c r="B344" s="5" t="inlineStr">
        <is>
          <t>JOSE AELIO NASCIMENTO DA SILVA</t>
        </is>
      </c>
      <c r="C344" s="5">
        <f>IFERROR(INDEX(DePara[Categoria],MATCH(TEXT(A344,"0"),DePara[Fornecedor_txt],0)),"(sem categoria)")</f>
        <v/>
      </c>
      <c r="D344" s="12">
        <f>SUMIFS(Base[Montante],Base[Fornecedor],$A344&amp;"",Base[Ano],D$4)</f>
        <v/>
      </c>
      <c r="E344" s="12">
        <f>SUMIFS(Base[Montante],Base[Fornecedor],$A344&amp;"",Base[Ano],E$4)</f>
        <v/>
      </c>
      <c r="F344" s="12">
        <f>SUMIFS(Base[Montante],Base[Fornecedor],$A344&amp;"",Base[Ano],F$4)</f>
        <v/>
      </c>
      <c r="G344" s="12">
        <f>SUMIFS(Base[Montante],Base[Fornecedor],$A344&amp;"",Base[Ano],G$4)</f>
        <v/>
      </c>
      <c r="H344" s="12">
        <f>SUMIFS(Base[Montante],Base[Fornecedor],$A344&amp;"",Base[Ano],H$4)</f>
        <v/>
      </c>
      <c r="I344" s="12">
        <f>SUMIFS(Base[Montante],Base[Fornecedor],$A344&amp;"",Base[Ano],I$4)</f>
        <v/>
      </c>
      <c r="J344" s="12">
        <f>SUMIFS(Base[Montante],Base[Fornecedor],$A344&amp;"",Base[Ano],J$4)</f>
        <v/>
      </c>
      <c r="K344" s="12">
        <f>SUM(D344:J344)</f>
        <v/>
      </c>
    </row>
    <row r="345">
      <c r="A345" s="5" t="inlineStr">
        <is>
          <t>EM003655</t>
        </is>
      </c>
      <c r="B345" s="5" t="inlineStr">
        <is>
          <t>JOSE ARLINDO DE SOUSA JUNIOR</t>
        </is>
      </c>
      <c r="C345" s="5">
        <f>IFERROR(INDEX(DePara[Categoria],MATCH(TEXT(A345,"0"),DePara[Fornecedor_txt],0)),"(sem categoria)")</f>
        <v/>
      </c>
      <c r="D345" s="12">
        <f>SUMIFS(Base[Montante],Base[Fornecedor],$A345&amp;"",Base[Ano],D$4)</f>
        <v/>
      </c>
      <c r="E345" s="12">
        <f>SUMIFS(Base[Montante],Base[Fornecedor],$A345&amp;"",Base[Ano],E$4)</f>
        <v/>
      </c>
      <c r="F345" s="12">
        <f>SUMIFS(Base[Montante],Base[Fornecedor],$A345&amp;"",Base[Ano],F$4)</f>
        <v/>
      </c>
      <c r="G345" s="12">
        <f>SUMIFS(Base[Montante],Base[Fornecedor],$A345&amp;"",Base[Ano],G$4)</f>
        <v/>
      </c>
      <c r="H345" s="12">
        <f>SUMIFS(Base[Montante],Base[Fornecedor],$A345&amp;"",Base[Ano],H$4)</f>
        <v/>
      </c>
      <c r="I345" s="12">
        <f>SUMIFS(Base[Montante],Base[Fornecedor],$A345&amp;"",Base[Ano],I$4)</f>
        <v/>
      </c>
      <c r="J345" s="12">
        <f>SUMIFS(Base[Montante],Base[Fornecedor],$A345&amp;"",Base[Ano],J$4)</f>
        <v/>
      </c>
      <c r="K345" s="12">
        <f>SUM(D345:J345)</f>
        <v/>
      </c>
    </row>
    <row r="346">
      <c r="A346" s="5" t="inlineStr">
        <is>
          <t>EM000521</t>
        </is>
      </c>
      <c r="B346" s="5" t="inlineStr">
        <is>
          <t>JOSE EDINELE MARTINS</t>
        </is>
      </c>
      <c r="C346" s="5">
        <f>IFERROR(INDEX(DePara[Categoria],MATCH(TEXT(A346,"0"),DePara[Fornecedor_txt],0)),"(sem categoria)")</f>
        <v/>
      </c>
      <c r="D346" s="12">
        <f>SUMIFS(Base[Montante],Base[Fornecedor],$A346&amp;"",Base[Ano],D$4)</f>
        <v/>
      </c>
      <c r="E346" s="12">
        <f>SUMIFS(Base[Montante],Base[Fornecedor],$A346&amp;"",Base[Ano],E$4)</f>
        <v/>
      </c>
      <c r="F346" s="12">
        <f>SUMIFS(Base[Montante],Base[Fornecedor],$A346&amp;"",Base[Ano],F$4)</f>
        <v/>
      </c>
      <c r="G346" s="12">
        <f>SUMIFS(Base[Montante],Base[Fornecedor],$A346&amp;"",Base[Ano],G$4)</f>
        <v/>
      </c>
      <c r="H346" s="12">
        <f>SUMIFS(Base[Montante],Base[Fornecedor],$A346&amp;"",Base[Ano],H$4)</f>
        <v/>
      </c>
      <c r="I346" s="12">
        <f>SUMIFS(Base[Montante],Base[Fornecedor],$A346&amp;"",Base[Ano],I$4)</f>
        <v/>
      </c>
      <c r="J346" s="12">
        <f>SUMIFS(Base[Montante],Base[Fornecedor],$A346&amp;"",Base[Ano],J$4)</f>
        <v/>
      </c>
      <c r="K346" s="12">
        <f>SUM(D346:J346)</f>
        <v/>
      </c>
    </row>
    <row r="347">
      <c r="A347" s="5" t="inlineStr">
        <is>
          <t>EM000242</t>
        </is>
      </c>
      <c r="B347" s="5" t="inlineStr">
        <is>
          <t>JOSE EDUARDO DE SOUSA SOARES</t>
        </is>
      </c>
      <c r="C347" s="5">
        <f>IFERROR(INDEX(DePara[Categoria],MATCH(TEXT(A347,"0"),DePara[Fornecedor_txt],0)),"(sem categoria)")</f>
        <v/>
      </c>
      <c r="D347" s="12">
        <f>SUMIFS(Base[Montante],Base[Fornecedor],$A347&amp;"",Base[Ano],D$4)</f>
        <v/>
      </c>
      <c r="E347" s="12">
        <f>SUMIFS(Base[Montante],Base[Fornecedor],$A347&amp;"",Base[Ano],E$4)</f>
        <v/>
      </c>
      <c r="F347" s="12">
        <f>SUMIFS(Base[Montante],Base[Fornecedor],$A347&amp;"",Base[Ano],F$4)</f>
        <v/>
      </c>
      <c r="G347" s="12">
        <f>SUMIFS(Base[Montante],Base[Fornecedor],$A347&amp;"",Base[Ano],G$4)</f>
        <v/>
      </c>
      <c r="H347" s="12">
        <f>SUMIFS(Base[Montante],Base[Fornecedor],$A347&amp;"",Base[Ano],H$4)</f>
        <v/>
      </c>
      <c r="I347" s="12">
        <f>SUMIFS(Base[Montante],Base[Fornecedor],$A347&amp;"",Base[Ano],I$4)</f>
        <v/>
      </c>
      <c r="J347" s="12">
        <f>SUMIFS(Base[Montante],Base[Fornecedor],$A347&amp;"",Base[Ano],J$4)</f>
        <v/>
      </c>
      <c r="K347" s="12">
        <f>SUM(D347:J347)</f>
        <v/>
      </c>
    </row>
    <row r="348">
      <c r="A348" s="5" t="inlineStr">
        <is>
          <t>EM000861</t>
        </is>
      </c>
      <c r="B348" s="5" t="inlineStr">
        <is>
          <t>JOSE ELIMAR PALHARES JUNIOR</t>
        </is>
      </c>
      <c r="C348" s="5">
        <f>IFERROR(INDEX(DePara[Categoria],MATCH(TEXT(A348,"0"),DePara[Fornecedor_txt],0)),"(sem categoria)")</f>
        <v/>
      </c>
      <c r="D348" s="12">
        <f>SUMIFS(Base[Montante],Base[Fornecedor],$A348&amp;"",Base[Ano],D$4)</f>
        <v/>
      </c>
      <c r="E348" s="12">
        <f>SUMIFS(Base[Montante],Base[Fornecedor],$A348&amp;"",Base[Ano],E$4)</f>
        <v/>
      </c>
      <c r="F348" s="12">
        <f>SUMIFS(Base[Montante],Base[Fornecedor],$A348&amp;"",Base[Ano],F$4)</f>
        <v/>
      </c>
      <c r="G348" s="12">
        <f>SUMIFS(Base[Montante],Base[Fornecedor],$A348&amp;"",Base[Ano],G$4)</f>
        <v/>
      </c>
      <c r="H348" s="12">
        <f>SUMIFS(Base[Montante],Base[Fornecedor],$A348&amp;"",Base[Ano],H$4)</f>
        <v/>
      </c>
      <c r="I348" s="12">
        <f>SUMIFS(Base[Montante],Base[Fornecedor],$A348&amp;"",Base[Ano],I$4)</f>
        <v/>
      </c>
      <c r="J348" s="12">
        <f>SUMIFS(Base[Montante],Base[Fornecedor],$A348&amp;"",Base[Ano],J$4)</f>
        <v/>
      </c>
      <c r="K348" s="12">
        <f>SUM(D348:J348)</f>
        <v/>
      </c>
    </row>
    <row r="349">
      <c r="A349" s="5" t="inlineStr">
        <is>
          <t>EM000841</t>
        </is>
      </c>
      <c r="B349" s="5" t="inlineStr">
        <is>
          <t>José Leonardo de Sousa Batista</t>
        </is>
      </c>
      <c r="C349" s="5">
        <f>IFERROR(INDEX(DePara[Categoria],MATCH(TEXT(A349,"0"),DePara[Fornecedor_txt],0)),"(sem categoria)")</f>
        <v/>
      </c>
      <c r="D349" s="12">
        <f>SUMIFS(Base[Montante],Base[Fornecedor],$A349&amp;"",Base[Ano],D$4)</f>
        <v/>
      </c>
      <c r="E349" s="12">
        <f>SUMIFS(Base[Montante],Base[Fornecedor],$A349&amp;"",Base[Ano],E$4)</f>
        <v/>
      </c>
      <c r="F349" s="12">
        <f>SUMIFS(Base[Montante],Base[Fornecedor],$A349&amp;"",Base[Ano],F$4)</f>
        <v/>
      </c>
      <c r="G349" s="12">
        <f>SUMIFS(Base[Montante],Base[Fornecedor],$A349&amp;"",Base[Ano],G$4)</f>
        <v/>
      </c>
      <c r="H349" s="12">
        <f>SUMIFS(Base[Montante],Base[Fornecedor],$A349&amp;"",Base[Ano],H$4)</f>
        <v/>
      </c>
      <c r="I349" s="12">
        <f>SUMIFS(Base[Montante],Base[Fornecedor],$A349&amp;"",Base[Ano],I$4)</f>
        <v/>
      </c>
      <c r="J349" s="12">
        <f>SUMIFS(Base[Montante],Base[Fornecedor],$A349&amp;"",Base[Ano],J$4)</f>
        <v/>
      </c>
      <c r="K349" s="12">
        <f>SUM(D349:J349)</f>
        <v/>
      </c>
    </row>
    <row r="350">
      <c r="A350" s="5" t="inlineStr">
        <is>
          <t>EM000323</t>
        </is>
      </c>
      <c r="B350" s="5" t="inlineStr">
        <is>
          <t>JOSE LEONARDO RIBEIRO DUARTE</t>
        </is>
      </c>
      <c r="C350" s="5">
        <f>IFERROR(INDEX(DePara[Categoria],MATCH(TEXT(A350,"0"),DePara[Fornecedor_txt],0)),"(sem categoria)")</f>
        <v/>
      </c>
      <c r="D350" s="12">
        <f>SUMIFS(Base[Montante],Base[Fornecedor],$A350&amp;"",Base[Ano],D$4)</f>
        <v/>
      </c>
      <c r="E350" s="12">
        <f>SUMIFS(Base[Montante],Base[Fornecedor],$A350&amp;"",Base[Ano],E$4)</f>
        <v/>
      </c>
      <c r="F350" s="12">
        <f>SUMIFS(Base[Montante],Base[Fornecedor],$A350&amp;"",Base[Ano],F$4)</f>
        <v/>
      </c>
      <c r="G350" s="12">
        <f>SUMIFS(Base[Montante],Base[Fornecedor],$A350&amp;"",Base[Ano],G$4)</f>
        <v/>
      </c>
      <c r="H350" s="12">
        <f>SUMIFS(Base[Montante],Base[Fornecedor],$A350&amp;"",Base[Ano],H$4)</f>
        <v/>
      </c>
      <c r="I350" s="12">
        <f>SUMIFS(Base[Montante],Base[Fornecedor],$A350&amp;"",Base[Ano],I$4)</f>
        <v/>
      </c>
      <c r="J350" s="12">
        <f>SUMIFS(Base[Montante],Base[Fornecedor],$A350&amp;"",Base[Ano],J$4)</f>
        <v/>
      </c>
      <c r="K350" s="12">
        <f>SUM(D350:J350)</f>
        <v/>
      </c>
    </row>
    <row r="351">
      <c r="A351" s="5" t="inlineStr">
        <is>
          <t>EM000879</t>
        </is>
      </c>
      <c r="B351" s="5" t="inlineStr">
        <is>
          <t>JOSE LUIS COELHO DE SOUSA</t>
        </is>
      </c>
      <c r="C351" s="5">
        <f>IFERROR(INDEX(DePara[Categoria],MATCH(TEXT(A351,"0"),DePara[Fornecedor_txt],0)),"(sem categoria)")</f>
        <v/>
      </c>
      <c r="D351" s="12">
        <f>SUMIFS(Base[Montante],Base[Fornecedor],$A351&amp;"",Base[Ano],D$4)</f>
        <v/>
      </c>
      <c r="E351" s="12">
        <f>SUMIFS(Base[Montante],Base[Fornecedor],$A351&amp;"",Base[Ano],E$4)</f>
        <v/>
      </c>
      <c r="F351" s="12">
        <f>SUMIFS(Base[Montante],Base[Fornecedor],$A351&amp;"",Base[Ano],F$4)</f>
        <v/>
      </c>
      <c r="G351" s="12">
        <f>SUMIFS(Base[Montante],Base[Fornecedor],$A351&amp;"",Base[Ano],G$4)</f>
        <v/>
      </c>
      <c r="H351" s="12">
        <f>SUMIFS(Base[Montante],Base[Fornecedor],$A351&amp;"",Base[Ano],H$4)</f>
        <v/>
      </c>
      <c r="I351" s="12">
        <f>SUMIFS(Base[Montante],Base[Fornecedor],$A351&amp;"",Base[Ano],I$4)</f>
        <v/>
      </c>
      <c r="J351" s="12">
        <f>SUMIFS(Base[Montante],Base[Fornecedor],$A351&amp;"",Base[Ano],J$4)</f>
        <v/>
      </c>
      <c r="K351" s="12">
        <f>SUM(D351:J351)</f>
        <v/>
      </c>
    </row>
    <row r="352">
      <c r="A352" s="5" t="inlineStr">
        <is>
          <t>EM000243</t>
        </is>
      </c>
      <c r="B352" s="5" t="inlineStr">
        <is>
          <t>JOSE LUIZ CONCEICAO DE SOUZA</t>
        </is>
      </c>
      <c r="C352" s="5">
        <f>IFERROR(INDEX(DePara[Categoria],MATCH(TEXT(A352,"0"),DePara[Fornecedor_txt],0)),"(sem categoria)")</f>
        <v/>
      </c>
      <c r="D352" s="12">
        <f>SUMIFS(Base[Montante],Base[Fornecedor],$A352&amp;"",Base[Ano],D$4)</f>
        <v/>
      </c>
      <c r="E352" s="12">
        <f>SUMIFS(Base[Montante],Base[Fornecedor],$A352&amp;"",Base[Ano],E$4)</f>
        <v/>
      </c>
      <c r="F352" s="12">
        <f>SUMIFS(Base[Montante],Base[Fornecedor],$A352&amp;"",Base[Ano],F$4)</f>
        <v/>
      </c>
      <c r="G352" s="12">
        <f>SUMIFS(Base[Montante],Base[Fornecedor],$A352&amp;"",Base[Ano],G$4)</f>
        <v/>
      </c>
      <c r="H352" s="12">
        <f>SUMIFS(Base[Montante],Base[Fornecedor],$A352&amp;"",Base[Ano],H$4)</f>
        <v/>
      </c>
      <c r="I352" s="12">
        <f>SUMIFS(Base[Montante],Base[Fornecedor],$A352&amp;"",Base[Ano],I$4)</f>
        <v/>
      </c>
      <c r="J352" s="12">
        <f>SUMIFS(Base[Montante],Base[Fornecedor],$A352&amp;"",Base[Ano],J$4)</f>
        <v/>
      </c>
      <c r="K352" s="12">
        <f>SUM(D352:J352)</f>
        <v/>
      </c>
    </row>
    <row r="353">
      <c r="A353" s="5" t="inlineStr">
        <is>
          <t>EM000327</t>
        </is>
      </c>
      <c r="B353" s="5" t="inlineStr">
        <is>
          <t>JOSE MARTINS TEIXEIRA NETO</t>
        </is>
      </c>
      <c r="C353" s="5">
        <f>IFERROR(INDEX(DePara[Categoria],MATCH(TEXT(A353,"0"),DePara[Fornecedor_txt],0)),"(sem categoria)")</f>
        <v/>
      </c>
      <c r="D353" s="12">
        <f>SUMIFS(Base[Montante],Base[Fornecedor],$A353&amp;"",Base[Ano],D$4)</f>
        <v/>
      </c>
      <c r="E353" s="12">
        <f>SUMIFS(Base[Montante],Base[Fornecedor],$A353&amp;"",Base[Ano],E$4)</f>
        <v/>
      </c>
      <c r="F353" s="12">
        <f>SUMIFS(Base[Montante],Base[Fornecedor],$A353&amp;"",Base[Ano],F$4)</f>
        <v/>
      </c>
      <c r="G353" s="12">
        <f>SUMIFS(Base[Montante],Base[Fornecedor],$A353&amp;"",Base[Ano],G$4)</f>
        <v/>
      </c>
      <c r="H353" s="12">
        <f>SUMIFS(Base[Montante],Base[Fornecedor],$A353&amp;"",Base[Ano],H$4)</f>
        <v/>
      </c>
      <c r="I353" s="12">
        <f>SUMIFS(Base[Montante],Base[Fornecedor],$A353&amp;"",Base[Ano],I$4)</f>
        <v/>
      </c>
      <c r="J353" s="12">
        <f>SUMIFS(Base[Montante],Base[Fornecedor],$A353&amp;"",Base[Ano],J$4)</f>
        <v/>
      </c>
      <c r="K353" s="12">
        <f>SUM(D353:J353)</f>
        <v/>
      </c>
    </row>
    <row r="354">
      <c r="A354" s="5" t="inlineStr">
        <is>
          <t>EM000979</t>
        </is>
      </c>
      <c r="B354" s="5" t="inlineStr">
        <is>
          <t>JOSE NATAN DIAS DOS SANTOS</t>
        </is>
      </c>
      <c r="C354" s="5">
        <f>IFERROR(INDEX(DePara[Categoria],MATCH(TEXT(A354,"0"),DePara[Fornecedor_txt],0)),"(sem categoria)")</f>
        <v/>
      </c>
      <c r="D354" s="12">
        <f>SUMIFS(Base[Montante],Base[Fornecedor],$A354&amp;"",Base[Ano],D$4)</f>
        <v/>
      </c>
      <c r="E354" s="12">
        <f>SUMIFS(Base[Montante],Base[Fornecedor],$A354&amp;"",Base[Ano],E$4)</f>
        <v/>
      </c>
      <c r="F354" s="12">
        <f>SUMIFS(Base[Montante],Base[Fornecedor],$A354&amp;"",Base[Ano],F$4)</f>
        <v/>
      </c>
      <c r="G354" s="12">
        <f>SUMIFS(Base[Montante],Base[Fornecedor],$A354&amp;"",Base[Ano],G$4)</f>
        <v/>
      </c>
      <c r="H354" s="12">
        <f>SUMIFS(Base[Montante],Base[Fornecedor],$A354&amp;"",Base[Ano],H$4)</f>
        <v/>
      </c>
      <c r="I354" s="12">
        <f>SUMIFS(Base[Montante],Base[Fornecedor],$A354&amp;"",Base[Ano],I$4)</f>
        <v/>
      </c>
      <c r="J354" s="12">
        <f>SUMIFS(Base[Montante],Base[Fornecedor],$A354&amp;"",Base[Ano],J$4)</f>
        <v/>
      </c>
      <c r="K354" s="12">
        <f>SUM(D354:J354)</f>
        <v/>
      </c>
    </row>
    <row r="355">
      <c r="A355" s="5" t="inlineStr">
        <is>
          <t>EM000820</t>
        </is>
      </c>
      <c r="B355" s="5" t="inlineStr">
        <is>
          <t>JOSE RENATO SILVA DE SOUZA</t>
        </is>
      </c>
      <c r="C355" s="5">
        <f>IFERROR(INDEX(DePara[Categoria],MATCH(TEXT(A355,"0"),DePara[Fornecedor_txt],0)),"(sem categoria)")</f>
        <v/>
      </c>
      <c r="D355" s="12">
        <f>SUMIFS(Base[Montante],Base[Fornecedor],$A355&amp;"",Base[Ano],D$4)</f>
        <v/>
      </c>
      <c r="E355" s="12">
        <f>SUMIFS(Base[Montante],Base[Fornecedor],$A355&amp;"",Base[Ano],E$4)</f>
        <v/>
      </c>
      <c r="F355" s="12">
        <f>SUMIFS(Base[Montante],Base[Fornecedor],$A355&amp;"",Base[Ano],F$4)</f>
        <v/>
      </c>
      <c r="G355" s="12">
        <f>SUMIFS(Base[Montante],Base[Fornecedor],$A355&amp;"",Base[Ano],G$4)</f>
        <v/>
      </c>
      <c r="H355" s="12">
        <f>SUMIFS(Base[Montante],Base[Fornecedor],$A355&amp;"",Base[Ano],H$4)</f>
        <v/>
      </c>
      <c r="I355" s="12">
        <f>SUMIFS(Base[Montante],Base[Fornecedor],$A355&amp;"",Base[Ano],I$4)</f>
        <v/>
      </c>
      <c r="J355" s="12">
        <f>SUMIFS(Base[Montante],Base[Fornecedor],$A355&amp;"",Base[Ano],J$4)</f>
        <v/>
      </c>
      <c r="K355" s="12">
        <f>SUM(D355:J355)</f>
        <v/>
      </c>
    </row>
    <row r="356">
      <c r="A356" s="5" t="inlineStr">
        <is>
          <t>EM003694</t>
        </is>
      </c>
      <c r="B356" s="5" t="inlineStr">
        <is>
          <t>José Ribamar Morais Frazão</t>
        </is>
      </c>
      <c r="C356" s="5">
        <f>IFERROR(INDEX(DePara[Categoria],MATCH(TEXT(A356,"0"),DePara[Fornecedor_txt],0)),"(sem categoria)")</f>
        <v/>
      </c>
      <c r="D356" s="12">
        <f>SUMIFS(Base[Montante],Base[Fornecedor],$A356&amp;"",Base[Ano],D$4)</f>
        <v/>
      </c>
      <c r="E356" s="12">
        <f>SUMIFS(Base[Montante],Base[Fornecedor],$A356&amp;"",Base[Ano],E$4)</f>
        <v/>
      </c>
      <c r="F356" s="12">
        <f>SUMIFS(Base[Montante],Base[Fornecedor],$A356&amp;"",Base[Ano],F$4)</f>
        <v/>
      </c>
      <c r="G356" s="12">
        <f>SUMIFS(Base[Montante],Base[Fornecedor],$A356&amp;"",Base[Ano],G$4)</f>
        <v/>
      </c>
      <c r="H356" s="12">
        <f>SUMIFS(Base[Montante],Base[Fornecedor],$A356&amp;"",Base[Ano],H$4)</f>
        <v/>
      </c>
      <c r="I356" s="12">
        <f>SUMIFS(Base[Montante],Base[Fornecedor],$A356&amp;"",Base[Ano],I$4)</f>
        <v/>
      </c>
      <c r="J356" s="12">
        <f>SUMIFS(Base[Montante],Base[Fornecedor],$A356&amp;"",Base[Ano],J$4)</f>
        <v/>
      </c>
      <c r="K356" s="12">
        <f>SUM(D356:J356)</f>
        <v/>
      </c>
    </row>
    <row r="357">
      <c r="A357" s="5" t="inlineStr">
        <is>
          <t>EM000544</t>
        </is>
      </c>
      <c r="B357" s="5" t="inlineStr">
        <is>
          <t>JOSE TEIXEIRA DA SILVA NETO</t>
        </is>
      </c>
      <c r="C357" s="5">
        <f>IFERROR(INDEX(DePara[Categoria],MATCH(TEXT(A357,"0"),DePara[Fornecedor_txt],0)),"(sem categoria)")</f>
        <v/>
      </c>
      <c r="D357" s="12">
        <f>SUMIFS(Base[Montante],Base[Fornecedor],$A357&amp;"",Base[Ano],D$4)</f>
        <v/>
      </c>
      <c r="E357" s="12">
        <f>SUMIFS(Base[Montante],Base[Fornecedor],$A357&amp;"",Base[Ano],E$4)</f>
        <v/>
      </c>
      <c r="F357" s="12">
        <f>SUMIFS(Base[Montante],Base[Fornecedor],$A357&amp;"",Base[Ano],F$4)</f>
        <v/>
      </c>
      <c r="G357" s="12">
        <f>SUMIFS(Base[Montante],Base[Fornecedor],$A357&amp;"",Base[Ano],G$4)</f>
        <v/>
      </c>
      <c r="H357" s="12">
        <f>SUMIFS(Base[Montante],Base[Fornecedor],$A357&amp;"",Base[Ano],H$4)</f>
        <v/>
      </c>
      <c r="I357" s="12">
        <f>SUMIFS(Base[Montante],Base[Fornecedor],$A357&amp;"",Base[Ano],I$4)</f>
        <v/>
      </c>
      <c r="J357" s="12">
        <f>SUMIFS(Base[Montante],Base[Fornecedor],$A357&amp;"",Base[Ano],J$4)</f>
        <v/>
      </c>
      <c r="K357" s="12">
        <f>SUM(D357:J357)</f>
        <v/>
      </c>
    </row>
    <row r="358">
      <c r="A358" s="5" t="inlineStr">
        <is>
          <t>EM000889</t>
        </is>
      </c>
      <c r="B358" s="5" t="inlineStr">
        <is>
          <t>JOSEILTOM PEREIRA DOS SANTOS</t>
        </is>
      </c>
      <c r="C358" s="5">
        <f>IFERROR(INDEX(DePara[Categoria],MATCH(TEXT(A358,"0"),DePara[Fornecedor_txt],0)),"(sem categoria)")</f>
        <v/>
      </c>
      <c r="D358" s="12">
        <f>SUMIFS(Base[Montante],Base[Fornecedor],$A358&amp;"",Base[Ano],D$4)</f>
        <v/>
      </c>
      <c r="E358" s="12">
        <f>SUMIFS(Base[Montante],Base[Fornecedor],$A358&amp;"",Base[Ano],E$4)</f>
        <v/>
      </c>
      <c r="F358" s="12">
        <f>SUMIFS(Base[Montante],Base[Fornecedor],$A358&amp;"",Base[Ano],F$4)</f>
        <v/>
      </c>
      <c r="G358" s="12">
        <f>SUMIFS(Base[Montante],Base[Fornecedor],$A358&amp;"",Base[Ano],G$4)</f>
        <v/>
      </c>
      <c r="H358" s="12">
        <f>SUMIFS(Base[Montante],Base[Fornecedor],$A358&amp;"",Base[Ano],H$4)</f>
        <v/>
      </c>
      <c r="I358" s="12">
        <f>SUMIFS(Base[Montante],Base[Fornecedor],$A358&amp;"",Base[Ano],I$4)</f>
        <v/>
      </c>
      <c r="J358" s="12">
        <f>SUMIFS(Base[Montante],Base[Fornecedor],$A358&amp;"",Base[Ano],J$4)</f>
        <v/>
      </c>
      <c r="K358" s="12">
        <f>SUM(D358:J358)</f>
        <v/>
      </c>
    </row>
    <row r="359">
      <c r="A359" s="5" t="inlineStr">
        <is>
          <t>EM003096</t>
        </is>
      </c>
      <c r="B359" s="5" t="inlineStr">
        <is>
          <t>JOSICLEITON COELHO DE SOUZA</t>
        </is>
      </c>
      <c r="C359" s="5">
        <f>IFERROR(INDEX(DePara[Categoria],MATCH(TEXT(A359,"0"),DePara[Fornecedor_txt],0)),"(sem categoria)")</f>
        <v/>
      </c>
      <c r="D359" s="12">
        <f>SUMIFS(Base[Montante],Base[Fornecedor],$A359&amp;"",Base[Ano],D$4)</f>
        <v/>
      </c>
      <c r="E359" s="12">
        <f>SUMIFS(Base[Montante],Base[Fornecedor],$A359&amp;"",Base[Ano],E$4)</f>
        <v/>
      </c>
      <c r="F359" s="12">
        <f>SUMIFS(Base[Montante],Base[Fornecedor],$A359&amp;"",Base[Ano],F$4)</f>
        <v/>
      </c>
      <c r="G359" s="12">
        <f>SUMIFS(Base[Montante],Base[Fornecedor],$A359&amp;"",Base[Ano],G$4)</f>
        <v/>
      </c>
      <c r="H359" s="12">
        <f>SUMIFS(Base[Montante],Base[Fornecedor],$A359&amp;"",Base[Ano],H$4)</f>
        <v/>
      </c>
      <c r="I359" s="12">
        <f>SUMIFS(Base[Montante],Base[Fornecedor],$A359&amp;"",Base[Ano],I$4)</f>
        <v/>
      </c>
      <c r="J359" s="12">
        <f>SUMIFS(Base[Montante],Base[Fornecedor],$A359&amp;"",Base[Ano],J$4)</f>
        <v/>
      </c>
      <c r="K359" s="12">
        <f>SUM(D359:J359)</f>
        <v/>
      </c>
    </row>
    <row r="360">
      <c r="A360" s="5" t="inlineStr">
        <is>
          <t>EM003569</t>
        </is>
      </c>
      <c r="B360" s="5" t="inlineStr">
        <is>
          <t>JOSIVALDO COELHO DE SOUSA</t>
        </is>
      </c>
      <c r="C360" s="5">
        <f>IFERROR(INDEX(DePara[Categoria],MATCH(TEXT(A360,"0"),DePara[Fornecedor_txt],0)),"(sem categoria)")</f>
        <v/>
      </c>
      <c r="D360" s="12">
        <f>SUMIFS(Base[Montante],Base[Fornecedor],$A360&amp;"",Base[Ano],D$4)</f>
        <v/>
      </c>
      <c r="E360" s="12">
        <f>SUMIFS(Base[Montante],Base[Fornecedor],$A360&amp;"",Base[Ano],E$4)</f>
        <v/>
      </c>
      <c r="F360" s="12">
        <f>SUMIFS(Base[Montante],Base[Fornecedor],$A360&amp;"",Base[Ano],F$4)</f>
        <v/>
      </c>
      <c r="G360" s="12">
        <f>SUMIFS(Base[Montante],Base[Fornecedor],$A360&amp;"",Base[Ano],G$4)</f>
        <v/>
      </c>
      <c r="H360" s="12">
        <f>SUMIFS(Base[Montante],Base[Fornecedor],$A360&amp;"",Base[Ano],H$4)</f>
        <v/>
      </c>
      <c r="I360" s="12">
        <f>SUMIFS(Base[Montante],Base[Fornecedor],$A360&amp;"",Base[Ano],I$4)</f>
        <v/>
      </c>
      <c r="J360" s="12">
        <f>SUMIFS(Base[Montante],Base[Fornecedor],$A360&amp;"",Base[Ano],J$4)</f>
        <v/>
      </c>
      <c r="K360" s="12">
        <f>SUM(D360:J360)</f>
        <v/>
      </c>
    </row>
    <row r="361">
      <c r="A361" s="5" t="inlineStr">
        <is>
          <t>EM000913</t>
        </is>
      </c>
      <c r="B361" s="5" t="inlineStr">
        <is>
          <t>JOVERLAND FERNANDES DE SOUSA FILHO</t>
        </is>
      </c>
      <c r="C361" s="5">
        <f>IFERROR(INDEX(DePara[Categoria],MATCH(TEXT(A361,"0"),DePara[Fornecedor_txt],0)),"(sem categoria)")</f>
        <v/>
      </c>
      <c r="D361" s="12">
        <f>SUMIFS(Base[Montante],Base[Fornecedor],$A361&amp;"",Base[Ano],D$4)</f>
        <v/>
      </c>
      <c r="E361" s="12">
        <f>SUMIFS(Base[Montante],Base[Fornecedor],$A361&amp;"",Base[Ano],E$4)</f>
        <v/>
      </c>
      <c r="F361" s="12">
        <f>SUMIFS(Base[Montante],Base[Fornecedor],$A361&amp;"",Base[Ano],F$4)</f>
        <v/>
      </c>
      <c r="G361" s="12">
        <f>SUMIFS(Base[Montante],Base[Fornecedor],$A361&amp;"",Base[Ano],G$4)</f>
        <v/>
      </c>
      <c r="H361" s="12">
        <f>SUMIFS(Base[Montante],Base[Fornecedor],$A361&amp;"",Base[Ano],H$4)</f>
        <v/>
      </c>
      <c r="I361" s="12">
        <f>SUMIFS(Base[Montante],Base[Fornecedor],$A361&amp;"",Base[Ano],I$4)</f>
        <v/>
      </c>
      <c r="J361" s="12">
        <f>SUMIFS(Base[Montante],Base[Fornecedor],$A361&amp;"",Base[Ano],J$4)</f>
        <v/>
      </c>
      <c r="K361" s="12">
        <f>SUM(D361:J361)</f>
        <v/>
      </c>
    </row>
    <row r="362">
      <c r="A362" s="5" t="n">
        <v>101967</v>
      </c>
      <c r="B362" s="5" t="inlineStr">
        <is>
          <t>JR EQUIPAMENTOS E SERVICOS LTDA  ME</t>
        </is>
      </c>
      <c r="C362" s="5">
        <f>IFERROR(INDEX(DePara[Categoria],MATCH(TEXT(A362,"0"),DePara[Fornecedor_txt],0)),"(sem categoria)")</f>
        <v/>
      </c>
      <c r="D362" s="12">
        <f>SUMIFS(Base[Montante],Base[Fornecedor],$A362&amp;"",Base[Ano],D$4)</f>
        <v/>
      </c>
      <c r="E362" s="12">
        <f>SUMIFS(Base[Montante],Base[Fornecedor],$A362&amp;"",Base[Ano],E$4)</f>
        <v/>
      </c>
      <c r="F362" s="12">
        <f>SUMIFS(Base[Montante],Base[Fornecedor],$A362&amp;"",Base[Ano],F$4)</f>
        <v/>
      </c>
      <c r="G362" s="12">
        <f>SUMIFS(Base[Montante],Base[Fornecedor],$A362&amp;"",Base[Ano],G$4)</f>
        <v/>
      </c>
      <c r="H362" s="12">
        <f>SUMIFS(Base[Montante],Base[Fornecedor],$A362&amp;"",Base[Ano],H$4)</f>
        <v/>
      </c>
      <c r="I362" s="12">
        <f>SUMIFS(Base[Montante],Base[Fornecedor],$A362&amp;"",Base[Ano],I$4)</f>
        <v/>
      </c>
      <c r="J362" s="12">
        <f>SUMIFS(Base[Montante],Base[Fornecedor],$A362&amp;"",Base[Ano],J$4)</f>
        <v/>
      </c>
      <c r="K362" s="12">
        <f>SUM(D362:J362)</f>
        <v/>
      </c>
    </row>
    <row r="363">
      <c r="A363" s="5" t="inlineStr">
        <is>
          <t>EM000648</t>
        </is>
      </c>
      <c r="B363" s="5" t="inlineStr">
        <is>
          <t>JULIA SERAPHIM DE CASTRO</t>
        </is>
      </c>
      <c r="C363" s="5">
        <f>IFERROR(INDEX(DePara[Categoria],MATCH(TEXT(A363,"0"),DePara[Fornecedor_txt],0)),"(sem categoria)")</f>
        <v/>
      </c>
      <c r="D363" s="12">
        <f>SUMIFS(Base[Montante],Base[Fornecedor],$A363&amp;"",Base[Ano],D$4)</f>
        <v/>
      </c>
      <c r="E363" s="12">
        <f>SUMIFS(Base[Montante],Base[Fornecedor],$A363&amp;"",Base[Ano],E$4)</f>
        <v/>
      </c>
      <c r="F363" s="12">
        <f>SUMIFS(Base[Montante],Base[Fornecedor],$A363&amp;"",Base[Ano],F$4)</f>
        <v/>
      </c>
      <c r="G363" s="12">
        <f>SUMIFS(Base[Montante],Base[Fornecedor],$A363&amp;"",Base[Ano],G$4)</f>
        <v/>
      </c>
      <c r="H363" s="12">
        <f>SUMIFS(Base[Montante],Base[Fornecedor],$A363&amp;"",Base[Ano],H$4)</f>
        <v/>
      </c>
      <c r="I363" s="12">
        <f>SUMIFS(Base[Montante],Base[Fornecedor],$A363&amp;"",Base[Ano],I$4)</f>
        <v/>
      </c>
      <c r="J363" s="12">
        <f>SUMIFS(Base[Montante],Base[Fornecedor],$A363&amp;"",Base[Ano],J$4)</f>
        <v/>
      </c>
      <c r="K363" s="12">
        <f>SUM(D363:J363)</f>
        <v/>
      </c>
    </row>
    <row r="364">
      <c r="A364" s="5" t="inlineStr">
        <is>
          <t>EM000876</t>
        </is>
      </c>
      <c r="B364" s="5" t="inlineStr">
        <is>
          <t>Juliana Denleschi Fernandes Luis</t>
        </is>
      </c>
      <c r="C364" s="5">
        <f>IFERROR(INDEX(DePara[Categoria],MATCH(TEXT(A364,"0"),DePara[Fornecedor_txt],0)),"(sem categoria)")</f>
        <v/>
      </c>
      <c r="D364" s="12">
        <f>SUMIFS(Base[Montante],Base[Fornecedor],$A364&amp;"",Base[Ano],D$4)</f>
        <v/>
      </c>
      <c r="E364" s="12">
        <f>SUMIFS(Base[Montante],Base[Fornecedor],$A364&amp;"",Base[Ano],E$4)</f>
        <v/>
      </c>
      <c r="F364" s="12">
        <f>SUMIFS(Base[Montante],Base[Fornecedor],$A364&amp;"",Base[Ano],F$4)</f>
        <v/>
      </c>
      <c r="G364" s="12">
        <f>SUMIFS(Base[Montante],Base[Fornecedor],$A364&amp;"",Base[Ano],G$4)</f>
        <v/>
      </c>
      <c r="H364" s="12">
        <f>SUMIFS(Base[Montante],Base[Fornecedor],$A364&amp;"",Base[Ano],H$4)</f>
        <v/>
      </c>
      <c r="I364" s="12">
        <f>SUMIFS(Base[Montante],Base[Fornecedor],$A364&amp;"",Base[Ano],I$4)</f>
        <v/>
      </c>
      <c r="J364" s="12">
        <f>SUMIFS(Base[Montante],Base[Fornecedor],$A364&amp;"",Base[Ano],J$4)</f>
        <v/>
      </c>
      <c r="K364" s="12">
        <f>SUM(D364:J364)</f>
        <v/>
      </c>
    </row>
    <row r="365">
      <c r="A365" s="5" t="inlineStr">
        <is>
          <t>EM000670</t>
        </is>
      </c>
      <c r="B365" s="5" t="inlineStr">
        <is>
          <t>JULIANO DE PAULA NEVES NASCIMENTO</t>
        </is>
      </c>
      <c r="C365" s="5">
        <f>IFERROR(INDEX(DePara[Categoria],MATCH(TEXT(A365,"0"),DePara[Fornecedor_txt],0)),"(sem categoria)")</f>
        <v/>
      </c>
      <c r="D365" s="12">
        <f>SUMIFS(Base[Montante],Base[Fornecedor],$A365&amp;"",Base[Ano],D$4)</f>
        <v/>
      </c>
      <c r="E365" s="12">
        <f>SUMIFS(Base[Montante],Base[Fornecedor],$A365&amp;"",Base[Ano],E$4)</f>
        <v/>
      </c>
      <c r="F365" s="12">
        <f>SUMIFS(Base[Montante],Base[Fornecedor],$A365&amp;"",Base[Ano],F$4)</f>
        <v/>
      </c>
      <c r="G365" s="12">
        <f>SUMIFS(Base[Montante],Base[Fornecedor],$A365&amp;"",Base[Ano],G$4)</f>
        <v/>
      </c>
      <c r="H365" s="12">
        <f>SUMIFS(Base[Montante],Base[Fornecedor],$A365&amp;"",Base[Ano],H$4)</f>
        <v/>
      </c>
      <c r="I365" s="12">
        <f>SUMIFS(Base[Montante],Base[Fornecedor],$A365&amp;"",Base[Ano],I$4)</f>
        <v/>
      </c>
      <c r="J365" s="12">
        <f>SUMIFS(Base[Montante],Base[Fornecedor],$A365&amp;"",Base[Ano],J$4)</f>
        <v/>
      </c>
      <c r="K365" s="12">
        <f>SUM(D365:J365)</f>
        <v/>
      </c>
    </row>
    <row r="366">
      <c r="A366" s="5" t="inlineStr">
        <is>
          <t>EM000157</t>
        </is>
      </c>
      <c r="B366" s="5" t="inlineStr">
        <is>
          <t>JULIANO NASCIMIENTO</t>
        </is>
      </c>
      <c r="C366" s="5">
        <f>IFERROR(INDEX(DePara[Categoria],MATCH(TEXT(A366,"0"),DePara[Fornecedor_txt],0)),"(sem categoria)")</f>
        <v/>
      </c>
      <c r="D366" s="12">
        <f>SUMIFS(Base[Montante],Base[Fornecedor],$A366&amp;"",Base[Ano],D$4)</f>
        <v/>
      </c>
      <c r="E366" s="12">
        <f>SUMIFS(Base[Montante],Base[Fornecedor],$A366&amp;"",Base[Ano],E$4)</f>
        <v/>
      </c>
      <c r="F366" s="12">
        <f>SUMIFS(Base[Montante],Base[Fornecedor],$A366&amp;"",Base[Ano],F$4)</f>
        <v/>
      </c>
      <c r="G366" s="12">
        <f>SUMIFS(Base[Montante],Base[Fornecedor],$A366&amp;"",Base[Ano],G$4)</f>
        <v/>
      </c>
      <c r="H366" s="12">
        <f>SUMIFS(Base[Montante],Base[Fornecedor],$A366&amp;"",Base[Ano],H$4)</f>
        <v/>
      </c>
      <c r="I366" s="12">
        <f>SUMIFS(Base[Montante],Base[Fornecedor],$A366&amp;"",Base[Ano],I$4)</f>
        <v/>
      </c>
      <c r="J366" s="12">
        <f>SUMIFS(Base[Montante],Base[Fornecedor],$A366&amp;"",Base[Ano],J$4)</f>
        <v/>
      </c>
      <c r="K366" s="12">
        <f>SUM(D366:J366)</f>
        <v/>
      </c>
    </row>
    <row r="367">
      <c r="A367" s="5" t="n">
        <v>102144</v>
      </c>
      <c r="B367" s="5" t="inlineStr">
        <is>
          <t>KALEIDO FREIGHT SERVICES B A L I LT</t>
        </is>
      </c>
      <c r="C367" s="5">
        <f>IFERROR(INDEX(DePara[Categoria],MATCH(TEXT(A367,"0"),DePara[Fornecedor_txt],0)),"(sem categoria)")</f>
        <v/>
      </c>
      <c r="D367" s="12">
        <f>SUMIFS(Base[Montante],Base[Fornecedor],$A367&amp;"",Base[Ano],D$4)</f>
        <v/>
      </c>
      <c r="E367" s="12">
        <f>SUMIFS(Base[Montante],Base[Fornecedor],$A367&amp;"",Base[Ano],E$4)</f>
        <v/>
      </c>
      <c r="F367" s="12">
        <f>SUMIFS(Base[Montante],Base[Fornecedor],$A367&amp;"",Base[Ano],F$4)</f>
        <v/>
      </c>
      <c r="G367" s="12">
        <f>SUMIFS(Base[Montante],Base[Fornecedor],$A367&amp;"",Base[Ano],G$4)</f>
        <v/>
      </c>
      <c r="H367" s="12">
        <f>SUMIFS(Base[Montante],Base[Fornecedor],$A367&amp;"",Base[Ano],H$4)</f>
        <v/>
      </c>
      <c r="I367" s="12">
        <f>SUMIFS(Base[Montante],Base[Fornecedor],$A367&amp;"",Base[Ano],I$4)</f>
        <v/>
      </c>
      <c r="J367" s="12">
        <f>SUMIFS(Base[Montante],Base[Fornecedor],$A367&amp;"",Base[Ano],J$4)</f>
        <v/>
      </c>
      <c r="K367" s="12">
        <f>SUM(D367:J367)</f>
        <v/>
      </c>
    </row>
    <row r="368">
      <c r="A368" s="5" t="inlineStr">
        <is>
          <t>EM000969</t>
        </is>
      </c>
      <c r="B368" s="5" t="inlineStr">
        <is>
          <t>KEVIN LUCAS DA SILVA</t>
        </is>
      </c>
      <c r="C368" s="5">
        <f>IFERROR(INDEX(DePara[Categoria],MATCH(TEXT(A368,"0"),DePara[Fornecedor_txt],0)),"(sem categoria)")</f>
        <v/>
      </c>
      <c r="D368" s="12">
        <f>SUMIFS(Base[Montante],Base[Fornecedor],$A368&amp;"",Base[Ano],D$4)</f>
        <v/>
      </c>
      <c r="E368" s="12">
        <f>SUMIFS(Base[Montante],Base[Fornecedor],$A368&amp;"",Base[Ano],E$4)</f>
        <v/>
      </c>
      <c r="F368" s="12">
        <f>SUMIFS(Base[Montante],Base[Fornecedor],$A368&amp;"",Base[Ano],F$4)</f>
        <v/>
      </c>
      <c r="G368" s="12">
        <f>SUMIFS(Base[Montante],Base[Fornecedor],$A368&amp;"",Base[Ano],G$4)</f>
        <v/>
      </c>
      <c r="H368" s="12">
        <f>SUMIFS(Base[Montante],Base[Fornecedor],$A368&amp;"",Base[Ano],H$4)</f>
        <v/>
      </c>
      <c r="I368" s="12">
        <f>SUMIFS(Base[Montante],Base[Fornecedor],$A368&amp;"",Base[Ano],I$4)</f>
        <v/>
      </c>
      <c r="J368" s="12">
        <f>SUMIFS(Base[Montante],Base[Fornecedor],$A368&amp;"",Base[Ano],J$4)</f>
        <v/>
      </c>
      <c r="K368" s="12">
        <f>SUM(D368:J368)</f>
        <v/>
      </c>
    </row>
    <row r="369">
      <c r="A369" s="5" t="n">
        <v>101897</v>
      </c>
      <c r="B369" s="5" t="inlineStr">
        <is>
          <t>KL LOCACOES E SOLUCOES AMBIENTAIS L KL CONSTRUCOES E SERVICOS IMOBILIAR</t>
        </is>
      </c>
      <c r="C369" s="5">
        <f>IFERROR(INDEX(DePara[Categoria],MATCH(TEXT(A369,"0"),DePara[Fornecedor_txt],0)),"(sem categoria)")</f>
        <v/>
      </c>
      <c r="D369" s="12">
        <f>SUMIFS(Base[Montante],Base[Fornecedor],$A369&amp;"",Base[Ano],D$4)</f>
        <v/>
      </c>
      <c r="E369" s="12">
        <f>SUMIFS(Base[Montante],Base[Fornecedor],$A369&amp;"",Base[Ano],E$4)</f>
        <v/>
      </c>
      <c r="F369" s="12">
        <f>SUMIFS(Base[Montante],Base[Fornecedor],$A369&amp;"",Base[Ano],F$4)</f>
        <v/>
      </c>
      <c r="G369" s="12">
        <f>SUMIFS(Base[Montante],Base[Fornecedor],$A369&amp;"",Base[Ano],G$4)</f>
        <v/>
      </c>
      <c r="H369" s="12">
        <f>SUMIFS(Base[Montante],Base[Fornecedor],$A369&amp;"",Base[Ano],H$4)</f>
        <v/>
      </c>
      <c r="I369" s="12">
        <f>SUMIFS(Base[Montante],Base[Fornecedor],$A369&amp;"",Base[Ano],I$4)</f>
        <v/>
      </c>
      <c r="J369" s="12">
        <f>SUMIFS(Base[Montante],Base[Fornecedor],$A369&amp;"",Base[Ano],J$4)</f>
        <v/>
      </c>
      <c r="K369" s="12">
        <f>SUM(D369:J369)</f>
        <v/>
      </c>
    </row>
    <row r="370">
      <c r="A370" s="5" t="inlineStr">
        <is>
          <t>EM000516</t>
        </is>
      </c>
      <c r="B370" s="5" t="inlineStr">
        <is>
          <t>KLEBER JERONIMO DA SILVA</t>
        </is>
      </c>
      <c r="C370" s="5">
        <f>IFERROR(INDEX(DePara[Categoria],MATCH(TEXT(A370,"0"),DePara[Fornecedor_txt],0)),"(sem categoria)")</f>
        <v/>
      </c>
      <c r="D370" s="12">
        <f>SUMIFS(Base[Montante],Base[Fornecedor],$A370&amp;"",Base[Ano],D$4)</f>
        <v/>
      </c>
      <c r="E370" s="12">
        <f>SUMIFS(Base[Montante],Base[Fornecedor],$A370&amp;"",Base[Ano],E$4)</f>
        <v/>
      </c>
      <c r="F370" s="12">
        <f>SUMIFS(Base[Montante],Base[Fornecedor],$A370&amp;"",Base[Ano],F$4)</f>
        <v/>
      </c>
      <c r="G370" s="12">
        <f>SUMIFS(Base[Montante],Base[Fornecedor],$A370&amp;"",Base[Ano],G$4)</f>
        <v/>
      </c>
      <c r="H370" s="12">
        <f>SUMIFS(Base[Montante],Base[Fornecedor],$A370&amp;"",Base[Ano],H$4)</f>
        <v/>
      </c>
      <c r="I370" s="12">
        <f>SUMIFS(Base[Montante],Base[Fornecedor],$A370&amp;"",Base[Ano],I$4)</f>
        <v/>
      </c>
      <c r="J370" s="12">
        <f>SUMIFS(Base[Montante],Base[Fornecedor],$A370&amp;"",Base[Ano],J$4)</f>
        <v/>
      </c>
      <c r="K370" s="12">
        <f>SUM(D370:J370)</f>
        <v/>
      </c>
    </row>
    <row r="371">
      <c r="A371" s="5" t="n">
        <v>101848</v>
      </c>
      <c r="B371" s="5" t="inlineStr">
        <is>
          <t>KLUBER LUBRICATION LUBRIF ESPECIAIS</t>
        </is>
      </c>
      <c r="C371" s="5">
        <f>IFERROR(INDEX(DePara[Categoria],MATCH(TEXT(A371,"0"),DePara[Fornecedor_txt],0)),"(sem categoria)")</f>
        <v/>
      </c>
      <c r="D371" s="12">
        <f>SUMIFS(Base[Montante],Base[Fornecedor],$A371&amp;"",Base[Ano],D$4)</f>
        <v/>
      </c>
      <c r="E371" s="12">
        <f>SUMIFS(Base[Montante],Base[Fornecedor],$A371&amp;"",Base[Ano],E$4)</f>
        <v/>
      </c>
      <c r="F371" s="12">
        <f>SUMIFS(Base[Montante],Base[Fornecedor],$A371&amp;"",Base[Ano],F$4)</f>
        <v/>
      </c>
      <c r="G371" s="12">
        <f>SUMIFS(Base[Montante],Base[Fornecedor],$A371&amp;"",Base[Ano],G$4)</f>
        <v/>
      </c>
      <c r="H371" s="12">
        <f>SUMIFS(Base[Montante],Base[Fornecedor],$A371&amp;"",Base[Ano],H$4)</f>
        <v/>
      </c>
      <c r="I371" s="12">
        <f>SUMIFS(Base[Montante],Base[Fornecedor],$A371&amp;"",Base[Ano],I$4)</f>
        <v/>
      </c>
      <c r="J371" s="12">
        <f>SUMIFS(Base[Montante],Base[Fornecedor],$A371&amp;"",Base[Ano],J$4)</f>
        <v/>
      </c>
      <c r="K371" s="12">
        <f>SUM(D371:J371)</f>
        <v/>
      </c>
    </row>
    <row r="372">
      <c r="A372" s="5" t="n">
        <v>101552</v>
      </c>
      <c r="B372" s="5" t="inlineStr">
        <is>
          <t>KUEHNENAGEL SERVICOS LOGISTICOS LTD</t>
        </is>
      </c>
      <c r="C372" s="5">
        <f>IFERROR(INDEX(DePara[Categoria],MATCH(TEXT(A372,"0"),DePara[Fornecedor_txt],0)),"(sem categoria)")</f>
        <v/>
      </c>
      <c r="D372" s="12">
        <f>SUMIFS(Base[Montante],Base[Fornecedor],$A372&amp;"",Base[Ano],D$4)</f>
        <v/>
      </c>
      <c r="E372" s="12">
        <f>SUMIFS(Base[Montante],Base[Fornecedor],$A372&amp;"",Base[Ano],E$4)</f>
        <v/>
      </c>
      <c r="F372" s="12">
        <f>SUMIFS(Base[Montante],Base[Fornecedor],$A372&amp;"",Base[Ano],F$4)</f>
        <v/>
      </c>
      <c r="G372" s="12">
        <f>SUMIFS(Base[Montante],Base[Fornecedor],$A372&amp;"",Base[Ano],G$4)</f>
        <v/>
      </c>
      <c r="H372" s="12">
        <f>SUMIFS(Base[Montante],Base[Fornecedor],$A372&amp;"",Base[Ano],H$4)</f>
        <v/>
      </c>
      <c r="I372" s="12">
        <f>SUMIFS(Base[Montante],Base[Fornecedor],$A372&amp;"",Base[Ano],I$4)</f>
        <v/>
      </c>
      <c r="J372" s="12">
        <f>SUMIFS(Base[Montante],Base[Fornecedor],$A372&amp;"",Base[Ano],J$4)</f>
        <v/>
      </c>
      <c r="K372" s="12">
        <f>SUM(D372:J372)</f>
        <v/>
      </c>
    </row>
    <row r="373">
      <c r="A373" s="5" t="n">
        <v>102109</v>
      </c>
      <c r="B373" s="5" t="inlineStr">
        <is>
          <t>L AMORIM LOCACAO DE EQUIPAMENTOS LT</t>
        </is>
      </c>
      <c r="C373" s="5">
        <f>IFERROR(INDEX(DePara[Categoria],MATCH(TEXT(A373,"0"),DePara[Fornecedor_txt],0)),"(sem categoria)")</f>
        <v/>
      </c>
      <c r="D373" s="12">
        <f>SUMIFS(Base[Montante],Base[Fornecedor],$A373&amp;"",Base[Ano],D$4)</f>
        <v/>
      </c>
      <c r="E373" s="12">
        <f>SUMIFS(Base[Montante],Base[Fornecedor],$A373&amp;"",Base[Ano],E$4)</f>
        <v/>
      </c>
      <c r="F373" s="12">
        <f>SUMIFS(Base[Montante],Base[Fornecedor],$A373&amp;"",Base[Ano],F$4)</f>
        <v/>
      </c>
      <c r="G373" s="12">
        <f>SUMIFS(Base[Montante],Base[Fornecedor],$A373&amp;"",Base[Ano],G$4)</f>
        <v/>
      </c>
      <c r="H373" s="12">
        <f>SUMIFS(Base[Montante],Base[Fornecedor],$A373&amp;"",Base[Ano],H$4)</f>
        <v/>
      </c>
      <c r="I373" s="12">
        <f>SUMIFS(Base[Montante],Base[Fornecedor],$A373&amp;"",Base[Ano],I$4)</f>
        <v/>
      </c>
      <c r="J373" s="12">
        <f>SUMIFS(Base[Montante],Base[Fornecedor],$A373&amp;"",Base[Ano],J$4)</f>
        <v/>
      </c>
      <c r="K373" s="12">
        <f>SUM(D373:J373)</f>
        <v/>
      </c>
    </row>
    <row r="374">
      <c r="A374" s="5" t="n">
        <v>101553</v>
      </c>
      <c r="B374" s="5" t="inlineStr">
        <is>
          <t>LABOTECH METROLOGIA LTDA ME</t>
        </is>
      </c>
      <c r="C374" s="5">
        <f>IFERROR(INDEX(DePara[Categoria],MATCH(TEXT(A374,"0"),DePara[Fornecedor_txt],0)),"(sem categoria)")</f>
        <v/>
      </c>
      <c r="D374" s="12">
        <f>SUMIFS(Base[Montante],Base[Fornecedor],$A374&amp;"",Base[Ano],D$4)</f>
        <v/>
      </c>
      <c r="E374" s="12">
        <f>SUMIFS(Base[Montante],Base[Fornecedor],$A374&amp;"",Base[Ano],E$4)</f>
        <v/>
      </c>
      <c r="F374" s="12">
        <f>SUMIFS(Base[Montante],Base[Fornecedor],$A374&amp;"",Base[Ano],F$4)</f>
        <v/>
      </c>
      <c r="G374" s="12">
        <f>SUMIFS(Base[Montante],Base[Fornecedor],$A374&amp;"",Base[Ano],G$4)</f>
        <v/>
      </c>
      <c r="H374" s="12">
        <f>SUMIFS(Base[Montante],Base[Fornecedor],$A374&amp;"",Base[Ano],H$4)</f>
        <v/>
      </c>
      <c r="I374" s="12">
        <f>SUMIFS(Base[Montante],Base[Fornecedor],$A374&amp;"",Base[Ano],I$4)</f>
        <v/>
      </c>
      <c r="J374" s="12">
        <f>SUMIFS(Base[Montante],Base[Fornecedor],$A374&amp;"",Base[Ano],J$4)</f>
        <v/>
      </c>
      <c r="K374" s="12">
        <f>SUM(D374:J374)</f>
        <v/>
      </c>
    </row>
    <row r="375">
      <c r="A375" s="5" t="n">
        <v>100490</v>
      </c>
      <c r="B375" s="5" t="inlineStr">
        <is>
          <t>LAGOA EMPREENDIMENTOS E PARTICIPACO</t>
        </is>
      </c>
      <c r="C375" s="5">
        <f>IFERROR(INDEX(DePara[Categoria],MATCH(TEXT(A375,"0"),DePara[Fornecedor_txt],0)),"(sem categoria)")</f>
        <v/>
      </c>
      <c r="D375" s="12">
        <f>SUMIFS(Base[Montante],Base[Fornecedor],$A375&amp;"",Base[Ano],D$4)</f>
        <v/>
      </c>
      <c r="E375" s="12">
        <f>SUMIFS(Base[Montante],Base[Fornecedor],$A375&amp;"",Base[Ano],E$4)</f>
        <v/>
      </c>
      <c r="F375" s="12">
        <f>SUMIFS(Base[Montante],Base[Fornecedor],$A375&amp;"",Base[Ano],F$4)</f>
        <v/>
      </c>
      <c r="G375" s="12">
        <f>SUMIFS(Base[Montante],Base[Fornecedor],$A375&amp;"",Base[Ano],G$4)</f>
        <v/>
      </c>
      <c r="H375" s="12">
        <f>SUMIFS(Base[Montante],Base[Fornecedor],$A375&amp;"",Base[Ano],H$4)</f>
        <v/>
      </c>
      <c r="I375" s="12">
        <f>SUMIFS(Base[Montante],Base[Fornecedor],$A375&amp;"",Base[Ano],I$4)</f>
        <v/>
      </c>
      <c r="J375" s="12">
        <f>SUMIFS(Base[Montante],Base[Fornecedor],$A375&amp;"",Base[Ano],J$4)</f>
        <v/>
      </c>
      <c r="K375" s="12">
        <f>SUM(D375:J375)</f>
        <v/>
      </c>
    </row>
    <row r="376">
      <c r="A376" s="5" t="n">
        <v>101696</v>
      </c>
      <c r="B376" s="5" t="inlineStr">
        <is>
          <t>LANA CALIBRACAO DE INST E MANUTENCO</t>
        </is>
      </c>
      <c r="C376" s="5">
        <f>IFERROR(INDEX(DePara[Categoria],MATCH(TEXT(A376,"0"),DePara[Fornecedor_txt],0)),"(sem categoria)")</f>
        <v/>
      </c>
      <c r="D376" s="12">
        <f>SUMIFS(Base[Montante],Base[Fornecedor],$A376&amp;"",Base[Ano],D$4)</f>
        <v/>
      </c>
      <c r="E376" s="12">
        <f>SUMIFS(Base[Montante],Base[Fornecedor],$A376&amp;"",Base[Ano],E$4)</f>
        <v/>
      </c>
      <c r="F376" s="12">
        <f>SUMIFS(Base[Montante],Base[Fornecedor],$A376&amp;"",Base[Ano],F$4)</f>
        <v/>
      </c>
      <c r="G376" s="12">
        <f>SUMIFS(Base[Montante],Base[Fornecedor],$A376&amp;"",Base[Ano],G$4)</f>
        <v/>
      </c>
      <c r="H376" s="12">
        <f>SUMIFS(Base[Montante],Base[Fornecedor],$A376&amp;"",Base[Ano],H$4)</f>
        <v/>
      </c>
      <c r="I376" s="12">
        <f>SUMIFS(Base[Montante],Base[Fornecedor],$A376&amp;"",Base[Ano],I$4)</f>
        <v/>
      </c>
      <c r="J376" s="12">
        <f>SUMIFS(Base[Montante],Base[Fornecedor],$A376&amp;"",Base[Ano],J$4)</f>
        <v/>
      </c>
      <c r="K376" s="12">
        <f>SUM(D376:J376)</f>
        <v/>
      </c>
    </row>
    <row r="377">
      <c r="A377" s="5" t="n">
        <v>100855</v>
      </c>
      <c r="B377" s="5" t="inlineStr">
        <is>
          <t>LAVITA SERVICOS DE LAVANDERIA E TIN</t>
        </is>
      </c>
      <c r="C377" s="5">
        <f>IFERROR(INDEX(DePara[Categoria],MATCH(TEXT(A377,"0"),DePara[Fornecedor_txt],0)),"(sem categoria)")</f>
        <v/>
      </c>
      <c r="D377" s="12">
        <f>SUMIFS(Base[Montante],Base[Fornecedor],$A377&amp;"",Base[Ano],D$4)</f>
        <v/>
      </c>
      <c r="E377" s="12">
        <f>SUMIFS(Base[Montante],Base[Fornecedor],$A377&amp;"",Base[Ano],E$4)</f>
        <v/>
      </c>
      <c r="F377" s="12">
        <f>SUMIFS(Base[Montante],Base[Fornecedor],$A377&amp;"",Base[Ano],F$4)</f>
        <v/>
      </c>
      <c r="G377" s="12">
        <f>SUMIFS(Base[Montante],Base[Fornecedor],$A377&amp;"",Base[Ano],G$4)</f>
        <v/>
      </c>
      <c r="H377" s="12">
        <f>SUMIFS(Base[Montante],Base[Fornecedor],$A377&amp;"",Base[Ano],H$4)</f>
        <v/>
      </c>
      <c r="I377" s="12">
        <f>SUMIFS(Base[Montante],Base[Fornecedor],$A377&amp;"",Base[Ano],I$4)</f>
        <v/>
      </c>
      <c r="J377" s="12">
        <f>SUMIFS(Base[Montante],Base[Fornecedor],$A377&amp;"",Base[Ano],J$4)</f>
        <v/>
      </c>
      <c r="K377" s="12">
        <f>SUM(D377:J377)</f>
        <v/>
      </c>
    </row>
    <row r="378">
      <c r="A378" s="5" t="inlineStr">
        <is>
          <t>EM000319</t>
        </is>
      </c>
      <c r="B378" s="5" t="inlineStr">
        <is>
          <t>LAYSON RAYRE ROCHA RIBEIRO</t>
        </is>
      </c>
      <c r="C378" s="5">
        <f>IFERROR(INDEX(DePara[Categoria],MATCH(TEXT(A378,"0"),DePara[Fornecedor_txt],0)),"(sem categoria)")</f>
        <v/>
      </c>
      <c r="D378" s="12">
        <f>SUMIFS(Base[Montante],Base[Fornecedor],$A378&amp;"",Base[Ano],D$4)</f>
        <v/>
      </c>
      <c r="E378" s="12">
        <f>SUMIFS(Base[Montante],Base[Fornecedor],$A378&amp;"",Base[Ano],E$4)</f>
        <v/>
      </c>
      <c r="F378" s="12">
        <f>SUMIFS(Base[Montante],Base[Fornecedor],$A378&amp;"",Base[Ano],F$4)</f>
        <v/>
      </c>
      <c r="G378" s="12">
        <f>SUMIFS(Base[Montante],Base[Fornecedor],$A378&amp;"",Base[Ano],G$4)</f>
        <v/>
      </c>
      <c r="H378" s="12">
        <f>SUMIFS(Base[Montante],Base[Fornecedor],$A378&amp;"",Base[Ano],H$4)</f>
        <v/>
      </c>
      <c r="I378" s="12">
        <f>SUMIFS(Base[Montante],Base[Fornecedor],$A378&amp;"",Base[Ano],I$4)</f>
        <v/>
      </c>
      <c r="J378" s="12">
        <f>SUMIFS(Base[Montante],Base[Fornecedor],$A378&amp;"",Base[Ano],J$4)</f>
        <v/>
      </c>
      <c r="K378" s="12">
        <f>SUM(D378:J378)</f>
        <v/>
      </c>
    </row>
    <row r="379">
      <c r="A379" s="5" t="inlineStr">
        <is>
          <t>EM000101</t>
        </is>
      </c>
      <c r="B379" s="5" t="inlineStr">
        <is>
          <t>LAZARO DE OLIVEIRA SOUSA</t>
        </is>
      </c>
      <c r="C379" s="5">
        <f>IFERROR(INDEX(DePara[Categoria],MATCH(TEXT(A379,"0"),DePara[Fornecedor_txt],0)),"(sem categoria)")</f>
        <v/>
      </c>
      <c r="D379" s="12">
        <f>SUMIFS(Base[Montante],Base[Fornecedor],$A379&amp;"",Base[Ano],D$4)</f>
        <v/>
      </c>
      <c r="E379" s="12">
        <f>SUMIFS(Base[Montante],Base[Fornecedor],$A379&amp;"",Base[Ano],E$4)</f>
        <v/>
      </c>
      <c r="F379" s="12">
        <f>SUMIFS(Base[Montante],Base[Fornecedor],$A379&amp;"",Base[Ano],F$4)</f>
        <v/>
      </c>
      <c r="G379" s="12">
        <f>SUMIFS(Base[Montante],Base[Fornecedor],$A379&amp;"",Base[Ano],G$4)</f>
        <v/>
      </c>
      <c r="H379" s="12">
        <f>SUMIFS(Base[Montante],Base[Fornecedor],$A379&amp;"",Base[Ano],H$4)</f>
        <v/>
      </c>
      <c r="I379" s="12">
        <f>SUMIFS(Base[Montante],Base[Fornecedor],$A379&amp;"",Base[Ano],I$4)</f>
        <v/>
      </c>
      <c r="J379" s="12">
        <f>SUMIFS(Base[Montante],Base[Fornecedor],$A379&amp;"",Base[Ano],J$4)</f>
        <v/>
      </c>
      <c r="K379" s="12">
        <f>SUM(D379:J379)</f>
        <v/>
      </c>
    </row>
    <row r="380">
      <c r="A380" s="5" t="inlineStr">
        <is>
          <t>EM000863</t>
        </is>
      </c>
      <c r="B380" s="5" t="inlineStr">
        <is>
          <t>LEANDRO CLEYTON MAIA DE SOUSA</t>
        </is>
      </c>
      <c r="C380" s="5">
        <f>IFERROR(INDEX(DePara[Categoria],MATCH(TEXT(A380,"0"),DePara[Fornecedor_txt],0)),"(sem categoria)")</f>
        <v/>
      </c>
      <c r="D380" s="12">
        <f>SUMIFS(Base[Montante],Base[Fornecedor],$A380&amp;"",Base[Ano],D$4)</f>
        <v/>
      </c>
      <c r="E380" s="12">
        <f>SUMIFS(Base[Montante],Base[Fornecedor],$A380&amp;"",Base[Ano],E$4)</f>
        <v/>
      </c>
      <c r="F380" s="12">
        <f>SUMIFS(Base[Montante],Base[Fornecedor],$A380&amp;"",Base[Ano],F$4)</f>
        <v/>
      </c>
      <c r="G380" s="12">
        <f>SUMIFS(Base[Montante],Base[Fornecedor],$A380&amp;"",Base[Ano],G$4)</f>
        <v/>
      </c>
      <c r="H380" s="12">
        <f>SUMIFS(Base[Montante],Base[Fornecedor],$A380&amp;"",Base[Ano],H$4)</f>
        <v/>
      </c>
      <c r="I380" s="12">
        <f>SUMIFS(Base[Montante],Base[Fornecedor],$A380&amp;"",Base[Ano],I$4)</f>
        <v/>
      </c>
      <c r="J380" s="12">
        <f>SUMIFS(Base[Montante],Base[Fornecedor],$A380&amp;"",Base[Ano],J$4)</f>
        <v/>
      </c>
      <c r="K380" s="12">
        <f>SUM(D380:J380)</f>
        <v/>
      </c>
    </row>
    <row r="381">
      <c r="A381" s="5" t="inlineStr">
        <is>
          <t>EM000949</t>
        </is>
      </c>
      <c r="B381" s="5" t="inlineStr">
        <is>
          <t>LEANDRO CRUZ VIEIRA</t>
        </is>
      </c>
      <c r="C381" s="5">
        <f>IFERROR(INDEX(DePara[Categoria],MATCH(TEXT(A381,"0"),DePara[Fornecedor_txt],0)),"(sem categoria)")</f>
        <v/>
      </c>
      <c r="D381" s="12">
        <f>SUMIFS(Base[Montante],Base[Fornecedor],$A381&amp;"",Base[Ano],D$4)</f>
        <v/>
      </c>
      <c r="E381" s="12">
        <f>SUMIFS(Base[Montante],Base[Fornecedor],$A381&amp;"",Base[Ano],E$4)</f>
        <v/>
      </c>
      <c r="F381" s="12">
        <f>SUMIFS(Base[Montante],Base[Fornecedor],$A381&amp;"",Base[Ano],F$4)</f>
        <v/>
      </c>
      <c r="G381" s="12">
        <f>SUMIFS(Base[Montante],Base[Fornecedor],$A381&amp;"",Base[Ano],G$4)</f>
        <v/>
      </c>
      <c r="H381" s="12">
        <f>SUMIFS(Base[Montante],Base[Fornecedor],$A381&amp;"",Base[Ano],H$4)</f>
        <v/>
      </c>
      <c r="I381" s="12">
        <f>SUMIFS(Base[Montante],Base[Fornecedor],$A381&amp;"",Base[Ano],I$4)</f>
        <v/>
      </c>
      <c r="J381" s="12">
        <f>SUMIFS(Base[Montante],Base[Fornecedor],$A381&amp;"",Base[Ano],J$4)</f>
        <v/>
      </c>
      <c r="K381" s="12">
        <f>SUM(D381:J381)</f>
        <v/>
      </c>
    </row>
    <row r="382">
      <c r="A382" s="5" t="inlineStr">
        <is>
          <t>EM000472</t>
        </is>
      </c>
      <c r="B382" s="5" t="inlineStr">
        <is>
          <t>LEANDRO DE OLIVEIRA</t>
        </is>
      </c>
      <c r="C382" s="5">
        <f>IFERROR(INDEX(DePara[Categoria],MATCH(TEXT(A382,"0"),DePara[Fornecedor_txt],0)),"(sem categoria)")</f>
        <v/>
      </c>
      <c r="D382" s="12">
        <f>SUMIFS(Base[Montante],Base[Fornecedor],$A382&amp;"",Base[Ano],D$4)</f>
        <v/>
      </c>
      <c r="E382" s="12">
        <f>SUMIFS(Base[Montante],Base[Fornecedor],$A382&amp;"",Base[Ano],E$4)</f>
        <v/>
      </c>
      <c r="F382" s="12">
        <f>SUMIFS(Base[Montante],Base[Fornecedor],$A382&amp;"",Base[Ano],F$4)</f>
        <v/>
      </c>
      <c r="G382" s="12">
        <f>SUMIFS(Base[Montante],Base[Fornecedor],$A382&amp;"",Base[Ano],G$4)</f>
        <v/>
      </c>
      <c r="H382" s="12">
        <f>SUMIFS(Base[Montante],Base[Fornecedor],$A382&amp;"",Base[Ano],H$4)</f>
        <v/>
      </c>
      <c r="I382" s="12">
        <f>SUMIFS(Base[Montante],Base[Fornecedor],$A382&amp;"",Base[Ano],I$4)</f>
        <v/>
      </c>
      <c r="J382" s="12">
        <f>SUMIFS(Base[Montante],Base[Fornecedor],$A382&amp;"",Base[Ano],J$4)</f>
        <v/>
      </c>
      <c r="K382" s="12">
        <f>SUM(D382:J382)</f>
        <v/>
      </c>
    </row>
    <row r="383">
      <c r="A383" s="5" t="inlineStr">
        <is>
          <t>EM000882</t>
        </is>
      </c>
      <c r="B383" s="5" t="inlineStr">
        <is>
          <t>LEANDRO SILVINO DE MOURA</t>
        </is>
      </c>
      <c r="C383" s="5">
        <f>IFERROR(INDEX(DePara[Categoria],MATCH(TEXT(A383,"0"),DePara[Fornecedor_txt],0)),"(sem categoria)")</f>
        <v/>
      </c>
      <c r="D383" s="12">
        <f>SUMIFS(Base[Montante],Base[Fornecedor],$A383&amp;"",Base[Ano],D$4)</f>
        <v/>
      </c>
      <c r="E383" s="12">
        <f>SUMIFS(Base[Montante],Base[Fornecedor],$A383&amp;"",Base[Ano],E$4)</f>
        <v/>
      </c>
      <c r="F383" s="12">
        <f>SUMIFS(Base[Montante],Base[Fornecedor],$A383&amp;"",Base[Ano],F$4)</f>
        <v/>
      </c>
      <c r="G383" s="12">
        <f>SUMIFS(Base[Montante],Base[Fornecedor],$A383&amp;"",Base[Ano],G$4)</f>
        <v/>
      </c>
      <c r="H383" s="12">
        <f>SUMIFS(Base[Montante],Base[Fornecedor],$A383&amp;"",Base[Ano],H$4)</f>
        <v/>
      </c>
      <c r="I383" s="12">
        <f>SUMIFS(Base[Montante],Base[Fornecedor],$A383&amp;"",Base[Ano],I$4)</f>
        <v/>
      </c>
      <c r="J383" s="12">
        <f>SUMIFS(Base[Montante],Base[Fornecedor],$A383&amp;"",Base[Ano],J$4)</f>
        <v/>
      </c>
      <c r="K383" s="12">
        <f>SUM(D383:J383)</f>
        <v/>
      </c>
    </row>
    <row r="384">
      <c r="A384" s="5" t="inlineStr">
        <is>
          <t>EM000196</t>
        </is>
      </c>
      <c r="B384" s="5" t="inlineStr">
        <is>
          <t>LEANDRO VINICIUS LINS SILVA</t>
        </is>
      </c>
      <c r="C384" s="5">
        <f>IFERROR(INDEX(DePara[Categoria],MATCH(TEXT(A384,"0"),DePara[Fornecedor_txt],0)),"(sem categoria)")</f>
        <v/>
      </c>
      <c r="D384" s="12">
        <f>SUMIFS(Base[Montante],Base[Fornecedor],$A384&amp;"",Base[Ano],D$4)</f>
        <v/>
      </c>
      <c r="E384" s="12">
        <f>SUMIFS(Base[Montante],Base[Fornecedor],$A384&amp;"",Base[Ano],E$4)</f>
        <v/>
      </c>
      <c r="F384" s="12">
        <f>SUMIFS(Base[Montante],Base[Fornecedor],$A384&amp;"",Base[Ano],F$4)</f>
        <v/>
      </c>
      <c r="G384" s="12">
        <f>SUMIFS(Base[Montante],Base[Fornecedor],$A384&amp;"",Base[Ano],G$4)</f>
        <v/>
      </c>
      <c r="H384" s="12">
        <f>SUMIFS(Base[Montante],Base[Fornecedor],$A384&amp;"",Base[Ano],H$4)</f>
        <v/>
      </c>
      <c r="I384" s="12">
        <f>SUMIFS(Base[Montante],Base[Fornecedor],$A384&amp;"",Base[Ano],I$4)</f>
        <v/>
      </c>
      <c r="J384" s="12">
        <f>SUMIFS(Base[Montante],Base[Fornecedor],$A384&amp;"",Base[Ano],J$4)</f>
        <v/>
      </c>
      <c r="K384" s="12">
        <f>SUM(D384:J384)</f>
        <v/>
      </c>
    </row>
    <row r="385">
      <c r="A385" s="5" t="n">
        <v>102029</v>
      </c>
      <c r="B385" s="5" t="inlineStr">
        <is>
          <t>LEEWARD INTERNACIONAL DO BRASIL LTD</t>
        </is>
      </c>
      <c r="C385" s="5">
        <f>IFERROR(INDEX(DePara[Categoria],MATCH(TEXT(A385,"0"),DePara[Fornecedor_txt],0)),"(sem categoria)")</f>
        <v/>
      </c>
      <c r="D385" s="12">
        <f>SUMIFS(Base[Montante],Base[Fornecedor],$A385&amp;"",Base[Ano],D$4)</f>
        <v/>
      </c>
      <c r="E385" s="12">
        <f>SUMIFS(Base[Montante],Base[Fornecedor],$A385&amp;"",Base[Ano],E$4)</f>
        <v/>
      </c>
      <c r="F385" s="12">
        <f>SUMIFS(Base[Montante],Base[Fornecedor],$A385&amp;"",Base[Ano],F$4)</f>
        <v/>
      </c>
      <c r="G385" s="12">
        <f>SUMIFS(Base[Montante],Base[Fornecedor],$A385&amp;"",Base[Ano],G$4)</f>
        <v/>
      </c>
      <c r="H385" s="12">
        <f>SUMIFS(Base[Montante],Base[Fornecedor],$A385&amp;"",Base[Ano],H$4)</f>
        <v/>
      </c>
      <c r="I385" s="12">
        <f>SUMIFS(Base[Montante],Base[Fornecedor],$A385&amp;"",Base[Ano],I$4)</f>
        <v/>
      </c>
      <c r="J385" s="12">
        <f>SUMIFS(Base[Montante],Base[Fornecedor],$A385&amp;"",Base[Ano],J$4)</f>
        <v/>
      </c>
      <c r="K385" s="12">
        <f>SUM(D385:J385)</f>
        <v/>
      </c>
    </row>
    <row r="386">
      <c r="A386" s="5" t="n">
        <v>100128</v>
      </c>
      <c r="B386" s="5" t="inlineStr">
        <is>
          <t>LENGUAE LANGUAGE SERVICES LTDA</t>
        </is>
      </c>
      <c r="C386" s="5">
        <f>IFERROR(INDEX(DePara[Categoria],MATCH(TEXT(A386,"0"),DePara[Fornecedor_txt],0)),"(sem categoria)")</f>
        <v/>
      </c>
      <c r="D386" s="12">
        <f>SUMIFS(Base[Montante],Base[Fornecedor],$A386&amp;"",Base[Ano],D$4)</f>
        <v/>
      </c>
      <c r="E386" s="12">
        <f>SUMIFS(Base[Montante],Base[Fornecedor],$A386&amp;"",Base[Ano],E$4)</f>
        <v/>
      </c>
      <c r="F386" s="12">
        <f>SUMIFS(Base[Montante],Base[Fornecedor],$A386&amp;"",Base[Ano],F$4)</f>
        <v/>
      </c>
      <c r="G386" s="12">
        <f>SUMIFS(Base[Montante],Base[Fornecedor],$A386&amp;"",Base[Ano],G$4)</f>
        <v/>
      </c>
      <c r="H386" s="12">
        <f>SUMIFS(Base[Montante],Base[Fornecedor],$A386&amp;"",Base[Ano],H$4)</f>
        <v/>
      </c>
      <c r="I386" s="12">
        <f>SUMIFS(Base[Montante],Base[Fornecedor],$A386&amp;"",Base[Ano],I$4)</f>
        <v/>
      </c>
      <c r="J386" s="12">
        <f>SUMIFS(Base[Montante],Base[Fornecedor],$A386&amp;"",Base[Ano],J$4)</f>
        <v/>
      </c>
      <c r="K386" s="12">
        <f>SUM(D386:J386)</f>
        <v/>
      </c>
    </row>
    <row r="387">
      <c r="A387" s="5" t="inlineStr">
        <is>
          <t>EM000901</t>
        </is>
      </c>
      <c r="B387" s="5" t="inlineStr">
        <is>
          <t>LEOJAIME DOS SANTOS LIMA</t>
        </is>
      </c>
      <c r="C387" s="5">
        <f>IFERROR(INDEX(DePara[Categoria],MATCH(TEXT(A387,"0"),DePara[Fornecedor_txt],0)),"(sem categoria)")</f>
        <v/>
      </c>
      <c r="D387" s="12">
        <f>SUMIFS(Base[Montante],Base[Fornecedor],$A387&amp;"",Base[Ano],D$4)</f>
        <v/>
      </c>
      <c r="E387" s="12">
        <f>SUMIFS(Base[Montante],Base[Fornecedor],$A387&amp;"",Base[Ano],E$4)</f>
        <v/>
      </c>
      <c r="F387" s="12">
        <f>SUMIFS(Base[Montante],Base[Fornecedor],$A387&amp;"",Base[Ano],F$4)</f>
        <v/>
      </c>
      <c r="G387" s="12">
        <f>SUMIFS(Base[Montante],Base[Fornecedor],$A387&amp;"",Base[Ano],G$4)</f>
        <v/>
      </c>
      <c r="H387" s="12">
        <f>SUMIFS(Base[Montante],Base[Fornecedor],$A387&amp;"",Base[Ano],H$4)</f>
        <v/>
      </c>
      <c r="I387" s="12">
        <f>SUMIFS(Base[Montante],Base[Fornecedor],$A387&amp;"",Base[Ano],I$4)</f>
        <v/>
      </c>
      <c r="J387" s="12">
        <f>SUMIFS(Base[Montante],Base[Fornecedor],$A387&amp;"",Base[Ano],J$4)</f>
        <v/>
      </c>
      <c r="K387" s="12">
        <f>SUM(D387:J387)</f>
        <v/>
      </c>
    </row>
    <row r="388">
      <c r="A388" s="5" t="inlineStr">
        <is>
          <t>EM000777</t>
        </is>
      </c>
      <c r="B388" s="5" t="inlineStr">
        <is>
          <t>LEONARDO CENTOAMORE</t>
        </is>
      </c>
      <c r="C388" s="5">
        <f>IFERROR(INDEX(DePara[Categoria],MATCH(TEXT(A388,"0"),DePara[Fornecedor_txt],0)),"(sem categoria)")</f>
        <v/>
      </c>
      <c r="D388" s="12">
        <f>SUMIFS(Base[Montante],Base[Fornecedor],$A388&amp;"",Base[Ano],D$4)</f>
        <v/>
      </c>
      <c r="E388" s="12">
        <f>SUMIFS(Base[Montante],Base[Fornecedor],$A388&amp;"",Base[Ano],E$4)</f>
        <v/>
      </c>
      <c r="F388" s="12">
        <f>SUMIFS(Base[Montante],Base[Fornecedor],$A388&amp;"",Base[Ano],F$4)</f>
        <v/>
      </c>
      <c r="G388" s="12">
        <f>SUMIFS(Base[Montante],Base[Fornecedor],$A388&amp;"",Base[Ano],G$4)</f>
        <v/>
      </c>
      <c r="H388" s="12">
        <f>SUMIFS(Base[Montante],Base[Fornecedor],$A388&amp;"",Base[Ano],H$4)</f>
        <v/>
      </c>
      <c r="I388" s="12">
        <f>SUMIFS(Base[Montante],Base[Fornecedor],$A388&amp;"",Base[Ano],I$4)</f>
        <v/>
      </c>
      <c r="J388" s="12">
        <f>SUMIFS(Base[Montante],Base[Fornecedor],$A388&amp;"",Base[Ano],J$4)</f>
        <v/>
      </c>
      <c r="K388" s="12">
        <f>SUM(D388:J388)</f>
        <v/>
      </c>
    </row>
    <row r="389">
      <c r="A389" s="5" t="inlineStr">
        <is>
          <t>EM000278</t>
        </is>
      </c>
      <c r="B389" s="5" t="inlineStr">
        <is>
          <t>LEONARDO FERNANDES PEREIRA MOREIRA</t>
        </is>
      </c>
      <c r="C389" s="5">
        <f>IFERROR(INDEX(DePara[Categoria],MATCH(TEXT(A389,"0"),DePara[Fornecedor_txt],0)),"(sem categoria)")</f>
        <v/>
      </c>
      <c r="D389" s="12">
        <f>SUMIFS(Base[Montante],Base[Fornecedor],$A389&amp;"",Base[Ano],D$4)</f>
        <v/>
      </c>
      <c r="E389" s="12">
        <f>SUMIFS(Base[Montante],Base[Fornecedor],$A389&amp;"",Base[Ano],E$4)</f>
        <v/>
      </c>
      <c r="F389" s="12">
        <f>SUMIFS(Base[Montante],Base[Fornecedor],$A389&amp;"",Base[Ano],F$4)</f>
        <v/>
      </c>
      <c r="G389" s="12">
        <f>SUMIFS(Base[Montante],Base[Fornecedor],$A389&amp;"",Base[Ano],G$4)</f>
        <v/>
      </c>
      <c r="H389" s="12">
        <f>SUMIFS(Base[Montante],Base[Fornecedor],$A389&amp;"",Base[Ano],H$4)</f>
        <v/>
      </c>
      <c r="I389" s="12">
        <f>SUMIFS(Base[Montante],Base[Fornecedor],$A389&amp;"",Base[Ano],I$4)</f>
        <v/>
      </c>
      <c r="J389" s="12">
        <f>SUMIFS(Base[Montante],Base[Fornecedor],$A389&amp;"",Base[Ano],J$4)</f>
        <v/>
      </c>
      <c r="K389" s="12">
        <f>SUM(D389:J389)</f>
        <v/>
      </c>
    </row>
    <row r="390">
      <c r="A390" s="5" t="inlineStr">
        <is>
          <t>EM000786</t>
        </is>
      </c>
      <c r="B390" s="5" t="inlineStr">
        <is>
          <t>LIVIA TOSTES CALVO</t>
        </is>
      </c>
      <c r="C390" s="5">
        <f>IFERROR(INDEX(DePara[Categoria],MATCH(TEXT(A390,"0"),DePara[Fornecedor_txt],0)),"(sem categoria)")</f>
        <v/>
      </c>
      <c r="D390" s="12">
        <f>SUMIFS(Base[Montante],Base[Fornecedor],$A390&amp;"",Base[Ano],D$4)</f>
        <v/>
      </c>
      <c r="E390" s="12">
        <f>SUMIFS(Base[Montante],Base[Fornecedor],$A390&amp;"",Base[Ano],E$4)</f>
        <v/>
      </c>
      <c r="F390" s="12">
        <f>SUMIFS(Base[Montante],Base[Fornecedor],$A390&amp;"",Base[Ano],F$4)</f>
        <v/>
      </c>
      <c r="G390" s="12">
        <f>SUMIFS(Base[Montante],Base[Fornecedor],$A390&amp;"",Base[Ano],G$4)</f>
        <v/>
      </c>
      <c r="H390" s="12">
        <f>SUMIFS(Base[Montante],Base[Fornecedor],$A390&amp;"",Base[Ano],H$4)</f>
        <v/>
      </c>
      <c r="I390" s="12">
        <f>SUMIFS(Base[Montante],Base[Fornecedor],$A390&amp;"",Base[Ano],I$4)</f>
        <v/>
      </c>
      <c r="J390" s="12">
        <f>SUMIFS(Base[Montante],Base[Fornecedor],$A390&amp;"",Base[Ano],J$4)</f>
        <v/>
      </c>
      <c r="K390" s="12">
        <f>SUM(D390:J390)</f>
        <v/>
      </c>
    </row>
    <row r="391">
      <c r="A391" s="5" t="n">
        <v>102114</v>
      </c>
      <c r="B391" s="5" t="inlineStr">
        <is>
          <t>LUBRISINT LUBR SINTETICOS ESPECIAS 50484476000113</t>
        </is>
      </c>
      <c r="C391" s="5">
        <f>IFERROR(INDEX(DePara[Categoria],MATCH(TEXT(A391,"0"),DePara[Fornecedor_txt],0)),"(sem categoria)")</f>
        <v/>
      </c>
      <c r="D391" s="12">
        <f>SUMIFS(Base[Montante],Base[Fornecedor],$A391&amp;"",Base[Ano],D$4)</f>
        <v/>
      </c>
      <c r="E391" s="12">
        <f>SUMIFS(Base[Montante],Base[Fornecedor],$A391&amp;"",Base[Ano],E$4)</f>
        <v/>
      </c>
      <c r="F391" s="12">
        <f>SUMIFS(Base[Montante],Base[Fornecedor],$A391&amp;"",Base[Ano],F$4)</f>
        <v/>
      </c>
      <c r="G391" s="12">
        <f>SUMIFS(Base[Montante],Base[Fornecedor],$A391&amp;"",Base[Ano],G$4)</f>
        <v/>
      </c>
      <c r="H391" s="12">
        <f>SUMIFS(Base[Montante],Base[Fornecedor],$A391&amp;"",Base[Ano],H$4)</f>
        <v/>
      </c>
      <c r="I391" s="12">
        <f>SUMIFS(Base[Montante],Base[Fornecedor],$A391&amp;"",Base[Ano],I$4)</f>
        <v/>
      </c>
      <c r="J391" s="12">
        <f>SUMIFS(Base[Montante],Base[Fornecedor],$A391&amp;"",Base[Ano],J$4)</f>
        <v/>
      </c>
      <c r="K391" s="12">
        <f>SUM(D391:J391)</f>
        <v/>
      </c>
    </row>
    <row r="392">
      <c r="A392" s="5" t="inlineStr">
        <is>
          <t>EM000468</t>
        </is>
      </c>
      <c r="B392" s="5" t="inlineStr">
        <is>
          <t>LUCAS EMANUEL ALVES DE SOUSA</t>
        </is>
      </c>
      <c r="C392" s="5">
        <f>IFERROR(INDEX(DePara[Categoria],MATCH(TEXT(A392,"0"),DePara[Fornecedor_txt],0)),"(sem categoria)")</f>
        <v/>
      </c>
      <c r="D392" s="12">
        <f>SUMIFS(Base[Montante],Base[Fornecedor],$A392&amp;"",Base[Ano],D$4)</f>
        <v/>
      </c>
      <c r="E392" s="12">
        <f>SUMIFS(Base[Montante],Base[Fornecedor],$A392&amp;"",Base[Ano],E$4)</f>
        <v/>
      </c>
      <c r="F392" s="12">
        <f>SUMIFS(Base[Montante],Base[Fornecedor],$A392&amp;"",Base[Ano],F$4)</f>
        <v/>
      </c>
      <c r="G392" s="12">
        <f>SUMIFS(Base[Montante],Base[Fornecedor],$A392&amp;"",Base[Ano],G$4)</f>
        <v/>
      </c>
      <c r="H392" s="12">
        <f>SUMIFS(Base[Montante],Base[Fornecedor],$A392&amp;"",Base[Ano],H$4)</f>
        <v/>
      </c>
      <c r="I392" s="12">
        <f>SUMIFS(Base[Montante],Base[Fornecedor],$A392&amp;"",Base[Ano],I$4)</f>
        <v/>
      </c>
      <c r="J392" s="12">
        <f>SUMIFS(Base[Montante],Base[Fornecedor],$A392&amp;"",Base[Ano],J$4)</f>
        <v/>
      </c>
      <c r="K392" s="12">
        <f>SUM(D392:J392)</f>
        <v/>
      </c>
    </row>
    <row r="393">
      <c r="A393" s="5" t="inlineStr">
        <is>
          <t>EM000210</t>
        </is>
      </c>
      <c r="B393" s="5" t="inlineStr">
        <is>
          <t>LUCAS HENRIQUE SOARES</t>
        </is>
      </c>
      <c r="C393" s="5">
        <f>IFERROR(INDEX(DePara[Categoria],MATCH(TEXT(A393,"0"),DePara[Fornecedor_txt],0)),"(sem categoria)")</f>
        <v/>
      </c>
      <c r="D393" s="12">
        <f>SUMIFS(Base[Montante],Base[Fornecedor],$A393&amp;"",Base[Ano],D$4)</f>
        <v/>
      </c>
      <c r="E393" s="12">
        <f>SUMIFS(Base[Montante],Base[Fornecedor],$A393&amp;"",Base[Ano],E$4)</f>
        <v/>
      </c>
      <c r="F393" s="12">
        <f>SUMIFS(Base[Montante],Base[Fornecedor],$A393&amp;"",Base[Ano],F$4)</f>
        <v/>
      </c>
      <c r="G393" s="12">
        <f>SUMIFS(Base[Montante],Base[Fornecedor],$A393&amp;"",Base[Ano],G$4)</f>
        <v/>
      </c>
      <c r="H393" s="12">
        <f>SUMIFS(Base[Montante],Base[Fornecedor],$A393&amp;"",Base[Ano],H$4)</f>
        <v/>
      </c>
      <c r="I393" s="12">
        <f>SUMIFS(Base[Montante],Base[Fornecedor],$A393&amp;"",Base[Ano],I$4)</f>
        <v/>
      </c>
      <c r="J393" s="12">
        <f>SUMIFS(Base[Montante],Base[Fornecedor],$A393&amp;"",Base[Ano],J$4)</f>
        <v/>
      </c>
      <c r="K393" s="12">
        <f>SUM(D393:J393)</f>
        <v/>
      </c>
    </row>
    <row r="394">
      <c r="A394" s="5" t="inlineStr">
        <is>
          <t>EM000919</t>
        </is>
      </c>
      <c r="B394" s="5" t="inlineStr">
        <is>
          <t>LUCAS MEDEIROS DE OLIVEIRA</t>
        </is>
      </c>
      <c r="C394" s="5">
        <f>IFERROR(INDEX(DePara[Categoria],MATCH(TEXT(A394,"0"),DePara[Fornecedor_txt],0)),"(sem categoria)")</f>
        <v/>
      </c>
      <c r="D394" s="12">
        <f>SUMIFS(Base[Montante],Base[Fornecedor],$A394&amp;"",Base[Ano],D$4)</f>
        <v/>
      </c>
      <c r="E394" s="12">
        <f>SUMIFS(Base[Montante],Base[Fornecedor],$A394&amp;"",Base[Ano],E$4)</f>
        <v/>
      </c>
      <c r="F394" s="12">
        <f>SUMIFS(Base[Montante],Base[Fornecedor],$A394&amp;"",Base[Ano],F$4)</f>
        <v/>
      </c>
      <c r="G394" s="12">
        <f>SUMIFS(Base[Montante],Base[Fornecedor],$A394&amp;"",Base[Ano],G$4)</f>
        <v/>
      </c>
      <c r="H394" s="12">
        <f>SUMIFS(Base[Montante],Base[Fornecedor],$A394&amp;"",Base[Ano],H$4)</f>
        <v/>
      </c>
      <c r="I394" s="12">
        <f>SUMIFS(Base[Montante],Base[Fornecedor],$A394&amp;"",Base[Ano],I$4)</f>
        <v/>
      </c>
      <c r="J394" s="12">
        <f>SUMIFS(Base[Montante],Base[Fornecedor],$A394&amp;"",Base[Ano],J$4)</f>
        <v/>
      </c>
      <c r="K394" s="12">
        <f>SUM(D394:J394)</f>
        <v/>
      </c>
    </row>
    <row r="395">
      <c r="A395" s="5" t="inlineStr">
        <is>
          <t>EM000971</t>
        </is>
      </c>
      <c r="B395" s="5" t="inlineStr">
        <is>
          <t>LUCAS RODRIGUES DOS SANTOS</t>
        </is>
      </c>
      <c r="C395" s="5">
        <f>IFERROR(INDEX(DePara[Categoria],MATCH(TEXT(A395,"0"),DePara[Fornecedor_txt],0)),"(sem categoria)")</f>
        <v/>
      </c>
      <c r="D395" s="12">
        <f>SUMIFS(Base[Montante],Base[Fornecedor],$A395&amp;"",Base[Ano],D$4)</f>
        <v/>
      </c>
      <c r="E395" s="12">
        <f>SUMIFS(Base[Montante],Base[Fornecedor],$A395&amp;"",Base[Ano],E$4)</f>
        <v/>
      </c>
      <c r="F395" s="12">
        <f>SUMIFS(Base[Montante],Base[Fornecedor],$A395&amp;"",Base[Ano],F$4)</f>
        <v/>
      </c>
      <c r="G395" s="12">
        <f>SUMIFS(Base[Montante],Base[Fornecedor],$A395&amp;"",Base[Ano],G$4)</f>
        <v/>
      </c>
      <c r="H395" s="12">
        <f>SUMIFS(Base[Montante],Base[Fornecedor],$A395&amp;"",Base[Ano],H$4)</f>
        <v/>
      </c>
      <c r="I395" s="12">
        <f>SUMIFS(Base[Montante],Base[Fornecedor],$A395&amp;"",Base[Ano],I$4)</f>
        <v/>
      </c>
      <c r="J395" s="12">
        <f>SUMIFS(Base[Montante],Base[Fornecedor],$A395&amp;"",Base[Ano],J$4)</f>
        <v/>
      </c>
      <c r="K395" s="12">
        <f>SUM(D395:J395)</f>
        <v/>
      </c>
    </row>
    <row r="396">
      <c r="A396" s="5" t="inlineStr">
        <is>
          <t>EM000652</t>
        </is>
      </c>
      <c r="B396" s="5" t="inlineStr">
        <is>
          <t>LUCAS TURCI</t>
        </is>
      </c>
      <c r="C396" s="5">
        <f>IFERROR(INDEX(DePara[Categoria],MATCH(TEXT(A396,"0"),DePara[Fornecedor_txt],0)),"(sem categoria)")</f>
        <v/>
      </c>
      <c r="D396" s="12">
        <f>SUMIFS(Base[Montante],Base[Fornecedor],$A396&amp;"",Base[Ano],D$4)</f>
        <v/>
      </c>
      <c r="E396" s="12">
        <f>SUMIFS(Base[Montante],Base[Fornecedor],$A396&amp;"",Base[Ano],E$4)</f>
        <v/>
      </c>
      <c r="F396" s="12">
        <f>SUMIFS(Base[Montante],Base[Fornecedor],$A396&amp;"",Base[Ano],F$4)</f>
        <v/>
      </c>
      <c r="G396" s="12">
        <f>SUMIFS(Base[Montante],Base[Fornecedor],$A396&amp;"",Base[Ano],G$4)</f>
        <v/>
      </c>
      <c r="H396" s="12">
        <f>SUMIFS(Base[Montante],Base[Fornecedor],$A396&amp;"",Base[Ano],H$4)</f>
        <v/>
      </c>
      <c r="I396" s="12">
        <f>SUMIFS(Base[Montante],Base[Fornecedor],$A396&amp;"",Base[Ano],I$4)</f>
        <v/>
      </c>
      <c r="J396" s="12">
        <f>SUMIFS(Base[Montante],Base[Fornecedor],$A396&amp;"",Base[Ano],J$4)</f>
        <v/>
      </c>
      <c r="K396" s="12">
        <f>SUM(D396:J396)</f>
        <v/>
      </c>
    </row>
    <row r="397">
      <c r="A397" s="5" t="inlineStr">
        <is>
          <t>EM000928</t>
        </is>
      </c>
      <c r="B397" s="5" t="inlineStr">
        <is>
          <t>LUCAS VINICIUS ALENCAR RIBEIRO</t>
        </is>
      </c>
      <c r="C397" s="5">
        <f>IFERROR(INDEX(DePara[Categoria],MATCH(TEXT(A397,"0"),DePara[Fornecedor_txt],0)),"(sem categoria)")</f>
        <v/>
      </c>
      <c r="D397" s="12">
        <f>SUMIFS(Base[Montante],Base[Fornecedor],$A397&amp;"",Base[Ano],D$4)</f>
        <v/>
      </c>
      <c r="E397" s="12">
        <f>SUMIFS(Base[Montante],Base[Fornecedor],$A397&amp;"",Base[Ano],E$4)</f>
        <v/>
      </c>
      <c r="F397" s="12">
        <f>SUMIFS(Base[Montante],Base[Fornecedor],$A397&amp;"",Base[Ano],F$4)</f>
        <v/>
      </c>
      <c r="G397" s="12">
        <f>SUMIFS(Base[Montante],Base[Fornecedor],$A397&amp;"",Base[Ano],G$4)</f>
        <v/>
      </c>
      <c r="H397" s="12">
        <f>SUMIFS(Base[Montante],Base[Fornecedor],$A397&amp;"",Base[Ano],H$4)</f>
        <v/>
      </c>
      <c r="I397" s="12">
        <f>SUMIFS(Base[Montante],Base[Fornecedor],$A397&amp;"",Base[Ano],I$4)</f>
        <v/>
      </c>
      <c r="J397" s="12">
        <f>SUMIFS(Base[Montante],Base[Fornecedor],$A397&amp;"",Base[Ano],J$4)</f>
        <v/>
      </c>
      <c r="K397" s="12">
        <f>SUM(D397:J397)</f>
        <v/>
      </c>
    </row>
    <row r="398">
      <c r="A398" s="5" t="inlineStr">
        <is>
          <t>EM000365</t>
        </is>
      </c>
      <c r="B398" s="5" t="inlineStr">
        <is>
          <t>LUCIANA OLIVEIRA COSTA LOREDO</t>
        </is>
      </c>
      <c r="C398" s="5">
        <f>IFERROR(INDEX(DePara[Categoria],MATCH(TEXT(A398,"0"),DePara[Fornecedor_txt],0)),"(sem categoria)")</f>
        <v/>
      </c>
      <c r="D398" s="12">
        <f>SUMIFS(Base[Montante],Base[Fornecedor],$A398&amp;"",Base[Ano],D$4)</f>
        <v/>
      </c>
      <c r="E398" s="12">
        <f>SUMIFS(Base[Montante],Base[Fornecedor],$A398&amp;"",Base[Ano],E$4)</f>
        <v/>
      </c>
      <c r="F398" s="12">
        <f>SUMIFS(Base[Montante],Base[Fornecedor],$A398&amp;"",Base[Ano],F$4)</f>
        <v/>
      </c>
      <c r="G398" s="12">
        <f>SUMIFS(Base[Montante],Base[Fornecedor],$A398&amp;"",Base[Ano],G$4)</f>
        <v/>
      </c>
      <c r="H398" s="12">
        <f>SUMIFS(Base[Montante],Base[Fornecedor],$A398&amp;"",Base[Ano],H$4)</f>
        <v/>
      </c>
      <c r="I398" s="12">
        <f>SUMIFS(Base[Montante],Base[Fornecedor],$A398&amp;"",Base[Ano],I$4)</f>
        <v/>
      </c>
      <c r="J398" s="12">
        <f>SUMIFS(Base[Montante],Base[Fornecedor],$A398&amp;"",Base[Ano],J$4)</f>
        <v/>
      </c>
      <c r="K398" s="12">
        <f>SUM(D398:J398)</f>
        <v/>
      </c>
    </row>
    <row r="399">
      <c r="A399" s="5" t="n">
        <v>101645</v>
      </c>
      <c r="B399" s="5" t="inlineStr">
        <is>
          <t>LUITEX MAQUINAS E FERRAMENTAS LTDA</t>
        </is>
      </c>
      <c r="C399" s="5">
        <f>IFERROR(INDEX(DePara[Categoria],MATCH(TEXT(A399,"0"),DePara[Fornecedor_txt],0)),"(sem categoria)")</f>
        <v/>
      </c>
      <c r="D399" s="12">
        <f>SUMIFS(Base[Montante],Base[Fornecedor],$A399&amp;"",Base[Ano],D$4)</f>
        <v/>
      </c>
      <c r="E399" s="12">
        <f>SUMIFS(Base[Montante],Base[Fornecedor],$A399&amp;"",Base[Ano],E$4)</f>
        <v/>
      </c>
      <c r="F399" s="12">
        <f>SUMIFS(Base[Montante],Base[Fornecedor],$A399&amp;"",Base[Ano],F$4)</f>
        <v/>
      </c>
      <c r="G399" s="12">
        <f>SUMIFS(Base[Montante],Base[Fornecedor],$A399&amp;"",Base[Ano],G$4)</f>
        <v/>
      </c>
      <c r="H399" s="12">
        <f>SUMIFS(Base[Montante],Base[Fornecedor],$A399&amp;"",Base[Ano],H$4)</f>
        <v/>
      </c>
      <c r="I399" s="12">
        <f>SUMIFS(Base[Montante],Base[Fornecedor],$A399&amp;"",Base[Ano],I$4)</f>
        <v/>
      </c>
      <c r="J399" s="12">
        <f>SUMIFS(Base[Montante],Base[Fornecedor],$A399&amp;"",Base[Ano],J$4)</f>
        <v/>
      </c>
      <c r="K399" s="12">
        <f>SUM(D399:J399)</f>
        <v/>
      </c>
    </row>
    <row r="400">
      <c r="A400" s="5" t="inlineStr">
        <is>
          <t>EM000556</t>
        </is>
      </c>
      <c r="B400" s="5" t="inlineStr">
        <is>
          <t>LUIZ BRAULY RODRIGUES DE AZEVEDO</t>
        </is>
      </c>
      <c r="C400" s="5">
        <f>IFERROR(INDEX(DePara[Categoria],MATCH(TEXT(A400,"0"),DePara[Fornecedor_txt],0)),"(sem categoria)")</f>
        <v/>
      </c>
      <c r="D400" s="12">
        <f>SUMIFS(Base[Montante],Base[Fornecedor],$A400&amp;"",Base[Ano],D$4)</f>
        <v/>
      </c>
      <c r="E400" s="12">
        <f>SUMIFS(Base[Montante],Base[Fornecedor],$A400&amp;"",Base[Ano],E$4)</f>
        <v/>
      </c>
      <c r="F400" s="12">
        <f>SUMIFS(Base[Montante],Base[Fornecedor],$A400&amp;"",Base[Ano],F$4)</f>
        <v/>
      </c>
      <c r="G400" s="12">
        <f>SUMIFS(Base[Montante],Base[Fornecedor],$A400&amp;"",Base[Ano],G$4)</f>
        <v/>
      </c>
      <c r="H400" s="12">
        <f>SUMIFS(Base[Montante],Base[Fornecedor],$A400&amp;"",Base[Ano],H$4)</f>
        <v/>
      </c>
      <c r="I400" s="12">
        <f>SUMIFS(Base[Montante],Base[Fornecedor],$A400&amp;"",Base[Ano],I$4)</f>
        <v/>
      </c>
      <c r="J400" s="12">
        <f>SUMIFS(Base[Montante],Base[Fornecedor],$A400&amp;"",Base[Ano],J$4)</f>
        <v/>
      </c>
      <c r="K400" s="12">
        <f>SUM(D400:J400)</f>
        <v/>
      </c>
    </row>
    <row r="401">
      <c r="A401" s="5" t="inlineStr">
        <is>
          <t>EM000324</t>
        </is>
      </c>
      <c r="B401" s="5" t="inlineStr">
        <is>
          <t>LUIZ EDUARDO PEREIRA DA SILVA</t>
        </is>
      </c>
      <c r="C401" s="5">
        <f>IFERROR(INDEX(DePara[Categoria],MATCH(TEXT(A401,"0"),DePara[Fornecedor_txt],0)),"(sem categoria)")</f>
        <v/>
      </c>
      <c r="D401" s="12">
        <f>SUMIFS(Base[Montante],Base[Fornecedor],$A401&amp;"",Base[Ano],D$4)</f>
        <v/>
      </c>
      <c r="E401" s="12">
        <f>SUMIFS(Base[Montante],Base[Fornecedor],$A401&amp;"",Base[Ano],E$4)</f>
        <v/>
      </c>
      <c r="F401" s="12">
        <f>SUMIFS(Base[Montante],Base[Fornecedor],$A401&amp;"",Base[Ano],F$4)</f>
        <v/>
      </c>
      <c r="G401" s="12">
        <f>SUMIFS(Base[Montante],Base[Fornecedor],$A401&amp;"",Base[Ano],G$4)</f>
        <v/>
      </c>
      <c r="H401" s="12">
        <f>SUMIFS(Base[Montante],Base[Fornecedor],$A401&amp;"",Base[Ano],H$4)</f>
        <v/>
      </c>
      <c r="I401" s="12">
        <f>SUMIFS(Base[Montante],Base[Fornecedor],$A401&amp;"",Base[Ano],I$4)</f>
        <v/>
      </c>
      <c r="J401" s="12">
        <f>SUMIFS(Base[Montante],Base[Fornecedor],$A401&amp;"",Base[Ano],J$4)</f>
        <v/>
      </c>
      <c r="K401" s="12">
        <f>SUM(D401:J401)</f>
        <v/>
      </c>
    </row>
    <row r="402">
      <c r="A402" s="5" t="inlineStr">
        <is>
          <t>EM000102</t>
        </is>
      </c>
      <c r="B402" s="5" t="inlineStr">
        <is>
          <t>LUIZ MARCELO SILVA MENESCAL CAMPOS</t>
        </is>
      </c>
      <c r="C402" s="5">
        <f>IFERROR(INDEX(DePara[Categoria],MATCH(TEXT(A402,"0"),DePara[Fornecedor_txt],0)),"(sem categoria)")</f>
        <v/>
      </c>
      <c r="D402" s="12">
        <f>SUMIFS(Base[Montante],Base[Fornecedor],$A402&amp;"",Base[Ano],D$4)</f>
        <v/>
      </c>
      <c r="E402" s="12">
        <f>SUMIFS(Base[Montante],Base[Fornecedor],$A402&amp;"",Base[Ano],E$4)</f>
        <v/>
      </c>
      <c r="F402" s="12">
        <f>SUMIFS(Base[Montante],Base[Fornecedor],$A402&amp;"",Base[Ano],F$4)</f>
        <v/>
      </c>
      <c r="G402" s="12">
        <f>SUMIFS(Base[Montante],Base[Fornecedor],$A402&amp;"",Base[Ano],G$4)</f>
        <v/>
      </c>
      <c r="H402" s="12">
        <f>SUMIFS(Base[Montante],Base[Fornecedor],$A402&amp;"",Base[Ano],H$4)</f>
        <v/>
      </c>
      <c r="I402" s="12">
        <f>SUMIFS(Base[Montante],Base[Fornecedor],$A402&amp;"",Base[Ano],I$4)</f>
        <v/>
      </c>
      <c r="J402" s="12">
        <f>SUMIFS(Base[Montante],Base[Fornecedor],$A402&amp;"",Base[Ano],J$4)</f>
        <v/>
      </c>
      <c r="K402" s="12">
        <f>SUM(D402:J402)</f>
        <v/>
      </c>
    </row>
    <row r="403">
      <c r="A403" s="5" t="inlineStr">
        <is>
          <t>EM000005</t>
        </is>
      </c>
      <c r="B403" s="5" t="inlineStr">
        <is>
          <t>LUIZ SAVIO DE CAMPOS SIQUEIRA</t>
        </is>
      </c>
      <c r="C403" s="5">
        <f>IFERROR(INDEX(DePara[Categoria],MATCH(TEXT(A403,"0"),DePara[Fornecedor_txt],0)),"(sem categoria)")</f>
        <v/>
      </c>
      <c r="D403" s="12">
        <f>SUMIFS(Base[Montante],Base[Fornecedor],$A403&amp;"",Base[Ano],D$4)</f>
        <v/>
      </c>
      <c r="E403" s="12">
        <f>SUMIFS(Base[Montante],Base[Fornecedor],$A403&amp;"",Base[Ano],E$4)</f>
        <v/>
      </c>
      <c r="F403" s="12">
        <f>SUMIFS(Base[Montante],Base[Fornecedor],$A403&amp;"",Base[Ano],F$4)</f>
        <v/>
      </c>
      <c r="G403" s="12">
        <f>SUMIFS(Base[Montante],Base[Fornecedor],$A403&amp;"",Base[Ano],G$4)</f>
        <v/>
      </c>
      <c r="H403" s="12">
        <f>SUMIFS(Base[Montante],Base[Fornecedor],$A403&amp;"",Base[Ano],H$4)</f>
        <v/>
      </c>
      <c r="I403" s="12">
        <f>SUMIFS(Base[Montante],Base[Fornecedor],$A403&amp;"",Base[Ano],I$4)</f>
        <v/>
      </c>
      <c r="J403" s="12">
        <f>SUMIFS(Base[Montante],Base[Fornecedor],$A403&amp;"",Base[Ano],J$4)</f>
        <v/>
      </c>
      <c r="K403" s="12">
        <f>SUM(D403:J403)</f>
        <v/>
      </c>
    </row>
    <row r="404">
      <c r="A404" s="5" t="n">
        <v>100553</v>
      </c>
      <c r="B404" s="5" t="inlineStr">
        <is>
          <t>LYCEG SEGURANCA PATRIMONIAL EIRELI</t>
        </is>
      </c>
      <c r="C404" s="5">
        <f>IFERROR(INDEX(DePara[Categoria],MATCH(TEXT(A404,"0"),DePara[Fornecedor_txt],0)),"(sem categoria)")</f>
        <v/>
      </c>
      <c r="D404" s="12">
        <f>SUMIFS(Base[Montante],Base[Fornecedor],$A404&amp;"",Base[Ano],D$4)</f>
        <v/>
      </c>
      <c r="E404" s="12">
        <f>SUMIFS(Base[Montante],Base[Fornecedor],$A404&amp;"",Base[Ano],E$4)</f>
        <v/>
      </c>
      <c r="F404" s="12">
        <f>SUMIFS(Base[Montante],Base[Fornecedor],$A404&amp;"",Base[Ano],F$4)</f>
        <v/>
      </c>
      <c r="G404" s="12">
        <f>SUMIFS(Base[Montante],Base[Fornecedor],$A404&amp;"",Base[Ano],G$4)</f>
        <v/>
      </c>
      <c r="H404" s="12">
        <f>SUMIFS(Base[Montante],Base[Fornecedor],$A404&amp;"",Base[Ano],H$4)</f>
        <v/>
      </c>
      <c r="I404" s="12">
        <f>SUMIFS(Base[Montante],Base[Fornecedor],$A404&amp;"",Base[Ano],I$4)</f>
        <v/>
      </c>
      <c r="J404" s="12">
        <f>SUMIFS(Base[Montante],Base[Fornecedor],$A404&amp;"",Base[Ano],J$4)</f>
        <v/>
      </c>
      <c r="K404" s="12">
        <f>SUM(D404:J404)</f>
        <v/>
      </c>
    </row>
    <row r="405">
      <c r="A405" s="5" t="n">
        <v>101048</v>
      </c>
      <c r="B405" s="5" t="inlineStr">
        <is>
          <t>M R DE MEDEIROS</t>
        </is>
      </c>
      <c r="C405" s="5">
        <f>IFERROR(INDEX(DePara[Categoria],MATCH(TEXT(A405,"0"),DePara[Fornecedor_txt],0)),"(sem categoria)")</f>
        <v/>
      </c>
      <c r="D405" s="12">
        <f>SUMIFS(Base[Montante],Base[Fornecedor],$A405&amp;"",Base[Ano],D$4)</f>
        <v/>
      </c>
      <c r="E405" s="12">
        <f>SUMIFS(Base[Montante],Base[Fornecedor],$A405&amp;"",Base[Ano],E$4)</f>
        <v/>
      </c>
      <c r="F405" s="12">
        <f>SUMIFS(Base[Montante],Base[Fornecedor],$A405&amp;"",Base[Ano],F$4)</f>
        <v/>
      </c>
      <c r="G405" s="12">
        <f>SUMIFS(Base[Montante],Base[Fornecedor],$A405&amp;"",Base[Ano],G$4)</f>
        <v/>
      </c>
      <c r="H405" s="12">
        <f>SUMIFS(Base[Montante],Base[Fornecedor],$A405&amp;"",Base[Ano],H$4)</f>
        <v/>
      </c>
      <c r="I405" s="12">
        <f>SUMIFS(Base[Montante],Base[Fornecedor],$A405&amp;"",Base[Ano],I$4)</f>
        <v/>
      </c>
      <c r="J405" s="12">
        <f>SUMIFS(Base[Montante],Base[Fornecedor],$A405&amp;"",Base[Ano],J$4)</f>
        <v/>
      </c>
      <c r="K405" s="12">
        <f>SUM(D405:J405)</f>
        <v/>
      </c>
    </row>
    <row r="406">
      <c r="A406" s="5" t="n">
        <v>100747</v>
      </c>
      <c r="B406" s="5" t="inlineStr">
        <is>
          <t>MA TECH ENGENHARIA DA CONSTRUCAO LT</t>
        </is>
      </c>
      <c r="C406" s="5">
        <f>IFERROR(INDEX(DePara[Categoria],MATCH(TEXT(A406,"0"),DePara[Fornecedor_txt],0)),"(sem categoria)")</f>
        <v/>
      </c>
      <c r="D406" s="12">
        <f>SUMIFS(Base[Montante],Base[Fornecedor],$A406&amp;"",Base[Ano],D$4)</f>
        <v/>
      </c>
      <c r="E406" s="12">
        <f>SUMIFS(Base[Montante],Base[Fornecedor],$A406&amp;"",Base[Ano],E$4)</f>
        <v/>
      </c>
      <c r="F406" s="12">
        <f>SUMIFS(Base[Montante],Base[Fornecedor],$A406&amp;"",Base[Ano],F$4)</f>
        <v/>
      </c>
      <c r="G406" s="12">
        <f>SUMIFS(Base[Montante],Base[Fornecedor],$A406&amp;"",Base[Ano],G$4)</f>
        <v/>
      </c>
      <c r="H406" s="12">
        <f>SUMIFS(Base[Montante],Base[Fornecedor],$A406&amp;"",Base[Ano],H$4)</f>
        <v/>
      </c>
      <c r="I406" s="12">
        <f>SUMIFS(Base[Montante],Base[Fornecedor],$A406&amp;"",Base[Ano],I$4)</f>
        <v/>
      </c>
      <c r="J406" s="12">
        <f>SUMIFS(Base[Montante],Base[Fornecedor],$A406&amp;"",Base[Ano],J$4)</f>
        <v/>
      </c>
      <c r="K406" s="12">
        <f>SUM(D406:J406)</f>
        <v/>
      </c>
    </row>
    <row r="407">
      <c r="A407" s="5" t="n">
        <v>100555</v>
      </c>
      <c r="B407" s="5" t="inlineStr">
        <is>
          <t>MAC CONSULTORIA E LOGISTICA LTDA</t>
        </is>
      </c>
      <c r="C407" s="5">
        <f>IFERROR(INDEX(DePara[Categoria],MATCH(TEXT(A407,"0"),DePara[Fornecedor_txt],0)),"(sem categoria)")</f>
        <v/>
      </c>
      <c r="D407" s="12">
        <f>SUMIFS(Base[Montante],Base[Fornecedor],$A407&amp;"",Base[Ano],D$4)</f>
        <v/>
      </c>
      <c r="E407" s="12">
        <f>SUMIFS(Base[Montante],Base[Fornecedor],$A407&amp;"",Base[Ano],E$4)</f>
        <v/>
      </c>
      <c r="F407" s="12">
        <f>SUMIFS(Base[Montante],Base[Fornecedor],$A407&amp;"",Base[Ano],F$4)</f>
        <v/>
      </c>
      <c r="G407" s="12">
        <f>SUMIFS(Base[Montante],Base[Fornecedor],$A407&amp;"",Base[Ano],G$4)</f>
        <v/>
      </c>
      <c r="H407" s="12">
        <f>SUMIFS(Base[Montante],Base[Fornecedor],$A407&amp;"",Base[Ano],H$4)</f>
        <v/>
      </c>
      <c r="I407" s="12">
        <f>SUMIFS(Base[Montante],Base[Fornecedor],$A407&amp;"",Base[Ano],I$4)</f>
        <v/>
      </c>
      <c r="J407" s="12">
        <f>SUMIFS(Base[Montante],Base[Fornecedor],$A407&amp;"",Base[Ano],J$4)</f>
        <v/>
      </c>
      <c r="K407" s="12">
        <f>SUM(D407:J407)</f>
        <v/>
      </c>
    </row>
    <row r="408">
      <c r="A408" s="5" t="inlineStr">
        <is>
          <t>EM000874</t>
        </is>
      </c>
      <c r="B408" s="5" t="inlineStr">
        <is>
          <t>Maciel do Nascimento Santos</t>
        </is>
      </c>
      <c r="C408" s="5">
        <f>IFERROR(INDEX(DePara[Categoria],MATCH(TEXT(A408,"0"),DePara[Fornecedor_txt],0)),"(sem categoria)")</f>
        <v/>
      </c>
      <c r="D408" s="12">
        <f>SUMIFS(Base[Montante],Base[Fornecedor],$A408&amp;"",Base[Ano],D$4)</f>
        <v/>
      </c>
      <c r="E408" s="12">
        <f>SUMIFS(Base[Montante],Base[Fornecedor],$A408&amp;"",Base[Ano],E$4)</f>
        <v/>
      </c>
      <c r="F408" s="12">
        <f>SUMIFS(Base[Montante],Base[Fornecedor],$A408&amp;"",Base[Ano],F$4)</f>
        <v/>
      </c>
      <c r="G408" s="12">
        <f>SUMIFS(Base[Montante],Base[Fornecedor],$A408&amp;"",Base[Ano],G$4)</f>
        <v/>
      </c>
      <c r="H408" s="12">
        <f>SUMIFS(Base[Montante],Base[Fornecedor],$A408&amp;"",Base[Ano],H$4)</f>
        <v/>
      </c>
      <c r="I408" s="12">
        <f>SUMIFS(Base[Montante],Base[Fornecedor],$A408&amp;"",Base[Ano],I$4)</f>
        <v/>
      </c>
      <c r="J408" s="12">
        <f>SUMIFS(Base[Montante],Base[Fornecedor],$A408&amp;"",Base[Ano],J$4)</f>
        <v/>
      </c>
      <c r="K408" s="12">
        <f>SUM(D408:J408)</f>
        <v/>
      </c>
    </row>
    <row r="409">
      <c r="A409" s="5" t="n">
        <v>103687</v>
      </c>
      <c r="B409" s="5" t="inlineStr">
        <is>
          <t>MALAGRINO JOSE ANTONIO</t>
        </is>
      </c>
      <c r="C409" s="5">
        <f>IFERROR(INDEX(DePara[Categoria],MATCH(TEXT(A409,"0"),DePara[Fornecedor_txt],0)),"(sem categoria)")</f>
        <v/>
      </c>
      <c r="D409" s="12">
        <f>SUMIFS(Base[Montante],Base[Fornecedor],$A409&amp;"",Base[Ano],D$4)</f>
        <v/>
      </c>
      <c r="E409" s="12">
        <f>SUMIFS(Base[Montante],Base[Fornecedor],$A409&amp;"",Base[Ano],E$4)</f>
        <v/>
      </c>
      <c r="F409" s="12">
        <f>SUMIFS(Base[Montante],Base[Fornecedor],$A409&amp;"",Base[Ano],F$4)</f>
        <v/>
      </c>
      <c r="G409" s="12">
        <f>SUMIFS(Base[Montante],Base[Fornecedor],$A409&amp;"",Base[Ano],G$4)</f>
        <v/>
      </c>
      <c r="H409" s="12">
        <f>SUMIFS(Base[Montante],Base[Fornecedor],$A409&amp;"",Base[Ano],H$4)</f>
        <v/>
      </c>
      <c r="I409" s="12">
        <f>SUMIFS(Base[Montante],Base[Fornecedor],$A409&amp;"",Base[Ano],I$4)</f>
        <v/>
      </c>
      <c r="J409" s="12">
        <f>SUMIFS(Base[Montante],Base[Fornecedor],$A409&amp;"",Base[Ano],J$4)</f>
        <v/>
      </c>
      <c r="K409" s="12">
        <f>SUM(D409:J409)</f>
        <v/>
      </c>
    </row>
    <row r="410">
      <c r="A410" s="5" t="inlineStr">
        <is>
          <t>EM000367</t>
        </is>
      </c>
      <c r="B410" s="5" t="inlineStr">
        <is>
          <t>MARCELLA GOMES PEREZ</t>
        </is>
      </c>
      <c r="C410" s="5">
        <f>IFERROR(INDEX(DePara[Categoria],MATCH(TEXT(A410,"0"),DePara[Fornecedor_txt],0)),"(sem categoria)")</f>
        <v/>
      </c>
      <c r="D410" s="12">
        <f>SUMIFS(Base[Montante],Base[Fornecedor],$A410&amp;"",Base[Ano],D$4)</f>
        <v/>
      </c>
      <c r="E410" s="12">
        <f>SUMIFS(Base[Montante],Base[Fornecedor],$A410&amp;"",Base[Ano],E$4)</f>
        <v/>
      </c>
      <c r="F410" s="12">
        <f>SUMIFS(Base[Montante],Base[Fornecedor],$A410&amp;"",Base[Ano],F$4)</f>
        <v/>
      </c>
      <c r="G410" s="12">
        <f>SUMIFS(Base[Montante],Base[Fornecedor],$A410&amp;"",Base[Ano],G$4)</f>
        <v/>
      </c>
      <c r="H410" s="12">
        <f>SUMIFS(Base[Montante],Base[Fornecedor],$A410&amp;"",Base[Ano],H$4)</f>
        <v/>
      </c>
      <c r="I410" s="12">
        <f>SUMIFS(Base[Montante],Base[Fornecedor],$A410&amp;"",Base[Ano],I$4)</f>
        <v/>
      </c>
      <c r="J410" s="12">
        <f>SUMIFS(Base[Montante],Base[Fornecedor],$A410&amp;"",Base[Ano],J$4)</f>
        <v/>
      </c>
      <c r="K410" s="12">
        <f>SUM(D410:J410)</f>
        <v/>
      </c>
    </row>
    <row r="411">
      <c r="A411" s="5" t="inlineStr">
        <is>
          <t>EM000663</t>
        </is>
      </c>
      <c r="B411" s="5" t="inlineStr">
        <is>
          <t>MARCELO DA COSTA BRAS</t>
        </is>
      </c>
      <c r="C411" s="5">
        <f>IFERROR(INDEX(DePara[Categoria],MATCH(TEXT(A411,"0"),DePara[Fornecedor_txt],0)),"(sem categoria)")</f>
        <v/>
      </c>
      <c r="D411" s="12">
        <f>SUMIFS(Base[Montante],Base[Fornecedor],$A411&amp;"",Base[Ano],D$4)</f>
        <v/>
      </c>
      <c r="E411" s="12">
        <f>SUMIFS(Base[Montante],Base[Fornecedor],$A411&amp;"",Base[Ano],E$4)</f>
        <v/>
      </c>
      <c r="F411" s="12">
        <f>SUMIFS(Base[Montante],Base[Fornecedor],$A411&amp;"",Base[Ano],F$4)</f>
        <v/>
      </c>
      <c r="G411" s="12">
        <f>SUMIFS(Base[Montante],Base[Fornecedor],$A411&amp;"",Base[Ano],G$4)</f>
        <v/>
      </c>
      <c r="H411" s="12">
        <f>SUMIFS(Base[Montante],Base[Fornecedor],$A411&amp;"",Base[Ano],H$4)</f>
        <v/>
      </c>
      <c r="I411" s="12">
        <f>SUMIFS(Base[Montante],Base[Fornecedor],$A411&amp;"",Base[Ano],I$4)</f>
        <v/>
      </c>
      <c r="J411" s="12">
        <f>SUMIFS(Base[Montante],Base[Fornecedor],$A411&amp;"",Base[Ano],J$4)</f>
        <v/>
      </c>
      <c r="K411" s="12">
        <f>SUM(D411:J411)</f>
        <v/>
      </c>
    </row>
    <row r="412">
      <c r="A412" s="5" t="inlineStr">
        <is>
          <t>EM000135</t>
        </is>
      </c>
      <c r="B412" s="5" t="inlineStr">
        <is>
          <t>MARCELO DE MOURA SILVA</t>
        </is>
      </c>
      <c r="C412" s="5">
        <f>IFERROR(INDEX(DePara[Categoria],MATCH(TEXT(A412,"0"),DePara[Fornecedor_txt],0)),"(sem categoria)")</f>
        <v/>
      </c>
      <c r="D412" s="12">
        <f>SUMIFS(Base[Montante],Base[Fornecedor],$A412&amp;"",Base[Ano],D$4)</f>
        <v/>
      </c>
      <c r="E412" s="12">
        <f>SUMIFS(Base[Montante],Base[Fornecedor],$A412&amp;"",Base[Ano],E$4)</f>
        <v/>
      </c>
      <c r="F412" s="12">
        <f>SUMIFS(Base[Montante],Base[Fornecedor],$A412&amp;"",Base[Ano],F$4)</f>
        <v/>
      </c>
      <c r="G412" s="12">
        <f>SUMIFS(Base[Montante],Base[Fornecedor],$A412&amp;"",Base[Ano],G$4)</f>
        <v/>
      </c>
      <c r="H412" s="12">
        <f>SUMIFS(Base[Montante],Base[Fornecedor],$A412&amp;"",Base[Ano],H$4)</f>
        <v/>
      </c>
      <c r="I412" s="12">
        <f>SUMIFS(Base[Montante],Base[Fornecedor],$A412&amp;"",Base[Ano],I$4)</f>
        <v/>
      </c>
      <c r="J412" s="12">
        <f>SUMIFS(Base[Montante],Base[Fornecedor],$A412&amp;"",Base[Ano],J$4)</f>
        <v/>
      </c>
      <c r="K412" s="12">
        <f>SUM(D412:J412)</f>
        <v/>
      </c>
    </row>
    <row r="413">
      <c r="A413" s="5" t="inlineStr">
        <is>
          <t>EM000123</t>
        </is>
      </c>
      <c r="B413" s="5" t="inlineStr">
        <is>
          <t>MARCELO LUIZ REZENDE DE CARVALHO SILVA</t>
        </is>
      </c>
      <c r="C413" s="5">
        <f>IFERROR(INDEX(DePara[Categoria],MATCH(TEXT(A413,"0"),DePara[Fornecedor_txt],0)),"(sem categoria)")</f>
        <v/>
      </c>
      <c r="D413" s="12">
        <f>SUMIFS(Base[Montante],Base[Fornecedor],$A413&amp;"",Base[Ano],D$4)</f>
        <v/>
      </c>
      <c r="E413" s="12">
        <f>SUMIFS(Base[Montante],Base[Fornecedor],$A413&amp;"",Base[Ano],E$4)</f>
        <v/>
      </c>
      <c r="F413" s="12">
        <f>SUMIFS(Base[Montante],Base[Fornecedor],$A413&amp;"",Base[Ano],F$4)</f>
        <v/>
      </c>
      <c r="G413" s="12">
        <f>SUMIFS(Base[Montante],Base[Fornecedor],$A413&amp;"",Base[Ano],G$4)</f>
        <v/>
      </c>
      <c r="H413" s="12">
        <f>SUMIFS(Base[Montante],Base[Fornecedor],$A413&amp;"",Base[Ano],H$4)</f>
        <v/>
      </c>
      <c r="I413" s="12">
        <f>SUMIFS(Base[Montante],Base[Fornecedor],$A413&amp;"",Base[Ano],I$4)</f>
        <v/>
      </c>
      <c r="J413" s="12">
        <f>SUMIFS(Base[Montante],Base[Fornecedor],$A413&amp;"",Base[Ano],J$4)</f>
        <v/>
      </c>
      <c r="K413" s="12">
        <f>SUM(D413:J413)</f>
        <v/>
      </c>
    </row>
    <row r="414">
      <c r="A414" s="5" t="inlineStr">
        <is>
          <t>EM000512</t>
        </is>
      </c>
      <c r="B414" s="5" t="inlineStr">
        <is>
          <t>MARCIO FRANCISCO DA SILVA</t>
        </is>
      </c>
      <c r="C414" s="5">
        <f>IFERROR(INDEX(DePara[Categoria],MATCH(TEXT(A414,"0"),DePara[Fornecedor_txt],0)),"(sem categoria)")</f>
        <v/>
      </c>
      <c r="D414" s="12">
        <f>SUMIFS(Base[Montante],Base[Fornecedor],$A414&amp;"",Base[Ano],D$4)</f>
        <v/>
      </c>
      <c r="E414" s="12">
        <f>SUMIFS(Base[Montante],Base[Fornecedor],$A414&amp;"",Base[Ano],E$4)</f>
        <v/>
      </c>
      <c r="F414" s="12">
        <f>SUMIFS(Base[Montante],Base[Fornecedor],$A414&amp;"",Base[Ano],F$4)</f>
        <v/>
      </c>
      <c r="G414" s="12">
        <f>SUMIFS(Base[Montante],Base[Fornecedor],$A414&amp;"",Base[Ano],G$4)</f>
        <v/>
      </c>
      <c r="H414" s="12">
        <f>SUMIFS(Base[Montante],Base[Fornecedor],$A414&amp;"",Base[Ano],H$4)</f>
        <v/>
      </c>
      <c r="I414" s="12">
        <f>SUMIFS(Base[Montante],Base[Fornecedor],$A414&amp;"",Base[Ano],I$4)</f>
        <v/>
      </c>
      <c r="J414" s="12">
        <f>SUMIFS(Base[Montante],Base[Fornecedor],$A414&amp;"",Base[Ano],J$4)</f>
        <v/>
      </c>
      <c r="K414" s="12">
        <f>SUM(D414:J414)</f>
        <v/>
      </c>
    </row>
    <row r="415">
      <c r="A415" s="5" t="inlineStr">
        <is>
          <t>EM000793</t>
        </is>
      </c>
      <c r="B415" s="5" t="inlineStr">
        <is>
          <t>Marcio Hoffmann Fernandes</t>
        </is>
      </c>
      <c r="C415" s="5">
        <f>IFERROR(INDEX(DePara[Categoria],MATCH(TEXT(A415,"0"),DePara[Fornecedor_txt],0)),"(sem categoria)")</f>
        <v/>
      </c>
      <c r="D415" s="12">
        <f>SUMIFS(Base[Montante],Base[Fornecedor],$A415&amp;"",Base[Ano],D$4)</f>
        <v/>
      </c>
      <c r="E415" s="12">
        <f>SUMIFS(Base[Montante],Base[Fornecedor],$A415&amp;"",Base[Ano],E$4)</f>
        <v/>
      </c>
      <c r="F415" s="12">
        <f>SUMIFS(Base[Montante],Base[Fornecedor],$A415&amp;"",Base[Ano],F$4)</f>
        <v/>
      </c>
      <c r="G415" s="12">
        <f>SUMIFS(Base[Montante],Base[Fornecedor],$A415&amp;"",Base[Ano],G$4)</f>
        <v/>
      </c>
      <c r="H415" s="12">
        <f>SUMIFS(Base[Montante],Base[Fornecedor],$A415&amp;"",Base[Ano],H$4)</f>
        <v/>
      </c>
      <c r="I415" s="12">
        <f>SUMIFS(Base[Montante],Base[Fornecedor],$A415&amp;"",Base[Ano],I$4)</f>
        <v/>
      </c>
      <c r="J415" s="12">
        <f>SUMIFS(Base[Montante],Base[Fornecedor],$A415&amp;"",Base[Ano],J$4)</f>
        <v/>
      </c>
      <c r="K415" s="12">
        <f>SUM(D415:J415)</f>
        <v/>
      </c>
    </row>
    <row r="416">
      <c r="A416" s="5" t="inlineStr">
        <is>
          <t>EM000019</t>
        </is>
      </c>
      <c r="B416" s="5" t="inlineStr">
        <is>
          <t>MARCIO RISSO LEITAO</t>
        </is>
      </c>
      <c r="C416" s="5">
        <f>IFERROR(INDEX(DePara[Categoria],MATCH(TEXT(A416,"0"),DePara[Fornecedor_txt],0)),"(sem categoria)")</f>
        <v/>
      </c>
      <c r="D416" s="12">
        <f>SUMIFS(Base[Montante],Base[Fornecedor],$A416&amp;"",Base[Ano],D$4)</f>
        <v/>
      </c>
      <c r="E416" s="12">
        <f>SUMIFS(Base[Montante],Base[Fornecedor],$A416&amp;"",Base[Ano],E$4)</f>
        <v/>
      </c>
      <c r="F416" s="12">
        <f>SUMIFS(Base[Montante],Base[Fornecedor],$A416&amp;"",Base[Ano],F$4)</f>
        <v/>
      </c>
      <c r="G416" s="12">
        <f>SUMIFS(Base[Montante],Base[Fornecedor],$A416&amp;"",Base[Ano],G$4)</f>
        <v/>
      </c>
      <c r="H416" s="12">
        <f>SUMIFS(Base[Montante],Base[Fornecedor],$A416&amp;"",Base[Ano],H$4)</f>
        <v/>
      </c>
      <c r="I416" s="12">
        <f>SUMIFS(Base[Montante],Base[Fornecedor],$A416&amp;"",Base[Ano],I$4)</f>
        <v/>
      </c>
      <c r="J416" s="12">
        <f>SUMIFS(Base[Montante],Base[Fornecedor],$A416&amp;"",Base[Ano],J$4)</f>
        <v/>
      </c>
      <c r="K416" s="12">
        <f>SUM(D416:J416)</f>
        <v/>
      </c>
    </row>
    <row r="417">
      <c r="A417" s="5" t="inlineStr">
        <is>
          <t>EM200818</t>
        </is>
      </c>
      <c r="B417" s="5" t="inlineStr">
        <is>
          <t>MARCOS GRANDE JACOBOVSKI NICARETTA</t>
        </is>
      </c>
      <c r="C417" s="5">
        <f>IFERROR(INDEX(DePara[Categoria],MATCH(TEXT(A417,"0"),DePara[Fornecedor_txt],0)),"(sem categoria)")</f>
        <v/>
      </c>
      <c r="D417" s="12">
        <f>SUMIFS(Base[Montante],Base[Fornecedor],$A417&amp;"",Base[Ano],D$4)</f>
        <v/>
      </c>
      <c r="E417" s="12">
        <f>SUMIFS(Base[Montante],Base[Fornecedor],$A417&amp;"",Base[Ano],E$4)</f>
        <v/>
      </c>
      <c r="F417" s="12">
        <f>SUMIFS(Base[Montante],Base[Fornecedor],$A417&amp;"",Base[Ano],F$4)</f>
        <v/>
      </c>
      <c r="G417" s="12">
        <f>SUMIFS(Base[Montante],Base[Fornecedor],$A417&amp;"",Base[Ano],G$4)</f>
        <v/>
      </c>
      <c r="H417" s="12">
        <f>SUMIFS(Base[Montante],Base[Fornecedor],$A417&amp;"",Base[Ano],H$4)</f>
        <v/>
      </c>
      <c r="I417" s="12">
        <f>SUMIFS(Base[Montante],Base[Fornecedor],$A417&amp;"",Base[Ano],I$4)</f>
        <v/>
      </c>
      <c r="J417" s="12">
        <f>SUMIFS(Base[Montante],Base[Fornecedor],$A417&amp;"",Base[Ano],J$4)</f>
        <v/>
      </c>
      <c r="K417" s="12">
        <f>SUM(D417:J417)</f>
        <v/>
      </c>
    </row>
    <row r="418">
      <c r="A418" s="5" t="inlineStr">
        <is>
          <t>EM000332</t>
        </is>
      </c>
      <c r="B418" s="5" t="inlineStr">
        <is>
          <t>MARIO SERGIO NASCIMENTO DOS SANTOS</t>
        </is>
      </c>
      <c r="C418" s="5">
        <f>IFERROR(INDEX(DePara[Categoria],MATCH(TEXT(A418,"0"),DePara[Fornecedor_txt],0)),"(sem categoria)")</f>
        <v/>
      </c>
      <c r="D418" s="12">
        <f>SUMIFS(Base[Montante],Base[Fornecedor],$A418&amp;"",Base[Ano],D$4)</f>
        <v/>
      </c>
      <c r="E418" s="12">
        <f>SUMIFS(Base[Montante],Base[Fornecedor],$A418&amp;"",Base[Ano],E$4)</f>
        <v/>
      </c>
      <c r="F418" s="12">
        <f>SUMIFS(Base[Montante],Base[Fornecedor],$A418&amp;"",Base[Ano],F$4)</f>
        <v/>
      </c>
      <c r="G418" s="12">
        <f>SUMIFS(Base[Montante],Base[Fornecedor],$A418&amp;"",Base[Ano],G$4)</f>
        <v/>
      </c>
      <c r="H418" s="12">
        <f>SUMIFS(Base[Montante],Base[Fornecedor],$A418&amp;"",Base[Ano],H$4)</f>
        <v/>
      </c>
      <c r="I418" s="12">
        <f>SUMIFS(Base[Montante],Base[Fornecedor],$A418&amp;"",Base[Ano],I$4)</f>
        <v/>
      </c>
      <c r="J418" s="12">
        <f>SUMIFS(Base[Montante],Base[Fornecedor],$A418&amp;"",Base[Ano],J$4)</f>
        <v/>
      </c>
      <c r="K418" s="12">
        <f>SUM(D418:J418)</f>
        <v/>
      </c>
    </row>
    <row r="419">
      <c r="A419" s="5" t="inlineStr">
        <is>
          <t>EM000607</t>
        </is>
      </c>
      <c r="B419" s="5" t="inlineStr">
        <is>
          <t>MARLON LEMOS ARIM</t>
        </is>
      </c>
      <c r="C419" s="5">
        <f>IFERROR(INDEX(DePara[Categoria],MATCH(TEXT(A419,"0"),DePara[Fornecedor_txt],0)),"(sem categoria)")</f>
        <v/>
      </c>
      <c r="D419" s="12">
        <f>SUMIFS(Base[Montante],Base[Fornecedor],$A419&amp;"",Base[Ano],D$4)</f>
        <v/>
      </c>
      <c r="E419" s="12">
        <f>SUMIFS(Base[Montante],Base[Fornecedor],$A419&amp;"",Base[Ano],E$4)</f>
        <v/>
      </c>
      <c r="F419" s="12">
        <f>SUMIFS(Base[Montante],Base[Fornecedor],$A419&amp;"",Base[Ano],F$4)</f>
        <v/>
      </c>
      <c r="G419" s="12">
        <f>SUMIFS(Base[Montante],Base[Fornecedor],$A419&amp;"",Base[Ano],G$4)</f>
        <v/>
      </c>
      <c r="H419" s="12">
        <f>SUMIFS(Base[Montante],Base[Fornecedor],$A419&amp;"",Base[Ano],H$4)</f>
        <v/>
      </c>
      <c r="I419" s="12">
        <f>SUMIFS(Base[Montante],Base[Fornecedor],$A419&amp;"",Base[Ano],I$4)</f>
        <v/>
      </c>
      <c r="J419" s="12">
        <f>SUMIFS(Base[Montante],Base[Fornecedor],$A419&amp;"",Base[Ano],J$4)</f>
        <v/>
      </c>
      <c r="K419" s="12">
        <f>SUM(D419:J419)</f>
        <v/>
      </c>
    </row>
    <row r="420">
      <c r="A420" s="5" t="inlineStr">
        <is>
          <t>EM000635</t>
        </is>
      </c>
      <c r="B420" s="5" t="inlineStr">
        <is>
          <t>MARLON MICHEL MACHADO RIBEIRO</t>
        </is>
      </c>
      <c r="C420" s="5">
        <f>IFERROR(INDEX(DePara[Categoria],MATCH(TEXT(A420,"0"),DePara[Fornecedor_txt],0)),"(sem categoria)")</f>
        <v/>
      </c>
      <c r="D420" s="12">
        <f>SUMIFS(Base[Montante],Base[Fornecedor],$A420&amp;"",Base[Ano],D$4)</f>
        <v/>
      </c>
      <c r="E420" s="12">
        <f>SUMIFS(Base[Montante],Base[Fornecedor],$A420&amp;"",Base[Ano],E$4)</f>
        <v/>
      </c>
      <c r="F420" s="12">
        <f>SUMIFS(Base[Montante],Base[Fornecedor],$A420&amp;"",Base[Ano],F$4)</f>
        <v/>
      </c>
      <c r="G420" s="12">
        <f>SUMIFS(Base[Montante],Base[Fornecedor],$A420&amp;"",Base[Ano],G$4)</f>
        <v/>
      </c>
      <c r="H420" s="12">
        <f>SUMIFS(Base[Montante],Base[Fornecedor],$A420&amp;"",Base[Ano],H$4)</f>
        <v/>
      </c>
      <c r="I420" s="12">
        <f>SUMIFS(Base[Montante],Base[Fornecedor],$A420&amp;"",Base[Ano],I$4)</f>
        <v/>
      </c>
      <c r="J420" s="12">
        <f>SUMIFS(Base[Montante],Base[Fornecedor],$A420&amp;"",Base[Ano],J$4)</f>
        <v/>
      </c>
      <c r="K420" s="12">
        <f>SUM(D420:J420)</f>
        <v/>
      </c>
    </row>
    <row r="421">
      <c r="A421" s="5" t="inlineStr">
        <is>
          <t>EM000975</t>
        </is>
      </c>
      <c r="B421" s="5" t="inlineStr">
        <is>
          <t>MATEUS DA SILVA CARVALHO</t>
        </is>
      </c>
      <c r="C421" s="5">
        <f>IFERROR(INDEX(DePara[Categoria],MATCH(TEXT(A421,"0"),DePara[Fornecedor_txt],0)),"(sem categoria)")</f>
        <v/>
      </c>
      <c r="D421" s="12">
        <f>SUMIFS(Base[Montante],Base[Fornecedor],$A421&amp;"",Base[Ano],D$4)</f>
        <v/>
      </c>
      <c r="E421" s="12">
        <f>SUMIFS(Base[Montante],Base[Fornecedor],$A421&amp;"",Base[Ano],E$4)</f>
        <v/>
      </c>
      <c r="F421" s="12">
        <f>SUMIFS(Base[Montante],Base[Fornecedor],$A421&amp;"",Base[Ano],F$4)</f>
        <v/>
      </c>
      <c r="G421" s="12">
        <f>SUMIFS(Base[Montante],Base[Fornecedor],$A421&amp;"",Base[Ano],G$4)</f>
        <v/>
      </c>
      <c r="H421" s="12">
        <f>SUMIFS(Base[Montante],Base[Fornecedor],$A421&amp;"",Base[Ano],H$4)</f>
        <v/>
      </c>
      <c r="I421" s="12">
        <f>SUMIFS(Base[Montante],Base[Fornecedor],$A421&amp;"",Base[Ano],I$4)</f>
        <v/>
      </c>
      <c r="J421" s="12">
        <f>SUMIFS(Base[Montante],Base[Fornecedor],$A421&amp;"",Base[Ano],J$4)</f>
        <v/>
      </c>
      <c r="K421" s="12">
        <f>SUM(D421:J421)</f>
        <v/>
      </c>
    </row>
    <row r="422">
      <c r="A422" s="5" t="inlineStr">
        <is>
          <t>EM000981</t>
        </is>
      </c>
      <c r="B422" s="5" t="inlineStr">
        <is>
          <t>MATEUS DOS SANTOS PESSOA</t>
        </is>
      </c>
      <c r="C422" s="5">
        <f>IFERROR(INDEX(DePara[Categoria],MATCH(TEXT(A422,"0"),DePara[Fornecedor_txt],0)),"(sem categoria)")</f>
        <v/>
      </c>
      <c r="D422" s="12">
        <f>SUMIFS(Base[Montante],Base[Fornecedor],$A422&amp;"",Base[Ano],D$4)</f>
        <v/>
      </c>
      <c r="E422" s="12">
        <f>SUMIFS(Base[Montante],Base[Fornecedor],$A422&amp;"",Base[Ano],E$4)</f>
        <v/>
      </c>
      <c r="F422" s="12">
        <f>SUMIFS(Base[Montante],Base[Fornecedor],$A422&amp;"",Base[Ano],F$4)</f>
        <v/>
      </c>
      <c r="G422" s="12">
        <f>SUMIFS(Base[Montante],Base[Fornecedor],$A422&amp;"",Base[Ano],G$4)</f>
        <v/>
      </c>
      <c r="H422" s="12">
        <f>SUMIFS(Base[Montante],Base[Fornecedor],$A422&amp;"",Base[Ano],H$4)</f>
        <v/>
      </c>
      <c r="I422" s="12">
        <f>SUMIFS(Base[Montante],Base[Fornecedor],$A422&amp;"",Base[Ano],I$4)</f>
        <v/>
      </c>
      <c r="J422" s="12">
        <f>SUMIFS(Base[Montante],Base[Fornecedor],$A422&amp;"",Base[Ano],J$4)</f>
        <v/>
      </c>
      <c r="K422" s="12">
        <f>SUM(D422:J422)</f>
        <v/>
      </c>
    </row>
    <row r="423">
      <c r="A423" s="5" t="n">
        <v>102287</v>
      </c>
      <c r="B423" s="5" t="inlineStr">
        <is>
          <t>MAURICIO FREDERICO SIMOES</t>
        </is>
      </c>
      <c r="C423" s="5">
        <f>IFERROR(INDEX(DePara[Categoria],MATCH(TEXT(A423,"0"),DePara[Fornecedor_txt],0)),"(sem categoria)")</f>
        <v/>
      </c>
      <c r="D423" s="12">
        <f>SUMIFS(Base[Montante],Base[Fornecedor],$A423&amp;"",Base[Ano],D$4)</f>
        <v/>
      </c>
      <c r="E423" s="12">
        <f>SUMIFS(Base[Montante],Base[Fornecedor],$A423&amp;"",Base[Ano],E$4)</f>
        <v/>
      </c>
      <c r="F423" s="12">
        <f>SUMIFS(Base[Montante],Base[Fornecedor],$A423&amp;"",Base[Ano],F$4)</f>
        <v/>
      </c>
      <c r="G423" s="12">
        <f>SUMIFS(Base[Montante],Base[Fornecedor],$A423&amp;"",Base[Ano],G$4)</f>
        <v/>
      </c>
      <c r="H423" s="12">
        <f>SUMIFS(Base[Montante],Base[Fornecedor],$A423&amp;"",Base[Ano],H$4)</f>
        <v/>
      </c>
      <c r="I423" s="12">
        <f>SUMIFS(Base[Montante],Base[Fornecedor],$A423&amp;"",Base[Ano],I$4)</f>
        <v/>
      </c>
      <c r="J423" s="12">
        <f>SUMIFS(Base[Montante],Base[Fornecedor],$A423&amp;"",Base[Ano],J$4)</f>
        <v/>
      </c>
      <c r="K423" s="12">
        <f>SUM(D423:J423)</f>
        <v/>
      </c>
    </row>
    <row r="424">
      <c r="A424" s="5" t="inlineStr">
        <is>
          <t>EM000056</t>
        </is>
      </c>
      <c r="B424" s="5" t="inlineStr">
        <is>
          <t>MAYCON ALVES DE OLIVEIRA</t>
        </is>
      </c>
      <c r="C424" s="5">
        <f>IFERROR(INDEX(DePara[Categoria],MATCH(TEXT(A424,"0"),DePara[Fornecedor_txt],0)),"(sem categoria)")</f>
        <v/>
      </c>
      <c r="D424" s="12">
        <f>SUMIFS(Base[Montante],Base[Fornecedor],$A424&amp;"",Base[Ano],D$4)</f>
        <v/>
      </c>
      <c r="E424" s="12">
        <f>SUMIFS(Base[Montante],Base[Fornecedor],$A424&amp;"",Base[Ano],E$4)</f>
        <v/>
      </c>
      <c r="F424" s="12">
        <f>SUMIFS(Base[Montante],Base[Fornecedor],$A424&amp;"",Base[Ano],F$4)</f>
        <v/>
      </c>
      <c r="G424" s="12">
        <f>SUMIFS(Base[Montante],Base[Fornecedor],$A424&amp;"",Base[Ano],G$4)</f>
        <v/>
      </c>
      <c r="H424" s="12">
        <f>SUMIFS(Base[Montante],Base[Fornecedor],$A424&amp;"",Base[Ano],H$4)</f>
        <v/>
      </c>
      <c r="I424" s="12">
        <f>SUMIFS(Base[Montante],Base[Fornecedor],$A424&amp;"",Base[Ano],I$4)</f>
        <v/>
      </c>
      <c r="J424" s="12">
        <f>SUMIFS(Base[Montante],Base[Fornecedor],$A424&amp;"",Base[Ano],J$4)</f>
        <v/>
      </c>
      <c r="K424" s="12">
        <f>SUM(D424:J424)</f>
        <v/>
      </c>
    </row>
    <row r="425">
      <c r="A425" s="5" t="n">
        <v>104018</v>
      </c>
      <c r="B425" s="5" t="inlineStr">
        <is>
          <t>MC CONSULTORIA E SERVICOES LTDA</t>
        </is>
      </c>
      <c r="C425" s="5">
        <f>IFERROR(INDEX(DePara[Categoria],MATCH(TEXT(A425,"0"),DePara[Fornecedor_txt],0)),"(sem categoria)")</f>
        <v/>
      </c>
      <c r="D425" s="12">
        <f>SUMIFS(Base[Montante],Base[Fornecedor],$A425&amp;"",Base[Ano],D$4)</f>
        <v/>
      </c>
      <c r="E425" s="12">
        <f>SUMIFS(Base[Montante],Base[Fornecedor],$A425&amp;"",Base[Ano],E$4)</f>
        <v/>
      </c>
      <c r="F425" s="12">
        <f>SUMIFS(Base[Montante],Base[Fornecedor],$A425&amp;"",Base[Ano],F$4)</f>
        <v/>
      </c>
      <c r="G425" s="12">
        <f>SUMIFS(Base[Montante],Base[Fornecedor],$A425&amp;"",Base[Ano],G$4)</f>
        <v/>
      </c>
      <c r="H425" s="12">
        <f>SUMIFS(Base[Montante],Base[Fornecedor],$A425&amp;"",Base[Ano],H$4)</f>
        <v/>
      </c>
      <c r="I425" s="12">
        <f>SUMIFS(Base[Montante],Base[Fornecedor],$A425&amp;"",Base[Ano],I$4)</f>
        <v/>
      </c>
      <c r="J425" s="12">
        <f>SUMIFS(Base[Montante],Base[Fornecedor],$A425&amp;"",Base[Ano],J$4)</f>
        <v/>
      </c>
      <c r="K425" s="12">
        <f>SUM(D425:J425)</f>
        <v/>
      </c>
    </row>
    <row r="426">
      <c r="A426" s="5" t="n">
        <v>101204</v>
      </c>
      <c r="B426" s="5" t="inlineStr">
        <is>
          <t>MCADOFFICES COMERCIO DE MOVEIS E MA</t>
        </is>
      </c>
      <c r="C426" s="5">
        <f>IFERROR(INDEX(DePara[Categoria],MATCH(TEXT(A426,"0"),DePara[Fornecedor_txt],0)),"(sem categoria)")</f>
        <v/>
      </c>
      <c r="D426" s="12">
        <f>SUMIFS(Base[Montante],Base[Fornecedor],$A426&amp;"",Base[Ano],D$4)</f>
        <v/>
      </c>
      <c r="E426" s="12">
        <f>SUMIFS(Base[Montante],Base[Fornecedor],$A426&amp;"",Base[Ano],E$4)</f>
        <v/>
      </c>
      <c r="F426" s="12">
        <f>SUMIFS(Base[Montante],Base[Fornecedor],$A426&amp;"",Base[Ano],F$4)</f>
        <v/>
      </c>
      <c r="G426" s="12">
        <f>SUMIFS(Base[Montante],Base[Fornecedor],$A426&amp;"",Base[Ano],G$4)</f>
        <v/>
      </c>
      <c r="H426" s="12">
        <f>SUMIFS(Base[Montante],Base[Fornecedor],$A426&amp;"",Base[Ano],H$4)</f>
        <v/>
      </c>
      <c r="I426" s="12">
        <f>SUMIFS(Base[Montante],Base[Fornecedor],$A426&amp;"",Base[Ano],I$4)</f>
        <v/>
      </c>
      <c r="J426" s="12">
        <f>SUMIFS(Base[Montante],Base[Fornecedor],$A426&amp;"",Base[Ano],J$4)</f>
        <v/>
      </c>
      <c r="K426" s="12">
        <f>SUM(D426:J426)</f>
        <v/>
      </c>
    </row>
    <row r="427">
      <c r="A427" s="5" t="n">
        <v>101420</v>
      </c>
      <c r="B427" s="5" t="inlineStr">
        <is>
          <t>MEDEIROS GALVAO SOLUÇÕES LTDA</t>
        </is>
      </c>
      <c r="C427" s="5">
        <f>IFERROR(INDEX(DePara[Categoria],MATCH(TEXT(A427,"0"),DePara[Fornecedor_txt],0)),"(sem categoria)")</f>
        <v/>
      </c>
      <c r="D427" s="12">
        <f>SUMIFS(Base[Montante],Base[Fornecedor],$A427&amp;"",Base[Ano],D$4)</f>
        <v/>
      </c>
      <c r="E427" s="12">
        <f>SUMIFS(Base[Montante],Base[Fornecedor],$A427&amp;"",Base[Ano],E$4)</f>
        <v/>
      </c>
      <c r="F427" s="12">
        <f>SUMIFS(Base[Montante],Base[Fornecedor],$A427&amp;"",Base[Ano],F$4)</f>
        <v/>
      </c>
      <c r="G427" s="12">
        <f>SUMIFS(Base[Montante],Base[Fornecedor],$A427&amp;"",Base[Ano],G$4)</f>
        <v/>
      </c>
      <c r="H427" s="12">
        <f>SUMIFS(Base[Montante],Base[Fornecedor],$A427&amp;"",Base[Ano],H$4)</f>
        <v/>
      </c>
      <c r="I427" s="12">
        <f>SUMIFS(Base[Montante],Base[Fornecedor],$A427&amp;"",Base[Ano],I$4)</f>
        <v/>
      </c>
      <c r="J427" s="12">
        <f>SUMIFS(Base[Montante],Base[Fornecedor],$A427&amp;"",Base[Ano],J$4)</f>
        <v/>
      </c>
      <c r="K427" s="12">
        <f>SUM(D427:J427)</f>
        <v/>
      </c>
    </row>
    <row r="428">
      <c r="A428" s="5" t="n">
        <v>101052</v>
      </c>
      <c r="B428" s="5" t="inlineStr">
        <is>
          <t>MEGALIFT LOCACAO E TRANSP INTERM LT</t>
        </is>
      </c>
      <c r="C428" s="5">
        <f>IFERROR(INDEX(DePara[Categoria],MATCH(TEXT(A428,"0"),DePara[Fornecedor_txt],0)),"(sem categoria)")</f>
        <v/>
      </c>
      <c r="D428" s="12">
        <f>SUMIFS(Base[Montante],Base[Fornecedor],$A428&amp;"",Base[Ano],D$4)</f>
        <v/>
      </c>
      <c r="E428" s="12">
        <f>SUMIFS(Base[Montante],Base[Fornecedor],$A428&amp;"",Base[Ano],E$4)</f>
        <v/>
      </c>
      <c r="F428" s="12">
        <f>SUMIFS(Base[Montante],Base[Fornecedor],$A428&amp;"",Base[Ano],F$4)</f>
        <v/>
      </c>
      <c r="G428" s="12">
        <f>SUMIFS(Base[Montante],Base[Fornecedor],$A428&amp;"",Base[Ano],G$4)</f>
        <v/>
      </c>
      <c r="H428" s="12">
        <f>SUMIFS(Base[Montante],Base[Fornecedor],$A428&amp;"",Base[Ano],H$4)</f>
        <v/>
      </c>
      <c r="I428" s="12">
        <f>SUMIFS(Base[Montante],Base[Fornecedor],$A428&amp;"",Base[Ano],I$4)</f>
        <v/>
      </c>
      <c r="J428" s="12">
        <f>SUMIFS(Base[Montante],Base[Fornecedor],$A428&amp;"",Base[Ano],J$4)</f>
        <v/>
      </c>
      <c r="K428" s="12">
        <f>SUM(D428:J428)</f>
        <v/>
      </c>
    </row>
    <row r="429">
      <c r="A429" s="5" t="n">
        <v>100031</v>
      </c>
      <c r="B429" s="5" t="inlineStr">
        <is>
          <t>MEGAWIND INDUSTRIA E COMERCIO</t>
        </is>
      </c>
      <c r="C429" s="5">
        <f>IFERROR(INDEX(DePara[Categoria],MATCH(TEXT(A429,"0"),DePara[Fornecedor_txt],0)),"(sem categoria)")</f>
        <v/>
      </c>
      <c r="D429" s="12">
        <f>SUMIFS(Base[Montante],Base[Fornecedor],$A429&amp;"",Base[Ano],D$4)</f>
        <v/>
      </c>
      <c r="E429" s="12">
        <f>SUMIFS(Base[Montante],Base[Fornecedor],$A429&amp;"",Base[Ano],E$4)</f>
        <v/>
      </c>
      <c r="F429" s="12">
        <f>SUMIFS(Base[Montante],Base[Fornecedor],$A429&amp;"",Base[Ano],F$4)</f>
        <v/>
      </c>
      <c r="G429" s="12">
        <f>SUMIFS(Base[Montante],Base[Fornecedor],$A429&amp;"",Base[Ano],G$4)</f>
        <v/>
      </c>
      <c r="H429" s="12">
        <f>SUMIFS(Base[Montante],Base[Fornecedor],$A429&amp;"",Base[Ano],H$4)</f>
        <v/>
      </c>
      <c r="I429" s="12">
        <f>SUMIFS(Base[Montante],Base[Fornecedor],$A429&amp;"",Base[Ano],I$4)</f>
        <v/>
      </c>
      <c r="J429" s="12">
        <f>SUMIFS(Base[Montante],Base[Fornecedor],$A429&amp;"",Base[Ano],J$4)</f>
        <v/>
      </c>
      <c r="K429" s="12">
        <f>SUM(D429:J429)</f>
        <v/>
      </c>
    </row>
    <row r="430">
      <c r="A430" s="5" t="n">
        <v>102339</v>
      </c>
      <c r="B430" s="5" t="inlineStr">
        <is>
          <t>MELO E BARRETO CLINICA MEDICA LTDA</t>
        </is>
      </c>
      <c r="C430" s="5">
        <f>IFERROR(INDEX(DePara[Categoria],MATCH(TEXT(A430,"0"),DePara[Fornecedor_txt],0)),"(sem categoria)")</f>
        <v/>
      </c>
      <c r="D430" s="12">
        <f>SUMIFS(Base[Montante],Base[Fornecedor],$A430&amp;"",Base[Ano],D$4)</f>
        <v/>
      </c>
      <c r="E430" s="12">
        <f>SUMIFS(Base[Montante],Base[Fornecedor],$A430&amp;"",Base[Ano],E$4)</f>
        <v/>
      </c>
      <c r="F430" s="12">
        <f>SUMIFS(Base[Montante],Base[Fornecedor],$A430&amp;"",Base[Ano],F$4)</f>
        <v/>
      </c>
      <c r="G430" s="12">
        <f>SUMIFS(Base[Montante],Base[Fornecedor],$A430&amp;"",Base[Ano],G$4)</f>
        <v/>
      </c>
      <c r="H430" s="12">
        <f>SUMIFS(Base[Montante],Base[Fornecedor],$A430&amp;"",Base[Ano],H$4)</f>
        <v/>
      </c>
      <c r="I430" s="12">
        <f>SUMIFS(Base[Montante],Base[Fornecedor],$A430&amp;"",Base[Ano],I$4)</f>
        <v/>
      </c>
      <c r="J430" s="12">
        <f>SUMIFS(Base[Montante],Base[Fornecedor],$A430&amp;"",Base[Ano],J$4)</f>
        <v/>
      </c>
      <c r="K430" s="12">
        <f>SUM(D430:J430)</f>
        <v/>
      </c>
    </row>
    <row r="431">
      <c r="A431" s="5" t="n">
        <v>101751</v>
      </c>
      <c r="B431" s="5" t="inlineStr">
        <is>
          <t>METLIFE PLANOS ODONTOLOGICOS LTDA</t>
        </is>
      </c>
      <c r="C431" s="5">
        <f>IFERROR(INDEX(DePara[Categoria],MATCH(TEXT(A431,"0"),DePara[Fornecedor_txt],0)),"(sem categoria)")</f>
        <v/>
      </c>
      <c r="D431" s="12">
        <f>SUMIFS(Base[Montante],Base[Fornecedor],$A431&amp;"",Base[Ano],D$4)</f>
        <v/>
      </c>
      <c r="E431" s="12">
        <f>SUMIFS(Base[Montante],Base[Fornecedor],$A431&amp;"",Base[Ano],E$4)</f>
        <v/>
      </c>
      <c r="F431" s="12">
        <f>SUMIFS(Base[Montante],Base[Fornecedor],$A431&amp;"",Base[Ano],F$4)</f>
        <v/>
      </c>
      <c r="G431" s="12">
        <f>SUMIFS(Base[Montante],Base[Fornecedor],$A431&amp;"",Base[Ano],G$4)</f>
        <v/>
      </c>
      <c r="H431" s="12">
        <f>SUMIFS(Base[Montante],Base[Fornecedor],$A431&amp;"",Base[Ano],H$4)</f>
        <v/>
      </c>
      <c r="I431" s="12">
        <f>SUMIFS(Base[Montante],Base[Fornecedor],$A431&amp;"",Base[Ano],I$4)</f>
        <v/>
      </c>
      <c r="J431" s="12">
        <f>SUMIFS(Base[Montante],Base[Fornecedor],$A431&amp;"",Base[Ano],J$4)</f>
        <v/>
      </c>
      <c r="K431" s="12">
        <f>SUM(D431:J431)</f>
        <v/>
      </c>
    </row>
    <row r="432">
      <c r="A432" s="5" t="n">
        <v>104059</v>
      </c>
      <c r="B432" s="5" t="inlineStr">
        <is>
          <t>MG SERVICOS E SAUDE LTDA 48515732000140</t>
        </is>
      </c>
      <c r="C432" s="5">
        <f>IFERROR(INDEX(DePara[Categoria],MATCH(TEXT(A432,"0"),DePara[Fornecedor_txt],0)),"(sem categoria)")</f>
        <v/>
      </c>
      <c r="D432" s="12">
        <f>SUMIFS(Base[Montante],Base[Fornecedor],$A432&amp;"",Base[Ano],D$4)</f>
        <v/>
      </c>
      <c r="E432" s="12">
        <f>SUMIFS(Base[Montante],Base[Fornecedor],$A432&amp;"",Base[Ano],E$4)</f>
        <v/>
      </c>
      <c r="F432" s="12">
        <f>SUMIFS(Base[Montante],Base[Fornecedor],$A432&amp;"",Base[Ano],F$4)</f>
        <v/>
      </c>
      <c r="G432" s="12">
        <f>SUMIFS(Base[Montante],Base[Fornecedor],$A432&amp;"",Base[Ano],G$4)</f>
        <v/>
      </c>
      <c r="H432" s="12">
        <f>SUMIFS(Base[Montante],Base[Fornecedor],$A432&amp;"",Base[Ano],H$4)</f>
        <v/>
      </c>
      <c r="I432" s="12">
        <f>SUMIFS(Base[Montante],Base[Fornecedor],$A432&amp;"",Base[Ano],I$4)</f>
        <v/>
      </c>
      <c r="J432" s="12">
        <f>SUMIFS(Base[Montante],Base[Fornecedor],$A432&amp;"",Base[Ano],J$4)</f>
        <v/>
      </c>
      <c r="K432" s="12">
        <f>SUM(D432:J432)</f>
        <v/>
      </c>
    </row>
    <row r="433">
      <c r="A433" s="5" t="n">
        <v>101887</v>
      </c>
      <c r="B433" s="5" t="inlineStr">
        <is>
          <t>MGO DE FREITAS</t>
        </is>
      </c>
      <c r="C433" s="5">
        <f>IFERROR(INDEX(DePara[Categoria],MATCH(TEXT(A433,"0"),DePara[Fornecedor_txt],0)),"(sem categoria)")</f>
        <v/>
      </c>
      <c r="D433" s="12">
        <f>SUMIFS(Base[Montante],Base[Fornecedor],$A433&amp;"",Base[Ano],D$4)</f>
        <v/>
      </c>
      <c r="E433" s="12">
        <f>SUMIFS(Base[Montante],Base[Fornecedor],$A433&amp;"",Base[Ano],E$4)</f>
        <v/>
      </c>
      <c r="F433" s="12">
        <f>SUMIFS(Base[Montante],Base[Fornecedor],$A433&amp;"",Base[Ano],F$4)</f>
        <v/>
      </c>
      <c r="G433" s="12">
        <f>SUMIFS(Base[Montante],Base[Fornecedor],$A433&amp;"",Base[Ano],G$4)</f>
        <v/>
      </c>
      <c r="H433" s="12">
        <f>SUMIFS(Base[Montante],Base[Fornecedor],$A433&amp;"",Base[Ano],H$4)</f>
        <v/>
      </c>
      <c r="I433" s="12">
        <f>SUMIFS(Base[Montante],Base[Fornecedor],$A433&amp;"",Base[Ano],I$4)</f>
        <v/>
      </c>
      <c r="J433" s="12">
        <f>SUMIFS(Base[Montante],Base[Fornecedor],$A433&amp;"",Base[Ano],J$4)</f>
        <v/>
      </c>
      <c r="K433" s="12">
        <f>SUM(D433:J433)</f>
        <v/>
      </c>
    </row>
    <row r="434">
      <c r="A434" s="5" t="inlineStr">
        <is>
          <t>EM000976</t>
        </is>
      </c>
      <c r="B434" s="5" t="inlineStr">
        <is>
          <t>MICHEL EDWIN ZAMBRANA GUEVARA</t>
        </is>
      </c>
      <c r="C434" s="5">
        <f>IFERROR(INDEX(DePara[Categoria],MATCH(TEXT(A434,"0"),DePara[Fornecedor_txt],0)),"(sem categoria)")</f>
        <v/>
      </c>
      <c r="D434" s="12">
        <f>SUMIFS(Base[Montante],Base[Fornecedor],$A434&amp;"",Base[Ano],D$4)</f>
        <v/>
      </c>
      <c r="E434" s="12">
        <f>SUMIFS(Base[Montante],Base[Fornecedor],$A434&amp;"",Base[Ano],E$4)</f>
        <v/>
      </c>
      <c r="F434" s="12">
        <f>SUMIFS(Base[Montante],Base[Fornecedor],$A434&amp;"",Base[Ano],F$4)</f>
        <v/>
      </c>
      <c r="G434" s="12">
        <f>SUMIFS(Base[Montante],Base[Fornecedor],$A434&amp;"",Base[Ano],G$4)</f>
        <v/>
      </c>
      <c r="H434" s="12">
        <f>SUMIFS(Base[Montante],Base[Fornecedor],$A434&amp;"",Base[Ano],H$4)</f>
        <v/>
      </c>
      <c r="I434" s="12">
        <f>SUMIFS(Base[Montante],Base[Fornecedor],$A434&amp;"",Base[Ano],I$4)</f>
        <v/>
      </c>
      <c r="J434" s="12">
        <f>SUMIFS(Base[Montante],Base[Fornecedor],$A434&amp;"",Base[Ano],J$4)</f>
        <v/>
      </c>
      <c r="K434" s="12">
        <f>SUM(D434:J434)</f>
        <v/>
      </c>
    </row>
    <row r="435">
      <c r="A435" s="5" t="n">
        <v>102094</v>
      </c>
      <c r="B435" s="5" t="inlineStr">
        <is>
          <t>MILLS LOCACAO SERVICOS E LOGISTICA</t>
        </is>
      </c>
      <c r="C435" s="5">
        <f>IFERROR(INDEX(DePara[Categoria],MATCH(TEXT(A435,"0"),DePara[Fornecedor_txt],0)),"(sem categoria)")</f>
        <v/>
      </c>
      <c r="D435" s="12">
        <f>SUMIFS(Base[Montante],Base[Fornecedor],$A435&amp;"",Base[Ano],D$4)</f>
        <v/>
      </c>
      <c r="E435" s="12">
        <f>SUMIFS(Base[Montante],Base[Fornecedor],$A435&amp;"",Base[Ano],E$4)</f>
        <v/>
      </c>
      <c r="F435" s="12">
        <f>SUMIFS(Base[Montante],Base[Fornecedor],$A435&amp;"",Base[Ano],F$4)</f>
        <v/>
      </c>
      <c r="G435" s="12">
        <f>SUMIFS(Base[Montante],Base[Fornecedor],$A435&amp;"",Base[Ano],G$4)</f>
        <v/>
      </c>
      <c r="H435" s="12">
        <f>SUMIFS(Base[Montante],Base[Fornecedor],$A435&amp;"",Base[Ano],H$4)</f>
        <v/>
      </c>
      <c r="I435" s="12">
        <f>SUMIFS(Base[Montante],Base[Fornecedor],$A435&amp;"",Base[Ano],I$4)</f>
        <v/>
      </c>
      <c r="J435" s="12">
        <f>SUMIFS(Base[Montante],Base[Fornecedor],$A435&amp;"",Base[Ano],J$4)</f>
        <v/>
      </c>
      <c r="K435" s="12">
        <f>SUM(D435:J435)</f>
        <v/>
      </c>
    </row>
    <row r="436">
      <c r="A436" s="5" t="n">
        <v>100585</v>
      </c>
      <c r="B436" s="5" t="inlineStr">
        <is>
          <t>MM ENERGIA CONSTRUCOES E MANUTENCOE</t>
        </is>
      </c>
      <c r="C436" s="5">
        <f>IFERROR(INDEX(DePara[Categoria],MATCH(TEXT(A436,"0"),DePara[Fornecedor_txt],0)),"(sem categoria)")</f>
        <v/>
      </c>
      <c r="D436" s="12">
        <f>SUMIFS(Base[Montante],Base[Fornecedor],$A436&amp;"",Base[Ano],D$4)</f>
        <v/>
      </c>
      <c r="E436" s="12">
        <f>SUMIFS(Base[Montante],Base[Fornecedor],$A436&amp;"",Base[Ano],E$4)</f>
        <v/>
      </c>
      <c r="F436" s="12">
        <f>SUMIFS(Base[Montante],Base[Fornecedor],$A436&amp;"",Base[Ano],F$4)</f>
        <v/>
      </c>
      <c r="G436" s="12">
        <f>SUMIFS(Base[Montante],Base[Fornecedor],$A436&amp;"",Base[Ano],G$4)</f>
        <v/>
      </c>
      <c r="H436" s="12">
        <f>SUMIFS(Base[Montante],Base[Fornecedor],$A436&amp;"",Base[Ano],H$4)</f>
        <v/>
      </c>
      <c r="I436" s="12">
        <f>SUMIFS(Base[Montante],Base[Fornecedor],$A436&amp;"",Base[Ano],I$4)</f>
        <v/>
      </c>
      <c r="J436" s="12">
        <f>SUMIFS(Base[Montante],Base[Fornecedor],$A436&amp;"",Base[Ano],J$4)</f>
        <v/>
      </c>
      <c r="K436" s="12">
        <f>SUM(D436:J436)</f>
        <v/>
      </c>
    </row>
    <row r="437">
      <c r="A437" s="5" t="n">
        <v>100812</v>
      </c>
      <c r="B437" s="5" t="inlineStr">
        <is>
          <t>MODULAR TRANSPORTES LTDA</t>
        </is>
      </c>
      <c r="C437" s="5">
        <f>IFERROR(INDEX(DePara[Categoria],MATCH(TEXT(A437,"0"),DePara[Fornecedor_txt],0)),"(sem categoria)")</f>
        <v/>
      </c>
      <c r="D437" s="12">
        <f>SUMIFS(Base[Montante],Base[Fornecedor],$A437&amp;"",Base[Ano],D$4)</f>
        <v/>
      </c>
      <c r="E437" s="12">
        <f>SUMIFS(Base[Montante],Base[Fornecedor],$A437&amp;"",Base[Ano],E$4)</f>
        <v/>
      </c>
      <c r="F437" s="12">
        <f>SUMIFS(Base[Montante],Base[Fornecedor],$A437&amp;"",Base[Ano],F$4)</f>
        <v/>
      </c>
      <c r="G437" s="12">
        <f>SUMIFS(Base[Montante],Base[Fornecedor],$A437&amp;"",Base[Ano],G$4)</f>
        <v/>
      </c>
      <c r="H437" s="12">
        <f>SUMIFS(Base[Montante],Base[Fornecedor],$A437&amp;"",Base[Ano],H$4)</f>
        <v/>
      </c>
      <c r="I437" s="12">
        <f>SUMIFS(Base[Montante],Base[Fornecedor],$A437&amp;"",Base[Ano],I$4)</f>
        <v/>
      </c>
      <c r="J437" s="12">
        <f>SUMIFS(Base[Montante],Base[Fornecedor],$A437&amp;"",Base[Ano],J$4)</f>
        <v/>
      </c>
      <c r="K437" s="12">
        <f>SUM(D437:J437)</f>
        <v/>
      </c>
    </row>
    <row r="438">
      <c r="A438" s="5" t="inlineStr">
        <is>
          <t>EM000076</t>
        </is>
      </c>
      <c r="B438" s="5" t="inlineStr">
        <is>
          <t>MOISES MELO DOS SANTOS</t>
        </is>
      </c>
      <c r="C438" s="5">
        <f>IFERROR(INDEX(DePara[Categoria],MATCH(TEXT(A438,"0"),DePara[Fornecedor_txt],0)),"(sem categoria)")</f>
        <v/>
      </c>
      <c r="D438" s="12">
        <f>SUMIFS(Base[Montante],Base[Fornecedor],$A438&amp;"",Base[Ano],D$4)</f>
        <v/>
      </c>
      <c r="E438" s="12">
        <f>SUMIFS(Base[Montante],Base[Fornecedor],$A438&amp;"",Base[Ano],E$4)</f>
        <v/>
      </c>
      <c r="F438" s="12">
        <f>SUMIFS(Base[Montante],Base[Fornecedor],$A438&amp;"",Base[Ano],F$4)</f>
        <v/>
      </c>
      <c r="G438" s="12">
        <f>SUMIFS(Base[Montante],Base[Fornecedor],$A438&amp;"",Base[Ano],G$4)</f>
        <v/>
      </c>
      <c r="H438" s="12">
        <f>SUMIFS(Base[Montante],Base[Fornecedor],$A438&amp;"",Base[Ano],H$4)</f>
        <v/>
      </c>
      <c r="I438" s="12">
        <f>SUMIFS(Base[Montante],Base[Fornecedor],$A438&amp;"",Base[Ano],I$4)</f>
        <v/>
      </c>
      <c r="J438" s="12">
        <f>SUMIFS(Base[Montante],Base[Fornecedor],$A438&amp;"",Base[Ano],J$4)</f>
        <v/>
      </c>
      <c r="K438" s="12">
        <f>SUM(D438:J438)</f>
        <v/>
      </c>
    </row>
    <row r="439">
      <c r="A439" s="5" t="n">
        <v>103927</v>
      </c>
      <c r="B439" s="5" t="inlineStr">
        <is>
          <t>MOVIDA PARTICIPACOES</t>
        </is>
      </c>
      <c r="C439" s="5">
        <f>IFERROR(INDEX(DePara[Categoria],MATCH(TEXT(A439,"0"),DePara[Fornecedor_txt],0)),"(sem categoria)")</f>
        <v/>
      </c>
      <c r="D439" s="12">
        <f>SUMIFS(Base[Montante],Base[Fornecedor],$A439&amp;"",Base[Ano],D$4)</f>
        <v/>
      </c>
      <c r="E439" s="12">
        <f>SUMIFS(Base[Montante],Base[Fornecedor],$A439&amp;"",Base[Ano],E$4)</f>
        <v/>
      </c>
      <c r="F439" s="12">
        <f>SUMIFS(Base[Montante],Base[Fornecedor],$A439&amp;"",Base[Ano],F$4)</f>
        <v/>
      </c>
      <c r="G439" s="12">
        <f>SUMIFS(Base[Montante],Base[Fornecedor],$A439&amp;"",Base[Ano],G$4)</f>
        <v/>
      </c>
      <c r="H439" s="12">
        <f>SUMIFS(Base[Montante],Base[Fornecedor],$A439&amp;"",Base[Ano],H$4)</f>
        <v/>
      </c>
      <c r="I439" s="12">
        <f>SUMIFS(Base[Montante],Base[Fornecedor],$A439&amp;"",Base[Ano],I$4)</f>
        <v/>
      </c>
      <c r="J439" s="12">
        <f>SUMIFS(Base[Montante],Base[Fornecedor],$A439&amp;"",Base[Ano],J$4)</f>
        <v/>
      </c>
      <c r="K439" s="12">
        <f>SUM(D439:J439)</f>
        <v/>
      </c>
    </row>
    <row r="440">
      <c r="A440" s="5" t="n">
        <v>101360</v>
      </c>
      <c r="B440" s="5" t="inlineStr">
        <is>
          <t>MULTILOG SUL ARMAZENS GERAIS LTDA</t>
        </is>
      </c>
      <c r="C440" s="5">
        <f>IFERROR(INDEX(DePara[Categoria],MATCH(TEXT(A440,"0"),DePara[Fornecedor_txt],0)),"(sem categoria)")</f>
        <v/>
      </c>
      <c r="D440" s="12">
        <f>SUMIFS(Base[Montante],Base[Fornecedor],$A440&amp;"",Base[Ano],D$4)</f>
        <v/>
      </c>
      <c r="E440" s="12">
        <f>SUMIFS(Base[Montante],Base[Fornecedor],$A440&amp;"",Base[Ano],E$4)</f>
        <v/>
      </c>
      <c r="F440" s="12">
        <f>SUMIFS(Base[Montante],Base[Fornecedor],$A440&amp;"",Base[Ano],F$4)</f>
        <v/>
      </c>
      <c r="G440" s="12">
        <f>SUMIFS(Base[Montante],Base[Fornecedor],$A440&amp;"",Base[Ano],G$4)</f>
        <v/>
      </c>
      <c r="H440" s="12">
        <f>SUMIFS(Base[Montante],Base[Fornecedor],$A440&amp;"",Base[Ano],H$4)</f>
        <v/>
      </c>
      <c r="I440" s="12">
        <f>SUMIFS(Base[Montante],Base[Fornecedor],$A440&amp;"",Base[Ano],I$4)</f>
        <v/>
      </c>
      <c r="J440" s="12">
        <f>SUMIFS(Base[Montante],Base[Fornecedor],$A440&amp;"",Base[Ano],J$4)</f>
        <v/>
      </c>
      <c r="K440" s="12">
        <f>SUM(D440:J440)</f>
        <v/>
      </c>
    </row>
    <row r="441">
      <c r="A441" s="5" t="n">
        <v>100973</v>
      </c>
      <c r="B441" s="5" t="inlineStr">
        <is>
          <t>MUNGI ENGINEERS PVT LTD</t>
        </is>
      </c>
      <c r="C441" s="5">
        <f>IFERROR(INDEX(DePara[Categoria],MATCH(TEXT(A441,"0"),DePara[Fornecedor_txt],0)),"(sem categoria)")</f>
        <v/>
      </c>
      <c r="D441" s="12">
        <f>SUMIFS(Base[Montante],Base[Fornecedor],$A441&amp;"",Base[Ano],D$4)</f>
        <v/>
      </c>
      <c r="E441" s="12">
        <f>SUMIFS(Base[Montante],Base[Fornecedor],$A441&amp;"",Base[Ano],E$4)</f>
        <v/>
      </c>
      <c r="F441" s="12">
        <f>SUMIFS(Base[Montante],Base[Fornecedor],$A441&amp;"",Base[Ano],F$4)</f>
        <v/>
      </c>
      <c r="G441" s="12">
        <f>SUMIFS(Base[Montante],Base[Fornecedor],$A441&amp;"",Base[Ano],G$4)</f>
        <v/>
      </c>
      <c r="H441" s="12">
        <f>SUMIFS(Base[Montante],Base[Fornecedor],$A441&amp;"",Base[Ano],H$4)</f>
        <v/>
      </c>
      <c r="I441" s="12">
        <f>SUMIFS(Base[Montante],Base[Fornecedor],$A441&amp;"",Base[Ano],I$4)</f>
        <v/>
      </c>
      <c r="J441" s="12">
        <f>SUMIFS(Base[Montante],Base[Fornecedor],$A441&amp;"",Base[Ano],J$4)</f>
        <v/>
      </c>
      <c r="K441" s="12">
        <f>SUM(D441:J441)</f>
        <v/>
      </c>
    </row>
    <row r="442">
      <c r="A442" s="5" t="n">
        <v>101918</v>
      </c>
      <c r="B442" s="5" t="inlineStr">
        <is>
          <t>MUNICIPIO DE AREIA BRANCA</t>
        </is>
      </c>
      <c r="C442" s="5">
        <f>IFERROR(INDEX(DePara[Categoria],MATCH(TEXT(A442,"0"),DePara[Fornecedor_txt],0)),"(sem categoria)")</f>
        <v/>
      </c>
      <c r="D442" s="12">
        <f>SUMIFS(Base[Montante],Base[Fornecedor],$A442&amp;"",Base[Ano],D$4)</f>
        <v/>
      </c>
      <c r="E442" s="12">
        <f>SUMIFS(Base[Montante],Base[Fornecedor],$A442&amp;"",Base[Ano],E$4)</f>
        <v/>
      </c>
      <c r="F442" s="12">
        <f>SUMIFS(Base[Montante],Base[Fornecedor],$A442&amp;"",Base[Ano],F$4)</f>
        <v/>
      </c>
      <c r="G442" s="12">
        <f>SUMIFS(Base[Montante],Base[Fornecedor],$A442&amp;"",Base[Ano],G$4)</f>
        <v/>
      </c>
      <c r="H442" s="12">
        <f>SUMIFS(Base[Montante],Base[Fornecedor],$A442&amp;"",Base[Ano],H$4)</f>
        <v/>
      </c>
      <c r="I442" s="12">
        <f>SUMIFS(Base[Montante],Base[Fornecedor],$A442&amp;"",Base[Ano],I$4)</f>
        <v/>
      </c>
      <c r="J442" s="12">
        <f>SUMIFS(Base[Montante],Base[Fornecedor],$A442&amp;"",Base[Ano],J$4)</f>
        <v/>
      </c>
      <c r="K442" s="12">
        <f>SUM(D442:J442)</f>
        <v/>
      </c>
    </row>
    <row r="443">
      <c r="A443" s="5" t="n">
        <v>103689</v>
      </c>
      <c r="B443" s="5" t="inlineStr">
        <is>
          <t>MUNICIPIO DE BROTAS DE MACAUBAS</t>
        </is>
      </c>
      <c r="C443" s="5">
        <f>IFERROR(INDEX(DePara[Categoria],MATCH(TEXT(A443,"0"),DePara[Fornecedor_txt],0)),"(sem categoria)")</f>
        <v/>
      </c>
      <c r="D443" s="12">
        <f>SUMIFS(Base[Montante],Base[Fornecedor],$A443&amp;"",Base[Ano],D$4)</f>
        <v/>
      </c>
      <c r="E443" s="12">
        <f>SUMIFS(Base[Montante],Base[Fornecedor],$A443&amp;"",Base[Ano],E$4)</f>
        <v/>
      </c>
      <c r="F443" s="12">
        <f>SUMIFS(Base[Montante],Base[Fornecedor],$A443&amp;"",Base[Ano],F$4)</f>
        <v/>
      </c>
      <c r="G443" s="12">
        <f>SUMIFS(Base[Montante],Base[Fornecedor],$A443&amp;"",Base[Ano],G$4)</f>
        <v/>
      </c>
      <c r="H443" s="12">
        <f>SUMIFS(Base[Montante],Base[Fornecedor],$A443&amp;"",Base[Ano],H$4)</f>
        <v/>
      </c>
      <c r="I443" s="12">
        <f>SUMIFS(Base[Montante],Base[Fornecedor],$A443&amp;"",Base[Ano],I$4)</f>
        <v/>
      </c>
      <c r="J443" s="12">
        <f>SUMIFS(Base[Montante],Base[Fornecedor],$A443&amp;"",Base[Ano],J$4)</f>
        <v/>
      </c>
      <c r="K443" s="12">
        <f>SUM(D443:J443)</f>
        <v/>
      </c>
    </row>
    <row r="444">
      <c r="A444" s="5" t="n">
        <v>101562</v>
      </c>
      <c r="B444" s="5" t="inlineStr">
        <is>
          <t>MUNICIPIO DE DIAS D AVILA</t>
        </is>
      </c>
      <c r="C444" s="5">
        <f>IFERROR(INDEX(DePara[Categoria],MATCH(TEXT(A444,"0"),DePara[Fornecedor_txt],0)),"(sem categoria)")</f>
        <v/>
      </c>
      <c r="D444" s="12">
        <f>SUMIFS(Base[Montante],Base[Fornecedor],$A444&amp;"",Base[Ano],D$4)</f>
        <v/>
      </c>
      <c r="E444" s="12">
        <f>SUMIFS(Base[Montante],Base[Fornecedor],$A444&amp;"",Base[Ano],E$4)</f>
        <v/>
      </c>
      <c r="F444" s="12">
        <f>SUMIFS(Base[Montante],Base[Fornecedor],$A444&amp;"",Base[Ano],F$4)</f>
        <v/>
      </c>
      <c r="G444" s="12">
        <f>SUMIFS(Base[Montante],Base[Fornecedor],$A444&amp;"",Base[Ano],G$4)</f>
        <v/>
      </c>
      <c r="H444" s="12">
        <f>SUMIFS(Base[Montante],Base[Fornecedor],$A444&amp;"",Base[Ano],H$4)</f>
        <v/>
      </c>
      <c r="I444" s="12">
        <f>SUMIFS(Base[Montante],Base[Fornecedor],$A444&amp;"",Base[Ano],I$4)</f>
        <v/>
      </c>
      <c r="J444" s="12">
        <f>SUMIFS(Base[Montante],Base[Fornecedor],$A444&amp;"",Base[Ano],J$4)</f>
        <v/>
      </c>
      <c r="K444" s="12">
        <f>SUM(D444:J444)</f>
        <v/>
      </c>
    </row>
    <row r="445">
      <c r="A445" s="5" t="n">
        <v>102008</v>
      </c>
      <c r="B445" s="5" t="inlineStr">
        <is>
          <t>MUNICIPIO DE ITAREMA</t>
        </is>
      </c>
      <c r="C445" s="5">
        <f>IFERROR(INDEX(DePara[Categoria],MATCH(TEXT(A445,"0"),DePara[Fornecedor_txt],0)),"(sem categoria)")</f>
        <v/>
      </c>
      <c r="D445" s="12">
        <f>SUMIFS(Base[Montante],Base[Fornecedor],$A445&amp;"",Base[Ano],D$4)</f>
        <v/>
      </c>
      <c r="E445" s="12">
        <f>SUMIFS(Base[Montante],Base[Fornecedor],$A445&amp;"",Base[Ano],E$4)</f>
        <v/>
      </c>
      <c r="F445" s="12">
        <f>SUMIFS(Base[Montante],Base[Fornecedor],$A445&amp;"",Base[Ano],F$4)</f>
        <v/>
      </c>
      <c r="G445" s="12">
        <f>SUMIFS(Base[Montante],Base[Fornecedor],$A445&amp;"",Base[Ano],G$4)</f>
        <v/>
      </c>
      <c r="H445" s="12">
        <f>SUMIFS(Base[Montante],Base[Fornecedor],$A445&amp;"",Base[Ano],H$4)</f>
        <v/>
      </c>
      <c r="I445" s="12">
        <f>SUMIFS(Base[Montante],Base[Fornecedor],$A445&amp;"",Base[Ano],I$4)</f>
        <v/>
      </c>
      <c r="J445" s="12">
        <f>SUMIFS(Base[Montante],Base[Fornecedor],$A445&amp;"",Base[Ano],J$4)</f>
        <v/>
      </c>
      <c r="K445" s="12">
        <f>SUM(D445:J445)</f>
        <v/>
      </c>
    </row>
    <row r="446">
      <c r="A446" s="5" t="n">
        <v>100833</v>
      </c>
      <c r="B446" s="5" t="inlineStr">
        <is>
          <t>MUNICIPIO DE JANDAIRA</t>
        </is>
      </c>
      <c r="C446" s="5">
        <f>IFERROR(INDEX(DePara[Categoria],MATCH(TEXT(A446,"0"),DePara[Fornecedor_txt],0)),"(sem categoria)")</f>
        <v/>
      </c>
      <c r="D446" s="12">
        <f>SUMIFS(Base[Montante],Base[Fornecedor],$A446&amp;"",Base[Ano],D$4)</f>
        <v/>
      </c>
      <c r="E446" s="12">
        <f>SUMIFS(Base[Montante],Base[Fornecedor],$A446&amp;"",Base[Ano],E$4)</f>
        <v/>
      </c>
      <c r="F446" s="12">
        <f>SUMIFS(Base[Montante],Base[Fornecedor],$A446&amp;"",Base[Ano],F$4)</f>
        <v/>
      </c>
      <c r="G446" s="12">
        <f>SUMIFS(Base[Montante],Base[Fornecedor],$A446&amp;"",Base[Ano],G$4)</f>
        <v/>
      </c>
      <c r="H446" s="12">
        <f>SUMIFS(Base[Montante],Base[Fornecedor],$A446&amp;"",Base[Ano],H$4)</f>
        <v/>
      </c>
      <c r="I446" s="12">
        <f>SUMIFS(Base[Montante],Base[Fornecedor],$A446&amp;"",Base[Ano],I$4)</f>
        <v/>
      </c>
      <c r="J446" s="12">
        <f>SUMIFS(Base[Montante],Base[Fornecedor],$A446&amp;"",Base[Ano],J$4)</f>
        <v/>
      </c>
      <c r="K446" s="12">
        <f>SUM(D446:J446)</f>
        <v/>
      </c>
    </row>
    <row r="447">
      <c r="A447" s="5" t="n">
        <v>101763</v>
      </c>
      <c r="B447" s="5" t="inlineStr">
        <is>
          <t>MUNICIPIO DE LAGOA DO BARRO DO PIAU</t>
        </is>
      </c>
      <c r="C447" s="5">
        <f>IFERROR(INDEX(DePara[Categoria],MATCH(TEXT(A447,"0"),DePara[Fornecedor_txt],0)),"(sem categoria)")</f>
        <v/>
      </c>
      <c r="D447" s="12">
        <f>SUMIFS(Base[Montante],Base[Fornecedor],$A447&amp;"",Base[Ano],D$4)</f>
        <v/>
      </c>
      <c r="E447" s="12">
        <f>SUMIFS(Base[Montante],Base[Fornecedor],$A447&amp;"",Base[Ano],E$4)</f>
        <v/>
      </c>
      <c r="F447" s="12">
        <f>SUMIFS(Base[Montante],Base[Fornecedor],$A447&amp;"",Base[Ano],F$4)</f>
        <v/>
      </c>
      <c r="G447" s="12">
        <f>SUMIFS(Base[Montante],Base[Fornecedor],$A447&amp;"",Base[Ano],G$4)</f>
        <v/>
      </c>
      <c r="H447" s="12">
        <f>SUMIFS(Base[Montante],Base[Fornecedor],$A447&amp;"",Base[Ano],H$4)</f>
        <v/>
      </c>
      <c r="I447" s="12">
        <f>SUMIFS(Base[Montante],Base[Fornecedor],$A447&amp;"",Base[Ano],I$4)</f>
        <v/>
      </c>
      <c r="J447" s="12">
        <f>SUMIFS(Base[Montante],Base[Fornecedor],$A447&amp;"",Base[Ano],J$4)</f>
        <v/>
      </c>
      <c r="K447" s="12">
        <f>SUM(D447:J447)</f>
        <v/>
      </c>
    </row>
    <row r="448">
      <c r="A448" s="5" t="n">
        <v>101358</v>
      </c>
      <c r="B448" s="5" t="inlineStr">
        <is>
          <t>MUNICIPIO DE LAJES</t>
        </is>
      </c>
      <c r="C448" s="5">
        <f>IFERROR(INDEX(DePara[Categoria],MATCH(TEXT(A448,"0"),DePara[Fornecedor_txt],0)),"(sem categoria)")</f>
        <v/>
      </c>
      <c r="D448" s="12">
        <f>SUMIFS(Base[Montante],Base[Fornecedor],$A448&amp;"",Base[Ano],D$4)</f>
        <v/>
      </c>
      <c r="E448" s="12">
        <f>SUMIFS(Base[Montante],Base[Fornecedor],$A448&amp;"",Base[Ano],E$4)</f>
        <v/>
      </c>
      <c r="F448" s="12">
        <f>SUMIFS(Base[Montante],Base[Fornecedor],$A448&amp;"",Base[Ano],F$4)</f>
        <v/>
      </c>
      <c r="G448" s="12">
        <f>SUMIFS(Base[Montante],Base[Fornecedor],$A448&amp;"",Base[Ano],G$4)</f>
        <v/>
      </c>
      <c r="H448" s="12">
        <f>SUMIFS(Base[Montante],Base[Fornecedor],$A448&amp;"",Base[Ano],H$4)</f>
        <v/>
      </c>
      <c r="I448" s="12">
        <f>SUMIFS(Base[Montante],Base[Fornecedor],$A448&amp;"",Base[Ano],I$4)</f>
        <v/>
      </c>
      <c r="J448" s="12">
        <f>SUMIFS(Base[Montante],Base[Fornecedor],$A448&amp;"",Base[Ano],J$4)</f>
        <v/>
      </c>
      <c r="K448" s="12">
        <f>SUM(D448:J448)</f>
        <v/>
      </c>
    </row>
    <row r="449">
      <c r="A449" s="5" t="n">
        <v>101700</v>
      </c>
      <c r="B449" s="5" t="inlineStr">
        <is>
          <t>MUNICIPIO DE MULUNGU DO MORRO</t>
        </is>
      </c>
      <c r="C449" s="5">
        <f>IFERROR(INDEX(DePara[Categoria],MATCH(TEXT(A449,"0"),DePara[Fornecedor_txt],0)),"(sem categoria)")</f>
        <v/>
      </c>
      <c r="D449" s="12">
        <f>SUMIFS(Base[Montante],Base[Fornecedor],$A449&amp;"",Base[Ano],D$4)</f>
        <v/>
      </c>
      <c r="E449" s="12">
        <f>SUMIFS(Base[Montante],Base[Fornecedor],$A449&amp;"",Base[Ano],E$4)</f>
        <v/>
      </c>
      <c r="F449" s="12">
        <f>SUMIFS(Base[Montante],Base[Fornecedor],$A449&amp;"",Base[Ano],F$4)</f>
        <v/>
      </c>
      <c r="G449" s="12">
        <f>SUMIFS(Base[Montante],Base[Fornecedor],$A449&amp;"",Base[Ano],G$4)</f>
        <v/>
      </c>
      <c r="H449" s="12">
        <f>SUMIFS(Base[Montante],Base[Fornecedor],$A449&amp;"",Base[Ano],H$4)</f>
        <v/>
      </c>
      <c r="I449" s="12">
        <f>SUMIFS(Base[Montante],Base[Fornecedor],$A449&amp;"",Base[Ano],I$4)</f>
        <v/>
      </c>
      <c r="J449" s="12">
        <f>SUMIFS(Base[Montante],Base[Fornecedor],$A449&amp;"",Base[Ano],J$4)</f>
        <v/>
      </c>
      <c r="K449" s="12">
        <f>SUM(D449:J449)</f>
        <v/>
      </c>
    </row>
    <row r="450">
      <c r="A450" s="5" t="n">
        <v>102081</v>
      </c>
      <c r="B450" s="5" t="inlineStr">
        <is>
          <t>MUNICIPIO DE PALMARES DO SUL</t>
        </is>
      </c>
      <c r="C450" s="5">
        <f>IFERROR(INDEX(DePara[Categoria],MATCH(TEXT(A450,"0"),DePara[Fornecedor_txt],0)),"(sem categoria)")</f>
        <v/>
      </c>
      <c r="D450" s="12">
        <f>SUMIFS(Base[Montante],Base[Fornecedor],$A450&amp;"",Base[Ano],D$4)</f>
        <v/>
      </c>
      <c r="E450" s="12">
        <f>SUMIFS(Base[Montante],Base[Fornecedor],$A450&amp;"",Base[Ano],E$4)</f>
        <v/>
      </c>
      <c r="F450" s="12">
        <f>SUMIFS(Base[Montante],Base[Fornecedor],$A450&amp;"",Base[Ano],F$4)</f>
        <v/>
      </c>
      <c r="G450" s="12">
        <f>SUMIFS(Base[Montante],Base[Fornecedor],$A450&amp;"",Base[Ano],G$4)</f>
        <v/>
      </c>
      <c r="H450" s="12">
        <f>SUMIFS(Base[Montante],Base[Fornecedor],$A450&amp;"",Base[Ano],H$4)</f>
        <v/>
      </c>
      <c r="I450" s="12">
        <f>SUMIFS(Base[Montante],Base[Fornecedor],$A450&amp;"",Base[Ano],I$4)</f>
        <v/>
      </c>
      <c r="J450" s="12">
        <f>SUMIFS(Base[Montante],Base[Fornecedor],$A450&amp;"",Base[Ano],J$4)</f>
        <v/>
      </c>
      <c r="K450" s="12">
        <f>SUM(D450:J450)</f>
        <v/>
      </c>
    </row>
    <row r="451">
      <c r="A451" s="5" t="n">
        <v>104069</v>
      </c>
      <c r="B451" s="5" t="inlineStr">
        <is>
          <t>MUNICIPIO DE POCINHOS 08741688000172</t>
        </is>
      </c>
      <c r="C451" s="5">
        <f>IFERROR(INDEX(DePara[Categoria],MATCH(TEXT(A451,"0"),DePara[Fornecedor_txt],0)),"(sem categoria)")</f>
        <v/>
      </c>
      <c r="D451" s="12">
        <f>SUMIFS(Base[Montante],Base[Fornecedor],$A451&amp;"",Base[Ano],D$4)</f>
        <v/>
      </c>
      <c r="E451" s="12">
        <f>SUMIFS(Base[Montante],Base[Fornecedor],$A451&amp;"",Base[Ano],E$4)</f>
        <v/>
      </c>
      <c r="F451" s="12">
        <f>SUMIFS(Base[Montante],Base[Fornecedor],$A451&amp;"",Base[Ano],F$4)</f>
        <v/>
      </c>
      <c r="G451" s="12">
        <f>SUMIFS(Base[Montante],Base[Fornecedor],$A451&amp;"",Base[Ano],G$4)</f>
        <v/>
      </c>
      <c r="H451" s="12">
        <f>SUMIFS(Base[Montante],Base[Fornecedor],$A451&amp;"",Base[Ano],H$4)</f>
        <v/>
      </c>
      <c r="I451" s="12">
        <f>SUMIFS(Base[Montante],Base[Fornecedor],$A451&amp;"",Base[Ano],I$4)</f>
        <v/>
      </c>
      <c r="J451" s="12">
        <f>SUMIFS(Base[Montante],Base[Fornecedor],$A451&amp;"",Base[Ano],J$4)</f>
        <v/>
      </c>
      <c r="K451" s="12">
        <f>SUM(D451:J451)</f>
        <v/>
      </c>
    </row>
    <row r="452">
      <c r="A452" s="5" t="n">
        <v>101320</v>
      </c>
      <c r="B452" s="5" t="inlineStr">
        <is>
          <t>MUNICIPIO DE QUEIMADA NOVA</t>
        </is>
      </c>
      <c r="C452" s="5">
        <f>IFERROR(INDEX(DePara[Categoria],MATCH(TEXT(A452,"0"),DePara[Fornecedor_txt],0)),"(sem categoria)")</f>
        <v/>
      </c>
      <c r="D452" s="12">
        <f>SUMIFS(Base[Montante],Base[Fornecedor],$A452&amp;"",Base[Ano],D$4)</f>
        <v/>
      </c>
      <c r="E452" s="12">
        <f>SUMIFS(Base[Montante],Base[Fornecedor],$A452&amp;"",Base[Ano],E$4)</f>
        <v/>
      </c>
      <c r="F452" s="12">
        <f>SUMIFS(Base[Montante],Base[Fornecedor],$A452&amp;"",Base[Ano],F$4)</f>
        <v/>
      </c>
      <c r="G452" s="12">
        <f>SUMIFS(Base[Montante],Base[Fornecedor],$A452&amp;"",Base[Ano],G$4)</f>
        <v/>
      </c>
      <c r="H452" s="12">
        <f>SUMIFS(Base[Montante],Base[Fornecedor],$A452&amp;"",Base[Ano],H$4)</f>
        <v/>
      </c>
      <c r="I452" s="12">
        <f>SUMIFS(Base[Montante],Base[Fornecedor],$A452&amp;"",Base[Ano],I$4)</f>
        <v/>
      </c>
      <c r="J452" s="12">
        <f>SUMIFS(Base[Montante],Base[Fornecedor],$A452&amp;"",Base[Ano],J$4)</f>
        <v/>
      </c>
      <c r="K452" s="12">
        <f>SUM(D452:J452)</f>
        <v/>
      </c>
    </row>
    <row r="453">
      <c r="A453" s="5" t="n">
        <v>101006</v>
      </c>
      <c r="B453" s="5" t="inlineStr">
        <is>
          <t>MUNICIPIO DE SAO BENTO DO NORTE</t>
        </is>
      </c>
      <c r="C453" s="5">
        <f>IFERROR(INDEX(DePara[Categoria],MATCH(TEXT(A453,"0"),DePara[Fornecedor_txt],0)),"(sem categoria)")</f>
        <v/>
      </c>
      <c r="D453" s="12">
        <f>SUMIFS(Base[Montante],Base[Fornecedor],$A453&amp;"",Base[Ano],D$4)</f>
        <v/>
      </c>
      <c r="E453" s="12">
        <f>SUMIFS(Base[Montante],Base[Fornecedor],$A453&amp;"",Base[Ano],E$4)</f>
        <v/>
      </c>
      <c r="F453" s="12">
        <f>SUMIFS(Base[Montante],Base[Fornecedor],$A453&amp;"",Base[Ano],F$4)</f>
        <v/>
      </c>
      <c r="G453" s="12">
        <f>SUMIFS(Base[Montante],Base[Fornecedor],$A453&amp;"",Base[Ano],G$4)</f>
        <v/>
      </c>
      <c r="H453" s="12">
        <f>SUMIFS(Base[Montante],Base[Fornecedor],$A453&amp;"",Base[Ano],H$4)</f>
        <v/>
      </c>
      <c r="I453" s="12">
        <f>SUMIFS(Base[Montante],Base[Fornecedor],$A453&amp;"",Base[Ano],I$4)</f>
        <v/>
      </c>
      <c r="J453" s="12">
        <f>SUMIFS(Base[Montante],Base[Fornecedor],$A453&amp;"",Base[Ano],J$4)</f>
        <v/>
      </c>
      <c r="K453" s="12">
        <f>SUM(D453:J453)</f>
        <v/>
      </c>
    </row>
    <row r="454">
      <c r="A454" s="5" t="n">
        <v>101998</v>
      </c>
      <c r="B454" s="5" t="inlineStr">
        <is>
          <t>MUNICIPIO DE SERRA DO MEL</t>
        </is>
      </c>
      <c r="C454" s="5">
        <f>IFERROR(INDEX(DePara[Categoria],MATCH(TEXT(A454,"0"),DePara[Fornecedor_txt],0)),"(sem categoria)")</f>
        <v/>
      </c>
      <c r="D454" s="12">
        <f>SUMIFS(Base[Montante],Base[Fornecedor],$A454&amp;"",Base[Ano],D$4)</f>
        <v/>
      </c>
      <c r="E454" s="12">
        <f>SUMIFS(Base[Montante],Base[Fornecedor],$A454&amp;"",Base[Ano],E$4)</f>
        <v/>
      </c>
      <c r="F454" s="12">
        <f>SUMIFS(Base[Montante],Base[Fornecedor],$A454&amp;"",Base[Ano],F$4)</f>
        <v/>
      </c>
      <c r="G454" s="12">
        <f>SUMIFS(Base[Montante],Base[Fornecedor],$A454&amp;"",Base[Ano],G$4)</f>
        <v/>
      </c>
      <c r="H454" s="12">
        <f>SUMIFS(Base[Montante],Base[Fornecedor],$A454&amp;"",Base[Ano],H$4)</f>
        <v/>
      </c>
      <c r="I454" s="12">
        <f>SUMIFS(Base[Montante],Base[Fornecedor],$A454&amp;"",Base[Ano],I$4)</f>
        <v/>
      </c>
      <c r="J454" s="12">
        <f>SUMIFS(Base[Montante],Base[Fornecedor],$A454&amp;"",Base[Ano],J$4)</f>
        <v/>
      </c>
      <c r="K454" s="12">
        <f>SUM(D454:J454)</f>
        <v/>
      </c>
    </row>
    <row r="455">
      <c r="A455" s="5" t="n">
        <v>103759</v>
      </c>
      <c r="B455" s="5" t="inlineStr">
        <is>
          <t>MUNICIPIO DE SIMOES</t>
        </is>
      </c>
      <c r="C455" s="5">
        <f>IFERROR(INDEX(DePara[Categoria],MATCH(TEXT(A455,"0"),DePara[Fornecedor_txt],0)),"(sem categoria)")</f>
        <v/>
      </c>
      <c r="D455" s="12">
        <f>SUMIFS(Base[Montante],Base[Fornecedor],$A455&amp;"",Base[Ano],D$4)</f>
        <v/>
      </c>
      <c r="E455" s="12">
        <f>SUMIFS(Base[Montante],Base[Fornecedor],$A455&amp;"",Base[Ano],E$4)</f>
        <v/>
      </c>
      <c r="F455" s="12">
        <f>SUMIFS(Base[Montante],Base[Fornecedor],$A455&amp;"",Base[Ano],F$4)</f>
        <v/>
      </c>
      <c r="G455" s="12">
        <f>SUMIFS(Base[Montante],Base[Fornecedor],$A455&amp;"",Base[Ano],G$4)</f>
        <v/>
      </c>
      <c r="H455" s="12">
        <f>SUMIFS(Base[Montante],Base[Fornecedor],$A455&amp;"",Base[Ano],H$4)</f>
        <v/>
      </c>
      <c r="I455" s="12">
        <f>SUMIFS(Base[Montante],Base[Fornecedor],$A455&amp;"",Base[Ano],I$4)</f>
        <v/>
      </c>
      <c r="J455" s="12">
        <f>SUMIFS(Base[Montante],Base[Fornecedor],$A455&amp;"",Base[Ano],J$4)</f>
        <v/>
      </c>
      <c r="K455" s="12">
        <f>SUM(D455:J455)</f>
        <v/>
      </c>
    </row>
    <row r="456">
      <c r="A456" s="5" t="n">
        <v>100759</v>
      </c>
      <c r="B456" s="5" t="inlineStr">
        <is>
          <t>MUNICIPIO DE UIBAI</t>
        </is>
      </c>
      <c r="C456" s="5">
        <f>IFERROR(INDEX(DePara[Categoria],MATCH(TEXT(A456,"0"),DePara[Fornecedor_txt],0)),"(sem categoria)")</f>
        <v/>
      </c>
      <c r="D456" s="12">
        <f>SUMIFS(Base[Montante],Base[Fornecedor],$A456&amp;"",Base[Ano],D$4)</f>
        <v/>
      </c>
      <c r="E456" s="12">
        <f>SUMIFS(Base[Montante],Base[Fornecedor],$A456&amp;"",Base[Ano],E$4)</f>
        <v/>
      </c>
      <c r="F456" s="12">
        <f>SUMIFS(Base[Montante],Base[Fornecedor],$A456&amp;"",Base[Ano],F$4)</f>
        <v/>
      </c>
      <c r="G456" s="12">
        <f>SUMIFS(Base[Montante],Base[Fornecedor],$A456&amp;"",Base[Ano],G$4)</f>
        <v/>
      </c>
      <c r="H456" s="12">
        <f>SUMIFS(Base[Montante],Base[Fornecedor],$A456&amp;"",Base[Ano],H$4)</f>
        <v/>
      </c>
      <c r="I456" s="12">
        <f>SUMIFS(Base[Montante],Base[Fornecedor],$A456&amp;"",Base[Ano],I$4)</f>
        <v/>
      </c>
      <c r="J456" s="12">
        <f>SUMIFS(Base[Montante],Base[Fornecedor],$A456&amp;"",Base[Ano],J$4)</f>
        <v/>
      </c>
      <c r="K456" s="12">
        <f>SUM(D456:J456)</f>
        <v/>
      </c>
    </row>
    <row r="457">
      <c r="A457" s="5" t="n">
        <v>101172</v>
      </c>
      <c r="B457" s="5" t="inlineStr">
        <is>
          <t>N D S ENGENHARIA LTDA</t>
        </is>
      </c>
      <c r="C457" s="5">
        <f>IFERROR(INDEX(DePara[Categoria],MATCH(TEXT(A457,"0"),DePara[Fornecedor_txt],0)),"(sem categoria)")</f>
        <v/>
      </c>
      <c r="D457" s="12">
        <f>SUMIFS(Base[Montante],Base[Fornecedor],$A457&amp;"",Base[Ano],D$4)</f>
        <v/>
      </c>
      <c r="E457" s="12">
        <f>SUMIFS(Base[Montante],Base[Fornecedor],$A457&amp;"",Base[Ano],E$4)</f>
        <v/>
      </c>
      <c r="F457" s="12">
        <f>SUMIFS(Base[Montante],Base[Fornecedor],$A457&amp;"",Base[Ano],F$4)</f>
        <v/>
      </c>
      <c r="G457" s="12">
        <f>SUMIFS(Base[Montante],Base[Fornecedor],$A457&amp;"",Base[Ano],G$4)</f>
        <v/>
      </c>
      <c r="H457" s="12">
        <f>SUMIFS(Base[Montante],Base[Fornecedor],$A457&amp;"",Base[Ano],H$4)</f>
        <v/>
      </c>
      <c r="I457" s="12">
        <f>SUMIFS(Base[Montante],Base[Fornecedor],$A457&amp;"",Base[Ano],I$4)</f>
        <v/>
      </c>
      <c r="J457" s="12">
        <f>SUMIFS(Base[Montante],Base[Fornecedor],$A457&amp;"",Base[Ano],J$4)</f>
        <v/>
      </c>
      <c r="K457" s="12">
        <f>SUM(D457:J457)</f>
        <v/>
      </c>
    </row>
    <row r="458">
      <c r="A458" s="5" t="inlineStr">
        <is>
          <t>EM000426</t>
        </is>
      </c>
      <c r="B458" s="5" t="inlineStr">
        <is>
          <t>NAIBHY ADELY GARCIA RODRIGUES</t>
        </is>
      </c>
      <c r="C458" s="5">
        <f>IFERROR(INDEX(DePara[Categoria],MATCH(TEXT(A458,"0"),DePara[Fornecedor_txt],0)),"(sem categoria)")</f>
        <v/>
      </c>
      <c r="D458" s="12">
        <f>SUMIFS(Base[Montante],Base[Fornecedor],$A458&amp;"",Base[Ano],D$4)</f>
        <v/>
      </c>
      <c r="E458" s="12">
        <f>SUMIFS(Base[Montante],Base[Fornecedor],$A458&amp;"",Base[Ano],E$4)</f>
        <v/>
      </c>
      <c r="F458" s="12">
        <f>SUMIFS(Base[Montante],Base[Fornecedor],$A458&amp;"",Base[Ano],F$4)</f>
        <v/>
      </c>
      <c r="G458" s="12">
        <f>SUMIFS(Base[Montante],Base[Fornecedor],$A458&amp;"",Base[Ano],G$4)</f>
        <v/>
      </c>
      <c r="H458" s="12">
        <f>SUMIFS(Base[Montante],Base[Fornecedor],$A458&amp;"",Base[Ano],H$4)</f>
        <v/>
      </c>
      <c r="I458" s="12">
        <f>SUMIFS(Base[Montante],Base[Fornecedor],$A458&amp;"",Base[Ano],I$4)</f>
        <v/>
      </c>
      <c r="J458" s="12">
        <f>SUMIFS(Base[Montante],Base[Fornecedor],$A458&amp;"",Base[Ano],J$4)</f>
        <v/>
      </c>
      <c r="K458" s="12">
        <f>SUM(D458:J458)</f>
        <v/>
      </c>
    </row>
    <row r="459">
      <c r="A459" s="5" t="inlineStr">
        <is>
          <t>EM000425</t>
        </is>
      </c>
      <c r="B459" s="5" t="inlineStr">
        <is>
          <t>NAIGUEL PEREIRA DO SANTOS</t>
        </is>
      </c>
      <c r="C459" s="5">
        <f>IFERROR(INDEX(DePara[Categoria],MATCH(TEXT(A459,"0"),DePara[Fornecedor_txt],0)),"(sem categoria)")</f>
        <v/>
      </c>
      <c r="D459" s="12">
        <f>SUMIFS(Base[Montante],Base[Fornecedor],$A459&amp;"",Base[Ano],D$4)</f>
        <v/>
      </c>
      <c r="E459" s="12">
        <f>SUMIFS(Base[Montante],Base[Fornecedor],$A459&amp;"",Base[Ano],E$4)</f>
        <v/>
      </c>
      <c r="F459" s="12">
        <f>SUMIFS(Base[Montante],Base[Fornecedor],$A459&amp;"",Base[Ano],F$4)</f>
        <v/>
      </c>
      <c r="G459" s="12">
        <f>SUMIFS(Base[Montante],Base[Fornecedor],$A459&amp;"",Base[Ano],G$4)</f>
        <v/>
      </c>
      <c r="H459" s="12">
        <f>SUMIFS(Base[Montante],Base[Fornecedor],$A459&amp;"",Base[Ano],H$4)</f>
        <v/>
      </c>
      <c r="I459" s="12">
        <f>SUMIFS(Base[Montante],Base[Fornecedor],$A459&amp;"",Base[Ano],I$4)</f>
        <v/>
      </c>
      <c r="J459" s="12">
        <f>SUMIFS(Base[Montante],Base[Fornecedor],$A459&amp;"",Base[Ano],J$4)</f>
        <v/>
      </c>
      <c r="K459" s="12">
        <f>SUM(D459:J459)</f>
        <v/>
      </c>
    </row>
    <row r="460">
      <c r="A460" s="5" t="inlineStr">
        <is>
          <t>EM000116</t>
        </is>
      </c>
      <c r="B460" s="5" t="inlineStr">
        <is>
          <t>NAJARA MENDES OLIVEIRA</t>
        </is>
      </c>
      <c r="C460" s="5">
        <f>IFERROR(INDEX(DePara[Categoria],MATCH(TEXT(A460,"0"),DePara[Fornecedor_txt],0)),"(sem categoria)")</f>
        <v/>
      </c>
      <c r="D460" s="12">
        <f>SUMIFS(Base[Montante],Base[Fornecedor],$A460&amp;"",Base[Ano],D$4)</f>
        <v/>
      </c>
      <c r="E460" s="12">
        <f>SUMIFS(Base[Montante],Base[Fornecedor],$A460&amp;"",Base[Ano],E$4)</f>
        <v/>
      </c>
      <c r="F460" s="12">
        <f>SUMIFS(Base[Montante],Base[Fornecedor],$A460&amp;"",Base[Ano],F$4)</f>
        <v/>
      </c>
      <c r="G460" s="12">
        <f>SUMIFS(Base[Montante],Base[Fornecedor],$A460&amp;"",Base[Ano],G$4)</f>
        <v/>
      </c>
      <c r="H460" s="12">
        <f>SUMIFS(Base[Montante],Base[Fornecedor],$A460&amp;"",Base[Ano],H$4)</f>
        <v/>
      </c>
      <c r="I460" s="12">
        <f>SUMIFS(Base[Montante],Base[Fornecedor],$A460&amp;"",Base[Ano],I$4)</f>
        <v/>
      </c>
      <c r="J460" s="12">
        <f>SUMIFS(Base[Montante],Base[Fornecedor],$A460&amp;"",Base[Ano],J$4)</f>
        <v/>
      </c>
      <c r="K460" s="12">
        <f>SUM(D460:J460)</f>
        <v/>
      </c>
    </row>
    <row r="461">
      <c r="A461" s="5" t="inlineStr">
        <is>
          <t>EM000776</t>
        </is>
      </c>
      <c r="B461" s="5" t="inlineStr">
        <is>
          <t>Natanael Gonçalves</t>
        </is>
      </c>
      <c r="C461" s="5">
        <f>IFERROR(INDEX(DePara[Categoria],MATCH(TEXT(A461,"0"),DePara[Fornecedor_txt],0)),"(sem categoria)")</f>
        <v/>
      </c>
      <c r="D461" s="12">
        <f>SUMIFS(Base[Montante],Base[Fornecedor],$A461&amp;"",Base[Ano],D$4)</f>
        <v/>
      </c>
      <c r="E461" s="12">
        <f>SUMIFS(Base[Montante],Base[Fornecedor],$A461&amp;"",Base[Ano],E$4)</f>
        <v/>
      </c>
      <c r="F461" s="12">
        <f>SUMIFS(Base[Montante],Base[Fornecedor],$A461&amp;"",Base[Ano],F$4)</f>
        <v/>
      </c>
      <c r="G461" s="12">
        <f>SUMIFS(Base[Montante],Base[Fornecedor],$A461&amp;"",Base[Ano],G$4)</f>
        <v/>
      </c>
      <c r="H461" s="12">
        <f>SUMIFS(Base[Montante],Base[Fornecedor],$A461&amp;"",Base[Ano],H$4)</f>
        <v/>
      </c>
      <c r="I461" s="12">
        <f>SUMIFS(Base[Montante],Base[Fornecedor],$A461&amp;"",Base[Ano],I$4)</f>
        <v/>
      </c>
      <c r="J461" s="12">
        <f>SUMIFS(Base[Montante],Base[Fornecedor],$A461&amp;"",Base[Ano],J$4)</f>
        <v/>
      </c>
      <c r="K461" s="12">
        <f>SUM(D461:J461)</f>
        <v/>
      </c>
    </row>
    <row r="462">
      <c r="A462" s="5" t="n">
        <v>101057</v>
      </c>
      <c r="B462" s="5" t="inlineStr">
        <is>
          <t>NC ENERGIA S A</t>
        </is>
      </c>
      <c r="C462" s="5">
        <f>IFERROR(INDEX(DePara[Categoria],MATCH(TEXT(A462,"0"),DePara[Fornecedor_txt],0)),"(sem categoria)")</f>
        <v/>
      </c>
      <c r="D462" s="12">
        <f>SUMIFS(Base[Montante],Base[Fornecedor],$A462&amp;"",Base[Ano],D$4)</f>
        <v/>
      </c>
      <c r="E462" s="12">
        <f>SUMIFS(Base[Montante],Base[Fornecedor],$A462&amp;"",Base[Ano],E$4)</f>
        <v/>
      </c>
      <c r="F462" s="12">
        <f>SUMIFS(Base[Montante],Base[Fornecedor],$A462&amp;"",Base[Ano],F$4)</f>
        <v/>
      </c>
      <c r="G462" s="12">
        <f>SUMIFS(Base[Montante],Base[Fornecedor],$A462&amp;"",Base[Ano],G$4)</f>
        <v/>
      </c>
      <c r="H462" s="12">
        <f>SUMIFS(Base[Montante],Base[Fornecedor],$A462&amp;"",Base[Ano],H$4)</f>
        <v/>
      </c>
      <c r="I462" s="12">
        <f>SUMIFS(Base[Montante],Base[Fornecedor],$A462&amp;"",Base[Ano],I$4)</f>
        <v/>
      </c>
      <c r="J462" s="12">
        <f>SUMIFS(Base[Montante],Base[Fornecedor],$A462&amp;"",Base[Ano],J$4)</f>
        <v/>
      </c>
      <c r="K462" s="12">
        <f>SUM(D462:J462)</f>
        <v/>
      </c>
    </row>
    <row r="463">
      <c r="A463" s="5" t="n">
        <v>100469</v>
      </c>
      <c r="B463" s="5" t="inlineStr">
        <is>
          <t>NELSON HEUSI LOGISTICA E ARMAZENS G</t>
        </is>
      </c>
      <c r="C463" s="5">
        <f>IFERROR(INDEX(DePara[Categoria],MATCH(TEXT(A463,"0"),DePara[Fornecedor_txt],0)),"(sem categoria)")</f>
        <v/>
      </c>
      <c r="D463" s="12">
        <f>SUMIFS(Base[Montante],Base[Fornecedor],$A463&amp;"",Base[Ano],D$4)</f>
        <v/>
      </c>
      <c r="E463" s="12">
        <f>SUMIFS(Base[Montante],Base[Fornecedor],$A463&amp;"",Base[Ano],E$4)</f>
        <v/>
      </c>
      <c r="F463" s="12">
        <f>SUMIFS(Base[Montante],Base[Fornecedor],$A463&amp;"",Base[Ano],F$4)</f>
        <v/>
      </c>
      <c r="G463" s="12">
        <f>SUMIFS(Base[Montante],Base[Fornecedor],$A463&amp;"",Base[Ano],G$4)</f>
        <v/>
      </c>
      <c r="H463" s="12">
        <f>SUMIFS(Base[Montante],Base[Fornecedor],$A463&amp;"",Base[Ano],H$4)</f>
        <v/>
      </c>
      <c r="I463" s="12">
        <f>SUMIFS(Base[Montante],Base[Fornecedor],$A463&amp;"",Base[Ano],I$4)</f>
        <v/>
      </c>
      <c r="J463" s="12">
        <f>SUMIFS(Base[Montante],Base[Fornecedor],$A463&amp;"",Base[Ano],J$4)</f>
        <v/>
      </c>
      <c r="K463" s="12">
        <f>SUM(D463:J463)</f>
        <v/>
      </c>
    </row>
    <row r="464">
      <c r="A464" s="5" t="n">
        <v>101265</v>
      </c>
      <c r="B464" s="5" t="inlineStr">
        <is>
          <t>NET2PHONE BRASIL TELECOMUNICAÇÕES L</t>
        </is>
      </c>
      <c r="C464" s="5">
        <f>IFERROR(INDEX(DePara[Categoria],MATCH(TEXT(A464,"0"),DePara[Fornecedor_txt],0)),"(sem categoria)")</f>
        <v/>
      </c>
      <c r="D464" s="12">
        <f>SUMIFS(Base[Montante],Base[Fornecedor],$A464&amp;"",Base[Ano],D$4)</f>
        <v/>
      </c>
      <c r="E464" s="12">
        <f>SUMIFS(Base[Montante],Base[Fornecedor],$A464&amp;"",Base[Ano],E$4)</f>
        <v/>
      </c>
      <c r="F464" s="12">
        <f>SUMIFS(Base[Montante],Base[Fornecedor],$A464&amp;"",Base[Ano],F$4)</f>
        <v/>
      </c>
      <c r="G464" s="12">
        <f>SUMIFS(Base[Montante],Base[Fornecedor],$A464&amp;"",Base[Ano],G$4)</f>
        <v/>
      </c>
      <c r="H464" s="12">
        <f>SUMIFS(Base[Montante],Base[Fornecedor],$A464&amp;"",Base[Ano],H$4)</f>
        <v/>
      </c>
      <c r="I464" s="12">
        <f>SUMIFS(Base[Montante],Base[Fornecedor],$A464&amp;"",Base[Ano],I$4)</f>
        <v/>
      </c>
      <c r="J464" s="12">
        <f>SUMIFS(Base[Montante],Base[Fornecedor],$A464&amp;"",Base[Ano],J$4)</f>
        <v/>
      </c>
      <c r="K464" s="12">
        <f>SUM(D464:J464)</f>
        <v/>
      </c>
    </row>
    <row r="465">
      <c r="A465" s="5" t="n">
        <v>101499</v>
      </c>
      <c r="B465" s="5" t="inlineStr">
        <is>
          <t>NEW ENERGY LOGISTIC EIRELI</t>
        </is>
      </c>
      <c r="C465" s="5">
        <f>IFERROR(INDEX(DePara[Categoria],MATCH(TEXT(A465,"0"),DePara[Fornecedor_txt],0)),"(sem categoria)")</f>
        <v/>
      </c>
      <c r="D465" s="12">
        <f>SUMIFS(Base[Montante],Base[Fornecedor],$A465&amp;"",Base[Ano],D$4)</f>
        <v/>
      </c>
      <c r="E465" s="12">
        <f>SUMIFS(Base[Montante],Base[Fornecedor],$A465&amp;"",Base[Ano],E$4)</f>
        <v/>
      </c>
      <c r="F465" s="12">
        <f>SUMIFS(Base[Montante],Base[Fornecedor],$A465&amp;"",Base[Ano],F$4)</f>
        <v/>
      </c>
      <c r="G465" s="12">
        <f>SUMIFS(Base[Montante],Base[Fornecedor],$A465&amp;"",Base[Ano],G$4)</f>
        <v/>
      </c>
      <c r="H465" s="12">
        <f>SUMIFS(Base[Montante],Base[Fornecedor],$A465&amp;"",Base[Ano],H$4)</f>
        <v/>
      </c>
      <c r="I465" s="12">
        <f>SUMIFS(Base[Montante],Base[Fornecedor],$A465&amp;"",Base[Ano],I$4)</f>
        <v/>
      </c>
      <c r="J465" s="12">
        <f>SUMIFS(Base[Montante],Base[Fornecedor],$A465&amp;"",Base[Ano],J$4)</f>
        <v/>
      </c>
      <c r="K465" s="12">
        <f>SUM(D465:J465)</f>
        <v/>
      </c>
    </row>
    <row r="466">
      <c r="A466" s="5" t="n">
        <v>101982</v>
      </c>
      <c r="B466" s="5" t="inlineStr">
        <is>
          <t>NEW ENERGY TECH LTDA</t>
        </is>
      </c>
      <c r="C466" s="5">
        <f>IFERROR(INDEX(DePara[Categoria],MATCH(TEXT(A466,"0"),DePara[Fornecedor_txt],0)),"(sem categoria)")</f>
        <v/>
      </c>
      <c r="D466" s="12">
        <f>SUMIFS(Base[Montante],Base[Fornecedor],$A466&amp;"",Base[Ano],D$4)</f>
        <v/>
      </c>
      <c r="E466" s="12">
        <f>SUMIFS(Base[Montante],Base[Fornecedor],$A466&amp;"",Base[Ano],E$4)</f>
        <v/>
      </c>
      <c r="F466" s="12">
        <f>SUMIFS(Base[Montante],Base[Fornecedor],$A466&amp;"",Base[Ano],F$4)</f>
        <v/>
      </c>
      <c r="G466" s="12">
        <f>SUMIFS(Base[Montante],Base[Fornecedor],$A466&amp;"",Base[Ano],G$4)</f>
        <v/>
      </c>
      <c r="H466" s="12">
        <f>SUMIFS(Base[Montante],Base[Fornecedor],$A466&amp;"",Base[Ano],H$4)</f>
        <v/>
      </c>
      <c r="I466" s="12">
        <f>SUMIFS(Base[Montante],Base[Fornecedor],$A466&amp;"",Base[Ano],I$4)</f>
        <v/>
      </c>
      <c r="J466" s="12">
        <f>SUMIFS(Base[Montante],Base[Fornecedor],$A466&amp;"",Base[Ano],J$4)</f>
        <v/>
      </c>
      <c r="K466" s="12">
        <f>SUM(D466:J466)</f>
        <v/>
      </c>
    </row>
    <row r="467">
      <c r="A467" s="5" t="n">
        <v>101755</v>
      </c>
      <c r="B467" s="5" t="inlineStr">
        <is>
          <t>NEW SMART LOG TRANSP INTERNAC LTDA</t>
        </is>
      </c>
      <c r="C467" s="5">
        <f>IFERROR(INDEX(DePara[Categoria],MATCH(TEXT(A467,"0"),DePara[Fornecedor_txt],0)),"(sem categoria)")</f>
        <v/>
      </c>
      <c r="D467" s="12">
        <f>SUMIFS(Base[Montante],Base[Fornecedor],$A467&amp;"",Base[Ano],D$4)</f>
        <v/>
      </c>
      <c r="E467" s="12">
        <f>SUMIFS(Base[Montante],Base[Fornecedor],$A467&amp;"",Base[Ano],E$4)</f>
        <v/>
      </c>
      <c r="F467" s="12">
        <f>SUMIFS(Base[Montante],Base[Fornecedor],$A467&amp;"",Base[Ano],F$4)</f>
        <v/>
      </c>
      <c r="G467" s="12">
        <f>SUMIFS(Base[Montante],Base[Fornecedor],$A467&amp;"",Base[Ano],G$4)</f>
        <v/>
      </c>
      <c r="H467" s="12">
        <f>SUMIFS(Base[Montante],Base[Fornecedor],$A467&amp;"",Base[Ano],H$4)</f>
        <v/>
      </c>
      <c r="I467" s="12">
        <f>SUMIFS(Base[Montante],Base[Fornecedor],$A467&amp;"",Base[Ano],I$4)</f>
        <v/>
      </c>
      <c r="J467" s="12">
        <f>SUMIFS(Base[Montante],Base[Fornecedor],$A467&amp;"",Base[Ano],J$4)</f>
        <v/>
      </c>
      <c r="K467" s="12">
        <f>SUM(D467:J467)</f>
        <v/>
      </c>
    </row>
    <row r="468">
      <c r="A468" s="5" t="n">
        <v>101053</v>
      </c>
      <c r="B468" s="5" t="inlineStr">
        <is>
          <t>NLA LATINOAMERICANA LOGISTICA LTDA</t>
        </is>
      </c>
      <c r="C468" s="5">
        <f>IFERROR(INDEX(DePara[Categoria],MATCH(TEXT(A468,"0"),DePara[Fornecedor_txt],0)),"(sem categoria)")</f>
        <v/>
      </c>
      <c r="D468" s="12">
        <f>SUMIFS(Base[Montante],Base[Fornecedor],$A468&amp;"",Base[Ano],D$4)</f>
        <v/>
      </c>
      <c r="E468" s="12">
        <f>SUMIFS(Base[Montante],Base[Fornecedor],$A468&amp;"",Base[Ano],E$4)</f>
        <v/>
      </c>
      <c r="F468" s="12">
        <f>SUMIFS(Base[Montante],Base[Fornecedor],$A468&amp;"",Base[Ano],F$4)</f>
        <v/>
      </c>
      <c r="G468" s="12">
        <f>SUMIFS(Base[Montante],Base[Fornecedor],$A468&amp;"",Base[Ano],G$4)</f>
        <v/>
      </c>
      <c r="H468" s="12">
        <f>SUMIFS(Base[Montante],Base[Fornecedor],$A468&amp;"",Base[Ano],H$4)</f>
        <v/>
      </c>
      <c r="I468" s="12">
        <f>SUMIFS(Base[Montante],Base[Fornecedor],$A468&amp;"",Base[Ano],I$4)</f>
        <v/>
      </c>
      <c r="J468" s="12">
        <f>SUMIFS(Base[Montante],Base[Fornecedor],$A468&amp;"",Base[Ano],J$4)</f>
        <v/>
      </c>
      <c r="K468" s="12">
        <f>SUM(D468:J468)</f>
        <v/>
      </c>
    </row>
    <row r="469">
      <c r="A469" s="5" t="inlineStr">
        <is>
          <t>IC4441</t>
        </is>
      </c>
      <c r="B469" s="5" t="inlineStr">
        <is>
          <t>Nordex Concrete Towers, S.L.</t>
        </is>
      </c>
      <c r="C469" s="5">
        <f>IFERROR(INDEX(DePara[Categoria],MATCH(TEXT(A469,"0"),DePara[Fornecedor_txt],0)),"(sem categoria)")</f>
        <v/>
      </c>
      <c r="D469" s="12">
        <f>SUMIFS(Base[Montante],Base[Fornecedor],$A469&amp;"",Base[Ano],D$4)</f>
        <v/>
      </c>
      <c r="E469" s="12">
        <f>SUMIFS(Base[Montante],Base[Fornecedor],$A469&amp;"",Base[Ano],E$4)</f>
        <v/>
      </c>
      <c r="F469" s="12">
        <f>SUMIFS(Base[Montante],Base[Fornecedor],$A469&amp;"",Base[Ano],F$4)</f>
        <v/>
      </c>
      <c r="G469" s="12">
        <f>SUMIFS(Base[Montante],Base[Fornecedor],$A469&amp;"",Base[Ano],G$4)</f>
        <v/>
      </c>
      <c r="H469" s="12">
        <f>SUMIFS(Base[Montante],Base[Fornecedor],$A469&amp;"",Base[Ano],H$4)</f>
        <v/>
      </c>
      <c r="I469" s="12">
        <f>SUMIFS(Base[Montante],Base[Fornecedor],$A469&amp;"",Base[Ano],I$4)</f>
        <v/>
      </c>
      <c r="J469" s="12">
        <f>SUMIFS(Base[Montante],Base[Fornecedor],$A469&amp;"",Base[Ano],J$4)</f>
        <v/>
      </c>
      <c r="K469" s="12">
        <f>SUM(D469:J469)</f>
        <v/>
      </c>
    </row>
    <row r="470">
      <c r="A470" s="5" t="inlineStr">
        <is>
          <t>ICBRWA</t>
        </is>
      </c>
      <c r="B470" s="5" t="inlineStr">
        <is>
          <t>NORDEX ENERGY BRASIL - COMERCIO E I</t>
        </is>
      </c>
      <c r="C470" s="5">
        <f>IFERROR(INDEX(DePara[Categoria],MATCH(TEXT(A470,"0"),DePara[Fornecedor_txt],0)),"(sem categoria)")</f>
        <v/>
      </c>
      <c r="D470" s="12">
        <f>SUMIFS(Base[Montante],Base[Fornecedor],$A470&amp;"",Base[Ano],D$4)</f>
        <v/>
      </c>
      <c r="E470" s="12">
        <f>SUMIFS(Base[Montante],Base[Fornecedor],$A470&amp;"",Base[Ano],E$4)</f>
        <v/>
      </c>
      <c r="F470" s="12">
        <f>SUMIFS(Base[Montante],Base[Fornecedor],$A470&amp;"",Base[Ano],F$4)</f>
        <v/>
      </c>
      <c r="G470" s="12">
        <f>SUMIFS(Base[Montante],Base[Fornecedor],$A470&amp;"",Base[Ano],G$4)</f>
        <v/>
      </c>
      <c r="H470" s="12">
        <f>SUMIFS(Base[Montante],Base[Fornecedor],$A470&amp;"",Base[Ano],H$4)</f>
        <v/>
      </c>
      <c r="I470" s="12">
        <f>SUMIFS(Base[Montante],Base[Fornecedor],$A470&amp;"",Base[Ano],I$4)</f>
        <v/>
      </c>
      <c r="J470" s="12">
        <f>SUMIFS(Base[Montante],Base[Fornecedor],$A470&amp;"",Base[Ano],J$4)</f>
        <v/>
      </c>
      <c r="K470" s="12">
        <f>SUM(D470:J470)</f>
        <v/>
      </c>
    </row>
    <row r="471">
      <c r="A471" s="5" t="inlineStr">
        <is>
          <t>IC4670</t>
        </is>
      </c>
      <c r="B471" s="5" t="inlineStr">
        <is>
          <t>NORDEX ENERGY CHILE SA</t>
        </is>
      </c>
      <c r="C471" s="5">
        <f>IFERROR(INDEX(DePara[Categoria],MATCH(TEXT(A471,"0"),DePara[Fornecedor_txt],0)),"(sem categoria)")</f>
        <v/>
      </c>
      <c r="D471" s="12">
        <f>SUMIFS(Base[Montante],Base[Fornecedor],$A471&amp;"",Base[Ano],D$4)</f>
        <v/>
      </c>
      <c r="E471" s="12">
        <f>SUMIFS(Base[Montante],Base[Fornecedor],$A471&amp;"",Base[Ano],E$4)</f>
        <v/>
      </c>
      <c r="F471" s="12">
        <f>SUMIFS(Base[Montante],Base[Fornecedor],$A471&amp;"",Base[Ano],F$4)</f>
        <v/>
      </c>
      <c r="G471" s="12">
        <f>SUMIFS(Base[Montante],Base[Fornecedor],$A471&amp;"",Base[Ano],G$4)</f>
        <v/>
      </c>
      <c r="H471" s="12">
        <f>SUMIFS(Base[Montante],Base[Fornecedor],$A471&amp;"",Base[Ano],H$4)</f>
        <v/>
      </c>
      <c r="I471" s="12">
        <f>SUMIFS(Base[Montante],Base[Fornecedor],$A471&amp;"",Base[Ano],I$4)</f>
        <v/>
      </c>
      <c r="J471" s="12">
        <f>SUMIFS(Base[Montante],Base[Fornecedor],$A471&amp;"",Base[Ano],J$4)</f>
        <v/>
      </c>
      <c r="K471" s="12">
        <f>SUM(D471:J471)</f>
        <v/>
      </c>
    </row>
    <row r="472">
      <c r="A472" s="5" t="inlineStr">
        <is>
          <t>IC4680</t>
        </is>
      </c>
      <c r="B472" s="5" t="inlineStr">
        <is>
          <t>NORDEX ENERGY MEXICO S DE RL DE CV</t>
        </is>
      </c>
      <c r="C472" s="5">
        <f>IFERROR(INDEX(DePara[Categoria],MATCH(TEXT(A472,"0"),DePara[Fornecedor_txt],0)),"(sem categoria)")</f>
        <v/>
      </c>
      <c r="D472" s="12">
        <f>SUMIFS(Base[Montante],Base[Fornecedor],$A472&amp;"",Base[Ano],D$4)</f>
        <v/>
      </c>
      <c r="E472" s="12">
        <f>SUMIFS(Base[Montante],Base[Fornecedor],$A472&amp;"",Base[Ano],E$4)</f>
        <v/>
      </c>
      <c r="F472" s="12">
        <f>SUMIFS(Base[Montante],Base[Fornecedor],$A472&amp;"",Base[Ano],F$4)</f>
        <v/>
      </c>
      <c r="G472" s="12">
        <f>SUMIFS(Base[Montante],Base[Fornecedor],$A472&amp;"",Base[Ano],G$4)</f>
        <v/>
      </c>
      <c r="H472" s="12">
        <f>SUMIFS(Base[Montante],Base[Fornecedor],$A472&amp;"",Base[Ano],H$4)</f>
        <v/>
      </c>
      <c r="I472" s="12">
        <f>SUMIFS(Base[Montante],Base[Fornecedor],$A472&amp;"",Base[Ano],I$4)</f>
        <v/>
      </c>
      <c r="J472" s="12">
        <f>SUMIFS(Base[Montante],Base[Fornecedor],$A472&amp;"",Base[Ano],J$4)</f>
        <v/>
      </c>
      <c r="K472" s="12">
        <f>SUM(D472:J472)</f>
        <v/>
      </c>
    </row>
    <row r="473">
      <c r="A473" s="5" t="inlineStr">
        <is>
          <t>IC1000</t>
        </is>
      </c>
      <c r="B473" s="5" t="inlineStr">
        <is>
          <t>NORDEX ENERGY SE &amp; CO KG</t>
        </is>
      </c>
      <c r="C473" s="5">
        <f>IFERROR(INDEX(DePara[Categoria],MATCH(TEXT(A473,"0"),DePara[Fornecedor_txt],0)),"(sem categoria)")</f>
        <v/>
      </c>
      <c r="D473" s="12">
        <f>SUMIFS(Base[Montante],Base[Fornecedor],$A473&amp;"",Base[Ano],D$4)</f>
        <v/>
      </c>
      <c r="E473" s="12">
        <f>SUMIFS(Base[Montante],Base[Fornecedor],$A473&amp;"",Base[Ano],E$4)</f>
        <v/>
      </c>
      <c r="F473" s="12">
        <f>SUMIFS(Base[Montante],Base[Fornecedor],$A473&amp;"",Base[Ano],F$4)</f>
        <v/>
      </c>
      <c r="G473" s="12">
        <f>SUMIFS(Base[Montante],Base[Fornecedor],$A473&amp;"",Base[Ano],G$4)</f>
        <v/>
      </c>
      <c r="H473" s="12">
        <f>SUMIFS(Base[Montante],Base[Fornecedor],$A473&amp;"",Base[Ano],H$4)</f>
        <v/>
      </c>
      <c r="I473" s="12">
        <f>SUMIFS(Base[Montante],Base[Fornecedor],$A473&amp;"",Base[Ano],I$4)</f>
        <v/>
      </c>
      <c r="J473" s="12">
        <f>SUMIFS(Base[Montante],Base[Fornecedor],$A473&amp;"",Base[Ano],J$4)</f>
        <v/>
      </c>
      <c r="K473" s="12">
        <f>SUM(D473:J473)</f>
        <v/>
      </c>
    </row>
    <row r="474">
      <c r="A474" s="5" t="inlineStr">
        <is>
          <t>IC4420</t>
        </is>
      </c>
      <c r="B474" s="5" t="inlineStr">
        <is>
          <t>NORDEX ENERGY SPAIN S A U</t>
        </is>
      </c>
      <c r="C474" s="5">
        <f>IFERROR(INDEX(DePara[Categoria],MATCH(TEXT(A474,"0"),DePara[Fornecedor_txt],0)),"(sem categoria)")</f>
        <v/>
      </c>
      <c r="D474" s="12">
        <f>SUMIFS(Base[Montante],Base[Fornecedor],$A474&amp;"",Base[Ano],D$4)</f>
        <v/>
      </c>
      <c r="E474" s="12">
        <f>SUMIFS(Base[Montante],Base[Fornecedor],$A474&amp;"",Base[Ano],E$4)</f>
        <v/>
      </c>
      <c r="F474" s="12">
        <f>SUMIFS(Base[Montante],Base[Fornecedor],$A474&amp;"",Base[Ano],F$4)</f>
        <v/>
      </c>
      <c r="G474" s="12">
        <f>SUMIFS(Base[Montante],Base[Fornecedor],$A474&amp;"",Base[Ano],G$4)</f>
        <v/>
      </c>
      <c r="H474" s="12">
        <f>SUMIFS(Base[Montante],Base[Fornecedor],$A474&amp;"",Base[Ano],H$4)</f>
        <v/>
      </c>
      <c r="I474" s="12">
        <f>SUMIFS(Base[Montante],Base[Fornecedor],$A474&amp;"",Base[Ano],I$4)</f>
        <v/>
      </c>
      <c r="J474" s="12">
        <f>SUMIFS(Base[Montante],Base[Fornecedor],$A474&amp;"",Base[Ano],J$4)</f>
        <v/>
      </c>
      <c r="K474" s="12">
        <f>SUM(D474:J474)</f>
        <v/>
      </c>
    </row>
    <row r="475">
      <c r="A475" s="5" t="inlineStr">
        <is>
          <t>IC5000</t>
        </is>
      </c>
      <c r="B475" s="5" t="inlineStr">
        <is>
          <t>NORDEX SE</t>
        </is>
      </c>
      <c r="C475" s="5">
        <f>IFERROR(INDEX(DePara[Categoria],MATCH(TEXT(A475,"0"),DePara[Fornecedor_txt],0)),"(sem categoria)")</f>
        <v/>
      </c>
      <c r="D475" s="12">
        <f>SUMIFS(Base[Montante],Base[Fornecedor],$A475&amp;"",Base[Ano],D$4)</f>
        <v/>
      </c>
      <c r="E475" s="12">
        <f>SUMIFS(Base[Montante],Base[Fornecedor],$A475&amp;"",Base[Ano],E$4)</f>
        <v/>
      </c>
      <c r="F475" s="12">
        <f>SUMIFS(Base[Montante],Base[Fornecedor],$A475&amp;"",Base[Ano],F$4)</f>
        <v/>
      </c>
      <c r="G475" s="12">
        <f>SUMIFS(Base[Montante],Base[Fornecedor],$A475&amp;"",Base[Ano],G$4)</f>
        <v/>
      </c>
      <c r="H475" s="12">
        <f>SUMIFS(Base[Montante],Base[Fornecedor],$A475&amp;"",Base[Ano],H$4)</f>
        <v/>
      </c>
      <c r="I475" s="12">
        <f>SUMIFS(Base[Montante],Base[Fornecedor],$A475&amp;"",Base[Ano],I$4)</f>
        <v/>
      </c>
      <c r="J475" s="12">
        <f>SUMIFS(Base[Montante],Base[Fornecedor],$A475&amp;"",Base[Ano],J$4)</f>
        <v/>
      </c>
      <c r="K475" s="12">
        <f>SUM(D475:J475)</f>
        <v/>
      </c>
    </row>
    <row r="476">
      <c r="A476" s="5" t="inlineStr">
        <is>
          <t>IC4600</t>
        </is>
      </c>
      <c r="B476" s="5" t="inlineStr">
        <is>
          <t>NORDEX USA INC 4650</t>
        </is>
      </c>
      <c r="C476" s="5">
        <f>IFERROR(INDEX(DePara[Categoria],MATCH(TEXT(A476,"0"),DePara[Fornecedor_txt],0)),"(sem categoria)")</f>
        <v/>
      </c>
      <c r="D476" s="12">
        <f>SUMIFS(Base[Montante],Base[Fornecedor],$A476&amp;"",Base[Ano],D$4)</f>
        <v/>
      </c>
      <c r="E476" s="12">
        <f>SUMIFS(Base[Montante],Base[Fornecedor],$A476&amp;"",Base[Ano],E$4)</f>
        <v/>
      </c>
      <c r="F476" s="12">
        <f>SUMIFS(Base[Montante],Base[Fornecedor],$A476&amp;"",Base[Ano],F$4)</f>
        <v/>
      </c>
      <c r="G476" s="12">
        <f>SUMIFS(Base[Montante],Base[Fornecedor],$A476&amp;"",Base[Ano],G$4)</f>
        <v/>
      </c>
      <c r="H476" s="12">
        <f>SUMIFS(Base[Montante],Base[Fornecedor],$A476&amp;"",Base[Ano],H$4)</f>
        <v/>
      </c>
      <c r="I476" s="12">
        <f>SUMIFS(Base[Montante],Base[Fornecedor],$A476&amp;"",Base[Ano],I$4)</f>
        <v/>
      </c>
      <c r="J476" s="12">
        <f>SUMIFS(Base[Montante],Base[Fornecedor],$A476&amp;"",Base[Ano],J$4)</f>
        <v/>
      </c>
      <c r="K476" s="12">
        <f>SUM(D476:J476)</f>
        <v/>
      </c>
    </row>
    <row r="477">
      <c r="A477" s="5" t="inlineStr">
        <is>
          <t>IC4665</t>
        </is>
      </c>
      <c r="B477" s="5" t="inlineStr">
        <is>
          <t>NORDEX WINDPOWER PERU SA</t>
        </is>
      </c>
      <c r="C477" s="5">
        <f>IFERROR(INDEX(DePara[Categoria],MATCH(TEXT(A477,"0"),DePara[Fornecedor_txt],0)),"(sem categoria)")</f>
        <v/>
      </c>
      <c r="D477" s="12">
        <f>SUMIFS(Base[Montante],Base[Fornecedor],$A477&amp;"",Base[Ano],D$4)</f>
        <v/>
      </c>
      <c r="E477" s="12">
        <f>SUMIFS(Base[Montante],Base[Fornecedor],$A477&amp;"",Base[Ano],E$4)</f>
        <v/>
      </c>
      <c r="F477" s="12">
        <f>SUMIFS(Base[Montante],Base[Fornecedor],$A477&amp;"",Base[Ano],F$4)</f>
        <v/>
      </c>
      <c r="G477" s="12">
        <f>SUMIFS(Base[Montante],Base[Fornecedor],$A477&amp;"",Base[Ano],G$4)</f>
        <v/>
      </c>
      <c r="H477" s="12">
        <f>SUMIFS(Base[Montante],Base[Fornecedor],$A477&amp;"",Base[Ano],H$4)</f>
        <v/>
      </c>
      <c r="I477" s="12">
        <f>SUMIFS(Base[Montante],Base[Fornecedor],$A477&amp;"",Base[Ano],I$4)</f>
        <v/>
      </c>
      <c r="J477" s="12">
        <f>SUMIFS(Base[Montante],Base[Fornecedor],$A477&amp;"",Base[Ano],J$4)</f>
        <v/>
      </c>
      <c r="K477" s="12">
        <f>SUM(D477:J477)</f>
        <v/>
      </c>
    </row>
    <row r="478">
      <c r="A478" s="5" t="n">
        <v>103839</v>
      </c>
      <c r="B478" s="5" t="inlineStr">
        <is>
          <t>NORTEL SUPRIMENTOS INDUSTRIAIS LTDA</t>
        </is>
      </c>
      <c r="C478" s="5">
        <f>IFERROR(INDEX(DePara[Categoria],MATCH(TEXT(A478,"0"),DePara[Fornecedor_txt],0)),"(sem categoria)")</f>
        <v/>
      </c>
      <c r="D478" s="12">
        <f>SUMIFS(Base[Montante],Base[Fornecedor],$A478&amp;"",Base[Ano],D$4)</f>
        <v/>
      </c>
      <c r="E478" s="12">
        <f>SUMIFS(Base[Montante],Base[Fornecedor],$A478&amp;"",Base[Ano],E$4)</f>
        <v/>
      </c>
      <c r="F478" s="12">
        <f>SUMIFS(Base[Montante],Base[Fornecedor],$A478&amp;"",Base[Ano],F$4)</f>
        <v/>
      </c>
      <c r="G478" s="12">
        <f>SUMIFS(Base[Montante],Base[Fornecedor],$A478&amp;"",Base[Ano],G$4)</f>
        <v/>
      </c>
      <c r="H478" s="12">
        <f>SUMIFS(Base[Montante],Base[Fornecedor],$A478&amp;"",Base[Ano],H$4)</f>
        <v/>
      </c>
      <c r="I478" s="12">
        <f>SUMIFS(Base[Montante],Base[Fornecedor],$A478&amp;"",Base[Ano],I$4)</f>
        <v/>
      </c>
      <c r="J478" s="12">
        <f>SUMIFS(Base[Montante],Base[Fornecedor],$A478&amp;"",Base[Ano],J$4)</f>
        <v/>
      </c>
      <c r="K478" s="12">
        <f>SUM(D478:J478)</f>
        <v/>
      </c>
    </row>
    <row r="479">
      <c r="A479" s="5" t="n">
        <v>100606</v>
      </c>
      <c r="B479" s="5" t="inlineStr">
        <is>
          <t>NOVA ERA COMERCIAL DE TINTAS LTDA</t>
        </is>
      </c>
      <c r="C479" s="5">
        <f>IFERROR(INDEX(DePara[Categoria],MATCH(TEXT(A479,"0"),DePara[Fornecedor_txt],0)),"(sem categoria)")</f>
        <v/>
      </c>
      <c r="D479" s="12">
        <f>SUMIFS(Base[Montante],Base[Fornecedor],$A479&amp;"",Base[Ano],D$4)</f>
        <v/>
      </c>
      <c r="E479" s="12">
        <f>SUMIFS(Base[Montante],Base[Fornecedor],$A479&amp;"",Base[Ano],E$4)</f>
        <v/>
      </c>
      <c r="F479" s="12">
        <f>SUMIFS(Base[Montante],Base[Fornecedor],$A479&amp;"",Base[Ano],F$4)</f>
        <v/>
      </c>
      <c r="G479" s="12">
        <f>SUMIFS(Base[Montante],Base[Fornecedor],$A479&amp;"",Base[Ano],G$4)</f>
        <v/>
      </c>
      <c r="H479" s="12">
        <f>SUMIFS(Base[Montante],Base[Fornecedor],$A479&amp;"",Base[Ano],H$4)</f>
        <v/>
      </c>
      <c r="I479" s="12">
        <f>SUMIFS(Base[Montante],Base[Fornecedor],$A479&amp;"",Base[Ano],I$4)</f>
        <v/>
      </c>
      <c r="J479" s="12">
        <f>SUMIFS(Base[Montante],Base[Fornecedor],$A479&amp;"",Base[Ano],J$4)</f>
        <v/>
      </c>
      <c r="K479" s="12">
        <f>SUM(D479:J479)</f>
        <v/>
      </c>
    </row>
    <row r="480">
      <c r="A480" s="5" t="n">
        <v>101460</v>
      </c>
      <c r="B480" s="5" t="inlineStr">
        <is>
          <t>NS AUTOMACAO E INSTRUMENTAÇAO LTDA</t>
        </is>
      </c>
      <c r="C480" s="5">
        <f>IFERROR(INDEX(DePara[Categoria],MATCH(TEXT(A480,"0"),DePara[Fornecedor_txt],0)),"(sem categoria)")</f>
        <v/>
      </c>
      <c r="D480" s="12">
        <f>SUMIFS(Base[Montante],Base[Fornecedor],$A480&amp;"",Base[Ano],D$4)</f>
        <v/>
      </c>
      <c r="E480" s="12">
        <f>SUMIFS(Base[Montante],Base[Fornecedor],$A480&amp;"",Base[Ano],E$4)</f>
        <v/>
      </c>
      <c r="F480" s="12">
        <f>SUMIFS(Base[Montante],Base[Fornecedor],$A480&amp;"",Base[Ano],F$4)</f>
        <v/>
      </c>
      <c r="G480" s="12">
        <f>SUMIFS(Base[Montante],Base[Fornecedor],$A480&amp;"",Base[Ano],G$4)</f>
        <v/>
      </c>
      <c r="H480" s="12">
        <f>SUMIFS(Base[Montante],Base[Fornecedor],$A480&amp;"",Base[Ano],H$4)</f>
        <v/>
      </c>
      <c r="I480" s="12">
        <f>SUMIFS(Base[Montante],Base[Fornecedor],$A480&amp;"",Base[Ano],I$4)</f>
        <v/>
      </c>
      <c r="J480" s="12">
        <f>SUMIFS(Base[Montante],Base[Fornecedor],$A480&amp;"",Base[Ano],J$4)</f>
        <v/>
      </c>
      <c r="K480" s="12">
        <f>SUM(D480:J480)</f>
        <v/>
      </c>
    </row>
    <row r="481">
      <c r="A481" s="5" t="n">
        <v>106024</v>
      </c>
      <c r="B481" s="5" t="inlineStr">
        <is>
          <t>NS AUTOMACAO E INSTRUMENTACAO LTDA 13786265000290</t>
        </is>
      </c>
      <c r="C481" s="5">
        <f>IFERROR(INDEX(DePara[Categoria],MATCH(TEXT(A481,"0"),DePara[Fornecedor_txt],0)),"(sem categoria)")</f>
        <v/>
      </c>
      <c r="D481" s="12">
        <f>SUMIFS(Base[Montante],Base[Fornecedor],$A481&amp;"",Base[Ano],D$4)</f>
        <v/>
      </c>
      <c r="E481" s="12">
        <f>SUMIFS(Base[Montante],Base[Fornecedor],$A481&amp;"",Base[Ano],E$4)</f>
        <v/>
      </c>
      <c r="F481" s="12">
        <f>SUMIFS(Base[Montante],Base[Fornecedor],$A481&amp;"",Base[Ano],F$4)</f>
        <v/>
      </c>
      <c r="G481" s="12">
        <f>SUMIFS(Base[Montante],Base[Fornecedor],$A481&amp;"",Base[Ano],G$4)</f>
        <v/>
      </c>
      <c r="H481" s="12">
        <f>SUMIFS(Base[Montante],Base[Fornecedor],$A481&amp;"",Base[Ano],H$4)</f>
        <v/>
      </c>
      <c r="I481" s="12">
        <f>SUMIFS(Base[Montante],Base[Fornecedor],$A481&amp;"",Base[Ano],I$4)</f>
        <v/>
      </c>
      <c r="J481" s="12">
        <f>SUMIFS(Base[Montante],Base[Fornecedor],$A481&amp;"",Base[Ano],J$4)</f>
        <v/>
      </c>
      <c r="K481" s="12">
        <f>SUM(D481:J481)</f>
        <v/>
      </c>
    </row>
    <row r="482">
      <c r="A482" s="5" t="n">
        <v>101670</v>
      </c>
      <c r="B482" s="5" t="inlineStr">
        <is>
          <t>NSA BR ASSESSORIA TR E CO DE SE TO</t>
        </is>
      </c>
      <c r="C482" s="5">
        <f>IFERROR(INDEX(DePara[Categoria],MATCH(TEXT(A482,"0"),DePara[Fornecedor_txt],0)),"(sem categoria)")</f>
        <v/>
      </c>
      <c r="D482" s="12">
        <f>SUMIFS(Base[Montante],Base[Fornecedor],$A482&amp;"",Base[Ano],D$4)</f>
        <v/>
      </c>
      <c r="E482" s="12">
        <f>SUMIFS(Base[Montante],Base[Fornecedor],$A482&amp;"",Base[Ano],E$4)</f>
        <v/>
      </c>
      <c r="F482" s="12">
        <f>SUMIFS(Base[Montante],Base[Fornecedor],$A482&amp;"",Base[Ano],F$4)</f>
        <v/>
      </c>
      <c r="G482" s="12">
        <f>SUMIFS(Base[Montante],Base[Fornecedor],$A482&amp;"",Base[Ano],G$4)</f>
        <v/>
      </c>
      <c r="H482" s="12">
        <f>SUMIFS(Base[Montante],Base[Fornecedor],$A482&amp;"",Base[Ano],H$4)</f>
        <v/>
      </c>
      <c r="I482" s="12">
        <f>SUMIFS(Base[Montante],Base[Fornecedor],$A482&amp;"",Base[Ano],I$4)</f>
        <v/>
      </c>
      <c r="J482" s="12">
        <f>SUMIFS(Base[Montante],Base[Fornecedor],$A482&amp;"",Base[Ano],J$4)</f>
        <v/>
      </c>
      <c r="K482" s="12">
        <f>SUM(D482:J482)</f>
        <v/>
      </c>
    </row>
    <row r="483">
      <c r="A483" s="5" t="n">
        <v>100369</v>
      </c>
      <c r="B483" s="5" t="inlineStr">
        <is>
          <t>NUCLEO DE MONITORAMENTO DE DESCARGA</t>
        </is>
      </c>
      <c r="C483" s="5">
        <f>IFERROR(INDEX(DePara[Categoria],MATCH(TEXT(A483,"0"),DePara[Fornecedor_txt],0)),"(sem categoria)")</f>
        <v/>
      </c>
      <c r="D483" s="12">
        <f>SUMIFS(Base[Montante],Base[Fornecedor],$A483&amp;"",Base[Ano],D$4)</f>
        <v/>
      </c>
      <c r="E483" s="12">
        <f>SUMIFS(Base[Montante],Base[Fornecedor],$A483&amp;"",Base[Ano],E$4)</f>
        <v/>
      </c>
      <c r="F483" s="12">
        <f>SUMIFS(Base[Montante],Base[Fornecedor],$A483&amp;"",Base[Ano],F$4)</f>
        <v/>
      </c>
      <c r="G483" s="12">
        <f>SUMIFS(Base[Montante],Base[Fornecedor],$A483&amp;"",Base[Ano],G$4)</f>
        <v/>
      </c>
      <c r="H483" s="12">
        <f>SUMIFS(Base[Montante],Base[Fornecedor],$A483&amp;"",Base[Ano],H$4)</f>
        <v/>
      </c>
      <c r="I483" s="12">
        <f>SUMIFS(Base[Montante],Base[Fornecedor],$A483&amp;"",Base[Ano],I$4)</f>
        <v/>
      </c>
      <c r="J483" s="12">
        <f>SUMIFS(Base[Montante],Base[Fornecedor],$A483&amp;"",Base[Ano],J$4)</f>
        <v/>
      </c>
      <c r="K483" s="12">
        <f>SUM(D483:J483)</f>
        <v/>
      </c>
    </row>
    <row r="484">
      <c r="A484" s="5" t="n">
        <v>103805</v>
      </c>
      <c r="B484" s="5" t="inlineStr">
        <is>
          <t>NUMEN IT SOLUCOES EM TECNOLOGIA LTD</t>
        </is>
      </c>
      <c r="C484" s="5">
        <f>IFERROR(INDEX(DePara[Categoria],MATCH(TEXT(A484,"0"),DePara[Fornecedor_txt],0)),"(sem categoria)")</f>
        <v/>
      </c>
      <c r="D484" s="12">
        <f>SUMIFS(Base[Montante],Base[Fornecedor],$A484&amp;"",Base[Ano],D$4)</f>
        <v/>
      </c>
      <c r="E484" s="12">
        <f>SUMIFS(Base[Montante],Base[Fornecedor],$A484&amp;"",Base[Ano],E$4)</f>
        <v/>
      </c>
      <c r="F484" s="12">
        <f>SUMIFS(Base[Montante],Base[Fornecedor],$A484&amp;"",Base[Ano],F$4)</f>
        <v/>
      </c>
      <c r="G484" s="12">
        <f>SUMIFS(Base[Montante],Base[Fornecedor],$A484&amp;"",Base[Ano],G$4)</f>
        <v/>
      </c>
      <c r="H484" s="12">
        <f>SUMIFS(Base[Montante],Base[Fornecedor],$A484&amp;"",Base[Ano],H$4)</f>
        <v/>
      </c>
      <c r="I484" s="12">
        <f>SUMIFS(Base[Montante],Base[Fornecedor],$A484&amp;"",Base[Ano],I$4)</f>
        <v/>
      </c>
      <c r="J484" s="12">
        <f>SUMIFS(Base[Montante],Base[Fornecedor],$A484&amp;"",Base[Ano],J$4)</f>
        <v/>
      </c>
      <c r="K484" s="12">
        <f>SUM(D484:J484)</f>
        <v/>
      </c>
    </row>
    <row r="485">
      <c r="A485" s="5" t="n">
        <v>102022</v>
      </c>
      <c r="B485" s="5" t="inlineStr">
        <is>
          <t>OBJECTA CONSULTORIA LTDA</t>
        </is>
      </c>
      <c r="C485" s="5">
        <f>IFERROR(INDEX(DePara[Categoria],MATCH(TEXT(A485,"0"),DePara[Fornecedor_txt],0)),"(sem categoria)")</f>
        <v/>
      </c>
      <c r="D485" s="12">
        <f>SUMIFS(Base[Montante],Base[Fornecedor],$A485&amp;"",Base[Ano],D$4)</f>
        <v/>
      </c>
      <c r="E485" s="12">
        <f>SUMIFS(Base[Montante],Base[Fornecedor],$A485&amp;"",Base[Ano],E$4)</f>
        <v/>
      </c>
      <c r="F485" s="12">
        <f>SUMIFS(Base[Montante],Base[Fornecedor],$A485&amp;"",Base[Ano],F$4)</f>
        <v/>
      </c>
      <c r="G485" s="12">
        <f>SUMIFS(Base[Montante],Base[Fornecedor],$A485&amp;"",Base[Ano],G$4)</f>
        <v/>
      </c>
      <c r="H485" s="12">
        <f>SUMIFS(Base[Montante],Base[Fornecedor],$A485&amp;"",Base[Ano],H$4)</f>
        <v/>
      </c>
      <c r="I485" s="12">
        <f>SUMIFS(Base[Montante],Base[Fornecedor],$A485&amp;"",Base[Ano],I$4)</f>
        <v/>
      </c>
      <c r="J485" s="12">
        <f>SUMIFS(Base[Montante],Base[Fornecedor],$A485&amp;"",Base[Ano],J$4)</f>
        <v/>
      </c>
      <c r="K485" s="12">
        <f>SUM(D485:J485)</f>
        <v/>
      </c>
    </row>
    <row r="486">
      <c r="A486" s="5" t="n">
        <v>107274</v>
      </c>
      <c r="B486" s="5" t="inlineStr">
        <is>
          <t>OBJECTA LIFTING LASHING AND TECHNIC</t>
        </is>
      </c>
      <c r="C486" s="5">
        <f>IFERROR(INDEX(DePara[Categoria],MATCH(TEXT(A486,"0"),DePara[Fornecedor_txt],0)),"(sem categoria)")</f>
        <v/>
      </c>
      <c r="D486" s="12">
        <f>SUMIFS(Base[Montante],Base[Fornecedor],$A486&amp;"",Base[Ano],D$4)</f>
        <v/>
      </c>
      <c r="E486" s="12">
        <f>SUMIFS(Base[Montante],Base[Fornecedor],$A486&amp;"",Base[Ano],E$4)</f>
        <v/>
      </c>
      <c r="F486" s="12">
        <f>SUMIFS(Base[Montante],Base[Fornecedor],$A486&amp;"",Base[Ano],F$4)</f>
        <v/>
      </c>
      <c r="G486" s="12">
        <f>SUMIFS(Base[Montante],Base[Fornecedor],$A486&amp;"",Base[Ano],G$4)</f>
        <v/>
      </c>
      <c r="H486" s="12">
        <f>SUMIFS(Base[Montante],Base[Fornecedor],$A486&amp;"",Base[Ano],H$4)</f>
        <v/>
      </c>
      <c r="I486" s="12">
        <f>SUMIFS(Base[Montante],Base[Fornecedor],$A486&amp;"",Base[Ano],I$4)</f>
        <v/>
      </c>
      <c r="J486" s="12">
        <f>SUMIFS(Base[Montante],Base[Fornecedor],$A486&amp;"",Base[Ano],J$4)</f>
        <v/>
      </c>
      <c r="K486" s="12">
        <f>SUM(D486:J486)</f>
        <v/>
      </c>
    </row>
    <row r="487">
      <c r="A487" s="5" t="n">
        <v>100757</v>
      </c>
      <c r="B487" s="5" t="inlineStr">
        <is>
          <t>OMI BRASIL ENGENHARIA</t>
        </is>
      </c>
      <c r="C487" s="5">
        <f>IFERROR(INDEX(DePara[Categoria],MATCH(TEXT(A487,"0"),DePara[Fornecedor_txt],0)),"(sem categoria)")</f>
        <v/>
      </c>
      <c r="D487" s="12">
        <f>SUMIFS(Base[Montante],Base[Fornecedor],$A487&amp;"",Base[Ano],D$4)</f>
        <v/>
      </c>
      <c r="E487" s="12">
        <f>SUMIFS(Base[Montante],Base[Fornecedor],$A487&amp;"",Base[Ano],E$4)</f>
        <v/>
      </c>
      <c r="F487" s="12">
        <f>SUMIFS(Base[Montante],Base[Fornecedor],$A487&amp;"",Base[Ano],F$4)</f>
        <v/>
      </c>
      <c r="G487" s="12">
        <f>SUMIFS(Base[Montante],Base[Fornecedor],$A487&amp;"",Base[Ano],G$4)</f>
        <v/>
      </c>
      <c r="H487" s="12">
        <f>SUMIFS(Base[Montante],Base[Fornecedor],$A487&amp;"",Base[Ano],H$4)</f>
        <v/>
      </c>
      <c r="I487" s="12">
        <f>SUMIFS(Base[Montante],Base[Fornecedor],$A487&amp;"",Base[Ano],I$4)</f>
        <v/>
      </c>
      <c r="J487" s="12">
        <f>SUMIFS(Base[Montante],Base[Fornecedor],$A487&amp;"",Base[Ano],J$4)</f>
        <v/>
      </c>
      <c r="K487" s="12">
        <f>SUM(D487:J487)</f>
        <v/>
      </c>
    </row>
    <row r="488">
      <c r="A488" s="5" t="inlineStr">
        <is>
          <t>EM003724</t>
        </is>
      </c>
      <c r="B488" s="5" t="inlineStr">
        <is>
          <t>OTÁVIO PAULINO DA SILVA NETO</t>
        </is>
      </c>
      <c r="C488" s="5">
        <f>IFERROR(INDEX(DePara[Categoria],MATCH(TEXT(A488,"0"),DePara[Fornecedor_txt],0)),"(sem categoria)")</f>
        <v/>
      </c>
      <c r="D488" s="12">
        <f>SUMIFS(Base[Montante],Base[Fornecedor],$A488&amp;"",Base[Ano],D$4)</f>
        <v/>
      </c>
      <c r="E488" s="12">
        <f>SUMIFS(Base[Montante],Base[Fornecedor],$A488&amp;"",Base[Ano],E$4)</f>
        <v/>
      </c>
      <c r="F488" s="12">
        <f>SUMIFS(Base[Montante],Base[Fornecedor],$A488&amp;"",Base[Ano],F$4)</f>
        <v/>
      </c>
      <c r="G488" s="12">
        <f>SUMIFS(Base[Montante],Base[Fornecedor],$A488&amp;"",Base[Ano],G$4)</f>
        <v/>
      </c>
      <c r="H488" s="12">
        <f>SUMIFS(Base[Montante],Base[Fornecedor],$A488&amp;"",Base[Ano],H$4)</f>
        <v/>
      </c>
      <c r="I488" s="12">
        <f>SUMIFS(Base[Montante],Base[Fornecedor],$A488&amp;"",Base[Ano],I$4)</f>
        <v/>
      </c>
      <c r="J488" s="12">
        <f>SUMIFS(Base[Montante],Base[Fornecedor],$A488&amp;"",Base[Ano],J$4)</f>
        <v/>
      </c>
      <c r="K488" s="12">
        <f>SUM(D488:J488)</f>
        <v/>
      </c>
    </row>
    <row r="489">
      <c r="A489" s="5" t="n">
        <v>101008</v>
      </c>
      <c r="B489" s="5" t="inlineStr">
        <is>
          <t>OXIGENIO IRECE LTDA</t>
        </is>
      </c>
      <c r="C489" s="5">
        <f>IFERROR(INDEX(DePara[Categoria],MATCH(TEXT(A489,"0"),DePara[Fornecedor_txt],0)),"(sem categoria)")</f>
        <v/>
      </c>
      <c r="D489" s="12">
        <f>SUMIFS(Base[Montante],Base[Fornecedor],$A489&amp;"",Base[Ano],D$4)</f>
        <v/>
      </c>
      <c r="E489" s="12">
        <f>SUMIFS(Base[Montante],Base[Fornecedor],$A489&amp;"",Base[Ano],E$4)</f>
        <v/>
      </c>
      <c r="F489" s="12">
        <f>SUMIFS(Base[Montante],Base[Fornecedor],$A489&amp;"",Base[Ano],F$4)</f>
        <v/>
      </c>
      <c r="G489" s="12">
        <f>SUMIFS(Base[Montante],Base[Fornecedor],$A489&amp;"",Base[Ano],G$4)</f>
        <v/>
      </c>
      <c r="H489" s="12">
        <f>SUMIFS(Base[Montante],Base[Fornecedor],$A489&amp;"",Base[Ano],H$4)</f>
        <v/>
      </c>
      <c r="I489" s="12">
        <f>SUMIFS(Base[Montante],Base[Fornecedor],$A489&amp;"",Base[Ano],I$4)</f>
        <v/>
      </c>
      <c r="J489" s="12">
        <f>SUMIFS(Base[Montante],Base[Fornecedor],$A489&amp;"",Base[Ano],J$4)</f>
        <v/>
      </c>
      <c r="K489" s="12">
        <f>SUM(D489:J489)</f>
        <v/>
      </c>
    </row>
    <row r="490">
      <c r="A490" s="5" t="n">
        <v>106471</v>
      </c>
      <c r="B490" s="5" t="inlineStr">
        <is>
          <t>P M C FERNANDES</t>
        </is>
      </c>
      <c r="C490" s="5">
        <f>IFERROR(INDEX(DePara[Categoria],MATCH(TEXT(A490,"0"),DePara[Fornecedor_txt],0)),"(sem categoria)")</f>
        <v/>
      </c>
      <c r="D490" s="12">
        <f>SUMIFS(Base[Montante],Base[Fornecedor],$A490&amp;"",Base[Ano],D$4)</f>
        <v/>
      </c>
      <c r="E490" s="12">
        <f>SUMIFS(Base[Montante],Base[Fornecedor],$A490&amp;"",Base[Ano],E$4)</f>
        <v/>
      </c>
      <c r="F490" s="12">
        <f>SUMIFS(Base[Montante],Base[Fornecedor],$A490&amp;"",Base[Ano],F$4)</f>
        <v/>
      </c>
      <c r="G490" s="12">
        <f>SUMIFS(Base[Montante],Base[Fornecedor],$A490&amp;"",Base[Ano],G$4)</f>
        <v/>
      </c>
      <c r="H490" s="12">
        <f>SUMIFS(Base[Montante],Base[Fornecedor],$A490&amp;"",Base[Ano],H$4)</f>
        <v/>
      </c>
      <c r="I490" s="12">
        <f>SUMIFS(Base[Montante],Base[Fornecedor],$A490&amp;"",Base[Ano],I$4)</f>
        <v/>
      </c>
      <c r="J490" s="12">
        <f>SUMIFS(Base[Montante],Base[Fornecedor],$A490&amp;"",Base[Ano],J$4)</f>
        <v/>
      </c>
      <c r="K490" s="12">
        <f>SUM(D490:J490)</f>
        <v/>
      </c>
    </row>
    <row r="491">
      <c r="A491" s="5" t="n">
        <v>100992</v>
      </c>
      <c r="B491" s="5" t="inlineStr">
        <is>
          <t>P W GESTAO DE SAUDE E SEGURANÇA LTD</t>
        </is>
      </c>
      <c r="C491" s="5">
        <f>IFERROR(INDEX(DePara[Categoria],MATCH(TEXT(A491,"0"),DePara[Fornecedor_txt],0)),"(sem categoria)")</f>
        <v/>
      </c>
      <c r="D491" s="12">
        <f>SUMIFS(Base[Montante],Base[Fornecedor],$A491&amp;"",Base[Ano],D$4)</f>
        <v/>
      </c>
      <c r="E491" s="12">
        <f>SUMIFS(Base[Montante],Base[Fornecedor],$A491&amp;"",Base[Ano],E$4)</f>
        <v/>
      </c>
      <c r="F491" s="12">
        <f>SUMIFS(Base[Montante],Base[Fornecedor],$A491&amp;"",Base[Ano],F$4)</f>
        <v/>
      </c>
      <c r="G491" s="12">
        <f>SUMIFS(Base[Montante],Base[Fornecedor],$A491&amp;"",Base[Ano],G$4)</f>
        <v/>
      </c>
      <c r="H491" s="12">
        <f>SUMIFS(Base[Montante],Base[Fornecedor],$A491&amp;"",Base[Ano],H$4)</f>
        <v/>
      </c>
      <c r="I491" s="12">
        <f>SUMIFS(Base[Montante],Base[Fornecedor],$A491&amp;"",Base[Ano],I$4)</f>
        <v/>
      </c>
      <c r="J491" s="12">
        <f>SUMIFS(Base[Montante],Base[Fornecedor],$A491&amp;"",Base[Ano],J$4)</f>
        <v/>
      </c>
      <c r="K491" s="12">
        <f>SUM(D491:J491)</f>
        <v/>
      </c>
    </row>
    <row r="492">
      <c r="A492" s="5" t="n">
        <v>100994</v>
      </c>
      <c r="B492" s="5" t="inlineStr">
        <is>
          <t>P W TREINAMENTO E CAPACITACOES LTDA</t>
        </is>
      </c>
      <c r="C492" s="5">
        <f>IFERROR(INDEX(DePara[Categoria],MATCH(TEXT(A492,"0"),DePara[Fornecedor_txt],0)),"(sem categoria)")</f>
        <v/>
      </c>
      <c r="D492" s="12">
        <f>SUMIFS(Base[Montante],Base[Fornecedor],$A492&amp;"",Base[Ano],D$4)</f>
        <v/>
      </c>
      <c r="E492" s="12">
        <f>SUMIFS(Base[Montante],Base[Fornecedor],$A492&amp;"",Base[Ano],E$4)</f>
        <v/>
      </c>
      <c r="F492" s="12">
        <f>SUMIFS(Base[Montante],Base[Fornecedor],$A492&amp;"",Base[Ano],F$4)</f>
        <v/>
      </c>
      <c r="G492" s="12">
        <f>SUMIFS(Base[Montante],Base[Fornecedor],$A492&amp;"",Base[Ano],G$4)</f>
        <v/>
      </c>
      <c r="H492" s="12">
        <f>SUMIFS(Base[Montante],Base[Fornecedor],$A492&amp;"",Base[Ano],H$4)</f>
        <v/>
      </c>
      <c r="I492" s="12">
        <f>SUMIFS(Base[Montante],Base[Fornecedor],$A492&amp;"",Base[Ano],I$4)</f>
        <v/>
      </c>
      <c r="J492" s="12">
        <f>SUMIFS(Base[Montante],Base[Fornecedor],$A492&amp;"",Base[Ano],J$4)</f>
        <v/>
      </c>
      <c r="K492" s="12">
        <f>SUM(D492:J492)</f>
        <v/>
      </c>
    </row>
    <row r="493">
      <c r="A493" s="5" t="inlineStr">
        <is>
          <t>EM000271</t>
        </is>
      </c>
      <c r="B493" s="5" t="inlineStr">
        <is>
          <t>PABLO SUEIRAS BLANCO</t>
        </is>
      </c>
      <c r="C493" s="5">
        <f>IFERROR(INDEX(DePara[Categoria],MATCH(TEXT(A493,"0"),DePara[Fornecedor_txt],0)),"(sem categoria)")</f>
        <v/>
      </c>
      <c r="D493" s="12">
        <f>SUMIFS(Base[Montante],Base[Fornecedor],$A493&amp;"",Base[Ano],D$4)</f>
        <v/>
      </c>
      <c r="E493" s="12">
        <f>SUMIFS(Base[Montante],Base[Fornecedor],$A493&amp;"",Base[Ano],E$4)</f>
        <v/>
      </c>
      <c r="F493" s="12">
        <f>SUMIFS(Base[Montante],Base[Fornecedor],$A493&amp;"",Base[Ano],F$4)</f>
        <v/>
      </c>
      <c r="G493" s="12">
        <f>SUMIFS(Base[Montante],Base[Fornecedor],$A493&amp;"",Base[Ano],G$4)</f>
        <v/>
      </c>
      <c r="H493" s="12">
        <f>SUMIFS(Base[Montante],Base[Fornecedor],$A493&amp;"",Base[Ano],H$4)</f>
        <v/>
      </c>
      <c r="I493" s="12">
        <f>SUMIFS(Base[Montante],Base[Fornecedor],$A493&amp;"",Base[Ano],I$4)</f>
        <v/>
      </c>
      <c r="J493" s="12">
        <f>SUMIFS(Base[Montante],Base[Fornecedor],$A493&amp;"",Base[Ano],J$4)</f>
        <v/>
      </c>
      <c r="K493" s="12">
        <f>SUM(D493:J493)</f>
        <v/>
      </c>
    </row>
    <row r="494">
      <c r="A494" s="5" t="n">
        <v>100026</v>
      </c>
      <c r="B494" s="5" t="inlineStr">
        <is>
          <t>PAIVA SERVICOS LTDA</t>
        </is>
      </c>
      <c r="C494" s="5">
        <f>IFERROR(INDEX(DePara[Categoria],MATCH(TEXT(A494,"0"),DePara[Fornecedor_txt],0)),"(sem categoria)")</f>
        <v/>
      </c>
      <c r="D494" s="12">
        <f>SUMIFS(Base[Montante],Base[Fornecedor],$A494&amp;"",Base[Ano],D$4)</f>
        <v/>
      </c>
      <c r="E494" s="12">
        <f>SUMIFS(Base[Montante],Base[Fornecedor],$A494&amp;"",Base[Ano],E$4)</f>
        <v/>
      </c>
      <c r="F494" s="12">
        <f>SUMIFS(Base[Montante],Base[Fornecedor],$A494&amp;"",Base[Ano],F$4)</f>
        <v/>
      </c>
      <c r="G494" s="12">
        <f>SUMIFS(Base[Montante],Base[Fornecedor],$A494&amp;"",Base[Ano],G$4)</f>
        <v/>
      </c>
      <c r="H494" s="12">
        <f>SUMIFS(Base[Montante],Base[Fornecedor],$A494&amp;"",Base[Ano],H$4)</f>
        <v/>
      </c>
      <c r="I494" s="12">
        <f>SUMIFS(Base[Montante],Base[Fornecedor],$A494&amp;"",Base[Ano],I$4)</f>
        <v/>
      </c>
      <c r="J494" s="12">
        <f>SUMIFS(Base[Montante],Base[Fornecedor],$A494&amp;"",Base[Ano],J$4)</f>
        <v/>
      </c>
      <c r="K494" s="12">
        <f>SUM(D494:J494)</f>
        <v/>
      </c>
    </row>
    <row r="495">
      <c r="A495" s="5" t="n">
        <v>100746</v>
      </c>
      <c r="B495" s="5" t="inlineStr">
        <is>
          <t>PAPERCLEAN DISTRIBUIDORA LTDA ME</t>
        </is>
      </c>
      <c r="C495" s="5">
        <f>IFERROR(INDEX(DePara[Categoria],MATCH(TEXT(A495,"0"),DePara[Fornecedor_txt],0)),"(sem categoria)")</f>
        <v/>
      </c>
      <c r="D495" s="12">
        <f>SUMIFS(Base[Montante],Base[Fornecedor],$A495&amp;"",Base[Ano],D$4)</f>
        <v/>
      </c>
      <c r="E495" s="12">
        <f>SUMIFS(Base[Montante],Base[Fornecedor],$A495&amp;"",Base[Ano],E$4)</f>
        <v/>
      </c>
      <c r="F495" s="12">
        <f>SUMIFS(Base[Montante],Base[Fornecedor],$A495&amp;"",Base[Ano],F$4)</f>
        <v/>
      </c>
      <c r="G495" s="12">
        <f>SUMIFS(Base[Montante],Base[Fornecedor],$A495&amp;"",Base[Ano],G$4)</f>
        <v/>
      </c>
      <c r="H495" s="12">
        <f>SUMIFS(Base[Montante],Base[Fornecedor],$A495&amp;"",Base[Ano],H$4)</f>
        <v/>
      </c>
      <c r="I495" s="12">
        <f>SUMIFS(Base[Montante],Base[Fornecedor],$A495&amp;"",Base[Ano],I$4)</f>
        <v/>
      </c>
      <c r="J495" s="12">
        <f>SUMIFS(Base[Montante],Base[Fornecedor],$A495&amp;"",Base[Ano],J$4)</f>
        <v/>
      </c>
      <c r="K495" s="12">
        <f>SUM(D495:J495)</f>
        <v/>
      </c>
    </row>
    <row r="496">
      <c r="A496" s="5" t="n">
        <v>101858</v>
      </c>
      <c r="B496" s="5" t="inlineStr">
        <is>
          <t>PAULO FRANCO SOCIEDADE DE ADVOGADOS</t>
        </is>
      </c>
      <c r="C496" s="5">
        <f>IFERROR(INDEX(DePara[Categoria],MATCH(TEXT(A496,"0"),DePara[Fornecedor_txt],0)),"(sem categoria)")</f>
        <v/>
      </c>
      <c r="D496" s="12">
        <f>SUMIFS(Base[Montante],Base[Fornecedor],$A496&amp;"",Base[Ano],D$4)</f>
        <v/>
      </c>
      <c r="E496" s="12">
        <f>SUMIFS(Base[Montante],Base[Fornecedor],$A496&amp;"",Base[Ano],E$4)</f>
        <v/>
      </c>
      <c r="F496" s="12">
        <f>SUMIFS(Base[Montante],Base[Fornecedor],$A496&amp;"",Base[Ano],F$4)</f>
        <v/>
      </c>
      <c r="G496" s="12">
        <f>SUMIFS(Base[Montante],Base[Fornecedor],$A496&amp;"",Base[Ano],G$4)</f>
        <v/>
      </c>
      <c r="H496" s="12">
        <f>SUMIFS(Base[Montante],Base[Fornecedor],$A496&amp;"",Base[Ano],H$4)</f>
        <v/>
      </c>
      <c r="I496" s="12">
        <f>SUMIFS(Base[Montante],Base[Fornecedor],$A496&amp;"",Base[Ano],I$4)</f>
        <v/>
      </c>
      <c r="J496" s="12">
        <f>SUMIFS(Base[Montante],Base[Fornecedor],$A496&amp;"",Base[Ano],J$4)</f>
        <v/>
      </c>
      <c r="K496" s="12">
        <f>SUM(D496:J496)</f>
        <v/>
      </c>
    </row>
    <row r="497">
      <c r="A497" s="5" t="inlineStr">
        <is>
          <t>EM000021</t>
        </is>
      </c>
      <c r="B497" s="5" t="inlineStr">
        <is>
          <t>PAULO HENRIQUE BARBOSA ORTIZ DE SOUZA</t>
        </is>
      </c>
      <c r="C497" s="5">
        <f>IFERROR(INDEX(DePara[Categoria],MATCH(TEXT(A497,"0"),DePara[Fornecedor_txt],0)),"(sem categoria)")</f>
        <v/>
      </c>
      <c r="D497" s="12">
        <f>SUMIFS(Base[Montante],Base[Fornecedor],$A497&amp;"",Base[Ano],D$4)</f>
        <v/>
      </c>
      <c r="E497" s="12">
        <f>SUMIFS(Base[Montante],Base[Fornecedor],$A497&amp;"",Base[Ano],E$4)</f>
        <v/>
      </c>
      <c r="F497" s="12">
        <f>SUMIFS(Base[Montante],Base[Fornecedor],$A497&amp;"",Base[Ano],F$4)</f>
        <v/>
      </c>
      <c r="G497" s="12">
        <f>SUMIFS(Base[Montante],Base[Fornecedor],$A497&amp;"",Base[Ano],G$4)</f>
        <v/>
      </c>
      <c r="H497" s="12">
        <f>SUMIFS(Base[Montante],Base[Fornecedor],$A497&amp;"",Base[Ano],H$4)</f>
        <v/>
      </c>
      <c r="I497" s="12">
        <f>SUMIFS(Base[Montante],Base[Fornecedor],$A497&amp;"",Base[Ano],I$4)</f>
        <v/>
      </c>
      <c r="J497" s="12">
        <f>SUMIFS(Base[Montante],Base[Fornecedor],$A497&amp;"",Base[Ano],J$4)</f>
        <v/>
      </c>
      <c r="K497" s="12">
        <f>SUM(D497:J497)</f>
        <v/>
      </c>
    </row>
    <row r="498">
      <c r="A498" s="5" t="inlineStr">
        <is>
          <t>EM000674</t>
        </is>
      </c>
      <c r="B498" s="5" t="inlineStr">
        <is>
          <t>PAULO HENRIQUE DA CRUZ BOTELHO</t>
        </is>
      </c>
      <c r="C498" s="5">
        <f>IFERROR(INDEX(DePara[Categoria],MATCH(TEXT(A498,"0"),DePara[Fornecedor_txt],0)),"(sem categoria)")</f>
        <v/>
      </c>
      <c r="D498" s="12">
        <f>SUMIFS(Base[Montante],Base[Fornecedor],$A498&amp;"",Base[Ano],D$4)</f>
        <v/>
      </c>
      <c r="E498" s="12">
        <f>SUMIFS(Base[Montante],Base[Fornecedor],$A498&amp;"",Base[Ano],E$4)</f>
        <v/>
      </c>
      <c r="F498" s="12">
        <f>SUMIFS(Base[Montante],Base[Fornecedor],$A498&amp;"",Base[Ano],F$4)</f>
        <v/>
      </c>
      <c r="G498" s="12">
        <f>SUMIFS(Base[Montante],Base[Fornecedor],$A498&amp;"",Base[Ano],G$4)</f>
        <v/>
      </c>
      <c r="H498" s="12">
        <f>SUMIFS(Base[Montante],Base[Fornecedor],$A498&amp;"",Base[Ano],H$4)</f>
        <v/>
      </c>
      <c r="I498" s="12">
        <f>SUMIFS(Base[Montante],Base[Fornecedor],$A498&amp;"",Base[Ano],I$4)</f>
        <v/>
      </c>
      <c r="J498" s="12">
        <f>SUMIFS(Base[Montante],Base[Fornecedor],$A498&amp;"",Base[Ano],J$4)</f>
        <v/>
      </c>
      <c r="K498" s="12">
        <f>SUM(D498:J498)</f>
        <v/>
      </c>
    </row>
    <row r="499">
      <c r="A499" s="5" t="inlineStr">
        <is>
          <t>EM000921</t>
        </is>
      </c>
      <c r="B499" s="5" t="inlineStr">
        <is>
          <t>PAULO HENRIQUE LAPERA ZORZETO</t>
        </is>
      </c>
      <c r="C499" s="5">
        <f>IFERROR(INDEX(DePara[Categoria],MATCH(TEXT(A499,"0"),DePara[Fornecedor_txt],0)),"(sem categoria)")</f>
        <v/>
      </c>
      <c r="D499" s="12">
        <f>SUMIFS(Base[Montante],Base[Fornecedor],$A499&amp;"",Base[Ano],D$4)</f>
        <v/>
      </c>
      <c r="E499" s="12">
        <f>SUMIFS(Base[Montante],Base[Fornecedor],$A499&amp;"",Base[Ano],E$4)</f>
        <v/>
      </c>
      <c r="F499" s="12">
        <f>SUMIFS(Base[Montante],Base[Fornecedor],$A499&amp;"",Base[Ano],F$4)</f>
        <v/>
      </c>
      <c r="G499" s="12">
        <f>SUMIFS(Base[Montante],Base[Fornecedor],$A499&amp;"",Base[Ano],G$4)</f>
        <v/>
      </c>
      <c r="H499" s="12">
        <f>SUMIFS(Base[Montante],Base[Fornecedor],$A499&amp;"",Base[Ano],H$4)</f>
        <v/>
      </c>
      <c r="I499" s="12">
        <f>SUMIFS(Base[Montante],Base[Fornecedor],$A499&amp;"",Base[Ano],I$4)</f>
        <v/>
      </c>
      <c r="J499" s="12">
        <f>SUMIFS(Base[Montante],Base[Fornecedor],$A499&amp;"",Base[Ano],J$4)</f>
        <v/>
      </c>
      <c r="K499" s="12">
        <f>SUM(D499:J499)</f>
        <v/>
      </c>
    </row>
    <row r="500">
      <c r="A500" s="5" t="inlineStr">
        <is>
          <t>EM000900</t>
        </is>
      </c>
      <c r="B500" s="5" t="inlineStr">
        <is>
          <t>PAULO JOSE DE BRITO</t>
        </is>
      </c>
      <c r="C500" s="5">
        <f>IFERROR(INDEX(DePara[Categoria],MATCH(TEXT(A500,"0"),DePara[Fornecedor_txt],0)),"(sem categoria)")</f>
        <v/>
      </c>
      <c r="D500" s="12">
        <f>SUMIFS(Base[Montante],Base[Fornecedor],$A500&amp;"",Base[Ano],D$4)</f>
        <v/>
      </c>
      <c r="E500" s="12">
        <f>SUMIFS(Base[Montante],Base[Fornecedor],$A500&amp;"",Base[Ano],E$4)</f>
        <v/>
      </c>
      <c r="F500" s="12">
        <f>SUMIFS(Base[Montante],Base[Fornecedor],$A500&amp;"",Base[Ano],F$4)</f>
        <v/>
      </c>
      <c r="G500" s="12">
        <f>SUMIFS(Base[Montante],Base[Fornecedor],$A500&amp;"",Base[Ano],G$4)</f>
        <v/>
      </c>
      <c r="H500" s="12">
        <f>SUMIFS(Base[Montante],Base[Fornecedor],$A500&amp;"",Base[Ano],H$4)</f>
        <v/>
      </c>
      <c r="I500" s="12">
        <f>SUMIFS(Base[Montante],Base[Fornecedor],$A500&amp;"",Base[Ano],I$4)</f>
        <v/>
      </c>
      <c r="J500" s="12">
        <f>SUMIFS(Base[Montante],Base[Fornecedor],$A500&amp;"",Base[Ano],J$4)</f>
        <v/>
      </c>
      <c r="K500" s="12">
        <f>SUM(D500:J500)</f>
        <v/>
      </c>
    </row>
    <row r="501">
      <c r="A501" s="5" t="inlineStr">
        <is>
          <t>EM000237</t>
        </is>
      </c>
      <c r="B501" s="5" t="inlineStr">
        <is>
          <t>PEDRO DA CRUZ SILVA JUNIOR</t>
        </is>
      </c>
      <c r="C501" s="5">
        <f>IFERROR(INDEX(DePara[Categoria],MATCH(TEXT(A501,"0"),DePara[Fornecedor_txt],0)),"(sem categoria)")</f>
        <v/>
      </c>
      <c r="D501" s="12">
        <f>SUMIFS(Base[Montante],Base[Fornecedor],$A501&amp;"",Base[Ano],D$4)</f>
        <v/>
      </c>
      <c r="E501" s="12">
        <f>SUMIFS(Base[Montante],Base[Fornecedor],$A501&amp;"",Base[Ano],E$4)</f>
        <v/>
      </c>
      <c r="F501" s="12">
        <f>SUMIFS(Base[Montante],Base[Fornecedor],$A501&amp;"",Base[Ano],F$4)</f>
        <v/>
      </c>
      <c r="G501" s="12">
        <f>SUMIFS(Base[Montante],Base[Fornecedor],$A501&amp;"",Base[Ano],G$4)</f>
        <v/>
      </c>
      <c r="H501" s="12">
        <f>SUMIFS(Base[Montante],Base[Fornecedor],$A501&amp;"",Base[Ano],H$4)</f>
        <v/>
      </c>
      <c r="I501" s="12">
        <f>SUMIFS(Base[Montante],Base[Fornecedor],$A501&amp;"",Base[Ano],I$4)</f>
        <v/>
      </c>
      <c r="J501" s="12">
        <f>SUMIFS(Base[Montante],Base[Fornecedor],$A501&amp;"",Base[Ano],J$4)</f>
        <v/>
      </c>
      <c r="K501" s="12">
        <f>SUM(D501:J501)</f>
        <v/>
      </c>
    </row>
    <row r="502">
      <c r="A502" s="5" t="inlineStr">
        <is>
          <t>EM000593</t>
        </is>
      </c>
      <c r="B502" s="5" t="inlineStr">
        <is>
          <t>PEDRO JUNIOR DA SILVA ARAUJO</t>
        </is>
      </c>
      <c r="C502" s="5">
        <f>IFERROR(INDEX(DePara[Categoria],MATCH(TEXT(A502,"0"),DePara[Fornecedor_txt],0)),"(sem categoria)")</f>
        <v/>
      </c>
      <c r="D502" s="12">
        <f>SUMIFS(Base[Montante],Base[Fornecedor],$A502&amp;"",Base[Ano],D$4)</f>
        <v/>
      </c>
      <c r="E502" s="12">
        <f>SUMIFS(Base[Montante],Base[Fornecedor],$A502&amp;"",Base[Ano],E$4)</f>
        <v/>
      </c>
      <c r="F502" s="12">
        <f>SUMIFS(Base[Montante],Base[Fornecedor],$A502&amp;"",Base[Ano],F$4)</f>
        <v/>
      </c>
      <c r="G502" s="12">
        <f>SUMIFS(Base[Montante],Base[Fornecedor],$A502&amp;"",Base[Ano],G$4)</f>
        <v/>
      </c>
      <c r="H502" s="12">
        <f>SUMIFS(Base[Montante],Base[Fornecedor],$A502&amp;"",Base[Ano],H$4)</f>
        <v/>
      </c>
      <c r="I502" s="12">
        <f>SUMIFS(Base[Montante],Base[Fornecedor],$A502&amp;"",Base[Ano],I$4)</f>
        <v/>
      </c>
      <c r="J502" s="12">
        <f>SUMIFS(Base[Montante],Base[Fornecedor],$A502&amp;"",Base[Ano],J$4)</f>
        <v/>
      </c>
      <c r="K502" s="12">
        <f>SUM(D502:J502)</f>
        <v/>
      </c>
    </row>
    <row r="503">
      <c r="A503" s="5" t="n">
        <v>100124</v>
      </c>
      <c r="B503" s="5" t="inlineStr">
        <is>
          <t>PERMETAL S A METAIS PERFURADOS</t>
        </is>
      </c>
      <c r="C503" s="5">
        <f>IFERROR(INDEX(DePara[Categoria],MATCH(TEXT(A503,"0"),DePara[Fornecedor_txt],0)),"(sem categoria)")</f>
        <v/>
      </c>
      <c r="D503" s="12">
        <f>SUMIFS(Base[Montante],Base[Fornecedor],$A503&amp;"",Base[Ano],D$4)</f>
        <v/>
      </c>
      <c r="E503" s="12">
        <f>SUMIFS(Base[Montante],Base[Fornecedor],$A503&amp;"",Base[Ano],E$4)</f>
        <v/>
      </c>
      <c r="F503" s="12">
        <f>SUMIFS(Base[Montante],Base[Fornecedor],$A503&amp;"",Base[Ano],F$4)</f>
        <v/>
      </c>
      <c r="G503" s="12">
        <f>SUMIFS(Base[Montante],Base[Fornecedor],$A503&amp;"",Base[Ano],G$4)</f>
        <v/>
      </c>
      <c r="H503" s="12">
        <f>SUMIFS(Base[Montante],Base[Fornecedor],$A503&amp;"",Base[Ano],H$4)</f>
        <v/>
      </c>
      <c r="I503" s="12">
        <f>SUMIFS(Base[Montante],Base[Fornecedor],$A503&amp;"",Base[Ano],I$4)</f>
        <v/>
      </c>
      <c r="J503" s="12">
        <f>SUMIFS(Base[Montante],Base[Fornecedor],$A503&amp;"",Base[Ano],J$4)</f>
        <v/>
      </c>
      <c r="K503" s="12">
        <f>SUM(D503:J503)</f>
        <v/>
      </c>
    </row>
    <row r="504">
      <c r="A504" s="5" t="n">
        <v>107632</v>
      </c>
      <c r="B504" s="5" t="inlineStr">
        <is>
          <t>PMI SOUTH AMERICA CONSUMER GOODS LT</t>
        </is>
      </c>
      <c r="C504" s="5">
        <f>IFERROR(INDEX(DePara[Categoria],MATCH(TEXT(A504,"0"),DePara[Fornecedor_txt],0)),"(sem categoria)")</f>
        <v/>
      </c>
      <c r="D504" s="12">
        <f>SUMIFS(Base[Montante],Base[Fornecedor],$A504&amp;"",Base[Ano],D$4)</f>
        <v/>
      </c>
      <c r="E504" s="12">
        <f>SUMIFS(Base[Montante],Base[Fornecedor],$A504&amp;"",Base[Ano],E$4)</f>
        <v/>
      </c>
      <c r="F504" s="12">
        <f>SUMIFS(Base[Montante],Base[Fornecedor],$A504&amp;"",Base[Ano],F$4)</f>
        <v/>
      </c>
      <c r="G504" s="12">
        <f>SUMIFS(Base[Montante],Base[Fornecedor],$A504&amp;"",Base[Ano],G$4)</f>
        <v/>
      </c>
      <c r="H504" s="12">
        <f>SUMIFS(Base[Montante],Base[Fornecedor],$A504&amp;"",Base[Ano],H$4)</f>
        <v/>
      </c>
      <c r="I504" s="12">
        <f>SUMIFS(Base[Montante],Base[Fornecedor],$A504&amp;"",Base[Ano],I$4)</f>
        <v/>
      </c>
      <c r="J504" s="12">
        <f>SUMIFS(Base[Montante],Base[Fornecedor],$A504&amp;"",Base[Ano],J$4)</f>
        <v/>
      </c>
      <c r="K504" s="12">
        <f>SUM(D504:J504)</f>
        <v/>
      </c>
    </row>
    <row r="505">
      <c r="A505" s="5" t="n">
        <v>104122</v>
      </c>
      <c r="B505" s="5" t="inlineStr">
        <is>
          <t>POLIMATEC MECANICA INDUSTRIAL LTDA 30108394000167</t>
        </is>
      </c>
      <c r="C505" s="5">
        <f>IFERROR(INDEX(DePara[Categoria],MATCH(TEXT(A505,"0"),DePara[Fornecedor_txt],0)),"(sem categoria)")</f>
        <v/>
      </c>
      <c r="D505" s="12">
        <f>SUMIFS(Base[Montante],Base[Fornecedor],$A505&amp;"",Base[Ano],D$4)</f>
        <v/>
      </c>
      <c r="E505" s="12">
        <f>SUMIFS(Base[Montante],Base[Fornecedor],$A505&amp;"",Base[Ano],E$4)</f>
        <v/>
      </c>
      <c r="F505" s="12">
        <f>SUMIFS(Base[Montante],Base[Fornecedor],$A505&amp;"",Base[Ano],F$4)</f>
        <v/>
      </c>
      <c r="G505" s="12">
        <f>SUMIFS(Base[Montante],Base[Fornecedor],$A505&amp;"",Base[Ano],G$4)</f>
        <v/>
      </c>
      <c r="H505" s="12">
        <f>SUMIFS(Base[Montante],Base[Fornecedor],$A505&amp;"",Base[Ano],H$4)</f>
        <v/>
      </c>
      <c r="I505" s="12">
        <f>SUMIFS(Base[Montante],Base[Fornecedor],$A505&amp;"",Base[Ano],I$4)</f>
        <v/>
      </c>
      <c r="J505" s="12">
        <f>SUMIFS(Base[Montante],Base[Fornecedor],$A505&amp;"",Base[Ano],J$4)</f>
        <v/>
      </c>
      <c r="K505" s="12">
        <f>SUM(D505:J505)</f>
        <v/>
      </c>
    </row>
    <row r="506">
      <c r="A506" s="5" t="n">
        <v>100548</v>
      </c>
      <c r="B506" s="5" t="inlineStr">
        <is>
          <t>POLIMEXE CONCRETOS CONSTRUCOES E SE</t>
        </is>
      </c>
      <c r="C506" s="5">
        <f>IFERROR(INDEX(DePara[Categoria],MATCH(TEXT(A506,"0"),DePara[Fornecedor_txt],0)),"(sem categoria)")</f>
        <v/>
      </c>
      <c r="D506" s="12">
        <f>SUMIFS(Base[Montante],Base[Fornecedor],$A506&amp;"",Base[Ano],D$4)</f>
        <v/>
      </c>
      <c r="E506" s="12">
        <f>SUMIFS(Base[Montante],Base[Fornecedor],$A506&amp;"",Base[Ano],E$4)</f>
        <v/>
      </c>
      <c r="F506" s="12">
        <f>SUMIFS(Base[Montante],Base[Fornecedor],$A506&amp;"",Base[Ano],F$4)</f>
        <v/>
      </c>
      <c r="G506" s="12">
        <f>SUMIFS(Base[Montante],Base[Fornecedor],$A506&amp;"",Base[Ano],G$4)</f>
        <v/>
      </c>
      <c r="H506" s="12">
        <f>SUMIFS(Base[Montante],Base[Fornecedor],$A506&amp;"",Base[Ano],H$4)</f>
        <v/>
      </c>
      <c r="I506" s="12">
        <f>SUMIFS(Base[Montante],Base[Fornecedor],$A506&amp;"",Base[Ano],I$4)</f>
        <v/>
      </c>
      <c r="J506" s="12">
        <f>SUMIFS(Base[Montante],Base[Fornecedor],$A506&amp;"",Base[Ano],J$4)</f>
        <v/>
      </c>
      <c r="K506" s="12">
        <f>SUM(D506:J506)</f>
        <v/>
      </c>
    </row>
    <row r="507">
      <c r="A507" s="5" t="n">
        <v>101685</v>
      </c>
      <c r="B507" s="5" t="inlineStr">
        <is>
          <t>POLIMIX CONCRETO LTDA</t>
        </is>
      </c>
      <c r="C507" s="5">
        <f>IFERROR(INDEX(DePara[Categoria],MATCH(TEXT(A507,"0"),DePara[Fornecedor_txt],0)),"(sem categoria)")</f>
        <v/>
      </c>
      <c r="D507" s="12">
        <f>SUMIFS(Base[Montante],Base[Fornecedor],$A507&amp;"",Base[Ano],D$4)</f>
        <v/>
      </c>
      <c r="E507" s="12">
        <f>SUMIFS(Base[Montante],Base[Fornecedor],$A507&amp;"",Base[Ano],E$4)</f>
        <v/>
      </c>
      <c r="F507" s="12">
        <f>SUMIFS(Base[Montante],Base[Fornecedor],$A507&amp;"",Base[Ano],F$4)</f>
        <v/>
      </c>
      <c r="G507" s="12">
        <f>SUMIFS(Base[Montante],Base[Fornecedor],$A507&amp;"",Base[Ano],G$4)</f>
        <v/>
      </c>
      <c r="H507" s="12">
        <f>SUMIFS(Base[Montante],Base[Fornecedor],$A507&amp;"",Base[Ano],H$4)</f>
        <v/>
      </c>
      <c r="I507" s="12">
        <f>SUMIFS(Base[Montante],Base[Fornecedor],$A507&amp;"",Base[Ano],I$4)</f>
        <v/>
      </c>
      <c r="J507" s="12">
        <f>SUMIFS(Base[Montante],Base[Fornecedor],$A507&amp;"",Base[Ano],J$4)</f>
        <v/>
      </c>
      <c r="K507" s="12">
        <f>SUM(D507:J507)</f>
        <v/>
      </c>
    </row>
    <row r="508">
      <c r="A508" s="5" t="inlineStr">
        <is>
          <t>EM000972</t>
        </is>
      </c>
      <c r="B508" s="5" t="inlineStr">
        <is>
          <t>POLLYANNO BRUNO DA COSTA SILVA</t>
        </is>
      </c>
      <c r="C508" s="5">
        <f>IFERROR(INDEX(DePara[Categoria],MATCH(TEXT(A508,"0"),DePara[Fornecedor_txt],0)),"(sem categoria)")</f>
        <v/>
      </c>
      <c r="D508" s="12">
        <f>SUMIFS(Base[Montante],Base[Fornecedor],$A508&amp;"",Base[Ano],D$4)</f>
        <v/>
      </c>
      <c r="E508" s="12">
        <f>SUMIFS(Base[Montante],Base[Fornecedor],$A508&amp;"",Base[Ano],E$4)</f>
        <v/>
      </c>
      <c r="F508" s="12">
        <f>SUMIFS(Base[Montante],Base[Fornecedor],$A508&amp;"",Base[Ano],F$4)</f>
        <v/>
      </c>
      <c r="G508" s="12">
        <f>SUMIFS(Base[Montante],Base[Fornecedor],$A508&amp;"",Base[Ano],G$4)</f>
        <v/>
      </c>
      <c r="H508" s="12">
        <f>SUMIFS(Base[Montante],Base[Fornecedor],$A508&amp;"",Base[Ano],H$4)</f>
        <v/>
      </c>
      <c r="I508" s="12">
        <f>SUMIFS(Base[Montante],Base[Fornecedor],$A508&amp;"",Base[Ano],I$4)</f>
        <v/>
      </c>
      <c r="J508" s="12">
        <f>SUMIFS(Base[Montante],Base[Fornecedor],$A508&amp;"",Base[Ano],J$4)</f>
        <v/>
      </c>
      <c r="K508" s="12">
        <f>SUM(D508:J508)</f>
        <v/>
      </c>
    </row>
    <row r="509">
      <c r="A509" s="5" t="n">
        <v>100479</v>
      </c>
      <c r="B509" s="5" t="inlineStr">
        <is>
          <t>POUSADA ITARETAMA LTDA</t>
        </is>
      </c>
      <c r="C509" s="5">
        <f>IFERROR(INDEX(DePara[Categoria],MATCH(TEXT(A509,"0"),DePara[Fornecedor_txt],0)),"(sem categoria)")</f>
        <v/>
      </c>
      <c r="D509" s="12">
        <f>SUMIFS(Base[Montante],Base[Fornecedor],$A509&amp;"",Base[Ano],D$4)</f>
        <v/>
      </c>
      <c r="E509" s="12">
        <f>SUMIFS(Base[Montante],Base[Fornecedor],$A509&amp;"",Base[Ano],E$4)</f>
        <v/>
      </c>
      <c r="F509" s="12">
        <f>SUMIFS(Base[Montante],Base[Fornecedor],$A509&amp;"",Base[Ano],F$4)</f>
        <v/>
      </c>
      <c r="G509" s="12">
        <f>SUMIFS(Base[Montante],Base[Fornecedor],$A509&amp;"",Base[Ano],G$4)</f>
        <v/>
      </c>
      <c r="H509" s="12">
        <f>SUMIFS(Base[Montante],Base[Fornecedor],$A509&amp;"",Base[Ano],H$4)</f>
        <v/>
      </c>
      <c r="I509" s="12">
        <f>SUMIFS(Base[Montante],Base[Fornecedor],$A509&amp;"",Base[Ano],I$4)</f>
        <v/>
      </c>
      <c r="J509" s="12">
        <f>SUMIFS(Base[Montante],Base[Fornecedor],$A509&amp;"",Base[Ano],J$4)</f>
        <v/>
      </c>
      <c r="K509" s="12">
        <f>SUM(D509:J509)</f>
        <v/>
      </c>
    </row>
    <row r="510">
      <c r="A510" s="5" t="n">
        <v>100111</v>
      </c>
      <c r="B510" s="5" t="inlineStr">
        <is>
          <t>PREDMEC ENGENHARIA DE MANUTENCAO E</t>
        </is>
      </c>
      <c r="C510" s="5">
        <f>IFERROR(INDEX(DePara[Categoria],MATCH(TEXT(A510,"0"),DePara[Fornecedor_txt],0)),"(sem categoria)")</f>
        <v/>
      </c>
      <c r="D510" s="12">
        <f>SUMIFS(Base[Montante],Base[Fornecedor],$A510&amp;"",Base[Ano],D$4)</f>
        <v/>
      </c>
      <c r="E510" s="12">
        <f>SUMIFS(Base[Montante],Base[Fornecedor],$A510&amp;"",Base[Ano],E$4)</f>
        <v/>
      </c>
      <c r="F510" s="12">
        <f>SUMIFS(Base[Montante],Base[Fornecedor],$A510&amp;"",Base[Ano],F$4)</f>
        <v/>
      </c>
      <c r="G510" s="12">
        <f>SUMIFS(Base[Montante],Base[Fornecedor],$A510&amp;"",Base[Ano],G$4)</f>
        <v/>
      </c>
      <c r="H510" s="12">
        <f>SUMIFS(Base[Montante],Base[Fornecedor],$A510&amp;"",Base[Ano],H$4)</f>
        <v/>
      </c>
      <c r="I510" s="12">
        <f>SUMIFS(Base[Montante],Base[Fornecedor],$A510&amp;"",Base[Ano],I$4)</f>
        <v/>
      </c>
      <c r="J510" s="12">
        <f>SUMIFS(Base[Montante],Base[Fornecedor],$A510&amp;"",Base[Ano],J$4)</f>
        <v/>
      </c>
      <c r="K510" s="12">
        <f>SUM(D510:J510)</f>
        <v/>
      </c>
    </row>
    <row r="511">
      <c r="A511" s="5" t="n">
        <v>101958</v>
      </c>
      <c r="B511" s="5" t="inlineStr">
        <is>
          <t>PREFEITURA DE SAO PAULO</t>
        </is>
      </c>
      <c r="C511" s="5">
        <f>IFERROR(INDEX(DePara[Categoria],MATCH(TEXT(A511,"0"),DePara[Fornecedor_txt],0)),"(sem categoria)")</f>
        <v/>
      </c>
      <c r="D511" s="12">
        <f>SUMIFS(Base[Montante],Base[Fornecedor],$A511&amp;"",Base[Ano],D$4)</f>
        <v/>
      </c>
      <c r="E511" s="12">
        <f>SUMIFS(Base[Montante],Base[Fornecedor],$A511&amp;"",Base[Ano],E$4)</f>
        <v/>
      </c>
      <c r="F511" s="12">
        <f>SUMIFS(Base[Montante],Base[Fornecedor],$A511&amp;"",Base[Ano],F$4)</f>
        <v/>
      </c>
      <c r="G511" s="12">
        <f>SUMIFS(Base[Montante],Base[Fornecedor],$A511&amp;"",Base[Ano],G$4)</f>
        <v/>
      </c>
      <c r="H511" s="12">
        <f>SUMIFS(Base[Montante],Base[Fornecedor],$A511&amp;"",Base[Ano],H$4)</f>
        <v/>
      </c>
      <c r="I511" s="12">
        <f>SUMIFS(Base[Montante],Base[Fornecedor],$A511&amp;"",Base[Ano],I$4)</f>
        <v/>
      </c>
      <c r="J511" s="12">
        <f>SUMIFS(Base[Montante],Base[Fornecedor],$A511&amp;"",Base[Ano],J$4)</f>
        <v/>
      </c>
      <c r="K511" s="12">
        <f>SUM(D511:J511)</f>
        <v/>
      </c>
    </row>
    <row r="512">
      <c r="A512" s="5" t="n">
        <v>101542</v>
      </c>
      <c r="B512" s="5" t="inlineStr">
        <is>
          <t>PREFEITURA MUNICIPAL DE MOSSORO</t>
        </is>
      </c>
      <c r="C512" s="5">
        <f>IFERROR(INDEX(DePara[Categoria],MATCH(TEXT(A512,"0"),DePara[Fornecedor_txt],0)),"(sem categoria)")</f>
        <v/>
      </c>
      <c r="D512" s="12">
        <f>SUMIFS(Base[Montante],Base[Fornecedor],$A512&amp;"",Base[Ano],D$4)</f>
        <v/>
      </c>
      <c r="E512" s="12">
        <f>SUMIFS(Base[Montante],Base[Fornecedor],$A512&amp;"",Base[Ano],E$4)</f>
        <v/>
      </c>
      <c r="F512" s="12">
        <f>SUMIFS(Base[Montante],Base[Fornecedor],$A512&amp;"",Base[Ano],F$4)</f>
        <v/>
      </c>
      <c r="G512" s="12">
        <f>SUMIFS(Base[Montante],Base[Fornecedor],$A512&amp;"",Base[Ano],G$4)</f>
        <v/>
      </c>
      <c r="H512" s="12">
        <f>SUMIFS(Base[Montante],Base[Fornecedor],$A512&amp;"",Base[Ano],H$4)</f>
        <v/>
      </c>
      <c r="I512" s="12">
        <f>SUMIFS(Base[Montante],Base[Fornecedor],$A512&amp;"",Base[Ano],I$4)</f>
        <v/>
      </c>
      <c r="J512" s="12">
        <f>SUMIFS(Base[Montante],Base[Fornecedor],$A512&amp;"",Base[Ano],J$4)</f>
        <v/>
      </c>
      <c r="K512" s="12">
        <f>SUM(D512:J512)</f>
        <v/>
      </c>
    </row>
    <row r="513">
      <c r="A513" s="5" t="n">
        <v>101604</v>
      </c>
      <c r="B513" s="5" t="inlineStr">
        <is>
          <t>PREFEITURA SANTA VITORIA DO PALMAR</t>
        </is>
      </c>
      <c r="C513" s="5">
        <f>IFERROR(INDEX(DePara[Categoria],MATCH(TEXT(A513,"0"),DePara[Fornecedor_txt],0)),"(sem categoria)")</f>
        <v/>
      </c>
      <c r="D513" s="12">
        <f>SUMIFS(Base[Montante],Base[Fornecedor],$A513&amp;"",Base[Ano],D$4)</f>
        <v/>
      </c>
      <c r="E513" s="12">
        <f>SUMIFS(Base[Montante],Base[Fornecedor],$A513&amp;"",Base[Ano],E$4)</f>
        <v/>
      </c>
      <c r="F513" s="12">
        <f>SUMIFS(Base[Montante],Base[Fornecedor],$A513&amp;"",Base[Ano],F$4)</f>
        <v/>
      </c>
      <c r="G513" s="12">
        <f>SUMIFS(Base[Montante],Base[Fornecedor],$A513&amp;"",Base[Ano],G$4)</f>
        <v/>
      </c>
      <c r="H513" s="12">
        <f>SUMIFS(Base[Montante],Base[Fornecedor],$A513&amp;"",Base[Ano],H$4)</f>
        <v/>
      </c>
      <c r="I513" s="12">
        <f>SUMIFS(Base[Montante],Base[Fornecedor],$A513&amp;"",Base[Ano],I$4)</f>
        <v/>
      </c>
      <c r="J513" s="12">
        <f>SUMIFS(Base[Montante],Base[Fornecedor],$A513&amp;"",Base[Ano],J$4)</f>
        <v/>
      </c>
      <c r="K513" s="12">
        <f>SUM(D513:J513)</f>
        <v/>
      </c>
    </row>
    <row r="514">
      <c r="A514" s="5" t="n">
        <v>100512</v>
      </c>
      <c r="B514" s="5" t="inlineStr">
        <is>
          <t>PREMA TECNOLOGIA E COMERCIO LTDA</t>
        </is>
      </c>
      <c r="C514" s="5">
        <f>IFERROR(INDEX(DePara[Categoria],MATCH(TEXT(A514,"0"),DePara[Fornecedor_txt],0)),"(sem categoria)")</f>
        <v/>
      </c>
      <c r="D514" s="12">
        <f>SUMIFS(Base[Montante],Base[Fornecedor],$A514&amp;"",Base[Ano],D$4)</f>
        <v/>
      </c>
      <c r="E514" s="12">
        <f>SUMIFS(Base[Montante],Base[Fornecedor],$A514&amp;"",Base[Ano],E$4)</f>
        <v/>
      </c>
      <c r="F514" s="12">
        <f>SUMIFS(Base[Montante],Base[Fornecedor],$A514&amp;"",Base[Ano],F$4)</f>
        <v/>
      </c>
      <c r="G514" s="12">
        <f>SUMIFS(Base[Montante],Base[Fornecedor],$A514&amp;"",Base[Ano],G$4)</f>
        <v/>
      </c>
      <c r="H514" s="12">
        <f>SUMIFS(Base[Montante],Base[Fornecedor],$A514&amp;"",Base[Ano],H$4)</f>
        <v/>
      </c>
      <c r="I514" s="12">
        <f>SUMIFS(Base[Montante],Base[Fornecedor],$A514&amp;"",Base[Ano],I$4)</f>
        <v/>
      </c>
      <c r="J514" s="12">
        <f>SUMIFS(Base[Montante],Base[Fornecedor],$A514&amp;"",Base[Ano],J$4)</f>
        <v/>
      </c>
      <c r="K514" s="12">
        <f>SUM(D514:J514)</f>
        <v/>
      </c>
    </row>
    <row r="515">
      <c r="A515" s="5" t="n">
        <v>100099</v>
      </c>
      <c r="B515" s="5" t="inlineStr">
        <is>
          <t>PRESENCA COMERCIAL LTDA</t>
        </is>
      </c>
      <c r="C515" s="5">
        <f>IFERROR(INDEX(DePara[Categoria],MATCH(TEXT(A515,"0"),DePara[Fornecedor_txt],0)),"(sem categoria)")</f>
        <v/>
      </c>
      <c r="D515" s="12">
        <f>SUMIFS(Base[Montante],Base[Fornecedor],$A515&amp;"",Base[Ano],D$4)</f>
        <v/>
      </c>
      <c r="E515" s="12">
        <f>SUMIFS(Base[Montante],Base[Fornecedor],$A515&amp;"",Base[Ano],E$4)</f>
        <v/>
      </c>
      <c r="F515" s="12">
        <f>SUMIFS(Base[Montante],Base[Fornecedor],$A515&amp;"",Base[Ano],F$4)</f>
        <v/>
      </c>
      <c r="G515" s="12">
        <f>SUMIFS(Base[Montante],Base[Fornecedor],$A515&amp;"",Base[Ano],G$4)</f>
        <v/>
      </c>
      <c r="H515" s="12">
        <f>SUMIFS(Base[Montante],Base[Fornecedor],$A515&amp;"",Base[Ano],H$4)</f>
        <v/>
      </c>
      <c r="I515" s="12">
        <f>SUMIFS(Base[Montante],Base[Fornecedor],$A515&amp;"",Base[Ano],I$4)</f>
        <v/>
      </c>
      <c r="J515" s="12">
        <f>SUMIFS(Base[Montante],Base[Fornecedor],$A515&amp;"",Base[Ano],J$4)</f>
        <v/>
      </c>
      <c r="K515" s="12">
        <f>SUM(D515:J515)</f>
        <v/>
      </c>
    </row>
    <row r="516">
      <c r="A516" s="5" t="n">
        <v>100617</v>
      </c>
      <c r="B516" s="5" t="inlineStr">
        <is>
          <t>PREST SERVICOS DE SISTEMAS DE SEGUR</t>
        </is>
      </c>
      <c r="C516" s="5">
        <f>IFERROR(INDEX(DePara[Categoria],MATCH(TEXT(A516,"0"),DePara[Fornecedor_txt],0)),"(sem categoria)")</f>
        <v/>
      </c>
      <c r="D516" s="12">
        <f>SUMIFS(Base[Montante],Base[Fornecedor],$A516&amp;"",Base[Ano],D$4)</f>
        <v/>
      </c>
      <c r="E516" s="12">
        <f>SUMIFS(Base[Montante],Base[Fornecedor],$A516&amp;"",Base[Ano],E$4)</f>
        <v/>
      </c>
      <c r="F516" s="12">
        <f>SUMIFS(Base[Montante],Base[Fornecedor],$A516&amp;"",Base[Ano],F$4)</f>
        <v/>
      </c>
      <c r="G516" s="12">
        <f>SUMIFS(Base[Montante],Base[Fornecedor],$A516&amp;"",Base[Ano],G$4)</f>
        <v/>
      </c>
      <c r="H516" s="12">
        <f>SUMIFS(Base[Montante],Base[Fornecedor],$A516&amp;"",Base[Ano],H$4)</f>
        <v/>
      </c>
      <c r="I516" s="12">
        <f>SUMIFS(Base[Montante],Base[Fornecedor],$A516&amp;"",Base[Ano],I$4)</f>
        <v/>
      </c>
      <c r="J516" s="12">
        <f>SUMIFS(Base[Montante],Base[Fornecedor],$A516&amp;"",Base[Ano],J$4)</f>
        <v/>
      </c>
      <c r="K516" s="12">
        <f>SUM(D516:J516)</f>
        <v/>
      </c>
    </row>
    <row r="517">
      <c r="A517" s="5" t="n">
        <v>102440</v>
      </c>
      <c r="B517" s="5" t="inlineStr">
        <is>
          <t>PREVIDENCIA SOCIAL DO BRASIL</t>
        </is>
      </c>
      <c r="C517" s="5">
        <f>IFERROR(INDEX(DePara[Categoria],MATCH(TEXT(A517,"0"),DePara[Fornecedor_txt],0)),"(sem categoria)")</f>
        <v/>
      </c>
      <c r="D517" s="12">
        <f>SUMIFS(Base[Montante],Base[Fornecedor],$A517&amp;"",Base[Ano],D$4)</f>
        <v/>
      </c>
      <c r="E517" s="12">
        <f>SUMIFS(Base[Montante],Base[Fornecedor],$A517&amp;"",Base[Ano],E$4)</f>
        <v/>
      </c>
      <c r="F517" s="12">
        <f>SUMIFS(Base[Montante],Base[Fornecedor],$A517&amp;"",Base[Ano],F$4)</f>
        <v/>
      </c>
      <c r="G517" s="12">
        <f>SUMIFS(Base[Montante],Base[Fornecedor],$A517&amp;"",Base[Ano],G$4)</f>
        <v/>
      </c>
      <c r="H517" s="12">
        <f>SUMIFS(Base[Montante],Base[Fornecedor],$A517&amp;"",Base[Ano],H$4)</f>
        <v/>
      </c>
      <c r="I517" s="12">
        <f>SUMIFS(Base[Montante],Base[Fornecedor],$A517&amp;"",Base[Ano],I$4)</f>
        <v/>
      </c>
      <c r="J517" s="12">
        <f>SUMIFS(Base[Montante],Base[Fornecedor],$A517&amp;"",Base[Ano],J$4)</f>
        <v/>
      </c>
      <c r="K517" s="12">
        <f>SUM(D517:J517)</f>
        <v/>
      </c>
    </row>
    <row r="518">
      <c r="A518" s="5" t="n">
        <v>101214</v>
      </c>
      <c r="B518" s="5" t="inlineStr">
        <is>
          <t>PROTENDIDOS DYWIDAG LIMITADA</t>
        </is>
      </c>
      <c r="C518" s="5">
        <f>IFERROR(INDEX(DePara[Categoria],MATCH(TEXT(A518,"0"),DePara[Fornecedor_txt],0)),"(sem categoria)")</f>
        <v/>
      </c>
      <c r="D518" s="12">
        <f>SUMIFS(Base[Montante],Base[Fornecedor],$A518&amp;"",Base[Ano],D$4)</f>
        <v/>
      </c>
      <c r="E518" s="12">
        <f>SUMIFS(Base[Montante],Base[Fornecedor],$A518&amp;"",Base[Ano],E$4)</f>
        <v/>
      </c>
      <c r="F518" s="12">
        <f>SUMIFS(Base[Montante],Base[Fornecedor],$A518&amp;"",Base[Ano],F$4)</f>
        <v/>
      </c>
      <c r="G518" s="12">
        <f>SUMIFS(Base[Montante],Base[Fornecedor],$A518&amp;"",Base[Ano],G$4)</f>
        <v/>
      </c>
      <c r="H518" s="12">
        <f>SUMIFS(Base[Montante],Base[Fornecedor],$A518&amp;"",Base[Ano],H$4)</f>
        <v/>
      </c>
      <c r="I518" s="12">
        <f>SUMIFS(Base[Montante],Base[Fornecedor],$A518&amp;"",Base[Ano],I$4)</f>
        <v/>
      </c>
      <c r="J518" s="12">
        <f>SUMIFS(Base[Montante],Base[Fornecedor],$A518&amp;"",Base[Ano],J$4)</f>
        <v/>
      </c>
      <c r="K518" s="12">
        <f>SUM(D518:J518)</f>
        <v/>
      </c>
    </row>
    <row r="519">
      <c r="A519" s="5" t="n">
        <v>111041</v>
      </c>
      <c r="B519" s="5" t="inlineStr">
        <is>
          <t>PROXIMA ENGENHARIA E CONSULTORIA LT</t>
        </is>
      </c>
      <c r="C519" s="5">
        <f>IFERROR(INDEX(DePara[Categoria],MATCH(TEXT(A519,"0"),DePara[Fornecedor_txt],0)),"(sem categoria)")</f>
        <v/>
      </c>
      <c r="D519" s="12">
        <f>SUMIFS(Base[Montante],Base[Fornecedor],$A519&amp;"",Base[Ano],D$4)</f>
        <v/>
      </c>
      <c r="E519" s="12">
        <f>SUMIFS(Base[Montante],Base[Fornecedor],$A519&amp;"",Base[Ano],E$4)</f>
        <v/>
      </c>
      <c r="F519" s="12">
        <f>SUMIFS(Base[Montante],Base[Fornecedor],$A519&amp;"",Base[Ano],F$4)</f>
        <v/>
      </c>
      <c r="G519" s="12">
        <f>SUMIFS(Base[Montante],Base[Fornecedor],$A519&amp;"",Base[Ano],G$4)</f>
        <v/>
      </c>
      <c r="H519" s="12">
        <f>SUMIFS(Base[Montante],Base[Fornecedor],$A519&amp;"",Base[Ano],H$4)</f>
        <v/>
      </c>
      <c r="I519" s="12">
        <f>SUMIFS(Base[Montante],Base[Fornecedor],$A519&amp;"",Base[Ano],I$4)</f>
        <v/>
      </c>
      <c r="J519" s="12">
        <f>SUMIFS(Base[Montante],Base[Fornecedor],$A519&amp;"",Base[Ano],J$4)</f>
        <v/>
      </c>
      <c r="K519" s="12">
        <f>SUM(D519:J519)</f>
        <v/>
      </c>
    </row>
    <row r="520">
      <c r="A520" s="5" t="n">
        <v>100883</v>
      </c>
      <c r="B520" s="5" t="inlineStr">
        <is>
          <t>QUELMAR TRANSPORTES LTDA</t>
        </is>
      </c>
      <c r="C520" s="5">
        <f>IFERROR(INDEX(DePara[Categoria],MATCH(TEXT(A520,"0"),DePara[Fornecedor_txt],0)),"(sem categoria)")</f>
        <v/>
      </c>
      <c r="D520" s="12">
        <f>SUMIFS(Base[Montante],Base[Fornecedor],$A520&amp;"",Base[Ano],D$4)</f>
        <v/>
      </c>
      <c r="E520" s="12">
        <f>SUMIFS(Base[Montante],Base[Fornecedor],$A520&amp;"",Base[Ano],E$4)</f>
        <v/>
      </c>
      <c r="F520" s="12">
        <f>SUMIFS(Base[Montante],Base[Fornecedor],$A520&amp;"",Base[Ano],F$4)</f>
        <v/>
      </c>
      <c r="G520" s="12">
        <f>SUMIFS(Base[Montante],Base[Fornecedor],$A520&amp;"",Base[Ano],G$4)</f>
        <v/>
      </c>
      <c r="H520" s="12">
        <f>SUMIFS(Base[Montante],Base[Fornecedor],$A520&amp;"",Base[Ano],H$4)</f>
        <v/>
      </c>
      <c r="I520" s="12">
        <f>SUMIFS(Base[Montante],Base[Fornecedor],$A520&amp;"",Base[Ano],I$4)</f>
        <v/>
      </c>
      <c r="J520" s="12">
        <f>SUMIFS(Base[Montante],Base[Fornecedor],$A520&amp;"",Base[Ano],J$4)</f>
        <v/>
      </c>
      <c r="K520" s="12">
        <f>SUM(D520:J520)</f>
        <v/>
      </c>
    </row>
    <row r="521">
      <c r="A521" s="5" t="n">
        <v>100906</v>
      </c>
      <c r="B521" s="5" t="inlineStr">
        <is>
          <t>R &amp; G TELECOM LTDA</t>
        </is>
      </c>
      <c r="C521" s="5">
        <f>IFERROR(INDEX(DePara[Categoria],MATCH(TEXT(A521,"0"),DePara[Fornecedor_txt],0)),"(sem categoria)")</f>
        <v/>
      </c>
      <c r="D521" s="12">
        <f>SUMIFS(Base[Montante],Base[Fornecedor],$A521&amp;"",Base[Ano],D$4)</f>
        <v/>
      </c>
      <c r="E521" s="12">
        <f>SUMIFS(Base[Montante],Base[Fornecedor],$A521&amp;"",Base[Ano],E$4)</f>
        <v/>
      </c>
      <c r="F521" s="12">
        <f>SUMIFS(Base[Montante],Base[Fornecedor],$A521&amp;"",Base[Ano],F$4)</f>
        <v/>
      </c>
      <c r="G521" s="12">
        <f>SUMIFS(Base[Montante],Base[Fornecedor],$A521&amp;"",Base[Ano],G$4)</f>
        <v/>
      </c>
      <c r="H521" s="12">
        <f>SUMIFS(Base[Montante],Base[Fornecedor],$A521&amp;"",Base[Ano],H$4)</f>
        <v/>
      </c>
      <c r="I521" s="12">
        <f>SUMIFS(Base[Montante],Base[Fornecedor],$A521&amp;"",Base[Ano],I$4)</f>
        <v/>
      </c>
      <c r="J521" s="12">
        <f>SUMIFS(Base[Montante],Base[Fornecedor],$A521&amp;"",Base[Ano],J$4)</f>
        <v/>
      </c>
      <c r="K521" s="12">
        <f>SUM(D521:J521)</f>
        <v/>
      </c>
    </row>
    <row r="522">
      <c r="A522" s="5" t="n">
        <v>101760</v>
      </c>
      <c r="B522" s="5" t="inlineStr">
        <is>
          <t>R J C COELHO  ME</t>
        </is>
      </c>
      <c r="C522" s="5">
        <f>IFERROR(INDEX(DePara[Categoria],MATCH(TEXT(A522,"0"),DePara[Fornecedor_txt],0)),"(sem categoria)")</f>
        <v/>
      </c>
      <c r="D522" s="12">
        <f>SUMIFS(Base[Montante],Base[Fornecedor],$A522&amp;"",Base[Ano],D$4)</f>
        <v/>
      </c>
      <c r="E522" s="12">
        <f>SUMIFS(Base[Montante],Base[Fornecedor],$A522&amp;"",Base[Ano],E$4)</f>
        <v/>
      </c>
      <c r="F522" s="12">
        <f>SUMIFS(Base[Montante],Base[Fornecedor],$A522&amp;"",Base[Ano],F$4)</f>
        <v/>
      </c>
      <c r="G522" s="12">
        <f>SUMIFS(Base[Montante],Base[Fornecedor],$A522&amp;"",Base[Ano],G$4)</f>
        <v/>
      </c>
      <c r="H522" s="12">
        <f>SUMIFS(Base[Montante],Base[Fornecedor],$A522&amp;"",Base[Ano],H$4)</f>
        <v/>
      </c>
      <c r="I522" s="12">
        <f>SUMIFS(Base[Montante],Base[Fornecedor],$A522&amp;"",Base[Ano],I$4)</f>
        <v/>
      </c>
      <c r="J522" s="12">
        <f>SUMIFS(Base[Montante],Base[Fornecedor],$A522&amp;"",Base[Ano],J$4)</f>
        <v/>
      </c>
      <c r="K522" s="12">
        <f>SUM(D522:J522)</f>
        <v/>
      </c>
    </row>
    <row r="523">
      <c r="A523" s="5" t="n">
        <v>102332</v>
      </c>
      <c r="B523" s="5" t="inlineStr">
        <is>
          <t>RAFAEL ANTONIO SAADI</t>
        </is>
      </c>
      <c r="C523" s="5">
        <f>IFERROR(INDEX(DePara[Categoria],MATCH(TEXT(A523,"0"),DePara[Fornecedor_txt],0)),"(sem categoria)")</f>
        <v/>
      </c>
      <c r="D523" s="12">
        <f>SUMIFS(Base[Montante],Base[Fornecedor],$A523&amp;"",Base[Ano],D$4)</f>
        <v/>
      </c>
      <c r="E523" s="12">
        <f>SUMIFS(Base[Montante],Base[Fornecedor],$A523&amp;"",Base[Ano],E$4)</f>
        <v/>
      </c>
      <c r="F523" s="12">
        <f>SUMIFS(Base[Montante],Base[Fornecedor],$A523&amp;"",Base[Ano],F$4)</f>
        <v/>
      </c>
      <c r="G523" s="12">
        <f>SUMIFS(Base[Montante],Base[Fornecedor],$A523&amp;"",Base[Ano],G$4)</f>
        <v/>
      </c>
      <c r="H523" s="12">
        <f>SUMIFS(Base[Montante],Base[Fornecedor],$A523&amp;"",Base[Ano],H$4)</f>
        <v/>
      </c>
      <c r="I523" s="12">
        <f>SUMIFS(Base[Montante],Base[Fornecedor],$A523&amp;"",Base[Ano],I$4)</f>
        <v/>
      </c>
      <c r="J523" s="12">
        <f>SUMIFS(Base[Montante],Base[Fornecedor],$A523&amp;"",Base[Ano],J$4)</f>
        <v/>
      </c>
      <c r="K523" s="12">
        <f>SUM(D523:J523)</f>
        <v/>
      </c>
    </row>
    <row r="524">
      <c r="A524" s="5" t="inlineStr">
        <is>
          <t>EM000027</t>
        </is>
      </c>
      <c r="B524" s="5" t="inlineStr">
        <is>
          <t>RAFAEL AUGUSTO DA SILVA GOULARTE</t>
        </is>
      </c>
      <c r="C524" s="5">
        <f>IFERROR(INDEX(DePara[Categoria],MATCH(TEXT(A524,"0"),DePara[Fornecedor_txt],0)),"(sem categoria)")</f>
        <v/>
      </c>
      <c r="D524" s="12">
        <f>SUMIFS(Base[Montante],Base[Fornecedor],$A524&amp;"",Base[Ano],D$4)</f>
        <v/>
      </c>
      <c r="E524" s="12">
        <f>SUMIFS(Base[Montante],Base[Fornecedor],$A524&amp;"",Base[Ano],E$4)</f>
        <v/>
      </c>
      <c r="F524" s="12">
        <f>SUMIFS(Base[Montante],Base[Fornecedor],$A524&amp;"",Base[Ano],F$4)</f>
        <v/>
      </c>
      <c r="G524" s="12">
        <f>SUMIFS(Base[Montante],Base[Fornecedor],$A524&amp;"",Base[Ano],G$4)</f>
        <v/>
      </c>
      <c r="H524" s="12">
        <f>SUMIFS(Base[Montante],Base[Fornecedor],$A524&amp;"",Base[Ano],H$4)</f>
        <v/>
      </c>
      <c r="I524" s="12">
        <f>SUMIFS(Base[Montante],Base[Fornecedor],$A524&amp;"",Base[Ano],I$4)</f>
        <v/>
      </c>
      <c r="J524" s="12">
        <f>SUMIFS(Base[Montante],Base[Fornecedor],$A524&amp;"",Base[Ano],J$4)</f>
        <v/>
      </c>
      <c r="K524" s="12">
        <f>SUM(D524:J524)</f>
        <v/>
      </c>
    </row>
    <row r="525">
      <c r="A525" s="5" t="inlineStr">
        <is>
          <t>EM000274</t>
        </is>
      </c>
      <c r="B525" s="5" t="inlineStr">
        <is>
          <t>RAFAEL DE OLIVEIRA PATRÍCIO</t>
        </is>
      </c>
      <c r="C525" s="5">
        <f>IFERROR(INDEX(DePara[Categoria],MATCH(TEXT(A525,"0"),DePara[Fornecedor_txt],0)),"(sem categoria)")</f>
        <v/>
      </c>
      <c r="D525" s="12">
        <f>SUMIFS(Base[Montante],Base[Fornecedor],$A525&amp;"",Base[Ano],D$4)</f>
        <v/>
      </c>
      <c r="E525" s="12">
        <f>SUMIFS(Base[Montante],Base[Fornecedor],$A525&amp;"",Base[Ano],E$4)</f>
        <v/>
      </c>
      <c r="F525" s="12">
        <f>SUMIFS(Base[Montante],Base[Fornecedor],$A525&amp;"",Base[Ano],F$4)</f>
        <v/>
      </c>
      <c r="G525" s="12">
        <f>SUMIFS(Base[Montante],Base[Fornecedor],$A525&amp;"",Base[Ano],G$4)</f>
        <v/>
      </c>
      <c r="H525" s="12">
        <f>SUMIFS(Base[Montante],Base[Fornecedor],$A525&amp;"",Base[Ano],H$4)</f>
        <v/>
      </c>
      <c r="I525" s="12">
        <f>SUMIFS(Base[Montante],Base[Fornecedor],$A525&amp;"",Base[Ano],I$4)</f>
        <v/>
      </c>
      <c r="J525" s="12">
        <f>SUMIFS(Base[Montante],Base[Fornecedor],$A525&amp;"",Base[Ano],J$4)</f>
        <v/>
      </c>
      <c r="K525" s="12">
        <f>SUM(D525:J525)</f>
        <v/>
      </c>
    </row>
    <row r="526">
      <c r="A526" s="5" t="inlineStr">
        <is>
          <t>EM000023</t>
        </is>
      </c>
      <c r="B526" s="5" t="inlineStr">
        <is>
          <t>RAFAEL MACHADO SALLES</t>
        </is>
      </c>
      <c r="C526" s="5">
        <f>IFERROR(INDEX(DePara[Categoria],MATCH(TEXT(A526,"0"),DePara[Fornecedor_txt],0)),"(sem categoria)")</f>
        <v/>
      </c>
      <c r="D526" s="12">
        <f>SUMIFS(Base[Montante],Base[Fornecedor],$A526&amp;"",Base[Ano],D$4)</f>
        <v/>
      </c>
      <c r="E526" s="12">
        <f>SUMIFS(Base[Montante],Base[Fornecedor],$A526&amp;"",Base[Ano],E$4)</f>
        <v/>
      </c>
      <c r="F526" s="12">
        <f>SUMIFS(Base[Montante],Base[Fornecedor],$A526&amp;"",Base[Ano],F$4)</f>
        <v/>
      </c>
      <c r="G526" s="12">
        <f>SUMIFS(Base[Montante],Base[Fornecedor],$A526&amp;"",Base[Ano],G$4)</f>
        <v/>
      </c>
      <c r="H526" s="12">
        <f>SUMIFS(Base[Montante],Base[Fornecedor],$A526&amp;"",Base[Ano],H$4)</f>
        <v/>
      </c>
      <c r="I526" s="12">
        <f>SUMIFS(Base[Montante],Base[Fornecedor],$A526&amp;"",Base[Ano],I$4)</f>
        <v/>
      </c>
      <c r="J526" s="12">
        <f>SUMIFS(Base[Montante],Base[Fornecedor],$A526&amp;"",Base[Ano],J$4)</f>
        <v/>
      </c>
      <c r="K526" s="12">
        <f>SUM(D526:J526)</f>
        <v/>
      </c>
    </row>
    <row r="527">
      <c r="A527" s="5" t="inlineStr">
        <is>
          <t>EM000420</t>
        </is>
      </c>
      <c r="B527" s="5" t="inlineStr">
        <is>
          <t>RAFAEL SILVA DE FREITAS</t>
        </is>
      </c>
      <c r="C527" s="5">
        <f>IFERROR(INDEX(DePara[Categoria],MATCH(TEXT(A527,"0"),DePara[Fornecedor_txt],0)),"(sem categoria)")</f>
        <v/>
      </c>
      <c r="D527" s="12">
        <f>SUMIFS(Base[Montante],Base[Fornecedor],$A527&amp;"",Base[Ano],D$4)</f>
        <v/>
      </c>
      <c r="E527" s="12">
        <f>SUMIFS(Base[Montante],Base[Fornecedor],$A527&amp;"",Base[Ano],E$4)</f>
        <v/>
      </c>
      <c r="F527" s="12">
        <f>SUMIFS(Base[Montante],Base[Fornecedor],$A527&amp;"",Base[Ano],F$4)</f>
        <v/>
      </c>
      <c r="G527" s="12">
        <f>SUMIFS(Base[Montante],Base[Fornecedor],$A527&amp;"",Base[Ano],G$4)</f>
        <v/>
      </c>
      <c r="H527" s="12">
        <f>SUMIFS(Base[Montante],Base[Fornecedor],$A527&amp;"",Base[Ano],H$4)</f>
        <v/>
      </c>
      <c r="I527" s="12">
        <f>SUMIFS(Base[Montante],Base[Fornecedor],$A527&amp;"",Base[Ano],I$4)</f>
        <v/>
      </c>
      <c r="J527" s="12">
        <f>SUMIFS(Base[Montante],Base[Fornecedor],$A527&amp;"",Base[Ano],J$4)</f>
        <v/>
      </c>
      <c r="K527" s="12">
        <f>SUM(D527:J527)</f>
        <v/>
      </c>
    </row>
    <row r="528">
      <c r="A528" s="5" t="n">
        <v>100379</v>
      </c>
      <c r="B528" s="5" t="inlineStr">
        <is>
          <t>RAK LOG TRANSPORTES E LOGISTICA EIR</t>
        </is>
      </c>
      <c r="C528" s="5">
        <f>IFERROR(INDEX(DePara[Categoria],MATCH(TEXT(A528,"0"),DePara[Fornecedor_txt],0)),"(sem categoria)")</f>
        <v/>
      </c>
      <c r="D528" s="12">
        <f>SUMIFS(Base[Montante],Base[Fornecedor],$A528&amp;"",Base[Ano],D$4)</f>
        <v/>
      </c>
      <c r="E528" s="12">
        <f>SUMIFS(Base[Montante],Base[Fornecedor],$A528&amp;"",Base[Ano],E$4)</f>
        <v/>
      </c>
      <c r="F528" s="12">
        <f>SUMIFS(Base[Montante],Base[Fornecedor],$A528&amp;"",Base[Ano],F$4)</f>
        <v/>
      </c>
      <c r="G528" s="12">
        <f>SUMIFS(Base[Montante],Base[Fornecedor],$A528&amp;"",Base[Ano],G$4)</f>
        <v/>
      </c>
      <c r="H528" s="12">
        <f>SUMIFS(Base[Montante],Base[Fornecedor],$A528&amp;"",Base[Ano],H$4)</f>
        <v/>
      </c>
      <c r="I528" s="12">
        <f>SUMIFS(Base[Montante],Base[Fornecedor],$A528&amp;"",Base[Ano],I$4)</f>
        <v/>
      </c>
      <c r="J528" s="12">
        <f>SUMIFS(Base[Montante],Base[Fornecedor],$A528&amp;"",Base[Ano],J$4)</f>
        <v/>
      </c>
      <c r="K528" s="12">
        <f>SUM(D528:J528)</f>
        <v/>
      </c>
    </row>
    <row r="529">
      <c r="A529" s="5" t="n">
        <v>103730</v>
      </c>
      <c r="B529" s="5" t="inlineStr">
        <is>
          <t>RAK LOG TRANSPORTES E LOGISTICA LTD</t>
        </is>
      </c>
      <c r="C529" s="5">
        <f>IFERROR(INDEX(DePara[Categoria],MATCH(TEXT(A529,"0"),DePara[Fornecedor_txt],0)),"(sem categoria)")</f>
        <v/>
      </c>
      <c r="D529" s="12">
        <f>SUMIFS(Base[Montante],Base[Fornecedor],$A529&amp;"",Base[Ano],D$4)</f>
        <v/>
      </c>
      <c r="E529" s="12">
        <f>SUMIFS(Base[Montante],Base[Fornecedor],$A529&amp;"",Base[Ano],E$4)</f>
        <v/>
      </c>
      <c r="F529" s="12">
        <f>SUMIFS(Base[Montante],Base[Fornecedor],$A529&amp;"",Base[Ano],F$4)</f>
        <v/>
      </c>
      <c r="G529" s="12">
        <f>SUMIFS(Base[Montante],Base[Fornecedor],$A529&amp;"",Base[Ano],G$4)</f>
        <v/>
      </c>
      <c r="H529" s="12">
        <f>SUMIFS(Base[Montante],Base[Fornecedor],$A529&amp;"",Base[Ano],H$4)</f>
        <v/>
      </c>
      <c r="I529" s="12">
        <f>SUMIFS(Base[Montante],Base[Fornecedor],$A529&amp;"",Base[Ano],I$4)</f>
        <v/>
      </c>
      <c r="J529" s="12">
        <f>SUMIFS(Base[Montante],Base[Fornecedor],$A529&amp;"",Base[Ano],J$4)</f>
        <v/>
      </c>
      <c r="K529" s="12">
        <f>SUM(D529:J529)</f>
        <v/>
      </c>
    </row>
    <row r="530">
      <c r="A530" s="5" t="inlineStr">
        <is>
          <t>EM003645</t>
        </is>
      </c>
      <c r="B530" s="5" t="inlineStr">
        <is>
          <t>RAMON PINHEIRO DE AFONSECA</t>
        </is>
      </c>
      <c r="C530" s="5">
        <f>IFERROR(INDEX(DePara[Categoria],MATCH(TEXT(A530,"0"),DePara[Fornecedor_txt],0)),"(sem categoria)")</f>
        <v/>
      </c>
      <c r="D530" s="12">
        <f>SUMIFS(Base[Montante],Base[Fornecedor],$A530&amp;"",Base[Ano],D$4)</f>
        <v/>
      </c>
      <c r="E530" s="12">
        <f>SUMIFS(Base[Montante],Base[Fornecedor],$A530&amp;"",Base[Ano],E$4)</f>
        <v/>
      </c>
      <c r="F530" s="12">
        <f>SUMIFS(Base[Montante],Base[Fornecedor],$A530&amp;"",Base[Ano],F$4)</f>
        <v/>
      </c>
      <c r="G530" s="12">
        <f>SUMIFS(Base[Montante],Base[Fornecedor],$A530&amp;"",Base[Ano],G$4)</f>
        <v/>
      </c>
      <c r="H530" s="12">
        <f>SUMIFS(Base[Montante],Base[Fornecedor],$A530&amp;"",Base[Ano],H$4)</f>
        <v/>
      </c>
      <c r="I530" s="12">
        <f>SUMIFS(Base[Montante],Base[Fornecedor],$A530&amp;"",Base[Ano],I$4)</f>
        <v/>
      </c>
      <c r="J530" s="12">
        <f>SUMIFS(Base[Montante],Base[Fornecedor],$A530&amp;"",Base[Ano],J$4)</f>
        <v/>
      </c>
      <c r="K530" s="12">
        <f>SUM(D530:J530)</f>
        <v/>
      </c>
    </row>
    <row r="531">
      <c r="A531" s="5" t="inlineStr">
        <is>
          <t>EM000130</t>
        </is>
      </c>
      <c r="B531" s="5" t="inlineStr">
        <is>
          <t>RANDSON BUENO SOARES SALES</t>
        </is>
      </c>
      <c r="C531" s="5">
        <f>IFERROR(INDEX(DePara[Categoria],MATCH(TEXT(A531,"0"),DePara[Fornecedor_txt],0)),"(sem categoria)")</f>
        <v/>
      </c>
      <c r="D531" s="12">
        <f>SUMIFS(Base[Montante],Base[Fornecedor],$A531&amp;"",Base[Ano],D$4)</f>
        <v/>
      </c>
      <c r="E531" s="12">
        <f>SUMIFS(Base[Montante],Base[Fornecedor],$A531&amp;"",Base[Ano],E$4)</f>
        <v/>
      </c>
      <c r="F531" s="12">
        <f>SUMIFS(Base[Montante],Base[Fornecedor],$A531&amp;"",Base[Ano],F$4)</f>
        <v/>
      </c>
      <c r="G531" s="12">
        <f>SUMIFS(Base[Montante],Base[Fornecedor],$A531&amp;"",Base[Ano],G$4)</f>
        <v/>
      </c>
      <c r="H531" s="12">
        <f>SUMIFS(Base[Montante],Base[Fornecedor],$A531&amp;"",Base[Ano],H$4)</f>
        <v/>
      </c>
      <c r="I531" s="12">
        <f>SUMIFS(Base[Montante],Base[Fornecedor],$A531&amp;"",Base[Ano],I$4)</f>
        <v/>
      </c>
      <c r="J531" s="12">
        <f>SUMIFS(Base[Montante],Base[Fornecedor],$A531&amp;"",Base[Ano],J$4)</f>
        <v/>
      </c>
      <c r="K531" s="12">
        <f>SUM(D531:J531)</f>
        <v/>
      </c>
    </row>
    <row r="532">
      <c r="A532" s="5" t="n">
        <v>101508</v>
      </c>
      <c r="B532" s="5" t="inlineStr">
        <is>
          <t>RANDSTAD BRASIL RECURSOS HUMANOS LT</t>
        </is>
      </c>
      <c r="C532" s="5">
        <f>IFERROR(INDEX(DePara[Categoria],MATCH(TEXT(A532,"0"),DePara[Fornecedor_txt],0)),"(sem categoria)")</f>
        <v/>
      </c>
      <c r="D532" s="12">
        <f>SUMIFS(Base[Montante],Base[Fornecedor],$A532&amp;"",Base[Ano],D$4)</f>
        <v/>
      </c>
      <c r="E532" s="12">
        <f>SUMIFS(Base[Montante],Base[Fornecedor],$A532&amp;"",Base[Ano],E$4)</f>
        <v/>
      </c>
      <c r="F532" s="12">
        <f>SUMIFS(Base[Montante],Base[Fornecedor],$A532&amp;"",Base[Ano],F$4)</f>
        <v/>
      </c>
      <c r="G532" s="12">
        <f>SUMIFS(Base[Montante],Base[Fornecedor],$A532&amp;"",Base[Ano],G$4)</f>
        <v/>
      </c>
      <c r="H532" s="12">
        <f>SUMIFS(Base[Montante],Base[Fornecedor],$A532&amp;"",Base[Ano],H$4)</f>
        <v/>
      </c>
      <c r="I532" s="12">
        <f>SUMIFS(Base[Montante],Base[Fornecedor],$A532&amp;"",Base[Ano],I$4)</f>
        <v/>
      </c>
      <c r="J532" s="12">
        <f>SUMIFS(Base[Montante],Base[Fornecedor],$A532&amp;"",Base[Ano],J$4)</f>
        <v/>
      </c>
      <c r="K532" s="12">
        <f>SUM(D532:J532)</f>
        <v/>
      </c>
    </row>
    <row r="533">
      <c r="A533" s="5" t="inlineStr">
        <is>
          <t>EM000751</t>
        </is>
      </c>
      <c r="B533" s="5" t="inlineStr">
        <is>
          <t>RANIE DA SILVA FREIRE</t>
        </is>
      </c>
      <c r="C533" s="5">
        <f>IFERROR(INDEX(DePara[Categoria],MATCH(TEXT(A533,"0"),DePara[Fornecedor_txt],0)),"(sem categoria)")</f>
        <v/>
      </c>
      <c r="D533" s="12">
        <f>SUMIFS(Base[Montante],Base[Fornecedor],$A533&amp;"",Base[Ano],D$4)</f>
        <v/>
      </c>
      <c r="E533" s="12">
        <f>SUMIFS(Base[Montante],Base[Fornecedor],$A533&amp;"",Base[Ano],E$4)</f>
        <v/>
      </c>
      <c r="F533" s="12">
        <f>SUMIFS(Base[Montante],Base[Fornecedor],$A533&amp;"",Base[Ano],F$4)</f>
        <v/>
      </c>
      <c r="G533" s="12">
        <f>SUMIFS(Base[Montante],Base[Fornecedor],$A533&amp;"",Base[Ano],G$4)</f>
        <v/>
      </c>
      <c r="H533" s="12">
        <f>SUMIFS(Base[Montante],Base[Fornecedor],$A533&amp;"",Base[Ano],H$4)</f>
        <v/>
      </c>
      <c r="I533" s="12">
        <f>SUMIFS(Base[Montante],Base[Fornecedor],$A533&amp;"",Base[Ano],I$4)</f>
        <v/>
      </c>
      <c r="J533" s="12">
        <f>SUMIFS(Base[Montante],Base[Fornecedor],$A533&amp;"",Base[Ano],J$4)</f>
        <v/>
      </c>
      <c r="K533" s="12">
        <f>SUM(D533:J533)</f>
        <v/>
      </c>
    </row>
    <row r="534">
      <c r="A534" s="5" t="inlineStr">
        <is>
          <t>EM003567</t>
        </is>
      </c>
      <c r="B534" s="5" t="inlineStr">
        <is>
          <t>RANILSON DE SOUSA SANTANA</t>
        </is>
      </c>
      <c r="C534" s="5">
        <f>IFERROR(INDEX(DePara[Categoria],MATCH(TEXT(A534,"0"),DePara[Fornecedor_txt],0)),"(sem categoria)")</f>
        <v/>
      </c>
      <c r="D534" s="12">
        <f>SUMIFS(Base[Montante],Base[Fornecedor],$A534&amp;"",Base[Ano],D$4)</f>
        <v/>
      </c>
      <c r="E534" s="12">
        <f>SUMIFS(Base[Montante],Base[Fornecedor],$A534&amp;"",Base[Ano],E$4)</f>
        <v/>
      </c>
      <c r="F534" s="12">
        <f>SUMIFS(Base[Montante],Base[Fornecedor],$A534&amp;"",Base[Ano],F$4)</f>
        <v/>
      </c>
      <c r="G534" s="12">
        <f>SUMIFS(Base[Montante],Base[Fornecedor],$A534&amp;"",Base[Ano],G$4)</f>
        <v/>
      </c>
      <c r="H534" s="12">
        <f>SUMIFS(Base[Montante],Base[Fornecedor],$A534&amp;"",Base[Ano],H$4)</f>
        <v/>
      </c>
      <c r="I534" s="12">
        <f>SUMIFS(Base[Montante],Base[Fornecedor],$A534&amp;"",Base[Ano],I$4)</f>
        <v/>
      </c>
      <c r="J534" s="12">
        <f>SUMIFS(Base[Montante],Base[Fornecedor],$A534&amp;"",Base[Ano],J$4)</f>
        <v/>
      </c>
      <c r="K534" s="12">
        <f>SUM(D534:J534)</f>
        <v/>
      </c>
    </row>
    <row r="535">
      <c r="A535" s="5" t="inlineStr">
        <is>
          <t>EM000682</t>
        </is>
      </c>
      <c r="B535" s="5" t="inlineStr">
        <is>
          <t>RAUL GONCALVES RODRIGUES</t>
        </is>
      </c>
      <c r="C535" s="5">
        <f>IFERROR(INDEX(DePara[Categoria],MATCH(TEXT(A535,"0"),DePara[Fornecedor_txt],0)),"(sem categoria)")</f>
        <v/>
      </c>
      <c r="D535" s="12">
        <f>SUMIFS(Base[Montante],Base[Fornecedor],$A535&amp;"",Base[Ano],D$4)</f>
        <v/>
      </c>
      <c r="E535" s="12">
        <f>SUMIFS(Base[Montante],Base[Fornecedor],$A535&amp;"",Base[Ano],E$4)</f>
        <v/>
      </c>
      <c r="F535" s="12">
        <f>SUMIFS(Base[Montante],Base[Fornecedor],$A535&amp;"",Base[Ano],F$4)</f>
        <v/>
      </c>
      <c r="G535" s="12">
        <f>SUMIFS(Base[Montante],Base[Fornecedor],$A535&amp;"",Base[Ano],G$4)</f>
        <v/>
      </c>
      <c r="H535" s="12">
        <f>SUMIFS(Base[Montante],Base[Fornecedor],$A535&amp;"",Base[Ano],H$4)</f>
        <v/>
      </c>
      <c r="I535" s="12">
        <f>SUMIFS(Base[Montante],Base[Fornecedor],$A535&amp;"",Base[Ano],I$4)</f>
        <v/>
      </c>
      <c r="J535" s="12">
        <f>SUMIFS(Base[Montante],Base[Fornecedor],$A535&amp;"",Base[Ano],J$4)</f>
        <v/>
      </c>
      <c r="K535" s="12">
        <f>SUM(D535:J535)</f>
        <v/>
      </c>
    </row>
    <row r="536">
      <c r="A536" s="5" t="n">
        <v>100558</v>
      </c>
      <c r="B536" s="5" t="inlineStr">
        <is>
          <t>REAL SERVICE TRANSPORTE E TURISMO L</t>
        </is>
      </c>
      <c r="C536" s="5">
        <f>IFERROR(INDEX(DePara[Categoria],MATCH(TEXT(A536,"0"),DePara[Fornecedor_txt],0)),"(sem categoria)")</f>
        <v/>
      </c>
      <c r="D536" s="12">
        <f>SUMIFS(Base[Montante],Base[Fornecedor],$A536&amp;"",Base[Ano],D$4)</f>
        <v/>
      </c>
      <c r="E536" s="12">
        <f>SUMIFS(Base[Montante],Base[Fornecedor],$A536&amp;"",Base[Ano],E$4)</f>
        <v/>
      </c>
      <c r="F536" s="12">
        <f>SUMIFS(Base[Montante],Base[Fornecedor],$A536&amp;"",Base[Ano],F$4)</f>
        <v/>
      </c>
      <c r="G536" s="12">
        <f>SUMIFS(Base[Montante],Base[Fornecedor],$A536&amp;"",Base[Ano],G$4)</f>
        <v/>
      </c>
      <c r="H536" s="12">
        <f>SUMIFS(Base[Montante],Base[Fornecedor],$A536&amp;"",Base[Ano],H$4)</f>
        <v/>
      </c>
      <c r="I536" s="12">
        <f>SUMIFS(Base[Montante],Base[Fornecedor],$A536&amp;"",Base[Ano],I$4)</f>
        <v/>
      </c>
      <c r="J536" s="12">
        <f>SUMIFS(Base[Montante],Base[Fornecedor],$A536&amp;"",Base[Ano],J$4)</f>
        <v/>
      </c>
      <c r="K536" s="12">
        <f>SUM(D536:J536)</f>
        <v/>
      </c>
    </row>
    <row r="537">
      <c r="A537" s="5" t="n">
        <v>102080</v>
      </c>
      <c r="B537" s="5" t="inlineStr">
        <is>
          <t>RECEITA FEDERAL DO BRASIL</t>
        </is>
      </c>
      <c r="C537" s="5">
        <f>IFERROR(INDEX(DePara[Categoria],MATCH(TEXT(A537,"0"),DePara[Fornecedor_txt],0)),"(sem categoria)")</f>
        <v/>
      </c>
      <c r="D537" s="12">
        <f>SUMIFS(Base[Montante],Base[Fornecedor],$A537&amp;"",Base[Ano],D$4)</f>
        <v/>
      </c>
      <c r="E537" s="12">
        <f>SUMIFS(Base[Montante],Base[Fornecedor],$A537&amp;"",Base[Ano],E$4)</f>
        <v/>
      </c>
      <c r="F537" s="12">
        <f>SUMIFS(Base[Montante],Base[Fornecedor],$A537&amp;"",Base[Ano],F$4)</f>
        <v/>
      </c>
      <c r="G537" s="12">
        <f>SUMIFS(Base[Montante],Base[Fornecedor],$A537&amp;"",Base[Ano],G$4)</f>
        <v/>
      </c>
      <c r="H537" s="12">
        <f>SUMIFS(Base[Montante],Base[Fornecedor],$A537&amp;"",Base[Ano],H$4)</f>
        <v/>
      </c>
      <c r="I537" s="12">
        <f>SUMIFS(Base[Montante],Base[Fornecedor],$A537&amp;"",Base[Ano],I$4)</f>
        <v/>
      </c>
      <c r="J537" s="12">
        <f>SUMIFS(Base[Montante],Base[Fornecedor],$A537&amp;"",Base[Ano],J$4)</f>
        <v/>
      </c>
      <c r="K537" s="12">
        <f>SUM(D537:J537)</f>
        <v/>
      </c>
    </row>
    <row r="538">
      <c r="A538" s="5" t="n">
        <v>100847</v>
      </c>
      <c r="B538" s="5" t="inlineStr">
        <is>
          <t>RECONLOG LTDA</t>
        </is>
      </c>
      <c r="C538" s="5">
        <f>IFERROR(INDEX(DePara[Categoria],MATCH(TEXT(A538,"0"),DePara[Fornecedor_txt],0)),"(sem categoria)")</f>
        <v/>
      </c>
      <c r="D538" s="12">
        <f>SUMIFS(Base[Montante],Base[Fornecedor],$A538&amp;"",Base[Ano],D$4)</f>
        <v/>
      </c>
      <c r="E538" s="12">
        <f>SUMIFS(Base[Montante],Base[Fornecedor],$A538&amp;"",Base[Ano],E$4)</f>
        <v/>
      </c>
      <c r="F538" s="12">
        <f>SUMIFS(Base[Montante],Base[Fornecedor],$A538&amp;"",Base[Ano],F$4)</f>
        <v/>
      </c>
      <c r="G538" s="12">
        <f>SUMIFS(Base[Montante],Base[Fornecedor],$A538&amp;"",Base[Ano],G$4)</f>
        <v/>
      </c>
      <c r="H538" s="12">
        <f>SUMIFS(Base[Montante],Base[Fornecedor],$A538&amp;"",Base[Ano],H$4)</f>
        <v/>
      </c>
      <c r="I538" s="12">
        <f>SUMIFS(Base[Montante],Base[Fornecedor],$A538&amp;"",Base[Ano],I$4)</f>
        <v/>
      </c>
      <c r="J538" s="12">
        <f>SUMIFS(Base[Montante],Base[Fornecedor],$A538&amp;"",Base[Ano],J$4)</f>
        <v/>
      </c>
      <c r="K538" s="12">
        <f>SUM(D538:J538)</f>
        <v/>
      </c>
    </row>
    <row r="539">
      <c r="A539" s="5" t="inlineStr">
        <is>
          <t>EM000029</t>
        </is>
      </c>
      <c r="B539" s="5" t="inlineStr">
        <is>
          <t>RENATO BRUNO LIMA DE FARIAS</t>
        </is>
      </c>
      <c r="C539" s="5">
        <f>IFERROR(INDEX(DePara[Categoria],MATCH(TEXT(A539,"0"),DePara[Fornecedor_txt],0)),"(sem categoria)")</f>
        <v/>
      </c>
      <c r="D539" s="12">
        <f>SUMIFS(Base[Montante],Base[Fornecedor],$A539&amp;"",Base[Ano],D$4)</f>
        <v/>
      </c>
      <c r="E539" s="12">
        <f>SUMIFS(Base[Montante],Base[Fornecedor],$A539&amp;"",Base[Ano],E$4)</f>
        <v/>
      </c>
      <c r="F539" s="12">
        <f>SUMIFS(Base[Montante],Base[Fornecedor],$A539&amp;"",Base[Ano],F$4)</f>
        <v/>
      </c>
      <c r="G539" s="12">
        <f>SUMIFS(Base[Montante],Base[Fornecedor],$A539&amp;"",Base[Ano],G$4)</f>
        <v/>
      </c>
      <c r="H539" s="12">
        <f>SUMIFS(Base[Montante],Base[Fornecedor],$A539&amp;"",Base[Ano],H$4)</f>
        <v/>
      </c>
      <c r="I539" s="12">
        <f>SUMIFS(Base[Montante],Base[Fornecedor],$A539&amp;"",Base[Ano],I$4)</f>
        <v/>
      </c>
      <c r="J539" s="12">
        <f>SUMIFS(Base[Montante],Base[Fornecedor],$A539&amp;"",Base[Ano],J$4)</f>
        <v/>
      </c>
      <c r="K539" s="12">
        <f>SUM(D539:J539)</f>
        <v/>
      </c>
    </row>
    <row r="540">
      <c r="A540" s="5" t="inlineStr">
        <is>
          <t>EM000075</t>
        </is>
      </c>
      <c r="B540" s="5" t="inlineStr">
        <is>
          <t>RENATO CAIO FERNANDES SILVA</t>
        </is>
      </c>
      <c r="C540" s="5">
        <f>IFERROR(INDEX(DePara[Categoria],MATCH(TEXT(A540,"0"),DePara[Fornecedor_txt],0)),"(sem categoria)")</f>
        <v/>
      </c>
      <c r="D540" s="12">
        <f>SUMIFS(Base[Montante],Base[Fornecedor],$A540&amp;"",Base[Ano],D$4)</f>
        <v/>
      </c>
      <c r="E540" s="12">
        <f>SUMIFS(Base[Montante],Base[Fornecedor],$A540&amp;"",Base[Ano],E$4)</f>
        <v/>
      </c>
      <c r="F540" s="12">
        <f>SUMIFS(Base[Montante],Base[Fornecedor],$A540&amp;"",Base[Ano],F$4)</f>
        <v/>
      </c>
      <c r="G540" s="12">
        <f>SUMIFS(Base[Montante],Base[Fornecedor],$A540&amp;"",Base[Ano],G$4)</f>
        <v/>
      </c>
      <c r="H540" s="12">
        <f>SUMIFS(Base[Montante],Base[Fornecedor],$A540&amp;"",Base[Ano],H$4)</f>
        <v/>
      </c>
      <c r="I540" s="12">
        <f>SUMIFS(Base[Montante],Base[Fornecedor],$A540&amp;"",Base[Ano],I$4)</f>
        <v/>
      </c>
      <c r="J540" s="12">
        <f>SUMIFS(Base[Montante],Base[Fornecedor],$A540&amp;"",Base[Ano],J$4)</f>
        <v/>
      </c>
      <c r="K540" s="12">
        <f>SUM(D540:J540)</f>
        <v/>
      </c>
    </row>
    <row r="541">
      <c r="A541" s="5" t="n">
        <v>105629</v>
      </c>
      <c r="B541" s="5" t="inlineStr">
        <is>
          <t>RESTAURANTE SANTA GERTRUDES LTDA 47904495000309</t>
        </is>
      </c>
      <c r="C541" s="5">
        <f>IFERROR(INDEX(DePara[Categoria],MATCH(TEXT(A541,"0"),DePara[Fornecedor_txt],0)),"(sem categoria)")</f>
        <v/>
      </c>
      <c r="D541" s="12">
        <f>SUMIFS(Base[Montante],Base[Fornecedor],$A541&amp;"",Base[Ano],D$4)</f>
        <v/>
      </c>
      <c r="E541" s="12">
        <f>SUMIFS(Base[Montante],Base[Fornecedor],$A541&amp;"",Base[Ano],E$4)</f>
        <v/>
      </c>
      <c r="F541" s="12">
        <f>SUMIFS(Base[Montante],Base[Fornecedor],$A541&amp;"",Base[Ano],F$4)</f>
        <v/>
      </c>
      <c r="G541" s="12">
        <f>SUMIFS(Base[Montante],Base[Fornecedor],$A541&amp;"",Base[Ano],G$4)</f>
        <v/>
      </c>
      <c r="H541" s="12">
        <f>SUMIFS(Base[Montante],Base[Fornecedor],$A541&amp;"",Base[Ano],H$4)</f>
        <v/>
      </c>
      <c r="I541" s="12">
        <f>SUMIFS(Base[Montante],Base[Fornecedor],$A541&amp;"",Base[Ano],I$4)</f>
        <v/>
      </c>
      <c r="J541" s="12">
        <f>SUMIFS(Base[Montante],Base[Fornecedor],$A541&amp;"",Base[Ano],J$4)</f>
        <v/>
      </c>
      <c r="K541" s="12">
        <f>SUM(D541:J541)</f>
        <v/>
      </c>
    </row>
    <row r="542">
      <c r="A542" s="5" t="inlineStr">
        <is>
          <t>EM000131</t>
        </is>
      </c>
      <c r="B542" s="5" t="inlineStr">
        <is>
          <t>RICARDO COSTA DA SILVA</t>
        </is>
      </c>
      <c r="C542" s="5">
        <f>IFERROR(INDEX(DePara[Categoria],MATCH(TEXT(A542,"0"),DePara[Fornecedor_txt],0)),"(sem categoria)")</f>
        <v/>
      </c>
      <c r="D542" s="12">
        <f>SUMIFS(Base[Montante],Base[Fornecedor],$A542&amp;"",Base[Ano],D$4)</f>
        <v/>
      </c>
      <c r="E542" s="12">
        <f>SUMIFS(Base[Montante],Base[Fornecedor],$A542&amp;"",Base[Ano],E$4)</f>
        <v/>
      </c>
      <c r="F542" s="12">
        <f>SUMIFS(Base[Montante],Base[Fornecedor],$A542&amp;"",Base[Ano],F$4)</f>
        <v/>
      </c>
      <c r="G542" s="12">
        <f>SUMIFS(Base[Montante],Base[Fornecedor],$A542&amp;"",Base[Ano],G$4)</f>
        <v/>
      </c>
      <c r="H542" s="12">
        <f>SUMIFS(Base[Montante],Base[Fornecedor],$A542&amp;"",Base[Ano],H$4)</f>
        <v/>
      </c>
      <c r="I542" s="12">
        <f>SUMIFS(Base[Montante],Base[Fornecedor],$A542&amp;"",Base[Ano],I$4)</f>
        <v/>
      </c>
      <c r="J542" s="12">
        <f>SUMIFS(Base[Montante],Base[Fornecedor],$A542&amp;"",Base[Ano],J$4)</f>
        <v/>
      </c>
      <c r="K542" s="12">
        <f>SUM(D542:J542)</f>
        <v/>
      </c>
    </row>
    <row r="543">
      <c r="A543" s="5" t="inlineStr">
        <is>
          <t>EM000050</t>
        </is>
      </c>
      <c r="B543" s="5" t="inlineStr">
        <is>
          <t>RICARDO DANTAS ALVES JUNIOR</t>
        </is>
      </c>
      <c r="C543" s="5">
        <f>IFERROR(INDEX(DePara[Categoria],MATCH(TEXT(A543,"0"),DePara[Fornecedor_txt],0)),"(sem categoria)")</f>
        <v/>
      </c>
      <c r="D543" s="12">
        <f>SUMIFS(Base[Montante],Base[Fornecedor],$A543&amp;"",Base[Ano],D$4)</f>
        <v/>
      </c>
      <c r="E543" s="12">
        <f>SUMIFS(Base[Montante],Base[Fornecedor],$A543&amp;"",Base[Ano],E$4)</f>
        <v/>
      </c>
      <c r="F543" s="12">
        <f>SUMIFS(Base[Montante],Base[Fornecedor],$A543&amp;"",Base[Ano],F$4)</f>
        <v/>
      </c>
      <c r="G543" s="12">
        <f>SUMIFS(Base[Montante],Base[Fornecedor],$A543&amp;"",Base[Ano],G$4)</f>
        <v/>
      </c>
      <c r="H543" s="12">
        <f>SUMIFS(Base[Montante],Base[Fornecedor],$A543&amp;"",Base[Ano],H$4)</f>
        <v/>
      </c>
      <c r="I543" s="12">
        <f>SUMIFS(Base[Montante],Base[Fornecedor],$A543&amp;"",Base[Ano],I$4)</f>
        <v/>
      </c>
      <c r="J543" s="12">
        <f>SUMIFS(Base[Montante],Base[Fornecedor],$A543&amp;"",Base[Ano],J$4)</f>
        <v/>
      </c>
      <c r="K543" s="12">
        <f>SUM(D543:J543)</f>
        <v/>
      </c>
    </row>
    <row r="544">
      <c r="A544" s="5" t="inlineStr">
        <is>
          <t>EM000812</t>
        </is>
      </c>
      <c r="B544" s="5" t="inlineStr">
        <is>
          <t>RICARDO RYOITI YAMAGUCHI</t>
        </is>
      </c>
      <c r="C544" s="5">
        <f>IFERROR(INDEX(DePara[Categoria],MATCH(TEXT(A544,"0"),DePara[Fornecedor_txt],0)),"(sem categoria)")</f>
        <v/>
      </c>
      <c r="D544" s="12">
        <f>SUMIFS(Base[Montante],Base[Fornecedor],$A544&amp;"",Base[Ano],D$4)</f>
        <v/>
      </c>
      <c r="E544" s="12">
        <f>SUMIFS(Base[Montante],Base[Fornecedor],$A544&amp;"",Base[Ano],E$4)</f>
        <v/>
      </c>
      <c r="F544" s="12">
        <f>SUMIFS(Base[Montante],Base[Fornecedor],$A544&amp;"",Base[Ano],F$4)</f>
        <v/>
      </c>
      <c r="G544" s="12">
        <f>SUMIFS(Base[Montante],Base[Fornecedor],$A544&amp;"",Base[Ano],G$4)</f>
        <v/>
      </c>
      <c r="H544" s="12">
        <f>SUMIFS(Base[Montante],Base[Fornecedor],$A544&amp;"",Base[Ano],H$4)</f>
        <v/>
      </c>
      <c r="I544" s="12">
        <f>SUMIFS(Base[Montante],Base[Fornecedor],$A544&amp;"",Base[Ano],I$4)</f>
        <v/>
      </c>
      <c r="J544" s="12">
        <f>SUMIFS(Base[Montante],Base[Fornecedor],$A544&amp;"",Base[Ano],J$4)</f>
        <v/>
      </c>
      <c r="K544" s="12">
        <f>SUM(D544:J544)</f>
        <v/>
      </c>
    </row>
    <row r="545">
      <c r="A545" s="5" t="n">
        <v>101540</v>
      </c>
      <c r="B545" s="5" t="inlineStr">
        <is>
          <t>RICOH PY EQUIPAMENTOS DE INFORMATIC</t>
        </is>
      </c>
      <c r="C545" s="5">
        <f>IFERROR(INDEX(DePara[Categoria],MATCH(TEXT(A545,"0"),DePara[Fornecedor_txt],0)),"(sem categoria)")</f>
        <v/>
      </c>
      <c r="D545" s="12">
        <f>SUMIFS(Base[Montante],Base[Fornecedor],$A545&amp;"",Base[Ano],D$4)</f>
        <v/>
      </c>
      <c r="E545" s="12">
        <f>SUMIFS(Base[Montante],Base[Fornecedor],$A545&amp;"",Base[Ano],E$4)</f>
        <v/>
      </c>
      <c r="F545" s="12">
        <f>SUMIFS(Base[Montante],Base[Fornecedor],$A545&amp;"",Base[Ano],F$4)</f>
        <v/>
      </c>
      <c r="G545" s="12">
        <f>SUMIFS(Base[Montante],Base[Fornecedor],$A545&amp;"",Base[Ano],G$4)</f>
        <v/>
      </c>
      <c r="H545" s="12">
        <f>SUMIFS(Base[Montante],Base[Fornecedor],$A545&amp;"",Base[Ano],H$4)</f>
        <v/>
      </c>
      <c r="I545" s="12">
        <f>SUMIFS(Base[Montante],Base[Fornecedor],$A545&amp;"",Base[Ano],I$4)</f>
        <v/>
      </c>
      <c r="J545" s="12">
        <f>SUMIFS(Base[Montante],Base[Fornecedor],$A545&amp;"",Base[Ano],J$4)</f>
        <v/>
      </c>
      <c r="K545" s="12">
        <f>SUM(D545:J545)</f>
        <v/>
      </c>
    </row>
    <row r="546">
      <c r="A546" s="5" t="inlineStr">
        <is>
          <t>EM000518</t>
        </is>
      </c>
      <c r="B546" s="5" t="inlineStr">
        <is>
          <t>RIVALDO FRANCISCO DE SOUZA QUEIROZ</t>
        </is>
      </c>
      <c r="C546" s="5">
        <f>IFERROR(INDEX(DePara[Categoria],MATCH(TEXT(A546,"0"),DePara[Fornecedor_txt],0)),"(sem categoria)")</f>
        <v/>
      </c>
      <c r="D546" s="12">
        <f>SUMIFS(Base[Montante],Base[Fornecedor],$A546&amp;"",Base[Ano],D$4)</f>
        <v/>
      </c>
      <c r="E546" s="12">
        <f>SUMIFS(Base[Montante],Base[Fornecedor],$A546&amp;"",Base[Ano],E$4)</f>
        <v/>
      </c>
      <c r="F546" s="12">
        <f>SUMIFS(Base[Montante],Base[Fornecedor],$A546&amp;"",Base[Ano],F$4)</f>
        <v/>
      </c>
      <c r="G546" s="12">
        <f>SUMIFS(Base[Montante],Base[Fornecedor],$A546&amp;"",Base[Ano],G$4)</f>
        <v/>
      </c>
      <c r="H546" s="12">
        <f>SUMIFS(Base[Montante],Base[Fornecedor],$A546&amp;"",Base[Ano],H$4)</f>
        <v/>
      </c>
      <c r="I546" s="12">
        <f>SUMIFS(Base[Montante],Base[Fornecedor],$A546&amp;"",Base[Ano],I$4)</f>
        <v/>
      </c>
      <c r="J546" s="12">
        <f>SUMIFS(Base[Montante],Base[Fornecedor],$A546&amp;"",Base[Ano],J$4)</f>
        <v/>
      </c>
      <c r="K546" s="12">
        <f>SUM(D546:J546)</f>
        <v/>
      </c>
    </row>
    <row r="547">
      <c r="A547" s="5" t="n">
        <v>103767</v>
      </c>
      <c r="B547" s="5" t="inlineStr">
        <is>
          <t>ROBERT HALF TRABALHO TEMPORARIO</t>
        </is>
      </c>
      <c r="C547" s="5">
        <f>IFERROR(INDEX(DePara[Categoria],MATCH(TEXT(A547,"0"),DePara[Fornecedor_txt],0)),"(sem categoria)")</f>
        <v/>
      </c>
      <c r="D547" s="12">
        <f>SUMIFS(Base[Montante],Base[Fornecedor],$A547&amp;"",Base[Ano],D$4)</f>
        <v/>
      </c>
      <c r="E547" s="12">
        <f>SUMIFS(Base[Montante],Base[Fornecedor],$A547&amp;"",Base[Ano],E$4)</f>
        <v/>
      </c>
      <c r="F547" s="12">
        <f>SUMIFS(Base[Montante],Base[Fornecedor],$A547&amp;"",Base[Ano],F$4)</f>
        <v/>
      </c>
      <c r="G547" s="12">
        <f>SUMIFS(Base[Montante],Base[Fornecedor],$A547&amp;"",Base[Ano],G$4)</f>
        <v/>
      </c>
      <c r="H547" s="12">
        <f>SUMIFS(Base[Montante],Base[Fornecedor],$A547&amp;"",Base[Ano],H$4)</f>
        <v/>
      </c>
      <c r="I547" s="12">
        <f>SUMIFS(Base[Montante],Base[Fornecedor],$A547&amp;"",Base[Ano],I$4)</f>
        <v/>
      </c>
      <c r="J547" s="12">
        <f>SUMIFS(Base[Montante],Base[Fornecedor],$A547&amp;"",Base[Ano],J$4)</f>
        <v/>
      </c>
      <c r="K547" s="12">
        <f>SUM(D547:J547)</f>
        <v/>
      </c>
    </row>
    <row r="548">
      <c r="A548" s="5" t="inlineStr">
        <is>
          <t>EM000296</t>
        </is>
      </c>
      <c r="B548" s="5" t="inlineStr">
        <is>
          <t>ROBERTISON JOSE DE BRITO</t>
        </is>
      </c>
      <c r="C548" s="5">
        <f>IFERROR(INDEX(DePara[Categoria],MATCH(TEXT(A548,"0"),DePara[Fornecedor_txt],0)),"(sem categoria)")</f>
        <v/>
      </c>
      <c r="D548" s="12">
        <f>SUMIFS(Base[Montante],Base[Fornecedor],$A548&amp;"",Base[Ano],D$4)</f>
        <v/>
      </c>
      <c r="E548" s="12">
        <f>SUMIFS(Base[Montante],Base[Fornecedor],$A548&amp;"",Base[Ano],E$4)</f>
        <v/>
      </c>
      <c r="F548" s="12">
        <f>SUMIFS(Base[Montante],Base[Fornecedor],$A548&amp;"",Base[Ano],F$4)</f>
        <v/>
      </c>
      <c r="G548" s="12">
        <f>SUMIFS(Base[Montante],Base[Fornecedor],$A548&amp;"",Base[Ano],G$4)</f>
        <v/>
      </c>
      <c r="H548" s="12">
        <f>SUMIFS(Base[Montante],Base[Fornecedor],$A548&amp;"",Base[Ano],H$4)</f>
        <v/>
      </c>
      <c r="I548" s="12">
        <f>SUMIFS(Base[Montante],Base[Fornecedor],$A548&amp;"",Base[Ano],I$4)</f>
        <v/>
      </c>
      <c r="J548" s="12">
        <f>SUMIFS(Base[Montante],Base[Fornecedor],$A548&amp;"",Base[Ano],J$4)</f>
        <v/>
      </c>
      <c r="K548" s="12">
        <f>SUM(D548:J548)</f>
        <v/>
      </c>
    </row>
    <row r="549">
      <c r="A549" s="5" t="inlineStr">
        <is>
          <t>EM000609</t>
        </is>
      </c>
      <c r="B549" s="5" t="inlineStr">
        <is>
          <t>ROBSON RUBELTON RODIGUES RAMOS JUNIOR</t>
        </is>
      </c>
      <c r="C549" s="5">
        <f>IFERROR(INDEX(DePara[Categoria],MATCH(TEXT(A549,"0"),DePara[Fornecedor_txt],0)),"(sem categoria)")</f>
        <v/>
      </c>
      <c r="D549" s="12">
        <f>SUMIFS(Base[Montante],Base[Fornecedor],$A549&amp;"",Base[Ano],D$4)</f>
        <v/>
      </c>
      <c r="E549" s="12">
        <f>SUMIFS(Base[Montante],Base[Fornecedor],$A549&amp;"",Base[Ano],E$4)</f>
        <v/>
      </c>
      <c r="F549" s="12">
        <f>SUMIFS(Base[Montante],Base[Fornecedor],$A549&amp;"",Base[Ano],F$4)</f>
        <v/>
      </c>
      <c r="G549" s="12">
        <f>SUMIFS(Base[Montante],Base[Fornecedor],$A549&amp;"",Base[Ano],G$4)</f>
        <v/>
      </c>
      <c r="H549" s="12">
        <f>SUMIFS(Base[Montante],Base[Fornecedor],$A549&amp;"",Base[Ano],H$4)</f>
        <v/>
      </c>
      <c r="I549" s="12">
        <f>SUMIFS(Base[Montante],Base[Fornecedor],$A549&amp;"",Base[Ano],I$4)</f>
        <v/>
      </c>
      <c r="J549" s="12">
        <f>SUMIFS(Base[Montante],Base[Fornecedor],$A549&amp;"",Base[Ano],J$4)</f>
        <v/>
      </c>
      <c r="K549" s="12">
        <f>SUM(D549:J549)</f>
        <v/>
      </c>
    </row>
    <row r="550">
      <c r="A550" s="5" t="inlineStr">
        <is>
          <t>EM000125</t>
        </is>
      </c>
      <c r="B550" s="5" t="inlineStr">
        <is>
          <t>RODRIGO RAFAEL LIMA DE FARIAS</t>
        </is>
      </c>
      <c r="C550" s="5">
        <f>IFERROR(INDEX(DePara[Categoria],MATCH(TEXT(A550,"0"),DePara[Fornecedor_txt],0)),"(sem categoria)")</f>
        <v/>
      </c>
      <c r="D550" s="12">
        <f>SUMIFS(Base[Montante],Base[Fornecedor],$A550&amp;"",Base[Ano],D$4)</f>
        <v/>
      </c>
      <c r="E550" s="12">
        <f>SUMIFS(Base[Montante],Base[Fornecedor],$A550&amp;"",Base[Ano],E$4)</f>
        <v/>
      </c>
      <c r="F550" s="12">
        <f>SUMIFS(Base[Montante],Base[Fornecedor],$A550&amp;"",Base[Ano],F$4)</f>
        <v/>
      </c>
      <c r="G550" s="12">
        <f>SUMIFS(Base[Montante],Base[Fornecedor],$A550&amp;"",Base[Ano],G$4)</f>
        <v/>
      </c>
      <c r="H550" s="12">
        <f>SUMIFS(Base[Montante],Base[Fornecedor],$A550&amp;"",Base[Ano],H$4)</f>
        <v/>
      </c>
      <c r="I550" s="12">
        <f>SUMIFS(Base[Montante],Base[Fornecedor],$A550&amp;"",Base[Ano],I$4)</f>
        <v/>
      </c>
      <c r="J550" s="12">
        <f>SUMIFS(Base[Montante],Base[Fornecedor],$A550&amp;"",Base[Ano],J$4)</f>
        <v/>
      </c>
      <c r="K550" s="12">
        <f>SUM(D550:J550)</f>
        <v/>
      </c>
    </row>
    <row r="551">
      <c r="A551" s="5" t="inlineStr">
        <is>
          <t>EM000633</t>
        </is>
      </c>
      <c r="B551" s="5" t="inlineStr">
        <is>
          <t>ROGERIO PEREIRA PASSOS</t>
        </is>
      </c>
      <c r="C551" s="5">
        <f>IFERROR(INDEX(DePara[Categoria],MATCH(TEXT(A551,"0"),DePara[Fornecedor_txt],0)),"(sem categoria)")</f>
        <v/>
      </c>
      <c r="D551" s="12">
        <f>SUMIFS(Base[Montante],Base[Fornecedor],$A551&amp;"",Base[Ano],D$4)</f>
        <v/>
      </c>
      <c r="E551" s="12">
        <f>SUMIFS(Base[Montante],Base[Fornecedor],$A551&amp;"",Base[Ano],E$4)</f>
        <v/>
      </c>
      <c r="F551" s="12">
        <f>SUMIFS(Base[Montante],Base[Fornecedor],$A551&amp;"",Base[Ano],F$4)</f>
        <v/>
      </c>
      <c r="G551" s="12">
        <f>SUMIFS(Base[Montante],Base[Fornecedor],$A551&amp;"",Base[Ano],G$4)</f>
        <v/>
      </c>
      <c r="H551" s="12">
        <f>SUMIFS(Base[Montante],Base[Fornecedor],$A551&amp;"",Base[Ano],H$4)</f>
        <v/>
      </c>
      <c r="I551" s="12">
        <f>SUMIFS(Base[Montante],Base[Fornecedor],$A551&amp;"",Base[Ano],I$4)</f>
        <v/>
      </c>
      <c r="J551" s="12">
        <f>SUMIFS(Base[Montante],Base[Fornecedor],$A551&amp;"",Base[Ano],J$4)</f>
        <v/>
      </c>
      <c r="K551" s="12">
        <f>SUM(D551:J551)</f>
        <v/>
      </c>
    </row>
    <row r="552">
      <c r="A552" s="5" t="n">
        <v>100969</v>
      </c>
      <c r="B552" s="5" t="inlineStr">
        <is>
          <t>RONALDO LUIS DE SOUSA</t>
        </is>
      </c>
      <c r="C552" s="5">
        <f>IFERROR(INDEX(DePara[Categoria],MATCH(TEXT(A552,"0"),DePara[Fornecedor_txt],0)),"(sem categoria)")</f>
        <v/>
      </c>
      <c r="D552" s="12">
        <f>SUMIFS(Base[Montante],Base[Fornecedor],$A552&amp;"",Base[Ano],D$4)</f>
        <v/>
      </c>
      <c r="E552" s="12">
        <f>SUMIFS(Base[Montante],Base[Fornecedor],$A552&amp;"",Base[Ano],E$4)</f>
        <v/>
      </c>
      <c r="F552" s="12">
        <f>SUMIFS(Base[Montante],Base[Fornecedor],$A552&amp;"",Base[Ano],F$4)</f>
        <v/>
      </c>
      <c r="G552" s="12">
        <f>SUMIFS(Base[Montante],Base[Fornecedor],$A552&amp;"",Base[Ano],G$4)</f>
        <v/>
      </c>
      <c r="H552" s="12">
        <f>SUMIFS(Base[Montante],Base[Fornecedor],$A552&amp;"",Base[Ano],H$4)</f>
        <v/>
      </c>
      <c r="I552" s="12">
        <f>SUMIFS(Base[Montante],Base[Fornecedor],$A552&amp;"",Base[Ano],I$4)</f>
        <v/>
      </c>
      <c r="J552" s="12">
        <f>SUMIFS(Base[Montante],Base[Fornecedor],$A552&amp;"",Base[Ano],J$4)</f>
        <v/>
      </c>
      <c r="K552" s="12">
        <f>SUM(D552:J552)</f>
        <v/>
      </c>
    </row>
    <row r="553">
      <c r="A553" s="5" t="inlineStr">
        <is>
          <t>EM003810</t>
        </is>
      </c>
      <c r="B553" s="5" t="inlineStr">
        <is>
          <t>RONERIO AMORIM DE ARARIPE</t>
        </is>
      </c>
      <c r="C553" s="5">
        <f>IFERROR(INDEX(DePara[Categoria],MATCH(TEXT(A553,"0"),DePara[Fornecedor_txt],0)),"(sem categoria)")</f>
        <v/>
      </c>
      <c r="D553" s="12">
        <f>SUMIFS(Base[Montante],Base[Fornecedor],$A553&amp;"",Base[Ano],D$4)</f>
        <v/>
      </c>
      <c r="E553" s="12">
        <f>SUMIFS(Base[Montante],Base[Fornecedor],$A553&amp;"",Base[Ano],E$4)</f>
        <v/>
      </c>
      <c r="F553" s="12">
        <f>SUMIFS(Base[Montante],Base[Fornecedor],$A553&amp;"",Base[Ano],F$4)</f>
        <v/>
      </c>
      <c r="G553" s="12">
        <f>SUMIFS(Base[Montante],Base[Fornecedor],$A553&amp;"",Base[Ano],G$4)</f>
        <v/>
      </c>
      <c r="H553" s="12">
        <f>SUMIFS(Base[Montante],Base[Fornecedor],$A553&amp;"",Base[Ano],H$4)</f>
        <v/>
      </c>
      <c r="I553" s="12">
        <f>SUMIFS(Base[Montante],Base[Fornecedor],$A553&amp;"",Base[Ano],I$4)</f>
        <v/>
      </c>
      <c r="J553" s="12">
        <f>SUMIFS(Base[Montante],Base[Fornecedor],$A553&amp;"",Base[Ano],J$4)</f>
        <v/>
      </c>
      <c r="K553" s="12">
        <f>SUM(D553:J553)</f>
        <v/>
      </c>
    </row>
    <row r="554">
      <c r="A554" s="5" t="n">
        <v>101917</v>
      </c>
      <c r="B554" s="5" t="inlineStr">
        <is>
          <t>ROSCAFIX FIXACAO E VEDACAO LTDA</t>
        </is>
      </c>
      <c r="C554" s="5">
        <f>IFERROR(INDEX(DePara[Categoria],MATCH(TEXT(A554,"0"),DePara[Fornecedor_txt],0)),"(sem categoria)")</f>
        <v/>
      </c>
      <c r="D554" s="12">
        <f>SUMIFS(Base[Montante],Base[Fornecedor],$A554&amp;"",Base[Ano],D$4)</f>
        <v/>
      </c>
      <c r="E554" s="12">
        <f>SUMIFS(Base[Montante],Base[Fornecedor],$A554&amp;"",Base[Ano],E$4)</f>
        <v/>
      </c>
      <c r="F554" s="12">
        <f>SUMIFS(Base[Montante],Base[Fornecedor],$A554&amp;"",Base[Ano],F$4)</f>
        <v/>
      </c>
      <c r="G554" s="12">
        <f>SUMIFS(Base[Montante],Base[Fornecedor],$A554&amp;"",Base[Ano],G$4)</f>
        <v/>
      </c>
      <c r="H554" s="12">
        <f>SUMIFS(Base[Montante],Base[Fornecedor],$A554&amp;"",Base[Ano],H$4)</f>
        <v/>
      </c>
      <c r="I554" s="12">
        <f>SUMIFS(Base[Montante],Base[Fornecedor],$A554&amp;"",Base[Ano],I$4)</f>
        <v/>
      </c>
      <c r="J554" s="12">
        <f>SUMIFS(Base[Montante],Base[Fornecedor],$A554&amp;"",Base[Ano],J$4)</f>
        <v/>
      </c>
      <c r="K554" s="12">
        <f>SUM(D554:J554)</f>
        <v/>
      </c>
    </row>
    <row r="555">
      <c r="A555" s="5" t="n">
        <v>101096</v>
      </c>
      <c r="B555" s="5" t="inlineStr">
        <is>
          <t>RUDLOFF INDUSTRIAL LTDA</t>
        </is>
      </c>
      <c r="C555" s="5">
        <f>IFERROR(INDEX(DePara[Categoria],MATCH(TEXT(A555,"0"),DePara[Fornecedor_txt],0)),"(sem categoria)")</f>
        <v/>
      </c>
      <c r="D555" s="12">
        <f>SUMIFS(Base[Montante],Base[Fornecedor],$A555&amp;"",Base[Ano],D$4)</f>
        <v/>
      </c>
      <c r="E555" s="12">
        <f>SUMIFS(Base[Montante],Base[Fornecedor],$A555&amp;"",Base[Ano],E$4)</f>
        <v/>
      </c>
      <c r="F555" s="12">
        <f>SUMIFS(Base[Montante],Base[Fornecedor],$A555&amp;"",Base[Ano],F$4)</f>
        <v/>
      </c>
      <c r="G555" s="12">
        <f>SUMIFS(Base[Montante],Base[Fornecedor],$A555&amp;"",Base[Ano],G$4)</f>
        <v/>
      </c>
      <c r="H555" s="12">
        <f>SUMIFS(Base[Montante],Base[Fornecedor],$A555&amp;"",Base[Ano],H$4)</f>
        <v/>
      </c>
      <c r="I555" s="12">
        <f>SUMIFS(Base[Montante],Base[Fornecedor],$A555&amp;"",Base[Ano],I$4)</f>
        <v/>
      </c>
      <c r="J555" s="12">
        <f>SUMIFS(Base[Montante],Base[Fornecedor],$A555&amp;"",Base[Ano],J$4)</f>
        <v/>
      </c>
      <c r="K555" s="12">
        <f>SUM(D555:J555)</f>
        <v/>
      </c>
    </row>
    <row r="556">
      <c r="A556" s="5" t="n">
        <v>101485</v>
      </c>
      <c r="B556" s="5" t="inlineStr">
        <is>
          <t>RUDLOFF SISTEMA DE PROTENSAO LTDA</t>
        </is>
      </c>
      <c r="C556" s="5">
        <f>IFERROR(INDEX(DePara[Categoria],MATCH(TEXT(A556,"0"),DePara[Fornecedor_txt],0)),"(sem categoria)")</f>
        <v/>
      </c>
      <c r="D556" s="12">
        <f>SUMIFS(Base[Montante],Base[Fornecedor],$A556&amp;"",Base[Ano],D$4)</f>
        <v/>
      </c>
      <c r="E556" s="12">
        <f>SUMIFS(Base[Montante],Base[Fornecedor],$A556&amp;"",Base[Ano],E$4)</f>
        <v/>
      </c>
      <c r="F556" s="12">
        <f>SUMIFS(Base[Montante],Base[Fornecedor],$A556&amp;"",Base[Ano],F$4)</f>
        <v/>
      </c>
      <c r="G556" s="12">
        <f>SUMIFS(Base[Montante],Base[Fornecedor],$A556&amp;"",Base[Ano],G$4)</f>
        <v/>
      </c>
      <c r="H556" s="12">
        <f>SUMIFS(Base[Montante],Base[Fornecedor],$A556&amp;"",Base[Ano],H$4)</f>
        <v/>
      </c>
      <c r="I556" s="12">
        <f>SUMIFS(Base[Montante],Base[Fornecedor],$A556&amp;"",Base[Ano],I$4)</f>
        <v/>
      </c>
      <c r="J556" s="12">
        <f>SUMIFS(Base[Montante],Base[Fornecedor],$A556&amp;"",Base[Ano],J$4)</f>
        <v/>
      </c>
      <c r="K556" s="12">
        <f>SUM(D556:J556)</f>
        <v/>
      </c>
    </row>
    <row r="557">
      <c r="A557" s="5" t="n">
        <v>107793</v>
      </c>
      <c r="B557" s="5" t="inlineStr">
        <is>
          <t>RUDLOFF STRONGFORCE STRUCTURAL SYST L.L.C</t>
        </is>
      </c>
      <c r="C557" s="5">
        <f>IFERROR(INDEX(DePara[Categoria],MATCH(TEXT(A557,"0"),DePara[Fornecedor_txt],0)),"(sem categoria)")</f>
        <v/>
      </c>
      <c r="D557" s="12">
        <f>SUMIFS(Base[Montante],Base[Fornecedor],$A557&amp;"",Base[Ano],D$4)</f>
        <v/>
      </c>
      <c r="E557" s="12">
        <f>SUMIFS(Base[Montante],Base[Fornecedor],$A557&amp;"",Base[Ano],E$4)</f>
        <v/>
      </c>
      <c r="F557" s="12">
        <f>SUMIFS(Base[Montante],Base[Fornecedor],$A557&amp;"",Base[Ano],F$4)</f>
        <v/>
      </c>
      <c r="G557" s="12">
        <f>SUMIFS(Base[Montante],Base[Fornecedor],$A557&amp;"",Base[Ano],G$4)</f>
        <v/>
      </c>
      <c r="H557" s="12">
        <f>SUMIFS(Base[Montante],Base[Fornecedor],$A557&amp;"",Base[Ano],H$4)</f>
        <v/>
      </c>
      <c r="I557" s="12">
        <f>SUMIFS(Base[Montante],Base[Fornecedor],$A557&amp;"",Base[Ano],I$4)</f>
        <v/>
      </c>
      <c r="J557" s="12">
        <f>SUMIFS(Base[Montante],Base[Fornecedor],$A557&amp;"",Base[Ano],J$4)</f>
        <v/>
      </c>
      <c r="K557" s="12">
        <f>SUM(D557:J557)</f>
        <v/>
      </c>
    </row>
    <row r="558">
      <c r="A558" s="5" t="n">
        <v>101771</v>
      </c>
      <c r="B558" s="5" t="inlineStr">
        <is>
          <t>RUZINALDO BARROS MOURA</t>
        </is>
      </c>
      <c r="C558" s="5">
        <f>IFERROR(INDEX(DePara[Categoria],MATCH(TEXT(A558,"0"),DePara[Fornecedor_txt],0)),"(sem categoria)")</f>
        <v/>
      </c>
      <c r="D558" s="12">
        <f>SUMIFS(Base[Montante],Base[Fornecedor],$A558&amp;"",Base[Ano],D$4)</f>
        <v/>
      </c>
      <c r="E558" s="12">
        <f>SUMIFS(Base[Montante],Base[Fornecedor],$A558&amp;"",Base[Ano],E$4)</f>
        <v/>
      </c>
      <c r="F558" s="12">
        <f>SUMIFS(Base[Montante],Base[Fornecedor],$A558&amp;"",Base[Ano],F$4)</f>
        <v/>
      </c>
      <c r="G558" s="12">
        <f>SUMIFS(Base[Montante],Base[Fornecedor],$A558&amp;"",Base[Ano],G$4)</f>
        <v/>
      </c>
      <c r="H558" s="12">
        <f>SUMIFS(Base[Montante],Base[Fornecedor],$A558&amp;"",Base[Ano],H$4)</f>
        <v/>
      </c>
      <c r="I558" s="12">
        <f>SUMIFS(Base[Montante],Base[Fornecedor],$A558&amp;"",Base[Ano],I$4)</f>
        <v/>
      </c>
      <c r="J558" s="12">
        <f>SUMIFS(Base[Montante],Base[Fornecedor],$A558&amp;"",Base[Ano],J$4)</f>
        <v/>
      </c>
      <c r="K558" s="12">
        <f>SUM(D558:J558)</f>
        <v/>
      </c>
    </row>
    <row r="559">
      <c r="A559" s="5" t="inlineStr">
        <is>
          <t>EM000982</t>
        </is>
      </c>
      <c r="B559" s="5" t="inlineStr">
        <is>
          <t>SADRAQUE DA COSTA PEREIRA</t>
        </is>
      </c>
      <c r="C559" s="5">
        <f>IFERROR(INDEX(DePara[Categoria],MATCH(TEXT(A559,"0"),DePara[Fornecedor_txt],0)),"(sem categoria)")</f>
        <v/>
      </c>
      <c r="D559" s="12">
        <f>SUMIFS(Base[Montante],Base[Fornecedor],$A559&amp;"",Base[Ano],D$4)</f>
        <v/>
      </c>
      <c r="E559" s="12">
        <f>SUMIFS(Base[Montante],Base[Fornecedor],$A559&amp;"",Base[Ano],E$4)</f>
        <v/>
      </c>
      <c r="F559" s="12">
        <f>SUMIFS(Base[Montante],Base[Fornecedor],$A559&amp;"",Base[Ano],F$4)</f>
        <v/>
      </c>
      <c r="G559" s="12">
        <f>SUMIFS(Base[Montante],Base[Fornecedor],$A559&amp;"",Base[Ano],G$4)</f>
        <v/>
      </c>
      <c r="H559" s="12">
        <f>SUMIFS(Base[Montante],Base[Fornecedor],$A559&amp;"",Base[Ano],H$4)</f>
        <v/>
      </c>
      <c r="I559" s="12">
        <f>SUMIFS(Base[Montante],Base[Fornecedor],$A559&amp;"",Base[Ano],I$4)</f>
        <v/>
      </c>
      <c r="J559" s="12">
        <f>SUMIFS(Base[Montante],Base[Fornecedor],$A559&amp;"",Base[Ano],J$4)</f>
        <v/>
      </c>
      <c r="K559" s="12">
        <f>SUM(D559:J559)</f>
        <v/>
      </c>
    </row>
    <row r="560">
      <c r="A560" s="5" t="inlineStr">
        <is>
          <t>EM000080</t>
        </is>
      </c>
      <c r="B560" s="5" t="inlineStr">
        <is>
          <t>SAIRON DOS SANTOS BASTOS</t>
        </is>
      </c>
      <c r="C560" s="5">
        <f>IFERROR(INDEX(DePara[Categoria],MATCH(TEXT(A560,"0"),DePara[Fornecedor_txt],0)),"(sem categoria)")</f>
        <v/>
      </c>
      <c r="D560" s="12">
        <f>SUMIFS(Base[Montante],Base[Fornecedor],$A560&amp;"",Base[Ano],D$4)</f>
        <v/>
      </c>
      <c r="E560" s="12">
        <f>SUMIFS(Base[Montante],Base[Fornecedor],$A560&amp;"",Base[Ano],E$4)</f>
        <v/>
      </c>
      <c r="F560" s="12">
        <f>SUMIFS(Base[Montante],Base[Fornecedor],$A560&amp;"",Base[Ano],F$4)</f>
        <v/>
      </c>
      <c r="G560" s="12">
        <f>SUMIFS(Base[Montante],Base[Fornecedor],$A560&amp;"",Base[Ano],G$4)</f>
        <v/>
      </c>
      <c r="H560" s="12">
        <f>SUMIFS(Base[Montante],Base[Fornecedor],$A560&amp;"",Base[Ano],H$4)</f>
        <v/>
      </c>
      <c r="I560" s="12">
        <f>SUMIFS(Base[Montante],Base[Fornecedor],$A560&amp;"",Base[Ano],I$4)</f>
        <v/>
      </c>
      <c r="J560" s="12">
        <f>SUMIFS(Base[Montante],Base[Fornecedor],$A560&amp;"",Base[Ano],J$4)</f>
        <v/>
      </c>
      <c r="K560" s="12">
        <f>SUM(D560:J560)</f>
        <v/>
      </c>
    </row>
    <row r="561">
      <c r="A561" s="5" t="n">
        <v>100450</v>
      </c>
      <c r="B561" s="5" t="inlineStr">
        <is>
          <t>SAMLIFE MSC LTDA</t>
        </is>
      </c>
      <c r="C561" s="5">
        <f>IFERROR(INDEX(DePara[Categoria],MATCH(TEXT(A561,"0"),DePara[Fornecedor_txt],0)),"(sem categoria)")</f>
        <v/>
      </c>
      <c r="D561" s="12">
        <f>SUMIFS(Base[Montante],Base[Fornecedor],$A561&amp;"",Base[Ano],D$4)</f>
        <v/>
      </c>
      <c r="E561" s="12">
        <f>SUMIFS(Base[Montante],Base[Fornecedor],$A561&amp;"",Base[Ano],E$4)</f>
        <v/>
      </c>
      <c r="F561" s="12">
        <f>SUMIFS(Base[Montante],Base[Fornecedor],$A561&amp;"",Base[Ano],F$4)</f>
        <v/>
      </c>
      <c r="G561" s="12">
        <f>SUMIFS(Base[Montante],Base[Fornecedor],$A561&amp;"",Base[Ano],G$4)</f>
        <v/>
      </c>
      <c r="H561" s="12">
        <f>SUMIFS(Base[Montante],Base[Fornecedor],$A561&amp;"",Base[Ano],H$4)</f>
        <v/>
      </c>
      <c r="I561" s="12">
        <f>SUMIFS(Base[Montante],Base[Fornecedor],$A561&amp;"",Base[Ano],I$4)</f>
        <v/>
      </c>
      <c r="J561" s="12">
        <f>SUMIFS(Base[Montante],Base[Fornecedor],$A561&amp;"",Base[Ano],J$4)</f>
        <v/>
      </c>
      <c r="K561" s="12">
        <f>SUM(D561:J561)</f>
        <v/>
      </c>
    </row>
    <row r="562">
      <c r="A562" s="5" t="inlineStr">
        <is>
          <t>EM000591</t>
        </is>
      </c>
      <c r="B562" s="5" t="inlineStr">
        <is>
          <t>SANDERSON SILVA GONCALVES</t>
        </is>
      </c>
      <c r="C562" s="5">
        <f>IFERROR(INDEX(DePara[Categoria],MATCH(TEXT(A562,"0"),DePara[Fornecedor_txt],0)),"(sem categoria)")</f>
        <v/>
      </c>
      <c r="D562" s="12">
        <f>SUMIFS(Base[Montante],Base[Fornecedor],$A562&amp;"",Base[Ano],D$4)</f>
        <v/>
      </c>
      <c r="E562" s="12">
        <f>SUMIFS(Base[Montante],Base[Fornecedor],$A562&amp;"",Base[Ano],E$4)</f>
        <v/>
      </c>
      <c r="F562" s="12">
        <f>SUMIFS(Base[Montante],Base[Fornecedor],$A562&amp;"",Base[Ano],F$4)</f>
        <v/>
      </c>
      <c r="G562" s="12">
        <f>SUMIFS(Base[Montante],Base[Fornecedor],$A562&amp;"",Base[Ano],G$4)</f>
        <v/>
      </c>
      <c r="H562" s="12">
        <f>SUMIFS(Base[Montante],Base[Fornecedor],$A562&amp;"",Base[Ano],H$4)</f>
        <v/>
      </c>
      <c r="I562" s="12">
        <f>SUMIFS(Base[Montante],Base[Fornecedor],$A562&amp;"",Base[Ano],I$4)</f>
        <v/>
      </c>
      <c r="J562" s="12">
        <f>SUMIFS(Base[Montante],Base[Fornecedor],$A562&amp;"",Base[Ano],J$4)</f>
        <v/>
      </c>
      <c r="K562" s="12">
        <f>SUM(D562:J562)</f>
        <v/>
      </c>
    </row>
    <row r="563">
      <c r="A563" s="5" t="n">
        <v>101007</v>
      </c>
      <c r="B563" s="5" t="inlineStr">
        <is>
          <t>SANTA BARBARA TRANSPORTES E LOGISTI</t>
        </is>
      </c>
      <c r="C563" s="5">
        <f>IFERROR(INDEX(DePara[Categoria],MATCH(TEXT(A563,"0"),DePara[Fornecedor_txt],0)),"(sem categoria)")</f>
        <v/>
      </c>
      <c r="D563" s="12">
        <f>SUMIFS(Base[Montante],Base[Fornecedor],$A563&amp;"",Base[Ano],D$4)</f>
        <v/>
      </c>
      <c r="E563" s="12">
        <f>SUMIFS(Base[Montante],Base[Fornecedor],$A563&amp;"",Base[Ano],E$4)</f>
        <v/>
      </c>
      <c r="F563" s="12">
        <f>SUMIFS(Base[Montante],Base[Fornecedor],$A563&amp;"",Base[Ano],F$4)</f>
        <v/>
      </c>
      <c r="G563" s="12">
        <f>SUMIFS(Base[Montante],Base[Fornecedor],$A563&amp;"",Base[Ano],G$4)</f>
        <v/>
      </c>
      <c r="H563" s="12">
        <f>SUMIFS(Base[Montante],Base[Fornecedor],$A563&amp;"",Base[Ano],H$4)</f>
        <v/>
      </c>
      <c r="I563" s="12">
        <f>SUMIFS(Base[Montante],Base[Fornecedor],$A563&amp;"",Base[Ano],I$4)</f>
        <v/>
      </c>
      <c r="J563" s="12">
        <f>SUMIFS(Base[Montante],Base[Fornecedor],$A563&amp;"",Base[Ano],J$4)</f>
        <v/>
      </c>
      <c r="K563" s="12">
        <f>SUM(D563:J563)</f>
        <v/>
      </c>
    </row>
    <row r="564">
      <c r="A564" s="5" t="n">
        <v>101483</v>
      </c>
      <c r="B564" s="5" t="inlineStr">
        <is>
          <t>SANTIN EMPRESA DE TRANSP. ESPECIAIS 22902476000150</t>
        </is>
      </c>
      <c r="C564" s="5">
        <f>IFERROR(INDEX(DePara[Categoria],MATCH(TEXT(A564,"0"),DePara[Fornecedor_txt],0)),"(sem categoria)")</f>
        <v/>
      </c>
      <c r="D564" s="12">
        <f>SUMIFS(Base[Montante],Base[Fornecedor],$A564&amp;"",Base[Ano],D$4)</f>
        <v/>
      </c>
      <c r="E564" s="12">
        <f>SUMIFS(Base[Montante],Base[Fornecedor],$A564&amp;"",Base[Ano],E$4)</f>
        <v/>
      </c>
      <c r="F564" s="12">
        <f>SUMIFS(Base[Montante],Base[Fornecedor],$A564&amp;"",Base[Ano],F$4)</f>
        <v/>
      </c>
      <c r="G564" s="12">
        <f>SUMIFS(Base[Montante],Base[Fornecedor],$A564&amp;"",Base[Ano],G$4)</f>
        <v/>
      </c>
      <c r="H564" s="12">
        <f>SUMIFS(Base[Montante],Base[Fornecedor],$A564&amp;"",Base[Ano],H$4)</f>
        <v/>
      </c>
      <c r="I564" s="12">
        <f>SUMIFS(Base[Montante],Base[Fornecedor],$A564&amp;"",Base[Ano],I$4)</f>
        <v/>
      </c>
      <c r="J564" s="12">
        <f>SUMIFS(Base[Montante],Base[Fornecedor],$A564&amp;"",Base[Ano],J$4)</f>
        <v/>
      </c>
      <c r="K564" s="12">
        <f>SUM(D564:J564)</f>
        <v/>
      </c>
    </row>
    <row r="565">
      <c r="A565" s="5" t="n">
        <v>101481</v>
      </c>
      <c r="B565" s="5" t="inlineStr">
        <is>
          <t>SANTIN EMPRESA DE TRANSP. ESPECIAIS 22902476000312</t>
        </is>
      </c>
      <c r="C565" s="5">
        <f>IFERROR(INDEX(DePara[Categoria],MATCH(TEXT(A565,"0"),DePara[Fornecedor_txt],0)),"(sem categoria)")</f>
        <v/>
      </c>
      <c r="D565" s="12">
        <f>SUMIFS(Base[Montante],Base[Fornecedor],$A565&amp;"",Base[Ano],D$4)</f>
        <v/>
      </c>
      <c r="E565" s="12">
        <f>SUMIFS(Base[Montante],Base[Fornecedor],$A565&amp;"",Base[Ano],E$4)</f>
        <v/>
      </c>
      <c r="F565" s="12">
        <f>SUMIFS(Base[Montante],Base[Fornecedor],$A565&amp;"",Base[Ano],F$4)</f>
        <v/>
      </c>
      <c r="G565" s="12">
        <f>SUMIFS(Base[Montante],Base[Fornecedor],$A565&amp;"",Base[Ano],G$4)</f>
        <v/>
      </c>
      <c r="H565" s="12">
        <f>SUMIFS(Base[Montante],Base[Fornecedor],$A565&amp;"",Base[Ano],H$4)</f>
        <v/>
      </c>
      <c r="I565" s="12">
        <f>SUMIFS(Base[Montante],Base[Fornecedor],$A565&amp;"",Base[Ano],I$4)</f>
        <v/>
      </c>
      <c r="J565" s="12">
        <f>SUMIFS(Base[Montante],Base[Fornecedor],$A565&amp;"",Base[Ano],J$4)</f>
        <v/>
      </c>
      <c r="K565" s="12">
        <f>SUM(D565:J565)</f>
        <v/>
      </c>
    </row>
    <row r="566">
      <c r="A566" s="5" t="n">
        <v>101484</v>
      </c>
      <c r="B566" s="5" t="inlineStr">
        <is>
          <t>SANTIN EMPRESA DE TRANSP. ESPECIAIS 22902476000401</t>
        </is>
      </c>
      <c r="C566" s="5">
        <f>IFERROR(INDEX(DePara[Categoria],MATCH(TEXT(A566,"0"),DePara[Fornecedor_txt],0)),"(sem categoria)")</f>
        <v/>
      </c>
      <c r="D566" s="12">
        <f>SUMIFS(Base[Montante],Base[Fornecedor],$A566&amp;"",Base[Ano],D$4)</f>
        <v/>
      </c>
      <c r="E566" s="12">
        <f>SUMIFS(Base[Montante],Base[Fornecedor],$A566&amp;"",Base[Ano],E$4)</f>
        <v/>
      </c>
      <c r="F566" s="12">
        <f>SUMIFS(Base[Montante],Base[Fornecedor],$A566&amp;"",Base[Ano],F$4)</f>
        <v/>
      </c>
      <c r="G566" s="12">
        <f>SUMIFS(Base[Montante],Base[Fornecedor],$A566&amp;"",Base[Ano],G$4)</f>
        <v/>
      </c>
      <c r="H566" s="12">
        <f>SUMIFS(Base[Montante],Base[Fornecedor],$A566&amp;"",Base[Ano],H$4)</f>
        <v/>
      </c>
      <c r="I566" s="12">
        <f>SUMIFS(Base[Montante],Base[Fornecedor],$A566&amp;"",Base[Ano],I$4)</f>
        <v/>
      </c>
      <c r="J566" s="12">
        <f>SUMIFS(Base[Montante],Base[Fornecedor],$A566&amp;"",Base[Ano],J$4)</f>
        <v/>
      </c>
      <c r="K566" s="12">
        <f>SUM(D566:J566)</f>
        <v/>
      </c>
    </row>
    <row r="567">
      <c r="A567" s="5" t="n">
        <v>101482</v>
      </c>
      <c r="B567" s="5" t="inlineStr">
        <is>
          <t>SANTIN EMPRESA DE TRANSP. ESPECIAIS 22902476000584</t>
        </is>
      </c>
      <c r="C567" s="5">
        <f>IFERROR(INDEX(DePara[Categoria],MATCH(TEXT(A567,"0"),DePara[Fornecedor_txt],0)),"(sem categoria)")</f>
        <v/>
      </c>
      <c r="D567" s="12">
        <f>SUMIFS(Base[Montante],Base[Fornecedor],$A567&amp;"",Base[Ano],D$4)</f>
        <v/>
      </c>
      <c r="E567" s="12">
        <f>SUMIFS(Base[Montante],Base[Fornecedor],$A567&amp;"",Base[Ano],E$4)</f>
        <v/>
      </c>
      <c r="F567" s="12">
        <f>SUMIFS(Base[Montante],Base[Fornecedor],$A567&amp;"",Base[Ano],F$4)</f>
        <v/>
      </c>
      <c r="G567" s="12">
        <f>SUMIFS(Base[Montante],Base[Fornecedor],$A567&amp;"",Base[Ano],G$4)</f>
        <v/>
      </c>
      <c r="H567" s="12">
        <f>SUMIFS(Base[Montante],Base[Fornecedor],$A567&amp;"",Base[Ano],H$4)</f>
        <v/>
      </c>
      <c r="I567" s="12">
        <f>SUMIFS(Base[Montante],Base[Fornecedor],$A567&amp;"",Base[Ano],I$4)</f>
        <v/>
      </c>
      <c r="J567" s="12">
        <f>SUMIFS(Base[Montante],Base[Fornecedor],$A567&amp;"",Base[Ano],J$4)</f>
        <v/>
      </c>
      <c r="K567" s="12">
        <f>SUM(D567:J567)</f>
        <v/>
      </c>
    </row>
    <row r="568">
      <c r="A568" s="5" t="n">
        <v>101673</v>
      </c>
      <c r="B568" s="5" t="inlineStr">
        <is>
          <t>SANTOS BRASIL PARTICIPACOES SA</t>
        </is>
      </c>
      <c r="C568" s="5">
        <f>IFERROR(INDEX(DePara[Categoria],MATCH(TEXT(A568,"0"),DePara[Fornecedor_txt],0)),"(sem categoria)")</f>
        <v/>
      </c>
      <c r="D568" s="12">
        <f>SUMIFS(Base[Montante],Base[Fornecedor],$A568&amp;"",Base[Ano],D$4)</f>
        <v/>
      </c>
      <c r="E568" s="12">
        <f>SUMIFS(Base[Montante],Base[Fornecedor],$A568&amp;"",Base[Ano],E$4)</f>
        <v/>
      </c>
      <c r="F568" s="12">
        <f>SUMIFS(Base[Montante],Base[Fornecedor],$A568&amp;"",Base[Ano],F$4)</f>
        <v/>
      </c>
      <c r="G568" s="12">
        <f>SUMIFS(Base[Montante],Base[Fornecedor],$A568&amp;"",Base[Ano],G$4)</f>
        <v/>
      </c>
      <c r="H568" s="12">
        <f>SUMIFS(Base[Montante],Base[Fornecedor],$A568&amp;"",Base[Ano],H$4)</f>
        <v/>
      </c>
      <c r="I568" s="12">
        <f>SUMIFS(Base[Montante],Base[Fornecedor],$A568&amp;"",Base[Ano],I$4)</f>
        <v/>
      </c>
      <c r="J568" s="12">
        <f>SUMIFS(Base[Montante],Base[Fornecedor],$A568&amp;"",Base[Ano],J$4)</f>
        <v/>
      </c>
      <c r="K568" s="12">
        <f>SUM(D568:J568)</f>
        <v/>
      </c>
    </row>
    <row r="569">
      <c r="A569" s="5" t="n">
        <v>101976</v>
      </c>
      <c r="B569" s="5" t="inlineStr">
        <is>
          <t>SAO PAULO TRIBUNAL DE JUSTICA</t>
        </is>
      </c>
      <c r="C569" s="5">
        <f>IFERROR(INDEX(DePara[Categoria],MATCH(TEXT(A569,"0"),DePara[Fornecedor_txt],0)),"(sem categoria)")</f>
        <v/>
      </c>
      <c r="D569" s="12">
        <f>SUMIFS(Base[Montante],Base[Fornecedor],$A569&amp;"",Base[Ano],D$4)</f>
        <v/>
      </c>
      <c r="E569" s="12">
        <f>SUMIFS(Base[Montante],Base[Fornecedor],$A569&amp;"",Base[Ano],E$4)</f>
        <v/>
      </c>
      <c r="F569" s="12">
        <f>SUMIFS(Base[Montante],Base[Fornecedor],$A569&amp;"",Base[Ano],F$4)</f>
        <v/>
      </c>
      <c r="G569" s="12">
        <f>SUMIFS(Base[Montante],Base[Fornecedor],$A569&amp;"",Base[Ano],G$4)</f>
        <v/>
      </c>
      <c r="H569" s="12">
        <f>SUMIFS(Base[Montante],Base[Fornecedor],$A569&amp;"",Base[Ano],H$4)</f>
        <v/>
      </c>
      <c r="I569" s="12">
        <f>SUMIFS(Base[Montante],Base[Fornecedor],$A569&amp;"",Base[Ano],I$4)</f>
        <v/>
      </c>
      <c r="J569" s="12">
        <f>SUMIFS(Base[Montante],Base[Fornecedor],$A569&amp;"",Base[Ano],J$4)</f>
        <v/>
      </c>
      <c r="K569" s="12">
        <f>SUM(D569:J569)</f>
        <v/>
      </c>
    </row>
    <row r="570">
      <c r="A570" s="5" t="inlineStr">
        <is>
          <t>EM000851</t>
        </is>
      </c>
      <c r="B570" s="5" t="inlineStr">
        <is>
          <t>SAULLO SILVA JANUARIO</t>
        </is>
      </c>
      <c r="C570" s="5">
        <f>IFERROR(INDEX(DePara[Categoria],MATCH(TEXT(A570,"0"),DePara[Fornecedor_txt],0)),"(sem categoria)")</f>
        <v/>
      </c>
      <c r="D570" s="12">
        <f>SUMIFS(Base[Montante],Base[Fornecedor],$A570&amp;"",Base[Ano],D$4)</f>
        <v/>
      </c>
      <c r="E570" s="12">
        <f>SUMIFS(Base[Montante],Base[Fornecedor],$A570&amp;"",Base[Ano],E$4)</f>
        <v/>
      </c>
      <c r="F570" s="12">
        <f>SUMIFS(Base[Montante],Base[Fornecedor],$A570&amp;"",Base[Ano],F$4)</f>
        <v/>
      </c>
      <c r="G570" s="12">
        <f>SUMIFS(Base[Montante],Base[Fornecedor],$A570&amp;"",Base[Ano],G$4)</f>
        <v/>
      </c>
      <c r="H570" s="12">
        <f>SUMIFS(Base[Montante],Base[Fornecedor],$A570&amp;"",Base[Ano],H$4)</f>
        <v/>
      </c>
      <c r="I570" s="12">
        <f>SUMIFS(Base[Montante],Base[Fornecedor],$A570&amp;"",Base[Ano],I$4)</f>
        <v/>
      </c>
      <c r="J570" s="12">
        <f>SUMIFS(Base[Montante],Base[Fornecedor],$A570&amp;"",Base[Ano],J$4)</f>
        <v/>
      </c>
      <c r="K570" s="12">
        <f>SUM(D570:J570)</f>
        <v/>
      </c>
    </row>
    <row r="571">
      <c r="A571" s="5" t="n">
        <v>101569</v>
      </c>
      <c r="B571" s="5" t="inlineStr">
        <is>
          <t>SECRETARIA DA FAZENDA CEARA</t>
        </is>
      </c>
      <c r="C571" s="5">
        <f>IFERROR(INDEX(DePara[Categoria],MATCH(TEXT(A571,"0"),DePara[Fornecedor_txt],0)),"(sem categoria)")</f>
        <v/>
      </c>
      <c r="D571" s="12">
        <f>SUMIFS(Base[Montante],Base[Fornecedor],$A571&amp;"",Base[Ano],D$4)</f>
        <v/>
      </c>
      <c r="E571" s="12">
        <f>SUMIFS(Base[Montante],Base[Fornecedor],$A571&amp;"",Base[Ano],E$4)</f>
        <v/>
      </c>
      <c r="F571" s="12">
        <f>SUMIFS(Base[Montante],Base[Fornecedor],$A571&amp;"",Base[Ano],F$4)</f>
        <v/>
      </c>
      <c r="G571" s="12">
        <f>SUMIFS(Base[Montante],Base[Fornecedor],$A571&amp;"",Base[Ano],G$4)</f>
        <v/>
      </c>
      <c r="H571" s="12">
        <f>SUMIFS(Base[Montante],Base[Fornecedor],$A571&amp;"",Base[Ano],H$4)</f>
        <v/>
      </c>
      <c r="I571" s="12">
        <f>SUMIFS(Base[Montante],Base[Fornecedor],$A571&amp;"",Base[Ano],I$4)</f>
        <v/>
      </c>
      <c r="J571" s="12">
        <f>SUMIFS(Base[Montante],Base[Fornecedor],$A571&amp;"",Base[Ano],J$4)</f>
        <v/>
      </c>
      <c r="K571" s="12">
        <f>SUM(D571:J571)</f>
        <v/>
      </c>
    </row>
    <row r="572">
      <c r="A572" s="5" t="n">
        <v>101746</v>
      </c>
      <c r="B572" s="5" t="inlineStr">
        <is>
          <t>SECRETARIA DA FAZENDA DO ESTADO DO</t>
        </is>
      </c>
      <c r="C572" s="5">
        <f>IFERROR(INDEX(DePara[Categoria],MATCH(TEXT(A572,"0"),DePara[Fornecedor_txt],0)),"(sem categoria)")</f>
        <v/>
      </c>
      <c r="D572" s="12">
        <f>SUMIFS(Base[Montante],Base[Fornecedor],$A572&amp;"",Base[Ano],D$4)</f>
        <v/>
      </c>
      <c r="E572" s="12">
        <f>SUMIFS(Base[Montante],Base[Fornecedor],$A572&amp;"",Base[Ano],E$4)</f>
        <v/>
      </c>
      <c r="F572" s="12">
        <f>SUMIFS(Base[Montante],Base[Fornecedor],$A572&amp;"",Base[Ano],F$4)</f>
        <v/>
      </c>
      <c r="G572" s="12">
        <f>SUMIFS(Base[Montante],Base[Fornecedor],$A572&amp;"",Base[Ano],G$4)</f>
        <v/>
      </c>
      <c r="H572" s="12">
        <f>SUMIFS(Base[Montante],Base[Fornecedor],$A572&amp;"",Base[Ano],H$4)</f>
        <v/>
      </c>
      <c r="I572" s="12">
        <f>SUMIFS(Base[Montante],Base[Fornecedor],$A572&amp;"",Base[Ano],I$4)</f>
        <v/>
      </c>
      <c r="J572" s="12">
        <f>SUMIFS(Base[Montante],Base[Fornecedor],$A572&amp;"",Base[Ano],J$4)</f>
        <v/>
      </c>
      <c r="K572" s="12">
        <f>SUM(D572:J572)</f>
        <v/>
      </c>
    </row>
    <row r="573">
      <c r="A573" s="5" t="n">
        <v>101318</v>
      </c>
      <c r="B573" s="5" t="inlineStr">
        <is>
          <t>SECRETARIA DA FAZENDA RS</t>
        </is>
      </c>
      <c r="C573" s="5">
        <f>IFERROR(INDEX(DePara[Categoria],MATCH(TEXT(A573,"0"),DePara[Fornecedor_txt],0)),"(sem categoria)")</f>
        <v/>
      </c>
      <c r="D573" s="12">
        <f>SUMIFS(Base[Montante],Base[Fornecedor],$A573&amp;"",Base[Ano],D$4)</f>
        <v/>
      </c>
      <c r="E573" s="12">
        <f>SUMIFS(Base[Montante],Base[Fornecedor],$A573&amp;"",Base[Ano],E$4)</f>
        <v/>
      </c>
      <c r="F573" s="12">
        <f>SUMIFS(Base[Montante],Base[Fornecedor],$A573&amp;"",Base[Ano],F$4)</f>
        <v/>
      </c>
      <c r="G573" s="12">
        <f>SUMIFS(Base[Montante],Base[Fornecedor],$A573&amp;"",Base[Ano],G$4)</f>
        <v/>
      </c>
      <c r="H573" s="12">
        <f>SUMIFS(Base[Montante],Base[Fornecedor],$A573&amp;"",Base[Ano],H$4)</f>
        <v/>
      </c>
      <c r="I573" s="12">
        <f>SUMIFS(Base[Montante],Base[Fornecedor],$A573&amp;"",Base[Ano],I$4)</f>
        <v/>
      </c>
      <c r="J573" s="12">
        <f>SUMIFS(Base[Montante],Base[Fornecedor],$A573&amp;"",Base[Ano],J$4)</f>
        <v/>
      </c>
      <c r="K573" s="12">
        <f>SUM(D573:J573)</f>
        <v/>
      </c>
    </row>
    <row r="574">
      <c r="A574" s="5" t="n">
        <v>101969</v>
      </c>
      <c r="B574" s="5" t="inlineStr">
        <is>
          <t>SECRETARIA DE ESTADO DA FAZENDA RN</t>
        </is>
      </c>
      <c r="C574" s="5">
        <f>IFERROR(INDEX(DePara[Categoria],MATCH(TEXT(A574,"0"),DePara[Fornecedor_txt],0)),"(sem categoria)")</f>
        <v/>
      </c>
      <c r="D574" s="12">
        <f>SUMIFS(Base[Montante],Base[Fornecedor],$A574&amp;"",Base[Ano],D$4)</f>
        <v/>
      </c>
      <c r="E574" s="12">
        <f>SUMIFS(Base[Montante],Base[Fornecedor],$A574&amp;"",Base[Ano],E$4)</f>
        <v/>
      </c>
      <c r="F574" s="12">
        <f>SUMIFS(Base[Montante],Base[Fornecedor],$A574&amp;"",Base[Ano],F$4)</f>
        <v/>
      </c>
      <c r="G574" s="12">
        <f>SUMIFS(Base[Montante],Base[Fornecedor],$A574&amp;"",Base[Ano],G$4)</f>
        <v/>
      </c>
      <c r="H574" s="12">
        <f>SUMIFS(Base[Montante],Base[Fornecedor],$A574&amp;"",Base[Ano],H$4)</f>
        <v/>
      </c>
      <c r="I574" s="12">
        <f>SUMIFS(Base[Montante],Base[Fornecedor],$A574&amp;"",Base[Ano],I$4)</f>
        <v/>
      </c>
      <c r="J574" s="12">
        <f>SUMIFS(Base[Montante],Base[Fornecedor],$A574&amp;"",Base[Ano],J$4)</f>
        <v/>
      </c>
      <c r="K574" s="12">
        <f>SUM(D574:J574)</f>
        <v/>
      </c>
    </row>
    <row r="575">
      <c r="A575" s="5" t="n">
        <v>103740</v>
      </c>
      <c r="B575" s="5" t="inlineStr">
        <is>
          <t>SEM PARAR INSTITUIÇÃO DE PAGAMENTO</t>
        </is>
      </c>
      <c r="C575" s="5">
        <f>IFERROR(INDEX(DePara[Categoria],MATCH(TEXT(A575,"0"),DePara[Fornecedor_txt],0)),"(sem categoria)")</f>
        <v/>
      </c>
      <c r="D575" s="12">
        <f>SUMIFS(Base[Montante],Base[Fornecedor],$A575&amp;"",Base[Ano],D$4)</f>
        <v/>
      </c>
      <c r="E575" s="12">
        <f>SUMIFS(Base[Montante],Base[Fornecedor],$A575&amp;"",Base[Ano],E$4)</f>
        <v/>
      </c>
      <c r="F575" s="12">
        <f>SUMIFS(Base[Montante],Base[Fornecedor],$A575&amp;"",Base[Ano],F$4)</f>
        <v/>
      </c>
      <c r="G575" s="12">
        <f>SUMIFS(Base[Montante],Base[Fornecedor],$A575&amp;"",Base[Ano],G$4)</f>
        <v/>
      </c>
      <c r="H575" s="12">
        <f>SUMIFS(Base[Montante],Base[Fornecedor],$A575&amp;"",Base[Ano],H$4)</f>
        <v/>
      </c>
      <c r="I575" s="12">
        <f>SUMIFS(Base[Montante],Base[Fornecedor],$A575&amp;"",Base[Ano],I$4)</f>
        <v/>
      </c>
      <c r="J575" s="12">
        <f>SUMIFS(Base[Montante],Base[Fornecedor],$A575&amp;"",Base[Ano],J$4)</f>
        <v/>
      </c>
      <c r="K575" s="12">
        <f>SUM(D575:J575)</f>
        <v/>
      </c>
    </row>
    <row r="576">
      <c r="A576" s="5" t="n">
        <v>102140</v>
      </c>
      <c r="B576" s="5" t="inlineStr">
        <is>
          <t>SERASA SA</t>
        </is>
      </c>
      <c r="C576" s="5">
        <f>IFERROR(INDEX(DePara[Categoria],MATCH(TEXT(A576,"0"),DePara[Fornecedor_txt],0)),"(sem categoria)")</f>
        <v/>
      </c>
      <c r="D576" s="12">
        <f>SUMIFS(Base[Montante],Base[Fornecedor],$A576&amp;"",Base[Ano],D$4)</f>
        <v/>
      </c>
      <c r="E576" s="12">
        <f>SUMIFS(Base[Montante],Base[Fornecedor],$A576&amp;"",Base[Ano],E$4)</f>
        <v/>
      </c>
      <c r="F576" s="12">
        <f>SUMIFS(Base[Montante],Base[Fornecedor],$A576&amp;"",Base[Ano],F$4)</f>
        <v/>
      </c>
      <c r="G576" s="12">
        <f>SUMIFS(Base[Montante],Base[Fornecedor],$A576&amp;"",Base[Ano],G$4)</f>
        <v/>
      </c>
      <c r="H576" s="12">
        <f>SUMIFS(Base[Montante],Base[Fornecedor],$A576&amp;"",Base[Ano],H$4)</f>
        <v/>
      </c>
      <c r="I576" s="12">
        <f>SUMIFS(Base[Montante],Base[Fornecedor],$A576&amp;"",Base[Ano],I$4)</f>
        <v/>
      </c>
      <c r="J576" s="12">
        <f>SUMIFS(Base[Montante],Base[Fornecedor],$A576&amp;"",Base[Ano],J$4)</f>
        <v/>
      </c>
      <c r="K576" s="12">
        <f>SUM(D576:J576)</f>
        <v/>
      </c>
    </row>
    <row r="577">
      <c r="A577" s="5" t="n">
        <v>101692</v>
      </c>
      <c r="B577" s="5" t="inlineStr">
        <is>
          <t>SETE RADIOCOMUNICACAO LTDA ME</t>
        </is>
      </c>
      <c r="C577" s="5">
        <f>IFERROR(INDEX(DePara[Categoria],MATCH(TEXT(A577,"0"),DePara[Fornecedor_txt],0)),"(sem categoria)")</f>
        <v/>
      </c>
      <c r="D577" s="12">
        <f>SUMIFS(Base[Montante],Base[Fornecedor],$A577&amp;"",Base[Ano],D$4)</f>
        <v/>
      </c>
      <c r="E577" s="12">
        <f>SUMIFS(Base[Montante],Base[Fornecedor],$A577&amp;"",Base[Ano],E$4)</f>
        <v/>
      </c>
      <c r="F577" s="12">
        <f>SUMIFS(Base[Montante],Base[Fornecedor],$A577&amp;"",Base[Ano],F$4)</f>
        <v/>
      </c>
      <c r="G577" s="12">
        <f>SUMIFS(Base[Montante],Base[Fornecedor],$A577&amp;"",Base[Ano],G$4)</f>
        <v/>
      </c>
      <c r="H577" s="12">
        <f>SUMIFS(Base[Montante],Base[Fornecedor],$A577&amp;"",Base[Ano],H$4)</f>
        <v/>
      </c>
      <c r="I577" s="12">
        <f>SUMIFS(Base[Montante],Base[Fornecedor],$A577&amp;"",Base[Ano],I$4)</f>
        <v/>
      </c>
      <c r="J577" s="12">
        <f>SUMIFS(Base[Montante],Base[Fornecedor],$A577&amp;"",Base[Ano],J$4)</f>
        <v/>
      </c>
      <c r="K577" s="12">
        <f>SUM(D577:J577)</f>
        <v/>
      </c>
    </row>
    <row r="578">
      <c r="A578" s="5" t="n">
        <v>101211</v>
      </c>
      <c r="B578" s="5" t="inlineStr">
        <is>
          <t>SHEKINAH SERVICOS DE USINAGEM E CAL</t>
        </is>
      </c>
      <c r="C578" s="5">
        <f>IFERROR(INDEX(DePara[Categoria],MATCH(TEXT(A578,"0"),DePara[Fornecedor_txt],0)),"(sem categoria)")</f>
        <v/>
      </c>
      <c r="D578" s="12">
        <f>SUMIFS(Base[Montante],Base[Fornecedor],$A578&amp;"",Base[Ano],D$4)</f>
        <v/>
      </c>
      <c r="E578" s="12">
        <f>SUMIFS(Base[Montante],Base[Fornecedor],$A578&amp;"",Base[Ano],E$4)</f>
        <v/>
      </c>
      <c r="F578" s="12">
        <f>SUMIFS(Base[Montante],Base[Fornecedor],$A578&amp;"",Base[Ano],F$4)</f>
        <v/>
      </c>
      <c r="G578" s="12">
        <f>SUMIFS(Base[Montante],Base[Fornecedor],$A578&amp;"",Base[Ano],G$4)</f>
        <v/>
      </c>
      <c r="H578" s="12">
        <f>SUMIFS(Base[Montante],Base[Fornecedor],$A578&amp;"",Base[Ano],H$4)</f>
        <v/>
      </c>
      <c r="I578" s="12">
        <f>SUMIFS(Base[Montante],Base[Fornecedor],$A578&amp;"",Base[Ano],I$4)</f>
        <v/>
      </c>
      <c r="J578" s="12">
        <f>SUMIFS(Base[Montante],Base[Fornecedor],$A578&amp;"",Base[Ano],J$4)</f>
        <v/>
      </c>
      <c r="K578" s="12">
        <f>SUM(D578:J578)</f>
        <v/>
      </c>
    </row>
    <row r="579">
      <c r="A579" s="5" t="n">
        <v>101950</v>
      </c>
      <c r="B579" s="5" t="inlineStr">
        <is>
          <t>SHELL BRASIL PETROLEO LTDA</t>
        </is>
      </c>
      <c r="C579" s="5">
        <f>IFERROR(INDEX(DePara[Categoria],MATCH(TEXT(A579,"0"),DePara[Fornecedor_txt],0)),"(sem categoria)")</f>
        <v/>
      </c>
      <c r="D579" s="12">
        <f>SUMIFS(Base[Montante],Base[Fornecedor],$A579&amp;"",Base[Ano],D$4)</f>
        <v/>
      </c>
      <c r="E579" s="12">
        <f>SUMIFS(Base[Montante],Base[Fornecedor],$A579&amp;"",Base[Ano],E$4)</f>
        <v/>
      </c>
      <c r="F579" s="12">
        <f>SUMIFS(Base[Montante],Base[Fornecedor],$A579&amp;"",Base[Ano],F$4)</f>
        <v/>
      </c>
      <c r="G579" s="12">
        <f>SUMIFS(Base[Montante],Base[Fornecedor],$A579&amp;"",Base[Ano],G$4)</f>
        <v/>
      </c>
      <c r="H579" s="12">
        <f>SUMIFS(Base[Montante],Base[Fornecedor],$A579&amp;"",Base[Ano],H$4)</f>
        <v/>
      </c>
      <c r="I579" s="12">
        <f>SUMIFS(Base[Montante],Base[Fornecedor],$A579&amp;"",Base[Ano],I$4)</f>
        <v/>
      </c>
      <c r="J579" s="12">
        <f>SUMIFS(Base[Montante],Base[Fornecedor],$A579&amp;"",Base[Ano],J$4)</f>
        <v/>
      </c>
      <c r="K579" s="12">
        <f>SUM(D579:J579)</f>
        <v/>
      </c>
    </row>
    <row r="580">
      <c r="A580" s="5" t="inlineStr">
        <is>
          <t>EM000987</t>
        </is>
      </c>
      <c r="B580" s="5" t="inlineStr">
        <is>
          <t>SIDEMARIO SANTANA SILVA</t>
        </is>
      </c>
      <c r="C580" s="5">
        <f>IFERROR(INDEX(DePara[Categoria],MATCH(TEXT(A580,"0"),DePara[Fornecedor_txt],0)),"(sem categoria)")</f>
        <v/>
      </c>
      <c r="D580" s="12">
        <f>SUMIFS(Base[Montante],Base[Fornecedor],$A580&amp;"",Base[Ano],D$4)</f>
        <v/>
      </c>
      <c r="E580" s="12">
        <f>SUMIFS(Base[Montante],Base[Fornecedor],$A580&amp;"",Base[Ano],E$4)</f>
        <v/>
      </c>
      <c r="F580" s="12">
        <f>SUMIFS(Base[Montante],Base[Fornecedor],$A580&amp;"",Base[Ano],F$4)</f>
        <v/>
      </c>
      <c r="G580" s="12">
        <f>SUMIFS(Base[Montante],Base[Fornecedor],$A580&amp;"",Base[Ano],G$4)</f>
        <v/>
      </c>
      <c r="H580" s="12">
        <f>SUMIFS(Base[Montante],Base[Fornecedor],$A580&amp;"",Base[Ano],H$4)</f>
        <v/>
      </c>
      <c r="I580" s="12">
        <f>SUMIFS(Base[Montante],Base[Fornecedor],$A580&amp;"",Base[Ano],I$4)</f>
        <v/>
      </c>
      <c r="J580" s="12">
        <f>SUMIFS(Base[Montante],Base[Fornecedor],$A580&amp;"",Base[Ano],J$4)</f>
        <v/>
      </c>
      <c r="K580" s="12">
        <f>SUM(D580:J580)</f>
        <v/>
      </c>
    </row>
    <row r="581">
      <c r="A581" s="5" t="n">
        <v>101836</v>
      </c>
      <c r="B581" s="5" t="inlineStr">
        <is>
          <t>SIKA S/A</t>
        </is>
      </c>
      <c r="C581" s="5">
        <f>IFERROR(INDEX(DePara[Categoria],MATCH(TEXT(A581,"0"),DePara[Fornecedor_txt],0)),"(sem categoria)")</f>
        <v/>
      </c>
      <c r="D581" s="12">
        <f>SUMIFS(Base[Montante],Base[Fornecedor],$A581&amp;"",Base[Ano],D$4)</f>
        <v/>
      </c>
      <c r="E581" s="12">
        <f>SUMIFS(Base[Montante],Base[Fornecedor],$A581&amp;"",Base[Ano],E$4)</f>
        <v/>
      </c>
      <c r="F581" s="12">
        <f>SUMIFS(Base[Montante],Base[Fornecedor],$A581&amp;"",Base[Ano],F$4)</f>
        <v/>
      </c>
      <c r="G581" s="12">
        <f>SUMIFS(Base[Montante],Base[Fornecedor],$A581&amp;"",Base[Ano],G$4)</f>
        <v/>
      </c>
      <c r="H581" s="12">
        <f>SUMIFS(Base[Montante],Base[Fornecedor],$A581&amp;"",Base[Ano],H$4)</f>
        <v/>
      </c>
      <c r="I581" s="12">
        <f>SUMIFS(Base[Montante],Base[Fornecedor],$A581&amp;"",Base[Ano],I$4)</f>
        <v/>
      </c>
      <c r="J581" s="12">
        <f>SUMIFS(Base[Montante],Base[Fornecedor],$A581&amp;"",Base[Ano],J$4)</f>
        <v/>
      </c>
      <c r="K581" s="12">
        <f>SUM(D581:J581)</f>
        <v/>
      </c>
    </row>
    <row r="582">
      <c r="A582" s="5" t="inlineStr">
        <is>
          <t>EM000497</t>
        </is>
      </c>
      <c r="B582" s="5" t="inlineStr">
        <is>
          <t>SILAS PEREIRA SANTOS MERQUIADES</t>
        </is>
      </c>
      <c r="C582" s="5">
        <f>IFERROR(INDEX(DePara[Categoria],MATCH(TEXT(A582,"0"),DePara[Fornecedor_txt],0)),"(sem categoria)")</f>
        <v/>
      </c>
      <c r="D582" s="12">
        <f>SUMIFS(Base[Montante],Base[Fornecedor],$A582&amp;"",Base[Ano],D$4)</f>
        <v/>
      </c>
      <c r="E582" s="12">
        <f>SUMIFS(Base[Montante],Base[Fornecedor],$A582&amp;"",Base[Ano],E$4)</f>
        <v/>
      </c>
      <c r="F582" s="12">
        <f>SUMIFS(Base[Montante],Base[Fornecedor],$A582&amp;"",Base[Ano],F$4)</f>
        <v/>
      </c>
      <c r="G582" s="12">
        <f>SUMIFS(Base[Montante],Base[Fornecedor],$A582&amp;"",Base[Ano],G$4)</f>
        <v/>
      </c>
      <c r="H582" s="12">
        <f>SUMIFS(Base[Montante],Base[Fornecedor],$A582&amp;"",Base[Ano],H$4)</f>
        <v/>
      </c>
      <c r="I582" s="12">
        <f>SUMIFS(Base[Montante],Base[Fornecedor],$A582&amp;"",Base[Ano],I$4)</f>
        <v/>
      </c>
      <c r="J582" s="12">
        <f>SUMIFS(Base[Montante],Base[Fornecedor],$A582&amp;"",Base[Ano],J$4)</f>
        <v/>
      </c>
      <c r="K582" s="12">
        <f>SUM(D582:J582)</f>
        <v/>
      </c>
    </row>
    <row r="583">
      <c r="A583" s="5" t="n">
        <v>107696</v>
      </c>
      <c r="B583" s="5" t="inlineStr">
        <is>
          <t>SIMM MONTAGENS EOLICAS LTDA</t>
        </is>
      </c>
      <c r="C583" s="5">
        <f>IFERROR(INDEX(DePara[Categoria],MATCH(TEXT(A583,"0"),DePara[Fornecedor_txt],0)),"(sem categoria)")</f>
        <v/>
      </c>
      <c r="D583" s="12">
        <f>SUMIFS(Base[Montante],Base[Fornecedor],$A583&amp;"",Base[Ano],D$4)</f>
        <v/>
      </c>
      <c r="E583" s="12">
        <f>SUMIFS(Base[Montante],Base[Fornecedor],$A583&amp;"",Base[Ano],E$4)</f>
        <v/>
      </c>
      <c r="F583" s="12">
        <f>SUMIFS(Base[Montante],Base[Fornecedor],$A583&amp;"",Base[Ano],F$4)</f>
        <v/>
      </c>
      <c r="G583" s="12">
        <f>SUMIFS(Base[Montante],Base[Fornecedor],$A583&amp;"",Base[Ano],G$4)</f>
        <v/>
      </c>
      <c r="H583" s="12">
        <f>SUMIFS(Base[Montante],Base[Fornecedor],$A583&amp;"",Base[Ano],H$4)</f>
        <v/>
      </c>
      <c r="I583" s="12">
        <f>SUMIFS(Base[Montante],Base[Fornecedor],$A583&amp;"",Base[Ano],I$4)</f>
        <v/>
      </c>
      <c r="J583" s="12">
        <f>SUMIFS(Base[Montante],Base[Fornecedor],$A583&amp;"",Base[Ano],J$4)</f>
        <v/>
      </c>
      <c r="K583" s="12">
        <f>SUM(D583:J583)</f>
        <v/>
      </c>
    </row>
    <row r="584">
      <c r="A584" s="5" t="n">
        <v>101559</v>
      </c>
      <c r="B584" s="5" t="inlineStr">
        <is>
          <t>SIND DOS DESPACH ADUANEIROS DE SANT</t>
        </is>
      </c>
      <c r="C584" s="5">
        <f>IFERROR(INDEX(DePara[Categoria],MATCH(TEXT(A584,"0"),DePara[Fornecedor_txt],0)),"(sem categoria)")</f>
        <v/>
      </c>
      <c r="D584" s="12">
        <f>SUMIFS(Base[Montante],Base[Fornecedor],$A584&amp;"",Base[Ano],D$4)</f>
        <v/>
      </c>
      <c r="E584" s="12">
        <f>SUMIFS(Base[Montante],Base[Fornecedor],$A584&amp;"",Base[Ano],E$4)</f>
        <v/>
      </c>
      <c r="F584" s="12">
        <f>SUMIFS(Base[Montante],Base[Fornecedor],$A584&amp;"",Base[Ano],F$4)</f>
        <v/>
      </c>
      <c r="G584" s="12">
        <f>SUMIFS(Base[Montante],Base[Fornecedor],$A584&amp;"",Base[Ano],G$4)</f>
        <v/>
      </c>
      <c r="H584" s="12">
        <f>SUMIFS(Base[Montante],Base[Fornecedor],$A584&amp;"",Base[Ano],H$4)</f>
        <v/>
      </c>
      <c r="I584" s="12">
        <f>SUMIFS(Base[Montante],Base[Fornecedor],$A584&amp;"",Base[Ano],I$4)</f>
        <v/>
      </c>
      <c r="J584" s="12">
        <f>SUMIFS(Base[Montante],Base[Fornecedor],$A584&amp;"",Base[Ano],J$4)</f>
        <v/>
      </c>
      <c r="K584" s="12">
        <f>SUM(D584:J584)</f>
        <v/>
      </c>
    </row>
    <row r="585">
      <c r="A585" s="5" t="n">
        <v>101560</v>
      </c>
      <c r="B585" s="5" t="inlineStr">
        <is>
          <t>SINDICATO DOS DESPACHANTES ADUANEIR DE SAO PAULO SINDASP</t>
        </is>
      </c>
      <c r="C585" s="5">
        <f>IFERROR(INDEX(DePara[Categoria],MATCH(TEXT(A585,"0"),DePara[Fornecedor_txt],0)),"(sem categoria)")</f>
        <v/>
      </c>
      <c r="D585" s="12">
        <f>SUMIFS(Base[Montante],Base[Fornecedor],$A585&amp;"",Base[Ano],D$4)</f>
        <v/>
      </c>
      <c r="E585" s="12">
        <f>SUMIFS(Base[Montante],Base[Fornecedor],$A585&amp;"",Base[Ano],E$4)</f>
        <v/>
      </c>
      <c r="F585" s="12">
        <f>SUMIFS(Base[Montante],Base[Fornecedor],$A585&amp;"",Base[Ano],F$4)</f>
        <v/>
      </c>
      <c r="G585" s="12">
        <f>SUMIFS(Base[Montante],Base[Fornecedor],$A585&amp;"",Base[Ano],G$4)</f>
        <v/>
      </c>
      <c r="H585" s="12">
        <f>SUMIFS(Base[Montante],Base[Fornecedor],$A585&amp;"",Base[Ano],H$4)</f>
        <v/>
      </c>
      <c r="I585" s="12">
        <f>SUMIFS(Base[Montante],Base[Fornecedor],$A585&amp;"",Base[Ano],I$4)</f>
        <v/>
      </c>
      <c r="J585" s="12">
        <f>SUMIFS(Base[Montante],Base[Fornecedor],$A585&amp;"",Base[Ano],J$4)</f>
        <v/>
      </c>
      <c r="K585" s="12">
        <f>SUM(D585:J585)</f>
        <v/>
      </c>
    </row>
    <row r="586">
      <c r="A586" s="5" t="n">
        <v>102077</v>
      </c>
      <c r="B586" s="5" t="inlineStr">
        <is>
          <t>SINDICATO IND MET MEC E MAT EL NO E</t>
        </is>
      </c>
      <c r="C586" s="5">
        <f>IFERROR(INDEX(DePara[Categoria],MATCH(TEXT(A586,"0"),DePara[Fornecedor_txt],0)),"(sem categoria)")</f>
        <v/>
      </c>
      <c r="D586" s="12">
        <f>SUMIFS(Base[Montante],Base[Fornecedor],$A586&amp;"",Base[Ano],D$4)</f>
        <v/>
      </c>
      <c r="E586" s="12">
        <f>SUMIFS(Base[Montante],Base[Fornecedor],$A586&amp;"",Base[Ano],E$4)</f>
        <v/>
      </c>
      <c r="F586" s="12">
        <f>SUMIFS(Base[Montante],Base[Fornecedor],$A586&amp;"",Base[Ano],F$4)</f>
        <v/>
      </c>
      <c r="G586" s="12">
        <f>SUMIFS(Base[Montante],Base[Fornecedor],$A586&amp;"",Base[Ano],G$4)</f>
        <v/>
      </c>
      <c r="H586" s="12">
        <f>SUMIFS(Base[Montante],Base[Fornecedor],$A586&amp;"",Base[Ano],H$4)</f>
        <v/>
      </c>
      <c r="I586" s="12">
        <f>SUMIFS(Base[Montante],Base[Fornecedor],$A586&amp;"",Base[Ano],I$4)</f>
        <v/>
      </c>
      <c r="J586" s="12">
        <f>SUMIFS(Base[Montante],Base[Fornecedor],$A586&amp;"",Base[Ano],J$4)</f>
        <v/>
      </c>
      <c r="K586" s="12">
        <f>SUM(D586:J586)</f>
        <v/>
      </c>
    </row>
    <row r="587">
      <c r="A587" s="5" t="n">
        <v>103849</v>
      </c>
      <c r="B587" s="5" t="inlineStr">
        <is>
          <t>SINOMA WIND POWER BLADE (BRAZIL) LT</t>
        </is>
      </c>
      <c r="C587" s="5">
        <f>IFERROR(INDEX(DePara[Categoria],MATCH(TEXT(A587,"0"),DePara[Fornecedor_txt],0)),"(sem categoria)")</f>
        <v/>
      </c>
      <c r="D587" s="12">
        <f>SUMIFS(Base[Montante],Base[Fornecedor],$A587&amp;"",Base[Ano],D$4)</f>
        <v/>
      </c>
      <c r="E587" s="12">
        <f>SUMIFS(Base[Montante],Base[Fornecedor],$A587&amp;"",Base[Ano],E$4)</f>
        <v/>
      </c>
      <c r="F587" s="12">
        <f>SUMIFS(Base[Montante],Base[Fornecedor],$A587&amp;"",Base[Ano],F$4)</f>
        <v/>
      </c>
      <c r="G587" s="12">
        <f>SUMIFS(Base[Montante],Base[Fornecedor],$A587&amp;"",Base[Ano],G$4)</f>
        <v/>
      </c>
      <c r="H587" s="12">
        <f>SUMIFS(Base[Montante],Base[Fornecedor],$A587&amp;"",Base[Ano],H$4)</f>
        <v/>
      </c>
      <c r="I587" s="12">
        <f>SUMIFS(Base[Montante],Base[Fornecedor],$A587&amp;"",Base[Ano],I$4)</f>
        <v/>
      </c>
      <c r="J587" s="12">
        <f>SUMIFS(Base[Montante],Base[Fornecedor],$A587&amp;"",Base[Ano],J$4)</f>
        <v/>
      </c>
      <c r="K587" s="12">
        <f>SUM(D587:J587)</f>
        <v/>
      </c>
    </row>
    <row r="588">
      <c r="A588" s="5" t="n">
        <v>100614</v>
      </c>
      <c r="B588" s="5" t="inlineStr">
        <is>
          <t>SKYFOR TREINAMENTOS LTDA 39426894000111</t>
        </is>
      </c>
      <c r="C588" s="5">
        <f>IFERROR(INDEX(DePara[Categoria],MATCH(TEXT(A588,"0"),DePara[Fornecedor_txt],0)),"(sem categoria)")</f>
        <v/>
      </c>
      <c r="D588" s="12">
        <f>SUMIFS(Base[Montante],Base[Fornecedor],$A588&amp;"",Base[Ano],D$4)</f>
        <v/>
      </c>
      <c r="E588" s="12">
        <f>SUMIFS(Base[Montante],Base[Fornecedor],$A588&amp;"",Base[Ano],E$4)</f>
        <v/>
      </c>
      <c r="F588" s="12">
        <f>SUMIFS(Base[Montante],Base[Fornecedor],$A588&amp;"",Base[Ano],F$4)</f>
        <v/>
      </c>
      <c r="G588" s="12">
        <f>SUMIFS(Base[Montante],Base[Fornecedor],$A588&amp;"",Base[Ano],G$4)</f>
        <v/>
      </c>
      <c r="H588" s="12">
        <f>SUMIFS(Base[Montante],Base[Fornecedor],$A588&amp;"",Base[Ano],H$4)</f>
        <v/>
      </c>
      <c r="I588" s="12">
        <f>SUMIFS(Base[Montante],Base[Fornecedor],$A588&amp;"",Base[Ano],I$4)</f>
        <v/>
      </c>
      <c r="J588" s="12">
        <f>SUMIFS(Base[Montante],Base[Fornecedor],$A588&amp;"",Base[Ano],J$4)</f>
        <v/>
      </c>
      <c r="K588" s="12">
        <f>SUM(D588:J588)</f>
        <v/>
      </c>
    </row>
    <row r="589">
      <c r="A589" s="5" t="n">
        <v>101005</v>
      </c>
      <c r="B589" s="5" t="inlineStr">
        <is>
          <t>SOLO PROJETOS LTDA</t>
        </is>
      </c>
      <c r="C589" s="5">
        <f>IFERROR(INDEX(DePara[Categoria],MATCH(TEXT(A589,"0"),DePara[Fornecedor_txt],0)),"(sem categoria)")</f>
        <v/>
      </c>
      <c r="D589" s="12">
        <f>SUMIFS(Base[Montante],Base[Fornecedor],$A589&amp;"",Base[Ano],D$4)</f>
        <v/>
      </c>
      <c r="E589" s="12">
        <f>SUMIFS(Base[Montante],Base[Fornecedor],$A589&amp;"",Base[Ano],E$4)</f>
        <v/>
      </c>
      <c r="F589" s="12">
        <f>SUMIFS(Base[Montante],Base[Fornecedor],$A589&amp;"",Base[Ano],F$4)</f>
        <v/>
      </c>
      <c r="G589" s="12">
        <f>SUMIFS(Base[Montante],Base[Fornecedor],$A589&amp;"",Base[Ano],G$4)</f>
        <v/>
      </c>
      <c r="H589" s="12">
        <f>SUMIFS(Base[Montante],Base[Fornecedor],$A589&amp;"",Base[Ano],H$4)</f>
        <v/>
      </c>
      <c r="I589" s="12">
        <f>SUMIFS(Base[Montante],Base[Fornecedor],$A589&amp;"",Base[Ano],I$4)</f>
        <v/>
      </c>
      <c r="J589" s="12">
        <f>SUMIFS(Base[Montante],Base[Fornecedor],$A589&amp;"",Base[Ano],J$4)</f>
        <v/>
      </c>
      <c r="K589" s="12">
        <f>SUM(D589:J589)</f>
        <v/>
      </c>
    </row>
    <row r="590">
      <c r="A590" s="5" t="n">
        <v>101353</v>
      </c>
      <c r="B590" s="5" t="inlineStr">
        <is>
          <t>SOMAR GASES COMERCIO E SERVICOS LTD</t>
        </is>
      </c>
      <c r="C590" s="5">
        <f>IFERROR(INDEX(DePara[Categoria],MATCH(TEXT(A590,"0"),DePara[Fornecedor_txt],0)),"(sem categoria)")</f>
        <v/>
      </c>
      <c r="D590" s="12">
        <f>SUMIFS(Base[Montante],Base[Fornecedor],$A590&amp;"",Base[Ano],D$4)</f>
        <v/>
      </c>
      <c r="E590" s="12">
        <f>SUMIFS(Base[Montante],Base[Fornecedor],$A590&amp;"",Base[Ano],E$4)</f>
        <v/>
      </c>
      <c r="F590" s="12">
        <f>SUMIFS(Base[Montante],Base[Fornecedor],$A590&amp;"",Base[Ano],F$4)</f>
        <v/>
      </c>
      <c r="G590" s="12">
        <f>SUMIFS(Base[Montante],Base[Fornecedor],$A590&amp;"",Base[Ano],G$4)</f>
        <v/>
      </c>
      <c r="H590" s="12">
        <f>SUMIFS(Base[Montante],Base[Fornecedor],$A590&amp;"",Base[Ano],H$4)</f>
        <v/>
      </c>
      <c r="I590" s="12">
        <f>SUMIFS(Base[Montante],Base[Fornecedor],$A590&amp;"",Base[Ano],I$4)</f>
        <v/>
      </c>
      <c r="J590" s="12">
        <f>SUMIFS(Base[Montante],Base[Fornecedor],$A590&amp;"",Base[Ano],J$4)</f>
        <v/>
      </c>
      <c r="K590" s="12">
        <f>SUM(D590:J590)</f>
        <v/>
      </c>
    </row>
    <row r="591">
      <c r="A591" s="5" t="n">
        <v>101775</v>
      </c>
      <c r="B591" s="5" t="inlineStr">
        <is>
          <t>SOUSATEC.NET LTDA  ME</t>
        </is>
      </c>
      <c r="C591" s="5">
        <f>IFERROR(INDEX(DePara[Categoria],MATCH(TEXT(A591,"0"),DePara[Fornecedor_txt],0)),"(sem categoria)")</f>
        <v/>
      </c>
      <c r="D591" s="12">
        <f>SUMIFS(Base[Montante],Base[Fornecedor],$A591&amp;"",Base[Ano],D$4)</f>
        <v/>
      </c>
      <c r="E591" s="12">
        <f>SUMIFS(Base[Montante],Base[Fornecedor],$A591&amp;"",Base[Ano],E$4)</f>
        <v/>
      </c>
      <c r="F591" s="12">
        <f>SUMIFS(Base[Montante],Base[Fornecedor],$A591&amp;"",Base[Ano],F$4)</f>
        <v/>
      </c>
      <c r="G591" s="12">
        <f>SUMIFS(Base[Montante],Base[Fornecedor],$A591&amp;"",Base[Ano],G$4)</f>
        <v/>
      </c>
      <c r="H591" s="12">
        <f>SUMIFS(Base[Montante],Base[Fornecedor],$A591&amp;"",Base[Ano],H$4)</f>
        <v/>
      </c>
      <c r="I591" s="12">
        <f>SUMIFS(Base[Montante],Base[Fornecedor],$A591&amp;"",Base[Ano],I$4)</f>
        <v/>
      </c>
      <c r="J591" s="12">
        <f>SUMIFS(Base[Montante],Base[Fornecedor],$A591&amp;"",Base[Ano],J$4)</f>
        <v/>
      </c>
      <c r="K591" s="12">
        <f>SUM(D591:J591)</f>
        <v/>
      </c>
    </row>
    <row r="592">
      <c r="A592" s="5" t="n">
        <v>100916</v>
      </c>
      <c r="B592" s="5" t="inlineStr">
        <is>
          <t>SRJ Peety Steels Pvt Ltd</t>
        </is>
      </c>
      <c r="C592" s="5">
        <f>IFERROR(INDEX(DePara[Categoria],MATCH(TEXT(A592,"0"),DePara[Fornecedor_txt],0)),"(sem categoria)")</f>
        <v/>
      </c>
      <c r="D592" s="12">
        <f>SUMIFS(Base[Montante],Base[Fornecedor],$A592&amp;"",Base[Ano],D$4)</f>
        <v/>
      </c>
      <c r="E592" s="12">
        <f>SUMIFS(Base[Montante],Base[Fornecedor],$A592&amp;"",Base[Ano],E$4)</f>
        <v/>
      </c>
      <c r="F592" s="12">
        <f>SUMIFS(Base[Montante],Base[Fornecedor],$A592&amp;"",Base[Ano],F$4)</f>
        <v/>
      </c>
      <c r="G592" s="12">
        <f>SUMIFS(Base[Montante],Base[Fornecedor],$A592&amp;"",Base[Ano],G$4)</f>
        <v/>
      </c>
      <c r="H592" s="12">
        <f>SUMIFS(Base[Montante],Base[Fornecedor],$A592&amp;"",Base[Ano],H$4)</f>
        <v/>
      </c>
      <c r="I592" s="12">
        <f>SUMIFS(Base[Montante],Base[Fornecedor],$A592&amp;"",Base[Ano],I$4)</f>
        <v/>
      </c>
      <c r="J592" s="12">
        <f>SUMIFS(Base[Montante],Base[Fornecedor],$A592&amp;"",Base[Ano],J$4)</f>
        <v/>
      </c>
      <c r="K592" s="12">
        <f>SUM(D592:J592)</f>
        <v/>
      </c>
    </row>
    <row r="593">
      <c r="A593" s="5" t="n">
        <v>103996</v>
      </c>
      <c r="B593" s="5" t="inlineStr">
        <is>
          <t>SS SECURITY SERVICE E ADMINISTRATIV 52856037000110</t>
        </is>
      </c>
      <c r="C593" s="5">
        <f>IFERROR(INDEX(DePara[Categoria],MATCH(TEXT(A593,"0"),DePara[Fornecedor_txt],0)),"(sem categoria)")</f>
        <v/>
      </c>
      <c r="D593" s="12">
        <f>SUMIFS(Base[Montante],Base[Fornecedor],$A593&amp;"",Base[Ano],D$4)</f>
        <v/>
      </c>
      <c r="E593" s="12">
        <f>SUMIFS(Base[Montante],Base[Fornecedor],$A593&amp;"",Base[Ano],E$4)</f>
        <v/>
      </c>
      <c r="F593" s="12">
        <f>SUMIFS(Base[Montante],Base[Fornecedor],$A593&amp;"",Base[Ano],F$4)</f>
        <v/>
      </c>
      <c r="G593" s="12">
        <f>SUMIFS(Base[Montante],Base[Fornecedor],$A593&amp;"",Base[Ano],G$4)</f>
        <v/>
      </c>
      <c r="H593" s="12">
        <f>SUMIFS(Base[Montante],Base[Fornecedor],$A593&amp;"",Base[Ano],H$4)</f>
        <v/>
      </c>
      <c r="I593" s="12">
        <f>SUMIFS(Base[Montante],Base[Fornecedor],$A593&amp;"",Base[Ano],I$4)</f>
        <v/>
      </c>
      <c r="J593" s="12">
        <f>SUMIFS(Base[Montante],Base[Fornecedor],$A593&amp;"",Base[Ano],J$4)</f>
        <v/>
      </c>
      <c r="K593" s="12">
        <f>SUM(D593:J593)</f>
        <v/>
      </c>
    </row>
    <row r="594">
      <c r="A594" s="5" t="n">
        <v>102485</v>
      </c>
      <c r="B594" s="5" t="inlineStr">
        <is>
          <t>SUATA SERVICO UNIFICADO DE ARMAZENA</t>
        </is>
      </c>
      <c r="C594" s="5">
        <f>IFERROR(INDEX(DePara[Categoria],MATCH(TEXT(A594,"0"),DePara[Fornecedor_txt],0)),"(sem categoria)")</f>
        <v/>
      </c>
      <c r="D594" s="12">
        <f>SUMIFS(Base[Montante],Base[Fornecedor],$A594&amp;"",Base[Ano],D$4)</f>
        <v/>
      </c>
      <c r="E594" s="12">
        <f>SUMIFS(Base[Montante],Base[Fornecedor],$A594&amp;"",Base[Ano],E$4)</f>
        <v/>
      </c>
      <c r="F594" s="12">
        <f>SUMIFS(Base[Montante],Base[Fornecedor],$A594&amp;"",Base[Ano],F$4)</f>
        <v/>
      </c>
      <c r="G594" s="12">
        <f>SUMIFS(Base[Montante],Base[Fornecedor],$A594&amp;"",Base[Ano],G$4)</f>
        <v/>
      </c>
      <c r="H594" s="12">
        <f>SUMIFS(Base[Montante],Base[Fornecedor],$A594&amp;"",Base[Ano],H$4)</f>
        <v/>
      </c>
      <c r="I594" s="12">
        <f>SUMIFS(Base[Montante],Base[Fornecedor],$A594&amp;"",Base[Ano],I$4)</f>
        <v/>
      </c>
      <c r="J594" s="12">
        <f>SUMIFS(Base[Montante],Base[Fornecedor],$A594&amp;"",Base[Ano],J$4)</f>
        <v/>
      </c>
      <c r="K594" s="12">
        <f>SUM(D594:J594)</f>
        <v/>
      </c>
    </row>
    <row r="595">
      <c r="A595" s="5" t="n">
        <v>105751</v>
      </c>
      <c r="B595" s="5" t="inlineStr">
        <is>
          <t>SULZER SCHMID BRAZIL LTDA 57465227000120</t>
        </is>
      </c>
      <c r="C595" s="5">
        <f>IFERROR(INDEX(DePara[Categoria],MATCH(TEXT(A595,"0"),DePara[Fornecedor_txt],0)),"(sem categoria)")</f>
        <v/>
      </c>
      <c r="D595" s="12">
        <f>SUMIFS(Base[Montante],Base[Fornecedor],$A595&amp;"",Base[Ano],D$4)</f>
        <v/>
      </c>
      <c r="E595" s="12">
        <f>SUMIFS(Base[Montante],Base[Fornecedor],$A595&amp;"",Base[Ano],E$4)</f>
        <v/>
      </c>
      <c r="F595" s="12">
        <f>SUMIFS(Base[Montante],Base[Fornecedor],$A595&amp;"",Base[Ano],F$4)</f>
        <v/>
      </c>
      <c r="G595" s="12">
        <f>SUMIFS(Base[Montante],Base[Fornecedor],$A595&amp;"",Base[Ano],G$4)</f>
        <v/>
      </c>
      <c r="H595" s="12">
        <f>SUMIFS(Base[Montante],Base[Fornecedor],$A595&amp;"",Base[Ano],H$4)</f>
        <v/>
      </c>
      <c r="I595" s="12">
        <f>SUMIFS(Base[Montante],Base[Fornecedor],$A595&amp;"",Base[Ano],I$4)</f>
        <v/>
      </c>
      <c r="J595" s="12">
        <f>SUMIFS(Base[Montante],Base[Fornecedor],$A595&amp;"",Base[Ano],J$4)</f>
        <v/>
      </c>
      <c r="K595" s="12">
        <f>SUM(D595:J595)</f>
        <v/>
      </c>
    </row>
    <row r="596">
      <c r="A596" s="5" t="n">
        <v>100028</v>
      </c>
      <c r="B596" s="5" t="inlineStr">
        <is>
          <t>SUPPLOG PORTO SECO DE IPOJUCA LTDA</t>
        </is>
      </c>
      <c r="C596" s="5">
        <f>IFERROR(INDEX(DePara[Categoria],MATCH(TEXT(A596,"0"),DePara[Fornecedor_txt],0)),"(sem categoria)")</f>
        <v/>
      </c>
      <c r="D596" s="12">
        <f>SUMIFS(Base[Montante],Base[Fornecedor],$A596&amp;"",Base[Ano],D$4)</f>
        <v/>
      </c>
      <c r="E596" s="12">
        <f>SUMIFS(Base[Montante],Base[Fornecedor],$A596&amp;"",Base[Ano],E$4)</f>
        <v/>
      </c>
      <c r="F596" s="12">
        <f>SUMIFS(Base[Montante],Base[Fornecedor],$A596&amp;"",Base[Ano],F$4)</f>
        <v/>
      </c>
      <c r="G596" s="12">
        <f>SUMIFS(Base[Montante],Base[Fornecedor],$A596&amp;"",Base[Ano],G$4)</f>
        <v/>
      </c>
      <c r="H596" s="12">
        <f>SUMIFS(Base[Montante],Base[Fornecedor],$A596&amp;"",Base[Ano],H$4)</f>
        <v/>
      </c>
      <c r="I596" s="12">
        <f>SUMIFS(Base[Montante],Base[Fornecedor],$A596&amp;"",Base[Ano],I$4)</f>
        <v/>
      </c>
      <c r="J596" s="12">
        <f>SUMIFS(Base[Montante],Base[Fornecedor],$A596&amp;"",Base[Ano],J$4)</f>
        <v/>
      </c>
      <c r="K596" s="12">
        <f>SUM(D596:J596)</f>
        <v/>
      </c>
    </row>
    <row r="597">
      <c r="A597" s="5" t="n">
        <v>102067</v>
      </c>
      <c r="B597" s="5" t="inlineStr">
        <is>
          <t>SUPRICORP SUPRIMENTOS LTDA</t>
        </is>
      </c>
      <c r="C597" s="5">
        <f>IFERROR(INDEX(DePara[Categoria],MATCH(TEXT(A597,"0"),DePara[Fornecedor_txt],0)),"(sem categoria)")</f>
        <v/>
      </c>
      <c r="D597" s="12">
        <f>SUMIFS(Base[Montante],Base[Fornecedor],$A597&amp;"",Base[Ano],D$4)</f>
        <v/>
      </c>
      <c r="E597" s="12">
        <f>SUMIFS(Base[Montante],Base[Fornecedor],$A597&amp;"",Base[Ano],E$4)</f>
        <v/>
      </c>
      <c r="F597" s="12">
        <f>SUMIFS(Base[Montante],Base[Fornecedor],$A597&amp;"",Base[Ano],F$4)</f>
        <v/>
      </c>
      <c r="G597" s="12">
        <f>SUMIFS(Base[Montante],Base[Fornecedor],$A597&amp;"",Base[Ano],G$4)</f>
        <v/>
      </c>
      <c r="H597" s="12">
        <f>SUMIFS(Base[Montante],Base[Fornecedor],$A597&amp;"",Base[Ano],H$4)</f>
        <v/>
      </c>
      <c r="I597" s="12">
        <f>SUMIFS(Base[Montante],Base[Fornecedor],$A597&amp;"",Base[Ano],I$4)</f>
        <v/>
      </c>
      <c r="J597" s="12">
        <f>SUMIFS(Base[Montante],Base[Fornecedor],$A597&amp;"",Base[Ano],J$4)</f>
        <v/>
      </c>
      <c r="K597" s="12">
        <f>SUM(D597:J597)</f>
        <v/>
      </c>
    </row>
    <row r="598">
      <c r="A598" s="5" t="n">
        <v>102074</v>
      </c>
      <c r="B598" s="5" t="inlineStr">
        <is>
          <t>TAGUS TEC SERVIÇOS TECNOLOGIA LTDA</t>
        </is>
      </c>
      <c r="C598" s="5">
        <f>IFERROR(INDEX(DePara[Categoria],MATCH(TEXT(A598,"0"),DePara[Fornecedor_txt],0)),"(sem categoria)")</f>
        <v/>
      </c>
      <c r="D598" s="12">
        <f>SUMIFS(Base[Montante],Base[Fornecedor],$A598&amp;"",Base[Ano],D$4)</f>
        <v/>
      </c>
      <c r="E598" s="12">
        <f>SUMIFS(Base[Montante],Base[Fornecedor],$A598&amp;"",Base[Ano],E$4)</f>
        <v/>
      </c>
      <c r="F598" s="12">
        <f>SUMIFS(Base[Montante],Base[Fornecedor],$A598&amp;"",Base[Ano],F$4)</f>
        <v/>
      </c>
      <c r="G598" s="12">
        <f>SUMIFS(Base[Montante],Base[Fornecedor],$A598&amp;"",Base[Ano],G$4)</f>
        <v/>
      </c>
      <c r="H598" s="12">
        <f>SUMIFS(Base[Montante],Base[Fornecedor],$A598&amp;"",Base[Ano],H$4)</f>
        <v/>
      </c>
      <c r="I598" s="12">
        <f>SUMIFS(Base[Montante],Base[Fornecedor],$A598&amp;"",Base[Ano],I$4)</f>
        <v/>
      </c>
      <c r="J598" s="12">
        <f>SUMIFS(Base[Montante],Base[Fornecedor],$A598&amp;"",Base[Ano],J$4)</f>
        <v/>
      </c>
      <c r="K598" s="12">
        <f>SUM(D598:J598)</f>
        <v/>
      </c>
    </row>
    <row r="599">
      <c r="A599" s="5" t="n">
        <v>100400</v>
      </c>
      <c r="B599" s="5" t="inlineStr">
        <is>
          <t>TECHNICAL UNIVERSITY OF DENMARK DTU</t>
        </is>
      </c>
      <c r="C599" s="5">
        <f>IFERROR(INDEX(DePara[Categoria],MATCH(TEXT(A599,"0"),DePara[Fornecedor_txt],0)),"(sem categoria)")</f>
        <v/>
      </c>
      <c r="D599" s="12">
        <f>SUMIFS(Base[Montante],Base[Fornecedor],$A599&amp;"",Base[Ano],D$4)</f>
        <v/>
      </c>
      <c r="E599" s="12">
        <f>SUMIFS(Base[Montante],Base[Fornecedor],$A599&amp;"",Base[Ano],E$4)</f>
        <v/>
      </c>
      <c r="F599" s="12">
        <f>SUMIFS(Base[Montante],Base[Fornecedor],$A599&amp;"",Base[Ano],F$4)</f>
        <v/>
      </c>
      <c r="G599" s="12">
        <f>SUMIFS(Base[Montante],Base[Fornecedor],$A599&amp;"",Base[Ano],G$4)</f>
        <v/>
      </c>
      <c r="H599" s="12">
        <f>SUMIFS(Base[Montante],Base[Fornecedor],$A599&amp;"",Base[Ano],H$4)</f>
        <v/>
      </c>
      <c r="I599" s="12">
        <f>SUMIFS(Base[Montante],Base[Fornecedor],$A599&amp;"",Base[Ano],I$4)</f>
        <v/>
      </c>
      <c r="J599" s="12">
        <f>SUMIFS(Base[Montante],Base[Fornecedor],$A599&amp;"",Base[Ano],J$4)</f>
        <v/>
      </c>
      <c r="K599" s="12">
        <f>SUM(D599:J599)</f>
        <v/>
      </c>
    </row>
    <row r="600">
      <c r="A600" s="5" t="n">
        <v>103999</v>
      </c>
      <c r="B600" s="5" t="inlineStr">
        <is>
          <t>TECNOCON SOLUCOES PARA ENERGIAS REN</t>
        </is>
      </c>
      <c r="C600" s="5">
        <f>IFERROR(INDEX(DePara[Categoria],MATCH(TEXT(A600,"0"),DePara[Fornecedor_txt],0)),"(sem categoria)")</f>
        <v/>
      </c>
      <c r="D600" s="12">
        <f>SUMIFS(Base[Montante],Base[Fornecedor],$A600&amp;"",Base[Ano],D$4)</f>
        <v/>
      </c>
      <c r="E600" s="12">
        <f>SUMIFS(Base[Montante],Base[Fornecedor],$A600&amp;"",Base[Ano],E$4)</f>
        <v/>
      </c>
      <c r="F600" s="12">
        <f>SUMIFS(Base[Montante],Base[Fornecedor],$A600&amp;"",Base[Ano],F$4)</f>
        <v/>
      </c>
      <c r="G600" s="12">
        <f>SUMIFS(Base[Montante],Base[Fornecedor],$A600&amp;"",Base[Ano],G$4)</f>
        <v/>
      </c>
      <c r="H600" s="12">
        <f>SUMIFS(Base[Montante],Base[Fornecedor],$A600&amp;"",Base[Ano],H$4)</f>
        <v/>
      </c>
      <c r="I600" s="12">
        <f>SUMIFS(Base[Montante],Base[Fornecedor],$A600&amp;"",Base[Ano],I$4)</f>
        <v/>
      </c>
      <c r="J600" s="12">
        <f>SUMIFS(Base[Montante],Base[Fornecedor],$A600&amp;"",Base[Ano],J$4)</f>
        <v/>
      </c>
      <c r="K600" s="12">
        <f>SUM(D600:J600)</f>
        <v/>
      </c>
    </row>
    <row r="601">
      <c r="A601" s="5" t="n">
        <v>101929</v>
      </c>
      <c r="B601" s="5" t="inlineStr">
        <is>
          <t>TECNOFIX INDUSTRIA E COMERCIO DE PA</t>
        </is>
      </c>
      <c r="C601" s="5">
        <f>IFERROR(INDEX(DePara[Categoria],MATCH(TEXT(A601,"0"),DePara[Fornecedor_txt],0)),"(sem categoria)")</f>
        <v/>
      </c>
      <c r="D601" s="12">
        <f>SUMIFS(Base[Montante],Base[Fornecedor],$A601&amp;"",Base[Ano],D$4)</f>
        <v/>
      </c>
      <c r="E601" s="12">
        <f>SUMIFS(Base[Montante],Base[Fornecedor],$A601&amp;"",Base[Ano],E$4)</f>
        <v/>
      </c>
      <c r="F601" s="12">
        <f>SUMIFS(Base[Montante],Base[Fornecedor],$A601&amp;"",Base[Ano],F$4)</f>
        <v/>
      </c>
      <c r="G601" s="12">
        <f>SUMIFS(Base[Montante],Base[Fornecedor],$A601&amp;"",Base[Ano],G$4)</f>
        <v/>
      </c>
      <c r="H601" s="12">
        <f>SUMIFS(Base[Montante],Base[Fornecedor],$A601&amp;"",Base[Ano],H$4)</f>
        <v/>
      </c>
      <c r="I601" s="12">
        <f>SUMIFS(Base[Montante],Base[Fornecedor],$A601&amp;"",Base[Ano],I$4)</f>
        <v/>
      </c>
      <c r="J601" s="12">
        <f>SUMIFS(Base[Montante],Base[Fornecedor],$A601&amp;"",Base[Ano],J$4)</f>
        <v/>
      </c>
      <c r="K601" s="12">
        <f>SUM(D601:J601)</f>
        <v/>
      </c>
    </row>
    <row r="602">
      <c r="A602" s="5" t="n">
        <v>101813</v>
      </c>
      <c r="B602" s="5" t="inlineStr">
        <is>
          <t>TECON RIO GRANDE SA</t>
        </is>
      </c>
      <c r="C602" s="5">
        <f>IFERROR(INDEX(DePara[Categoria],MATCH(TEXT(A602,"0"),DePara[Fornecedor_txt],0)),"(sem categoria)")</f>
        <v/>
      </c>
      <c r="D602" s="12">
        <f>SUMIFS(Base[Montante],Base[Fornecedor],$A602&amp;"",Base[Ano],D$4)</f>
        <v/>
      </c>
      <c r="E602" s="12">
        <f>SUMIFS(Base[Montante],Base[Fornecedor],$A602&amp;"",Base[Ano],E$4)</f>
        <v/>
      </c>
      <c r="F602" s="12">
        <f>SUMIFS(Base[Montante],Base[Fornecedor],$A602&amp;"",Base[Ano],F$4)</f>
        <v/>
      </c>
      <c r="G602" s="12">
        <f>SUMIFS(Base[Montante],Base[Fornecedor],$A602&amp;"",Base[Ano],G$4)</f>
        <v/>
      </c>
      <c r="H602" s="12">
        <f>SUMIFS(Base[Montante],Base[Fornecedor],$A602&amp;"",Base[Ano],H$4)</f>
        <v/>
      </c>
      <c r="I602" s="12">
        <f>SUMIFS(Base[Montante],Base[Fornecedor],$A602&amp;"",Base[Ano],I$4)</f>
        <v/>
      </c>
      <c r="J602" s="12">
        <f>SUMIFS(Base[Montante],Base[Fornecedor],$A602&amp;"",Base[Ano],J$4)</f>
        <v/>
      </c>
      <c r="K602" s="12">
        <f>SUM(D602:J602)</f>
        <v/>
      </c>
    </row>
    <row r="603">
      <c r="A603" s="5" t="n">
        <v>102030</v>
      </c>
      <c r="B603" s="5" t="inlineStr">
        <is>
          <t>TECON SALVADOR SA</t>
        </is>
      </c>
      <c r="C603" s="5">
        <f>IFERROR(INDEX(DePara[Categoria],MATCH(TEXT(A603,"0"),DePara[Fornecedor_txt],0)),"(sem categoria)")</f>
        <v/>
      </c>
      <c r="D603" s="12">
        <f>SUMIFS(Base[Montante],Base[Fornecedor],$A603&amp;"",Base[Ano],D$4)</f>
        <v/>
      </c>
      <c r="E603" s="12">
        <f>SUMIFS(Base[Montante],Base[Fornecedor],$A603&amp;"",Base[Ano],E$4)</f>
        <v/>
      </c>
      <c r="F603" s="12">
        <f>SUMIFS(Base[Montante],Base[Fornecedor],$A603&amp;"",Base[Ano],F$4)</f>
        <v/>
      </c>
      <c r="G603" s="12">
        <f>SUMIFS(Base[Montante],Base[Fornecedor],$A603&amp;"",Base[Ano],G$4)</f>
        <v/>
      </c>
      <c r="H603" s="12">
        <f>SUMIFS(Base[Montante],Base[Fornecedor],$A603&amp;"",Base[Ano],H$4)</f>
        <v/>
      </c>
      <c r="I603" s="12">
        <f>SUMIFS(Base[Montante],Base[Fornecedor],$A603&amp;"",Base[Ano],I$4)</f>
        <v/>
      </c>
      <c r="J603" s="12">
        <f>SUMIFS(Base[Montante],Base[Fornecedor],$A603&amp;"",Base[Ano],J$4)</f>
        <v/>
      </c>
      <c r="K603" s="12">
        <f>SUM(D603:J603)</f>
        <v/>
      </c>
    </row>
    <row r="604">
      <c r="A604" s="5" t="n">
        <v>101809</v>
      </c>
      <c r="B604" s="5" t="inlineStr">
        <is>
          <t>TECON SUAPE SA</t>
        </is>
      </c>
      <c r="C604" s="5">
        <f>IFERROR(INDEX(DePara[Categoria],MATCH(TEXT(A604,"0"),DePara[Fornecedor_txt],0)),"(sem categoria)")</f>
        <v/>
      </c>
      <c r="D604" s="12">
        <f>SUMIFS(Base[Montante],Base[Fornecedor],$A604&amp;"",Base[Ano],D$4)</f>
        <v/>
      </c>
      <c r="E604" s="12">
        <f>SUMIFS(Base[Montante],Base[Fornecedor],$A604&amp;"",Base[Ano],E$4)</f>
        <v/>
      </c>
      <c r="F604" s="12">
        <f>SUMIFS(Base[Montante],Base[Fornecedor],$A604&amp;"",Base[Ano],F$4)</f>
        <v/>
      </c>
      <c r="G604" s="12">
        <f>SUMIFS(Base[Montante],Base[Fornecedor],$A604&amp;"",Base[Ano],G$4)</f>
        <v/>
      </c>
      <c r="H604" s="12">
        <f>SUMIFS(Base[Montante],Base[Fornecedor],$A604&amp;"",Base[Ano],H$4)</f>
        <v/>
      </c>
      <c r="I604" s="12">
        <f>SUMIFS(Base[Montante],Base[Fornecedor],$A604&amp;"",Base[Ano],I$4)</f>
        <v/>
      </c>
      <c r="J604" s="12">
        <f>SUMIFS(Base[Montante],Base[Fornecedor],$A604&amp;"",Base[Ano],J$4)</f>
        <v/>
      </c>
      <c r="K604" s="12">
        <f>SUM(D604:J604)</f>
        <v/>
      </c>
    </row>
    <row r="605">
      <c r="A605" s="5" t="n">
        <v>101156</v>
      </c>
      <c r="B605" s="5" t="inlineStr">
        <is>
          <t>TEKHELIUS PRESTAÇÃO DE SERVIÇOS LTD 37245993000171</t>
        </is>
      </c>
      <c r="C605" s="5">
        <f>IFERROR(INDEX(DePara[Categoria],MATCH(TEXT(A605,"0"),DePara[Fornecedor_txt],0)),"(sem categoria)")</f>
        <v/>
      </c>
      <c r="D605" s="12">
        <f>SUMIFS(Base[Montante],Base[Fornecedor],$A605&amp;"",Base[Ano],D$4)</f>
        <v/>
      </c>
      <c r="E605" s="12">
        <f>SUMIFS(Base[Montante],Base[Fornecedor],$A605&amp;"",Base[Ano],E$4)</f>
        <v/>
      </c>
      <c r="F605" s="12">
        <f>SUMIFS(Base[Montante],Base[Fornecedor],$A605&amp;"",Base[Ano],F$4)</f>
        <v/>
      </c>
      <c r="G605" s="12">
        <f>SUMIFS(Base[Montante],Base[Fornecedor],$A605&amp;"",Base[Ano],G$4)</f>
        <v/>
      </c>
      <c r="H605" s="12">
        <f>SUMIFS(Base[Montante],Base[Fornecedor],$A605&amp;"",Base[Ano],H$4)</f>
        <v/>
      </c>
      <c r="I605" s="12">
        <f>SUMIFS(Base[Montante],Base[Fornecedor],$A605&amp;"",Base[Ano],I$4)</f>
        <v/>
      </c>
      <c r="J605" s="12">
        <f>SUMIFS(Base[Montante],Base[Fornecedor],$A605&amp;"",Base[Ano],J$4)</f>
        <v/>
      </c>
      <c r="K605" s="12">
        <f>SUM(D605:J605)</f>
        <v/>
      </c>
    </row>
    <row r="606">
      <c r="A606" s="5" t="n">
        <v>105982</v>
      </c>
      <c r="B606" s="5" t="inlineStr">
        <is>
          <t>TELES &amp; VILANOVA ADVOGADOS 57783429000110</t>
        </is>
      </c>
      <c r="C606" s="5">
        <f>IFERROR(INDEX(DePara[Categoria],MATCH(TEXT(A606,"0"),DePara[Fornecedor_txt],0)),"(sem categoria)")</f>
        <v/>
      </c>
      <c r="D606" s="12">
        <f>SUMIFS(Base[Montante],Base[Fornecedor],$A606&amp;"",Base[Ano],D$4)</f>
        <v/>
      </c>
      <c r="E606" s="12">
        <f>SUMIFS(Base[Montante],Base[Fornecedor],$A606&amp;"",Base[Ano],E$4)</f>
        <v/>
      </c>
      <c r="F606" s="12">
        <f>SUMIFS(Base[Montante],Base[Fornecedor],$A606&amp;"",Base[Ano],F$4)</f>
        <v/>
      </c>
      <c r="G606" s="12">
        <f>SUMIFS(Base[Montante],Base[Fornecedor],$A606&amp;"",Base[Ano],G$4)</f>
        <v/>
      </c>
      <c r="H606" s="12">
        <f>SUMIFS(Base[Montante],Base[Fornecedor],$A606&amp;"",Base[Ano],H$4)</f>
        <v/>
      </c>
      <c r="I606" s="12">
        <f>SUMIFS(Base[Montante],Base[Fornecedor],$A606&amp;"",Base[Ano],I$4)</f>
        <v/>
      </c>
      <c r="J606" s="12">
        <f>SUMIFS(Base[Montante],Base[Fornecedor],$A606&amp;"",Base[Ano],J$4)</f>
        <v/>
      </c>
      <c r="K606" s="12">
        <f>SUM(D606:J606)</f>
        <v/>
      </c>
    </row>
    <row r="607">
      <c r="A607" s="5" t="n">
        <v>105667</v>
      </c>
      <c r="B607" s="5" t="inlineStr">
        <is>
          <t>TERMOPLAST PLASTIK ENJEKSIYON VE</t>
        </is>
      </c>
      <c r="C607" s="5">
        <f>IFERROR(INDEX(DePara[Categoria],MATCH(TEXT(A607,"0"),DePara[Fornecedor_txt],0)),"(sem categoria)")</f>
        <v/>
      </c>
      <c r="D607" s="12">
        <f>SUMIFS(Base[Montante],Base[Fornecedor],$A607&amp;"",Base[Ano],D$4)</f>
        <v/>
      </c>
      <c r="E607" s="12">
        <f>SUMIFS(Base[Montante],Base[Fornecedor],$A607&amp;"",Base[Ano],E$4)</f>
        <v/>
      </c>
      <c r="F607" s="12">
        <f>SUMIFS(Base[Montante],Base[Fornecedor],$A607&amp;"",Base[Ano],F$4)</f>
        <v/>
      </c>
      <c r="G607" s="12">
        <f>SUMIFS(Base[Montante],Base[Fornecedor],$A607&amp;"",Base[Ano],G$4)</f>
        <v/>
      </c>
      <c r="H607" s="12">
        <f>SUMIFS(Base[Montante],Base[Fornecedor],$A607&amp;"",Base[Ano],H$4)</f>
        <v/>
      </c>
      <c r="I607" s="12">
        <f>SUMIFS(Base[Montante],Base[Fornecedor],$A607&amp;"",Base[Ano],I$4)</f>
        <v/>
      </c>
      <c r="J607" s="12">
        <f>SUMIFS(Base[Montante],Base[Fornecedor],$A607&amp;"",Base[Ano],J$4)</f>
        <v/>
      </c>
      <c r="K607" s="12">
        <f>SUM(D607:J607)</f>
        <v/>
      </c>
    </row>
    <row r="608">
      <c r="A608" s="5" t="n">
        <v>101690</v>
      </c>
      <c r="B608" s="5" t="inlineStr">
        <is>
          <t>TES TRANSFOR EQUIPAMENTOS ELETRICOS</t>
        </is>
      </c>
      <c r="C608" s="5">
        <f>IFERROR(INDEX(DePara[Categoria],MATCH(TEXT(A608,"0"),DePara[Fornecedor_txt],0)),"(sem categoria)")</f>
        <v/>
      </c>
      <c r="D608" s="12">
        <f>SUMIFS(Base[Montante],Base[Fornecedor],$A608&amp;"",Base[Ano],D$4)</f>
        <v/>
      </c>
      <c r="E608" s="12">
        <f>SUMIFS(Base[Montante],Base[Fornecedor],$A608&amp;"",Base[Ano],E$4)</f>
        <v/>
      </c>
      <c r="F608" s="12">
        <f>SUMIFS(Base[Montante],Base[Fornecedor],$A608&amp;"",Base[Ano],F$4)</f>
        <v/>
      </c>
      <c r="G608" s="12">
        <f>SUMIFS(Base[Montante],Base[Fornecedor],$A608&amp;"",Base[Ano],G$4)</f>
        <v/>
      </c>
      <c r="H608" s="12">
        <f>SUMIFS(Base[Montante],Base[Fornecedor],$A608&amp;"",Base[Ano],H$4)</f>
        <v/>
      </c>
      <c r="I608" s="12">
        <f>SUMIFS(Base[Montante],Base[Fornecedor],$A608&amp;"",Base[Ano],I$4)</f>
        <v/>
      </c>
      <c r="J608" s="12">
        <f>SUMIFS(Base[Montante],Base[Fornecedor],$A608&amp;"",Base[Ano],J$4)</f>
        <v/>
      </c>
      <c r="K608" s="12">
        <f>SUM(D608:J608)</f>
        <v/>
      </c>
    </row>
    <row r="609">
      <c r="A609" s="5" t="n">
        <v>101944</v>
      </c>
      <c r="B609" s="5" t="inlineStr">
        <is>
          <t>TEXAS CONTROLS DO BRASIL LTDA</t>
        </is>
      </c>
      <c r="C609" s="5">
        <f>IFERROR(INDEX(DePara[Categoria],MATCH(TEXT(A609,"0"),DePara[Fornecedor_txt],0)),"(sem categoria)")</f>
        <v/>
      </c>
      <c r="D609" s="12">
        <f>SUMIFS(Base[Montante],Base[Fornecedor],$A609&amp;"",Base[Ano],D$4)</f>
        <v/>
      </c>
      <c r="E609" s="12">
        <f>SUMIFS(Base[Montante],Base[Fornecedor],$A609&amp;"",Base[Ano],E$4)</f>
        <v/>
      </c>
      <c r="F609" s="12">
        <f>SUMIFS(Base[Montante],Base[Fornecedor],$A609&amp;"",Base[Ano],F$4)</f>
        <v/>
      </c>
      <c r="G609" s="12">
        <f>SUMIFS(Base[Montante],Base[Fornecedor],$A609&amp;"",Base[Ano],G$4)</f>
        <v/>
      </c>
      <c r="H609" s="12">
        <f>SUMIFS(Base[Montante],Base[Fornecedor],$A609&amp;"",Base[Ano],H$4)</f>
        <v/>
      </c>
      <c r="I609" s="12">
        <f>SUMIFS(Base[Montante],Base[Fornecedor],$A609&amp;"",Base[Ano],I$4)</f>
        <v/>
      </c>
      <c r="J609" s="12">
        <f>SUMIFS(Base[Montante],Base[Fornecedor],$A609&amp;"",Base[Ano],J$4)</f>
        <v/>
      </c>
      <c r="K609" s="12">
        <f>SUM(D609:J609)</f>
        <v/>
      </c>
    </row>
    <row r="610">
      <c r="A610" s="5" t="n">
        <v>101683</v>
      </c>
      <c r="B610" s="5" t="inlineStr">
        <is>
          <t>TF DANTAS</t>
        </is>
      </c>
      <c r="C610" s="5">
        <f>IFERROR(INDEX(DePara[Categoria],MATCH(TEXT(A610,"0"),DePara[Fornecedor_txt],0)),"(sem categoria)")</f>
        <v/>
      </c>
      <c r="D610" s="12">
        <f>SUMIFS(Base[Montante],Base[Fornecedor],$A610&amp;"",Base[Ano],D$4)</f>
        <v/>
      </c>
      <c r="E610" s="12">
        <f>SUMIFS(Base[Montante],Base[Fornecedor],$A610&amp;"",Base[Ano],E$4)</f>
        <v/>
      </c>
      <c r="F610" s="12">
        <f>SUMIFS(Base[Montante],Base[Fornecedor],$A610&amp;"",Base[Ano],F$4)</f>
        <v/>
      </c>
      <c r="G610" s="12">
        <f>SUMIFS(Base[Montante],Base[Fornecedor],$A610&amp;"",Base[Ano],G$4)</f>
        <v/>
      </c>
      <c r="H610" s="12">
        <f>SUMIFS(Base[Montante],Base[Fornecedor],$A610&amp;"",Base[Ano],H$4)</f>
        <v/>
      </c>
      <c r="I610" s="12">
        <f>SUMIFS(Base[Montante],Base[Fornecedor],$A610&amp;"",Base[Ano],I$4)</f>
        <v/>
      </c>
      <c r="J610" s="12">
        <f>SUMIFS(Base[Montante],Base[Fornecedor],$A610&amp;"",Base[Ano],J$4)</f>
        <v/>
      </c>
      <c r="K610" s="12">
        <f>SUM(D610:J610)</f>
        <v/>
      </c>
    </row>
    <row r="611">
      <c r="A611" s="5" t="n">
        <v>105237</v>
      </c>
      <c r="B611" s="5" t="inlineStr">
        <is>
          <t>TGP BRASIL PROJETOS &amp; TRANSPORTES I 07752487000108</t>
        </is>
      </c>
      <c r="C611" s="5">
        <f>IFERROR(INDEX(DePara[Categoria],MATCH(TEXT(A611,"0"),DePara[Fornecedor_txt],0)),"(sem categoria)")</f>
        <v/>
      </c>
      <c r="D611" s="12">
        <f>SUMIFS(Base[Montante],Base[Fornecedor],$A611&amp;"",Base[Ano],D$4)</f>
        <v/>
      </c>
      <c r="E611" s="12">
        <f>SUMIFS(Base[Montante],Base[Fornecedor],$A611&amp;"",Base[Ano],E$4)</f>
        <v/>
      </c>
      <c r="F611" s="12">
        <f>SUMIFS(Base[Montante],Base[Fornecedor],$A611&amp;"",Base[Ano],F$4)</f>
        <v/>
      </c>
      <c r="G611" s="12">
        <f>SUMIFS(Base[Montante],Base[Fornecedor],$A611&amp;"",Base[Ano],G$4)</f>
        <v/>
      </c>
      <c r="H611" s="12">
        <f>SUMIFS(Base[Montante],Base[Fornecedor],$A611&amp;"",Base[Ano],H$4)</f>
        <v/>
      </c>
      <c r="I611" s="12">
        <f>SUMIFS(Base[Montante],Base[Fornecedor],$A611&amp;"",Base[Ano],I$4)</f>
        <v/>
      </c>
      <c r="J611" s="12">
        <f>SUMIFS(Base[Montante],Base[Fornecedor],$A611&amp;"",Base[Ano],J$4)</f>
        <v/>
      </c>
      <c r="K611" s="12">
        <f>SUM(D611:J611)</f>
        <v/>
      </c>
    </row>
    <row r="612">
      <c r="A612" s="5" t="inlineStr">
        <is>
          <t>EM000270</t>
        </is>
      </c>
      <c r="B612" s="5" t="inlineStr">
        <is>
          <t>THAYS NUNES BARROS</t>
        </is>
      </c>
      <c r="C612" s="5">
        <f>IFERROR(INDEX(DePara[Categoria],MATCH(TEXT(A612,"0"),DePara[Fornecedor_txt],0)),"(sem categoria)")</f>
        <v/>
      </c>
      <c r="D612" s="12">
        <f>SUMIFS(Base[Montante],Base[Fornecedor],$A612&amp;"",Base[Ano],D$4)</f>
        <v/>
      </c>
      <c r="E612" s="12">
        <f>SUMIFS(Base[Montante],Base[Fornecedor],$A612&amp;"",Base[Ano],E$4)</f>
        <v/>
      </c>
      <c r="F612" s="12">
        <f>SUMIFS(Base[Montante],Base[Fornecedor],$A612&amp;"",Base[Ano],F$4)</f>
        <v/>
      </c>
      <c r="G612" s="12">
        <f>SUMIFS(Base[Montante],Base[Fornecedor],$A612&amp;"",Base[Ano],G$4)</f>
        <v/>
      </c>
      <c r="H612" s="12">
        <f>SUMIFS(Base[Montante],Base[Fornecedor],$A612&amp;"",Base[Ano],H$4)</f>
        <v/>
      </c>
      <c r="I612" s="12">
        <f>SUMIFS(Base[Montante],Base[Fornecedor],$A612&amp;"",Base[Ano],I$4)</f>
        <v/>
      </c>
      <c r="J612" s="12">
        <f>SUMIFS(Base[Montante],Base[Fornecedor],$A612&amp;"",Base[Ano],J$4)</f>
        <v/>
      </c>
      <c r="K612" s="12">
        <f>SUM(D612:J612)</f>
        <v/>
      </c>
    </row>
    <row r="613">
      <c r="A613" s="5" t="n">
        <v>100419</v>
      </c>
      <c r="B613" s="5" t="inlineStr">
        <is>
          <t>THE WORLD HOTELS ASSESSORIA E ADM</t>
        </is>
      </c>
      <c r="C613" s="5">
        <f>IFERROR(INDEX(DePara[Categoria],MATCH(TEXT(A613,"0"),DePara[Fornecedor_txt],0)),"(sem categoria)")</f>
        <v/>
      </c>
      <c r="D613" s="12">
        <f>SUMIFS(Base[Montante],Base[Fornecedor],$A613&amp;"",Base[Ano],D$4)</f>
        <v/>
      </c>
      <c r="E613" s="12">
        <f>SUMIFS(Base[Montante],Base[Fornecedor],$A613&amp;"",Base[Ano],E$4)</f>
        <v/>
      </c>
      <c r="F613" s="12">
        <f>SUMIFS(Base[Montante],Base[Fornecedor],$A613&amp;"",Base[Ano],F$4)</f>
        <v/>
      </c>
      <c r="G613" s="12">
        <f>SUMIFS(Base[Montante],Base[Fornecedor],$A613&amp;"",Base[Ano],G$4)</f>
        <v/>
      </c>
      <c r="H613" s="12">
        <f>SUMIFS(Base[Montante],Base[Fornecedor],$A613&amp;"",Base[Ano],H$4)</f>
        <v/>
      </c>
      <c r="I613" s="12">
        <f>SUMIFS(Base[Montante],Base[Fornecedor],$A613&amp;"",Base[Ano],I$4)</f>
        <v/>
      </c>
      <c r="J613" s="12">
        <f>SUMIFS(Base[Montante],Base[Fornecedor],$A613&amp;"",Base[Ano],J$4)</f>
        <v/>
      </c>
      <c r="K613" s="12">
        <f>SUM(D613:J613)</f>
        <v/>
      </c>
    </row>
    <row r="614">
      <c r="A614" s="5" t="inlineStr">
        <is>
          <t>EM000105</t>
        </is>
      </c>
      <c r="B614" s="5" t="inlineStr">
        <is>
          <t>THIAGO CARVALHO</t>
        </is>
      </c>
      <c r="C614" s="5">
        <f>IFERROR(INDEX(DePara[Categoria],MATCH(TEXT(A614,"0"),DePara[Fornecedor_txt],0)),"(sem categoria)")</f>
        <v/>
      </c>
      <c r="D614" s="12">
        <f>SUMIFS(Base[Montante],Base[Fornecedor],$A614&amp;"",Base[Ano],D$4)</f>
        <v/>
      </c>
      <c r="E614" s="12">
        <f>SUMIFS(Base[Montante],Base[Fornecedor],$A614&amp;"",Base[Ano],E$4)</f>
        <v/>
      </c>
      <c r="F614" s="12">
        <f>SUMIFS(Base[Montante],Base[Fornecedor],$A614&amp;"",Base[Ano],F$4)</f>
        <v/>
      </c>
      <c r="G614" s="12">
        <f>SUMIFS(Base[Montante],Base[Fornecedor],$A614&amp;"",Base[Ano],G$4)</f>
        <v/>
      </c>
      <c r="H614" s="12">
        <f>SUMIFS(Base[Montante],Base[Fornecedor],$A614&amp;"",Base[Ano],H$4)</f>
        <v/>
      </c>
      <c r="I614" s="12">
        <f>SUMIFS(Base[Montante],Base[Fornecedor],$A614&amp;"",Base[Ano],I$4)</f>
        <v/>
      </c>
      <c r="J614" s="12">
        <f>SUMIFS(Base[Montante],Base[Fornecedor],$A614&amp;"",Base[Ano],J$4)</f>
        <v/>
      </c>
      <c r="K614" s="12">
        <f>SUM(D614:J614)</f>
        <v/>
      </c>
    </row>
    <row r="615">
      <c r="A615" s="5" t="n">
        <v>104003</v>
      </c>
      <c r="B615" s="5" t="inlineStr">
        <is>
          <t>THIAGO DE MORAES 21707151000154</t>
        </is>
      </c>
      <c r="C615" s="5">
        <f>IFERROR(INDEX(DePara[Categoria],MATCH(TEXT(A615,"0"),DePara[Fornecedor_txt],0)),"(sem categoria)")</f>
        <v/>
      </c>
      <c r="D615" s="12">
        <f>SUMIFS(Base[Montante],Base[Fornecedor],$A615&amp;"",Base[Ano],D$4)</f>
        <v/>
      </c>
      <c r="E615" s="12">
        <f>SUMIFS(Base[Montante],Base[Fornecedor],$A615&amp;"",Base[Ano],E$4)</f>
        <v/>
      </c>
      <c r="F615" s="12">
        <f>SUMIFS(Base[Montante],Base[Fornecedor],$A615&amp;"",Base[Ano],F$4)</f>
        <v/>
      </c>
      <c r="G615" s="12">
        <f>SUMIFS(Base[Montante],Base[Fornecedor],$A615&amp;"",Base[Ano],G$4)</f>
        <v/>
      </c>
      <c r="H615" s="12">
        <f>SUMIFS(Base[Montante],Base[Fornecedor],$A615&amp;"",Base[Ano],H$4)</f>
        <v/>
      </c>
      <c r="I615" s="12">
        <f>SUMIFS(Base[Montante],Base[Fornecedor],$A615&amp;"",Base[Ano],I$4)</f>
        <v/>
      </c>
      <c r="J615" s="12">
        <f>SUMIFS(Base[Montante],Base[Fornecedor],$A615&amp;"",Base[Ano],J$4)</f>
        <v/>
      </c>
      <c r="K615" s="12">
        <f>SUM(D615:J615)</f>
        <v/>
      </c>
    </row>
    <row r="616">
      <c r="A616" s="5" t="inlineStr">
        <is>
          <t>EM000753</t>
        </is>
      </c>
      <c r="B616" s="5" t="inlineStr">
        <is>
          <t>Thiago Maxwel da Costa Soares</t>
        </is>
      </c>
      <c r="C616" s="5">
        <f>IFERROR(INDEX(DePara[Categoria],MATCH(TEXT(A616,"0"),DePara[Fornecedor_txt],0)),"(sem categoria)")</f>
        <v/>
      </c>
      <c r="D616" s="12">
        <f>SUMIFS(Base[Montante],Base[Fornecedor],$A616&amp;"",Base[Ano],D$4)</f>
        <v/>
      </c>
      <c r="E616" s="12">
        <f>SUMIFS(Base[Montante],Base[Fornecedor],$A616&amp;"",Base[Ano],E$4)</f>
        <v/>
      </c>
      <c r="F616" s="12">
        <f>SUMIFS(Base[Montante],Base[Fornecedor],$A616&amp;"",Base[Ano],F$4)</f>
        <v/>
      </c>
      <c r="G616" s="12">
        <f>SUMIFS(Base[Montante],Base[Fornecedor],$A616&amp;"",Base[Ano],G$4)</f>
        <v/>
      </c>
      <c r="H616" s="12">
        <f>SUMIFS(Base[Montante],Base[Fornecedor],$A616&amp;"",Base[Ano],H$4)</f>
        <v/>
      </c>
      <c r="I616" s="12">
        <f>SUMIFS(Base[Montante],Base[Fornecedor],$A616&amp;"",Base[Ano],I$4)</f>
        <v/>
      </c>
      <c r="J616" s="12">
        <f>SUMIFS(Base[Montante],Base[Fornecedor],$A616&amp;"",Base[Ano],J$4)</f>
        <v/>
      </c>
      <c r="K616" s="12">
        <f>SUM(D616:J616)</f>
        <v/>
      </c>
    </row>
    <row r="617">
      <c r="A617" s="5" t="inlineStr">
        <is>
          <t>EM000770</t>
        </is>
      </c>
      <c r="B617" s="5" t="inlineStr">
        <is>
          <t>THIAGO MENDES DE MESQUITA</t>
        </is>
      </c>
      <c r="C617" s="5">
        <f>IFERROR(INDEX(DePara[Categoria],MATCH(TEXT(A617,"0"),DePara[Fornecedor_txt],0)),"(sem categoria)")</f>
        <v/>
      </c>
      <c r="D617" s="12">
        <f>SUMIFS(Base[Montante],Base[Fornecedor],$A617&amp;"",Base[Ano],D$4)</f>
        <v/>
      </c>
      <c r="E617" s="12">
        <f>SUMIFS(Base[Montante],Base[Fornecedor],$A617&amp;"",Base[Ano],E$4)</f>
        <v/>
      </c>
      <c r="F617" s="12">
        <f>SUMIFS(Base[Montante],Base[Fornecedor],$A617&amp;"",Base[Ano],F$4)</f>
        <v/>
      </c>
      <c r="G617" s="12">
        <f>SUMIFS(Base[Montante],Base[Fornecedor],$A617&amp;"",Base[Ano],G$4)</f>
        <v/>
      </c>
      <c r="H617" s="12">
        <f>SUMIFS(Base[Montante],Base[Fornecedor],$A617&amp;"",Base[Ano],H$4)</f>
        <v/>
      </c>
      <c r="I617" s="12">
        <f>SUMIFS(Base[Montante],Base[Fornecedor],$A617&amp;"",Base[Ano],I$4)</f>
        <v/>
      </c>
      <c r="J617" s="12">
        <f>SUMIFS(Base[Montante],Base[Fornecedor],$A617&amp;"",Base[Ano],J$4)</f>
        <v/>
      </c>
      <c r="K617" s="12">
        <f>SUM(D617:J617)</f>
        <v/>
      </c>
    </row>
    <row r="618">
      <c r="A618" s="5" t="inlineStr">
        <is>
          <t>EM000968</t>
        </is>
      </c>
      <c r="B618" s="5" t="inlineStr">
        <is>
          <t>THIAGO NOGUEIRA FIGUEREDO</t>
        </is>
      </c>
      <c r="C618" s="5">
        <f>IFERROR(INDEX(DePara[Categoria],MATCH(TEXT(A618,"0"),DePara[Fornecedor_txt],0)),"(sem categoria)")</f>
        <v/>
      </c>
      <c r="D618" s="12">
        <f>SUMIFS(Base[Montante],Base[Fornecedor],$A618&amp;"",Base[Ano],D$4)</f>
        <v/>
      </c>
      <c r="E618" s="12">
        <f>SUMIFS(Base[Montante],Base[Fornecedor],$A618&amp;"",Base[Ano],E$4)</f>
        <v/>
      </c>
      <c r="F618" s="12">
        <f>SUMIFS(Base[Montante],Base[Fornecedor],$A618&amp;"",Base[Ano],F$4)</f>
        <v/>
      </c>
      <c r="G618" s="12">
        <f>SUMIFS(Base[Montante],Base[Fornecedor],$A618&amp;"",Base[Ano],G$4)</f>
        <v/>
      </c>
      <c r="H618" s="12">
        <f>SUMIFS(Base[Montante],Base[Fornecedor],$A618&amp;"",Base[Ano],H$4)</f>
        <v/>
      </c>
      <c r="I618" s="12">
        <f>SUMIFS(Base[Montante],Base[Fornecedor],$A618&amp;"",Base[Ano],I$4)</f>
        <v/>
      </c>
      <c r="J618" s="12">
        <f>SUMIFS(Base[Montante],Base[Fornecedor],$A618&amp;"",Base[Ano],J$4)</f>
        <v/>
      </c>
      <c r="K618" s="12">
        <f>SUM(D618:J618)</f>
        <v/>
      </c>
    </row>
    <row r="619">
      <c r="A619" s="5" t="inlineStr">
        <is>
          <t>EM000967</t>
        </is>
      </c>
      <c r="B619" s="5" t="inlineStr">
        <is>
          <t>THIAGO RODRIGUES DOS SANTOS COSTA</t>
        </is>
      </c>
      <c r="C619" s="5">
        <f>IFERROR(INDEX(DePara[Categoria],MATCH(TEXT(A619,"0"),DePara[Fornecedor_txt],0)),"(sem categoria)")</f>
        <v/>
      </c>
      <c r="D619" s="12">
        <f>SUMIFS(Base[Montante],Base[Fornecedor],$A619&amp;"",Base[Ano],D$4)</f>
        <v/>
      </c>
      <c r="E619" s="12">
        <f>SUMIFS(Base[Montante],Base[Fornecedor],$A619&amp;"",Base[Ano],E$4)</f>
        <v/>
      </c>
      <c r="F619" s="12">
        <f>SUMIFS(Base[Montante],Base[Fornecedor],$A619&amp;"",Base[Ano],F$4)</f>
        <v/>
      </c>
      <c r="G619" s="12">
        <f>SUMIFS(Base[Montante],Base[Fornecedor],$A619&amp;"",Base[Ano],G$4)</f>
        <v/>
      </c>
      <c r="H619" s="12">
        <f>SUMIFS(Base[Montante],Base[Fornecedor],$A619&amp;"",Base[Ano],H$4)</f>
        <v/>
      </c>
      <c r="I619" s="12">
        <f>SUMIFS(Base[Montante],Base[Fornecedor],$A619&amp;"",Base[Ano],I$4)</f>
        <v/>
      </c>
      <c r="J619" s="12">
        <f>SUMIFS(Base[Montante],Base[Fornecedor],$A619&amp;"",Base[Ano],J$4)</f>
        <v/>
      </c>
      <c r="K619" s="12">
        <f>SUM(D619:J619)</f>
        <v/>
      </c>
    </row>
    <row r="620">
      <c r="A620" s="5" t="inlineStr">
        <is>
          <t>EM000145</t>
        </is>
      </c>
      <c r="B620" s="5" t="inlineStr">
        <is>
          <t>THIAGO SPINOSA</t>
        </is>
      </c>
      <c r="C620" s="5">
        <f>IFERROR(INDEX(DePara[Categoria],MATCH(TEXT(A620,"0"),DePara[Fornecedor_txt],0)),"(sem categoria)")</f>
        <v/>
      </c>
      <c r="D620" s="12">
        <f>SUMIFS(Base[Montante],Base[Fornecedor],$A620&amp;"",Base[Ano],D$4)</f>
        <v/>
      </c>
      <c r="E620" s="12">
        <f>SUMIFS(Base[Montante],Base[Fornecedor],$A620&amp;"",Base[Ano],E$4)</f>
        <v/>
      </c>
      <c r="F620" s="12">
        <f>SUMIFS(Base[Montante],Base[Fornecedor],$A620&amp;"",Base[Ano],F$4)</f>
        <v/>
      </c>
      <c r="G620" s="12">
        <f>SUMIFS(Base[Montante],Base[Fornecedor],$A620&amp;"",Base[Ano],G$4)</f>
        <v/>
      </c>
      <c r="H620" s="12">
        <f>SUMIFS(Base[Montante],Base[Fornecedor],$A620&amp;"",Base[Ano],H$4)</f>
        <v/>
      </c>
      <c r="I620" s="12">
        <f>SUMIFS(Base[Montante],Base[Fornecedor],$A620&amp;"",Base[Ano],I$4)</f>
        <v/>
      </c>
      <c r="J620" s="12">
        <f>SUMIFS(Base[Montante],Base[Fornecedor],$A620&amp;"",Base[Ano],J$4)</f>
        <v/>
      </c>
      <c r="K620" s="12">
        <f>SUM(D620:J620)</f>
        <v/>
      </c>
    </row>
    <row r="621">
      <c r="A621" s="5" t="n">
        <v>102105</v>
      </c>
      <c r="B621" s="5" t="inlineStr">
        <is>
          <t>THOMSON REUTERS BRASIL C T LTDA</t>
        </is>
      </c>
      <c r="C621" s="5">
        <f>IFERROR(INDEX(DePara[Categoria],MATCH(TEXT(A621,"0"),DePara[Fornecedor_txt],0)),"(sem categoria)")</f>
        <v/>
      </c>
      <c r="D621" s="12">
        <f>SUMIFS(Base[Montante],Base[Fornecedor],$A621&amp;"",Base[Ano],D$4)</f>
        <v/>
      </c>
      <c r="E621" s="12">
        <f>SUMIFS(Base[Montante],Base[Fornecedor],$A621&amp;"",Base[Ano],E$4)</f>
        <v/>
      </c>
      <c r="F621" s="12">
        <f>SUMIFS(Base[Montante],Base[Fornecedor],$A621&amp;"",Base[Ano],F$4)</f>
        <v/>
      </c>
      <c r="G621" s="12">
        <f>SUMIFS(Base[Montante],Base[Fornecedor],$A621&amp;"",Base[Ano],G$4)</f>
        <v/>
      </c>
      <c r="H621" s="12">
        <f>SUMIFS(Base[Montante],Base[Fornecedor],$A621&amp;"",Base[Ano],H$4)</f>
        <v/>
      </c>
      <c r="I621" s="12">
        <f>SUMIFS(Base[Montante],Base[Fornecedor],$A621&amp;"",Base[Ano],I$4)</f>
        <v/>
      </c>
      <c r="J621" s="12">
        <f>SUMIFS(Base[Montante],Base[Fornecedor],$A621&amp;"",Base[Ano],J$4)</f>
        <v/>
      </c>
      <c r="K621" s="12">
        <f>SUM(D621:J621)</f>
        <v/>
      </c>
    </row>
    <row r="622">
      <c r="A622" s="5" t="n">
        <v>101011</v>
      </c>
      <c r="B622" s="5" t="inlineStr">
        <is>
          <t>THYSSENKRUPP BRASIL LTDA</t>
        </is>
      </c>
      <c r="C622" s="5">
        <f>IFERROR(INDEX(DePara[Categoria],MATCH(TEXT(A622,"0"),DePara[Fornecedor_txt],0)),"(sem categoria)")</f>
        <v/>
      </c>
      <c r="D622" s="12">
        <f>SUMIFS(Base[Montante],Base[Fornecedor],$A622&amp;"",Base[Ano],D$4)</f>
        <v/>
      </c>
      <c r="E622" s="12">
        <f>SUMIFS(Base[Montante],Base[Fornecedor],$A622&amp;"",Base[Ano],E$4)</f>
        <v/>
      </c>
      <c r="F622" s="12">
        <f>SUMIFS(Base[Montante],Base[Fornecedor],$A622&amp;"",Base[Ano],F$4)</f>
        <v/>
      </c>
      <c r="G622" s="12">
        <f>SUMIFS(Base[Montante],Base[Fornecedor],$A622&amp;"",Base[Ano],G$4)</f>
        <v/>
      </c>
      <c r="H622" s="12">
        <f>SUMIFS(Base[Montante],Base[Fornecedor],$A622&amp;"",Base[Ano],H$4)</f>
        <v/>
      </c>
      <c r="I622" s="12">
        <f>SUMIFS(Base[Montante],Base[Fornecedor],$A622&amp;"",Base[Ano],I$4)</f>
        <v/>
      </c>
      <c r="J622" s="12">
        <f>SUMIFS(Base[Montante],Base[Fornecedor],$A622&amp;"",Base[Ano],J$4)</f>
        <v/>
      </c>
      <c r="K622" s="12">
        <f>SUM(D622:J622)</f>
        <v/>
      </c>
    </row>
    <row r="623">
      <c r="A623" s="5" t="inlineStr">
        <is>
          <t>EM000905</t>
        </is>
      </c>
      <c r="B623" s="5" t="inlineStr">
        <is>
          <t>TIAGO DA SILVA SANTANA</t>
        </is>
      </c>
      <c r="C623" s="5">
        <f>IFERROR(INDEX(DePara[Categoria],MATCH(TEXT(A623,"0"),DePara[Fornecedor_txt],0)),"(sem categoria)")</f>
        <v/>
      </c>
      <c r="D623" s="12">
        <f>SUMIFS(Base[Montante],Base[Fornecedor],$A623&amp;"",Base[Ano],D$4)</f>
        <v/>
      </c>
      <c r="E623" s="12">
        <f>SUMIFS(Base[Montante],Base[Fornecedor],$A623&amp;"",Base[Ano],E$4)</f>
        <v/>
      </c>
      <c r="F623" s="12">
        <f>SUMIFS(Base[Montante],Base[Fornecedor],$A623&amp;"",Base[Ano],F$4)</f>
        <v/>
      </c>
      <c r="G623" s="12">
        <f>SUMIFS(Base[Montante],Base[Fornecedor],$A623&amp;"",Base[Ano],G$4)</f>
        <v/>
      </c>
      <c r="H623" s="12">
        <f>SUMIFS(Base[Montante],Base[Fornecedor],$A623&amp;"",Base[Ano],H$4)</f>
        <v/>
      </c>
      <c r="I623" s="12">
        <f>SUMIFS(Base[Montante],Base[Fornecedor],$A623&amp;"",Base[Ano],I$4)</f>
        <v/>
      </c>
      <c r="J623" s="12">
        <f>SUMIFS(Base[Montante],Base[Fornecedor],$A623&amp;"",Base[Ano],J$4)</f>
        <v/>
      </c>
      <c r="K623" s="12">
        <f>SUM(D623:J623)</f>
        <v/>
      </c>
    </row>
    <row r="624">
      <c r="A624" s="5" t="n">
        <v>102052</v>
      </c>
      <c r="B624" s="5" t="inlineStr">
        <is>
          <t>TOME EQUIPAMENTOS E TRANSPORTES LTD 44384832000124</t>
        </is>
      </c>
      <c r="C624" s="5">
        <f>IFERROR(INDEX(DePara[Categoria],MATCH(TEXT(A624,"0"),DePara[Fornecedor_txt],0)),"(sem categoria)")</f>
        <v/>
      </c>
      <c r="D624" s="12">
        <f>SUMIFS(Base[Montante],Base[Fornecedor],$A624&amp;"",Base[Ano],D$4)</f>
        <v/>
      </c>
      <c r="E624" s="12">
        <f>SUMIFS(Base[Montante],Base[Fornecedor],$A624&amp;"",Base[Ano],E$4)</f>
        <v/>
      </c>
      <c r="F624" s="12">
        <f>SUMIFS(Base[Montante],Base[Fornecedor],$A624&amp;"",Base[Ano],F$4)</f>
        <v/>
      </c>
      <c r="G624" s="12">
        <f>SUMIFS(Base[Montante],Base[Fornecedor],$A624&amp;"",Base[Ano],G$4)</f>
        <v/>
      </c>
      <c r="H624" s="12">
        <f>SUMIFS(Base[Montante],Base[Fornecedor],$A624&amp;"",Base[Ano],H$4)</f>
        <v/>
      </c>
      <c r="I624" s="12">
        <f>SUMIFS(Base[Montante],Base[Fornecedor],$A624&amp;"",Base[Ano],I$4)</f>
        <v/>
      </c>
      <c r="J624" s="12">
        <f>SUMIFS(Base[Montante],Base[Fornecedor],$A624&amp;"",Base[Ano],J$4)</f>
        <v/>
      </c>
      <c r="K624" s="12">
        <f>SUM(D624:J624)</f>
        <v/>
      </c>
    </row>
    <row r="625">
      <c r="A625" s="5" t="n">
        <v>104002</v>
      </c>
      <c r="B625" s="5" t="inlineStr">
        <is>
          <t>TOP LOCACOES LTDA 43452661000160</t>
        </is>
      </c>
      <c r="C625" s="5">
        <f>IFERROR(INDEX(DePara[Categoria],MATCH(TEXT(A625,"0"),DePara[Fornecedor_txt],0)),"(sem categoria)")</f>
        <v/>
      </c>
      <c r="D625" s="12">
        <f>SUMIFS(Base[Montante],Base[Fornecedor],$A625&amp;"",Base[Ano],D$4)</f>
        <v/>
      </c>
      <c r="E625" s="12">
        <f>SUMIFS(Base[Montante],Base[Fornecedor],$A625&amp;"",Base[Ano],E$4)</f>
        <v/>
      </c>
      <c r="F625" s="12">
        <f>SUMIFS(Base[Montante],Base[Fornecedor],$A625&amp;"",Base[Ano],F$4)</f>
        <v/>
      </c>
      <c r="G625" s="12">
        <f>SUMIFS(Base[Montante],Base[Fornecedor],$A625&amp;"",Base[Ano],G$4)</f>
        <v/>
      </c>
      <c r="H625" s="12">
        <f>SUMIFS(Base[Montante],Base[Fornecedor],$A625&amp;"",Base[Ano],H$4)</f>
        <v/>
      </c>
      <c r="I625" s="12">
        <f>SUMIFS(Base[Montante],Base[Fornecedor],$A625&amp;"",Base[Ano],I$4)</f>
        <v/>
      </c>
      <c r="J625" s="12">
        <f>SUMIFS(Base[Montante],Base[Fornecedor],$A625&amp;"",Base[Ano],J$4)</f>
        <v/>
      </c>
      <c r="K625" s="12">
        <f>SUM(D625:J625)</f>
        <v/>
      </c>
    </row>
    <row r="626">
      <c r="A626" s="5" t="n">
        <v>100800</v>
      </c>
      <c r="B626" s="5" t="inlineStr">
        <is>
          <t>TOXICLIN SERVICOS MEDICOS EIRELI</t>
        </is>
      </c>
      <c r="C626" s="5">
        <f>IFERROR(INDEX(DePara[Categoria],MATCH(TEXT(A626,"0"),DePara[Fornecedor_txt],0)),"(sem categoria)")</f>
        <v/>
      </c>
      <c r="D626" s="12">
        <f>SUMIFS(Base[Montante],Base[Fornecedor],$A626&amp;"",Base[Ano],D$4)</f>
        <v/>
      </c>
      <c r="E626" s="12">
        <f>SUMIFS(Base[Montante],Base[Fornecedor],$A626&amp;"",Base[Ano],E$4)</f>
        <v/>
      </c>
      <c r="F626" s="12">
        <f>SUMIFS(Base[Montante],Base[Fornecedor],$A626&amp;"",Base[Ano],F$4)</f>
        <v/>
      </c>
      <c r="G626" s="12">
        <f>SUMIFS(Base[Montante],Base[Fornecedor],$A626&amp;"",Base[Ano],G$4)</f>
        <v/>
      </c>
      <c r="H626" s="12">
        <f>SUMIFS(Base[Montante],Base[Fornecedor],$A626&amp;"",Base[Ano],H$4)</f>
        <v/>
      </c>
      <c r="I626" s="12">
        <f>SUMIFS(Base[Montante],Base[Fornecedor],$A626&amp;"",Base[Ano],I$4)</f>
        <v/>
      </c>
      <c r="J626" s="12">
        <f>SUMIFS(Base[Montante],Base[Fornecedor],$A626&amp;"",Base[Ano],J$4)</f>
        <v/>
      </c>
      <c r="K626" s="12">
        <f>SUM(D626:J626)</f>
        <v/>
      </c>
    </row>
    <row r="627">
      <c r="A627" s="5" t="n">
        <v>105984</v>
      </c>
      <c r="B627" s="5" t="inlineStr">
        <is>
          <t>TRADEWORKS SERVICOS DE COMERCIO EXT 04955748000107</t>
        </is>
      </c>
      <c r="C627" s="5">
        <f>IFERROR(INDEX(DePara[Categoria],MATCH(TEXT(A627,"0"),DePara[Fornecedor_txt],0)),"(sem categoria)")</f>
        <v/>
      </c>
      <c r="D627" s="12">
        <f>SUMIFS(Base[Montante],Base[Fornecedor],$A627&amp;"",Base[Ano],D$4)</f>
        <v/>
      </c>
      <c r="E627" s="12">
        <f>SUMIFS(Base[Montante],Base[Fornecedor],$A627&amp;"",Base[Ano],E$4)</f>
        <v/>
      </c>
      <c r="F627" s="12">
        <f>SUMIFS(Base[Montante],Base[Fornecedor],$A627&amp;"",Base[Ano],F$4)</f>
        <v/>
      </c>
      <c r="G627" s="12">
        <f>SUMIFS(Base[Montante],Base[Fornecedor],$A627&amp;"",Base[Ano],G$4)</f>
        <v/>
      </c>
      <c r="H627" s="12">
        <f>SUMIFS(Base[Montante],Base[Fornecedor],$A627&amp;"",Base[Ano],H$4)</f>
        <v/>
      </c>
      <c r="I627" s="12">
        <f>SUMIFS(Base[Montante],Base[Fornecedor],$A627&amp;"",Base[Ano],I$4)</f>
        <v/>
      </c>
      <c r="J627" s="12">
        <f>SUMIFS(Base[Montante],Base[Fornecedor],$A627&amp;"",Base[Ano],J$4)</f>
        <v/>
      </c>
      <c r="K627" s="12">
        <f>SUM(D627:J627)</f>
        <v/>
      </c>
    </row>
    <row r="628">
      <c r="A628" s="5" t="n">
        <v>101232</v>
      </c>
      <c r="B628" s="5" t="inlineStr">
        <is>
          <t>TRANSDATA ENGENHARIA E MOVIMENTACAO</t>
        </is>
      </c>
      <c r="C628" s="5">
        <f>IFERROR(INDEX(DePara[Categoria],MATCH(TEXT(A628,"0"),DePara[Fornecedor_txt],0)),"(sem categoria)")</f>
        <v/>
      </c>
      <c r="D628" s="12">
        <f>SUMIFS(Base[Montante],Base[Fornecedor],$A628&amp;"",Base[Ano],D$4)</f>
        <v/>
      </c>
      <c r="E628" s="12">
        <f>SUMIFS(Base[Montante],Base[Fornecedor],$A628&amp;"",Base[Ano],E$4)</f>
        <v/>
      </c>
      <c r="F628" s="12">
        <f>SUMIFS(Base[Montante],Base[Fornecedor],$A628&amp;"",Base[Ano],F$4)</f>
        <v/>
      </c>
      <c r="G628" s="12">
        <f>SUMIFS(Base[Montante],Base[Fornecedor],$A628&amp;"",Base[Ano],G$4)</f>
        <v/>
      </c>
      <c r="H628" s="12">
        <f>SUMIFS(Base[Montante],Base[Fornecedor],$A628&amp;"",Base[Ano],H$4)</f>
        <v/>
      </c>
      <c r="I628" s="12">
        <f>SUMIFS(Base[Montante],Base[Fornecedor],$A628&amp;"",Base[Ano],I$4)</f>
        <v/>
      </c>
      <c r="J628" s="12">
        <f>SUMIFS(Base[Montante],Base[Fornecedor],$A628&amp;"",Base[Ano],J$4)</f>
        <v/>
      </c>
      <c r="K628" s="12">
        <f>SUM(D628:J628)</f>
        <v/>
      </c>
    </row>
    <row r="629">
      <c r="A629" s="5" t="n">
        <v>101726</v>
      </c>
      <c r="B629" s="5" t="inlineStr">
        <is>
          <t>TRANSFORTECH ENGENHARIA LTDA</t>
        </is>
      </c>
      <c r="C629" s="5">
        <f>IFERROR(INDEX(DePara[Categoria],MATCH(TEXT(A629,"0"),DePara[Fornecedor_txt],0)),"(sem categoria)")</f>
        <v/>
      </c>
      <c r="D629" s="12">
        <f>SUMIFS(Base[Montante],Base[Fornecedor],$A629&amp;"",Base[Ano],D$4)</f>
        <v/>
      </c>
      <c r="E629" s="12">
        <f>SUMIFS(Base[Montante],Base[Fornecedor],$A629&amp;"",Base[Ano],E$4)</f>
        <v/>
      </c>
      <c r="F629" s="12">
        <f>SUMIFS(Base[Montante],Base[Fornecedor],$A629&amp;"",Base[Ano],F$4)</f>
        <v/>
      </c>
      <c r="G629" s="12">
        <f>SUMIFS(Base[Montante],Base[Fornecedor],$A629&amp;"",Base[Ano],G$4)</f>
        <v/>
      </c>
      <c r="H629" s="12">
        <f>SUMIFS(Base[Montante],Base[Fornecedor],$A629&amp;"",Base[Ano],H$4)</f>
        <v/>
      </c>
      <c r="I629" s="12">
        <f>SUMIFS(Base[Montante],Base[Fornecedor],$A629&amp;"",Base[Ano],I$4)</f>
        <v/>
      </c>
      <c r="J629" s="12">
        <f>SUMIFS(Base[Montante],Base[Fornecedor],$A629&amp;"",Base[Ano],J$4)</f>
        <v/>
      </c>
      <c r="K629" s="12">
        <f>SUM(D629:J629)</f>
        <v/>
      </c>
    </row>
    <row r="630">
      <c r="A630" s="5" t="n">
        <v>100877</v>
      </c>
      <c r="B630" s="5" t="inlineStr">
        <is>
          <t>TRANSPORTES AEREOS PORTUGUESES SA</t>
        </is>
      </c>
      <c r="C630" s="5">
        <f>IFERROR(INDEX(DePara[Categoria],MATCH(TEXT(A630,"0"),DePara[Fornecedor_txt],0)),"(sem categoria)")</f>
        <v/>
      </c>
      <c r="D630" s="12">
        <f>SUMIFS(Base[Montante],Base[Fornecedor],$A630&amp;"",Base[Ano],D$4)</f>
        <v/>
      </c>
      <c r="E630" s="12">
        <f>SUMIFS(Base[Montante],Base[Fornecedor],$A630&amp;"",Base[Ano],E$4)</f>
        <v/>
      </c>
      <c r="F630" s="12">
        <f>SUMIFS(Base[Montante],Base[Fornecedor],$A630&amp;"",Base[Ano],F$4)</f>
        <v/>
      </c>
      <c r="G630" s="12">
        <f>SUMIFS(Base[Montante],Base[Fornecedor],$A630&amp;"",Base[Ano],G$4)</f>
        <v/>
      </c>
      <c r="H630" s="12">
        <f>SUMIFS(Base[Montante],Base[Fornecedor],$A630&amp;"",Base[Ano],H$4)</f>
        <v/>
      </c>
      <c r="I630" s="12">
        <f>SUMIFS(Base[Montante],Base[Fornecedor],$A630&amp;"",Base[Ano],I$4)</f>
        <v/>
      </c>
      <c r="J630" s="12">
        <f>SUMIFS(Base[Montante],Base[Fornecedor],$A630&amp;"",Base[Ano],J$4)</f>
        <v/>
      </c>
      <c r="K630" s="12">
        <f>SUM(D630:J630)</f>
        <v/>
      </c>
    </row>
    <row r="631">
      <c r="A631" s="5" t="n">
        <v>104064</v>
      </c>
      <c r="B631" s="5" t="inlineStr">
        <is>
          <t>TRANSPORTES PESADOS MINAS S A 17215039000633</t>
        </is>
      </c>
      <c r="C631" s="5">
        <f>IFERROR(INDEX(DePara[Categoria],MATCH(TEXT(A631,"0"),DePara[Fornecedor_txt],0)),"(sem categoria)")</f>
        <v/>
      </c>
      <c r="D631" s="12">
        <f>SUMIFS(Base[Montante],Base[Fornecedor],$A631&amp;"",Base[Ano],D$4)</f>
        <v/>
      </c>
      <c r="E631" s="12">
        <f>SUMIFS(Base[Montante],Base[Fornecedor],$A631&amp;"",Base[Ano],E$4)</f>
        <v/>
      </c>
      <c r="F631" s="12">
        <f>SUMIFS(Base[Montante],Base[Fornecedor],$A631&amp;"",Base[Ano],F$4)</f>
        <v/>
      </c>
      <c r="G631" s="12">
        <f>SUMIFS(Base[Montante],Base[Fornecedor],$A631&amp;"",Base[Ano],G$4)</f>
        <v/>
      </c>
      <c r="H631" s="12">
        <f>SUMIFS(Base[Montante],Base[Fornecedor],$A631&amp;"",Base[Ano],H$4)</f>
        <v/>
      </c>
      <c r="I631" s="12">
        <f>SUMIFS(Base[Montante],Base[Fornecedor],$A631&amp;"",Base[Ano],I$4)</f>
        <v/>
      </c>
      <c r="J631" s="12">
        <f>SUMIFS(Base[Montante],Base[Fornecedor],$A631&amp;"",Base[Ano],J$4)</f>
        <v/>
      </c>
      <c r="K631" s="12">
        <f>SUM(D631:J631)</f>
        <v/>
      </c>
    </row>
    <row r="632">
      <c r="A632" s="5" t="n">
        <v>101523</v>
      </c>
      <c r="B632" s="5" t="inlineStr">
        <is>
          <t>TRANSPORTES PESADOS MINAS SA 17215039000129</t>
        </is>
      </c>
      <c r="C632" s="5">
        <f>IFERROR(INDEX(DePara[Categoria],MATCH(TEXT(A632,"0"),DePara[Fornecedor_txt],0)),"(sem categoria)")</f>
        <v/>
      </c>
      <c r="D632" s="12">
        <f>SUMIFS(Base[Montante],Base[Fornecedor],$A632&amp;"",Base[Ano],D$4)</f>
        <v/>
      </c>
      <c r="E632" s="12">
        <f>SUMIFS(Base[Montante],Base[Fornecedor],$A632&amp;"",Base[Ano],E$4)</f>
        <v/>
      </c>
      <c r="F632" s="12">
        <f>SUMIFS(Base[Montante],Base[Fornecedor],$A632&amp;"",Base[Ano],F$4)</f>
        <v/>
      </c>
      <c r="G632" s="12">
        <f>SUMIFS(Base[Montante],Base[Fornecedor],$A632&amp;"",Base[Ano],G$4)</f>
        <v/>
      </c>
      <c r="H632" s="12">
        <f>SUMIFS(Base[Montante],Base[Fornecedor],$A632&amp;"",Base[Ano],H$4)</f>
        <v/>
      </c>
      <c r="I632" s="12">
        <f>SUMIFS(Base[Montante],Base[Fornecedor],$A632&amp;"",Base[Ano],I$4)</f>
        <v/>
      </c>
      <c r="J632" s="12">
        <f>SUMIFS(Base[Montante],Base[Fornecedor],$A632&amp;"",Base[Ano],J$4)</f>
        <v/>
      </c>
      <c r="K632" s="12">
        <f>SUM(D632:J632)</f>
        <v/>
      </c>
    </row>
    <row r="633">
      <c r="A633" s="5" t="n">
        <v>101535</v>
      </c>
      <c r="B633" s="5" t="inlineStr">
        <is>
          <t>TRANSPORTES PESADOS MINAS SA 17215039001796</t>
        </is>
      </c>
      <c r="C633" s="5">
        <f>IFERROR(INDEX(DePara[Categoria],MATCH(TEXT(A633,"0"),DePara[Fornecedor_txt],0)),"(sem categoria)")</f>
        <v/>
      </c>
      <c r="D633" s="12">
        <f>SUMIFS(Base[Montante],Base[Fornecedor],$A633&amp;"",Base[Ano],D$4)</f>
        <v/>
      </c>
      <c r="E633" s="12">
        <f>SUMIFS(Base[Montante],Base[Fornecedor],$A633&amp;"",Base[Ano],E$4)</f>
        <v/>
      </c>
      <c r="F633" s="12">
        <f>SUMIFS(Base[Montante],Base[Fornecedor],$A633&amp;"",Base[Ano],F$4)</f>
        <v/>
      </c>
      <c r="G633" s="12">
        <f>SUMIFS(Base[Montante],Base[Fornecedor],$A633&amp;"",Base[Ano],G$4)</f>
        <v/>
      </c>
      <c r="H633" s="12">
        <f>SUMIFS(Base[Montante],Base[Fornecedor],$A633&amp;"",Base[Ano],H$4)</f>
        <v/>
      </c>
      <c r="I633" s="12">
        <f>SUMIFS(Base[Montante],Base[Fornecedor],$A633&amp;"",Base[Ano],I$4)</f>
        <v/>
      </c>
      <c r="J633" s="12">
        <f>SUMIFS(Base[Montante],Base[Fornecedor],$A633&amp;"",Base[Ano],J$4)</f>
        <v/>
      </c>
      <c r="K633" s="12">
        <f>SUM(D633:J633)</f>
        <v/>
      </c>
    </row>
    <row r="634">
      <c r="A634" s="5" t="n">
        <v>101427</v>
      </c>
      <c r="B634" s="5" t="inlineStr">
        <is>
          <t>TRIBUNAL REGIONAL FEDERAL 3 REGIAO</t>
        </is>
      </c>
      <c r="C634" s="5">
        <f>IFERROR(INDEX(DePara[Categoria],MATCH(TEXT(A634,"0"),DePara[Fornecedor_txt],0)),"(sem categoria)")</f>
        <v/>
      </c>
      <c r="D634" s="12">
        <f>SUMIFS(Base[Montante],Base[Fornecedor],$A634&amp;"",Base[Ano],D$4)</f>
        <v/>
      </c>
      <c r="E634" s="12">
        <f>SUMIFS(Base[Montante],Base[Fornecedor],$A634&amp;"",Base[Ano],E$4)</f>
        <v/>
      </c>
      <c r="F634" s="12">
        <f>SUMIFS(Base[Montante],Base[Fornecedor],$A634&amp;"",Base[Ano],F$4)</f>
        <v/>
      </c>
      <c r="G634" s="12">
        <f>SUMIFS(Base[Montante],Base[Fornecedor],$A634&amp;"",Base[Ano],G$4)</f>
        <v/>
      </c>
      <c r="H634" s="12">
        <f>SUMIFS(Base[Montante],Base[Fornecedor],$A634&amp;"",Base[Ano],H$4)</f>
        <v/>
      </c>
      <c r="I634" s="12">
        <f>SUMIFS(Base[Montante],Base[Fornecedor],$A634&amp;"",Base[Ano],I$4)</f>
        <v/>
      </c>
      <c r="J634" s="12">
        <f>SUMIFS(Base[Montante],Base[Fornecedor],$A634&amp;"",Base[Ano],J$4)</f>
        <v/>
      </c>
      <c r="K634" s="12">
        <f>SUM(D634:J634)</f>
        <v/>
      </c>
    </row>
    <row r="635">
      <c r="A635" s="5" t="n">
        <v>102001</v>
      </c>
      <c r="B635" s="5" t="inlineStr">
        <is>
          <t>TRIBUNAL REGIONAL TRABALHO 21A REGI</t>
        </is>
      </c>
      <c r="C635" s="5">
        <f>IFERROR(INDEX(DePara[Categoria],MATCH(TEXT(A635,"0"),DePara[Fornecedor_txt],0)),"(sem categoria)")</f>
        <v/>
      </c>
      <c r="D635" s="12">
        <f>SUMIFS(Base[Montante],Base[Fornecedor],$A635&amp;"",Base[Ano],D$4)</f>
        <v/>
      </c>
      <c r="E635" s="12">
        <f>SUMIFS(Base[Montante],Base[Fornecedor],$A635&amp;"",Base[Ano],E$4)</f>
        <v/>
      </c>
      <c r="F635" s="12">
        <f>SUMIFS(Base[Montante],Base[Fornecedor],$A635&amp;"",Base[Ano],F$4)</f>
        <v/>
      </c>
      <c r="G635" s="12">
        <f>SUMIFS(Base[Montante],Base[Fornecedor],$A635&amp;"",Base[Ano],G$4)</f>
        <v/>
      </c>
      <c r="H635" s="12">
        <f>SUMIFS(Base[Montante],Base[Fornecedor],$A635&amp;"",Base[Ano],H$4)</f>
        <v/>
      </c>
      <c r="I635" s="12">
        <f>SUMIFS(Base[Montante],Base[Fornecedor],$A635&amp;"",Base[Ano],I$4)</f>
        <v/>
      </c>
      <c r="J635" s="12">
        <f>SUMIFS(Base[Montante],Base[Fornecedor],$A635&amp;"",Base[Ano],J$4)</f>
        <v/>
      </c>
      <c r="K635" s="12">
        <f>SUM(D635:J635)</f>
        <v/>
      </c>
    </row>
    <row r="636">
      <c r="A636" s="5" t="n">
        <v>101359</v>
      </c>
      <c r="B636" s="5" t="inlineStr">
        <is>
          <t>TRIBUNAL REGIONAL TRABALHO 5A REGIA</t>
        </is>
      </c>
      <c r="C636" s="5">
        <f>IFERROR(INDEX(DePara[Categoria],MATCH(TEXT(A636,"0"),DePara[Fornecedor_txt],0)),"(sem categoria)")</f>
        <v/>
      </c>
      <c r="D636" s="12">
        <f>SUMIFS(Base[Montante],Base[Fornecedor],$A636&amp;"",Base[Ano],D$4)</f>
        <v/>
      </c>
      <c r="E636" s="12">
        <f>SUMIFS(Base[Montante],Base[Fornecedor],$A636&amp;"",Base[Ano],E$4)</f>
        <v/>
      </c>
      <c r="F636" s="12">
        <f>SUMIFS(Base[Montante],Base[Fornecedor],$A636&amp;"",Base[Ano],F$4)</f>
        <v/>
      </c>
      <c r="G636" s="12">
        <f>SUMIFS(Base[Montante],Base[Fornecedor],$A636&amp;"",Base[Ano],G$4)</f>
        <v/>
      </c>
      <c r="H636" s="12">
        <f>SUMIFS(Base[Montante],Base[Fornecedor],$A636&amp;"",Base[Ano],H$4)</f>
        <v/>
      </c>
      <c r="I636" s="12">
        <f>SUMIFS(Base[Montante],Base[Fornecedor],$A636&amp;"",Base[Ano],I$4)</f>
        <v/>
      </c>
      <c r="J636" s="12">
        <f>SUMIFS(Base[Montante],Base[Fornecedor],$A636&amp;"",Base[Ano],J$4)</f>
        <v/>
      </c>
      <c r="K636" s="12">
        <f>SUM(D636:J636)</f>
        <v/>
      </c>
    </row>
    <row r="637">
      <c r="A637" s="5" t="n">
        <v>103756</v>
      </c>
      <c r="B637" s="5" t="inlineStr">
        <is>
          <t>TW TRANSPORTES E LOGISTICA LTDA</t>
        </is>
      </c>
      <c r="C637" s="5">
        <f>IFERROR(INDEX(DePara[Categoria],MATCH(TEXT(A637,"0"),DePara[Fornecedor_txt],0)),"(sem categoria)")</f>
        <v/>
      </c>
      <c r="D637" s="12">
        <f>SUMIFS(Base[Montante],Base[Fornecedor],$A637&amp;"",Base[Ano],D$4)</f>
        <v/>
      </c>
      <c r="E637" s="12">
        <f>SUMIFS(Base[Montante],Base[Fornecedor],$A637&amp;"",Base[Ano],E$4)</f>
        <v/>
      </c>
      <c r="F637" s="12">
        <f>SUMIFS(Base[Montante],Base[Fornecedor],$A637&amp;"",Base[Ano],F$4)</f>
        <v/>
      </c>
      <c r="G637" s="12">
        <f>SUMIFS(Base[Montante],Base[Fornecedor],$A637&amp;"",Base[Ano],G$4)</f>
        <v/>
      </c>
      <c r="H637" s="12">
        <f>SUMIFS(Base[Montante],Base[Fornecedor],$A637&amp;"",Base[Ano],H$4)</f>
        <v/>
      </c>
      <c r="I637" s="12">
        <f>SUMIFS(Base[Montante],Base[Fornecedor],$A637&amp;"",Base[Ano],I$4)</f>
        <v/>
      </c>
      <c r="J637" s="12">
        <f>SUMIFS(Base[Montante],Base[Fornecedor],$A637&amp;"",Base[Ano],J$4)</f>
        <v/>
      </c>
      <c r="K637" s="12">
        <f>SUM(D637:J637)</f>
        <v/>
      </c>
    </row>
    <row r="638">
      <c r="A638" s="5" t="n">
        <v>100149</v>
      </c>
      <c r="B638" s="5" t="inlineStr">
        <is>
          <t>ULTRATECH MONTAGEM E MANUTENCAO LTD</t>
        </is>
      </c>
      <c r="C638" s="5">
        <f>IFERROR(INDEX(DePara[Categoria],MATCH(TEXT(A638,"0"),DePara[Fornecedor_txt],0)),"(sem categoria)")</f>
        <v/>
      </c>
      <c r="D638" s="12">
        <f>SUMIFS(Base[Montante],Base[Fornecedor],$A638&amp;"",Base[Ano],D$4)</f>
        <v/>
      </c>
      <c r="E638" s="12">
        <f>SUMIFS(Base[Montante],Base[Fornecedor],$A638&amp;"",Base[Ano],E$4)</f>
        <v/>
      </c>
      <c r="F638" s="12">
        <f>SUMIFS(Base[Montante],Base[Fornecedor],$A638&amp;"",Base[Ano],F$4)</f>
        <v/>
      </c>
      <c r="G638" s="12">
        <f>SUMIFS(Base[Montante],Base[Fornecedor],$A638&amp;"",Base[Ano],G$4)</f>
        <v/>
      </c>
      <c r="H638" s="12">
        <f>SUMIFS(Base[Montante],Base[Fornecedor],$A638&amp;"",Base[Ano],H$4)</f>
        <v/>
      </c>
      <c r="I638" s="12">
        <f>SUMIFS(Base[Montante],Base[Fornecedor],$A638&amp;"",Base[Ano],I$4)</f>
        <v/>
      </c>
      <c r="J638" s="12">
        <f>SUMIFS(Base[Montante],Base[Fornecedor],$A638&amp;"",Base[Ano],J$4)</f>
        <v/>
      </c>
      <c r="K638" s="12">
        <f>SUM(D638:J638)</f>
        <v/>
      </c>
    </row>
    <row r="639">
      <c r="A639" s="5" t="n">
        <v>101687</v>
      </c>
      <c r="B639" s="5" t="inlineStr">
        <is>
          <t>UNIAO EDUCACIONAL T IMPACTA U IMPAC</t>
        </is>
      </c>
      <c r="C639" s="5">
        <f>IFERROR(INDEX(DePara[Categoria],MATCH(TEXT(A639,"0"),DePara[Fornecedor_txt],0)),"(sem categoria)")</f>
        <v/>
      </c>
      <c r="D639" s="12">
        <f>SUMIFS(Base[Montante],Base[Fornecedor],$A639&amp;"",Base[Ano],D$4)</f>
        <v/>
      </c>
      <c r="E639" s="12">
        <f>SUMIFS(Base[Montante],Base[Fornecedor],$A639&amp;"",Base[Ano],E$4)</f>
        <v/>
      </c>
      <c r="F639" s="12">
        <f>SUMIFS(Base[Montante],Base[Fornecedor],$A639&amp;"",Base[Ano],F$4)</f>
        <v/>
      </c>
      <c r="G639" s="12">
        <f>SUMIFS(Base[Montante],Base[Fornecedor],$A639&amp;"",Base[Ano],G$4)</f>
        <v/>
      </c>
      <c r="H639" s="12">
        <f>SUMIFS(Base[Montante],Base[Fornecedor],$A639&amp;"",Base[Ano],H$4)</f>
        <v/>
      </c>
      <c r="I639" s="12">
        <f>SUMIFS(Base[Montante],Base[Fornecedor],$A639&amp;"",Base[Ano],I$4)</f>
        <v/>
      </c>
      <c r="J639" s="12">
        <f>SUMIFS(Base[Montante],Base[Fornecedor],$A639&amp;"",Base[Ano],J$4)</f>
        <v/>
      </c>
      <c r="K639" s="12">
        <f>SUM(D639:J639)</f>
        <v/>
      </c>
    </row>
    <row r="640">
      <c r="A640" s="5" t="n">
        <v>101689</v>
      </c>
      <c r="B640" s="5" t="inlineStr">
        <is>
          <t>UNILINK TRANSPORTES INTEGRADOS LTDA</t>
        </is>
      </c>
      <c r="C640" s="5">
        <f>IFERROR(INDEX(DePara[Categoria],MATCH(TEXT(A640,"0"),DePara[Fornecedor_txt],0)),"(sem categoria)")</f>
        <v/>
      </c>
      <c r="D640" s="12">
        <f>SUMIFS(Base[Montante],Base[Fornecedor],$A640&amp;"",Base[Ano],D$4)</f>
        <v/>
      </c>
      <c r="E640" s="12">
        <f>SUMIFS(Base[Montante],Base[Fornecedor],$A640&amp;"",Base[Ano],E$4)</f>
        <v/>
      </c>
      <c r="F640" s="12">
        <f>SUMIFS(Base[Montante],Base[Fornecedor],$A640&amp;"",Base[Ano],F$4)</f>
        <v/>
      </c>
      <c r="G640" s="12">
        <f>SUMIFS(Base[Montante],Base[Fornecedor],$A640&amp;"",Base[Ano],G$4)</f>
        <v/>
      </c>
      <c r="H640" s="12">
        <f>SUMIFS(Base[Montante],Base[Fornecedor],$A640&amp;"",Base[Ano],H$4)</f>
        <v/>
      </c>
      <c r="I640" s="12">
        <f>SUMIFS(Base[Montante],Base[Fornecedor],$A640&amp;"",Base[Ano],I$4)</f>
        <v/>
      </c>
      <c r="J640" s="12">
        <f>SUMIFS(Base[Montante],Base[Fornecedor],$A640&amp;"",Base[Ano],J$4)</f>
        <v/>
      </c>
      <c r="K640" s="12">
        <f>SUM(D640:J640)</f>
        <v/>
      </c>
    </row>
    <row r="641">
      <c r="A641" s="5" t="n">
        <v>100908</v>
      </c>
      <c r="B641" s="5" t="inlineStr">
        <is>
          <t>Unimacts Global LLC</t>
        </is>
      </c>
      <c r="C641" s="5">
        <f>IFERROR(INDEX(DePara[Categoria],MATCH(TEXT(A641,"0"),DePara[Fornecedor_txt],0)),"(sem categoria)")</f>
        <v/>
      </c>
      <c r="D641" s="12">
        <f>SUMIFS(Base[Montante],Base[Fornecedor],$A641&amp;"",Base[Ano],D$4)</f>
        <v/>
      </c>
      <c r="E641" s="12">
        <f>SUMIFS(Base[Montante],Base[Fornecedor],$A641&amp;"",Base[Ano],E$4)</f>
        <v/>
      </c>
      <c r="F641" s="12">
        <f>SUMIFS(Base[Montante],Base[Fornecedor],$A641&amp;"",Base[Ano],F$4)</f>
        <v/>
      </c>
      <c r="G641" s="12">
        <f>SUMIFS(Base[Montante],Base[Fornecedor],$A641&amp;"",Base[Ano],G$4)</f>
        <v/>
      </c>
      <c r="H641" s="12">
        <f>SUMIFS(Base[Montante],Base[Fornecedor],$A641&amp;"",Base[Ano],H$4)</f>
        <v/>
      </c>
      <c r="I641" s="12">
        <f>SUMIFS(Base[Montante],Base[Fornecedor],$A641&amp;"",Base[Ano],I$4)</f>
        <v/>
      </c>
      <c r="J641" s="12">
        <f>SUMIFS(Base[Montante],Base[Fornecedor],$A641&amp;"",Base[Ano],J$4)</f>
        <v/>
      </c>
      <c r="K641" s="12">
        <f>SUM(D641:J641)</f>
        <v/>
      </c>
    </row>
    <row r="642">
      <c r="A642" s="5" t="n">
        <v>101271</v>
      </c>
      <c r="B642" s="5" t="inlineStr">
        <is>
          <t>UNYVERSE PTE LTD</t>
        </is>
      </c>
      <c r="C642" s="5">
        <f>IFERROR(INDEX(DePara[Categoria],MATCH(TEXT(A642,"0"),DePara[Fornecedor_txt],0)),"(sem categoria)")</f>
        <v/>
      </c>
      <c r="D642" s="12">
        <f>SUMIFS(Base[Montante],Base[Fornecedor],$A642&amp;"",Base[Ano],D$4)</f>
        <v/>
      </c>
      <c r="E642" s="12">
        <f>SUMIFS(Base[Montante],Base[Fornecedor],$A642&amp;"",Base[Ano],E$4)</f>
        <v/>
      </c>
      <c r="F642" s="12">
        <f>SUMIFS(Base[Montante],Base[Fornecedor],$A642&amp;"",Base[Ano],F$4)</f>
        <v/>
      </c>
      <c r="G642" s="12">
        <f>SUMIFS(Base[Montante],Base[Fornecedor],$A642&amp;"",Base[Ano],G$4)</f>
        <v/>
      </c>
      <c r="H642" s="12">
        <f>SUMIFS(Base[Montante],Base[Fornecedor],$A642&amp;"",Base[Ano],H$4)</f>
        <v/>
      </c>
      <c r="I642" s="12">
        <f>SUMIFS(Base[Montante],Base[Fornecedor],$A642&amp;"",Base[Ano],I$4)</f>
        <v/>
      </c>
      <c r="J642" s="12">
        <f>SUMIFS(Base[Montante],Base[Fornecedor],$A642&amp;"",Base[Ano],J$4)</f>
        <v/>
      </c>
      <c r="K642" s="12">
        <f>SUM(D642:J642)</f>
        <v/>
      </c>
    </row>
    <row r="643">
      <c r="A643" s="5" t="n">
        <v>101878</v>
      </c>
      <c r="B643" s="5" t="inlineStr">
        <is>
          <t>UPLOG TRANSPORTES E LOGISTICA EIREL</t>
        </is>
      </c>
      <c r="C643" s="5">
        <f>IFERROR(INDEX(DePara[Categoria],MATCH(TEXT(A643,"0"),DePara[Fornecedor_txt],0)),"(sem categoria)")</f>
        <v/>
      </c>
      <c r="D643" s="12">
        <f>SUMIFS(Base[Montante],Base[Fornecedor],$A643&amp;"",Base[Ano],D$4)</f>
        <v/>
      </c>
      <c r="E643" s="12">
        <f>SUMIFS(Base[Montante],Base[Fornecedor],$A643&amp;"",Base[Ano],E$4)</f>
        <v/>
      </c>
      <c r="F643" s="12">
        <f>SUMIFS(Base[Montante],Base[Fornecedor],$A643&amp;"",Base[Ano],F$4)</f>
        <v/>
      </c>
      <c r="G643" s="12">
        <f>SUMIFS(Base[Montante],Base[Fornecedor],$A643&amp;"",Base[Ano],G$4)</f>
        <v/>
      </c>
      <c r="H643" s="12">
        <f>SUMIFS(Base[Montante],Base[Fornecedor],$A643&amp;"",Base[Ano],H$4)</f>
        <v/>
      </c>
      <c r="I643" s="12">
        <f>SUMIFS(Base[Montante],Base[Fornecedor],$A643&amp;"",Base[Ano],I$4)</f>
        <v/>
      </c>
      <c r="J643" s="12">
        <f>SUMIFS(Base[Montante],Base[Fornecedor],$A643&amp;"",Base[Ano],J$4)</f>
        <v/>
      </c>
      <c r="K643" s="12">
        <f>SUM(D643:J643)</f>
        <v/>
      </c>
    </row>
    <row r="644">
      <c r="A644" s="5" t="inlineStr">
        <is>
          <t>EM000532</t>
        </is>
      </c>
      <c r="B644" s="5" t="inlineStr">
        <is>
          <t>VALDIRENE MESSONES PINTO DA SILVA</t>
        </is>
      </c>
      <c r="C644" s="5">
        <f>IFERROR(INDEX(DePara[Categoria],MATCH(TEXT(A644,"0"),DePara[Fornecedor_txt],0)),"(sem categoria)")</f>
        <v/>
      </c>
      <c r="D644" s="12">
        <f>SUMIFS(Base[Montante],Base[Fornecedor],$A644&amp;"",Base[Ano],D$4)</f>
        <v/>
      </c>
      <c r="E644" s="12">
        <f>SUMIFS(Base[Montante],Base[Fornecedor],$A644&amp;"",Base[Ano],E$4)</f>
        <v/>
      </c>
      <c r="F644" s="12">
        <f>SUMIFS(Base[Montante],Base[Fornecedor],$A644&amp;"",Base[Ano],F$4)</f>
        <v/>
      </c>
      <c r="G644" s="12">
        <f>SUMIFS(Base[Montante],Base[Fornecedor],$A644&amp;"",Base[Ano],G$4)</f>
        <v/>
      </c>
      <c r="H644" s="12">
        <f>SUMIFS(Base[Montante],Base[Fornecedor],$A644&amp;"",Base[Ano],H$4)</f>
        <v/>
      </c>
      <c r="I644" s="12">
        <f>SUMIFS(Base[Montante],Base[Fornecedor],$A644&amp;"",Base[Ano],I$4)</f>
        <v/>
      </c>
      <c r="J644" s="12">
        <f>SUMIFS(Base[Montante],Base[Fornecedor],$A644&amp;"",Base[Ano],J$4)</f>
        <v/>
      </c>
      <c r="K644" s="12">
        <f>SUM(D644:J644)</f>
        <v/>
      </c>
    </row>
    <row r="645">
      <c r="A645" s="5" t="inlineStr">
        <is>
          <t>EM003090</t>
        </is>
      </c>
      <c r="B645" s="5" t="inlineStr">
        <is>
          <t>VALQUIRIA STRAHLR DA SILVA</t>
        </is>
      </c>
      <c r="C645" s="5">
        <f>IFERROR(INDEX(DePara[Categoria],MATCH(TEXT(A645,"0"),DePara[Fornecedor_txt],0)),"(sem categoria)")</f>
        <v/>
      </c>
      <c r="D645" s="12">
        <f>SUMIFS(Base[Montante],Base[Fornecedor],$A645&amp;"",Base[Ano],D$4)</f>
        <v/>
      </c>
      <c r="E645" s="12">
        <f>SUMIFS(Base[Montante],Base[Fornecedor],$A645&amp;"",Base[Ano],E$4)</f>
        <v/>
      </c>
      <c r="F645" s="12">
        <f>SUMIFS(Base[Montante],Base[Fornecedor],$A645&amp;"",Base[Ano],F$4)</f>
        <v/>
      </c>
      <c r="G645" s="12">
        <f>SUMIFS(Base[Montante],Base[Fornecedor],$A645&amp;"",Base[Ano],G$4)</f>
        <v/>
      </c>
      <c r="H645" s="12">
        <f>SUMIFS(Base[Montante],Base[Fornecedor],$A645&amp;"",Base[Ano],H$4)</f>
        <v/>
      </c>
      <c r="I645" s="12">
        <f>SUMIFS(Base[Montante],Base[Fornecedor],$A645&amp;"",Base[Ano],I$4)</f>
        <v/>
      </c>
      <c r="J645" s="12">
        <f>SUMIFS(Base[Montante],Base[Fornecedor],$A645&amp;"",Base[Ano],J$4)</f>
        <v/>
      </c>
      <c r="K645" s="12">
        <f>SUM(D645:J645)</f>
        <v/>
      </c>
    </row>
    <row r="646">
      <c r="A646" s="5" t="inlineStr">
        <is>
          <t>EM000281</t>
        </is>
      </c>
      <c r="B646" s="5" t="inlineStr">
        <is>
          <t>VANESSA REGINA DE CAMARGO</t>
        </is>
      </c>
      <c r="C646" s="5">
        <f>IFERROR(INDEX(DePara[Categoria],MATCH(TEXT(A646,"0"),DePara[Fornecedor_txt],0)),"(sem categoria)")</f>
        <v/>
      </c>
      <c r="D646" s="12">
        <f>SUMIFS(Base[Montante],Base[Fornecedor],$A646&amp;"",Base[Ano],D$4)</f>
        <v/>
      </c>
      <c r="E646" s="12">
        <f>SUMIFS(Base[Montante],Base[Fornecedor],$A646&amp;"",Base[Ano],E$4)</f>
        <v/>
      </c>
      <c r="F646" s="12">
        <f>SUMIFS(Base[Montante],Base[Fornecedor],$A646&amp;"",Base[Ano],F$4)</f>
        <v/>
      </c>
      <c r="G646" s="12">
        <f>SUMIFS(Base[Montante],Base[Fornecedor],$A646&amp;"",Base[Ano],G$4)</f>
        <v/>
      </c>
      <c r="H646" s="12">
        <f>SUMIFS(Base[Montante],Base[Fornecedor],$A646&amp;"",Base[Ano],H$4)</f>
        <v/>
      </c>
      <c r="I646" s="12">
        <f>SUMIFS(Base[Montante],Base[Fornecedor],$A646&amp;"",Base[Ano],I$4)</f>
        <v/>
      </c>
      <c r="J646" s="12">
        <f>SUMIFS(Base[Montante],Base[Fornecedor],$A646&amp;"",Base[Ano],J$4)</f>
        <v/>
      </c>
      <c r="K646" s="12">
        <f>SUM(D646:J646)</f>
        <v/>
      </c>
    </row>
    <row r="647">
      <c r="A647" s="5" t="n">
        <v>101714</v>
      </c>
      <c r="B647" s="5" t="inlineStr">
        <is>
          <t>VCI DO BRASIL IND E COMERC DE COMP</t>
        </is>
      </c>
      <c r="C647" s="5">
        <f>IFERROR(INDEX(DePara[Categoria],MATCH(TEXT(A647,"0"),DePara[Fornecedor_txt],0)),"(sem categoria)")</f>
        <v/>
      </c>
      <c r="D647" s="12">
        <f>SUMIFS(Base[Montante],Base[Fornecedor],$A647&amp;"",Base[Ano],D$4)</f>
        <v/>
      </c>
      <c r="E647" s="12">
        <f>SUMIFS(Base[Montante],Base[Fornecedor],$A647&amp;"",Base[Ano],E$4)</f>
        <v/>
      </c>
      <c r="F647" s="12">
        <f>SUMIFS(Base[Montante],Base[Fornecedor],$A647&amp;"",Base[Ano],F$4)</f>
        <v/>
      </c>
      <c r="G647" s="12">
        <f>SUMIFS(Base[Montante],Base[Fornecedor],$A647&amp;"",Base[Ano],G$4)</f>
        <v/>
      </c>
      <c r="H647" s="12">
        <f>SUMIFS(Base[Montante],Base[Fornecedor],$A647&amp;"",Base[Ano],H$4)</f>
        <v/>
      </c>
      <c r="I647" s="12">
        <f>SUMIFS(Base[Montante],Base[Fornecedor],$A647&amp;"",Base[Ano],I$4)</f>
        <v/>
      </c>
      <c r="J647" s="12">
        <f>SUMIFS(Base[Montante],Base[Fornecedor],$A647&amp;"",Base[Ano],J$4)</f>
        <v/>
      </c>
      <c r="K647" s="12">
        <f>SUM(D647:J647)</f>
        <v/>
      </c>
    </row>
    <row r="648">
      <c r="A648" s="5" t="inlineStr">
        <is>
          <t>EM003695</t>
        </is>
      </c>
      <c r="B648" s="5" t="inlineStr">
        <is>
          <t>Veranilson Santana da silva</t>
        </is>
      </c>
      <c r="C648" s="5">
        <f>IFERROR(INDEX(DePara[Categoria],MATCH(TEXT(A648,"0"),DePara[Fornecedor_txt],0)),"(sem categoria)")</f>
        <v/>
      </c>
      <c r="D648" s="12">
        <f>SUMIFS(Base[Montante],Base[Fornecedor],$A648&amp;"",Base[Ano],D$4)</f>
        <v/>
      </c>
      <c r="E648" s="12">
        <f>SUMIFS(Base[Montante],Base[Fornecedor],$A648&amp;"",Base[Ano],E$4)</f>
        <v/>
      </c>
      <c r="F648" s="12">
        <f>SUMIFS(Base[Montante],Base[Fornecedor],$A648&amp;"",Base[Ano],F$4)</f>
        <v/>
      </c>
      <c r="G648" s="12">
        <f>SUMIFS(Base[Montante],Base[Fornecedor],$A648&amp;"",Base[Ano],G$4)</f>
        <v/>
      </c>
      <c r="H648" s="12">
        <f>SUMIFS(Base[Montante],Base[Fornecedor],$A648&amp;"",Base[Ano],H$4)</f>
        <v/>
      </c>
      <c r="I648" s="12">
        <f>SUMIFS(Base[Montante],Base[Fornecedor],$A648&amp;"",Base[Ano],I$4)</f>
        <v/>
      </c>
      <c r="J648" s="12">
        <f>SUMIFS(Base[Montante],Base[Fornecedor],$A648&amp;"",Base[Ano],J$4)</f>
        <v/>
      </c>
      <c r="K648" s="12">
        <f>SUM(D648:J648)</f>
        <v/>
      </c>
    </row>
    <row r="649">
      <c r="A649" s="5" t="inlineStr">
        <is>
          <t>EM000417</t>
        </is>
      </c>
      <c r="B649" s="5" t="inlineStr">
        <is>
          <t>VICTOR DOS SANTOS DE JESUS</t>
        </is>
      </c>
      <c r="C649" s="5">
        <f>IFERROR(INDEX(DePara[Categoria],MATCH(TEXT(A649,"0"),DePara[Fornecedor_txt],0)),"(sem categoria)")</f>
        <v/>
      </c>
      <c r="D649" s="12">
        <f>SUMIFS(Base[Montante],Base[Fornecedor],$A649&amp;"",Base[Ano],D$4)</f>
        <v/>
      </c>
      <c r="E649" s="12">
        <f>SUMIFS(Base[Montante],Base[Fornecedor],$A649&amp;"",Base[Ano],E$4)</f>
        <v/>
      </c>
      <c r="F649" s="12">
        <f>SUMIFS(Base[Montante],Base[Fornecedor],$A649&amp;"",Base[Ano],F$4)</f>
        <v/>
      </c>
      <c r="G649" s="12">
        <f>SUMIFS(Base[Montante],Base[Fornecedor],$A649&amp;"",Base[Ano],G$4)</f>
        <v/>
      </c>
      <c r="H649" s="12">
        <f>SUMIFS(Base[Montante],Base[Fornecedor],$A649&amp;"",Base[Ano],H$4)</f>
        <v/>
      </c>
      <c r="I649" s="12">
        <f>SUMIFS(Base[Montante],Base[Fornecedor],$A649&amp;"",Base[Ano],I$4)</f>
        <v/>
      </c>
      <c r="J649" s="12">
        <f>SUMIFS(Base[Montante],Base[Fornecedor],$A649&amp;"",Base[Ano],J$4)</f>
        <v/>
      </c>
      <c r="K649" s="12">
        <f>SUM(D649:J649)</f>
        <v/>
      </c>
    </row>
    <row r="650">
      <c r="A650" s="5" t="inlineStr">
        <is>
          <t>EM000055</t>
        </is>
      </c>
      <c r="B650" s="5" t="inlineStr">
        <is>
          <t>VINICIUS MECCHI SILVA</t>
        </is>
      </c>
      <c r="C650" s="5">
        <f>IFERROR(INDEX(DePara[Categoria],MATCH(TEXT(A650,"0"),DePara[Fornecedor_txt],0)),"(sem categoria)")</f>
        <v/>
      </c>
      <c r="D650" s="12">
        <f>SUMIFS(Base[Montante],Base[Fornecedor],$A650&amp;"",Base[Ano],D$4)</f>
        <v/>
      </c>
      <c r="E650" s="12">
        <f>SUMIFS(Base[Montante],Base[Fornecedor],$A650&amp;"",Base[Ano],E$4)</f>
        <v/>
      </c>
      <c r="F650" s="12">
        <f>SUMIFS(Base[Montante],Base[Fornecedor],$A650&amp;"",Base[Ano],F$4)</f>
        <v/>
      </c>
      <c r="G650" s="12">
        <f>SUMIFS(Base[Montante],Base[Fornecedor],$A650&amp;"",Base[Ano],G$4)</f>
        <v/>
      </c>
      <c r="H650" s="12">
        <f>SUMIFS(Base[Montante],Base[Fornecedor],$A650&amp;"",Base[Ano],H$4)</f>
        <v/>
      </c>
      <c r="I650" s="12">
        <f>SUMIFS(Base[Montante],Base[Fornecedor],$A650&amp;"",Base[Ano],I$4)</f>
        <v/>
      </c>
      <c r="J650" s="12">
        <f>SUMIFS(Base[Montante],Base[Fornecedor],$A650&amp;"",Base[Ano],J$4)</f>
        <v/>
      </c>
      <c r="K650" s="12">
        <f>SUM(D650:J650)</f>
        <v/>
      </c>
    </row>
    <row r="651">
      <c r="A651" s="5" t="inlineStr">
        <is>
          <t>EM000326</t>
        </is>
      </c>
      <c r="B651" s="5" t="inlineStr">
        <is>
          <t>VITOR ARAUJO DOS SANTOS</t>
        </is>
      </c>
      <c r="C651" s="5">
        <f>IFERROR(INDEX(DePara[Categoria],MATCH(TEXT(A651,"0"),DePara[Fornecedor_txt],0)),"(sem categoria)")</f>
        <v/>
      </c>
      <c r="D651" s="12">
        <f>SUMIFS(Base[Montante],Base[Fornecedor],$A651&amp;"",Base[Ano],D$4)</f>
        <v/>
      </c>
      <c r="E651" s="12">
        <f>SUMIFS(Base[Montante],Base[Fornecedor],$A651&amp;"",Base[Ano],E$4)</f>
        <v/>
      </c>
      <c r="F651" s="12">
        <f>SUMIFS(Base[Montante],Base[Fornecedor],$A651&amp;"",Base[Ano],F$4)</f>
        <v/>
      </c>
      <c r="G651" s="12">
        <f>SUMIFS(Base[Montante],Base[Fornecedor],$A651&amp;"",Base[Ano],G$4)</f>
        <v/>
      </c>
      <c r="H651" s="12">
        <f>SUMIFS(Base[Montante],Base[Fornecedor],$A651&amp;"",Base[Ano],H$4)</f>
        <v/>
      </c>
      <c r="I651" s="12">
        <f>SUMIFS(Base[Montante],Base[Fornecedor],$A651&amp;"",Base[Ano],I$4)</f>
        <v/>
      </c>
      <c r="J651" s="12">
        <f>SUMIFS(Base[Montante],Base[Fornecedor],$A651&amp;"",Base[Ano],J$4)</f>
        <v/>
      </c>
      <c r="K651" s="12">
        <f>SUM(D651:J651)</f>
        <v/>
      </c>
    </row>
    <row r="652">
      <c r="A652" s="5" t="inlineStr">
        <is>
          <t>EM000058</t>
        </is>
      </c>
      <c r="B652" s="5" t="inlineStr">
        <is>
          <t>VITOR DE CASTRO SANTOS</t>
        </is>
      </c>
      <c r="C652" s="5">
        <f>IFERROR(INDEX(DePara[Categoria],MATCH(TEXT(A652,"0"),DePara[Fornecedor_txt],0)),"(sem categoria)")</f>
        <v/>
      </c>
      <c r="D652" s="12">
        <f>SUMIFS(Base[Montante],Base[Fornecedor],$A652&amp;"",Base[Ano],D$4)</f>
        <v/>
      </c>
      <c r="E652" s="12">
        <f>SUMIFS(Base[Montante],Base[Fornecedor],$A652&amp;"",Base[Ano],E$4)</f>
        <v/>
      </c>
      <c r="F652" s="12">
        <f>SUMIFS(Base[Montante],Base[Fornecedor],$A652&amp;"",Base[Ano],F$4)</f>
        <v/>
      </c>
      <c r="G652" s="12">
        <f>SUMIFS(Base[Montante],Base[Fornecedor],$A652&amp;"",Base[Ano],G$4)</f>
        <v/>
      </c>
      <c r="H652" s="12">
        <f>SUMIFS(Base[Montante],Base[Fornecedor],$A652&amp;"",Base[Ano],H$4)</f>
        <v/>
      </c>
      <c r="I652" s="12">
        <f>SUMIFS(Base[Montante],Base[Fornecedor],$A652&amp;"",Base[Ano],I$4)</f>
        <v/>
      </c>
      <c r="J652" s="12">
        <f>SUMIFS(Base[Montante],Base[Fornecedor],$A652&amp;"",Base[Ano],J$4)</f>
        <v/>
      </c>
      <c r="K652" s="12">
        <f>SUM(D652:J652)</f>
        <v/>
      </c>
    </row>
    <row r="653">
      <c r="A653" s="5" t="inlineStr">
        <is>
          <t>EM000970</t>
        </is>
      </c>
      <c r="B653" s="5" t="inlineStr">
        <is>
          <t>VIVIANE PEIXOTO GOMES</t>
        </is>
      </c>
      <c r="C653" s="5">
        <f>IFERROR(INDEX(DePara[Categoria],MATCH(TEXT(A653,"0"),DePara[Fornecedor_txt],0)),"(sem categoria)")</f>
        <v/>
      </c>
      <c r="D653" s="12">
        <f>SUMIFS(Base[Montante],Base[Fornecedor],$A653&amp;"",Base[Ano],D$4)</f>
        <v/>
      </c>
      <c r="E653" s="12">
        <f>SUMIFS(Base[Montante],Base[Fornecedor],$A653&amp;"",Base[Ano],E$4)</f>
        <v/>
      </c>
      <c r="F653" s="12">
        <f>SUMIFS(Base[Montante],Base[Fornecedor],$A653&amp;"",Base[Ano],F$4)</f>
        <v/>
      </c>
      <c r="G653" s="12">
        <f>SUMIFS(Base[Montante],Base[Fornecedor],$A653&amp;"",Base[Ano],G$4)</f>
        <v/>
      </c>
      <c r="H653" s="12">
        <f>SUMIFS(Base[Montante],Base[Fornecedor],$A653&amp;"",Base[Ano],H$4)</f>
        <v/>
      </c>
      <c r="I653" s="12">
        <f>SUMIFS(Base[Montante],Base[Fornecedor],$A653&amp;"",Base[Ano],I$4)</f>
        <v/>
      </c>
      <c r="J653" s="12">
        <f>SUMIFS(Base[Montante],Base[Fornecedor],$A653&amp;"",Base[Ano],J$4)</f>
        <v/>
      </c>
      <c r="K653" s="12">
        <f>SUM(D653:J653)</f>
        <v/>
      </c>
    </row>
    <row r="654">
      <c r="A654" s="5" t="n">
        <v>100961</v>
      </c>
      <c r="B654" s="5" t="inlineStr">
        <is>
          <t>VPS BRASIL SUPRIMENTOS INDUSTRIAIS</t>
        </is>
      </c>
      <c r="C654" s="5">
        <f>IFERROR(INDEX(DePara[Categoria],MATCH(TEXT(A654,"0"),DePara[Fornecedor_txt],0)),"(sem categoria)")</f>
        <v/>
      </c>
      <c r="D654" s="12">
        <f>SUMIFS(Base[Montante],Base[Fornecedor],$A654&amp;"",Base[Ano],D$4)</f>
        <v/>
      </c>
      <c r="E654" s="12">
        <f>SUMIFS(Base[Montante],Base[Fornecedor],$A654&amp;"",Base[Ano],E$4)</f>
        <v/>
      </c>
      <c r="F654" s="12">
        <f>SUMIFS(Base[Montante],Base[Fornecedor],$A654&amp;"",Base[Ano],F$4)</f>
        <v/>
      </c>
      <c r="G654" s="12">
        <f>SUMIFS(Base[Montante],Base[Fornecedor],$A654&amp;"",Base[Ano],G$4)</f>
        <v/>
      </c>
      <c r="H654" s="12">
        <f>SUMIFS(Base[Montante],Base[Fornecedor],$A654&amp;"",Base[Ano],H$4)</f>
        <v/>
      </c>
      <c r="I654" s="12">
        <f>SUMIFS(Base[Montante],Base[Fornecedor],$A654&amp;"",Base[Ano],I$4)</f>
        <v/>
      </c>
      <c r="J654" s="12">
        <f>SUMIFS(Base[Montante],Base[Fornecedor],$A654&amp;"",Base[Ano],J$4)</f>
        <v/>
      </c>
      <c r="K654" s="12">
        <f>SUM(D654:J654)</f>
        <v/>
      </c>
    </row>
    <row r="655">
      <c r="A655" s="5" t="inlineStr">
        <is>
          <t>EM000394</t>
        </is>
      </c>
      <c r="B655" s="5" t="inlineStr">
        <is>
          <t>WAGNER DELLA FLORA GROSS</t>
        </is>
      </c>
      <c r="C655" s="5">
        <f>IFERROR(INDEX(DePara[Categoria],MATCH(TEXT(A655,"0"),DePara[Fornecedor_txt],0)),"(sem categoria)")</f>
        <v/>
      </c>
      <c r="D655" s="12">
        <f>SUMIFS(Base[Montante],Base[Fornecedor],$A655&amp;"",Base[Ano],D$4)</f>
        <v/>
      </c>
      <c r="E655" s="12">
        <f>SUMIFS(Base[Montante],Base[Fornecedor],$A655&amp;"",Base[Ano],E$4)</f>
        <v/>
      </c>
      <c r="F655" s="12">
        <f>SUMIFS(Base[Montante],Base[Fornecedor],$A655&amp;"",Base[Ano],F$4)</f>
        <v/>
      </c>
      <c r="G655" s="12">
        <f>SUMIFS(Base[Montante],Base[Fornecedor],$A655&amp;"",Base[Ano],G$4)</f>
        <v/>
      </c>
      <c r="H655" s="12">
        <f>SUMIFS(Base[Montante],Base[Fornecedor],$A655&amp;"",Base[Ano],H$4)</f>
        <v/>
      </c>
      <c r="I655" s="12">
        <f>SUMIFS(Base[Montante],Base[Fornecedor],$A655&amp;"",Base[Ano],I$4)</f>
        <v/>
      </c>
      <c r="J655" s="12">
        <f>SUMIFS(Base[Montante],Base[Fornecedor],$A655&amp;"",Base[Ano],J$4)</f>
        <v/>
      </c>
      <c r="K655" s="12">
        <f>SUM(D655:J655)</f>
        <v/>
      </c>
    </row>
    <row r="656">
      <c r="A656" s="5" t="inlineStr">
        <is>
          <t>EM003789</t>
        </is>
      </c>
      <c r="B656" s="5" t="inlineStr">
        <is>
          <t>Wagner Munhoz Pezzopani</t>
        </is>
      </c>
      <c r="C656" s="5">
        <f>IFERROR(INDEX(DePara[Categoria],MATCH(TEXT(A656,"0"),DePara[Fornecedor_txt],0)),"(sem categoria)")</f>
        <v/>
      </c>
      <c r="D656" s="12">
        <f>SUMIFS(Base[Montante],Base[Fornecedor],$A656&amp;"",Base[Ano],D$4)</f>
        <v/>
      </c>
      <c r="E656" s="12">
        <f>SUMIFS(Base[Montante],Base[Fornecedor],$A656&amp;"",Base[Ano],E$4)</f>
        <v/>
      </c>
      <c r="F656" s="12">
        <f>SUMIFS(Base[Montante],Base[Fornecedor],$A656&amp;"",Base[Ano],F$4)</f>
        <v/>
      </c>
      <c r="G656" s="12">
        <f>SUMIFS(Base[Montante],Base[Fornecedor],$A656&amp;"",Base[Ano],G$4)</f>
        <v/>
      </c>
      <c r="H656" s="12">
        <f>SUMIFS(Base[Montante],Base[Fornecedor],$A656&amp;"",Base[Ano],H$4)</f>
        <v/>
      </c>
      <c r="I656" s="12">
        <f>SUMIFS(Base[Montante],Base[Fornecedor],$A656&amp;"",Base[Ano],I$4)</f>
        <v/>
      </c>
      <c r="J656" s="12">
        <f>SUMIFS(Base[Montante],Base[Fornecedor],$A656&amp;"",Base[Ano],J$4)</f>
        <v/>
      </c>
      <c r="K656" s="12">
        <f>SUM(D656:J656)</f>
        <v/>
      </c>
    </row>
    <row r="657">
      <c r="A657" s="5" t="inlineStr">
        <is>
          <t>EM000443</t>
        </is>
      </c>
      <c r="B657" s="5" t="inlineStr">
        <is>
          <t>WAGNER STHALONE SILVA DE MEDEIROS</t>
        </is>
      </c>
      <c r="C657" s="5">
        <f>IFERROR(INDEX(DePara[Categoria],MATCH(TEXT(A657,"0"),DePara[Fornecedor_txt],0)),"(sem categoria)")</f>
        <v/>
      </c>
      <c r="D657" s="12">
        <f>SUMIFS(Base[Montante],Base[Fornecedor],$A657&amp;"",Base[Ano],D$4)</f>
        <v/>
      </c>
      <c r="E657" s="12">
        <f>SUMIFS(Base[Montante],Base[Fornecedor],$A657&amp;"",Base[Ano],E$4)</f>
        <v/>
      </c>
      <c r="F657" s="12">
        <f>SUMIFS(Base[Montante],Base[Fornecedor],$A657&amp;"",Base[Ano],F$4)</f>
        <v/>
      </c>
      <c r="G657" s="12">
        <f>SUMIFS(Base[Montante],Base[Fornecedor],$A657&amp;"",Base[Ano],G$4)</f>
        <v/>
      </c>
      <c r="H657" s="12">
        <f>SUMIFS(Base[Montante],Base[Fornecedor],$A657&amp;"",Base[Ano],H$4)</f>
        <v/>
      </c>
      <c r="I657" s="12">
        <f>SUMIFS(Base[Montante],Base[Fornecedor],$A657&amp;"",Base[Ano],I$4)</f>
        <v/>
      </c>
      <c r="J657" s="12">
        <f>SUMIFS(Base[Montante],Base[Fornecedor],$A657&amp;"",Base[Ano],J$4)</f>
        <v/>
      </c>
      <c r="K657" s="12">
        <f>SUM(D657:J657)</f>
        <v/>
      </c>
    </row>
    <row r="658">
      <c r="A658" s="5" t="n">
        <v>101115</v>
      </c>
      <c r="B658" s="5" t="inlineStr">
        <is>
          <t>WAITMAN &amp; SKOLIMOVSKI ADVOGADOS</t>
        </is>
      </c>
      <c r="C658" s="5">
        <f>IFERROR(INDEX(DePara[Categoria],MATCH(TEXT(A658,"0"),DePara[Fornecedor_txt],0)),"(sem categoria)")</f>
        <v/>
      </c>
      <c r="D658" s="12">
        <f>SUMIFS(Base[Montante],Base[Fornecedor],$A658&amp;"",Base[Ano],D$4)</f>
        <v/>
      </c>
      <c r="E658" s="12">
        <f>SUMIFS(Base[Montante],Base[Fornecedor],$A658&amp;"",Base[Ano],E$4)</f>
        <v/>
      </c>
      <c r="F658" s="12">
        <f>SUMIFS(Base[Montante],Base[Fornecedor],$A658&amp;"",Base[Ano],F$4)</f>
        <v/>
      </c>
      <c r="G658" s="12">
        <f>SUMIFS(Base[Montante],Base[Fornecedor],$A658&amp;"",Base[Ano],G$4)</f>
        <v/>
      </c>
      <c r="H658" s="12">
        <f>SUMIFS(Base[Montante],Base[Fornecedor],$A658&amp;"",Base[Ano],H$4)</f>
        <v/>
      </c>
      <c r="I658" s="12">
        <f>SUMIFS(Base[Montante],Base[Fornecedor],$A658&amp;"",Base[Ano],I$4)</f>
        <v/>
      </c>
      <c r="J658" s="12">
        <f>SUMIFS(Base[Montante],Base[Fornecedor],$A658&amp;"",Base[Ano],J$4)</f>
        <v/>
      </c>
      <c r="K658" s="12">
        <f>SUM(D658:J658)</f>
        <v/>
      </c>
    </row>
    <row r="659">
      <c r="A659" s="5" t="inlineStr">
        <is>
          <t>EM000034</t>
        </is>
      </c>
      <c r="B659" s="5" t="inlineStr">
        <is>
          <t>WALLYSON HENRIQUE VIEIRA GALDINO</t>
        </is>
      </c>
      <c r="C659" s="5">
        <f>IFERROR(INDEX(DePara[Categoria],MATCH(TEXT(A659,"0"),DePara[Fornecedor_txt],0)),"(sem categoria)")</f>
        <v/>
      </c>
      <c r="D659" s="12">
        <f>SUMIFS(Base[Montante],Base[Fornecedor],$A659&amp;"",Base[Ano],D$4)</f>
        <v/>
      </c>
      <c r="E659" s="12">
        <f>SUMIFS(Base[Montante],Base[Fornecedor],$A659&amp;"",Base[Ano],E$4)</f>
        <v/>
      </c>
      <c r="F659" s="12">
        <f>SUMIFS(Base[Montante],Base[Fornecedor],$A659&amp;"",Base[Ano],F$4)</f>
        <v/>
      </c>
      <c r="G659" s="12">
        <f>SUMIFS(Base[Montante],Base[Fornecedor],$A659&amp;"",Base[Ano],G$4)</f>
        <v/>
      </c>
      <c r="H659" s="12">
        <f>SUMIFS(Base[Montante],Base[Fornecedor],$A659&amp;"",Base[Ano],H$4)</f>
        <v/>
      </c>
      <c r="I659" s="12">
        <f>SUMIFS(Base[Montante],Base[Fornecedor],$A659&amp;"",Base[Ano],I$4)</f>
        <v/>
      </c>
      <c r="J659" s="12">
        <f>SUMIFS(Base[Montante],Base[Fornecedor],$A659&amp;"",Base[Ano],J$4)</f>
        <v/>
      </c>
      <c r="K659" s="12">
        <f>SUM(D659:J659)</f>
        <v/>
      </c>
    </row>
    <row r="660">
      <c r="A660" s="5" t="inlineStr">
        <is>
          <t>EM000396</t>
        </is>
      </c>
      <c r="B660" s="5" t="inlineStr">
        <is>
          <t>WALTIRLLEY FERREIRA DA COSTA</t>
        </is>
      </c>
      <c r="C660" s="5">
        <f>IFERROR(INDEX(DePara[Categoria],MATCH(TEXT(A660,"0"),DePara[Fornecedor_txt],0)),"(sem categoria)")</f>
        <v/>
      </c>
      <c r="D660" s="12">
        <f>SUMIFS(Base[Montante],Base[Fornecedor],$A660&amp;"",Base[Ano],D$4)</f>
        <v/>
      </c>
      <c r="E660" s="12">
        <f>SUMIFS(Base[Montante],Base[Fornecedor],$A660&amp;"",Base[Ano],E$4)</f>
        <v/>
      </c>
      <c r="F660" s="12">
        <f>SUMIFS(Base[Montante],Base[Fornecedor],$A660&amp;"",Base[Ano],F$4)</f>
        <v/>
      </c>
      <c r="G660" s="12">
        <f>SUMIFS(Base[Montante],Base[Fornecedor],$A660&amp;"",Base[Ano],G$4)</f>
        <v/>
      </c>
      <c r="H660" s="12">
        <f>SUMIFS(Base[Montante],Base[Fornecedor],$A660&amp;"",Base[Ano],H$4)</f>
        <v/>
      </c>
      <c r="I660" s="12">
        <f>SUMIFS(Base[Montante],Base[Fornecedor],$A660&amp;"",Base[Ano],I$4)</f>
        <v/>
      </c>
      <c r="J660" s="12">
        <f>SUMIFS(Base[Montante],Base[Fornecedor],$A660&amp;"",Base[Ano],J$4)</f>
        <v/>
      </c>
      <c r="K660" s="12">
        <f>SUM(D660:J660)</f>
        <v/>
      </c>
    </row>
    <row r="661">
      <c r="A661" s="5" t="n">
        <v>102960</v>
      </c>
      <c r="B661" s="5" t="inlineStr">
        <is>
          <t>Wanderley Junior</t>
        </is>
      </c>
      <c r="C661" s="5">
        <f>IFERROR(INDEX(DePara[Categoria],MATCH(TEXT(A661,"0"),DePara[Fornecedor_txt],0)),"(sem categoria)")</f>
        <v/>
      </c>
      <c r="D661" s="12">
        <f>SUMIFS(Base[Montante],Base[Fornecedor],$A661&amp;"",Base[Ano],D$4)</f>
        <v/>
      </c>
      <c r="E661" s="12">
        <f>SUMIFS(Base[Montante],Base[Fornecedor],$A661&amp;"",Base[Ano],E$4)</f>
        <v/>
      </c>
      <c r="F661" s="12">
        <f>SUMIFS(Base[Montante],Base[Fornecedor],$A661&amp;"",Base[Ano],F$4)</f>
        <v/>
      </c>
      <c r="G661" s="12">
        <f>SUMIFS(Base[Montante],Base[Fornecedor],$A661&amp;"",Base[Ano],G$4)</f>
        <v/>
      </c>
      <c r="H661" s="12">
        <f>SUMIFS(Base[Montante],Base[Fornecedor],$A661&amp;"",Base[Ano],H$4)</f>
        <v/>
      </c>
      <c r="I661" s="12">
        <f>SUMIFS(Base[Montante],Base[Fornecedor],$A661&amp;"",Base[Ano],I$4)</f>
        <v/>
      </c>
      <c r="J661" s="12">
        <f>SUMIFS(Base[Montante],Base[Fornecedor],$A661&amp;"",Base[Ano],J$4)</f>
        <v/>
      </c>
      <c r="K661" s="12">
        <f>SUM(D661:J661)</f>
        <v/>
      </c>
    </row>
    <row r="662">
      <c r="A662" s="5" t="inlineStr">
        <is>
          <t>EM000887</t>
        </is>
      </c>
      <c r="B662" s="5" t="inlineStr">
        <is>
          <t>WANDERLEY RODRIGUES DO BOMFIM JUNIOR</t>
        </is>
      </c>
      <c r="C662" s="5">
        <f>IFERROR(INDEX(DePara[Categoria],MATCH(TEXT(A662,"0"),DePara[Fornecedor_txt],0)),"(sem categoria)")</f>
        <v/>
      </c>
      <c r="D662" s="12">
        <f>SUMIFS(Base[Montante],Base[Fornecedor],$A662&amp;"",Base[Ano],D$4)</f>
        <v/>
      </c>
      <c r="E662" s="12">
        <f>SUMIFS(Base[Montante],Base[Fornecedor],$A662&amp;"",Base[Ano],E$4)</f>
        <v/>
      </c>
      <c r="F662" s="12">
        <f>SUMIFS(Base[Montante],Base[Fornecedor],$A662&amp;"",Base[Ano],F$4)</f>
        <v/>
      </c>
      <c r="G662" s="12">
        <f>SUMIFS(Base[Montante],Base[Fornecedor],$A662&amp;"",Base[Ano],G$4)</f>
        <v/>
      </c>
      <c r="H662" s="12">
        <f>SUMIFS(Base[Montante],Base[Fornecedor],$A662&amp;"",Base[Ano],H$4)</f>
        <v/>
      </c>
      <c r="I662" s="12">
        <f>SUMIFS(Base[Montante],Base[Fornecedor],$A662&amp;"",Base[Ano],I$4)</f>
        <v/>
      </c>
      <c r="J662" s="12">
        <f>SUMIFS(Base[Montante],Base[Fornecedor],$A662&amp;"",Base[Ano],J$4)</f>
        <v/>
      </c>
      <c r="K662" s="12">
        <f>SUM(D662:J662)</f>
        <v/>
      </c>
    </row>
    <row r="663">
      <c r="A663" s="5" t="n">
        <v>106040</v>
      </c>
      <c r="B663" s="5" t="inlineStr">
        <is>
          <t>WANTEL TECNOLOGIA LTDA</t>
        </is>
      </c>
      <c r="C663" s="5">
        <f>IFERROR(INDEX(DePara[Categoria],MATCH(TEXT(A663,"0"),DePara[Fornecedor_txt],0)),"(sem categoria)")</f>
        <v/>
      </c>
      <c r="D663" s="12">
        <f>SUMIFS(Base[Montante],Base[Fornecedor],$A663&amp;"",Base[Ano],D$4)</f>
        <v/>
      </c>
      <c r="E663" s="12">
        <f>SUMIFS(Base[Montante],Base[Fornecedor],$A663&amp;"",Base[Ano],E$4)</f>
        <v/>
      </c>
      <c r="F663" s="12">
        <f>SUMIFS(Base[Montante],Base[Fornecedor],$A663&amp;"",Base[Ano],F$4)</f>
        <v/>
      </c>
      <c r="G663" s="12">
        <f>SUMIFS(Base[Montante],Base[Fornecedor],$A663&amp;"",Base[Ano],G$4)</f>
        <v/>
      </c>
      <c r="H663" s="12">
        <f>SUMIFS(Base[Montante],Base[Fornecedor],$A663&amp;"",Base[Ano],H$4)</f>
        <v/>
      </c>
      <c r="I663" s="12">
        <f>SUMIFS(Base[Montante],Base[Fornecedor],$A663&amp;"",Base[Ano],I$4)</f>
        <v/>
      </c>
      <c r="J663" s="12">
        <f>SUMIFS(Base[Montante],Base[Fornecedor],$A663&amp;"",Base[Ano],J$4)</f>
        <v/>
      </c>
      <c r="K663" s="12">
        <f>SUM(D663:J663)</f>
        <v/>
      </c>
    </row>
    <row r="664">
      <c r="A664" s="5" t="n">
        <v>100590</v>
      </c>
      <c r="B664" s="5" t="inlineStr">
        <is>
          <t>WDS ENGENHARIA E LOGISTICA LTDA</t>
        </is>
      </c>
      <c r="C664" s="5">
        <f>IFERROR(INDEX(DePara[Categoria],MATCH(TEXT(A664,"0"),DePara[Fornecedor_txt],0)),"(sem categoria)")</f>
        <v/>
      </c>
      <c r="D664" s="12">
        <f>SUMIFS(Base[Montante],Base[Fornecedor],$A664&amp;"",Base[Ano],D$4)</f>
        <v/>
      </c>
      <c r="E664" s="12">
        <f>SUMIFS(Base[Montante],Base[Fornecedor],$A664&amp;"",Base[Ano],E$4)</f>
        <v/>
      </c>
      <c r="F664" s="12">
        <f>SUMIFS(Base[Montante],Base[Fornecedor],$A664&amp;"",Base[Ano],F$4)</f>
        <v/>
      </c>
      <c r="G664" s="12">
        <f>SUMIFS(Base[Montante],Base[Fornecedor],$A664&amp;"",Base[Ano],G$4)</f>
        <v/>
      </c>
      <c r="H664" s="12">
        <f>SUMIFS(Base[Montante],Base[Fornecedor],$A664&amp;"",Base[Ano],H$4)</f>
        <v/>
      </c>
      <c r="I664" s="12">
        <f>SUMIFS(Base[Montante],Base[Fornecedor],$A664&amp;"",Base[Ano],I$4)</f>
        <v/>
      </c>
      <c r="J664" s="12">
        <f>SUMIFS(Base[Montante],Base[Fornecedor],$A664&amp;"",Base[Ano],J$4)</f>
        <v/>
      </c>
      <c r="K664" s="12">
        <f>SUM(D664:J664)</f>
        <v/>
      </c>
    </row>
    <row r="665">
      <c r="A665" s="5" t="inlineStr">
        <is>
          <t>EM000594</t>
        </is>
      </c>
      <c r="B665" s="5" t="inlineStr">
        <is>
          <t>WELLINGTON LOPES DOS SANTOS</t>
        </is>
      </c>
      <c r="C665" s="5">
        <f>IFERROR(INDEX(DePara[Categoria],MATCH(TEXT(A665,"0"),DePara[Fornecedor_txt],0)),"(sem categoria)")</f>
        <v/>
      </c>
      <c r="D665" s="12">
        <f>SUMIFS(Base[Montante],Base[Fornecedor],$A665&amp;"",Base[Ano],D$4)</f>
        <v/>
      </c>
      <c r="E665" s="12">
        <f>SUMIFS(Base[Montante],Base[Fornecedor],$A665&amp;"",Base[Ano],E$4)</f>
        <v/>
      </c>
      <c r="F665" s="12">
        <f>SUMIFS(Base[Montante],Base[Fornecedor],$A665&amp;"",Base[Ano],F$4)</f>
        <v/>
      </c>
      <c r="G665" s="12">
        <f>SUMIFS(Base[Montante],Base[Fornecedor],$A665&amp;"",Base[Ano],G$4)</f>
        <v/>
      </c>
      <c r="H665" s="12">
        <f>SUMIFS(Base[Montante],Base[Fornecedor],$A665&amp;"",Base[Ano],H$4)</f>
        <v/>
      </c>
      <c r="I665" s="12">
        <f>SUMIFS(Base[Montante],Base[Fornecedor],$A665&amp;"",Base[Ano],I$4)</f>
        <v/>
      </c>
      <c r="J665" s="12">
        <f>SUMIFS(Base[Montante],Base[Fornecedor],$A665&amp;"",Base[Ano],J$4)</f>
        <v/>
      </c>
      <c r="K665" s="12">
        <f>SUM(D665:J665)</f>
        <v/>
      </c>
    </row>
    <row r="666">
      <c r="A666" s="5" t="n">
        <v>102038</v>
      </c>
      <c r="B666" s="5" t="inlineStr">
        <is>
          <t>WHITE MARTINS GASES INDUSTRIAIS DO</t>
        </is>
      </c>
      <c r="C666" s="5">
        <f>IFERROR(INDEX(DePara[Categoria],MATCH(TEXT(A666,"0"),DePara[Fornecedor_txt],0)),"(sem categoria)")</f>
        <v/>
      </c>
      <c r="D666" s="12">
        <f>SUMIFS(Base[Montante],Base[Fornecedor],$A666&amp;"",Base[Ano],D$4)</f>
        <v/>
      </c>
      <c r="E666" s="12">
        <f>SUMIFS(Base[Montante],Base[Fornecedor],$A666&amp;"",Base[Ano],E$4)</f>
        <v/>
      </c>
      <c r="F666" s="12">
        <f>SUMIFS(Base[Montante],Base[Fornecedor],$A666&amp;"",Base[Ano],F$4)</f>
        <v/>
      </c>
      <c r="G666" s="12">
        <f>SUMIFS(Base[Montante],Base[Fornecedor],$A666&amp;"",Base[Ano],G$4)</f>
        <v/>
      </c>
      <c r="H666" s="12">
        <f>SUMIFS(Base[Montante],Base[Fornecedor],$A666&amp;"",Base[Ano],H$4)</f>
        <v/>
      </c>
      <c r="I666" s="12">
        <f>SUMIFS(Base[Montante],Base[Fornecedor],$A666&amp;"",Base[Ano],I$4)</f>
        <v/>
      </c>
      <c r="J666" s="12">
        <f>SUMIFS(Base[Montante],Base[Fornecedor],$A666&amp;"",Base[Ano],J$4)</f>
        <v/>
      </c>
      <c r="K666" s="12">
        <f>SUM(D666:J666)</f>
        <v/>
      </c>
    </row>
    <row r="667">
      <c r="A667" s="5" t="inlineStr">
        <is>
          <t>EM000133</t>
        </is>
      </c>
      <c r="B667" s="5" t="inlineStr">
        <is>
          <t>WILLIAM MEDEIROS PONTES</t>
        </is>
      </c>
      <c r="C667" s="5">
        <f>IFERROR(INDEX(DePara[Categoria],MATCH(TEXT(A667,"0"),DePara[Fornecedor_txt],0)),"(sem categoria)")</f>
        <v/>
      </c>
      <c r="D667" s="12">
        <f>SUMIFS(Base[Montante],Base[Fornecedor],$A667&amp;"",Base[Ano],D$4)</f>
        <v/>
      </c>
      <c r="E667" s="12">
        <f>SUMIFS(Base[Montante],Base[Fornecedor],$A667&amp;"",Base[Ano],E$4)</f>
        <v/>
      </c>
      <c r="F667" s="12">
        <f>SUMIFS(Base[Montante],Base[Fornecedor],$A667&amp;"",Base[Ano],F$4)</f>
        <v/>
      </c>
      <c r="G667" s="12">
        <f>SUMIFS(Base[Montante],Base[Fornecedor],$A667&amp;"",Base[Ano],G$4)</f>
        <v/>
      </c>
      <c r="H667" s="12">
        <f>SUMIFS(Base[Montante],Base[Fornecedor],$A667&amp;"",Base[Ano],H$4)</f>
        <v/>
      </c>
      <c r="I667" s="12">
        <f>SUMIFS(Base[Montante],Base[Fornecedor],$A667&amp;"",Base[Ano],I$4)</f>
        <v/>
      </c>
      <c r="J667" s="12">
        <f>SUMIFS(Base[Montante],Base[Fornecedor],$A667&amp;"",Base[Ano],J$4)</f>
        <v/>
      </c>
      <c r="K667" s="12">
        <f>SUM(D667:J667)</f>
        <v/>
      </c>
    </row>
    <row r="668">
      <c r="A668" s="5" t="inlineStr">
        <is>
          <t>EM000121</t>
        </is>
      </c>
      <c r="B668" s="5" t="inlineStr">
        <is>
          <t>WILLIAM VICENTE DA SILVA</t>
        </is>
      </c>
      <c r="C668" s="5">
        <f>IFERROR(INDEX(DePara[Categoria],MATCH(TEXT(A668,"0"),DePara[Fornecedor_txt],0)),"(sem categoria)")</f>
        <v/>
      </c>
      <c r="D668" s="12">
        <f>SUMIFS(Base[Montante],Base[Fornecedor],$A668&amp;"",Base[Ano],D$4)</f>
        <v/>
      </c>
      <c r="E668" s="12">
        <f>SUMIFS(Base[Montante],Base[Fornecedor],$A668&amp;"",Base[Ano],E$4)</f>
        <v/>
      </c>
      <c r="F668" s="12">
        <f>SUMIFS(Base[Montante],Base[Fornecedor],$A668&amp;"",Base[Ano],F$4)</f>
        <v/>
      </c>
      <c r="G668" s="12">
        <f>SUMIFS(Base[Montante],Base[Fornecedor],$A668&amp;"",Base[Ano],G$4)</f>
        <v/>
      </c>
      <c r="H668" s="12">
        <f>SUMIFS(Base[Montante],Base[Fornecedor],$A668&amp;"",Base[Ano],H$4)</f>
        <v/>
      </c>
      <c r="I668" s="12">
        <f>SUMIFS(Base[Montante],Base[Fornecedor],$A668&amp;"",Base[Ano],I$4)</f>
        <v/>
      </c>
      <c r="J668" s="12">
        <f>SUMIFS(Base[Montante],Base[Fornecedor],$A668&amp;"",Base[Ano],J$4)</f>
        <v/>
      </c>
      <c r="K668" s="12">
        <f>SUM(D668:J668)</f>
        <v/>
      </c>
    </row>
    <row r="669">
      <c r="A669" s="5" t="n">
        <v>105693</v>
      </c>
      <c r="B669" s="5" t="inlineStr">
        <is>
          <t>WINSERVICE SOLUTION INFORMATICA LTD 02598005000193</t>
        </is>
      </c>
      <c r="C669" s="5">
        <f>IFERROR(INDEX(DePara[Categoria],MATCH(TEXT(A669,"0"),DePara[Fornecedor_txt],0)),"(sem categoria)")</f>
        <v/>
      </c>
      <c r="D669" s="12">
        <f>SUMIFS(Base[Montante],Base[Fornecedor],$A669&amp;"",Base[Ano],D$4)</f>
        <v/>
      </c>
      <c r="E669" s="12">
        <f>SUMIFS(Base[Montante],Base[Fornecedor],$A669&amp;"",Base[Ano],E$4)</f>
        <v/>
      </c>
      <c r="F669" s="12">
        <f>SUMIFS(Base[Montante],Base[Fornecedor],$A669&amp;"",Base[Ano],F$4)</f>
        <v/>
      </c>
      <c r="G669" s="12">
        <f>SUMIFS(Base[Montante],Base[Fornecedor],$A669&amp;"",Base[Ano],G$4)</f>
        <v/>
      </c>
      <c r="H669" s="12">
        <f>SUMIFS(Base[Montante],Base[Fornecedor],$A669&amp;"",Base[Ano],H$4)</f>
        <v/>
      </c>
      <c r="I669" s="12">
        <f>SUMIFS(Base[Montante],Base[Fornecedor],$A669&amp;"",Base[Ano],I$4)</f>
        <v/>
      </c>
      <c r="J669" s="12">
        <f>SUMIFS(Base[Montante],Base[Fornecedor],$A669&amp;"",Base[Ano],J$4)</f>
        <v/>
      </c>
      <c r="K669" s="12">
        <f>SUM(D669:J669)</f>
        <v/>
      </c>
    </row>
    <row r="670">
      <c r="A670" s="5" t="n">
        <v>107672</v>
      </c>
      <c r="B670" s="5" t="inlineStr">
        <is>
          <t>WONGTSCHOWSKI KLEIMAN ADVOGADOS</t>
        </is>
      </c>
      <c r="C670" s="5">
        <f>IFERROR(INDEX(DePara[Categoria],MATCH(TEXT(A670,"0"),DePara[Fornecedor_txt],0)),"(sem categoria)")</f>
        <v/>
      </c>
      <c r="D670" s="12">
        <f>SUMIFS(Base[Montante],Base[Fornecedor],$A670&amp;"",Base[Ano],D$4)</f>
        <v/>
      </c>
      <c r="E670" s="12">
        <f>SUMIFS(Base[Montante],Base[Fornecedor],$A670&amp;"",Base[Ano],E$4)</f>
        <v/>
      </c>
      <c r="F670" s="12">
        <f>SUMIFS(Base[Montante],Base[Fornecedor],$A670&amp;"",Base[Ano],F$4)</f>
        <v/>
      </c>
      <c r="G670" s="12">
        <f>SUMIFS(Base[Montante],Base[Fornecedor],$A670&amp;"",Base[Ano],G$4)</f>
        <v/>
      </c>
      <c r="H670" s="12">
        <f>SUMIFS(Base[Montante],Base[Fornecedor],$A670&amp;"",Base[Ano],H$4)</f>
        <v/>
      </c>
      <c r="I670" s="12">
        <f>SUMIFS(Base[Montante],Base[Fornecedor],$A670&amp;"",Base[Ano],I$4)</f>
        <v/>
      </c>
      <c r="J670" s="12">
        <f>SUMIFS(Base[Montante],Base[Fornecedor],$A670&amp;"",Base[Ano],J$4)</f>
        <v/>
      </c>
      <c r="K670" s="12">
        <f>SUM(D670:J670)</f>
        <v/>
      </c>
    </row>
    <row r="671">
      <c r="A671" s="5" t="n">
        <v>103931</v>
      </c>
      <c r="B671" s="5" t="inlineStr">
        <is>
          <t>WPK SERVICOS E MONITORAMENTO LTDA 43980265000106</t>
        </is>
      </c>
      <c r="C671" s="5">
        <f>IFERROR(INDEX(DePara[Categoria],MATCH(TEXT(A671,"0"),DePara[Fornecedor_txt],0)),"(sem categoria)")</f>
        <v/>
      </c>
      <c r="D671" s="12">
        <f>SUMIFS(Base[Montante],Base[Fornecedor],$A671&amp;"",Base[Ano],D$4)</f>
        <v/>
      </c>
      <c r="E671" s="12">
        <f>SUMIFS(Base[Montante],Base[Fornecedor],$A671&amp;"",Base[Ano],E$4)</f>
        <v/>
      </c>
      <c r="F671" s="12">
        <f>SUMIFS(Base[Montante],Base[Fornecedor],$A671&amp;"",Base[Ano],F$4)</f>
        <v/>
      </c>
      <c r="G671" s="12">
        <f>SUMIFS(Base[Montante],Base[Fornecedor],$A671&amp;"",Base[Ano],G$4)</f>
        <v/>
      </c>
      <c r="H671" s="12">
        <f>SUMIFS(Base[Montante],Base[Fornecedor],$A671&amp;"",Base[Ano],H$4)</f>
        <v/>
      </c>
      <c r="I671" s="12">
        <f>SUMIFS(Base[Montante],Base[Fornecedor],$A671&amp;"",Base[Ano],I$4)</f>
        <v/>
      </c>
      <c r="J671" s="12">
        <f>SUMIFS(Base[Montante],Base[Fornecedor],$A671&amp;"",Base[Ano],J$4)</f>
        <v/>
      </c>
      <c r="K671" s="12">
        <f>SUM(D671:J671)</f>
        <v/>
      </c>
    </row>
    <row r="672">
      <c r="A672" s="5" t="n">
        <v>101825</v>
      </c>
      <c r="B672" s="5" t="inlineStr">
        <is>
          <t>WURTH DO BRASIL PECAS DE FIXACAO LT</t>
        </is>
      </c>
      <c r="C672" s="5">
        <f>IFERROR(INDEX(DePara[Categoria],MATCH(TEXT(A672,"0"),DePara[Fornecedor_txt],0)),"(sem categoria)")</f>
        <v/>
      </c>
      <c r="D672" s="12">
        <f>SUMIFS(Base[Montante],Base[Fornecedor],$A672&amp;"",Base[Ano],D$4)</f>
        <v/>
      </c>
      <c r="E672" s="12">
        <f>SUMIFS(Base[Montante],Base[Fornecedor],$A672&amp;"",Base[Ano],E$4)</f>
        <v/>
      </c>
      <c r="F672" s="12">
        <f>SUMIFS(Base[Montante],Base[Fornecedor],$A672&amp;"",Base[Ano],F$4)</f>
        <v/>
      </c>
      <c r="G672" s="12">
        <f>SUMIFS(Base[Montante],Base[Fornecedor],$A672&amp;"",Base[Ano],G$4)</f>
        <v/>
      </c>
      <c r="H672" s="12">
        <f>SUMIFS(Base[Montante],Base[Fornecedor],$A672&amp;"",Base[Ano],H$4)</f>
        <v/>
      </c>
      <c r="I672" s="12">
        <f>SUMIFS(Base[Montante],Base[Fornecedor],$A672&amp;"",Base[Ano],I$4)</f>
        <v/>
      </c>
      <c r="J672" s="12">
        <f>SUMIFS(Base[Montante],Base[Fornecedor],$A672&amp;"",Base[Ano],J$4)</f>
        <v/>
      </c>
      <c r="K672" s="12">
        <f>SUM(D672:J672)</f>
        <v/>
      </c>
    </row>
    <row r="673">
      <c r="A673" s="5" t="n">
        <v>104077</v>
      </c>
      <c r="B673" s="5" t="inlineStr">
        <is>
          <t>XRS SERVICOS AUXILIARES DE PORTARIA 31996152000110</t>
        </is>
      </c>
      <c r="C673" s="5">
        <f>IFERROR(INDEX(DePara[Categoria],MATCH(TEXT(A673,"0"),DePara[Fornecedor_txt],0)),"(sem categoria)")</f>
        <v/>
      </c>
      <c r="D673" s="12">
        <f>SUMIFS(Base[Montante],Base[Fornecedor],$A673&amp;"",Base[Ano],D$4)</f>
        <v/>
      </c>
      <c r="E673" s="12">
        <f>SUMIFS(Base[Montante],Base[Fornecedor],$A673&amp;"",Base[Ano],E$4)</f>
        <v/>
      </c>
      <c r="F673" s="12">
        <f>SUMIFS(Base[Montante],Base[Fornecedor],$A673&amp;"",Base[Ano],F$4)</f>
        <v/>
      </c>
      <c r="G673" s="12">
        <f>SUMIFS(Base[Montante],Base[Fornecedor],$A673&amp;"",Base[Ano],G$4)</f>
        <v/>
      </c>
      <c r="H673" s="12">
        <f>SUMIFS(Base[Montante],Base[Fornecedor],$A673&amp;"",Base[Ano],H$4)</f>
        <v/>
      </c>
      <c r="I673" s="12">
        <f>SUMIFS(Base[Montante],Base[Fornecedor],$A673&amp;"",Base[Ano],I$4)</f>
        <v/>
      </c>
      <c r="J673" s="12">
        <f>SUMIFS(Base[Montante],Base[Fornecedor],$A673&amp;"",Base[Ano],J$4)</f>
        <v/>
      </c>
      <c r="K673" s="12">
        <f>SUM(D673:J673)</f>
        <v/>
      </c>
    </row>
    <row r="674">
      <c r="A674" s="5" t="inlineStr">
        <is>
          <t>EM000761</t>
        </is>
      </c>
      <c r="B674" s="5" t="inlineStr">
        <is>
          <t>YNDIANE CARVALHO DOURADO</t>
        </is>
      </c>
      <c r="C674" s="5">
        <f>IFERROR(INDEX(DePara[Categoria],MATCH(TEXT(A674,"0"),DePara[Fornecedor_txt],0)),"(sem categoria)")</f>
        <v/>
      </c>
      <c r="D674" s="12">
        <f>SUMIFS(Base[Montante],Base[Fornecedor],$A674&amp;"",Base[Ano],D$4)</f>
        <v/>
      </c>
      <c r="E674" s="12">
        <f>SUMIFS(Base[Montante],Base[Fornecedor],$A674&amp;"",Base[Ano],E$4)</f>
        <v/>
      </c>
      <c r="F674" s="12">
        <f>SUMIFS(Base[Montante],Base[Fornecedor],$A674&amp;"",Base[Ano],F$4)</f>
        <v/>
      </c>
      <c r="G674" s="12">
        <f>SUMIFS(Base[Montante],Base[Fornecedor],$A674&amp;"",Base[Ano],G$4)</f>
        <v/>
      </c>
      <c r="H674" s="12">
        <f>SUMIFS(Base[Montante],Base[Fornecedor],$A674&amp;"",Base[Ano],H$4)</f>
        <v/>
      </c>
      <c r="I674" s="12">
        <f>SUMIFS(Base[Montante],Base[Fornecedor],$A674&amp;"",Base[Ano],I$4)</f>
        <v/>
      </c>
      <c r="J674" s="12">
        <f>SUMIFS(Base[Montante],Base[Fornecedor],$A674&amp;"",Base[Ano],J$4)</f>
        <v/>
      </c>
      <c r="K674" s="12">
        <f>SUM(D674:J674)</f>
        <v/>
      </c>
    </row>
    <row r="675">
      <c r="A675" s="5" t="n">
        <v>100385</v>
      </c>
      <c r="B675" s="5" t="inlineStr">
        <is>
          <t>ZIRAN SALVADOR TRANSPORTES LTDA</t>
        </is>
      </c>
      <c r="C675" s="5">
        <f>IFERROR(INDEX(DePara[Categoria],MATCH(TEXT(A675,"0"),DePara[Fornecedor_txt],0)),"(sem categoria)")</f>
        <v/>
      </c>
      <c r="D675" s="12">
        <f>SUMIFS(Base[Montante],Base[Fornecedor],$A675&amp;"",Base[Ano],D$4)</f>
        <v/>
      </c>
      <c r="E675" s="12">
        <f>SUMIFS(Base[Montante],Base[Fornecedor],$A675&amp;"",Base[Ano],E$4)</f>
        <v/>
      </c>
      <c r="F675" s="12">
        <f>SUMIFS(Base[Montante],Base[Fornecedor],$A675&amp;"",Base[Ano],F$4)</f>
        <v/>
      </c>
      <c r="G675" s="12">
        <f>SUMIFS(Base[Montante],Base[Fornecedor],$A675&amp;"",Base[Ano],G$4)</f>
        <v/>
      </c>
      <c r="H675" s="12">
        <f>SUMIFS(Base[Montante],Base[Fornecedor],$A675&amp;"",Base[Ano],H$4)</f>
        <v/>
      </c>
      <c r="I675" s="12">
        <f>SUMIFS(Base[Montante],Base[Fornecedor],$A675&amp;"",Base[Ano],I$4)</f>
        <v/>
      </c>
      <c r="J675" s="12">
        <f>SUMIFS(Base[Montante],Base[Fornecedor],$A675&amp;"",Base[Ano],J$4)</f>
        <v/>
      </c>
      <c r="K675" s="12">
        <f>SUM(D675:J675)</f>
        <v/>
      </c>
    </row>
    <row r="676">
      <c r="A676" s="5" t="n">
        <v>101463</v>
      </c>
      <c r="B676" s="5" t="inlineStr">
        <is>
          <t>ZURICH MINAS BRASIL SEGUROS S A</t>
        </is>
      </c>
      <c r="C676" s="5">
        <f>IFERROR(INDEX(DePara[Categoria],MATCH(TEXT(A676,"0"),DePara[Fornecedor_txt],0)),"(sem categoria)")</f>
        <v/>
      </c>
      <c r="D676" s="12">
        <f>SUMIFS(Base[Montante],Base[Fornecedor],$A676&amp;"",Base[Ano],D$4)</f>
        <v/>
      </c>
      <c r="E676" s="12">
        <f>SUMIFS(Base[Montante],Base[Fornecedor],$A676&amp;"",Base[Ano],E$4)</f>
        <v/>
      </c>
      <c r="F676" s="12">
        <f>SUMIFS(Base[Montante],Base[Fornecedor],$A676&amp;"",Base[Ano],F$4)</f>
        <v/>
      </c>
      <c r="G676" s="12">
        <f>SUMIFS(Base[Montante],Base[Fornecedor],$A676&amp;"",Base[Ano],G$4)</f>
        <v/>
      </c>
      <c r="H676" s="12">
        <f>SUMIFS(Base[Montante],Base[Fornecedor],$A676&amp;"",Base[Ano],H$4)</f>
        <v/>
      </c>
      <c r="I676" s="12">
        <f>SUMIFS(Base[Montante],Base[Fornecedor],$A676&amp;"",Base[Ano],I$4)</f>
        <v/>
      </c>
      <c r="J676" s="12">
        <f>SUMIFS(Base[Montante],Base[Fornecedor],$A676&amp;"",Base[Ano],J$4)</f>
        <v/>
      </c>
      <c r="K676" s="12">
        <f>SUM(D676:J676)</f>
        <v/>
      </c>
    </row>
    <row r="677">
      <c r="A677" s="11" t="inlineStr">
        <is>
          <t>Total geral</t>
        </is>
      </c>
      <c r="D677" s="13">
        <f>SUM(D5:D676)</f>
        <v/>
      </c>
      <c r="E677" s="13">
        <f>SUM(E5:E676)</f>
        <v/>
      </c>
      <c r="F677" s="13">
        <f>SUM(F5:F676)</f>
        <v/>
      </c>
      <c r="G677" s="13">
        <f>SUM(G5:G676)</f>
        <v/>
      </c>
      <c r="H677" s="13">
        <f>SUM(H5:H676)</f>
        <v/>
      </c>
      <c r="I677" s="13">
        <f>SUM(I5:I676)</f>
        <v/>
      </c>
      <c r="J677" s="13">
        <f>SUM(J5:J676)</f>
        <v/>
      </c>
      <c r="K677" s="13">
        <f>SUM(K5:K676)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33"/>
  <sheetViews>
    <sheetView topLeftCell="A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6" customWidth="1" min="4" max="4"/>
    <col width="14" customWidth="1" min="5" max="5"/>
    <col width="14" customWidth="1" min="6" max="6"/>
    <col width="9" customWidth="1" min="7" max="7"/>
    <col width="14" customWidth="1" min="8" max="8"/>
    <col width="13" customWidth="1" min="9" max="9"/>
    <col width="13" customWidth="1" min="10" max="10"/>
    <col width="28" customWidth="1" min="11" max="11"/>
  </cols>
  <sheetData>
    <row r="1">
      <c r="A1" s="2" t="inlineStr">
        <is>
          <t>DRILL-DOWN</t>
        </is>
      </c>
    </row>
    <row r="2">
      <c r="A2" s="11" t="inlineStr">
        <is>
          <t>Composicao de qualquer saldo</t>
        </is>
      </c>
    </row>
    <row r="3">
      <c r="A3" s="4" t="inlineStr">
        <is>
          <t>Use as setas de filtro no cabecalho da tabela abaixo para filtrar por Fornecedor, Categoria, Conta ou Ano — filtro nativo do Excel, 100% compativel.</t>
        </is>
      </c>
    </row>
    <row r="5">
      <c r="A5" s="8" t="inlineStr">
        <is>
          <t>Fornecedor</t>
        </is>
      </c>
      <c r="B5" s="8" t="inlineStr">
        <is>
          <t>Nome do fornecedor</t>
        </is>
      </c>
      <c r="C5" s="8" t="inlineStr">
        <is>
          <t>Conta</t>
        </is>
      </c>
      <c r="D5" s="8" t="inlineStr">
        <is>
          <t>Categoria</t>
        </is>
      </c>
      <c r="E5" s="8" t="inlineStr">
        <is>
          <t>Documento</t>
        </is>
      </c>
      <c r="F5" s="8" t="inlineStr">
        <is>
          <t>Referencia</t>
        </is>
      </c>
      <c r="G5" s="8" t="inlineStr">
        <is>
          <t>Tipo doc</t>
        </is>
      </c>
      <c r="H5" s="8" t="inlineStr">
        <is>
          <t>Montante</t>
        </is>
      </c>
      <c r="I5" s="8" t="inlineStr">
        <is>
          <t>Data documento</t>
        </is>
      </c>
      <c r="J5" s="8" t="inlineStr">
        <is>
          <t>Data vencimento</t>
        </is>
      </c>
      <c r="K5" s="8" t="inlineStr">
        <is>
          <t>Texto</t>
        </is>
      </c>
    </row>
    <row r="6">
      <c r="A6" t="inlineStr">
        <is>
          <t>IC1000</t>
        </is>
      </c>
      <c r="B6" t="inlineStr">
        <is>
          <t>NORDEX ENERGY SE &amp; CO KG</t>
        </is>
      </c>
      <c r="C6" t="n">
        <v>2122100000</v>
      </c>
      <c r="D6" t="inlineStr">
        <is>
          <t>Intercompany</t>
        </is>
      </c>
      <c r="E6" t="n">
        <v>1008418</v>
      </c>
      <c r="G6" t="inlineStr">
        <is>
          <t>AB</t>
        </is>
      </c>
      <c r="H6" s="12" t="n">
        <v>33462.83</v>
      </c>
      <c r="I6" s="17" t="n">
        <v>45227</v>
      </c>
      <c r="J6" s="17" t="n">
        <v>45227</v>
      </c>
      <c r="K6" t="inlineStr">
        <is>
          <t>Clearing document NORDEX ENERGY SE &amp; CO. KG</t>
        </is>
      </c>
    </row>
    <row r="7">
      <c r="A7" t="inlineStr">
        <is>
          <t>IC4420</t>
        </is>
      </c>
      <c r="B7" t="inlineStr">
        <is>
          <t>NORDEX ENERGY SPAIN S A U</t>
        </is>
      </c>
      <c r="C7" t="n">
        <v>2122100000</v>
      </c>
      <c r="D7" t="inlineStr">
        <is>
          <t>Intercompany</t>
        </is>
      </c>
      <c r="E7" t="n">
        <v>1008419</v>
      </c>
      <c r="G7" t="inlineStr">
        <is>
          <t>AB</t>
        </is>
      </c>
      <c r="H7" s="12" t="n">
        <v>93546.45</v>
      </c>
      <c r="I7" s="17" t="n">
        <v>45227</v>
      </c>
      <c r="J7" s="17" t="n">
        <v>45227</v>
      </c>
      <c r="K7" t="inlineStr">
        <is>
          <t>Clearing document NORDEX ENERGY SPAIN S.A.U.</t>
        </is>
      </c>
    </row>
    <row r="8">
      <c r="A8" t="inlineStr">
        <is>
          <t>IC4420</t>
        </is>
      </c>
      <c r="B8" t="inlineStr">
        <is>
          <t>NORDEX ENERGY SPAIN S A U</t>
        </is>
      </c>
      <c r="C8" t="n">
        <v>2122100000</v>
      </c>
      <c r="D8" t="inlineStr">
        <is>
          <t>Intercompany</t>
        </is>
      </c>
      <c r="E8" t="n">
        <v>1008419</v>
      </c>
      <c r="G8" t="inlineStr">
        <is>
          <t>AB</t>
        </is>
      </c>
      <c r="H8" s="12" t="n">
        <v>63508.45</v>
      </c>
      <c r="I8" s="17" t="n">
        <v>45227</v>
      </c>
      <c r="J8" s="17" t="n">
        <v>45227</v>
      </c>
      <c r="K8" t="inlineStr">
        <is>
          <t>Clearing document NORDEX ENERGY SPAIN S.A.U.</t>
        </is>
      </c>
    </row>
    <row r="9">
      <c r="A9" t="inlineStr">
        <is>
          <t>IC4420</t>
        </is>
      </c>
      <c r="B9" t="inlineStr">
        <is>
          <t>NORDEX ENERGY SPAIN S A U</t>
        </is>
      </c>
      <c r="C9" t="n">
        <v>2122100000</v>
      </c>
      <c r="D9" t="inlineStr">
        <is>
          <t>Intercompany</t>
        </is>
      </c>
      <c r="E9" t="n">
        <v>5000001</v>
      </c>
      <c r="F9" t="inlineStr">
        <is>
          <t>4025008482</t>
        </is>
      </c>
      <c r="G9" t="inlineStr">
        <is>
          <t>RE</t>
        </is>
      </c>
      <c r="H9" s="12" t="n">
        <v>-181492.25</v>
      </c>
      <c r="I9" s="17" t="n">
        <v>45964</v>
      </c>
      <c r="J9" s="17" t="n">
        <v>45994</v>
      </c>
      <c r="K9" t="inlineStr">
        <is>
          <t>0846/25</t>
        </is>
      </c>
    </row>
    <row r="10">
      <c r="A10" t="inlineStr">
        <is>
          <t>IC4420</t>
        </is>
      </c>
      <c r="B10" t="inlineStr">
        <is>
          <t>NORDEX ENERGY SPAIN S A U</t>
        </is>
      </c>
      <c r="C10" t="n">
        <v>2122100000</v>
      </c>
      <c r="D10" t="inlineStr">
        <is>
          <t>Intercompany</t>
        </is>
      </c>
      <c r="E10" t="n">
        <v>5000003</v>
      </c>
      <c r="F10" t="inlineStr">
        <is>
          <t>4025008480</t>
        </is>
      </c>
      <c r="G10" t="inlineStr">
        <is>
          <t>RE</t>
        </is>
      </c>
      <c r="H10" s="12" t="n">
        <v>-95934.74000000001</v>
      </c>
      <c r="I10" s="17" t="n">
        <v>45964</v>
      </c>
      <c r="J10" s="17" t="n">
        <v>45994</v>
      </c>
      <c r="K10" t="inlineStr">
        <is>
          <t>0842/25</t>
        </is>
      </c>
    </row>
    <row r="11">
      <c r="A11" t="inlineStr">
        <is>
          <t>IC4420</t>
        </is>
      </c>
      <c r="B11" t="inlineStr">
        <is>
          <t>NORDEX ENERGY SPAIN S A U</t>
        </is>
      </c>
      <c r="C11" t="n">
        <v>2122100000</v>
      </c>
      <c r="D11" t="inlineStr">
        <is>
          <t>Intercompany</t>
        </is>
      </c>
      <c r="E11" t="n">
        <v>5000005</v>
      </c>
      <c r="F11" t="inlineStr">
        <is>
          <t>4025008261</t>
        </is>
      </c>
      <c r="G11" t="inlineStr">
        <is>
          <t>RE</t>
        </is>
      </c>
      <c r="H11" s="12" t="n">
        <v>-251289.79</v>
      </c>
      <c r="I11" s="17" t="n">
        <v>45957</v>
      </c>
      <c r="J11" s="17" t="n">
        <v>45987</v>
      </c>
      <c r="K11" t="inlineStr">
        <is>
          <t>0826/25</t>
        </is>
      </c>
    </row>
    <row r="12">
      <c r="A12" t="inlineStr">
        <is>
          <t>IC4420</t>
        </is>
      </c>
      <c r="B12" t="inlineStr">
        <is>
          <t>NORDEX ENERGY SPAIN S A U</t>
        </is>
      </c>
      <c r="C12" t="n">
        <v>2122100000</v>
      </c>
      <c r="D12" t="inlineStr">
        <is>
          <t>Intercompany</t>
        </is>
      </c>
      <c r="E12" t="n">
        <v>5000072</v>
      </c>
      <c r="F12" t="inlineStr">
        <is>
          <t>4025008229</t>
        </is>
      </c>
      <c r="G12" t="inlineStr">
        <is>
          <t>RE</t>
        </is>
      </c>
      <c r="H12" s="12" t="n">
        <v>-3838623.15</v>
      </c>
      <c r="I12" s="17" t="n">
        <v>45954</v>
      </c>
      <c r="J12" s="17" t="n">
        <v>45984</v>
      </c>
      <c r="K12" t="inlineStr">
        <is>
          <t>0852/25</t>
        </is>
      </c>
    </row>
    <row r="13">
      <c r="A13" t="inlineStr">
        <is>
          <t>IC4420</t>
        </is>
      </c>
      <c r="B13" t="inlineStr">
        <is>
          <t>NORDEX ENERGY SPAIN S A U</t>
        </is>
      </c>
      <c r="C13" t="n">
        <v>2122100000</v>
      </c>
      <c r="D13" t="inlineStr">
        <is>
          <t>Intercompany</t>
        </is>
      </c>
      <c r="E13" t="n">
        <v>5000180</v>
      </c>
      <c r="F13" t="inlineStr">
        <is>
          <t>4025008478</t>
        </is>
      </c>
      <c r="G13" t="inlineStr">
        <is>
          <t>RE</t>
        </is>
      </c>
      <c r="H13" s="12" t="n">
        <v>-1330.48</v>
      </c>
      <c r="I13" s="17" t="n">
        <v>45964</v>
      </c>
      <c r="J13" s="17" t="n">
        <v>45994</v>
      </c>
      <c r="K13" t="inlineStr">
        <is>
          <t>0844/25</t>
        </is>
      </c>
    </row>
    <row r="14">
      <c r="A14" t="inlineStr">
        <is>
          <t>IC4420</t>
        </is>
      </c>
      <c r="B14" t="inlineStr">
        <is>
          <t>NORDEX ENERGY SPAIN S A U</t>
        </is>
      </c>
      <c r="C14" t="n">
        <v>2122100000</v>
      </c>
      <c r="D14" t="inlineStr">
        <is>
          <t>Intercompany</t>
        </is>
      </c>
      <c r="E14" t="n">
        <v>5000181</v>
      </c>
      <c r="F14" t="inlineStr">
        <is>
          <t>4025008476</t>
        </is>
      </c>
      <c r="G14" t="inlineStr">
        <is>
          <t>RE</t>
        </is>
      </c>
      <c r="H14" s="12" t="n">
        <v>-118914.41</v>
      </c>
      <c r="I14" s="17" t="n">
        <v>45964</v>
      </c>
      <c r="J14" s="17" t="n">
        <v>45994</v>
      </c>
      <c r="K14" t="inlineStr">
        <is>
          <t>0844/25</t>
        </is>
      </c>
    </row>
    <row r="15">
      <c r="A15" t="inlineStr">
        <is>
          <t>IC4420</t>
        </is>
      </c>
      <c r="B15" t="inlineStr">
        <is>
          <t>NORDEX ENERGY SPAIN S A U</t>
        </is>
      </c>
      <c r="C15" t="n">
        <v>2122100000</v>
      </c>
      <c r="D15" t="inlineStr">
        <is>
          <t>Intercompany</t>
        </is>
      </c>
      <c r="E15" t="n">
        <v>5000188</v>
      </c>
      <c r="F15" t="inlineStr">
        <is>
          <t>4025009533</t>
        </is>
      </c>
      <c r="G15" t="inlineStr">
        <is>
          <t>RE</t>
        </is>
      </c>
      <c r="H15" s="12" t="n">
        <v>-2357</v>
      </c>
      <c r="I15" s="17" t="n">
        <v>46000</v>
      </c>
      <c r="J15" s="17" t="n">
        <v>46030</v>
      </c>
      <c r="K15" t="inlineStr">
        <is>
          <t>0926/25</t>
        </is>
      </c>
    </row>
    <row r="16">
      <c r="A16" t="inlineStr">
        <is>
          <t>IC4420</t>
        </is>
      </c>
      <c r="B16" t="inlineStr">
        <is>
          <t>NORDEX ENERGY SPAIN S A U</t>
        </is>
      </c>
      <c r="C16" t="n">
        <v>2122100000</v>
      </c>
      <c r="D16" t="inlineStr">
        <is>
          <t>Intercompany</t>
        </is>
      </c>
      <c r="E16" t="n">
        <v>5000190</v>
      </c>
      <c r="F16" t="inlineStr">
        <is>
          <t>4025009569</t>
        </is>
      </c>
      <c r="G16" t="inlineStr">
        <is>
          <t>RE</t>
        </is>
      </c>
      <c r="H16" s="12" t="n">
        <v>-6504.31</v>
      </c>
      <c r="I16" s="17" t="n">
        <v>46001</v>
      </c>
      <c r="J16" s="17" t="n">
        <v>46031</v>
      </c>
      <c r="K16" t="inlineStr">
        <is>
          <t>0921/25</t>
        </is>
      </c>
    </row>
    <row r="17">
      <c r="A17" t="inlineStr">
        <is>
          <t>IC4420</t>
        </is>
      </c>
      <c r="B17" t="inlineStr">
        <is>
          <t>NORDEX ENERGY SPAIN S A U</t>
        </is>
      </c>
      <c r="C17" t="n">
        <v>2122100000</v>
      </c>
      <c r="D17" t="inlineStr">
        <is>
          <t>Intercompany</t>
        </is>
      </c>
      <c r="E17" t="n">
        <v>5000236</v>
      </c>
      <c r="F17" t="inlineStr">
        <is>
          <t>4025009111</t>
        </is>
      </c>
      <c r="G17" t="inlineStr">
        <is>
          <t>RE</t>
        </is>
      </c>
      <c r="H17" s="12" t="n">
        <v>-826.41</v>
      </c>
      <c r="I17" s="17" t="n">
        <v>45987</v>
      </c>
      <c r="J17" s="17" t="n">
        <v>46017</v>
      </c>
      <c r="K17" t="inlineStr">
        <is>
          <t>0890/25</t>
        </is>
      </c>
    </row>
    <row r="18">
      <c r="A18" t="inlineStr">
        <is>
          <t>IC4420</t>
        </is>
      </c>
      <c r="B18" t="inlineStr">
        <is>
          <t>NORDEX ENERGY SPAIN S A U</t>
        </is>
      </c>
      <c r="C18" t="n">
        <v>2122100000</v>
      </c>
      <c r="D18" t="inlineStr">
        <is>
          <t>Intercompany</t>
        </is>
      </c>
      <c r="E18" t="n">
        <v>5000246</v>
      </c>
      <c r="F18" t="inlineStr">
        <is>
          <t>4025008477</t>
        </is>
      </c>
      <c r="G18" t="inlineStr">
        <is>
          <t>RE</t>
        </is>
      </c>
      <c r="H18" s="12" t="n">
        <v>-9145.389999999999</v>
      </c>
      <c r="I18" s="17" t="n">
        <v>45964</v>
      </c>
      <c r="J18" s="17" t="n">
        <v>45994</v>
      </c>
      <c r="K18" t="inlineStr">
        <is>
          <t>0845/25</t>
        </is>
      </c>
    </row>
    <row r="19">
      <c r="A19" t="inlineStr">
        <is>
          <t>IC4420</t>
        </is>
      </c>
      <c r="B19" t="inlineStr">
        <is>
          <t>NORDEX ENERGY SPAIN S A U</t>
        </is>
      </c>
      <c r="C19" t="n">
        <v>2122100000</v>
      </c>
      <c r="D19" t="inlineStr">
        <is>
          <t>Intercompany</t>
        </is>
      </c>
      <c r="E19" t="n">
        <v>5000263</v>
      </c>
      <c r="F19" t="inlineStr">
        <is>
          <t>4025008479</t>
        </is>
      </c>
      <c r="G19" t="inlineStr">
        <is>
          <t>RE</t>
        </is>
      </c>
      <c r="H19" s="12" t="n">
        <v>-193802.69</v>
      </c>
      <c r="I19" s="17" t="n">
        <v>45964</v>
      </c>
      <c r="J19" s="17" t="n">
        <v>45994</v>
      </c>
      <c r="K19" t="inlineStr">
        <is>
          <t>0843/25</t>
        </is>
      </c>
    </row>
    <row r="20">
      <c r="A20" t="inlineStr">
        <is>
          <t>IC4420</t>
        </is>
      </c>
      <c r="B20" t="inlineStr">
        <is>
          <t>NORDEX ENERGY SPAIN S A U</t>
        </is>
      </c>
      <c r="C20" t="n">
        <v>2122100000</v>
      </c>
      <c r="D20" t="inlineStr">
        <is>
          <t>Intercompany</t>
        </is>
      </c>
      <c r="E20" t="n">
        <v>5000284</v>
      </c>
      <c r="F20" t="inlineStr">
        <is>
          <t>4025009104</t>
        </is>
      </c>
      <c r="G20" t="inlineStr">
        <is>
          <t>RE</t>
        </is>
      </c>
      <c r="H20" s="12" t="n">
        <v>-33691.24</v>
      </c>
      <c r="I20" s="17" t="n">
        <v>45987</v>
      </c>
      <c r="J20" s="17" t="n">
        <v>46017</v>
      </c>
      <c r="K20" t="inlineStr">
        <is>
          <t>0908/25</t>
        </is>
      </c>
    </row>
    <row r="21">
      <c r="A21" t="inlineStr">
        <is>
          <t>IC4420</t>
        </is>
      </c>
      <c r="B21" t="inlineStr">
        <is>
          <t>NORDEX ENERGY SPAIN S A U</t>
        </is>
      </c>
      <c r="C21" t="n">
        <v>2122100000</v>
      </c>
      <c r="D21" t="inlineStr">
        <is>
          <t>Intercompany</t>
        </is>
      </c>
      <c r="E21" t="n">
        <v>5000430</v>
      </c>
      <c r="F21" t="inlineStr">
        <is>
          <t>4025008481</t>
        </is>
      </c>
      <c r="G21" t="inlineStr">
        <is>
          <t>RE</t>
        </is>
      </c>
      <c r="H21" s="12" t="n">
        <v>-2641.35</v>
      </c>
      <c r="I21" s="17" t="n">
        <v>45964</v>
      </c>
      <c r="J21" s="17" t="n">
        <v>45994</v>
      </c>
      <c r="K21" t="inlineStr">
        <is>
          <t>0847/25</t>
        </is>
      </c>
    </row>
    <row r="22">
      <c r="A22" t="inlineStr">
        <is>
          <t>IC4420</t>
        </is>
      </c>
      <c r="B22" t="inlineStr">
        <is>
          <t>NORDEX ENERGY SPAIN S A U</t>
        </is>
      </c>
      <c r="C22" t="n">
        <v>2122100000</v>
      </c>
      <c r="D22" t="inlineStr">
        <is>
          <t>Intercompany</t>
        </is>
      </c>
      <c r="E22" t="n">
        <v>5000453</v>
      </c>
      <c r="F22" t="inlineStr">
        <is>
          <t>4025009262</t>
        </is>
      </c>
      <c r="G22" t="inlineStr">
        <is>
          <t>RE</t>
        </is>
      </c>
      <c r="H22" s="12" t="n">
        <v>-1450235.74</v>
      </c>
      <c r="I22" s="17" t="n">
        <v>45989</v>
      </c>
      <c r="J22" s="17" t="n">
        <v>46019</v>
      </c>
      <c r="K22" t="inlineStr">
        <is>
          <t>0856/25</t>
        </is>
      </c>
    </row>
    <row r="23">
      <c r="A23" t="inlineStr">
        <is>
          <t>IC4420</t>
        </is>
      </c>
      <c r="B23" t="inlineStr">
        <is>
          <t>NORDEX ENERGY SPAIN S A U</t>
        </is>
      </c>
      <c r="C23" t="n">
        <v>2122100000</v>
      </c>
      <c r="D23" t="inlineStr">
        <is>
          <t>Intercompany</t>
        </is>
      </c>
      <c r="E23" t="n">
        <v>5000455</v>
      </c>
      <c r="F23" t="inlineStr">
        <is>
          <t>4025007895</t>
        </is>
      </c>
      <c r="G23" t="inlineStr">
        <is>
          <t>RE</t>
        </is>
      </c>
      <c r="H23" s="12" t="n">
        <v>-1569787.77</v>
      </c>
      <c r="I23" s="17" t="n">
        <v>45943</v>
      </c>
      <c r="J23" s="17" t="n">
        <v>45973</v>
      </c>
      <c r="K23" t="inlineStr">
        <is>
          <t>0762/25</t>
        </is>
      </c>
    </row>
    <row r="24">
      <c r="A24" t="inlineStr">
        <is>
          <t>IC1000</t>
        </is>
      </c>
      <c r="B24" t="inlineStr">
        <is>
          <t>NORDEX ENERGY SE &amp; CO KG</t>
        </is>
      </c>
      <c r="C24" t="n">
        <v>2122100000</v>
      </c>
      <c r="D24" t="inlineStr">
        <is>
          <t>Intercompany</t>
        </is>
      </c>
      <c r="E24" t="n">
        <v>5000457</v>
      </c>
      <c r="F24" t="inlineStr">
        <is>
          <t>RITM0566444</t>
        </is>
      </c>
      <c r="G24" t="inlineStr">
        <is>
          <t>RE</t>
        </is>
      </c>
      <c r="H24" s="12" t="n">
        <v>-2355357.36</v>
      </c>
      <c r="I24" s="17" t="n">
        <v>45944</v>
      </c>
      <c r="J24" s="17" t="n">
        <v>45974</v>
      </c>
      <c r="K24" t="inlineStr">
        <is>
          <t>0827/25</t>
        </is>
      </c>
    </row>
    <row r="25">
      <c r="A25" t="inlineStr">
        <is>
          <t>IC4420</t>
        </is>
      </c>
      <c r="B25" t="inlineStr">
        <is>
          <t>NORDEX ENERGY SPAIN S A U</t>
        </is>
      </c>
      <c r="C25" t="n">
        <v>2122100000</v>
      </c>
      <c r="D25" t="inlineStr">
        <is>
          <t>Intercompany</t>
        </is>
      </c>
      <c r="E25" t="n">
        <v>5000459</v>
      </c>
      <c r="F25" t="inlineStr">
        <is>
          <t>4025008844</t>
        </is>
      </c>
      <c r="G25" t="inlineStr">
        <is>
          <t>RE</t>
        </is>
      </c>
      <c r="H25" s="12" t="n">
        <v>-1179955.11</v>
      </c>
      <c r="I25" s="17" t="n">
        <v>45978</v>
      </c>
      <c r="J25" s="17" t="n">
        <v>46008</v>
      </c>
      <c r="K25" t="inlineStr">
        <is>
          <t>0867/25</t>
        </is>
      </c>
    </row>
    <row r="26">
      <c r="A26" t="inlineStr">
        <is>
          <t>IC1000</t>
        </is>
      </c>
      <c r="B26" t="inlineStr">
        <is>
          <t>NORDEX ENERGY SE &amp; CO KG</t>
        </is>
      </c>
      <c r="C26" t="n">
        <v>2122100000</v>
      </c>
      <c r="D26" t="inlineStr">
        <is>
          <t>Intercompany</t>
        </is>
      </c>
      <c r="E26" t="n">
        <v>5000610</v>
      </c>
      <c r="F26" t="inlineStr">
        <is>
          <t>373875</t>
        </is>
      </c>
      <c r="G26" t="inlineStr">
        <is>
          <t>RE</t>
        </is>
      </c>
      <c r="H26" s="12" t="n">
        <v>-845718.51</v>
      </c>
      <c r="I26" s="17" t="n">
        <v>45995</v>
      </c>
      <c r="J26" s="17" t="n">
        <v>46025</v>
      </c>
      <c r="K26" t="inlineStr">
        <is>
          <t>0914/25</t>
        </is>
      </c>
    </row>
    <row r="27">
      <c r="A27" t="inlineStr">
        <is>
          <t>IC4420</t>
        </is>
      </c>
      <c r="B27" t="inlineStr">
        <is>
          <t>NORDEX ENERGY SPAIN S A U</t>
        </is>
      </c>
      <c r="C27" t="n">
        <v>2122100000</v>
      </c>
      <c r="D27" t="inlineStr">
        <is>
          <t>Intercompany</t>
        </is>
      </c>
      <c r="E27" t="n">
        <v>5000611</v>
      </c>
      <c r="F27" t="inlineStr">
        <is>
          <t>4025009639</t>
        </is>
      </c>
      <c r="G27" t="inlineStr">
        <is>
          <t>RE</t>
        </is>
      </c>
      <c r="H27" s="12" t="n">
        <v>-240628.73</v>
      </c>
      <c r="I27" s="17" t="n">
        <v>46003</v>
      </c>
      <c r="J27" s="17" t="n">
        <v>46033</v>
      </c>
      <c r="K27" t="inlineStr">
        <is>
          <t>0919/25</t>
        </is>
      </c>
    </row>
    <row r="28">
      <c r="A28" t="inlineStr">
        <is>
          <t>IC4420</t>
        </is>
      </c>
      <c r="B28" t="inlineStr">
        <is>
          <t>NORDEX ENERGY SPAIN S A U</t>
        </is>
      </c>
      <c r="C28" t="n">
        <v>2122100000</v>
      </c>
      <c r="D28" t="inlineStr">
        <is>
          <t>Intercompany</t>
        </is>
      </c>
      <c r="E28" t="n">
        <v>5000618</v>
      </c>
      <c r="F28" t="inlineStr">
        <is>
          <t>4025009537</t>
        </is>
      </c>
      <c r="G28" t="inlineStr">
        <is>
          <t>RE</t>
        </is>
      </c>
      <c r="H28" s="12" t="n">
        <v>-2790.6</v>
      </c>
      <c r="I28" s="17" t="n">
        <v>46000</v>
      </c>
      <c r="J28" s="17" t="n">
        <v>46030</v>
      </c>
      <c r="K28" t="inlineStr">
        <is>
          <t>0927/25</t>
        </is>
      </c>
    </row>
    <row r="29">
      <c r="A29" t="inlineStr">
        <is>
          <t>IC4420</t>
        </is>
      </c>
      <c r="B29" t="inlineStr">
        <is>
          <t>NORDEX ENERGY SPAIN S A U</t>
        </is>
      </c>
      <c r="C29" t="n">
        <v>2122100000</v>
      </c>
      <c r="D29" t="inlineStr">
        <is>
          <t>Intercompany</t>
        </is>
      </c>
      <c r="E29" t="n">
        <v>5000655</v>
      </c>
      <c r="F29" t="inlineStr">
        <is>
          <t>4025008329</t>
        </is>
      </c>
      <c r="G29" t="inlineStr">
        <is>
          <t>RE</t>
        </is>
      </c>
      <c r="H29" s="12" t="n">
        <v>-259816.5</v>
      </c>
      <c r="I29" s="17" t="n">
        <v>45958</v>
      </c>
      <c r="J29" s="17" t="n">
        <v>45988</v>
      </c>
      <c r="K29" t="inlineStr">
        <is>
          <t>0841/25</t>
        </is>
      </c>
    </row>
    <row r="30">
      <c r="A30" t="inlineStr">
        <is>
          <t>IC4420</t>
        </is>
      </c>
      <c r="B30" t="inlineStr">
        <is>
          <t>NORDEX ENERGY SPAIN S A U</t>
        </is>
      </c>
      <c r="C30" t="n">
        <v>2122100000</v>
      </c>
      <c r="D30" t="inlineStr">
        <is>
          <t>Intercompany</t>
        </is>
      </c>
      <c r="E30" t="n">
        <v>5000730</v>
      </c>
      <c r="F30" t="inlineStr">
        <is>
          <t>4025009631</t>
        </is>
      </c>
      <c r="G30" t="inlineStr">
        <is>
          <t>RE</t>
        </is>
      </c>
      <c r="H30" s="12" t="n">
        <v>-159412.48</v>
      </c>
      <c r="I30" s="17" t="n">
        <v>46002</v>
      </c>
      <c r="J30" s="17" t="n">
        <v>46032</v>
      </c>
      <c r="K30" t="inlineStr">
        <is>
          <t>0925/25</t>
        </is>
      </c>
    </row>
    <row r="31">
      <c r="A31" t="inlineStr">
        <is>
          <t>IC1000</t>
        </is>
      </c>
      <c r="B31" t="inlineStr">
        <is>
          <t>NORDEX ENERGY SE &amp; CO KG</t>
        </is>
      </c>
      <c r="C31" t="n">
        <v>2122100000</v>
      </c>
      <c r="D31" t="inlineStr">
        <is>
          <t>Intercompany</t>
        </is>
      </c>
      <c r="E31" t="n">
        <v>5000731</v>
      </c>
      <c r="F31" t="inlineStr">
        <is>
          <t>377202</t>
        </is>
      </c>
      <c r="G31" t="inlineStr">
        <is>
          <t>RE</t>
        </is>
      </c>
      <c r="H31" s="12" t="n">
        <v>-55491.31</v>
      </c>
      <c r="I31" s="17" t="n">
        <v>46010</v>
      </c>
      <c r="J31" s="17" t="n">
        <v>46040</v>
      </c>
      <c r="K31" t="inlineStr">
        <is>
          <t>0951/25</t>
        </is>
      </c>
    </row>
    <row r="32">
      <c r="A32" t="inlineStr">
        <is>
          <t>IC4420</t>
        </is>
      </c>
      <c r="B32" t="inlineStr">
        <is>
          <t>NORDEX ENERGY SPAIN S A U</t>
        </is>
      </c>
      <c r="C32" t="n">
        <v>2122100000</v>
      </c>
      <c r="D32" t="inlineStr">
        <is>
          <t>Intercompany</t>
        </is>
      </c>
      <c r="E32" t="n">
        <v>5000873</v>
      </c>
      <c r="F32" t="inlineStr">
        <is>
          <t>4025007553</t>
        </is>
      </c>
      <c r="G32" t="inlineStr">
        <is>
          <t>RE</t>
        </is>
      </c>
      <c r="H32" s="12" t="n">
        <v>-85605.21000000001</v>
      </c>
      <c r="I32" s="17" t="n">
        <v>45931</v>
      </c>
      <c r="J32" s="17" t="n">
        <v>45961</v>
      </c>
      <c r="K32" t="inlineStr">
        <is>
          <t>0771/25</t>
        </is>
      </c>
    </row>
    <row r="33">
      <c r="A33" t="inlineStr">
        <is>
          <t>IC4420</t>
        </is>
      </c>
      <c r="B33" t="inlineStr">
        <is>
          <t>NORDEX ENERGY SPAIN S A U</t>
        </is>
      </c>
      <c r="C33" t="n">
        <v>2122100000</v>
      </c>
      <c r="D33" t="inlineStr">
        <is>
          <t>Intercompany</t>
        </is>
      </c>
      <c r="E33" t="n">
        <v>5000897</v>
      </c>
      <c r="F33" t="inlineStr">
        <is>
          <t>4025007542</t>
        </is>
      </c>
      <c r="G33" t="inlineStr">
        <is>
          <t>RE</t>
        </is>
      </c>
      <c r="H33" s="12" t="n">
        <v>-1197.95</v>
      </c>
      <c r="I33" s="17" t="n">
        <v>45931</v>
      </c>
      <c r="J33" s="17" t="n">
        <v>45961</v>
      </c>
      <c r="K33" t="inlineStr">
        <is>
          <t>0772/25</t>
        </is>
      </c>
    </row>
    <row r="34">
      <c r="A34" t="inlineStr">
        <is>
          <t>IC4420</t>
        </is>
      </c>
      <c r="B34" t="inlineStr">
        <is>
          <t>NORDEX ENERGY SPAIN S A U</t>
        </is>
      </c>
      <c r="C34" t="n">
        <v>2122100000</v>
      </c>
      <c r="D34" t="inlineStr">
        <is>
          <t>Intercompany</t>
        </is>
      </c>
      <c r="E34" t="n">
        <v>5000898</v>
      </c>
      <c r="F34" t="inlineStr">
        <is>
          <t>4025009628</t>
        </is>
      </c>
      <c r="G34" t="inlineStr">
        <is>
          <t>RE</t>
        </is>
      </c>
      <c r="H34" s="12" t="n">
        <v>-25522.26</v>
      </c>
      <c r="I34" s="17" t="n">
        <v>46002</v>
      </c>
      <c r="J34" s="17" t="n">
        <v>46032</v>
      </c>
      <c r="K34" t="inlineStr">
        <is>
          <t>0922/25</t>
        </is>
      </c>
    </row>
    <row r="35">
      <c r="A35" t="inlineStr">
        <is>
          <t>IC4420</t>
        </is>
      </c>
      <c r="B35" t="inlineStr">
        <is>
          <t>NORDEX ENERGY SPAIN S A U</t>
        </is>
      </c>
      <c r="C35" t="n">
        <v>2122100000</v>
      </c>
      <c r="D35" t="inlineStr">
        <is>
          <t>Intercompany</t>
        </is>
      </c>
      <c r="E35" t="n">
        <v>5000909</v>
      </c>
      <c r="F35" t="inlineStr">
        <is>
          <t>4025009630</t>
        </is>
      </c>
      <c r="G35" t="inlineStr">
        <is>
          <t>RE</t>
        </is>
      </c>
      <c r="H35" s="12" t="n">
        <v>-1784.9</v>
      </c>
      <c r="I35" s="17" t="n">
        <v>46002</v>
      </c>
      <c r="J35" s="17" t="n">
        <v>46032</v>
      </c>
      <c r="K35" t="inlineStr">
        <is>
          <t>0924/25</t>
        </is>
      </c>
    </row>
    <row r="36">
      <c r="A36" t="inlineStr">
        <is>
          <t>IC4420</t>
        </is>
      </c>
      <c r="B36" t="inlineStr">
        <is>
          <t>NORDEX ENERGY SPAIN S A U</t>
        </is>
      </c>
      <c r="C36" t="n">
        <v>2122100000</v>
      </c>
      <c r="D36" t="inlineStr">
        <is>
          <t>Intercompany</t>
        </is>
      </c>
      <c r="E36" t="n">
        <v>5000936</v>
      </c>
      <c r="F36" t="inlineStr">
        <is>
          <t>4025006825</t>
        </is>
      </c>
      <c r="G36" t="inlineStr">
        <is>
          <t>RE</t>
        </is>
      </c>
      <c r="H36" s="12" t="n">
        <v>-21246.53</v>
      </c>
      <c r="I36" s="17" t="n">
        <v>45915</v>
      </c>
      <c r="J36" s="17" t="n">
        <v>45945</v>
      </c>
      <c r="K36" t="inlineStr">
        <is>
          <t>0761/25</t>
        </is>
      </c>
    </row>
    <row r="37">
      <c r="A37" t="inlineStr">
        <is>
          <t>IC4420</t>
        </is>
      </c>
      <c r="B37" t="inlineStr">
        <is>
          <t>NORDEX ENERGY SPAIN S A U</t>
        </is>
      </c>
      <c r="C37" t="n">
        <v>2122100000</v>
      </c>
      <c r="D37" t="inlineStr">
        <is>
          <t>Intercompany</t>
        </is>
      </c>
      <c r="E37" t="n">
        <v>5001039</v>
      </c>
      <c r="F37" t="inlineStr">
        <is>
          <t>4025009995</t>
        </is>
      </c>
      <c r="G37" t="inlineStr">
        <is>
          <t>RE</t>
        </is>
      </c>
      <c r="H37" s="12" t="n">
        <v>-10622.48</v>
      </c>
      <c r="I37" s="17" t="n">
        <v>46020</v>
      </c>
      <c r="J37" s="17" t="n">
        <v>46050</v>
      </c>
      <c r="K37" t="inlineStr">
        <is>
          <t>0001/26</t>
        </is>
      </c>
    </row>
    <row r="38">
      <c r="A38" t="inlineStr">
        <is>
          <t>IC4420</t>
        </is>
      </c>
      <c r="B38" t="inlineStr">
        <is>
          <t>NORDEX ENERGY SPAIN S A U</t>
        </is>
      </c>
      <c r="C38" t="n">
        <v>2122100000</v>
      </c>
      <c r="D38" t="inlineStr">
        <is>
          <t>Intercompany</t>
        </is>
      </c>
      <c r="E38" t="n">
        <v>5001076</v>
      </c>
      <c r="F38" t="inlineStr">
        <is>
          <t>4026000017</t>
        </is>
      </c>
      <c r="G38" t="inlineStr">
        <is>
          <t>RE</t>
        </is>
      </c>
      <c r="H38" s="12" t="n">
        <v>-26344.81</v>
      </c>
      <c r="I38" s="17" t="n">
        <v>46024</v>
      </c>
      <c r="J38" s="17" t="n">
        <v>46054</v>
      </c>
      <c r="K38" t="inlineStr">
        <is>
          <t>0007/26</t>
        </is>
      </c>
    </row>
    <row r="39">
      <c r="A39" t="inlineStr">
        <is>
          <t>IC4420</t>
        </is>
      </c>
      <c r="B39" t="inlineStr">
        <is>
          <t>NORDEX ENERGY SPAIN S A U</t>
        </is>
      </c>
      <c r="C39" t="n">
        <v>2122100000</v>
      </c>
      <c r="D39" t="inlineStr">
        <is>
          <t>Intercompany</t>
        </is>
      </c>
      <c r="E39" t="n">
        <v>5001077</v>
      </c>
      <c r="F39" t="inlineStr">
        <is>
          <t>4025009872</t>
        </is>
      </c>
      <c r="G39" t="inlineStr">
        <is>
          <t>RE</t>
        </is>
      </c>
      <c r="H39" s="12" t="n">
        <v>-125034.74</v>
      </c>
      <c r="I39" s="17" t="n">
        <v>46013</v>
      </c>
      <c r="J39" s="17" t="n">
        <v>46043</v>
      </c>
      <c r="K39" t="inlineStr">
        <is>
          <t>0952/25</t>
        </is>
      </c>
    </row>
    <row r="40">
      <c r="A40" t="inlineStr">
        <is>
          <t>IC4420</t>
        </is>
      </c>
      <c r="B40" t="inlineStr">
        <is>
          <t>NORDEX ENERGY SPAIN S A U</t>
        </is>
      </c>
      <c r="C40" t="n">
        <v>2122100000</v>
      </c>
      <c r="D40" t="inlineStr">
        <is>
          <t>Intercompany</t>
        </is>
      </c>
      <c r="E40" t="n">
        <v>5001115</v>
      </c>
      <c r="F40" t="inlineStr">
        <is>
          <t>4025009624</t>
        </is>
      </c>
      <c r="G40" t="inlineStr">
        <is>
          <t>RE</t>
        </is>
      </c>
      <c r="H40" s="12" t="n">
        <v>-26450.22</v>
      </c>
      <c r="I40" s="17" t="n">
        <v>46002</v>
      </c>
      <c r="J40" s="17" t="n">
        <v>46032</v>
      </c>
      <c r="K40" t="inlineStr">
        <is>
          <t>0915/25</t>
        </is>
      </c>
    </row>
    <row r="41">
      <c r="A41" t="inlineStr">
        <is>
          <t>IC4420</t>
        </is>
      </c>
      <c r="B41" t="inlineStr">
        <is>
          <t>NORDEX ENERGY SPAIN S A U</t>
        </is>
      </c>
      <c r="C41" t="n">
        <v>2122100000</v>
      </c>
      <c r="D41" t="inlineStr">
        <is>
          <t>Intercompany</t>
        </is>
      </c>
      <c r="E41" t="n">
        <v>5001116</v>
      </c>
      <c r="F41" t="inlineStr">
        <is>
          <t>4025009629</t>
        </is>
      </c>
      <c r="G41" t="inlineStr">
        <is>
          <t>RE</t>
        </is>
      </c>
      <c r="H41" s="12" t="n">
        <v>-13191.72</v>
      </c>
      <c r="I41" s="17" t="n">
        <v>46002</v>
      </c>
      <c r="J41" s="17" t="n">
        <v>46032</v>
      </c>
      <c r="K41" t="inlineStr">
        <is>
          <t>0923/25</t>
        </is>
      </c>
    </row>
    <row r="42">
      <c r="A42" t="inlineStr">
        <is>
          <t>IC4420</t>
        </is>
      </c>
      <c r="B42" t="inlineStr">
        <is>
          <t>NORDEX ENERGY SPAIN S A U</t>
        </is>
      </c>
      <c r="C42" t="n">
        <v>2122100000</v>
      </c>
      <c r="D42" t="inlineStr">
        <is>
          <t>Intercompany</t>
        </is>
      </c>
      <c r="E42" t="n">
        <v>5001130</v>
      </c>
      <c r="F42" t="inlineStr">
        <is>
          <t>4025009626</t>
        </is>
      </c>
      <c r="G42" t="inlineStr">
        <is>
          <t>RE</t>
        </is>
      </c>
      <c r="H42" s="12" t="n">
        <v>-2233.79</v>
      </c>
      <c r="I42" s="17" t="n">
        <v>46002</v>
      </c>
      <c r="J42" s="17" t="n">
        <v>46032</v>
      </c>
      <c r="K42" t="inlineStr">
        <is>
          <t>0929/25</t>
        </is>
      </c>
    </row>
    <row r="43">
      <c r="A43" t="inlineStr">
        <is>
          <t>IC4420</t>
        </is>
      </c>
      <c r="B43" t="inlineStr">
        <is>
          <t>NORDEX ENERGY SPAIN S A U</t>
        </is>
      </c>
      <c r="C43" t="n">
        <v>2122100000</v>
      </c>
      <c r="D43" t="inlineStr">
        <is>
          <t>Intercompany</t>
        </is>
      </c>
      <c r="E43" t="n">
        <v>5001131</v>
      </c>
      <c r="F43" t="inlineStr">
        <is>
          <t>4025009623</t>
        </is>
      </c>
      <c r="G43" t="inlineStr">
        <is>
          <t>RE</t>
        </is>
      </c>
      <c r="H43" s="12" t="n">
        <v>-32643.63</v>
      </c>
      <c r="I43" s="17" t="n">
        <v>46002</v>
      </c>
      <c r="J43" s="17" t="n">
        <v>46032</v>
      </c>
      <c r="K43" t="inlineStr">
        <is>
          <t>0920/25</t>
        </is>
      </c>
    </row>
    <row r="44">
      <c r="A44" t="inlineStr">
        <is>
          <t>IC4420</t>
        </is>
      </c>
      <c r="B44" t="inlineStr">
        <is>
          <t>NORDEX ENERGY SPAIN S A U</t>
        </is>
      </c>
      <c r="C44" t="n">
        <v>2122100000</v>
      </c>
      <c r="D44" t="inlineStr">
        <is>
          <t>Intercompany</t>
        </is>
      </c>
      <c r="E44" t="n">
        <v>5001136</v>
      </c>
      <c r="F44" t="inlineStr">
        <is>
          <t>4025009627</t>
        </is>
      </c>
      <c r="G44" t="inlineStr">
        <is>
          <t>RE</t>
        </is>
      </c>
      <c r="H44" s="12" t="n">
        <v>-46162.36</v>
      </c>
      <c r="I44" s="17" t="n">
        <v>46002</v>
      </c>
      <c r="J44" s="17" t="n">
        <v>46032</v>
      </c>
      <c r="K44" t="inlineStr">
        <is>
          <t>0917/25</t>
        </is>
      </c>
    </row>
    <row r="45">
      <c r="A45" t="inlineStr">
        <is>
          <t>IC4420</t>
        </is>
      </c>
      <c r="B45" t="inlineStr">
        <is>
          <t>NORDEX ENERGY SPAIN S A U</t>
        </is>
      </c>
      <c r="C45" t="n">
        <v>2122100000</v>
      </c>
      <c r="D45" t="inlineStr">
        <is>
          <t>Intercompany</t>
        </is>
      </c>
      <c r="E45" t="n">
        <v>5001222</v>
      </c>
      <c r="F45" t="inlineStr">
        <is>
          <t>4025009622</t>
        </is>
      </c>
      <c r="G45" t="inlineStr">
        <is>
          <t>RE</t>
        </is>
      </c>
      <c r="H45" s="12" t="n">
        <v>-132497.98</v>
      </c>
      <c r="I45" s="17" t="n">
        <v>46002</v>
      </c>
      <c r="J45" s="17" t="n">
        <v>46032</v>
      </c>
      <c r="K45" t="inlineStr">
        <is>
          <t>0918/25</t>
        </is>
      </c>
    </row>
    <row r="46">
      <c r="A46" t="inlineStr">
        <is>
          <t>IC4420</t>
        </is>
      </c>
      <c r="B46" t="inlineStr">
        <is>
          <t>NORDEX ENERGY SPAIN S A U</t>
        </is>
      </c>
      <c r="C46" t="n">
        <v>2122100000</v>
      </c>
      <c r="D46" t="inlineStr">
        <is>
          <t>Intercompany</t>
        </is>
      </c>
      <c r="E46" t="n">
        <v>5001279</v>
      </c>
      <c r="F46" t="inlineStr">
        <is>
          <t>4025009992</t>
        </is>
      </c>
      <c r="G46" t="inlineStr">
        <is>
          <t>RE</t>
        </is>
      </c>
      <c r="H46" s="12" t="n">
        <v>-33771.21</v>
      </c>
      <c r="I46" s="17" t="n">
        <v>46020</v>
      </c>
      <c r="J46" s="17" t="n">
        <v>46050</v>
      </c>
      <c r="K46" t="inlineStr">
        <is>
          <t>0002/26</t>
        </is>
      </c>
    </row>
    <row r="47">
      <c r="A47" t="inlineStr">
        <is>
          <t>IC1000</t>
        </is>
      </c>
      <c r="B47" t="inlineStr">
        <is>
          <t>NORDEX ENERGY SE &amp; CO KG</t>
        </is>
      </c>
      <c r="C47" t="n">
        <v>2122100000</v>
      </c>
      <c r="D47" t="inlineStr">
        <is>
          <t>Intercompany</t>
        </is>
      </c>
      <c r="E47" t="n">
        <v>5001320</v>
      </c>
      <c r="F47" t="inlineStr">
        <is>
          <t>377640</t>
        </is>
      </c>
      <c r="G47" t="inlineStr">
        <is>
          <t>RE</t>
        </is>
      </c>
      <c r="H47" s="12" t="n">
        <v>-575726.34</v>
      </c>
      <c r="I47" s="17" t="n">
        <v>46029</v>
      </c>
      <c r="J47" s="17" t="n">
        <v>46059</v>
      </c>
      <c r="K47" t="inlineStr">
        <is>
          <t>0017/26</t>
        </is>
      </c>
    </row>
    <row r="48">
      <c r="A48" t="inlineStr">
        <is>
          <t>IC1000</t>
        </is>
      </c>
      <c r="B48" t="inlineStr">
        <is>
          <t>NORDEX ENERGY SE &amp; CO KG</t>
        </is>
      </c>
      <c r="C48" t="n">
        <v>2122100000</v>
      </c>
      <c r="D48" t="inlineStr">
        <is>
          <t>Intercompany</t>
        </is>
      </c>
      <c r="E48" t="n">
        <v>5001321</v>
      </c>
      <c r="F48" t="inlineStr">
        <is>
          <t>378179</t>
        </is>
      </c>
      <c r="G48" t="inlineStr">
        <is>
          <t>RE</t>
        </is>
      </c>
      <c r="H48" s="12" t="n">
        <v>-13835.21</v>
      </c>
      <c r="I48" s="17" t="n">
        <v>46029</v>
      </c>
      <c r="J48" s="17" t="n">
        <v>46059</v>
      </c>
      <c r="K48" t="inlineStr">
        <is>
          <t>0018/26</t>
        </is>
      </c>
    </row>
    <row r="49">
      <c r="A49" t="inlineStr">
        <is>
          <t>IC4420</t>
        </is>
      </c>
      <c r="B49" t="inlineStr">
        <is>
          <t>NORDEX ENERGY SPAIN S A U</t>
        </is>
      </c>
      <c r="C49" t="n">
        <v>2122100000</v>
      </c>
      <c r="D49" t="inlineStr">
        <is>
          <t>Intercompany</t>
        </is>
      </c>
      <c r="E49" t="n">
        <v>5001322</v>
      </c>
      <c r="F49" t="inlineStr">
        <is>
          <t>4026000015</t>
        </is>
      </c>
      <c r="G49" t="inlineStr">
        <is>
          <t>RE</t>
        </is>
      </c>
      <c r="H49" s="12" t="n">
        <v>-1132.16</v>
      </c>
      <c r="I49" s="17" t="n">
        <v>46024</v>
      </c>
      <c r="J49" s="17" t="n">
        <v>46054</v>
      </c>
      <c r="K49" t="inlineStr">
        <is>
          <t>0006/26</t>
        </is>
      </c>
    </row>
    <row r="50">
      <c r="A50" t="inlineStr">
        <is>
          <t>IC4420</t>
        </is>
      </c>
      <c r="B50" t="inlineStr">
        <is>
          <t>NORDEX ENERGY SPAIN S A U</t>
        </is>
      </c>
      <c r="C50" t="n">
        <v>2122100000</v>
      </c>
      <c r="D50" t="inlineStr">
        <is>
          <t>Intercompany</t>
        </is>
      </c>
      <c r="E50" t="n">
        <v>5001324</v>
      </c>
      <c r="F50" t="inlineStr">
        <is>
          <t>4026000018</t>
        </is>
      </c>
      <c r="G50" t="inlineStr">
        <is>
          <t>RE</t>
        </is>
      </c>
      <c r="H50" s="12" t="n">
        <v>-2040.67</v>
      </c>
      <c r="I50" s="17" t="n">
        <v>46024</v>
      </c>
      <c r="J50" s="17" t="n">
        <v>46054</v>
      </c>
      <c r="K50" t="inlineStr">
        <is>
          <t>0005/26</t>
        </is>
      </c>
    </row>
    <row r="51">
      <c r="A51" t="inlineStr">
        <is>
          <t>IC4420</t>
        </is>
      </c>
      <c r="B51" t="inlineStr">
        <is>
          <t>NORDEX ENERGY SPAIN S A U</t>
        </is>
      </c>
      <c r="C51" t="n">
        <v>2122100000</v>
      </c>
      <c r="D51" t="inlineStr">
        <is>
          <t>Intercompany</t>
        </is>
      </c>
      <c r="E51" t="n">
        <v>5001325</v>
      </c>
      <c r="F51" t="inlineStr">
        <is>
          <t>4026000016</t>
        </is>
      </c>
      <c r="G51" t="inlineStr">
        <is>
          <t>RE</t>
        </is>
      </c>
      <c r="H51" s="12" t="n">
        <v>-26338.23</v>
      </c>
      <c r="I51" s="17" t="n">
        <v>46024</v>
      </c>
      <c r="J51" s="17" t="n">
        <v>46054</v>
      </c>
      <c r="K51" t="inlineStr">
        <is>
          <t>0005/26</t>
        </is>
      </c>
    </row>
    <row r="52">
      <c r="A52" t="inlineStr">
        <is>
          <t>IC4420</t>
        </is>
      </c>
      <c r="B52" t="inlineStr">
        <is>
          <t>NORDEX ENERGY SPAIN S A U</t>
        </is>
      </c>
      <c r="C52" t="n">
        <v>2122100000</v>
      </c>
      <c r="D52" t="inlineStr">
        <is>
          <t>Intercompany</t>
        </is>
      </c>
      <c r="E52" t="n">
        <v>5001526</v>
      </c>
      <c r="F52" t="inlineStr">
        <is>
          <t>4025009621</t>
        </is>
      </c>
      <c r="G52" t="inlineStr">
        <is>
          <t>RE</t>
        </is>
      </c>
      <c r="H52" s="12" t="n">
        <v>-23653.14</v>
      </c>
      <c r="I52" s="17" t="n">
        <v>46002</v>
      </c>
      <c r="J52" s="17" t="n">
        <v>46032</v>
      </c>
      <c r="K52" t="inlineStr">
        <is>
          <t>0916/25</t>
        </is>
      </c>
    </row>
    <row r="53">
      <c r="A53" t="inlineStr">
        <is>
          <t>IC4420</t>
        </is>
      </c>
      <c r="B53" t="inlineStr">
        <is>
          <t>NORDEX ENERGY SPAIN S A U</t>
        </is>
      </c>
      <c r="C53" t="n">
        <v>2122100000</v>
      </c>
      <c r="D53" t="inlineStr">
        <is>
          <t>Intercompany</t>
        </is>
      </c>
      <c r="E53" t="n">
        <v>5001545</v>
      </c>
      <c r="F53" t="inlineStr">
        <is>
          <t>4025007240</t>
        </is>
      </c>
      <c r="G53" t="inlineStr">
        <is>
          <t>RE</t>
        </is>
      </c>
      <c r="H53" s="12" t="n">
        <v>-491</v>
      </c>
      <c r="I53" s="17" t="n">
        <v>45919</v>
      </c>
      <c r="J53" s="17" t="n">
        <v>45949</v>
      </c>
      <c r="K53" t="inlineStr">
        <is>
          <t>0778/25</t>
        </is>
      </c>
    </row>
    <row r="54">
      <c r="A54" t="inlineStr">
        <is>
          <t>IC4420</t>
        </is>
      </c>
      <c r="B54" t="inlineStr">
        <is>
          <t>NORDEX ENERGY SPAIN S A U</t>
        </is>
      </c>
      <c r="C54" t="n">
        <v>2122100000</v>
      </c>
      <c r="D54" t="inlineStr">
        <is>
          <t>Intercompany</t>
        </is>
      </c>
      <c r="E54" t="n">
        <v>5001587</v>
      </c>
      <c r="F54" t="inlineStr">
        <is>
          <t>4025008325</t>
        </is>
      </c>
      <c r="G54" t="inlineStr">
        <is>
          <t>RE</t>
        </is>
      </c>
      <c r="H54" s="12" t="n">
        <v>-260788.45</v>
      </c>
      <c r="I54" s="17" t="n">
        <v>45958</v>
      </c>
      <c r="J54" s="17" t="n">
        <v>45988</v>
      </c>
      <c r="K54" t="inlineStr">
        <is>
          <t>0816/25</t>
        </is>
      </c>
    </row>
    <row r="55">
      <c r="A55" t="inlineStr">
        <is>
          <t>IC4420</t>
        </is>
      </c>
      <c r="B55" t="inlineStr">
        <is>
          <t>NORDEX ENERGY SPAIN S A U</t>
        </is>
      </c>
      <c r="C55" t="n">
        <v>2122100000</v>
      </c>
      <c r="D55" t="inlineStr">
        <is>
          <t>Intercompany</t>
        </is>
      </c>
      <c r="E55" t="n">
        <v>5001588</v>
      </c>
      <c r="F55" t="inlineStr">
        <is>
          <t>4025008326</t>
        </is>
      </c>
      <c r="G55" t="inlineStr">
        <is>
          <t>RE</t>
        </is>
      </c>
      <c r="H55" s="12" t="n">
        <v>-260788.45</v>
      </c>
      <c r="I55" s="17" t="n">
        <v>45958</v>
      </c>
      <c r="J55" s="17" t="n">
        <v>45988</v>
      </c>
      <c r="K55" t="inlineStr">
        <is>
          <t>0816/25</t>
        </is>
      </c>
    </row>
    <row r="56">
      <c r="A56" t="inlineStr">
        <is>
          <t>IC4420</t>
        </is>
      </c>
      <c r="B56" t="inlineStr">
        <is>
          <t>NORDEX ENERGY SPAIN S A U</t>
        </is>
      </c>
      <c r="C56" t="n">
        <v>2122100000</v>
      </c>
      <c r="D56" t="inlineStr">
        <is>
          <t>Intercompany</t>
        </is>
      </c>
      <c r="E56" t="n">
        <v>5001649</v>
      </c>
      <c r="F56" t="inlineStr">
        <is>
          <t>4025010000</t>
        </is>
      </c>
      <c r="G56" t="inlineStr">
        <is>
          <t>RE</t>
        </is>
      </c>
      <c r="H56" s="12" t="n">
        <v>-184583.34</v>
      </c>
      <c r="I56" s="17" t="n">
        <v>46020</v>
      </c>
      <c r="J56" s="17" t="n">
        <v>46050</v>
      </c>
      <c r="K56" t="inlineStr">
        <is>
          <t>0009/26</t>
        </is>
      </c>
    </row>
    <row r="57">
      <c r="A57" t="inlineStr">
        <is>
          <t>IC4420</t>
        </is>
      </c>
      <c r="B57" t="inlineStr">
        <is>
          <t>NORDEX ENERGY SPAIN S A U</t>
        </is>
      </c>
      <c r="C57" t="n">
        <v>2122100000</v>
      </c>
      <c r="D57" t="inlineStr">
        <is>
          <t>Intercompany</t>
        </is>
      </c>
      <c r="E57" t="n">
        <v>5001656</v>
      </c>
      <c r="F57" t="inlineStr">
        <is>
          <t>4025007225</t>
        </is>
      </c>
      <c r="G57" t="inlineStr">
        <is>
          <t>RE</t>
        </is>
      </c>
      <c r="H57" s="12" t="n">
        <v>-28066.33</v>
      </c>
      <c r="I57" s="17" t="n">
        <v>45919</v>
      </c>
      <c r="J57" s="17" t="n">
        <v>45949</v>
      </c>
      <c r="K57" t="inlineStr">
        <is>
          <t>0777/25</t>
        </is>
      </c>
    </row>
    <row r="58">
      <c r="A58" t="inlineStr">
        <is>
          <t>IC4420</t>
        </is>
      </c>
      <c r="B58" t="inlineStr">
        <is>
          <t>NORDEX ENERGY SPAIN S A U</t>
        </is>
      </c>
      <c r="C58" t="n">
        <v>2122100000</v>
      </c>
      <c r="D58" t="inlineStr">
        <is>
          <t>Intercompany</t>
        </is>
      </c>
      <c r="E58" t="n">
        <v>5001657</v>
      </c>
      <c r="F58" t="inlineStr">
        <is>
          <t>4025009105</t>
        </is>
      </c>
      <c r="G58" t="inlineStr">
        <is>
          <t>RE</t>
        </is>
      </c>
      <c r="H58" s="12" t="n">
        <v>-3270.43</v>
      </c>
      <c r="I58" s="17" t="n">
        <v>45987</v>
      </c>
      <c r="J58" s="17" t="n">
        <v>46017</v>
      </c>
      <c r="K58" t="inlineStr">
        <is>
          <t>0881/25</t>
        </is>
      </c>
    </row>
    <row r="59">
      <c r="A59" t="inlineStr">
        <is>
          <t>IC1000</t>
        </is>
      </c>
      <c r="B59" t="inlineStr">
        <is>
          <t>NORDEX ENERGY SE &amp; CO KG</t>
        </is>
      </c>
      <c r="C59" t="n">
        <v>2122100000</v>
      </c>
      <c r="D59" t="inlineStr">
        <is>
          <t>Intercompany</t>
        </is>
      </c>
      <c r="E59" t="n">
        <v>5001661</v>
      </c>
      <c r="F59" t="inlineStr">
        <is>
          <t>4012485635-4</t>
        </is>
      </c>
      <c r="G59" t="inlineStr">
        <is>
          <t>RE</t>
        </is>
      </c>
      <c r="H59" s="12" t="n">
        <v>-114689.84</v>
      </c>
      <c r="I59" s="17" t="n">
        <v>45988</v>
      </c>
      <c r="J59" s="17" t="n">
        <v>46018</v>
      </c>
      <c r="K59" t="inlineStr">
        <is>
          <t>0910/25</t>
        </is>
      </c>
    </row>
    <row r="60">
      <c r="A60" t="inlineStr">
        <is>
          <t>IC1000</t>
        </is>
      </c>
      <c r="B60" t="inlineStr">
        <is>
          <t>NORDEX ENERGY SE &amp; CO KG</t>
        </is>
      </c>
      <c r="C60" t="n">
        <v>2122100000</v>
      </c>
      <c r="D60" t="inlineStr">
        <is>
          <t>Intercompany</t>
        </is>
      </c>
      <c r="E60" t="n">
        <v>5001662</v>
      </c>
      <c r="F60" t="inlineStr">
        <is>
          <t>4012485635-2</t>
        </is>
      </c>
      <c r="G60" t="inlineStr">
        <is>
          <t>RE</t>
        </is>
      </c>
      <c r="H60" s="12" t="n">
        <v>-688139.04</v>
      </c>
      <c r="I60" s="17" t="n">
        <v>45988</v>
      </c>
      <c r="J60" s="17" t="n">
        <v>46018</v>
      </c>
      <c r="K60" t="inlineStr">
        <is>
          <t>0910/25</t>
        </is>
      </c>
    </row>
    <row r="61">
      <c r="A61" t="inlineStr">
        <is>
          <t>IC1000</t>
        </is>
      </c>
      <c r="B61" t="inlineStr">
        <is>
          <t>NORDEX ENERGY SE &amp; CO KG</t>
        </is>
      </c>
      <c r="C61" t="n">
        <v>2122100000</v>
      </c>
      <c r="D61" t="inlineStr">
        <is>
          <t>Intercompany</t>
        </is>
      </c>
      <c r="E61" t="n">
        <v>5001663</v>
      </c>
      <c r="F61" t="inlineStr">
        <is>
          <t>4012485635-1</t>
        </is>
      </c>
      <c r="G61" t="inlineStr">
        <is>
          <t>RE</t>
        </is>
      </c>
      <c r="H61" s="12" t="n">
        <v>-688139.04</v>
      </c>
      <c r="I61" s="17" t="n">
        <v>45988</v>
      </c>
      <c r="J61" s="17" t="n">
        <v>46018</v>
      </c>
      <c r="K61" t="inlineStr">
        <is>
          <t>0910/25</t>
        </is>
      </c>
    </row>
    <row r="62">
      <c r="A62" t="inlineStr">
        <is>
          <t>IC4420</t>
        </is>
      </c>
      <c r="B62" t="inlineStr">
        <is>
          <t>NORDEX ENERGY SPAIN S A U</t>
        </is>
      </c>
      <c r="C62" t="n">
        <v>2122100000</v>
      </c>
      <c r="D62" t="inlineStr">
        <is>
          <t>Intercompany</t>
        </is>
      </c>
      <c r="E62" t="n">
        <v>5001664</v>
      </c>
      <c r="F62" t="inlineStr">
        <is>
          <t>4026000021</t>
        </is>
      </c>
      <c r="G62" t="inlineStr">
        <is>
          <t>RE</t>
        </is>
      </c>
      <c r="H62" s="12" t="n">
        <v>-217412.75</v>
      </c>
      <c r="I62" s="17" t="n">
        <v>46024</v>
      </c>
      <c r="J62" s="17" t="n">
        <v>46054</v>
      </c>
      <c r="K62" t="inlineStr">
        <is>
          <t>0014/26</t>
        </is>
      </c>
    </row>
    <row r="63">
      <c r="A63" t="inlineStr">
        <is>
          <t>IC4420</t>
        </is>
      </c>
      <c r="B63" t="inlineStr">
        <is>
          <t>NORDEX ENERGY SPAIN S A U</t>
        </is>
      </c>
      <c r="C63" t="n">
        <v>2122100000</v>
      </c>
      <c r="D63" t="inlineStr">
        <is>
          <t>Intercompany</t>
        </is>
      </c>
      <c r="E63" t="n">
        <v>5001666</v>
      </c>
      <c r="F63" t="inlineStr">
        <is>
          <t>4025010001</t>
        </is>
      </c>
      <c r="G63" t="inlineStr">
        <is>
          <t>RE</t>
        </is>
      </c>
      <c r="H63" s="12" t="n">
        <v>-183.87</v>
      </c>
      <c r="I63" s="17" t="n">
        <v>46020</v>
      </c>
      <c r="J63" s="17" t="n">
        <v>46050</v>
      </c>
      <c r="K63" t="inlineStr">
        <is>
          <t>0011/26</t>
        </is>
      </c>
    </row>
    <row r="64">
      <c r="A64" t="inlineStr">
        <is>
          <t>IC4420</t>
        </is>
      </c>
      <c r="B64" t="inlineStr">
        <is>
          <t>NORDEX ENERGY SPAIN S A U</t>
        </is>
      </c>
      <c r="C64" t="n">
        <v>2122100000</v>
      </c>
      <c r="D64" t="inlineStr">
        <is>
          <t>Intercompany</t>
        </is>
      </c>
      <c r="E64" t="n">
        <v>5001668</v>
      </c>
      <c r="F64" t="inlineStr">
        <is>
          <t>4025007236</t>
        </is>
      </c>
      <c r="G64" t="inlineStr">
        <is>
          <t>RE</t>
        </is>
      </c>
      <c r="H64" s="12" t="n">
        <v>-19071.4</v>
      </c>
      <c r="I64" s="17" t="n">
        <v>45919</v>
      </c>
      <c r="J64" s="17" t="n">
        <v>45949</v>
      </c>
      <c r="K64" t="inlineStr">
        <is>
          <t>0773/25</t>
        </is>
      </c>
    </row>
    <row r="65">
      <c r="A65" t="inlineStr">
        <is>
          <t>IC1000</t>
        </is>
      </c>
      <c r="B65" t="inlineStr">
        <is>
          <t>NORDEX ENERGY SE &amp; CO KG</t>
        </is>
      </c>
      <c r="C65" t="n">
        <v>2122100000</v>
      </c>
      <c r="D65" t="inlineStr">
        <is>
          <t>Intercompany</t>
        </is>
      </c>
      <c r="E65" t="n">
        <v>5001669</v>
      </c>
      <c r="F65" t="inlineStr">
        <is>
          <t>4012485635-3</t>
        </is>
      </c>
      <c r="G65" t="inlineStr">
        <is>
          <t>RE</t>
        </is>
      </c>
      <c r="H65" s="12" t="n">
        <v>-688139.04</v>
      </c>
      <c r="I65" s="17" t="n">
        <v>45988</v>
      </c>
      <c r="J65" s="17" t="n">
        <v>46018</v>
      </c>
      <c r="K65" t="inlineStr">
        <is>
          <t>0910/25</t>
        </is>
      </c>
    </row>
    <row r="66">
      <c r="A66" t="inlineStr">
        <is>
          <t>IC4420</t>
        </is>
      </c>
      <c r="B66" t="inlineStr">
        <is>
          <t>NORDEX ENERGY SPAIN S A U</t>
        </is>
      </c>
      <c r="C66" t="n">
        <v>2122100000</v>
      </c>
      <c r="D66" t="inlineStr">
        <is>
          <t>Intercompany</t>
        </is>
      </c>
      <c r="E66" t="n">
        <v>5001670</v>
      </c>
      <c r="F66" t="inlineStr">
        <is>
          <t>4025009999</t>
        </is>
      </c>
      <c r="G66" t="inlineStr">
        <is>
          <t>RE</t>
        </is>
      </c>
      <c r="H66" s="12" t="n">
        <v>-193782.71</v>
      </c>
      <c r="I66" s="17" t="n">
        <v>46020</v>
      </c>
      <c r="J66" s="17" t="n">
        <v>46050</v>
      </c>
      <c r="K66" t="inlineStr">
        <is>
          <t>0011/26</t>
        </is>
      </c>
    </row>
    <row r="67">
      <c r="A67" t="inlineStr">
        <is>
          <t>IC4420</t>
        </is>
      </c>
      <c r="B67" t="inlineStr">
        <is>
          <t>NORDEX ENERGY SPAIN S A U</t>
        </is>
      </c>
      <c r="C67" t="n">
        <v>2122100000</v>
      </c>
      <c r="D67" t="inlineStr">
        <is>
          <t>Intercompany</t>
        </is>
      </c>
      <c r="E67" t="n">
        <v>5001672</v>
      </c>
      <c r="F67" t="inlineStr">
        <is>
          <t>4025007228</t>
        </is>
      </c>
      <c r="G67" t="inlineStr">
        <is>
          <t>RE</t>
        </is>
      </c>
      <c r="H67" s="12" t="n">
        <v>-60858.8</v>
      </c>
      <c r="I67" s="17" t="n">
        <v>45919</v>
      </c>
      <c r="J67" s="17" t="n">
        <v>45949</v>
      </c>
      <c r="K67" t="inlineStr">
        <is>
          <t>0773/25</t>
        </is>
      </c>
    </row>
    <row r="68">
      <c r="A68" t="inlineStr">
        <is>
          <t>IC4420</t>
        </is>
      </c>
      <c r="B68" t="inlineStr">
        <is>
          <t>NORDEX ENERGY SPAIN S A U</t>
        </is>
      </c>
      <c r="C68" t="n">
        <v>2122100000</v>
      </c>
      <c r="D68" t="inlineStr">
        <is>
          <t>Intercompany</t>
        </is>
      </c>
      <c r="E68" t="n">
        <v>5001692</v>
      </c>
      <c r="F68" t="inlineStr">
        <is>
          <t>4018000179</t>
        </is>
      </c>
      <c r="G68" t="inlineStr">
        <is>
          <t>RE</t>
        </is>
      </c>
      <c r="H68" s="12" t="n">
        <v>-251812.42</v>
      </c>
      <c r="I68" s="17" t="n">
        <v>45926</v>
      </c>
      <c r="J68" s="17" t="n">
        <v>45956</v>
      </c>
      <c r="K68" t="inlineStr">
        <is>
          <t>0774/25</t>
        </is>
      </c>
    </row>
    <row r="69">
      <c r="A69" t="inlineStr">
        <is>
          <t>IC4420</t>
        </is>
      </c>
      <c r="B69" t="inlineStr">
        <is>
          <t>NORDEX ENERGY SPAIN S A U</t>
        </is>
      </c>
      <c r="C69" t="n">
        <v>2122100000</v>
      </c>
      <c r="D69" t="inlineStr">
        <is>
          <t>Intercompany</t>
        </is>
      </c>
      <c r="E69" t="n">
        <v>5001694</v>
      </c>
      <c r="F69" t="inlineStr">
        <is>
          <t>4025007245</t>
        </is>
      </c>
      <c r="G69" t="inlineStr">
        <is>
          <t>RE</t>
        </is>
      </c>
      <c r="H69" s="12" t="n">
        <v>-156475.18</v>
      </c>
      <c r="I69" s="17" t="n">
        <v>45919</v>
      </c>
      <c r="J69" s="17" t="n">
        <v>45949</v>
      </c>
      <c r="K69" t="inlineStr">
        <is>
          <t>0774/25</t>
        </is>
      </c>
    </row>
    <row r="70">
      <c r="A70" t="inlineStr">
        <is>
          <t>IC4420</t>
        </is>
      </c>
      <c r="B70" t="inlineStr">
        <is>
          <t>NORDEX ENERGY SPAIN S A U</t>
        </is>
      </c>
      <c r="C70" t="n">
        <v>2122100000</v>
      </c>
      <c r="D70" t="inlineStr">
        <is>
          <t>Intercompany</t>
        </is>
      </c>
      <c r="E70" t="n">
        <v>5001699</v>
      </c>
      <c r="F70" t="inlineStr">
        <is>
          <t>4025007231</t>
        </is>
      </c>
      <c r="G70" t="inlineStr">
        <is>
          <t>RE</t>
        </is>
      </c>
      <c r="H70" s="12" t="n">
        <v>-1875.27</v>
      </c>
      <c r="I70" s="17" t="n">
        <v>45919</v>
      </c>
      <c r="J70" s="17" t="n">
        <v>45949</v>
      </c>
      <c r="K70" t="inlineStr">
        <is>
          <t>0774/25</t>
        </is>
      </c>
    </row>
    <row r="71">
      <c r="A71" t="inlineStr">
        <is>
          <t>IC4420</t>
        </is>
      </c>
      <c r="B71" t="inlineStr">
        <is>
          <t>NORDEX ENERGY SPAIN S A U</t>
        </is>
      </c>
      <c r="C71" t="n">
        <v>2122100000</v>
      </c>
      <c r="D71" t="inlineStr">
        <is>
          <t>Intercompany</t>
        </is>
      </c>
      <c r="E71" t="n">
        <v>5001700</v>
      </c>
      <c r="F71" t="inlineStr">
        <is>
          <t>4025007250</t>
        </is>
      </c>
      <c r="G71" t="inlineStr">
        <is>
          <t>RE</t>
        </is>
      </c>
      <c r="H71" s="12" t="n">
        <v>-450577.4</v>
      </c>
      <c r="I71" s="17" t="n">
        <v>45919</v>
      </c>
      <c r="J71" s="17" t="n">
        <v>45949</v>
      </c>
      <c r="K71" t="inlineStr">
        <is>
          <t>0774/25</t>
        </is>
      </c>
    </row>
    <row r="72">
      <c r="A72" t="inlineStr">
        <is>
          <t>IC4420</t>
        </is>
      </c>
      <c r="B72" t="inlineStr">
        <is>
          <t>NORDEX ENERGY SPAIN S A U</t>
        </is>
      </c>
      <c r="C72" t="n">
        <v>2122100000</v>
      </c>
      <c r="D72" t="inlineStr">
        <is>
          <t>Intercompany</t>
        </is>
      </c>
      <c r="E72" t="n">
        <v>5001703</v>
      </c>
      <c r="F72" t="inlineStr">
        <is>
          <t>4025007235</t>
        </is>
      </c>
      <c r="G72" t="inlineStr">
        <is>
          <t>RE</t>
        </is>
      </c>
      <c r="H72" s="12" t="n">
        <v>-23581.72</v>
      </c>
      <c r="I72" s="17" t="n">
        <v>45919</v>
      </c>
      <c r="J72" s="17" t="n">
        <v>45949</v>
      </c>
      <c r="K72" t="inlineStr">
        <is>
          <t>0779/25</t>
        </is>
      </c>
    </row>
    <row r="73">
      <c r="A73" t="inlineStr">
        <is>
          <t>IC4420</t>
        </is>
      </c>
      <c r="B73" t="inlineStr">
        <is>
          <t>NORDEX ENERGY SPAIN S A U</t>
        </is>
      </c>
      <c r="C73" t="n">
        <v>2122100000</v>
      </c>
      <c r="D73" t="inlineStr">
        <is>
          <t>Intercompany</t>
        </is>
      </c>
      <c r="E73" t="n">
        <v>5001704</v>
      </c>
      <c r="F73" t="inlineStr">
        <is>
          <t>4025010003</t>
        </is>
      </c>
      <c r="G73" t="inlineStr">
        <is>
          <t>RE</t>
        </is>
      </c>
      <c r="H73" s="12" t="n">
        <v>-32587.47</v>
      </c>
      <c r="I73" s="17" t="n">
        <v>46020</v>
      </c>
      <c r="J73" s="17" t="n">
        <v>46050</v>
      </c>
      <c r="K73" t="inlineStr">
        <is>
          <t>0010/26</t>
        </is>
      </c>
    </row>
    <row r="74">
      <c r="A74" t="inlineStr">
        <is>
          <t>IC4420</t>
        </is>
      </c>
      <c r="B74" t="inlineStr">
        <is>
          <t>NORDEX ENERGY SPAIN S A U</t>
        </is>
      </c>
      <c r="C74" t="n">
        <v>2122100000</v>
      </c>
      <c r="D74" t="inlineStr">
        <is>
          <t>Intercompany</t>
        </is>
      </c>
      <c r="E74" t="n">
        <v>5001799</v>
      </c>
      <c r="F74" t="inlineStr">
        <is>
          <t>4000013</t>
        </is>
      </c>
      <c r="G74" t="inlineStr">
        <is>
          <t>KG</t>
        </is>
      </c>
      <c r="H74" s="12" t="n">
        <v>4427773.7</v>
      </c>
      <c r="I74" s="17" t="n">
        <v>46044</v>
      </c>
      <c r="J74" s="17" t="n">
        <v>46044</v>
      </c>
      <c r="K74" t="inlineStr">
        <is>
          <t>Nota crédito fornec. NORDEX ENERGY SPAIN S A U 400</t>
        </is>
      </c>
    </row>
    <row r="75">
      <c r="A75" t="inlineStr">
        <is>
          <t>IC4420</t>
        </is>
      </c>
      <c r="B75" t="inlineStr">
        <is>
          <t>NORDEX ENERGY SPAIN S A U</t>
        </is>
      </c>
      <c r="C75" t="n">
        <v>2122100000</v>
      </c>
      <c r="D75" t="inlineStr">
        <is>
          <t>Intercompany</t>
        </is>
      </c>
      <c r="E75" t="n">
        <v>5001827</v>
      </c>
      <c r="F75" t="inlineStr">
        <is>
          <t>4026000050</t>
        </is>
      </c>
      <c r="G75" t="inlineStr">
        <is>
          <t>RE</t>
        </is>
      </c>
      <c r="H75" s="12" t="n">
        <v>-4187.65</v>
      </c>
      <c r="I75" s="17" t="n">
        <v>46029</v>
      </c>
      <c r="J75" s="17" t="n">
        <v>46059</v>
      </c>
      <c r="K75" t="inlineStr">
        <is>
          <t>0016/26</t>
        </is>
      </c>
    </row>
    <row r="76">
      <c r="A76" t="inlineStr">
        <is>
          <t>IC4420</t>
        </is>
      </c>
      <c r="B76" t="inlineStr">
        <is>
          <t>NORDEX ENERGY SPAIN S A U</t>
        </is>
      </c>
      <c r="C76" t="n">
        <v>2122100000</v>
      </c>
      <c r="D76" t="inlineStr">
        <is>
          <t>Intercompany</t>
        </is>
      </c>
      <c r="E76" t="n">
        <v>5001828</v>
      </c>
      <c r="F76" t="inlineStr">
        <is>
          <t>4026000027</t>
        </is>
      </c>
      <c r="G76" t="inlineStr">
        <is>
          <t>RE</t>
        </is>
      </c>
      <c r="H76" s="12" t="n">
        <v>-12947.14</v>
      </c>
      <c r="I76" s="17" t="n">
        <v>46027</v>
      </c>
      <c r="J76" s="17" t="n">
        <v>46057</v>
      </c>
      <c r="K76" t="inlineStr">
        <is>
          <t>0015/26</t>
        </is>
      </c>
    </row>
    <row r="77">
      <c r="A77" t="inlineStr">
        <is>
          <t>IC4420</t>
        </is>
      </c>
      <c r="B77" t="inlineStr">
        <is>
          <t>NORDEX ENERGY SPAIN S A U</t>
        </is>
      </c>
      <c r="C77" t="n">
        <v>2122100000</v>
      </c>
      <c r="D77" t="inlineStr">
        <is>
          <t>Intercompany</t>
        </is>
      </c>
      <c r="E77" t="n">
        <v>5001829</v>
      </c>
      <c r="F77" t="inlineStr">
        <is>
          <t>4026000051</t>
        </is>
      </c>
      <c r="G77" t="inlineStr">
        <is>
          <t>RE</t>
        </is>
      </c>
      <c r="H77" s="12" t="n">
        <v>-259.39</v>
      </c>
      <c r="I77" s="17" t="n">
        <v>46029</v>
      </c>
      <c r="J77" s="17" t="n">
        <v>46059</v>
      </c>
      <c r="K77" t="inlineStr">
        <is>
          <t>0016/26</t>
        </is>
      </c>
    </row>
    <row r="78">
      <c r="A78" t="inlineStr">
        <is>
          <t>IC1000</t>
        </is>
      </c>
      <c r="B78" t="inlineStr">
        <is>
          <t>NORDEX ENERGY SE &amp; CO KG</t>
        </is>
      </c>
      <c r="C78" t="n">
        <v>2122100000</v>
      </c>
      <c r="D78" t="inlineStr">
        <is>
          <t>Intercompany</t>
        </is>
      </c>
      <c r="E78" t="n">
        <v>5001865</v>
      </c>
      <c r="F78" t="inlineStr">
        <is>
          <t>624366</t>
        </is>
      </c>
      <c r="G78" t="inlineStr">
        <is>
          <t>KR</t>
        </is>
      </c>
      <c r="H78" s="12" t="n">
        <v>-63754.33</v>
      </c>
      <c r="I78" s="17" t="n">
        <v>46042</v>
      </c>
      <c r="J78" s="17" t="n">
        <v>46072</v>
      </c>
      <c r="K78" t="inlineStr">
        <is>
          <t>Vendor Invoice NORDEX ENERGY SE &amp; CO KG 624366</t>
        </is>
      </c>
    </row>
    <row r="79">
      <c r="A79" t="inlineStr">
        <is>
          <t>IC4420</t>
        </is>
      </c>
      <c r="B79" t="inlineStr">
        <is>
          <t>NORDEX ENERGY SPAIN S A U</t>
        </is>
      </c>
      <c r="C79" t="n">
        <v>2122100000</v>
      </c>
      <c r="D79" t="inlineStr">
        <is>
          <t>Intercompany</t>
        </is>
      </c>
      <c r="E79" t="n">
        <v>5001935</v>
      </c>
      <c r="F79" t="inlineStr">
        <is>
          <t>4026000283</t>
        </is>
      </c>
      <c r="G79" t="inlineStr">
        <is>
          <t>RE</t>
        </is>
      </c>
      <c r="H79" s="12" t="n">
        <v>-15956.51</v>
      </c>
      <c r="I79" s="17" t="n">
        <v>46036</v>
      </c>
      <c r="J79" s="17" t="n">
        <v>46066</v>
      </c>
      <c r="K79" t="inlineStr">
        <is>
          <t>0025/26</t>
        </is>
      </c>
    </row>
    <row r="80">
      <c r="A80" t="inlineStr">
        <is>
          <t>IC4420</t>
        </is>
      </c>
      <c r="B80" t="inlineStr">
        <is>
          <t>NORDEX ENERGY SPAIN S A U</t>
        </is>
      </c>
      <c r="C80" t="n">
        <v>2122100000</v>
      </c>
      <c r="D80" t="inlineStr">
        <is>
          <t>Intercompany</t>
        </is>
      </c>
      <c r="E80" t="n">
        <v>5001937</v>
      </c>
      <c r="F80" t="inlineStr">
        <is>
          <t>4026000285</t>
        </is>
      </c>
      <c r="G80" t="inlineStr">
        <is>
          <t>RE</t>
        </is>
      </c>
      <c r="H80" s="12" t="n">
        <v>-5.72</v>
      </c>
      <c r="I80" s="17" t="n">
        <v>46036</v>
      </c>
      <c r="J80" s="17" t="n">
        <v>46066</v>
      </c>
      <c r="K80" t="inlineStr">
        <is>
          <t>0027/26</t>
        </is>
      </c>
    </row>
    <row r="81">
      <c r="A81" t="inlineStr">
        <is>
          <t>IC4420</t>
        </is>
      </c>
      <c r="B81" t="inlineStr">
        <is>
          <t>NORDEX ENERGY SPAIN S A U</t>
        </is>
      </c>
      <c r="C81" t="n">
        <v>2122100000</v>
      </c>
      <c r="D81" t="inlineStr">
        <is>
          <t>Intercompany</t>
        </is>
      </c>
      <c r="E81" t="n">
        <v>5001974</v>
      </c>
      <c r="F81" t="inlineStr">
        <is>
          <t>4025007233</t>
        </is>
      </c>
      <c r="G81" t="inlineStr">
        <is>
          <t>RE</t>
        </is>
      </c>
      <c r="H81" s="12" t="n">
        <v>-2632.09</v>
      </c>
      <c r="I81" s="17" t="n">
        <v>45919</v>
      </c>
      <c r="J81" s="17" t="n">
        <v>45949</v>
      </c>
      <c r="K81" t="inlineStr">
        <is>
          <t>0782/25</t>
        </is>
      </c>
    </row>
    <row r="82">
      <c r="A82" t="inlineStr">
        <is>
          <t>IC4420</t>
        </is>
      </c>
      <c r="B82" t="inlineStr">
        <is>
          <t>NORDEX ENERGY SPAIN S A U</t>
        </is>
      </c>
      <c r="C82" t="n">
        <v>2122100000</v>
      </c>
      <c r="D82" t="inlineStr">
        <is>
          <t>Intercompany</t>
        </is>
      </c>
      <c r="E82" t="n">
        <v>5001999</v>
      </c>
      <c r="F82" t="inlineStr">
        <is>
          <t>4025007248</t>
        </is>
      </c>
      <c r="G82" t="inlineStr">
        <is>
          <t>RE</t>
        </is>
      </c>
      <c r="H82" s="12" t="n">
        <v>-168218.94</v>
      </c>
      <c r="I82" s="17" t="n">
        <v>45919</v>
      </c>
      <c r="J82" s="17" t="n">
        <v>45949</v>
      </c>
      <c r="K82" t="inlineStr">
        <is>
          <t>0777/25</t>
        </is>
      </c>
    </row>
    <row r="83">
      <c r="A83" t="inlineStr">
        <is>
          <t>IC4420</t>
        </is>
      </c>
      <c r="B83" t="inlineStr">
        <is>
          <t>NORDEX ENERGY SPAIN S A U</t>
        </is>
      </c>
      <c r="C83" t="n">
        <v>2122100000</v>
      </c>
      <c r="D83" t="inlineStr">
        <is>
          <t>Intercompany</t>
        </is>
      </c>
      <c r="E83" t="n">
        <v>5002000</v>
      </c>
      <c r="F83" t="inlineStr">
        <is>
          <t>4025007244</t>
        </is>
      </c>
      <c r="G83" t="inlineStr">
        <is>
          <t>RE</t>
        </is>
      </c>
      <c r="H83" s="12" t="n">
        <v>-51550.43</v>
      </c>
      <c r="I83" s="17" t="n">
        <v>45919</v>
      </c>
      <c r="J83" s="17" t="n">
        <v>45949</v>
      </c>
      <c r="K83" t="inlineStr">
        <is>
          <t>0780/25</t>
        </is>
      </c>
    </row>
    <row r="84">
      <c r="A84" t="inlineStr">
        <is>
          <t>IC1000</t>
        </is>
      </c>
      <c r="B84" t="inlineStr">
        <is>
          <t>NORDEX ENERGY SE &amp; CO KG</t>
        </is>
      </c>
      <c r="C84" t="n">
        <v>2122100000</v>
      </c>
      <c r="D84" t="inlineStr">
        <is>
          <t>Intercompany</t>
        </is>
      </c>
      <c r="E84" t="n">
        <v>5002045</v>
      </c>
      <c r="F84" t="inlineStr">
        <is>
          <t>4012485638</t>
        </is>
      </c>
      <c r="G84" t="inlineStr">
        <is>
          <t>RE</t>
        </is>
      </c>
      <c r="H84" s="12" t="n">
        <v>-5367090.17</v>
      </c>
      <c r="I84" s="17" t="n">
        <v>45965</v>
      </c>
      <c r="J84" s="17" t="n">
        <v>45995</v>
      </c>
      <c r="K84" t="inlineStr">
        <is>
          <t>0911/25</t>
        </is>
      </c>
    </row>
    <row r="85">
      <c r="A85" t="inlineStr">
        <is>
          <t>IC4420</t>
        </is>
      </c>
      <c r="B85" t="inlineStr">
        <is>
          <t>NORDEX ENERGY SPAIN S A U</t>
        </is>
      </c>
      <c r="C85" t="n">
        <v>2122100000</v>
      </c>
      <c r="D85" t="inlineStr">
        <is>
          <t>Intercompany</t>
        </is>
      </c>
      <c r="E85" t="n">
        <v>5002054</v>
      </c>
      <c r="F85" t="inlineStr">
        <is>
          <t>4023004386</t>
        </is>
      </c>
      <c r="G85" t="inlineStr">
        <is>
          <t>KR</t>
        </is>
      </c>
      <c r="H85" s="12" t="n">
        <v>-200.59</v>
      </c>
      <c r="I85" s="17" t="n">
        <v>45191</v>
      </c>
      <c r="J85" s="17" t="n">
        <v>45191</v>
      </c>
      <c r="K85" t="inlineStr">
        <is>
          <t>Vendor Invoice NORDEX ENERGY SPAIN S.A.U. 40230043</t>
        </is>
      </c>
    </row>
    <row r="86">
      <c r="A86" t="inlineStr">
        <is>
          <t>IC4420</t>
        </is>
      </c>
      <c r="B86" t="inlineStr">
        <is>
          <t>NORDEX ENERGY SPAIN S A U</t>
        </is>
      </c>
      <c r="C86" t="n">
        <v>2122100000</v>
      </c>
      <c r="D86" t="inlineStr">
        <is>
          <t>Intercompany</t>
        </is>
      </c>
      <c r="E86" t="n">
        <v>5002129</v>
      </c>
      <c r="F86" t="inlineStr">
        <is>
          <t>1957-2</t>
        </is>
      </c>
      <c r="G86" t="inlineStr">
        <is>
          <t>RE</t>
        </is>
      </c>
      <c r="H86" s="12" t="n">
        <v>-19466.82</v>
      </c>
      <c r="I86" s="17" t="n">
        <v>45166</v>
      </c>
      <c r="J86" s="17" t="n">
        <v>45226</v>
      </c>
      <c r="K86" t="inlineStr">
        <is>
          <t>Fatura - bruto NORDEX ENERGY SPAIN S.A.U. 1957-2</t>
        </is>
      </c>
    </row>
    <row r="87">
      <c r="A87" t="inlineStr">
        <is>
          <t>IC1000</t>
        </is>
      </c>
      <c r="B87" t="inlineStr">
        <is>
          <t>NORDEX ENERGY SE &amp; CO KG</t>
        </is>
      </c>
      <c r="C87" t="n">
        <v>2122100000</v>
      </c>
      <c r="D87" t="inlineStr">
        <is>
          <t>Intercompany</t>
        </is>
      </c>
      <c r="E87" t="n">
        <v>5002142</v>
      </c>
      <c r="F87" t="inlineStr">
        <is>
          <t>4082412983</t>
        </is>
      </c>
      <c r="G87" t="inlineStr">
        <is>
          <t>RE</t>
        </is>
      </c>
      <c r="H87" s="12" t="n">
        <v>-43259.58</v>
      </c>
      <c r="I87" s="17" t="n">
        <v>45607</v>
      </c>
      <c r="J87" s="17" t="n">
        <v>45637</v>
      </c>
      <c r="K87" t="inlineStr">
        <is>
          <t>1035/24</t>
        </is>
      </c>
    </row>
    <row r="88">
      <c r="A88" t="inlineStr">
        <is>
          <t>IC4420</t>
        </is>
      </c>
      <c r="B88" t="inlineStr">
        <is>
          <t>NORDEX ENERGY SPAIN S A U</t>
        </is>
      </c>
      <c r="C88" t="n">
        <v>2122100000</v>
      </c>
      <c r="D88" t="inlineStr">
        <is>
          <t>Intercompany</t>
        </is>
      </c>
      <c r="E88" t="n">
        <v>5002175</v>
      </c>
      <c r="F88" t="inlineStr">
        <is>
          <t>4025008713</t>
        </is>
      </c>
      <c r="G88" t="inlineStr">
        <is>
          <t>RE</t>
        </is>
      </c>
      <c r="H88" s="12" t="n">
        <v>-257530.17</v>
      </c>
      <c r="I88" s="17" t="n">
        <v>45973</v>
      </c>
      <c r="J88" s="17" t="n">
        <v>46003</v>
      </c>
      <c r="K88" t="inlineStr">
        <is>
          <t>0869/25</t>
        </is>
      </c>
    </row>
    <row r="89">
      <c r="A89" t="inlineStr">
        <is>
          <t>IC4420</t>
        </is>
      </c>
      <c r="B89" t="inlineStr">
        <is>
          <t>NORDEX ENERGY SPAIN S A U</t>
        </is>
      </c>
      <c r="C89" t="n">
        <v>2122100000</v>
      </c>
      <c r="D89" t="inlineStr">
        <is>
          <t>Intercompany</t>
        </is>
      </c>
      <c r="E89" t="n">
        <v>5002296</v>
      </c>
      <c r="F89" t="inlineStr">
        <is>
          <t>4025009096</t>
        </is>
      </c>
      <c r="G89" t="inlineStr">
        <is>
          <t>RE</t>
        </is>
      </c>
      <c r="H89" s="12" t="n">
        <v>-380499.92</v>
      </c>
      <c r="I89" s="17" t="n">
        <v>45987</v>
      </c>
      <c r="J89" s="17" t="n">
        <v>46017</v>
      </c>
      <c r="K89" t="inlineStr">
        <is>
          <t>0891/25</t>
        </is>
      </c>
    </row>
    <row r="90">
      <c r="A90" t="inlineStr">
        <is>
          <t>IC1000</t>
        </is>
      </c>
      <c r="B90" t="inlineStr">
        <is>
          <t>NORDEX ENERGY SE &amp; CO KG</t>
        </is>
      </c>
      <c r="C90" t="n">
        <v>2122100000</v>
      </c>
      <c r="D90" t="inlineStr">
        <is>
          <t>Intercompany</t>
        </is>
      </c>
      <c r="E90" t="n">
        <v>5002302</v>
      </c>
      <c r="F90" t="inlineStr">
        <is>
          <t>4012338641</t>
        </is>
      </c>
      <c r="G90" t="inlineStr">
        <is>
          <t>RE</t>
        </is>
      </c>
      <c r="H90" s="12" t="n">
        <v>-20000.82</v>
      </c>
      <c r="I90" s="17" t="n">
        <v>45092</v>
      </c>
      <c r="J90" s="17" t="n">
        <v>45122</v>
      </c>
      <c r="K90" t="inlineStr">
        <is>
          <t>0463/23</t>
        </is>
      </c>
    </row>
    <row r="91">
      <c r="A91" t="inlineStr">
        <is>
          <t>IC1000</t>
        </is>
      </c>
      <c r="B91" t="inlineStr">
        <is>
          <t>NORDEX ENERGY SE &amp; CO KG</t>
        </is>
      </c>
      <c r="C91" t="n">
        <v>2122100000</v>
      </c>
      <c r="D91" t="inlineStr">
        <is>
          <t>Intercompany</t>
        </is>
      </c>
      <c r="E91" t="n">
        <v>5002304</v>
      </c>
      <c r="F91" t="inlineStr">
        <is>
          <t>4012338640</t>
        </is>
      </c>
      <c r="G91" t="inlineStr">
        <is>
          <t>RE</t>
        </is>
      </c>
      <c r="H91" s="12" t="n">
        <v>-115262.57</v>
      </c>
      <c r="I91" s="17" t="n">
        <v>45092</v>
      </c>
      <c r="J91" s="17" t="n">
        <v>45122</v>
      </c>
      <c r="K91" t="inlineStr">
        <is>
          <t>0463/23</t>
        </is>
      </c>
    </row>
    <row r="92">
      <c r="A92" t="inlineStr">
        <is>
          <t>IC1000</t>
        </is>
      </c>
      <c r="B92" t="inlineStr">
        <is>
          <t>NORDEX ENERGY SE &amp; CO KG</t>
        </is>
      </c>
      <c r="C92" t="n">
        <v>2122100000</v>
      </c>
      <c r="D92" t="inlineStr">
        <is>
          <t>Intercompany</t>
        </is>
      </c>
      <c r="E92" t="n">
        <v>5002310</v>
      </c>
      <c r="F92" t="inlineStr">
        <is>
          <t>4012338638</t>
        </is>
      </c>
      <c r="G92" t="inlineStr">
        <is>
          <t>RE</t>
        </is>
      </c>
      <c r="H92" s="12" t="n">
        <v>-84910.62</v>
      </c>
      <c r="I92" s="17" t="n">
        <v>45092</v>
      </c>
      <c r="J92" s="17" t="n">
        <v>45122</v>
      </c>
      <c r="K92" t="inlineStr">
        <is>
          <t>0463/23</t>
        </is>
      </c>
    </row>
    <row r="93">
      <c r="A93" t="inlineStr">
        <is>
          <t>IC1000</t>
        </is>
      </c>
      <c r="B93" t="inlineStr">
        <is>
          <t>NORDEX ENERGY SE &amp; CO KG</t>
        </is>
      </c>
      <c r="C93" t="n">
        <v>2122100000</v>
      </c>
      <c r="D93" t="inlineStr">
        <is>
          <t>Intercompany</t>
        </is>
      </c>
      <c r="E93" t="n">
        <v>5002312</v>
      </c>
      <c r="F93" t="inlineStr">
        <is>
          <t>4012338639</t>
        </is>
      </c>
      <c r="G93" t="inlineStr">
        <is>
          <t>RE</t>
        </is>
      </c>
      <c r="H93" s="12" t="n">
        <v>-45435.7</v>
      </c>
      <c r="I93" s="17" t="n">
        <v>45092</v>
      </c>
      <c r="J93" s="17" t="n">
        <v>45122</v>
      </c>
      <c r="K93" t="inlineStr">
        <is>
          <t>0463/23</t>
        </is>
      </c>
    </row>
    <row r="94">
      <c r="A94" t="inlineStr">
        <is>
          <t>IC1000</t>
        </is>
      </c>
      <c r="B94" t="inlineStr">
        <is>
          <t>NORDEX ENERGY SE &amp; CO KG</t>
        </is>
      </c>
      <c r="C94" t="n">
        <v>2122100000</v>
      </c>
      <c r="D94" t="inlineStr">
        <is>
          <t>Intercompany</t>
        </is>
      </c>
      <c r="E94" t="n">
        <v>5002313</v>
      </c>
      <c r="F94" t="inlineStr">
        <is>
          <t>4012343664</t>
        </is>
      </c>
      <c r="G94" t="inlineStr">
        <is>
          <t>RE</t>
        </is>
      </c>
      <c r="H94" s="12" t="n">
        <v>-367068.34</v>
      </c>
      <c r="I94" s="17" t="n">
        <v>45097</v>
      </c>
      <c r="J94" s="17" t="n">
        <v>45127</v>
      </c>
      <c r="K94" t="inlineStr">
        <is>
          <t>0543/23</t>
        </is>
      </c>
    </row>
    <row r="95">
      <c r="A95" t="inlineStr">
        <is>
          <t>IC4420</t>
        </is>
      </c>
      <c r="B95" t="inlineStr">
        <is>
          <t>NORDEX ENERGY SPAIN S A U</t>
        </is>
      </c>
      <c r="C95" t="n">
        <v>2122100000</v>
      </c>
      <c r="D95" t="inlineStr">
        <is>
          <t>Intercompany</t>
        </is>
      </c>
      <c r="E95" t="n">
        <v>5002394</v>
      </c>
      <c r="F95" t="inlineStr">
        <is>
          <t>4026000275</t>
        </is>
      </c>
      <c r="G95" t="inlineStr">
        <is>
          <t>RE</t>
        </is>
      </c>
      <c r="H95" s="12" t="n">
        <v>-9662.370000000001</v>
      </c>
      <c r="I95" s="17" t="n">
        <v>46035</v>
      </c>
      <c r="J95" s="17" t="n">
        <v>46065</v>
      </c>
      <c r="K95" t="inlineStr">
        <is>
          <t>0019/26</t>
        </is>
      </c>
    </row>
    <row r="96">
      <c r="A96" t="inlineStr">
        <is>
          <t>IC1000</t>
        </is>
      </c>
      <c r="B96" t="inlineStr">
        <is>
          <t>NORDEX ENERGY SE &amp; CO KG</t>
        </is>
      </c>
      <c r="C96" t="n">
        <v>2122100000</v>
      </c>
      <c r="D96" t="inlineStr">
        <is>
          <t>Intercompany</t>
        </is>
      </c>
      <c r="E96" t="n">
        <v>5002523</v>
      </c>
      <c r="F96" t="inlineStr">
        <is>
          <t>4012413022</t>
        </is>
      </c>
      <c r="G96" t="inlineStr">
        <is>
          <t>RE</t>
        </is>
      </c>
      <c r="H96" s="12" t="n">
        <v>-959152.9399999999</v>
      </c>
      <c r="I96" s="17" t="n">
        <v>45490</v>
      </c>
      <c r="J96" s="17" t="n">
        <v>45520</v>
      </c>
      <c r="K96" t="inlineStr">
        <is>
          <t>0941/24</t>
        </is>
      </c>
    </row>
    <row r="97">
      <c r="A97" t="inlineStr">
        <is>
          <t>IC4420</t>
        </is>
      </c>
      <c r="B97" t="inlineStr">
        <is>
          <t>NORDEX ENERGY SPAIN S A U</t>
        </is>
      </c>
      <c r="C97" t="n">
        <v>2122100000</v>
      </c>
      <c r="D97" t="inlineStr">
        <is>
          <t>Intercompany</t>
        </is>
      </c>
      <c r="E97" t="n">
        <v>5002557</v>
      </c>
      <c r="F97" t="inlineStr">
        <is>
          <t>4018000021</t>
        </is>
      </c>
      <c r="G97" t="inlineStr">
        <is>
          <t>RE</t>
        </is>
      </c>
      <c r="H97" s="12" t="n">
        <v>-844.61</v>
      </c>
      <c r="I97" s="17" t="n">
        <v>46049</v>
      </c>
      <c r="J97" s="17" t="n">
        <v>46079</v>
      </c>
      <c r="K97" t="inlineStr">
        <is>
          <t>0045/26</t>
        </is>
      </c>
    </row>
    <row r="98">
      <c r="A98" t="inlineStr">
        <is>
          <t>IC4420</t>
        </is>
      </c>
      <c r="B98" t="inlineStr">
        <is>
          <t>NORDEX ENERGY SPAIN S A U</t>
        </is>
      </c>
      <c r="C98" t="n">
        <v>2122100000</v>
      </c>
      <c r="D98" t="inlineStr">
        <is>
          <t>Intercompany</t>
        </is>
      </c>
      <c r="E98" t="n">
        <v>5002572</v>
      </c>
      <c r="F98" t="inlineStr">
        <is>
          <t>4026000280</t>
        </is>
      </c>
      <c r="G98" t="inlineStr">
        <is>
          <t>RE</t>
        </is>
      </c>
      <c r="H98" s="12" t="n">
        <v>-10380.62</v>
      </c>
      <c r="I98" s="17" t="n">
        <v>46036</v>
      </c>
      <c r="J98" s="17" t="n">
        <v>46066</v>
      </c>
      <c r="K98" t="inlineStr">
        <is>
          <t>0024/26</t>
        </is>
      </c>
    </row>
    <row r="99">
      <c r="A99" t="inlineStr">
        <is>
          <t>IC4420</t>
        </is>
      </c>
      <c r="B99" t="inlineStr">
        <is>
          <t>NORDEX ENERGY SPAIN S A U</t>
        </is>
      </c>
      <c r="C99" t="n">
        <v>2122100000</v>
      </c>
      <c r="D99" t="inlineStr">
        <is>
          <t>Intercompany</t>
        </is>
      </c>
      <c r="E99" t="n">
        <v>5002573</v>
      </c>
      <c r="F99" t="inlineStr">
        <is>
          <t>4026000281</t>
        </is>
      </c>
      <c r="G99" t="inlineStr">
        <is>
          <t>RE</t>
        </is>
      </c>
      <c r="H99" s="12" t="n">
        <v>-888.16</v>
      </c>
      <c r="I99" s="17" t="n">
        <v>46036</v>
      </c>
      <c r="J99" s="17" t="n">
        <v>46066</v>
      </c>
      <c r="K99" t="inlineStr">
        <is>
          <t>0024/26</t>
        </is>
      </c>
    </row>
    <row r="100">
      <c r="A100" t="inlineStr">
        <is>
          <t>IC4420</t>
        </is>
      </c>
      <c r="B100" t="inlineStr">
        <is>
          <t>NORDEX ENERGY SPAIN S A U</t>
        </is>
      </c>
      <c r="C100" t="n">
        <v>2122100000</v>
      </c>
      <c r="D100" t="inlineStr">
        <is>
          <t>Intercompany</t>
        </is>
      </c>
      <c r="E100" t="n">
        <v>5002574</v>
      </c>
      <c r="F100" t="inlineStr">
        <is>
          <t>4026000287</t>
        </is>
      </c>
      <c r="G100" t="inlineStr">
        <is>
          <t>RE</t>
        </is>
      </c>
      <c r="H100" s="12" t="n">
        <v>-16085.47</v>
      </c>
      <c r="I100" s="17" t="n">
        <v>46036</v>
      </c>
      <c r="J100" s="17" t="n">
        <v>46066</v>
      </c>
      <c r="K100" t="inlineStr">
        <is>
          <t>0024/26</t>
        </is>
      </c>
    </row>
    <row r="101">
      <c r="A101" t="inlineStr">
        <is>
          <t>IC4420</t>
        </is>
      </c>
      <c r="B101" t="inlineStr">
        <is>
          <t>NORDEX ENERGY SPAIN S A U</t>
        </is>
      </c>
      <c r="C101" t="n">
        <v>2122100000</v>
      </c>
      <c r="D101" t="inlineStr">
        <is>
          <t>Intercompany</t>
        </is>
      </c>
      <c r="E101" t="n">
        <v>5002575</v>
      </c>
      <c r="F101" t="inlineStr">
        <is>
          <t>4026000284</t>
        </is>
      </c>
      <c r="G101" t="inlineStr">
        <is>
          <t>RE</t>
        </is>
      </c>
      <c r="H101" s="12" t="n">
        <v>-860.7</v>
      </c>
      <c r="I101" s="17" t="n">
        <v>46036</v>
      </c>
      <c r="J101" s="17" t="n">
        <v>46066</v>
      </c>
      <c r="K101" t="inlineStr">
        <is>
          <t>0026/26</t>
        </is>
      </c>
    </row>
    <row r="102">
      <c r="A102" t="inlineStr">
        <is>
          <t>IC4420</t>
        </is>
      </c>
      <c r="B102" t="inlineStr">
        <is>
          <t>NORDEX ENERGY SPAIN S A U</t>
        </is>
      </c>
      <c r="C102" t="n">
        <v>2122100000</v>
      </c>
      <c r="D102" t="inlineStr">
        <is>
          <t>Intercompany</t>
        </is>
      </c>
      <c r="E102" t="n">
        <v>5002576</v>
      </c>
      <c r="F102" t="inlineStr">
        <is>
          <t>4026000019</t>
        </is>
      </c>
      <c r="G102" t="inlineStr">
        <is>
          <t>RE</t>
        </is>
      </c>
      <c r="H102" s="12" t="n">
        <v>-715.48</v>
      </c>
      <c r="I102" s="17" t="n">
        <v>46024</v>
      </c>
      <c r="J102" s="17" t="n">
        <v>46054</v>
      </c>
      <c r="K102" t="inlineStr">
        <is>
          <t>0012/26</t>
        </is>
      </c>
    </row>
    <row r="103">
      <c r="A103" t="inlineStr">
        <is>
          <t>IC4420</t>
        </is>
      </c>
      <c r="B103" t="inlineStr">
        <is>
          <t>NORDEX ENERGY SPAIN S A U</t>
        </is>
      </c>
      <c r="C103" t="n">
        <v>2122100000</v>
      </c>
      <c r="D103" t="inlineStr">
        <is>
          <t>Intercompany</t>
        </is>
      </c>
      <c r="E103" t="n">
        <v>5002577</v>
      </c>
      <c r="F103" t="inlineStr">
        <is>
          <t>4026000286</t>
        </is>
      </c>
      <c r="G103" t="inlineStr">
        <is>
          <t>RE</t>
        </is>
      </c>
      <c r="H103" s="12" t="n">
        <v>-37043.53</v>
      </c>
      <c r="I103" s="17" t="n">
        <v>46036</v>
      </c>
      <c r="J103" s="17" t="n">
        <v>46066</v>
      </c>
      <c r="K103" t="inlineStr">
        <is>
          <t>0024/26</t>
        </is>
      </c>
    </row>
    <row r="104">
      <c r="A104" t="inlineStr">
        <is>
          <t>IC4420</t>
        </is>
      </c>
      <c r="B104" t="inlineStr">
        <is>
          <t>NORDEX ENERGY SPAIN S A U</t>
        </is>
      </c>
      <c r="C104" t="n">
        <v>2122100000</v>
      </c>
      <c r="D104" t="inlineStr">
        <is>
          <t>Intercompany</t>
        </is>
      </c>
      <c r="E104" t="n">
        <v>5002578</v>
      </c>
      <c r="F104" t="inlineStr">
        <is>
          <t>4026000282</t>
        </is>
      </c>
      <c r="G104" t="inlineStr">
        <is>
          <t>RE</t>
        </is>
      </c>
      <c r="H104" s="12" t="n">
        <v>-7679.3</v>
      </c>
      <c r="I104" s="17" t="n">
        <v>46036</v>
      </c>
      <c r="J104" s="17" t="n">
        <v>46066</v>
      </c>
      <c r="K104" t="inlineStr">
        <is>
          <t>0024/26</t>
        </is>
      </c>
    </row>
    <row r="105">
      <c r="A105" t="inlineStr">
        <is>
          <t>IC4420</t>
        </is>
      </c>
      <c r="B105" t="inlineStr">
        <is>
          <t>NORDEX ENERGY SPAIN S A U</t>
        </is>
      </c>
      <c r="C105" t="n">
        <v>2122100000</v>
      </c>
      <c r="D105" t="inlineStr">
        <is>
          <t>Intercompany</t>
        </is>
      </c>
      <c r="E105" t="n">
        <v>5002579</v>
      </c>
      <c r="F105" t="inlineStr">
        <is>
          <t>4026000288</t>
        </is>
      </c>
      <c r="G105" t="inlineStr">
        <is>
          <t>RE</t>
        </is>
      </c>
      <c r="H105" s="12" t="n">
        <v>-19403.12</v>
      </c>
      <c r="I105" s="17" t="n">
        <v>46036</v>
      </c>
      <c r="J105" s="17" t="n">
        <v>46066</v>
      </c>
      <c r="K105" t="inlineStr">
        <is>
          <t>0028/26</t>
        </is>
      </c>
    </row>
    <row r="106">
      <c r="A106" t="inlineStr">
        <is>
          <t>IC4420</t>
        </is>
      </c>
      <c r="B106" t="inlineStr">
        <is>
          <t>NORDEX ENERGY SPAIN S A U</t>
        </is>
      </c>
      <c r="C106" t="n">
        <v>2122100000</v>
      </c>
      <c r="D106" t="inlineStr">
        <is>
          <t>Intercompany</t>
        </is>
      </c>
      <c r="E106" t="n">
        <v>5002610</v>
      </c>
      <c r="F106" t="inlineStr">
        <is>
          <t>4026000316</t>
        </is>
      </c>
      <c r="G106" t="inlineStr">
        <is>
          <t>RE</t>
        </is>
      </c>
      <c r="H106" s="12" t="n">
        <v>-9955</v>
      </c>
      <c r="I106" s="17" t="n">
        <v>46036</v>
      </c>
      <c r="J106" s="17" t="n">
        <v>46066</v>
      </c>
      <c r="K106" t="inlineStr">
        <is>
          <t>0020/26</t>
        </is>
      </c>
    </row>
    <row r="107">
      <c r="A107" t="inlineStr">
        <is>
          <t>IC4420</t>
        </is>
      </c>
      <c r="B107" t="inlineStr">
        <is>
          <t>NORDEX ENERGY SPAIN S A U</t>
        </is>
      </c>
      <c r="C107" t="n">
        <v>2122100000</v>
      </c>
      <c r="D107" t="inlineStr">
        <is>
          <t>Intercompany</t>
        </is>
      </c>
      <c r="E107" t="n">
        <v>5002861</v>
      </c>
      <c r="F107" t="inlineStr">
        <is>
          <t>4026000318</t>
        </is>
      </c>
      <c r="G107" t="inlineStr">
        <is>
          <t>RE</t>
        </is>
      </c>
      <c r="H107" s="12" t="n">
        <v>-338838.07</v>
      </c>
      <c r="I107" s="17" t="n">
        <v>46036</v>
      </c>
      <c r="J107" s="17" t="n">
        <v>46066</v>
      </c>
      <c r="K107" t="inlineStr">
        <is>
          <t>0022/26</t>
        </is>
      </c>
    </row>
    <row r="108">
      <c r="A108" t="inlineStr">
        <is>
          <t>IC4420</t>
        </is>
      </c>
      <c r="B108" t="inlineStr">
        <is>
          <t>NORDEX ENERGY SPAIN S A U</t>
        </is>
      </c>
      <c r="C108" t="n">
        <v>2122100000</v>
      </c>
      <c r="D108" t="inlineStr">
        <is>
          <t>Intercompany</t>
        </is>
      </c>
      <c r="E108" t="n">
        <v>5002875</v>
      </c>
      <c r="F108" t="inlineStr">
        <is>
          <t>4026000512</t>
        </is>
      </c>
      <c r="G108" t="inlineStr">
        <is>
          <t>RE</t>
        </is>
      </c>
      <c r="H108" s="12" t="n">
        <v>-705962.52</v>
      </c>
      <c r="I108" s="17" t="n">
        <v>46044</v>
      </c>
      <c r="J108" s="17" t="n">
        <v>46074</v>
      </c>
      <c r="K108" t="inlineStr">
        <is>
          <t>0046/26</t>
        </is>
      </c>
    </row>
    <row r="109">
      <c r="A109" t="inlineStr">
        <is>
          <t>IC4420</t>
        </is>
      </c>
      <c r="B109" t="inlineStr">
        <is>
          <t>NORDEX ENERGY SPAIN S A U</t>
        </is>
      </c>
      <c r="C109" t="n">
        <v>2122100000</v>
      </c>
      <c r="D109" t="inlineStr">
        <is>
          <t>Intercompany</t>
        </is>
      </c>
      <c r="E109" t="n">
        <v>5002920</v>
      </c>
      <c r="F109" t="inlineStr">
        <is>
          <t>4026000317</t>
        </is>
      </c>
      <c r="G109" t="inlineStr">
        <is>
          <t>RE</t>
        </is>
      </c>
      <c r="H109" s="12" t="n">
        <v>-311.26</v>
      </c>
      <c r="I109" s="17" t="n">
        <v>46036</v>
      </c>
      <c r="J109" s="17" t="n">
        <v>46066</v>
      </c>
      <c r="K109" t="inlineStr">
        <is>
          <t>0023/26</t>
        </is>
      </c>
    </row>
    <row r="110">
      <c r="A110" t="inlineStr">
        <is>
          <t>IC4420</t>
        </is>
      </c>
      <c r="B110" t="inlineStr">
        <is>
          <t>NORDEX ENERGY SPAIN S A U</t>
        </is>
      </c>
      <c r="C110" t="n">
        <v>2122100000</v>
      </c>
      <c r="D110" t="inlineStr">
        <is>
          <t>Intercompany</t>
        </is>
      </c>
      <c r="E110" t="n">
        <v>5002958</v>
      </c>
      <c r="F110" t="inlineStr">
        <is>
          <t>4018000180</t>
        </is>
      </c>
      <c r="G110" t="inlineStr">
        <is>
          <t>RE</t>
        </is>
      </c>
      <c r="H110" s="12" t="n">
        <v>-682265.7</v>
      </c>
      <c r="I110" s="17" t="n">
        <v>45926</v>
      </c>
      <c r="J110" s="17" t="n">
        <v>45956</v>
      </c>
      <c r="K110" t="inlineStr">
        <is>
          <t>0781/25</t>
        </is>
      </c>
    </row>
    <row r="111">
      <c r="A111" t="inlineStr">
        <is>
          <t>IC5000</t>
        </is>
      </c>
      <c r="B111" t="inlineStr">
        <is>
          <t>NORDEX SE</t>
        </is>
      </c>
      <c r="C111" t="n">
        <v>2122100000</v>
      </c>
      <c r="D111" t="inlineStr">
        <is>
          <t>Intercompany</t>
        </is>
      </c>
      <c r="E111" t="n">
        <v>5002970</v>
      </c>
      <c r="F111" t="inlineStr">
        <is>
          <t>607297</t>
        </is>
      </c>
      <c r="G111" t="inlineStr">
        <is>
          <t>KR</t>
        </is>
      </c>
      <c r="H111" s="12" t="n">
        <v>-4525863.46</v>
      </c>
      <c r="I111" s="17" t="n">
        <v>45188</v>
      </c>
      <c r="J111" s="17" t="n">
        <v>45188</v>
      </c>
      <c r="K111" t="inlineStr">
        <is>
          <t>MGM Fee Q3/2023</t>
        </is>
      </c>
    </row>
    <row r="112">
      <c r="A112" t="inlineStr">
        <is>
          <t>IC4420</t>
        </is>
      </c>
      <c r="B112" t="inlineStr">
        <is>
          <t>NORDEX ENERGY SPAIN S A U</t>
        </is>
      </c>
      <c r="C112" t="n">
        <v>2122100000</v>
      </c>
      <c r="D112" t="inlineStr">
        <is>
          <t>Intercompany</t>
        </is>
      </c>
      <c r="E112" t="n">
        <v>5002997</v>
      </c>
      <c r="F112" t="inlineStr">
        <is>
          <t>4025007234</t>
        </is>
      </c>
      <c r="G112" t="inlineStr">
        <is>
          <t>RE</t>
        </is>
      </c>
      <c r="H112" s="12" t="n">
        <v>-12688.15</v>
      </c>
      <c r="I112" s="17" t="n">
        <v>45919</v>
      </c>
      <c r="J112" s="17" t="n">
        <v>45949</v>
      </c>
      <c r="K112" t="inlineStr">
        <is>
          <t>0776/25</t>
        </is>
      </c>
    </row>
    <row r="113">
      <c r="A113" t="inlineStr">
        <is>
          <t>IC4420</t>
        </is>
      </c>
      <c r="B113" t="inlineStr">
        <is>
          <t>NORDEX ENERGY SPAIN S A U</t>
        </is>
      </c>
      <c r="C113" t="n">
        <v>2122100000</v>
      </c>
      <c r="D113" t="inlineStr">
        <is>
          <t>Intercompany</t>
        </is>
      </c>
      <c r="E113" t="n">
        <v>5002998</v>
      </c>
      <c r="F113" t="inlineStr">
        <is>
          <t>4025007227</t>
        </is>
      </c>
      <c r="G113" t="inlineStr">
        <is>
          <t>RE</t>
        </is>
      </c>
      <c r="H113" s="12" t="n">
        <v>-64624</v>
      </c>
      <c r="I113" s="17" t="n">
        <v>45919</v>
      </c>
      <c r="J113" s="17" t="n">
        <v>45949</v>
      </c>
      <c r="K113" t="inlineStr">
        <is>
          <t>0776/25</t>
        </is>
      </c>
    </row>
    <row r="114">
      <c r="A114" t="inlineStr">
        <is>
          <t>IC4420</t>
        </is>
      </c>
      <c r="B114" t="inlineStr">
        <is>
          <t>NORDEX ENERGY SPAIN S A U</t>
        </is>
      </c>
      <c r="C114" t="n">
        <v>2122100000</v>
      </c>
      <c r="D114" t="inlineStr">
        <is>
          <t>Intercompany</t>
        </is>
      </c>
      <c r="E114" t="n">
        <v>5002999</v>
      </c>
      <c r="F114" t="inlineStr">
        <is>
          <t>4025007229</t>
        </is>
      </c>
      <c r="G114" t="inlineStr">
        <is>
          <t>RE</t>
        </is>
      </c>
      <c r="H114" s="12" t="n">
        <v>-40201.64</v>
      </c>
      <c r="I114" s="17" t="n">
        <v>45919</v>
      </c>
      <c r="J114" s="17" t="n">
        <v>45949</v>
      </c>
      <c r="K114" t="inlineStr">
        <is>
          <t>0776/25</t>
        </is>
      </c>
    </row>
    <row r="115">
      <c r="A115" t="inlineStr">
        <is>
          <t>IC4420</t>
        </is>
      </c>
      <c r="B115" t="inlineStr">
        <is>
          <t>NORDEX ENERGY SPAIN S A U</t>
        </is>
      </c>
      <c r="C115" t="n">
        <v>2122100000</v>
      </c>
      <c r="D115" t="inlineStr">
        <is>
          <t>Intercompany</t>
        </is>
      </c>
      <c r="E115" t="n">
        <v>5003003</v>
      </c>
      <c r="F115" t="inlineStr">
        <is>
          <t>4025009058</t>
        </is>
      </c>
      <c r="G115" t="inlineStr">
        <is>
          <t>RE</t>
        </is>
      </c>
      <c r="H115" s="12" t="n">
        <v>-192284.3</v>
      </c>
      <c r="I115" s="17" t="n">
        <v>45986</v>
      </c>
      <c r="J115" s="17" t="n">
        <v>46016</v>
      </c>
      <c r="K115" t="inlineStr">
        <is>
          <t>0943/25</t>
        </is>
      </c>
    </row>
    <row r="116">
      <c r="A116" t="inlineStr">
        <is>
          <t>IC4420</t>
        </is>
      </c>
      <c r="B116" t="inlineStr">
        <is>
          <t>NORDEX ENERGY SPAIN S A U</t>
        </is>
      </c>
      <c r="C116" t="n">
        <v>2122100000</v>
      </c>
      <c r="D116" t="inlineStr">
        <is>
          <t>Intercompany</t>
        </is>
      </c>
      <c r="E116" t="n">
        <v>5003007</v>
      </c>
      <c r="F116" t="inlineStr">
        <is>
          <t>4025008444</t>
        </is>
      </c>
      <c r="G116" t="inlineStr">
        <is>
          <t>RE</t>
        </is>
      </c>
      <c r="H116" s="12" t="n">
        <v>-259641.39</v>
      </c>
      <c r="I116" s="17" t="n">
        <v>45960</v>
      </c>
      <c r="J116" s="17" t="n">
        <v>45990</v>
      </c>
      <c r="K116" t="inlineStr">
        <is>
          <t>0864/25</t>
        </is>
      </c>
    </row>
    <row r="117">
      <c r="A117" t="inlineStr">
        <is>
          <t>IC4420</t>
        </is>
      </c>
      <c r="B117" t="inlineStr">
        <is>
          <t>NORDEX ENERGY SPAIN S A U</t>
        </is>
      </c>
      <c r="C117" t="n">
        <v>2122100000</v>
      </c>
      <c r="D117" t="inlineStr">
        <is>
          <t>Intercompany</t>
        </is>
      </c>
      <c r="E117" t="n">
        <v>5003131</v>
      </c>
      <c r="F117" t="inlineStr">
        <is>
          <t>4026000004</t>
        </is>
      </c>
      <c r="G117" t="inlineStr">
        <is>
          <t>RE</t>
        </is>
      </c>
      <c r="H117" s="12" t="n">
        <v>-2885.49</v>
      </c>
      <c r="I117" s="17" t="n">
        <v>46024</v>
      </c>
      <c r="J117" s="17" t="n">
        <v>46054</v>
      </c>
      <c r="K117" t="inlineStr">
        <is>
          <t>0004/26</t>
        </is>
      </c>
    </row>
    <row r="118">
      <c r="A118" t="inlineStr">
        <is>
          <t>IC1000</t>
        </is>
      </c>
      <c r="B118" t="inlineStr">
        <is>
          <t>NORDEX ENERGY SE &amp; CO KG</t>
        </is>
      </c>
      <c r="C118" t="n">
        <v>2122100000</v>
      </c>
      <c r="D118" t="inlineStr">
        <is>
          <t>Intercompany</t>
        </is>
      </c>
      <c r="E118" t="n">
        <v>5003203</v>
      </c>
      <c r="F118" t="inlineStr">
        <is>
          <t>638-2</t>
        </is>
      </c>
      <c r="G118" t="inlineStr">
        <is>
          <t>RE</t>
        </is>
      </c>
      <c r="H118" s="12" t="n">
        <v>-106231.15</v>
      </c>
      <c r="I118" s="17" t="n">
        <v>45184</v>
      </c>
      <c r="J118" s="17" t="n">
        <v>45214</v>
      </c>
      <c r="K118" t="inlineStr">
        <is>
          <t>Fatura - bruto NORDEX ENERGY SE &amp; CO. KG 638-2</t>
        </is>
      </c>
    </row>
    <row r="119">
      <c r="A119" t="inlineStr">
        <is>
          <t>IC1000</t>
        </is>
      </c>
      <c r="B119" t="inlineStr">
        <is>
          <t>NORDEX ENERGY SE &amp; CO KG</t>
        </is>
      </c>
      <c r="C119" t="n">
        <v>2122100000</v>
      </c>
      <c r="D119" t="inlineStr">
        <is>
          <t>Intercompany</t>
        </is>
      </c>
      <c r="E119" t="n">
        <v>5003256</v>
      </c>
      <c r="F119" t="inlineStr">
        <is>
          <t>381358</t>
        </is>
      </c>
      <c r="G119" t="inlineStr">
        <is>
          <t>RE</t>
        </is>
      </c>
      <c r="H119" s="12" t="n">
        <v>-54247.77</v>
      </c>
      <c r="I119" s="17" t="n">
        <v>46050</v>
      </c>
      <c r="J119" s="17" t="n">
        <v>46080</v>
      </c>
      <c r="K119" t="inlineStr">
        <is>
          <t>0051/26</t>
        </is>
      </c>
    </row>
    <row r="120">
      <c r="A120" t="inlineStr">
        <is>
          <t>IC4420</t>
        </is>
      </c>
      <c r="B120" t="inlineStr">
        <is>
          <t>NORDEX ENERGY SPAIN S A U</t>
        </is>
      </c>
      <c r="C120" t="n">
        <v>2122100000</v>
      </c>
      <c r="D120" t="inlineStr">
        <is>
          <t>Intercompany</t>
        </is>
      </c>
      <c r="E120" t="n">
        <v>5003257</v>
      </c>
      <c r="F120" t="inlineStr">
        <is>
          <t>4026000822</t>
        </is>
      </c>
      <c r="G120" t="inlineStr">
        <is>
          <t>RE</t>
        </is>
      </c>
      <c r="H120" s="12" t="n">
        <v>-59706.3</v>
      </c>
      <c r="I120" s="17" t="n">
        <v>46057</v>
      </c>
      <c r="J120" s="17" t="n">
        <v>46087</v>
      </c>
      <c r="K120" t="inlineStr">
        <is>
          <t>0055/26</t>
        </is>
      </c>
    </row>
    <row r="121">
      <c r="A121" t="inlineStr">
        <is>
          <t>IC4420</t>
        </is>
      </c>
      <c r="B121" t="inlineStr">
        <is>
          <t>NORDEX ENERGY SPAIN S A U</t>
        </is>
      </c>
      <c r="C121" t="n">
        <v>2122100000</v>
      </c>
      <c r="D121" t="inlineStr">
        <is>
          <t>Intercompany</t>
        </is>
      </c>
      <c r="E121" t="n">
        <v>5003294</v>
      </c>
      <c r="F121" t="inlineStr">
        <is>
          <t>4025009069</t>
        </is>
      </c>
      <c r="G121" t="inlineStr">
        <is>
          <t>RE</t>
        </is>
      </c>
      <c r="H121" s="12" t="n">
        <v>-422046.17</v>
      </c>
      <c r="I121" s="17" t="n">
        <v>45986</v>
      </c>
      <c r="J121" s="17" t="n">
        <v>46016</v>
      </c>
      <c r="K121" t="inlineStr">
        <is>
          <t>0943/25</t>
        </is>
      </c>
    </row>
    <row r="122">
      <c r="A122" t="inlineStr">
        <is>
          <t>IC4420</t>
        </is>
      </c>
      <c r="B122" t="inlineStr">
        <is>
          <t>NORDEX ENERGY SPAIN S A U</t>
        </is>
      </c>
      <c r="C122" t="n">
        <v>2122100000</v>
      </c>
      <c r="D122" t="inlineStr">
        <is>
          <t>Intercompany</t>
        </is>
      </c>
      <c r="E122" t="n">
        <v>5003309</v>
      </c>
      <c r="F122" t="inlineStr">
        <is>
          <t>4026000825</t>
        </is>
      </c>
      <c r="G122" t="inlineStr">
        <is>
          <t>RE</t>
        </is>
      </c>
      <c r="H122" s="12" t="n">
        <v>-417730.52</v>
      </c>
      <c r="I122" s="17" t="n">
        <v>46057</v>
      </c>
      <c r="J122" s="17" t="n">
        <v>46087</v>
      </c>
      <c r="K122" t="inlineStr">
        <is>
          <t>0052/26</t>
        </is>
      </c>
    </row>
    <row r="123">
      <c r="A123" t="inlineStr">
        <is>
          <t>IC4420</t>
        </is>
      </c>
      <c r="B123" t="inlineStr">
        <is>
          <t>NORDEX ENERGY SPAIN S A U</t>
        </is>
      </c>
      <c r="C123" t="n">
        <v>2122100000</v>
      </c>
      <c r="D123" t="inlineStr">
        <is>
          <t>Intercompany</t>
        </is>
      </c>
      <c r="E123" t="n">
        <v>5003310</v>
      </c>
      <c r="F123" t="inlineStr">
        <is>
          <t>4026000828</t>
        </is>
      </c>
      <c r="G123" t="inlineStr">
        <is>
          <t>RE</t>
        </is>
      </c>
      <c r="H123" s="12" t="n">
        <v>-1943.11</v>
      </c>
      <c r="I123" s="17" t="n">
        <v>46057</v>
      </c>
      <c r="J123" s="17" t="n">
        <v>46087</v>
      </c>
      <c r="K123" t="inlineStr">
        <is>
          <t>0052/26</t>
        </is>
      </c>
    </row>
    <row r="124">
      <c r="A124" t="inlineStr">
        <is>
          <t>IC4420</t>
        </is>
      </c>
      <c r="B124" t="inlineStr">
        <is>
          <t>NORDEX ENERGY SPAIN S A U</t>
        </is>
      </c>
      <c r="C124" t="n">
        <v>2122100000</v>
      </c>
      <c r="D124" t="inlineStr">
        <is>
          <t>Intercompany</t>
        </is>
      </c>
      <c r="E124" t="n">
        <v>5003319</v>
      </c>
      <c r="F124" t="inlineStr">
        <is>
          <t>4026000544</t>
        </is>
      </c>
      <c r="G124" t="inlineStr">
        <is>
          <t>RE</t>
        </is>
      </c>
      <c r="H124" s="12" t="n">
        <v>-329234.99</v>
      </c>
      <c r="I124" s="17" t="n">
        <v>46048</v>
      </c>
      <c r="J124" s="17" t="n">
        <v>46078</v>
      </c>
      <c r="K124" t="inlineStr">
        <is>
          <t>0048/26</t>
        </is>
      </c>
    </row>
    <row r="125">
      <c r="A125" t="inlineStr">
        <is>
          <t>IC4420</t>
        </is>
      </c>
      <c r="B125" t="inlineStr">
        <is>
          <t>NORDEX ENERGY SPAIN S A U</t>
        </is>
      </c>
      <c r="C125" t="n">
        <v>2122100000</v>
      </c>
      <c r="D125" t="inlineStr">
        <is>
          <t>Intercompany</t>
        </is>
      </c>
      <c r="E125" t="n">
        <v>5003329</v>
      </c>
      <c r="F125" t="inlineStr">
        <is>
          <t>4025008825</t>
        </is>
      </c>
      <c r="G125" t="inlineStr">
        <is>
          <t>RE</t>
        </is>
      </c>
      <c r="H125" s="12" t="n">
        <v>-251067.47</v>
      </c>
      <c r="I125" s="17" t="n">
        <v>45975</v>
      </c>
      <c r="J125" s="17" t="n">
        <v>46005</v>
      </c>
      <c r="K125" t="inlineStr">
        <is>
          <t>0902/25</t>
        </is>
      </c>
    </row>
    <row r="126">
      <c r="A126" t="inlineStr">
        <is>
          <t>IC4420</t>
        </is>
      </c>
      <c r="B126" t="inlineStr">
        <is>
          <t>NORDEX ENERGY SPAIN S A U</t>
        </is>
      </c>
      <c r="C126" t="n">
        <v>2122100000</v>
      </c>
      <c r="D126" t="inlineStr">
        <is>
          <t>Intercompany</t>
        </is>
      </c>
      <c r="E126" t="n">
        <v>5003330</v>
      </c>
      <c r="F126" t="inlineStr">
        <is>
          <t>4025008826</t>
        </is>
      </c>
      <c r="G126" t="inlineStr">
        <is>
          <t>RE</t>
        </is>
      </c>
      <c r="H126" s="12" t="n">
        <v>-251067.47</v>
      </c>
      <c r="I126" s="17" t="n">
        <v>45975</v>
      </c>
      <c r="J126" s="17" t="n">
        <v>46005</v>
      </c>
      <c r="K126" t="inlineStr">
        <is>
          <t>0902/25</t>
        </is>
      </c>
    </row>
    <row r="127">
      <c r="A127" t="inlineStr">
        <is>
          <t>IC4420</t>
        </is>
      </c>
      <c r="B127" t="inlineStr">
        <is>
          <t>NORDEX ENERGY SPAIN S A U</t>
        </is>
      </c>
      <c r="C127" t="n">
        <v>2122100000</v>
      </c>
      <c r="D127" t="inlineStr">
        <is>
          <t>Intercompany</t>
        </is>
      </c>
      <c r="E127" t="n">
        <v>5003331</v>
      </c>
      <c r="F127" t="inlineStr">
        <is>
          <t>4025008813</t>
        </is>
      </c>
      <c r="G127" t="inlineStr">
        <is>
          <t>RE</t>
        </is>
      </c>
      <c r="H127" s="12" t="n">
        <v>-251067.47</v>
      </c>
      <c r="I127" s="17" t="n">
        <v>45975</v>
      </c>
      <c r="J127" s="17" t="n">
        <v>46005</v>
      </c>
      <c r="K127" t="inlineStr">
        <is>
          <t>0902/25</t>
        </is>
      </c>
    </row>
    <row r="128">
      <c r="A128" t="inlineStr">
        <is>
          <t>IC4420</t>
        </is>
      </c>
      <c r="B128" t="inlineStr">
        <is>
          <t>NORDEX ENERGY SPAIN S A U</t>
        </is>
      </c>
      <c r="C128" t="n">
        <v>2122100000</v>
      </c>
      <c r="D128" t="inlineStr">
        <is>
          <t>Intercompany</t>
        </is>
      </c>
      <c r="E128" t="n">
        <v>5003354</v>
      </c>
      <c r="F128" t="inlineStr">
        <is>
          <t>4025007246</t>
        </is>
      </c>
      <c r="G128" t="inlineStr">
        <is>
          <t>RE</t>
        </is>
      </c>
      <c r="H128" s="12" t="n">
        <v>-108495.38</v>
      </c>
      <c r="I128" s="17" t="n">
        <v>45919</v>
      </c>
      <c r="J128" s="17" t="n">
        <v>45949</v>
      </c>
      <c r="K128" t="inlineStr">
        <is>
          <t>0784/25</t>
        </is>
      </c>
    </row>
    <row r="129">
      <c r="A129" t="inlineStr">
        <is>
          <t>IC4420</t>
        </is>
      </c>
      <c r="B129" t="inlineStr">
        <is>
          <t>NORDEX ENERGY SPAIN S A U</t>
        </is>
      </c>
      <c r="C129" t="n">
        <v>2122100000</v>
      </c>
      <c r="D129" t="inlineStr">
        <is>
          <t>Intercompany</t>
        </is>
      </c>
      <c r="E129" t="n">
        <v>5003367</v>
      </c>
      <c r="F129" t="inlineStr">
        <is>
          <t>4018000262</t>
        </is>
      </c>
      <c r="G129" t="inlineStr">
        <is>
          <t>RE</t>
        </is>
      </c>
      <c r="H129" s="12" t="n">
        <v>-833028.9399999999</v>
      </c>
      <c r="I129" s="17" t="n">
        <v>46000</v>
      </c>
      <c r="J129" s="17" t="n">
        <v>46030</v>
      </c>
      <c r="K129" t="inlineStr">
        <is>
          <t>0928/25</t>
        </is>
      </c>
    </row>
    <row r="130">
      <c r="A130" t="inlineStr">
        <is>
          <t>IC4420</t>
        </is>
      </c>
      <c r="B130" t="inlineStr">
        <is>
          <t>NORDEX ENERGY SPAIN S A U</t>
        </is>
      </c>
      <c r="C130" t="n">
        <v>2122100000</v>
      </c>
      <c r="D130" t="inlineStr">
        <is>
          <t>Intercompany</t>
        </is>
      </c>
      <c r="E130" t="n">
        <v>5003427</v>
      </c>
      <c r="F130" t="inlineStr">
        <is>
          <t>4024008347</t>
        </is>
      </c>
      <c r="G130" t="inlineStr">
        <is>
          <t>RE</t>
        </is>
      </c>
      <c r="H130" s="12" t="n">
        <v>-572422.58</v>
      </c>
      <c r="I130" s="17" t="n">
        <v>45616</v>
      </c>
      <c r="J130" s="17" t="n">
        <v>45646</v>
      </c>
      <c r="K130" t="inlineStr">
        <is>
          <t>1094/24</t>
        </is>
      </c>
    </row>
    <row r="131">
      <c r="A131" t="inlineStr">
        <is>
          <t>IC4420</t>
        </is>
      </c>
      <c r="B131" t="inlineStr">
        <is>
          <t>NORDEX ENERGY SPAIN S A U</t>
        </is>
      </c>
      <c r="C131" t="n">
        <v>2122100000</v>
      </c>
      <c r="D131" t="inlineStr">
        <is>
          <t>Intercompany</t>
        </is>
      </c>
      <c r="E131" t="n">
        <v>5003572</v>
      </c>
      <c r="F131" t="inlineStr">
        <is>
          <t>4026001038</t>
        </is>
      </c>
      <c r="G131" t="inlineStr">
        <is>
          <t>RE</t>
        </is>
      </c>
      <c r="H131" s="12" t="n">
        <v>-126588.02</v>
      </c>
      <c r="I131" s="17" t="n">
        <v>46064</v>
      </c>
      <c r="J131" s="17" t="n">
        <v>46094</v>
      </c>
      <c r="K131" t="inlineStr">
        <is>
          <t>0076/26</t>
        </is>
      </c>
    </row>
    <row r="132">
      <c r="A132" t="inlineStr">
        <is>
          <t>IC4420</t>
        </is>
      </c>
      <c r="B132" t="inlineStr">
        <is>
          <t>NORDEX ENERGY SPAIN S A U</t>
        </is>
      </c>
      <c r="C132" t="n">
        <v>2122100000</v>
      </c>
      <c r="D132" t="inlineStr">
        <is>
          <t>Intercompany</t>
        </is>
      </c>
      <c r="E132" t="n">
        <v>5003597</v>
      </c>
      <c r="F132" t="inlineStr">
        <is>
          <t>4025009515</t>
        </is>
      </c>
      <c r="G132" t="inlineStr">
        <is>
          <t>RE</t>
        </is>
      </c>
      <c r="H132" s="12" t="n">
        <v>-1137449.97</v>
      </c>
      <c r="I132" s="17" t="n">
        <v>46000</v>
      </c>
      <c r="J132" s="17" t="n">
        <v>46030</v>
      </c>
      <c r="K132" t="inlineStr">
        <is>
          <t>0912/25</t>
        </is>
      </c>
    </row>
    <row r="133">
      <c r="A133" t="inlineStr">
        <is>
          <t>IC4420</t>
        </is>
      </c>
      <c r="B133" t="inlineStr">
        <is>
          <t>NORDEX ENERGY SPAIN S A U</t>
        </is>
      </c>
      <c r="C133" t="n">
        <v>2122100000</v>
      </c>
      <c r="D133" t="inlineStr">
        <is>
          <t>Intercompany</t>
        </is>
      </c>
      <c r="E133" t="n">
        <v>5003603</v>
      </c>
      <c r="F133" t="inlineStr">
        <is>
          <t>4026000600</t>
        </is>
      </c>
      <c r="G133" t="inlineStr">
        <is>
          <t>RE</t>
        </is>
      </c>
      <c r="H133" s="12" t="n">
        <v>-1066.1</v>
      </c>
      <c r="I133" s="17" t="n">
        <v>46049</v>
      </c>
      <c r="J133" s="17" t="n">
        <v>46079</v>
      </c>
      <c r="K133" t="inlineStr">
        <is>
          <t>0061/26</t>
        </is>
      </c>
    </row>
    <row r="134">
      <c r="A134" t="inlineStr">
        <is>
          <t>IC4420</t>
        </is>
      </c>
      <c r="B134" t="inlineStr">
        <is>
          <t>NORDEX ENERGY SPAIN S A U</t>
        </is>
      </c>
      <c r="C134" t="n">
        <v>2122100000</v>
      </c>
      <c r="D134" t="inlineStr">
        <is>
          <t>Intercompany</t>
        </is>
      </c>
      <c r="E134" t="n">
        <v>5003604</v>
      </c>
      <c r="F134" t="inlineStr">
        <is>
          <t>4026000543</t>
        </is>
      </c>
      <c r="G134" t="inlineStr">
        <is>
          <t>RE</t>
        </is>
      </c>
      <c r="H134" s="12" t="n">
        <v>-211877.68</v>
      </c>
      <c r="I134" s="17" t="n">
        <v>46048</v>
      </c>
      <c r="J134" s="17" t="n">
        <v>46078</v>
      </c>
      <c r="K134" t="inlineStr">
        <is>
          <t>0049/26</t>
        </is>
      </c>
    </row>
    <row r="135">
      <c r="A135" t="inlineStr">
        <is>
          <t>IC4420</t>
        </is>
      </c>
      <c r="B135" t="inlineStr">
        <is>
          <t>NORDEX ENERGY SPAIN S A U</t>
        </is>
      </c>
      <c r="C135" t="n">
        <v>2122100000</v>
      </c>
      <c r="D135" t="inlineStr">
        <is>
          <t>Intercompany</t>
        </is>
      </c>
      <c r="E135" t="n">
        <v>5003605</v>
      </c>
      <c r="F135" t="inlineStr">
        <is>
          <t>4026000319</t>
        </is>
      </c>
      <c r="G135" t="inlineStr">
        <is>
          <t>RE</t>
        </is>
      </c>
      <c r="H135" s="12" t="n">
        <v>-2559.03</v>
      </c>
      <c r="I135" s="17" t="n">
        <v>46036</v>
      </c>
      <c r="J135" s="17" t="n">
        <v>46066</v>
      </c>
      <c r="K135" t="inlineStr">
        <is>
          <t>0021/26</t>
        </is>
      </c>
    </row>
    <row r="136">
      <c r="A136" t="inlineStr">
        <is>
          <t>IC4420</t>
        </is>
      </c>
      <c r="B136" t="inlineStr">
        <is>
          <t>NORDEX ENERGY SPAIN S A U</t>
        </is>
      </c>
      <c r="C136" t="n">
        <v>2122100000</v>
      </c>
      <c r="D136" t="inlineStr">
        <is>
          <t>Intercompany</t>
        </is>
      </c>
      <c r="E136" t="n">
        <v>5003606</v>
      </c>
      <c r="F136" t="inlineStr">
        <is>
          <t>4026000815</t>
        </is>
      </c>
      <c r="G136" t="inlineStr">
        <is>
          <t>RE</t>
        </is>
      </c>
      <c r="H136" s="12" t="n">
        <v>-32314.35</v>
      </c>
      <c r="I136" s="17" t="n">
        <v>46056</v>
      </c>
      <c r="J136" s="17" t="n">
        <v>46086</v>
      </c>
      <c r="K136" t="inlineStr">
        <is>
          <t>0064/26</t>
        </is>
      </c>
    </row>
    <row r="137">
      <c r="A137" t="inlineStr">
        <is>
          <t>IC4420</t>
        </is>
      </c>
      <c r="B137" t="inlineStr">
        <is>
          <t>NORDEX ENERGY SPAIN S A U</t>
        </is>
      </c>
      <c r="C137" t="n">
        <v>2122100000</v>
      </c>
      <c r="D137" t="inlineStr">
        <is>
          <t>Intercompany</t>
        </is>
      </c>
      <c r="E137" t="n">
        <v>5003608</v>
      </c>
      <c r="F137" t="inlineStr">
        <is>
          <t>4026000601</t>
        </is>
      </c>
      <c r="G137" t="inlineStr">
        <is>
          <t>RE</t>
        </is>
      </c>
      <c r="H137" s="12" t="n">
        <v>-3012.28</v>
      </c>
      <c r="I137" s="17" t="n">
        <v>46049</v>
      </c>
      <c r="J137" s="17" t="n">
        <v>46079</v>
      </c>
      <c r="K137" t="inlineStr">
        <is>
          <t>0061/26</t>
        </is>
      </c>
    </row>
    <row r="138">
      <c r="A138" t="inlineStr">
        <is>
          <t>IC4420</t>
        </is>
      </c>
      <c r="B138" t="inlineStr">
        <is>
          <t>NORDEX ENERGY SPAIN S A U</t>
        </is>
      </c>
      <c r="C138" t="n">
        <v>2122100000</v>
      </c>
      <c r="D138" t="inlineStr">
        <is>
          <t>Intercompany</t>
        </is>
      </c>
      <c r="E138" t="n">
        <v>5003609</v>
      </c>
      <c r="F138" t="inlineStr">
        <is>
          <t>4026000826</t>
        </is>
      </c>
      <c r="G138" t="inlineStr">
        <is>
          <t>RE</t>
        </is>
      </c>
      <c r="H138" s="12" t="n">
        <v>-161813.13</v>
      </c>
      <c r="I138" s="17" t="n">
        <v>46057</v>
      </c>
      <c r="J138" s="17" t="n">
        <v>46087</v>
      </c>
      <c r="K138" t="inlineStr">
        <is>
          <t>0054/26</t>
        </is>
      </c>
    </row>
    <row r="139">
      <c r="A139" t="inlineStr">
        <is>
          <t>IC4420</t>
        </is>
      </c>
      <c r="B139" t="inlineStr">
        <is>
          <t>NORDEX ENERGY SPAIN S A U</t>
        </is>
      </c>
      <c r="C139" t="n">
        <v>2122100000</v>
      </c>
      <c r="D139" t="inlineStr">
        <is>
          <t>Intercompany</t>
        </is>
      </c>
      <c r="E139" t="n">
        <v>5003611</v>
      </c>
      <c r="F139" t="inlineStr">
        <is>
          <t>4026000886</t>
        </is>
      </c>
      <c r="G139" t="inlineStr">
        <is>
          <t>RE</t>
        </is>
      </c>
      <c r="H139" s="12" t="n">
        <v>-4374.57</v>
      </c>
      <c r="I139" s="17" t="n">
        <v>46058</v>
      </c>
      <c r="J139" s="17" t="n">
        <v>46088</v>
      </c>
      <c r="K139" t="inlineStr">
        <is>
          <t>0057/26</t>
        </is>
      </c>
    </row>
    <row r="140">
      <c r="A140" t="inlineStr">
        <is>
          <t>IC4420</t>
        </is>
      </c>
      <c r="B140" t="inlineStr">
        <is>
          <t>NORDEX ENERGY SPAIN S A U</t>
        </is>
      </c>
      <c r="C140" t="n">
        <v>2122100000</v>
      </c>
      <c r="D140" t="inlineStr">
        <is>
          <t>Intercompany</t>
        </is>
      </c>
      <c r="E140" t="n">
        <v>5003612</v>
      </c>
      <c r="F140" t="inlineStr">
        <is>
          <t>4025007239</t>
        </is>
      </c>
      <c r="G140" t="inlineStr">
        <is>
          <t>RE</t>
        </is>
      </c>
      <c r="H140" s="12" t="n">
        <v>-47578.67</v>
      </c>
      <c r="I140" s="17" t="n">
        <v>45919</v>
      </c>
      <c r="J140" s="17" t="n">
        <v>45949</v>
      </c>
      <c r="K140" t="inlineStr">
        <is>
          <t>0785/25</t>
        </is>
      </c>
    </row>
    <row r="141">
      <c r="A141" t="inlineStr">
        <is>
          <t>IC4420</t>
        </is>
      </c>
      <c r="B141" t="inlineStr">
        <is>
          <t>NORDEX ENERGY SPAIN S A U</t>
        </is>
      </c>
      <c r="C141" t="n">
        <v>2122100000</v>
      </c>
      <c r="D141" t="inlineStr">
        <is>
          <t>Intercompany</t>
        </is>
      </c>
      <c r="E141" t="n">
        <v>5003613</v>
      </c>
      <c r="F141" t="inlineStr">
        <is>
          <t>4026000889</t>
        </is>
      </c>
      <c r="G141" t="inlineStr">
        <is>
          <t>RE</t>
        </is>
      </c>
      <c r="H141" s="12" t="n">
        <v>-197719.46</v>
      </c>
      <c r="I141" s="17" t="n">
        <v>46058</v>
      </c>
      <c r="J141" s="17" t="n">
        <v>46088</v>
      </c>
      <c r="K141" t="inlineStr">
        <is>
          <t>0057/26</t>
        </is>
      </c>
    </row>
    <row r="142">
      <c r="A142" t="inlineStr">
        <is>
          <t>IC4420</t>
        </is>
      </c>
      <c r="B142" t="inlineStr">
        <is>
          <t>NORDEX ENERGY SPAIN S A U</t>
        </is>
      </c>
      <c r="C142" t="n">
        <v>2122100000</v>
      </c>
      <c r="D142" t="inlineStr">
        <is>
          <t>Intercompany</t>
        </is>
      </c>
      <c r="E142" t="n">
        <v>5003614</v>
      </c>
      <c r="F142" t="inlineStr">
        <is>
          <t>4025007230</t>
        </is>
      </c>
      <c r="G142" t="inlineStr">
        <is>
          <t>RE</t>
        </is>
      </c>
      <c r="H142" s="12" t="n">
        <v>-123979.19</v>
      </c>
      <c r="I142" s="17" t="n">
        <v>45919</v>
      </c>
      <c r="J142" s="17" t="n">
        <v>45949</v>
      </c>
      <c r="K142" t="inlineStr">
        <is>
          <t>0785/25</t>
        </is>
      </c>
    </row>
    <row r="143">
      <c r="A143" t="inlineStr">
        <is>
          <t>IC5000</t>
        </is>
      </c>
      <c r="B143" t="inlineStr">
        <is>
          <t>NORDEX SE</t>
        </is>
      </c>
      <c r="C143" t="n">
        <v>2122100000</v>
      </c>
      <c r="D143" t="inlineStr">
        <is>
          <t>Intercompany</t>
        </is>
      </c>
      <c r="E143" t="n">
        <v>5003718</v>
      </c>
      <c r="F143" t="inlineStr">
        <is>
          <t>610399</t>
        </is>
      </c>
      <c r="G143" t="inlineStr">
        <is>
          <t>KG</t>
        </is>
      </c>
      <c r="H143" s="12" t="n">
        <v>1462279.21</v>
      </c>
      <c r="I143" s="17" t="n">
        <v>46071</v>
      </c>
      <c r="J143" s="17" t="n">
        <v>46071</v>
      </c>
      <c r="K143" t="inlineStr">
        <is>
          <t>Nota crédito fornec. NORDEX SE 610399</t>
        </is>
      </c>
    </row>
    <row r="144">
      <c r="A144" t="inlineStr">
        <is>
          <t>IC4420</t>
        </is>
      </c>
      <c r="B144" t="inlineStr">
        <is>
          <t>NORDEX ENERGY SPAIN S A U</t>
        </is>
      </c>
      <c r="C144" t="n">
        <v>2122100000</v>
      </c>
      <c r="D144" t="inlineStr">
        <is>
          <t>Intercompany</t>
        </is>
      </c>
      <c r="E144" t="n">
        <v>5003829</v>
      </c>
      <c r="F144" t="inlineStr">
        <is>
          <t>4026000542</t>
        </is>
      </c>
      <c r="G144" t="inlineStr">
        <is>
          <t>RE</t>
        </is>
      </c>
      <c r="H144" s="12" t="n">
        <v>-115304.17</v>
      </c>
      <c r="I144" s="17" t="n">
        <v>46048</v>
      </c>
      <c r="J144" s="17" t="n">
        <v>46078</v>
      </c>
      <c r="K144" t="inlineStr">
        <is>
          <t>0047/26</t>
        </is>
      </c>
    </row>
    <row r="145">
      <c r="A145" t="inlineStr">
        <is>
          <t>IC4420</t>
        </is>
      </c>
      <c r="B145" t="inlineStr">
        <is>
          <t>NORDEX ENERGY SPAIN S A U</t>
        </is>
      </c>
      <c r="C145" t="n">
        <v>2122100000</v>
      </c>
      <c r="D145" t="inlineStr">
        <is>
          <t>Intercompany</t>
        </is>
      </c>
      <c r="E145" t="n">
        <v>5003830</v>
      </c>
      <c r="F145" t="inlineStr">
        <is>
          <t>4026000599</t>
        </is>
      </c>
      <c r="G145" t="inlineStr">
        <is>
          <t>RE</t>
        </is>
      </c>
      <c r="H145" s="12" t="n">
        <v>-4494.87</v>
      </c>
      <c r="I145" s="17" t="n">
        <v>46049</v>
      </c>
      <c r="J145" s="17" t="n">
        <v>46079</v>
      </c>
      <c r="K145" t="inlineStr">
        <is>
          <t>0060/26</t>
        </is>
      </c>
    </row>
    <row r="146">
      <c r="A146" t="inlineStr">
        <is>
          <t>IC4420</t>
        </is>
      </c>
      <c r="B146" t="inlineStr">
        <is>
          <t>NORDEX ENERGY SPAIN S A U</t>
        </is>
      </c>
      <c r="C146" t="n">
        <v>2122100000</v>
      </c>
      <c r="D146" t="inlineStr">
        <is>
          <t>Intercompany</t>
        </is>
      </c>
      <c r="E146" t="n">
        <v>5003831</v>
      </c>
      <c r="F146" t="inlineStr">
        <is>
          <t>4026000541</t>
        </is>
      </c>
      <c r="G146" t="inlineStr">
        <is>
          <t>RE</t>
        </is>
      </c>
      <c r="H146" s="12" t="n">
        <v>-250455.98</v>
      </c>
      <c r="I146" s="17" t="n">
        <v>46048</v>
      </c>
      <c r="J146" s="17" t="n">
        <v>46078</v>
      </c>
      <c r="K146" t="inlineStr">
        <is>
          <t>0047/26</t>
        </is>
      </c>
    </row>
    <row r="147">
      <c r="A147" t="inlineStr">
        <is>
          <t>IC4420</t>
        </is>
      </c>
      <c r="B147" t="inlineStr">
        <is>
          <t>NORDEX ENERGY SPAIN S A U</t>
        </is>
      </c>
      <c r="C147" t="n">
        <v>2122100000</v>
      </c>
      <c r="D147" t="inlineStr">
        <is>
          <t>Intercompany</t>
        </is>
      </c>
      <c r="E147" t="n">
        <v>5003832</v>
      </c>
      <c r="F147" t="inlineStr">
        <is>
          <t>4026000888</t>
        </is>
      </c>
      <c r="G147" t="inlineStr">
        <is>
          <t>RE</t>
        </is>
      </c>
      <c r="H147" s="12" t="n">
        <v>-16899.91</v>
      </c>
      <c r="I147" s="17" t="n">
        <v>46058</v>
      </c>
      <c r="J147" s="17" t="n">
        <v>46088</v>
      </c>
      <c r="K147" t="inlineStr">
        <is>
          <t>0059/26</t>
        </is>
      </c>
    </row>
    <row r="148">
      <c r="A148" t="inlineStr">
        <is>
          <t>IC4420</t>
        </is>
      </c>
      <c r="B148" t="inlineStr">
        <is>
          <t>NORDEX ENERGY SPAIN S A U</t>
        </is>
      </c>
      <c r="C148" t="n">
        <v>2122100000</v>
      </c>
      <c r="D148" t="inlineStr">
        <is>
          <t>Intercompany</t>
        </is>
      </c>
      <c r="E148" t="n">
        <v>5003833</v>
      </c>
      <c r="F148" t="inlineStr">
        <is>
          <t>4026000887</t>
        </is>
      </c>
      <c r="G148" t="inlineStr">
        <is>
          <t>RE</t>
        </is>
      </c>
      <c r="H148" s="12" t="n">
        <v>-29901.81</v>
      </c>
      <c r="I148" s="17" t="n">
        <v>46058</v>
      </c>
      <c r="J148" s="17" t="n">
        <v>46088</v>
      </c>
      <c r="K148" t="inlineStr">
        <is>
          <t>0059/26</t>
        </is>
      </c>
    </row>
    <row r="149">
      <c r="A149" t="inlineStr">
        <is>
          <t>IC4420</t>
        </is>
      </c>
      <c r="B149" t="inlineStr">
        <is>
          <t>NORDEX ENERGY SPAIN S A U</t>
        </is>
      </c>
      <c r="C149" t="n">
        <v>2122100000</v>
      </c>
      <c r="D149" t="inlineStr">
        <is>
          <t>Intercompany</t>
        </is>
      </c>
      <c r="E149" t="n">
        <v>5003836</v>
      </c>
      <c r="F149" t="inlineStr">
        <is>
          <t>4025007251</t>
        </is>
      </c>
      <c r="G149" t="inlineStr">
        <is>
          <t>RE</t>
        </is>
      </c>
      <c r="H149" s="12" t="n">
        <v>-132873.25</v>
      </c>
      <c r="I149" s="17" t="n">
        <v>45919</v>
      </c>
      <c r="J149" s="17" t="n">
        <v>45949</v>
      </c>
      <c r="K149" t="inlineStr">
        <is>
          <t>0783/25</t>
        </is>
      </c>
    </row>
    <row r="150">
      <c r="A150" t="inlineStr">
        <is>
          <t>IC4420</t>
        </is>
      </c>
      <c r="B150" t="inlineStr">
        <is>
          <t>NORDEX ENERGY SPAIN S A U</t>
        </is>
      </c>
      <c r="C150" t="n">
        <v>2122100000</v>
      </c>
      <c r="D150" t="inlineStr">
        <is>
          <t>Intercompany</t>
        </is>
      </c>
      <c r="E150" t="n">
        <v>5003841</v>
      </c>
      <c r="F150" t="inlineStr">
        <is>
          <t>4026001035</t>
        </is>
      </c>
      <c r="G150" t="inlineStr">
        <is>
          <t>RE</t>
        </is>
      </c>
      <c r="H150" s="12" t="n">
        <v>-54539.45</v>
      </c>
      <c r="I150" s="17" t="n">
        <v>46063</v>
      </c>
      <c r="J150" s="17" t="n">
        <v>46093</v>
      </c>
      <c r="K150" t="inlineStr">
        <is>
          <t>0073/26</t>
        </is>
      </c>
    </row>
    <row r="151">
      <c r="A151" t="inlineStr">
        <is>
          <t>IC4420</t>
        </is>
      </c>
      <c r="B151" t="inlineStr">
        <is>
          <t>NORDEX ENERGY SPAIN S A U</t>
        </is>
      </c>
      <c r="C151" t="n">
        <v>2122100000</v>
      </c>
      <c r="D151" t="inlineStr">
        <is>
          <t>Intercompany</t>
        </is>
      </c>
      <c r="E151" t="n">
        <v>5003842</v>
      </c>
      <c r="F151" t="inlineStr">
        <is>
          <t>4026001034</t>
        </is>
      </c>
      <c r="G151" t="inlineStr">
        <is>
          <t>RE</t>
        </is>
      </c>
      <c r="H151" s="12" t="n">
        <v>-8645.889999999999</v>
      </c>
      <c r="I151" s="17" t="n">
        <v>46063</v>
      </c>
      <c r="J151" s="17" t="n">
        <v>46093</v>
      </c>
      <c r="K151" t="inlineStr">
        <is>
          <t>0074/26</t>
        </is>
      </c>
    </row>
    <row r="152">
      <c r="A152" t="inlineStr">
        <is>
          <t>IC4420</t>
        </is>
      </c>
      <c r="B152" t="inlineStr">
        <is>
          <t>NORDEX ENERGY SPAIN S A U</t>
        </is>
      </c>
      <c r="C152" t="n">
        <v>2122100000</v>
      </c>
      <c r="D152" t="inlineStr">
        <is>
          <t>Intercompany</t>
        </is>
      </c>
      <c r="E152" t="n">
        <v>5003850</v>
      </c>
      <c r="F152" t="inlineStr">
        <is>
          <t>4026001046</t>
        </is>
      </c>
      <c r="G152" t="inlineStr">
        <is>
          <t>RE</t>
        </is>
      </c>
      <c r="H152" s="12" t="n">
        <v>-9935.67</v>
      </c>
      <c r="I152" s="17" t="n">
        <v>46064</v>
      </c>
      <c r="J152" s="17" t="n">
        <v>46094</v>
      </c>
      <c r="K152" t="inlineStr">
        <is>
          <t>0070/26</t>
        </is>
      </c>
    </row>
    <row r="153">
      <c r="A153" t="inlineStr">
        <is>
          <t>IC4420</t>
        </is>
      </c>
      <c r="B153" t="inlineStr">
        <is>
          <t>NORDEX ENERGY SPAIN S A U</t>
        </is>
      </c>
      <c r="C153" t="n">
        <v>2122100000</v>
      </c>
      <c r="D153" t="inlineStr">
        <is>
          <t>Intercompany</t>
        </is>
      </c>
      <c r="E153" t="n">
        <v>5003851</v>
      </c>
      <c r="F153" t="inlineStr">
        <is>
          <t>4026000927</t>
        </is>
      </c>
      <c r="G153" t="inlineStr">
        <is>
          <t>RE</t>
        </is>
      </c>
      <c r="H153" s="12" t="n">
        <v>-40210.4</v>
      </c>
      <c r="I153" s="17" t="n">
        <v>46059</v>
      </c>
      <c r="J153" s="17" t="n">
        <v>46089</v>
      </c>
      <c r="K153" t="inlineStr">
        <is>
          <t>0067/26</t>
        </is>
      </c>
    </row>
    <row r="154">
      <c r="A154" t="inlineStr">
        <is>
          <t>IC4420</t>
        </is>
      </c>
      <c r="B154" t="inlineStr">
        <is>
          <t>NORDEX ENERGY SPAIN S A U</t>
        </is>
      </c>
      <c r="C154" t="n">
        <v>2122100000</v>
      </c>
      <c r="D154" t="inlineStr">
        <is>
          <t>Intercompany</t>
        </is>
      </c>
      <c r="E154" t="n">
        <v>5003866</v>
      </c>
      <c r="F154" t="inlineStr">
        <is>
          <t>4025000404</t>
        </is>
      </c>
      <c r="G154" t="inlineStr">
        <is>
          <t>KR</t>
        </is>
      </c>
      <c r="H154" s="12" t="n">
        <v>-375156.6</v>
      </c>
      <c r="I154" s="17" t="n">
        <v>45677</v>
      </c>
      <c r="J154" s="17" t="n">
        <v>45707</v>
      </c>
      <c r="K154" t="inlineStr">
        <is>
          <t>Vendor Invoice NORDEX ENERGY SPAIN S A U 402500040</t>
        </is>
      </c>
    </row>
    <row r="155">
      <c r="A155" t="inlineStr">
        <is>
          <t>IC4420</t>
        </is>
      </c>
      <c r="B155" t="inlineStr">
        <is>
          <t>NORDEX ENERGY SPAIN S A U</t>
        </is>
      </c>
      <c r="C155" t="n">
        <v>2122100000</v>
      </c>
      <c r="D155" t="inlineStr">
        <is>
          <t>Intercompany</t>
        </is>
      </c>
      <c r="E155" t="n">
        <v>5003913</v>
      </c>
      <c r="F155" t="inlineStr">
        <is>
          <t>4026000821</t>
        </is>
      </c>
      <c r="G155" t="inlineStr">
        <is>
          <t>RE</t>
        </is>
      </c>
      <c r="H155" s="12" t="n">
        <v>-6135.55</v>
      </c>
      <c r="I155" s="17" t="n">
        <v>46057</v>
      </c>
      <c r="J155" s="17" t="n">
        <v>46087</v>
      </c>
      <c r="K155" t="inlineStr">
        <is>
          <t>0066/26</t>
        </is>
      </c>
    </row>
    <row r="156">
      <c r="A156" t="inlineStr">
        <is>
          <t>IC4420</t>
        </is>
      </c>
      <c r="B156" t="inlineStr">
        <is>
          <t>NORDEX ENERGY SPAIN S A U</t>
        </is>
      </c>
      <c r="C156" t="n">
        <v>2122100000</v>
      </c>
      <c r="D156" t="inlineStr">
        <is>
          <t>Intercompany</t>
        </is>
      </c>
      <c r="E156" t="n">
        <v>5003914</v>
      </c>
      <c r="F156" t="inlineStr">
        <is>
          <t>4026000692</t>
        </is>
      </c>
      <c r="G156" t="inlineStr">
        <is>
          <t>RE</t>
        </is>
      </c>
      <c r="H156" s="12" t="n">
        <v>-105225.4</v>
      </c>
      <c r="I156" s="17" t="n">
        <v>46051</v>
      </c>
      <c r="J156" s="17" t="n">
        <v>46081</v>
      </c>
      <c r="K156" t="inlineStr">
        <is>
          <t>0050/26</t>
        </is>
      </c>
    </row>
    <row r="157">
      <c r="A157" t="inlineStr">
        <is>
          <t>IC4420</t>
        </is>
      </c>
      <c r="B157" t="inlineStr">
        <is>
          <t>NORDEX ENERGY SPAIN S A U</t>
        </is>
      </c>
      <c r="C157" t="n">
        <v>2122100000</v>
      </c>
      <c r="D157" t="inlineStr">
        <is>
          <t>Intercompany</t>
        </is>
      </c>
      <c r="E157" t="n">
        <v>5003917</v>
      </c>
      <c r="F157" t="inlineStr">
        <is>
          <t>4026001019</t>
        </is>
      </c>
      <c r="G157" t="inlineStr">
        <is>
          <t>RE</t>
        </is>
      </c>
      <c r="H157" s="12" t="n">
        <v>-24564.89</v>
      </c>
      <c r="I157" s="17" t="n">
        <v>46063</v>
      </c>
      <c r="J157" s="17" t="n">
        <v>46093</v>
      </c>
      <c r="K157" t="inlineStr">
        <is>
          <t>0072/26</t>
        </is>
      </c>
    </row>
    <row r="158">
      <c r="A158" t="inlineStr">
        <is>
          <t>IC4420</t>
        </is>
      </c>
      <c r="B158" t="inlineStr">
        <is>
          <t>NORDEX ENERGY SPAIN S A U</t>
        </is>
      </c>
      <c r="C158" t="n">
        <v>2122100000</v>
      </c>
      <c r="D158" t="inlineStr">
        <is>
          <t>Intercompany</t>
        </is>
      </c>
      <c r="E158" t="n">
        <v>5004021</v>
      </c>
      <c r="F158" t="inlineStr">
        <is>
          <t>4026000602</t>
        </is>
      </c>
      <c r="G158" t="inlineStr">
        <is>
          <t>RE</t>
        </is>
      </c>
      <c r="H158" s="12" t="n">
        <v>-177.66</v>
      </c>
      <c r="I158" s="17" t="n">
        <v>46049</v>
      </c>
      <c r="J158" s="17" t="n">
        <v>46079</v>
      </c>
      <c r="K158" t="inlineStr">
        <is>
          <t>0062/26</t>
        </is>
      </c>
    </row>
    <row r="159">
      <c r="A159" t="inlineStr">
        <is>
          <t>IC1000</t>
        </is>
      </c>
      <c r="B159" t="inlineStr">
        <is>
          <t>NORDEX ENERGY SE &amp; CO KG</t>
        </is>
      </c>
      <c r="C159" t="n">
        <v>2122100000</v>
      </c>
      <c r="D159" t="inlineStr">
        <is>
          <t>Intercompany</t>
        </is>
      </c>
      <c r="E159" t="n">
        <v>5004078</v>
      </c>
      <c r="F159" t="inlineStr">
        <is>
          <t>4012425230</t>
        </is>
      </c>
      <c r="G159" t="inlineStr">
        <is>
          <t>RE</t>
        </is>
      </c>
      <c r="H159" s="12" t="n">
        <v>-872812.03</v>
      </c>
      <c r="I159" s="17" t="n">
        <v>45637</v>
      </c>
      <c r="J159" s="17" t="n">
        <v>45667</v>
      </c>
      <c r="K159" t="inlineStr">
        <is>
          <t>1132/24</t>
        </is>
      </c>
    </row>
    <row r="160">
      <c r="A160" t="inlineStr">
        <is>
          <t>IC1000</t>
        </is>
      </c>
      <c r="B160" t="inlineStr">
        <is>
          <t>NORDEX ENERGY SE &amp; CO KG</t>
        </is>
      </c>
      <c r="C160" t="n">
        <v>2122100000</v>
      </c>
      <c r="D160" t="inlineStr">
        <is>
          <t>Intercompany</t>
        </is>
      </c>
      <c r="E160" t="n">
        <v>5004194</v>
      </c>
      <c r="F160" t="inlineStr">
        <is>
          <t>314841</t>
        </is>
      </c>
      <c r="G160" t="inlineStr">
        <is>
          <t>RE</t>
        </is>
      </c>
      <c r="H160" s="12" t="n">
        <v>-1260599.92</v>
      </c>
      <c r="I160" s="17" t="n">
        <v>45593</v>
      </c>
      <c r="J160" s="17" t="n">
        <v>45623</v>
      </c>
      <c r="K160" t="inlineStr">
        <is>
          <t>1102/24</t>
        </is>
      </c>
    </row>
    <row r="161">
      <c r="A161" t="inlineStr">
        <is>
          <t>IC4420</t>
        </is>
      </c>
      <c r="B161" t="inlineStr">
        <is>
          <t>NORDEX ENERGY SPAIN S A U</t>
        </is>
      </c>
      <c r="C161" t="n">
        <v>2122100000</v>
      </c>
      <c r="D161" t="inlineStr">
        <is>
          <t>Intercompany</t>
        </is>
      </c>
      <c r="E161" t="n">
        <v>5004202</v>
      </c>
      <c r="F161" t="inlineStr">
        <is>
          <t>4026000447</t>
        </is>
      </c>
      <c r="G161" t="inlineStr">
        <is>
          <t>RE</t>
        </is>
      </c>
      <c r="H161" s="12" t="n">
        <v>-200808.83</v>
      </c>
      <c r="I161" s="17" t="n">
        <v>46043</v>
      </c>
      <c r="J161" s="17" t="n">
        <v>46073</v>
      </c>
      <c r="K161" t="inlineStr">
        <is>
          <t>0043/26</t>
        </is>
      </c>
    </row>
    <row r="162">
      <c r="A162" t="inlineStr">
        <is>
          <t>IC4420</t>
        </is>
      </c>
      <c r="B162" t="inlineStr">
        <is>
          <t>NORDEX ENERGY SPAIN S A U</t>
        </is>
      </c>
      <c r="C162" t="n">
        <v>2122100000</v>
      </c>
      <c r="D162" t="inlineStr">
        <is>
          <t>Intercompany</t>
        </is>
      </c>
      <c r="E162" t="n">
        <v>5004203</v>
      </c>
      <c r="F162" t="inlineStr">
        <is>
          <t>4026000885</t>
        </is>
      </c>
      <c r="G162" t="inlineStr">
        <is>
          <t>RE</t>
        </is>
      </c>
      <c r="H162" s="12" t="n">
        <v>-44785.21</v>
      </c>
      <c r="I162" s="17" t="n">
        <v>46058</v>
      </c>
      <c r="J162" s="17" t="n">
        <v>46088</v>
      </c>
      <c r="K162" t="inlineStr">
        <is>
          <t>0058/26</t>
        </is>
      </c>
    </row>
    <row r="163">
      <c r="A163" t="inlineStr">
        <is>
          <t>IC1000</t>
        </is>
      </c>
      <c r="B163" t="inlineStr">
        <is>
          <t>NORDEX ENERGY SE &amp; CO KG</t>
        </is>
      </c>
      <c r="C163" t="n">
        <v>2122100000</v>
      </c>
      <c r="D163" t="inlineStr">
        <is>
          <t>Intercompany</t>
        </is>
      </c>
      <c r="E163" t="n">
        <v>5004214</v>
      </c>
      <c r="F163" t="inlineStr">
        <is>
          <t>6188993</t>
        </is>
      </c>
      <c r="G163" t="inlineStr">
        <is>
          <t>KR</t>
        </is>
      </c>
      <c r="H163" s="12" t="n">
        <v>-13397231.29</v>
      </c>
      <c r="I163" s="17" t="n">
        <v>45316</v>
      </c>
      <c r="J163" s="17" t="n">
        <v>45346</v>
      </c>
      <c r="K163" t="inlineStr">
        <is>
          <t>Fatura do fornecedor NORDEX ENERGY SE &amp; CO. KG 618</t>
        </is>
      </c>
    </row>
    <row r="164">
      <c r="A164" t="inlineStr">
        <is>
          <t>IC4420</t>
        </is>
      </c>
      <c r="B164" t="inlineStr">
        <is>
          <t>NORDEX ENERGY SPAIN S A U</t>
        </is>
      </c>
      <c r="C164" t="n">
        <v>2122100000</v>
      </c>
      <c r="D164" t="inlineStr">
        <is>
          <t>Intercompany</t>
        </is>
      </c>
      <c r="E164" t="n">
        <v>5004224</v>
      </c>
      <c r="F164" t="inlineStr">
        <is>
          <t>4026000827</t>
        </is>
      </c>
      <c r="G164" t="inlineStr">
        <is>
          <t>RE</t>
        </is>
      </c>
      <c r="H164" s="12" t="n">
        <v>-14.19</v>
      </c>
      <c r="I164" s="17" t="n">
        <v>46026</v>
      </c>
      <c r="J164" s="17" t="n">
        <v>46056</v>
      </c>
      <c r="K164" t="inlineStr">
        <is>
          <t>0053/26</t>
        </is>
      </c>
    </row>
    <row r="165">
      <c r="A165" t="inlineStr">
        <is>
          <t>IC4420</t>
        </is>
      </c>
      <c r="B165" t="inlineStr">
        <is>
          <t>NORDEX ENERGY SPAIN S A U</t>
        </is>
      </c>
      <c r="C165" t="n">
        <v>2122100000</v>
      </c>
      <c r="D165" t="inlineStr">
        <is>
          <t>Intercompany</t>
        </is>
      </c>
      <c r="E165" t="n">
        <v>5004249</v>
      </c>
      <c r="F165" t="inlineStr">
        <is>
          <t>4026000020</t>
        </is>
      </c>
      <c r="G165" t="inlineStr">
        <is>
          <t>RE</t>
        </is>
      </c>
      <c r="H165" s="12" t="n">
        <v>-1357459.62</v>
      </c>
      <c r="I165" s="17" t="n">
        <v>46024</v>
      </c>
      <c r="J165" s="17" t="n">
        <v>46054</v>
      </c>
      <c r="K165" t="inlineStr">
        <is>
          <t>0013/26</t>
        </is>
      </c>
    </row>
    <row r="166">
      <c r="A166" t="inlineStr">
        <is>
          <t>IC4420</t>
        </is>
      </c>
      <c r="B166" t="inlineStr">
        <is>
          <t>NORDEX ENERGY SPAIN S A U</t>
        </is>
      </c>
      <c r="C166" t="n">
        <v>2122100000</v>
      </c>
      <c r="D166" t="inlineStr">
        <is>
          <t>Intercompany</t>
        </is>
      </c>
      <c r="E166" t="n">
        <v>5004250</v>
      </c>
      <c r="F166" t="inlineStr">
        <is>
          <t>4018000051</t>
        </is>
      </c>
      <c r="G166" t="inlineStr">
        <is>
          <t>RE</t>
        </is>
      </c>
      <c r="H166" s="12" t="n">
        <v>-85718.63</v>
      </c>
      <c r="I166" s="17" t="n">
        <v>46080</v>
      </c>
      <c r="J166" s="17" t="n">
        <v>46110</v>
      </c>
      <c r="K166" t="inlineStr">
        <is>
          <t>0104/26</t>
        </is>
      </c>
    </row>
    <row r="167">
      <c r="A167" t="inlineStr">
        <is>
          <t>IC4420</t>
        </is>
      </c>
      <c r="B167" t="inlineStr">
        <is>
          <t>NORDEX ENERGY SPAIN S A U</t>
        </is>
      </c>
      <c r="C167" t="n">
        <v>2122100000</v>
      </c>
      <c r="D167" t="inlineStr">
        <is>
          <t>Intercompany</t>
        </is>
      </c>
      <c r="E167" t="n">
        <v>5004268</v>
      </c>
      <c r="F167" t="inlineStr">
        <is>
          <t>4025009235</t>
        </is>
      </c>
      <c r="G167" t="inlineStr">
        <is>
          <t>RE</t>
        </is>
      </c>
      <c r="H167" s="12" t="n">
        <v>-247651.34</v>
      </c>
      <c r="I167" s="17" t="n">
        <v>45989</v>
      </c>
      <c r="J167" s="17" t="n">
        <v>46019</v>
      </c>
      <c r="K167" t="inlineStr">
        <is>
          <t>0909/25</t>
        </is>
      </c>
    </row>
    <row r="168">
      <c r="A168" t="inlineStr">
        <is>
          <t>IC4420</t>
        </is>
      </c>
      <c r="B168" t="inlineStr">
        <is>
          <t>NORDEX ENERGY SPAIN S A U</t>
        </is>
      </c>
      <c r="C168" t="n">
        <v>2122100000</v>
      </c>
      <c r="D168" t="inlineStr">
        <is>
          <t>Intercompany</t>
        </is>
      </c>
      <c r="E168" t="n">
        <v>5004269</v>
      </c>
      <c r="F168" t="inlineStr">
        <is>
          <t>4025009688</t>
        </is>
      </c>
      <c r="G168" t="inlineStr">
        <is>
          <t>RE</t>
        </is>
      </c>
      <c r="H168" s="12" t="n">
        <v>-834364.1</v>
      </c>
      <c r="I168" s="17" t="n">
        <v>46006</v>
      </c>
      <c r="J168" s="17" t="n">
        <v>46036</v>
      </c>
      <c r="K168" t="inlineStr">
        <is>
          <t>0933/25</t>
        </is>
      </c>
    </row>
    <row r="169">
      <c r="A169" t="inlineStr">
        <is>
          <t>IC4420</t>
        </is>
      </c>
      <c r="B169" t="inlineStr">
        <is>
          <t>NORDEX ENERGY SPAIN S A U</t>
        </is>
      </c>
      <c r="C169" t="n">
        <v>2122100000</v>
      </c>
      <c r="D169" t="inlineStr">
        <is>
          <t>Intercompany</t>
        </is>
      </c>
      <c r="E169" t="n">
        <v>5004270</v>
      </c>
      <c r="F169" t="inlineStr">
        <is>
          <t>4025009236</t>
        </is>
      </c>
      <c r="G169" t="inlineStr">
        <is>
          <t>RE</t>
        </is>
      </c>
      <c r="H169" s="12" t="n">
        <v>-247651.34</v>
      </c>
      <c r="I169" s="17" t="n">
        <v>45989</v>
      </c>
      <c r="J169" s="17" t="n">
        <v>46019</v>
      </c>
      <c r="K169" t="inlineStr">
        <is>
          <t>0909/25</t>
        </is>
      </c>
    </row>
    <row r="170">
      <c r="A170" t="inlineStr">
        <is>
          <t>IC4420</t>
        </is>
      </c>
      <c r="B170" t="inlineStr">
        <is>
          <t>NORDEX ENERGY SPAIN S A U</t>
        </is>
      </c>
      <c r="C170" t="n">
        <v>2122100000</v>
      </c>
      <c r="D170" t="inlineStr">
        <is>
          <t>Intercompany</t>
        </is>
      </c>
      <c r="E170" t="n">
        <v>5004272</v>
      </c>
      <c r="F170" t="inlineStr">
        <is>
          <t>4025009234</t>
        </is>
      </c>
      <c r="G170" t="inlineStr">
        <is>
          <t>RE</t>
        </is>
      </c>
      <c r="H170" s="12" t="n">
        <v>-247651.34</v>
      </c>
      <c r="I170" s="17" t="n">
        <v>45989</v>
      </c>
      <c r="J170" s="17" t="n">
        <v>46019</v>
      </c>
      <c r="K170" t="inlineStr">
        <is>
          <t>0909/25</t>
        </is>
      </c>
    </row>
    <row r="171">
      <c r="A171" t="inlineStr">
        <is>
          <t>IC4420</t>
        </is>
      </c>
      <c r="B171" t="inlineStr">
        <is>
          <t>NORDEX ENERGY SPAIN S A U</t>
        </is>
      </c>
      <c r="C171" t="n">
        <v>2122100000</v>
      </c>
      <c r="D171" t="inlineStr">
        <is>
          <t>Intercompany</t>
        </is>
      </c>
      <c r="E171" t="n">
        <v>5004310</v>
      </c>
      <c r="F171" t="inlineStr">
        <is>
          <t>4025008994</t>
        </is>
      </c>
      <c r="G171" t="inlineStr">
        <is>
          <t>RE</t>
        </is>
      </c>
      <c r="H171" s="12" t="n">
        <v>-1319.03</v>
      </c>
      <c r="I171" s="17" t="n">
        <v>45981</v>
      </c>
      <c r="J171" s="17" t="n">
        <v>46011</v>
      </c>
      <c r="K171" t="inlineStr">
        <is>
          <t>0879/25</t>
        </is>
      </c>
    </row>
    <row r="172">
      <c r="A172" t="inlineStr">
        <is>
          <t>IC1000</t>
        </is>
      </c>
      <c r="B172" t="inlineStr">
        <is>
          <t>NORDEX ENERGY SE &amp; CO KG</t>
        </is>
      </c>
      <c r="C172" t="n">
        <v>2122100000</v>
      </c>
      <c r="D172" t="inlineStr">
        <is>
          <t>Intercompany</t>
        </is>
      </c>
      <c r="E172" t="n">
        <v>5004456</v>
      </c>
      <c r="F172" t="inlineStr">
        <is>
          <t>318774</t>
        </is>
      </c>
      <c r="G172" t="inlineStr">
        <is>
          <t>RE</t>
        </is>
      </c>
      <c r="H172" s="12" t="n">
        <v>-5030.61</v>
      </c>
      <c r="I172" s="17" t="n">
        <v>45636</v>
      </c>
      <c r="J172" s="17" t="n">
        <v>45666</v>
      </c>
      <c r="K172" t="inlineStr">
        <is>
          <t>1153/24</t>
        </is>
      </c>
    </row>
    <row r="173">
      <c r="A173" t="inlineStr">
        <is>
          <t>IC1000</t>
        </is>
      </c>
      <c r="B173" t="inlineStr">
        <is>
          <t>NORDEX ENERGY SE &amp; CO KG</t>
        </is>
      </c>
      <c r="C173" t="n">
        <v>2122100000</v>
      </c>
      <c r="D173" t="inlineStr">
        <is>
          <t>Intercompany</t>
        </is>
      </c>
      <c r="E173" t="n">
        <v>5004463</v>
      </c>
      <c r="F173" t="inlineStr">
        <is>
          <t>322024</t>
        </is>
      </c>
      <c r="G173" t="inlineStr">
        <is>
          <t>RE</t>
        </is>
      </c>
      <c r="H173" s="12" t="n">
        <v>-28189.61</v>
      </c>
      <c r="I173" s="17" t="n">
        <v>45643</v>
      </c>
      <c r="J173" s="17" t="n">
        <v>45673</v>
      </c>
      <c r="K173" t="inlineStr">
        <is>
          <t>1168/24</t>
        </is>
      </c>
    </row>
    <row r="174">
      <c r="A174" t="inlineStr">
        <is>
          <t>IC4420</t>
        </is>
      </c>
      <c r="B174" t="inlineStr">
        <is>
          <t>NORDEX ENERGY SPAIN S A U</t>
        </is>
      </c>
      <c r="C174" t="n">
        <v>2122100000</v>
      </c>
      <c r="D174" t="inlineStr">
        <is>
          <t>Intercompany</t>
        </is>
      </c>
      <c r="E174" t="n">
        <v>5004486</v>
      </c>
      <c r="F174" t="inlineStr">
        <is>
          <t>4025009054</t>
        </is>
      </c>
      <c r="G174" t="inlineStr">
        <is>
          <t>RE</t>
        </is>
      </c>
      <c r="H174" s="12" t="n">
        <v>-1095159.26</v>
      </c>
      <c r="I174" s="17" t="n">
        <v>45986</v>
      </c>
      <c r="J174" s="17" t="n">
        <v>46016</v>
      </c>
      <c r="K174" t="inlineStr">
        <is>
          <t>0854/25</t>
        </is>
      </c>
    </row>
    <row r="175">
      <c r="A175" t="inlineStr">
        <is>
          <t>IC4420</t>
        </is>
      </c>
      <c r="B175" t="inlineStr">
        <is>
          <t>NORDEX ENERGY SPAIN S A U</t>
        </is>
      </c>
      <c r="C175" t="n">
        <v>2122100000</v>
      </c>
      <c r="D175" t="inlineStr">
        <is>
          <t>Intercompany</t>
        </is>
      </c>
      <c r="E175" t="n">
        <v>5004487</v>
      </c>
      <c r="F175" t="inlineStr">
        <is>
          <t>4025009255</t>
        </is>
      </c>
      <c r="G175" t="inlineStr">
        <is>
          <t>RE</t>
        </is>
      </c>
      <c r="H175" s="12" t="n">
        <v>-247651.34</v>
      </c>
      <c r="I175" s="17" t="n">
        <v>45989</v>
      </c>
      <c r="J175" s="17" t="n">
        <v>46019</v>
      </c>
      <c r="K175" t="inlineStr">
        <is>
          <t>0913/25</t>
        </is>
      </c>
    </row>
    <row r="176">
      <c r="A176" t="inlineStr">
        <is>
          <t>IC4420</t>
        </is>
      </c>
      <c r="B176" t="inlineStr">
        <is>
          <t>NORDEX ENERGY SPAIN S A U</t>
        </is>
      </c>
      <c r="C176" t="n">
        <v>2122100000</v>
      </c>
      <c r="D176" t="inlineStr">
        <is>
          <t>Intercompany</t>
        </is>
      </c>
      <c r="E176" t="n">
        <v>5004488</v>
      </c>
      <c r="F176" t="inlineStr">
        <is>
          <t>4025009257</t>
        </is>
      </c>
      <c r="G176" t="inlineStr">
        <is>
          <t>RE</t>
        </is>
      </c>
      <c r="H176" s="12" t="n">
        <v>-247651.34</v>
      </c>
      <c r="I176" s="17" t="n">
        <v>45989</v>
      </c>
      <c r="J176" s="17" t="n">
        <v>46019</v>
      </c>
      <c r="K176" t="inlineStr">
        <is>
          <t>0913/25</t>
        </is>
      </c>
    </row>
    <row r="177">
      <c r="A177" t="inlineStr">
        <is>
          <t>IC4420</t>
        </is>
      </c>
      <c r="B177" t="inlineStr">
        <is>
          <t>NORDEX ENERGY SPAIN S A U</t>
        </is>
      </c>
      <c r="C177" t="n">
        <v>2122100000</v>
      </c>
      <c r="D177" t="inlineStr">
        <is>
          <t>Intercompany</t>
        </is>
      </c>
      <c r="E177" t="n">
        <v>5004489</v>
      </c>
      <c r="F177" t="inlineStr">
        <is>
          <t>4025009158</t>
        </is>
      </c>
      <c r="G177" t="inlineStr">
        <is>
          <t>RE</t>
        </is>
      </c>
      <c r="H177" s="12" t="n">
        <v>-6458310.44</v>
      </c>
      <c r="I177" s="17" t="n">
        <v>45988</v>
      </c>
      <c r="J177" s="17" t="n">
        <v>46018</v>
      </c>
      <c r="K177" t="inlineStr">
        <is>
          <t>0857/25</t>
        </is>
      </c>
    </row>
    <row r="178">
      <c r="A178" t="inlineStr">
        <is>
          <t>IC4420</t>
        </is>
      </c>
      <c r="B178" t="inlineStr">
        <is>
          <t>NORDEX ENERGY SPAIN S A U</t>
        </is>
      </c>
      <c r="C178" t="n">
        <v>2122100000</v>
      </c>
      <c r="D178" t="inlineStr">
        <is>
          <t>Intercompany</t>
        </is>
      </c>
      <c r="E178" t="n">
        <v>5004495</v>
      </c>
      <c r="F178" t="inlineStr">
        <is>
          <t>4025009256</t>
        </is>
      </c>
      <c r="G178" t="inlineStr">
        <is>
          <t>RE</t>
        </is>
      </c>
      <c r="H178" s="12" t="n">
        <v>-247651.34</v>
      </c>
      <c r="I178" s="17" t="n">
        <v>45989</v>
      </c>
      <c r="J178" s="17" t="n">
        <v>46019</v>
      </c>
      <c r="K178" t="inlineStr">
        <is>
          <t>0913/25</t>
        </is>
      </c>
    </row>
    <row r="179">
      <c r="A179" t="inlineStr">
        <is>
          <t>IC4420</t>
        </is>
      </c>
      <c r="B179" t="inlineStr">
        <is>
          <t>NORDEX ENERGY SPAIN S A U</t>
        </is>
      </c>
      <c r="C179" t="n">
        <v>2122100000</v>
      </c>
      <c r="D179" t="inlineStr">
        <is>
          <t>Intercompany</t>
        </is>
      </c>
      <c r="E179" t="n">
        <v>5004663</v>
      </c>
      <c r="F179" t="inlineStr">
        <is>
          <t>4026001199</t>
        </is>
      </c>
      <c r="G179" t="inlineStr">
        <is>
          <t>RE</t>
        </is>
      </c>
      <c r="H179" s="12" t="n">
        <v>-16058.2</v>
      </c>
      <c r="I179" s="17" t="n">
        <v>46072</v>
      </c>
      <c r="J179" s="17" t="n">
        <v>46102</v>
      </c>
      <c r="K179" t="inlineStr">
        <is>
          <t>0081/26</t>
        </is>
      </c>
    </row>
    <row r="180">
      <c r="A180" t="inlineStr">
        <is>
          <t>IC4420</t>
        </is>
      </c>
      <c r="B180" t="inlineStr">
        <is>
          <t>NORDEX ENERGY SPAIN S A U</t>
        </is>
      </c>
      <c r="C180" t="n">
        <v>2122100000</v>
      </c>
      <c r="D180" t="inlineStr">
        <is>
          <t>Intercompany</t>
        </is>
      </c>
      <c r="E180" t="n">
        <v>5004664</v>
      </c>
      <c r="F180" t="inlineStr">
        <is>
          <t>4026001243</t>
        </is>
      </c>
      <c r="G180" t="inlineStr">
        <is>
          <t>RE</t>
        </is>
      </c>
      <c r="H180" s="12" t="n">
        <v>-8292.09</v>
      </c>
      <c r="I180" s="17" t="n">
        <v>46073</v>
      </c>
      <c r="J180" s="17" t="n">
        <v>46103</v>
      </c>
      <c r="K180" t="inlineStr">
        <is>
          <t>0086/26</t>
        </is>
      </c>
    </row>
    <row r="181">
      <c r="A181" t="inlineStr">
        <is>
          <t>IC4420</t>
        </is>
      </c>
      <c r="B181" t="inlineStr">
        <is>
          <t>NORDEX ENERGY SPAIN S A U</t>
        </is>
      </c>
      <c r="C181" t="n">
        <v>2122100000</v>
      </c>
      <c r="D181" t="inlineStr">
        <is>
          <t>Intercompany</t>
        </is>
      </c>
      <c r="E181" t="n">
        <v>5004675</v>
      </c>
      <c r="F181" t="inlineStr">
        <is>
          <t>4026000813</t>
        </is>
      </c>
      <c r="G181" t="inlineStr">
        <is>
          <t>RE</t>
        </is>
      </c>
      <c r="H181" s="12" t="n">
        <v>-1727.62</v>
      </c>
      <c r="I181" s="17" t="n">
        <v>46056</v>
      </c>
      <c r="J181" s="17" t="n">
        <v>46086</v>
      </c>
      <c r="K181" t="inlineStr">
        <is>
          <t>0069/26</t>
        </is>
      </c>
    </row>
    <row r="182">
      <c r="A182" t="inlineStr">
        <is>
          <t>IC4420</t>
        </is>
      </c>
      <c r="B182" t="inlineStr">
        <is>
          <t>NORDEX ENERGY SPAIN S A U</t>
        </is>
      </c>
      <c r="C182" t="n">
        <v>2122100000</v>
      </c>
      <c r="D182" t="inlineStr">
        <is>
          <t>Intercompany</t>
        </is>
      </c>
      <c r="E182" t="n">
        <v>5004676</v>
      </c>
      <c r="F182" t="inlineStr">
        <is>
          <t>4018000028</t>
        </is>
      </c>
      <c r="G182" t="inlineStr">
        <is>
          <t>RE</t>
        </is>
      </c>
      <c r="H182" s="12" t="n">
        <v>-43005.84</v>
      </c>
      <c r="I182" s="17" t="n">
        <v>46058</v>
      </c>
      <c r="J182" s="17" t="n">
        <v>46088</v>
      </c>
      <c r="K182" t="inlineStr">
        <is>
          <t>0065/26</t>
        </is>
      </c>
    </row>
    <row r="183">
      <c r="A183" t="inlineStr">
        <is>
          <t>IC4420</t>
        </is>
      </c>
      <c r="B183" t="inlineStr">
        <is>
          <t>NORDEX ENERGY SPAIN S A U</t>
        </is>
      </c>
      <c r="C183" t="n">
        <v>2122100000</v>
      </c>
      <c r="D183" t="inlineStr">
        <is>
          <t>Intercompany</t>
        </is>
      </c>
      <c r="E183" t="n">
        <v>5004685</v>
      </c>
      <c r="F183" t="inlineStr">
        <is>
          <t>4025008984</t>
        </is>
      </c>
      <c r="G183" t="inlineStr">
        <is>
          <t>RE</t>
        </is>
      </c>
      <c r="H183" s="12" t="n">
        <v>-42624.19</v>
      </c>
      <c r="I183" s="17" t="n">
        <v>45981</v>
      </c>
      <c r="J183" s="17" t="n">
        <v>46011</v>
      </c>
      <c r="K183" t="inlineStr">
        <is>
          <t>0873/25</t>
        </is>
      </c>
    </row>
    <row r="184">
      <c r="A184" t="inlineStr">
        <is>
          <t>IC4420</t>
        </is>
      </c>
      <c r="B184" t="inlineStr">
        <is>
          <t>NORDEX ENERGY SPAIN S A U</t>
        </is>
      </c>
      <c r="C184" t="n">
        <v>2122100000</v>
      </c>
      <c r="D184" t="inlineStr">
        <is>
          <t>Intercompany</t>
        </is>
      </c>
      <c r="E184" t="n">
        <v>5004686</v>
      </c>
      <c r="F184" t="inlineStr">
        <is>
          <t>4026000814</t>
        </is>
      </c>
      <c r="G184" t="inlineStr">
        <is>
          <t>RE</t>
        </is>
      </c>
      <c r="H184" s="12" t="n">
        <v>-903.78</v>
      </c>
      <c r="I184" s="17" t="n">
        <v>46056</v>
      </c>
      <c r="J184" s="17" t="n">
        <v>46086</v>
      </c>
      <c r="K184" t="inlineStr">
        <is>
          <t>0071/26</t>
        </is>
      </c>
    </row>
    <row r="185">
      <c r="A185" t="inlineStr">
        <is>
          <t>IC4420</t>
        </is>
      </c>
      <c r="B185" t="inlineStr">
        <is>
          <t>NORDEX ENERGY SPAIN S A U</t>
        </is>
      </c>
      <c r="C185" t="n">
        <v>2122100000</v>
      </c>
      <c r="D185" t="inlineStr">
        <is>
          <t>Intercompany</t>
        </is>
      </c>
      <c r="E185" t="n">
        <v>5004789</v>
      </c>
      <c r="F185" t="inlineStr">
        <is>
          <t>4026001241</t>
        </is>
      </c>
      <c r="G185" t="inlineStr">
        <is>
          <t>RE</t>
        </is>
      </c>
      <c r="H185" s="12" t="n">
        <v>-46922.45</v>
      </c>
      <c r="I185" s="17" t="n">
        <v>46073</v>
      </c>
      <c r="J185" s="17" t="n">
        <v>46103</v>
      </c>
      <c r="K185" t="inlineStr">
        <is>
          <t>0084/26</t>
        </is>
      </c>
    </row>
    <row r="186">
      <c r="A186" t="inlineStr">
        <is>
          <t>IC4420</t>
        </is>
      </c>
      <c r="B186" t="inlineStr">
        <is>
          <t>NORDEX ENERGY SPAIN S A U</t>
        </is>
      </c>
      <c r="C186" t="n">
        <v>2122100000</v>
      </c>
      <c r="D186" t="inlineStr">
        <is>
          <t>Intercompany</t>
        </is>
      </c>
      <c r="E186" t="n">
        <v>5004790</v>
      </c>
      <c r="F186" t="inlineStr">
        <is>
          <t>4026001245</t>
        </is>
      </c>
      <c r="G186" t="inlineStr">
        <is>
          <t>RE</t>
        </is>
      </c>
      <c r="H186" s="12" t="n">
        <v>-8621.940000000001</v>
      </c>
      <c r="I186" s="17" t="n">
        <v>46073</v>
      </c>
      <c r="J186" s="17" t="n">
        <v>46103</v>
      </c>
      <c r="K186" t="inlineStr">
        <is>
          <t>0087/26</t>
        </is>
      </c>
    </row>
    <row r="187">
      <c r="A187" t="inlineStr">
        <is>
          <t>IC4420</t>
        </is>
      </c>
      <c r="B187" t="inlineStr">
        <is>
          <t>NORDEX ENERGY SPAIN S A U</t>
        </is>
      </c>
      <c r="C187" t="n">
        <v>2122100000</v>
      </c>
      <c r="D187" t="inlineStr">
        <is>
          <t>Intercompany</t>
        </is>
      </c>
      <c r="E187" t="n">
        <v>5004791</v>
      </c>
      <c r="F187" t="inlineStr">
        <is>
          <t>4026000443</t>
        </is>
      </c>
      <c r="G187" t="inlineStr">
        <is>
          <t>RE</t>
        </is>
      </c>
      <c r="H187" s="12" t="n">
        <v>-21620.59</v>
      </c>
      <c r="I187" s="17" t="n">
        <v>46043</v>
      </c>
      <c r="J187" s="17" t="n">
        <v>46073</v>
      </c>
      <c r="K187" t="inlineStr">
        <is>
          <t>0038/26</t>
        </is>
      </c>
    </row>
    <row r="188">
      <c r="A188" t="inlineStr">
        <is>
          <t>IC4420</t>
        </is>
      </c>
      <c r="B188" t="inlineStr">
        <is>
          <t>NORDEX ENERGY SPAIN S A U</t>
        </is>
      </c>
      <c r="C188" t="n">
        <v>2122100000</v>
      </c>
      <c r="D188" t="inlineStr">
        <is>
          <t>Intercompany</t>
        </is>
      </c>
      <c r="E188" t="n">
        <v>5004792</v>
      </c>
      <c r="F188" t="inlineStr">
        <is>
          <t>4026001579</t>
        </is>
      </c>
      <c r="G188" t="inlineStr">
        <is>
          <t>RE</t>
        </is>
      </c>
      <c r="H188" s="12" t="n">
        <v>-10199.02</v>
      </c>
      <c r="I188" s="17" t="n">
        <v>46085</v>
      </c>
      <c r="J188" s="17" t="n">
        <v>46115</v>
      </c>
      <c r="K188" t="inlineStr">
        <is>
          <t>0119/26</t>
        </is>
      </c>
    </row>
    <row r="189">
      <c r="A189" t="inlineStr">
        <is>
          <t>IC4420</t>
        </is>
      </c>
      <c r="B189" t="inlineStr">
        <is>
          <t>NORDEX ENERGY SPAIN S A U</t>
        </is>
      </c>
      <c r="C189" t="n">
        <v>2122100000</v>
      </c>
      <c r="D189" t="inlineStr">
        <is>
          <t>Intercompany</t>
        </is>
      </c>
      <c r="E189" t="n">
        <v>5004793</v>
      </c>
      <c r="F189" t="inlineStr">
        <is>
          <t>4025008979</t>
        </is>
      </c>
      <c r="G189" t="inlineStr">
        <is>
          <t>RE</t>
        </is>
      </c>
      <c r="H189" s="12" t="n">
        <v>-2694.77</v>
      </c>
      <c r="I189" s="17" t="n">
        <v>45981</v>
      </c>
      <c r="J189" s="17" t="n">
        <v>46011</v>
      </c>
      <c r="K189" t="inlineStr">
        <is>
          <t>0876/25</t>
        </is>
      </c>
    </row>
    <row r="190">
      <c r="A190" t="inlineStr">
        <is>
          <t>IC4420</t>
        </is>
      </c>
      <c r="B190" t="inlineStr">
        <is>
          <t>NORDEX ENERGY SPAIN S A U</t>
        </is>
      </c>
      <c r="C190" t="n">
        <v>2122100000</v>
      </c>
      <c r="D190" t="inlineStr">
        <is>
          <t>Intercompany</t>
        </is>
      </c>
      <c r="E190" t="n">
        <v>5004794</v>
      </c>
      <c r="F190" t="inlineStr">
        <is>
          <t>4026001244</t>
        </is>
      </c>
      <c r="G190" t="inlineStr">
        <is>
          <t>RE</t>
        </is>
      </c>
      <c r="H190" s="12" t="n">
        <v>-65185.15</v>
      </c>
      <c r="I190" s="17" t="n">
        <v>46073</v>
      </c>
      <c r="J190" s="17" t="n">
        <v>46103</v>
      </c>
      <c r="K190" t="inlineStr">
        <is>
          <t>0087/26</t>
        </is>
      </c>
    </row>
    <row r="191">
      <c r="A191" t="inlineStr">
        <is>
          <t>IC4420</t>
        </is>
      </c>
      <c r="B191" t="inlineStr">
        <is>
          <t>NORDEX ENERGY SPAIN S A U</t>
        </is>
      </c>
      <c r="C191" t="n">
        <v>2122100000</v>
      </c>
      <c r="D191" t="inlineStr">
        <is>
          <t>Intercompany</t>
        </is>
      </c>
      <c r="E191" t="n">
        <v>5004882</v>
      </c>
      <c r="F191" t="inlineStr">
        <is>
          <t>4026001247</t>
        </is>
      </c>
      <c r="G191" t="inlineStr">
        <is>
          <t>RE</t>
        </is>
      </c>
      <c r="H191" s="12" t="n">
        <v>-27210.07</v>
      </c>
      <c r="I191" s="17" t="n">
        <v>46073</v>
      </c>
      <c r="J191" s="17" t="n">
        <v>46103</v>
      </c>
      <c r="K191" t="inlineStr">
        <is>
          <t>0089/26</t>
        </is>
      </c>
    </row>
    <row r="192">
      <c r="A192" t="inlineStr">
        <is>
          <t>IC4420</t>
        </is>
      </c>
      <c r="B192" t="inlineStr">
        <is>
          <t>NORDEX ENERGY SPAIN S A U</t>
        </is>
      </c>
      <c r="C192" t="n">
        <v>2122100000</v>
      </c>
      <c r="D192" t="inlineStr">
        <is>
          <t>Intercompany</t>
        </is>
      </c>
      <c r="E192" t="n">
        <v>5004910</v>
      </c>
      <c r="F192" t="inlineStr">
        <is>
          <t>4025009849</t>
        </is>
      </c>
      <c r="G192" t="inlineStr">
        <is>
          <t>RE</t>
        </is>
      </c>
      <c r="H192" s="12" t="n">
        <v>-828403.1</v>
      </c>
      <c r="I192" s="17" t="n">
        <v>46010</v>
      </c>
      <c r="J192" s="17" t="n">
        <v>46040</v>
      </c>
      <c r="K192" t="inlineStr">
        <is>
          <t>0950/25</t>
        </is>
      </c>
    </row>
    <row r="193">
      <c r="A193" t="inlineStr">
        <is>
          <t>IC1000</t>
        </is>
      </c>
      <c r="B193" t="inlineStr">
        <is>
          <t>NORDEX ENERGY SE &amp; CO KG</t>
        </is>
      </c>
      <c r="C193" t="n">
        <v>2122100000</v>
      </c>
      <c r="D193" t="inlineStr">
        <is>
          <t>Intercompany</t>
        </is>
      </c>
      <c r="E193" t="n">
        <v>5005013</v>
      </c>
      <c r="F193" t="inlineStr">
        <is>
          <t>318880</t>
        </is>
      </c>
      <c r="G193" t="inlineStr">
        <is>
          <t>RE</t>
        </is>
      </c>
      <c r="H193" s="12" t="n">
        <v>-17902.1</v>
      </c>
      <c r="I193" s="17" t="n">
        <v>45636</v>
      </c>
      <c r="J193" s="17" t="n">
        <v>45666</v>
      </c>
      <c r="K193" t="inlineStr">
        <is>
          <t>0023/25</t>
        </is>
      </c>
    </row>
    <row r="194">
      <c r="A194" t="inlineStr">
        <is>
          <t>IC1000</t>
        </is>
      </c>
      <c r="B194" t="inlineStr">
        <is>
          <t>NORDEX ENERGY SE &amp; CO KG</t>
        </is>
      </c>
      <c r="C194" t="n">
        <v>2122100000</v>
      </c>
      <c r="D194" t="inlineStr">
        <is>
          <t>Intercompany</t>
        </is>
      </c>
      <c r="E194" t="n">
        <v>5005015</v>
      </c>
      <c r="F194" t="inlineStr">
        <is>
          <t>319863</t>
        </is>
      </c>
      <c r="G194" t="inlineStr">
        <is>
          <t>RE</t>
        </is>
      </c>
      <c r="H194" s="12" t="n">
        <v>-82467.89</v>
      </c>
      <c r="I194" s="17" t="n">
        <v>45631</v>
      </c>
      <c r="J194" s="17" t="n">
        <v>45661</v>
      </c>
      <c r="K194" t="inlineStr">
        <is>
          <t>0050/25</t>
        </is>
      </c>
    </row>
    <row r="195">
      <c r="A195" t="inlineStr">
        <is>
          <t>IC4420</t>
        </is>
      </c>
      <c r="B195" t="inlineStr">
        <is>
          <t>NORDEX ENERGY SPAIN S A U</t>
        </is>
      </c>
      <c r="C195" t="n">
        <v>2122100000</v>
      </c>
      <c r="D195" t="inlineStr">
        <is>
          <t>Intercompany</t>
        </is>
      </c>
      <c r="E195" t="n">
        <v>5005078</v>
      </c>
      <c r="F195" t="inlineStr">
        <is>
          <t>4026000449</t>
        </is>
      </c>
      <c r="G195" t="inlineStr">
        <is>
          <t>RE</t>
        </is>
      </c>
      <c r="H195" s="12" t="n">
        <v>-6059.6</v>
      </c>
      <c r="I195" s="17" t="n">
        <v>46043</v>
      </c>
      <c r="J195" s="17" t="n">
        <v>46073</v>
      </c>
      <c r="K195" t="inlineStr">
        <is>
          <t>0041/26</t>
        </is>
      </c>
    </row>
    <row r="196">
      <c r="A196" t="inlineStr">
        <is>
          <t>IC4420</t>
        </is>
      </c>
      <c r="B196" t="inlineStr">
        <is>
          <t>NORDEX ENERGY SPAIN S A U</t>
        </is>
      </c>
      <c r="C196" t="n">
        <v>2122100000</v>
      </c>
      <c r="D196" t="inlineStr">
        <is>
          <t>Intercompany</t>
        </is>
      </c>
      <c r="E196" t="n">
        <v>5005087</v>
      </c>
      <c r="F196" t="inlineStr">
        <is>
          <t>4026000445</t>
        </is>
      </c>
      <c r="G196" t="inlineStr">
        <is>
          <t>RE</t>
        </is>
      </c>
      <c r="H196" s="12" t="n">
        <v>-6540.43</v>
      </c>
      <c r="I196" s="17" t="n">
        <v>46043</v>
      </c>
      <c r="J196" s="17" t="n">
        <v>46073</v>
      </c>
      <c r="K196" t="inlineStr">
        <is>
          <t>0039/26</t>
        </is>
      </c>
    </row>
    <row r="197">
      <c r="A197" t="inlineStr">
        <is>
          <t>IC4420</t>
        </is>
      </c>
      <c r="B197" t="inlineStr">
        <is>
          <t>NORDEX ENERGY SPAIN S A U</t>
        </is>
      </c>
      <c r="C197" t="n">
        <v>2122100000</v>
      </c>
      <c r="D197" t="inlineStr">
        <is>
          <t>Intercompany</t>
        </is>
      </c>
      <c r="E197" t="n">
        <v>5005088</v>
      </c>
      <c r="F197" t="inlineStr">
        <is>
          <t>4018000020</t>
        </is>
      </c>
      <c r="G197" t="inlineStr">
        <is>
          <t>RE</t>
        </is>
      </c>
      <c r="H197" s="12" t="n">
        <v>-280975.13</v>
      </c>
      <c r="I197" s="17" t="n">
        <v>46049</v>
      </c>
      <c r="J197" s="17" t="n">
        <v>46079</v>
      </c>
      <c r="K197" t="inlineStr">
        <is>
          <t>0039/26</t>
        </is>
      </c>
    </row>
    <row r="198">
      <c r="A198" t="inlineStr">
        <is>
          <t>IC4420</t>
        </is>
      </c>
      <c r="B198" t="inlineStr">
        <is>
          <t>NORDEX ENERGY SPAIN S A U</t>
        </is>
      </c>
      <c r="C198" t="n">
        <v>2122100000</v>
      </c>
      <c r="D198" t="inlineStr">
        <is>
          <t>Intercompany</t>
        </is>
      </c>
      <c r="E198" t="n">
        <v>5005089</v>
      </c>
      <c r="F198" t="inlineStr">
        <is>
          <t>4026000444</t>
        </is>
      </c>
      <c r="G198" t="inlineStr">
        <is>
          <t>RE</t>
        </is>
      </c>
      <c r="H198" s="12" t="n">
        <v>-67572.87</v>
      </c>
      <c r="I198" s="17" t="n">
        <v>46043</v>
      </c>
      <c r="J198" s="17" t="n">
        <v>46073</v>
      </c>
      <c r="K198" t="inlineStr">
        <is>
          <t>0039/26</t>
        </is>
      </c>
    </row>
    <row r="199">
      <c r="A199" t="inlineStr">
        <is>
          <t>IC4420</t>
        </is>
      </c>
      <c r="B199" t="inlineStr">
        <is>
          <t>NORDEX ENERGY SPAIN S A U</t>
        </is>
      </c>
      <c r="C199" t="n">
        <v>2122100000</v>
      </c>
      <c r="D199" t="inlineStr">
        <is>
          <t>Intercompany</t>
        </is>
      </c>
      <c r="E199" t="n">
        <v>5005094</v>
      </c>
      <c r="F199" t="inlineStr">
        <is>
          <t>4025008986</t>
        </is>
      </c>
      <c r="G199" t="inlineStr">
        <is>
          <t>RE</t>
        </is>
      </c>
      <c r="H199" s="12" t="n">
        <v>-21112.16</v>
      </c>
      <c r="I199" s="17" t="n">
        <v>45981</v>
      </c>
      <c r="J199" s="17" t="n">
        <v>46011</v>
      </c>
      <c r="K199" t="inlineStr">
        <is>
          <t>0874/25</t>
        </is>
      </c>
    </row>
    <row r="200">
      <c r="A200" t="inlineStr">
        <is>
          <t>IC4420</t>
        </is>
      </c>
      <c r="B200" t="inlineStr">
        <is>
          <t>NORDEX ENERGY SPAIN S A U</t>
        </is>
      </c>
      <c r="C200" t="n">
        <v>2122100000</v>
      </c>
      <c r="D200" t="inlineStr">
        <is>
          <t>Intercompany</t>
        </is>
      </c>
      <c r="E200" t="n">
        <v>5005095</v>
      </c>
      <c r="F200" t="inlineStr">
        <is>
          <t>4025008989</t>
        </is>
      </c>
      <c r="G200" t="inlineStr">
        <is>
          <t>RE</t>
        </is>
      </c>
      <c r="H200" s="12" t="n">
        <v>-15746.95</v>
      </c>
      <c r="I200" s="17" t="n">
        <v>45981</v>
      </c>
      <c r="J200" s="17" t="n">
        <v>46011</v>
      </c>
      <c r="K200" t="inlineStr">
        <is>
          <t>0874/25</t>
        </is>
      </c>
    </row>
    <row r="201">
      <c r="A201" t="inlineStr">
        <is>
          <t>IC4420</t>
        </is>
      </c>
      <c r="B201" t="inlineStr">
        <is>
          <t>NORDEX ENERGY SPAIN S A U</t>
        </is>
      </c>
      <c r="C201" t="n">
        <v>2122100000</v>
      </c>
      <c r="D201" t="inlineStr">
        <is>
          <t>Intercompany</t>
        </is>
      </c>
      <c r="E201" t="n">
        <v>5005096</v>
      </c>
      <c r="F201" t="inlineStr">
        <is>
          <t>4025008991</t>
        </is>
      </c>
      <c r="G201" t="inlineStr">
        <is>
          <t>RE</t>
        </is>
      </c>
      <c r="H201" s="12" t="n">
        <v>-172722.69</v>
      </c>
      <c r="I201" s="17" t="n">
        <v>45981</v>
      </c>
      <c r="J201" s="17" t="n">
        <v>46011</v>
      </c>
      <c r="K201" t="inlineStr">
        <is>
          <t>0874/25</t>
        </is>
      </c>
    </row>
    <row r="202">
      <c r="A202" t="inlineStr">
        <is>
          <t>IC4420</t>
        </is>
      </c>
      <c r="B202" t="inlineStr">
        <is>
          <t>NORDEX ENERGY SPAIN S A U</t>
        </is>
      </c>
      <c r="C202" t="n">
        <v>2122100000</v>
      </c>
      <c r="D202" t="inlineStr">
        <is>
          <t>Intercompany</t>
        </is>
      </c>
      <c r="E202" t="n">
        <v>5005097</v>
      </c>
      <c r="F202" t="inlineStr">
        <is>
          <t>4026001602</t>
        </is>
      </c>
      <c r="G202" t="inlineStr">
        <is>
          <t>RE</t>
        </is>
      </c>
      <c r="H202" s="12" t="n">
        <v>-10825.79</v>
      </c>
      <c r="I202" s="17" t="n">
        <v>46086</v>
      </c>
      <c r="J202" s="17" t="n">
        <v>46116</v>
      </c>
      <c r="K202" t="inlineStr">
        <is>
          <t>0124/26</t>
        </is>
      </c>
    </row>
    <row r="203">
      <c r="A203" t="inlineStr">
        <is>
          <t>IC4420</t>
        </is>
      </c>
      <c r="B203" t="inlineStr">
        <is>
          <t>NORDEX ENERGY SPAIN S A U</t>
        </is>
      </c>
      <c r="C203" t="n">
        <v>2122100000</v>
      </c>
      <c r="D203" t="inlineStr">
        <is>
          <t>Intercompany</t>
        </is>
      </c>
      <c r="E203" t="n">
        <v>5005098</v>
      </c>
      <c r="F203" t="inlineStr">
        <is>
          <t>4025008988</t>
        </is>
      </c>
      <c r="G203" t="inlineStr">
        <is>
          <t>RE</t>
        </is>
      </c>
      <c r="H203" s="12" t="n">
        <v>-3191.59</v>
      </c>
      <c r="I203" s="17" t="n">
        <v>45981</v>
      </c>
      <c r="J203" s="17" t="n">
        <v>46011</v>
      </c>
      <c r="K203" t="inlineStr">
        <is>
          <t>0874/25</t>
        </is>
      </c>
    </row>
    <row r="204">
      <c r="A204" t="inlineStr">
        <is>
          <t>IC4420</t>
        </is>
      </c>
      <c r="B204" t="inlineStr">
        <is>
          <t>NORDEX ENERGY SPAIN S A U</t>
        </is>
      </c>
      <c r="C204" t="n">
        <v>2122100000</v>
      </c>
      <c r="D204" t="inlineStr">
        <is>
          <t>Intercompany</t>
        </is>
      </c>
      <c r="E204" t="n">
        <v>5005099</v>
      </c>
      <c r="F204" t="inlineStr">
        <is>
          <t>4025008990</t>
        </is>
      </c>
      <c r="G204" t="inlineStr">
        <is>
          <t>RE</t>
        </is>
      </c>
      <c r="H204" s="12" t="n">
        <v>-32554.58</v>
      </c>
      <c r="I204" s="17" t="n">
        <v>45981</v>
      </c>
      <c r="J204" s="17" t="n">
        <v>46011</v>
      </c>
      <c r="K204" t="inlineStr">
        <is>
          <t>0874/25</t>
        </is>
      </c>
    </row>
    <row r="205">
      <c r="A205" t="inlineStr">
        <is>
          <t>IC4420</t>
        </is>
      </c>
      <c r="B205" t="inlineStr">
        <is>
          <t>NORDEX ENERGY SPAIN S A U</t>
        </is>
      </c>
      <c r="C205" t="n">
        <v>2122100000</v>
      </c>
      <c r="D205" t="inlineStr">
        <is>
          <t>Intercompany</t>
        </is>
      </c>
      <c r="E205" t="n">
        <v>5005114</v>
      </c>
      <c r="F205" t="inlineStr">
        <is>
          <t>4026001242</t>
        </is>
      </c>
      <c r="G205" t="inlineStr">
        <is>
          <t>RE</t>
        </is>
      </c>
      <c r="H205" s="12" t="n">
        <v>-55857.75</v>
      </c>
      <c r="I205" s="17" t="n">
        <v>46073</v>
      </c>
      <c r="J205" s="17" t="n">
        <v>46103</v>
      </c>
      <c r="K205" t="inlineStr">
        <is>
          <t>0085/26</t>
        </is>
      </c>
    </row>
    <row r="206">
      <c r="A206" t="inlineStr">
        <is>
          <t>IC4420</t>
        </is>
      </c>
      <c r="B206" t="inlineStr">
        <is>
          <t>NORDEX ENERGY SPAIN S A U</t>
        </is>
      </c>
      <c r="C206" t="n">
        <v>2122100000</v>
      </c>
      <c r="D206" t="inlineStr">
        <is>
          <t>Intercompany</t>
        </is>
      </c>
      <c r="E206" t="n">
        <v>5005115</v>
      </c>
      <c r="F206" t="inlineStr">
        <is>
          <t>4026001580</t>
        </is>
      </c>
      <c r="G206" t="inlineStr">
        <is>
          <t>RE</t>
        </is>
      </c>
      <c r="H206" s="12" t="n">
        <v>-2056.17</v>
      </c>
      <c r="I206" s="17" t="n">
        <v>46085</v>
      </c>
      <c r="J206" s="17" t="n">
        <v>46115</v>
      </c>
      <c r="K206" t="inlineStr">
        <is>
          <t>0120/26</t>
        </is>
      </c>
    </row>
    <row r="207">
      <c r="A207" t="inlineStr">
        <is>
          <t>IC4420</t>
        </is>
      </c>
      <c r="B207" t="inlineStr">
        <is>
          <t>NORDEX ENERGY SPAIN S A U</t>
        </is>
      </c>
      <c r="C207" t="n">
        <v>2122100000</v>
      </c>
      <c r="D207" t="inlineStr">
        <is>
          <t>Intercompany</t>
        </is>
      </c>
      <c r="E207" t="n">
        <v>5005116</v>
      </c>
      <c r="F207" t="inlineStr">
        <is>
          <t>4026001591</t>
        </is>
      </c>
      <c r="G207" t="inlineStr">
        <is>
          <t>RE</t>
        </is>
      </c>
      <c r="H207" s="12" t="n">
        <v>-4842.01</v>
      </c>
      <c r="I207" s="17" t="n">
        <v>46085</v>
      </c>
      <c r="J207" s="17" t="n">
        <v>46115</v>
      </c>
      <c r="K207" t="inlineStr">
        <is>
          <t>0117/26</t>
        </is>
      </c>
    </row>
    <row r="208">
      <c r="A208" t="inlineStr">
        <is>
          <t>IC4420</t>
        </is>
      </c>
      <c r="B208" t="inlineStr">
        <is>
          <t>NORDEX ENERGY SPAIN S A U</t>
        </is>
      </c>
      <c r="C208" t="n">
        <v>2122100000</v>
      </c>
      <c r="D208" t="inlineStr">
        <is>
          <t>Intercompany</t>
        </is>
      </c>
      <c r="E208" t="n">
        <v>5005133</v>
      </c>
      <c r="F208" t="inlineStr">
        <is>
          <t>4026000441</t>
        </is>
      </c>
      <c r="G208" t="inlineStr">
        <is>
          <t>RE</t>
        </is>
      </c>
      <c r="H208" s="12" t="n">
        <v>-5852.4</v>
      </c>
      <c r="I208" s="17" t="n">
        <v>46043</v>
      </c>
      <c r="J208" s="17" t="n">
        <v>46073</v>
      </c>
      <c r="K208" t="inlineStr">
        <is>
          <t>0036/26</t>
        </is>
      </c>
    </row>
    <row r="209">
      <c r="A209" t="inlineStr">
        <is>
          <t>IC1000</t>
        </is>
      </c>
      <c r="B209" t="inlineStr">
        <is>
          <t>NORDEX ENERGY SE &amp; CO KG</t>
        </is>
      </c>
      <c r="C209" t="n">
        <v>2122100000</v>
      </c>
      <c r="D209" t="inlineStr">
        <is>
          <t>Intercompany</t>
        </is>
      </c>
      <c r="E209" t="n">
        <v>5005144</v>
      </c>
      <c r="F209" t="inlineStr">
        <is>
          <t>RITM0596224</t>
        </is>
      </c>
      <c r="G209" t="inlineStr">
        <is>
          <t>RE</t>
        </is>
      </c>
      <c r="H209" s="12" t="n">
        <v>-2252773.65</v>
      </c>
      <c r="I209" s="17" t="n">
        <v>46020</v>
      </c>
      <c r="J209" s="17" t="n">
        <v>46050</v>
      </c>
      <c r="K209" t="inlineStr">
        <is>
          <t>0068/26</t>
        </is>
      </c>
    </row>
    <row r="210">
      <c r="A210" t="inlineStr">
        <is>
          <t>IC1000</t>
        </is>
      </c>
      <c r="B210" t="inlineStr">
        <is>
          <t>NORDEX ENERGY SE &amp; CO KG</t>
        </is>
      </c>
      <c r="C210" t="n">
        <v>2122100000</v>
      </c>
      <c r="D210" t="inlineStr">
        <is>
          <t>Intercompany</t>
        </is>
      </c>
      <c r="E210" t="n">
        <v>5005145</v>
      </c>
      <c r="F210" t="inlineStr">
        <is>
          <t>RITM0594720</t>
        </is>
      </c>
      <c r="G210" t="inlineStr">
        <is>
          <t>RE</t>
        </is>
      </c>
      <c r="H210" s="12" t="n">
        <v>-2526636.76</v>
      </c>
      <c r="I210" s="17" t="n">
        <v>46013</v>
      </c>
      <c r="J210" s="17" t="n">
        <v>46043</v>
      </c>
      <c r="K210" t="inlineStr">
        <is>
          <t>0080/26</t>
        </is>
      </c>
    </row>
    <row r="211">
      <c r="A211" t="inlineStr">
        <is>
          <t>IC4420</t>
        </is>
      </c>
      <c r="B211" t="inlineStr">
        <is>
          <t>NORDEX ENERGY SPAIN S A U</t>
        </is>
      </c>
      <c r="C211" t="n">
        <v>2122100000</v>
      </c>
      <c r="D211" t="inlineStr">
        <is>
          <t>Intercompany</t>
        </is>
      </c>
      <c r="E211" t="n">
        <v>5005150</v>
      </c>
      <c r="F211" t="inlineStr">
        <is>
          <t>4026001028</t>
        </is>
      </c>
      <c r="G211" t="inlineStr">
        <is>
          <t>RE</t>
        </is>
      </c>
      <c r="H211" s="12" t="n">
        <v>-961965.21</v>
      </c>
      <c r="I211" s="17" t="n">
        <v>46063</v>
      </c>
      <c r="J211" s="17" t="n">
        <v>46093</v>
      </c>
      <c r="K211" t="inlineStr">
        <is>
          <t>0075/26</t>
        </is>
      </c>
    </row>
    <row r="212">
      <c r="A212" t="inlineStr">
        <is>
          <t>IC4420</t>
        </is>
      </c>
      <c r="B212" t="inlineStr">
        <is>
          <t>NORDEX ENERGY SPAIN S A U</t>
        </is>
      </c>
      <c r="C212" t="n">
        <v>2122100000</v>
      </c>
      <c r="D212" t="inlineStr">
        <is>
          <t>Intercompany</t>
        </is>
      </c>
      <c r="E212" t="n">
        <v>5005151</v>
      </c>
      <c r="F212" t="inlineStr">
        <is>
          <t>4026000446</t>
        </is>
      </c>
      <c r="G212" t="inlineStr">
        <is>
          <t>RE</t>
        </is>
      </c>
      <c r="H212" s="12" t="n">
        <v>-5290.73</v>
      </c>
      <c r="I212" s="17" t="n">
        <v>46043</v>
      </c>
      <c r="J212" s="17" t="n">
        <v>46073</v>
      </c>
      <c r="K212" t="inlineStr">
        <is>
          <t>0036/26</t>
        </is>
      </c>
    </row>
    <row r="213">
      <c r="A213" t="inlineStr">
        <is>
          <t>IC4420</t>
        </is>
      </c>
      <c r="B213" t="inlineStr">
        <is>
          <t>NORDEX ENERGY SPAIN S A U</t>
        </is>
      </c>
      <c r="C213" t="n">
        <v>2122100000</v>
      </c>
      <c r="D213" t="inlineStr">
        <is>
          <t>Intercompany</t>
        </is>
      </c>
      <c r="E213" t="n">
        <v>5005170</v>
      </c>
      <c r="F213" t="inlineStr">
        <is>
          <t>4025008983</t>
        </is>
      </c>
      <c r="G213" t="inlineStr">
        <is>
          <t>RE</t>
        </is>
      </c>
      <c r="H213" s="12" t="n">
        <v>-967.87</v>
      </c>
      <c r="I213" s="17" t="n">
        <v>45981</v>
      </c>
      <c r="J213" s="17" t="n">
        <v>46011</v>
      </c>
      <c r="K213" t="inlineStr">
        <is>
          <t>0872/25</t>
        </is>
      </c>
    </row>
    <row r="214">
      <c r="A214" t="inlineStr">
        <is>
          <t>IC4420</t>
        </is>
      </c>
      <c r="B214" t="inlineStr">
        <is>
          <t>NORDEX ENERGY SPAIN S A U</t>
        </is>
      </c>
      <c r="C214" t="n">
        <v>2122100000</v>
      </c>
      <c r="D214" t="inlineStr">
        <is>
          <t>Intercompany</t>
        </is>
      </c>
      <c r="E214" t="n">
        <v>5005171</v>
      </c>
      <c r="F214" t="inlineStr">
        <is>
          <t>4026001246</t>
        </is>
      </c>
      <c r="G214" t="inlineStr">
        <is>
          <t>RE</t>
        </is>
      </c>
      <c r="H214" s="12" t="n">
        <v>-55475.44</v>
      </c>
      <c r="I214" s="17" t="n">
        <v>46073</v>
      </c>
      <c r="J214" s="17" t="n">
        <v>46103</v>
      </c>
      <c r="K214" t="inlineStr">
        <is>
          <t>0088/26</t>
        </is>
      </c>
    </row>
    <row r="215">
      <c r="A215" t="inlineStr">
        <is>
          <t>IC4420</t>
        </is>
      </c>
      <c r="B215" t="inlineStr">
        <is>
          <t>NORDEX ENERGY SPAIN S A U</t>
        </is>
      </c>
      <c r="C215" t="n">
        <v>2122100000</v>
      </c>
      <c r="D215" t="inlineStr">
        <is>
          <t>Intercompany</t>
        </is>
      </c>
      <c r="E215" t="n">
        <v>5005172</v>
      </c>
      <c r="F215" t="inlineStr">
        <is>
          <t>4026001601</t>
        </is>
      </c>
      <c r="G215" t="inlineStr">
        <is>
          <t>RE</t>
        </is>
      </c>
      <c r="H215" s="12" t="n">
        <v>-35347.13</v>
      </c>
      <c r="I215" s="17" t="n">
        <v>46086</v>
      </c>
      <c r="J215" s="17" t="n">
        <v>46116</v>
      </c>
      <c r="K215" t="inlineStr">
        <is>
          <t>0123/26</t>
        </is>
      </c>
    </row>
    <row r="216">
      <c r="A216" t="inlineStr">
        <is>
          <t>IC4420</t>
        </is>
      </c>
      <c r="B216" t="inlineStr">
        <is>
          <t>NORDEX ENERGY SPAIN S A U</t>
        </is>
      </c>
      <c r="C216" t="n">
        <v>2122100000</v>
      </c>
      <c r="D216" t="inlineStr">
        <is>
          <t>Intercompany</t>
        </is>
      </c>
      <c r="E216" t="n">
        <v>5005173</v>
      </c>
      <c r="F216" t="inlineStr">
        <is>
          <t>4025008993</t>
        </is>
      </c>
      <c r="G216" t="inlineStr">
        <is>
          <t>RE</t>
        </is>
      </c>
      <c r="H216" s="12" t="n">
        <v>-127625.51</v>
      </c>
      <c r="I216" s="17" t="n">
        <v>45981</v>
      </c>
      <c r="J216" s="17" t="n">
        <v>46011</v>
      </c>
      <c r="K216" t="inlineStr">
        <is>
          <t>0877/25</t>
        </is>
      </c>
    </row>
    <row r="217">
      <c r="A217" t="inlineStr">
        <is>
          <t>IC4420</t>
        </is>
      </c>
      <c r="B217" t="inlineStr">
        <is>
          <t>NORDEX ENERGY SPAIN S A U</t>
        </is>
      </c>
      <c r="C217" t="n">
        <v>2122100000</v>
      </c>
      <c r="D217" t="inlineStr">
        <is>
          <t>Intercompany</t>
        </is>
      </c>
      <c r="E217" t="n">
        <v>5005174</v>
      </c>
      <c r="F217" t="inlineStr">
        <is>
          <t>4026001589</t>
        </is>
      </c>
      <c r="G217" t="inlineStr">
        <is>
          <t>RE</t>
        </is>
      </c>
      <c r="H217" s="12" t="n">
        <v>-86308.69</v>
      </c>
      <c r="I217" s="17" t="n">
        <v>46085</v>
      </c>
      <c r="J217" s="17" t="n">
        <v>46115</v>
      </c>
      <c r="K217" t="inlineStr">
        <is>
          <t>0115/26</t>
        </is>
      </c>
    </row>
    <row r="218">
      <c r="A218" t="inlineStr">
        <is>
          <t>IC4420</t>
        </is>
      </c>
      <c r="B218" t="inlineStr">
        <is>
          <t>NORDEX ENERGY SPAIN S A U</t>
        </is>
      </c>
      <c r="C218" t="n">
        <v>2122100000</v>
      </c>
      <c r="D218" t="inlineStr">
        <is>
          <t>Intercompany</t>
        </is>
      </c>
      <c r="E218" t="n">
        <v>5005177</v>
      </c>
      <c r="F218" t="inlineStr">
        <is>
          <t>4026001581</t>
        </is>
      </c>
      <c r="G218" t="inlineStr">
        <is>
          <t>RE</t>
        </is>
      </c>
      <c r="H218" s="12" t="n">
        <v>-1389.76</v>
      </c>
      <c r="I218" s="17" t="n">
        <v>46085</v>
      </c>
      <c r="J218" s="17" t="n">
        <v>46115</v>
      </c>
      <c r="K218" t="inlineStr">
        <is>
          <t>0121/26</t>
        </is>
      </c>
    </row>
    <row r="219">
      <c r="A219" t="inlineStr">
        <is>
          <t>IC5000</t>
        </is>
      </c>
      <c r="B219" t="inlineStr">
        <is>
          <t>NORDEX SE</t>
        </is>
      </c>
      <c r="C219" t="n">
        <v>2122100000</v>
      </c>
      <c r="D219" t="inlineStr">
        <is>
          <t>Intercompany</t>
        </is>
      </c>
      <c r="E219" t="n">
        <v>5005234</v>
      </c>
      <c r="F219" t="inlineStr">
        <is>
          <t>610560</t>
        </is>
      </c>
      <c r="G219" t="inlineStr">
        <is>
          <t>KR</t>
        </is>
      </c>
      <c r="H219" s="12" t="n">
        <v>-2563173.31</v>
      </c>
      <c r="I219" s="17" t="n">
        <v>46100</v>
      </c>
      <c r="J219" s="17" t="n">
        <v>46130</v>
      </c>
      <c r="K219" t="inlineStr">
        <is>
          <t>Fatura do fornecedor NORDEX SE 610560</t>
        </is>
      </c>
    </row>
    <row r="220">
      <c r="A220" t="inlineStr">
        <is>
          <t>IC1000</t>
        </is>
      </c>
      <c r="B220" t="inlineStr">
        <is>
          <t>NORDEX ENERGY SE &amp; CO KG</t>
        </is>
      </c>
      <c r="C220" t="n">
        <v>2122100000</v>
      </c>
      <c r="D220" t="inlineStr">
        <is>
          <t>Intercompany</t>
        </is>
      </c>
      <c r="E220" t="n">
        <v>5005246</v>
      </c>
      <c r="F220" t="inlineStr">
        <is>
          <t>624735</t>
        </is>
      </c>
      <c r="G220" t="inlineStr">
        <is>
          <t>KR</t>
        </is>
      </c>
      <c r="H220" s="12" t="n">
        <v>-3680996.12</v>
      </c>
      <c r="I220" s="17" t="n">
        <v>46101</v>
      </c>
      <c r="J220" s="17" t="n">
        <v>46131</v>
      </c>
      <c r="K220" t="inlineStr">
        <is>
          <t>Fatura do fornecedor NORDEX ENERGY SE &amp; CO KG 6247</t>
        </is>
      </c>
    </row>
    <row r="221">
      <c r="A221" t="inlineStr">
        <is>
          <t>IC4420</t>
        </is>
      </c>
      <c r="B221" t="inlineStr">
        <is>
          <t>NORDEX ENERGY SPAIN S A U</t>
        </is>
      </c>
      <c r="C221" t="n">
        <v>2122100000</v>
      </c>
      <c r="D221" t="inlineStr">
        <is>
          <t>Intercompany</t>
        </is>
      </c>
      <c r="E221" t="n">
        <v>5005254</v>
      </c>
      <c r="F221" t="inlineStr">
        <is>
          <t>4026001240</t>
        </is>
      </c>
      <c r="G221" t="inlineStr">
        <is>
          <t>RE</t>
        </is>
      </c>
      <c r="H221" s="12" t="n">
        <v>-31920.55</v>
      </c>
      <c r="I221" s="17" t="n">
        <v>46073</v>
      </c>
      <c r="J221" s="17" t="n">
        <v>46103</v>
      </c>
      <c r="K221" t="inlineStr">
        <is>
          <t>0083/26</t>
        </is>
      </c>
    </row>
    <row r="222">
      <c r="A222" t="inlineStr">
        <is>
          <t>IC4420</t>
        </is>
      </c>
      <c r="B222" t="inlineStr">
        <is>
          <t>NORDEX ENERGY SPAIN S A U</t>
        </is>
      </c>
      <c r="C222" t="n">
        <v>2122100000</v>
      </c>
      <c r="D222" t="inlineStr">
        <is>
          <t>Intercompany</t>
        </is>
      </c>
      <c r="E222" t="n">
        <v>5005268</v>
      </c>
      <c r="F222" t="inlineStr">
        <is>
          <t>4026001582</t>
        </is>
      </c>
      <c r="G222" t="inlineStr">
        <is>
          <t>RE</t>
        </is>
      </c>
      <c r="H222" s="12" t="n">
        <v>-34410.44</v>
      </c>
      <c r="I222" s="17" t="n">
        <v>46085</v>
      </c>
      <c r="J222" s="17" t="n">
        <v>46115</v>
      </c>
      <c r="K222" t="inlineStr">
        <is>
          <t>0122/26</t>
        </is>
      </c>
    </row>
    <row r="223">
      <c r="A223" t="inlineStr">
        <is>
          <t>IC4420</t>
        </is>
      </c>
      <c r="B223" t="inlineStr">
        <is>
          <t>NORDEX ENERGY SPAIN S A U</t>
        </is>
      </c>
      <c r="C223" t="n">
        <v>2122100000</v>
      </c>
      <c r="D223" t="inlineStr">
        <is>
          <t>Intercompany</t>
        </is>
      </c>
      <c r="E223" t="n">
        <v>5005269</v>
      </c>
      <c r="F223" t="inlineStr">
        <is>
          <t>4026001745</t>
        </is>
      </c>
      <c r="G223" t="inlineStr">
        <is>
          <t>RE</t>
        </is>
      </c>
      <c r="H223" s="12" t="n">
        <v>-184607.13</v>
      </c>
      <c r="I223" s="17" t="n">
        <v>46092</v>
      </c>
      <c r="J223" s="17" t="n">
        <v>46122</v>
      </c>
      <c r="K223" t="inlineStr">
        <is>
          <t>0161/26</t>
        </is>
      </c>
    </row>
    <row r="224">
      <c r="A224" t="inlineStr">
        <is>
          <t>IC4420</t>
        </is>
      </c>
      <c r="B224" t="inlineStr">
        <is>
          <t>NORDEX ENERGY SPAIN S A U</t>
        </is>
      </c>
      <c r="C224" t="n">
        <v>2122100000</v>
      </c>
      <c r="D224" t="inlineStr">
        <is>
          <t>Intercompany</t>
        </is>
      </c>
      <c r="E224" t="n">
        <v>5005270</v>
      </c>
      <c r="F224" t="inlineStr">
        <is>
          <t>4025008992</t>
        </is>
      </c>
      <c r="G224" t="inlineStr">
        <is>
          <t>RE</t>
        </is>
      </c>
      <c r="H224" s="12" t="n">
        <v>-17666.59</v>
      </c>
      <c r="I224" s="17" t="n">
        <v>45981</v>
      </c>
      <c r="J224" s="17" t="n">
        <v>46011</v>
      </c>
      <c r="K224" t="inlineStr">
        <is>
          <t>0875/25</t>
        </is>
      </c>
    </row>
    <row r="225">
      <c r="A225" t="inlineStr">
        <is>
          <t>IC4420</t>
        </is>
      </c>
      <c r="B225" t="inlineStr">
        <is>
          <t>NORDEX ENERGY SPAIN S A U</t>
        </is>
      </c>
      <c r="C225" t="n">
        <v>2122100000</v>
      </c>
      <c r="D225" t="inlineStr">
        <is>
          <t>Intercompany</t>
        </is>
      </c>
      <c r="E225" t="n">
        <v>5005271</v>
      </c>
      <c r="F225" t="inlineStr">
        <is>
          <t>4026001603</t>
        </is>
      </c>
      <c r="G225" t="inlineStr">
        <is>
          <t>RE</t>
        </is>
      </c>
      <c r="H225" s="12" t="n">
        <v>-460225.84</v>
      </c>
      <c r="I225" s="17" t="n">
        <v>46086</v>
      </c>
      <c r="J225" s="17" t="n">
        <v>46116</v>
      </c>
      <c r="K225" t="inlineStr">
        <is>
          <t>0126/26</t>
        </is>
      </c>
    </row>
    <row r="226">
      <c r="A226" t="inlineStr">
        <is>
          <t>IC4420</t>
        </is>
      </c>
      <c r="B226" t="inlineStr">
        <is>
          <t>NORDEX ENERGY SPAIN S A U</t>
        </is>
      </c>
      <c r="C226" t="n">
        <v>2122100000</v>
      </c>
      <c r="D226" t="inlineStr">
        <is>
          <t>Intercompany</t>
        </is>
      </c>
      <c r="E226" t="n">
        <v>5005272</v>
      </c>
      <c r="F226" t="inlineStr">
        <is>
          <t>4026000442</t>
        </is>
      </c>
      <c r="G226" t="inlineStr">
        <is>
          <t>RE</t>
        </is>
      </c>
      <c r="H226" s="12" t="n">
        <v>-10181.47</v>
      </c>
      <c r="I226" s="17" t="n">
        <v>46043</v>
      </c>
      <c r="J226" s="17" t="n">
        <v>46073</v>
      </c>
      <c r="K226" t="inlineStr">
        <is>
          <t>0037/26</t>
        </is>
      </c>
    </row>
    <row r="227">
      <c r="A227" t="inlineStr">
        <is>
          <t>IC4420</t>
        </is>
      </c>
      <c r="B227" t="inlineStr">
        <is>
          <t>NORDEX ENERGY SPAIN S A U</t>
        </is>
      </c>
      <c r="C227" t="n">
        <v>2122100000</v>
      </c>
      <c r="D227" t="inlineStr">
        <is>
          <t>Intercompany</t>
        </is>
      </c>
      <c r="E227" t="n">
        <v>5005273</v>
      </c>
      <c r="F227" t="inlineStr">
        <is>
          <t>4026000450</t>
        </is>
      </c>
      <c r="G227" t="inlineStr">
        <is>
          <t>RE</t>
        </is>
      </c>
      <c r="H227" s="12" t="n">
        <v>-47873.74</v>
      </c>
      <c r="I227" s="17" t="n">
        <v>46043</v>
      </c>
      <c r="J227" s="17" t="n">
        <v>46073</v>
      </c>
      <c r="K227" t="inlineStr">
        <is>
          <t>0042/26</t>
        </is>
      </c>
    </row>
    <row r="228">
      <c r="A228" t="inlineStr">
        <is>
          <t>IC4420</t>
        </is>
      </c>
      <c r="B228" t="inlineStr">
        <is>
          <t>NORDEX ENERGY SPAIN S A U</t>
        </is>
      </c>
      <c r="C228" t="n">
        <v>2122100000</v>
      </c>
      <c r="D228" t="inlineStr">
        <is>
          <t>Intercompany</t>
        </is>
      </c>
      <c r="E228" t="n">
        <v>5005274</v>
      </c>
      <c r="F228" t="inlineStr">
        <is>
          <t>4025008985</t>
        </is>
      </c>
      <c r="G228" t="inlineStr">
        <is>
          <t>RE</t>
        </is>
      </c>
      <c r="H228" s="12" t="n">
        <v>-13613.11</v>
      </c>
      <c r="I228" s="17" t="n">
        <v>45981</v>
      </c>
      <c r="J228" s="17" t="n">
        <v>46011</v>
      </c>
      <c r="K228" t="inlineStr">
        <is>
          <t>0878/25</t>
        </is>
      </c>
    </row>
    <row r="229">
      <c r="A229" t="inlineStr">
        <is>
          <t>IC4420</t>
        </is>
      </c>
      <c r="B229" t="inlineStr">
        <is>
          <t>NORDEX ENERGY SPAIN S A U</t>
        </is>
      </c>
      <c r="C229" t="n">
        <v>2122100000</v>
      </c>
      <c r="D229" t="inlineStr">
        <is>
          <t>Intercompany</t>
        </is>
      </c>
      <c r="E229" t="n">
        <v>5005282</v>
      </c>
      <c r="F229" t="inlineStr">
        <is>
          <t>4026001635</t>
        </is>
      </c>
      <c r="G229" t="inlineStr">
        <is>
          <t>RE</t>
        </is>
      </c>
      <c r="H229" s="12" t="n">
        <v>-131189.98</v>
      </c>
      <c r="I229" s="17" t="n">
        <v>46087</v>
      </c>
      <c r="J229" s="17" t="n">
        <v>46117</v>
      </c>
      <c r="K229" t="inlineStr">
        <is>
          <t>0137/26</t>
        </is>
      </c>
    </row>
    <row r="230">
      <c r="A230" t="inlineStr">
        <is>
          <t>IC5000</t>
        </is>
      </c>
      <c r="B230" t="inlineStr">
        <is>
          <t>NORDEX SE</t>
        </is>
      </c>
      <c r="C230" t="n">
        <v>2122100000</v>
      </c>
      <c r="D230" t="inlineStr">
        <is>
          <t>Intercompany</t>
        </is>
      </c>
      <c r="E230" t="n">
        <v>5005318</v>
      </c>
      <c r="F230" t="inlineStr">
        <is>
          <t>610595</t>
        </is>
      </c>
      <c r="G230" t="inlineStr">
        <is>
          <t>KR</t>
        </is>
      </c>
      <c r="H230" s="12" t="n">
        <v>-2241582.56</v>
      </c>
      <c r="I230" s="17" t="n">
        <v>46100</v>
      </c>
      <c r="J230" s="17" t="n">
        <v>46130</v>
      </c>
      <c r="K230" t="inlineStr">
        <is>
          <t>Fatura do fornecedor NORDEX SE 610595</t>
        </is>
      </c>
    </row>
    <row r="231">
      <c r="A231" t="inlineStr">
        <is>
          <t>IC4420</t>
        </is>
      </c>
      <c r="B231" t="inlineStr">
        <is>
          <t>NORDEX ENERGY SPAIN S A U</t>
        </is>
      </c>
      <c r="C231" t="n">
        <v>2122100000</v>
      </c>
      <c r="D231" t="inlineStr">
        <is>
          <t>Intercompany</t>
        </is>
      </c>
      <c r="E231" t="n">
        <v>5005396</v>
      </c>
      <c r="F231" t="inlineStr">
        <is>
          <t>4026001609</t>
        </is>
      </c>
      <c r="G231" t="inlineStr">
        <is>
          <t>RE</t>
        </is>
      </c>
      <c r="H231" s="12" t="n">
        <v>-7312.24</v>
      </c>
      <c r="I231" s="17" t="n">
        <v>46086</v>
      </c>
      <c r="J231" s="17" t="n">
        <v>46116</v>
      </c>
      <c r="K231" t="inlineStr">
        <is>
          <t>0134/26</t>
        </is>
      </c>
    </row>
    <row r="232">
      <c r="A232" t="inlineStr">
        <is>
          <t>IC1000</t>
        </is>
      </c>
      <c r="B232" t="inlineStr">
        <is>
          <t>NORDEX ENERGY SE &amp; CO KG</t>
        </is>
      </c>
      <c r="C232" t="n">
        <v>2122100000</v>
      </c>
      <c r="D232" t="inlineStr">
        <is>
          <t>Intercompany</t>
        </is>
      </c>
      <c r="E232" t="n">
        <v>5005397</v>
      </c>
      <c r="F232" t="inlineStr">
        <is>
          <t>4012485782</t>
        </is>
      </c>
      <c r="G232" t="inlineStr">
        <is>
          <t>RE</t>
        </is>
      </c>
      <c r="H232" s="12" t="n">
        <v>-63674.7</v>
      </c>
      <c r="I232" s="17" t="n">
        <v>45989</v>
      </c>
      <c r="J232" s="17" t="n">
        <v>46019</v>
      </c>
      <c r="K232" t="inlineStr">
        <is>
          <t>0044/26</t>
        </is>
      </c>
    </row>
    <row r="233">
      <c r="A233" t="inlineStr">
        <is>
          <t>IC1000</t>
        </is>
      </c>
      <c r="B233" t="inlineStr">
        <is>
          <t>NORDEX ENERGY SE &amp; CO KG</t>
        </is>
      </c>
      <c r="C233" t="n">
        <v>2122100000</v>
      </c>
      <c r="D233" t="inlineStr">
        <is>
          <t>Intercompany</t>
        </is>
      </c>
      <c r="E233" t="n">
        <v>5005398</v>
      </c>
      <c r="F233" t="inlineStr">
        <is>
          <t>4012485636</t>
        </is>
      </c>
      <c r="G233" t="inlineStr">
        <is>
          <t>RE</t>
        </is>
      </c>
      <c r="H233" s="12" t="n">
        <v>-41921.23</v>
      </c>
      <c r="I233" s="17" t="n">
        <v>45986</v>
      </c>
      <c r="J233" s="17" t="n">
        <v>46016</v>
      </c>
      <c r="K233" t="inlineStr">
        <is>
          <t>0044/26</t>
        </is>
      </c>
    </row>
    <row r="234">
      <c r="A234" t="inlineStr">
        <is>
          <t>IC4420</t>
        </is>
      </c>
      <c r="B234" t="inlineStr">
        <is>
          <t>NORDEX ENERGY SPAIN S A U</t>
        </is>
      </c>
      <c r="C234" t="n">
        <v>2122100000</v>
      </c>
      <c r="D234" t="inlineStr">
        <is>
          <t>Intercompany</t>
        </is>
      </c>
      <c r="E234" t="n">
        <v>5005427</v>
      </c>
      <c r="F234" t="inlineStr">
        <is>
          <t>4025009928</t>
        </is>
      </c>
      <c r="G234" t="inlineStr">
        <is>
          <t>RE</t>
        </is>
      </c>
      <c r="H234" s="12" t="n">
        <v>-408810.24</v>
      </c>
      <c r="I234" s="17" t="n">
        <v>46014</v>
      </c>
      <c r="J234" s="17" t="n">
        <v>46044</v>
      </c>
      <c r="K234" t="inlineStr">
        <is>
          <t>0003/26</t>
        </is>
      </c>
    </row>
    <row r="235">
      <c r="A235" t="inlineStr">
        <is>
          <t>IC1000</t>
        </is>
      </c>
      <c r="B235" t="inlineStr">
        <is>
          <t>NORDEX ENERGY SE &amp; CO KG</t>
        </is>
      </c>
      <c r="C235" t="n">
        <v>2122100000</v>
      </c>
      <c r="D235" t="inlineStr">
        <is>
          <t>Intercompany</t>
        </is>
      </c>
      <c r="E235" t="n">
        <v>5005502</v>
      </c>
      <c r="F235" t="inlineStr">
        <is>
          <t>388001</t>
        </is>
      </c>
      <c r="G235" t="inlineStr">
        <is>
          <t>RE</t>
        </is>
      </c>
      <c r="H235" s="12" t="n">
        <v>-152225.11</v>
      </c>
      <c r="I235" s="17" t="n">
        <v>46091</v>
      </c>
      <c r="J235" s="17" t="n">
        <v>46121</v>
      </c>
      <c r="K235" t="inlineStr">
        <is>
          <t>0155/26</t>
        </is>
      </c>
    </row>
    <row r="236">
      <c r="A236" t="inlineStr">
        <is>
          <t>IC1000</t>
        </is>
      </c>
      <c r="B236" t="inlineStr">
        <is>
          <t>NORDEX ENERGY SE &amp; CO KG</t>
        </is>
      </c>
      <c r="C236" t="n">
        <v>2122100000</v>
      </c>
      <c r="D236" t="inlineStr">
        <is>
          <t>Intercompany</t>
        </is>
      </c>
      <c r="E236" t="n">
        <v>5005544</v>
      </c>
      <c r="F236" t="inlineStr">
        <is>
          <t>324429</t>
        </is>
      </c>
      <c r="G236" t="inlineStr">
        <is>
          <t>RE</t>
        </is>
      </c>
      <c r="H236" s="12" t="n">
        <v>-6799.13</v>
      </c>
      <c r="I236" s="17" t="n">
        <v>45672</v>
      </c>
      <c r="J236" s="17" t="n">
        <v>45702</v>
      </c>
      <c r="K236" t="inlineStr">
        <is>
          <t>0065/25</t>
        </is>
      </c>
    </row>
    <row r="237">
      <c r="A237" t="inlineStr">
        <is>
          <t>IC4420</t>
        </is>
      </c>
      <c r="B237" t="inlineStr">
        <is>
          <t>NORDEX ENERGY SPAIN S A U</t>
        </is>
      </c>
      <c r="C237" t="n">
        <v>2122100000</v>
      </c>
      <c r="D237" t="inlineStr">
        <is>
          <t>Intercompany</t>
        </is>
      </c>
      <c r="E237" t="n">
        <v>5005563</v>
      </c>
      <c r="F237" t="inlineStr">
        <is>
          <t>4018000029</t>
        </is>
      </c>
      <c r="G237" t="inlineStr">
        <is>
          <t>RE</t>
        </is>
      </c>
      <c r="H237" s="12" t="n">
        <v>-2910321.23</v>
      </c>
      <c r="I237" s="17" t="n">
        <v>46059</v>
      </c>
      <c r="J237" s="17" t="n">
        <v>46089</v>
      </c>
      <c r="K237" t="inlineStr">
        <is>
          <t>0032/26</t>
        </is>
      </c>
    </row>
    <row r="238">
      <c r="A238" t="inlineStr">
        <is>
          <t>IC4420</t>
        </is>
      </c>
      <c r="B238" t="inlineStr">
        <is>
          <t>NORDEX ENERGY SPAIN S A U</t>
        </is>
      </c>
      <c r="C238" t="n">
        <v>2122100000</v>
      </c>
      <c r="D238" t="inlineStr">
        <is>
          <t>Intercompany</t>
        </is>
      </c>
      <c r="E238" t="n">
        <v>5005573</v>
      </c>
      <c r="F238" t="inlineStr">
        <is>
          <t>4026001607</t>
        </is>
      </c>
      <c r="G238" t="inlineStr">
        <is>
          <t>RE</t>
        </is>
      </c>
      <c r="H238" s="12" t="n">
        <v>-21830.12</v>
      </c>
      <c r="I238" s="17" t="n">
        <v>46086</v>
      </c>
      <c r="J238" s="17" t="n">
        <v>46116</v>
      </c>
      <c r="K238" t="inlineStr">
        <is>
          <t>0136/26</t>
        </is>
      </c>
    </row>
    <row r="239">
      <c r="A239" t="inlineStr">
        <is>
          <t>IC4420</t>
        </is>
      </c>
      <c r="B239" t="inlineStr">
        <is>
          <t>NORDEX ENERGY SPAIN S A U</t>
        </is>
      </c>
      <c r="C239" t="n">
        <v>2122100000</v>
      </c>
      <c r="D239" t="inlineStr">
        <is>
          <t>Intercompany</t>
        </is>
      </c>
      <c r="E239" t="n">
        <v>5005574</v>
      </c>
      <c r="F239" t="inlineStr">
        <is>
          <t>4026001432</t>
        </is>
      </c>
      <c r="G239" t="inlineStr">
        <is>
          <t>RE</t>
        </is>
      </c>
      <c r="H239" s="12" t="n">
        <v>-110.81</v>
      </c>
      <c r="I239" s="17" t="n">
        <v>46080</v>
      </c>
      <c r="J239" s="17" t="n">
        <v>46110</v>
      </c>
      <c r="K239" t="inlineStr">
        <is>
          <t>0111/26</t>
        </is>
      </c>
    </row>
    <row r="240">
      <c r="A240" t="inlineStr">
        <is>
          <t>IC4420</t>
        </is>
      </c>
      <c r="B240" t="inlineStr">
        <is>
          <t>NORDEX ENERGY SPAIN S A U</t>
        </is>
      </c>
      <c r="C240" t="n">
        <v>2122100000</v>
      </c>
      <c r="D240" t="inlineStr">
        <is>
          <t>Intercompany</t>
        </is>
      </c>
      <c r="E240" t="n">
        <v>5005575</v>
      </c>
      <c r="F240" t="inlineStr">
        <is>
          <t>4026001588</t>
        </is>
      </c>
      <c r="G240" t="inlineStr">
        <is>
          <t>RE</t>
        </is>
      </c>
      <c r="H240" s="12" t="n">
        <v>-130033.97</v>
      </c>
      <c r="I240" s="17" t="n">
        <v>46085</v>
      </c>
      <c r="J240" s="17" t="n">
        <v>46115</v>
      </c>
      <c r="K240" t="inlineStr">
        <is>
          <t>0114/26</t>
        </is>
      </c>
    </row>
    <row r="241">
      <c r="A241" t="inlineStr">
        <is>
          <t>IC1000</t>
        </is>
      </c>
      <c r="B241" t="inlineStr">
        <is>
          <t>NORDEX ENERGY SE &amp; CO KG</t>
        </is>
      </c>
      <c r="C241" t="n">
        <v>2122100000</v>
      </c>
      <c r="D241" t="inlineStr">
        <is>
          <t>Intercompany</t>
        </is>
      </c>
      <c r="E241" t="n">
        <v>5005582</v>
      </c>
      <c r="F241" t="inlineStr">
        <is>
          <t>319547</t>
        </is>
      </c>
      <c r="G241" t="inlineStr">
        <is>
          <t>RE</t>
        </is>
      </c>
      <c r="H241" s="12" t="n">
        <v>-32848.19</v>
      </c>
      <c r="I241" s="17" t="n">
        <v>45636</v>
      </c>
      <c r="J241" s="17" t="n">
        <v>45666</v>
      </c>
      <c r="K241" t="inlineStr">
        <is>
          <t>1161/24</t>
        </is>
      </c>
    </row>
    <row r="242">
      <c r="A242" t="inlineStr">
        <is>
          <t>IC1000</t>
        </is>
      </c>
      <c r="B242" t="inlineStr">
        <is>
          <t>NORDEX ENERGY SE &amp; CO KG</t>
        </is>
      </c>
      <c r="C242" t="n">
        <v>2122100000</v>
      </c>
      <c r="D242" t="inlineStr">
        <is>
          <t>Intercompany</t>
        </is>
      </c>
      <c r="E242" t="n">
        <v>5005583</v>
      </c>
      <c r="F242" t="inlineStr">
        <is>
          <t>320948</t>
        </is>
      </c>
      <c r="G242" t="inlineStr">
        <is>
          <t>RE</t>
        </is>
      </c>
      <c r="H242" s="12" t="n">
        <v>-1803.6</v>
      </c>
      <c r="I242" s="17" t="n">
        <v>45636</v>
      </c>
      <c r="J242" s="17" t="n">
        <v>45666</v>
      </c>
      <c r="K242" t="inlineStr">
        <is>
          <t>1161/24</t>
        </is>
      </c>
    </row>
    <row r="243">
      <c r="A243" t="inlineStr">
        <is>
          <t>IC4420</t>
        </is>
      </c>
      <c r="B243" t="inlineStr">
        <is>
          <t>NORDEX ENERGY SPAIN S A U</t>
        </is>
      </c>
      <c r="C243" t="n">
        <v>2122100000</v>
      </c>
      <c r="D243" t="inlineStr">
        <is>
          <t>Intercompany</t>
        </is>
      </c>
      <c r="E243" t="n">
        <v>5005611</v>
      </c>
      <c r="F243" t="inlineStr">
        <is>
          <t>4026001433</t>
        </is>
      </c>
      <c r="G243" t="inlineStr">
        <is>
          <t>RE</t>
        </is>
      </c>
      <c r="H243" s="12" t="n">
        <v>-6864.83</v>
      </c>
      <c r="I243" s="17" t="n">
        <v>46080</v>
      </c>
      <c r="J243" s="17" t="n">
        <v>46110</v>
      </c>
      <c r="K243" t="inlineStr">
        <is>
          <t>0112/26</t>
        </is>
      </c>
    </row>
    <row r="244">
      <c r="A244" t="inlineStr">
        <is>
          <t>IC4420</t>
        </is>
      </c>
      <c r="B244" t="inlineStr">
        <is>
          <t>NORDEX ENERGY SPAIN S A U</t>
        </is>
      </c>
      <c r="C244" t="n">
        <v>2122100000</v>
      </c>
      <c r="D244" t="inlineStr">
        <is>
          <t>Intercompany</t>
        </is>
      </c>
      <c r="E244" t="n">
        <v>5005688</v>
      </c>
      <c r="F244" t="inlineStr">
        <is>
          <t>4026001612</t>
        </is>
      </c>
      <c r="G244" t="inlineStr">
        <is>
          <t>RE</t>
        </is>
      </c>
      <c r="H244" s="12" t="n">
        <v>-327449.72</v>
      </c>
      <c r="I244" s="17" t="n">
        <v>46086</v>
      </c>
      <c r="J244" s="17" t="n">
        <v>46116</v>
      </c>
      <c r="K244" t="inlineStr">
        <is>
          <t>0131/26</t>
        </is>
      </c>
    </row>
    <row r="245">
      <c r="A245" t="inlineStr">
        <is>
          <t>IC4420</t>
        </is>
      </c>
      <c r="B245" t="inlineStr">
        <is>
          <t>NORDEX ENERGY SPAIN S A U</t>
        </is>
      </c>
      <c r="C245" t="n">
        <v>2122100000</v>
      </c>
      <c r="D245" t="inlineStr">
        <is>
          <t>Intercompany</t>
        </is>
      </c>
      <c r="E245" t="n">
        <v>5005697</v>
      </c>
      <c r="F245" t="inlineStr">
        <is>
          <t>4000293</t>
        </is>
      </c>
      <c r="G245" t="inlineStr">
        <is>
          <t>KG</t>
        </is>
      </c>
      <c r="H245" s="12" t="n">
        <v>70508.87</v>
      </c>
      <c r="I245" s="17" t="n">
        <v>46105</v>
      </c>
      <c r="J245" s="17" t="n">
        <v>46105</v>
      </c>
      <c r="K245" t="inlineStr">
        <is>
          <t>Nota crédito fornec. NORDEX ENERGY SPAIN S A U 400</t>
        </is>
      </c>
    </row>
    <row r="246">
      <c r="A246" t="inlineStr">
        <is>
          <t>IC5000</t>
        </is>
      </c>
      <c r="B246" t="inlineStr">
        <is>
          <t>NORDEX SE</t>
        </is>
      </c>
      <c r="C246" t="n">
        <v>2122100000</v>
      </c>
      <c r="D246" t="inlineStr">
        <is>
          <t>Intercompany</t>
        </is>
      </c>
      <c r="E246" t="n">
        <v>5005700</v>
      </c>
      <c r="F246" t="inlineStr">
        <is>
          <t>610513</t>
        </is>
      </c>
      <c r="G246" t="inlineStr">
        <is>
          <t>KR</t>
        </is>
      </c>
      <c r="H246" s="12" t="n">
        <v>-17708742.79</v>
      </c>
      <c r="I246" s="17" t="n">
        <v>46098</v>
      </c>
      <c r="J246" s="17" t="n">
        <v>46128</v>
      </c>
      <c r="K246" t="inlineStr">
        <is>
          <t>Fatura do fornecedor NORDEX SE 610513</t>
        </is>
      </c>
    </row>
    <row r="247">
      <c r="A247" t="inlineStr">
        <is>
          <t>IC1000</t>
        </is>
      </c>
      <c r="B247" t="inlineStr">
        <is>
          <t>NORDEX ENERGY SE &amp; CO KG</t>
        </is>
      </c>
      <c r="C247" t="n">
        <v>2122100000</v>
      </c>
      <c r="D247" t="inlineStr">
        <is>
          <t>Intercompany</t>
        </is>
      </c>
      <c r="E247" t="n">
        <v>5005701</v>
      </c>
      <c r="F247" t="inlineStr">
        <is>
          <t>384950</t>
        </is>
      </c>
      <c r="G247" t="inlineStr">
        <is>
          <t>RE</t>
        </is>
      </c>
      <c r="H247" s="12" t="n">
        <v>-9848.24</v>
      </c>
      <c r="I247" s="17" t="n">
        <v>46070</v>
      </c>
      <c r="J247" s="17" t="n">
        <v>46100</v>
      </c>
      <c r="K247" t="inlineStr">
        <is>
          <t>0146/26</t>
        </is>
      </c>
    </row>
    <row r="248">
      <c r="A248" t="inlineStr">
        <is>
          <t>IC4420</t>
        </is>
      </c>
      <c r="B248" t="inlineStr">
        <is>
          <t>NORDEX ENERGY SPAIN S A U</t>
        </is>
      </c>
      <c r="C248" t="n">
        <v>2122100000</v>
      </c>
      <c r="D248" t="inlineStr">
        <is>
          <t>Intercompany</t>
        </is>
      </c>
      <c r="E248" t="n">
        <v>5005704</v>
      </c>
      <c r="F248" t="inlineStr">
        <is>
          <t>4000220</t>
        </is>
      </c>
      <c r="G248" t="inlineStr">
        <is>
          <t>KR</t>
        </is>
      </c>
      <c r="H248" s="12" t="n">
        <v>-1239030.45</v>
      </c>
      <c r="I248" s="17" t="n">
        <v>46084</v>
      </c>
      <c r="J248" s="17" t="n">
        <v>46114</v>
      </c>
      <c r="K248" t="inlineStr">
        <is>
          <t>Fatura do fornecedor NORDEX ENERGY SPAIN S A U 400</t>
        </is>
      </c>
    </row>
    <row r="249">
      <c r="A249" t="inlineStr">
        <is>
          <t>IC1000</t>
        </is>
      </c>
      <c r="B249" t="inlineStr">
        <is>
          <t>NORDEX ENERGY SE &amp; CO KG</t>
        </is>
      </c>
      <c r="C249" t="n">
        <v>2122100000</v>
      </c>
      <c r="D249" t="inlineStr">
        <is>
          <t>Intercompany</t>
        </is>
      </c>
      <c r="E249" t="n">
        <v>5005768</v>
      </c>
      <c r="F249" t="inlineStr">
        <is>
          <t>312015</t>
        </is>
      </c>
      <c r="G249" t="inlineStr">
        <is>
          <t>RE</t>
        </is>
      </c>
      <c r="H249" s="12" t="n">
        <v>-44655.08</v>
      </c>
      <c r="I249" s="17" t="n">
        <v>45604</v>
      </c>
      <c r="J249" s="17" t="n">
        <v>45634</v>
      </c>
      <c r="K249" t="inlineStr">
        <is>
          <t>0049/25</t>
        </is>
      </c>
    </row>
    <row r="250">
      <c r="A250" t="inlineStr">
        <is>
          <t>IC4420</t>
        </is>
      </c>
      <c r="B250" t="inlineStr">
        <is>
          <t>NORDEX ENERGY SPAIN S A U</t>
        </is>
      </c>
      <c r="C250" t="n">
        <v>2122100000</v>
      </c>
      <c r="D250" t="inlineStr">
        <is>
          <t>Intercompany</t>
        </is>
      </c>
      <c r="E250" t="n">
        <v>5005816</v>
      </c>
      <c r="F250" t="inlineStr">
        <is>
          <t>4025010002</t>
        </is>
      </c>
      <c r="G250" t="inlineStr">
        <is>
          <t>RE</t>
        </is>
      </c>
      <c r="H250" s="12" t="n">
        <v>-22581.27</v>
      </c>
      <c r="I250" s="17" t="n">
        <v>46020</v>
      </c>
      <c r="J250" s="17" t="n">
        <v>46050</v>
      </c>
      <c r="K250" t="inlineStr">
        <is>
          <t>0008/26</t>
        </is>
      </c>
    </row>
    <row r="251">
      <c r="A251" t="inlineStr">
        <is>
          <t>IC4420</t>
        </is>
      </c>
      <c r="B251" t="inlineStr">
        <is>
          <t>NORDEX ENERGY SPAIN S A U</t>
        </is>
      </c>
      <c r="C251" t="n">
        <v>2122100000</v>
      </c>
      <c r="D251" t="inlineStr">
        <is>
          <t>Intercompany</t>
        </is>
      </c>
      <c r="E251" t="n">
        <v>5005817</v>
      </c>
      <c r="F251" t="inlineStr">
        <is>
          <t>4026000454</t>
        </is>
      </c>
      <c r="G251" t="inlineStr">
        <is>
          <t>RE</t>
        </is>
      </c>
      <c r="H251" s="12" t="n">
        <v>-1623.5</v>
      </c>
      <c r="I251" s="17" t="n">
        <v>46043</v>
      </c>
      <c r="J251" s="17" t="n">
        <v>46073</v>
      </c>
      <c r="K251" t="inlineStr">
        <is>
          <t>0033/26</t>
        </is>
      </c>
    </row>
    <row r="252">
      <c r="A252" t="inlineStr">
        <is>
          <t>IC4420</t>
        </is>
      </c>
      <c r="B252" t="inlineStr">
        <is>
          <t>NORDEX ENERGY SPAIN S A U</t>
        </is>
      </c>
      <c r="C252" t="n">
        <v>2122100000</v>
      </c>
      <c r="D252" t="inlineStr">
        <is>
          <t>Intercompany</t>
        </is>
      </c>
      <c r="E252" t="n">
        <v>5005818</v>
      </c>
      <c r="F252" t="inlineStr">
        <is>
          <t>4026001239</t>
        </is>
      </c>
      <c r="G252" t="inlineStr">
        <is>
          <t>RE</t>
        </is>
      </c>
      <c r="H252" s="12" t="n">
        <v>-15593.34</v>
      </c>
      <c r="I252" s="17" t="n">
        <v>46073</v>
      </c>
      <c r="J252" s="17" t="n">
        <v>46103</v>
      </c>
      <c r="K252" t="inlineStr">
        <is>
          <t>0082/26</t>
        </is>
      </c>
    </row>
    <row r="253">
      <c r="A253" t="inlineStr">
        <is>
          <t>IC4420</t>
        </is>
      </c>
      <c r="B253" t="inlineStr">
        <is>
          <t>NORDEX ENERGY SPAIN S A U</t>
        </is>
      </c>
      <c r="C253" t="n">
        <v>2122100000</v>
      </c>
      <c r="D253" t="inlineStr">
        <is>
          <t>Intercompany</t>
        </is>
      </c>
      <c r="E253" t="n">
        <v>5005819</v>
      </c>
      <c r="F253" t="inlineStr">
        <is>
          <t>4026001640</t>
        </is>
      </c>
      <c r="G253" t="inlineStr">
        <is>
          <t>RE</t>
        </is>
      </c>
      <c r="H253" s="12" t="n">
        <v>-386.27</v>
      </c>
      <c r="I253" s="17" t="n">
        <v>46087</v>
      </c>
      <c r="J253" s="17" t="n">
        <v>46117</v>
      </c>
      <c r="K253" t="inlineStr">
        <is>
          <t>0149/26</t>
        </is>
      </c>
    </row>
    <row r="254">
      <c r="A254" t="inlineStr">
        <is>
          <t>IC4420</t>
        </is>
      </c>
      <c r="B254" t="inlineStr">
        <is>
          <t>NORDEX ENERGY SPAIN S A U</t>
        </is>
      </c>
      <c r="C254" t="n">
        <v>2122100000</v>
      </c>
      <c r="D254" t="inlineStr">
        <is>
          <t>Intercompany</t>
        </is>
      </c>
      <c r="E254" t="n">
        <v>5005820</v>
      </c>
      <c r="F254" t="inlineStr">
        <is>
          <t>4026000448</t>
        </is>
      </c>
      <c r="G254" t="inlineStr">
        <is>
          <t>RE</t>
        </is>
      </c>
      <c r="H254" s="12" t="n">
        <v>-13879.54</v>
      </c>
      <c r="I254" s="17" t="n">
        <v>46043</v>
      </c>
      <c r="J254" s="17" t="n">
        <v>46073</v>
      </c>
      <c r="K254" t="inlineStr">
        <is>
          <t>0040/26</t>
        </is>
      </c>
    </row>
    <row r="255">
      <c r="A255" t="inlineStr">
        <is>
          <t>IC4420</t>
        </is>
      </c>
      <c r="B255" t="inlineStr">
        <is>
          <t>NORDEX ENERGY SPAIN S A U</t>
        </is>
      </c>
      <c r="C255" t="n">
        <v>2122100000</v>
      </c>
      <c r="D255" t="inlineStr">
        <is>
          <t>Intercompany</t>
        </is>
      </c>
      <c r="E255" t="n">
        <v>5005824</v>
      </c>
      <c r="F255" t="inlineStr">
        <is>
          <t>4026001641</t>
        </is>
      </c>
      <c r="G255" t="inlineStr">
        <is>
          <t>RE</t>
        </is>
      </c>
      <c r="H255" s="12" t="n">
        <v>-20666.17</v>
      </c>
      <c r="I255" s="17" t="n">
        <v>46087</v>
      </c>
      <c r="J255" s="17" t="n">
        <v>46117</v>
      </c>
      <c r="K255" t="inlineStr">
        <is>
          <t>0127/26</t>
        </is>
      </c>
    </row>
    <row r="256">
      <c r="A256" t="inlineStr">
        <is>
          <t>IC4420</t>
        </is>
      </c>
      <c r="B256" t="inlineStr">
        <is>
          <t>NORDEX ENERGY SPAIN S A U</t>
        </is>
      </c>
      <c r="C256" t="n">
        <v>2122100000</v>
      </c>
      <c r="D256" t="inlineStr">
        <is>
          <t>Intercompany</t>
        </is>
      </c>
      <c r="E256" t="n">
        <v>5005831</v>
      </c>
      <c r="F256" t="inlineStr">
        <is>
          <t>4026001672</t>
        </is>
      </c>
      <c r="G256" t="inlineStr">
        <is>
          <t>RE</t>
        </is>
      </c>
      <c r="H256" s="12" t="n">
        <v>-209.34</v>
      </c>
      <c r="I256" s="17" t="n">
        <v>46090</v>
      </c>
      <c r="J256" s="17" t="n">
        <v>46120</v>
      </c>
      <c r="K256" t="inlineStr">
        <is>
          <t>0142/26</t>
        </is>
      </c>
    </row>
    <row r="257">
      <c r="A257" t="inlineStr">
        <is>
          <t>IC4420</t>
        </is>
      </c>
      <c r="B257" t="inlineStr">
        <is>
          <t>NORDEX ENERGY SPAIN S A U</t>
        </is>
      </c>
      <c r="C257" t="n">
        <v>2122100000</v>
      </c>
      <c r="D257" t="inlineStr">
        <is>
          <t>Intercompany</t>
        </is>
      </c>
      <c r="E257" t="n">
        <v>5005832</v>
      </c>
      <c r="F257" t="inlineStr">
        <is>
          <t>4026001673</t>
        </is>
      </c>
      <c r="G257" t="inlineStr">
        <is>
          <t>RE</t>
        </is>
      </c>
      <c r="H257" s="12" t="n">
        <v>-472.99</v>
      </c>
      <c r="I257" s="17" t="n">
        <v>46090</v>
      </c>
      <c r="J257" s="17" t="n">
        <v>46120</v>
      </c>
      <c r="K257" t="inlineStr">
        <is>
          <t>0142/26</t>
        </is>
      </c>
    </row>
    <row r="258">
      <c r="A258" t="inlineStr">
        <is>
          <t>IC4420</t>
        </is>
      </c>
      <c r="B258" t="inlineStr">
        <is>
          <t>NORDEX ENERGY SPAIN S A U</t>
        </is>
      </c>
      <c r="C258" t="n">
        <v>2122100000</v>
      </c>
      <c r="D258" t="inlineStr">
        <is>
          <t>Intercompany</t>
        </is>
      </c>
      <c r="E258" t="n">
        <v>5005847</v>
      </c>
      <c r="F258" t="inlineStr">
        <is>
          <t>4018000019</t>
        </is>
      </c>
      <c r="G258" t="inlineStr">
        <is>
          <t>RE</t>
        </is>
      </c>
      <c r="H258" s="12" t="n">
        <v>-43104.14</v>
      </c>
      <c r="I258" s="17" t="n">
        <v>46049</v>
      </c>
      <c r="J258" s="17" t="n">
        <v>46079</v>
      </c>
      <c r="K258" t="inlineStr">
        <is>
          <t>0034/26</t>
        </is>
      </c>
    </row>
    <row r="259">
      <c r="A259" t="inlineStr">
        <is>
          <t>IC4420</t>
        </is>
      </c>
      <c r="B259" t="inlineStr">
        <is>
          <t>NORDEX ENERGY SPAIN S A U</t>
        </is>
      </c>
      <c r="C259" t="n">
        <v>2122100000</v>
      </c>
      <c r="D259" t="inlineStr">
        <is>
          <t>Intercompany</t>
        </is>
      </c>
      <c r="E259" t="n">
        <v>5005848</v>
      </c>
      <c r="F259" t="inlineStr">
        <is>
          <t>4026000451</t>
        </is>
      </c>
      <c r="G259" t="inlineStr">
        <is>
          <t>RE</t>
        </is>
      </c>
      <c r="H259" s="12" t="n">
        <v>-16223.9</v>
      </c>
      <c r="I259" s="17" t="n">
        <v>46043</v>
      </c>
      <c r="J259" s="17" t="n">
        <v>46073</v>
      </c>
      <c r="K259" t="inlineStr">
        <is>
          <t>0034/26</t>
        </is>
      </c>
    </row>
    <row r="260">
      <c r="A260" t="inlineStr">
        <is>
          <t>IC4420</t>
        </is>
      </c>
      <c r="B260" t="inlineStr">
        <is>
          <t>NORDEX ENERGY SPAIN S A U</t>
        </is>
      </c>
      <c r="C260" t="n">
        <v>2122100000</v>
      </c>
      <c r="D260" t="inlineStr">
        <is>
          <t>Intercompany</t>
        </is>
      </c>
      <c r="E260" t="n">
        <v>5005862</v>
      </c>
      <c r="F260" t="inlineStr">
        <is>
          <t>4026001638</t>
        </is>
      </c>
      <c r="G260" t="inlineStr">
        <is>
          <t>RE</t>
        </is>
      </c>
      <c r="H260" s="12" t="n">
        <v>-3766.36</v>
      </c>
      <c r="I260" s="17" t="n">
        <v>46087</v>
      </c>
      <c r="J260" s="17" t="n">
        <v>46117</v>
      </c>
      <c r="K260" t="inlineStr">
        <is>
          <t>0147/26</t>
        </is>
      </c>
    </row>
    <row r="261">
      <c r="A261" t="inlineStr">
        <is>
          <t>IC4420</t>
        </is>
      </c>
      <c r="B261" t="inlineStr">
        <is>
          <t>NORDEX ENERGY SPAIN S A U</t>
        </is>
      </c>
      <c r="C261" t="n">
        <v>2122100000</v>
      </c>
      <c r="D261" t="inlineStr">
        <is>
          <t>Intercompany</t>
        </is>
      </c>
      <c r="E261" t="n">
        <v>5005863</v>
      </c>
      <c r="F261" t="inlineStr">
        <is>
          <t>4026001611</t>
        </is>
      </c>
      <c r="G261" t="inlineStr">
        <is>
          <t>RE</t>
        </is>
      </c>
      <c r="H261" s="12" t="n">
        <v>-10155.72</v>
      </c>
      <c r="I261" s="17" t="n">
        <v>46086</v>
      </c>
      <c r="J261" s="17" t="n">
        <v>46116</v>
      </c>
      <c r="K261" t="inlineStr">
        <is>
          <t>0135/26</t>
        </is>
      </c>
    </row>
    <row r="262">
      <c r="A262" t="inlineStr">
        <is>
          <t>IC4420</t>
        </is>
      </c>
      <c r="B262" t="inlineStr">
        <is>
          <t>NORDEX ENERGY SPAIN S A U</t>
        </is>
      </c>
      <c r="C262" t="n">
        <v>2122100000</v>
      </c>
      <c r="D262" t="inlineStr">
        <is>
          <t>Intercompany</t>
        </is>
      </c>
      <c r="E262" t="n">
        <v>5005864</v>
      </c>
      <c r="F262" t="inlineStr">
        <is>
          <t>4026001590</t>
        </is>
      </c>
      <c r="G262" t="inlineStr">
        <is>
          <t>RE</t>
        </is>
      </c>
      <c r="H262" s="12" t="n">
        <v>-768.03</v>
      </c>
      <c r="I262" s="17" t="n">
        <v>46085</v>
      </c>
      <c r="J262" s="17" t="n">
        <v>46115</v>
      </c>
      <c r="K262" t="inlineStr">
        <is>
          <t>0116/26</t>
        </is>
      </c>
    </row>
    <row r="263">
      <c r="A263" t="inlineStr">
        <is>
          <t>IC4420</t>
        </is>
      </c>
      <c r="B263" t="inlineStr">
        <is>
          <t>NORDEX ENERGY SPAIN S A U</t>
        </is>
      </c>
      <c r="C263" t="n">
        <v>2122100000</v>
      </c>
      <c r="D263" t="inlineStr">
        <is>
          <t>Intercompany</t>
        </is>
      </c>
      <c r="E263" t="n">
        <v>5005865</v>
      </c>
      <c r="F263" t="inlineStr">
        <is>
          <t>4026001614</t>
        </is>
      </c>
      <c r="G263" t="inlineStr">
        <is>
          <t>RE</t>
        </is>
      </c>
      <c r="H263" s="12" t="n">
        <v>-7565.7</v>
      </c>
      <c r="I263" s="17" t="n">
        <v>46086</v>
      </c>
      <c r="J263" s="17" t="n">
        <v>46116</v>
      </c>
      <c r="K263" t="inlineStr">
        <is>
          <t>0133/26</t>
        </is>
      </c>
    </row>
    <row r="264">
      <c r="A264" t="inlineStr">
        <is>
          <t>IC4420</t>
        </is>
      </c>
      <c r="B264" t="inlineStr">
        <is>
          <t>NORDEX ENERGY SPAIN S A U</t>
        </is>
      </c>
      <c r="C264" t="n">
        <v>2122100000</v>
      </c>
      <c r="D264" t="inlineStr">
        <is>
          <t>Intercompany</t>
        </is>
      </c>
      <c r="E264" t="n">
        <v>5005866</v>
      </c>
      <c r="F264" t="inlineStr">
        <is>
          <t>4026001636</t>
        </is>
      </c>
      <c r="G264" t="inlineStr">
        <is>
          <t>RE</t>
        </is>
      </c>
      <c r="H264" s="12" t="n">
        <v>-37646.56</v>
      </c>
      <c r="I264" s="17" t="n">
        <v>46087</v>
      </c>
      <c r="J264" s="17" t="n">
        <v>46117</v>
      </c>
      <c r="K264" t="inlineStr">
        <is>
          <t>0144/26</t>
        </is>
      </c>
    </row>
    <row r="265">
      <c r="A265" t="inlineStr">
        <is>
          <t>IC4420</t>
        </is>
      </c>
      <c r="B265" t="inlineStr">
        <is>
          <t>NORDEX ENERGY SPAIN S A U</t>
        </is>
      </c>
      <c r="C265" t="n">
        <v>2122100000</v>
      </c>
      <c r="D265" t="inlineStr">
        <is>
          <t>Intercompany</t>
        </is>
      </c>
      <c r="E265" t="n">
        <v>5005867</v>
      </c>
      <c r="F265" t="inlineStr">
        <is>
          <t>4026001752</t>
        </is>
      </c>
      <c r="G265" t="inlineStr">
        <is>
          <t>RE</t>
        </is>
      </c>
      <c r="H265" s="12" t="n">
        <v>-9522.9</v>
      </c>
      <c r="I265" s="17" t="n">
        <v>46092</v>
      </c>
      <c r="J265" s="17" t="n">
        <v>46122</v>
      </c>
      <c r="K265" t="inlineStr">
        <is>
          <t>0163/26</t>
        </is>
      </c>
    </row>
    <row r="266">
      <c r="A266" t="inlineStr">
        <is>
          <t>IC4420</t>
        </is>
      </c>
      <c r="B266" t="inlineStr">
        <is>
          <t>NORDEX ENERGY SPAIN S A U</t>
        </is>
      </c>
      <c r="C266" t="n">
        <v>2122100000</v>
      </c>
      <c r="D266" t="inlineStr">
        <is>
          <t>Intercompany</t>
        </is>
      </c>
      <c r="E266" t="n">
        <v>5005868</v>
      </c>
      <c r="F266" t="inlineStr">
        <is>
          <t>4026001685</t>
        </is>
      </c>
      <c r="G266" t="inlineStr">
        <is>
          <t>RE</t>
        </is>
      </c>
      <c r="H266" s="12" t="n">
        <v>-11624.94</v>
      </c>
      <c r="I266" s="17" t="n">
        <v>46090</v>
      </c>
      <c r="J266" s="17" t="n">
        <v>46120</v>
      </c>
      <c r="K266" t="inlineStr">
        <is>
          <t>0159/26</t>
        </is>
      </c>
    </row>
    <row r="267">
      <c r="A267" t="inlineStr">
        <is>
          <t>IC4420</t>
        </is>
      </c>
      <c r="B267" t="inlineStr">
        <is>
          <t>NORDEX ENERGY SPAIN S A U</t>
        </is>
      </c>
      <c r="C267" t="n">
        <v>2122100000</v>
      </c>
      <c r="D267" t="inlineStr">
        <is>
          <t>Intercompany</t>
        </is>
      </c>
      <c r="E267" t="n">
        <v>5005869</v>
      </c>
      <c r="F267" t="inlineStr">
        <is>
          <t>4026001431</t>
        </is>
      </c>
      <c r="G267" t="inlineStr">
        <is>
          <t>RE</t>
        </is>
      </c>
      <c r="H267" s="12" t="n">
        <v>-42077.9</v>
      </c>
      <c r="I267" s="17" t="n">
        <v>46080</v>
      </c>
      <c r="J267" s="17" t="n">
        <v>46110</v>
      </c>
      <c r="K267" t="inlineStr">
        <is>
          <t>0110/26</t>
        </is>
      </c>
    </row>
    <row r="268">
      <c r="A268" t="inlineStr">
        <is>
          <t>IC1000</t>
        </is>
      </c>
      <c r="B268" t="inlineStr">
        <is>
          <t>NORDEX ENERGY SE &amp; CO KG</t>
        </is>
      </c>
      <c r="C268" t="n">
        <v>2122100000</v>
      </c>
      <c r="D268" t="inlineStr">
        <is>
          <t>Intercompany</t>
        </is>
      </c>
      <c r="E268" t="n">
        <v>5006054</v>
      </c>
      <c r="F268" t="inlineStr">
        <is>
          <t>621578</t>
        </is>
      </c>
      <c r="G268" t="inlineStr">
        <is>
          <t>KR</t>
        </is>
      </c>
      <c r="H268" s="12" t="n">
        <v>-9410958.1</v>
      </c>
      <c r="I268" s="17" t="n">
        <v>45687</v>
      </c>
      <c r="J268" s="17" t="n">
        <v>45717</v>
      </c>
      <c r="K268" t="inlineStr">
        <is>
          <t>Vendor Invoice NORDEX ENERGY SE &amp; CO KG 621578</t>
        </is>
      </c>
    </row>
    <row r="269">
      <c r="A269" t="inlineStr">
        <is>
          <t>IC1000</t>
        </is>
      </c>
      <c r="B269" t="inlineStr">
        <is>
          <t>NORDEX ENERGY SE &amp; CO KG</t>
        </is>
      </c>
      <c r="C269" t="n">
        <v>2122100000</v>
      </c>
      <c r="D269" t="inlineStr">
        <is>
          <t>Intercompany</t>
        </is>
      </c>
      <c r="E269" t="n">
        <v>5006105</v>
      </c>
      <c r="F269" t="inlineStr">
        <is>
          <t>310147</t>
        </is>
      </c>
      <c r="G269" t="inlineStr">
        <is>
          <t>RE</t>
        </is>
      </c>
      <c r="H269" s="12" t="n">
        <v>-27785.93</v>
      </c>
      <c r="I269" s="17" t="n">
        <v>45560</v>
      </c>
      <c r="J269" s="17" t="n">
        <v>45590</v>
      </c>
      <c r="K269" t="inlineStr">
        <is>
          <t>0053/25</t>
        </is>
      </c>
    </row>
    <row r="270">
      <c r="A270" t="inlineStr">
        <is>
          <t>IC4420</t>
        </is>
      </c>
      <c r="B270" t="inlineStr">
        <is>
          <t>NORDEX ENERGY SPAIN S A U</t>
        </is>
      </c>
      <c r="C270" t="n">
        <v>2122100000</v>
      </c>
      <c r="D270" t="inlineStr">
        <is>
          <t>Intercompany</t>
        </is>
      </c>
      <c r="E270" t="n">
        <v>5006122</v>
      </c>
      <c r="F270" t="inlineStr">
        <is>
          <t>4026001639</t>
        </is>
      </c>
      <c r="G270" t="inlineStr">
        <is>
          <t>RE</t>
        </is>
      </c>
      <c r="H270" s="12" t="n">
        <v>-64823.54</v>
      </c>
      <c r="I270" s="17" t="n">
        <v>46087</v>
      </c>
      <c r="J270" s="17" t="n">
        <v>46117</v>
      </c>
      <c r="K270" t="inlineStr">
        <is>
          <t>0148/26</t>
        </is>
      </c>
    </row>
    <row r="271">
      <c r="A271" t="inlineStr">
        <is>
          <t>IC4420</t>
        </is>
      </c>
      <c r="B271" t="inlineStr">
        <is>
          <t>NORDEX ENERGY SPAIN S A U</t>
        </is>
      </c>
      <c r="C271" t="n">
        <v>2122100000</v>
      </c>
      <c r="D271" t="inlineStr">
        <is>
          <t>Intercompany</t>
        </is>
      </c>
      <c r="E271" t="n">
        <v>5006123</v>
      </c>
      <c r="F271" t="inlineStr">
        <is>
          <t>4026001674</t>
        </is>
      </c>
      <c r="G271" t="inlineStr">
        <is>
          <t>RE</t>
        </is>
      </c>
      <c r="H271" s="12" t="n">
        <v>-19544.35</v>
      </c>
      <c r="I271" s="17" t="n">
        <v>46090</v>
      </c>
      <c r="J271" s="17" t="n">
        <v>46120</v>
      </c>
      <c r="K271" t="inlineStr">
        <is>
          <t>0143/26</t>
        </is>
      </c>
    </row>
    <row r="272">
      <c r="A272" t="inlineStr">
        <is>
          <t>IC4420</t>
        </is>
      </c>
      <c r="B272" t="inlineStr">
        <is>
          <t>NORDEX ENERGY SPAIN S A U</t>
        </is>
      </c>
      <c r="C272" t="n">
        <v>2122100000</v>
      </c>
      <c r="D272" t="inlineStr">
        <is>
          <t>Intercompany</t>
        </is>
      </c>
      <c r="E272" t="n">
        <v>5006124</v>
      </c>
      <c r="F272" t="inlineStr">
        <is>
          <t>4026001434</t>
        </is>
      </c>
      <c r="G272" t="inlineStr">
        <is>
          <t>RE</t>
        </is>
      </c>
      <c r="H272" s="12" t="n">
        <v>-5585.51</v>
      </c>
      <c r="I272" s="17" t="n">
        <v>46080</v>
      </c>
      <c r="J272" s="17" t="n">
        <v>46110</v>
      </c>
      <c r="K272" t="inlineStr">
        <is>
          <t>0113/26</t>
        </is>
      </c>
    </row>
    <row r="273">
      <c r="A273" t="inlineStr">
        <is>
          <t>IC5000</t>
        </is>
      </c>
      <c r="B273" t="inlineStr">
        <is>
          <t>NORDEX SE</t>
        </is>
      </c>
      <c r="C273" t="n">
        <v>2122100000</v>
      </c>
      <c r="D273" t="inlineStr">
        <is>
          <t>Intercompany</t>
        </is>
      </c>
      <c r="E273" t="n">
        <v>5006184</v>
      </c>
      <c r="F273" t="inlineStr">
        <is>
          <t>607864</t>
        </is>
      </c>
      <c r="G273" t="inlineStr">
        <is>
          <t>KG</t>
        </is>
      </c>
      <c r="H273" s="12" t="n">
        <v>4518668.46</v>
      </c>
      <c r="I273" s="17" t="n">
        <v>45335</v>
      </c>
      <c r="J273" s="17" t="n">
        <v>45335</v>
      </c>
      <c r="K273" t="inlineStr">
        <is>
          <t>Nota crédito fornec. NORDEX SE 607864</t>
        </is>
      </c>
    </row>
    <row r="274">
      <c r="A274" t="inlineStr">
        <is>
          <t>IC1000</t>
        </is>
      </c>
      <c r="B274" t="inlineStr">
        <is>
          <t>NORDEX ENERGY SE &amp; CO KG</t>
        </is>
      </c>
      <c r="C274" t="n">
        <v>2122100000</v>
      </c>
      <c r="D274" t="inlineStr">
        <is>
          <t>Intercompany</t>
        </is>
      </c>
      <c r="E274" t="n">
        <v>5006184</v>
      </c>
      <c r="F274" t="inlineStr">
        <is>
          <t>326399</t>
        </is>
      </c>
      <c r="G274" t="inlineStr">
        <is>
          <t>RE</t>
        </is>
      </c>
      <c r="H274" s="12" t="n">
        <v>-6049.37</v>
      </c>
      <c r="I274" s="17" t="n">
        <v>45672</v>
      </c>
      <c r="J274" s="17" t="n">
        <v>45702</v>
      </c>
      <c r="K274" t="inlineStr">
        <is>
          <t>0080/25</t>
        </is>
      </c>
    </row>
    <row r="275">
      <c r="A275" t="inlineStr">
        <is>
          <t>IC4420</t>
        </is>
      </c>
      <c r="B275" t="inlineStr">
        <is>
          <t>NORDEX ENERGY SPAIN S A U</t>
        </is>
      </c>
      <c r="C275" t="n">
        <v>2122100000</v>
      </c>
      <c r="D275" t="inlineStr">
        <is>
          <t>Intercompany</t>
        </is>
      </c>
      <c r="E275" t="n">
        <v>5006226</v>
      </c>
      <c r="F275" t="inlineStr">
        <is>
          <t>4026001682</t>
        </is>
      </c>
      <c r="G275" t="inlineStr">
        <is>
          <t>RE</t>
        </is>
      </c>
      <c r="H275" s="12" t="n">
        <v>-3652.61</v>
      </c>
      <c r="I275" s="17" t="n">
        <v>46059</v>
      </c>
      <c r="J275" s="17" t="n">
        <v>46089</v>
      </c>
      <c r="K275" t="inlineStr">
        <is>
          <t>0160/26</t>
        </is>
      </c>
    </row>
    <row r="276">
      <c r="A276" t="inlineStr">
        <is>
          <t>IC4420</t>
        </is>
      </c>
      <c r="B276" t="inlineStr">
        <is>
          <t>NORDEX ENERGY SPAIN S A U</t>
        </is>
      </c>
      <c r="C276" t="n">
        <v>2122100000</v>
      </c>
      <c r="D276" t="inlineStr">
        <is>
          <t>Intercompany</t>
        </is>
      </c>
      <c r="E276" t="n">
        <v>5006252</v>
      </c>
      <c r="F276" t="inlineStr">
        <is>
          <t>4026001430</t>
        </is>
      </c>
      <c r="G276" t="inlineStr">
        <is>
          <t>RE</t>
        </is>
      </c>
      <c r="H276" s="12" t="n">
        <v>-45780.64</v>
      </c>
      <c r="I276" s="17" t="n">
        <v>46080</v>
      </c>
      <c r="J276" s="17" t="n">
        <v>46110</v>
      </c>
      <c r="K276" t="inlineStr">
        <is>
          <t>0109/26</t>
        </is>
      </c>
    </row>
    <row r="277">
      <c r="A277" t="inlineStr">
        <is>
          <t>IC4420</t>
        </is>
      </c>
      <c r="B277" t="inlineStr">
        <is>
          <t>NORDEX ENERGY SPAIN S A U</t>
        </is>
      </c>
      <c r="C277" t="n">
        <v>2122100000</v>
      </c>
      <c r="D277" t="inlineStr">
        <is>
          <t>Intercompany</t>
        </is>
      </c>
      <c r="E277" t="n">
        <v>5006275</v>
      </c>
      <c r="F277" t="inlineStr">
        <is>
          <t>4026001069</t>
        </is>
      </c>
      <c r="G277" t="inlineStr">
        <is>
          <t>RE</t>
        </is>
      </c>
      <c r="H277" s="12" t="n">
        <v>-25275.54</v>
      </c>
      <c r="I277" s="17" t="n">
        <v>46065</v>
      </c>
      <c r="J277" s="17" t="n">
        <v>46095</v>
      </c>
      <c r="K277" t="inlineStr">
        <is>
          <t>0077/26</t>
        </is>
      </c>
    </row>
    <row r="278">
      <c r="A278" t="inlineStr">
        <is>
          <t>IC4420</t>
        </is>
      </c>
      <c r="B278" t="inlineStr">
        <is>
          <t>NORDEX ENERGY SPAIN S A U</t>
        </is>
      </c>
      <c r="C278" t="n">
        <v>2122100000</v>
      </c>
      <c r="D278" t="inlineStr">
        <is>
          <t>Intercompany</t>
        </is>
      </c>
      <c r="E278" t="n">
        <v>5006341</v>
      </c>
      <c r="F278" t="inlineStr">
        <is>
          <t>4026000892</t>
        </is>
      </c>
      <c r="G278" t="inlineStr">
        <is>
          <t>RE</t>
        </is>
      </c>
      <c r="H278" s="12" t="n">
        <v>-7066.4</v>
      </c>
      <c r="I278" s="17" t="n">
        <v>46058</v>
      </c>
      <c r="J278" s="17" t="n">
        <v>46088</v>
      </c>
      <c r="K278" t="inlineStr">
        <is>
          <t>0056/26</t>
        </is>
      </c>
    </row>
    <row r="279">
      <c r="A279" t="inlineStr">
        <is>
          <t>IC4420</t>
        </is>
      </c>
      <c r="B279" t="inlineStr">
        <is>
          <t>NORDEX ENERGY SPAIN S A U</t>
        </is>
      </c>
      <c r="C279" t="n">
        <v>2122100000</v>
      </c>
      <c r="D279" t="inlineStr">
        <is>
          <t>Intercompany</t>
        </is>
      </c>
      <c r="E279" t="n">
        <v>5006342</v>
      </c>
      <c r="F279" t="inlineStr">
        <is>
          <t>4026000890</t>
        </is>
      </c>
      <c r="G279" t="inlineStr">
        <is>
          <t>RE</t>
        </is>
      </c>
      <c r="H279" s="12" t="n">
        <v>-20173.51</v>
      </c>
      <c r="I279" s="17" t="n">
        <v>46058</v>
      </c>
      <c r="J279" s="17" t="n">
        <v>46088</v>
      </c>
      <c r="K279" t="inlineStr">
        <is>
          <t>0056/26</t>
        </is>
      </c>
    </row>
    <row r="280">
      <c r="A280" t="inlineStr">
        <is>
          <t>IC4420</t>
        </is>
      </c>
      <c r="B280" t="inlineStr">
        <is>
          <t>NORDEX ENERGY SPAIN S A U</t>
        </is>
      </c>
      <c r="C280" t="n">
        <v>2122100000</v>
      </c>
      <c r="D280" t="inlineStr">
        <is>
          <t>Intercompany</t>
        </is>
      </c>
      <c r="E280" t="n">
        <v>5006343</v>
      </c>
      <c r="F280" t="inlineStr">
        <is>
          <t>4026000893</t>
        </is>
      </c>
      <c r="G280" t="inlineStr">
        <is>
          <t>RE</t>
        </is>
      </c>
      <c r="H280" s="12" t="n">
        <v>-49619.26</v>
      </c>
      <c r="I280" s="17" t="n">
        <v>46058</v>
      </c>
      <c r="J280" s="17" t="n">
        <v>46088</v>
      </c>
      <c r="K280" t="inlineStr">
        <is>
          <t>0056/26</t>
        </is>
      </c>
    </row>
    <row r="281">
      <c r="A281" t="inlineStr">
        <is>
          <t>IC4420</t>
        </is>
      </c>
      <c r="B281" t="inlineStr">
        <is>
          <t>NORDEX ENERGY SPAIN S A U</t>
        </is>
      </c>
      <c r="C281" t="n">
        <v>2122100000</v>
      </c>
      <c r="D281" t="inlineStr">
        <is>
          <t>Intercompany</t>
        </is>
      </c>
      <c r="E281" t="n">
        <v>5006344</v>
      </c>
      <c r="F281" t="inlineStr">
        <is>
          <t>4026001684</t>
        </is>
      </c>
      <c r="G281" t="inlineStr">
        <is>
          <t>RE</t>
        </is>
      </c>
      <c r="H281" s="12" t="n">
        <v>-24035.95</v>
      </c>
      <c r="I281" s="17" t="n">
        <v>46090</v>
      </c>
      <c r="J281" s="17" t="n">
        <v>46120</v>
      </c>
      <c r="K281" t="inlineStr">
        <is>
          <t>0157/26</t>
        </is>
      </c>
    </row>
    <row r="282">
      <c r="A282" t="inlineStr">
        <is>
          <t>IC4420</t>
        </is>
      </c>
      <c r="B282" t="inlineStr">
        <is>
          <t>NORDEX ENERGY SPAIN S A U</t>
        </is>
      </c>
      <c r="C282" t="n">
        <v>2122100000</v>
      </c>
      <c r="D282" t="inlineStr">
        <is>
          <t>Intercompany</t>
        </is>
      </c>
      <c r="E282" t="n">
        <v>5006345</v>
      </c>
      <c r="F282" t="inlineStr">
        <is>
          <t>4026001683</t>
        </is>
      </c>
      <c r="G282" t="inlineStr">
        <is>
          <t>RE</t>
        </is>
      </c>
      <c r="H282" s="12" t="n">
        <v>-765.9</v>
      </c>
      <c r="I282" s="17" t="n">
        <v>46090</v>
      </c>
      <c r="J282" s="17" t="n">
        <v>46120</v>
      </c>
      <c r="K282" t="inlineStr">
        <is>
          <t>0157/26</t>
        </is>
      </c>
    </row>
    <row r="283">
      <c r="A283" t="inlineStr">
        <is>
          <t>IC4420</t>
        </is>
      </c>
      <c r="B283" t="inlineStr">
        <is>
          <t>NORDEX ENERGY SPAIN S A U</t>
        </is>
      </c>
      <c r="C283" t="n">
        <v>2122100000</v>
      </c>
      <c r="D283" t="inlineStr">
        <is>
          <t>Intercompany</t>
        </is>
      </c>
      <c r="E283" t="n">
        <v>5006346</v>
      </c>
      <c r="F283" t="inlineStr">
        <is>
          <t>4026001578</t>
        </is>
      </c>
      <c r="G283" t="inlineStr">
        <is>
          <t>RE</t>
        </is>
      </c>
      <c r="H283" s="12" t="n">
        <v>-1994.66</v>
      </c>
      <c r="I283" s="17" t="n">
        <v>46085</v>
      </c>
      <c r="J283" s="17" t="n">
        <v>46115</v>
      </c>
      <c r="K283" t="inlineStr">
        <is>
          <t>0118/26</t>
        </is>
      </c>
    </row>
    <row r="284">
      <c r="A284" t="inlineStr">
        <is>
          <t>IC4420</t>
        </is>
      </c>
      <c r="B284" t="inlineStr">
        <is>
          <t>NORDEX ENERGY SPAIN S A U</t>
        </is>
      </c>
      <c r="C284" t="n">
        <v>2122100000</v>
      </c>
      <c r="D284" t="inlineStr">
        <is>
          <t>Intercompany</t>
        </is>
      </c>
      <c r="E284" t="n">
        <v>5006347</v>
      </c>
      <c r="F284" t="inlineStr">
        <is>
          <t>4026000891</t>
        </is>
      </c>
      <c r="G284" t="inlineStr">
        <is>
          <t>RE</t>
        </is>
      </c>
      <c r="H284" s="12" t="n">
        <v>-50317.25</v>
      </c>
      <c r="I284" s="17" t="n">
        <v>46058</v>
      </c>
      <c r="J284" s="17" t="n">
        <v>46088</v>
      </c>
      <c r="K284" t="inlineStr">
        <is>
          <t>0056/26</t>
        </is>
      </c>
    </row>
    <row r="285">
      <c r="A285" t="inlineStr">
        <is>
          <t>IC4420</t>
        </is>
      </c>
      <c r="B285" t="inlineStr">
        <is>
          <t>NORDEX ENERGY SPAIN S A U</t>
        </is>
      </c>
      <c r="C285" t="n">
        <v>2122100000</v>
      </c>
      <c r="D285" t="inlineStr">
        <is>
          <t>Intercompany</t>
        </is>
      </c>
      <c r="E285" t="n">
        <v>5006348</v>
      </c>
      <c r="F285" t="inlineStr">
        <is>
          <t>4026001637</t>
        </is>
      </c>
      <c r="G285" t="inlineStr">
        <is>
          <t>RE</t>
        </is>
      </c>
      <c r="H285" s="12" t="n">
        <v>-226.62</v>
      </c>
      <c r="I285" s="17" t="n">
        <v>46087</v>
      </c>
      <c r="J285" s="17" t="n">
        <v>46117</v>
      </c>
      <c r="K285" t="inlineStr">
        <is>
          <t>0145/26</t>
        </is>
      </c>
    </row>
    <row r="286">
      <c r="A286" t="inlineStr">
        <is>
          <t>IC1000</t>
        </is>
      </c>
      <c r="B286" t="inlineStr">
        <is>
          <t>NORDEX ENERGY SE &amp; CO KG</t>
        </is>
      </c>
      <c r="C286" t="n">
        <v>2122100000</v>
      </c>
      <c r="D286" t="inlineStr">
        <is>
          <t>Intercompany</t>
        </is>
      </c>
      <c r="E286" t="n">
        <v>5006391</v>
      </c>
      <c r="F286" t="inlineStr">
        <is>
          <t>4012426772</t>
        </is>
      </c>
      <c r="G286" t="inlineStr">
        <is>
          <t>RE</t>
        </is>
      </c>
      <c r="H286" s="12" t="n">
        <v>-71619.28999999999</v>
      </c>
      <c r="I286" s="17" t="n">
        <v>45645</v>
      </c>
      <c r="J286" s="17" t="n">
        <v>45675</v>
      </c>
      <c r="K286" t="inlineStr">
        <is>
          <t>1198/24</t>
        </is>
      </c>
    </row>
    <row r="287">
      <c r="A287" t="inlineStr">
        <is>
          <t>IC4420</t>
        </is>
      </c>
      <c r="B287" t="inlineStr">
        <is>
          <t>NORDEX ENERGY SPAIN S A U</t>
        </is>
      </c>
      <c r="C287" t="n">
        <v>2122100000</v>
      </c>
      <c r="D287" t="inlineStr">
        <is>
          <t>Intercompany</t>
        </is>
      </c>
      <c r="E287" t="n">
        <v>5006392</v>
      </c>
      <c r="F287" t="inlineStr">
        <is>
          <t>4026001608</t>
        </is>
      </c>
      <c r="G287" t="inlineStr">
        <is>
          <t>RE</t>
        </is>
      </c>
      <c r="H287" s="12" t="n">
        <v>-2660.23</v>
      </c>
      <c r="I287" s="17" t="n">
        <v>46086</v>
      </c>
      <c r="J287" s="17" t="n">
        <v>46116</v>
      </c>
      <c r="K287" t="inlineStr">
        <is>
          <t>0129/26</t>
        </is>
      </c>
    </row>
    <row r="288">
      <c r="A288" t="inlineStr">
        <is>
          <t>IC4420</t>
        </is>
      </c>
      <c r="B288" t="inlineStr">
        <is>
          <t>NORDEX ENERGY SPAIN S A U</t>
        </is>
      </c>
      <c r="C288" t="n">
        <v>2122100000</v>
      </c>
      <c r="D288" t="inlineStr">
        <is>
          <t>Intercompany</t>
        </is>
      </c>
      <c r="E288" t="n">
        <v>5006393</v>
      </c>
      <c r="F288" t="inlineStr">
        <is>
          <t>4026001610</t>
        </is>
      </c>
      <c r="G288" t="inlineStr">
        <is>
          <t>RE</t>
        </is>
      </c>
      <c r="H288" s="12" t="n">
        <v>-5441.82</v>
      </c>
      <c r="I288" s="17" t="n">
        <v>46086</v>
      </c>
      <c r="J288" s="17" t="n">
        <v>46116</v>
      </c>
      <c r="K288" t="inlineStr">
        <is>
          <t>0130/26</t>
        </is>
      </c>
    </row>
    <row r="289">
      <c r="A289" t="inlineStr">
        <is>
          <t>IC4420</t>
        </is>
      </c>
      <c r="B289" t="inlineStr">
        <is>
          <t>NORDEX ENERGY SPAIN S A U</t>
        </is>
      </c>
      <c r="C289" t="n">
        <v>2122100000</v>
      </c>
      <c r="D289" t="inlineStr">
        <is>
          <t>Intercompany</t>
        </is>
      </c>
      <c r="E289" t="n">
        <v>5006466</v>
      </c>
      <c r="F289" t="inlineStr">
        <is>
          <t>4026001501</t>
        </is>
      </c>
      <c r="G289" t="inlineStr">
        <is>
          <t>RE</t>
        </is>
      </c>
      <c r="H289" s="12" t="n">
        <v>-17584.07</v>
      </c>
      <c r="I289" s="17" t="n">
        <v>46083</v>
      </c>
      <c r="J289" s="17" t="n">
        <v>46113</v>
      </c>
      <c r="K289" t="inlineStr">
        <is>
          <t>0107/26</t>
        </is>
      </c>
    </row>
    <row r="290">
      <c r="A290" t="inlineStr">
        <is>
          <t>IC4420</t>
        </is>
      </c>
      <c r="B290" t="inlineStr">
        <is>
          <t>NORDEX ENERGY SPAIN S A U</t>
        </is>
      </c>
      <c r="C290" t="n">
        <v>2122100000</v>
      </c>
      <c r="D290" t="inlineStr">
        <is>
          <t>Intercompany</t>
        </is>
      </c>
      <c r="E290" t="n">
        <v>5006476</v>
      </c>
      <c r="F290" t="inlineStr">
        <is>
          <t>4026000797</t>
        </is>
      </c>
      <c r="G290" t="inlineStr">
        <is>
          <t>RE</t>
        </is>
      </c>
      <c r="H290" s="12" t="n">
        <v>-60102.5</v>
      </c>
      <c r="I290" s="17" t="n">
        <v>46055</v>
      </c>
      <c r="J290" s="17" t="n">
        <v>46085</v>
      </c>
      <c r="K290" t="inlineStr">
        <is>
          <t>0063/26</t>
        </is>
      </c>
    </row>
    <row r="291">
      <c r="A291" t="inlineStr">
        <is>
          <t>IC1000</t>
        </is>
      </c>
      <c r="B291" t="inlineStr">
        <is>
          <t>NORDEX ENERGY SE &amp; CO KG</t>
        </is>
      </c>
      <c r="C291" t="n">
        <v>2122100000</v>
      </c>
      <c r="D291" t="inlineStr">
        <is>
          <t>Intercompany</t>
        </is>
      </c>
      <c r="E291" t="n">
        <v>5006504</v>
      </c>
      <c r="F291" t="inlineStr">
        <is>
          <t>4012419486</t>
        </is>
      </c>
      <c r="G291" t="inlineStr">
        <is>
          <t>RE</t>
        </is>
      </c>
      <c r="H291" s="12" t="n">
        <v>-1550318.66</v>
      </c>
      <c r="I291" s="17" t="n">
        <v>45590</v>
      </c>
      <c r="J291" s="17" t="n">
        <v>45620</v>
      </c>
      <c r="K291" t="inlineStr">
        <is>
          <t>1067/24</t>
        </is>
      </c>
    </row>
    <row r="292">
      <c r="A292" t="inlineStr">
        <is>
          <t>IC1000</t>
        </is>
      </c>
      <c r="B292" t="inlineStr">
        <is>
          <t>NORDEX ENERGY SE &amp; CO KG</t>
        </is>
      </c>
      <c r="C292" t="n">
        <v>2122100000</v>
      </c>
      <c r="D292" t="inlineStr">
        <is>
          <t>Intercompany</t>
        </is>
      </c>
      <c r="E292" t="n">
        <v>5006521</v>
      </c>
      <c r="F292" t="inlineStr">
        <is>
          <t>4012426771</t>
        </is>
      </c>
      <c r="G292" t="inlineStr">
        <is>
          <t>RE</t>
        </is>
      </c>
      <c r="H292" s="12" t="n">
        <v>-615183.65</v>
      </c>
      <c r="I292" s="17" t="n">
        <v>45645</v>
      </c>
      <c r="J292" s="17" t="n">
        <v>45675</v>
      </c>
      <c r="K292" t="inlineStr">
        <is>
          <t>1198/24</t>
        </is>
      </c>
    </row>
    <row r="293">
      <c r="A293" t="inlineStr">
        <is>
          <t>IC4420</t>
        </is>
      </c>
      <c r="B293" t="inlineStr">
        <is>
          <t>NORDEX ENERGY SPAIN S A U</t>
        </is>
      </c>
      <c r="C293" t="n">
        <v>2122100000</v>
      </c>
      <c r="D293" t="inlineStr">
        <is>
          <t>Intercompany</t>
        </is>
      </c>
      <c r="E293" t="n">
        <v>5006619</v>
      </c>
      <c r="F293" t="inlineStr">
        <is>
          <t>4026001681</t>
        </is>
      </c>
      <c r="G293" t="inlineStr">
        <is>
          <t>RE</t>
        </is>
      </c>
      <c r="H293" s="12" t="n">
        <v>-1080.74</v>
      </c>
      <c r="I293" s="17" t="n">
        <v>46090</v>
      </c>
      <c r="J293" s="17" t="n">
        <v>46120</v>
      </c>
      <c r="K293" t="inlineStr">
        <is>
          <t>0158/26</t>
        </is>
      </c>
    </row>
    <row r="294">
      <c r="A294" t="inlineStr">
        <is>
          <t>IC4420</t>
        </is>
      </c>
      <c r="B294" t="inlineStr">
        <is>
          <t>NORDEX ENERGY SPAIN S A U</t>
        </is>
      </c>
      <c r="C294" t="n">
        <v>2122100000</v>
      </c>
      <c r="D294" t="inlineStr">
        <is>
          <t>Intercompany</t>
        </is>
      </c>
      <c r="E294" t="n">
        <v>5006860</v>
      </c>
      <c r="F294" t="inlineStr">
        <is>
          <t>4026001948</t>
        </is>
      </c>
      <c r="G294" t="inlineStr">
        <is>
          <t>RE</t>
        </is>
      </c>
      <c r="H294" s="12" t="n">
        <v>-5194.67</v>
      </c>
      <c r="I294" s="17" t="n">
        <v>46099</v>
      </c>
      <c r="J294" s="17" t="n">
        <v>46129</v>
      </c>
      <c r="K294" t="inlineStr">
        <is>
          <t>0167/26</t>
        </is>
      </c>
    </row>
    <row r="295">
      <c r="A295" t="inlineStr">
        <is>
          <t>IC1000</t>
        </is>
      </c>
      <c r="B295" t="inlineStr">
        <is>
          <t>NORDEX ENERGY SE &amp; CO KG</t>
        </is>
      </c>
      <c r="C295" t="n">
        <v>2122100000</v>
      </c>
      <c r="D295" t="inlineStr">
        <is>
          <t>Intercompany</t>
        </is>
      </c>
      <c r="E295" t="n">
        <v>5006925</v>
      </c>
      <c r="F295" t="inlineStr">
        <is>
          <t>RITM0607508</t>
        </is>
      </c>
      <c r="G295" t="inlineStr">
        <is>
          <t>RE</t>
        </is>
      </c>
      <c r="H295" s="12" t="n">
        <v>-3216185.66</v>
      </c>
      <c r="I295" s="17" t="n">
        <v>46057</v>
      </c>
      <c r="J295" s="17" t="n">
        <v>46087</v>
      </c>
      <c r="K295" t="inlineStr">
        <is>
          <t>0139/26</t>
        </is>
      </c>
    </row>
    <row r="296">
      <c r="A296" t="inlineStr">
        <is>
          <t>IC4420</t>
        </is>
      </c>
      <c r="B296" t="inlineStr">
        <is>
          <t>NORDEX ENERGY SPAIN S A U</t>
        </is>
      </c>
      <c r="C296" t="n">
        <v>2122100000</v>
      </c>
      <c r="D296" t="inlineStr">
        <is>
          <t>Intercompany</t>
        </is>
      </c>
      <c r="E296" t="n">
        <v>5006926</v>
      </c>
      <c r="F296" t="inlineStr">
        <is>
          <t>4026001577</t>
        </is>
      </c>
      <c r="G296" t="inlineStr">
        <is>
          <t>RE</t>
        </is>
      </c>
      <c r="H296" s="12" t="n">
        <v>-3174660.6</v>
      </c>
      <c r="I296" s="17" t="n">
        <v>46085</v>
      </c>
      <c r="J296" s="17" t="n">
        <v>46115</v>
      </c>
      <c r="K296" t="inlineStr">
        <is>
          <t>0140/26</t>
        </is>
      </c>
    </row>
    <row r="297">
      <c r="A297" t="inlineStr">
        <is>
          <t>IC1000</t>
        </is>
      </c>
      <c r="B297" t="inlineStr">
        <is>
          <t>NORDEX ENERGY SE &amp; CO KG</t>
        </is>
      </c>
      <c r="C297" t="n">
        <v>2122100000</v>
      </c>
      <c r="D297" t="inlineStr">
        <is>
          <t>Intercompany</t>
        </is>
      </c>
      <c r="E297" t="n">
        <v>5006968</v>
      </c>
      <c r="F297" t="inlineStr">
        <is>
          <t>391189</t>
        </is>
      </c>
      <c r="G297" t="inlineStr">
        <is>
          <t>RE</t>
        </is>
      </c>
      <c r="H297" s="12" t="n">
        <v>-3750.24</v>
      </c>
      <c r="I297" s="17" t="n">
        <v>46108</v>
      </c>
      <c r="J297" s="17" t="n">
        <v>46138</v>
      </c>
      <c r="K297" t="inlineStr">
        <is>
          <t>0175/26</t>
        </is>
      </c>
    </row>
    <row r="298">
      <c r="A298" t="inlineStr">
        <is>
          <t>IC4420</t>
        </is>
      </c>
      <c r="B298" t="inlineStr">
        <is>
          <t>NORDEX ENERGY SPAIN S A U</t>
        </is>
      </c>
      <c r="C298" t="n">
        <v>2122100000</v>
      </c>
      <c r="D298" t="inlineStr">
        <is>
          <t>Intercompany</t>
        </is>
      </c>
      <c r="E298" t="n">
        <v>5006991</v>
      </c>
      <c r="F298" t="inlineStr">
        <is>
          <t>4026001996</t>
        </is>
      </c>
      <c r="G298" t="inlineStr">
        <is>
          <t>RE</t>
        </is>
      </c>
      <c r="H298" s="12" t="n">
        <v>-317.12</v>
      </c>
      <c r="I298" s="17" t="n">
        <v>46105</v>
      </c>
      <c r="J298" s="17" t="n">
        <v>46135</v>
      </c>
      <c r="K298" t="inlineStr">
        <is>
          <t>0170/26</t>
        </is>
      </c>
    </row>
    <row r="299">
      <c r="A299" t="inlineStr">
        <is>
          <t>IC4420</t>
        </is>
      </c>
      <c r="B299" t="inlineStr">
        <is>
          <t>NORDEX ENERGY SPAIN S A U</t>
        </is>
      </c>
      <c r="C299" t="n">
        <v>2122100000</v>
      </c>
      <c r="D299" t="inlineStr">
        <is>
          <t>Intercompany</t>
        </is>
      </c>
      <c r="E299" t="n">
        <v>5007017</v>
      </c>
      <c r="F299" t="inlineStr">
        <is>
          <t>4026001886</t>
        </is>
      </c>
      <c r="G299" t="inlineStr">
        <is>
          <t>RE</t>
        </is>
      </c>
      <c r="H299" s="12" t="n">
        <v>-8522.67</v>
      </c>
      <c r="I299" s="17" t="n">
        <v>46097</v>
      </c>
      <c r="J299" s="17" t="n">
        <v>46127</v>
      </c>
      <c r="K299" t="inlineStr">
        <is>
          <t>0166/26</t>
        </is>
      </c>
    </row>
    <row r="300">
      <c r="A300" t="inlineStr">
        <is>
          <t>IC4420</t>
        </is>
      </c>
      <c r="B300" t="inlineStr">
        <is>
          <t>NORDEX ENERGY SPAIN S A U</t>
        </is>
      </c>
      <c r="C300" t="n">
        <v>2122100000</v>
      </c>
      <c r="D300" t="inlineStr">
        <is>
          <t>Intercompany</t>
        </is>
      </c>
      <c r="E300" t="n">
        <v>5007018</v>
      </c>
      <c r="F300" t="inlineStr">
        <is>
          <t>4026001984</t>
        </is>
      </c>
      <c r="G300" t="inlineStr">
        <is>
          <t>RE</t>
        </is>
      </c>
      <c r="H300" s="12" t="n">
        <v>-27122.43</v>
      </c>
      <c r="I300" s="17" t="n">
        <v>46101</v>
      </c>
      <c r="J300" s="17" t="n">
        <v>46131</v>
      </c>
      <c r="K300" t="inlineStr">
        <is>
          <t>0169/26</t>
        </is>
      </c>
    </row>
    <row r="301">
      <c r="A301" t="inlineStr">
        <is>
          <t>IC1000</t>
        </is>
      </c>
      <c r="B301" t="inlineStr">
        <is>
          <t>NORDEX ENERGY SE &amp; CO KG</t>
        </is>
      </c>
      <c r="C301" t="n">
        <v>2122100000</v>
      </c>
      <c r="D301" t="inlineStr">
        <is>
          <t>Intercompany</t>
        </is>
      </c>
      <c r="E301" t="n">
        <v>5007027</v>
      </c>
      <c r="F301" t="inlineStr">
        <is>
          <t>327954</t>
        </is>
      </c>
      <c r="G301" t="inlineStr">
        <is>
          <t>RE</t>
        </is>
      </c>
      <c r="H301" s="12" t="n">
        <v>-21398</v>
      </c>
      <c r="I301" s="17" t="n">
        <v>45691</v>
      </c>
      <c r="J301" s="17" t="n">
        <v>45721</v>
      </c>
      <c r="K301" t="inlineStr">
        <is>
          <t>0108/25</t>
        </is>
      </c>
    </row>
    <row r="302">
      <c r="A302" t="inlineStr">
        <is>
          <t>IC4420</t>
        </is>
      </c>
      <c r="B302" t="inlineStr">
        <is>
          <t>NORDEX ENERGY SPAIN S A U</t>
        </is>
      </c>
      <c r="C302" t="n">
        <v>2122100000</v>
      </c>
      <c r="D302" t="inlineStr">
        <is>
          <t>Intercompany</t>
        </is>
      </c>
      <c r="E302" t="n">
        <v>5007042</v>
      </c>
      <c r="F302" t="inlineStr">
        <is>
          <t>52-5</t>
        </is>
      </c>
      <c r="G302" t="inlineStr">
        <is>
          <t>RE</t>
        </is>
      </c>
      <c r="H302" s="12" t="n">
        <v>-37350.28</v>
      </c>
      <c r="I302" s="17" t="n">
        <v>45287</v>
      </c>
      <c r="J302" s="17" t="n">
        <v>45317</v>
      </c>
      <c r="K302" t="inlineStr">
        <is>
          <t>Fatura - bruto NORDEX ENERGY SPAIN S.A.U. 52-5</t>
        </is>
      </c>
    </row>
    <row r="303">
      <c r="A303" t="inlineStr">
        <is>
          <t>IC4420</t>
        </is>
      </c>
      <c r="B303" t="inlineStr">
        <is>
          <t>NORDEX ENERGY SPAIN S A U</t>
        </is>
      </c>
      <c r="C303" t="n">
        <v>2122100000</v>
      </c>
      <c r="D303" t="inlineStr">
        <is>
          <t>Intercompany</t>
        </is>
      </c>
      <c r="E303" t="n">
        <v>5007052</v>
      </c>
      <c r="F303" t="inlineStr">
        <is>
          <t>4026001459</t>
        </is>
      </c>
      <c r="G303" t="inlineStr">
        <is>
          <t>RE</t>
        </is>
      </c>
      <c r="H303" s="12" t="n">
        <v>-1288928.46</v>
      </c>
      <c r="I303" s="17" t="n">
        <v>46080</v>
      </c>
      <c r="J303" s="17" t="n">
        <v>46110</v>
      </c>
      <c r="K303" t="inlineStr">
        <is>
          <t>0102/26</t>
        </is>
      </c>
    </row>
    <row r="304">
      <c r="A304" t="inlineStr">
        <is>
          <t>IC4420</t>
        </is>
      </c>
      <c r="B304" t="inlineStr">
        <is>
          <t>NORDEX ENERGY SPAIN S A U</t>
        </is>
      </c>
      <c r="C304" t="n">
        <v>2122100000</v>
      </c>
      <c r="D304" t="inlineStr">
        <is>
          <t>Intercompany</t>
        </is>
      </c>
      <c r="E304" t="n">
        <v>5007053</v>
      </c>
      <c r="F304" t="inlineStr">
        <is>
          <t>4026001461</t>
        </is>
      </c>
      <c r="G304" t="inlineStr">
        <is>
          <t>RE</t>
        </is>
      </c>
      <c r="H304" s="12" t="n">
        <v>-147060.06</v>
      </c>
      <c r="I304" s="17" t="n">
        <v>46080</v>
      </c>
      <c r="J304" s="17" t="n">
        <v>46110</v>
      </c>
      <c r="K304" t="inlineStr">
        <is>
          <t>0102/26</t>
        </is>
      </c>
    </row>
    <row r="305">
      <c r="A305" t="inlineStr">
        <is>
          <t>IC4420</t>
        </is>
      </c>
      <c r="B305" t="inlineStr">
        <is>
          <t>NORDEX ENERGY SPAIN S A U</t>
        </is>
      </c>
      <c r="C305" t="n">
        <v>2122100000</v>
      </c>
      <c r="D305" t="inlineStr">
        <is>
          <t>Intercompany</t>
        </is>
      </c>
      <c r="E305" t="n">
        <v>5007054</v>
      </c>
      <c r="F305" t="inlineStr">
        <is>
          <t>4026001460</t>
        </is>
      </c>
      <c r="G305" t="inlineStr">
        <is>
          <t>RE</t>
        </is>
      </c>
      <c r="H305" s="12" t="n">
        <v>-27067497.05</v>
      </c>
      <c r="I305" s="17" t="n">
        <v>46080</v>
      </c>
      <c r="J305" s="17" t="n">
        <v>46110</v>
      </c>
      <c r="K305" t="inlineStr">
        <is>
          <t>0102/26</t>
        </is>
      </c>
    </row>
    <row r="306">
      <c r="A306" t="inlineStr">
        <is>
          <t>IC5000</t>
        </is>
      </c>
      <c r="B306" t="inlineStr">
        <is>
          <t>NORDEX SE</t>
        </is>
      </c>
      <c r="C306" t="n">
        <v>2122100000</v>
      </c>
      <c r="D306" t="inlineStr">
        <is>
          <t>Intercompany</t>
        </is>
      </c>
      <c r="E306" t="n">
        <v>5007063</v>
      </c>
      <c r="F306" t="inlineStr">
        <is>
          <t>610625</t>
        </is>
      </c>
      <c r="G306" t="inlineStr">
        <is>
          <t>KR</t>
        </is>
      </c>
      <c r="H306" s="12" t="n">
        <v>-2560000</v>
      </c>
      <c r="I306" s="17" t="n">
        <v>46126</v>
      </c>
      <c r="J306" s="17" t="n">
        <v>46156</v>
      </c>
      <c r="K306" t="inlineStr">
        <is>
          <t>Fatura do fornecedor NORDEX SE 610625</t>
        </is>
      </c>
    </row>
    <row r="307">
      <c r="A307" t="inlineStr">
        <is>
          <t>IC4420</t>
        </is>
      </c>
      <c r="B307" t="inlineStr">
        <is>
          <t>NORDEX ENERGY SPAIN S A U</t>
        </is>
      </c>
      <c r="C307" t="n">
        <v>2122100000</v>
      </c>
      <c r="D307" t="inlineStr">
        <is>
          <t>Intercompany</t>
        </is>
      </c>
      <c r="E307" t="n">
        <v>5007074</v>
      </c>
      <c r="F307" t="inlineStr">
        <is>
          <t>4026001209</t>
        </is>
      </c>
      <c r="G307" t="inlineStr">
        <is>
          <t>RE</t>
        </is>
      </c>
      <c r="H307" s="12" t="n">
        <v>-38125.83</v>
      </c>
      <c r="I307" s="17" t="n">
        <v>46072</v>
      </c>
      <c r="J307" s="17" t="n">
        <v>46102</v>
      </c>
      <c r="K307" t="inlineStr">
        <is>
          <t>0153/26</t>
        </is>
      </c>
    </row>
    <row r="308">
      <c r="A308" t="inlineStr">
        <is>
          <t>IC4420</t>
        </is>
      </c>
      <c r="B308" t="inlineStr">
        <is>
          <t>NORDEX ENERGY SPAIN S A U</t>
        </is>
      </c>
      <c r="C308" t="n">
        <v>2122100000</v>
      </c>
      <c r="D308" t="inlineStr">
        <is>
          <t>Intercompany</t>
        </is>
      </c>
      <c r="E308" t="n">
        <v>5007210</v>
      </c>
      <c r="F308" t="inlineStr">
        <is>
          <t>4026001613</t>
        </is>
      </c>
      <c r="G308" t="inlineStr">
        <is>
          <t>RE</t>
        </is>
      </c>
      <c r="H308" s="12" t="n">
        <v>-7189.68</v>
      </c>
      <c r="I308" s="17" t="n">
        <v>46086</v>
      </c>
      <c r="J308" s="17" t="n">
        <v>46116</v>
      </c>
      <c r="K308" t="inlineStr">
        <is>
          <t>0132/26</t>
        </is>
      </c>
    </row>
    <row r="309">
      <c r="A309" t="inlineStr">
        <is>
          <t>IC4420</t>
        </is>
      </c>
      <c r="B309" t="inlineStr">
        <is>
          <t>NORDEX ENERGY SPAIN S A U</t>
        </is>
      </c>
      <c r="C309" t="n">
        <v>2122100000</v>
      </c>
      <c r="D309" t="inlineStr">
        <is>
          <t>Intercompany</t>
        </is>
      </c>
      <c r="E309" t="n">
        <v>5007211</v>
      </c>
      <c r="F309" t="inlineStr">
        <is>
          <t>4018000084</t>
        </is>
      </c>
      <c r="G309" t="inlineStr">
        <is>
          <t>RE</t>
        </is>
      </c>
      <c r="H309" s="12" t="n">
        <v>-1567437.8</v>
      </c>
      <c r="I309" s="17" t="n">
        <v>46105</v>
      </c>
      <c r="J309" s="17" t="n">
        <v>46135</v>
      </c>
      <c r="K309" t="inlineStr">
        <is>
          <t>0168/26</t>
        </is>
      </c>
    </row>
    <row r="310">
      <c r="A310" t="inlineStr">
        <is>
          <t>IC4420</t>
        </is>
      </c>
      <c r="B310" t="inlineStr">
        <is>
          <t>NORDEX ENERGY SPAIN S A U</t>
        </is>
      </c>
      <c r="C310" t="n">
        <v>2122100000</v>
      </c>
      <c r="D310" t="inlineStr">
        <is>
          <t>Intercompany</t>
        </is>
      </c>
      <c r="E310" t="n">
        <v>5007212</v>
      </c>
      <c r="F310" t="inlineStr">
        <is>
          <t>4018000083</t>
        </is>
      </c>
      <c r="G310" t="inlineStr">
        <is>
          <t>RE</t>
        </is>
      </c>
      <c r="H310" s="12" t="n">
        <v>-1567437.74</v>
      </c>
      <c r="I310" s="17" t="n">
        <v>46105</v>
      </c>
      <c r="J310" s="17" t="n">
        <v>46135</v>
      </c>
      <c r="K310" t="inlineStr">
        <is>
          <t>0168/26</t>
        </is>
      </c>
    </row>
    <row r="311">
      <c r="A311" t="inlineStr">
        <is>
          <t>IC4420</t>
        </is>
      </c>
      <c r="B311" t="inlineStr">
        <is>
          <t>NORDEX ENERGY SPAIN S A U</t>
        </is>
      </c>
      <c r="C311" t="n">
        <v>2122100000</v>
      </c>
      <c r="D311" t="inlineStr">
        <is>
          <t>Intercompany</t>
        </is>
      </c>
      <c r="E311" t="n">
        <v>5007319</v>
      </c>
      <c r="F311" t="inlineStr">
        <is>
          <t>4026002102</t>
        </is>
      </c>
      <c r="G311" t="inlineStr">
        <is>
          <t>RE</t>
        </is>
      </c>
      <c r="H311" s="12" t="n">
        <v>-1483.95</v>
      </c>
      <c r="I311" s="17" t="n">
        <v>46107</v>
      </c>
      <c r="J311" s="17" t="n">
        <v>46137</v>
      </c>
      <c r="K311" t="inlineStr">
        <is>
          <t>0177/26</t>
        </is>
      </c>
    </row>
    <row r="312">
      <c r="A312" t="inlineStr">
        <is>
          <t>IC4420</t>
        </is>
      </c>
      <c r="B312" t="inlineStr">
        <is>
          <t>NORDEX ENERGY SPAIN S A U</t>
        </is>
      </c>
      <c r="C312" t="n">
        <v>2122100000</v>
      </c>
      <c r="D312" t="inlineStr">
        <is>
          <t>Intercompany</t>
        </is>
      </c>
      <c r="E312" t="n">
        <v>5007320</v>
      </c>
      <c r="F312" t="inlineStr">
        <is>
          <t>4026002101</t>
        </is>
      </c>
      <c r="G312" t="inlineStr">
        <is>
          <t>RE</t>
        </is>
      </c>
      <c r="H312" s="12" t="n">
        <v>-27295.9</v>
      </c>
      <c r="I312" s="17" t="n">
        <v>46107</v>
      </c>
      <c r="J312" s="17" t="n">
        <v>46137</v>
      </c>
      <c r="K312" t="inlineStr">
        <is>
          <t>0177/26</t>
        </is>
      </c>
    </row>
    <row r="313">
      <c r="A313" t="inlineStr">
        <is>
          <t>IC4420</t>
        </is>
      </c>
      <c r="B313" t="inlineStr">
        <is>
          <t>NORDEX ENERGY SPAIN S A U</t>
        </is>
      </c>
      <c r="C313" t="n">
        <v>2122100000</v>
      </c>
      <c r="D313" t="inlineStr">
        <is>
          <t>Intercompany</t>
        </is>
      </c>
      <c r="E313" t="n">
        <v>5007321</v>
      </c>
      <c r="F313" t="inlineStr">
        <is>
          <t>4026002100</t>
        </is>
      </c>
      <c r="G313" t="inlineStr">
        <is>
          <t>RE</t>
        </is>
      </c>
      <c r="H313" s="12" t="n">
        <v>-208.36</v>
      </c>
      <c r="I313" s="17" t="n">
        <v>46107</v>
      </c>
      <c r="J313" s="17" t="n">
        <v>46137</v>
      </c>
      <c r="K313" t="inlineStr">
        <is>
          <t>0177/26</t>
        </is>
      </c>
    </row>
    <row r="314">
      <c r="A314" t="inlineStr">
        <is>
          <t>IC4420</t>
        </is>
      </c>
      <c r="B314" t="inlineStr">
        <is>
          <t>NORDEX ENERGY SPAIN S A U</t>
        </is>
      </c>
      <c r="C314" t="n">
        <v>2122100000</v>
      </c>
      <c r="D314" t="inlineStr">
        <is>
          <t>Intercompany</t>
        </is>
      </c>
      <c r="E314" t="n">
        <v>5007373</v>
      </c>
      <c r="F314" t="inlineStr">
        <is>
          <t>4018000087</t>
        </is>
      </c>
      <c r="G314" t="inlineStr">
        <is>
          <t>RE</t>
        </is>
      </c>
      <c r="H314" s="12" t="n">
        <v>-25345.2</v>
      </c>
      <c r="I314" s="17" t="n">
        <v>46125</v>
      </c>
      <c r="J314" s="17" t="n">
        <v>46155</v>
      </c>
      <c r="K314" t="inlineStr">
        <is>
          <t>0174/26</t>
        </is>
      </c>
    </row>
    <row r="315">
      <c r="A315" t="inlineStr">
        <is>
          <t>IC4420</t>
        </is>
      </c>
      <c r="B315" t="inlineStr">
        <is>
          <t>NORDEX ENERGY SPAIN S A U</t>
        </is>
      </c>
      <c r="C315" t="n">
        <v>2122100000</v>
      </c>
      <c r="D315" t="inlineStr">
        <is>
          <t>Intercompany</t>
        </is>
      </c>
      <c r="E315" t="n">
        <v>5007374</v>
      </c>
      <c r="F315" t="inlineStr">
        <is>
          <t>4026002103</t>
        </is>
      </c>
      <c r="G315" t="inlineStr">
        <is>
          <t>RE</t>
        </is>
      </c>
      <c r="H315" s="12" t="n">
        <v>-11319.09</v>
      </c>
      <c r="I315" s="17" t="n">
        <v>46107</v>
      </c>
      <c r="J315" s="17" t="n">
        <v>46137</v>
      </c>
      <c r="K315" t="inlineStr">
        <is>
          <t>0179/26</t>
        </is>
      </c>
    </row>
    <row r="316">
      <c r="A316" t="inlineStr">
        <is>
          <t>IC4420</t>
        </is>
      </c>
      <c r="B316" t="inlineStr">
        <is>
          <t>NORDEX ENERGY SPAIN S A U</t>
        </is>
      </c>
      <c r="C316" t="n">
        <v>2122100000</v>
      </c>
      <c r="D316" t="inlineStr">
        <is>
          <t>Intercompany</t>
        </is>
      </c>
      <c r="E316" t="n">
        <v>5007377</v>
      </c>
      <c r="F316" t="inlineStr">
        <is>
          <t>4026001208</t>
        </is>
      </c>
      <c r="G316" t="inlineStr">
        <is>
          <t>RE</t>
        </is>
      </c>
      <c r="H316" s="12" t="n">
        <v>-125829.56</v>
      </c>
      <c r="I316" s="17" t="n">
        <v>46072</v>
      </c>
      <c r="J316" s="17" t="n">
        <v>46102</v>
      </c>
      <c r="K316" t="inlineStr">
        <is>
          <t>0152/26</t>
        </is>
      </c>
    </row>
    <row r="317">
      <c r="A317" t="inlineStr">
        <is>
          <t>IC4420</t>
        </is>
      </c>
      <c r="B317" t="inlineStr">
        <is>
          <t>NORDEX ENERGY SPAIN S A U</t>
        </is>
      </c>
      <c r="C317" t="n">
        <v>2122100000</v>
      </c>
      <c r="D317" t="inlineStr">
        <is>
          <t>Intercompany</t>
        </is>
      </c>
      <c r="E317" t="n">
        <v>5007520</v>
      </c>
      <c r="F317" t="inlineStr">
        <is>
          <t>1497-5</t>
        </is>
      </c>
      <c r="G317" t="inlineStr">
        <is>
          <t>RE</t>
        </is>
      </c>
      <c r="H317" s="12" t="n">
        <v>-103422.41</v>
      </c>
      <c r="I317" s="17" t="n">
        <v>45342</v>
      </c>
      <c r="J317" s="17" t="n">
        <v>45372</v>
      </c>
      <c r="K317" t="inlineStr">
        <is>
          <t>Fatura - bruto NORDEX ENERGY SPAIN S.A.U. 1497-5</t>
        </is>
      </c>
    </row>
    <row r="318">
      <c r="A318" t="inlineStr">
        <is>
          <t>IC4420</t>
        </is>
      </c>
      <c r="B318" t="inlineStr">
        <is>
          <t>NORDEX ENERGY SPAIN S A U</t>
        </is>
      </c>
      <c r="C318" t="n">
        <v>2122100000</v>
      </c>
      <c r="D318" t="inlineStr">
        <is>
          <t>Intercompany</t>
        </is>
      </c>
      <c r="E318" t="n">
        <v>5007625</v>
      </c>
      <c r="F318" t="inlineStr">
        <is>
          <t>4026001751</t>
        </is>
      </c>
      <c r="G318" t="inlineStr">
        <is>
          <t>RE</t>
        </is>
      </c>
      <c r="H318" s="12" t="n">
        <v>-1096192.16</v>
      </c>
      <c r="I318" s="17" t="n">
        <v>46092</v>
      </c>
      <c r="J318" s="17" t="n">
        <v>46122</v>
      </c>
      <c r="K318" t="inlineStr">
        <is>
          <t>0156/26</t>
        </is>
      </c>
    </row>
    <row r="319">
      <c r="A319" t="inlineStr">
        <is>
          <t>IC4420</t>
        </is>
      </c>
      <c r="B319" t="inlineStr">
        <is>
          <t>NORDEX ENERGY SPAIN S A U</t>
        </is>
      </c>
      <c r="C319" t="n">
        <v>2122100000</v>
      </c>
      <c r="D319" t="inlineStr">
        <is>
          <t>Intercompany</t>
        </is>
      </c>
      <c r="E319" t="n">
        <v>5007646</v>
      </c>
      <c r="F319" t="inlineStr">
        <is>
          <t>4026001998</t>
        </is>
      </c>
      <c r="G319" t="inlineStr">
        <is>
          <t>RE</t>
        </is>
      </c>
      <c r="H319" s="12" t="n">
        <v>-1406.49</v>
      </c>
      <c r="I319" s="17" t="n">
        <v>46105</v>
      </c>
      <c r="J319" s="17" t="n">
        <v>46135</v>
      </c>
      <c r="K319" t="inlineStr">
        <is>
          <t>0171/26</t>
        </is>
      </c>
    </row>
    <row r="320">
      <c r="A320" t="inlineStr">
        <is>
          <t>IC4420</t>
        </is>
      </c>
      <c r="B320" t="inlineStr">
        <is>
          <t>NORDEX ENERGY SPAIN S A U</t>
        </is>
      </c>
      <c r="C320" t="n">
        <v>2122100000</v>
      </c>
      <c r="D320" t="inlineStr">
        <is>
          <t>Intercompany</t>
        </is>
      </c>
      <c r="E320" t="n">
        <v>5007647</v>
      </c>
      <c r="F320" t="inlineStr">
        <is>
          <t>4026001999</t>
        </is>
      </c>
      <c r="G320" t="inlineStr">
        <is>
          <t>RE</t>
        </is>
      </c>
      <c r="H320" s="12" t="n">
        <v>-3306.86</v>
      </c>
      <c r="I320" s="17" t="n">
        <v>46105</v>
      </c>
      <c r="J320" s="17" t="n">
        <v>46135</v>
      </c>
      <c r="K320" t="inlineStr">
        <is>
          <t>0172/26</t>
        </is>
      </c>
    </row>
    <row r="321">
      <c r="A321" t="inlineStr">
        <is>
          <t>IC4420</t>
        </is>
      </c>
      <c r="B321" t="inlineStr">
        <is>
          <t>NORDEX ENERGY SPAIN S A U</t>
        </is>
      </c>
      <c r="C321" t="n">
        <v>2122100000</v>
      </c>
      <c r="D321" t="inlineStr">
        <is>
          <t>Intercompany</t>
        </is>
      </c>
      <c r="E321" t="n">
        <v>5007648</v>
      </c>
      <c r="F321" t="inlineStr">
        <is>
          <t>4026001997</t>
        </is>
      </c>
      <c r="G321" t="inlineStr">
        <is>
          <t>RE</t>
        </is>
      </c>
      <c r="H321" s="12" t="n">
        <v>-60.19</v>
      </c>
      <c r="I321" s="17" t="n">
        <v>46105</v>
      </c>
      <c r="J321" s="17" t="n">
        <v>46135</v>
      </c>
      <c r="K321" t="inlineStr">
        <is>
          <t>0171/26</t>
        </is>
      </c>
    </row>
    <row r="322">
      <c r="A322" t="inlineStr">
        <is>
          <t>IC5000</t>
        </is>
      </c>
      <c r="B322" t="inlineStr">
        <is>
          <t>NORDEX SE</t>
        </is>
      </c>
      <c r="C322" t="n">
        <v>2122100000</v>
      </c>
      <c r="D322" t="inlineStr">
        <is>
          <t>Intercompany</t>
        </is>
      </c>
      <c r="E322" t="n">
        <v>5007657</v>
      </c>
      <c r="F322" t="inlineStr">
        <is>
          <t>610623</t>
        </is>
      </c>
      <c r="G322" t="inlineStr">
        <is>
          <t>KR</t>
        </is>
      </c>
      <c r="H322" s="12" t="n">
        <v>-3202894.72</v>
      </c>
      <c r="I322" s="17" t="n">
        <v>46126</v>
      </c>
      <c r="J322" s="17" t="n">
        <v>46155</v>
      </c>
      <c r="K322" t="inlineStr">
        <is>
          <t>Fatura do fornecedor NORDEX SE 610623</t>
        </is>
      </c>
    </row>
    <row r="323">
      <c r="A323" t="inlineStr">
        <is>
          <t>IC4420</t>
        </is>
      </c>
      <c r="B323" t="inlineStr">
        <is>
          <t>NORDEX ENERGY SPAIN S A U</t>
        </is>
      </c>
      <c r="C323" t="n">
        <v>2122100000</v>
      </c>
      <c r="D323" t="inlineStr">
        <is>
          <t>Intercompany</t>
        </is>
      </c>
      <c r="E323" t="n">
        <v>5007747</v>
      </c>
      <c r="F323" t="inlineStr">
        <is>
          <t>4026000456</t>
        </is>
      </c>
      <c r="G323" t="inlineStr">
        <is>
          <t>RE</t>
        </is>
      </c>
      <c r="H323" s="12" t="n">
        <v>-14317.47</v>
      </c>
      <c r="I323" s="17" t="n">
        <v>46043</v>
      </c>
      <c r="J323" s="17" t="n">
        <v>46073</v>
      </c>
      <c r="K323" t="inlineStr">
        <is>
          <t>0034/26</t>
        </is>
      </c>
    </row>
    <row r="324">
      <c r="A324" t="inlineStr">
        <is>
          <t>IC1000</t>
        </is>
      </c>
      <c r="B324" t="inlineStr">
        <is>
          <t>NORDEX ENERGY SE &amp; CO KG</t>
        </is>
      </c>
      <c r="C324" t="n">
        <v>2122100000</v>
      </c>
      <c r="D324" t="inlineStr">
        <is>
          <t>Intercompany</t>
        </is>
      </c>
      <c r="E324" t="n">
        <v>5007755</v>
      </c>
      <c r="F324" t="inlineStr">
        <is>
          <t>391190</t>
        </is>
      </c>
      <c r="G324" t="inlineStr">
        <is>
          <t>RE</t>
        </is>
      </c>
      <c r="H324" s="12" t="n">
        <v>-15464.99</v>
      </c>
      <c r="I324" s="17" t="n">
        <v>46112</v>
      </c>
      <c r="J324" s="17" t="n">
        <v>46142</v>
      </c>
      <c r="K324" t="inlineStr">
        <is>
          <t>0194/26</t>
        </is>
      </c>
    </row>
    <row r="325">
      <c r="A325" t="inlineStr">
        <is>
          <t>IC4420</t>
        </is>
      </c>
      <c r="B325" t="inlineStr">
        <is>
          <t>NORDEX ENERGY SPAIN S A U</t>
        </is>
      </c>
      <c r="C325" t="n">
        <v>2122100000</v>
      </c>
      <c r="D325" t="inlineStr">
        <is>
          <t>Intercompany</t>
        </is>
      </c>
      <c r="E325" t="n">
        <v>5007787</v>
      </c>
      <c r="F325" t="inlineStr">
        <is>
          <t>4026000455</t>
        </is>
      </c>
      <c r="G325" t="inlineStr">
        <is>
          <t>RE</t>
        </is>
      </c>
      <c r="H325" s="12" t="n">
        <v>-108148.44</v>
      </c>
      <c r="I325" s="17" t="n">
        <v>46043</v>
      </c>
      <c r="J325" s="17" t="n">
        <v>46073</v>
      </c>
      <c r="K325" t="inlineStr">
        <is>
          <t>0034/26</t>
        </is>
      </c>
    </row>
    <row r="326">
      <c r="A326" t="inlineStr">
        <is>
          <t>IC4420</t>
        </is>
      </c>
      <c r="B326" t="inlineStr">
        <is>
          <t>NORDEX ENERGY SPAIN S A U</t>
        </is>
      </c>
      <c r="C326" t="n">
        <v>2122100000</v>
      </c>
      <c r="D326" t="inlineStr">
        <is>
          <t>Intercompany</t>
        </is>
      </c>
      <c r="E326" t="n">
        <v>5007947</v>
      </c>
      <c r="F326" t="inlineStr">
        <is>
          <t>4025009674</t>
        </is>
      </c>
      <c r="G326" t="inlineStr">
        <is>
          <t>RE</t>
        </is>
      </c>
      <c r="H326" s="12" t="n">
        <v>-67517.94</v>
      </c>
      <c r="I326" s="17" t="n">
        <v>46003</v>
      </c>
      <c r="J326" s="17" t="n">
        <v>46033</v>
      </c>
      <c r="K326" t="inlineStr">
        <is>
          <t>0948/25</t>
        </is>
      </c>
    </row>
    <row r="327">
      <c r="A327" t="inlineStr">
        <is>
          <t>IC4420</t>
        </is>
      </c>
      <c r="B327" t="inlineStr">
        <is>
          <t>NORDEX ENERGY SPAIN S A U</t>
        </is>
      </c>
      <c r="C327" t="n">
        <v>2122100000</v>
      </c>
      <c r="D327" t="inlineStr">
        <is>
          <t>Intercompany</t>
        </is>
      </c>
      <c r="E327" t="n">
        <v>5007948</v>
      </c>
      <c r="F327" t="inlineStr">
        <is>
          <t>4026001254</t>
        </is>
      </c>
      <c r="G327" t="inlineStr">
        <is>
          <t>RE</t>
        </is>
      </c>
      <c r="H327" s="12" t="n">
        <v>-24068.75</v>
      </c>
      <c r="I327" s="17" t="n">
        <v>46073</v>
      </c>
      <c r="J327" s="17" t="n">
        <v>46103</v>
      </c>
      <c r="K327" t="inlineStr">
        <is>
          <t>0101/26</t>
        </is>
      </c>
    </row>
    <row r="328">
      <c r="A328" t="inlineStr">
        <is>
          <t>IC4420</t>
        </is>
      </c>
      <c r="B328" t="inlineStr">
        <is>
          <t>NORDEX ENERGY SPAIN S A U</t>
        </is>
      </c>
      <c r="C328" t="n">
        <v>2122100000</v>
      </c>
      <c r="D328" t="inlineStr">
        <is>
          <t>Intercompany</t>
        </is>
      </c>
      <c r="E328" t="n">
        <v>5007949</v>
      </c>
      <c r="F328" t="inlineStr">
        <is>
          <t>4026001253</t>
        </is>
      </c>
      <c r="G328" t="inlineStr">
        <is>
          <t>RE</t>
        </is>
      </c>
      <c r="H328" s="12" t="n">
        <v>-60971.13</v>
      </c>
      <c r="I328" s="17" t="n">
        <v>46073</v>
      </c>
      <c r="J328" s="17" t="n">
        <v>46103</v>
      </c>
      <c r="K328" t="inlineStr">
        <is>
          <t>0101/26</t>
        </is>
      </c>
    </row>
    <row r="329">
      <c r="A329" t="inlineStr">
        <is>
          <t>IC4420</t>
        </is>
      </c>
      <c r="B329" t="inlineStr">
        <is>
          <t>NORDEX ENERGY SPAIN S A U</t>
        </is>
      </c>
      <c r="C329" t="n">
        <v>2122100000</v>
      </c>
      <c r="D329" t="inlineStr">
        <is>
          <t>Intercompany</t>
        </is>
      </c>
      <c r="E329" t="n">
        <v>5007958</v>
      </c>
      <c r="F329" t="inlineStr">
        <is>
          <t>4025009669</t>
        </is>
      </c>
      <c r="G329" t="inlineStr">
        <is>
          <t>RE</t>
        </is>
      </c>
      <c r="H329" s="12" t="n">
        <v>-45764.13</v>
      </c>
      <c r="I329" s="17" t="n">
        <v>46003</v>
      </c>
      <c r="J329" s="17" t="n">
        <v>46033</v>
      </c>
      <c r="K329" t="inlineStr">
        <is>
          <t>0942/25</t>
        </is>
      </c>
    </row>
    <row r="330">
      <c r="A330" t="inlineStr">
        <is>
          <t>IC4420</t>
        </is>
      </c>
      <c r="B330" t="inlineStr">
        <is>
          <t>NORDEX ENERGY SPAIN S A U</t>
        </is>
      </c>
      <c r="C330" t="n">
        <v>2122100000</v>
      </c>
      <c r="D330" t="inlineStr">
        <is>
          <t>Intercompany</t>
        </is>
      </c>
      <c r="E330" t="n">
        <v>5007966</v>
      </c>
      <c r="F330" t="inlineStr">
        <is>
          <t>4026002364</t>
        </is>
      </c>
      <c r="G330" t="inlineStr">
        <is>
          <t>RE</t>
        </is>
      </c>
      <c r="H330" s="12" t="n">
        <v>-14288.45</v>
      </c>
      <c r="I330" s="17" t="n">
        <v>46119</v>
      </c>
      <c r="J330" s="17" t="n">
        <v>46149</v>
      </c>
      <c r="K330" t="inlineStr">
        <is>
          <t>0188/26</t>
        </is>
      </c>
    </row>
    <row r="331">
      <c r="A331" t="inlineStr">
        <is>
          <t>IC4420</t>
        </is>
      </c>
      <c r="B331" t="inlineStr">
        <is>
          <t>NORDEX ENERGY SPAIN S A U</t>
        </is>
      </c>
      <c r="C331" t="n">
        <v>2122100000</v>
      </c>
      <c r="D331" t="inlineStr">
        <is>
          <t>Intercompany</t>
        </is>
      </c>
      <c r="E331" t="n">
        <v>5007967</v>
      </c>
      <c r="F331" t="inlineStr">
        <is>
          <t>4026002373</t>
        </is>
      </c>
      <c r="G331" t="inlineStr">
        <is>
          <t>RE</t>
        </is>
      </c>
      <c r="H331" s="12" t="n">
        <v>-298.22</v>
      </c>
      <c r="I331" s="17" t="n">
        <v>46119</v>
      </c>
      <c r="J331" s="17" t="n">
        <v>46149</v>
      </c>
      <c r="K331" t="inlineStr">
        <is>
          <t>0188/26</t>
        </is>
      </c>
    </row>
    <row r="332">
      <c r="A332" t="inlineStr">
        <is>
          <t>IC4420</t>
        </is>
      </c>
      <c r="B332" t="inlineStr">
        <is>
          <t>NORDEX ENERGY SPAIN S A U</t>
        </is>
      </c>
      <c r="C332" t="n">
        <v>2122100000</v>
      </c>
      <c r="D332" t="inlineStr">
        <is>
          <t>Intercompany</t>
        </is>
      </c>
      <c r="E332" t="n">
        <v>5007971</v>
      </c>
      <c r="F332" t="inlineStr">
        <is>
          <t>4026002491</t>
        </is>
      </c>
      <c r="G332" t="inlineStr">
        <is>
          <t>RE</t>
        </is>
      </c>
      <c r="H332" s="12" t="n">
        <v>-1997.55</v>
      </c>
      <c r="I332" s="17" t="n">
        <v>46125</v>
      </c>
      <c r="J332" s="17" t="n">
        <v>46155</v>
      </c>
      <c r="K332" t="inlineStr">
        <is>
          <t>0197/26</t>
        </is>
      </c>
    </row>
    <row r="333">
      <c r="A333" t="inlineStr">
        <is>
          <t>IC4420</t>
        </is>
      </c>
      <c r="B333" t="inlineStr">
        <is>
          <t>NORDEX ENERGY SPAIN S A U</t>
        </is>
      </c>
      <c r="C333" t="n">
        <v>2122100000</v>
      </c>
      <c r="D333" t="inlineStr">
        <is>
          <t>Intercompany</t>
        </is>
      </c>
      <c r="E333" t="n">
        <v>5007972</v>
      </c>
      <c r="F333" t="inlineStr">
        <is>
          <t>4026002052</t>
        </is>
      </c>
      <c r="G333" t="inlineStr">
        <is>
          <t>RE</t>
        </is>
      </c>
      <c r="H333" s="12" t="n">
        <v>-62727.48</v>
      </c>
      <c r="I333" s="17" t="n">
        <v>46106</v>
      </c>
      <c r="J333" s="17" t="n">
        <v>46136</v>
      </c>
      <c r="K333" t="inlineStr">
        <is>
          <t>0181/26</t>
        </is>
      </c>
    </row>
    <row r="334">
      <c r="A334" t="inlineStr">
        <is>
          <t>IC4420</t>
        </is>
      </c>
      <c r="B334" t="inlineStr">
        <is>
          <t>NORDEX ENERGY SPAIN S A U</t>
        </is>
      </c>
      <c r="C334" t="n">
        <v>2122100000</v>
      </c>
      <c r="D334" t="inlineStr">
        <is>
          <t>Intercompany</t>
        </is>
      </c>
      <c r="E334" t="n">
        <v>5007973</v>
      </c>
      <c r="F334" t="inlineStr">
        <is>
          <t>4026002363</t>
        </is>
      </c>
      <c r="G334" t="inlineStr">
        <is>
          <t>RE</t>
        </is>
      </c>
      <c r="H334" s="12" t="n">
        <v>-59424.27</v>
      </c>
      <c r="I334" s="17" t="n">
        <v>46119</v>
      </c>
      <c r="J334" s="17" t="n">
        <v>46149</v>
      </c>
      <c r="K334" t="inlineStr">
        <is>
          <t>0189/26</t>
        </is>
      </c>
    </row>
    <row r="335">
      <c r="A335" t="inlineStr">
        <is>
          <t>IC4420</t>
        </is>
      </c>
      <c r="B335" t="inlineStr">
        <is>
          <t>NORDEX ENERGY SPAIN S A U</t>
        </is>
      </c>
      <c r="C335" t="n">
        <v>2122100000</v>
      </c>
      <c r="D335" t="inlineStr">
        <is>
          <t>Intercompany</t>
        </is>
      </c>
      <c r="E335" t="n">
        <v>5007974</v>
      </c>
      <c r="F335" t="inlineStr">
        <is>
          <t>4025009668</t>
        </is>
      </c>
      <c r="G335" t="inlineStr">
        <is>
          <t>RE</t>
        </is>
      </c>
      <c r="H335" s="12" t="n">
        <v>-5053.91</v>
      </c>
      <c r="I335" s="17" t="n">
        <v>46003</v>
      </c>
      <c r="J335" s="17" t="n">
        <v>46033</v>
      </c>
      <c r="K335" t="inlineStr">
        <is>
          <t>0941/25</t>
        </is>
      </c>
    </row>
    <row r="336">
      <c r="A336" t="inlineStr">
        <is>
          <t>IC4420</t>
        </is>
      </c>
      <c r="B336" t="inlineStr">
        <is>
          <t>NORDEX ENERGY SPAIN S A U</t>
        </is>
      </c>
      <c r="C336" t="n">
        <v>2122100000</v>
      </c>
      <c r="D336" t="inlineStr">
        <is>
          <t>Intercompany</t>
        </is>
      </c>
      <c r="E336" t="n">
        <v>5007975</v>
      </c>
      <c r="F336" t="inlineStr">
        <is>
          <t>4026002494</t>
        </is>
      </c>
      <c r="G336" t="inlineStr">
        <is>
          <t>RE</t>
        </is>
      </c>
      <c r="H336" s="12" t="n">
        <v>-17738.61</v>
      </c>
      <c r="I336" s="17" t="n">
        <v>46125</v>
      </c>
      <c r="J336" s="17" t="n">
        <v>46155</v>
      </c>
      <c r="K336" t="inlineStr">
        <is>
          <t>0197/26</t>
        </is>
      </c>
    </row>
    <row r="337">
      <c r="A337" t="inlineStr">
        <is>
          <t>IC4420</t>
        </is>
      </c>
      <c r="B337" t="inlineStr">
        <is>
          <t>NORDEX ENERGY SPAIN S A U</t>
        </is>
      </c>
      <c r="C337" t="n">
        <v>2122100000</v>
      </c>
      <c r="D337" t="inlineStr">
        <is>
          <t>Intercompany</t>
        </is>
      </c>
      <c r="E337" t="n">
        <v>5008012</v>
      </c>
      <c r="F337" t="inlineStr">
        <is>
          <t>4026001270</t>
        </is>
      </c>
      <c r="G337" t="inlineStr">
        <is>
          <t>RE</t>
        </is>
      </c>
      <c r="H337" s="12" t="n">
        <v>-31794.67</v>
      </c>
      <c r="I337" s="17" t="n">
        <v>46073</v>
      </c>
      <c r="J337" s="17" t="n">
        <v>46103</v>
      </c>
      <c r="K337" t="inlineStr">
        <is>
          <t>0100/26</t>
        </is>
      </c>
    </row>
    <row r="338">
      <c r="A338" t="inlineStr">
        <is>
          <t>IC4420</t>
        </is>
      </c>
      <c r="B338" t="inlineStr">
        <is>
          <t>NORDEX ENERGY SPAIN S A U</t>
        </is>
      </c>
      <c r="C338" t="n">
        <v>2122100000</v>
      </c>
      <c r="D338" t="inlineStr">
        <is>
          <t>Intercompany</t>
        </is>
      </c>
      <c r="E338" t="n">
        <v>5008021</v>
      </c>
      <c r="F338" t="inlineStr">
        <is>
          <t>4026001269</t>
        </is>
      </c>
      <c r="G338" t="inlineStr">
        <is>
          <t>RE</t>
        </is>
      </c>
      <c r="H338" s="12" t="n">
        <v>-50916.86</v>
      </c>
      <c r="I338" s="17" t="n">
        <v>46073</v>
      </c>
      <c r="J338" s="17" t="n">
        <v>46103</v>
      </c>
      <c r="K338" t="inlineStr">
        <is>
          <t>0100/26</t>
        </is>
      </c>
    </row>
    <row r="339">
      <c r="A339" t="inlineStr">
        <is>
          <t>IC4420</t>
        </is>
      </c>
      <c r="B339" t="inlineStr">
        <is>
          <t>NORDEX ENERGY SPAIN S A U</t>
        </is>
      </c>
      <c r="C339" t="n">
        <v>2122100000</v>
      </c>
      <c r="D339" t="inlineStr">
        <is>
          <t>Intercompany</t>
        </is>
      </c>
      <c r="E339" t="n">
        <v>5008107</v>
      </c>
      <c r="F339" t="inlineStr">
        <is>
          <t>4026001266</t>
        </is>
      </c>
      <c r="G339" t="inlineStr">
        <is>
          <t>RE</t>
        </is>
      </c>
      <c r="H339" s="12" t="n">
        <v>-24956.63</v>
      </c>
      <c r="I339" s="17" t="n">
        <v>46073</v>
      </c>
      <c r="J339" s="17" t="n">
        <v>46103</v>
      </c>
      <c r="K339" t="inlineStr">
        <is>
          <t>0097/26</t>
        </is>
      </c>
    </row>
    <row r="340">
      <c r="A340" t="inlineStr">
        <is>
          <t>IC1000</t>
        </is>
      </c>
      <c r="B340" t="inlineStr">
        <is>
          <t>NORDEX ENERGY SE &amp; CO KG</t>
        </is>
      </c>
      <c r="C340" t="n">
        <v>2122100000</v>
      </c>
      <c r="D340" t="inlineStr">
        <is>
          <t>Intercompany</t>
        </is>
      </c>
      <c r="E340" t="n">
        <v>5008182</v>
      </c>
      <c r="F340" t="inlineStr">
        <is>
          <t>392339</t>
        </is>
      </c>
      <c r="G340" t="inlineStr">
        <is>
          <t>RE</t>
        </is>
      </c>
      <c r="H340" s="12" t="n">
        <v>-2133.13</v>
      </c>
      <c r="I340" s="17" t="n">
        <v>46120</v>
      </c>
      <c r="J340" s="17" t="n">
        <v>46150</v>
      </c>
      <c r="K340" t="inlineStr">
        <is>
          <t>0196/26</t>
        </is>
      </c>
    </row>
    <row r="341">
      <c r="A341" t="inlineStr">
        <is>
          <t>IC1000</t>
        </is>
      </c>
      <c r="B341" t="inlineStr">
        <is>
          <t>NORDEX ENERGY SE &amp; CO KG</t>
        </is>
      </c>
      <c r="C341" t="n">
        <v>2122100000</v>
      </c>
      <c r="D341" t="inlineStr">
        <is>
          <t>Intercompany</t>
        </is>
      </c>
      <c r="E341" t="n">
        <v>5008183</v>
      </c>
      <c r="F341" t="inlineStr">
        <is>
          <t>RITM0625779</t>
        </is>
      </c>
      <c r="G341" t="inlineStr">
        <is>
          <t>RE</t>
        </is>
      </c>
      <c r="H341" s="12" t="n">
        <v>-522272.14</v>
      </c>
      <c r="I341" s="17" t="n">
        <v>46083</v>
      </c>
      <c r="J341" s="17" t="n">
        <v>46113</v>
      </c>
      <c r="K341" t="inlineStr">
        <is>
          <t>0165/26</t>
        </is>
      </c>
    </row>
    <row r="342">
      <c r="A342" t="inlineStr">
        <is>
          <t>IC4420</t>
        </is>
      </c>
      <c r="B342" t="inlineStr">
        <is>
          <t>NORDEX ENERGY SPAIN S A U</t>
        </is>
      </c>
      <c r="C342" t="n">
        <v>2122100000</v>
      </c>
      <c r="D342" t="inlineStr">
        <is>
          <t>Intercompany</t>
        </is>
      </c>
      <c r="E342" t="n">
        <v>5008223</v>
      </c>
      <c r="F342" t="inlineStr">
        <is>
          <t>4025009675</t>
        </is>
      </c>
      <c r="G342" t="inlineStr">
        <is>
          <t>RE</t>
        </is>
      </c>
      <c r="H342" s="12" t="n">
        <v>-266002.4</v>
      </c>
      <c r="I342" s="17" t="n">
        <v>46003</v>
      </c>
      <c r="J342" s="17" t="n">
        <v>46033</v>
      </c>
      <c r="K342" t="inlineStr">
        <is>
          <t>0949/25</t>
        </is>
      </c>
    </row>
    <row r="343">
      <c r="A343" t="inlineStr">
        <is>
          <t>IC1000</t>
        </is>
      </c>
      <c r="B343" t="inlineStr">
        <is>
          <t>NORDEX ENERGY SE &amp; CO KG</t>
        </is>
      </c>
      <c r="C343" t="n">
        <v>2122100000</v>
      </c>
      <c r="D343" t="inlineStr">
        <is>
          <t>Intercompany</t>
        </is>
      </c>
      <c r="E343" t="n">
        <v>5008248</v>
      </c>
      <c r="F343" t="inlineStr">
        <is>
          <t>4012510888</t>
        </is>
      </c>
      <c r="G343" t="inlineStr">
        <is>
          <t>RE</t>
        </is>
      </c>
      <c r="H343" s="12" t="n">
        <v>-125968.89</v>
      </c>
      <c r="I343" s="17" t="n">
        <v>46129</v>
      </c>
      <c r="J343" s="17" t="n">
        <v>46159</v>
      </c>
      <c r="K343" t="inlineStr">
        <is>
          <t>0239/26</t>
        </is>
      </c>
    </row>
    <row r="344">
      <c r="A344" t="inlineStr">
        <is>
          <t>IC4420</t>
        </is>
      </c>
      <c r="B344" t="inlineStr">
        <is>
          <t>NORDEX ENERGY SPAIN S A U</t>
        </is>
      </c>
      <c r="C344" t="n">
        <v>2122100000</v>
      </c>
      <c r="D344" t="inlineStr">
        <is>
          <t>Intercompany</t>
        </is>
      </c>
      <c r="E344" t="n">
        <v>5008249</v>
      </c>
      <c r="F344" t="inlineStr">
        <is>
          <t>4026001267</t>
        </is>
      </c>
      <c r="G344" t="inlineStr">
        <is>
          <t>RE</t>
        </is>
      </c>
      <c r="H344" s="12" t="n">
        <v>-40235.91</v>
      </c>
      <c r="I344" s="17" t="n">
        <v>46073</v>
      </c>
      <c r="J344" s="17" t="n">
        <v>46103</v>
      </c>
      <c r="K344" t="inlineStr">
        <is>
          <t>0098/26</t>
        </is>
      </c>
    </row>
    <row r="345">
      <c r="A345" t="inlineStr">
        <is>
          <t>IC4420</t>
        </is>
      </c>
      <c r="B345" t="inlineStr">
        <is>
          <t>NORDEX ENERGY SPAIN S A U</t>
        </is>
      </c>
      <c r="C345" t="n">
        <v>2122100000</v>
      </c>
      <c r="D345" t="inlineStr">
        <is>
          <t>Intercompany</t>
        </is>
      </c>
      <c r="E345" t="n">
        <v>5008336</v>
      </c>
      <c r="F345" t="inlineStr">
        <is>
          <t>4026002091</t>
        </is>
      </c>
      <c r="G345" t="inlineStr">
        <is>
          <t>RE</t>
        </is>
      </c>
      <c r="H345" s="12" t="n">
        <v>-26357.75</v>
      </c>
      <c r="I345" s="17" t="n">
        <v>46107</v>
      </c>
      <c r="J345" s="17" t="n">
        <v>46137</v>
      </c>
      <c r="K345" t="inlineStr">
        <is>
          <t>0173/26</t>
        </is>
      </c>
    </row>
    <row r="346">
      <c r="A346" t="inlineStr">
        <is>
          <t>IC4420</t>
        </is>
      </c>
      <c r="B346" t="inlineStr">
        <is>
          <t>NORDEX ENERGY SPAIN S A U</t>
        </is>
      </c>
      <c r="C346" t="n">
        <v>2122100000</v>
      </c>
      <c r="D346" t="inlineStr">
        <is>
          <t>Intercompany</t>
        </is>
      </c>
      <c r="E346" t="n">
        <v>5008337</v>
      </c>
      <c r="F346" t="inlineStr">
        <is>
          <t>4026001210</t>
        </is>
      </c>
      <c r="G346" t="inlineStr">
        <is>
          <t>RE</t>
        </is>
      </c>
      <c r="H346" s="12" t="n">
        <v>-1919.85</v>
      </c>
      <c r="I346" s="17" t="n">
        <v>46072</v>
      </c>
      <c r="J346" s="17" t="n">
        <v>46102</v>
      </c>
      <c r="K346" t="inlineStr">
        <is>
          <t>0154/26</t>
        </is>
      </c>
    </row>
    <row r="347">
      <c r="A347" t="inlineStr">
        <is>
          <t>IC1000</t>
        </is>
      </c>
      <c r="B347" t="inlineStr">
        <is>
          <t>NORDEX ENERGY SE &amp; CO KG</t>
        </is>
      </c>
      <c r="C347" t="n">
        <v>2122100000</v>
      </c>
      <c r="D347" t="inlineStr">
        <is>
          <t>Intercompany</t>
        </is>
      </c>
      <c r="E347" t="n">
        <v>5008338</v>
      </c>
      <c r="F347" t="inlineStr">
        <is>
          <t>391387</t>
        </is>
      </c>
      <c r="G347" t="inlineStr">
        <is>
          <t>RE</t>
        </is>
      </c>
      <c r="H347" s="12" t="n">
        <v>-12375.55</v>
      </c>
      <c r="I347" s="17" t="n">
        <v>46112</v>
      </c>
      <c r="J347" s="17" t="n">
        <v>46142</v>
      </c>
      <c r="K347" t="inlineStr">
        <is>
          <t>0221/26</t>
        </is>
      </c>
    </row>
    <row r="348">
      <c r="A348" t="inlineStr">
        <is>
          <t>IC1000</t>
        </is>
      </c>
      <c r="B348" t="inlineStr">
        <is>
          <t>NORDEX ENERGY SE &amp; CO KG</t>
        </is>
      </c>
      <c r="C348" t="n">
        <v>2122100000</v>
      </c>
      <c r="D348" t="inlineStr">
        <is>
          <t>Intercompany</t>
        </is>
      </c>
      <c r="E348" t="n">
        <v>5008339</v>
      </c>
      <c r="F348" t="inlineStr">
        <is>
          <t>391195</t>
        </is>
      </c>
      <c r="G348" t="inlineStr">
        <is>
          <t>RE</t>
        </is>
      </c>
      <c r="H348" s="12" t="n">
        <v>-51995.42</v>
      </c>
      <c r="I348" s="17" t="n">
        <v>46107</v>
      </c>
      <c r="J348" s="17" t="n">
        <v>46137</v>
      </c>
      <c r="K348" t="inlineStr">
        <is>
          <t>0241/26</t>
        </is>
      </c>
    </row>
    <row r="349">
      <c r="A349" t="inlineStr">
        <is>
          <t>IC4420</t>
        </is>
      </c>
      <c r="B349" t="inlineStr">
        <is>
          <t>NORDEX ENERGY SPAIN S A U</t>
        </is>
      </c>
      <c r="C349" t="n">
        <v>2122100000</v>
      </c>
      <c r="D349" t="inlineStr">
        <is>
          <t>Intercompany</t>
        </is>
      </c>
      <c r="E349" t="n">
        <v>5008340</v>
      </c>
      <c r="F349" t="inlineStr">
        <is>
          <t>4026001268</t>
        </is>
      </c>
      <c r="G349" t="inlineStr">
        <is>
          <t>RE</t>
        </is>
      </c>
      <c r="H349" s="12" t="n">
        <v>-249153.13</v>
      </c>
      <c r="I349" s="17" t="n">
        <v>46073</v>
      </c>
      <c r="J349" s="17" t="n">
        <v>46103</v>
      </c>
      <c r="K349" t="inlineStr">
        <is>
          <t>0099/26</t>
        </is>
      </c>
    </row>
    <row r="350">
      <c r="A350" t="inlineStr">
        <is>
          <t>IC4420</t>
        </is>
      </c>
      <c r="B350" t="inlineStr">
        <is>
          <t>NORDEX ENERGY SPAIN S A U</t>
        </is>
      </c>
      <c r="C350" t="n">
        <v>2122100000</v>
      </c>
      <c r="D350" t="inlineStr">
        <is>
          <t>Intercompany</t>
        </is>
      </c>
      <c r="E350" t="n">
        <v>5008368</v>
      </c>
      <c r="F350" t="inlineStr">
        <is>
          <t>4026002370</t>
        </is>
      </c>
      <c r="G350" t="inlineStr">
        <is>
          <t>RE</t>
        </is>
      </c>
      <c r="H350" s="12" t="n">
        <v>-262.62</v>
      </c>
      <c r="I350" s="17" t="n">
        <v>46119</v>
      </c>
      <c r="J350" s="17" t="n">
        <v>46149</v>
      </c>
      <c r="K350" t="inlineStr">
        <is>
          <t>0184/26</t>
        </is>
      </c>
    </row>
    <row r="351">
      <c r="A351" t="inlineStr">
        <is>
          <t>IC1000</t>
        </is>
      </c>
      <c r="B351" t="inlineStr">
        <is>
          <t>NORDEX ENERGY SE &amp; CO KG</t>
        </is>
      </c>
      <c r="C351" t="n">
        <v>2122100000</v>
      </c>
      <c r="D351" t="inlineStr">
        <is>
          <t>Intercompany</t>
        </is>
      </c>
      <c r="E351" t="n">
        <v>5008390</v>
      </c>
      <c r="F351" t="inlineStr">
        <is>
          <t>389837</t>
        </is>
      </c>
      <c r="G351" t="inlineStr">
        <is>
          <t>RE</t>
        </is>
      </c>
      <c r="H351" s="12" t="n">
        <v>-101595.13</v>
      </c>
      <c r="I351" s="17" t="n">
        <v>46099</v>
      </c>
      <c r="J351" s="17" t="n">
        <v>46129</v>
      </c>
      <c r="K351" t="inlineStr">
        <is>
          <t>0240/26</t>
        </is>
      </c>
    </row>
    <row r="352">
      <c r="A352" t="inlineStr">
        <is>
          <t>IC4420</t>
        </is>
      </c>
      <c r="B352" t="inlineStr">
        <is>
          <t>NORDEX ENERGY SPAIN S A U</t>
        </is>
      </c>
      <c r="C352" t="n">
        <v>2122100000</v>
      </c>
      <c r="D352" t="inlineStr">
        <is>
          <t>Intercompany</t>
        </is>
      </c>
      <c r="E352" t="n">
        <v>5008426</v>
      </c>
      <c r="F352" t="inlineStr">
        <is>
          <t>4025009666</t>
        </is>
      </c>
      <c r="G352" t="inlineStr">
        <is>
          <t>RE</t>
        </is>
      </c>
      <c r="H352" s="12" t="n">
        <v>-11363.08</v>
      </c>
      <c r="I352" s="17" t="n">
        <v>46003</v>
      </c>
      <c r="J352" s="17" t="n">
        <v>46033</v>
      </c>
      <c r="K352" t="inlineStr">
        <is>
          <t>0940/25</t>
        </is>
      </c>
    </row>
    <row r="353">
      <c r="A353" t="inlineStr">
        <is>
          <t>IC4420</t>
        </is>
      </c>
      <c r="B353" t="inlineStr">
        <is>
          <t>NORDEX ENERGY SPAIN S A U</t>
        </is>
      </c>
      <c r="C353" t="n">
        <v>2122100000</v>
      </c>
      <c r="D353" t="inlineStr">
        <is>
          <t>Intercompany</t>
        </is>
      </c>
      <c r="E353" t="n">
        <v>5008427</v>
      </c>
      <c r="F353" t="inlineStr">
        <is>
          <t>4026002179</t>
        </is>
      </c>
      <c r="G353" t="inlineStr">
        <is>
          <t>RE</t>
        </is>
      </c>
      <c r="H353" s="12" t="n">
        <v>-8.039999999999999</v>
      </c>
      <c r="I353" s="17" t="n">
        <v>46111</v>
      </c>
      <c r="J353" s="17" t="n">
        <v>46141</v>
      </c>
      <c r="K353" t="inlineStr">
        <is>
          <t>0202/26</t>
        </is>
      </c>
    </row>
    <row r="354">
      <c r="A354" t="inlineStr">
        <is>
          <t>IC4420</t>
        </is>
      </c>
      <c r="B354" t="inlineStr">
        <is>
          <t>NORDEX ENERGY SPAIN S A U</t>
        </is>
      </c>
      <c r="C354" t="n">
        <v>2122100000</v>
      </c>
      <c r="D354" t="inlineStr">
        <is>
          <t>Intercompany</t>
        </is>
      </c>
      <c r="E354" t="n">
        <v>5008428</v>
      </c>
      <c r="F354" t="inlineStr">
        <is>
          <t>4026001642</t>
        </is>
      </c>
      <c r="G354" t="inlineStr">
        <is>
          <t>RE</t>
        </is>
      </c>
      <c r="H354" s="12" t="n">
        <v>-1933.97</v>
      </c>
      <c r="I354" s="17" t="n">
        <v>46087</v>
      </c>
      <c r="J354" s="17" t="n">
        <v>46117</v>
      </c>
      <c r="K354" t="inlineStr">
        <is>
          <t>0128/26</t>
        </is>
      </c>
    </row>
    <row r="355">
      <c r="A355" t="inlineStr">
        <is>
          <t>IC4420</t>
        </is>
      </c>
      <c r="B355" t="inlineStr">
        <is>
          <t>NORDEX ENERGY SPAIN S A U</t>
        </is>
      </c>
      <c r="C355" t="n">
        <v>2122100000</v>
      </c>
      <c r="D355" t="inlineStr">
        <is>
          <t>Intercompany</t>
        </is>
      </c>
      <c r="E355" t="n">
        <v>5008429</v>
      </c>
      <c r="F355" t="inlineStr">
        <is>
          <t>4026002178</t>
        </is>
      </c>
      <c r="G355" t="inlineStr">
        <is>
          <t>RE</t>
        </is>
      </c>
      <c r="H355" s="12" t="n">
        <v>-19.78</v>
      </c>
      <c r="I355" s="17" t="n">
        <v>46111</v>
      </c>
      <c r="J355" s="17" t="n">
        <v>46141</v>
      </c>
      <c r="K355" t="inlineStr">
        <is>
          <t>0202/26</t>
        </is>
      </c>
    </row>
    <row r="356">
      <c r="A356" t="inlineStr">
        <is>
          <t>IC4420</t>
        </is>
      </c>
      <c r="B356" t="inlineStr">
        <is>
          <t>NORDEX ENERGY SPAIN S A U</t>
        </is>
      </c>
      <c r="C356" t="n">
        <v>2122100000</v>
      </c>
      <c r="D356" t="inlineStr">
        <is>
          <t>Intercompany</t>
        </is>
      </c>
      <c r="E356" t="n">
        <v>5008430</v>
      </c>
      <c r="F356" t="inlineStr">
        <is>
          <t>4026002530</t>
        </is>
      </c>
      <c r="G356" t="inlineStr">
        <is>
          <t>RE</t>
        </is>
      </c>
      <c r="H356" s="12" t="n">
        <v>-1533.98</v>
      </c>
      <c r="I356" s="17" t="n">
        <v>46126</v>
      </c>
      <c r="J356" s="17" t="n">
        <v>46156</v>
      </c>
      <c r="K356" t="inlineStr">
        <is>
          <t>0211/26</t>
        </is>
      </c>
    </row>
    <row r="357">
      <c r="A357" t="inlineStr">
        <is>
          <t>IC4420</t>
        </is>
      </c>
      <c r="B357" t="inlineStr">
        <is>
          <t>NORDEX ENERGY SPAIN S A U</t>
        </is>
      </c>
      <c r="C357" t="n">
        <v>2122100000</v>
      </c>
      <c r="D357" t="inlineStr">
        <is>
          <t>Intercompany</t>
        </is>
      </c>
      <c r="E357" t="n">
        <v>5008431</v>
      </c>
      <c r="F357" t="inlineStr">
        <is>
          <t>4026002097</t>
        </is>
      </c>
      <c r="G357" t="inlineStr">
        <is>
          <t>RE</t>
        </is>
      </c>
      <c r="H357" s="12" t="n">
        <v>-7051.59</v>
      </c>
      <c r="I357" s="17" t="n">
        <v>46107</v>
      </c>
      <c r="J357" s="17" t="n">
        <v>46137</v>
      </c>
      <c r="K357" t="inlineStr">
        <is>
          <t>0178/26</t>
        </is>
      </c>
    </row>
    <row r="358">
      <c r="A358" t="inlineStr">
        <is>
          <t>IC4420</t>
        </is>
      </c>
      <c r="B358" t="inlineStr">
        <is>
          <t>NORDEX ENERGY SPAIN S A U</t>
        </is>
      </c>
      <c r="C358" t="n">
        <v>2122100000</v>
      </c>
      <c r="D358" t="inlineStr">
        <is>
          <t>Intercompany</t>
        </is>
      </c>
      <c r="E358" t="n">
        <v>5008432</v>
      </c>
      <c r="F358" t="inlineStr">
        <is>
          <t>4026002527</t>
        </is>
      </c>
      <c r="G358" t="inlineStr">
        <is>
          <t>RE</t>
        </is>
      </c>
      <c r="H358" s="12" t="n">
        <v>-1329.43</v>
      </c>
      <c r="I358" s="17" t="n">
        <v>46126</v>
      </c>
      <c r="J358" s="17" t="n">
        <v>46156</v>
      </c>
      <c r="K358" t="inlineStr">
        <is>
          <t>0209/26</t>
        </is>
      </c>
    </row>
    <row r="359">
      <c r="A359" t="inlineStr">
        <is>
          <t>IC4420</t>
        </is>
      </c>
      <c r="B359" t="inlineStr">
        <is>
          <t>NORDEX ENERGY SPAIN S A U</t>
        </is>
      </c>
      <c r="C359" t="n">
        <v>2122100000</v>
      </c>
      <c r="D359" t="inlineStr">
        <is>
          <t>Intercompany</t>
        </is>
      </c>
      <c r="E359" t="n">
        <v>5008433</v>
      </c>
      <c r="F359" t="inlineStr">
        <is>
          <t>4026002180</t>
        </is>
      </c>
      <c r="G359" t="inlineStr">
        <is>
          <t>RE</t>
        </is>
      </c>
      <c r="H359" s="12" t="n">
        <v>-74261.8</v>
      </c>
      <c r="I359" s="17" t="n">
        <v>46111</v>
      </c>
      <c r="J359" s="17" t="n">
        <v>46141</v>
      </c>
      <c r="K359" t="inlineStr">
        <is>
          <t>0203/26</t>
        </is>
      </c>
    </row>
    <row r="360">
      <c r="A360" t="inlineStr">
        <is>
          <t>IC4420</t>
        </is>
      </c>
      <c r="B360" t="inlineStr">
        <is>
          <t>NORDEX ENERGY SPAIN S A U</t>
        </is>
      </c>
      <c r="C360" t="n">
        <v>2122100000</v>
      </c>
      <c r="D360" t="inlineStr">
        <is>
          <t>Intercompany</t>
        </is>
      </c>
      <c r="E360" t="n">
        <v>5008434</v>
      </c>
      <c r="F360" t="inlineStr">
        <is>
          <t>4026002492</t>
        </is>
      </c>
      <c r="G360" t="inlineStr">
        <is>
          <t>RE</t>
        </is>
      </c>
      <c r="H360" s="12" t="n">
        <v>-8462.120000000001</v>
      </c>
      <c r="I360" s="17" t="n">
        <v>46125</v>
      </c>
      <c r="J360" s="17" t="n">
        <v>46155</v>
      </c>
      <c r="K360" t="inlineStr">
        <is>
          <t>0205/26</t>
        </is>
      </c>
    </row>
    <row r="361">
      <c r="A361" t="inlineStr">
        <is>
          <t>IC4420</t>
        </is>
      </c>
      <c r="B361" t="inlineStr">
        <is>
          <t>NORDEX ENERGY SPAIN S A U</t>
        </is>
      </c>
      <c r="C361" t="n">
        <v>2122100000</v>
      </c>
      <c r="D361" t="inlineStr">
        <is>
          <t>Intercompany</t>
        </is>
      </c>
      <c r="E361" t="n">
        <v>5008435</v>
      </c>
      <c r="F361" t="inlineStr">
        <is>
          <t>4026002525</t>
        </is>
      </c>
      <c r="G361" t="inlineStr">
        <is>
          <t>RE</t>
        </is>
      </c>
      <c r="H361" s="12" t="n">
        <v>-21236.06</v>
      </c>
      <c r="I361" s="17" t="n">
        <v>46126</v>
      </c>
      <c r="J361" s="17" t="n">
        <v>46156</v>
      </c>
      <c r="K361" t="inlineStr">
        <is>
          <t>0209/26</t>
        </is>
      </c>
    </row>
    <row r="362">
      <c r="A362" t="inlineStr">
        <is>
          <t>IC1000</t>
        </is>
      </c>
      <c r="B362" t="inlineStr">
        <is>
          <t>NORDEX ENERGY SE &amp; CO KG</t>
        </is>
      </c>
      <c r="C362" t="n">
        <v>2122100000</v>
      </c>
      <c r="D362" t="inlineStr">
        <is>
          <t>Intercompany</t>
        </is>
      </c>
      <c r="E362" t="n">
        <v>5008522</v>
      </c>
      <c r="F362" t="inlineStr">
        <is>
          <t>392758</t>
        </is>
      </c>
      <c r="G362" t="inlineStr">
        <is>
          <t>RE</t>
        </is>
      </c>
      <c r="H362" s="12" t="n">
        <v>-2362.27</v>
      </c>
      <c r="I362" s="17" t="n">
        <v>46126</v>
      </c>
      <c r="J362" s="17" t="n">
        <v>46156</v>
      </c>
      <c r="K362" t="inlineStr">
        <is>
          <t>0218/26</t>
        </is>
      </c>
    </row>
    <row r="363">
      <c r="A363" t="inlineStr">
        <is>
          <t>IC4420</t>
        </is>
      </c>
      <c r="B363" t="inlineStr">
        <is>
          <t>NORDEX ENERGY SPAIN S A U</t>
        </is>
      </c>
      <c r="C363" t="n">
        <v>2122100000</v>
      </c>
      <c r="D363" t="inlineStr">
        <is>
          <t>Intercompany</t>
        </is>
      </c>
      <c r="E363" t="n">
        <v>5008523</v>
      </c>
      <c r="F363" t="inlineStr">
        <is>
          <t>4026001655</t>
        </is>
      </c>
      <c r="G363" t="inlineStr">
        <is>
          <t>RE</t>
        </is>
      </c>
      <c r="H363" s="12" t="n">
        <v>-63070.21</v>
      </c>
      <c r="I363" s="17" t="n">
        <v>46087</v>
      </c>
      <c r="J363" s="17" t="n">
        <v>46117</v>
      </c>
      <c r="K363" t="inlineStr">
        <is>
          <t>0125/26</t>
        </is>
      </c>
    </row>
    <row r="364">
      <c r="A364" t="inlineStr">
        <is>
          <t>IC4420</t>
        </is>
      </c>
      <c r="B364" t="inlineStr">
        <is>
          <t>NORDEX ENERGY SPAIN S A U</t>
        </is>
      </c>
      <c r="C364" t="n">
        <v>2122100000</v>
      </c>
      <c r="D364" t="inlineStr">
        <is>
          <t>Intercompany</t>
        </is>
      </c>
      <c r="E364" t="n">
        <v>5008524</v>
      </c>
      <c r="F364" t="inlineStr">
        <is>
          <t>4026002986</t>
        </is>
      </c>
      <c r="G364" t="inlineStr">
        <is>
          <t>RE</t>
        </is>
      </c>
      <c r="H364" s="12" t="n">
        <v>-1935.99</v>
      </c>
      <c r="I364" s="17" t="n">
        <v>46142</v>
      </c>
      <c r="J364" s="17" t="n">
        <v>46172</v>
      </c>
      <c r="K364" t="inlineStr">
        <is>
          <t>0265/26</t>
        </is>
      </c>
    </row>
    <row r="365">
      <c r="A365" t="inlineStr">
        <is>
          <t>IC4420</t>
        </is>
      </c>
      <c r="B365" t="inlineStr">
        <is>
          <t>NORDEX ENERGY SPAIN S A U</t>
        </is>
      </c>
      <c r="C365" t="n">
        <v>2122100000</v>
      </c>
      <c r="D365" t="inlineStr">
        <is>
          <t>Intercompany</t>
        </is>
      </c>
      <c r="E365" t="n">
        <v>5008525</v>
      </c>
      <c r="F365" t="inlineStr">
        <is>
          <t>4026002053</t>
        </is>
      </c>
      <c r="G365" t="inlineStr">
        <is>
          <t>RE</t>
        </is>
      </c>
      <c r="H365" s="12" t="n">
        <v>-145.23</v>
      </c>
      <c r="I365" s="17" t="n">
        <v>46106</v>
      </c>
      <c r="J365" s="17" t="n">
        <v>46136</v>
      </c>
      <c r="K365" t="inlineStr">
        <is>
          <t>0180/26</t>
        </is>
      </c>
    </row>
    <row r="366">
      <c r="A366" t="inlineStr">
        <is>
          <t>IC4420</t>
        </is>
      </c>
      <c r="B366" t="inlineStr">
        <is>
          <t>NORDEX ENERGY SPAIN S A U</t>
        </is>
      </c>
      <c r="C366" t="n">
        <v>2122100000</v>
      </c>
      <c r="D366" t="inlineStr">
        <is>
          <t>Intercompany</t>
        </is>
      </c>
      <c r="E366" t="n">
        <v>5008528</v>
      </c>
      <c r="F366" t="inlineStr">
        <is>
          <t>4026002493</t>
        </is>
      </c>
      <c r="G366" t="inlineStr">
        <is>
          <t>RE</t>
        </is>
      </c>
      <c r="H366" s="12" t="n">
        <v>-3939.27</v>
      </c>
      <c r="I366" s="17" t="n">
        <v>46125</v>
      </c>
      <c r="J366" s="17" t="n">
        <v>46155</v>
      </c>
      <c r="K366" t="inlineStr">
        <is>
          <t>0198/26</t>
        </is>
      </c>
    </row>
    <row r="367">
      <c r="A367" t="inlineStr">
        <is>
          <t>IC4420</t>
        </is>
      </c>
      <c r="B367" t="inlineStr">
        <is>
          <t>NORDEX ENERGY SPAIN S A U</t>
        </is>
      </c>
      <c r="C367" t="n">
        <v>2122100000</v>
      </c>
      <c r="D367" t="inlineStr">
        <is>
          <t>Intercompany</t>
        </is>
      </c>
      <c r="E367" t="n">
        <v>5008529</v>
      </c>
      <c r="F367" t="inlineStr">
        <is>
          <t>4026002372</t>
        </is>
      </c>
      <c r="G367" t="inlineStr">
        <is>
          <t>RE</t>
        </is>
      </c>
      <c r="H367" s="12" t="n">
        <v>-183420.66</v>
      </c>
      <c r="I367" s="17" t="n">
        <v>46119</v>
      </c>
      <c r="J367" s="17" t="n">
        <v>46149</v>
      </c>
      <c r="K367" t="inlineStr">
        <is>
          <t>0186/26</t>
        </is>
      </c>
    </row>
    <row r="368">
      <c r="A368" t="inlineStr">
        <is>
          <t>IC5000</t>
        </is>
      </c>
      <c r="B368" t="inlineStr">
        <is>
          <t>NORDEX SE</t>
        </is>
      </c>
      <c r="C368" t="n">
        <v>2122100000</v>
      </c>
      <c r="D368" t="inlineStr">
        <is>
          <t>Intercompany</t>
        </is>
      </c>
      <c r="E368" t="n">
        <v>5008535</v>
      </c>
      <c r="F368" t="inlineStr">
        <is>
          <t>609178</t>
        </is>
      </c>
      <c r="G368" t="inlineStr">
        <is>
          <t>KR</t>
        </is>
      </c>
      <c r="H368" s="12" t="n">
        <v>-749687.1899999999</v>
      </c>
      <c r="I368" s="17" t="n">
        <v>45705</v>
      </c>
      <c r="J368" s="17" t="n">
        <v>45705</v>
      </c>
      <c r="K368" t="inlineStr">
        <is>
          <t>Fatura do fornecedor NORDEX SE 609178</t>
        </is>
      </c>
    </row>
    <row r="369">
      <c r="A369" t="inlineStr">
        <is>
          <t>IC4420</t>
        </is>
      </c>
      <c r="B369" t="inlineStr">
        <is>
          <t>NORDEX ENERGY SPAIN S A U</t>
        </is>
      </c>
      <c r="C369" t="n">
        <v>2122100000</v>
      </c>
      <c r="D369" t="inlineStr">
        <is>
          <t>Intercompany</t>
        </is>
      </c>
      <c r="E369" t="n">
        <v>5008557</v>
      </c>
      <c r="F369" t="inlineStr">
        <is>
          <t>4026001261</t>
        </is>
      </c>
      <c r="G369" t="inlineStr">
        <is>
          <t>RE</t>
        </is>
      </c>
      <c r="H369" s="12" t="n">
        <v>-6463.86</v>
      </c>
      <c r="I369" s="17" t="n">
        <v>46073</v>
      </c>
      <c r="J369" s="17" t="n">
        <v>46103</v>
      </c>
      <c r="K369" t="inlineStr">
        <is>
          <t>0094/26</t>
        </is>
      </c>
    </row>
    <row r="370">
      <c r="A370" t="inlineStr">
        <is>
          <t>IC4420</t>
        </is>
      </c>
      <c r="B370" t="inlineStr">
        <is>
          <t>NORDEX ENERGY SPAIN S A U</t>
        </is>
      </c>
      <c r="C370" t="n">
        <v>2122100000</v>
      </c>
      <c r="D370" t="inlineStr">
        <is>
          <t>Intercompany</t>
        </is>
      </c>
      <c r="E370" t="n">
        <v>5008558</v>
      </c>
      <c r="F370" t="inlineStr">
        <is>
          <t>4026002369</t>
        </is>
      </c>
      <c r="G370" t="inlineStr">
        <is>
          <t>RE</t>
        </is>
      </c>
      <c r="H370" s="12" t="n">
        <v>-110.2</v>
      </c>
      <c r="I370" s="17" t="n">
        <v>46119</v>
      </c>
      <c r="J370" s="17" t="n">
        <v>46149</v>
      </c>
      <c r="K370" t="inlineStr">
        <is>
          <t>0183/26</t>
        </is>
      </c>
    </row>
    <row r="371">
      <c r="A371" t="inlineStr">
        <is>
          <t>IC4420</t>
        </is>
      </c>
      <c r="B371" t="inlineStr">
        <is>
          <t>NORDEX ENERGY SPAIN S A U</t>
        </is>
      </c>
      <c r="C371" t="n">
        <v>2122100000</v>
      </c>
      <c r="D371" t="inlineStr">
        <is>
          <t>Intercompany</t>
        </is>
      </c>
      <c r="E371" t="n">
        <v>5008559</v>
      </c>
      <c r="F371" t="inlineStr">
        <is>
          <t>4025009671</t>
        </is>
      </c>
      <c r="G371" t="inlineStr">
        <is>
          <t>RE</t>
        </is>
      </c>
      <c r="H371" s="12" t="n">
        <v>-5892.23</v>
      </c>
      <c r="I371" s="17" t="n">
        <v>46003</v>
      </c>
      <c r="J371" s="17" t="n">
        <v>46033</v>
      </c>
      <c r="K371" t="inlineStr">
        <is>
          <t>0945/25</t>
        </is>
      </c>
    </row>
    <row r="372">
      <c r="A372" t="inlineStr">
        <is>
          <t>IC4420</t>
        </is>
      </c>
      <c r="B372" t="inlineStr">
        <is>
          <t>NORDEX ENERGY SPAIN S A U</t>
        </is>
      </c>
      <c r="C372" t="n">
        <v>2122100000</v>
      </c>
      <c r="D372" t="inlineStr">
        <is>
          <t>Intercompany</t>
        </is>
      </c>
      <c r="E372" t="n">
        <v>5008603</v>
      </c>
      <c r="F372" t="inlineStr">
        <is>
          <t>4024007136</t>
        </is>
      </c>
      <c r="G372" t="inlineStr">
        <is>
          <t>RE</t>
        </is>
      </c>
      <c r="H372" s="12" t="n">
        <v>-533897.52</v>
      </c>
      <c r="I372" s="17" t="n">
        <v>45575</v>
      </c>
      <c r="J372" s="17" t="n">
        <v>45605</v>
      </c>
      <c r="K372" t="inlineStr">
        <is>
          <t>0964/24</t>
        </is>
      </c>
    </row>
    <row r="373">
      <c r="A373" t="inlineStr">
        <is>
          <t>IC1000</t>
        </is>
      </c>
      <c r="B373" t="inlineStr">
        <is>
          <t>NORDEX ENERGY SE &amp; CO KG</t>
        </is>
      </c>
      <c r="C373" t="n">
        <v>2122100000</v>
      </c>
      <c r="D373" t="inlineStr">
        <is>
          <t>Intercompany</t>
        </is>
      </c>
      <c r="E373" t="n">
        <v>5008619</v>
      </c>
      <c r="F373" t="inlineStr">
        <is>
          <t>325073</t>
        </is>
      </c>
      <c r="G373" t="inlineStr">
        <is>
          <t>RE</t>
        </is>
      </c>
      <c r="H373" s="12" t="n">
        <v>-166857.54</v>
      </c>
      <c r="I373" s="17" t="n">
        <v>45672</v>
      </c>
      <c r="J373" s="17" t="n">
        <v>45702</v>
      </c>
      <c r="K373" t="inlineStr">
        <is>
          <t>0109/25</t>
        </is>
      </c>
    </row>
    <row r="374">
      <c r="A374" t="inlineStr">
        <is>
          <t>IC1000</t>
        </is>
      </c>
      <c r="B374" t="inlineStr">
        <is>
          <t>NORDEX ENERGY SE &amp; CO KG</t>
        </is>
      </c>
      <c r="C374" t="n">
        <v>2122100000</v>
      </c>
      <c r="D374" t="inlineStr">
        <is>
          <t>Intercompany</t>
        </is>
      </c>
      <c r="E374" t="n">
        <v>5008620</v>
      </c>
      <c r="F374" t="inlineStr">
        <is>
          <t>RITM0416950</t>
        </is>
      </c>
      <c r="G374" t="inlineStr">
        <is>
          <t>RE</t>
        </is>
      </c>
      <c r="H374" s="12" t="n">
        <v>-622728.02</v>
      </c>
      <c r="I374" s="17" t="n">
        <v>45576</v>
      </c>
      <c r="J374" s="17" t="n">
        <v>45606</v>
      </c>
      <c r="K374" t="inlineStr">
        <is>
          <t>0965/24</t>
        </is>
      </c>
    </row>
    <row r="375">
      <c r="A375" t="inlineStr">
        <is>
          <t>IC1000</t>
        </is>
      </c>
      <c r="B375" t="inlineStr">
        <is>
          <t>NORDEX ENERGY SE &amp; CO KG</t>
        </is>
      </c>
      <c r="C375" t="n">
        <v>2122100000</v>
      </c>
      <c r="D375" t="inlineStr">
        <is>
          <t>Intercompany</t>
        </is>
      </c>
      <c r="E375" t="n">
        <v>5008630</v>
      </c>
      <c r="F375" t="inlineStr">
        <is>
          <t>326418</t>
        </is>
      </c>
      <c r="G375" t="inlineStr">
        <is>
          <t>RE</t>
        </is>
      </c>
      <c r="H375" s="12" t="n">
        <v>-33246.97</v>
      </c>
      <c r="I375" s="17" t="n">
        <v>45684</v>
      </c>
      <c r="J375" s="17" t="n">
        <v>45714</v>
      </c>
      <c r="K375" t="inlineStr">
        <is>
          <t>0117/25</t>
        </is>
      </c>
    </row>
    <row r="376">
      <c r="A376" t="inlineStr">
        <is>
          <t>IC1000</t>
        </is>
      </c>
      <c r="B376" t="inlineStr">
        <is>
          <t>NORDEX ENERGY SE &amp; CO KG</t>
        </is>
      </c>
      <c r="C376" t="n">
        <v>2122100000</v>
      </c>
      <c r="D376" t="inlineStr">
        <is>
          <t>Intercompany</t>
        </is>
      </c>
      <c r="E376" t="n">
        <v>5008637</v>
      </c>
      <c r="F376" t="inlineStr">
        <is>
          <t>326415</t>
        </is>
      </c>
      <c r="G376" t="inlineStr">
        <is>
          <t>RE</t>
        </is>
      </c>
      <c r="H376" s="12" t="n">
        <v>-33246.97</v>
      </c>
      <c r="I376" s="17" t="n">
        <v>45684</v>
      </c>
      <c r="J376" s="17" t="n">
        <v>45714</v>
      </c>
      <c r="K376" t="inlineStr">
        <is>
          <t>0119/25</t>
        </is>
      </c>
    </row>
    <row r="377">
      <c r="A377" t="inlineStr">
        <is>
          <t>IC1000</t>
        </is>
      </c>
      <c r="B377" t="inlineStr">
        <is>
          <t>NORDEX ENERGY SE &amp; CO KG</t>
        </is>
      </c>
      <c r="C377" t="n">
        <v>2122100000</v>
      </c>
      <c r="D377" t="inlineStr">
        <is>
          <t>Intercompany</t>
        </is>
      </c>
      <c r="E377" t="n">
        <v>5008641</v>
      </c>
      <c r="F377" t="inlineStr">
        <is>
          <t>326417</t>
        </is>
      </c>
      <c r="G377" t="inlineStr">
        <is>
          <t>RE</t>
        </is>
      </c>
      <c r="H377" s="12" t="n">
        <v>-33246.97</v>
      </c>
      <c r="I377" s="17" t="n">
        <v>45684</v>
      </c>
      <c r="J377" s="17" t="n">
        <v>45714</v>
      </c>
      <c r="K377" t="inlineStr">
        <is>
          <t>0120/25</t>
        </is>
      </c>
    </row>
    <row r="378">
      <c r="A378" t="inlineStr">
        <is>
          <t>IC1000</t>
        </is>
      </c>
      <c r="B378" t="inlineStr">
        <is>
          <t>NORDEX ENERGY SE &amp; CO KG</t>
        </is>
      </c>
      <c r="C378" t="n">
        <v>2122100000</v>
      </c>
      <c r="D378" t="inlineStr">
        <is>
          <t>Intercompany</t>
        </is>
      </c>
      <c r="E378" t="n">
        <v>5008642</v>
      </c>
      <c r="F378" t="inlineStr">
        <is>
          <t>391191</t>
        </is>
      </c>
      <c r="G378" t="inlineStr">
        <is>
          <t>RE</t>
        </is>
      </c>
      <c r="H378" s="12" t="n">
        <v>-3806.62</v>
      </c>
      <c r="I378" s="17" t="n">
        <v>46108</v>
      </c>
      <c r="J378" s="17" t="n">
        <v>46138</v>
      </c>
      <c r="K378" t="inlineStr">
        <is>
          <t>0176/26</t>
        </is>
      </c>
    </row>
    <row r="379">
      <c r="A379" t="inlineStr">
        <is>
          <t>IC4420</t>
        </is>
      </c>
      <c r="B379" t="inlineStr">
        <is>
          <t>NORDEX ENERGY SPAIN S A U</t>
        </is>
      </c>
      <c r="C379" t="n">
        <v>2122100000</v>
      </c>
      <c r="D379" t="inlineStr">
        <is>
          <t>Intercompany</t>
        </is>
      </c>
      <c r="E379" t="n">
        <v>5008643</v>
      </c>
      <c r="F379" t="inlineStr">
        <is>
          <t>4026002987</t>
        </is>
      </c>
      <c r="G379" t="inlineStr">
        <is>
          <t>RE</t>
        </is>
      </c>
      <c r="H379" s="12" t="n">
        <v>-5751.73</v>
      </c>
      <c r="I379" s="17" t="n">
        <v>46142</v>
      </c>
      <c r="J379" s="17" t="n">
        <v>46172</v>
      </c>
      <c r="K379" t="inlineStr">
        <is>
          <t>0267/26</t>
        </is>
      </c>
    </row>
    <row r="380">
      <c r="A380" t="inlineStr">
        <is>
          <t>IC1000</t>
        </is>
      </c>
      <c r="B380" t="inlineStr">
        <is>
          <t>NORDEX ENERGY SE &amp; CO KG</t>
        </is>
      </c>
      <c r="C380" t="n">
        <v>2122100000</v>
      </c>
      <c r="D380" t="inlineStr">
        <is>
          <t>Intercompany</t>
        </is>
      </c>
      <c r="E380" t="n">
        <v>5008644</v>
      </c>
      <c r="F380" t="inlineStr">
        <is>
          <t>326413</t>
        </is>
      </c>
      <c r="G380" t="inlineStr">
        <is>
          <t>RE</t>
        </is>
      </c>
      <c r="H380" s="12" t="n">
        <v>-36957.54</v>
      </c>
      <c r="I380" s="17" t="n">
        <v>45684</v>
      </c>
      <c r="J380" s="17" t="n">
        <v>45714</v>
      </c>
      <c r="K380" t="inlineStr">
        <is>
          <t>0116/25</t>
        </is>
      </c>
    </row>
    <row r="381">
      <c r="A381" t="inlineStr">
        <is>
          <t>IC5000</t>
        </is>
      </c>
      <c r="B381" t="inlineStr">
        <is>
          <t>NORDEX SE</t>
        </is>
      </c>
      <c r="C381" t="n">
        <v>2122100000</v>
      </c>
      <c r="D381" t="inlineStr">
        <is>
          <t>Intercompany</t>
        </is>
      </c>
      <c r="E381" t="n">
        <v>5008658</v>
      </c>
      <c r="F381" t="inlineStr">
        <is>
          <t>610708</t>
        </is>
      </c>
      <c r="G381" t="inlineStr">
        <is>
          <t>KR</t>
        </is>
      </c>
      <c r="H381" s="12" t="n">
        <v>-19368419.55</v>
      </c>
      <c r="I381" s="17" t="n">
        <v>46161</v>
      </c>
      <c r="J381" s="17" t="n">
        <v>46221</v>
      </c>
      <c r="K381" t="inlineStr">
        <is>
          <t>Fatura do fornecedor NORDEX SE 610708</t>
        </is>
      </c>
    </row>
    <row r="382">
      <c r="A382" t="inlineStr">
        <is>
          <t>IC4420</t>
        </is>
      </c>
      <c r="B382" t="inlineStr">
        <is>
          <t>NORDEX ENERGY SPAIN S A U</t>
        </is>
      </c>
      <c r="C382" t="n">
        <v>2122100000</v>
      </c>
      <c r="D382" t="inlineStr">
        <is>
          <t>Intercompany</t>
        </is>
      </c>
      <c r="E382" t="n">
        <v>5008668</v>
      </c>
      <c r="F382" t="inlineStr">
        <is>
          <t>4026002709</t>
        </is>
      </c>
      <c r="G382" t="inlineStr">
        <is>
          <t>RE</t>
        </is>
      </c>
      <c r="H382" s="12" t="n">
        <v>-14818.44</v>
      </c>
      <c r="I382" s="17" t="n">
        <v>46132</v>
      </c>
      <c r="J382" s="17" t="n">
        <v>46162</v>
      </c>
      <c r="K382" t="inlineStr">
        <is>
          <t>0246/26</t>
        </is>
      </c>
    </row>
    <row r="383">
      <c r="A383" t="inlineStr">
        <is>
          <t>IC4420</t>
        </is>
      </c>
      <c r="B383" t="inlineStr">
        <is>
          <t>NORDEX ENERGY SPAIN S A U</t>
        </is>
      </c>
      <c r="C383" t="n">
        <v>2122100000</v>
      </c>
      <c r="D383" t="inlineStr">
        <is>
          <t>Intercompany</t>
        </is>
      </c>
      <c r="E383" t="n">
        <v>5008669</v>
      </c>
      <c r="F383" t="inlineStr">
        <is>
          <t>4026002720</t>
        </is>
      </c>
      <c r="G383" t="inlineStr">
        <is>
          <t>RE</t>
        </is>
      </c>
      <c r="H383" s="12" t="n">
        <v>-14505.17</v>
      </c>
      <c r="I383" s="17" t="n">
        <v>46132</v>
      </c>
      <c r="J383" s="17" t="n">
        <v>46162</v>
      </c>
      <c r="K383" t="inlineStr">
        <is>
          <t>0246/26</t>
        </is>
      </c>
    </row>
    <row r="384">
      <c r="A384" t="inlineStr">
        <is>
          <t>IC4420</t>
        </is>
      </c>
      <c r="B384" t="inlineStr">
        <is>
          <t>NORDEX ENERGY SPAIN S A U</t>
        </is>
      </c>
      <c r="C384" t="n">
        <v>2122100000</v>
      </c>
      <c r="D384" t="inlineStr">
        <is>
          <t>Intercompany</t>
        </is>
      </c>
      <c r="E384" t="n">
        <v>5008670</v>
      </c>
      <c r="F384" t="inlineStr">
        <is>
          <t>4026002893</t>
        </is>
      </c>
      <c r="G384" t="inlineStr">
        <is>
          <t>RE</t>
        </is>
      </c>
      <c r="H384" s="12" t="n">
        <v>-25153.44</v>
      </c>
      <c r="I384" s="17" t="n">
        <v>46140</v>
      </c>
      <c r="J384" s="17" t="n">
        <v>46170</v>
      </c>
      <c r="K384" t="inlineStr">
        <is>
          <t>0258/26</t>
        </is>
      </c>
    </row>
    <row r="385">
      <c r="A385" t="inlineStr">
        <is>
          <t>IC4420</t>
        </is>
      </c>
      <c r="B385" t="inlineStr">
        <is>
          <t>NORDEX ENERGY SPAIN S A U</t>
        </is>
      </c>
      <c r="C385" t="n">
        <v>2122100000</v>
      </c>
      <c r="D385" t="inlineStr">
        <is>
          <t>Intercompany</t>
        </is>
      </c>
      <c r="E385" t="n">
        <v>5008671</v>
      </c>
      <c r="F385" t="inlineStr">
        <is>
          <t>4026002367</t>
        </is>
      </c>
      <c r="G385" t="inlineStr">
        <is>
          <t>RE</t>
        </is>
      </c>
      <c r="H385" s="12" t="n">
        <v>-43330.25</v>
      </c>
      <c r="I385" s="17" t="n">
        <v>46119</v>
      </c>
      <c r="J385" s="17" t="n">
        <v>46149</v>
      </c>
      <c r="K385" t="inlineStr">
        <is>
          <t>0191/26</t>
        </is>
      </c>
    </row>
    <row r="386">
      <c r="A386" t="inlineStr">
        <is>
          <t>IC4420</t>
        </is>
      </c>
      <c r="B386" t="inlineStr">
        <is>
          <t>NORDEX ENERGY SPAIN S A U</t>
        </is>
      </c>
      <c r="C386" t="n">
        <v>2122100000</v>
      </c>
      <c r="D386" t="inlineStr">
        <is>
          <t>Intercompany</t>
        </is>
      </c>
      <c r="E386" t="n">
        <v>5008672</v>
      </c>
      <c r="F386" t="inlineStr">
        <is>
          <t>4026001252</t>
        </is>
      </c>
      <c r="G386" t="inlineStr">
        <is>
          <t>RE</t>
        </is>
      </c>
      <c r="H386" s="12" t="n">
        <v>-37518.99</v>
      </c>
      <c r="I386" s="17" t="n">
        <v>46073</v>
      </c>
      <c r="J386" s="17" t="n">
        <v>46103</v>
      </c>
      <c r="K386" t="inlineStr">
        <is>
          <t>0091/26</t>
        </is>
      </c>
    </row>
    <row r="387">
      <c r="A387" t="inlineStr">
        <is>
          <t>IC4420</t>
        </is>
      </c>
      <c r="B387" t="inlineStr">
        <is>
          <t>NORDEX ENERGY SPAIN S A U</t>
        </is>
      </c>
      <c r="C387" t="n">
        <v>2122100000</v>
      </c>
      <c r="D387" t="inlineStr">
        <is>
          <t>Intercompany</t>
        </is>
      </c>
      <c r="E387" t="n">
        <v>5008673</v>
      </c>
      <c r="F387" t="inlineStr">
        <is>
          <t>4026001207</t>
        </is>
      </c>
      <c r="G387" t="inlineStr">
        <is>
          <t>RE</t>
        </is>
      </c>
      <c r="H387" s="12" t="n">
        <v>-66738.12</v>
      </c>
      <c r="I387" s="17" t="n">
        <v>46072</v>
      </c>
      <c r="J387" s="17" t="n">
        <v>46102</v>
      </c>
      <c r="K387" t="inlineStr">
        <is>
          <t>0151/26</t>
        </is>
      </c>
    </row>
    <row r="388">
      <c r="A388" t="inlineStr">
        <is>
          <t>IC4420</t>
        </is>
      </c>
      <c r="B388" t="inlineStr">
        <is>
          <t>NORDEX ENERGY SPAIN S A U</t>
        </is>
      </c>
      <c r="C388" t="n">
        <v>2122100000</v>
      </c>
      <c r="D388" t="inlineStr">
        <is>
          <t>Intercompany</t>
        </is>
      </c>
      <c r="E388" t="n">
        <v>5008674</v>
      </c>
      <c r="F388" t="inlineStr">
        <is>
          <t>4025009660</t>
        </is>
      </c>
      <c r="G388" t="inlineStr">
        <is>
          <t>RE</t>
        </is>
      </c>
      <c r="H388" s="12" t="n">
        <v>-230525.82</v>
      </c>
      <c r="I388" s="17" t="n">
        <v>46003</v>
      </c>
      <c r="J388" s="17" t="n">
        <v>46033</v>
      </c>
      <c r="K388" t="inlineStr">
        <is>
          <t>0935/25</t>
        </is>
      </c>
    </row>
    <row r="389">
      <c r="A389" t="inlineStr">
        <is>
          <t>IC4420</t>
        </is>
      </c>
      <c r="B389" t="inlineStr">
        <is>
          <t>NORDEX ENERGY SPAIN S A U</t>
        </is>
      </c>
      <c r="C389" t="n">
        <v>2122100000</v>
      </c>
      <c r="D389" t="inlineStr">
        <is>
          <t>Intercompany</t>
        </is>
      </c>
      <c r="E389" t="n">
        <v>5008675</v>
      </c>
      <c r="F389" t="inlineStr">
        <is>
          <t>4025009667</t>
        </is>
      </c>
      <c r="G389" t="inlineStr">
        <is>
          <t>RE</t>
        </is>
      </c>
      <c r="H389" s="12" t="n">
        <v>-17005.38</v>
      </c>
      <c r="I389" s="17" t="n">
        <v>46003</v>
      </c>
      <c r="J389" s="17" t="n">
        <v>46033</v>
      </c>
      <c r="K389" t="inlineStr">
        <is>
          <t>0935/25</t>
        </is>
      </c>
    </row>
    <row r="390">
      <c r="A390" t="inlineStr">
        <is>
          <t>IC4420</t>
        </is>
      </c>
      <c r="B390" t="inlineStr">
        <is>
          <t>NORDEX ENERGY SPAIN S A U</t>
        </is>
      </c>
      <c r="C390" t="n">
        <v>2122100000</v>
      </c>
      <c r="D390" t="inlineStr">
        <is>
          <t>Intercompany</t>
        </is>
      </c>
      <c r="E390" t="n">
        <v>5008676</v>
      </c>
      <c r="F390" t="inlineStr">
        <is>
          <t>4025009661</t>
        </is>
      </c>
      <c r="G390" t="inlineStr">
        <is>
          <t>RE</t>
        </is>
      </c>
      <c r="H390" s="12" t="n">
        <v>-3073.32</v>
      </c>
      <c r="I390" s="17" t="n">
        <v>46003</v>
      </c>
      <c r="J390" s="17" t="n">
        <v>46033</v>
      </c>
      <c r="K390" t="inlineStr">
        <is>
          <t>0935/25</t>
        </is>
      </c>
    </row>
    <row r="391">
      <c r="A391" t="inlineStr">
        <is>
          <t>IC4420</t>
        </is>
      </c>
      <c r="B391" t="inlineStr">
        <is>
          <t>NORDEX ENERGY SPAIN S A U</t>
        </is>
      </c>
      <c r="C391" t="n">
        <v>2122100000</v>
      </c>
      <c r="D391" t="inlineStr">
        <is>
          <t>Intercompany</t>
        </is>
      </c>
      <c r="E391" t="n">
        <v>5008677</v>
      </c>
      <c r="F391" t="inlineStr">
        <is>
          <t>4025009672</t>
        </is>
      </c>
      <c r="G391" t="inlineStr">
        <is>
          <t>RE</t>
        </is>
      </c>
      <c r="H391" s="12" t="n">
        <v>-733.61</v>
      </c>
      <c r="I391" s="17" t="n">
        <v>46003</v>
      </c>
      <c r="J391" s="17" t="n">
        <v>46033</v>
      </c>
      <c r="K391" t="inlineStr">
        <is>
          <t>0946/25</t>
        </is>
      </c>
    </row>
    <row r="392">
      <c r="A392" t="inlineStr">
        <is>
          <t>IC4420</t>
        </is>
      </c>
      <c r="B392" t="inlineStr">
        <is>
          <t>NORDEX ENERGY SPAIN S A U</t>
        </is>
      </c>
      <c r="C392" t="n">
        <v>2122100000</v>
      </c>
      <c r="D392" t="inlineStr">
        <is>
          <t>Intercompany</t>
        </is>
      </c>
      <c r="E392" t="n">
        <v>5008678</v>
      </c>
      <c r="F392" t="inlineStr">
        <is>
          <t>4018000094</t>
        </is>
      </c>
      <c r="G392" t="inlineStr">
        <is>
          <t>RE</t>
        </is>
      </c>
      <c r="H392" s="12" t="n">
        <v>-4298.57</v>
      </c>
      <c r="I392" s="17" t="n">
        <v>46127</v>
      </c>
      <c r="J392" s="17" t="n">
        <v>46157</v>
      </c>
      <c r="K392" t="inlineStr">
        <is>
          <t>0219/26</t>
        </is>
      </c>
    </row>
    <row r="393">
      <c r="A393" t="inlineStr">
        <is>
          <t>IC4420</t>
        </is>
      </c>
      <c r="B393" t="inlineStr">
        <is>
          <t>NORDEX ENERGY SPAIN S A U</t>
        </is>
      </c>
      <c r="C393" t="n">
        <v>2122100000</v>
      </c>
      <c r="D393" t="inlineStr">
        <is>
          <t>Intercompany</t>
        </is>
      </c>
      <c r="E393" t="n">
        <v>5008679</v>
      </c>
      <c r="F393" t="inlineStr">
        <is>
          <t>4026002368</t>
        </is>
      </c>
      <c r="G393" t="inlineStr">
        <is>
          <t>RE</t>
        </is>
      </c>
      <c r="H393" s="12" t="n">
        <v>-22345.33</v>
      </c>
      <c r="I393" s="17" t="n">
        <v>46119</v>
      </c>
      <c r="J393" s="17" t="n">
        <v>46149</v>
      </c>
      <c r="K393" t="inlineStr">
        <is>
          <t>0192/26</t>
        </is>
      </c>
    </row>
    <row r="394">
      <c r="A394" t="inlineStr">
        <is>
          <t>IC4420</t>
        </is>
      </c>
      <c r="B394" t="inlineStr">
        <is>
          <t>NORDEX ENERGY SPAIN S A U</t>
        </is>
      </c>
      <c r="C394" t="n">
        <v>2122100000</v>
      </c>
      <c r="D394" t="inlineStr">
        <is>
          <t>Intercompany</t>
        </is>
      </c>
      <c r="E394" t="n">
        <v>5008680</v>
      </c>
      <c r="F394" t="inlineStr">
        <is>
          <t>4026002523</t>
        </is>
      </c>
      <c r="G394" t="inlineStr">
        <is>
          <t>RE</t>
        </is>
      </c>
      <c r="H394" s="12" t="n">
        <v>-139998.26</v>
      </c>
      <c r="I394" s="17" t="n">
        <v>46126</v>
      </c>
      <c r="J394" s="17" t="n">
        <v>46156</v>
      </c>
      <c r="K394" t="inlineStr">
        <is>
          <t>0207/26</t>
        </is>
      </c>
    </row>
    <row r="395">
      <c r="A395" t="inlineStr">
        <is>
          <t>IC4420</t>
        </is>
      </c>
      <c r="B395" t="inlineStr">
        <is>
          <t>NORDEX ENERGY SPAIN S A U</t>
        </is>
      </c>
      <c r="C395" t="n">
        <v>2122100000</v>
      </c>
      <c r="D395" t="inlineStr">
        <is>
          <t>Intercompany</t>
        </is>
      </c>
      <c r="E395" t="n">
        <v>5008681</v>
      </c>
      <c r="F395" t="inlineStr">
        <is>
          <t>4026002175</t>
        </is>
      </c>
      <c r="G395" t="inlineStr">
        <is>
          <t>RE</t>
        </is>
      </c>
      <c r="H395" s="12" t="n">
        <v>-16749.11</v>
      </c>
      <c r="I395" s="17" t="n">
        <v>46111</v>
      </c>
      <c r="J395" s="17" t="n">
        <v>46141</v>
      </c>
      <c r="K395" t="inlineStr">
        <is>
          <t>0200/26</t>
        </is>
      </c>
    </row>
    <row r="396">
      <c r="A396" t="inlineStr">
        <is>
          <t>IC4420</t>
        </is>
      </c>
      <c r="B396" t="inlineStr">
        <is>
          <t>NORDEX ENERGY SPAIN S A U</t>
        </is>
      </c>
      <c r="C396" t="n">
        <v>2122100000</v>
      </c>
      <c r="D396" t="inlineStr">
        <is>
          <t>Intercompany</t>
        </is>
      </c>
      <c r="E396" t="n">
        <v>5008682</v>
      </c>
      <c r="F396" t="inlineStr">
        <is>
          <t>4026002371</t>
        </is>
      </c>
      <c r="G396" t="inlineStr">
        <is>
          <t>RE</t>
        </is>
      </c>
      <c r="H396" s="12" t="n">
        <v>-490063.83</v>
      </c>
      <c r="I396" s="17" t="n">
        <v>46119</v>
      </c>
      <c r="J396" s="17" t="n">
        <v>46149</v>
      </c>
      <c r="K396" t="inlineStr">
        <is>
          <t>0185/26</t>
        </is>
      </c>
    </row>
    <row r="397">
      <c r="A397" t="inlineStr">
        <is>
          <t>IC4420</t>
        </is>
      </c>
      <c r="B397" t="inlineStr">
        <is>
          <t>NORDEX ENERGY SPAIN S A U</t>
        </is>
      </c>
      <c r="C397" t="n">
        <v>2122100000</v>
      </c>
      <c r="D397" t="inlineStr">
        <is>
          <t>Intercompany</t>
        </is>
      </c>
      <c r="E397" t="n">
        <v>5008683</v>
      </c>
      <c r="F397" t="inlineStr">
        <is>
          <t>4026001260</t>
        </is>
      </c>
      <c r="G397" t="inlineStr">
        <is>
          <t>RE</t>
        </is>
      </c>
      <c r="H397" s="12" t="n">
        <v>-139.07</v>
      </c>
      <c r="I397" s="17" t="n">
        <v>46073</v>
      </c>
      <c r="J397" s="17" t="n">
        <v>46103</v>
      </c>
      <c r="K397" t="inlineStr">
        <is>
          <t>0092/26</t>
        </is>
      </c>
    </row>
    <row r="398">
      <c r="A398" t="inlineStr">
        <is>
          <t>IC4420</t>
        </is>
      </c>
      <c r="B398" t="inlineStr">
        <is>
          <t>NORDEX ENERGY SPAIN S A U</t>
        </is>
      </c>
      <c r="C398" t="n">
        <v>2122100000</v>
      </c>
      <c r="D398" t="inlineStr">
        <is>
          <t>Intercompany</t>
        </is>
      </c>
      <c r="E398" t="n">
        <v>5008684</v>
      </c>
      <c r="F398" t="inlineStr">
        <is>
          <t>4026002519</t>
        </is>
      </c>
      <c r="G398" t="inlineStr">
        <is>
          <t>RE</t>
        </is>
      </c>
      <c r="H398" s="12" t="n">
        <v>-99282.45</v>
      </c>
      <c r="I398" s="17" t="n">
        <v>46126</v>
      </c>
      <c r="J398" s="17" t="n">
        <v>46156</v>
      </c>
      <c r="K398" t="inlineStr">
        <is>
          <t>0206/26</t>
        </is>
      </c>
    </row>
    <row r="399">
      <c r="A399" t="inlineStr">
        <is>
          <t>IC4420</t>
        </is>
      </c>
      <c r="B399" t="inlineStr">
        <is>
          <t>NORDEX ENERGY SPAIN S A U</t>
        </is>
      </c>
      <c r="C399" t="n">
        <v>2122100000</v>
      </c>
      <c r="D399" t="inlineStr">
        <is>
          <t>Intercompany</t>
        </is>
      </c>
      <c r="E399" t="n">
        <v>5008685</v>
      </c>
      <c r="F399" t="inlineStr">
        <is>
          <t>4026002529</t>
        </is>
      </c>
      <c r="G399" t="inlineStr">
        <is>
          <t>RE</t>
        </is>
      </c>
      <c r="H399" s="12" t="n">
        <v>-24128.69</v>
      </c>
      <c r="I399" s="17" t="n">
        <v>46126</v>
      </c>
      <c r="J399" s="17" t="n">
        <v>46156</v>
      </c>
      <c r="K399" t="inlineStr">
        <is>
          <t>0210/26</t>
        </is>
      </c>
    </row>
    <row r="400">
      <c r="A400" t="inlineStr">
        <is>
          <t>IC4420</t>
        </is>
      </c>
      <c r="B400" t="inlineStr">
        <is>
          <t>NORDEX ENERGY SPAIN S A U</t>
        </is>
      </c>
      <c r="C400" t="n">
        <v>2122100000</v>
      </c>
      <c r="D400" t="inlineStr">
        <is>
          <t>Intercompany</t>
        </is>
      </c>
      <c r="E400" t="n">
        <v>5008686</v>
      </c>
      <c r="F400" t="inlineStr">
        <is>
          <t>4026002362</t>
        </is>
      </c>
      <c r="G400" t="inlineStr">
        <is>
          <t>RE</t>
        </is>
      </c>
      <c r="H400" s="12" t="n">
        <v>-8824.309999999999</v>
      </c>
      <c r="I400" s="17" t="n">
        <v>46119</v>
      </c>
      <c r="J400" s="17" t="n">
        <v>46149</v>
      </c>
      <c r="K400" t="inlineStr">
        <is>
          <t>0187/26</t>
        </is>
      </c>
    </row>
    <row r="401">
      <c r="A401" t="inlineStr">
        <is>
          <t>IC4420</t>
        </is>
      </c>
      <c r="B401" t="inlineStr">
        <is>
          <t>NORDEX ENERGY SPAIN S A U</t>
        </is>
      </c>
      <c r="C401" t="n">
        <v>2122100000</v>
      </c>
      <c r="D401" t="inlineStr">
        <is>
          <t>Intercompany</t>
        </is>
      </c>
      <c r="E401" t="n">
        <v>5008687</v>
      </c>
      <c r="F401" t="inlineStr">
        <is>
          <t>4026001671</t>
        </is>
      </c>
      <c r="G401" t="inlineStr">
        <is>
          <t>RE</t>
        </is>
      </c>
      <c r="H401" s="12" t="n">
        <v>-17771.33</v>
      </c>
      <c r="I401" s="17" t="n">
        <v>46090</v>
      </c>
      <c r="J401" s="17" t="n">
        <v>46120</v>
      </c>
      <c r="K401" t="inlineStr">
        <is>
          <t>0141/26</t>
        </is>
      </c>
    </row>
    <row r="402">
      <c r="A402" t="inlineStr">
        <is>
          <t>IC4420</t>
        </is>
      </c>
      <c r="B402" t="inlineStr">
        <is>
          <t>NORDEX ENERGY SPAIN S A U</t>
        </is>
      </c>
      <c r="C402" t="n">
        <v>2122100000</v>
      </c>
      <c r="D402" t="inlineStr">
        <is>
          <t>Intercompany</t>
        </is>
      </c>
      <c r="E402" t="n">
        <v>5008688</v>
      </c>
      <c r="F402" t="inlineStr">
        <is>
          <t>4026001262</t>
        </is>
      </c>
      <c r="G402" t="inlineStr">
        <is>
          <t>RE</t>
        </is>
      </c>
      <c r="H402" s="12" t="n">
        <v>-194003.97</v>
      </c>
      <c r="I402" s="17" t="n">
        <v>46073</v>
      </c>
      <c r="J402" s="17" t="n">
        <v>46103</v>
      </c>
      <c r="K402" t="inlineStr">
        <is>
          <t>0095/26</t>
        </is>
      </c>
    </row>
    <row r="403">
      <c r="A403" t="inlineStr">
        <is>
          <t>IC4420</t>
        </is>
      </c>
      <c r="B403" t="inlineStr">
        <is>
          <t>NORDEX ENERGY SPAIN S A U</t>
        </is>
      </c>
      <c r="C403" t="n">
        <v>2122100000</v>
      </c>
      <c r="D403" t="inlineStr">
        <is>
          <t>Intercompany</t>
        </is>
      </c>
      <c r="E403" t="n">
        <v>5008689</v>
      </c>
      <c r="F403" t="inlineStr">
        <is>
          <t>4025009662</t>
        </is>
      </c>
      <c r="G403" t="inlineStr">
        <is>
          <t>RE</t>
        </is>
      </c>
      <c r="H403" s="12" t="n">
        <v>-16655</v>
      </c>
      <c r="I403" s="17" t="n">
        <v>46003</v>
      </c>
      <c r="J403" s="17" t="n">
        <v>46033</v>
      </c>
      <c r="K403" t="inlineStr">
        <is>
          <t>0936/25</t>
        </is>
      </c>
    </row>
    <row r="404">
      <c r="A404" t="inlineStr">
        <is>
          <t>IC4420</t>
        </is>
      </c>
      <c r="B404" t="inlineStr">
        <is>
          <t>NORDEX ENERGY SPAIN S A U</t>
        </is>
      </c>
      <c r="C404" t="n">
        <v>2122100000</v>
      </c>
      <c r="D404" t="inlineStr">
        <is>
          <t>Intercompany</t>
        </is>
      </c>
      <c r="E404" t="n">
        <v>5008690</v>
      </c>
      <c r="F404" t="inlineStr">
        <is>
          <t>4026002521</t>
        </is>
      </c>
      <c r="G404" t="inlineStr">
        <is>
          <t>RE</t>
        </is>
      </c>
      <c r="H404" s="12" t="n">
        <v>-178960.82</v>
      </c>
      <c r="I404" s="17" t="n">
        <v>46126</v>
      </c>
      <c r="J404" s="17" t="n">
        <v>46156</v>
      </c>
      <c r="K404" t="inlineStr">
        <is>
          <t>0206/26</t>
        </is>
      </c>
    </row>
    <row r="405">
      <c r="A405" t="inlineStr">
        <is>
          <t>IC5000</t>
        </is>
      </c>
      <c r="B405" t="inlineStr">
        <is>
          <t>NORDEX SE</t>
        </is>
      </c>
      <c r="C405" t="n">
        <v>2122100000</v>
      </c>
      <c r="D405" t="inlineStr">
        <is>
          <t>Intercompany</t>
        </is>
      </c>
      <c r="E405" t="n">
        <v>5008747</v>
      </c>
      <c r="F405" t="inlineStr">
        <is>
          <t>607334</t>
        </is>
      </c>
      <c r="G405" t="inlineStr">
        <is>
          <t>KR</t>
        </is>
      </c>
      <c r="H405" s="12" t="n">
        <v>-7570070.95</v>
      </c>
      <c r="I405" s="17" t="n">
        <v>45216</v>
      </c>
      <c r="J405" s="17" t="n">
        <v>45216</v>
      </c>
      <c r="K405" t="inlineStr">
        <is>
          <t>Vendor Invoice NORDEX SE 607334</t>
        </is>
      </c>
    </row>
    <row r="406">
      <c r="A406" t="inlineStr">
        <is>
          <t>IC4420</t>
        </is>
      </c>
      <c r="B406" t="inlineStr">
        <is>
          <t>NORDEX ENERGY SPAIN S A U</t>
        </is>
      </c>
      <c r="C406" t="n">
        <v>2122100000</v>
      </c>
      <c r="D406" t="inlineStr">
        <is>
          <t>Intercompany</t>
        </is>
      </c>
      <c r="E406" t="n">
        <v>5008763</v>
      </c>
      <c r="F406" t="inlineStr">
        <is>
          <t>4026001251</t>
        </is>
      </c>
      <c r="G406" t="inlineStr">
        <is>
          <t>RE</t>
        </is>
      </c>
      <c r="H406" s="12" t="n">
        <v>-7072.29</v>
      </c>
      <c r="I406" s="17" t="n">
        <v>46073</v>
      </c>
      <c r="J406" s="17" t="n">
        <v>46103</v>
      </c>
      <c r="K406" t="inlineStr">
        <is>
          <t>0090/26</t>
        </is>
      </c>
    </row>
    <row r="407">
      <c r="A407" t="inlineStr">
        <is>
          <t>IC4420</t>
        </is>
      </c>
      <c r="B407" t="inlineStr">
        <is>
          <t>NORDEX ENERGY SPAIN S A U</t>
        </is>
      </c>
      <c r="C407" t="n">
        <v>2122100000</v>
      </c>
      <c r="D407" t="inlineStr">
        <is>
          <t>Intercompany</t>
        </is>
      </c>
      <c r="E407" t="n">
        <v>5008764</v>
      </c>
      <c r="F407" t="inlineStr">
        <is>
          <t>4026002596</t>
        </is>
      </c>
      <c r="G407" t="inlineStr">
        <is>
          <t>RE</t>
        </is>
      </c>
      <c r="H407" s="12" t="n">
        <v>-2609.68</v>
      </c>
      <c r="I407" s="17" t="n">
        <v>46127</v>
      </c>
      <c r="J407" s="17" t="n">
        <v>46157</v>
      </c>
      <c r="K407" t="inlineStr">
        <is>
          <t>0220/26</t>
        </is>
      </c>
    </row>
    <row r="408">
      <c r="A408" t="inlineStr">
        <is>
          <t>IC4420</t>
        </is>
      </c>
      <c r="B408" t="inlineStr">
        <is>
          <t>NORDEX ENERGY SPAIN S A U</t>
        </is>
      </c>
      <c r="C408" t="n">
        <v>2122100000</v>
      </c>
      <c r="D408" t="inlineStr">
        <is>
          <t>Intercompany</t>
        </is>
      </c>
      <c r="E408" t="n">
        <v>5008765</v>
      </c>
      <c r="F408" t="inlineStr">
        <is>
          <t>4026001250</t>
        </is>
      </c>
      <c r="G408" t="inlineStr">
        <is>
          <t>RE</t>
        </is>
      </c>
      <c r="H408" s="12" t="n">
        <v>-50809.97</v>
      </c>
      <c r="I408" s="17" t="n">
        <v>46073</v>
      </c>
      <c r="J408" s="17" t="n">
        <v>46103</v>
      </c>
      <c r="K408" t="inlineStr">
        <is>
          <t>0090/26</t>
        </is>
      </c>
    </row>
    <row r="409">
      <c r="A409" t="inlineStr">
        <is>
          <t>IC4420</t>
        </is>
      </c>
      <c r="B409" t="inlineStr">
        <is>
          <t>NORDEX ENERGY SPAIN S A U</t>
        </is>
      </c>
      <c r="C409" t="n">
        <v>2122100000</v>
      </c>
      <c r="D409" t="inlineStr">
        <is>
          <t>Intercompany</t>
        </is>
      </c>
      <c r="E409" t="n">
        <v>5008766</v>
      </c>
      <c r="F409" t="inlineStr">
        <is>
          <t>4026001249</t>
        </is>
      </c>
      <c r="G409" t="inlineStr">
        <is>
          <t>RE</t>
        </is>
      </c>
      <c r="H409" s="12" t="n">
        <v>-33496.98</v>
      </c>
      <c r="I409" s="17" t="n">
        <v>46073</v>
      </c>
      <c r="J409" s="17" t="n">
        <v>46103</v>
      </c>
      <c r="K409" t="inlineStr">
        <is>
          <t>0090/26</t>
        </is>
      </c>
    </row>
    <row r="410">
      <c r="A410" t="inlineStr">
        <is>
          <t>IC4420</t>
        </is>
      </c>
      <c r="B410" t="inlineStr">
        <is>
          <t>NORDEX ENERGY SPAIN S A U</t>
        </is>
      </c>
      <c r="C410" t="n">
        <v>2122100000</v>
      </c>
      <c r="D410" t="inlineStr">
        <is>
          <t>Intercompany</t>
        </is>
      </c>
      <c r="E410" t="n">
        <v>5008777</v>
      </c>
      <c r="F410" t="inlineStr">
        <is>
          <t>4026002711</t>
        </is>
      </c>
      <c r="G410" t="inlineStr">
        <is>
          <t>RE</t>
        </is>
      </c>
      <c r="H410" s="12" t="n">
        <v>-42491.81</v>
      </c>
      <c r="I410" s="17" t="n">
        <v>46132</v>
      </c>
      <c r="J410" s="17" t="n">
        <v>46162</v>
      </c>
      <c r="K410" t="inlineStr">
        <is>
          <t>0248/26</t>
        </is>
      </c>
    </row>
    <row r="411">
      <c r="A411" t="inlineStr">
        <is>
          <t>IC4420</t>
        </is>
      </c>
      <c r="B411" t="inlineStr">
        <is>
          <t>NORDEX ENERGY SPAIN S A U</t>
        </is>
      </c>
      <c r="C411" t="n">
        <v>2122100000</v>
      </c>
      <c r="D411" t="inlineStr">
        <is>
          <t>Intercompany</t>
        </is>
      </c>
      <c r="E411" t="n">
        <v>5008778</v>
      </c>
      <c r="F411" t="inlineStr">
        <is>
          <t>4026002705</t>
        </is>
      </c>
      <c r="G411" t="inlineStr">
        <is>
          <t>RE</t>
        </is>
      </c>
      <c r="H411" s="12" t="n">
        <v>-47564.07</v>
      </c>
      <c r="I411" s="17" t="n">
        <v>46132</v>
      </c>
      <c r="J411" s="17" t="n">
        <v>46162</v>
      </c>
      <c r="K411" t="inlineStr">
        <is>
          <t>0244/26</t>
        </is>
      </c>
    </row>
    <row r="412">
      <c r="A412" t="inlineStr">
        <is>
          <t>IC4420</t>
        </is>
      </c>
      <c r="B412" t="inlineStr">
        <is>
          <t>NORDEX ENERGY SPAIN S A U</t>
        </is>
      </c>
      <c r="C412" t="n">
        <v>2122100000</v>
      </c>
      <c r="D412" t="inlineStr">
        <is>
          <t>Intercompany</t>
        </is>
      </c>
      <c r="E412" t="n">
        <v>5008779</v>
      </c>
      <c r="F412" t="inlineStr">
        <is>
          <t>4026002712</t>
        </is>
      </c>
      <c r="G412" t="inlineStr">
        <is>
          <t>RE</t>
        </is>
      </c>
      <c r="H412" s="12" t="n">
        <v>-3570.07</v>
      </c>
      <c r="I412" s="17" t="n">
        <v>46132</v>
      </c>
      <c r="J412" s="17" t="n">
        <v>46162</v>
      </c>
      <c r="K412" t="inlineStr">
        <is>
          <t>0244/26</t>
        </is>
      </c>
    </row>
    <row r="413">
      <c r="A413" t="inlineStr">
        <is>
          <t>IC1000</t>
        </is>
      </c>
      <c r="B413" t="inlineStr">
        <is>
          <t>NORDEX ENERGY SE &amp; CO KG</t>
        </is>
      </c>
      <c r="C413" t="n">
        <v>2122100000</v>
      </c>
      <c r="D413" t="inlineStr">
        <is>
          <t>Intercompany</t>
        </is>
      </c>
      <c r="E413" t="n">
        <v>5008780</v>
      </c>
      <c r="F413" t="inlineStr">
        <is>
          <t>392844</t>
        </is>
      </c>
      <c r="G413" t="inlineStr">
        <is>
          <t>RE</t>
        </is>
      </c>
      <c r="H413" s="12" t="n">
        <v>-1582.93</v>
      </c>
      <c r="I413" s="17" t="n">
        <v>46121</v>
      </c>
      <c r="J413" s="17" t="n">
        <v>46151</v>
      </c>
      <c r="K413" t="inlineStr">
        <is>
          <t>0215/26</t>
        </is>
      </c>
    </row>
    <row r="414">
      <c r="A414" t="inlineStr">
        <is>
          <t>IC4420</t>
        </is>
      </c>
      <c r="B414" t="inlineStr">
        <is>
          <t>NORDEX ENERGY SPAIN S A U</t>
        </is>
      </c>
      <c r="C414" t="n">
        <v>2122100000</v>
      </c>
      <c r="D414" t="inlineStr">
        <is>
          <t>Intercompany</t>
        </is>
      </c>
      <c r="E414" t="n">
        <v>5008781</v>
      </c>
      <c r="F414" t="inlineStr">
        <is>
          <t>4018000096</t>
        </is>
      </c>
      <c r="G414" t="inlineStr">
        <is>
          <t>RE</t>
        </is>
      </c>
      <c r="H414" s="12" t="n">
        <v>-321.96</v>
      </c>
      <c r="I414" s="17" t="n">
        <v>46134</v>
      </c>
      <c r="J414" s="17" t="n">
        <v>46164</v>
      </c>
      <c r="K414" t="inlineStr">
        <is>
          <t>0216/26</t>
        </is>
      </c>
    </row>
    <row r="415">
      <c r="A415" t="inlineStr">
        <is>
          <t>IC4420</t>
        </is>
      </c>
      <c r="B415" t="inlineStr">
        <is>
          <t>NORDEX ENERGY SPAIN S A U</t>
        </is>
      </c>
      <c r="C415" t="n">
        <v>2122100000</v>
      </c>
      <c r="D415" t="inlineStr">
        <is>
          <t>Intercompany</t>
        </is>
      </c>
      <c r="E415" t="n">
        <v>5008782</v>
      </c>
      <c r="F415" t="inlineStr">
        <is>
          <t>4026003015</t>
        </is>
      </c>
      <c r="G415" t="inlineStr">
        <is>
          <t>RE</t>
        </is>
      </c>
      <c r="H415" s="12" t="n">
        <v>-77307.09</v>
      </c>
      <c r="I415" s="17" t="n">
        <v>46142</v>
      </c>
      <c r="J415" s="17" t="n">
        <v>46172</v>
      </c>
      <c r="K415" t="inlineStr">
        <is>
          <t>0266/26</t>
        </is>
      </c>
    </row>
    <row r="416">
      <c r="A416" t="inlineStr">
        <is>
          <t>IC4420</t>
        </is>
      </c>
      <c r="B416" t="inlineStr">
        <is>
          <t>NORDEX ENERGY SPAIN S A U</t>
        </is>
      </c>
      <c r="C416" t="n">
        <v>2122100000</v>
      </c>
      <c r="D416" t="inlineStr">
        <is>
          <t>Intercompany</t>
        </is>
      </c>
      <c r="E416" t="n">
        <v>5008793</v>
      </c>
      <c r="F416" t="inlineStr">
        <is>
          <t>4026001265</t>
        </is>
      </c>
      <c r="G416" t="inlineStr">
        <is>
          <t>RE</t>
        </is>
      </c>
      <c r="H416" s="12" t="n">
        <v>-1859785.63</v>
      </c>
      <c r="I416" s="17" t="n">
        <v>46073</v>
      </c>
      <c r="J416" s="17" t="n">
        <v>46103</v>
      </c>
      <c r="K416" t="inlineStr">
        <is>
          <t>0105/26</t>
        </is>
      </c>
    </row>
    <row r="417">
      <c r="A417" t="inlineStr">
        <is>
          <t>IC4600</t>
        </is>
      </c>
      <c r="B417" t="inlineStr">
        <is>
          <t>NORDEX USA INC 4650</t>
        </is>
      </c>
      <c r="C417" t="n">
        <v>2122100000</v>
      </c>
      <c r="D417" t="inlineStr">
        <is>
          <t>Intercompany</t>
        </is>
      </c>
      <c r="E417" t="n">
        <v>5008800</v>
      </c>
      <c r="F417" t="inlineStr">
        <is>
          <t>DN83144937</t>
        </is>
      </c>
      <c r="G417" t="inlineStr">
        <is>
          <t>RE</t>
        </is>
      </c>
      <c r="H417" s="12" t="n">
        <v>-2024882.8</v>
      </c>
      <c r="I417" s="17" t="n">
        <v>46038</v>
      </c>
      <c r="J417" s="17" t="n">
        <v>46068</v>
      </c>
      <c r="K417" t="inlineStr">
        <is>
          <t>0138/26</t>
        </is>
      </c>
    </row>
    <row r="418">
      <c r="A418" t="inlineStr">
        <is>
          <t>IC4420</t>
        </is>
      </c>
      <c r="B418" t="inlineStr">
        <is>
          <t>NORDEX ENERGY SPAIN S A U</t>
        </is>
      </c>
      <c r="C418" t="n">
        <v>2122100000</v>
      </c>
      <c r="D418" t="inlineStr">
        <is>
          <t>Intercompany</t>
        </is>
      </c>
      <c r="E418" t="n">
        <v>5008806</v>
      </c>
      <c r="F418" t="inlineStr">
        <is>
          <t>4026002714</t>
        </is>
      </c>
      <c r="G418" t="inlineStr">
        <is>
          <t>RE</t>
        </is>
      </c>
      <c r="H418" s="12" t="n">
        <v>-1872.12</v>
      </c>
      <c r="I418" s="17" t="n">
        <v>46132</v>
      </c>
      <c r="J418" s="17" t="n">
        <v>46162</v>
      </c>
      <c r="K418" t="inlineStr">
        <is>
          <t>0249/26</t>
        </is>
      </c>
    </row>
    <row r="419">
      <c r="A419" t="inlineStr">
        <is>
          <t>IC4420</t>
        </is>
      </c>
      <c r="B419" t="inlineStr">
        <is>
          <t>NORDEX ENERGY SPAIN S A U</t>
        </is>
      </c>
      <c r="C419" t="n">
        <v>2122100000</v>
      </c>
      <c r="D419" t="inlineStr">
        <is>
          <t>Intercompany</t>
        </is>
      </c>
      <c r="E419" t="n">
        <v>5008807</v>
      </c>
      <c r="F419" t="inlineStr">
        <is>
          <t>4026002715</t>
        </is>
      </c>
      <c r="G419" t="inlineStr">
        <is>
          <t>RE</t>
        </is>
      </c>
      <c r="H419" s="12" t="n">
        <v>-10880.36</v>
      </c>
      <c r="I419" s="17" t="n">
        <v>46132</v>
      </c>
      <c r="J419" s="17" t="n">
        <v>46162</v>
      </c>
      <c r="K419" t="inlineStr">
        <is>
          <t>0249/26</t>
        </is>
      </c>
    </row>
    <row r="420">
      <c r="A420" t="inlineStr">
        <is>
          <t>IC5000</t>
        </is>
      </c>
      <c r="B420" t="inlineStr">
        <is>
          <t>NORDEX SE</t>
        </is>
      </c>
      <c r="C420" t="n">
        <v>2122100000</v>
      </c>
      <c r="D420" t="inlineStr">
        <is>
          <t>Intercompany</t>
        </is>
      </c>
      <c r="E420" t="n">
        <v>5008816</v>
      </c>
      <c r="F420" t="inlineStr">
        <is>
          <t>607368</t>
        </is>
      </c>
      <c r="G420" t="inlineStr">
        <is>
          <t>KR</t>
        </is>
      </c>
      <c r="H420" s="12" t="n">
        <v>-3582530.16</v>
      </c>
      <c r="I420" s="17" t="n">
        <v>45216</v>
      </c>
      <c r="J420" s="17" t="n">
        <v>45216</v>
      </c>
      <c r="K420" t="inlineStr">
        <is>
          <t>Fatura do fornecedor NORDEX SE 607368</t>
        </is>
      </c>
    </row>
    <row r="421">
      <c r="A421" t="inlineStr">
        <is>
          <t>IC4420</t>
        </is>
      </c>
      <c r="B421" t="inlineStr">
        <is>
          <t>NORDEX ENERGY SPAIN S A U</t>
        </is>
      </c>
      <c r="C421" t="n">
        <v>2122100000</v>
      </c>
      <c r="D421" t="inlineStr">
        <is>
          <t>Intercompany</t>
        </is>
      </c>
      <c r="E421" t="n">
        <v>5008868</v>
      </c>
      <c r="F421" t="inlineStr">
        <is>
          <t>4026002598</t>
        </is>
      </c>
      <c r="G421" t="inlineStr">
        <is>
          <t>RE</t>
        </is>
      </c>
      <c r="H421" s="12" t="n">
        <v>-3653.34</v>
      </c>
      <c r="I421" s="17" t="n">
        <v>46127</v>
      </c>
      <c r="J421" s="17" t="n">
        <v>46157</v>
      </c>
      <c r="K421" t="inlineStr">
        <is>
          <t>0212/26</t>
        </is>
      </c>
    </row>
    <row r="422">
      <c r="A422" t="inlineStr">
        <is>
          <t>IC4420</t>
        </is>
      </c>
      <c r="B422" t="inlineStr">
        <is>
          <t>NORDEX ENERGY SPAIN S A U</t>
        </is>
      </c>
      <c r="C422" t="n">
        <v>2122100000</v>
      </c>
      <c r="D422" t="inlineStr">
        <is>
          <t>Intercompany</t>
        </is>
      </c>
      <c r="E422" t="n">
        <v>5008869</v>
      </c>
      <c r="F422" t="inlineStr">
        <is>
          <t>4026002718</t>
        </is>
      </c>
      <c r="G422" t="inlineStr">
        <is>
          <t>RE</t>
        </is>
      </c>
      <c r="H422" s="12" t="n">
        <v>-139363.14</v>
      </c>
      <c r="I422" s="17" t="n">
        <v>46132</v>
      </c>
      <c r="J422" s="17" t="n">
        <v>46162</v>
      </c>
      <c r="K422" t="inlineStr">
        <is>
          <t>0252/26</t>
        </is>
      </c>
    </row>
    <row r="423">
      <c r="A423" t="inlineStr">
        <is>
          <t>IC4420</t>
        </is>
      </c>
      <c r="B423" t="inlineStr">
        <is>
          <t>NORDEX ENERGY SPAIN S A U</t>
        </is>
      </c>
      <c r="C423" t="n">
        <v>2122100000</v>
      </c>
      <c r="D423" t="inlineStr">
        <is>
          <t>Intercompany</t>
        </is>
      </c>
      <c r="E423" t="n">
        <v>5008870</v>
      </c>
      <c r="F423" t="inlineStr">
        <is>
          <t>4025009664</t>
        </is>
      </c>
      <c r="G423" t="inlineStr">
        <is>
          <t>RE</t>
        </is>
      </c>
      <c r="H423" s="12" t="n">
        <v>-39839.57</v>
      </c>
      <c r="I423" s="17" t="n">
        <v>46003</v>
      </c>
      <c r="J423" s="17" t="n">
        <v>46033</v>
      </c>
      <c r="K423" t="inlineStr">
        <is>
          <t>0938/25</t>
        </is>
      </c>
    </row>
    <row r="424">
      <c r="A424" t="inlineStr">
        <is>
          <t>IC4420</t>
        </is>
      </c>
      <c r="B424" t="inlineStr">
        <is>
          <t>NORDEX ENERGY SPAIN S A U</t>
        </is>
      </c>
      <c r="C424" t="n">
        <v>2122100000</v>
      </c>
      <c r="D424" t="inlineStr">
        <is>
          <t>Intercompany</t>
        </is>
      </c>
      <c r="E424" t="n">
        <v>5008871</v>
      </c>
      <c r="F424" t="inlineStr">
        <is>
          <t>4026002522</t>
        </is>
      </c>
      <c r="G424" t="inlineStr">
        <is>
          <t>RE</t>
        </is>
      </c>
      <c r="H424" s="12" t="n">
        <v>-16172.81</v>
      </c>
      <c r="I424" s="17" t="n">
        <v>46126</v>
      </c>
      <c r="J424" s="17" t="n">
        <v>46156</v>
      </c>
      <c r="K424" t="inlineStr">
        <is>
          <t>0217/26</t>
        </is>
      </c>
    </row>
    <row r="425">
      <c r="A425" t="inlineStr">
        <is>
          <t>IC4420</t>
        </is>
      </c>
      <c r="B425" t="inlineStr">
        <is>
          <t>NORDEX ENERGY SPAIN S A U</t>
        </is>
      </c>
      <c r="C425" t="n">
        <v>2122100000</v>
      </c>
      <c r="D425" t="inlineStr">
        <is>
          <t>Intercompany</t>
        </is>
      </c>
      <c r="E425" t="n">
        <v>5008880</v>
      </c>
      <c r="F425" t="inlineStr">
        <is>
          <t>4026002721</t>
        </is>
      </c>
      <c r="G425" t="inlineStr">
        <is>
          <t>RE</t>
        </is>
      </c>
      <c r="H425" s="12" t="n">
        <v>-320.7</v>
      </c>
      <c r="I425" s="17" t="n">
        <v>46132</v>
      </c>
      <c r="J425" s="17" t="n">
        <v>46162</v>
      </c>
      <c r="K425" t="inlineStr">
        <is>
          <t>0245/26</t>
        </is>
      </c>
    </row>
    <row r="426">
      <c r="A426" t="inlineStr">
        <is>
          <t>IC4420</t>
        </is>
      </c>
      <c r="B426" t="inlineStr">
        <is>
          <t>NORDEX ENERGY SPAIN S A U</t>
        </is>
      </c>
      <c r="C426" t="n">
        <v>2122100000</v>
      </c>
      <c r="D426" t="inlineStr">
        <is>
          <t>Intercompany</t>
        </is>
      </c>
      <c r="E426" t="n">
        <v>5008881</v>
      </c>
      <c r="F426" t="inlineStr">
        <is>
          <t>4026002892</t>
        </is>
      </c>
      <c r="G426" t="inlineStr">
        <is>
          <t>RE</t>
        </is>
      </c>
      <c r="H426" s="12" t="n">
        <v>-1351.43</v>
      </c>
      <c r="I426" s="17" t="n">
        <v>46140</v>
      </c>
      <c r="J426" s="17" t="n">
        <v>46170</v>
      </c>
      <c r="K426" t="inlineStr">
        <is>
          <t>0257/26</t>
        </is>
      </c>
    </row>
    <row r="427">
      <c r="A427" t="inlineStr">
        <is>
          <t>IC4420</t>
        </is>
      </c>
      <c r="B427" t="inlineStr">
        <is>
          <t>NORDEX ENERGY SPAIN S A U</t>
        </is>
      </c>
      <c r="C427" t="n">
        <v>2122100000</v>
      </c>
      <c r="D427" t="inlineStr">
        <is>
          <t>Intercompany</t>
        </is>
      </c>
      <c r="E427" t="n">
        <v>5008882</v>
      </c>
      <c r="F427" t="inlineStr">
        <is>
          <t>4026002708</t>
        </is>
      </c>
      <c r="G427" t="inlineStr">
        <is>
          <t>RE</t>
        </is>
      </c>
      <c r="H427" s="12" t="n">
        <v>-1918.93</v>
      </c>
      <c r="I427" s="17" t="n">
        <v>46132</v>
      </c>
      <c r="J427" s="17" t="n">
        <v>46162</v>
      </c>
      <c r="K427" t="inlineStr">
        <is>
          <t>0245/26</t>
        </is>
      </c>
    </row>
    <row r="428">
      <c r="A428" t="inlineStr">
        <is>
          <t>IC4420</t>
        </is>
      </c>
      <c r="B428" t="inlineStr">
        <is>
          <t>NORDEX ENERGY SPAIN S A U</t>
        </is>
      </c>
      <c r="C428" t="n">
        <v>2122100000</v>
      </c>
      <c r="D428" t="inlineStr">
        <is>
          <t>Intercompany</t>
        </is>
      </c>
      <c r="E428" t="n">
        <v>5008883</v>
      </c>
      <c r="F428" t="inlineStr">
        <is>
          <t>4026002710</t>
        </is>
      </c>
      <c r="G428" t="inlineStr">
        <is>
          <t>RE</t>
        </is>
      </c>
      <c r="H428" s="12" t="n">
        <v>-12592.62</v>
      </c>
      <c r="I428" s="17" t="n">
        <v>46132</v>
      </c>
      <c r="J428" s="17" t="n">
        <v>46162</v>
      </c>
      <c r="K428" t="inlineStr">
        <is>
          <t>0247/26</t>
        </is>
      </c>
    </row>
    <row r="429">
      <c r="A429" t="inlineStr">
        <is>
          <t>IC4420</t>
        </is>
      </c>
      <c r="B429" t="inlineStr">
        <is>
          <t>NORDEX ENERGY SPAIN S A U</t>
        </is>
      </c>
      <c r="C429" t="n">
        <v>2122100000</v>
      </c>
      <c r="D429" t="inlineStr">
        <is>
          <t>Intercompany</t>
        </is>
      </c>
      <c r="E429" t="n">
        <v>5008884</v>
      </c>
      <c r="F429" t="inlineStr">
        <is>
          <t>4026002713</t>
        </is>
      </c>
      <c r="G429" t="inlineStr">
        <is>
          <t>RE</t>
        </is>
      </c>
      <c r="H429" s="12" t="n">
        <v>-220700.19</v>
      </c>
      <c r="I429" s="17" t="n">
        <v>46132</v>
      </c>
      <c r="J429" s="17" t="n">
        <v>46162</v>
      </c>
      <c r="K429" t="inlineStr">
        <is>
          <t>0247/26</t>
        </is>
      </c>
    </row>
    <row r="430">
      <c r="A430" t="inlineStr">
        <is>
          <t>IC4420</t>
        </is>
      </c>
      <c r="B430" t="inlineStr">
        <is>
          <t>NORDEX ENERGY SPAIN S A U</t>
        </is>
      </c>
      <c r="C430" t="n">
        <v>2122100000</v>
      </c>
      <c r="D430" t="inlineStr">
        <is>
          <t>Intercompany</t>
        </is>
      </c>
      <c r="E430" t="n">
        <v>5008885</v>
      </c>
      <c r="F430" t="inlineStr">
        <is>
          <t>4026002707</t>
        </is>
      </c>
      <c r="G430" t="inlineStr">
        <is>
          <t>RE</t>
        </is>
      </c>
      <c r="H430" s="12" t="n">
        <v>-65825.71000000001</v>
      </c>
      <c r="I430" s="17" t="n">
        <v>46132</v>
      </c>
      <c r="J430" s="17" t="n">
        <v>46162</v>
      </c>
      <c r="K430" t="inlineStr">
        <is>
          <t>0245/26</t>
        </is>
      </c>
    </row>
    <row r="431">
      <c r="A431" t="inlineStr">
        <is>
          <t>IC4420</t>
        </is>
      </c>
      <c r="B431" t="inlineStr">
        <is>
          <t>NORDEX ENERGY SPAIN S A U</t>
        </is>
      </c>
      <c r="C431" t="n">
        <v>2122100000</v>
      </c>
      <c r="D431" t="inlineStr">
        <is>
          <t>Intercompany</t>
        </is>
      </c>
      <c r="E431" t="n">
        <v>5008939</v>
      </c>
      <c r="F431" t="inlineStr">
        <is>
          <t>4026002365</t>
        </is>
      </c>
      <c r="G431" t="inlineStr">
        <is>
          <t>RE</t>
        </is>
      </c>
      <c r="H431" s="12" t="n">
        <v>-224.26</v>
      </c>
      <c r="I431" s="17" t="n">
        <v>46119</v>
      </c>
      <c r="J431" s="17" t="n">
        <v>46149</v>
      </c>
      <c r="K431" t="inlineStr">
        <is>
          <t>0190/26</t>
        </is>
      </c>
    </row>
    <row r="432">
      <c r="A432" t="inlineStr">
        <is>
          <t>IC4420</t>
        </is>
      </c>
      <c r="B432" t="inlineStr">
        <is>
          <t>NORDEX ENERGY SPAIN S A U</t>
        </is>
      </c>
      <c r="C432" t="n">
        <v>2122100000</v>
      </c>
      <c r="D432" t="inlineStr">
        <is>
          <t>Intercompany</t>
        </is>
      </c>
      <c r="E432" t="n">
        <v>5008940</v>
      </c>
      <c r="F432" t="inlineStr">
        <is>
          <t>4025009663</t>
        </is>
      </c>
      <c r="G432" t="inlineStr">
        <is>
          <t>RE</t>
        </is>
      </c>
      <c r="H432" s="12" t="n">
        <v>-15770.77</v>
      </c>
      <c r="I432" s="17" t="n">
        <v>46003</v>
      </c>
      <c r="J432" s="17" t="n">
        <v>46033</v>
      </c>
      <c r="K432" t="inlineStr">
        <is>
          <t>0937/25</t>
        </is>
      </c>
    </row>
    <row r="433">
      <c r="A433" t="inlineStr">
        <is>
          <t>IC4420</t>
        </is>
      </c>
      <c r="B433" t="inlineStr">
        <is>
          <t>NORDEX ENERGY SPAIN S A U</t>
        </is>
      </c>
      <c r="C433" t="n">
        <v>2122100000</v>
      </c>
      <c r="D433" t="inlineStr">
        <is>
          <t>Intercompany</t>
        </is>
      </c>
      <c r="E433" t="n">
        <v>5008941</v>
      </c>
      <c r="F433" t="inlineStr">
        <is>
          <t>4025009670</t>
        </is>
      </c>
      <c r="G433" t="inlineStr">
        <is>
          <t>RE</t>
        </is>
      </c>
      <c r="H433" s="12" t="n">
        <v>-20746.14</v>
      </c>
      <c r="I433" s="17" t="n">
        <v>46003</v>
      </c>
      <c r="J433" s="17" t="n">
        <v>46033</v>
      </c>
      <c r="K433" t="inlineStr">
        <is>
          <t>0944/25</t>
        </is>
      </c>
    </row>
    <row r="434">
      <c r="A434" t="inlineStr">
        <is>
          <t>IC4420</t>
        </is>
      </c>
      <c r="B434" t="inlineStr">
        <is>
          <t>NORDEX ENERGY SPAIN S A U</t>
        </is>
      </c>
      <c r="C434" t="n">
        <v>2122100000</v>
      </c>
      <c r="D434" t="inlineStr">
        <is>
          <t>Intercompany</t>
        </is>
      </c>
      <c r="E434" t="n">
        <v>5008942</v>
      </c>
      <c r="F434" t="inlineStr">
        <is>
          <t>4026001263</t>
        </is>
      </c>
      <c r="G434" t="inlineStr">
        <is>
          <t>RE</t>
        </is>
      </c>
      <c r="H434" s="12" t="n">
        <v>-231973.58</v>
      </c>
      <c r="I434" s="17" t="n">
        <v>46073</v>
      </c>
      <c r="J434" s="17" t="n">
        <v>46103</v>
      </c>
      <c r="K434" t="inlineStr">
        <is>
          <t>0096/26</t>
        </is>
      </c>
    </row>
    <row r="435">
      <c r="A435" t="inlineStr">
        <is>
          <t>IC4420</t>
        </is>
      </c>
      <c r="B435" t="inlineStr">
        <is>
          <t>NORDEX ENERGY SPAIN S A U</t>
        </is>
      </c>
      <c r="C435" t="n">
        <v>2122100000</v>
      </c>
      <c r="D435" t="inlineStr">
        <is>
          <t>Intercompany</t>
        </is>
      </c>
      <c r="E435" t="n">
        <v>5008943</v>
      </c>
      <c r="F435" t="inlineStr">
        <is>
          <t>4026002366</t>
        </is>
      </c>
      <c r="G435" t="inlineStr">
        <is>
          <t>RE</t>
        </is>
      </c>
      <c r="H435" s="12" t="n">
        <v>-133885.12</v>
      </c>
      <c r="I435" s="17" t="n">
        <v>46119</v>
      </c>
      <c r="J435" s="17" t="n">
        <v>46149</v>
      </c>
      <c r="K435" t="inlineStr">
        <is>
          <t>0190/26</t>
        </is>
      </c>
    </row>
    <row r="436">
      <c r="A436" t="inlineStr">
        <is>
          <t>IC4420</t>
        </is>
      </c>
      <c r="B436" t="inlineStr">
        <is>
          <t>NORDEX ENERGY SPAIN S A U</t>
        </is>
      </c>
      <c r="C436" t="n">
        <v>2122100000</v>
      </c>
      <c r="D436" t="inlineStr">
        <is>
          <t>Intercompany</t>
        </is>
      </c>
      <c r="E436" t="n">
        <v>5008972</v>
      </c>
      <c r="F436" t="inlineStr">
        <is>
          <t>4025009659</t>
        </is>
      </c>
      <c r="G436" t="inlineStr">
        <is>
          <t>RE</t>
        </is>
      </c>
      <c r="H436" s="12" t="n">
        <v>-29718.45</v>
      </c>
      <c r="I436" s="17" t="n">
        <v>46003</v>
      </c>
      <c r="J436" s="17" t="n">
        <v>46033</v>
      </c>
      <c r="K436" t="inlineStr">
        <is>
          <t>0934/25</t>
        </is>
      </c>
    </row>
    <row r="437">
      <c r="A437" t="inlineStr">
        <is>
          <t>IC4420</t>
        </is>
      </c>
      <c r="B437" t="inlineStr">
        <is>
          <t>NORDEX ENERGY SPAIN S A U</t>
        </is>
      </c>
      <c r="C437" t="n">
        <v>2122100000</v>
      </c>
      <c r="D437" t="inlineStr">
        <is>
          <t>Intercompany</t>
        </is>
      </c>
      <c r="E437" t="n">
        <v>5009007</v>
      </c>
      <c r="F437" t="inlineStr">
        <is>
          <t>4026002719</t>
        </is>
      </c>
      <c r="G437" t="inlineStr">
        <is>
          <t>RE</t>
        </is>
      </c>
      <c r="H437" s="12" t="n">
        <v>-1013.39</v>
      </c>
      <c r="I437" s="17" t="n">
        <v>46132</v>
      </c>
      <c r="J437" s="17" t="n">
        <v>46162</v>
      </c>
      <c r="K437" t="inlineStr">
        <is>
          <t>0253/26</t>
        </is>
      </c>
    </row>
    <row r="438">
      <c r="A438" t="inlineStr">
        <is>
          <t>IC4420</t>
        </is>
      </c>
      <c r="B438" t="inlineStr">
        <is>
          <t>NORDEX ENERGY SPAIN S A U</t>
        </is>
      </c>
      <c r="C438" t="n">
        <v>2122100000</v>
      </c>
      <c r="D438" t="inlineStr">
        <is>
          <t>Intercompany</t>
        </is>
      </c>
      <c r="E438" t="n">
        <v>5009010</v>
      </c>
      <c r="F438" t="inlineStr">
        <is>
          <t>4026002804</t>
        </is>
      </c>
      <c r="G438" t="inlineStr">
        <is>
          <t>RE</t>
        </is>
      </c>
      <c r="H438" s="12" t="n">
        <v>-66840.78999999999</v>
      </c>
      <c r="I438" s="17" t="n">
        <v>46136</v>
      </c>
      <c r="J438" s="17" t="n">
        <v>46166</v>
      </c>
      <c r="K438" t="inlineStr">
        <is>
          <t>0255/26</t>
        </is>
      </c>
    </row>
    <row r="439">
      <c r="A439" t="inlineStr">
        <is>
          <t>IC4420</t>
        </is>
      </c>
      <c r="B439" t="inlineStr">
        <is>
          <t>NORDEX ENERGY SPAIN S A U</t>
        </is>
      </c>
      <c r="C439" t="n">
        <v>2122100000</v>
      </c>
      <c r="D439" t="inlineStr">
        <is>
          <t>Intercompany</t>
        </is>
      </c>
      <c r="E439" t="n">
        <v>5009011</v>
      </c>
      <c r="F439" t="inlineStr">
        <is>
          <t>4026001256</t>
        </is>
      </c>
      <c r="G439" t="inlineStr">
        <is>
          <t>RE</t>
        </is>
      </c>
      <c r="H439" s="12" t="n">
        <v>-65224.13</v>
      </c>
      <c r="I439" s="17" t="n">
        <v>46073</v>
      </c>
      <c r="J439" s="17" t="n">
        <v>46103</v>
      </c>
      <c r="K439" t="inlineStr">
        <is>
          <t>0093/26</t>
        </is>
      </c>
    </row>
    <row r="440">
      <c r="A440" t="inlineStr">
        <is>
          <t>IC4420</t>
        </is>
      </c>
      <c r="B440" t="inlineStr">
        <is>
          <t>NORDEX ENERGY SPAIN S A U</t>
        </is>
      </c>
      <c r="C440" t="n">
        <v>2122100000</v>
      </c>
      <c r="D440" t="inlineStr">
        <is>
          <t>Intercompany</t>
        </is>
      </c>
      <c r="E440" t="n">
        <v>5009012</v>
      </c>
      <c r="F440" t="inlineStr">
        <is>
          <t>4026001255</t>
        </is>
      </c>
      <c r="G440" t="inlineStr">
        <is>
          <t>RE</t>
        </is>
      </c>
      <c r="H440" s="12" t="n">
        <v>-435551.07</v>
      </c>
      <c r="I440" s="17" t="n">
        <v>46073</v>
      </c>
      <c r="J440" s="17" t="n">
        <v>46103</v>
      </c>
      <c r="K440" t="inlineStr">
        <is>
          <t>0093/26</t>
        </is>
      </c>
    </row>
    <row r="441">
      <c r="A441" t="inlineStr">
        <is>
          <t>IC4420</t>
        </is>
      </c>
      <c r="B441" t="inlineStr">
        <is>
          <t>NORDEX ENERGY SPAIN S A U</t>
        </is>
      </c>
      <c r="C441" t="n">
        <v>2122100000</v>
      </c>
      <c r="D441" t="inlineStr">
        <is>
          <t>Intercompany</t>
        </is>
      </c>
      <c r="E441" t="n">
        <v>5009013</v>
      </c>
      <c r="F441" t="inlineStr">
        <is>
          <t>4026001257</t>
        </is>
      </c>
      <c r="G441" t="inlineStr">
        <is>
          <t>RE</t>
        </is>
      </c>
      <c r="H441" s="12" t="n">
        <v>-167056</v>
      </c>
      <c r="I441" s="17" t="n">
        <v>46073</v>
      </c>
      <c r="J441" s="17" t="n">
        <v>46103</v>
      </c>
      <c r="K441" t="inlineStr">
        <is>
          <t>0093/26</t>
        </is>
      </c>
    </row>
    <row r="442">
      <c r="A442" t="inlineStr">
        <is>
          <t>IC4420</t>
        </is>
      </c>
      <c r="B442" t="inlineStr">
        <is>
          <t>NORDEX ENERGY SPAIN S A U</t>
        </is>
      </c>
      <c r="C442" t="n">
        <v>2122100000</v>
      </c>
      <c r="D442" t="inlineStr">
        <is>
          <t>Intercompany</t>
        </is>
      </c>
      <c r="E442" t="n">
        <v>5009014</v>
      </c>
      <c r="F442" t="inlineStr">
        <is>
          <t>4026001258</t>
        </is>
      </c>
      <c r="G442" t="inlineStr">
        <is>
          <t>RE</t>
        </is>
      </c>
      <c r="H442" s="12" t="n">
        <v>-14387.6</v>
      </c>
      <c r="I442" s="17" t="n">
        <v>46073</v>
      </c>
      <c r="J442" s="17" t="n">
        <v>46103</v>
      </c>
      <c r="K442" t="inlineStr">
        <is>
          <t>0093/26</t>
        </is>
      </c>
    </row>
    <row r="443">
      <c r="A443" t="inlineStr">
        <is>
          <t>IC4420</t>
        </is>
      </c>
      <c r="B443" t="inlineStr">
        <is>
          <t>NORDEX ENERGY SPAIN S A U</t>
        </is>
      </c>
      <c r="C443" t="n">
        <v>2122100000</v>
      </c>
      <c r="D443" t="inlineStr">
        <is>
          <t>Intercompany</t>
        </is>
      </c>
      <c r="E443" t="n">
        <v>5009015</v>
      </c>
      <c r="F443" t="inlineStr">
        <is>
          <t>4026002697</t>
        </is>
      </c>
      <c r="G443" t="inlineStr">
        <is>
          <t>RE</t>
        </is>
      </c>
      <c r="H443" s="12" t="n">
        <v>-90589.77</v>
      </c>
      <c r="I443" s="17" t="n">
        <v>46132</v>
      </c>
      <c r="J443" s="17" t="n">
        <v>46162</v>
      </c>
      <c r="K443" t="inlineStr">
        <is>
          <t>0242/26</t>
        </is>
      </c>
    </row>
    <row r="444">
      <c r="A444" t="inlineStr">
        <is>
          <t>IC1000</t>
        </is>
      </c>
      <c r="B444" t="inlineStr">
        <is>
          <t>NORDEX ENERGY SE &amp; CO KG</t>
        </is>
      </c>
      <c r="C444" t="n">
        <v>2122100000</v>
      </c>
      <c r="D444" t="inlineStr">
        <is>
          <t>Intercompany</t>
        </is>
      </c>
      <c r="E444" t="n">
        <v>5009048</v>
      </c>
      <c r="F444" t="inlineStr">
        <is>
          <t>388748</t>
        </is>
      </c>
      <c r="G444" t="inlineStr">
        <is>
          <t>RE</t>
        </is>
      </c>
      <c r="H444" s="12" t="n">
        <v>-922.03</v>
      </c>
      <c r="I444" s="17" t="n">
        <v>46105</v>
      </c>
      <c r="J444" s="17" t="n">
        <v>46135</v>
      </c>
      <c r="K444" t="inlineStr">
        <is>
          <t>0262/26</t>
        </is>
      </c>
    </row>
    <row r="445">
      <c r="A445" t="inlineStr">
        <is>
          <t>IC1000</t>
        </is>
      </c>
      <c r="B445" t="inlineStr">
        <is>
          <t>NORDEX ENERGY SE &amp; CO KG</t>
        </is>
      </c>
      <c r="C445" t="n">
        <v>2122100000</v>
      </c>
      <c r="D445" t="inlineStr">
        <is>
          <t>Intercompany</t>
        </is>
      </c>
      <c r="E445" t="n">
        <v>5009049</v>
      </c>
      <c r="F445" t="inlineStr">
        <is>
          <t>385273</t>
        </is>
      </c>
      <c r="G445" t="inlineStr">
        <is>
          <t>RE</t>
        </is>
      </c>
      <c r="H445" s="12" t="n">
        <v>-33454.04</v>
      </c>
      <c r="I445" s="17" t="n">
        <v>46105</v>
      </c>
      <c r="J445" s="17" t="n">
        <v>46135</v>
      </c>
      <c r="K445" t="inlineStr">
        <is>
          <t>0261/26</t>
        </is>
      </c>
    </row>
    <row r="446">
      <c r="A446" t="inlineStr">
        <is>
          <t>IC4420</t>
        </is>
      </c>
      <c r="B446" t="inlineStr">
        <is>
          <t>NORDEX ENERGY SPAIN S A U</t>
        </is>
      </c>
      <c r="C446" t="n">
        <v>2122100000</v>
      </c>
      <c r="D446" t="inlineStr">
        <is>
          <t>Intercompany</t>
        </is>
      </c>
      <c r="E446" t="n">
        <v>5009059</v>
      </c>
      <c r="F446" t="inlineStr">
        <is>
          <t>4026002918</t>
        </is>
      </c>
      <c r="G446" t="inlineStr">
        <is>
          <t>RE</t>
        </is>
      </c>
      <c r="H446" s="12" t="n">
        <v>-20072.26</v>
      </c>
      <c r="I446" s="17" t="n">
        <v>46141</v>
      </c>
      <c r="J446" s="17" t="n">
        <v>46171</v>
      </c>
      <c r="K446" t="inlineStr">
        <is>
          <t>0263/26</t>
        </is>
      </c>
    </row>
    <row r="447">
      <c r="A447" t="inlineStr">
        <is>
          <t>IC4420</t>
        </is>
      </c>
      <c r="B447" t="inlineStr">
        <is>
          <t>NORDEX ENERGY SPAIN S A U</t>
        </is>
      </c>
      <c r="C447" t="n">
        <v>2122100000</v>
      </c>
      <c r="D447" t="inlineStr">
        <is>
          <t>Intercompany</t>
        </is>
      </c>
      <c r="E447" t="n">
        <v>5009072</v>
      </c>
      <c r="F447" t="inlineStr">
        <is>
          <t>4026002808</t>
        </is>
      </c>
      <c r="G447" t="inlineStr">
        <is>
          <t>RE</t>
        </is>
      </c>
      <c r="H447" s="12" t="n">
        <v>-16291.42</v>
      </c>
      <c r="I447" s="17" t="n">
        <v>46136</v>
      </c>
      <c r="J447" s="17" t="n">
        <v>46166</v>
      </c>
      <c r="K447" t="inlineStr">
        <is>
          <t>0254/26</t>
        </is>
      </c>
    </row>
    <row r="448">
      <c r="A448" t="inlineStr">
        <is>
          <t>IC4420</t>
        </is>
      </c>
      <c r="B448" t="inlineStr">
        <is>
          <t>NORDEX ENERGY SPAIN S A U</t>
        </is>
      </c>
      <c r="C448" t="n">
        <v>2122100000</v>
      </c>
      <c r="D448" t="inlineStr">
        <is>
          <t>Intercompany</t>
        </is>
      </c>
      <c r="E448" t="n">
        <v>5009196</v>
      </c>
      <c r="F448" t="inlineStr">
        <is>
          <t>4026002980</t>
        </is>
      </c>
      <c r="G448" t="inlineStr">
        <is>
          <t>RE</t>
        </is>
      </c>
      <c r="H448" s="12" t="n">
        <v>-39079.77</v>
      </c>
      <c r="I448" s="17" t="n">
        <v>46142</v>
      </c>
      <c r="J448" s="17" t="n">
        <v>46172</v>
      </c>
      <c r="K448" t="inlineStr">
        <is>
          <t>0264/26</t>
        </is>
      </c>
    </row>
    <row r="449">
      <c r="A449" t="inlineStr">
        <is>
          <t>IC4420</t>
        </is>
      </c>
      <c r="B449" t="inlineStr">
        <is>
          <t>NORDEX ENERGY SPAIN S A U</t>
        </is>
      </c>
      <c r="C449" t="n">
        <v>2122100000</v>
      </c>
      <c r="D449" t="inlineStr">
        <is>
          <t>Intercompany</t>
        </is>
      </c>
      <c r="E449" t="n">
        <v>5009197</v>
      </c>
      <c r="F449" t="inlineStr">
        <is>
          <t>4026002177</t>
        </is>
      </c>
      <c r="G449" t="inlineStr">
        <is>
          <t>RE</t>
        </is>
      </c>
      <c r="H449" s="12" t="n">
        <v>-7861.8</v>
      </c>
      <c r="I449" s="17" t="n">
        <v>46111</v>
      </c>
      <c r="J449" s="17" t="n">
        <v>46141</v>
      </c>
      <c r="K449" t="inlineStr">
        <is>
          <t>0201/26</t>
        </is>
      </c>
    </row>
    <row r="450">
      <c r="A450" t="inlineStr">
        <is>
          <t>IC4420</t>
        </is>
      </c>
      <c r="B450" t="inlineStr">
        <is>
          <t>NORDEX ENERGY SPAIN S A U</t>
        </is>
      </c>
      <c r="C450" t="n">
        <v>2122100000</v>
      </c>
      <c r="D450" t="inlineStr">
        <is>
          <t>Intercompany</t>
        </is>
      </c>
      <c r="E450" t="n">
        <v>5009198</v>
      </c>
      <c r="F450" t="inlineStr">
        <is>
          <t>4026002176</t>
        </is>
      </c>
      <c r="G450" t="inlineStr">
        <is>
          <t>RE</t>
        </is>
      </c>
      <c r="H450" s="12" t="n">
        <v>-5338.45</v>
      </c>
      <c r="I450" s="17" t="n">
        <v>46111</v>
      </c>
      <c r="J450" s="17" t="n">
        <v>46141</v>
      </c>
      <c r="K450" t="inlineStr">
        <is>
          <t>0201/26</t>
        </is>
      </c>
    </row>
    <row r="451">
      <c r="A451" t="inlineStr">
        <is>
          <t>IC4420</t>
        </is>
      </c>
      <c r="B451" t="inlineStr">
        <is>
          <t>NORDEX ENERGY SPAIN S A U</t>
        </is>
      </c>
      <c r="C451" t="n">
        <v>2122100000</v>
      </c>
      <c r="D451" t="inlineStr">
        <is>
          <t>Intercompany</t>
        </is>
      </c>
      <c r="E451" t="n">
        <v>5009199</v>
      </c>
      <c r="F451" t="inlineStr">
        <is>
          <t>4026002183</t>
        </is>
      </c>
      <c r="G451" t="inlineStr">
        <is>
          <t>RE</t>
        </is>
      </c>
      <c r="H451" s="12" t="n">
        <v>-73441.17999999999</v>
      </c>
      <c r="I451" s="17" t="n">
        <v>46111</v>
      </c>
      <c r="J451" s="17" t="n">
        <v>46141</v>
      </c>
      <c r="K451" t="inlineStr">
        <is>
          <t>0201/26</t>
        </is>
      </c>
    </row>
    <row r="452">
      <c r="A452" t="inlineStr">
        <is>
          <t>IC4420</t>
        </is>
      </c>
      <c r="B452" t="inlineStr">
        <is>
          <t>NORDEX ENERGY SPAIN S A U</t>
        </is>
      </c>
      <c r="C452" t="n">
        <v>2122100000</v>
      </c>
      <c r="D452" t="inlineStr">
        <is>
          <t>Intercompany</t>
        </is>
      </c>
      <c r="E452" t="n">
        <v>5009200</v>
      </c>
      <c r="F452" t="inlineStr">
        <is>
          <t>4026002181</t>
        </is>
      </c>
      <c r="G452" t="inlineStr">
        <is>
          <t>RE</t>
        </is>
      </c>
      <c r="H452" s="12" t="n">
        <v>-100878.33</v>
      </c>
      <c r="I452" s="17" t="n">
        <v>46111</v>
      </c>
      <c r="J452" s="17" t="n">
        <v>46141</v>
      </c>
      <c r="K452" t="inlineStr">
        <is>
          <t>0201/26</t>
        </is>
      </c>
    </row>
    <row r="453">
      <c r="A453" t="inlineStr">
        <is>
          <t>IC1000</t>
        </is>
      </c>
      <c r="B453" t="inlineStr">
        <is>
          <t>NORDEX ENERGY SE &amp; CO KG</t>
        </is>
      </c>
      <c r="C453" t="n">
        <v>2122100000</v>
      </c>
      <c r="D453" t="inlineStr">
        <is>
          <t>Intercompany</t>
        </is>
      </c>
      <c r="E453" t="n">
        <v>5009216</v>
      </c>
      <c r="F453" t="inlineStr">
        <is>
          <t>RITM0605916</t>
        </is>
      </c>
      <c r="G453" t="inlineStr">
        <is>
          <t>RE</t>
        </is>
      </c>
      <c r="H453" s="12" t="n">
        <v>-4271044.14</v>
      </c>
      <c r="I453" s="17" t="n">
        <v>46071</v>
      </c>
      <c r="J453" s="17" t="n">
        <v>46101</v>
      </c>
      <c r="K453" t="inlineStr">
        <is>
          <t>0103/26</t>
        </is>
      </c>
    </row>
    <row r="454">
      <c r="A454" t="inlineStr">
        <is>
          <t>IC4420</t>
        </is>
      </c>
      <c r="B454" t="inlineStr">
        <is>
          <t>NORDEX ENERGY SPAIN S A U</t>
        </is>
      </c>
      <c r="C454" t="n">
        <v>2122100000</v>
      </c>
      <c r="D454" t="inlineStr">
        <is>
          <t>Intercompany</t>
        </is>
      </c>
      <c r="E454" t="n">
        <v>5009372</v>
      </c>
      <c r="F454" t="inlineStr">
        <is>
          <t>4026003355</t>
        </is>
      </c>
      <c r="G454" t="inlineStr">
        <is>
          <t>RE</t>
        </is>
      </c>
      <c r="H454" s="12" t="n">
        <v>-500029.08</v>
      </c>
      <c r="I454" s="17" t="n">
        <v>46155</v>
      </c>
      <c r="J454" s="17" t="n">
        <v>46185</v>
      </c>
      <c r="K454" t="inlineStr">
        <is>
          <t>0328/26</t>
        </is>
      </c>
    </row>
    <row r="455">
      <c r="A455" t="inlineStr">
        <is>
          <t>IC4420</t>
        </is>
      </c>
      <c r="B455" t="inlineStr">
        <is>
          <t>NORDEX ENERGY SPAIN S A U</t>
        </is>
      </c>
      <c r="C455" t="n">
        <v>2122100000</v>
      </c>
      <c r="D455" t="inlineStr">
        <is>
          <t>Intercompany</t>
        </is>
      </c>
      <c r="E455" t="n">
        <v>5009653</v>
      </c>
      <c r="F455" t="inlineStr">
        <is>
          <t>4025007232</t>
        </is>
      </c>
      <c r="G455" t="inlineStr">
        <is>
          <t>RE</t>
        </is>
      </c>
      <c r="H455" s="12" t="n">
        <v>-9007.08</v>
      </c>
      <c r="I455" s="17" t="n">
        <v>45919</v>
      </c>
      <c r="J455" s="17" t="n">
        <v>45949</v>
      </c>
      <c r="K455" t="inlineStr">
        <is>
          <t>0775/25</t>
        </is>
      </c>
    </row>
    <row r="456">
      <c r="A456" t="inlineStr">
        <is>
          <t>IC1000</t>
        </is>
      </c>
      <c r="B456" t="inlineStr">
        <is>
          <t>NORDEX ENERGY SE &amp; CO KG</t>
        </is>
      </c>
      <c r="C456" t="n">
        <v>2122100000</v>
      </c>
      <c r="D456" t="inlineStr">
        <is>
          <t>Intercompany</t>
        </is>
      </c>
      <c r="E456" t="n">
        <v>5009660</v>
      </c>
      <c r="F456" t="inlineStr">
        <is>
          <t>312156</t>
        </is>
      </c>
      <c r="G456" t="inlineStr">
        <is>
          <t>RE</t>
        </is>
      </c>
      <c r="H456" s="12" t="n">
        <v>-13507</v>
      </c>
      <c r="I456" s="17" t="n">
        <v>45673</v>
      </c>
      <c r="J456" s="17" t="n">
        <v>45703</v>
      </c>
      <c r="K456" t="inlineStr">
        <is>
          <t>0052/25</t>
        </is>
      </c>
    </row>
    <row r="457">
      <c r="A457" t="inlineStr">
        <is>
          <t>IC1000</t>
        </is>
      </c>
      <c r="B457" t="inlineStr">
        <is>
          <t>NORDEX ENERGY SE &amp; CO KG</t>
        </is>
      </c>
      <c r="C457" t="n">
        <v>2122100000</v>
      </c>
      <c r="D457" t="inlineStr">
        <is>
          <t>Intercompany</t>
        </is>
      </c>
      <c r="E457" t="n">
        <v>5009775</v>
      </c>
      <c r="F457" t="inlineStr">
        <is>
          <t>327756</t>
        </is>
      </c>
      <c r="G457" t="inlineStr">
        <is>
          <t>RE</t>
        </is>
      </c>
      <c r="H457" s="12" t="n">
        <v>-33122.53</v>
      </c>
      <c r="I457" s="17" t="n">
        <v>45691</v>
      </c>
      <c r="J457" s="17" t="n">
        <v>45721</v>
      </c>
      <c r="K457" t="inlineStr">
        <is>
          <t>0107/25</t>
        </is>
      </c>
    </row>
    <row r="458">
      <c r="A458" t="inlineStr">
        <is>
          <t>IC1000</t>
        </is>
      </c>
      <c r="B458" t="inlineStr">
        <is>
          <t>NORDEX ENERGY SE &amp; CO KG</t>
        </is>
      </c>
      <c r="C458" t="n">
        <v>2122100000</v>
      </c>
      <c r="D458" t="inlineStr">
        <is>
          <t>Intercompany</t>
        </is>
      </c>
      <c r="E458" t="n">
        <v>5009776</v>
      </c>
      <c r="F458" t="inlineStr">
        <is>
          <t>326412</t>
        </is>
      </c>
      <c r="G458" t="inlineStr">
        <is>
          <t>RE</t>
        </is>
      </c>
      <c r="H458" s="12" t="n">
        <v>-12908.65</v>
      </c>
      <c r="I458" s="17" t="n">
        <v>45684</v>
      </c>
      <c r="J458" s="17" t="n">
        <v>45714</v>
      </c>
      <c r="K458" t="inlineStr">
        <is>
          <t>0106/25</t>
        </is>
      </c>
    </row>
    <row r="459">
      <c r="A459" t="inlineStr">
        <is>
          <t>IC1000</t>
        </is>
      </c>
      <c r="B459" t="inlineStr">
        <is>
          <t>NORDEX ENERGY SE &amp; CO KG</t>
        </is>
      </c>
      <c r="C459" t="n">
        <v>2122100000</v>
      </c>
      <c r="D459" t="inlineStr">
        <is>
          <t>Intercompany</t>
        </is>
      </c>
      <c r="E459" t="n">
        <v>5009848</v>
      </c>
      <c r="F459" t="inlineStr">
        <is>
          <t>4012492785MHO</t>
        </is>
      </c>
      <c r="G459" t="inlineStr">
        <is>
          <t>RE</t>
        </is>
      </c>
      <c r="H459" s="12" t="n">
        <v>-75038645.59999999</v>
      </c>
      <c r="I459" s="17" t="n">
        <v>46038</v>
      </c>
      <c r="J459" s="17" t="n">
        <v>46068</v>
      </c>
      <c r="K459" t="inlineStr">
        <is>
          <t>0029/26</t>
        </is>
      </c>
    </row>
    <row r="460">
      <c r="A460" t="inlineStr">
        <is>
          <t>IC4420</t>
        </is>
      </c>
      <c r="B460" t="inlineStr">
        <is>
          <t>NORDEX ENERGY SPAIN S A U</t>
        </is>
      </c>
      <c r="C460" t="n">
        <v>2122100000</v>
      </c>
      <c r="D460" t="inlineStr">
        <is>
          <t>Intercompany</t>
        </is>
      </c>
      <c r="E460" t="n">
        <v>5009849</v>
      </c>
      <c r="F460" t="inlineStr">
        <is>
          <t>4025008982</t>
        </is>
      </c>
      <c r="G460" t="inlineStr">
        <is>
          <t>RE</t>
        </is>
      </c>
      <c r="H460" s="12" t="n">
        <v>-426789.46</v>
      </c>
      <c r="I460" s="17" t="n">
        <v>45981</v>
      </c>
      <c r="J460" s="17" t="n">
        <v>46011</v>
      </c>
      <c r="K460" t="inlineStr">
        <is>
          <t>0871/25</t>
        </is>
      </c>
    </row>
    <row r="461">
      <c r="A461" t="inlineStr">
        <is>
          <t>IC1000</t>
        </is>
      </c>
      <c r="B461" t="inlineStr">
        <is>
          <t>NORDEX ENERGY SE &amp; CO KG</t>
        </is>
      </c>
      <c r="C461" t="n">
        <v>2122100000</v>
      </c>
      <c r="D461" t="inlineStr">
        <is>
          <t>Intercompany</t>
        </is>
      </c>
      <c r="E461" t="n">
        <v>5009853</v>
      </c>
      <c r="F461" t="inlineStr">
        <is>
          <t>4012492785HUB</t>
        </is>
      </c>
      <c r="G461" t="inlineStr">
        <is>
          <t>RE</t>
        </is>
      </c>
      <c r="H461" s="12" t="n">
        <v>-34896148.79</v>
      </c>
      <c r="I461" s="17" t="n">
        <v>46038</v>
      </c>
      <c r="J461" s="17" t="n">
        <v>46068</v>
      </c>
      <c r="K461" t="inlineStr">
        <is>
          <t>0030/26</t>
        </is>
      </c>
    </row>
    <row r="462">
      <c r="A462" t="inlineStr">
        <is>
          <t>IC1000</t>
        </is>
      </c>
      <c r="B462" t="inlineStr">
        <is>
          <t>NORDEX ENERGY SE &amp; CO KG</t>
        </is>
      </c>
      <c r="C462" t="n">
        <v>2122100000</v>
      </c>
      <c r="D462" t="inlineStr">
        <is>
          <t>Intercompany</t>
        </is>
      </c>
      <c r="E462" t="n">
        <v>5009859</v>
      </c>
      <c r="F462" t="inlineStr">
        <is>
          <t>326419</t>
        </is>
      </c>
      <c r="G462" t="inlineStr">
        <is>
          <t>RE</t>
        </is>
      </c>
      <c r="H462" s="12" t="n">
        <v>-33246.97</v>
      </c>
      <c r="I462" s="17" t="n">
        <v>45684</v>
      </c>
      <c r="J462" s="17" t="n">
        <v>45714</v>
      </c>
      <c r="K462" t="inlineStr">
        <is>
          <t>0118/25</t>
        </is>
      </c>
    </row>
    <row r="463">
      <c r="A463" t="inlineStr">
        <is>
          <t>IC4420</t>
        </is>
      </c>
      <c r="B463" t="inlineStr">
        <is>
          <t>NORDEX ENERGY SPAIN S A U</t>
        </is>
      </c>
      <c r="C463" t="n">
        <v>2122100000</v>
      </c>
      <c r="D463" t="inlineStr">
        <is>
          <t>Intercompany</t>
        </is>
      </c>
      <c r="E463" t="n">
        <v>5009888</v>
      </c>
      <c r="F463" t="inlineStr">
        <is>
          <t>4018000269</t>
        </is>
      </c>
      <c r="G463" t="inlineStr">
        <is>
          <t>RE</t>
        </is>
      </c>
      <c r="H463" s="12" t="n">
        <v>-497887.67</v>
      </c>
      <c r="I463" s="17" t="n">
        <v>46010</v>
      </c>
      <c r="J463" s="17" t="n">
        <v>46040</v>
      </c>
      <c r="K463" t="inlineStr">
        <is>
          <t>0947/25</t>
        </is>
      </c>
    </row>
    <row r="464">
      <c r="A464" t="inlineStr">
        <is>
          <t>IC4420</t>
        </is>
      </c>
      <c r="B464" t="inlineStr">
        <is>
          <t>NORDEX ENERGY SPAIN S A U</t>
        </is>
      </c>
      <c r="C464" t="n">
        <v>2122100000</v>
      </c>
      <c r="D464" t="inlineStr">
        <is>
          <t>Intercompany</t>
        </is>
      </c>
      <c r="E464" t="n">
        <v>5009915</v>
      </c>
      <c r="F464" t="inlineStr">
        <is>
          <t>4026001206</t>
        </is>
      </c>
      <c r="G464" t="inlineStr">
        <is>
          <t>RE</t>
        </is>
      </c>
      <c r="H464" s="12" t="n">
        <v>-395546.92</v>
      </c>
      <c r="I464" s="17" t="n">
        <v>46072</v>
      </c>
      <c r="J464" s="17" t="n">
        <v>46102</v>
      </c>
      <c r="K464" t="inlineStr">
        <is>
          <t>0150/26</t>
        </is>
      </c>
    </row>
    <row r="465">
      <c r="A465" t="inlineStr">
        <is>
          <t>IC4420</t>
        </is>
      </c>
      <c r="B465" t="inlineStr">
        <is>
          <t>NORDEX ENERGY SPAIN S A U</t>
        </is>
      </c>
      <c r="C465" t="n">
        <v>2122100000</v>
      </c>
      <c r="D465" t="inlineStr">
        <is>
          <t>Intercompany</t>
        </is>
      </c>
      <c r="E465" t="n">
        <v>5009928</v>
      </c>
      <c r="F465" t="inlineStr">
        <is>
          <t>4026003575</t>
        </is>
      </c>
      <c r="G465" t="inlineStr">
        <is>
          <t>RE</t>
        </is>
      </c>
      <c r="H465" s="12" t="n">
        <v>-7326.19</v>
      </c>
      <c r="I465" s="17" t="n">
        <v>46161</v>
      </c>
      <c r="J465" s="17" t="n">
        <v>46191</v>
      </c>
      <c r="K465" t="inlineStr">
        <is>
          <t>0354/26</t>
        </is>
      </c>
    </row>
    <row r="466">
      <c r="A466" t="inlineStr">
        <is>
          <t>IC4420</t>
        </is>
      </c>
      <c r="B466" t="inlineStr">
        <is>
          <t>NORDEX ENERGY SPAIN S A U</t>
        </is>
      </c>
      <c r="C466" t="n">
        <v>2122100000</v>
      </c>
      <c r="D466" t="inlineStr">
        <is>
          <t>Intercompany</t>
        </is>
      </c>
      <c r="E466" t="n">
        <v>5009947</v>
      </c>
      <c r="F466" t="inlineStr">
        <is>
          <t>4026003092</t>
        </is>
      </c>
      <c r="G466" t="inlineStr">
        <is>
          <t>RE</t>
        </is>
      </c>
      <c r="H466" s="12" t="n">
        <v>-311653.9</v>
      </c>
      <c r="I466" s="17" t="n">
        <v>46146</v>
      </c>
      <c r="J466" s="17" t="n">
        <v>46176</v>
      </c>
      <c r="K466" t="inlineStr">
        <is>
          <t>0289/26</t>
        </is>
      </c>
    </row>
    <row r="467">
      <c r="A467" t="inlineStr">
        <is>
          <t>IC4420</t>
        </is>
      </c>
      <c r="B467" t="inlineStr">
        <is>
          <t>NORDEX ENERGY SPAIN S A U</t>
        </is>
      </c>
      <c r="C467" t="n">
        <v>2122100000</v>
      </c>
      <c r="D467" t="inlineStr">
        <is>
          <t>Intercompany</t>
        </is>
      </c>
      <c r="E467" t="n">
        <v>5009950</v>
      </c>
      <c r="F467" t="inlineStr">
        <is>
          <t>4026002917</t>
        </is>
      </c>
      <c r="G467" t="inlineStr">
        <is>
          <t>RE</t>
        </is>
      </c>
      <c r="H467" s="12" t="n">
        <v>-2966.41</v>
      </c>
      <c r="I467" s="17" t="n">
        <v>46141</v>
      </c>
      <c r="J467" s="17" t="n">
        <v>46171</v>
      </c>
      <c r="K467" t="inlineStr">
        <is>
          <t>0260/26</t>
        </is>
      </c>
    </row>
    <row r="468">
      <c r="A468" t="inlineStr">
        <is>
          <t>IC4420</t>
        </is>
      </c>
      <c r="B468" t="inlineStr">
        <is>
          <t>NORDEX ENERGY SPAIN S A U</t>
        </is>
      </c>
      <c r="C468" t="n">
        <v>2122100000</v>
      </c>
      <c r="D468" t="inlineStr">
        <is>
          <t>Intercompany</t>
        </is>
      </c>
      <c r="E468" t="n">
        <v>5009951</v>
      </c>
      <c r="F468" t="inlineStr">
        <is>
          <t>4026002716</t>
        </is>
      </c>
      <c r="G468" t="inlineStr">
        <is>
          <t>RE</t>
        </is>
      </c>
      <c r="H468" s="12" t="n">
        <v>-69504.92</v>
      </c>
      <c r="I468" s="17" t="n">
        <v>46132</v>
      </c>
      <c r="J468" s="17" t="n">
        <v>46162</v>
      </c>
      <c r="K468" t="inlineStr">
        <is>
          <t>0250/26</t>
        </is>
      </c>
    </row>
    <row r="469">
      <c r="A469" t="inlineStr">
        <is>
          <t>IC4420</t>
        </is>
      </c>
      <c r="B469" t="inlineStr">
        <is>
          <t>NORDEX ENERGY SPAIN S A U</t>
        </is>
      </c>
      <c r="C469" t="n">
        <v>2122100000</v>
      </c>
      <c r="D469" t="inlineStr">
        <is>
          <t>Intercompany</t>
        </is>
      </c>
      <c r="E469" t="n">
        <v>5009952</v>
      </c>
      <c r="F469" t="inlineStr">
        <is>
          <t>4025008980</t>
        </is>
      </c>
      <c r="G469" t="inlineStr">
        <is>
          <t>RE</t>
        </is>
      </c>
      <c r="H469" s="12" t="n">
        <v>-141735.08</v>
      </c>
      <c r="I469" s="17" t="n">
        <v>45981</v>
      </c>
      <c r="J469" s="17" t="n">
        <v>46011</v>
      </c>
      <c r="K469" t="inlineStr">
        <is>
          <t>0870/25</t>
        </is>
      </c>
    </row>
    <row r="470">
      <c r="A470" t="inlineStr">
        <is>
          <t>IC1000</t>
        </is>
      </c>
      <c r="B470" t="inlineStr">
        <is>
          <t>NORDEX ENERGY SE &amp; CO KG</t>
        </is>
      </c>
      <c r="C470" t="n">
        <v>2122100000</v>
      </c>
      <c r="D470" t="inlineStr">
        <is>
          <t>Intercompany</t>
        </is>
      </c>
      <c r="E470" t="n">
        <v>5010022</v>
      </c>
      <c r="F470" t="inlineStr">
        <is>
          <t>4012492786</t>
        </is>
      </c>
      <c r="G470" t="inlineStr">
        <is>
          <t>RE</t>
        </is>
      </c>
      <c r="H470" s="12" t="n">
        <v>-62023531.6</v>
      </c>
      <c r="I470" s="17" t="n">
        <v>46038</v>
      </c>
      <c r="J470" s="17" t="n">
        <v>46068</v>
      </c>
      <c r="K470" t="inlineStr">
        <is>
          <t>0031/26</t>
        </is>
      </c>
    </row>
    <row r="471">
      <c r="A471" t="inlineStr">
        <is>
          <t>IC4420</t>
        </is>
      </c>
      <c r="B471" t="inlineStr">
        <is>
          <t>NORDEX ENERGY SPAIN S A U</t>
        </is>
      </c>
      <c r="C471" t="n">
        <v>2122100000</v>
      </c>
      <c r="D471" t="inlineStr">
        <is>
          <t>Intercompany</t>
        </is>
      </c>
      <c r="E471" t="n">
        <v>5010045</v>
      </c>
      <c r="F471" t="inlineStr">
        <is>
          <t>4000460</t>
        </is>
      </c>
      <c r="G471" t="inlineStr">
        <is>
          <t>KR</t>
        </is>
      </c>
      <c r="H471" s="12" t="n">
        <v>-1196573.35</v>
      </c>
      <c r="I471" s="17" t="n">
        <v>46177</v>
      </c>
      <c r="J471" s="17" t="n">
        <v>46207</v>
      </c>
      <c r="K471" t="inlineStr">
        <is>
          <t>Fatura do fornecedor NORDEX ENERGY SPAIN S A U 400</t>
        </is>
      </c>
    </row>
    <row r="472">
      <c r="A472" t="inlineStr">
        <is>
          <t>IC4420</t>
        </is>
      </c>
      <c r="B472" t="inlineStr">
        <is>
          <t>NORDEX ENERGY SPAIN S A U</t>
        </is>
      </c>
      <c r="C472" t="n">
        <v>2122100000</v>
      </c>
      <c r="D472" t="inlineStr">
        <is>
          <t>Intercompany</t>
        </is>
      </c>
      <c r="E472" t="n">
        <v>5010059</v>
      </c>
      <c r="F472" t="inlineStr">
        <is>
          <t>4018000287</t>
        </is>
      </c>
      <c r="G472" t="inlineStr">
        <is>
          <t>RE</t>
        </is>
      </c>
      <c r="H472" s="12" t="n">
        <v>-286257.83</v>
      </c>
      <c r="I472" s="17" t="n">
        <v>45610</v>
      </c>
      <c r="J472" s="17" t="n">
        <v>45640</v>
      </c>
      <c r="K472" t="inlineStr">
        <is>
          <t>1039/24</t>
        </is>
      </c>
    </row>
    <row r="473">
      <c r="A473" t="inlineStr">
        <is>
          <t>IC1000</t>
        </is>
      </c>
      <c r="B473" t="inlineStr">
        <is>
          <t>NORDEX ENERGY SE &amp; CO KG</t>
        </is>
      </c>
      <c r="C473" t="n">
        <v>2122100000</v>
      </c>
      <c r="D473" t="inlineStr">
        <is>
          <t>Intercompany</t>
        </is>
      </c>
      <c r="E473" t="n">
        <v>5010063</v>
      </c>
      <c r="F473" t="inlineStr">
        <is>
          <t>RITM0435283</t>
        </is>
      </c>
      <c r="G473" t="inlineStr">
        <is>
          <t>RE</t>
        </is>
      </c>
      <c r="H473" s="12" t="n">
        <v>-609598.4300000001</v>
      </c>
      <c r="I473" s="17" t="n">
        <v>45622</v>
      </c>
      <c r="J473" s="17" t="n">
        <v>45652</v>
      </c>
      <c r="K473" t="inlineStr">
        <is>
          <t>0024/25</t>
        </is>
      </c>
    </row>
    <row r="474">
      <c r="A474" t="inlineStr">
        <is>
          <t>IC1000</t>
        </is>
      </c>
      <c r="B474" t="inlineStr">
        <is>
          <t>NORDEX ENERGY SE &amp; CO KG</t>
        </is>
      </c>
      <c r="C474" t="n">
        <v>2122100000</v>
      </c>
      <c r="D474" t="inlineStr">
        <is>
          <t>Intercompany</t>
        </is>
      </c>
      <c r="E474" t="n">
        <v>5010177</v>
      </c>
      <c r="F474" t="inlineStr">
        <is>
          <t>4012433990</t>
        </is>
      </c>
      <c r="G474" t="inlineStr">
        <is>
          <t>RE</t>
        </is>
      </c>
      <c r="H474" s="12" t="n">
        <v>-899562.26</v>
      </c>
      <c r="I474" s="17" t="n">
        <v>45692</v>
      </c>
      <c r="J474" s="17" t="n">
        <v>45722</v>
      </c>
      <c r="K474" t="inlineStr">
        <is>
          <t>0134/25</t>
        </is>
      </c>
    </row>
    <row r="475">
      <c r="A475" t="inlineStr">
        <is>
          <t>IC4420</t>
        </is>
      </c>
      <c r="B475" t="inlineStr">
        <is>
          <t>NORDEX ENERGY SPAIN S A U</t>
        </is>
      </c>
      <c r="C475" t="n">
        <v>2122100000</v>
      </c>
      <c r="D475" t="inlineStr">
        <is>
          <t>Intercompany</t>
        </is>
      </c>
      <c r="E475" t="n">
        <v>5010203</v>
      </c>
      <c r="F475" t="inlineStr">
        <is>
          <t>4026002984</t>
        </is>
      </c>
      <c r="G475" t="inlineStr">
        <is>
          <t>RE</t>
        </is>
      </c>
      <c r="H475" s="12" t="n">
        <v>-290.14</v>
      </c>
      <c r="I475" s="17" t="n">
        <v>46142</v>
      </c>
      <c r="J475" s="17" t="n">
        <v>46172</v>
      </c>
      <c r="K475" t="inlineStr">
        <is>
          <t>0268/26</t>
        </is>
      </c>
    </row>
    <row r="476">
      <c r="A476" t="inlineStr">
        <is>
          <t>IC4420</t>
        </is>
      </c>
      <c r="B476" t="inlineStr">
        <is>
          <t>NORDEX ENERGY SPAIN S A U</t>
        </is>
      </c>
      <c r="C476" t="n">
        <v>2122100000</v>
      </c>
      <c r="D476" t="inlineStr">
        <is>
          <t>Intercompany</t>
        </is>
      </c>
      <c r="E476" t="n">
        <v>5010208</v>
      </c>
      <c r="F476" t="inlineStr">
        <is>
          <t>4026003166</t>
        </is>
      </c>
      <c r="G476" t="inlineStr">
        <is>
          <t>RE</t>
        </is>
      </c>
      <c r="H476" s="12" t="n">
        <v>-312037.63</v>
      </c>
      <c r="I476" s="17" t="n">
        <v>46149</v>
      </c>
      <c r="J476" s="17" t="n">
        <v>46179</v>
      </c>
      <c r="K476" t="inlineStr">
        <is>
          <t>0303/26</t>
        </is>
      </c>
    </row>
    <row r="477">
      <c r="A477" t="inlineStr">
        <is>
          <t>IC4420</t>
        </is>
      </c>
      <c r="B477" t="inlineStr">
        <is>
          <t>NORDEX ENERGY SPAIN S A U</t>
        </is>
      </c>
      <c r="C477" t="n">
        <v>2122100000</v>
      </c>
      <c r="D477" t="inlineStr">
        <is>
          <t>Intercompany</t>
        </is>
      </c>
      <c r="E477" t="n">
        <v>5010222</v>
      </c>
      <c r="F477" t="inlineStr">
        <is>
          <t>4026002847</t>
        </is>
      </c>
      <c r="G477" t="inlineStr">
        <is>
          <t>RE</t>
        </is>
      </c>
      <c r="H477" s="12" t="n">
        <v>-143819.36</v>
      </c>
      <c r="I477" s="17" t="n">
        <v>46139</v>
      </c>
      <c r="J477" s="17" t="n">
        <v>46169</v>
      </c>
      <c r="K477" t="inlineStr">
        <is>
          <t>0259/26</t>
        </is>
      </c>
    </row>
    <row r="478">
      <c r="A478" t="inlineStr">
        <is>
          <t>IC4420</t>
        </is>
      </c>
      <c r="B478" t="inlineStr">
        <is>
          <t>NORDEX ENERGY SPAIN S A U</t>
        </is>
      </c>
      <c r="C478" t="n">
        <v>2122100000</v>
      </c>
      <c r="D478" t="inlineStr">
        <is>
          <t>Intercompany</t>
        </is>
      </c>
      <c r="E478" t="n">
        <v>5010238</v>
      </c>
      <c r="F478" t="inlineStr">
        <is>
          <t>4026002846</t>
        </is>
      </c>
      <c r="G478" t="inlineStr">
        <is>
          <t>RE</t>
        </is>
      </c>
      <c r="H478" s="12" t="n">
        <v>-1650.35</v>
      </c>
      <c r="I478" s="17" t="n">
        <v>46139</v>
      </c>
      <c r="J478" s="17" t="n">
        <v>46169</v>
      </c>
      <c r="K478" t="inlineStr">
        <is>
          <t>0259/26</t>
        </is>
      </c>
    </row>
    <row r="479">
      <c r="A479" t="inlineStr">
        <is>
          <t>IC4420</t>
        </is>
      </c>
      <c r="B479" t="inlineStr">
        <is>
          <t>NORDEX ENERGY SPAIN S A U</t>
        </is>
      </c>
      <c r="C479" t="n">
        <v>2122100000</v>
      </c>
      <c r="D479" t="inlineStr">
        <is>
          <t>Intercompany</t>
        </is>
      </c>
      <c r="E479" t="n">
        <v>5010251</v>
      </c>
      <c r="F479" t="inlineStr">
        <is>
          <t>4026003121</t>
        </is>
      </c>
      <c r="G479" t="inlineStr">
        <is>
          <t>RE</t>
        </is>
      </c>
      <c r="H479" s="12" t="n">
        <v>-1295.62</v>
      </c>
      <c r="I479" s="17" t="n">
        <v>46147</v>
      </c>
      <c r="J479" s="17" t="n">
        <v>46177</v>
      </c>
      <c r="K479" t="inlineStr">
        <is>
          <t>0270/26</t>
        </is>
      </c>
    </row>
    <row r="480">
      <c r="A480" t="inlineStr">
        <is>
          <t>IC4420</t>
        </is>
      </c>
      <c r="B480" t="inlineStr">
        <is>
          <t>NORDEX ENERGY SPAIN S A U</t>
        </is>
      </c>
      <c r="C480" t="n">
        <v>2122100000</v>
      </c>
      <c r="D480" t="inlineStr">
        <is>
          <t>Intercompany</t>
        </is>
      </c>
      <c r="E480" t="n">
        <v>5010252</v>
      </c>
      <c r="F480" t="inlineStr">
        <is>
          <t>4026003165</t>
        </is>
      </c>
      <c r="G480" t="inlineStr">
        <is>
          <t>RE</t>
        </is>
      </c>
      <c r="H480" s="12" t="n">
        <v>-324131.35</v>
      </c>
      <c r="I480" s="17" t="n">
        <v>46149</v>
      </c>
      <c r="J480" s="17" t="n">
        <v>46179</v>
      </c>
      <c r="K480" t="inlineStr">
        <is>
          <t>0300/26</t>
        </is>
      </c>
    </row>
    <row r="481">
      <c r="A481" t="inlineStr">
        <is>
          <t>IC4420</t>
        </is>
      </c>
      <c r="B481" t="inlineStr">
        <is>
          <t>NORDEX ENERGY SPAIN S A U</t>
        </is>
      </c>
      <c r="C481" t="n">
        <v>2122100000</v>
      </c>
      <c r="D481" t="inlineStr">
        <is>
          <t>Intercompany</t>
        </is>
      </c>
      <c r="E481" t="n">
        <v>5010253</v>
      </c>
      <c r="F481" t="inlineStr">
        <is>
          <t>4026003162</t>
        </is>
      </c>
      <c r="G481" t="inlineStr">
        <is>
          <t>RE</t>
        </is>
      </c>
      <c r="H481" s="12" t="n">
        <v>-2249.6</v>
      </c>
      <c r="I481" s="17" t="n">
        <v>46149</v>
      </c>
      <c r="J481" s="17" t="n">
        <v>46179</v>
      </c>
      <c r="K481" t="inlineStr">
        <is>
          <t>0300/26</t>
        </is>
      </c>
    </row>
    <row r="482">
      <c r="A482" t="inlineStr">
        <is>
          <t>IC4420</t>
        </is>
      </c>
      <c r="B482" t="inlineStr">
        <is>
          <t>NORDEX ENERGY SPAIN S A U</t>
        </is>
      </c>
      <c r="C482" t="n">
        <v>2122100000</v>
      </c>
      <c r="D482" t="inlineStr">
        <is>
          <t>Intercompany</t>
        </is>
      </c>
      <c r="E482" t="n">
        <v>5010339</v>
      </c>
      <c r="F482" t="inlineStr">
        <is>
          <t>4026002182</t>
        </is>
      </c>
      <c r="G482" t="inlineStr">
        <is>
          <t>RE</t>
        </is>
      </c>
      <c r="H482" s="12" t="n">
        <v>-72003.23</v>
      </c>
      <c r="I482" s="17" t="n">
        <v>46111</v>
      </c>
      <c r="J482" s="17" t="n">
        <v>46141</v>
      </c>
      <c r="K482" t="inlineStr">
        <is>
          <t>0204/26</t>
        </is>
      </c>
    </row>
    <row r="483">
      <c r="A483" t="inlineStr">
        <is>
          <t>IC4420</t>
        </is>
      </c>
      <c r="B483" t="inlineStr">
        <is>
          <t>NORDEX ENERGY SPAIN S A U</t>
        </is>
      </c>
      <c r="C483" t="n">
        <v>2122100000</v>
      </c>
      <c r="D483" t="inlineStr">
        <is>
          <t>Intercompany</t>
        </is>
      </c>
      <c r="E483" t="n">
        <v>5010340</v>
      </c>
      <c r="F483" t="inlineStr">
        <is>
          <t>4026002524</t>
        </is>
      </c>
      <c r="G483" t="inlineStr">
        <is>
          <t>RE</t>
        </is>
      </c>
      <c r="H483" s="12" t="n">
        <v>-21268.28</v>
      </c>
      <c r="I483" s="17" t="n">
        <v>46126</v>
      </c>
      <c r="J483" s="17" t="n">
        <v>46156</v>
      </c>
      <c r="K483" t="inlineStr">
        <is>
          <t>0208/26</t>
        </is>
      </c>
    </row>
    <row r="484">
      <c r="A484" t="inlineStr">
        <is>
          <t>IC4420</t>
        </is>
      </c>
      <c r="B484" t="inlineStr">
        <is>
          <t>NORDEX ENERGY SPAIN S A U</t>
        </is>
      </c>
      <c r="C484" t="n">
        <v>2122100000</v>
      </c>
      <c r="D484" t="inlineStr">
        <is>
          <t>Intercompany</t>
        </is>
      </c>
      <c r="E484" t="n">
        <v>5010350</v>
      </c>
      <c r="F484" t="inlineStr">
        <is>
          <t>4026002703</t>
        </is>
      </c>
      <c r="G484" t="inlineStr">
        <is>
          <t>RE</t>
        </is>
      </c>
      <c r="H484" s="12" t="n">
        <v>-116538.12</v>
      </c>
      <c r="I484" s="17" t="n">
        <v>46132</v>
      </c>
      <c r="J484" s="17" t="n">
        <v>46162</v>
      </c>
      <c r="K484" t="inlineStr">
        <is>
          <t>0243/26</t>
        </is>
      </c>
    </row>
    <row r="485">
      <c r="A485" t="inlineStr">
        <is>
          <t>IC1000</t>
        </is>
      </c>
      <c r="B485" t="inlineStr">
        <is>
          <t>NORDEX ENERGY SE &amp; CO KG</t>
        </is>
      </c>
      <c r="C485" t="n">
        <v>2122100000</v>
      </c>
      <c r="D485" t="inlineStr">
        <is>
          <t>Intercompany</t>
        </is>
      </c>
      <c r="E485" t="n">
        <v>5010374</v>
      </c>
      <c r="F485" t="inlineStr">
        <is>
          <t>329082+329081</t>
        </is>
      </c>
      <c r="G485" t="inlineStr">
        <is>
          <t>RE</t>
        </is>
      </c>
      <c r="H485" s="12" t="n">
        <v>-64809.49</v>
      </c>
      <c r="I485" s="17" t="n">
        <v>45702</v>
      </c>
      <c r="J485" s="17" t="n">
        <v>45732</v>
      </c>
      <c r="K485" t="inlineStr">
        <is>
          <t>0188/25</t>
        </is>
      </c>
    </row>
    <row r="486">
      <c r="A486" t="inlineStr">
        <is>
          <t>IC4665</t>
        </is>
      </c>
      <c r="B486" t="inlineStr">
        <is>
          <t>NORDEX WINDPOWER PERU SA</t>
        </is>
      </c>
      <c r="C486" t="n">
        <v>2122100000</v>
      </c>
      <c r="D486" t="inlineStr">
        <is>
          <t>Intercompany</t>
        </is>
      </c>
      <c r="E486" t="n">
        <v>5010381</v>
      </c>
      <c r="F486" t="inlineStr">
        <is>
          <t>E001-831</t>
        </is>
      </c>
      <c r="G486" t="inlineStr">
        <is>
          <t>RE</t>
        </is>
      </c>
      <c r="H486" s="12" t="n">
        <v>-2147278.11</v>
      </c>
      <c r="I486" s="17" t="n">
        <v>46090</v>
      </c>
      <c r="J486" s="17" t="n">
        <v>46120</v>
      </c>
      <c r="K486" t="inlineStr">
        <is>
          <t>0164/26</t>
        </is>
      </c>
    </row>
    <row r="487">
      <c r="A487" t="inlineStr">
        <is>
          <t>IC4420</t>
        </is>
      </c>
      <c r="B487" t="inlineStr">
        <is>
          <t>NORDEX ENERGY SPAIN S A U</t>
        </is>
      </c>
      <c r="C487" t="n">
        <v>2122100000</v>
      </c>
      <c r="D487" t="inlineStr">
        <is>
          <t>Intercompany</t>
        </is>
      </c>
      <c r="E487" t="n">
        <v>5010524</v>
      </c>
      <c r="F487" t="inlineStr">
        <is>
          <t>4026002982</t>
        </is>
      </c>
      <c r="G487" t="inlineStr">
        <is>
          <t>RE</t>
        </is>
      </c>
      <c r="H487" s="12" t="n">
        <v>-25202.07</v>
      </c>
      <c r="I487" s="17" t="n">
        <v>46142</v>
      </c>
      <c r="J487" s="17" t="n">
        <v>46172</v>
      </c>
      <c r="K487" t="inlineStr">
        <is>
          <t>0269/26</t>
        </is>
      </c>
    </row>
    <row r="488">
      <c r="A488" t="inlineStr">
        <is>
          <t>IC4420</t>
        </is>
      </c>
      <c r="B488" t="inlineStr">
        <is>
          <t>NORDEX ENERGY SPAIN S A U</t>
        </is>
      </c>
      <c r="C488" t="n">
        <v>2122100000</v>
      </c>
      <c r="D488" t="inlineStr">
        <is>
          <t>Intercompany</t>
        </is>
      </c>
      <c r="E488" t="n">
        <v>5010531</v>
      </c>
      <c r="F488" t="inlineStr">
        <is>
          <t>4026003089</t>
        </is>
      </c>
      <c r="G488" t="inlineStr">
        <is>
          <t>RE</t>
        </is>
      </c>
      <c r="H488" s="12" t="n">
        <v>-93661.3</v>
      </c>
      <c r="I488" s="17" t="n">
        <v>46146</v>
      </c>
      <c r="J488" s="17" t="n">
        <v>46176</v>
      </c>
      <c r="K488" t="inlineStr">
        <is>
          <t>0287/26</t>
        </is>
      </c>
    </row>
    <row r="489">
      <c r="A489" t="inlineStr">
        <is>
          <t>IC1000</t>
        </is>
      </c>
      <c r="B489" t="inlineStr">
        <is>
          <t>NORDEX ENERGY SE &amp; CO KG</t>
        </is>
      </c>
      <c r="C489" t="n">
        <v>2122100000</v>
      </c>
      <c r="D489" t="inlineStr">
        <is>
          <t>Intercompany</t>
        </is>
      </c>
      <c r="E489" t="n">
        <v>5010543</v>
      </c>
      <c r="F489" t="inlineStr">
        <is>
          <t>330271</t>
        </is>
      </c>
      <c r="G489" t="inlineStr">
        <is>
          <t>RE</t>
        </is>
      </c>
      <c r="H489" s="12" t="n">
        <v>-2068.59</v>
      </c>
      <c r="I489" s="17" t="n">
        <v>45708</v>
      </c>
      <c r="J489" s="17" t="n">
        <v>45738</v>
      </c>
      <c r="K489" t="inlineStr">
        <is>
          <t>0186/25</t>
        </is>
      </c>
    </row>
    <row r="490">
      <c r="A490" t="inlineStr">
        <is>
          <t>IC1000</t>
        </is>
      </c>
      <c r="B490" t="inlineStr">
        <is>
          <t>NORDEX ENERGY SE &amp; CO KG</t>
        </is>
      </c>
      <c r="C490" t="n">
        <v>2122100000</v>
      </c>
      <c r="D490" t="inlineStr">
        <is>
          <t>Intercompany</t>
        </is>
      </c>
      <c r="E490" t="n">
        <v>5010544</v>
      </c>
      <c r="F490" t="inlineStr">
        <is>
          <t>331153</t>
        </is>
      </c>
      <c r="G490" t="inlineStr">
        <is>
          <t>RE</t>
        </is>
      </c>
      <c r="H490" s="12" t="n">
        <v>-2960.05</v>
      </c>
      <c r="I490" s="17" t="n">
        <v>45709</v>
      </c>
      <c r="J490" s="17" t="n">
        <v>45739</v>
      </c>
      <c r="K490" t="inlineStr">
        <is>
          <t>0186/25</t>
        </is>
      </c>
    </row>
    <row r="491">
      <c r="A491" t="inlineStr">
        <is>
          <t>IC4420</t>
        </is>
      </c>
      <c r="B491" t="inlineStr">
        <is>
          <t>NORDEX ENERGY SPAIN S A U</t>
        </is>
      </c>
      <c r="C491" t="n">
        <v>2122100000</v>
      </c>
      <c r="D491" t="inlineStr">
        <is>
          <t>Intercompany</t>
        </is>
      </c>
      <c r="E491" t="n">
        <v>5010680</v>
      </c>
      <c r="F491" t="inlineStr">
        <is>
          <t>4024007672</t>
        </is>
      </c>
      <c r="G491" t="inlineStr">
        <is>
          <t>RE</t>
        </is>
      </c>
      <c r="H491" s="12" t="n">
        <v>-343747.69</v>
      </c>
      <c r="I491" s="17" t="n">
        <v>45590</v>
      </c>
      <c r="J491" s="17" t="n">
        <v>45620</v>
      </c>
      <c r="K491" t="inlineStr">
        <is>
          <t>1007/24</t>
        </is>
      </c>
    </row>
    <row r="492">
      <c r="A492" t="inlineStr">
        <is>
          <t>IC5000</t>
        </is>
      </c>
      <c r="B492" t="inlineStr">
        <is>
          <t>NORDEX SE</t>
        </is>
      </c>
      <c r="C492" t="n">
        <v>2122100000</v>
      </c>
      <c r="D492" t="inlineStr">
        <is>
          <t>Intercompany</t>
        </is>
      </c>
      <c r="E492" t="n">
        <v>5010785</v>
      </c>
      <c r="F492" t="inlineStr">
        <is>
          <t>610789</t>
        </is>
      </c>
      <c r="G492" t="inlineStr">
        <is>
          <t>KR</t>
        </is>
      </c>
      <c r="H492" s="12" t="n">
        <v>-2514350.56</v>
      </c>
      <c r="I492" s="17" t="n">
        <v>46189</v>
      </c>
      <c r="J492" s="17" t="n">
        <v>46249</v>
      </c>
      <c r="K492" t="inlineStr">
        <is>
          <t>Fatura do fornecedor NORDEX SE 610789</t>
        </is>
      </c>
    </row>
    <row r="493">
      <c r="A493" t="inlineStr">
        <is>
          <t>IC4420</t>
        </is>
      </c>
      <c r="B493" t="inlineStr">
        <is>
          <t>NORDEX ENERGY SPAIN S A U</t>
        </is>
      </c>
      <c r="C493" t="n">
        <v>2122100000</v>
      </c>
      <c r="D493" t="inlineStr">
        <is>
          <t>Intercompany</t>
        </is>
      </c>
      <c r="E493" t="n">
        <v>5010798</v>
      </c>
      <c r="F493" t="inlineStr">
        <is>
          <t>4026002950</t>
        </is>
      </c>
      <c r="G493" t="inlineStr">
        <is>
          <t>RE</t>
        </is>
      </c>
      <c r="H493" s="12" t="n">
        <v>-5943.72</v>
      </c>
      <c r="I493" s="17" t="n">
        <v>46141</v>
      </c>
      <c r="J493" s="17" t="n">
        <v>46171</v>
      </c>
      <c r="K493" t="inlineStr">
        <is>
          <t>0274/26</t>
        </is>
      </c>
    </row>
    <row r="494">
      <c r="A494" t="inlineStr">
        <is>
          <t>IC4420</t>
        </is>
      </c>
      <c r="B494" t="inlineStr">
        <is>
          <t>NORDEX ENERGY SPAIN S A U</t>
        </is>
      </c>
      <c r="C494" t="n">
        <v>2122100000</v>
      </c>
      <c r="D494" t="inlineStr">
        <is>
          <t>Intercompany</t>
        </is>
      </c>
      <c r="E494" t="n">
        <v>5010799</v>
      </c>
      <c r="F494" t="inlineStr">
        <is>
          <t>4026002947</t>
        </is>
      </c>
      <c r="G494" t="inlineStr">
        <is>
          <t>RE</t>
        </is>
      </c>
      <c r="H494" s="12" t="n">
        <v>-14045.63</v>
      </c>
      <c r="I494" s="17" t="n">
        <v>46141</v>
      </c>
      <c r="J494" s="17" t="n">
        <v>46171</v>
      </c>
      <c r="K494" t="inlineStr">
        <is>
          <t>0274/26</t>
        </is>
      </c>
    </row>
    <row r="495">
      <c r="A495" t="inlineStr">
        <is>
          <t>IC4420</t>
        </is>
      </c>
      <c r="B495" t="inlineStr">
        <is>
          <t>NORDEX ENERGY SPAIN S A U</t>
        </is>
      </c>
      <c r="C495" t="n">
        <v>2122100000</v>
      </c>
      <c r="D495" t="inlineStr">
        <is>
          <t>Intercompany</t>
        </is>
      </c>
      <c r="E495" t="n">
        <v>5010805</v>
      </c>
      <c r="F495" t="inlineStr">
        <is>
          <t>4026003382</t>
        </is>
      </c>
      <c r="G495" t="inlineStr">
        <is>
          <t>RE</t>
        </is>
      </c>
      <c r="H495" s="12" t="n">
        <v>-5069.41</v>
      </c>
      <c r="I495" s="17" t="n">
        <v>46156</v>
      </c>
      <c r="J495" s="17" t="n">
        <v>46186</v>
      </c>
      <c r="K495" t="inlineStr">
        <is>
          <t>0345/26</t>
        </is>
      </c>
    </row>
    <row r="496">
      <c r="A496" t="inlineStr">
        <is>
          <t>IC4420</t>
        </is>
      </c>
      <c r="B496" t="inlineStr">
        <is>
          <t>NORDEX ENERGY SPAIN S A U</t>
        </is>
      </c>
      <c r="C496" t="n">
        <v>2122100000</v>
      </c>
      <c r="D496" t="inlineStr">
        <is>
          <t>Intercompany</t>
        </is>
      </c>
      <c r="E496" t="n">
        <v>5010868</v>
      </c>
      <c r="F496" t="inlineStr">
        <is>
          <t>4026003140</t>
        </is>
      </c>
      <c r="G496" t="inlineStr">
        <is>
          <t>RE</t>
        </is>
      </c>
      <c r="H496" s="12" t="n">
        <v>-8505.58</v>
      </c>
      <c r="I496" s="17" t="n">
        <v>46148</v>
      </c>
      <c r="J496" s="17" t="n">
        <v>46178</v>
      </c>
      <c r="K496" t="inlineStr">
        <is>
          <t>0294/26</t>
        </is>
      </c>
    </row>
    <row r="497">
      <c r="A497" t="inlineStr">
        <is>
          <t>IC1000</t>
        </is>
      </c>
      <c r="B497" t="inlineStr">
        <is>
          <t>NORDEX ENERGY SE &amp; CO KG</t>
        </is>
      </c>
      <c r="C497" t="n">
        <v>2122100000</v>
      </c>
      <c r="D497" t="inlineStr">
        <is>
          <t>Intercompany</t>
        </is>
      </c>
      <c r="E497" t="n">
        <v>5010871</v>
      </c>
      <c r="F497" t="inlineStr">
        <is>
          <t>625417</t>
        </is>
      </c>
      <c r="G497" t="inlineStr">
        <is>
          <t>KR</t>
        </is>
      </c>
      <c r="H497" s="12" t="n">
        <v>-742997.65</v>
      </c>
      <c r="I497" s="17" t="n">
        <v>46191</v>
      </c>
      <c r="J497" s="17" t="n">
        <v>46251</v>
      </c>
      <c r="K497" t="inlineStr">
        <is>
          <t>Fatura do fornecedor NORDEX ENERGY SE &amp; CO KG 6254</t>
        </is>
      </c>
    </row>
    <row r="498">
      <c r="A498" t="inlineStr">
        <is>
          <t>IC1000</t>
        </is>
      </c>
      <c r="B498" t="inlineStr">
        <is>
          <t>NORDEX ENERGY SE &amp; CO KG</t>
        </is>
      </c>
      <c r="C498" t="n">
        <v>2122100000</v>
      </c>
      <c r="D498" t="inlineStr">
        <is>
          <t>Intercompany</t>
        </is>
      </c>
      <c r="E498" t="n">
        <v>5010892</v>
      </c>
      <c r="F498" t="inlineStr">
        <is>
          <t>4012338181</t>
        </is>
      </c>
      <c r="G498" t="inlineStr">
        <is>
          <t>RE</t>
        </is>
      </c>
      <c r="H498" s="12" t="n">
        <v>-43865.66</v>
      </c>
      <c r="I498" s="17" t="n">
        <v>45090</v>
      </c>
      <c r="J498" s="17" t="n">
        <v>45120</v>
      </c>
      <c r="K498" t="inlineStr">
        <is>
          <t>0459/23</t>
        </is>
      </c>
    </row>
    <row r="499">
      <c r="A499" t="inlineStr">
        <is>
          <t>IC1000</t>
        </is>
      </c>
      <c r="B499" t="inlineStr">
        <is>
          <t>NORDEX ENERGY SE &amp; CO KG</t>
        </is>
      </c>
      <c r="C499" t="n">
        <v>2122100000</v>
      </c>
      <c r="D499" t="inlineStr">
        <is>
          <t>Intercompany</t>
        </is>
      </c>
      <c r="E499" t="n">
        <v>5010893</v>
      </c>
      <c r="F499" t="inlineStr">
        <is>
          <t>4012338163</t>
        </is>
      </c>
      <c r="G499" t="inlineStr">
        <is>
          <t>RE</t>
        </is>
      </c>
      <c r="H499" s="12" t="n">
        <v>-86641.47</v>
      </c>
      <c r="I499" s="17" t="n">
        <v>45090</v>
      </c>
      <c r="J499" s="17" t="n">
        <v>45120</v>
      </c>
      <c r="K499" t="inlineStr">
        <is>
          <t>0459/23</t>
        </is>
      </c>
    </row>
    <row r="500">
      <c r="A500" t="inlineStr">
        <is>
          <t>IC4420</t>
        </is>
      </c>
      <c r="B500" t="inlineStr">
        <is>
          <t>NORDEX ENERGY SPAIN S A U</t>
        </is>
      </c>
      <c r="C500" t="n">
        <v>2122100000</v>
      </c>
      <c r="D500" t="inlineStr">
        <is>
          <t>Intercompany</t>
        </is>
      </c>
      <c r="E500" t="n">
        <v>5010924</v>
      </c>
      <c r="F500" t="inlineStr">
        <is>
          <t>4018000092</t>
        </is>
      </c>
      <c r="G500" t="inlineStr">
        <is>
          <t>RE</t>
        </is>
      </c>
      <c r="H500" s="12" t="n">
        <v>-2480.82</v>
      </c>
      <c r="I500" s="17" t="n">
        <v>46107</v>
      </c>
      <c r="J500" s="17" t="n">
        <v>46137</v>
      </c>
      <c r="K500" t="inlineStr">
        <is>
          <t>0214/26</t>
        </is>
      </c>
    </row>
    <row r="501">
      <c r="A501" t="inlineStr">
        <is>
          <t>IC4420</t>
        </is>
      </c>
      <c r="B501" t="inlineStr">
        <is>
          <t>NORDEX ENERGY SPAIN S A U</t>
        </is>
      </c>
      <c r="C501" t="n">
        <v>2122100000</v>
      </c>
      <c r="D501" t="inlineStr">
        <is>
          <t>Intercompany</t>
        </is>
      </c>
      <c r="E501" t="n">
        <v>5010925</v>
      </c>
      <c r="F501" t="inlineStr">
        <is>
          <t>4026003141</t>
        </is>
      </c>
      <c r="G501" t="inlineStr">
        <is>
          <t>RE</t>
        </is>
      </c>
      <c r="H501" s="12" t="n">
        <v>-22089.2</v>
      </c>
      <c r="I501" s="17" t="n">
        <v>46148</v>
      </c>
      <c r="J501" s="17" t="n">
        <v>46178</v>
      </c>
      <c r="K501" t="inlineStr">
        <is>
          <t>0295/26</t>
        </is>
      </c>
    </row>
    <row r="502">
      <c r="A502" t="inlineStr">
        <is>
          <t>IC4420</t>
        </is>
      </c>
      <c r="B502" t="inlineStr">
        <is>
          <t>NORDEX ENERGY SPAIN S A U</t>
        </is>
      </c>
      <c r="C502" t="n">
        <v>2122100000</v>
      </c>
      <c r="D502" t="inlineStr">
        <is>
          <t>Intercompany</t>
        </is>
      </c>
      <c r="E502" t="n">
        <v>5010926</v>
      </c>
      <c r="F502" t="inlineStr">
        <is>
          <t>4026003011</t>
        </is>
      </c>
      <c r="G502" t="inlineStr">
        <is>
          <t>RE</t>
        </is>
      </c>
      <c r="H502" s="12" t="n">
        <v>-230.37</v>
      </c>
      <c r="I502" s="17" t="n">
        <v>46142</v>
      </c>
      <c r="J502" s="17" t="n">
        <v>46172</v>
      </c>
      <c r="K502" t="inlineStr">
        <is>
          <t>0279/26</t>
        </is>
      </c>
    </row>
    <row r="503">
      <c r="A503" t="inlineStr">
        <is>
          <t>IC4420</t>
        </is>
      </c>
      <c r="B503" t="inlineStr">
        <is>
          <t>NORDEX ENERGY SPAIN S A U</t>
        </is>
      </c>
      <c r="C503" t="n">
        <v>2122100000</v>
      </c>
      <c r="D503" t="inlineStr">
        <is>
          <t>Intercompany</t>
        </is>
      </c>
      <c r="E503" t="n">
        <v>5010927</v>
      </c>
      <c r="F503" t="inlineStr">
        <is>
          <t>4026003014</t>
        </is>
      </c>
      <c r="G503" t="inlineStr">
        <is>
          <t>RE</t>
        </is>
      </c>
      <c r="H503" s="12" t="n">
        <v>-15076.1</v>
      </c>
      <c r="I503" s="17" t="n">
        <v>46142</v>
      </c>
      <c r="J503" s="17" t="n">
        <v>46172</v>
      </c>
      <c r="K503" t="inlineStr">
        <is>
          <t>0279/26</t>
        </is>
      </c>
    </row>
    <row r="504">
      <c r="A504" t="inlineStr">
        <is>
          <t>IC4420</t>
        </is>
      </c>
      <c r="B504" t="inlineStr">
        <is>
          <t>NORDEX ENERGY SPAIN S A U</t>
        </is>
      </c>
      <c r="C504" t="n">
        <v>2122100000</v>
      </c>
      <c r="D504" t="inlineStr">
        <is>
          <t>Intercompany</t>
        </is>
      </c>
      <c r="E504" t="n">
        <v>5010928</v>
      </c>
      <c r="F504" t="inlineStr">
        <is>
          <t>4026003138</t>
        </is>
      </c>
      <c r="G504" t="inlineStr">
        <is>
          <t>RE</t>
        </is>
      </c>
      <c r="H504" s="12" t="n">
        <v>-48800.83</v>
      </c>
      <c r="I504" s="17" t="n">
        <v>46148</v>
      </c>
      <c r="J504" s="17" t="n">
        <v>46178</v>
      </c>
      <c r="K504" t="inlineStr">
        <is>
          <t>0292/26</t>
        </is>
      </c>
    </row>
    <row r="505">
      <c r="A505" t="inlineStr">
        <is>
          <t>IC4420</t>
        </is>
      </c>
      <c r="B505" t="inlineStr">
        <is>
          <t>NORDEX ENERGY SPAIN S A U</t>
        </is>
      </c>
      <c r="C505" t="n">
        <v>2122100000</v>
      </c>
      <c r="D505" t="inlineStr">
        <is>
          <t>Intercompany</t>
        </is>
      </c>
      <c r="E505" t="n">
        <v>5010929</v>
      </c>
      <c r="F505" t="inlineStr">
        <is>
          <t>4018000091</t>
        </is>
      </c>
      <c r="G505" t="inlineStr">
        <is>
          <t>RE</t>
        </is>
      </c>
      <c r="H505" s="12" t="n">
        <v>-18645.23</v>
      </c>
      <c r="I505" s="17" t="n">
        <v>46127</v>
      </c>
      <c r="J505" s="17" t="n">
        <v>46157</v>
      </c>
      <c r="K505" t="inlineStr">
        <is>
          <t>0213/26</t>
        </is>
      </c>
    </row>
    <row r="506">
      <c r="A506" t="inlineStr">
        <is>
          <t>IC4420</t>
        </is>
      </c>
      <c r="B506" t="inlineStr">
        <is>
          <t>NORDEX ENERGY SPAIN S A U</t>
        </is>
      </c>
      <c r="C506" t="n">
        <v>2122100000</v>
      </c>
      <c r="D506" t="inlineStr">
        <is>
          <t>Intercompany</t>
        </is>
      </c>
      <c r="E506" t="n">
        <v>5010930</v>
      </c>
      <c r="F506" t="inlineStr">
        <is>
          <t>4026002951</t>
        </is>
      </c>
      <c r="G506" t="inlineStr">
        <is>
          <t>RE</t>
        </is>
      </c>
      <c r="H506" s="12" t="n">
        <v>-23089.78</v>
      </c>
      <c r="I506" s="17" t="n">
        <v>46141</v>
      </c>
      <c r="J506" s="17" t="n">
        <v>46171</v>
      </c>
      <c r="K506" t="inlineStr">
        <is>
          <t>0277/26</t>
        </is>
      </c>
    </row>
    <row r="507">
      <c r="A507" t="inlineStr">
        <is>
          <t>IC4420</t>
        </is>
      </c>
      <c r="B507" t="inlineStr">
        <is>
          <t>NORDEX ENERGY SPAIN S A U</t>
        </is>
      </c>
      <c r="C507" t="n">
        <v>2122100000</v>
      </c>
      <c r="D507" t="inlineStr">
        <is>
          <t>Intercompany</t>
        </is>
      </c>
      <c r="E507" t="n">
        <v>5010931</v>
      </c>
      <c r="F507" t="inlineStr">
        <is>
          <t>4026003304</t>
        </is>
      </c>
      <c r="G507" t="inlineStr">
        <is>
          <t>RE</t>
        </is>
      </c>
      <c r="H507" s="12" t="n">
        <v>-51485.42</v>
      </c>
      <c r="I507" s="17" t="n">
        <v>46153</v>
      </c>
      <c r="J507" s="17" t="n">
        <v>46183</v>
      </c>
      <c r="K507" t="inlineStr">
        <is>
          <t>0319/26</t>
        </is>
      </c>
    </row>
    <row r="508">
      <c r="A508" t="inlineStr">
        <is>
          <t>IC4420</t>
        </is>
      </c>
      <c r="B508" t="inlineStr">
        <is>
          <t>NORDEX ENERGY SPAIN S A U</t>
        </is>
      </c>
      <c r="C508" t="n">
        <v>2122100000</v>
      </c>
      <c r="D508" t="inlineStr">
        <is>
          <t>Intercompany</t>
        </is>
      </c>
      <c r="E508" t="n">
        <v>5010932</v>
      </c>
      <c r="F508" t="inlineStr">
        <is>
          <t>4026003231</t>
        </is>
      </c>
      <c r="G508" t="inlineStr">
        <is>
          <t>RE</t>
        </is>
      </c>
      <c r="H508" s="12" t="n">
        <v>-3682.74</v>
      </c>
      <c r="I508" s="17" t="n">
        <v>46150</v>
      </c>
      <c r="J508" s="17" t="n">
        <v>46180</v>
      </c>
      <c r="K508" t="inlineStr">
        <is>
          <t>0314/26</t>
        </is>
      </c>
    </row>
    <row r="509">
      <c r="A509" t="inlineStr">
        <is>
          <t>IC4420</t>
        </is>
      </c>
      <c r="B509" t="inlineStr">
        <is>
          <t>NORDEX ENERGY SPAIN S A U</t>
        </is>
      </c>
      <c r="C509" t="n">
        <v>2122100000</v>
      </c>
      <c r="D509" t="inlineStr">
        <is>
          <t>Intercompany</t>
        </is>
      </c>
      <c r="E509" t="n">
        <v>5010933</v>
      </c>
      <c r="F509" t="inlineStr">
        <is>
          <t>4026003229</t>
        </is>
      </c>
      <c r="G509" t="inlineStr">
        <is>
          <t>RE</t>
        </is>
      </c>
      <c r="H509" s="12" t="n">
        <v>-47916.73</v>
      </c>
      <c r="I509" s="17" t="n">
        <v>46150</v>
      </c>
      <c r="J509" s="17" t="n">
        <v>46180</v>
      </c>
      <c r="K509" t="inlineStr">
        <is>
          <t>0312/26</t>
        </is>
      </c>
    </row>
    <row r="510">
      <c r="A510" t="inlineStr">
        <is>
          <t>IC4420</t>
        </is>
      </c>
      <c r="B510" t="inlineStr">
        <is>
          <t>NORDEX ENERGY SPAIN S A U</t>
        </is>
      </c>
      <c r="C510" t="n">
        <v>2122100000</v>
      </c>
      <c r="D510" t="inlineStr">
        <is>
          <t>Intercompany</t>
        </is>
      </c>
      <c r="E510" t="n">
        <v>5010934</v>
      </c>
      <c r="F510" t="inlineStr">
        <is>
          <t>4026003230</t>
        </is>
      </c>
      <c r="G510" t="inlineStr">
        <is>
          <t>RE</t>
        </is>
      </c>
      <c r="H510" s="12" t="n">
        <v>-457.62</v>
      </c>
      <c r="I510" s="17" t="n">
        <v>46150</v>
      </c>
      <c r="J510" s="17" t="n">
        <v>46180</v>
      </c>
      <c r="K510" t="inlineStr">
        <is>
          <t>0313/26</t>
        </is>
      </c>
    </row>
    <row r="511">
      <c r="A511" t="inlineStr">
        <is>
          <t>IC4420</t>
        </is>
      </c>
      <c r="B511" t="inlineStr">
        <is>
          <t>NORDEX ENERGY SPAIN S A U</t>
        </is>
      </c>
      <c r="C511" t="n">
        <v>2122100000</v>
      </c>
      <c r="D511" t="inlineStr">
        <is>
          <t>Intercompany</t>
        </is>
      </c>
      <c r="E511" t="n">
        <v>5010935</v>
      </c>
      <c r="F511" t="inlineStr">
        <is>
          <t>4026003143</t>
        </is>
      </c>
      <c r="G511" t="inlineStr">
        <is>
          <t>RE</t>
        </is>
      </c>
      <c r="H511" s="12" t="n">
        <v>-544.78</v>
      </c>
      <c r="I511" s="17" t="n">
        <v>46148</v>
      </c>
      <c r="J511" s="17" t="n">
        <v>46178</v>
      </c>
      <c r="K511" t="inlineStr">
        <is>
          <t>0297/26</t>
        </is>
      </c>
    </row>
    <row r="512">
      <c r="A512" t="inlineStr">
        <is>
          <t>IC4420</t>
        </is>
      </c>
      <c r="B512" t="inlineStr">
        <is>
          <t>NORDEX ENERGY SPAIN S A U</t>
        </is>
      </c>
      <c r="C512" t="n">
        <v>2122100000</v>
      </c>
      <c r="D512" t="inlineStr">
        <is>
          <t>Intercompany</t>
        </is>
      </c>
      <c r="E512" t="n">
        <v>5010936</v>
      </c>
      <c r="F512" t="inlineStr">
        <is>
          <t>4026003390</t>
        </is>
      </c>
      <c r="G512" t="inlineStr">
        <is>
          <t>RE</t>
        </is>
      </c>
      <c r="H512" s="12" t="n">
        <v>-6822.72</v>
      </c>
      <c r="I512" s="17" t="n">
        <v>46156</v>
      </c>
      <c r="J512" s="17" t="n">
        <v>46186</v>
      </c>
      <c r="K512" t="inlineStr">
        <is>
          <t>0344/26</t>
        </is>
      </c>
    </row>
    <row r="513">
      <c r="A513" t="inlineStr">
        <is>
          <t>IC4420</t>
        </is>
      </c>
      <c r="B513" t="inlineStr">
        <is>
          <t>NORDEX ENERGY SPAIN S A U</t>
        </is>
      </c>
      <c r="C513" t="n">
        <v>2122100000</v>
      </c>
      <c r="D513" t="inlineStr">
        <is>
          <t>Intercompany</t>
        </is>
      </c>
      <c r="E513" t="n">
        <v>5010937</v>
      </c>
      <c r="F513" t="inlineStr">
        <is>
          <t>4026003142</t>
        </is>
      </c>
      <c r="G513" t="inlineStr">
        <is>
          <t>RE</t>
        </is>
      </c>
      <c r="H513" s="12" t="n">
        <v>-1372.45</v>
      </c>
      <c r="I513" s="17" t="n">
        <v>46148</v>
      </c>
      <c r="J513" s="17" t="n">
        <v>46178</v>
      </c>
      <c r="K513" t="inlineStr">
        <is>
          <t>0296/26</t>
        </is>
      </c>
    </row>
    <row r="514">
      <c r="A514" t="inlineStr">
        <is>
          <t>IC4420</t>
        </is>
      </c>
      <c r="B514" t="inlineStr">
        <is>
          <t>NORDEX ENERGY SPAIN S A U</t>
        </is>
      </c>
      <c r="C514" t="n">
        <v>2122100000</v>
      </c>
      <c r="D514" t="inlineStr">
        <is>
          <t>Intercompany</t>
        </is>
      </c>
      <c r="E514" t="n">
        <v>5010938</v>
      </c>
      <c r="F514" t="inlineStr">
        <is>
          <t>4026003167</t>
        </is>
      </c>
      <c r="G514" t="inlineStr">
        <is>
          <t>RE</t>
        </is>
      </c>
      <c r="H514" s="12" t="n">
        <v>-45657.92</v>
      </c>
      <c r="I514" s="17" t="n">
        <v>46149</v>
      </c>
      <c r="J514" s="17" t="n">
        <v>46179</v>
      </c>
      <c r="K514" t="inlineStr">
        <is>
          <t>0304/26</t>
        </is>
      </c>
    </row>
    <row r="515">
      <c r="A515" t="inlineStr">
        <is>
          <t>IC4420</t>
        </is>
      </c>
      <c r="B515" t="inlineStr">
        <is>
          <t>NORDEX ENERGY SPAIN S A U</t>
        </is>
      </c>
      <c r="C515" t="n">
        <v>2122100000</v>
      </c>
      <c r="D515" t="inlineStr">
        <is>
          <t>Intercompany</t>
        </is>
      </c>
      <c r="E515" t="n">
        <v>5010939</v>
      </c>
      <c r="F515" t="inlineStr">
        <is>
          <t>4026003163</t>
        </is>
      </c>
      <c r="G515" t="inlineStr">
        <is>
          <t>RE</t>
        </is>
      </c>
      <c r="H515" s="12" t="n">
        <v>-8696.66</v>
      </c>
      <c r="I515" s="17" t="n">
        <v>46149</v>
      </c>
      <c r="J515" s="17" t="n">
        <v>46179</v>
      </c>
      <c r="K515" t="inlineStr">
        <is>
          <t>0301/26</t>
        </is>
      </c>
    </row>
    <row r="516">
      <c r="A516" t="inlineStr">
        <is>
          <t>IC4420</t>
        </is>
      </c>
      <c r="B516" t="inlineStr">
        <is>
          <t>NORDEX ENERGY SPAIN S A U</t>
        </is>
      </c>
      <c r="C516" t="n">
        <v>2122100000</v>
      </c>
      <c r="D516" t="inlineStr">
        <is>
          <t>Intercompany</t>
        </is>
      </c>
      <c r="E516" t="n">
        <v>5010940</v>
      </c>
      <c r="F516" t="inlineStr">
        <is>
          <t>4026003010</t>
        </is>
      </c>
      <c r="G516" t="inlineStr">
        <is>
          <t>RE</t>
        </is>
      </c>
      <c r="H516" s="12" t="n">
        <v>-62383.87</v>
      </c>
      <c r="I516" s="17" t="n">
        <v>46142</v>
      </c>
      <c r="J516" s="17" t="n">
        <v>46172</v>
      </c>
      <c r="K516" t="inlineStr">
        <is>
          <t>0278/26</t>
        </is>
      </c>
    </row>
    <row r="517">
      <c r="A517" t="inlineStr">
        <is>
          <t>IC5000</t>
        </is>
      </c>
      <c r="B517" t="inlineStr">
        <is>
          <t>NORDEX SE</t>
        </is>
      </c>
      <c r="C517" t="n">
        <v>2122100000</v>
      </c>
      <c r="D517" t="inlineStr">
        <is>
          <t>Intercompany</t>
        </is>
      </c>
      <c r="E517" t="n">
        <v>5011010</v>
      </c>
      <c r="F517" t="inlineStr">
        <is>
          <t>610826</t>
        </is>
      </c>
      <c r="G517" t="inlineStr">
        <is>
          <t>KR</t>
        </is>
      </c>
      <c r="H517" s="12" t="n">
        <v>-1205285.92</v>
      </c>
      <c r="I517" s="17" t="n">
        <v>46190</v>
      </c>
      <c r="J517" s="17" t="n">
        <v>46250</v>
      </c>
      <c r="K517" t="inlineStr">
        <is>
          <t>Fatura do fornecedor NORDEX SE 610826</t>
        </is>
      </c>
    </row>
    <row r="518">
      <c r="A518" t="inlineStr">
        <is>
          <t>IC4420</t>
        </is>
      </c>
      <c r="B518" t="inlineStr">
        <is>
          <t>NORDEX ENERGY SPAIN S A U</t>
        </is>
      </c>
      <c r="C518" t="n">
        <v>2122100000</v>
      </c>
      <c r="D518" t="inlineStr">
        <is>
          <t>Intercompany</t>
        </is>
      </c>
      <c r="E518" t="n">
        <v>5011011</v>
      </c>
      <c r="F518" t="inlineStr">
        <is>
          <t>4026002384</t>
        </is>
      </c>
      <c r="G518" t="inlineStr">
        <is>
          <t>RE</t>
        </is>
      </c>
      <c r="H518" s="12" t="n">
        <v>-354911.62</v>
      </c>
      <c r="I518" s="17" t="n">
        <v>46120</v>
      </c>
      <c r="J518" s="17" t="n">
        <v>46150</v>
      </c>
      <c r="K518" t="inlineStr">
        <is>
          <t>0193/26</t>
        </is>
      </c>
    </row>
    <row r="519">
      <c r="A519" t="inlineStr">
        <is>
          <t>IC4420</t>
        </is>
      </c>
      <c r="B519" t="inlineStr">
        <is>
          <t>NORDEX ENERGY SPAIN S A U</t>
        </is>
      </c>
      <c r="C519" t="n">
        <v>2122100000</v>
      </c>
      <c r="D519" t="inlineStr">
        <is>
          <t>Intercompany</t>
        </is>
      </c>
      <c r="E519" t="n">
        <v>5011050</v>
      </c>
      <c r="F519" t="inlineStr">
        <is>
          <t>4026003144</t>
        </is>
      </c>
      <c r="G519" t="inlineStr">
        <is>
          <t>RE</t>
        </is>
      </c>
      <c r="H519" s="12" t="n">
        <v>-232.7</v>
      </c>
      <c r="I519" s="17" t="n">
        <v>46148</v>
      </c>
      <c r="J519" s="17" t="n">
        <v>46178</v>
      </c>
      <c r="K519" t="inlineStr">
        <is>
          <t>0298/26</t>
        </is>
      </c>
    </row>
    <row r="520">
      <c r="A520" t="inlineStr">
        <is>
          <t>IC1000</t>
        </is>
      </c>
      <c r="B520" t="inlineStr">
        <is>
          <t>NORDEX ENERGY SE &amp; CO KG</t>
        </is>
      </c>
      <c r="C520" t="n">
        <v>2122100000</v>
      </c>
      <c r="D520" t="inlineStr">
        <is>
          <t>Intercompany</t>
        </is>
      </c>
      <c r="E520" t="n">
        <v>5011060</v>
      </c>
      <c r="F520" t="inlineStr">
        <is>
          <t>400346</t>
        </is>
      </c>
      <c r="G520" t="inlineStr">
        <is>
          <t>RE</t>
        </is>
      </c>
      <c r="H520" s="12" t="n">
        <v>-21324.19</v>
      </c>
      <c r="I520" s="17" t="n">
        <v>46163</v>
      </c>
      <c r="J520" s="17" t="n">
        <v>46193</v>
      </c>
      <c r="K520" t="inlineStr">
        <is>
          <t>0368/26</t>
        </is>
      </c>
    </row>
    <row r="521">
      <c r="A521" t="inlineStr">
        <is>
          <t>IC1000</t>
        </is>
      </c>
      <c r="B521" t="inlineStr">
        <is>
          <t>NORDEX ENERGY SE &amp; CO KG</t>
        </is>
      </c>
      <c r="C521" t="n">
        <v>2122100000</v>
      </c>
      <c r="D521" t="inlineStr">
        <is>
          <t>Intercompany</t>
        </is>
      </c>
      <c r="E521" t="n">
        <v>5011061</v>
      </c>
      <c r="F521" t="inlineStr">
        <is>
          <t>393373</t>
        </is>
      </c>
      <c r="G521" t="inlineStr">
        <is>
          <t>RE</t>
        </is>
      </c>
      <c r="H521" s="12" t="n">
        <v>-1007.8</v>
      </c>
      <c r="I521" s="17" t="n">
        <v>46126</v>
      </c>
      <c r="J521" s="17" t="n">
        <v>46156</v>
      </c>
      <c r="K521" t="inlineStr">
        <is>
          <t>0311/26</t>
        </is>
      </c>
    </row>
    <row r="522">
      <c r="A522" t="inlineStr">
        <is>
          <t>IC4420</t>
        </is>
      </c>
      <c r="B522" t="inlineStr">
        <is>
          <t>NORDEX ENERGY SPAIN S A U</t>
        </is>
      </c>
      <c r="C522" t="n">
        <v>2122100000</v>
      </c>
      <c r="D522" t="inlineStr">
        <is>
          <t>Intercompany</t>
        </is>
      </c>
      <c r="E522" t="n">
        <v>5011195</v>
      </c>
      <c r="F522" t="inlineStr">
        <is>
          <t>4026003192</t>
        </is>
      </c>
      <c r="G522" t="inlineStr">
        <is>
          <t>RE</t>
        </is>
      </c>
      <c r="H522" s="12" t="n">
        <v>-10070.64</v>
      </c>
      <c r="I522" s="17" t="n">
        <v>46149</v>
      </c>
      <c r="J522" s="17" t="n">
        <v>46179</v>
      </c>
      <c r="K522" t="inlineStr">
        <is>
          <t>0305/26</t>
        </is>
      </c>
    </row>
    <row r="523">
      <c r="A523" t="inlineStr">
        <is>
          <t>IC4420</t>
        </is>
      </c>
      <c r="B523" t="inlineStr">
        <is>
          <t>NORDEX ENERGY SPAIN S A U</t>
        </is>
      </c>
      <c r="C523" t="n">
        <v>2122100000</v>
      </c>
      <c r="D523" t="inlineStr">
        <is>
          <t>Intercompany</t>
        </is>
      </c>
      <c r="E523" t="n">
        <v>5011196</v>
      </c>
      <c r="F523" t="inlineStr">
        <is>
          <t>4026002960</t>
        </is>
      </c>
      <c r="G523" t="inlineStr">
        <is>
          <t>RE</t>
        </is>
      </c>
      <c r="H523" s="12" t="n">
        <v>-98919.50999999999</v>
      </c>
      <c r="I523" s="17" t="n">
        <v>46142</v>
      </c>
      <c r="J523" s="17" t="n">
        <v>46172</v>
      </c>
      <c r="K523" t="inlineStr">
        <is>
          <t>0282/26</t>
        </is>
      </c>
    </row>
    <row r="524">
      <c r="A524" t="inlineStr">
        <is>
          <t>IC4420</t>
        </is>
      </c>
      <c r="B524" t="inlineStr">
        <is>
          <t>NORDEX ENERGY SPAIN S A U</t>
        </is>
      </c>
      <c r="C524" t="n">
        <v>2122100000</v>
      </c>
      <c r="D524" t="inlineStr">
        <is>
          <t>Intercompany</t>
        </is>
      </c>
      <c r="E524" t="n">
        <v>5011201</v>
      </c>
      <c r="F524" t="inlineStr">
        <is>
          <t>4026003087</t>
        </is>
      </c>
      <c r="G524" t="inlineStr">
        <is>
          <t>RE</t>
        </is>
      </c>
      <c r="H524" s="12" t="n">
        <v>-96351.24000000001</v>
      </c>
      <c r="I524" s="17" t="n">
        <v>46146</v>
      </c>
      <c r="J524" s="17" t="n">
        <v>46176</v>
      </c>
      <c r="K524" t="inlineStr">
        <is>
          <t>0285/26</t>
        </is>
      </c>
    </row>
    <row r="525">
      <c r="A525" t="inlineStr">
        <is>
          <t>IC4420</t>
        </is>
      </c>
      <c r="B525" t="inlineStr">
        <is>
          <t>NORDEX ENERGY SPAIN S A U</t>
        </is>
      </c>
      <c r="C525" t="n">
        <v>2122100000</v>
      </c>
      <c r="D525" t="inlineStr">
        <is>
          <t>Intercompany</t>
        </is>
      </c>
      <c r="E525" t="n">
        <v>5011211</v>
      </c>
      <c r="F525" t="inlineStr">
        <is>
          <t>4026003233</t>
        </is>
      </c>
      <c r="G525" t="inlineStr">
        <is>
          <t>RE</t>
        </is>
      </c>
      <c r="H525" s="12" t="n">
        <v>-107255.15</v>
      </c>
      <c r="I525" s="17" t="n">
        <v>46150</v>
      </c>
      <c r="J525" s="17" t="n">
        <v>46180</v>
      </c>
      <c r="K525" t="inlineStr">
        <is>
          <t>0316/26</t>
        </is>
      </c>
    </row>
    <row r="526">
      <c r="A526" t="inlineStr">
        <is>
          <t>IC4420</t>
        </is>
      </c>
      <c r="B526" t="inlineStr">
        <is>
          <t>NORDEX ENERGY SPAIN S A U</t>
        </is>
      </c>
      <c r="C526" t="n">
        <v>2122100000</v>
      </c>
      <c r="D526" t="inlineStr">
        <is>
          <t>Intercompany</t>
        </is>
      </c>
      <c r="E526" t="n">
        <v>5011262</v>
      </c>
      <c r="F526" t="inlineStr">
        <is>
          <t>4026004080</t>
        </is>
      </c>
      <c r="G526" t="inlineStr">
        <is>
          <t>RE</t>
        </is>
      </c>
      <c r="H526" s="12" t="n">
        <v>-9128.370000000001</v>
      </c>
      <c r="I526" s="17" t="n">
        <v>46174</v>
      </c>
      <c r="J526" s="17" t="n">
        <v>46204</v>
      </c>
      <c r="K526" t="inlineStr">
        <is>
          <t>0377/26</t>
        </is>
      </c>
    </row>
    <row r="527">
      <c r="A527" t="inlineStr">
        <is>
          <t>IC4420</t>
        </is>
      </c>
      <c r="B527" t="inlineStr">
        <is>
          <t>NORDEX ENERGY SPAIN S A U</t>
        </is>
      </c>
      <c r="C527" t="n">
        <v>2122100000</v>
      </c>
      <c r="D527" t="inlineStr">
        <is>
          <t>Intercompany</t>
        </is>
      </c>
      <c r="E527" t="n">
        <v>5011263</v>
      </c>
      <c r="F527" t="inlineStr">
        <is>
          <t>4026004077</t>
        </is>
      </c>
      <c r="G527" t="inlineStr">
        <is>
          <t>RE</t>
        </is>
      </c>
      <c r="H527" s="12" t="n">
        <v>-5770.17</v>
      </c>
      <c r="I527" s="17" t="n">
        <v>46174</v>
      </c>
      <c r="J527" s="17" t="n">
        <v>46204</v>
      </c>
      <c r="K527" t="inlineStr">
        <is>
          <t>0377/26</t>
        </is>
      </c>
    </row>
    <row r="528">
      <c r="A528" t="inlineStr">
        <is>
          <t>IC4420</t>
        </is>
      </c>
      <c r="B528" t="inlineStr">
        <is>
          <t>NORDEX ENERGY SPAIN S A U</t>
        </is>
      </c>
      <c r="C528" t="n">
        <v>2122100000</v>
      </c>
      <c r="D528" t="inlineStr">
        <is>
          <t>Intercompany</t>
        </is>
      </c>
      <c r="E528" t="n">
        <v>5011273</v>
      </c>
      <c r="F528" t="inlineStr">
        <is>
          <t>4026003345</t>
        </is>
      </c>
      <c r="G528" t="inlineStr">
        <is>
          <t>RE</t>
        </is>
      </c>
      <c r="H528" s="12" t="n">
        <v>-14777.22</v>
      </c>
      <c r="I528" s="17" t="n">
        <v>46154</v>
      </c>
      <c r="J528" s="17" t="n">
        <v>46184</v>
      </c>
      <c r="K528" t="inlineStr">
        <is>
          <t>0321/26</t>
        </is>
      </c>
    </row>
    <row r="529">
      <c r="A529" t="inlineStr">
        <is>
          <t>IC4420</t>
        </is>
      </c>
      <c r="B529" t="inlineStr">
        <is>
          <t>NORDEX ENERGY SPAIN S A U</t>
        </is>
      </c>
      <c r="C529" t="n">
        <v>2122100000</v>
      </c>
      <c r="D529" t="inlineStr">
        <is>
          <t>Intercompany</t>
        </is>
      </c>
      <c r="E529" t="n">
        <v>5011274</v>
      </c>
      <c r="F529" t="inlineStr">
        <is>
          <t>4026003341</t>
        </is>
      </c>
      <c r="G529" t="inlineStr">
        <is>
          <t>RE</t>
        </is>
      </c>
      <c r="H529" s="12" t="n">
        <v>-146744.19</v>
      </c>
      <c r="I529" s="17" t="n">
        <v>46154</v>
      </c>
      <c r="J529" s="17" t="n">
        <v>46184</v>
      </c>
      <c r="K529" t="inlineStr">
        <is>
          <t>0321/26</t>
        </is>
      </c>
    </row>
    <row r="530">
      <c r="A530" t="inlineStr">
        <is>
          <t>IC4420</t>
        </is>
      </c>
      <c r="B530" t="inlineStr">
        <is>
          <t>NORDEX ENERGY SPAIN S A U</t>
        </is>
      </c>
      <c r="C530" t="n">
        <v>2122100000</v>
      </c>
      <c r="D530" t="inlineStr">
        <is>
          <t>Intercompany</t>
        </is>
      </c>
      <c r="E530" t="n">
        <v>5011275</v>
      </c>
      <c r="F530" t="inlineStr">
        <is>
          <t>4026003348</t>
        </is>
      </c>
      <c r="G530" t="inlineStr">
        <is>
          <t>RE</t>
        </is>
      </c>
      <c r="H530" s="12" t="n">
        <v>-124771.39</v>
      </c>
      <c r="I530" s="17" t="n">
        <v>46154</v>
      </c>
      <c r="J530" s="17" t="n">
        <v>46184</v>
      </c>
      <c r="K530" t="inlineStr">
        <is>
          <t>0321/26</t>
        </is>
      </c>
    </row>
    <row r="531">
      <c r="A531" t="inlineStr">
        <is>
          <t>IC4420</t>
        </is>
      </c>
      <c r="B531" t="inlineStr">
        <is>
          <t>NORDEX ENERGY SPAIN S A U</t>
        </is>
      </c>
      <c r="C531" t="n">
        <v>2122100000</v>
      </c>
      <c r="D531" t="inlineStr">
        <is>
          <t>Intercompany</t>
        </is>
      </c>
      <c r="E531" t="n">
        <v>5011276</v>
      </c>
      <c r="F531" t="inlineStr">
        <is>
          <t>4026003512</t>
        </is>
      </c>
      <c r="G531" t="inlineStr">
        <is>
          <t>RE</t>
        </is>
      </c>
      <c r="H531" s="12" t="n">
        <v>-139.8</v>
      </c>
      <c r="I531" s="17" t="n">
        <v>46160</v>
      </c>
      <c r="J531" s="17" t="n">
        <v>46190</v>
      </c>
      <c r="K531" t="inlineStr">
        <is>
          <t>0348/26</t>
        </is>
      </c>
    </row>
    <row r="532">
      <c r="A532" t="inlineStr">
        <is>
          <t>IC4420</t>
        </is>
      </c>
      <c r="B532" t="inlineStr">
        <is>
          <t>NORDEX ENERGY SPAIN S A U</t>
        </is>
      </c>
      <c r="C532" t="n">
        <v>2122100000</v>
      </c>
      <c r="D532" t="inlineStr">
        <is>
          <t>Intercompany</t>
        </is>
      </c>
      <c r="E532" t="n">
        <v>5011277</v>
      </c>
      <c r="F532" t="inlineStr">
        <is>
          <t>4026003513</t>
        </is>
      </c>
      <c r="G532" t="inlineStr">
        <is>
          <t>RE</t>
        </is>
      </c>
      <c r="H532" s="12" t="n">
        <v>-189044.65</v>
      </c>
      <c r="I532" s="17" t="n">
        <v>46160</v>
      </c>
      <c r="J532" s="17" t="n">
        <v>46190</v>
      </c>
      <c r="K532" t="inlineStr">
        <is>
          <t>0348/26</t>
        </is>
      </c>
    </row>
    <row r="533">
      <c r="A533" t="inlineStr">
        <is>
          <t>IC4420</t>
        </is>
      </c>
      <c r="B533" t="inlineStr">
        <is>
          <t>NORDEX ENERGY SPAIN S A U</t>
        </is>
      </c>
      <c r="C533" t="n">
        <v>2122100000</v>
      </c>
      <c r="D533" t="inlineStr">
        <is>
          <t>Intercompany</t>
        </is>
      </c>
      <c r="E533" t="n">
        <v>5011278</v>
      </c>
      <c r="F533" t="inlineStr">
        <is>
          <t>4026003511</t>
        </is>
      </c>
      <c r="G533" t="inlineStr">
        <is>
          <t>RE</t>
        </is>
      </c>
      <c r="H533" s="12" t="n">
        <v>-127850.78</v>
      </c>
      <c r="I533" s="17" t="n">
        <v>46160</v>
      </c>
      <c r="J533" s="17" t="n">
        <v>46190</v>
      </c>
      <c r="K533" t="inlineStr">
        <is>
          <t>0348/26</t>
        </is>
      </c>
    </row>
    <row r="534">
      <c r="A534" t="inlineStr">
        <is>
          <t>IC4420</t>
        </is>
      </c>
      <c r="B534" t="inlineStr">
        <is>
          <t>NORDEX ENERGY SPAIN S A U</t>
        </is>
      </c>
      <c r="C534" t="n">
        <v>2122100000</v>
      </c>
      <c r="D534" t="inlineStr">
        <is>
          <t>Intercompany</t>
        </is>
      </c>
      <c r="E534" t="n">
        <v>5011287</v>
      </c>
      <c r="F534" t="inlineStr">
        <is>
          <t>4026003343</t>
        </is>
      </c>
      <c r="G534" t="inlineStr">
        <is>
          <t>RE</t>
        </is>
      </c>
      <c r="H534" s="12" t="n">
        <v>-899.54</v>
      </c>
      <c r="I534" s="17" t="n">
        <v>46154</v>
      </c>
      <c r="J534" s="17" t="n">
        <v>46184</v>
      </c>
      <c r="K534" t="inlineStr">
        <is>
          <t>0323/26</t>
        </is>
      </c>
    </row>
    <row r="535">
      <c r="A535" t="inlineStr">
        <is>
          <t>IC4420</t>
        </is>
      </c>
      <c r="B535" t="inlineStr">
        <is>
          <t>NORDEX ENERGY SPAIN S A U</t>
        </is>
      </c>
      <c r="C535" t="n">
        <v>2122100000</v>
      </c>
      <c r="D535" t="inlineStr">
        <is>
          <t>Intercompany</t>
        </is>
      </c>
      <c r="E535" t="n">
        <v>5011288</v>
      </c>
      <c r="F535" t="inlineStr">
        <is>
          <t>4026003515</t>
        </is>
      </c>
      <c r="G535" t="inlineStr">
        <is>
          <t>RE</t>
        </is>
      </c>
      <c r="H535" s="12" t="n">
        <v>-53379.31</v>
      </c>
      <c r="I535" s="17" t="n">
        <v>46160</v>
      </c>
      <c r="J535" s="17" t="n">
        <v>46190</v>
      </c>
      <c r="K535" t="inlineStr">
        <is>
          <t>0358/26</t>
        </is>
      </c>
    </row>
    <row r="536">
      <c r="A536" t="inlineStr">
        <is>
          <t>IC1000</t>
        </is>
      </c>
      <c r="B536" t="inlineStr">
        <is>
          <t>NORDEX ENERGY SE &amp; CO KG</t>
        </is>
      </c>
      <c r="C536" t="n">
        <v>2122100000</v>
      </c>
      <c r="D536" t="inlineStr">
        <is>
          <t>Intercompany</t>
        </is>
      </c>
      <c r="E536" t="n">
        <v>5011289</v>
      </c>
      <c r="F536" t="inlineStr">
        <is>
          <t>399146</t>
        </is>
      </c>
      <c r="G536" t="inlineStr">
        <is>
          <t>RE</t>
        </is>
      </c>
      <c r="H536" s="12" t="n">
        <v>-2677.48</v>
      </c>
      <c r="I536" s="17" t="n">
        <v>46167</v>
      </c>
      <c r="J536" s="17" t="n">
        <v>46197</v>
      </c>
      <c r="K536" t="inlineStr">
        <is>
          <t>0370/26</t>
        </is>
      </c>
    </row>
    <row r="537">
      <c r="A537" t="inlineStr">
        <is>
          <t>IC4420</t>
        </is>
      </c>
      <c r="B537" t="inlineStr">
        <is>
          <t>NORDEX ENERGY SPAIN S A U</t>
        </is>
      </c>
      <c r="C537" t="n">
        <v>2122100000</v>
      </c>
      <c r="D537" t="inlineStr">
        <is>
          <t>Intercompany</t>
        </is>
      </c>
      <c r="E537" t="n">
        <v>5011408</v>
      </c>
      <c r="F537" t="inlineStr">
        <is>
          <t>4026002948</t>
        </is>
      </c>
      <c r="G537" t="inlineStr">
        <is>
          <t>RE</t>
        </is>
      </c>
      <c r="H537" s="12" t="n">
        <v>-127.95</v>
      </c>
      <c r="I537" s="17" t="n">
        <v>46141</v>
      </c>
      <c r="J537" s="17" t="n">
        <v>46171</v>
      </c>
      <c r="K537" t="inlineStr">
        <is>
          <t>0275/26</t>
        </is>
      </c>
    </row>
    <row r="538">
      <c r="A538" t="inlineStr">
        <is>
          <t>IC4420</t>
        </is>
      </c>
      <c r="B538" t="inlineStr">
        <is>
          <t>NORDEX ENERGY SPAIN S A U</t>
        </is>
      </c>
      <c r="C538" t="n">
        <v>2122100000</v>
      </c>
      <c r="D538" t="inlineStr">
        <is>
          <t>Intercompany</t>
        </is>
      </c>
      <c r="E538" t="n">
        <v>5011409</v>
      </c>
      <c r="F538" t="inlineStr">
        <is>
          <t>4026003012</t>
        </is>
      </c>
      <c r="G538" t="inlineStr">
        <is>
          <t>RE</t>
        </is>
      </c>
      <c r="H538" s="12" t="n">
        <v>-747.9299999999999</v>
      </c>
      <c r="I538" s="17" t="n">
        <v>46142</v>
      </c>
      <c r="J538" s="17" t="n">
        <v>46172</v>
      </c>
      <c r="K538" t="inlineStr">
        <is>
          <t>0280/26</t>
        </is>
      </c>
    </row>
    <row r="539">
      <c r="A539" t="inlineStr">
        <is>
          <t>IC4420</t>
        </is>
      </c>
      <c r="B539" t="inlineStr">
        <is>
          <t>NORDEX ENERGY SPAIN S A U</t>
        </is>
      </c>
      <c r="C539" t="n">
        <v>2122100000</v>
      </c>
      <c r="D539" t="inlineStr">
        <is>
          <t>Intercompany</t>
        </is>
      </c>
      <c r="E539" t="n">
        <v>5011412</v>
      </c>
      <c r="F539" t="inlineStr">
        <is>
          <t>4026003473</t>
        </is>
      </c>
      <c r="G539" t="inlineStr">
        <is>
          <t>RE</t>
        </is>
      </c>
      <c r="H539" s="12" t="n">
        <v>-23193.16</v>
      </c>
      <c r="I539" s="17" t="n">
        <v>46157</v>
      </c>
      <c r="J539" s="17" t="n">
        <v>46187</v>
      </c>
      <c r="K539" t="inlineStr">
        <is>
          <t>0346/26</t>
        </is>
      </c>
    </row>
    <row r="540">
      <c r="A540" t="inlineStr">
        <is>
          <t>IC4420</t>
        </is>
      </c>
      <c r="B540" t="inlineStr">
        <is>
          <t>NORDEX ENERGY SPAIN S A U</t>
        </is>
      </c>
      <c r="C540" t="n">
        <v>2122100000</v>
      </c>
      <c r="D540" t="inlineStr">
        <is>
          <t>Intercompany</t>
        </is>
      </c>
      <c r="E540" t="n">
        <v>5011421</v>
      </c>
      <c r="F540" t="inlineStr">
        <is>
          <t>4026003344</t>
        </is>
      </c>
      <c r="G540" t="inlineStr">
        <is>
          <t>RE</t>
        </is>
      </c>
      <c r="H540" s="12" t="n">
        <v>-1664.41</v>
      </c>
      <c r="I540" s="17" t="n">
        <v>46154</v>
      </c>
      <c r="J540" s="17" t="n">
        <v>46184</v>
      </c>
      <c r="K540" t="inlineStr">
        <is>
          <t>0324/26</t>
        </is>
      </c>
    </row>
    <row r="541">
      <c r="A541" t="inlineStr">
        <is>
          <t>IC1000</t>
        </is>
      </c>
      <c r="B541" t="inlineStr">
        <is>
          <t>NORDEX ENERGY SE &amp; CO KG</t>
        </is>
      </c>
      <c r="C541" t="n">
        <v>2122100000</v>
      </c>
      <c r="D541" t="inlineStr">
        <is>
          <t>Intercompany</t>
        </is>
      </c>
      <c r="E541" t="n">
        <v>5011553</v>
      </c>
      <c r="F541" t="inlineStr">
        <is>
          <t>619302</t>
        </is>
      </c>
      <c r="G541" t="inlineStr">
        <is>
          <t>KG</t>
        </is>
      </c>
      <c r="H541" s="12" t="n">
        <v>8886338.300000001</v>
      </c>
      <c r="I541" s="17" t="n">
        <v>45377</v>
      </c>
      <c r="J541" s="17" t="n">
        <v>45377</v>
      </c>
      <c r="K541" t="inlineStr">
        <is>
          <t>Vendor Credit Memo NORDEX ENERGY SE &amp; CO. KG 61930</t>
        </is>
      </c>
    </row>
    <row r="542">
      <c r="A542" t="inlineStr">
        <is>
          <t>IC1000</t>
        </is>
      </c>
      <c r="B542" t="inlineStr">
        <is>
          <t>NORDEX ENERGY SE &amp; CO KG</t>
        </is>
      </c>
      <c r="C542" t="n">
        <v>2122100000</v>
      </c>
      <c r="D542" t="inlineStr">
        <is>
          <t>Intercompany</t>
        </is>
      </c>
      <c r="E542" t="n">
        <v>5011554</v>
      </c>
      <c r="F542" t="inlineStr">
        <is>
          <t>619301</t>
        </is>
      </c>
      <c r="G542" t="inlineStr">
        <is>
          <t>KR</t>
        </is>
      </c>
      <c r="H542" s="12" t="n">
        <v>-39475713.74</v>
      </c>
      <c r="I542" s="17" t="n">
        <v>45377</v>
      </c>
      <c r="J542" s="17" t="n">
        <v>45407</v>
      </c>
      <c r="K542" t="inlineStr">
        <is>
          <t>Vendor Invoice NORDEX ENERGY SE &amp; CO. KG 619301</t>
        </is>
      </c>
    </row>
    <row r="543">
      <c r="A543" t="inlineStr">
        <is>
          <t>IC5000</t>
        </is>
      </c>
      <c r="B543" t="inlineStr">
        <is>
          <t>NORDEX SE</t>
        </is>
      </c>
      <c r="C543" t="n">
        <v>2122100000</v>
      </c>
      <c r="D543" t="inlineStr">
        <is>
          <t>Intercompany</t>
        </is>
      </c>
      <c r="E543" t="n">
        <v>5011700</v>
      </c>
      <c r="F543" t="inlineStr">
        <is>
          <t>609361</t>
        </is>
      </c>
      <c r="G543" t="inlineStr">
        <is>
          <t>KR</t>
        </is>
      </c>
      <c r="H543" s="12" t="n">
        <v>-4983160.61</v>
      </c>
      <c r="I543" s="17" t="n">
        <v>45742</v>
      </c>
      <c r="J543" s="17" t="n">
        <v>45742</v>
      </c>
      <c r="K543" t="inlineStr">
        <is>
          <t>Fatura do fornecedor NORDEX SE 609361</t>
        </is>
      </c>
    </row>
    <row r="544">
      <c r="A544" t="inlineStr">
        <is>
          <t>IC1000</t>
        </is>
      </c>
      <c r="B544" t="inlineStr">
        <is>
          <t>NORDEX ENERGY SE &amp; CO KG</t>
        </is>
      </c>
      <c r="C544" t="n">
        <v>2122100000</v>
      </c>
      <c r="D544" t="inlineStr">
        <is>
          <t>Intercompany</t>
        </is>
      </c>
      <c r="E544" t="n">
        <v>5011705</v>
      </c>
      <c r="F544" t="inlineStr">
        <is>
          <t>621839</t>
        </is>
      </c>
      <c r="G544" t="inlineStr">
        <is>
          <t>KR</t>
        </is>
      </c>
      <c r="H544" s="12" t="n">
        <v>-6946425.68</v>
      </c>
      <c r="I544" s="17" t="n">
        <v>45742</v>
      </c>
      <c r="J544" s="17" t="n">
        <v>45772</v>
      </c>
      <c r="K544" t="inlineStr">
        <is>
          <t>Fatura do fornecedor NORDEX ENERGY SE &amp; CO KG 6218</t>
        </is>
      </c>
    </row>
    <row r="545">
      <c r="A545" t="inlineStr">
        <is>
          <t>IC5000</t>
        </is>
      </c>
      <c r="B545" t="inlineStr">
        <is>
          <t>NORDEX SE</t>
        </is>
      </c>
      <c r="C545" t="n">
        <v>2122100000</v>
      </c>
      <c r="D545" t="inlineStr">
        <is>
          <t>Intercompany</t>
        </is>
      </c>
      <c r="E545" t="n">
        <v>5011727</v>
      </c>
      <c r="F545" t="inlineStr">
        <is>
          <t>610848</t>
        </is>
      </c>
      <c r="G545" t="inlineStr">
        <is>
          <t>KR</t>
        </is>
      </c>
      <c r="H545" s="12" t="n">
        <v>-2588444.44</v>
      </c>
      <c r="I545" s="17" t="n">
        <v>46197</v>
      </c>
      <c r="J545" s="17" t="n">
        <v>46257</v>
      </c>
      <c r="K545" t="inlineStr">
        <is>
          <t>Fatura do fornecedor NORDEX SE 610848</t>
        </is>
      </c>
    </row>
    <row r="546">
      <c r="A546" t="inlineStr">
        <is>
          <t>IC4420</t>
        </is>
      </c>
      <c r="B546" t="inlineStr">
        <is>
          <t>NORDEX ENERGY SPAIN S A U</t>
        </is>
      </c>
      <c r="C546" t="n">
        <v>2122100000</v>
      </c>
      <c r="D546" t="inlineStr">
        <is>
          <t>Intercompany</t>
        </is>
      </c>
      <c r="E546" t="n">
        <v>5011728</v>
      </c>
      <c r="F546" t="inlineStr">
        <is>
          <t>4000570</t>
        </is>
      </c>
      <c r="G546" t="inlineStr">
        <is>
          <t>KR</t>
        </is>
      </c>
      <c r="H546" s="12" t="n">
        <v>-91095.53</v>
      </c>
      <c r="I546" s="17" t="n">
        <v>46196</v>
      </c>
      <c r="J546" s="17" t="n">
        <v>46226</v>
      </c>
      <c r="K546" t="inlineStr">
        <is>
          <t>Fatura do fornecedor NORDEX ENERGY SPAIN S A U 400</t>
        </is>
      </c>
    </row>
    <row r="547">
      <c r="A547" t="inlineStr">
        <is>
          <t>IC4420</t>
        </is>
      </c>
      <c r="B547" t="inlineStr">
        <is>
          <t>NORDEX ENERGY SPAIN S A U</t>
        </is>
      </c>
      <c r="C547" t="n">
        <v>2122100000</v>
      </c>
      <c r="D547" t="inlineStr">
        <is>
          <t>Intercompany</t>
        </is>
      </c>
      <c r="E547" t="n">
        <v>5011734</v>
      </c>
      <c r="F547" t="inlineStr">
        <is>
          <t>4000541</t>
        </is>
      </c>
      <c r="G547" t="inlineStr">
        <is>
          <t>KR</t>
        </is>
      </c>
      <c r="H547" s="12" t="n">
        <v>-134412.84</v>
      </c>
      <c r="I547" s="17" t="n">
        <v>46195</v>
      </c>
      <c r="J547" s="17" t="n">
        <v>46225</v>
      </c>
      <c r="K547" t="inlineStr">
        <is>
          <t>Fatura do fornecedor NORDEX ENERGY SPAIN S A U 400</t>
        </is>
      </c>
    </row>
    <row r="548">
      <c r="A548" t="inlineStr">
        <is>
          <t>IC4420</t>
        </is>
      </c>
      <c r="B548" t="inlineStr">
        <is>
          <t>NORDEX ENERGY SPAIN S A U</t>
        </is>
      </c>
      <c r="C548" t="n">
        <v>2122100000</v>
      </c>
      <c r="D548" t="inlineStr">
        <is>
          <t>Intercompany</t>
        </is>
      </c>
      <c r="E548" t="n">
        <v>5011739</v>
      </c>
      <c r="F548" t="inlineStr">
        <is>
          <t>4000585</t>
        </is>
      </c>
      <c r="G548" t="inlineStr">
        <is>
          <t>KR</t>
        </is>
      </c>
      <c r="H548" s="12" t="n">
        <v>-55993.32</v>
      </c>
      <c r="I548" s="17" t="n">
        <v>46196</v>
      </c>
      <c r="J548" s="17" t="n">
        <v>46226</v>
      </c>
      <c r="K548" t="inlineStr">
        <is>
          <t>Fatura do fornecedor NORDEX ENERGY SPAIN S A U 400</t>
        </is>
      </c>
    </row>
    <row r="549">
      <c r="A549" t="inlineStr">
        <is>
          <t>IC4420</t>
        </is>
      </c>
      <c r="B549" t="inlineStr">
        <is>
          <t>NORDEX ENERGY SPAIN S A U</t>
        </is>
      </c>
      <c r="C549" t="n">
        <v>2122100000</v>
      </c>
      <c r="D549" t="inlineStr">
        <is>
          <t>Intercompany</t>
        </is>
      </c>
      <c r="E549" t="n">
        <v>5011758</v>
      </c>
      <c r="F549" t="inlineStr">
        <is>
          <t>4026002946</t>
        </is>
      </c>
      <c r="G549" t="inlineStr">
        <is>
          <t>RE</t>
        </is>
      </c>
      <c r="H549" s="12" t="n">
        <v>-21194.89</v>
      </c>
      <c r="I549" s="17" t="n">
        <v>46141</v>
      </c>
      <c r="J549" s="17" t="n">
        <v>46171</v>
      </c>
      <c r="K549" t="inlineStr">
        <is>
          <t>0273/26</t>
        </is>
      </c>
    </row>
    <row r="550">
      <c r="A550" t="inlineStr">
        <is>
          <t>IC4420</t>
        </is>
      </c>
      <c r="B550" t="inlineStr">
        <is>
          <t>NORDEX ENERGY SPAIN S A U</t>
        </is>
      </c>
      <c r="C550" t="n">
        <v>2122100000</v>
      </c>
      <c r="D550" t="inlineStr">
        <is>
          <t>Intercompany</t>
        </is>
      </c>
      <c r="E550" t="n">
        <v>5011759</v>
      </c>
      <c r="F550" t="inlineStr">
        <is>
          <t>4026003013</t>
        </is>
      </c>
      <c r="G550" t="inlineStr">
        <is>
          <t>RE</t>
        </is>
      </c>
      <c r="H550" s="12" t="n">
        <v>-572.6900000000001</v>
      </c>
      <c r="I550" s="17" t="n">
        <v>46142</v>
      </c>
      <c r="J550" s="17" t="n">
        <v>46172</v>
      </c>
      <c r="K550" t="inlineStr">
        <is>
          <t>0281/26</t>
        </is>
      </c>
    </row>
    <row r="551">
      <c r="A551" t="inlineStr">
        <is>
          <t>IC4420</t>
        </is>
      </c>
      <c r="B551" t="inlineStr">
        <is>
          <t>NORDEX ENERGY SPAIN S A U</t>
        </is>
      </c>
      <c r="C551" t="n">
        <v>2122100000</v>
      </c>
      <c r="D551" t="inlineStr">
        <is>
          <t>Intercompany</t>
        </is>
      </c>
      <c r="E551" t="n">
        <v>5011761</v>
      </c>
      <c r="F551" t="inlineStr">
        <is>
          <t>4026003855</t>
        </is>
      </c>
      <c r="G551" t="inlineStr">
        <is>
          <t>RE</t>
        </is>
      </c>
      <c r="H551" s="12" t="n">
        <v>-26566.47</v>
      </c>
      <c r="I551" s="17" t="n">
        <v>46164</v>
      </c>
      <c r="J551" s="17" t="n">
        <v>46194</v>
      </c>
      <c r="K551" t="inlineStr">
        <is>
          <t>0367/26</t>
        </is>
      </c>
    </row>
    <row r="552">
      <c r="A552" t="inlineStr">
        <is>
          <t>IC4420</t>
        </is>
      </c>
      <c r="B552" t="inlineStr">
        <is>
          <t>NORDEX ENERGY SPAIN S A U</t>
        </is>
      </c>
      <c r="C552" t="n">
        <v>2122100000</v>
      </c>
      <c r="D552" t="inlineStr">
        <is>
          <t>Intercompany</t>
        </is>
      </c>
      <c r="E552" t="n">
        <v>5011762</v>
      </c>
      <c r="F552" t="inlineStr">
        <is>
          <t>4025009665</t>
        </is>
      </c>
      <c r="G552" t="inlineStr">
        <is>
          <t>RE</t>
        </is>
      </c>
      <c r="H552" s="12" t="n">
        <v>-49279.81</v>
      </c>
      <c r="I552" s="17" t="n">
        <v>46003</v>
      </c>
      <c r="J552" s="17" t="n">
        <v>46033</v>
      </c>
      <c r="K552" t="inlineStr">
        <is>
          <t>0939/25</t>
        </is>
      </c>
    </row>
    <row r="553">
      <c r="A553" t="inlineStr">
        <is>
          <t>IC4420</t>
        </is>
      </c>
      <c r="B553" t="inlineStr">
        <is>
          <t>NORDEX ENERGY SPAIN S A U</t>
        </is>
      </c>
      <c r="C553" t="n">
        <v>2122100000</v>
      </c>
      <c r="D553" t="inlineStr">
        <is>
          <t>Intercompany</t>
        </is>
      </c>
      <c r="E553" t="n">
        <v>5011823</v>
      </c>
      <c r="F553" t="inlineStr">
        <is>
          <t>4026003655</t>
        </is>
      </c>
      <c r="G553" t="inlineStr">
        <is>
          <t>RE</t>
        </is>
      </c>
      <c r="H553" s="12" t="n">
        <v>-58601.93</v>
      </c>
      <c r="I553" s="17" t="n">
        <v>46163</v>
      </c>
      <c r="J553" s="17" t="n">
        <v>46193</v>
      </c>
      <c r="K553" t="inlineStr">
        <is>
          <t>0365/26</t>
        </is>
      </c>
    </row>
    <row r="554">
      <c r="A554" t="inlineStr">
        <is>
          <t>IC4420</t>
        </is>
      </c>
      <c r="B554" t="inlineStr">
        <is>
          <t>NORDEX ENERGY SPAIN S A U</t>
        </is>
      </c>
      <c r="C554" t="n">
        <v>2122100000</v>
      </c>
      <c r="D554" t="inlineStr">
        <is>
          <t>Intercompany</t>
        </is>
      </c>
      <c r="E554" t="n">
        <v>5011824</v>
      </c>
      <c r="F554" t="inlineStr">
        <is>
          <t>4026004507</t>
        </is>
      </c>
      <c r="G554" t="inlineStr">
        <is>
          <t>RE</t>
        </is>
      </c>
      <c r="H554" s="12" t="n">
        <v>-47420.59</v>
      </c>
      <c r="I554" s="17" t="n">
        <v>46188</v>
      </c>
      <c r="J554" s="17" t="n">
        <v>46218</v>
      </c>
      <c r="K554" t="inlineStr">
        <is>
          <t>0401/26</t>
        </is>
      </c>
    </row>
    <row r="555">
      <c r="A555" t="inlineStr">
        <is>
          <t>IC4441</t>
        </is>
      </c>
      <c r="B555" t="inlineStr">
        <is>
          <t>Nordex Concrete Towers, S.L.</t>
        </is>
      </c>
      <c r="C555" t="n">
        <v>2122100000</v>
      </c>
      <c r="D555" t="inlineStr">
        <is>
          <t>Intercompany</t>
        </is>
      </c>
      <c r="E555" t="n">
        <v>5011829</v>
      </c>
      <c r="F555" t="inlineStr">
        <is>
          <t>4000006</t>
        </is>
      </c>
      <c r="G555" t="inlineStr">
        <is>
          <t>KR</t>
        </is>
      </c>
      <c r="H555" s="12" t="n">
        <v>-3408.95</v>
      </c>
      <c r="I555" s="17" t="n">
        <v>46196</v>
      </c>
      <c r="J555" s="17" t="n">
        <v>46226</v>
      </c>
      <c r="K555" t="inlineStr">
        <is>
          <t>Fatura do fornecedor Nordex Concrete Towers, S.L.</t>
        </is>
      </c>
    </row>
    <row r="556">
      <c r="A556" t="inlineStr">
        <is>
          <t>IC1000</t>
        </is>
      </c>
      <c r="B556" t="inlineStr">
        <is>
          <t>NORDEX ENERGY SE &amp; CO KG</t>
        </is>
      </c>
      <c r="C556" t="n">
        <v>2122100000</v>
      </c>
      <c r="D556" t="inlineStr">
        <is>
          <t>Intercompany</t>
        </is>
      </c>
      <c r="E556" t="n">
        <v>5011832</v>
      </c>
      <c r="F556" t="inlineStr">
        <is>
          <t>4012485637</t>
        </is>
      </c>
      <c r="G556" t="inlineStr">
        <is>
          <t>RE</t>
        </is>
      </c>
      <c r="H556" s="12" t="n">
        <v>-185691.45</v>
      </c>
      <c r="I556" s="17" t="n">
        <v>45988</v>
      </c>
      <c r="J556" s="17" t="n">
        <v>46018</v>
      </c>
      <c r="K556" t="inlineStr">
        <is>
          <t>0044/26</t>
        </is>
      </c>
    </row>
    <row r="557">
      <c r="A557" t="inlineStr">
        <is>
          <t>IC1000</t>
        </is>
      </c>
      <c r="B557" t="inlineStr">
        <is>
          <t>NORDEX ENERGY SE &amp; CO KG</t>
        </is>
      </c>
      <c r="C557" t="n">
        <v>2122100000</v>
      </c>
      <c r="D557" t="inlineStr">
        <is>
          <t>Intercompany</t>
        </is>
      </c>
      <c r="E557" t="n">
        <v>5011833</v>
      </c>
      <c r="F557" t="inlineStr">
        <is>
          <t>4012485637</t>
        </is>
      </c>
      <c r="G557" t="inlineStr">
        <is>
          <t>RE</t>
        </is>
      </c>
      <c r="H557" s="12" t="n">
        <v>-309664.96</v>
      </c>
      <c r="I557" s="17" t="n">
        <v>45988</v>
      </c>
      <c r="J557" s="17" t="n">
        <v>46018</v>
      </c>
      <c r="K557" t="inlineStr">
        <is>
          <t>0044/26</t>
        </is>
      </c>
    </row>
    <row r="558">
      <c r="A558" t="inlineStr">
        <is>
          <t>IC1000</t>
        </is>
      </c>
      <c r="B558" t="inlineStr">
        <is>
          <t>NORDEX ENERGY SE &amp; CO KG</t>
        </is>
      </c>
      <c r="C558" t="n">
        <v>2122100000</v>
      </c>
      <c r="D558" t="inlineStr">
        <is>
          <t>Intercompany</t>
        </is>
      </c>
      <c r="E558" t="n">
        <v>5011835</v>
      </c>
      <c r="F558" t="inlineStr">
        <is>
          <t>4012485637</t>
        </is>
      </c>
      <c r="G558" t="inlineStr">
        <is>
          <t>RE</t>
        </is>
      </c>
      <c r="H558" s="12" t="n">
        <v>-620391.0699999999</v>
      </c>
      <c r="I558" s="17" t="n">
        <v>45988</v>
      </c>
      <c r="J558" s="17" t="n">
        <v>46018</v>
      </c>
      <c r="K558" t="inlineStr">
        <is>
          <t>0044/26</t>
        </is>
      </c>
    </row>
    <row r="559">
      <c r="A559" t="inlineStr">
        <is>
          <t>IC1000</t>
        </is>
      </c>
      <c r="B559" t="inlineStr">
        <is>
          <t>NORDEX ENERGY SE &amp; CO KG</t>
        </is>
      </c>
      <c r="C559" t="n">
        <v>2122100000</v>
      </c>
      <c r="D559" t="inlineStr">
        <is>
          <t>Intercompany</t>
        </is>
      </c>
      <c r="E559" t="n">
        <v>5011836</v>
      </c>
      <c r="F559" t="inlineStr">
        <is>
          <t>4012485637</t>
        </is>
      </c>
      <c r="G559" t="inlineStr">
        <is>
          <t>RE</t>
        </is>
      </c>
      <c r="H559" s="12" t="n">
        <v>-182166.84</v>
      </c>
      <c r="I559" s="17" t="n">
        <v>45988</v>
      </c>
      <c r="J559" s="17" t="n">
        <v>46018</v>
      </c>
      <c r="K559" t="inlineStr">
        <is>
          <t>0044/26</t>
        </is>
      </c>
    </row>
    <row r="560">
      <c r="A560" t="inlineStr">
        <is>
          <t>IC4420</t>
        </is>
      </c>
      <c r="B560" t="inlineStr">
        <is>
          <t>NORDEX ENERGY SPAIN S A U</t>
        </is>
      </c>
      <c r="C560" t="n">
        <v>2122100000</v>
      </c>
      <c r="D560" t="inlineStr">
        <is>
          <t>Intercompany</t>
        </is>
      </c>
      <c r="E560" t="n">
        <v>5011865</v>
      </c>
      <c r="F560" t="inlineStr">
        <is>
          <t>4026002818</t>
        </is>
      </c>
      <c r="G560" t="inlineStr">
        <is>
          <t>RE</t>
        </is>
      </c>
      <c r="H560" s="12" t="n">
        <v>-6090.61</v>
      </c>
      <c r="I560" s="17" t="n">
        <v>46136</v>
      </c>
      <c r="J560" s="17" t="n">
        <v>46166</v>
      </c>
      <c r="K560" t="inlineStr">
        <is>
          <t>0256/26</t>
        </is>
      </c>
    </row>
    <row r="561">
      <c r="A561" t="inlineStr">
        <is>
          <t>IC4420</t>
        </is>
      </c>
      <c r="B561" t="inlineStr">
        <is>
          <t>NORDEX ENERGY SPAIN S A U</t>
        </is>
      </c>
      <c r="C561" t="n">
        <v>2122100000</v>
      </c>
      <c r="D561" t="inlineStr">
        <is>
          <t>Intercompany</t>
        </is>
      </c>
      <c r="E561" t="n">
        <v>5011866</v>
      </c>
      <c r="F561" t="inlineStr">
        <is>
          <t>4026003514</t>
        </is>
      </c>
      <c r="G561" t="inlineStr">
        <is>
          <t>RE</t>
        </is>
      </c>
      <c r="H561" s="12" t="n">
        <v>-105809.86</v>
      </c>
      <c r="I561" s="17" t="n">
        <v>46160</v>
      </c>
      <c r="J561" s="17" t="n">
        <v>46190</v>
      </c>
      <c r="K561" t="inlineStr">
        <is>
          <t>0357/26</t>
        </is>
      </c>
    </row>
    <row r="562">
      <c r="A562" t="inlineStr">
        <is>
          <t>IC4420</t>
        </is>
      </c>
      <c r="B562" t="inlineStr">
        <is>
          <t>NORDEX ENERGY SPAIN S A U</t>
        </is>
      </c>
      <c r="C562" t="n">
        <v>2122100000</v>
      </c>
      <c r="D562" t="inlineStr">
        <is>
          <t>Intercompany</t>
        </is>
      </c>
      <c r="E562" t="n">
        <v>5011867</v>
      </c>
      <c r="F562" t="inlineStr">
        <is>
          <t>4026004270</t>
        </is>
      </c>
      <c r="G562" t="inlineStr">
        <is>
          <t>RE</t>
        </is>
      </c>
      <c r="H562" s="12" t="n">
        <v>-13656.93</v>
      </c>
      <c r="I562" s="17" t="n">
        <v>46181</v>
      </c>
      <c r="J562" s="17" t="n">
        <v>46211</v>
      </c>
      <c r="K562" t="inlineStr">
        <is>
          <t>0390/26</t>
        </is>
      </c>
    </row>
    <row r="563">
      <c r="A563" t="inlineStr">
        <is>
          <t>IC4420</t>
        </is>
      </c>
      <c r="B563" t="inlineStr">
        <is>
          <t>NORDEX ENERGY SPAIN S A U</t>
        </is>
      </c>
      <c r="C563" t="n">
        <v>2122100000</v>
      </c>
      <c r="D563" t="inlineStr">
        <is>
          <t>Intercompany</t>
        </is>
      </c>
      <c r="E563" t="n">
        <v>5011868</v>
      </c>
      <c r="F563" t="inlineStr">
        <is>
          <t>4026003843</t>
        </is>
      </c>
      <c r="G563" t="inlineStr">
        <is>
          <t>RE</t>
        </is>
      </c>
      <c r="H563" s="12" t="n">
        <v>-4976.3</v>
      </c>
      <c r="I563" s="17" t="n">
        <v>46163</v>
      </c>
      <c r="J563" s="17" t="n">
        <v>46193</v>
      </c>
      <c r="K563" t="inlineStr">
        <is>
          <t>0366/26</t>
        </is>
      </c>
    </row>
    <row r="564">
      <c r="A564" t="inlineStr">
        <is>
          <t>IC1000</t>
        </is>
      </c>
      <c r="B564" t="inlineStr">
        <is>
          <t>NORDEX ENERGY SE &amp; CO KG</t>
        </is>
      </c>
      <c r="C564" t="n">
        <v>2122100000</v>
      </c>
      <c r="D564" t="inlineStr">
        <is>
          <t>Intercompany</t>
        </is>
      </c>
      <c r="E564" t="n">
        <v>5011888</v>
      </c>
      <c r="F564" t="inlineStr">
        <is>
          <t>RITM0416929</t>
        </is>
      </c>
      <c r="G564" t="inlineStr">
        <is>
          <t>RE</t>
        </is>
      </c>
      <c r="H564" s="12" t="n">
        <v>-650972.14</v>
      </c>
      <c r="I564" s="17" t="n">
        <v>45576</v>
      </c>
      <c r="J564" s="17" t="n">
        <v>45606</v>
      </c>
      <c r="K564" t="inlineStr">
        <is>
          <t>1111/24</t>
        </is>
      </c>
    </row>
    <row r="565">
      <c r="A565" t="inlineStr">
        <is>
          <t>IC4420</t>
        </is>
      </c>
      <c r="B565" t="inlineStr">
        <is>
          <t>NORDEX ENERGY SPAIN S A U</t>
        </is>
      </c>
      <c r="C565" t="n">
        <v>2122100000</v>
      </c>
      <c r="D565" t="inlineStr">
        <is>
          <t>Intercompany</t>
        </is>
      </c>
      <c r="E565" t="n">
        <v>5011911</v>
      </c>
      <c r="F565" t="inlineStr">
        <is>
          <t>4026003519</t>
        </is>
      </c>
      <c r="G565" t="inlineStr">
        <is>
          <t>RE</t>
        </is>
      </c>
      <c r="H565" s="12" t="n">
        <v>-35270.82</v>
      </c>
      <c r="I565" s="17" t="n">
        <v>46160</v>
      </c>
      <c r="J565" s="17" t="n">
        <v>46190</v>
      </c>
      <c r="K565" t="inlineStr">
        <is>
          <t>0362/26</t>
        </is>
      </c>
    </row>
    <row r="566">
      <c r="A566" t="inlineStr">
        <is>
          <t>IC4420</t>
        </is>
      </c>
      <c r="B566" t="inlineStr">
        <is>
          <t>NORDEX ENERGY SPAIN S A U</t>
        </is>
      </c>
      <c r="C566" t="n">
        <v>2122100000</v>
      </c>
      <c r="D566" t="inlineStr">
        <is>
          <t>Intercompany</t>
        </is>
      </c>
      <c r="E566" t="n">
        <v>5011914</v>
      </c>
      <c r="F566" t="inlineStr">
        <is>
          <t>4026004273</t>
        </is>
      </c>
      <c r="G566" t="inlineStr">
        <is>
          <t>RE</t>
        </is>
      </c>
      <c r="H566" s="12" t="n">
        <v>-5769.82</v>
      </c>
      <c r="I566" s="17" t="n">
        <v>46181</v>
      </c>
      <c r="J566" s="17" t="n">
        <v>46211</v>
      </c>
      <c r="K566" t="inlineStr">
        <is>
          <t>0393/26</t>
        </is>
      </c>
    </row>
    <row r="567">
      <c r="A567" t="inlineStr">
        <is>
          <t>IC1000</t>
        </is>
      </c>
      <c r="B567" t="inlineStr">
        <is>
          <t>NORDEX ENERGY SE &amp; CO KG</t>
        </is>
      </c>
      <c r="C567" t="n">
        <v>2122100000</v>
      </c>
      <c r="D567" t="inlineStr">
        <is>
          <t>Intercompany</t>
        </is>
      </c>
      <c r="E567" t="n">
        <v>5011917</v>
      </c>
      <c r="F567" t="inlineStr">
        <is>
          <t>4012521984</t>
        </is>
      </c>
      <c r="G567" t="inlineStr">
        <is>
          <t>RE</t>
        </is>
      </c>
      <c r="H567" s="12" t="n">
        <v>-4101331.9</v>
      </c>
      <c r="I567" s="17" t="n">
        <v>46184</v>
      </c>
      <c r="J567" s="17" t="n">
        <v>46214</v>
      </c>
      <c r="K567" t="inlineStr">
        <is>
          <t>0356/26</t>
        </is>
      </c>
    </row>
    <row r="568">
      <c r="A568" t="inlineStr">
        <is>
          <t>IC4420</t>
        </is>
      </c>
      <c r="B568" t="inlineStr">
        <is>
          <t>NORDEX ENERGY SPAIN S A U</t>
        </is>
      </c>
      <c r="C568" t="n">
        <v>2122100000</v>
      </c>
      <c r="D568" t="inlineStr">
        <is>
          <t>Intercompany</t>
        </is>
      </c>
      <c r="E568" t="n">
        <v>5011937</v>
      </c>
      <c r="F568" t="inlineStr">
        <is>
          <t>4026002949</t>
        </is>
      </c>
      <c r="G568" t="inlineStr">
        <is>
          <t>RE</t>
        </is>
      </c>
      <c r="H568" s="12" t="n">
        <v>-2606.55</v>
      </c>
      <c r="I568" s="17" t="n">
        <v>46141</v>
      </c>
      <c r="J568" s="17" t="n">
        <v>46171</v>
      </c>
      <c r="K568" t="inlineStr">
        <is>
          <t>0276/26</t>
        </is>
      </c>
    </row>
    <row r="569">
      <c r="A569" t="inlineStr">
        <is>
          <t>IC1000</t>
        </is>
      </c>
      <c r="B569" t="inlineStr">
        <is>
          <t>NORDEX ENERGY SE &amp; CO KG</t>
        </is>
      </c>
      <c r="C569" t="n">
        <v>2122100000</v>
      </c>
      <c r="D569" t="inlineStr">
        <is>
          <t>Intercompany</t>
        </is>
      </c>
      <c r="E569" t="n">
        <v>5011948</v>
      </c>
      <c r="F569" t="inlineStr">
        <is>
          <t>403203</t>
        </is>
      </c>
      <c r="G569" t="inlineStr">
        <is>
          <t>RE</t>
        </is>
      </c>
      <c r="H569" s="12" t="n">
        <v>-1658.85</v>
      </c>
      <c r="I569" s="17" t="n">
        <v>46182</v>
      </c>
      <c r="J569" s="17" t="n">
        <v>46212</v>
      </c>
      <c r="K569" t="inlineStr">
        <is>
          <t>0395/26</t>
        </is>
      </c>
    </row>
    <row r="570">
      <c r="A570" t="inlineStr">
        <is>
          <t>IC1000</t>
        </is>
      </c>
      <c r="B570" t="inlineStr">
        <is>
          <t>NORDEX ENERGY SE &amp; CO KG</t>
        </is>
      </c>
      <c r="C570" t="n">
        <v>2122100000</v>
      </c>
      <c r="D570" t="inlineStr">
        <is>
          <t>Intercompany</t>
        </is>
      </c>
      <c r="E570" t="n">
        <v>5011949</v>
      </c>
      <c r="F570" t="inlineStr">
        <is>
          <t>401569</t>
        </is>
      </c>
      <c r="G570" t="inlineStr">
        <is>
          <t>RE</t>
        </is>
      </c>
      <c r="H570" s="12" t="n">
        <v>-1938.88</v>
      </c>
      <c r="I570" s="17" t="n">
        <v>46171</v>
      </c>
      <c r="J570" s="17" t="n">
        <v>46201</v>
      </c>
      <c r="K570" t="inlineStr">
        <is>
          <t>0379/26</t>
        </is>
      </c>
    </row>
    <row r="571">
      <c r="A571" t="inlineStr">
        <is>
          <t>IC4420</t>
        </is>
      </c>
      <c r="B571" t="inlineStr">
        <is>
          <t>NORDEX ENERGY SPAIN S A U</t>
        </is>
      </c>
      <c r="C571" t="n">
        <v>2122100000</v>
      </c>
      <c r="D571" t="inlineStr">
        <is>
          <t>Intercompany</t>
        </is>
      </c>
      <c r="E571" t="n">
        <v>5011963</v>
      </c>
      <c r="F571" t="inlineStr">
        <is>
          <t>4026002495</t>
        </is>
      </c>
      <c r="G571" t="inlineStr">
        <is>
          <t>RE</t>
        </is>
      </c>
      <c r="H571" s="12" t="n">
        <v>-4723355.7</v>
      </c>
      <c r="I571" s="17" t="n">
        <v>46125</v>
      </c>
      <c r="J571" s="17" t="n">
        <v>46155</v>
      </c>
      <c r="K571" t="inlineStr">
        <is>
          <t>0199/26</t>
        </is>
      </c>
    </row>
    <row r="572">
      <c r="A572" t="inlineStr">
        <is>
          <t>IC1000</t>
        </is>
      </c>
      <c r="B572" t="inlineStr">
        <is>
          <t>NORDEX ENERGY SE &amp; CO KG</t>
        </is>
      </c>
      <c r="C572" t="n">
        <v>2122100000</v>
      </c>
      <c r="D572" t="inlineStr">
        <is>
          <t>Intercompany</t>
        </is>
      </c>
      <c r="E572" t="n">
        <v>5012011</v>
      </c>
      <c r="F572" t="inlineStr">
        <is>
          <t>331387</t>
        </is>
      </c>
      <c r="G572" t="inlineStr">
        <is>
          <t>RE</t>
        </is>
      </c>
      <c r="H572" s="12" t="n">
        <v>-28522.7</v>
      </c>
      <c r="I572" s="17" t="n">
        <v>45714</v>
      </c>
      <c r="J572" s="17" t="n">
        <v>45744</v>
      </c>
      <c r="K572" t="inlineStr">
        <is>
          <t>0197/25</t>
        </is>
      </c>
    </row>
    <row r="573">
      <c r="A573" t="inlineStr">
        <is>
          <t>IC1000</t>
        </is>
      </c>
      <c r="B573" t="inlineStr">
        <is>
          <t>NORDEX ENERGY SE &amp; CO KG</t>
        </is>
      </c>
      <c r="C573" t="n">
        <v>2122100000</v>
      </c>
      <c r="D573" t="inlineStr">
        <is>
          <t>Intercompany</t>
        </is>
      </c>
      <c r="E573" t="n">
        <v>5012012</v>
      </c>
      <c r="F573" t="inlineStr">
        <is>
          <t>331701</t>
        </is>
      </c>
      <c r="G573" t="inlineStr">
        <is>
          <t>RE</t>
        </is>
      </c>
      <c r="H573" s="12" t="n">
        <v>-38363.07</v>
      </c>
      <c r="I573" s="17" t="n">
        <v>45714</v>
      </c>
      <c r="J573" s="17" t="n">
        <v>45744</v>
      </c>
      <c r="K573" t="inlineStr">
        <is>
          <t>0196/25</t>
        </is>
      </c>
    </row>
    <row r="574">
      <c r="A574" t="inlineStr">
        <is>
          <t>IC1000</t>
        </is>
      </c>
      <c r="B574" t="inlineStr">
        <is>
          <t>NORDEX ENERGY SE &amp; CO KG</t>
        </is>
      </c>
      <c r="C574" t="n">
        <v>2122100000</v>
      </c>
      <c r="D574" t="inlineStr">
        <is>
          <t>Intercompany</t>
        </is>
      </c>
      <c r="E574" t="n">
        <v>5012016</v>
      </c>
      <c r="F574" t="inlineStr">
        <is>
          <t>331400</t>
        </is>
      </c>
      <c r="G574" t="inlineStr">
        <is>
          <t>RE</t>
        </is>
      </c>
      <c r="H574" s="12" t="n">
        <v>-38363.07</v>
      </c>
      <c r="I574" s="17" t="n">
        <v>45714</v>
      </c>
      <c r="J574" s="17" t="n">
        <v>45744</v>
      </c>
      <c r="K574" t="inlineStr">
        <is>
          <t>0195/25</t>
        </is>
      </c>
    </row>
    <row r="575">
      <c r="A575" t="inlineStr">
        <is>
          <t>IC4420</t>
        </is>
      </c>
      <c r="B575" t="inlineStr">
        <is>
          <t>NORDEX ENERGY SPAIN S A U</t>
        </is>
      </c>
      <c r="C575" t="n">
        <v>2122100000</v>
      </c>
      <c r="D575" t="inlineStr">
        <is>
          <t>Intercompany</t>
        </is>
      </c>
      <c r="E575" t="n">
        <v>5012057</v>
      </c>
      <c r="F575" t="inlineStr">
        <is>
          <t>4018000135</t>
        </is>
      </c>
      <c r="G575" t="inlineStr">
        <is>
          <t>RE</t>
        </is>
      </c>
      <c r="H575" s="12" t="n">
        <v>-86115.67</v>
      </c>
      <c r="I575" s="17" t="n">
        <v>46190</v>
      </c>
      <c r="J575" s="17" t="n">
        <v>46220</v>
      </c>
      <c r="K575" t="inlineStr">
        <is>
          <t>0394/26</t>
        </is>
      </c>
    </row>
    <row r="576">
      <c r="A576" t="inlineStr">
        <is>
          <t>IC1000</t>
        </is>
      </c>
      <c r="B576" t="inlineStr">
        <is>
          <t>NORDEX ENERGY SE &amp; CO KG</t>
        </is>
      </c>
      <c r="C576" t="n">
        <v>2122100000</v>
      </c>
      <c r="D576" t="inlineStr">
        <is>
          <t>Intercompany</t>
        </is>
      </c>
      <c r="E576" t="n">
        <v>5012061</v>
      </c>
      <c r="F576" t="inlineStr">
        <is>
          <t>330272</t>
        </is>
      </c>
      <c r="G576" t="inlineStr">
        <is>
          <t>RE</t>
        </is>
      </c>
      <c r="H576" s="12" t="n">
        <v>-72711</v>
      </c>
      <c r="I576" s="17" t="n">
        <v>45708</v>
      </c>
      <c r="J576" s="17" t="n">
        <v>45738</v>
      </c>
      <c r="K576" t="inlineStr">
        <is>
          <t>0185/25</t>
        </is>
      </c>
    </row>
    <row r="577">
      <c r="A577" t="inlineStr">
        <is>
          <t>IC1000</t>
        </is>
      </c>
      <c r="B577" t="inlineStr">
        <is>
          <t>NORDEX ENERGY SE &amp; CO KG</t>
        </is>
      </c>
      <c r="C577" t="n">
        <v>2122100000</v>
      </c>
      <c r="D577" t="inlineStr">
        <is>
          <t>Intercompany</t>
        </is>
      </c>
      <c r="E577" t="n">
        <v>5012062</v>
      </c>
      <c r="F577" t="inlineStr">
        <is>
          <t>332051</t>
        </is>
      </c>
      <c r="G577" t="inlineStr">
        <is>
          <t>RE</t>
        </is>
      </c>
      <c r="H577" s="12" t="n">
        <v>-101670.48</v>
      </c>
      <c r="I577" s="17" t="n">
        <v>45719</v>
      </c>
      <c r="J577" s="17" t="n">
        <v>45749</v>
      </c>
      <c r="K577" t="inlineStr">
        <is>
          <t>0209/25</t>
        </is>
      </c>
    </row>
    <row r="578">
      <c r="A578" t="inlineStr">
        <is>
          <t>IC1000</t>
        </is>
      </c>
      <c r="B578" t="inlineStr">
        <is>
          <t>NORDEX ENERGY SE &amp; CO KG</t>
        </is>
      </c>
      <c r="C578" t="n">
        <v>2122100000</v>
      </c>
      <c r="D578" t="inlineStr">
        <is>
          <t>Intercompany</t>
        </is>
      </c>
      <c r="E578" t="n">
        <v>5012064</v>
      </c>
      <c r="F578" t="inlineStr">
        <is>
          <t>332158</t>
        </is>
      </c>
      <c r="G578" t="inlineStr">
        <is>
          <t>RE</t>
        </is>
      </c>
      <c r="H578" s="12" t="n">
        <v>-13321.01</v>
      </c>
      <c r="I578" s="17" t="n">
        <v>45719</v>
      </c>
      <c r="J578" s="17" t="n">
        <v>45749</v>
      </c>
      <c r="K578" t="inlineStr">
        <is>
          <t>0209/25</t>
        </is>
      </c>
    </row>
    <row r="579">
      <c r="A579" t="inlineStr">
        <is>
          <t>IC1000</t>
        </is>
      </c>
      <c r="B579" t="inlineStr">
        <is>
          <t>NORDEX ENERGY SE &amp; CO KG</t>
        </is>
      </c>
      <c r="C579" t="n">
        <v>2122100000</v>
      </c>
      <c r="D579" t="inlineStr">
        <is>
          <t>Intercompany</t>
        </is>
      </c>
      <c r="E579" t="n">
        <v>5012066</v>
      </c>
      <c r="F579" t="inlineStr">
        <is>
          <t>330786</t>
        </is>
      </c>
      <c r="G579" t="inlineStr">
        <is>
          <t>RE</t>
        </is>
      </c>
      <c r="H579" s="12" t="n">
        <v>-18161.35</v>
      </c>
      <c r="I579" s="17" t="n">
        <v>45708</v>
      </c>
      <c r="J579" s="17" t="n">
        <v>45738</v>
      </c>
      <c r="K579" t="inlineStr">
        <is>
          <t>0185/25</t>
        </is>
      </c>
    </row>
    <row r="580">
      <c r="A580" t="inlineStr">
        <is>
          <t>IC4420</t>
        </is>
      </c>
      <c r="B580" t="inlineStr">
        <is>
          <t>NORDEX ENERGY SPAIN S A U</t>
        </is>
      </c>
      <c r="C580" t="n">
        <v>2122100000</v>
      </c>
      <c r="D580" t="inlineStr">
        <is>
          <t>Intercompany</t>
        </is>
      </c>
      <c r="E580" t="n">
        <v>5012086</v>
      </c>
      <c r="F580" t="inlineStr">
        <is>
          <t>4026003145</t>
        </is>
      </c>
      <c r="G580" t="inlineStr">
        <is>
          <t>RE</t>
        </is>
      </c>
      <c r="H580" s="12" t="n">
        <v>-160.29</v>
      </c>
      <c r="I580" s="17" t="n">
        <v>46148</v>
      </c>
      <c r="J580" s="17" t="n">
        <v>46178</v>
      </c>
      <c r="K580" t="inlineStr">
        <is>
          <t>0299/26</t>
        </is>
      </c>
    </row>
    <row r="581">
      <c r="A581" t="inlineStr">
        <is>
          <t>IC4420</t>
        </is>
      </c>
      <c r="B581" t="inlineStr">
        <is>
          <t>NORDEX ENERGY SPAIN S A U</t>
        </is>
      </c>
      <c r="C581" t="n">
        <v>2122100000</v>
      </c>
      <c r="D581" t="inlineStr">
        <is>
          <t>Intercompany</t>
        </is>
      </c>
      <c r="E581" t="n">
        <v>5012087</v>
      </c>
      <c r="F581" t="inlineStr">
        <is>
          <t>4026003235</t>
        </is>
      </c>
      <c r="G581" t="inlineStr">
        <is>
          <t>RE</t>
        </is>
      </c>
      <c r="H581" s="12" t="n">
        <v>-55393.39</v>
      </c>
      <c r="I581" s="17" t="n">
        <v>46150</v>
      </c>
      <c r="J581" s="17" t="n">
        <v>46180</v>
      </c>
      <c r="K581" t="inlineStr">
        <is>
          <t>0318/26</t>
        </is>
      </c>
    </row>
    <row r="582">
      <c r="A582" t="inlineStr">
        <is>
          <t>IC4420</t>
        </is>
      </c>
      <c r="B582" t="inlineStr">
        <is>
          <t>NORDEX ENERGY SPAIN S A U</t>
        </is>
      </c>
      <c r="C582" t="n">
        <v>2122100000</v>
      </c>
      <c r="D582" t="inlineStr">
        <is>
          <t>Intercompany</t>
        </is>
      </c>
      <c r="E582" t="n">
        <v>5012088</v>
      </c>
      <c r="F582" t="inlineStr">
        <is>
          <t>4026004267</t>
        </is>
      </c>
      <c r="G582" t="inlineStr">
        <is>
          <t>RE</t>
        </is>
      </c>
      <c r="H582" s="12" t="n">
        <v>-68713.46000000001</v>
      </c>
      <c r="I582" s="17" t="n">
        <v>46181</v>
      </c>
      <c r="J582" s="17" t="n">
        <v>46211</v>
      </c>
      <c r="K582" t="inlineStr">
        <is>
          <t>0387/26</t>
        </is>
      </c>
    </row>
    <row r="583">
      <c r="A583" t="inlineStr">
        <is>
          <t>IC4420</t>
        </is>
      </c>
      <c r="B583" t="inlineStr">
        <is>
          <t>NORDEX ENERGY SPAIN S A U</t>
        </is>
      </c>
      <c r="C583" t="n">
        <v>2122100000</v>
      </c>
      <c r="D583" t="inlineStr">
        <is>
          <t>Intercompany</t>
        </is>
      </c>
      <c r="E583" t="n">
        <v>5012089</v>
      </c>
      <c r="F583" t="inlineStr">
        <is>
          <t>4026004062</t>
        </is>
      </c>
      <c r="G583" t="inlineStr">
        <is>
          <t>RE</t>
        </is>
      </c>
      <c r="H583" s="12" t="n">
        <v>-2777.32</v>
      </c>
      <c r="I583" s="17" t="n">
        <v>46174</v>
      </c>
      <c r="J583" s="17" t="n">
        <v>46204</v>
      </c>
      <c r="K583" t="inlineStr">
        <is>
          <t>0376/26</t>
        </is>
      </c>
    </row>
    <row r="584">
      <c r="A584" t="inlineStr">
        <is>
          <t>IC4420</t>
        </is>
      </c>
      <c r="B584" t="inlineStr">
        <is>
          <t>NORDEX ENERGY SPAIN S A U</t>
        </is>
      </c>
      <c r="C584" t="n">
        <v>2122100000</v>
      </c>
      <c r="D584" t="inlineStr">
        <is>
          <t>Intercompany</t>
        </is>
      </c>
      <c r="E584" t="n">
        <v>5012090</v>
      </c>
      <c r="F584" t="inlineStr">
        <is>
          <t>4026004269</t>
        </is>
      </c>
      <c r="G584" t="inlineStr">
        <is>
          <t>RE</t>
        </is>
      </c>
      <c r="H584" s="12" t="n">
        <v>-7306.75</v>
      </c>
      <c r="I584" s="17" t="n">
        <v>46181</v>
      </c>
      <c r="J584" s="17" t="n">
        <v>46211</v>
      </c>
      <c r="K584" t="inlineStr">
        <is>
          <t>0389/26</t>
        </is>
      </c>
    </row>
    <row r="585">
      <c r="A585" t="inlineStr">
        <is>
          <t>IC4420</t>
        </is>
      </c>
      <c r="B585" t="inlineStr">
        <is>
          <t>NORDEX ENERGY SPAIN S A U</t>
        </is>
      </c>
      <c r="C585" t="n">
        <v>2122100000</v>
      </c>
      <c r="D585" t="inlineStr">
        <is>
          <t>Intercompany</t>
        </is>
      </c>
      <c r="E585" t="n">
        <v>5012091</v>
      </c>
      <c r="F585" t="inlineStr">
        <is>
          <t>4026004061</t>
        </is>
      </c>
      <c r="G585" t="inlineStr">
        <is>
          <t>RE</t>
        </is>
      </c>
      <c r="H585" s="12" t="n">
        <v>-14109.75</v>
      </c>
      <c r="I585" s="17" t="n">
        <v>46174</v>
      </c>
      <c r="J585" s="17" t="n">
        <v>46204</v>
      </c>
      <c r="K585" t="inlineStr">
        <is>
          <t>0376/26</t>
        </is>
      </c>
    </row>
    <row r="586">
      <c r="A586" t="inlineStr">
        <is>
          <t>IC4420</t>
        </is>
      </c>
      <c r="B586" t="inlineStr">
        <is>
          <t>NORDEX ENERGY SPAIN S A U</t>
        </is>
      </c>
      <c r="C586" t="n">
        <v>2122100000</v>
      </c>
      <c r="D586" t="inlineStr">
        <is>
          <t>Intercompany</t>
        </is>
      </c>
      <c r="E586" t="n">
        <v>5012092</v>
      </c>
      <c r="F586" t="inlineStr">
        <is>
          <t>4026004272</t>
        </is>
      </c>
      <c r="G586" t="inlineStr">
        <is>
          <t>RE</t>
        </is>
      </c>
      <c r="H586" s="12" t="n">
        <v>-25663.64</v>
      </c>
      <c r="I586" s="17" t="n">
        <v>46181</v>
      </c>
      <c r="J586" s="17" t="n">
        <v>46211</v>
      </c>
      <c r="K586" t="inlineStr">
        <is>
          <t>0392/26</t>
        </is>
      </c>
    </row>
    <row r="587">
      <c r="A587" t="inlineStr">
        <is>
          <t>IC4420</t>
        </is>
      </c>
      <c r="B587" t="inlineStr">
        <is>
          <t>NORDEX ENERGY SPAIN S A U</t>
        </is>
      </c>
      <c r="C587" t="n">
        <v>2122100000</v>
      </c>
      <c r="D587" t="inlineStr">
        <is>
          <t>Intercompany</t>
        </is>
      </c>
      <c r="E587" t="n">
        <v>5012093</v>
      </c>
      <c r="F587" t="inlineStr">
        <is>
          <t>4026003342</t>
        </is>
      </c>
      <c r="G587" t="inlineStr">
        <is>
          <t>RE</t>
        </is>
      </c>
      <c r="H587" s="12" t="n">
        <v>-1536.44</v>
      </c>
      <c r="I587" s="17" t="n">
        <v>46154</v>
      </c>
      <c r="J587" s="17" t="n">
        <v>46184</v>
      </c>
      <c r="K587" t="inlineStr">
        <is>
          <t>0322/26</t>
        </is>
      </c>
    </row>
    <row r="588">
      <c r="A588" t="inlineStr">
        <is>
          <t>IC4420</t>
        </is>
      </c>
      <c r="B588" t="inlineStr">
        <is>
          <t>NORDEX ENERGY SPAIN S A U</t>
        </is>
      </c>
      <c r="C588" t="n">
        <v>2122100000</v>
      </c>
      <c r="D588" t="inlineStr">
        <is>
          <t>Intercompany</t>
        </is>
      </c>
      <c r="E588" t="n">
        <v>5012094</v>
      </c>
      <c r="F588" t="inlineStr">
        <is>
          <t>4026003502</t>
        </is>
      </c>
      <c r="G588" t="inlineStr">
        <is>
          <t>RE</t>
        </is>
      </c>
      <c r="H588" s="12" t="n">
        <v>-7423.09</v>
      </c>
      <c r="I588" s="17" t="n">
        <v>46160</v>
      </c>
      <c r="J588" s="17" t="n">
        <v>46190</v>
      </c>
      <c r="K588" t="inlineStr">
        <is>
          <t>0349/26</t>
        </is>
      </c>
    </row>
    <row r="589">
      <c r="A589" t="inlineStr">
        <is>
          <t>IC4420</t>
        </is>
      </c>
      <c r="B589" t="inlineStr">
        <is>
          <t>NORDEX ENERGY SPAIN S A U</t>
        </is>
      </c>
      <c r="C589" t="n">
        <v>2122100000</v>
      </c>
      <c r="D589" t="inlineStr">
        <is>
          <t>Intercompany</t>
        </is>
      </c>
      <c r="E589" t="n">
        <v>5012097</v>
      </c>
      <c r="F589" t="inlineStr">
        <is>
          <t>4026003517</t>
        </is>
      </c>
      <c r="G589" t="inlineStr">
        <is>
          <t>RE</t>
        </is>
      </c>
      <c r="H589" s="12" t="n">
        <v>-30538.61</v>
      </c>
      <c r="I589" s="17" t="n">
        <v>46160</v>
      </c>
      <c r="J589" s="17" t="n">
        <v>46190</v>
      </c>
      <c r="K589" t="inlineStr">
        <is>
          <t>0360/26</t>
        </is>
      </c>
    </row>
    <row r="590">
      <c r="A590" t="inlineStr">
        <is>
          <t>IC1000</t>
        </is>
      </c>
      <c r="B590" t="inlineStr">
        <is>
          <t>NORDEX ENERGY SE &amp; CO KG</t>
        </is>
      </c>
      <c r="C590" t="n">
        <v>2122100000</v>
      </c>
      <c r="D590" t="inlineStr">
        <is>
          <t>Intercompany</t>
        </is>
      </c>
      <c r="E590" t="n">
        <v>5012142</v>
      </c>
      <c r="F590" t="inlineStr">
        <is>
          <t>331376</t>
        </is>
      </c>
      <c r="G590" t="inlineStr">
        <is>
          <t>RE</t>
        </is>
      </c>
      <c r="H590" s="12" t="n">
        <v>-23114.04</v>
      </c>
      <c r="I590" s="17" t="n">
        <v>45714</v>
      </c>
      <c r="J590" s="17" t="n">
        <v>45744</v>
      </c>
      <c r="K590" t="inlineStr">
        <is>
          <t>0199/25</t>
        </is>
      </c>
    </row>
    <row r="591">
      <c r="A591" t="inlineStr">
        <is>
          <t>IC4420</t>
        </is>
      </c>
      <c r="B591" t="inlineStr">
        <is>
          <t>NORDEX ENERGY SPAIN S A U</t>
        </is>
      </c>
      <c r="C591" t="n">
        <v>2122100000</v>
      </c>
      <c r="D591" t="inlineStr">
        <is>
          <t>Intercompany</t>
        </is>
      </c>
      <c r="E591" t="n">
        <v>5012174</v>
      </c>
      <c r="F591" t="inlineStr">
        <is>
          <t>4026003506</t>
        </is>
      </c>
      <c r="G591" t="inlineStr">
        <is>
          <t>RE</t>
        </is>
      </c>
      <c r="H591" s="12" t="n">
        <v>-2663.39</v>
      </c>
      <c r="I591" s="17" t="n">
        <v>46160</v>
      </c>
      <c r="J591" s="17" t="n">
        <v>46190</v>
      </c>
      <c r="K591" t="inlineStr">
        <is>
          <t>0351/26</t>
        </is>
      </c>
    </row>
    <row r="592">
      <c r="A592" t="inlineStr">
        <is>
          <t>IC4420</t>
        </is>
      </c>
      <c r="B592" t="inlineStr">
        <is>
          <t>NORDEX ENERGY SPAIN S A U</t>
        </is>
      </c>
      <c r="C592" t="n">
        <v>2122100000</v>
      </c>
      <c r="D592" t="inlineStr">
        <is>
          <t>Intercompany</t>
        </is>
      </c>
      <c r="E592" t="n">
        <v>5012175</v>
      </c>
      <c r="F592" t="inlineStr">
        <is>
          <t>4026003347</t>
        </is>
      </c>
      <c r="G592" t="inlineStr">
        <is>
          <t>RE</t>
        </is>
      </c>
      <c r="H592" s="12" t="n">
        <v>-16458.2</v>
      </c>
      <c r="I592" s="17" t="n">
        <v>46154</v>
      </c>
      <c r="J592" s="17" t="n">
        <v>46184</v>
      </c>
      <c r="K592" t="inlineStr">
        <is>
          <t>0326/26</t>
        </is>
      </c>
    </row>
    <row r="593">
      <c r="A593" t="inlineStr">
        <is>
          <t>IC4420</t>
        </is>
      </c>
      <c r="B593" t="inlineStr">
        <is>
          <t>NORDEX ENERGY SPAIN S A U</t>
        </is>
      </c>
      <c r="C593" t="n">
        <v>2122100000</v>
      </c>
      <c r="D593" t="inlineStr">
        <is>
          <t>Intercompany</t>
        </is>
      </c>
      <c r="E593" t="n">
        <v>5012189</v>
      </c>
      <c r="F593" t="inlineStr">
        <is>
          <t>4018000122</t>
        </is>
      </c>
      <c r="G593" t="inlineStr">
        <is>
          <t>RE</t>
        </is>
      </c>
      <c r="H593" s="12" t="n">
        <v>-2124159.57</v>
      </c>
      <c r="I593" s="17" t="n">
        <v>46174</v>
      </c>
      <c r="J593" s="17" t="n">
        <v>46204</v>
      </c>
      <c r="K593" t="inlineStr">
        <is>
          <t>0271/26</t>
        </is>
      </c>
    </row>
    <row r="594">
      <c r="A594" t="inlineStr">
        <is>
          <t>IC4420</t>
        </is>
      </c>
      <c r="B594" t="inlineStr">
        <is>
          <t>NORDEX ENERGY SPAIN S A U</t>
        </is>
      </c>
      <c r="C594" t="n">
        <v>2122100000</v>
      </c>
      <c r="D594" t="inlineStr">
        <is>
          <t>Intercompany</t>
        </is>
      </c>
      <c r="E594" t="n">
        <v>5012190</v>
      </c>
      <c r="F594" t="inlineStr">
        <is>
          <t>4026004138</t>
        </is>
      </c>
      <c r="G594" t="inlineStr">
        <is>
          <t>RE</t>
        </is>
      </c>
      <c r="H594" s="12" t="n">
        <v>-6309670.81</v>
      </c>
      <c r="I594" s="17" t="n">
        <v>46175</v>
      </c>
      <c r="J594" s="17" t="n">
        <v>46205</v>
      </c>
      <c r="K594" t="inlineStr">
        <is>
          <t>0374/26</t>
        </is>
      </c>
    </row>
    <row r="595">
      <c r="A595" t="inlineStr">
        <is>
          <t>IC4420</t>
        </is>
      </c>
      <c r="B595" t="inlineStr">
        <is>
          <t>NORDEX ENERGY SPAIN S A U</t>
        </is>
      </c>
      <c r="C595" t="n">
        <v>2122100000</v>
      </c>
      <c r="D595" t="inlineStr">
        <is>
          <t>Intercompany</t>
        </is>
      </c>
      <c r="E595" t="n">
        <v>5012191</v>
      </c>
      <c r="F595" t="inlineStr">
        <is>
          <t>4026004139</t>
        </is>
      </c>
      <c r="G595" t="inlineStr">
        <is>
          <t>RE</t>
        </is>
      </c>
      <c r="H595" s="12" t="n">
        <v>-103210.42</v>
      </c>
      <c r="I595" s="17" t="n">
        <v>46175</v>
      </c>
      <c r="J595" s="17" t="n">
        <v>46205</v>
      </c>
      <c r="K595" t="inlineStr">
        <is>
          <t>0374/26</t>
        </is>
      </c>
    </row>
    <row r="596">
      <c r="A596" t="inlineStr">
        <is>
          <t>IC4420</t>
        </is>
      </c>
      <c r="B596" t="inlineStr">
        <is>
          <t>NORDEX ENERGY SPAIN S A U</t>
        </is>
      </c>
      <c r="C596" t="n">
        <v>2122100000</v>
      </c>
      <c r="D596" t="inlineStr">
        <is>
          <t>Intercompany</t>
        </is>
      </c>
      <c r="E596" t="n">
        <v>5012192</v>
      </c>
      <c r="F596" t="inlineStr">
        <is>
          <t>4026003967</t>
        </is>
      </c>
      <c r="G596" t="inlineStr">
        <is>
          <t>RE</t>
        </is>
      </c>
      <c r="H596" s="12" t="n">
        <v>-1092245.78</v>
      </c>
      <c r="I596" s="17" t="n">
        <v>46169</v>
      </c>
      <c r="J596" s="17" t="n">
        <v>46199</v>
      </c>
      <c r="K596" t="inlineStr">
        <is>
          <t>0373/26</t>
        </is>
      </c>
    </row>
    <row r="597">
      <c r="A597" t="inlineStr">
        <is>
          <t>IC4420</t>
        </is>
      </c>
      <c r="B597" t="inlineStr">
        <is>
          <t>NORDEX ENERGY SPAIN S A U</t>
        </is>
      </c>
      <c r="C597" t="n">
        <v>2122100000</v>
      </c>
      <c r="D597" t="inlineStr">
        <is>
          <t>Intercompany</t>
        </is>
      </c>
      <c r="E597" t="n">
        <v>5012194</v>
      </c>
      <c r="F597" t="inlineStr">
        <is>
          <t>4026003298</t>
        </is>
      </c>
      <c r="G597" t="inlineStr">
        <is>
          <t>RE</t>
        </is>
      </c>
      <c r="H597" s="12" t="n">
        <v>-1082765.26</v>
      </c>
      <c r="I597" s="17" t="n">
        <v>46153</v>
      </c>
      <c r="J597" s="17" t="n">
        <v>46183</v>
      </c>
      <c r="K597" t="inlineStr">
        <is>
          <t>0320/26</t>
        </is>
      </c>
    </row>
    <row r="598">
      <c r="A598" t="inlineStr">
        <is>
          <t>IC4420</t>
        </is>
      </c>
      <c r="B598" t="inlineStr">
        <is>
          <t>NORDEX ENERGY SPAIN S A U</t>
        </is>
      </c>
      <c r="C598" t="n">
        <v>2122100000</v>
      </c>
      <c r="D598" t="inlineStr">
        <is>
          <t>Intercompany</t>
        </is>
      </c>
      <c r="E598" t="n">
        <v>5012200</v>
      </c>
      <c r="F598" t="inlineStr">
        <is>
          <t>4026003446</t>
        </is>
      </c>
      <c r="G598" t="inlineStr">
        <is>
          <t>RE</t>
        </is>
      </c>
      <c r="H598" s="12" t="n">
        <v>-549902.21</v>
      </c>
      <c r="I598" s="17" t="n">
        <v>46157</v>
      </c>
      <c r="J598" s="17" t="n">
        <v>46187</v>
      </c>
      <c r="K598" t="inlineStr">
        <is>
          <t>0355/26</t>
        </is>
      </c>
    </row>
    <row r="599">
      <c r="A599" t="inlineStr">
        <is>
          <t>IC4420</t>
        </is>
      </c>
      <c r="B599" t="inlineStr">
        <is>
          <t>NORDEX ENERGY SPAIN S A U</t>
        </is>
      </c>
      <c r="C599" t="n">
        <v>2122100000</v>
      </c>
      <c r="D599" t="inlineStr">
        <is>
          <t>Intercompany</t>
        </is>
      </c>
      <c r="E599" t="n">
        <v>5012205</v>
      </c>
      <c r="F599" t="inlineStr">
        <is>
          <t>4026003209</t>
        </is>
      </c>
      <c r="G599" t="inlineStr">
        <is>
          <t>RE</t>
        </is>
      </c>
      <c r="H599" s="12" t="n">
        <v>-33451.02</v>
      </c>
      <c r="I599" s="17" t="n">
        <v>46150</v>
      </c>
      <c r="J599" s="17" t="n">
        <v>46180</v>
      </c>
      <c r="K599" t="inlineStr">
        <is>
          <t>0309/26</t>
        </is>
      </c>
    </row>
    <row r="600">
      <c r="A600" t="inlineStr">
        <is>
          <t>IC4420</t>
        </is>
      </c>
      <c r="B600" t="inlineStr">
        <is>
          <t>NORDEX ENERGY SPAIN S A U</t>
        </is>
      </c>
      <c r="C600" t="n">
        <v>2122100000</v>
      </c>
      <c r="D600" t="inlineStr">
        <is>
          <t>Intercompany</t>
        </is>
      </c>
      <c r="E600" t="n">
        <v>5012207</v>
      </c>
      <c r="F600" t="inlineStr">
        <is>
          <t>4026003516</t>
        </is>
      </c>
      <c r="G600" t="inlineStr">
        <is>
          <t>RE</t>
        </is>
      </c>
      <c r="H600" s="12" t="n">
        <v>-57.1</v>
      </c>
      <c r="I600" s="17" t="n">
        <v>46160</v>
      </c>
      <c r="J600" s="17" t="n">
        <v>46190</v>
      </c>
      <c r="K600" t="inlineStr">
        <is>
          <t>0359/26</t>
        </is>
      </c>
    </row>
    <row r="601">
      <c r="A601" t="inlineStr">
        <is>
          <t>IC4420</t>
        </is>
      </c>
      <c r="B601" t="inlineStr">
        <is>
          <t>NORDEX ENERGY SPAIN S A U</t>
        </is>
      </c>
      <c r="C601" t="n">
        <v>2122100000</v>
      </c>
      <c r="D601" t="inlineStr">
        <is>
          <t>Intercompany</t>
        </is>
      </c>
      <c r="E601" t="n">
        <v>5012208</v>
      </c>
      <c r="F601" t="inlineStr">
        <is>
          <t>4026003095</t>
        </is>
      </c>
      <c r="G601" t="inlineStr">
        <is>
          <t>RE</t>
        </is>
      </c>
      <c r="H601" s="12" t="n">
        <v>-47469.8</v>
      </c>
      <c r="I601" s="17" t="n">
        <v>46146</v>
      </c>
      <c r="J601" s="17" t="n">
        <v>46176</v>
      </c>
      <c r="K601" t="inlineStr">
        <is>
          <t>0288/26</t>
        </is>
      </c>
    </row>
    <row r="602">
      <c r="A602" t="inlineStr">
        <is>
          <t>IC4420</t>
        </is>
      </c>
      <c r="B602" t="inlineStr">
        <is>
          <t>NORDEX ENERGY SPAIN S A U</t>
        </is>
      </c>
      <c r="C602" t="n">
        <v>2122100000</v>
      </c>
      <c r="D602" t="inlineStr">
        <is>
          <t>Intercompany</t>
        </is>
      </c>
      <c r="E602" t="n">
        <v>5012209</v>
      </c>
      <c r="F602" t="inlineStr">
        <is>
          <t>4026003086</t>
        </is>
      </c>
      <c r="G602" t="inlineStr">
        <is>
          <t>RE</t>
        </is>
      </c>
      <c r="H602" s="12" t="n">
        <v>-24.81</v>
      </c>
      <c r="I602" s="17" t="n">
        <v>46146</v>
      </c>
      <c r="J602" s="17" t="n">
        <v>46176</v>
      </c>
      <c r="K602" t="inlineStr">
        <is>
          <t>0284/26</t>
        </is>
      </c>
    </row>
    <row r="603">
      <c r="A603" t="inlineStr">
        <is>
          <t>IC4420</t>
        </is>
      </c>
      <c r="B603" t="inlineStr">
        <is>
          <t>NORDEX ENERGY SPAIN S A U</t>
        </is>
      </c>
      <c r="C603" t="n">
        <v>2122100000</v>
      </c>
      <c r="D603" t="inlineStr">
        <is>
          <t>Intercompany</t>
        </is>
      </c>
      <c r="E603" t="n">
        <v>5012210</v>
      </c>
      <c r="F603" t="inlineStr">
        <is>
          <t>4026003091</t>
        </is>
      </c>
      <c r="G603" t="inlineStr">
        <is>
          <t>RE</t>
        </is>
      </c>
      <c r="H603" s="12" t="n">
        <v>-48087.31</v>
      </c>
      <c r="I603" s="17" t="n">
        <v>46146</v>
      </c>
      <c r="J603" s="17" t="n">
        <v>46176</v>
      </c>
      <c r="K603" t="inlineStr">
        <is>
          <t>0288/26</t>
        </is>
      </c>
    </row>
    <row r="604">
      <c r="A604" t="inlineStr">
        <is>
          <t>IC4420</t>
        </is>
      </c>
      <c r="B604" t="inlineStr">
        <is>
          <t>NORDEX ENERGY SPAIN S A U</t>
        </is>
      </c>
      <c r="C604" t="n">
        <v>2122100000</v>
      </c>
      <c r="D604" t="inlineStr">
        <is>
          <t>Intercompany</t>
        </is>
      </c>
      <c r="E604" t="n">
        <v>5012211</v>
      </c>
      <c r="F604" t="inlineStr">
        <is>
          <t>4026003518</t>
        </is>
      </c>
      <c r="G604" t="inlineStr">
        <is>
          <t>RE</t>
        </is>
      </c>
      <c r="H604" s="12" t="n">
        <v>-41862.73</v>
      </c>
      <c r="I604" s="17" t="n">
        <v>46160</v>
      </c>
      <c r="J604" s="17" t="n">
        <v>46190</v>
      </c>
      <c r="K604" t="inlineStr">
        <is>
          <t>0361/26</t>
        </is>
      </c>
    </row>
    <row r="605">
      <c r="A605" t="inlineStr">
        <is>
          <t>IC4420</t>
        </is>
      </c>
      <c r="B605" t="inlineStr">
        <is>
          <t>NORDEX ENERGY SPAIN S A U</t>
        </is>
      </c>
      <c r="C605" t="n">
        <v>2122100000</v>
      </c>
      <c r="D605" t="inlineStr">
        <is>
          <t>Intercompany</t>
        </is>
      </c>
      <c r="E605" t="n">
        <v>5012212</v>
      </c>
      <c r="F605" t="inlineStr">
        <is>
          <t>4026003520</t>
        </is>
      </c>
      <c r="G605" t="inlineStr">
        <is>
          <t>RE</t>
        </is>
      </c>
      <c r="H605" s="12" t="n">
        <v>-86.23</v>
      </c>
      <c r="I605" s="17" t="n">
        <v>46160</v>
      </c>
      <c r="J605" s="17" t="n">
        <v>46190</v>
      </c>
      <c r="K605" t="inlineStr">
        <is>
          <t>0363/26</t>
        </is>
      </c>
    </row>
    <row r="606">
      <c r="A606" t="inlineStr">
        <is>
          <t>IC4420</t>
        </is>
      </c>
      <c r="B606" t="inlineStr">
        <is>
          <t>NORDEX ENERGY SPAIN S A U</t>
        </is>
      </c>
      <c r="C606" t="n">
        <v>2122100000</v>
      </c>
      <c r="D606" t="inlineStr">
        <is>
          <t>Intercompany</t>
        </is>
      </c>
      <c r="E606" t="n">
        <v>5012213</v>
      </c>
      <c r="F606" t="inlineStr">
        <is>
          <t>4026003101</t>
        </is>
      </c>
      <c r="G606" t="inlineStr">
        <is>
          <t>RE</t>
        </is>
      </c>
      <c r="H606" s="12" t="n">
        <v>-66936.49000000001</v>
      </c>
      <c r="I606" s="17" t="n">
        <v>46146</v>
      </c>
      <c r="J606" s="17" t="n">
        <v>46176</v>
      </c>
      <c r="K606" t="inlineStr">
        <is>
          <t>0284/26</t>
        </is>
      </c>
    </row>
    <row r="607">
      <c r="A607" t="inlineStr">
        <is>
          <t>IC4420</t>
        </is>
      </c>
      <c r="B607" t="inlineStr">
        <is>
          <t>NORDEX ENERGY SPAIN S A U</t>
        </is>
      </c>
      <c r="C607" t="n">
        <v>2122100000</v>
      </c>
      <c r="D607" t="inlineStr">
        <is>
          <t>Intercompany</t>
        </is>
      </c>
      <c r="E607" t="n">
        <v>5012214</v>
      </c>
      <c r="F607" t="inlineStr">
        <is>
          <t>4026003099</t>
        </is>
      </c>
      <c r="G607" t="inlineStr">
        <is>
          <t>RE</t>
        </is>
      </c>
      <c r="H607" s="12" t="n">
        <v>-1098.64</v>
      </c>
      <c r="I607" s="17" t="n">
        <v>46146</v>
      </c>
      <c r="J607" s="17" t="n">
        <v>46176</v>
      </c>
      <c r="K607" t="inlineStr">
        <is>
          <t>0291/26</t>
        </is>
      </c>
    </row>
    <row r="608">
      <c r="A608" t="inlineStr">
        <is>
          <t>IC4420</t>
        </is>
      </c>
      <c r="B608" t="inlineStr">
        <is>
          <t>NORDEX ENERGY SPAIN S A U</t>
        </is>
      </c>
      <c r="C608" t="n">
        <v>2122100000</v>
      </c>
      <c r="D608" t="inlineStr">
        <is>
          <t>Intercompany</t>
        </is>
      </c>
      <c r="E608" t="n">
        <v>5012215</v>
      </c>
      <c r="F608" t="inlineStr">
        <is>
          <t>4026002356</t>
        </is>
      </c>
      <c r="G608" t="inlineStr">
        <is>
          <t>RE</t>
        </is>
      </c>
      <c r="H608" s="12" t="n">
        <v>-120912.09</v>
      </c>
      <c r="I608" s="17" t="n">
        <v>46119</v>
      </c>
      <c r="J608" s="17" t="n">
        <v>46149</v>
      </c>
      <c r="K608" t="inlineStr">
        <is>
          <t>0195/26</t>
        </is>
      </c>
    </row>
    <row r="609">
      <c r="A609" t="inlineStr">
        <is>
          <t>IC4420</t>
        </is>
      </c>
      <c r="B609" t="inlineStr">
        <is>
          <t>NORDEX ENERGY SPAIN S A U</t>
        </is>
      </c>
      <c r="C609" t="n">
        <v>2122100000</v>
      </c>
      <c r="D609" t="inlineStr">
        <is>
          <t>Intercompany</t>
        </is>
      </c>
      <c r="E609" t="n">
        <v>5012216</v>
      </c>
      <c r="F609" t="inlineStr">
        <is>
          <t>4026002357</t>
        </is>
      </c>
      <c r="G609" t="inlineStr">
        <is>
          <t>RE</t>
        </is>
      </c>
      <c r="H609" s="12" t="n">
        <v>-2263.81</v>
      </c>
      <c r="I609" s="17" t="n">
        <v>46119</v>
      </c>
      <c r="J609" s="17" t="n">
        <v>46149</v>
      </c>
      <c r="K609" t="inlineStr">
        <is>
          <t>0195/26</t>
        </is>
      </c>
    </row>
    <row r="610">
      <c r="A610" t="inlineStr">
        <is>
          <t>IC4420</t>
        </is>
      </c>
      <c r="B610" t="inlineStr">
        <is>
          <t>NORDEX ENERGY SPAIN S A U</t>
        </is>
      </c>
      <c r="C610" t="n">
        <v>2122100000</v>
      </c>
      <c r="D610" t="inlineStr">
        <is>
          <t>Intercompany</t>
        </is>
      </c>
      <c r="E610" t="n">
        <v>5012217</v>
      </c>
      <c r="F610" t="inlineStr">
        <is>
          <t>4026002359</t>
        </is>
      </c>
      <c r="G610" t="inlineStr">
        <is>
          <t>RE</t>
        </is>
      </c>
      <c r="H610" s="12" t="n">
        <v>-576.59</v>
      </c>
      <c r="I610" s="17" t="n">
        <v>46119</v>
      </c>
      <c r="J610" s="17" t="n">
        <v>46149</v>
      </c>
      <c r="K610" t="inlineStr">
        <is>
          <t>0195/26</t>
        </is>
      </c>
    </row>
    <row r="611">
      <c r="A611" t="inlineStr">
        <is>
          <t>IC4420</t>
        </is>
      </c>
      <c r="B611" t="inlineStr">
        <is>
          <t>NORDEX ENERGY SPAIN S A U</t>
        </is>
      </c>
      <c r="C611" t="n">
        <v>2122100000</v>
      </c>
      <c r="D611" t="inlineStr">
        <is>
          <t>Intercompany</t>
        </is>
      </c>
      <c r="E611" t="n">
        <v>5012219</v>
      </c>
      <c r="F611" t="inlineStr">
        <is>
          <t>4026004137</t>
        </is>
      </c>
      <c r="G611" t="inlineStr">
        <is>
          <t>RE</t>
        </is>
      </c>
      <c r="H611" s="12" t="n">
        <v>-17564.79</v>
      </c>
      <c r="I611" s="17" t="n">
        <v>46175</v>
      </c>
      <c r="J611" s="17" t="n">
        <v>46205</v>
      </c>
      <c r="K611" t="inlineStr">
        <is>
          <t>0380/26</t>
        </is>
      </c>
    </row>
    <row r="612">
      <c r="A612" t="inlineStr">
        <is>
          <t>IC4420</t>
        </is>
      </c>
      <c r="B612" t="inlineStr">
        <is>
          <t>NORDEX ENERGY SPAIN S A U</t>
        </is>
      </c>
      <c r="C612" t="n">
        <v>2122100000</v>
      </c>
      <c r="D612" t="inlineStr">
        <is>
          <t>Intercompany</t>
        </is>
      </c>
      <c r="E612" t="n">
        <v>5012222</v>
      </c>
      <c r="F612" t="inlineStr">
        <is>
          <t>4026003490</t>
        </is>
      </c>
      <c r="G612" t="inlineStr">
        <is>
          <t>RE</t>
        </is>
      </c>
      <c r="H612" s="12" t="n">
        <v>-50451.11</v>
      </c>
      <c r="I612" s="17" t="n">
        <v>46160</v>
      </c>
      <c r="J612" s="17" t="n">
        <v>46190</v>
      </c>
      <c r="K612" t="inlineStr">
        <is>
          <t>0347/26</t>
        </is>
      </c>
    </row>
    <row r="613">
      <c r="A613" t="inlineStr">
        <is>
          <t>IC4420</t>
        </is>
      </c>
      <c r="B613" t="inlineStr">
        <is>
          <t>NORDEX ENERGY SPAIN S A U</t>
        </is>
      </c>
      <c r="C613" t="n">
        <v>2122100000</v>
      </c>
      <c r="D613" t="inlineStr">
        <is>
          <t>Intercompany</t>
        </is>
      </c>
      <c r="E613" t="n">
        <v>5012325</v>
      </c>
      <c r="F613" t="inlineStr">
        <is>
          <t>4018000113</t>
        </is>
      </c>
      <c r="G613" t="inlineStr">
        <is>
          <t>RE</t>
        </is>
      </c>
      <c r="H613" s="12" t="n">
        <v>-3388.22</v>
      </c>
      <c r="I613" s="17" t="n">
        <v>46168</v>
      </c>
      <c r="J613" s="17" t="n">
        <v>46198</v>
      </c>
      <c r="K613" t="inlineStr">
        <is>
          <t>0369/26</t>
        </is>
      </c>
    </row>
    <row r="614">
      <c r="A614" t="inlineStr">
        <is>
          <t>IC4420</t>
        </is>
      </c>
      <c r="B614" t="inlineStr">
        <is>
          <t>NORDEX ENERGY SPAIN S A U</t>
        </is>
      </c>
      <c r="C614" t="n">
        <v>2122100000</v>
      </c>
      <c r="D614" t="inlineStr">
        <is>
          <t>Intercompany</t>
        </is>
      </c>
      <c r="E614" t="n">
        <v>5012380</v>
      </c>
      <c r="F614" t="inlineStr">
        <is>
          <t>4026003207</t>
        </is>
      </c>
      <c r="G614" t="inlineStr">
        <is>
          <t>RE</t>
        </is>
      </c>
      <c r="H614" s="12" t="n">
        <v>-17395.18</v>
      </c>
      <c r="I614" s="17" t="n">
        <v>46150</v>
      </c>
      <c r="J614" s="17" t="n">
        <v>46180</v>
      </c>
      <c r="K614" t="inlineStr">
        <is>
          <t>0307/26</t>
        </is>
      </c>
    </row>
    <row r="615">
      <c r="A615" t="inlineStr">
        <is>
          <t>IC1000</t>
        </is>
      </c>
      <c r="B615" t="inlineStr">
        <is>
          <t>NORDEX ENERGY SE &amp; CO KG</t>
        </is>
      </c>
      <c r="C615" t="n">
        <v>2122100000</v>
      </c>
      <c r="D615" t="inlineStr">
        <is>
          <t>Intercompany</t>
        </is>
      </c>
      <c r="E615" t="n">
        <v>5012429</v>
      </c>
      <c r="F615" t="inlineStr">
        <is>
          <t>621754</t>
        </is>
      </c>
      <c r="G615" t="inlineStr">
        <is>
          <t>KR</t>
        </is>
      </c>
      <c r="H615" s="12" t="n">
        <v>-959025.5</v>
      </c>
      <c r="I615" s="17" t="n">
        <v>45736</v>
      </c>
      <c r="J615" s="17" t="n">
        <v>45766</v>
      </c>
      <c r="K615" t="inlineStr">
        <is>
          <t>Fatura do fornecedor NORDEX ENERGY SE &amp; CO KG 6217</t>
        </is>
      </c>
    </row>
    <row r="616">
      <c r="A616" t="inlineStr">
        <is>
          <t>IC4420</t>
        </is>
      </c>
      <c r="B616" t="inlineStr">
        <is>
          <t>NORDEX ENERGY SPAIN S A U</t>
        </is>
      </c>
      <c r="C616" t="n">
        <v>2122100000</v>
      </c>
      <c r="D616" t="inlineStr">
        <is>
          <t>Intercompany</t>
        </is>
      </c>
      <c r="E616" t="n">
        <v>5012507</v>
      </c>
      <c r="F616" t="inlineStr">
        <is>
          <t>4026003100</t>
        </is>
      </c>
      <c r="G616" t="inlineStr">
        <is>
          <t>RE</t>
        </is>
      </c>
      <c r="H616" s="12" t="n">
        <v>-1583183.76</v>
      </c>
      <c r="I616" s="17" t="n">
        <v>46146</v>
      </c>
      <c r="J616" s="17" t="n">
        <v>46176</v>
      </c>
      <c r="K616" t="inlineStr">
        <is>
          <t>0283/26</t>
        </is>
      </c>
    </row>
    <row r="617">
      <c r="A617" t="inlineStr">
        <is>
          <t>IC4420</t>
        </is>
      </c>
      <c r="B617" t="inlineStr">
        <is>
          <t>NORDEX ENERGY SPAIN S A U</t>
        </is>
      </c>
      <c r="C617" t="n">
        <v>2122100000</v>
      </c>
      <c r="D617" t="inlineStr">
        <is>
          <t>Intercompany</t>
        </is>
      </c>
      <c r="E617" t="n">
        <v>5012508</v>
      </c>
      <c r="F617" t="inlineStr">
        <is>
          <t>4026004544</t>
        </is>
      </c>
      <c r="G617" t="inlineStr">
        <is>
          <t>RE</t>
        </is>
      </c>
      <c r="H617" s="12" t="n">
        <v>-415.37</v>
      </c>
      <c r="I617" s="17" t="n">
        <v>46188</v>
      </c>
      <c r="J617" s="17" t="n">
        <v>46218</v>
      </c>
      <c r="K617" t="inlineStr">
        <is>
          <t>0418/26</t>
        </is>
      </c>
    </row>
    <row r="618">
      <c r="A618" t="inlineStr">
        <is>
          <t>IC4420</t>
        </is>
      </c>
      <c r="B618" t="inlineStr">
        <is>
          <t>NORDEX ENERGY SPAIN S A U</t>
        </is>
      </c>
      <c r="C618" t="n">
        <v>2122100000</v>
      </c>
      <c r="D618" t="inlineStr">
        <is>
          <t>Intercompany</t>
        </is>
      </c>
      <c r="E618" t="n">
        <v>5012509</v>
      </c>
      <c r="F618" t="inlineStr">
        <is>
          <t>4018000134</t>
        </is>
      </c>
      <c r="G618" t="inlineStr">
        <is>
          <t>RE</t>
        </is>
      </c>
      <c r="H618" s="12" t="n">
        <v>-2885847.66</v>
      </c>
      <c r="I618" s="17" t="n">
        <v>46190</v>
      </c>
      <c r="J618" s="17" t="n">
        <v>46220</v>
      </c>
      <c r="K618" t="inlineStr">
        <is>
          <t>0402/26</t>
        </is>
      </c>
    </row>
    <row r="619">
      <c r="A619" t="inlineStr">
        <is>
          <t>IC4420</t>
        </is>
      </c>
      <c r="B619" t="inlineStr">
        <is>
          <t>NORDEX ENERGY SPAIN S A U</t>
        </is>
      </c>
      <c r="C619" t="n">
        <v>2122100000</v>
      </c>
      <c r="D619" t="inlineStr">
        <is>
          <t>Intercompany</t>
        </is>
      </c>
      <c r="E619" t="n">
        <v>5012510</v>
      </c>
      <c r="F619" t="inlineStr">
        <is>
          <t>4026004078</t>
        </is>
      </c>
      <c r="G619" t="inlineStr">
        <is>
          <t>RE</t>
        </is>
      </c>
      <c r="H619" s="12" t="n">
        <v>-583.62</v>
      </c>
      <c r="I619" s="17" t="n">
        <v>46174</v>
      </c>
      <c r="J619" s="17" t="n">
        <v>46204</v>
      </c>
      <c r="K619" t="inlineStr">
        <is>
          <t>0378/26</t>
        </is>
      </c>
    </row>
    <row r="620">
      <c r="A620" t="inlineStr">
        <is>
          <t>IC4420</t>
        </is>
      </c>
      <c r="B620" t="inlineStr">
        <is>
          <t>NORDEX ENERGY SPAIN S A U</t>
        </is>
      </c>
      <c r="C620" t="n">
        <v>2122100000</v>
      </c>
      <c r="D620" t="inlineStr">
        <is>
          <t>Intercompany</t>
        </is>
      </c>
      <c r="E620" t="n">
        <v>5012511</v>
      </c>
      <c r="F620" t="inlineStr">
        <is>
          <t>4026004766</t>
        </is>
      </c>
      <c r="G620" t="inlineStr">
        <is>
          <t>RE</t>
        </is>
      </c>
      <c r="H620" s="12" t="n">
        <v>-2450.75</v>
      </c>
      <c r="I620" s="17" t="n">
        <v>46197</v>
      </c>
      <c r="J620" s="17" t="n">
        <v>46227</v>
      </c>
      <c r="K620" t="inlineStr">
        <is>
          <t>0440/26</t>
        </is>
      </c>
    </row>
    <row r="621">
      <c r="A621" t="inlineStr">
        <is>
          <t>IC4420</t>
        </is>
      </c>
      <c r="B621" t="inlineStr">
        <is>
          <t>NORDEX ENERGY SPAIN S A U</t>
        </is>
      </c>
      <c r="C621" t="n">
        <v>2122100000</v>
      </c>
      <c r="D621" t="inlineStr">
        <is>
          <t>Intercompany</t>
        </is>
      </c>
      <c r="E621" t="n">
        <v>5012512</v>
      </c>
      <c r="F621" t="inlineStr">
        <is>
          <t>4026003164</t>
        </is>
      </c>
      <c r="G621" t="inlineStr">
        <is>
          <t>RE</t>
        </is>
      </c>
      <c r="H621" s="12" t="n">
        <v>-3255.22</v>
      </c>
      <c r="I621" s="17" t="n">
        <v>46149</v>
      </c>
      <c r="J621" s="17" t="n">
        <v>46179</v>
      </c>
      <c r="K621" t="inlineStr">
        <is>
          <t>0302/26</t>
        </is>
      </c>
    </row>
    <row r="622">
      <c r="A622" t="inlineStr">
        <is>
          <t>IC1000</t>
        </is>
      </c>
      <c r="B622" t="inlineStr">
        <is>
          <t>NORDEX ENERGY SE &amp; CO KG</t>
        </is>
      </c>
      <c r="C622" t="n">
        <v>2122100000</v>
      </c>
      <c r="D622" t="inlineStr">
        <is>
          <t>Intercompany</t>
        </is>
      </c>
      <c r="E622" t="n">
        <v>5012541</v>
      </c>
      <c r="F622" t="inlineStr">
        <is>
          <t>332003</t>
        </is>
      </c>
      <c r="G622" t="inlineStr">
        <is>
          <t>RE</t>
        </is>
      </c>
      <c r="H622" s="12" t="n">
        <v>-2496.06</v>
      </c>
      <c r="I622" s="17" t="n">
        <v>45714</v>
      </c>
      <c r="J622" s="17" t="n">
        <v>45744</v>
      </c>
      <c r="K622" t="inlineStr">
        <is>
          <t>0198/25</t>
        </is>
      </c>
    </row>
    <row r="623">
      <c r="A623" t="inlineStr">
        <is>
          <t>IC1000</t>
        </is>
      </c>
      <c r="B623" t="inlineStr">
        <is>
          <t>NORDEX ENERGY SE &amp; CO KG</t>
        </is>
      </c>
      <c r="C623" t="n">
        <v>2122100000</v>
      </c>
      <c r="D623" t="inlineStr">
        <is>
          <t>Intercompany</t>
        </is>
      </c>
      <c r="E623" t="n">
        <v>5012543</v>
      </c>
      <c r="F623" t="inlineStr">
        <is>
          <t>331926</t>
        </is>
      </c>
      <c r="G623" t="inlineStr">
        <is>
          <t>RE</t>
        </is>
      </c>
      <c r="H623" s="12" t="n">
        <v>-1707166.23</v>
      </c>
      <c r="I623" s="17" t="n">
        <v>45719</v>
      </c>
      <c r="J623" s="17" t="n">
        <v>45749</v>
      </c>
      <c r="K623" t="inlineStr">
        <is>
          <t>0210/25</t>
        </is>
      </c>
    </row>
    <row r="624">
      <c r="A624" t="inlineStr">
        <is>
          <t>IC1000</t>
        </is>
      </c>
      <c r="B624" t="inlineStr">
        <is>
          <t>NORDEX ENERGY SE &amp; CO KG</t>
        </is>
      </c>
      <c r="C624" t="n">
        <v>2122100000</v>
      </c>
      <c r="D624" t="inlineStr">
        <is>
          <t>Intercompany</t>
        </is>
      </c>
      <c r="E624" t="n">
        <v>5012557</v>
      </c>
      <c r="F624" t="inlineStr">
        <is>
          <t>RITM0436071</t>
        </is>
      </c>
      <c r="G624" t="inlineStr">
        <is>
          <t>RE</t>
        </is>
      </c>
      <c r="H624" s="12" t="n">
        <v>-1006931.98</v>
      </c>
      <c r="I624" s="17" t="n">
        <v>45674</v>
      </c>
      <c r="J624" s="17" t="n">
        <v>45704</v>
      </c>
      <c r="K624" t="inlineStr">
        <is>
          <t>0051/25</t>
        </is>
      </c>
    </row>
    <row r="625">
      <c r="A625" t="inlineStr">
        <is>
          <t>IC5000</t>
        </is>
      </c>
      <c r="B625" t="inlineStr">
        <is>
          <t>NORDEX SE</t>
        </is>
      </c>
      <c r="C625" t="n">
        <v>2122100000</v>
      </c>
      <c r="D625" t="inlineStr">
        <is>
          <t>Intercompany</t>
        </is>
      </c>
      <c r="E625" t="n">
        <v>5012577</v>
      </c>
      <c r="F625" t="inlineStr">
        <is>
          <t>609248</t>
        </is>
      </c>
      <c r="G625" t="inlineStr">
        <is>
          <t>KR</t>
        </is>
      </c>
      <c r="H625" s="12" t="n">
        <v>-2441250</v>
      </c>
      <c r="I625" s="17" t="n">
        <v>45736</v>
      </c>
      <c r="J625" s="17" t="n">
        <v>45736</v>
      </c>
      <c r="K625" t="inlineStr">
        <is>
          <t>Fatura do fornecedor NORDEX SE 609248</t>
        </is>
      </c>
    </row>
    <row r="626">
      <c r="A626" t="inlineStr">
        <is>
          <t>IC5000</t>
        </is>
      </c>
      <c r="B626" t="inlineStr">
        <is>
          <t>NORDEX SE</t>
        </is>
      </c>
      <c r="C626" t="n">
        <v>2122100000</v>
      </c>
      <c r="D626" t="inlineStr">
        <is>
          <t>Intercompany</t>
        </is>
      </c>
      <c r="E626" t="n">
        <v>5012619</v>
      </c>
      <c r="F626" t="inlineStr">
        <is>
          <t>610875</t>
        </is>
      </c>
      <c r="G626" t="inlineStr">
        <is>
          <t>KR</t>
        </is>
      </c>
      <c r="H626" s="12" t="n">
        <v>-3260911.3</v>
      </c>
      <c r="I626" s="17" t="n">
        <v>46217</v>
      </c>
      <c r="J626" s="17" t="n">
        <v>46277</v>
      </c>
      <c r="K626" t="inlineStr">
        <is>
          <t>Fatura do fornecedor NORDEX SE 610875</t>
        </is>
      </c>
    </row>
    <row r="627">
      <c r="A627" t="inlineStr">
        <is>
          <t>IC1000</t>
        </is>
      </c>
      <c r="B627" t="inlineStr">
        <is>
          <t>NORDEX ENERGY SE &amp; CO KG</t>
        </is>
      </c>
      <c r="C627" t="n">
        <v>2122100000</v>
      </c>
      <c r="D627" t="inlineStr">
        <is>
          <t>Intercompany</t>
        </is>
      </c>
      <c r="E627" t="n">
        <v>5012620</v>
      </c>
      <c r="F627" t="inlineStr">
        <is>
          <t>400649</t>
        </is>
      </c>
      <c r="G627" t="inlineStr">
        <is>
          <t>RE</t>
        </is>
      </c>
      <c r="H627" s="12" t="n">
        <v>-2419.16</v>
      </c>
      <c r="I627" s="17" t="n">
        <v>46163</v>
      </c>
      <c r="J627" s="17" t="n">
        <v>46193</v>
      </c>
      <c r="K627" t="inlineStr">
        <is>
          <t>0383/26</t>
        </is>
      </c>
    </row>
    <row r="628">
      <c r="A628" t="inlineStr">
        <is>
          <t>IC1000</t>
        </is>
      </c>
      <c r="B628" t="inlineStr">
        <is>
          <t>NORDEX ENERGY SE &amp; CO KG</t>
        </is>
      </c>
      <c r="C628" t="n">
        <v>2122100000</v>
      </c>
      <c r="D628" t="inlineStr">
        <is>
          <t>Intercompany</t>
        </is>
      </c>
      <c r="E628" t="n">
        <v>5012653</v>
      </c>
      <c r="F628" t="inlineStr">
        <is>
          <t>404309</t>
        </is>
      </c>
      <c r="G628" t="inlineStr">
        <is>
          <t>RE</t>
        </is>
      </c>
      <c r="H628" s="12" t="n">
        <v>-26028.23</v>
      </c>
      <c r="I628" s="17" t="n">
        <v>46188</v>
      </c>
      <c r="J628" s="17" t="n">
        <v>46218</v>
      </c>
      <c r="K628" t="inlineStr">
        <is>
          <t>0415/26</t>
        </is>
      </c>
    </row>
    <row r="629">
      <c r="A629" t="inlineStr">
        <is>
          <t>IC4420</t>
        </is>
      </c>
      <c r="B629" t="inlineStr">
        <is>
          <t>NORDEX ENERGY SPAIN S A U</t>
        </is>
      </c>
      <c r="C629" t="n">
        <v>2122100000</v>
      </c>
      <c r="D629" t="inlineStr">
        <is>
          <t>Intercompany</t>
        </is>
      </c>
      <c r="E629" t="n">
        <v>5012660</v>
      </c>
      <c r="F629" t="inlineStr">
        <is>
          <t>4026004740</t>
        </is>
      </c>
      <c r="G629" t="inlineStr">
        <is>
          <t>RE</t>
        </is>
      </c>
      <c r="H629" s="12" t="n">
        <v>-75819.07000000001</v>
      </c>
      <c r="I629" s="17" t="n">
        <v>46196</v>
      </c>
      <c r="J629" s="17" t="n">
        <v>46226</v>
      </c>
      <c r="K629" t="inlineStr">
        <is>
          <t>0437/26</t>
        </is>
      </c>
    </row>
    <row r="630">
      <c r="A630" t="inlineStr">
        <is>
          <t>IC5000</t>
        </is>
      </c>
      <c r="B630" t="inlineStr">
        <is>
          <t>NORDEX SE</t>
        </is>
      </c>
      <c r="C630" t="n">
        <v>2122100000</v>
      </c>
      <c r="D630" t="inlineStr">
        <is>
          <t>Intercompany</t>
        </is>
      </c>
      <c r="E630" t="n">
        <v>5012678</v>
      </c>
      <c r="F630" t="inlineStr">
        <is>
          <t>610914</t>
        </is>
      </c>
      <c r="G630" t="inlineStr">
        <is>
          <t>KR</t>
        </is>
      </c>
      <c r="H630" s="12" t="n">
        <v>-19236321.26</v>
      </c>
      <c r="I630" s="17" t="n">
        <v>46217</v>
      </c>
      <c r="J630" s="17" t="n">
        <v>46277</v>
      </c>
      <c r="K630" t="inlineStr">
        <is>
          <t>Fatura do fornecedor NORDEX SE 610914</t>
        </is>
      </c>
    </row>
    <row r="631">
      <c r="A631" t="inlineStr">
        <is>
          <t>IC4420</t>
        </is>
      </c>
      <c r="B631" t="inlineStr">
        <is>
          <t>NORDEX ENERGY SPAIN S A U</t>
        </is>
      </c>
      <c r="C631" t="n">
        <v>2122100000</v>
      </c>
      <c r="D631" t="inlineStr">
        <is>
          <t>Intercompany</t>
        </is>
      </c>
      <c r="E631" t="n">
        <v>5012690</v>
      </c>
      <c r="F631" t="inlineStr">
        <is>
          <t>4026004638</t>
        </is>
      </c>
      <c r="G631" t="inlineStr">
        <is>
          <t>RE</t>
        </is>
      </c>
      <c r="H631" s="12" t="n">
        <v>-10372.45</v>
      </c>
      <c r="I631" s="17" t="n">
        <v>46191</v>
      </c>
      <c r="J631" s="17" t="n">
        <v>46221</v>
      </c>
      <c r="K631" t="inlineStr">
        <is>
          <t>0416/26</t>
        </is>
      </c>
    </row>
    <row r="632">
      <c r="A632" t="inlineStr">
        <is>
          <t>IC1000</t>
        </is>
      </c>
      <c r="B632" t="inlineStr">
        <is>
          <t>NORDEX ENERGY SE &amp; CO KG</t>
        </is>
      </c>
      <c r="C632" t="n">
        <v>2122100000</v>
      </c>
      <c r="D632" t="inlineStr">
        <is>
          <t>Intercompany</t>
        </is>
      </c>
      <c r="E632" t="n">
        <v>5012742</v>
      </c>
      <c r="F632" t="inlineStr">
        <is>
          <t>333652</t>
        </is>
      </c>
      <c r="G632" t="inlineStr">
        <is>
          <t>RE</t>
        </is>
      </c>
      <c r="H632" s="12" t="n">
        <v>-1109.82</v>
      </c>
      <c r="I632" s="17" t="n">
        <v>45734</v>
      </c>
      <c r="J632" s="17" t="n">
        <v>45764</v>
      </c>
      <c r="K632" t="inlineStr">
        <is>
          <t>0257/25</t>
        </is>
      </c>
    </row>
    <row r="633">
      <c r="A633" t="inlineStr">
        <is>
          <t>IC1000</t>
        </is>
      </c>
      <c r="B633" t="inlineStr">
        <is>
          <t>NORDEX ENERGY SE &amp; CO KG</t>
        </is>
      </c>
      <c r="C633" t="n">
        <v>2122100000</v>
      </c>
      <c r="D633" t="inlineStr">
        <is>
          <t>Intercompany</t>
        </is>
      </c>
      <c r="E633" t="n">
        <v>5012743</v>
      </c>
      <c r="F633" t="inlineStr">
        <is>
          <t>308274</t>
        </is>
      </c>
      <c r="G633" t="inlineStr">
        <is>
          <t>RE</t>
        </is>
      </c>
      <c r="H633" s="12" t="n">
        <v>-103676.65</v>
      </c>
      <c r="I633" s="17" t="n">
        <v>45546</v>
      </c>
      <c r="J633" s="17" t="n">
        <v>45576</v>
      </c>
      <c r="K633" t="inlineStr">
        <is>
          <t>0218/25</t>
        </is>
      </c>
    </row>
    <row r="634">
      <c r="A634" t="inlineStr">
        <is>
          <t>IC4420</t>
        </is>
      </c>
      <c r="B634" t="inlineStr">
        <is>
          <t>NORDEX ENERGY SPAIN S A U</t>
        </is>
      </c>
      <c r="C634" t="n">
        <v>2122100000</v>
      </c>
      <c r="D634" t="inlineStr">
        <is>
          <t>Intercompany</t>
        </is>
      </c>
      <c r="E634" t="n">
        <v>5012872</v>
      </c>
      <c r="F634" t="inlineStr">
        <is>
          <t>4026004460</t>
        </is>
      </c>
      <c r="G634" t="inlineStr">
        <is>
          <t>RE</t>
        </is>
      </c>
      <c r="H634" s="12" t="n">
        <v>-30846.33</v>
      </c>
      <c r="I634" s="17" t="n">
        <v>46185</v>
      </c>
      <c r="J634" s="17" t="n">
        <v>46215</v>
      </c>
      <c r="K634" t="inlineStr">
        <is>
          <t>0400/26</t>
        </is>
      </c>
    </row>
    <row r="635">
      <c r="A635" t="inlineStr">
        <is>
          <t>IC4420</t>
        </is>
      </c>
      <c r="B635" t="inlineStr">
        <is>
          <t>NORDEX ENERGY SPAIN S A U</t>
        </is>
      </c>
      <c r="C635" t="n">
        <v>2122100000</v>
      </c>
      <c r="D635" t="inlineStr">
        <is>
          <t>Intercompany</t>
        </is>
      </c>
      <c r="E635" t="n">
        <v>5012873</v>
      </c>
      <c r="F635" t="inlineStr">
        <is>
          <t>4026004554</t>
        </is>
      </c>
      <c r="G635" t="inlineStr">
        <is>
          <t>RE</t>
        </is>
      </c>
      <c r="H635" s="12" t="n">
        <v>-19551.09</v>
      </c>
      <c r="I635" s="17" t="n">
        <v>46188</v>
      </c>
      <c r="J635" s="17" t="n">
        <v>46218</v>
      </c>
      <c r="K635" t="inlineStr">
        <is>
          <t>0405/26</t>
        </is>
      </c>
    </row>
    <row r="636">
      <c r="A636" t="inlineStr">
        <is>
          <t>IC4420</t>
        </is>
      </c>
      <c r="B636" t="inlineStr">
        <is>
          <t>NORDEX ENERGY SPAIN S A U</t>
        </is>
      </c>
      <c r="C636" t="n">
        <v>2122100000</v>
      </c>
      <c r="D636" t="inlineStr">
        <is>
          <t>Intercompany</t>
        </is>
      </c>
      <c r="E636" t="n">
        <v>5012883</v>
      </c>
      <c r="F636" t="inlineStr">
        <is>
          <t>4026004555</t>
        </is>
      </c>
      <c r="G636" t="inlineStr">
        <is>
          <t>RE</t>
        </is>
      </c>
      <c r="H636" s="12" t="n">
        <v>-1738.15</v>
      </c>
      <c r="I636" s="17" t="n">
        <v>46188</v>
      </c>
      <c r="J636" s="17" t="n">
        <v>46218</v>
      </c>
      <c r="K636" t="inlineStr">
        <is>
          <t>0405/26</t>
        </is>
      </c>
    </row>
    <row r="637">
      <c r="A637" t="inlineStr">
        <is>
          <t>IC4420</t>
        </is>
      </c>
      <c r="B637" t="inlineStr">
        <is>
          <t>NORDEX ENERGY SPAIN S A U</t>
        </is>
      </c>
      <c r="C637" t="n">
        <v>2122100000</v>
      </c>
      <c r="D637" t="inlineStr">
        <is>
          <t>Intercompany</t>
        </is>
      </c>
      <c r="E637" t="n">
        <v>5012897</v>
      </c>
      <c r="F637" t="inlineStr">
        <is>
          <t>4026003198</t>
        </is>
      </c>
      <c r="G637" t="inlineStr">
        <is>
          <t>RE</t>
        </is>
      </c>
      <c r="H637" s="12" t="n">
        <v>-331859.71</v>
      </c>
      <c r="I637" s="17" t="n">
        <v>46149</v>
      </c>
      <c r="J637" s="17" t="n">
        <v>46179</v>
      </c>
      <c r="K637" t="inlineStr">
        <is>
          <t>0310/26</t>
        </is>
      </c>
    </row>
    <row r="638">
      <c r="A638" t="inlineStr">
        <is>
          <t>IC4420</t>
        </is>
      </c>
      <c r="B638" t="inlineStr">
        <is>
          <t>NORDEX ENERGY SPAIN S A U</t>
        </is>
      </c>
      <c r="C638" t="n">
        <v>2122100000</v>
      </c>
      <c r="D638" t="inlineStr">
        <is>
          <t>Intercompany</t>
        </is>
      </c>
      <c r="E638" t="n">
        <v>5012905</v>
      </c>
      <c r="F638" t="inlineStr">
        <is>
          <t>4018000138</t>
        </is>
      </c>
      <c r="G638" t="inlineStr">
        <is>
          <t>RE</t>
        </is>
      </c>
      <c r="H638" s="12" t="n">
        <v>-62799.91</v>
      </c>
      <c r="I638" s="17" t="n">
        <v>46203</v>
      </c>
      <c r="J638" s="17" t="n">
        <v>46233</v>
      </c>
      <c r="K638" t="inlineStr">
        <is>
          <t>0421/26</t>
        </is>
      </c>
    </row>
    <row r="639">
      <c r="A639" t="inlineStr">
        <is>
          <t>IC4420</t>
        </is>
      </c>
      <c r="B639" t="inlineStr">
        <is>
          <t>NORDEX ENERGY SPAIN S A U</t>
        </is>
      </c>
      <c r="C639" t="n">
        <v>2122100000</v>
      </c>
      <c r="D639" t="inlineStr">
        <is>
          <t>Intercompany</t>
        </is>
      </c>
      <c r="E639" t="n">
        <v>5012908</v>
      </c>
      <c r="F639" t="inlineStr">
        <is>
          <t>4026004266</t>
        </is>
      </c>
      <c r="G639" t="inlineStr">
        <is>
          <t>RE</t>
        </is>
      </c>
      <c r="H639" s="12" t="n">
        <v>-128.53</v>
      </c>
      <c r="I639" s="17" t="n">
        <v>46181</v>
      </c>
      <c r="J639" s="17" t="n">
        <v>46211</v>
      </c>
      <c r="K639" t="inlineStr">
        <is>
          <t>0386/26</t>
        </is>
      </c>
    </row>
    <row r="640">
      <c r="A640" t="inlineStr">
        <is>
          <t>IC4420</t>
        </is>
      </c>
      <c r="B640" t="inlineStr">
        <is>
          <t>NORDEX ENERGY SPAIN S A U</t>
        </is>
      </c>
      <c r="C640" t="n">
        <v>2122100000</v>
      </c>
      <c r="D640" t="inlineStr">
        <is>
          <t>Intercompany</t>
        </is>
      </c>
      <c r="E640" t="n">
        <v>5012909</v>
      </c>
      <c r="F640" t="inlineStr">
        <is>
          <t>4026004636</t>
        </is>
      </c>
      <c r="G640" t="inlineStr">
        <is>
          <t>RE</t>
        </is>
      </c>
      <c r="H640" s="12" t="n">
        <v>-6381.57</v>
      </c>
      <c r="I640" s="17" t="n">
        <v>46191</v>
      </c>
      <c r="J640" s="17" t="n">
        <v>46221</v>
      </c>
      <c r="K640" t="inlineStr">
        <is>
          <t>0422/26</t>
        </is>
      </c>
    </row>
    <row r="641">
      <c r="A641" t="inlineStr">
        <is>
          <t>IC4420</t>
        </is>
      </c>
      <c r="B641" t="inlineStr">
        <is>
          <t>NORDEX ENERGY SPAIN S A U</t>
        </is>
      </c>
      <c r="C641" t="n">
        <v>2122100000</v>
      </c>
      <c r="D641" t="inlineStr">
        <is>
          <t>Intercompany</t>
        </is>
      </c>
      <c r="E641" t="n">
        <v>5012916</v>
      </c>
      <c r="F641" t="inlineStr">
        <is>
          <t>4026002717</t>
        </is>
      </c>
      <c r="G641" t="inlineStr">
        <is>
          <t>RE</t>
        </is>
      </c>
      <c r="H641" s="12" t="n">
        <v>-78705.94</v>
      </c>
      <c r="I641" s="17" t="n">
        <v>46132</v>
      </c>
      <c r="J641" s="17" t="n">
        <v>46162</v>
      </c>
      <c r="K641" t="inlineStr">
        <is>
          <t>0251/26</t>
        </is>
      </c>
    </row>
    <row r="642">
      <c r="A642" t="inlineStr">
        <is>
          <t>IC1000</t>
        </is>
      </c>
      <c r="B642" t="inlineStr">
        <is>
          <t>NORDEX ENERGY SE &amp; CO KG</t>
        </is>
      </c>
      <c r="C642" t="n">
        <v>2122100000</v>
      </c>
      <c r="D642" t="inlineStr">
        <is>
          <t>Intercompany</t>
        </is>
      </c>
      <c r="E642" t="n">
        <v>5012941</v>
      </c>
      <c r="F642" t="inlineStr">
        <is>
          <t>RITM0436731-2</t>
        </is>
      </c>
      <c r="G642" t="inlineStr">
        <is>
          <t>RE</t>
        </is>
      </c>
      <c r="H642" s="12" t="n">
        <v>-1238.35</v>
      </c>
      <c r="I642" s="17" t="n">
        <v>45631</v>
      </c>
      <c r="J642" s="17" t="n">
        <v>45661</v>
      </c>
      <c r="K642" t="inlineStr">
        <is>
          <t>0025/25</t>
        </is>
      </c>
    </row>
    <row r="643">
      <c r="A643" t="inlineStr">
        <is>
          <t>IC4420</t>
        </is>
      </c>
      <c r="B643" t="inlineStr">
        <is>
          <t>NORDEX ENERGY SPAIN S A U</t>
        </is>
      </c>
      <c r="C643" t="n">
        <v>2122100000</v>
      </c>
      <c r="D643" t="inlineStr">
        <is>
          <t>Intercompany</t>
        </is>
      </c>
      <c r="E643" t="n">
        <v>5012949</v>
      </c>
      <c r="F643" t="inlineStr">
        <is>
          <t>4026004558</t>
        </is>
      </c>
      <c r="G643" t="inlineStr">
        <is>
          <t>RE</t>
        </is>
      </c>
      <c r="H643" s="12" t="n">
        <v>-6.27</v>
      </c>
      <c r="I643" s="17" t="n">
        <v>46188</v>
      </c>
      <c r="J643" s="17" t="n">
        <v>46218</v>
      </c>
      <c r="K643" t="inlineStr">
        <is>
          <t>0407/26</t>
        </is>
      </c>
    </row>
    <row r="644">
      <c r="A644" t="inlineStr">
        <is>
          <t>IC1000</t>
        </is>
      </c>
      <c r="B644" t="inlineStr">
        <is>
          <t>NORDEX ENERGY SE &amp; CO KG</t>
        </is>
      </c>
      <c r="C644" t="n">
        <v>2122100000</v>
      </c>
      <c r="D644" t="inlineStr">
        <is>
          <t>Intercompany</t>
        </is>
      </c>
      <c r="E644" t="n">
        <v>5012950</v>
      </c>
      <c r="F644" t="inlineStr">
        <is>
          <t>405853</t>
        </is>
      </c>
      <c r="G644" t="inlineStr">
        <is>
          <t>RE</t>
        </is>
      </c>
      <c r="H644" s="12" t="n">
        <v>-13167.68</v>
      </c>
      <c r="I644" s="17" t="n">
        <v>46196</v>
      </c>
      <c r="J644" s="17" t="n">
        <v>46226</v>
      </c>
      <c r="K644" t="inlineStr">
        <is>
          <t>0438/26</t>
        </is>
      </c>
    </row>
    <row r="645">
      <c r="A645" t="inlineStr">
        <is>
          <t>IC4420</t>
        </is>
      </c>
      <c r="B645" t="inlineStr">
        <is>
          <t>NORDEX ENERGY SPAIN S A U</t>
        </is>
      </c>
      <c r="C645" t="n">
        <v>2122100000</v>
      </c>
      <c r="D645" t="inlineStr">
        <is>
          <t>Intercompany</t>
        </is>
      </c>
      <c r="E645" t="n">
        <v>5012951</v>
      </c>
      <c r="F645" t="inlineStr">
        <is>
          <t>4026004765</t>
        </is>
      </c>
      <c r="G645" t="inlineStr">
        <is>
          <t>RE</t>
        </is>
      </c>
      <c r="H645" s="12" t="n">
        <v>-79249.67999999999</v>
      </c>
      <c r="I645" s="17" t="n">
        <v>46197</v>
      </c>
      <c r="J645" s="17" t="n">
        <v>46227</v>
      </c>
      <c r="K645" t="inlineStr">
        <is>
          <t>0439/26</t>
        </is>
      </c>
    </row>
    <row r="646">
      <c r="A646" t="inlineStr">
        <is>
          <t>IC4420</t>
        </is>
      </c>
      <c r="B646" t="inlineStr">
        <is>
          <t>NORDEX ENERGY SPAIN S A U</t>
        </is>
      </c>
      <c r="C646" t="n">
        <v>2122100000</v>
      </c>
      <c r="D646" t="inlineStr">
        <is>
          <t>Intercompany</t>
        </is>
      </c>
      <c r="E646" t="n">
        <v>5012952</v>
      </c>
      <c r="F646" t="inlineStr">
        <is>
          <t>4026004559</t>
        </is>
      </c>
      <c r="G646" t="inlineStr">
        <is>
          <t>RE</t>
        </is>
      </c>
      <c r="H646" s="12" t="n">
        <v>-18385.59</v>
      </c>
      <c r="I646" s="17" t="n">
        <v>46188</v>
      </c>
      <c r="J646" s="17" t="n">
        <v>46218</v>
      </c>
      <c r="K646" t="inlineStr">
        <is>
          <t>0408/26</t>
        </is>
      </c>
    </row>
    <row r="647">
      <c r="A647" t="inlineStr">
        <is>
          <t>IC1000</t>
        </is>
      </c>
      <c r="B647" t="inlineStr">
        <is>
          <t>NORDEX ENERGY SE &amp; CO KG</t>
        </is>
      </c>
      <c r="C647" t="n">
        <v>2122100000</v>
      </c>
      <c r="D647" t="inlineStr">
        <is>
          <t>Intercompany</t>
        </is>
      </c>
      <c r="E647" t="n">
        <v>5012993</v>
      </c>
      <c r="F647" t="inlineStr">
        <is>
          <t>330027</t>
        </is>
      </c>
      <c r="G647" t="inlineStr">
        <is>
          <t>RE</t>
        </is>
      </c>
      <c r="H647" s="12" t="n">
        <v>-33696.59</v>
      </c>
      <c r="I647" s="17" t="n">
        <v>45714</v>
      </c>
      <c r="J647" s="17" t="n">
        <v>45744</v>
      </c>
      <c r="K647" t="inlineStr">
        <is>
          <t>0194/25</t>
        </is>
      </c>
    </row>
    <row r="648">
      <c r="A648" t="inlineStr">
        <is>
          <t>IC4420</t>
        </is>
      </c>
      <c r="B648" t="inlineStr">
        <is>
          <t>NORDEX ENERGY SPAIN S A U</t>
        </is>
      </c>
      <c r="C648" t="n">
        <v>2122100000</v>
      </c>
      <c r="D648" t="inlineStr">
        <is>
          <t>Intercompany</t>
        </is>
      </c>
      <c r="E648" t="n">
        <v>5013035</v>
      </c>
      <c r="F648" t="inlineStr">
        <is>
          <t>4018000093</t>
        </is>
      </c>
      <c r="G648" t="inlineStr">
        <is>
          <t>RE</t>
        </is>
      </c>
      <c r="H648" s="12" t="n">
        <v>-322202.94</v>
      </c>
      <c r="I648" s="17" t="n">
        <v>46127</v>
      </c>
      <c r="J648" s="17" t="n">
        <v>46157</v>
      </c>
      <c r="K648" t="inlineStr">
        <is>
          <t>0238/26</t>
        </is>
      </c>
    </row>
    <row r="649">
      <c r="A649" t="inlineStr">
        <is>
          <t>IC4420</t>
        </is>
      </c>
      <c r="B649" t="inlineStr">
        <is>
          <t>NORDEX ENERGY SPAIN S A U</t>
        </is>
      </c>
      <c r="C649" t="n">
        <v>2122100000</v>
      </c>
      <c r="D649" t="inlineStr">
        <is>
          <t>Intercompany</t>
        </is>
      </c>
      <c r="E649" t="n">
        <v>5013068</v>
      </c>
      <c r="F649" t="inlineStr">
        <is>
          <t>4026004271</t>
        </is>
      </c>
      <c r="G649" t="inlineStr">
        <is>
          <t>RE</t>
        </is>
      </c>
      <c r="H649" s="12" t="n">
        <v>-1632.47</v>
      </c>
      <c r="I649" s="17" t="n">
        <v>46181</v>
      </c>
      <c r="J649" s="17" t="n">
        <v>46211</v>
      </c>
      <c r="K649" t="inlineStr">
        <is>
          <t>0391/26</t>
        </is>
      </c>
    </row>
    <row r="650">
      <c r="A650" t="inlineStr">
        <is>
          <t>IC4420</t>
        </is>
      </c>
      <c r="B650" t="inlineStr">
        <is>
          <t>NORDEX ENERGY SPAIN S A U</t>
        </is>
      </c>
      <c r="C650" t="n">
        <v>2122100000</v>
      </c>
      <c r="D650" t="inlineStr">
        <is>
          <t>Intercompany</t>
        </is>
      </c>
      <c r="E650" t="n">
        <v>5013164</v>
      </c>
      <c r="F650" t="inlineStr">
        <is>
          <t>4026003346</t>
        </is>
      </c>
      <c r="G650" t="inlineStr">
        <is>
          <t>RE</t>
        </is>
      </c>
      <c r="H650" s="12" t="n">
        <v>-5460.91</v>
      </c>
      <c r="I650" s="17" t="n">
        <v>46154</v>
      </c>
      <c r="J650" s="17" t="n">
        <v>46184</v>
      </c>
      <c r="K650" t="inlineStr">
        <is>
          <t>0325/26</t>
        </is>
      </c>
    </row>
    <row r="651">
      <c r="A651" t="inlineStr">
        <is>
          <t>IC4420</t>
        </is>
      </c>
      <c r="B651" t="inlineStr">
        <is>
          <t>NORDEX ENERGY SPAIN S A U</t>
        </is>
      </c>
      <c r="C651" t="n">
        <v>2122100000</v>
      </c>
      <c r="D651" t="inlineStr">
        <is>
          <t>Intercompany</t>
        </is>
      </c>
      <c r="E651" t="n">
        <v>5013165</v>
      </c>
      <c r="F651" t="inlineStr">
        <is>
          <t>4026003234</t>
        </is>
      </c>
      <c r="G651" t="inlineStr">
        <is>
          <t>RE</t>
        </is>
      </c>
      <c r="H651" s="12" t="n">
        <v>-192335.87</v>
      </c>
      <c r="I651" s="17" t="n">
        <v>46150</v>
      </c>
      <c r="J651" s="17" t="n">
        <v>46180</v>
      </c>
      <c r="K651" t="inlineStr">
        <is>
          <t>0317/26</t>
        </is>
      </c>
    </row>
    <row r="652">
      <c r="A652" t="inlineStr">
        <is>
          <t>IC4420</t>
        </is>
      </c>
      <c r="B652" t="inlineStr">
        <is>
          <t>NORDEX ENERGY SPAIN S A U</t>
        </is>
      </c>
      <c r="C652" t="n">
        <v>2122100000</v>
      </c>
      <c r="D652" t="inlineStr">
        <is>
          <t>Intercompany</t>
        </is>
      </c>
      <c r="E652" t="n">
        <v>5013166</v>
      </c>
      <c r="F652" t="inlineStr">
        <is>
          <t>4026003232</t>
        </is>
      </c>
      <c r="G652" t="inlineStr">
        <is>
          <t>RE</t>
        </is>
      </c>
      <c r="H652" s="12" t="n">
        <v>-2648.68</v>
      </c>
      <c r="I652" s="17" t="n">
        <v>46150</v>
      </c>
      <c r="J652" s="17" t="n">
        <v>46180</v>
      </c>
      <c r="K652" t="inlineStr">
        <is>
          <t>0315/26</t>
        </is>
      </c>
    </row>
    <row r="653">
      <c r="A653" t="inlineStr">
        <is>
          <t>IC4420</t>
        </is>
      </c>
      <c r="B653" t="inlineStr">
        <is>
          <t>NORDEX ENERGY SPAIN S A U</t>
        </is>
      </c>
      <c r="C653" t="n">
        <v>2122100000</v>
      </c>
      <c r="D653" t="inlineStr">
        <is>
          <t>Intercompany</t>
        </is>
      </c>
      <c r="E653" t="n">
        <v>5013167</v>
      </c>
      <c r="F653" t="inlineStr">
        <is>
          <t>4018000106</t>
        </is>
      </c>
      <c r="G653" t="inlineStr">
        <is>
          <t>RE</t>
        </is>
      </c>
      <c r="H653" s="12" t="n">
        <v>-29218.82</v>
      </c>
      <c r="I653" s="17" t="n">
        <v>46161</v>
      </c>
      <c r="J653" s="17" t="n">
        <v>46191</v>
      </c>
      <c r="K653" t="inlineStr">
        <is>
          <t>0350/26</t>
        </is>
      </c>
    </row>
    <row r="654">
      <c r="A654" t="inlineStr">
        <is>
          <t>IC4420</t>
        </is>
      </c>
      <c r="B654" t="inlineStr">
        <is>
          <t>NORDEX ENERGY SPAIN S A U</t>
        </is>
      </c>
      <c r="C654" t="n">
        <v>2122100000</v>
      </c>
      <c r="D654" t="inlineStr">
        <is>
          <t>Intercompany</t>
        </is>
      </c>
      <c r="E654" t="n">
        <v>5013168</v>
      </c>
      <c r="F654" t="inlineStr">
        <is>
          <t>4026003208</t>
        </is>
      </c>
      <c r="G654" t="inlineStr">
        <is>
          <t>RE</t>
        </is>
      </c>
      <c r="H654" s="12" t="n">
        <v>-17395.18</v>
      </c>
      <c r="I654" s="17" t="n">
        <v>46150</v>
      </c>
      <c r="J654" s="17" t="n">
        <v>46180</v>
      </c>
      <c r="K654" t="inlineStr">
        <is>
          <t>0308/26</t>
        </is>
      </c>
    </row>
    <row r="655">
      <c r="A655" t="inlineStr">
        <is>
          <t>IC4420</t>
        </is>
      </c>
      <c r="B655" t="inlineStr">
        <is>
          <t>NORDEX ENERGY SPAIN S A U</t>
        </is>
      </c>
      <c r="C655" t="n">
        <v>2122100000</v>
      </c>
      <c r="D655" t="inlineStr">
        <is>
          <t>Intercompany</t>
        </is>
      </c>
      <c r="E655" t="n">
        <v>5013169</v>
      </c>
      <c r="F655" t="inlineStr">
        <is>
          <t>4026003483</t>
        </is>
      </c>
      <c r="G655" t="inlineStr">
        <is>
          <t>RE</t>
        </is>
      </c>
      <c r="H655" s="12" t="n">
        <v>-1802.76</v>
      </c>
      <c r="I655" s="17" t="n">
        <v>46160</v>
      </c>
      <c r="J655" s="17" t="n">
        <v>46190</v>
      </c>
      <c r="K655" t="inlineStr">
        <is>
          <t>0353/26</t>
        </is>
      </c>
    </row>
    <row r="656">
      <c r="A656" t="inlineStr">
        <is>
          <t>IC4420</t>
        </is>
      </c>
      <c r="B656" t="inlineStr">
        <is>
          <t>NORDEX ENERGY SPAIN S A U</t>
        </is>
      </c>
      <c r="C656" t="n">
        <v>2122100000</v>
      </c>
      <c r="D656" t="inlineStr">
        <is>
          <t>Intercompany</t>
        </is>
      </c>
      <c r="E656" t="n">
        <v>5013170</v>
      </c>
      <c r="F656" t="inlineStr">
        <is>
          <t>4026003097</t>
        </is>
      </c>
      <c r="G656" t="inlineStr">
        <is>
          <t>RE</t>
        </is>
      </c>
      <c r="H656" s="12" t="n">
        <v>-123219.87</v>
      </c>
      <c r="I656" s="17" t="n">
        <v>46146</v>
      </c>
      <c r="J656" s="17" t="n">
        <v>46176</v>
      </c>
      <c r="K656" t="inlineStr">
        <is>
          <t>0290/26</t>
        </is>
      </c>
    </row>
    <row r="657">
      <c r="A657" t="inlineStr">
        <is>
          <t>IC4420</t>
        </is>
      </c>
      <c r="B657" t="inlineStr">
        <is>
          <t>NORDEX ENERGY SPAIN S A U</t>
        </is>
      </c>
      <c r="C657" t="n">
        <v>2122100000</v>
      </c>
      <c r="D657" t="inlineStr">
        <is>
          <t>Intercompany</t>
        </is>
      </c>
      <c r="E657" t="n">
        <v>5013171</v>
      </c>
      <c r="F657" t="inlineStr">
        <is>
          <t>4026004552</t>
        </is>
      </c>
      <c r="G657" t="inlineStr">
        <is>
          <t>RE</t>
        </is>
      </c>
      <c r="H657" s="12" t="n">
        <v>-639.14</v>
      </c>
      <c r="I657" s="17" t="n">
        <v>46188</v>
      </c>
      <c r="J657" s="17" t="n">
        <v>46218</v>
      </c>
      <c r="K657" t="inlineStr">
        <is>
          <t>0420/26</t>
        </is>
      </c>
    </row>
    <row r="658">
      <c r="A658" t="inlineStr">
        <is>
          <t>IC4420</t>
        </is>
      </c>
      <c r="B658" t="inlineStr">
        <is>
          <t>NORDEX ENERGY SPAIN S A U</t>
        </is>
      </c>
      <c r="C658" t="n">
        <v>2122100000</v>
      </c>
      <c r="D658" t="inlineStr">
        <is>
          <t>Intercompany</t>
        </is>
      </c>
      <c r="E658" t="n">
        <v>5013172</v>
      </c>
      <c r="F658" t="inlineStr">
        <is>
          <t>4026004260</t>
        </is>
      </c>
      <c r="G658" t="inlineStr">
        <is>
          <t>RE</t>
        </is>
      </c>
      <c r="H658" s="12" t="n">
        <v>-87205.60000000001</v>
      </c>
      <c r="I658" s="17" t="n">
        <v>46181</v>
      </c>
      <c r="J658" s="17" t="n">
        <v>46211</v>
      </c>
      <c r="K658" t="inlineStr">
        <is>
          <t>0384/26</t>
        </is>
      </c>
    </row>
    <row r="659">
      <c r="A659" t="inlineStr">
        <is>
          <t>IC4420</t>
        </is>
      </c>
      <c r="B659" t="inlineStr">
        <is>
          <t>NORDEX ENERGY SPAIN S A U</t>
        </is>
      </c>
      <c r="C659" t="n">
        <v>2122100000</v>
      </c>
      <c r="D659" t="inlineStr">
        <is>
          <t>Intercompany</t>
        </is>
      </c>
      <c r="E659" t="n">
        <v>5013173</v>
      </c>
      <c r="F659" t="inlineStr">
        <is>
          <t>4026004557</t>
        </is>
      </c>
      <c r="G659" t="inlineStr">
        <is>
          <t>RE</t>
        </is>
      </c>
      <c r="H659" s="12" t="n">
        <v>-26489.95</v>
      </c>
      <c r="I659" s="17" t="n">
        <v>46188</v>
      </c>
      <c r="J659" s="17" t="n">
        <v>46218</v>
      </c>
      <c r="K659" t="inlineStr">
        <is>
          <t>0406/26</t>
        </is>
      </c>
    </row>
    <row r="660">
      <c r="A660" t="inlineStr">
        <is>
          <t>IC4420</t>
        </is>
      </c>
      <c r="B660" t="inlineStr">
        <is>
          <t>NORDEX ENERGY SPAIN S A U</t>
        </is>
      </c>
      <c r="C660" t="n">
        <v>2122100000</v>
      </c>
      <c r="D660" t="inlineStr">
        <is>
          <t>Intercompany</t>
        </is>
      </c>
      <c r="E660" t="n">
        <v>5013174</v>
      </c>
      <c r="F660" t="inlineStr">
        <is>
          <t>4026004268</t>
        </is>
      </c>
      <c r="G660" t="inlineStr">
        <is>
          <t>RE</t>
        </is>
      </c>
      <c r="H660" s="12" t="n">
        <v>-12109.83</v>
      </c>
      <c r="I660" s="17" t="n">
        <v>46181</v>
      </c>
      <c r="J660" s="17" t="n">
        <v>46211</v>
      </c>
      <c r="K660" t="inlineStr">
        <is>
          <t>0388/26</t>
        </is>
      </c>
    </row>
    <row r="661">
      <c r="A661" t="inlineStr">
        <is>
          <t>IC4420</t>
        </is>
      </c>
      <c r="B661" t="inlineStr">
        <is>
          <t>NORDEX ENERGY SPAIN S A U</t>
        </is>
      </c>
      <c r="C661" t="n">
        <v>2122100000</v>
      </c>
      <c r="D661" t="inlineStr">
        <is>
          <t>Intercompany</t>
        </is>
      </c>
      <c r="E661" t="n">
        <v>5013175</v>
      </c>
      <c r="F661" t="inlineStr">
        <is>
          <t>4026004548</t>
        </is>
      </c>
      <c r="G661" t="inlineStr">
        <is>
          <t>RE</t>
        </is>
      </c>
      <c r="H661" s="12" t="n">
        <v>-4001.23</v>
      </c>
      <c r="I661" s="17" t="n">
        <v>46188</v>
      </c>
      <c r="J661" s="17" t="n">
        <v>46218</v>
      </c>
      <c r="K661" t="inlineStr">
        <is>
          <t>0420/26</t>
        </is>
      </c>
    </row>
    <row r="662">
      <c r="A662" t="inlineStr">
        <is>
          <t>IC4420</t>
        </is>
      </c>
      <c r="B662" t="inlineStr">
        <is>
          <t>NORDEX ENERGY SPAIN S A U</t>
        </is>
      </c>
      <c r="C662" t="n">
        <v>2122100000</v>
      </c>
      <c r="D662" t="inlineStr">
        <is>
          <t>Intercompany</t>
        </is>
      </c>
      <c r="E662" t="n">
        <v>5013176</v>
      </c>
      <c r="F662" t="inlineStr">
        <is>
          <t>4026003521</t>
        </is>
      </c>
      <c r="G662" t="inlineStr">
        <is>
          <t>RE</t>
        </is>
      </c>
      <c r="H662" s="12" t="n">
        <v>-9225.129999999999</v>
      </c>
      <c r="I662" s="17" t="n">
        <v>46160</v>
      </c>
      <c r="J662" s="17" t="n">
        <v>46190</v>
      </c>
      <c r="K662" t="inlineStr">
        <is>
          <t>0364/26</t>
        </is>
      </c>
    </row>
    <row r="663">
      <c r="A663" t="inlineStr">
        <is>
          <t>IC4420</t>
        </is>
      </c>
      <c r="B663" t="inlineStr">
        <is>
          <t>NORDEX ENERGY SPAIN S A U</t>
        </is>
      </c>
      <c r="C663" t="n">
        <v>2122100000</v>
      </c>
      <c r="D663" t="inlineStr">
        <is>
          <t>Intercompany</t>
        </is>
      </c>
      <c r="E663" t="n">
        <v>5013205</v>
      </c>
      <c r="F663" t="inlineStr">
        <is>
          <t>4026004879</t>
        </is>
      </c>
      <c r="G663" t="inlineStr">
        <is>
          <t>RE</t>
        </is>
      </c>
      <c r="H663" s="12" t="n">
        <v>-5549.71</v>
      </c>
      <c r="I663" s="17" t="n">
        <v>46199</v>
      </c>
      <c r="J663" s="17" t="n">
        <v>46229</v>
      </c>
      <c r="K663" t="inlineStr">
        <is>
          <t>0444/26</t>
        </is>
      </c>
    </row>
    <row r="664">
      <c r="A664" t="inlineStr">
        <is>
          <t>IC4420</t>
        </is>
      </c>
      <c r="B664" t="inlineStr">
        <is>
          <t>NORDEX ENERGY SPAIN S A U</t>
        </is>
      </c>
      <c r="C664" t="n">
        <v>2122100000</v>
      </c>
      <c r="D664" t="inlineStr">
        <is>
          <t>Intercompany</t>
        </is>
      </c>
      <c r="E664" t="n">
        <v>5013274</v>
      </c>
      <c r="F664" t="inlineStr">
        <is>
          <t>4026004856</t>
        </is>
      </c>
      <c r="G664" t="inlineStr">
        <is>
          <t>RE</t>
        </is>
      </c>
      <c r="H664" s="12" t="n">
        <v>-1684.17</v>
      </c>
      <c r="I664" s="17" t="n">
        <v>46198</v>
      </c>
      <c r="J664" s="17" t="n">
        <v>46228</v>
      </c>
      <c r="K664" t="inlineStr">
        <is>
          <t>0441/26</t>
        </is>
      </c>
    </row>
    <row r="665">
      <c r="A665" t="inlineStr">
        <is>
          <t>IC4420</t>
        </is>
      </c>
      <c r="B665" t="inlineStr">
        <is>
          <t>NORDEX ENERGY SPAIN S A U</t>
        </is>
      </c>
      <c r="C665" t="n">
        <v>2122100000</v>
      </c>
      <c r="D665" t="inlineStr">
        <is>
          <t>Intercompany</t>
        </is>
      </c>
      <c r="E665" t="n">
        <v>5013305</v>
      </c>
      <c r="F665" t="inlineStr">
        <is>
          <t>4026003206</t>
        </is>
      </c>
      <c r="G665" t="inlineStr">
        <is>
          <t>RE</t>
        </is>
      </c>
      <c r="H665" s="12" t="n">
        <v>-60396.42</v>
      </c>
      <c r="I665" s="17" t="n">
        <v>46150</v>
      </c>
      <c r="J665" s="17" t="n">
        <v>46180</v>
      </c>
      <c r="K665" t="inlineStr">
        <is>
          <t>0306/26</t>
        </is>
      </c>
    </row>
    <row r="666">
      <c r="A666" t="inlineStr">
        <is>
          <t>IC4420</t>
        </is>
      </c>
      <c r="B666" t="inlineStr">
        <is>
          <t>NORDEX ENERGY SPAIN S A U</t>
        </is>
      </c>
      <c r="C666" t="n">
        <v>2122100000</v>
      </c>
      <c r="D666" t="inlineStr">
        <is>
          <t>Intercompany</t>
        </is>
      </c>
      <c r="E666" t="n">
        <v>5013310</v>
      </c>
      <c r="F666" t="inlineStr">
        <is>
          <t>4018000060</t>
        </is>
      </c>
      <c r="G666" t="inlineStr">
        <is>
          <t>RE</t>
        </is>
      </c>
      <c r="H666" s="12" t="n">
        <v>-1278104.57</v>
      </c>
      <c r="I666" s="17" t="n">
        <v>45349</v>
      </c>
      <c r="J666" s="17" t="n">
        <v>45379</v>
      </c>
      <c r="K666" t="inlineStr">
        <is>
          <t>0163/24</t>
        </is>
      </c>
    </row>
    <row r="667">
      <c r="A667" t="inlineStr">
        <is>
          <t>IC4420</t>
        </is>
      </c>
      <c r="B667" t="inlineStr">
        <is>
          <t>NORDEX ENERGY SPAIN S A U</t>
        </is>
      </c>
      <c r="C667" t="n">
        <v>2122100000</v>
      </c>
      <c r="D667" t="inlineStr">
        <is>
          <t>Intercompany</t>
        </is>
      </c>
      <c r="E667" t="n">
        <v>5013312</v>
      </c>
      <c r="F667" t="inlineStr">
        <is>
          <t>4026004739</t>
        </is>
      </c>
      <c r="G667" t="inlineStr">
        <is>
          <t>RE</t>
        </is>
      </c>
      <c r="H667" s="12" t="n">
        <v>-8291.129999999999</v>
      </c>
      <c r="I667" s="17" t="n">
        <v>46196</v>
      </c>
      <c r="J667" s="17" t="n">
        <v>46226</v>
      </c>
      <c r="K667" t="inlineStr">
        <is>
          <t>0442/26</t>
        </is>
      </c>
    </row>
    <row r="668">
      <c r="A668" t="inlineStr">
        <is>
          <t>IC4420</t>
        </is>
      </c>
      <c r="B668" t="inlineStr">
        <is>
          <t>NORDEX ENERGY SPAIN S A U</t>
        </is>
      </c>
      <c r="C668" t="n">
        <v>2122100000</v>
      </c>
      <c r="D668" t="inlineStr">
        <is>
          <t>Intercompany</t>
        </is>
      </c>
      <c r="E668" t="n">
        <v>5013337</v>
      </c>
      <c r="F668" t="inlineStr">
        <is>
          <t>4026003088</t>
        </is>
      </c>
      <c r="G668" t="inlineStr">
        <is>
          <t>RE</t>
        </is>
      </c>
      <c r="H668" s="12" t="n">
        <v>-6596.62</v>
      </c>
      <c r="I668" s="17" t="n">
        <v>46146</v>
      </c>
      <c r="J668" s="17" t="n">
        <v>46176</v>
      </c>
      <c r="K668" t="inlineStr">
        <is>
          <t>0286/26</t>
        </is>
      </c>
    </row>
    <row r="669">
      <c r="A669" t="inlineStr">
        <is>
          <t>IC4420</t>
        </is>
      </c>
      <c r="B669" t="inlineStr">
        <is>
          <t>NORDEX ENERGY SPAIN S A U</t>
        </is>
      </c>
      <c r="C669" t="n">
        <v>2122100000</v>
      </c>
      <c r="D669" t="inlineStr">
        <is>
          <t>Intercompany</t>
        </is>
      </c>
      <c r="E669" t="n">
        <v>5013338</v>
      </c>
      <c r="F669" t="inlineStr">
        <is>
          <t>4026003090</t>
        </is>
      </c>
      <c r="G669" t="inlineStr">
        <is>
          <t>RE</t>
        </is>
      </c>
      <c r="H669" s="12" t="n">
        <v>-14105.02</v>
      </c>
      <c r="I669" s="17" t="n">
        <v>46146</v>
      </c>
      <c r="J669" s="17" t="n">
        <v>46176</v>
      </c>
      <c r="K669" t="inlineStr">
        <is>
          <t>0286/26</t>
        </is>
      </c>
    </row>
    <row r="670">
      <c r="A670" t="inlineStr">
        <is>
          <t>IC4420</t>
        </is>
      </c>
      <c r="B670" t="inlineStr">
        <is>
          <t>NORDEX ENERGY SPAIN S A U</t>
        </is>
      </c>
      <c r="C670" t="n">
        <v>2122100000</v>
      </c>
      <c r="D670" t="inlineStr">
        <is>
          <t>Intercompany</t>
        </is>
      </c>
      <c r="E670" t="n">
        <v>5013344</v>
      </c>
      <c r="F670" t="inlineStr">
        <is>
          <t>4024002129</t>
        </is>
      </c>
      <c r="G670" t="inlineStr">
        <is>
          <t>RE</t>
        </is>
      </c>
      <c r="H670" s="12" t="n">
        <v>-1281870.52</v>
      </c>
      <c r="I670" s="17" t="n">
        <v>45377</v>
      </c>
      <c r="J670" s="17" t="n">
        <v>45407</v>
      </c>
      <c r="K670" t="inlineStr">
        <is>
          <t>0219/24</t>
        </is>
      </c>
    </row>
    <row r="671">
      <c r="A671" t="inlineStr">
        <is>
          <t>IC1000</t>
        </is>
      </c>
      <c r="B671" t="inlineStr">
        <is>
          <t>NORDEX ENERGY SE &amp; CO KG</t>
        </is>
      </c>
      <c r="C671" t="n">
        <v>2122100000</v>
      </c>
      <c r="D671" t="inlineStr">
        <is>
          <t>Intercompany</t>
        </is>
      </c>
      <c r="E671" t="n">
        <v>5013380</v>
      </c>
      <c r="F671" t="inlineStr">
        <is>
          <t>RITM0652907</t>
        </is>
      </c>
      <c r="G671" t="inlineStr">
        <is>
          <t>RE</t>
        </is>
      </c>
      <c r="H671" s="12" t="n">
        <v>-1173929.48</v>
      </c>
      <c r="I671" s="17" t="n">
        <v>46136</v>
      </c>
      <c r="J671" s="17" t="n">
        <v>46166</v>
      </c>
      <c r="K671" t="inlineStr">
        <is>
          <t>0385/26</t>
        </is>
      </c>
    </row>
    <row r="672">
      <c r="A672" t="inlineStr">
        <is>
          <t>IC1000</t>
        </is>
      </c>
      <c r="B672" t="inlineStr">
        <is>
          <t>NORDEX ENERGY SE &amp; CO KG</t>
        </is>
      </c>
      <c r="C672" t="n">
        <v>2122100000</v>
      </c>
      <c r="D672" t="inlineStr">
        <is>
          <t>Intercompany</t>
        </is>
      </c>
      <c r="E672" t="n">
        <v>5013428</v>
      </c>
      <c r="F672" t="inlineStr">
        <is>
          <t>4012341702</t>
        </is>
      </c>
      <c r="G672" t="inlineStr">
        <is>
          <t>RE</t>
        </is>
      </c>
      <c r="H672" s="12" t="n">
        <v>-7391.77</v>
      </c>
      <c r="I672" s="17" t="n">
        <v>45113</v>
      </c>
      <c r="J672" s="17" t="n">
        <v>45143</v>
      </c>
      <c r="K672" t="inlineStr">
        <is>
          <t>0470/23</t>
        </is>
      </c>
    </row>
    <row r="673">
      <c r="A673" t="inlineStr">
        <is>
          <t>IC1000</t>
        </is>
      </c>
      <c r="B673" t="inlineStr">
        <is>
          <t>NORDEX ENERGY SE &amp; CO KG</t>
        </is>
      </c>
      <c r="C673" t="n">
        <v>2122100000</v>
      </c>
      <c r="D673" t="inlineStr">
        <is>
          <t>Intercompany</t>
        </is>
      </c>
      <c r="E673" t="n">
        <v>5013439</v>
      </c>
      <c r="F673" t="inlineStr">
        <is>
          <t>4012343027</t>
        </is>
      </c>
      <c r="G673" t="inlineStr">
        <is>
          <t>RE</t>
        </is>
      </c>
      <c r="H673" s="12" t="n">
        <v>-2916.61</v>
      </c>
      <c r="I673" s="17" t="n">
        <v>45124</v>
      </c>
      <c r="J673" s="17" t="n">
        <v>45154</v>
      </c>
      <c r="K673" t="inlineStr">
        <is>
          <t>0467/23</t>
        </is>
      </c>
    </row>
    <row r="674">
      <c r="A674" t="inlineStr">
        <is>
          <t>IC1000</t>
        </is>
      </c>
      <c r="B674" t="inlineStr">
        <is>
          <t>NORDEX ENERGY SE &amp; CO KG</t>
        </is>
      </c>
      <c r="C674" t="n">
        <v>2122100000</v>
      </c>
      <c r="D674" t="inlineStr">
        <is>
          <t>Intercompany</t>
        </is>
      </c>
      <c r="E674" t="n">
        <v>5013440</v>
      </c>
      <c r="F674" t="inlineStr">
        <is>
          <t>4012344023</t>
        </is>
      </c>
      <c r="G674" t="inlineStr">
        <is>
          <t>RE</t>
        </is>
      </c>
      <c r="H674" s="12" t="n">
        <v>-2692.01</v>
      </c>
      <c r="I674" s="17" t="n">
        <v>45128</v>
      </c>
      <c r="J674" s="17" t="n">
        <v>45158</v>
      </c>
      <c r="K674" t="inlineStr">
        <is>
          <t>0466/23</t>
        </is>
      </c>
    </row>
    <row r="675">
      <c r="A675" t="inlineStr">
        <is>
          <t>IC1000</t>
        </is>
      </c>
      <c r="B675" t="inlineStr">
        <is>
          <t>NORDEX ENERGY SE &amp; CO KG</t>
        </is>
      </c>
      <c r="C675" t="n">
        <v>2122100000</v>
      </c>
      <c r="D675" t="inlineStr">
        <is>
          <t>Intercompany</t>
        </is>
      </c>
      <c r="E675" t="n">
        <v>5013487</v>
      </c>
      <c r="F675" t="inlineStr">
        <is>
          <t>4012340934</t>
        </is>
      </c>
      <c r="G675" t="inlineStr">
        <is>
          <t>RE</t>
        </is>
      </c>
      <c r="H675" s="12" t="n">
        <v>-29221.62</v>
      </c>
      <c r="I675" s="17" t="n">
        <v>45107</v>
      </c>
      <c r="J675" s="17" t="n">
        <v>45137</v>
      </c>
      <c r="K675" t="inlineStr">
        <is>
          <t>0464/23</t>
        </is>
      </c>
    </row>
    <row r="676">
      <c r="A676" t="inlineStr">
        <is>
          <t>IC4420</t>
        </is>
      </c>
      <c r="B676" t="inlineStr">
        <is>
          <t>NORDEX ENERGY SPAIN S A U</t>
        </is>
      </c>
      <c r="C676" t="n">
        <v>2122100000</v>
      </c>
      <c r="D676" t="inlineStr">
        <is>
          <t>Intercompany</t>
        </is>
      </c>
      <c r="E676" t="n">
        <v>5013575</v>
      </c>
      <c r="F676" t="inlineStr">
        <is>
          <t>4023003053</t>
        </is>
      </c>
      <c r="G676" t="inlineStr">
        <is>
          <t>RE</t>
        </is>
      </c>
      <c r="H676" s="12" t="n">
        <v>-69691.72</v>
      </c>
      <c r="I676" s="17" t="n">
        <v>45112</v>
      </c>
      <c r="J676" s="17" t="n">
        <v>45142</v>
      </c>
      <c r="K676" t="inlineStr">
        <is>
          <t>0618/23</t>
        </is>
      </c>
    </row>
    <row r="677">
      <c r="A677" t="inlineStr">
        <is>
          <t>IC1000</t>
        </is>
      </c>
      <c r="B677" t="inlineStr">
        <is>
          <t>NORDEX ENERGY SE &amp; CO KG</t>
        </is>
      </c>
      <c r="C677" t="n">
        <v>2122100000</v>
      </c>
      <c r="D677" t="inlineStr">
        <is>
          <t>Intercompany</t>
        </is>
      </c>
      <c r="E677" t="n">
        <v>5013598</v>
      </c>
      <c r="F677" t="inlineStr">
        <is>
          <t>4012340076</t>
        </is>
      </c>
      <c r="G677" t="inlineStr">
        <is>
          <t>RE</t>
        </is>
      </c>
      <c r="H677" s="12" t="n">
        <v>-113657.69</v>
      </c>
      <c r="I677" s="17" t="n">
        <v>45103</v>
      </c>
      <c r="J677" s="17" t="n">
        <v>45133</v>
      </c>
      <c r="K677" t="inlineStr">
        <is>
          <t>0468/23</t>
        </is>
      </c>
    </row>
    <row r="678">
      <c r="A678" t="inlineStr">
        <is>
          <t>IC4420</t>
        </is>
      </c>
      <c r="B678" t="inlineStr">
        <is>
          <t>NORDEX ENERGY SPAIN S A U</t>
        </is>
      </c>
      <c r="C678" t="n">
        <v>2122100000</v>
      </c>
      <c r="D678" t="inlineStr">
        <is>
          <t>Intercompany</t>
        </is>
      </c>
      <c r="E678" t="n">
        <v>5013643</v>
      </c>
      <c r="F678" t="inlineStr">
        <is>
          <t>4026003507</t>
        </is>
      </c>
      <c r="G678" t="inlineStr">
        <is>
          <t>RE</t>
        </is>
      </c>
      <c r="H678" s="12" t="n">
        <v>-2666.34</v>
      </c>
      <c r="I678" s="17" t="n">
        <v>46160</v>
      </c>
      <c r="J678" s="17" t="n">
        <v>46190</v>
      </c>
      <c r="K678" t="inlineStr">
        <is>
          <t>0352/26</t>
        </is>
      </c>
    </row>
    <row r="679">
      <c r="A679" t="inlineStr">
        <is>
          <t>IC4420</t>
        </is>
      </c>
      <c r="B679" t="inlineStr">
        <is>
          <t>NORDEX ENERGY SPAIN S A U</t>
        </is>
      </c>
      <c r="C679" t="n">
        <v>2122100000</v>
      </c>
      <c r="D679" t="inlineStr">
        <is>
          <t>Intercompany</t>
        </is>
      </c>
      <c r="E679" t="n">
        <v>5013741</v>
      </c>
      <c r="F679" t="inlineStr">
        <is>
          <t>4026004612</t>
        </is>
      </c>
      <c r="G679" t="inlineStr">
        <is>
          <t>RE</t>
        </is>
      </c>
      <c r="H679" s="12" t="n">
        <v>-2793.55</v>
      </c>
      <c r="I679" s="17" t="n">
        <v>46189</v>
      </c>
      <c r="J679" s="17" t="n">
        <v>46219</v>
      </c>
      <c r="K679" t="inlineStr">
        <is>
          <t>0403/26</t>
        </is>
      </c>
    </row>
    <row r="680">
      <c r="A680" t="inlineStr">
        <is>
          <t>IC1000</t>
        </is>
      </c>
      <c r="B680" t="inlineStr">
        <is>
          <t>NORDEX ENERGY SE &amp; CO KG</t>
        </is>
      </c>
      <c r="C680" t="n">
        <v>2122100000</v>
      </c>
      <c r="D680" t="inlineStr">
        <is>
          <t>Intercompany</t>
        </is>
      </c>
      <c r="E680" t="n">
        <v>5013846</v>
      </c>
      <c r="F680" t="inlineStr">
        <is>
          <t>334645</t>
        </is>
      </c>
      <c r="G680" t="inlineStr">
        <is>
          <t>RE</t>
        </is>
      </c>
      <c r="H680" s="12" t="n">
        <v>-57483.34</v>
      </c>
      <c r="I680" s="17" t="n">
        <v>45733</v>
      </c>
      <c r="J680" s="17" t="n">
        <v>45763</v>
      </c>
      <c r="K680" t="inlineStr">
        <is>
          <t>0256/25</t>
        </is>
      </c>
    </row>
    <row r="681">
      <c r="A681" t="inlineStr">
        <is>
          <t>IC4420</t>
        </is>
      </c>
      <c r="B681" t="inlineStr">
        <is>
          <t>NORDEX ENERGY SPAIN S A U</t>
        </is>
      </c>
      <c r="C681" t="n">
        <v>2122100000</v>
      </c>
      <c r="D681" t="inlineStr">
        <is>
          <t>Intercompany</t>
        </is>
      </c>
      <c r="E681" t="n">
        <v>5013892</v>
      </c>
      <c r="F681" t="inlineStr">
        <is>
          <t>4023003067</t>
        </is>
      </c>
      <c r="G681" t="inlineStr">
        <is>
          <t>RE</t>
        </is>
      </c>
      <c r="H681" s="12" t="n">
        <v>-67084.57000000001</v>
      </c>
      <c r="I681" s="17" t="n">
        <v>45112</v>
      </c>
      <c r="J681" s="17" t="n">
        <v>45142</v>
      </c>
      <c r="K681" t="inlineStr">
        <is>
          <t>0609/23</t>
        </is>
      </c>
    </row>
    <row r="682">
      <c r="A682" t="inlineStr">
        <is>
          <t>IC4420</t>
        </is>
      </c>
      <c r="B682" t="inlineStr">
        <is>
          <t>NORDEX ENERGY SPAIN S A U</t>
        </is>
      </c>
      <c r="C682" t="n">
        <v>2122100000</v>
      </c>
      <c r="D682" t="inlineStr">
        <is>
          <t>Intercompany</t>
        </is>
      </c>
      <c r="E682" t="n">
        <v>5013929</v>
      </c>
      <c r="F682" t="inlineStr">
        <is>
          <t>4023002652</t>
        </is>
      </c>
      <c r="G682" t="inlineStr">
        <is>
          <t>RE</t>
        </is>
      </c>
      <c r="H682" s="12" t="n">
        <v>-5545.26</v>
      </c>
      <c r="I682" s="17" t="n">
        <v>45097</v>
      </c>
      <c r="J682" s="17" t="n">
        <v>45127</v>
      </c>
      <c r="K682" t="inlineStr">
        <is>
          <t>0510/23</t>
        </is>
      </c>
    </row>
    <row r="683">
      <c r="A683" t="inlineStr">
        <is>
          <t>IC1000</t>
        </is>
      </c>
      <c r="B683" t="inlineStr">
        <is>
          <t>NORDEX ENERGY SE &amp; CO KG</t>
        </is>
      </c>
      <c r="C683" t="n">
        <v>2122100000</v>
      </c>
      <c r="D683" t="inlineStr">
        <is>
          <t>Intercompany</t>
        </is>
      </c>
      <c r="E683" t="n">
        <v>5013998</v>
      </c>
      <c r="F683" t="inlineStr">
        <is>
          <t>404649</t>
        </is>
      </c>
      <c r="G683" t="inlineStr">
        <is>
          <t>RE</t>
        </is>
      </c>
      <c r="H683" s="12" t="n">
        <v>-13379.14</v>
      </c>
      <c r="I683" s="17" t="n">
        <v>46190</v>
      </c>
      <c r="J683" s="17" t="n">
        <v>46220</v>
      </c>
      <c r="K683" t="inlineStr">
        <is>
          <t>0423/26</t>
        </is>
      </c>
    </row>
    <row r="684">
      <c r="A684" t="inlineStr">
        <is>
          <t>IC4420</t>
        </is>
      </c>
      <c r="B684" t="inlineStr">
        <is>
          <t>NORDEX ENERGY SPAIN S A U</t>
        </is>
      </c>
      <c r="C684" t="n">
        <v>2122100000</v>
      </c>
      <c r="D684" t="inlineStr">
        <is>
          <t>Intercompany</t>
        </is>
      </c>
      <c r="E684" t="n">
        <v>5013999</v>
      </c>
      <c r="F684" t="inlineStr">
        <is>
          <t>4026004414</t>
        </is>
      </c>
      <c r="G684" t="inlineStr">
        <is>
          <t>RE</t>
        </is>
      </c>
      <c r="H684" s="12" t="n">
        <v>-154211.76</v>
      </c>
      <c r="I684" s="17" t="n">
        <v>46185</v>
      </c>
      <c r="J684" s="17" t="n">
        <v>46215</v>
      </c>
      <c r="K684" t="inlineStr">
        <is>
          <t>0413/26</t>
        </is>
      </c>
    </row>
    <row r="685">
      <c r="A685" t="inlineStr">
        <is>
          <t>IC1000</t>
        </is>
      </c>
      <c r="B685" t="inlineStr">
        <is>
          <t>NORDEX ENERGY SE &amp; CO KG</t>
        </is>
      </c>
      <c r="C685" t="n">
        <v>2122100000</v>
      </c>
      <c r="D685" t="inlineStr">
        <is>
          <t>Intercompany</t>
        </is>
      </c>
      <c r="E685" t="n">
        <v>5014017</v>
      </c>
      <c r="F685" t="inlineStr">
        <is>
          <t>4012360845</t>
        </is>
      </c>
      <c r="G685" t="inlineStr">
        <is>
          <t>RE</t>
        </is>
      </c>
      <c r="H685" s="12" t="n">
        <v>-5647.23</v>
      </c>
      <c r="I685" s="17" t="n">
        <v>45247</v>
      </c>
      <c r="J685" s="17" t="n">
        <v>45277</v>
      </c>
      <c r="K685" t="inlineStr">
        <is>
          <t>0577/23</t>
        </is>
      </c>
    </row>
    <row r="686">
      <c r="A686" t="inlineStr">
        <is>
          <t>IC1000</t>
        </is>
      </c>
      <c r="B686" t="inlineStr">
        <is>
          <t>NORDEX ENERGY SE &amp; CO KG</t>
        </is>
      </c>
      <c r="C686" t="n">
        <v>2122100000</v>
      </c>
      <c r="D686" t="inlineStr">
        <is>
          <t>Intercompany</t>
        </is>
      </c>
      <c r="E686" t="n">
        <v>5014043</v>
      </c>
      <c r="F686" t="inlineStr">
        <is>
          <t>384610</t>
        </is>
      </c>
      <c r="G686" t="inlineStr">
        <is>
          <t>RE</t>
        </is>
      </c>
      <c r="H686" s="12" t="n">
        <v>-51372.02</v>
      </c>
      <c r="I686" s="17" t="n">
        <v>46140</v>
      </c>
      <c r="J686" s="17" t="n">
        <v>46170</v>
      </c>
      <c r="K686" t="inlineStr">
        <is>
          <t>0372/26</t>
        </is>
      </c>
    </row>
    <row r="687">
      <c r="A687" t="inlineStr">
        <is>
          <t>IC4420</t>
        </is>
      </c>
      <c r="B687" t="inlineStr">
        <is>
          <t>NORDEX ENERGY SPAIN S A U</t>
        </is>
      </c>
      <c r="C687" t="n">
        <v>2122100000</v>
      </c>
      <c r="D687" t="inlineStr">
        <is>
          <t>Intercompany</t>
        </is>
      </c>
      <c r="E687" t="n">
        <v>5014046</v>
      </c>
      <c r="F687" t="inlineStr">
        <is>
          <t>4026005012</t>
        </is>
      </c>
      <c r="G687" t="inlineStr">
        <is>
          <t>RE</t>
        </is>
      </c>
      <c r="H687" s="12" t="n">
        <v>-140194.37</v>
      </c>
      <c r="I687" s="17" t="n">
        <v>46204</v>
      </c>
      <c r="J687" s="17" t="n">
        <v>46234</v>
      </c>
      <c r="K687" t="inlineStr">
        <is>
          <t>0464/26</t>
        </is>
      </c>
    </row>
    <row r="688">
      <c r="A688" t="inlineStr">
        <is>
          <t>IC4420</t>
        </is>
      </c>
      <c r="B688" t="inlineStr">
        <is>
          <t>NORDEX ENERGY SPAIN S A U</t>
        </is>
      </c>
      <c r="C688" t="n">
        <v>2122100000</v>
      </c>
      <c r="D688" t="inlineStr">
        <is>
          <t>Intercompany</t>
        </is>
      </c>
      <c r="E688" t="n">
        <v>5014047</v>
      </c>
      <c r="F688" t="inlineStr">
        <is>
          <t>4026003295</t>
        </is>
      </c>
      <c r="G688" t="inlineStr">
        <is>
          <t>RE</t>
        </is>
      </c>
      <c r="H688" s="12" t="n">
        <v>-130296.23</v>
      </c>
      <c r="I688" s="17" t="n">
        <v>46153</v>
      </c>
      <c r="J688" s="17" t="n">
        <v>46183</v>
      </c>
      <c r="K688" t="inlineStr">
        <is>
          <t>0341/26</t>
        </is>
      </c>
    </row>
    <row r="689">
      <c r="A689" t="inlineStr">
        <is>
          <t>IC4420</t>
        </is>
      </c>
      <c r="B689" t="inlineStr">
        <is>
          <t>NORDEX ENERGY SPAIN S A U</t>
        </is>
      </c>
      <c r="C689" t="n">
        <v>2122100000</v>
      </c>
      <c r="D689" t="inlineStr">
        <is>
          <t>Intercompany</t>
        </is>
      </c>
      <c r="E689" t="n">
        <v>5014094</v>
      </c>
      <c r="F689" t="inlineStr">
        <is>
          <t>4026004633</t>
        </is>
      </c>
      <c r="G689" t="inlineStr">
        <is>
          <t>RE</t>
        </is>
      </c>
      <c r="H689" s="12" t="n">
        <v>-9317.469999999999</v>
      </c>
      <c r="I689" s="17" t="n">
        <v>46191</v>
      </c>
      <c r="J689" s="17" t="n">
        <v>46221</v>
      </c>
      <c r="K689" t="inlineStr">
        <is>
          <t>0417/26</t>
        </is>
      </c>
    </row>
    <row r="690">
      <c r="A690" t="inlineStr">
        <is>
          <t>IC4420</t>
        </is>
      </c>
      <c r="B690" t="inlineStr">
        <is>
          <t>NORDEX ENERGY SPAIN S A U</t>
        </is>
      </c>
      <c r="C690" t="n">
        <v>2122100000</v>
      </c>
      <c r="D690" t="inlineStr">
        <is>
          <t>Intercompany</t>
        </is>
      </c>
      <c r="E690" t="n">
        <v>5014095</v>
      </c>
      <c r="F690" t="inlineStr">
        <is>
          <t>4026004413</t>
        </is>
      </c>
      <c r="G690" t="inlineStr">
        <is>
          <t>RE</t>
        </is>
      </c>
      <c r="H690" s="12" t="n">
        <v>-6125.79</v>
      </c>
      <c r="I690" s="17" t="n">
        <v>46185</v>
      </c>
      <c r="J690" s="17" t="n">
        <v>46215</v>
      </c>
      <c r="K690" t="inlineStr">
        <is>
          <t>0412/26</t>
        </is>
      </c>
    </row>
    <row r="691">
      <c r="A691" t="inlineStr">
        <is>
          <t>IC4420</t>
        </is>
      </c>
      <c r="B691" t="inlineStr">
        <is>
          <t>NORDEX ENERGY SPAIN S A U</t>
        </is>
      </c>
      <c r="C691" t="n">
        <v>2122100000</v>
      </c>
      <c r="D691" t="inlineStr">
        <is>
          <t>Intercompany</t>
        </is>
      </c>
      <c r="E691" t="n">
        <v>5014096</v>
      </c>
      <c r="F691" t="inlineStr">
        <is>
          <t>4026005217</t>
        </is>
      </c>
      <c r="G691" t="inlineStr">
        <is>
          <t>RE</t>
        </is>
      </c>
      <c r="H691" s="12" t="n">
        <v>-22475.77</v>
      </c>
      <c r="I691" s="17" t="n">
        <v>46216</v>
      </c>
      <c r="J691" s="17" t="n">
        <v>46246</v>
      </c>
      <c r="K691" t="inlineStr">
        <is>
          <t>0474/26</t>
        </is>
      </c>
    </row>
    <row r="692">
      <c r="A692" t="inlineStr">
        <is>
          <t>IC4420</t>
        </is>
      </c>
      <c r="B692" t="inlineStr">
        <is>
          <t>NORDEX ENERGY SPAIN S A U</t>
        </is>
      </c>
      <c r="C692" t="n">
        <v>2122100000</v>
      </c>
      <c r="D692" t="inlineStr">
        <is>
          <t>Intercompany</t>
        </is>
      </c>
      <c r="E692" t="n">
        <v>5014098</v>
      </c>
      <c r="F692" t="inlineStr">
        <is>
          <t>4026002160</t>
        </is>
      </c>
      <c r="G692" t="inlineStr">
        <is>
          <t>RE</t>
        </is>
      </c>
      <c r="H692" s="12" t="n">
        <v>-151.31</v>
      </c>
      <c r="I692" s="17" t="n">
        <v>46108</v>
      </c>
      <c r="J692" s="17" t="n">
        <v>46138</v>
      </c>
      <c r="K692" t="inlineStr">
        <is>
          <t>0230/26</t>
        </is>
      </c>
    </row>
    <row r="693">
      <c r="A693" t="inlineStr">
        <is>
          <t>IC4420</t>
        </is>
      </c>
      <c r="B693" t="inlineStr">
        <is>
          <t>NORDEX ENERGY SPAIN S A U</t>
        </is>
      </c>
      <c r="C693" t="n">
        <v>2122100000</v>
      </c>
      <c r="D693" t="inlineStr">
        <is>
          <t>Intercompany</t>
        </is>
      </c>
      <c r="E693" t="n">
        <v>5014099</v>
      </c>
      <c r="F693" t="inlineStr">
        <is>
          <t>4026003293</t>
        </is>
      </c>
      <c r="G693" t="inlineStr">
        <is>
          <t>RE</t>
        </is>
      </c>
      <c r="H693" s="12" t="n">
        <v>-104139.04</v>
      </c>
      <c r="I693" s="17" t="n">
        <v>46153</v>
      </c>
      <c r="J693" s="17" t="n">
        <v>46183</v>
      </c>
      <c r="K693" t="inlineStr">
        <is>
          <t>0339/26</t>
        </is>
      </c>
    </row>
    <row r="694">
      <c r="A694" t="inlineStr">
        <is>
          <t>IC4420</t>
        </is>
      </c>
      <c r="B694" t="inlineStr">
        <is>
          <t>NORDEX ENERGY SPAIN S A U</t>
        </is>
      </c>
      <c r="C694" t="n">
        <v>2122100000</v>
      </c>
      <c r="D694" t="inlineStr">
        <is>
          <t>Intercompany</t>
        </is>
      </c>
      <c r="E694" t="n">
        <v>5014100</v>
      </c>
      <c r="F694" t="inlineStr">
        <is>
          <t>4026005017</t>
        </is>
      </c>
      <c r="G694" t="inlineStr">
        <is>
          <t>RE</t>
        </is>
      </c>
      <c r="H694" s="12" t="n">
        <v>-4387.26</v>
      </c>
      <c r="I694" s="17" t="n">
        <v>46204</v>
      </c>
      <c r="J694" s="17" t="n">
        <v>46234</v>
      </c>
      <c r="K694" t="inlineStr">
        <is>
          <t>0467/26</t>
        </is>
      </c>
    </row>
    <row r="695">
      <c r="A695" t="inlineStr">
        <is>
          <t>IC4420</t>
        </is>
      </c>
      <c r="B695" t="inlineStr">
        <is>
          <t>NORDEX ENERGY SPAIN S A U</t>
        </is>
      </c>
      <c r="C695" t="n">
        <v>2122100000</v>
      </c>
      <c r="D695" t="inlineStr">
        <is>
          <t>Intercompany</t>
        </is>
      </c>
      <c r="E695" t="n">
        <v>5014101</v>
      </c>
      <c r="F695" t="inlineStr">
        <is>
          <t>4026002167</t>
        </is>
      </c>
      <c r="G695" t="inlineStr">
        <is>
          <t>RE</t>
        </is>
      </c>
      <c r="H695" s="12" t="n">
        <v>-48578.36</v>
      </c>
      <c r="I695" s="17" t="n">
        <v>46108</v>
      </c>
      <c r="J695" s="17" t="n">
        <v>46138</v>
      </c>
      <c r="K695" t="inlineStr">
        <is>
          <t>0233/26</t>
        </is>
      </c>
    </row>
    <row r="696">
      <c r="A696" t="inlineStr">
        <is>
          <t>IC4420</t>
        </is>
      </c>
      <c r="B696" t="inlineStr">
        <is>
          <t>NORDEX ENERGY SPAIN S A U</t>
        </is>
      </c>
      <c r="C696" t="n">
        <v>2122100000</v>
      </c>
      <c r="D696" t="inlineStr">
        <is>
          <t>Intercompany</t>
        </is>
      </c>
      <c r="E696" t="n">
        <v>5014102</v>
      </c>
      <c r="F696" t="inlineStr">
        <is>
          <t>4026005015</t>
        </is>
      </c>
      <c r="G696" t="inlineStr">
        <is>
          <t>RE</t>
        </is>
      </c>
      <c r="H696" s="12" t="n">
        <v>-727.46</v>
      </c>
      <c r="I696" s="17" t="n">
        <v>46204</v>
      </c>
      <c r="J696" s="17" t="n">
        <v>46234</v>
      </c>
      <c r="K696" t="inlineStr">
        <is>
          <t>0466/26</t>
        </is>
      </c>
    </row>
    <row r="697">
      <c r="A697" t="inlineStr">
        <is>
          <t>IC4420</t>
        </is>
      </c>
      <c r="B697" t="inlineStr">
        <is>
          <t>NORDEX ENERGY SPAIN S A U</t>
        </is>
      </c>
      <c r="C697" t="n">
        <v>2122100000</v>
      </c>
      <c r="D697" t="inlineStr">
        <is>
          <t>Intercompany</t>
        </is>
      </c>
      <c r="E697" t="n">
        <v>5014103</v>
      </c>
      <c r="F697" t="inlineStr">
        <is>
          <t>4018000141</t>
        </is>
      </c>
      <c r="G697" t="inlineStr">
        <is>
          <t>RE</t>
        </is>
      </c>
      <c r="H697" s="12" t="n">
        <v>-292.75</v>
      </c>
      <c r="I697" s="17" t="n">
        <v>46184</v>
      </c>
      <c r="J697" s="17" t="n">
        <v>46214</v>
      </c>
      <c r="K697" t="inlineStr">
        <is>
          <t>0454/26</t>
        </is>
      </c>
    </row>
    <row r="698">
      <c r="A698" t="inlineStr">
        <is>
          <t>IC4420</t>
        </is>
      </c>
      <c r="B698" t="inlineStr">
        <is>
          <t>NORDEX ENERGY SPAIN S A U</t>
        </is>
      </c>
      <c r="C698" t="n">
        <v>2122100000</v>
      </c>
      <c r="D698" t="inlineStr">
        <is>
          <t>Intercompany</t>
        </is>
      </c>
      <c r="E698" t="n">
        <v>5014104</v>
      </c>
      <c r="F698" t="inlineStr">
        <is>
          <t>4026003294</t>
        </is>
      </c>
      <c r="G698" t="inlineStr">
        <is>
          <t>RE</t>
        </is>
      </c>
      <c r="H698" s="12" t="n">
        <v>-65458.76</v>
      </c>
      <c r="I698" s="17" t="n">
        <v>46153</v>
      </c>
      <c r="J698" s="17" t="n">
        <v>46183</v>
      </c>
      <c r="K698" t="inlineStr">
        <is>
          <t>0340/26</t>
        </is>
      </c>
    </row>
    <row r="699">
      <c r="A699" t="inlineStr">
        <is>
          <t>IC4420</t>
        </is>
      </c>
      <c r="B699" t="inlineStr">
        <is>
          <t>NORDEX ENERGY SPAIN S A U</t>
        </is>
      </c>
      <c r="C699" t="n">
        <v>2122100000</v>
      </c>
      <c r="D699" t="inlineStr">
        <is>
          <t>Intercompany</t>
        </is>
      </c>
      <c r="E699" t="n">
        <v>5014105</v>
      </c>
      <c r="F699" t="inlineStr">
        <is>
          <t>4026004406</t>
        </is>
      </c>
      <c r="G699" t="inlineStr">
        <is>
          <t>RE</t>
        </is>
      </c>
      <c r="H699" s="12" t="n">
        <v>-3888.25</v>
      </c>
      <c r="I699" s="17" t="n">
        <v>46184</v>
      </c>
      <c r="J699" s="17" t="n">
        <v>46214</v>
      </c>
      <c r="K699" t="inlineStr">
        <is>
          <t>0455/26</t>
        </is>
      </c>
    </row>
    <row r="700">
      <c r="A700" t="inlineStr">
        <is>
          <t>IC4420</t>
        </is>
      </c>
      <c r="B700" t="inlineStr">
        <is>
          <t>NORDEX ENERGY SPAIN S A U</t>
        </is>
      </c>
      <c r="C700" t="n">
        <v>2122100000</v>
      </c>
      <c r="D700" t="inlineStr">
        <is>
          <t>Intercompany</t>
        </is>
      </c>
      <c r="E700" t="n">
        <v>5014106</v>
      </c>
      <c r="F700" t="inlineStr">
        <is>
          <t>4026003299</t>
        </is>
      </c>
      <c r="G700" t="inlineStr">
        <is>
          <t>RE</t>
        </is>
      </c>
      <c r="H700" s="12" t="n">
        <v>-629.45</v>
      </c>
      <c r="I700" s="17" t="n">
        <v>46153</v>
      </c>
      <c r="J700" s="17" t="n">
        <v>46183</v>
      </c>
      <c r="K700" t="inlineStr">
        <is>
          <t>0343/26</t>
        </is>
      </c>
    </row>
    <row r="701">
      <c r="A701" t="inlineStr">
        <is>
          <t>IC4420</t>
        </is>
      </c>
      <c r="B701" t="inlineStr">
        <is>
          <t>NORDEX ENERGY SPAIN S A U</t>
        </is>
      </c>
      <c r="C701" t="n">
        <v>2122100000</v>
      </c>
      <c r="D701" t="inlineStr">
        <is>
          <t>Intercompany</t>
        </is>
      </c>
      <c r="E701" t="n">
        <v>5014107</v>
      </c>
      <c r="F701" t="inlineStr">
        <is>
          <t>4026002173</t>
        </is>
      </c>
      <c r="G701" t="inlineStr">
        <is>
          <t>RE</t>
        </is>
      </c>
      <c r="H701" s="12" t="n">
        <v>-31960.55</v>
      </c>
      <c r="I701" s="17" t="n">
        <v>46108</v>
      </c>
      <c r="J701" s="17" t="n">
        <v>46138</v>
      </c>
      <c r="K701" t="inlineStr">
        <is>
          <t>0237/26</t>
        </is>
      </c>
    </row>
    <row r="702">
      <c r="A702" t="inlineStr">
        <is>
          <t>IC4420</t>
        </is>
      </c>
      <c r="B702" t="inlineStr">
        <is>
          <t>NORDEX ENERGY SPAIN S A U</t>
        </is>
      </c>
      <c r="C702" t="n">
        <v>2122100000</v>
      </c>
      <c r="D702" t="inlineStr">
        <is>
          <t>Intercompany</t>
        </is>
      </c>
      <c r="E702" t="n">
        <v>5014108</v>
      </c>
      <c r="F702" t="inlineStr">
        <is>
          <t>4026003297</t>
        </is>
      </c>
      <c r="G702" t="inlineStr">
        <is>
          <t>RE</t>
        </is>
      </c>
      <c r="H702" s="12" t="n">
        <v>-120218.71</v>
      </c>
      <c r="I702" s="17" t="n">
        <v>46153</v>
      </c>
      <c r="J702" s="17" t="n">
        <v>46183</v>
      </c>
      <c r="K702" t="inlineStr">
        <is>
          <t>0343/26</t>
        </is>
      </c>
    </row>
    <row r="703">
      <c r="A703" t="inlineStr">
        <is>
          <t>IC4420</t>
        </is>
      </c>
      <c r="B703" t="inlineStr">
        <is>
          <t>NORDEX ENERGY SPAIN S A U</t>
        </is>
      </c>
      <c r="C703" t="n">
        <v>2122100000</v>
      </c>
      <c r="D703" t="inlineStr">
        <is>
          <t>Intercompany</t>
        </is>
      </c>
      <c r="E703" t="n">
        <v>5014109</v>
      </c>
      <c r="F703" t="inlineStr">
        <is>
          <t>4026004408</t>
        </is>
      </c>
      <c r="G703" t="inlineStr">
        <is>
          <t>RE</t>
        </is>
      </c>
      <c r="H703" s="12" t="n">
        <v>-3826.81</v>
      </c>
      <c r="I703" s="17" t="n">
        <v>46184</v>
      </c>
      <c r="J703" s="17" t="n">
        <v>46214</v>
      </c>
      <c r="K703" t="inlineStr">
        <is>
          <t>0457/26</t>
        </is>
      </c>
    </row>
    <row r="704">
      <c r="A704" t="inlineStr">
        <is>
          <t>IC4420</t>
        </is>
      </c>
      <c r="B704" t="inlineStr">
        <is>
          <t>NORDEX ENERGY SPAIN S A U</t>
        </is>
      </c>
      <c r="C704" t="n">
        <v>2122100000</v>
      </c>
      <c r="D704" t="inlineStr">
        <is>
          <t>Intercompany</t>
        </is>
      </c>
      <c r="E704" t="n">
        <v>5014110</v>
      </c>
      <c r="F704" t="inlineStr">
        <is>
          <t>4026003285</t>
        </is>
      </c>
      <c r="G704" t="inlineStr">
        <is>
          <t>RE</t>
        </is>
      </c>
      <c r="H704" s="12" t="n">
        <v>-10429.85</v>
      </c>
      <c r="I704" s="17" t="n">
        <v>46153</v>
      </c>
      <c r="J704" s="17" t="n">
        <v>46183</v>
      </c>
      <c r="K704" t="inlineStr">
        <is>
          <t>0332/26</t>
        </is>
      </c>
    </row>
    <row r="705">
      <c r="A705" t="inlineStr">
        <is>
          <t>IC4420</t>
        </is>
      </c>
      <c r="B705" t="inlineStr">
        <is>
          <t>NORDEX ENERGY SPAIN S A U</t>
        </is>
      </c>
      <c r="C705" t="n">
        <v>2122100000</v>
      </c>
      <c r="D705" t="inlineStr">
        <is>
          <t>Intercompany</t>
        </is>
      </c>
      <c r="E705" t="n">
        <v>5014111</v>
      </c>
      <c r="F705" t="inlineStr">
        <is>
          <t>4026002165</t>
        </is>
      </c>
      <c r="G705" t="inlineStr">
        <is>
          <t>RE</t>
        </is>
      </c>
      <c r="H705" s="12" t="n">
        <v>-80961.06</v>
      </c>
      <c r="I705" s="17" t="n">
        <v>46108</v>
      </c>
      <c r="J705" s="17" t="n">
        <v>46138</v>
      </c>
      <c r="K705" t="inlineStr">
        <is>
          <t>0231/26</t>
        </is>
      </c>
    </row>
    <row r="706">
      <c r="A706" t="inlineStr">
        <is>
          <t>IC4420</t>
        </is>
      </c>
      <c r="B706" t="inlineStr">
        <is>
          <t>NORDEX ENERGY SPAIN S A U</t>
        </is>
      </c>
      <c r="C706" t="n">
        <v>2122100000</v>
      </c>
      <c r="D706" t="inlineStr">
        <is>
          <t>Intercompany</t>
        </is>
      </c>
      <c r="E706" t="n">
        <v>5014112</v>
      </c>
      <c r="F706" t="inlineStr">
        <is>
          <t>4026002166</t>
        </is>
      </c>
      <c r="G706" t="inlineStr">
        <is>
          <t>RE</t>
        </is>
      </c>
      <c r="H706" s="12" t="n">
        <v>-11034.44</v>
      </c>
      <c r="I706" s="17" t="n">
        <v>46108</v>
      </c>
      <c r="J706" s="17" t="n">
        <v>46138</v>
      </c>
      <c r="K706" t="inlineStr">
        <is>
          <t>0232/26</t>
        </is>
      </c>
    </row>
    <row r="707">
      <c r="A707" t="inlineStr">
        <is>
          <t>IC4420</t>
        </is>
      </c>
      <c r="B707" t="inlineStr">
        <is>
          <t>NORDEX ENERGY SPAIN S A U</t>
        </is>
      </c>
      <c r="C707" t="n">
        <v>2122100000</v>
      </c>
      <c r="D707" t="inlineStr">
        <is>
          <t>Intercompany</t>
        </is>
      </c>
      <c r="E707" t="n">
        <v>5014113</v>
      </c>
      <c r="F707" t="inlineStr">
        <is>
          <t>4026003139</t>
        </is>
      </c>
      <c r="G707" t="inlineStr">
        <is>
          <t>RE</t>
        </is>
      </c>
      <c r="H707" s="12" t="n">
        <v>-6800.57</v>
      </c>
      <c r="I707" s="17" t="n">
        <v>46148</v>
      </c>
      <c r="J707" s="17" t="n">
        <v>46178</v>
      </c>
      <c r="K707" t="inlineStr">
        <is>
          <t>0293/26</t>
        </is>
      </c>
    </row>
    <row r="708">
      <c r="A708" t="inlineStr">
        <is>
          <t>IC4420</t>
        </is>
      </c>
      <c r="B708" t="inlineStr">
        <is>
          <t>NORDEX ENERGY SPAIN S A U</t>
        </is>
      </c>
      <c r="C708" t="n">
        <v>2122100000</v>
      </c>
      <c r="D708" t="inlineStr">
        <is>
          <t>Intercompany</t>
        </is>
      </c>
      <c r="E708" t="n">
        <v>5014114</v>
      </c>
      <c r="F708" t="inlineStr">
        <is>
          <t>4026005006</t>
        </is>
      </c>
      <c r="G708" t="inlineStr">
        <is>
          <t>RE</t>
        </is>
      </c>
      <c r="H708" s="12" t="n">
        <v>-47161.5</v>
      </c>
      <c r="I708" s="17" t="n">
        <v>46204</v>
      </c>
      <c r="J708" s="17" t="n">
        <v>46234</v>
      </c>
      <c r="K708" t="inlineStr">
        <is>
          <t>0461/26</t>
        </is>
      </c>
    </row>
    <row r="709">
      <c r="A709" t="inlineStr">
        <is>
          <t>IC4420</t>
        </is>
      </c>
      <c r="B709" t="inlineStr">
        <is>
          <t>NORDEX ENERGY SPAIN S A U</t>
        </is>
      </c>
      <c r="C709" t="n">
        <v>2122100000</v>
      </c>
      <c r="D709" t="inlineStr">
        <is>
          <t>Intercompany</t>
        </is>
      </c>
      <c r="E709" t="n">
        <v>5014115</v>
      </c>
      <c r="F709" t="inlineStr">
        <is>
          <t>4026003284</t>
        </is>
      </c>
      <c r="G709" t="inlineStr">
        <is>
          <t>RE</t>
        </is>
      </c>
      <c r="H709" s="12" t="n">
        <v>-2735.94</v>
      </c>
      <c r="I709" s="17" t="n">
        <v>46153</v>
      </c>
      <c r="J709" s="17" t="n">
        <v>46183</v>
      </c>
      <c r="K709" t="inlineStr">
        <is>
          <t>0331/26</t>
        </is>
      </c>
    </row>
    <row r="710">
      <c r="A710" t="inlineStr">
        <is>
          <t>IC4420</t>
        </is>
      </c>
      <c r="B710" t="inlineStr">
        <is>
          <t>NORDEX ENERGY SPAIN S A U</t>
        </is>
      </c>
      <c r="C710" t="n">
        <v>2122100000</v>
      </c>
      <c r="D710" t="inlineStr">
        <is>
          <t>Intercompany</t>
        </is>
      </c>
      <c r="E710" t="n">
        <v>5014116</v>
      </c>
      <c r="F710" t="inlineStr">
        <is>
          <t>4026004404</t>
        </is>
      </c>
      <c r="G710" t="inlineStr">
        <is>
          <t>RE</t>
        </is>
      </c>
      <c r="H710" s="12" t="n">
        <v>-117710.82</v>
      </c>
      <c r="I710" s="17" t="n">
        <v>46184</v>
      </c>
      <c r="J710" s="17" t="n">
        <v>46214</v>
      </c>
      <c r="K710" t="inlineStr">
        <is>
          <t>0453/26</t>
        </is>
      </c>
    </row>
    <row r="711">
      <c r="A711" t="inlineStr">
        <is>
          <t>IC4420</t>
        </is>
      </c>
      <c r="B711" t="inlineStr">
        <is>
          <t>NORDEX ENERGY SPAIN S A U</t>
        </is>
      </c>
      <c r="C711" t="n">
        <v>2122100000</v>
      </c>
      <c r="D711" t="inlineStr">
        <is>
          <t>Intercompany</t>
        </is>
      </c>
      <c r="E711" t="n">
        <v>5014117</v>
      </c>
      <c r="F711" t="inlineStr">
        <is>
          <t>4026003291</t>
        </is>
      </c>
      <c r="G711" t="inlineStr">
        <is>
          <t>RE</t>
        </is>
      </c>
      <c r="H711" s="12" t="n">
        <v>-16114.46</v>
      </c>
      <c r="I711" s="17" t="n">
        <v>46153</v>
      </c>
      <c r="J711" s="17" t="n">
        <v>46183</v>
      </c>
      <c r="K711" t="inlineStr">
        <is>
          <t>0337/26</t>
        </is>
      </c>
    </row>
    <row r="712">
      <c r="A712" t="inlineStr">
        <is>
          <t>IC4420</t>
        </is>
      </c>
      <c r="B712" t="inlineStr">
        <is>
          <t>NORDEX ENERGY SPAIN S A U</t>
        </is>
      </c>
      <c r="C712" t="n">
        <v>2122100000</v>
      </c>
      <c r="D712" t="inlineStr">
        <is>
          <t>Intercompany</t>
        </is>
      </c>
      <c r="E712" t="n">
        <v>5014118</v>
      </c>
      <c r="F712" t="inlineStr">
        <is>
          <t>4026002162</t>
        </is>
      </c>
      <c r="G712" t="inlineStr">
        <is>
          <t>RE</t>
        </is>
      </c>
      <c r="H712" s="12" t="n">
        <v>-12297.12</v>
      </c>
      <c r="I712" s="17" t="n">
        <v>46108</v>
      </c>
      <c r="J712" s="17" t="n">
        <v>46138</v>
      </c>
      <c r="K712" t="inlineStr">
        <is>
          <t>0227/26</t>
        </is>
      </c>
    </row>
    <row r="713">
      <c r="A713" t="inlineStr">
        <is>
          <t>IC4420</t>
        </is>
      </c>
      <c r="B713" t="inlineStr">
        <is>
          <t>NORDEX ENERGY SPAIN S A U</t>
        </is>
      </c>
      <c r="C713" t="n">
        <v>2122100000</v>
      </c>
      <c r="D713" t="inlineStr">
        <is>
          <t>Intercompany</t>
        </is>
      </c>
      <c r="E713" t="n">
        <v>5014119</v>
      </c>
      <c r="F713" t="inlineStr">
        <is>
          <t>4026004412</t>
        </is>
      </c>
      <c r="G713" t="inlineStr">
        <is>
          <t>RE</t>
        </is>
      </c>
      <c r="H713" s="12" t="n">
        <v>-4752.44</v>
      </c>
      <c r="I713" s="17" t="n">
        <v>46185</v>
      </c>
      <c r="J713" s="17" t="n">
        <v>46215</v>
      </c>
      <c r="K713" t="inlineStr">
        <is>
          <t>0411/26</t>
        </is>
      </c>
    </row>
    <row r="714">
      <c r="A714" t="inlineStr">
        <is>
          <t>IC4420</t>
        </is>
      </c>
      <c r="B714" t="inlineStr">
        <is>
          <t>NORDEX ENERGY SPAIN S A U</t>
        </is>
      </c>
      <c r="C714" t="n">
        <v>2122100000</v>
      </c>
      <c r="D714" t="inlineStr">
        <is>
          <t>Intercompany</t>
        </is>
      </c>
      <c r="E714" t="n">
        <v>5014120</v>
      </c>
      <c r="F714" t="inlineStr">
        <is>
          <t>4026002161</t>
        </is>
      </c>
      <c r="G714" t="inlineStr">
        <is>
          <t>RE</t>
        </is>
      </c>
      <c r="H714" s="12" t="n">
        <v>-12864.42</v>
      </c>
      <c r="I714" s="17" t="n">
        <v>46108</v>
      </c>
      <c r="J714" s="17" t="n">
        <v>46138</v>
      </c>
      <c r="K714" t="inlineStr">
        <is>
          <t>0226/26</t>
        </is>
      </c>
    </row>
    <row r="715">
      <c r="A715" t="inlineStr">
        <is>
          <t>IC4420</t>
        </is>
      </c>
      <c r="B715" t="inlineStr">
        <is>
          <t>NORDEX ENERGY SPAIN S A U</t>
        </is>
      </c>
      <c r="C715" t="n">
        <v>2122100000</v>
      </c>
      <c r="D715" t="inlineStr">
        <is>
          <t>Intercompany</t>
        </is>
      </c>
      <c r="E715" t="n">
        <v>5014121</v>
      </c>
      <c r="F715" t="inlineStr">
        <is>
          <t>4026004952</t>
        </is>
      </c>
      <c r="G715" t="inlineStr">
        <is>
          <t>RE</t>
        </is>
      </c>
      <c r="H715" s="12" t="n">
        <v>-23744.84</v>
      </c>
      <c r="I715" s="17" t="n">
        <v>46204</v>
      </c>
      <c r="J715" s="17" t="n">
        <v>46234</v>
      </c>
      <c r="K715" t="inlineStr">
        <is>
          <t>0472/26</t>
        </is>
      </c>
    </row>
    <row r="716">
      <c r="A716" t="inlineStr">
        <is>
          <t>IC4420</t>
        </is>
      </c>
      <c r="B716" t="inlineStr">
        <is>
          <t>NORDEX ENERGY SPAIN S A U</t>
        </is>
      </c>
      <c r="C716" t="n">
        <v>2122100000</v>
      </c>
      <c r="D716" t="inlineStr">
        <is>
          <t>Intercompany</t>
        </is>
      </c>
      <c r="E716" t="n">
        <v>5014122</v>
      </c>
      <c r="F716" t="inlineStr">
        <is>
          <t>4026005022</t>
        </is>
      </c>
      <c r="G716" t="inlineStr">
        <is>
          <t>RE</t>
        </is>
      </c>
      <c r="H716" s="12" t="n">
        <v>-308.33</v>
      </c>
      <c r="I716" s="17" t="n">
        <v>46204</v>
      </c>
      <c r="J716" s="17" t="n">
        <v>46234</v>
      </c>
      <c r="K716" t="inlineStr">
        <is>
          <t>0448/26</t>
        </is>
      </c>
    </row>
    <row r="717">
      <c r="A717" t="inlineStr">
        <is>
          <t>IC4420</t>
        </is>
      </c>
      <c r="B717" t="inlineStr">
        <is>
          <t>NORDEX ENERGY SPAIN S A U</t>
        </is>
      </c>
      <c r="C717" t="n">
        <v>2122100000</v>
      </c>
      <c r="D717" t="inlineStr">
        <is>
          <t>Intercompany</t>
        </is>
      </c>
      <c r="E717" t="n">
        <v>5014123</v>
      </c>
      <c r="F717" t="inlineStr">
        <is>
          <t>4026005102</t>
        </is>
      </c>
      <c r="G717" t="inlineStr">
        <is>
          <t>RE</t>
        </is>
      </c>
      <c r="H717" s="12" t="n">
        <v>-32111.96</v>
      </c>
      <c r="I717" s="17" t="n">
        <v>46206</v>
      </c>
      <c r="J717" s="17" t="n">
        <v>46236</v>
      </c>
      <c r="K717" t="inlineStr">
        <is>
          <t>0459/26</t>
        </is>
      </c>
    </row>
    <row r="718">
      <c r="A718" t="inlineStr">
        <is>
          <t>IC4420</t>
        </is>
      </c>
      <c r="B718" t="inlineStr">
        <is>
          <t>NORDEX ENERGY SPAIN S A U</t>
        </is>
      </c>
      <c r="C718" t="n">
        <v>2122100000</v>
      </c>
      <c r="D718" t="inlineStr">
        <is>
          <t>Intercompany</t>
        </is>
      </c>
      <c r="E718" t="n">
        <v>5014124</v>
      </c>
      <c r="F718" t="inlineStr">
        <is>
          <t>4026002163</t>
        </is>
      </c>
      <c r="G718" t="inlineStr">
        <is>
          <t>RE</t>
        </is>
      </c>
      <c r="H718" s="12" t="n">
        <v>-4077.36</v>
      </c>
      <c r="I718" s="17" t="n">
        <v>46108</v>
      </c>
      <c r="J718" s="17" t="n">
        <v>46138</v>
      </c>
      <c r="K718" t="inlineStr">
        <is>
          <t>0228/26</t>
        </is>
      </c>
    </row>
    <row r="719">
      <c r="A719" t="inlineStr">
        <is>
          <t>IC4420</t>
        </is>
      </c>
      <c r="B719" t="inlineStr">
        <is>
          <t>NORDEX ENERGY SPAIN S A U</t>
        </is>
      </c>
      <c r="C719" t="n">
        <v>2122100000</v>
      </c>
      <c r="D719" t="inlineStr">
        <is>
          <t>Intercompany</t>
        </is>
      </c>
      <c r="E719" t="n">
        <v>5014125</v>
      </c>
      <c r="F719" t="inlineStr">
        <is>
          <t>4026004954</t>
        </is>
      </c>
      <c r="G719" t="inlineStr">
        <is>
          <t>RE</t>
        </is>
      </c>
      <c r="H719" s="12" t="n">
        <v>-1442.73</v>
      </c>
      <c r="I719" s="17" t="n">
        <v>46204</v>
      </c>
      <c r="J719" s="17" t="n">
        <v>46234</v>
      </c>
      <c r="K719" t="inlineStr">
        <is>
          <t>0469/26</t>
        </is>
      </c>
    </row>
    <row r="720">
      <c r="A720" t="inlineStr">
        <is>
          <t>IC4420</t>
        </is>
      </c>
      <c r="B720" t="inlineStr">
        <is>
          <t>NORDEX ENERGY SPAIN S A U</t>
        </is>
      </c>
      <c r="C720" t="n">
        <v>2122100000</v>
      </c>
      <c r="D720" t="inlineStr">
        <is>
          <t>Intercompany</t>
        </is>
      </c>
      <c r="E720" t="n">
        <v>5014126</v>
      </c>
      <c r="F720" t="inlineStr">
        <is>
          <t>4026003283</t>
        </is>
      </c>
      <c r="G720" t="inlineStr">
        <is>
          <t>RE</t>
        </is>
      </c>
      <c r="H720" s="12" t="n">
        <v>-100828.39</v>
      </c>
      <c r="I720" s="17" t="n">
        <v>46153</v>
      </c>
      <c r="J720" s="17" t="n">
        <v>46183</v>
      </c>
      <c r="K720" t="inlineStr">
        <is>
          <t>0330/26</t>
        </is>
      </c>
    </row>
    <row r="721">
      <c r="A721" t="inlineStr">
        <is>
          <t>IC4420</t>
        </is>
      </c>
      <c r="B721" t="inlineStr">
        <is>
          <t>NORDEX ENERGY SPAIN S A U</t>
        </is>
      </c>
      <c r="C721" t="n">
        <v>2122100000</v>
      </c>
      <c r="D721" t="inlineStr">
        <is>
          <t>Intercompany</t>
        </is>
      </c>
      <c r="E721" t="n">
        <v>5014127</v>
      </c>
      <c r="F721" t="inlineStr">
        <is>
          <t>4026002159</t>
        </is>
      </c>
      <c r="G721" t="inlineStr">
        <is>
          <t>RE</t>
        </is>
      </c>
      <c r="H721" s="12" t="n">
        <v>-231.75</v>
      </c>
      <c r="I721" s="17" t="n">
        <v>46108</v>
      </c>
      <c r="J721" s="17" t="n">
        <v>46138</v>
      </c>
      <c r="K721" t="inlineStr">
        <is>
          <t>0224/26</t>
        </is>
      </c>
    </row>
    <row r="722">
      <c r="A722" t="inlineStr">
        <is>
          <t>IC4420</t>
        </is>
      </c>
      <c r="B722" t="inlineStr">
        <is>
          <t>NORDEX ENERGY SPAIN S A U</t>
        </is>
      </c>
      <c r="C722" t="n">
        <v>2122100000</v>
      </c>
      <c r="D722" t="inlineStr">
        <is>
          <t>Intercompany</t>
        </is>
      </c>
      <c r="E722" t="n">
        <v>5014128</v>
      </c>
      <c r="F722" t="inlineStr">
        <is>
          <t>4026004410</t>
        </is>
      </c>
      <c r="G722" t="inlineStr">
        <is>
          <t>RE</t>
        </is>
      </c>
      <c r="H722" s="12" t="n">
        <v>-7574.35</v>
      </c>
      <c r="I722" s="17" t="n">
        <v>46185</v>
      </c>
      <c r="J722" s="17" t="n">
        <v>46215</v>
      </c>
      <c r="K722" t="inlineStr">
        <is>
          <t>0409/26</t>
        </is>
      </c>
    </row>
    <row r="723">
      <c r="A723" t="inlineStr">
        <is>
          <t>IC4420</t>
        </is>
      </c>
      <c r="B723" t="inlineStr">
        <is>
          <t>NORDEX ENERGY SPAIN S A U</t>
        </is>
      </c>
      <c r="C723" t="n">
        <v>2122100000</v>
      </c>
      <c r="D723" t="inlineStr">
        <is>
          <t>Intercompany</t>
        </is>
      </c>
      <c r="E723" t="n">
        <v>5014129</v>
      </c>
      <c r="F723" t="inlineStr">
        <is>
          <t>4026004953</t>
        </is>
      </c>
      <c r="G723" t="inlineStr">
        <is>
          <t>RE</t>
        </is>
      </c>
      <c r="H723" s="12" t="n">
        <v>-5686.32</v>
      </c>
      <c r="I723" s="17" t="n">
        <v>46204</v>
      </c>
      <c r="J723" s="17" t="n">
        <v>46234</v>
      </c>
      <c r="K723" t="inlineStr">
        <is>
          <t>0469/26</t>
        </is>
      </c>
    </row>
    <row r="724">
      <c r="A724" t="inlineStr">
        <is>
          <t>IC4420</t>
        </is>
      </c>
      <c r="B724" t="inlineStr">
        <is>
          <t>NORDEX ENERGY SPAIN S A U</t>
        </is>
      </c>
      <c r="C724" t="n">
        <v>2122100000</v>
      </c>
      <c r="D724" t="inlineStr">
        <is>
          <t>Intercompany</t>
        </is>
      </c>
      <c r="E724" t="n">
        <v>5014130</v>
      </c>
      <c r="F724" t="inlineStr">
        <is>
          <t>4026004411</t>
        </is>
      </c>
      <c r="G724" t="inlineStr">
        <is>
          <t>RE</t>
        </is>
      </c>
      <c r="H724" s="12" t="n">
        <v>-39591.37</v>
      </c>
      <c r="I724" s="17" t="n">
        <v>46185</v>
      </c>
      <c r="J724" s="17" t="n">
        <v>46215</v>
      </c>
      <c r="K724" t="inlineStr">
        <is>
          <t>0410/26</t>
        </is>
      </c>
    </row>
    <row r="725">
      <c r="A725" t="inlineStr">
        <is>
          <t>IC4420</t>
        </is>
      </c>
      <c r="B725" t="inlineStr">
        <is>
          <t>NORDEX ENERGY SPAIN S A U</t>
        </is>
      </c>
      <c r="C725" t="n">
        <v>2122100000</v>
      </c>
      <c r="D725" t="inlineStr">
        <is>
          <t>Intercompany</t>
        </is>
      </c>
      <c r="E725" t="n">
        <v>5014131</v>
      </c>
      <c r="F725" t="inlineStr">
        <is>
          <t>4026005011</t>
        </is>
      </c>
      <c r="G725" t="inlineStr">
        <is>
          <t>RE</t>
        </is>
      </c>
      <c r="H725" s="12" t="n">
        <v>-30590.7</v>
      </c>
      <c r="I725" s="17" t="n">
        <v>46204</v>
      </c>
      <c r="J725" s="17" t="n">
        <v>46234</v>
      </c>
      <c r="K725" t="inlineStr">
        <is>
          <t>0463/26</t>
        </is>
      </c>
    </row>
    <row r="726">
      <c r="A726" t="inlineStr">
        <is>
          <t>IC4420</t>
        </is>
      </c>
      <c r="B726" t="inlineStr">
        <is>
          <t>NORDEX ENERGY SPAIN S A U</t>
        </is>
      </c>
      <c r="C726" t="n">
        <v>2122100000</v>
      </c>
      <c r="D726" t="inlineStr">
        <is>
          <t>Intercompany</t>
        </is>
      </c>
      <c r="E726" t="n">
        <v>5014132</v>
      </c>
      <c r="F726" t="inlineStr">
        <is>
          <t>4026003289</t>
        </is>
      </c>
      <c r="G726" t="inlineStr">
        <is>
          <t>RE</t>
        </is>
      </c>
      <c r="H726" s="12" t="n">
        <v>-73724.73</v>
      </c>
      <c r="I726" s="17" t="n">
        <v>46153</v>
      </c>
      <c r="J726" s="17" t="n">
        <v>46183</v>
      </c>
      <c r="K726" t="inlineStr">
        <is>
          <t>0335/26</t>
        </is>
      </c>
    </row>
    <row r="727">
      <c r="A727" t="inlineStr">
        <is>
          <t>IC4420</t>
        </is>
      </c>
      <c r="B727" t="inlineStr">
        <is>
          <t>NORDEX ENERGY SPAIN S A U</t>
        </is>
      </c>
      <c r="C727" t="n">
        <v>2122100000</v>
      </c>
      <c r="D727" t="inlineStr">
        <is>
          <t>Intercompany</t>
        </is>
      </c>
      <c r="E727" t="n">
        <v>5014133</v>
      </c>
      <c r="F727" t="inlineStr">
        <is>
          <t>4026005013</t>
        </is>
      </c>
      <c r="G727" t="inlineStr">
        <is>
          <t>RE</t>
        </is>
      </c>
      <c r="H727" s="12" t="n">
        <v>-1961.88</v>
      </c>
      <c r="I727" s="17" t="n">
        <v>46204</v>
      </c>
      <c r="J727" s="17" t="n">
        <v>46234</v>
      </c>
      <c r="K727" t="inlineStr">
        <is>
          <t>0465/26</t>
        </is>
      </c>
    </row>
    <row r="728">
      <c r="A728" t="inlineStr">
        <is>
          <t>IC4420</t>
        </is>
      </c>
      <c r="B728" t="inlineStr">
        <is>
          <t>NORDEX ENERGY SPAIN S A U</t>
        </is>
      </c>
      <c r="C728" t="n">
        <v>2122100000</v>
      </c>
      <c r="D728" t="inlineStr">
        <is>
          <t>Intercompany</t>
        </is>
      </c>
      <c r="E728" t="n">
        <v>5014134</v>
      </c>
      <c r="F728" t="inlineStr">
        <is>
          <t>4026002168</t>
        </is>
      </c>
      <c r="G728" t="inlineStr">
        <is>
          <t>RE</t>
        </is>
      </c>
      <c r="H728" s="12" t="n">
        <v>-19243.75</v>
      </c>
      <c r="I728" s="17" t="n">
        <v>46108</v>
      </c>
      <c r="J728" s="17" t="n">
        <v>46138</v>
      </c>
      <c r="K728" t="inlineStr">
        <is>
          <t>0234/26</t>
        </is>
      </c>
    </row>
    <row r="729">
      <c r="A729" t="inlineStr">
        <is>
          <t>IC4420</t>
        </is>
      </c>
      <c r="B729" t="inlineStr">
        <is>
          <t>NORDEX ENERGY SPAIN S A U</t>
        </is>
      </c>
      <c r="C729" t="n">
        <v>2122100000</v>
      </c>
      <c r="D729" t="inlineStr">
        <is>
          <t>Intercompany</t>
        </is>
      </c>
      <c r="E729" t="n">
        <v>5014135</v>
      </c>
      <c r="F729" t="inlineStr">
        <is>
          <t>4026005009</t>
        </is>
      </c>
      <c r="G729" t="inlineStr">
        <is>
          <t>RE</t>
        </is>
      </c>
      <c r="H729" s="12" t="n">
        <v>-18676.95</v>
      </c>
      <c r="I729" s="17" t="n">
        <v>46204</v>
      </c>
      <c r="J729" s="17" t="n">
        <v>46234</v>
      </c>
      <c r="K729" t="inlineStr">
        <is>
          <t>0462/26</t>
        </is>
      </c>
    </row>
    <row r="730">
      <c r="A730" t="inlineStr">
        <is>
          <t>IC4420</t>
        </is>
      </c>
      <c r="B730" t="inlineStr">
        <is>
          <t>NORDEX ENERGY SPAIN S A U</t>
        </is>
      </c>
      <c r="C730" t="n">
        <v>2122100000</v>
      </c>
      <c r="D730" t="inlineStr">
        <is>
          <t>Intercompany</t>
        </is>
      </c>
      <c r="E730" t="n">
        <v>5014136</v>
      </c>
      <c r="F730" t="inlineStr">
        <is>
          <t>4026003290</t>
        </is>
      </c>
      <c r="G730" t="inlineStr">
        <is>
          <t>RE</t>
        </is>
      </c>
      <c r="H730" s="12" t="n">
        <v>-46440.35</v>
      </c>
      <c r="I730" s="17" t="n">
        <v>46153</v>
      </c>
      <c r="J730" s="17" t="n">
        <v>46183</v>
      </c>
      <c r="K730" t="inlineStr">
        <is>
          <t>0336/26</t>
        </is>
      </c>
    </row>
    <row r="731">
      <c r="A731" t="inlineStr">
        <is>
          <t>IC4420</t>
        </is>
      </c>
      <c r="B731" t="inlineStr">
        <is>
          <t>NORDEX ENERGY SPAIN S A U</t>
        </is>
      </c>
      <c r="C731" t="n">
        <v>2122100000</v>
      </c>
      <c r="D731" t="inlineStr">
        <is>
          <t>Intercompany</t>
        </is>
      </c>
      <c r="E731" t="n">
        <v>5014148</v>
      </c>
      <c r="F731" t="inlineStr">
        <is>
          <t>4026004407</t>
        </is>
      </c>
      <c r="G731" t="inlineStr">
        <is>
          <t>RE</t>
        </is>
      </c>
      <c r="H731" s="12" t="n">
        <v>-9831.48</v>
      </c>
      <c r="I731" s="17" t="n">
        <v>46184</v>
      </c>
      <c r="J731" s="17" t="n">
        <v>46214</v>
      </c>
      <c r="K731" t="inlineStr">
        <is>
          <t>0456/26</t>
        </is>
      </c>
    </row>
    <row r="732">
      <c r="A732" t="inlineStr">
        <is>
          <t>IC4420</t>
        </is>
      </c>
      <c r="B732" t="inlineStr">
        <is>
          <t>NORDEX ENERGY SPAIN S A U</t>
        </is>
      </c>
      <c r="C732" t="n">
        <v>2122100000</v>
      </c>
      <c r="D732" t="inlineStr">
        <is>
          <t>Intercompany</t>
        </is>
      </c>
      <c r="E732" t="n">
        <v>5014149</v>
      </c>
      <c r="F732" t="inlineStr">
        <is>
          <t>4026002157</t>
        </is>
      </c>
      <c r="G732" t="inlineStr">
        <is>
          <t>RE</t>
        </is>
      </c>
      <c r="H732" s="12" t="n">
        <v>-30502.6</v>
      </c>
      <c r="I732" s="17" t="n">
        <v>46108</v>
      </c>
      <c r="J732" s="17" t="n">
        <v>46138</v>
      </c>
      <c r="K732" t="inlineStr">
        <is>
          <t>0223/26</t>
        </is>
      </c>
    </row>
    <row r="733">
      <c r="A733" t="inlineStr">
        <is>
          <t>IC4420</t>
        </is>
      </c>
      <c r="B733" t="inlineStr">
        <is>
          <t>NORDEX ENERGY SPAIN S A U</t>
        </is>
      </c>
      <c r="C733" t="n">
        <v>2122100000</v>
      </c>
      <c r="D733" t="inlineStr">
        <is>
          <t>Intercompany</t>
        </is>
      </c>
      <c r="E733" t="n">
        <v>5014170</v>
      </c>
      <c r="F733" t="inlineStr">
        <is>
          <t>4026004556</t>
        </is>
      </c>
      <c r="G733" t="inlineStr">
        <is>
          <t>RE</t>
        </is>
      </c>
      <c r="H733" s="12" t="n">
        <v>-10361.93</v>
      </c>
      <c r="I733" s="17" t="n">
        <v>46188</v>
      </c>
      <c r="J733" s="17" t="n">
        <v>46218</v>
      </c>
      <c r="K733" t="inlineStr">
        <is>
          <t>0404/26</t>
        </is>
      </c>
    </row>
    <row r="734">
      <c r="A734" t="inlineStr">
        <is>
          <t>IC4420</t>
        </is>
      </c>
      <c r="B734" t="inlineStr">
        <is>
          <t>NORDEX ENERGY SPAIN S A U</t>
        </is>
      </c>
      <c r="C734" t="n">
        <v>2122100000</v>
      </c>
      <c r="D734" t="inlineStr">
        <is>
          <t>Intercompany</t>
        </is>
      </c>
      <c r="E734" t="n">
        <v>5014171</v>
      </c>
      <c r="F734" t="inlineStr">
        <is>
          <t>4026004553</t>
        </is>
      </c>
      <c r="G734" t="inlineStr">
        <is>
          <t>RE</t>
        </is>
      </c>
      <c r="H734" s="12" t="n">
        <v>-50522.5</v>
      </c>
      <c r="I734" s="17" t="n">
        <v>46188</v>
      </c>
      <c r="J734" s="17" t="n">
        <v>46218</v>
      </c>
      <c r="K734" t="inlineStr">
        <is>
          <t>0404/26</t>
        </is>
      </c>
    </row>
    <row r="735">
      <c r="A735" t="inlineStr">
        <is>
          <t>IC4420</t>
        </is>
      </c>
      <c r="B735" t="inlineStr">
        <is>
          <t>NORDEX ENERGY SPAIN S A U</t>
        </is>
      </c>
      <c r="C735" t="n">
        <v>2122100000</v>
      </c>
      <c r="D735" t="inlineStr">
        <is>
          <t>Intercompany</t>
        </is>
      </c>
      <c r="E735" t="n">
        <v>5014172</v>
      </c>
      <c r="F735" t="inlineStr">
        <is>
          <t>4026004560</t>
        </is>
      </c>
      <c r="G735" t="inlineStr">
        <is>
          <t>RE</t>
        </is>
      </c>
      <c r="H735" s="12" t="n">
        <v>-35951.7</v>
      </c>
      <c r="I735" s="17" t="n">
        <v>46188</v>
      </c>
      <c r="J735" s="17" t="n">
        <v>46218</v>
      </c>
      <c r="K735" t="inlineStr">
        <is>
          <t>0404/26</t>
        </is>
      </c>
    </row>
    <row r="736">
      <c r="A736" t="inlineStr">
        <is>
          <t>IC1000</t>
        </is>
      </c>
      <c r="B736" t="inlineStr">
        <is>
          <t>NORDEX ENERGY SE &amp; CO KG</t>
        </is>
      </c>
      <c r="C736" t="n">
        <v>2122100000</v>
      </c>
      <c r="D736" t="inlineStr">
        <is>
          <t>Intercompany</t>
        </is>
      </c>
      <c r="E736" t="n">
        <v>5014195</v>
      </c>
      <c r="F736" t="inlineStr">
        <is>
          <t>403094</t>
        </is>
      </c>
      <c r="G736" t="inlineStr">
        <is>
          <t>RE</t>
        </is>
      </c>
      <c r="H736" s="12" t="n">
        <v>-31137.63</v>
      </c>
      <c r="I736" s="17" t="n">
        <v>46182</v>
      </c>
      <c r="J736" s="17" t="n">
        <v>46212</v>
      </c>
      <c r="K736" t="inlineStr">
        <is>
          <t>0414/26</t>
        </is>
      </c>
    </row>
    <row r="737">
      <c r="A737" t="inlineStr">
        <is>
          <t>IC1000</t>
        </is>
      </c>
      <c r="B737" t="inlineStr">
        <is>
          <t>NORDEX ENERGY SE &amp; CO KG</t>
        </is>
      </c>
      <c r="C737" t="n">
        <v>2122100000</v>
      </c>
      <c r="D737" t="inlineStr">
        <is>
          <t>Intercompany</t>
        </is>
      </c>
      <c r="E737" t="n">
        <v>5014205</v>
      </c>
      <c r="F737" t="inlineStr">
        <is>
          <t>4012359423</t>
        </is>
      </c>
      <c r="G737" t="inlineStr">
        <is>
          <t>RE</t>
        </is>
      </c>
      <c r="H737" s="12" t="n">
        <v>-5245.67</v>
      </c>
      <c r="I737" s="17" t="n">
        <v>45237</v>
      </c>
      <c r="J737" s="17" t="n">
        <v>45267</v>
      </c>
      <c r="K737" t="inlineStr">
        <is>
          <t>0550/23</t>
        </is>
      </c>
    </row>
    <row r="738">
      <c r="A738" t="inlineStr">
        <is>
          <t>IC1000</t>
        </is>
      </c>
      <c r="B738" t="inlineStr">
        <is>
          <t>NORDEX ENERGY SE &amp; CO KG</t>
        </is>
      </c>
      <c r="C738" t="n">
        <v>2122100000</v>
      </c>
      <c r="D738" t="inlineStr">
        <is>
          <t>Intercompany</t>
        </is>
      </c>
      <c r="E738" t="n">
        <v>5014206</v>
      </c>
      <c r="F738" t="inlineStr">
        <is>
          <t>4012359424</t>
        </is>
      </c>
      <c r="G738" t="inlineStr">
        <is>
          <t>RE</t>
        </is>
      </c>
      <c r="H738" s="12" t="n">
        <v>-1181.74</v>
      </c>
      <c r="I738" s="17" t="n">
        <v>45237</v>
      </c>
      <c r="J738" s="17" t="n">
        <v>45267</v>
      </c>
      <c r="K738" t="inlineStr">
        <is>
          <t>0550/23</t>
        </is>
      </c>
    </row>
    <row r="739">
      <c r="A739" t="inlineStr">
        <is>
          <t>IC1000</t>
        </is>
      </c>
      <c r="B739" t="inlineStr">
        <is>
          <t>NORDEX ENERGY SE &amp; CO KG</t>
        </is>
      </c>
      <c r="C739" t="n">
        <v>2122100000</v>
      </c>
      <c r="D739" t="inlineStr">
        <is>
          <t>Intercompany</t>
        </is>
      </c>
      <c r="E739" t="n">
        <v>5014207</v>
      </c>
      <c r="F739" t="inlineStr">
        <is>
          <t>4012352915</t>
        </is>
      </c>
      <c r="G739" t="inlineStr">
        <is>
          <t>RE</t>
        </is>
      </c>
      <c r="H739" s="12" t="n">
        <v>-1127.54</v>
      </c>
      <c r="I739" s="17" t="n">
        <v>45226</v>
      </c>
      <c r="J739" s="17" t="n">
        <v>45256</v>
      </c>
      <c r="K739" t="inlineStr">
        <is>
          <t>0533/23</t>
        </is>
      </c>
    </row>
    <row r="740">
      <c r="A740" t="inlineStr">
        <is>
          <t>IC1000</t>
        </is>
      </c>
      <c r="B740" t="inlineStr">
        <is>
          <t>NORDEX ENERGY SE &amp; CO KG</t>
        </is>
      </c>
      <c r="C740" t="n">
        <v>2122100000</v>
      </c>
      <c r="D740" t="inlineStr">
        <is>
          <t>Intercompany</t>
        </is>
      </c>
      <c r="E740" t="n">
        <v>5014210</v>
      </c>
      <c r="F740" t="inlineStr">
        <is>
          <t>4012352914</t>
        </is>
      </c>
      <c r="G740" t="inlineStr">
        <is>
          <t>RE</t>
        </is>
      </c>
      <c r="H740" s="12" t="n">
        <v>-38896.25</v>
      </c>
      <c r="I740" s="17" t="n">
        <v>45226</v>
      </c>
      <c r="J740" s="17" t="n">
        <v>45256</v>
      </c>
      <c r="K740" t="inlineStr">
        <is>
          <t>0533/23</t>
        </is>
      </c>
    </row>
    <row r="741">
      <c r="A741" t="inlineStr">
        <is>
          <t>IC1000</t>
        </is>
      </c>
      <c r="B741" t="inlineStr">
        <is>
          <t>NORDEX ENERGY SE &amp; CO KG</t>
        </is>
      </c>
      <c r="C741" t="n">
        <v>2122100000</v>
      </c>
      <c r="D741" t="inlineStr">
        <is>
          <t>Intercompany</t>
        </is>
      </c>
      <c r="E741" t="n">
        <v>5014211</v>
      </c>
      <c r="F741" t="inlineStr">
        <is>
          <t>4012340081</t>
        </is>
      </c>
      <c r="G741" t="inlineStr">
        <is>
          <t>RE</t>
        </is>
      </c>
      <c r="H741" s="12" t="n">
        <v>-54509.84</v>
      </c>
      <c r="I741" s="17" t="n">
        <v>45103</v>
      </c>
      <c r="J741" s="17" t="n">
        <v>45133</v>
      </c>
      <c r="K741" t="inlineStr">
        <is>
          <t>0460/23</t>
        </is>
      </c>
    </row>
    <row r="742">
      <c r="A742" t="inlineStr">
        <is>
          <t>IC1000</t>
        </is>
      </c>
      <c r="B742" t="inlineStr">
        <is>
          <t>NORDEX ENERGY SE &amp; CO KG</t>
        </is>
      </c>
      <c r="C742" t="n">
        <v>2122100000</v>
      </c>
      <c r="D742" t="inlineStr">
        <is>
          <t>Intercompany</t>
        </is>
      </c>
      <c r="E742" t="n">
        <v>5014243</v>
      </c>
      <c r="F742" t="inlineStr">
        <is>
          <t>4012348104</t>
        </is>
      </c>
      <c r="G742" t="inlineStr">
        <is>
          <t>RE</t>
        </is>
      </c>
      <c r="H742" s="12" t="n">
        <v>-20425.3</v>
      </c>
      <c r="I742" s="17" t="n">
        <v>45174</v>
      </c>
      <c r="J742" s="17" t="n">
        <v>45204</v>
      </c>
      <c r="K742" t="inlineStr">
        <is>
          <t>0472/23</t>
        </is>
      </c>
    </row>
    <row r="743">
      <c r="A743" t="inlineStr">
        <is>
          <t>IC1000</t>
        </is>
      </c>
      <c r="B743" t="inlineStr">
        <is>
          <t>NORDEX ENERGY SE &amp; CO KG</t>
        </is>
      </c>
      <c r="C743" t="n">
        <v>2122100000</v>
      </c>
      <c r="D743" t="inlineStr">
        <is>
          <t>Intercompany</t>
        </is>
      </c>
      <c r="E743" t="n">
        <v>5014245</v>
      </c>
      <c r="F743" t="inlineStr">
        <is>
          <t>4012340935</t>
        </is>
      </c>
      <c r="G743" t="inlineStr">
        <is>
          <t>RE</t>
        </is>
      </c>
      <c r="H743" s="12" t="n">
        <v>-12813.21</v>
      </c>
      <c r="I743" s="17" t="n">
        <v>45107</v>
      </c>
      <c r="J743" s="17" t="n">
        <v>45137</v>
      </c>
      <c r="K743" t="inlineStr">
        <is>
          <t>0471/23</t>
        </is>
      </c>
    </row>
    <row r="744">
      <c r="A744" t="inlineStr">
        <is>
          <t>IC1000</t>
        </is>
      </c>
      <c r="B744" t="inlineStr">
        <is>
          <t>NORDEX ENERGY SE &amp; CO KG</t>
        </is>
      </c>
      <c r="C744" t="n">
        <v>2122100000</v>
      </c>
      <c r="D744" t="inlineStr">
        <is>
          <t>Intercompany</t>
        </is>
      </c>
      <c r="E744" t="n">
        <v>5014246</v>
      </c>
      <c r="F744" t="inlineStr">
        <is>
          <t>4012344677</t>
        </is>
      </c>
      <c r="G744" t="inlineStr">
        <is>
          <t>RE</t>
        </is>
      </c>
      <c r="H744" s="12" t="n">
        <v>-7426.4</v>
      </c>
      <c r="I744" s="17" t="n">
        <v>45134</v>
      </c>
      <c r="J744" s="17" t="n">
        <v>45164</v>
      </c>
      <c r="K744" t="inlineStr">
        <is>
          <t>0475/23</t>
        </is>
      </c>
    </row>
    <row r="745">
      <c r="A745" t="inlineStr">
        <is>
          <t>IC5000</t>
        </is>
      </c>
      <c r="B745" t="inlineStr">
        <is>
          <t>NORDEX SE</t>
        </is>
      </c>
      <c r="C745" t="n">
        <v>2122100000</v>
      </c>
      <c r="D745" t="inlineStr">
        <is>
          <t>Intercompany</t>
        </is>
      </c>
      <c r="E745" t="n">
        <v>5014332</v>
      </c>
      <c r="F745" t="inlineStr">
        <is>
          <t>609446</t>
        </is>
      </c>
      <c r="G745" t="inlineStr">
        <is>
          <t>KR</t>
        </is>
      </c>
      <c r="H745" s="12" t="n">
        <v>-5845986.64</v>
      </c>
      <c r="I745" s="17" t="n">
        <v>45755</v>
      </c>
      <c r="J745" s="17" t="n">
        <v>45755</v>
      </c>
      <c r="K745" t="inlineStr">
        <is>
          <t>Fatura do fornecedor NORDEX SE 609446</t>
        </is>
      </c>
    </row>
    <row r="746">
      <c r="A746" t="inlineStr">
        <is>
          <t>IC4420</t>
        </is>
      </c>
      <c r="B746" t="inlineStr">
        <is>
          <t>NORDEX ENERGY SPAIN S A U</t>
        </is>
      </c>
      <c r="C746" t="n">
        <v>2122100000</v>
      </c>
      <c r="D746" t="inlineStr">
        <is>
          <t>Intercompany</t>
        </is>
      </c>
      <c r="E746" t="n">
        <v>5014384</v>
      </c>
      <c r="F746" t="inlineStr">
        <is>
          <t>4026004938</t>
        </is>
      </c>
      <c r="G746" t="inlineStr">
        <is>
          <t>RE</t>
        </is>
      </c>
      <c r="H746" s="12" t="n">
        <v>-1350.07</v>
      </c>
      <c r="I746" s="17" t="n">
        <v>46203</v>
      </c>
      <c r="J746" s="17" t="n">
        <v>46233</v>
      </c>
      <c r="K746" t="inlineStr">
        <is>
          <t>0450/26</t>
        </is>
      </c>
    </row>
    <row r="747">
      <c r="A747" t="inlineStr">
        <is>
          <t>IC1000</t>
        </is>
      </c>
      <c r="B747" t="inlineStr">
        <is>
          <t>NORDEX ENERGY SE &amp; CO KG</t>
        </is>
      </c>
      <c r="C747" t="n">
        <v>2122100000</v>
      </c>
      <c r="D747" t="inlineStr">
        <is>
          <t>Intercompany</t>
        </is>
      </c>
      <c r="E747" t="n">
        <v>5014385</v>
      </c>
      <c r="F747" t="inlineStr">
        <is>
          <t>99042</t>
        </is>
      </c>
      <c r="G747" t="inlineStr">
        <is>
          <t>RE</t>
        </is>
      </c>
      <c r="H747" s="12" t="n">
        <v>-13145.29</v>
      </c>
      <c r="I747" s="17" t="n">
        <v>46209</v>
      </c>
      <c r="J747" s="17" t="n">
        <v>46239</v>
      </c>
      <c r="K747" t="inlineStr">
        <is>
          <t>0473/26</t>
        </is>
      </c>
    </row>
    <row r="748">
      <c r="A748" t="inlineStr">
        <is>
          <t>IC4680</t>
        </is>
      </c>
      <c r="B748" t="inlineStr">
        <is>
          <t>NORDEX ENERGY MEXICO S DE RL DE CV</t>
        </is>
      </c>
      <c r="C748" t="n">
        <v>2122100000</v>
      </c>
      <c r="D748" t="inlineStr">
        <is>
          <t>Intercompany</t>
        </is>
      </c>
      <c r="E748" t="n">
        <v>5014405</v>
      </c>
      <c r="F748" t="inlineStr">
        <is>
          <t>COMEXT / 437</t>
        </is>
      </c>
      <c r="G748" t="inlineStr">
        <is>
          <t>RE</t>
        </is>
      </c>
      <c r="H748" s="12" t="n">
        <v>-22798.43</v>
      </c>
      <c r="I748" s="17" t="n">
        <v>46220</v>
      </c>
      <c r="J748" s="17" t="n">
        <v>46250</v>
      </c>
      <c r="K748" t="inlineStr">
        <is>
          <t>0458/26</t>
        </is>
      </c>
    </row>
    <row r="749">
      <c r="A749" t="inlineStr">
        <is>
          <t>IC1000</t>
        </is>
      </c>
      <c r="B749" t="inlineStr">
        <is>
          <t>NORDEX ENERGY SE &amp; CO KG</t>
        </is>
      </c>
      <c r="C749" t="n">
        <v>2122100000</v>
      </c>
      <c r="D749" t="inlineStr">
        <is>
          <t>Intercompany</t>
        </is>
      </c>
      <c r="E749" t="n">
        <v>5014408</v>
      </c>
      <c r="F749" t="inlineStr">
        <is>
          <t>RITM0659531</t>
        </is>
      </c>
      <c r="G749" t="inlineStr">
        <is>
          <t>RE</t>
        </is>
      </c>
      <c r="H749" s="12" t="n">
        <v>-368687.99</v>
      </c>
      <c r="I749" s="17" t="n">
        <v>46168</v>
      </c>
      <c r="J749" s="17" t="n">
        <v>46198</v>
      </c>
      <c r="K749" t="inlineStr">
        <is>
          <t>0371/26</t>
        </is>
      </c>
    </row>
    <row r="750">
      <c r="A750" t="inlineStr">
        <is>
          <t>IC4670</t>
        </is>
      </c>
      <c r="B750" t="inlineStr">
        <is>
          <t>NORDEX ENERGY CHILE SA</t>
        </is>
      </c>
      <c r="C750" t="n">
        <v>2122100000</v>
      </c>
      <c r="D750" t="inlineStr">
        <is>
          <t>Intercompany</t>
        </is>
      </c>
      <c r="E750" t="n">
        <v>5014410</v>
      </c>
      <c r="F750" t="inlineStr">
        <is>
          <t>95</t>
        </is>
      </c>
      <c r="G750" t="inlineStr">
        <is>
          <t>RE</t>
        </is>
      </c>
      <c r="H750" s="12" t="n">
        <v>-115826.1</v>
      </c>
      <c r="I750" s="17" t="n">
        <v>46154</v>
      </c>
      <c r="J750" s="17" t="n">
        <v>46208</v>
      </c>
      <c r="K750" t="inlineStr">
        <is>
          <t>0446/26</t>
        </is>
      </c>
    </row>
    <row r="751">
      <c r="A751" t="inlineStr">
        <is>
          <t>IC1000</t>
        </is>
      </c>
      <c r="B751" t="inlineStr">
        <is>
          <t>NORDEX ENERGY SE &amp; CO KG</t>
        </is>
      </c>
      <c r="C751" t="n">
        <v>2122100000</v>
      </c>
      <c r="D751" t="inlineStr">
        <is>
          <t>Intercompany</t>
        </is>
      </c>
      <c r="E751" t="n">
        <v>5014456</v>
      </c>
      <c r="F751" t="inlineStr">
        <is>
          <t>4012344165</t>
        </is>
      </c>
      <c r="G751" t="inlineStr">
        <is>
          <t>RE</t>
        </is>
      </c>
      <c r="H751" s="12" t="n">
        <v>-57222.1</v>
      </c>
      <c r="I751" s="17" t="n">
        <v>45131</v>
      </c>
      <c r="J751" s="17" t="n">
        <v>45161</v>
      </c>
      <c r="K751" t="inlineStr">
        <is>
          <t>0469/23</t>
        </is>
      </c>
    </row>
    <row r="752">
      <c r="A752" t="inlineStr">
        <is>
          <t>IC1000</t>
        </is>
      </c>
      <c r="B752" t="inlineStr">
        <is>
          <t>NORDEX ENERGY SE &amp; CO KG</t>
        </is>
      </c>
      <c r="C752" t="n">
        <v>2122100000</v>
      </c>
      <c r="D752" t="inlineStr">
        <is>
          <t>Intercompany</t>
        </is>
      </c>
      <c r="E752" t="n">
        <v>5014468</v>
      </c>
      <c r="F752" t="inlineStr">
        <is>
          <t>4012344022</t>
        </is>
      </c>
      <c r="G752" t="inlineStr">
        <is>
          <t>RE</t>
        </is>
      </c>
      <c r="H752" s="12" t="n">
        <v>-68976.39999999999</v>
      </c>
      <c r="I752" s="17" t="n">
        <v>45128</v>
      </c>
      <c r="J752" s="17" t="n">
        <v>45158</v>
      </c>
      <c r="K752" t="inlineStr">
        <is>
          <t>0469/23</t>
        </is>
      </c>
    </row>
    <row r="753">
      <c r="A753" t="inlineStr">
        <is>
          <t>IC1000</t>
        </is>
      </c>
      <c r="B753" t="inlineStr">
        <is>
          <t>NORDEX ENERGY SE &amp; CO KG</t>
        </is>
      </c>
      <c r="C753" t="n">
        <v>2122100000</v>
      </c>
      <c r="D753" t="inlineStr">
        <is>
          <t>Intercompany</t>
        </is>
      </c>
      <c r="E753" t="n">
        <v>5014530</v>
      </c>
      <c r="F753" t="inlineStr">
        <is>
          <t>310264+310265</t>
        </is>
      </c>
      <c r="G753" t="inlineStr">
        <is>
          <t>RE</t>
        </is>
      </c>
      <c r="H753" s="12" t="n">
        <v>-109224.6</v>
      </c>
      <c r="I753" s="17" t="n">
        <v>45672</v>
      </c>
      <c r="J753" s="17" t="n">
        <v>45702</v>
      </c>
      <c r="K753" t="inlineStr">
        <is>
          <t>0255/25</t>
        </is>
      </c>
    </row>
    <row r="754">
      <c r="A754" t="inlineStr">
        <is>
          <t>IC1000</t>
        </is>
      </c>
      <c r="B754" t="inlineStr">
        <is>
          <t>NORDEX ENERGY SE &amp; CO KG</t>
        </is>
      </c>
      <c r="C754" t="n">
        <v>2122100000</v>
      </c>
      <c r="D754" t="inlineStr">
        <is>
          <t>Intercompany</t>
        </is>
      </c>
      <c r="E754" t="n">
        <v>5014547</v>
      </c>
      <c r="F754" t="inlineStr">
        <is>
          <t>97006</t>
        </is>
      </c>
      <c r="G754" t="inlineStr">
        <is>
          <t>RE</t>
        </is>
      </c>
      <c r="H754" s="12" t="n">
        <v>-101462.99</v>
      </c>
      <c r="I754" s="17" t="n">
        <v>46209</v>
      </c>
      <c r="J754" s="17" t="n">
        <v>46239</v>
      </c>
      <c r="K754" t="inlineStr">
        <is>
          <t>0468/26</t>
        </is>
      </c>
    </row>
    <row r="755">
      <c r="A755" t="inlineStr">
        <is>
          <t>IC1000</t>
        </is>
      </c>
      <c r="B755" t="inlineStr">
        <is>
          <t>NORDEX ENERGY SE &amp; CO KG</t>
        </is>
      </c>
      <c r="C755" t="n">
        <v>2122100000</v>
      </c>
      <c r="D755" t="inlineStr">
        <is>
          <t>Intercompany</t>
        </is>
      </c>
      <c r="E755" t="n">
        <v>5014624</v>
      </c>
      <c r="F755" t="inlineStr">
        <is>
          <t>4012340087</t>
        </is>
      </c>
      <c r="G755" t="inlineStr">
        <is>
          <t>RE</t>
        </is>
      </c>
      <c r="H755" s="12" t="n">
        <v>-4795.83</v>
      </c>
      <c r="I755" s="17" t="n">
        <v>45103</v>
      </c>
      <c r="J755" s="17" t="n">
        <v>45133</v>
      </c>
      <c r="K755" t="inlineStr">
        <is>
          <t>0481/23</t>
        </is>
      </c>
    </row>
    <row r="756">
      <c r="A756" t="inlineStr">
        <is>
          <t>IC1000</t>
        </is>
      </c>
      <c r="B756" t="inlineStr">
        <is>
          <t>NORDEX ENERGY SE &amp; CO KG</t>
        </is>
      </c>
      <c r="C756" t="n">
        <v>2122100000</v>
      </c>
      <c r="D756" t="inlineStr">
        <is>
          <t>Intercompany</t>
        </is>
      </c>
      <c r="E756" t="n">
        <v>5014625</v>
      </c>
      <c r="F756" t="inlineStr">
        <is>
          <t>4012340094</t>
        </is>
      </c>
      <c r="G756" t="inlineStr">
        <is>
          <t>RE</t>
        </is>
      </c>
      <c r="H756" s="12" t="n">
        <v>-438.76</v>
      </c>
      <c r="I756" s="17" t="n">
        <v>45103</v>
      </c>
      <c r="J756" s="17" t="n">
        <v>45133</v>
      </c>
      <c r="K756" t="inlineStr">
        <is>
          <t>0481/23</t>
        </is>
      </c>
    </row>
    <row r="757">
      <c r="A757" t="inlineStr">
        <is>
          <t>IC1000</t>
        </is>
      </c>
      <c r="B757" t="inlineStr">
        <is>
          <t>NORDEX ENERGY SE &amp; CO KG</t>
        </is>
      </c>
      <c r="C757" t="n">
        <v>2122100000</v>
      </c>
      <c r="D757" t="inlineStr">
        <is>
          <t>Intercompany</t>
        </is>
      </c>
      <c r="E757" t="n">
        <v>5014626</v>
      </c>
      <c r="F757" t="inlineStr">
        <is>
          <t>4012340084</t>
        </is>
      </c>
      <c r="G757" t="inlineStr">
        <is>
          <t>RE</t>
        </is>
      </c>
      <c r="H757" s="12" t="n">
        <v>-6322.79</v>
      </c>
      <c r="I757" s="17" t="n">
        <v>45103</v>
      </c>
      <c r="J757" s="17" t="n">
        <v>45133</v>
      </c>
      <c r="K757" t="inlineStr">
        <is>
          <t>0481/23</t>
        </is>
      </c>
    </row>
    <row r="758">
      <c r="A758" t="inlineStr">
        <is>
          <t>IC1000</t>
        </is>
      </c>
      <c r="B758" t="inlineStr">
        <is>
          <t>NORDEX ENERGY SE &amp; CO KG</t>
        </is>
      </c>
      <c r="C758" t="n">
        <v>2122100000</v>
      </c>
      <c r="D758" t="inlineStr">
        <is>
          <t>Intercompany</t>
        </is>
      </c>
      <c r="E758" t="n">
        <v>5014627</v>
      </c>
      <c r="F758" t="inlineStr">
        <is>
          <t>4012340095</t>
        </is>
      </c>
      <c r="G758" t="inlineStr">
        <is>
          <t>RE</t>
        </is>
      </c>
      <c r="H758" s="12" t="n">
        <v>-86323.52</v>
      </c>
      <c r="I758" s="17" t="n">
        <v>45103</v>
      </c>
      <c r="J758" s="17" t="n">
        <v>45133</v>
      </c>
      <c r="K758" t="inlineStr">
        <is>
          <t>0481/23</t>
        </is>
      </c>
    </row>
    <row r="759">
      <c r="A759" t="inlineStr">
        <is>
          <t>IC4420</t>
        </is>
      </c>
      <c r="B759" t="inlineStr">
        <is>
          <t>NORDEX ENERGY SPAIN S A U</t>
        </is>
      </c>
      <c r="C759" t="n">
        <v>2122100000</v>
      </c>
      <c r="D759" t="inlineStr">
        <is>
          <t>Intercompany</t>
        </is>
      </c>
      <c r="E759" t="n">
        <v>5014669</v>
      </c>
      <c r="F759" t="inlineStr">
        <is>
          <t>4026004937</t>
        </is>
      </c>
      <c r="G759" t="inlineStr">
        <is>
          <t>RE</t>
        </is>
      </c>
      <c r="H759" s="12" t="n">
        <v>-2120.38</v>
      </c>
      <c r="I759" s="17" t="n">
        <v>46203</v>
      </c>
      <c r="J759" s="17" t="n">
        <v>46233</v>
      </c>
      <c r="K759" t="inlineStr">
        <is>
          <t>0449/26</t>
        </is>
      </c>
    </row>
    <row r="760">
      <c r="A760" t="inlineStr">
        <is>
          <t>IC1000</t>
        </is>
      </c>
      <c r="B760" t="inlineStr">
        <is>
          <t>NORDEX ENERGY SE &amp; CO KG</t>
        </is>
      </c>
      <c r="C760" t="n">
        <v>2122100000</v>
      </c>
      <c r="D760" t="inlineStr">
        <is>
          <t>Intercompany</t>
        </is>
      </c>
      <c r="E760" t="n">
        <v>5014726</v>
      </c>
      <c r="F760" t="inlineStr">
        <is>
          <t>4012340097</t>
        </is>
      </c>
      <c r="G760" t="inlineStr">
        <is>
          <t>RE</t>
        </is>
      </c>
      <c r="H760" s="12" t="n">
        <v>-49040.59</v>
      </c>
      <c r="I760" s="17" t="n">
        <v>45103</v>
      </c>
      <c r="J760" s="17" t="n">
        <v>45133</v>
      </c>
      <c r="K760" t="inlineStr">
        <is>
          <t>0481/23</t>
        </is>
      </c>
    </row>
    <row r="761">
      <c r="A761" t="inlineStr">
        <is>
          <t>IC4420</t>
        </is>
      </c>
      <c r="B761" t="inlineStr">
        <is>
          <t>NORDEX ENERGY SPAIN S A U</t>
        </is>
      </c>
      <c r="C761" t="n">
        <v>2122100000</v>
      </c>
      <c r="D761" t="inlineStr">
        <is>
          <t>Intercompany</t>
        </is>
      </c>
      <c r="E761" t="n">
        <v>5014730</v>
      </c>
      <c r="F761" t="inlineStr">
        <is>
          <t>4026005324</t>
        </is>
      </c>
      <c r="G761" t="inlineStr">
        <is>
          <t>RE</t>
        </is>
      </c>
      <c r="H761" s="12" t="n">
        <v>-1696.41</v>
      </c>
      <c r="I761" s="17" t="n">
        <v>46223</v>
      </c>
      <c r="J761" s="17" t="n">
        <v>46253</v>
      </c>
      <c r="K761" t="inlineStr">
        <is>
          <t>0492/26</t>
        </is>
      </c>
    </row>
    <row r="762">
      <c r="A762" t="inlineStr">
        <is>
          <t>IC1000</t>
        </is>
      </c>
      <c r="B762" t="inlineStr">
        <is>
          <t>NORDEX ENERGY SE &amp; CO KG</t>
        </is>
      </c>
      <c r="C762" t="n">
        <v>2122100000</v>
      </c>
      <c r="D762" t="inlineStr">
        <is>
          <t>Intercompany</t>
        </is>
      </c>
      <c r="E762" t="n">
        <v>5014751</v>
      </c>
      <c r="F762" t="inlineStr">
        <is>
          <t>4012347244</t>
        </is>
      </c>
      <c r="G762" t="inlineStr">
        <is>
          <t>RE</t>
        </is>
      </c>
      <c r="H762" s="12" t="n">
        <v>-3630.94</v>
      </c>
      <c r="I762" s="17" t="n">
        <v>45161</v>
      </c>
      <c r="J762" s="17" t="n">
        <v>45191</v>
      </c>
      <c r="K762" t="inlineStr">
        <is>
          <t>0485/23</t>
        </is>
      </c>
    </row>
    <row r="763">
      <c r="A763" t="inlineStr">
        <is>
          <t>IC1000</t>
        </is>
      </c>
      <c r="B763" t="inlineStr">
        <is>
          <t>NORDEX ENERGY SE &amp; CO KG</t>
        </is>
      </c>
      <c r="C763" t="n">
        <v>2122100000</v>
      </c>
      <c r="D763" t="inlineStr">
        <is>
          <t>Intercompany</t>
        </is>
      </c>
      <c r="E763" t="n">
        <v>5014754</v>
      </c>
      <c r="F763" t="inlineStr">
        <is>
          <t>4012347163</t>
        </is>
      </c>
      <c r="G763" t="inlineStr">
        <is>
          <t>RE</t>
        </is>
      </c>
      <c r="H763" s="12" t="n">
        <v>-8855.1</v>
      </c>
      <c r="I763" s="17" t="n">
        <v>45161</v>
      </c>
      <c r="J763" s="17" t="n">
        <v>45191</v>
      </c>
      <c r="K763" t="inlineStr">
        <is>
          <t>0485/23</t>
        </is>
      </c>
    </row>
    <row r="764">
      <c r="A764" t="inlineStr">
        <is>
          <t>IC1000</t>
        </is>
      </c>
      <c r="B764" t="inlineStr">
        <is>
          <t>NORDEX ENERGY SE &amp; CO KG</t>
        </is>
      </c>
      <c r="C764" t="n">
        <v>2122100000</v>
      </c>
      <c r="D764" t="inlineStr">
        <is>
          <t>Intercompany</t>
        </is>
      </c>
      <c r="E764" t="n">
        <v>5014755</v>
      </c>
      <c r="F764" t="inlineStr">
        <is>
          <t>4012347246</t>
        </is>
      </c>
      <c r="G764" t="inlineStr">
        <is>
          <t>RE</t>
        </is>
      </c>
      <c r="H764" s="12" t="n">
        <v>-148062.57</v>
      </c>
      <c r="I764" s="17" t="n">
        <v>45161</v>
      </c>
      <c r="J764" s="17" t="n">
        <v>45191</v>
      </c>
      <c r="K764" t="inlineStr">
        <is>
          <t>0485/23</t>
        </is>
      </c>
    </row>
    <row r="765">
      <c r="A765" t="inlineStr">
        <is>
          <t>IC1000</t>
        </is>
      </c>
      <c r="B765" t="inlineStr">
        <is>
          <t>NORDEX ENERGY SE &amp; CO KG</t>
        </is>
      </c>
      <c r="C765" t="n">
        <v>2122100000</v>
      </c>
      <c r="D765" t="inlineStr">
        <is>
          <t>Intercompany</t>
        </is>
      </c>
      <c r="E765" t="n">
        <v>5014756</v>
      </c>
      <c r="F765" t="inlineStr">
        <is>
          <t>4012347245</t>
        </is>
      </c>
      <c r="G765" t="inlineStr">
        <is>
          <t>RE</t>
        </is>
      </c>
      <c r="H765" s="12" t="n">
        <v>-32572.61</v>
      </c>
      <c r="I765" s="17" t="n">
        <v>45161</v>
      </c>
      <c r="J765" s="17" t="n">
        <v>45191</v>
      </c>
      <c r="K765" t="inlineStr">
        <is>
          <t>0485/23</t>
        </is>
      </c>
    </row>
    <row r="766">
      <c r="A766" t="inlineStr">
        <is>
          <t>IC1000</t>
        </is>
      </c>
      <c r="B766" t="inlineStr">
        <is>
          <t>NORDEX ENERGY SE &amp; CO KG</t>
        </is>
      </c>
      <c r="C766" t="n">
        <v>2122100000</v>
      </c>
      <c r="D766" t="inlineStr">
        <is>
          <t>Intercompany</t>
        </is>
      </c>
      <c r="E766" t="n">
        <v>5014759</v>
      </c>
      <c r="F766" t="inlineStr">
        <is>
          <t>4012347162</t>
        </is>
      </c>
      <c r="G766" t="inlineStr">
        <is>
          <t>RE</t>
        </is>
      </c>
      <c r="H766" s="12" t="n">
        <v>-17755.03</v>
      </c>
      <c r="I766" s="17" t="n">
        <v>45161</v>
      </c>
      <c r="J766" s="17" t="n">
        <v>45191</v>
      </c>
      <c r="K766" t="inlineStr">
        <is>
          <t>0485/23</t>
        </is>
      </c>
    </row>
    <row r="767">
      <c r="A767" t="inlineStr">
        <is>
          <t>IC1000</t>
        </is>
      </c>
      <c r="B767" t="inlineStr">
        <is>
          <t>NORDEX ENERGY SE &amp; CO KG</t>
        </is>
      </c>
      <c r="C767" t="n">
        <v>2122100000</v>
      </c>
      <c r="D767" t="inlineStr">
        <is>
          <t>Intercompany</t>
        </is>
      </c>
      <c r="E767" t="n">
        <v>5014760</v>
      </c>
      <c r="F767" t="inlineStr">
        <is>
          <t>4012347161</t>
        </is>
      </c>
      <c r="G767" t="inlineStr">
        <is>
          <t>RE</t>
        </is>
      </c>
      <c r="H767" s="12" t="n">
        <v>-58544.63</v>
      </c>
      <c r="I767" s="17" t="n">
        <v>45161</v>
      </c>
      <c r="J767" s="17" t="n">
        <v>45191</v>
      </c>
      <c r="K767" t="inlineStr">
        <is>
          <t>0485/23</t>
        </is>
      </c>
    </row>
    <row r="768">
      <c r="A768" t="inlineStr">
        <is>
          <t>IC4420</t>
        </is>
      </c>
      <c r="B768" t="inlineStr">
        <is>
          <t>NORDEX ENERGY SPAIN S A U</t>
        </is>
      </c>
      <c r="C768" t="n">
        <v>2122100000</v>
      </c>
      <c r="D768" t="inlineStr">
        <is>
          <t>Intercompany</t>
        </is>
      </c>
      <c r="E768" t="n">
        <v>5014767</v>
      </c>
      <c r="F768" t="inlineStr">
        <is>
          <t>4026003282</t>
        </is>
      </c>
      <c r="G768" t="inlineStr">
        <is>
          <t>RE</t>
        </is>
      </c>
      <c r="H768" s="12" t="n">
        <v>-19136.08</v>
      </c>
      <c r="I768" s="17" t="n">
        <v>46153</v>
      </c>
      <c r="J768" s="17" t="n">
        <v>46183</v>
      </c>
      <c r="K768" t="inlineStr">
        <is>
          <t>0329/26</t>
        </is>
      </c>
    </row>
    <row r="769">
      <c r="A769" t="inlineStr">
        <is>
          <t>IC4420</t>
        </is>
      </c>
      <c r="B769" t="inlineStr">
        <is>
          <t>NORDEX ENERGY SPAIN S A U</t>
        </is>
      </c>
      <c r="C769" t="n">
        <v>2122100000</v>
      </c>
      <c r="D769" t="inlineStr">
        <is>
          <t>Intercompany</t>
        </is>
      </c>
      <c r="E769" t="n">
        <v>5014768</v>
      </c>
      <c r="F769" t="inlineStr">
        <is>
          <t>4026002164</t>
        </is>
      </c>
      <c r="G769" t="inlineStr">
        <is>
          <t>RE</t>
        </is>
      </c>
      <c r="H769" s="12" t="n">
        <v>-2861.11</v>
      </c>
      <c r="I769" s="17" t="n">
        <v>46108</v>
      </c>
      <c r="J769" s="17" t="n">
        <v>46138</v>
      </c>
      <c r="K769" t="inlineStr">
        <is>
          <t>0229/26</t>
        </is>
      </c>
    </row>
    <row r="770">
      <c r="A770" t="inlineStr">
        <is>
          <t>IC4420</t>
        </is>
      </c>
      <c r="B770" t="inlineStr">
        <is>
          <t>NORDEX ENERGY SPAIN S A U</t>
        </is>
      </c>
      <c r="C770" t="n">
        <v>2122100000</v>
      </c>
      <c r="D770" t="inlineStr">
        <is>
          <t>Intercompany</t>
        </is>
      </c>
      <c r="E770" t="n">
        <v>5014769</v>
      </c>
      <c r="F770" t="inlineStr">
        <is>
          <t>4026005296</t>
        </is>
      </c>
      <c r="G770" t="inlineStr">
        <is>
          <t>RE</t>
        </is>
      </c>
      <c r="H770" s="12" t="n">
        <v>-12642.15</v>
      </c>
      <c r="I770" s="17" t="n">
        <v>46219</v>
      </c>
      <c r="J770" s="17" t="n">
        <v>46249</v>
      </c>
      <c r="K770" t="inlineStr">
        <is>
          <t>0478/26</t>
        </is>
      </c>
    </row>
    <row r="771">
      <c r="A771" t="inlineStr">
        <is>
          <t>IC4420</t>
        </is>
      </c>
      <c r="B771" t="inlineStr">
        <is>
          <t>NORDEX ENERGY SPAIN S A U</t>
        </is>
      </c>
      <c r="C771" t="n">
        <v>2122100000</v>
      </c>
      <c r="D771" t="inlineStr">
        <is>
          <t>Intercompany</t>
        </is>
      </c>
      <c r="E771" t="n">
        <v>5014775</v>
      </c>
      <c r="F771" t="inlineStr">
        <is>
          <t>4026002172</t>
        </is>
      </c>
      <c r="G771" t="inlineStr">
        <is>
          <t>RE</t>
        </is>
      </c>
      <c r="H771" s="12" t="n">
        <v>-692477.28</v>
      </c>
      <c r="I771" s="17" t="n">
        <v>46108</v>
      </c>
      <c r="J771" s="17" t="n">
        <v>46138</v>
      </c>
      <c r="K771" t="inlineStr">
        <is>
          <t>0235/26</t>
        </is>
      </c>
    </row>
    <row r="772">
      <c r="A772" t="inlineStr">
        <is>
          <t>IC4420</t>
        </is>
      </c>
      <c r="B772" t="inlineStr">
        <is>
          <t>NORDEX ENERGY SPAIN S A U</t>
        </is>
      </c>
      <c r="C772" t="n">
        <v>2122100000</v>
      </c>
      <c r="D772" t="inlineStr">
        <is>
          <t>Intercompany</t>
        </is>
      </c>
      <c r="E772" t="n">
        <v>5014784</v>
      </c>
      <c r="F772" t="inlineStr">
        <is>
          <t>4026003286</t>
        </is>
      </c>
      <c r="G772" t="inlineStr">
        <is>
          <t>RE</t>
        </is>
      </c>
      <c r="H772" s="12" t="n">
        <v>-28407.92</v>
      </c>
      <c r="I772" s="17" t="n">
        <v>46153</v>
      </c>
      <c r="J772" s="17" t="n">
        <v>46183</v>
      </c>
      <c r="K772" t="inlineStr">
        <is>
          <t>0333/26</t>
        </is>
      </c>
    </row>
    <row r="773">
      <c r="A773" t="inlineStr">
        <is>
          <t>IC4420</t>
        </is>
      </c>
      <c r="B773" t="inlineStr">
        <is>
          <t>NORDEX ENERGY SPAIN S A U</t>
        </is>
      </c>
      <c r="C773" t="n">
        <v>2122100000</v>
      </c>
      <c r="D773" t="inlineStr">
        <is>
          <t>Intercompany</t>
        </is>
      </c>
      <c r="E773" t="n">
        <v>5014785</v>
      </c>
      <c r="F773" t="inlineStr">
        <is>
          <t>4026002158</t>
        </is>
      </c>
      <c r="G773" t="inlineStr">
        <is>
          <t>RE</t>
        </is>
      </c>
      <c r="H773" s="12" t="n">
        <v>-21701.3</v>
      </c>
      <c r="I773" s="17" t="n">
        <v>46108</v>
      </c>
      <c r="J773" s="17" t="n">
        <v>46138</v>
      </c>
      <c r="K773" t="inlineStr">
        <is>
          <t>0225/26</t>
        </is>
      </c>
    </row>
    <row r="774">
      <c r="A774" t="inlineStr">
        <is>
          <t>IC1000</t>
        </is>
      </c>
      <c r="B774" t="inlineStr">
        <is>
          <t>NORDEX ENERGY SE &amp; CO KG</t>
        </is>
      </c>
      <c r="C774" t="n">
        <v>2122100000</v>
      </c>
      <c r="D774" t="inlineStr">
        <is>
          <t>Intercompany</t>
        </is>
      </c>
      <c r="E774" t="n">
        <v>5014786</v>
      </c>
      <c r="F774" t="inlineStr">
        <is>
          <t>4012340096</t>
        </is>
      </c>
      <c r="G774" t="inlineStr">
        <is>
          <t>RE</t>
        </is>
      </c>
      <c r="H774" s="12" t="n">
        <v>-122247.86</v>
      </c>
      <c r="I774" s="17" t="n">
        <v>45103</v>
      </c>
      <c r="J774" s="17" t="n">
        <v>45133</v>
      </c>
      <c r="K774" t="inlineStr">
        <is>
          <t>0481/23</t>
        </is>
      </c>
    </row>
    <row r="775">
      <c r="A775" t="inlineStr">
        <is>
          <t>IC4420</t>
        </is>
      </c>
      <c r="B775" t="inlineStr">
        <is>
          <t>NORDEX ENERGY SPAIN S A U</t>
        </is>
      </c>
      <c r="C775" t="n">
        <v>2122100000</v>
      </c>
      <c r="D775" t="inlineStr">
        <is>
          <t>Intercompany</t>
        </is>
      </c>
      <c r="E775" t="n">
        <v>5014786</v>
      </c>
      <c r="F775" t="inlineStr">
        <is>
          <t>4026004880</t>
        </is>
      </c>
      <c r="G775" t="inlineStr">
        <is>
          <t>RE</t>
        </is>
      </c>
      <c r="H775" s="12" t="n">
        <v>-25628.4</v>
      </c>
      <c r="I775" s="17" t="n">
        <v>46199</v>
      </c>
      <c r="J775" s="17" t="n">
        <v>46229</v>
      </c>
      <c r="K775" t="inlineStr">
        <is>
          <t>0445/26</t>
        </is>
      </c>
    </row>
    <row r="776">
      <c r="A776" t="inlineStr">
        <is>
          <t>IC1000</t>
        </is>
      </c>
      <c r="B776" t="inlineStr">
        <is>
          <t>NORDEX ENERGY SE &amp; CO KG</t>
        </is>
      </c>
      <c r="C776" t="n">
        <v>2122100000</v>
      </c>
      <c r="D776" t="inlineStr">
        <is>
          <t>Intercompany</t>
        </is>
      </c>
      <c r="E776" t="n">
        <v>5014809</v>
      </c>
      <c r="F776" t="inlineStr">
        <is>
          <t>4012341082</t>
        </is>
      </c>
      <c r="G776" t="inlineStr">
        <is>
          <t>RE</t>
        </is>
      </c>
      <c r="H776" s="12" t="n">
        <v>-83292.42999999999</v>
      </c>
      <c r="I776" s="17" t="n">
        <v>45110</v>
      </c>
      <c r="J776" s="17" t="n">
        <v>45140</v>
      </c>
      <c r="K776" t="inlineStr">
        <is>
          <t>0484/23</t>
        </is>
      </c>
    </row>
    <row r="777">
      <c r="A777" t="inlineStr">
        <is>
          <t>IC1000</t>
        </is>
      </c>
      <c r="B777" t="inlineStr">
        <is>
          <t>NORDEX ENERGY SE &amp; CO KG</t>
        </is>
      </c>
      <c r="C777" t="n">
        <v>2122100000</v>
      </c>
      <c r="D777" t="inlineStr">
        <is>
          <t>Intercompany</t>
        </is>
      </c>
      <c r="E777" t="n">
        <v>5014851</v>
      </c>
      <c r="F777" t="inlineStr">
        <is>
          <t>4012340078</t>
        </is>
      </c>
      <c r="G777" t="inlineStr">
        <is>
          <t>RE</t>
        </is>
      </c>
      <c r="H777" s="12" t="n">
        <v>-91014.10000000001</v>
      </c>
      <c r="I777" s="17" t="n">
        <v>45103</v>
      </c>
      <c r="J777" s="17" t="n">
        <v>45133</v>
      </c>
      <c r="K777" t="inlineStr">
        <is>
          <t>0465/23</t>
        </is>
      </c>
    </row>
    <row r="778">
      <c r="A778" t="inlineStr">
        <is>
          <t>IC1000</t>
        </is>
      </c>
      <c r="B778" t="inlineStr">
        <is>
          <t>NORDEX ENERGY SE &amp; CO KG</t>
        </is>
      </c>
      <c r="C778" t="n">
        <v>2122100000</v>
      </c>
      <c r="D778" t="inlineStr">
        <is>
          <t>Intercompany</t>
        </is>
      </c>
      <c r="E778" t="n">
        <v>5014920</v>
      </c>
      <c r="F778" t="inlineStr">
        <is>
          <t>4012345717</t>
        </is>
      </c>
      <c r="G778" t="inlineStr">
        <is>
          <t>RE</t>
        </is>
      </c>
      <c r="H778" s="12" t="n">
        <v>-662.05</v>
      </c>
      <c r="I778" s="17" t="n">
        <v>45146</v>
      </c>
      <c r="J778" s="17" t="n">
        <v>45176</v>
      </c>
      <c r="K778" t="inlineStr">
        <is>
          <t>0490/23</t>
        </is>
      </c>
    </row>
    <row r="779">
      <c r="A779" t="inlineStr">
        <is>
          <t>IC1000</t>
        </is>
      </c>
      <c r="B779" t="inlineStr">
        <is>
          <t>NORDEX ENERGY SE &amp; CO KG</t>
        </is>
      </c>
      <c r="C779" t="n">
        <v>2122100000</v>
      </c>
      <c r="D779" t="inlineStr">
        <is>
          <t>Intercompany</t>
        </is>
      </c>
      <c r="E779" t="n">
        <v>5014921</v>
      </c>
      <c r="F779" t="inlineStr">
        <is>
          <t>4012345719</t>
        </is>
      </c>
      <c r="G779" t="inlineStr">
        <is>
          <t>RE</t>
        </is>
      </c>
      <c r="H779" s="12" t="n">
        <v>-37440.51</v>
      </c>
      <c r="I779" s="17" t="n">
        <v>45146</v>
      </c>
      <c r="J779" s="17" t="n">
        <v>45176</v>
      </c>
      <c r="K779" t="inlineStr">
        <is>
          <t>0490/23</t>
        </is>
      </c>
    </row>
    <row r="780">
      <c r="A780" t="inlineStr">
        <is>
          <t>IC1000</t>
        </is>
      </c>
      <c r="B780" t="inlineStr">
        <is>
          <t>NORDEX ENERGY SE &amp; CO KG</t>
        </is>
      </c>
      <c r="C780" t="n">
        <v>2122100000</v>
      </c>
      <c r="D780" t="inlineStr">
        <is>
          <t>Intercompany</t>
        </is>
      </c>
      <c r="E780" t="n">
        <v>5014922</v>
      </c>
      <c r="F780" t="inlineStr">
        <is>
          <t>4012345720</t>
        </is>
      </c>
      <c r="G780" t="inlineStr">
        <is>
          <t>RE</t>
        </is>
      </c>
      <c r="H780" s="12" t="n">
        <v>-103713.39</v>
      </c>
      <c r="I780" s="17" t="n">
        <v>45146</v>
      </c>
      <c r="J780" s="17" t="n">
        <v>45176</v>
      </c>
      <c r="K780" t="inlineStr">
        <is>
          <t>0490/23</t>
        </is>
      </c>
    </row>
    <row r="781">
      <c r="A781" t="inlineStr">
        <is>
          <t>IC1000</t>
        </is>
      </c>
      <c r="B781" t="inlineStr">
        <is>
          <t>NORDEX ENERGY SE &amp; CO KG</t>
        </is>
      </c>
      <c r="C781" t="n">
        <v>2122100000</v>
      </c>
      <c r="D781" t="inlineStr">
        <is>
          <t>Intercompany</t>
        </is>
      </c>
      <c r="E781" t="n">
        <v>5014924</v>
      </c>
      <c r="F781" t="inlineStr">
        <is>
          <t>4012344031</t>
        </is>
      </c>
      <c r="G781" t="inlineStr">
        <is>
          <t>RE</t>
        </is>
      </c>
      <c r="H781" s="12" t="n">
        <v>-69720.49000000001</v>
      </c>
      <c r="I781" s="17" t="n">
        <v>45128</v>
      </c>
      <c r="J781" s="17" t="n">
        <v>45158</v>
      </c>
      <c r="K781" t="inlineStr">
        <is>
          <t>0487/23</t>
        </is>
      </c>
    </row>
    <row r="782">
      <c r="A782" t="inlineStr">
        <is>
          <t>IC1000</t>
        </is>
      </c>
      <c r="B782" t="inlineStr">
        <is>
          <t>NORDEX ENERGY SE &amp; CO KG</t>
        </is>
      </c>
      <c r="C782" t="n">
        <v>2122100000</v>
      </c>
      <c r="D782" t="inlineStr">
        <is>
          <t>Intercompany</t>
        </is>
      </c>
      <c r="E782" t="n">
        <v>5014925</v>
      </c>
      <c r="F782" t="inlineStr">
        <is>
          <t>4012344166</t>
        </is>
      </c>
      <c r="G782" t="inlineStr">
        <is>
          <t>RE</t>
        </is>
      </c>
      <c r="H782" s="12" t="n">
        <v>-360779.9</v>
      </c>
      <c r="I782" s="17" t="n">
        <v>45131</v>
      </c>
      <c r="J782" s="17" t="n">
        <v>45161</v>
      </c>
      <c r="K782" t="inlineStr">
        <is>
          <t>0487/23</t>
        </is>
      </c>
    </row>
    <row r="783">
      <c r="A783" t="inlineStr">
        <is>
          <t>IC1000</t>
        </is>
      </c>
      <c r="B783" t="inlineStr">
        <is>
          <t>NORDEX ENERGY SE &amp; CO KG</t>
        </is>
      </c>
      <c r="C783" t="n">
        <v>2122100000</v>
      </c>
      <c r="D783" t="inlineStr">
        <is>
          <t>Intercompany</t>
        </is>
      </c>
      <c r="E783" t="n">
        <v>5014926</v>
      </c>
      <c r="F783" t="inlineStr">
        <is>
          <t>4012345893</t>
        </is>
      </c>
      <c r="G783" t="inlineStr">
        <is>
          <t>RE</t>
        </is>
      </c>
      <c r="H783" s="12" t="n">
        <v>-423605.19</v>
      </c>
      <c r="I783" s="17" t="n">
        <v>45146</v>
      </c>
      <c r="J783" s="17" t="n">
        <v>45176</v>
      </c>
      <c r="K783" t="inlineStr">
        <is>
          <t>0490/23</t>
        </is>
      </c>
    </row>
    <row r="784">
      <c r="A784" t="inlineStr">
        <is>
          <t>IC1000</t>
        </is>
      </c>
      <c r="B784" t="inlineStr">
        <is>
          <t>NORDEX ENERGY SE &amp; CO KG</t>
        </is>
      </c>
      <c r="C784" t="n">
        <v>2122100000</v>
      </c>
      <c r="D784" t="inlineStr">
        <is>
          <t>Intercompany</t>
        </is>
      </c>
      <c r="E784" t="n">
        <v>5014930</v>
      </c>
      <c r="F784" t="inlineStr">
        <is>
          <t>4012345716</t>
        </is>
      </c>
      <c r="G784" t="inlineStr">
        <is>
          <t>RE</t>
        </is>
      </c>
      <c r="H784" s="12" t="n">
        <v>-268700.74</v>
      </c>
      <c r="I784" s="17" t="n">
        <v>45146</v>
      </c>
      <c r="J784" s="17" t="n">
        <v>45176</v>
      </c>
      <c r="K784" t="inlineStr">
        <is>
          <t>0490/23</t>
        </is>
      </c>
    </row>
    <row r="785">
      <c r="A785" t="inlineStr">
        <is>
          <t>IC1000</t>
        </is>
      </c>
      <c r="B785" t="inlineStr">
        <is>
          <t>NORDEX ENERGY SE &amp; CO KG</t>
        </is>
      </c>
      <c r="C785" t="n">
        <v>2122100000</v>
      </c>
      <c r="D785" t="inlineStr">
        <is>
          <t>Intercompany</t>
        </is>
      </c>
      <c r="E785" t="n">
        <v>5014968</v>
      </c>
      <c r="F785" t="inlineStr">
        <is>
          <t>4012340080</t>
        </is>
      </c>
      <c r="G785" t="inlineStr">
        <is>
          <t>RE</t>
        </is>
      </c>
      <c r="H785" s="12" t="n">
        <v>-55803.43</v>
      </c>
      <c r="I785" s="17" t="n">
        <v>45103</v>
      </c>
      <c r="J785" s="17" t="n">
        <v>45133</v>
      </c>
      <c r="K785" t="inlineStr">
        <is>
          <t>0465/23</t>
        </is>
      </c>
    </row>
    <row r="786">
      <c r="A786" t="inlineStr">
        <is>
          <t>IC1000</t>
        </is>
      </c>
      <c r="B786" t="inlineStr">
        <is>
          <t>NORDEX ENERGY SE &amp; CO KG</t>
        </is>
      </c>
      <c r="C786" t="n">
        <v>2122100000</v>
      </c>
      <c r="D786" t="inlineStr">
        <is>
          <t>Intercompany</t>
        </is>
      </c>
      <c r="E786" t="n">
        <v>5015000</v>
      </c>
      <c r="F786" t="inlineStr">
        <is>
          <t>4012340075</t>
        </is>
      </c>
      <c r="G786" t="inlineStr">
        <is>
          <t>RE</t>
        </is>
      </c>
      <c r="H786" s="12" t="n">
        <v>-123804.27</v>
      </c>
      <c r="I786" s="17" t="n">
        <v>45103</v>
      </c>
      <c r="J786" s="17" t="n">
        <v>45133</v>
      </c>
      <c r="K786" t="inlineStr">
        <is>
          <t>0465/23</t>
        </is>
      </c>
    </row>
    <row r="787">
      <c r="A787" t="inlineStr">
        <is>
          <t>IC4420</t>
        </is>
      </c>
      <c r="B787" t="inlineStr">
        <is>
          <t>NORDEX ENERGY SPAIN S A U</t>
        </is>
      </c>
      <c r="C787" t="n">
        <v>2122100000</v>
      </c>
      <c r="D787" t="inlineStr">
        <is>
          <t>Intercompany</t>
        </is>
      </c>
      <c r="E787" t="n">
        <v>5015001</v>
      </c>
      <c r="F787" t="inlineStr">
        <is>
          <t>4026005293</t>
        </is>
      </c>
      <c r="G787" t="inlineStr">
        <is>
          <t>RE</t>
        </is>
      </c>
      <c r="H787" s="12" t="n">
        <v>-4569.5</v>
      </c>
      <c r="I787" s="17" t="n">
        <v>46219</v>
      </c>
      <c r="J787" s="17" t="n">
        <v>46249</v>
      </c>
      <c r="K787" t="inlineStr">
        <is>
          <t>0481/26</t>
        </is>
      </c>
    </row>
    <row r="788">
      <c r="A788" t="inlineStr">
        <is>
          <t>IC4420</t>
        </is>
      </c>
      <c r="B788" t="inlineStr">
        <is>
          <t>NORDEX ENERGY SPAIN S A U</t>
        </is>
      </c>
      <c r="C788" t="n">
        <v>2122100000</v>
      </c>
      <c r="D788" t="inlineStr">
        <is>
          <t>Intercompany</t>
        </is>
      </c>
      <c r="E788" t="n">
        <v>5015002</v>
      </c>
      <c r="F788" t="inlineStr">
        <is>
          <t>4026002170</t>
        </is>
      </c>
      <c r="G788" t="inlineStr">
        <is>
          <t>RE</t>
        </is>
      </c>
      <c r="H788" s="12" t="n">
        <v>-133337.32</v>
      </c>
      <c r="I788" s="17" t="n">
        <v>46108</v>
      </c>
      <c r="J788" s="17" t="n">
        <v>46138</v>
      </c>
      <c r="K788" t="inlineStr">
        <is>
          <t>0236/26</t>
        </is>
      </c>
    </row>
    <row r="789">
      <c r="A789" t="inlineStr">
        <is>
          <t>IC4420</t>
        </is>
      </c>
      <c r="B789" t="inlineStr">
        <is>
          <t>NORDEX ENERGY SPAIN S A U</t>
        </is>
      </c>
      <c r="C789" t="n">
        <v>2122100000</v>
      </c>
      <c r="D789" t="inlineStr">
        <is>
          <t>Intercompany</t>
        </is>
      </c>
      <c r="E789" t="n">
        <v>5015003</v>
      </c>
      <c r="F789" t="inlineStr">
        <is>
          <t>4026003292</t>
        </is>
      </c>
      <c r="G789" t="inlineStr">
        <is>
          <t>RE</t>
        </is>
      </c>
      <c r="H789" s="12" t="n">
        <v>-28584.39</v>
      </c>
      <c r="I789" s="17" t="n">
        <v>46153</v>
      </c>
      <c r="J789" s="17" t="n">
        <v>46183</v>
      </c>
      <c r="K789" t="inlineStr">
        <is>
          <t>0338/26</t>
        </is>
      </c>
    </row>
    <row r="790">
      <c r="A790" t="inlineStr">
        <is>
          <t>IC1000</t>
        </is>
      </c>
      <c r="B790" t="inlineStr">
        <is>
          <t>NORDEX ENERGY SE &amp; CO KG</t>
        </is>
      </c>
      <c r="C790" t="n">
        <v>2122100000</v>
      </c>
      <c r="D790" t="inlineStr">
        <is>
          <t>Intercompany</t>
        </is>
      </c>
      <c r="E790" t="n">
        <v>5015007</v>
      </c>
      <c r="F790" t="inlineStr">
        <is>
          <t>4012341083</t>
        </is>
      </c>
      <c r="G790" t="inlineStr">
        <is>
          <t>RE</t>
        </is>
      </c>
      <c r="H790" s="12" t="n">
        <v>-130547.82</v>
      </c>
      <c r="I790" s="17" t="n">
        <v>45110</v>
      </c>
      <c r="J790" s="17" t="n">
        <v>45140</v>
      </c>
      <c r="K790" t="inlineStr">
        <is>
          <t>0484/23</t>
        </is>
      </c>
    </row>
    <row r="791">
      <c r="A791" t="inlineStr">
        <is>
          <t>IC4420</t>
        </is>
      </c>
      <c r="B791" t="inlineStr">
        <is>
          <t>NORDEX ENERGY SPAIN S A U</t>
        </is>
      </c>
      <c r="C791" t="n">
        <v>2122100000</v>
      </c>
      <c r="D791" t="inlineStr">
        <is>
          <t>Intercompany</t>
        </is>
      </c>
      <c r="E791" t="n">
        <v>5015007</v>
      </c>
      <c r="F791" t="inlineStr">
        <is>
          <t>4026005294</t>
        </is>
      </c>
      <c r="G791" t="inlineStr">
        <is>
          <t>RE</t>
        </is>
      </c>
      <c r="H791" s="12" t="n">
        <v>-16583.9</v>
      </c>
      <c r="I791" s="17" t="n">
        <v>46219</v>
      </c>
      <c r="J791" s="17" t="n">
        <v>46249</v>
      </c>
      <c r="K791" t="inlineStr">
        <is>
          <t>0494/26</t>
        </is>
      </c>
    </row>
    <row r="792">
      <c r="A792" t="inlineStr">
        <is>
          <t>IC1000</t>
        </is>
      </c>
      <c r="B792" t="inlineStr">
        <is>
          <t>NORDEX ENERGY SE &amp; CO KG</t>
        </is>
      </c>
      <c r="C792" t="n">
        <v>2122100000</v>
      </c>
      <c r="D792" t="inlineStr">
        <is>
          <t>Intercompany</t>
        </is>
      </c>
      <c r="E792" t="n">
        <v>5015009</v>
      </c>
      <c r="F792" t="inlineStr">
        <is>
          <t>4012341081</t>
        </is>
      </c>
      <c r="G792" t="inlineStr">
        <is>
          <t>RE</t>
        </is>
      </c>
      <c r="H792" s="12" t="n">
        <v>-54940.9</v>
      </c>
      <c r="I792" s="17" t="n">
        <v>45110</v>
      </c>
      <c r="J792" s="17" t="n">
        <v>45140</v>
      </c>
      <c r="K792" t="inlineStr">
        <is>
          <t>0484/23</t>
        </is>
      </c>
    </row>
    <row r="793">
      <c r="A793" t="inlineStr">
        <is>
          <t>IC4420</t>
        </is>
      </c>
      <c r="B793" t="inlineStr">
        <is>
          <t>NORDEX ENERGY SPAIN S A U</t>
        </is>
      </c>
      <c r="C793" t="n">
        <v>2122100000</v>
      </c>
      <c r="D793" t="inlineStr">
        <is>
          <t>Intercompany</t>
        </is>
      </c>
      <c r="E793" t="n">
        <v>5015014</v>
      </c>
      <c r="F793" t="inlineStr">
        <is>
          <t>4026005473</t>
        </is>
      </c>
      <c r="G793" t="inlineStr">
        <is>
          <t>RE</t>
        </is>
      </c>
      <c r="H793" s="12" t="n">
        <v>-11322.96</v>
      </c>
      <c r="I793" s="17" t="n">
        <v>46227</v>
      </c>
      <c r="J793" s="17" t="n">
        <v>46257</v>
      </c>
      <c r="K793" t="inlineStr">
        <is>
          <t>0495/26</t>
        </is>
      </c>
    </row>
    <row r="794">
      <c r="A794" t="inlineStr">
        <is>
          <t>IC1000</t>
        </is>
      </c>
      <c r="B794" t="inlineStr">
        <is>
          <t>NORDEX ENERGY SE &amp; CO KG</t>
        </is>
      </c>
      <c r="C794" t="n">
        <v>2122100000</v>
      </c>
      <c r="D794" t="inlineStr">
        <is>
          <t>Intercompany</t>
        </is>
      </c>
      <c r="E794" t="n">
        <v>5015024</v>
      </c>
      <c r="F794" t="inlineStr">
        <is>
          <t>334829</t>
        </is>
      </c>
      <c r="G794" t="inlineStr">
        <is>
          <t>RE</t>
        </is>
      </c>
      <c r="H794" s="12" t="n">
        <v>-65478.96</v>
      </c>
      <c r="I794" s="17" t="n">
        <v>45733</v>
      </c>
      <c r="J794" s="17" t="n">
        <v>45763</v>
      </c>
      <c r="K794" t="inlineStr">
        <is>
          <t>0258/25</t>
        </is>
      </c>
    </row>
    <row r="795">
      <c r="A795" t="inlineStr">
        <is>
          <t>IC4420</t>
        </is>
      </c>
      <c r="B795" t="inlineStr">
        <is>
          <t>NORDEX ENERGY SPAIN S A U</t>
        </is>
      </c>
      <c r="C795" t="n">
        <v>2122100000</v>
      </c>
      <c r="D795" t="inlineStr">
        <is>
          <t>Intercompany</t>
        </is>
      </c>
      <c r="E795" t="n">
        <v>5015078</v>
      </c>
      <c r="F795" t="inlineStr">
        <is>
          <t>4026004951</t>
        </is>
      </c>
      <c r="G795" t="inlineStr">
        <is>
          <t>RE</t>
        </is>
      </c>
      <c r="H795" s="12" t="n">
        <v>-630.9299999999999</v>
      </c>
      <c r="I795" s="17" t="n">
        <v>46204</v>
      </c>
      <c r="J795" s="17" t="n">
        <v>46234</v>
      </c>
      <c r="K795" t="inlineStr">
        <is>
          <t>0471/26</t>
        </is>
      </c>
    </row>
    <row r="796">
      <c r="A796" t="inlineStr">
        <is>
          <t>IC4420</t>
        </is>
      </c>
      <c r="B796" t="inlineStr">
        <is>
          <t>NORDEX ENERGY SPAIN S A U</t>
        </is>
      </c>
      <c r="C796" t="n">
        <v>2122100000</v>
      </c>
      <c r="D796" t="inlineStr">
        <is>
          <t>Intercompany</t>
        </is>
      </c>
      <c r="E796" t="n">
        <v>5015079</v>
      </c>
      <c r="F796" t="inlineStr">
        <is>
          <t>4026005268</t>
        </is>
      </c>
      <c r="G796" t="inlineStr">
        <is>
          <t>RE</t>
        </is>
      </c>
      <c r="H796" s="12" t="n">
        <v>-7241</v>
      </c>
      <c r="I796" s="17" t="n">
        <v>46218</v>
      </c>
      <c r="J796" s="17" t="n">
        <v>46248</v>
      </c>
      <c r="K796" t="inlineStr">
        <is>
          <t>0477/26</t>
        </is>
      </c>
    </row>
    <row r="797">
      <c r="A797" t="inlineStr">
        <is>
          <t>IC4420</t>
        </is>
      </c>
      <c r="B797" t="inlineStr">
        <is>
          <t>NORDEX ENERGY SPAIN S A U</t>
        </is>
      </c>
      <c r="C797" t="n">
        <v>2122100000</v>
      </c>
      <c r="D797" t="inlineStr">
        <is>
          <t>Intercompany</t>
        </is>
      </c>
      <c r="E797" t="n">
        <v>5015080</v>
      </c>
      <c r="F797" t="inlineStr">
        <is>
          <t>4026005269</t>
        </is>
      </c>
      <c r="G797" t="inlineStr">
        <is>
          <t>RE</t>
        </is>
      </c>
      <c r="H797" s="12" t="n">
        <v>-2551.78</v>
      </c>
      <c r="I797" s="17" t="n">
        <v>46218</v>
      </c>
      <c r="J797" s="17" t="n">
        <v>46248</v>
      </c>
      <c r="K797" t="inlineStr">
        <is>
          <t>0475/26</t>
        </is>
      </c>
    </row>
    <row r="798">
      <c r="A798" t="inlineStr">
        <is>
          <t>IC4420</t>
        </is>
      </c>
      <c r="B798" t="inlineStr">
        <is>
          <t>NORDEX ENERGY SPAIN S A U</t>
        </is>
      </c>
      <c r="C798" t="n">
        <v>2122100000</v>
      </c>
      <c r="D798" t="inlineStr">
        <is>
          <t>Intercompany</t>
        </is>
      </c>
      <c r="E798" t="n">
        <v>5015089</v>
      </c>
      <c r="F798" t="inlineStr">
        <is>
          <t>4026005295</t>
        </is>
      </c>
      <c r="G798" t="inlineStr">
        <is>
          <t>RE</t>
        </is>
      </c>
      <c r="H798" s="12" t="n">
        <v>-4358.91</v>
      </c>
      <c r="I798" s="17" t="n">
        <v>46219</v>
      </c>
      <c r="J798" s="17" t="n">
        <v>46249</v>
      </c>
      <c r="K798" t="inlineStr">
        <is>
          <t>0493/26</t>
        </is>
      </c>
    </row>
    <row r="799">
      <c r="A799" t="inlineStr">
        <is>
          <t>IC4420</t>
        </is>
      </c>
      <c r="B799" t="inlineStr">
        <is>
          <t>NORDEX ENERGY SPAIN S A U</t>
        </is>
      </c>
      <c r="C799" t="n">
        <v>2122100000</v>
      </c>
      <c r="D799" t="inlineStr">
        <is>
          <t>Intercompany</t>
        </is>
      </c>
      <c r="E799" t="n">
        <v>5015090</v>
      </c>
      <c r="F799" t="inlineStr">
        <is>
          <t>4026003296</t>
        </is>
      </c>
      <c r="G799" t="inlineStr">
        <is>
          <t>RE</t>
        </is>
      </c>
      <c r="H799" s="12" t="n">
        <v>-381799.37</v>
      </c>
      <c r="I799" s="17" t="n">
        <v>46153</v>
      </c>
      <c r="J799" s="17" t="n">
        <v>46183</v>
      </c>
      <c r="K799" t="inlineStr">
        <is>
          <t>0342/26</t>
        </is>
      </c>
    </row>
    <row r="800">
      <c r="A800" t="inlineStr">
        <is>
          <t>IC1000</t>
        </is>
      </c>
      <c r="B800" t="inlineStr">
        <is>
          <t>NORDEX ENERGY SE &amp; CO KG</t>
        </is>
      </c>
      <c r="C800" t="n">
        <v>2122100000</v>
      </c>
      <c r="D800" t="inlineStr">
        <is>
          <t>Intercompany</t>
        </is>
      </c>
      <c r="E800" t="n">
        <v>5015196</v>
      </c>
      <c r="F800" t="inlineStr">
        <is>
          <t>4012360850</t>
        </is>
      </c>
      <c r="G800" t="inlineStr">
        <is>
          <t>RE</t>
        </is>
      </c>
      <c r="H800" s="12" t="n">
        <v>-2480.27</v>
      </c>
      <c r="I800" s="17" t="n">
        <v>45247</v>
      </c>
      <c r="J800" s="17" t="n">
        <v>45277</v>
      </c>
      <c r="K800" t="inlineStr">
        <is>
          <t>0588/23</t>
        </is>
      </c>
    </row>
    <row r="801">
      <c r="A801" t="inlineStr">
        <is>
          <t>IC1000</t>
        </is>
      </c>
      <c r="B801" t="inlineStr">
        <is>
          <t>NORDEX ENERGY SE &amp; CO KG</t>
        </is>
      </c>
      <c r="C801" t="n">
        <v>2122100000</v>
      </c>
      <c r="D801" t="inlineStr">
        <is>
          <t>Intercompany</t>
        </is>
      </c>
      <c r="E801" t="n">
        <v>5015198</v>
      </c>
      <c r="F801" t="inlineStr">
        <is>
          <t>4012360847</t>
        </is>
      </c>
      <c r="G801" t="inlineStr">
        <is>
          <t>RE</t>
        </is>
      </c>
      <c r="H801" s="12" t="n">
        <v>-107413.97</v>
      </c>
      <c r="I801" s="17" t="n">
        <v>45247</v>
      </c>
      <c r="J801" s="17" t="n">
        <v>45277</v>
      </c>
      <c r="K801" t="inlineStr">
        <is>
          <t>0588/23</t>
        </is>
      </c>
    </row>
    <row r="802">
      <c r="A802" t="inlineStr">
        <is>
          <t>IC1000</t>
        </is>
      </c>
      <c r="B802" t="inlineStr">
        <is>
          <t>NORDEX ENERGY SE &amp; CO KG</t>
        </is>
      </c>
      <c r="C802" t="n">
        <v>2122100000</v>
      </c>
      <c r="D802" t="inlineStr">
        <is>
          <t>Intercompany</t>
        </is>
      </c>
      <c r="E802" t="n">
        <v>5015200</v>
      </c>
      <c r="F802" t="inlineStr">
        <is>
          <t>4012360849</t>
        </is>
      </c>
      <c r="G802" t="inlineStr">
        <is>
          <t>RE</t>
        </is>
      </c>
      <c r="H802" s="12" t="n">
        <v>-535.47</v>
      </c>
      <c r="I802" s="17" t="n">
        <v>45247</v>
      </c>
      <c r="J802" s="17" t="n">
        <v>45277</v>
      </c>
      <c r="K802" t="inlineStr">
        <is>
          <t>0588/23</t>
        </is>
      </c>
    </row>
    <row r="803">
      <c r="A803" t="inlineStr">
        <is>
          <t>IC1000</t>
        </is>
      </c>
      <c r="B803" t="inlineStr">
        <is>
          <t>NORDEX ENERGY SE &amp; CO KG</t>
        </is>
      </c>
      <c r="C803" t="n">
        <v>2122100000</v>
      </c>
      <c r="D803" t="inlineStr">
        <is>
          <t>Intercompany</t>
        </is>
      </c>
      <c r="E803" t="n">
        <v>5015214</v>
      </c>
      <c r="F803" t="inlineStr">
        <is>
          <t>336830</t>
        </is>
      </c>
      <c r="G803" t="inlineStr">
        <is>
          <t>RE</t>
        </is>
      </c>
      <c r="H803" s="12" t="n">
        <v>-3737.87</v>
      </c>
      <c r="I803" s="17" t="n">
        <v>45742</v>
      </c>
      <c r="J803" s="17" t="n">
        <v>45772</v>
      </c>
      <c r="K803" t="inlineStr">
        <is>
          <t>0280/25</t>
        </is>
      </c>
    </row>
    <row r="804">
      <c r="A804" t="inlineStr">
        <is>
          <t>IC1000</t>
        </is>
      </c>
      <c r="B804" t="inlineStr">
        <is>
          <t>NORDEX ENERGY SE &amp; CO KG</t>
        </is>
      </c>
      <c r="C804" t="n">
        <v>2122100000</v>
      </c>
      <c r="D804" t="inlineStr">
        <is>
          <t>Intercompany</t>
        </is>
      </c>
      <c r="E804" t="n">
        <v>5015230</v>
      </c>
      <c r="F804" t="inlineStr">
        <is>
          <t>4012360851</t>
        </is>
      </c>
      <c r="G804" t="inlineStr">
        <is>
          <t>RE</t>
        </is>
      </c>
      <c r="H804" s="12" t="n">
        <v>-18.34</v>
      </c>
      <c r="I804" s="17" t="n">
        <v>45247</v>
      </c>
      <c r="J804" s="17" t="n">
        <v>45277</v>
      </c>
      <c r="K804" t="inlineStr">
        <is>
          <t>0588/23</t>
        </is>
      </c>
    </row>
    <row r="805">
      <c r="A805" t="inlineStr">
        <is>
          <t>IC4420</t>
        </is>
      </c>
      <c r="B805" t="inlineStr">
        <is>
          <t>NORDEX ENERGY SPAIN S A U</t>
        </is>
      </c>
      <c r="C805" t="n">
        <v>2122100000</v>
      </c>
      <c r="D805" t="inlineStr">
        <is>
          <t>Intercompany</t>
        </is>
      </c>
      <c r="E805" t="n">
        <v>5015247</v>
      </c>
      <c r="F805" t="inlineStr">
        <is>
          <t>4026005471</t>
        </is>
      </c>
      <c r="G805" t="inlineStr">
        <is>
          <t>RE</t>
        </is>
      </c>
      <c r="H805" s="12" t="n">
        <v>-6265.82</v>
      </c>
      <c r="I805" s="17" t="n">
        <v>46227</v>
      </c>
      <c r="J805" s="17" t="n">
        <v>46257</v>
      </c>
      <c r="K805" t="inlineStr">
        <is>
          <t>0500/26</t>
        </is>
      </c>
    </row>
    <row r="806">
      <c r="A806" t="inlineStr">
        <is>
          <t>IC4420</t>
        </is>
      </c>
      <c r="B806" t="inlineStr">
        <is>
          <t>NORDEX ENERGY SPAIN S A U</t>
        </is>
      </c>
      <c r="C806" t="n">
        <v>2122100000</v>
      </c>
      <c r="D806" t="inlineStr">
        <is>
          <t>Intercompany</t>
        </is>
      </c>
      <c r="E806" t="n">
        <v>5015248</v>
      </c>
      <c r="F806" t="inlineStr">
        <is>
          <t>4026005470</t>
        </is>
      </c>
      <c r="G806" t="inlineStr">
        <is>
          <t>RE</t>
        </is>
      </c>
      <c r="H806" s="12" t="n">
        <v>-5376.02</v>
      </c>
      <c r="I806" s="17" t="n">
        <v>46227</v>
      </c>
      <c r="J806" s="17" t="n">
        <v>46257</v>
      </c>
      <c r="K806" t="inlineStr">
        <is>
          <t>0500/26</t>
        </is>
      </c>
    </row>
    <row r="807">
      <c r="A807" t="inlineStr">
        <is>
          <t>IC4420</t>
        </is>
      </c>
      <c r="B807" t="inlineStr">
        <is>
          <t>NORDEX ENERGY SPAIN S A U</t>
        </is>
      </c>
      <c r="C807" t="n">
        <v>2122100000</v>
      </c>
      <c r="D807" t="inlineStr">
        <is>
          <t>Intercompany</t>
        </is>
      </c>
      <c r="E807" t="n">
        <v>5015439</v>
      </c>
      <c r="F807" t="inlineStr">
        <is>
          <t>4026005088</t>
        </is>
      </c>
      <c r="G807" t="inlineStr">
        <is>
          <t>RE</t>
        </is>
      </c>
      <c r="H807" s="12" t="n">
        <v>-1077558.39</v>
      </c>
      <c r="I807" s="17" t="n">
        <v>46206</v>
      </c>
      <c r="J807" s="17" t="n">
        <v>46236</v>
      </c>
      <c r="K807" t="inlineStr">
        <is>
          <t>0451/26</t>
        </is>
      </c>
    </row>
    <row r="808">
      <c r="A808" t="inlineStr">
        <is>
          <t>IC4420</t>
        </is>
      </c>
      <c r="B808" t="inlineStr">
        <is>
          <t>NORDEX ENERGY SPAIN S A U</t>
        </is>
      </c>
      <c r="C808" t="n">
        <v>2122100000</v>
      </c>
      <c r="D808" t="inlineStr">
        <is>
          <t>Intercompany</t>
        </is>
      </c>
      <c r="E808" t="n">
        <v>5015487</v>
      </c>
      <c r="F808" t="inlineStr">
        <is>
          <t>4026005281</t>
        </is>
      </c>
      <c r="G808" t="inlineStr">
        <is>
          <t>RE</t>
        </is>
      </c>
      <c r="H808" s="12" t="n">
        <v>-461.91</v>
      </c>
      <c r="I808" s="17" t="n">
        <v>46219</v>
      </c>
      <c r="J808" s="17" t="n">
        <v>46249</v>
      </c>
      <c r="K808" t="inlineStr">
        <is>
          <t>0486/26</t>
        </is>
      </c>
    </row>
    <row r="809">
      <c r="A809" t="inlineStr">
        <is>
          <t>IC1000</t>
        </is>
      </c>
      <c r="B809" t="inlineStr">
        <is>
          <t>NORDEX ENERGY SE &amp; CO KG</t>
        </is>
      </c>
      <c r="C809" t="n">
        <v>2122100000</v>
      </c>
      <c r="D809" t="inlineStr">
        <is>
          <t>Intercompany</t>
        </is>
      </c>
      <c r="E809" t="n">
        <v>5015532</v>
      </c>
      <c r="F809" t="inlineStr">
        <is>
          <t>RITM0582728</t>
        </is>
      </c>
      <c r="G809" t="inlineStr">
        <is>
          <t>RE</t>
        </is>
      </c>
      <c r="H809" s="12" t="n">
        <v>-2164751.67</v>
      </c>
      <c r="I809" s="17" t="n">
        <v>45986</v>
      </c>
      <c r="J809" s="17" t="n">
        <v>46016</v>
      </c>
      <c r="K809" t="inlineStr">
        <is>
          <t>0953/25</t>
        </is>
      </c>
    </row>
    <row r="810">
      <c r="A810" t="inlineStr">
        <is>
          <t>IC4420</t>
        </is>
      </c>
      <c r="B810" t="inlineStr">
        <is>
          <t>NORDEX ENERGY SPAIN S A U</t>
        </is>
      </c>
      <c r="C810" t="n">
        <v>2122100000</v>
      </c>
      <c r="D810" t="inlineStr">
        <is>
          <t>Intercompany</t>
        </is>
      </c>
      <c r="E810" t="n">
        <v>5015557</v>
      </c>
      <c r="F810" t="inlineStr">
        <is>
          <t>4026005280</t>
        </is>
      </c>
      <c r="G810" t="inlineStr">
        <is>
          <t>RE</t>
        </is>
      </c>
      <c r="H810" s="12" t="n">
        <v>-5259.22</v>
      </c>
      <c r="I810" s="17" t="n">
        <v>46219</v>
      </c>
      <c r="J810" s="17" t="n">
        <v>46249</v>
      </c>
      <c r="K810" t="inlineStr">
        <is>
          <t>0488/26</t>
        </is>
      </c>
    </row>
    <row r="811">
      <c r="A811" t="inlineStr">
        <is>
          <t>IC4420</t>
        </is>
      </c>
      <c r="B811" t="inlineStr">
        <is>
          <t>NORDEX ENERGY SPAIN S A U</t>
        </is>
      </c>
      <c r="C811" t="n">
        <v>2122100000</v>
      </c>
      <c r="D811" t="inlineStr">
        <is>
          <t>Intercompany</t>
        </is>
      </c>
      <c r="E811" t="n">
        <v>5015568</v>
      </c>
      <c r="F811" t="inlineStr">
        <is>
          <t>4026005421</t>
        </is>
      </c>
      <c r="G811" t="inlineStr">
        <is>
          <t>RE</t>
        </is>
      </c>
      <c r="H811" s="12" t="n">
        <v>-14317.11</v>
      </c>
      <c r="I811" s="17" t="n">
        <v>46226</v>
      </c>
      <c r="J811" s="17" t="n">
        <v>46256</v>
      </c>
      <c r="K811" t="inlineStr">
        <is>
          <t>0514/26</t>
        </is>
      </c>
    </row>
    <row r="812">
      <c r="A812" t="inlineStr">
        <is>
          <t>IC4420</t>
        </is>
      </c>
      <c r="B812" t="inlineStr">
        <is>
          <t>NORDEX ENERGY SPAIN S A U</t>
        </is>
      </c>
      <c r="C812" t="n">
        <v>2122100000</v>
      </c>
      <c r="D812" t="inlineStr">
        <is>
          <t>Intercompany</t>
        </is>
      </c>
      <c r="E812" t="n">
        <v>5015569</v>
      </c>
      <c r="F812" t="inlineStr">
        <is>
          <t>4026005462</t>
        </is>
      </c>
      <c r="G812" t="inlineStr">
        <is>
          <t>RE</t>
        </is>
      </c>
      <c r="H812" s="12" t="n">
        <v>-42227.93</v>
      </c>
      <c r="I812" s="17" t="n">
        <v>46226</v>
      </c>
      <c r="J812" s="17" t="n">
        <v>46256</v>
      </c>
      <c r="K812" t="inlineStr">
        <is>
          <t>0497/26</t>
        </is>
      </c>
    </row>
    <row r="813">
      <c r="A813" t="inlineStr">
        <is>
          <t>IC4420</t>
        </is>
      </c>
      <c r="B813" t="inlineStr">
        <is>
          <t>NORDEX ENERGY SPAIN S A U</t>
        </is>
      </c>
      <c r="C813" t="n">
        <v>2122100000</v>
      </c>
      <c r="D813" t="inlineStr">
        <is>
          <t>Intercompany</t>
        </is>
      </c>
      <c r="E813" t="n">
        <v>5015570</v>
      </c>
      <c r="F813" t="inlineStr">
        <is>
          <t>4026005282</t>
        </is>
      </c>
      <c r="G813" t="inlineStr">
        <is>
          <t>RE</t>
        </is>
      </c>
      <c r="H813" s="12" t="n">
        <v>-260596.5</v>
      </c>
      <c r="I813" s="17" t="n">
        <v>46219</v>
      </c>
      <c r="J813" s="17" t="n">
        <v>46249</v>
      </c>
      <c r="K813" t="inlineStr">
        <is>
          <t>0487/26</t>
        </is>
      </c>
    </row>
    <row r="814">
      <c r="A814" t="inlineStr">
        <is>
          <t>IC4420</t>
        </is>
      </c>
      <c r="B814" t="inlineStr">
        <is>
          <t>NORDEX ENERGY SPAIN S A U</t>
        </is>
      </c>
      <c r="C814" t="n">
        <v>2122100000</v>
      </c>
      <c r="D814" t="inlineStr">
        <is>
          <t>Intercompany</t>
        </is>
      </c>
      <c r="E814" t="n">
        <v>5015571</v>
      </c>
      <c r="F814" t="inlineStr">
        <is>
          <t>4026005284</t>
        </is>
      </c>
      <c r="G814" t="inlineStr">
        <is>
          <t>RE</t>
        </is>
      </c>
      <c r="H814" s="12" t="n">
        <v>-66455.47</v>
      </c>
      <c r="I814" s="17" t="n">
        <v>46219</v>
      </c>
      <c r="J814" s="17" t="n">
        <v>46249</v>
      </c>
      <c r="K814" t="inlineStr">
        <is>
          <t>0490/26</t>
        </is>
      </c>
    </row>
    <row r="815">
      <c r="A815" t="inlineStr">
        <is>
          <t>IC4420</t>
        </is>
      </c>
      <c r="B815" t="inlineStr">
        <is>
          <t>NORDEX ENERGY SPAIN S A U</t>
        </is>
      </c>
      <c r="C815" t="n">
        <v>2122100000</v>
      </c>
      <c r="D815" t="inlineStr">
        <is>
          <t>Intercompany</t>
        </is>
      </c>
      <c r="E815" t="n">
        <v>5015572</v>
      </c>
      <c r="F815" t="inlineStr">
        <is>
          <t>4026005283</t>
        </is>
      </c>
      <c r="G815" t="inlineStr">
        <is>
          <t>RE</t>
        </is>
      </c>
      <c r="H815" s="12" t="n">
        <v>-40734.75</v>
      </c>
      <c r="I815" s="17" t="n">
        <v>46219</v>
      </c>
      <c r="J815" s="17" t="n">
        <v>46249</v>
      </c>
      <c r="K815" t="inlineStr">
        <is>
          <t>0489/26</t>
        </is>
      </c>
    </row>
    <row r="816">
      <c r="A816" t="inlineStr">
        <is>
          <t>IC4420</t>
        </is>
      </c>
      <c r="B816" t="inlineStr">
        <is>
          <t>NORDEX ENERGY SPAIN S A U</t>
        </is>
      </c>
      <c r="C816" t="n">
        <v>2122100000</v>
      </c>
      <c r="D816" t="inlineStr">
        <is>
          <t>Intercompany</t>
        </is>
      </c>
      <c r="E816" t="n">
        <v>5015573</v>
      </c>
      <c r="F816" t="inlineStr">
        <is>
          <t>4026005418</t>
        </is>
      </c>
      <c r="G816" t="inlineStr">
        <is>
          <t>RE</t>
        </is>
      </c>
      <c r="H816" s="12" t="n">
        <v>-1387.09</v>
      </c>
      <c r="I816" s="17" t="n">
        <v>46226</v>
      </c>
      <c r="J816" s="17" t="n">
        <v>46256</v>
      </c>
      <c r="K816" t="inlineStr">
        <is>
          <t>0512/26</t>
        </is>
      </c>
    </row>
    <row r="817">
      <c r="A817" t="inlineStr">
        <is>
          <t>IC4420</t>
        </is>
      </c>
      <c r="B817" t="inlineStr">
        <is>
          <t>NORDEX ENERGY SPAIN S A U</t>
        </is>
      </c>
      <c r="C817" t="n">
        <v>2122100000</v>
      </c>
      <c r="D817" t="inlineStr">
        <is>
          <t>Intercompany</t>
        </is>
      </c>
      <c r="E817" t="n">
        <v>5015574</v>
      </c>
      <c r="F817" t="inlineStr">
        <is>
          <t>4026005422</t>
        </is>
      </c>
      <c r="G817" t="inlineStr">
        <is>
          <t>RE</t>
        </is>
      </c>
      <c r="H817" s="12" t="n">
        <v>-7224.23</v>
      </c>
      <c r="I817" s="17" t="n">
        <v>46226</v>
      </c>
      <c r="J817" s="17" t="n">
        <v>46256</v>
      </c>
      <c r="K817" t="inlineStr">
        <is>
          <t>0512/26</t>
        </is>
      </c>
    </row>
    <row r="818">
      <c r="A818" t="inlineStr">
        <is>
          <t>IC4420</t>
        </is>
      </c>
      <c r="B818" t="inlineStr">
        <is>
          <t>NORDEX ENERGY SPAIN S A U</t>
        </is>
      </c>
      <c r="C818" t="n">
        <v>2122100000</v>
      </c>
      <c r="D818" t="inlineStr">
        <is>
          <t>Intercompany</t>
        </is>
      </c>
      <c r="E818" t="n">
        <v>5015583</v>
      </c>
      <c r="F818" t="inlineStr">
        <is>
          <t>4026005423</t>
        </is>
      </c>
      <c r="G818" t="inlineStr">
        <is>
          <t>RE</t>
        </is>
      </c>
      <c r="H818" s="12" t="n">
        <v>-53337.4</v>
      </c>
      <c r="I818" s="17" t="n">
        <v>46226</v>
      </c>
      <c r="J818" s="17" t="n">
        <v>46256</v>
      </c>
      <c r="K818" t="inlineStr">
        <is>
          <t>0515/26</t>
        </is>
      </c>
    </row>
    <row r="819">
      <c r="A819" t="inlineStr">
        <is>
          <t>IC4420</t>
        </is>
      </c>
      <c r="B819" t="inlineStr">
        <is>
          <t>NORDEX ENERGY SPAIN S A U</t>
        </is>
      </c>
      <c r="C819" t="n">
        <v>2122100000</v>
      </c>
      <c r="D819" t="inlineStr">
        <is>
          <t>Intercompany</t>
        </is>
      </c>
      <c r="E819" t="n">
        <v>5015584</v>
      </c>
      <c r="F819" t="inlineStr">
        <is>
          <t>4026002156</t>
        </is>
      </c>
      <c r="G819" t="inlineStr">
        <is>
          <t>RE</t>
        </is>
      </c>
      <c r="H819" s="12" t="n">
        <v>-33384.96</v>
      </c>
      <c r="I819" s="17" t="n">
        <v>46108</v>
      </c>
      <c r="J819" s="17" t="n">
        <v>46138</v>
      </c>
      <c r="K819" t="inlineStr">
        <is>
          <t>0222/26</t>
        </is>
      </c>
    </row>
    <row r="820">
      <c r="A820" t="inlineStr">
        <is>
          <t>IC4420</t>
        </is>
      </c>
      <c r="B820" t="inlineStr">
        <is>
          <t>NORDEX ENERGY SPAIN S A U</t>
        </is>
      </c>
      <c r="C820" t="n">
        <v>2122100000</v>
      </c>
      <c r="D820" t="inlineStr">
        <is>
          <t>Intercompany</t>
        </is>
      </c>
      <c r="E820" t="n">
        <v>5015585</v>
      </c>
      <c r="F820" t="inlineStr">
        <is>
          <t>4026002154</t>
        </is>
      </c>
      <c r="G820" t="inlineStr">
        <is>
          <t>RE</t>
        </is>
      </c>
      <c r="H820" s="12" t="n">
        <v>-1034.83</v>
      </c>
      <c r="I820" s="17" t="n">
        <v>46108</v>
      </c>
      <c r="J820" s="17" t="n">
        <v>46138</v>
      </c>
      <c r="K820" t="inlineStr">
        <is>
          <t>0222/26</t>
        </is>
      </c>
    </row>
    <row r="821">
      <c r="A821" t="inlineStr">
        <is>
          <t>IC4420</t>
        </is>
      </c>
      <c r="B821" t="inlineStr">
        <is>
          <t>NORDEX ENERGY SPAIN S A U</t>
        </is>
      </c>
      <c r="C821" t="n">
        <v>2122100000</v>
      </c>
      <c r="D821" t="inlineStr">
        <is>
          <t>Intercompany</t>
        </is>
      </c>
      <c r="E821" t="n">
        <v>5015586</v>
      </c>
      <c r="F821" t="inlineStr">
        <is>
          <t>4026002155</t>
        </is>
      </c>
      <c r="G821" t="inlineStr">
        <is>
          <t>RE</t>
        </is>
      </c>
      <c r="H821" s="12" t="n">
        <v>-19613.79</v>
      </c>
      <c r="I821" s="17" t="n">
        <v>46108</v>
      </c>
      <c r="J821" s="17" t="n">
        <v>46138</v>
      </c>
      <c r="K821" t="inlineStr">
        <is>
          <t>0222/26</t>
        </is>
      </c>
    </row>
    <row r="822">
      <c r="A822" t="inlineStr">
        <is>
          <t>IC4420</t>
        </is>
      </c>
      <c r="B822" t="inlineStr">
        <is>
          <t>NORDEX ENERGY SPAIN S A U</t>
        </is>
      </c>
      <c r="C822" t="n">
        <v>2122100000</v>
      </c>
      <c r="D822" t="inlineStr">
        <is>
          <t>Intercompany</t>
        </is>
      </c>
      <c r="E822" t="n">
        <v>5015587</v>
      </c>
      <c r="F822" t="inlineStr">
        <is>
          <t>4026004551</t>
        </is>
      </c>
      <c r="G822" t="inlineStr">
        <is>
          <t>RE</t>
        </is>
      </c>
      <c r="H822" s="12" t="n">
        <v>-40346.32</v>
      </c>
      <c r="I822" s="17" t="n">
        <v>46188</v>
      </c>
      <c r="J822" s="17" t="n">
        <v>46218</v>
      </c>
      <c r="K822" t="inlineStr">
        <is>
          <t>0419/26</t>
        </is>
      </c>
    </row>
    <row r="823">
      <c r="A823" t="inlineStr">
        <is>
          <t>IC4420</t>
        </is>
      </c>
      <c r="B823" t="inlineStr">
        <is>
          <t>NORDEX ENERGY SPAIN S A U</t>
        </is>
      </c>
      <c r="C823" t="n">
        <v>2122100000</v>
      </c>
      <c r="D823" t="inlineStr">
        <is>
          <t>Intercompany</t>
        </is>
      </c>
      <c r="E823" t="n">
        <v>5015588</v>
      </c>
      <c r="F823" t="inlineStr">
        <is>
          <t>4026004550</t>
        </is>
      </c>
      <c r="G823" t="inlineStr">
        <is>
          <t>RE</t>
        </is>
      </c>
      <c r="H823" s="12" t="n">
        <v>-9141.540000000001</v>
      </c>
      <c r="I823" s="17" t="n">
        <v>46188</v>
      </c>
      <c r="J823" s="17" t="n">
        <v>46218</v>
      </c>
      <c r="K823" t="inlineStr">
        <is>
          <t>0419/26</t>
        </is>
      </c>
    </row>
    <row r="824">
      <c r="A824" t="inlineStr">
        <is>
          <t>IC4420</t>
        </is>
      </c>
      <c r="B824" t="inlineStr">
        <is>
          <t>NORDEX ENERGY SPAIN S A U</t>
        </is>
      </c>
      <c r="C824" t="n">
        <v>2122100000</v>
      </c>
      <c r="D824" t="inlineStr">
        <is>
          <t>Intercompany</t>
        </is>
      </c>
      <c r="E824" t="n">
        <v>5015589</v>
      </c>
      <c r="F824" t="inlineStr">
        <is>
          <t>4026004546</t>
        </is>
      </c>
      <c r="G824" t="inlineStr">
        <is>
          <t>RE</t>
        </is>
      </c>
      <c r="H824" s="12" t="n">
        <v>-209588.36</v>
      </c>
      <c r="I824" s="17" t="n">
        <v>46188</v>
      </c>
      <c r="J824" s="17" t="n">
        <v>46218</v>
      </c>
      <c r="K824" t="inlineStr">
        <is>
          <t>0419/26</t>
        </is>
      </c>
    </row>
    <row r="825">
      <c r="A825" t="inlineStr">
        <is>
          <t>IC4420</t>
        </is>
      </c>
      <c r="B825" t="inlineStr">
        <is>
          <t>NORDEX ENERGY SPAIN S A U</t>
        </is>
      </c>
      <c r="C825" t="n">
        <v>2122100000</v>
      </c>
      <c r="D825" t="inlineStr">
        <is>
          <t>Intercompany</t>
        </is>
      </c>
      <c r="E825" t="n">
        <v>5015590</v>
      </c>
      <c r="F825" t="inlineStr">
        <is>
          <t>4026004545</t>
        </is>
      </c>
      <c r="G825" t="inlineStr">
        <is>
          <t>RE</t>
        </is>
      </c>
      <c r="H825" s="12" t="n">
        <v>-937.63</v>
      </c>
      <c r="I825" s="17" t="n">
        <v>46188</v>
      </c>
      <c r="J825" s="17" t="n">
        <v>46218</v>
      </c>
      <c r="K825" t="inlineStr">
        <is>
          <t>0419/26</t>
        </is>
      </c>
    </row>
    <row r="826">
      <c r="A826" t="inlineStr">
        <is>
          <t>IC4420</t>
        </is>
      </c>
      <c r="B826" t="inlineStr">
        <is>
          <t>NORDEX ENERGY SPAIN S A U</t>
        </is>
      </c>
      <c r="C826" t="n">
        <v>2122100000</v>
      </c>
      <c r="D826" t="inlineStr">
        <is>
          <t>Intercompany</t>
        </is>
      </c>
      <c r="E826" t="n">
        <v>5015591</v>
      </c>
      <c r="F826" t="inlineStr">
        <is>
          <t>4026004547</t>
        </is>
      </c>
      <c r="G826" t="inlineStr">
        <is>
          <t>RE</t>
        </is>
      </c>
      <c r="H826" s="12" t="n">
        <v>-65582.48</v>
      </c>
      <c r="I826" s="17" t="n">
        <v>46188</v>
      </c>
      <c r="J826" s="17" t="n">
        <v>46218</v>
      </c>
      <c r="K826" t="inlineStr">
        <is>
          <t>0419/26</t>
        </is>
      </c>
    </row>
    <row r="827">
      <c r="A827" t="inlineStr">
        <is>
          <t>IC4420</t>
        </is>
      </c>
      <c r="B827" t="inlineStr">
        <is>
          <t>NORDEX ENERGY SPAIN S A U</t>
        </is>
      </c>
      <c r="C827" t="n">
        <v>2122100000</v>
      </c>
      <c r="D827" t="inlineStr">
        <is>
          <t>Intercompany</t>
        </is>
      </c>
      <c r="E827" t="n">
        <v>5015596</v>
      </c>
      <c r="F827" t="inlineStr">
        <is>
          <t>4026005021</t>
        </is>
      </c>
      <c r="G827" t="inlineStr">
        <is>
          <t>RE</t>
        </is>
      </c>
      <c r="H827" s="12" t="n">
        <v>-107024.9</v>
      </c>
      <c r="I827" s="17" t="n">
        <v>46204</v>
      </c>
      <c r="J827" s="17" t="n">
        <v>46234</v>
      </c>
      <c r="K827" t="inlineStr">
        <is>
          <t>0447/26</t>
        </is>
      </c>
    </row>
    <row r="828">
      <c r="A828" t="inlineStr">
        <is>
          <t>IC4420</t>
        </is>
      </c>
      <c r="B828" t="inlineStr">
        <is>
          <t>NORDEX ENERGY SPAIN S A U</t>
        </is>
      </c>
      <c r="C828" t="n">
        <v>2122100000</v>
      </c>
      <c r="D828" t="inlineStr">
        <is>
          <t>Intercompany</t>
        </is>
      </c>
      <c r="E828" t="n">
        <v>5015597</v>
      </c>
      <c r="F828" t="inlineStr">
        <is>
          <t>4026005024</t>
        </is>
      </c>
      <c r="G828" t="inlineStr">
        <is>
          <t>RE</t>
        </is>
      </c>
      <c r="H828" s="12" t="n">
        <v>-215434.64</v>
      </c>
      <c r="I828" s="17" t="n">
        <v>46204</v>
      </c>
      <c r="J828" s="17" t="n">
        <v>46234</v>
      </c>
      <c r="K828" t="inlineStr">
        <is>
          <t>0447/26</t>
        </is>
      </c>
    </row>
    <row r="829">
      <c r="A829" t="inlineStr">
        <is>
          <t>IC4420</t>
        </is>
      </c>
      <c r="B829" t="inlineStr">
        <is>
          <t>NORDEX ENERGY SPAIN S A U</t>
        </is>
      </c>
      <c r="C829" t="n">
        <v>2122100000</v>
      </c>
      <c r="D829" t="inlineStr">
        <is>
          <t>Intercompany</t>
        </is>
      </c>
      <c r="E829" t="n">
        <v>5015599</v>
      </c>
      <c r="F829" t="inlineStr">
        <is>
          <t>4026003288</t>
        </is>
      </c>
      <c r="G829" t="inlineStr">
        <is>
          <t>RE</t>
        </is>
      </c>
      <c r="H829" s="12" t="n">
        <v>-1275.84</v>
      </c>
      <c r="I829" s="17" t="n">
        <v>46153</v>
      </c>
      <c r="J829" s="17" t="n">
        <v>46183</v>
      </c>
      <c r="K829" t="inlineStr">
        <is>
          <t>0334/26</t>
        </is>
      </c>
    </row>
    <row r="830">
      <c r="A830" t="inlineStr">
        <is>
          <t>IC4420</t>
        </is>
      </c>
      <c r="B830" t="inlineStr">
        <is>
          <t>NORDEX ENERGY SPAIN S A U</t>
        </is>
      </c>
      <c r="C830" t="n">
        <v>2122100000</v>
      </c>
      <c r="D830" t="inlineStr">
        <is>
          <t>Intercompany</t>
        </is>
      </c>
      <c r="E830" t="n">
        <v>5015600</v>
      </c>
      <c r="F830" t="inlineStr">
        <is>
          <t>4026003287</t>
        </is>
      </c>
      <c r="G830" t="inlineStr">
        <is>
          <t>RE</t>
        </is>
      </c>
      <c r="H830" s="12" t="n">
        <v>-13207.37</v>
      </c>
      <c r="I830" s="17" t="n">
        <v>46153</v>
      </c>
      <c r="J830" s="17" t="n">
        <v>46183</v>
      </c>
      <c r="K830" t="inlineStr">
        <is>
          <t>0334/26</t>
        </is>
      </c>
    </row>
    <row r="831">
      <c r="A831" t="inlineStr">
        <is>
          <t>IC4420</t>
        </is>
      </c>
      <c r="B831" t="inlineStr">
        <is>
          <t>NORDEX ENERGY SPAIN S A U</t>
        </is>
      </c>
      <c r="C831" t="n">
        <v>2122100000</v>
      </c>
      <c r="D831" t="inlineStr">
        <is>
          <t>Intercompany</t>
        </is>
      </c>
      <c r="E831" t="n">
        <v>5015602</v>
      </c>
      <c r="F831" t="inlineStr">
        <is>
          <t>4026004878</t>
        </is>
      </c>
      <c r="G831" t="inlineStr">
        <is>
          <t>RE</t>
        </is>
      </c>
      <c r="H831" s="12" t="n">
        <v>-14848.64</v>
      </c>
      <c r="I831" s="17" t="n">
        <v>46199</v>
      </c>
      <c r="J831" s="17" t="n">
        <v>46229</v>
      </c>
      <c r="K831" t="inlineStr">
        <is>
          <t>0443/26</t>
        </is>
      </c>
    </row>
    <row r="832">
      <c r="A832" t="inlineStr">
        <is>
          <t>IC4420</t>
        </is>
      </c>
      <c r="B832" t="inlineStr">
        <is>
          <t>NORDEX ENERGY SPAIN S A U</t>
        </is>
      </c>
      <c r="C832" t="n">
        <v>2122100000</v>
      </c>
      <c r="D832" t="inlineStr">
        <is>
          <t>Intercompany</t>
        </is>
      </c>
      <c r="E832" t="n">
        <v>5015603</v>
      </c>
      <c r="F832" t="inlineStr">
        <is>
          <t>4026004877</t>
        </is>
      </c>
      <c r="G832" t="inlineStr">
        <is>
          <t>RE</t>
        </is>
      </c>
      <c r="H832" s="12" t="n">
        <v>-5384.42</v>
      </c>
      <c r="I832" s="17" t="n">
        <v>46199</v>
      </c>
      <c r="J832" s="17" t="n">
        <v>46229</v>
      </c>
      <c r="K832" t="inlineStr">
        <is>
          <t>0443/26</t>
        </is>
      </c>
    </row>
    <row r="833">
      <c r="A833" t="inlineStr">
        <is>
          <t>IC4420</t>
        </is>
      </c>
      <c r="B833" t="inlineStr">
        <is>
          <t>NORDEX ENERGY SPAIN S A U</t>
        </is>
      </c>
      <c r="C833" t="n">
        <v>2122100000</v>
      </c>
      <c r="D833" t="inlineStr">
        <is>
          <t>Intercompany</t>
        </is>
      </c>
      <c r="E833" t="n">
        <v>5015604</v>
      </c>
      <c r="F833" t="inlineStr">
        <is>
          <t>4026005419</t>
        </is>
      </c>
      <c r="G833" t="inlineStr">
        <is>
          <t>RE</t>
        </is>
      </c>
      <c r="H833" s="12" t="n">
        <v>-46273.36</v>
      </c>
      <c r="I833" s="17" t="n">
        <v>46226</v>
      </c>
      <c r="J833" s="17" t="n">
        <v>46256</v>
      </c>
      <c r="K833" t="inlineStr">
        <is>
          <t>0513/26</t>
        </is>
      </c>
    </row>
    <row r="834">
      <c r="A834" t="inlineStr">
        <is>
          <t>IC4420</t>
        </is>
      </c>
      <c r="B834" t="inlineStr">
        <is>
          <t>NORDEX ENERGY SPAIN S A U</t>
        </is>
      </c>
      <c r="C834" t="n">
        <v>2122100000</v>
      </c>
      <c r="D834" t="inlineStr">
        <is>
          <t>Intercompany</t>
        </is>
      </c>
      <c r="E834" t="n">
        <v>5015605</v>
      </c>
      <c r="F834" t="inlineStr">
        <is>
          <t>4026005420</t>
        </is>
      </c>
      <c r="G834" t="inlineStr">
        <is>
          <t>RE</t>
        </is>
      </c>
      <c r="H834" s="12" t="n">
        <v>-30028.9</v>
      </c>
      <c r="I834" s="17" t="n">
        <v>46226</v>
      </c>
      <c r="J834" s="17" t="n">
        <v>46256</v>
      </c>
      <c r="K834" t="inlineStr">
        <is>
          <t>0513/26</t>
        </is>
      </c>
    </row>
    <row r="835">
      <c r="A835" t="inlineStr">
        <is>
          <t>IC5000</t>
        </is>
      </c>
      <c r="B835" t="inlineStr">
        <is>
          <t>NORDEX SE</t>
        </is>
      </c>
      <c r="C835" t="n">
        <v>2122100000</v>
      </c>
      <c r="D835" t="inlineStr">
        <is>
          <t>Intercompany</t>
        </is>
      </c>
      <c r="E835" t="n">
        <v>5015616</v>
      </c>
      <c r="F835" t="inlineStr">
        <is>
          <t>608122</t>
        </is>
      </c>
      <c r="G835" t="inlineStr">
        <is>
          <t>KR</t>
        </is>
      </c>
      <c r="H835" s="12" t="n">
        <v>-8199108.15</v>
      </c>
      <c r="I835" s="17" t="n">
        <v>45398</v>
      </c>
      <c r="J835" s="17" t="n">
        <v>45398</v>
      </c>
      <c r="K835" t="inlineStr">
        <is>
          <t>Vendor Invoice NORDEX SE 608122</t>
        </is>
      </c>
    </row>
    <row r="836">
      <c r="A836" t="inlineStr">
        <is>
          <t>IC4420</t>
        </is>
      </c>
      <c r="B836" t="inlineStr">
        <is>
          <t>NORDEX ENERGY SPAIN S A U</t>
        </is>
      </c>
      <c r="C836" t="n">
        <v>2122100000</v>
      </c>
      <c r="D836" t="inlineStr">
        <is>
          <t>Intercompany</t>
        </is>
      </c>
      <c r="E836" t="n">
        <v>5015623</v>
      </c>
      <c r="F836" t="inlineStr">
        <is>
          <t>4026004948</t>
        </is>
      </c>
      <c r="G836" t="inlineStr">
        <is>
          <t>RE</t>
        </is>
      </c>
      <c r="H836" s="12" t="n">
        <v>-315092.97</v>
      </c>
      <c r="I836" s="17" t="n">
        <v>46204</v>
      </c>
      <c r="J836" s="17" t="n">
        <v>46234</v>
      </c>
      <c r="K836" t="inlineStr">
        <is>
          <t>0470/26</t>
        </is>
      </c>
    </row>
    <row r="837">
      <c r="A837" t="inlineStr">
        <is>
          <t>IC4420</t>
        </is>
      </c>
      <c r="B837" t="inlineStr">
        <is>
          <t>NORDEX ENERGY SPAIN S A U</t>
        </is>
      </c>
      <c r="C837" t="n">
        <v>2122100000</v>
      </c>
      <c r="D837" t="inlineStr">
        <is>
          <t>Intercompany</t>
        </is>
      </c>
      <c r="E837" t="n">
        <v>5015624</v>
      </c>
      <c r="F837" t="inlineStr">
        <is>
          <t>4026004950</t>
        </is>
      </c>
      <c r="G837" t="inlineStr">
        <is>
          <t>RE</t>
        </is>
      </c>
      <c r="H837" s="12" t="n">
        <v>-2063.13</v>
      </c>
      <c r="I837" s="17" t="n">
        <v>46204</v>
      </c>
      <c r="J837" s="17" t="n">
        <v>46234</v>
      </c>
      <c r="K837" t="inlineStr">
        <is>
          <t>0470/26</t>
        </is>
      </c>
    </row>
    <row r="838">
      <c r="A838" t="inlineStr">
        <is>
          <t>IC4420</t>
        </is>
      </c>
      <c r="B838" t="inlineStr">
        <is>
          <t>NORDEX ENERGY SPAIN S A U</t>
        </is>
      </c>
      <c r="C838" t="n">
        <v>2122100000</v>
      </c>
      <c r="D838" t="inlineStr">
        <is>
          <t>Intercompany</t>
        </is>
      </c>
      <c r="E838" t="n">
        <v>5015625</v>
      </c>
      <c r="F838" t="inlineStr">
        <is>
          <t>4026004949</t>
        </is>
      </c>
      <c r="G838" t="inlineStr">
        <is>
          <t>RE</t>
        </is>
      </c>
      <c r="H838" s="12" t="n">
        <v>-228560.35</v>
      </c>
      <c r="I838" s="17" t="n">
        <v>46204</v>
      </c>
      <c r="J838" s="17" t="n">
        <v>46234</v>
      </c>
      <c r="K838" t="inlineStr">
        <is>
          <t>0470/26</t>
        </is>
      </c>
    </row>
    <row r="839">
      <c r="A839" t="inlineStr">
        <is>
          <t>IC1000</t>
        </is>
      </c>
      <c r="B839" t="inlineStr">
        <is>
          <t>NORDEX ENERGY SE &amp; CO KG</t>
        </is>
      </c>
      <c r="C839" t="n">
        <v>2122100000</v>
      </c>
      <c r="D839" t="inlineStr">
        <is>
          <t>Intercompany</t>
        </is>
      </c>
      <c r="E839" t="n">
        <v>5015635</v>
      </c>
      <c r="F839" t="inlineStr">
        <is>
          <t>387865</t>
        </is>
      </c>
      <c r="G839" t="inlineStr">
        <is>
          <t>RE</t>
        </is>
      </c>
      <c r="H839" s="12" t="n">
        <v>-12577.31</v>
      </c>
      <c r="I839" s="17" t="n">
        <v>46090</v>
      </c>
      <c r="J839" s="17" t="n">
        <v>46120</v>
      </c>
      <c r="K839" t="inlineStr">
        <is>
          <t>0162/26</t>
        </is>
      </c>
    </row>
    <row r="840">
      <c r="A840" t="inlineStr">
        <is>
          <t>IC4420</t>
        </is>
      </c>
      <c r="B840" t="inlineStr">
        <is>
          <t>NORDEX ENERGY SPAIN S A U</t>
        </is>
      </c>
      <c r="C840" t="n">
        <v>2122100000</v>
      </c>
      <c r="D840" t="inlineStr">
        <is>
          <t>Intercompany</t>
        </is>
      </c>
      <c r="E840" t="n">
        <v>5015642</v>
      </c>
      <c r="F840" t="inlineStr">
        <is>
          <t>4026001259</t>
        </is>
      </c>
      <c r="G840" t="inlineStr">
        <is>
          <t>RE</t>
        </is>
      </c>
      <c r="H840" s="12" t="n">
        <v>-96696.5</v>
      </c>
      <c r="I840" s="17" t="n">
        <v>46073</v>
      </c>
      <c r="J840" s="17" t="n">
        <v>46103</v>
      </c>
      <c r="K840" t="inlineStr">
        <is>
          <t>0093/26</t>
        </is>
      </c>
    </row>
    <row r="841">
      <c r="A841" t="inlineStr">
        <is>
          <t>IC4420</t>
        </is>
      </c>
      <c r="B841" t="inlineStr">
        <is>
          <t>NORDEX ENERGY SPAIN S A U</t>
        </is>
      </c>
      <c r="C841" t="n">
        <v>2122100000</v>
      </c>
      <c r="D841" t="inlineStr">
        <is>
          <t>Intercompany</t>
        </is>
      </c>
      <c r="E841" t="n">
        <v>5015687</v>
      </c>
      <c r="F841" t="inlineStr">
        <is>
          <t>4026005424</t>
        </is>
      </c>
      <c r="G841" t="inlineStr">
        <is>
          <t>RE</t>
        </is>
      </c>
      <c r="H841" s="12" t="n">
        <v>-24795.28</v>
      </c>
      <c r="I841" s="17" t="n">
        <v>46226</v>
      </c>
      <c r="J841" s="17" t="n">
        <v>46256</v>
      </c>
      <c r="K841" t="inlineStr">
        <is>
          <t>0516/26</t>
        </is>
      </c>
    </row>
    <row r="842">
      <c r="A842" t="inlineStr">
        <is>
          <t>IC4420</t>
        </is>
      </c>
      <c r="B842" t="inlineStr">
        <is>
          <t>NORDEX ENERGY SPAIN S A U</t>
        </is>
      </c>
      <c r="C842" t="n">
        <v>2122100000</v>
      </c>
      <c r="D842" t="inlineStr">
        <is>
          <t>Intercompany</t>
        </is>
      </c>
      <c r="E842" t="n">
        <v>5015725</v>
      </c>
      <c r="F842" t="inlineStr">
        <is>
          <t>4026005843</t>
        </is>
      </c>
      <c r="G842" t="inlineStr">
        <is>
          <t>RE</t>
        </is>
      </c>
      <c r="H842" s="12" t="n">
        <v>-12951.46</v>
      </c>
      <c r="I842" s="17" t="n">
        <v>46246</v>
      </c>
      <c r="J842" s="17" t="n">
        <v>46276</v>
      </c>
      <c r="K842" t="inlineStr">
        <is>
          <t>0523/26</t>
        </is>
      </c>
    </row>
    <row r="843">
      <c r="A843" t="inlineStr">
        <is>
          <t>IC5000</t>
        </is>
      </c>
      <c r="B843" t="inlineStr">
        <is>
          <t>NORDEX SE</t>
        </is>
      </c>
      <c r="C843" t="n">
        <v>2122100000</v>
      </c>
      <c r="D843" t="inlineStr">
        <is>
          <t>Intercompany</t>
        </is>
      </c>
      <c r="E843" t="n">
        <v>5015786</v>
      </c>
      <c r="F843" t="inlineStr">
        <is>
          <t>608101</t>
        </is>
      </c>
      <c r="G843" t="inlineStr">
        <is>
          <t>KR</t>
        </is>
      </c>
      <c r="H843" s="12" t="n">
        <v>-3567311.71</v>
      </c>
      <c r="I843" s="17" t="n">
        <v>45391</v>
      </c>
      <c r="J843" s="17" t="n">
        <v>45391</v>
      </c>
      <c r="K843" t="inlineStr">
        <is>
          <t>Vendor Invoice NORDEX SE 608101</t>
        </is>
      </c>
    </row>
    <row r="844">
      <c r="A844" t="inlineStr">
        <is>
          <t>IC5000</t>
        </is>
      </c>
      <c r="B844" t="inlineStr">
        <is>
          <t>NORDEX SE</t>
        </is>
      </c>
      <c r="C844" t="n">
        <v>2122100000</v>
      </c>
      <c r="D844" t="inlineStr">
        <is>
          <t>Intercompany</t>
        </is>
      </c>
      <c r="E844" t="n">
        <v>5015787</v>
      </c>
      <c r="F844" t="inlineStr">
        <is>
          <t>608191</t>
        </is>
      </c>
      <c r="G844" t="inlineStr">
        <is>
          <t>KR</t>
        </is>
      </c>
      <c r="H844" s="12" t="n">
        <v>-4630461.53</v>
      </c>
      <c r="I844" s="17" t="n">
        <v>45407</v>
      </c>
      <c r="J844" s="17" t="n">
        <v>45407</v>
      </c>
      <c r="K844" t="inlineStr">
        <is>
          <t>Vendor Invoice NORDEX SE 608191</t>
        </is>
      </c>
    </row>
    <row r="845">
      <c r="A845" t="inlineStr">
        <is>
          <t>IC1000</t>
        </is>
      </c>
      <c r="B845" t="inlineStr">
        <is>
          <t>NORDEX ENERGY SE &amp; CO KG</t>
        </is>
      </c>
      <c r="C845" t="n">
        <v>2122100000</v>
      </c>
      <c r="D845" t="inlineStr">
        <is>
          <t>Intercompany</t>
        </is>
      </c>
      <c r="E845" t="n">
        <v>5015840</v>
      </c>
      <c r="F845" t="inlineStr">
        <is>
          <t>4012430367</t>
        </is>
      </c>
      <c r="G845" t="inlineStr">
        <is>
          <t>RE</t>
        </is>
      </c>
      <c r="H845" s="12" t="n">
        <v>-46146452.96</v>
      </c>
      <c r="I845" s="17" t="n">
        <v>45678</v>
      </c>
      <c r="J845" s="17" t="n">
        <v>45708</v>
      </c>
      <c r="K845" t="inlineStr">
        <is>
          <t>0078/25</t>
        </is>
      </c>
    </row>
    <row r="846">
      <c r="A846" t="inlineStr">
        <is>
          <t>IC4420</t>
        </is>
      </c>
      <c r="B846" t="inlineStr">
        <is>
          <t>NORDEX ENERGY SPAIN S A U</t>
        </is>
      </c>
      <c r="C846" t="n">
        <v>2122100000</v>
      </c>
      <c r="D846" t="inlineStr">
        <is>
          <t>Intercompany</t>
        </is>
      </c>
      <c r="E846" t="n">
        <v>5015896</v>
      </c>
      <c r="F846" t="inlineStr">
        <is>
          <t>4026005900</t>
        </is>
      </c>
      <c r="G846" t="inlineStr">
        <is>
          <t>RE</t>
        </is>
      </c>
      <c r="H846" s="12" t="n">
        <v>-9821.02</v>
      </c>
      <c r="I846" s="17" t="n">
        <v>46248</v>
      </c>
      <c r="J846" s="17" t="n">
        <v>46278</v>
      </c>
      <c r="K846" t="inlineStr">
        <is>
          <t>0533/26</t>
        </is>
      </c>
    </row>
    <row r="847">
      <c r="A847" t="inlineStr">
        <is>
          <t>IC1000</t>
        </is>
      </c>
      <c r="B847" t="inlineStr">
        <is>
          <t>NORDEX ENERGY SE &amp; CO KG</t>
        </is>
      </c>
      <c r="C847" t="n">
        <v>2122100000</v>
      </c>
      <c r="D847" t="inlineStr">
        <is>
          <t>Intercompany</t>
        </is>
      </c>
      <c r="E847" t="n">
        <v>5015912</v>
      </c>
      <c r="F847" t="inlineStr">
        <is>
          <t>99040</t>
        </is>
      </c>
      <c r="G847" t="inlineStr">
        <is>
          <t>RE</t>
        </is>
      </c>
      <c r="H847" s="12" t="n">
        <v>-13253.83</v>
      </c>
      <c r="I847" s="17" t="n">
        <v>46225</v>
      </c>
      <c r="J847" s="17" t="n">
        <v>46255</v>
      </c>
      <c r="K847" t="inlineStr">
        <is>
          <t>0499/26</t>
        </is>
      </c>
    </row>
    <row r="848">
      <c r="A848" t="inlineStr">
        <is>
          <t>IC1000</t>
        </is>
      </c>
      <c r="B848" t="inlineStr">
        <is>
          <t>NORDEX ENERGY SE &amp; CO KG</t>
        </is>
      </c>
      <c r="C848" t="n">
        <v>2122100000</v>
      </c>
      <c r="D848" t="inlineStr">
        <is>
          <t>Intercompany</t>
        </is>
      </c>
      <c r="E848" t="n">
        <v>5015913</v>
      </c>
      <c r="F848" t="inlineStr">
        <is>
          <t>99041</t>
        </is>
      </c>
      <c r="G848" t="inlineStr">
        <is>
          <t>RE</t>
        </is>
      </c>
      <c r="H848" s="12" t="n">
        <v>-13253.83</v>
      </c>
      <c r="I848" s="17" t="n">
        <v>46225</v>
      </c>
      <c r="J848" s="17" t="n">
        <v>46255</v>
      </c>
      <c r="K848" t="inlineStr">
        <is>
          <t>0499/26</t>
        </is>
      </c>
    </row>
    <row r="849">
      <c r="A849" t="inlineStr">
        <is>
          <t>IC4420</t>
        </is>
      </c>
      <c r="B849" t="inlineStr">
        <is>
          <t>NORDEX ENERGY SPAIN S A U</t>
        </is>
      </c>
      <c r="C849" t="n">
        <v>2122100000</v>
      </c>
      <c r="D849" t="inlineStr">
        <is>
          <t>Intercompany</t>
        </is>
      </c>
      <c r="E849" t="n">
        <v>5015924</v>
      </c>
      <c r="F849" t="inlineStr">
        <is>
          <t>4024002128</t>
        </is>
      </c>
      <c r="G849" t="inlineStr">
        <is>
          <t>RE</t>
        </is>
      </c>
      <c r="H849" s="12" t="n">
        <v>-1310540.27</v>
      </c>
      <c r="I849" s="17" t="n">
        <v>45377</v>
      </c>
      <c r="J849" s="17" t="n">
        <v>45407</v>
      </c>
      <c r="K849" t="inlineStr">
        <is>
          <t>0220/24</t>
        </is>
      </c>
    </row>
    <row r="850">
      <c r="A850" t="inlineStr">
        <is>
          <t>IC1000</t>
        </is>
      </c>
      <c r="B850" t="inlineStr">
        <is>
          <t>NORDEX ENERGY SE &amp; CO KG</t>
        </is>
      </c>
      <c r="C850" t="n">
        <v>2122100000</v>
      </c>
      <c r="D850" t="inlineStr">
        <is>
          <t>Intercompany</t>
        </is>
      </c>
      <c r="E850" t="n">
        <v>5015927</v>
      </c>
      <c r="F850" t="inlineStr">
        <is>
          <t>RITM0431065-OT1</t>
        </is>
      </c>
      <c r="G850" t="inlineStr">
        <is>
          <t>RE</t>
        </is>
      </c>
      <c r="H850" s="12" t="n">
        <v>-233231.9</v>
      </c>
      <c r="I850" s="17" t="n">
        <v>45614</v>
      </c>
      <c r="J850" s="17" t="n">
        <v>45644</v>
      </c>
      <c r="K850" t="inlineStr">
        <is>
          <t>0125/25</t>
        </is>
      </c>
    </row>
    <row r="851">
      <c r="A851" t="inlineStr">
        <is>
          <t>IC4420</t>
        </is>
      </c>
      <c r="B851" t="inlineStr">
        <is>
          <t>NORDEX ENERGY SPAIN S A U</t>
        </is>
      </c>
      <c r="C851" t="n">
        <v>2122100000</v>
      </c>
      <c r="D851" t="inlineStr">
        <is>
          <t>Intercompany</t>
        </is>
      </c>
      <c r="E851" t="n">
        <v>5015938</v>
      </c>
      <c r="F851" t="inlineStr">
        <is>
          <t>4026005580</t>
        </is>
      </c>
      <c r="G851" t="inlineStr">
        <is>
          <t>RE</t>
        </is>
      </c>
      <c r="H851" s="12" t="n">
        <v>-3933.38</v>
      </c>
      <c r="I851" s="17" t="n">
        <v>46231</v>
      </c>
      <c r="J851" s="17" t="n">
        <v>46261</v>
      </c>
      <c r="K851" t="inlineStr">
        <is>
          <t>0498/26</t>
        </is>
      </c>
    </row>
    <row r="852">
      <c r="A852" t="inlineStr">
        <is>
          <t>IC4420</t>
        </is>
      </c>
      <c r="B852" t="inlineStr">
        <is>
          <t>NORDEX ENERGY SPAIN S A U</t>
        </is>
      </c>
      <c r="C852" t="n">
        <v>2122100000</v>
      </c>
      <c r="D852" t="inlineStr">
        <is>
          <t>Intercompany</t>
        </is>
      </c>
      <c r="E852" t="n">
        <v>5015939</v>
      </c>
      <c r="F852" t="inlineStr">
        <is>
          <t>4026005576</t>
        </is>
      </c>
      <c r="G852" t="inlineStr">
        <is>
          <t>RE</t>
        </is>
      </c>
      <c r="H852" s="12" t="n">
        <v>-36885.1</v>
      </c>
      <c r="I852" s="17" t="n">
        <v>46231</v>
      </c>
      <c r="J852" s="17" t="n">
        <v>46261</v>
      </c>
      <c r="K852" t="inlineStr">
        <is>
          <t>0520/26</t>
        </is>
      </c>
    </row>
    <row r="853">
      <c r="A853" t="inlineStr">
        <is>
          <t>IC4420</t>
        </is>
      </c>
      <c r="B853" t="inlineStr">
        <is>
          <t>NORDEX ENERGY SPAIN S A U</t>
        </is>
      </c>
      <c r="C853" t="n">
        <v>2122100000</v>
      </c>
      <c r="D853" t="inlineStr">
        <is>
          <t>Intercompany</t>
        </is>
      </c>
      <c r="E853" t="n">
        <v>5015940</v>
      </c>
      <c r="F853" t="inlineStr">
        <is>
          <t>4026005772</t>
        </is>
      </c>
      <c r="G853" t="inlineStr">
        <is>
          <t>RE</t>
        </is>
      </c>
      <c r="H853" s="12" t="n">
        <v>-2354.59</v>
      </c>
      <c r="I853" s="17" t="n">
        <v>46240</v>
      </c>
      <c r="J853" s="17" t="n">
        <v>46270</v>
      </c>
      <c r="K853" t="inlineStr">
        <is>
          <t>0522/26</t>
        </is>
      </c>
    </row>
    <row r="854">
      <c r="A854" t="inlineStr">
        <is>
          <t>IC1000</t>
        </is>
      </c>
      <c r="B854" t="inlineStr">
        <is>
          <t>NORDEX ENERGY SE &amp; CO KG</t>
        </is>
      </c>
      <c r="C854" t="n">
        <v>2122100000</v>
      </c>
      <c r="D854" t="inlineStr">
        <is>
          <t>Intercompany</t>
        </is>
      </c>
      <c r="E854" t="n">
        <v>5015941</v>
      </c>
      <c r="F854" t="inlineStr">
        <is>
          <t>99053</t>
        </is>
      </c>
      <c r="G854" t="inlineStr">
        <is>
          <t>RE</t>
        </is>
      </c>
      <c r="H854" s="12" t="n">
        <v>-14957.7</v>
      </c>
      <c r="I854" s="17" t="n">
        <v>46237</v>
      </c>
      <c r="J854" s="17" t="n">
        <v>46267</v>
      </c>
      <c r="K854" t="inlineStr">
        <is>
          <t>0521/26</t>
        </is>
      </c>
    </row>
    <row r="855">
      <c r="A855" t="inlineStr">
        <is>
          <t>IC4420</t>
        </is>
      </c>
      <c r="B855" t="inlineStr">
        <is>
          <t>NORDEX ENERGY SPAIN S A U</t>
        </is>
      </c>
      <c r="C855" t="n">
        <v>2122100000</v>
      </c>
      <c r="D855" t="inlineStr">
        <is>
          <t>Intercompany</t>
        </is>
      </c>
      <c r="E855" t="n">
        <v>5015942</v>
      </c>
      <c r="F855" t="inlineStr">
        <is>
          <t>4026005575</t>
        </is>
      </c>
      <c r="G855" t="inlineStr">
        <is>
          <t>RE</t>
        </is>
      </c>
      <c r="H855" s="12" t="n">
        <v>-188964.18</v>
      </c>
      <c r="I855" s="17" t="n">
        <v>46231</v>
      </c>
      <c r="J855" s="17" t="n">
        <v>46261</v>
      </c>
      <c r="K855" t="inlineStr">
        <is>
          <t>0519/26</t>
        </is>
      </c>
    </row>
    <row r="856">
      <c r="A856" t="inlineStr">
        <is>
          <t>IC4420</t>
        </is>
      </c>
      <c r="B856" t="inlineStr">
        <is>
          <t>NORDEX ENERGY SPAIN S A U</t>
        </is>
      </c>
      <c r="C856" t="n">
        <v>2122100000</v>
      </c>
      <c r="D856" t="inlineStr">
        <is>
          <t>Intercompany</t>
        </is>
      </c>
      <c r="E856" t="n">
        <v>5015943</v>
      </c>
      <c r="F856" t="inlineStr">
        <is>
          <t>4026004112</t>
        </is>
      </c>
      <c r="G856" t="inlineStr">
        <is>
          <t>RE</t>
        </is>
      </c>
      <c r="H856" s="12" t="n">
        <v>-3867.06</v>
      </c>
      <c r="I856" s="17" t="n">
        <v>46175</v>
      </c>
      <c r="J856" s="17" t="n">
        <v>46205</v>
      </c>
      <c r="K856" t="inlineStr">
        <is>
          <t>0381/26</t>
        </is>
      </c>
    </row>
    <row r="857">
      <c r="A857" t="inlineStr">
        <is>
          <t>IC4420</t>
        </is>
      </c>
      <c r="B857" t="inlineStr">
        <is>
          <t>NORDEX ENERGY SPAIN S A U</t>
        </is>
      </c>
      <c r="C857" t="n">
        <v>2122100000</v>
      </c>
      <c r="D857" t="inlineStr">
        <is>
          <t>Intercompany</t>
        </is>
      </c>
      <c r="E857" t="n">
        <v>5015944</v>
      </c>
      <c r="F857" t="inlineStr">
        <is>
          <t>4026005107</t>
        </is>
      </c>
      <c r="G857" t="inlineStr">
        <is>
          <t>RE</t>
        </is>
      </c>
      <c r="H857" s="12" t="n">
        <v>-54380.14</v>
      </c>
      <c r="I857" s="17" t="n">
        <v>46206</v>
      </c>
      <c r="J857" s="17" t="n">
        <v>46236</v>
      </c>
      <c r="K857" t="inlineStr">
        <is>
          <t>0460/26</t>
        </is>
      </c>
    </row>
    <row r="858">
      <c r="A858" t="inlineStr">
        <is>
          <t>IC4420</t>
        </is>
      </c>
      <c r="B858" t="inlineStr">
        <is>
          <t>NORDEX ENERGY SPAIN S A U</t>
        </is>
      </c>
      <c r="C858" t="n">
        <v>2122100000</v>
      </c>
      <c r="D858" t="inlineStr">
        <is>
          <t>Intercompany</t>
        </is>
      </c>
      <c r="E858" t="n">
        <v>5015945</v>
      </c>
      <c r="F858" t="inlineStr">
        <is>
          <t>4026005454</t>
        </is>
      </c>
      <c r="G858" t="inlineStr">
        <is>
          <t>RE</t>
        </is>
      </c>
      <c r="H858" s="12" t="n">
        <v>-4362.54</v>
      </c>
      <c r="I858" s="17" t="n">
        <v>46226</v>
      </c>
      <c r="J858" s="17" t="n">
        <v>46256</v>
      </c>
      <c r="K858" t="inlineStr">
        <is>
          <t>0496/26</t>
        </is>
      </c>
    </row>
    <row r="859">
      <c r="A859" t="inlineStr">
        <is>
          <t>IC1000</t>
        </is>
      </c>
      <c r="B859" t="inlineStr">
        <is>
          <t>NORDEX ENERGY SE &amp; CO KG</t>
        </is>
      </c>
      <c r="C859" t="n">
        <v>2122100000</v>
      </c>
      <c r="D859" t="inlineStr">
        <is>
          <t>Intercompany</t>
        </is>
      </c>
      <c r="E859" t="n">
        <v>5015948</v>
      </c>
      <c r="F859" t="inlineStr">
        <is>
          <t>RITM0431065-OT2</t>
        </is>
      </c>
      <c r="G859" t="inlineStr">
        <is>
          <t>RE</t>
        </is>
      </c>
      <c r="H859" s="12" t="n">
        <v>-1125563.8</v>
      </c>
      <c r="I859" s="17" t="n">
        <v>45614</v>
      </c>
      <c r="J859" s="17" t="n">
        <v>45644</v>
      </c>
      <c r="K859" t="inlineStr">
        <is>
          <t>0125/25</t>
        </is>
      </c>
    </row>
    <row r="860">
      <c r="A860" t="inlineStr">
        <is>
          <t>IC4420</t>
        </is>
      </c>
      <c r="B860" t="inlineStr">
        <is>
          <t>NORDEX ENERGY SPAIN S A U</t>
        </is>
      </c>
      <c r="C860" t="n">
        <v>2122100000</v>
      </c>
      <c r="D860" t="inlineStr">
        <is>
          <t>Intercompany</t>
        </is>
      </c>
      <c r="E860" t="n">
        <v>5015983</v>
      </c>
      <c r="F860" t="inlineStr">
        <is>
          <t>4026005851</t>
        </is>
      </c>
      <c r="G860" t="inlineStr">
        <is>
          <t>RE</t>
        </is>
      </c>
      <c r="H860" s="12" t="n">
        <v>-2255.27</v>
      </c>
      <c r="I860" s="17" t="n">
        <v>46246</v>
      </c>
      <c r="J860" s="17" t="n">
        <v>46276</v>
      </c>
      <c r="K860" t="inlineStr">
        <is>
          <t>0524/26</t>
        </is>
      </c>
    </row>
    <row r="861">
      <c r="A861" t="inlineStr">
        <is>
          <t>IC4420</t>
        </is>
      </c>
      <c r="B861" t="inlineStr">
        <is>
          <t>NORDEX ENERGY SPAIN S A U</t>
        </is>
      </c>
      <c r="C861" t="n">
        <v>2122100000</v>
      </c>
      <c r="D861" t="inlineStr">
        <is>
          <t>Intercompany</t>
        </is>
      </c>
      <c r="E861" t="n">
        <v>5016004</v>
      </c>
      <c r="F861" t="inlineStr">
        <is>
          <t>4026005850</t>
        </is>
      </c>
      <c r="G861" t="inlineStr">
        <is>
          <t>RE</t>
        </is>
      </c>
      <c r="H861" s="12" t="n">
        <v>-136613.15</v>
      </c>
      <c r="I861" s="17" t="n">
        <v>46246</v>
      </c>
      <c r="J861" s="17" t="n">
        <v>46276</v>
      </c>
      <c r="K861" t="inlineStr">
        <is>
          <t>0524/26</t>
        </is>
      </c>
    </row>
    <row r="862">
      <c r="A862" t="inlineStr">
        <is>
          <t>IC4420</t>
        </is>
      </c>
      <c r="B862" t="inlineStr">
        <is>
          <t>NORDEX ENERGY SPAIN S A U</t>
        </is>
      </c>
      <c r="C862" t="n">
        <v>2122100000</v>
      </c>
      <c r="D862" t="inlineStr">
        <is>
          <t>Intercompany</t>
        </is>
      </c>
      <c r="E862" t="n">
        <v>5016042</v>
      </c>
      <c r="F862" t="inlineStr">
        <is>
          <t>4026005574</t>
        </is>
      </c>
      <c r="G862" t="inlineStr">
        <is>
          <t>RE</t>
        </is>
      </c>
      <c r="H862" s="12" t="n">
        <v>-4280.27</v>
      </c>
      <c r="I862" s="17" t="n">
        <v>46231</v>
      </c>
      <c r="J862" s="17" t="n">
        <v>46261</v>
      </c>
      <c r="K862" t="inlineStr">
        <is>
          <t>0518/26</t>
        </is>
      </c>
    </row>
    <row r="863">
      <c r="A863" t="inlineStr">
        <is>
          <t>IC4420</t>
        </is>
      </c>
      <c r="B863" t="inlineStr">
        <is>
          <t>NORDEX ENERGY SPAIN S A U</t>
        </is>
      </c>
      <c r="C863" t="n">
        <v>2122100000</v>
      </c>
      <c r="D863" t="inlineStr">
        <is>
          <t>Intercompany</t>
        </is>
      </c>
      <c r="E863" t="n">
        <v>5016108</v>
      </c>
      <c r="F863" t="inlineStr">
        <is>
          <t>4026005894</t>
        </is>
      </c>
      <c r="G863" t="inlineStr">
        <is>
          <t>RE</t>
        </is>
      </c>
      <c r="H863" s="12" t="n">
        <v>-58648.23</v>
      </c>
      <c r="I863" s="17" t="n">
        <v>46248</v>
      </c>
      <c r="J863" s="17" t="n">
        <v>46278</v>
      </c>
      <c r="K863" t="inlineStr">
        <is>
          <t>0532/26</t>
        </is>
      </c>
    </row>
    <row r="864">
      <c r="A864" t="inlineStr">
        <is>
          <t>IC4420</t>
        </is>
      </c>
      <c r="B864" t="inlineStr">
        <is>
          <t>NORDEX ENERGY SPAIN S A U</t>
        </is>
      </c>
      <c r="C864" t="n">
        <v>2122100000</v>
      </c>
      <c r="D864" t="inlineStr">
        <is>
          <t>Intercompany</t>
        </is>
      </c>
      <c r="E864" t="n">
        <v>5016133</v>
      </c>
      <c r="F864" t="inlineStr">
        <is>
          <t>4026005318</t>
        </is>
      </c>
      <c r="G864" t="inlineStr">
        <is>
          <t>RE</t>
        </is>
      </c>
      <c r="H864" s="12" t="n">
        <v>-1931005.81</v>
      </c>
      <c r="I864" s="17" t="n">
        <v>46220</v>
      </c>
      <c r="J864" s="17" t="n">
        <v>46250</v>
      </c>
      <c r="K864" t="inlineStr">
        <is>
          <t>0476/26</t>
        </is>
      </c>
    </row>
    <row r="865">
      <c r="A865" t="inlineStr">
        <is>
          <t>IC1000</t>
        </is>
      </c>
      <c r="B865" t="inlineStr">
        <is>
          <t>NORDEX ENERGY SE &amp; CO KG</t>
        </is>
      </c>
      <c r="C865" t="n">
        <v>2122100000</v>
      </c>
      <c r="D865" t="inlineStr">
        <is>
          <t>Intercompany</t>
        </is>
      </c>
      <c r="E865" t="n">
        <v>5016154</v>
      </c>
      <c r="F865" t="inlineStr">
        <is>
          <t>DE84001640</t>
        </is>
      </c>
      <c r="G865" t="inlineStr">
        <is>
          <t>RE</t>
        </is>
      </c>
      <c r="H865" s="12" t="n">
        <v>-2357.27</v>
      </c>
      <c r="I865" s="17" t="n">
        <v>46251</v>
      </c>
      <c r="J865" s="17" t="n">
        <v>46281</v>
      </c>
      <c r="K865" t="inlineStr">
        <is>
          <t>0535/26</t>
        </is>
      </c>
    </row>
    <row r="866">
      <c r="A866" t="inlineStr">
        <is>
          <t>IC1000</t>
        </is>
      </c>
      <c r="B866" t="inlineStr">
        <is>
          <t>NORDEX ENERGY SE &amp; CO KG</t>
        </is>
      </c>
      <c r="C866" t="n">
        <v>2122100000</v>
      </c>
      <c r="D866" t="inlineStr">
        <is>
          <t>Intercompany</t>
        </is>
      </c>
      <c r="E866" t="n">
        <v>5016317</v>
      </c>
      <c r="F866" t="inlineStr">
        <is>
          <t>RITM0465303</t>
        </is>
      </c>
      <c r="G866" t="inlineStr">
        <is>
          <t>RE</t>
        </is>
      </c>
      <c r="H866" s="12" t="n">
        <v>-4815811.67</v>
      </c>
      <c r="I866" s="17" t="n">
        <v>45712</v>
      </c>
      <c r="J866" s="17" t="n">
        <v>45742</v>
      </c>
      <c r="K866" t="inlineStr">
        <is>
          <t>0249/25</t>
        </is>
      </c>
    </row>
    <row r="867">
      <c r="A867" t="inlineStr">
        <is>
          <t>IC1000</t>
        </is>
      </c>
      <c r="B867" t="inlineStr">
        <is>
          <t>NORDEX ENERGY SE &amp; CO KG</t>
        </is>
      </c>
      <c r="C867" t="n">
        <v>2122100000</v>
      </c>
      <c r="D867" t="inlineStr">
        <is>
          <t>Intercompany</t>
        </is>
      </c>
      <c r="E867" t="n">
        <v>5016318</v>
      </c>
      <c r="F867" t="inlineStr">
        <is>
          <t>RITM0453146</t>
        </is>
      </c>
      <c r="G867" t="inlineStr">
        <is>
          <t>RE</t>
        </is>
      </c>
      <c r="H867" s="12" t="n">
        <v>-2383609.11</v>
      </c>
      <c r="I867" s="17" t="n">
        <v>45686</v>
      </c>
      <c r="J867" s="17" t="n">
        <v>45716</v>
      </c>
      <c r="K867" t="inlineStr">
        <is>
          <t>0252/25</t>
        </is>
      </c>
    </row>
    <row r="868">
      <c r="A868" t="inlineStr">
        <is>
          <t>IC1000</t>
        </is>
      </c>
      <c r="B868" t="inlineStr">
        <is>
          <t>NORDEX ENERGY SE &amp; CO KG</t>
        </is>
      </c>
      <c r="C868" t="n">
        <v>2122100000</v>
      </c>
      <c r="D868" t="inlineStr">
        <is>
          <t>Intercompany</t>
        </is>
      </c>
      <c r="E868" t="n">
        <v>5016662</v>
      </c>
      <c r="F868" t="inlineStr">
        <is>
          <t>334212</t>
        </is>
      </c>
      <c r="G868" t="inlineStr">
        <is>
          <t>RE</t>
        </is>
      </c>
      <c r="H868" s="12" t="n">
        <v>-1030.72</v>
      </c>
      <c r="I868" s="17" t="n">
        <v>45743</v>
      </c>
      <c r="J868" s="17" t="n">
        <v>45773</v>
      </c>
      <c r="K868" t="inlineStr">
        <is>
          <t>0309/25</t>
        </is>
      </c>
    </row>
    <row r="869">
      <c r="A869" t="inlineStr">
        <is>
          <t>IC1000</t>
        </is>
      </c>
      <c r="B869" t="inlineStr">
        <is>
          <t>NORDEX ENERGY SE &amp; CO KG</t>
        </is>
      </c>
      <c r="C869" t="n">
        <v>2122100000</v>
      </c>
      <c r="D869" t="inlineStr">
        <is>
          <t>Intercompany</t>
        </is>
      </c>
      <c r="E869" t="n">
        <v>5016668</v>
      </c>
      <c r="F869" t="inlineStr">
        <is>
          <t>328933</t>
        </is>
      </c>
      <c r="G869" t="inlineStr">
        <is>
          <t>RE</t>
        </is>
      </c>
      <c r="H869" s="12" t="n">
        <v>-1156.64</v>
      </c>
      <c r="I869" s="17" t="n">
        <v>45702</v>
      </c>
      <c r="J869" s="17" t="n">
        <v>45732</v>
      </c>
      <c r="K869" t="inlineStr">
        <is>
          <t>0279/25</t>
        </is>
      </c>
    </row>
    <row r="870">
      <c r="A870" t="inlineStr">
        <is>
          <t>IC1000</t>
        </is>
      </c>
      <c r="B870" t="inlineStr">
        <is>
          <t>NORDEX ENERGY SE &amp; CO KG</t>
        </is>
      </c>
      <c r="C870" t="n">
        <v>2122100000</v>
      </c>
      <c r="D870" t="inlineStr">
        <is>
          <t>Intercompany</t>
        </is>
      </c>
      <c r="E870" t="n">
        <v>5017060</v>
      </c>
      <c r="F870" t="inlineStr">
        <is>
          <t>RITM0456010</t>
        </is>
      </c>
      <c r="G870" t="inlineStr">
        <is>
          <t>RE</t>
        </is>
      </c>
      <c r="H870" s="12" t="n">
        <v>-821461.5</v>
      </c>
      <c r="I870" s="17" t="n">
        <v>45693</v>
      </c>
      <c r="J870" s="17" t="n">
        <v>45723</v>
      </c>
      <c r="K870" t="inlineStr">
        <is>
          <t>0169/25</t>
        </is>
      </c>
    </row>
    <row r="871">
      <c r="A871" t="inlineStr">
        <is>
          <t>IC1000</t>
        </is>
      </c>
      <c r="B871" t="inlineStr">
        <is>
          <t>NORDEX ENERGY SE &amp; CO KG</t>
        </is>
      </c>
      <c r="C871" t="n">
        <v>2122100000</v>
      </c>
      <c r="D871" t="inlineStr">
        <is>
          <t>Intercompany</t>
        </is>
      </c>
      <c r="E871" t="n">
        <v>5017144</v>
      </c>
      <c r="F871" t="inlineStr">
        <is>
          <t>337491</t>
        </is>
      </c>
      <c r="G871" t="inlineStr">
        <is>
          <t>RE</t>
        </is>
      </c>
      <c r="H871" s="12" t="n">
        <v>-4809</v>
      </c>
      <c r="I871" s="17" t="n">
        <v>45747</v>
      </c>
      <c r="J871" s="17" t="n">
        <v>45777</v>
      </c>
      <c r="K871" t="inlineStr">
        <is>
          <t>0301/25</t>
        </is>
      </c>
    </row>
    <row r="872">
      <c r="A872" t="inlineStr">
        <is>
          <t>IC4420</t>
        </is>
      </c>
      <c r="B872" t="inlineStr">
        <is>
          <t>NORDEX ENERGY SPAIN S A U</t>
        </is>
      </c>
      <c r="C872" t="n">
        <v>2122100000</v>
      </c>
      <c r="D872" t="inlineStr">
        <is>
          <t>Intercompany</t>
        </is>
      </c>
      <c r="E872" t="n">
        <v>5017555</v>
      </c>
      <c r="F872" t="inlineStr">
        <is>
          <t>4024002127</t>
        </is>
      </c>
      <c r="G872" t="inlineStr">
        <is>
          <t>RE</t>
        </is>
      </c>
      <c r="H872" s="12" t="n">
        <v>-1287732.81</v>
      </c>
      <c r="I872" s="17" t="n">
        <v>45377</v>
      </c>
      <c r="J872" s="17" t="n">
        <v>45407</v>
      </c>
      <c r="K872" t="inlineStr">
        <is>
          <t>0197/24</t>
        </is>
      </c>
    </row>
    <row r="873">
      <c r="A873" t="inlineStr">
        <is>
          <t>IC4420</t>
        </is>
      </c>
      <c r="B873" t="inlineStr">
        <is>
          <t>NORDEX ENERGY SPAIN S A U</t>
        </is>
      </c>
      <c r="C873" t="n">
        <v>2122100000</v>
      </c>
      <c r="D873" t="inlineStr">
        <is>
          <t>Intercompany</t>
        </is>
      </c>
      <c r="E873" t="n">
        <v>5017556</v>
      </c>
      <c r="F873" t="inlineStr">
        <is>
          <t>4024002116</t>
        </is>
      </c>
      <c r="G873" t="inlineStr">
        <is>
          <t>RE</t>
        </is>
      </c>
      <c r="H873" s="12" t="n">
        <v>-1287732.81</v>
      </c>
      <c r="I873" s="17" t="n">
        <v>45377</v>
      </c>
      <c r="J873" s="17" t="n">
        <v>45407</v>
      </c>
      <c r="K873" t="inlineStr">
        <is>
          <t>0197/24</t>
        </is>
      </c>
    </row>
    <row r="874">
      <c r="A874" t="inlineStr">
        <is>
          <t>IC1000</t>
        </is>
      </c>
      <c r="B874" t="inlineStr">
        <is>
          <t>NORDEX ENERGY SE &amp; CO KG</t>
        </is>
      </c>
      <c r="C874" t="n">
        <v>2122100000</v>
      </c>
      <c r="D874" t="inlineStr">
        <is>
          <t>Intercompany</t>
        </is>
      </c>
      <c r="E874" t="n">
        <v>5018187</v>
      </c>
      <c r="F874" t="inlineStr">
        <is>
          <t>339005</t>
        </is>
      </c>
      <c r="G874" t="inlineStr">
        <is>
          <t>RE</t>
        </is>
      </c>
      <c r="H874" s="12" t="n">
        <v>-3307.51</v>
      </c>
      <c r="I874" s="17" t="n">
        <v>45747</v>
      </c>
      <c r="J874" s="17" t="n">
        <v>45777</v>
      </c>
      <c r="K874" t="inlineStr">
        <is>
          <t>0319/25</t>
        </is>
      </c>
    </row>
    <row r="875">
      <c r="A875" t="inlineStr">
        <is>
          <t>IC1000</t>
        </is>
      </c>
      <c r="B875" t="inlineStr">
        <is>
          <t>NORDEX ENERGY SE &amp; CO KG</t>
        </is>
      </c>
      <c r="C875" t="n">
        <v>2122100000</v>
      </c>
      <c r="D875" t="inlineStr">
        <is>
          <t>Intercompany</t>
        </is>
      </c>
      <c r="E875" t="n">
        <v>5018190</v>
      </c>
      <c r="F875" t="inlineStr">
        <is>
          <t>4012361617</t>
        </is>
      </c>
      <c r="G875" t="inlineStr">
        <is>
          <t>RE</t>
        </is>
      </c>
      <c r="H875" s="12" t="n">
        <v>-91115.22</v>
      </c>
      <c r="I875" s="17" t="n">
        <v>45253</v>
      </c>
      <c r="J875" s="17" t="n">
        <v>45283</v>
      </c>
      <c r="K875" t="inlineStr">
        <is>
          <t>0111/24</t>
        </is>
      </c>
    </row>
    <row r="876">
      <c r="A876" t="inlineStr">
        <is>
          <t>IC1000</t>
        </is>
      </c>
      <c r="B876" t="inlineStr">
        <is>
          <t>NORDEX ENERGY SE &amp; CO KG</t>
        </is>
      </c>
      <c r="C876" t="n">
        <v>2122100000</v>
      </c>
      <c r="D876" t="inlineStr">
        <is>
          <t>Intercompany</t>
        </is>
      </c>
      <c r="E876" t="n">
        <v>5018503</v>
      </c>
      <c r="F876" t="inlineStr">
        <is>
          <t>341200</t>
        </is>
      </c>
      <c r="G876" t="inlineStr">
        <is>
          <t>RE</t>
        </is>
      </c>
      <c r="H876" s="12" t="n">
        <v>-173085.51</v>
      </c>
      <c r="I876" s="17" t="n">
        <v>45776</v>
      </c>
      <c r="J876" s="17" t="n">
        <v>45806</v>
      </c>
      <c r="K876" t="inlineStr">
        <is>
          <t>0364/25</t>
        </is>
      </c>
    </row>
    <row r="877">
      <c r="A877" t="inlineStr">
        <is>
          <t>IC1000</t>
        </is>
      </c>
      <c r="B877" t="inlineStr">
        <is>
          <t>NORDEX ENERGY SE &amp; CO KG</t>
        </is>
      </c>
      <c r="C877" t="n">
        <v>2122100000</v>
      </c>
      <c r="D877" t="inlineStr">
        <is>
          <t>Intercompany</t>
        </is>
      </c>
      <c r="E877" t="n">
        <v>5018911</v>
      </c>
      <c r="F877" t="inlineStr">
        <is>
          <t>337910</t>
        </is>
      </c>
      <c r="G877" t="inlineStr">
        <is>
          <t>RE</t>
        </is>
      </c>
      <c r="H877" s="12" t="n">
        <v>-306671.91</v>
      </c>
      <c r="I877" s="17" t="n">
        <v>45750</v>
      </c>
      <c r="J877" s="17" t="n">
        <v>45780</v>
      </c>
      <c r="K877" t="inlineStr">
        <is>
          <t>0354/25</t>
        </is>
      </c>
    </row>
    <row r="878">
      <c r="A878" t="inlineStr">
        <is>
          <t>IC1000</t>
        </is>
      </c>
      <c r="B878" t="inlineStr">
        <is>
          <t>NORDEX ENERGY SE &amp; CO KG</t>
        </is>
      </c>
      <c r="C878" t="n">
        <v>2122100000</v>
      </c>
      <c r="D878" t="inlineStr">
        <is>
          <t>Intercompany</t>
        </is>
      </c>
      <c r="E878" t="n">
        <v>5018930</v>
      </c>
      <c r="F878" t="inlineStr">
        <is>
          <t>337177</t>
        </is>
      </c>
      <c r="G878" t="inlineStr">
        <is>
          <t>RE</t>
        </is>
      </c>
      <c r="H878" s="12" t="n">
        <v>-41792.46</v>
      </c>
      <c r="I878" s="17" t="n">
        <v>45744</v>
      </c>
      <c r="J878" s="17" t="n">
        <v>45774</v>
      </c>
      <c r="K878" t="inlineStr">
        <is>
          <t>0317/25</t>
        </is>
      </c>
    </row>
    <row r="879">
      <c r="A879" t="inlineStr">
        <is>
          <t>IC4420</t>
        </is>
      </c>
      <c r="B879" t="inlineStr">
        <is>
          <t>NORDEX ENERGY SPAIN S A U</t>
        </is>
      </c>
      <c r="C879" t="n">
        <v>2122100000</v>
      </c>
      <c r="D879" t="inlineStr">
        <is>
          <t>Intercompany</t>
        </is>
      </c>
      <c r="E879" t="n">
        <v>5019106</v>
      </c>
      <c r="F879" t="inlineStr">
        <is>
          <t>126-2</t>
        </is>
      </c>
      <c r="G879" t="inlineStr">
        <is>
          <t>RE</t>
        </is>
      </c>
      <c r="H879" s="12" t="n">
        <v>-171236.74</v>
      </c>
      <c r="I879" s="17" t="n">
        <v>45177</v>
      </c>
      <c r="J879" s="17" t="n">
        <v>45237</v>
      </c>
      <c r="K879" t="inlineStr">
        <is>
          <t>Fatura - bruto NORDEX ENERGY SPAIN S.A.U. 126-2</t>
        </is>
      </c>
    </row>
    <row r="880">
      <c r="A880" t="inlineStr">
        <is>
          <t>IC4420</t>
        </is>
      </c>
      <c r="B880" t="inlineStr">
        <is>
          <t>NORDEX ENERGY SPAIN S A U</t>
        </is>
      </c>
      <c r="C880" t="n">
        <v>2122100000</v>
      </c>
      <c r="D880" t="inlineStr">
        <is>
          <t>Intercompany</t>
        </is>
      </c>
      <c r="E880" t="n">
        <v>5019341</v>
      </c>
      <c r="F880" t="inlineStr">
        <is>
          <t>11-4</t>
        </is>
      </c>
      <c r="G880" t="inlineStr">
        <is>
          <t>RE</t>
        </is>
      </c>
      <c r="H880" s="12" t="n">
        <v>-181904.17</v>
      </c>
      <c r="I880" s="17" t="n">
        <v>45099</v>
      </c>
      <c r="J880" s="17" t="n">
        <v>45159</v>
      </c>
      <c r="K880" t="inlineStr">
        <is>
          <t>Fatura - bruto NORDEX ENERGY SPAIN S.A.U. 11-4</t>
        </is>
      </c>
    </row>
    <row r="881">
      <c r="A881" t="inlineStr">
        <is>
          <t>IC1000</t>
        </is>
      </c>
      <c r="B881" t="inlineStr">
        <is>
          <t>NORDEX ENERGY SE &amp; CO KG</t>
        </is>
      </c>
      <c r="C881" t="n">
        <v>2122100000</v>
      </c>
      <c r="D881" t="inlineStr">
        <is>
          <t>Intercompany</t>
        </is>
      </c>
      <c r="E881" t="n">
        <v>5019450</v>
      </c>
      <c r="F881" t="inlineStr">
        <is>
          <t>184-4</t>
        </is>
      </c>
      <c r="G881" t="inlineStr">
        <is>
          <t>RE</t>
        </is>
      </c>
      <c r="H881" s="12" t="n">
        <v>-1349.3</v>
      </c>
      <c r="I881" s="17" t="n">
        <v>45131</v>
      </c>
      <c r="J881" s="17" t="n">
        <v>45161</v>
      </c>
      <c r="K881" t="inlineStr">
        <is>
          <t>Fatura - bruto NORDEX ENERGY SE &amp; CO. KG 184-4</t>
        </is>
      </c>
    </row>
    <row r="882">
      <c r="A882" t="inlineStr">
        <is>
          <t>IC5000</t>
        </is>
      </c>
      <c r="B882" t="inlineStr">
        <is>
          <t>NORDEX SE</t>
        </is>
      </c>
      <c r="C882" t="n">
        <v>2122100000</v>
      </c>
      <c r="D882" t="inlineStr">
        <is>
          <t>Intercompany</t>
        </is>
      </c>
      <c r="E882" t="n">
        <v>5019487</v>
      </c>
      <c r="F882" t="inlineStr">
        <is>
          <t>607611</t>
        </is>
      </c>
      <c r="G882" t="inlineStr">
        <is>
          <t>KR</t>
        </is>
      </c>
      <c r="H882" s="12" t="n">
        <v>-7179666.67</v>
      </c>
      <c r="I882" s="17" t="n">
        <v>45278</v>
      </c>
      <c r="J882" s="17" t="n">
        <v>45278</v>
      </c>
      <c r="K882" t="inlineStr">
        <is>
          <t>Fatura ref. Juros sobre Empréstimos – Nordex SE</t>
        </is>
      </c>
    </row>
    <row r="883">
      <c r="A883" t="inlineStr">
        <is>
          <t>IC5000</t>
        </is>
      </c>
      <c r="B883" t="inlineStr">
        <is>
          <t>NORDEX SE</t>
        </is>
      </c>
      <c r="C883" t="n">
        <v>2122100000</v>
      </c>
      <c r="D883" t="inlineStr">
        <is>
          <t>Intercompany</t>
        </is>
      </c>
      <c r="E883" t="n">
        <v>5019501</v>
      </c>
      <c r="F883" t="inlineStr">
        <is>
          <t>607554</t>
        </is>
      </c>
      <c r="G883" t="inlineStr">
        <is>
          <t>KR</t>
        </is>
      </c>
      <c r="H883" s="12" t="n">
        <v>-17802718.79</v>
      </c>
      <c r="I883" s="17" t="n">
        <v>45274</v>
      </c>
      <c r="J883" s="17" t="n">
        <v>45274</v>
      </c>
      <c r="K883" t="inlineStr">
        <is>
          <t>Fatura do fornecedor NORDEX SE 607554</t>
        </is>
      </c>
    </row>
    <row r="884">
      <c r="A884" t="inlineStr">
        <is>
          <t>IC1000</t>
        </is>
      </c>
      <c r="B884" t="inlineStr">
        <is>
          <t>NORDEX ENERGY SE &amp; CO KG</t>
        </is>
      </c>
      <c r="C884" t="n">
        <v>2122100000</v>
      </c>
      <c r="D884" t="inlineStr">
        <is>
          <t>Intercompany</t>
        </is>
      </c>
      <c r="E884" t="n">
        <v>5019618</v>
      </c>
      <c r="F884" t="inlineStr">
        <is>
          <t>618708</t>
        </is>
      </c>
      <c r="G884" t="inlineStr">
        <is>
          <t>KR</t>
        </is>
      </c>
      <c r="H884" s="12" t="n">
        <v>-21946147.51</v>
      </c>
      <c r="I884" s="17" t="n">
        <v>45274</v>
      </c>
      <c r="J884" s="17" t="n">
        <v>45304</v>
      </c>
      <c r="K884" t="inlineStr">
        <is>
          <t>Fatura do fornecedor NORDEX ENERGY SE &amp; CO. KG 618</t>
        </is>
      </c>
    </row>
    <row r="885">
      <c r="A885" t="inlineStr">
        <is>
          <t>IC1000</t>
        </is>
      </c>
      <c r="B885" t="inlineStr">
        <is>
          <t>NORDEX ENERGY SE &amp; CO KG</t>
        </is>
      </c>
      <c r="C885" t="n">
        <v>2122100000</v>
      </c>
      <c r="D885" t="inlineStr">
        <is>
          <t>Intercompany</t>
        </is>
      </c>
      <c r="E885" t="n">
        <v>5019744</v>
      </c>
      <c r="F885" t="inlineStr">
        <is>
          <t>172-4</t>
        </is>
      </c>
      <c r="G885" t="inlineStr">
        <is>
          <t>RE</t>
        </is>
      </c>
      <c r="H885" s="12" t="n">
        <v>-177647.43</v>
      </c>
      <c r="I885" s="17" t="n">
        <v>45121</v>
      </c>
      <c r="J885" s="17" t="n">
        <v>45151</v>
      </c>
      <c r="K885" t="inlineStr">
        <is>
          <t>Fatura - bruto NORDEX ENERGY SE &amp; CO. KG 172-4</t>
        </is>
      </c>
    </row>
    <row r="886">
      <c r="A886" t="inlineStr">
        <is>
          <t>IC1000</t>
        </is>
      </c>
      <c r="B886" t="inlineStr">
        <is>
          <t>NORDEX ENERGY SE &amp; CO KG</t>
        </is>
      </c>
      <c r="C886" t="n">
        <v>2122100000</v>
      </c>
      <c r="D886" t="inlineStr">
        <is>
          <t>Intercompany</t>
        </is>
      </c>
      <c r="E886" t="n">
        <v>5019760</v>
      </c>
      <c r="F886" t="inlineStr">
        <is>
          <t>173-4</t>
        </is>
      </c>
      <c r="G886" t="inlineStr">
        <is>
          <t>RE</t>
        </is>
      </c>
      <c r="H886" s="12" t="n">
        <v>-456265.39</v>
      </c>
      <c r="I886" s="17" t="n">
        <v>45121</v>
      </c>
      <c r="J886" s="17" t="n">
        <v>45151</v>
      </c>
      <c r="K886" t="inlineStr">
        <is>
          <t>Fatura - bruto NORDEX ENERGY SE &amp; CO. KG 173-4</t>
        </is>
      </c>
    </row>
    <row r="887">
      <c r="A887" t="inlineStr">
        <is>
          <t>IC1000</t>
        </is>
      </c>
      <c r="B887" t="inlineStr">
        <is>
          <t>NORDEX ENERGY SE &amp; CO KG</t>
        </is>
      </c>
      <c r="C887" t="n">
        <v>2122100000</v>
      </c>
      <c r="D887" t="inlineStr">
        <is>
          <t>Intercompany</t>
        </is>
      </c>
      <c r="E887" t="n">
        <v>5019762</v>
      </c>
      <c r="F887" t="inlineStr">
        <is>
          <t>174-4</t>
        </is>
      </c>
      <c r="G887" t="inlineStr">
        <is>
          <t>RE</t>
        </is>
      </c>
      <c r="H887" s="12" t="n">
        <v>-8021.12</v>
      </c>
      <c r="I887" s="17" t="n">
        <v>45121</v>
      </c>
      <c r="J887" s="17" t="n">
        <v>45151</v>
      </c>
      <c r="K887" t="inlineStr">
        <is>
          <t>Fatura - bruto NORDEX ENERGY SE &amp; CO. KG 174-4</t>
        </is>
      </c>
    </row>
    <row r="888">
      <c r="A888" t="inlineStr">
        <is>
          <t>IC1000</t>
        </is>
      </c>
      <c r="B888" t="inlineStr">
        <is>
          <t>NORDEX ENERGY SE &amp; CO KG</t>
        </is>
      </c>
      <c r="C888" t="n">
        <v>2122100000</v>
      </c>
      <c r="D888" t="inlineStr">
        <is>
          <t>Intercompany</t>
        </is>
      </c>
      <c r="E888" t="n">
        <v>5019781</v>
      </c>
      <c r="F888" t="inlineStr">
        <is>
          <t>179-4</t>
        </is>
      </c>
      <c r="G888" t="inlineStr">
        <is>
          <t>RE</t>
        </is>
      </c>
      <c r="H888" s="12" t="n">
        <v>-40081.96</v>
      </c>
      <c r="I888" s="17" t="n">
        <v>45128</v>
      </c>
      <c r="J888" s="17" t="n">
        <v>45158</v>
      </c>
      <c r="K888" t="inlineStr">
        <is>
          <t>Fatura - bruto NORDEX ENERGY SE &amp; CO. KG 179-4</t>
        </is>
      </c>
    </row>
    <row r="889">
      <c r="A889" t="inlineStr">
        <is>
          <t>IC1000</t>
        </is>
      </c>
      <c r="B889" t="inlineStr">
        <is>
          <t>NORDEX ENERGY SE &amp; CO KG</t>
        </is>
      </c>
      <c r="C889" t="n">
        <v>2122100000</v>
      </c>
      <c r="D889" t="inlineStr">
        <is>
          <t>Intercompany</t>
        </is>
      </c>
      <c r="E889" t="n">
        <v>5019801</v>
      </c>
      <c r="F889" t="inlineStr">
        <is>
          <t>180-4</t>
        </is>
      </c>
      <c r="G889" t="inlineStr">
        <is>
          <t>RE</t>
        </is>
      </c>
      <c r="H889" s="12" t="n">
        <v>-147144.3</v>
      </c>
      <c r="I889" s="17" t="n">
        <v>45128</v>
      </c>
      <c r="J889" s="17" t="n">
        <v>45158</v>
      </c>
      <c r="K889" t="inlineStr">
        <is>
          <t>Invoice Receipt MM NORDEX ENERGY SE &amp; CO. KG 180-4</t>
        </is>
      </c>
    </row>
    <row r="890">
      <c r="A890" t="inlineStr">
        <is>
          <t>IC1000</t>
        </is>
      </c>
      <c r="B890" t="inlineStr">
        <is>
          <t>NORDEX ENERGY SE &amp; CO KG</t>
        </is>
      </c>
      <c r="C890" t="n">
        <v>2122100000</v>
      </c>
      <c r="D890" t="inlineStr">
        <is>
          <t>Intercompany</t>
        </is>
      </c>
      <c r="E890" t="n">
        <v>5019807</v>
      </c>
      <c r="F890" t="inlineStr">
        <is>
          <t>178-4</t>
        </is>
      </c>
      <c r="G890" t="inlineStr">
        <is>
          <t>RE</t>
        </is>
      </c>
      <c r="H890" s="12" t="n">
        <v>-69360.61</v>
      </c>
      <c r="I890" s="17" t="n">
        <v>45128</v>
      </c>
      <c r="J890" s="17" t="n">
        <v>45158</v>
      </c>
      <c r="K890" t="inlineStr">
        <is>
          <t>Invoice Receipt MM NORDEX ENERGY SE &amp; CO. KG 178-4</t>
        </is>
      </c>
    </row>
    <row r="891">
      <c r="A891" t="inlineStr">
        <is>
          <t>IC1000</t>
        </is>
      </c>
      <c r="B891" t="inlineStr">
        <is>
          <t>NORDEX ENERGY SE &amp; CO KG</t>
        </is>
      </c>
      <c r="C891" t="n">
        <v>2122100000</v>
      </c>
      <c r="D891" t="inlineStr">
        <is>
          <t>Intercompany</t>
        </is>
      </c>
      <c r="E891" t="n">
        <v>5019900</v>
      </c>
      <c r="F891" t="inlineStr">
        <is>
          <t>342634</t>
        </is>
      </c>
      <c r="G891" t="inlineStr">
        <is>
          <t>RE</t>
        </is>
      </c>
      <c r="H891" s="12" t="n">
        <v>-5983.68</v>
      </c>
      <c r="I891" s="17" t="n">
        <v>45784</v>
      </c>
      <c r="J891" s="17" t="n">
        <v>45814</v>
      </c>
      <c r="K891" t="inlineStr">
        <is>
          <t>0400/25</t>
        </is>
      </c>
    </row>
    <row r="892">
      <c r="A892" t="inlineStr">
        <is>
          <t>IC5000</t>
        </is>
      </c>
      <c r="B892" t="inlineStr">
        <is>
          <t>NORDEX SE</t>
        </is>
      </c>
      <c r="C892" t="n">
        <v>2122100000</v>
      </c>
      <c r="D892" t="inlineStr">
        <is>
          <t>Intercompany</t>
        </is>
      </c>
      <c r="E892" t="n">
        <v>5019962</v>
      </c>
      <c r="F892" t="inlineStr">
        <is>
          <t>607687</t>
        </is>
      </c>
      <c r="G892" t="inlineStr">
        <is>
          <t>KR</t>
        </is>
      </c>
      <c r="H892" s="12" t="n">
        <v>-3682917.39</v>
      </c>
      <c r="I892" s="17" t="n">
        <v>45291</v>
      </c>
      <c r="J892" s="17" t="n">
        <v>45291</v>
      </c>
      <c r="K892" t="inlineStr">
        <is>
          <t>Vendor Invoice NORDEX SE 607687</t>
        </is>
      </c>
    </row>
    <row r="893">
      <c r="A893" t="inlineStr">
        <is>
          <t>IC1000</t>
        </is>
      </c>
      <c r="B893" t="inlineStr">
        <is>
          <t>NORDEX ENERGY SE &amp; CO KG</t>
        </is>
      </c>
      <c r="C893" t="n">
        <v>2122100000</v>
      </c>
      <c r="D893" t="inlineStr">
        <is>
          <t>Intercompany</t>
        </is>
      </c>
      <c r="E893" t="n">
        <v>5019978</v>
      </c>
      <c r="F893" t="inlineStr">
        <is>
          <t>618843</t>
        </is>
      </c>
      <c r="G893" t="inlineStr">
        <is>
          <t>KR</t>
        </is>
      </c>
      <c r="H893" s="12" t="n">
        <v>-55456083.07</v>
      </c>
      <c r="I893" s="17" t="n">
        <v>45288</v>
      </c>
      <c r="J893" s="17" t="n">
        <v>45318</v>
      </c>
      <c r="K893" t="inlineStr">
        <is>
          <t>Fatura do fornecedor NORDEX ENERGY SE &amp; CO. KG 618</t>
        </is>
      </c>
    </row>
    <row r="894">
      <c r="A894" t="inlineStr">
        <is>
          <t>IC1000</t>
        </is>
      </c>
      <c r="B894" t="inlineStr">
        <is>
          <t>NORDEX ENERGY SE &amp; CO KG</t>
        </is>
      </c>
      <c r="C894" t="n">
        <v>2122100000</v>
      </c>
      <c r="D894" t="inlineStr">
        <is>
          <t>Intercompany</t>
        </is>
      </c>
      <c r="E894" t="n">
        <v>5019979</v>
      </c>
      <c r="F894" t="inlineStr">
        <is>
          <t>618844</t>
        </is>
      </c>
      <c r="G894" t="inlineStr">
        <is>
          <t>KR</t>
        </is>
      </c>
      <c r="H894" s="12" t="n">
        <v>-48177791.9</v>
      </c>
      <c r="I894" s="17" t="n">
        <v>45288</v>
      </c>
      <c r="J894" s="17" t="n">
        <v>45318</v>
      </c>
      <c r="K894" t="inlineStr">
        <is>
          <t>Fatura do fornecedor NORDEX ENERGY SE &amp; CO. KG 618</t>
        </is>
      </c>
    </row>
    <row r="895">
      <c r="A895" t="inlineStr">
        <is>
          <t>IC1000</t>
        </is>
      </c>
      <c r="B895" t="inlineStr">
        <is>
          <t>NORDEX ENERGY SE &amp; CO KG</t>
        </is>
      </c>
      <c r="C895" t="n">
        <v>2122100000</v>
      </c>
      <c r="D895" t="inlineStr">
        <is>
          <t>Intercompany</t>
        </is>
      </c>
      <c r="E895" t="n">
        <v>5019980</v>
      </c>
      <c r="F895" t="inlineStr">
        <is>
          <t>618846</t>
        </is>
      </c>
      <c r="G895" t="inlineStr">
        <is>
          <t>KR</t>
        </is>
      </c>
      <c r="H895" s="12" t="n">
        <v>-81941862.59999999</v>
      </c>
      <c r="I895" s="17" t="n">
        <v>45288</v>
      </c>
      <c r="J895" s="17" t="n">
        <v>45318</v>
      </c>
      <c r="K895" t="inlineStr">
        <is>
          <t>Fatura do fornecedor NORDEX ENERGY SE &amp; CO. KG 618</t>
        </is>
      </c>
    </row>
    <row r="896">
      <c r="A896" t="inlineStr">
        <is>
          <t>IC5000</t>
        </is>
      </c>
      <c r="B896" t="inlineStr">
        <is>
          <t>NORDEX SE</t>
        </is>
      </c>
      <c r="C896" t="n">
        <v>2122100000</v>
      </c>
      <c r="D896" t="inlineStr">
        <is>
          <t>Intercompany</t>
        </is>
      </c>
      <c r="E896" t="n">
        <v>5019981</v>
      </c>
      <c r="F896" t="inlineStr">
        <is>
          <t>607480</t>
        </is>
      </c>
      <c r="G896" t="inlineStr">
        <is>
          <t>KR</t>
        </is>
      </c>
      <c r="H896" s="12" t="n">
        <v>-207613.79</v>
      </c>
      <c r="I896" s="17" t="n">
        <v>45264</v>
      </c>
      <c r="J896" s="17" t="n">
        <v>45264</v>
      </c>
      <c r="K896" t="inlineStr">
        <is>
          <t>Fatura do fornecedor NORDEX SE 607480</t>
        </is>
      </c>
    </row>
    <row r="897">
      <c r="A897" t="inlineStr">
        <is>
          <t>IC5000</t>
        </is>
      </c>
      <c r="B897" t="inlineStr">
        <is>
          <t>NORDEX SE</t>
        </is>
      </c>
      <c r="C897" t="n">
        <v>2122100000</v>
      </c>
      <c r="D897" t="inlineStr">
        <is>
          <t>Intercompany</t>
        </is>
      </c>
      <c r="E897" t="n">
        <v>5019985</v>
      </c>
      <c r="F897" t="inlineStr">
        <is>
          <t>607617</t>
        </is>
      </c>
      <c r="G897" t="inlineStr">
        <is>
          <t>KR</t>
        </is>
      </c>
      <c r="H897" s="12" t="n">
        <v>-13392.99</v>
      </c>
      <c r="I897" s="17" t="n">
        <v>45278</v>
      </c>
      <c r="J897" s="17" t="n">
        <v>45278</v>
      </c>
      <c r="K897" t="inlineStr">
        <is>
          <t>Fatura do fornecedor NORDEX SE 607617</t>
        </is>
      </c>
    </row>
    <row r="898">
      <c r="A898" t="inlineStr">
        <is>
          <t>IC5000</t>
        </is>
      </c>
      <c r="B898" t="inlineStr">
        <is>
          <t>NORDEX SE</t>
        </is>
      </c>
      <c r="C898" t="n">
        <v>2122100000</v>
      </c>
      <c r="D898" t="inlineStr">
        <is>
          <t>Intercompany</t>
        </is>
      </c>
      <c r="E898" t="n">
        <v>5019986</v>
      </c>
      <c r="F898" t="inlineStr">
        <is>
          <t>607620</t>
        </is>
      </c>
      <c r="G898" t="inlineStr">
        <is>
          <t>KR</t>
        </is>
      </c>
      <c r="H898" s="12" t="n">
        <v>-13167</v>
      </c>
      <c r="I898" s="17" t="n">
        <v>45278</v>
      </c>
      <c r="J898" s="17" t="n">
        <v>45278</v>
      </c>
      <c r="K898" t="inlineStr">
        <is>
          <t>Fatura do fornecedor NORDEX SE 607620</t>
        </is>
      </c>
    </row>
    <row r="899">
      <c r="A899" t="inlineStr">
        <is>
          <t>IC5000</t>
        </is>
      </c>
      <c r="B899" t="inlineStr">
        <is>
          <t>NORDEX SE</t>
        </is>
      </c>
      <c r="C899" t="n">
        <v>2122100000</v>
      </c>
      <c r="D899" t="inlineStr">
        <is>
          <t>Intercompany</t>
        </is>
      </c>
      <c r="E899" t="n">
        <v>5019987</v>
      </c>
      <c r="F899" t="inlineStr">
        <is>
          <t>607624</t>
        </is>
      </c>
      <c r="G899" t="inlineStr">
        <is>
          <t>KR</t>
        </is>
      </c>
      <c r="H899" s="12" t="n">
        <v>-110624.97</v>
      </c>
      <c r="I899" s="17" t="n">
        <v>45278</v>
      </c>
      <c r="J899" s="17" t="n">
        <v>45278</v>
      </c>
      <c r="K899" t="inlineStr">
        <is>
          <t>Fatura do fornecedor NORDEX SE 607624</t>
        </is>
      </c>
    </row>
    <row r="900">
      <c r="A900" t="inlineStr">
        <is>
          <t>IC5000</t>
        </is>
      </c>
      <c r="B900" t="inlineStr">
        <is>
          <t>NORDEX SE</t>
        </is>
      </c>
      <c r="C900" t="n">
        <v>2122100000</v>
      </c>
      <c r="D900" t="inlineStr">
        <is>
          <t>Intercompany</t>
        </is>
      </c>
      <c r="E900" t="n">
        <v>5019988</v>
      </c>
      <c r="F900" t="inlineStr">
        <is>
          <t>607625</t>
        </is>
      </c>
      <c r="G900" t="inlineStr">
        <is>
          <t>KR</t>
        </is>
      </c>
      <c r="H900" s="12" t="n">
        <v>-10317</v>
      </c>
      <c r="I900" s="17" t="n">
        <v>45278</v>
      </c>
      <c r="J900" s="17" t="n">
        <v>45278</v>
      </c>
      <c r="K900" t="inlineStr">
        <is>
          <t>Fatura do fornecedor NORDEX SE 607625</t>
        </is>
      </c>
    </row>
    <row r="901">
      <c r="A901" t="inlineStr">
        <is>
          <t>IC5000</t>
        </is>
      </c>
      <c r="B901" t="inlineStr">
        <is>
          <t>NORDEX SE</t>
        </is>
      </c>
      <c r="C901" t="n">
        <v>2122100000</v>
      </c>
      <c r="D901" t="inlineStr">
        <is>
          <t>Intercompany</t>
        </is>
      </c>
      <c r="E901" t="n">
        <v>5019989</v>
      </c>
      <c r="F901" t="inlineStr">
        <is>
          <t>607629</t>
        </is>
      </c>
      <c r="G901" t="inlineStr">
        <is>
          <t>KR</t>
        </is>
      </c>
      <c r="H901" s="12" t="n">
        <v>-148635.73</v>
      </c>
      <c r="I901" s="17" t="n">
        <v>45278</v>
      </c>
      <c r="J901" s="17" t="n">
        <v>45278</v>
      </c>
      <c r="K901" t="inlineStr">
        <is>
          <t>Fatura do fornecedor NORDEX SE 607629</t>
        </is>
      </c>
    </row>
    <row r="902">
      <c r="A902" t="inlineStr">
        <is>
          <t>IC1000</t>
        </is>
      </c>
      <c r="B902" t="inlineStr">
        <is>
          <t>NORDEX ENERGY SE &amp; CO KG</t>
        </is>
      </c>
      <c r="C902" t="n">
        <v>2122100000</v>
      </c>
      <c r="D902" t="inlineStr">
        <is>
          <t>Intercompany</t>
        </is>
      </c>
      <c r="E902" t="n">
        <v>5019992</v>
      </c>
      <c r="F902" t="inlineStr">
        <is>
          <t>618772</t>
        </is>
      </c>
      <c r="G902" t="inlineStr">
        <is>
          <t>KR</t>
        </is>
      </c>
      <c r="H902" s="12" t="n">
        <v>-9061.41</v>
      </c>
      <c r="I902" s="17" t="n">
        <v>45278</v>
      </c>
      <c r="J902" s="17" t="n">
        <v>45308</v>
      </c>
      <c r="K902" t="inlineStr">
        <is>
          <t>Fatura do fornecedor NORDEX ENERGY SE &amp; CO. KG 618</t>
        </is>
      </c>
    </row>
    <row r="903">
      <c r="A903" t="inlineStr">
        <is>
          <t>IC1000</t>
        </is>
      </c>
      <c r="B903" t="inlineStr">
        <is>
          <t>NORDEX ENERGY SE &amp; CO KG</t>
        </is>
      </c>
      <c r="C903" t="n">
        <v>2122100000</v>
      </c>
      <c r="D903" t="inlineStr">
        <is>
          <t>Intercompany</t>
        </is>
      </c>
      <c r="E903" t="n">
        <v>5019993</v>
      </c>
      <c r="F903" t="inlineStr">
        <is>
          <t>618770</t>
        </is>
      </c>
      <c r="G903" t="inlineStr">
        <is>
          <t>KR</t>
        </is>
      </c>
      <c r="H903" s="12" t="n">
        <v>-37244.01</v>
      </c>
      <c r="I903" s="17" t="n">
        <v>45278</v>
      </c>
      <c r="J903" s="17" t="n">
        <v>45308</v>
      </c>
      <c r="K903" t="inlineStr">
        <is>
          <t>Fatura do fornecedor NORDEX ENERGY SE &amp; CO. KG 618</t>
        </is>
      </c>
    </row>
    <row r="904">
      <c r="A904" t="inlineStr">
        <is>
          <t>IC1000</t>
        </is>
      </c>
      <c r="B904" t="inlineStr">
        <is>
          <t>NORDEX ENERGY SE &amp; CO KG</t>
        </is>
      </c>
      <c r="C904" t="n">
        <v>2122100000</v>
      </c>
      <c r="D904" t="inlineStr">
        <is>
          <t>Intercompany</t>
        </is>
      </c>
      <c r="E904" t="n">
        <v>5019994</v>
      </c>
      <c r="F904" t="inlineStr">
        <is>
          <t>618771</t>
        </is>
      </c>
      <c r="G904" t="inlineStr">
        <is>
          <t>KR</t>
        </is>
      </c>
      <c r="H904" s="12" t="n">
        <v>-27531.85</v>
      </c>
      <c r="I904" s="17" t="n">
        <v>45278</v>
      </c>
      <c r="J904" s="17" t="n">
        <v>45308</v>
      </c>
      <c r="K904" t="inlineStr">
        <is>
          <t>Fatura do fornecedor NORDEX ENERGY SE &amp; CO. KG 618</t>
        </is>
      </c>
    </row>
    <row r="905">
      <c r="A905" t="inlineStr">
        <is>
          <t>IC5000</t>
        </is>
      </c>
      <c r="B905" t="inlineStr">
        <is>
          <t>NORDEX SE</t>
        </is>
      </c>
      <c r="C905" t="n">
        <v>2122100000</v>
      </c>
      <c r="D905" t="inlineStr">
        <is>
          <t>Intercompany</t>
        </is>
      </c>
      <c r="E905" t="n">
        <v>5019996</v>
      </c>
      <c r="F905" t="inlineStr">
        <is>
          <t>607633</t>
        </is>
      </c>
      <c r="G905" t="inlineStr">
        <is>
          <t>KR</t>
        </is>
      </c>
      <c r="H905" s="12" t="n">
        <v>-248377.25</v>
      </c>
      <c r="I905" s="17" t="n">
        <v>45278</v>
      </c>
      <c r="J905" s="17" t="n">
        <v>45278</v>
      </c>
      <c r="K905" t="inlineStr">
        <is>
          <t>Fatura do fornecedor NORDEX SE 607633</t>
        </is>
      </c>
    </row>
    <row r="906">
      <c r="A906" t="inlineStr">
        <is>
          <t>IC5000</t>
        </is>
      </c>
      <c r="B906" t="inlineStr">
        <is>
          <t>NORDEX SE</t>
        </is>
      </c>
      <c r="C906" t="n">
        <v>2122100000</v>
      </c>
      <c r="D906" t="inlineStr">
        <is>
          <t>Intercompany</t>
        </is>
      </c>
      <c r="E906" t="n">
        <v>5020003</v>
      </c>
      <c r="F906" t="inlineStr">
        <is>
          <t>607731</t>
        </is>
      </c>
      <c r="G906" t="inlineStr">
        <is>
          <t>KR</t>
        </is>
      </c>
      <c r="H906" s="12" t="n">
        <v>-7340272.33</v>
      </c>
      <c r="I906" s="17" t="n">
        <v>45291</v>
      </c>
      <c r="J906" s="17" t="n">
        <v>45291</v>
      </c>
      <c r="K906" t="inlineStr">
        <is>
          <t>Fatura do fornecedor NORDEX SE 607731</t>
        </is>
      </c>
    </row>
    <row r="907">
      <c r="A907" t="inlineStr">
        <is>
          <t>IC4420</t>
        </is>
      </c>
      <c r="B907" t="inlineStr">
        <is>
          <t>NORDEX ENERGY SPAIN S A U</t>
        </is>
      </c>
      <c r="C907" t="n">
        <v>2122100000</v>
      </c>
      <c r="D907" t="inlineStr">
        <is>
          <t>Intercompany</t>
        </is>
      </c>
      <c r="E907" t="n">
        <v>5020124</v>
      </c>
      <c r="F907" t="inlineStr">
        <is>
          <t>202672</t>
        </is>
      </c>
      <c r="G907" t="inlineStr">
        <is>
          <t>RE</t>
        </is>
      </c>
      <c r="H907" s="12" t="n">
        <v>-104563.64</v>
      </c>
      <c r="I907" s="17" t="n">
        <v>45282</v>
      </c>
      <c r="J907" s="17" t="n">
        <v>45312</v>
      </c>
      <c r="K907" t="inlineStr">
        <is>
          <t>0162/24</t>
        </is>
      </c>
    </row>
    <row r="908">
      <c r="A908" t="inlineStr">
        <is>
          <t>IC4420</t>
        </is>
      </c>
      <c r="B908" t="inlineStr">
        <is>
          <t>NORDEX ENERGY SPAIN S A U</t>
        </is>
      </c>
      <c r="C908" t="n">
        <v>2122100000</v>
      </c>
      <c r="D908" t="inlineStr">
        <is>
          <t>Intercompany</t>
        </is>
      </c>
      <c r="E908" t="n">
        <v>5020250</v>
      </c>
      <c r="F908" t="inlineStr">
        <is>
          <t>4023003051</t>
        </is>
      </c>
      <c r="G908" t="inlineStr">
        <is>
          <t>RE</t>
        </is>
      </c>
      <c r="H908" s="12" t="n">
        <v>-33029.45</v>
      </c>
      <c r="I908" s="17" t="n">
        <v>45112</v>
      </c>
      <c r="J908" s="17" t="n">
        <v>45142</v>
      </c>
      <c r="K908" t="inlineStr">
        <is>
          <t>0520/23</t>
        </is>
      </c>
    </row>
    <row r="909">
      <c r="A909" t="inlineStr">
        <is>
          <t>IC4420</t>
        </is>
      </c>
      <c r="B909" t="inlineStr">
        <is>
          <t>NORDEX ENERGY SPAIN S A U</t>
        </is>
      </c>
      <c r="C909" t="n">
        <v>2122100000</v>
      </c>
      <c r="D909" t="inlineStr">
        <is>
          <t>Intercompany</t>
        </is>
      </c>
      <c r="E909" t="n">
        <v>5020276</v>
      </c>
      <c r="F909" t="inlineStr">
        <is>
          <t>4023003065</t>
        </is>
      </c>
      <c r="G909" t="inlineStr">
        <is>
          <t>RE</t>
        </is>
      </c>
      <c r="H909" s="12" t="n">
        <v>-24602.46</v>
      </c>
      <c r="I909" s="17" t="n">
        <v>45112</v>
      </c>
      <c r="J909" s="17" t="n">
        <v>45142</v>
      </c>
      <c r="K909" t="inlineStr">
        <is>
          <t>0532/23</t>
        </is>
      </c>
    </row>
    <row r="910">
      <c r="A910" t="inlineStr">
        <is>
          <t>IC4420</t>
        </is>
      </c>
      <c r="B910" t="inlineStr">
        <is>
          <t>NORDEX ENERGY SPAIN S A U</t>
        </is>
      </c>
      <c r="C910" t="n">
        <v>2122100000</v>
      </c>
      <c r="D910" t="inlineStr">
        <is>
          <t>Intercompany</t>
        </is>
      </c>
      <c r="E910" t="n">
        <v>5020282</v>
      </c>
      <c r="F910" t="inlineStr">
        <is>
          <t>4023003054</t>
        </is>
      </c>
      <c r="G910" t="inlineStr">
        <is>
          <t>RE</t>
        </is>
      </c>
      <c r="H910" s="12" t="n">
        <v>-67375.75</v>
      </c>
      <c r="I910" s="17" t="n">
        <v>45112</v>
      </c>
      <c r="J910" s="17" t="n">
        <v>45142</v>
      </c>
      <c r="K910" t="inlineStr">
        <is>
          <t>0620/23</t>
        </is>
      </c>
    </row>
    <row r="911">
      <c r="A911" t="inlineStr">
        <is>
          <t>IC4420</t>
        </is>
      </c>
      <c r="B911" t="inlineStr">
        <is>
          <t>NORDEX ENERGY SPAIN S A U</t>
        </is>
      </c>
      <c r="C911" t="n">
        <v>2122100000</v>
      </c>
      <c r="D911" t="inlineStr">
        <is>
          <t>Intercompany</t>
        </is>
      </c>
      <c r="E911" t="n">
        <v>5020283</v>
      </c>
      <c r="F911" t="inlineStr">
        <is>
          <t>4023003059</t>
        </is>
      </c>
      <c r="G911" t="inlineStr">
        <is>
          <t>RE</t>
        </is>
      </c>
      <c r="H911" s="12" t="n">
        <v>-104874.72</v>
      </c>
      <c r="I911" s="17" t="n">
        <v>45112</v>
      </c>
      <c r="J911" s="17" t="n">
        <v>45142</v>
      </c>
      <c r="K911" t="inlineStr">
        <is>
          <t>0615/23</t>
        </is>
      </c>
    </row>
    <row r="912">
      <c r="A912" t="inlineStr">
        <is>
          <t>IC1000</t>
        </is>
      </c>
      <c r="B912" t="inlineStr">
        <is>
          <t>NORDEX ENERGY SE &amp; CO KG</t>
        </is>
      </c>
      <c r="C912" t="n">
        <v>2122100000</v>
      </c>
      <c r="D912" t="inlineStr">
        <is>
          <t>Intercompany</t>
        </is>
      </c>
      <c r="E912" t="n">
        <v>5020594</v>
      </c>
      <c r="F912" t="inlineStr">
        <is>
          <t>341169</t>
        </is>
      </c>
      <c r="G912" t="inlineStr">
        <is>
          <t>RE</t>
        </is>
      </c>
      <c r="H912" s="12" t="n">
        <v>-207511.55</v>
      </c>
      <c r="I912" s="17" t="n">
        <v>45776</v>
      </c>
      <c r="J912" s="17" t="n">
        <v>45806</v>
      </c>
      <c r="K912" t="inlineStr">
        <is>
          <t>0363/25</t>
        </is>
      </c>
    </row>
    <row r="913">
      <c r="A913" t="inlineStr">
        <is>
          <t>IC1000</t>
        </is>
      </c>
      <c r="B913" t="inlineStr">
        <is>
          <t>NORDEX ENERGY SE &amp; CO KG</t>
        </is>
      </c>
      <c r="C913" t="n">
        <v>2122100000</v>
      </c>
      <c r="D913" t="inlineStr">
        <is>
          <t>Intercompany</t>
        </is>
      </c>
      <c r="E913" t="n">
        <v>5020677</v>
      </c>
      <c r="F913" t="inlineStr">
        <is>
          <t>281033</t>
        </is>
      </c>
      <c r="G913" t="inlineStr">
        <is>
          <t>RE</t>
        </is>
      </c>
      <c r="H913" s="12" t="n">
        <v>-15736.99</v>
      </c>
      <c r="I913" s="17" t="n">
        <v>45405</v>
      </c>
      <c r="J913" s="17" t="n">
        <v>45435</v>
      </c>
      <c r="K913" t="inlineStr">
        <is>
          <t>0347/24</t>
        </is>
      </c>
    </row>
    <row r="914">
      <c r="A914" t="inlineStr">
        <is>
          <t>IC1000</t>
        </is>
      </c>
      <c r="B914" t="inlineStr">
        <is>
          <t>NORDEX ENERGY SE &amp; CO KG</t>
        </is>
      </c>
      <c r="C914" t="n">
        <v>2122100000</v>
      </c>
      <c r="D914" t="inlineStr">
        <is>
          <t>Intercompany</t>
        </is>
      </c>
      <c r="E914" t="n">
        <v>5021065</v>
      </c>
      <c r="F914" t="inlineStr">
        <is>
          <t>RITM0479746</t>
        </is>
      </c>
      <c r="G914" t="inlineStr">
        <is>
          <t>RE</t>
        </is>
      </c>
      <c r="H914" s="12" t="n">
        <v>-869982.35</v>
      </c>
      <c r="I914" s="17" t="n">
        <v>45735</v>
      </c>
      <c r="J914" s="17" t="n">
        <v>45765</v>
      </c>
      <c r="K914" t="inlineStr">
        <is>
          <t>0272/25</t>
        </is>
      </c>
    </row>
    <row r="915">
      <c r="A915" t="inlineStr">
        <is>
          <t>IC1000</t>
        </is>
      </c>
      <c r="B915" t="inlineStr">
        <is>
          <t>NORDEX ENERGY SE &amp; CO KG</t>
        </is>
      </c>
      <c r="C915" t="n">
        <v>2122100000</v>
      </c>
      <c r="D915" t="inlineStr">
        <is>
          <t>Intercompany</t>
        </is>
      </c>
      <c r="E915" t="n">
        <v>5021388</v>
      </c>
      <c r="F915" t="inlineStr">
        <is>
          <t>343731</t>
        </is>
      </c>
      <c r="G915" t="inlineStr">
        <is>
          <t>RE</t>
        </is>
      </c>
      <c r="H915" s="12" t="n">
        <v>-40192.85</v>
      </c>
      <c r="I915" s="17" t="n">
        <v>45790</v>
      </c>
      <c r="J915" s="17" t="n">
        <v>45820</v>
      </c>
      <c r="K915" t="inlineStr">
        <is>
          <t>0424/25</t>
        </is>
      </c>
    </row>
    <row r="916">
      <c r="A916" t="inlineStr">
        <is>
          <t>IC1000</t>
        </is>
      </c>
      <c r="B916" t="inlineStr">
        <is>
          <t>NORDEX ENERGY SE &amp; CO KG</t>
        </is>
      </c>
      <c r="C916" t="n">
        <v>2122100000</v>
      </c>
      <c r="D916" t="inlineStr">
        <is>
          <t>Intercompany</t>
        </is>
      </c>
      <c r="E916" t="n">
        <v>5022294</v>
      </c>
      <c r="F916" t="inlineStr">
        <is>
          <t>251375</t>
        </is>
      </c>
      <c r="G916" t="inlineStr">
        <is>
          <t>RE</t>
        </is>
      </c>
      <c r="H916" s="12" t="n">
        <v>-28065.08</v>
      </c>
      <c r="I916" s="17" t="n">
        <v>45153</v>
      </c>
      <c r="J916" s="17" t="n">
        <v>45213</v>
      </c>
      <c r="K916" t="inlineStr">
        <is>
          <t>0547/23</t>
        </is>
      </c>
    </row>
    <row r="917">
      <c r="A917" t="inlineStr">
        <is>
          <t>IC1000</t>
        </is>
      </c>
      <c r="B917" t="inlineStr">
        <is>
          <t>NORDEX ENERGY SE &amp; CO KG</t>
        </is>
      </c>
      <c r="C917" t="n">
        <v>2122100000</v>
      </c>
      <c r="D917" t="inlineStr">
        <is>
          <t>Intercompany</t>
        </is>
      </c>
      <c r="E917" t="n">
        <v>5022304</v>
      </c>
      <c r="F917" t="inlineStr">
        <is>
          <t>622385</t>
        </is>
      </c>
      <c r="G917" t="inlineStr">
        <is>
          <t>KR</t>
        </is>
      </c>
      <c r="H917" s="12" t="n">
        <v>-12920274.98</v>
      </c>
      <c r="I917" s="17" t="n">
        <v>45825</v>
      </c>
      <c r="J917" s="17" t="n">
        <v>45855</v>
      </c>
      <c r="K917" t="inlineStr">
        <is>
          <t>Vendor Invoice NORDEX ENERGY SE &amp; CO KG 622385</t>
        </is>
      </c>
    </row>
    <row r="918">
      <c r="A918" t="inlineStr">
        <is>
          <t>IC4420</t>
        </is>
      </c>
      <c r="B918" t="inlineStr">
        <is>
          <t>NORDEX ENERGY SPAIN S A U</t>
        </is>
      </c>
      <c r="C918" t="n">
        <v>2122100000</v>
      </c>
      <c r="D918" t="inlineStr">
        <is>
          <t>Intercompany</t>
        </is>
      </c>
      <c r="E918" t="n">
        <v>5022363</v>
      </c>
      <c r="F918" t="inlineStr">
        <is>
          <t>4023004294</t>
        </is>
      </c>
      <c r="G918" t="inlineStr">
        <is>
          <t>RE</t>
        </is>
      </c>
      <c r="H918" s="12" t="n">
        <v>-1163735.72</v>
      </c>
      <c r="I918" s="17" t="n">
        <v>45189</v>
      </c>
      <c r="J918" s="17" t="n">
        <v>45249</v>
      </c>
      <c r="K918" t="inlineStr">
        <is>
          <t>0653/23</t>
        </is>
      </c>
    </row>
    <row r="919">
      <c r="A919" t="inlineStr">
        <is>
          <t>IC4420</t>
        </is>
      </c>
      <c r="B919" t="inlineStr">
        <is>
          <t>NORDEX ENERGY SPAIN S A U</t>
        </is>
      </c>
      <c r="C919" t="n">
        <v>2122100000</v>
      </c>
      <c r="D919" t="inlineStr">
        <is>
          <t>Intercompany</t>
        </is>
      </c>
      <c r="E919" t="n">
        <v>5022447</v>
      </c>
      <c r="F919" t="inlineStr">
        <is>
          <t>4023003057</t>
        </is>
      </c>
      <c r="G919" t="inlineStr">
        <is>
          <t>RE</t>
        </is>
      </c>
      <c r="H919" s="12" t="n">
        <v>-25884.48</v>
      </c>
      <c r="I919" s="17" t="n">
        <v>45112</v>
      </c>
      <c r="J919" s="17" t="n">
        <v>45112</v>
      </c>
      <c r="K919" t="inlineStr">
        <is>
          <t>0604/23</t>
        </is>
      </c>
    </row>
    <row r="920">
      <c r="A920" t="inlineStr">
        <is>
          <t>IC1000</t>
        </is>
      </c>
      <c r="B920" t="inlineStr">
        <is>
          <t>NORDEX ENERGY SE &amp; CO KG</t>
        </is>
      </c>
      <c r="C920" t="n">
        <v>2122100000</v>
      </c>
      <c r="D920" t="inlineStr">
        <is>
          <t>Intercompany</t>
        </is>
      </c>
      <c r="E920" t="n">
        <v>5022821</v>
      </c>
      <c r="F920" t="inlineStr">
        <is>
          <t>4012347160</t>
        </is>
      </c>
      <c r="G920" t="inlineStr">
        <is>
          <t>RE</t>
        </is>
      </c>
      <c r="H920" s="12" t="n">
        <v>-1104896.14</v>
      </c>
      <c r="I920" s="17" t="n">
        <v>45161</v>
      </c>
      <c r="J920" s="17" t="n">
        <v>45191</v>
      </c>
      <c r="K920" t="inlineStr">
        <is>
          <t>0631/23</t>
        </is>
      </c>
    </row>
    <row r="921">
      <c r="A921" t="inlineStr">
        <is>
          <t>IC1000</t>
        </is>
      </c>
      <c r="B921" t="inlineStr">
        <is>
          <t>NORDEX ENERGY SE &amp; CO KG</t>
        </is>
      </c>
      <c r="C921" t="n">
        <v>2122100000</v>
      </c>
      <c r="D921" t="inlineStr">
        <is>
          <t>Intercompany</t>
        </is>
      </c>
      <c r="E921" t="n">
        <v>5022822</v>
      </c>
      <c r="F921" t="inlineStr">
        <is>
          <t>617825</t>
        </is>
      </c>
      <c r="G921" t="inlineStr">
        <is>
          <t>RE</t>
        </is>
      </c>
      <c r="H921" s="12" t="n">
        <v>-28531.56</v>
      </c>
      <c r="I921" s="17" t="n">
        <v>45112</v>
      </c>
      <c r="J921" s="17" t="n">
        <v>45142</v>
      </c>
      <c r="K921" t="inlineStr">
        <is>
          <t>0488/23</t>
        </is>
      </c>
    </row>
    <row r="922">
      <c r="A922" t="inlineStr">
        <is>
          <t>IC1000</t>
        </is>
      </c>
      <c r="B922" t="inlineStr">
        <is>
          <t>NORDEX ENERGY SE &amp; CO KG</t>
        </is>
      </c>
      <c r="C922" t="n">
        <v>2122100000</v>
      </c>
      <c r="D922" t="inlineStr">
        <is>
          <t>Intercompany</t>
        </is>
      </c>
      <c r="E922" t="n">
        <v>5022824</v>
      </c>
      <c r="F922" t="inlineStr">
        <is>
          <t>618118</t>
        </is>
      </c>
      <c r="G922" t="inlineStr">
        <is>
          <t>RE</t>
        </is>
      </c>
      <c r="H922" s="12" t="n">
        <v>-112055.98</v>
      </c>
      <c r="I922" s="17" t="n">
        <v>45182</v>
      </c>
      <c r="J922" s="17" t="n">
        <v>45212</v>
      </c>
      <c r="K922" t="inlineStr">
        <is>
          <t>0613/23</t>
        </is>
      </c>
    </row>
    <row r="923">
      <c r="A923" t="inlineStr">
        <is>
          <t>IC4420</t>
        </is>
      </c>
      <c r="B923" t="inlineStr">
        <is>
          <t>NORDEX ENERGY SPAIN S A U</t>
        </is>
      </c>
      <c r="C923" t="n">
        <v>2122100000</v>
      </c>
      <c r="D923" t="inlineStr">
        <is>
          <t>Intercompany</t>
        </is>
      </c>
      <c r="E923" t="n">
        <v>5022825</v>
      </c>
      <c r="F923" t="inlineStr">
        <is>
          <t>4023002531</t>
        </is>
      </c>
      <c r="G923" t="inlineStr">
        <is>
          <t>RE</t>
        </is>
      </c>
      <c r="H923" s="12" t="n">
        <v>-277058.82</v>
      </c>
      <c r="I923" s="17" t="n">
        <v>45091</v>
      </c>
      <c r="J923" s="17" t="n">
        <v>45151</v>
      </c>
      <c r="K923" t="inlineStr">
        <is>
          <t>0584/23</t>
        </is>
      </c>
    </row>
    <row r="924">
      <c r="A924" t="inlineStr">
        <is>
          <t>IC4420</t>
        </is>
      </c>
      <c r="B924" t="inlineStr">
        <is>
          <t>NORDEX ENERGY SPAIN S A U</t>
        </is>
      </c>
      <c r="C924" t="n">
        <v>2122100000</v>
      </c>
      <c r="D924" t="inlineStr">
        <is>
          <t>Intercompany</t>
        </is>
      </c>
      <c r="E924" t="n">
        <v>5022920</v>
      </c>
      <c r="F924" t="inlineStr">
        <is>
          <t>4024002149</t>
        </is>
      </c>
      <c r="G924" t="inlineStr">
        <is>
          <t>RE</t>
        </is>
      </c>
      <c r="H924" s="12" t="n">
        <v>-1343620.99</v>
      </c>
      <c r="I924" s="17" t="n">
        <v>45378</v>
      </c>
      <c r="J924" s="17" t="n">
        <v>45408</v>
      </c>
      <c r="K924" t="inlineStr">
        <is>
          <t>0287/24</t>
        </is>
      </c>
    </row>
    <row r="925">
      <c r="A925" t="inlineStr">
        <is>
          <t>IC4420</t>
        </is>
      </c>
      <c r="B925" t="inlineStr">
        <is>
          <t>NORDEX ENERGY SPAIN S A U</t>
        </is>
      </c>
      <c r="C925" t="n">
        <v>2122100000</v>
      </c>
      <c r="D925" t="inlineStr">
        <is>
          <t>Intercompany</t>
        </is>
      </c>
      <c r="E925" t="n">
        <v>5022931</v>
      </c>
      <c r="F925" t="inlineStr">
        <is>
          <t>4024002123</t>
        </is>
      </c>
      <c r="G925" t="inlineStr">
        <is>
          <t>RE</t>
        </is>
      </c>
      <c r="H925" s="12" t="n">
        <v>-1343620.99</v>
      </c>
      <c r="I925" s="17" t="n">
        <v>45377</v>
      </c>
      <c r="J925" s="17" t="n">
        <v>45407</v>
      </c>
      <c r="K925" t="inlineStr">
        <is>
          <t>0285/24</t>
        </is>
      </c>
    </row>
    <row r="926">
      <c r="A926" t="inlineStr">
        <is>
          <t>IC1000</t>
        </is>
      </c>
      <c r="B926" t="inlineStr">
        <is>
          <t>NORDEX ENERGY SE &amp; CO KG</t>
        </is>
      </c>
      <c r="C926" t="n">
        <v>2122100000</v>
      </c>
      <c r="D926" t="inlineStr">
        <is>
          <t>Intercompany</t>
        </is>
      </c>
      <c r="E926" t="n">
        <v>5023096</v>
      </c>
      <c r="F926" t="inlineStr">
        <is>
          <t>622379</t>
        </is>
      </c>
      <c r="G926" t="inlineStr">
        <is>
          <t>KR</t>
        </is>
      </c>
      <c r="H926" s="12" t="n">
        <v>-1070578.58</v>
      </c>
      <c r="I926" s="17" t="n">
        <v>45826</v>
      </c>
      <c r="J926" s="17" t="n">
        <v>45856</v>
      </c>
      <c r="K926" t="inlineStr">
        <is>
          <t>Fatura do fornecedor NORDEX ENERGY SE &amp; CO KG 6223</t>
        </is>
      </c>
    </row>
    <row r="927">
      <c r="A927" t="inlineStr">
        <is>
          <t>IC5000</t>
        </is>
      </c>
      <c r="B927" t="inlineStr">
        <is>
          <t>NORDEX SE</t>
        </is>
      </c>
      <c r="C927" t="n">
        <v>2122100000</v>
      </c>
      <c r="D927" t="inlineStr">
        <is>
          <t>Intercompany</t>
        </is>
      </c>
      <c r="E927" t="n">
        <v>5023264</v>
      </c>
      <c r="F927" t="inlineStr">
        <is>
          <t>609635</t>
        </is>
      </c>
      <c r="G927" t="inlineStr">
        <is>
          <t>KR</t>
        </is>
      </c>
      <c r="H927" s="12" t="n">
        <v>-1881802.99</v>
      </c>
      <c r="I927" s="17" t="n">
        <v>45832</v>
      </c>
      <c r="J927" s="17" t="n">
        <v>45832</v>
      </c>
      <c r="K927" t="inlineStr">
        <is>
          <t>Fatura do fornecedor NORDEX SE 609635</t>
        </is>
      </c>
    </row>
    <row r="928">
      <c r="A928" t="inlineStr">
        <is>
          <t>IC5000</t>
        </is>
      </c>
      <c r="B928" t="inlineStr">
        <is>
          <t>NORDEX SE</t>
        </is>
      </c>
      <c r="C928" t="n">
        <v>2122100000</v>
      </c>
      <c r="D928" t="inlineStr">
        <is>
          <t>Intercompany</t>
        </is>
      </c>
      <c r="E928" t="n">
        <v>5023279</v>
      </c>
      <c r="F928" t="inlineStr">
        <is>
          <t>609543</t>
        </is>
      </c>
      <c r="G928" t="inlineStr">
        <is>
          <t>KR</t>
        </is>
      </c>
      <c r="H928" s="12" t="n">
        <v>-6144342.28</v>
      </c>
      <c r="I928" s="17" t="n">
        <v>45831</v>
      </c>
      <c r="J928" s="17" t="n">
        <v>45831</v>
      </c>
      <c r="K928" t="inlineStr">
        <is>
          <t>Fatura do fornecedor NORDEX SE 609543</t>
        </is>
      </c>
    </row>
    <row r="929">
      <c r="A929" t="inlineStr">
        <is>
          <t>IC5000</t>
        </is>
      </c>
      <c r="B929" t="inlineStr">
        <is>
          <t>NORDEX SE</t>
        </is>
      </c>
      <c r="C929" t="n">
        <v>2122100000</v>
      </c>
      <c r="D929" t="inlineStr">
        <is>
          <t>Intercompany</t>
        </is>
      </c>
      <c r="E929" t="n">
        <v>5023283</v>
      </c>
      <c r="F929" t="inlineStr">
        <is>
          <t>609660</t>
        </is>
      </c>
      <c r="G929" t="inlineStr">
        <is>
          <t>KR</t>
        </is>
      </c>
      <c r="H929" s="12" t="n">
        <v>-2468375</v>
      </c>
      <c r="I929" s="17" t="n">
        <v>45832</v>
      </c>
      <c r="J929" s="17" t="n">
        <v>45832</v>
      </c>
      <c r="K929" t="inlineStr">
        <is>
          <t>Fatura do fornecedor NORDEX SE 609660</t>
        </is>
      </c>
    </row>
    <row r="930">
      <c r="A930" t="inlineStr">
        <is>
          <t>IC1000</t>
        </is>
      </c>
      <c r="B930" t="inlineStr">
        <is>
          <t>NORDEX ENERGY SE &amp; CO KG</t>
        </is>
      </c>
      <c r="C930" t="n">
        <v>2122100000</v>
      </c>
      <c r="D930" t="inlineStr">
        <is>
          <t>Intercompany</t>
        </is>
      </c>
      <c r="E930" t="n">
        <v>5023287</v>
      </c>
      <c r="F930" t="inlineStr">
        <is>
          <t>622427</t>
        </is>
      </c>
      <c r="G930" t="inlineStr">
        <is>
          <t>KR</t>
        </is>
      </c>
      <c r="H930" s="12" t="n">
        <v>-10142186.71</v>
      </c>
      <c r="I930" s="17" t="n">
        <v>45831</v>
      </c>
      <c r="J930" s="17" t="n">
        <v>45861</v>
      </c>
      <c r="K930" t="inlineStr">
        <is>
          <t>Fatura do fornecedor NORDEX ENERGY SE &amp; CO KG 6224</t>
        </is>
      </c>
    </row>
    <row r="931">
      <c r="A931" t="inlineStr">
        <is>
          <t>IC1000</t>
        </is>
      </c>
      <c r="B931" t="inlineStr">
        <is>
          <t>NORDEX ENERGY SE &amp; CO KG</t>
        </is>
      </c>
      <c r="C931" t="n">
        <v>2122100000</v>
      </c>
      <c r="D931" t="inlineStr">
        <is>
          <t>Intercompany</t>
        </is>
      </c>
      <c r="E931" t="n">
        <v>5023490</v>
      </c>
      <c r="F931" t="inlineStr">
        <is>
          <t>341387- 0365/25</t>
        </is>
      </c>
      <c r="G931" t="inlineStr">
        <is>
          <t>KR</t>
        </is>
      </c>
      <c r="H931" s="12" t="n">
        <v>-7019.77</v>
      </c>
      <c r="I931" s="17" t="n">
        <v>45834</v>
      </c>
      <c r="J931" s="17" t="n">
        <v>45864</v>
      </c>
      <c r="K931" t="inlineStr">
        <is>
          <t>Fatura do fornecedor NORDEX ENERGY SE &amp; CO KG 3413</t>
        </is>
      </c>
    </row>
    <row r="932">
      <c r="A932" t="inlineStr">
        <is>
          <t>IC4420</t>
        </is>
      </c>
      <c r="B932" t="inlineStr">
        <is>
          <t>NORDEX ENERGY SPAIN S A U</t>
        </is>
      </c>
      <c r="C932" t="n">
        <v>2122100000</v>
      </c>
      <c r="D932" t="inlineStr">
        <is>
          <t>Intercompany</t>
        </is>
      </c>
      <c r="E932" t="n">
        <v>5023511</v>
      </c>
      <c r="F932" t="inlineStr">
        <is>
          <t>4024002363</t>
        </is>
      </c>
      <c r="G932" t="inlineStr">
        <is>
          <t>RE</t>
        </is>
      </c>
      <c r="H932" s="12" t="n">
        <v>-1313684.42</v>
      </c>
      <c r="I932" s="17" t="n">
        <v>45392</v>
      </c>
      <c r="J932" s="17" t="n">
        <v>45422</v>
      </c>
      <c r="K932" t="inlineStr">
        <is>
          <t>0279/24</t>
        </is>
      </c>
    </row>
    <row r="933">
      <c r="A933" t="inlineStr">
        <is>
          <t>IC4420</t>
        </is>
      </c>
      <c r="B933" t="inlineStr">
        <is>
          <t>NORDEX ENERGY SPAIN S A U</t>
        </is>
      </c>
      <c r="C933" t="n">
        <v>2122100000</v>
      </c>
      <c r="D933" t="inlineStr">
        <is>
          <t>Intercompany</t>
        </is>
      </c>
      <c r="E933" t="n">
        <v>5023512</v>
      </c>
      <c r="F933" t="inlineStr">
        <is>
          <t>4024002362</t>
        </is>
      </c>
      <c r="G933" t="inlineStr">
        <is>
          <t>RE</t>
        </is>
      </c>
      <c r="H933" s="12" t="n">
        <v>-1313544.01</v>
      </c>
      <c r="I933" s="17" t="n">
        <v>45392</v>
      </c>
      <c r="J933" s="17" t="n">
        <v>45422</v>
      </c>
      <c r="K933" t="inlineStr">
        <is>
          <t>0279/24</t>
        </is>
      </c>
    </row>
    <row r="934">
      <c r="A934" t="inlineStr">
        <is>
          <t>IC1000</t>
        </is>
      </c>
      <c r="B934" t="inlineStr">
        <is>
          <t>NORDEX ENERGY SE &amp; CO KG</t>
        </is>
      </c>
      <c r="C934" t="n">
        <v>2122100000</v>
      </c>
      <c r="D934" t="inlineStr">
        <is>
          <t>Intercompany</t>
        </is>
      </c>
      <c r="E934" t="n">
        <v>5023518</v>
      </c>
      <c r="F934" t="inlineStr">
        <is>
          <t>RITM0482603/3343</t>
        </is>
      </c>
      <c r="G934" t="inlineStr">
        <is>
          <t>RE</t>
        </is>
      </c>
      <c r="H934" s="12" t="n">
        <v>-595371.05</v>
      </c>
      <c r="I934" s="17" t="n">
        <v>45727</v>
      </c>
      <c r="J934" s="17" t="n">
        <v>45757</v>
      </c>
      <c r="K934" t="inlineStr">
        <is>
          <t>0324/25</t>
        </is>
      </c>
    </row>
    <row r="935">
      <c r="A935" t="inlineStr">
        <is>
          <t>IC4420</t>
        </is>
      </c>
      <c r="B935" t="inlineStr">
        <is>
          <t>NORDEX ENERGY SPAIN S A U</t>
        </is>
      </c>
      <c r="C935" t="n">
        <v>2122100000</v>
      </c>
      <c r="D935" t="inlineStr">
        <is>
          <t>Intercompany</t>
        </is>
      </c>
      <c r="E935" t="n">
        <v>5023530</v>
      </c>
      <c r="F935" t="inlineStr">
        <is>
          <t>4024002222</t>
        </is>
      </c>
      <c r="G935" t="inlineStr">
        <is>
          <t>RE</t>
        </is>
      </c>
      <c r="H935" s="12" t="n">
        <v>-1329628.73</v>
      </c>
      <c r="I935" s="17" t="n">
        <v>45385</v>
      </c>
      <c r="J935" s="17" t="n">
        <v>45415</v>
      </c>
      <c r="K935" t="inlineStr">
        <is>
          <t>0277/24</t>
        </is>
      </c>
    </row>
    <row r="936">
      <c r="A936" t="inlineStr">
        <is>
          <t>IC4420</t>
        </is>
      </c>
      <c r="B936" t="inlineStr">
        <is>
          <t>NORDEX ENERGY SPAIN S A U</t>
        </is>
      </c>
      <c r="C936" t="n">
        <v>2122100000</v>
      </c>
      <c r="D936" t="inlineStr">
        <is>
          <t>Intercompany</t>
        </is>
      </c>
      <c r="E936" t="n">
        <v>5023628</v>
      </c>
      <c r="F936" t="inlineStr">
        <is>
          <t>4024002124</t>
        </is>
      </c>
      <c r="G936" t="inlineStr">
        <is>
          <t>RE</t>
        </is>
      </c>
      <c r="H936" s="12" t="n">
        <v>-1343620.99</v>
      </c>
      <c r="I936" s="17" t="n">
        <v>45377</v>
      </c>
      <c r="J936" s="17" t="n">
        <v>45407</v>
      </c>
      <c r="K936" t="inlineStr">
        <is>
          <t>0286/24</t>
        </is>
      </c>
    </row>
    <row r="937">
      <c r="A937" t="inlineStr">
        <is>
          <t>IC1000</t>
        </is>
      </c>
      <c r="B937" t="inlineStr">
        <is>
          <t>NORDEX ENERGY SE &amp; CO KG</t>
        </is>
      </c>
      <c r="C937" t="n">
        <v>2122100000</v>
      </c>
      <c r="D937" t="inlineStr">
        <is>
          <t>Intercompany</t>
        </is>
      </c>
      <c r="E937" t="n">
        <v>5023927</v>
      </c>
      <c r="F937" t="inlineStr">
        <is>
          <t>343796</t>
        </is>
      </c>
      <c r="G937" t="inlineStr">
        <is>
          <t>RE</t>
        </is>
      </c>
      <c r="H937" s="12" t="n">
        <v>-2736.01</v>
      </c>
      <c r="I937" s="17" t="n">
        <v>45792</v>
      </c>
      <c r="J937" s="17" t="n">
        <v>45822</v>
      </c>
      <c r="K937" t="inlineStr">
        <is>
          <t>0453/25</t>
        </is>
      </c>
    </row>
    <row r="938">
      <c r="A938" t="inlineStr">
        <is>
          <t>IC4420</t>
        </is>
      </c>
      <c r="B938" t="inlineStr">
        <is>
          <t>NORDEX ENERGY SPAIN S A U</t>
        </is>
      </c>
      <c r="C938" t="n">
        <v>2122100000</v>
      </c>
      <c r="D938" t="inlineStr">
        <is>
          <t>Intercompany</t>
        </is>
      </c>
      <c r="E938" t="n">
        <v>5023999</v>
      </c>
      <c r="F938" t="inlineStr">
        <is>
          <t>12-4</t>
        </is>
      </c>
      <c r="G938" t="inlineStr">
        <is>
          <t>RE</t>
        </is>
      </c>
      <c r="H938" s="12" t="n">
        <v>-21165.58</v>
      </c>
      <c r="I938" s="17" t="n">
        <v>45117</v>
      </c>
      <c r="J938" s="17" t="n">
        <v>45117</v>
      </c>
      <c r="K938" t="inlineStr">
        <is>
          <t>Fatura - bruto NORDEX ENERGY SPAIN S A U 12-4</t>
        </is>
      </c>
    </row>
    <row r="939">
      <c r="A939" t="inlineStr">
        <is>
          <t>IC1000</t>
        </is>
      </c>
      <c r="B939" t="inlineStr">
        <is>
          <t>NORDEX ENERGY SE &amp; CO KG</t>
        </is>
      </c>
      <c r="C939" t="n">
        <v>2122100000</v>
      </c>
      <c r="D939" t="inlineStr">
        <is>
          <t>Intercompany</t>
        </is>
      </c>
      <c r="E939" t="n">
        <v>5024033</v>
      </c>
      <c r="F939" t="inlineStr">
        <is>
          <t>RITM0496913/3467</t>
        </is>
      </c>
      <c r="G939" t="inlineStr">
        <is>
          <t>RE</t>
        </is>
      </c>
      <c r="H939" s="12" t="n">
        <v>-774967.35</v>
      </c>
      <c r="I939" s="17" t="n">
        <v>45784</v>
      </c>
      <c r="J939" s="17" t="n">
        <v>45814</v>
      </c>
      <c r="K939" t="inlineStr">
        <is>
          <t>0447/25</t>
        </is>
      </c>
    </row>
    <row r="940">
      <c r="A940" t="inlineStr">
        <is>
          <t>IC4420</t>
        </is>
      </c>
      <c r="B940" t="inlineStr">
        <is>
          <t>NORDEX ENERGY SPAIN S A U</t>
        </is>
      </c>
      <c r="C940" t="n">
        <v>2122100000</v>
      </c>
      <c r="D940" t="inlineStr">
        <is>
          <t>Intercompany</t>
        </is>
      </c>
      <c r="E940" t="n">
        <v>5024070</v>
      </c>
      <c r="F940" t="inlineStr">
        <is>
          <t>21-4</t>
        </is>
      </c>
      <c r="G940" t="inlineStr">
        <is>
          <t>RE</t>
        </is>
      </c>
      <c r="H940" s="12" t="n">
        <v>-185860.94</v>
      </c>
      <c r="I940" s="17" t="n">
        <v>45127</v>
      </c>
      <c r="J940" s="17" t="n">
        <v>45157</v>
      </c>
      <c r="K940" t="inlineStr">
        <is>
          <t>Fatura - bruto NORDEX ENERGY SPAIN S A U 21-4</t>
        </is>
      </c>
    </row>
    <row r="941">
      <c r="A941" t="inlineStr">
        <is>
          <t>IC1000</t>
        </is>
      </c>
      <c r="B941" t="inlineStr">
        <is>
          <t>NORDEX ENERGY SE &amp; CO KG</t>
        </is>
      </c>
      <c r="C941" t="n">
        <v>2122100000</v>
      </c>
      <c r="D941" t="inlineStr">
        <is>
          <t>Intercompany</t>
        </is>
      </c>
      <c r="E941" t="n">
        <v>5024542</v>
      </c>
      <c r="F941" t="inlineStr">
        <is>
          <t>4012238706</t>
        </is>
      </c>
      <c r="G941" t="inlineStr">
        <is>
          <t>RE</t>
        </is>
      </c>
      <c r="H941" s="12" t="n">
        <v>-642903.74</v>
      </c>
      <c r="I941" s="17" t="n">
        <v>44449</v>
      </c>
      <c r="J941" s="17" t="n">
        <v>44479</v>
      </c>
      <c r="K941" t="inlineStr">
        <is>
          <t>0626/23</t>
        </is>
      </c>
    </row>
    <row r="942">
      <c r="A942" t="inlineStr">
        <is>
          <t>IC4420</t>
        </is>
      </c>
      <c r="B942" t="inlineStr">
        <is>
          <t>NORDEX ENERGY SPAIN S A U</t>
        </is>
      </c>
      <c r="C942" t="n">
        <v>2122100000</v>
      </c>
      <c r="D942" t="inlineStr">
        <is>
          <t>Intercompany</t>
        </is>
      </c>
      <c r="E942" t="n">
        <v>5024614</v>
      </c>
      <c r="F942" t="inlineStr">
        <is>
          <t>4018000047</t>
        </is>
      </c>
      <c r="G942" t="inlineStr">
        <is>
          <t>RE</t>
        </is>
      </c>
      <c r="H942" s="12" t="n">
        <v>-1524523.55</v>
      </c>
      <c r="I942" s="17" t="n">
        <v>45750</v>
      </c>
      <c r="J942" s="17" t="n">
        <v>45780</v>
      </c>
      <c r="K942" t="inlineStr">
        <is>
          <t>0251/25</t>
        </is>
      </c>
    </row>
    <row r="943">
      <c r="A943" t="inlineStr">
        <is>
          <t>IC1000</t>
        </is>
      </c>
      <c r="B943" t="inlineStr">
        <is>
          <t>NORDEX ENERGY SE &amp; CO KG</t>
        </is>
      </c>
      <c r="C943" t="n">
        <v>2122100000</v>
      </c>
      <c r="D943" t="inlineStr">
        <is>
          <t>Intercompany</t>
        </is>
      </c>
      <c r="E943" t="n">
        <v>5024742</v>
      </c>
      <c r="F943" t="inlineStr">
        <is>
          <t>79374</t>
        </is>
      </c>
      <c r="G943" t="inlineStr">
        <is>
          <t>RE</t>
        </is>
      </c>
      <c r="H943" s="12" t="n">
        <v>-994977.37</v>
      </c>
      <c r="I943" s="17" t="n">
        <v>45422</v>
      </c>
      <c r="J943" s="17" t="n">
        <v>45452</v>
      </c>
      <c r="K943" t="inlineStr">
        <is>
          <t>0330/24</t>
        </is>
      </c>
    </row>
    <row r="944">
      <c r="A944" t="inlineStr">
        <is>
          <t>IC4420</t>
        </is>
      </c>
      <c r="B944" t="inlineStr">
        <is>
          <t>NORDEX ENERGY SPAIN S A U</t>
        </is>
      </c>
      <c r="C944" t="n">
        <v>2122100000</v>
      </c>
      <c r="D944" t="inlineStr">
        <is>
          <t>Intercompany</t>
        </is>
      </c>
      <c r="E944" t="n">
        <v>5024752</v>
      </c>
      <c r="F944" t="inlineStr">
        <is>
          <t>4023002013</t>
        </is>
      </c>
      <c r="G944" t="inlineStr">
        <is>
          <t>RE</t>
        </is>
      </c>
      <c r="H944" s="12" t="n">
        <v>-185499.3</v>
      </c>
      <c r="I944" s="17" t="n">
        <v>45058</v>
      </c>
      <c r="J944" s="17" t="n">
        <v>45118</v>
      </c>
      <c r="K944" t="inlineStr">
        <is>
          <t>0635/23</t>
        </is>
      </c>
    </row>
    <row r="945">
      <c r="A945" t="inlineStr">
        <is>
          <t>IC1000</t>
        </is>
      </c>
      <c r="B945" t="inlineStr">
        <is>
          <t>NORDEX ENERGY SE &amp; CO KG</t>
        </is>
      </c>
      <c r="C945" t="n">
        <v>2122100000</v>
      </c>
      <c r="D945" t="inlineStr">
        <is>
          <t>Intercompany</t>
        </is>
      </c>
      <c r="E945" t="n">
        <v>5025115</v>
      </c>
      <c r="F945" t="inlineStr">
        <is>
          <t>273767</t>
        </is>
      </c>
      <c r="G945" t="inlineStr">
        <is>
          <t>RE</t>
        </is>
      </c>
      <c r="H945" s="12" t="n">
        <v>-2560.85</v>
      </c>
      <c r="I945" s="17" t="n">
        <v>45327</v>
      </c>
      <c r="J945" s="17" t="n">
        <v>45387</v>
      </c>
      <c r="K945" t="inlineStr">
        <is>
          <t>0332/24</t>
        </is>
      </c>
    </row>
    <row r="946">
      <c r="A946" t="inlineStr">
        <is>
          <t>IC1000</t>
        </is>
      </c>
      <c r="B946" t="inlineStr">
        <is>
          <t>NORDEX ENERGY SE &amp; CO KG</t>
        </is>
      </c>
      <c r="C946" t="n">
        <v>2122100000</v>
      </c>
      <c r="D946" t="inlineStr">
        <is>
          <t>Intercompany</t>
        </is>
      </c>
      <c r="E946" t="n">
        <v>5025117</v>
      </c>
      <c r="F946" t="inlineStr">
        <is>
          <t>275815</t>
        </is>
      </c>
      <c r="G946" t="inlineStr">
        <is>
          <t>RE</t>
        </is>
      </c>
      <c r="H946" s="12" t="n">
        <v>-3629.35</v>
      </c>
      <c r="I946" s="17" t="n">
        <v>45338</v>
      </c>
      <c r="J946" s="17" t="n">
        <v>45398</v>
      </c>
      <c r="K946" t="inlineStr">
        <is>
          <t>0332/24</t>
        </is>
      </c>
    </row>
    <row r="947">
      <c r="A947" t="inlineStr">
        <is>
          <t>IC4420</t>
        </is>
      </c>
      <c r="B947" t="inlineStr">
        <is>
          <t>NORDEX ENERGY SPAIN S A U</t>
        </is>
      </c>
      <c r="C947" t="n">
        <v>2122100000</v>
      </c>
      <c r="D947" t="inlineStr">
        <is>
          <t>Intercompany</t>
        </is>
      </c>
      <c r="E947" t="n">
        <v>5025126</v>
      </c>
      <c r="F947" t="inlineStr">
        <is>
          <t>276867</t>
        </is>
      </c>
      <c r="G947" t="inlineStr">
        <is>
          <t>RE</t>
        </is>
      </c>
      <c r="H947" s="12" t="n">
        <v>-3629.35</v>
      </c>
      <c r="I947" s="17" t="n">
        <v>45344</v>
      </c>
      <c r="J947" s="17" t="n">
        <v>45404</v>
      </c>
      <c r="K947" t="inlineStr">
        <is>
          <t>0332/24</t>
        </is>
      </c>
    </row>
    <row r="948">
      <c r="A948" t="inlineStr">
        <is>
          <t>IC4420</t>
        </is>
      </c>
      <c r="B948" t="inlineStr">
        <is>
          <t>NORDEX ENERGY SPAIN S A U</t>
        </is>
      </c>
      <c r="C948" t="n">
        <v>2122100000</v>
      </c>
      <c r="D948" t="inlineStr">
        <is>
          <t>Intercompany</t>
        </is>
      </c>
      <c r="E948" t="n">
        <v>5025189</v>
      </c>
      <c r="F948" t="inlineStr">
        <is>
          <t>4023002532</t>
        </is>
      </c>
      <c r="G948" t="inlineStr">
        <is>
          <t>RE</t>
        </is>
      </c>
      <c r="H948" s="12" t="n">
        <v>-38074.65</v>
      </c>
      <c r="I948" s="17" t="n">
        <v>45091</v>
      </c>
      <c r="J948" s="17" t="n">
        <v>45151</v>
      </c>
      <c r="K948" t="inlineStr">
        <is>
          <t>0594/23</t>
        </is>
      </c>
    </row>
    <row r="949">
      <c r="A949" t="inlineStr">
        <is>
          <t>IC1000</t>
        </is>
      </c>
      <c r="B949" t="inlineStr">
        <is>
          <t>NORDEX ENERGY SE &amp; CO KG</t>
        </is>
      </c>
      <c r="C949" t="n">
        <v>2122100000</v>
      </c>
      <c r="D949" t="inlineStr">
        <is>
          <t>Intercompany</t>
        </is>
      </c>
      <c r="E949" t="n">
        <v>5025269</v>
      </c>
      <c r="F949" t="inlineStr">
        <is>
          <t>347203</t>
        </is>
      </c>
      <c r="G949" t="inlineStr">
        <is>
          <t>RE</t>
        </is>
      </c>
      <c r="H949" s="12" t="n">
        <v>-1102.12</v>
      </c>
      <c r="I949" s="17" t="n">
        <v>45817</v>
      </c>
      <c r="J949" s="17" t="n">
        <v>45847</v>
      </c>
      <c r="K949" t="inlineStr">
        <is>
          <t>0471/25</t>
        </is>
      </c>
    </row>
    <row r="950">
      <c r="A950" t="inlineStr">
        <is>
          <t>IC1000</t>
        </is>
      </c>
      <c r="B950" t="inlineStr">
        <is>
          <t>NORDEX ENERGY SE &amp; CO KG</t>
        </is>
      </c>
      <c r="C950" t="n">
        <v>2122100000</v>
      </c>
      <c r="D950" t="inlineStr">
        <is>
          <t>Intercompany</t>
        </is>
      </c>
      <c r="E950" t="n">
        <v>5025277</v>
      </c>
      <c r="F950" t="inlineStr">
        <is>
          <t>343799</t>
        </is>
      </c>
      <c r="G950" t="inlineStr">
        <is>
          <t>RE</t>
        </is>
      </c>
      <c r="H950" s="12" t="n">
        <v>-22828.59</v>
      </c>
      <c r="I950" s="17" t="n">
        <v>45792</v>
      </c>
      <c r="J950" s="17" t="n">
        <v>45822</v>
      </c>
      <c r="K950" t="inlineStr">
        <is>
          <t>0450/25</t>
        </is>
      </c>
    </row>
    <row r="951">
      <c r="A951" t="inlineStr">
        <is>
          <t>IC1000</t>
        </is>
      </c>
      <c r="B951" t="inlineStr">
        <is>
          <t>NORDEX ENERGY SE &amp; CO KG</t>
        </is>
      </c>
      <c r="C951" t="n">
        <v>2122100000</v>
      </c>
      <c r="D951" t="inlineStr">
        <is>
          <t>Intercompany</t>
        </is>
      </c>
      <c r="E951" t="n">
        <v>5025278</v>
      </c>
      <c r="F951" t="inlineStr">
        <is>
          <t>343794</t>
        </is>
      </c>
      <c r="G951" t="inlineStr">
        <is>
          <t>RE</t>
        </is>
      </c>
      <c r="H951" s="12" t="n">
        <v>-9244.77</v>
      </c>
      <c r="I951" s="17" t="n">
        <v>45797</v>
      </c>
      <c r="J951" s="17" t="n">
        <v>45827</v>
      </c>
      <c r="K951" t="inlineStr">
        <is>
          <t>0454/25</t>
        </is>
      </c>
    </row>
    <row r="952">
      <c r="A952" t="inlineStr">
        <is>
          <t>IC1000</t>
        </is>
      </c>
      <c r="B952" t="inlineStr">
        <is>
          <t>NORDEX ENERGY SE &amp; CO KG</t>
        </is>
      </c>
      <c r="C952" t="n">
        <v>2122100000</v>
      </c>
      <c r="D952" t="inlineStr">
        <is>
          <t>Intercompany</t>
        </is>
      </c>
      <c r="E952" t="n">
        <v>5025280</v>
      </c>
      <c r="F952" t="inlineStr">
        <is>
          <t>347007</t>
        </is>
      </c>
      <c r="G952" t="inlineStr">
        <is>
          <t>RE</t>
        </is>
      </c>
      <c r="H952" s="12" t="n">
        <v>-1105.66</v>
      </c>
      <c r="I952" s="17" t="n">
        <v>45825</v>
      </c>
      <c r="J952" s="17" t="n">
        <v>45855</v>
      </c>
      <c r="K952" t="inlineStr">
        <is>
          <t>0476/25</t>
        </is>
      </c>
    </row>
    <row r="953">
      <c r="A953" t="inlineStr">
        <is>
          <t>IC1000</t>
        </is>
      </c>
      <c r="B953" t="inlineStr">
        <is>
          <t>NORDEX ENERGY SE &amp; CO KG</t>
        </is>
      </c>
      <c r="C953" t="n">
        <v>2122100000</v>
      </c>
      <c r="D953" t="inlineStr">
        <is>
          <t>Intercompany</t>
        </is>
      </c>
      <c r="E953" t="n">
        <v>5025281</v>
      </c>
      <c r="F953" t="inlineStr">
        <is>
          <t>348245</t>
        </is>
      </c>
      <c r="G953" t="inlineStr">
        <is>
          <t>RE</t>
        </is>
      </c>
      <c r="H953" s="12" t="n">
        <v>-6066.51</v>
      </c>
      <c r="I953" s="17" t="n">
        <v>45824</v>
      </c>
      <c r="J953" s="17" t="n">
        <v>45854</v>
      </c>
      <c r="K953" t="inlineStr">
        <is>
          <t>0477/25</t>
        </is>
      </c>
    </row>
    <row r="954">
      <c r="A954" t="inlineStr">
        <is>
          <t>IC1000</t>
        </is>
      </c>
      <c r="B954" t="inlineStr">
        <is>
          <t>NORDEX ENERGY SE &amp; CO KG</t>
        </is>
      </c>
      <c r="C954" t="n">
        <v>2122100000</v>
      </c>
      <c r="D954" t="inlineStr">
        <is>
          <t>Intercompany</t>
        </is>
      </c>
      <c r="E954" t="n">
        <v>5025286</v>
      </c>
      <c r="F954" t="inlineStr">
        <is>
          <t>343797</t>
        </is>
      </c>
      <c r="G954" t="inlineStr">
        <is>
          <t>RE</t>
        </is>
      </c>
      <c r="H954" s="12" t="n">
        <v>-2736.01</v>
      </c>
      <c r="I954" s="17" t="n">
        <v>45791</v>
      </c>
      <c r="J954" s="17" t="n">
        <v>45821</v>
      </c>
      <c r="K954" t="inlineStr">
        <is>
          <t>0455/25</t>
        </is>
      </c>
    </row>
    <row r="955">
      <c r="A955" t="inlineStr">
        <is>
          <t>IC1000</t>
        </is>
      </c>
      <c r="B955" t="inlineStr">
        <is>
          <t>NORDEX ENERGY SE &amp; CO KG</t>
        </is>
      </c>
      <c r="C955" t="n">
        <v>2122100000</v>
      </c>
      <c r="D955" t="inlineStr">
        <is>
          <t>Intercompany</t>
        </is>
      </c>
      <c r="E955" t="n">
        <v>5025511</v>
      </c>
      <c r="F955" t="inlineStr">
        <is>
          <t>RITM0515358/8865</t>
        </is>
      </c>
      <c r="G955" t="inlineStr">
        <is>
          <t>RE</t>
        </is>
      </c>
      <c r="H955" s="12" t="n">
        <v>-125278.65</v>
      </c>
      <c r="I955" s="17" t="n">
        <v>45832</v>
      </c>
      <c r="J955" s="17" t="n">
        <v>45862</v>
      </c>
      <c r="K955" t="inlineStr">
        <is>
          <t>0479/25</t>
        </is>
      </c>
    </row>
    <row r="956">
      <c r="A956" t="inlineStr">
        <is>
          <t>IC1000</t>
        </is>
      </c>
      <c r="B956" t="inlineStr">
        <is>
          <t>NORDEX ENERGY SE &amp; CO KG</t>
        </is>
      </c>
      <c r="C956" t="n">
        <v>2122100000</v>
      </c>
      <c r="D956" t="inlineStr">
        <is>
          <t>Intercompany</t>
        </is>
      </c>
      <c r="E956" t="n">
        <v>5025561</v>
      </c>
      <c r="F956" t="inlineStr">
        <is>
          <t>350849</t>
        </is>
      </c>
      <c r="G956" t="inlineStr">
        <is>
          <t>RE</t>
        </is>
      </c>
      <c r="H956" s="12" t="n">
        <v>-1110.4</v>
      </c>
      <c r="I956" s="17" t="n">
        <v>45840</v>
      </c>
      <c r="J956" s="17" t="n">
        <v>45870</v>
      </c>
      <c r="K956" t="inlineStr">
        <is>
          <t>0552/25</t>
        </is>
      </c>
    </row>
    <row r="957">
      <c r="A957" t="inlineStr">
        <is>
          <t>IC1000</t>
        </is>
      </c>
      <c r="B957" t="inlineStr">
        <is>
          <t>NORDEX ENERGY SE &amp; CO KG</t>
        </is>
      </c>
      <c r="C957" t="n">
        <v>2122100000</v>
      </c>
      <c r="D957" t="inlineStr">
        <is>
          <t>Intercompany</t>
        </is>
      </c>
      <c r="E957" t="n">
        <v>5025588</v>
      </c>
      <c r="F957" t="inlineStr">
        <is>
          <t>347204</t>
        </is>
      </c>
      <c r="G957" t="inlineStr">
        <is>
          <t>RE</t>
        </is>
      </c>
      <c r="H957" s="12" t="n">
        <v>-1090.68</v>
      </c>
      <c r="I957" s="17" t="n">
        <v>45817</v>
      </c>
      <c r="J957" s="17" t="n">
        <v>45847</v>
      </c>
      <c r="K957" t="inlineStr">
        <is>
          <t>0496/25</t>
        </is>
      </c>
    </row>
    <row r="958">
      <c r="A958" t="inlineStr">
        <is>
          <t>IC1000</t>
        </is>
      </c>
      <c r="B958" t="inlineStr">
        <is>
          <t>NORDEX ENERGY SE &amp; CO KG</t>
        </is>
      </c>
      <c r="C958" t="n">
        <v>2122100000</v>
      </c>
      <c r="D958" t="inlineStr">
        <is>
          <t>Intercompany</t>
        </is>
      </c>
      <c r="E958" t="n">
        <v>5025766</v>
      </c>
      <c r="F958" t="inlineStr">
        <is>
          <t>283297</t>
        </is>
      </c>
      <c r="G958" t="inlineStr">
        <is>
          <t>RE</t>
        </is>
      </c>
      <c r="H958" s="12" t="n">
        <v>-1733.86</v>
      </c>
      <c r="I958" s="17" t="n">
        <v>45406</v>
      </c>
      <c r="J958" s="17" t="n">
        <v>45436</v>
      </c>
      <c r="K958" t="inlineStr">
        <is>
          <t>0358/24</t>
        </is>
      </c>
    </row>
    <row r="959">
      <c r="A959" t="inlineStr">
        <is>
          <t>IC1000</t>
        </is>
      </c>
      <c r="B959" t="inlineStr">
        <is>
          <t>NORDEX ENERGY SE &amp; CO KG</t>
        </is>
      </c>
      <c r="C959" t="n">
        <v>2122100000</v>
      </c>
      <c r="D959" t="inlineStr">
        <is>
          <t>Intercompany</t>
        </is>
      </c>
      <c r="E959" t="n">
        <v>5025768</v>
      </c>
      <c r="F959" t="inlineStr">
        <is>
          <t>RITM0484592/3353</t>
        </is>
      </c>
      <c r="G959" t="inlineStr">
        <is>
          <t>RE</t>
        </is>
      </c>
      <c r="H959" s="12" t="n">
        <v>-586562.85</v>
      </c>
      <c r="I959" s="17" t="n">
        <v>45740</v>
      </c>
      <c r="J959" s="17" t="n">
        <v>45770</v>
      </c>
      <c r="K959" t="inlineStr">
        <is>
          <t>0323/25</t>
        </is>
      </c>
    </row>
    <row r="960">
      <c r="A960" t="inlineStr">
        <is>
          <t>IC1000</t>
        </is>
      </c>
      <c r="B960" t="inlineStr">
        <is>
          <t>NORDEX ENERGY SE &amp; CO KG</t>
        </is>
      </c>
      <c r="C960" t="n">
        <v>2122100000</v>
      </c>
      <c r="D960" t="inlineStr">
        <is>
          <t>Intercompany</t>
        </is>
      </c>
      <c r="E960" t="n">
        <v>5025769</v>
      </c>
      <c r="F960" t="inlineStr">
        <is>
          <t>281264</t>
        </is>
      </c>
      <c r="G960" t="inlineStr">
        <is>
          <t>RE</t>
        </is>
      </c>
      <c r="H960" s="12" t="n">
        <v>-13338.32</v>
      </c>
      <c r="I960" s="17" t="n">
        <v>45391</v>
      </c>
      <c r="J960" s="17" t="n">
        <v>45421</v>
      </c>
      <c r="K960" t="inlineStr">
        <is>
          <t>0363/24</t>
        </is>
      </c>
    </row>
    <row r="961">
      <c r="A961" t="inlineStr">
        <is>
          <t>IC1000</t>
        </is>
      </c>
      <c r="B961" t="inlineStr">
        <is>
          <t>NORDEX ENERGY SE &amp; CO KG</t>
        </is>
      </c>
      <c r="C961" t="n">
        <v>2122100000</v>
      </c>
      <c r="D961" t="inlineStr">
        <is>
          <t>Intercompany</t>
        </is>
      </c>
      <c r="E961" t="n">
        <v>5025803</v>
      </c>
      <c r="F961" t="inlineStr">
        <is>
          <t>285609</t>
        </is>
      </c>
      <c r="G961" t="inlineStr">
        <is>
          <t>RE</t>
        </is>
      </c>
      <c r="H961" s="12" t="n">
        <v>-5078.42</v>
      </c>
      <c r="I961" s="17" t="n">
        <v>45415</v>
      </c>
      <c r="J961" s="17" t="n">
        <v>45445</v>
      </c>
      <c r="K961" t="inlineStr">
        <is>
          <t>0366/24</t>
        </is>
      </c>
    </row>
    <row r="962">
      <c r="A962" t="inlineStr">
        <is>
          <t>IC1000</t>
        </is>
      </c>
      <c r="B962" t="inlineStr">
        <is>
          <t>NORDEX ENERGY SE &amp; CO KG</t>
        </is>
      </c>
      <c r="C962" t="n">
        <v>2122100000</v>
      </c>
      <c r="D962" t="inlineStr">
        <is>
          <t>Intercompany</t>
        </is>
      </c>
      <c r="E962" t="n">
        <v>5025803</v>
      </c>
      <c r="F962" t="inlineStr">
        <is>
          <t>343859</t>
        </is>
      </c>
      <c r="G962" t="inlineStr">
        <is>
          <t>RE</t>
        </is>
      </c>
      <c r="H962" s="12" t="n">
        <v>-2736.01</v>
      </c>
      <c r="I962" s="17" t="n">
        <v>45797</v>
      </c>
      <c r="J962" s="17" t="n">
        <v>45827</v>
      </c>
      <c r="K962" t="inlineStr">
        <is>
          <t>0452/25</t>
        </is>
      </c>
    </row>
    <row r="963">
      <c r="A963" t="inlineStr">
        <is>
          <t>IC1000</t>
        </is>
      </c>
      <c r="B963" t="inlineStr">
        <is>
          <t>NORDEX ENERGY SE &amp; CO KG</t>
        </is>
      </c>
      <c r="C963" t="n">
        <v>2122100000</v>
      </c>
      <c r="D963" t="inlineStr">
        <is>
          <t>Intercompany</t>
        </is>
      </c>
      <c r="E963" t="n">
        <v>5025881</v>
      </c>
      <c r="F963" t="inlineStr">
        <is>
          <t>284404</t>
        </is>
      </c>
      <c r="G963" t="inlineStr">
        <is>
          <t>RE</t>
        </is>
      </c>
      <c r="H963" s="12" t="n">
        <v>-245823.7</v>
      </c>
      <c r="I963" s="17" t="n">
        <v>45405</v>
      </c>
      <c r="J963" s="17" t="n">
        <v>45435</v>
      </c>
      <c r="K963" t="inlineStr">
        <is>
          <t>0298/24</t>
        </is>
      </c>
    </row>
    <row r="964">
      <c r="A964" t="inlineStr">
        <is>
          <t>IC5000</t>
        </is>
      </c>
      <c r="B964" t="inlineStr">
        <is>
          <t>NORDEX SE</t>
        </is>
      </c>
      <c r="C964" t="n">
        <v>2122100000</v>
      </c>
      <c r="D964" t="inlineStr">
        <is>
          <t>Intercompany</t>
        </is>
      </c>
      <c r="E964" t="n">
        <v>5026420</v>
      </c>
      <c r="F964" t="inlineStr">
        <is>
          <t>609696</t>
        </is>
      </c>
      <c r="G964" t="inlineStr">
        <is>
          <t>KR</t>
        </is>
      </c>
      <c r="H964" s="12" t="n">
        <v>-4225990.93</v>
      </c>
      <c r="I964" s="17" t="n">
        <v>45853</v>
      </c>
      <c r="J964" s="17" t="n">
        <v>45853</v>
      </c>
      <c r="K964" t="inlineStr">
        <is>
          <t>Fatura do fornecedor NORDEX SE 609696</t>
        </is>
      </c>
    </row>
    <row r="965">
      <c r="A965" t="inlineStr">
        <is>
          <t>IC4420</t>
        </is>
      </c>
      <c r="B965" t="inlineStr">
        <is>
          <t>NORDEX ENERGY SPAIN S A U</t>
        </is>
      </c>
      <c r="C965" t="n">
        <v>2122100000</v>
      </c>
      <c r="D965" t="inlineStr">
        <is>
          <t>Intercompany</t>
        </is>
      </c>
      <c r="E965" t="n">
        <v>5026496</v>
      </c>
      <c r="F965" t="inlineStr">
        <is>
          <t>4023003055</t>
        </is>
      </c>
      <c r="G965" t="inlineStr">
        <is>
          <t>RE</t>
        </is>
      </c>
      <c r="H965" s="12" t="n">
        <v>-83302.41</v>
      </c>
      <c r="I965" s="17" t="n">
        <v>45112</v>
      </c>
      <c r="J965" s="17" t="n">
        <v>45142</v>
      </c>
      <c r="K965" t="inlineStr">
        <is>
          <t>0585/23</t>
        </is>
      </c>
    </row>
    <row r="966">
      <c r="A966" t="inlineStr">
        <is>
          <t>IC1000</t>
        </is>
      </c>
      <c r="B966" t="inlineStr">
        <is>
          <t>NORDEX ENERGY SE &amp; CO KG</t>
        </is>
      </c>
      <c r="C966" t="n">
        <v>2122100000</v>
      </c>
      <c r="D966" t="inlineStr">
        <is>
          <t>Intercompany</t>
        </is>
      </c>
      <c r="E966" t="n">
        <v>5026624</v>
      </c>
      <c r="F966" t="inlineStr">
        <is>
          <t>350850</t>
        </is>
      </c>
      <c r="G966" t="inlineStr">
        <is>
          <t>RE</t>
        </is>
      </c>
      <c r="H966" s="12" t="n">
        <v>-1600.95</v>
      </c>
      <c r="I966" s="17" t="n">
        <v>45840</v>
      </c>
      <c r="J966" s="17" t="n">
        <v>45870</v>
      </c>
      <c r="K966" t="inlineStr">
        <is>
          <t>0558/25</t>
        </is>
      </c>
    </row>
    <row r="967">
      <c r="A967" t="inlineStr">
        <is>
          <t>IC1000</t>
        </is>
      </c>
      <c r="B967" t="inlineStr">
        <is>
          <t>NORDEX ENERGY SE &amp; CO KG</t>
        </is>
      </c>
      <c r="C967" t="n">
        <v>2122100000</v>
      </c>
      <c r="D967" t="inlineStr">
        <is>
          <t>Intercompany</t>
        </is>
      </c>
      <c r="E967" t="n">
        <v>5026716</v>
      </c>
      <c r="F967" t="inlineStr">
        <is>
          <t>350603</t>
        </is>
      </c>
      <c r="G967" t="inlineStr">
        <is>
          <t>RE</t>
        </is>
      </c>
      <c r="H967" s="12" t="n">
        <v>-6693.34</v>
      </c>
      <c r="I967" s="17" t="n">
        <v>45840</v>
      </c>
      <c r="J967" s="17" t="n">
        <v>45870</v>
      </c>
      <c r="K967" t="inlineStr">
        <is>
          <t>0554/25</t>
        </is>
      </c>
    </row>
    <row r="968">
      <c r="A968" t="inlineStr">
        <is>
          <t>IC1000</t>
        </is>
      </c>
      <c r="B968" t="inlineStr">
        <is>
          <t>NORDEX ENERGY SE &amp; CO KG</t>
        </is>
      </c>
      <c r="C968" t="n">
        <v>2122100000</v>
      </c>
      <c r="D968" t="inlineStr">
        <is>
          <t>Intercompany</t>
        </is>
      </c>
      <c r="E968" t="n">
        <v>5026717</v>
      </c>
      <c r="F968" t="inlineStr">
        <is>
          <t>350222</t>
        </is>
      </c>
      <c r="G968" t="inlineStr">
        <is>
          <t>RE</t>
        </is>
      </c>
      <c r="H968" s="12" t="n">
        <v>-30484.13</v>
      </c>
      <c r="I968" s="17" t="n">
        <v>45838</v>
      </c>
      <c r="J968" s="17" t="n">
        <v>45868</v>
      </c>
      <c r="K968" t="inlineStr">
        <is>
          <t>0546/25</t>
        </is>
      </c>
    </row>
    <row r="969">
      <c r="A969" t="inlineStr">
        <is>
          <t>IC1000</t>
        </is>
      </c>
      <c r="B969" t="inlineStr">
        <is>
          <t>NORDEX ENERGY SE &amp; CO KG</t>
        </is>
      </c>
      <c r="C969" t="n">
        <v>2122100000</v>
      </c>
      <c r="D969" t="inlineStr">
        <is>
          <t>Intercompany</t>
        </is>
      </c>
      <c r="E969" t="n">
        <v>5026724</v>
      </c>
      <c r="F969" t="inlineStr">
        <is>
          <t>350847</t>
        </is>
      </c>
      <c r="G969" t="inlineStr">
        <is>
          <t>RE</t>
        </is>
      </c>
      <c r="H969" s="12" t="n">
        <v>-2339.02</v>
      </c>
      <c r="I969" s="17" t="n">
        <v>45840</v>
      </c>
      <c r="J969" s="17" t="n">
        <v>45870</v>
      </c>
      <c r="K969" t="inlineStr">
        <is>
          <t>0570/25</t>
        </is>
      </c>
    </row>
    <row r="970">
      <c r="A970" t="inlineStr">
        <is>
          <t>IC1000</t>
        </is>
      </c>
      <c r="B970" t="inlineStr">
        <is>
          <t>NORDEX ENERGY SE &amp; CO KG</t>
        </is>
      </c>
      <c r="C970" t="n">
        <v>2122100000</v>
      </c>
      <c r="D970" t="inlineStr">
        <is>
          <t>Intercompany</t>
        </is>
      </c>
      <c r="E970" t="n">
        <v>5026732</v>
      </c>
      <c r="F970" t="inlineStr">
        <is>
          <t>349836</t>
        </is>
      </c>
      <c r="G970" t="inlineStr">
        <is>
          <t>RE</t>
        </is>
      </c>
      <c r="H970" s="12" t="n">
        <v>-3072.7</v>
      </c>
      <c r="I970" s="17" t="n">
        <v>45835</v>
      </c>
      <c r="J970" s="17" t="n">
        <v>45865</v>
      </c>
      <c r="K970" t="inlineStr">
        <is>
          <t>0557/25</t>
        </is>
      </c>
    </row>
    <row r="971">
      <c r="A971" t="inlineStr">
        <is>
          <t>IC4420</t>
        </is>
      </c>
      <c r="B971" t="inlineStr">
        <is>
          <t>NORDEX ENERGY SPAIN S A U</t>
        </is>
      </c>
      <c r="C971" t="n">
        <v>2122100000</v>
      </c>
      <c r="D971" t="inlineStr">
        <is>
          <t>Intercompany</t>
        </is>
      </c>
      <c r="E971" t="n">
        <v>5026888</v>
      </c>
      <c r="F971" t="inlineStr">
        <is>
          <t>4023001878</t>
        </is>
      </c>
      <c r="G971" t="inlineStr">
        <is>
          <t>RE</t>
        </is>
      </c>
      <c r="H971" s="12" t="n">
        <v>-41732.48</v>
      </c>
      <c r="I971" s="17" t="n">
        <v>45054</v>
      </c>
      <c r="J971" s="17" t="n">
        <v>45084</v>
      </c>
      <c r="K971" t="inlineStr">
        <is>
          <t>0671/23</t>
        </is>
      </c>
    </row>
    <row r="972">
      <c r="A972" t="inlineStr">
        <is>
          <t>IC1000</t>
        </is>
      </c>
      <c r="B972" t="inlineStr">
        <is>
          <t>NORDEX ENERGY SE &amp; CO KG</t>
        </is>
      </c>
      <c r="C972" t="n">
        <v>2122100000</v>
      </c>
      <c r="D972" t="inlineStr">
        <is>
          <t>Intercompany</t>
        </is>
      </c>
      <c r="E972" t="n">
        <v>5026995</v>
      </c>
      <c r="F972" t="inlineStr">
        <is>
          <t>4012451838</t>
        </is>
      </c>
      <c r="G972" t="inlineStr">
        <is>
          <t>KR</t>
        </is>
      </c>
      <c r="H972" s="12" t="n">
        <v>-7179.51</v>
      </c>
      <c r="I972" s="17" t="n">
        <v>45869</v>
      </c>
      <c r="J972" s="17" t="n">
        <v>45899</v>
      </c>
      <c r="K972" t="inlineStr">
        <is>
          <t>Fatura do fornecedor NORDEX ENERGY SE &amp; CO KG 4012</t>
        </is>
      </c>
    </row>
    <row r="973">
      <c r="A973" t="inlineStr">
        <is>
          <t>IC5000</t>
        </is>
      </c>
      <c r="B973" t="inlineStr">
        <is>
          <t>NORDEX SE</t>
        </is>
      </c>
      <c r="C973" t="n">
        <v>2122100000</v>
      </c>
      <c r="D973" t="inlineStr">
        <is>
          <t>Intercompany</t>
        </is>
      </c>
      <c r="E973" t="n">
        <v>5027086</v>
      </c>
      <c r="F973" t="inlineStr">
        <is>
          <t>608548</t>
        </is>
      </c>
      <c r="G973" t="inlineStr">
        <is>
          <t>KR</t>
        </is>
      </c>
      <c r="H973" s="12" t="n">
        <v>-8691978.880000001</v>
      </c>
      <c r="I973" s="17" t="n">
        <v>45484</v>
      </c>
      <c r="J973" s="17" t="n">
        <v>45484</v>
      </c>
      <c r="K973" t="inlineStr">
        <is>
          <t>Invoice bank guarantee fee Q2-2024 - 608548</t>
        </is>
      </c>
    </row>
    <row r="974">
      <c r="A974" t="inlineStr">
        <is>
          <t>IC5000</t>
        </is>
      </c>
      <c r="B974" t="inlineStr">
        <is>
          <t>NORDEX SE</t>
        </is>
      </c>
      <c r="C974" t="n">
        <v>2122100000</v>
      </c>
      <c r="D974" t="inlineStr">
        <is>
          <t>Intercompany</t>
        </is>
      </c>
      <c r="E974" t="n">
        <v>5027629</v>
      </c>
      <c r="F974" t="inlineStr">
        <is>
          <t>608529</t>
        </is>
      </c>
      <c r="G974" t="inlineStr">
        <is>
          <t>KR</t>
        </is>
      </c>
      <c r="H974" s="12" t="n">
        <v>-3618432.98</v>
      </c>
      <c r="I974" s="17" t="n">
        <v>45484</v>
      </c>
      <c r="J974" s="17" t="n">
        <v>45484</v>
      </c>
      <c r="K974" t="inlineStr">
        <is>
          <t>Fatura do fornecedor NORDEX SE 608529 - Parent Com</t>
        </is>
      </c>
    </row>
    <row r="975">
      <c r="A975" t="inlineStr">
        <is>
          <t>IC1000</t>
        </is>
      </c>
      <c r="B975" t="inlineStr">
        <is>
          <t>NORDEX ENERGY SE &amp; CO KG</t>
        </is>
      </c>
      <c r="C975" t="n">
        <v>2122100000</v>
      </c>
      <c r="D975" t="inlineStr">
        <is>
          <t>Intercompany</t>
        </is>
      </c>
      <c r="E975" t="n">
        <v>5027660</v>
      </c>
      <c r="F975" t="inlineStr">
        <is>
          <t>352120</t>
        </is>
      </c>
      <c r="G975" t="inlineStr">
        <is>
          <t>RE</t>
        </is>
      </c>
      <c r="H975" s="12" t="n">
        <v>-46454.79</v>
      </c>
      <c r="I975" s="17" t="n">
        <v>45853</v>
      </c>
      <c r="J975" s="17" t="n">
        <v>45883</v>
      </c>
      <c r="K975" t="inlineStr">
        <is>
          <t>0609/25</t>
        </is>
      </c>
    </row>
    <row r="976">
      <c r="A976" t="inlineStr">
        <is>
          <t>IC4420</t>
        </is>
      </c>
      <c r="B976" t="inlineStr">
        <is>
          <t>NORDEX ENERGY SPAIN S A U</t>
        </is>
      </c>
      <c r="C976" t="n">
        <v>2122100000</v>
      </c>
      <c r="D976" t="inlineStr">
        <is>
          <t>Intercompany</t>
        </is>
      </c>
      <c r="E976" t="n">
        <v>5027690</v>
      </c>
      <c r="F976" t="inlineStr">
        <is>
          <t>4024002131</t>
        </is>
      </c>
      <c r="G976" t="inlineStr">
        <is>
          <t>RE</t>
        </is>
      </c>
      <c r="H976" s="12" t="n">
        <v>-1281870.52</v>
      </c>
      <c r="I976" s="17" t="n">
        <v>45377</v>
      </c>
      <c r="J976" s="17" t="n">
        <v>45407</v>
      </c>
      <c r="K976" t="inlineStr">
        <is>
          <t>0218/24</t>
        </is>
      </c>
    </row>
    <row r="977">
      <c r="A977" t="inlineStr">
        <is>
          <t>IC4420</t>
        </is>
      </c>
      <c r="B977" t="inlineStr">
        <is>
          <t>NORDEX ENERGY SPAIN S A U</t>
        </is>
      </c>
      <c r="C977" t="n">
        <v>2122100000</v>
      </c>
      <c r="D977" t="inlineStr">
        <is>
          <t>Intercompany</t>
        </is>
      </c>
      <c r="E977" t="n">
        <v>5027694</v>
      </c>
      <c r="F977" t="inlineStr">
        <is>
          <t>4024002130</t>
        </is>
      </c>
      <c r="G977" t="inlineStr">
        <is>
          <t>RE</t>
        </is>
      </c>
      <c r="H977" s="12" t="n">
        <v>-1281870.52</v>
      </c>
      <c r="I977" s="17" t="n">
        <v>45377</v>
      </c>
      <c r="J977" s="17" t="n">
        <v>45407</v>
      </c>
      <c r="K977" t="inlineStr">
        <is>
          <t>0217/24</t>
        </is>
      </c>
    </row>
    <row r="978">
      <c r="A978" t="inlineStr">
        <is>
          <t>IC1000</t>
        </is>
      </c>
      <c r="B978" t="inlineStr">
        <is>
          <t>NORDEX ENERGY SE &amp; CO KG</t>
        </is>
      </c>
      <c r="C978" t="n">
        <v>2122100000</v>
      </c>
      <c r="D978" t="inlineStr">
        <is>
          <t>Intercompany</t>
        </is>
      </c>
      <c r="E978" t="n">
        <v>5027778</v>
      </c>
      <c r="F978" t="inlineStr">
        <is>
          <t>283731</t>
        </is>
      </c>
      <c r="G978" t="inlineStr">
        <is>
          <t>RE</t>
        </is>
      </c>
      <c r="H978" s="12" t="n">
        <v>-63915.85</v>
      </c>
      <c r="I978" s="17" t="n">
        <v>45406</v>
      </c>
      <c r="J978" s="17" t="n">
        <v>45436</v>
      </c>
      <c r="K978" t="inlineStr">
        <is>
          <t>0362/24</t>
        </is>
      </c>
    </row>
    <row r="979">
      <c r="A979" t="inlineStr">
        <is>
          <t>IC1000</t>
        </is>
      </c>
      <c r="B979" t="inlineStr">
        <is>
          <t>NORDEX ENERGY SE &amp; CO KG</t>
        </is>
      </c>
      <c r="C979" t="n">
        <v>2122100000</v>
      </c>
      <c r="D979" t="inlineStr">
        <is>
          <t>Intercompany</t>
        </is>
      </c>
      <c r="E979" t="n">
        <v>5027790</v>
      </c>
      <c r="F979" t="inlineStr">
        <is>
          <t>284832</t>
        </is>
      </c>
      <c r="G979" t="inlineStr">
        <is>
          <t>RE</t>
        </is>
      </c>
      <c r="H979" s="12" t="n">
        <v>-10240.08</v>
      </c>
      <c r="I979" s="17" t="n">
        <v>45405</v>
      </c>
      <c r="J979" s="17" t="n">
        <v>45435</v>
      </c>
      <c r="K979" t="inlineStr">
        <is>
          <t>0323/24</t>
        </is>
      </c>
    </row>
    <row r="980">
      <c r="A980" t="inlineStr">
        <is>
          <t>IC1000</t>
        </is>
      </c>
      <c r="B980" t="inlineStr">
        <is>
          <t>NORDEX ENERGY SE &amp; CO KG</t>
        </is>
      </c>
      <c r="C980" t="n">
        <v>2122100000</v>
      </c>
      <c r="D980" t="inlineStr">
        <is>
          <t>Intercompany</t>
        </is>
      </c>
      <c r="E980" t="n">
        <v>5027797</v>
      </c>
      <c r="F980" t="inlineStr">
        <is>
          <t>285537</t>
        </is>
      </c>
      <c r="G980" t="inlineStr">
        <is>
          <t>RE</t>
        </is>
      </c>
      <c r="H980" s="12" t="n">
        <v>-17127.09</v>
      </c>
      <c r="I980" s="17" t="n">
        <v>45415</v>
      </c>
      <c r="J980" s="17" t="n">
        <v>45445</v>
      </c>
      <c r="K980" t="inlineStr">
        <is>
          <t>0361/24</t>
        </is>
      </c>
    </row>
    <row r="981">
      <c r="A981" t="inlineStr">
        <is>
          <t>IC1000</t>
        </is>
      </c>
      <c r="B981" t="inlineStr">
        <is>
          <t>NORDEX ENERGY SE &amp; CO KG</t>
        </is>
      </c>
      <c r="C981" t="n">
        <v>2122100000</v>
      </c>
      <c r="D981" t="inlineStr">
        <is>
          <t>Intercompany</t>
        </is>
      </c>
      <c r="E981" t="n">
        <v>5027799</v>
      </c>
      <c r="F981" t="inlineStr">
        <is>
          <t>4012388176</t>
        </is>
      </c>
      <c r="G981" t="inlineStr">
        <is>
          <t>RE</t>
        </is>
      </c>
      <c r="H981" s="12" t="n">
        <v>-446681.84</v>
      </c>
      <c r="I981" s="17" t="n">
        <v>45426</v>
      </c>
      <c r="J981" s="17" t="n">
        <v>45456</v>
      </c>
      <c r="K981" t="inlineStr">
        <is>
          <t>0329/24</t>
        </is>
      </c>
    </row>
    <row r="982">
      <c r="A982" t="inlineStr">
        <is>
          <t>IC1000</t>
        </is>
      </c>
      <c r="B982" t="inlineStr">
        <is>
          <t>NORDEX ENERGY SE &amp; CO KG</t>
        </is>
      </c>
      <c r="C982" t="n">
        <v>2122100000</v>
      </c>
      <c r="D982" t="inlineStr">
        <is>
          <t>Intercompany</t>
        </is>
      </c>
      <c r="E982" t="n">
        <v>5027952</v>
      </c>
      <c r="F982" t="inlineStr">
        <is>
          <t>350610</t>
        </is>
      </c>
      <c r="G982" t="inlineStr">
        <is>
          <t>RE</t>
        </is>
      </c>
      <c r="H982" s="12" t="n">
        <v>-18826.74</v>
      </c>
      <c r="I982" s="17" t="n">
        <v>45845</v>
      </c>
      <c r="J982" s="17" t="n">
        <v>45875</v>
      </c>
      <c r="K982" t="inlineStr">
        <is>
          <t>0553/25</t>
        </is>
      </c>
    </row>
    <row r="983">
      <c r="A983" t="inlineStr">
        <is>
          <t>IC1000</t>
        </is>
      </c>
      <c r="B983" t="inlineStr">
        <is>
          <t>NORDEX ENERGY SE &amp; CO KG</t>
        </is>
      </c>
      <c r="C983" t="n">
        <v>2122100000</v>
      </c>
      <c r="D983" t="inlineStr">
        <is>
          <t>Intercompany</t>
        </is>
      </c>
      <c r="E983" t="n">
        <v>5028098</v>
      </c>
      <c r="F983" t="inlineStr">
        <is>
          <t>349835</t>
        </is>
      </c>
      <c r="G983" t="inlineStr">
        <is>
          <t>RE</t>
        </is>
      </c>
      <c r="H983" s="12" t="n">
        <v>-3032.7</v>
      </c>
      <c r="I983" s="17" t="n">
        <v>45835</v>
      </c>
      <c r="J983" s="17" t="n">
        <v>45865</v>
      </c>
      <c r="K983" t="inlineStr">
        <is>
          <t>0551/25</t>
        </is>
      </c>
    </row>
    <row r="984">
      <c r="A984" t="inlineStr">
        <is>
          <t>IC4420</t>
        </is>
      </c>
      <c r="B984" t="inlineStr">
        <is>
          <t>NORDEX ENERGY SPAIN S A U</t>
        </is>
      </c>
      <c r="C984" t="n">
        <v>2122100000</v>
      </c>
      <c r="D984" t="inlineStr">
        <is>
          <t>Intercompany</t>
        </is>
      </c>
      <c r="E984" t="n">
        <v>5028341</v>
      </c>
      <c r="F984" t="inlineStr">
        <is>
          <t>4024002693</t>
        </is>
      </c>
      <c r="G984" t="inlineStr">
        <is>
          <t>RE</t>
        </is>
      </c>
      <c r="H984" s="12" t="n">
        <v>-1559078.55</v>
      </c>
      <c r="I984" s="17" t="n">
        <v>45405</v>
      </c>
      <c r="J984" s="17" t="n">
        <v>45435</v>
      </c>
      <c r="K984" t="inlineStr">
        <is>
          <t>0441/24</t>
        </is>
      </c>
    </row>
    <row r="985">
      <c r="A985" t="inlineStr">
        <is>
          <t>IC1000</t>
        </is>
      </c>
      <c r="B985" t="inlineStr">
        <is>
          <t>NORDEX ENERGY SE &amp; CO KG</t>
        </is>
      </c>
      <c r="C985" t="n">
        <v>2122100000</v>
      </c>
      <c r="D985" t="inlineStr">
        <is>
          <t>Intercompany</t>
        </is>
      </c>
      <c r="E985" t="n">
        <v>5028512</v>
      </c>
      <c r="F985" t="inlineStr">
        <is>
          <t>347006</t>
        </is>
      </c>
      <c r="G985" t="inlineStr">
        <is>
          <t>RE</t>
        </is>
      </c>
      <c r="H985" s="12" t="n">
        <v>-2882.22</v>
      </c>
      <c r="I985" s="17" t="n">
        <v>45825</v>
      </c>
      <c r="J985" s="17" t="n">
        <v>45855</v>
      </c>
      <c r="K985" t="inlineStr">
        <is>
          <t>0478/25</t>
        </is>
      </c>
    </row>
    <row r="986">
      <c r="A986" t="inlineStr">
        <is>
          <t>IC1000</t>
        </is>
      </c>
      <c r="B986" t="inlineStr">
        <is>
          <t>NORDEX ENERGY SE &amp; CO KG</t>
        </is>
      </c>
      <c r="C986" t="n">
        <v>2122100000</v>
      </c>
      <c r="D986" t="inlineStr">
        <is>
          <t>Intercompany</t>
        </is>
      </c>
      <c r="E986" t="n">
        <v>5028900</v>
      </c>
      <c r="F986" t="inlineStr">
        <is>
          <t>351900</t>
        </is>
      </c>
      <c r="G986" t="inlineStr">
        <is>
          <t>RE</t>
        </is>
      </c>
      <c r="H986" s="12" t="n">
        <v>-12425.29</v>
      </c>
      <c r="I986" s="17" t="n">
        <v>45849</v>
      </c>
      <c r="J986" s="17" t="n">
        <v>45879</v>
      </c>
      <c r="K986" t="inlineStr">
        <is>
          <t>0611/25</t>
        </is>
      </c>
    </row>
    <row r="987">
      <c r="A987" t="inlineStr">
        <is>
          <t>IC4420</t>
        </is>
      </c>
      <c r="B987" t="inlineStr">
        <is>
          <t>NORDEX ENERGY SPAIN S A U</t>
        </is>
      </c>
      <c r="C987" t="n">
        <v>2122100000</v>
      </c>
      <c r="D987" t="inlineStr">
        <is>
          <t>Intercompany</t>
        </is>
      </c>
      <c r="E987" t="n">
        <v>5029082</v>
      </c>
      <c r="F987" t="inlineStr">
        <is>
          <t>4024003774</t>
        </is>
      </c>
      <c r="G987" t="inlineStr">
        <is>
          <t>RE</t>
        </is>
      </c>
      <c r="H987" s="12" t="n">
        <v>-16779.7</v>
      </c>
      <c r="I987" s="17" t="n">
        <v>45446</v>
      </c>
      <c r="J987" s="17" t="n">
        <v>45476</v>
      </c>
      <c r="K987" t="inlineStr">
        <is>
          <t>0456/24</t>
        </is>
      </c>
    </row>
    <row r="988">
      <c r="A988" t="inlineStr">
        <is>
          <t>IC4420</t>
        </is>
      </c>
      <c r="B988" t="inlineStr">
        <is>
          <t>NORDEX ENERGY SPAIN S A U</t>
        </is>
      </c>
      <c r="C988" t="n">
        <v>2122100000</v>
      </c>
      <c r="D988" t="inlineStr">
        <is>
          <t>Intercompany</t>
        </is>
      </c>
      <c r="E988" t="n">
        <v>5029083</v>
      </c>
      <c r="F988" t="inlineStr">
        <is>
          <t>4024003759</t>
        </is>
      </c>
      <c r="G988" t="inlineStr">
        <is>
          <t>RE</t>
        </is>
      </c>
      <c r="H988" s="12" t="n">
        <v>-9687.950000000001</v>
      </c>
      <c r="I988" s="17" t="n">
        <v>45446</v>
      </c>
      <c r="J988" s="17" t="n">
        <v>45476</v>
      </c>
      <c r="K988" t="inlineStr">
        <is>
          <t>0456/24</t>
        </is>
      </c>
    </row>
    <row r="989">
      <c r="A989" t="inlineStr">
        <is>
          <t>IC4420</t>
        </is>
      </c>
      <c r="B989" t="inlineStr">
        <is>
          <t>NORDEX ENERGY SPAIN S A U</t>
        </is>
      </c>
      <c r="C989" t="n">
        <v>2122100000</v>
      </c>
      <c r="D989" t="inlineStr">
        <is>
          <t>Intercompany</t>
        </is>
      </c>
      <c r="E989" t="n">
        <v>5029085</v>
      </c>
      <c r="F989" t="inlineStr">
        <is>
          <t>4024003775</t>
        </is>
      </c>
      <c r="G989" t="inlineStr">
        <is>
          <t>RE</t>
        </is>
      </c>
      <c r="H989" s="12" t="n">
        <v>-90794.78999999999</v>
      </c>
      <c r="I989" s="17" t="n">
        <v>45446</v>
      </c>
      <c r="J989" s="17" t="n">
        <v>45476</v>
      </c>
      <c r="K989" t="inlineStr">
        <is>
          <t>0456/24</t>
        </is>
      </c>
    </row>
    <row r="990">
      <c r="A990" t="inlineStr">
        <is>
          <t>IC4420</t>
        </is>
      </c>
      <c r="B990" t="inlineStr">
        <is>
          <t>NORDEX ENERGY SPAIN S A U</t>
        </is>
      </c>
      <c r="C990" t="n">
        <v>2122100000</v>
      </c>
      <c r="D990" t="inlineStr">
        <is>
          <t>Intercompany</t>
        </is>
      </c>
      <c r="E990" t="n">
        <v>5029096</v>
      </c>
      <c r="F990" t="inlineStr">
        <is>
          <t>4024003758</t>
        </is>
      </c>
      <c r="G990" t="inlineStr">
        <is>
          <t>RE</t>
        </is>
      </c>
      <c r="H990" s="12" t="n">
        <v>-10492.61</v>
      </c>
      <c r="I990" s="17" t="n">
        <v>45446</v>
      </c>
      <c r="J990" s="17" t="n">
        <v>45476</v>
      </c>
      <c r="K990" t="inlineStr">
        <is>
          <t>0456/24</t>
        </is>
      </c>
    </row>
    <row r="991">
      <c r="A991" t="inlineStr">
        <is>
          <t>IC1000</t>
        </is>
      </c>
      <c r="B991" t="inlineStr">
        <is>
          <t>NORDEX ENERGY SE &amp; CO KG</t>
        </is>
      </c>
      <c r="C991" t="n">
        <v>2122100000</v>
      </c>
      <c r="D991" t="inlineStr">
        <is>
          <t>Intercompany</t>
        </is>
      </c>
      <c r="E991" t="n">
        <v>5029152</v>
      </c>
      <c r="F991" t="inlineStr">
        <is>
          <t>4012385752</t>
        </is>
      </c>
      <c r="G991" t="inlineStr">
        <is>
          <t>RE</t>
        </is>
      </c>
      <c r="H991" s="12" t="n">
        <v>-389957.4</v>
      </c>
      <c r="I991" s="17" t="n">
        <v>45411</v>
      </c>
      <c r="J991" s="17" t="n">
        <v>45441</v>
      </c>
      <c r="K991" t="inlineStr">
        <is>
          <t>0302/24</t>
        </is>
      </c>
    </row>
    <row r="992">
      <c r="A992" t="inlineStr">
        <is>
          <t>IC4420</t>
        </is>
      </c>
      <c r="B992" t="inlineStr">
        <is>
          <t>NORDEX ENERGY SPAIN S A U</t>
        </is>
      </c>
      <c r="C992" t="n">
        <v>2122100000</v>
      </c>
      <c r="D992" t="inlineStr">
        <is>
          <t>Intercompany</t>
        </is>
      </c>
      <c r="E992" t="n">
        <v>5029232</v>
      </c>
      <c r="F992" t="inlineStr">
        <is>
          <t>4023004173</t>
        </is>
      </c>
      <c r="G992" t="inlineStr">
        <is>
          <t>RE</t>
        </is>
      </c>
      <c r="H992" s="12" t="n">
        <v>-789700.08</v>
      </c>
      <c r="I992" s="17" t="n">
        <v>45182</v>
      </c>
      <c r="J992" s="17" t="n">
        <v>45242</v>
      </c>
      <c r="K992" t="inlineStr">
        <is>
          <t>0006/24</t>
        </is>
      </c>
    </row>
    <row r="993">
      <c r="A993" t="inlineStr">
        <is>
          <t>IC1000</t>
        </is>
      </c>
      <c r="B993" t="inlineStr">
        <is>
          <t>NORDEX ENERGY SE &amp; CO KG</t>
        </is>
      </c>
      <c r="C993" t="n">
        <v>2122100000</v>
      </c>
      <c r="D993" t="inlineStr">
        <is>
          <t>Intercompany</t>
        </is>
      </c>
      <c r="E993" t="n">
        <v>5029643</v>
      </c>
      <c r="F993" t="inlineStr">
        <is>
          <t>353658</t>
        </is>
      </c>
      <c r="G993" t="inlineStr">
        <is>
          <t>RE</t>
        </is>
      </c>
      <c r="H993" s="12" t="n">
        <v>-2186.77</v>
      </c>
      <c r="I993" s="17" t="n">
        <v>45863</v>
      </c>
      <c r="J993" s="17" t="n">
        <v>45893</v>
      </c>
      <c r="K993" t="inlineStr">
        <is>
          <t>0648/25</t>
        </is>
      </c>
    </row>
    <row r="994">
      <c r="A994" t="inlineStr">
        <is>
          <t>IC4420</t>
        </is>
      </c>
      <c r="B994" t="inlineStr">
        <is>
          <t>NORDEX ENERGY SPAIN S A U</t>
        </is>
      </c>
      <c r="C994" t="n">
        <v>2122100000</v>
      </c>
      <c r="D994" t="inlineStr">
        <is>
          <t>Intercompany</t>
        </is>
      </c>
      <c r="E994" t="n">
        <v>5029846</v>
      </c>
      <c r="F994" t="inlineStr">
        <is>
          <t>4024002125</t>
        </is>
      </c>
      <c r="G994" t="inlineStr">
        <is>
          <t>RE</t>
        </is>
      </c>
      <c r="H994" s="12" t="n">
        <v>-1415251.43</v>
      </c>
      <c r="I994" s="17" t="n">
        <v>45377</v>
      </c>
      <c r="J994" s="17" t="n">
        <v>45407</v>
      </c>
      <c r="K994" t="inlineStr">
        <is>
          <t>0409/24</t>
        </is>
      </c>
    </row>
    <row r="995">
      <c r="A995" t="inlineStr">
        <is>
          <t>IC4420</t>
        </is>
      </c>
      <c r="B995" t="inlineStr">
        <is>
          <t>NORDEX ENERGY SPAIN S A U</t>
        </is>
      </c>
      <c r="C995" t="n">
        <v>2122100000</v>
      </c>
      <c r="D995" t="inlineStr">
        <is>
          <t>Intercompany</t>
        </is>
      </c>
      <c r="E995" t="n">
        <v>5029850</v>
      </c>
      <c r="F995" t="inlineStr">
        <is>
          <t>4018000131</t>
        </is>
      </c>
      <c r="G995" t="inlineStr">
        <is>
          <t>RE</t>
        </is>
      </c>
      <c r="H995" s="12" t="n">
        <v>-1562526.5</v>
      </c>
      <c r="I995" s="17" t="n">
        <v>45456</v>
      </c>
      <c r="J995" s="17" t="n">
        <v>45486</v>
      </c>
      <c r="K995" t="inlineStr">
        <is>
          <t>0439/24</t>
        </is>
      </c>
    </row>
    <row r="996">
      <c r="A996" t="inlineStr">
        <is>
          <t>IC4420</t>
        </is>
      </c>
      <c r="B996" t="inlineStr">
        <is>
          <t>NORDEX ENERGY SPAIN S A U</t>
        </is>
      </c>
      <c r="C996" t="n">
        <v>2122100000</v>
      </c>
      <c r="D996" t="inlineStr">
        <is>
          <t>Intercompany</t>
        </is>
      </c>
      <c r="E996" t="n">
        <v>5029853</v>
      </c>
      <c r="F996" t="inlineStr">
        <is>
          <t>04023000138</t>
        </is>
      </c>
      <c r="G996" t="inlineStr">
        <is>
          <t>RE</t>
        </is>
      </c>
      <c r="H996" s="12" t="n">
        <v>-67328.62</v>
      </c>
      <c r="I996" s="17" t="n">
        <v>44939</v>
      </c>
      <c r="J996" s="17" t="n">
        <v>44969</v>
      </c>
      <c r="K996" t="inlineStr">
        <is>
          <t>0442/24</t>
        </is>
      </c>
    </row>
    <row r="997">
      <c r="A997" t="inlineStr">
        <is>
          <t>IC1000</t>
        </is>
      </c>
      <c r="B997" t="inlineStr">
        <is>
          <t>NORDEX ENERGY SE &amp; CO KG</t>
        </is>
      </c>
      <c r="C997" t="n">
        <v>2122100000</v>
      </c>
      <c r="D997" t="inlineStr">
        <is>
          <t>Intercompany</t>
        </is>
      </c>
      <c r="E997" t="n">
        <v>5029881</v>
      </c>
      <c r="F997" t="inlineStr">
        <is>
          <t>285616</t>
        </is>
      </c>
      <c r="G997" t="inlineStr">
        <is>
          <t>RE</t>
        </is>
      </c>
      <c r="H997" s="12" t="n">
        <v>-128076.1</v>
      </c>
      <c r="I997" s="17" t="n">
        <v>45415</v>
      </c>
      <c r="J997" s="17" t="n">
        <v>45445</v>
      </c>
      <c r="K997" t="inlineStr">
        <is>
          <t>0420/24</t>
        </is>
      </c>
    </row>
    <row r="998">
      <c r="A998" t="inlineStr">
        <is>
          <t>IC1000</t>
        </is>
      </c>
      <c r="B998" t="inlineStr">
        <is>
          <t>NORDEX ENERGY SE &amp; CO KG</t>
        </is>
      </c>
      <c r="C998" t="n">
        <v>2122100000</v>
      </c>
      <c r="D998" t="inlineStr">
        <is>
          <t>Intercompany</t>
        </is>
      </c>
      <c r="E998" t="n">
        <v>5030642</v>
      </c>
      <c r="F998" t="inlineStr">
        <is>
          <t>352404</t>
        </is>
      </c>
      <c r="G998" t="inlineStr">
        <is>
          <t>RE</t>
        </is>
      </c>
      <c r="H998" s="12" t="n">
        <v>-29396.26</v>
      </c>
      <c r="I998" s="17" t="n">
        <v>45853</v>
      </c>
      <c r="J998" s="17" t="n">
        <v>45883</v>
      </c>
      <c r="K998" t="inlineStr">
        <is>
          <t>0610/25</t>
        </is>
      </c>
    </row>
    <row r="999">
      <c r="A999" t="inlineStr">
        <is>
          <t>IC1000</t>
        </is>
      </c>
      <c r="B999" t="inlineStr">
        <is>
          <t>NORDEX ENERGY SE &amp; CO KG</t>
        </is>
      </c>
      <c r="C999" t="n">
        <v>2122100000</v>
      </c>
      <c r="D999" t="inlineStr">
        <is>
          <t>Intercompany</t>
        </is>
      </c>
      <c r="E999" t="n">
        <v>5030728</v>
      </c>
      <c r="F999" t="inlineStr">
        <is>
          <t>353659</t>
        </is>
      </c>
      <c r="G999" t="inlineStr">
        <is>
          <t>RE</t>
        </is>
      </c>
      <c r="H999" s="12" t="n">
        <v>-1567.84</v>
      </c>
      <c r="I999" s="17" t="n">
        <v>45863</v>
      </c>
      <c r="J999" s="17" t="n">
        <v>45893</v>
      </c>
      <c r="K999" t="inlineStr">
        <is>
          <t>0649/25</t>
        </is>
      </c>
    </row>
    <row r="1000">
      <c r="A1000" t="inlineStr">
        <is>
          <t>IC1000</t>
        </is>
      </c>
      <c r="B1000" t="inlineStr">
        <is>
          <t>NORDEX ENERGY SE &amp; CO KG</t>
        </is>
      </c>
      <c r="C1000" t="n">
        <v>2122100000</v>
      </c>
      <c r="D1000" t="inlineStr">
        <is>
          <t>Intercompany</t>
        </is>
      </c>
      <c r="E1000" t="n">
        <v>5030944</v>
      </c>
      <c r="F1000" t="inlineStr">
        <is>
          <t>352116</t>
        </is>
      </c>
      <c r="G1000" t="inlineStr">
        <is>
          <t>RE</t>
        </is>
      </c>
      <c r="H1000" s="12" t="n">
        <v>-15908.09</v>
      </c>
      <c r="I1000" s="17" t="n">
        <v>45853</v>
      </c>
      <c r="J1000" s="17" t="n">
        <v>45883</v>
      </c>
      <c r="K1000" t="inlineStr">
        <is>
          <t>0608/25</t>
        </is>
      </c>
    </row>
    <row r="1001">
      <c r="A1001" t="inlineStr">
        <is>
          <t>IC4420</t>
        </is>
      </c>
      <c r="B1001" t="inlineStr">
        <is>
          <t>NORDEX ENERGY SPAIN S A U</t>
        </is>
      </c>
      <c r="C1001" t="n">
        <v>2122100000</v>
      </c>
      <c r="D1001" t="inlineStr">
        <is>
          <t>Intercompany</t>
        </is>
      </c>
      <c r="E1001" t="n">
        <v>5031075</v>
      </c>
      <c r="F1001" t="inlineStr">
        <is>
          <t>4024004473</t>
        </is>
      </c>
      <c r="G1001" t="inlineStr">
        <is>
          <t>RE</t>
        </is>
      </c>
      <c r="H1001" s="12" t="n">
        <v>-332.54</v>
      </c>
      <c r="I1001" s="17" t="n">
        <v>45468</v>
      </c>
      <c r="J1001" s="17" t="n">
        <v>45498</v>
      </c>
      <c r="K1001" t="inlineStr">
        <is>
          <t>0498/24</t>
        </is>
      </c>
    </row>
    <row r="1002">
      <c r="A1002" t="inlineStr">
        <is>
          <t>IC4420</t>
        </is>
      </c>
      <c r="B1002" t="inlineStr">
        <is>
          <t>NORDEX ENERGY SPAIN S A U</t>
        </is>
      </c>
      <c r="C1002" t="n">
        <v>2122100000</v>
      </c>
      <c r="D1002" t="inlineStr">
        <is>
          <t>Intercompany</t>
        </is>
      </c>
      <c r="E1002" t="n">
        <v>5031419</v>
      </c>
      <c r="F1002" t="inlineStr">
        <is>
          <t>4025005484</t>
        </is>
      </c>
      <c r="G1002" t="inlineStr">
        <is>
          <t>RE</t>
        </is>
      </c>
      <c r="H1002" s="12" t="n">
        <v>-6067661.56</v>
      </c>
      <c r="I1002" s="17" t="n">
        <v>45866</v>
      </c>
      <c r="J1002" s="17" t="n">
        <v>45896</v>
      </c>
      <c r="K1002" t="inlineStr">
        <is>
          <t>0623/25</t>
        </is>
      </c>
    </row>
    <row r="1003">
      <c r="A1003" t="inlineStr">
        <is>
          <t>IC1000</t>
        </is>
      </c>
      <c r="B1003" t="inlineStr">
        <is>
          <t>NORDEX ENERGY SE &amp; CO KG</t>
        </is>
      </c>
      <c r="C1003" t="n">
        <v>2122100000</v>
      </c>
      <c r="D1003" t="inlineStr">
        <is>
          <t>Intercompany</t>
        </is>
      </c>
      <c r="E1003" t="n">
        <v>5031439</v>
      </c>
      <c r="F1003" t="inlineStr">
        <is>
          <t>RITM0483758//2</t>
        </is>
      </c>
      <c r="G1003" t="inlineStr">
        <is>
          <t>RE</t>
        </is>
      </c>
      <c r="H1003" s="12" t="n">
        <v>-665503.3199999999</v>
      </c>
      <c r="I1003" s="17" t="n">
        <v>45842</v>
      </c>
      <c r="J1003" s="17" t="n">
        <v>45872</v>
      </c>
      <c r="K1003" t="inlineStr">
        <is>
          <t>0622/25</t>
        </is>
      </c>
    </row>
    <row r="1004">
      <c r="A1004" t="inlineStr">
        <is>
          <t>IC1000</t>
        </is>
      </c>
      <c r="B1004" t="inlineStr">
        <is>
          <t>NORDEX ENERGY SE &amp; CO KG</t>
        </is>
      </c>
      <c r="C1004" t="n">
        <v>2122100000</v>
      </c>
      <c r="D1004" t="inlineStr">
        <is>
          <t>Intercompany</t>
        </is>
      </c>
      <c r="E1004" t="n">
        <v>5031476</v>
      </c>
      <c r="F1004" t="inlineStr">
        <is>
          <t>341202</t>
        </is>
      </c>
      <c r="G1004" t="inlineStr">
        <is>
          <t>RE</t>
        </is>
      </c>
      <c r="H1004" s="12" t="n">
        <v>-7084.4</v>
      </c>
      <c r="I1004" s="17" t="n">
        <v>45779</v>
      </c>
      <c r="J1004" s="17" t="n">
        <v>45809</v>
      </c>
      <c r="K1004" t="inlineStr">
        <is>
          <t>0372/25</t>
        </is>
      </c>
    </row>
    <row r="1005">
      <c r="A1005" t="inlineStr">
        <is>
          <t>IC1000</t>
        </is>
      </c>
      <c r="B1005" t="inlineStr">
        <is>
          <t>NORDEX ENERGY SE &amp; CO KG</t>
        </is>
      </c>
      <c r="C1005" t="n">
        <v>2122100000</v>
      </c>
      <c r="D1005" t="inlineStr">
        <is>
          <t>Intercompany</t>
        </is>
      </c>
      <c r="E1005" t="n">
        <v>5031496</v>
      </c>
      <c r="F1005" t="inlineStr">
        <is>
          <t>339987</t>
        </is>
      </c>
      <c r="G1005" t="inlineStr">
        <is>
          <t>RE</t>
        </is>
      </c>
      <c r="H1005" s="12" t="n">
        <v>-7107.31</v>
      </c>
      <c r="I1005" s="17" t="n">
        <v>45763</v>
      </c>
      <c r="J1005" s="17" t="n">
        <v>45793</v>
      </c>
      <c r="K1005" t="inlineStr">
        <is>
          <t>0355/25</t>
        </is>
      </c>
    </row>
    <row r="1006">
      <c r="A1006" t="inlineStr">
        <is>
          <t>IC4420</t>
        </is>
      </c>
      <c r="B1006" t="inlineStr">
        <is>
          <t>NORDEX ENERGY SPAIN S A U</t>
        </is>
      </c>
      <c r="C1006" t="n">
        <v>2122100000</v>
      </c>
      <c r="D1006" t="inlineStr">
        <is>
          <t>Intercompany</t>
        </is>
      </c>
      <c r="E1006" t="n">
        <v>5031700</v>
      </c>
      <c r="F1006" t="inlineStr">
        <is>
          <t>4025006016</t>
        </is>
      </c>
      <c r="G1006" t="inlineStr">
        <is>
          <t>RE</t>
        </is>
      </c>
      <c r="H1006" s="12" t="n">
        <v>-8187.65</v>
      </c>
      <c r="I1006" s="17" t="n">
        <v>45881</v>
      </c>
      <c r="J1006" s="17" t="n">
        <v>45911</v>
      </c>
      <c r="K1006" t="inlineStr">
        <is>
          <t>0652/25</t>
        </is>
      </c>
    </row>
    <row r="1007">
      <c r="A1007" t="inlineStr">
        <is>
          <t>IC4420</t>
        </is>
      </c>
      <c r="B1007" t="inlineStr">
        <is>
          <t>NORDEX ENERGY SPAIN S A U</t>
        </is>
      </c>
      <c r="C1007" t="n">
        <v>2122100000</v>
      </c>
      <c r="D1007" t="inlineStr">
        <is>
          <t>Intercompany</t>
        </is>
      </c>
      <c r="E1007" t="n">
        <v>5031746</v>
      </c>
      <c r="F1007" t="inlineStr">
        <is>
          <t>4025005915</t>
        </is>
      </c>
      <c r="G1007" t="inlineStr">
        <is>
          <t>RE</t>
        </is>
      </c>
      <c r="H1007" s="12" t="n">
        <v>-26755.49</v>
      </c>
      <c r="I1007" s="17" t="n">
        <v>45877</v>
      </c>
      <c r="J1007" s="17" t="n">
        <v>45907</v>
      </c>
      <c r="K1007" t="inlineStr">
        <is>
          <t>0650/25</t>
        </is>
      </c>
    </row>
    <row r="1008">
      <c r="A1008" t="inlineStr">
        <is>
          <t>IC4420</t>
        </is>
      </c>
      <c r="B1008" t="inlineStr">
        <is>
          <t>NORDEX ENERGY SPAIN S A U</t>
        </is>
      </c>
      <c r="C1008" t="n">
        <v>2122100000</v>
      </c>
      <c r="D1008" t="inlineStr">
        <is>
          <t>Intercompany</t>
        </is>
      </c>
      <c r="E1008" t="n">
        <v>5031873</v>
      </c>
      <c r="F1008" t="inlineStr">
        <is>
          <t>4025005800</t>
        </is>
      </c>
      <c r="G1008" t="inlineStr">
        <is>
          <t>RE</t>
        </is>
      </c>
      <c r="H1008" s="12" t="n">
        <v>-27776.04</v>
      </c>
      <c r="I1008" s="17" t="n">
        <v>45875</v>
      </c>
      <c r="J1008" s="17" t="n">
        <v>45905</v>
      </c>
      <c r="K1008" t="inlineStr">
        <is>
          <t>0646/25</t>
        </is>
      </c>
    </row>
    <row r="1009">
      <c r="A1009" t="inlineStr">
        <is>
          <t>IC4420</t>
        </is>
      </c>
      <c r="B1009" t="inlineStr">
        <is>
          <t>NORDEX ENERGY SPAIN S A U</t>
        </is>
      </c>
      <c r="C1009" t="n">
        <v>2122100000</v>
      </c>
      <c r="D1009" t="inlineStr">
        <is>
          <t>Intercompany</t>
        </is>
      </c>
      <c r="E1009" t="n">
        <v>5031894</v>
      </c>
      <c r="F1009" t="inlineStr">
        <is>
          <t>4018000095</t>
        </is>
      </c>
      <c r="G1009" t="inlineStr">
        <is>
          <t>RE</t>
        </is>
      </c>
      <c r="H1009" s="12" t="n">
        <v>-1013011.21</v>
      </c>
      <c r="I1009" s="17" t="n">
        <v>45839</v>
      </c>
      <c r="J1009" s="17" t="n">
        <v>45869</v>
      </c>
      <c r="K1009" t="inlineStr">
        <is>
          <t>0555/25</t>
        </is>
      </c>
    </row>
    <row r="1010">
      <c r="A1010" t="inlineStr">
        <is>
          <t>IC1000</t>
        </is>
      </c>
      <c r="B1010" t="inlineStr">
        <is>
          <t>NORDEX ENERGY SE &amp; CO KG</t>
        </is>
      </c>
      <c r="C1010" t="n">
        <v>2122100000</v>
      </c>
      <c r="D1010" t="inlineStr">
        <is>
          <t>Intercompany</t>
        </is>
      </c>
      <c r="E1010" t="n">
        <v>5031900</v>
      </c>
      <c r="F1010" t="inlineStr">
        <is>
          <t>RITM0523163</t>
        </is>
      </c>
      <c r="G1010" t="inlineStr">
        <is>
          <t>RE</t>
        </is>
      </c>
      <c r="H1010" s="12" t="n">
        <v>-499098.76</v>
      </c>
      <c r="I1010" s="17" t="n">
        <v>45881</v>
      </c>
      <c r="J1010" s="17" t="n">
        <v>45911</v>
      </c>
      <c r="K1010" t="inlineStr">
        <is>
          <t>0651/25</t>
        </is>
      </c>
    </row>
    <row r="1011">
      <c r="A1011" t="inlineStr">
        <is>
          <t>IC1000</t>
        </is>
      </c>
      <c r="B1011" t="inlineStr">
        <is>
          <t>NORDEX ENERGY SE &amp; CO KG</t>
        </is>
      </c>
      <c r="C1011" t="n">
        <v>2122100000</v>
      </c>
      <c r="D1011" t="inlineStr">
        <is>
          <t>Intercompany</t>
        </is>
      </c>
      <c r="E1011" t="n">
        <v>5032038</v>
      </c>
      <c r="F1011" t="inlineStr">
        <is>
          <t>4012376805</t>
        </is>
      </c>
      <c r="G1011" t="inlineStr">
        <is>
          <t>RE</t>
        </is>
      </c>
      <c r="H1011" s="12" t="n">
        <v>-1332408.72</v>
      </c>
      <c r="I1011" s="17" t="n">
        <v>45356</v>
      </c>
      <c r="J1011" s="17" t="n">
        <v>45386</v>
      </c>
      <c r="K1011" t="inlineStr">
        <is>
          <t>0251/24</t>
        </is>
      </c>
    </row>
    <row r="1012">
      <c r="A1012" t="inlineStr">
        <is>
          <t>IC1000</t>
        </is>
      </c>
      <c r="B1012" t="inlineStr">
        <is>
          <t>NORDEX ENERGY SE &amp; CO KG</t>
        </is>
      </c>
      <c r="C1012" t="n">
        <v>2122100000</v>
      </c>
      <c r="D1012" t="inlineStr">
        <is>
          <t>Intercompany</t>
        </is>
      </c>
      <c r="E1012" t="n">
        <v>5032096</v>
      </c>
      <c r="F1012" t="inlineStr">
        <is>
          <t>279499</t>
        </is>
      </c>
      <c r="G1012" t="inlineStr">
        <is>
          <t>RE</t>
        </is>
      </c>
      <c r="H1012" s="12" t="n">
        <v>-3761.56</v>
      </c>
      <c r="I1012" s="17" t="n">
        <v>45364</v>
      </c>
      <c r="J1012" s="17" t="n">
        <v>45394</v>
      </c>
      <c r="K1012" t="inlineStr">
        <is>
          <t>0299/24</t>
        </is>
      </c>
    </row>
    <row r="1013">
      <c r="A1013" t="inlineStr">
        <is>
          <t>IC1000</t>
        </is>
      </c>
      <c r="B1013" t="inlineStr">
        <is>
          <t>NORDEX ENERGY SE &amp; CO KG</t>
        </is>
      </c>
      <c r="C1013" t="n">
        <v>2122100000</v>
      </c>
      <c r="D1013" t="inlineStr">
        <is>
          <t>Intercompany</t>
        </is>
      </c>
      <c r="E1013" t="n">
        <v>5032113</v>
      </c>
      <c r="F1013" t="inlineStr">
        <is>
          <t>285729</t>
        </is>
      </c>
      <c r="G1013" t="inlineStr">
        <is>
          <t>RE</t>
        </is>
      </c>
      <c r="H1013" s="12" t="n">
        <v>-29735.27</v>
      </c>
      <c r="I1013" s="17" t="n">
        <v>45408</v>
      </c>
      <c r="J1013" s="17" t="n">
        <v>45438</v>
      </c>
      <c r="K1013" t="inlineStr">
        <is>
          <t>0357/24</t>
        </is>
      </c>
    </row>
    <row r="1014">
      <c r="A1014" t="inlineStr">
        <is>
          <t>IC1000</t>
        </is>
      </c>
      <c r="B1014" t="inlineStr">
        <is>
          <t>NORDEX ENERGY SE &amp; CO KG</t>
        </is>
      </c>
      <c r="C1014" t="n">
        <v>2122100000</v>
      </c>
      <c r="D1014" t="inlineStr">
        <is>
          <t>Intercompany</t>
        </is>
      </c>
      <c r="E1014" t="n">
        <v>5032114</v>
      </c>
      <c r="F1014" t="inlineStr">
        <is>
          <t>286589</t>
        </is>
      </c>
      <c r="G1014" t="inlineStr">
        <is>
          <t>RE</t>
        </is>
      </c>
      <c r="H1014" s="12" t="n">
        <v>-3386.29</v>
      </c>
      <c r="I1014" s="17" t="n">
        <v>45408</v>
      </c>
      <c r="J1014" s="17" t="n">
        <v>45438</v>
      </c>
      <c r="K1014" t="inlineStr">
        <is>
          <t>0380/24</t>
        </is>
      </c>
    </row>
    <row r="1015">
      <c r="A1015" t="inlineStr">
        <is>
          <t>IC1000</t>
        </is>
      </c>
      <c r="B1015" t="inlineStr">
        <is>
          <t>NORDEX ENERGY SE &amp; CO KG</t>
        </is>
      </c>
      <c r="C1015" t="n">
        <v>2122100000</v>
      </c>
      <c r="D1015" t="inlineStr">
        <is>
          <t>Intercompany</t>
        </is>
      </c>
      <c r="E1015" t="n">
        <v>5032116</v>
      </c>
      <c r="F1015" t="inlineStr">
        <is>
          <t>290820</t>
        </is>
      </c>
      <c r="G1015" t="inlineStr">
        <is>
          <t>RE</t>
        </is>
      </c>
      <c r="H1015" s="12" t="n">
        <v>-1772.46</v>
      </c>
      <c r="I1015" s="17" t="n">
        <v>45439</v>
      </c>
      <c r="J1015" s="17" t="n">
        <v>45469</v>
      </c>
      <c r="K1015" t="inlineStr">
        <is>
          <t>0381/24</t>
        </is>
      </c>
    </row>
    <row r="1016">
      <c r="A1016" t="inlineStr">
        <is>
          <t>IC1000</t>
        </is>
      </c>
      <c r="B1016" t="inlineStr">
        <is>
          <t>NORDEX ENERGY SE &amp; CO KG</t>
        </is>
      </c>
      <c r="C1016" t="n">
        <v>2122100000</v>
      </c>
      <c r="D1016" t="inlineStr">
        <is>
          <t>Intercompany</t>
        </is>
      </c>
      <c r="E1016" t="n">
        <v>5032118</v>
      </c>
      <c r="F1016" t="inlineStr">
        <is>
          <t>279344</t>
        </is>
      </c>
      <c r="G1016" t="inlineStr">
        <is>
          <t>RE</t>
        </is>
      </c>
      <c r="H1016" s="12" t="n">
        <v>-693.3200000000001</v>
      </c>
      <c r="I1016" s="17" t="n">
        <v>45364</v>
      </c>
      <c r="J1016" s="17" t="n">
        <v>45394</v>
      </c>
      <c r="K1016" t="inlineStr">
        <is>
          <t>0350/24</t>
        </is>
      </c>
    </row>
    <row r="1017">
      <c r="A1017" t="inlineStr">
        <is>
          <t>IC1000</t>
        </is>
      </c>
      <c r="B1017" t="inlineStr">
        <is>
          <t>NORDEX ENERGY SE &amp; CO KG</t>
        </is>
      </c>
      <c r="C1017" t="n">
        <v>2122100000</v>
      </c>
      <c r="D1017" t="inlineStr">
        <is>
          <t>Intercompany</t>
        </is>
      </c>
      <c r="E1017" t="n">
        <v>5032119</v>
      </c>
      <c r="F1017" t="inlineStr">
        <is>
          <t>278942</t>
        </is>
      </c>
      <c r="G1017" t="inlineStr">
        <is>
          <t>RE</t>
        </is>
      </c>
      <c r="H1017" s="12" t="n">
        <v>-13369.73</v>
      </c>
      <c r="I1017" s="17" t="n">
        <v>45436</v>
      </c>
      <c r="J1017" s="17" t="n">
        <v>45466</v>
      </c>
      <c r="K1017" t="inlineStr">
        <is>
          <t>0382/24</t>
        </is>
      </c>
    </row>
    <row r="1018">
      <c r="A1018" t="inlineStr">
        <is>
          <t>IC4420</t>
        </is>
      </c>
      <c r="B1018" t="inlineStr">
        <is>
          <t>NORDEX ENERGY SPAIN S A U</t>
        </is>
      </c>
      <c r="C1018" t="n">
        <v>2122100000</v>
      </c>
      <c r="D1018" t="inlineStr">
        <is>
          <t>Intercompany</t>
        </is>
      </c>
      <c r="E1018" t="n">
        <v>5032119</v>
      </c>
      <c r="F1018" t="inlineStr">
        <is>
          <t>4018000133</t>
        </is>
      </c>
      <c r="G1018" t="inlineStr">
        <is>
          <t>RE</t>
        </is>
      </c>
      <c r="H1018" s="12" t="n">
        <v>-21817.16</v>
      </c>
      <c r="I1018" s="17" t="n">
        <v>45868</v>
      </c>
      <c r="J1018" s="17" t="n">
        <v>45898</v>
      </c>
      <c r="K1018" t="inlineStr">
        <is>
          <t>0644/25</t>
        </is>
      </c>
    </row>
    <row r="1019">
      <c r="A1019" t="inlineStr">
        <is>
          <t>IC4420</t>
        </is>
      </c>
      <c r="B1019" t="inlineStr">
        <is>
          <t>NORDEX ENERGY SPAIN S A U</t>
        </is>
      </c>
      <c r="C1019" t="n">
        <v>2122100000</v>
      </c>
      <c r="D1019" t="inlineStr">
        <is>
          <t>Intercompany</t>
        </is>
      </c>
      <c r="E1019" t="n">
        <v>5032128</v>
      </c>
      <c r="F1019" t="inlineStr">
        <is>
          <t>4018000126</t>
        </is>
      </c>
      <c r="G1019" t="inlineStr">
        <is>
          <t>RE</t>
        </is>
      </c>
      <c r="H1019" s="12" t="n">
        <v>-4514.24</v>
      </c>
      <c r="I1019" s="17" t="n">
        <v>45450</v>
      </c>
      <c r="J1019" s="17" t="n">
        <v>45480</v>
      </c>
      <c r="K1019" t="inlineStr">
        <is>
          <t>0426/24</t>
        </is>
      </c>
    </row>
    <row r="1020">
      <c r="A1020" t="inlineStr">
        <is>
          <t>IC1000</t>
        </is>
      </c>
      <c r="B1020" t="inlineStr">
        <is>
          <t>NORDEX ENERGY SE &amp; CO KG</t>
        </is>
      </c>
      <c r="C1020" t="n">
        <v>2122100000</v>
      </c>
      <c r="D1020" t="inlineStr">
        <is>
          <t>Intercompany</t>
        </is>
      </c>
      <c r="E1020" t="n">
        <v>5032133</v>
      </c>
      <c r="F1020" t="inlineStr">
        <is>
          <t>278964</t>
        </is>
      </c>
      <c r="G1020" t="inlineStr">
        <is>
          <t>RE</t>
        </is>
      </c>
      <c r="H1020" s="12" t="n">
        <v>-39466.41</v>
      </c>
      <c r="I1020" s="17" t="n">
        <v>45358</v>
      </c>
      <c r="J1020" s="17" t="n">
        <v>45388</v>
      </c>
      <c r="K1020" t="inlineStr">
        <is>
          <t>0350/24</t>
        </is>
      </c>
    </row>
    <row r="1021">
      <c r="A1021" t="inlineStr">
        <is>
          <t>IC4420</t>
        </is>
      </c>
      <c r="B1021" t="inlineStr">
        <is>
          <t>NORDEX ENERGY SPAIN S A U</t>
        </is>
      </c>
      <c r="C1021" t="n">
        <v>2122100000</v>
      </c>
      <c r="D1021" t="inlineStr">
        <is>
          <t>Intercompany</t>
        </is>
      </c>
      <c r="E1021" t="n">
        <v>5032134</v>
      </c>
      <c r="F1021" t="inlineStr">
        <is>
          <t>4025006092</t>
        </is>
      </c>
      <c r="G1021" t="inlineStr">
        <is>
          <t>RE</t>
        </is>
      </c>
      <c r="H1021" s="12" t="n">
        <v>-1843.04</v>
      </c>
      <c r="I1021" s="17" t="n">
        <v>45887</v>
      </c>
      <c r="J1021" s="17" t="n">
        <v>45917</v>
      </c>
      <c r="K1021" t="inlineStr">
        <is>
          <t>0657/25</t>
        </is>
      </c>
    </row>
    <row r="1022">
      <c r="A1022" t="inlineStr">
        <is>
          <t>IC4420</t>
        </is>
      </c>
      <c r="B1022" t="inlineStr">
        <is>
          <t>NORDEX ENERGY SPAIN S A U</t>
        </is>
      </c>
      <c r="C1022" t="n">
        <v>2122100000</v>
      </c>
      <c r="D1022" t="inlineStr">
        <is>
          <t>Intercompany</t>
        </is>
      </c>
      <c r="E1022" t="n">
        <v>5032137</v>
      </c>
      <c r="F1022" t="inlineStr">
        <is>
          <t>4025006180</t>
        </is>
      </c>
      <c r="G1022" t="inlineStr">
        <is>
          <t>RE</t>
        </is>
      </c>
      <c r="H1022" s="12" t="n">
        <v>-12.51</v>
      </c>
      <c r="I1022" s="17" t="n">
        <v>45888</v>
      </c>
      <c r="J1022" s="17" t="n">
        <v>45918</v>
      </c>
      <c r="K1022" t="inlineStr">
        <is>
          <t>0660/25</t>
        </is>
      </c>
    </row>
    <row r="1023">
      <c r="A1023" t="inlineStr">
        <is>
          <t>IC4420</t>
        </is>
      </c>
      <c r="B1023" t="inlineStr">
        <is>
          <t>NORDEX ENERGY SPAIN S A U</t>
        </is>
      </c>
      <c r="C1023" t="n">
        <v>2122100000</v>
      </c>
      <c r="D1023" t="inlineStr">
        <is>
          <t>Intercompany</t>
        </is>
      </c>
      <c r="E1023" t="n">
        <v>5032138</v>
      </c>
      <c r="F1023" t="inlineStr">
        <is>
          <t>4025006242</t>
        </is>
      </c>
      <c r="G1023" t="inlineStr">
        <is>
          <t>RE</t>
        </is>
      </c>
      <c r="H1023" s="12" t="n">
        <v>-4043.04</v>
      </c>
      <c r="I1023" s="17" t="n">
        <v>45894</v>
      </c>
      <c r="J1023" s="17" t="n">
        <v>45924</v>
      </c>
      <c r="K1023" t="inlineStr">
        <is>
          <t>0678/25</t>
        </is>
      </c>
    </row>
    <row r="1024">
      <c r="A1024" t="inlineStr">
        <is>
          <t>IC4420</t>
        </is>
      </c>
      <c r="B1024" t="inlineStr">
        <is>
          <t>NORDEX ENERGY SPAIN S A U</t>
        </is>
      </c>
      <c r="C1024" t="n">
        <v>2122100000</v>
      </c>
      <c r="D1024" t="inlineStr">
        <is>
          <t>Intercompany</t>
        </is>
      </c>
      <c r="E1024" t="n">
        <v>5032148</v>
      </c>
      <c r="F1024" t="inlineStr">
        <is>
          <t>4024003969</t>
        </is>
      </c>
      <c r="G1024" t="inlineStr">
        <is>
          <t>RE</t>
        </is>
      </c>
      <c r="H1024" s="12" t="n">
        <v>-61001.2</v>
      </c>
      <c r="I1024" s="17" t="n">
        <v>45453</v>
      </c>
      <c r="J1024" s="17" t="n">
        <v>45483</v>
      </c>
      <c r="K1024" t="inlineStr">
        <is>
          <t>0403/24</t>
        </is>
      </c>
    </row>
    <row r="1025">
      <c r="A1025" t="inlineStr">
        <is>
          <t>IC4420</t>
        </is>
      </c>
      <c r="B1025" t="inlineStr">
        <is>
          <t>NORDEX ENERGY SPAIN S A U</t>
        </is>
      </c>
      <c r="C1025" t="n">
        <v>2122100000</v>
      </c>
      <c r="D1025" t="inlineStr">
        <is>
          <t>Intercompany</t>
        </is>
      </c>
      <c r="E1025" t="n">
        <v>5032163</v>
      </c>
      <c r="F1025" t="inlineStr">
        <is>
          <t>4025006243</t>
        </is>
      </c>
      <c r="G1025" t="inlineStr">
        <is>
          <t>RE</t>
        </is>
      </c>
      <c r="H1025" s="12" t="n">
        <v>-5540.42</v>
      </c>
      <c r="I1025" s="17" t="n">
        <v>45894</v>
      </c>
      <c r="J1025" s="17" t="n">
        <v>45924</v>
      </c>
      <c r="K1025" t="inlineStr">
        <is>
          <t>0677/25</t>
        </is>
      </c>
    </row>
    <row r="1026">
      <c r="A1026" t="inlineStr">
        <is>
          <t>IC4420</t>
        </is>
      </c>
      <c r="B1026" t="inlineStr">
        <is>
          <t>NORDEX ENERGY SPAIN S A U</t>
        </is>
      </c>
      <c r="C1026" t="n">
        <v>2122100000</v>
      </c>
      <c r="D1026" t="inlineStr">
        <is>
          <t>Intercompany</t>
        </is>
      </c>
      <c r="E1026" t="n">
        <v>5032230</v>
      </c>
      <c r="F1026" t="inlineStr">
        <is>
          <t>4024004659</t>
        </is>
      </c>
      <c r="G1026" t="inlineStr">
        <is>
          <t>RE</t>
        </is>
      </c>
      <c r="H1026" s="12" t="n">
        <v>-326058.75</v>
      </c>
      <c r="I1026" s="17" t="n">
        <v>45475</v>
      </c>
      <c r="J1026" s="17" t="n">
        <v>45535</v>
      </c>
      <c r="K1026" t="inlineStr">
        <is>
          <t>0586/24</t>
        </is>
      </c>
    </row>
    <row r="1027">
      <c r="A1027" t="inlineStr">
        <is>
          <t>IC1000</t>
        </is>
      </c>
      <c r="B1027" t="inlineStr">
        <is>
          <t>NORDEX ENERGY SE &amp; CO KG</t>
        </is>
      </c>
      <c r="C1027" t="n">
        <v>2122100000</v>
      </c>
      <c r="D1027" t="inlineStr">
        <is>
          <t>Intercompany</t>
        </is>
      </c>
      <c r="E1027" t="n">
        <v>5032458</v>
      </c>
      <c r="F1027" t="inlineStr">
        <is>
          <t>RITM0525652</t>
        </is>
      </c>
      <c r="G1027" t="inlineStr">
        <is>
          <t>RE</t>
        </is>
      </c>
      <c r="H1027" s="12" t="n">
        <v>-2159019.17</v>
      </c>
      <c r="I1027" s="17" t="n">
        <v>45866</v>
      </c>
      <c r="J1027" s="17" t="n">
        <v>45896</v>
      </c>
      <c r="K1027" t="inlineStr">
        <is>
          <t>0654/25</t>
        </is>
      </c>
    </row>
    <row r="1028">
      <c r="A1028" t="inlineStr">
        <is>
          <t>IC1000</t>
        </is>
      </c>
      <c r="B1028" t="inlineStr">
        <is>
          <t>NORDEX ENERGY SE &amp; CO KG</t>
        </is>
      </c>
      <c r="C1028" t="n">
        <v>2122100000</v>
      </c>
      <c r="D1028" t="inlineStr">
        <is>
          <t>Intercompany</t>
        </is>
      </c>
      <c r="E1028" t="n">
        <v>5032460</v>
      </c>
      <c r="F1028" t="inlineStr">
        <is>
          <t>RITM0525662</t>
        </is>
      </c>
      <c r="G1028" t="inlineStr">
        <is>
          <t>RE</t>
        </is>
      </c>
      <c r="H1028" s="12" t="n">
        <v>-2159019.17</v>
      </c>
      <c r="I1028" s="17" t="n">
        <v>45866</v>
      </c>
      <c r="J1028" s="17" t="n">
        <v>45896</v>
      </c>
      <c r="K1028" t="inlineStr">
        <is>
          <t>0654/25</t>
        </is>
      </c>
    </row>
    <row r="1029">
      <c r="A1029" t="inlineStr">
        <is>
          <t>IC4420</t>
        </is>
      </c>
      <c r="B1029" t="inlineStr">
        <is>
          <t>NORDEX ENERGY SPAIN S A U</t>
        </is>
      </c>
      <c r="C1029" t="n">
        <v>2122100000</v>
      </c>
      <c r="D1029" t="inlineStr">
        <is>
          <t>Intercompany</t>
        </is>
      </c>
      <c r="E1029" t="n">
        <v>5032465</v>
      </c>
      <c r="F1029" t="inlineStr">
        <is>
          <t>4025006310</t>
        </is>
      </c>
      <c r="G1029" t="inlineStr">
        <is>
          <t>RE</t>
        </is>
      </c>
      <c r="H1029" s="12" t="n">
        <v>-139693.53</v>
      </c>
      <c r="I1029" s="17" t="n">
        <v>45896</v>
      </c>
      <c r="J1029" s="17" t="n">
        <v>45926</v>
      </c>
      <c r="K1029" t="inlineStr">
        <is>
          <t>0686/25</t>
        </is>
      </c>
    </row>
    <row r="1030">
      <c r="A1030" t="inlineStr">
        <is>
          <t>IC4420</t>
        </is>
      </c>
      <c r="B1030" t="inlineStr">
        <is>
          <t>NORDEX ENERGY SPAIN S A U</t>
        </is>
      </c>
      <c r="C1030" t="n">
        <v>2122100000</v>
      </c>
      <c r="D1030" t="inlineStr">
        <is>
          <t>Intercompany</t>
        </is>
      </c>
      <c r="E1030" t="n">
        <v>5032469</v>
      </c>
      <c r="F1030" t="inlineStr">
        <is>
          <t>4025006301</t>
        </is>
      </c>
      <c r="G1030" t="inlineStr">
        <is>
          <t>RE</t>
        </is>
      </c>
      <c r="H1030" s="12" t="n">
        <v>-344591.33</v>
      </c>
      <c r="I1030" s="17" t="n">
        <v>45896</v>
      </c>
      <c r="J1030" s="17" t="n">
        <v>45926</v>
      </c>
      <c r="K1030" t="inlineStr">
        <is>
          <t>0685/25</t>
        </is>
      </c>
    </row>
    <row r="1031">
      <c r="A1031" t="inlineStr">
        <is>
          <t>IC4420</t>
        </is>
      </c>
      <c r="B1031" t="inlineStr">
        <is>
          <t>NORDEX ENERGY SPAIN S A U</t>
        </is>
      </c>
      <c r="C1031" t="n">
        <v>2122100000</v>
      </c>
      <c r="D1031" t="inlineStr">
        <is>
          <t>Intercompany</t>
        </is>
      </c>
      <c r="E1031" t="n">
        <v>5032491</v>
      </c>
      <c r="F1031" t="inlineStr">
        <is>
          <t>4025006309</t>
        </is>
      </c>
      <c r="G1031" t="inlineStr">
        <is>
          <t>RE</t>
        </is>
      </c>
      <c r="H1031" s="12" t="n">
        <v>-7356.4</v>
      </c>
      <c r="I1031" s="17" t="n">
        <v>45896</v>
      </c>
      <c r="J1031" s="17" t="n">
        <v>45926</v>
      </c>
      <c r="K1031" t="inlineStr">
        <is>
          <t>0689/25</t>
        </is>
      </c>
    </row>
    <row r="1032">
      <c r="A1032" t="inlineStr">
        <is>
          <t>IC4420</t>
        </is>
      </c>
      <c r="B1032" t="inlineStr">
        <is>
          <t>NORDEX ENERGY SPAIN S A U</t>
        </is>
      </c>
      <c r="C1032" t="n">
        <v>2122100000</v>
      </c>
      <c r="D1032" t="inlineStr">
        <is>
          <t>Intercompany</t>
        </is>
      </c>
      <c r="E1032" t="n">
        <v>5032502</v>
      </c>
      <c r="F1032" t="inlineStr">
        <is>
          <t>4025006164</t>
        </is>
      </c>
      <c r="G1032" t="inlineStr">
        <is>
          <t>RE</t>
        </is>
      </c>
      <c r="H1032" s="12" t="n">
        <v>-186.05</v>
      </c>
      <c r="I1032" s="17" t="n">
        <v>45888</v>
      </c>
      <c r="J1032" s="17" t="n">
        <v>45918</v>
      </c>
      <c r="K1032" t="inlineStr">
        <is>
          <t>0663/25</t>
        </is>
      </c>
    </row>
    <row r="1033">
      <c r="A1033" t="inlineStr">
        <is>
          <t>IC4420</t>
        </is>
      </c>
      <c r="B1033" t="inlineStr">
        <is>
          <t>NORDEX ENERGY SPAIN S A U</t>
        </is>
      </c>
      <c r="C1033" t="n">
        <v>2122100000</v>
      </c>
      <c r="D1033" t="inlineStr">
        <is>
          <t>Intercompany</t>
        </is>
      </c>
      <c r="E1033" t="n">
        <v>5032509</v>
      </c>
      <c r="F1033" t="inlineStr">
        <is>
          <t>4025006163</t>
        </is>
      </c>
      <c r="G1033" t="inlineStr">
        <is>
          <t>RE</t>
        </is>
      </c>
      <c r="H1033" s="12" t="n">
        <v>-8129.23</v>
      </c>
      <c r="I1033" s="17" t="n">
        <v>45888</v>
      </c>
      <c r="J1033" s="17" t="n">
        <v>45918</v>
      </c>
      <c r="K1033" t="inlineStr">
        <is>
          <t>0661/25</t>
        </is>
      </c>
    </row>
    <row r="1034">
      <c r="A1034" t="inlineStr">
        <is>
          <t>IC4420</t>
        </is>
      </c>
      <c r="B1034" t="inlineStr">
        <is>
          <t>NORDEX ENERGY SPAIN S A U</t>
        </is>
      </c>
      <c r="C1034" t="n">
        <v>2122100000</v>
      </c>
      <c r="D1034" t="inlineStr">
        <is>
          <t>Intercompany</t>
        </is>
      </c>
      <c r="E1034" t="n">
        <v>5032510</v>
      </c>
      <c r="F1034" t="inlineStr">
        <is>
          <t>4025005914</t>
        </is>
      </c>
      <c r="G1034" t="inlineStr">
        <is>
          <t>RE</t>
        </is>
      </c>
      <c r="H1034" s="12" t="n">
        <v>-117739.45</v>
      </c>
      <c r="I1034" s="17" t="n">
        <v>45877</v>
      </c>
      <c r="J1034" s="17" t="n">
        <v>45907</v>
      </c>
      <c r="K1034" t="inlineStr">
        <is>
          <t>0653/25</t>
        </is>
      </c>
    </row>
    <row r="1035">
      <c r="A1035" t="inlineStr">
        <is>
          <t>IC4420</t>
        </is>
      </c>
      <c r="B1035" t="inlineStr">
        <is>
          <t>NORDEX ENERGY SPAIN S A U</t>
        </is>
      </c>
      <c r="C1035" t="n">
        <v>2122100000</v>
      </c>
      <c r="D1035" t="inlineStr">
        <is>
          <t>Intercompany</t>
        </is>
      </c>
      <c r="E1035" t="n">
        <v>5032512</v>
      </c>
      <c r="F1035" t="inlineStr">
        <is>
          <t>4025006162</t>
        </is>
      </c>
      <c r="G1035" t="inlineStr">
        <is>
          <t>RE</t>
        </is>
      </c>
      <c r="H1035" s="12" t="n">
        <v>-170534.43</v>
      </c>
      <c r="I1035" s="17" t="n">
        <v>45888</v>
      </c>
      <c r="J1035" s="17" t="n">
        <v>45918</v>
      </c>
      <c r="K1035" t="inlineStr">
        <is>
          <t>0662/25</t>
        </is>
      </c>
    </row>
    <row r="1036">
      <c r="A1036" t="inlineStr">
        <is>
          <t>IC1000</t>
        </is>
      </c>
      <c r="B1036" t="inlineStr">
        <is>
          <t>NORDEX ENERGY SE &amp; CO KG</t>
        </is>
      </c>
      <c r="C1036" t="n">
        <v>2122100000</v>
      </c>
      <c r="D1036" t="inlineStr">
        <is>
          <t>Intercompany</t>
        </is>
      </c>
      <c r="E1036" t="n">
        <v>5032514</v>
      </c>
      <c r="F1036" t="inlineStr">
        <is>
          <t>357394</t>
        </is>
      </c>
      <c r="G1036" t="inlineStr">
        <is>
          <t>RE</t>
        </is>
      </c>
      <c r="H1036" s="12" t="n">
        <v>-45055</v>
      </c>
      <c r="I1036" s="17" t="n">
        <v>45883</v>
      </c>
      <c r="J1036" s="17" t="n">
        <v>45913</v>
      </c>
      <c r="K1036" t="inlineStr">
        <is>
          <t>0656/25</t>
        </is>
      </c>
    </row>
    <row r="1037">
      <c r="A1037" t="inlineStr">
        <is>
          <t>IC4420</t>
        </is>
      </c>
      <c r="B1037" t="inlineStr">
        <is>
          <t>NORDEX ENERGY SPAIN S A U</t>
        </is>
      </c>
      <c r="C1037" t="n">
        <v>2122100000</v>
      </c>
      <c r="D1037" t="inlineStr">
        <is>
          <t>Intercompany</t>
        </is>
      </c>
      <c r="E1037" t="n">
        <v>5032516</v>
      </c>
      <c r="F1037" t="inlineStr">
        <is>
          <t>4025005912</t>
        </is>
      </c>
      <c r="G1037" t="inlineStr">
        <is>
          <t>RE</t>
        </is>
      </c>
      <c r="H1037" s="12" t="n">
        <v>-30654.38</v>
      </c>
      <c r="I1037" s="17" t="n">
        <v>45877</v>
      </c>
      <c r="J1037" s="17" t="n">
        <v>45907</v>
      </c>
      <c r="K1037" t="inlineStr">
        <is>
          <t>0659/25</t>
        </is>
      </c>
    </row>
    <row r="1038">
      <c r="A1038" t="inlineStr">
        <is>
          <t>IC4420</t>
        </is>
      </c>
      <c r="B1038" t="inlineStr">
        <is>
          <t>NORDEX ENERGY SPAIN S A U</t>
        </is>
      </c>
      <c r="C1038" t="n">
        <v>2122100000</v>
      </c>
      <c r="D1038" t="inlineStr">
        <is>
          <t>Intercompany</t>
        </is>
      </c>
      <c r="E1038" t="n">
        <v>5032541</v>
      </c>
      <c r="F1038" t="inlineStr">
        <is>
          <t>4025006306</t>
        </is>
      </c>
      <c r="G1038" t="inlineStr">
        <is>
          <t>RE</t>
        </is>
      </c>
      <c r="H1038" s="12" t="n">
        <v>-580822.74</v>
      </c>
      <c r="I1038" s="17" t="n">
        <v>45896</v>
      </c>
      <c r="J1038" s="17" t="n">
        <v>45926</v>
      </c>
      <c r="K1038" t="inlineStr">
        <is>
          <t>0687/25</t>
        </is>
      </c>
    </row>
    <row r="1039">
      <c r="A1039" t="inlineStr">
        <is>
          <t>IC4420</t>
        </is>
      </c>
      <c r="B1039" t="inlineStr">
        <is>
          <t>NORDEX ENERGY SPAIN S A U</t>
        </is>
      </c>
      <c r="C1039" t="n">
        <v>2122100000</v>
      </c>
      <c r="D1039" t="inlineStr">
        <is>
          <t>Intercompany</t>
        </is>
      </c>
      <c r="E1039" t="n">
        <v>5032548</v>
      </c>
      <c r="F1039" t="inlineStr">
        <is>
          <t>4024005121</t>
        </is>
      </c>
      <c r="G1039" t="inlineStr">
        <is>
          <t>RE</t>
        </is>
      </c>
      <c r="H1039" s="12" t="n">
        <v>-23135.12</v>
      </c>
      <c r="I1039" s="17" t="n">
        <v>45502</v>
      </c>
      <c r="J1039" s="17" t="n">
        <v>45562</v>
      </c>
      <c r="K1039" t="inlineStr">
        <is>
          <t>0605/24</t>
        </is>
      </c>
    </row>
    <row r="1040">
      <c r="A1040" t="inlineStr">
        <is>
          <t>IC4420</t>
        </is>
      </c>
      <c r="B1040" t="inlineStr">
        <is>
          <t>NORDEX ENERGY SPAIN S A U</t>
        </is>
      </c>
      <c r="C1040" t="n">
        <v>2122100000</v>
      </c>
      <c r="D1040" t="inlineStr">
        <is>
          <t>Intercompany</t>
        </is>
      </c>
      <c r="E1040" t="n">
        <v>5032579</v>
      </c>
      <c r="F1040" t="inlineStr">
        <is>
          <t>4023000361</t>
        </is>
      </c>
      <c r="G1040" t="inlineStr">
        <is>
          <t>RE</t>
        </is>
      </c>
      <c r="H1040" s="12" t="n">
        <v>-4831.75</v>
      </c>
      <c r="I1040" s="17" t="n">
        <v>44956</v>
      </c>
      <c r="J1040" s="17" t="n">
        <v>44986</v>
      </c>
      <c r="K1040" t="inlineStr">
        <is>
          <t>0637/23</t>
        </is>
      </c>
    </row>
    <row r="1041">
      <c r="A1041" t="inlineStr">
        <is>
          <t>IC4420</t>
        </is>
      </c>
      <c r="B1041" t="inlineStr">
        <is>
          <t>NORDEX ENERGY SPAIN S A U</t>
        </is>
      </c>
      <c r="C1041" t="n">
        <v>2122100000</v>
      </c>
      <c r="D1041" t="inlineStr">
        <is>
          <t>Intercompany</t>
        </is>
      </c>
      <c r="E1041" t="n">
        <v>5032597</v>
      </c>
      <c r="F1041" t="inlineStr">
        <is>
          <t>4018000151</t>
        </is>
      </c>
      <c r="G1041" t="inlineStr">
        <is>
          <t>RE</t>
        </is>
      </c>
      <c r="H1041" s="12" t="n">
        <v>-38386.72</v>
      </c>
      <c r="I1041" s="17" t="n">
        <v>45482</v>
      </c>
      <c r="J1041" s="17" t="n">
        <v>45512</v>
      </c>
      <c r="K1041" t="inlineStr">
        <is>
          <t>0566/24</t>
        </is>
      </c>
    </row>
    <row r="1042">
      <c r="A1042" t="inlineStr">
        <is>
          <t>IC1000</t>
        </is>
      </c>
      <c r="B1042" t="inlineStr">
        <is>
          <t>NORDEX ENERGY SE &amp; CO KG</t>
        </is>
      </c>
      <c r="C1042" t="n">
        <v>2122100000</v>
      </c>
      <c r="D1042" t="inlineStr">
        <is>
          <t>Intercompany</t>
        </is>
      </c>
      <c r="E1042" t="n">
        <v>5032737</v>
      </c>
      <c r="F1042" t="inlineStr">
        <is>
          <t>RITM0523906/3525</t>
        </is>
      </c>
      <c r="G1042" t="inlineStr">
        <is>
          <t>RE</t>
        </is>
      </c>
      <c r="H1042" s="12" t="n">
        <v>-2370141.48</v>
      </c>
      <c r="I1042" s="17" t="n">
        <v>45852</v>
      </c>
      <c r="J1042" s="17" t="n">
        <v>45882</v>
      </c>
      <c r="K1042" t="inlineStr">
        <is>
          <t>0607/25</t>
        </is>
      </c>
    </row>
    <row r="1043">
      <c r="A1043" t="inlineStr">
        <is>
          <t>IC1000</t>
        </is>
      </c>
      <c r="B1043" t="inlineStr">
        <is>
          <t>NORDEX ENERGY SE &amp; CO KG</t>
        </is>
      </c>
      <c r="C1043" t="n">
        <v>2122100000</v>
      </c>
      <c r="D1043" t="inlineStr">
        <is>
          <t>Intercompany</t>
        </is>
      </c>
      <c r="E1043" t="n">
        <v>5032872</v>
      </c>
      <c r="F1043" t="inlineStr">
        <is>
          <t>623020</t>
        </is>
      </c>
      <c r="G1043" t="inlineStr">
        <is>
          <t>KR</t>
        </is>
      </c>
      <c r="H1043" s="12" t="n">
        <v>-232435.58</v>
      </c>
      <c r="I1043" s="17" t="n">
        <v>45915</v>
      </c>
      <c r="J1043" s="17" t="n">
        <v>45945</v>
      </c>
      <c r="K1043" t="inlineStr">
        <is>
          <t>Fatura do fornecedor NORDEX ENERGY SE &amp; CO KG 6230</t>
        </is>
      </c>
    </row>
    <row r="1044">
      <c r="A1044" t="inlineStr">
        <is>
          <t>IC4420</t>
        </is>
      </c>
      <c r="B1044" t="inlineStr">
        <is>
          <t>NORDEX ENERGY SPAIN S A U</t>
        </is>
      </c>
      <c r="C1044" t="n">
        <v>2122100000</v>
      </c>
      <c r="D1044" t="inlineStr">
        <is>
          <t>Intercompany</t>
        </is>
      </c>
      <c r="E1044" t="n">
        <v>5032879</v>
      </c>
      <c r="F1044" t="inlineStr">
        <is>
          <t>4024004474</t>
        </is>
      </c>
      <c r="G1044" t="inlineStr">
        <is>
          <t>RE</t>
        </is>
      </c>
      <c r="H1044" s="12" t="n">
        <v>-70410.72</v>
      </c>
      <c r="I1044" s="17" t="n">
        <v>45468</v>
      </c>
      <c r="J1044" s="17" t="n">
        <v>45498</v>
      </c>
      <c r="K1044" t="inlineStr">
        <is>
          <t>0498/24</t>
        </is>
      </c>
    </row>
    <row r="1045">
      <c r="A1045" t="inlineStr">
        <is>
          <t>IC1000</t>
        </is>
      </c>
      <c r="B1045" t="inlineStr">
        <is>
          <t>NORDEX ENERGY SE &amp; CO KG</t>
        </is>
      </c>
      <c r="C1045" t="n">
        <v>2122100000</v>
      </c>
      <c r="D1045" t="inlineStr">
        <is>
          <t>Intercompany</t>
        </is>
      </c>
      <c r="E1045" t="n">
        <v>5032897</v>
      </c>
      <c r="F1045" t="inlineStr">
        <is>
          <t>623001</t>
        </is>
      </c>
      <c r="G1045" t="inlineStr">
        <is>
          <t>KR</t>
        </is>
      </c>
      <c r="H1045" s="12" t="n">
        <v>-1225074.99</v>
      </c>
      <c r="I1045" s="17" t="n">
        <v>45911</v>
      </c>
      <c r="J1045" s="17" t="n">
        <v>45941</v>
      </c>
      <c r="K1045" t="inlineStr">
        <is>
          <t>Fatura do fornecedor NORDEX ENERGY SE &amp; CO KG 6230</t>
        </is>
      </c>
    </row>
    <row r="1046">
      <c r="A1046" t="inlineStr">
        <is>
          <t>IC5000</t>
        </is>
      </c>
      <c r="B1046" t="inlineStr">
        <is>
          <t>NORDEX SE</t>
        </is>
      </c>
      <c r="C1046" t="n">
        <v>2122100000</v>
      </c>
      <c r="D1046" t="inlineStr">
        <is>
          <t>Intercompany</t>
        </is>
      </c>
      <c r="E1046" t="n">
        <v>5032913</v>
      </c>
      <c r="F1046" t="inlineStr">
        <is>
          <t>609854</t>
        </is>
      </c>
      <c r="G1046" t="inlineStr">
        <is>
          <t>KR</t>
        </is>
      </c>
      <c r="H1046" s="12" t="n">
        <v>-10384177.2</v>
      </c>
      <c r="I1046" s="17" t="n">
        <v>45916</v>
      </c>
      <c r="J1046" s="17" t="n">
        <v>45916</v>
      </c>
      <c r="K1046" t="inlineStr">
        <is>
          <t>Fatura do fornecedor NORDEX SE 609854</t>
        </is>
      </c>
    </row>
    <row r="1047">
      <c r="A1047" t="inlineStr">
        <is>
          <t>IC5000</t>
        </is>
      </c>
      <c r="B1047" t="inlineStr">
        <is>
          <t>NORDEX SE</t>
        </is>
      </c>
      <c r="C1047" t="n">
        <v>2122100000</v>
      </c>
      <c r="D1047" t="inlineStr">
        <is>
          <t>Intercompany</t>
        </is>
      </c>
      <c r="E1047" t="n">
        <v>5033312</v>
      </c>
      <c r="F1047" t="inlineStr">
        <is>
          <t>609965</t>
        </is>
      </c>
      <c r="G1047" t="inlineStr">
        <is>
          <t>KR</t>
        </is>
      </c>
      <c r="H1047" s="12" t="n">
        <v>-5379674.75</v>
      </c>
      <c r="I1047" s="17" t="n">
        <v>45919</v>
      </c>
      <c r="J1047" s="17" t="n">
        <v>45919</v>
      </c>
      <c r="K1047" t="inlineStr">
        <is>
          <t>Fatura do fornecedor NORDEX SE 609965</t>
        </is>
      </c>
    </row>
    <row r="1048">
      <c r="A1048" t="inlineStr">
        <is>
          <t>IC5000</t>
        </is>
      </c>
      <c r="B1048" t="inlineStr">
        <is>
          <t>NORDEX SE</t>
        </is>
      </c>
      <c r="C1048" t="n">
        <v>2122100000</v>
      </c>
      <c r="D1048" t="inlineStr">
        <is>
          <t>Intercompany</t>
        </is>
      </c>
      <c r="E1048" t="n">
        <v>5033325</v>
      </c>
      <c r="F1048" t="inlineStr">
        <is>
          <t>609815</t>
        </is>
      </c>
      <c r="G1048" t="inlineStr">
        <is>
          <t>KR</t>
        </is>
      </c>
      <c r="H1048" s="12" t="n">
        <v>-11392431.3</v>
      </c>
      <c r="I1048" s="17" t="n">
        <v>45915</v>
      </c>
      <c r="J1048" s="17" t="n">
        <v>45915</v>
      </c>
      <c r="K1048" t="inlineStr">
        <is>
          <t>Fatura do fornecedor NORDEX SE 609815</t>
        </is>
      </c>
    </row>
    <row r="1049">
      <c r="A1049" t="inlineStr">
        <is>
          <t>IC5000</t>
        </is>
      </c>
      <c r="B1049" t="inlineStr">
        <is>
          <t>NORDEX SE</t>
        </is>
      </c>
      <c r="C1049" t="n">
        <v>2122100000</v>
      </c>
      <c r="D1049" t="inlineStr">
        <is>
          <t>Intercompany</t>
        </is>
      </c>
      <c r="E1049" t="n">
        <v>5033326</v>
      </c>
      <c r="F1049" t="inlineStr">
        <is>
          <t>609776</t>
        </is>
      </c>
      <c r="G1049" t="inlineStr">
        <is>
          <t>KR</t>
        </is>
      </c>
      <c r="H1049" s="12" t="n">
        <v>-12562672.57</v>
      </c>
      <c r="I1049" s="17" t="n">
        <v>45915</v>
      </c>
      <c r="J1049" s="17" t="n">
        <v>45915</v>
      </c>
      <c r="K1049" t="inlineStr">
        <is>
          <t>Fatura do fornecedor NORDEX SE 609776</t>
        </is>
      </c>
    </row>
    <row r="1050">
      <c r="A1050" t="inlineStr">
        <is>
          <t>IC1000</t>
        </is>
      </c>
      <c r="B1050" t="inlineStr">
        <is>
          <t>NORDEX ENERGY SE &amp; CO KG</t>
        </is>
      </c>
      <c r="C1050" t="n">
        <v>2122100000</v>
      </c>
      <c r="D1050" t="inlineStr">
        <is>
          <t>Intercompany</t>
        </is>
      </c>
      <c r="E1050" t="n">
        <v>5033329</v>
      </c>
      <c r="F1050" t="inlineStr">
        <is>
          <t>623123</t>
        </is>
      </c>
      <c r="G1050" t="inlineStr">
        <is>
          <t>KR</t>
        </is>
      </c>
      <c r="H1050" s="12" t="n">
        <v>-12988548.04</v>
      </c>
      <c r="I1050" s="17" t="n">
        <v>45922</v>
      </c>
      <c r="J1050" s="17" t="n">
        <v>45952</v>
      </c>
      <c r="K1050" t="inlineStr">
        <is>
          <t>Fatura do fornecedor NORDEX ENERGY SE &amp; CO KG 6231</t>
        </is>
      </c>
    </row>
    <row r="1051">
      <c r="A1051" t="inlineStr">
        <is>
          <t>IC4420</t>
        </is>
      </c>
      <c r="B1051" t="inlineStr">
        <is>
          <t>NORDEX ENERGY SPAIN S A U</t>
        </is>
      </c>
      <c r="C1051" t="n">
        <v>2122100000</v>
      </c>
      <c r="D1051" t="inlineStr">
        <is>
          <t>Intercompany</t>
        </is>
      </c>
      <c r="E1051" t="n">
        <v>5033593</v>
      </c>
      <c r="F1051" t="inlineStr">
        <is>
          <t>4024004631</t>
        </is>
      </c>
      <c r="G1051" t="inlineStr">
        <is>
          <t>RE</t>
        </is>
      </c>
      <c r="H1051" s="12" t="n">
        <v>-22992.52</v>
      </c>
      <c r="I1051" s="17" t="n">
        <v>45475</v>
      </c>
      <c r="J1051" s="17" t="n">
        <v>45505</v>
      </c>
      <c r="K1051" t="inlineStr">
        <is>
          <t>0533/24</t>
        </is>
      </c>
    </row>
    <row r="1052">
      <c r="A1052" t="inlineStr">
        <is>
          <t>IC4420</t>
        </is>
      </c>
      <c r="B1052" t="inlineStr">
        <is>
          <t>NORDEX ENERGY SPAIN S A U</t>
        </is>
      </c>
      <c r="C1052" t="n">
        <v>2122100000</v>
      </c>
      <c r="D1052" t="inlineStr">
        <is>
          <t>Intercompany</t>
        </is>
      </c>
      <c r="E1052" t="n">
        <v>5033598</v>
      </c>
      <c r="F1052" t="inlineStr">
        <is>
          <t>4024004632</t>
        </is>
      </c>
      <c r="G1052" t="inlineStr">
        <is>
          <t>RE</t>
        </is>
      </c>
      <c r="H1052" s="12" t="n">
        <v>-11567.43</v>
      </c>
      <c r="I1052" s="17" t="n">
        <v>45475</v>
      </c>
      <c r="J1052" s="17" t="n">
        <v>45475</v>
      </c>
      <c r="K1052" t="inlineStr">
        <is>
          <t>0533/24</t>
        </is>
      </c>
    </row>
    <row r="1053">
      <c r="A1053" t="inlineStr">
        <is>
          <t>IC4420</t>
        </is>
      </c>
      <c r="B1053" t="inlineStr">
        <is>
          <t>NORDEX ENERGY SPAIN S A U</t>
        </is>
      </c>
      <c r="C1053" t="n">
        <v>2122100000</v>
      </c>
      <c r="D1053" t="inlineStr">
        <is>
          <t>Intercompany</t>
        </is>
      </c>
      <c r="E1053" t="n">
        <v>5033601</v>
      </c>
      <c r="F1053" t="inlineStr">
        <is>
          <t>4024004629</t>
        </is>
      </c>
      <c r="G1053" t="inlineStr">
        <is>
          <t>RE</t>
        </is>
      </c>
      <c r="H1053" s="12" t="n">
        <v>-21257.96</v>
      </c>
      <c r="I1053" s="17" t="n">
        <v>45475</v>
      </c>
      <c r="J1053" s="17" t="n">
        <v>45505</v>
      </c>
      <c r="K1053" t="inlineStr">
        <is>
          <t>0533/24</t>
        </is>
      </c>
    </row>
    <row r="1054">
      <c r="A1054" t="inlineStr">
        <is>
          <t>IC1000</t>
        </is>
      </c>
      <c r="B1054" t="inlineStr">
        <is>
          <t>NORDEX ENERGY SE &amp; CO KG</t>
        </is>
      </c>
      <c r="C1054" t="n">
        <v>2122100000</v>
      </c>
      <c r="D1054" t="inlineStr">
        <is>
          <t>Intercompany</t>
        </is>
      </c>
      <c r="E1054" t="n">
        <v>5033716</v>
      </c>
      <c r="F1054" t="inlineStr">
        <is>
          <t>280187</t>
        </is>
      </c>
      <c r="G1054" t="inlineStr">
        <is>
          <t>RE</t>
        </is>
      </c>
      <c r="H1054" s="12" t="n">
        <v>-5061.15</v>
      </c>
      <c r="I1054" s="17" t="n">
        <v>45436</v>
      </c>
      <c r="J1054" s="17" t="n">
        <v>45466</v>
      </c>
      <c r="K1054" t="inlineStr">
        <is>
          <t>0375/24</t>
        </is>
      </c>
    </row>
    <row r="1055">
      <c r="A1055" t="inlineStr">
        <is>
          <t>IC5000</t>
        </is>
      </c>
      <c r="B1055" t="inlineStr">
        <is>
          <t>NORDEX SE</t>
        </is>
      </c>
      <c r="C1055" t="n">
        <v>2122100000</v>
      </c>
      <c r="D1055" t="inlineStr">
        <is>
          <t>Intercompany</t>
        </is>
      </c>
      <c r="E1055" t="n">
        <v>5033910</v>
      </c>
      <c r="F1055" t="inlineStr">
        <is>
          <t>INV.609989</t>
        </is>
      </c>
      <c r="G1055" t="inlineStr">
        <is>
          <t>KR</t>
        </is>
      </c>
      <c r="H1055" s="12" t="n">
        <v>-2495500</v>
      </c>
      <c r="I1055" s="17" t="n">
        <v>45924</v>
      </c>
      <c r="J1055" s="17" t="n">
        <v>45924</v>
      </c>
      <c r="K1055" t="inlineStr">
        <is>
          <t>Vendor Invoice NORDEX SE INV.609989</t>
        </is>
      </c>
    </row>
    <row r="1056">
      <c r="A1056" t="inlineStr">
        <is>
          <t>IC1000</t>
        </is>
      </c>
      <c r="B1056" t="inlineStr">
        <is>
          <t>NORDEX ENERGY SE &amp; CO KG</t>
        </is>
      </c>
      <c r="C1056" t="n">
        <v>2122100000</v>
      </c>
      <c r="D1056" t="inlineStr">
        <is>
          <t>Intercompany</t>
        </is>
      </c>
      <c r="E1056" t="n">
        <v>5033919</v>
      </c>
      <c r="F1056" t="inlineStr">
        <is>
          <t>361645</t>
        </is>
      </c>
      <c r="G1056" t="inlineStr">
        <is>
          <t>RE</t>
        </is>
      </c>
      <c r="H1056" s="12" t="n">
        <v>-1979.7</v>
      </c>
      <c r="I1056" s="17" t="n">
        <v>45911</v>
      </c>
      <c r="J1056" s="17" t="n">
        <v>45941</v>
      </c>
      <c r="K1056" t="inlineStr">
        <is>
          <t>0718/25</t>
        </is>
      </c>
    </row>
    <row r="1057">
      <c r="A1057" t="inlineStr">
        <is>
          <t>IC5000</t>
        </is>
      </c>
      <c r="B1057" t="inlineStr">
        <is>
          <t>NORDEX SE</t>
        </is>
      </c>
      <c r="C1057" t="n">
        <v>2122100000</v>
      </c>
      <c r="D1057" t="inlineStr">
        <is>
          <t>Intercompany</t>
        </is>
      </c>
      <c r="E1057" t="n">
        <v>5033943</v>
      </c>
      <c r="F1057" t="inlineStr">
        <is>
          <t>INV.609912</t>
        </is>
      </c>
      <c r="G1057" t="inlineStr">
        <is>
          <t>KR</t>
        </is>
      </c>
      <c r="H1057" s="12" t="n">
        <v>-2563469.75</v>
      </c>
      <c r="I1057" s="17" t="n">
        <v>45917</v>
      </c>
      <c r="J1057" s="17" t="n">
        <v>45917</v>
      </c>
      <c r="K1057" t="inlineStr">
        <is>
          <t>Vendor Invoice NORDEX SE INV.609912</t>
        </is>
      </c>
    </row>
    <row r="1058">
      <c r="A1058" t="inlineStr">
        <is>
          <t>IC1000</t>
        </is>
      </c>
      <c r="B1058" t="inlineStr">
        <is>
          <t>NORDEX ENERGY SE &amp; CO KG</t>
        </is>
      </c>
      <c r="C1058" t="n">
        <v>2122100000</v>
      </c>
      <c r="D1058" t="inlineStr">
        <is>
          <t>Intercompany</t>
        </is>
      </c>
      <c r="E1058" t="n">
        <v>5033944</v>
      </c>
      <c r="F1058" t="inlineStr">
        <is>
          <t>INV.623088</t>
        </is>
      </c>
      <c r="G1058" t="inlineStr">
        <is>
          <t>KR</t>
        </is>
      </c>
      <c r="H1058" s="12" t="n">
        <v>-4686763.07</v>
      </c>
      <c r="I1058" s="17" t="n">
        <v>45918</v>
      </c>
      <c r="J1058" s="17" t="n">
        <v>45948</v>
      </c>
      <c r="K1058" t="inlineStr">
        <is>
          <t>Vendor Invoice NORDEX ENERGY SE &amp; CO KG INV.623088</t>
        </is>
      </c>
    </row>
    <row r="1059">
      <c r="A1059" t="inlineStr">
        <is>
          <t>IC4420</t>
        </is>
      </c>
      <c r="B1059" t="inlineStr">
        <is>
          <t>NORDEX ENERGY SPAIN S A U</t>
        </is>
      </c>
      <c r="C1059" t="n">
        <v>2122100000</v>
      </c>
      <c r="D1059" t="inlineStr">
        <is>
          <t>Intercompany</t>
        </is>
      </c>
      <c r="E1059" t="n">
        <v>5034003</v>
      </c>
      <c r="F1059" t="inlineStr">
        <is>
          <t>4025004314</t>
        </is>
      </c>
      <c r="G1059" t="inlineStr">
        <is>
          <t>RE</t>
        </is>
      </c>
      <c r="H1059" s="12" t="n">
        <v>-38837.34</v>
      </c>
      <c r="I1059" s="17" t="n">
        <v>45824</v>
      </c>
      <c r="J1059" s="17" t="n">
        <v>45854</v>
      </c>
      <c r="K1059" t="inlineStr">
        <is>
          <t>0489/25</t>
        </is>
      </c>
    </row>
    <row r="1060">
      <c r="A1060" t="inlineStr">
        <is>
          <t>IC4420</t>
        </is>
      </c>
      <c r="B1060" t="inlineStr">
        <is>
          <t>NORDEX ENERGY SPAIN S A U</t>
        </is>
      </c>
      <c r="C1060" t="n">
        <v>2122100000</v>
      </c>
      <c r="D1060" t="inlineStr">
        <is>
          <t>Intercompany</t>
        </is>
      </c>
      <c r="E1060" t="n">
        <v>5034059</v>
      </c>
      <c r="F1060" t="inlineStr">
        <is>
          <t>4025005092</t>
        </is>
      </c>
      <c r="G1060" t="inlineStr">
        <is>
          <t>RE</t>
        </is>
      </c>
      <c r="H1060" s="12" t="n">
        <v>-1707870.68</v>
      </c>
      <c r="I1060" s="17" t="n">
        <v>45852</v>
      </c>
      <c r="J1060" s="17" t="n">
        <v>45882</v>
      </c>
      <c r="K1060" t="inlineStr">
        <is>
          <t>0634/25</t>
        </is>
      </c>
    </row>
    <row r="1061">
      <c r="A1061" t="inlineStr">
        <is>
          <t>IC4420</t>
        </is>
      </c>
      <c r="B1061" t="inlineStr">
        <is>
          <t>NORDEX ENERGY SPAIN S A U</t>
        </is>
      </c>
      <c r="C1061" t="n">
        <v>2122100000</v>
      </c>
      <c r="D1061" t="inlineStr">
        <is>
          <t>Intercompany</t>
        </is>
      </c>
      <c r="E1061" t="n">
        <v>5034111</v>
      </c>
      <c r="F1061" t="inlineStr">
        <is>
          <t>4025004316</t>
        </is>
      </c>
      <c r="G1061" t="inlineStr">
        <is>
          <t>RE</t>
        </is>
      </c>
      <c r="H1061" s="12" t="n">
        <v>-2343.22</v>
      </c>
      <c r="I1061" s="17" t="n">
        <v>45824</v>
      </c>
      <c r="J1061" s="17" t="n">
        <v>45854</v>
      </c>
      <c r="K1061" t="inlineStr">
        <is>
          <t>0493/25</t>
        </is>
      </c>
    </row>
    <row r="1062">
      <c r="A1062" t="inlineStr">
        <is>
          <t>IC1000</t>
        </is>
      </c>
      <c r="B1062" t="inlineStr">
        <is>
          <t>NORDEX ENERGY SE &amp; CO KG</t>
        </is>
      </c>
      <c r="C1062" t="n">
        <v>2122100000</v>
      </c>
      <c r="D1062" t="inlineStr">
        <is>
          <t>Intercompany</t>
        </is>
      </c>
      <c r="E1062" t="n">
        <v>5034147</v>
      </c>
      <c r="F1062" t="inlineStr">
        <is>
          <t>354286</t>
        </is>
      </c>
      <c r="G1062" t="inlineStr">
        <is>
          <t>RE</t>
        </is>
      </c>
      <c r="H1062" s="12" t="n">
        <v>-1345.03</v>
      </c>
      <c r="I1062" s="17" t="n">
        <v>45863</v>
      </c>
      <c r="J1062" s="17" t="n">
        <v>45893</v>
      </c>
      <c r="K1062" t="inlineStr">
        <is>
          <t>0705/25</t>
        </is>
      </c>
    </row>
    <row r="1063">
      <c r="A1063" t="inlineStr">
        <is>
          <t>IC4420</t>
        </is>
      </c>
      <c r="B1063" t="inlineStr">
        <is>
          <t>NORDEX ENERGY SPAIN S A U</t>
        </is>
      </c>
      <c r="C1063" t="n">
        <v>2122100000</v>
      </c>
      <c r="D1063" t="inlineStr">
        <is>
          <t>Intercompany</t>
        </is>
      </c>
      <c r="E1063" t="n">
        <v>5034153</v>
      </c>
      <c r="F1063" t="inlineStr">
        <is>
          <t>4025004312</t>
        </is>
      </c>
      <c r="G1063" t="inlineStr">
        <is>
          <t>RE</t>
        </is>
      </c>
      <c r="H1063" s="12" t="n">
        <v>-62389.36</v>
      </c>
      <c r="I1063" s="17" t="n">
        <v>45824</v>
      </c>
      <c r="J1063" s="17" t="n">
        <v>45854</v>
      </c>
      <c r="K1063" t="inlineStr">
        <is>
          <t>0502/25</t>
        </is>
      </c>
    </row>
    <row r="1064">
      <c r="A1064" t="inlineStr">
        <is>
          <t>IC4420</t>
        </is>
      </c>
      <c r="B1064" t="inlineStr">
        <is>
          <t>NORDEX ENERGY SPAIN S A U</t>
        </is>
      </c>
      <c r="C1064" t="n">
        <v>2122100000</v>
      </c>
      <c r="D1064" t="inlineStr">
        <is>
          <t>Intercompany</t>
        </is>
      </c>
      <c r="E1064" t="n">
        <v>5034308</v>
      </c>
      <c r="F1064" t="inlineStr">
        <is>
          <t>4025004309</t>
        </is>
      </c>
      <c r="G1064" t="inlineStr">
        <is>
          <t>RE</t>
        </is>
      </c>
      <c r="H1064" s="12" t="n">
        <v>-3101.76</v>
      </c>
      <c r="I1064" s="17" t="n">
        <v>45824</v>
      </c>
      <c r="J1064" s="17" t="n">
        <v>45854</v>
      </c>
      <c r="K1064" t="inlineStr">
        <is>
          <t>0494/25</t>
        </is>
      </c>
    </row>
    <row r="1065">
      <c r="A1065" t="inlineStr">
        <is>
          <t>IC4420</t>
        </is>
      </c>
      <c r="B1065" t="inlineStr">
        <is>
          <t>NORDEX ENERGY SPAIN S A U</t>
        </is>
      </c>
      <c r="C1065" t="n">
        <v>2122100000</v>
      </c>
      <c r="D1065" t="inlineStr">
        <is>
          <t>Intercompany</t>
        </is>
      </c>
      <c r="E1065" t="n">
        <v>5034309</v>
      </c>
      <c r="F1065" t="inlineStr">
        <is>
          <t>4025004311</t>
        </is>
      </c>
      <c r="G1065" t="inlineStr">
        <is>
          <t>RE</t>
        </is>
      </c>
      <c r="H1065" s="12" t="n">
        <v>-3113.31</v>
      </c>
      <c r="I1065" s="17" t="n">
        <v>45824</v>
      </c>
      <c r="J1065" s="17" t="n">
        <v>45854</v>
      </c>
      <c r="K1065" t="inlineStr">
        <is>
          <t>0494/25</t>
        </is>
      </c>
    </row>
    <row r="1066">
      <c r="A1066" t="inlineStr">
        <is>
          <t>IC4420</t>
        </is>
      </c>
      <c r="B1066" t="inlineStr">
        <is>
          <t>NORDEX ENERGY SPAIN S A U</t>
        </is>
      </c>
      <c r="C1066" t="n">
        <v>2122100000</v>
      </c>
      <c r="D1066" t="inlineStr">
        <is>
          <t>Intercompany</t>
        </is>
      </c>
      <c r="E1066" t="n">
        <v>5034499</v>
      </c>
      <c r="F1066" t="inlineStr">
        <is>
          <t>4025006817</t>
        </is>
      </c>
      <c r="G1066" t="inlineStr">
        <is>
          <t>RE</t>
        </is>
      </c>
      <c r="H1066" s="12" t="n">
        <v>-2525.34</v>
      </c>
      <c r="I1066" s="17" t="n">
        <v>45912</v>
      </c>
      <c r="J1066" s="17" t="n">
        <v>45942</v>
      </c>
      <c r="K1066" t="inlineStr">
        <is>
          <t>0716/25</t>
        </is>
      </c>
    </row>
    <row r="1067">
      <c r="A1067" t="inlineStr">
        <is>
          <t>IC1000</t>
        </is>
      </c>
      <c r="B1067" t="inlineStr">
        <is>
          <t>NORDEX ENERGY SE &amp; CO KG</t>
        </is>
      </c>
      <c r="C1067" t="n">
        <v>2122100000</v>
      </c>
      <c r="D1067" t="inlineStr">
        <is>
          <t>Intercompany</t>
        </is>
      </c>
      <c r="E1067" t="n">
        <v>5034508</v>
      </c>
      <c r="F1067" t="inlineStr">
        <is>
          <t>296841</t>
        </is>
      </c>
      <c r="G1067" t="inlineStr">
        <is>
          <t>RE</t>
        </is>
      </c>
      <c r="H1067" s="12" t="n">
        <v>-6718.81</v>
      </c>
      <c r="I1067" s="17" t="n">
        <v>45485</v>
      </c>
      <c r="J1067" s="17" t="n">
        <v>45515</v>
      </c>
      <c r="K1067" t="inlineStr">
        <is>
          <t>0619/24</t>
        </is>
      </c>
    </row>
    <row r="1068">
      <c r="A1068" t="inlineStr">
        <is>
          <t>IC4420</t>
        </is>
      </c>
      <c r="B1068" t="inlineStr">
        <is>
          <t>NORDEX ENERGY SPAIN S A U</t>
        </is>
      </c>
      <c r="C1068" t="n">
        <v>2122100000</v>
      </c>
      <c r="D1068" t="inlineStr">
        <is>
          <t>Intercompany</t>
        </is>
      </c>
      <c r="E1068" t="n">
        <v>5034715</v>
      </c>
      <c r="F1068" t="inlineStr">
        <is>
          <t>4025006823</t>
        </is>
      </c>
      <c r="G1068" t="inlineStr">
        <is>
          <t>RE</t>
        </is>
      </c>
      <c r="H1068" s="12" t="n">
        <v>-7552.29</v>
      </c>
      <c r="I1068" s="17" t="n">
        <v>45912</v>
      </c>
      <c r="J1068" s="17" t="n">
        <v>45942</v>
      </c>
      <c r="K1068" t="inlineStr">
        <is>
          <t>0714/25</t>
        </is>
      </c>
    </row>
    <row r="1069">
      <c r="A1069" t="inlineStr">
        <is>
          <t>IC4420</t>
        </is>
      </c>
      <c r="B1069" t="inlineStr">
        <is>
          <t>NORDEX ENERGY SPAIN S A U</t>
        </is>
      </c>
      <c r="C1069" t="n">
        <v>2122100000</v>
      </c>
      <c r="D1069" t="inlineStr">
        <is>
          <t>Intercompany</t>
        </is>
      </c>
      <c r="E1069" t="n">
        <v>5034739</v>
      </c>
      <c r="F1069" t="inlineStr">
        <is>
          <t>4024004471</t>
        </is>
      </c>
      <c r="G1069" t="inlineStr">
        <is>
          <t>RE</t>
        </is>
      </c>
      <c r="H1069" s="12" t="n">
        <v>-13230.29</v>
      </c>
      <c r="I1069" s="17" t="n">
        <v>45468</v>
      </c>
      <c r="J1069" s="17" t="n">
        <v>45528</v>
      </c>
      <c r="K1069" t="inlineStr">
        <is>
          <t>0552/24</t>
        </is>
      </c>
    </row>
    <row r="1070">
      <c r="A1070" t="inlineStr">
        <is>
          <t>IC4420</t>
        </is>
      </c>
      <c r="B1070" t="inlineStr">
        <is>
          <t>NORDEX ENERGY SPAIN S A U</t>
        </is>
      </c>
      <c r="C1070" t="n">
        <v>2122100000</v>
      </c>
      <c r="D1070" t="inlineStr">
        <is>
          <t>Intercompany</t>
        </is>
      </c>
      <c r="E1070" t="n">
        <v>5034991</v>
      </c>
      <c r="F1070" t="inlineStr">
        <is>
          <t>4025002668</t>
        </is>
      </c>
      <c r="G1070" t="inlineStr">
        <is>
          <t>RE</t>
        </is>
      </c>
      <c r="H1070" s="12" t="n">
        <v>-5095.17</v>
      </c>
      <c r="I1070" s="17" t="n">
        <v>45763</v>
      </c>
      <c r="J1070" s="17" t="n">
        <v>45793</v>
      </c>
      <c r="K1070" t="inlineStr">
        <is>
          <t>0430/25</t>
        </is>
      </c>
    </row>
    <row r="1071">
      <c r="A1071" t="inlineStr">
        <is>
          <t>IC1000</t>
        </is>
      </c>
      <c r="B1071" t="inlineStr">
        <is>
          <t>NORDEX ENERGY SE &amp; CO KG</t>
        </is>
      </c>
      <c r="C1071" t="n">
        <v>2122100000</v>
      </c>
      <c r="D1071" t="inlineStr">
        <is>
          <t>Intercompany</t>
        </is>
      </c>
      <c r="E1071" t="n">
        <v>5035262</v>
      </c>
      <c r="F1071" t="inlineStr">
        <is>
          <t>363070</t>
        </is>
      </c>
      <c r="G1071" t="inlineStr">
        <is>
          <t>RE</t>
        </is>
      </c>
      <c r="H1071" s="12" t="n">
        <v>-1101.82</v>
      </c>
      <c r="I1071" s="17" t="n">
        <v>45919</v>
      </c>
      <c r="J1071" s="17" t="n">
        <v>45949</v>
      </c>
      <c r="K1071" t="inlineStr">
        <is>
          <t>0755/25</t>
        </is>
      </c>
    </row>
    <row r="1072">
      <c r="A1072" t="inlineStr">
        <is>
          <t>IC1000</t>
        </is>
      </c>
      <c r="B1072" t="inlineStr">
        <is>
          <t>NORDEX ENERGY SE &amp; CO KG</t>
        </is>
      </c>
      <c r="C1072" t="n">
        <v>2122100000</v>
      </c>
      <c r="D1072" t="inlineStr">
        <is>
          <t>Intercompany</t>
        </is>
      </c>
      <c r="E1072" t="n">
        <v>5035270</v>
      </c>
      <c r="F1072" t="inlineStr">
        <is>
          <t>363071</t>
        </is>
      </c>
      <c r="G1072" t="inlineStr">
        <is>
          <t>RE</t>
        </is>
      </c>
      <c r="H1072" s="12" t="n">
        <v>-1101.69</v>
      </c>
      <c r="I1072" s="17" t="n">
        <v>45923</v>
      </c>
      <c r="J1072" s="17" t="n">
        <v>45953</v>
      </c>
      <c r="K1072" t="inlineStr">
        <is>
          <t>0754/25</t>
        </is>
      </c>
    </row>
    <row r="1073">
      <c r="A1073" t="inlineStr">
        <is>
          <t>IC1000</t>
        </is>
      </c>
      <c r="B1073" t="inlineStr">
        <is>
          <t>NORDEX ENERGY SE &amp; CO KG</t>
        </is>
      </c>
      <c r="C1073" t="n">
        <v>2122100000</v>
      </c>
      <c r="D1073" t="inlineStr">
        <is>
          <t>Intercompany</t>
        </is>
      </c>
      <c r="E1073" t="n">
        <v>5035271</v>
      </c>
      <c r="F1073" t="inlineStr">
        <is>
          <t>361963</t>
        </is>
      </c>
      <c r="G1073" t="inlineStr">
        <is>
          <t>RE</t>
        </is>
      </c>
      <c r="H1073" s="12" t="n">
        <v>-27605.71</v>
      </c>
      <c r="I1073" s="17" t="n">
        <v>45912</v>
      </c>
      <c r="J1073" s="17" t="n">
        <v>45942</v>
      </c>
      <c r="K1073" t="inlineStr">
        <is>
          <t>0720/25</t>
        </is>
      </c>
    </row>
    <row r="1074">
      <c r="A1074" t="inlineStr">
        <is>
          <t>IC1000</t>
        </is>
      </c>
      <c r="B1074" t="inlineStr">
        <is>
          <t>NORDEX ENERGY SE &amp; CO KG</t>
        </is>
      </c>
      <c r="C1074" t="n">
        <v>2122100000</v>
      </c>
      <c r="D1074" t="inlineStr">
        <is>
          <t>Intercompany</t>
        </is>
      </c>
      <c r="E1074" t="n">
        <v>5035477</v>
      </c>
      <c r="F1074" t="inlineStr">
        <is>
          <t>364146</t>
        </is>
      </c>
      <c r="G1074" t="inlineStr">
        <is>
          <t>RE</t>
        </is>
      </c>
      <c r="H1074" s="12" t="n">
        <v>-25483.3</v>
      </c>
      <c r="I1074" s="17" t="n">
        <v>45925</v>
      </c>
      <c r="J1074" s="17" t="n">
        <v>45955</v>
      </c>
      <c r="K1074" t="inlineStr">
        <is>
          <t>0767/25</t>
        </is>
      </c>
    </row>
    <row r="1075">
      <c r="A1075" t="inlineStr">
        <is>
          <t>IC4420</t>
        </is>
      </c>
      <c r="B1075" t="inlineStr">
        <is>
          <t>NORDEX ENERGY SPAIN S A U</t>
        </is>
      </c>
      <c r="C1075" t="n">
        <v>2122100000</v>
      </c>
      <c r="D1075" t="inlineStr">
        <is>
          <t>Intercompany</t>
        </is>
      </c>
      <c r="E1075" t="n">
        <v>5035518</v>
      </c>
      <c r="F1075" t="inlineStr">
        <is>
          <t>4018000161</t>
        </is>
      </c>
      <c r="G1075" t="inlineStr">
        <is>
          <t>RE</t>
        </is>
      </c>
      <c r="H1075" s="12" t="n">
        <v>-144047.01</v>
      </c>
      <c r="I1075" s="17" t="n">
        <v>45491</v>
      </c>
      <c r="J1075" s="17" t="n">
        <v>45551</v>
      </c>
      <c r="K1075" t="inlineStr">
        <is>
          <t>0600/24</t>
        </is>
      </c>
    </row>
    <row r="1076">
      <c r="A1076" t="inlineStr">
        <is>
          <t>IC1000</t>
        </is>
      </c>
      <c r="B1076" t="inlineStr">
        <is>
          <t>NORDEX ENERGY SE &amp; CO KG</t>
        </is>
      </c>
      <c r="C1076" t="n">
        <v>2122100000</v>
      </c>
      <c r="D1076" t="inlineStr">
        <is>
          <t>Intercompany</t>
        </is>
      </c>
      <c r="E1076" t="n">
        <v>5035546</v>
      </c>
      <c r="F1076" t="inlineStr">
        <is>
          <t>294516</t>
        </is>
      </c>
      <c r="G1076" t="inlineStr">
        <is>
          <t>RE</t>
        </is>
      </c>
      <c r="H1076" s="12" t="n">
        <v>-23034.57</v>
      </c>
      <c r="I1076" s="17" t="n">
        <v>45456</v>
      </c>
      <c r="J1076" s="17" t="n">
        <v>45486</v>
      </c>
      <c r="K1076" t="inlineStr">
        <is>
          <t>0673/24</t>
        </is>
      </c>
    </row>
    <row r="1077">
      <c r="A1077" t="inlineStr">
        <is>
          <t>IC4420</t>
        </is>
      </c>
      <c r="B1077" t="inlineStr">
        <is>
          <t>NORDEX ENERGY SPAIN S A U</t>
        </is>
      </c>
      <c r="C1077" t="n">
        <v>2122100000</v>
      </c>
      <c r="D1077" t="inlineStr">
        <is>
          <t>Intercompany</t>
        </is>
      </c>
      <c r="E1077" t="n">
        <v>5035600</v>
      </c>
      <c r="F1077" t="inlineStr">
        <is>
          <t>4025007583</t>
        </is>
      </c>
      <c r="G1077" t="inlineStr">
        <is>
          <t>RE</t>
        </is>
      </c>
      <c r="H1077" s="12" t="n">
        <v>-20360.72</v>
      </c>
      <c r="I1077" s="17" t="n">
        <v>45932</v>
      </c>
      <c r="J1077" s="17" t="n">
        <v>45962</v>
      </c>
      <c r="K1077" t="inlineStr">
        <is>
          <t>0765/25</t>
        </is>
      </c>
    </row>
    <row r="1078">
      <c r="A1078" t="inlineStr">
        <is>
          <t>IC1000</t>
        </is>
      </c>
      <c r="B1078" t="inlineStr">
        <is>
          <t>NORDEX ENERGY SE &amp; CO KG</t>
        </is>
      </c>
      <c r="C1078" t="n">
        <v>2122100000</v>
      </c>
      <c r="D1078" t="inlineStr">
        <is>
          <t>Intercompany</t>
        </is>
      </c>
      <c r="E1078" t="n">
        <v>5035683</v>
      </c>
      <c r="F1078" t="inlineStr">
        <is>
          <t>363067</t>
        </is>
      </c>
      <c r="G1078" t="inlineStr">
        <is>
          <t>RE</t>
        </is>
      </c>
      <c r="H1078" s="12" t="n">
        <v>-994.9</v>
      </c>
      <c r="I1078" s="17" t="n">
        <v>45923</v>
      </c>
      <c r="J1078" s="17" t="n">
        <v>45953</v>
      </c>
      <c r="K1078" t="inlineStr">
        <is>
          <t>0753/25</t>
        </is>
      </c>
    </row>
    <row r="1079">
      <c r="A1079" t="inlineStr">
        <is>
          <t>IC1000</t>
        </is>
      </c>
      <c r="B1079" t="inlineStr">
        <is>
          <t>NORDEX ENERGY SE &amp; CO KG</t>
        </is>
      </c>
      <c r="C1079" t="n">
        <v>2122100000</v>
      </c>
      <c r="D1079" t="inlineStr">
        <is>
          <t>Intercompany</t>
        </is>
      </c>
      <c r="E1079" t="n">
        <v>5035806</v>
      </c>
      <c r="F1079" t="inlineStr">
        <is>
          <t>310148</t>
        </is>
      </c>
      <c r="G1079" t="inlineStr">
        <is>
          <t>RE</t>
        </is>
      </c>
      <c r="H1079" s="12" t="n">
        <v>-28684.74</v>
      </c>
      <c r="I1079" s="17" t="n">
        <v>45911</v>
      </c>
      <c r="J1079" s="17" t="n">
        <v>45941</v>
      </c>
      <c r="K1079" t="inlineStr">
        <is>
          <t>0733/25</t>
        </is>
      </c>
    </row>
    <row r="1080">
      <c r="A1080" t="inlineStr">
        <is>
          <t>IC5000</t>
        </is>
      </c>
      <c r="B1080" t="inlineStr">
        <is>
          <t>NORDEX SE</t>
        </is>
      </c>
      <c r="C1080" t="n">
        <v>2122100000</v>
      </c>
      <c r="D1080" t="inlineStr">
        <is>
          <t>Intercompany</t>
        </is>
      </c>
      <c r="E1080" t="n">
        <v>5035877</v>
      </c>
      <c r="F1080" t="inlineStr">
        <is>
          <t>610024</t>
        </is>
      </c>
      <c r="G1080" t="inlineStr">
        <is>
          <t>KR</t>
        </is>
      </c>
      <c r="H1080" s="12" t="n">
        <v>-4361369.79</v>
      </c>
      <c r="I1080" s="17" t="n">
        <v>45943</v>
      </c>
      <c r="J1080" s="17" t="n">
        <v>45943</v>
      </c>
      <c r="K1080" t="inlineStr">
        <is>
          <t>Bank Guarantee Fee Q3/2025</t>
        </is>
      </c>
    </row>
    <row r="1081">
      <c r="A1081" t="inlineStr">
        <is>
          <t>IC4420</t>
        </is>
      </c>
      <c r="B1081" t="inlineStr">
        <is>
          <t>NORDEX ENERGY SPAIN S A U</t>
        </is>
      </c>
      <c r="C1081" t="n">
        <v>2122100000</v>
      </c>
      <c r="D1081" t="inlineStr">
        <is>
          <t>Intercompany</t>
        </is>
      </c>
      <c r="E1081" t="n">
        <v>5035970</v>
      </c>
      <c r="F1081" t="inlineStr">
        <is>
          <t>4025007692</t>
        </is>
      </c>
      <c r="G1081" t="inlineStr">
        <is>
          <t>RE</t>
        </is>
      </c>
      <c r="H1081" s="12" t="n">
        <v>-165527.62</v>
      </c>
      <c r="I1081" s="17" t="n">
        <v>45936</v>
      </c>
      <c r="J1081" s="17" t="n">
        <v>45966</v>
      </c>
      <c r="K1081" t="inlineStr">
        <is>
          <t>0770/25</t>
        </is>
      </c>
    </row>
    <row r="1082">
      <c r="A1082" t="inlineStr">
        <is>
          <t>IC4420</t>
        </is>
      </c>
      <c r="B1082" t="inlineStr">
        <is>
          <t>NORDEX ENERGY SPAIN S A U</t>
        </is>
      </c>
      <c r="C1082" t="n">
        <v>2122100000</v>
      </c>
      <c r="D1082" t="inlineStr">
        <is>
          <t>Intercompany</t>
        </is>
      </c>
      <c r="E1082" t="n">
        <v>5035976</v>
      </c>
      <c r="F1082" t="inlineStr">
        <is>
          <t>4025007417</t>
        </is>
      </c>
      <c r="G1082" t="inlineStr">
        <is>
          <t>RE</t>
        </is>
      </c>
      <c r="H1082" s="12" t="n">
        <v>-25885.41</v>
      </c>
      <c r="I1082" s="17" t="n">
        <v>45918</v>
      </c>
      <c r="J1082" s="17" t="n">
        <v>45948</v>
      </c>
      <c r="K1082" t="inlineStr">
        <is>
          <t>0760/25</t>
        </is>
      </c>
    </row>
    <row r="1083">
      <c r="A1083" t="inlineStr">
        <is>
          <t>IC1000</t>
        </is>
      </c>
      <c r="B1083" t="inlineStr">
        <is>
          <t>NORDEX ENERGY SE &amp; CO KG</t>
        </is>
      </c>
      <c r="C1083" t="n">
        <v>2122100000</v>
      </c>
      <c r="D1083" t="inlineStr">
        <is>
          <t>Intercompany</t>
        </is>
      </c>
      <c r="E1083" t="n">
        <v>5036031</v>
      </c>
      <c r="F1083" t="inlineStr">
        <is>
          <t>RITM0529131</t>
        </is>
      </c>
      <c r="G1083" t="inlineStr">
        <is>
          <t>RE</t>
        </is>
      </c>
      <c r="H1083" s="12" t="n">
        <v>-644138.11</v>
      </c>
      <c r="I1083" s="17" t="n">
        <v>45854</v>
      </c>
      <c r="J1083" s="17" t="n">
        <v>45884</v>
      </c>
      <c r="K1083" t="inlineStr">
        <is>
          <t>0655/25</t>
        </is>
      </c>
    </row>
    <row r="1084">
      <c r="A1084" t="inlineStr">
        <is>
          <t>IC1000</t>
        </is>
      </c>
      <c r="B1084" t="inlineStr">
        <is>
          <t>NORDEX ENERGY SE &amp; CO KG</t>
        </is>
      </c>
      <c r="C1084" t="n">
        <v>2122100000</v>
      </c>
      <c r="D1084" t="inlineStr">
        <is>
          <t>Intercompany</t>
        </is>
      </c>
      <c r="E1084" t="n">
        <v>5036072</v>
      </c>
      <c r="F1084" t="inlineStr">
        <is>
          <t>365453</t>
        </is>
      </c>
      <c r="G1084" t="inlineStr">
        <is>
          <t>RE</t>
        </is>
      </c>
      <c r="H1084" s="12" t="n">
        <v>-2781.39</v>
      </c>
      <c r="I1084" s="17" t="n">
        <v>45936</v>
      </c>
      <c r="J1084" s="17" t="n">
        <v>45966</v>
      </c>
      <c r="K1084" t="inlineStr">
        <is>
          <t>0810/25</t>
        </is>
      </c>
    </row>
    <row r="1085">
      <c r="A1085" t="inlineStr">
        <is>
          <t>IC1000</t>
        </is>
      </c>
      <c r="B1085" t="inlineStr">
        <is>
          <t>NORDEX ENERGY SE &amp; CO KG</t>
        </is>
      </c>
      <c r="C1085" t="n">
        <v>2122100000</v>
      </c>
      <c r="D1085" t="inlineStr">
        <is>
          <t>Intercompany</t>
        </is>
      </c>
      <c r="E1085" t="n">
        <v>5036075</v>
      </c>
      <c r="F1085" t="inlineStr">
        <is>
          <t>365452</t>
        </is>
      </c>
      <c r="G1085" t="inlineStr">
        <is>
          <t>RE</t>
        </is>
      </c>
      <c r="H1085" s="12" t="n">
        <v>-7603.44</v>
      </c>
      <c r="I1085" s="17" t="n">
        <v>45936</v>
      </c>
      <c r="J1085" s="17" t="n">
        <v>45966</v>
      </c>
      <c r="K1085" t="inlineStr">
        <is>
          <t>0804/25</t>
        </is>
      </c>
    </row>
    <row r="1086">
      <c r="A1086" t="inlineStr">
        <is>
          <t>IC4420</t>
        </is>
      </c>
      <c r="B1086" t="inlineStr">
        <is>
          <t>NORDEX ENERGY SPAIN S A U</t>
        </is>
      </c>
      <c r="C1086" t="n">
        <v>2122100000</v>
      </c>
      <c r="D1086" t="inlineStr">
        <is>
          <t>Intercompany</t>
        </is>
      </c>
      <c r="E1086" t="n">
        <v>5036112</v>
      </c>
      <c r="F1086" t="inlineStr">
        <is>
          <t>4025007689</t>
        </is>
      </c>
      <c r="G1086" t="inlineStr">
        <is>
          <t>RE</t>
        </is>
      </c>
      <c r="H1086" s="12" t="n">
        <v>-11913.43</v>
      </c>
      <c r="I1086" s="17" t="n">
        <v>45936</v>
      </c>
      <c r="J1086" s="17" t="n">
        <v>45966</v>
      </c>
      <c r="K1086" t="inlineStr">
        <is>
          <t>0768/25</t>
        </is>
      </c>
    </row>
    <row r="1087">
      <c r="A1087" t="inlineStr">
        <is>
          <t>IC4420</t>
        </is>
      </c>
      <c r="B1087" t="inlineStr">
        <is>
          <t>NORDEX ENERGY SPAIN S A U</t>
        </is>
      </c>
      <c r="C1087" t="n">
        <v>2122100000</v>
      </c>
      <c r="D1087" t="inlineStr">
        <is>
          <t>Intercompany</t>
        </is>
      </c>
      <c r="E1087" t="n">
        <v>5036128</v>
      </c>
      <c r="F1087" t="inlineStr">
        <is>
          <t>4025007872</t>
        </is>
      </c>
      <c r="G1087" t="inlineStr">
        <is>
          <t>RE</t>
        </is>
      </c>
      <c r="H1087" s="12" t="n">
        <v>-140124.76</v>
      </c>
      <c r="I1087" s="17" t="n">
        <v>45943</v>
      </c>
      <c r="J1087" s="17" t="n">
        <v>45973</v>
      </c>
      <c r="K1087" t="inlineStr">
        <is>
          <t>0792/25</t>
        </is>
      </c>
    </row>
    <row r="1088">
      <c r="A1088" t="inlineStr">
        <is>
          <t>IC4420</t>
        </is>
      </c>
      <c r="B1088" t="inlineStr">
        <is>
          <t>NORDEX ENERGY SPAIN S A U</t>
        </is>
      </c>
      <c r="C1088" t="n">
        <v>2122100000</v>
      </c>
      <c r="D1088" t="inlineStr">
        <is>
          <t>Intercompany</t>
        </is>
      </c>
      <c r="E1088" t="n">
        <v>5036131</v>
      </c>
      <c r="F1088" t="inlineStr">
        <is>
          <t>4025007673</t>
        </is>
      </c>
      <c r="G1088" t="inlineStr">
        <is>
          <t>RE</t>
        </is>
      </c>
      <c r="H1088" s="12" t="n">
        <v>-2696.15</v>
      </c>
      <c r="I1088" s="17" t="n">
        <v>45933</v>
      </c>
      <c r="J1088" s="17" t="n">
        <v>45963</v>
      </c>
      <c r="K1088" t="inlineStr">
        <is>
          <t>0766/25</t>
        </is>
      </c>
    </row>
    <row r="1089">
      <c r="A1089" t="inlineStr">
        <is>
          <t>IC4420</t>
        </is>
      </c>
      <c r="B1089" t="inlineStr">
        <is>
          <t>NORDEX ENERGY SPAIN S A U</t>
        </is>
      </c>
      <c r="C1089" t="n">
        <v>2122100000</v>
      </c>
      <c r="D1089" t="inlineStr">
        <is>
          <t>Intercompany</t>
        </is>
      </c>
      <c r="E1089" t="n">
        <v>5036134</v>
      </c>
      <c r="F1089" t="inlineStr">
        <is>
          <t>4025007691</t>
        </is>
      </c>
      <c r="G1089" t="inlineStr">
        <is>
          <t>RE</t>
        </is>
      </c>
      <c r="H1089" s="12" t="n">
        <v>-12147.68</v>
      </c>
      <c r="I1089" s="17" t="n">
        <v>45936</v>
      </c>
      <c r="J1089" s="17" t="n">
        <v>45966</v>
      </c>
      <c r="K1089" t="inlineStr">
        <is>
          <t>0769/25</t>
        </is>
      </c>
    </row>
    <row r="1090">
      <c r="A1090" t="inlineStr">
        <is>
          <t>IC4420</t>
        </is>
      </c>
      <c r="B1090" t="inlineStr">
        <is>
          <t>NORDEX ENERGY SPAIN S A U</t>
        </is>
      </c>
      <c r="C1090" t="n">
        <v>2122100000</v>
      </c>
      <c r="D1090" t="inlineStr">
        <is>
          <t>Intercompany</t>
        </is>
      </c>
      <c r="E1090" t="n">
        <v>5036135</v>
      </c>
      <c r="F1090" t="inlineStr">
        <is>
          <t>4025007690</t>
        </is>
      </c>
      <c r="G1090" t="inlineStr">
        <is>
          <t>RE</t>
        </is>
      </c>
      <c r="H1090" s="12" t="n">
        <v>-145164.44</v>
      </c>
      <c r="I1090" s="17" t="n">
        <v>45936</v>
      </c>
      <c r="J1090" s="17" t="n">
        <v>45966</v>
      </c>
      <c r="K1090" t="inlineStr">
        <is>
          <t>0769/25</t>
        </is>
      </c>
    </row>
    <row r="1091">
      <c r="A1091" t="inlineStr">
        <is>
          <t>IC4420</t>
        </is>
      </c>
      <c r="B1091" t="inlineStr">
        <is>
          <t>NORDEX ENERGY SPAIN S A U</t>
        </is>
      </c>
      <c r="C1091" t="n">
        <v>2122100000</v>
      </c>
      <c r="D1091" t="inlineStr">
        <is>
          <t>Intercompany</t>
        </is>
      </c>
      <c r="E1091" t="n">
        <v>5036138</v>
      </c>
      <c r="F1091" t="inlineStr">
        <is>
          <t>4025007415</t>
        </is>
      </c>
      <c r="G1091" t="inlineStr">
        <is>
          <t>RE</t>
        </is>
      </c>
      <c r="H1091" s="12" t="n">
        <v>-163134.16</v>
      </c>
      <c r="I1091" s="17" t="n">
        <v>45918</v>
      </c>
      <c r="J1091" s="17" t="n">
        <v>45948</v>
      </c>
      <c r="K1091" t="inlineStr">
        <is>
          <t>0758/25</t>
        </is>
      </c>
    </row>
    <row r="1092">
      <c r="A1092" t="inlineStr">
        <is>
          <t>IC4420</t>
        </is>
      </c>
      <c r="B1092" t="inlineStr">
        <is>
          <t>NORDEX ENERGY SPAIN S A U</t>
        </is>
      </c>
      <c r="C1092" t="n">
        <v>2122100000</v>
      </c>
      <c r="D1092" t="inlineStr">
        <is>
          <t>Intercompany</t>
        </is>
      </c>
      <c r="E1092" t="n">
        <v>5036139</v>
      </c>
      <c r="F1092" t="inlineStr">
        <is>
          <t>4025007418</t>
        </is>
      </c>
      <c r="G1092" t="inlineStr">
        <is>
          <t>RE</t>
        </is>
      </c>
      <c r="H1092" s="12" t="n">
        <v>-3786.91</v>
      </c>
      <c r="I1092" s="17" t="n">
        <v>45918</v>
      </c>
      <c r="J1092" s="17" t="n">
        <v>45948</v>
      </c>
      <c r="K1092" t="inlineStr">
        <is>
          <t>0758/25</t>
        </is>
      </c>
    </row>
    <row r="1093">
      <c r="A1093" t="inlineStr">
        <is>
          <t>IC1000</t>
        </is>
      </c>
      <c r="B1093" t="inlineStr">
        <is>
          <t>NORDEX ENERGY SE &amp; CO KG</t>
        </is>
      </c>
      <c r="C1093" t="n">
        <v>2122100000</v>
      </c>
      <c r="D1093" t="inlineStr">
        <is>
          <t>Intercompany</t>
        </is>
      </c>
      <c r="E1093" t="n">
        <v>5036150</v>
      </c>
      <c r="F1093" t="inlineStr">
        <is>
          <t>295342</t>
        </is>
      </c>
      <c r="G1093" t="inlineStr">
        <is>
          <t>RE</t>
        </is>
      </c>
      <c r="H1093" s="12" t="n">
        <v>-20724.3</v>
      </c>
      <c r="I1093" s="17" t="n">
        <v>45490</v>
      </c>
      <c r="J1093" s="17" t="n">
        <v>45520</v>
      </c>
      <c r="K1093" t="inlineStr">
        <is>
          <t>0674/24</t>
        </is>
      </c>
    </row>
    <row r="1094">
      <c r="A1094" t="inlineStr">
        <is>
          <t>IC1000</t>
        </is>
      </c>
      <c r="B1094" t="inlineStr">
        <is>
          <t>NORDEX ENERGY SE &amp; CO KG</t>
        </is>
      </c>
      <c r="C1094" t="n">
        <v>2122100000</v>
      </c>
      <c r="D1094" t="inlineStr">
        <is>
          <t>Intercompany</t>
        </is>
      </c>
      <c r="E1094" t="n">
        <v>5036172</v>
      </c>
      <c r="F1094" t="inlineStr">
        <is>
          <t>365455</t>
        </is>
      </c>
      <c r="G1094" t="inlineStr">
        <is>
          <t>RE</t>
        </is>
      </c>
      <c r="H1094" s="12" t="n">
        <v>-1118.23</v>
      </c>
      <c r="I1094" s="17" t="n">
        <v>45936</v>
      </c>
      <c r="J1094" s="17" t="n">
        <v>45966</v>
      </c>
      <c r="K1094" t="inlineStr">
        <is>
          <t>0805/25</t>
        </is>
      </c>
    </row>
    <row r="1095">
      <c r="A1095" t="inlineStr">
        <is>
          <t>IC4420</t>
        </is>
      </c>
      <c r="B1095" t="inlineStr">
        <is>
          <t>NORDEX ENERGY SPAIN S A U</t>
        </is>
      </c>
      <c r="C1095" t="n">
        <v>2122100000</v>
      </c>
      <c r="D1095" t="inlineStr">
        <is>
          <t>Intercompany</t>
        </is>
      </c>
      <c r="E1095" t="n">
        <v>5036208</v>
      </c>
      <c r="F1095" t="inlineStr">
        <is>
          <t>4025006404</t>
        </is>
      </c>
      <c r="G1095" t="inlineStr">
        <is>
          <t>RE</t>
        </is>
      </c>
      <c r="H1095" s="12" t="n">
        <v>-1090421.31</v>
      </c>
      <c r="I1095" s="17" t="n">
        <v>45898</v>
      </c>
      <c r="J1095" s="17" t="n">
        <v>45928</v>
      </c>
      <c r="K1095" t="inlineStr">
        <is>
          <t>0630/25</t>
        </is>
      </c>
    </row>
    <row r="1096">
      <c r="A1096" t="inlineStr">
        <is>
          <t>IC1000</t>
        </is>
      </c>
      <c r="B1096" t="inlineStr">
        <is>
          <t>NORDEX ENERGY SE &amp; CO KG</t>
        </is>
      </c>
      <c r="C1096" t="n">
        <v>2122100000</v>
      </c>
      <c r="D1096" t="inlineStr">
        <is>
          <t>Intercompany</t>
        </is>
      </c>
      <c r="E1096" t="n">
        <v>5036238</v>
      </c>
      <c r="F1096" t="inlineStr">
        <is>
          <t>365454</t>
        </is>
      </c>
      <c r="G1096" t="inlineStr">
        <is>
          <t>RE</t>
        </is>
      </c>
      <c r="H1096" s="12" t="n">
        <v>-1783.72</v>
      </c>
      <c r="I1096" s="17" t="n">
        <v>45936</v>
      </c>
      <c r="J1096" s="17" t="n">
        <v>45966</v>
      </c>
      <c r="K1096" t="inlineStr">
        <is>
          <t>0811/25</t>
        </is>
      </c>
    </row>
    <row r="1097">
      <c r="A1097" t="inlineStr">
        <is>
          <t>IC1000</t>
        </is>
      </c>
      <c r="B1097" t="inlineStr">
        <is>
          <t>NORDEX ENERGY SE &amp; CO KG</t>
        </is>
      </c>
      <c r="C1097" t="n">
        <v>2122100000</v>
      </c>
      <c r="D1097" t="inlineStr">
        <is>
          <t>Intercompany</t>
        </is>
      </c>
      <c r="E1097" t="n">
        <v>5036252</v>
      </c>
      <c r="F1097" t="inlineStr">
        <is>
          <t>365457</t>
        </is>
      </c>
      <c r="G1097" t="inlineStr">
        <is>
          <t>RE</t>
        </is>
      </c>
      <c r="H1097" s="12" t="n">
        <v>-1118.55</v>
      </c>
      <c r="I1097" s="17" t="n">
        <v>45936</v>
      </c>
      <c r="J1097" s="17" t="n">
        <v>45966</v>
      </c>
      <c r="K1097" t="inlineStr">
        <is>
          <t>0807/25</t>
        </is>
      </c>
    </row>
    <row r="1098">
      <c r="A1098" t="inlineStr">
        <is>
          <t>IC1000</t>
        </is>
      </c>
      <c r="B1098" t="inlineStr">
        <is>
          <t>NORDEX ENERGY SE &amp; CO KG</t>
        </is>
      </c>
      <c r="C1098" t="n">
        <v>2122100000</v>
      </c>
      <c r="D1098" t="inlineStr">
        <is>
          <t>Intercompany</t>
        </is>
      </c>
      <c r="E1098" t="n">
        <v>5036261</v>
      </c>
      <c r="F1098" t="inlineStr">
        <is>
          <t>365448</t>
        </is>
      </c>
      <c r="G1098" t="inlineStr">
        <is>
          <t>RE</t>
        </is>
      </c>
      <c r="H1098" s="12" t="n">
        <v>-1118.61</v>
      </c>
      <c r="I1098" s="17" t="n">
        <v>45938</v>
      </c>
      <c r="J1098" s="17" t="n">
        <v>45968</v>
      </c>
      <c r="K1098" t="inlineStr">
        <is>
          <t>0802/25</t>
        </is>
      </c>
    </row>
    <row r="1099">
      <c r="A1099" t="inlineStr">
        <is>
          <t>IC1000</t>
        </is>
      </c>
      <c r="B1099" t="inlineStr">
        <is>
          <t>NORDEX ENERGY SE &amp; CO KG</t>
        </is>
      </c>
      <c r="C1099" t="n">
        <v>2122100000</v>
      </c>
      <c r="D1099" t="inlineStr">
        <is>
          <t>Intercompany</t>
        </is>
      </c>
      <c r="E1099" t="n">
        <v>5036372</v>
      </c>
      <c r="F1099" t="inlineStr">
        <is>
          <t>365451</t>
        </is>
      </c>
      <c r="G1099" t="inlineStr">
        <is>
          <t>RE</t>
        </is>
      </c>
      <c r="H1099" s="12" t="n">
        <v>-1118.42</v>
      </c>
      <c r="I1099" s="17" t="n">
        <v>45936</v>
      </c>
      <c r="J1099" s="17" t="n">
        <v>45966</v>
      </c>
      <c r="K1099" t="inlineStr">
        <is>
          <t>0809/25</t>
        </is>
      </c>
    </row>
    <row r="1100">
      <c r="A1100" t="inlineStr">
        <is>
          <t>IC1000</t>
        </is>
      </c>
      <c r="B1100" t="inlineStr">
        <is>
          <t>NORDEX ENERGY SE &amp; CO KG</t>
        </is>
      </c>
      <c r="C1100" t="n">
        <v>2122100000</v>
      </c>
      <c r="D1100" t="inlineStr">
        <is>
          <t>Intercompany</t>
        </is>
      </c>
      <c r="E1100" t="n">
        <v>5036404</v>
      </c>
      <c r="F1100" t="inlineStr">
        <is>
          <t>RITM0532093</t>
        </is>
      </c>
      <c r="G1100" t="inlineStr">
        <is>
          <t>RE</t>
        </is>
      </c>
      <c r="H1100" s="12" t="n">
        <v>-3130170.27</v>
      </c>
      <c r="I1100" s="17" t="n">
        <v>45908</v>
      </c>
      <c r="J1100" s="17" t="n">
        <v>45938</v>
      </c>
      <c r="K1100" t="inlineStr">
        <is>
          <t>0699/25</t>
        </is>
      </c>
    </row>
    <row r="1101">
      <c r="A1101" t="inlineStr">
        <is>
          <t>IC1000</t>
        </is>
      </c>
      <c r="B1101" t="inlineStr">
        <is>
          <t>NORDEX ENERGY SE &amp; CO KG</t>
        </is>
      </c>
      <c r="C1101" t="n">
        <v>2122100000</v>
      </c>
      <c r="D1101" t="inlineStr">
        <is>
          <t>Intercompany</t>
        </is>
      </c>
      <c r="E1101" t="n">
        <v>5036431</v>
      </c>
      <c r="F1101" t="inlineStr">
        <is>
          <t>365456</t>
        </is>
      </c>
      <c r="G1101" t="inlineStr">
        <is>
          <t>RE</t>
        </is>
      </c>
      <c r="H1101" s="12" t="n">
        <v>-1118.42</v>
      </c>
      <c r="I1101" s="17" t="n">
        <v>45936</v>
      </c>
      <c r="J1101" s="17" t="n">
        <v>45966</v>
      </c>
      <c r="K1101" t="inlineStr">
        <is>
          <t>0806/25</t>
        </is>
      </c>
    </row>
    <row r="1102">
      <c r="A1102" t="inlineStr">
        <is>
          <t>IC4420</t>
        </is>
      </c>
      <c r="B1102" t="inlineStr">
        <is>
          <t>NORDEX ENERGY SPAIN S A U</t>
        </is>
      </c>
      <c r="C1102" t="n">
        <v>2122100000</v>
      </c>
      <c r="D1102" t="inlineStr">
        <is>
          <t>Intercompany</t>
        </is>
      </c>
      <c r="E1102" t="n">
        <v>5036444</v>
      </c>
      <c r="F1102" t="inlineStr">
        <is>
          <t>4025007922</t>
        </is>
      </c>
      <c r="G1102" t="inlineStr">
        <is>
          <t>RE</t>
        </is>
      </c>
      <c r="H1102" s="12" t="n">
        <v>-687582.46</v>
      </c>
      <c r="I1102" s="17" t="n">
        <v>45944</v>
      </c>
      <c r="J1102" s="17" t="n">
        <v>45974</v>
      </c>
      <c r="K1102" t="inlineStr">
        <is>
          <t>0798/25</t>
        </is>
      </c>
    </row>
    <row r="1103">
      <c r="A1103" t="inlineStr">
        <is>
          <t>IC4420</t>
        </is>
      </c>
      <c r="B1103" t="inlineStr">
        <is>
          <t>NORDEX ENERGY SPAIN S A U</t>
        </is>
      </c>
      <c r="C1103" t="n">
        <v>2122100000</v>
      </c>
      <c r="D1103" t="inlineStr">
        <is>
          <t>Intercompany</t>
        </is>
      </c>
      <c r="E1103" t="n">
        <v>5036478</v>
      </c>
      <c r="F1103" t="inlineStr">
        <is>
          <t>4025006793</t>
        </is>
      </c>
      <c r="G1103" t="inlineStr">
        <is>
          <t>RE</t>
        </is>
      </c>
      <c r="H1103" s="12" t="n">
        <v>-124657.73</v>
      </c>
      <c r="I1103" s="17" t="n">
        <v>45912</v>
      </c>
      <c r="J1103" s="17" t="n">
        <v>45942</v>
      </c>
      <c r="K1103" t="inlineStr">
        <is>
          <t>0704/25</t>
        </is>
      </c>
    </row>
    <row r="1104">
      <c r="A1104" t="inlineStr">
        <is>
          <t>IC4420</t>
        </is>
      </c>
      <c r="B1104" t="inlineStr">
        <is>
          <t>NORDEX ENERGY SPAIN S A U</t>
        </is>
      </c>
      <c r="C1104" t="n">
        <v>2122100000</v>
      </c>
      <c r="D1104" t="inlineStr">
        <is>
          <t>Intercompany</t>
        </is>
      </c>
      <c r="E1104" t="n">
        <v>5036534</v>
      </c>
      <c r="F1104" t="inlineStr">
        <is>
          <t>4025007413</t>
        </is>
      </c>
      <c r="G1104" t="inlineStr">
        <is>
          <t>RE</t>
        </is>
      </c>
      <c r="H1104" s="12" t="n">
        <v>-2490.82</v>
      </c>
      <c r="I1104" s="17" t="n">
        <v>45925</v>
      </c>
      <c r="J1104" s="17" t="n">
        <v>45955</v>
      </c>
      <c r="K1104" t="inlineStr">
        <is>
          <t>0756/25</t>
        </is>
      </c>
    </row>
    <row r="1105">
      <c r="A1105" t="inlineStr">
        <is>
          <t>IC4420</t>
        </is>
      </c>
      <c r="B1105" t="inlineStr">
        <is>
          <t>NORDEX ENERGY SPAIN S A U</t>
        </is>
      </c>
      <c r="C1105" t="n">
        <v>2122100000</v>
      </c>
      <c r="D1105" t="inlineStr">
        <is>
          <t>Intercompany</t>
        </is>
      </c>
      <c r="E1105" t="n">
        <v>5036535</v>
      </c>
      <c r="F1105" t="inlineStr">
        <is>
          <t>4025006135</t>
        </is>
      </c>
      <c r="G1105" t="inlineStr">
        <is>
          <t>RE</t>
        </is>
      </c>
      <c r="H1105" s="12" t="n">
        <v>-93766.42999999999</v>
      </c>
      <c r="I1105" s="17" t="n">
        <v>45887</v>
      </c>
      <c r="J1105" s="17" t="n">
        <v>45917</v>
      </c>
      <c r="K1105" t="inlineStr">
        <is>
          <t>0671/25</t>
        </is>
      </c>
    </row>
    <row r="1106">
      <c r="A1106" t="inlineStr">
        <is>
          <t>IC4420</t>
        </is>
      </c>
      <c r="B1106" t="inlineStr">
        <is>
          <t>NORDEX ENERGY SPAIN S A U</t>
        </is>
      </c>
      <c r="C1106" t="n">
        <v>2122100000</v>
      </c>
      <c r="D1106" t="inlineStr">
        <is>
          <t>Intercompany</t>
        </is>
      </c>
      <c r="E1106" t="n">
        <v>5036536</v>
      </c>
      <c r="F1106" t="inlineStr">
        <is>
          <t>4025006134</t>
        </is>
      </c>
      <c r="G1106" t="inlineStr">
        <is>
          <t>RE</t>
        </is>
      </c>
      <c r="H1106" s="12" t="n">
        <v>-10637.58</v>
      </c>
      <c r="I1106" s="17" t="n">
        <v>45887</v>
      </c>
      <c r="J1106" s="17" t="n">
        <v>45917</v>
      </c>
      <c r="K1106" t="inlineStr">
        <is>
          <t>0671/25</t>
        </is>
      </c>
    </row>
    <row r="1107">
      <c r="A1107" t="inlineStr">
        <is>
          <t>IC4420</t>
        </is>
      </c>
      <c r="B1107" t="inlineStr">
        <is>
          <t>NORDEX ENERGY SPAIN S A U</t>
        </is>
      </c>
      <c r="C1107" t="n">
        <v>2122100000</v>
      </c>
      <c r="D1107" t="inlineStr">
        <is>
          <t>Intercompany</t>
        </is>
      </c>
      <c r="E1107" t="n">
        <v>5036537</v>
      </c>
      <c r="F1107" t="inlineStr">
        <is>
          <t>4025007763</t>
        </is>
      </c>
      <c r="G1107" t="inlineStr">
        <is>
          <t>RE</t>
        </is>
      </c>
      <c r="H1107" s="12" t="n">
        <v>-55617.29</v>
      </c>
      <c r="I1107" s="17" t="n">
        <v>45937</v>
      </c>
      <c r="J1107" s="17" t="n">
        <v>45967</v>
      </c>
      <c r="K1107" t="inlineStr">
        <is>
          <t>0790/25</t>
        </is>
      </c>
    </row>
    <row r="1108">
      <c r="A1108" t="inlineStr">
        <is>
          <t>IC4420</t>
        </is>
      </c>
      <c r="B1108" t="inlineStr">
        <is>
          <t>NORDEX ENERGY SPAIN S A U</t>
        </is>
      </c>
      <c r="C1108" t="n">
        <v>2122100000</v>
      </c>
      <c r="D1108" t="inlineStr">
        <is>
          <t>Intercompany</t>
        </is>
      </c>
      <c r="E1108" t="n">
        <v>5036567</v>
      </c>
      <c r="F1108" t="inlineStr">
        <is>
          <t>4025008240</t>
        </is>
      </c>
      <c r="G1108" t="inlineStr">
        <is>
          <t>KR</t>
        </is>
      </c>
      <c r="H1108" s="12" t="n">
        <v>-381773.43</v>
      </c>
      <c r="I1108" s="17" t="n">
        <v>45954</v>
      </c>
      <c r="J1108" s="17" t="n">
        <v>45984</v>
      </c>
      <c r="K1108" t="inlineStr">
        <is>
          <t>Fatura do fornecedor NORDEX ENERGY SPAIN S A U 402</t>
        </is>
      </c>
    </row>
    <row r="1109">
      <c r="A1109" t="inlineStr">
        <is>
          <t>IC4420</t>
        </is>
      </c>
      <c r="B1109" t="inlineStr">
        <is>
          <t>NORDEX ENERGY SPAIN S A U</t>
        </is>
      </c>
      <c r="C1109" t="n">
        <v>2122100000</v>
      </c>
      <c r="D1109" t="inlineStr">
        <is>
          <t>Intercompany</t>
        </is>
      </c>
      <c r="E1109" t="n">
        <v>5036614</v>
      </c>
      <c r="F1109" t="inlineStr">
        <is>
          <t>4025006125</t>
        </is>
      </c>
      <c r="G1109" t="inlineStr">
        <is>
          <t>RE</t>
        </is>
      </c>
      <c r="H1109" s="12" t="n">
        <v>-26104.74</v>
      </c>
      <c r="I1109" s="17" t="n">
        <v>45887</v>
      </c>
      <c r="J1109" s="17" t="n">
        <v>45917</v>
      </c>
      <c r="K1109" t="inlineStr">
        <is>
          <t>0668/25</t>
        </is>
      </c>
    </row>
    <row r="1110">
      <c r="A1110" t="inlineStr">
        <is>
          <t>IC4420</t>
        </is>
      </c>
      <c r="B1110" t="inlineStr">
        <is>
          <t>NORDEX ENERGY SPAIN S A U</t>
        </is>
      </c>
      <c r="C1110" t="n">
        <v>2122100000</v>
      </c>
      <c r="D1110" t="inlineStr">
        <is>
          <t>Intercompany</t>
        </is>
      </c>
      <c r="E1110" t="n">
        <v>5036677</v>
      </c>
      <c r="F1110" t="inlineStr">
        <is>
          <t>4025007765</t>
        </is>
      </c>
      <c r="G1110" t="inlineStr">
        <is>
          <t>RE</t>
        </is>
      </c>
      <c r="H1110" s="12" t="n">
        <v>-8263.200000000001</v>
      </c>
      <c r="I1110" s="17" t="n">
        <v>45937</v>
      </c>
      <c r="J1110" s="17" t="n">
        <v>45967</v>
      </c>
      <c r="K1110" t="inlineStr">
        <is>
          <t>0789/25</t>
        </is>
      </c>
    </row>
    <row r="1111">
      <c r="A1111" t="inlineStr">
        <is>
          <t>IC4420</t>
        </is>
      </c>
      <c r="B1111" t="inlineStr">
        <is>
          <t>NORDEX ENERGY SPAIN S A U</t>
        </is>
      </c>
      <c r="C1111" t="n">
        <v>2122100000</v>
      </c>
      <c r="D1111" t="inlineStr">
        <is>
          <t>Intercompany</t>
        </is>
      </c>
      <c r="E1111" t="n">
        <v>5036678</v>
      </c>
      <c r="F1111" t="inlineStr">
        <is>
          <t>4025007764</t>
        </is>
      </c>
      <c r="G1111" t="inlineStr">
        <is>
          <t>RE</t>
        </is>
      </c>
      <c r="H1111" s="12" t="n">
        <v>-7068.67</v>
      </c>
      <c r="I1111" s="17" t="n">
        <v>45937</v>
      </c>
      <c r="J1111" s="17" t="n">
        <v>45967</v>
      </c>
      <c r="K1111" t="inlineStr">
        <is>
          <t>0789/25</t>
        </is>
      </c>
    </row>
    <row r="1112">
      <c r="A1112" t="inlineStr">
        <is>
          <t>IC4420</t>
        </is>
      </c>
      <c r="B1112" t="inlineStr">
        <is>
          <t>NORDEX ENERGY SPAIN S A U</t>
        </is>
      </c>
      <c r="C1112" t="n">
        <v>2122100000</v>
      </c>
      <c r="D1112" t="inlineStr">
        <is>
          <t>Intercompany</t>
        </is>
      </c>
      <c r="E1112" t="n">
        <v>5036680</v>
      </c>
      <c r="F1112" t="inlineStr">
        <is>
          <t>4025007766</t>
        </is>
      </c>
      <c r="G1112" t="inlineStr">
        <is>
          <t>RE</t>
        </is>
      </c>
      <c r="H1112" s="12" t="n">
        <v>-47770.01</v>
      </c>
      <c r="I1112" s="17" t="n">
        <v>45937</v>
      </c>
      <c r="J1112" s="17" t="n">
        <v>45967</v>
      </c>
      <c r="K1112" t="inlineStr">
        <is>
          <t>0789/25</t>
        </is>
      </c>
    </row>
    <row r="1113">
      <c r="A1113" t="inlineStr">
        <is>
          <t>IC1000</t>
        </is>
      </c>
      <c r="B1113" t="inlineStr">
        <is>
          <t>NORDEX ENERGY SE &amp; CO KG</t>
        </is>
      </c>
      <c r="C1113" t="n">
        <v>2122100000</v>
      </c>
      <c r="D1113" t="inlineStr">
        <is>
          <t>Intercompany</t>
        </is>
      </c>
      <c r="E1113" t="n">
        <v>5036688</v>
      </c>
      <c r="F1113" t="inlineStr">
        <is>
          <t>365458</t>
        </is>
      </c>
      <c r="G1113" t="inlineStr">
        <is>
          <t>RE</t>
        </is>
      </c>
      <c r="H1113" s="12" t="n">
        <v>-1118.8</v>
      </c>
      <c r="I1113" s="17" t="n">
        <v>45936</v>
      </c>
      <c r="J1113" s="17" t="n">
        <v>45966</v>
      </c>
      <c r="K1113" t="inlineStr">
        <is>
          <t>0812/25</t>
        </is>
      </c>
    </row>
    <row r="1114">
      <c r="A1114" t="inlineStr">
        <is>
          <t>IC4420</t>
        </is>
      </c>
      <c r="B1114" t="inlineStr">
        <is>
          <t>NORDEX ENERGY SPAIN S A U</t>
        </is>
      </c>
      <c r="C1114" t="n">
        <v>2122100000</v>
      </c>
      <c r="D1114" t="inlineStr">
        <is>
          <t>Intercompany</t>
        </is>
      </c>
      <c r="E1114" t="n">
        <v>5036692</v>
      </c>
      <c r="F1114" t="inlineStr">
        <is>
          <t>4025007416</t>
        </is>
      </c>
      <c r="G1114" t="inlineStr">
        <is>
          <t>RE</t>
        </is>
      </c>
      <c r="H1114" s="12" t="n">
        <v>-1338.75</v>
      </c>
      <c r="I1114" s="17" t="n">
        <v>45918</v>
      </c>
      <c r="J1114" s="17" t="n">
        <v>45948</v>
      </c>
      <c r="K1114" t="inlineStr">
        <is>
          <t>0759/25</t>
        </is>
      </c>
    </row>
    <row r="1115">
      <c r="A1115" t="inlineStr">
        <is>
          <t>IC4420</t>
        </is>
      </c>
      <c r="B1115" t="inlineStr">
        <is>
          <t>NORDEX ENERGY SPAIN S A U</t>
        </is>
      </c>
      <c r="C1115" t="n">
        <v>2122100000</v>
      </c>
      <c r="D1115" t="inlineStr">
        <is>
          <t>Intercompany</t>
        </is>
      </c>
      <c r="E1115" t="n">
        <v>5036694</v>
      </c>
      <c r="F1115" t="inlineStr">
        <is>
          <t>4025007412</t>
        </is>
      </c>
      <c r="G1115" t="inlineStr">
        <is>
          <t>RE</t>
        </is>
      </c>
      <c r="H1115" s="12" t="n">
        <v>-4400.92</v>
      </c>
      <c r="I1115" s="17" t="n">
        <v>45925</v>
      </c>
      <c r="J1115" s="17" t="n">
        <v>45955</v>
      </c>
      <c r="K1115" t="inlineStr">
        <is>
          <t>0757/25</t>
        </is>
      </c>
    </row>
    <row r="1116">
      <c r="A1116" t="inlineStr">
        <is>
          <t>IC1000</t>
        </is>
      </c>
      <c r="B1116" t="inlineStr">
        <is>
          <t>NORDEX ENERGY SE &amp; CO KG</t>
        </is>
      </c>
      <c r="C1116" t="n">
        <v>2122100000</v>
      </c>
      <c r="D1116" t="inlineStr">
        <is>
          <t>Intercompany</t>
        </is>
      </c>
      <c r="E1116" t="n">
        <v>5036695</v>
      </c>
      <c r="F1116" t="inlineStr">
        <is>
          <t>365449</t>
        </is>
      </c>
      <c r="G1116" t="inlineStr">
        <is>
          <t>RE</t>
        </is>
      </c>
      <c r="H1116" s="12" t="n">
        <v>-1118.68</v>
      </c>
      <c r="I1116" s="17" t="n">
        <v>45936</v>
      </c>
      <c r="J1116" s="17" t="n">
        <v>45966</v>
      </c>
      <c r="K1116" t="inlineStr">
        <is>
          <t>0803/25</t>
        </is>
      </c>
    </row>
    <row r="1117">
      <c r="A1117" t="inlineStr">
        <is>
          <t>IC1000</t>
        </is>
      </c>
      <c r="B1117" t="inlineStr">
        <is>
          <t>NORDEX ENERGY SE &amp; CO KG</t>
        </is>
      </c>
      <c r="C1117" t="n">
        <v>2122100000</v>
      </c>
      <c r="D1117" t="inlineStr">
        <is>
          <t>Intercompany</t>
        </is>
      </c>
      <c r="E1117" t="n">
        <v>5036696</v>
      </c>
      <c r="F1117" t="inlineStr">
        <is>
          <t>366271</t>
        </is>
      </c>
      <c r="G1117" t="inlineStr">
        <is>
          <t>RE</t>
        </is>
      </c>
      <c r="H1117" s="12" t="n">
        <v>-1102.26</v>
      </c>
      <c r="I1117" s="17" t="n">
        <v>45943</v>
      </c>
      <c r="J1117" s="17" t="n">
        <v>45973</v>
      </c>
      <c r="K1117" t="inlineStr">
        <is>
          <t>0813/25</t>
        </is>
      </c>
    </row>
    <row r="1118">
      <c r="A1118" t="inlineStr">
        <is>
          <t>IC1000</t>
        </is>
      </c>
      <c r="B1118" t="inlineStr">
        <is>
          <t>NORDEX ENERGY SE &amp; CO KG</t>
        </is>
      </c>
      <c r="C1118" t="n">
        <v>2122100000</v>
      </c>
      <c r="D1118" t="inlineStr">
        <is>
          <t>Intercompany</t>
        </is>
      </c>
      <c r="E1118" t="n">
        <v>5036708</v>
      </c>
      <c r="F1118" t="inlineStr">
        <is>
          <t>365450</t>
        </is>
      </c>
      <c r="G1118" t="inlineStr">
        <is>
          <t>RE</t>
        </is>
      </c>
      <c r="H1118" s="12" t="n">
        <v>-1118.68</v>
      </c>
      <c r="I1118" s="17" t="n">
        <v>45936</v>
      </c>
      <c r="J1118" s="17" t="n">
        <v>45966</v>
      </c>
      <c r="K1118" t="inlineStr">
        <is>
          <t>0808/25</t>
        </is>
      </c>
    </row>
    <row r="1119">
      <c r="A1119" t="inlineStr">
        <is>
          <t>IC4420</t>
        </is>
      </c>
      <c r="B1119" t="inlineStr">
        <is>
          <t>NORDEX ENERGY SPAIN S A U</t>
        </is>
      </c>
      <c r="C1119" t="n">
        <v>2122100000</v>
      </c>
      <c r="D1119" t="inlineStr">
        <is>
          <t>Intercompany</t>
        </is>
      </c>
      <c r="E1119" t="n">
        <v>5036712</v>
      </c>
      <c r="F1119" t="inlineStr">
        <is>
          <t>4025007793</t>
        </is>
      </c>
      <c r="G1119" t="inlineStr">
        <is>
          <t>RE</t>
        </is>
      </c>
      <c r="H1119" s="12" t="n">
        <v>-2094.55</v>
      </c>
      <c r="I1119" s="17" t="n">
        <v>45939</v>
      </c>
      <c r="J1119" s="17" t="n">
        <v>45969</v>
      </c>
      <c r="K1119" t="inlineStr">
        <is>
          <t>0788/25</t>
        </is>
      </c>
    </row>
    <row r="1120">
      <c r="A1120" t="inlineStr">
        <is>
          <t>IC4420</t>
        </is>
      </c>
      <c r="B1120" t="inlineStr">
        <is>
          <t>NORDEX ENERGY SPAIN S A U</t>
        </is>
      </c>
      <c r="C1120" t="n">
        <v>2122100000</v>
      </c>
      <c r="D1120" t="inlineStr">
        <is>
          <t>Intercompany</t>
        </is>
      </c>
      <c r="E1120" t="n">
        <v>5036726</v>
      </c>
      <c r="F1120" t="inlineStr">
        <is>
          <t>4024004605</t>
        </is>
      </c>
      <c r="G1120" t="inlineStr">
        <is>
          <t>RE</t>
        </is>
      </c>
      <c r="H1120" s="12" t="n">
        <v>-862220.8</v>
      </c>
      <c r="I1120" s="17" t="n">
        <v>45474</v>
      </c>
      <c r="J1120" s="17" t="n">
        <v>45534</v>
      </c>
      <c r="K1120" t="inlineStr">
        <is>
          <t>0557/24</t>
        </is>
      </c>
    </row>
    <row r="1121">
      <c r="A1121" t="inlineStr">
        <is>
          <t>IC4420</t>
        </is>
      </c>
      <c r="B1121" t="inlineStr">
        <is>
          <t>NORDEX ENERGY SPAIN S A U</t>
        </is>
      </c>
      <c r="C1121" t="n">
        <v>2122100000</v>
      </c>
      <c r="D1121" t="inlineStr">
        <is>
          <t>Intercompany</t>
        </is>
      </c>
      <c r="E1121" t="n">
        <v>5037013</v>
      </c>
      <c r="F1121" t="inlineStr">
        <is>
          <t>4024003719</t>
        </is>
      </c>
      <c r="G1121" t="inlineStr">
        <is>
          <t>RE</t>
        </is>
      </c>
      <c r="H1121" s="12" t="n">
        <v>-362383.28</v>
      </c>
      <c r="I1121" s="17" t="n">
        <v>45371</v>
      </c>
      <c r="J1121" s="17" t="n">
        <v>45431</v>
      </c>
      <c r="K1121" t="inlineStr">
        <is>
          <t>0676/24</t>
        </is>
      </c>
    </row>
    <row r="1122">
      <c r="A1122" t="inlineStr">
        <is>
          <t>IC4420</t>
        </is>
      </c>
      <c r="B1122" t="inlineStr">
        <is>
          <t>NORDEX ENERGY SPAIN S A U</t>
        </is>
      </c>
      <c r="C1122" t="n">
        <v>2122100000</v>
      </c>
      <c r="D1122" t="inlineStr">
        <is>
          <t>Intercompany</t>
        </is>
      </c>
      <c r="E1122" t="n">
        <v>5037112</v>
      </c>
      <c r="F1122" t="inlineStr">
        <is>
          <t>4025006129</t>
        </is>
      </c>
      <c r="G1122" t="inlineStr">
        <is>
          <t>RE</t>
        </is>
      </c>
      <c r="H1122" s="12" t="n">
        <v>-77906.96000000001</v>
      </c>
      <c r="I1122" s="17" t="n">
        <v>45887</v>
      </c>
      <c r="J1122" s="17" t="n">
        <v>45917</v>
      </c>
      <c r="K1122" t="inlineStr">
        <is>
          <t>0669/25</t>
        </is>
      </c>
    </row>
    <row r="1123">
      <c r="A1123" t="inlineStr">
        <is>
          <t>IC4420</t>
        </is>
      </c>
      <c r="B1123" t="inlineStr">
        <is>
          <t>NORDEX ENERGY SPAIN S A U</t>
        </is>
      </c>
      <c r="C1123" t="n">
        <v>2122100000</v>
      </c>
      <c r="D1123" t="inlineStr">
        <is>
          <t>Intercompany</t>
        </is>
      </c>
      <c r="E1123" t="n">
        <v>5037190</v>
      </c>
      <c r="F1123" t="inlineStr">
        <is>
          <t>4024004780</t>
        </is>
      </c>
      <c r="G1123" t="inlineStr">
        <is>
          <t>RE</t>
        </is>
      </c>
      <c r="H1123" s="12" t="n">
        <v>-8635.41</v>
      </c>
      <c r="I1123" s="17" t="n">
        <v>45482</v>
      </c>
      <c r="J1123" s="17" t="n">
        <v>45512</v>
      </c>
      <c r="K1123" t="inlineStr">
        <is>
          <t>0569/24</t>
        </is>
      </c>
    </row>
    <row r="1124">
      <c r="A1124" t="inlineStr">
        <is>
          <t>IC4420</t>
        </is>
      </c>
      <c r="B1124" t="inlineStr">
        <is>
          <t>NORDEX ENERGY SPAIN S A U</t>
        </is>
      </c>
      <c r="C1124" t="n">
        <v>2122100000</v>
      </c>
      <c r="D1124" t="inlineStr">
        <is>
          <t>Intercompany</t>
        </is>
      </c>
      <c r="E1124" t="n">
        <v>5037280</v>
      </c>
      <c r="F1124" t="inlineStr">
        <is>
          <t>4025006754</t>
        </is>
      </c>
      <c r="G1124" t="inlineStr">
        <is>
          <t>RE</t>
        </is>
      </c>
      <c r="H1124" s="12" t="n">
        <v>-1025749.74</v>
      </c>
      <c r="I1124" s="17" t="n">
        <v>45911</v>
      </c>
      <c r="J1124" s="17" t="n">
        <v>45941</v>
      </c>
      <c r="K1124" t="inlineStr">
        <is>
          <t>0703/25</t>
        </is>
      </c>
    </row>
    <row r="1125">
      <c r="A1125" t="inlineStr">
        <is>
          <t>IC4420</t>
        </is>
      </c>
      <c r="B1125" t="inlineStr">
        <is>
          <t>NORDEX ENERGY SPAIN S A U</t>
        </is>
      </c>
      <c r="C1125" t="n">
        <v>2122100000</v>
      </c>
      <c r="D1125" t="inlineStr">
        <is>
          <t>Intercompany</t>
        </is>
      </c>
      <c r="E1125" t="n">
        <v>5037286</v>
      </c>
      <c r="F1125" t="inlineStr">
        <is>
          <t>4025007760</t>
        </is>
      </c>
      <c r="G1125" t="inlineStr">
        <is>
          <t>RE</t>
        </is>
      </c>
      <c r="H1125" s="12" t="n">
        <v>-15081.25</v>
      </c>
      <c r="I1125" s="17" t="n">
        <v>45937</v>
      </c>
      <c r="J1125" s="17" t="n">
        <v>45967</v>
      </c>
      <c r="K1125" t="inlineStr">
        <is>
          <t>0794/25</t>
        </is>
      </c>
    </row>
    <row r="1126">
      <c r="A1126" t="inlineStr">
        <is>
          <t>IC4420</t>
        </is>
      </c>
      <c r="B1126" t="inlineStr">
        <is>
          <t>NORDEX ENERGY SPAIN S A U</t>
        </is>
      </c>
      <c r="C1126" t="n">
        <v>2122100000</v>
      </c>
      <c r="D1126" t="inlineStr">
        <is>
          <t>Intercompany</t>
        </is>
      </c>
      <c r="E1126" t="n">
        <v>5037289</v>
      </c>
      <c r="F1126" t="inlineStr">
        <is>
          <t>4025007785</t>
        </is>
      </c>
      <c r="G1126" t="inlineStr">
        <is>
          <t>RE</t>
        </is>
      </c>
      <c r="H1126" s="12" t="n">
        <v>-175816.69</v>
      </c>
      <c r="I1126" s="17" t="n">
        <v>45939</v>
      </c>
      <c r="J1126" s="17" t="n">
        <v>45969</v>
      </c>
      <c r="K1126" t="inlineStr">
        <is>
          <t>0795/25</t>
        </is>
      </c>
    </row>
    <row r="1127">
      <c r="A1127" t="inlineStr">
        <is>
          <t>IC4420</t>
        </is>
      </c>
      <c r="B1127" t="inlineStr">
        <is>
          <t>NORDEX ENERGY SPAIN S A U</t>
        </is>
      </c>
      <c r="C1127" t="n">
        <v>2122100000</v>
      </c>
      <c r="D1127" t="inlineStr">
        <is>
          <t>Intercompany</t>
        </is>
      </c>
      <c r="E1127" t="n">
        <v>5037382</v>
      </c>
      <c r="F1127" t="inlineStr">
        <is>
          <t>4025007759</t>
        </is>
      </c>
      <c r="G1127" t="inlineStr">
        <is>
          <t>RE</t>
        </is>
      </c>
      <c r="H1127" s="12" t="n">
        <v>-43911.79</v>
      </c>
      <c r="I1127" s="17" t="n">
        <v>45937</v>
      </c>
      <c r="J1127" s="17" t="n">
        <v>45967</v>
      </c>
      <c r="K1127" t="inlineStr">
        <is>
          <t>0793/25</t>
        </is>
      </c>
    </row>
    <row r="1128">
      <c r="A1128" t="inlineStr">
        <is>
          <t>IC1000</t>
        </is>
      </c>
      <c r="B1128" t="inlineStr">
        <is>
          <t>NORDEX ENERGY SE &amp; CO KG</t>
        </is>
      </c>
      <c r="C1128" t="n">
        <v>2122100000</v>
      </c>
      <c r="D1128" t="inlineStr">
        <is>
          <t>Intercompany</t>
        </is>
      </c>
      <c r="E1128" t="n">
        <v>5037522</v>
      </c>
      <c r="F1128" t="inlineStr">
        <is>
          <t>300256</t>
        </is>
      </c>
      <c r="G1128" t="inlineStr">
        <is>
          <t>RE</t>
        </is>
      </c>
      <c r="H1128" s="12" t="n">
        <v>-17650.04</v>
      </c>
      <c r="I1128" s="17" t="n">
        <v>45505</v>
      </c>
      <c r="J1128" s="17" t="n">
        <v>45535</v>
      </c>
      <c r="K1128" t="inlineStr">
        <is>
          <t>0693/24</t>
        </is>
      </c>
    </row>
    <row r="1129">
      <c r="A1129" t="inlineStr">
        <is>
          <t>IC1000</t>
        </is>
      </c>
      <c r="B1129" t="inlineStr">
        <is>
          <t>NORDEX ENERGY SE &amp; CO KG</t>
        </is>
      </c>
      <c r="C1129" t="n">
        <v>2122100000</v>
      </c>
      <c r="D1129" t="inlineStr">
        <is>
          <t>Intercompany</t>
        </is>
      </c>
      <c r="E1129" t="n">
        <v>5037523</v>
      </c>
      <c r="F1129" t="inlineStr">
        <is>
          <t>300254</t>
        </is>
      </c>
      <c r="G1129" t="inlineStr">
        <is>
          <t>RE</t>
        </is>
      </c>
      <c r="H1129" s="12" t="n">
        <v>-26662.78</v>
      </c>
      <c r="I1129" s="17" t="n">
        <v>45505</v>
      </c>
      <c r="J1129" s="17" t="n">
        <v>45535</v>
      </c>
      <c r="K1129" t="inlineStr">
        <is>
          <t>0693/24</t>
        </is>
      </c>
    </row>
    <row r="1130">
      <c r="A1130" t="inlineStr">
        <is>
          <t>IC4420</t>
        </is>
      </c>
      <c r="B1130" t="inlineStr">
        <is>
          <t>NORDEX ENERGY SPAIN S A U</t>
        </is>
      </c>
      <c r="C1130" t="n">
        <v>2122100000</v>
      </c>
      <c r="D1130" t="inlineStr">
        <is>
          <t>Intercompany</t>
        </is>
      </c>
      <c r="E1130" t="n">
        <v>5037724</v>
      </c>
      <c r="F1130" t="inlineStr">
        <is>
          <t>4025008566</t>
        </is>
      </c>
      <c r="G1130" t="inlineStr">
        <is>
          <t>RE</t>
        </is>
      </c>
      <c r="H1130" s="12" t="n">
        <v>-71015.09</v>
      </c>
      <c r="I1130" s="17" t="n">
        <v>45965</v>
      </c>
      <c r="J1130" s="17" t="n">
        <v>45995</v>
      </c>
      <c r="K1130" t="inlineStr">
        <is>
          <t>0855/25</t>
        </is>
      </c>
    </row>
    <row r="1131">
      <c r="A1131" t="inlineStr">
        <is>
          <t>IC4420</t>
        </is>
      </c>
      <c r="B1131" t="inlineStr">
        <is>
          <t>NORDEX ENERGY SPAIN S A U</t>
        </is>
      </c>
      <c r="C1131" t="n">
        <v>2122100000</v>
      </c>
      <c r="D1131" t="inlineStr">
        <is>
          <t>Intercompany</t>
        </is>
      </c>
      <c r="E1131" t="n">
        <v>5037762</v>
      </c>
      <c r="F1131" t="inlineStr">
        <is>
          <t>4025007127</t>
        </is>
      </c>
      <c r="G1131" t="inlineStr">
        <is>
          <t>RE</t>
        </is>
      </c>
      <c r="H1131" s="12" t="n">
        <v>-10985.93</v>
      </c>
      <c r="I1131" s="17" t="n">
        <v>45917</v>
      </c>
      <c r="J1131" s="17" t="n">
        <v>45947</v>
      </c>
      <c r="K1131" t="inlineStr">
        <is>
          <t>0746/25</t>
        </is>
      </c>
    </row>
    <row r="1132">
      <c r="A1132" t="inlineStr">
        <is>
          <t>IC4420</t>
        </is>
      </c>
      <c r="B1132" t="inlineStr">
        <is>
          <t>NORDEX ENERGY SPAIN S A U</t>
        </is>
      </c>
      <c r="C1132" t="n">
        <v>2122100000</v>
      </c>
      <c r="D1132" t="inlineStr">
        <is>
          <t>Intercompany</t>
        </is>
      </c>
      <c r="E1132" t="n">
        <v>5037839</v>
      </c>
      <c r="F1132" t="inlineStr">
        <is>
          <t>4025007126</t>
        </is>
      </c>
      <c r="G1132" t="inlineStr">
        <is>
          <t>RE</t>
        </is>
      </c>
      <c r="H1132" s="12" t="n">
        <v>-4119.66</v>
      </c>
      <c r="I1132" s="17" t="n">
        <v>45917</v>
      </c>
      <c r="J1132" s="17" t="n">
        <v>45947</v>
      </c>
      <c r="K1132" t="inlineStr">
        <is>
          <t>0745/25</t>
        </is>
      </c>
    </row>
    <row r="1133">
      <c r="A1133" t="inlineStr">
        <is>
          <t>IC4420</t>
        </is>
      </c>
      <c r="B1133" t="inlineStr">
        <is>
          <t>NORDEX ENERGY SPAIN S A U</t>
        </is>
      </c>
      <c r="C1133" t="n">
        <v>2122100000</v>
      </c>
      <c r="D1133" t="inlineStr">
        <is>
          <t>Intercompany</t>
        </is>
      </c>
      <c r="E1133" t="n">
        <v>5037843</v>
      </c>
      <c r="F1133" t="inlineStr">
        <is>
          <t>4025008524</t>
        </is>
      </c>
      <c r="G1133" t="inlineStr">
        <is>
          <t>RE</t>
        </is>
      </c>
      <c r="H1133" s="12" t="n">
        <v>-50502.9</v>
      </c>
      <c r="I1133" s="17" t="n">
        <v>45964</v>
      </c>
      <c r="J1133" s="17" t="n">
        <v>45994</v>
      </c>
      <c r="K1133" t="inlineStr">
        <is>
          <t>0837/25</t>
        </is>
      </c>
    </row>
    <row r="1134">
      <c r="A1134" t="inlineStr">
        <is>
          <t>IC4420</t>
        </is>
      </c>
      <c r="B1134" t="inlineStr">
        <is>
          <t>NORDEX ENERGY SPAIN S A U</t>
        </is>
      </c>
      <c r="C1134" t="n">
        <v>2122100000</v>
      </c>
      <c r="D1134" t="inlineStr">
        <is>
          <t>Intercompany</t>
        </is>
      </c>
      <c r="E1134" t="n">
        <v>5037844</v>
      </c>
      <c r="F1134" t="inlineStr">
        <is>
          <t>4025008484</t>
        </is>
      </c>
      <c r="G1134" t="inlineStr">
        <is>
          <t>RE</t>
        </is>
      </c>
      <c r="H1134" s="12" t="n">
        <v>-20474.4</v>
      </c>
      <c r="I1134" s="17" t="n">
        <v>45964</v>
      </c>
      <c r="J1134" s="17" t="n">
        <v>45994</v>
      </c>
      <c r="K1134" t="inlineStr">
        <is>
          <t>0838/25</t>
        </is>
      </c>
    </row>
    <row r="1135">
      <c r="A1135" t="inlineStr">
        <is>
          <t>IC4420</t>
        </is>
      </c>
      <c r="B1135" t="inlineStr">
        <is>
          <t>NORDEX ENERGY SPAIN S A U</t>
        </is>
      </c>
      <c r="C1135" t="n">
        <v>2122100000</v>
      </c>
      <c r="D1135" t="inlineStr">
        <is>
          <t>Intercompany</t>
        </is>
      </c>
      <c r="E1135" t="n">
        <v>5037847</v>
      </c>
      <c r="F1135" t="inlineStr">
        <is>
          <t>4025008485</t>
        </is>
      </c>
      <c r="G1135" t="inlineStr">
        <is>
          <t>RE</t>
        </is>
      </c>
      <c r="H1135" s="12" t="n">
        <v>-583.7</v>
      </c>
      <c r="I1135" s="17" t="n">
        <v>45964</v>
      </c>
      <c r="J1135" s="17" t="n">
        <v>45994</v>
      </c>
      <c r="K1135" t="inlineStr">
        <is>
          <t>0839/25</t>
        </is>
      </c>
    </row>
    <row r="1136">
      <c r="A1136" t="inlineStr">
        <is>
          <t>IC4420</t>
        </is>
      </c>
      <c r="B1136" t="inlineStr">
        <is>
          <t>NORDEX ENERGY SPAIN S A U</t>
        </is>
      </c>
      <c r="C1136" t="n">
        <v>2122100000</v>
      </c>
      <c r="D1136" t="inlineStr">
        <is>
          <t>Intercompany</t>
        </is>
      </c>
      <c r="E1136" t="n">
        <v>5037848</v>
      </c>
      <c r="F1136" t="inlineStr">
        <is>
          <t>4025007133</t>
        </is>
      </c>
      <c r="G1136" t="inlineStr">
        <is>
          <t>RE</t>
        </is>
      </c>
      <c r="H1136" s="12" t="n">
        <v>-26773.44</v>
      </c>
      <c r="I1136" s="17" t="n">
        <v>45917</v>
      </c>
      <c r="J1136" s="17" t="n">
        <v>45947</v>
      </c>
      <c r="K1136" t="inlineStr">
        <is>
          <t>0750/25</t>
        </is>
      </c>
    </row>
    <row r="1137">
      <c r="A1137" t="inlineStr">
        <is>
          <t>IC4420</t>
        </is>
      </c>
      <c r="B1137" t="inlineStr">
        <is>
          <t>NORDEX ENERGY SPAIN S A U</t>
        </is>
      </c>
      <c r="C1137" t="n">
        <v>2122100000</v>
      </c>
      <c r="D1137" t="inlineStr">
        <is>
          <t>Intercompany</t>
        </is>
      </c>
      <c r="E1137" t="n">
        <v>5037850</v>
      </c>
      <c r="F1137" t="inlineStr">
        <is>
          <t>4025007938</t>
        </is>
      </c>
      <c r="G1137" t="inlineStr">
        <is>
          <t>RE</t>
        </is>
      </c>
      <c r="H1137" s="12" t="n">
        <v>-653.96</v>
      </c>
      <c r="I1137" s="17" t="n">
        <v>45945</v>
      </c>
      <c r="J1137" s="17" t="n">
        <v>45975</v>
      </c>
      <c r="K1137" t="inlineStr">
        <is>
          <t>0835/25</t>
        </is>
      </c>
    </row>
    <row r="1138">
      <c r="A1138" t="inlineStr">
        <is>
          <t>IC4420</t>
        </is>
      </c>
      <c r="B1138" t="inlineStr">
        <is>
          <t>NORDEX ENERGY SPAIN S A U</t>
        </is>
      </c>
      <c r="C1138" t="n">
        <v>2122100000</v>
      </c>
      <c r="D1138" t="inlineStr">
        <is>
          <t>Intercompany</t>
        </is>
      </c>
      <c r="E1138" t="n">
        <v>5037856</v>
      </c>
      <c r="F1138" t="inlineStr">
        <is>
          <t>4025007118</t>
        </is>
      </c>
      <c r="G1138" t="inlineStr">
        <is>
          <t>RE</t>
        </is>
      </c>
      <c r="H1138" s="12" t="n">
        <v>-96.53</v>
      </c>
      <c r="I1138" s="17" t="n">
        <v>45917</v>
      </c>
      <c r="J1138" s="17" t="n">
        <v>45947</v>
      </c>
      <c r="K1138" t="inlineStr">
        <is>
          <t>0740/25</t>
        </is>
      </c>
    </row>
    <row r="1139">
      <c r="A1139" t="inlineStr">
        <is>
          <t>IC4420</t>
        </is>
      </c>
      <c r="B1139" t="inlineStr">
        <is>
          <t>NORDEX ENERGY SPAIN S A U</t>
        </is>
      </c>
      <c r="C1139" t="n">
        <v>2122100000</v>
      </c>
      <c r="D1139" t="inlineStr">
        <is>
          <t>Intercompany</t>
        </is>
      </c>
      <c r="E1139" t="n">
        <v>5037857</v>
      </c>
      <c r="F1139" t="inlineStr">
        <is>
          <t>4025007128</t>
        </is>
      </c>
      <c r="G1139" t="inlineStr">
        <is>
          <t>RE</t>
        </is>
      </c>
      <c r="H1139" s="12" t="n">
        <v>-9380.389999999999</v>
      </c>
      <c r="I1139" s="17" t="n">
        <v>45917</v>
      </c>
      <c r="J1139" s="17" t="n">
        <v>45947</v>
      </c>
      <c r="K1139" t="inlineStr">
        <is>
          <t>0744/25</t>
        </is>
      </c>
    </row>
    <row r="1140">
      <c r="A1140" t="inlineStr">
        <is>
          <t>IC4420</t>
        </is>
      </c>
      <c r="B1140" t="inlineStr">
        <is>
          <t>NORDEX ENERGY SPAIN S A U</t>
        </is>
      </c>
      <c r="C1140" t="n">
        <v>2122100000</v>
      </c>
      <c r="D1140" t="inlineStr">
        <is>
          <t>Intercompany</t>
        </is>
      </c>
      <c r="E1140" t="n">
        <v>5037858</v>
      </c>
      <c r="F1140" t="inlineStr">
        <is>
          <t>4025007119</t>
        </is>
      </c>
      <c r="G1140" t="inlineStr">
        <is>
          <t>RE</t>
        </is>
      </c>
      <c r="H1140" s="12" t="n">
        <v>-24666.23</v>
      </c>
      <c r="I1140" s="17" t="n">
        <v>45917</v>
      </c>
      <c r="J1140" s="17" t="n">
        <v>45947</v>
      </c>
      <c r="K1140" t="inlineStr">
        <is>
          <t>0740/25</t>
        </is>
      </c>
    </row>
    <row r="1141">
      <c r="A1141" t="inlineStr">
        <is>
          <t>IC4420</t>
        </is>
      </c>
      <c r="B1141" t="inlineStr">
        <is>
          <t>NORDEX ENERGY SPAIN S A U</t>
        </is>
      </c>
      <c r="C1141" t="n">
        <v>2122100000</v>
      </c>
      <c r="D1141" t="inlineStr">
        <is>
          <t>Intercompany</t>
        </is>
      </c>
      <c r="E1141" t="n">
        <v>5037859</v>
      </c>
      <c r="F1141" t="inlineStr">
        <is>
          <t>4025007125</t>
        </is>
      </c>
      <c r="G1141" t="inlineStr">
        <is>
          <t>RE</t>
        </is>
      </c>
      <c r="H1141" s="12" t="n">
        <v>-7410.88</v>
      </c>
      <c r="I1141" s="17" t="n">
        <v>45917</v>
      </c>
      <c r="J1141" s="17" t="n">
        <v>45947</v>
      </c>
      <c r="K1141" t="inlineStr">
        <is>
          <t>0744/25</t>
        </is>
      </c>
    </row>
    <row r="1142">
      <c r="A1142" t="inlineStr">
        <is>
          <t>IC4420</t>
        </is>
      </c>
      <c r="B1142" t="inlineStr">
        <is>
          <t>NORDEX ENERGY SPAIN S A U</t>
        </is>
      </c>
      <c r="C1142" t="n">
        <v>2122100000</v>
      </c>
      <c r="D1142" t="inlineStr">
        <is>
          <t>Intercompany</t>
        </is>
      </c>
      <c r="E1142" t="n">
        <v>5037860</v>
      </c>
      <c r="F1142" t="inlineStr">
        <is>
          <t>4025007129</t>
        </is>
      </c>
      <c r="G1142" t="inlineStr">
        <is>
          <t>RE</t>
        </is>
      </c>
      <c r="H1142" s="12" t="n">
        <v>-32100</v>
      </c>
      <c r="I1142" s="17" t="n">
        <v>45917</v>
      </c>
      <c r="J1142" s="17" t="n">
        <v>45947</v>
      </c>
      <c r="K1142" t="inlineStr">
        <is>
          <t>0744/25</t>
        </is>
      </c>
    </row>
    <row r="1143">
      <c r="A1143" t="inlineStr">
        <is>
          <t>IC4420</t>
        </is>
      </c>
      <c r="B1143" t="inlineStr">
        <is>
          <t>NORDEX ENERGY SPAIN S A U</t>
        </is>
      </c>
      <c r="C1143" t="n">
        <v>2122100000</v>
      </c>
      <c r="D1143" t="inlineStr">
        <is>
          <t>Intercompany</t>
        </is>
      </c>
      <c r="E1143" t="n">
        <v>5037862</v>
      </c>
      <c r="F1143" t="inlineStr">
        <is>
          <t>4025007130</t>
        </is>
      </c>
      <c r="G1143" t="inlineStr">
        <is>
          <t>RE</t>
        </is>
      </c>
      <c r="H1143" s="12" t="n">
        <v>-78750.83</v>
      </c>
      <c r="I1143" s="17" t="n">
        <v>45917</v>
      </c>
      <c r="J1143" s="17" t="n">
        <v>45947</v>
      </c>
      <c r="K1143" t="inlineStr">
        <is>
          <t>0747/25</t>
        </is>
      </c>
    </row>
    <row r="1144">
      <c r="A1144" t="inlineStr">
        <is>
          <t>IC4420</t>
        </is>
      </c>
      <c r="B1144" t="inlineStr">
        <is>
          <t>NORDEX ENERGY SPAIN S A U</t>
        </is>
      </c>
      <c r="C1144" t="n">
        <v>2122100000</v>
      </c>
      <c r="D1144" t="inlineStr">
        <is>
          <t>Intercompany</t>
        </is>
      </c>
      <c r="E1144" t="n">
        <v>5037907</v>
      </c>
      <c r="F1144" t="inlineStr">
        <is>
          <t>4025007761</t>
        </is>
      </c>
      <c r="G1144" t="inlineStr">
        <is>
          <t>RE</t>
        </is>
      </c>
      <c r="H1144" s="12" t="n">
        <v>-49007.27</v>
      </c>
      <c r="I1144" s="17" t="n">
        <v>45937</v>
      </c>
      <c r="J1144" s="17" t="n">
        <v>45967</v>
      </c>
      <c r="K1144" t="inlineStr">
        <is>
          <t>0796/25</t>
        </is>
      </c>
    </row>
    <row r="1145">
      <c r="A1145" t="inlineStr">
        <is>
          <t>IC4420</t>
        </is>
      </c>
      <c r="B1145" t="inlineStr">
        <is>
          <t>NORDEX ENERGY SPAIN S A U</t>
        </is>
      </c>
      <c r="C1145" t="n">
        <v>2122100000</v>
      </c>
      <c r="D1145" t="inlineStr">
        <is>
          <t>Intercompany</t>
        </is>
      </c>
      <c r="E1145" t="n">
        <v>5037968</v>
      </c>
      <c r="F1145" t="inlineStr">
        <is>
          <t>4025007935</t>
        </is>
      </c>
      <c r="G1145" t="inlineStr">
        <is>
          <t>RE</t>
        </is>
      </c>
      <c r="H1145" s="12" t="n">
        <v>-53642.7</v>
      </c>
      <c r="I1145" s="17" t="n">
        <v>45945</v>
      </c>
      <c r="J1145" s="17" t="n">
        <v>45975</v>
      </c>
      <c r="K1145" t="inlineStr">
        <is>
          <t>0832/25</t>
        </is>
      </c>
    </row>
    <row r="1146">
      <c r="A1146" t="inlineStr">
        <is>
          <t>IC4420</t>
        </is>
      </c>
      <c r="B1146" t="inlineStr">
        <is>
          <t>NORDEX ENERGY SPAIN S A U</t>
        </is>
      </c>
      <c r="C1146" t="n">
        <v>2122100000</v>
      </c>
      <c r="D1146" t="inlineStr">
        <is>
          <t>Intercompany</t>
        </is>
      </c>
      <c r="E1146" t="n">
        <v>5037971</v>
      </c>
      <c r="F1146" t="inlineStr">
        <is>
          <t>4025008509</t>
        </is>
      </c>
      <c r="G1146" t="inlineStr">
        <is>
          <t>RE</t>
        </is>
      </c>
      <c r="H1146" s="12" t="n">
        <v>-2619.51</v>
      </c>
      <c r="I1146" s="17" t="n">
        <v>45964</v>
      </c>
      <c r="J1146" s="17" t="n">
        <v>45994</v>
      </c>
      <c r="K1146" t="inlineStr">
        <is>
          <t>0849/25</t>
        </is>
      </c>
    </row>
    <row r="1147">
      <c r="A1147" t="inlineStr">
        <is>
          <t>IC4420</t>
        </is>
      </c>
      <c r="B1147" t="inlineStr">
        <is>
          <t>NORDEX ENERGY SPAIN S A U</t>
        </is>
      </c>
      <c r="C1147" t="n">
        <v>2122100000</v>
      </c>
      <c r="D1147" t="inlineStr">
        <is>
          <t>Intercompany</t>
        </is>
      </c>
      <c r="E1147" t="n">
        <v>5037973</v>
      </c>
      <c r="F1147" t="inlineStr">
        <is>
          <t>4025007937</t>
        </is>
      </c>
      <c r="G1147" t="inlineStr">
        <is>
          <t>RE</t>
        </is>
      </c>
      <c r="H1147" s="12" t="n">
        <v>-3064.5</v>
      </c>
      <c r="I1147" s="17" t="n">
        <v>45945</v>
      </c>
      <c r="J1147" s="17" t="n">
        <v>45975</v>
      </c>
      <c r="K1147" t="inlineStr">
        <is>
          <t>0833/25</t>
        </is>
      </c>
    </row>
    <row r="1148">
      <c r="A1148" t="inlineStr">
        <is>
          <t>IC4420</t>
        </is>
      </c>
      <c r="B1148" t="inlineStr">
        <is>
          <t>NORDEX ENERGY SPAIN S A U</t>
        </is>
      </c>
      <c r="C1148" t="n">
        <v>2122100000</v>
      </c>
      <c r="D1148" t="inlineStr">
        <is>
          <t>Intercompany</t>
        </is>
      </c>
      <c r="E1148" t="n">
        <v>5037990</v>
      </c>
      <c r="F1148" t="inlineStr">
        <is>
          <t>4025008506</t>
        </is>
      </c>
      <c r="G1148" t="inlineStr">
        <is>
          <t>RE</t>
        </is>
      </c>
      <c r="H1148" s="12" t="n">
        <v>-71875.39999999999</v>
      </c>
      <c r="I1148" s="17" t="n">
        <v>45964</v>
      </c>
      <c r="J1148" s="17" t="n">
        <v>45994</v>
      </c>
      <c r="K1148" t="inlineStr">
        <is>
          <t>0850/25</t>
        </is>
      </c>
    </row>
    <row r="1149">
      <c r="A1149" t="inlineStr">
        <is>
          <t>IC4420</t>
        </is>
      </c>
      <c r="B1149" t="inlineStr">
        <is>
          <t>NORDEX ENERGY SPAIN S A U</t>
        </is>
      </c>
      <c r="C1149" t="n">
        <v>2122100000</v>
      </c>
      <c r="D1149" t="inlineStr">
        <is>
          <t>Intercompany</t>
        </is>
      </c>
      <c r="E1149" t="n">
        <v>5038012</v>
      </c>
      <c r="F1149" t="inlineStr">
        <is>
          <t>4025007131</t>
        </is>
      </c>
      <c r="G1149" t="inlineStr">
        <is>
          <t>RE</t>
        </is>
      </c>
      <c r="H1149" s="12" t="n">
        <v>-261095.82</v>
      </c>
      <c r="I1149" s="17" t="n">
        <v>45917</v>
      </c>
      <c r="J1149" s="17" t="n">
        <v>45947</v>
      </c>
      <c r="K1149" t="inlineStr">
        <is>
          <t>0748/25</t>
        </is>
      </c>
    </row>
    <row r="1150">
      <c r="A1150" t="inlineStr">
        <is>
          <t>IC4420</t>
        </is>
      </c>
      <c r="B1150" t="inlineStr">
        <is>
          <t>NORDEX ENERGY SPAIN S A U</t>
        </is>
      </c>
      <c r="C1150" t="n">
        <v>2122100000</v>
      </c>
      <c r="D1150" t="inlineStr">
        <is>
          <t>Intercompany</t>
        </is>
      </c>
      <c r="E1150" t="n">
        <v>5038027</v>
      </c>
      <c r="F1150" t="inlineStr">
        <is>
          <t>4025007134</t>
        </is>
      </c>
      <c r="G1150" t="inlineStr">
        <is>
          <t>RE</t>
        </is>
      </c>
      <c r="H1150" s="12" t="n">
        <v>-50449.71</v>
      </c>
      <c r="I1150" s="17" t="n">
        <v>45917</v>
      </c>
      <c r="J1150" s="17" t="n">
        <v>45947</v>
      </c>
      <c r="K1150" t="inlineStr">
        <is>
          <t>0751/25</t>
        </is>
      </c>
    </row>
    <row r="1151">
      <c r="A1151" t="inlineStr">
        <is>
          <t>IC4420</t>
        </is>
      </c>
      <c r="B1151" t="inlineStr">
        <is>
          <t>NORDEX ENERGY SPAIN S A U</t>
        </is>
      </c>
      <c r="C1151" t="n">
        <v>2122100000</v>
      </c>
      <c r="D1151" t="inlineStr">
        <is>
          <t>Intercompany</t>
        </is>
      </c>
      <c r="E1151" t="n">
        <v>5038169</v>
      </c>
      <c r="F1151" t="inlineStr">
        <is>
          <t>4024004779</t>
        </is>
      </c>
      <c r="G1151" t="inlineStr">
        <is>
          <t>RE</t>
        </is>
      </c>
      <c r="H1151" s="12" t="n">
        <v>-207104.45</v>
      </c>
      <c r="I1151" s="17" t="n">
        <v>45482</v>
      </c>
      <c r="J1151" s="17" t="n">
        <v>45512</v>
      </c>
      <c r="K1151" t="inlineStr">
        <is>
          <t>0567/24</t>
        </is>
      </c>
    </row>
    <row r="1152">
      <c r="A1152" t="inlineStr">
        <is>
          <t>IC4420</t>
        </is>
      </c>
      <c r="B1152" t="inlineStr">
        <is>
          <t>NORDEX ENERGY SPAIN S A U</t>
        </is>
      </c>
      <c r="C1152" t="n">
        <v>2122100000</v>
      </c>
      <c r="D1152" t="inlineStr">
        <is>
          <t>Intercompany</t>
        </is>
      </c>
      <c r="E1152" t="n">
        <v>5038171</v>
      </c>
      <c r="F1152" t="inlineStr">
        <is>
          <t>4024004771</t>
        </is>
      </c>
      <c r="G1152" t="inlineStr">
        <is>
          <t>RE</t>
        </is>
      </c>
      <c r="H1152" s="12" t="n">
        <v>-40856.24</v>
      </c>
      <c r="I1152" s="17" t="n">
        <v>45482</v>
      </c>
      <c r="J1152" s="17" t="n">
        <v>45512</v>
      </c>
      <c r="K1152" t="inlineStr">
        <is>
          <t>0567/24</t>
        </is>
      </c>
    </row>
    <row r="1153">
      <c r="A1153" t="inlineStr">
        <is>
          <t>IC4420</t>
        </is>
      </c>
      <c r="B1153" t="inlineStr">
        <is>
          <t>NORDEX ENERGY SPAIN S A U</t>
        </is>
      </c>
      <c r="C1153" t="n">
        <v>2122100000</v>
      </c>
      <c r="D1153" t="inlineStr">
        <is>
          <t>Intercompany</t>
        </is>
      </c>
      <c r="E1153" t="n">
        <v>5038172</v>
      </c>
      <c r="F1153" t="inlineStr">
        <is>
          <t>4025007934</t>
        </is>
      </c>
      <c r="G1153" t="inlineStr">
        <is>
          <t>RE</t>
        </is>
      </c>
      <c r="H1153" s="12" t="n">
        <v>-47184.61</v>
      </c>
      <c r="I1153" s="17" t="n">
        <v>45945</v>
      </c>
      <c r="J1153" s="17" t="n">
        <v>45975</v>
      </c>
      <c r="K1153" t="inlineStr">
        <is>
          <t>0830/25</t>
        </is>
      </c>
    </row>
    <row r="1154">
      <c r="A1154" t="inlineStr">
        <is>
          <t>IC4420</t>
        </is>
      </c>
      <c r="B1154" t="inlineStr">
        <is>
          <t>NORDEX ENERGY SPAIN S A U</t>
        </is>
      </c>
      <c r="C1154" t="n">
        <v>2122100000</v>
      </c>
      <c r="D1154" t="inlineStr">
        <is>
          <t>Intercompany</t>
        </is>
      </c>
      <c r="E1154" t="n">
        <v>5038173</v>
      </c>
      <c r="F1154" t="inlineStr">
        <is>
          <t>4025007936</t>
        </is>
      </c>
      <c r="G1154" t="inlineStr">
        <is>
          <t>RE</t>
        </is>
      </c>
      <c r="H1154" s="12" t="n">
        <v>-86843.32000000001</v>
      </c>
      <c r="I1154" s="17" t="n">
        <v>45945</v>
      </c>
      <c r="J1154" s="17" t="n">
        <v>45975</v>
      </c>
      <c r="K1154" t="inlineStr">
        <is>
          <t>0830/25</t>
        </is>
      </c>
    </row>
    <row r="1155">
      <c r="A1155" t="inlineStr">
        <is>
          <t>IC4420</t>
        </is>
      </c>
      <c r="B1155" t="inlineStr">
        <is>
          <t>NORDEX ENERGY SPAIN S A U</t>
        </is>
      </c>
      <c r="C1155" t="n">
        <v>2122100000</v>
      </c>
      <c r="D1155" t="inlineStr">
        <is>
          <t>Intercompany</t>
        </is>
      </c>
      <c r="E1155" t="n">
        <v>5038185</v>
      </c>
      <c r="F1155" t="inlineStr">
        <is>
          <t>4025008507</t>
        </is>
      </c>
      <c r="G1155" t="inlineStr">
        <is>
          <t>RE</t>
        </is>
      </c>
      <c r="H1155" s="12" t="n">
        <v>-4175.79</v>
      </c>
      <c r="I1155" s="17" t="n">
        <v>45964</v>
      </c>
      <c r="J1155" s="17" t="n">
        <v>45994</v>
      </c>
      <c r="K1155" t="inlineStr">
        <is>
          <t>0848/25</t>
        </is>
      </c>
    </row>
    <row r="1156">
      <c r="A1156" t="inlineStr">
        <is>
          <t>IC4420</t>
        </is>
      </c>
      <c r="B1156" t="inlineStr">
        <is>
          <t>NORDEX ENERGY SPAIN S A U</t>
        </is>
      </c>
      <c r="C1156" t="n">
        <v>2122100000</v>
      </c>
      <c r="D1156" t="inlineStr">
        <is>
          <t>Intercompany</t>
        </is>
      </c>
      <c r="E1156" t="n">
        <v>5038186</v>
      </c>
      <c r="F1156" t="inlineStr">
        <is>
          <t>4025008508</t>
        </is>
      </c>
      <c r="G1156" t="inlineStr">
        <is>
          <t>RE</t>
        </is>
      </c>
      <c r="H1156" s="12" t="n">
        <v>-4670.92</v>
      </c>
      <c r="I1156" s="17" t="n">
        <v>45964</v>
      </c>
      <c r="J1156" s="17" t="n">
        <v>45994</v>
      </c>
      <c r="K1156" t="inlineStr">
        <is>
          <t>0848/25</t>
        </is>
      </c>
    </row>
    <row r="1157">
      <c r="A1157" t="inlineStr">
        <is>
          <t>IC1000</t>
        </is>
      </c>
      <c r="B1157" t="inlineStr">
        <is>
          <t>NORDEX ENERGY SE &amp; CO KG</t>
        </is>
      </c>
      <c r="C1157" t="n">
        <v>2122100000</v>
      </c>
      <c r="D1157" t="inlineStr">
        <is>
          <t>Intercompany</t>
        </is>
      </c>
      <c r="E1157" t="n">
        <v>5038249</v>
      </c>
      <c r="F1157" t="inlineStr">
        <is>
          <t>340203</t>
        </is>
      </c>
      <c r="G1157" t="inlineStr">
        <is>
          <t>RE</t>
        </is>
      </c>
      <c r="H1157" s="12" t="n">
        <v>-1320.92</v>
      </c>
      <c r="I1157" s="17" t="n">
        <v>45775</v>
      </c>
      <c r="J1157" s="17" t="n">
        <v>45805</v>
      </c>
      <c r="K1157" t="inlineStr">
        <is>
          <t>0863/25</t>
        </is>
      </c>
    </row>
    <row r="1158">
      <c r="A1158" t="inlineStr">
        <is>
          <t>IC4420</t>
        </is>
      </c>
      <c r="B1158" t="inlineStr">
        <is>
          <t>NORDEX ENERGY SPAIN S A U</t>
        </is>
      </c>
      <c r="C1158" t="n">
        <v>2122100000</v>
      </c>
      <c r="D1158" t="inlineStr">
        <is>
          <t>Intercompany</t>
        </is>
      </c>
      <c r="E1158" t="n">
        <v>5038304</v>
      </c>
      <c r="F1158" t="inlineStr">
        <is>
          <t>4025008504</t>
        </is>
      </c>
      <c r="G1158" t="inlineStr">
        <is>
          <t>RE</t>
        </is>
      </c>
      <c r="H1158" s="12" t="n">
        <v>-1453.78</v>
      </c>
      <c r="I1158" s="17" t="n">
        <v>45964</v>
      </c>
      <c r="J1158" s="17" t="n">
        <v>45994</v>
      </c>
      <c r="K1158" t="inlineStr">
        <is>
          <t>0851/25</t>
        </is>
      </c>
    </row>
    <row r="1159">
      <c r="A1159" t="inlineStr">
        <is>
          <t>IC4420</t>
        </is>
      </c>
      <c r="B1159" t="inlineStr">
        <is>
          <t>NORDEX ENERGY SPAIN S A U</t>
        </is>
      </c>
      <c r="C1159" t="n">
        <v>2122100000</v>
      </c>
      <c r="D1159" t="inlineStr">
        <is>
          <t>Intercompany</t>
        </is>
      </c>
      <c r="E1159" t="n">
        <v>5038305</v>
      </c>
      <c r="F1159" t="inlineStr">
        <is>
          <t>4025008505</t>
        </is>
      </c>
      <c r="G1159" t="inlineStr">
        <is>
          <t>RE</t>
        </is>
      </c>
      <c r="H1159" s="12" t="n">
        <v>-5739.15</v>
      </c>
      <c r="I1159" s="17" t="n">
        <v>45964</v>
      </c>
      <c r="J1159" s="17" t="n">
        <v>45994</v>
      </c>
      <c r="K1159" t="inlineStr">
        <is>
          <t>0851/25</t>
        </is>
      </c>
    </row>
    <row r="1160">
      <c r="A1160" t="inlineStr">
        <is>
          <t>IC4420</t>
        </is>
      </c>
      <c r="B1160" t="inlineStr">
        <is>
          <t>NORDEX ENERGY SPAIN S A U</t>
        </is>
      </c>
      <c r="C1160" t="n">
        <v>2122100000</v>
      </c>
      <c r="D1160" t="inlineStr">
        <is>
          <t>Intercompany</t>
        </is>
      </c>
      <c r="E1160" t="n">
        <v>5038307</v>
      </c>
      <c r="F1160" t="inlineStr">
        <is>
          <t>4025007123</t>
        </is>
      </c>
      <c r="G1160" t="inlineStr">
        <is>
          <t>RE</t>
        </is>
      </c>
      <c r="H1160" s="12" t="n">
        <v>-156335.18</v>
      </c>
      <c r="I1160" s="17" t="n">
        <v>45917</v>
      </c>
      <c r="J1160" s="17" t="n">
        <v>45947</v>
      </c>
      <c r="K1160" t="inlineStr">
        <is>
          <t>0742/25</t>
        </is>
      </c>
    </row>
    <row r="1161">
      <c r="A1161" t="inlineStr">
        <is>
          <t>IC1000</t>
        </is>
      </c>
      <c r="B1161" t="inlineStr">
        <is>
          <t>NORDEX ENERGY SE &amp; CO KG</t>
        </is>
      </c>
      <c r="C1161" t="n">
        <v>2122100000</v>
      </c>
      <c r="D1161" t="inlineStr">
        <is>
          <t>Intercompany</t>
        </is>
      </c>
      <c r="E1161" t="n">
        <v>5038458</v>
      </c>
      <c r="F1161" t="inlineStr">
        <is>
          <t>300373</t>
        </is>
      </c>
      <c r="G1161" t="inlineStr">
        <is>
          <t>RE</t>
        </is>
      </c>
      <c r="H1161" s="12" t="n">
        <v>-21604.55</v>
      </c>
      <c r="I1161" s="17" t="n">
        <v>45505</v>
      </c>
      <c r="J1161" s="17" t="n">
        <v>45535</v>
      </c>
      <c r="K1161" t="inlineStr">
        <is>
          <t>0692/24</t>
        </is>
      </c>
    </row>
    <row r="1162">
      <c r="A1162" t="inlineStr">
        <is>
          <t>IC4420</t>
        </is>
      </c>
      <c r="B1162" t="inlineStr">
        <is>
          <t>NORDEX ENERGY SPAIN S A U</t>
        </is>
      </c>
      <c r="C1162" t="n">
        <v>2122100000</v>
      </c>
      <c r="D1162" t="inlineStr">
        <is>
          <t>Intercompany</t>
        </is>
      </c>
      <c r="E1162" t="n">
        <v>5038516</v>
      </c>
      <c r="F1162" t="inlineStr">
        <is>
          <t>4025008493</t>
        </is>
      </c>
      <c r="G1162" t="inlineStr">
        <is>
          <t>RE</t>
        </is>
      </c>
      <c r="H1162" s="12" t="n">
        <v>-10418.49</v>
      </c>
      <c r="I1162" s="17" t="n">
        <v>45964</v>
      </c>
      <c r="J1162" s="17" t="n">
        <v>45994</v>
      </c>
      <c r="K1162" t="inlineStr">
        <is>
          <t>0860/25</t>
        </is>
      </c>
    </row>
    <row r="1163">
      <c r="A1163" t="inlineStr">
        <is>
          <t>IC4420</t>
        </is>
      </c>
      <c r="B1163" t="inlineStr">
        <is>
          <t>NORDEX ENERGY SPAIN S A U</t>
        </is>
      </c>
      <c r="C1163" t="n">
        <v>2122100000</v>
      </c>
      <c r="D1163" t="inlineStr">
        <is>
          <t>Intercompany</t>
        </is>
      </c>
      <c r="E1163" t="n">
        <v>5038711</v>
      </c>
      <c r="F1163" t="inlineStr">
        <is>
          <t>4025008571</t>
        </is>
      </c>
      <c r="G1163" t="inlineStr">
        <is>
          <t>RE</t>
        </is>
      </c>
      <c r="H1163" s="12" t="n">
        <v>-573091.39</v>
      </c>
      <c r="I1163" s="17" t="n">
        <v>45966</v>
      </c>
      <c r="J1163" s="17" t="n">
        <v>45996</v>
      </c>
      <c r="K1163" t="inlineStr">
        <is>
          <t>0865/25</t>
        </is>
      </c>
    </row>
    <row r="1164">
      <c r="A1164" t="inlineStr">
        <is>
          <t>IC4420</t>
        </is>
      </c>
      <c r="B1164" t="inlineStr">
        <is>
          <t>NORDEX ENERGY SPAIN S A U</t>
        </is>
      </c>
      <c r="C1164" t="n">
        <v>2122100000</v>
      </c>
      <c r="D1164" t="inlineStr">
        <is>
          <t>Intercompany</t>
        </is>
      </c>
      <c r="E1164" t="n">
        <v>5038748</v>
      </c>
      <c r="F1164" t="inlineStr">
        <is>
          <t>4025006844</t>
        </is>
      </c>
      <c r="G1164" t="inlineStr">
        <is>
          <t>RE</t>
        </is>
      </c>
      <c r="H1164" s="12" t="n">
        <v>-78173.66</v>
      </c>
      <c r="I1164" s="17" t="n">
        <v>45915</v>
      </c>
      <c r="J1164" s="17" t="n">
        <v>45945</v>
      </c>
      <c r="K1164" t="inlineStr">
        <is>
          <t>0730/25</t>
        </is>
      </c>
    </row>
    <row r="1165">
      <c r="A1165" t="inlineStr">
        <is>
          <t>IC5000</t>
        </is>
      </c>
      <c r="B1165" t="inlineStr">
        <is>
          <t>NORDEX SE</t>
        </is>
      </c>
      <c r="C1165" t="n">
        <v>2122100000</v>
      </c>
      <c r="D1165" t="inlineStr">
        <is>
          <t>Intercompany</t>
        </is>
      </c>
      <c r="E1165" t="n">
        <v>5038796</v>
      </c>
      <c r="F1165" t="inlineStr">
        <is>
          <t>610134</t>
        </is>
      </c>
      <c r="G1165" t="inlineStr">
        <is>
          <t>KR</t>
        </is>
      </c>
      <c r="H1165" s="12" t="n">
        <v>-15728838.58</v>
      </c>
      <c r="I1165" s="17" t="n">
        <v>45982</v>
      </c>
      <c r="J1165" s="17" t="n">
        <v>45982</v>
      </c>
      <c r="K1165" t="inlineStr">
        <is>
          <t>Fatura do fornecedor NORDEX SE 610134</t>
        </is>
      </c>
    </row>
    <row r="1166">
      <c r="A1166" t="inlineStr">
        <is>
          <t>IC4420</t>
        </is>
      </c>
      <c r="B1166" t="inlineStr">
        <is>
          <t>NORDEX ENERGY SPAIN S A U</t>
        </is>
      </c>
      <c r="C1166" t="n">
        <v>2122100000</v>
      </c>
      <c r="D1166" t="inlineStr">
        <is>
          <t>Intercompany</t>
        </is>
      </c>
      <c r="E1166" t="n">
        <v>5038800</v>
      </c>
      <c r="F1166" t="inlineStr">
        <is>
          <t>4025006848</t>
        </is>
      </c>
      <c r="G1166" t="inlineStr">
        <is>
          <t>RE</t>
        </is>
      </c>
      <c r="H1166" s="12" t="n">
        <v>-585.89</v>
      </c>
      <c r="I1166" s="17" t="n">
        <v>45915</v>
      </c>
      <c r="J1166" s="17" t="n">
        <v>45945</v>
      </c>
      <c r="K1166" t="inlineStr">
        <is>
          <t>0732/25</t>
        </is>
      </c>
    </row>
    <row r="1167">
      <c r="A1167" t="inlineStr">
        <is>
          <t>IC4420</t>
        </is>
      </c>
      <c r="B1167" t="inlineStr">
        <is>
          <t>NORDEX ENERGY SPAIN S A U</t>
        </is>
      </c>
      <c r="C1167" t="n">
        <v>2122100000</v>
      </c>
      <c r="D1167" t="inlineStr">
        <is>
          <t>Intercompany</t>
        </is>
      </c>
      <c r="E1167" t="n">
        <v>5038806</v>
      </c>
      <c r="F1167" t="inlineStr">
        <is>
          <t>4025008706</t>
        </is>
      </c>
      <c r="G1167" t="inlineStr">
        <is>
          <t>RE</t>
        </is>
      </c>
      <c r="H1167" s="12" t="n">
        <v>-3283.21</v>
      </c>
      <c r="I1167" s="17" t="n">
        <v>45972</v>
      </c>
      <c r="J1167" s="17" t="n">
        <v>46002</v>
      </c>
      <c r="K1167" t="inlineStr">
        <is>
          <t>0866/25</t>
        </is>
      </c>
    </row>
    <row r="1168">
      <c r="A1168" t="inlineStr">
        <is>
          <t>IC4420</t>
        </is>
      </c>
      <c r="B1168" t="inlineStr">
        <is>
          <t>NORDEX ENERGY SPAIN S A U</t>
        </is>
      </c>
      <c r="C1168" t="n">
        <v>2122100000</v>
      </c>
      <c r="D1168" t="inlineStr">
        <is>
          <t>Intercompany</t>
        </is>
      </c>
      <c r="E1168" t="n">
        <v>5038808</v>
      </c>
      <c r="F1168" t="inlineStr">
        <is>
          <t>4025008626</t>
        </is>
      </c>
      <c r="G1168" t="inlineStr">
        <is>
          <t>RE</t>
        </is>
      </c>
      <c r="H1168" s="12" t="n">
        <v>-5757.17</v>
      </c>
      <c r="I1168" s="17" t="n">
        <v>45967</v>
      </c>
      <c r="J1168" s="17" t="n">
        <v>45997</v>
      </c>
      <c r="K1168" t="inlineStr">
        <is>
          <t>0858/25</t>
        </is>
      </c>
    </row>
    <row r="1169">
      <c r="A1169" t="inlineStr">
        <is>
          <t>IC4420</t>
        </is>
      </c>
      <c r="B1169" t="inlineStr">
        <is>
          <t>NORDEX ENERGY SPAIN S A U</t>
        </is>
      </c>
      <c r="C1169" t="n">
        <v>2122100000</v>
      </c>
      <c r="D1169" t="inlineStr">
        <is>
          <t>Intercompany</t>
        </is>
      </c>
      <c r="E1169" t="n">
        <v>5038809</v>
      </c>
      <c r="F1169" t="inlineStr">
        <is>
          <t>4018000182</t>
        </is>
      </c>
      <c r="G1169" t="inlineStr">
        <is>
          <t>RE</t>
        </is>
      </c>
      <c r="H1169" s="12" t="n">
        <v>-154618.29</v>
      </c>
      <c r="I1169" s="17" t="n">
        <v>45929</v>
      </c>
      <c r="J1169" s="17" t="n">
        <v>45959</v>
      </c>
      <c r="K1169" t="inlineStr">
        <is>
          <t>0729/25</t>
        </is>
      </c>
    </row>
    <row r="1170">
      <c r="A1170" t="inlineStr">
        <is>
          <t>IC4420</t>
        </is>
      </c>
      <c r="B1170" t="inlineStr">
        <is>
          <t>NORDEX ENERGY SPAIN S A U</t>
        </is>
      </c>
      <c r="C1170" t="n">
        <v>2122100000</v>
      </c>
      <c r="D1170" t="inlineStr">
        <is>
          <t>Intercompany</t>
        </is>
      </c>
      <c r="E1170" t="n">
        <v>5038812</v>
      </c>
      <c r="F1170" t="inlineStr">
        <is>
          <t>4025006851</t>
        </is>
      </c>
      <c r="G1170" t="inlineStr">
        <is>
          <t>RE</t>
        </is>
      </c>
      <c r="H1170" s="12" t="n">
        <v>-1018.9</v>
      </c>
      <c r="I1170" s="17" t="n">
        <v>45915</v>
      </c>
      <c r="J1170" s="17" t="n">
        <v>45945</v>
      </c>
      <c r="K1170" t="inlineStr">
        <is>
          <t>0732/25</t>
        </is>
      </c>
    </row>
    <row r="1171">
      <c r="A1171" t="inlineStr">
        <is>
          <t>IC4420</t>
        </is>
      </c>
      <c r="B1171" t="inlineStr">
        <is>
          <t>NORDEX ENERGY SPAIN S A U</t>
        </is>
      </c>
      <c r="C1171" t="n">
        <v>2122100000</v>
      </c>
      <c r="D1171" t="inlineStr">
        <is>
          <t>Intercompany</t>
        </is>
      </c>
      <c r="E1171" t="n">
        <v>5038814</v>
      </c>
      <c r="F1171" t="inlineStr">
        <is>
          <t>4025008496</t>
        </is>
      </c>
      <c r="G1171" t="inlineStr">
        <is>
          <t>RE</t>
        </is>
      </c>
      <c r="H1171" s="12" t="n">
        <v>-8316.059999999999</v>
      </c>
      <c r="I1171" s="17" t="n">
        <v>45964</v>
      </c>
      <c r="J1171" s="17" t="n">
        <v>45994</v>
      </c>
      <c r="K1171" t="inlineStr">
        <is>
          <t>0861/25</t>
        </is>
      </c>
    </row>
    <row r="1172">
      <c r="A1172" t="inlineStr">
        <is>
          <t>IC4420</t>
        </is>
      </c>
      <c r="B1172" t="inlineStr">
        <is>
          <t>NORDEX ENERGY SPAIN S A U</t>
        </is>
      </c>
      <c r="C1172" t="n">
        <v>2122100000</v>
      </c>
      <c r="D1172" t="inlineStr">
        <is>
          <t>Intercompany</t>
        </is>
      </c>
      <c r="E1172" t="n">
        <v>5038821</v>
      </c>
      <c r="F1172" t="inlineStr">
        <is>
          <t>4024004774</t>
        </is>
      </c>
      <c r="G1172" t="inlineStr">
        <is>
          <t>RE</t>
        </is>
      </c>
      <c r="H1172" s="12" t="n">
        <v>-8098.95</v>
      </c>
      <c r="I1172" s="17" t="n">
        <v>45482</v>
      </c>
      <c r="J1172" s="17" t="n">
        <v>45512</v>
      </c>
      <c r="K1172" t="inlineStr">
        <is>
          <t>0597/24</t>
        </is>
      </c>
    </row>
    <row r="1173">
      <c r="A1173" t="inlineStr">
        <is>
          <t>IC4420</t>
        </is>
      </c>
      <c r="B1173" t="inlineStr">
        <is>
          <t>NORDEX ENERGY SPAIN S A U</t>
        </is>
      </c>
      <c r="C1173" t="n">
        <v>2122100000</v>
      </c>
      <c r="D1173" t="inlineStr">
        <is>
          <t>Intercompany</t>
        </is>
      </c>
      <c r="E1173" t="n">
        <v>5038823</v>
      </c>
      <c r="F1173" t="inlineStr">
        <is>
          <t>4024004772</t>
        </is>
      </c>
      <c r="G1173" t="inlineStr">
        <is>
          <t>RE</t>
        </is>
      </c>
      <c r="H1173" s="12" t="n">
        <v>-40218.94</v>
      </c>
      <c r="I1173" s="17" t="n">
        <v>45482</v>
      </c>
      <c r="J1173" s="17" t="n">
        <v>45512</v>
      </c>
      <c r="K1173" t="inlineStr">
        <is>
          <t>0597/24</t>
        </is>
      </c>
    </row>
    <row r="1174">
      <c r="A1174" t="inlineStr">
        <is>
          <t>IC4420</t>
        </is>
      </c>
      <c r="B1174" t="inlineStr">
        <is>
          <t>NORDEX ENERGY SPAIN S A U</t>
        </is>
      </c>
      <c r="C1174" t="n">
        <v>2122100000</v>
      </c>
      <c r="D1174" t="inlineStr">
        <is>
          <t>Intercompany</t>
        </is>
      </c>
      <c r="E1174" t="n">
        <v>5038824</v>
      </c>
      <c r="F1174" t="inlineStr">
        <is>
          <t>4024004776</t>
        </is>
      </c>
      <c r="G1174" t="inlineStr">
        <is>
          <t>RE</t>
        </is>
      </c>
      <c r="H1174" s="12" t="n">
        <v>-76881.92999999999</v>
      </c>
      <c r="I1174" s="17" t="n">
        <v>45482</v>
      </c>
      <c r="J1174" s="17" t="n">
        <v>45512</v>
      </c>
      <c r="K1174" t="inlineStr">
        <is>
          <t>0597/24</t>
        </is>
      </c>
    </row>
    <row r="1175">
      <c r="A1175" t="inlineStr">
        <is>
          <t>IC4420</t>
        </is>
      </c>
      <c r="B1175" t="inlineStr">
        <is>
          <t>NORDEX ENERGY SPAIN S A U</t>
        </is>
      </c>
      <c r="C1175" t="n">
        <v>2122100000</v>
      </c>
      <c r="D1175" t="inlineStr">
        <is>
          <t>Intercompany</t>
        </is>
      </c>
      <c r="E1175" t="n">
        <v>5038825</v>
      </c>
      <c r="F1175" t="inlineStr">
        <is>
          <t>4024004775</t>
        </is>
      </c>
      <c r="G1175" t="inlineStr">
        <is>
          <t>RE</t>
        </is>
      </c>
      <c r="H1175" s="12" t="n">
        <v>-109824.97</v>
      </c>
      <c r="I1175" s="17" t="n">
        <v>45482</v>
      </c>
      <c r="J1175" s="17" t="n">
        <v>45512</v>
      </c>
      <c r="K1175" t="inlineStr">
        <is>
          <t>0597/24</t>
        </is>
      </c>
    </row>
    <row r="1176">
      <c r="A1176" t="inlineStr">
        <is>
          <t>IC4420</t>
        </is>
      </c>
      <c r="B1176" t="inlineStr">
        <is>
          <t>NORDEX ENERGY SPAIN S A U</t>
        </is>
      </c>
      <c r="C1176" t="n">
        <v>2122100000</v>
      </c>
      <c r="D1176" t="inlineStr">
        <is>
          <t>Intercompany</t>
        </is>
      </c>
      <c r="E1176" t="n">
        <v>5038827</v>
      </c>
      <c r="F1176" t="inlineStr">
        <is>
          <t>4025008616</t>
        </is>
      </c>
      <c r="G1176" t="inlineStr">
        <is>
          <t>RE</t>
        </is>
      </c>
      <c r="H1176" s="12" t="n">
        <v>-3344910.68</v>
      </c>
      <c r="I1176" s="17" t="n">
        <v>45967</v>
      </c>
      <c r="J1176" s="17" t="n">
        <v>45997</v>
      </c>
      <c r="K1176" t="inlineStr">
        <is>
          <t>0801/25</t>
        </is>
      </c>
    </row>
    <row r="1177">
      <c r="A1177" t="inlineStr">
        <is>
          <t>IC4420</t>
        </is>
      </c>
      <c r="B1177" t="inlineStr">
        <is>
          <t>NORDEX ENERGY SPAIN S A U</t>
        </is>
      </c>
      <c r="C1177" t="n">
        <v>2122100000</v>
      </c>
      <c r="D1177" t="inlineStr">
        <is>
          <t>Intercompany</t>
        </is>
      </c>
      <c r="E1177" t="n">
        <v>5038829</v>
      </c>
      <c r="F1177" t="inlineStr">
        <is>
          <t>4025008617</t>
        </is>
      </c>
      <c r="G1177" t="inlineStr">
        <is>
          <t>RE</t>
        </is>
      </c>
      <c r="H1177" s="12" t="n">
        <v>-1672455.34</v>
      </c>
      <c r="I1177" s="17" t="n">
        <v>45967</v>
      </c>
      <c r="J1177" s="17" t="n">
        <v>45997</v>
      </c>
      <c r="K1177" t="inlineStr">
        <is>
          <t>0801/25</t>
        </is>
      </c>
    </row>
    <row r="1178">
      <c r="A1178" t="inlineStr">
        <is>
          <t>IC4420</t>
        </is>
      </c>
      <c r="B1178" t="inlineStr">
        <is>
          <t>NORDEX ENERGY SPAIN S A U</t>
        </is>
      </c>
      <c r="C1178" t="n">
        <v>2122100000</v>
      </c>
      <c r="D1178" t="inlineStr">
        <is>
          <t>Intercompany</t>
        </is>
      </c>
      <c r="E1178" t="n">
        <v>5038870</v>
      </c>
      <c r="F1178" t="inlineStr">
        <is>
          <t>4025008306</t>
        </is>
      </c>
      <c r="G1178" t="inlineStr">
        <is>
          <t>RE</t>
        </is>
      </c>
      <c r="H1178" s="12" t="n">
        <v>-559598.4</v>
      </c>
      <c r="I1178" s="17" t="n">
        <v>45958</v>
      </c>
      <c r="J1178" s="17" t="n">
        <v>45988</v>
      </c>
      <c r="K1178" t="inlineStr">
        <is>
          <t>0828/25</t>
        </is>
      </c>
    </row>
    <row r="1179">
      <c r="A1179" t="inlineStr">
        <is>
          <t>IC4420</t>
        </is>
      </c>
      <c r="B1179" t="inlineStr">
        <is>
          <t>NORDEX ENERGY SPAIN S A U</t>
        </is>
      </c>
      <c r="C1179" t="n">
        <v>2122100000</v>
      </c>
      <c r="D1179" t="inlineStr">
        <is>
          <t>Intercompany</t>
        </is>
      </c>
      <c r="E1179" t="n">
        <v>5038887</v>
      </c>
      <c r="F1179" t="inlineStr">
        <is>
          <t>4025006845</t>
        </is>
      </c>
      <c r="G1179" t="inlineStr">
        <is>
          <t>RE</t>
        </is>
      </c>
      <c r="H1179" s="12" t="n">
        <v>-148664.31</v>
      </c>
      <c r="I1179" s="17" t="n">
        <v>45915</v>
      </c>
      <c r="J1179" s="17" t="n">
        <v>45945</v>
      </c>
      <c r="K1179" t="inlineStr">
        <is>
          <t>0728/25</t>
        </is>
      </c>
    </row>
    <row r="1180">
      <c r="A1180" t="inlineStr">
        <is>
          <t>IC4420</t>
        </is>
      </c>
      <c r="B1180" t="inlineStr">
        <is>
          <t>NORDEX ENERGY SPAIN S A U</t>
        </is>
      </c>
      <c r="C1180" t="n">
        <v>2122100000</v>
      </c>
      <c r="D1180" t="inlineStr">
        <is>
          <t>Intercompany</t>
        </is>
      </c>
      <c r="E1180" t="n">
        <v>5038911</v>
      </c>
      <c r="F1180" t="inlineStr">
        <is>
          <t>4025008461</t>
        </is>
      </c>
      <c r="G1180" t="inlineStr">
        <is>
          <t>RE</t>
        </is>
      </c>
      <c r="H1180" s="12" t="n">
        <v>-6138.61</v>
      </c>
      <c r="I1180" s="17" t="n">
        <v>45960</v>
      </c>
      <c r="J1180" s="17" t="n">
        <v>45990</v>
      </c>
      <c r="K1180" t="inlineStr">
        <is>
          <t>0834/25</t>
        </is>
      </c>
    </row>
    <row r="1181">
      <c r="A1181" t="inlineStr">
        <is>
          <t>IC4420</t>
        </is>
      </c>
      <c r="B1181" t="inlineStr">
        <is>
          <t>NORDEX ENERGY SPAIN S A U</t>
        </is>
      </c>
      <c r="C1181" t="n">
        <v>2122100000</v>
      </c>
      <c r="D1181" t="inlineStr">
        <is>
          <t>Intercompany</t>
        </is>
      </c>
      <c r="E1181" t="n">
        <v>5038920</v>
      </c>
      <c r="F1181" t="inlineStr">
        <is>
          <t>4024004778</t>
        </is>
      </c>
      <c r="G1181" t="inlineStr">
        <is>
          <t>RE</t>
        </is>
      </c>
      <c r="H1181" s="12" t="n">
        <v>-52740.86</v>
      </c>
      <c r="I1181" s="17" t="n">
        <v>45482</v>
      </c>
      <c r="J1181" s="17" t="n">
        <v>45512</v>
      </c>
      <c r="K1181" t="inlineStr">
        <is>
          <t>0563/24</t>
        </is>
      </c>
    </row>
    <row r="1182">
      <c r="A1182" t="inlineStr">
        <is>
          <t>IC4420</t>
        </is>
      </c>
      <c r="B1182" t="inlineStr">
        <is>
          <t>NORDEX ENERGY SPAIN S A U</t>
        </is>
      </c>
      <c r="C1182" t="n">
        <v>2122100000</v>
      </c>
      <c r="D1182" t="inlineStr">
        <is>
          <t>Intercompany</t>
        </is>
      </c>
      <c r="E1182" t="n">
        <v>5038924</v>
      </c>
      <c r="F1182" t="inlineStr">
        <is>
          <t>4025008497</t>
        </is>
      </c>
      <c r="G1182" t="inlineStr">
        <is>
          <t>RE</t>
        </is>
      </c>
      <c r="H1182" s="12" t="n">
        <v>-113.83</v>
      </c>
      <c r="I1182" s="17" t="n">
        <v>45964</v>
      </c>
      <c r="J1182" s="17" t="n">
        <v>45994</v>
      </c>
      <c r="K1182" t="inlineStr">
        <is>
          <t>0862/25</t>
        </is>
      </c>
    </row>
    <row r="1183">
      <c r="A1183" t="inlineStr">
        <is>
          <t>IC1000</t>
        </is>
      </c>
      <c r="B1183" t="inlineStr">
        <is>
          <t>NORDEX ENERGY SE &amp; CO KG</t>
        </is>
      </c>
      <c r="C1183" t="n">
        <v>2122100000</v>
      </c>
      <c r="D1183" t="inlineStr">
        <is>
          <t>Intercompany</t>
        </is>
      </c>
      <c r="E1183" t="n">
        <v>5038942</v>
      </c>
      <c r="F1183" t="inlineStr">
        <is>
          <t>369959</t>
        </is>
      </c>
      <c r="G1183" t="inlineStr">
        <is>
          <t>RE</t>
        </is>
      </c>
      <c r="H1183" s="12" t="n">
        <v>-150964.03</v>
      </c>
      <c r="I1183" s="17" t="n">
        <v>45967</v>
      </c>
      <c r="J1183" s="17" t="n">
        <v>45997</v>
      </c>
      <c r="K1183" t="inlineStr">
        <is>
          <t>0868/25</t>
        </is>
      </c>
    </row>
    <row r="1184">
      <c r="A1184" t="inlineStr">
        <is>
          <t>IC1000</t>
        </is>
      </c>
      <c r="B1184" t="inlineStr">
        <is>
          <t>NORDEX ENERGY SE &amp; CO KG</t>
        </is>
      </c>
      <c r="C1184" t="n">
        <v>2122100000</v>
      </c>
      <c r="D1184" t="inlineStr">
        <is>
          <t>Intercompany</t>
        </is>
      </c>
      <c r="E1184" t="n">
        <v>5039060</v>
      </c>
      <c r="F1184" t="inlineStr">
        <is>
          <t>4012407340</t>
        </is>
      </c>
      <c r="G1184" t="inlineStr">
        <is>
          <t>RE</t>
        </is>
      </c>
      <c r="H1184" s="12" t="n">
        <v>-1552420.84</v>
      </c>
      <c r="I1184" s="17" t="n">
        <v>45533</v>
      </c>
      <c r="J1184" s="17" t="n">
        <v>45563</v>
      </c>
      <c r="K1184" t="inlineStr">
        <is>
          <t>0710/24</t>
        </is>
      </c>
    </row>
    <row r="1185">
      <c r="A1185" t="inlineStr">
        <is>
          <t>IC5000</t>
        </is>
      </c>
      <c r="B1185" t="inlineStr">
        <is>
          <t>NORDEX SE</t>
        </is>
      </c>
      <c r="C1185" t="n">
        <v>2122100000</v>
      </c>
      <c r="D1185" t="inlineStr">
        <is>
          <t>Intercompany</t>
        </is>
      </c>
      <c r="E1185" t="n">
        <v>5039096</v>
      </c>
      <c r="F1185" t="inlineStr">
        <is>
          <t>608728</t>
        </is>
      </c>
      <c r="G1185" t="inlineStr">
        <is>
          <t>KR</t>
        </is>
      </c>
      <c r="H1185" s="12" t="n">
        <v>-7704042.64</v>
      </c>
      <c r="I1185" s="17" t="n">
        <v>45560</v>
      </c>
      <c r="J1185" s="17" t="n">
        <v>45560</v>
      </c>
      <c r="K1185" t="inlineStr">
        <is>
          <t>Management Fee Q3.2024 - 608728</t>
        </is>
      </c>
    </row>
    <row r="1186">
      <c r="A1186" t="inlineStr">
        <is>
          <t>IC4420</t>
        </is>
      </c>
      <c r="B1186" t="inlineStr">
        <is>
          <t>NORDEX ENERGY SPAIN S A U</t>
        </is>
      </c>
      <c r="C1186" t="n">
        <v>2122100000</v>
      </c>
      <c r="D1186" t="inlineStr">
        <is>
          <t>Intercompany</t>
        </is>
      </c>
      <c r="E1186" t="n">
        <v>5039163</v>
      </c>
      <c r="F1186" t="inlineStr">
        <is>
          <t>4025006766</t>
        </is>
      </c>
      <c r="G1186" t="inlineStr">
        <is>
          <t>RE</t>
        </is>
      </c>
      <c r="H1186" s="12" t="n">
        <v>-1012210.04</v>
      </c>
      <c r="I1186" s="17" t="n">
        <v>45911</v>
      </c>
      <c r="J1186" s="17" t="n">
        <v>45941</v>
      </c>
      <c r="K1186" t="inlineStr">
        <is>
          <t>0764/25</t>
        </is>
      </c>
    </row>
    <row r="1187">
      <c r="A1187" t="inlineStr">
        <is>
          <t>IC4420</t>
        </is>
      </c>
      <c r="B1187" t="inlineStr">
        <is>
          <t>NORDEX ENERGY SPAIN S A U</t>
        </is>
      </c>
      <c r="C1187" t="n">
        <v>2122100000</v>
      </c>
      <c r="D1187" t="inlineStr">
        <is>
          <t>Intercompany</t>
        </is>
      </c>
      <c r="E1187" t="n">
        <v>5039167</v>
      </c>
      <c r="F1187" t="inlineStr">
        <is>
          <t>4025006849</t>
        </is>
      </c>
      <c r="G1187" t="inlineStr">
        <is>
          <t>RE</t>
        </is>
      </c>
      <c r="H1187" s="12" t="n">
        <v>-947.33</v>
      </c>
      <c r="I1187" s="17" t="n">
        <v>45915</v>
      </c>
      <c r="J1187" s="17" t="n">
        <v>45945</v>
      </c>
      <c r="K1187" t="inlineStr">
        <is>
          <t>0731/25</t>
        </is>
      </c>
    </row>
    <row r="1188">
      <c r="A1188" t="inlineStr">
        <is>
          <t>IC4420</t>
        </is>
      </c>
      <c r="B1188" t="inlineStr">
        <is>
          <t>NORDEX ENERGY SPAIN S A U</t>
        </is>
      </c>
      <c r="C1188" t="n">
        <v>2122100000</v>
      </c>
      <c r="D1188" t="inlineStr">
        <is>
          <t>Intercompany</t>
        </is>
      </c>
      <c r="E1188" t="n">
        <v>5039169</v>
      </c>
      <c r="F1188" t="inlineStr">
        <is>
          <t>4025006767</t>
        </is>
      </c>
      <c r="G1188" t="inlineStr">
        <is>
          <t>RE</t>
        </is>
      </c>
      <c r="H1188" s="12" t="n">
        <v>-1012210.04</v>
      </c>
      <c r="I1188" s="17" t="n">
        <v>45911</v>
      </c>
      <c r="J1188" s="17" t="n">
        <v>45941</v>
      </c>
      <c r="K1188" t="inlineStr">
        <is>
          <t>0763/25</t>
        </is>
      </c>
    </row>
    <row r="1189">
      <c r="A1189" t="inlineStr">
        <is>
          <t>IC4420</t>
        </is>
      </c>
      <c r="B1189" t="inlineStr">
        <is>
          <t>NORDEX ENERGY SPAIN S A U</t>
        </is>
      </c>
      <c r="C1189" t="n">
        <v>2122100000</v>
      </c>
      <c r="D1189" t="inlineStr">
        <is>
          <t>Intercompany</t>
        </is>
      </c>
      <c r="E1189" t="n">
        <v>5039275</v>
      </c>
      <c r="F1189" t="inlineStr">
        <is>
          <t>4025008271</t>
        </is>
      </c>
      <c r="G1189" t="inlineStr">
        <is>
          <t>RE</t>
        </is>
      </c>
      <c r="H1189" s="12" t="n">
        <v>-30389.09</v>
      </c>
      <c r="I1189" s="17" t="n">
        <v>45957</v>
      </c>
      <c r="J1189" s="17" t="n">
        <v>45987</v>
      </c>
      <c r="K1189" t="inlineStr">
        <is>
          <t>0822/25</t>
        </is>
      </c>
    </row>
    <row r="1190">
      <c r="A1190" t="inlineStr">
        <is>
          <t>IC4420</t>
        </is>
      </c>
      <c r="B1190" t="inlineStr">
        <is>
          <t>NORDEX ENERGY SPAIN S A U</t>
        </is>
      </c>
      <c r="C1190" t="n">
        <v>2122100000</v>
      </c>
      <c r="D1190" t="inlineStr">
        <is>
          <t>Intercompany</t>
        </is>
      </c>
      <c r="E1190" t="n">
        <v>5039280</v>
      </c>
      <c r="F1190" t="inlineStr">
        <is>
          <t>4018000251</t>
        </is>
      </c>
      <c r="G1190" t="inlineStr">
        <is>
          <t>RE</t>
        </is>
      </c>
      <c r="H1190" s="12" t="n">
        <v>-1713330.46</v>
      </c>
      <c r="I1190" s="17" t="n">
        <v>45988</v>
      </c>
      <c r="J1190" s="17" t="n">
        <v>46018</v>
      </c>
      <c r="K1190" t="inlineStr">
        <is>
          <t>0815/25</t>
        </is>
      </c>
    </row>
    <row r="1191">
      <c r="A1191" t="inlineStr">
        <is>
          <t>IC4420</t>
        </is>
      </c>
      <c r="B1191" t="inlineStr">
        <is>
          <t>NORDEX ENERGY SPAIN S A U</t>
        </is>
      </c>
      <c r="C1191" t="n">
        <v>2122100000</v>
      </c>
      <c r="D1191" t="inlineStr">
        <is>
          <t>Intercompany</t>
        </is>
      </c>
      <c r="E1191" t="n">
        <v>5039316</v>
      </c>
      <c r="F1191" t="inlineStr">
        <is>
          <t>4025008262</t>
        </is>
      </c>
      <c r="G1191" t="inlineStr">
        <is>
          <t>RE</t>
        </is>
      </c>
      <c r="H1191" s="12" t="n">
        <v>-638.36</v>
      </c>
      <c r="I1191" s="17" t="n">
        <v>45957</v>
      </c>
      <c r="J1191" s="17" t="n">
        <v>45987</v>
      </c>
      <c r="K1191" t="inlineStr">
        <is>
          <t>0819/25</t>
        </is>
      </c>
    </row>
    <row r="1192">
      <c r="A1192" t="inlineStr">
        <is>
          <t>IC4420</t>
        </is>
      </c>
      <c r="B1192" t="inlineStr">
        <is>
          <t>NORDEX ENERGY SPAIN S A U</t>
        </is>
      </c>
      <c r="C1192" t="n">
        <v>2122100000</v>
      </c>
      <c r="D1192" t="inlineStr">
        <is>
          <t>Intercompany</t>
        </is>
      </c>
      <c r="E1192" t="n">
        <v>5039317</v>
      </c>
      <c r="F1192" t="inlineStr">
        <is>
          <t>4025008269</t>
        </is>
      </c>
      <c r="G1192" t="inlineStr">
        <is>
          <t>RE</t>
        </is>
      </c>
      <c r="H1192" s="12" t="n">
        <v>-22455.17</v>
      </c>
      <c r="I1192" s="17" t="n">
        <v>45957</v>
      </c>
      <c r="J1192" s="17" t="n">
        <v>45987</v>
      </c>
      <c r="K1192" t="inlineStr">
        <is>
          <t>0819/25</t>
        </is>
      </c>
    </row>
    <row r="1193">
      <c r="A1193" t="inlineStr">
        <is>
          <t>IC4420</t>
        </is>
      </c>
      <c r="B1193" t="inlineStr">
        <is>
          <t>NORDEX ENERGY SPAIN S A U</t>
        </is>
      </c>
      <c r="C1193" t="n">
        <v>2122100000</v>
      </c>
      <c r="D1193" t="inlineStr">
        <is>
          <t>Intercompany</t>
        </is>
      </c>
      <c r="E1193" t="n">
        <v>5039331</v>
      </c>
      <c r="F1193" t="inlineStr">
        <is>
          <t>4025008266</t>
        </is>
      </c>
      <c r="G1193" t="inlineStr">
        <is>
          <t>RE</t>
        </is>
      </c>
      <c r="H1193" s="12" t="n">
        <v>-145142.23</v>
      </c>
      <c r="I1193" s="17" t="n">
        <v>45957</v>
      </c>
      <c r="J1193" s="17" t="n">
        <v>45987</v>
      </c>
      <c r="K1193" t="inlineStr">
        <is>
          <t>0820/25</t>
        </is>
      </c>
    </row>
    <row r="1194">
      <c r="A1194" t="inlineStr">
        <is>
          <t>IC4420</t>
        </is>
      </c>
      <c r="B1194" t="inlineStr">
        <is>
          <t>NORDEX ENERGY SPAIN S A U</t>
        </is>
      </c>
      <c r="C1194" t="n">
        <v>2122100000</v>
      </c>
      <c r="D1194" t="inlineStr">
        <is>
          <t>Intercompany</t>
        </is>
      </c>
      <c r="E1194" t="n">
        <v>5039460</v>
      </c>
      <c r="F1194" t="inlineStr">
        <is>
          <t>4024004773</t>
        </is>
      </c>
      <c r="G1194" t="inlineStr">
        <is>
          <t>RE</t>
        </is>
      </c>
      <c r="H1194" s="12" t="n">
        <v>-15818.14</v>
      </c>
      <c r="I1194" s="17" t="n">
        <v>45482</v>
      </c>
      <c r="J1194" s="17" t="n">
        <v>45512</v>
      </c>
      <c r="K1194" t="inlineStr">
        <is>
          <t>0556/24</t>
        </is>
      </c>
    </row>
    <row r="1195">
      <c r="A1195" t="inlineStr">
        <is>
          <t>IC4420</t>
        </is>
      </c>
      <c r="B1195" t="inlineStr">
        <is>
          <t>NORDEX ENERGY SPAIN S A U</t>
        </is>
      </c>
      <c r="C1195" t="n">
        <v>2122100000</v>
      </c>
      <c r="D1195" t="inlineStr">
        <is>
          <t>Intercompany</t>
        </is>
      </c>
      <c r="E1195" t="n">
        <v>5039465</v>
      </c>
      <c r="F1195" t="inlineStr">
        <is>
          <t>4024004781</t>
        </is>
      </c>
      <c r="G1195" t="inlineStr">
        <is>
          <t>RE</t>
        </is>
      </c>
      <c r="H1195" s="12" t="n">
        <v>-9318.35</v>
      </c>
      <c r="I1195" s="17" t="n">
        <v>45482</v>
      </c>
      <c r="J1195" s="17" t="n">
        <v>45512</v>
      </c>
      <c r="K1195" t="inlineStr">
        <is>
          <t>0556/24</t>
        </is>
      </c>
    </row>
    <row r="1196">
      <c r="A1196" t="inlineStr">
        <is>
          <t>IC4420</t>
        </is>
      </c>
      <c r="B1196" t="inlineStr">
        <is>
          <t>NORDEX ENERGY SPAIN S A U</t>
        </is>
      </c>
      <c r="C1196" t="n">
        <v>2122100000</v>
      </c>
      <c r="D1196" t="inlineStr">
        <is>
          <t>Intercompany</t>
        </is>
      </c>
      <c r="E1196" t="n">
        <v>5039467</v>
      </c>
      <c r="F1196" t="inlineStr">
        <is>
          <t>4024004777</t>
        </is>
      </c>
      <c r="G1196" t="inlineStr">
        <is>
          <t>RE</t>
        </is>
      </c>
      <c r="H1196" s="12" t="n">
        <v>-9410.23</v>
      </c>
      <c r="I1196" s="17" t="n">
        <v>45482</v>
      </c>
      <c r="J1196" s="17" t="n">
        <v>45512</v>
      </c>
      <c r="K1196" t="inlineStr">
        <is>
          <t>0556/24</t>
        </is>
      </c>
    </row>
    <row r="1197">
      <c r="A1197" t="inlineStr">
        <is>
          <t>IC4420</t>
        </is>
      </c>
      <c r="B1197" t="inlineStr">
        <is>
          <t>NORDEX ENERGY SPAIN S A U</t>
        </is>
      </c>
      <c r="C1197" t="n">
        <v>2122100000</v>
      </c>
      <c r="D1197" t="inlineStr">
        <is>
          <t>Intercompany</t>
        </is>
      </c>
      <c r="E1197" t="n">
        <v>5039476</v>
      </c>
      <c r="F1197" t="inlineStr">
        <is>
          <t>4024004782</t>
        </is>
      </c>
      <c r="G1197" t="inlineStr">
        <is>
          <t>RE</t>
        </is>
      </c>
      <c r="H1197" s="12" t="n">
        <v>-18635.4</v>
      </c>
      <c r="I1197" s="17" t="n">
        <v>45482</v>
      </c>
      <c r="J1197" s="17" t="n">
        <v>45512</v>
      </c>
      <c r="K1197" t="inlineStr">
        <is>
          <t>0556/24</t>
        </is>
      </c>
    </row>
    <row r="1198">
      <c r="A1198" t="inlineStr">
        <is>
          <t>IC1000</t>
        </is>
      </c>
      <c r="B1198" t="inlineStr">
        <is>
          <t>NORDEX ENERGY SE &amp; CO KG</t>
        </is>
      </c>
      <c r="C1198" t="n">
        <v>2122100000</v>
      </c>
      <c r="D1198" t="inlineStr">
        <is>
          <t>Intercompany</t>
        </is>
      </c>
      <c r="E1198" t="n">
        <v>5039477</v>
      </c>
      <c r="F1198" t="inlineStr">
        <is>
          <t>4012401292</t>
        </is>
      </c>
      <c r="G1198" t="inlineStr">
        <is>
          <t>RE</t>
        </is>
      </c>
      <c r="H1198" s="12" t="n">
        <v>-154702.08</v>
      </c>
      <c r="I1198" s="17" t="n">
        <v>45490</v>
      </c>
      <c r="J1198" s="17" t="n">
        <v>45520</v>
      </c>
      <c r="K1198" t="inlineStr">
        <is>
          <t>0616/24</t>
        </is>
      </c>
    </row>
    <row r="1199">
      <c r="A1199" t="inlineStr">
        <is>
          <t>IC1000</t>
        </is>
      </c>
      <c r="B1199" t="inlineStr">
        <is>
          <t>NORDEX ENERGY SE &amp; CO KG</t>
        </is>
      </c>
      <c r="C1199" t="n">
        <v>2122100000</v>
      </c>
      <c r="D1199" t="inlineStr">
        <is>
          <t>Intercompany</t>
        </is>
      </c>
      <c r="E1199" t="n">
        <v>5039635</v>
      </c>
      <c r="F1199" t="inlineStr">
        <is>
          <t>623729</t>
        </is>
      </c>
      <c r="G1199" t="inlineStr">
        <is>
          <t>KR</t>
        </is>
      </c>
      <c r="H1199" s="12" t="n">
        <v>-431435.85</v>
      </c>
      <c r="I1199" s="17" t="n">
        <v>46000</v>
      </c>
      <c r="J1199" s="17" t="n">
        <v>46030</v>
      </c>
      <c r="K1199" t="inlineStr">
        <is>
          <t>Fatura do fornecedor NORDEX ENERGY SE &amp; CO KG 6237</t>
        </is>
      </c>
    </row>
    <row r="1200">
      <c r="A1200" t="inlineStr">
        <is>
          <t>IC4420</t>
        </is>
      </c>
      <c r="B1200" t="inlineStr">
        <is>
          <t>NORDEX ENERGY SPAIN S A U</t>
        </is>
      </c>
      <c r="C1200" t="n">
        <v>2122100000</v>
      </c>
      <c r="D1200" t="inlineStr">
        <is>
          <t>Intercompany</t>
        </is>
      </c>
      <c r="E1200" t="n">
        <v>5039649</v>
      </c>
      <c r="F1200" t="inlineStr">
        <is>
          <t>4025008267</t>
        </is>
      </c>
      <c r="G1200" t="inlineStr">
        <is>
          <t>RE</t>
        </is>
      </c>
      <c r="H1200" s="12" t="n">
        <v>-26780.96</v>
      </c>
      <c r="I1200" s="17" t="n">
        <v>45957</v>
      </c>
      <c r="J1200" s="17" t="n">
        <v>45987</v>
      </c>
      <c r="K1200" t="inlineStr">
        <is>
          <t>0818/25</t>
        </is>
      </c>
    </row>
    <row r="1201">
      <c r="A1201" t="inlineStr">
        <is>
          <t>IC4420</t>
        </is>
      </c>
      <c r="B1201" t="inlineStr">
        <is>
          <t>NORDEX ENERGY SPAIN S A U</t>
        </is>
      </c>
      <c r="C1201" t="n">
        <v>2122100000</v>
      </c>
      <c r="D1201" t="inlineStr">
        <is>
          <t>Intercompany</t>
        </is>
      </c>
      <c r="E1201" t="n">
        <v>5039655</v>
      </c>
      <c r="F1201" t="inlineStr">
        <is>
          <t>4025008270</t>
        </is>
      </c>
      <c r="G1201" t="inlineStr">
        <is>
          <t>RE</t>
        </is>
      </c>
      <c r="H1201" s="12" t="n">
        <v>-13640.18</v>
      </c>
      <c r="I1201" s="17" t="n">
        <v>45957</v>
      </c>
      <c r="J1201" s="17" t="n">
        <v>45987</v>
      </c>
      <c r="K1201" t="inlineStr">
        <is>
          <t>0831/25</t>
        </is>
      </c>
    </row>
    <row r="1202">
      <c r="A1202" t="inlineStr">
        <is>
          <t>IC1000</t>
        </is>
      </c>
      <c r="B1202" t="inlineStr">
        <is>
          <t>NORDEX ENERGY SE &amp; CO KG</t>
        </is>
      </c>
      <c r="C1202" t="n">
        <v>2122100000</v>
      </c>
      <c r="D1202" t="inlineStr">
        <is>
          <t>Intercompany</t>
        </is>
      </c>
      <c r="E1202" t="n">
        <v>5039864</v>
      </c>
      <c r="F1202" t="inlineStr">
        <is>
          <t>4012409493</t>
        </is>
      </c>
      <c r="G1202" t="inlineStr">
        <is>
          <t>RE</t>
        </is>
      </c>
      <c r="H1202" s="12" t="n">
        <v>-1639001.7</v>
      </c>
      <c r="I1202" s="17" t="n">
        <v>45545</v>
      </c>
      <c r="J1202" s="17" t="n">
        <v>45575</v>
      </c>
      <c r="K1202" t="inlineStr">
        <is>
          <t>0786/24</t>
        </is>
      </c>
    </row>
    <row r="1203">
      <c r="A1203" t="inlineStr">
        <is>
          <t>IC4420</t>
        </is>
      </c>
      <c r="B1203" t="inlineStr">
        <is>
          <t>NORDEX ENERGY SPAIN S A U</t>
        </is>
      </c>
      <c r="C1203" t="n">
        <v>2122100000</v>
      </c>
      <c r="D1203" t="inlineStr">
        <is>
          <t>Intercompany</t>
        </is>
      </c>
      <c r="E1203" t="n">
        <v>5040001</v>
      </c>
      <c r="F1203" t="inlineStr">
        <is>
          <t>4025008265</t>
        </is>
      </c>
      <c r="G1203" t="inlineStr">
        <is>
          <t>RE</t>
        </is>
      </c>
      <c r="H1203" s="12" t="n">
        <v>-2055.06</v>
      </c>
      <c r="I1203" s="17" t="n">
        <v>45957</v>
      </c>
      <c r="J1203" s="17" t="n">
        <v>45987</v>
      </c>
      <c r="K1203" t="inlineStr">
        <is>
          <t>0824/25</t>
        </is>
      </c>
    </row>
    <row r="1204">
      <c r="A1204" t="inlineStr">
        <is>
          <t>IC1000</t>
        </is>
      </c>
      <c r="B1204" t="inlineStr">
        <is>
          <t>NORDEX ENERGY SE &amp; CO KG</t>
        </is>
      </c>
      <c r="C1204" t="n">
        <v>2122100000</v>
      </c>
      <c r="D1204" t="inlineStr">
        <is>
          <t>Intercompany</t>
        </is>
      </c>
      <c r="E1204" t="n">
        <v>5040040</v>
      </c>
      <c r="F1204" t="inlineStr">
        <is>
          <t>4012409053</t>
        </is>
      </c>
      <c r="G1204" t="inlineStr">
        <is>
          <t>RE</t>
        </is>
      </c>
      <c r="H1204" s="12" t="n">
        <v>-823310.1800000001</v>
      </c>
      <c r="I1204" s="17" t="n">
        <v>45541</v>
      </c>
      <c r="J1204" s="17" t="n">
        <v>45571</v>
      </c>
      <c r="K1204" t="inlineStr">
        <is>
          <t>0785/24</t>
        </is>
      </c>
    </row>
    <row r="1205">
      <c r="A1205" t="inlineStr">
        <is>
          <t>IC4420</t>
        </is>
      </c>
      <c r="B1205" t="inlineStr">
        <is>
          <t>NORDEX ENERGY SPAIN S A U</t>
        </is>
      </c>
      <c r="C1205" t="n">
        <v>2122100000</v>
      </c>
      <c r="D1205" t="inlineStr">
        <is>
          <t>Intercompany</t>
        </is>
      </c>
      <c r="E1205" t="n">
        <v>5040129</v>
      </c>
      <c r="F1205" t="inlineStr">
        <is>
          <t>4025008705</t>
        </is>
      </c>
      <c r="G1205" t="inlineStr">
        <is>
          <t>RE</t>
        </is>
      </c>
      <c r="H1205" s="12" t="n">
        <v>-26352.26</v>
      </c>
      <c r="I1205" s="17" t="n">
        <v>45972</v>
      </c>
      <c r="J1205" s="17" t="n">
        <v>46002</v>
      </c>
      <c r="K1205" t="inlineStr">
        <is>
          <t>0836/25</t>
        </is>
      </c>
    </row>
    <row r="1206">
      <c r="A1206" t="inlineStr">
        <is>
          <t>IC5000</t>
        </is>
      </c>
      <c r="B1206" t="inlineStr">
        <is>
          <t>NORDEX SE</t>
        </is>
      </c>
      <c r="C1206" t="n">
        <v>2122100000</v>
      </c>
      <c r="D1206" t="inlineStr">
        <is>
          <t>Intercompany</t>
        </is>
      </c>
      <c r="E1206" t="n">
        <v>5040178</v>
      </c>
      <c r="F1206" t="inlineStr">
        <is>
          <t>610196</t>
        </is>
      </c>
      <c r="G1206" t="inlineStr">
        <is>
          <t>KR</t>
        </is>
      </c>
      <c r="H1206" s="12" t="n">
        <v>-3453489.4</v>
      </c>
      <c r="I1206" s="17" t="n">
        <v>46002</v>
      </c>
      <c r="J1206" s="17" t="n">
        <v>46002</v>
      </c>
      <c r="K1206" t="inlineStr">
        <is>
          <t>Fatura do fornecedor NORDEX SE 610196</t>
        </is>
      </c>
    </row>
    <row r="1207">
      <c r="A1207" t="inlineStr">
        <is>
          <t>IC1000</t>
        </is>
      </c>
      <c r="B1207" t="inlineStr">
        <is>
          <t>NORDEX ENERGY SE &amp; CO KG</t>
        </is>
      </c>
      <c r="C1207" t="n">
        <v>2122100000</v>
      </c>
      <c r="D1207" t="inlineStr">
        <is>
          <t>Intercompany</t>
        </is>
      </c>
      <c r="E1207" t="n">
        <v>5040181</v>
      </c>
      <c r="F1207" t="inlineStr">
        <is>
          <t>623811</t>
        </is>
      </c>
      <c r="G1207" t="inlineStr">
        <is>
          <t>KR</t>
        </is>
      </c>
      <c r="H1207" s="12" t="n">
        <v>-5455889.49</v>
      </c>
      <c r="I1207" s="17" t="n">
        <v>46002</v>
      </c>
      <c r="J1207" s="17" t="n">
        <v>46032</v>
      </c>
      <c r="K1207" t="inlineStr">
        <is>
          <t>Fatura do fornecedor NORDEX ENERGY SE &amp; CO KG 6238</t>
        </is>
      </c>
    </row>
    <row r="1208">
      <c r="A1208" t="inlineStr">
        <is>
          <t>IC4420</t>
        </is>
      </c>
      <c r="B1208" t="inlineStr">
        <is>
          <t>NORDEX ENERGY SPAIN S A U</t>
        </is>
      </c>
      <c r="C1208" t="n">
        <v>2122100000</v>
      </c>
      <c r="D1208" t="inlineStr">
        <is>
          <t>Intercompany</t>
        </is>
      </c>
      <c r="E1208" t="n">
        <v>5040201</v>
      </c>
      <c r="F1208" t="inlineStr">
        <is>
          <t>4025009206</t>
        </is>
      </c>
      <c r="G1208" t="inlineStr">
        <is>
          <t>RE</t>
        </is>
      </c>
      <c r="H1208" s="12" t="n">
        <v>-5350.91</v>
      </c>
      <c r="I1208" s="17" t="n">
        <v>45988</v>
      </c>
      <c r="J1208" s="17" t="n">
        <v>46018</v>
      </c>
      <c r="K1208" t="inlineStr">
        <is>
          <t>0899/25</t>
        </is>
      </c>
    </row>
    <row r="1209">
      <c r="A1209" t="inlineStr">
        <is>
          <t>IC4420</t>
        </is>
      </c>
      <c r="B1209" t="inlineStr">
        <is>
          <t>NORDEX ENERGY SPAIN S A U</t>
        </is>
      </c>
      <c r="C1209" t="n">
        <v>2122100000</v>
      </c>
      <c r="D1209" t="inlineStr">
        <is>
          <t>Intercompany</t>
        </is>
      </c>
      <c r="E1209" t="n">
        <v>5040246</v>
      </c>
      <c r="F1209" t="inlineStr">
        <is>
          <t>4025009128</t>
        </is>
      </c>
      <c r="G1209" t="inlineStr">
        <is>
          <t>RE</t>
        </is>
      </c>
      <c r="H1209" s="12" t="n">
        <v>-425.03</v>
      </c>
      <c r="I1209" s="17" t="n">
        <v>45988</v>
      </c>
      <c r="J1209" s="17" t="n">
        <v>46018</v>
      </c>
      <c r="K1209" t="inlineStr">
        <is>
          <t>0895/25</t>
        </is>
      </c>
    </row>
    <row r="1210">
      <c r="A1210" t="inlineStr">
        <is>
          <t>IC4420</t>
        </is>
      </c>
      <c r="B1210" t="inlineStr">
        <is>
          <t>NORDEX ENERGY SPAIN S A U</t>
        </is>
      </c>
      <c r="C1210" t="n">
        <v>2122100000</v>
      </c>
      <c r="D1210" t="inlineStr">
        <is>
          <t>Intercompany</t>
        </is>
      </c>
      <c r="E1210" t="n">
        <v>5040247</v>
      </c>
      <c r="F1210" t="inlineStr">
        <is>
          <t>4025009134</t>
        </is>
      </c>
      <c r="G1210" t="inlineStr">
        <is>
          <t>RE</t>
        </is>
      </c>
      <c r="H1210" s="12" t="n">
        <v>-11660.46</v>
      </c>
      <c r="I1210" s="17" t="n">
        <v>45988</v>
      </c>
      <c r="J1210" s="17" t="n">
        <v>46018</v>
      </c>
      <c r="K1210" t="inlineStr">
        <is>
          <t>0885/25</t>
        </is>
      </c>
    </row>
    <row r="1211">
      <c r="A1211" t="inlineStr">
        <is>
          <t>IC4420</t>
        </is>
      </c>
      <c r="B1211" t="inlineStr">
        <is>
          <t>NORDEX ENERGY SPAIN S A U</t>
        </is>
      </c>
      <c r="C1211" t="n">
        <v>2122100000</v>
      </c>
      <c r="D1211" t="inlineStr">
        <is>
          <t>Intercompany</t>
        </is>
      </c>
      <c r="E1211" t="n">
        <v>5040297</v>
      </c>
      <c r="F1211" t="inlineStr">
        <is>
          <t>4025009130</t>
        </is>
      </c>
      <c r="G1211" t="inlineStr">
        <is>
          <t>RE</t>
        </is>
      </c>
      <c r="H1211" s="12" t="n">
        <v>-116592.8</v>
      </c>
      <c r="I1211" s="17" t="n">
        <v>45988</v>
      </c>
      <c r="J1211" s="17" t="n">
        <v>46018</v>
      </c>
      <c r="K1211" t="inlineStr">
        <is>
          <t>0896/25</t>
        </is>
      </c>
    </row>
    <row r="1212">
      <c r="A1212" t="inlineStr">
        <is>
          <t>IC4420</t>
        </is>
      </c>
      <c r="B1212" t="inlineStr">
        <is>
          <t>NORDEX ENERGY SPAIN S A U</t>
        </is>
      </c>
      <c r="C1212" t="n">
        <v>2122100000</v>
      </c>
      <c r="D1212" t="inlineStr">
        <is>
          <t>Intercompany</t>
        </is>
      </c>
      <c r="E1212" t="n">
        <v>5040302</v>
      </c>
      <c r="F1212" t="inlineStr">
        <is>
          <t>4025009129</t>
        </is>
      </c>
      <c r="G1212" t="inlineStr">
        <is>
          <t>RE</t>
        </is>
      </c>
      <c r="H1212" s="12" t="n">
        <v>-2386.04</v>
      </c>
      <c r="I1212" s="17" t="n">
        <v>45988</v>
      </c>
      <c r="J1212" s="17" t="n">
        <v>46018</v>
      </c>
      <c r="K1212" t="inlineStr">
        <is>
          <t>0896/25</t>
        </is>
      </c>
    </row>
    <row r="1213">
      <c r="A1213" t="inlineStr">
        <is>
          <t>IC1000</t>
        </is>
      </c>
      <c r="B1213" t="inlineStr">
        <is>
          <t>NORDEX ENERGY SE &amp; CO KG</t>
        </is>
      </c>
      <c r="C1213" t="n">
        <v>2122100000</v>
      </c>
      <c r="D1213" t="inlineStr">
        <is>
          <t>Intercompany</t>
        </is>
      </c>
      <c r="E1213" t="n">
        <v>5040329</v>
      </c>
      <c r="F1213" t="inlineStr">
        <is>
          <t>RITM0554547</t>
        </is>
      </c>
      <c r="G1213" t="inlineStr">
        <is>
          <t>RE</t>
        </is>
      </c>
      <c r="H1213" s="12" t="n">
        <v>-608543.16</v>
      </c>
      <c r="I1213" s="17" t="n">
        <v>45923</v>
      </c>
      <c r="J1213" s="17" t="n">
        <v>45953</v>
      </c>
      <c r="K1213" t="inlineStr">
        <is>
          <t>0800/25</t>
        </is>
      </c>
    </row>
    <row r="1214">
      <c r="A1214" t="inlineStr">
        <is>
          <t>IC1000</t>
        </is>
      </c>
      <c r="B1214" t="inlineStr">
        <is>
          <t>NORDEX ENERGY SE &amp; CO KG</t>
        </is>
      </c>
      <c r="C1214" t="n">
        <v>2122100000</v>
      </c>
      <c r="D1214" t="inlineStr">
        <is>
          <t>Intercompany</t>
        </is>
      </c>
      <c r="E1214" t="n">
        <v>5040330</v>
      </c>
      <c r="F1214" t="inlineStr">
        <is>
          <t>RITM0557171</t>
        </is>
      </c>
      <c r="G1214" t="inlineStr">
        <is>
          <t>RE</t>
        </is>
      </c>
      <c r="H1214" s="12" t="n">
        <v>-608543.16</v>
      </c>
      <c r="I1214" s="17" t="n">
        <v>45936</v>
      </c>
      <c r="J1214" s="17" t="n">
        <v>45966</v>
      </c>
      <c r="K1214" t="inlineStr">
        <is>
          <t>0799/25</t>
        </is>
      </c>
    </row>
    <row r="1215">
      <c r="A1215" t="inlineStr">
        <is>
          <t>IC4420</t>
        </is>
      </c>
      <c r="B1215" t="inlineStr">
        <is>
          <t>NORDEX ENERGY SPAIN S A U</t>
        </is>
      </c>
      <c r="C1215" t="n">
        <v>2122100000</v>
      </c>
      <c r="D1215" t="inlineStr">
        <is>
          <t>Intercompany</t>
        </is>
      </c>
      <c r="E1215" t="n">
        <v>5040365</v>
      </c>
      <c r="F1215" t="inlineStr">
        <is>
          <t>4025009228</t>
        </is>
      </c>
      <c r="G1215" t="inlineStr">
        <is>
          <t>RE</t>
        </is>
      </c>
      <c r="H1215" s="12" t="n">
        <v>-5390.83</v>
      </c>
      <c r="I1215" s="17" t="n">
        <v>45989</v>
      </c>
      <c r="J1215" s="17" t="n">
        <v>46019</v>
      </c>
      <c r="K1215" t="inlineStr">
        <is>
          <t>0906/25</t>
        </is>
      </c>
    </row>
    <row r="1216">
      <c r="A1216" t="inlineStr">
        <is>
          <t>IC4420</t>
        </is>
      </c>
      <c r="B1216" t="inlineStr">
        <is>
          <t>NORDEX ENERGY SPAIN S A U</t>
        </is>
      </c>
      <c r="C1216" t="n">
        <v>2122100000</v>
      </c>
      <c r="D1216" t="inlineStr">
        <is>
          <t>Intercompany</t>
        </is>
      </c>
      <c r="E1216" t="n">
        <v>5040427</v>
      </c>
      <c r="F1216" t="inlineStr">
        <is>
          <t>4025009125</t>
        </is>
      </c>
      <c r="G1216" t="inlineStr">
        <is>
          <t>RE</t>
        </is>
      </c>
      <c r="H1216" s="12" t="n">
        <v>-32.54</v>
      </c>
      <c r="I1216" s="17" t="n">
        <v>45988</v>
      </c>
      <c r="J1216" s="17" t="n">
        <v>46018</v>
      </c>
      <c r="K1216" t="inlineStr">
        <is>
          <t>0892/25</t>
        </is>
      </c>
    </row>
    <row r="1217">
      <c r="A1217" t="inlineStr">
        <is>
          <t>IC4420</t>
        </is>
      </c>
      <c r="B1217" t="inlineStr">
        <is>
          <t>NORDEX ENERGY SPAIN S A U</t>
        </is>
      </c>
      <c r="C1217" t="n">
        <v>2122100000</v>
      </c>
      <c r="D1217" t="inlineStr">
        <is>
          <t>Intercompany</t>
        </is>
      </c>
      <c r="E1217" t="n">
        <v>5040428</v>
      </c>
      <c r="F1217" t="inlineStr">
        <is>
          <t>4025009225</t>
        </is>
      </c>
      <c r="G1217" t="inlineStr">
        <is>
          <t>RE</t>
        </is>
      </c>
      <c r="H1217" s="12" t="n">
        <v>-16279.28</v>
      </c>
      <c r="I1217" s="17" t="n">
        <v>45989</v>
      </c>
      <c r="J1217" s="17" t="n">
        <v>46019</v>
      </c>
      <c r="K1217" t="inlineStr">
        <is>
          <t>0903/25</t>
        </is>
      </c>
    </row>
    <row r="1218">
      <c r="A1218" t="inlineStr">
        <is>
          <t>IC4420</t>
        </is>
      </c>
      <c r="B1218" t="inlineStr">
        <is>
          <t>NORDEX ENERGY SPAIN S A U</t>
        </is>
      </c>
      <c r="C1218" t="n">
        <v>2122100000</v>
      </c>
      <c r="D1218" t="inlineStr">
        <is>
          <t>Intercompany</t>
        </is>
      </c>
      <c r="E1218" t="n">
        <v>5040430</v>
      </c>
      <c r="F1218" t="inlineStr">
        <is>
          <t>4025009137</t>
        </is>
      </c>
      <c r="G1218" t="inlineStr">
        <is>
          <t>RE</t>
        </is>
      </c>
      <c r="H1218" s="12" t="n">
        <v>-5173.78</v>
      </c>
      <c r="I1218" s="17" t="n">
        <v>45988</v>
      </c>
      <c r="J1218" s="17" t="n">
        <v>46018</v>
      </c>
      <c r="K1218" t="inlineStr">
        <is>
          <t>0887/25</t>
        </is>
      </c>
    </row>
    <row r="1219">
      <c r="A1219" t="inlineStr">
        <is>
          <t>IC5000</t>
        </is>
      </c>
      <c r="B1219" t="inlineStr">
        <is>
          <t>NORDEX SE</t>
        </is>
      </c>
      <c r="C1219" t="n">
        <v>2122100000</v>
      </c>
      <c r="D1219" t="inlineStr">
        <is>
          <t>Intercompany</t>
        </is>
      </c>
      <c r="E1219" t="n">
        <v>5040438</v>
      </c>
      <c r="F1219" t="inlineStr">
        <is>
          <t>610277</t>
        </is>
      </c>
      <c r="G1219" t="inlineStr">
        <is>
          <t>KR</t>
        </is>
      </c>
      <c r="H1219" s="12" t="n">
        <v>-2548277.78</v>
      </c>
      <c r="I1219" s="17" t="n">
        <v>46007</v>
      </c>
      <c r="J1219" s="17" t="n">
        <v>46007</v>
      </c>
      <c r="K1219" t="inlineStr">
        <is>
          <t>Fatura do fornecedor NORDEX SE 610277</t>
        </is>
      </c>
    </row>
    <row r="1220">
      <c r="A1220" t="inlineStr">
        <is>
          <t>IC5000</t>
        </is>
      </c>
      <c r="B1220" t="inlineStr">
        <is>
          <t>NORDEX SE</t>
        </is>
      </c>
      <c r="C1220" t="n">
        <v>2122100000</v>
      </c>
      <c r="D1220" t="inlineStr">
        <is>
          <t>Intercompany</t>
        </is>
      </c>
      <c r="E1220" t="n">
        <v>5040449</v>
      </c>
      <c r="F1220" t="inlineStr">
        <is>
          <t>610257</t>
        </is>
      </c>
      <c r="G1220" t="inlineStr">
        <is>
          <t>KR</t>
        </is>
      </c>
      <c r="H1220" s="12" t="n">
        <v>-7810930.82</v>
      </c>
      <c r="I1220" s="17" t="n">
        <v>46006</v>
      </c>
      <c r="J1220" s="17" t="n">
        <v>46006</v>
      </c>
      <c r="K1220" t="inlineStr">
        <is>
          <t>Fatura do fornecedor NORDEX SE 610257</t>
        </is>
      </c>
    </row>
    <row r="1221">
      <c r="A1221" t="inlineStr">
        <is>
          <t>IC4420</t>
        </is>
      </c>
      <c r="B1221" t="inlineStr">
        <is>
          <t>NORDEX ENERGY SPAIN S A U</t>
        </is>
      </c>
      <c r="C1221" t="n">
        <v>2122100000</v>
      </c>
      <c r="D1221" t="inlineStr">
        <is>
          <t>Intercompany</t>
        </is>
      </c>
      <c r="E1221" t="n">
        <v>5040477</v>
      </c>
      <c r="F1221" t="inlineStr">
        <is>
          <t>4025009229</t>
        </is>
      </c>
      <c r="G1221" t="inlineStr">
        <is>
          <t>RE</t>
        </is>
      </c>
      <c r="H1221" s="12" t="n">
        <v>-24079.33</v>
      </c>
      <c r="I1221" s="17" t="n">
        <v>45989</v>
      </c>
      <c r="J1221" s="17" t="n">
        <v>46019</v>
      </c>
      <c r="K1221" t="inlineStr">
        <is>
          <t>0907/25</t>
        </is>
      </c>
    </row>
    <row r="1222">
      <c r="A1222" t="inlineStr">
        <is>
          <t>IC4420</t>
        </is>
      </c>
      <c r="B1222" t="inlineStr">
        <is>
          <t>NORDEX ENERGY SPAIN S A U</t>
        </is>
      </c>
      <c r="C1222" t="n">
        <v>2122100000</v>
      </c>
      <c r="D1222" t="inlineStr">
        <is>
          <t>Intercompany</t>
        </is>
      </c>
      <c r="E1222" t="n">
        <v>5040479</v>
      </c>
      <c r="F1222" t="inlineStr">
        <is>
          <t>4025009127</t>
        </is>
      </c>
      <c r="G1222" t="inlineStr">
        <is>
          <t>RE</t>
        </is>
      </c>
      <c r="H1222" s="12" t="n">
        <v>-23878.51</v>
      </c>
      <c r="I1222" s="17" t="n">
        <v>45988</v>
      </c>
      <c r="J1222" s="17" t="n">
        <v>46018</v>
      </c>
      <c r="K1222" t="inlineStr">
        <is>
          <t>0894/25</t>
        </is>
      </c>
    </row>
    <row r="1223">
      <c r="A1223" t="inlineStr">
        <is>
          <t>IC4420</t>
        </is>
      </c>
      <c r="B1223" t="inlineStr">
        <is>
          <t>NORDEX ENERGY SPAIN S A U</t>
        </is>
      </c>
      <c r="C1223" t="n">
        <v>2122100000</v>
      </c>
      <c r="D1223" t="inlineStr">
        <is>
          <t>Intercompany</t>
        </is>
      </c>
      <c r="E1223" t="n">
        <v>5040520</v>
      </c>
      <c r="F1223" t="inlineStr">
        <is>
          <t>4025009114</t>
        </is>
      </c>
      <c r="G1223" t="inlineStr">
        <is>
          <t>RE</t>
        </is>
      </c>
      <c r="H1223" s="12" t="n">
        <v>-584.41</v>
      </c>
      <c r="I1223" s="17" t="n">
        <v>45987</v>
      </c>
      <c r="J1223" s="17" t="n">
        <v>46017</v>
      </c>
      <c r="K1223" t="inlineStr">
        <is>
          <t>0889/25</t>
        </is>
      </c>
    </row>
    <row r="1224">
      <c r="A1224" t="inlineStr">
        <is>
          <t>IC4420</t>
        </is>
      </c>
      <c r="B1224" t="inlineStr">
        <is>
          <t>NORDEX ENERGY SPAIN S A U</t>
        </is>
      </c>
      <c r="C1224" t="n">
        <v>2122100000</v>
      </c>
      <c r="D1224" t="inlineStr">
        <is>
          <t>Intercompany</t>
        </is>
      </c>
      <c r="E1224" t="n">
        <v>5040532</v>
      </c>
      <c r="F1224" t="inlineStr">
        <is>
          <t>4025009216</t>
        </is>
      </c>
      <c r="G1224" t="inlineStr">
        <is>
          <t>RE</t>
        </is>
      </c>
      <c r="H1224" s="12" t="n">
        <v>-6170.24</v>
      </c>
      <c r="I1224" s="17" t="n">
        <v>45988</v>
      </c>
      <c r="J1224" s="17" t="n">
        <v>46018</v>
      </c>
      <c r="K1224" t="inlineStr">
        <is>
          <t>0900/25</t>
        </is>
      </c>
    </row>
    <row r="1225">
      <c r="A1225" t="inlineStr">
        <is>
          <t>IC4420</t>
        </is>
      </c>
      <c r="B1225" t="inlineStr">
        <is>
          <t>NORDEX ENERGY SPAIN S A U</t>
        </is>
      </c>
      <c r="C1225" t="n">
        <v>2122100000</v>
      </c>
      <c r="D1225" t="inlineStr">
        <is>
          <t>Intercompany</t>
        </is>
      </c>
      <c r="E1225" t="n">
        <v>5040631</v>
      </c>
      <c r="F1225" t="inlineStr">
        <is>
          <t>4025009227</t>
        </is>
      </c>
      <c r="G1225" t="inlineStr">
        <is>
          <t>RE</t>
        </is>
      </c>
      <c r="H1225" s="12" t="n">
        <v>-6932.98</v>
      </c>
      <c r="I1225" s="17" t="n">
        <v>45989</v>
      </c>
      <c r="J1225" s="17" t="n">
        <v>46019</v>
      </c>
      <c r="K1225" t="inlineStr">
        <is>
          <t>0905/25</t>
        </is>
      </c>
    </row>
    <row r="1226">
      <c r="A1226" t="inlineStr">
        <is>
          <t>IC4420</t>
        </is>
      </c>
      <c r="B1226" t="inlineStr">
        <is>
          <t>NORDEX ENERGY SPAIN S A U</t>
        </is>
      </c>
      <c r="C1226" t="n">
        <v>2122100000</v>
      </c>
      <c r="D1226" t="inlineStr">
        <is>
          <t>Intercompany</t>
        </is>
      </c>
      <c r="E1226" t="n">
        <v>5040632</v>
      </c>
      <c r="F1226" t="inlineStr">
        <is>
          <t>4025009132</t>
        </is>
      </c>
      <c r="G1226" t="inlineStr">
        <is>
          <t>RE</t>
        </is>
      </c>
      <c r="H1226" s="12" t="n">
        <v>-55489.41</v>
      </c>
      <c r="I1226" s="17" t="n">
        <v>45988</v>
      </c>
      <c r="J1226" s="17" t="n">
        <v>46018</v>
      </c>
      <c r="K1226" t="inlineStr">
        <is>
          <t>0883/25</t>
        </is>
      </c>
    </row>
    <row r="1227">
      <c r="A1227" t="inlineStr">
        <is>
          <t>IC4420</t>
        </is>
      </c>
      <c r="B1227" t="inlineStr">
        <is>
          <t>NORDEX ENERGY SPAIN S A U</t>
        </is>
      </c>
      <c r="C1227" t="n">
        <v>2122100000</v>
      </c>
      <c r="D1227" t="inlineStr">
        <is>
          <t>Intercompany</t>
        </is>
      </c>
      <c r="E1227" t="n">
        <v>5040645</v>
      </c>
      <c r="F1227" t="inlineStr">
        <is>
          <t>4025009112</t>
        </is>
      </c>
      <c r="G1227" t="inlineStr">
        <is>
          <t>RE</t>
        </is>
      </c>
      <c r="H1227" s="12" t="n">
        <v>-40515.22</v>
      </c>
      <c r="I1227" s="17" t="n">
        <v>45987</v>
      </c>
      <c r="J1227" s="17" t="n">
        <v>46017</v>
      </c>
      <c r="K1227" t="inlineStr">
        <is>
          <t>0888/25</t>
        </is>
      </c>
    </row>
    <row r="1228">
      <c r="A1228" t="inlineStr">
        <is>
          <t>IC4420</t>
        </is>
      </c>
      <c r="B1228" t="inlineStr">
        <is>
          <t>NORDEX ENERGY SPAIN S A U</t>
        </is>
      </c>
      <c r="C1228" t="n">
        <v>2122100000</v>
      </c>
      <c r="D1228" t="inlineStr">
        <is>
          <t>Intercompany</t>
        </is>
      </c>
      <c r="E1228" t="n">
        <v>5040646</v>
      </c>
      <c r="F1228" t="inlineStr">
        <is>
          <t>4025009110</t>
        </is>
      </c>
      <c r="G1228" t="inlineStr">
        <is>
          <t>RE</t>
        </is>
      </c>
      <c r="H1228" s="12" t="n">
        <v>-12683.08</v>
      </c>
      <c r="I1228" s="17" t="n">
        <v>45987</v>
      </c>
      <c r="J1228" s="17" t="n">
        <v>46017</v>
      </c>
      <c r="K1228" t="inlineStr">
        <is>
          <t>0888/25</t>
        </is>
      </c>
    </row>
    <row r="1229">
      <c r="A1229" t="inlineStr">
        <is>
          <t>IC4420</t>
        </is>
      </c>
      <c r="B1229" t="inlineStr">
        <is>
          <t>NORDEX ENERGY SPAIN S A U</t>
        </is>
      </c>
      <c r="C1229" t="n">
        <v>2122100000</v>
      </c>
      <c r="D1229" t="inlineStr">
        <is>
          <t>Intercompany</t>
        </is>
      </c>
      <c r="E1229" t="n">
        <v>5040647</v>
      </c>
      <c r="F1229" t="inlineStr">
        <is>
          <t>4025009219</t>
        </is>
      </c>
      <c r="G1229" t="inlineStr">
        <is>
          <t>RE</t>
        </is>
      </c>
      <c r="H1229" s="12" t="n">
        <v>-20023.39</v>
      </c>
      <c r="I1229" s="17" t="n">
        <v>45988</v>
      </c>
      <c r="J1229" s="17" t="n">
        <v>46018</v>
      </c>
      <c r="K1229" t="inlineStr">
        <is>
          <t>0897/25</t>
        </is>
      </c>
    </row>
    <row r="1230">
      <c r="A1230" t="inlineStr">
        <is>
          <t>IC4420</t>
        </is>
      </c>
      <c r="B1230" t="inlineStr">
        <is>
          <t>NORDEX ENERGY SPAIN S A U</t>
        </is>
      </c>
      <c r="C1230" t="n">
        <v>2122100000</v>
      </c>
      <c r="D1230" t="inlineStr">
        <is>
          <t>Intercompany</t>
        </is>
      </c>
      <c r="E1230" t="n">
        <v>5040648</v>
      </c>
      <c r="F1230" t="inlineStr">
        <is>
          <t>4025009113</t>
        </is>
      </c>
      <c r="G1230" t="inlineStr">
        <is>
          <t>RE</t>
        </is>
      </c>
      <c r="H1230" s="12" t="n">
        <v>-45885.35</v>
      </c>
      <c r="I1230" s="17" t="n">
        <v>45987</v>
      </c>
      <c r="J1230" s="17" t="n">
        <v>46017</v>
      </c>
      <c r="K1230" t="inlineStr">
        <is>
          <t>0888/25</t>
        </is>
      </c>
    </row>
    <row r="1231">
      <c r="A1231" t="inlineStr">
        <is>
          <t>IC4420</t>
        </is>
      </c>
      <c r="B1231" t="inlineStr">
        <is>
          <t>NORDEX ENERGY SPAIN S A U</t>
        </is>
      </c>
      <c r="C1231" t="n">
        <v>2122100000</v>
      </c>
      <c r="D1231" t="inlineStr">
        <is>
          <t>Intercompany</t>
        </is>
      </c>
      <c r="E1231" t="n">
        <v>5040661</v>
      </c>
      <c r="F1231" t="inlineStr">
        <is>
          <t>4025009201</t>
        </is>
      </c>
      <c r="G1231" t="inlineStr">
        <is>
          <t>RE</t>
        </is>
      </c>
      <c r="H1231" s="12" t="n">
        <v>-2132.38</v>
      </c>
      <c r="I1231" s="17" t="n">
        <v>45988</v>
      </c>
      <c r="J1231" s="17" t="n">
        <v>46018</v>
      </c>
      <c r="K1231" t="inlineStr">
        <is>
          <t>0898/25</t>
        </is>
      </c>
    </row>
    <row r="1232">
      <c r="A1232" t="inlineStr">
        <is>
          <t>IC4420</t>
        </is>
      </c>
      <c r="B1232" t="inlineStr">
        <is>
          <t>NORDEX ENERGY SPAIN S A U</t>
        </is>
      </c>
      <c r="C1232" t="n">
        <v>2122100000</v>
      </c>
      <c r="D1232" t="inlineStr">
        <is>
          <t>Intercompany</t>
        </is>
      </c>
      <c r="E1232" t="n">
        <v>5040663</v>
      </c>
      <c r="F1232" t="inlineStr">
        <is>
          <t>4025009222</t>
        </is>
      </c>
      <c r="G1232" t="inlineStr">
        <is>
          <t>RE</t>
        </is>
      </c>
      <c r="H1232" s="12" t="n">
        <v>-83637.49000000001</v>
      </c>
      <c r="I1232" s="17" t="n">
        <v>45979</v>
      </c>
      <c r="J1232" s="17" t="n">
        <v>46009</v>
      </c>
      <c r="K1232" t="inlineStr">
        <is>
          <t>0898/25</t>
        </is>
      </c>
    </row>
    <row r="1233">
      <c r="A1233" t="inlineStr">
        <is>
          <t>IC4420</t>
        </is>
      </c>
      <c r="B1233" t="inlineStr">
        <is>
          <t>NORDEX ENERGY SPAIN S A U</t>
        </is>
      </c>
      <c r="C1233" t="n">
        <v>2122100000</v>
      </c>
      <c r="D1233" t="inlineStr">
        <is>
          <t>Intercompany</t>
        </is>
      </c>
      <c r="E1233" t="n">
        <v>5040664</v>
      </c>
      <c r="F1233" t="inlineStr">
        <is>
          <t>4025009223</t>
        </is>
      </c>
      <c r="G1233" t="inlineStr">
        <is>
          <t>RE</t>
        </is>
      </c>
      <c r="H1233" s="12" t="n">
        <v>-22775.18</v>
      </c>
      <c r="I1233" s="17" t="n">
        <v>45988</v>
      </c>
      <c r="J1233" s="17" t="n">
        <v>46018</v>
      </c>
      <c r="K1233" t="inlineStr">
        <is>
          <t>0898/25</t>
        </is>
      </c>
    </row>
    <row r="1234">
      <c r="A1234" t="inlineStr">
        <is>
          <t>IC4420</t>
        </is>
      </c>
      <c r="B1234" t="inlineStr">
        <is>
          <t>NORDEX ENERGY SPAIN S A U</t>
        </is>
      </c>
      <c r="C1234" t="n">
        <v>2122100000</v>
      </c>
      <c r="D1234" t="inlineStr">
        <is>
          <t>Intercompany</t>
        </is>
      </c>
      <c r="E1234" t="n">
        <v>5040665</v>
      </c>
      <c r="F1234" t="inlineStr">
        <is>
          <t>4025009212</t>
        </is>
      </c>
      <c r="G1234" t="inlineStr">
        <is>
          <t>RE</t>
        </is>
      </c>
      <c r="H1234" s="12" t="n">
        <v>-120387.73</v>
      </c>
      <c r="I1234" s="17" t="n">
        <v>45988</v>
      </c>
      <c r="J1234" s="17" t="n">
        <v>46018</v>
      </c>
      <c r="K1234" t="inlineStr">
        <is>
          <t>0898/25</t>
        </is>
      </c>
    </row>
    <row r="1235">
      <c r="A1235" t="inlineStr">
        <is>
          <t>IC4420</t>
        </is>
      </c>
      <c r="B1235" t="inlineStr">
        <is>
          <t>NORDEX ENERGY SPAIN S A U</t>
        </is>
      </c>
      <c r="C1235" t="n">
        <v>2122100000</v>
      </c>
      <c r="D1235" t="inlineStr">
        <is>
          <t>Intercompany</t>
        </is>
      </c>
      <c r="E1235" t="n">
        <v>5040667</v>
      </c>
      <c r="F1235" t="inlineStr">
        <is>
          <t>4025009221</t>
        </is>
      </c>
      <c r="G1235" t="inlineStr">
        <is>
          <t>RE</t>
        </is>
      </c>
      <c r="H1235" s="12" t="n">
        <v>-80394.42999999999</v>
      </c>
      <c r="I1235" s="17" t="n">
        <v>45988</v>
      </c>
      <c r="J1235" s="17" t="n">
        <v>46018</v>
      </c>
      <c r="K1235" t="inlineStr">
        <is>
          <t>0898/25</t>
        </is>
      </c>
    </row>
    <row r="1236">
      <c r="A1236" t="inlineStr">
        <is>
          <t>IC1000</t>
        </is>
      </c>
      <c r="B1236" t="inlineStr">
        <is>
          <t>NORDEX ENERGY SE &amp; CO KG</t>
        </is>
      </c>
      <c r="C1236" t="n">
        <v>2122100000</v>
      </c>
      <c r="D1236" t="inlineStr">
        <is>
          <t>Intercompany</t>
        </is>
      </c>
      <c r="E1236" t="n">
        <v>5040670</v>
      </c>
      <c r="F1236" t="inlineStr">
        <is>
          <t>4012403352</t>
        </is>
      </c>
      <c r="G1236" t="inlineStr">
        <is>
          <t>RE</t>
        </is>
      </c>
      <c r="H1236" s="12" t="n">
        <v>-220511.07</v>
      </c>
      <c r="I1236" s="17" t="n">
        <v>45490</v>
      </c>
      <c r="J1236" s="17" t="n">
        <v>45520</v>
      </c>
      <c r="K1236" t="inlineStr">
        <is>
          <t>0615/24</t>
        </is>
      </c>
    </row>
    <row r="1237">
      <c r="A1237" t="inlineStr">
        <is>
          <t>IC4420</t>
        </is>
      </c>
      <c r="B1237" t="inlineStr">
        <is>
          <t>NORDEX ENERGY SPAIN S A U</t>
        </is>
      </c>
      <c r="C1237" t="n">
        <v>2122100000</v>
      </c>
      <c r="D1237" t="inlineStr">
        <is>
          <t>Intercompany</t>
        </is>
      </c>
      <c r="E1237" t="n">
        <v>5040734</v>
      </c>
      <c r="F1237" t="inlineStr">
        <is>
          <t>4025009131</t>
        </is>
      </c>
      <c r="G1237" t="inlineStr">
        <is>
          <t>RE</t>
        </is>
      </c>
      <c r="H1237" s="12" t="n">
        <v>-66575.35000000001</v>
      </c>
      <c r="I1237" s="17" t="n">
        <v>45988</v>
      </c>
      <c r="J1237" s="17" t="n">
        <v>46018</v>
      </c>
      <c r="K1237" t="inlineStr">
        <is>
          <t>0882/25</t>
        </is>
      </c>
    </row>
    <row r="1238">
      <c r="A1238" t="inlineStr">
        <is>
          <t>IC4420</t>
        </is>
      </c>
      <c r="B1238" t="inlineStr">
        <is>
          <t>NORDEX ENERGY SPAIN S A U</t>
        </is>
      </c>
      <c r="C1238" t="n">
        <v>2122100000</v>
      </c>
      <c r="D1238" t="inlineStr">
        <is>
          <t>Intercompany</t>
        </is>
      </c>
      <c r="E1238" t="n">
        <v>5040735</v>
      </c>
      <c r="F1238" t="inlineStr">
        <is>
          <t>4025008268</t>
        </is>
      </c>
      <c r="G1238" t="inlineStr">
        <is>
          <t>RE</t>
        </is>
      </c>
      <c r="H1238" s="12" t="n">
        <v>-101306.65</v>
      </c>
      <c r="I1238" s="17" t="n">
        <v>45957</v>
      </c>
      <c r="J1238" s="17" t="n">
        <v>45987</v>
      </c>
      <c r="K1238" t="inlineStr">
        <is>
          <t>0821/25</t>
        </is>
      </c>
    </row>
    <row r="1239">
      <c r="A1239" t="inlineStr">
        <is>
          <t>IC4420</t>
        </is>
      </c>
      <c r="B1239" t="inlineStr">
        <is>
          <t>NORDEX ENERGY SPAIN S A U</t>
        </is>
      </c>
      <c r="C1239" t="n">
        <v>2122100000</v>
      </c>
      <c r="D1239" t="inlineStr">
        <is>
          <t>Intercompany</t>
        </is>
      </c>
      <c r="E1239" t="n">
        <v>5040737</v>
      </c>
      <c r="F1239" t="inlineStr">
        <is>
          <t>4025009226</t>
        </is>
      </c>
      <c r="G1239" t="inlineStr">
        <is>
          <t>RE</t>
        </is>
      </c>
      <c r="H1239" s="12" t="n">
        <v>-211.72</v>
      </c>
      <c r="I1239" s="17" t="n">
        <v>45989</v>
      </c>
      <c r="J1239" s="17" t="n">
        <v>46019</v>
      </c>
      <c r="K1239" t="inlineStr">
        <is>
          <t>0904/25</t>
        </is>
      </c>
    </row>
    <row r="1240">
      <c r="A1240" t="inlineStr">
        <is>
          <t>IC1000</t>
        </is>
      </c>
      <c r="B1240" t="inlineStr">
        <is>
          <t>NORDEX ENERGY SE &amp; CO KG</t>
        </is>
      </c>
      <c r="C1240" t="n">
        <v>2122100000</v>
      </c>
      <c r="D1240" t="inlineStr">
        <is>
          <t>Intercompany</t>
        </is>
      </c>
      <c r="E1240" t="n">
        <v>5040742</v>
      </c>
      <c r="F1240" t="inlineStr">
        <is>
          <t>4012404416</t>
        </is>
      </c>
      <c r="G1240" t="inlineStr">
        <is>
          <t>RE</t>
        </is>
      </c>
      <c r="H1240" s="12" t="n">
        <v>-1616107.58</v>
      </c>
      <c r="I1240" s="17" t="n">
        <v>45516</v>
      </c>
      <c r="J1240" s="17" t="n">
        <v>45546</v>
      </c>
      <c r="K1240" t="inlineStr">
        <is>
          <t>0633/24</t>
        </is>
      </c>
    </row>
    <row r="1241">
      <c r="A1241" t="inlineStr">
        <is>
          <t>IC4420</t>
        </is>
      </c>
      <c r="B1241" t="inlineStr">
        <is>
          <t>NORDEX ENERGY SPAIN S A U</t>
        </is>
      </c>
      <c r="C1241" t="n">
        <v>2122100000</v>
      </c>
      <c r="D1241" t="inlineStr">
        <is>
          <t>Intercompany</t>
        </is>
      </c>
      <c r="E1241" t="n">
        <v>5040742</v>
      </c>
      <c r="F1241" t="inlineStr">
        <is>
          <t>4025009126</t>
        </is>
      </c>
      <c r="G1241" t="inlineStr">
        <is>
          <t>RE</t>
        </is>
      </c>
      <c r="H1241" s="12" t="n">
        <v>-425.03</v>
      </c>
      <c r="I1241" s="17" t="n">
        <v>45988</v>
      </c>
      <c r="J1241" s="17" t="n">
        <v>46018</v>
      </c>
      <c r="K1241" t="inlineStr">
        <is>
          <t>0893/25</t>
        </is>
      </c>
    </row>
    <row r="1242">
      <c r="A1242" t="inlineStr">
        <is>
          <t>IC4420</t>
        </is>
      </c>
      <c r="B1242" t="inlineStr">
        <is>
          <t>NORDEX ENERGY SPAIN S A U</t>
        </is>
      </c>
      <c r="C1242" t="n">
        <v>2122100000</v>
      </c>
      <c r="D1242" t="inlineStr">
        <is>
          <t>Intercompany</t>
        </is>
      </c>
      <c r="E1242" t="n">
        <v>5040743</v>
      </c>
      <c r="F1242" t="inlineStr">
        <is>
          <t>4025009095</t>
        </is>
      </c>
      <c r="G1242" t="inlineStr">
        <is>
          <t>RE</t>
        </is>
      </c>
      <c r="H1242" s="12" t="n">
        <v>-22565.96</v>
      </c>
      <c r="I1242" s="17" t="n">
        <v>45987</v>
      </c>
      <c r="J1242" s="17" t="n">
        <v>46017</v>
      </c>
      <c r="K1242" t="inlineStr">
        <is>
          <t>0880/25</t>
        </is>
      </c>
    </row>
    <row r="1243">
      <c r="A1243" t="inlineStr">
        <is>
          <t>IC4420</t>
        </is>
      </c>
      <c r="B1243" t="inlineStr">
        <is>
          <t>NORDEX ENERGY SPAIN S A U</t>
        </is>
      </c>
      <c r="C1243" t="n">
        <v>2122100000</v>
      </c>
      <c r="D1243" t="inlineStr">
        <is>
          <t>Intercompany</t>
        </is>
      </c>
      <c r="E1243" t="n">
        <v>5040744</v>
      </c>
      <c r="F1243" t="inlineStr">
        <is>
          <t>4025009133</t>
        </is>
      </c>
      <c r="G1243" t="inlineStr">
        <is>
          <t>RE</t>
        </is>
      </c>
      <c r="H1243" s="12" t="n">
        <v>-127308.84</v>
      </c>
      <c r="I1243" s="17" t="n">
        <v>45988</v>
      </c>
      <c r="J1243" s="17" t="n">
        <v>46018</v>
      </c>
      <c r="K1243" t="inlineStr">
        <is>
          <t>0884/25</t>
        </is>
      </c>
    </row>
    <row r="1244">
      <c r="A1244" t="inlineStr">
        <is>
          <t>IC4420</t>
        </is>
      </c>
      <c r="B1244" t="inlineStr">
        <is>
          <t>NORDEX ENERGY SPAIN S A U</t>
        </is>
      </c>
      <c r="C1244" t="n">
        <v>2122100000</v>
      </c>
      <c r="D1244" t="inlineStr">
        <is>
          <t>Intercompany</t>
        </is>
      </c>
      <c r="E1244" t="n">
        <v>5040745</v>
      </c>
      <c r="F1244" t="inlineStr">
        <is>
          <t>4025009071</t>
        </is>
      </c>
      <c r="G1244" t="inlineStr">
        <is>
          <t>RE</t>
        </is>
      </c>
      <c r="H1244" s="12" t="n">
        <v>-11031.26</v>
      </c>
      <c r="I1244" s="17" t="n">
        <v>45986</v>
      </c>
      <c r="J1244" s="17" t="n">
        <v>46016</v>
      </c>
      <c r="K1244" t="inlineStr">
        <is>
          <t>0901/25</t>
        </is>
      </c>
    </row>
    <row r="1245">
      <c r="A1245" t="inlineStr">
        <is>
          <t>IC4420</t>
        </is>
      </c>
      <c r="B1245" t="inlineStr">
        <is>
          <t>NORDEX ENERGY SPAIN S A U</t>
        </is>
      </c>
      <c r="C1245" t="n">
        <v>2122100000</v>
      </c>
      <c r="D1245" t="inlineStr">
        <is>
          <t>Intercompany</t>
        </is>
      </c>
      <c r="E1245" t="n">
        <v>5040747</v>
      </c>
      <c r="F1245" t="inlineStr">
        <is>
          <t>4025009138</t>
        </is>
      </c>
      <c r="G1245" t="inlineStr">
        <is>
          <t>RE</t>
        </is>
      </c>
      <c r="H1245" s="12" t="n">
        <v>-3363.31</v>
      </c>
      <c r="I1245" s="17" t="n">
        <v>45988</v>
      </c>
      <c r="J1245" s="17" t="n">
        <v>46018</v>
      </c>
      <c r="K1245" t="inlineStr">
        <is>
          <t>0884/25</t>
        </is>
      </c>
    </row>
    <row r="1246">
      <c r="A1246" t="inlineStr">
        <is>
          <t>IC1000</t>
        </is>
      </c>
      <c r="B1246" t="inlineStr">
        <is>
          <t>NORDEX ENERGY SE &amp; CO KG</t>
        </is>
      </c>
      <c r="C1246" t="n">
        <v>2122100000</v>
      </c>
      <c r="D1246" t="inlineStr">
        <is>
          <t>Intercompany</t>
        </is>
      </c>
      <c r="E1246" t="n">
        <v>5040770</v>
      </c>
      <c r="F1246" t="inlineStr">
        <is>
          <t>4012401909</t>
        </is>
      </c>
      <c r="G1246" t="inlineStr">
        <is>
          <t>RE</t>
        </is>
      </c>
      <c r="H1246" s="12" t="n">
        <v>-1614282.11</v>
      </c>
      <c r="I1246" s="17" t="n">
        <v>45504</v>
      </c>
      <c r="J1246" s="17" t="n">
        <v>45534</v>
      </c>
      <c r="K1246" t="inlineStr">
        <is>
          <t>0633/24</t>
        </is>
      </c>
    </row>
    <row r="1247">
      <c r="A1247" t="inlineStr">
        <is>
          <t>IC4420</t>
        </is>
      </c>
      <c r="B1247" t="inlineStr">
        <is>
          <t>NORDEX ENERGY SPAIN S A U</t>
        </is>
      </c>
      <c r="C1247" t="n">
        <v>2122100000</v>
      </c>
      <c r="D1247" t="inlineStr">
        <is>
          <t>Intercompany</t>
        </is>
      </c>
      <c r="E1247" t="n">
        <v>5040773</v>
      </c>
      <c r="F1247" t="inlineStr">
        <is>
          <t>4025008520</t>
        </is>
      </c>
      <c r="G1247" t="inlineStr">
        <is>
          <t>RE</t>
        </is>
      </c>
      <c r="H1247" s="12" t="n">
        <v>-1150729.16</v>
      </c>
      <c r="I1247" s="17" t="n">
        <v>45964</v>
      </c>
      <c r="J1247" s="17" t="n">
        <v>45994</v>
      </c>
      <c r="K1247" t="inlineStr">
        <is>
          <t>0840/25</t>
        </is>
      </c>
    </row>
    <row r="1248">
      <c r="A1248" t="inlineStr">
        <is>
          <t>IC4420</t>
        </is>
      </c>
      <c r="B1248" t="inlineStr">
        <is>
          <t>NORDEX ENERGY SPAIN S A U</t>
        </is>
      </c>
      <c r="C1248" t="n">
        <v>2122100000</v>
      </c>
      <c r="D1248" t="inlineStr">
        <is>
          <t>Intercompany</t>
        </is>
      </c>
      <c r="E1248" t="n">
        <v>5040875</v>
      </c>
      <c r="F1248" t="inlineStr">
        <is>
          <t>4025007920</t>
        </is>
      </c>
      <c r="G1248" t="inlineStr">
        <is>
          <t>RE</t>
        </is>
      </c>
      <c r="H1248" s="12" t="n">
        <v>-230731.47</v>
      </c>
      <c r="I1248" s="17" t="n">
        <v>45944</v>
      </c>
      <c r="J1248" s="17" t="n">
        <v>45974</v>
      </c>
      <c r="K1248" t="inlineStr">
        <is>
          <t>0797/25</t>
        </is>
      </c>
    </row>
    <row r="1249">
      <c r="A1249" t="inlineStr">
        <is>
          <t>IC4420</t>
        </is>
      </c>
      <c r="B1249" t="inlineStr">
        <is>
          <t>NORDEX ENERGY SPAIN S A U</t>
        </is>
      </c>
      <c r="C1249" t="n">
        <v>2122100000</v>
      </c>
      <c r="D1249" t="inlineStr">
        <is>
          <t>Intercompany</t>
        </is>
      </c>
      <c r="E1249" t="n">
        <v>5040944</v>
      </c>
      <c r="F1249" t="inlineStr">
        <is>
          <t>4025008492</t>
        </is>
      </c>
      <c r="G1249" t="inlineStr">
        <is>
          <t>RE</t>
        </is>
      </c>
      <c r="H1249" s="12" t="n">
        <v>-41032.19</v>
      </c>
      <c r="I1249" s="17" t="n">
        <v>45964</v>
      </c>
      <c r="J1249" s="17" t="n">
        <v>45994</v>
      </c>
      <c r="K1249" t="inlineStr">
        <is>
          <t>0859/25</t>
        </is>
      </c>
    </row>
    <row r="1250">
      <c r="A1250" t="inlineStr">
        <is>
          <t>IC4420</t>
        </is>
      </c>
      <c r="B1250" t="inlineStr">
        <is>
          <t>NORDEX ENERGY SPAIN S A U</t>
        </is>
      </c>
      <c r="C1250" t="n">
        <v>2122100000</v>
      </c>
      <c r="D1250" t="inlineStr">
        <is>
          <t>Intercompany</t>
        </is>
      </c>
      <c r="E1250" t="n">
        <v>5040946</v>
      </c>
      <c r="F1250" t="inlineStr">
        <is>
          <t>4018000205</t>
        </is>
      </c>
      <c r="G1250" t="inlineStr">
        <is>
          <t>RE</t>
        </is>
      </c>
      <c r="H1250" s="12" t="n">
        <v>-19.17</v>
      </c>
      <c r="I1250" s="17" t="n">
        <v>45957</v>
      </c>
      <c r="J1250" s="17" t="n">
        <v>45987</v>
      </c>
      <c r="K1250" t="inlineStr">
        <is>
          <t>0825/25</t>
        </is>
      </c>
    </row>
    <row r="1251">
      <c r="A1251" t="inlineStr">
        <is>
          <t>IC4420</t>
        </is>
      </c>
      <c r="B1251" t="inlineStr">
        <is>
          <t>NORDEX ENERGY SPAIN S A U</t>
        </is>
      </c>
      <c r="C1251" t="n">
        <v>2122100000</v>
      </c>
      <c r="D1251" t="inlineStr">
        <is>
          <t>Intercompany</t>
        </is>
      </c>
      <c r="E1251" t="n">
        <v>5040948</v>
      </c>
      <c r="F1251" t="inlineStr">
        <is>
          <t>4025008258</t>
        </is>
      </c>
      <c r="G1251" t="inlineStr">
        <is>
          <t>RE</t>
        </is>
      </c>
      <c r="H1251" s="12" t="n">
        <v>-251449.49</v>
      </c>
      <c r="I1251" s="17" t="n">
        <v>45957</v>
      </c>
      <c r="J1251" s="17" t="n">
        <v>45987</v>
      </c>
      <c r="K1251" t="inlineStr">
        <is>
          <t>0829/25</t>
        </is>
      </c>
    </row>
    <row r="1252">
      <c r="A1252" t="inlineStr">
        <is>
          <t>IC4420</t>
        </is>
      </c>
      <c r="B1252" t="inlineStr">
        <is>
          <t>NORDEX ENERGY SPAIN S A U</t>
        </is>
      </c>
      <c r="C1252" t="n">
        <v>2122100000</v>
      </c>
      <c r="D1252" t="inlineStr">
        <is>
          <t>Intercompany</t>
        </is>
      </c>
      <c r="E1252" t="n">
        <v>5040949</v>
      </c>
      <c r="F1252" t="inlineStr">
        <is>
          <t>4025008259</t>
        </is>
      </c>
      <c r="G1252" t="inlineStr">
        <is>
          <t>RE</t>
        </is>
      </c>
      <c r="H1252" s="12" t="n">
        <v>-13733.8</v>
      </c>
      <c r="I1252" s="17" t="n">
        <v>45957</v>
      </c>
      <c r="J1252" s="17" t="n">
        <v>45987</v>
      </c>
      <c r="K1252" t="inlineStr">
        <is>
          <t>0825/25</t>
        </is>
      </c>
    </row>
    <row r="1253">
      <c r="A1253" t="inlineStr">
        <is>
          <t>IC4420</t>
        </is>
      </c>
      <c r="B1253" t="inlineStr">
        <is>
          <t>NORDEX ENERGY SPAIN S A U</t>
        </is>
      </c>
      <c r="C1253" t="n">
        <v>2122100000</v>
      </c>
      <c r="D1253" t="inlineStr">
        <is>
          <t>Intercompany</t>
        </is>
      </c>
      <c r="E1253" t="n">
        <v>5040956</v>
      </c>
      <c r="F1253" t="inlineStr">
        <is>
          <t>4025008260</t>
        </is>
      </c>
      <c r="G1253" t="inlineStr">
        <is>
          <t>RE</t>
        </is>
      </c>
      <c r="H1253" s="12" t="n">
        <v>-32.43</v>
      </c>
      <c r="I1253" s="17" t="n">
        <v>45957</v>
      </c>
      <c r="J1253" s="17" t="n">
        <v>45987</v>
      </c>
      <c r="K1253" t="inlineStr">
        <is>
          <t>0825/25</t>
        </is>
      </c>
    </row>
    <row r="1254">
      <c r="A1254" t="inlineStr">
        <is>
          <t>IC4420</t>
        </is>
      </c>
      <c r="B1254" t="inlineStr">
        <is>
          <t>NORDEX ENERGY SPAIN S A U</t>
        </is>
      </c>
      <c r="C1254" t="n">
        <v>2122100000</v>
      </c>
      <c r="D1254" t="inlineStr">
        <is>
          <t>Intercompany</t>
        </is>
      </c>
      <c r="E1254" t="n">
        <v>5040989</v>
      </c>
      <c r="F1254" t="inlineStr">
        <is>
          <t>4025006816</t>
        </is>
      </c>
      <c r="G1254" t="inlineStr">
        <is>
          <t>RE</t>
        </is>
      </c>
      <c r="H1254" s="12" t="n">
        <v>-4156.24</v>
      </c>
      <c r="I1254" s="17" t="n">
        <v>45931</v>
      </c>
      <c r="J1254" s="17" t="n">
        <v>45961</v>
      </c>
      <c r="K1254" t="inlineStr">
        <is>
          <t>0710/25</t>
        </is>
      </c>
    </row>
    <row r="1255">
      <c r="A1255" t="inlineStr">
        <is>
          <t>IC4420</t>
        </is>
      </c>
      <c r="B1255" t="inlineStr">
        <is>
          <t>NORDEX ENERGY SPAIN S A U</t>
        </is>
      </c>
      <c r="C1255" t="n">
        <v>2122100000</v>
      </c>
      <c r="D1255" t="inlineStr">
        <is>
          <t>Intercompany</t>
        </is>
      </c>
      <c r="E1255" t="n">
        <v>5040990</v>
      </c>
      <c r="F1255" t="inlineStr">
        <is>
          <t>4025008263/8272</t>
        </is>
      </c>
      <c r="G1255" t="inlineStr">
        <is>
          <t>RE</t>
        </is>
      </c>
      <c r="H1255" s="12" t="n">
        <v>-24518.33</v>
      </c>
      <c r="I1255" s="17" t="n">
        <v>45992</v>
      </c>
      <c r="J1255" s="17" t="n">
        <v>46022</v>
      </c>
      <c r="K1255" t="inlineStr">
        <is>
          <t>0817/25</t>
        </is>
      </c>
    </row>
    <row r="1256">
      <c r="A1256" t="inlineStr">
        <is>
          <t>IC4420</t>
        </is>
      </c>
      <c r="B1256" t="inlineStr">
        <is>
          <t>NORDEX ENERGY SPAIN S A U</t>
        </is>
      </c>
      <c r="C1256" t="n">
        <v>2122100000</v>
      </c>
      <c r="D1256" t="inlineStr">
        <is>
          <t>Intercompany</t>
        </is>
      </c>
      <c r="E1256" t="n">
        <v>5040991</v>
      </c>
      <c r="F1256" t="inlineStr">
        <is>
          <t>4025009135</t>
        </is>
      </c>
      <c r="G1256" t="inlineStr">
        <is>
          <t>RE</t>
        </is>
      </c>
      <c r="H1256" s="12" t="n">
        <v>-62991.44</v>
      </c>
      <c r="I1256" s="17" t="n">
        <v>46000</v>
      </c>
      <c r="J1256" s="17" t="n">
        <v>46030</v>
      </c>
      <c r="K1256" t="inlineStr">
        <is>
          <t>0886/25</t>
        </is>
      </c>
    </row>
    <row r="1257">
      <c r="A1257" t="inlineStr">
        <is>
          <t>IC4420</t>
        </is>
      </c>
      <c r="B1257" t="inlineStr">
        <is>
          <t>NORDEX ENERGY SPAIN S A U</t>
        </is>
      </c>
      <c r="C1257" t="n">
        <v>2122100000</v>
      </c>
      <c r="D1257" t="inlineStr">
        <is>
          <t>Intercompany</t>
        </is>
      </c>
      <c r="E1257" t="n">
        <v>5041026</v>
      </c>
      <c r="F1257" t="inlineStr">
        <is>
          <t>4025007823</t>
        </is>
      </c>
      <c r="G1257" t="inlineStr">
        <is>
          <t>RE</t>
        </is>
      </c>
      <c r="H1257" s="12" t="n">
        <v>-254208.21</v>
      </c>
      <c r="I1257" s="17" t="n">
        <v>45940</v>
      </c>
      <c r="J1257" s="17" t="n">
        <v>45970</v>
      </c>
      <c r="K1257" t="inlineStr">
        <is>
          <t>0791/25</t>
        </is>
      </c>
    </row>
    <row r="1258">
      <c r="A1258" t="inlineStr">
        <is>
          <t>IC4420</t>
        </is>
      </c>
      <c r="B1258" t="inlineStr">
        <is>
          <t>NORDEX ENERGY SPAIN S A U</t>
        </is>
      </c>
      <c r="C1258" t="n">
        <v>2122100000</v>
      </c>
      <c r="D1258" t="inlineStr">
        <is>
          <t>Intercompany</t>
        </is>
      </c>
      <c r="E1258" t="n">
        <v>5041045</v>
      </c>
      <c r="F1258" t="inlineStr">
        <is>
          <t>4025007603</t>
        </is>
      </c>
      <c r="G1258" t="inlineStr">
        <is>
          <t>RE</t>
        </is>
      </c>
      <c r="H1258" s="12" t="n">
        <v>-139985.57</v>
      </c>
      <c r="I1258" s="17" t="n">
        <v>45932</v>
      </c>
      <c r="J1258" s="17" t="n">
        <v>45962</v>
      </c>
      <c r="K1258" t="inlineStr">
        <is>
          <t>0814/25</t>
        </is>
      </c>
    </row>
    <row r="1259">
      <c r="A1259" t="inlineStr">
        <is>
          <t>IC4420</t>
        </is>
      </c>
      <c r="B1259" t="inlineStr">
        <is>
          <t>NORDEX ENERGY SPAIN S A U</t>
        </is>
      </c>
      <c r="C1259" t="n">
        <v>2122100000</v>
      </c>
      <c r="D1259" t="inlineStr">
        <is>
          <t>Intercompany</t>
        </is>
      </c>
      <c r="E1259" t="n">
        <v>5041046</v>
      </c>
      <c r="F1259" t="inlineStr">
        <is>
          <t>4025007618</t>
        </is>
      </c>
      <c r="G1259" t="inlineStr">
        <is>
          <t>RE</t>
        </is>
      </c>
      <c r="H1259" s="12" t="n">
        <v>-16060.45</v>
      </c>
      <c r="I1259" s="17" t="n">
        <v>45932</v>
      </c>
      <c r="J1259" s="17" t="n">
        <v>45962</v>
      </c>
      <c r="K1259" t="inlineStr">
        <is>
          <t>0814/25</t>
        </is>
      </c>
    </row>
    <row r="1260">
      <c r="A1260" t="inlineStr">
        <is>
          <t>IC4420</t>
        </is>
      </c>
      <c r="B1260" t="inlineStr">
        <is>
          <t>NORDEX ENERGY SPAIN S A U</t>
        </is>
      </c>
      <c r="C1260" t="n">
        <v>2122100000</v>
      </c>
      <c r="D1260" t="inlineStr">
        <is>
          <t>Intercompany</t>
        </is>
      </c>
      <c r="E1260" t="n">
        <v>5041048</v>
      </c>
      <c r="F1260" t="inlineStr">
        <is>
          <t>4025007617</t>
        </is>
      </c>
      <c r="G1260" t="inlineStr">
        <is>
          <t>RE</t>
        </is>
      </c>
      <c r="H1260" s="12" t="n">
        <v>-113577.64</v>
      </c>
      <c r="I1260" s="17" t="n">
        <v>45932</v>
      </c>
      <c r="J1260" s="17" t="n">
        <v>45962</v>
      </c>
      <c r="K1260" t="inlineStr">
        <is>
          <t>0814/25</t>
        </is>
      </c>
    </row>
    <row r="1261">
      <c r="A1261" t="inlineStr">
        <is>
          <t>IC4420</t>
        </is>
      </c>
      <c r="B1261" t="inlineStr">
        <is>
          <t>NORDEX ENERGY SPAIN S A U</t>
        </is>
      </c>
      <c r="C1261" t="n">
        <v>2122100000</v>
      </c>
      <c r="D1261" t="inlineStr">
        <is>
          <t>Intercompany</t>
        </is>
      </c>
      <c r="E1261" t="n">
        <v>5041049</v>
      </c>
      <c r="F1261" t="inlineStr">
        <is>
          <t>4025007589</t>
        </is>
      </c>
      <c r="G1261" t="inlineStr">
        <is>
          <t>RE</t>
        </is>
      </c>
      <c r="H1261" s="12" t="n">
        <v>-24188.99</v>
      </c>
      <c r="I1261" s="17" t="n">
        <v>45932</v>
      </c>
      <c r="J1261" s="17" t="n">
        <v>45962</v>
      </c>
      <c r="K1261" t="inlineStr">
        <is>
          <t>0814/25</t>
        </is>
      </c>
    </row>
    <row r="1262">
      <c r="A1262" t="inlineStr">
        <is>
          <t>IC1000</t>
        </is>
      </c>
      <c r="B1262" t="inlineStr">
        <is>
          <t>NORDEX ENERGY SE &amp; CO KG</t>
        </is>
      </c>
      <c r="C1262" t="n">
        <v>2122100000</v>
      </c>
      <c r="D1262" t="inlineStr">
        <is>
          <t>Intercompany</t>
        </is>
      </c>
      <c r="E1262" t="n">
        <v>5041118</v>
      </c>
      <c r="F1262" t="inlineStr">
        <is>
          <t>307428</t>
        </is>
      </c>
      <c r="G1262" t="inlineStr">
        <is>
          <t>RE</t>
        </is>
      </c>
      <c r="H1262" s="12" t="n">
        <v>-6847.16</v>
      </c>
      <c r="I1262" s="17" t="n">
        <v>45541</v>
      </c>
      <c r="J1262" s="17" t="n">
        <v>45571</v>
      </c>
      <c r="K1262" t="inlineStr">
        <is>
          <t>0781/24</t>
        </is>
      </c>
    </row>
    <row r="1263">
      <c r="A1263" t="inlineStr">
        <is>
          <t>IC1000</t>
        </is>
      </c>
      <c r="B1263" t="inlineStr">
        <is>
          <t>NORDEX ENERGY SE &amp; CO KG</t>
        </is>
      </c>
      <c r="C1263" t="n">
        <v>2122100000</v>
      </c>
      <c r="D1263" t="inlineStr">
        <is>
          <t>Intercompany</t>
        </is>
      </c>
      <c r="E1263" t="n">
        <v>5041121</v>
      </c>
      <c r="F1263" t="inlineStr">
        <is>
          <t>4012404431</t>
        </is>
      </c>
      <c r="G1263" t="inlineStr">
        <is>
          <t>RE</t>
        </is>
      </c>
      <c r="H1263" s="12" t="n">
        <v>-1616107.58</v>
      </c>
      <c r="I1263" s="17" t="n">
        <v>45516</v>
      </c>
      <c r="J1263" s="17" t="n">
        <v>45546</v>
      </c>
      <c r="K1263" t="inlineStr">
        <is>
          <t>0633/24</t>
        </is>
      </c>
    </row>
    <row r="1264">
      <c r="A1264" t="inlineStr">
        <is>
          <t>IC1000</t>
        </is>
      </c>
      <c r="B1264" t="inlineStr">
        <is>
          <t>NORDEX ENERGY SE &amp; CO KG</t>
        </is>
      </c>
      <c r="C1264" t="n">
        <v>2122100000</v>
      </c>
      <c r="D1264" t="inlineStr">
        <is>
          <t>Intercompany</t>
        </is>
      </c>
      <c r="E1264" t="n">
        <v>5041152</v>
      </c>
      <c r="F1264" t="inlineStr">
        <is>
          <t>623946</t>
        </is>
      </c>
      <c r="G1264" t="inlineStr">
        <is>
          <t>KR</t>
        </is>
      </c>
      <c r="H1264" s="12" t="n">
        <v>-1912287.73</v>
      </c>
      <c r="I1264" s="17" t="n">
        <v>46006</v>
      </c>
      <c r="J1264" s="17" t="n">
        <v>46036</v>
      </c>
      <c r="K1264" t="inlineStr">
        <is>
          <t>Fatura do fornecedor NORDEX ENERGY SE &amp; CO KG 6239</t>
        </is>
      </c>
    </row>
    <row r="1265">
      <c r="A1265" t="inlineStr">
        <is>
          <t>IC5000</t>
        </is>
      </c>
      <c r="B1265" t="inlineStr">
        <is>
          <t>NORDEX SE</t>
        </is>
      </c>
      <c r="C1265" t="n">
        <v>2122100000</v>
      </c>
      <c r="D1265" t="inlineStr">
        <is>
          <t>Intercompany</t>
        </is>
      </c>
      <c r="E1265" t="n">
        <v>5041189</v>
      </c>
      <c r="F1265" t="inlineStr">
        <is>
          <t>610367</t>
        </is>
      </c>
      <c r="G1265" t="inlineStr">
        <is>
          <t>KR</t>
        </is>
      </c>
      <c r="H1265" s="12" t="n">
        <v>-3276247.9</v>
      </c>
      <c r="I1265" s="17" t="n">
        <v>46022</v>
      </c>
      <c r="J1265" s="17" t="n">
        <v>46022</v>
      </c>
      <c r="K1265" t="inlineStr">
        <is>
          <t>Fatura do fornecedor NORDEX SE 610367</t>
        </is>
      </c>
    </row>
    <row r="1266">
      <c r="A1266" t="inlineStr">
        <is>
          <t>IC1000</t>
        </is>
      </c>
      <c r="B1266" t="inlineStr">
        <is>
          <t>NORDEX ENERGY SE &amp; CO KG</t>
        </is>
      </c>
      <c r="C1266" t="n">
        <v>2122100000</v>
      </c>
      <c r="D1266" t="inlineStr">
        <is>
          <t>Intercompany</t>
        </is>
      </c>
      <c r="E1266" t="n">
        <v>5041325</v>
      </c>
      <c r="F1266" t="inlineStr">
        <is>
          <t>308731</t>
        </is>
      </c>
      <c r="G1266" t="inlineStr">
        <is>
          <t>RE</t>
        </is>
      </c>
      <c r="H1266" s="12" t="n">
        <v>-82051.39999999999</v>
      </c>
      <c r="I1266" s="17" t="n">
        <v>45553</v>
      </c>
      <c r="J1266" s="17" t="n">
        <v>45583</v>
      </c>
      <c r="K1266" t="inlineStr">
        <is>
          <t>0867/24</t>
        </is>
      </c>
    </row>
    <row r="1267">
      <c r="A1267" t="inlineStr">
        <is>
          <t>IC1000</t>
        </is>
      </c>
      <c r="B1267" t="inlineStr">
        <is>
          <t>NORDEX ENERGY SE &amp; CO KG</t>
        </is>
      </c>
      <c r="C1267" t="n">
        <v>2122100000</v>
      </c>
      <c r="D1267" t="inlineStr">
        <is>
          <t>Intercompany</t>
        </is>
      </c>
      <c r="E1267" t="n">
        <v>5041911</v>
      </c>
      <c r="F1267" t="inlineStr">
        <is>
          <t>305393</t>
        </is>
      </c>
      <c r="G1267" t="inlineStr">
        <is>
          <t>RE</t>
        </is>
      </c>
      <c r="H1267" s="12" t="n">
        <v>-102251.97</v>
      </c>
      <c r="I1267" s="17" t="n">
        <v>45530</v>
      </c>
      <c r="J1267" s="17" t="n">
        <v>45560</v>
      </c>
      <c r="K1267" t="inlineStr">
        <is>
          <t>0706/24</t>
        </is>
      </c>
    </row>
    <row r="1268">
      <c r="A1268" t="inlineStr">
        <is>
          <t>IC1000</t>
        </is>
      </c>
      <c r="B1268" t="inlineStr">
        <is>
          <t>NORDEX ENERGY SE &amp; CO KG</t>
        </is>
      </c>
      <c r="C1268" t="n">
        <v>2122100000</v>
      </c>
      <c r="D1268" t="inlineStr">
        <is>
          <t>Intercompany</t>
        </is>
      </c>
      <c r="E1268" t="n">
        <v>5041998</v>
      </c>
      <c r="F1268" t="inlineStr">
        <is>
          <t>301847</t>
        </is>
      </c>
      <c r="G1268" t="inlineStr">
        <is>
          <t>RE</t>
        </is>
      </c>
      <c r="H1268" s="12" t="n">
        <v>-1802.77</v>
      </c>
      <c r="I1268" s="17" t="n">
        <v>45505</v>
      </c>
      <c r="J1268" s="17" t="n">
        <v>45535</v>
      </c>
      <c r="K1268" t="inlineStr">
        <is>
          <t>0713/24</t>
        </is>
      </c>
    </row>
    <row r="1269">
      <c r="A1269" t="inlineStr">
        <is>
          <t>IC5000</t>
        </is>
      </c>
      <c r="B1269" t="inlineStr">
        <is>
          <t>NORDEX SE</t>
        </is>
      </c>
      <c r="C1269" t="n">
        <v>2122100000</v>
      </c>
      <c r="D1269" t="inlineStr">
        <is>
          <t>Intercompany</t>
        </is>
      </c>
      <c r="E1269" t="n">
        <v>5042043</v>
      </c>
      <c r="F1269" t="inlineStr">
        <is>
          <t>608792</t>
        </is>
      </c>
      <c r="G1269" t="inlineStr">
        <is>
          <t>KR</t>
        </is>
      </c>
      <c r="H1269" s="12" t="n">
        <v>-3721245.14</v>
      </c>
      <c r="I1269" s="17" t="n">
        <v>45575</v>
      </c>
      <c r="J1269" s="17" t="n">
        <v>45575</v>
      </c>
      <c r="K1269" t="inlineStr">
        <is>
          <t>Parent Company Guarantee Fee Q3-2024 - 608792 - IC</t>
        </is>
      </c>
    </row>
    <row r="1270">
      <c r="A1270" t="inlineStr">
        <is>
          <t>IC5000</t>
        </is>
      </c>
      <c r="B1270" t="inlineStr">
        <is>
          <t>NORDEX SE</t>
        </is>
      </c>
      <c r="C1270" t="n">
        <v>2122100000</v>
      </c>
      <c r="D1270" t="inlineStr">
        <is>
          <t>Intercompany</t>
        </is>
      </c>
      <c r="E1270" t="n">
        <v>5042266</v>
      </c>
      <c r="F1270" t="inlineStr">
        <is>
          <t>608810</t>
        </is>
      </c>
      <c r="G1270" t="inlineStr">
        <is>
          <t>KR</t>
        </is>
      </c>
      <c r="H1270" s="12" t="n">
        <v>-7656946.91</v>
      </c>
      <c r="I1270" s="17" t="n">
        <v>45576</v>
      </c>
      <c r="J1270" s="17" t="n">
        <v>45576</v>
      </c>
      <c r="K1270" t="inlineStr">
        <is>
          <t>Invoice bank guarantee fee Q3-2024 - 608810 - IC50</t>
        </is>
      </c>
    </row>
    <row r="1271">
      <c r="A1271" t="inlineStr">
        <is>
          <t>IC1000</t>
        </is>
      </c>
      <c r="B1271" t="inlineStr">
        <is>
          <t>NORDEX ENERGY SE &amp; CO KG</t>
        </is>
      </c>
      <c r="C1271" t="n">
        <v>2122100000</v>
      </c>
      <c r="D1271" t="inlineStr">
        <is>
          <t>Intercompany</t>
        </is>
      </c>
      <c r="E1271" t="n">
        <v>5042280</v>
      </c>
      <c r="F1271" t="inlineStr">
        <is>
          <t>8-4</t>
        </is>
      </c>
      <c r="G1271" t="inlineStr">
        <is>
          <t>RE</t>
        </is>
      </c>
      <c r="H1271" s="12" t="n">
        <v>-931236.05</v>
      </c>
      <c r="I1271" s="17" t="n">
        <v>45131</v>
      </c>
      <c r="J1271" s="17" t="n">
        <v>45161</v>
      </c>
      <c r="K1271" t="inlineStr">
        <is>
          <t>Fatura - bruto NORDEX ENERGY SE &amp; CO KG 8-4</t>
        </is>
      </c>
    </row>
    <row r="1272">
      <c r="A1272" t="inlineStr">
        <is>
          <t>IC1000</t>
        </is>
      </c>
      <c r="B1272" t="inlineStr">
        <is>
          <t>NORDEX ENERGY SE &amp; CO KG</t>
        </is>
      </c>
      <c r="C1272" t="n">
        <v>2122100000</v>
      </c>
      <c r="D1272" t="inlineStr">
        <is>
          <t>Intercompany</t>
        </is>
      </c>
      <c r="E1272" t="n">
        <v>5042292</v>
      </c>
      <c r="F1272" t="inlineStr">
        <is>
          <t>4012412829</t>
        </is>
      </c>
      <c r="G1272" t="inlineStr">
        <is>
          <t>RE</t>
        </is>
      </c>
      <c r="H1272" s="12" t="n">
        <v>-502.15</v>
      </c>
      <c r="I1272" s="17" t="n">
        <v>45566</v>
      </c>
      <c r="J1272" s="17" t="n">
        <v>45596</v>
      </c>
      <c r="K1272" t="inlineStr">
        <is>
          <t>0895/24</t>
        </is>
      </c>
    </row>
    <row r="1273">
      <c r="A1273" t="inlineStr">
        <is>
          <t>IC1000</t>
        </is>
      </c>
      <c r="B1273" t="inlineStr">
        <is>
          <t>NORDEX ENERGY SE &amp; CO KG</t>
        </is>
      </c>
      <c r="C1273" t="n">
        <v>2122100000</v>
      </c>
      <c r="D1273" t="inlineStr">
        <is>
          <t>Intercompany</t>
        </is>
      </c>
      <c r="E1273" t="n">
        <v>5042293</v>
      </c>
      <c r="F1273" t="inlineStr">
        <is>
          <t>4012412830</t>
        </is>
      </c>
      <c r="G1273" t="inlineStr">
        <is>
          <t>RE</t>
        </is>
      </c>
      <c r="H1273" s="12" t="n">
        <v>-1470.9</v>
      </c>
      <c r="I1273" s="17" t="n">
        <v>45566</v>
      </c>
      <c r="J1273" s="17" t="n">
        <v>45596</v>
      </c>
      <c r="K1273" t="inlineStr">
        <is>
          <t>0895/24</t>
        </is>
      </c>
    </row>
    <row r="1274">
      <c r="A1274" t="inlineStr">
        <is>
          <t>IC1000</t>
        </is>
      </c>
      <c r="B1274" t="inlineStr">
        <is>
          <t>NORDEX ENERGY SE &amp; CO KG</t>
        </is>
      </c>
      <c r="C1274" t="n">
        <v>2122100000</v>
      </c>
      <c r="D1274" t="inlineStr">
        <is>
          <t>Intercompany</t>
        </is>
      </c>
      <c r="E1274" t="n">
        <v>5042294</v>
      </c>
      <c r="F1274" t="inlineStr">
        <is>
          <t>4012412828</t>
        </is>
      </c>
      <c r="G1274" t="inlineStr">
        <is>
          <t>RE</t>
        </is>
      </c>
      <c r="H1274" s="12" t="n">
        <v>-15627.3</v>
      </c>
      <c r="I1274" s="17" t="n">
        <v>45566</v>
      </c>
      <c r="J1274" s="17" t="n">
        <v>45596</v>
      </c>
      <c r="K1274" t="inlineStr">
        <is>
          <t>0895/24</t>
        </is>
      </c>
    </row>
    <row r="1275">
      <c r="A1275" t="inlineStr">
        <is>
          <t>IC1000</t>
        </is>
      </c>
      <c r="B1275" t="inlineStr">
        <is>
          <t>NORDEX ENERGY SE &amp; CO KG</t>
        </is>
      </c>
      <c r="C1275" t="n">
        <v>2122100000</v>
      </c>
      <c r="D1275" t="inlineStr">
        <is>
          <t>Intercompany</t>
        </is>
      </c>
      <c r="E1275" t="n">
        <v>5042680</v>
      </c>
      <c r="F1275" t="inlineStr">
        <is>
          <t>303972</t>
        </is>
      </c>
      <c r="G1275" t="inlineStr">
        <is>
          <t>RE</t>
        </is>
      </c>
      <c r="H1275" s="12" t="n">
        <v>-18400.45</v>
      </c>
      <c r="I1275" s="17" t="n">
        <v>45518</v>
      </c>
      <c r="J1275" s="17" t="n">
        <v>45548</v>
      </c>
      <c r="K1275" t="inlineStr">
        <is>
          <t>0745/24</t>
        </is>
      </c>
    </row>
    <row r="1276">
      <c r="A1276" t="inlineStr">
        <is>
          <t>IC1000</t>
        </is>
      </c>
      <c r="B1276" t="inlineStr">
        <is>
          <t>NORDEX ENERGY SE &amp; CO KG</t>
        </is>
      </c>
      <c r="C1276" t="n">
        <v>2122100000</v>
      </c>
      <c r="D1276" t="inlineStr">
        <is>
          <t>Intercompany</t>
        </is>
      </c>
      <c r="E1276" t="n">
        <v>5042861</v>
      </c>
      <c r="F1276" t="inlineStr">
        <is>
          <t>77543</t>
        </is>
      </c>
      <c r="G1276" t="inlineStr">
        <is>
          <t>RE</t>
        </is>
      </c>
      <c r="H1276" s="12" t="n">
        <v>-2217723.56</v>
      </c>
      <c r="I1276" s="17" t="n">
        <v>45467</v>
      </c>
      <c r="J1276" s="17" t="n">
        <v>45497</v>
      </c>
      <c r="K1276" t="inlineStr">
        <is>
          <t>0859/24</t>
        </is>
      </c>
    </row>
    <row r="1277">
      <c r="A1277" t="inlineStr">
        <is>
          <t>IC1000</t>
        </is>
      </c>
      <c r="B1277" t="inlineStr">
        <is>
          <t>NORDEX ENERGY SE &amp; CO KG</t>
        </is>
      </c>
      <c r="C1277" t="n">
        <v>2122100000</v>
      </c>
      <c r="D1277" t="inlineStr">
        <is>
          <t>Intercompany</t>
        </is>
      </c>
      <c r="E1277" t="n">
        <v>5043586</v>
      </c>
      <c r="F1277" t="inlineStr">
        <is>
          <t>4024006722</t>
        </is>
      </c>
      <c r="G1277" t="inlineStr">
        <is>
          <t>RE</t>
        </is>
      </c>
      <c r="H1277" s="12" t="n">
        <v>-151769.38</v>
      </c>
      <c r="I1277" s="17" t="n">
        <v>45559</v>
      </c>
      <c r="J1277" s="17" t="n">
        <v>45589</v>
      </c>
      <c r="K1277" t="inlineStr">
        <is>
          <t>0868/24</t>
        </is>
      </c>
    </row>
    <row r="1278">
      <c r="A1278" t="inlineStr">
        <is>
          <t>IC1000</t>
        </is>
      </c>
      <c r="B1278" t="inlineStr">
        <is>
          <t>NORDEX ENERGY SE &amp; CO KG</t>
        </is>
      </c>
      <c r="C1278" t="n">
        <v>2122100000</v>
      </c>
      <c r="D1278" t="inlineStr">
        <is>
          <t>Intercompany</t>
        </is>
      </c>
      <c r="E1278" t="n">
        <v>5045853</v>
      </c>
      <c r="F1278" t="inlineStr">
        <is>
          <t>4012415910</t>
        </is>
      </c>
      <c r="G1278" t="inlineStr">
        <is>
          <t>RE</t>
        </is>
      </c>
      <c r="H1278" s="12" t="n">
        <v>-39275.95</v>
      </c>
      <c r="I1278" s="17" t="n">
        <v>45586</v>
      </c>
      <c r="J1278" s="17" t="n">
        <v>45616</v>
      </c>
      <c r="K1278" t="inlineStr">
        <is>
          <t>0972/24</t>
        </is>
      </c>
    </row>
    <row r="1279">
      <c r="A1279" t="inlineStr">
        <is>
          <t>IC4420</t>
        </is>
      </c>
      <c r="B1279" t="inlineStr">
        <is>
          <t>NORDEX ENERGY SPAIN S A U</t>
        </is>
      </c>
      <c r="C1279" t="n">
        <v>2122100000</v>
      </c>
      <c r="D1279" t="inlineStr">
        <is>
          <t>Intercompany</t>
        </is>
      </c>
      <c r="E1279" t="n">
        <v>5045970</v>
      </c>
      <c r="F1279" t="inlineStr">
        <is>
          <t>102-2</t>
        </is>
      </c>
      <c r="G1279" t="inlineStr">
        <is>
          <t>RE</t>
        </is>
      </c>
      <c r="H1279" s="12" t="n">
        <v>-20751.06</v>
      </c>
      <c r="I1279" s="17" t="n">
        <v>45561</v>
      </c>
      <c r="J1279" s="17" t="n">
        <v>45561</v>
      </c>
      <c r="K1279" t="inlineStr">
        <is>
          <t>Fatura - bruto NORDEX ENERGY SPAIN S A U 102-2</t>
        </is>
      </c>
    </row>
    <row r="1280">
      <c r="A1280" t="inlineStr">
        <is>
          <t>IC4420</t>
        </is>
      </c>
      <c r="B1280" t="inlineStr">
        <is>
          <t>NORDEX ENERGY SPAIN S A U</t>
        </is>
      </c>
      <c r="C1280" t="n">
        <v>2122100000</v>
      </c>
      <c r="D1280" t="inlineStr">
        <is>
          <t>Intercompany</t>
        </is>
      </c>
      <c r="E1280" t="n">
        <v>5046537</v>
      </c>
      <c r="F1280" t="inlineStr">
        <is>
          <t>4024006236</t>
        </is>
      </c>
      <c r="G1280" t="inlineStr">
        <is>
          <t>RE</t>
        </is>
      </c>
      <c r="H1280" s="12" t="n">
        <v>-19137.61</v>
      </c>
      <c r="I1280" s="17" t="n">
        <v>45545</v>
      </c>
      <c r="J1280" s="17" t="n">
        <v>45575</v>
      </c>
      <c r="K1280" t="inlineStr">
        <is>
          <t>0787/24</t>
        </is>
      </c>
    </row>
    <row r="1281">
      <c r="A1281" t="inlineStr">
        <is>
          <t>IC1000</t>
        </is>
      </c>
      <c r="B1281" t="inlineStr">
        <is>
          <t>NORDEX ENERGY SE &amp; CO KG</t>
        </is>
      </c>
      <c r="C1281" t="n">
        <v>2122100000</v>
      </c>
      <c r="D1281" t="inlineStr">
        <is>
          <t>Intercompany</t>
        </is>
      </c>
      <c r="E1281" t="n">
        <v>5047358</v>
      </c>
      <c r="F1281" t="inlineStr">
        <is>
          <t>4012418440</t>
        </is>
      </c>
      <c r="G1281" t="inlineStr">
        <is>
          <t>RE</t>
        </is>
      </c>
      <c r="H1281" s="12" t="n">
        <v>-2526.84</v>
      </c>
      <c r="I1281" s="17" t="n">
        <v>45600</v>
      </c>
      <c r="J1281" s="17" t="n">
        <v>45630</v>
      </c>
      <c r="K1281" t="inlineStr">
        <is>
          <t>1013/24</t>
        </is>
      </c>
    </row>
    <row r="1282">
      <c r="A1282" t="inlineStr">
        <is>
          <t>IC1000</t>
        </is>
      </c>
      <c r="B1282" t="inlineStr">
        <is>
          <t>NORDEX ENERGY SE &amp; CO KG</t>
        </is>
      </c>
      <c r="C1282" t="n">
        <v>2122100000</v>
      </c>
      <c r="D1282" t="inlineStr">
        <is>
          <t>Intercompany</t>
        </is>
      </c>
      <c r="E1282" t="n">
        <v>5048112</v>
      </c>
      <c r="F1282" t="inlineStr">
        <is>
          <t>4012415911</t>
        </is>
      </c>
      <c r="G1282" t="inlineStr">
        <is>
          <t>RE</t>
        </is>
      </c>
      <c r="H1282" s="12" t="n">
        <v>-23671.6</v>
      </c>
      <c r="I1282" s="17" t="n">
        <v>45586</v>
      </c>
      <c r="J1282" s="17" t="n">
        <v>45616</v>
      </c>
      <c r="K1282" t="inlineStr">
        <is>
          <t>0971/24</t>
        </is>
      </c>
    </row>
    <row r="1283">
      <c r="A1283" t="inlineStr">
        <is>
          <t>IC4420</t>
        </is>
      </c>
      <c r="B1283" t="inlineStr">
        <is>
          <t>NORDEX ENERGY SPAIN S A U</t>
        </is>
      </c>
      <c r="C1283" t="n">
        <v>2122100000</v>
      </c>
      <c r="D1283" t="inlineStr">
        <is>
          <t>Intercompany</t>
        </is>
      </c>
      <c r="E1283" t="n">
        <v>5048179</v>
      </c>
      <c r="F1283" t="inlineStr">
        <is>
          <t>4018000242</t>
        </is>
      </c>
      <c r="G1283" t="inlineStr">
        <is>
          <t>RE</t>
        </is>
      </c>
      <c r="H1283" s="12" t="n">
        <v>-851.71</v>
      </c>
      <c r="I1283" s="17" t="n">
        <v>45533</v>
      </c>
      <c r="J1283" s="17" t="n">
        <v>45563</v>
      </c>
      <c r="K1283" t="inlineStr">
        <is>
          <t>0732/24</t>
        </is>
      </c>
    </row>
    <row r="1284">
      <c r="A1284" t="inlineStr">
        <is>
          <t>IC1000</t>
        </is>
      </c>
      <c r="B1284" t="inlineStr">
        <is>
          <t>NORDEX ENERGY SE &amp; CO KG</t>
        </is>
      </c>
      <c r="C1284" t="n">
        <v>2122100000</v>
      </c>
      <c r="D1284" t="inlineStr">
        <is>
          <t>Intercompany</t>
        </is>
      </c>
      <c r="E1284" t="n">
        <v>5048317</v>
      </c>
      <c r="F1284" t="inlineStr">
        <is>
          <t>4012413023</t>
        </is>
      </c>
      <c r="G1284" t="inlineStr">
        <is>
          <t>RE</t>
        </is>
      </c>
      <c r="H1284" s="12" t="n">
        <v>-322678.33</v>
      </c>
      <c r="I1284" s="17" t="n">
        <v>45490</v>
      </c>
      <c r="J1284" s="17" t="n">
        <v>45520</v>
      </c>
      <c r="K1284" t="inlineStr">
        <is>
          <t>0942/24</t>
        </is>
      </c>
    </row>
    <row r="1285">
      <c r="A1285" t="inlineStr">
        <is>
          <t>IC4420</t>
        </is>
      </c>
      <c r="B1285" t="inlineStr">
        <is>
          <t>NORDEX ENERGY SPAIN S A U</t>
        </is>
      </c>
      <c r="C1285" t="n">
        <v>2122100000</v>
      </c>
      <c r="D1285" t="inlineStr">
        <is>
          <t>Intercompany</t>
        </is>
      </c>
      <c r="E1285" t="n">
        <v>5048370</v>
      </c>
      <c r="F1285" t="inlineStr">
        <is>
          <t>201940</t>
        </is>
      </c>
      <c r="G1285" t="inlineStr">
        <is>
          <t>RE</t>
        </is>
      </c>
      <c r="H1285" s="12" t="n">
        <v>-2215.92</v>
      </c>
      <c r="I1285" s="17" t="n">
        <v>45601</v>
      </c>
      <c r="J1285" s="17" t="n">
        <v>45631</v>
      </c>
      <c r="K1285" t="inlineStr">
        <is>
          <t>1014/24</t>
        </is>
      </c>
    </row>
    <row r="1286">
      <c r="A1286" t="inlineStr">
        <is>
          <t>IC1000</t>
        </is>
      </c>
      <c r="B1286" t="inlineStr">
        <is>
          <t>NORDEX ENERGY SE &amp; CO KG</t>
        </is>
      </c>
      <c r="C1286" t="n">
        <v>2122100000</v>
      </c>
      <c r="D1286" t="inlineStr">
        <is>
          <t>Intercompany</t>
        </is>
      </c>
      <c r="E1286" t="n">
        <v>5051046</v>
      </c>
      <c r="F1286" t="inlineStr">
        <is>
          <t>313711</t>
        </is>
      </c>
      <c r="G1286" t="inlineStr">
        <is>
          <t>RE</t>
        </is>
      </c>
      <c r="H1286" s="12" t="n">
        <v>-1424805.67</v>
      </c>
      <c r="I1286" s="17" t="n">
        <v>45587</v>
      </c>
      <c r="J1286" s="17" t="n">
        <v>45617</v>
      </c>
      <c r="K1286" t="inlineStr">
        <is>
          <t>1058/24</t>
        </is>
      </c>
    </row>
    <row r="1287">
      <c r="A1287" t="inlineStr">
        <is>
          <t>IC1000</t>
        </is>
      </c>
      <c r="B1287" t="inlineStr">
        <is>
          <t>NORDEX ENERGY SE &amp; CO KG</t>
        </is>
      </c>
      <c r="C1287" t="n">
        <v>2122100000</v>
      </c>
      <c r="D1287" t="inlineStr">
        <is>
          <t>Intercompany</t>
        </is>
      </c>
      <c r="E1287" t="n">
        <v>5052644</v>
      </c>
      <c r="F1287" t="inlineStr">
        <is>
          <t>312163</t>
        </is>
      </c>
      <c r="G1287" t="inlineStr">
        <is>
          <t>RE</t>
        </is>
      </c>
      <c r="H1287" s="12" t="n">
        <v>-2296.47</v>
      </c>
      <c r="I1287" s="17" t="n">
        <v>45576</v>
      </c>
      <c r="J1287" s="17" t="n">
        <v>45606</v>
      </c>
      <c r="K1287" t="inlineStr">
        <is>
          <t>1011/24</t>
        </is>
      </c>
    </row>
    <row r="1288">
      <c r="A1288" t="inlineStr">
        <is>
          <t>IC1000</t>
        </is>
      </c>
      <c r="B1288" t="inlineStr">
        <is>
          <t>NORDEX ENERGY SE &amp; CO KG</t>
        </is>
      </c>
      <c r="C1288" t="n">
        <v>2122100000</v>
      </c>
      <c r="D1288" t="inlineStr">
        <is>
          <t>Intercompany</t>
        </is>
      </c>
      <c r="E1288" t="n">
        <v>5052645</v>
      </c>
      <c r="F1288" t="inlineStr">
        <is>
          <t>311589</t>
        </is>
      </c>
      <c r="G1288" t="inlineStr">
        <is>
          <t>RE</t>
        </is>
      </c>
      <c r="H1288" s="12" t="n">
        <v>-90427.24000000001</v>
      </c>
      <c r="I1288" s="17" t="n">
        <v>45576</v>
      </c>
      <c r="J1288" s="17" t="n">
        <v>45606</v>
      </c>
      <c r="K1288" t="inlineStr">
        <is>
          <t>1011/24</t>
        </is>
      </c>
    </row>
    <row r="1289">
      <c r="A1289" t="inlineStr">
        <is>
          <t>IC1000</t>
        </is>
      </c>
      <c r="B1289" t="inlineStr">
        <is>
          <t>NORDEX ENERGY SE &amp; CO KG</t>
        </is>
      </c>
      <c r="C1289" t="n">
        <v>2122100000</v>
      </c>
      <c r="D1289" t="inlineStr">
        <is>
          <t>Intercompany</t>
        </is>
      </c>
      <c r="E1289" t="n">
        <v>5052646</v>
      </c>
      <c r="F1289" t="inlineStr">
        <is>
          <t>311707</t>
        </is>
      </c>
      <c r="G1289" t="inlineStr">
        <is>
          <t>RE</t>
        </is>
      </c>
      <c r="H1289" s="12" t="n">
        <v>-20981.37</v>
      </c>
      <c r="I1289" s="17" t="n">
        <v>45576</v>
      </c>
      <c r="J1289" s="17" t="n">
        <v>45606</v>
      </c>
      <c r="K1289" t="inlineStr">
        <is>
          <t>1011/24</t>
        </is>
      </c>
    </row>
    <row r="1290">
      <c r="A1290" t="inlineStr">
        <is>
          <t>IC1000</t>
        </is>
      </c>
      <c r="B1290" t="inlineStr">
        <is>
          <t>NORDEX ENERGY SE &amp; CO KG</t>
        </is>
      </c>
      <c r="C1290" t="n">
        <v>2122100000</v>
      </c>
      <c r="D1290" t="inlineStr">
        <is>
          <t>Intercompany</t>
        </is>
      </c>
      <c r="E1290" t="n">
        <v>5052961</v>
      </c>
      <c r="F1290" t="inlineStr">
        <is>
          <t>621218</t>
        </is>
      </c>
      <c r="G1290" t="inlineStr">
        <is>
          <t>KR</t>
        </is>
      </c>
      <c r="H1290" s="12" t="n">
        <v>-1468561.09</v>
      </c>
      <c r="I1290" s="17" t="n">
        <v>45642</v>
      </c>
      <c r="J1290" s="17" t="n">
        <v>45672</v>
      </c>
      <c r="K1290" t="inlineStr">
        <is>
          <t>Licence Fee Q4.2024 - 621218</t>
        </is>
      </c>
    </row>
    <row r="1291">
      <c r="A1291" t="inlineStr">
        <is>
          <t>IC5000</t>
        </is>
      </c>
      <c r="B1291" t="inlineStr">
        <is>
          <t>NORDEX SE</t>
        </is>
      </c>
      <c r="C1291" t="n">
        <v>2122100000</v>
      </c>
      <c r="D1291" t="inlineStr">
        <is>
          <t>Intercompany</t>
        </is>
      </c>
      <c r="E1291" t="n">
        <v>5055150</v>
      </c>
      <c r="F1291" t="inlineStr">
        <is>
          <t>608984</t>
        </is>
      </c>
      <c r="G1291" t="inlineStr">
        <is>
          <t>KR</t>
        </is>
      </c>
      <c r="H1291" s="12" t="n">
        <v>-9879450.1</v>
      </c>
      <c r="I1291" s="17" t="n">
        <v>45642</v>
      </c>
      <c r="J1291" s="17" t="n">
        <v>45642</v>
      </c>
      <c r="K1291" t="inlineStr">
        <is>
          <t>Management Fee Q42024</t>
        </is>
      </c>
    </row>
    <row r="1292">
      <c r="A1292" t="inlineStr">
        <is>
          <t>IC5000</t>
        </is>
      </c>
      <c r="B1292" t="inlineStr">
        <is>
          <t>NORDEX SE</t>
        </is>
      </c>
      <c r="C1292" t="n">
        <v>2122100000</v>
      </c>
      <c r="D1292" t="inlineStr">
        <is>
          <t>Intercompany</t>
        </is>
      </c>
      <c r="E1292" t="n">
        <v>5055184</v>
      </c>
      <c r="F1292" t="inlineStr">
        <is>
          <t>609086</t>
        </is>
      </c>
      <c r="G1292" t="inlineStr">
        <is>
          <t>KR</t>
        </is>
      </c>
      <c r="H1292" s="12" t="n">
        <v>-4074278.75</v>
      </c>
      <c r="I1292" s="17" t="n">
        <v>45657</v>
      </c>
      <c r="J1292" s="17" t="n">
        <v>45657</v>
      </c>
      <c r="K1292" t="inlineStr">
        <is>
          <t>Parent Company Guarantee Fee Q4-2024</t>
        </is>
      </c>
    </row>
    <row r="1293">
      <c r="A1293" t="inlineStr">
        <is>
          <t>IC5000</t>
        </is>
      </c>
      <c r="B1293" t="inlineStr">
        <is>
          <t>NORDEX SE</t>
        </is>
      </c>
      <c r="C1293" t="n">
        <v>2122100000</v>
      </c>
      <c r="D1293" t="inlineStr">
        <is>
          <t>Intercompany</t>
        </is>
      </c>
      <c r="E1293" t="n">
        <v>5055187</v>
      </c>
      <c r="F1293" t="inlineStr">
        <is>
          <t>609106</t>
        </is>
      </c>
      <c r="G1293" t="inlineStr">
        <is>
          <t>KR</t>
        </is>
      </c>
      <c r="H1293" s="12" t="n">
        <v>-7412106.11</v>
      </c>
      <c r="I1293" s="17" t="n">
        <v>45657</v>
      </c>
      <c r="J1293" s="17" t="n">
        <v>45657</v>
      </c>
      <c r="K1293" t="inlineStr">
        <is>
          <t>Vendor Invoice NORDEX SE 609106</t>
        </is>
      </c>
    </row>
    <row r="1294">
      <c r="A1294" t="inlineStr">
        <is>
          <t>IC1000</t>
        </is>
      </c>
      <c r="B1294" t="inlineStr">
        <is>
          <t>NORDEX ENERGY SE &amp; CO KG</t>
        </is>
      </c>
      <c r="C1294" t="n">
        <v>2122100000</v>
      </c>
      <c r="D1294" t="inlineStr">
        <is>
          <t>Intercompany</t>
        </is>
      </c>
      <c r="E1294" t="n">
        <v>5055188</v>
      </c>
      <c r="F1294" t="inlineStr">
        <is>
          <t>621109</t>
        </is>
      </c>
      <c r="G1294" t="inlineStr">
        <is>
          <t>KR</t>
        </is>
      </c>
      <c r="H1294" s="12" t="n">
        <v>-23766696.82</v>
      </c>
      <c r="I1294" s="17" t="n">
        <v>45638</v>
      </c>
      <c r="J1294" s="17" t="n">
        <v>45668</v>
      </c>
      <c r="K1294" t="inlineStr">
        <is>
          <t>Vendor Invoice NORDEX ENERGY SE &amp; CO KG 621109</t>
        </is>
      </c>
    </row>
    <row r="1295">
      <c r="A1295" t="inlineStr">
        <is>
          <t>IC5000</t>
        </is>
      </c>
      <c r="B1295" t="inlineStr">
        <is>
          <t>NORDEX SE</t>
        </is>
      </c>
      <c r="C1295" t="n">
        <v>2122100000</v>
      </c>
      <c r="D1295" t="inlineStr">
        <is>
          <t>Intercompany</t>
        </is>
      </c>
      <c r="E1295" t="n">
        <v>5055196</v>
      </c>
      <c r="F1295" t="inlineStr">
        <is>
          <t>609015</t>
        </is>
      </c>
      <c r="G1295" t="inlineStr">
        <is>
          <t>KR</t>
        </is>
      </c>
      <c r="H1295" s="12" t="n">
        <v>-1057875</v>
      </c>
      <c r="I1295" s="17" t="n">
        <v>45645</v>
      </c>
      <c r="J1295" s="17" t="n">
        <v>45645</v>
      </c>
      <c r="K1295" t="inlineStr">
        <is>
          <t>Accrual - Loan interest Q4.2024 - 4690</t>
        </is>
      </c>
    </row>
    <row r="1296">
      <c r="A1296" t="inlineStr">
        <is>
          <t>IC4420</t>
        </is>
      </c>
      <c r="B1296" t="inlineStr">
        <is>
          <t>NORDEX ENERGY SPAIN S A U</t>
        </is>
      </c>
      <c r="C1296" t="n">
        <v>2122100000</v>
      </c>
      <c r="D1296" t="inlineStr">
        <is>
          <t>Intercompany</t>
        </is>
      </c>
      <c r="E1296" t="n">
        <v>200000324</v>
      </c>
      <c r="F1296" t="inlineStr">
        <is>
          <t>9151</t>
        </is>
      </c>
      <c r="G1296" t="inlineStr">
        <is>
          <t>UE</t>
        </is>
      </c>
      <c r="H1296" s="12" t="n">
        <v>-121.53</v>
      </c>
      <c r="I1296" s="17" t="n">
        <v>44413</v>
      </c>
      <c r="J1296" s="17" t="n">
        <v>44413</v>
      </c>
      <c r="K1296" t="inlineStr">
        <is>
          <t>000000021002</t>
        </is>
      </c>
    </row>
    <row r="1297">
      <c r="A1297" t="inlineStr">
        <is>
          <t>IC1000</t>
        </is>
      </c>
      <c r="B1297" t="inlineStr">
        <is>
          <t>NORDEX ENERGY SE &amp; CO KG</t>
        </is>
      </c>
      <c r="C1297" t="n">
        <v>2122100000</v>
      </c>
      <c r="D1297" t="inlineStr">
        <is>
          <t>Intercompany</t>
        </is>
      </c>
      <c r="E1297" t="n">
        <v>200002561</v>
      </c>
      <c r="F1297" t="inlineStr">
        <is>
          <t>6611</t>
        </is>
      </c>
      <c r="G1297" t="inlineStr">
        <is>
          <t>UE</t>
        </is>
      </c>
      <c r="H1297" s="12" t="n">
        <v>-5113.11</v>
      </c>
      <c r="I1297" s="17" t="n">
        <v>44897</v>
      </c>
      <c r="J1297" s="17" t="n">
        <v>44897</v>
      </c>
      <c r="K1297" t="inlineStr">
        <is>
          <t>000002880002</t>
        </is>
      </c>
    </row>
    <row r="1298">
      <c r="A1298" t="inlineStr">
        <is>
          <t>IC1000</t>
        </is>
      </c>
      <c r="B1298" t="inlineStr">
        <is>
          <t>NORDEX ENERGY SE &amp; CO KG</t>
        </is>
      </c>
      <c r="C1298" t="n">
        <v>2122100000</v>
      </c>
      <c r="D1298" t="inlineStr">
        <is>
          <t>Intercompany</t>
        </is>
      </c>
      <c r="E1298" t="n">
        <v>200002567</v>
      </c>
      <c r="F1298" t="inlineStr">
        <is>
          <t>6617</t>
        </is>
      </c>
      <c r="G1298" t="inlineStr">
        <is>
          <t>UE</t>
        </is>
      </c>
      <c r="H1298" s="12" t="n">
        <v>-92159.06</v>
      </c>
      <c r="I1298" s="17" t="n">
        <v>44918</v>
      </c>
      <c r="J1298" s="17" t="n">
        <v>44918</v>
      </c>
      <c r="K1298" t="inlineStr">
        <is>
          <t>000001817002</t>
        </is>
      </c>
    </row>
    <row r="1299">
      <c r="A1299" t="inlineStr">
        <is>
          <t>IC1000</t>
        </is>
      </c>
      <c r="B1299" t="inlineStr">
        <is>
          <t>NORDEX ENERGY SE &amp; CO KG</t>
        </is>
      </c>
      <c r="C1299" t="n">
        <v>2122100000</v>
      </c>
      <c r="D1299" t="inlineStr">
        <is>
          <t>Intercompany</t>
        </is>
      </c>
      <c r="E1299" t="n">
        <v>200002569</v>
      </c>
      <c r="F1299" t="inlineStr">
        <is>
          <t>6619</t>
        </is>
      </c>
      <c r="G1299" t="inlineStr">
        <is>
          <t>UE</t>
        </is>
      </c>
      <c r="H1299" s="12" t="n">
        <v>-96995.16</v>
      </c>
      <c r="I1299" s="17" t="n">
        <v>44902</v>
      </c>
      <c r="J1299" s="17" t="n">
        <v>44902</v>
      </c>
      <c r="K1299" t="inlineStr">
        <is>
          <t>000002920002</t>
        </is>
      </c>
    </row>
    <row r="1300">
      <c r="A1300" t="inlineStr">
        <is>
          <t>IC1000</t>
        </is>
      </c>
      <c r="B1300" t="inlineStr">
        <is>
          <t>NORDEX ENERGY SE &amp; CO KG</t>
        </is>
      </c>
      <c r="C1300" t="n">
        <v>2122100000</v>
      </c>
      <c r="D1300" t="inlineStr">
        <is>
          <t>Intercompany</t>
        </is>
      </c>
      <c r="E1300" t="n">
        <v>200002572</v>
      </c>
      <c r="F1300" t="inlineStr">
        <is>
          <t>6621</t>
        </is>
      </c>
      <c r="G1300" t="inlineStr">
        <is>
          <t>UE</t>
        </is>
      </c>
      <c r="H1300" s="12" t="n">
        <v>-102264.78</v>
      </c>
      <c r="I1300" s="17" t="n">
        <v>44911</v>
      </c>
      <c r="J1300" s="17" t="n">
        <v>44911</v>
      </c>
      <c r="K1300" t="inlineStr">
        <is>
          <t>000003004002</t>
        </is>
      </c>
    </row>
    <row r="1301">
      <c r="A1301" t="inlineStr">
        <is>
          <t>IC1000</t>
        </is>
      </c>
      <c r="B1301" t="inlineStr">
        <is>
          <t>NORDEX ENERGY SE &amp; CO KG</t>
        </is>
      </c>
      <c r="C1301" t="n">
        <v>2122100000</v>
      </c>
      <c r="D1301" t="inlineStr">
        <is>
          <t>Intercompany</t>
        </is>
      </c>
      <c r="E1301" t="n">
        <v>200002574</v>
      </c>
      <c r="F1301" t="inlineStr">
        <is>
          <t>6623</t>
        </is>
      </c>
      <c r="G1301" t="inlineStr">
        <is>
          <t>UE</t>
        </is>
      </c>
      <c r="H1301" s="12" t="n">
        <v>-1916.51</v>
      </c>
      <c r="I1301" s="17" t="n">
        <v>44903</v>
      </c>
      <c r="J1301" s="17" t="n">
        <v>44903</v>
      </c>
      <c r="K1301" t="inlineStr">
        <is>
          <t>000002932002</t>
        </is>
      </c>
    </row>
    <row r="1302">
      <c r="A1302" t="inlineStr">
        <is>
          <t>IC1000</t>
        </is>
      </c>
      <c r="B1302" t="inlineStr">
        <is>
          <t>NORDEX ENERGY SE &amp; CO KG</t>
        </is>
      </c>
      <c r="C1302" t="n">
        <v>2122100000</v>
      </c>
      <c r="D1302" t="inlineStr">
        <is>
          <t>Intercompany</t>
        </is>
      </c>
      <c r="E1302" t="n">
        <v>200002577</v>
      </c>
      <c r="F1302" t="inlineStr">
        <is>
          <t>6626</t>
        </is>
      </c>
      <c r="G1302" t="inlineStr">
        <is>
          <t>UE</t>
        </is>
      </c>
      <c r="H1302" s="12" t="n">
        <v>-26651.97</v>
      </c>
      <c r="I1302" s="17" t="n">
        <v>44917</v>
      </c>
      <c r="J1302" s="17" t="n">
        <v>44917</v>
      </c>
      <c r="K1302" t="inlineStr">
        <is>
          <t>000003033002</t>
        </is>
      </c>
    </row>
    <row r="1303">
      <c r="A1303" t="inlineStr">
        <is>
          <t>IC1000</t>
        </is>
      </c>
      <c r="B1303" t="inlineStr">
        <is>
          <t>NORDEX ENERGY SE &amp; CO KG</t>
        </is>
      </c>
      <c r="C1303" t="n">
        <v>2122100000</v>
      </c>
      <c r="D1303" t="inlineStr">
        <is>
          <t>Intercompany</t>
        </is>
      </c>
      <c r="E1303" t="n">
        <v>200002579</v>
      </c>
      <c r="F1303" t="inlineStr">
        <is>
          <t>6628</t>
        </is>
      </c>
      <c r="G1303" t="inlineStr">
        <is>
          <t>UE</t>
        </is>
      </c>
      <c r="H1303" s="12" t="n">
        <v>-87482.27</v>
      </c>
      <c r="I1303" s="17" t="n">
        <v>44915</v>
      </c>
      <c r="J1303" s="17" t="n">
        <v>44915</v>
      </c>
      <c r="K1303" t="inlineStr">
        <is>
          <t>000003013002</t>
        </is>
      </c>
    </row>
    <row r="1304">
      <c r="A1304" t="inlineStr">
        <is>
          <t>IC1000</t>
        </is>
      </c>
      <c r="B1304" t="inlineStr">
        <is>
          <t>NORDEX ENERGY SE &amp; CO KG</t>
        </is>
      </c>
      <c r="C1304" t="n">
        <v>2122100000</v>
      </c>
      <c r="D1304" t="inlineStr">
        <is>
          <t>Intercompany</t>
        </is>
      </c>
      <c r="E1304" t="n">
        <v>200002594</v>
      </c>
      <c r="F1304" t="inlineStr">
        <is>
          <t>6641</t>
        </is>
      </c>
      <c r="G1304" t="inlineStr">
        <is>
          <t>UE</t>
        </is>
      </c>
      <c r="H1304" s="12" t="n">
        <v>-77506.25999999999</v>
      </c>
      <c r="I1304" s="17" t="n">
        <v>44916</v>
      </c>
      <c r="J1304" s="17" t="n">
        <v>44916</v>
      </c>
      <c r="K1304" t="inlineStr">
        <is>
          <t>000003017002</t>
        </is>
      </c>
    </row>
    <row r="1305">
      <c r="A1305" t="inlineStr">
        <is>
          <t>IC1000</t>
        </is>
      </c>
      <c r="B1305" t="inlineStr">
        <is>
          <t>NORDEX ENERGY SE &amp; CO KG</t>
        </is>
      </c>
      <c r="C1305" t="n">
        <v>2122100000</v>
      </c>
      <c r="D1305" t="inlineStr">
        <is>
          <t>Intercompany</t>
        </is>
      </c>
      <c r="E1305" t="n">
        <v>200002622</v>
      </c>
      <c r="F1305" t="inlineStr">
        <is>
          <t>6667</t>
        </is>
      </c>
      <c r="G1305" t="inlineStr">
        <is>
          <t>UE</t>
        </is>
      </c>
      <c r="H1305" s="12" t="n">
        <v>-26150.71</v>
      </c>
      <c r="I1305" s="17" t="n">
        <v>44921</v>
      </c>
      <c r="J1305" s="17" t="n">
        <v>44921</v>
      </c>
      <c r="K1305" t="inlineStr">
        <is>
          <t>000003053002</t>
        </is>
      </c>
    </row>
    <row r="1306">
      <c r="A1306" t="inlineStr">
        <is>
          <t>IC1000</t>
        </is>
      </c>
      <c r="B1306" t="inlineStr">
        <is>
          <t>NORDEX ENERGY SE &amp; CO KG</t>
        </is>
      </c>
      <c r="C1306" t="n">
        <v>2122100000</v>
      </c>
      <c r="D1306" t="inlineStr">
        <is>
          <t>Intercompany</t>
        </is>
      </c>
      <c r="E1306" t="n">
        <v>200002623</v>
      </c>
      <c r="F1306" t="inlineStr">
        <is>
          <t>6668</t>
        </is>
      </c>
      <c r="G1306" t="inlineStr">
        <is>
          <t>UE</t>
        </is>
      </c>
      <c r="H1306" s="12" t="n">
        <v>-26697.95</v>
      </c>
      <c r="I1306" s="17" t="n">
        <v>44921</v>
      </c>
      <c r="J1306" s="17" t="n">
        <v>44921</v>
      </c>
      <c r="K1306" t="inlineStr">
        <is>
          <t>000003055002</t>
        </is>
      </c>
    </row>
    <row r="1307">
      <c r="A1307" t="inlineStr">
        <is>
          <t>IC1000</t>
        </is>
      </c>
      <c r="B1307" t="inlineStr">
        <is>
          <t>NORDEX ENERGY SE &amp; CO KG</t>
        </is>
      </c>
      <c r="C1307" t="n">
        <v>2122100000</v>
      </c>
      <c r="D1307" t="inlineStr">
        <is>
          <t>Intercompany</t>
        </is>
      </c>
      <c r="E1307" t="n">
        <v>200002632</v>
      </c>
      <c r="F1307" t="inlineStr">
        <is>
          <t>6676</t>
        </is>
      </c>
      <c r="G1307" t="inlineStr">
        <is>
          <t>UE</t>
        </is>
      </c>
      <c r="H1307" s="12" t="n">
        <v>-1988977.3</v>
      </c>
      <c r="I1307" s="17" t="n">
        <v>44924</v>
      </c>
      <c r="J1307" s="17" t="n">
        <v>44924</v>
      </c>
      <c r="K1307" t="inlineStr">
        <is>
          <t>000001821002</t>
        </is>
      </c>
    </row>
    <row r="1308">
      <c r="A1308" t="inlineStr">
        <is>
          <t>IC1000</t>
        </is>
      </c>
      <c r="B1308" t="inlineStr">
        <is>
          <t>NORDEX ENERGY SE &amp; CO KG</t>
        </is>
      </c>
      <c r="C1308" t="n">
        <v>2122100000</v>
      </c>
      <c r="D1308" t="inlineStr">
        <is>
          <t>Intercompany</t>
        </is>
      </c>
      <c r="E1308" t="n">
        <v>200002642</v>
      </c>
      <c r="F1308" t="inlineStr">
        <is>
          <t>6685</t>
        </is>
      </c>
      <c r="G1308" t="inlineStr">
        <is>
          <t>UE</t>
        </is>
      </c>
      <c r="H1308" s="12" t="n">
        <v>-208189.62</v>
      </c>
      <c r="I1308" s="17" t="n">
        <v>44929</v>
      </c>
      <c r="J1308" s="17" t="n">
        <v>44929</v>
      </c>
      <c r="K1308" t="inlineStr">
        <is>
          <t>000003071002</t>
        </is>
      </c>
    </row>
    <row r="1309">
      <c r="A1309" t="inlineStr">
        <is>
          <t>IC1000</t>
        </is>
      </c>
      <c r="B1309" t="inlineStr">
        <is>
          <t>NORDEX ENERGY SE &amp; CO KG</t>
        </is>
      </c>
      <c r="C1309" t="n">
        <v>2122100000</v>
      </c>
      <c r="D1309" t="inlineStr">
        <is>
          <t>Intercompany</t>
        </is>
      </c>
      <c r="E1309" t="n">
        <v>200002644</v>
      </c>
      <c r="F1309" t="inlineStr">
        <is>
          <t>6687</t>
        </is>
      </c>
      <c r="G1309" t="inlineStr">
        <is>
          <t>UE</t>
        </is>
      </c>
      <c r="H1309" s="12" t="n">
        <v>-39638.21</v>
      </c>
      <c r="I1309" s="17" t="n">
        <v>44929</v>
      </c>
      <c r="J1309" s="17" t="n">
        <v>44929</v>
      </c>
      <c r="K1309" t="inlineStr">
        <is>
          <t>000003090002</t>
        </is>
      </c>
    </row>
    <row r="1310">
      <c r="A1310" t="inlineStr">
        <is>
          <t>IC1000</t>
        </is>
      </c>
      <c r="B1310" t="inlineStr">
        <is>
          <t>NORDEX ENERGY SE &amp; CO KG</t>
        </is>
      </c>
      <c r="C1310" t="n">
        <v>2122100000</v>
      </c>
      <c r="D1310" t="inlineStr">
        <is>
          <t>Intercompany</t>
        </is>
      </c>
      <c r="E1310" t="n">
        <v>200002663</v>
      </c>
      <c r="F1310" t="inlineStr">
        <is>
          <t>6703</t>
        </is>
      </c>
      <c r="G1310" t="inlineStr">
        <is>
          <t>UE</t>
        </is>
      </c>
      <c r="H1310" s="12" t="n">
        <v>-41349.63</v>
      </c>
      <c r="I1310" s="17" t="n">
        <v>44937</v>
      </c>
      <c r="J1310" s="17" t="n">
        <v>44937</v>
      </c>
      <c r="K1310" t="inlineStr">
        <is>
          <t>000003125002</t>
        </is>
      </c>
    </row>
    <row r="1311">
      <c r="A1311" t="inlineStr">
        <is>
          <t>IC1000</t>
        </is>
      </c>
      <c r="B1311" t="inlineStr">
        <is>
          <t>NORDEX ENERGY SE &amp; CO KG</t>
        </is>
      </c>
      <c r="C1311" t="n">
        <v>2122100000</v>
      </c>
      <c r="D1311" t="inlineStr">
        <is>
          <t>Intercompany</t>
        </is>
      </c>
      <c r="E1311" t="n">
        <v>200002666</v>
      </c>
      <c r="F1311" t="inlineStr">
        <is>
          <t>6706</t>
        </is>
      </c>
      <c r="G1311" t="inlineStr">
        <is>
          <t>UE</t>
        </is>
      </c>
      <c r="H1311" s="12" t="n">
        <v>-59815.49</v>
      </c>
      <c r="I1311" s="17" t="n">
        <v>44938</v>
      </c>
      <c r="J1311" s="17" t="n">
        <v>44938</v>
      </c>
      <c r="K1311" t="inlineStr">
        <is>
          <t>000003134002</t>
        </is>
      </c>
    </row>
    <row r="1312">
      <c r="A1312" t="inlineStr">
        <is>
          <t>IC1000</t>
        </is>
      </c>
      <c r="B1312" t="inlineStr">
        <is>
          <t>NORDEX ENERGY SE &amp; CO KG</t>
        </is>
      </c>
      <c r="C1312" t="n">
        <v>2122100000</v>
      </c>
      <c r="D1312" t="inlineStr">
        <is>
          <t>Intercompany</t>
        </is>
      </c>
      <c r="E1312" t="n">
        <v>200002676</v>
      </c>
      <c r="F1312" t="inlineStr">
        <is>
          <t>6715</t>
        </is>
      </c>
      <c r="G1312" t="inlineStr">
        <is>
          <t>UE</t>
        </is>
      </c>
      <c r="H1312" s="12" t="n">
        <v>-134475.14</v>
      </c>
      <c r="I1312" s="17" t="n">
        <v>44939</v>
      </c>
      <c r="J1312" s="17" t="n">
        <v>44939</v>
      </c>
      <c r="K1312" t="inlineStr">
        <is>
          <t>000001827002</t>
        </is>
      </c>
    </row>
    <row r="1313">
      <c r="A1313" t="inlineStr">
        <is>
          <t>IC1000</t>
        </is>
      </c>
      <c r="B1313" t="inlineStr">
        <is>
          <t>NORDEX ENERGY SE &amp; CO KG</t>
        </is>
      </c>
      <c r="C1313" t="n">
        <v>2122100000</v>
      </c>
      <c r="D1313" t="inlineStr">
        <is>
          <t>Intercompany</t>
        </is>
      </c>
      <c r="E1313" t="n">
        <v>200002682</v>
      </c>
      <c r="F1313" t="inlineStr">
        <is>
          <t>6720</t>
        </is>
      </c>
      <c r="G1313" t="inlineStr">
        <is>
          <t>UE</t>
        </is>
      </c>
      <c r="H1313" s="12" t="n">
        <v>-233880.15</v>
      </c>
      <c r="I1313" s="17" t="n">
        <v>44943</v>
      </c>
      <c r="J1313" s="17" t="n">
        <v>44943</v>
      </c>
      <c r="K1313" t="inlineStr">
        <is>
          <t>000003150002</t>
        </is>
      </c>
    </row>
    <row r="1314">
      <c r="A1314" t="inlineStr">
        <is>
          <t>IC1000</t>
        </is>
      </c>
      <c r="B1314" t="inlineStr">
        <is>
          <t>NORDEX ENERGY SE &amp; CO KG</t>
        </is>
      </c>
      <c r="C1314" t="n">
        <v>2122100000</v>
      </c>
      <c r="D1314" t="inlineStr">
        <is>
          <t>Intercompany</t>
        </is>
      </c>
      <c r="E1314" t="n">
        <v>200002684</v>
      </c>
      <c r="F1314" t="inlineStr">
        <is>
          <t>6722</t>
        </is>
      </c>
      <c r="G1314" t="inlineStr">
        <is>
          <t>UE</t>
        </is>
      </c>
      <c r="H1314" s="12" t="n">
        <v>-164215.79</v>
      </c>
      <c r="I1314" s="17" t="n">
        <v>44945</v>
      </c>
      <c r="J1314" s="17" t="n">
        <v>44945</v>
      </c>
      <c r="K1314" t="inlineStr">
        <is>
          <t>000003155002</t>
        </is>
      </c>
    </row>
    <row r="1315">
      <c r="A1315" t="inlineStr">
        <is>
          <t>IC1000</t>
        </is>
      </c>
      <c r="B1315" t="inlineStr">
        <is>
          <t>NORDEX ENERGY SE &amp; CO KG</t>
        </is>
      </c>
      <c r="C1315" t="n">
        <v>2122100000</v>
      </c>
      <c r="D1315" t="inlineStr">
        <is>
          <t>Intercompany</t>
        </is>
      </c>
      <c r="E1315" t="n">
        <v>200002687</v>
      </c>
      <c r="F1315" t="inlineStr">
        <is>
          <t>6725</t>
        </is>
      </c>
      <c r="G1315" t="inlineStr">
        <is>
          <t>UE</t>
        </is>
      </c>
      <c r="H1315" s="12" t="n">
        <v>-208983.34</v>
      </c>
      <c r="I1315" s="17" t="n">
        <v>44949</v>
      </c>
      <c r="J1315" s="17" t="n">
        <v>44949</v>
      </c>
      <c r="K1315" t="inlineStr">
        <is>
          <t>000000005004</t>
        </is>
      </c>
    </row>
    <row r="1316">
      <c r="A1316" t="inlineStr">
        <is>
          <t>IC1000</t>
        </is>
      </c>
      <c r="B1316" t="inlineStr">
        <is>
          <t>NORDEX ENERGY SE &amp; CO KG</t>
        </is>
      </c>
      <c r="C1316" t="n">
        <v>2122100000</v>
      </c>
      <c r="D1316" t="inlineStr">
        <is>
          <t>Intercompany</t>
        </is>
      </c>
      <c r="E1316" t="n">
        <v>200002689</v>
      </c>
      <c r="F1316" t="inlineStr">
        <is>
          <t>6727</t>
        </is>
      </c>
      <c r="G1316" t="inlineStr">
        <is>
          <t>UE</t>
        </is>
      </c>
      <c r="H1316" s="12" t="n">
        <v>-311658.67</v>
      </c>
      <c r="I1316" s="17" t="n">
        <v>44951</v>
      </c>
      <c r="J1316" s="17" t="n">
        <v>44951</v>
      </c>
      <c r="K1316" t="inlineStr">
        <is>
          <t>000001853002</t>
        </is>
      </c>
    </row>
    <row r="1317">
      <c r="A1317" t="inlineStr">
        <is>
          <t>IC1000</t>
        </is>
      </c>
      <c r="B1317" t="inlineStr">
        <is>
          <t>NORDEX ENERGY SE &amp; CO KG</t>
        </is>
      </c>
      <c r="C1317" t="n">
        <v>2122100000</v>
      </c>
      <c r="D1317" t="inlineStr">
        <is>
          <t>Intercompany</t>
        </is>
      </c>
      <c r="E1317" t="n">
        <v>200002690</v>
      </c>
      <c r="F1317" t="inlineStr">
        <is>
          <t>6728</t>
        </is>
      </c>
      <c r="G1317" t="inlineStr">
        <is>
          <t>UE</t>
        </is>
      </c>
      <c r="H1317" s="12" t="n">
        <v>-641153.38</v>
      </c>
      <c r="I1317" s="17" t="n">
        <v>44953</v>
      </c>
      <c r="J1317" s="17" t="n">
        <v>44953</v>
      </c>
      <c r="K1317" t="inlineStr">
        <is>
          <t>000003164002</t>
        </is>
      </c>
    </row>
    <row r="1318">
      <c r="A1318" t="inlineStr">
        <is>
          <t>IC1000</t>
        </is>
      </c>
      <c r="B1318" t="inlineStr">
        <is>
          <t>NORDEX ENERGY SE &amp; CO KG</t>
        </is>
      </c>
      <c r="C1318" t="n">
        <v>2122100000</v>
      </c>
      <c r="D1318" t="inlineStr">
        <is>
          <t>Intercompany</t>
        </is>
      </c>
      <c r="E1318" t="n">
        <v>200002693</v>
      </c>
      <c r="F1318" t="inlineStr">
        <is>
          <t>6730</t>
        </is>
      </c>
      <c r="G1318" t="inlineStr">
        <is>
          <t>UE</t>
        </is>
      </c>
      <c r="H1318" s="12" t="n">
        <v>-459130.32</v>
      </c>
      <c r="I1318" s="17" t="n">
        <v>44953</v>
      </c>
      <c r="J1318" s="17" t="n">
        <v>44953</v>
      </c>
      <c r="K1318" t="inlineStr">
        <is>
          <t>000003169002</t>
        </is>
      </c>
    </row>
    <row r="1319">
      <c r="A1319" t="inlineStr">
        <is>
          <t>IC1000</t>
        </is>
      </c>
      <c r="B1319" t="inlineStr">
        <is>
          <t>NORDEX ENERGY SE &amp; CO KG</t>
        </is>
      </c>
      <c r="C1319" t="n">
        <v>2122100000</v>
      </c>
      <c r="D1319" t="inlineStr">
        <is>
          <t>Intercompany</t>
        </is>
      </c>
      <c r="E1319" t="n">
        <v>200002697</v>
      </c>
      <c r="F1319" t="inlineStr">
        <is>
          <t>6734</t>
        </is>
      </c>
      <c r="G1319" t="inlineStr">
        <is>
          <t>UE</t>
        </is>
      </c>
      <c r="H1319" s="12" t="n">
        <v>-363395.27</v>
      </c>
      <c r="I1319" s="17" t="n">
        <v>44953</v>
      </c>
      <c r="J1319" s="17" t="n">
        <v>44953</v>
      </c>
      <c r="K1319" t="inlineStr">
        <is>
          <t>000003166002</t>
        </is>
      </c>
    </row>
    <row r="1320">
      <c r="A1320" t="inlineStr">
        <is>
          <t>IC1000</t>
        </is>
      </c>
      <c r="B1320" t="inlineStr">
        <is>
          <t>NORDEX ENERGY SE &amp; CO KG</t>
        </is>
      </c>
      <c r="C1320" t="n">
        <v>2122100000</v>
      </c>
      <c r="D1320" t="inlineStr">
        <is>
          <t>Intercompany</t>
        </is>
      </c>
      <c r="E1320" t="n">
        <v>200002698</v>
      </c>
      <c r="F1320" t="inlineStr">
        <is>
          <t>6735</t>
        </is>
      </c>
      <c r="G1320" t="inlineStr">
        <is>
          <t>UE</t>
        </is>
      </c>
      <c r="H1320" s="12" t="n">
        <v>-518777.88</v>
      </c>
      <c r="I1320" s="17" t="n">
        <v>44953</v>
      </c>
      <c r="J1320" s="17" t="n">
        <v>44953</v>
      </c>
      <c r="K1320" t="inlineStr">
        <is>
          <t>000003174002</t>
        </is>
      </c>
    </row>
    <row r="1321">
      <c r="A1321" t="inlineStr">
        <is>
          <t>IC1000</t>
        </is>
      </c>
      <c r="B1321" t="inlineStr">
        <is>
          <t>NORDEX ENERGY SE &amp; CO KG</t>
        </is>
      </c>
      <c r="C1321" t="n">
        <v>2122100000</v>
      </c>
      <c r="D1321" t="inlineStr">
        <is>
          <t>Intercompany</t>
        </is>
      </c>
      <c r="E1321" t="n">
        <v>200002699</v>
      </c>
      <c r="F1321" t="inlineStr">
        <is>
          <t>6736</t>
        </is>
      </c>
      <c r="G1321" t="inlineStr">
        <is>
          <t>UE</t>
        </is>
      </c>
      <c r="H1321" s="12" t="n">
        <v>-541794.42</v>
      </c>
      <c r="I1321" s="17" t="n">
        <v>44956</v>
      </c>
      <c r="J1321" s="17" t="n">
        <v>44956</v>
      </c>
      <c r="K1321" t="inlineStr">
        <is>
          <t>000001854002</t>
        </is>
      </c>
    </row>
    <row r="1322">
      <c r="A1322" t="inlineStr">
        <is>
          <t>IC1000</t>
        </is>
      </c>
      <c r="B1322" t="inlineStr">
        <is>
          <t>NORDEX ENERGY SE &amp; CO KG</t>
        </is>
      </c>
      <c r="C1322" t="n">
        <v>2122100000</v>
      </c>
      <c r="D1322" t="inlineStr">
        <is>
          <t>Intercompany</t>
        </is>
      </c>
      <c r="E1322" t="n">
        <v>200002704</v>
      </c>
      <c r="F1322" t="inlineStr">
        <is>
          <t>6740</t>
        </is>
      </c>
      <c r="G1322" t="inlineStr">
        <is>
          <t>UE</t>
        </is>
      </c>
      <c r="H1322" s="12" t="n">
        <v>-426440.19</v>
      </c>
      <c r="I1322" s="17" t="n">
        <v>44959</v>
      </c>
      <c r="J1322" s="17" t="n">
        <v>44959</v>
      </c>
      <c r="K1322" t="inlineStr">
        <is>
          <t>000003186002</t>
        </is>
      </c>
    </row>
    <row r="1323">
      <c r="A1323" t="inlineStr">
        <is>
          <t>IC1000</t>
        </is>
      </c>
      <c r="B1323" t="inlineStr">
        <is>
          <t>NORDEX ENERGY SE &amp; CO KG</t>
        </is>
      </c>
      <c r="C1323" t="n">
        <v>2122100000</v>
      </c>
      <c r="D1323" t="inlineStr">
        <is>
          <t>Intercompany</t>
        </is>
      </c>
      <c r="E1323" t="n">
        <v>200002706</v>
      </c>
      <c r="F1323" t="inlineStr">
        <is>
          <t>6742</t>
        </is>
      </c>
      <c r="G1323" t="inlineStr">
        <is>
          <t>UE</t>
        </is>
      </c>
      <c r="H1323" s="12" t="n">
        <v>-45412.82</v>
      </c>
      <c r="I1323" s="17" t="n">
        <v>44959</v>
      </c>
      <c r="J1323" s="17" t="n">
        <v>44959</v>
      </c>
      <c r="K1323" t="inlineStr">
        <is>
          <t>000003191002</t>
        </is>
      </c>
    </row>
    <row r="1324">
      <c r="A1324" t="inlineStr">
        <is>
          <t>IC1000</t>
        </is>
      </c>
      <c r="B1324" t="inlineStr">
        <is>
          <t>NORDEX ENERGY SE &amp; CO KG</t>
        </is>
      </c>
      <c r="C1324" t="n">
        <v>2122100000</v>
      </c>
      <c r="D1324" t="inlineStr">
        <is>
          <t>Intercompany</t>
        </is>
      </c>
      <c r="E1324" t="n">
        <v>200002724</v>
      </c>
      <c r="F1324" t="inlineStr">
        <is>
          <t>6759</t>
        </is>
      </c>
      <c r="G1324" t="inlineStr">
        <is>
          <t>UE</t>
        </is>
      </c>
      <c r="H1324" s="12" t="n">
        <v>-375705.28</v>
      </c>
      <c r="I1324" s="17" t="n">
        <v>44967</v>
      </c>
      <c r="J1324" s="17" t="n">
        <v>44967</v>
      </c>
      <c r="K1324" t="inlineStr">
        <is>
          <t>000000021004</t>
        </is>
      </c>
    </row>
    <row r="1325">
      <c r="A1325" t="inlineStr">
        <is>
          <t>IC1000</t>
        </is>
      </c>
      <c r="B1325" t="inlineStr">
        <is>
          <t>NORDEX ENERGY SE &amp; CO KG</t>
        </is>
      </c>
      <c r="C1325" t="n">
        <v>2122100000</v>
      </c>
      <c r="D1325" t="inlineStr">
        <is>
          <t>Intercompany</t>
        </is>
      </c>
      <c r="E1325" t="n">
        <v>200002729</v>
      </c>
      <c r="F1325" t="inlineStr">
        <is>
          <t>6763</t>
        </is>
      </c>
      <c r="G1325" t="inlineStr">
        <is>
          <t>UE</t>
        </is>
      </c>
      <c r="H1325" s="12" t="n">
        <v>-1929.87</v>
      </c>
      <c r="I1325" s="17" t="n">
        <v>44972</v>
      </c>
      <c r="J1325" s="17" t="n">
        <v>44972</v>
      </c>
      <c r="K1325" t="inlineStr">
        <is>
          <t>000000027004</t>
        </is>
      </c>
    </row>
    <row r="1326">
      <c r="A1326" t="inlineStr">
        <is>
          <t>IC1000</t>
        </is>
      </c>
      <c r="B1326" t="inlineStr">
        <is>
          <t>NORDEX ENERGY SE &amp; CO KG</t>
        </is>
      </c>
      <c r="C1326" t="n">
        <v>2122100000</v>
      </c>
      <c r="D1326" t="inlineStr">
        <is>
          <t>Intercompany</t>
        </is>
      </c>
      <c r="E1326" t="n">
        <v>200002735</v>
      </c>
      <c r="F1326" t="inlineStr">
        <is>
          <t>6769</t>
        </is>
      </c>
      <c r="G1326" t="inlineStr">
        <is>
          <t>UE</t>
        </is>
      </c>
      <c r="H1326" s="12" t="n">
        <v>-21106.55</v>
      </c>
      <c r="I1326" s="17" t="n">
        <v>44980</v>
      </c>
      <c r="J1326" s="17" t="n">
        <v>44980</v>
      </c>
      <c r="K1326" t="inlineStr">
        <is>
          <t>000000033004</t>
        </is>
      </c>
    </row>
    <row r="1327">
      <c r="A1327" t="inlineStr">
        <is>
          <t>IC1000</t>
        </is>
      </c>
      <c r="B1327" t="inlineStr">
        <is>
          <t>NORDEX ENERGY SE &amp; CO KG</t>
        </is>
      </c>
      <c r="C1327" t="n">
        <v>2122100000</v>
      </c>
      <c r="D1327" t="inlineStr">
        <is>
          <t>Intercompany</t>
        </is>
      </c>
      <c r="E1327" t="n">
        <v>200002737</v>
      </c>
      <c r="F1327" t="inlineStr">
        <is>
          <t>6770</t>
        </is>
      </c>
      <c r="G1327" t="inlineStr">
        <is>
          <t>UE</t>
        </is>
      </c>
      <c r="H1327" s="12" t="n">
        <v>-181936.71</v>
      </c>
      <c r="I1327" s="17" t="n">
        <v>44980</v>
      </c>
      <c r="J1327" s="17" t="n">
        <v>44980</v>
      </c>
      <c r="K1327" t="inlineStr">
        <is>
          <t>000000008004</t>
        </is>
      </c>
    </row>
    <row r="1328">
      <c r="A1328" t="inlineStr">
        <is>
          <t>IC1000</t>
        </is>
      </c>
      <c r="B1328" t="inlineStr">
        <is>
          <t>NORDEX ENERGY SE &amp; CO KG</t>
        </is>
      </c>
      <c r="C1328" t="n">
        <v>2122100000</v>
      </c>
      <c r="D1328" t="inlineStr">
        <is>
          <t>Intercompany</t>
        </is>
      </c>
      <c r="E1328" t="n">
        <v>200002743</v>
      </c>
      <c r="F1328" t="inlineStr">
        <is>
          <t>6776</t>
        </is>
      </c>
      <c r="G1328" t="inlineStr">
        <is>
          <t>UE</t>
        </is>
      </c>
      <c r="H1328" s="12" t="n">
        <v>-148937.24</v>
      </c>
      <c r="I1328" s="17" t="n">
        <v>44986</v>
      </c>
      <c r="J1328" s="17" t="n">
        <v>44986</v>
      </c>
      <c r="K1328" t="inlineStr">
        <is>
          <t>000000040004</t>
        </is>
      </c>
    </row>
    <row r="1329">
      <c r="A1329" t="inlineStr">
        <is>
          <t>IC1000</t>
        </is>
      </c>
      <c r="B1329" t="inlineStr">
        <is>
          <t>NORDEX ENERGY SE &amp; CO KG</t>
        </is>
      </c>
      <c r="C1329" t="n">
        <v>2122100000</v>
      </c>
      <c r="D1329" t="inlineStr">
        <is>
          <t>Intercompany</t>
        </is>
      </c>
      <c r="E1329" t="n">
        <v>200002744</v>
      </c>
      <c r="F1329" t="inlineStr">
        <is>
          <t>6777</t>
        </is>
      </c>
      <c r="G1329" t="inlineStr">
        <is>
          <t>UE</t>
        </is>
      </c>
      <c r="H1329" s="12" t="n">
        <v>-59229.21</v>
      </c>
      <c r="I1329" s="17" t="n">
        <v>44973</v>
      </c>
      <c r="J1329" s="17" t="n">
        <v>44973</v>
      </c>
      <c r="K1329" t="inlineStr">
        <is>
          <t>000003221002</t>
        </is>
      </c>
    </row>
    <row r="1330">
      <c r="A1330" t="inlineStr">
        <is>
          <t>IC1000</t>
        </is>
      </c>
      <c r="B1330" t="inlineStr">
        <is>
          <t>NORDEX ENERGY SE &amp; CO KG</t>
        </is>
      </c>
      <c r="C1330" t="n">
        <v>2122100000</v>
      </c>
      <c r="D1330" t="inlineStr">
        <is>
          <t>Intercompany</t>
        </is>
      </c>
      <c r="E1330" t="n">
        <v>200002748</v>
      </c>
      <c r="F1330" t="inlineStr">
        <is>
          <t>6780</t>
        </is>
      </c>
      <c r="G1330" t="inlineStr">
        <is>
          <t>UE</t>
        </is>
      </c>
      <c r="H1330" s="12" t="n">
        <v>-140774.41</v>
      </c>
      <c r="I1330" s="17" t="n">
        <v>44984</v>
      </c>
      <c r="J1330" s="17" t="n">
        <v>44984</v>
      </c>
      <c r="K1330" t="inlineStr">
        <is>
          <t>000000035004</t>
        </is>
      </c>
    </row>
    <row r="1331">
      <c r="A1331" t="inlineStr">
        <is>
          <t>IC1000</t>
        </is>
      </c>
      <c r="B1331" t="inlineStr">
        <is>
          <t>NORDEX ENERGY SE &amp; CO KG</t>
        </is>
      </c>
      <c r="C1331" t="n">
        <v>2122100000</v>
      </c>
      <c r="D1331" t="inlineStr">
        <is>
          <t>Intercompany</t>
        </is>
      </c>
      <c r="E1331" t="n">
        <v>200002754</v>
      </c>
      <c r="F1331" t="inlineStr">
        <is>
          <t>6786</t>
        </is>
      </c>
      <c r="G1331" t="inlineStr">
        <is>
          <t>UE</t>
        </is>
      </c>
      <c r="H1331" s="12" t="n">
        <v>-35.63</v>
      </c>
      <c r="I1331" s="17" t="n">
        <v>44994</v>
      </c>
      <c r="J1331" s="17" t="n">
        <v>44994</v>
      </c>
      <c r="K1331" t="inlineStr">
        <is>
          <t>000000049004</t>
        </is>
      </c>
    </row>
    <row r="1332">
      <c r="A1332" t="inlineStr">
        <is>
          <t>IC1000</t>
        </is>
      </c>
      <c r="B1332" t="inlineStr">
        <is>
          <t>NORDEX ENERGY SE &amp; CO KG</t>
        </is>
      </c>
      <c r="C1332" t="n">
        <v>2122100000</v>
      </c>
      <c r="D1332" t="inlineStr">
        <is>
          <t>Intercompany</t>
        </is>
      </c>
      <c r="E1332" t="n">
        <v>200002760</v>
      </c>
      <c r="F1332" t="inlineStr">
        <is>
          <t>6791</t>
        </is>
      </c>
      <c r="G1332" t="inlineStr">
        <is>
          <t>UE</t>
        </is>
      </c>
      <c r="H1332" s="12" t="n">
        <v>-111329.78</v>
      </c>
      <c r="I1332" s="17" t="n">
        <v>45000</v>
      </c>
      <c r="J1332" s="17" t="n">
        <v>45000</v>
      </c>
      <c r="K1332" t="inlineStr">
        <is>
          <t>000000029004</t>
        </is>
      </c>
    </row>
    <row r="1333">
      <c r="A1333" t="inlineStr">
        <is>
          <t>IC1000</t>
        </is>
      </c>
      <c r="B1333" t="inlineStr">
        <is>
          <t>NORDEX ENERGY SE &amp; CO KG</t>
        </is>
      </c>
      <c r="C1333" t="n">
        <v>2122100000</v>
      </c>
      <c r="D1333" t="inlineStr">
        <is>
          <t>Intercompany</t>
        </is>
      </c>
      <c r="E1333" t="n">
        <v>200002764</v>
      </c>
      <c r="F1333" t="inlineStr">
        <is>
          <t>6795</t>
        </is>
      </c>
      <c r="G1333" t="inlineStr">
        <is>
          <t>UE</t>
        </is>
      </c>
      <c r="H1333" s="12" t="n">
        <v>-93284.57000000001</v>
      </c>
      <c r="I1333" s="17" t="n">
        <v>44999</v>
      </c>
      <c r="J1333" s="17" t="n">
        <v>44999</v>
      </c>
      <c r="K1333" t="inlineStr">
        <is>
          <t>000000026004</t>
        </is>
      </c>
    </row>
    <row r="1334">
      <c r="A1334" t="inlineStr">
        <is>
          <t>IC1000</t>
        </is>
      </c>
      <c r="B1334" t="inlineStr">
        <is>
          <t>NORDEX ENERGY SE &amp; CO KG</t>
        </is>
      </c>
      <c r="C1334" t="n">
        <v>2122100000</v>
      </c>
      <c r="D1334" t="inlineStr">
        <is>
          <t>Intercompany</t>
        </is>
      </c>
      <c r="E1334" t="n">
        <v>200002765</v>
      </c>
      <c r="F1334" t="inlineStr">
        <is>
          <t>6796</t>
        </is>
      </c>
      <c r="G1334" t="inlineStr">
        <is>
          <t>UE</t>
        </is>
      </c>
      <c r="H1334" s="12" t="n">
        <v>-41769.34</v>
      </c>
      <c r="I1334" s="17" t="n">
        <v>44999</v>
      </c>
      <c r="J1334" s="17" t="n">
        <v>44999</v>
      </c>
      <c r="K1334" t="inlineStr">
        <is>
          <t>000000023004</t>
        </is>
      </c>
    </row>
    <row r="1335">
      <c r="A1335" t="inlineStr">
        <is>
          <t>IC1000</t>
        </is>
      </c>
      <c r="B1335" t="inlineStr">
        <is>
          <t>NORDEX ENERGY SE &amp; CO KG</t>
        </is>
      </c>
      <c r="C1335" t="n">
        <v>2122100000</v>
      </c>
      <c r="D1335" t="inlineStr">
        <is>
          <t>Intercompany</t>
        </is>
      </c>
      <c r="E1335" t="n">
        <v>200002772</v>
      </c>
      <c r="F1335" t="inlineStr">
        <is>
          <t>6801</t>
        </is>
      </c>
      <c r="G1335" t="inlineStr">
        <is>
          <t>UE</t>
        </is>
      </c>
      <c r="H1335" s="12" t="n">
        <v>-1090.66</v>
      </c>
      <c r="I1335" s="17" t="n">
        <v>45007</v>
      </c>
      <c r="J1335" s="17" t="n">
        <v>45007</v>
      </c>
      <c r="K1335" t="inlineStr">
        <is>
          <t>000000059004</t>
        </is>
      </c>
    </row>
    <row r="1336">
      <c r="A1336" t="inlineStr">
        <is>
          <t>IC1000</t>
        </is>
      </c>
      <c r="B1336" t="inlineStr">
        <is>
          <t>NORDEX ENERGY SE &amp; CO KG</t>
        </is>
      </c>
      <c r="C1336" t="n">
        <v>2122100000</v>
      </c>
      <c r="D1336" t="inlineStr">
        <is>
          <t>Intercompany</t>
        </is>
      </c>
      <c r="E1336" t="n">
        <v>200002779</v>
      </c>
      <c r="F1336" t="inlineStr">
        <is>
          <t>6808</t>
        </is>
      </c>
      <c r="G1336" t="inlineStr">
        <is>
          <t>UE</t>
        </is>
      </c>
      <c r="H1336" s="12" t="n">
        <v>-256.27</v>
      </c>
      <c r="I1336" s="17" t="n">
        <v>45009</v>
      </c>
      <c r="J1336" s="17" t="n">
        <v>45009</v>
      </c>
      <c r="K1336" t="inlineStr">
        <is>
          <t>000000063004</t>
        </is>
      </c>
    </row>
    <row r="1337">
      <c r="A1337" t="inlineStr">
        <is>
          <t>IC1000</t>
        </is>
      </c>
      <c r="B1337" t="inlineStr">
        <is>
          <t>NORDEX ENERGY SE &amp; CO KG</t>
        </is>
      </c>
      <c r="C1337" t="n">
        <v>2122100000</v>
      </c>
      <c r="D1337" t="inlineStr">
        <is>
          <t>Intercompany</t>
        </is>
      </c>
      <c r="E1337" t="n">
        <v>200002783</v>
      </c>
      <c r="F1337" t="inlineStr">
        <is>
          <t>6811</t>
        </is>
      </c>
      <c r="G1337" t="inlineStr">
        <is>
          <t>UE</t>
        </is>
      </c>
      <c r="H1337" s="12" t="n">
        <v>-40013.94</v>
      </c>
      <c r="I1337" s="17" t="n">
        <v>45000</v>
      </c>
      <c r="J1337" s="17" t="n">
        <v>45000</v>
      </c>
      <c r="K1337" t="inlineStr">
        <is>
          <t>000000003004</t>
        </is>
      </c>
    </row>
    <row r="1338">
      <c r="A1338" t="inlineStr">
        <is>
          <t>IC1000</t>
        </is>
      </c>
      <c r="B1338" t="inlineStr">
        <is>
          <t>NORDEX ENERGY SE &amp; CO KG</t>
        </is>
      </c>
      <c r="C1338" t="n">
        <v>2122100000</v>
      </c>
      <c r="D1338" t="inlineStr">
        <is>
          <t>Intercompany</t>
        </is>
      </c>
      <c r="E1338" t="n">
        <v>200002804</v>
      </c>
      <c r="F1338" t="inlineStr">
        <is>
          <t>6830</t>
        </is>
      </c>
      <c r="G1338" t="inlineStr">
        <is>
          <t>UE</t>
        </is>
      </c>
      <c r="H1338" s="12" t="n">
        <v>-90249.96000000001</v>
      </c>
      <c r="I1338" s="17" t="n">
        <v>45020</v>
      </c>
      <c r="J1338" s="17" t="n">
        <v>45020</v>
      </c>
      <c r="K1338" t="inlineStr">
        <is>
          <t>000000013004</t>
        </is>
      </c>
    </row>
    <row r="1339">
      <c r="A1339" t="inlineStr">
        <is>
          <t>IC1000</t>
        </is>
      </c>
      <c r="B1339" t="inlineStr">
        <is>
          <t>NORDEX ENERGY SE &amp; CO KG</t>
        </is>
      </c>
      <c r="C1339" t="n">
        <v>2122100000</v>
      </c>
      <c r="D1339" t="inlineStr">
        <is>
          <t>Intercompany</t>
        </is>
      </c>
      <c r="E1339" t="n">
        <v>200002860</v>
      </c>
      <c r="F1339" t="inlineStr">
        <is>
          <t>6881</t>
        </is>
      </c>
      <c r="G1339" t="inlineStr">
        <is>
          <t>UE</t>
        </is>
      </c>
      <c r="H1339" s="12" t="n">
        <v>-2194119.76</v>
      </c>
      <c r="I1339" s="17" t="n">
        <v>45064</v>
      </c>
      <c r="J1339" s="17" t="n">
        <v>45064</v>
      </c>
      <c r="K1339" t="inlineStr">
        <is>
          <t>000000017004</t>
        </is>
      </c>
    </row>
    <row r="1340">
      <c r="A1340" t="inlineStr">
        <is>
          <t>IC1000</t>
        </is>
      </c>
      <c r="B1340" t="inlineStr">
        <is>
          <t>NORDEX ENERGY SE &amp; CO KG</t>
        </is>
      </c>
      <c r="C1340" t="n">
        <v>2122100000</v>
      </c>
      <c r="D1340" t="inlineStr">
        <is>
          <t>Intercompany</t>
        </is>
      </c>
      <c r="E1340" t="n">
        <v>200002861</v>
      </c>
      <c r="F1340" t="inlineStr">
        <is>
          <t>6882</t>
        </is>
      </c>
      <c r="G1340" t="inlineStr">
        <is>
          <t>UE</t>
        </is>
      </c>
      <c r="H1340" s="12" t="n">
        <v>-29.82</v>
      </c>
      <c r="I1340" s="17" t="n">
        <v>45063</v>
      </c>
      <c r="J1340" s="17" t="n">
        <v>45063</v>
      </c>
      <c r="K1340" t="inlineStr">
        <is>
          <t>000000127004</t>
        </is>
      </c>
    </row>
    <row r="1341">
      <c r="A1341" t="inlineStr">
        <is>
          <t>IC1000</t>
        </is>
      </c>
      <c r="B1341" t="inlineStr">
        <is>
          <t>NORDEX ENERGY SE &amp; CO KG</t>
        </is>
      </c>
      <c r="C1341" t="n">
        <v>2122100000</v>
      </c>
      <c r="D1341" t="inlineStr">
        <is>
          <t>Intercompany</t>
        </is>
      </c>
      <c r="E1341" t="n">
        <v>200002901</v>
      </c>
      <c r="F1341" t="inlineStr">
        <is>
          <t>6918</t>
        </is>
      </c>
      <c r="G1341" t="inlineStr">
        <is>
          <t>UE</t>
        </is>
      </c>
      <c r="H1341" s="12" t="n">
        <v>-6300.81</v>
      </c>
      <c r="I1341" s="17" t="n">
        <v>45117</v>
      </c>
      <c r="J1341" s="17" t="n">
        <v>45117</v>
      </c>
      <c r="K1341" t="inlineStr">
        <is>
          <t>000000158004</t>
        </is>
      </c>
    </row>
    <row r="1342">
      <c r="A1342" t="inlineStr">
        <is>
          <t>IC1000</t>
        </is>
      </c>
      <c r="B1342" t="inlineStr">
        <is>
          <t>NORDEX ENERGY SE &amp; CO KG</t>
        </is>
      </c>
      <c r="C1342" t="n">
        <v>2122100000</v>
      </c>
      <c r="D1342" t="inlineStr">
        <is>
          <t>Intercompany</t>
        </is>
      </c>
      <c r="E1342" t="n">
        <v>200002902</v>
      </c>
      <c r="F1342" t="inlineStr">
        <is>
          <t>6919</t>
        </is>
      </c>
      <c r="G1342" t="inlineStr">
        <is>
          <t>UE</t>
        </is>
      </c>
      <c r="H1342" s="12" t="n">
        <v>-24317.54</v>
      </c>
      <c r="I1342" s="17" t="n">
        <v>45117</v>
      </c>
      <c r="J1342" s="17" t="n">
        <v>45117</v>
      </c>
      <c r="K1342" t="inlineStr">
        <is>
          <t>000000159004</t>
        </is>
      </c>
    </row>
    <row r="1343">
      <c r="A1343" t="inlineStr">
        <is>
          <t>IC1000</t>
        </is>
      </c>
      <c r="B1343" t="inlineStr">
        <is>
          <t>NORDEX ENERGY SE &amp; CO KG</t>
        </is>
      </c>
      <c r="C1343" t="n">
        <v>2122100000</v>
      </c>
      <c r="D1343" t="inlineStr">
        <is>
          <t>Intercompany</t>
        </is>
      </c>
      <c r="E1343" t="n">
        <v>200002905</v>
      </c>
      <c r="F1343" t="inlineStr">
        <is>
          <t>6921</t>
        </is>
      </c>
      <c r="G1343" t="inlineStr">
        <is>
          <t>UE</t>
        </is>
      </c>
      <c r="H1343" s="12" t="n">
        <v>-29284.27</v>
      </c>
      <c r="I1343" s="17" t="n">
        <v>45117</v>
      </c>
      <c r="J1343" s="17" t="n">
        <v>45117</v>
      </c>
      <c r="K1343" t="inlineStr">
        <is>
          <t>000000161004</t>
        </is>
      </c>
    </row>
    <row r="1344">
      <c r="A1344" t="inlineStr">
        <is>
          <t>IC1000</t>
        </is>
      </c>
      <c r="B1344" t="inlineStr">
        <is>
          <t>NORDEX ENERGY SE &amp; CO KG</t>
        </is>
      </c>
      <c r="C1344" t="n">
        <v>2122100000</v>
      </c>
      <c r="D1344" t="inlineStr">
        <is>
          <t>Intercompany</t>
        </is>
      </c>
      <c r="E1344" t="n">
        <v>200002908</v>
      </c>
      <c r="F1344" t="inlineStr">
        <is>
          <t>6924</t>
        </is>
      </c>
      <c r="G1344" t="inlineStr">
        <is>
          <t>UE</t>
        </is>
      </c>
      <c r="H1344" s="12" t="n">
        <v>-464.45</v>
      </c>
      <c r="I1344" s="17" t="n">
        <v>45117</v>
      </c>
      <c r="J1344" s="17" t="n">
        <v>45117</v>
      </c>
      <c r="K1344" t="inlineStr">
        <is>
          <t>000000167004</t>
        </is>
      </c>
    </row>
    <row r="1345">
      <c r="A1345" t="inlineStr">
        <is>
          <t>IC1000</t>
        </is>
      </c>
      <c r="B1345" t="inlineStr">
        <is>
          <t>NORDEX ENERGY SE &amp; CO KG</t>
        </is>
      </c>
      <c r="C1345" t="n">
        <v>2122100000</v>
      </c>
      <c r="D1345" t="inlineStr">
        <is>
          <t>Intercompany</t>
        </is>
      </c>
      <c r="E1345" t="n">
        <v>200002909</v>
      </c>
      <c r="F1345" t="inlineStr">
        <is>
          <t>6925</t>
        </is>
      </c>
      <c r="G1345" t="inlineStr">
        <is>
          <t>UE</t>
        </is>
      </c>
      <c r="H1345" s="12" t="n">
        <v>-5381.86</v>
      </c>
      <c r="I1345" s="17" t="n">
        <v>45098</v>
      </c>
      <c r="J1345" s="17" t="n">
        <v>45098</v>
      </c>
      <c r="K1345" t="inlineStr">
        <is>
          <t>000000154004</t>
        </is>
      </c>
    </row>
    <row r="1346">
      <c r="A1346" t="inlineStr">
        <is>
          <t>IC1000</t>
        </is>
      </c>
      <c r="B1346" t="inlineStr">
        <is>
          <t>NORDEX ENERGY SE &amp; CO KG</t>
        </is>
      </c>
      <c r="C1346" t="n">
        <v>2122100000</v>
      </c>
      <c r="D1346" t="inlineStr">
        <is>
          <t>Intercompany</t>
        </is>
      </c>
      <c r="E1346" t="n">
        <v>200002910</v>
      </c>
      <c r="F1346" t="inlineStr">
        <is>
          <t>6926</t>
        </is>
      </c>
      <c r="G1346" t="inlineStr">
        <is>
          <t>UE</t>
        </is>
      </c>
      <c r="H1346" s="12" t="n">
        <v>-26295.97</v>
      </c>
      <c r="I1346" s="17" t="n">
        <v>45098</v>
      </c>
      <c r="J1346" s="17" t="n">
        <v>45098</v>
      </c>
      <c r="K1346" t="inlineStr">
        <is>
          <t>000000155004</t>
        </is>
      </c>
    </row>
    <row r="1347">
      <c r="A1347" t="inlineStr">
        <is>
          <t>IC1000</t>
        </is>
      </c>
      <c r="B1347" t="inlineStr">
        <is>
          <t>NORDEX ENERGY SE &amp; CO KG</t>
        </is>
      </c>
      <c r="C1347" t="n">
        <v>2122100000</v>
      </c>
      <c r="D1347" t="inlineStr">
        <is>
          <t>Intercompany</t>
        </is>
      </c>
      <c r="E1347" t="n">
        <v>200002913</v>
      </c>
      <c r="F1347" t="inlineStr">
        <is>
          <t>6929</t>
        </is>
      </c>
      <c r="G1347" t="inlineStr">
        <is>
          <t>UE</t>
        </is>
      </c>
      <c r="H1347" s="12" t="n">
        <v>-2873.26</v>
      </c>
      <c r="I1347" s="17" t="n">
        <v>45119</v>
      </c>
      <c r="J1347" s="17" t="n">
        <v>45119</v>
      </c>
      <c r="K1347" t="inlineStr">
        <is>
          <t>000000168004</t>
        </is>
      </c>
    </row>
    <row r="1348">
      <c r="A1348" t="inlineStr">
        <is>
          <t>IC1000</t>
        </is>
      </c>
      <c r="B1348" t="inlineStr">
        <is>
          <t>NORDEX ENERGY SE &amp; CO KG</t>
        </is>
      </c>
      <c r="C1348" t="n">
        <v>2122100000</v>
      </c>
      <c r="D1348" t="inlineStr">
        <is>
          <t>Intercompany</t>
        </is>
      </c>
      <c r="E1348" t="n">
        <v>200002918</v>
      </c>
      <c r="F1348" t="inlineStr">
        <is>
          <t>6933</t>
        </is>
      </c>
      <c r="G1348" t="inlineStr">
        <is>
          <t>UE</t>
        </is>
      </c>
      <c r="H1348" s="12" t="n">
        <v>-3188.65</v>
      </c>
      <c r="I1348" s="17" t="n">
        <v>45121</v>
      </c>
      <c r="J1348" s="17" t="n">
        <v>45121</v>
      </c>
      <c r="K1348" t="inlineStr">
        <is>
          <t>000000169004</t>
        </is>
      </c>
    </row>
    <row r="1349">
      <c r="A1349" t="inlineStr">
        <is>
          <t>IC1000</t>
        </is>
      </c>
      <c r="B1349" t="inlineStr">
        <is>
          <t>NORDEX ENERGY SE &amp; CO KG</t>
        </is>
      </c>
      <c r="C1349" t="n">
        <v>2122100000</v>
      </c>
      <c r="D1349" t="inlineStr">
        <is>
          <t>Intercompany</t>
        </is>
      </c>
      <c r="E1349" t="n">
        <v>200002920</v>
      </c>
      <c r="F1349" t="inlineStr">
        <is>
          <t>6935</t>
        </is>
      </c>
      <c r="G1349" t="inlineStr">
        <is>
          <t>UE</t>
        </is>
      </c>
      <c r="H1349" s="12" t="n">
        <v>-5479.66</v>
      </c>
      <c r="I1349" s="17" t="n">
        <v>45128</v>
      </c>
      <c r="J1349" s="17" t="n">
        <v>45128</v>
      </c>
      <c r="K1349" t="inlineStr">
        <is>
          <t>000000177004</t>
        </is>
      </c>
    </row>
    <row r="1350">
      <c r="A1350" t="inlineStr">
        <is>
          <t>IC1000</t>
        </is>
      </c>
      <c r="B1350" t="inlineStr">
        <is>
          <t>NORDEX ENERGY SE &amp; CO KG</t>
        </is>
      </c>
      <c r="C1350" t="n">
        <v>2122100000</v>
      </c>
      <c r="D1350" t="inlineStr">
        <is>
          <t>Intercompany</t>
        </is>
      </c>
      <c r="E1350" t="n">
        <v>200002921</v>
      </c>
      <c r="F1350" t="inlineStr">
        <is>
          <t>6936</t>
        </is>
      </c>
      <c r="G1350" t="inlineStr">
        <is>
          <t>UE</t>
        </is>
      </c>
      <c r="H1350" s="12" t="n">
        <v>-4667.23</v>
      </c>
      <c r="I1350" s="17" t="n">
        <v>45128</v>
      </c>
      <c r="J1350" s="17" t="n">
        <v>45128</v>
      </c>
      <c r="K1350" t="inlineStr">
        <is>
          <t>000000176004</t>
        </is>
      </c>
    </row>
    <row r="1351">
      <c r="A1351" t="inlineStr">
        <is>
          <t>IC1000</t>
        </is>
      </c>
      <c r="B1351" t="inlineStr">
        <is>
          <t>NORDEX ENERGY SE &amp; CO KG</t>
        </is>
      </c>
      <c r="C1351" t="n">
        <v>2122100000</v>
      </c>
      <c r="D1351" t="inlineStr">
        <is>
          <t>Intercompany</t>
        </is>
      </c>
      <c r="E1351" t="n">
        <v>200002924</v>
      </c>
      <c r="F1351" t="inlineStr">
        <is>
          <t>6939</t>
        </is>
      </c>
      <c r="G1351" t="inlineStr">
        <is>
          <t>UE</t>
        </is>
      </c>
      <c r="H1351" s="12" t="n">
        <v>-32807.07</v>
      </c>
      <c r="I1351" s="17" t="n">
        <v>45124</v>
      </c>
      <c r="J1351" s="17" t="n">
        <v>45124</v>
      </c>
      <c r="K1351" t="inlineStr">
        <is>
          <t>000000175004</t>
        </is>
      </c>
    </row>
    <row r="1352">
      <c r="A1352" t="inlineStr">
        <is>
          <t>IC1000</t>
        </is>
      </c>
      <c r="B1352" t="inlineStr">
        <is>
          <t>NORDEX ENERGY SE &amp; CO KG</t>
        </is>
      </c>
      <c r="C1352" t="n">
        <v>2122100000</v>
      </c>
      <c r="D1352" t="inlineStr">
        <is>
          <t>Intercompany</t>
        </is>
      </c>
      <c r="E1352" t="n">
        <v>200002928</v>
      </c>
      <c r="F1352" t="inlineStr">
        <is>
          <t>6942</t>
        </is>
      </c>
      <c r="G1352" t="inlineStr">
        <is>
          <t>UE</t>
        </is>
      </c>
      <c r="H1352" s="12" t="n">
        <v>-115575.71</v>
      </c>
      <c r="I1352" s="17" t="n">
        <v>45131</v>
      </c>
      <c r="J1352" s="17" t="n">
        <v>45131</v>
      </c>
      <c r="K1352" t="inlineStr">
        <is>
          <t>000000185004</t>
        </is>
      </c>
    </row>
    <row r="1353">
      <c r="A1353" t="inlineStr">
        <is>
          <t>IC5000</t>
        </is>
      </c>
      <c r="B1353" t="inlineStr">
        <is>
          <t>NORDEX SE</t>
        </is>
      </c>
      <c r="C1353" t="n">
        <v>2122100000</v>
      </c>
      <c r="D1353" t="inlineStr">
        <is>
          <t>Intercompany</t>
        </is>
      </c>
      <c r="E1353" t="n">
        <v>200004569</v>
      </c>
      <c r="F1353" t="inlineStr">
        <is>
          <t>6149</t>
        </is>
      </c>
      <c r="G1353" t="inlineStr">
        <is>
          <t>UE</t>
        </is>
      </c>
      <c r="H1353" s="12" t="n">
        <v>-1537093.37</v>
      </c>
      <c r="I1353" s="17" t="n">
        <v>43465</v>
      </c>
      <c r="J1353" s="17" t="n">
        <v>43465</v>
      </c>
      <c r="K1353" t="inlineStr">
        <is>
          <t>603328</t>
        </is>
      </c>
    </row>
    <row r="1354">
      <c r="A1354" t="inlineStr">
        <is>
          <t>IC5000</t>
        </is>
      </c>
      <c r="B1354" t="inlineStr">
        <is>
          <t>NORDEX SE</t>
        </is>
      </c>
      <c r="C1354" t="n">
        <v>2122100000</v>
      </c>
      <c r="D1354" t="inlineStr">
        <is>
          <t>Intercompany</t>
        </is>
      </c>
      <c r="E1354" t="n">
        <v>200004571</v>
      </c>
      <c r="F1354" t="inlineStr">
        <is>
          <t>6150</t>
        </is>
      </c>
      <c r="G1354" t="inlineStr">
        <is>
          <t>UE</t>
        </is>
      </c>
      <c r="H1354" s="12" t="n">
        <v>4218308.19</v>
      </c>
      <c r="I1354" s="17" t="n">
        <v>43830</v>
      </c>
      <c r="J1354" s="17" t="n">
        <v>43830</v>
      </c>
      <c r="K1354" t="inlineStr">
        <is>
          <t>72913-RI-00060-001</t>
        </is>
      </c>
    </row>
    <row r="1355">
      <c r="A1355" t="inlineStr">
        <is>
          <t>IC1000</t>
        </is>
      </c>
      <c r="B1355" t="inlineStr">
        <is>
          <t>NORDEX ENERGY SE &amp; CO KG</t>
        </is>
      </c>
      <c r="C1355" t="n">
        <v>2122100000</v>
      </c>
      <c r="D1355" t="inlineStr">
        <is>
          <t>Intercompany</t>
        </is>
      </c>
      <c r="E1355" t="n">
        <v>200004886</v>
      </c>
      <c r="F1355" t="inlineStr">
        <is>
          <t>6434</t>
        </is>
      </c>
      <c r="G1355" t="inlineStr">
        <is>
          <t>UE</t>
        </is>
      </c>
      <c r="H1355" s="12" t="n">
        <v>-1526933.57</v>
      </c>
      <c r="I1355" s="17" t="n">
        <v>43465</v>
      </c>
      <c r="J1355" s="17" t="n">
        <v>43465</v>
      </c>
      <c r="K1355" t="inlineStr">
        <is>
          <t>607072</t>
        </is>
      </c>
    </row>
    <row r="1356">
      <c r="A1356" t="inlineStr">
        <is>
          <t>IC1000</t>
        </is>
      </c>
      <c r="B1356" t="inlineStr">
        <is>
          <t>NORDEX ENERGY SE &amp; CO KG</t>
        </is>
      </c>
      <c r="C1356" t="n">
        <v>2122100000</v>
      </c>
      <c r="D1356" t="inlineStr">
        <is>
          <t>Intercompany</t>
        </is>
      </c>
      <c r="E1356" t="n">
        <v>200004887</v>
      </c>
      <c r="F1356" t="inlineStr">
        <is>
          <t>6435</t>
        </is>
      </c>
      <c r="G1356" t="inlineStr">
        <is>
          <t>UE</t>
        </is>
      </c>
      <c r="H1356" s="12" t="n">
        <v>-629572.49</v>
      </c>
      <c r="I1356" s="17" t="n">
        <v>44069</v>
      </c>
      <c r="J1356" s="17" t="n">
        <v>44069</v>
      </c>
      <c r="K1356" t="inlineStr">
        <is>
          <t>000000239002</t>
        </is>
      </c>
    </row>
    <row r="1357">
      <c r="A1357" t="inlineStr">
        <is>
          <t>IC1000</t>
        </is>
      </c>
      <c r="B1357" t="inlineStr">
        <is>
          <t>NORDEX ENERGY SE &amp; CO KG</t>
        </is>
      </c>
      <c r="C1357" t="n">
        <v>2122100000</v>
      </c>
      <c r="D1357" t="inlineStr">
        <is>
          <t>Intercompany</t>
        </is>
      </c>
      <c r="E1357" t="n">
        <v>200004901</v>
      </c>
      <c r="F1357" t="inlineStr">
        <is>
          <t>6448</t>
        </is>
      </c>
      <c r="G1357" t="inlineStr">
        <is>
          <t>UE</t>
        </is>
      </c>
      <c r="H1357" s="12" t="n">
        <v>-523087.19</v>
      </c>
      <c r="I1357" s="17" t="n">
        <v>44775</v>
      </c>
      <c r="J1357" s="17" t="n">
        <v>44775</v>
      </c>
      <c r="K1357" t="inlineStr">
        <is>
          <t>000002152002</t>
        </is>
      </c>
    </row>
    <row r="1358">
      <c r="A1358" t="inlineStr">
        <is>
          <t>IC1000</t>
        </is>
      </c>
      <c r="B1358" t="inlineStr">
        <is>
          <t>NORDEX ENERGY SE &amp; CO KG</t>
        </is>
      </c>
      <c r="C1358" t="n">
        <v>2122100000</v>
      </c>
      <c r="D1358" t="inlineStr">
        <is>
          <t>Intercompany</t>
        </is>
      </c>
      <c r="E1358" t="n">
        <v>200004913</v>
      </c>
      <c r="F1358" t="inlineStr">
        <is>
          <t>6459</t>
        </is>
      </c>
      <c r="G1358" t="inlineStr">
        <is>
          <t>UE</t>
        </is>
      </c>
      <c r="H1358" s="12" t="n">
        <v>-857321.03</v>
      </c>
      <c r="I1358" s="17" t="n">
        <v>44778</v>
      </c>
      <c r="J1358" s="17" t="n">
        <v>44778</v>
      </c>
      <c r="K1358" t="inlineStr">
        <is>
          <t>000002189002</t>
        </is>
      </c>
    </row>
    <row r="1359">
      <c r="A1359" t="inlineStr">
        <is>
          <t>IC1000</t>
        </is>
      </c>
      <c r="B1359" t="inlineStr">
        <is>
          <t>NORDEX ENERGY SE &amp; CO KG</t>
        </is>
      </c>
      <c r="C1359" t="n">
        <v>2122100000</v>
      </c>
      <c r="D1359" t="inlineStr">
        <is>
          <t>Intercompany</t>
        </is>
      </c>
      <c r="E1359" t="n">
        <v>200004919</v>
      </c>
      <c r="F1359" t="inlineStr">
        <is>
          <t>6464</t>
        </is>
      </c>
      <c r="G1359" t="inlineStr">
        <is>
          <t>UE</t>
        </is>
      </c>
      <c r="H1359" s="12" t="n">
        <v>-1055059.14</v>
      </c>
      <c r="I1359" s="17" t="n">
        <v>44775</v>
      </c>
      <c r="J1359" s="17" t="n">
        <v>44775</v>
      </c>
      <c r="K1359" t="inlineStr">
        <is>
          <t>000002154002</t>
        </is>
      </c>
    </row>
    <row r="1360">
      <c r="A1360" t="inlineStr">
        <is>
          <t>IC1000</t>
        </is>
      </c>
      <c r="B1360" t="inlineStr">
        <is>
          <t>NORDEX ENERGY SE &amp; CO KG</t>
        </is>
      </c>
      <c r="C1360" t="n">
        <v>2122100000</v>
      </c>
      <c r="D1360" t="inlineStr">
        <is>
          <t>Intercompany</t>
        </is>
      </c>
      <c r="E1360" t="n">
        <v>200004942</v>
      </c>
      <c r="F1360" t="inlineStr">
        <is>
          <t>6485</t>
        </is>
      </c>
      <c r="G1360" t="inlineStr">
        <is>
          <t>UE</t>
        </is>
      </c>
      <c r="H1360" s="12" t="n">
        <v>-2661.73</v>
      </c>
      <c r="I1360" s="17" t="n">
        <v>44789</v>
      </c>
      <c r="J1360" s="17" t="n">
        <v>44789</v>
      </c>
      <c r="K1360" t="inlineStr">
        <is>
          <t>000002226002</t>
        </is>
      </c>
    </row>
    <row r="1361">
      <c r="A1361" t="inlineStr">
        <is>
          <t>IC1000</t>
        </is>
      </c>
      <c r="B1361" t="inlineStr">
        <is>
          <t>NORDEX ENERGY SE &amp; CO KG</t>
        </is>
      </c>
      <c r="C1361" t="n">
        <v>2122100000</v>
      </c>
      <c r="D1361" t="inlineStr">
        <is>
          <t>Intercompany</t>
        </is>
      </c>
      <c r="E1361" t="n">
        <v>200004965</v>
      </c>
      <c r="F1361" t="inlineStr">
        <is>
          <t>6505</t>
        </is>
      </c>
      <c r="G1361" t="inlineStr">
        <is>
          <t>UE</t>
        </is>
      </c>
      <c r="H1361" s="12" t="n">
        <v>-50628.64</v>
      </c>
      <c r="I1361" s="17" t="n">
        <v>44818</v>
      </c>
      <c r="J1361" s="17" t="n">
        <v>44818</v>
      </c>
      <c r="K1361" t="inlineStr">
        <is>
          <t>000002414002</t>
        </is>
      </c>
    </row>
    <row r="1362">
      <c r="A1362" t="inlineStr">
        <is>
          <t>IC1000</t>
        </is>
      </c>
      <c r="B1362" t="inlineStr">
        <is>
          <t>NORDEX ENERGY SE &amp; CO KG</t>
        </is>
      </c>
      <c r="C1362" t="n">
        <v>2122100000</v>
      </c>
      <c r="D1362" t="inlineStr">
        <is>
          <t>Intercompany</t>
        </is>
      </c>
      <c r="E1362" t="n">
        <v>200004993</v>
      </c>
      <c r="F1362" t="inlineStr">
        <is>
          <t>6530</t>
        </is>
      </c>
      <c r="G1362" t="inlineStr">
        <is>
          <t>UE</t>
        </is>
      </c>
      <c r="H1362" s="12" t="n">
        <v>-4127.41</v>
      </c>
      <c r="I1362" s="17" t="n">
        <v>44861</v>
      </c>
      <c r="J1362" s="17" t="n">
        <v>44861</v>
      </c>
      <c r="K1362" t="inlineStr">
        <is>
          <t>000002663002</t>
        </is>
      </c>
    </row>
    <row r="1363">
      <c r="A1363" t="inlineStr">
        <is>
          <t>IC1000</t>
        </is>
      </c>
      <c r="B1363" t="inlineStr">
        <is>
          <t>NORDEX ENERGY SE &amp; CO KG</t>
        </is>
      </c>
      <c r="C1363" t="n">
        <v>2122100000</v>
      </c>
      <c r="D1363" t="inlineStr">
        <is>
          <t>Intercompany</t>
        </is>
      </c>
      <c r="E1363" t="n">
        <v>200004999</v>
      </c>
      <c r="F1363" t="inlineStr">
        <is>
          <t>6536</t>
        </is>
      </c>
      <c r="G1363" t="inlineStr">
        <is>
          <t>UE</t>
        </is>
      </c>
      <c r="H1363" s="12" t="n">
        <v>-21240.32</v>
      </c>
      <c r="I1363" s="17" t="n">
        <v>44869</v>
      </c>
      <c r="J1363" s="17" t="n">
        <v>44869</v>
      </c>
      <c r="K1363" t="inlineStr">
        <is>
          <t>000002747002</t>
        </is>
      </c>
    </row>
    <row r="1364">
      <c r="A1364" t="inlineStr">
        <is>
          <t>IC1000</t>
        </is>
      </c>
      <c r="B1364" t="inlineStr">
        <is>
          <t>NORDEX ENERGY SE &amp; CO KG</t>
        </is>
      </c>
      <c r="C1364" t="n">
        <v>2122100000</v>
      </c>
      <c r="D1364" t="inlineStr">
        <is>
          <t>Intercompany</t>
        </is>
      </c>
      <c r="E1364" t="n">
        <v>200005001</v>
      </c>
      <c r="F1364" t="inlineStr">
        <is>
          <t>6538</t>
        </is>
      </c>
      <c r="G1364" t="inlineStr">
        <is>
          <t>UE</t>
        </is>
      </c>
      <c r="H1364" s="12" t="n">
        <v>-6795.78</v>
      </c>
      <c r="I1364" s="17" t="n">
        <v>44872</v>
      </c>
      <c r="J1364" s="17" t="n">
        <v>44872</v>
      </c>
      <c r="K1364" t="inlineStr">
        <is>
          <t>000002765002</t>
        </is>
      </c>
    </row>
    <row r="1365">
      <c r="A1365" t="inlineStr">
        <is>
          <t>IC1000</t>
        </is>
      </c>
      <c r="B1365" t="inlineStr">
        <is>
          <t>NORDEX ENERGY SE &amp; CO KG</t>
        </is>
      </c>
      <c r="C1365" t="n">
        <v>2122100000</v>
      </c>
      <c r="D1365" t="inlineStr">
        <is>
          <t>Intercompany</t>
        </is>
      </c>
      <c r="E1365" t="n">
        <v>200005004</v>
      </c>
      <c r="F1365" t="inlineStr">
        <is>
          <t>6540</t>
        </is>
      </c>
      <c r="G1365" t="inlineStr">
        <is>
          <t>UE</t>
        </is>
      </c>
      <c r="H1365" s="12" t="n">
        <v>-234083.98</v>
      </c>
      <c r="I1365" s="17" t="n">
        <v>44872</v>
      </c>
      <c r="J1365" s="17" t="n">
        <v>44872</v>
      </c>
      <c r="K1365" t="inlineStr">
        <is>
          <t>000002769002</t>
        </is>
      </c>
    </row>
    <row r="1366">
      <c r="A1366" t="inlineStr">
        <is>
          <t>IC1000</t>
        </is>
      </c>
      <c r="B1366" t="inlineStr">
        <is>
          <t>NORDEX ENERGY SE &amp; CO KG</t>
        </is>
      </c>
      <c r="C1366" t="n">
        <v>2122100000</v>
      </c>
      <c r="D1366" t="inlineStr">
        <is>
          <t>Intercompany</t>
        </is>
      </c>
      <c r="E1366" t="n">
        <v>200005008</v>
      </c>
      <c r="F1366" t="inlineStr">
        <is>
          <t>6544</t>
        </is>
      </c>
      <c r="G1366" t="inlineStr">
        <is>
          <t>UE</t>
        </is>
      </c>
      <c r="H1366" s="12" t="n">
        <v>-3778.17</v>
      </c>
      <c r="I1366" s="17" t="n">
        <v>44874</v>
      </c>
      <c r="J1366" s="17" t="n">
        <v>44874</v>
      </c>
      <c r="K1366" t="inlineStr">
        <is>
          <t>000002778002</t>
        </is>
      </c>
    </row>
    <row r="1367">
      <c r="A1367" t="inlineStr">
        <is>
          <t>IC1000</t>
        </is>
      </c>
      <c r="B1367" t="inlineStr">
        <is>
          <t>NORDEX ENERGY SE &amp; CO KG</t>
        </is>
      </c>
      <c r="C1367" t="n">
        <v>2122100000</v>
      </c>
      <c r="D1367" t="inlineStr">
        <is>
          <t>Intercompany</t>
        </is>
      </c>
      <c r="E1367" t="n">
        <v>200005028</v>
      </c>
      <c r="F1367" t="inlineStr">
        <is>
          <t>6562</t>
        </is>
      </c>
      <c r="G1367" t="inlineStr">
        <is>
          <t>UE</t>
        </is>
      </c>
      <c r="H1367" s="12" t="n">
        <v>-191502.15</v>
      </c>
      <c r="I1367" s="17" t="n">
        <v>44876</v>
      </c>
      <c r="J1367" s="17" t="n">
        <v>44876</v>
      </c>
      <c r="K1367" t="inlineStr">
        <is>
          <t>000002809002</t>
        </is>
      </c>
    </row>
    <row r="1368">
      <c r="A1368" t="inlineStr">
        <is>
          <t>IC1000</t>
        </is>
      </c>
      <c r="B1368" t="inlineStr">
        <is>
          <t>NORDEX ENERGY SE &amp; CO KG</t>
        </is>
      </c>
      <c r="C1368" t="n">
        <v>2122100000</v>
      </c>
      <c r="D1368" t="inlineStr">
        <is>
          <t>Intercompany</t>
        </is>
      </c>
      <c r="E1368" t="n">
        <v>200005033</v>
      </c>
      <c r="F1368" t="inlineStr">
        <is>
          <t>6567</t>
        </is>
      </c>
      <c r="G1368" t="inlineStr">
        <is>
          <t>UE</t>
        </is>
      </c>
      <c r="H1368" s="12" t="n">
        <v>-558169.48</v>
      </c>
      <c r="I1368" s="17" t="n">
        <v>44876</v>
      </c>
      <c r="J1368" s="17" t="n">
        <v>44876</v>
      </c>
      <c r="K1368" t="inlineStr">
        <is>
          <t>000002807002</t>
        </is>
      </c>
    </row>
    <row r="1369">
      <c r="A1369" t="inlineStr">
        <is>
          <t>IC4420</t>
        </is>
      </c>
      <c r="B1369" t="inlineStr">
        <is>
          <t>NORDEX ENERGY SPAIN S A U</t>
        </is>
      </c>
      <c r="C1369" t="n">
        <v>2122100000</v>
      </c>
      <c r="D1369" t="inlineStr">
        <is>
          <t>Intercompany</t>
        </is>
      </c>
      <c r="E1369" t="n">
        <v>200005525</v>
      </c>
      <c r="F1369" t="inlineStr">
        <is>
          <t>4783</t>
        </is>
      </c>
      <c r="G1369" t="inlineStr">
        <is>
          <t>UE</t>
        </is>
      </c>
      <c r="H1369" s="12" t="n">
        <v>-18971.03</v>
      </c>
      <c r="I1369" s="17" t="n">
        <v>43203</v>
      </c>
      <c r="J1369" s="17" t="n">
        <v>43203</v>
      </c>
      <c r="K1369" t="inlineStr">
        <is>
          <t>000000674002</t>
        </is>
      </c>
    </row>
    <row r="1370">
      <c r="A1370" t="inlineStr">
        <is>
          <t>IC4420</t>
        </is>
      </c>
      <c r="B1370" t="inlineStr">
        <is>
          <t>NORDEX ENERGY SPAIN S A U</t>
        </is>
      </c>
      <c r="C1370" t="n">
        <v>2122100000</v>
      </c>
      <c r="D1370" t="inlineStr">
        <is>
          <t>Intercompany</t>
        </is>
      </c>
      <c r="E1370" t="n">
        <v>200005526</v>
      </c>
      <c r="F1370" t="inlineStr">
        <is>
          <t>4784</t>
        </is>
      </c>
      <c r="G1370" t="inlineStr">
        <is>
          <t>UE</t>
        </is>
      </c>
      <c r="H1370" s="12" t="n">
        <v>-9961.389999999999</v>
      </c>
      <c r="I1370" s="17" t="n">
        <v>43207</v>
      </c>
      <c r="J1370" s="17" t="n">
        <v>43207</v>
      </c>
      <c r="K1370" t="inlineStr">
        <is>
          <t>000000676002</t>
        </is>
      </c>
    </row>
    <row r="1371">
      <c r="A1371" t="inlineStr">
        <is>
          <t>IC4420</t>
        </is>
      </c>
      <c r="B1371" t="inlineStr">
        <is>
          <t>NORDEX ENERGY SPAIN S A U</t>
        </is>
      </c>
      <c r="C1371" t="n">
        <v>2122100000</v>
      </c>
      <c r="D1371" t="inlineStr">
        <is>
          <t>Intercompany</t>
        </is>
      </c>
      <c r="E1371" t="n">
        <v>200005527</v>
      </c>
      <c r="F1371" t="inlineStr">
        <is>
          <t>4785</t>
        </is>
      </c>
      <c r="G1371" t="inlineStr">
        <is>
          <t>UE</t>
        </is>
      </c>
      <c r="H1371" s="12" t="n">
        <v>-8358.200000000001</v>
      </c>
      <c r="I1371" s="17" t="n">
        <v>43207</v>
      </c>
      <c r="J1371" s="17" t="n">
        <v>43207</v>
      </c>
      <c r="K1371" t="inlineStr">
        <is>
          <t>000000677002</t>
        </is>
      </c>
    </row>
    <row r="1372">
      <c r="A1372" t="inlineStr">
        <is>
          <t>IC4420</t>
        </is>
      </c>
      <c r="B1372" t="inlineStr">
        <is>
          <t>NORDEX ENERGY SPAIN S A U</t>
        </is>
      </c>
      <c r="C1372" t="n">
        <v>2122100000</v>
      </c>
      <c r="D1372" t="inlineStr">
        <is>
          <t>Intercompany</t>
        </is>
      </c>
      <c r="E1372" t="n">
        <v>200005529</v>
      </c>
      <c r="F1372" t="inlineStr">
        <is>
          <t>4787</t>
        </is>
      </c>
      <c r="G1372" t="inlineStr">
        <is>
          <t>UE</t>
        </is>
      </c>
      <c r="H1372" s="12" t="n">
        <v>-19440.35</v>
      </c>
      <c r="I1372" s="17" t="n">
        <v>43208</v>
      </c>
      <c r="J1372" s="17" t="n">
        <v>43208</v>
      </c>
      <c r="K1372" t="inlineStr">
        <is>
          <t>000000678002</t>
        </is>
      </c>
    </row>
    <row r="1373">
      <c r="A1373" t="inlineStr">
        <is>
          <t>IC4420</t>
        </is>
      </c>
      <c r="B1373" t="inlineStr">
        <is>
          <t>NORDEX ENERGY SPAIN S A U</t>
        </is>
      </c>
      <c r="C1373" t="n">
        <v>2122100000</v>
      </c>
      <c r="D1373" t="inlineStr">
        <is>
          <t>Intercompany</t>
        </is>
      </c>
      <c r="E1373" t="n">
        <v>200005530</v>
      </c>
      <c r="F1373" t="inlineStr">
        <is>
          <t>4788</t>
        </is>
      </c>
      <c r="G1373" t="inlineStr">
        <is>
          <t>UE</t>
        </is>
      </c>
      <c r="H1373" s="12" t="n">
        <v>-4476.82</v>
      </c>
      <c r="I1373" s="17" t="n">
        <v>43215</v>
      </c>
      <c r="J1373" s="17" t="n">
        <v>43215</v>
      </c>
      <c r="K1373" t="inlineStr">
        <is>
          <t>000000680002</t>
        </is>
      </c>
    </row>
    <row r="1374">
      <c r="A1374" t="inlineStr">
        <is>
          <t>IC4420</t>
        </is>
      </c>
      <c r="B1374" t="inlineStr">
        <is>
          <t>NORDEX ENERGY SPAIN S A U</t>
        </is>
      </c>
      <c r="C1374" t="n">
        <v>2122100000</v>
      </c>
      <c r="D1374" t="inlineStr">
        <is>
          <t>Intercompany</t>
        </is>
      </c>
      <c r="E1374" t="n">
        <v>200005551</v>
      </c>
      <c r="F1374" t="inlineStr">
        <is>
          <t>4806</t>
        </is>
      </c>
      <c r="G1374" t="inlineStr">
        <is>
          <t>UE</t>
        </is>
      </c>
      <c r="H1374" s="12" t="n">
        <v>-19414.09</v>
      </c>
      <c r="I1374" s="17" t="n">
        <v>43089</v>
      </c>
      <c r="J1374" s="17" t="n">
        <v>43089</v>
      </c>
      <c r="K1374" t="inlineStr">
        <is>
          <t>000003509001</t>
        </is>
      </c>
    </row>
    <row r="1375">
      <c r="A1375" t="inlineStr">
        <is>
          <t>IC4420</t>
        </is>
      </c>
      <c r="B1375" t="inlineStr">
        <is>
          <t>NORDEX ENERGY SPAIN S A U</t>
        </is>
      </c>
      <c r="C1375" t="n">
        <v>2122100000</v>
      </c>
      <c r="D1375" t="inlineStr">
        <is>
          <t>Intercompany</t>
        </is>
      </c>
      <c r="E1375" t="n">
        <v>200005568</v>
      </c>
      <c r="F1375" t="inlineStr">
        <is>
          <t>4821</t>
        </is>
      </c>
      <c r="G1375" t="inlineStr">
        <is>
          <t>UE</t>
        </is>
      </c>
      <c r="H1375" s="12" t="n">
        <v>-9947.48</v>
      </c>
      <c r="I1375" s="17" t="n">
        <v>43179</v>
      </c>
      <c r="J1375" s="17" t="n">
        <v>43179</v>
      </c>
      <c r="K1375" t="inlineStr">
        <is>
          <t>000002516001</t>
        </is>
      </c>
    </row>
    <row r="1376">
      <c r="A1376" t="inlineStr">
        <is>
          <t>IC4420</t>
        </is>
      </c>
      <c r="B1376" t="inlineStr">
        <is>
          <t>NORDEX ENERGY SPAIN S A U</t>
        </is>
      </c>
      <c r="C1376" t="n">
        <v>2122100000</v>
      </c>
      <c r="D1376" t="inlineStr">
        <is>
          <t>Intercompany</t>
        </is>
      </c>
      <c r="E1376" t="n">
        <v>200005569</v>
      </c>
      <c r="F1376" t="inlineStr">
        <is>
          <t>4822</t>
        </is>
      </c>
      <c r="G1376" t="inlineStr">
        <is>
          <t>UE</t>
        </is>
      </c>
      <c r="H1376" s="12" t="n">
        <v>-2340</v>
      </c>
      <c r="I1376" s="17" t="n">
        <v>43489</v>
      </c>
      <c r="J1376" s="17" t="n">
        <v>43489</v>
      </c>
      <c r="K1376" t="inlineStr">
        <is>
          <t>000000822002</t>
        </is>
      </c>
    </row>
    <row r="1377">
      <c r="A1377" t="inlineStr">
        <is>
          <t>IC4420</t>
        </is>
      </c>
      <c r="B1377" t="inlineStr">
        <is>
          <t>NORDEX ENERGY SPAIN S A U</t>
        </is>
      </c>
      <c r="C1377" t="n">
        <v>2122100000</v>
      </c>
      <c r="D1377" t="inlineStr">
        <is>
          <t>Intercompany</t>
        </is>
      </c>
      <c r="E1377" t="n">
        <v>200005572</v>
      </c>
      <c r="F1377" t="inlineStr">
        <is>
          <t>4825</t>
        </is>
      </c>
      <c r="G1377" t="inlineStr">
        <is>
          <t>UE</t>
        </is>
      </c>
      <c r="H1377" s="12" t="n">
        <v>-3928.43</v>
      </c>
      <c r="I1377" s="17" t="n">
        <v>43733</v>
      </c>
      <c r="J1377" s="17" t="n">
        <v>43733</v>
      </c>
      <c r="K1377" t="inlineStr">
        <is>
          <t>000000940002</t>
        </is>
      </c>
    </row>
    <row r="1378">
      <c r="A1378" t="inlineStr">
        <is>
          <t>IC4420</t>
        </is>
      </c>
      <c r="B1378" t="inlineStr">
        <is>
          <t>NORDEX ENERGY SPAIN S A U</t>
        </is>
      </c>
      <c r="C1378" t="n">
        <v>2122100000</v>
      </c>
      <c r="D1378" t="inlineStr">
        <is>
          <t>Intercompany</t>
        </is>
      </c>
      <c r="E1378" t="n">
        <v>200005573</v>
      </c>
      <c r="F1378" t="inlineStr">
        <is>
          <t>4826</t>
        </is>
      </c>
      <c r="G1378" t="inlineStr">
        <is>
          <t>UE</t>
        </is>
      </c>
      <c r="H1378" s="12" t="n">
        <v>-799.5599999999999</v>
      </c>
      <c r="I1378" s="17" t="n">
        <v>43760</v>
      </c>
      <c r="J1378" s="17" t="n">
        <v>43760</v>
      </c>
      <c r="K1378" t="inlineStr">
        <is>
          <t>000000955002</t>
        </is>
      </c>
    </row>
    <row r="1379">
      <c r="A1379" t="inlineStr">
        <is>
          <t>IC4420</t>
        </is>
      </c>
      <c r="B1379" t="inlineStr">
        <is>
          <t>NORDEX ENERGY SPAIN S A U</t>
        </is>
      </c>
      <c r="C1379" t="n">
        <v>2122100000</v>
      </c>
      <c r="D1379" t="inlineStr">
        <is>
          <t>Intercompany</t>
        </is>
      </c>
      <c r="E1379" t="n">
        <v>200005574</v>
      </c>
      <c r="F1379" t="inlineStr">
        <is>
          <t>4827</t>
        </is>
      </c>
      <c r="G1379" t="inlineStr">
        <is>
          <t>UE</t>
        </is>
      </c>
      <c r="H1379" s="12" t="n">
        <v>-791.3200000000001</v>
      </c>
      <c r="I1379" s="17" t="n">
        <v>43760</v>
      </c>
      <c r="J1379" s="17" t="n">
        <v>43760</v>
      </c>
      <c r="K1379" t="inlineStr">
        <is>
          <t>000000956002</t>
        </is>
      </c>
    </row>
    <row r="1380">
      <c r="A1380" t="inlineStr">
        <is>
          <t>IC4420</t>
        </is>
      </c>
      <c r="B1380" t="inlineStr">
        <is>
          <t>NORDEX ENERGY SPAIN S A U</t>
        </is>
      </c>
      <c r="C1380" t="n">
        <v>2122100000</v>
      </c>
      <c r="D1380" t="inlineStr">
        <is>
          <t>Intercompany</t>
        </is>
      </c>
      <c r="E1380" t="n">
        <v>200005575</v>
      </c>
      <c r="F1380" t="inlineStr">
        <is>
          <t>4828</t>
        </is>
      </c>
      <c r="G1380" t="inlineStr">
        <is>
          <t>UE</t>
        </is>
      </c>
      <c r="H1380" s="12" t="n">
        <v>-8309.01</v>
      </c>
      <c r="I1380" s="17" t="n">
        <v>43760</v>
      </c>
      <c r="J1380" s="17" t="n">
        <v>43760</v>
      </c>
      <c r="K1380" t="inlineStr">
        <is>
          <t>000000957002</t>
        </is>
      </c>
    </row>
    <row r="1381">
      <c r="A1381" t="inlineStr">
        <is>
          <t>IC4420</t>
        </is>
      </c>
      <c r="B1381" t="inlineStr">
        <is>
          <t>NORDEX ENERGY SPAIN S A U</t>
        </is>
      </c>
      <c r="C1381" t="n">
        <v>2122100000</v>
      </c>
      <c r="D1381" t="inlineStr">
        <is>
          <t>Intercompany</t>
        </is>
      </c>
      <c r="E1381" t="n">
        <v>200005576</v>
      </c>
      <c r="F1381" t="inlineStr">
        <is>
          <t>4829</t>
        </is>
      </c>
      <c r="G1381" t="inlineStr">
        <is>
          <t>UE</t>
        </is>
      </c>
      <c r="H1381" s="12" t="n">
        <v>-713.59</v>
      </c>
      <c r="I1381" s="17" t="n">
        <v>43783</v>
      </c>
      <c r="J1381" s="17" t="n">
        <v>43783</v>
      </c>
      <c r="K1381" t="inlineStr">
        <is>
          <t>000000020002</t>
        </is>
      </c>
    </row>
    <row r="1382">
      <c r="A1382" t="inlineStr">
        <is>
          <t>IC4420</t>
        </is>
      </c>
      <c r="B1382" t="inlineStr">
        <is>
          <t>NORDEX ENERGY SPAIN S A U</t>
        </is>
      </c>
      <c r="C1382" t="n">
        <v>2122100000</v>
      </c>
      <c r="D1382" t="inlineStr">
        <is>
          <t>Intercompany</t>
        </is>
      </c>
      <c r="E1382" t="n">
        <v>200005578</v>
      </c>
      <c r="F1382" t="inlineStr">
        <is>
          <t>4830</t>
        </is>
      </c>
      <c r="G1382" t="inlineStr">
        <is>
          <t>UE</t>
        </is>
      </c>
      <c r="H1382" s="12" t="n">
        <v>-1486.87</v>
      </c>
      <c r="I1382" s="17" t="n">
        <v>43787</v>
      </c>
      <c r="J1382" s="17" t="n">
        <v>43787</v>
      </c>
      <c r="K1382" t="inlineStr">
        <is>
          <t>000000021002</t>
        </is>
      </c>
    </row>
    <row r="1383">
      <c r="A1383" t="inlineStr">
        <is>
          <t>IC4420</t>
        </is>
      </c>
      <c r="B1383" t="inlineStr">
        <is>
          <t>NORDEX ENERGY SPAIN S A U</t>
        </is>
      </c>
      <c r="C1383" t="n">
        <v>2122100000</v>
      </c>
      <c r="D1383" t="inlineStr">
        <is>
          <t>Intercompany</t>
        </is>
      </c>
      <c r="E1383" t="n">
        <v>200005579</v>
      </c>
      <c r="F1383" t="inlineStr">
        <is>
          <t>4831</t>
        </is>
      </c>
      <c r="G1383" t="inlineStr">
        <is>
          <t>UE</t>
        </is>
      </c>
      <c r="H1383" s="12" t="n">
        <v>-2573.8</v>
      </c>
      <c r="I1383" s="17" t="n">
        <v>43795</v>
      </c>
      <c r="J1383" s="17" t="n">
        <v>43795</v>
      </c>
      <c r="K1383" t="inlineStr">
        <is>
          <t>000000022002</t>
        </is>
      </c>
    </row>
    <row r="1384">
      <c r="A1384" t="inlineStr">
        <is>
          <t>IC4420</t>
        </is>
      </c>
      <c r="B1384" t="inlineStr">
        <is>
          <t>NORDEX ENERGY SPAIN S A U</t>
        </is>
      </c>
      <c r="C1384" t="n">
        <v>2122100000</v>
      </c>
      <c r="D1384" t="inlineStr">
        <is>
          <t>Intercompany</t>
        </is>
      </c>
      <c r="E1384" t="n">
        <v>200005580</v>
      </c>
      <c r="F1384" t="inlineStr">
        <is>
          <t>4832</t>
        </is>
      </c>
      <c r="G1384" t="inlineStr">
        <is>
          <t>UE</t>
        </is>
      </c>
      <c r="H1384" s="12" t="n">
        <v>-1293.79</v>
      </c>
      <c r="I1384" s="17" t="n">
        <v>43794</v>
      </c>
      <c r="J1384" s="17" t="n">
        <v>43794</v>
      </c>
      <c r="K1384" t="inlineStr">
        <is>
          <t>000000019002</t>
        </is>
      </c>
    </row>
    <row r="1385">
      <c r="A1385" t="inlineStr">
        <is>
          <t>IC4420</t>
        </is>
      </c>
      <c r="B1385" t="inlineStr">
        <is>
          <t>NORDEX ENERGY SPAIN S A U</t>
        </is>
      </c>
      <c r="C1385" t="n">
        <v>2122100000</v>
      </c>
      <c r="D1385" t="inlineStr">
        <is>
          <t>Intercompany</t>
        </is>
      </c>
      <c r="E1385" t="n">
        <v>200005581</v>
      </c>
      <c r="F1385" t="inlineStr">
        <is>
          <t>4833</t>
        </is>
      </c>
      <c r="G1385" t="inlineStr">
        <is>
          <t>UE</t>
        </is>
      </c>
      <c r="H1385" s="12" t="n">
        <v>-446.15</v>
      </c>
      <c r="I1385" s="17" t="n">
        <v>43588</v>
      </c>
      <c r="J1385" s="17" t="n">
        <v>43588</v>
      </c>
      <c r="K1385" t="inlineStr">
        <is>
          <t>000000019001</t>
        </is>
      </c>
    </row>
    <row r="1386">
      <c r="A1386" t="inlineStr">
        <is>
          <t>IC4420</t>
        </is>
      </c>
      <c r="B1386" t="inlineStr">
        <is>
          <t>NORDEX ENERGY SPAIN S A U</t>
        </is>
      </c>
      <c r="C1386" t="n">
        <v>2122100000</v>
      </c>
      <c r="D1386" t="inlineStr">
        <is>
          <t>Intercompany</t>
        </is>
      </c>
      <c r="E1386" t="n">
        <v>200005582</v>
      </c>
      <c r="F1386" t="inlineStr">
        <is>
          <t>4834</t>
        </is>
      </c>
      <c r="G1386" t="inlineStr">
        <is>
          <t>UE</t>
        </is>
      </c>
      <c r="H1386" s="12" t="n">
        <v>-1283.27</v>
      </c>
      <c r="I1386" s="17" t="n">
        <v>43749</v>
      </c>
      <c r="J1386" s="17" t="n">
        <v>43749</v>
      </c>
      <c r="K1386" t="inlineStr">
        <is>
          <t>000000949002</t>
        </is>
      </c>
    </row>
    <row r="1387">
      <c r="A1387" t="inlineStr">
        <is>
          <t>IC4420</t>
        </is>
      </c>
      <c r="B1387" t="inlineStr">
        <is>
          <t>NORDEX ENERGY SPAIN S A U</t>
        </is>
      </c>
      <c r="C1387" t="n">
        <v>2122100000</v>
      </c>
      <c r="D1387" t="inlineStr">
        <is>
          <t>Intercompany</t>
        </is>
      </c>
      <c r="E1387" t="n">
        <v>200005583</v>
      </c>
      <c r="F1387" t="inlineStr">
        <is>
          <t>4835</t>
        </is>
      </c>
      <c r="G1387" t="inlineStr">
        <is>
          <t>UE</t>
        </is>
      </c>
      <c r="H1387" s="12" t="n">
        <v>-20947.33</v>
      </c>
      <c r="I1387" s="17" t="n">
        <v>43808</v>
      </c>
      <c r="J1387" s="17" t="n">
        <v>43808</v>
      </c>
      <c r="K1387" t="inlineStr">
        <is>
          <t>000000372002</t>
        </is>
      </c>
    </row>
    <row r="1388">
      <c r="A1388" t="inlineStr">
        <is>
          <t>IC4420</t>
        </is>
      </c>
      <c r="B1388" t="inlineStr">
        <is>
          <t>NORDEX ENERGY SPAIN S A U</t>
        </is>
      </c>
      <c r="C1388" t="n">
        <v>2122100000</v>
      </c>
      <c r="D1388" t="inlineStr">
        <is>
          <t>Intercompany</t>
        </is>
      </c>
      <c r="E1388" t="n">
        <v>200005584</v>
      </c>
      <c r="F1388" t="inlineStr">
        <is>
          <t>4836</t>
        </is>
      </c>
      <c r="G1388" t="inlineStr">
        <is>
          <t>UE</t>
        </is>
      </c>
      <c r="H1388" s="12" t="n">
        <v>-1185.14</v>
      </c>
      <c r="I1388" s="17" t="n">
        <v>43837</v>
      </c>
      <c r="J1388" s="17" t="n">
        <v>43837</v>
      </c>
      <c r="K1388" t="inlineStr">
        <is>
          <t>000000435002</t>
        </is>
      </c>
    </row>
    <row r="1389">
      <c r="A1389" t="inlineStr">
        <is>
          <t>IC4420</t>
        </is>
      </c>
      <c r="B1389" t="inlineStr">
        <is>
          <t>NORDEX ENERGY SPAIN S A U</t>
        </is>
      </c>
      <c r="C1389" t="n">
        <v>2122100000</v>
      </c>
      <c r="D1389" t="inlineStr">
        <is>
          <t>Intercompany</t>
        </is>
      </c>
      <c r="E1389" t="n">
        <v>200005585</v>
      </c>
      <c r="F1389" t="inlineStr">
        <is>
          <t>4837</t>
        </is>
      </c>
      <c r="G1389" t="inlineStr">
        <is>
          <t>UE</t>
        </is>
      </c>
      <c r="H1389" s="12" t="n">
        <v>-1772.57</v>
      </c>
      <c r="I1389" s="17" t="n">
        <v>43802</v>
      </c>
      <c r="J1389" s="17" t="n">
        <v>43802</v>
      </c>
      <c r="K1389" t="inlineStr">
        <is>
          <t>000000022002</t>
        </is>
      </c>
    </row>
    <row r="1390">
      <c r="A1390" t="inlineStr">
        <is>
          <t>IC4420</t>
        </is>
      </c>
      <c r="B1390" t="inlineStr">
        <is>
          <t>NORDEX ENERGY SPAIN S A U</t>
        </is>
      </c>
      <c r="C1390" t="n">
        <v>2122100000</v>
      </c>
      <c r="D1390" t="inlineStr">
        <is>
          <t>Intercompany</t>
        </is>
      </c>
      <c r="E1390" t="n">
        <v>200005586</v>
      </c>
      <c r="F1390" t="inlineStr">
        <is>
          <t>4838</t>
        </is>
      </c>
      <c r="G1390" t="inlineStr">
        <is>
          <t>UE</t>
        </is>
      </c>
      <c r="H1390" s="12" t="n">
        <v>-188.46</v>
      </c>
      <c r="I1390" s="17" t="n">
        <v>43795</v>
      </c>
      <c r="J1390" s="17" t="n">
        <v>43795</v>
      </c>
      <c r="K1390" t="inlineStr">
        <is>
          <t>000000353002</t>
        </is>
      </c>
    </row>
    <row r="1391">
      <c r="A1391" t="inlineStr">
        <is>
          <t>IC4420</t>
        </is>
      </c>
      <c r="B1391" t="inlineStr">
        <is>
          <t>NORDEX ENERGY SPAIN S A U</t>
        </is>
      </c>
      <c r="C1391" t="n">
        <v>2122100000</v>
      </c>
      <c r="D1391" t="inlineStr">
        <is>
          <t>Intercompany</t>
        </is>
      </c>
      <c r="E1391" t="n">
        <v>200005587</v>
      </c>
      <c r="F1391" t="inlineStr">
        <is>
          <t>4839</t>
        </is>
      </c>
      <c r="G1391" t="inlineStr">
        <is>
          <t>UE</t>
        </is>
      </c>
      <c r="H1391" s="12" t="n">
        <v>-681.0700000000001</v>
      </c>
      <c r="I1391" s="17" t="n">
        <v>43816</v>
      </c>
      <c r="J1391" s="17" t="n">
        <v>43816</v>
      </c>
      <c r="K1391" t="inlineStr">
        <is>
          <t>000000394002</t>
        </is>
      </c>
    </row>
    <row r="1392">
      <c r="A1392" t="inlineStr">
        <is>
          <t>IC4420</t>
        </is>
      </c>
      <c r="B1392" t="inlineStr">
        <is>
          <t>NORDEX ENERGY SPAIN S A U</t>
        </is>
      </c>
      <c r="C1392" t="n">
        <v>2122100000</v>
      </c>
      <c r="D1392" t="inlineStr">
        <is>
          <t>Intercompany</t>
        </is>
      </c>
      <c r="E1392" t="n">
        <v>200005589</v>
      </c>
      <c r="F1392" t="inlineStr">
        <is>
          <t>4840</t>
        </is>
      </c>
      <c r="G1392" t="inlineStr">
        <is>
          <t>UE</t>
        </is>
      </c>
      <c r="H1392" s="12" t="n">
        <v>-90.44</v>
      </c>
      <c r="I1392" s="17" t="n">
        <v>43804</v>
      </c>
      <c r="J1392" s="17" t="n">
        <v>43804</v>
      </c>
      <c r="K1392" t="inlineStr">
        <is>
          <t>000000369002</t>
        </is>
      </c>
    </row>
    <row r="1393">
      <c r="A1393" t="inlineStr">
        <is>
          <t>IC4420</t>
        </is>
      </c>
      <c r="B1393" t="inlineStr">
        <is>
          <t>NORDEX ENERGY SPAIN S A U</t>
        </is>
      </c>
      <c r="C1393" t="n">
        <v>2122100000</v>
      </c>
      <c r="D1393" t="inlineStr">
        <is>
          <t>Intercompany</t>
        </is>
      </c>
      <c r="E1393" t="n">
        <v>200005590</v>
      </c>
      <c r="F1393" t="inlineStr">
        <is>
          <t>4841</t>
        </is>
      </c>
      <c r="G1393" t="inlineStr">
        <is>
          <t>UE</t>
        </is>
      </c>
      <c r="H1393" s="12" t="n">
        <v>-191.73</v>
      </c>
      <c r="I1393" s="17" t="n">
        <v>43873</v>
      </c>
      <c r="J1393" s="17" t="n">
        <v>43873</v>
      </c>
      <c r="K1393" t="inlineStr">
        <is>
          <t>000001059002</t>
        </is>
      </c>
    </row>
    <row r="1394">
      <c r="A1394" t="inlineStr">
        <is>
          <t>IC4420</t>
        </is>
      </c>
      <c r="B1394" t="inlineStr">
        <is>
          <t>NORDEX ENERGY SPAIN S A U</t>
        </is>
      </c>
      <c r="C1394" t="n">
        <v>2122100000</v>
      </c>
      <c r="D1394" t="inlineStr">
        <is>
          <t>Intercompany</t>
        </is>
      </c>
      <c r="E1394" t="n">
        <v>200005591</v>
      </c>
      <c r="F1394" t="inlineStr">
        <is>
          <t>4842</t>
        </is>
      </c>
      <c r="G1394" t="inlineStr">
        <is>
          <t>UE</t>
        </is>
      </c>
      <c r="H1394" s="12" t="n">
        <v>-193.51</v>
      </c>
      <c r="I1394" s="17" t="n">
        <v>43875</v>
      </c>
      <c r="J1394" s="17" t="n">
        <v>43875</v>
      </c>
      <c r="K1394" t="inlineStr">
        <is>
          <t>000001065002</t>
        </is>
      </c>
    </row>
    <row r="1395">
      <c r="A1395" t="inlineStr">
        <is>
          <t>IC4420</t>
        </is>
      </c>
      <c r="B1395" t="inlineStr">
        <is>
          <t>NORDEX ENERGY SPAIN S A U</t>
        </is>
      </c>
      <c r="C1395" t="n">
        <v>2122100000</v>
      </c>
      <c r="D1395" t="inlineStr">
        <is>
          <t>Intercompany</t>
        </is>
      </c>
      <c r="E1395" t="n">
        <v>200005592</v>
      </c>
      <c r="F1395" t="inlineStr">
        <is>
          <t>4843</t>
        </is>
      </c>
      <c r="G1395" t="inlineStr">
        <is>
          <t>UE</t>
        </is>
      </c>
      <c r="H1395" s="12" t="n">
        <v>-812.02</v>
      </c>
      <c r="I1395" s="17" t="n">
        <v>43857</v>
      </c>
      <c r="J1395" s="17" t="n">
        <v>43857</v>
      </c>
      <c r="K1395" t="inlineStr">
        <is>
          <t>000000015002</t>
        </is>
      </c>
    </row>
    <row r="1396">
      <c r="A1396" t="inlineStr">
        <is>
          <t>IC4420</t>
        </is>
      </c>
      <c r="B1396" t="inlineStr">
        <is>
          <t>NORDEX ENERGY SPAIN S A U</t>
        </is>
      </c>
      <c r="C1396" t="n">
        <v>2122100000</v>
      </c>
      <c r="D1396" t="inlineStr">
        <is>
          <t>Intercompany</t>
        </is>
      </c>
      <c r="E1396" t="n">
        <v>200005593</v>
      </c>
      <c r="F1396" t="inlineStr">
        <is>
          <t>4844</t>
        </is>
      </c>
      <c r="G1396" t="inlineStr">
        <is>
          <t>UE</t>
        </is>
      </c>
      <c r="H1396" s="12" t="n">
        <v>-26188.74</v>
      </c>
      <c r="I1396" s="17" t="n">
        <v>43369</v>
      </c>
      <c r="J1396" s="17" t="n">
        <v>43369</v>
      </c>
      <c r="K1396" t="inlineStr">
        <is>
          <t>000000006002</t>
        </is>
      </c>
    </row>
    <row r="1397">
      <c r="A1397" t="inlineStr">
        <is>
          <t>IC4420</t>
        </is>
      </c>
      <c r="B1397" t="inlineStr">
        <is>
          <t>NORDEX ENERGY SPAIN S A U</t>
        </is>
      </c>
      <c r="C1397" t="n">
        <v>2122100000</v>
      </c>
      <c r="D1397" t="inlineStr">
        <is>
          <t>Intercompany</t>
        </is>
      </c>
      <c r="E1397" t="n">
        <v>200005594</v>
      </c>
      <c r="F1397" t="inlineStr">
        <is>
          <t>4845</t>
        </is>
      </c>
      <c r="G1397" t="inlineStr">
        <is>
          <t>UE</t>
        </is>
      </c>
      <c r="H1397" s="12" t="n">
        <v>-537.92</v>
      </c>
      <c r="I1397" s="17" t="n">
        <v>43896</v>
      </c>
      <c r="J1397" s="17" t="n">
        <v>43896</v>
      </c>
      <c r="K1397" t="inlineStr">
        <is>
          <t>000001082002</t>
        </is>
      </c>
    </row>
    <row r="1398">
      <c r="A1398" t="inlineStr">
        <is>
          <t>IC4420</t>
        </is>
      </c>
      <c r="B1398" t="inlineStr">
        <is>
          <t>NORDEX ENERGY SPAIN S A U</t>
        </is>
      </c>
      <c r="C1398" t="n">
        <v>2122100000</v>
      </c>
      <c r="D1398" t="inlineStr">
        <is>
          <t>Intercompany</t>
        </is>
      </c>
      <c r="E1398" t="n">
        <v>200005595</v>
      </c>
      <c r="F1398" t="inlineStr">
        <is>
          <t>4846</t>
        </is>
      </c>
      <c r="G1398" t="inlineStr">
        <is>
          <t>UE</t>
        </is>
      </c>
      <c r="H1398" s="12" t="n">
        <v>-34.35</v>
      </c>
      <c r="I1398" s="17" t="n">
        <v>43879</v>
      </c>
      <c r="J1398" s="17" t="n">
        <v>43879</v>
      </c>
      <c r="K1398" t="inlineStr">
        <is>
          <t>000000860002</t>
        </is>
      </c>
    </row>
    <row r="1399">
      <c r="A1399" t="inlineStr">
        <is>
          <t>IC4420</t>
        </is>
      </c>
      <c r="B1399" t="inlineStr">
        <is>
          <t>NORDEX ENERGY SPAIN S A U</t>
        </is>
      </c>
      <c r="C1399" t="n">
        <v>2122100000</v>
      </c>
      <c r="D1399" t="inlineStr">
        <is>
          <t>Intercompany</t>
        </is>
      </c>
      <c r="E1399" t="n">
        <v>200005596</v>
      </c>
      <c r="F1399" t="inlineStr">
        <is>
          <t>4847</t>
        </is>
      </c>
      <c r="G1399" t="inlineStr">
        <is>
          <t>UE</t>
        </is>
      </c>
      <c r="H1399" s="12" t="n">
        <v>-100.13</v>
      </c>
      <c r="I1399" s="17" t="n">
        <v>43923</v>
      </c>
      <c r="J1399" s="17" t="n">
        <v>43923</v>
      </c>
      <c r="K1399" t="inlineStr">
        <is>
          <t>000000979002</t>
        </is>
      </c>
    </row>
    <row r="1400">
      <c r="A1400" t="inlineStr">
        <is>
          <t>IC4420</t>
        </is>
      </c>
      <c r="B1400" t="inlineStr">
        <is>
          <t>NORDEX ENERGY SPAIN S A U</t>
        </is>
      </c>
      <c r="C1400" t="n">
        <v>2122100000</v>
      </c>
      <c r="D1400" t="inlineStr">
        <is>
          <t>Intercompany</t>
        </is>
      </c>
      <c r="E1400" t="n">
        <v>200005597</v>
      </c>
      <c r="F1400" t="inlineStr">
        <is>
          <t>4848</t>
        </is>
      </c>
      <c r="G1400" t="inlineStr">
        <is>
          <t>UE</t>
        </is>
      </c>
      <c r="H1400" s="12" t="n">
        <v>-565.3200000000001</v>
      </c>
      <c r="I1400" s="17" t="n">
        <v>43921</v>
      </c>
      <c r="J1400" s="17" t="n">
        <v>43921</v>
      </c>
      <c r="K1400" t="inlineStr">
        <is>
          <t>000000030002</t>
        </is>
      </c>
    </row>
    <row r="1401">
      <c r="A1401" t="inlineStr">
        <is>
          <t>IC4420</t>
        </is>
      </c>
      <c r="B1401" t="inlineStr">
        <is>
          <t>NORDEX ENERGY SPAIN S A U</t>
        </is>
      </c>
      <c r="C1401" t="n">
        <v>2122100000</v>
      </c>
      <c r="D1401" t="inlineStr">
        <is>
          <t>Intercompany</t>
        </is>
      </c>
      <c r="E1401" t="n">
        <v>200005598</v>
      </c>
      <c r="F1401" t="inlineStr">
        <is>
          <t>4849</t>
        </is>
      </c>
      <c r="G1401" t="inlineStr">
        <is>
          <t>UE</t>
        </is>
      </c>
      <c r="H1401" s="12" t="n">
        <v>-2528.59</v>
      </c>
      <c r="I1401" s="17" t="n">
        <v>43879</v>
      </c>
      <c r="J1401" s="17" t="n">
        <v>43879</v>
      </c>
      <c r="K1401" t="inlineStr">
        <is>
          <t>000000051002</t>
        </is>
      </c>
    </row>
    <row r="1402">
      <c r="A1402" t="inlineStr">
        <is>
          <t>IC4420</t>
        </is>
      </c>
      <c r="B1402" t="inlineStr">
        <is>
          <t>NORDEX ENERGY SPAIN S A U</t>
        </is>
      </c>
      <c r="C1402" t="n">
        <v>2122100000</v>
      </c>
      <c r="D1402" t="inlineStr">
        <is>
          <t>Intercompany</t>
        </is>
      </c>
      <c r="E1402" t="n">
        <v>200005600</v>
      </c>
      <c r="F1402" t="inlineStr">
        <is>
          <t>4850</t>
        </is>
      </c>
      <c r="G1402" t="inlineStr">
        <is>
          <t>UE</t>
        </is>
      </c>
      <c r="H1402" s="12" t="n">
        <v>-968.0700000000001</v>
      </c>
      <c r="I1402" s="17" t="n">
        <v>43924</v>
      </c>
      <c r="J1402" s="17" t="n">
        <v>43924</v>
      </c>
      <c r="K1402" t="inlineStr">
        <is>
          <t>000001106002</t>
        </is>
      </c>
    </row>
    <row r="1403">
      <c r="A1403" t="inlineStr">
        <is>
          <t>IC4420</t>
        </is>
      </c>
      <c r="B1403" t="inlineStr">
        <is>
          <t>NORDEX ENERGY SPAIN S A U</t>
        </is>
      </c>
      <c r="C1403" t="n">
        <v>2122100000</v>
      </c>
      <c r="D1403" t="inlineStr">
        <is>
          <t>Intercompany</t>
        </is>
      </c>
      <c r="E1403" t="n">
        <v>200005601</v>
      </c>
      <c r="F1403" t="inlineStr">
        <is>
          <t>4851</t>
        </is>
      </c>
      <c r="G1403" t="inlineStr">
        <is>
          <t>UE</t>
        </is>
      </c>
      <c r="H1403" s="12" t="n">
        <v>-7482.93</v>
      </c>
      <c r="I1403" s="17" t="n">
        <v>44022</v>
      </c>
      <c r="J1403" s="17" t="n">
        <v>44022</v>
      </c>
      <c r="K1403" t="inlineStr">
        <is>
          <t>000001138002</t>
        </is>
      </c>
    </row>
    <row r="1404">
      <c r="A1404" t="inlineStr">
        <is>
          <t>IC4420</t>
        </is>
      </c>
      <c r="B1404" t="inlineStr">
        <is>
          <t>NORDEX ENERGY SPAIN S A U</t>
        </is>
      </c>
      <c r="C1404" t="n">
        <v>2122100000</v>
      </c>
      <c r="D1404" t="inlineStr">
        <is>
          <t>Intercompany</t>
        </is>
      </c>
      <c r="E1404" t="n">
        <v>200005602</v>
      </c>
      <c r="F1404" t="inlineStr">
        <is>
          <t>4852</t>
        </is>
      </c>
      <c r="G1404" t="inlineStr">
        <is>
          <t>UE</t>
        </is>
      </c>
      <c r="H1404" s="12" t="n">
        <v>-14046.66</v>
      </c>
      <c r="I1404" s="17" t="n">
        <v>44054</v>
      </c>
      <c r="J1404" s="17" t="n">
        <v>44054</v>
      </c>
      <c r="K1404" t="inlineStr">
        <is>
          <t>000000225002</t>
        </is>
      </c>
    </row>
    <row r="1405">
      <c r="A1405" t="inlineStr">
        <is>
          <t>IC4420</t>
        </is>
      </c>
      <c r="B1405" t="inlineStr">
        <is>
          <t>NORDEX ENERGY SPAIN S A U</t>
        </is>
      </c>
      <c r="C1405" t="n">
        <v>2122100000</v>
      </c>
      <c r="D1405" t="inlineStr">
        <is>
          <t>Intercompany</t>
        </is>
      </c>
      <c r="E1405" t="n">
        <v>200005603</v>
      </c>
      <c r="F1405" t="inlineStr">
        <is>
          <t>4853</t>
        </is>
      </c>
      <c r="G1405" t="inlineStr">
        <is>
          <t>UE</t>
        </is>
      </c>
      <c r="H1405" s="12" t="n">
        <v>-0.1</v>
      </c>
      <c r="I1405" s="17" t="n">
        <v>44111</v>
      </c>
      <c r="J1405" s="17" t="n">
        <v>44111</v>
      </c>
      <c r="K1405" t="inlineStr">
        <is>
          <t>000000247002</t>
        </is>
      </c>
    </row>
    <row r="1406">
      <c r="A1406" t="inlineStr">
        <is>
          <t>IC4420</t>
        </is>
      </c>
      <c r="B1406" t="inlineStr">
        <is>
          <t>NORDEX ENERGY SPAIN S A U</t>
        </is>
      </c>
      <c r="C1406" t="n">
        <v>2122100000</v>
      </c>
      <c r="D1406" t="inlineStr">
        <is>
          <t>Intercompany</t>
        </is>
      </c>
      <c r="E1406" t="n">
        <v>200005604</v>
      </c>
      <c r="F1406" t="inlineStr">
        <is>
          <t>4854</t>
        </is>
      </c>
      <c r="G1406" t="inlineStr">
        <is>
          <t>UE</t>
        </is>
      </c>
      <c r="H1406" s="12" t="n">
        <v>-45787.82</v>
      </c>
      <c r="I1406" s="17" t="n">
        <v>44279</v>
      </c>
      <c r="J1406" s="17" t="n">
        <v>44279</v>
      </c>
      <c r="K1406" t="inlineStr">
        <is>
          <t>000000125002</t>
        </is>
      </c>
    </row>
    <row r="1407">
      <c r="A1407" t="inlineStr">
        <is>
          <t>IC4420</t>
        </is>
      </c>
      <c r="B1407" t="inlineStr">
        <is>
          <t>NORDEX ENERGY SPAIN S A U</t>
        </is>
      </c>
      <c r="C1407" t="n">
        <v>2122100000</v>
      </c>
      <c r="D1407" t="inlineStr">
        <is>
          <t>Intercompany</t>
        </is>
      </c>
      <c r="E1407" t="n">
        <v>200005608</v>
      </c>
      <c r="F1407" t="inlineStr">
        <is>
          <t>4858</t>
        </is>
      </c>
      <c r="G1407" t="inlineStr">
        <is>
          <t>UE</t>
        </is>
      </c>
      <c r="H1407" s="12" t="n">
        <v>-228386.89</v>
      </c>
      <c r="I1407" s="17" t="n">
        <v>44356</v>
      </c>
      <c r="J1407" s="17" t="n">
        <v>44356</v>
      </c>
      <c r="K1407" t="inlineStr">
        <is>
          <t>000001541002</t>
        </is>
      </c>
    </row>
    <row r="1408">
      <c r="A1408" t="inlineStr">
        <is>
          <t>IC4420</t>
        </is>
      </c>
      <c r="B1408" t="inlineStr">
        <is>
          <t>NORDEX ENERGY SPAIN S A U</t>
        </is>
      </c>
      <c r="C1408" t="n">
        <v>2122100000</v>
      </c>
      <c r="D1408" t="inlineStr">
        <is>
          <t>Intercompany</t>
        </is>
      </c>
      <c r="E1408" t="n">
        <v>200005609</v>
      </c>
      <c r="F1408" t="inlineStr">
        <is>
          <t>4859</t>
        </is>
      </c>
      <c r="G1408" t="inlineStr">
        <is>
          <t>UE</t>
        </is>
      </c>
      <c r="H1408" s="12" t="n">
        <v>-353868.05</v>
      </c>
      <c r="I1408" s="17" t="n">
        <v>44364</v>
      </c>
      <c r="J1408" s="17" t="n">
        <v>44364</v>
      </c>
      <c r="K1408" t="inlineStr">
        <is>
          <t>000001394002</t>
        </is>
      </c>
    </row>
    <row r="1409">
      <c r="A1409" t="inlineStr">
        <is>
          <t>IC4420</t>
        </is>
      </c>
      <c r="B1409" t="inlineStr">
        <is>
          <t>NORDEX ENERGY SPAIN S A U</t>
        </is>
      </c>
      <c r="C1409" t="n">
        <v>2122100000</v>
      </c>
      <c r="D1409" t="inlineStr">
        <is>
          <t>Intercompany</t>
        </is>
      </c>
      <c r="E1409" t="n">
        <v>200005611</v>
      </c>
      <c r="F1409" t="inlineStr">
        <is>
          <t>4860</t>
        </is>
      </c>
      <c r="G1409" t="inlineStr">
        <is>
          <t>UE</t>
        </is>
      </c>
      <c r="H1409" s="12" t="n">
        <v>-41047.98</v>
      </c>
      <c r="I1409" s="17" t="n">
        <v>44364</v>
      </c>
      <c r="J1409" s="17" t="n">
        <v>44364</v>
      </c>
      <c r="K1409" t="inlineStr">
        <is>
          <t>000000056002</t>
        </is>
      </c>
    </row>
    <row r="1410">
      <c r="A1410" t="inlineStr">
        <is>
          <t>IC4420</t>
        </is>
      </c>
      <c r="B1410" t="inlineStr">
        <is>
          <t>NORDEX ENERGY SPAIN S A U</t>
        </is>
      </c>
      <c r="C1410" t="n">
        <v>2122100000</v>
      </c>
      <c r="D1410" t="inlineStr">
        <is>
          <t>Intercompany</t>
        </is>
      </c>
      <c r="E1410" t="n">
        <v>200005613</v>
      </c>
      <c r="F1410" t="inlineStr">
        <is>
          <t>4862</t>
        </is>
      </c>
      <c r="G1410" t="inlineStr">
        <is>
          <t>UE</t>
        </is>
      </c>
      <c r="H1410" s="12" t="n">
        <v>-89155.99000000001</v>
      </c>
      <c r="I1410" s="17" t="n">
        <v>44608</v>
      </c>
      <c r="J1410" s="17" t="n">
        <v>44608</v>
      </c>
      <c r="K1410" t="inlineStr">
        <is>
          <t>000000039002</t>
        </is>
      </c>
    </row>
    <row r="1411">
      <c r="A1411" t="inlineStr">
        <is>
          <t>IC4420</t>
        </is>
      </c>
      <c r="B1411" t="inlineStr">
        <is>
          <t>NORDEX ENERGY SPAIN S A U</t>
        </is>
      </c>
      <c r="C1411" t="n">
        <v>2122100000</v>
      </c>
      <c r="D1411" t="inlineStr">
        <is>
          <t>Intercompany</t>
        </is>
      </c>
      <c r="E1411" t="n">
        <v>200005614</v>
      </c>
      <c r="F1411" t="inlineStr">
        <is>
          <t>4863</t>
        </is>
      </c>
      <c r="G1411" t="inlineStr">
        <is>
          <t>UE</t>
        </is>
      </c>
      <c r="H1411" s="12" t="n">
        <v>-2098642.25</v>
      </c>
      <c r="I1411" s="17" t="n">
        <v>44614</v>
      </c>
      <c r="J1411" s="17" t="n">
        <v>44614</v>
      </c>
      <c r="K1411" t="inlineStr">
        <is>
          <t>000001735002</t>
        </is>
      </c>
    </row>
    <row r="1412">
      <c r="A1412" t="inlineStr">
        <is>
          <t>IC4420</t>
        </is>
      </c>
      <c r="B1412" t="inlineStr">
        <is>
          <t>NORDEX ENERGY SPAIN S A U</t>
        </is>
      </c>
      <c r="C1412" t="n">
        <v>2122100000</v>
      </c>
      <c r="D1412" t="inlineStr">
        <is>
          <t>Intercompany</t>
        </is>
      </c>
      <c r="E1412" t="n">
        <v>200005615</v>
      </c>
      <c r="F1412" t="inlineStr">
        <is>
          <t>4864</t>
        </is>
      </c>
      <c r="G1412" t="inlineStr">
        <is>
          <t>UE</t>
        </is>
      </c>
      <c r="H1412" s="12" t="n">
        <v>-868694.8</v>
      </c>
      <c r="I1412" s="17" t="n">
        <v>44664</v>
      </c>
      <c r="J1412" s="17" t="n">
        <v>44664</v>
      </c>
      <c r="K1412" t="inlineStr">
        <is>
          <t>000000045002</t>
        </is>
      </c>
    </row>
    <row r="1413">
      <c r="A1413" t="inlineStr">
        <is>
          <t>IC4420</t>
        </is>
      </c>
      <c r="B1413" t="inlineStr">
        <is>
          <t>NORDEX ENERGY SPAIN S A U</t>
        </is>
      </c>
      <c r="C1413" t="n">
        <v>2122100000</v>
      </c>
      <c r="D1413" t="inlineStr">
        <is>
          <t>Intercompany</t>
        </is>
      </c>
      <c r="E1413" t="n">
        <v>200005616</v>
      </c>
      <c r="F1413" t="inlineStr">
        <is>
          <t>4865</t>
        </is>
      </c>
      <c r="G1413" t="inlineStr">
        <is>
          <t>UE</t>
        </is>
      </c>
      <c r="H1413" s="12" t="n">
        <v>-27042.2</v>
      </c>
      <c r="I1413" s="17" t="n">
        <v>44716</v>
      </c>
      <c r="J1413" s="17" t="n">
        <v>44716</v>
      </c>
      <c r="K1413" t="inlineStr">
        <is>
          <t>000000041002</t>
        </is>
      </c>
    </row>
    <row r="1414">
      <c r="A1414" t="inlineStr">
        <is>
          <t>IC4420</t>
        </is>
      </c>
      <c r="B1414" t="inlineStr">
        <is>
          <t>NORDEX ENERGY SPAIN S A U</t>
        </is>
      </c>
      <c r="C1414" t="n">
        <v>2122100000</v>
      </c>
      <c r="D1414" t="inlineStr">
        <is>
          <t>Intercompany</t>
        </is>
      </c>
      <c r="E1414" t="n">
        <v>200005617</v>
      </c>
      <c r="F1414" t="inlineStr">
        <is>
          <t>4866</t>
        </is>
      </c>
      <c r="G1414" t="inlineStr">
        <is>
          <t>UE</t>
        </is>
      </c>
      <c r="H1414" s="12" t="n">
        <v>-14816.12</v>
      </c>
      <c r="I1414" s="17" t="n">
        <v>44727</v>
      </c>
      <c r="J1414" s="17" t="n">
        <v>44727</v>
      </c>
      <c r="K1414" t="inlineStr">
        <is>
          <t>000000057002</t>
        </is>
      </c>
    </row>
    <row r="1415">
      <c r="A1415" t="inlineStr">
        <is>
          <t>IC4420</t>
        </is>
      </c>
      <c r="B1415" t="inlineStr">
        <is>
          <t>NORDEX ENERGY SPAIN S A U</t>
        </is>
      </c>
      <c r="C1415" t="n">
        <v>2122100000</v>
      </c>
      <c r="D1415" t="inlineStr">
        <is>
          <t>Intercompany</t>
        </is>
      </c>
      <c r="E1415" t="n">
        <v>200005619</v>
      </c>
      <c r="F1415" t="inlineStr">
        <is>
          <t>4868</t>
        </is>
      </c>
      <c r="G1415" t="inlineStr">
        <is>
          <t>UE</t>
        </is>
      </c>
      <c r="H1415" s="12" t="n">
        <v>-2097.06</v>
      </c>
      <c r="I1415" s="17" t="n">
        <v>44798</v>
      </c>
      <c r="J1415" s="17" t="n">
        <v>44798</v>
      </c>
      <c r="K1415" t="inlineStr">
        <is>
          <t>000002294002</t>
        </is>
      </c>
    </row>
    <row r="1416">
      <c r="A1416" t="inlineStr">
        <is>
          <t>IC4420</t>
        </is>
      </c>
      <c r="B1416" t="inlineStr">
        <is>
          <t>NORDEX ENERGY SPAIN S A U</t>
        </is>
      </c>
      <c r="C1416" t="n">
        <v>2122100000</v>
      </c>
      <c r="D1416" t="inlineStr">
        <is>
          <t>Intercompany</t>
        </is>
      </c>
      <c r="E1416" t="n">
        <v>200005620</v>
      </c>
      <c r="F1416" t="inlineStr">
        <is>
          <t>4869</t>
        </is>
      </c>
      <c r="G1416" t="inlineStr">
        <is>
          <t>UE</t>
        </is>
      </c>
      <c r="H1416" s="12" t="n">
        <v>-39541.5</v>
      </c>
      <c r="I1416" s="17" t="n">
        <v>44798</v>
      </c>
      <c r="J1416" s="17" t="n">
        <v>44798</v>
      </c>
      <c r="K1416" t="inlineStr">
        <is>
          <t>000002302002</t>
        </is>
      </c>
    </row>
    <row r="1417">
      <c r="A1417" t="inlineStr">
        <is>
          <t>IC4420</t>
        </is>
      </c>
      <c r="B1417" t="inlineStr">
        <is>
          <t>NORDEX ENERGY SPAIN S A U</t>
        </is>
      </c>
      <c r="C1417" t="n">
        <v>2122100000</v>
      </c>
      <c r="D1417" t="inlineStr">
        <is>
          <t>Intercompany</t>
        </is>
      </c>
      <c r="E1417" t="n">
        <v>200005622</v>
      </c>
      <c r="F1417" t="inlineStr">
        <is>
          <t>4870</t>
        </is>
      </c>
      <c r="G1417" t="inlineStr">
        <is>
          <t>UE</t>
        </is>
      </c>
      <c r="H1417" s="12" t="n">
        <v>-36531.06</v>
      </c>
      <c r="I1417" s="17" t="n">
        <v>44718</v>
      </c>
      <c r="J1417" s="17" t="n">
        <v>44718</v>
      </c>
      <c r="K1417" t="inlineStr">
        <is>
          <t>000000051002</t>
        </is>
      </c>
    </row>
    <row r="1418">
      <c r="A1418" t="inlineStr">
        <is>
          <t>IC4420</t>
        </is>
      </c>
      <c r="B1418" t="inlineStr">
        <is>
          <t>NORDEX ENERGY SPAIN S A U</t>
        </is>
      </c>
      <c r="C1418" t="n">
        <v>2122100000</v>
      </c>
      <c r="D1418" t="inlineStr">
        <is>
          <t>Intercompany</t>
        </is>
      </c>
      <c r="E1418" t="n">
        <v>200005623</v>
      </c>
      <c r="F1418" t="inlineStr">
        <is>
          <t>4871</t>
        </is>
      </c>
      <c r="G1418" t="inlineStr">
        <is>
          <t>UE</t>
        </is>
      </c>
      <c r="H1418" s="12" t="n">
        <v>-26747.52</v>
      </c>
      <c r="I1418" s="17" t="n">
        <v>44732</v>
      </c>
      <c r="J1418" s="17" t="n">
        <v>44732</v>
      </c>
      <c r="K1418" t="inlineStr">
        <is>
          <t>000000059002</t>
        </is>
      </c>
    </row>
    <row r="1419">
      <c r="A1419" t="inlineStr">
        <is>
          <t>IC4420</t>
        </is>
      </c>
      <c r="B1419" t="inlineStr">
        <is>
          <t>NORDEX ENERGY SPAIN S A U</t>
        </is>
      </c>
      <c r="C1419" t="n">
        <v>2122100000</v>
      </c>
      <c r="D1419" t="inlineStr">
        <is>
          <t>Intercompany</t>
        </is>
      </c>
      <c r="E1419" t="n">
        <v>200005669</v>
      </c>
      <c r="F1419" t="inlineStr">
        <is>
          <t>4912</t>
        </is>
      </c>
      <c r="G1419" t="inlineStr">
        <is>
          <t>UE</t>
        </is>
      </c>
      <c r="H1419" s="12" t="n">
        <v>-28273.39</v>
      </c>
      <c r="I1419" s="17" t="n">
        <v>44893</v>
      </c>
      <c r="J1419" s="17" t="n">
        <v>44893</v>
      </c>
      <c r="K1419" t="inlineStr">
        <is>
          <t>000000375002</t>
        </is>
      </c>
    </row>
    <row r="1420">
      <c r="A1420" t="inlineStr">
        <is>
          <t>IC4420</t>
        </is>
      </c>
      <c r="B1420" t="inlineStr">
        <is>
          <t>NORDEX ENERGY SPAIN S A U</t>
        </is>
      </c>
      <c r="C1420" t="n">
        <v>2122100000</v>
      </c>
      <c r="D1420" t="inlineStr">
        <is>
          <t>Intercompany</t>
        </is>
      </c>
      <c r="E1420" t="n">
        <v>200005714</v>
      </c>
      <c r="F1420" t="inlineStr">
        <is>
          <t>4953</t>
        </is>
      </c>
      <c r="G1420" t="inlineStr">
        <is>
          <t>UE</t>
        </is>
      </c>
      <c r="H1420" s="12" t="n">
        <v>-112031.63</v>
      </c>
      <c r="I1420" s="17" t="n">
        <v>44928</v>
      </c>
      <c r="J1420" s="17" t="n">
        <v>44928</v>
      </c>
      <c r="K1420" t="inlineStr">
        <is>
          <t>000000052002</t>
        </is>
      </c>
    </row>
    <row r="1421">
      <c r="A1421" t="inlineStr">
        <is>
          <t>IC4420</t>
        </is>
      </c>
      <c r="B1421" t="inlineStr">
        <is>
          <t>NORDEX ENERGY SPAIN S A U</t>
        </is>
      </c>
      <c r="C1421" t="n">
        <v>2122100000</v>
      </c>
      <c r="D1421" t="inlineStr">
        <is>
          <t>Intercompany</t>
        </is>
      </c>
      <c r="E1421" t="n">
        <v>200005717</v>
      </c>
      <c r="F1421" t="inlineStr">
        <is>
          <t>4956</t>
        </is>
      </c>
      <c r="G1421" t="inlineStr">
        <is>
          <t>UE</t>
        </is>
      </c>
      <c r="H1421" s="12" t="n">
        <v>-188847.34</v>
      </c>
      <c r="I1421" s="17" t="n">
        <v>44928</v>
      </c>
      <c r="J1421" s="17" t="n">
        <v>44928</v>
      </c>
      <c r="K1421" t="inlineStr">
        <is>
          <t>000000053002</t>
        </is>
      </c>
    </row>
    <row r="1422">
      <c r="A1422" t="inlineStr">
        <is>
          <t>IC4420</t>
        </is>
      </c>
      <c r="B1422" t="inlineStr">
        <is>
          <t>NORDEX ENERGY SPAIN S A U</t>
        </is>
      </c>
      <c r="C1422" t="n">
        <v>2122100000</v>
      </c>
      <c r="D1422" t="inlineStr">
        <is>
          <t>Intercompany</t>
        </is>
      </c>
      <c r="E1422" t="n">
        <v>200005756</v>
      </c>
      <c r="F1422" t="inlineStr">
        <is>
          <t>4991</t>
        </is>
      </c>
      <c r="G1422" t="inlineStr">
        <is>
          <t>UE</t>
        </is>
      </c>
      <c r="H1422" s="12" t="n">
        <v>-85617.92999999999</v>
      </c>
      <c r="I1422" s="17" t="n">
        <v>44959</v>
      </c>
      <c r="J1422" s="17" t="n">
        <v>44959</v>
      </c>
      <c r="K1422" t="inlineStr">
        <is>
          <t>000000434002</t>
        </is>
      </c>
    </row>
    <row r="1423">
      <c r="A1423" t="inlineStr">
        <is>
          <t>IC4420</t>
        </is>
      </c>
      <c r="B1423" t="inlineStr">
        <is>
          <t>NORDEX ENERGY SPAIN S A U</t>
        </is>
      </c>
      <c r="C1423" t="n">
        <v>2122100000</v>
      </c>
      <c r="D1423" t="inlineStr">
        <is>
          <t>Intercompany</t>
        </is>
      </c>
      <c r="E1423" t="n">
        <v>200005782</v>
      </c>
      <c r="F1423" t="inlineStr">
        <is>
          <t>5013</t>
        </is>
      </c>
      <c r="G1423" t="inlineStr">
        <is>
          <t>UE</t>
        </is>
      </c>
      <c r="H1423" s="12" t="n">
        <v>-148385.11</v>
      </c>
      <c r="I1423" s="17" t="n">
        <v>44970</v>
      </c>
      <c r="J1423" s="17" t="n">
        <v>44970</v>
      </c>
      <c r="K1423" t="inlineStr">
        <is>
          <t>000000051002</t>
        </is>
      </c>
    </row>
    <row r="1424">
      <c r="A1424" t="inlineStr">
        <is>
          <t>IC4420</t>
        </is>
      </c>
      <c r="B1424" t="inlineStr">
        <is>
          <t>NORDEX ENERGY SPAIN S A U</t>
        </is>
      </c>
      <c r="C1424" t="n">
        <v>2122100000</v>
      </c>
      <c r="D1424" t="inlineStr">
        <is>
          <t>Intercompany</t>
        </is>
      </c>
      <c r="E1424" t="n">
        <v>200005831</v>
      </c>
      <c r="F1424" t="inlineStr">
        <is>
          <t>5058</t>
        </is>
      </c>
      <c r="G1424" t="inlineStr">
        <is>
          <t>UE</t>
        </is>
      </c>
      <c r="H1424" s="12" t="n">
        <v>-462834.68</v>
      </c>
      <c r="I1424" s="17" t="n">
        <v>45035</v>
      </c>
      <c r="J1424" s="17" t="n">
        <v>45035</v>
      </c>
      <c r="K1424" t="inlineStr">
        <is>
          <t>000000042004</t>
        </is>
      </c>
    </row>
    <row r="1425">
      <c r="A1425" t="inlineStr">
        <is>
          <t>IC5000</t>
        </is>
      </c>
      <c r="B1425" t="inlineStr">
        <is>
          <t>NORDEX SE</t>
        </is>
      </c>
      <c r="C1425" t="n">
        <v>2122100000</v>
      </c>
      <c r="D1425" t="inlineStr">
        <is>
          <t>Intercompany</t>
        </is>
      </c>
      <c r="E1425" t="n">
        <v>200009427</v>
      </c>
      <c r="F1425" t="inlineStr">
        <is>
          <t>1977</t>
        </is>
      </c>
      <c r="G1425" t="inlineStr">
        <is>
          <t>UE</t>
        </is>
      </c>
      <c r="H1425" s="12" t="n">
        <v>-1503146.44</v>
      </c>
      <c r="I1425" s="17" t="n">
        <v>43371</v>
      </c>
      <c r="J1425" s="17" t="n">
        <v>43371</v>
      </c>
      <c r="K1425" t="inlineStr">
        <is>
          <t>603184</t>
        </is>
      </c>
    </row>
    <row r="1426">
      <c r="A1426" t="inlineStr">
        <is>
          <t>IC5000</t>
        </is>
      </c>
      <c r="B1426" t="inlineStr">
        <is>
          <t>NORDEX SE</t>
        </is>
      </c>
      <c r="C1426" t="n">
        <v>2122100000</v>
      </c>
      <c r="D1426" t="inlineStr">
        <is>
          <t>Intercompany</t>
        </is>
      </c>
      <c r="E1426" t="n">
        <v>200009428</v>
      </c>
      <c r="F1426" t="inlineStr">
        <is>
          <t>1978</t>
        </is>
      </c>
      <c r="G1426" t="inlineStr">
        <is>
          <t>UE</t>
        </is>
      </c>
      <c r="H1426" s="12" t="n">
        <v>-741888.9</v>
      </c>
      <c r="I1426" s="17" t="n">
        <v>43281</v>
      </c>
      <c r="J1426" s="17" t="n">
        <v>43281</v>
      </c>
      <c r="K1426" t="inlineStr">
        <is>
          <t>603009</t>
        </is>
      </c>
    </row>
    <row r="1427">
      <c r="A1427" t="inlineStr">
        <is>
          <t>IC5000</t>
        </is>
      </c>
      <c r="B1427" t="inlineStr">
        <is>
          <t>NORDEX SE</t>
        </is>
      </c>
      <c r="C1427" t="n">
        <v>2122100000</v>
      </c>
      <c r="D1427" t="inlineStr">
        <is>
          <t>Intercompany</t>
        </is>
      </c>
      <c r="E1427" t="n">
        <v>200009429</v>
      </c>
      <c r="F1427" t="inlineStr">
        <is>
          <t>1979</t>
        </is>
      </c>
      <c r="G1427" t="inlineStr">
        <is>
          <t>UE</t>
        </is>
      </c>
      <c r="H1427" s="12" t="n">
        <v>-542179.6800000001</v>
      </c>
      <c r="I1427" s="17" t="n">
        <v>43190</v>
      </c>
      <c r="J1427" s="17" t="n">
        <v>43190</v>
      </c>
      <c r="K1427" t="inlineStr">
        <is>
          <t>602940</t>
        </is>
      </c>
    </row>
    <row r="1428">
      <c r="A1428" t="inlineStr">
        <is>
          <t>IC5000</t>
        </is>
      </c>
      <c r="B1428" t="inlineStr">
        <is>
          <t>NORDEX SE</t>
        </is>
      </c>
      <c r="C1428" t="n">
        <v>2122100000</v>
      </c>
      <c r="D1428" t="inlineStr">
        <is>
          <t>Intercompany</t>
        </is>
      </c>
      <c r="E1428" t="n">
        <v>200009431</v>
      </c>
      <c r="F1428" t="inlineStr">
        <is>
          <t>1980</t>
        </is>
      </c>
      <c r="G1428" t="inlineStr">
        <is>
          <t>UE</t>
        </is>
      </c>
      <c r="H1428" s="12" t="n">
        <v>-5674771.03</v>
      </c>
      <c r="I1428" s="17" t="n">
        <v>43465</v>
      </c>
      <c r="J1428" s="17" t="n">
        <v>43465</v>
      </c>
      <c r="K1428" t="inlineStr">
        <is>
          <t>603416</t>
        </is>
      </c>
    </row>
    <row r="1429">
      <c r="A1429" t="inlineStr">
        <is>
          <t>IC5000</t>
        </is>
      </c>
      <c r="B1429" t="inlineStr">
        <is>
          <t>NORDEX SE</t>
        </is>
      </c>
      <c r="C1429" t="n">
        <v>2122100000</v>
      </c>
      <c r="D1429" t="inlineStr">
        <is>
          <t>Intercompany</t>
        </is>
      </c>
      <c r="E1429" t="n">
        <v>200009432</v>
      </c>
      <c r="F1429" t="inlineStr">
        <is>
          <t>1981</t>
        </is>
      </c>
      <c r="G1429" t="inlineStr">
        <is>
          <t>UE</t>
        </is>
      </c>
      <c r="H1429" s="12" t="n">
        <v>-7526272.31</v>
      </c>
      <c r="I1429" s="17" t="n">
        <v>43546</v>
      </c>
      <c r="J1429" s="17" t="n">
        <v>43546</v>
      </c>
      <c r="K1429" t="inlineStr">
        <is>
          <t>603594</t>
        </is>
      </c>
    </row>
    <row r="1430">
      <c r="A1430" t="inlineStr">
        <is>
          <t>IC5000</t>
        </is>
      </c>
      <c r="B1430" t="inlineStr">
        <is>
          <t>NORDEX SE</t>
        </is>
      </c>
      <c r="C1430" t="n">
        <v>2122100000</v>
      </c>
      <c r="D1430" t="inlineStr">
        <is>
          <t>Intercompany</t>
        </is>
      </c>
      <c r="E1430" t="n">
        <v>200009433</v>
      </c>
      <c r="F1430" t="inlineStr">
        <is>
          <t>1982</t>
        </is>
      </c>
      <c r="G1430" t="inlineStr">
        <is>
          <t>UE</t>
        </is>
      </c>
      <c r="H1430" s="12" t="n">
        <v>-760379.37</v>
      </c>
      <c r="I1430" s="17" t="n">
        <v>43555</v>
      </c>
      <c r="J1430" s="17" t="n">
        <v>43555</v>
      </c>
      <c r="K1430" t="inlineStr">
        <is>
          <t>603547</t>
        </is>
      </c>
    </row>
    <row r="1431">
      <c r="A1431" t="inlineStr">
        <is>
          <t>IC5000</t>
        </is>
      </c>
      <c r="B1431" t="inlineStr">
        <is>
          <t>NORDEX SE</t>
        </is>
      </c>
      <c r="C1431" t="n">
        <v>2122100000</v>
      </c>
      <c r="D1431" t="inlineStr">
        <is>
          <t>Intercompany</t>
        </is>
      </c>
      <c r="E1431" t="n">
        <v>200009434</v>
      </c>
      <c r="F1431" t="inlineStr">
        <is>
          <t>1983</t>
        </is>
      </c>
      <c r="G1431" t="inlineStr">
        <is>
          <t>UE</t>
        </is>
      </c>
      <c r="H1431" s="12" t="n">
        <v>-4733684.82</v>
      </c>
      <c r="I1431" s="17" t="n">
        <v>43634</v>
      </c>
      <c r="J1431" s="17" t="n">
        <v>43634</v>
      </c>
      <c r="K1431" t="inlineStr">
        <is>
          <t>603630</t>
        </is>
      </c>
    </row>
    <row r="1432">
      <c r="A1432" t="inlineStr">
        <is>
          <t>IC5000</t>
        </is>
      </c>
      <c r="B1432" t="inlineStr">
        <is>
          <t>NORDEX SE</t>
        </is>
      </c>
      <c r="C1432" t="n">
        <v>2122100000</v>
      </c>
      <c r="D1432" t="inlineStr">
        <is>
          <t>Intercompany</t>
        </is>
      </c>
      <c r="E1432" t="n">
        <v>200009435</v>
      </c>
      <c r="F1432" t="inlineStr">
        <is>
          <t>1984</t>
        </is>
      </c>
      <c r="G1432" t="inlineStr">
        <is>
          <t>UE</t>
        </is>
      </c>
      <c r="H1432" s="12" t="n">
        <v>-829260.85</v>
      </c>
      <c r="I1432" s="17" t="n">
        <v>43646</v>
      </c>
      <c r="J1432" s="17" t="n">
        <v>43646</v>
      </c>
      <c r="K1432" t="inlineStr">
        <is>
          <t>603678</t>
        </is>
      </c>
    </row>
    <row r="1433">
      <c r="A1433" t="inlineStr">
        <is>
          <t>IC5000</t>
        </is>
      </c>
      <c r="B1433" t="inlineStr">
        <is>
          <t>NORDEX SE</t>
        </is>
      </c>
      <c r="C1433" t="n">
        <v>2122100000</v>
      </c>
      <c r="D1433" t="inlineStr">
        <is>
          <t>Intercompany</t>
        </is>
      </c>
      <c r="E1433" t="n">
        <v>200009436</v>
      </c>
      <c r="F1433" t="inlineStr">
        <is>
          <t>1985</t>
        </is>
      </c>
      <c r="G1433" t="inlineStr">
        <is>
          <t>UE</t>
        </is>
      </c>
      <c r="H1433" s="12" t="n">
        <v>-4703310.89</v>
      </c>
      <c r="I1433" s="17" t="n">
        <v>43727</v>
      </c>
      <c r="J1433" s="17" t="n">
        <v>43727</v>
      </c>
      <c r="K1433" t="inlineStr">
        <is>
          <t>603808</t>
        </is>
      </c>
    </row>
    <row r="1434">
      <c r="A1434" t="inlineStr">
        <is>
          <t>IC5000</t>
        </is>
      </c>
      <c r="B1434" t="inlineStr">
        <is>
          <t>NORDEX SE</t>
        </is>
      </c>
      <c r="C1434" t="n">
        <v>2122100000</v>
      </c>
      <c r="D1434" t="inlineStr">
        <is>
          <t>Intercompany</t>
        </is>
      </c>
      <c r="E1434" t="n">
        <v>200009437</v>
      </c>
      <c r="F1434" t="inlineStr">
        <is>
          <t>1986</t>
        </is>
      </c>
      <c r="G1434" t="inlineStr">
        <is>
          <t>UE</t>
        </is>
      </c>
      <c r="H1434" s="12" t="n">
        <v>-887215.84</v>
      </c>
      <c r="I1434" s="17" t="n">
        <v>43738</v>
      </c>
      <c r="J1434" s="17" t="n">
        <v>43738</v>
      </c>
      <c r="K1434" t="inlineStr">
        <is>
          <t>603881</t>
        </is>
      </c>
    </row>
    <row r="1435">
      <c r="A1435" t="inlineStr">
        <is>
          <t>IC5000</t>
        </is>
      </c>
      <c r="B1435" t="inlineStr">
        <is>
          <t>NORDEX SE</t>
        </is>
      </c>
      <c r="C1435" t="n">
        <v>2122100000</v>
      </c>
      <c r="D1435" t="inlineStr">
        <is>
          <t>Intercompany</t>
        </is>
      </c>
      <c r="E1435" t="n">
        <v>200009438</v>
      </c>
      <c r="F1435" t="inlineStr">
        <is>
          <t>1987</t>
        </is>
      </c>
      <c r="G1435" t="inlineStr">
        <is>
          <t>UE</t>
        </is>
      </c>
      <c r="H1435" s="12" t="n">
        <v>-1010763.26</v>
      </c>
      <c r="I1435" s="17" t="n">
        <v>43830</v>
      </c>
      <c r="J1435" s="17" t="n">
        <v>43830</v>
      </c>
      <c r="K1435" t="inlineStr">
        <is>
          <t>603994</t>
        </is>
      </c>
    </row>
    <row r="1436">
      <c r="A1436" t="inlineStr">
        <is>
          <t>IC5000</t>
        </is>
      </c>
      <c r="B1436" t="inlineStr">
        <is>
          <t>NORDEX SE</t>
        </is>
      </c>
      <c r="C1436" t="n">
        <v>2122100000</v>
      </c>
      <c r="D1436" t="inlineStr">
        <is>
          <t>Intercompany</t>
        </is>
      </c>
      <c r="E1436" t="n">
        <v>200009439</v>
      </c>
      <c r="F1436" t="inlineStr">
        <is>
          <t>1988</t>
        </is>
      </c>
      <c r="G1436" t="inlineStr">
        <is>
          <t>UE</t>
        </is>
      </c>
      <c r="H1436" s="12" t="n">
        <v>-1772464.02</v>
      </c>
      <c r="I1436" s="17" t="n">
        <v>43900</v>
      </c>
      <c r="J1436" s="17" t="n">
        <v>43900</v>
      </c>
      <c r="K1436" t="inlineStr">
        <is>
          <t>604211</t>
        </is>
      </c>
    </row>
    <row r="1437">
      <c r="A1437" t="inlineStr">
        <is>
          <t>IC5000</t>
        </is>
      </c>
      <c r="B1437" t="inlineStr">
        <is>
          <t>NORDEX SE</t>
        </is>
      </c>
      <c r="C1437" t="n">
        <v>2122100000</v>
      </c>
      <c r="D1437" t="inlineStr">
        <is>
          <t>Intercompany</t>
        </is>
      </c>
      <c r="E1437" t="n">
        <v>200009440</v>
      </c>
      <c r="F1437" t="inlineStr">
        <is>
          <t>1989</t>
        </is>
      </c>
      <c r="G1437" t="inlineStr">
        <is>
          <t>UE</t>
        </is>
      </c>
      <c r="H1437" s="12" t="n">
        <v>-1282286.81</v>
      </c>
      <c r="I1437" s="17" t="n">
        <v>43921</v>
      </c>
      <c r="J1437" s="17" t="n">
        <v>43921</v>
      </c>
      <c r="K1437" t="inlineStr">
        <is>
          <t>604306</t>
        </is>
      </c>
    </row>
    <row r="1438">
      <c r="A1438" t="inlineStr">
        <is>
          <t>IC5000</t>
        </is>
      </c>
      <c r="B1438" t="inlineStr">
        <is>
          <t>NORDEX SE</t>
        </is>
      </c>
      <c r="C1438" t="n">
        <v>2122100000</v>
      </c>
      <c r="D1438" t="inlineStr">
        <is>
          <t>Intercompany</t>
        </is>
      </c>
      <c r="E1438" t="n">
        <v>200009442</v>
      </c>
      <c r="F1438" t="inlineStr">
        <is>
          <t>1990</t>
        </is>
      </c>
      <c r="G1438" t="inlineStr">
        <is>
          <t>UE</t>
        </is>
      </c>
      <c r="H1438" s="12" t="n">
        <v>-4676485.79</v>
      </c>
      <c r="I1438" s="17" t="n">
        <v>44001</v>
      </c>
      <c r="J1438" s="17" t="n">
        <v>44001</v>
      </c>
      <c r="K1438" t="inlineStr">
        <is>
          <t>604422</t>
        </is>
      </c>
    </row>
    <row r="1439">
      <c r="A1439" t="inlineStr">
        <is>
          <t>IC5000</t>
        </is>
      </c>
      <c r="B1439" t="inlineStr">
        <is>
          <t>NORDEX SE</t>
        </is>
      </c>
      <c r="C1439" t="n">
        <v>2122100000</v>
      </c>
      <c r="D1439" t="inlineStr">
        <is>
          <t>Intercompany</t>
        </is>
      </c>
      <c r="E1439" t="n">
        <v>200009443</v>
      </c>
      <c r="F1439" t="inlineStr">
        <is>
          <t>1991</t>
        </is>
      </c>
      <c r="G1439" t="inlineStr">
        <is>
          <t>UE</t>
        </is>
      </c>
      <c r="H1439" s="12" t="n">
        <v>-1323905.37</v>
      </c>
      <c r="I1439" s="17" t="n">
        <v>44012</v>
      </c>
      <c r="J1439" s="17" t="n">
        <v>44012</v>
      </c>
      <c r="K1439" t="inlineStr">
        <is>
          <t>604606</t>
        </is>
      </c>
    </row>
    <row r="1440">
      <c r="A1440" t="inlineStr">
        <is>
          <t>IC5000</t>
        </is>
      </c>
      <c r="B1440" t="inlineStr">
        <is>
          <t>NORDEX SE</t>
        </is>
      </c>
      <c r="C1440" t="n">
        <v>2122100000</v>
      </c>
      <c r="D1440" t="inlineStr">
        <is>
          <t>Intercompany</t>
        </is>
      </c>
      <c r="E1440" t="n">
        <v>200009444</v>
      </c>
      <c r="F1440" t="inlineStr">
        <is>
          <t>1992</t>
        </is>
      </c>
      <c r="G1440" t="inlineStr">
        <is>
          <t>UE</t>
        </is>
      </c>
      <c r="H1440" s="12" t="n">
        <v>-15929.64</v>
      </c>
      <c r="I1440" s="17" t="n">
        <v>44098</v>
      </c>
      <c r="J1440" s="17" t="n">
        <v>44098</v>
      </c>
      <c r="K1440" t="inlineStr">
        <is>
          <t>604704</t>
        </is>
      </c>
    </row>
    <row r="1441">
      <c r="A1441" t="inlineStr">
        <is>
          <t>IC5000</t>
        </is>
      </c>
      <c r="B1441" t="inlineStr">
        <is>
          <t>NORDEX SE</t>
        </is>
      </c>
      <c r="C1441" t="n">
        <v>2122100000</v>
      </c>
      <c r="D1441" t="inlineStr">
        <is>
          <t>Intercompany</t>
        </is>
      </c>
      <c r="E1441" t="n">
        <v>200009445</v>
      </c>
      <c r="F1441" t="inlineStr">
        <is>
          <t>1993</t>
        </is>
      </c>
      <c r="G1441" t="inlineStr">
        <is>
          <t>UE</t>
        </is>
      </c>
      <c r="H1441" s="12" t="n">
        <v>-5716358.95</v>
      </c>
      <c r="I1441" s="17" t="n">
        <v>44098</v>
      </c>
      <c r="J1441" s="17" t="n">
        <v>44098</v>
      </c>
      <c r="K1441" t="inlineStr">
        <is>
          <t>604672</t>
        </is>
      </c>
    </row>
    <row r="1442">
      <c r="A1442" t="inlineStr">
        <is>
          <t>IC5000</t>
        </is>
      </c>
      <c r="B1442" t="inlineStr">
        <is>
          <t>NORDEX SE</t>
        </is>
      </c>
      <c r="C1442" t="n">
        <v>2122100000</v>
      </c>
      <c r="D1442" t="inlineStr">
        <is>
          <t>Intercompany</t>
        </is>
      </c>
      <c r="E1442" t="n">
        <v>200009446</v>
      </c>
      <c r="F1442" t="inlineStr">
        <is>
          <t>1994</t>
        </is>
      </c>
      <c r="G1442" t="inlineStr">
        <is>
          <t>UE</t>
        </is>
      </c>
      <c r="H1442" s="12" t="n">
        <v>-1596693.99</v>
      </c>
      <c r="I1442" s="17" t="n">
        <v>44104</v>
      </c>
      <c r="J1442" s="17" t="n">
        <v>44104</v>
      </c>
      <c r="K1442" t="inlineStr">
        <is>
          <t>604755</t>
        </is>
      </c>
    </row>
    <row r="1443">
      <c r="A1443" t="inlineStr">
        <is>
          <t>IC5000</t>
        </is>
      </c>
      <c r="B1443" t="inlineStr">
        <is>
          <t>NORDEX SE</t>
        </is>
      </c>
      <c r="C1443" t="n">
        <v>2122100000</v>
      </c>
      <c r="D1443" t="inlineStr">
        <is>
          <t>Intercompany</t>
        </is>
      </c>
      <c r="E1443" t="n">
        <v>200009447</v>
      </c>
      <c r="F1443" t="inlineStr">
        <is>
          <t>1995</t>
        </is>
      </c>
      <c r="G1443" t="inlineStr">
        <is>
          <t>UE</t>
        </is>
      </c>
      <c r="H1443" s="12" t="n">
        <v>-2119547.96</v>
      </c>
      <c r="I1443" s="17" t="n">
        <v>44196</v>
      </c>
      <c r="J1443" s="17" t="n">
        <v>44196</v>
      </c>
      <c r="K1443" t="inlineStr">
        <is>
          <t>604950</t>
        </is>
      </c>
    </row>
    <row r="1444">
      <c r="A1444" t="inlineStr">
        <is>
          <t>IC5000</t>
        </is>
      </c>
      <c r="B1444" t="inlineStr">
        <is>
          <t>NORDEX SE</t>
        </is>
      </c>
      <c r="C1444" t="n">
        <v>2122100000</v>
      </c>
      <c r="D1444" t="inlineStr">
        <is>
          <t>Intercompany</t>
        </is>
      </c>
      <c r="E1444" t="n">
        <v>200009448</v>
      </c>
      <c r="F1444" t="inlineStr">
        <is>
          <t>1996</t>
        </is>
      </c>
      <c r="G1444" t="inlineStr">
        <is>
          <t>UE</t>
        </is>
      </c>
      <c r="H1444" s="12" t="n">
        <v>-7215868.67</v>
      </c>
      <c r="I1444" s="17" t="n">
        <v>44196</v>
      </c>
      <c r="J1444" s="17" t="n">
        <v>44196</v>
      </c>
      <c r="K1444" t="inlineStr">
        <is>
          <t>605016</t>
        </is>
      </c>
    </row>
    <row r="1445">
      <c r="A1445" t="inlineStr">
        <is>
          <t>IC5000</t>
        </is>
      </c>
      <c r="B1445" t="inlineStr">
        <is>
          <t>NORDEX SE</t>
        </is>
      </c>
      <c r="C1445" t="n">
        <v>2122100000</v>
      </c>
      <c r="D1445" t="inlineStr">
        <is>
          <t>Intercompany</t>
        </is>
      </c>
      <c r="E1445" t="n">
        <v>200009449</v>
      </c>
      <c r="F1445" t="inlineStr">
        <is>
          <t>1997</t>
        </is>
      </c>
      <c r="G1445" t="inlineStr">
        <is>
          <t>UE</t>
        </is>
      </c>
      <c r="H1445" s="12" t="n">
        <v>-5592509.8</v>
      </c>
      <c r="I1445" s="17" t="n">
        <v>44285</v>
      </c>
      <c r="J1445" s="17" t="n">
        <v>44285</v>
      </c>
      <c r="K1445" t="inlineStr">
        <is>
          <t>605092</t>
        </is>
      </c>
    </row>
    <row r="1446">
      <c r="A1446" t="inlineStr">
        <is>
          <t>IC5000</t>
        </is>
      </c>
      <c r="B1446" t="inlineStr">
        <is>
          <t>NORDEX SE</t>
        </is>
      </c>
      <c r="C1446" t="n">
        <v>2122100000</v>
      </c>
      <c r="D1446" t="inlineStr">
        <is>
          <t>Intercompany</t>
        </is>
      </c>
      <c r="E1446" t="n">
        <v>200009450</v>
      </c>
      <c r="F1446" t="inlineStr">
        <is>
          <t>1998</t>
        </is>
      </c>
      <c r="G1446" t="inlineStr">
        <is>
          <t>UE</t>
        </is>
      </c>
      <c r="H1446" s="12" t="n">
        <v>-2114714.01</v>
      </c>
      <c r="I1446" s="17" t="n">
        <v>44286</v>
      </c>
      <c r="J1446" s="17" t="n">
        <v>44286</v>
      </c>
      <c r="K1446" t="inlineStr">
        <is>
          <t>605192</t>
        </is>
      </c>
    </row>
    <row r="1447">
      <c r="A1447" t="inlineStr">
        <is>
          <t>IC5000</t>
        </is>
      </c>
      <c r="B1447" t="inlineStr">
        <is>
          <t>NORDEX SE</t>
        </is>
      </c>
      <c r="C1447" t="n">
        <v>2122100000</v>
      </c>
      <c r="D1447" t="inlineStr">
        <is>
          <t>Intercompany</t>
        </is>
      </c>
      <c r="E1447" t="n">
        <v>200009451</v>
      </c>
      <c r="F1447" t="inlineStr">
        <is>
          <t>1999</t>
        </is>
      </c>
      <c r="G1447" t="inlineStr">
        <is>
          <t>UE</t>
        </is>
      </c>
      <c r="H1447" s="12" t="n">
        <v>-1299936.19</v>
      </c>
      <c r="I1447" s="17" t="n">
        <v>44377</v>
      </c>
      <c r="J1447" s="17" t="n">
        <v>44377</v>
      </c>
      <c r="K1447" t="inlineStr">
        <is>
          <t>605293</t>
        </is>
      </c>
    </row>
    <row r="1448">
      <c r="A1448" t="inlineStr">
        <is>
          <t>IC5000</t>
        </is>
      </c>
      <c r="B1448" t="inlineStr">
        <is>
          <t>NORDEX SE</t>
        </is>
      </c>
      <c r="C1448" t="n">
        <v>2122100000</v>
      </c>
      <c r="D1448" t="inlineStr">
        <is>
          <t>Intercompany</t>
        </is>
      </c>
      <c r="E1448" t="n">
        <v>200009455</v>
      </c>
      <c r="F1448" t="inlineStr">
        <is>
          <t>2000</t>
        </is>
      </c>
      <c r="G1448" t="inlineStr">
        <is>
          <t>UE</t>
        </is>
      </c>
      <c r="H1448" s="12" t="n">
        <v>-1925218.15</v>
      </c>
      <c r="I1448" s="17" t="n">
        <v>44377</v>
      </c>
      <c r="J1448" s="17" t="n">
        <v>44377</v>
      </c>
      <c r="K1448" t="inlineStr">
        <is>
          <t>605379</t>
        </is>
      </c>
    </row>
    <row r="1449">
      <c r="A1449" t="inlineStr">
        <is>
          <t>IC5000</t>
        </is>
      </c>
      <c r="B1449" t="inlineStr">
        <is>
          <t>NORDEX SE</t>
        </is>
      </c>
      <c r="C1449" t="n">
        <v>2122100000</v>
      </c>
      <c r="D1449" t="inlineStr">
        <is>
          <t>Intercompany</t>
        </is>
      </c>
      <c r="E1449" t="n">
        <v>200009456</v>
      </c>
      <c r="F1449" t="inlineStr">
        <is>
          <t>2001</t>
        </is>
      </c>
      <c r="G1449" t="inlineStr">
        <is>
          <t>UE</t>
        </is>
      </c>
      <c r="H1449" s="12" t="n">
        <v>-5351864.34</v>
      </c>
      <c r="I1449" s="17" t="n">
        <v>44469</v>
      </c>
      <c r="J1449" s="17" t="n">
        <v>44469</v>
      </c>
      <c r="K1449" t="inlineStr">
        <is>
          <t>605491</t>
        </is>
      </c>
    </row>
    <row r="1450">
      <c r="A1450" t="inlineStr">
        <is>
          <t>IC5000</t>
        </is>
      </c>
      <c r="B1450" t="inlineStr">
        <is>
          <t>NORDEX SE</t>
        </is>
      </c>
      <c r="C1450" t="n">
        <v>2122100000</v>
      </c>
      <c r="D1450" t="inlineStr">
        <is>
          <t>Intercompany</t>
        </is>
      </c>
      <c r="E1450" t="n">
        <v>200009457</v>
      </c>
      <c r="F1450" t="inlineStr">
        <is>
          <t>2002</t>
        </is>
      </c>
      <c r="G1450" t="inlineStr">
        <is>
          <t>UE</t>
        </is>
      </c>
      <c r="H1450" s="12" t="n">
        <v>-5662767.77</v>
      </c>
      <c r="I1450" s="17" t="n">
        <v>44469</v>
      </c>
      <c r="J1450" s="17" t="n">
        <v>44469</v>
      </c>
      <c r="K1450" t="inlineStr">
        <is>
          <t>605582</t>
        </is>
      </c>
    </row>
    <row r="1451">
      <c r="A1451" t="inlineStr">
        <is>
          <t>IC5000</t>
        </is>
      </c>
      <c r="B1451" t="inlineStr">
        <is>
          <t>NORDEX SE</t>
        </is>
      </c>
      <c r="C1451" t="n">
        <v>2122100000</v>
      </c>
      <c r="D1451" t="inlineStr">
        <is>
          <t>Intercompany</t>
        </is>
      </c>
      <c r="E1451" t="n">
        <v>200009458</v>
      </c>
      <c r="F1451" t="inlineStr">
        <is>
          <t>2003</t>
        </is>
      </c>
      <c r="G1451" t="inlineStr">
        <is>
          <t>UE</t>
        </is>
      </c>
      <c r="H1451" s="12" t="n">
        <v>-2240368.16</v>
      </c>
      <c r="I1451" s="17" t="n">
        <v>44469</v>
      </c>
      <c r="J1451" s="17" t="n">
        <v>44469</v>
      </c>
      <c r="K1451" t="inlineStr">
        <is>
          <t>605562</t>
        </is>
      </c>
    </row>
    <row r="1452">
      <c r="A1452" t="inlineStr">
        <is>
          <t>IC5000</t>
        </is>
      </c>
      <c r="B1452" t="inlineStr">
        <is>
          <t>NORDEX SE</t>
        </is>
      </c>
      <c r="C1452" t="n">
        <v>2122100000</v>
      </c>
      <c r="D1452" t="inlineStr">
        <is>
          <t>Intercompany</t>
        </is>
      </c>
      <c r="E1452" t="n">
        <v>200009459</v>
      </c>
      <c r="F1452" t="inlineStr">
        <is>
          <t>2004</t>
        </is>
      </c>
      <c r="G1452" t="inlineStr">
        <is>
          <t>UE</t>
        </is>
      </c>
      <c r="H1452" s="12" t="n">
        <v>-3667514.56</v>
      </c>
      <c r="I1452" s="17" t="n">
        <v>44561</v>
      </c>
      <c r="J1452" s="17" t="n">
        <v>44561</v>
      </c>
      <c r="K1452" t="inlineStr">
        <is>
          <t>605772</t>
        </is>
      </c>
    </row>
    <row r="1453">
      <c r="A1453" t="inlineStr">
        <is>
          <t>IC5000</t>
        </is>
      </c>
      <c r="B1453" t="inlineStr">
        <is>
          <t>NORDEX SE</t>
        </is>
      </c>
      <c r="C1453" t="n">
        <v>2122100000</v>
      </c>
      <c r="D1453" t="inlineStr">
        <is>
          <t>Intercompany</t>
        </is>
      </c>
      <c r="E1453" t="n">
        <v>200009460</v>
      </c>
      <c r="F1453" t="inlineStr">
        <is>
          <t>2005</t>
        </is>
      </c>
      <c r="G1453" t="inlineStr">
        <is>
          <t>UE</t>
        </is>
      </c>
      <c r="H1453" s="12" t="n">
        <v>-3125194.49</v>
      </c>
      <c r="I1453" s="17" t="n">
        <v>44561</v>
      </c>
      <c r="J1453" s="17" t="n">
        <v>44561</v>
      </c>
      <c r="K1453" t="inlineStr">
        <is>
          <t>605810</t>
        </is>
      </c>
    </row>
    <row r="1454">
      <c r="A1454" t="inlineStr">
        <is>
          <t>IC5000</t>
        </is>
      </c>
      <c r="B1454" t="inlineStr">
        <is>
          <t>NORDEX SE</t>
        </is>
      </c>
      <c r="C1454" t="n">
        <v>2122100000</v>
      </c>
      <c r="D1454" t="inlineStr">
        <is>
          <t>Intercompany</t>
        </is>
      </c>
      <c r="E1454" t="n">
        <v>200009461</v>
      </c>
      <c r="F1454" t="inlineStr">
        <is>
          <t>2006</t>
        </is>
      </c>
      <c r="G1454" t="inlineStr">
        <is>
          <t>UE</t>
        </is>
      </c>
      <c r="H1454" s="12" t="n">
        <v>-6817489.21</v>
      </c>
      <c r="I1454" s="17" t="n">
        <v>44561</v>
      </c>
      <c r="J1454" s="17" t="n">
        <v>44561</v>
      </c>
      <c r="K1454" t="inlineStr">
        <is>
          <t>605887</t>
        </is>
      </c>
    </row>
    <row r="1455">
      <c r="A1455" t="inlineStr">
        <is>
          <t>IC5000</t>
        </is>
      </c>
      <c r="B1455" t="inlineStr">
        <is>
          <t>NORDEX SE</t>
        </is>
      </c>
      <c r="C1455" t="n">
        <v>2122100000</v>
      </c>
      <c r="D1455" t="inlineStr">
        <is>
          <t>Intercompany</t>
        </is>
      </c>
      <c r="E1455" t="n">
        <v>200009462</v>
      </c>
      <c r="F1455" t="inlineStr">
        <is>
          <t>2007</t>
        </is>
      </c>
      <c r="G1455" t="inlineStr">
        <is>
          <t>UE</t>
        </is>
      </c>
      <c r="H1455" s="12" t="n">
        <v>-7158778.94</v>
      </c>
      <c r="I1455" s="17" t="n">
        <v>44651</v>
      </c>
      <c r="J1455" s="17" t="n">
        <v>44651</v>
      </c>
      <c r="K1455" t="inlineStr">
        <is>
          <t>606004</t>
        </is>
      </c>
    </row>
    <row r="1456">
      <c r="A1456" t="inlineStr">
        <is>
          <t>IC5000</t>
        </is>
      </c>
      <c r="B1456" t="inlineStr">
        <is>
          <t>NORDEX SE</t>
        </is>
      </c>
      <c r="C1456" t="n">
        <v>2122100000</v>
      </c>
      <c r="D1456" t="inlineStr">
        <is>
          <t>Intercompany</t>
        </is>
      </c>
      <c r="E1456" t="n">
        <v>200009463</v>
      </c>
      <c r="F1456" t="inlineStr">
        <is>
          <t>2008</t>
        </is>
      </c>
      <c r="G1456" t="inlineStr">
        <is>
          <t>UE</t>
        </is>
      </c>
      <c r="H1456" s="12" t="n">
        <v>-9349634.810000001</v>
      </c>
      <c r="I1456" s="17" t="n">
        <v>44740</v>
      </c>
      <c r="J1456" s="17" t="n">
        <v>44740</v>
      </c>
      <c r="K1456" t="inlineStr">
        <is>
          <t>606156</t>
        </is>
      </c>
    </row>
    <row r="1457">
      <c r="A1457" t="inlineStr">
        <is>
          <t>IC5000</t>
        </is>
      </c>
      <c r="B1457" t="inlineStr">
        <is>
          <t>NORDEX SE</t>
        </is>
      </c>
      <c r="C1457" t="n">
        <v>2122100000</v>
      </c>
      <c r="D1457" t="inlineStr">
        <is>
          <t>Intercompany</t>
        </is>
      </c>
      <c r="E1457" t="n">
        <v>200009464</v>
      </c>
      <c r="F1457" t="inlineStr">
        <is>
          <t>2009</t>
        </is>
      </c>
      <c r="G1457" t="inlineStr">
        <is>
          <t>UE</t>
        </is>
      </c>
      <c r="H1457" s="12" t="n">
        <v>-3121237.72</v>
      </c>
      <c r="I1457" s="17" t="n">
        <v>44742</v>
      </c>
      <c r="J1457" s="17" t="n">
        <v>44742</v>
      </c>
      <c r="K1457" t="inlineStr">
        <is>
          <t>606106</t>
        </is>
      </c>
    </row>
    <row r="1458">
      <c r="A1458" t="inlineStr">
        <is>
          <t>IC5000</t>
        </is>
      </c>
      <c r="B1458" t="inlineStr">
        <is>
          <t>NORDEX SE</t>
        </is>
      </c>
      <c r="C1458" t="n">
        <v>2122100000</v>
      </c>
      <c r="D1458" t="inlineStr">
        <is>
          <t>Intercompany</t>
        </is>
      </c>
      <c r="E1458" t="n">
        <v>200009466</v>
      </c>
      <c r="F1458" t="inlineStr">
        <is>
          <t>2010</t>
        </is>
      </c>
      <c r="G1458" t="inlineStr">
        <is>
          <t>UE</t>
        </is>
      </c>
      <c r="H1458" s="12" t="n">
        <v>-3348075.19</v>
      </c>
      <c r="I1458" s="17" t="n">
        <v>44742</v>
      </c>
      <c r="J1458" s="17" t="n">
        <v>44742</v>
      </c>
      <c r="K1458" t="inlineStr">
        <is>
          <t>606202</t>
        </is>
      </c>
    </row>
    <row r="1459">
      <c r="A1459" t="inlineStr">
        <is>
          <t>IC5000</t>
        </is>
      </c>
      <c r="B1459" t="inlineStr">
        <is>
          <t>NORDEX SE</t>
        </is>
      </c>
      <c r="C1459" t="n">
        <v>2122100000</v>
      </c>
      <c r="D1459" t="inlineStr">
        <is>
          <t>Intercompany</t>
        </is>
      </c>
      <c r="E1459" t="n">
        <v>200009467</v>
      </c>
      <c r="F1459" t="inlineStr">
        <is>
          <t>2011</t>
        </is>
      </c>
      <c r="G1459" t="inlineStr">
        <is>
          <t>UE</t>
        </is>
      </c>
      <c r="H1459" s="12" t="n">
        <v>-8885195.029999999</v>
      </c>
      <c r="I1459" s="17" t="n">
        <v>44742</v>
      </c>
      <c r="J1459" s="17" t="n">
        <v>44742</v>
      </c>
      <c r="K1459" t="inlineStr">
        <is>
          <t>606277</t>
        </is>
      </c>
    </row>
    <row r="1460">
      <c r="A1460" t="inlineStr">
        <is>
          <t>IC5000</t>
        </is>
      </c>
      <c r="B1460" t="inlineStr">
        <is>
          <t>NORDEX SE</t>
        </is>
      </c>
      <c r="C1460" t="n">
        <v>2122100000</v>
      </c>
      <c r="D1460" t="inlineStr">
        <is>
          <t>Intercompany</t>
        </is>
      </c>
      <c r="E1460" t="n">
        <v>200009468</v>
      </c>
      <c r="F1460" t="inlineStr">
        <is>
          <t>2012</t>
        </is>
      </c>
      <c r="G1460" t="inlineStr">
        <is>
          <t>UE</t>
        </is>
      </c>
      <c r="H1460" s="12" t="n">
        <v>-4861559.95</v>
      </c>
      <c r="I1460" s="17" t="n">
        <v>44824</v>
      </c>
      <c r="J1460" s="17" t="n">
        <v>44824</v>
      </c>
      <c r="K1460" t="inlineStr">
        <is>
          <t>606492</t>
        </is>
      </c>
    </row>
    <row r="1461">
      <c r="A1461" t="inlineStr">
        <is>
          <t>IC5000</t>
        </is>
      </c>
      <c r="B1461" t="inlineStr">
        <is>
          <t>NORDEX SE</t>
        </is>
      </c>
      <c r="C1461" t="n">
        <v>2122100000</v>
      </c>
      <c r="D1461" t="inlineStr">
        <is>
          <t>Intercompany</t>
        </is>
      </c>
      <c r="E1461" t="n">
        <v>200009469</v>
      </c>
      <c r="F1461" t="inlineStr">
        <is>
          <t>2013</t>
        </is>
      </c>
      <c r="G1461" t="inlineStr">
        <is>
          <t>UE</t>
        </is>
      </c>
      <c r="H1461" s="12" t="n">
        <v>-4160753.93</v>
      </c>
      <c r="I1461" s="17" t="n">
        <v>44834</v>
      </c>
      <c r="J1461" s="17" t="n">
        <v>44834</v>
      </c>
      <c r="K1461" t="inlineStr">
        <is>
          <t>606560</t>
        </is>
      </c>
    </row>
    <row r="1462">
      <c r="A1462" t="inlineStr">
        <is>
          <t>IC5000</t>
        </is>
      </c>
      <c r="B1462" t="inlineStr">
        <is>
          <t>NORDEX SE</t>
        </is>
      </c>
      <c r="C1462" t="n">
        <v>2122100000</v>
      </c>
      <c r="D1462" t="inlineStr">
        <is>
          <t>Intercompany</t>
        </is>
      </c>
      <c r="E1462" t="n">
        <v>200009470</v>
      </c>
      <c r="F1462" t="inlineStr">
        <is>
          <t>2014</t>
        </is>
      </c>
      <c r="G1462" t="inlineStr">
        <is>
          <t>UE</t>
        </is>
      </c>
      <c r="H1462" s="12" t="n">
        <v>-8248666.77</v>
      </c>
      <c r="I1462" s="17" t="n">
        <v>44834</v>
      </c>
      <c r="J1462" s="17" t="n">
        <v>44834</v>
      </c>
      <c r="K1462" t="inlineStr">
        <is>
          <t>606601</t>
        </is>
      </c>
    </row>
    <row r="1463">
      <c r="A1463" t="inlineStr">
        <is>
          <t>IC5000</t>
        </is>
      </c>
      <c r="B1463" t="inlineStr">
        <is>
          <t>NORDEX SE</t>
        </is>
      </c>
      <c r="C1463" t="n">
        <v>2122100000</v>
      </c>
      <c r="D1463" t="inlineStr">
        <is>
          <t>Intercompany</t>
        </is>
      </c>
      <c r="E1463" t="n">
        <v>200009471</v>
      </c>
      <c r="F1463" t="inlineStr">
        <is>
          <t>2015</t>
        </is>
      </c>
      <c r="G1463" t="inlineStr">
        <is>
          <t>UE</t>
        </is>
      </c>
      <c r="H1463" s="12" t="n">
        <v>-3866797.6</v>
      </c>
      <c r="I1463" s="17" t="n">
        <v>44926</v>
      </c>
      <c r="J1463" s="17" t="n">
        <v>44926</v>
      </c>
      <c r="K1463" t="inlineStr">
        <is>
          <t>606662</t>
        </is>
      </c>
    </row>
    <row r="1464">
      <c r="A1464" t="inlineStr">
        <is>
          <t>IC5000</t>
        </is>
      </c>
      <c r="B1464" t="inlineStr">
        <is>
          <t>NORDEX SE</t>
        </is>
      </c>
      <c r="C1464" t="n">
        <v>2122100000</v>
      </c>
      <c r="D1464" t="inlineStr">
        <is>
          <t>Intercompany</t>
        </is>
      </c>
      <c r="E1464" t="n">
        <v>200009472</v>
      </c>
      <c r="F1464" t="inlineStr">
        <is>
          <t>2016</t>
        </is>
      </c>
      <c r="G1464" t="inlineStr">
        <is>
          <t>UE</t>
        </is>
      </c>
      <c r="H1464" s="12" t="n">
        <v>-10842482.86</v>
      </c>
      <c r="I1464" s="17" t="n">
        <v>44926</v>
      </c>
      <c r="J1464" s="17" t="n">
        <v>44926</v>
      </c>
      <c r="K1464" t="inlineStr">
        <is>
          <t>606711</t>
        </is>
      </c>
    </row>
    <row r="1465">
      <c r="A1465" t="inlineStr">
        <is>
          <t>IC5000</t>
        </is>
      </c>
      <c r="B1465" t="inlineStr">
        <is>
          <t>NORDEX SE</t>
        </is>
      </c>
      <c r="C1465" t="n">
        <v>2122100000</v>
      </c>
      <c r="D1465" t="inlineStr">
        <is>
          <t>Intercompany</t>
        </is>
      </c>
      <c r="E1465" t="n">
        <v>200009473</v>
      </c>
      <c r="F1465" t="inlineStr">
        <is>
          <t>2017</t>
        </is>
      </c>
      <c r="G1465" t="inlineStr">
        <is>
          <t>UE</t>
        </is>
      </c>
      <c r="H1465" s="12" t="n">
        <v>-12957484.09</v>
      </c>
      <c r="I1465" s="17" t="n">
        <v>44926</v>
      </c>
      <c r="J1465" s="17" t="n">
        <v>44926</v>
      </c>
      <c r="K1465" t="inlineStr">
        <is>
          <t>606809</t>
        </is>
      </c>
    </row>
    <row r="1466">
      <c r="A1466" t="inlineStr">
        <is>
          <t>IC5000</t>
        </is>
      </c>
      <c r="B1466" t="inlineStr">
        <is>
          <t>NORDEX SE</t>
        </is>
      </c>
      <c r="C1466" t="n">
        <v>2122100000</v>
      </c>
      <c r="D1466" t="inlineStr">
        <is>
          <t>Intercompany</t>
        </is>
      </c>
      <c r="E1466" t="n">
        <v>200009474</v>
      </c>
      <c r="F1466" t="inlineStr">
        <is>
          <t>2018</t>
        </is>
      </c>
      <c r="G1466" t="inlineStr">
        <is>
          <t>UE</t>
        </is>
      </c>
      <c r="H1466" s="12" t="n">
        <v>-4682146.27</v>
      </c>
      <c r="I1466" s="17" t="n">
        <v>45016</v>
      </c>
      <c r="J1466" s="17" t="n">
        <v>45016</v>
      </c>
      <c r="K1466" t="inlineStr">
        <is>
          <t>606990</t>
        </is>
      </c>
    </row>
    <row r="1467">
      <c r="A1467" t="inlineStr">
        <is>
          <t>IC5000</t>
        </is>
      </c>
      <c r="B1467" t="inlineStr">
        <is>
          <t>NORDEX SE</t>
        </is>
      </c>
      <c r="C1467" t="n">
        <v>2122100000</v>
      </c>
      <c r="D1467" t="inlineStr">
        <is>
          <t>Intercompany</t>
        </is>
      </c>
      <c r="E1467" t="n">
        <v>200009475</v>
      </c>
      <c r="F1467" t="inlineStr">
        <is>
          <t>2019</t>
        </is>
      </c>
      <c r="G1467" t="inlineStr">
        <is>
          <t>UE</t>
        </is>
      </c>
      <c r="H1467" s="12" t="n">
        <v>-7958424.11</v>
      </c>
      <c r="I1467" s="17" t="n">
        <v>45016</v>
      </c>
      <c r="J1467" s="17" t="n">
        <v>45016</v>
      </c>
      <c r="K1467" t="inlineStr">
        <is>
          <t>607010</t>
        </is>
      </c>
    </row>
    <row r="1468">
      <c r="A1468" t="inlineStr">
        <is>
          <t>IC5000</t>
        </is>
      </c>
      <c r="B1468" t="inlineStr">
        <is>
          <t>NORDEX SE</t>
        </is>
      </c>
      <c r="C1468" t="n">
        <v>2122100000</v>
      </c>
      <c r="D1468" t="inlineStr">
        <is>
          <t>Intercompany</t>
        </is>
      </c>
      <c r="E1468" t="n">
        <v>200009477</v>
      </c>
      <c r="F1468" t="inlineStr">
        <is>
          <t>2020</t>
        </is>
      </c>
      <c r="G1468" t="inlineStr">
        <is>
          <t>UE</t>
        </is>
      </c>
      <c r="H1468" s="12" t="n">
        <v>-4141715.82</v>
      </c>
      <c r="I1468" s="17" t="n">
        <v>45008</v>
      </c>
      <c r="J1468" s="17" t="n">
        <v>45008</v>
      </c>
      <c r="K1468" t="inlineStr">
        <is>
          <t>606891</t>
        </is>
      </c>
    </row>
    <row r="1469">
      <c r="A1469" t="inlineStr">
        <is>
          <t>IC5000</t>
        </is>
      </c>
      <c r="B1469" t="inlineStr">
        <is>
          <t>NORDEX SE</t>
        </is>
      </c>
      <c r="C1469" t="n">
        <v>2122100000</v>
      </c>
      <c r="D1469" t="inlineStr">
        <is>
          <t>Intercompany</t>
        </is>
      </c>
      <c r="E1469" t="n">
        <v>200009478</v>
      </c>
      <c r="F1469" t="inlineStr">
        <is>
          <t>2021</t>
        </is>
      </c>
      <c r="G1469" t="inlineStr">
        <is>
          <t>UE</t>
        </is>
      </c>
      <c r="H1469" s="12" t="n">
        <v>-3671248.64</v>
      </c>
      <c r="I1469" s="17" t="n">
        <v>45112</v>
      </c>
      <c r="J1469" s="17" t="n">
        <v>45112</v>
      </c>
      <c r="K1469" t="inlineStr">
        <is>
          <t>607109</t>
        </is>
      </c>
    </row>
    <row r="1470">
      <c r="A1470" t="inlineStr">
        <is>
          <t>IC5000</t>
        </is>
      </c>
      <c r="B1470" t="inlineStr">
        <is>
          <t>NORDEX SE</t>
        </is>
      </c>
      <c r="C1470" t="n">
        <v>2122100000</v>
      </c>
      <c r="D1470" t="inlineStr">
        <is>
          <t>Intercompany</t>
        </is>
      </c>
      <c r="E1470" t="n">
        <v>200009480</v>
      </c>
      <c r="F1470" t="inlineStr">
        <is>
          <t>2023</t>
        </is>
      </c>
      <c r="G1470" t="inlineStr">
        <is>
          <t>UE</t>
        </is>
      </c>
      <c r="H1470" s="12" t="n">
        <v>-8343408.14</v>
      </c>
      <c r="I1470" s="17" t="n">
        <v>45117</v>
      </c>
      <c r="J1470" s="17" t="n">
        <v>45117</v>
      </c>
      <c r="K1470" t="inlineStr">
        <is>
          <t>607128</t>
        </is>
      </c>
    </row>
    <row r="1471">
      <c r="A1471" t="inlineStr">
        <is>
          <t>IC5000</t>
        </is>
      </c>
      <c r="B1471" t="inlineStr">
        <is>
          <t>NORDEX SE</t>
        </is>
      </c>
      <c r="C1471" t="n">
        <v>2122100000</v>
      </c>
      <c r="D1471" t="inlineStr">
        <is>
          <t>Intercompany</t>
        </is>
      </c>
      <c r="E1471" t="n">
        <v>200009481</v>
      </c>
      <c r="F1471" t="inlineStr">
        <is>
          <t>2024</t>
        </is>
      </c>
      <c r="G1471" t="inlineStr">
        <is>
          <t>UE</t>
        </is>
      </c>
      <c r="H1471" s="12" t="n">
        <v>-3449166.68</v>
      </c>
      <c r="I1471" s="17" t="n">
        <v>45121</v>
      </c>
      <c r="J1471" s="17" t="n">
        <v>45121</v>
      </c>
      <c r="K1471" t="inlineStr">
        <is>
          <t>607193</t>
        </is>
      </c>
    </row>
    <row r="1472">
      <c r="A1472" t="inlineStr">
        <is>
          <t>IC1000</t>
        </is>
      </c>
      <c r="B1472" t="inlineStr">
        <is>
          <t>NORDEX ENERGY SE &amp; CO KG</t>
        </is>
      </c>
      <c r="C1472" t="n">
        <v>2122100000</v>
      </c>
      <c r="D1472" t="inlineStr">
        <is>
          <t>Intercompany</t>
        </is>
      </c>
      <c r="E1472" t="n">
        <v>200009482</v>
      </c>
      <c r="F1472" t="inlineStr">
        <is>
          <t>2025</t>
        </is>
      </c>
      <c r="G1472" t="inlineStr">
        <is>
          <t>UE</t>
        </is>
      </c>
      <c r="H1472" s="12" t="n">
        <v>-1405117.43</v>
      </c>
      <c r="I1472" s="17" t="n">
        <v>43371</v>
      </c>
      <c r="J1472" s="17" t="n">
        <v>43371</v>
      </c>
      <c r="K1472" t="inlineStr">
        <is>
          <t>606730</t>
        </is>
      </c>
    </row>
    <row r="1473">
      <c r="A1473" t="inlineStr">
        <is>
          <t>IC1000</t>
        </is>
      </c>
      <c r="B1473" t="inlineStr">
        <is>
          <t>NORDEX ENERGY SE &amp; CO KG</t>
        </is>
      </c>
      <c r="C1473" t="n">
        <v>2122100000</v>
      </c>
      <c r="D1473" t="inlineStr">
        <is>
          <t>Intercompany</t>
        </is>
      </c>
      <c r="E1473" t="n">
        <v>200009483</v>
      </c>
      <c r="F1473" t="inlineStr">
        <is>
          <t>2026</t>
        </is>
      </c>
      <c r="G1473" t="inlineStr">
        <is>
          <t>UE</t>
        </is>
      </c>
      <c r="H1473" s="12" t="n">
        <v>658.97</v>
      </c>
      <c r="I1473" s="17" t="n">
        <v>43465</v>
      </c>
      <c r="J1473" s="17" t="n">
        <v>43465</v>
      </c>
      <c r="K1473" t="inlineStr">
        <is>
          <t xml:space="preserve"> 607109</t>
        </is>
      </c>
    </row>
    <row r="1474">
      <c r="A1474" t="inlineStr">
        <is>
          <t>IC1000</t>
        </is>
      </c>
      <c r="B1474" t="inlineStr">
        <is>
          <t>NORDEX ENERGY SE &amp; CO KG</t>
        </is>
      </c>
      <c r="C1474" t="n">
        <v>2122100000</v>
      </c>
      <c r="D1474" t="inlineStr">
        <is>
          <t>Intercompany</t>
        </is>
      </c>
      <c r="E1474" t="n">
        <v>200009484</v>
      </c>
      <c r="F1474" t="inlineStr">
        <is>
          <t>2027</t>
        </is>
      </c>
      <c r="G1474" t="inlineStr">
        <is>
          <t>UE</t>
        </is>
      </c>
      <c r="H1474" s="12" t="n">
        <v>-1658782.8</v>
      </c>
      <c r="I1474" s="17" t="n">
        <v>43555</v>
      </c>
      <c r="J1474" s="17" t="n">
        <v>43555</v>
      </c>
      <c r="K1474" t="inlineStr">
        <is>
          <t>607293</t>
        </is>
      </c>
    </row>
    <row r="1475">
      <c r="A1475" t="inlineStr">
        <is>
          <t>IC1000</t>
        </is>
      </c>
      <c r="B1475" t="inlineStr">
        <is>
          <t>NORDEX ENERGY SE &amp; CO KG</t>
        </is>
      </c>
      <c r="C1475" t="n">
        <v>2122100000</v>
      </c>
      <c r="D1475" t="inlineStr">
        <is>
          <t>Intercompany</t>
        </is>
      </c>
      <c r="E1475" t="n">
        <v>200009485</v>
      </c>
      <c r="F1475" t="inlineStr">
        <is>
          <t>2028</t>
        </is>
      </c>
      <c r="G1475" t="inlineStr">
        <is>
          <t>UE</t>
        </is>
      </c>
      <c r="H1475" s="12" t="n">
        <v>-1672527.5</v>
      </c>
      <c r="I1475" s="17" t="n">
        <v>43646</v>
      </c>
      <c r="J1475" s="17" t="n">
        <v>43646</v>
      </c>
      <c r="K1475" t="inlineStr">
        <is>
          <t>607490</t>
        </is>
      </c>
    </row>
    <row r="1476">
      <c r="A1476" t="inlineStr">
        <is>
          <t>IC1000</t>
        </is>
      </c>
      <c r="B1476" t="inlineStr">
        <is>
          <t>NORDEX ENERGY SE &amp; CO KG</t>
        </is>
      </c>
      <c r="C1476" t="n">
        <v>2122100000</v>
      </c>
      <c r="D1476" t="inlineStr">
        <is>
          <t>Intercompany</t>
        </is>
      </c>
      <c r="E1476" t="n">
        <v>200009486</v>
      </c>
      <c r="F1476" t="inlineStr">
        <is>
          <t>2029</t>
        </is>
      </c>
      <c r="G1476" t="inlineStr">
        <is>
          <t>UE</t>
        </is>
      </c>
      <c r="H1476" s="12" t="n">
        <v>-2136126.05</v>
      </c>
      <c r="I1476" s="17" t="n">
        <v>43738</v>
      </c>
      <c r="J1476" s="17" t="n">
        <v>43738</v>
      </c>
      <c r="K1476" t="inlineStr">
        <is>
          <t>607850</t>
        </is>
      </c>
    </row>
    <row r="1477">
      <c r="A1477" t="inlineStr">
        <is>
          <t>IC1000</t>
        </is>
      </c>
      <c r="B1477" t="inlineStr">
        <is>
          <t>NORDEX ENERGY SE &amp; CO KG</t>
        </is>
      </c>
      <c r="C1477" t="n">
        <v>2122100000</v>
      </c>
      <c r="D1477" t="inlineStr">
        <is>
          <t>Intercompany</t>
        </is>
      </c>
      <c r="E1477" t="n">
        <v>200009489</v>
      </c>
      <c r="F1477" t="inlineStr">
        <is>
          <t>2031</t>
        </is>
      </c>
      <c r="G1477" t="inlineStr">
        <is>
          <t>UE</t>
        </is>
      </c>
      <c r="H1477" s="12" t="n">
        <v>-2578346.02</v>
      </c>
      <c r="I1477" s="17" t="n">
        <v>43830</v>
      </c>
      <c r="J1477" s="17" t="n">
        <v>43830</v>
      </c>
      <c r="K1477" t="inlineStr">
        <is>
          <t>608582</t>
        </is>
      </c>
    </row>
    <row r="1478">
      <c r="A1478" t="inlineStr">
        <is>
          <t>IC1000</t>
        </is>
      </c>
      <c r="B1478" t="inlineStr">
        <is>
          <t>NORDEX ENERGY SE &amp; CO KG</t>
        </is>
      </c>
      <c r="C1478" t="n">
        <v>2122100000</v>
      </c>
      <c r="D1478" t="inlineStr">
        <is>
          <t>Intercompany</t>
        </is>
      </c>
      <c r="E1478" t="n">
        <v>200009490</v>
      </c>
      <c r="F1478" t="inlineStr">
        <is>
          <t>2032</t>
        </is>
      </c>
      <c r="G1478" t="inlineStr">
        <is>
          <t>UE</t>
        </is>
      </c>
      <c r="H1478" s="12" t="n">
        <v>-2150193.97</v>
      </c>
      <c r="I1478" s="17" t="n">
        <v>43921</v>
      </c>
      <c r="J1478" s="17" t="n">
        <v>43921</v>
      </c>
      <c r="K1478" t="inlineStr">
        <is>
          <t>608802</t>
        </is>
      </c>
    </row>
    <row r="1479">
      <c r="A1479" t="inlineStr">
        <is>
          <t>IC1000</t>
        </is>
      </c>
      <c r="B1479" t="inlineStr">
        <is>
          <t>NORDEX ENERGY SE &amp; CO KG</t>
        </is>
      </c>
      <c r="C1479" t="n">
        <v>2122100000</v>
      </c>
      <c r="D1479" t="inlineStr">
        <is>
          <t>Intercompany</t>
        </is>
      </c>
      <c r="E1479" t="n">
        <v>200009491</v>
      </c>
      <c r="F1479" t="inlineStr">
        <is>
          <t>2033</t>
        </is>
      </c>
      <c r="G1479" t="inlineStr">
        <is>
          <t>UE</t>
        </is>
      </c>
      <c r="H1479" s="12" t="n">
        <v>-2850893.19</v>
      </c>
      <c r="I1479" s="17" t="n">
        <v>44012</v>
      </c>
      <c r="J1479" s="17" t="n">
        <v>44012</v>
      </c>
      <c r="K1479" t="inlineStr">
        <is>
          <t>609009</t>
        </is>
      </c>
    </row>
    <row r="1480">
      <c r="A1480" t="inlineStr">
        <is>
          <t>IC1000</t>
        </is>
      </c>
      <c r="B1480" t="inlineStr">
        <is>
          <t>NORDEX ENERGY SE &amp; CO KG</t>
        </is>
      </c>
      <c r="C1480" t="n">
        <v>2122100000</v>
      </c>
      <c r="D1480" t="inlineStr">
        <is>
          <t>Intercompany</t>
        </is>
      </c>
      <c r="E1480" t="n">
        <v>200009492</v>
      </c>
      <c r="F1480" t="inlineStr">
        <is>
          <t>2034</t>
        </is>
      </c>
      <c r="G1480" t="inlineStr">
        <is>
          <t>UE</t>
        </is>
      </c>
      <c r="H1480" s="12" t="n">
        <v>-3358134.64</v>
      </c>
      <c r="I1480" s="17" t="n">
        <v>44104</v>
      </c>
      <c r="J1480" s="17" t="n">
        <v>44104</v>
      </c>
      <c r="K1480" t="inlineStr">
        <is>
          <t>609340</t>
        </is>
      </c>
    </row>
    <row r="1481">
      <c r="A1481" t="inlineStr">
        <is>
          <t>IC1000</t>
        </is>
      </c>
      <c r="B1481" t="inlineStr">
        <is>
          <t>NORDEX ENERGY SE &amp; CO KG</t>
        </is>
      </c>
      <c r="C1481" t="n">
        <v>2122100000</v>
      </c>
      <c r="D1481" t="inlineStr">
        <is>
          <t>Intercompany</t>
        </is>
      </c>
      <c r="E1481" t="n">
        <v>200009493</v>
      </c>
      <c r="F1481" t="inlineStr">
        <is>
          <t>2035</t>
        </is>
      </c>
      <c r="G1481" t="inlineStr">
        <is>
          <t>UE</t>
        </is>
      </c>
      <c r="H1481" s="12" t="n">
        <v>-3749333.56</v>
      </c>
      <c r="I1481" s="17" t="n">
        <v>44196</v>
      </c>
      <c r="J1481" s="17" t="n">
        <v>44196</v>
      </c>
      <c r="K1481" t="inlineStr">
        <is>
          <t>609780</t>
        </is>
      </c>
    </row>
    <row r="1482">
      <c r="A1482" t="inlineStr">
        <is>
          <t>IC1000</t>
        </is>
      </c>
      <c r="B1482" t="inlineStr">
        <is>
          <t>NORDEX ENERGY SE &amp; CO KG</t>
        </is>
      </c>
      <c r="C1482" t="n">
        <v>2122100000</v>
      </c>
      <c r="D1482" t="inlineStr">
        <is>
          <t>Intercompany</t>
        </is>
      </c>
      <c r="E1482" t="n">
        <v>200009495</v>
      </c>
      <c r="F1482" t="inlineStr">
        <is>
          <t>2037</t>
        </is>
      </c>
      <c r="G1482" t="inlineStr">
        <is>
          <t>UE</t>
        </is>
      </c>
      <c r="H1482" s="12" t="n">
        <v>-1779652.47</v>
      </c>
      <c r="I1482" s="17" t="n">
        <v>44286</v>
      </c>
      <c r="J1482" s="17" t="n">
        <v>44286</v>
      </c>
      <c r="K1482" t="inlineStr">
        <is>
          <t>610084</t>
        </is>
      </c>
    </row>
    <row r="1483">
      <c r="A1483" t="inlineStr">
        <is>
          <t>IC1000</t>
        </is>
      </c>
      <c r="B1483" t="inlineStr">
        <is>
          <t>NORDEX ENERGY SE &amp; CO KG</t>
        </is>
      </c>
      <c r="C1483" t="n">
        <v>2122100000</v>
      </c>
      <c r="D1483" t="inlineStr">
        <is>
          <t>Intercompany</t>
        </is>
      </c>
      <c r="E1483" t="n">
        <v>200009496</v>
      </c>
      <c r="F1483" t="inlineStr">
        <is>
          <t>2038</t>
        </is>
      </c>
      <c r="G1483" t="inlineStr">
        <is>
          <t>UE</t>
        </is>
      </c>
      <c r="H1483" s="12" t="n">
        <v>-344331.54</v>
      </c>
      <c r="I1483" s="17" t="n">
        <v>44286</v>
      </c>
      <c r="J1483" s="17" t="n">
        <v>44286</v>
      </c>
      <c r="K1483" t="inlineStr">
        <is>
          <t>610084.1</t>
        </is>
      </c>
    </row>
    <row r="1484">
      <c r="A1484" t="inlineStr">
        <is>
          <t>IC1000</t>
        </is>
      </c>
      <c r="B1484" t="inlineStr">
        <is>
          <t>NORDEX ENERGY SE &amp; CO KG</t>
        </is>
      </c>
      <c r="C1484" t="n">
        <v>2122100000</v>
      </c>
      <c r="D1484" t="inlineStr">
        <is>
          <t>Intercompany</t>
        </is>
      </c>
      <c r="E1484" t="n">
        <v>200009497</v>
      </c>
      <c r="F1484" t="inlineStr">
        <is>
          <t>2039</t>
        </is>
      </c>
      <c r="G1484" t="inlineStr">
        <is>
          <t>UE</t>
        </is>
      </c>
      <c r="H1484" s="12" t="n">
        <v>-277339.52</v>
      </c>
      <c r="I1484" s="17" t="n">
        <v>44286</v>
      </c>
      <c r="J1484" s="17" t="n">
        <v>44286</v>
      </c>
      <c r="K1484" t="inlineStr">
        <is>
          <t>610084.2</t>
        </is>
      </c>
    </row>
    <row r="1485">
      <c r="A1485" t="inlineStr">
        <is>
          <t>IC1000</t>
        </is>
      </c>
      <c r="B1485" t="inlineStr">
        <is>
          <t>NORDEX ENERGY SE &amp; CO KG</t>
        </is>
      </c>
      <c r="C1485" t="n">
        <v>2122100000</v>
      </c>
      <c r="D1485" t="inlineStr">
        <is>
          <t>Intercompany</t>
        </is>
      </c>
      <c r="E1485" t="n">
        <v>200009499</v>
      </c>
      <c r="F1485" t="inlineStr">
        <is>
          <t>2040</t>
        </is>
      </c>
      <c r="G1485" t="inlineStr">
        <is>
          <t>UE</t>
        </is>
      </c>
      <c r="H1485" s="12" t="n">
        <v>-1463971.32</v>
      </c>
      <c r="I1485" s="17" t="n">
        <v>44286</v>
      </c>
      <c r="J1485" s="17" t="n">
        <v>44286</v>
      </c>
      <c r="K1485" t="inlineStr">
        <is>
          <t>610084.3</t>
        </is>
      </c>
    </row>
    <row r="1486">
      <c r="A1486" t="inlineStr">
        <is>
          <t>IC1000</t>
        </is>
      </c>
      <c r="B1486" t="inlineStr">
        <is>
          <t>NORDEX ENERGY SE &amp; CO KG</t>
        </is>
      </c>
      <c r="C1486" t="n">
        <v>2122100000</v>
      </c>
      <c r="D1486" t="inlineStr">
        <is>
          <t>Intercompany</t>
        </is>
      </c>
      <c r="E1486" t="n">
        <v>200009500</v>
      </c>
      <c r="F1486" t="inlineStr">
        <is>
          <t>2041</t>
        </is>
      </c>
      <c r="G1486" t="inlineStr">
        <is>
          <t>UE</t>
        </is>
      </c>
      <c r="H1486" s="12" t="n">
        <v>-5270110.61</v>
      </c>
      <c r="I1486" s="17" t="n">
        <v>44377</v>
      </c>
      <c r="J1486" s="17" t="n">
        <v>44377</v>
      </c>
      <c r="K1486" t="inlineStr">
        <is>
          <t>610432</t>
        </is>
      </c>
    </row>
    <row r="1487">
      <c r="A1487" t="inlineStr">
        <is>
          <t>IC4420</t>
        </is>
      </c>
      <c r="B1487" t="inlineStr">
        <is>
          <t>NORDEX ENERGY SPAIN S A U</t>
        </is>
      </c>
      <c r="C1487" t="n">
        <v>2122100000</v>
      </c>
      <c r="D1487" t="inlineStr">
        <is>
          <t>Intercompany</t>
        </is>
      </c>
      <c r="E1487" t="n">
        <v>200014762</v>
      </c>
      <c r="F1487" t="inlineStr">
        <is>
          <t>1476</t>
        </is>
      </c>
      <c r="G1487" t="inlineStr">
        <is>
          <t>UE</t>
        </is>
      </c>
      <c r="H1487" s="12" t="n">
        <v>-5281.76</v>
      </c>
      <c r="I1487" s="17" t="n">
        <v>44187</v>
      </c>
      <c r="J1487" s="17" t="n">
        <v>44187</v>
      </c>
      <c r="K1487" t="inlineStr">
        <is>
          <t>4010004415</t>
        </is>
      </c>
    </row>
    <row r="1488">
      <c r="A1488" t="inlineStr">
        <is>
          <t>IC1000</t>
        </is>
      </c>
      <c r="B1488" t="inlineStr">
        <is>
          <t>NORDEX ENERGY SE &amp; CO KG</t>
        </is>
      </c>
      <c r="C1488" t="n">
        <v>2122100000</v>
      </c>
      <c r="D1488" t="inlineStr">
        <is>
          <t>Intercompany</t>
        </is>
      </c>
      <c r="E1488" t="n">
        <v>1100000457</v>
      </c>
      <c r="F1488" t="inlineStr">
        <is>
          <t>1179179</t>
        </is>
      </c>
      <c r="G1488" t="inlineStr">
        <is>
          <t>AB</t>
        </is>
      </c>
      <c r="H1488" s="12" t="n">
        <v>-7307.28</v>
      </c>
      <c r="I1488" s="17" t="n">
        <v>45353</v>
      </c>
      <c r="J1488" s="17" t="n">
        <v>45353</v>
      </c>
      <c r="K1488" t="inlineStr">
        <is>
          <t>Clearing document NORDEX ENERGY SE &amp; CO. KG 117917</t>
        </is>
      </c>
    </row>
    <row r="1489">
      <c r="A1489" t="inlineStr">
        <is>
          <t>IC1000</t>
        </is>
      </c>
      <c r="B1489" t="inlineStr">
        <is>
          <t>NORDEX ENERGY SE &amp; CO KG</t>
        </is>
      </c>
      <c r="C1489" t="n">
        <v>2122100000</v>
      </c>
      <c r="D1489" t="inlineStr">
        <is>
          <t>Intercompany</t>
        </is>
      </c>
      <c r="E1489" t="n">
        <v>1100010043</v>
      </c>
      <c r="F1489" t="inlineStr">
        <is>
          <t>617549</t>
        </is>
      </c>
      <c r="G1489" t="inlineStr">
        <is>
          <t>AB</t>
        </is>
      </c>
      <c r="H1489" s="12" t="n">
        <v>-70801.72</v>
      </c>
      <c r="I1489" s="17" t="n">
        <v>45591</v>
      </c>
      <c r="J1489" s="17" t="n">
        <v>45591</v>
      </c>
      <c r="K1489" t="inlineStr">
        <is>
          <t>Clearing document NORDEX ENERGY SE &amp; CO KG 617549</t>
        </is>
      </c>
    </row>
    <row r="1490">
      <c r="A1490" t="inlineStr">
        <is>
          <t>IC1000</t>
        </is>
      </c>
      <c r="B1490" t="inlineStr">
        <is>
          <t>NORDEX ENERGY SE &amp; CO KG</t>
        </is>
      </c>
      <c r="C1490" t="n">
        <v>2122100000</v>
      </c>
      <c r="D1490" t="inlineStr">
        <is>
          <t>Intercompany</t>
        </is>
      </c>
      <c r="E1490" t="n">
        <v>1100010044</v>
      </c>
      <c r="F1490" t="inlineStr">
        <is>
          <t>4012341712</t>
        </is>
      </c>
      <c r="G1490" t="inlineStr">
        <is>
          <t>AB</t>
        </is>
      </c>
      <c r="H1490" s="12" t="n">
        <v>-43538.27</v>
      </c>
      <c r="I1490" s="17" t="n">
        <v>45595</v>
      </c>
      <c r="J1490" s="17" t="n">
        <v>45595</v>
      </c>
      <c r="K1490" t="inlineStr">
        <is>
          <t>4012341712</t>
        </is>
      </c>
    </row>
    <row r="1491">
      <c r="A1491" t="inlineStr">
        <is>
          <t>IC1000</t>
        </is>
      </c>
      <c r="B1491" t="inlineStr">
        <is>
          <t>NORDEX ENERGY SE &amp; CO KG</t>
        </is>
      </c>
      <c r="C1491" t="n">
        <v>2122100000</v>
      </c>
      <c r="D1491" t="inlineStr">
        <is>
          <t>Intercompany</t>
        </is>
      </c>
      <c r="E1491" t="n">
        <v>1100010045</v>
      </c>
      <c r="F1491" t="inlineStr">
        <is>
          <t>4012341711</t>
        </is>
      </c>
      <c r="G1491" t="inlineStr">
        <is>
          <t>AB</t>
        </is>
      </c>
      <c r="H1491" s="12" t="n">
        <v>-21804.17</v>
      </c>
      <c r="I1491" s="17" t="n">
        <v>45595</v>
      </c>
      <c r="J1491" s="17" t="n">
        <v>45595</v>
      </c>
      <c r="K1491" t="inlineStr">
        <is>
          <t>4012341711</t>
        </is>
      </c>
    </row>
    <row r="1492">
      <c r="A1492" t="inlineStr">
        <is>
          <t>IC1000</t>
        </is>
      </c>
      <c r="B1492" t="inlineStr">
        <is>
          <t>NORDEX ENERGY SE &amp; CO KG</t>
        </is>
      </c>
      <c r="C1492" t="n">
        <v>2122100000</v>
      </c>
      <c r="D1492" t="inlineStr">
        <is>
          <t>Intercompany</t>
        </is>
      </c>
      <c r="E1492" t="n">
        <v>1100010046</v>
      </c>
      <c r="F1492" t="inlineStr">
        <is>
          <t>4012384856</t>
        </is>
      </c>
      <c r="G1492" t="inlineStr">
        <is>
          <t>AB</t>
        </is>
      </c>
      <c r="H1492" s="12" t="n">
        <v>-157684.14</v>
      </c>
      <c r="I1492" s="17" t="n">
        <v>45595</v>
      </c>
      <c r="J1492" s="17" t="n">
        <v>45595</v>
      </c>
      <c r="K1492" t="inlineStr">
        <is>
          <t>4012384856</t>
        </is>
      </c>
    </row>
    <row r="1493">
      <c r="A1493" t="inlineStr">
        <is>
          <t>IC1000</t>
        </is>
      </c>
      <c r="B1493" t="inlineStr">
        <is>
          <t>NORDEX ENERGY SE &amp; CO KG</t>
        </is>
      </c>
      <c r="C1493" t="n">
        <v>2122100000</v>
      </c>
      <c r="D1493" t="inlineStr">
        <is>
          <t>Intercompany</t>
        </is>
      </c>
      <c r="E1493" t="n">
        <v>1100010047</v>
      </c>
      <c r="F1493" t="inlineStr">
        <is>
          <t>4012341713</t>
        </is>
      </c>
      <c r="G1493" t="inlineStr">
        <is>
          <t>AB</t>
        </is>
      </c>
      <c r="H1493" s="12" t="n">
        <v>-810402.24</v>
      </c>
      <c r="I1493" s="17" t="n">
        <v>45595</v>
      </c>
      <c r="J1493" s="17" t="n">
        <v>45595</v>
      </c>
      <c r="K1493" t="inlineStr">
        <is>
          <t>4012341713</t>
        </is>
      </c>
    </row>
    <row r="1494">
      <c r="A1494" t="inlineStr">
        <is>
          <t>IC1000</t>
        </is>
      </c>
      <c r="B1494" t="inlineStr">
        <is>
          <t>NORDEX ENERGY SE &amp; CO KG</t>
        </is>
      </c>
      <c r="C1494" t="n">
        <v>2122100000</v>
      </c>
      <c r="D1494" t="inlineStr">
        <is>
          <t>Intercompany</t>
        </is>
      </c>
      <c r="E1494" t="n">
        <v>1100039784</v>
      </c>
      <c r="F1494" t="inlineStr">
        <is>
          <t>5025287</t>
        </is>
      </c>
      <c r="G1494" t="inlineStr">
        <is>
          <t>AB</t>
        </is>
      </c>
      <c r="H1494" s="12" t="n">
        <v>-15582.88</v>
      </c>
      <c r="I1494" s="17" t="n">
        <v>45915</v>
      </c>
      <c r="J1494" s="17" t="n">
        <v>45915</v>
      </c>
      <c r="K1494" t="inlineStr">
        <is>
          <t>0451/25</t>
        </is>
      </c>
    </row>
    <row r="1495">
      <c r="A1495" t="inlineStr">
        <is>
          <t>IC1000</t>
        </is>
      </c>
      <c r="B1495" t="inlineStr">
        <is>
          <t>NORDEX ENERGY SE &amp; CO KG</t>
        </is>
      </c>
      <c r="C1495" t="n">
        <v>2122100000</v>
      </c>
      <c r="D1495" t="inlineStr">
        <is>
          <t>Intercompany</t>
        </is>
      </c>
      <c r="E1495" t="n">
        <v>1100039785</v>
      </c>
      <c r="F1495" t="inlineStr">
        <is>
          <t>5025279</t>
        </is>
      </c>
      <c r="G1495" t="inlineStr">
        <is>
          <t>AB</t>
        </is>
      </c>
      <c r="H1495" s="12" t="n">
        <v>-22878.33</v>
      </c>
      <c r="I1495" s="17" t="n">
        <v>45901</v>
      </c>
      <c r="J1495" s="17" t="n">
        <v>45901</v>
      </c>
      <c r="K1495" t="inlineStr">
        <is>
          <t>0449/25</t>
        </is>
      </c>
    </row>
    <row r="1496">
      <c r="A1496" t="inlineStr">
        <is>
          <t>IC1000</t>
        </is>
      </c>
      <c r="B1496" t="inlineStr">
        <is>
          <t>NORDEX ENERGY SE &amp; CO KG</t>
        </is>
      </c>
      <c r="C1496" t="n">
        <v>2122100000</v>
      </c>
      <c r="D1496" t="inlineStr">
        <is>
          <t>Intercompany</t>
        </is>
      </c>
      <c r="E1496" t="n">
        <v>1100039793</v>
      </c>
      <c r="F1496" t="inlineStr">
        <is>
          <t>5025127</t>
        </is>
      </c>
      <c r="G1496" t="inlineStr">
        <is>
          <t>AB</t>
        </is>
      </c>
      <c r="H1496" s="12" t="n">
        <v>-29648.98</v>
      </c>
      <c r="I1496" s="17" t="n">
        <v>45901</v>
      </c>
      <c r="J1496" s="17" t="n">
        <v>45901</v>
      </c>
      <c r="K1496" t="inlineStr">
        <is>
          <t>0332/24</t>
        </is>
      </c>
    </row>
    <row r="1497">
      <c r="A1497" t="inlineStr">
        <is>
          <t>IC1000</t>
        </is>
      </c>
      <c r="B1497" t="inlineStr">
        <is>
          <t>NORDEX ENERGY SE &amp; CO KG</t>
        </is>
      </c>
      <c r="C1497" t="n">
        <v>2122100000</v>
      </c>
      <c r="D1497" t="inlineStr">
        <is>
          <t>Intercompany</t>
        </is>
      </c>
      <c r="E1497" t="n">
        <v>1100039794</v>
      </c>
      <c r="F1497" t="inlineStr">
        <is>
          <t>5025768</t>
        </is>
      </c>
      <c r="G1497" t="inlineStr">
        <is>
          <t>AB</t>
        </is>
      </c>
      <c r="H1497" s="12" t="n">
        <v>-11395.81</v>
      </c>
      <c r="I1497" s="17" t="n">
        <v>45901</v>
      </c>
      <c r="J1497" s="17" t="n">
        <v>45901</v>
      </c>
      <c r="K1497" t="inlineStr">
        <is>
          <t>0355/24</t>
        </is>
      </c>
    </row>
    <row r="1498">
      <c r="A1498" t="inlineStr">
        <is>
          <t>IC1000</t>
        </is>
      </c>
      <c r="B1498" t="inlineStr">
        <is>
          <t>NORDEX ENERGY SE &amp; CO KG</t>
        </is>
      </c>
      <c r="C1498" t="n">
        <v>2122100000</v>
      </c>
      <c r="D1498" t="inlineStr">
        <is>
          <t>Intercompany</t>
        </is>
      </c>
      <c r="E1498" t="n">
        <v>1100039795</v>
      </c>
      <c r="F1498" t="inlineStr">
        <is>
          <t>5032061</t>
        </is>
      </c>
      <c r="G1498" t="inlineStr">
        <is>
          <t>AB</t>
        </is>
      </c>
      <c r="H1498" s="12" t="n">
        <v>-64113.78</v>
      </c>
      <c r="I1498" s="17" t="n">
        <v>45901</v>
      </c>
      <c r="J1498" s="17" t="n">
        <v>45901</v>
      </c>
      <c r="K1498" t="inlineStr">
        <is>
          <t>0364/24</t>
        </is>
      </c>
    </row>
    <row r="1499">
      <c r="A1499" t="inlineStr">
        <is>
          <t>IC1000</t>
        </is>
      </c>
      <c r="B1499" t="inlineStr">
        <is>
          <t>NORDEX ENERGY SE &amp; CO KG</t>
        </is>
      </c>
      <c r="C1499" t="n">
        <v>2122100000</v>
      </c>
      <c r="D1499" t="inlineStr">
        <is>
          <t>Intercompany</t>
        </is>
      </c>
      <c r="E1499" t="n">
        <v>1100039796</v>
      </c>
      <c r="F1499" t="inlineStr">
        <is>
          <t>5041323</t>
        </is>
      </c>
      <c r="G1499" t="inlineStr">
        <is>
          <t>AB</t>
        </is>
      </c>
      <c r="H1499" s="12" t="n">
        <v>-15000.35</v>
      </c>
      <c r="I1499" s="17" t="n">
        <v>45901</v>
      </c>
      <c r="J1499" s="17" t="n">
        <v>45901</v>
      </c>
      <c r="K1499" t="inlineStr">
        <is>
          <t xml:space="preserve">0871/24
</t>
        </is>
      </c>
    </row>
    <row r="1500">
      <c r="A1500" t="inlineStr">
        <is>
          <t>IC1000</t>
        </is>
      </c>
      <c r="B1500" t="inlineStr">
        <is>
          <t>NORDEX ENERGY SE &amp; CO KG</t>
        </is>
      </c>
      <c r="C1500" t="n">
        <v>2122100000</v>
      </c>
      <c r="D1500" t="inlineStr">
        <is>
          <t>Intercompany</t>
        </is>
      </c>
      <c r="E1500" t="n">
        <v>1100039797</v>
      </c>
      <c r="F1500" t="inlineStr">
        <is>
          <t>5042404</t>
        </is>
      </c>
      <c r="G1500" t="inlineStr">
        <is>
          <t>AB</t>
        </is>
      </c>
      <c r="H1500" s="12" t="n">
        <v>-6223.8</v>
      </c>
      <c r="I1500" s="17" t="n">
        <v>45901</v>
      </c>
      <c r="J1500" s="17" t="n">
        <v>45901</v>
      </c>
      <c r="K1500" t="inlineStr">
        <is>
          <t>0832/24</t>
        </is>
      </c>
    </row>
    <row r="1501">
      <c r="A1501" t="inlineStr">
        <is>
          <t>IC1000</t>
        </is>
      </c>
      <c r="B1501" t="inlineStr">
        <is>
          <t>NORDEX ENERGY SE &amp; CO KG</t>
        </is>
      </c>
      <c r="C1501" t="n">
        <v>2122100000</v>
      </c>
      <c r="D1501" t="inlineStr">
        <is>
          <t>Intercompany</t>
        </is>
      </c>
      <c r="E1501" t="n">
        <v>1100039798</v>
      </c>
      <c r="F1501" t="inlineStr">
        <is>
          <t>5043812</t>
        </is>
      </c>
      <c r="G1501" t="inlineStr">
        <is>
          <t>AB</t>
        </is>
      </c>
      <c r="H1501" s="12" t="n">
        <v>-657554.09</v>
      </c>
      <c r="I1501" s="17" t="n">
        <v>45901</v>
      </c>
      <c r="J1501" s="17" t="n">
        <v>45901</v>
      </c>
      <c r="K1501" t="inlineStr">
        <is>
          <t>0939/24</t>
        </is>
      </c>
    </row>
    <row r="1502">
      <c r="A1502" t="inlineStr">
        <is>
          <t>IC1000</t>
        </is>
      </c>
      <c r="B1502" t="inlineStr">
        <is>
          <t>NORDEX ENERGY SE &amp; CO KG</t>
        </is>
      </c>
      <c r="C1502" t="n">
        <v>2122100000</v>
      </c>
      <c r="D1502" t="inlineStr">
        <is>
          <t>Intercompany</t>
        </is>
      </c>
      <c r="E1502" t="n">
        <v>1100039894</v>
      </c>
      <c r="F1502" t="inlineStr">
        <is>
          <t>5004195</t>
        </is>
      </c>
      <c r="G1502" t="inlineStr">
        <is>
          <t>AB</t>
        </is>
      </c>
      <c r="H1502" s="12" t="n">
        <v>-2470822.13</v>
      </c>
      <c r="I1502" s="17" t="n">
        <v>45901</v>
      </c>
      <c r="J1502" s="17" t="n">
        <v>45901</v>
      </c>
      <c r="K1502" t="inlineStr">
        <is>
          <t>4012420609</t>
        </is>
      </c>
    </row>
    <row r="1503">
      <c r="A1503" t="inlineStr">
        <is>
          <t>IC4420</t>
        </is>
      </c>
      <c r="B1503" t="inlineStr">
        <is>
          <t>NORDEX ENERGY SPAIN S A U</t>
        </is>
      </c>
      <c r="C1503" t="n">
        <v>2122100000</v>
      </c>
      <c r="D1503" t="inlineStr">
        <is>
          <t>Intercompany</t>
        </is>
      </c>
      <c r="E1503" t="n">
        <v>1300002549</v>
      </c>
      <c r="G1503" t="inlineStr">
        <is>
          <t>KZ</t>
        </is>
      </c>
      <c r="H1503" s="12" t="n">
        <v>-329597.97</v>
      </c>
      <c r="I1503" s="17" t="n">
        <v>46098</v>
      </c>
      <c r="J1503" s="17" t="n">
        <v>46098</v>
      </c>
      <c r="K1503" t="inlineStr">
        <is>
          <t>Vendor payment NORDEX ENERGY SPAIN S A U</t>
        </is>
      </c>
    </row>
    <row r="1504">
      <c r="A1504" t="inlineStr">
        <is>
          <t>IC1000</t>
        </is>
      </c>
      <c r="B1504" t="inlineStr">
        <is>
          <t>NORDEX ENERGY SE &amp; CO KG</t>
        </is>
      </c>
      <c r="C1504" t="n">
        <v>2122100000</v>
      </c>
      <c r="D1504" t="inlineStr">
        <is>
          <t>Intercompany</t>
        </is>
      </c>
      <c r="E1504" t="n">
        <v>1300003079</v>
      </c>
      <c r="F1504" t="inlineStr">
        <is>
          <t>CORREÇÃO ADT</t>
        </is>
      </c>
      <c r="G1504" t="inlineStr">
        <is>
          <t>KZ</t>
        </is>
      </c>
      <c r="H1504" s="12" t="n">
        <v>13354.9</v>
      </c>
      <c r="I1504" s="17" t="n">
        <v>45480</v>
      </c>
      <c r="J1504" s="17" t="n">
        <v>45480</v>
      </c>
      <c r="K1504" t="inlineStr">
        <is>
          <t>Vendor payment NORDEX ENERGY SE &amp; CO KG CORREÇÃO A</t>
        </is>
      </c>
    </row>
    <row r="1505">
      <c r="A1505" t="inlineStr">
        <is>
          <t>ICBRWA</t>
        </is>
      </c>
      <c r="B1505" t="inlineStr">
        <is>
          <t>NORDEX ENERGY BRASIL - COMERCIO E I</t>
        </is>
      </c>
      <c r="C1505" t="n">
        <v>2114340000</v>
      </c>
      <c r="D1505" t="inlineStr">
        <is>
          <t>Employee-Related Liabilities</t>
        </is>
      </c>
      <c r="E1505" t="n">
        <v>303357</v>
      </c>
      <c r="F1505" t="inlineStr">
        <is>
          <t>CONCILIAÇÃO IC</t>
        </is>
      </c>
      <c r="G1505" t="inlineStr">
        <is>
          <t>KZ</t>
        </is>
      </c>
      <c r="H1505" s="12" t="n">
        <v>884873.89</v>
      </c>
      <c r="I1505" s="17" t="n">
        <v>45260</v>
      </c>
      <c r="J1505" s="17" t="n">
        <v>45260</v>
      </c>
      <c r="K1505" t="inlineStr">
        <is>
          <t>Vendor payment NORDEX ENERGY BRASIL - COMERCIO E I</t>
        </is>
      </c>
    </row>
    <row r="1506">
      <c r="A1506" t="inlineStr">
        <is>
          <t>ICBRWA</t>
        </is>
      </c>
      <c r="B1506" t="inlineStr">
        <is>
          <t>NORDEX ENERGY BRASIL - COMERCIO E I</t>
        </is>
      </c>
      <c r="C1506" t="n">
        <v>2114340000</v>
      </c>
      <c r="D1506" t="inlineStr">
        <is>
          <t>Employee-Related Liabilities</t>
        </is>
      </c>
      <c r="E1506" t="n">
        <v>5003599</v>
      </c>
      <c r="F1506" t="inlineStr">
        <is>
          <t>F0231012024</t>
        </is>
      </c>
      <c r="G1506" t="inlineStr">
        <is>
          <t>KR</t>
        </is>
      </c>
      <c r="H1506" s="12" t="n">
        <v>-7275.3</v>
      </c>
      <c r="I1506" s="17" t="n">
        <v>45322</v>
      </c>
      <c r="J1506" s="17" t="n">
        <v>45322</v>
      </c>
      <c r="K1506" t="inlineStr">
        <is>
          <t>Fatura do fornecedor NORDEX ENERGY BRASIL - COMERC</t>
        </is>
      </c>
    </row>
    <row r="1507">
      <c r="A1507" t="inlineStr">
        <is>
          <t>ICBRWA</t>
        </is>
      </c>
      <c r="B1507" t="inlineStr">
        <is>
          <t>NORDEX ENERGY BRASIL - COMERCIO E I</t>
        </is>
      </c>
      <c r="C1507" t="n">
        <v>2114340000</v>
      </c>
      <c r="D1507" t="inlineStr">
        <is>
          <t>Employee-Related Liabilities</t>
        </is>
      </c>
      <c r="E1507" t="n">
        <v>5004551</v>
      </c>
      <c r="F1507" t="inlineStr">
        <is>
          <t>F0121022024.2</t>
        </is>
      </c>
      <c r="G1507" t="inlineStr">
        <is>
          <t>KR</t>
        </is>
      </c>
      <c r="H1507" s="12" t="n">
        <v>-63562.56</v>
      </c>
      <c r="I1507" s="17" t="n">
        <v>45328</v>
      </c>
      <c r="J1507" s="17" t="n">
        <v>45387</v>
      </c>
      <c r="K1507" t="inlineStr">
        <is>
          <t>Fatura do fornecedor NORDEX ENERGY BRASIL - COMERC</t>
        </is>
      </c>
    </row>
    <row r="1508">
      <c r="A1508" t="inlineStr">
        <is>
          <t>EM000093</t>
        </is>
      </c>
      <c r="B1508" t="inlineStr">
        <is>
          <t>CARLOS ALVES DE AZEVEDO</t>
        </is>
      </c>
      <c r="C1508" t="n">
        <v>2114340000</v>
      </c>
      <c r="D1508" t="inlineStr">
        <is>
          <t>Nordex Employees</t>
        </is>
      </c>
      <c r="E1508" t="n">
        <v>5005215</v>
      </c>
      <c r="F1508" t="inlineStr">
        <is>
          <t>23215</t>
        </is>
      </c>
      <c r="G1508" t="inlineStr">
        <is>
          <t>KR</t>
        </is>
      </c>
      <c r="H1508" s="12" t="n">
        <v>-7617.89</v>
      </c>
      <c r="I1508" s="17" t="n">
        <v>45140</v>
      </c>
      <c r="J1508" s="17" t="n">
        <v>45170</v>
      </c>
      <c r="K1508" t="inlineStr">
        <is>
          <t>Fatura do fornecedor CARLOS ALVES DE AZEVEDO 23215</t>
        </is>
      </c>
    </row>
    <row r="1509">
      <c r="A1509" t="inlineStr">
        <is>
          <t>EM000093</t>
        </is>
      </c>
      <c r="B1509" t="inlineStr">
        <is>
          <t>CARLOS ALVES DE AZEVEDO</t>
        </is>
      </c>
      <c r="C1509" t="n">
        <v>2114340000</v>
      </c>
      <c r="D1509" t="inlineStr">
        <is>
          <t>Nordex Employees</t>
        </is>
      </c>
      <c r="E1509" t="n">
        <v>5005216</v>
      </c>
      <c r="F1509" t="inlineStr">
        <is>
          <t>22724</t>
        </is>
      </c>
      <c r="G1509" t="inlineStr">
        <is>
          <t>KR</t>
        </is>
      </c>
      <c r="H1509" s="12" t="n">
        <v>-1524.06</v>
      </c>
      <c r="I1509" s="17" t="n">
        <v>45117</v>
      </c>
      <c r="J1509" s="17" t="n">
        <v>45147</v>
      </c>
      <c r="K1509" t="inlineStr">
        <is>
          <t>Fatura do fornecedor CARLOS ALVES DE AZEVEDO 22724</t>
        </is>
      </c>
    </row>
    <row r="1510">
      <c r="A1510" t="inlineStr">
        <is>
          <t>ICBRWA</t>
        </is>
      </c>
      <c r="B1510" t="inlineStr">
        <is>
          <t>NORDEX ENERGY BRASIL - COMERCIO E I</t>
        </is>
      </c>
      <c r="C1510" t="n">
        <v>2114340000</v>
      </c>
      <c r="D1510" t="inlineStr">
        <is>
          <t>Employee-Related Liabilities</t>
        </is>
      </c>
      <c r="E1510" t="n">
        <v>5011668</v>
      </c>
      <c r="F1510" t="inlineStr">
        <is>
          <t>FE0108072026</t>
        </is>
      </c>
      <c r="G1510" t="inlineStr">
        <is>
          <t>KR</t>
        </is>
      </c>
      <c r="H1510" s="12" t="n">
        <v>-132869</v>
      </c>
      <c r="I1510" s="17" t="n">
        <v>46203</v>
      </c>
      <c r="J1510" s="17" t="n">
        <v>46211</v>
      </c>
      <c r="K1510" t="inlineStr">
        <is>
          <t>ESTORNAR PERIODO FECHADO</t>
        </is>
      </c>
    </row>
    <row r="1511">
      <c r="A1511" t="inlineStr">
        <is>
          <t>ICBRWA</t>
        </is>
      </c>
      <c r="B1511" t="inlineStr">
        <is>
          <t>NORDEX ENERGY BRASIL - COMERCIO E I</t>
        </is>
      </c>
      <c r="C1511" t="n">
        <v>2114340000</v>
      </c>
      <c r="D1511" t="inlineStr">
        <is>
          <t>Employee-Related Liabilities</t>
        </is>
      </c>
      <c r="E1511" t="n">
        <v>5015367</v>
      </c>
      <c r="F1511" t="inlineStr">
        <is>
          <t>CONCILIAÇÃO IC</t>
        </is>
      </c>
      <c r="G1511" t="inlineStr">
        <is>
          <t>KR</t>
        </is>
      </c>
      <c r="H1511" s="12" t="n">
        <v>-896715.03</v>
      </c>
      <c r="I1511" s="17" t="n">
        <v>45260</v>
      </c>
      <c r="J1511" s="17" t="n">
        <v>45260</v>
      </c>
      <c r="K1511" t="inlineStr">
        <is>
          <t>Vendor Invoice NORDEX ENERGY BRASIL - COMERCIO E I</t>
        </is>
      </c>
    </row>
    <row r="1512">
      <c r="A1512" t="inlineStr">
        <is>
          <t>ICBRWA</t>
        </is>
      </c>
      <c r="B1512" t="inlineStr">
        <is>
          <t>NORDEX ENERGY BRASIL - COMERCIO E I</t>
        </is>
      </c>
      <c r="C1512" t="n">
        <v>2114340000</v>
      </c>
      <c r="D1512" t="inlineStr">
        <is>
          <t>Employee-Related Liabilities</t>
        </is>
      </c>
      <c r="E1512" t="n">
        <v>5015870</v>
      </c>
      <c r="F1512" t="inlineStr">
        <is>
          <t>F02092026</t>
        </is>
      </c>
      <c r="G1512" t="inlineStr">
        <is>
          <t>KR</t>
        </is>
      </c>
      <c r="H1512" s="12" t="n">
        <v>-56519</v>
      </c>
      <c r="I1512" s="17" t="n">
        <v>46259</v>
      </c>
      <c r="J1512" s="17" t="n">
        <v>46267</v>
      </c>
      <c r="K1512" t="inlineStr">
        <is>
          <t>Folha de pagamento | F02092026</t>
        </is>
      </c>
    </row>
    <row r="1513">
      <c r="A1513" t="inlineStr">
        <is>
          <t>EM000095</t>
        </is>
      </c>
      <c r="B1513" t="inlineStr">
        <is>
          <t>DEYMSON ROBSON AMARAL BEZERRA</t>
        </is>
      </c>
      <c r="C1513" t="n">
        <v>2114340000</v>
      </c>
      <c r="D1513" t="inlineStr">
        <is>
          <t>Nordex Employees</t>
        </is>
      </c>
      <c r="E1513" t="n">
        <v>5015937</v>
      </c>
      <c r="F1513" t="inlineStr">
        <is>
          <t>54777</t>
        </is>
      </c>
      <c r="G1513" t="inlineStr">
        <is>
          <t>KR</t>
        </is>
      </c>
      <c r="H1513" s="12" t="n">
        <v>-245.27</v>
      </c>
      <c r="I1513" s="17" t="n">
        <v>46260</v>
      </c>
      <c r="J1513" s="17" t="n">
        <v>46267</v>
      </c>
      <c r="K1513" t="inlineStr">
        <is>
          <t>Vendor Invoice DEYMSON ROBSON AMARAL BEZERRA 54777</t>
        </is>
      </c>
    </row>
    <row r="1514">
      <c r="A1514" t="inlineStr">
        <is>
          <t>EM000015</t>
        </is>
      </c>
      <c r="B1514" t="inlineStr">
        <is>
          <t>IZACK DEYVID DIAS VIANA</t>
        </is>
      </c>
      <c r="C1514" t="n">
        <v>2114340000</v>
      </c>
      <c r="D1514" t="inlineStr">
        <is>
          <t>Nordex Employees</t>
        </is>
      </c>
      <c r="E1514" t="n">
        <v>5016113</v>
      </c>
      <c r="F1514" t="inlineStr">
        <is>
          <t>FF 07.2026</t>
        </is>
      </c>
      <c r="G1514" t="inlineStr">
        <is>
          <t>KR</t>
        </is>
      </c>
      <c r="H1514" s="12" t="n">
        <v>-1687.3</v>
      </c>
      <c r="I1514" s="17" t="n">
        <v>46262</v>
      </c>
      <c r="J1514" s="17" t="n">
        <v>46267</v>
      </c>
      <c r="K1514" t="inlineStr">
        <is>
          <t>Fatura do fornecedor IZACK DEYVID DIAS VIANA FF 07</t>
        </is>
      </c>
    </row>
    <row r="1515">
      <c r="A1515" t="inlineStr">
        <is>
          <t>EM000440</t>
        </is>
      </c>
      <c r="B1515" t="inlineStr">
        <is>
          <t>DIEGO LEON DA SILVA BARACHO</t>
        </is>
      </c>
      <c r="C1515" t="n">
        <v>2114340000</v>
      </c>
      <c r="D1515" t="inlineStr">
        <is>
          <t>Nordex Employees</t>
        </is>
      </c>
      <c r="E1515" t="n">
        <v>5016143</v>
      </c>
      <c r="F1515" t="inlineStr">
        <is>
          <t>FF 07.26 - 08.26</t>
        </is>
      </c>
      <c r="G1515" t="inlineStr">
        <is>
          <t>KR</t>
        </is>
      </c>
      <c r="H1515" s="12" t="n">
        <v>-1641.92</v>
      </c>
      <c r="I1515" s="17" t="n">
        <v>46262</v>
      </c>
      <c r="J1515" s="17" t="n">
        <v>46267</v>
      </c>
      <c r="K1515" t="inlineStr">
        <is>
          <t>Fatura do fornecedor DIEGO LEON DA SILVA BARACHO F</t>
        </is>
      </c>
    </row>
    <row r="1516">
      <c r="A1516" t="inlineStr">
        <is>
          <t>EM000515</t>
        </is>
      </c>
      <c r="B1516" t="inlineStr">
        <is>
          <t>EVERTHON RENEBER PEREIRA DA SILVA</t>
        </is>
      </c>
      <c r="C1516" t="n">
        <v>2114340000</v>
      </c>
      <c r="D1516" t="inlineStr">
        <is>
          <t>Nordex Employees</t>
        </is>
      </c>
      <c r="E1516" t="n">
        <v>5016155</v>
      </c>
      <c r="F1516" t="inlineStr">
        <is>
          <t>FF 08.2026</t>
        </is>
      </c>
      <c r="G1516" t="inlineStr">
        <is>
          <t>KR</t>
        </is>
      </c>
      <c r="H1516" s="12" t="n">
        <v>-1203.72</v>
      </c>
      <c r="I1516" s="17" t="n">
        <v>46262</v>
      </c>
      <c r="J1516" s="17" t="n">
        <v>46267</v>
      </c>
      <c r="K1516" t="inlineStr">
        <is>
          <t>Fatura do fornecedor EVERTHON RENEBER PEREIRA DA S</t>
        </is>
      </c>
    </row>
    <row r="1517">
      <c r="A1517" t="inlineStr">
        <is>
          <t>EM000006</t>
        </is>
      </c>
      <c r="B1517" t="inlineStr">
        <is>
          <t>FERNANDA CYNTHIA DA SILVA</t>
        </is>
      </c>
      <c r="C1517" t="n">
        <v>2114340000</v>
      </c>
      <c r="D1517" t="inlineStr">
        <is>
          <t>Nordex Employees</t>
        </is>
      </c>
      <c r="E1517" t="n">
        <v>5016158</v>
      </c>
      <c r="F1517" t="inlineStr">
        <is>
          <t>FF 08.2026</t>
        </is>
      </c>
      <c r="G1517" t="inlineStr">
        <is>
          <t>KR</t>
        </is>
      </c>
      <c r="H1517" s="12" t="n">
        <v>-706.42</v>
      </c>
      <c r="I1517" s="17" t="n">
        <v>46262</v>
      </c>
      <c r="J1517" s="17" t="n">
        <v>46267</v>
      </c>
      <c r="K1517" t="inlineStr">
        <is>
          <t>Fatura do fornecedor FERNANDA CYNTHIA DA SILVA FF</t>
        </is>
      </c>
    </row>
    <row r="1518">
      <c r="A1518" t="inlineStr">
        <is>
          <t>EM000095</t>
        </is>
      </c>
      <c r="B1518" t="inlineStr">
        <is>
          <t>DEYMSON ROBSON AMARAL BEZERRA</t>
        </is>
      </c>
      <c r="C1518" t="n">
        <v>2114340000</v>
      </c>
      <c r="D1518" t="inlineStr">
        <is>
          <t>Nordex Employees</t>
        </is>
      </c>
      <c r="E1518" t="n">
        <v>5016159</v>
      </c>
      <c r="F1518" t="inlineStr">
        <is>
          <t>55860</t>
        </is>
      </c>
      <c r="G1518" t="inlineStr">
        <is>
          <t>KR</t>
        </is>
      </c>
      <c r="H1518" s="12" t="n">
        <v>-275.1</v>
      </c>
      <c r="I1518" s="17" t="n">
        <v>46265</v>
      </c>
      <c r="J1518" s="17" t="n">
        <v>46267</v>
      </c>
      <c r="K1518" t="inlineStr">
        <is>
          <t>Vendor Invoice DEYMSON ROBSON AMARAL BEZERRA 55860</t>
        </is>
      </c>
    </row>
    <row r="1519">
      <c r="A1519" t="inlineStr">
        <is>
          <t>EM000095</t>
        </is>
      </c>
      <c r="B1519" t="inlineStr">
        <is>
          <t>DEYMSON ROBSON AMARAL BEZERRA</t>
        </is>
      </c>
      <c r="C1519" t="n">
        <v>2114340000</v>
      </c>
      <c r="D1519" t="inlineStr">
        <is>
          <t>Nordex Employees</t>
        </is>
      </c>
      <c r="E1519" t="n">
        <v>5016160</v>
      </c>
      <c r="F1519" t="inlineStr">
        <is>
          <t>55858</t>
        </is>
      </c>
      <c r="G1519" t="inlineStr">
        <is>
          <t>KR</t>
        </is>
      </c>
      <c r="H1519" s="12" t="n">
        <v>-260.1</v>
      </c>
      <c r="I1519" s="17" t="n">
        <v>46265</v>
      </c>
      <c r="J1519" s="17" t="n">
        <v>46267</v>
      </c>
      <c r="K1519" t="inlineStr">
        <is>
          <t>Vendor Invoice DEYMSON ROBSON AMARAL BEZERRA 55858</t>
        </is>
      </c>
    </row>
    <row r="1520">
      <c r="A1520" t="inlineStr">
        <is>
          <t>EM000795</t>
        </is>
      </c>
      <c r="B1520" t="inlineStr">
        <is>
          <t>Gian Walter dos Santos</t>
        </is>
      </c>
      <c r="C1520" t="n">
        <v>2114340000</v>
      </c>
      <c r="D1520" t="inlineStr">
        <is>
          <t>Nordex Employees</t>
        </is>
      </c>
      <c r="E1520" t="n">
        <v>5016161</v>
      </c>
      <c r="F1520" t="inlineStr">
        <is>
          <t>51041</t>
        </is>
      </c>
      <c r="G1520" t="inlineStr">
        <is>
          <t>KR</t>
        </is>
      </c>
      <c r="H1520" s="12" t="n">
        <v>-169</v>
      </c>
      <c r="I1520" s="17" t="n">
        <v>46265</v>
      </c>
      <c r="J1520" s="17" t="n">
        <v>46267</v>
      </c>
      <c r="K1520" t="inlineStr">
        <is>
          <t>Vendor Invoice Gian Walter dos Santos 51041</t>
        </is>
      </c>
    </row>
    <row r="1521">
      <c r="A1521" t="inlineStr">
        <is>
          <t>EM000868</t>
        </is>
      </c>
      <c r="B1521" t="inlineStr">
        <is>
          <t>BERNARDO SÉRGIO MENDONÇA</t>
        </is>
      </c>
      <c r="C1521" t="n">
        <v>2114340000</v>
      </c>
      <c r="D1521" t="inlineStr">
        <is>
          <t>Nordex Employees</t>
        </is>
      </c>
      <c r="E1521" t="n">
        <v>5016162</v>
      </c>
      <c r="F1521" t="inlineStr">
        <is>
          <t>55847</t>
        </is>
      </c>
      <c r="G1521" t="inlineStr">
        <is>
          <t>KR</t>
        </is>
      </c>
      <c r="H1521" s="12" t="n">
        <v>-891.71</v>
      </c>
      <c r="I1521" s="17" t="n">
        <v>46265</v>
      </c>
      <c r="J1521" s="17" t="n">
        <v>46267</v>
      </c>
      <c r="K1521" t="inlineStr">
        <is>
          <t>Vendor Invoice BERNARDO SÉRGIO MENDONÇA 55847</t>
        </is>
      </c>
    </row>
    <row r="1522">
      <c r="A1522" t="inlineStr">
        <is>
          <t>EM000015</t>
        </is>
      </c>
      <c r="B1522" t="inlineStr">
        <is>
          <t>IZACK DEYVID DIAS VIANA</t>
        </is>
      </c>
      <c r="C1522" t="n">
        <v>2114340000</v>
      </c>
      <c r="D1522" t="inlineStr">
        <is>
          <t>Nordex Employees</t>
        </is>
      </c>
      <c r="E1522" t="n">
        <v>5016163</v>
      </c>
      <c r="F1522" t="inlineStr">
        <is>
          <t>55845</t>
        </is>
      </c>
      <c r="G1522" t="inlineStr">
        <is>
          <t>KR</t>
        </is>
      </c>
      <c r="H1522" s="12" t="n">
        <v>-1555.77</v>
      </c>
      <c r="I1522" s="17" t="n">
        <v>46265</v>
      </c>
      <c r="J1522" s="17" t="n">
        <v>46267</v>
      </c>
      <c r="K1522" t="inlineStr">
        <is>
          <t>Vendor Invoice IZACK DEYVID DIAS VIANA 55845</t>
        </is>
      </c>
    </row>
    <row r="1523">
      <c r="A1523" t="inlineStr">
        <is>
          <t>EM000609</t>
        </is>
      </c>
      <c r="B1523" t="inlineStr">
        <is>
          <t>ROBSON RUBELTON RODIGUES RAMOS JUNIOR</t>
        </is>
      </c>
      <c r="C1523" t="n">
        <v>2114340000</v>
      </c>
      <c r="D1523" t="inlineStr">
        <is>
          <t>Nordex Employees</t>
        </is>
      </c>
      <c r="E1523" t="n">
        <v>5016164</v>
      </c>
      <c r="F1523" t="inlineStr">
        <is>
          <t>54774</t>
        </is>
      </c>
      <c r="G1523" t="inlineStr">
        <is>
          <t>KR</t>
        </is>
      </c>
      <c r="H1523" s="12" t="n">
        <v>-1081.88</v>
      </c>
      <c r="I1523" s="17" t="n">
        <v>46265</v>
      </c>
      <c r="J1523" s="17" t="n">
        <v>46267</v>
      </c>
      <c r="K1523" t="inlineStr">
        <is>
          <t>Vendor Invoice ROBSON RUBELTON RODIGUES RAMOS JUNI</t>
        </is>
      </c>
    </row>
    <row r="1524">
      <c r="A1524" t="inlineStr">
        <is>
          <t>EM000973</t>
        </is>
      </c>
      <c r="B1524" t="inlineStr">
        <is>
          <t>JACKSON LUCAS DA SILVA</t>
        </is>
      </c>
      <c r="C1524" t="n">
        <v>2114340000</v>
      </c>
      <c r="D1524" t="inlineStr">
        <is>
          <t>Nordex Employees</t>
        </is>
      </c>
      <c r="E1524" t="n">
        <v>5016165</v>
      </c>
      <c r="F1524" t="inlineStr">
        <is>
          <t>55835</t>
        </is>
      </c>
      <c r="G1524" t="inlineStr">
        <is>
          <t>KR</t>
        </is>
      </c>
      <c r="H1524" s="12" t="n">
        <v>-3900</v>
      </c>
      <c r="I1524" s="17" t="n">
        <v>46265</v>
      </c>
      <c r="J1524" s="17" t="n">
        <v>46267</v>
      </c>
      <c r="K1524" t="inlineStr">
        <is>
          <t>Vendor Invoice JACKSON LUCAS DA SILVA 55835</t>
        </is>
      </c>
    </row>
    <row r="1525">
      <c r="A1525" t="inlineStr">
        <is>
          <t>EM000753</t>
        </is>
      </c>
      <c r="B1525" t="inlineStr">
        <is>
          <t>Thiago Maxwel da Costa Soares</t>
        </is>
      </c>
      <c r="C1525" t="n">
        <v>2114340000</v>
      </c>
      <c r="D1525" t="inlineStr">
        <is>
          <t>Nordex Employees</t>
        </is>
      </c>
      <c r="E1525" t="n">
        <v>5016166</v>
      </c>
      <c r="F1525" t="inlineStr">
        <is>
          <t>54785</t>
        </is>
      </c>
      <c r="G1525" t="inlineStr">
        <is>
          <t>KR</t>
        </is>
      </c>
      <c r="H1525" s="12" t="n">
        <v>-4034.89</v>
      </c>
      <c r="I1525" s="17" t="n">
        <v>46265</v>
      </c>
      <c r="J1525" s="17" t="n">
        <v>46267</v>
      </c>
      <c r="K1525" t="inlineStr">
        <is>
          <t>Vendor Invoice Thiago Maxwel da Costa Soares 54785</t>
        </is>
      </c>
    </row>
    <row r="1526">
      <c r="A1526" t="inlineStr">
        <is>
          <t>EM000776</t>
        </is>
      </c>
      <c r="B1526" t="inlineStr">
        <is>
          <t>Natanael Gonçalves</t>
        </is>
      </c>
      <c r="C1526" t="n">
        <v>2114340000</v>
      </c>
      <c r="D1526" t="inlineStr">
        <is>
          <t>Nordex Employees</t>
        </is>
      </c>
      <c r="E1526" t="n">
        <v>5016167</v>
      </c>
      <c r="F1526" t="inlineStr">
        <is>
          <t>54828</t>
        </is>
      </c>
      <c r="G1526" t="inlineStr">
        <is>
          <t>KR</t>
        </is>
      </c>
      <c r="H1526" s="12" t="n">
        <v>-4565.03</v>
      </c>
      <c r="I1526" s="17" t="n">
        <v>46265</v>
      </c>
      <c r="J1526" s="17" t="n">
        <v>46267</v>
      </c>
      <c r="K1526" t="inlineStr">
        <is>
          <t>Vendor Invoice Natanael Gonçalves 54828</t>
        </is>
      </c>
    </row>
    <row r="1527">
      <c r="A1527" t="inlineStr">
        <is>
          <t>EM000582</t>
        </is>
      </c>
      <c r="B1527" t="inlineStr">
        <is>
          <t>FRANCILIO FRANCISCO DE ARAUJO</t>
        </is>
      </c>
      <c r="C1527" t="n">
        <v>2114340000</v>
      </c>
      <c r="D1527" t="inlineStr">
        <is>
          <t>Nordex Employees</t>
        </is>
      </c>
      <c r="E1527" t="n">
        <v>5016168</v>
      </c>
      <c r="F1527" t="inlineStr">
        <is>
          <t>54827</t>
        </is>
      </c>
      <c r="G1527" t="inlineStr">
        <is>
          <t>KR</t>
        </is>
      </c>
      <c r="H1527" s="12" t="n">
        <v>-570</v>
      </c>
      <c r="I1527" s="17" t="n">
        <v>46265</v>
      </c>
      <c r="J1527" s="17" t="n">
        <v>46267</v>
      </c>
      <c r="K1527" t="inlineStr">
        <is>
          <t>Vendor Invoice FRANCILIO FRANCISCO DE ARAUJO 54827</t>
        </is>
      </c>
    </row>
    <row r="1528">
      <c r="A1528" t="inlineStr">
        <is>
          <t>EM000582</t>
        </is>
      </c>
      <c r="B1528" t="inlineStr">
        <is>
          <t>FRANCILIO FRANCISCO DE ARAUJO</t>
        </is>
      </c>
      <c r="C1528" t="n">
        <v>2114340000</v>
      </c>
      <c r="D1528" t="inlineStr">
        <is>
          <t>Nordex Employees</t>
        </is>
      </c>
      <c r="E1528" t="n">
        <v>5016171</v>
      </c>
      <c r="F1528" t="inlineStr">
        <is>
          <t>53734</t>
        </is>
      </c>
      <c r="G1528" t="inlineStr">
        <is>
          <t>KR</t>
        </is>
      </c>
      <c r="H1528" s="12" t="n">
        <v>-650</v>
      </c>
      <c r="I1528" s="17" t="n">
        <v>46265</v>
      </c>
      <c r="J1528" s="17" t="n">
        <v>46267</v>
      </c>
      <c r="K1528" t="inlineStr">
        <is>
          <t>Complemento do documento 5015012</t>
        </is>
      </c>
    </row>
    <row r="1529">
      <c r="A1529" t="inlineStr">
        <is>
          <t>EM000025</t>
        </is>
      </c>
      <c r="B1529" t="inlineStr">
        <is>
          <t>DANIEL SPARREMBERGER SHWARTZHAUPT</t>
        </is>
      </c>
      <c r="C1529" t="n">
        <v>2114340000</v>
      </c>
      <c r="D1529" t="inlineStr">
        <is>
          <t>Nordex Employees</t>
        </is>
      </c>
      <c r="E1529" t="n">
        <v>5016172</v>
      </c>
      <c r="F1529" t="inlineStr">
        <is>
          <t>54803</t>
        </is>
      </c>
      <c r="G1529" t="inlineStr">
        <is>
          <t>KR</t>
        </is>
      </c>
      <c r="H1529" s="12" t="n">
        <v>-170.95</v>
      </c>
      <c r="I1529" s="17" t="n">
        <v>46265</v>
      </c>
      <c r="J1529" s="17" t="n">
        <v>46267</v>
      </c>
      <c r="K1529" t="inlineStr">
        <is>
          <t>Vendor Invoice DANIEL SPARREMBERGER SHWARTZHAUPT 5</t>
        </is>
      </c>
    </row>
    <row r="1530">
      <c r="A1530" t="inlineStr">
        <is>
          <t>EM000426</t>
        </is>
      </c>
      <c r="B1530" t="inlineStr">
        <is>
          <t>NAIBHY ADELY GARCIA RODRIGUES</t>
        </is>
      </c>
      <c r="C1530" t="n">
        <v>2114340000</v>
      </c>
      <c r="D1530" t="inlineStr">
        <is>
          <t>Nordex Employees</t>
        </is>
      </c>
      <c r="E1530" t="n">
        <v>5016173</v>
      </c>
      <c r="F1530" t="inlineStr">
        <is>
          <t>53736</t>
        </is>
      </c>
      <c r="G1530" t="inlineStr">
        <is>
          <t>KR</t>
        </is>
      </c>
      <c r="H1530" s="12" t="n">
        <v>-888.39</v>
      </c>
      <c r="I1530" s="17" t="n">
        <v>46265</v>
      </c>
      <c r="J1530" s="17" t="n">
        <v>46267</v>
      </c>
      <c r="K1530" t="inlineStr">
        <is>
          <t>Vendor Invoice NAIBHY ADELY GARCIA RODRIGUES 53736</t>
        </is>
      </c>
    </row>
    <row r="1531">
      <c r="A1531" t="inlineStr">
        <is>
          <t>EM000753</t>
        </is>
      </c>
      <c r="B1531" t="inlineStr">
        <is>
          <t>Thiago Maxwel da Costa Soares</t>
        </is>
      </c>
      <c r="C1531" t="n">
        <v>2114340000</v>
      </c>
      <c r="D1531" t="inlineStr">
        <is>
          <t>Nordex Employees</t>
        </is>
      </c>
      <c r="E1531" t="n">
        <v>5016174</v>
      </c>
      <c r="F1531" t="inlineStr">
        <is>
          <t>53660</t>
        </is>
      </c>
      <c r="G1531" t="inlineStr">
        <is>
          <t>KR</t>
        </is>
      </c>
      <c r="H1531" s="12" t="n">
        <v>-1689.78</v>
      </c>
      <c r="I1531" s="17" t="n">
        <v>46265</v>
      </c>
      <c r="J1531" s="17" t="n">
        <v>46267</v>
      </c>
      <c r="K1531" t="inlineStr">
        <is>
          <t>Vendor Invoice Thiago Maxwel da Costa Soares 53660</t>
        </is>
      </c>
    </row>
    <row r="1532">
      <c r="A1532" t="inlineStr">
        <is>
          <t>EM000635</t>
        </is>
      </c>
      <c r="B1532" t="inlineStr">
        <is>
          <t>MARLON MICHEL MACHADO RIBEIRO</t>
        </is>
      </c>
      <c r="C1532" t="n">
        <v>2114340000</v>
      </c>
      <c r="D1532" t="inlineStr">
        <is>
          <t>Nordex Employees</t>
        </is>
      </c>
      <c r="E1532" t="n">
        <v>5023303</v>
      </c>
      <c r="F1532" t="inlineStr">
        <is>
          <t>ADIANTAMENTO FF</t>
        </is>
      </c>
      <c r="G1532" t="inlineStr">
        <is>
          <t>KR</t>
        </is>
      </c>
      <c r="H1532" s="12" t="n">
        <v>2000</v>
      </c>
      <c r="I1532" s="17" t="n">
        <v>45467</v>
      </c>
      <c r="J1532" s="17" t="n">
        <v>45467</v>
      </c>
      <c r="K1532" t="inlineStr">
        <is>
          <t>Fatura do fornecedor MARLON MICHEL MACHADO RIBEIRO</t>
        </is>
      </c>
    </row>
    <row r="1533">
      <c r="A1533" t="inlineStr">
        <is>
          <t>EM000262</t>
        </is>
      </c>
      <c r="B1533" t="inlineStr">
        <is>
          <t>ALLYSSON LAURENTINO DE MELO RAMOS</t>
        </is>
      </c>
      <c r="C1533" t="n">
        <v>2114340000</v>
      </c>
      <c r="D1533" t="inlineStr">
        <is>
          <t>Nordex Employees</t>
        </is>
      </c>
      <c r="E1533" t="n">
        <v>1100000936</v>
      </c>
      <c r="F1533" t="inlineStr">
        <is>
          <t>30401 E 28797</t>
        </is>
      </c>
      <c r="G1533" t="inlineStr">
        <is>
          <t>AB</t>
        </is>
      </c>
      <c r="H1533" s="12" t="n">
        <v>-1040</v>
      </c>
      <c r="I1533" s="17" t="n">
        <v>45711</v>
      </c>
      <c r="J1533" s="17" t="n">
        <v>45711</v>
      </c>
      <c r="K1533" t="inlineStr">
        <is>
          <t>Clearing document ALLYSSON LAURENTINO DE MELO RAMO</t>
        </is>
      </c>
    </row>
    <row r="1534">
      <c r="A1534" t="inlineStr">
        <is>
          <t>EM000887</t>
        </is>
      </c>
      <c r="B1534" t="inlineStr">
        <is>
          <t>WANDERLEY RODRIGUES DO BOMFIM JUNIOR</t>
        </is>
      </c>
      <c r="C1534" t="n">
        <v>2114340000</v>
      </c>
      <c r="D1534" t="inlineStr">
        <is>
          <t>Nordex Employees</t>
        </is>
      </c>
      <c r="E1534" t="n">
        <v>1100012934</v>
      </c>
      <c r="F1534" t="inlineStr">
        <is>
          <t>43650</t>
        </is>
      </c>
      <c r="G1534" t="inlineStr">
        <is>
          <t>AB</t>
        </is>
      </c>
      <c r="H1534" s="12" t="n">
        <v>-1300</v>
      </c>
      <c r="I1534" s="17" t="n">
        <v>46171</v>
      </c>
      <c r="J1534" s="17" t="n">
        <v>46171</v>
      </c>
      <c r="K1534" t="inlineStr">
        <is>
          <t>Clearing document WANDERLEY RODRIGUES DO BOMFIM JU</t>
        </is>
      </c>
    </row>
    <row r="1535">
      <c r="A1535" t="inlineStr">
        <is>
          <t>EM000777</t>
        </is>
      </c>
      <c r="B1535" t="inlineStr">
        <is>
          <t>LEONARDO CENTOAMORE</t>
        </is>
      </c>
      <c r="C1535" t="n">
        <v>2114340000</v>
      </c>
      <c r="D1535" t="inlineStr">
        <is>
          <t>Nordex Employees</t>
        </is>
      </c>
      <c r="E1535" t="n">
        <v>1100021541</v>
      </c>
      <c r="F1535" t="inlineStr">
        <is>
          <t>52441</t>
        </is>
      </c>
      <c r="G1535" t="inlineStr">
        <is>
          <t>AB</t>
        </is>
      </c>
      <c r="H1535" s="12" t="n">
        <v>-252.78</v>
      </c>
      <c r="I1535" s="17" t="n">
        <v>46259</v>
      </c>
      <c r="J1535" s="17" t="n">
        <v>46259</v>
      </c>
      <c r="K1535" t="inlineStr">
        <is>
          <t>Clearing document LEONARDO CENTOAMORE 52441</t>
        </is>
      </c>
    </row>
    <row r="1536">
      <c r="A1536" t="inlineStr">
        <is>
          <t>EM000851</t>
        </is>
      </c>
      <c r="B1536" t="inlineStr">
        <is>
          <t>SAULLO SILVA JANUARIO</t>
        </is>
      </c>
      <c r="C1536" t="n">
        <v>2114340000</v>
      </c>
      <c r="D1536" t="inlineStr">
        <is>
          <t>Nordex Employees</t>
        </is>
      </c>
      <c r="E1536" t="n">
        <v>1100021688</v>
      </c>
      <c r="F1536" t="inlineStr">
        <is>
          <t>53680</t>
        </is>
      </c>
      <c r="G1536" t="inlineStr">
        <is>
          <t>AB</t>
        </is>
      </c>
      <c r="H1536" s="12" t="n">
        <v>-307.89</v>
      </c>
      <c r="I1536" s="17" t="n">
        <v>46260</v>
      </c>
      <c r="J1536" s="17" t="n">
        <v>46260</v>
      </c>
      <c r="K1536" t="inlineStr">
        <is>
          <t>Clearing document SAULLO SILVA JANUARIO 53680</t>
        </is>
      </c>
    </row>
    <row r="1537">
      <c r="A1537" t="inlineStr">
        <is>
          <t>EM000010</t>
        </is>
      </c>
      <c r="B1537" t="inlineStr">
        <is>
          <t>FABIANO DAYBSON DA SILVA CAMARA</t>
        </is>
      </c>
      <c r="C1537" t="n">
        <v>2114340000</v>
      </c>
      <c r="D1537" t="inlineStr">
        <is>
          <t>Nordex Employees</t>
        </is>
      </c>
      <c r="E1537" t="n">
        <v>1100022355</v>
      </c>
      <c r="F1537" t="inlineStr">
        <is>
          <t>53737</t>
        </is>
      </c>
      <c r="G1537" t="inlineStr">
        <is>
          <t>AB</t>
        </is>
      </c>
      <c r="H1537" s="12" t="n">
        <v>-80</v>
      </c>
      <c r="I1537" s="17" t="n">
        <v>46265</v>
      </c>
      <c r="J1537" s="17" t="n">
        <v>46265</v>
      </c>
      <c r="K1537" t="inlineStr">
        <is>
          <t>Clearing document FABIANO DAYBSON DA SILVA CAMARA</t>
        </is>
      </c>
    </row>
    <row r="1538">
      <c r="A1538" t="inlineStr">
        <is>
          <t>EM000783</t>
        </is>
      </c>
      <c r="B1538" t="inlineStr">
        <is>
          <t>JEYSON DE OLIVEIRA BARROS</t>
        </is>
      </c>
      <c r="C1538" t="n">
        <v>2114340000</v>
      </c>
      <c r="D1538" t="inlineStr">
        <is>
          <t>Nordex Employees</t>
        </is>
      </c>
      <c r="E1538" t="n">
        <v>1100022356</v>
      </c>
      <c r="F1538" t="inlineStr">
        <is>
          <t>48778</t>
        </is>
      </c>
      <c r="G1538" t="inlineStr">
        <is>
          <t>AB</t>
        </is>
      </c>
      <c r="H1538" s="12" t="n">
        <v>-495.62</v>
      </c>
      <c r="I1538" s="17" t="n">
        <v>46265</v>
      </c>
      <c r="J1538" s="17" t="n">
        <v>46265</v>
      </c>
      <c r="K1538" t="inlineStr">
        <is>
          <t>Clearing document JEYSON DE OLIVEIRA BARROS 48778</t>
        </is>
      </c>
    </row>
    <row r="1539">
      <c r="A1539" t="inlineStr">
        <is>
          <t>EM000753</t>
        </is>
      </c>
      <c r="B1539" t="inlineStr">
        <is>
          <t>Thiago Maxwel da Costa Soares</t>
        </is>
      </c>
      <c r="C1539" t="n">
        <v>2114340000</v>
      </c>
      <c r="D1539" t="inlineStr">
        <is>
          <t>Nordex Employees</t>
        </is>
      </c>
      <c r="E1539" t="n">
        <v>1100022357</v>
      </c>
      <c r="F1539" t="inlineStr">
        <is>
          <t>53574</t>
        </is>
      </c>
      <c r="G1539" t="inlineStr">
        <is>
          <t>AB</t>
        </is>
      </c>
      <c r="H1539" s="12" t="n">
        <v>-320</v>
      </c>
      <c r="I1539" s="17" t="n">
        <v>46265</v>
      </c>
      <c r="J1539" s="17" t="n">
        <v>46265</v>
      </c>
      <c r="K1539" t="inlineStr">
        <is>
          <t>Clearing document Thiago Maxwel da Costa Soares 53</t>
        </is>
      </c>
    </row>
    <row r="1540">
      <c r="A1540" t="inlineStr">
        <is>
          <t>EM000417</t>
        </is>
      </c>
      <c r="B1540" t="inlineStr">
        <is>
          <t>VICTOR DOS SANTOS DE JESUS</t>
        </is>
      </c>
      <c r="C1540" t="n">
        <v>2114340000</v>
      </c>
      <c r="D1540" t="inlineStr">
        <is>
          <t>Nordex Employees</t>
        </is>
      </c>
      <c r="E1540" t="n">
        <v>1100022358</v>
      </c>
      <c r="F1540" t="inlineStr">
        <is>
          <t>53726</t>
        </is>
      </c>
      <c r="G1540" t="inlineStr">
        <is>
          <t>AB</t>
        </is>
      </c>
      <c r="H1540" s="12" t="n">
        <v>-80</v>
      </c>
      <c r="I1540" s="17" t="n">
        <v>46265</v>
      </c>
      <c r="J1540" s="17" t="n">
        <v>46265</v>
      </c>
      <c r="K1540" t="inlineStr">
        <is>
          <t>Clearing document VICTOR DOS SANTOS DE JESUS 53726</t>
        </is>
      </c>
    </row>
    <row r="1541">
      <c r="A1541" t="inlineStr">
        <is>
          <t>EM000561</t>
        </is>
      </c>
      <c r="B1541" t="inlineStr">
        <is>
          <t>GEOVANE PASSOS LOPES</t>
        </is>
      </c>
      <c r="C1541" t="n">
        <v>2114340000</v>
      </c>
      <c r="D1541" t="inlineStr">
        <is>
          <t>Nordex Employees</t>
        </is>
      </c>
      <c r="E1541" t="n">
        <v>1100022359</v>
      </c>
      <c r="F1541" t="inlineStr">
        <is>
          <t>51415</t>
        </is>
      </c>
      <c r="G1541" t="inlineStr">
        <is>
          <t>AB</t>
        </is>
      </c>
      <c r="H1541" s="12" t="n">
        <v>-295.94</v>
      </c>
      <c r="I1541" s="17" t="n">
        <v>46265</v>
      </c>
      <c r="J1541" s="17" t="n">
        <v>46265</v>
      </c>
      <c r="K1541" t="inlineStr">
        <is>
          <t>Clearing document GEOVANE PASSOS LOPES 51415</t>
        </is>
      </c>
    </row>
    <row r="1542">
      <c r="A1542" t="inlineStr">
        <is>
          <t>EM000034</t>
        </is>
      </c>
      <c r="B1542" t="inlineStr">
        <is>
          <t>WALLYSON HENRIQUE VIEIRA GALDINO</t>
        </is>
      </c>
      <c r="C1542" t="n">
        <v>2114340000</v>
      </c>
      <c r="D1542" t="inlineStr">
        <is>
          <t>Nordex Employees</t>
        </is>
      </c>
      <c r="E1542" t="n">
        <v>1100022363</v>
      </c>
      <c r="F1542" t="inlineStr">
        <is>
          <t>53631</t>
        </is>
      </c>
      <c r="G1542" t="inlineStr">
        <is>
          <t>AB</t>
        </is>
      </c>
      <c r="H1542" s="12" t="n">
        <v>-439.02</v>
      </c>
      <c r="I1542" s="17" t="n">
        <v>46265</v>
      </c>
      <c r="J1542" s="17" t="n">
        <v>46265</v>
      </c>
      <c r="K1542" t="inlineStr">
        <is>
          <t>Clearing document WALLYSON HENRIQUE VIEIRA GALDINO</t>
        </is>
      </c>
    </row>
    <row r="1543">
      <c r="A1543" t="inlineStr">
        <is>
          <t>EM000761</t>
        </is>
      </c>
      <c r="B1543" t="inlineStr">
        <is>
          <t>YNDIANE CARVALHO DOURADO</t>
        </is>
      </c>
      <c r="C1543" t="n">
        <v>2114340000</v>
      </c>
      <c r="D1543" t="inlineStr">
        <is>
          <t>Nordex Employees</t>
        </is>
      </c>
      <c r="E1543" t="n">
        <v>1100022369</v>
      </c>
      <c r="F1543" t="inlineStr">
        <is>
          <t>53622</t>
        </is>
      </c>
      <c r="G1543" t="inlineStr">
        <is>
          <t>AB</t>
        </is>
      </c>
      <c r="H1543" s="12" t="n">
        <v>-201.66</v>
      </c>
      <c r="I1543" s="17" t="n">
        <v>46265</v>
      </c>
      <c r="J1543" s="17" t="n">
        <v>46265</v>
      </c>
      <c r="K1543" t="inlineStr">
        <is>
          <t>Clearing document YNDIANE CARVALHO DOURADO 53622</t>
        </is>
      </c>
    </row>
    <row r="1544">
      <c r="A1544" t="inlineStr">
        <is>
          <t>EM000955</t>
        </is>
      </c>
      <c r="B1544" t="inlineStr">
        <is>
          <t>JOE MAGNI FREITAS SANTOS</t>
        </is>
      </c>
      <c r="C1544" t="n">
        <v>2114340000</v>
      </c>
      <c r="D1544" t="inlineStr">
        <is>
          <t>Nordex Employees</t>
        </is>
      </c>
      <c r="E1544" t="n">
        <v>1100023350</v>
      </c>
      <c r="F1544" t="inlineStr">
        <is>
          <t>ADT VISTO EUA</t>
        </is>
      </c>
      <c r="G1544" t="inlineStr">
        <is>
          <t>AB</t>
        </is>
      </c>
      <c r="H1544" s="12" t="n">
        <v>-91.69</v>
      </c>
      <c r="I1544" s="17" t="n">
        <v>45752</v>
      </c>
      <c r="J1544" s="17" t="n">
        <v>45752</v>
      </c>
      <c r="K1544" t="inlineStr">
        <is>
          <t>Partida individual JOE MAGNI FREITAS SANTOS ADT VI</t>
        </is>
      </c>
    </row>
    <row r="1545">
      <c r="A1545" t="inlineStr">
        <is>
          <t>EM000365</t>
        </is>
      </c>
      <c r="B1545" t="inlineStr">
        <is>
          <t>LUCIANA OLIVEIRA COSTA LOREDO</t>
        </is>
      </c>
      <c r="C1545" t="n">
        <v>2114340000</v>
      </c>
      <c r="D1545" t="inlineStr">
        <is>
          <t>Nordex Employees</t>
        </is>
      </c>
      <c r="E1545" t="n">
        <v>1100026465</v>
      </c>
      <c r="G1545" t="inlineStr">
        <is>
          <t>AB</t>
        </is>
      </c>
      <c r="H1545" s="12" t="n">
        <v>-465.92</v>
      </c>
      <c r="I1545" s="17" t="n">
        <v>45763</v>
      </c>
      <c r="J1545" s="17" t="n">
        <v>45775</v>
      </c>
      <c r="K1545" t="inlineStr">
        <is>
          <t>Partida individual LUCIANA OLIVEIRA COSTA LOREDO</t>
        </is>
      </c>
    </row>
    <row r="1546">
      <c r="A1546" t="inlineStr">
        <is>
          <t>EM003090</t>
        </is>
      </c>
      <c r="B1546" t="inlineStr">
        <is>
          <t>VALQUIRIA STRAHLR DA SILVA</t>
        </is>
      </c>
      <c r="C1546" t="n">
        <v>2114340000</v>
      </c>
      <c r="D1546" t="inlineStr">
        <is>
          <t>Nordex Employees</t>
        </is>
      </c>
      <c r="E1546" t="n">
        <v>1100050063</v>
      </c>
      <c r="F1546" t="inlineStr">
        <is>
          <t>REEMBOLSO VAL</t>
        </is>
      </c>
      <c r="G1546" t="inlineStr">
        <is>
          <t>AB</t>
        </is>
      </c>
      <c r="H1546" s="12" t="n">
        <v>-425.2</v>
      </c>
      <c r="I1546" s="17" t="n">
        <v>46013</v>
      </c>
      <c r="J1546" s="17" t="n">
        <v>46013</v>
      </c>
      <c r="K1546" t="inlineStr">
        <is>
          <t>Partida individual VALQUIRIA STRAHLR DA SILVA REEM</t>
        </is>
      </c>
    </row>
    <row r="1547">
      <c r="A1547" t="inlineStr">
        <is>
          <t>ICBRWA</t>
        </is>
      </c>
      <c r="B1547" t="inlineStr">
        <is>
          <t>NORDEX ENERGY BRASIL - COMERCIO E I</t>
        </is>
      </c>
      <c r="C1547" t="n">
        <v>2114340000</v>
      </c>
      <c r="D1547" t="inlineStr">
        <is>
          <t>Employee-Related Liabilities</t>
        </is>
      </c>
      <c r="E1547" t="n">
        <v>1300002970</v>
      </c>
      <c r="G1547" t="inlineStr">
        <is>
          <t>KZ</t>
        </is>
      </c>
      <c r="H1547" s="12" t="n">
        <v>60564.54</v>
      </c>
      <c r="I1547" s="17" t="n">
        <v>46128</v>
      </c>
      <c r="J1547" s="17" t="n">
        <v>46128</v>
      </c>
      <c r="K1547" t="inlineStr">
        <is>
          <t>Pagamento fornecedor NORDEX ENERGY BRASIL - COMERC</t>
        </is>
      </c>
    </row>
    <row r="1548">
      <c r="A1548" t="inlineStr">
        <is>
          <t>ICBRWA</t>
        </is>
      </c>
      <c r="B1548" t="inlineStr">
        <is>
          <t>NORDEX ENERGY BRASIL - COMERCIO E I</t>
        </is>
      </c>
      <c r="C1548" t="n">
        <v>2114340000</v>
      </c>
      <c r="D1548" t="inlineStr">
        <is>
          <t>Employee-Related Liabilities</t>
        </is>
      </c>
      <c r="E1548" t="n">
        <v>1300003059</v>
      </c>
      <c r="G1548" t="inlineStr">
        <is>
          <t>KZ</t>
        </is>
      </c>
      <c r="H1548" s="12" t="n">
        <v>-60564.54</v>
      </c>
      <c r="I1548" s="17" t="n">
        <v>46128</v>
      </c>
      <c r="J1548" s="17" t="n">
        <v>46128</v>
      </c>
      <c r="K1548" t="inlineStr">
        <is>
          <t>Pagamento fornecedor NORDEX ENERGY BRASIL - COMERC</t>
        </is>
      </c>
    </row>
    <row r="1549">
      <c r="A1549" t="inlineStr">
        <is>
          <t>106430</t>
        </is>
      </c>
      <c r="B1549" t="inlineStr">
        <is>
          <t>HIDRAULICA CONSTRUCCION Y CONSERVAC SA</t>
        </is>
      </c>
      <c r="C1549" t="n">
        <v>2112000000</v>
      </c>
      <c r="D1549" t="inlineStr">
        <is>
          <t>Operational Suppliers (Wind Farms)</t>
        </is>
      </c>
      <c r="E1549" t="n">
        <v>5004251</v>
      </c>
      <c r="F1549" t="inlineStr">
        <is>
          <t>EXD25003BR</t>
        </is>
      </c>
      <c r="G1549" t="inlineStr">
        <is>
          <t>RE</t>
        </is>
      </c>
      <c r="H1549" s="12" t="n">
        <v>-190471.73</v>
      </c>
      <c r="I1549" s="17" t="n">
        <v>46001</v>
      </c>
      <c r="J1549" s="17" t="n">
        <v>46001</v>
      </c>
      <c r="K1549" t="inlineStr">
        <is>
          <t>0932/25</t>
        </is>
      </c>
    </row>
    <row r="1550">
      <c r="A1550" t="inlineStr">
        <is>
          <t>106430</t>
        </is>
      </c>
      <c r="B1550" t="inlineStr">
        <is>
          <t>HIDRAULICA CONSTRUCCION Y CONSERVAC SA</t>
        </is>
      </c>
      <c r="C1550" t="n">
        <v>2112000000</v>
      </c>
      <c r="D1550" t="inlineStr">
        <is>
          <t>Operational Suppliers (Wind Farms)</t>
        </is>
      </c>
      <c r="E1550" t="n">
        <v>5004257</v>
      </c>
      <c r="F1550" t="inlineStr">
        <is>
          <t>EXD26004BR</t>
        </is>
      </c>
      <c r="G1550" t="inlineStr">
        <is>
          <t>RE</t>
        </is>
      </c>
      <c r="H1550" s="12" t="n">
        <v>-30710.53</v>
      </c>
      <c r="I1550" s="17" t="n">
        <v>46062</v>
      </c>
      <c r="J1550" s="17" t="n">
        <v>46062</v>
      </c>
      <c r="K1550" t="inlineStr">
        <is>
          <t>0079/26</t>
        </is>
      </c>
    </row>
    <row r="1551">
      <c r="A1551" t="inlineStr">
        <is>
          <t>107793</t>
        </is>
      </c>
      <c r="B1551" t="inlineStr">
        <is>
          <t>RUDLOFF STRONGFORCE STRUCTURAL SYST L.L.C</t>
        </is>
      </c>
      <c r="C1551" t="n">
        <v>2112000000</v>
      </c>
      <c r="D1551" t="inlineStr">
        <is>
          <t>Operational Suppliers (Wind Farms)</t>
        </is>
      </c>
      <c r="E1551" t="n">
        <v>5012181</v>
      </c>
      <c r="F1551" t="inlineStr">
        <is>
          <t>49</t>
        </is>
      </c>
      <c r="G1551" t="inlineStr">
        <is>
          <t>RE</t>
        </is>
      </c>
      <c r="H1551" s="12" t="n">
        <v>-219597.5</v>
      </c>
      <c r="I1551" s="17" t="n">
        <v>46176</v>
      </c>
      <c r="J1551" s="17" t="n">
        <v>46191</v>
      </c>
      <c r="K1551" t="inlineStr">
        <is>
          <t>Fatura - bruto RUDLOFF STRONGFORCE STRUCTURAL SYST</t>
        </is>
      </c>
    </row>
    <row r="1552">
      <c r="A1552" t="inlineStr">
        <is>
          <t>100393</t>
        </is>
      </c>
      <c r="B1552" t="inlineStr">
        <is>
          <t>DISTRIBUIDORA DE PRODUCTOS DE ELEVA</t>
        </is>
      </c>
      <c r="C1552" t="n">
        <v>2112000000</v>
      </c>
      <c r="D1552" t="inlineStr">
        <is>
          <t>Other Suppliers</t>
        </is>
      </c>
      <c r="E1552" t="n">
        <v>5015223</v>
      </c>
      <c r="F1552" t="inlineStr">
        <is>
          <t>32332</t>
        </is>
      </c>
      <c r="G1552" t="inlineStr">
        <is>
          <t>RE</t>
        </is>
      </c>
      <c r="H1552" s="12" t="n">
        <v>-20047.21</v>
      </c>
      <c r="I1552" s="17" t="n">
        <v>45247</v>
      </c>
      <c r="J1552" s="17" t="n">
        <v>45277</v>
      </c>
      <c r="K1552" t="inlineStr">
        <is>
          <t>0073/24</t>
        </is>
      </c>
    </row>
    <row r="1553">
      <c r="A1553" t="inlineStr">
        <is>
          <t>100400</t>
        </is>
      </c>
      <c r="B1553" t="inlineStr">
        <is>
          <t>TECHNICAL UNIVERSITY OF DENMARK DTU</t>
        </is>
      </c>
      <c r="C1553" t="n">
        <v>2112000000</v>
      </c>
      <c r="D1553" t="inlineStr">
        <is>
          <t>Other Suppliers</t>
        </is>
      </c>
      <c r="E1553" t="n">
        <v>5016099</v>
      </c>
      <c r="F1553" t="inlineStr">
        <is>
          <t>51039130</t>
        </is>
      </c>
      <c r="G1553" t="inlineStr">
        <is>
          <t>RE</t>
        </is>
      </c>
      <c r="H1553" s="12" t="n">
        <v>-10231.28</v>
      </c>
      <c r="I1553" s="17" t="n">
        <v>46253</v>
      </c>
      <c r="J1553" s="17" t="n">
        <v>46283</v>
      </c>
      <c r="K1553" t="inlineStr">
        <is>
          <t>Fatura - bruto TECHNICAL UNIVERSITY OF DENMARK DTU</t>
        </is>
      </c>
    </row>
    <row r="1554">
      <c r="A1554" t="inlineStr">
        <is>
          <t>100393</t>
        </is>
      </c>
      <c r="B1554" t="inlineStr">
        <is>
          <t>DISTRIBUIDORA DE PRODUCTOS DE ELEVA</t>
        </is>
      </c>
      <c r="C1554" t="n">
        <v>2112000000</v>
      </c>
      <c r="D1554" t="inlineStr">
        <is>
          <t>Other Suppliers</t>
        </is>
      </c>
      <c r="E1554" t="n">
        <v>5052933</v>
      </c>
      <c r="F1554" t="inlineStr">
        <is>
          <t>37819</t>
        </is>
      </c>
      <c r="G1554" t="inlineStr">
        <is>
          <t>RE</t>
        </is>
      </c>
      <c r="H1554" s="12" t="n">
        <v>-8116.19</v>
      </c>
      <c r="I1554" s="17" t="n">
        <v>45567</v>
      </c>
      <c r="J1554" s="17" t="n">
        <v>45631</v>
      </c>
      <c r="K1554" t="inlineStr">
        <is>
          <t>1012/24</t>
        </is>
      </c>
    </row>
    <row r="1555">
      <c r="A1555" t="inlineStr">
        <is>
          <t>100908</t>
        </is>
      </c>
      <c r="B1555" t="inlineStr">
        <is>
          <t>Unimacts Global LLC</t>
        </is>
      </c>
      <c r="C1555" t="n">
        <v>2112000000</v>
      </c>
      <c r="D1555" t="inlineStr">
        <is>
          <t>Operational Suppliers (Wind Farms)</t>
        </is>
      </c>
      <c r="E1555" t="n">
        <v>200001452</v>
      </c>
      <c r="F1555" t="inlineStr">
        <is>
          <t>7889</t>
        </is>
      </c>
      <c r="G1555" t="inlineStr">
        <is>
          <t>UE</t>
        </is>
      </c>
      <c r="H1555" s="12" t="n">
        <v>-31414.42</v>
      </c>
      <c r="I1555" s="17" t="n">
        <v>44648</v>
      </c>
      <c r="J1555" s="17" t="n">
        <v>44648</v>
      </c>
      <c r="K1555" t="inlineStr">
        <is>
          <t>000001808002</t>
        </is>
      </c>
    </row>
    <row r="1556">
      <c r="A1556" t="inlineStr">
        <is>
          <t>100973</t>
        </is>
      </c>
      <c r="B1556" t="inlineStr">
        <is>
          <t>MUNGI ENGINEERS PVT LTD</t>
        </is>
      </c>
      <c r="C1556" t="n">
        <v>2112000000</v>
      </c>
      <c r="D1556" t="inlineStr">
        <is>
          <t>Operational Suppliers (Wind Farms)</t>
        </is>
      </c>
      <c r="E1556" t="n">
        <v>200001652</v>
      </c>
      <c r="F1556" t="inlineStr">
        <is>
          <t>8068</t>
        </is>
      </c>
      <c r="G1556" t="inlineStr">
        <is>
          <t>UE</t>
        </is>
      </c>
      <c r="H1556" s="12" t="n">
        <v>-62708.75</v>
      </c>
      <c r="I1556" s="17" t="n">
        <v>44687</v>
      </c>
      <c r="J1556" s="17" t="n">
        <v>44687</v>
      </c>
      <c r="K1556" t="inlineStr">
        <is>
          <t>000001899002</t>
        </is>
      </c>
    </row>
    <row r="1557">
      <c r="A1557" t="inlineStr">
        <is>
          <t>101937</t>
        </is>
      </c>
      <c r="B1557" t="inlineStr">
        <is>
          <t>ALONSO DOLDAN INGENIERIA Y SERVICIO</t>
        </is>
      </c>
      <c r="C1557" t="n">
        <v>2112000000</v>
      </c>
      <c r="D1557" t="inlineStr">
        <is>
          <t>Operational Suppliers (Wind Farms)</t>
        </is>
      </c>
      <c r="E1557" t="n">
        <v>200011549</v>
      </c>
      <c r="F1557" t="inlineStr">
        <is>
          <t>16429</t>
        </is>
      </c>
      <c r="G1557" t="inlineStr">
        <is>
          <t>UE</t>
        </is>
      </c>
      <c r="H1557" s="12" t="n">
        <v>-4737.34</v>
      </c>
      <c r="I1557" s="17" t="n">
        <v>45078</v>
      </c>
      <c r="J1557" s="17" t="n">
        <v>45078</v>
      </c>
      <c r="K1557" t="inlineStr">
        <is>
          <t>1172599</t>
        </is>
      </c>
    </row>
    <row r="1558">
      <c r="A1558" t="inlineStr">
        <is>
          <t>101937</t>
        </is>
      </c>
      <c r="B1558" t="inlineStr">
        <is>
          <t>ALONSO DOLDAN INGENIERIA Y SERVICIO</t>
        </is>
      </c>
      <c r="C1558" t="n">
        <v>2112000000</v>
      </c>
      <c r="D1558" t="inlineStr">
        <is>
          <t>Operational Suppliers (Wind Farms)</t>
        </is>
      </c>
      <c r="E1558" t="n">
        <v>200011551</v>
      </c>
      <c r="F1558" t="inlineStr">
        <is>
          <t>16430</t>
        </is>
      </c>
      <c r="G1558" t="inlineStr">
        <is>
          <t>UE</t>
        </is>
      </c>
      <c r="H1558" s="12" t="n">
        <v>-4737.34</v>
      </c>
      <c r="I1558" s="17" t="n">
        <v>45078</v>
      </c>
      <c r="J1558" s="17" t="n">
        <v>45078</v>
      </c>
      <c r="K1558" t="inlineStr">
        <is>
          <t>1172602</t>
        </is>
      </c>
    </row>
    <row r="1559">
      <c r="A1559" t="inlineStr">
        <is>
          <t>101937</t>
        </is>
      </c>
      <c r="B1559" t="inlineStr">
        <is>
          <t>ALONSO DOLDAN INGENIERIA Y SERVICIO</t>
        </is>
      </c>
      <c r="C1559" t="n">
        <v>2112000000</v>
      </c>
      <c r="D1559" t="inlineStr">
        <is>
          <t>Operational Suppliers (Wind Farms)</t>
        </is>
      </c>
      <c r="E1559" t="n">
        <v>200011552</v>
      </c>
      <c r="F1559" t="inlineStr">
        <is>
          <t>16431</t>
        </is>
      </c>
      <c r="G1559" t="inlineStr">
        <is>
          <t>UE</t>
        </is>
      </c>
      <c r="H1559" s="12" t="n">
        <v>-4737.34</v>
      </c>
      <c r="I1559" s="17" t="n">
        <v>45078</v>
      </c>
      <c r="J1559" s="17" t="n">
        <v>45078</v>
      </c>
      <c r="K1559" t="inlineStr">
        <is>
          <t>1172607</t>
        </is>
      </c>
    </row>
    <row r="1560">
      <c r="A1560" t="inlineStr">
        <is>
          <t>101937</t>
        </is>
      </c>
      <c r="B1560" t="inlineStr">
        <is>
          <t>ALONSO DOLDAN INGENIERIA Y SERVICIO</t>
        </is>
      </c>
      <c r="C1560" t="n">
        <v>2112000000</v>
      </c>
      <c r="D1560" t="inlineStr">
        <is>
          <t>Operational Suppliers (Wind Farms)</t>
        </is>
      </c>
      <c r="E1560" t="n">
        <v>200011553</v>
      </c>
      <c r="F1560" t="inlineStr">
        <is>
          <t>16432</t>
        </is>
      </c>
      <c r="G1560" t="inlineStr">
        <is>
          <t>UE</t>
        </is>
      </c>
      <c r="H1560" s="12" t="n">
        <v>-4060.58</v>
      </c>
      <c r="I1560" s="17" t="n">
        <v>45078</v>
      </c>
      <c r="J1560" s="17" t="n">
        <v>45078</v>
      </c>
      <c r="K1560" t="inlineStr">
        <is>
          <t>1172612</t>
        </is>
      </c>
    </row>
    <row r="1561">
      <c r="A1561" t="inlineStr">
        <is>
          <t>101937</t>
        </is>
      </c>
      <c r="B1561" t="inlineStr">
        <is>
          <t>ALONSO DOLDAN INGENIERIA Y SERVICIO</t>
        </is>
      </c>
      <c r="C1561" t="n">
        <v>2112000000</v>
      </c>
      <c r="D1561" t="inlineStr">
        <is>
          <t>Operational Suppliers (Wind Farms)</t>
        </is>
      </c>
      <c r="E1561" t="n">
        <v>200011554</v>
      </c>
      <c r="F1561" t="inlineStr">
        <is>
          <t>16433</t>
        </is>
      </c>
      <c r="G1561" t="inlineStr">
        <is>
          <t>UE</t>
        </is>
      </c>
      <c r="H1561" s="12" t="n">
        <v>-4060.58</v>
      </c>
      <c r="I1561" s="17" t="n">
        <v>45078</v>
      </c>
      <c r="J1561" s="17" t="n">
        <v>45078</v>
      </c>
      <c r="K1561" t="inlineStr">
        <is>
          <t>1172618</t>
        </is>
      </c>
    </row>
    <row r="1562">
      <c r="A1562" t="inlineStr">
        <is>
          <t>101937</t>
        </is>
      </c>
      <c r="B1562" t="inlineStr">
        <is>
          <t>ALONSO DOLDAN INGENIERIA Y SERVICIO</t>
        </is>
      </c>
      <c r="C1562" t="n">
        <v>2112000000</v>
      </c>
      <c r="D1562" t="inlineStr">
        <is>
          <t>Operational Suppliers (Wind Farms)</t>
        </is>
      </c>
      <c r="E1562" t="n">
        <v>200011555</v>
      </c>
      <c r="F1562" t="inlineStr">
        <is>
          <t>16434</t>
        </is>
      </c>
      <c r="G1562" t="inlineStr">
        <is>
          <t>UE</t>
        </is>
      </c>
      <c r="H1562" s="12" t="n">
        <v>-4933.78</v>
      </c>
      <c r="I1562" s="17" t="n">
        <v>45108</v>
      </c>
      <c r="J1562" s="17" t="n">
        <v>45108</v>
      </c>
      <c r="K1562" t="inlineStr">
        <is>
          <t>1179067</t>
        </is>
      </c>
    </row>
    <row r="1563">
      <c r="A1563" t="inlineStr">
        <is>
          <t>101937</t>
        </is>
      </c>
      <c r="B1563" t="inlineStr">
        <is>
          <t>ALONSO DOLDAN INGENIERIA Y SERVICIO</t>
        </is>
      </c>
      <c r="C1563" t="n">
        <v>2112000000</v>
      </c>
      <c r="D1563" t="inlineStr">
        <is>
          <t>Operational Suppliers (Wind Farms)</t>
        </is>
      </c>
      <c r="E1563" t="n">
        <v>200011556</v>
      </c>
      <c r="F1563" t="inlineStr">
        <is>
          <t>16435</t>
        </is>
      </c>
      <c r="G1563" t="inlineStr">
        <is>
          <t>UE</t>
        </is>
      </c>
      <c r="H1563" s="12" t="n">
        <v>-14801.33</v>
      </c>
      <c r="I1563" s="17" t="n">
        <v>45108</v>
      </c>
      <c r="J1563" s="17" t="n">
        <v>45108</v>
      </c>
      <c r="K1563" t="inlineStr">
        <is>
          <t>1179071</t>
        </is>
      </c>
    </row>
    <row r="1564">
      <c r="A1564" t="inlineStr">
        <is>
          <t>101271</t>
        </is>
      </c>
      <c r="B1564" t="inlineStr">
        <is>
          <t>UNYVERSE PTE LTD</t>
        </is>
      </c>
      <c r="C1564" t="n">
        <v>2112000000</v>
      </c>
      <c r="D1564" t="inlineStr">
        <is>
          <t>Other Suppliers</t>
        </is>
      </c>
      <c r="E1564" t="n">
        <v>200011885</v>
      </c>
      <c r="F1564" t="inlineStr">
        <is>
          <t>16731</t>
        </is>
      </c>
      <c r="G1564" t="inlineStr">
        <is>
          <t>UE</t>
        </is>
      </c>
      <c r="H1564" s="12" t="n">
        <v>-0.05</v>
      </c>
      <c r="I1564" s="17" t="n">
        <v>45014</v>
      </c>
      <c r="J1564" s="17" t="n">
        <v>45014</v>
      </c>
      <c r="K1564" t="inlineStr">
        <is>
          <t>1163734</t>
        </is>
      </c>
    </row>
    <row r="1565">
      <c r="A1565" t="inlineStr">
        <is>
          <t>103702</t>
        </is>
      </c>
      <c r="B1565" t="inlineStr">
        <is>
          <t>INTERNATIONAL CHAMBER OF COMMERCE</t>
        </is>
      </c>
      <c r="C1565" t="n">
        <v>2112000000</v>
      </c>
      <c r="D1565" t="inlineStr">
        <is>
          <t>Other Suppliers</t>
        </is>
      </c>
      <c r="E1565" t="n">
        <v>1100041925</v>
      </c>
      <c r="F1565" t="inlineStr">
        <is>
          <t>DEV ICC</t>
        </is>
      </c>
      <c r="G1565" t="inlineStr">
        <is>
          <t>AB</t>
        </is>
      </c>
      <c r="H1565" s="12" t="n">
        <v>-6678.13</v>
      </c>
      <c r="I1565" s="17" t="n">
        <v>45929</v>
      </c>
      <c r="J1565" s="17" t="n">
        <v>45929</v>
      </c>
      <c r="K1565" t="inlineStr">
        <is>
          <t>Partida individual INTERNATIONAL CHAMBER OF COMMER</t>
        </is>
      </c>
    </row>
    <row r="1566">
      <c r="A1566" t="inlineStr">
        <is>
          <t>105667</t>
        </is>
      </c>
      <c r="B1566" t="inlineStr">
        <is>
          <t>TERMOPLAST PLASTIK ENJEKSIYON VE</t>
        </is>
      </c>
      <c r="C1566" t="n">
        <v>2112000000</v>
      </c>
      <c r="D1566" t="inlineStr">
        <is>
          <t>Operational Suppliers (Wind Farms)</t>
        </is>
      </c>
      <c r="E1566" t="n">
        <v>1100050075</v>
      </c>
      <c r="G1566" t="inlineStr">
        <is>
          <t>AB</t>
        </is>
      </c>
      <c r="H1566" s="12" t="n">
        <v>-678.25</v>
      </c>
      <c r="I1566" s="17" t="n">
        <v>46020</v>
      </c>
      <c r="J1566" s="17" t="n">
        <v>46020</v>
      </c>
      <c r="K1566" t="inlineStr">
        <is>
          <t>Clearing document TERMOPLAST PLASTIK ENJEKSIYON VE</t>
        </is>
      </c>
    </row>
    <row r="1567">
      <c r="A1567" t="inlineStr">
        <is>
          <t>EM000012</t>
        </is>
      </c>
      <c r="B1567" t="inlineStr">
        <is>
          <t>EDERSON GOMES XABIER BARBALHO</t>
        </is>
      </c>
      <c r="C1567" t="n">
        <v>2111000000</v>
      </c>
      <c r="D1567" t="inlineStr">
        <is>
          <t>Nordex Employees</t>
        </is>
      </c>
      <c r="E1567" t="n">
        <v>209060</v>
      </c>
      <c r="F1567" t="inlineStr">
        <is>
          <t>28051</t>
        </is>
      </c>
      <c r="G1567" t="inlineStr">
        <is>
          <t>SA</t>
        </is>
      </c>
      <c r="H1567" s="12" t="n">
        <v>-400</v>
      </c>
      <c r="I1567" s="17" t="n">
        <v>45515</v>
      </c>
      <c r="J1567" s="17" t="n">
        <v>45515</v>
      </c>
      <c r="K1567" t="inlineStr">
        <is>
          <t>G/L Account Document EDERSON GOMES XABIER BARBALHO</t>
        </is>
      </c>
    </row>
    <row r="1568">
      <c r="A1568" t="inlineStr">
        <is>
          <t>102074</t>
        </is>
      </c>
      <c r="B1568" t="inlineStr">
        <is>
          <t>TAGUS TEC SERVIÇOS TECNOLOGIA LTDA</t>
        </is>
      </c>
      <c r="C1568" t="n">
        <v>2111000000</v>
      </c>
      <c r="D1568" t="inlineStr">
        <is>
          <t>Other Suppliers</t>
        </is>
      </c>
      <c r="E1568" t="n">
        <v>300304</v>
      </c>
      <c r="F1568" t="inlineStr">
        <is>
          <t>775009</t>
        </is>
      </c>
      <c r="G1568" t="inlineStr">
        <is>
          <t>KZ</t>
        </is>
      </c>
      <c r="H1568" s="12" t="n">
        <v>-906.75</v>
      </c>
      <c r="I1568" s="17" t="n">
        <v>45313</v>
      </c>
      <c r="J1568" s="17" t="n">
        <v>45313</v>
      </c>
      <c r="K1568" t="inlineStr">
        <is>
          <t>Pagamento fornecedor TAGUS TEC SERVIÇOS TECNOLOGIA</t>
        </is>
      </c>
    </row>
    <row r="1569">
      <c r="A1569" t="inlineStr">
        <is>
          <t>100406</t>
        </is>
      </c>
      <c r="B1569" t="inlineStr">
        <is>
          <t>APS COMPONENTES ELETRICOS SA</t>
        </is>
      </c>
      <c r="C1569" t="n">
        <v>2111000000</v>
      </c>
      <c r="D1569" t="inlineStr">
        <is>
          <t>Other Suppliers</t>
        </is>
      </c>
      <c r="E1569" t="n">
        <v>5000009</v>
      </c>
      <c r="F1569" t="inlineStr">
        <is>
          <t>000212369-1</t>
        </is>
      </c>
      <c r="G1569" t="inlineStr">
        <is>
          <t>RE</t>
        </is>
      </c>
      <c r="H1569" s="12" t="n">
        <v>-402.63</v>
      </c>
      <c r="I1569" s="17" t="n">
        <v>45692</v>
      </c>
      <c r="J1569" s="17" t="n">
        <v>45721</v>
      </c>
      <c r="K1569" t="inlineStr">
        <is>
          <t>Fatura - bruto APS COMPONENTES ELETRICOS SA 000212</t>
        </is>
      </c>
    </row>
    <row r="1570">
      <c r="A1570" t="inlineStr">
        <is>
          <t>101790</t>
        </is>
      </c>
      <c r="B1570" t="inlineStr">
        <is>
          <t>FERRAMENTAS GERAIS COM IMP DE FER E</t>
        </is>
      </c>
      <c r="C1570" t="n">
        <v>2111000000</v>
      </c>
      <c r="D1570" t="inlineStr">
        <is>
          <t>Operational Suppliers (Wind Farms)</t>
        </is>
      </c>
      <c r="E1570" t="n">
        <v>5000175</v>
      </c>
      <c r="F1570" t="inlineStr">
        <is>
          <t>001275873-1</t>
        </is>
      </c>
      <c r="G1570" t="inlineStr">
        <is>
          <t>RE</t>
        </is>
      </c>
      <c r="H1570" s="12" t="n">
        <v>2333.97</v>
      </c>
      <c r="I1570" s="17" t="n">
        <v>46028</v>
      </c>
      <c r="J1570" s="17" t="n">
        <v>46028</v>
      </c>
      <c r="K1570" t="inlineStr">
        <is>
          <t>Fatura - bruto FERRAMENTAS GERAIS COM IMP DE FER E</t>
        </is>
      </c>
    </row>
    <row r="1571">
      <c r="A1571" t="inlineStr">
        <is>
          <t>101790</t>
        </is>
      </c>
      <c r="B1571" t="inlineStr">
        <is>
          <t>FERRAMENTAS GERAIS COM IMP DE FER E</t>
        </is>
      </c>
      <c r="C1571" t="n">
        <v>2111000000</v>
      </c>
      <c r="D1571" t="inlineStr">
        <is>
          <t>Operational Suppliers (Wind Farms)</t>
        </is>
      </c>
      <c r="E1571" t="n">
        <v>5000176</v>
      </c>
      <c r="F1571" t="inlineStr">
        <is>
          <t>001275689-1</t>
        </is>
      </c>
      <c r="G1571" t="inlineStr">
        <is>
          <t>RE</t>
        </is>
      </c>
      <c r="H1571" s="12" t="n">
        <v>3049.83</v>
      </c>
      <c r="I1571" s="17" t="n">
        <v>46028</v>
      </c>
      <c r="J1571" s="17" t="n">
        <v>46028</v>
      </c>
      <c r="K1571" t="inlineStr">
        <is>
          <t>Fatura - bruto FERRAMENTAS GERAIS COM IMP DE FER E</t>
        </is>
      </c>
    </row>
    <row r="1572">
      <c r="A1572" t="inlineStr">
        <is>
          <t>101790</t>
        </is>
      </c>
      <c r="B1572" t="inlineStr">
        <is>
          <t>FERRAMENTAS GERAIS COM IMP DE FER E</t>
        </is>
      </c>
      <c r="C1572" t="n">
        <v>2111000000</v>
      </c>
      <c r="D1572" t="inlineStr">
        <is>
          <t>Operational Suppliers (Wind Farms)</t>
        </is>
      </c>
      <c r="E1572" t="n">
        <v>5000177</v>
      </c>
      <c r="F1572" t="inlineStr">
        <is>
          <t>001275648-1</t>
        </is>
      </c>
      <c r="G1572" t="inlineStr">
        <is>
          <t>RE</t>
        </is>
      </c>
      <c r="H1572" s="12" t="n">
        <v>6240.94</v>
      </c>
      <c r="I1572" s="17" t="n">
        <v>46028</v>
      </c>
      <c r="J1572" s="17" t="n">
        <v>46028</v>
      </c>
      <c r="K1572" t="inlineStr">
        <is>
          <t>Fatura - bruto FERRAMENTAS GERAIS COM IMP DE FER E</t>
        </is>
      </c>
    </row>
    <row r="1573">
      <c r="A1573" t="inlineStr">
        <is>
          <t>101763</t>
        </is>
      </c>
      <c r="B1573" t="inlineStr">
        <is>
          <t>MUNICIPIO DE LAGOA DO BARRO DO PIAU</t>
        </is>
      </c>
      <c r="C1573" t="n">
        <v>2111000000</v>
      </c>
      <c r="D1573" t="inlineStr">
        <is>
          <t>Taxes Payable</t>
        </is>
      </c>
      <c r="E1573" t="n">
        <v>5000222</v>
      </c>
      <c r="F1573" t="inlineStr">
        <is>
          <t>404904</t>
        </is>
      </c>
      <c r="G1573" t="inlineStr">
        <is>
          <t>KR</t>
        </is>
      </c>
      <c r="H1573" s="12" t="n">
        <v>-1198.92</v>
      </c>
      <c r="I1573" s="17" t="n">
        <v>44988</v>
      </c>
      <c r="J1573" s="17" t="n">
        <v>44988</v>
      </c>
      <c r="K1573" t="inlineStr">
        <is>
          <t>TFC TOOLS FOR COMPOSITE GMBH</t>
        </is>
      </c>
    </row>
    <row r="1574">
      <c r="A1574" t="inlineStr">
        <is>
          <t>101888</t>
        </is>
      </c>
      <c r="B1574" t="inlineStr">
        <is>
          <t>BANCO SANTANDER BRASIL SA</t>
        </is>
      </c>
      <c r="C1574" t="n">
        <v>2111000000</v>
      </c>
      <c r="D1574" t="inlineStr">
        <is>
          <t>Corporate Card Payments</t>
        </is>
      </c>
      <c r="E1574" t="n">
        <v>5000227</v>
      </c>
      <c r="F1574" t="inlineStr">
        <is>
          <t>CC UBER 09.2023</t>
        </is>
      </c>
      <c r="G1574" t="inlineStr">
        <is>
          <t>KR</t>
        </is>
      </c>
      <c r="H1574" s="12" t="n">
        <v>-35170.94</v>
      </c>
      <c r="I1574" s="17" t="n">
        <v>45151</v>
      </c>
      <c r="J1574" s="17" t="n">
        <v>45197</v>
      </c>
      <c r="K1574" t="inlineStr">
        <is>
          <t>Vendor Invoice BANCO SANTANDER BRASIL SA UBER 09/2</t>
        </is>
      </c>
    </row>
    <row r="1575">
      <c r="A1575" t="inlineStr">
        <is>
          <t>102087</t>
        </is>
      </c>
      <c r="B1575" t="inlineStr">
        <is>
          <t>CAIXA ECONOMICA FEDERAL</t>
        </is>
      </c>
      <c r="C1575" t="n">
        <v>2111000000</v>
      </c>
      <c r="D1575" t="inlineStr">
        <is>
          <t>Social charges</t>
        </is>
      </c>
      <c r="E1575" t="n">
        <v>5000340</v>
      </c>
      <c r="F1575" t="inlineStr">
        <is>
          <t>FGTS-DISSIDIO 12</t>
        </is>
      </c>
      <c r="G1575" t="inlineStr">
        <is>
          <t>KR</t>
        </is>
      </c>
      <c r="H1575" s="12" t="n">
        <v>-10621.81</v>
      </c>
      <c r="I1575" s="17" t="n">
        <v>45296</v>
      </c>
      <c r="J1575" s="17" t="n">
        <v>45296</v>
      </c>
      <c r="K1575" t="inlineStr">
        <is>
          <t>Fatura do fornecedor CAIXA ECONOMICA FEDERAL FGTS-</t>
        </is>
      </c>
    </row>
    <row r="1576">
      <c r="A1576" t="inlineStr">
        <is>
          <t>104122</t>
        </is>
      </c>
      <c r="B1576" t="inlineStr">
        <is>
          <t>POLIMATEC MECANICA INDUSTRIAL LTDA 30108394000167</t>
        </is>
      </c>
      <c r="C1576" t="n">
        <v>2111000000</v>
      </c>
      <c r="D1576" t="inlineStr">
        <is>
          <t>Other Suppliers</t>
        </is>
      </c>
      <c r="E1576" t="n">
        <v>5000694</v>
      </c>
      <c r="F1576" t="inlineStr">
        <is>
          <t>000002082-1</t>
        </is>
      </c>
      <c r="G1576" t="inlineStr">
        <is>
          <t>RE</t>
        </is>
      </c>
      <c r="H1576" s="12" t="n">
        <v>-850.48</v>
      </c>
      <c r="I1576" s="17" t="n">
        <v>45838</v>
      </c>
      <c r="J1576" s="17" t="n">
        <v>45874</v>
      </c>
      <c r="K1576" t="inlineStr">
        <is>
          <t>Fatura - bruto POLIMATEC MECANICA INDUSTRIAL LTDA</t>
        </is>
      </c>
    </row>
    <row r="1577">
      <c r="A1577" t="inlineStr">
        <is>
          <t>101358</t>
        </is>
      </c>
      <c r="B1577" t="inlineStr">
        <is>
          <t>MUNICIPIO DE LAJES</t>
        </is>
      </c>
      <c r="C1577" t="n">
        <v>2111000000</v>
      </c>
      <c r="D1577" t="inlineStr">
        <is>
          <t>Taxes Payable</t>
        </is>
      </c>
      <c r="E1577" t="n">
        <v>5002496</v>
      </c>
      <c r="F1577" t="inlineStr">
        <is>
          <t>ISS 2022/2025</t>
        </is>
      </c>
      <c r="G1577" t="inlineStr">
        <is>
          <t>KR</t>
        </is>
      </c>
      <c r="H1577" s="12" t="n">
        <v>-219058.53</v>
      </c>
      <c r="I1577" s="17" t="n">
        <v>46052</v>
      </c>
      <c r="J1577" s="17" t="n">
        <v>46052</v>
      </c>
      <c r="K1577" t="inlineStr">
        <is>
          <t>Vendor Invoice MUNICIPIO DE LAJES ISS 2022/2025</t>
        </is>
      </c>
    </row>
    <row r="1578">
      <c r="A1578" t="inlineStr">
        <is>
          <t>108019</t>
        </is>
      </c>
      <c r="B1578" t="inlineStr">
        <is>
          <t>GERSON PEDRO DOS SANTOS OLIVEIRA -M</t>
        </is>
      </c>
      <c r="C1578" t="n">
        <v>2111000000</v>
      </c>
      <c r="D1578" t="inlineStr">
        <is>
          <t>Other Suppliers</t>
        </is>
      </c>
      <c r="E1578" t="n">
        <v>5002922</v>
      </c>
      <c r="F1578" t="inlineStr">
        <is>
          <t>24</t>
        </is>
      </c>
      <c r="G1578" t="inlineStr">
        <is>
          <t>RE</t>
        </is>
      </c>
      <c r="H1578" s="12" t="n">
        <v>-18750</v>
      </c>
      <c r="I1578" s="17" t="n">
        <v>46071</v>
      </c>
      <c r="J1578" s="17" t="n">
        <v>46071</v>
      </c>
      <c r="K1578" t="inlineStr">
        <is>
          <t>Fatura - bruto GERSON PEDRO DOS SANTOS OLIVEIRA -M</t>
        </is>
      </c>
    </row>
    <row r="1579">
      <c r="A1579" t="inlineStr">
        <is>
          <t>108017</t>
        </is>
      </c>
      <c r="B1579" t="inlineStr">
        <is>
          <t>CARLOS DIAS DOS SANTOS</t>
        </is>
      </c>
      <c r="C1579" t="n">
        <v>2111000000</v>
      </c>
      <c r="D1579" t="inlineStr">
        <is>
          <t>Other Suppliers</t>
        </is>
      </c>
      <c r="E1579" t="n">
        <v>5002923</v>
      </c>
      <c r="F1579" t="inlineStr">
        <is>
          <t>244</t>
        </is>
      </c>
      <c r="G1579" t="inlineStr">
        <is>
          <t>RE</t>
        </is>
      </c>
      <c r="H1579" s="12" t="n">
        <v>-27000</v>
      </c>
      <c r="I1579" s="17" t="n">
        <v>46066</v>
      </c>
      <c r="J1579" s="17" t="n">
        <v>46066</v>
      </c>
      <c r="K1579" t="inlineStr">
        <is>
          <t>Fatura - bruto CARLOS DIAS DOS SANTOS 244</t>
        </is>
      </c>
    </row>
    <row r="1580">
      <c r="A1580" t="inlineStr">
        <is>
          <t>107632</t>
        </is>
      </c>
      <c r="B1580" t="inlineStr">
        <is>
          <t>PMI SOUTH AMERICA CONSUMER GOODS LT</t>
        </is>
      </c>
      <c r="C1580" t="n">
        <v>2111000000</v>
      </c>
      <c r="D1580" t="inlineStr">
        <is>
          <t>Operational Suppliers (Wind Farms)</t>
        </is>
      </c>
      <c r="E1580" t="n">
        <v>5002963</v>
      </c>
      <c r="F1580" t="inlineStr">
        <is>
          <t>02568120-1</t>
        </is>
      </c>
      <c r="G1580" t="inlineStr">
        <is>
          <t>RE</t>
        </is>
      </c>
      <c r="H1580" s="12" t="n">
        <v>-5980.23</v>
      </c>
      <c r="I1580" s="17" t="n">
        <v>46028</v>
      </c>
      <c r="J1580" s="17" t="n">
        <v>46043</v>
      </c>
      <c r="K1580" t="inlineStr">
        <is>
          <t>Fatura - bruto PMI SOUTH AMERICA CONSUMER GOODS LT</t>
        </is>
      </c>
    </row>
    <row r="1581">
      <c r="A1581" t="inlineStr">
        <is>
          <t>100759</t>
        </is>
      </c>
      <c r="B1581" t="inlineStr">
        <is>
          <t>MUNICIPIO DE UIBAI</t>
        </is>
      </c>
      <c r="C1581" t="n">
        <v>2111000000</v>
      </c>
      <c r="D1581" t="inlineStr">
        <is>
          <t>Taxes Payable</t>
        </is>
      </c>
      <c r="E1581" t="n">
        <v>5003399</v>
      </c>
      <c r="F1581" t="inlineStr">
        <is>
          <t>PJI000315</t>
        </is>
      </c>
      <c r="G1581" t="inlineStr">
        <is>
          <t>KR</t>
        </is>
      </c>
      <c r="H1581" s="12" t="n">
        <v>-2635.34</v>
      </c>
      <c r="I1581" s="17" t="n">
        <v>45596</v>
      </c>
      <c r="J1581" s="17" t="n">
        <v>45596</v>
      </c>
      <c r="K1581" t="inlineStr">
        <is>
          <t>Fatura do fornecedor MUNICIPIO DE UIBAI PJI000315</t>
        </is>
      </c>
    </row>
    <row r="1582">
      <c r="A1582" t="inlineStr">
        <is>
          <t>102008</t>
        </is>
      </c>
      <c r="B1582" t="inlineStr">
        <is>
          <t>MUNICIPIO DE ITAREMA</t>
        </is>
      </c>
      <c r="C1582" t="n">
        <v>2111000000</v>
      </c>
      <c r="D1582" t="inlineStr">
        <is>
          <t>Taxes Payable</t>
        </is>
      </c>
      <c r="E1582" t="n">
        <v>5003454</v>
      </c>
      <c r="F1582" t="inlineStr">
        <is>
          <t>E24076</t>
        </is>
      </c>
      <c r="G1582" t="inlineStr">
        <is>
          <t>KR</t>
        </is>
      </c>
      <c r="H1582" s="12" t="n">
        <v>-287.49</v>
      </c>
      <c r="I1582" s="17" t="n">
        <v>45665</v>
      </c>
      <c r="J1582" s="17" t="n">
        <v>45665</v>
      </c>
      <c r="K1582" t="inlineStr">
        <is>
          <t>Vendor Invoice MUNICIPIO DE ITAREMA E24076</t>
        </is>
      </c>
    </row>
    <row r="1583">
      <c r="A1583" t="inlineStr">
        <is>
          <t>100833</t>
        </is>
      </c>
      <c r="B1583" t="inlineStr">
        <is>
          <t>MUNICIPIO DE JANDAIRA</t>
        </is>
      </c>
      <c r="C1583" t="n">
        <v>2111000000</v>
      </c>
      <c r="D1583" t="inlineStr">
        <is>
          <t>Taxes Payable</t>
        </is>
      </c>
      <c r="E1583" t="n">
        <v>5003455</v>
      </c>
      <c r="F1583" t="inlineStr">
        <is>
          <t>E24077</t>
        </is>
      </c>
      <c r="G1583" t="inlineStr">
        <is>
          <t>KR</t>
        </is>
      </c>
      <c r="H1583" s="12" t="n">
        <v>-287.49</v>
      </c>
      <c r="I1583" s="17" t="n">
        <v>45665</v>
      </c>
      <c r="J1583" s="17" t="n">
        <v>45721</v>
      </c>
      <c r="K1583" t="inlineStr">
        <is>
          <t>Vendor Invoice MUNICIPIO DE JANDAIRA E24077</t>
        </is>
      </c>
    </row>
    <row r="1584">
      <c r="A1584" t="inlineStr">
        <is>
          <t>101763</t>
        </is>
      </c>
      <c r="B1584" t="inlineStr">
        <is>
          <t>MUNICIPIO DE LAGOA DO BARRO DO PIAU</t>
        </is>
      </c>
      <c r="C1584" t="n">
        <v>2111000000</v>
      </c>
      <c r="D1584" t="inlineStr">
        <is>
          <t>Taxes Payable</t>
        </is>
      </c>
      <c r="E1584" t="n">
        <v>5003456</v>
      </c>
      <c r="F1584" t="inlineStr">
        <is>
          <t>E24078-E24079</t>
        </is>
      </c>
      <c r="G1584" t="inlineStr">
        <is>
          <t>KR</t>
        </is>
      </c>
      <c r="H1584" s="12" t="n">
        <v>-689.97</v>
      </c>
      <c r="I1584" s="17" t="n">
        <v>45665</v>
      </c>
      <c r="J1584" s="17" t="n">
        <v>45665</v>
      </c>
      <c r="K1584" t="inlineStr">
        <is>
          <t>Vendor Invoice MUNICIPIO DE LAGOA DO BARRO DO PIAU</t>
        </is>
      </c>
    </row>
    <row r="1585">
      <c r="A1585" t="inlineStr">
        <is>
          <t>101700</t>
        </is>
      </c>
      <c r="B1585" t="inlineStr">
        <is>
          <t>MUNICIPIO DE MULUNGU DO MORRO</t>
        </is>
      </c>
      <c r="C1585" t="n">
        <v>2111000000</v>
      </c>
      <c r="D1585" t="inlineStr">
        <is>
          <t>Taxes Payable</t>
        </is>
      </c>
      <c r="E1585" t="n">
        <v>5003457</v>
      </c>
      <c r="F1585" t="inlineStr">
        <is>
          <t>E24087</t>
        </is>
      </c>
      <c r="G1585" t="inlineStr">
        <is>
          <t>KR</t>
        </is>
      </c>
      <c r="H1585" s="12" t="n">
        <v>-287.49</v>
      </c>
      <c r="I1585" s="17" t="n">
        <v>45665</v>
      </c>
      <c r="J1585" s="17" t="n">
        <v>45665</v>
      </c>
      <c r="K1585" t="inlineStr">
        <is>
          <t>Vendor Invoice MUNICIPIO DE MULUNGU DO MORRO E2408</t>
        </is>
      </c>
    </row>
    <row r="1586">
      <c r="A1586" t="inlineStr">
        <is>
          <t>102081</t>
        </is>
      </c>
      <c r="B1586" t="inlineStr">
        <is>
          <t>MUNICIPIO DE PALMARES DO SUL</t>
        </is>
      </c>
      <c r="C1586" t="n">
        <v>2111000000</v>
      </c>
      <c r="D1586" t="inlineStr">
        <is>
          <t>Taxes Payable</t>
        </is>
      </c>
      <c r="E1586" t="n">
        <v>5003458</v>
      </c>
      <c r="F1586" t="inlineStr">
        <is>
          <t>E24074</t>
        </is>
      </c>
      <c r="G1586" t="inlineStr">
        <is>
          <t>KR</t>
        </is>
      </c>
      <c r="H1586" s="12" t="n">
        <v>-287.49</v>
      </c>
      <c r="I1586" s="17" t="n">
        <v>45665</v>
      </c>
      <c r="J1586" s="17" t="n">
        <v>45665</v>
      </c>
      <c r="K1586" t="inlineStr">
        <is>
          <t>Vendor Invoice MUNICIPIO DE PALMARES DO SUL E24074</t>
        </is>
      </c>
    </row>
    <row r="1587">
      <c r="A1587" t="inlineStr">
        <is>
          <t>101006</t>
        </is>
      </c>
      <c r="B1587" t="inlineStr">
        <is>
          <t>MUNICIPIO DE SAO BENTO DO NORTE</t>
        </is>
      </c>
      <c r="C1587" t="n">
        <v>2111000000</v>
      </c>
      <c r="D1587" t="inlineStr">
        <is>
          <t>Taxes Payable</t>
        </is>
      </c>
      <c r="E1587" t="n">
        <v>5003460</v>
      </c>
      <c r="F1587" t="inlineStr">
        <is>
          <t>E24081</t>
        </is>
      </c>
      <c r="G1587" t="inlineStr">
        <is>
          <t>KR</t>
        </is>
      </c>
      <c r="H1587" s="12" t="n">
        <v>-287.49</v>
      </c>
      <c r="I1587" s="17" t="n">
        <v>45665</v>
      </c>
      <c r="J1587" s="17" t="n">
        <v>45695</v>
      </c>
      <c r="K1587" t="inlineStr">
        <is>
          <t>Vendor Invoice MUNICIPIO DE SAO BENTO DO NORTE E24</t>
        </is>
      </c>
    </row>
    <row r="1588">
      <c r="A1588" t="inlineStr">
        <is>
          <t>101746</t>
        </is>
      </c>
      <c r="B1588" t="inlineStr">
        <is>
          <t>SECRETARIA DA FAZENDA DO ESTADO DO</t>
        </is>
      </c>
      <c r="C1588" t="n">
        <v>2111000000</v>
      </c>
      <c r="D1588" t="inlineStr">
        <is>
          <t>Customs Brokerage – Overall</t>
        </is>
      </c>
      <c r="E1588" t="n">
        <v>5003469</v>
      </c>
      <c r="F1588" t="inlineStr">
        <is>
          <t>GNRE FL12 CT 474</t>
        </is>
      </c>
      <c r="G1588" t="inlineStr">
        <is>
          <t>KR</t>
        </is>
      </c>
      <c r="H1588" s="12" t="n">
        <v>-144.48</v>
      </c>
      <c r="I1588" s="17" t="n">
        <v>45320</v>
      </c>
      <c r="J1588" s="17" t="n">
        <v>45322</v>
      </c>
      <c r="K1588" t="inlineStr">
        <is>
          <t>Fatura do fornecedor SECRETARIA DA FAZENDA DO ESTA</t>
        </is>
      </c>
    </row>
    <row r="1589">
      <c r="A1589" t="inlineStr">
        <is>
          <t>101746</t>
        </is>
      </c>
      <c r="B1589" t="inlineStr">
        <is>
          <t>SECRETARIA DA FAZENDA DO ESTADO DO</t>
        </is>
      </c>
      <c r="C1589" t="n">
        <v>2111000000</v>
      </c>
      <c r="D1589" t="inlineStr">
        <is>
          <t>Customs Brokerage – Overall</t>
        </is>
      </c>
      <c r="E1589" t="n">
        <v>5003470</v>
      </c>
      <c r="F1589" t="inlineStr">
        <is>
          <t>GNRE FL12 CT1203</t>
        </is>
      </c>
      <c r="G1589" t="inlineStr">
        <is>
          <t>KR</t>
        </is>
      </c>
      <c r="H1589" s="12" t="n">
        <v>-81.36</v>
      </c>
      <c r="I1589" s="17" t="n">
        <v>45320</v>
      </c>
      <c r="J1589" s="17" t="n">
        <v>45322</v>
      </c>
      <c r="K1589" t="inlineStr">
        <is>
          <t>Fatura do fornecedor SECRETARIA DA FAZENDA DO ESTA</t>
        </is>
      </c>
    </row>
    <row r="1590">
      <c r="A1590" t="inlineStr">
        <is>
          <t>101918</t>
        </is>
      </c>
      <c r="B1590" t="inlineStr">
        <is>
          <t>MUNICIPIO DE AREIA BRANCA</t>
        </is>
      </c>
      <c r="C1590" t="n">
        <v>2111000000</v>
      </c>
      <c r="D1590" t="inlineStr">
        <is>
          <t>Taxes Payable</t>
        </is>
      </c>
      <c r="E1590" t="n">
        <v>5003470</v>
      </c>
      <c r="F1590" t="inlineStr">
        <is>
          <t>E24086-E24073</t>
        </is>
      </c>
      <c r="G1590" t="inlineStr">
        <is>
          <t>KR</t>
        </is>
      </c>
      <c r="H1590" s="12" t="n">
        <v>-574.98</v>
      </c>
      <c r="I1590" s="17" t="n">
        <v>45665</v>
      </c>
      <c r="J1590" s="17" t="n">
        <v>45665</v>
      </c>
      <c r="K1590" t="inlineStr">
        <is>
          <t>Vendor Invoice MUNICIPIO DE AREIA BRANCA E24086-E2</t>
        </is>
      </c>
    </row>
    <row r="1591">
      <c r="A1591" t="inlineStr">
        <is>
          <t>101998</t>
        </is>
      </c>
      <c r="B1591" t="inlineStr">
        <is>
          <t>MUNICIPIO DE SERRA DO MEL</t>
        </is>
      </c>
      <c r="C1591" t="n">
        <v>2111000000</v>
      </c>
      <c r="D1591" t="inlineStr">
        <is>
          <t>Taxes Payable</t>
        </is>
      </c>
      <c r="E1591" t="n">
        <v>5003471</v>
      </c>
      <c r="F1591" t="inlineStr">
        <is>
          <t>E24085-E24084-E2</t>
        </is>
      </c>
      <c r="G1591" t="inlineStr">
        <is>
          <t>KR</t>
        </is>
      </c>
      <c r="H1591" s="12" t="n">
        <v>-862.47</v>
      </c>
      <c r="I1591" s="17" t="n">
        <v>45665</v>
      </c>
      <c r="J1591" s="17" t="n">
        <v>45665</v>
      </c>
      <c r="K1591" t="inlineStr">
        <is>
          <t>Vendor Invoice MUNICIPIO DE SERRA DO MEL E24085-E2</t>
        </is>
      </c>
    </row>
    <row r="1592">
      <c r="A1592" t="inlineStr">
        <is>
          <t>101746</t>
        </is>
      </c>
      <c r="B1592" t="inlineStr">
        <is>
          <t>SECRETARIA DA FAZENDA DO ESTADO DO</t>
        </is>
      </c>
      <c r="C1592" t="n">
        <v>2111000000</v>
      </c>
      <c r="D1592" t="inlineStr">
        <is>
          <t>Customs Brokerage – Overall</t>
        </is>
      </c>
      <c r="E1592" t="n">
        <v>5003472</v>
      </c>
      <c r="F1592" t="inlineStr">
        <is>
          <t>GNRE FL12 CT1213</t>
        </is>
      </c>
      <c r="G1592" t="inlineStr">
        <is>
          <t>KR</t>
        </is>
      </c>
      <c r="H1592" s="12" t="n">
        <v>-79.03</v>
      </c>
      <c r="I1592" s="17" t="n">
        <v>45320</v>
      </c>
      <c r="J1592" s="17" t="n">
        <v>45322</v>
      </c>
      <c r="K1592" t="inlineStr">
        <is>
          <t>Fatura do fornecedor SECRETARIA DA FAZENDA DO ESTA</t>
        </is>
      </c>
    </row>
    <row r="1593">
      <c r="A1593" t="inlineStr">
        <is>
          <t>101746</t>
        </is>
      </c>
      <c r="B1593" t="inlineStr">
        <is>
          <t>SECRETARIA DA FAZENDA DO ESTADO DO</t>
        </is>
      </c>
      <c r="C1593" t="n">
        <v>2111000000</v>
      </c>
      <c r="D1593" t="inlineStr">
        <is>
          <t>Customs Brokerage – Overall</t>
        </is>
      </c>
      <c r="E1593" t="n">
        <v>5003474</v>
      </c>
      <c r="F1593" t="inlineStr">
        <is>
          <t>GNRE FL12 C22469</t>
        </is>
      </c>
      <c r="G1593" t="inlineStr">
        <is>
          <t>KR</t>
        </is>
      </c>
      <c r="H1593" s="12" t="n">
        <v>-552.25</v>
      </c>
      <c r="I1593" s="17" t="n">
        <v>45320</v>
      </c>
      <c r="J1593" s="17" t="n">
        <v>45322</v>
      </c>
      <c r="K1593" t="inlineStr">
        <is>
          <t>Fatura do fornecedor SECRETARIA DA FAZENDA DO ESTA</t>
        </is>
      </c>
    </row>
    <row r="1594">
      <c r="A1594" t="inlineStr">
        <is>
          <t>101746</t>
        </is>
      </c>
      <c r="B1594" t="inlineStr">
        <is>
          <t>SECRETARIA DA FAZENDA DO ESTADO DO</t>
        </is>
      </c>
      <c r="C1594" t="n">
        <v>2111000000</v>
      </c>
      <c r="D1594" t="inlineStr">
        <is>
          <t>Customs Brokerage – Overall</t>
        </is>
      </c>
      <c r="E1594" t="n">
        <v>5003475</v>
      </c>
      <c r="F1594" t="inlineStr">
        <is>
          <t>GNRE FL12 C22475</t>
        </is>
      </c>
      <c r="G1594" t="inlineStr">
        <is>
          <t>KR</t>
        </is>
      </c>
      <c r="H1594" s="12" t="n">
        <v>-552.4400000000001</v>
      </c>
      <c r="I1594" s="17" t="n">
        <v>45320</v>
      </c>
      <c r="J1594" s="17" t="n">
        <v>45322</v>
      </c>
      <c r="K1594" t="inlineStr">
        <is>
          <t>Fatura do fornecedor SECRETARIA DA FAZENDA DO ESTA</t>
        </is>
      </c>
    </row>
    <row r="1595">
      <c r="A1595" t="inlineStr">
        <is>
          <t>101746</t>
        </is>
      </c>
      <c r="B1595" t="inlineStr">
        <is>
          <t>SECRETARIA DA FAZENDA DO ESTADO DO</t>
        </is>
      </c>
      <c r="C1595" t="n">
        <v>2111000000</v>
      </c>
      <c r="D1595" t="inlineStr">
        <is>
          <t>Customs Brokerage – Overall</t>
        </is>
      </c>
      <c r="E1595" t="n">
        <v>5003477</v>
      </c>
      <c r="F1595" t="inlineStr">
        <is>
          <t>GNRE FL12 C22476</t>
        </is>
      </c>
      <c r="G1595" t="inlineStr">
        <is>
          <t>KR</t>
        </is>
      </c>
      <c r="H1595" s="12" t="n">
        <v>-543.84</v>
      </c>
      <c r="I1595" s="17" t="n">
        <v>45320</v>
      </c>
      <c r="J1595" s="17" t="n">
        <v>45322</v>
      </c>
      <c r="K1595" t="inlineStr">
        <is>
          <t>Fatura do fornecedor SECRETARIA DA FAZENDA DO ESTA</t>
        </is>
      </c>
    </row>
    <row r="1596">
      <c r="A1596" t="inlineStr">
        <is>
          <t>101746</t>
        </is>
      </c>
      <c r="B1596" t="inlineStr">
        <is>
          <t>SECRETARIA DA FAZENDA DO ESTADO DO</t>
        </is>
      </c>
      <c r="C1596" t="n">
        <v>2111000000</v>
      </c>
      <c r="D1596" t="inlineStr">
        <is>
          <t>Customs Brokerage – Overall</t>
        </is>
      </c>
      <c r="E1596" t="n">
        <v>5003478</v>
      </c>
      <c r="F1596" t="inlineStr">
        <is>
          <t>GNRE FL12 C22482</t>
        </is>
      </c>
      <c r="G1596" t="inlineStr">
        <is>
          <t>KR</t>
        </is>
      </c>
      <c r="H1596" s="12" t="n">
        <v>-555.67</v>
      </c>
      <c r="I1596" s="17" t="n">
        <v>45320</v>
      </c>
      <c r="J1596" s="17" t="n">
        <v>45322</v>
      </c>
      <c r="K1596" t="inlineStr">
        <is>
          <t>Fatura do fornecedor SECRETARIA DA FAZENDA DO ESTA</t>
        </is>
      </c>
    </row>
    <row r="1597">
      <c r="A1597" t="inlineStr">
        <is>
          <t>101746</t>
        </is>
      </c>
      <c r="B1597" t="inlineStr">
        <is>
          <t>SECRETARIA DA FAZENDA DO ESTADO DO</t>
        </is>
      </c>
      <c r="C1597" t="n">
        <v>2111000000</v>
      </c>
      <c r="D1597" t="inlineStr">
        <is>
          <t>Customs Brokerage – Overall</t>
        </is>
      </c>
      <c r="E1597" t="n">
        <v>5003479</v>
      </c>
      <c r="F1597" t="inlineStr">
        <is>
          <t>GNRE FL12 C22501</t>
        </is>
      </c>
      <c r="G1597" t="inlineStr">
        <is>
          <t>KR</t>
        </is>
      </c>
      <c r="H1597" s="12" t="n">
        <v>-547.65</v>
      </c>
      <c r="I1597" s="17" t="n">
        <v>45320</v>
      </c>
      <c r="J1597" s="17" t="n">
        <v>45322</v>
      </c>
      <c r="K1597" t="inlineStr">
        <is>
          <t>Fatura do fornecedor SECRETARIA DA FAZENDA DO ESTA</t>
        </is>
      </c>
    </row>
    <row r="1598">
      <c r="A1598" t="inlineStr">
        <is>
          <t>101746</t>
        </is>
      </c>
      <c r="B1598" t="inlineStr">
        <is>
          <t>SECRETARIA DA FAZENDA DO ESTADO DO</t>
        </is>
      </c>
      <c r="C1598" t="n">
        <v>2111000000</v>
      </c>
      <c r="D1598" t="inlineStr">
        <is>
          <t>Customs Brokerage – Overall</t>
        </is>
      </c>
      <c r="E1598" t="n">
        <v>5003482</v>
      </c>
      <c r="F1598" t="inlineStr">
        <is>
          <t>GNRE FL12 C22519</t>
        </is>
      </c>
      <c r="G1598" t="inlineStr">
        <is>
          <t>KR</t>
        </is>
      </c>
      <c r="H1598" s="12" t="n">
        <v>-528.87</v>
      </c>
      <c r="I1598" s="17" t="n">
        <v>45320</v>
      </c>
      <c r="J1598" s="17" t="n">
        <v>45322</v>
      </c>
      <c r="K1598" t="inlineStr">
        <is>
          <t>Fatura do fornecedor SECRETARIA DA FAZENDA DO ESTA</t>
        </is>
      </c>
    </row>
    <row r="1599">
      <c r="A1599" t="inlineStr">
        <is>
          <t>101746</t>
        </is>
      </c>
      <c r="B1599" t="inlineStr">
        <is>
          <t>SECRETARIA DA FAZENDA DO ESTADO DO</t>
        </is>
      </c>
      <c r="C1599" t="n">
        <v>2111000000</v>
      </c>
      <c r="D1599" t="inlineStr">
        <is>
          <t>Customs Brokerage – Overall</t>
        </is>
      </c>
      <c r="E1599" t="n">
        <v>5003593</v>
      </c>
      <c r="F1599" t="inlineStr">
        <is>
          <t>GNRE FL20 C22467</t>
        </is>
      </c>
      <c r="G1599" t="inlineStr">
        <is>
          <t>KR</t>
        </is>
      </c>
      <c r="H1599" s="12" t="n">
        <v>-1357.89</v>
      </c>
      <c r="I1599" s="17" t="n">
        <v>45320</v>
      </c>
      <c r="J1599" s="17" t="n">
        <v>45322</v>
      </c>
      <c r="K1599" t="inlineStr">
        <is>
          <t>Fatura do fornecedor SECRETARIA DA FAZENDA DO ESTA</t>
        </is>
      </c>
    </row>
    <row r="1600">
      <c r="A1600" t="inlineStr">
        <is>
          <t>101746</t>
        </is>
      </c>
      <c r="B1600" t="inlineStr">
        <is>
          <t>SECRETARIA DA FAZENDA DO ESTADO DO</t>
        </is>
      </c>
      <c r="C1600" t="n">
        <v>2111000000</v>
      </c>
      <c r="D1600" t="inlineStr">
        <is>
          <t>Customs Brokerage – Overall</t>
        </is>
      </c>
      <c r="E1600" t="n">
        <v>5003594</v>
      </c>
      <c r="F1600" t="inlineStr">
        <is>
          <t>GNRE FL20 C22468</t>
        </is>
      </c>
      <c r="G1600" t="inlineStr">
        <is>
          <t>KR</t>
        </is>
      </c>
      <c r="H1600" s="12" t="n">
        <v>-1357.89</v>
      </c>
      <c r="I1600" s="17" t="n">
        <v>45320</v>
      </c>
      <c r="J1600" s="17" t="n">
        <v>45322</v>
      </c>
      <c r="K1600" t="inlineStr">
        <is>
          <t>Fatura do fornecedor SECRETARIA DA FAZENDA DO ESTA</t>
        </is>
      </c>
    </row>
    <row r="1601">
      <c r="A1601" t="inlineStr">
        <is>
          <t>101746</t>
        </is>
      </c>
      <c r="B1601" t="inlineStr">
        <is>
          <t>SECRETARIA DA FAZENDA DO ESTADO DO</t>
        </is>
      </c>
      <c r="C1601" t="n">
        <v>2111000000</v>
      </c>
      <c r="D1601" t="inlineStr">
        <is>
          <t>Customs Brokerage – Overall</t>
        </is>
      </c>
      <c r="E1601" t="n">
        <v>5003596</v>
      </c>
      <c r="F1601" t="inlineStr">
        <is>
          <t>GNRE FL20 C22483</t>
        </is>
      </c>
      <c r="G1601" t="inlineStr">
        <is>
          <t>KR</t>
        </is>
      </c>
      <c r="H1601" s="12" t="n">
        <v>-1384.84</v>
      </c>
      <c r="I1601" s="17" t="n">
        <v>45320</v>
      </c>
      <c r="J1601" s="17" t="n">
        <v>45322</v>
      </c>
      <c r="K1601" t="inlineStr">
        <is>
          <t>Fatura do fornecedor SECRETARIA DA FAZENDA DO ESTA</t>
        </is>
      </c>
    </row>
    <row r="1602">
      <c r="A1602" t="inlineStr">
        <is>
          <t>101746</t>
        </is>
      </c>
      <c r="B1602" t="inlineStr">
        <is>
          <t>SECRETARIA DA FAZENDA DO ESTADO DO</t>
        </is>
      </c>
      <c r="C1602" t="n">
        <v>2111000000</v>
      </c>
      <c r="D1602" t="inlineStr">
        <is>
          <t>Customs Brokerage – Overall</t>
        </is>
      </c>
      <c r="E1602" t="n">
        <v>5003597</v>
      </c>
      <c r="F1602" t="inlineStr">
        <is>
          <t>GNRE FL20 C22484</t>
        </is>
      </c>
      <c r="G1602" t="inlineStr">
        <is>
          <t>KR</t>
        </is>
      </c>
      <c r="H1602" s="12" t="n">
        <v>-1378.33</v>
      </c>
      <c r="I1602" s="17" t="n">
        <v>45320</v>
      </c>
      <c r="J1602" s="17" t="n">
        <v>45322</v>
      </c>
      <c r="K1602" t="inlineStr">
        <is>
          <t>Fatura do fornecedor SECRETARIA DA FAZENDA DO ESTA</t>
        </is>
      </c>
    </row>
    <row r="1603">
      <c r="A1603" t="inlineStr">
        <is>
          <t>101746</t>
        </is>
      </c>
      <c r="B1603" t="inlineStr">
        <is>
          <t>SECRETARIA DA FAZENDA DO ESTADO DO</t>
        </is>
      </c>
      <c r="C1603" t="n">
        <v>2111000000</v>
      </c>
      <c r="D1603" t="inlineStr">
        <is>
          <t>Customs Brokerage – Overall</t>
        </is>
      </c>
      <c r="E1603" t="n">
        <v>5003601</v>
      </c>
      <c r="F1603" t="inlineStr">
        <is>
          <t>GNRE FL20 C22485</t>
        </is>
      </c>
      <c r="G1603" t="inlineStr">
        <is>
          <t>KR</t>
        </is>
      </c>
      <c r="H1603" s="12" t="n">
        <v>-1405.34</v>
      </c>
      <c r="I1603" s="17" t="n">
        <v>45320</v>
      </c>
      <c r="J1603" s="17" t="n">
        <v>45322</v>
      </c>
      <c r="K1603" t="inlineStr">
        <is>
          <t>Fatura do fornecedor SECRETARIA DA FAZENDA DO ESTA</t>
        </is>
      </c>
    </row>
    <row r="1604">
      <c r="A1604" t="inlineStr">
        <is>
          <t>101746</t>
        </is>
      </c>
      <c r="B1604" t="inlineStr">
        <is>
          <t>SECRETARIA DA FAZENDA DO ESTADO DO</t>
        </is>
      </c>
      <c r="C1604" t="n">
        <v>2111000000</v>
      </c>
      <c r="D1604" t="inlineStr">
        <is>
          <t>Customs Brokerage – Overall</t>
        </is>
      </c>
      <c r="E1604" t="n">
        <v>5003602</v>
      </c>
      <c r="F1604" t="inlineStr">
        <is>
          <t>GNRE FL20 C22492</t>
        </is>
      </c>
      <c r="G1604" t="inlineStr">
        <is>
          <t>KR</t>
        </is>
      </c>
      <c r="H1604" s="12" t="n">
        <v>-1394.77</v>
      </c>
      <c r="I1604" s="17" t="n">
        <v>45320</v>
      </c>
      <c r="J1604" s="17" t="n">
        <v>45322</v>
      </c>
      <c r="K1604" t="inlineStr">
        <is>
          <t>Fatura do fornecedor SECRETARIA DA FAZENDA DO ESTA</t>
        </is>
      </c>
    </row>
    <row r="1605">
      <c r="A1605" t="inlineStr">
        <is>
          <t>101746</t>
        </is>
      </c>
      <c r="B1605" t="inlineStr">
        <is>
          <t>SECRETARIA DA FAZENDA DO ESTADO DO</t>
        </is>
      </c>
      <c r="C1605" t="n">
        <v>2111000000</v>
      </c>
      <c r="D1605" t="inlineStr">
        <is>
          <t>Customs Brokerage – Overall</t>
        </is>
      </c>
      <c r="E1605" t="n">
        <v>5003603</v>
      </c>
      <c r="F1605" t="inlineStr">
        <is>
          <t>GNRE FL20 C22493</t>
        </is>
      </c>
      <c r="G1605" t="inlineStr">
        <is>
          <t>KR</t>
        </is>
      </c>
      <c r="H1605" s="12" t="n">
        <v>-1486.56</v>
      </c>
      <c r="I1605" s="17" t="n">
        <v>45320</v>
      </c>
      <c r="J1605" s="17" t="n">
        <v>45322</v>
      </c>
      <c r="K1605" t="inlineStr">
        <is>
          <t>Fatura do fornecedor SECRETARIA DA FAZENDA DO ESTA</t>
        </is>
      </c>
    </row>
    <row r="1606">
      <c r="A1606" t="inlineStr">
        <is>
          <t>101746</t>
        </is>
      </c>
      <c r="B1606" t="inlineStr">
        <is>
          <t>SECRETARIA DA FAZENDA DO ESTADO DO</t>
        </is>
      </c>
      <c r="C1606" t="n">
        <v>2111000000</v>
      </c>
      <c r="D1606" t="inlineStr">
        <is>
          <t>Customs Brokerage – Overall</t>
        </is>
      </c>
      <c r="E1606" t="n">
        <v>5003608</v>
      </c>
      <c r="F1606" t="inlineStr">
        <is>
          <t>GNRE FL20 C22497</t>
        </is>
      </c>
      <c r="G1606" t="inlineStr">
        <is>
          <t>KR</t>
        </is>
      </c>
      <c r="H1606" s="12" t="n">
        <v>-1335.34</v>
      </c>
      <c r="I1606" s="17" t="n">
        <v>45320</v>
      </c>
      <c r="J1606" s="17" t="n">
        <v>45322</v>
      </c>
      <c r="K1606" t="inlineStr">
        <is>
          <t>Fatura do fornecedor SECRETARIA DA FAZENDA DO ESTA</t>
        </is>
      </c>
    </row>
    <row r="1607">
      <c r="A1607" t="inlineStr">
        <is>
          <t>101746</t>
        </is>
      </c>
      <c r="B1607" t="inlineStr">
        <is>
          <t>SECRETARIA DA FAZENDA DO ESTADO DO</t>
        </is>
      </c>
      <c r="C1607" t="n">
        <v>2111000000</v>
      </c>
      <c r="D1607" t="inlineStr">
        <is>
          <t>Customs Brokerage – Overall</t>
        </is>
      </c>
      <c r="E1607" t="n">
        <v>5003610</v>
      </c>
      <c r="F1607" t="inlineStr">
        <is>
          <t>GNRE FL20 C22498</t>
        </is>
      </c>
      <c r="G1607" t="inlineStr">
        <is>
          <t>KR</t>
        </is>
      </c>
      <c r="H1607" s="12" t="n">
        <v>-1335.34</v>
      </c>
      <c r="I1607" s="17" t="n">
        <v>45320</v>
      </c>
      <c r="J1607" s="17" t="n">
        <v>45322</v>
      </c>
      <c r="K1607" t="inlineStr">
        <is>
          <t>Fatura do fornecedor SECRETARIA DA FAZENDA DO ESTA</t>
        </is>
      </c>
    </row>
    <row r="1608">
      <c r="A1608" t="inlineStr">
        <is>
          <t>101746</t>
        </is>
      </c>
      <c r="B1608" t="inlineStr">
        <is>
          <t>SECRETARIA DA FAZENDA DO ESTADO DO</t>
        </is>
      </c>
      <c r="C1608" t="n">
        <v>2111000000</v>
      </c>
      <c r="D1608" t="inlineStr">
        <is>
          <t>Customs Brokerage – Overall</t>
        </is>
      </c>
      <c r="E1608" t="n">
        <v>5003612</v>
      </c>
      <c r="F1608" t="inlineStr">
        <is>
          <t>GNRE FL20 C22510</t>
        </is>
      </c>
      <c r="G1608" t="inlineStr">
        <is>
          <t>KR</t>
        </is>
      </c>
      <c r="H1608" s="12" t="n">
        <v>-1374.31</v>
      </c>
      <c r="I1608" s="17" t="n">
        <v>45320</v>
      </c>
      <c r="J1608" s="17" t="n">
        <v>45322</v>
      </c>
      <c r="K1608" t="inlineStr">
        <is>
          <t>Fatura do fornecedor SECRETARIA DA FAZENDA DO ESTA</t>
        </is>
      </c>
    </row>
    <row r="1609">
      <c r="A1609" t="inlineStr">
        <is>
          <t>100759</t>
        </is>
      </c>
      <c r="B1609" t="inlineStr">
        <is>
          <t>MUNICIPIO DE UIBAI</t>
        </is>
      </c>
      <c r="C1609" t="n">
        <v>2111000000</v>
      </c>
      <c r="D1609" t="inlineStr">
        <is>
          <t>Taxes Payable</t>
        </is>
      </c>
      <c r="E1609" t="n">
        <v>5005150</v>
      </c>
      <c r="F1609" t="inlineStr">
        <is>
          <t>176 E 9255</t>
        </is>
      </c>
      <c r="G1609" t="inlineStr">
        <is>
          <t>KR</t>
        </is>
      </c>
      <c r="H1609" s="12" t="n">
        <v>-15090.53</v>
      </c>
      <c r="I1609" s="17" t="n">
        <v>45363</v>
      </c>
      <c r="J1609" s="17" t="n">
        <v>45363</v>
      </c>
      <c r="K1609" t="inlineStr">
        <is>
          <t>SECRETARIAT ADVISORS LLC</t>
        </is>
      </c>
    </row>
    <row r="1610">
      <c r="A1610" t="inlineStr">
        <is>
          <t>107877</t>
        </is>
      </c>
      <c r="B1610" t="inlineStr">
        <is>
          <t>COTECH IRM SERVICES LTDA</t>
        </is>
      </c>
      <c r="C1610" t="n">
        <v>2111000000</v>
      </c>
      <c r="D1610" t="inlineStr">
        <is>
          <t>Operational Suppliers (Wind Farms)</t>
        </is>
      </c>
      <c r="E1610" t="n">
        <v>5005499</v>
      </c>
      <c r="F1610" t="inlineStr">
        <is>
          <t>47/48/49/50/51</t>
        </is>
      </c>
      <c r="G1610" t="inlineStr">
        <is>
          <t>KG</t>
        </is>
      </c>
      <c r="H1610" s="12" t="n">
        <v>15600</v>
      </c>
      <c r="I1610" s="17" t="n">
        <v>46106</v>
      </c>
      <c r="J1610" s="17" t="n">
        <v>46106</v>
      </c>
      <c r="K1610" t="inlineStr">
        <is>
          <t>Nota crédito fornec. COTECH NF 47/48/49/50/51 ISS</t>
        </is>
      </c>
    </row>
    <row r="1611">
      <c r="A1611" t="inlineStr">
        <is>
          <t>101334</t>
        </is>
      </c>
      <c r="B1611" t="inlineStr">
        <is>
          <t>ABRILSAN ASSES EM CART DE PROT LTDA</t>
        </is>
      </c>
      <c r="C1611" t="n">
        <v>2111000000</v>
      </c>
      <c r="D1611" t="inlineStr">
        <is>
          <t>Other Suppliers</t>
        </is>
      </c>
      <c r="E1611" t="n">
        <v>5007567</v>
      </c>
      <c r="F1611" t="inlineStr">
        <is>
          <t>120110</t>
        </is>
      </c>
      <c r="G1611" t="inlineStr">
        <is>
          <t>KR</t>
        </is>
      </c>
      <c r="H1611" s="12" t="n">
        <v>-722.04</v>
      </c>
      <c r="I1611" s="17" t="n">
        <v>45202</v>
      </c>
      <c r="J1611" s="17" t="n">
        <v>45202</v>
      </c>
      <c r="K1611" t="inlineStr">
        <is>
          <t>Fatura do fornecedor ABRILSAN ASSES EM CART DE PRO</t>
        </is>
      </c>
    </row>
    <row r="1612">
      <c r="A1612" t="inlineStr">
        <is>
          <t>101334</t>
        </is>
      </c>
      <c r="B1612" t="inlineStr">
        <is>
          <t>ABRILSAN ASSES EM CART DE PROT LTDA</t>
        </is>
      </c>
      <c r="C1612" t="n">
        <v>2111000000</v>
      </c>
      <c r="D1612" t="inlineStr">
        <is>
          <t>Other Suppliers</t>
        </is>
      </c>
      <c r="E1612" t="n">
        <v>5007569</v>
      </c>
      <c r="F1612" t="inlineStr">
        <is>
          <t>120401</t>
        </is>
      </c>
      <c r="G1612" t="inlineStr">
        <is>
          <t>KR</t>
        </is>
      </c>
      <c r="H1612" s="12" t="n">
        <v>-11.02</v>
      </c>
      <c r="I1612" s="17" t="n">
        <v>45233</v>
      </c>
      <c r="J1612" s="17" t="n">
        <v>45263</v>
      </c>
      <c r="K1612" t="inlineStr">
        <is>
          <t>Fatura do fornecedor ABRILSAN ASSES EM CART DE PRO</t>
        </is>
      </c>
    </row>
    <row r="1613">
      <c r="A1613" t="inlineStr">
        <is>
          <t>100759</t>
        </is>
      </c>
      <c r="B1613" t="inlineStr">
        <is>
          <t>MUNICIPIO DE UIBAI</t>
        </is>
      </c>
      <c r="C1613" t="n">
        <v>2111000000</v>
      </c>
      <c r="D1613" t="inlineStr">
        <is>
          <t>Taxes Payable</t>
        </is>
      </c>
      <c r="E1613" t="n">
        <v>5007825</v>
      </c>
      <c r="F1613" t="inlineStr">
        <is>
          <t>793</t>
        </is>
      </c>
      <c r="G1613" t="inlineStr">
        <is>
          <t>KR</t>
        </is>
      </c>
      <c r="H1613" s="12" t="n">
        <v>-120.41</v>
      </c>
      <c r="I1613" s="17" t="n">
        <v>46112</v>
      </c>
      <c r="J1613" s="17" t="n">
        <v>46112</v>
      </c>
      <c r="K1613" t="inlineStr">
        <is>
          <t>Fatura do fornecedor MUNICIPIO DE UIBAI 793</t>
        </is>
      </c>
    </row>
    <row r="1614">
      <c r="A1614" t="inlineStr">
        <is>
          <t>101560</t>
        </is>
      </c>
      <c r="B1614" t="inlineStr">
        <is>
          <t>SINDICATO DOS DESPACHANTES ADUANEIR DE SAO PAULO SINDASP</t>
        </is>
      </c>
      <c r="C1614" t="n">
        <v>2111000000</v>
      </c>
      <c r="D1614" t="inlineStr">
        <is>
          <t>Customs Brokerage – Overall</t>
        </is>
      </c>
      <c r="E1614" t="n">
        <v>5009332</v>
      </c>
      <c r="F1614" t="inlineStr">
        <is>
          <t>13069094</t>
        </is>
      </c>
      <c r="G1614" t="inlineStr">
        <is>
          <t>KR</t>
        </is>
      </c>
      <c r="H1614" s="12" t="n">
        <v>-500</v>
      </c>
      <c r="I1614" s="17" t="n">
        <v>44485</v>
      </c>
      <c r="J1614" s="17" t="n">
        <v>44485</v>
      </c>
      <c r="K1614" t="inlineStr">
        <is>
          <t>4010003993/4010004216/18</t>
        </is>
      </c>
    </row>
    <row r="1615">
      <c r="A1615" t="inlineStr">
        <is>
          <t>104064</t>
        </is>
      </c>
      <c r="B1615" t="inlineStr">
        <is>
          <t>TRANSPORTES PESADOS MINAS S A 17215039000633</t>
        </is>
      </c>
      <c r="C1615" t="n">
        <v>2111000000</v>
      </c>
      <c r="D1615" t="inlineStr">
        <is>
          <t>Operational Suppliers (Wind Farms)</t>
        </is>
      </c>
      <c r="E1615" t="n">
        <v>5009339</v>
      </c>
      <c r="F1615" t="inlineStr">
        <is>
          <t>9980-1</t>
        </is>
      </c>
      <c r="G1615" t="inlineStr">
        <is>
          <t>RE</t>
        </is>
      </c>
      <c r="H1615" s="12" t="n">
        <v>-91646.92</v>
      </c>
      <c r="I1615" s="17" t="n">
        <v>46149</v>
      </c>
      <c r="J1615" s="17" t="n">
        <v>46239</v>
      </c>
      <c r="K1615" t="inlineStr">
        <is>
          <t>Fatura - bruto TRANSPORTES PESADOS MINAS S A 17215</t>
        </is>
      </c>
    </row>
    <row r="1616">
      <c r="A1616" t="inlineStr">
        <is>
          <t>104064</t>
        </is>
      </c>
      <c r="B1616" t="inlineStr">
        <is>
          <t>TRANSPORTES PESADOS MINAS S A 17215039000633</t>
        </is>
      </c>
      <c r="C1616" t="n">
        <v>2111000000</v>
      </c>
      <c r="D1616" t="inlineStr">
        <is>
          <t>Operational Suppliers (Wind Farms)</t>
        </is>
      </c>
      <c r="E1616" t="n">
        <v>5009340</v>
      </c>
      <c r="F1616" t="inlineStr">
        <is>
          <t>9981-1</t>
        </is>
      </c>
      <c r="G1616" t="inlineStr">
        <is>
          <t>RE</t>
        </is>
      </c>
      <c r="H1616" s="12" t="n">
        <v>-91646.92</v>
      </c>
      <c r="I1616" s="17" t="n">
        <v>46149</v>
      </c>
      <c r="J1616" s="17" t="n">
        <v>46239</v>
      </c>
      <c r="K1616" t="inlineStr">
        <is>
          <t>Fatura - bruto TRANSPORTES PESADOS MINAS S A 17215</t>
        </is>
      </c>
    </row>
    <row r="1617">
      <c r="A1617" t="inlineStr">
        <is>
          <t>104064</t>
        </is>
      </c>
      <c r="B1617" t="inlineStr">
        <is>
          <t>TRANSPORTES PESADOS MINAS S A 17215039000633</t>
        </is>
      </c>
      <c r="C1617" t="n">
        <v>2111000000</v>
      </c>
      <c r="D1617" t="inlineStr">
        <is>
          <t>Operational Suppliers (Wind Farms)</t>
        </is>
      </c>
      <c r="E1617" t="n">
        <v>5009968</v>
      </c>
      <c r="F1617" t="inlineStr">
        <is>
          <t>9985-1</t>
        </is>
      </c>
      <c r="G1617" t="inlineStr">
        <is>
          <t>RE</t>
        </is>
      </c>
      <c r="H1617" s="12" t="n">
        <v>-91646.92</v>
      </c>
      <c r="I1617" s="17" t="n">
        <v>46154</v>
      </c>
      <c r="J1617" s="17" t="n">
        <v>46239</v>
      </c>
      <c r="K1617" t="inlineStr">
        <is>
          <t>Fatura - bruto TRANSPORTES PESADOS MINAS S A 17215</t>
        </is>
      </c>
    </row>
    <row r="1618">
      <c r="A1618" t="inlineStr">
        <is>
          <t>104064</t>
        </is>
      </c>
      <c r="B1618" t="inlineStr">
        <is>
          <t>TRANSPORTES PESADOS MINAS S A 17215039000633</t>
        </is>
      </c>
      <c r="C1618" t="n">
        <v>2111000000</v>
      </c>
      <c r="D1618" t="inlineStr">
        <is>
          <t>Operational Suppliers (Wind Farms)</t>
        </is>
      </c>
      <c r="E1618" t="n">
        <v>5009975</v>
      </c>
      <c r="F1618" t="inlineStr">
        <is>
          <t>9982-1</t>
        </is>
      </c>
      <c r="G1618" t="inlineStr">
        <is>
          <t>RE</t>
        </is>
      </c>
      <c r="H1618" s="12" t="n">
        <v>-91908.25999999999</v>
      </c>
      <c r="I1618" s="17" t="n">
        <v>46154</v>
      </c>
      <c r="J1618" s="17" t="n">
        <v>46239</v>
      </c>
      <c r="K1618" t="inlineStr">
        <is>
          <t>Fatura - bruto TRANSPORTES PESADOS MINAS S A 17215</t>
        </is>
      </c>
    </row>
    <row r="1619">
      <c r="A1619" t="inlineStr">
        <is>
          <t>104064</t>
        </is>
      </c>
      <c r="B1619" t="inlineStr">
        <is>
          <t>TRANSPORTES PESADOS MINAS S A 17215039000633</t>
        </is>
      </c>
      <c r="C1619" t="n">
        <v>2111000000</v>
      </c>
      <c r="D1619" t="inlineStr">
        <is>
          <t>Operational Suppliers (Wind Farms)</t>
        </is>
      </c>
      <c r="E1619" t="n">
        <v>5009976</v>
      </c>
      <c r="F1619" t="inlineStr">
        <is>
          <t>9983-1</t>
        </is>
      </c>
      <c r="G1619" t="inlineStr">
        <is>
          <t>RE</t>
        </is>
      </c>
      <c r="H1619" s="12" t="n">
        <v>-91908.25999999999</v>
      </c>
      <c r="I1619" s="17" t="n">
        <v>46154</v>
      </c>
      <c r="J1619" s="17" t="n">
        <v>46239</v>
      </c>
      <c r="K1619" t="inlineStr">
        <is>
          <t>Fatura - bruto TRANSPORTES PESADOS MINAS S A 17215</t>
        </is>
      </c>
    </row>
    <row r="1620">
      <c r="A1620" t="inlineStr">
        <is>
          <t>104064</t>
        </is>
      </c>
      <c r="B1620" t="inlineStr">
        <is>
          <t>TRANSPORTES PESADOS MINAS S A 17215039000633</t>
        </is>
      </c>
      <c r="C1620" t="n">
        <v>2111000000</v>
      </c>
      <c r="D1620" t="inlineStr">
        <is>
          <t>Operational Suppliers (Wind Farms)</t>
        </is>
      </c>
      <c r="E1620" t="n">
        <v>5009977</v>
      </c>
      <c r="F1620" t="inlineStr">
        <is>
          <t>9984-1</t>
        </is>
      </c>
      <c r="G1620" t="inlineStr">
        <is>
          <t>RE</t>
        </is>
      </c>
      <c r="H1620" s="12" t="n">
        <v>-91908.25999999999</v>
      </c>
      <c r="I1620" s="17" t="n">
        <v>46154</v>
      </c>
      <c r="J1620" s="17" t="n">
        <v>46239</v>
      </c>
      <c r="K1620" t="inlineStr">
        <is>
          <t>Fatura - bruto TRANSPORTES PESADOS MINAS S A 17215</t>
        </is>
      </c>
    </row>
    <row r="1621">
      <c r="A1621" t="inlineStr">
        <is>
          <t>104064</t>
        </is>
      </c>
      <c r="B1621" t="inlineStr">
        <is>
          <t>TRANSPORTES PESADOS MINAS S A 17215039000633</t>
        </is>
      </c>
      <c r="C1621" t="n">
        <v>2111000000</v>
      </c>
      <c r="D1621" t="inlineStr">
        <is>
          <t>Operational Suppliers (Wind Farms)</t>
        </is>
      </c>
      <c r="E1621" t="n">
        <v>5010103</v>
      </c>
      <c r="F1621" t="inlineStr">
        <is>
          <t>10001-1</t>
        </is>
      </c>
      <c r="G1621" t="inlineStr">
        <is>
          <t>RE</t>
        </is>
      </c>
      <c r="H1621" s="12" t="n">
        <v>-34100.55</v>
      </c>
      <c r="I1621" s="17" t="n">
        <v>46160</v>
      </c>
      <c r="J1621" s="17" t="n">
        <v>46239</v>
      </c>
      <c r="K1621" t="inlineStr">
        <is>
          <t>Fatura - bruto TRANSPORTES PESADOS MINAS S A 17215</t>
        </is>
      </c>
    </row>
    <row r="1622">
      <c r="A1622" t="inlineStr">
        <is>
          <t>104064</t>
        </is>
      </c>
      <c r="B1622" t="inlineStr">
        <is>
          <t>TRANSPORTES PESADOS MINAS S A 17215039000633</t>
        </is>
      </c>
      <c r="C1622" t="n">
        <v>2111000000</v>
      </c>
      <c r="D1622" t="inlineStr">
        <is>
          <t>Operational Suppliers (Wind Farms)</t>
        </is>
      </c>
      <c r="E1622" t="n">
        <v>5010104</v>
      </c>
      <c r="F1622" t="inlineStr">
        <is>
          <t>10000-1</t>
        </is>
      </c>
      <c r="G1622" t="inlineStr">
        <is>
          <t>RE</t>
        </is>
      </c>
      <c r="H1622" s="12" t="n">
        <v>-34100.55</v>
      </c>
      <c r="I1622" s="17" t="n">
        <v>46160</v>
      </c>
      <c r="J1622" s="17" t="n">
        <v>46239</v>
      </c>
      <c r="K1622" t="inlineStr">
        <is>
          <t>Fatura - bruto TRANSPORTES PESADOS MINAS S A 17215</t>
        </is>
      </c>
    </row>
    <row r="1623">
      <c r="A1623" t="inlineStr">
        <is>
          <t>104064</t>
        </is>
      </c>
      <c r="B1623" t="inlineStr">
        <is>
          <t>TRANSPORTES PESADOS MINAS S A 17215039000633</t>
        </is>
      </c>
      <c r="C1623" t="n">
        <v>2111000000</v>
      </c>
      <c r="D1623" t="inlineStr">
        <is>
          <t>Operational Suppliers (Wind Farms)</t>
        </is>
      </c>
      <c r="E1623" t="n">
        <v>5010217</v>
      </c>
      <c r="F1623" t="inlineStr">
        <is>
          <t>9999-1</t>
        </is>
      </c>
      <c r="G1623" t="inlineStr">
        <is>
          <t>RE</t>
        </is>
      </c>
      <c r="H1623" s="12" t="n">
        <v>-34100.55</v>
      </c>
      <c r="I1623" s="17" t="n">
        <v>46160</v>
      </c>
      <c r="J1623" s="17" t="n">
        <v>46239</v>
      </c>
      <c r="K1623" t="inlineStr">
        <is>
          <t>Fatura - bruto TRANSPORTES PESADOS MINAS S A 17215</t>
        </is>
      </c>
    </row>
    <row r="1624">
      <c r="A1624" t="inlineStr">
        <is>
          <t>102071</t>
        </is>
      </c>
      <c r="B1624" t="inlineStr">
        <is>
          <t>HINE DO BRASIL IND E COM HIDR E PN</t>
        </is>
      </c>
      <c r="C1624" t="n">
        <v>2111000000</v>
      </c>
      <c r="D1624" t="inlineStr">
        <is>
          <t>Other Suppliers</t>
        </is>
      </c>
      <c r="E1624" t="n">
        <v>5010323</v>
      </c>
      <c r="F1624" t="inlineStr">
        <is>
          <t>000083013-1</t>
        </is>
      </c>
      <c r="G1624" t="inlineStr">
        <is>
          <t>RE</t>
        </is>
      </c>
      <c r="H1624" s="12" t="n">
        <v>-11068.05</v>
      </c>
      <c r="I1624" s="17" t="n">
        <v>45012</v>
      </c>
      <c r="J1624" s="17" t="n">
        <v>45051</v>
      </c>
      <c r="K1624" t="inlineStr">
        <is>
          <t>Fatura - bruto HINE DO BRASIL IND E COM HIDR E PN</t>
        </is>
      </c>
    </row>
    <row r="1625">
      <c r="A1625" t="inlineStr">
        <is>
          <t>101463</t>
        </is>
      </c>
      <c r="B1625" t="inlineStr">
        <is>
          <t>ZURICH MINAS BRASIL SEGUROS S A</t>
        </is>
      </c>
      <c r="C1625" t="n">
        <v>2111000000</v>
      </c>
      <c r="D1625" t="inlineStr">
        <is>
          <t>Insurance</t>
        </is>
      </c>
      <c r="E1625" t="n">
        <v>5010331</v>
      </c>
      <c r="F1625" t="inlineStr">
        <is>
          <t>0250/26</t>
        </is>
      </c>
      <c r="G1625" t="inlineStr">
        <is>
          <t>RE</t>
        </is>
      </c>
      <c r="H1625" s="12" t="n">
        <v>-647.62</v>
      </c>
      <c r="I1625" s="17" t="n">
        <v>46183</v>
      </c>
      <c r="J1625" s="17" t="n">
        <v>46213</v>
      </c>
      <c r="K1625" t="inlineStr">
        <is>
          <t>Invoice Payment. SP: 18899</t>
        </is>
      </c>
    </row>
    <row r="1626">
      <c r="A1626" t="inlineStr">
        <is>
          <t>101463</t>
        </is>
      </c>
      <c r="B1626" t="inlineStr">
        <is>
          <t>ZURICH MINAS BRASIL SEGUROS S A</t>
        </is>
      </c>
      <c r="C1626" t="n">
        <v>2111000000</v>
      </c>
      <c r="D1626" t="inlineStr">
        <is>
          <t>Insurance</t>
        </is>
      </c>
      <c r="E1626" t="n">
        <v>5010349</v>
      </c>
      <c r="F1626" t="inlineStr">
        <is>
          <t>0270/26</t>
        </is>
      </c>
      <c r="G1626" t="inlineStr">
        <is>
          <t>RE</t>
        </is>
      </c>
      <c r="H1626" s="12" t="n">
        <v>-0.29</v>
      </c>
      <c r="I1626" s="17" t="n">
        <v>46183</v>
      </c>
      <c r="J1626" s="17" t="n">
        <v>46213</v>
      </c>
      <c r="K1626" t="inlineStr">
        <is>
          <t>Invoice Payment. SP: 18920</t>
        </is>
      </c>
    </row>
    <row r="1627">
      <c r="A1627" t="inlineStr">
        <is>
          <t>101463</t>
        </is>
      </c>
      <c r="B1627" t="inlineStr">
        <is>
          <t>ZURICH MINAS BRASIL SEGUROS S A</t>
        </is>
      </c>
      <c r="C1627" t="n">
        <v>2111000000</v>
      </c>
      <c r="D1627" t="inlineStr">
        <is>
          <t>Insurance</t>
        </is>
      </c>
      <c r="E1627" t="n">
        <v>5010361</v>
      </c>
      <c r="F1627" t="inlineStr">
        <is>
          <t>0204/26</t>
        </is>
      </c>
      <c r="G1627" t="inlineStr">
        <is>
          <t>RE</t>
        </is>
      </c>
      <c r="H1627" s="12" t="n">
        <v>-708.24</v>
      </c>
      <c r="I1627" s="17" t="n">
        <v>46168</v>
      </c>
      <c r="J1627" s="17" t="n">
        <v>46213</v>
      </c>
      <c r="K1627" t="inlineStr">
        <is>
          <t>Invoice Payment. SP: 18510</t>
        </is>
      </c>
    </row>
    <row r="1628">
      <c r="A1628" t="inlineStr">
        <is>
          <t>101463</t>
        </is>
      </c>
      <c r="B1628" t="inlineStr">
        <is>
          <t>ZURICH MINAS BRASIL SEGUROS S A</t>
        </is>
      </c>
      <c r="C1628" t="n">
        <v>2111000000</v>
      </c>
      <c r="D1628" t="inlineStr">
        <is>
          <t>Insurance</t>
        </is>
      </c>
      <c r="E1628" t="n">
        <v>5010408</v>
      </c>
      <c r="F1628" t="inlineStr">
        <is>
          <t>0164/26</t>
        </is>
      </c>
      <c r="G1628" t="inlineStr">
        <is>
          <t>RE</t>
        </is>
      </c>
      <c r="H1628" s="12" t="n">
        <v>-21472.78</v>
      </c>
      <c r="I1628" s="17" t="n">
        <v>46181</v>
      </c>
      <c r="J1628" s="17" t="n">
        <v>46214</v>
      </c>
      <c r="K1628" t="inlineStr">
        <is>
          <t>Invoice Payment. SP: 18841</t>
        </is>
      </c>
    </row>
    <row r="1629">
      <c r="A1629" t="inlineStr">
        <is>
          <t>101463</t>
        </is>
      </c>
      <c r="B1629" t="inlineStr">
        <is>
          <t>ZURICH MINAS BRASIL SEGUROS S A</t>
        </is>
      </c>
      <c r="C1629" t="n">
        <v>2111000000</v>
      </c>
      <c r="D1629" t="inlineStr">
        <is>
          <t>Insurance</t>
        </is>
      </c>
      <c r="E1629" t="n">
        <v>5010411</v>
      </c>
      <c r="F1629" t="inlineStr">
        <is>
          <t>0208/26</t>
        </is>
      </c>
      <c r="G1629" t="inlineStr">
        <is>
          <t>RE</t>
        </is>
      </c>
      <c r="H1629" s="12" t="n">
        <v>-174.26</v>
      </c>
      <c r="I1629" s="17" t="n">
        <v>46184</v>
      </c>
      <c r="J1629" s="17" t="n">
        <v>46214</v>
      </c>
      <c r="K1629" t="inlineStr">
        <is>
          <t>Invoice Payment. SP: 18980</t>
        </is>
      </c>
    </row>
    <row r="1630">
      <c r="A1630" t="inlineStr">
        <is>
          <t>102113</t>
        </is>
      </c>
      <c r="B1630" t="inlineStr">
        <is>
          <t>3Z MOVIMENTACAO INTELIGENTE LTDA 94772233000237</t>
        </is>
      </c>
      <c r="C1630" t="n">
        <v>2111000000</v>
      </c>
      <c r="D1630" t="inlineStr">
        <is>
          <t>Operational Suppliers (Wind Farms)</t>
        </is>
      </c>
      <c r="E1630" t="n">
        <v>5010638</v>
      </c>
      <c r="F1630" t="inlineStr">
        <is>
          <t>218</t>
        </is>
      </c>
      <c r="G1630" t="inlineStr">
        <is>
          <t>RE</t>
        </is>
      </c>
      <c r="H1630" s="12" t="n">
        <v>-3873242.29</v>
      </c>
      <c r="I1630" s="17" t="n">
        <v>46182</v>
      </c>
      <c r="J1630" s="17" t="n">
        <v>46272</v>
      </c>
      <c r="K1630" t="inlineStr">
        <is>
          <t>Fatura - bruto 3Z MOVIMENTACAO INTELIGENTE LTDA 94</t>
        </is>
      </c>
    </row>
    <row r="1631">
      <c r="A1631" t="inlineStr">
        <is>
          <t>101463</t>
        </is>
      </c>
      <c r="B1631" t="inlineStr">
        <is>
          <t>ZURICH MINAS BRASIL SEGUROS S A</t>
        </is>
      </c>
      <c r="C1631" t="n">
        <v>2111000000</v>
      </c>
      <c r="D1631" t="inlineStr">
        <is>
          <t>Insurance</t>
        </is>
      </c>
      <c r="E1631" t="n">
        <v>5010825</v>
      </c>
      <c r="F1631" t="inlineStr">
        <is>
          <t>0209/26</t>
        </is>
      </c>
      <c r="G1631" t="inlineStr">
        <is>
          <t>RE</t>
        </is>
      </c>
      <c r="H1631" s="12" t="n">
        <v>-214.58</v>
      </c>
      <c r="I1631" s="17" t="n">
        <v>46190</v>
      </c>
      <c r="J1631" s="17" t="n">
        <v>46220</v>
      </c>
      <c r="K1631" t="inlineStr">
        <is>
          <t>Invoice Payment. SP: 19079</t>
        </is>
      </c>
    </row>
    <row r="1632">
      <c r="A1632" t="inlineStr">
        <is>
          <t>101463</t>
        </is>
      </c>
      <c r="B1632" t="inlineStr">
        <is>
          <t>ZURICH MINAS BRASIL SEGUROS S A</t>
        </is>
      </c>
      <c r="C1632" t="n">
        <v>2111000000</v>
      </c>
      <c r="D1632" t="inlineStr">
        <is>
          <t>Insurance</t>
        </is>
      </c>
      <c r="E1632" t="n">
        <v>5010913</v>
      </c>
      <c r="F1632" t="inlineStr">
        <is>
          <t>0103/26</t>
        </is>
      </c>
      <c r="G1632" t="inlineStr">
        <is>
          <t>RE</t>
        </is>
      </c>
      <c r="H1632" s="12" t="n">
        <v>-39508.37</v>
      </c>
      <c r="I1632" s="17" t="n">
        <v>46192</v>
      </c>
      <c r="J1632" s="17" t="n">
        <v>46222</v>
      </c>
      <c r="K1632" t="inlineStr">
        <is>
          <t>Invoice Payment. SP: 19141</t>
        </is>
      </c>
    </row>
    <row r="1633">
      <c r="A1633" t="inlineStr">
        <is>
          <t>101463</t>
        </is>
      </c>
      <c r="B1633" t="inlineStr">
        <is>
          <t>ZURICH MINAS BRASIL SEGUROS S A</t>
        </is>
      </c>
      <c r="C1633" t="n">
        <v>2111000000</v>
      </c>
      <c r="D1633" t="inlineStr">
        <is>
          <t>Insurance</t>
        </is>
      </c>
      <c r="E1633" t="n">
        <v>5010916</v>
      </c>
      <c r="F1633" t="inlineStr">
        <is>
          <t>0138/26</t>
        </is>
      </c>
      <c r="G1633" t="inlineStr">
        <is>
          <t>RE</t>
        </is>
      </c>
      <c r="H1633" s="12" t="n">
        <v>-23703.24</v>
      </c>
      <c r="I1633" s="17" t="n">
        <v>46192</v>
      </c>
      <c r="J1633" s="17" t="n">
        <v>46222</v>
      </c>
      <c r="K1633" t="inlineStr">
        <is>
          <t>Invoice Payment. SP: 19143</t>
        </is>
      </c>
    </row>
    <row r="1634">
      <c r="A1634" t="inlineStr">
        <is>
          <t>101463</t>
        </is>
      </c>
      <c r="B1634" t="inlineStr">
        <is>
          <t>ZURICH MINAS BRASIL SEGUROS S A</t>
        </is>
      </c>
      <c r="C1634" t="n">
        <v>2111000000</v>
      </c>
      <c r="D1634" t="inlineStr">
        <is>
          <t>Insurance</t>
        </is>
      </c>
      <c r="E1634" t="n">
        <v>5010947</v>
      </c>
      <c r="F1634" t="inlineStr">
        <is>
          <t>0214/26</t>
        </is>
      </c>
      <c r="G1634" t="inlineStr">
        <is>
          <t>RE</t>
        </is>
      </c>
      <c r="H1634" s="12" t="n">
        <v>-9.75</v>
      </c>
      <c r="I1634" s="17" t="n">
        <v>46191</v>
      </c>
      <c r="J1634" s="17" t="n">
        <v>46224</v>
      </c>
      <c r="K1634" t="inlineStr">
        <is>
          <t>Invoice Payment. SP: 19099</t>
        </is>
      </c>
    </row>
    <row r="1635">
      <c r="A1635" t="inlineStr">
        <is>
          <t>102113</t>
        </is>
      </c>
      <c r="B1635" t="inlineStr">
        <is>
          <t>3Z MOVIMENTACAO INTELIGENTE LTDA 94772233000237</t>
        </is>
      </c>
      <c r="C1635" t="n">
        <v>2111000000</v>
      </c>
      <c r="D1635" t="inlineStr">
        <is>
          <t>Operational Suppliers (Wind Farms)</t>
        </is>
      </c>
      <c r="E1635" t="n">
        <v>5010986</v>
      </c>
      <c r="F1635" t="inlineStr">
        <is>
          <t>231</t>
        </is>
      </c>
      <c r="G1635" t="inlineStr">
        <is>
          <t>RE</t>
        </is>
      </c>
      <c r="H1635" s="12" t="n">
        <v>-375820</v>
      </c>
      <c r="I1635" s="17" t="n">
        <v>46189</v>
      </c>
      <c r="J1635" s="17" t="n">
        <v>46279</v>
      </c>
      <c r="K1635" t="inlineStr">
        <is>
          <t>Fatura - bruto 3Z MOVIMENTACAO INTELIGENTE LTDA 94</t>
        </is>
      </c>
    </row>
    <row r="1636">
      <c r="A1636" t="inlineStr">
        <is>
          <t>101463</t>
        </is>
      </c>
      <c r="B1636" t="inlineStr">
        <is>
          <t>ZURICH MINAS BRASIL SEGUROS S A</t>
        </is>
      </c>
      <c r="C1636" t="n">
        <v>2111000000</v>
      </c>
      <c r="D1636" t="inlineStr">
        <is>
          <t>Insurance</t>
        </is>
      </c>
      <c r="E1636" t="n">
        <v>5010988</v>
      </c>
      <c r="F1636" t="inlineStr">
        <is>
          <t>0266/26</t>
        </is>
      </c>
      <c r="G1636" t="inlineStr">
        <is>
          <t>RE</t>
        </is>
      </c>
      <c r="H1636" s="12" t="n">
        <v>-614.9299999999999</v>
      </c>
      <c r="I1636" s="17" t="n">
        <v>46195</v>
      </c>
      <c r="J1636" s="17" t="n">
        <v>46225</v>
      </c>
      <c r="K1636" t="inlineStr">
        <is>
          <t>Invoice Payment. SP: 19160</t>
        </is>
      </c>
    </row>
    <row r="1637">
      <c r="A1637" t="inlineStr">
        <is>
          <t>101463</t>
        </is>
      </c>
      <c r="B1637" t="inlineStr">
        <is>
          <t>ZURICH MINAS BRASIL SEGUROS S A</t>
        </is>
      </c>
      <c r="C1637" t="n">
        <v>2111000000</v>
      </c>
      <c r="D1637" t="inlineStr">
        <is>
          <t>Insurance</t>
        </is>
      </c>
      <c r="E1637" t="n">
        <v>5010992</v>
      </c>
      <c r="F1637" t="inlineStr">
        <is>
          <t>0267/26</t>
        </is>
      </c>
      <c r="G1637" t="inlineStr">
        <is>
          <t>RE</t>
        </is>
      </c>
      <c r="H1637" s="12" t="n">
        <v>-42.35</v>
      </c>
      <c r="I1637" s="17" t="n">
        <v>46195</v>
      </c>
      <c r="J1637" s="17" t="n">
        <v>46225</v>
      </c>
      <c r="K1637" t="inlineStr">
        <is>
          <t>Invoice Payment. SP: 19162</t>
        </is>
      </c>
    </row>
    <row r="1638">
      <c r="A1638" t="inlineStr">
        <is>
          <t>101463</t>
        </is>
      </c>
      <c r="B1638" t="inlineStr">
        <is>
          <t>ZURICH MINAS BRASIL SEGUROS S A</t>
        </is>
      </c>
      <c r="C1638" t="n">
        <v>2111000000</v>
      </c>
      <c r="D1638" t="inlineStr">
        <is>
          <t>Insurance</t>
        </is>
      </c>
      <c r="E1638" t="n">
        <v>5010996</v>
      </c>
      <c r="F1638" t="inlineStr">
        <is>
          <t>0259/26</t>
        </is>
      </c>
      <c r="G1638" t="inlineStr">
        <is>
          <t>RE</t>
        </is>
      </c>
      <c r="H1638" s="12" t="n">
        <v>-1396.85</v>
      </c>
      <c r="I1638" s="17" t="n">
        <v>46195</v>
      </c>
      <c r="J1638" s="17" t="n">
        <v>46225</v>
      </c>
      <c r="K1638" t="inlineStr">
        <is>
          <t>Invoice Payment. SP: 19179</t>
        </is>
      </c>
    </row>
    <row r="1639">
      <c r="A1639" t="inlineStr">
        <is>
          <t>101463</t>
        </is>
      </c>
      <c r="B1639" t="inlineStr">
        <is>
          <t>ZURICH MINAS BRASIL SEGUROS S A</t>
        </is>
      </c>
      <c r="C1639" t="n">
        <v>2111000000</v>
      </c>
      <c r="D1639" t="inlineStr">
        <is>
          <t>Insurance</t>
        </is>
      </c>
      <c r="E1639" t="n">
        <v>5011002</v>
      </c>
      <c r="F1639" t="inlineStr">
        <is>
          <t>0268/26</t>
        </is>
      </c>
      <c r="G1639" t="inlineStr">
        <is>
          <t>RE</t>
        </is>
      </c>
      <c r="H1639" s="12" t="n">
        <v>-2.15</v>
      </c>
      <c r="I1639" s="17" t="n">
        <v>46195</v>
      </c>
      <c r="J1639" s="17" t="n">
        <v>46225</v>
      </c>
      <c r="K1639" t="inlineStr">
        <is>
          <t>Invoice Payment. SP: 19201</t>
        </is>
      </c>
    </row>
    <row r="1640">
      <c r="A1640" t="inlineStr">
        <is>
          <t>101463</t>
        </is>
      </c>
      <c r="B1640" t="inlineStr">
        <is>
          <t>ZURICH MINAS BRASIL SEGUROS S A</t>
        </is>
      </c>
      <c r="C1640" t="n">
        <v>2111000000</v>
      </c>
      <c r="D1640" t="inlineStr">
        <is>
          <t>Insurance</t>
        </is>
      </c>
      <c r="E1640" t="n">
        <v>5011092</v>
      </c>
      <c r="F1640" t="inlineStr">
        <is>
          <t>0269/26</t>
        </is>
      </c>
      <c r="G1640" t="inlineStr">
        <is>
          <t>RE</t>
        </is>
      </c>
      <c r="H1640" s="12" t="n">
        <v>-230.92</v>
      </c>
      <c r="I1640" s="17" t="n">
        <v>46196</v>
      </c>
      <c r="J1640" s="17" t="n">
        <v>46226</v>
      </c>
      <c r="K1640" t="inlineStr">
        <is>
          <t>Invoice Payment. SP: 19265</t>
        </is>
      </c>
    </row>
    <row r="1641">
      <c r="A1641" t="inlineStr">
        <is>
          <t>101463</t>
        </is>
      </c>
      <c r="B1641" t="inlineStr">
        <is>
          <t>ZURICH MINAS BRASIL SEGUROS S A</t>
        </is>
      </c>
      <c r="C1641" t="n">
        <v>2111000000</v>
      </c>
      <c r="D1641" t="inlineStr">
        <is>
          <t>Insurance</t>
        </is>
      </c>
      <c r="E1641" t="n">
        <v>5011094</v>
      </c>
      <c r="F1641" t="inlineStr">
        <is>
          <t>0287/26</t>
        </is>
      </c>
      <c r="G1641" t="inlineStr">
        <is>
          <t>RE</t>
        </is>
      </c>
      <c r="H1641" s="12" t="n">
        <v>-929.36</v>
      </c>
      <c r="I1641" s="17" t="n">
        <v>46196</v>
      </c>
      <c r="J1641" s="17" t="n">
        <v>46226</v>
      </c>
      <c r="K1641" t="inlineStr">
        <is>
          <t>Invoice Payment. SP: 19267</t>
        </is>
      </c>
    </row>
    <row r="1642">
      <c r="A1642" t="inlineStr">
        <is>
          <t>101463</t>
        </is>
      </c>
      <c r="B1642" t="inlineStr">
        <is>
          <t>ZURICH MINAS BRASIL SEGUROS S A</t>
        </is>
      </c>
      <c r="C1642" t="n">
        <v>2111000000</v>
      </c>
      <c r="D1642" t="inlineStr">
        <is>
          <t>Insurance</t>
        </is>
      </c>
      <c r="E1642" t="n">
        <v>5011111</v>
      </c>
      <c r="F1642" t="inlineStr">
        <is>
          <t>0274/26</t>
        </is>
      </c>
      <c r="G1642" t="inlineStr">
        <is>
          <t>RE</t>
        </is>
      </c>
      <c r="H1642" s="12" t="n">
        <v>-189.03</v>
      </c>
      <c r="I1642" s="17" t="n">
        <v>46196</v>
      </c>
      <c r="J1642" s="17" t="n">
        <v>46226</v>
      </c>
      <c r="K1642" t="inlineStr">
        <is>
          <t>Invoice Payment. SP: 19279</t>
        </is>
      </c>
    </row>
    <row r="1643">
      <c r="A1643" t="inlineStr">
        <is>
          <t>101463</t>
        </is>
      </c>
      <c r="B1643" t="inlineStr">
        <is>
          <t>ZURICH MINAS BRASIL SEGUROS S A</t>
        </is>
      </c>
      <c r="C1643" t="n">
        <v>2111000000</v>
      </c>
      <c r="D1643" t="inlineStr">
        <is>
          <t>Insurance</t>
        </is>
      </c>
      <c r="E1643" t="n">
        <v>5011114</v>
      </c>
      <c r="F1643" t="inlineStr">
        <is>
          <t>0279/26</t>
        </is>
      </c>
      <c r="G1643" t="inlineStr">
        <is>
          <t>RE</t>
        </is>
      </c>
      <c r="H1643" s="12" t="n">
        <v>-140.15</v>
      </c>
      <c r="I1643" s="17" t="n">
        <v>46196</v>
      </c>
      <c r="J1643" s="17" t="n">
        <v>46226</v>
      </c>
      <c r="K1643" t="inlineStr">
        <is>
          <t>Invoice Payment. SP: 19281</t>
        </is>
      </c>
    </row>
    <row r="1644">
      <c r="A1644" t="inlineStr">
        <is>
          <t>101463</t>
        </is>
      </c>
      <c r="B1644" t="inlineStr">
        <is>
          <t>ZURICH MINAS BRASIL SEGUROS S A</t>
        </is>
      </c>
      <c r="C1644" t="n">
        <v>2111000000</v>
      </c>
      <c r="D1644" t="inlineStr">
        <is>
          <t>Insurance</t>
        </is>
      </c>
      <c r="E1644" t="n">
        <v>5011116</v>
      </c>
      <c r="F1644" t="inlineStr">
        <is>
          <t>0289/26</t>
        </is>
      </c>
      <c r="G1644" t="inlineStr">
        <is>
          <t>RE</t>
        </is>
      </c>
      <c r="H1644" s="12" t="n">
        <v>-3096.69</v>
      </c>
      <c r="I1644" s="17" t="n">
        <v>46196</v>
      </c>
      <c r="J1644" s="17" t="n">
        <v>46226</v>
      </c>
      <c r="K1644" t="inlineStr">
        <is>
          <t>Invoice Payment. SP: 19283</t>
        </is>
      </c>
    </row>
    <row r="1645">
      <c r="A1645" t="inlineStr">
        <is>
          <t>101463</t>
        </is>
      </c>
      <c r="B1645" t="inlineStr">
        <is>
          <t>ZURICH MINAS BRASIL SEGUROS S A</t>
        </is>
      </c>
      <c r="C1645" t="n">
        <v>2111000000</v>
      </c>
      <c r="D1645" t="inlineStr">
        <is>
          <t>Insurance</t>
        </is>
      </c>
      <c r="E1645" t="n">
        <v>5011118</v>
      </c>
      <c r="F1645" t="inlineStr">
        <is>
          <t>0304/26</t>
        </is>
      </c>
      <c r="G1645" t="inlineStr">
        <is>
          <t>RE</t>
        </is>
      </c>
      <c r="H1645" s="12" t="n">
        <v>-348.48</v>
      </c>
      <c r="I1645" s="17" t="n">
        <v>46196</v>
      </c>
      <c r="J1645" s="17" t="n">
        <v>46226</v>
      </c>
      <c r="K1645" t="inlineStr">
        <is>
          <t>Invoice Payment. SP: 19286</t>
        </is>
      </c>
    </row>
    <row r="1646">
      <c r="A1646" t="inlineStr">
        <is>
          <t>102113</t>
        </is>
      </c>
      <c r="B1646" t="inlineStr">
        <is>
          <t>3Z MOVIMENTACAO INTELIGENTE LTDA 94772233000237</t>
        </is>
      </c>
      <c r="C1646" t="n">
        <v>2111000000</v>
      </c>
      <c r="D1646" t="inlineStr">
        <is>
          <t>Operational Suppliers (Wind Farms)</t>
        </is>
      </c>
      <c r="E1646" t="n">
        <v>5011136</v>
      </c>
      <c r="F1646" t="inlineStr">
        <is>
          <t>219</t>
        </is>
      </c>
      <c r="G1646" t="inlineStr">
        <is>
          <t>RE</t>
        </is>
      </c>
      <c r="H1646" s="12" t="n">
        <v>-1264397.51</v>
      </c>
      <c r="I1646" s="17" t="n">
        <v>46184</v>
      </c>
      <c r="J1646" s="17" t="n">
        <v>46272</v>
      </c>
      <c r="K1646" t="inlineStr">
        <is>
          <t>Fatura - bruto 3Z MOVIMENTACAO INTELIGENTE LTDA 94</t>
        </is>
      </c>
    </row>
    <row r="1647">
      <c r="A1647" t="inlineStr">
        <is>
          <t>101463</t>
        </is>
      </c>
      <c r="B1647" t="inlineStr">
        <is>
          <t>ZURICH MINAS BRASIL SEGUROS S A</t>
        </is>
      </c>
      <c r="C1647" t="n">
        <v>2111000000</v>
      </c>
      <c r="D1647" t="inlineStr">
        <is>
          <t>Insurance</t>
        </is>
      </c>
      <c r="E1647" t="n">
        <v>5011138</v>
      </c>
      <c r="F1647" t="inlineStr">
        <is>
          <t>0303/26</t>
        </is>
      </c>
      <c r="G1647" t="inlineStr">
        <is>
          <t>RE</t>
        </is>
      </c>
      <c r="H1647" s="12" t="n">
        <v>-3104.59</v>
      </c>
      <c r="I1647" s="17" t="n">
        <v>46196</v>
      </c>
      <c r="J1647" s="17" t="n">
        <v>46226</v>
      </c>
      <c r="K1647" t="inlineStr">
        <is>
          <t>Invoice Payment. SP: 19299</t>
        </is>
      </c>
    </row>
    <row r="1648">
      <c r="A1648" t="inlineStr">
        <is>
          <t>101463</t>
        </is>
      </c>
      <c r="B1648" t="inlineStr">
        <is>
          <t>ZURICH MINAS BRASIL SEGUROS S A</t>
        </is>
      </c>
      <c r="C1648" t="n">
        <v>2111000000</v>
      </c>
      <c r="D1648" t="inlineStr">
        <is>
          <t>Insurance</t>
        </is>
      </c>
      <c r="E1648" t="n">
        <v>5011213</v>
      </c>
      <c r="F1648" t="inlineStr">
        <is>
          <t>0296/26</t>
        </is>
      </c>
      <c r="G1648" t="inlineStr">
        <is>
          <t>RE</t>
        </is>
      </c>
      <c r="H1648" s="12" t="n">
        <v>-8.949999999999999</v>
      </c>
      <c r="I1648" s="17" t="n">
        <v>46197</v>
      </c>
      <c r="J1648" s="17" t="n">
        <v>46227</v>
      </c>
      <c r="K1648" t="inlineStr">
        <is>
          <t>Invoice Payment. SP: 19319</t>
        </is>
      </c>
    </row>
    <row r="1649">
      <c r="A1649" t="inlineStr">
        <is>
          <t>101463</t>
        </is>
      </c>
      <c r="B1649" t="inlineStr">
        <is>
          <t>ZURICH MINAS BRASIL SEGUROS S A</t>
        </is>
      </c>
      <c r="C1649" t="n">
        <v>2111000000</v>
      </c>
      <c r="D1649" t="inlineStr">
        <is>
          <t>Insurance</t>
        </is>
      </c>
      <c r="E1649" t="n">
        <v>5011219</v>
      </c>
      <c r="F1649" t="inlineStr">
        <is>
          <t>0298/26</t>
        </is>
      </c>
      <c r="G1649" t="inlineStr">
        <is>
          <t>RE</t>
        </is>
      </c>
      <c r="H1649" s="12" t="n">
        <v>-0.9</v>
      </c>
      <c r="I1649" s="17" t="n">
        <v>46197</v>
      </c>
      <c r="J1649" s="17" t="n">
        <v>46227</v>
      </c>
      <c r="K1649" t="inlineStr">
        <is>
          <t>Invoice Payment. SP: 19339</t>
        </is>
      </c>
    </row>
    <row r="1650">
      <c r="A1650" t="inlineStr">
        <is>
          <t>101463</t>
        </is>
      </c>
      <c r="B1650" t="inlineStr">
        <is>
          <t>ZURICH MINAS BRASIL SEGUROS S A</t>
        </is>
      </c>
      <c r="C1650" t="n">
        <v>2111000000</v>
      </c>
      <c r="D1650" t="inlineStr">
        <is>
          <t>Insurance</t>
        </is>
      </c>
      <c r="E1650" t="n">
        <v>5011221</v>
      </c>
      <c r="F1650" t="inlineStr">
        <is>
          <t>0301/26</t>
        </is>
      </c>
      <c r="G1650" t="inlineStr">
        <is>
          <t>RE</t>
        </is>
      </c>
      <c r="H1650" s="12" t="n">
        <v>-86.76000000000001</v>
      </c>
      <c r="I1650" s="17" t="n">
        <v>46197</v>
      </c>
      <c r="J1650" s="17" t="n">
        <v>46227</v>
      </c>
      <c r="K1650" t="inlineStr">
        <is>
          <t>Invoice Payment. SP: 19341</t>
        </is>
      </c>
    </row>
    <row r="1651">
      <c r="A1651" t="inlineStr">
        <is>
          <t>101463</t>
        </is>
      </c>
      <c r="B1651" t="inlineStr">
        <is>
          <t>ZURICH MINAS BRASIL SEGUROS S A</t>
        </is>
      </c>
      <c r="C1651" t="n">
        <v>2111000000</v>
      </c>
      <c r="D1651" t="inlineStr">
        <is>
          <t>Insurance</t>
        </is>
      </c>
      <c r="E1651" t="n">
        <v>5011225</v>
      </c>
      <c r="F1651" t="inlineStr">
        <is>
          <t>0345/26</t>
        </is>
      </c>
      <c r="G1651" t="inlineStr">
        <is>
          <t>RE</t>
        </is>
      </c>
      <c r="H1651" s="12" t="n">
        <v>-33.69</v>
      </c>
      <c r="I1651" s="17" t="n">
        <v>46197</v>
      </c>
      <c r="J1651" s="17" t="n">
        <v>46227</v>
      </c>
      <c r="K1651" t="inlineStr">
        <is>
          <t>Invoice Payment. SP: 19359</t>
        </is>
      </c>
    </row>
    <row r="1652">
      <c r="A1652" t="inlineStr">
        <is>
          <t>101463</t>
        </is>
      </c>
      <c r="B1652" t="inlineStr">
        <is>
          <t>ZURICH MINAS BRASIL SEGUROS S A</t>
        </is>
      </c>
      <c r="C1652" t="n">
        <v>2111000000</v>
      </c>
      <c r="D1652" t="inlineStr">
        <is>
          <t>Insurance</t>
        </is>
      </c>
      <c r="E1652" t="n">
        <v>5011229</v>
      </c>
      <c r="F1652" t="inlineStr">
        <is>
          <t>0313/26</t>
        </is>
      </c>
      <c r="G1652" t="inlineStr">
        <is>
          <t>RE</t>
        </is>
      </c>
      <c r="H1652" s="12" t="n">
        <v>-4.42</v>
      </c>
      <c r="I1652" s="17" t="n">
        <v>46197</v>
      </c>
      <c r="J1652" s="17" t="n">
        <v>46227</v>
      </c>
      <c r="K1652" t="inlineStr">
        <is>
          <t>Invoice Payment. SP: 19361</t>
        </is>
      </c>
    </row>
    <row r="1653">
      <c r="A1653" t="inlineStr">
        <is>
          <t>101463</t>
        </is>
      </c>
      <c r="B1653" t="inlineStr">
        <is>
          <t>ZURICH MINAS BRASIL SEGUROS S A</t>
        </is>
      </c>
      <c r="C1653" t="n">
        <v>2111000000</v>
      </c>
      <c r="D1653" t="inlineStr">
        <is>
          <t>Insurance</t>
        </is>
      </c>
      <c r="E1653" t="n">
        <v>5011235</v>
      </c>
      <c r="F1653" t="inlineStr">
        <is>
          <t>0277/26</t>
        </is>
      </c>
      <c r="G1653" t="inlineStr">
        <is>
          <t>RE</t>
        </is>
      </c>
      <c r="H1653" s="12" t="n">
        <v>-219.85</v>
      </c>
      <c r="I1653" s="17" t="n">
        <v>46197</v>
      </c>
      <c r="J1653" s="17" t="n">
        <v>46227</v>
      </c>
      <c r="K1653" t="inlineStr">
        <is>
          <t>Invoice Payment. SP: 19363</t>
        </is>
      </c>
    </row>
    <row r="1654">
      <c r="A1654" t="inlineStr">
        <is>
          <t>101463</t>
        </is>
      </c>
      <c r="B1654" t="inlineStr">
        <is>
          <t>ZURICH MINAS BRASIL SEGUROS S A</t>
        </is>
      </c>
      <c r="C1654" t="n">
        <v>2111000000</v>
      </c>
      <c r="D1654" t="inlineStr">
        <is>
          <t>Insurance</t>
        </is>
      </c>
      <c r="E1654" t="n">
        <v>5011256</v>
      </c>
      <c r="F1654" t="inlineStr">
        <is>
          <t>0368/26</t>
        </is>
      </c>
      <c r="G1654" t="inlineStr">
        <is>
          <t>RE</t>
        </is>
      </c>
      <c r="H1654" s="12" t="n">
        <v>-204.33</v>
      </c>
      <c r="I1654" s="17" t="n">
        <v>46197</v>
      </c>
      <c r="J1654" s="17" t="n">
        <v>46227</v>
      </c>
      <c r="K1654" t="inlineStr">
        <is>
          <t>Invoice Payment. SP: 19399</t>
        </is>
      </c>
    </row>
    <row r="1655">
      <c r="A1655" t="inlineStr">
        <is>
          <t>101463</t>
        </is>
      </c>
      <c r="B1655" t="inlineStr">
        <is>
          <t>ZURICH MINAS BRASIL SEGUROS S A</t>
        </is>
      </c>
      <c r="C1655" t="n">
        <v>2111000000</v>
      </c>
      <c r="D1655" t="inlineStr">
        <is>
          <t>Insurance</t>
        </is>
      </c>
      <c r="E1655" t="n">
        <v>5011260</v>
      </c>
      <c r="F1655" t="inlineStr">
        <is>
          <t>0285/26</t>
        </is>
      </c>
      <c r="G1655" t="inlineStr">
        <is>
          <t>RE</t>
        </is>
      </c>
      <c r="H1655" s="12" t="n">
        <v>-956.35</v>
      </c>
      <c r="I1655" s="17" t="n">
        <v>46197</v>
      </c>
      <c r="J1655" s="17" t="n">
        <v>46227</v>
      </c>
      <c r="K1655" t="inlineStr">
        <is>
          <t>Invoice Payment. SP: 19420</t>
        </is>
      </c>
    </row>
    <row r="1656">
      <c r="A1656" t="inlineStr">
        <is>
          <t>101463</t>
        </is>
      </c>
      <c r="B1656" t="inlineStr">
        <is>
          <t>ZURICH MINAS BRASIL SEGUROS S A</t>
        </is>
      </c>
      <c r="C1656" t="n">
        <v>2111000000</v>
      </c>
      <c r="D1656" t="inlineStr">
        <is>
          <t>Insurance</t>
        </is>
      </c>
      <c r="E1656" t="n">
        <v>5011305</v>
      </c>
      <c r="F1656" t="inlineStr">
        <is>
          <t>0358/26</t>
        </is>
      </c>
      <c r="G1656" t="inlineStr">
        <is>
          <t>RE</t>
        </is>
      </c>
      <c r="H1656" s="12" t="n">
        <v>-505.17</v>
      </c>
      <c r="I1656" s="17" t="n">
        <v>46198</v>
      </c>
      <c r="J1656" s="17" t="n">
        <v>46228</v>
      </c>
      <c r="K1656" t="inlineStr">
        <is>
          <t>Invoice Payment. SP: 19479</t>
        </is>
      </c>
    </row>
    <row r="1657">
      <c r="A1657" t="inlineStr">
        <is>
          <t>101463</t>
        </is>
      </c>
      <c r="B1657" t="inlineStr">
        <is>
          <t>ZURICH MINAS BRASIL SEGUROS S A</t>
        </is>
      </c>
      <c r="C1657" t="n">
        <v>2111000000</v>
      </c>
      <c r="D1657" t="inlineStr">
        <is>
          <t>Insurance</t>
        </is>
      </c>
      <c r="E1657" t="n">
        <v>5011309</v>
      </c>
      <c r="F1657" t="inlineStr">
        <is>
          <t>0370/26</t>
        </is>
      </c>
      <c r="G1657" t="inlineStr">
        <is>
          <t>RE</t>
        </is>
      </c>
      <c r="H1657" s="12" t="n">
        <v>-17.9</v>
      </c>
      <c r="I1657" s="17" t="n">
        <v>46198</v>
      </c>
      <c r="J1657" s="17" t="n">
        <v>46228</v>
      </c>
      <c r="K1657" t="inlineStr">
        <is>
          <t>Invoice Payment. SP: 19481</t>
        </is>
      </c>
    </row>
    <row r="1658">
      <c r="A1658" t="inlineStr">
        <is>
          <t>101463</t>
        </is>
      </c>
      <c r="B1658" t="inlineStr">
        <is>
          <t>ZURICH MINAS BRASIL SEGUROS S A</t>
        </is>
      </c>
      <c r="C1658" t="n">
        <v>2111000000</v>
      </c>
      <c r="D1658" t="inlineStr">
        <is>
          <t>Insurance</t>
        </is>
      </c>
      <c r="E1658" t="n">
        <v>5011316</v>
      </c>
      <c r="F1658" t="inlineStr">
        <is>
          <t>0323/26</t>
        </is>
      </c>
      <c r="G1658" t="inlineStr">
        <is>
          <t>RE</t>
        </is>
      </c>
      <c r="H1658" s="12" t="n">
        <v>-8.539999999999999</v>
      </c>
      <c r="I1658" s="17" t="n">
        <v>46198</v>
      </c>
      <c r="J1658" s="17" t="n">
        <v>46228</v>
      </c>
      <c r="K1658" t="inlineStr">
        <is>
          <t>Invoice Payment. SP: 19483</t>
        </is>
      </c>
    </row>
    <row r="1659">
      <c r="A1659" t="inlineStr">
        <is>
          <t>101463</t>
        </is>
      </c>
      <c r="B1659" t="inlineStr">
        <is>
          <t>ZURICH MINAS BRASIL SEGUROS S A</t>
        </is>
      </c>
      <c r="C1659" t="n">
        <v>2111000000</v>
      </c>
      <c r="D1659" t="inlineStr">
        <is>
          <t>Insurance</t>
        </is>
      </c>
      <c r="E1659" t="n">
        <v>5011322</v>
      </c>
      <c r="F1659" t="inlineStr">
        <is>
          <t>0249/26</t>
        </is>
      </c>
      <c r="G1659" t="inlineStr">
        <is>
          <t>RE</t>
        </is>
      </c>
      <c r="H1659" s="12" t="n">
        <v>-125.56</v>
      </c>
      <c r="I1659" s="17" t="n">
        <v>46198</v>
      </c>
      <c r="J1659" s="17" t="n">
        <v>46228</v>
      </c>
      <c r="K1659" t="inlineStr">
        <is>
          <t>Invoice Payment. SP: 19485</t>
        </is>
      </c>
    </row>
    <row r="1660">
      <c r="A1660" t="inlineStr">
        <is>
          <t>101463</t>
        </is>
      </c>
      <c r="B1660" t="inlineStr">
        <is>
          <t>ZURICH MINAS BRASIL SEGUROS S A</t>
        </is>
      </c>
      <c r="C1660" t="n">
        <v>2111000000</v>
      </c>
      <c r="D1660" t="inlineStr">
        <is>
          <t>Insurance</t>
        </is>
      </c>
      <c r="E1660" t="n">
        <v>5011323</v>
      </c>
      <c r="F1660" t="inlineStr">
        <is>
          <t>0265/26</t>
        </is>
      </c>
      <c r="G1660" t="inlineStr">
        <is>
          <t>RE</t>
        </is>
      </c>
      <c r="H1660" s="12" t="n">
        <v>-4.33</v>
      </c>
      <c r="I1660" s="17" t="n">
        <v>46198</v>
      </c>
      <c r="J1660" s="17" t="n">
        <v>46228</v>
      </c>
      <c r="K1660" t="inlineStr">
        <is>
          <t>Invoice Payment. SP: 19487</t>
        </is>
      </c>
    </row>
    <row r="1661">
      <c r="A1661" t="inlineStr">
        <is>
          <t>101463</t>
        </is>
      </c>
      <c r="B1661" t="inlineStr">
        <is>
          <t>ZURICH MINAS BRASIL SEGUROS S A</t>
        </is>
      </c>
      <c r="C1661" t="n">
        <v>2111000000</v>
      </c>
      <c r="D1661" t="inlineStr">
        <is>
          <t>Insurance</t>
        </is>
      </c>
      <c r="E1661" t="n">
        <v>5011325</v>
      </c>
      <c r="F1661" t="inlineStr">
        <is>
          <t>0029/26</t>
        </is>
      </c>
      <c r="G1661" t="inlineStr">
        <is>
          <t>RE</t>
        </is>
      </c>
      <c r="H1661" s="12" t="n">
        <v>-729411.1</v>
      </c>
      <c r="I1661" s="17" t="n">
        <v>46198</v>
      </c>
      <c r="J1661" s="17" t="n">
        <v>46228</v>
      </c>
      <c r="K1661" t="inlineStr">
        <is>
          <t>Invoice Payment. SP: 19489</t>
        </is>
      </c>
    </row>
    <row r="1662">
      <c r="A1662" t="inlineStr">
        <is>
          <t>101463</t>
        </is>
      </c>
      <c r="B1662" t="inlineStr">
        <is>
          <t>ZURICH MINAS BRASIL SEGUROS S A</t>
        </is>
      </c>
      <c r="C1662" t="n">
        <v>2111000000</v>
      </c>
      <c r="D1662" t="inlineStr">
        <is>
          <t>Insurance</t>
        </is>
      </c>
      <c r="E1662" t="n">
        <v>5011327</v>
      </c>
      <c r="F1662" t="inlineStr">
        <is>
          <t>0030/26</t>
        </is>
      </c>
      <c r="G1662" t="inlineStr">
        <is>
          <t>RE</t>
        </is>
      </c>
      <c r="H1662" s="12" t="n">
        <v>-328033.34</v>
      </c>
      <c r="I1662" s="17" t="n">
        <v>46198</v>
      </c>
      <c r="J1662" s="17" t="n">
        <v>46228</v>
      </c>
      <c r="K1662" t="inlineStr">
        <is>
          <t>Invoice Payment. SP: 19500</t>
        </is>
      </c>
    </row>
    <row r="1663">
      <c r="A1663" t="inlineStr">
        <is>
          <t>101463</t>
        </is>
      </c>
      <c r="B1663" t="inlineStr">
        <is>
          <t>ZURICH MINAS BRASIL SEGUROS S A</t>
        </is>
      </c>
      <c r="C1663" t="n">
        <v>2111000000</v>
      </c>
      <c r="D1663" t="inlineStr">
        <is>
          <t>Insurance</t>
        </is>
      </c>
      <c r="E1663" t="n">
        <v>5011329</v>
      </c>
      <c r="F1663" t="inlineStr">
        <is>
          <t>0031/26</t>
        </is>
      </c>
      <c r="G1663" t="inlineStr">
        <is>
          <t>RE</t>
        </is>
      </c>
      <c r="H1663" s="12" t="n">
        <v>-599165.21</v>
      </c>
      <c r="I1663" s="17" t="n">
        <v>46198</v>
      </c>
      <c r="J1663" s="17" t="n">
        <v>46228</v>
      </c>
      <c r="K1663" t="inlineStr">
        <is>
          <t>Invoice Payment. SP: 19502</t>
        </is>
      </c>
    </row>
    <row r="1664">
      <c r="A1664" t="inlineStr">
        <is>
          <t>101463</t>
        </is>
      </c>
      <c r="B1664" t="inlineStr">
        <is>
          <t>ZURICH MINAS BRASIL SEGUROS S A</t>
        </is>
      </c>
      <c r="C1664" t="n">
        <v>2111000000</v>
      </c>
      <c r="D1664" t="inlineStr">
        <is>
          <t>Insurance</t>
        </is>
      </c>
      <c r="E1664" t="n">
        <v>5011332</v>
      </c>
      <c r="F1664" t="inlineStr">
        <is>
          <t>0292/26</t>
        </is>
      </c>
      <c r="G1664" t="inlineStr">
        <is>
          <t>RE</t>
        </is>
      </c>
      <c r="H1664" s="12" t="n">
        <v>-478.23</v>
      </c>
      <c r="I1664" s="17" t="n">
        <v>46198</v>
      </c>
      <c r="J1664" s="17" t="n">
        <v>46229</v>
      </c>
      <c r="K1664" t="inlineStr">
        <is>
          <t>Invoice Payment. SP: 19541</t>
        </is>
      </c>
    </row>
    <row r="1665">
      <c r="A1665" t="inlineStr">
        <is>
          <t>101463</t>
        </is>
      </c>
      <c r="B1665" t="inlineStr">
        <is>
          <t>ZURICH MINAS BRASIL SEGUROS S A</t>
        </is>
      </c>
      <c r="C1665" t="n">
        <v>2111000000</v>
      </c>
      <c r="D1665" t="inlineStr">
        <is>
          <t>Insurance</t>
        </is>
      </c>
      <c r="E1665" t="n">
        <v>5011334</v>
      </c>
      <c r="F1665" t="inlineStr">
        <is>
          <t>0213/26</t>
        </is>
      </c>
      <c r="G1665" t="inlineStr">
        <is>
          <t>RE</t>
        </is>
      </c>
      <c r="H1665" s="12" t="n">
        <v>-162.53</v>
      </c>
      <c r="I1665" s="17" t="n">
        <v>46198</v>
      </c>
      <c r="J1665" s="17" t="n">
        <v>46229</v>
      </c>
      <c r="K1665" t="inlineStr">
        <is>
          <t>Invoice Payment. SP: 19539</t>
        </is>
      </c>
    </row>
    <row r="1666">
      <c r="A1666" t="inlineStr">
        <is>
          <t>101463</t>
        </is>
      </c>
      <c r="B1666" t="inlineStr">
        <is>
          <t>ZURICH MINAS BRASIL SEGUROS S A</t>
        </is>
      </c>
      <c r="C1666" t="n">
        <v>2111000000</v>
      </c>
      <c r="D1666" t="inlineStr">
        <is>
          <t>Insurance</t>
        </is>
      </c>
      <c r="E1666" t="n">
        <v>5011336</v>
      </c>
      <c r="F1666" t="inlineStr">
        <is>
          <t>0243/26</t>
        </is>
      </c>
      <c r="G1666" t="inlineStr">
        <is>
          <t>RE</t>
        </is>
      </c>
      <c r="H1666" s="12" t="n">
        <v>-1163.08</v>
      </c>
      <c r="I1666" s="17" t="n">
        <v>46198</v>
      </c>
      <c r="J1666" s="17" t="n">
        <v>46229</v>
      </c>
      <c r="K1666" t="inlineStr">
        <is>
          <t>Invoice Payment. SP: 19519</t>
        </is>
      </c>
    </row>
    <row r="1667">
      <c r="A1667" t="inlineStr">
        <is>
          <t>101535</t>
        </is>
      </c>
      <c r="B1667" t="inlineStr">
        <is>
          <t>TRANSPORTES PESADOS MINAS SA 17215039001796</t>
        </is>
      </c>
      <c r="C1667" t="n">
        <v>2111000000</v>
      </c>
      <c r="D1667" t="inlineStr">
        <is>
          <t>Operational Suppliers (Wind Farms)</t>
        </is>
      </c>
      <c r="E1667" t="n">
        <v>5011403</v>
      </c>
      <c r="F1667" t="inlineStr">
        <is>
          <t>26222-1</t>
        </is>
      </c>
      <c r="G1667" t="inlineStr">
        <is>
          <t>RE</t>
        </is>
      </c>
      <c r="H1667" s="12" t="n">
        <v>-33065.9</v>
      </c>
      <c r="I1667" s="17" t="n">
        <v>46191</v>
      </c>
      <c r="J1667" s="17" t="n">
        <v>46270</v>
      </c>
      <c r="K1667" t="inlineStr">
        <is>
          <t>Fatura - bruto TRANSPORTES PESADOS MINAS SA 172150</t>
        </is>
      </c>
    </row>
    <row r="1668">
      <c r="A1668" t="inlineStr">
        <is>
          <t>101463</t>
        </is>
      </c>
      <c r="B1668" t="inlineStr">
        <is>
          <t>ZURICH MINAS BRASIL SEGUROS S A</t>
        </is>
      </c>
      <c r="C1668" t="n">
        <v>2111000000</v>
      </c>
      <c r="D1668" t="inlineStr">
        <is>
          <t>Insurance</t>
        </is>
      </c>
      <c r="E1668" t="n">
        <v>5011431</v>
      </c>
      <c r="F1668" t="inlineStr">
        <is>
          <t>0297/26</t>
        </is>
      </c>
      <c r="G1668" t="inlineStr">
        <is>
          <t>RE</t>
        </is>
      </c>
      <c r="H1668" s="12" t="n">
        <v>-5.37</v>
      </c>
      <c r="I1668" s="17" t="n">
        <v>46199</v>
      </c>
      <c r="J1668" s="17" t="n">
        <v>46229</v>
      </c>
      <c r="K1668" t="inlineStr">
        <is>
          <t>Invoice Payment. SP: 19579</t>
        </is>
      </c>
    </row>
    <row r="1669">
      <c r="A1669" t="inlineStr">
        <is>
          <t>101463</t>
        </is>
      </c>
      <c r="B1669" t="inlineStr">
        <is>
          <t>ZURICH MINAS BRASIL SEGUROS S A</t>
        </is>
      </c>
      <c r="C1669" t="n">
        <v>2111000000</v>
      </c>
      <c r="D1669" t="inlineStr">
        <is>
          <t>Insurance</t>
        </is>
      </c>
      <c r="E1669" t="n">
        <v>5011433</v>
      </c>
      <c r="F1669" t="inlineStr">
        <is>
          <t>0305/26</t>
        </is>
      </c>
      <c r="G1669" t="inlineStr">
        <is>
          <t>RE</t>
        </is>
      </c>
      <c r="H1669" s="12" t="n">
        <v>-85.64</v>
      </c>
      <c r="I1669" s="17" t="n">
        <v>46199</v>
      </c>
      <c r="J1669" s="17" t="n">
        <v>46229</v>
      </c>
      <c r="K1669" t="inlineStr">
        <is>
          <t>Invoice Payment. SP: 19581</t>
        </is>
      </c>
    </row>
    <row r="1670">
      <c r="A1670" t="inlineStr">
        <is>
          <t>101463</t>
        </is>
      </c>
      <c r="B1670" t="inlineStr">
        <is>
          <t>ZURICH MINAS BRASIL SEGUROS S A</t>
        </is>
      </c>
      <c r="C1670" t="n">
        <v>2111000000</v>
      </c>
      <c r="D1670" t="inlineStr">
        <is>
          <t>Insurance</t>
        </is>
      </c>
      <c r="E1670" t="n">
        <v>5011435</v>
      </c>
      <c r="F1670" t="inlineStr">
        <is>
          <t>0312/26</t>
        </is>
      </c>
      <c r="G1670" t="inlineStr">
        <is>
          <t>RE</t>
        </is>
      </c>
      <c r="H1670" s="12" t="n">
        <v>-474.35</v>
      </c>
      <c r="I1670" s="17" t="n">
        <v>46199</v>
      </c>
      <c r="J1670" s="17" t="n">
        <v>46229</v>
      </c>
      <c r="K1670" t="inlineStr">
        <is>
          <t>Invoice Payment. SP: 19584</t>
        </is>
      </c>
    </row>
    <row r="1671">
      <c r="A1671" t="inlineStr">
        <is>
          <t>101463</t>
        </is>
      </c>
      <c r="B1671" t="inlineStr">
        <is>
          <t>ZURICH MINAS BRASIL SEGUROS S A</t>
        </is>
      </c>
      <c r="C1671" t="n">
        <v>2111000000</v>
      </c>
      <c r="D1671" t="inlineStr">
        <is>
          <t>Insurance</t>
        </is>
      </c>
      <c r="E1671" t="n">
        <v>5011438</v>
      </c>
      <c r="F1671" t="inlineStr">
        <is>
          <t>0314/26</t>
        </is>
      </c>
      <c r="G1671" t="inlineStr">
        <is>
          <t>RE</t>
        </is>
      </c>
      <c r="H1671" s="12" t="n">
        <v>-36.5</v>
      </c>
      <c r="I1671" s="17" t="n">
        <v>46199</v>
      </c>
      <c r="J1671" s="17" t="n">
        <v>46229</v>
      </c>
      <c r="K1671" t="inlineStr">
        <is>
          <t>Invoice Payment. SP: 19586</t>
        </is>
      </c>
    </row>
    <row r="1672">
      <c r="A1672" t="inlineStr">
        <is>
          <t>101463</t>
        </is>
      </c>
      <c r="B1672" t="inlineStr">
        <is>
          <t>ZURICH MINAS BRASIL SEGUROS S A</t>
        </is>
      </c>
      <c r="C1672" t="n">
        <v>2111000000</v>
      </c>
      <c r="D1672" t="inlineStr">
        <is>
          <t>Insurance</t>
        </is>
      </c>
      <c r="E1672" t="n">
        <v>5011440</v>
      </c>
      <c r="F1672" t="inlineStr">
        <is>
          <t>0344/26</t>
        </is>
      </c>
      <c r="G1672" t="inlineStr">
        <is>
          <t>RE</t>
        </is>
      </c>
      <c r="H1672" s="12" t="n">
        <v>-52.04</v>
      </c>
      <c r="I1672" s="17" t="n">
        <v>46199</v>
      </c>
      <c r="J1672" s="17" t="n">
        <v>46229</v>
      </c>
      <c r="K1672" t="inlineStr">
        <is>
          <t>Invoice Payment. SP: 19588</t>
        </is>
      </c>
    </row>
    <row r="1673">
      <c r="A1673" t="inlineStr">
        <is>
          <t>101463</t>
        </is>
      </c>
      <c r="B1673" t="inlineStr">
        <is>
          <t>ZURICH MINAS BRASIL SEGUROS S A</t>
        </is>
      </c>
      <c r="C1673" t="n">
        <v>2111000000</v>
      </c>
      <c r="D1673" t="inlineStr">
        <is>
          <t>Insurance</t>
        </is>
      </c>
      <c r="E1673" t="n">
        <v>5011442</v>
      </c>
      <c r="F1673" t="inlineStr">
        <is>
          <t>0275/26</t>
        </is>
      </c>
      <c r="G1673" t="inlineStr">
        <is>
          <t>RE</t>
        </is>
      </c>
      <c r="H1673" s="12" t="n">
        <v>-1.18</v>
      </c>
      <c r="I1673" s="17" t="n">
        <v>46199</v>
      </c>
      <c r="J1673" s="17" t="n">
        <v>46229</v>
      </c>
      <c r="K1673" t="inlineStr">
        <is>
          <t>Invoice Payment. SP: 19590</t>
        </is>
      </c>
    </row>
    <row r="1674">
      <c r="A1674" t="inlineStr">
        <is>
          <t>101463</t>
        </is>
      </c>
      <c r="B1674" t="inlineStr">
        <is>
          <t>ZURICH MINAS BRASIL SEGUROS S A</t>
        </is>
      </c>
      <c r="C1674" t="n">
        <v>2111000000</v>
      </c>
      <c r="D1674" t="inlineStr">
        <is>
          <t>Insurance</t>
        </is>
      </c>
      <c r="E1674" t="n">
        <v>5011444</v>
      </c>
      <c r="F1674" t="inlineStr">
        <is>
          <t>0280/26</t>
        </is>
      </c>
      <c r="G1674" t="inlineStr">
        <is>
          <t>RE</t>
        </is>
      </c>
      <c r="H1674" s="12" t="n">
        <v>-7.18</v>
      </c>
      <c r="I1674" s="17" t="n">
        <v>46199</v>
      </c>
      <c r="J1674" s="17" t="n">
        <v>46229</v>
      </c>
      <c r="K1674" t="inlineStr">
        <is>
          <t>Invoice Payment. SP: 19592</t>
        </is>
      </c>
    </row>
    <row r="1675">
      <c r="A1675" t="inlineStr">
        <is>
          <t>101463</t>
        </is>
      </c>
      <c r="B1675" t="inlineStr">
        <is>
          <t>ZURICH MINAS BRASIL SEGUROS S A</t>
        </is>
      </c>
      <c r="C1675" t="n">
        <v>2111000000</v>
      </c>
      <c r="D1675" t="inlineStr">
        <is>
          <t>Insurance</t>
        </is>
      </c>
      <c r="E1675" t="n">
        <v>5011446</v>
      </c>
      <c r="F1675" t="inlineStr">
        <is>
          <t>0324/26</t>
        </is>
      </c>
      <c r="G1675" t="inlineStr">
        <is>
          <t>RE</t>
        </is>
      </c>
      <c r="H1675" s="12" t="n">
        <v>-16.31</v>
      </c>
      <c r="I1675" s="17" t="n">
        <v>46199</v>
      </c>
      <c r="J1675" s="17" t="n">
        <v>46229</v>
      </c>
      <c r="K1675" t="inlineStr">
        <is>
          <t>Invoice Payment. SP: 19594</t>
        </is>
      </c>
    </row>
    <row r="1676">
      <c r="A1676" t="inlineStr">
        <is>
          <t>101463</t>
        </is>
      </c>
      <c r="B1676" t="inlineStr">
        <is>
          <t>ZURICH MINAS BRASIL SEGUROS S A</t>
        </is>
      </c>
      <c r="C1676" t="n">
        <v>2111000000</v>
      </c>
      <c r="D1676" t="inlineStr">
        <is>
          <t>Insurance</t>
        </is>
      </c>
      <c r="E1676" t="n">
        <v>5011448</v>
      </c>
      <c r="F1676" t="inlineStr">
        <is>
          <t>0346/26</t>
        </is>
      </c>
      <c r="G1676" t="inlineStr">
        <is>
          <t>RE</t>
        </is>
      </c>
      <c r="H1676" s="12" t="n">
        <v>-167.22</v>
      </c>
      <c r="I1676" s="17" t="n">
        <v>46199</v>
      </c>
      <c r="J1676" s="17" t="n">
        <v>46229</v>
      </c>
      <c r="K1676" t="inlineStr">
        <is>
          <t>Invoice Payment. SP: 19596</t>
        </is>
      </c>
    </row>
    <row r="1677">
      <c r="A1677" t="inlineStr">
        <is>
          <t>101463</t>
        </is>
      </c>
      <c r="B1677" t="inlineStr">
        <is>
          <t>ZURICH MINAS BRASIL SEGUROS S A</t>
        </is>
      </c>
      <c r="C1677" t="n">
        <v>2111000000</v>
      </c>
      <c r="D1677" t="inlineStr">
        <is>
          <t>Insurance</t>
        </is>
      </c>
      <c r="E1677" t="n">
        <v>5011595</v>
      </c>
      <c r="F1677" t="inlineStr">
        <is>
          <t>0030/26E</t>
        </is>
      </c>
      <c r="G1677" t="inlineStr">
        <is>
          <t>RE</t>
        </is>
      </c>
      <c r="H1677" s="12" t="n">
        <v>-4716.33</v>
      </c>
      <c r="I1677" s="17" t="n">
        <v>46099</v>
      </c>
      <c r="J1677" s="17" t="n">
        <v>46201</v>
      </c>
      <c r="K1677" t="inlineStr">
        <is>
          <t>Invoice Payment. SP: 16083</t>
        </is>
      </c>
    </row>
    <row r="1678">
      <c r="A1678" t="inlineStr">
        <is>
          <t>102105</t>
        </is>
      </c>
      <c r="B1678" t="inlineStr">
        <is>
          <t>THOMSON REUTERS BRASIL C T LTDA</t>
        </is>
      </c>
      <c r="C1678" t="n">
        <v>2111000000</v>
      </c>
      <c r="D1678" t="inlineStr">
        <is>
          <t>Other Suppliers</t>
        </is>
      </c>
      <c r="E1678" t="n">
        <v>5011764</v>
      </c>
      <c r="F1678" t="inlineStr">
        <is>
          <t>218705</t>
        </is>
      </c>
      <c r="G1678" t="inlineStr">
        <is>
          <t>RE</t>
        </is>
      </c>
      <c r="H1678" s="12" t="n">
        <v>-14125.29</v>
      </c>
      <c r="I1678" s="17" t="n">
        <v>46204</v>
      </c>
      <c r="J1678" s="17" t="n">
        <v>46294</v>
      </c>
      <c r="K1678" t="inlineStr">
        <is>
          <t>Fatura - bruto THOMSON REUTERS BRASIL C T LTDA 218</t>
        </is>
      </c>
    </row>
    <row r="1679">
      <c r="A1679" t="inlineStr">
        <is>
          <t>101463</t>
        </is>
      </c>
      <c r="B1679" t="inlineStr">
        <is>
          <t>ZURICH MINAS BRASIL SEGUROS S A</t>
        </is>
      </c>
      <c r="C1679" t="n">
        <v>2111000000</v>
      </c>
      <c r="D1679" t="inlineStr">
        <is>
          <t>Insurance</t>
        </is>
      </c>
      <c r="E1679" t="n">
        <v>5011791</v>
      </c>
      <c r="F1679" t="inlineStr">
        <is>
          <t>0871/25</t>
        </is>
      </c>
      <c r="G1679" t="inlineStr">
        <is>
          <t>RE</t>
        </is>
      </c>
      <c r="H1679" s="12" t="n">
        <v>-4249.49</v>
      </c>
      <c r="I1679" s="17" t="n">
        <v>46104</v>
      </c>
      <c r="J1679" s="17" t="n">
        <v>46235</v>
      </c>
      <c r="K1679" t="inlineStr">
        <is>
          <t>Invoice Payment. SP: 16268</t>
        </is>
      </c>
    </row>
    <row r="1680">
      <c r="A1680" t="inlineStr">
        <is>
          <t>101463</t>
        </is>
      </c>
      <c r="B1680" t="inlineStr">
        <is>
          <t>ZURICH MINAS BRASIL SEGUROS S A</t>
        </is>
      </c>
      <c r="C1680" t="n">
        <v>2111000000</v>
      </c>
      <c r="D1680" t="inlineStr">
        <is>
          <t>Insurance</t>
        </is>
      </c>
      <c r="E1680" t="n">
        <v>5011810</v>
      </c>
      <c r="F1680" t="inlineStr">
        <is>
          <t>0354/26</t>
        </is>
      </c>
      <c r="G1680" t="inlineStr">
        <is>
          <t>RE</t>
        </is>
      </c>
      <c r="H1680" s="12" t="n">
        <v>-49.97</v>
      </c>
      <c r="I1680" s="17" t="n">
        <v>46197</v>
      </c>
      <c r="J1680" s="17" t="n">
        <v>46235</v>
      </c>
      <c r="K1680" t="inlineStr">
        <is>
          <t>Invoice Payment. SP: 19459</t>
        </is>
      </c>
    </row>
    <row r="1681">
      <c r="A1681" t="inlineStr">
        <is>
          <t>101463</t>
        </is>
      </c>
      <c r="B1681" t="inlineStr">
        <is>
          <t>ZURICH MINAS BRASIL SEGUROS S A</t>
        </is>
      </c>
      <c r="C1681" t="n">
        <v>2111000000</v>
      </c>
      <c r="D1681" t="inlineStr">
        <is>
          <t>Insurance</t>
        </is>
      </c>
      <c r="E1681" t="n">
        <v>5011811</v>
      </c>
      <c r="F1681" t="inlineStr">
        <is>
          <t>0939/25</t>
        </is>
      </c>
      <c r="G1681" t="inlineStr">
        <is>
          <t>RE</t>
        </is>
      </c>
      <c r="H1681" s="12" t="n">
        <v>-482.58</v>
      </c>
      <c r="I1681" s="17" t="n">
        <v>46160</v>
      </c>
      <c r="J1681" s="17" t="n">
        <v>46235</v>
      </c>
      <c r="K1681" t="inlineStr">
        <is>
          <t>Invoice Payment. SP: 18183</t>
        </is>
      </c>
    </row>
    <row r="1682">
      <c r="A1682" t="inlineStr">
        <is>
          <t>101560</t>
        </is>
      </c>
      <c r="B1682" t="inlineStr">
        <is>
          <t>SINDICATO DOS DESPACHANTES ADUANEIR DE SAO PAULO SINDASP</t>
        </is>
      </c>
      <c r="C1682" t="n">
        <v>2111000000</v>
      </c>
      <c r="D1682" t="inlineStr">
        <is>
          <t>Customs Brokerage – Overall</t>
        </is>
      </c>
      <c r="E1682" t="n">
        <v>5011856</v>
      </c>
      <c r="F1682" t="inlineStr">
        <is>
          <t>0127/25</t>
        </is>
      </c>
      <c r="G1682" t="inlineStr">
        <is>
          <t>RE</t>
        </is>
      </c>
      <c r="H1682" s="12" t="n">
        <v>-500</v>
      </c>
      <c r="I1682" s="17" t="n">
        <v>45764</v>
      </c>
      <c r="J1682" s="17" t="n">
        <v>46236</v>
      </c>
      <c r="K1682" t="inlineStr">
        <is>
          <t>Invoice Payment. SP: 7651</t>
        </is>
      </c>
    </row>
    <row r="1683">
      <c r="A1683" t="inlineStr">
        <is>
          <t>100621</t>
        </is>
      </c>
      <c r="B1683" t="inlineStr">
        <is>
          <t>CALTER ENGENHARIA LTDA</t>
        </is>
      </c>
      <c r="C1683" t="n">
        <v>2111000000</v>
      </c>
      <c r="D1683" t="inlineStr">
        <is>
          <t>Other Suppliers</t>
        </is>
      </c>
      <c r="E1683" t="n">
        <v>5011873</v>
      </c>
      <c r="F1683" t="inlineStr">
        <is>
          <t>29</t>
        </is>
      </c>
      <c r="G1683" t="inlineStr">
        <is>
          <t>RE</t>
        </is>
      </c>
      <c r="H1683" s="12" t="n">
        <v>-89551.08</v>
      </c>
      <c r="I1683" s="17" t="n">
        <v>46191</v>
      </c>
      <c r="J1683" s="17" t="n">
        <v>46270</v>
      </c>
      <c r="K1683" t="inlineStr">
        <is>
          <t>Fatura - bruto CALTER ENGENHARIA LTDA 29</t>
        </is>
      </c>
    </row>
    <row r="1684">
      <c r="A1684" t="inlineStr">
        <is>
          <t>100621</t>
        </is>
      </c>
      <c r="B1684" t="inlineStr">
        <is>
          <t>CALTER ENGENHARIA LTDA</t>
        </is>
      </c>
      <c r="C1684" t="n">
        <v>2111000000</v>
      </c>
      <c r="D1684" t="inlineStr">
        <is>
          <t>Other Suppliers</t>
        </is>
      </c>
      <c r="E1684" t="n">
        <v>5011874</v>
      </c>
      <c r="F1684" t="inlineStr">
        <is>
          <t>31</t>
        </is>
      </c>
      <c r="G1684" t="inlineStr">
        <is>
          <t>RE</t>
        </is>
      </c>
      <c r="H1684" s="12" t="n">
        <v>-22405.41</v>
      </c>
      <c r="I1684" s="17" t="n">
        <v>46191</v>
      </c>
      <c r="J1684" s="17" t="n">
        <v>46270</v>
      </c>
      <c r="K1684" t="inlineStr">
        <is>
          <t>Fatura - bruto CALTER ENGENHARIA LTDA 31</t>
        </is>
      </c>
    </row>
    <row r="1685">
      <c r="A1685" t="inlineStr">
        <is>
          <t>101333</t>
        </is>
      </c>
      <c r="B1685" t="inlineStr">
        <is>
          <t>CONCESSIONARIA DO AEROPORTO DE SALV</t>
        </is>
      </c>
      <c r="C1685" t="n">
        <v>2111000000</v>
      </c>
      <c r="D1685" t="inlineStr">
        <is>
          <t>Customs Brokerage – Overall</t>
        </is>
      </c>
      <c r="E1685" t="n">
        <v>5011882</v>
      </c>
      <c r="F1685" t="inlineStr">
        <is>
          <t>1183/24</t>
        </is>
      </c>
      <c r="G1685" t="inlineStr">
        <is>
          <t>RE</t>
        </is>
      </c>
      <c r="H1685" s="12" t="n">
        <v>-6737.27</v>
      </c>
      <c r="I1685" s="17" t="n">
        <v>45684</v>
      </c>
      <c r="J1685" s="17" t="n">
        <v>46236</v>
      </c>
      <c r="K1685" t="inlineStr">
        <is>
          <t>Invoice Payment. SP: 4521</t>
        </is>
      </c>
    </row>
    <row r="1686">
      <c r="A1686" t="inlineStr">
        <is>
          <t>101463</t>
        </is>
      </c>
      <c r="B1686" t="inlineStr">
        <is>
          <t>ZURICH MINAS BRASIL SEGUROS S A</t>
        </is>
      </c>
      <c r="C1686" t="n">
        <v>2111000000</v>
      </c>
      <c r="D1686" t="inlineStr">
        <is>
          <t>Insurance</t>
        </is>
      </c>
      <c r="E1686" t="n">
        <v>5011892</v>
      </c>
      <c r="F1686" t="inlineStr">
        <is>
          <t>0031/26E</t>
        </is>
      </c>
      <c r="G1686" t="inlineStr">
        <is>
          <t>RE</t>
        </is>
      </c>
      <c r="H1686" s="12" t="n">
        <v>-7106.08</v>
      </c>
      <c r="I1686" s="17" t="n">
        <v>46099</v>
      </c>
      <c r="J1686" s="17" t="n">
        <v>46206</v>
      </c>
      <c r="K1686" t="inlineStr">
        <is>
          <t>Invoice Payment. SP: 16084</t>
        </is>
      </c>
    </row>
    <row r="1687">
      <c r="A1687" t="inlineStr">
        <is>
          <t>101463</t>
        </is>
      </c>
      <c r="B1687" t="inlineStr">
        <is>
          <t>ZURICH MINAS BRASIL SEGUROS S A</t>
        </is>
      </c>
      <c r="C1687" t="n">
        <v>2111000000</v>
      </c>
      <c r="D1687" t="inlineStr">
        <is>
          <t>Insurance</t>
        </is>
      </c>
      <c r="E1687" t="n">
        <v>5011894</v>
      </c>
      <c r="F1687" t="inlineStr">
        <is>
          <t>0044/26</t>
        </is>
      </c>
      <c r="G1687" t="inlineStr">
        <is>
          <t>RE</t>
        </is>
      </c>
      <c r="H1687" s="12" t="n">
        <v>-4029.38</v>
      </c>
      <c r="I1687" s="17" t="n">
        <v>46113</v>
      </c>
      <c r="J1687" s="17" t="n">
        <v>46236</v>
      </c>
      <c r="K1687" t="inlineStr">
        <is>
          <t>Invoice Payment. SP: 16540</t>
        </is>
      </c>
    </row>
    <row r="1688">
      <c r="A1688" t="inlineStr">
        <is>
          <t>101463</t>
        </is>
      </c>
      <c r="B1688" t="inlineStr">
        <is>
          <t>ZURICH MINAS BRASIL SEGUROS S A</t>
        </is>
      </c>
      <c r="C1688" t="n">
        <v>2111000000</v>
      </c>
      <c r="D1688" t="inlineStr">
        <is>
          <t>Insurance</t>
        </is>
      </c>
      <c r="E1688" t="n">
        <v>5011895</v>
      </c>
      <c r="F1688" t="inlineStr">
        <is>
          <t>0044/26</t>
        </is>
      </c>
      <c r="G1688" t="inlineStr">
        <is>
          <t>RE</t>
        </is>
      </c>
      <c r="H1688" s="12" t="n">
        <v>-436.22</v>
      </c>
      <c r="I1688" s="17" t="n">
        <v>46113</v>
      </c>
      <c r="J1688" s="17" t="n">
        <v>46236</v>
      </c>
      <c r="K1688" t="inlineStr">
        <is>
          <t>Invoice Payment. SP: 16540</t>
        </is>
      </c>
    </row>
    <row r="1689">
      <c r="A1689" t="inlineStr">
        <is>
          <t>101463</t>
        </is>
      </c>
      <c r="B1689" t="inlineStr">
        <is>
          <t>ZURICH MINAS BRASIL SEGUROS S A</t>
        </is>
      </c>
      <c r="C1689" t="n">
        <v>2111000000</v>
      </c>
      <c r="D1689" t="inlineStr">
        <is>
          <t>Insurance</t>
        </is>
      </c>
      <c r="E1689" t="n">
        <v>5011898</v>
      </c>
      <c r="F1689" t="inlineStr">
        <is>
          <t>0044/26</t>
        </is>
      </c>
      <c r="G1689" t="inlineStr">
        <is>
          <t>RE</t>
        </is>
      </c>
      <c r="H1689" s="12" t="n">
        <v>-2991.19</v>
      </c>
      <c r="I1689" s="17" t="n">
        <v>46113</v>
      </c>
      <c r="J1689" s="17" t="n">
        <v>46236</v>
      </c>
      <c r="K1689" t="inlineStr">
        <is>
          <t>Invoice Payment. SP: 16540</t>
        </is>
      </c>
    </row>
    <row r="1690">
      <c r="A1690" t="inlineStr">
        <is>
          <t>101463</t>
        </is>
      </c>
      <c r="B1690" t="inlineStr">
        <is>
          <t>ZURICH MINAS BRASIL SEGUROS S A</t>
        </is>
      </c>
      <c r="C1690" t="n">
        <v>2111000000</v>
      </c>
      <c r="D1690" t="inlineStr">
        <is>
          <t>Insurance</t>
        </is>
      </c>
      <c r="E1690" t="n">
        <v>5011902</v>
      </c>
      <c r="F1690" t="inlineStr">
        <is>
          <t>0044/26</t>
        </is>
      </c>
      <c r="G1690" t="inlineStr">
        <is>
          <t>RE</t>
        </is>
      </c>
      <c r="H1690" s="12" t="n">
        <v>-6532.65</v>
      </c>
      <c r="I1690" s="17" t="n">
        <v>46113</v>
      </c>
      <c r="J1690" s="17" t="n">
        <v>46236</v>
      </c>
      <c r="K1690" t="inlineStr">
        <is>
          <t>Invoice Payment. SP: 16540</t>
        </is>
      </c>
    </row>
    <row r="1691">
      <c r="A1691" t="inlineStr">
        <is>
          <t>101331</t>
        </is>
      </c>
      <c r="B1691" t="inlineStr">
        <is>
          <t>GEODIS GERENCI DE FRETES DO BRASIL</t>
        </is>
      </c>
      <c r="C1691" t="n">
        <v>2111000000</v>
      </c>
      <c r="D1691" t="inlineStr">
        <is>
          <t>Customs Brokerage – Overall</t>
        </is>
      </c>
      <c r="E1691" t="n">
        <v>5011912</v>
      </c>
      <c r="F1691" t="inlineStr">
        <is>
          <t>0091/25</t>
        </is>
      </c>
      <c r="G1691" t="inlineStr">
        <is>
          <t>RE</t>
        </is>
      </c>
      <c r="H1691" s="12" t="n">
        <v>-1813.52</v>
      </c>
      <c r="I1691" s="17" t="n">
        <v>45708</v>
      </c>
      <c r="J1691" s="17" t="n">
        <v>46236</v>
      </c>
      <c r="K1691" t="inlineStr">
        <is>
          <t>Invoice Payment. SP: 5865</t>
        </is>
      </c>
    </row>
    <row r="1692">
      <c r="A1692" t="inlineStr">
        <is>
          <t>101463</t>
        </is>
      </c>
      <c r="B1692" t="inlineStr">
        <is>
          <t>ZURICH MINAS BRASIL SEGUROS S A</t>
        </is>
      </c>
      <c r="C1692" t="n">
        <v>2111000000</v>
      </c>
      <c r="D1692" t="inlineStr">
        <is>
          <t>Insurance</t>
        </is>
      </c>
      <c r="E1692" t="n">
        <v>5011918</v>
      </c>
      <c r="F1692" t="inlineStr">
        <is>
          <t>1137/24</t>
        </is>
      </c>
      <c r="G1692" t="inlineStr">
        <is>
          <t>RE</t>
        </is>
      </c>
      <c r="H1692" s="12" t="n">
        <v>-583.14</v>
      </c>
      <c r="I1692" s="17" t="n">
        <v>45709</v>
      </c>
      <c r="J1692" s="17" t="n">
        <v>46236</v>
      </c>
      <c r="K1692" t="inlineStr">
        <is>
          <t>Invoice Payment. SP: 5939</t>
        </is>
      </c>
    </row>
    <row r="1693">
      <c r="A1693" t="inlineStr">
        <is>
          <t>101463</t>
        </is>
      </c>
      <c r="B1693" t="inlineStr">
        <is>
          <t>ZURICH MINAS BRASIL SEGUROS S A</t>
        </is>
      </c>
      <c r="C1693" t="n">
        <v>2111000000</v>
      </c>
      <c r="D1693" t="inlineStr">
        <is>
          <t>Insurance</t>
        </is>
      </c>
      <c r="E1693" t="n">
        <v>5011935</v>
      </c>
      <c r="F1693" t="inlineStr">
        <is>
          <t>0290/24</t>
        </is>
      </c>
      <c r="G1693" t="inlineStr">
        <is>
          <t>RE</t>
        </is>
      </c>
      <c r="H1693" s="12" t="n">
        <v>-1410.16</v>
      </c>
      <c r="I1693" s="17" t="n">
        <v>45485</v>
      </c>
      <c r="J1693" s="17" t="n">
        <v>46266</v>
      </c>
      <c r="K1693" t="inlineStr">
        <is>
          <t>Invoice Payment. SP: 2147</t>
        </is>
      </c>
    </row>
    <row r="1694">
      <c r="A1694" t="inlineStr">
        <is>
          <t>101463</t>
        </is>
      </c>
      <c r="B1694" t="inlineStr">
        <is>
          <t>ZURICH MINAS BRASIL SEGUROS S A</t>
        </is>
      </c>
      <c r="C1694" t="n">
        <v>2111000000</v>
      </c>
      <c r="D1694" t="inlineStr">
        <is>
          <t>Insurance</t>
        </is>
      </c>
      <c r="E1694" t="n">
        <v>5011941</v>
      </c>
      <c r="F1694" t="inlineStr">
        <is>
          <t>0522/23</t>
        </is>
      </c>
      <c r="G1694" t="inlineStr">
        <is>
          <t>RE</t>
        </is>
      </c>
      <c r="H1694" s="12" t="n">
        <v>-1857.38</v>
      </c>
      <c r="I1694" s="17" t="n">
        <v>45502</v>
      </c>
      <c r="J1694" s="17" t="n">
        <v>46266</v>
      </c>
      <c r="K1694" t="inlineStr">
        <is>
          <t>Invoice Payment. SP: 2327</t>
        </is>
      </c>
    </row>
    <row r="1695">
      <c r="A1695" t="inlineStr">
        <is>
          <t>101463</t>
        </is>
      </c>
      <c r="B1695" t="inlineStr">
        <is>
          <t>ZURICH MINAS BRASIL SEGUROS S A</t>
        </is>
      </c>
      <c r="C1695" t="n">
        <v>2111000000</v>
      </c>
      <c r="D1695" t="inlineStr">
        <is>
          <t>Insurance</t>
        </is>
      </c>
      <c r="E1695" t="n">
        <v>5011943</v>
      </c>
      <c r="F1695" t="inlineStr">
        <is>
          <t>0584/24</t>
        </is>
      </c>
      <c r="G1695" t="inlineStr">
        <is>
          <t>RE</t>
        </is>
      </c>
      <c r="H1695" s="12" t="n">
        <v>-4397.98</v>
      </c>
      <c r="I1695" s="17" t="n">
        <v>45513</v>
      </c>
      <c r="J1695" s="17" t="n">
        <v>46236</v>
      </c>
      <c r="K1695" t="inlineStr">
        <is>
          <t>Invoice Payment. SP: 2426</t>
        </is>
      </c>
    </row>
    <row r="1696">
      <c r="A1696" t="inlineStr">
        <is>
          <t>101463</t>
        </is>
      </c>
      <c r="B1696" t="inlineStr">
        <is>
          <t>ZURICH MINAS BRASIL SEGUROS S A</t>
        </is>
      </c>
      <c r="C1696" t="n">
        <v>2111000000</v>
      </c>
      <c r="D1696" t="inlineStr">
        <is>
          <t>Insurance</t>
        </is>
      </c>
      <c r="E1696" t="n">
        <v>5011945</v>
      </c>
      <c r="F1696" t="inlineStr">
        <is>
          <t>0558/23</t>
        </is>
      </c>
      <c r="G1696" t="inlineStr">
        <is>
          <t>RE</t>
        </is>
      </c>
      <c r="H1696" s="12" t="n">
        <v>-1195.89</v>
      </c>
      <c r="I1696" s="17" t="n">
        <v>45512</v>
      </c>
      <c r="J1696" s="17" t="n">
        <v>46266</v>
      </c>
      <c r="K1696" t="inlineStr">
        <is>
          <t>Invoice Payment. SP: 2420</t>
        </is>
      </c>
    </row>
    <row r="1697">
      <c r="A1697" t="inlineStr">
        <is>
          <t>101463</t>
        </is>
      </c>
      <c r="B1697" t="inlineStr">
        <is>
          <t>ZURICH MINAS BRASIL SEGUROS S A</t>
        </is>
      </c>
      <c r="C1697" t="n">
        <v>2111000000</v>
      </c>
      <c r="D1697" t="inlineStr">
        <is>
          <t>Insurance</t>
        </is>
      </c>
      <c r="E1697" t="n">
        <v>5011947</v>
      </c>
      <c r="F1697" t="inlineStr">
        <is>
          <t>0560/24</t>
        </is>
      </c>
      <c r="G1697" t="inlineStr">
        <is>
          <t>RE</t>
        </is>
      </c>
      <c r="H1697" s="12" t="n">
        <v>-7307.25</v>
      </c>
      <c r="I1697" s="17" t="n">
        <v>45539</v>
      </c>
      <c r="J1697" s="17" t="n">
        <v>46236</v>
      </c>
      <c r="K1697" t="inlineStr">
        <is>
          <t>Invoice Payment. SP: 2786</t>
        </is>
      </c>
    </row>
    <row r="1698">
      <c r="A1698" t="inlineStr">
        <is>
          <t>101463</t>
        </is>
      </c>
      <c r="B1698" t="inlineStr">
        <is>
          <t>ZURICH MINAS BRASIL SEGUROS S A</t>
        </is>
      </c>
      <c r="C1698" t="n">
        <v>2111000000</v>
      </c>
      <c r="D1698" t="inlineStr">
        <is>
          <t>Insurance</t>
        </is>
      </c>
      <c r="E1698" t="n">
        <v>5011954</v>
      </c>
      <c r="F1698" t="inlineStr">
        <is>
          <t>0057/24</t>
        </is>
      </c>
      <c r="G1698" t="inlineStr">
        <is>
          <t>RE</t>
        </is>
      </c>
      <c r="H1698" s="12" t="n">
        <v>-425.02</v>
      </c>
      <c r="I1698" s="17" t="n">
        <v>45532</v>
      </c>
      <c r="J1698" s="17" t="n">
        <v>46206</v>
      </c>
      <c r="K1698" t="inlineStr">
        <is>
          <t>Invoice Payment. SP: 2761</t>
        </is>
      </c>
    </row>
    <row r="1699">
      <c r="A1699" t="inlineStr">
        <is>
          <t>102011</t>
        </is>
      </c>
      <c r="B1699" t="inlineStr">
        <is>
          <t>COMPANHIA D COMPLEXO I P PECEM C SA</t>
        </is>
      </c>
      <c r="C1699" t="n">
        <v>2111000000</v>
      </c>
      <c r="D1699" t="inlineStr">
        <is>
          <t>Customs Brokerage – Overall</t>
        </is>
      </c>
      <c r="E1699" t="n">
        <v>5011955</v>
      </c>
      <c r="F1699" t="inlineStr">
        <is>
          <t>0908/24</t>
        </is>
      </c>
      <c r="G1699" t="inlineStr">
        <is>
          <t>RE</t>
        </is>
      </c>
      <c r="H1699" s="12" t="n">
        <v>-664.55</v>
      </c>
      <c r="I1699" s="17" t="n">
        <v>45776</v>
      </c>
      <c r="J1699" s="17" t="n">
        <v>46206</v>
      </c>
      <c r="K1699" t="inlineStr">
        <is>
          <t>Invoice Payment. SP: 7985</t>
        </is>
      </c>
    </row>
    <row r="1700">
      <c r="A1700" t="inlineStr">
        <is>
          <t>101569</t>
        </is>
      </c>
      <c r="B1700" t="inlineStr">
        <is>
          <t>SECRETARIA DA FAZENDA CEARA</t>
        </is>
      </c>
      <c r="C1700" t="n">
        <v>2111000000</v>
      </c>
      <c r="D1700" t="inlineStr">
        <is>
          <t>Customs Brokerage – Overall</t>
        </is>
      </c>
      <c r="E1700" t="n">
        <v>5011956</v>
      </c>
      <c r="F1700" t="inlineStr">
        <is>
          <t>0908/24</t>
        </is>
      </c>
      <c r="G1700" t="inlineStr">
        <is>
          <t>RE</t>
        </is>
      </c>
      <c r="H1700" s="12" t="n">
        <v>-28.56</v>
      </c>
      <c r="I1700" s="17" t="n">
        <v>45776</v>
      </c>
      <c r="J1700" s="17" t="n">
        <v>46206</v>
      </c>
      <c r="K1700" t="inlineStr">
        <is>
          <t>Invoice Payment. SP: 7983</t>
        </is>
      </c>
    </row>
    <row r="1701">
      <c r="A1701" t="inlineStr">
        <is>
          <t>101463</t>
        </is>
      </c>
      <c r="B1701" t="inlineStr">
        <is>
          <t>ZURICH MINAS BRASIL SEGUROS S A</t>
        </is>
      </c>
      <c r="C1701" t="n">
        <v>2111000000</v>
      </c>
      <c r="D1701" t="inlineStr">
        <is>
          <t>Insurance</t>
        </is>
      </c>
      <c r="E1701" t="n">
        <v>5011957</v>
      </c>
      <c r="F1701" t="inlineStr">
        <is>
          <t>0646/23</t>
        </is>
      </c>
      <c r="G1701" t="inlineStr">
        <is>
          <t>RE</t>
        </is>
      </c>
      <c r="H1701" s="12" t="n">
        <v>-6135.73</v>
      </c>
      <c r="I1701" s="17" t="n">
        <v>45518</v>
      </c>
      <c r="J1701" s="17" t="n">
        <v>46236</v>
      </c>
      <c r="K1701" t="inlineStr">
        <is>
          <t>Invoice Payment. SP: 2479</t>
        </is>
      </c>
    </row>
    <row r="1702">
      <c r="A1702" t="inlineStr">
        <is>
          <t>102011</t>
        </is>
      </c>
      <c r="B1702" t="inlineStr">
        <is>
          <t>COMPANHIA D COMPLEXO I P PECEM C SA</t>
        </is>
      </c>
      <c r="C1702" t="n">
        <v>2111000000</v>
      </c>
      <c r="D1702" t="inlineStr">
        <is>
          <t>Customs Brokerage – Overall</t>
        </is>
      </c>
      <c r="E1702" t="n">
        <v>5011976</v>
      </c>
      <c r="F1702" t="inlineStr">
        <is>
          <t>0908/24</t>
        </is>
      </c>
      <c r="G1702" t="inlineStr">
        <is>
          <t>RE</t>
        </is>
      </c>
      <c r="H1702" s="12" t="n">
        <v>-2023.89</v>
      </c>
      <c r="I1702" s="17" t="n">
        <v>45776</v>
      </c>
      <c r="J1702" s="17" t="n">
        <v>46207</v>
      </c>
      <c r="K1702" t="inlineStr">
        <is>
          <t>Invoice Payment. SP: 7984</t>
        </is>
      </c>
    </row>
    <row r="1703">
      <c r="A1703" t="inlineStr">
        <is>
          <t>100396</t>
        </is>
      </c>
      <c r="B1703" t="inlineStr">
        <is>
          <t>DISTRIBUI LOGISTICA LTDA 03592033000166</t>
        </is>
      </c>
      <c r="C1703" t="n">
        <v>2111000000</v>
      </c>
      <c r="D1703" t="inlineStr">
        <is>
          <t>Operational Suppliers (Wind Farms)</t>
        </is>
      </c>
      <c r="E1703" t="n">
        <v>5012058</v>
      </c>
      <c r="F1703" t="inlineStr">
        <is>
          <t>10882-4</t>
        </is>
      </c>
      <c r="G1703" t="inlineStr">
        <is>
          <t>RE</t>
        </is>
      </c>
      <c r="H1703" s="12" t="n">
        <v>-2000.76</v>
      </c>
      <c r="I1703" s="17" t="n">
        <v>46203</v>
      </c>
      <c r="J1703" s="17" t="n">
        <v>46270</v>
      </c>
      <c r="K1703" t="inlineStr">
        <is>
          <t>Fatura - bruto DISTRIBUI LOGISTICA LTDA 0359203300</t>
        </is>
      </c>
    </row>
    <row r="1704">
      <c r="A1704" t="inlineStr">
        <is>
          <t>100396</t>
        </is>
      </c>
      <c r="B1704" t="inlineStr">
        <is>
          <t>DISTRIBUI LOGISTICA LTDA 03592033000166</t>
        </is>
      </c>
      <c r="C1704" t="n">
        <v>2111000000</v>
      </c>
      <c r="D1704" t="inlineStr">
        <is>
          <t>Operational Suppliers (Wind Farms)</t>
        </is>
      </c>
      <c r="E1704" t="n">
        <v>5012062</v>
      </c>
      <c r="F1704" t="inlineStr">
        <is>
          <t>10872-4</t>
        </is>
      </c>
      <c r="G1704" t="inlineStr">
        <is>
          <t>RE</t>
        </is>
      </c>
      <c r="H1704" s="12" t="n">
        <v>-2001.41</v>
      </c>
      <c r="I1704" s="17" t="n">
        <v>46198</v>
      </c>
      <c r="J1704" s="17" t="n">
        <v>46270</v>
      </c>
      <c r="K1704" t="inlineStr">
        <is>
          <t>Fatura - bruto DISTRIBUI LOGISTICA LTDA 0359203300</t>
        </is>
      </c>
    </row>
    <row r="1705">
      <c r="A1705" t="inlineStr">
        <is>
          <t>101018</t>
        </is>
      </c>
      <c r="B1705" t="inlineStr">
        <is>
          <t>CELMAR COMERCIAL E IMPORTADORA LIMI</t>
        </is>
      </c>
      <c r="C1705" t="n">
        <v>2111000000</v>
      </c>
      <c r="D1705" t="inlineStr">
        <is>
          <t>Operational Suppliers (Wind Farms)</t>
        </is>
      </c>
      <c r="E1705" t="n">
        <v>5012065</v>
      </c>
      <c r="F1705" t="inlineStr">
        <is>
          <t>763783-1</t>
        </is>
      </c>
      <c r="G1705" t="inlineStr">
        <is>
          <t>RE</t>
        </is>
      </c>
      <c r="H1705" s="12" t="n">
        <v>8860.719999999999</v>
      </c>
      <c r="I1705" s="17" t="n">
        <v>46209</v>
      </c>
      <c r="J1705" s="17" t="n">
        <v>46209</v>
      </c>
      <c r="K1705" t="inlineStr">
        <is>
          <t>Fatura - bruto CELMAR COMERCIAL E IMPORTADORA LIMI</t>
        </is>
      </c>
    </row>
    <row r="1706">
      <c r="A1706" t="inlineStr">
        <is>
          <t>102060</t>
        </is>
      </c>
      <c r="B1706" t="inlineStr">
        <is>
          <t>INGETEAM LTDA 03306629000152</t>
        </is>
      </c>
      <c r="C1706" t="n">
        <v>2111000000</v>
      </c>
      <c r="D1706" t="inlineStr">
        <is>
          <t>Operational Suppliers (Wind Farms)</t>
        </is>
      </c>
      <c r="E1706" t="n">
        <v>5012220</v>
      </c>
      <c r="F1706" t="inlineStr">
        <is>
          <t>000018383-1</t>
        </is>
      </c>
      <c r="G1706" t="inlineStr">
        <is>
          <t>RE</t>
        </is>
      </c>
      <c r="H1706" s="12" t="n">
        <v>-568.91</v>
      </c>
      <c r="I1706" s="17" t="n">
        <v>46197</v>
      </c>
      <c r="J1706" s="17" t="n">
        <v>46270</v>
      </c>
      <c r="K1706" t="inlineStr">
        <is>
          <t>Fatura - bruto INGETEAM LTDA 03306629000152 000018</t>
        </is>
      </c>
    </row>
    <row r="1707">
      <c r="A1707" t="inlineStr">
        <is>
          <t>100621</t>
        </is>
      </c>
      <c r="B1707" t="inlineStr">
        <is>
          <t>CALTER ENGENHARIA LTDA</t>
        </is>
      </c>
      <c r="C1707" t="n">
        <v>2111000000</v>
      </c>
      <c r="D1707" t="inlineStr">
        <is>
          <t>Other Suppliers</t>
        </is>
      </c>
      <c r="E1707" t="n">
        <v>5012229</v>
      </c>
      <c r="F1707" t="inlineStr">
        <is>
          <t>30</t>
        </is>
      </c>
      <c r="G1707" t="inlineStr">
        <is>
          <t>RE</t>
        </is>
      </c>
      <c r="H1707" s="12" t="n">
        <v>-32449.4</v>
      </c>
      <c r="I1707" s="17" t="n">
        <v>46191</v>
      </c>
      <c r="J1707" s="17" t="n">
        <v>46270</v>
      </c>
      <c r="K1707" t="inlineStr">
        <is>
          <t>Fatura - bruto CALTER ENGENHARIA LTDA 30</t>
        </is>
      </c>
    </row>
    <row r="1708">
      <c r="A1708" t="inlineStr">
        <is>
          <t>100621</t>
        </is>
      </c>
      <c r="B1708" t="inlineStr">
        <is>
          <t>CALTER ENGENHARIA LTDA</t>
        </is>
      </c>
      <c r="C1708" t="n">
        <v>2111000000</v>
      </c>
      <c r="D1708" t="inlineStr">
        <is>
          <t>Other Suppliers</t>
        </is>
      </c>
      <c r="E1708" t="n">
        <v>5012231</v>
      </c>
      <c r="F1708" t="inlineStr">
        <is>
          <t>33</t>
        </is>
      </c>
      <c r="G1708" t="inlineStr">
        <is>
          <t>RE</t>
        </is>
      </c>
      <c r="H1708" s="12" t="n">
        <v>-5720.21</v>
      </c>
      <c r="I1708" s="17" t="n">
        <v>46205</v>
      </c>
      <c r="J1708" s="17" t="n">
        <v>46270</v>
      </c>
      <c r="K1708" t="inlineStr">
        <is>
          <t>Fatura - bruto CALTER ENGENHARIA LTDA 33</t>
        </is>
      </c>
    </row>
    <row r="1709">
      <c r="A1709" t="inlineStr">
        <is>
          <t>100621</t>
        </is>
      </c>
      <c r="B1709" t="inlineStr">
        <is>
          <t>CALTER ENGENHARIA LTDA</t>
        </is>
      </c>
      <c r="C1709" t="n">
        <v>2111000000</v>
      </c>
      <c r="D1709" t="inlineStr">
        <is>
          <t>Other Suppliers</t>
        </is>
      </c>
      <c r="E1709" t="n">
        <v>5012234</v>
      </c>
      <c r="F1709" t="inlineStr">
        <is>
          <t>34</t>
        </is>
      </c>
      <c r="G1709" t="inlineStr">
        <is>
          <t>RE</t>
        </is>
      </c>
      <c r="H1709" s="12" t="n">
        <v>-245695.92</v>
      </c>
      <c r="I1709" s="17" t="n">
        <v>46209</v>
      </c>
      <c r="J1709" s="17" t="n">
        <v>46270</v>
      </c>
      <c r="K1709" t="inlineStr">
        <is>
          <t>Fatura - bruto CALTER ENGENHARIA LTDA 34</t>
        </is>
      </c>
    </row>
    <row r="1710">
      <c r="A1710" t="inlineStr">
        <is>
          <t>101463</t>
        </is>
      </c>
      <c r="B1710" t="inlineStr">
        <is>
          <t>ZURICH MINAS BRASIL SEGUROS S A</t>
        </is>
      </c>
      <c r="C1710" t="n">
        <v>2111000000</v>
      </c>
      <c r="D1710" t="inlineStr">
        <is>
          <t>Insurance</t>
        </is>
      </c>
      <c r="E1710" t="n">
        <v>5012304</v>
      </c>
      <c r="F1710" t="inlineStr">
        <is>
          <t>0195/26</t>
        </is>
      </c>
      <c r="G1710" t="inlineStr">
        <is>
          <t>RE</t>
        </is>
      </c>
      <c r="H1710" s="12" t="n">
        <v>-1202.31</v>
      </c>
      <c r="I1710" s="17" t="n">
        <v>46156</v>
      </c>
      <c r="J1710" s="17" t="n">
        <v>46242</v>
      </c>
      <c r="K1710" t="inlineStr">
        <is>
          <t>Invoice Payment. SP: 17963</t>
        </is>
      </c>
    </row>
    <row r="1711">
      <c r="A1711" t="inlineStr">
        <is>
          <t>100621</t>
        </is>
      </c>
      <c r="B1711" t="inlineStr">
        <is>
          <t>CALTER ENGENHARIA LTDA</t>
        </is>
      </c>
      <c r="C1711" t="n">
        <v>2111000000</v>
      </c>
      <c r="D1711" t="inlineStr">
        <is>
          <t>Other Suppliers</t>
        </is>
      </c>
      <c r="E1711" t="n">
        <v>5012323</v>
      </c>
      <c r="F1711" t="inlineStr">
        <is>
          <t>37</t>
        </is>
      </c>
      <c r="G1711" t="inlineStr">
        <is>
          <t>RE</t>
        </is>
      </c>
      <c r="H1711" s="12" t="n">
        <v>-415741.46</v>
      </c>
      <c r="I1711" s="17" t="n">
        <v>46211</v>
      </c>
      <c r="J1711" s="17" t="n">
        <v>46270</v>
      </c>
      <c r="K1711" t="inlineStr">
        <is>
          <t>Fatura - bruto CALTER ENGENHARIA LTDA 37</t>
        </is>
      </c>
    </row>
    <row r="1712">
      <c r="A1712" t="inlineStr">
        <is>
          <t>101826</t>
        </is>
      </c>
      <c r="B1712" t="inlineStr">
        <is>
          <t>BUNZL EQUIP DE PROTECÃO INDIVIDUAL</t>
        </is>
      </c>
      <c r="C1712" t="n">
        <v>2111000000</v>
      </c>
      <c r="D1712" t="inlineStr">
        <is>
          <t>Other Suppliers</t>
        </is>
      </c>
      <c r="E1712" t="n">
        <v>5012333</v>
      </c>
      <c r="F1712" t="inlineStr">
        <is>
          <t>001813422-1</t>
        </is>
      </c>
      <c r="G1712" t="inlineStr">
        <is>
          <t>RE</t>
        </is>
      </c>
      <c r="H1712" s="12" t="n">
        <v>-39600</v>
      </c>
      <c r="I1712" s="17" t="n">
        <v>46182</v>
      </c>
      <c r="J1712" s="17" t="n">
        <v>46270</v>
      </c>
      <c r="K1712" t="inlineStr">
        <is>
          <t>Fatura - bruto BUNZL EQUIP DE PROTECÃO INDIVIDUAL</t>
        </is>
      </c>
    </row>
    <row r="1713">
      <c r="A1713" t="inlineStr">
        <is>
          <t>103805</t>
        </is>
      </c>
      <c r="B1713" t="inlineStr">
        <is>
          <t>NUMEN IT SOLUCOES EM TECNOLOGIA LTD</t>
        </is>
      </c>
      <c r="C1713" t="n">
        <v>2111000000</v>
      </c>
      <c r="D1713" t="inlineStr">
        <is>
          <t>Other Suppliers</t>
        </is>
      </c>
      <c r="E1713" t="n">
        <v>5012422</v>
      </c>
      <c r="F1713" t="inlineStr">
        <is>
          <t>18171</t>
        </is>
      </c>
      <c r="G1713" t="inlineStr">
        <is>
          <t>RE</t>
        </is>
      </c>
      <c r="H1713" s="12" t="n">
        <v>-8248.780000000001</v>
      </c>
      <c r="I1713" s="17" t="n">
        <v>46210</v>
      </c>
      <c r="J1713" s="17" t="n">
        <v>46273</v>
      </c>
      <c r="K1713" t="inlineStr">
        <is>
          <t>Fatura - bruto NUMEN IT SOLUCOES EM TECNOLOGIA LTD</t>
        </is>
      </c>
    </row>
    <row r="1714">
      <c r="A1714" t="inlineStr">
        <is>
          <t>100621</t>
        </is>
      </c>
      <c r="B1714" t="inlineStr">
        <is>
          <t>CALTER ENGENHARIA LTDA</t>
        </is>
      </c>
      <c r="C1714" t="n">
        <v>2111000000</v>
      </c>
      <c r="D1714" t="inlineStr">
        <is>
          <t>Other Suppliers</t>
        </is>
      </c>
      <c r="E1714" t="n">
        <v>5012480</v>
      </c>
      <c r="F1714" t="inlineStr">
        <is>
          <t>35</t>
        </is>
      </c>
      <c r="G1714" t="inlineStr">
        <is>
          <t>RE</t>
        </is>
      </c>
      <c r="H1714" s="12" t="n">
        <v>-187804.87</v>
      </c>
      <c r="I1714" s="17" t="n">
        <v>46210</v>
      </c>
      <c r="J1714" s="17" t="n">
        <v>46270</v>
      </c>
      <c r="K1714" t="inlineStr">
        <is>
          <t>Fatura - bruto CALTER ENGENHARIA LTDA 35</t>
        </is>
      </c>
    </row>
    <row r="1715">
      <c r="A1715" t="inlineStr">
        <is>
          <t>107626</t>
        </is>
      </c>
      <c r="B1715" t="inlineStr">
        <is>
          <t>DELTHA SERVICOS LTDA</t>
        </is>
      </c>
      <c r="C1715" t="n">
        <v>2111000000</v>
      </c>
      <c r="D1715" t="inlineStr">
        <is>
          <t>Other Suppliers</t>
        </is>
      </c>
      <c r="E1715" t="n">
        <v>5012481</v>
      </c>
      <c r="F1715" t="inlineStr">
        <is>
          <t>224</t>
        </is>
      </c>
      <c r="G1715" t="inlineStr">
        <is>
          <t>RE</t>
        </is>
      </c>
      <c r="H1715" s="12" t="n">
        <v>-60042.52</v>
      </c>
      <c r="I1715" s="17" t="n">
        <v>46213</v>
      </c>
      <c r="J1715" s="17" t="n">
        <v>46270</v>
      </c>
      <c r="K1715" t="inlineStr">
        <is>
          <t>Fatura - bruto DELTHA SERVICOS LTDA 224</t>
        </is>
      </c>
    </row>
    <row r="1716">
      <c r="A1716" t="inlineStr">
        <is>
          <t>107626</t>
        </is>
      </c>
      <c r="B1716" t="inlineStr">
        <is>
          <t>DELTHA SERVICOS LTDA</t>
        </is>
      </c>
      <c r="C1716" t="n">
        <v>2111000000</v>
      </c>
      <c r="D1716" t="inlineStr">
        <is>
          <t>Other Suppliers</t>
        </is>
      </c>
      <c r="E1716" t="n">
        <v>5012482</v>
      </c>
      <c r="F1716" t="inlineStr">
        <is>
          <t>225</t>
        </is>
      </c>
      <c r="G1716" t="inlineStr">
        <is>
          <t>RE</t>
        </is>
      </c>
      <c r="H1716" s="12" t="n">
        <v>-1946.87</v>
      </c>
      <c r="I1716" s="17" t="n">
        <v>46213</v>
      </c>
      <c r="J1716" s="17" t="n">
        <v>46270</v>
      </c>
      <c r="K1716" t="inlineStr">
        <is>
          <t>Fatura - bruto DELTHA SERVICOS LTDA 225</t>
        </is>
      </c>
    </row>
    <row r="1717">
      <c r="A1717" t="inlineStr">
        <is>
          <t>101400</t>
        </is>
      </c>
      <c r="B1717" t="inlineStr">
        <is>
          <t>I. V. TRANSPORTES E LOCAÇÕES LTDA</t>
        </is>
      </c>
      <c r="C1717" t="n">
        <v>2111000000</v>
      </c>
      <c r="D1717" t="inlineStr">
        <is>
          <t>Operational Suppliers (Wind Farms)</t>
        </is>
      </c>
      <c r="E1717" t="n">
        <v>5012491</v>
      </c>
      <c r="F1717" t="inlineStr">
        <is>
          <t>3630</t>
        </is>
      </c>
      <c r="G1717" t="inlineStr">
        <is>
          <t>RE</t>
        </is>
      </c>
      <c r="H1717" s="12" t="n">
        <v>-2027199.34</v>
      </c>
      <c r="I1717" s="17" t="n">
        <v>46210</v>
      </c>
      <c r="J1717" s="17" t="n">
        <v>46300</v>
      </c>
      <c r="K1717" t="inlineStr">
        <is>
          <t>Fatura - bruto I. V. TRANSPORTES E LOCAÇÕES LTDA 3</t>
        </is>
      </c>
    </row>
    <row r="1718">
      <c r="A1718" t="inlineStr">
        <is>
          <t>102113</t>
        </is>
      </c>
      <c r="B1718" t="inlineStr">
        <is>
          <t>3Z MOVIMENTACAO INTELIGENTE LTDA 94772233000237</t>
        </is>
      </c>
      <c r="C1718" t="n">
        <v>2111000000</v>
      </c>
      <c r="D1718" t="inlineStr">
        <is>
          <t>Operational Suppliers (Wind Farms)</t>
        </is>
      </c>
      <c r="E1718" t="n">
        <v>5012492</v>
      </c>
      <c r="F1718" t="inlineStr">
        <is>
          <t>246</t>
        </is>
      </c>
      <c r="G1718" t="inlineStr">
        <is>
          <t>RE</t>
        </is>
      </c>
      <c r="H1718" s="12" t="n">
        <v>-584400.1</v>
      </c>
      <c r="I1718" s="17" t="n">
        <v>46212</v>
      </c>
      <c r="J1718" s="17" t="n">
        <v>46270</v>
      </c>
      <c r="K1718" t="inlineStr">
        <is>
          <t>Fatura - bruto 3Z MOVIMENTACAO INTELIGENTE LTDA 94</t>
        </is>
      </c>
    </row>
    <row r="1719">
      <c r="A1719" t="inlineStr">
        <is>
          <t>101420</t>
        </is>
      </c>
      <c r="B1719" t="inlineStr">
        <is>
          <t>MEDEIROS GALVAO SOLUÇÕES LTDA</t>
        </is>
      </c>
      <c r="C1719" t="n">
        <v>2111000000</v>
      </c>
      <c r="D1719" t="inlineStr">
        <is>
          <t>Customs Brokerage – Overall</t>
        </is>
      </c>
      <c r="E1719" t="n">
        <v>5012546</v>
      </c>
      <c r="F1719" t="inlineStr">
        <is>
          <t>29757-2</t>
        </is>
      </c>
      <c r="G1719" t="inlineStr">
        <is>
          <t>RE</t>
        </is>
      </c>
      <c r="H1719" s="12" t="n">
        <v>-17988</v>
      </c>
      <c r="I1719" s="17" t="n">
        <v>46211</v>
      </c>
      <c r="J1719" s="17" t="n">
        <v>46270</v>
      </c>
      <c r="K1719" t="inlineStr">
        <is>
          <t>Fatura - bruto MEDEIROS GALVAO SOLUÇÕES LTDA 29757</t>
        </is>
      </c>
    </row>
    <row r="1720">
      <c r="A1720" t="inlineStr">
        <is>
          <t>101826</t>
        </is>
      </c>
      <c r="B1720" t="inlineStr">
        <is>
          <t>BUNZL EQUIP DE PROTECÃO INDIVIDUAL</t>
        </is>
      </c>
      <c r="C1720" t="n">
        <v>2111000000</v>
      </c>
      <c r="D1720" t="inlineStr">
        <is>
          <t>Other Suppliers</t>
        </is>
      </c>
      <c r="E1720" t="n">
        <v>5012607</v>
      </c>
      <c r="F1720" t="inlineStr">
        <is>
          <t>1820776-1</t>
        </is>
      </c>
      <c r="G1720" t="inlineStr">
        <is>
          <t>RE</t>
        </is>
      </c>
      <c r="H1720" s="12" t="n">
        <v>-105600</v>
      </c>
      <c r="I1720" s="17" t="n">
        <v>46198</v>
      </c>
      <c r="J1720" s="17" t="n">
        <v>46270</v>
      </c>
      <c r="K1720" t="inlineStr">
        <is>
          <t>Fatura - bruto BUNZL EQUIP DE PROTECÃO INDIVIDUAL</t>
        </is>
      </c>
    </row>
    <row r="1721">
      <c r="A1721" t="inlineStr">
        <is>
          <t>101420</t>
        </is>
      </c>
      <c r="B1721" t="inlineStr">
        <is>
          <t>MEDEIROS GALVAO SOLUÇÕES LTDA</t>
        </is>
      </c>
      <c r="C1721" t="n">
        <v>2111000000</v>
      </c>
      <c r="D1721" t="inlineStr">
        <is>
          <t>Customs Brokerage – Overall</t>
        </is>
      </c>
      <c r="E1721" t="n">
        <v>5012618</v>
      </c>
      <c r="F1721" t="inlineStr">
        <is>
          <t>29786-2</t>
        </is>
      </c>
      <c r="G1721" t="inlineStr">
        <is>
          <t>RE</t>
        </is>
      </c>
      <c r="H1721" s="12" t="n">
        <v>-2359.47</v>
      </c>
      <c r="I1721" s="17" t="n">
        <v>46212</v>
      </c>
      <c r="J1721" s="17" t="n">
        <v>46270</v>
      </c>
      <c r="K1721" t="inlineStr">
        <is>
          <t>Fatura - bruto MEDEIROS GALVAO SOLUÇÕES LTDA 29786</t>
        </is>
      </c>
    </row>
    <row r="1722">
      <c r="A1722" t="inlineStr">
        <is>
          <t>103999</t>
        </is>
      </c>
      <c r="B1722" t="inlineStr">
        <is>
          <t>TECNOCON SOLUCOES PARA ENERGIAS REN</t>
        </is>
      </c>
      <c r="C1722" t="n">
        <v>2111000000</v>
      </c>
      <c r="D1722" t="inlineStr">
        <is>
          <t>Operational Suppliers (Wind Farms)</t>
        </is>
      </c>
      <c r="E1722" t="n">
        <v>5012656</v>
      </c>
      <c r="F1722" t="inlineStr">
        <is>
          <t>000019838-000</t>
        </is>
      </c>
      <c r="G1722" t="inlineStr">
        <is>
          <t>RE</t>
        </is>
      </c>
      <c r="H1722" s="12" t="n">
        <v>-1937.82</v>
      </c>
      <c r="I1722" s="17" t="n">
        <v>46217</v>
      </c>
      <c r="J1722" s="17" t="n">
        <v>46270</v>
      </c>
      <c r="K1722" t="inlineStr">
        <is>
          <t>Fatura - bruto TECNOCON SOLUCOES PARA ENERGIAS REN</t>
        </is>
      </c>
    </row>
    <row r="1723">
      <c r="A1723" t="inlineStr">
        <is>
          <t>100396</t>
        </is>
      </c>
      <c r="B1723" t="inlineStr">
        <is>
          <t>DISTRIBUI LOGISTICA LTDA 03592033000166</t>
        </is>
      </c>
      <c r="C1723" t="n">
        <v>2111000000</v>
      </c>
      <c r="D1723" t="inlineStr">
        <is>
          <t>Operational Suppliers (Wind Farms)</t>
        </is>
      </c>
      <c r="E1723" t="n">
        <v>5012734</v>
      </c>
      <c r="F1723" t="inlineStr">
        <is>
          <t>10900-4</t>
        </is>
      </c>
      <c r="G1723" t="inlineStr">
        <is>
          <t>RE</t>
        </is>
      </c>
      <c r="H1723" s="12" t="n">
        <v>-2021.06</v>
      </c>
      <c r="I1723" s="17" t="n">
        <v>46210</v>
      </c>
      <c r="J1723" s="17" t="n">
        <v>46270</v>
      </c>
      <c r="K1723" t="inlineStr">
        <is>
          <t>Fatura - bruto DISTRIBUI LOGISTICA LTDA 0359203300</t>
        </is>
      </c>
    </row>
    <row r="1724">
      <c r="A1724" t="inlineStr">
        <is>
          <t>102113</t>
        </is>
      </c>
      <c r="B1724" t="inlineStr">
        <is>
          <t>3Z MOVIMENTACAO INTELIGENTE LTDA 94772233000237</t>
        </is>
      </c>
      <c r="C1724" t="n">
        <v>2111000000</v>
      </c>
      <c r="D1724" t="inlineStr">
        <is>
          <t>Operational Suppliers (Wind Farms)</t>
        </is>
      </c>
      <c r="E1724" t="n">
        <v>5012762</v>
      </c>
      <c r="F1724" t="inlineStr">
        <is>
          <t>247</t>
        </is>
      </c>
      <c r="G1724" t="inlineStr">
        <is>
          <t>RE</t>
        </is>
      </c>
      <c r="H1724" s="12" t="n">
        <v>-1519503.07</v>
      </c>
      <c r="I1724" s="17" t="n">
        <v>46212</v>
      </c>
      <c r="J1724" s="17" t="n">
        <v>46302</v>
      </c>
      <c r="K1724" t="inlineStr">
        <is>
          <t>Fatura - bruto 3Z MOVIMENTACAO INTELIGENTE LTDA 94</t>
        </is>
      </c>
    </row>
    <row r="1725">
      <c r="A1725" t="inlineStr">
        <is>
          <t>101463</t>
        </is>
      </c>
      <c r="B1725" t="inlineStr">
        <is>
          <t>ZURICH MINAS BRASIL SEGUROS S A</t>
        </is>
      </c>
      <c r="C1725" t="n">
        <v>2111000000</v>
      </c>
      <c r="D1725" t="inlineStr">
        <is>
          <t>Insurance</t>
        </is>
      </c>
      <c r="E1725" t="n">
        <v>5012801</v>
      </c>
      <c r="F1725" t="inlineStr">
        <is>
          <t>0029/26E</t>
        </is>
      </c>
      <c r="G1725" t="inlineStr">
        <is>
          <t>RE</t>
        </is>
      </c>
      <c r="H1725" s="12" t="n">
        <v>-7074.5</v>
      </c>
      <c r="I1725" s="17" t="n">
        <v>46099</v>
      </c>
      <c r="J1725" s="17" t="n">
        <v>46219</v>
      </c>
      <c r="K1725" t="inlineStr">
        <is>
          <t>Invoice Payment. SP: 16082</t>
        </is>
      </c>
    </row>
    <row r="1726">
      <c r="A1726" t="inlineStr">
        <is>
          <t>101645</t>
        </is>
      </c>
      <c r="B1726" t="inlineStr">
        <is>
          <t>LUITEX MAQUINAS E FERRAMENTAS LTDA</t>
        </is>
      </c>
      <c r="C1726" t="n">
        <v>2111000000</v>
      </c>
      <c r="D1726" t="inlineStr">
        <is>
          <t>Operational Suppliers (Wind Farms)</t>
        </is>
      </c>
      <c r="E1726" t="n">
        <v>5012802</v>
      </c>
      <c r="F1726" t="inlineStr">
        <is>
          <t>624297-1</t>
        </is>
      </c>
      <c r="G1726" t="inlineStr">
        <is>
          <t>RE</t>
        </is>
      </c>
      <c r="H1726" s="12" t="n">
        <v>-13172.96</v>
      </c>
      <c r="I1726" s="17" t="n">
        <v>46191</v>
      </c>
      <c r="J1726" s="17" t="n">
        <v>46270</v>
      </c>
      <c r="K1726" t="inlineStr">
        <is>
          <t>Fatura - bruto LUITEX MAQUINAS E FERRAMENTAS LTDA</t>
        </is>
      </c>
    </row>
    <row r="1727">
      <c r="A1727" t="inlineStr">
        <is>
          <t>104050</t>
        </is>
      </c>
      <c r="B1727" t="inlineStr">
        <is>
          <t>DEFENSY SEGURANCA E SERVICOS LTDA 49758078000169</t>
        </is>
      </c>
      <c r="C1727" t="n">
        <v>2111000000</v>
      </c>
      <c r="D1727" t="inlineStr">
        <is>
          <t>Other Suppliers</t>
        </is>
      </c>
      <c r="E1727" t="n">
        <v>5012842</v>
      </c>
      <c r="F1727" t="inlineStr">
        <is>
          <t>12</t>
        </is>
      </c>
      <c r="G1727" t="inlineStr">
        <is>
          <t>RE</t>
        </is>
      </c>
      <c r="H1727" s="12" t="n">
        <v>-71881.34</v>
      </c>
      <c r="I1727" s="17" t="n">
        <v>46218</v>
      </c>
      <c r="J1727" s="17" t="n">
        <v>46270</v>
      </c>
      <c r="K1727" t="inlineStr">
        <is>
          <t>Fatura - bruto DEFENSY SEGURANCA E SERVICOS LTDA 4</t>
        </is>
      </c>
    </row>
    <row r="1728">
      <c r="A1728" t="inlineStr">
        <is>
          <t>101929</t>
        </is>
      </c>
      <c r="B1728" t="inlineStr">
        <is>
          <t>TECNOFIX INDUSTRIA E COMERCIO DE PA</t>
        </is>
      </c>
      <c r="C1728" t="n">
        <v>2111000000</v>
      </c>
      <c r="D1728" t="inlineStr">
        <is>
          <t>Operational Suppliers (Wind Farms)</t>
        </is>
      </c>
      <c r="E1728" t="n">
        <v>5012896</v>
      </c>
      <c r="F1728" t="inlineStr">
        <is>
          <t>000031351-1</t>
        </is>
      </c>
      <c r="G1728" t="inlineStr">
        <is>
          <t>RE</t>
        </is>
      </c>
      <c r="H1728" s="12" t="n">
        <v>-66690.3</v>
      </c>
      <c r="I1728" s="17" t="n">
        <v>46219</v>
      </c>
      <c r="J1728" s="17" t="n">
        <v>46270</v>
      </c>
      <c r="K1728" t="inlineStr">
        <is>
          <t>Fatura - bruto TECNOFIX INDUSTRIA E COMERCIO DE PA</t>
        </is>
      </c>
    </row>
    <row r="1729">
      <c r="A1729" t="inlineStr">
        <is>
          <t>101929</t>
        </is>
      </c>
      <c r="B1729" t="inlineStr">
        <is>
          <t>TECNOFIX INDUSTRIA E COMERCIO DE PA</t>
        </is>
      </c>
      <c r="C1729" t="n">
        <v>2111000000</v>
      </c>
      <c r="D1729" t="inlineStr">
        <is>
          <t>Operational Suppliers (Wind Farms)</t>
        </is>
      </c>
      <c r="E1729" t="n">
        <v>5012900</v>
      </c>
      <c r="F1729" t="inlineStr">
        <is>
          <t>000031351-1</t>
        </is>
      </c>
      <c r="G1729" t="inlineStr">
        <is>
          <t>RS</t>
        </is>
      </c>
      <c r="H1729" s="12" t="n">
        <v>66690.3</v>
      </c>
      <c r="I1729" s="17" t="n">
        <v>46219</v>
      </c>
      <c r="J1729" s="17" t="n">
        <v>46270</v>
      </c>
      <c r="K1729" t="inlineStr">
        <is>
          <t>MR8M</t>
        </is>
      </c>
    </row>
    <row r="1730">
      <c r="A1730" t="inlineStr">
        <is>
          <t>101929</t>
        </is>
      </c>
      <c r="B1730" t="inlineStr">
        <is>
          <t>TECNOFIX INDUSTRIA E COMERCIO DE PA</t>
        </is>
      </c>
      <c r="C1730" t="n">
        <v>2111000000</v>
      </c>
      <c r="D1730" t="inlineStr">
        <is>
          <t>Operational Suppliers (Wind Farms)</t>
        </is>
      </c>
      <c r="E1730" t="n">
        <v>5012903</v>
      </c>
      <c r="F1730" t="inlineStr">
        <is>
          <t>000031351-1</t>
        </is>
      </c>
      <c r="G1730" t="inlineStr">
        <is>
          <t>RE</t>
        </is>
      </c>
      <c r="H1730" s="12" t="n">
        <v>-66690.3</v>
      </c>
      <c r="I1730" s="17" t="n">
        <v>46219</v>
      </c>
      <c r="J1730" s="17" t="n">
        <v>46270</v>
      </c>
      <c r="K1730" t="inlineStr">
        <is>
          <t>Fatura - bruto TECNOFIX INDUSTRIA E COMERCIO DE PA</t>
        </is>
      </c>
    </row>
    <row r="1731">
      <c r="A1731" t="inlineStr">
        <is>
          <t>100379</t>
        </is>
      </c>
      <c r="B1731" t="inlineStr">
        <is>
          <t>RAK LOG TRANSPORTES E LOGISTICA EIR</t>
        </is>
      </c>
      <c r="C1731" t="n">
        <v>2111000000</v>
      </c>
      <c r="D1731" t="inlineStr">
        <is>
          <t>Operational Suppliers (Wind Farms)</t>
        </is>
      </c>
      <c r="E1731" t="n">
        <v>5012936</v>
      </c>
      <c r="F1731" t="inlineStr">
        <is>
          <t>332521-1</t>
        </is>
      </c>
      <c r="G1731" t="inlineStr">
        <is>
          <t>RE</t>
        </is>
      </c>
      <c r="H1731" s="12" t="n">
        <v>-13140.67</v>
      </c>
      <c r="I1731" s="17" t="n">
        <v>46182</v>
      </c>
      <c r="J1731" s="17" t="n">
        <v>46270</v>
      </c>
      <c r="K1731" t="inlineStr">
        <is>
          <t>Fatura - bruto RAK LOG TRANSPORTES E LOGISTICA EIR</t>
        </is>
      </c>
    </row>
    <row r="1732">
      <c r="A1732" t="inlineStr">
        <is>
          <t>100379</t>
        </is>
      </c>
      <c r="B1732" t="inlineStr">
        <is>
          <t>RAK LOG TRANSPORTES E LOGISTICA EIR</t>
        </is>
      </c>
      <c r="C1732" t="n">
        <v>2111000000</v>
      </c>
      <c r="D1732" t="inlineStr">
        <is>
          <t>Operational Suppliers (Wind Farms)</t>
        </is>
      </c>
      <c r="E1732" t="n">
        <v>5012937</v>
      </c>
      <c r="F1732" t="inlineStr">
        <is>
          <t>332525-1</t>
        </is>
      </c>
      <c r="G1732" t="inlineStr">
        <is>
          <t>RE</t>
        </is>
      </c>
      <c r="H1732" s="12" t="n">
        <v>-13140.67</v>
      </c>
      <c r="I1732" s="17" t="n">
        <v>46182</v>
      </c>
      <c r="J1732" s="17" t="n">
        <v>46270</v>
      </c>
      <c r="K1732" t="inlineStr">
        <is>
          <t>Fatura - bruto RAK LOG TRANSPORTES E LOGISTICA EIR</t>
        </is>
      </c>
    </row>
    <row r="1733">
      <c r="A1733" t="inlineStr">
        <is>
          <t>100379</t>
        </is>
      </c>
      <c r="B1733" t="inlineStr">
        <is>
          <t>RAK LOG TRANSPORTES E LOGISTICA EIR</t>
        </is>
      </c>
      <c r="C1733" t="n">
        <v>2111000000</v>
      </c>
      <c r="D1733" t="inlineStr">
        <is>
          <t>Operational Suppliers (Wind Farms)</t>
        </is>
      </c>
      <c r="E1733" t="n">
        <v>5012938</v>
      </c>
      <c r="F1733" t="inlineStr">
        <is>
          <t>332689-1</t>
        </is>
      </c>
      <c r="G1733" t="inlineStr">
        <is>
          <t>RE</t>
        </is>
      </c>
      <c r="H1733" s="12" t="n">
        <v>-13090.01</v>
      </c>
      <c r="I1733" s="17" t="n">
        <v>46183</v>
      </c>
      <c r="J1733" s="17" t="n">
        <v>46270</v>
      </c>
      <c r="K1733" t="inlineStr">
        <is>
          <t>Fatura - bruto RAK LOG TRANSPORTES E LOGISTICA EIR</t>
        </is>
      </c>
    </row>
    <row r="1734">
      <c r="A1734" t="inlineStr">
        <is>
          <t>100379</t>
        </is>
      </c>
      <c r="B1734" t="inlineStr">
        <is>
          <t>RAK LOG TRANSPORTES E LOGISTICA EIR</t>
        </is>
      </c>
      <c r="C1734" t="n">
        <v>2111000000</v>
      </c>
      <c r="D1734" t="inlineStr">
        <is>
          <t>Operational Suppliers (Wind Farms)</t>
        </is>
      </c>
      <c r="E1734" t="n">
        <v>5012939</v>
      </c>
      <c r="F1734" t="inlineStr">
        <is>
          <t>332695-1</t>
        </is>
      </c>
      <c r="G1734" t="inlineStr">
        <is>
          <t>RE</t>
        </is>
      </c>
      <c r="H1734" s="12" t="n">
        <v>-13090.01</v>
      </c>
      <c r="I1734" s="17" t="n">
        <v>46183</v>
      </c>
      <c r="J1734" s="17" t="n">
        <v>46270</v>
      </c>
      <c r="K1734" t="inlineStr">
        <is>
          <t>Fatura - bruto RAK LOG TRANSPORTES E LOGISTICA EIR</t>
        </is>
      </c>
    </row>
    <row r="1735">
      <c r="A1735" t="inlineStr">
        <is>
          <t>100379</t>
        </is>
      </c>
      <c r="B1735" t="inlineStr">
        <is>
          <t>RAK LOG TRANSPORTES E LOGISTICA EIR</t>
        </is>
      </c>
      <c r="C1735" t="n">
        <v>2111000000</v>
      </c>
      <c r="D1735" t="inlineStr">
        <is>
          <t>Operational Suppliers (Wind Farms)</t>
        </is>
      </c>
      <c r="E1735" t="n">
        <v>5012940</v>
      </c>
      <c r="F1735" t="inlineStr">
        <is>
          <t>332778-1</t>
        </is>
      </c>
      <c r="G1735" t="inlineStr">
        <is>
          <t>RE</t>
        </is>
      </c>
      <c r="H1735" s="12" t="n">
        <v>-13189.54</v>
      </c>
      <c r="I1735" s="17" t="n">
        <v>46184</v>
      </c>
      <c r="J1735" s="17" t="n">
        <v>46270</v>
      </c>
      <c r="K1735" t="inlineStr">
        <is>
          <t>Fatura - bruto RAK LOG TRANSPORTES E LOGISTICA EIR</t>
        </is>
      </c>
    </row>
    <row r="1736">
      <c r="A1736" t="inlineStr">
        <is>
          <t>100379</t>
        </is>
      </c>
      <c r="B1736" t="inlineStr">
        <is>
          <t>RAK LOG TRANSPORTES E LOGISTICA EIR</t>
        </is>
      </c>
      <c r="C1736" t="n">
        <v>2111000000</v>
      </c>
      <c r="D1736" t="inlineStr">
        <is>
          <t>Operational Suppliers (Wind Farms)</t>
        </is>
      </c>
      <c r="E1736" t="n">
        <v>5012941</v>
      </c>
      <c r="F1736" t="inlineStr">
        <is>
          <t>332852-1</t>
        </is>
      </c>
      <c r="G1736" t="inlineStr">
        <is>
          <t>RE</t>
        </is>
      </c>
      <c r="H1736" s="12" t="n">
        <v>-13189.54</v>
      </c>
      <c r="I1736" s="17" t="n">
        <v>46184</v>
      </c>
      <c r="J1736" s="17" t="n">
        <v>46270</v>
      </c>
      <c r="K1736" t="inlineStr">
        <is>
          <t>Fatura - bruto RAK LOG TRANSPORTES E LOGISTICA EIR</t>
        </is>
      </c>
    </row>
    <row r="1737">
      <c r="A1737" t="inlineStr">
        <is>
          <t>100379</t>
        </is>
      </c>
      <c r="B1737" t="inlineStr">
        <is>
          <t>RAK LOG TRANSPORTES E LOGISTICA EIR</t>
        </is>
      </c>
      <c r="C1737" t="n">
        <v>2111000000</v>
      </c>
      <c r="D1737" t="inlineStr">
        <is>
          <t>Operational Suppliers (Wind Farms)</t>
        </is>
      </c>
      <c r="E1737" t="n">
        <v>5012942</v>
      </c>
      <c r="F1737" t="inlineStr">
        <is>
          <t>333255-1</t>
        </is>
      </c>
      <c r="G1737" t="inlineStr">
        <is>
          <t>RE</t>
        </is>
      </c>
      <c r="H1737" s="12" t="n">
        <v>-13163.07</v>
      </c>
      <c r="I1737" s="17" t="n">
        <v>46189</v>
      </c>
      <c r="J1737" s="17" t="n">
        <v>46270</v>
      </c>
      <c r="K1737" t="inlineStr">
        <is>
          <t>Fatura - bruto RAK LOG TRANSPORTES E LOGISTICA EIR</t>
        </is>
      </c>
    </row>
    <row r="1738">
      <c r="A1738" t="inlineStr">
        <is>
          <t>100379</t>
        </is>
      </c>
      <c r="B1738" t="inlineStr">
        <is>
          <t>RAK LOG TRANSPORTES E LOGISTICA EIR</t>
        </is>
      </c>
      <c r="C1738" t="n">
        <v>2111000000</v>
      </c>
      <c r="D1738" t="inlineStr">
        <is>
          <t>Operational Suppliers (Wind Farms)</t>
        </is>
      </c>
      <c r="E1738" t="n">
        <v>5012943</v>
      </c>
      <c r="F1738" t="inlineStr">
        <is>
          <t>333361-1</t>
        </is>
      </c>
      <c r="G1738" t="inlineStr">
        <is>
          <t>RE</t>
        </is>
      </c>
      <c r="H1738" s="12" t="n">
        <v>-13163.07</v>
      </c>
      <c r="I1738" s="17" t="n">
        <v>46190</v>
      </c>
      <c r="J1738" s="17" t="n">
        <v>46270</v>
      </c>
      <c r="K1738" t="inlineStr">
        <is>
          <t>Fatura - bruto RAK LOG TRANSPORTES E LOGISTICA EIR</t>
        </is>
      </c>
    </row>
    <row r="1739">
      <c r="A1739" t="inlineStr">
        <is>
          <t>100379</t>
        </is>
      </c>
      <c r="B1739" t="inlineStr">
        <is>
          <t>RAK LOG TRANSPORTES E LOGISTICA EIR</t>
        </is>
      </c>
      <c r="C1739" t="n">
        <v>2111000000</v>
      </c>
      <c r="D1739" t="inlineStr">
        <is>
          <t>Operational Suppliers (Wind Farms)</t>
        </is>
      </c>
      <c r="E1739" t="n">
        <v>5012944</v>
      </c>
      <c r="F1739" t="inlineStr">
        <is>
          <t>333363-1</t>
        </is>
      </c>
      <c r="G1739" t="inlineStr">
        <is>
          <t>RE</t>
        </is>
      </c>
      <c r="H1739" s="12" t="n">
        <v>-13163.07</v>
      </c>
      <c r="I1739" s="17" t="n">
        <v>46190</v>
      </c>
      <c r="J1739" s="17" t="n">
        <v>46270</v>
      </c>
      <c r="K1739" t="inlineStr">
        <is>
          <t>Fatura - bruto RAK LOG TRANSPORTES E LOGISTICA EIR</t>
        </is>
      </c>
    </row>
    <row r="1740">
      <c r="A1740" t="inlineStr">
        <is>
          <t>100379</t>
        </is>
      </c>
      <c r="B1740" t="inlineStr">
        <is>
          <t>RAK LOG TRANSPORTES E LOGISTICA EIR</t>
        </is>
      </c>
      <c r="C1740" t="n">
        <v>2111000000</v>
      </c>
      <c r="D1740" t="inlineStr">
        <is>
          <t>Operational Suppliers (Wind Farms)</t>
        </is>
      </c>
      <c r="E1740" t="n">
        <v>5012945</v>
      </c>
      <c r="F1740" t="inlineStr">
        <is>
          <t>333430-1</t>
        </is>
      </c>
      <c r="G1740" t="inlineStr">
        <is>
          <t>RE</t>
        </is>
      </c>
      <c r="H1740" s="12" t="n">
        <v>-13028.12</v>
      </c>
      <c r="I1740" s="17" t="n">
        <v>46191</v>
      </c>
      <c r="J1740" s="17" t="n">
        <v>46270</v>
      </c>
      <c r="K1740" t="inlineStr">
        <is>
          <t>Fatura - bruto RAK LOG TRANSPORTES E LOGISTICA EIR</t>
        </is>
      </c>
    </row>
    <row r="1741">
      <c r="A1741" t="inlineStr">
        <is>
          <t>100379</t>
        </is>
      </c>
      <c r="B1741" t="inlineStr">
        <is>
          <t>RAK LOG TRANSPORTES E LOGISTICA EIR</t>
        </is>
      </c>
      <c r="C1741" t="n">
        <v>2111000000</v>
      </c>
      <c r="D1741" t="inlineStr">
        <is>
          <t>Operational Suppliers (Wind Farms)</t>
        </is>
      </c>
      <c r="E1741" t="n">
        <v>5012946</v>
      </c>
      <c r="F1741" t="inlineStr">
        <is>
          <t>333435-1</t>
        </is>
      </c>
      <c r="G1741" t="inlineStr">
        <is>
          <t>RE</t>
        </is>
      </c>
      <c r="H1741" s="12" t="n">
        <v>-13028.12</v>
      </c>
      <c r="I1741" s="17" t="n">
        <v>46191</v>
      </c>
      <c r="J1741" s="17" t="n">
        <v>46270</v>
      </c>
      <c r="K1741" t="inlineStr">
        <is>
          <t>Fatura - bruto RAK LOG TRANSPORTES E LOGISTICA EIR</t>
        </is>
      </c>
    </row>
    <row r="1742">
      <c r="A1742" t="inlineStr">
        <is>
          <t>100379</t>
        </is>
      </c>
      <c r="B1742" t="inlineStr">
        <is>
          <t>RAK LOG TRANSPORTES E LOGISTICA EIR</t>
        </is>
      </c>
      <c r="C1742" t="n">
        <v>2111000000</v>
      </c>
      <c r="D1742" t="inlineStr">
        <is>
          <t>Operational Suppliers (Wind Farms)</t>
        </is>
      </c>
      <c r="E1742" t="n">
        <v>5012947</v>
      </c>
      <c r="F1742" t="inlineStr">
        <is>
          <t>333576-1</t>
        </is>
      </c>
      <c r="G1742" t="inlineStr">
        <is>
          <t>RE</t>
        </is>
      </c>
      <c r="H1742" s="12" t="n">
        <v>-13310.58</v>
      </c>
      <c r="I1742" s="17" t="n">
        <v>46192</v>
      </c>
      <c r="J1742" s="17" t="n">
        <v>46270</v>
      </c>
      <c r="K1742" t="inlineStr">
        <is>
          <t>Fatura - bruto RAK LOG TRANSPORTES E LOGISTICA EIR</t>
        </is>
      </c>
    </row>
    <row r="1743">
      <c r="A1743" t="inlineStr">
        <is>
          <t>100379</t>
        </is>
      </c>
      <c r="B1743" t="inlineStr">
        <is>
          <t>RAK LOG TRANSPORTES E LOGISTICA EIR</t>
        </is>
      </c>
      <c r="C1743" t="n">
        <v>2111000000</v>
      </c>
      <c r="D1743" t="inlineStr">
        <is>
          <t>Operational Suppliers (Wind Farms)</t>
        </is>
      </c>
      <c r="E1743" t="n">
        <v>5012948</v>
      </c>
      <c r="F1743" t="inlineStr">
        <is>
          <t>333579-1</t>
        </is>
      </c>
      <c r="G1743" t="inlineStr">
        <is>
          <t>RE</t>
        </is>
      </c>
      <c r="H1743" s="12" t="n">
        <v>-13169.52</v>
      </c>
      <c r="I1743" s="17" t="n">
        <v>46192</v>
      </c>
      <c r="J1743" s="17" t="n">
        <v>46270</v>
      </c>
      <c r="K1743" t="inlineStr">
        <is>
          <t>Fatura - bruto RAK LOG TRANSPORTES E LOGISTICA EIR</t>
        </is>
      </c>
    </row>
    <row r="1744">
      <c r="A1744" t="inlineStr">
        <is>
          <t>100379</t>
        </is>
      </c>
      <c r="B1744" t="inlineStr">
        <is>
          <t>RAK LOG TRANSPORTES E LOGISTICA EIR</t>
        </is>
      </c>
      <c r="C1744" t="n">
        <v>2111000000</v>
      </c>
      <c r="D1744" t="inlineStr">
        <is>
          <t>Operational Suppliers (Wind Farms)</t>
        </is>
      </c>
      <c r="E1744" t="n">
        <v>5012955</v>
      </c>
      <c r="F1744" t="inlineStr">
        <is>
          <t>334056-1</t>
        </is>
      </c>
      <c r="G1744" t="inlineStr">
        <is>
          <t>RE</t>
        </is>
      </c>
      <c r="H1744" s="12" t="n">
        <v>-13242.46</v>
      </c>
      <c r="I1744" s="17" t="n">
        <v>46197</v>
      </c>
      <c r="J1744" s="17" t="n">
        <v>46270</v>
      </c>
      <c r="K1744" t="inlineStr">
        <is>
          <t>Fatura - bruto RAK LOG TRANSPORTES E LOGISTICA EIR</t>
        </is>
      </c>
    </row>
    <row r="1745">
      <c r="A1745" t="inlineStr">
        <is>
          <t>100379</t>
        </is>
      </c>
      <c r="B1745" t="inlineStr">
        <is>
          <t>RAK LOG TRANSPORTES E LOGISTICA EIR</t>
        </is>
      </c>
      <c r="C1745" t="n">
        <v>2111000000</v>
      </c>
      <c r="D1745" t="inlineStr">
        <is>
          <t>Operational Suppliers (Wind Farms)</t>
        </is>
      </c>
      <c r="E1745" t="n">
        <v>5012956</v>
      </c>
      <c r="F1745" t="inlineStr">
        <is>
          <t>334333-1</t>
        </is>
      </c>
      <c r="G1745" t="inlineStr">
        <is>
          <t>RE</t>
        </is>
      </c>
      <c r="H1745" s="12" t="n">
        <v>-13253.8</v>
      </c>
      <c r="I1745" s="17" t="n">
        <v>46199</v>
      </c>
      <c r="J1745" s="17" t="n">
        <v>46270</v>
      </c>
      <c r="K1745" t="inlineStr">
        <is>
          <t>Fatura - bruto RAK LOG TRANSPORTES E LOGISTICA EIR</t>
        </is>
      </c>
    </row>
    <row r="1746">
      <c r="A1746" t="inlineStr">
        <is>
          <t>100379</t>
        </is>
      </c>
      <c r="B1746" t="inlineStr">
        <is>
          <t>RAK LOG TRANSPORTES E LOGISTICA EIR</t>
        </is>
      </c>
      <c r="C1746" t="n">
        <v>2111000000</v>
      </c>
      <c r="D1746" t="inlineStr">
        <is>
          <t>Operational Suppliers (Wind Farms)</t>
        </is>
      </c>
      <c r="E1746" t="n">
        <v>5012957</v>
      </c>
      <c r="F1746" t="inlineStr">
        <is>
          <t>334334-1</t>
        </is>
      </c>
      <c r="G1746" t="inlineStr">
        <is>
          <t>RE</t>
        </is>
      </c>
      <c r="H1746" s="12" t="n">
        <v>-13192.99</v>
      </c>
      <c r="I1746" s="17" t="n">
        <v>46199</v>
      </c>
      <c r="J1746" s="17" t="n">
        <v>46270</v>
      </c>
      <c r="K1746" t="inlineStr">
        <is>
          <t>Fatura - bruto RAK LOG TRANSPORTES E LOGISTICA EIR</t>
        </is>
      </c>
    </row>
    <row r="1747">
      <c r="A1747" t="inlineStr">
        <is>
          <t>100379</t>
        </is>
      </c>
      <c r="B1747" t="inlineStr">
        <is>
          <t>RAK LOG TRANSPORTES E LOGISTICA EIR</t>
        </is>
      </c>
      <c r="C1747" t="n">
        <v>2111000000</v>
      </c>
      <c r="D1747" t="inlineStr">
        <is>
          <t>Operational Suppliers (Wind Farms)</t>
        </is>
      </c>
      <c r="E1747" t="n">
        <v>5012958</v>
      </c>
      <c r="F1747" t="inlineStr">
        <is>
          <t>334335-1</t>
        </is>
      </c>
      <c r="G1747" t="inlineStr">
        <is>
          <t>RE</t>
        </is>
      </c>
      <c r="H1747" s="12" t="n">
        <v>-14192.12</v>
      </c>
      <c r="I1747" s="17" t="n">
        <v>46199</v>
      </c>
      <c r="J1747" s="17" t="n">
        <v>46270</v>
      </c>
      <c r="K1747" t="inlineStr">
        <is>
          <t>Fatura - bruto RAK LOG TRANSPORTES E LOGISTICA EIR</t>
        </is>
      </c>
    </row>
    <row r="1748">
      <c r="A1748" t="inlineStr">
        <is>
          <t>100379</t>
        </is>
      </c>
      <c r="B1748" t="inlineStr">
        <is>
          <t>RAK LOG TRANSPORTES E LOGISTICA EIR</t>
        </is>
      </c>
      <c r="C1748" t="n">
        <v>2111000000</v>
      </c>
      <c r="D1748" t="inlineStr">
        <is>
          <t>Operational Suppliers (Wind Farms)</t>
        </is>
      </c>
      <c r="E1748" t="n">
        <v>5012959</v>
      </c>
      <c r="F1748" t="inlineStr">
        <is>
          <t>334859-1</t>
        </is>
      </c>
      <c r="G1748" t="inlineStr">
        <is>
          <t>RE</t>
        </is>
      </c>
      <c r="H1748" s="12" t="n">
        <v>-13175.44</v>
      </c>
      <c r="I1748" s="17" t="n">
        <v>46205</v>
      </c>
      <c r="J1748" s="17" t="n">
        <v>46270</v>
      </c>
      <c r="K1748" t="inlineStr">
        <is>
          <t>Fatura - bruto RAK LOG TRANSPORTES E LOGISTICA EIR</t>
        </is>
      </c>
    </row>
    <row r="1749">
      <c r="A1749" t="inlineStr">
        <is>
          <t>100379</t>
        </is>
      </c>
      <c r="B1749" t="inlineStr">
        <is>
          <t>RAK LOG TRANSPORTES E LOGISTICA EIR</t>
        </is>
      </c>
      <c r="C1749" t="n">
        <v>2111000000</v>
      </c>
      <c r="D1749" t="inlineStr">
        <is>
          <t>Operational Suppliers (Wind Farms)</t>
        </is>
      </c>
      <c r="E1749" t="n">
        <v>5012960</v>
      </c>
      <c r="F1749" t="inlineStr">
        <is>
          <t>334872-1</t>
        </is>
      </c>
      <c r="G1749" t="inlineStr">
        <is>
          <t>RE</t>
        </is>
      </c>
      <c r="H1749" s="12" t="n">
        <v>-13209.02</v>
      </c>
      <c r="I1749" s="17" t="n">
        <v>46205</v>
      </c>
      <c r="J1749" s="17" t="n">
        <v>46270</v>
      </c>
      <c r="K1749" t="inlineStr">
        <is>
          <t>Fatura - bruto RAK LOG TRANSPORTES E LOGISTICA EIR</t>
        </is>
      </c>
    </row>
    <row r="1750">
      <c r="A1750" t="inlineStr">
        <is>
          <t>100379</t>
        </is>
      </c>
      <c r="B1750" t="inlineStr">
        <is>
          <t>RAK LOG TRANSPORTES E LOGISTICA EIR</t>
        </is>
      </c>
      <c r="C1750" t="n">
        <v>2111000000</v>
      </c>
      <c r="D1750" t="inlineStr">
        <is>
          <t>Operational Suppliers (Wind Farms)</t>
        </is>
      </c>
      <c r="E1750" t="n">
        <v>5013026</v>
      </c>
      <c r="F1750" t="inlineStr">
        <is>
          <t>335064-1</t>
        </is>
      </c>
      <c r="G1750" t="inlineStr">
        <is>
          <t>RE</t>
        </is>
      </c>
      <c r="H1750" s="12" t="n">
        <v>-13072.53</v>
      </c>
      <c r="I1750" s="17" t="n">
        <v>46206</v>
      </c>
      <c r="J1750" s="17" t="n">
        <v>46270</v>
      </c>
      <c r="K1750" t="inlineStr">
        <is>
          <t>Fatura - bruto RAK LOG TRANSPORTES E LOGISTICA EIR</t>
        </is>
      </c>
    </row>
    <row r="1751">
      <c r="A1751" t="inlineStr">
        <is>
          <t>100379</t>
        </is>
      </c>
      <c r="B1751" t="inlineStr">
        <is>
          <t>RAK LOG TRANSPORTES E LOGISTICA EIR</t>
        </is>
      </c>
      <c r="C1751" t="n">
        <v>2111000000</v>
      </c>
      <c r="D1751" t="inlineStr">
        <is>
          <t>Operational Suppliers (Wind Farms)</t>
        </is>
      </c>
      <c r="E1751" t="n">
        <v>5013028</v>
      </c>
      <c r="F1751" t="inlineStr">
        <is>
          <t>332642-1</t>
        </is>
      </c>
      <c r="G1751" t="inlineStr">
        <is>
          <t>RE</t>
        </is>
      </c>
      <c r="H1751" s="12" t="n">
        <v>-13090.01</v>
      </c>
      <c r="I1751" s="17" t="n">
        <v>46183</v>
      </c>
      <c r="J1751" s="17" t="n">
        <v>46270</v>
      </c>
      <c r="K1751" t="inlineStr">
        <is>
          <t>Fatura - bruto RAK LOG TRANSPORTES E LOGISTICA EIR</t>
        </is>
      </c>
    </row>
    <row r="1752">
      <c r="A1752" t="inlineStr">
        <is>
          <t>100379</t>
        </is>
      </c>
      <c r="B1752" t="inlineStr">
        <is>
          <t>RAK LOG TRANSPORTES E LOGISTICA EIR</t>
        </is>
      </c>
      <c r="C1752" t="n">
        <v>2111000000</v>
      </c>
      <c r="D1752" t="inlineStr">
        <is>
          <t>Operational Suppliers (Wind Farms)</t>
        </is>
      </c>
      <c r="E1752" t="n">
        <v>5013031</v>
      </c>
      <c r="F1752" t="inlineStr">
        <is>
          <t>333912-1</t>
        </is>
      </c>
      <c r="G1752" t="inlineStr">
        <is>
          <t>RE</t>
        </is>
      </c>
      <c r="H1752" s="12" t="n">
        <v>-13031.34</v>
      </c>
      <c r="I1752" s="17" t="n">
        <v>46196</v>
      </c>
      <c r="J1752" s="17" t="n">
        <v>46270</v>
      </c>
      <c r="K1752" t="inlineStr">
        <is>
          <t>Fatura - bruto RAK LOG TRANSPORTES E LOGISTICA EIR</t>
        </is>
      </c>
    </row>
    <row r="1753">
      <c r="A1753" t="inlineStr">
        <is>
          <t>100379</t>
        </is>
      </c>
      <c r="B1753" t="inlineStr">
        <is>
          <t>RAK LOG TRANSPORTES E LOGISTICA EIR</t>
        </is>
      </c>
      <c r="C1753" t="n">
        <v>2111000000</v>
      </c>
      <c r="D1753" t="inlineStr">
        <is>
          <t>Operational Suppliers (Wind Farms)</t>
        </is>
      </c>
      <c r="E1753" t="n">
        <v>5013033</v>
      </c>
      <c r="F1753" t="inlineStr">
        <is>
          <t>333940-1</t>
        </is>
      </c>
      <c r="G1753" t="inlineStr">
        <is>
          <t>RE</t>
        </is>
      </c>
      <c r="H1753" s="12" t="n">
        <v>-12965.89</v>
      </c>
      <c r="I1753" s="17" t="n">
        <v>46196</v>
      </c>
      <c r="J1753" s="17" t="n">
        <v>46270</v>
      </c>
      <c r="K1753" t="inlineStr">
        <is>
          <t>Fatura - bruto RAK LOG TRANSPORTES E LOGISTICA EIR</t>
        </is>
      </c>
    </row>
    <row r="1754">
      <c r="A1754" t="inlineStr">
        <is>
          <t>100379</t>
        </is>
      </c>
      <c r="B1754" t="inlineStr">
        <is>
          <t>RAK LOG TRANSPORTES E LOGISTICA EIR</t>
        </is>
      </c>
      <c r="C1754" t="n">
        <v>2111000000</v>
      </c>
      <c r="D1754" t="inlineStr">
        <is>
          <t>Operational Suppliers (Wind Farms)</t>
        </is>
      </c>
      <c r="E1754" t="n">
        <v>5013038</v>
      </c>
      <c r="F1754" t="inlineStr">
        <is>
          <t>333942-1</t>
        </is>
      </c>
      <c r="G1754" t="inlineStr">
        <is>
          <t>RE</t>
        </is>
      </c>
      <c r="H1754" s="12" t="n">
        <v>-13065.27</v>
      </c>
      <c r="I1754" s="17" t="n">
        <v>46196</v>
      </c>
      <c r="J1754" s="17" t="n">
        <v>46270</v>
      </c>
      <c r="K1754" t="inlineStr">
        <is>
          <t>Fatura - bruto RAK LOG TRANSPORTES E LOGISTICA EIR</t>
        </is>
      </c>
    </row>
    <row r="1755">
      <c r="A1755" t="inlineStr">
        <is>
          <t>100379</t>
        </is>
      </c>
      <c r="B1755" t="inlineStr">
        <is>
          <t>RAK LOG TRANSPORTES E LOGISTICA EIR</t>
        </is>
      </c>
      <c r="C1755" t="n">
        <v>2111000000</v>
      </c>
      <c r="D1755" t="inlineStr">
        <is>
          <t>Operational Suppliers (Wind Farms)</t>
        </is>
      </c>
      <c r="E1755" t="n">
        <v>5013040</v>
      </c>
      <c r="F1755" t="inlineStr">
        <is>
          <t>335084-1</t>
        </is>
      </c>
      <c r="G1755" t="inlineStr">
        <is>
          <t>RE</t>
        </is>
      </c>
      <c r="H1755" s="12" t="n">
        <v>-13224.63</v>
      </c>
      <c r="I1755" s="17" t="n">
        <v>46206</v>
      </c>
      <c r="J1755" s="17" t="n">
        <v>46270</v>
      </c>
      <c r="K1755" t="inlineStr">
        <is>
          <t>Fatura - bruto RAK LOG TRANSPORTES E LOGISTICA EIR</t>
        </is>
      </c>
    </row>
    <row r="1756">
      <c r="A1756" t="inlineStr">
        <is>
          <t>100379</t>
        </is>
      </c>
      <c r="B1756" t="inlineStr">
        <is>
          <t>RAK LOG TRANSPORTES E LOGISTICA EIR</t>
        </is>
      </c>
      <c r="C1756" t="n">
        <v>2111000000</v>
      </c>
      <c r="D1756" t="inlineStr">
        <is>
          <t>Operational Suppliers (Wind Farms)</t>
        </is>
      </c>
      <c r="E1756" t="n">
        <v>5013042</v>
      </c>
      <c r="F1756" t="inlineStr">
        <is>
          <t>335085-1</t>
        </is>
      </c>
      <c r="G1756" t="inlineStr">
        <is>
          <t>RE</t>
        </is>
      </c>
      <c r="H1756" s="12" t="n">
        <v>-13222.38</v>
      </c>
      <c r="I1756" s="17" t="n">
        <v>46206</v>
      </c>
      <c r="J1756" s="17" t="n">
        <v>46270</v>
      </c>
      <c r="K1756" t="inlineStr">
        <is>
          <t>Fatura - bruto RAK LOG TRANSPORTES E LOGISTICA EIR</t>
        </is>
      </c>
    </row>
    <row r="1757">
      <c r="A1757" t="inlineStr">
        <is>
          <t>100379</t>
        </is>
      </c>
      <c r="B1757" t="inlineStr">
        <is>
          <t>RAK LOG TRANSPORTES E LOGISTICA EIR</t>
        </is>
      </c>
      <c r="C1757" t="n">
        <v>2111000000</v>
      </c>
      <c r="D1757" t="inlineStr">
        <is>
          <t>Operational Suppliers (Wind Farms)</t>
        </is>
      </c>
      <c r="E1757" t="n">
        <v>5013044</v>
      </c>
      <c r="F1757" t="inlineStr">
        <is>
          <t>335335-1</t>
        </is>
      </c>
      <c r="G1757" t="inlineStr">
        <is>
          <t>RE</t>
        </is>
      </c>
      <c r="H1757" s="12" t="n">
        <v>-13863.43</v>
      </c>
      <c r="I1757" s="17" t="n">
        <v>46210</v>
      </c>
      <c r="J1757" s="17" t="n">
        <v>46270</v>
      </c>
      <c r="K1757" t="inlineStr">
        <is>
          <t>Fatura - bruto RAK LOG TRANSPORTES E LOGISTICA EIR</t>
        </is>
      </c>
    </row>
    <row r="1758">
      <c r="A1758" t="inlineStr">
        <is>
          <t>100379</t>
        </is>
      </c>
      <c r="B1758" t="inlineStr">
        <is>
          <t>RAK LOG TRANSPORTES E LOGISTICA EIR</t>
        </is>
      </c>
      <c r="C1758" t="n">
        <v>2111000000</v>
      </c>
      <c r="D1758" t="inlineStr">
        <is>
          <t>Operational Suppliers (Wind Farms)</t>
        </is>
      </c>
      <c r="E1758" t="n">
        <v>5013046</v>
      </c>
      <c r="F1758" t="inlineStr">
        <is>
          <t>335432-1</t>
        </is>
      </c>
      <c r="G1758" t="inlineStr">
        <is>
          <t>RE</t>
        </is>
      </c>
      <c r="H1758" s="12" t="n">
        <v>-13085.01</v>
      </c>
      <c r="I1758" s="17" t="n">
        <v>46211</v>
      </c>
      <c r="J1758" s="17" t="n">
        <v>46270</v>
      </c>
      <c r="K1758" t="inlineStr">
        <is>
          <t>Fatura - bruto RAK LOG TRANSPORTES E LOGISTICA EIR</t>
        </is>
      </c>
    </row>
    <row r="1759">
      <c r="A1759" t="inlineStr">
        <is>
          <t>101463</t>
        </is>
      </c>
      <c r="B1759" t="inlineStr">
        <is>
          <t>ZURICH MINAS BRASIL SEGUROS S A</t>
        </is>
      </c>
      <c r="C1759" t="n">
        <v>2111000000</v>
      </c>
      <c r="D1759" t="inlineStr">
        <is>
          <t>Insurance</t>
        </is>
      </c>
      <c r="E1759" t="n">
        <v>5013077</v>
      </c>
      <c r="F1759" t="inlineStr">
        <is>
          <t>0138/26E</t>
        </is>
      </c>
      <c r="G1759" t="inlineStr">
        <is>
          <t>RE</t>
        </is>
      </c>
      <c r="H1759" s="12" t="n">
        <v>-236.58</v>
      </c>
      <c r="I1759" s="17" t="n">
        <v>46224</v>
      </c>
      <c r="J1759" s="17" t="n">
        <v>46224</v>
      </c>
      <c r="K1759" t="inlineStr">
        <is>
          <t>Invoice Payment. SP: 19918</t>
        </is>
      </c>
    </row>
    <row r="1760">
      <c r="A1760" t="inlineStr">
        <is>
          <t>101463</t>
        </is>
      </c>
      <c r="B1760" t="inlineStr">
        <is>
          <t>ZURICH MINAS BRASIL SEGUROS S A</t>
        </is>
      </c>
      <c r="C1760" t="n">
        <v>2111000000</v>
      </c>
      <c r="D1760" t="inlineStr">
        <is>
          <t>Insurance</t>
        </is>
      </c>
      <c r="E1760" t="n">
        <v>5013078</v>
      </c>
      <c r="F1760" t="inlineStr">
        <is>
          <t>0953/25E</t>
        </is>
      </c>
      <c r="G1760" t="inlineStr">
        <is>
          <t>RE</t>
        </is>
      </c>
      <c r="H1760" s="12" t="n">
        <v>-608.85</v>
      </c>
      <c r="I1760" s="17" t="n">
        <v>46224</v>
      </c>
      <c r="J1760" s="17" t="n">
        <v>46224</v>
      </c>
      <c r="K1760" t="inlineStr">
        <is>
          <t>Invoice Payment. SP: 19919</t>
        </is>
      </c>
    </row>
    <row r="1761">
      <c r="A1761" t="inlineStr">
        <is>
          <t>100867</t>
        </is>
      </c>
      <c r="B1761" t="inlineStr">
        <is>
          <t>CSA - CASE SOLUCOES AMBIENTAIS LTDA</t>
        </is>
      </c>
      <c r="C1761" t="n">
        <v>2111000000</v>
      </c>
      <c r="D1761" t="inlineStr">
        <is>
          <t>Other Suppliers</t>
        </is>
      </c>
      <c r="E1761" t="n">
        <v>5013080</v>
      </c>
      <c r="F1761" t="inlineStr">
        <is>
          <t>198</t>
        </is>
      </c>
      <c r="G1761" t="inlineStr">
        <is>
          <t>RE</t>
        </is>
      </c>
      <c r="H1761" s="12" t="n">
        <v>-4925</v>
      </c>
      <c r="I1761" s="17" t="n">
        <v>46219</v>
      </c>
      <c r="J1761" s="17" t="n">
        <v>46270</v>
      </c>
      <c r="K1761" t="inlineStr">
        <is>
          <t>Fatura - bruto CSA - CASE SOLUCOES AMBIENTAIS LTDA</t>
        </is>
      </c>
    </row>
    <row r="1762">
      <c r="A1762" t="inlineStr">
        <is>
          <t>101463</t>
        </is>
      </c>
      <c r="B1762" t="inlineStr">
        <is>
          <t>ZURICH MINAS BRASIL SEGUROS S A</t>
        </is>
      </c>
      <c r="C1762" t="n">
        <v>2111000000</v>
      </c>
      <c r="D1762" t="inlineStr">
        <is>
          <t>Insurance</t>
        </is>
      </c>
      <c r="E1762" t="n">
        <v>5013087</v>
      </c>
      <c r="F1762" t="inlineStr">
        <is>
          <t>0278/26</t>
        </is>
      </c>
      <c r="G1762" t="inlineStr">
        <is>
          <t>RE</t>
        </is>
      </c>
      <c r="H1762" s="12" t="n">
        <v>-560.72</v>
      </c>
      <c r="I1762" s="17" t="n">
        <v>46224</v>
      </c>
      <c r="J1762" s="17" t="n">
        <v>46254</v>
      </c>
      <c r="K1762" t="inlineStr">
        <is>
          <t>Invoice Payment. SP: 19938</t>
        </is>
      </c>
    </row>
    <row r="1763">
      <c r="A1763" t="inlineStr">
        <is>
          <t>101463</t>
        </is>
      </c>
      <c r="B1763" t="inlineStr">
        <is>
          <t>ZURICH MINAS BRASIL SEGUROS S A</t>
        </is>
      </c>
      <c r="C1763" t="n">
        <v>2111000000</v>
      </c>
      <c r="D1763" t="inlineStr">
        <is>
          <t>Insurance</t>
        </is>
      </c>
      <c r="E1763" t="n">
        <v>5013090</v>
      </c>
      <c r="F1763" t="inlineStr">
        <is>
          <t>0294/26</t>
        </is>
      </c>
      <c r="G1763" t="inlineStr">
        <is>
          <t>RE</t>
        </is>
      </c>
      <c r="H1763" s="12" t="n">
        <v>-67.73999999999999</v>
      </c>
      <c r="I1763" s="17" t="n">
        <v>46224</v>
      </c>
      <c r="J1763" s="17" t="n">
        <v>46254</v>
      </c>
      <c r="K1763" t="inlineStr">
        <is>
          <t>Invoice Payment. SP: 19958</t>
        </is>
      </c>
    </row>
    <row r="1764">
      <c r="A1764" t="inlineStr">
        <is>
          <t>101887</t>
        </is>
      </c>
      <c r="B1764" t="inlineStr">
        <is>
          <t>MGO DE FREITAS</t>
        </is>
      </c>
      <c r="C1764" t="n">
        <v>2111000000</v>
      </c>
      <c r="D1764" t="inlineStr">
        <is>
          <t>Other Suppliers</t>
        </is>
      </c>
      <c r="E1764" t="n">
        <v>5013094</v>
      </c>
      <c r="F1764" t="inlineStr">
        <is>
          <t>1311</t>
        </is>
      </c>
      <c r="G1764" t="inlineStr">
        <is>
          <t>RE</t>
        </is>
      </c>
      <c r="H1764" s="12" t="n">
        <v>-9714.440000000001</v>
      </c>
      <c r="I1764" s="17" t="n">
        <v>46223</v>
      </c>
      <c r="J1764" s="17" t="n">
        <v>46270</v>
      </c>
      <c r="K1764" t="inlineStr">
        <is>
          <t>Fatura - bruto MGO DE FREITAS 1311</t>
        </is>
      </c>
    </row>
    <row r="1765">
      <c r="A1765" t="inlineStr">
        <is>
          <t>101463</t>
        </is>
      </c>
      <c r="B1765" t="inlineStr">
        <is>
          <t>ZURICH MINAS BRASIL SEGUROS S A</t>
        </is>
      </c>
      <c r="C1765" t="n">
        <v>2111000000</v>
      </c>
      <c r="D1765" t="inlineStr">
        <is>
          <t>Insurance</t>
        </is>
      </c>
      <c r="E1765" t="n">
        <v>5013097</v>
      </c>
      <c r="F1765" t="inlineStr">
        <is>
          <t>0295/26</t>
        </is>
      </c>
      <c r="G1765" t="inlineStr">
        <is>
          <t>RE</t>
        </is>
      </c>
      <c r="H1765" s="12" t="n">
        <v>-202.26</v>
      </c>
      <c r="I1765" s="17" t="n">
        <v>46224</v>
      </c>
      <c r="J1765" s="17" t="n">
        <v>46254</v>
      </c>
      <c r="K1765" t="inlineStr">
        <is>
          <t>Invoice Payment. SP: 19960</t>
        </is>
      </c>
    </row>
    <row r="1766">
      <c r="A1766" t="inlineStr">
        <is>
          <t>101463</t>
        </is>
      </c>
      <c r="B1766" t="inlineStr">
        <is>
          <t>ZURICH MINAS BRASIL SEGUROS S A</t>
        </is>
      </c>
      <c r="C1766" t="n">
        <v>2111000000</v>
      </c>
      <c r="D1766" t="inlineStr">
        <is>
          <t>Insurance</t>
        </is>
      </c>
      <c r="E1766" t="n">
        <v>5013100</v>
      </c>
      <c r="F1766" t="inlineStr">
        <is>
          <t>0300/26</t>
        </is>
      </c>
      <c r="G1766" t="inlineStr">
        <is>
          <t>RE</t>
        </is>
      </c>
      <c r="H1766" s="12" t="n">
        <v>-3245.2</v>
      </c>
      <c r="I1766" s="17" t="n">
        <v>46224</v>
      </c>
      <c r="J1766" s="17" t="n">
        <v>46254</v>
      </c>
      <c r="K1766" t="inlineStr">
        <is>
          <t>Invoice Payment. SP: 19962</t>
        </is>
      </c>
    </row>
    <row r="1767">
      <c r="A1767" t="inlineStr">
        <is>
          <t>101463</t>
        </is>
      </c>
      <c r="B1767" t="inlineStr">
        <is>
          <t>ZURICH MINAS BRASIL SEGUROS S A</t>
        </is>
      </c>
      <c r="C1767" t="n">
        <v>2111000000</v>
      </c>
      <c r="D1767" t="inlineStr">
        <is>
          <t>Insurance</t>
        </is>
      </c>
      <c r="E1767" t="n">
        <v>5013102</v>
      </c>
      <c r="F1767" t="inlineStr">
        <is>
          <t>0311/26</t>
        </is>
      </c>
      <c r="G1767" t="inlineStr">
        <is>
          <t>RE</t>
        </is>
      </c>
      <c r="H1767" s="12" t="n">
        <v>-1.34</v>
      </c>
      <c r="I1767" s="17" t="n">
        <v>46224</v>
      </c>
      <c r="J1767" s="17" t="n">
        <v>46254</v>
      </c>
      <c r="K1767" t="inlineStr">
        <is>
          <t>Invoice Payment. SP: 19964</t>
        </is>
      </c>
    </row>
    <row r="1768">
      <c r="A1768" t="inlineStr">
        <is>
          <t>101463</t>
        </is>
      </c>
      <c r="B1768" t="inlineStr">
        <is>
          <t>ZURICH MINAS BRASIL SEGUROS S A</t>
        </is>
      </c>
      <c r="C1768" t="n">
        <v>2111000000</v>
      </c>
      <c r="D1768" t="inlineStr">
        <is>
          <t>Insurance</t>
        </is>
      </c>
      <c r="E1768" t="n">
        <v>5013105</v>
      </c>
      <c r="F1768" t="inlineStr">
        <is>
          <t>0316/26</t>
        </is>
      </c>
      <c r="G1768" t="inlineStr">
        <is>
          <t>RE</t>
        </is>
      </c>
      <c r="H1768" s="12" t="n">
        <v>-964.9400000000001</v>
      </c>
      <c r="I1768" s="17" t="n">
        <v>46224</v>
      </c>
      <c r="J1768" s="17" t="n">
        <v>46254</v>
      </c>
      <c r="K1768" t="inlineStr">
        <is>
          <t>Invoice Payment. SP: 19978</t>
        </is>
      </c>
    </row>
    <row r="1769">
      <c r="A1769" t="inlineStr">
        <is>
          <t>101463</t>
        </is>
      </c>
      <c r="B1769" t="inlineStr">
        <is>
          <t>ZURICH MINAS BRASIL SEGUROS S A</t>
        </is>
      </c>
      <c r="C1769" t="n">
        <v>2111000000</v>
      </c>
      <c r="D1769" t="inlineStr">
        <is>
          <t>Insurance</t>
        </is>
      </c>
      <c r="E1769" t="n">
        <v>5013107</v>
      </c>
      <c r="F1769" t="inlineStr">
        <is>
          <t>0319/26</t>
        </is>
      </c>
      <c r="G1769" t="inlineStr">
        <is>
          <t>RE</t>
        </is>
      </c>
      <c r="H1769" s="12" t="n">
        <v>-424.29</v>
      </c>
      <c r="I1769" s="17" t="n">
        <v>46224</v>
      </c>
      <c r="J1769" s="17" t="n">
        <v>46254</v>
      </c>
      <c r="K1769" t="inlineStr">
        <is>
          <t>Invoice Payment. SP: 19980</t>
        </is>
      </c>
    </row>
    <row r="1770">
      <c r="A1770" t="inlineStr">
        <is>
          <t>101463</t>
        </is>
      </c>
      <c r="B1770" t="inlineStr">
        <is>
          <t>ZURICH MINAS BRASIL SEGUROS S A</t>
        </is>
      </c>
      <c r="C1770" t="n">
        <v>2111000000</v>
      </c>
      <c r="D1770" t="inlineStr">
        <is>
          <t>Insurance</t>
        </is>
      </c>
      <c r="E1770" t="n">
        <v>5013109</v>
      </c>
      <c r="F1770" t="inlineStr">
        <is>
          <t>0321/26</t>
        </is>
      </c>
      <c r="G1770" t="inlineStr">
        <is>
          <t>RE</t>
        </is>
      </c>
      <c r="H1770" s="12" t="n">
        <v>-2515.07</v>
      </c>
      <c r="I1770" s="17" t="n">
        <v>46224</v>
      </c>
      <c r="J1770" s="17" t="n">
        <v>46254</v>
      </c>
      <c r="K1770" t="inlineStr">
        <is>
          <t>Invoice Payment. SP: 19982</t>
        </is>
      </c>
    </row>
    <row r="1771">
      <c r="A1771" t="inlineStr">
        <is>
          <t>101463</t>
        </is>
      </c>
      <c r="B1771" t="inlineStr">
        <is>
          <t>ZURICH MINAS BRASIL SEGUROS S A</t>
        </is>
      </c>
      <c r="C1771" t="n">
        <v>2111000000</v>
      </c>
      <c r="D1771" t="inlineStr">
        <is>
          <t>Insurance</t>
        </is>
      </c>
      <c r="E1771" t="n">
        <v>5013117</v>
      </c>
      <c r="F1771" t="inlineStr">
        <is>
          <t>0348/26</t>
        </is>
      </c>
      <c r="G1771" t="inlineStr">
        <is>
          <t>RE</t>
        </is>
      </c>
      <c r="H1771" s="12" t="n">
        <v>-3067.81</v>
      </c>
      <c r="I1771" s="17" t="n">
        <v>46224</v>
      </c>
      <c r="J1771" s="17" t="n">
        <v>46254</v>
      </c>
      <c r="K1771" t="inlineStr">
        <is>
          <t>Invoice Payment. SP: 19985</t>
        </is>
      </c>
    </row>
    <row r="1772">
      <c r="A1772" t="inlineStr">
        <is>
          <t>101463</t>
        </is>
      </c>
      <c r="B1772" t="inlineStr">
        <is>
          <t>ZURICH MINAS BRASIL SEGUROS S A</t>
        </is>
      </c>
      <c r="C1772" t="n">
        <v>2111000000</v>
      </c>
      <c r="D1772" t="inlineStr">
        <is>
          <t>Insurance</t>
        </is>
      </c>
      <c r="E1772" t="n">
        <v>5013126</v>
      </c>
      <c r="F1772" t="inlineStr">
        <is>
          <t>0377/26</t>
        </is>
      </c>
      <c r="G1772" t="inlineStr">
        <is>
          <t>RE</t>
        </is>
      </c>
      <c r="H1772" s="12" t="n">
        <v>-132.53</v>
      </c>
      <c r="I1772" s="17" t="n">
        <v>46224</v>
      </c>
      <c r="J1772" s="17" t="n">
        <v>46254</v>
      </c>
      <c r="K1772" t="inlineStr">
        <is>
          <t>Invoice Payment. SP: 19988</t>
        </is>
      </c>
    </row>
    <row r="1773">
      <c r="A1773" t="inlineStr">
        <is>
          <t>100883</t>
        </is>
      </c>
      <c r="B1773" t="inlineStr">
        <is>
          <t>QUELMAR TRANSPORTES LTDA</t>
        </is>
      </c>
      <c r="C1773" t="n">
        <v>2111000000</v>
      </c>
      <c r="D1773" t="inlineStr">
        <is>
          <t>Operational Suppliers (Wind Farms)</t>
        </is>
      </c>
      <c r="E1773" t="n">
        <v>5013133</v>
      </c>
      <c r="F1773" t="inlineStr">
        <is>
          <t>6187-2</t>
        </is>
      </c>
      <c r="G1773" t="inlineStr">
        <is>
          <t>RE</t>
        </is>
      </c>
      <c r="H1773" s="12" t="n">
        <v>-3980</v>
      </c>
      <c r="I1773" s="17" t="n">
        <v>46210</v>
      </c>
      <c r="J1773" s="17" t="n">
        <v>46270</v>
      </c>
      <c r="K1773" t="inlineStr">
        <is>
          <t>Fatura - bruto QUELMAR TRANSPORTES LTDA 6187-2</t>
        </is>
      </c>
    </row>
    <row r="1774">
      <c r="A1774" t="inlineStr">
        <is>
          <t>100883</t>
        </is>
      </c>
      <c r="B1774" t="inlineStr">
        <is>
          <t>QUELMAR TRANSPORTES LTDA</t>
        </is>
      </c>
      <c r="C1774" t="n">
        <v>2111000000</v>
      </c>
      <c r="D1774" t="inlineStr">
        <is>
          <t>Operational Suppliers (Wind Farms)</t>
        </is>
      </c>
      <c r="E1774" t="n">
        <v>5013134</v>
      </c>
      <c r="F1774" t="inlineStr">
        <is>
          <t>6212-2</t>
        </is>
      </c>
      <c r="G1774" t="inlineStr">
        <is>
          <t>RE</t>
        </is>
      </c>
      <c r="H1774" s="12" t="n">
        <v>-980</v>
      </c>
      <c r="I1774" s="17" t="n">
        <v>46216</v>
      </c>
      <c r="J1774" s="17" t="n">
        <v>46270</v>
      </c>
      <c r="K1774" t="inlineStr">
        <is>
          <t>Fatura - bruto QUELMAR TRANSPORTES LTDA 6212-2</t>
        </is>
      </c>
    </row>
    <row r="1775">
      <c r="A1775" t="inlineStr">
        <is>
          <t>100883</t>
        </is>
      </c>
      <c r="B1775" t="inlineStr">
        <is>
          <t>QUELMAR TRANSPORTES LTDA</t>
        </is>
      </c>
      <c r="C1775" t="n">
        <v>2111000000</v>
      </c>
      <c r="D1775" t="inlineStr">
        <is>
          <t>Operational Suppliers (Wind Farms)</t>
        </is>
      </c>
      <c r="E1775" t="n">
        <v>5013135</v>
      </c>
      <c r="F1775" t="inlineStr">
        <is>
          <t>6231-2</t>
        </is>
      </c>
      <c r="G1775" t="inlineStr">
        <is>
          <t>RE</t>
        </is>
      </c>
      <c r="H1775" s="12" t="n">
        <v>-1190</v>
      </c>
      <c r="I1775" s="17" t="n">
        <v>46217</v>
      </c>
      <c r="J1775" s="17" t="n">
        <v>46270</v>
      </c>
      <c r="K1775" t="inlineStr">
        <is>
          <t>Fatura - bruto QUELMAR TRANSPORTES LTDA 6231-2</t>
        </is>
      </c>
    </row>
    <row r="1776">
      <c r="A1776" t="inlineStr">
        <is>
          <t>100883</t>
        </is>
      </c>
      <c r="B1776" t="inlineStr">
        <is>
          <t>QUELMAR TRANSPORTES LTDA</t>
        </is>
      </c>
      <c r="C1776" t="n">
        <v>2111000000</v>
      </c>
      <c r="D1776" t="inlineStr">
        <is>
          <t>Operational Suppliers (Wind Farms)</t>
        </is>
      </c>
      <c r="E1776" t="n">
        <v>5013136</v>
      </c>
      <c r="F1776" t="inlineStr">
        <is>
          <t>6233-2</t>
        </is>
      </c>
      <c r="G1776" t="inlineStr">
        <is>
          <t>RE</t>
        </is>
      </c>
      <c r="H1776" s="12" t="n">
        <v>-3970</v>
      </c>
      <c r="I1776" s="17" t="n">
        <v>46217</v>
      </c>
      <c r="J1776" s="17" t="n">
        <v>46270</v>
      </c>
      <c r="K1776" t="inlineStr">
        <is>
          <t>Fatura - bruto QUELMAR TRANSPORTES LTDA 6233-2</t>
        </is>
      </c>
    </row>
    <row r="1777">
      <c r="A1777" t="inlineStr">
        <is>
          <t>100883</t>
        </is>
      </c>
      <c r="B1777" t="inlineStr">
        <is>
          <t>QUELMAR TRANSPORTES LTDA</t>
        </is>
      </c>
      <c r="C1777" t="n">
        <v>2111000000</v>
      </c>
      <c r="D1777" t="inlineStr">
        <is>
          <t>Operational Suppliers (Wind Farms)</t>
        </is>
      </c>
      <c r="E1777" t="n">
        <v>5013137</v>
      </c>
      <c r="F1777" t="inlineStr">
        <is>
          <t>6234-2</t>
        </is>
      </c>
      <c r="G1777" t="inlineStr">
        <is>
          <t>RE</t>
        </is>
      </c>
      <c r="H1777" s="12" t="n">
        <v>-980</v>
      </c>
      <c r="I1777" s="17" t="n">
        <v>46217</v>
      </c>
      <c r="J1777" s="17" t="n">
        <v>46270</v>
      </c>
      <c r="K1777" t="inlineStr">
        <is>
          <t>Fatura - bruto QUELMAR TRANSPORTES LTDA 6234-2</t>
        </is>
      </c>
    </row>
    <row r="1778">
      <c r="A1778" t="inlineStr">
        <is>
          <t>100883</t>
        </is>
      </c>
      <c r="B1778" t="inlineStr">
        <is>
          <t>QUELMAR TRANSPORTES LTDA</t>
        </is>
      </c>
      <c r="C1778" t="n">
        <v>2111000000</v>
      </c>
      <c r="D1778" t="inlineStr">
        <is>
          <t>Operational Suppliers (Wind Farms)</t>
        </is>
      </c>
      <c r="E1778" t="n">
        <v>5013138</v>
      </c>
      <c r="F1778" t="inlineStr">
        <is>
          <t>6210-2</t>
        </is>
      </c>
      <c r="G1778" t="inlineStr">
        <is>
          <t>RE</t>
        </is>
      </c>
      <c r="H1778" s="12" t="n">
        <v>-1750</v>
      </c>
      <c r="I1778" s="17" t="n">
        <v>46216</v>
      </c>
      <c r="J1778" s="17" t="n">
        <v>46270</v>
      </c>
      <c r="K1778" t="inlineStr">
        <is>
          <t>Fatura - bruto QUELMAR TRANSPORTES LTDA 6210-2</t>
        </is>
      </c>
    </row>
    <row r="1779">
      <c r="A1779" t="inlineStr">
        <is>
          <t>100883</t>
        </is>
      </c>
      <c r="B1779" t="inlineStr">
        <is>
          <t>QUELMAR TRANSPORTES LTDA</t>
        </is>
      </c>
      <c r="C1779" t="n">
        <v>2111000000</v>
      </c>
      <c r="D1779" t="inlineStr">
        <is>
          <t>Operational Suppliers (Wind Farms)</t>
        </is>
      </c>
      <c r="E1779" t="n">
        <v>5013139</v>
      </c>
      <c r="F1779" t="inlineStr">
        <is>
          <t>6223-2</t>
        </is>
      </c>
      <c r="G1779" t="inlineStr">
        <is>
          <t>RE</t>
        </is>
      </c>
      <c r="H1779" s="12" t="n">
        <v>-4430</v>
      </c>
      <c r="I1779" s="17" t="n">
        <v>46217</v>
      </c>
      <c r="J1779" s="17" t="n">
        <v>46270</v>
      </c>
      <c r="K1779" t="inlineStr">
        <is>
          <t>Fatura - bruto QUELMAR TRANSPORTES LTDA 6223-2</t>
        </is>
      </c>
    </row>
    <row r="1780">
      <c r="A1780" t="inlineStr">
        <is>
          <t>100883</t>
        </is>
      </c>
      <c r="B1780" t="inlineStr">
        <is>
          <t>QUELMAR TRANSPORTES LTDA</t>
        </is>
      </c>
      <c r="C1780" t="n">
        <v>2111000000</v>
      </c>
      <c r="D1780" t="inlineStr">
        <is>
          <t>Operational Suppliers (Wind Farms)</t>
        </is>
      </c>
      <c r="E1780" t="n">
        <v>5013140</v>
      </c>
      <c r="F1780" t="inlineStr">
        <is>
          <t>6184-2</t>
        </is>
      </c>
      <c r="G1780" t="inlineStr">
        <is>
          <t>RE</t>
        </is>
      </c>
      <c r="H1780" s="12" t="n">
        <v>-3980</v>
      </c>
      <c r="I1780" s="17" t="n">
        <v>46210</v>
      </c>
      <c r="J1780" s="17" t="n">
        <v>46270</v>
      </c>
      <c r="K1780" t="inlineStr">
        <is>
          <t>Fatura - bruto QUELMAR TRANSPORTES LTDA 6184-2</t>
        </is>
      </c>
    </row>
    <row r="1781">
      <c r="A1781" t="inlineStr">
        <is>
          <t>100883</t>
        </is>
      </c>
      <c r="B1781" t="inlineStr">
        <is>
          <t>QUELMAR TRANSPORTES LTDA</t>
        </is>
      </c>
      <c r="C1781" t="n">
        <v>2111000000</v>
      </c>
      <c r="D1781" t="inlineStr">
        <is>
          <t>Operational Suppliers (Wind Farms)</t>
        </is>
      </c>
      <c r="E1781" t="n">
        <v>5013141</v>
      </c>
      <c r="F1781" t="inlineStr">
        <is>
          <t>6185-2</t>
        </is>
      </c>
      <c r="G1781" t="inlineStr">
        <is>
          <t>RE</t>
        </is>
      </c>
      <c r="H1781" s="12" t="n">
        <v>-3980</v>
      </c>
      <c r="I1781" s="17" t="n">
        <v>46210</v>
      </c>
      <c r="J1781" s="17" t="n">
        <v>46270</v>
      </c>
      <c r="K1781" t="inlineStr">
        <is>
          <t>Fatura - bruto QUELMAR TRANSPORTES LTDA 6185-2</t>
        </is>
      </c>
    </row>
    <row r="1782">
      <c r="A1782" t="inlineStr">
        <is>
          <t>100883</t>
        </is>
      </c>
      <c r="B1782" t="inlineStr">
        <is>
          <t>QUELMAR TRANSPORTES LTDA</t>
        </is>
      </c>
      <c r="C1782" t="n">
        <v>2111000000</v>
      </c>
      <c r="D1782" t="inlineStr">
        <is>
          <t>Operational Suppliers (Wind Farms)</t>
        </is>
      </c>
      <c r="E1782" t="n">
        <v>5013142</v>
      </c>
      <c r="F1782" t="inlineStr">
        <is>
          <t>6195-2</t>
        </is>
      </c>
      <c r="G1782" t="inlineStr">
        <is>
          <t>RE</t>
        </is>
      </c>
      <c r="H1782" s="12" t="n">
        <v>-2980</v>
      </c>
      <c r="I1782" s="17" t="n">
        <v>46211</v>
      </c>
      <c r="J1782" s="17" t="n">
        <v>46270</v>
      </c>
      <c r="K1782" t="inlineStr">
        <is>
          <t>Fatura - bruto QUELMAR TRANSPORTES LTDA 6195-2</t>
        </is>
      </c>
    </row>
    <row r="1783">
      <c r="A1783" t="inlineStr">
        <is>
          <t>100883</t>
        </is>
      </c>
      <c r="B1783" t="inlineStr">
        <is>
          <t>QUELMAR TRANSPORTES LTDA</t>
        </is>
      </c>
      <c r="C1783" t="n">
        <v>2111000000</v>
      </c>
      <c r="D1783" t="inlineStr">
        <is>
          <t>Operational Suppliers (Wind Farms)</t>
        </is>
      </c>
      <c r="E1783" t="n">
        <v>5013143</v>
      </c>
      <c r="F1783" t="inlineStr">
        <is>
          <t>6176-2</t>
        </is>
      </c>
      <c r="G1783" t="inlineStr">
        <is>
          <t>RE</t>
        </is>
      </c>
      <c r="H1783" s="12" t="n">
        <v>-1380</v>
      </c>
      <c r="I1783" s="17" t="n">
        <v>46205</v>
      </c>
      <c r="J1783" s="17" t="n">
        <v>46270</v>
      </c>
      <c r="K1783" t="inlineStr">
        <is>
          <t>Fatura - bruto QUELMAR TRANSPORTES LTDA 6176-2</t>
        </is>
      </c>
    </row>
    <row r="1784">
      <c r="A1784" t="inlineStr">
        <is>
          <t>100883</t>
        </is>
      </c>
      <c r="B1784" t="inlineStr">
        <is>
          <t>QUELMAR TRANSPORTES LTDA</t>
        </is>
      </c>
      <c r="C1784" t="n">
        <v>2111000000</v>
      </c>
      <c r="D1784" t="inlineStr">
        <is>
          <t>Operational Suppliers (Wind Farms)</t>
        </is>
      </c>
      <c r="E1784" t="n">
        <v>5013144</v>
      </c>
      <c r="F1784" t="inlineStr">
        <is>
          <t>6183-2</t>
        </is>
      </c>
      <c r="G1784" t="inlineStr">
        <is>
          <t>RE</t>
        </is>
      </c>
      <c r="H1784" s="12" t="n">
        <v>-6200</v>
      </c>
      <c r="I1784" s="17" t="n">
        <v>46209</v>
      </c>
      <c r="J1784" s="17" t="n">
        <v>46270</v>
      </c>
      <c r="K1784" t="inlineStr">
        <is>
          <t>Fatura - bruto QUELMAR TRANSPORTES LTDA 6183-2</t>
        </is>
      </c>
    </row>
    <row r="1785">
      <c r="A1785" t="inlineStr">
        <is>
          <t>100883</t>
        </is>
      </c>
      <c r="B1785" t="inlineStr">
        <is>
          <t>QUELMAR TRANSPORTES LTDA</t>
        </is>
      </c>
      <c r="C1785" t="n">
        <v>2111000000</v>
      </c>
      <c r="D1785" t="inlineStr">
        <is>
          <t>Operational Suppliers (Wind Farms)</t>
        </is>
      </c>
      <c r="E1785" t="n">
        <v>5013145</v>
      </c>
      <c r="F1785" t="inlineStr">
        <is>
          <t>6219-2</t>
        </is>
      </c>
      <c r="G1785" t="inlineStr">
        <is>
          <t>RE</t>
        </is>
      </c>
      <c r="H1785" s="12" t="n">
        <v>-11402</v>
      </c>
      <c r="I1785" s="17" t="n">
        <v>46217</v>
      </c>
      <c r="J1785" s="17" t="n">
        <v>46270</v>
      </c>
      <c r="K1785" t="inlineStr">
        <is>
          <t>Fatura - bruto QUELMAR TRANSPORTES LTDA 6219-2</t>
        </is>
      </c>
    </row>
    <row r="1786">
      <c r="A1786" t="inlineStr">
        <is>
          <t>101576</t>
        </is>
      </c>
      <c r="B1786" t="inlineStr">
        <is>
          <t>CLARO S.A</t>
        </is>
      </c>
      <c r="C1786" t="n">
        <v>2111000000</v>
      </c>
      <c r="D1786" t="inlineStr">
        <is>
          <t>Facilities</t>
        </is>
      </c>
      <c r="E1786" t="n">
        <v>5013153</v>
      </c>
      <c r="F1786" t="inlineStr">
        <is>
          <t>82473</t>
        </is>
      </c>
      <c r="G1786" t="inlineStr">
        <is>
          <t>RE</t>
        </is>
      </c>
      <c r="H1786" s="12" t="n">
        <v>-1514.76</v>
      </c>
      <c r="I1786" s="17" t="n">
        <v>45131</v>
      </c>
      <c r="J1786" s="17" t="n">
        <v>45131</v>
      </c>
      <c r="K1786" t="inlineStr">
        <is>
          <t>REGULARIZAÇÃO CFE LETICIA, TEAMS 16.04</t>
        </is>
      </c>
    </row>
    <row r="1787">
      <c r="A1787" t="inlineStr">
        <is>
          <t>100031</t>
        </is>
      </c>
      <c r="B1787" t="inlineStr">
        <is>
          <t>MEGAWIND INDUSTRIA E COMERCIO</t>
        </is>
      </c>
      <c r="C1787" t="n">
        <v>2111000000</v>
      </c>
      <c r="D1787" t="inlineStr">
        <is>
          <t>Operational Suppliers (Wind Farms)</t>
        </is>
      </c>
      <c r="E1787" t="n">
        <v>5013155</v>
      </c>
      <c r="F1787" t="inlineStr">
        <is>
          <t>1415</t>
        </is>
      </c>
      <c r="G1787" t="inlineStr">
        <is>
          <t>RE</t>
        </is>
      </c>
      <c r="H1787" s="12" t="n">
        <v>-29840.95</v>
      </c>
      <c r="I1787" s="17" t="n">
        <v>46223</v>
      </c>
      <c r="J1787" s="17" t="n">
        <v>46270</v>
      </c>
      <c r="K1787" t="inlineStr">
        <is>
          <t>Fatura - bruto MEGAWIND INDUSTRIA E COMERCIO 1415</t>
        </is>
      </c>
    </row>
    <row r="1788">
      <c r="A1788" t="inlineStr">
        <is>
          <t>100031</t>
        </is>
      </c>
      <c r="B1788" t="inlineStr">
        <is>
          <t>MEGAWIND INDUSTRIA E COMERCIO</t>
        </is>
      </c>
      <c r="C1788" t="n">
        <v>2111000000</v>
      </c>
      <c r="D1788" t="inlineStr">
        <is>
          <t>Operational Suppliers (Wind Farms)</t>
        </is>
      </c>
      <c r="E1788" t="n">
        <v>5013156</v>
      </c>
      <c r="F1788" t="inlineStr">
        <is>
          <t>1416</t>
        </is>
      </c>
      <c r="G1788" t="inlineStr">
        <is>
          <t>RE</t>
        </is>
      </c>
      <c r="H1788" s="12" t="n">
        <v>-2876.61</v>
      </c>
      <c r="I1788" s="17" t="n">
        <v>46223</v>
      </c>
      <c r="J1788" s="17" t="n">
        <v>46270</v>
      </c>
      <c r="K1788" t="inlineStr">
        <is>
          <t>Fatura - bruto MEGAWIND INDUSTRIA E COMERCIO 1416</t>
        </is>
      </c>
    </row>
    <row r="1789">
      <c r="A1789" t="inlineStr">
        <is>
          <t>100031</t>
        </is>
      </c>
      <c r="B1789" t="inlineStr">
        <is>
          <t>MEGAWIND INDUSTRIA E COMERCIO</t>
        </is>
      </c>
      <c r="C1789" t="n">
        <v>2111000000</v>
      </c>
      <c r="D1789" t="inlineStr">
        <is>
          <t>Operational Suppliers (Wind Farms)</t>
        </is>
      </c>
      <c r="E1789" t="n">
        <v>5013157</v>
      </c>
      <c r="F1789" t="inlineStr">
        <is>
          <t>1417</t>
        </is>
      </c>
      <c r="G1789" t="inlineStr">
        <is>
          <t>RE</t>
        </is>
      </c>
      <c r="H1789" s="12" t="n">
        <v>-2386.49</v>
      </c>
      <c r="I1789" s="17" t="n">
        <v>46223</v>
      </c>
      <c r="J1789" s="17" t="n">
        <v>46270</v>
      </c>
      <c r="K1789" t="inlineStr">
        <is>
          <t>Fatura - bruto MEGAWIND INDUSTRIA E COMERCIO 1417</t>
        </is>
      </c>
    </row>
    <row r="1790">
      <c r="A1790" t="inlineStr">
        <is>
          <t>100031</t>
        </is>
      </c>
      <c r="B1790" t="inlineStr">
        <is>
          <t>MEGAWIND INDUSTRIA E COMERCIO</t>
        </is>
      </c>
      <c r="C1790" t="n">
        <v>2111000000</v>
      </c>
      <c r="D1790" t="inlineStr">
        <is>
          <t>Operational Suppliers (Wind Farms)</t>
        </is>
      </c>
      <c r="E1790" t="n">
        <v>5013158</v>
      </c>
      <c r="F1790" t="inlineStr">
        <is>
          <t>1418</t>
        </is>
      </c>
      <c r="G1790" t="inlineStr">
        <is>
          <t>RE</t>
        </is>
      </c>
      <c r="H1790" s="12" t="n">
        <v>-33596.49</v>
      </c>
      <c r="I1790" s="17" t="n">
        <v>46223</v>
      </c>
      <c r="J1790" s="17" t="n">
        <v>46270</v>
      </c>
      <c r="K1790" t="inlineStr">
        <is>
          <t>Fatura - bruto MEGAWIND INDUSTRIA E COMERCIO 1418</t>
        </is>
      </c>
    </row>
    <row r="1791">
      <c r="A1791" t="inlineStr">
        <is>
          <t>100031</t>
        </is>
      </c>
      <c r="B1791" t="inlineStr">
        <is>
          <t>MEGAWIND INDUSTRIA E COMERCIO</t>
        </is>
      </c>
      <c r="C1791" t="n">
        <v>2111000000</v>
      </c>
      <c r="D1791" t="inlineStr">
        <is>
          <t>Operational Suppliers (Wind Farms)</t>
        </is>
      </c>
      <c r="E1791" t="n">
        <v>5013159</v>
      </c>
      <c r="F1791" t="inlineStr">
        <is>
          <t>1419</t>
        </is>
      </c>
      <c r="G1791" t="inlineStr">
        <is>
          <t>RE</t>
        </is>
      </c>
      <c r="H1791" s="12" t="n">
        <v>-1664.92</v>
      </c>
      <c r="I1791" s="17" t="n">
        <v>46223</v>
      </c>
      <c r="J1791" s="17" t="n">
        <v>46270</v>
      </c>
      <c r="K1791" t="inlineStr">
        <is>
          <t>Fatura - bruto MEGAWIND INDUSTRIA E COMERCIO 1419</t>
        </is>
      </c>
    </row>
    <row r="1792">
      <c r="A1792" t="inlineStr">
        <is>
          <t>100031</t>
        </is>
      </c>
      <c r="B1792" t="inlineStr">
        <is>
          <t>MEGAWIND INDUSTRIA E COMERCIO</t>
        </is>
      </c>
      <c r="C1792" t="n">
        <v>2111000000</v>
      </c>
      <c r="D1792" t="inlineStr">
        <is>
          <t>Operational Suppliers (Wind Farms)</t>
        </is>
      </c>
      <c r="E1792" t="n">
        <v>5013160</v>
      </c>
      <c r="F1792" t="inlineStr">
        <is>
          <t>1420</t>
        </is>
      </c>
      <c r="G1792" t="inlineStr">
        <is>
          <t>RE</t>
        </is>
      </c>
      <c r="H1792" s="12" t="n">
        <v>-4828.47</v>
      </c>
      <c r="I1792" s="17" t="n">
        <v>46223</v>
      </c>
      <c r="J1792" s="17" t="n">
        <v>46270</v>
      </c>
      <c r="K1792" t="inlineStr">
        <is>
          <t>Fatura - bruto MEGAWIND INDUSTRIA E COMERCIO 1420</t>
        </is>
      </c>
    </row>
    <row r="1793">
      <c r="A1793" t="inlineStr">
        <is>
          <t>101463</t>
        </is>
      </c>
      <c r="B1793" t="inlineStr">
        <is>
          <t>ZURICH MINAS BRASIL SEGUROS S A</t>
        </is>
      </c>
      <c r="C1793" t="n">
        <v>2111000000</v>
      </c>
      <c r="D1793" t="inlineStr">
        <is>
          <t>Insurance</t>
        </is>
      </c>
      <c r="E1793" t="n">
        <v>5013206</v>
      </c>
      <c r="F1793" t="inlineStr">
        <is>
          <t>0102/26E</t>
        </is>
      </c>
      <c r="G1793" t="inlineStr">
        <is>
          <t>RE</t>
        </is>
      </c>
      <c r="H1793" s="12" t="n">
        <v>-5583.99</v>
      </c>
      <c r="I1793" s="17" t="n">
        <v>46225</v>
      </c>
      <c r="J1793" s="17" t="n">
        <v>46225</v>
      </c>
      <c r="K1793" t="inlineStr">
        <is>
          <t>Invoice Payment. SP: 20038</t>
        </is>
      </c>
    </row>
    <row r="1794">
      <c r="A1794" t="inlineStr">
        <is>
          <t>101463</t>
        </is>
      </c>
      <c r="B1794" t="inlineStr">
        <is>
          <t>ZURICH MINAS BRASIL SEGUROS S A</t>
        </is>
      </c>
      <c r="C1794" t="n">
        <v>2111000000</v>
      </c>
      <c r="D1794" t="inlineStr">
        <is>
          <t>Insurance</t>
        </is>
      </c>
      <c r="E1794" t="n">
        <v>5013210</v>
      </c>
      <c r="F1794" t="inlineStr">
        <is>
          <t>0251/26</t>
        </is>
      </c>
      <c r="G1794" t="inlineStr">
        <is>
          <t>RE</t>
        </is>
      </c>
      <c r="H1794" s="12" t="n">
        <v>-780.49</v>
      </c>
      <c r="I1794" s="17" t="n">
        <v>46225</v>
      </c>
      <c r="J1794" s="17" t="n">
        <v>46255</v>
      </c>
      <c r="K1794" t="inlineStr">
        <is>
          <t>Invoice Payment. SP: 20058</t>
        </is>
      </c>
    </row>
    <row r="1795">
      <c r="A1795" t="inlineStr">
        <is>
          <t>101463</t>
        </is>
      </c>
      <c r="B1795" t="inlineStr">
        <is>
          <t>ZURICH MINAS BRASIL SEGUROS S A</t>
        </is>
      </c>
      <c r="C1795" t="n">
        <v>2111000000</v>
      </c>
      <c r="D1795" t="inlineStr">
        <is>
          <t>Insurance</t>
        </is>
      </c>
      <c r="E1795" t="n">
        <v>5013213</v>
      </c>
      <c r="F1795" t="inlineStr">
        <is>
          <t>0256/26</t>
        </is>
      </c>
      <c r="G1795" t="inlineStr">
        <is>
          <t>RE</t>
        </is>
      </c>
      <c r="H1795" s="12" t="n">
        <v>-35.81</v>
      </c>
      <c r="I1795" s="17" t="n">
        <v>46225</v>
      </c>
      <c r="J1795" s="17" t="n">
        <v>46255</v>
      </c>
      <c r="K1795" t="inlineStr">
        <is>
          <t>Invoice Payment. SP: 20080</t>
        </is>
      </c>
    </row>
    <row r="1796">
      <c r="A1796" t="inlineStr">
        <is>
          <t>101463</t>
        </is>
      </c>
      <c r="B1796" t="inlineStr">
        <is>
          <t>ZURICH MINAS BRASIL SEGUROS S A</t>
        </is>
      </c>
      <c r="C1796" t="n">
        <v>2111000000</v>
      </c>
      <c r="D1796" t="inlineStr">
        <is>
          <t>Insurance</t>
        </is>
      </c>
      <c r="E1796" t="n">
        <v>5013215</v>
      </c>
      <c r="F1796" t="inlineStr">
        <is>
          <t>0272/26</t>
        </is>
      </c>
      <c r="G1796" t="inlineStr">
        <is>
          <t>RE</t>
        </is>
      </c>
      <c r="H1796" s="12" t="n">
        <v>-1202.17</v>
      </c>
      <c r="I1796" s="17" t="n">
        <v>46225</v>
      </c>
      <c r="J1796" s="17" t="n">
        <v>46255</v>
      </c>
      <c r="K1796" t="inlineStr">
        <is>
          <t>Invoice Payment. SP: 20081</t>
        </is>
      </c>
    </row>
    <row r="1797">
      <c r="A1797" t="inlineStr">
        <is>
          <t>101463</t>
        </is>
      </c>
      <c r="B1797" t="inlineStr">
        <is>
          <t>ZURICH MINAS BRASIL SEGUROS S A</t>
        </is>
      </c>
      <c r="C1797" t="n">
        <v>2111000000</v>
      </c>
      <c r="D1797" t="inlineStr">
        <is>
          <t>Insurance</t>
        </is>
      </c>
      <c r="E1797" t="n">
        <v>5013221</v>
      </c>
      <c r="F1797" t="inlineStr">
        <is>
          <t>0273/26</t>
        </is>
      </c>
      <c r="G1797" t="inlineStr">
        <is>
          <t>RE</t>
        </is>
      </c>
      <c r="H1797" s="12" t="n">
        <v>-182.6</v>
      </c>
      <c r="I1797" s="17" t="n">
        <v>46225</v>
      </c>
      <c r="J1797" s="17" t="n">
        <v>46255</v>
      </c>
      <c r="K1797" t="inlineStr">
        <is>
          <t>Invoice Payment. SP: 20083</t>
        </is>
      </c>
    </row>
    <row r="1798">
      <c r="A1798" t="inlineStr">
        <is>
          <t>100773</t>
        </is>
      </c>
      <c r="B1798" t="inlineStr">
        <is>
          <t>G WIND SOLUCOES EOLICAS LTDA</t>
        </is>
      </c>
      <c r="C1798" t="n">
        <v>2111000000</v>
      </c>
      <c r="D1798" t="inlineStr">
        <is>
          <t>Operational Suppliers (Wind Farms)</t>
        </is>
      </c>
      <c r="E1798" t="n">
        <v>5013227</v>
      </c>
      <c r="F1798" t="inlineStr">
        <is>
          <t>415</t>
        </is>
      </c>
      <c r="G1798" t="inlineStr">
        <is>
          <t>RE</t>
        </is>
      </c>
      <c r="H1798" s="12" t="n">
        <v>-97200</v>
      </c>
      <c r="I1798" s="17" t="n">
        <v>46223</v>
      </c>
      <c r="J1798" s="17" t="n">
        <v>46270</v>
      </c>
      <c r="K1798" t="inlineStr">
        <is>
          <t>Fatura - bruto G WIND SOLUCOES EOLICAS LTDA 415</t>
        </is>
      </c>
    </row>
    <row r="1799">
      <c r="A1799" t="inlineStr">
        <is>
          <t>101463</t>
        </is>
      </c>
      <c r="B1799" t="inlineStr">
        <is>
          <t>ZURICH MINAS BRASIL SEGUROS S A</t>
        </is>
      </c>
      <c r="C1799" t="n">
        <v>2111000000</v>
      </c>
      <c r="D1799" t="inlineStr">
        <is>
          <t>Insurance</t>
        </is>
      </c>
      <c r="E1799" t="n">
        <v>5013228</v>
      </c>
      <c r="F1799" t="inlineStr">
        <is>
          <t>0276/26</t>
        </is>
      </c>
      <c r="G1799" t="inlineStr">
        <is>
          <t>RE</t>
        </is>
      </c>
      <c r="H1799" s="12" t="n">
        <v>-14.78</v>
      </c>
      <c r="I1799" s="17" t="n">
        <v>46225</v>
      </c>
      <c r="J1799" s="17" t="n">
        <v>46255</v>
      </c>
      <c r="K1799" t="inlineStr">
        <is>
          <t>Invoice Payment. SP: 20118</t>
        </is>
      </c>
    </row>
    <row r="1800">
      <c r="A1800" t="inlineStr">
        <is>
          <t>100773</t>
        </is>
      </c>
      <c r="B1800" t="inlineStr">
        <is>
          <t>G WIND SOLUCOES EOLICAS LTDA</t>
        </is>
      </c>
      <c r="C1800" t="n">
        <v>2111000000</v>
      </c>
      <c r="D1800" t="inlineStr">
        <is>
          <t>Operational Suppliers (Wind Farms)</t>
        </is>
      </c>
      <c r="E1800" t="n">
        <v>5013229</v>
      </c>
      <c r="F1800" t="inlineStr">
        <is>
          <t>416</t>
        </is>
      </c>
      <c r="G1800" t="inlineStr">
        <is>
          <t>RE</t>
        </is>
      </c>
      <c r="H1800" s="12" t="n">
        <v>-17099.5</v>
      </c>
      <c r="I1800" s="17" t="n">
        <v>46223</v>
      </c>
      <c r="J1800" s="17" t="n">
        <v>46270</v>
      </c>
      <c r="K1800" t="inlineStr">
        <is>
          <t>Fatura - bruto G WIND SOLUCOES EOLICAS LTDA 416</t>
        </is>
      </c>
    </row>
    <row r="1801">
      <c r="A1801" t="inlineStr">
        <is>
          <t>101463</t>
        </is>
      </c>
      <c r="B1801" t="inlineStr">
        <is>
          <t>ZURICH MINAS BRASIL SEGUROS S A</t>
        </is>
      </c>
      <c r="C1801" t="n">
        <v>2111000000</v>
      </c>
      <c r="D1801" t="inlineStr">
        <is>
          <t>Insurance</t>
        </is>
      </c>
      <c r="E1801" t="n">
        <v>5013231</v>
      </c>
      <c r="F1801" t="inlineStr">
        <is>
          <t>0281/26</t>
        </is>
      </c>
      <c r="G1801" t="inlineStr">
        <is>
          <t>RE</t>
        </is>
      </c>
      <c r="H1801" s="12" t="n">
        <v>-2.8</v>
      </c>
      <c r="I1801" s="17" t="n">
        <v>46225</v>
      </c>
      <c r="J1801" s="17" t="n">
        <v>46255</v>
      </c>
      <c r="K1801" t="inlineStr">
        <is>
          <t>Invoice Payment. SP: 20120</t>
        </is>
      </c>
    </row>
    <row r="1802">
      <c r="A1802" t="inlineStr">
        <is>
          <t>100773</t>
        </is>
      </c>
      <c r="B1802" t="inlineStr">
        <is>
          <t>G WIND SOLUCOES EOLICAS LTDA</t>
        </is>
      </c>
      <c r="C1802" t="n">
        <v>2111000000</v>
      </c>
      <c r="D1802" t="inlineStr">
        <is>
          <t>Operational Suppliers (Wind Farms)</t>
        </is>
      </c>
      <c r="E1802" t="n">
        <v>5013232</v>
      </c>
      <c r="F1802" t="inlineStr">
        <is>
          <t>417</t>
        </is>
      </c>
      <c r="G1802" t="inlineStr">
        <is>
          <t>RE</t>
        </is>
      </c>
      <c r="H1802" s="12" t="n">
        <v>-7500</v>
      </c>
      <c r="I1802" s="17" t="n">
        <v>46223</v>
      </c>
      <c r="J1802" s="17" t="n">
        <v>46270</v>
      </c>
      <c r="K1802" t="inlineStr">
        <is>
          <t>Fatura - bruto G WIND SOLUCOES EOLICAS LTDA 417</t>
        </is>
      </c>
    </row>
    <row r="1803">
      <c r="A1803" t="inlineStr">
        <is>
          <t>100773</t>
        </is>
      </c>
      <c r="B1803" t="inlineStr">
        <is>
          <t>G WIND SOLUCOES EOLICAS LTDA</t>
        </is>
      </c>
      <c r="C1803" t="n">
        <v>2111000000</v>
      </c>
      <c r="D1803" t="inlineStr">
        <is>
          <t>Operational Suppliers (Wind Farms)</t>
        </is>
      </c>
      <c r="E1803" t="n">
        <v>5013234</v>
      </c>
      <c r="F1803" t="inlineStr">
        <is>
          <t>418</t>
        </is>
      </c>
      <c r="G1803" t="inlineStr">
        <is>
          <t>RE</t>
        </is>
      </c>
      <c r="H1803" s="12" t="n">
        <v>-1250.01</v>
      </c>
      <c r="I1803" s="17" t="n">
        <v>46223</v>
      </c>
      <c r="J1803" s="17" t="n">
        <v>46270</v>
      </c>
      <c r="K1803" t="inlineStr">
        <is>
          <t>Fatura - bruto G WIND SOLUCOES EOLICAS LTDA 418</t>
        </is>
      </c>
    </row>
    <row r="1804">
      <c r="A1804" t="inlineStr">
        <is>
          <t>101463</t>
        </is>
      </c>
      <c r="B1804" t="inlineStr">
        <is>
          <t>ZURICH MINAS BRASIL SEGUROS S A</t>
        </is>
      </c>
      <c r="C1804" t="n">
        <v>2111000000</v>
      </c>
      <c r="D1804" t="inlineStr">
        <is>
          <t>Insurance</t>
        </is>
      </c>
      <c r="E1804" t="n">
        <v>5013238</v>
      </c>
      <c r="F1804" t="inlineStr">
        <is>
          <t>0284/26</t>
        </is>
      </c>
      <c r="G1804" t="inlineStr">
        <is>
          <t>RE</t>
        </is>
      </c>
      <c r="H1804" s="12" t="n">
        <v>-570.05</v>
      </c>
      <c r="I1804" s="17" t="n">
        <v>46225</v>
      </c>
      <c r="J1804" s="17" t="n">
        <v>46255</v>
      </c>
      <c r="K1804" t="inlineStr">
        <is>
          <t>Invoice Payment. SP: 20123</t>
        </is>
      </c>
    </row>
    <row r="1805">
      <c r="A1805" t="inlineStr">
        <is>
          <t>101463</t>
        </is>
      </c>
      <c r="B1805" t="inlineStr">
        <is>
          <t>ZURICH MINAS BRASIL SEGUROS S A</t>
        </is>
      </c>
      <c r="C1805" t="n">
        <v>2111000000</v>
      </c>
      <c r="D1805" t="inlineStr">
        <is>
          <t>Insurance</t>
        </is>
      </c>
      <c r="E1805" t="n">
        <v>5013241</v>
      </c>
      <c r="F1805" t="inlineStr">
        <is>
          <t>0288/26</t>
        </is>
      </c>
      <c r="G1805" t="inlineStr">
        <is>
          <t>RE</t>
        </is>
      </c>
      <c r="H1805" s="12" t="n">
        <v>-947.41</v>
      </c>
      <c r="I1805" s="17" t="n">
        <v>46225</v>
      </c>
      <c r="J1805" s="17" t="n">
        <v>46255</v>
      </c>
      <c r="K1805" t="inlineStr">
        <is>
          <t>Invoice Payment. SP: 20125</t>
        </is>
      </c>
    </row>
    <row r="1806">
      <c r="A1806" t="inlineStr">
        <is>
          <t>101463</t>
        </is>
      </c>
      <c r="B1806" t="inlineStr">
        <is>
          <t>ZURICH MINAS BRASIL SEGUROS S A</t>
        </is>
      </c>
      <c r="C1806" t="n">
        <v>2111000000</v>
      </c>
      <c r="D1806" t="inlineStr">
        <is>
          <t>Insurance</t>
        </is>
      </c>
      <c r="E1806" t="n">
        <v>5013245</v>
      </c>
      <c r="F1806" t="inlineStr">
        <is>
          <t>0291/26</t>
        </is>
      </c>
      <c r="G1806" t="inlineStr">
        <is>
          <t>RE</t>
        </is>
      </c>
      <c r="H1806" s="12" t="n">
        <v>-10.65</v>
      </c>
      <c r="I1806" s="17" t="n">
        <v>46225</v>
      </c>
      <c r="J1806" s="17" t="n">
        <v>46255</v>
      </c>
      <c r="K1806" t="inlineStr">
        <is>
          <t>Invoice Payment. SP: 20127</t>
        </is>
      </c>
    </row>
    <row r="1807">
      <c r="A1807" t="inlineStr">
        <is>
          <t>101463</t>
        </is>
      </c>
      <c r="B1807" t="inlineStr">
        <is>
          <t>ZURICH MINAS BRASIL SEGUROS S A</t>
        </is>
      </c>
      <c r="C1807" t="n">
        <v>2111000000</v>
      </c>
      <c r="D1807" t="inlineStr">
        <is>
          <t>Insurance</t>
        </is>
      </c>
      <c r="E1807" t="n">
        <v>5013247</v>
      </c>
      <c r="F1807" t="inlineStr">
        <is>
          <t>0299/26</t>
        </is>
      </c>
      <c r="G1807" t="inlineStr">
        <is>
          <t>RE</t>
        </is>
      </c>
      <c r="H1807" s="12" t="n">
        <v>-0.59</v>
      </c>
      <c r="I1807" s="17" t="n">
        <v>46225</v>
      </c>
      <c r="J1807" s="17" t="n">
        <v>46255</v>
      </c>
      <c r="K1807" t="inlineStr">
        <is>
          <t>Invoice Payment. SP: 20129</t>
        </is>
      </c>
    </row>
    <row r="1808">
      <c r="A1808" t="inlineStr">
        <is>
          <t>101463</t>
        </is>
      </c>
      <c r="B1808" t="inlineStr">
        <is>
          <t>ZURICH MINAS BRASIL SEGUROS S A</t>
        </is>
      </c>
      <c r="C1808" t="n">
        <v>2111000000</v>
      </c>
      <c r="D1808" t="inlineStr">
        <is>
          <t>Insurance</t>
        </is>
      </c>
      <c r="E1808" t="n">
        <v>5013275</v>
      </c>
      <c r="F1808" t="inlineStr">
        <is>
          <t>0307/26</t>
        </is>
      </c>
      <c r="G1808" t="inlineStr">
        <is>
          <t>RE</t>
        </is>
      </c>
      <c r="H1808" s="12" t="n">
        <v>-144.48</v>
      </c>
      <c r="I1808" s="17" t="n">
        <v>46225</v>
      </c>
      <c r="J1808" s="17" t="n">
        <v>46255</v>
      </c>
      <c r="K1808" t="inlineStr">
        <is>
          <t>Invoice Payment. SP: 20138</t>
        </is>
      </c>
    </row>
    <row r="1809">
      <c r="A1809" t="inlineStr">
        <is>
          <t>101463</t>
        </is>
      </c>
      <c r="B1809" t="inlineStr">
        <is>
          <t>ZURICH MINAS BRASIL SEGUROS S A</t>
        </is>
      </c>
      <c r="C1809" t="n">
        <v>2111000000</v>
      </c>
      <c r="D1809" t="inlineStr">
        <is>
          <t>Insurance</t>
        </is>
      </c>
      <c r="E1809" t="n">
        <v>5013279</v>
      </c>
      <c r="F1809" t="inlineStr">
        <is>
          <t>0308/26</t>
        </is>
      </c>
      <c r="G1809" t="inlineStr">
        <is>
          <t>RE</t>
        </is>
      </c>
      <c r="H1809" s="12" t="n">
        <v>-144.48</v>
      </c>
      <c r="I1809" s="17" t="n">
        <v>46225</v>
      </c>
      <c r="J1809" s="17" t="n">
        <v>46255</v>
      </c>
      <c r="K1809" t="inlineStr">
        <is>
          <t>Invoice Payment. SP: 20159</t>
        </is>
      </c>
    </row>
    <row r="1810">
      <c r="A1810" t="inlineStr">
        <is>
          <t>100883</t>
        </is>
      </c>
      <c r="B1810" t="inlineStr">
        <is>
          <t>QUELMAR TRANSPORTES LTDA</t>
        </is>
      </c>
      <c r="C1810" t="n">
        <v>2111000000</v>
      </c>
      <c r="D1810" t="inlineStr">
        <is>
          <t>Operational Suppliers (Wind Farms)</t>
        </is>
      </c>
      <c r="E1810" t="n">
        <v>5013284</v>
      </c>
      <c r="F1810" t="inlineStr">
        <is>
          <t>6221-2</t>
        </is>
      </c>
      <c r="G1810" t="inlineStr">
        <is>
          <t>RE</t>
        </is>
      </c>
      <c r="H1810" s="12" t="n">
        <v>-4320</v>
      </c>
      <c r="I1810" s="17" t="n">
        <v>46217</v>
      </c>
      <c r="J1810" s="17" t="n">
        <v>46270</v>
      </c>
      <c r="K1810" t="inlineStr">
        <is>
          <t>Fatura - bruto QUELMAR TRANSPORTES LTDA 6221-2</t>
        </is>
      </c>
    </row>
    <row r="1811">
      <c r="A1811" t="inlineStr">
        <is>
          <t>100883</t>
        </is>
      </c>
      <c r="B1811" t="inlineStr">
        <is>
          <t>QUELMAR TRANSPORTES LTDA</t>
        </is>
      </c>
      <c r="C1811" t="n">
        <v>2111000000</v>
      </c>
      <c r="D1811" t="inlineStr">
        <is>
          <t>Operational Suppliers (Wind Farms)</t>
        </is>
      </c>
      <c r="E1811" t="n">
        <v>5013285</v>
      </c>
      <c r="F1811" t="inlineStr">
        <is>
          <t>6222-2</t>
        </is>
      </c>
      <c r="G1811" t="inlineStr">
        <is>
          <t>RE</t>
        </is>
      </c>
      <c r="H1811" s="12" t="n">
        <v>-4205</v>
      </c>
      <c r="I1811" s="17" t="n">
        <v>46217</v>
      </c>
      <c r="J1811" s="17" t="n">
        <v>46270</v>
      </c>
      <c r="K1811" t="inlineStr">
        <is>
          <t>Fatura - bruto QUELMAR TRANSPORTES LTDA 6222-2</t>
        </is>
      </c>
    </row>
    <row r="1812">
      <c r="A1812" t="inlineStr">
        <is>
          <t>100883</t>
        </is>
      </c>
      <c r="B1812" t="inlineStr">
        <is>
          <t>QUELMAR TRANSPORTES LTDA</t>
        </is>
      </c>
      <c r="C1812" t="n">
        <v>2111000000</v>
      </c>
      <c r="D1812" t="inlineStr">
        <is>
          <t>Operational Suppliers (Wind Farms)</t>
        </is>
      </c>
      <c r="E1812" t="n">
        <v>5013286</v>
      </c>
      <c r="F1812" t="inlineStr">
        <is>
          <t>107941-1</t>
        </is>
      </c>
      <c r="G1812" t="inlineStr">
        <is>
          <t>RE</t>
        </is>
      </c>
      <c r="H1812" s="12" t="n">
        <v>-4550</v>
      </c>
      <c r="I1812" s="17" t="n">
        <v>46217</v>
      </c>
      <c r="J1812" s="17" t="n">
        <v>46270</v>
      </c>
      <c r="K1812" t="inlineStr">
        <is>
          <t>Fatura - bruto QUELMAR TRANSPORTES LTDA 107941-1</t>
        </is>
      </c>
    </row>
    <row r="1813">
      <c r="A1813" t="inlineStr">
        <is>
          <t>100883</t>
        </is>
      </c>
      <c r="B1813" t="inlineStr">
        <is>
          <t>QUELMAR TRANSPORTES LTDA</t>
        </is>
      </c>
      <c r="C1813" t="n">
        <v>2111000000</v>
      </c>
      <c r="D1813" t="inlineStr">
        <is>
          <t>Operational Suppliers (Wind Farms)</t>
        </is>
      </c>
      <c r="E1813" t="n">
        <v>5013287</v>
      </c>
      <c r="F1813" t="inlineStr">
        <is>
          <t>107942-1</t>
        </is>
      </c>
      <c r="G1813" t="inlineStr">
        <is>
          <t>RE</t>
        </is>
      </c>
      <c r="H1813" s="12" t="n">
        <v>-1250</v>
      </c>
      <c r="I1813" s="17" t="n">
        <v>46217</v>
      </c>
      <c r="J1813" s="17" t="n">
        <v>46270</v>
      </c>
      <c r="K1813" t="inlineStr">
        <is>
          <t>Fatura - bruto QUELMAR TRANSPORTES LTDA 107942-1</t>
        </is>
      </c>
    </row>
    <row r="1814">
      <c r="A1814" t="inlineStr">
        <is>
          <t>100883</t>
        </is>
      </c>
      <c r="B1814" t="inlineStr">
        <is>
          <t>QUELMAR TRANSPORTES LTDA</t>
        </is>
      </c>
      <c r="C1814" t="n">
        <v>2111000000</v>
      </c>
      <c r="D1814" t="inlineStr">
        <is>
          <t>Operational Suppliers (Wind Farms)</t>
        </is>
      </c>
      <c r="E1814" t="n">
        <v>5013288</v>
      </c>
      <c r="F1814" t="inlineStr">
        <is>
          <t>6228-2</t>
        </is>
      </c>
      <c r="G1814" t="inlineStr">
        <is>
          <t>RE</t>
        </is>
      </c>
      <c r="H1814" s="12" t="n">
        <v>-1980</v>
      </c>
      <c r="I1814" s="17" t="n">
        <v>46217</v>
      </c>
      <c r="J1814" s="17" t="n">
        <v>46270</v>
      </c>
      <c r="K1814" t="inlineStr">
        <is>
          <t>Fatura - bruto QUELMAR TRANSPORTES LTDA 6228-2</t>
        </is>
      </c>
    </row>
    <row r="1815">
      <c r="A1815" t="inlineStr">
        <is>
          <t>100883</t>
        </is>
      </c>
      <c r="B1815" t="inlineStr">
        <is>
          <t>QUELMAR TRANSPORTES LTDA</t>
        </is>
      </c>
      <c r="C1815" t="n">
        <v>2111000000</v>
      </c>
      <c r="D1815" t="inlineStr">
        <is>
          <t>Operational Suppliers (Wind Farms)</t>
        </is>
      </c>
      <c r="E1815" t="n">
        <v>5013289</v>
      </c>
      <c r="F1815" t="inlineStr">
        <is>
          <t>107943-1</t>
        </is>
      </c>
      <c r="G1815" t="inlineStr">
        <is>
          <t>RE</t>
        </is>
      </c>
      <c r="H1815" s="12" t="n">
        <v>-1380</v>
      </c>
      <c r="I1815" s="17" t="n">
        <v>46217</v>
      </c>
      <c r="J1815" s="17" t="n">
        <v>46270</v>
      </c>
      <c r="K1815" t="inlineStr">
        <is>
          <t>Fatura - bruto QUELMAR TRANSPORTES LTDA 107943-1</t>
        </is>
      </c>
    </row>
    <row r="1816">
      <c r="A1816" t="inlineStr">
        <is>
          <t>100883</t>
        </is>
      </c>
      <c r="B1816" t="inlineStr">
        <is>
          <t>QUELMAR TRANSPORTES LTDA</t>
        </is>
      </c>
      <c r="C1816" t="n">
        <v>2111000000</v>
      </c>
      <c r="D1816" t="inlineStr">
        <is>
          <t>Operational Suppliers (Wind Farms)</t>
        </is>
      </c>
      <c r="E1816" t="n">
        <v>5013290</v>
      </c>
      <c r="F1816" t="inlineStr">
        <is>
          <t>6229-2</t>
        </is>
      </c>
      <c r="G1816" t="inlineStr">
        <is>
          <t>RE</t>
        </is>
      </c>
      <c r="H1816" s="12" t="n">
        <v>-8950</v>
      </c>
      <c r="I1816" s="17" t="n">
        <v>46217</v>
      </c>
      <c r="J1816" s="17" t="n">
        <v>46270</v>
      </c>
      <c r="K1816" t="inlineStr">
        <is>
          <t>Fatura - bruto QUELMAR TRANSPORTES LTDA 6229-2</t>
        </is>
      </c>
    </row>
    <row r="1817">
      <c r="A1817" t="inlineStr">
        <is>
          <t>100396</t>
        </is>
      </c>
      <c r="B1817" t="inlineStr">
        <is>
          <t>DISTRIBUI LOGISTICA LTDA 03592033000166</t>
        </is>
      </c>
      <c r="C1817" t="n">
        <v>2111000000</v>
      </c>
      <c r="D1817" t="inlineStr">
        <is>
          <t>Operational Suppliers (Wind Farms)</t>
        </is>
      </c>
      <c r="E1817" t="n">
        <v>5013291</v>
      </c>
      <c r="F1817" t="inlineStr">
        <is>
          <t>10917-4</t>
        </is>
      </c>
      <c r="G1817" t="inlineStr">
        <is>
          <t>RE</t>
        </is>
      </c>
      <c r="H1817" s="12" t="n">
        <v>-2000.81</v>
      </c>
      <c r="I1817" s="17" t="n">
        <v>46216</v>
      </c>
      <c r="J1817" s="17" t="n">
        <v>46270</v>
      </c>
      <c r="K1817" t="inlineStr">
        <is>
          <t>Fatura - bruto DISTRIBUI LOGISTICA LTDA 0359203300</t>
        </is>
      </c>
    </row>
    <row r="1818">
      <c r="A1818" t="inlineStr">
        <is>
          <t>101463</t>
        </is>
      </c>
      <c r="B1818" t="inlineStr">
        <is>
          <t>ZURICH MINAS BRASIL SEGUROS S A</t>
        </is>
      </c>
      <c r="C1818" t="n">
        <v>2111000000</v>
      </c>
      <c r="D1818" t="inlineStr">
        <is>
          <t>Insurance</t>
        </is>
      </c>
      <c r="E1818" t="n">
        <v>5013293</v>
      </c>
      <c r="F1818" t="inlineStr">
        <is>
          <t>0327/26</t>
        </is>
      </c>
      <c r="G1818" t="inlineStr">
        <is>
          <t>RE</t>
        </is>
      </c>
      <c r="H1818" s="12" t="n">
        <v>-87.40000000000001</v>
      </c>
      <c r="I1818" s="17" t="n">
        <v>46225</v>
      </c>
      <c r="J1818" s="17" t="n">
        <v>46255</v>
      </c>
      <c r="K1818" t="inlineStr">
        <is>
          <t>Invoice Payment. SP: 20179</t>
        </is>
      </c>
    </row>
    <row r="1819">
      <c r="A1819" t="inlineStr">
        <is>
          <t>101463</t>
        </is>
      </c>
      <c r="B1819" t="inlineStr">
        <is>
          <t>ZURICH MINAS BRASIL SEGUROS S A</t>
        </is>
      </c>
      <c r="C1819" t="n">
        <v>2111000000</v>
      </c>
      <c r="D1819" t="inlineStr">
        <is>
          <t>Insurance</t>
        </is>
      </c>
      <c r="E1819" t="n">
        <v>5013295</v>
      </c>
      <c r="F1819" t="inlineStr">
        <is>
          <t>0361/26</t>
        </is>
      </c>
      <c r="G1819" t="inlineStr">
        <is>
          <t>RE</t>
        </is>
      </c>
      <c r="H1819" s="12" t="n">
        <v>-412.2</v>
      </c>
      <c r="I1819" s="17" t="n">
        <v>46225</v>
      </c>
      <c r="J1819" s="17" t="n">
        <v>46255</v>
      </c>
      <c r="K1819" t="inlineStr">
        <is>
          <t>Invoice Payment. SP: 20181</t>
        </is>
      </c>
    </row>
    <row r="1820">
      <c r="A1820" t="inlineStr">
        <is>
          <t>101463</t>
        </is>
      </c>
      <c r="B1820" t="inlineStr">
        <is>
          <t>ZURICH MINAS BRASIL SEGUROS S A</t>
        </is>
      </c>
      <c r="C1820" t="n">
        <v>2111000000</v>
      </c>
      <c r="D1820" t="inlineStr">
        <is>
          <t>Insurance</t>
        </is>
      </c>
      <c r="E1820" t="n">
        <v>5013300</v>
      </c>
      <c r="F1820" t="inlineStr">
        <is>
          <t>0366/26</t>
        </is>
      </c>
      <c r="G1820" t="inlineStr">
        <is>
          <t>RE</t>
        </is>
      </c>
      <c r="H1820" s="12" t="n">
        <v>-22.76</v>
      </c>
      <c r="I1820" s="17" t="n">
        <v>46225</v>
      </c>
      <c r="J1820" s="17" t="n">
        <v>46255</v>
      </c>
      <c r="K1820" t="inlineStr">
        <is>
          <t>Invoice Payment. SP: 20199</t>
        </is>
      </c>
    </row>
    <row r="1821">
      <c r="A1821" t="inlineStr">
        <is>
          <t>101463</t>
        </is>
      </c>
      <c r="B1821" t="inlineStr">
        <is>
          <t>ZURICH MINAS BRASIL SEGUROS S A</t>
        </is>
      </c>
      <c r="C1821" t="n">
        <v>2111000000</v>
      </c>
      <c r="D1821" t="inlineStr">
        <is>
          <t>Insurance</t>
        </is>
      </c>
      <c r="E1821" t="n">
        <v>5013302</v>
      </c>
      <c r="F1821" t="inlineStr">
        <is>
          <t>0302/26</t>
        </is>
      </c>
      <c r="G1821" t="inlineStr">
        <is>
          <t>RE</t>
        </is>
      </c>
      <c r="H1821" s="12" t="n">
        <v>-29.33</v>
      </c>
      <c r="I1821" s="17" t="n">
        <v>46225</v>
      </c>
      <c r="J1821" s="17" t="n">
        <v>46255</v>
      </c>
      <c r="K1821" t="inlineStr">
        <is>
          <t>Invoice Payment. SP: 20201</t>
        </is>
      </c>
    </row>
    <row r="1822">
      <c r="A1822" t="inlineStr">
        <is>
          <t>100883</t>
        </is>
      </c>
      <c r="B1822" t="inlineStr">
        <is>
          <t>QUELMAR TRANSPORTES LTDA</t>
        </is>
      </c>
      <c r="C1822" t="n">
        <v>2111000000</v>
      </c>
      <c r="D1822" t="inlineStr">
        <is>
          <t>Operational Suppliers (Wind Farms)</t>
        </is>
      </c>
      <c r="E1822" t="n">
        <v>5013307</v>
      </c>
      <c r="F1822" t="inlineStr">
        <is>
          <t>6199-2</t>
        </is>
      </c>
      <c r="G1822" t="inlineStr">
        <is>
          <t>RE</t>
        </is>
      </c>
      <c r="H1822" s="12" t="n">
        <v>-2980</v>
      </c>
      <c r="I1822" s="17" t="n">
        <v>46213</v>
      </c>
      <c r="J1822" s="17" t="n">
        <v>46270</v>
      </c>
      <c r="K1822" t="inlineStr">
        <is>
          <t>Fatura - bruto QUELMAR TRANSPORTES LTDA 6199-2</t>
        </is>
      </c>
    </row>
    <row r="1823">
      <c r="A1823" t="inlineStr">
        <is>
          <t>100883</t>
        </is>
      </c>
      <c r="B1823" t="inlineStr">
        <is>
          <t>QUELMAR TRANSPORTES LTDA</t>
        </is>
      </c>
      <c r="C1823" t="n">
        <v>2111000000</v>
      </c>
      <c r="D1823" t="inlineStr">
        <is>
          <t>Operational Suppliers (Wind Farms)</t>
        </is>
      </c>
      <c r="E1823" t="n">
        <v>5013308</v>
      </c>
      <c r="F1823" t="inlineStr">
        <is>
          <t>6203-2</t>
        </is>
      </c>
      <c r="G1823" t="inlineStr">
        <is>
          <t>RE</t>
        </is>
      </c>
      <c r="H1823" s="12" t="n">
        <v>-6990</v>
      </c>
      <c r="I1823" s="17" t="n">
        <v>46213</v>
      </c>
      <c r="J1823" s="17" t="n">
        <v>46270</v>
      </c>
      <c r="K1823" t="inlineStr">
        <is>
          <t>Fatura - bruto QUELMAR TRANSPORTES LTDA 6203-2</t>
        </is>
      </c>
    </row>
    <row r="1824">
      <c r="A1824" t="inlineStr">
        <is>
          <t>100621</t>
        </is>
      </c>
      <c r="B1824" t="inlineStr">
        <is>
          <t>CALTER ENGENHARIA LTDA</t>
        </is>
      </c>
      <c r="C1824" t="n">
        <v>2111000000</v>
      </c>
      <c r="D1824" t="inlineStr">
        <is>
          <t>Other Suppliers</t>
        </is>
      </c>
      <c r="E1824" t="n">
        <v>5013311</v>
      </c>
      <c r="F1824" t="inlineStr">
        <is>
          <t>38</t>
        </is>
      </c>
      <c r="G1824" t="inlineStr">
        <is>
          <t>RE</t>
        </is>
      </c>
      <c r="H1824" s="12" t="n">
        <v>-20142.43</v>
      </c>
      <c r="I1824" s="17" t="n">
        <v>46225</v>
      </c>
      <c r="J1824" s="17" t="n">
        <v>46270</v>
      </c>
      <c r="K1824" t="inlineStr">
        <is>
          <t>Fatura - bruto CALTER ENGENHARIA LTDA 38</t>
        </is>
      </c>
    </row>
    <row r="1825">
      <c r="A1825" t="inlineStr">
        <is>
          <t>100883</t>
        </is>
      </c>
      <c r="B1825" t="inlineStr">
        <is>
          <t>QUELMAR TRANSPORTES LTDA</t>
        </is>
      </c>
      <c r="C1825" t="n">
        <v>2111000000</v>
      </c>
      <c r="D1825" t="inlineStr">
        <is>
          <t>Operational Suppliers (Wind Farms)</t>
        </is>
      </c>
      <c r="E1825" t="n">
        <v>5013313</v>
      </c>
      <c r="F1825" t="inlineStr">
        <is>
          <t>6182-2</t>
        </is>
      </c>
      <c r="G1825" t="inlineStr">
        <is>
          <t>RE</t>
        </is>
      </c>
      <c r="H1825" s="12" t="n">
        <v>-10199.2</v>
      </c>
      <c r="I1825" s="17" t="n">
        <v>46209</v>
      </c>
      <c r="J1825" s="17" t="n">
        <v>46270</v>
      </c>
      <c r="K1825" t="inlineStr">
        <is>
          <t>Fatura - bruto QUELMAR TRANSPORTES LTDA 6182-2</t>
        </is>
      </c>
    </row>
    <row r="1826">
      <c r="A1826" t="inlineStr">
        <is>
          <t>100883</t>
        </is>
      </c>
      <c r="B1826" t="inlineStr">
        <is>
          <t>QUELMAR TRANSPORTES LTDA</t>
        </is>
      </c>
      <c r="C1826" t="n">
        <v>2111000000</v>
      </c>
      <c r="D1826" t="inlineStr">
        <is>
          <t>Operational Suppliers (Wind Farms)</t>
        </is>
      </c>
      <c r="E1826" t="n">
        <v>5013314</v>
      </c>
      <c r="F1826" t="inlineStr">
        <is>
          <t>6188-2</t>
        </is>
      </c>
      <c r="G1826" t="inlineStr">
        <is>
          <t>RE</t>
        </is>
      </c>
      <c r="H1826" s="12" t="n">
        <v>-980</v>
      </c>
      <c r="I1826" s="17" t="n">
        <v>46210</v>
      </c>
      <c r="J1826" s="17" t="n">
        <v>46270</v>
      </c>
      <c r="K1826" t="inlineStr">
        <is>
          <t>Fatura - bruto QUELMAR TRANSPORTES LTDA 6188-2</t>
        </is>
      </c>
    </row>
    <row r="1827">
      <c r="A1827" t="inlineStr">
        <is>
          <t>100883</t>
        </is>
      </c>
      <c r="B1827" t="inlineStr">
        <is>
          <t>QUELMAR TRANSPORTES LTDA</t>
        </is>
      </c>
      <c r="C1827" t="n">
        <v>2111000000</v>
      </c>
      <c r="D1827" t="inlineStr">
        <is>
          <t>Operational Suppliers (Wind Farms)</t>
        </is>
      </c>
      <c r="E1827" t="n">
        <v>5013315</v>
      </c>
      <c r="F1827" t="inlineStr">
        <is>
          <t>6189-2</t>
        </is>
      </c>
      <c r="G1827" t="inlineStr">
        <is>
          <t>RE</t>
        </is>
      </c>
      <c r="H1827" s="12" t="n">
        <v>-2980</v>
      </c>
      <c r="I1827" s="17" t="n">
        <v>46210</v>
      </c>
      <c r="J1827" s="17" t="n">
        <v>46270</v>
      </c>
      <c r="K1827" t="inlineStr">
        <is>
          <t>Fatura - bruto QUELMAR TRANSPORTES LTDA 6189-2</t>
        </is>
      </c>
    </row>
    <row r="1828">
      <c r="A1828" t="inlineStr">
        <is>
          <t>100883</t>
        </is>
      </c>
      <c r="B1828" t="inlineStr">
        <is>
          <t>QUELMAR TRANSPORTES LTDA</t>
        </is>
      </c>
      <c r="C1828" t="n">
        <v>2111000000</v>
      </c>
      <c r="D1828" t="inlineStr">
        <is>
          <t>Operational Suppliers (Wind Farms)</t>
        </is>
      </c>
      <c r="E1828" t="n">
        <v>5013316</v>
      </c>
      <c r="F1828" t="inlineStr">
        <is>
          <t>6202-2</t>
        </is>
      </c>
      <c r="G1828" t="inlineStr">
        <is>
          <t>RE</t>
        </is>
      </c>
      <c r="H1828" s="12" t="n">
        <v>-2250</v>
      </c>
      <c r="I1828" s="17" t="n">
        <v>46213</v>
      </c>
      <c r="J1828" s="17" t="n">
        <v>46270</v>
      </c>
      <c r="K1828" t="inlineStr">
        <is>
          <t>Fatura - bruto QUELMAR TRANSPORTES LTDA 6202-2</t>
        </is>
      </c>
    </row>
    <row r="1829">
      <c r="A1829" t="inlineStr">
        <is>
          <t>100883</t>
        </is>
      </c>
      <c r="B1829" t="inlineStr">
        <is>
          <t>QUELMAR TRANSPORTES LTDA</t>
        </is>
      </c>
      <c r="C1829" t="n">
        <v>2111000000</v>
      </c>
      <c r="D1829" t="inlineStr">
        <is>
          <t>Operational Suppliers (Wind Farms)</t>
        </is>
      </c>
      <c r="E1829" t="n">
        <v>5013317</v>
      </c>
      <c r="F1829" t="inlineStr">
        <is>
          <t>6214-2</t>
        </is>
      </c>
      <c r="G1829" t="inlineStr">
        <is>
          <t>RE</t>
        </is>
      </c>
      <c r="H1829" s="12" t="n">
        <v>-1380</v>
      </c>
      <c r="I1829" s="17" t="n">
        <v>46216</v>
      </c>
      <c r="J1829" s="17" t="n">
        <v>46270</v>
      </c>
      <c r="K1829" t="inlineStr">
        <is>
          <t>Fatura - bruto QUELMAR TRANSPORTES LTDA 6214-2</t>
        </is>
      </c>
    </row>
    <row r="1830">
      <c r="A1830" t="inlineStr">
        <is>
          <t>100883</t>
        </is>
      </c>
      <c r="B1830" t="inlineStr">
        <is>
          <t>QUELMAR TRANSPORTES LTDA</t>
        </is>
      </c>
      <c r="C1830" t="n">
        <v>2111000000</v>
      </c>
      <c r="D1830" t="inlineStr">
        <is>
          <t>Operational Suppliers (Wind Farms)</t>
        </is>
      </c>
      <c r="E1830" t="n">
        <v>5013318</v>
      </c>
      <c r="F1830" t="inlineStr">
        <is>
          <t>6227-2</t>
        </is>
      </c>
      <c r="G1830" t="inlineStr">
        <is>
          <t>RE</t>
        </is>
      </c>
      <c r="H1830" s="12" t="n">
        <v>-3835.92</v>
      </c>
      <c r="I1830" s="17" t="n">
        <v>46217</v>
      </c>
      <c r="J1830" s="17" t="n">
        <v>46270</v>
      </c>
      <c r="K1830" t="inlineStr">
        <is>
          <t>Fatura - bruto QUELMAR TRANSPORTES LTDA 6227-2</t>
        </is>
      </c>
    </row>
    <row r="1831">
      <c r="A1831" t="inlineStr">
        <is>
          <t>100883</t>
        </is>
      </c>
      <c r="B1831" t="inlineStr">
        <is>
          <t>QUELMAR TRANSPORTES LTDA</t>
        </is>
      </c>
      <c r="C1831" t="n">
        <v>2111000000</v>
      </c>
      <c r="D1831" t="inlineStr">
        <is>
          <t>Operational Suppliers (Wind Farms)</t>
        </is>
      </c>
      <c r="E1831" t="n">
        <v>5013322</v>
      </c>
      <c r="F1831" t="inlineStr">
        <is>
          <t>6215-2</t>
        </is>
      </c>
      <c r="G1831" t="inlineStr">
        <is>
          <t>RE</t>
        </is>
      </c>
      <c r="H1831" s="12" t="n">
        <v>-1059</v>
      </c>
      <c r="I1831" s="17" t="n">
        <v>46216</v>
      </c>
      <c r="J1831" s="17" t="n">
        <v>46270</v>
      </c>
      <c r="K1831" t="inlineStr">
        <is>
          <t>Fatura - bruto QUELMAR TRANSPORTES LTDA 6215-2</t>
        </is>
      </c>
    </row>
    <row r="1832">
      <c r="A1832" t="inlineStr">
        <is>
          <t>100883</t>
        </is>
      </c>
      <c r="B1832" t="inlineStr">
        <is>
          <t>QUELMAR TRANSPORTES LTDA</t>
        </is>
      </c>
      <c r="C1832" t="n">
        <v>2111000000</v>
      </c>
      <c r="D1832" t="inlineStr">
        <is>
          <t>Operational Suppliers (Wind Farms)</t>
        </is>
      </c>
      <c r="E1832" t="n">
        <v>5013323</v>
      </c>
      <c r="F1832" t="inlineStr">
        <is>
          <t>6216-2</t>
        </is>
      </c>
      <c r="G1832" t="inlineStr">
        <is>
          <t>RE</t>
        </is>
      </c>
      <c r="H1832" s="12" t="n">
        <v>-5950</v>
      </c>
      <c r="I1832" s="17" t="n">
        <v>46216</v>
      </c>
      <c r="J1832" s="17" t="n">
        <v>46270</v>
      </c>
      <c r="K1832" t="inlineStr">
        <is>
          <t>Fatura - bruto QUELMAR TRANSPORTES LTDA 6216-2</t>
        </is>
      </c>
    </row>
    <row r="1833">
      <c r="A1833" t="inlineStr">
        <is>
          <t>100883</t>
        </is>
      </c>
      <c r="B1833" t="inlineStr">
        <is>
          <t>QUELMAR TRANSPORTES LTDA</t>
        </is>
      </c>
      <c r="C1833" t="n">
        <v>2111000000</v>
      </c>
      <c r="D1833" t="inlineStr">
        <is>
          <t>Operational Suppliers (Wind Farms)</t>
        </is>
      </c>
      <c r="E1833" t="n">
        <v>5013324</v>
      </c>
      <c r="F1833" t="inlineStr">
        <is>
          <t>6217-2</t>
        </is>
      </c>
      <c r="G1833" t="inlineStr">
        <is>
          <t>RE</t>
        </is>
      </c>
      <c r="H1833" s="12" t="n">
        <v>-817</v>
      </c>
      <c r="I1833" s="17" t="n">
        <v>46216</v>
      </c>
      <c r="J1833" s="17" t="n">
        <v>46270</v>
      </c>
      <c r="K1833" t="inlineStr">
        <is>
          <t>Fatura - bruto QUELMAR TRANSPORTES LTDA 6217-2</t>
        </is>
      </c>
    </row>
    <row r="1834">
      <c r="A1834" t="inlineStr">
        <is>
          <t>100883</t>
        </is>
      </c>
      <c r="B1834" t="inlineStr">
        <is>
          <t>QUELMAR TRANSPORTES LTDA</t>
        </is>
      </c>
      <c r="C1834" t="n">
        <v>2111000000</v>
      </c>
      <c r="D1834" t="inlineStr">
        <is>
          <t>Operational Suppliers (Wind Farms)</t>
        </is>
      </c>
      <c r="E1834" t="n">
        <v>5013325</v>
      </c>
      <c r="F1834" t="inlineStr">
        <is>
          <t>6218-2</t>
        </is>
      </c>
      <c r="G1834" t="inlineStr">
        <is>
          <t>RE</t>
        </is>
      </c>
      <c r="H1834" s="12" t="n">
        <v>-2990</v>
      </c>
      <c r="I1834" s="17" t="n">
        <v>46216</v>
      </c>
      <c r="J1834" s="17" t="n">
        <v>46270</v>
      </c>
      <c r="K1834" t="inlineStr">
        <is>
          <t>Fatura - bruto QUELMAR TRANSPORTES LTDA 6218-2</t>
        </is>
      </c>
    </row>
    <row r="1835">
      <c r="A1835" t="inlineStr">
        <is>
          <t>101463</t>
        </is>
      </c>
      <c r="B1835" t="inlineStr">
        <is>
          <t>ZURICH MINAS BRASIL SEGUROS S A</t>
        </is>
      </c>
      <c r="C1835" t="n">
        <v>2111000000</v>
      </c>
      <c r="D1835" t="inlineStr">
        <is>
          <t>Insurance</t>
        </is>
      </c>
      <c r="E1835" t="n">
        <v>5013332</v>
      </c>
      <c r="F1835" t="inlineStr">
        <is>
          <t>0282/26</t>
        </is>
      </c>
      <c r="G1835" t="inlineStr">
        <is>
          <t>RE</t>
        </is>
      </c>
      <c r="H1835" s="12" t="n">
        <v>-968.35</v>
      </c>
      <c r="I1835" s="17" t="n">
        <v>46226</v>
      </c>
      <c r="J1835" s="17" t="n">
        <v>46256</v>
      </c>
      <c r="K1835" t="inlineStr">
        <is>
          <t>Invoice Payment. SP: 20218</t>
        </is>
      </c>
    </row>
    <row r="1836">
      <c r="A1836" t="inlineStr">
        <is>
          <t>104143</t>
        </is>
      </c>
      <c r="B1836" t="inlineStr">
        <is>
          <t>H K ABDOUNI INSPECOES LTDA 10620234000195</t>
        </is>
      </c>
      <c r="C1836" t="n">
        <v>2111000000</v>
      </c>
      <c r="D1836" t="inlineStr">
        <is>
          <t>Other Suppliers</t>
        </is>
      </c>
      <c r="E1836" t="n">
        <v>5013334</v>
      </c>
      <c r="F1836" t="inlineStr">
        <is>
          <t>360</t>
        </is>
      </c>
      <c r="G1836" t="inlineStr">
        <is>
          <t>RE</t>
        </is>
      </c>
      <c r="H1836" s="12" t="n">
        <v>-40832.19</v>
      </c>
      <c r="I1836" s="17" t="n">
        <v>46225</v>
      </c>
      <c r="J1836" s="17" t="n">
        <v>46302</v>
      </c>
      <c r="K1836" t="inlineStr">
        <is>
          <t>Fatura - bruto H K ABDOUNI INSPECOES LTDA 10620234</t>
        </is>
      </c>
    </row>
    <row r="1837">
      <c r="A1837" t="inlineStr">
        <is>
          <t>104143</t>
        </is>
      </c>
      <c r="B1837" t="inlineStr">
        <is>
          <t>H K ABDOUNI INSPECOES LTDA 10620234000195</t>
        </is>
      </c>
      <c r="C1837" t="n">
        <v>2111000000</v>
      </c>
      <c r="D1837" t="inlineStr">
        <is>
          <t>Other Suppliers</t>
        </is>
      </c>
      <c r="E1837" t="n">
        <v>5013335</v>
      </c>
      <c r="F1837" t="inlineStr">
        <is>
          <t>361</t>
        </is>
      </c>
      <c r="G1837" t="inlineStr">
        <is>
          <t>RE</t>
        </is>
      </c>
      <c r="H1837" s="12" t="n">
        <v>-99377.64</v>
      </c>
      <c r="I1837" s="17" t="n">
        <v>46225</v>
      </c>
      <c r="J1837" s="17" t="n">
        <v>46302</v>
      </c>
      <c r="K1837" t="inlineStr">
        <is>
          <t>Fatura - bruto H K ABDOUNI INSPECOES LTDA 10620234</t>
        </is>
      </c>
    </row>
    <row r="1838">
      <c r="A1838" t="inlineStr">
        <is>
          <t>104143</t>
        </is>
      </c>
      <c r="B1838" t="inlineStr">
        <is>
          <t>H K ABDOUNI INSPECOES LTDA 10620234000195</t>
        </is>
      </c>
      <c r="C1838" t="n">
        <v>2111000000</v>
      </c>
      <c r="D1838" t="inlineStr">
        <is>
          <t>Other Suppliers</t>
        </is>
      </c>
      <c r="E1838" t="n">
        <v>5013336</v>
      </c>
      <c r="F1838" t="inlineStr">
        <is>
          <t>359</t>
        </is>
      </c>
      <c r="G1838" t="inlineStr">
        <is>
          <t>RE</t>
        </is>
      </c>
      <c r="H1838" s="12" t="n">
        <v>-30637.44</v>
      </c>
      <c r="I1838" s="17" t="n">
        <v>46225</v>
      </c>
      <c r="J1838" s="17" t="n">
        <v>46302</v>
      </c>
      <c r="K1838" t="inlineStr">
        <is>
          <t>Fatura - bruto H K ABDOUNI INSPECOES LTDA 10620234</t>
        </is>
      </c>
    </row>
    <row r="1839">
      <c r="A1839" t="inlineStr">
        <is>
          <t>101463</t>
        </is>
      </c>
      <c r="B1839" t="inlineStr">
        <is>
          <t>ZURICH MINAS BRASIL SEGUROS S A</t>
        </is>
      </c>
      <c r="C1839" t="n">
        <v>2111000000</v>
      </c>
      <c r="D1839" t="inlineStr">
        <is>
          <t>Insurance</t>
        </is>
      </c>
      <c r="E1839" t="n">
        <v>5013339</v>
      </c>
      <c r="F1839" t="inlineStr">
        <is>
          <t>0356/26</t>
        </is>
      </c>
      <c r="G1839" t="inlineStr">
        <is>
          <t>RE</t>
        </is>
      </c>
      <c r="H1839" s="12" t="n">
        <v>-32372.73</v>
      </c>
      <c r="I1839" s="17" t="n">
        <v>46226</v>
      </c>
      <c r="J1839" s="17" t="n">
        <v>46256</v>
      </c>
      <c r="K1839" t="inlineStr">
        <is>
          <t>Invoice Payment. SP: 20220</t>
        </is>
      </c>
    </row>
    <row r="1840">
      <c r="A1840" t="inlineStr">
        <is>
          <t>101463</t>
        </is>
      </c>
      <c r="B1840" t="inlineStr">
        <is>
          <t>ZURICH MINAS BRASIL SEGUROS S A</t>
        </is>
      </c>
      <c r="C1840" t="n">
        <v>2111000000</v>
      </c>
      <c r="D1840" t="inlineStr">
        <is>
          <t>Insurance</t>
        </is>
      </c>
      <c r="E1840" t="n">
        <v>5013340</v>
      </c>
      <c r="F1840" t="inlineStr">
        <is>
          <t>0405/26</t>
        </is>
      </c>
      <c r="G1840" t="inlineStr">
        <is>
          <t>RE</t>
        </is>
      </c>
      <c r="H1840" s="12" t="n">
        <v>-194.71</v>
      </c>
      <c r="I1840" s="17" t="n">
        <v>46226</v>
      </c>
      <c r="J1840" s="17" t="n">
        <v>46256</v>
      </c>
      <c r="K1840" t="inlineStr">
        <is>
          <t>Invoice Payment. SP: 20248</t>
        </is>
      </c>
    </row>
    <row r="1841">
      <c r="A1841" t="inlineStr">
        <is>
          <t>101463</t>
        </is>
      </c>
      <c r="B1841" t="inlineStr">
        <is>
          <t>ZURICH MINAS BRASIL SEGUROS S A</t>
        </is>
      </c>
      <c r="C1841" t="n">
        <v>2111000000</v>
      </c>
      <c r="D1841" t="inlineStr">
        <is>
          <t>Insurance</t>
        </is>
      </c>
      <c r="E1841" t="n">
        <v>5013343</v>
      </c>
      <c r="F1841" t="inlineStr">
        <is>
          <t>0318/26</t>
        </is>
      </c>
      <c r="G1841" t="inlineStr">
        <is>
          <t>RE</t>
        </is>
      </c>
      <c r="H1841" s="12" t="n">
        <v>-321.14</v>
      </c>
      <c r="I1841" s="17" t="n">
        <v>46226</v>
      </c>
      <c r="J1841" s="17" t="n">
        <v>46256</v>
      </c>
      <c r="K1841" t="inlineStr">
        <is>
          <t>Invoice Payment. SP: 20265</t>
        </is>
      </c>
    </row>
    <row r="1842">
      <c r="A1842" t="inlineStr">
        <is>
          <t>101463</t>
        </is>
      </c>
      <c r="B1842" t="inlineStr">
        <is>
          <t>ZURICH MINAS BRASIL SEGUROS S A</t>
        </is>
      </c>
      <c r="C1842" t="n">
        <v>2111000000</v>
      </c>
      <c r="D1842" t="inlineStr">
        <is>
          <t>Insurance</t>
        </is>
      </c>
      <c r="E1842" t="n">
        <v>5013344</v>
      </c>
      <c r="F1842" t="inlineStr">
        <is>
          <t>0362/26</t>
        </is>
      </c>
      <c r="G1842" t="inlineStr">
        <is>
          <t>RE</t>
        </is>
      </c>
      <c r="H1842" s="12" t="n">
        <v>-311.09</v>
      </c>
      <c r="I1842" s="17" t="n">
        <v>46226</v>
      </c>
      <c r="J1842" s="17" t="n">
        <v>46256</v>
      </c>
      <c r="K1842" t="inlineStr">
        <is>
          <t>Invoice Payment. SP: 20300</t>
        </is>
      </c>
    </row>
    <row r="1843">
      <c r="A1843" t="inlineStr">
        <is>
          <t>101463</t>
        </is>
      </c>
      <c r="B1843" t="inlineStr">
        <is>
          <t>ZURICH MINAS BRASIL SEGUROS S A</t>
        </is>
      </c>
      <c r="C1843" t="n">
        <v>2111000000</v>
      </c>
      <c r="D1843" t="inlineStr">
        <is>
          <t>Insurance</t>
        </is>
      </c>
      <c r="E1843" t="n">
        <v>5013351</v>
      </c>
      <c r="F1843" t="inlineStr">
        <is>
          <t>0363/26</t>
        </is>
      </c>
      <c r="G1843" t="inlineStr">
        <is>
          <t>RE</t>
        </is>
      </c>
      <c r="H1843" s="12" t="n">
        <v>-0.83</v>
      </c>
      <c r="I1843" s="17" t="n">
        <v>46226</v>
      </c>
      <c r="J1843" s="17" t="n">
        <v>46256</v>
      </c>
      <c r="K1843" t="inlineStr">
        <is>
          <t>Invoice Payment. SP: 20260</t>
        </is>
      </c>
    </row>
    <row r="1844">
      <c r="A1844" t="inlineStr">
        <is>
          <t>101463</t>
        </is>
      </c>
      <c r="B1844" t="inlineStr">
        <is>
          <t>ZURICH MINAS BRASIL SEGUROS S A</t>
        </is>
      </c>
      <c r="C1844" t="n">
        <v>2111000000</v>
      </c>
      <c r="D1844" t="inlineStr">
        <is>
          <t>Insurance</t>
        </is>
      </c>
      <c r="E1844" t="n">
        <v>5013353</v>
      </c>
      <c r="F1844" t="inlineStr">
        <is>
          <t>0400/26</t>
        </is>
      </c>
      <c r="G1844" t="inlineStr">
        <is>
          <t>RE</t>
        </is>
      </c>
      <c r="H1844" s="12" t="n">
        <v>-287.22</v>
      </c>
      <c r="I1844" s="17" t="n">
        <v>46226</v>
      </c>
      <c r="J1844" s="17" t="n">
        <v>46256</v>
      </c>
      <c r="K1844" t="inlineStr">
        <is>
          <t>Invoice Payment. SP: 20246</t>
        </is>
      </c>
    </row>
    <row r="1845">
      <c r="A1845" t="inlineStr">
        <is>
          <t>101463</t>
        </is>
      </c>
      <c r="B1845" t="inlineStr">
        <is>
          <t>ZURICH MINAS BRASIL SEGUROS S A</t>
        </is>
      </c>
      <c r="C1845" t="n">
        <v>2111000000</v>
      </c>
      <c r="D1845" t="inlineStr">
        <is>
          <t>Insurance</t>
        </is>
      </c>
      <c r="E1845" t="n">
        <v>5013354</v>
      </c>
      <c r="F1845" t="inlineStr">
        <is>
          <t>0439/26</t>
        </is>
      </c>
      <c r="G1845" t="inlineStr">
        <is>
          <t>RE</t>
        </is>
      </c>
      <c r="H1845" s="12" t="n">
        <v>-641.76</v>
      </c>
      <c r="I1845" s="17" t="n">
        <v>46226</v>
      </c>
      <c r="J1845" s="17" t="n">
        <v>46256</v>
      </c>
      <c r="K1845" t="inlineStr">
        <is>
          <t>Invoice Payment. SP: 20278</t>
        </is>
      </c>
    </row>
    <row r="1846">
      <c r="A1846" t="inlineStr">
        <is>
          <t>101463</t>
        </is>
      </c>
      <c r="B1846" t="inlineStr">
        <is>
          <t>ZURICH MINAS BRASIL SEGUROS S A</t>
        </is>
      </c>
      <c r="C1846" t="n">
        <v>2111000000</v>
      </c>
      <c r="D1846" t="inlineStr">
        <is>
          <t>Insurance</t>
        </is>
      </c>
      <c r="E1846" t="n">
        <v>5013355</v>
      </c>
      <c r="F1846" t="inlineStr">
        <is>
          <t>0355/26</t>
        </is>
      </c>
      <c r="G1846" t="inlineStr">
        <is>
          <t>RE</t>
        </is>
      </c>
      <c r="H1846" s="12" t="n">
        <v>-5325.1</v>
      </c>
      <c r="I1846" s="17" t="n">
        <v>46226</v>
      </c>
      <c r="J1846" s="17" t="n">
        <v>46256</v>
      </c>
      <c r="K1846" t="inlineStr">
        <is>
          <t>Invoice Payment. SP: 20298</t>
        </is>
      </c>
    </row>
    <row r="1847">
      <c r="A1847" t="inlineStr">
        <is>
          <t>101463</t>
        </is>
      </c>
      <c r="B1847" t="inlineStr">
        <is>
          <t>ZURICH MINAS BRASIL SEGUROS S A</t>
        </is>
      </c>
      <c r="C1847" t="n">
        <v>2111000000</v>
      </c>
      <c r="D1847" t="inlineStr">
        <is>
          <t>Insurance</t>
        </is>
      </c>
      <c r="E1847" t="n">
        <v>5013357</v>
      </c>
      <c r="F1847" t="inlineStr">
        <is>
          <t>0379/26</t>
        </is>
      </c>
      <c r="G1847" t="inlineStr">
        <is>
          <t>RE</t>
        </is>
      </c>
      <c r="H1847" s="12" t="n">
        <v>-0.29</v>
      </c>
      <c r="I1847" s="17" t="n">
        <v>46226</v>
      </c>
      <c r="J1847" s="17" t="n">
        <v>46256</v>
      </c>
      <c r="K1847" t="inlineStr">
        <is>
          <t>Invoice Payment. SP: 20240</t>
        </is>
      </c>
    </row>
    <row r="1848">
      <c r="A1848" t="inlineStr">
        <is>
          <t>101463</t>
        </is>
      </c>
      <c r="B1848" t="inlineStr">
        <is>
          <t>ZURICH MINAS BRASIL SEGUROS S A</t>
        </is>
      </c>
      <c r="C1848" t="n">
        <v>2111000000</v>
      </c>
      <c r="D1848" t="inlineStr">
        <is>
          <t>Insurance</t>
        </is>
      </c>
      <c r="E1848" t="n">
        <v>5013364</v>
      </c>
      <c r="F1848" t="inlineStr">
        <is>
          <t>0395/26</t>
        </is>
      </c>
      <c r="G1848" t="inlineStr">
        <is>
          <t>RE</t>
        </is>
      </c>
      <c r="H1848" s="12" t="n">
        <v>-0.12</v>
      </c>
      <c r="I1848" s="17" t="n">
        <v>46226</v>
      </c>
      <c r="J1848" s="17" t="n">
        <v>46256</v>
      </c>
      <c r="K1848" t="inlineStr">
        <is>
          <t>Invoice Payment. SP: 20242</t>
        </is>
      </c>
    </row>
    <row r="1849">
      <c r="A1849" t="inlineStr">
        <is>
          <t>101463</t>
        </is>
      </c>
      <c r="B1849" t="inlineStr">
        <is>
          <t>ZURICH MINAS BRASIL SEGUROS S A</t>
        </is>
      </c>
      <c r="C1849" t="n">
        <v>2111000000</v>
      </c>
      <c r="D1849" t="inlineStr">
        <is>
          <t>Insurance</t>
        </is>
      </c>
      <c r="E1849" t="n">
        <v>5013365</v>
      </c>
      <c r="F1849" t="inlineStr">
        <is>
          <t>0438/26</t>
        </is>
      </c>
      <c r="G1849" t="inlineStr">
        <is>
          <t>RE</t>
        </is>
      </c>
      <c r="H1849" s="12" t="n">
        <v>-125.17</v>
      </c>
      <c r="I1849" s="17" t="n">
        <v>46226</v>
      </c>
      <c r="J1849" s="17" t="n">
        <v>46256</v>
      </c>
      <c r="K1849" t="inlineStr">
        <is>
          <t>Invoice Payment. SP: 20271</t>
        </is>
      </c>
    </row>
    <row r="1850">
      <c r="A1850" t="inlineStr">
        <is>
          <t>101463</t>
        </is>
      </c>
      <c r="B1850" t="inlineStr">
        <is>
          <t>ZURICH MINAS BRASIL SEGUROS S A</t>
        </is>
      </c>
      <c r="C1850" t="n">
        <v>2111000000</v>
      </c>
      <c r="D1850" t="inlineStr">
        <is>
          <t>Insurance</t>
        </is>
      </c>
      <c r="E1850" t="n">
        <v>5013366</v>
      </c>
      <c r="F1850" t="inlineStr">
        <is>
          <t>0416/26</t>
        </is>
      </c>
      <c r="G1850" t="inlineStr">
        <is>
          <t>RE</t>
        </is>
      </c>
      <c r="H1850" s="12" t="n">
        <v>-52.31</v>
      </c>
      <c r="I1850" s="17" t="n">
        <v>46226</v>
      </c>
      <c r="J1850" s="17" t="n">
        <v>46256</v>
      </c>
      <c r="K1850" t="inlineStr">
        <is>
          <t>Invoice Payment. SP: 20244</t>
        </is>
      </c>
    </row>
    <row r="1851">
      <c r="A1851" t="inlineStr">
        <is>
          <t>101463</t>
        </is>
      </c>
      <c r="B1851" t="inlineStr">
        <is>
          <t>ZURICH MINAS BRASIL SEGUROS S A</t>
        </is>
      </c>
      <c r="C1851" t="n">
        <v>2111000000</v>
      </c>
      <c r="D1851" t="inlineStr">
        <is>
          <t>Insurance</t>
        </is>
      </c>
      <c r="E1851" t="n">
        <v>5013368</v>
      </c>
      <c r="F1851" t="inlineStr">
        <is>
          <t>0384/26</t>
        </is>
      </c>
      <c r="G1851" t="inlineStr">
        <is>
          <t>RE</t>
        </is>
      </c>
      <c r="H1851" s="12" t="n">
        <v>-848.04</v>
      </c>
      <c r="I1851" s="17" t="n">
        <v>46226</v>
      </c>
      <c r="J1851" s="17" t="n">
        <v>46256</v>
      </c>
      <c r="K1851" t="inlineStr">
        <is>
          <t>Invoice Payment. SP: 20269</t>
        </is>
      </c>
    </row>
    <row r="1852">
      <c r="A1852" t="inlineStr">
        <is>
          <t>101463</t>
        </is>
      </c>
      <c r="B1852" t="inlineStr">
        <is>
          <t>ZURICH MINAS BRASIL SEGUROS S A</t>
        </is>
      </c>
      <c r="C1852" t="n">
        <v>2111000000</v>
      </c>
      <c r="D1852" t="inlineStr">
        <is>
          <t>Insurance</t>
        </is>
      </c>
      <c r="E1852" t="n">
        <v>5013369</v>
      </c>
      <c r="F1852" t="inlineStr">
        <is>
          <t>0387/26</t>
        </is>
      </c>
      <c r="G1852" t="inlineStr">
        <is>
          <t>RE</t>
        </is>
      </c>
      <c r="H1852" s="12" t="n">
        <v>-608.48</v>
      </c>
      <c r="I1852" s="17" t="n">
        <v>46226</v>
      </c>
      <c r="J1852" s="17" t="n">
        <v>46256</v>
      </c>
      <c r="K1852" t="inlineStr">
        <is>
          <t>Invoice Payment. SP: 20267</t>
        </is>
      </c>
    </row>
    <row r="1853">
      <c r="A1853" t="inlineStr">
        <is>
          <t>101463</t>
        </is>
      </c>
      <c r="B1853" t="inlineStr">
        <is>
          <t>ZURICH MINAS BRASIL SEGUROS S A</t>
        </is>
      </c>
      <c r="C1853" t="n">
        <v>2111000000</v>
      </c>
      <c r="D1853" t="inlineStr">
        <is>
          <t>Insurance</t>
        </is>
      </c>
      <c r="E1853" t="n">
        <v>5013370</v>
      </c>
      <c r="F1853" t="inlineStr">
        <is>
          <t>0394/26</t>
        </is>
      </c>
      <c r="G1853" t="inlineStr">
        <is>
          <t>RE</t>
        </is>
      </c>
      <c r="H1853" s="12" t="n">
        <v>-778.66</v>
      </c>
      <c r="I1853" s="17" t="n">
        <v>46226</v>
      </c>
      <c r="J1853" s="17" t="n">
        <v>46256</v>
      </c>
      <c r="K1853" t="inlineStr">
        <is>
          <t>Invoice Payment. SP: 20258</t>
        </is>
      </c>
    </row>
    <row r="1854">
      <c r="A1854" t="inlineStr">
        <is>
          <t>101463</t>
        </is>
      </c>
      <c r="B1854" t="inlineStr">
        <is>
          <t>ZURICH MINAS BRASIL SEGUROS S A</t>
        </is>
      </c>
      <c r="C1854" t="n">
        <v>2111000000</v>
      </c>
      <c r="D1854" t="inlineStr">
        <is>
          <t>Insurance</t>
        </is>
      </c>
      <c r="E1854" t="n">
        <v>5013371</v>
      </c>
      <c r="F1854" t="inlineStr">
        <is>
          <t>0356/26E</t>
        </is>
      </c>
      <c r="G1854" t="inlineStr">
        <is>
          <t>RE</t>
        </is>
      </c>
      <c r="H1854" s="12" t="n">
        <v>-346.17</v>
      </c>
      <c r="I1854" s="17" t="n">
        <v>46226</v>
      </c>
      <c r="J1854" s="17" t="n">
        <v>46226</v>
      </c>
      <c r="K1854" t="inlineStr">
        <is>
          <t>Invoice Payment. SP: 20239</t>
        </is>
      </c>
    </row>
    <row r="1855">
      <c r="A1855" t="inlineStr">
        <is>
          <t>100883</t>
        </is>
      </c>
      <c r="B1855" t="inlineStr">
        <is>
          <t>QUELMAR TRANSPORTES LTDA</t>
        </is>
      </c>
      <c r="C1855" t="n">
        <v>2111000000</v>
      </c>
      <c r="D1855" t="inlineStr">
        <is>
          <t>Operational Suppliers (Wind Farms)</t>
        </is>
      </c>
      <c r="E1855" t="n">
        <v>5013374</v>
      </c>
      <c r="F1855" t="inlineStr">
        <is>
          <t>6178-2</t>
        </is>
      </c>
      <c r="G1855" t="inlineStr">
        <is>
          <t>RE</t>
        </is>
      </c>
      <c r="H1855" s="12" t="n">
        <v>-2980</v>
      </c>
      <c r="I1855" s="17" t="n">
        <v>46206</v>
      </c>
      <c r="J1855" s="17" t="n">
        <v>46270</v>
      </c>
      <c r="K1855" t="inlineStr">
        <is>
          <t>Fatura - bruto QUELMAR TRANSPORTES LTDA 6178-2</t>
        </is>
      </c>
    </row>
    <row r="1856">
      <c r="A1856" t="inlineStr">
        <is>
          <t>100883</t>
        </is>
      </c>
      <c r="B1856" t="inlineStr">
        <is>
          <t>QUELMAR TRANSPORTES LTDA</t>
        </is>
      </c>
      <c r="C1856" t="n">
        <v>2111000000</v>
      </c>
      <c r="D1856" t="inlineStr">
        <is>
          <t>Operational Suppliers (Wind Farms)</t>
        </is>
      </c>
      <c r="E1856" t="n">
        <v>5013375</v>
      </c>
      <c r="F1856" t="inlineStr">
        <is>
          <t>6179-2</t>
        </is>
      </c>
      <c r="G1856" t="inlineStr">
        <is>
          <t>RE</t>
        </is>
      </c>
      <c r="H1856" s="12" t="n">
        <v>-5795</v>
      </c>
      <c r="I1856" s="17" t="n">
        <v>46206</v>
      </c>
      <c r="J1856" s="17" t="n">
        <v>46270</v>
      </c>
      <c r="K1856" t="inlineStr">
        <is>
          <t>Fatura - bruto QUELMAR TRANSPORTES LTDA 6179-2</t>
        </is>
      </c>
    </row>
    <row r="1857">
      <c r="A1857" t="inlineStr">
        <is>
          <t>100883</t>
        </is>
      </c>
      <c r="B1857" t="inlineStr">
        <is>
          <t>QUELMAR TRANSPORTES LTDA</t>
        </is>
      </c>
      <c r="C1857" t="n">
        <v>2111000000</v>
      </c>
      <c r="D1857" t="inlineStr">
        <is>
          <t>Operational Suppliers (Wind Farms)</t>
        </is>
      </c>
      <c r="E1857" t="n">
        <v>5013376</v>
      </c>
      <c r="F1857" t="inlineStr">
        <is>
          <t>6198-2</t>
        </is>
      </c>
      <c r="G1857" t="inlineStr">
        <is>
          <t>RE</t>
        </is>
      </c>
      <c r="H1857" s="12" t="n">
        <v>-5790</v>
      </c>
      <c r="I1857" s="17" t="n">
        <v>46213</v>
      </c>
      <c r="J1857" s="17" t="n">
        <v>46270</v>
      </c>
      <c r="K1857" t="inlineStr">
        <is>
          <t>Fatura - bruto QUELMAR TRANSPORTES LTDA 6198-2</t>
        </is>
      </c>
    </row>
    <row r="1858">
      <c r="A1858" t="inlineStr">
        <is>
          <t>100883</t>
        </is>
      </c>
      <c r="B1858" t="inlineStr">
        <is>
          <t>QUELMAR TRANSPORTES LTDA</t>
        </is>
      </c>
      <c r="C1858" t="n">
        <v>2111000000</v>
      </c>
      <c r="D1858" t="inlineStr">
        <is>
          <t>Operational Suppliers (Wind Farms)</t>
        </is>
      </c>
      <c r="E1858" t="n">
        <v>5013377</v>
      </c>
      <c r="F1858" t="inlineStr">
        <is>
          <t>6211-2</t>
        </is>
      </c>
      <c r="G1858" t="inlineStr">
        <is>
          <t>RE</t>
        </is>
      </c>
      <c r="H1858" s="12" t="n">
        <v>-3750</v>
      </c>
      <c r="I1858" s="17" t="n">
        <v>46216</v>
      </c>
      <c r="J1858" s="17" t="n">
        <v>46270</v>
      </c>
      <c r="K1858" t="inlineStr">
        <is>
          <t>Fatura - bruto QUELMAR TRANSPORTES LTDA 6211-2</t>
        </is>
      </c>
    </row>
    <row r="1859">
      <c r="A1859" t="inlineStr">
        <is>
          <t>101463</t>
        </is>
      </c>
      <c r="B1859" t="inlineStr">
        <is>
          <t>ZURICH MINAS BRASIL SEGUROS S A</t>
        </is>
      </c>
      <c r="C1859" t="n">
        <v>2111000000</v>
      </c>
      <c r="D1859" t="inlineStr">
        <is>
          <t>Insurance</t>
        </is>
      </c>
      <c r="E1859" t="n">
        <v>5013392</v>
      </c>
      <c r="F1859" t="inlineStr">
        <is>
          <t>0193/26</t>
        </is>
      </c>
      <c r="G1859" t="inlineStr">
        <is>
          <t>RE</t>
        </is>
      </c>
      <c r="H1859" s="12" t="n">
        <v>-3302.94</v>
      </c>
      <c r="I1859" s="17" t="n">
        <v>46226</v>
      </c>
      <c r="J1859" s="17" t="n">
        <v>46256</v>
      </c>
      <c r="K1859" t="inlineStr">
        <is>
          <t>Invoice Payment. SP: 20338</t>
        </is>
      </c>
    </row>
    <row r="1860">
      <c r="A1860" t="inlineStr">
        <is>
          <t>101463</t>
        </is>
      </c>
      <c r="B1860" t="inlineStr">
        <is>
          <t>ZURICH MINAS BRASIL SEGUROS S A</t>
        </is>
      </c>
      <c r="C1860" t="n">
        <v>2111000000</v>
      </c>
      <c r="D1860" t="inlineStr">
        <is>
          <t>Insurance</t>
        </is>
      </c>
      <c r="E1860" t="n">
        <v>5013396</v>
      </c>
      <c r="F1860" t="inlineStr">
        <is>
          <t>0199/26</t>
        </is>
      </c>
      <c r="G1860" t="inlineStr">
        <is>
          <t>RE</t>
        </is>
      </c>
      <c r="H1860" s="12" t="n">
        <v>-46226.12</v>
      </c>
      <c r="I1860" s="17" t="n">
        <v>46227</v>
      </c>
      <c r="J1860" s="17" t="n">
        <v>46257</v>
      </c>
      <c r="K1860" t="inlineStr">
        <is>
          <t>Invoice Payment. SP: 20358</t>
        </is>
      </c>
    </row>
    <row r="1861">
      <c r="A1861" t="inlineStr">
        <is>
          <t>101463</t>
        </is>
      </c>
      <c r="B1861" t="inlineStr">
        <is>
          <t>ZURICH MINAS BRASIL SEGUROS S A</t>
        </is>
      </c>
      <c r="C1861" t="n">
        <v>2111000000</v>
      </c>
      <c r="D1861" t="inlineStr">
        <is>
          <t>Insurance</t>
        </is>
      </c>
      <c r="E1861" t="n">
        <v>5013400</v>
      </c>
      <c r="F1861" t="inlineStr">
        <is>
          <t>0271/26</t>
        </is>
      </c>
      <c r="G1861" t="inlineStr">
        <is>
          <t>RE</t>
        </is>
      </c>
      <c r="H1861" s="12" t="n">
        <v>-20903.39</v>
      </c>
      <c r="I1861" s="17" t="n">
        <v>46227</v>
      </c>
      <c r="J1861" s="17" t="n">
        <v>46257</v>
      </c>
      <c r="K1861" t="inlineStr">
        <is>
          <t>Invoice Payment. SP: 20360</t>
        </is>
      </c>
    </row>
    <row r="1862">
      <c r="A1862" t="inlineStr">
        <is>
          <t>100883</t>
        </is>
      </c>
      <c r="B1862" t="inlineStr">
        <is>
          <t>QUELMAR TRANSPORTES LTDA</t>
        </is>
      </c>
      <c r="C1862" t="n">
        <v>2111000000</v>
      </c>
      <c r="D1862" t="inlineStr">
        <is>
          <t>Operational Suppliers (Wind Farms)</t>
        </is>
      </c>
      <c r="E1862" t="n">
        <v>5013406</v>
      </c>
      <c r="F1862" t="inlineStr">
        <is>
          <t>6177-2</t>
        </is>
      </c>
      <c r="G1862" t="inlineStr">
        <is>
          <t>RE</t>
        </is>
      </c>
      <c r="H1862" s="12" t="n">
        <v>-5900</v>
      </c>
      <c r="I1862" s="17" t="n">
        <v>46206</v>
      </c>
      <c r="J1862" s="17" t="n">
        <v>46270</v>
      </c>
      <c r="K1862" t="inlineStr">
        <is>
          <t>Fatura - bruto QUELMAR TRANSPORTES LTDA 6177-2</t>
        </is>
      </c>
    </row>
    <row r="1863">
      <c r="A1863" t="inlineStr">
        <is>
          <t>100883</t>
        </is>
      </c>
      <c r="B1863" t="inlineStr">
        <is>
          <t>QUELMAR TRANSPORTES LTDA</t>
        </is>
      </c>
      <c r="C1863" t="n">
        <v>2111000000</v>
      </c>
      <c r="D1863" t="inlineStr">
        <is>
          <t>Operational Suppliers (Wind Farms)</t>
        </is>
      </c>
      <c r="E1863" t="n">
        <v>5013407</v>
      </c>
      <c r="F1863" t="inlineStr">
        <is>
          <t>6192-2</t>
        </is>
      </c>
      <c r="G1863" t="inlineStr">
        <is>
          <t>RE</t>
        </is>
      </c>
      <c r="H1863" s="12" t="n">
        <v>-5702.4</v>
      </c>
      <c r="I1863" s="17" t="n">
        <v>46211</v>
      </c>
      <c r="J1863" s="17" t="n">
        <v>46270</v>
      </c>
      <c r="K1863" t="inlineStr">
        <is>
          <t>Fatura - bruto QUELMAR TRANSPORTES LTDA 6192-2</t>
        </is>
      </c>
    </row>
    <row r="1864">
      <c r="A1864" t="inlineStr">
        <is>
          <t>100883</t>
        </is>
      </c>
      <c r="B1864" t="inlineStr">
        <is>
          <t>QUELMAR TRANSPORTES LTDA</t>
        </is>
      </c>
      <c r="C1864" t="n">
        <v>2111000000</v>
      </c>
      <c r="D1864" t="inlineStr">
        <is>
          <t>Operational Suppliers (Wind Farms)</t>
        </is>
      </c>
      <c r="E1864" t="n">
        <v>5013408</v>
      </c>
      <c r="F1864" t="inlineStr">
        <is>
          <t>6193-2</t>
        </is>
      </c>
      <c r="G1864" t="inlineStr">
        <is>
          <t>RE</t>
        </is>
      </c>
      <c r="H1864" s="12" t="n">
        <v>-5760</v>
      </c>
      <c r="I1864" s="17" t="n">
        <v>46211</v>
      </c>
      <c r="J1864" s="17" t="n">
        <v>46270</v>
      </c>
      <c r="K1864" t="inlineStr">
        <is>
          <t>Fatura - bruto QUELMAR TRANSPORTES LTDA 6193-2</t>
        </is>
      </c>
    </row>
    <row r="1865">
      <c r="A1865" t="inlineStr">
        <is>
          <t>101463</t>
        </is>
      </c>
      <c r="B1865" t="inlineStr">
        <is>
          <t>ZURICH MINAS BRASIL SEGUROS S A</t>
        </is>
      </c>
      <c r="C1865" t="n">
        <v>2111000000</v>
      </c>
      <c r="D1865" t="inlineStr">
        <is>
          <t>Insurance</t>
        </is>
      </c>
      <c r="E1865" t="n">
        <v>5013410</v>
      </c>
      <c r="F1865" t="inlineStr">
        <is>
          <t>0360/26</t>
        </is>
      </c>
      <c r="G1865" t="inlineStr">
        <is>
          <t>RE</t>
        </is>
      </c>
      <c r="H1865" s="12" t="n">
        <v>-292.32</v>
      </c>
      <c r="I1865" s="17" t="n">
        <v>46227</v>
      </c>
      <c r="J1865" s="17" t="n">
        <v>46257</v>
      </c>
      <c r="K1865" t="inlineStr">
        <is>
          <t>Invoice Payment. SP: 20378</t>
        </is>
      </c>
    </row>
    <row r="1866">
      <c r="A1866" t="inlineStr">
        <is>
          <t>100883</t>
        </is>
      </c>
      <c r="B1866" t="inlineStr">
        <is>
          <t>QUELMAR TRANSPORTES LTDA</t>
        </is>
      </c>
      <c r="C1866" t="n">
        <v>2111000000</v>
      </c>
      <c r="D1866" t="inlineStr">
        <is>
          <t>Operational Suppliers (Wind Farms)</t>
        </is>
      </c>
      <c r="E1866" t="n">
        <v>5013413</v>
      </c>
      <c r="F1866" t="inlineStr">
        <is>
          <t>6194-2</t>
        </is>
      </c>
      <c r="G1866" t="inlineStr">
        <is>
          <t>RE</t>
        </is>
      </c>
      <c r="H1866" s="12" t="n">
        <v>-3300</v>
      </c>
      <c r="I1866" s="17" t="n">
        <v>46211</v>
      </c>
      <c r="J1866" s="17" t="n">
        <v>46270</v>
      </c>
      <c r="K1866" t="inlineStr">
        <is>
          <t>Fatura - bruto QUELMAR TRANSPORTES LTDA 6194-2</t>
        </is>
      </c>
    </row>
    <row r="1867">
      <c r="A1867" t="inlineStr">
        <is>
          <t>101463</t>
        </is>
      </c>
      <c r="B1867" t="inlineStr">
        <is>
          <t>ZURICH MINAS BRASIL SEGUROS S A</t>
        </is>
      </c>
      <c r="C1867" t="n">
        <v>2111000000</v>
      </c>
      <c r="D1867" t="inlineStr">
        <is>
          <t>Insurance</t>
        </is>
      </c>
      <c r="E1867" t="n">
        <v>5013414</v>
      </c>
      <c r="F1867" t="inlineStr">
        <is>
          <t>0386/26</t>
        </is>
      </c>
      <c r="G1867" t="inlineStr">
        <is>
          <t>RE</t>
        </is>
      </c>
      <c r="H1867" s="12" t="n">
        <v>-1.18</v>
      </c>
      <c r="I1867" s="17" t="n">
        <v>46227</v>
      </c>
      <c r="J1867" s="17" t="n">
        <v>46257</v>
      </c>
      <c r="K1867" t="inlineStr">
        <is>
          <t>Invoice Payment. SP: 20380</t>
        </is>
      </c>
    </row>
    <row r="1868">
      <c r="A1868" t="inlineStr">
        <is>
          <t>100883</t>
        </is>
      </c>
      <c r="B1868" t="inlineStr">
        <is>
          <t>QUELMAR TRANSPORTES LTDA</t>
        </is>
      </c>
      <c r="C1868" t="n">
        <v>2111000000</v>
      </c>
      <c r="D1868" t="inlineStr">
        <is>
          <t>Operational Suppliers (Wind Farms)</t>
        </is>
      </c>
      <c r="E1868" t="n">
        <v>5013415</v>
      </c>
      <c r="F1868" t="inlineStr">
        <is>
          <t>6196-2</t>
        </is>
      </c>
      <c r="G1868" t="inlineStr">
        <is>
          <t>RE</t>
        </is>
      </c>
      <c r="H1868" s="12" t="n">
        <v>-8980</v>
      </c>
      <c r="I1868" s="17" t="n">
        <v>46213</v>
      </c>
      <c r="J1868" s="17" t="n">
        <v>46270</v>
      </c>
      <c r="K1868" t="inlineStr">
        <is>
          <t>Fatura - bruto QUELMAR TRANSPORTES LTDA 6196-2</t>
        </is>
      </c>
    </row>
    <row r="1869">
      <c r="A1869" t="inlineStr">
        <is>
          <t>100883</t>
        </is>
      </c>
      <c r="B1869" t="inlineStr">
        <is>
          <t>QUELMAR TRANSPORTES LTDA</t>
        </is>
      </c>
      <c r="C1869" t="n">
        <v>2111000000</v>
      </c>
      <c r="D1869" t="inlineStr">
        <is>
          <t>Operational Suppliers (Wind Farms)</t>
        </is>
      </c>
      <c r="E1869" t="n">
        <v>5013419</v>
      </c>
      <c r="F1869" t="inlineStr">
        <is>
          <t>6197-2</t>
        </is>
      </c>
      <c r="G1869" t="inlineStr">
        <is>
          <t>RE</t>
        </is>
      </c>
      <c r="H1869" s="12" t="n">
        <v>-5850</v>
      </c>
      <c r="I1869" s="17" t="n">
        <v>46213</v>
      </c>
      <c r="J1869" s="17" t="n">
        <v>46270</v>
      </c>
      <c r="K1869" t="inlineStr">
        <is>
          <t>Fatura - bruto QUELMAR TRANSPORTES LTDA 6197-2</t>
        </is>
      </c>
    </row>
    <row r="1870">
      <c r="A1870" t="inlineStr">
        <is>
          <t>101463</t>
        </is>
      </c>
      <c r="B1870" t="inlineStr">
        <is>
          <t>ZURICH MINAS BRASIL SEGUROS S A</t>
        </is>
      </c>
      <c r="C1870" t="n">
        <v>2111000000</v>
      </c>
      <c r="D1870" t="inlineStr">
        <is>
          <t>Insurance</t>
        </is>
      </c>
      <c r="E1870" t="n">
        <v>5013420</v>
      </c>
      <c r="F1870" t="inlineStr">
        <is>
          <t>0422/26</t>
        </is>
      </c>
      <c r="G1870" t="inlineStr">
        <is>
          <t>RE</t>
        </is>
      </c>
      <c r="H1870" s="12" t="n">
        <v>-47.61</v>
      </c>
      <c r="I1870" s="17" t="n">
        <v>46227</v>
      </c>
      <c r="J1870" s="17" t="n">
        <v>46257</v>
      </c>
      <c r="K1870" t="inlineStr">
        <is>
          <t>Invoice Payment. SP: 20382</t>
        </is>
      </c>
    </row>
    <row r="1871">
      <c r="A1871" t="inlineStr">
        <is>
          <t>100883</t>
        </is>
      </c>
      <c r="B1871" t="inlineStr">
        <is>
          <t>QUELMAR TRANSPORTES LTDA</t>
        </is>
      </c>
      <c r="C1871" t="n">
        <v>2111000000</v>
      </c>
      <c r="D1871" t="inlineStr">
        <is>
          <t>Operational Suppliers (Wind Farms)</t>
        </is>
      </c>
      <c r="E1871" t="n">
        <v>5013421</v>
      </c>
      <c r="F1871" t="inlineStr">
        <is>
          <t>6225-2</t>
        </is>
      </c>
      <c r="G1871" t="inlineStr">
        <is>
          <t>RE</t>
        </is>
      </c>
      <c r="H1871" s="12" t="n">
        <v>-6800</v>
      </c>
      <c r="I1871" s="17" t="n">
        <v>46217</v>
      </c>
      <c r="J1871" s="17" t="n">
        <v>46270</v>
      </c>
      <c r="K1871" t="inlineStr">
        <is>
          <t>Fatura - bruto QUELMAR TRANSPORTES LTDA 6225-2</t>
        </is>
      </c>
    </row>
    <row r="1872">
      <c r="A1872" t="inlineStr">
        <is>
          <t>100883</t>
        </is>
      </c>
      <c r="B1872" t="inlineStr">
        <is>
          <t>QUELMAR TRANSPORTES LTDA</t>
        </is>
      </c>
      <c r="C1872" t="n">
        <v>2111000000</v>
      </c>
      <c r="D1872" t="inlineStr">
        <is>
          <t>Operational Suppliers (Wind Farms)</t>
        </is>
      </c>
      <c r="E1872" t="n">
        <v>5013423</v>
      </c>
      <c r="F1872" t="inlineStr">
        <is>
          <t>6235-2</t>
        </is>
      </c>
      <c r="G1872" t="inlineStr">
        <is>
          <t>RE</t>
        </is>
      </c>
      <c r="H1872" s="12" t="n">
        <v>-1450</v>
      </c>
      <c r="I1872" s="17" t="n">
        <v>46218</v>
      </c>
      <c r="J1872" s="17" t="n">
        <v>46270</v>
      </c>
      <c r="K1872" t="inlineStr">
        <is>
          <t>Fatura - bruto QUELMAR TRANSPORTES LTDA 6235-2</t>
        </is>
      </c>
    </row>
    <row r="1873">
      <c r="A1873" t="inlineStr">
        <is>
          <t>100883</t>
        </is>
      </c>
      <c r="B1873" t="inlineStr">
        <is>
          <t>QUELMAR TRANSPORTES LTDA</t>
        </is>
      </c>
      <c r="C1873" t="n">
        <v>2111000000</v>
      </c>
      <c r="D1873" t="inlineStr">
        <is>
          <t>Operational Suppliers (Wind Farms)</t>
        </is>
      </c>
      <c r="E1873" t="n">
        <v>5013425</v>
      </c>
      <c r="F1873" t="inlineStr">
        <is>
          <t>6238-2</t>
        </is>
      </c>
      <c r="G1873" t="inlineStr">
        <is>
          <t>RE</t>
        </is>
      </c>
      <c r="H1873" s="12" t="n">
        <v>-1380</v>
      </c>
      <c r="I1873" s="17" t="n">
        <v>46218</v>
      </c>
      <c r="J1873" s="17" t="n">
        <v>46270</v>
      </c>
      <c r="K1873" t="inlineStr">
        <is>
          <t>Fatura - bruto QUELMAR TRANSPORTES LTDA 6238-2</t>
        </is>
      </c>
    </row>
    <row r="1874">
      <c r="A1874" t="inlineStr">
        <is>
          <t>103936</t>
        </is>
      </c>
      <c r="B1874" t="inlineStr">
        <is>
          <t>BELA VISTA RENOVAVEIS II LTDA</t>
        </is>
      </c>
      <c r="C1874" t="n">
        <v>2111000000</v>
      </c>
      <c r="D1874" t="inlineStr">
        <is>
          <t>Other Suppliers</t>
        </is>
      </c>
      <c r="E1874" t="n">
        <v>5013427</v>
      </c>
      <c r="F1874" t="inlineStr">
        <is>
          <t>1693</t>
        </is>
      </c>
      <c r="G1874" t="inlineStr">
        <is>
          <t>RE</t>
        </is>
      </c>
      <c r="H1874" s="12" t="n">
        <v>-104771.8</v>
      </c>
      <c r="I1874" s="17" t="n">
        <v>46225</v>
      </c>
      <c r="J1874" s="17" t="n">
        <v>46270</v>
      </c>
      <c r="K1874" t="inlineStr">
        <is>
          <t>Fatura - bruto BELA VISTA RENOVAVEIS II LTDA 1693</t>
        </is>
      </c>
    </row>
    <row r="1875">
      <c r="A1875" t="inlineStr">
        <is>
          <t>100883</t>
        </is>
      </c>
      <c r="B1875" t="inlineStr">
        <is>
          <t>QUELMAR TRANSPORTES LTDA</t>
        </is>
      </c>
      <c r="C1875" t="n">
        <v>2111000000</v>
      </c>
      <c r="D1875" t="inlineStr">
        <is>
          <t>Operational Suppliers (Wind Farms)</t>
        </is>
      </c>
      <c r="E1875" t="n">
        <v>5013428</v>
      </c>
      <c r="F1875" t="inlineStr">
        <is>
          <t>6241-2</t>
        </is>
      </c>
      <c r="G1875" t="inlineStr">
        <is>
          <t>RE</t>
        </is>
      </c>
      <c r="H1875" s="12" t="n">
        <v>-16409</v>
      </c>
      <c r="I1875" s="17" t="n">
        <v>46220</v>
      </c>
      <c r="J1875" s="17" t="n">
        <v>46270</v>
      </c>
      <c r="K1875" t="inlineStr">
        <is>
          <t>Fatura - bruto QUELMAR TRANSPORTES LTDA 6241-2</t>
        </is>
      </c>
    </row>
    <row r="1876">
      <c r="A1876" t="inlineStr">
        <is>
          <t>100883</t>
        </is>
      </c>
      <c r="B1876" t="inlineStr">
        <is>
          <t>QUELMAR TRANSPORTES LTDA</t>
        </is>
      </c>
      <c r="C1876" t="n">
        <v>2111000000</v>
      </c>
      <c r="D1876" t="inlineStr">
        <is>
          <t>Operational Suppliers (Wind Farms)</t>
        </is>
      </c>
      <c r="E1876" t="n">
        <v>5013429</v>
      </c>
      <c r="F1876" t="inlineStr">
        <is>
          <t>107994-1</t>
        </is>
      </c>
      <c r="G1876" t="inlineStr">
        <is>
          <t>RE</t>
        </is>
      </c>
      <c r="H1876" s="12" t="n">
        <v>-1445.67</v>
      </c>
      <c r="I1876" s="17" t="n">
        <v>46220</v>
      </c>
      <c r="J1876" s="17" t="n">
        <v>46270</v>
      </c>
      <c r="K1876" t="inlineStr">
        <is>
          <t>Fatura - bruto QUELMAR TRANSPORTES LTDA 107994-1</t>
        </is>
      </c>
    </row>
    <row r="1877">
      <c r="A1877" t="inlineStr">
        <is>
          <t>100883</t>
        </is>
      </c>
      <c r="B1877" t="inlineStr">
        <is>
          <t>QUELMAR TRANSPORTES LTDA</t>
        </is>
      </c>
      <c r="C1877" t="n">
        <v>2111000000</v>
      </c>
      <c r="D1877" t="inlineStr">
        <is>
          <t>Operational Suppliers (Wind Farms)</t>
        </is>
      </c>
      <c r="E1877" t="n">
        <v>5013430</v>
      </c>
      <c r="F1877" t="inlineStr">
        <is>
          <t>107996-1</t>
        </is>
      </c>
      <c r="G1877" t="inlineStr">
        <is>
          <t>RE</t>
        </is>
      </c>
      <c r="H1877" s="12" t="n">
        <v>-784.79</v>
      </c>
      <c r="I1877" s="17" t="n">
        <v>46220</v>
      </c>
      <c r="J1877" s="17" t="n">
        <v>46270</v>
      </c>
      <c r="K1877" t="inlineStr">
        <is>
          <t>Fatura - bruto QUELMAR TRANSPORTES LTDA 107996-1</t>
        </is>
      </c>
    </row>
    <row r="1878">
      <c r="A1878" t="inlineStr">
        <is>
          <t>100883</t>
        </is>
      </c>
      <c r="B1878" t="inlineStr">
        <is>
          <t>QUELMAR TRANSPORTES LTDA</t>
        </is>
      </c>
      <c r="C1878" t="n">
        <v>2111000000</v>
      </c>
      <c r="D1878" t="inlineStr">
        <is>
          <t>Operational Suppliers (Wind Farms)</t>
        </is>
      </c>
      <c r="E1878" t="n">
        <v>5013431</v>
      </c>
      <c r="F1878" t="inlineStr">
        <is>
          <t>107997-1</t>
        </is>
      </c>
      <c r="G1878" t="inlineStr">
        <is>
          <t>RE</t>
        </is>
      </c>
      <c r="H1878" s="12" t="n">
        <v>-538.62</v>
      </c>
      <c r="I1878" s="17" t="n">
        <v>46220</v>
      </c>
      <c r="J1878" s="17" t="n">
        <v>46270</v>
      </c>
      <c r="K1878" t="inlineStr">
        <is>
          <t>Fatura - bruto QUELMAR TRANSPORTES LTDA 107997-1</t>
        </is>
      </c>
    </row>
    <row r="1879">
      <c r="A1879" t="inlineStr">
        <is>
          <t>101463</t>
        </is>
      </c>
      <c r="B1879" t="inlineStr">
        <is>
          <t>ZURICH MINAS BRASIL SEGUROS S A</t>
        </is>
      </c>
      <c r="C1879" t="n">
        <v>2111000000</v>
      </c>
      <c r="D1879" t="inlineStr">
        <is>
          <t>Insurance</t>
        </is>
      </c>
      <c r="E1879" t="n">
        <v>5013432</v>
      </c>
      <c r="F1879" t="inlineStr">
        <is>
          <t>0365/26</t>
        </is>
      </c>
      <c r="G1879" t="inlineStr">
        <is>
          <t>RE</t>
        </is>
      </c>
      <c r="H1879" s="12" t="n">
        <v>-563.55</v>
      </c>
      <c r="I1879" s="17" t="n">
        <v>46227</v>
      </c>
      <c r="J1879" s="17" t="n">
        <v>46257</v>
      </c>
      <c r="K1879" t="inlineStr">
        <is>
          <t>Invoice Payment. SP: 20398</t>
        </is>
      </c>
    </row>
    <row r="1880">
      <c r="A1880" t="inlineStr">
        <is>
          <t>100883</t>
        </is>
      </c>
      <c r="B1880" t="inlineStr">
        <is>
          <t>QUELMAR TRANSPORTES LTDA</t>
        </is>
      </c>
      <c r="C1880" t="n">
        <v>2111000000</v>
      </c>
      <c r="D1880" t="inlineStr">
        <is>
          <t>Operational Suppliers (Wind Farms)</t>
        </is>
      </c>
      <c r="E1880" t="n">
        <v>5013434</v>
      </c>
      <c r="F1880" t="inlineStr">
        <is>
          <t>108000-1</t>
        </is>
      </c>
      <c r="G1880" t="inlineStr">
        <is>
          <t>RE</t>
        </is>
      </c>
      <c r="H1880" s="12" t="n">
        <v>-1008.67</v>
      </c>
      <c r="I1880" s="17" t="n">
        <v>46220</v>
      </c>
      <c r="J1880" s="17" t="n">
        <v>46270</v>
      </c>
      <c r="K1880" t="inlineStr">
        <is>
          <t>Fatura - bruto QUELMAR TRANSPORTES LTDA 108000-1</t>
        </is>
      </c>
    </row>
    <row r="1881">
      <c r="A1881" t="inlineStr">
        <is>
          <t>100883</t>
        </is>
      </c>
      <c r="B1881" t="inlineStr">
        <is>
          <t>QUELMAR TRANSPORTES LTDA</t>
        </is>
      </c>
      <c r="C1881" t="n">
        <v>2111000000</v>
      </c>
      <c r="D1881" t="inlineStr">
        <is>
          <t>Operational Suppliers (Wind Farms)</t>
        </is>
      </c>
      <c r="E1881" t="n">
        <v>5013436</v>
      </c>
      <c r="F1881" t="inlineStr">
        <is>
          <t>108005-1</t>
        </is>
      </c>
      <c r="G1881" t="inlineStr">
        <is>
          <t>RE</t>
        </is>
      </c>
      <c r="H1881" s="12" t="n">
        <v>-2602.21</v>
      </c>
      <c r="I1881" s="17" t="n">
        <v>46220</v>
      </c>
      <c r="J1881" s="17" t="n">
        <v>46270</v>
      </c>
      <c r="K1881" t="inlineStr">
        <is>
          <t>Fatura - bruto QUELMAR TRANSPORTES LTDA 108005-1</t>
        </is>
      </c>
    </row>
    <row r="1882">
      <c r="A1882" t="inlineStr">
        <is>
          <t>100883</t>
        </is>
      </c>
      <c r="B1882" t="inlineStr">
        <is>
          <t>QUELMAR TRANSPORTES LTDA</t>
        </is>
      </c>
      <c r="C1882" t="n">
        <v>2111000000</v>
      </c>
      <c r="D1882" t="inlineStr">
        <is>
          <t>Operational Suppliers (Wind Farms)</t>
        </is>
      </c>
      <c r="E1882" t="n">
        <v>5013437</v>
      </c>
      <c r="F1882" t="inlineStr">
        <is>
          <t>108016-1</t>
        </is>
      </c>
      <c r="G1882" t="inlineStr">
        <is>
          <t>RE</t>
        </is>
      </c>
      <c r="H1882" s="12" t="n">
        <v>-1528.28</v>
      </c>
      <c r="I1882" s="17" t="n">
        <v>46220</v>
      </c>
      <c r="J1882" s="17" t="n">
        <v>46270</v>
      </c>
      <c r="K1882" t="inlineStr">
        <is>
          <t>Fatura - bruto QUELMAR TRANSPORTES LTDA 108016-1</t>
        </is>
      </c>
    </row>
    <row r="1883">
      <c r="A1883" t="inlineStr">
        <is>
          <t>100883</t>
        </is>
      </c>
      <c r="B1883" t="inlineStr">
        <is>
          <t>QUELMAR TRANSPORTES LTDA</t>
        </is>
      </c>
      <c r="C1883" t="n">
        <v>2111000000</v>
      </c>
      <c r="D1883" t="inlineStr">
        <is>
          <t>Operational Suppliers (Wind Farms)</t>
        </is>
      </c>
      <c r="E1883" t="n">
        <v>5013440</v>
      </c>
      <c r="F1883" t="inlineStr">
        <is>
          <t>108017-1</t>
        </is>
      </c>
      <c r="G1883" t="inlineStr">
        <is>
          <t>RE</t>
        </is>
      </c>
      <c r="H1883" s="12" t="n">
        <v>-1528.28</v>
      </c>
      <c r="I1883" s="17" t="n">
        <v>46220</v>
      </c>
      <c r="J1883" s="17" t="n">
        <v>46270</v>
      </c>
      <c r="K1883" t="inlineStr">
        <is>
          <t>Fatura - bruto QUELMAR TRANSPORTES LTDA 108017-1</t>
        </is>
      </c>
    </row>
    <row r="1884">
      <c r="A1884" t="inlineStr">
        <is>
          <t>100883</t>
        </is>
      </c>
      <c r="B1884" t="inlineStr">
        <is>
          <t>QUELMAR TRANSPORTES LTDA</t>
        </is>
      </c>
      <c r="C1884" t="n">
        <v>2111000000</v>
      </c>
      <c r="D1884" t="inlineStr">
        <is>
          <t>Operational Suppliers (Wind Farms)</t>
        </is>
      </c>
      <c r="E1884" t="n">
        <v>5013441</v>
      </c>
      <c r="F1884" t="inlineStr">
        <is>
          <t>108019-1</t>
        </is>
      </c>
      <c r="G1884" t="inlineStr">
        <is>
          <t>RE</t>
        </is>
      </c>
      <c r="H1884" s="12" t="n">
        <v>-1073.93</v>
      </c>
      <c r="I1884" s="17" t="n">
        <v>46220</v>
      </c>
      <c r="J1884" s="17" t="n">
        <v>46270</v>
      </c>
      <c r="K1884" t="inlineStr">
        <is>
          <t>Fatura - bruto QUELMAR TRANSPORTES LTDA 108019-1</t>
        </is>
      </c>
    </row>
    <row r="1885">
      <c r="A1885" t="inlineStr">
        <is>
          <t>100883</t>
        </is>
      </c>
      <c r="B1885" t="inlineStr">
        <is>
          <t>QUELMAR TRANSPORTES LTDA</t>
        </is>
      </c>
      <c r="C1885" t="n">
        <v>2111000000</v>
      </c>
      <c r="D1885" t="inlineStr">
        <is>
          <t>Operational Suppliers (Wind Farms)</t>
        </is>
      </c>
      <c r="E1885" t="n">
        <v>5013442</v>
      </c>
      <c r="F1885" t="inlineStr">
        <is>
          <t>108053-1</t>
        </is>
      </c>
      <c r="G1885" t="inlineStr">
        <is>
          <t>RE</t>
        </is>
      </c>
      <c r="H1885" s="12" t="n">
        <v>-1680</v>
      </c>
      <c r="I1885" s="17" t="n">
        <v>46220</v>
      </c>
      <c r="J1885" s="17" t="n">
        <v>46270</v>
      </c>
      <c r="K1885" t="inlineStr">
        <is>
          <t>Fatura - bruto QUELMAR TRANSPORTES LTDA 108053-1</t>
        </is>
      </c>
    </row>
    <row r="1886">
      <c r="A1886" t="inlineStr">
        <is>
          <t>100883</t>
        </is>
      </c>
      <c r="B1886" t="inlineStr">
        <is>
          <t>QUELMAR TRANSPORTES LTDA</t>
        </is>
      </c>
      <c r="C1886" t="n">
        <v>2111000000</v>
      </c>
      <c r="D1886" t="inlineStr">
        <is>
          <t>Operational Suppliers (Wind Farms)</t>
        </is>
      </c>
      <c r="E1886" t="n">
        <v>5013443</v>
      </c>
      <c r="F1886" t="inlineStr">
        <is>
          <t>108054-1</t>
        </is>
      </c>
      <c r="G1886" t="inlineStr">
        <is>
          <t>RE</t>
        </is>
      </c>
      <c r="H1886" s="12" t="n">
        <v>-1590</v>
      </c>
      <c r="I1886" s="17" t="n">
        <v>46220</v>
      </c>
      <c r="J1886" s="17" t="n">
        <v>46270</v>
      </c>
      <c r="K1886" t="inlineStr">
        <is>
          <t>Fatura - bruto QUELMAR TRANSPORTES LTDA 108054-1</t>
        </is>
      </c>
    </row>
    <row r="1887">
      <c r="A1887" t="inlineStr">
        <is>
          <t>100883</t>
        </is>
      </c>
      <c r="B1887" t="inlineStr">
        <is>
          <t>QUELMAR TRANSPORTES LTDA</t>
        </is>
      </c>
      <c r="C1887" t="n">
        <v>2111000000</v>
      </c>
      <c r="D1887" t="inlineStr">
        <is>
          <t>Operational Suppliers (Wind Farms)</t>
        </is>
      </c>
      <c r="E1887" t="n">
        <v>5013444</v>
      </c>
      <c r="F1887" t="inlineStr">
        <is>
          <t>108022-1</t>
        </is>
      </c>
      <c r="G1887" t="inlineStr">
        <is>
          <t>RE</t>
        </is>
      </c>
      <c r="H1887" s="12" t="n">
        <v>-3015.26</v>
      </c>
      <c r="I1887" s="17" t="n">
        <v>46220</v>
      </c>
      <c r="J1887" s="17" t="n">
        <v>46270</v>
      </c>
      <c r="K1887" t="inlineStr">
        <is>
          <t>Fatura - bruto QUELMAR TRANSPORTES LTDA 108022-1</t>
        </is>
      </c>
    </row>
    <row r="1888">
      <c r="A1888" t="inlineStr">
        <is>
          <t>101463</t>
        </is>
      </c>
      <c r="B1888" t="inlineStr">
        <is>
          <t>ZURICH MINAS BRASIL SEGUROS S A</t>
        </is>
      </c>
      <c r="C1888" t="n">
        <v>2111000000</v>
      </c>
      <c r="D1888" t="inlineStr">
        <is>
          <t>Insurance</t>
        </is>
      </c>
      <c r="E1888" t="n">
        <v>5013445</v>
      </c>
      <c r="F1888" t="inlineStr">
        <is>
          <t>0367/26</t>
        </is>
      </c>
      <c r="G1888" t="inlineStr">
        <is>
          <t>RE</t>
        </is>
      </c>
      <c r="H1888" s="12" t="n">
        <v>-231.24</v>
      </c>
      <c r="I1888" s="17" t="n">
        <v>46227</v>
      </c>
      <c r="J1888" s="17" t="n">
        <v>46257</v>
      </c>
      <c r="K1888" t="inlineStr">
        <is>
          <t>Invoice Payment. SP: 20400</t>
        </is>
      </c>
    </row>
    <row r="1889">
      <c r="A1889" t="inlineStr">
        <is>
          <t>101463</t>
        </is>
      </c>
      <c r="B1889" t="inlineStr">
        <is>
          <t>ZURICH MINAS BRASIL SEGUROS S A</t>
        </is>
      </c>
      <c r="C1889" t="n">
        <v>2111000000</v>
      </c>
      <c r="D1889" t="inlineStr">
        <is>
          <t>Insurance</t>
        </is>
      </c>
      <c r="E1889" t="n">
        <v>5013452</v>
      </c>
      <c r="F1889" t="inlineStr">
        <is>
          <t>0380/26</t>
        </is>
      </c>
      <c r="G1889" t="inlineStr">
        <is>
          <t>RE</t>
        </is>
      </c>
      <c r="H1889" s="12" t="n">
        <v>-162.96</v>
      </c>
      <c r="I1889" s="17" t="n">
        <v>46227</v>
      </c>
      <c r="J1889" s="17" t="n">
        <v>46257</v>
      </c>
      <c r="K1889" t="inlineStr">
        <is>
          <t>Invoice Payment. SP: 20403</t>
        </is>
      </c>
    </row>
    <row r="1890">
      <c r="A1890" t="inlineStr">
        <is>
          <t>101463</t>
        </is>
      </c>
      <c r="B1890" t="inlineStr">
        <is>
          <t>ZURICH MINAS BRASIL SEGUROS S A</t>
        </is>
      </c>
      <c r="C1890" t="n">
        <v>2111000000</v>
      </c>
      <c r="D1890" t="inlineStr">
        <is>
          <t>Insurance</t>
        </is>
      </c>
      <c r="E1890" t="n">
        <v>5013454</v>
      </c>
      <c r="F1890" t="inlineStr">
        <is>
          <t>0401/26</t>
        </is>
      </c>
      <c r="G1890" t="inlineStr">
        <is>
          <t>RE</t>
        </is>
      </c>
      <c r="H1890" s="12" t="n">
        <v>-448.41</v>
      </c>
      <c r="I1890" s="17" t="n">
        <v>46227</v>
      </c>
      <c r="J1890" s="17" t="n">
        <v>46257</v>
      </c>
      <c r="K1890" t="inlineStr">
        <is>
          <t>Invoice Payment. SP: 20405</t>
        </is>
      </c>
    </row>
    <row r="1891">
      <c r="A1891" t="inlineStr">
        <is>
          <t>101463</t>
        </is>
      </c>
      <c r="B1891" t="inlineStr">
        <is>
          <t>ZURICH MINAS BRASIL SEGUROS S A</t>
        </is>
      </c>
      <c r="C1891" t="n">
        <v>2111000000</v>
      </c>
      <c r="D1891" t="inlineStr">
        <is>
          <t>Insurance</t>
        </is>
      </c>
      <c r="E1891" t="n">
        <v>5013458</v>
      </c>
      <c r="F1891" t="inlineStr">
        <is>
          <t>0310/26</t>
        </is>
      </c>
      <c r="G1891" t="inlineStr">
        <is>
          <t>RE</t>
        </is>
      </c>
      <c r="H1891" s="12" t="n">
        <v>-3233.25</v>
      </c>
      <c r="I1891" s="17" t="n">
        <v>46227</v>
      </c>
      <c r="J1891" s="17" t="n">
        <v>46257</v>
      </c>
      <c r="K1891" t="inlineStr">
        <is>
          <t>Invoice Payment. SP: 20418</t>
        </is>
      </c>
    </row>
    <row r="1892">
      <c r="A1892" t="inlineStr">
        <is>
          <t>103936</t>
        </is>
      </c>
      <c r="B1892" t="inlineStr">
        <is>
          <t>BELA VISTA RENOVAVEIS II LTDA</t>
        </is>
      </c>
      <c r="C1892" t="n">
        <v>2111000000</v>
      </c>
      <c r="D1892" t="inlineStr">
        <is>
          <t>Other Suppliers</t>
        </is>
      </c>
      <c r="E1892" t="n">
        <v>5013460</v>
      </c>
      <c r="F1892" t="inlineStr">
        <is>
          <t>1694</t>
        </is>
      </c>
      <c r="G1892" t="inlineStr">
        <is>
          <t>RE</t>
        </is>
      </c>
      <c r="H1892" s="12" t="n">
        <v>-18242.32</v>
      </c>
      <c r="I1892" s="17" t="n">
        <v>46225</v>
      </c>
      <c r="J1892" s="17" t="n">
        <v>46270</v>
      </c>
      <c r="K1892" t="inlineStr">
        <is>
          <t>Fatura - bruto BELA VISTA RENOVAVEIS II LTDA 1694</t>
        </is>
      </c>
    </row>
    <row r="1893">
      <c r="A1893" t="inlineStr">
        <is>
          <t>100883</t>
        </is>
      </c>
      <c r="B1893" t="inlineStr">
        <is>
          <t>QUELMAR TRANSPORTES LTDA</t>
        </is>
      </c>
      <c r="C1893" t="n">
        <v>2111000000</v>
      </c>
      <c r="D1893" t="inlineStr">
        <is>
          <t>Operational Suppliers (Wind Farms)</t>
        </is>
      </c>
      <c r="E1893" t="n">
        <v>5013461</v>
      </c>
      <c r="F1893" t="inlineStr">
        <is>
          <t>6236-2</t>
        </is>
      </c>
      <c r="G1893" t="inlineStr">
        <is>
          <t>RE</t>
        </is>
      </c>
      <c r="H1893" s="12" t="n">
        <v>-2426</v>
      </c>
      <c r="I1893" s="17" t="n">
        <v>46218</v>
      </c>
      <c r="J1893" s="17" t="n">
        <v>46270</v>
      </c>
      <c r="K1893" t="inlineStr">
        <is>
          <t>Fatura - bruto QUELMAR TRANSPORTES LTDA 6236-2</t>
        </is>
      </c>
    </row>
    <row r="1894">
      <c r="A1894" t="inlineStr">
        <is>
          <t>100883</t>
        </is>
      </c>
      <c r="B1894" t="inlineStr">
        <is>
          <t>QUELMAR TRANSPORTES LTDA</t>
        </is>
      </c>
      <c r="C1894" t="n">
        <v>2111000000</v>
      </c>
      <c r="D1894" t="inlineStr">
        <is>
          <t>Operational Suppliers (Wind Farms)</t>
        </is>
      </c>
      <c r="E1894" t="n">
        <v>5013462</v>
      </c>
      <c r="F1894" t="inlineStr">
        <is>
          <t>6237-2</t>
        </is>
      </c>
      <c r="G1894" t="inlineStr">
        <is>
          <t>RE</t>
        </is>
      </c>
      <c r="H1894" s="12" t="n">
        <v>-3400.32</v>
      </c>
      <c r="I1894" s="17" t="n">
        <v>46218</v>
      </c>
      <c r="J1894" s="17" t="n">
        <v>46270</v>
      </c>
      <c r="K1894" t="inlineStr">
        <is>
          <t>Fatura - bruto QUELMAR TRANSPORTES LTDA 6237-2</t>
        </is>
      </c>
    </row>
    <row r="1895">
      <c r="A1895" t="inlineStr">
        <is>
          <t>100883</t>
        </is>
      </c>
      <c r="B1895" t="inlineStr">
        <is>
          <t>QUELMAR TRANSPORTES LTDA</t>
        </is>
      </c>
      <c r="C1895" t="n">
        <v>2111000000</v>
      </c>
      <c r="D1895" t="inlineStr">
        <is>
          <t>Operational Suppliers (Wind Farms)</t>
        </is>
      </c>
      <c r="E1895" t="n">
        <v>5013463</v>
      </c>
      <c r="F1895" t="inlineStr">
        <is>
          <t>108029-1</t>
        </is>
      </c>
      <c r="G1895" t="inlineStr">
        <is>
          <t>RE</t>
        </is>
      </c>
      <c r="H1895" s="12" t="n">
        <v>-2430.02</v>
      </c>
      <c r="I1895" s="17" t="n">
        <v>46220</v>
      </c>
      <c r="J1895" s="17" t="n">
        <v>46270</v>
      </c>
      <c r="K1895" t="inlineStr">
        <is>
          <t>Fatura - bruto QUELMAR TRANSPORTES LTDA 108029-1</t>
        </is>
      </c>
    </row>
    <row r="1896">
      <c r="A1896" t="inlineStr">
        <is>
          <t>100883</t>
        </is>
      </c>
      <c r="B1896" t="inlineStr">
        <is>
          <t>QUELMAR TRANSPORTES LTDA</t>
        </is>
      </c>
      <c r="C1896" t="n">
        <v>2111000000</v>
      </c>
      <c r="D1896" t="inlineStr">
        <is>
          <t>Operational Suppliers (Wind Farms)</t>
        </is>
      </c>
      <c r="E1896" t="n">
        <v>5013464</v>
      </c>
      <c r="F1896" t="inlineStr">
        <is>
          <t>108030-1</t>
        </is>
      </c>
      <c r="G1896" t="inlineStr">
        <is>
          <t>RE</t>
        </is>
      </c>
      <c r="H1896" s="12" t="n">
        <v>-2493.18</v>
      </c>
      <c r="I1896" s="17" t="n">
        <v>46220</v>
      </c>
      <c r="J1896" s="17" t="n">
        <v>46270</v>
      </c>
      <c r="K1896" t="inlineStr">
        <is>
          <t>Fatura - bruto QUELMAR TRANSPORTES LTDA 108030-1</t>
        </is>
      </c>
    </row>
    <row r="1897">
      <c r="A1897" t="inlineStr">
        <is>
          <t>100883</t>
        </is>
      </c>
      <c r="B1897" t="inlineStr">
        <is>
          <t>QUELMAR TRANSPORTES LTDA</t>
        </is>
      </c>
      <c r="C1897" t="n">
        <v>2111000000</v>
      </c>
      <c r="D1897" t="inlineStr">
        <is>
          <t>Operational Suppliers (Wind Farms)</t>
        </is>
      </c>
      <c r="E1897" t="n">
        <v>5013465</v>
      </c>
      <c r="F1897" t="inlineStr">
        <is>
          <t>108031-1</t>
        </is>
      </c>
      <c r="G1897" t="inlineStr">
        <is>
          <t>RE</t>
        </is>
      </c>
      <c r="H1897" s="12" t="n">
        <v>-2576.29</v>
      </c>
      <c r="I1897" s="17" t="n">
        <v>46220</v>
      </c>
      <c r="J1897" s="17" t="n">
        <v>46270</v>
      </c>
      <c r="K1897" t="inlineStr">
        <is>
          <t>Fatura - bruto QUELMAR TRANSPORTES LTDA 108031-1</t>
        </is>
      </c>
    </row>
    <row r="1898">
      <c r="A1898" t="inlineStr">
        <is>
          <t>100883</t>
        </is>
      </c>
      <c r="B1898" t="inlineStr">
        <is>
          <t>QUELMAR TRANSPORTES LTDA</t>
        </is>
      </c>
      <c r="C1898" t="n">
        <v>2111000000</v>
      </c>
      <c r="D1898" t="inlineStr">
        <is>
          <t>Operational Suppliers (Wind Farms)</t>
        </is>
      </c>
      <c r="E1898" t="n">
        <v>5013466</v>
      </c>
      <c r="F1898" t="inlineStr">
        <is>
          <t>108032-1</t>
        </is>
      </c>
      <c r="G1898" t="inlineStr">
        <is>
          <t>RE</t>
        </is>
      </c>
      <c r="H1898" s="12" t="n">
        <v>-2216.16</v>
      </c>
      <c r="I1898" s="17" t="n">
        <v>46220</v>
      </c>
      <c r="J1898" s="17" t="n">
        <v>46270</v>
      </c>
      <c r="K1898" t="inlineStr">
        <is>
          <t>Fatura - bruto QUELMAR TRANSPORTES LTDA 108032-1</t>
        </is>
      </c>
    </row>
    <row r="1899">
      <c r="A1899" t="inlineStr">
        <is>
          <t>101463</t>
        </is>
      </c>
      <c r="B1899" t="inlineStr">
        <is>
          <t>ZURICH MINAS BRASIL SEGUROS S A</t>
        </is>
      </c>
      <c r="C1899" t="n">
        <v>2111000000</v>
      </c>
      <c r="D1899" t="inlineStr">
        <is>
          <t>Insurance</t>
        </is>
      </c>
      <c r="E1899" t="n">
        <v>5013467</v>
      </c>
      <c r="F1899" t="inlineStr">
        <is>
          <t>0421/26</t>
        </is>
      </c>
      <c r="G1899" t="inlineStr">
        <is>
          <t>RE</t>
        </is>
      </c>
      <c r="H1899" s="12" t="n">
        <v>-577.62</v>
      </c>
      <c r="I1899" s="17" t="n">
        <v>46227</v>
      </c>
      <c r="J1899" s="17" t="n">
        <v>46257</v>
      </c>
      <c r="K1899" t="inlineStr">
        <is>
          <t>Invoice Payment. SP: 20438</t>
        </is>
      </c>
    </row>
    <row r="1900">
      <c r="A1900" t="inlineStr">
        <is>
          <t>101463</t>
        </is>
      </c>
      <c r="B1900" t="inlineStr">
        <is>
          <t>ZURICH MINAS BRASIL SEGUROS S A</t>
        </is>
      </c>
      <c r="C1900" t="n">
        <v>2111000000</v>
      </c>
      <c r="D1900" t="inlineStr">
        <is>
          <t>Insurance</t>
        </is>
      </c>
      <c r="E1900" t="n">
        <v>5013469</v>
      </c>
      <c r="F1900" t="inlineStr">
        <is>
          <t>0389/26</t>
        </is>
      </c>
      <c r="G1900" t="inlineStr">
        <is>
          <t>RE</t>
        </is>
      </c>
      <c r="H1900" s="12" t="n">
        <v>-62.08</v>
      </c>
      <c r="I1900" s="17" t="n">
        <v>46227</v>
      </c>
      <c r="J1900" s="17" t="n">
        <v>46257</v>
      </c>
      <c r="K1900" t="inlineStr">
        <is>
          <t>Invoice Payment. SP: 20458</t>
        </is>
      </c>
    </row>
    <row r="1901">
      <c r="A1901" t="inlineStr">
        <is>
          <t>101463</t>
        </is>
      </c>
      <c r="B1901" t="inlineStr">
        <is>
          <t>ZURICH MINAS BRASIL SEGUROS S A</t>
        </is>
      </c>
      <c r="C1901" t="n">
        <v>2111000000</v>
      </c>
      <c r="D1901" t="inlineStr">
        <is>
          <t>Insurance</t>
        </is>
      </c>
      <c r="E1901" t="n">
        <v>5013473</v>
      </c>
      <c r="F1901" t="inlineStr">
        <is>
          <t>0353/26</t>
        </is>
      </c>
      <c r="G1901" t="inlineStr">
        <is>
          <t>RE</t>
        </is>
      </c>
      <c r="H1901" s="12" t="n">
        <v>-1.61</v>
      </c>
      <c r="I1901" s="17" t="n">
        <v>46227</v>
      </c>
      <c r="J1901" s="17" t="n">
        <v>46257</v>
      </c>
      <c r="K1901" t="inlineStr">
        <is>
          <t>Invoice Payment. SP: 20460</t>
        </is>
      </c>
    </row>
    <row r="1902">
      <c r="A1902" t="inlineStr">
        <is>
          <t>101463</t>
        </is>
      </c>
      <c r="B1902" t="inlineStr">
        <is>
          <t>ZURICH MINAS BRASIL SEGUROS S A</t>
        </is>
      </c>
      <c r="C1902" t="n">
        <v>2111000000</v>
      </c>
      <c r="D1902" t="inlineStr">
        <is>
          <t>Insurance</t>
        </is>
      </c>
      <c r="E1902" t="n">
        <v>5013475</v>
      </c>
      <c r="F1902" t="inlineStr">
        <is>
          <t>0364/26</t>
        </is>
      </c>
      <c r="G1902" t="inlineStr">
        <is>
          <t>RE</t>
        </is>
      </c>
      <c r="H1902" s="12" t="n">
        <v>-80.3</v>
      </c>
      <c r="I1902" s="17" t="n">
        <v>46227</v>
      </c>
      <c r="J1902" s="17" t="n">
        <v>46257</v>
      </c>
      <c r="K1902" t="inlineStr">
        <is>
          <t>Invoice Payment. SP: 20462</t>
        </is>
      </c>
    </row>
    <row r="1903">
      <c r="A1903" t="inlineStr">
        <is>
          <t>101463</t>
        </is>
      </c>
      <c r="B1903" t="inlineStr">
        <is>
          <t>ZURICH MINAS BRASIL SEGUROS S A</t>
        </is>
      </c>
      <c r="C1903" t="n">
        <v>2111000000</v>
      </c>
      <c r="D1903" t="inlineStr">
        <is>
          <t>Insurance</t>
        </is>
      </c>
      <c r="E1903" t="n">
        <v>5013478</v>
      </c>
      <c r="F1903" t="inlineStr">
        <is>
          <t>0388/26</t>
        </is>
      </c>
      <c r="G1903" t="inlineStr">
        <is>
          <t>RE</t>
        </is>
      </c>
      <c r="H1903" s="12" t="n">
        <v>-119.32</v>
      </c>
      <c r="I1903" s="17" t="n">
        <v>46227</v>
      </c>
      <c r="J1903" s="17" t="n">
        <v>46257</v>
      </c>
      <c r="K1903" t="inlineStr">
        <is>
          <t>Invoice Payment. SP: 20464</t>
        </is>
      </c>
    </row>
    <row r="1904">
      <c r="A1904" t="inlineStr">
        <is>
          <t>100883</t>
        </is>
      </c>
      <c r="B1904" t="inlineStr">
        <is>
          <t>QUELMAR TRANSPORTES LTDA</t>
        </is>
      </c>
      <c r="C1904" t="n">
        <v>2111000000</v>
      </c>
      <c r="D1904" t="inlineStr">
        <is>
          <t>Operational Suppliers (Wind Farms)</t>
        </is>
      </c>
      <c r="E1904" t="n">
        <v>5013480</v>
      </c>
      <c r="F1904" t="inlineStr">
        <is>
          <t>108033-1</t>
        </is>
      </c>
      <c r="G1904" t="inlineStr">
        <is>
          <t>RE</t>
        </is>
      </c>
      <c r="H1904" s="12" t="n">
        <v>-2022.25</v>
      </c>
      <c r="I1904" s="17" t="n">
        <v>46220</v>
      </c>
      <c r="J1904" s="17" t="n">
        <v>46270</v>
      </c>
      <c r="K1904" t="inlineStr">
        <is>
          <t>Fatura - bruto QUELMAR TRANSPORTES LTDA 108033-1</t>
        </is>
      </c>
    </row>
    <row r="1905">
      <c r="A1905" t="inlineStr">
        <is>
          <t>100883</t>
        </is>
      </c>
      <c r="B1905" t="inlineStr">
        <is>
          <t>QUELMAR TRANSPORTES LTDA</t>
        </is>
      </c>
      <c r="C1905" t="n">
        <v>2111000000</v>
      </c>
      <c r="D1905" t="inlineStr">
        <is>
          <t>Operational Suppliers (Wind Farms)</t>
        </is>
      </c>
      <c r="E1905" t="n">
        <v>5013481</v>
      </c>
      <c r="F1905" t="inlineStr">
        <is>
          <t>6246-2</t>
        </is>
      </c>
      <c r="G1905" t="inlineStr">
        <is>
          <t>RE</t>
        </is>
      </c>
      <c r="H1905" s="12" t="n">
        <v>-6800</v>
      </c>
      <c r="I1905" s="17" t="n">
        <v>46223</v>
      </c>
      <c r="J1905" s="17" t="n">
        <v>46270</v>
      </c>
      <c r="K1905" t="inlineStr">
        <is>
          <t>Fatura - bruto QUELMAR TRANSPORTES LTDA 6246-2</t>
        </is>
      </c>
    </row>
    <row r="1906">
      <c r="A1906" t="inlineStr">
        <is>
          <t>100883</t>
        </is>
      </c>
      <c r="B1906" t="inlineStr">
        <is>
          <t>QUELMAR TRANSPORTES LTDA</t>
        </is>
      </c>
      <c r="C1906" t="n">
        <v>2111000000</v>
      </c>
      <c r="D1906" t="inlineStr">
        <is>
          <t>Operational Suppliers (Wind Farms)</t>
        </is>
      </c>
      <c r="E1906" t="n">
        <v>5013482</v>
      </c>
      <c r="F1906" t="inlineStr">
        <is>
          <t>6248-2</t>
        </is>
      </c>
      <c r="G1906" t="inlineStr">
        <is>
          <t>RE</t>
        </is>
      </c>
      <c r="H1906" s="12" t="n">
        <v>-2950</v>
      </c>
      <c r="I1906" s="17" t="n">
        <v>46223</v>
      </c>
      <c r="J1906" s="17" t="n">
        <v>46270</v>
      </c>
      <c r="K1906" t="inlineStr">
        <is>
          <t>Fatura - bruto QUELMAR TRANSPORTES LTDA 6248-2</t>
        </is>
      </c>
    </row>
    <row r="1907">
      <c r="A1907" t="inlineStr">
        <is>
          <t>101463</t>
        </is>
      </c>
      <c r="B1907" t="inlineStr">
        <is>
          <t>ZURICH MINAS BRASIL SEGUROS S A</t>
        </is>
      </c>
      <c r="C1907" t="n">
        <v>2111000000</v>
      </c>
      <c r="D1907" t="inlineStr">
        <is>
          <t>Insurance</t>
        </is>
      </c>
      <c r="E1907" t="n">
        <v>5013486</v>
      </c>
      <c r="F1907" t="inlineStr">
        <is>
          <t>0326/26</t>
        </is>
      </c>
      <c r="G1907" t="inlineStr">
        <is>
          <t>RE</t>
        </is>
      </c>
      <c r="H1907" s="12" t="n">
        <v>-138.35</v>
      </c>
      <c r="I1907" s="17" t="n">
        <v>46227</v>
      </c>
      <c r="J1907" s="17" t="n">
        <v>46257</v>
      </c>
      <c r="K1907" t="inlineStr">
        <is>
          <t>Invoice Payment. SP: 20478</t>
        </is>
      </c>
    </row>
    <row r="1908">
      <c r="A1908" t="inlineStr">
        <is>
          <t>100031</t>
        </is>
      </c>
      <c r="B1908" t="inlineStr">
        <is>
          <t>MEGAWIND INDUSTRIA E COMERCIO</t>
        </is>
      </c>
      <c r="C1908" t="n">
        <v>2111000000</v>
      </c>
      <c r="D1908" t="inlineStr">
        <is>
          <t>Operational Suppliers (Wind Farms)</t>
        </is>
      </c>
      <c r="E1908" t="n">
        <v>5013490</v>
      </c>
      <c r="F1908" t="inlineStr">
        <is>
          <t>1425</t>
        </is>
      </c>
      <c r="G1908" t="inlineStr">
        <is>
          <t>RE</t>
        </is>
      </c>
      <c r="H1908" s="12" t="n">
        <v>-210000</v>
      </c>
      <c r="I1908" s="17" t="n">
        <v>46226</v>
      </c>
      <c r="J1908" s="17" t="n">
        <v>46270</v>
      </c>
      <c r="K1908" t="inlineStr">
        <is>
          <t>Fatura - bruto MEGAWIND INDUSTRIA E COMERCIO 1425</t>
        </is>
      </c>
    </row>
    <row r="1909">
      <c r="A1909" t="inlineStr">
        <is>
          <t>101913</t>
        </is>
      </c>
      <c r="B1909" t="inlineStr">
        <is>
          <t>ELETRO TECNICA INTERLAGOS IND E COM</t>
        </is>
      </c>
      <c r="C1909" t="n">
        <v>2111000000</v>
      </c>
      <c r="D1909" t="inlineStr">
        <is>
          <t>Other Suppliers</t>
        </is>
      </c>
      <c r="E1909" t="n">
        <v>5013491</v>
      </c>
      <c r="F1909" t="inlineStr">
        <is>
          <t>323</t>
        </is>
      </c>
      <c r="G1909" t="inlineStr">
        <is>
          <t>RE</t>
        </is>
      </c>
      <c r="H1909" s="12" t="n">
        <v>-30163.77</v>
      </c>
      <c r="I1909" s="17" t="n">
        <v>46225</v>
      </c>
      <c r="J1909" s="17" t="n">
        <v>46255</v>
      </c>
      <c r="K1909" t="inlineStr">
        <is>
          <t>DADOS BANCARIOS RECEBIDOS</t>
        </is>
      </c>
    </row>
    <row r="1910">
      <c r="A1910" t="inlineStr">
        <is>
          <t>101911</t>
        </is>
      </c>
      <c r="B1910" t="inlineStr">
        <is>
          <t>INTERLAGOS SERVICE MOTORES LTDA  ME</t>
        </is>
      </c>
      <c r="C1910" t="n">
        <v>2111000000</v>
      </c>
      <c r="D1910" t="inlineStr">
        <is>
          <t>Operational Suppliers (Wind Farms)</t>
        </is>
      </c>
      <c r="E1910" t="n">
        <v>5013497</v>
      </c>
      <c r="F1910" t="inlineStr">
        <is>
          <t>791</t>
        </is>
      </c>
      <c r="G1910" t="inlineStr">
        <is>
          <t>RE</t>
        </is>
      </c>
      <c r="H1910" s="12" t="n">
        <v>-2415.61</v>
      </c>
      <c r="I1910" s="17" t="n">
        <v>46225</v>
      </c>
      <c r="J1910" s="17" t="n">
        <v>46255</v>
      </c>
      <c r="K1910" t="inlineStr">
        <is>
          <t>Fatura - bruto INTERLAGOS SERVICE MOTORES LTDA  ME</t>
        </is>
      </c>
    </row>
    <row r="1911">
      <c r="A1911" t="inlineStr">
        <is>
          <t>101463</t>
        </is>
      </c>
      <c r="B1911" t="inlineStr">
        <is>
          <t>ZURICH MINAS BRASIL SEGUROS S A</t>
        </is>
      </c>
      <c r="C1911" t="n">
        <v>2111000000</v>
      </c>
      <c r="D1911" t="inlineStr">
        <is>
          <t>Insurance</t>
        </is>
      </c>
      <c r="E1911" t="n">
        <v>5013535</v>
      </c>
      <c r="F1911" t="inlineStr">
        <is>
          <t>0351/26</t>
        </is>
      </c>
      <c r="G1911" t="inlineStr">
        <is>
          <t>RE</t>
        </is>
      </c>
      <c r="H1911" s="12" t="n">
        <v>-25.83</v>
      </c>
      <c r="I1911" s="17" t="n">
        <v>46227</v>
      </c>
      <c r="J1911" s="17" t="n">
        <v>46257</v>
      </c>
      <c r="K1911" t="inlineStr">
        <is>
          <t>Invoice Payment. SP: 20509</t>
        </is>
      </c>
    </row>
    <row r="1912">
      <c r="A1912" t="inlineStr">
        <is>
          <t>101463</t>
        </is>
      </c>
      <c r="B1912" t="inlineStr">
        <is>
          <t>ZURICH MINAS BRASIL SEGUROS S A</t>
        </is>
      </c>
      <c r="C1912" t="n">
        <v>2111000000</v>
      </c>
      <c r="D1912" t="inlineStr">
        <is>
          <t>Insurance</t>
        </is>
      </c>
      <c r="E1912" t="n">
        <v>5013542</v>
      </c>
      <c r="F1912" t="inlineStr">
        <is>
          <t>0378/26</t>
        </is>
      </c>
      <c r="G1912" t="inlineStr">
        <is>
          <t>RE</t>
        </is>
      </c>
      <c r="H1912" s="12" t="n">
        <v>-4.01</v>
      </c>
      <c r="I1912" s="17" t="n">
        <v>46227</v>
      </c>
      <c r="J1912" s="17" t="n">
        <v>46257</v>
      </c>
      <c r="K1912" t="inlineStr">
        <is>
          <t>Invoice Payment. SP: 20511</t>
        </is>
      </c>
    </row>
    <row r="1913">
      <c r="A1913" t="inlineStr">
        <is>
          <t>100031</t>
        </is>
      </c>
      <c r="B1913" t="inlineStr">
        <is>
          <t>MEGAWIND INDUSTRIA E COMERCIO</t>
        </is>
      </c>
      <c r="C1913" t="n">
        <v>2111000000</v>
      </c>
      <c r="D1913" t="inlineStr">
        <is>
          <t>Operational Suppliers (Wind Farms)</t>
        </is>
      </c>
      <c r="E1913" t="n">
        <v>5013547</v>
      </c>
      <c r="F1913" t="inlineStr">
        <is>
          <t>1424</t>
        </is>
      </c>
      <c r="G1913" t="inlineStr">
        <is>
          <t>RE</t>
        </is>
      </c>
      <c r="H1913" s="12" t="n">
        <v>-105000</v>
      </c>
      <c r="I1913" s="17" t="n">
        <v>46225</v>
      </c>
      <c r="J1913" s="17" t="n">
        <v>46270</v>
      </c>
      <c r="K1913" t="inlineStr">
        <is>
          <t>Fatura - bruto MEGAWIND INDUSTRIA E COMERCIO 1424</t>
        </is>
      </c>
    </row>
    <row r="1914">
      <c r="A1914" t="inlineStr">
        <is>
          <t>102052</t>
        </is>
      </c>
      <c r="B1914" t="inlineStr">
        <is>
          <t>TOME EQUIPAMENTOS E TRANSPORTES LTD 44384832000124</t>
        </is>
      </c>
      <c r="C1914" t="n">
        <v>2111000000</v>
      </c>
      <c r="D1914" t="inlineStr">
        <is>
          <t>Operational Suppliers (Wind Farms)</t>
        </is>
      </c>
      <c r="E1914" t="n">
        <v>5013548</v>
      </c>
      <c r="F1914" t="inlineStr">
        <is>
          <t>10260</t>
        </is>
      </c>
      <c r="G1914" t="inlineStr">
        <is>
          <t>RE</t>
        </is>
      </c>
      <c r="H1914" s="12" t="n">
        <v>-219764.11</v>
      </c>
      <c r="I1914" s="17" t="n">
        <v>46225</v>
      </c>
      <c r="J1914" s="17" t="n">
        <v>46300</v>
      </c>
      <c r="K1914" t="inlineStr">
        <is>
          <t>Fatura - bruto TOME EQUIPAMENTOS E TRANSPORTES LTD</t>
        </is>
      </c>
    </row>
    <row r="1915">
      <c r="A1915" t="inlineStr">
        <is>
          <t>101463</t>
        </is>
      </c>
      <c r="B1915" t="inlineStr">
        <is>
          <t>ZURICH MINAS BRASIL SEGUROS S A</t>
        </is>
      </c>
      <c r="C1915" t="n">
        <v>2111000000</v>
      </c>
      <c r="D1915" t="inlineStr">
        <is>
          <t>Insurance</t>
        </is>
      </c>
      <c r="E1915" t="n">
        <v>5013549</v>
      </c>
      <c r="F1915" t="inlineStr">
        <is>
          <t>0418/26</t>
        </is>
      </c>
      <c r="G1915" t="inlineStr">
        <is>
          <t>RE</t>
        </is>
      </c>
      <c r="H1915" s="12" t="n">
        <v>-4.01</v>
      </c>
      <c r="I1915" s="17" t="n">
        <v>46227</v>
      </c>
      <c r="J1915" s="17" t="n">
        <v>46257</v>
      </c>
      <c r="K1915" t="inlineStr">
        <is>
          <t>Invoice Payment. SP: 20517</t>
        </is>
      </c>
    </row>
    <row r="1916">
      <c r="A1916" t="inlineStr">
        <is>
          <t>101463</t>
        </is>
      </c>
      <c r="B1916" t="inlineStr">
        <is>
          <t>ZURICH MINAS BRASIL SEGUROS S A</t>
        </is>
      </c>
      <c r="C1916" t="n">
        <v>2111000000</v>
      </c>
      <c r="D1916" t="inlineStr">
        <is>
          <t>Insurance</t>
        </is>
      </c>
      <c r="E1916" t="n">
        <v>5013554</v>
      </c>
      <c r="F1916" t="inlineStr">
        <is>
          <t>0440/26</t>
        </is>
      </c>
      <c r="G1916" t="inlineStr">
        <is>
          <t>RE</t>
        </is>
      </c>
      <c r="H1916" s="12" t="n">
        <v>-8.93</v>
      </c>
      <c r="I1916" s="17" t="n">
        <v>46227</v>
      </c>
      <c r="J1916" s="17" t="n">
        <v>46257</v>
      </c>
      <c r="K1916" t="inlineStr">
        <is>
          <t>Invoice Payment. SP: 20520</t>
        </is>
      </c>
    </row>
    <row r="1917">
      <c r="A1917" t="inlineStr">
        <is>
          <t>101463</t>
        </is>
      </c>
      <c r="B1917" t="inlineStr">
        <is>
          <t>ZURICH MINAS BRASIL SEGUROS S A</t>
        </is>
      </c>
      <c r="C1917" t="n">
        <v>2111000000</v>
      </c>
      <c r="D1917" t="inlineStr">
        <is>
          <t>Insurance</t>
        </is>
      </c>
      <c r="E1917" t="n">
        <v>5013557</v>
      </c>
      <c r="F1917" t="inlineStr">
        <is>
          <t>0444/26</t>
        </is>
      </c>
      <c r="G1917" t="inlineStr">
        <is>
          <t>RE</t>
        </is>
      </c>
      <c r="H1917" s="12" t="n">
        <v>-54.64</v>
      </c>
      <c r="I1917" s="17" t="n">
        <v>46227</v>
      </c>
      <c r="J1917" s="17" t="n">
        <v>46257</v>
      </c>
      <c r="K1917" t="inlineStr">
        <is>
          <t>Invoice Payment. SP: 20522</t>
        </is>
      </c>
    </row>
    <row r="1918">
      <c r="A1918" t="inlineStr">
        <is>
          <t>101463</t>
        </is>
      </c>
      <c r="B1918" t="inlineStr">
        <is>
          <t>ZURICH MINAS BRASIL SEGUROS S A</t>
        </is>
      </c>
      <c r="C1918" t="n">
        <v>2111000000</v>
      </c>
      <c r="D1918" t="inlineStr">
        <is>
          <t>Insurance</t>
        </is>
      </c>
      <c r="E1918" t="n">
        <v>5013559</v>
      </c>
      <c r="F1918" t="inlineStr">
        <is>
          <t>0359/26</t>
        </is>
      </c>
      <c r="G1918" t="inlineStr">
        <is>
          <t>RE</t>
        </is>
      </c>
      <c r="H1918" s="12" t="n">
        <v>-0.54</v>
      </c>
      <c r="I1918" s="17" t="n">
        <v>46227</v>
      </c>
      <c r="J1918" s="17" t="n">
        <v>46257</v>
      </c>
      <c r="K1918" t="inlineStr">
        <is>
          <t>Invoice Payment. SP: 20524</t>
        </is>
      </c>
    </row>
    <row r="1919">
      <c r="A1919" t="inlineStr">
        <is>
          <t>101463</t>
        </is>
      </c>
      <c r="B1919" t="inlineStr">
        <is>
          <t>ZURICH MINAS BRASIL SEGUROS S A</t>
        </is>
      </c>
      <c r="C1919" t="n">
        <v>2111000000</v>
      </c>
      <c r="D1919" t="inlineStr">
        <is>
          <t>Insurance</t>
        </is>
      </c>
      <c r="E1919" t="n">
        <v>5013561</v>
      </c>
      <c r="F1919" t="inlineStr">
        <is>
          <t>0408/26</t>
        </is>
      </c>
      <c r="G1919" t="inlineStr">
        <is>
          <t>RE</t>
        </is>
      </c>
      <c r="H1919" s="12" t="n">
        <v>-181.69</v>
      </c>
      <c r="I1919" s="17" t="n">
        <v>46227</v>
      </c>
      <c r="J1919" s="17" t="n">
        <v>46257</v>
      </c>
      <c r="K1919" t="inlineStr">
        <is>
          <t>Invoice Payment. SP: 20526</t>
        </is>
      </c>
    </row>
    <row r="1920">
      <c r="A1920" t="inlineStr">
        <is>
          <t>101463</t>
        </is>
      </c>
      <c r="B1920" t="inlineStr">
        <is>
          <t>ZURICH MINAS BRASIL SEGUROS S A</t>
        </is>
      </c>
      <c r="C1920" t="n">
        <v>2111000000</v>
      </c>
      <c r="D1920" t="inlineStr">
        <is>
          <t>Insurance</t>
        </is>
      </c>
      <c r="E1920" t="n">
        <v>5013578</v>
      </c>
      <c r="F1920" t="inlineStr">
        <is>
          <t>0369/26</t>
        </is>
      </c>
      <c r="G1920" t="inlineStr">
        <is>
          <t>RE</t>
        </is>
      </c>
      <c r="H1920" s="12" t="n">
        <v>-9.380000000000001</v>
      </c>
      <c r="I1920" s="17" t="n">
        <v>46227</v>
      </c>
      <c r="J1920" s="17" t="n">
        <v>46257</v>
      </c>
      <c r="K1920" t="inlineStr">
        <is>
          <t>Invoice Payment. SP: 20528</t>
        </is>
      </c>
    </row>
    <row r="1921">
      <c r="A1921" t="inlineStr">
        <is>
          <t>102060</t>
        </is>
      </c>
      <c r="B1921" t="inlineStr">
        <is>
          <t>INGETEAM LTDA 03306629000152</t>
        </is>
      </c>
      <c r="C1921" t="n">
        <v>2111000000</v>
      </c>
      <c r="D1921" t="inlineStr">
        <is>
          <t>Operational Suppliers (Wind Farms)</t>
        </is>
      </c>
      <c r="E1921" t="n">
        <v>5013583</v>
      </c>
      <c r="F1921" t="inlineStr">
        <is>
          <t>000018388-1</t>
        </is>
      </c>
      <c r="G1921" t="inlineStr">
        <is>
          <t>RE</t>
        </is>
      </c>
      <c r="H1921" s="12" t="n">
        <v>-1137.82</v>
      </c>
      <c r="I1921" s="17" t="n">
        <v>46198</v>
      </c>
      <c r="J1921" s="17" t="n">
        <v>46270</v>
      </c>
      <c r="K1921" t="inlineStr">
        <is>
          <t>Fatura - bruto INGETEAM LTDA 03306629000152 000018</t>
        </is>
      </c>
    </row>
    <row r="1922">
      <c r="A1922" t="inlineStr">
        <is>
          <t>102017</t>
        </is>
      </c>
      <c r="B1922" t="inlineStr">
        <is>
          <t>GLOBO COMERCIO DE MAQUINAS E FERRAM</t>
        </is>
      </c>
      <c r="C1922" t="n">
        <v>2111000000</v>
      </c>
      <c r="D1922" t="inlineStr">
        <is>
          <t>Other Suppliers</t>
        </is>
      </c>
      <c r="E1922" t="n">
        <v>5013586</v>
      </c>
      <c r="F1922" t="inlineStr">
        <is>
          <t>000022390-1</t>
        </is>
      </c>
      <c r="G1922" t="inlineStr">
        <is>
          <t>RE</t>
        </is>
      </c>
      <c r="H1922" s="12" t="n">
        <v>-8772.299999999999</v>
      </c>
      <c r="I1922" s="17" t="n">
        <v>46219</v>
      </c>
      <c r="J1922" s="17" t="n">
        <v>46270</v>
      </c>
      <c r="K1922" t="inlineStr">
        <is>
          <t>Fatura - bruto GLOBO COMERCIO DE MAQUINAS E FERRAM</t>
        </is>
      </c>
    </row>
    <row r="1923">
      <c r="A1923" t="inlineStr">
        <is>
          <t>101929</t>
        </is>
      </c>
      <c r="B1923" t="inlineStr">
        <is>
          <t>TECNOFIX INDUSTRIA E COMERCIO DE PA</t>
        </is>
      </c>
      <c r="C1923" t="n">
        <v>2111000000</v>
      </c>
      <c r="D1923" t="inlineStr">
        <is>
          <t>Operational Suppliers (Wind Farms)</t>
        </is>
      </c>
      <c r="E1923" t="n">
        <v>5013592</v>
      </c>
      <c r="F1923" t="inlineStr">
        <is>
          <t>000031363-1</t>
        </is>
      </c>
      <c r="G1923" t="inlineStr">
        <is>
          <t>RE</t>
        </is>
      </c>
      <c r="H1923" s="12" t="n">
        <v>-24748.31</v>
      </c>
      <c r="I1923" s="17" t="n">
        <v>46223</v>
      </c>
      <c r="J1923" s="17" t="n">
        <v>46300</v>
      </c>
      <c r="K1923" t="inlineStr">
        <is>
          <t>Fatura - bruto TECNOFIX INDUSTRIA E COMERCIO DE PA</t>
        </is>
      </c>
    </row>
    <row r="1924">
      <c r="A1924" t="inlineStr">
        <is>
          <t>101907</t>
        </is>
      </c>
      <c r="B1924" t="inlineStr">
        <is>
          <t>F H F DE LIMA</t>
        </is>
      </c>
      <c r="C1924" t="n">
        <v>2111000000</v>
      </c>
      <c r="D1924" t="inlineStr">
        <is>
          <t>Other Suppliers</t>
        </is>
      </c>
      <c r="E1924" t="n">
        <v>5013594</v>
      </c>
      <c r="F1924" t="inlineStr">
        <is>
          <t>000034700-1</t>
        </is>
      </c>
      <c r="G1924" t="inlineStr">
        <is>
          <t>RE</t>
        </is>
      </c>
      <c r="H1924" s="12" t="n">
        <v>-1250</v>
      </c>
      <c r="I1924" s="17" t="n">
        <v>46224</v>
      </c>
      <c r="J1924" s="17" t="n">
        <v>46270</v>
      </c>
      <c r="K1924" t="inlineStr">
        <is>
          <t>Fatura - bruto F H F DE LIMA 000034700-1</t>
        </is>
      </c>
    </row>
    <row r="1925">
      <c r="A1925" t="inlineStr">
        <is>
          <t>101907</t>
        </is>
      </c>
      <c r="B1925" t="inlineStr">
        <is>
          <t>F H F DE LIMA</t>
        </is>
      </c>
      <c r="C1925" t="n">
        <v>2111000000</v>
      </c>
      <c r="D1925" t="inlineStr">
        <is>
          <t>Other Suppliers</t>
        </is>
      </c>
      <c r="E1925" t="n">
        <v>5013595</v>
      </c>
      <c r="F1925" t="inlineStr">
        <is>
          <t>000034704-1</t>
        </is>
      </c>
      <c r="G1925" t="inlineStr">
        <is>
          <t>RE</t>
        </is>
      </c>
      <c r="H1925" s="12" t="n">
        <v>-1250</v>
      </c>
      <c r="I1925" s="17" t="n">
        <v>46224</v>
      </c>
      <c r="J1925" s="17" t="n">
        <v>46270</v>
      </c>
      <c r="K1925" t="inlineStr">
        <is>
          <t>Fatura - bruto F H F DE LIMA 000034704-1</t>
        </is>
      </c>
    </row>
    <row r="1926">
      <c r="A1926" t="inlineStr">
        <is>
          <t>101176</t>
        </is>
      </c>
      <c r="B1926" t="inlineStr">
        <is>
          <t>DEUBLIN BRASIL JUNTAS ROTATIVAS DE</t>
        </is>
      </c>
      <c r="C1926" t="n">
        <v>2111000000</v>
      </c>
      <c r="D1926" t="inlineStr">
        <is>
          <t>Operational Suppliers (Wind Farms)</t>
        </is>
      </c>
      <c r="E1926" t="n">
        <v>5013619</v>
      </c>
      <c r="F1926" t="inlineStr">
        <is>
          <t>000045251-2</t>
        </is>
      </c>
      <c r="G1926" t="inlineStr">
        <is>
          <t>RE</t>
        </is>
      </c>
      <c r="H1926" s="12" t="n">
        <v>-134337.48</v>
      </c>
      <c r="I1926" s="17" t="n">
        <v>46203</v>
      </c>
      <c r="J1926" s="17" t="n">
        <v>46270</v>
      </c>
      <c r="K1926" t="inlineStr">
        <is>
          <t>Fatura - bruto DEUBLIN BRASIL JUNTAS ROTATIVAS DE</t>
        </is>
      </c>
    </row>
    <row r="1927">
      <c r="A1927" t="inlineStr">
        <is>
          <t>101176</t>
        </is>
      </c>
      <c r="B1927" t="inlineStr">
        <is>
          <t>DEUBLIN BRASIL JUNTAS ROTATIVAS DE</t>
        </is>
      </c>
      <c r="C1927" t="n">
        <v>2111000000</v>
      </c>
      <c r="D1927" t="inlineStr">
        <is>
          <t>Operational Suppliers (Wind Farms)</t>
        </is>
      </c>
      <c r="E1927" t="n">
        <v>5013620</v>
      </c>
      <c r="F1927" t="inlineStr">
        <is>
          <t>000045252-2</t>
        </is>
      </c>
      <c r="G1927" t="inlineStr">
        <is>
          <t>RE</t>
        </is>
      </c>
      <c r="H1927" s="12" t="n">
        <v>-213406.8</v>
      </c>
      <c r="I1927" s="17" t="n">
        <v>46203</v>
      </c>
      <c r="J1927" s="17" t="n">
        <v>46270</v>
      </c>
      <c r="K1927" t="inlineStr">
        <is>
          <t>Fatura - bruto DEUBLIN BRASIL JUNTAS ROTATIVAS DE</t>
        </is>
      </c>
    </row>
    <row r="1928">
      <c r="A1928" t="inlineStr">
        <is>
          <t>100485</t>
        </is>
      </c>
      <c r="B1928" t="inlineStr">
        <is>
          <t>FUCHS LUBRIFICANTES DO BRASIL LTDA</t>
        </is>
      </c>
      <c r="C1928" t="n">
        <v>2111000000</v>
      </c>
      <c r="D1928" t="inlineStr">
        <is>
          <t>Operational Suppliers (Wind Farms)</t>
        </is>
      </c>
      <c r="E1928" t="n">
        <v>5013622</v>
      </c>
      <c r="F1928" t="inlineStr">
        <is>
          <t>000102868-000</t>
        </is>
      </c>
      <c r="G1928" t="inlineStr">
        <is>
          <t>RE</t>
        </is>
      </c>
      <c r="H1928" s="12" t="n">
        <v>-54898</v>
      </c>
      <c r="I1928" s="17" t="n">
        <v>46211</v>
      </c>
      <c r="J1928" s="17" t="n">
        <v>46270</v>
      </c>
      <c r="K1928" t="inlineStr">
        <is>
          <t>Fatura - bruto FUCHS LUBRIFICANTES DO BRASIL LTDA</t>
        </is>
      </c>
    </row>
    <row r="1929">
      <c r="A1929" t="inlineStr">
        <is>
          <t>101463</t>
        </is>
      </c>
      <c r="B1929" t="inlineStr">
        <is>
          <t>ZURICH MINAS BRASIL SEGUROS S A</t>
        </is>
      </c>
      <c r="C1929" t="n">
        <v>2111000000</v>
      </c>
      <c r="D1929" t="inlineStr">
        <is>
          <t>Insurance</t>
        </is>
      </c>
      <c r="E1929" t="n">
        <v>5013623</v>
      </c>
      <c r="F1929" t="inlineStr">
        <is>
          <t>0322/26</t>
        </is>
      </c>
      <c r="G1929" t="inlineStr">
        <is>
          <t>RE</t>
        </is>
      </c>
      <c r="H1929" s="12" t="n">
        <v>-11.85</v>
      </c>
      <c r="I1929" s="17" t="n">
        <v>46230</v>
      </c>
      <c r="J1929" s="17" t="n">
        <v>46260</v>
      </c>
      <c r="K1929" t="inlineStr">
        <is>
          <t>Invoice Payment. SP: 20538</t>
        </is>
      </c>
    </row>
    <row r="1930">
      <c r="A1930" t="inlineStr">
        <is>
          <t>101463</t>
        </is>
      </c>
      <c r="B1930" t="inlineStr">
        <is>
          <t>ZURICH MINAS BRASIL SEGUROS S A</t>
        </is>
      </c>
      <c r="C1930" t="n">
        <v>2111000000</v>
      </c>
      <c r="D1930" t="inlineStr">
        <is>
          <t>Insurance</t>
        </is>
      </c>
      <c r="E1930" t="n">
        <v>5013625</v>
      </c>
      <c r="F1930" t="inlineStr">
        <is>
          <t>0349/26</t>
        </is>
      </c>
      <c r="G1930" t="inlineStr">
        <is>
          <t>RE</t>
        </is>
      </c>
      <c r="H1930" s="12" t="n">
        <v>-73.95999999999999</v>
      </c>
      <c r="I1930" s="17" t="n">
        <v>46230</v>
      </c>
      <c r="J1930" s="17" t="n">
        <v>46260</v>
      </c>
      <c r="K1930" t="inlineStr">
        <is>
          <t>Invoice Payment. SP: 20540</t>
        </is>
      </c>
    </row>
    <row r="1931">
      <c r="A1931" t="inlineStr">
        <is>
          <t>101463</t>
        </is>
      </c>
      <c r="B1931" t="inlineStr">
        <is>
          <t>ZURICH MINAS BRASIL SEGUROS S A</t>
        </is>
      </c>
      <c r="C1931" t="n">
        <v>2111000000</v>
      </c>
      <c r="D1931" t="inlineStr">
        <is>
          <t>Insurance</t>
        </is>
      </c>
      <c r="E1931" t="n">
        <v>5013627</v>
      </c>
      <c r="F1931" t="inlineStr">
        <is>
          <t>0415/26</t>
        </is>
      </c>
      <c r="G1931" t="inlineStr">
        <is>
          <t>RE</t>
        </is>
      </c>
      <c r="H1931" s="12" t="n">
        <v>-233.24</v>
      </c>
      <c r="I1931" s="17" t="n">
        <v>46230</v>
      </c>
      <c r="J1931" s="17" t="n">
        <v>46260</v>
      </c>
      <c r="K1931" t="inlineStr">
        <is>
          <t>Invoice Payment. SP: 20542</t>
        </is>
      </c>
    </row>
    <row r="1932">
      <c r="A1932" t="inlineStr">
        <is>
          <t>101463</t>
        </is>
      </c>
      <c r="B1932" t="inlineStr">
        <is>
          <t>ZURICH MINAS BRASIL SEGUROS S A</t>
        </is>
      </c>
      <c r="C1932" t="n">
        <v>2111000000</v>
      </c>
      <c r="D1932" t="inlineStr">
        <is>
          <t>Insurance</t>
        </is>
      </c>
      <c r="E1932" t="n">
        <v>5013629</v>
      </c>
      <c r="F1932" t="inlineStr">
        <is>
          <t>0420/26</t>
        </is>
      </c>
      <c r="G1932" t="inlineStr">
        <is>
          <t>RE</t>
        </is>
      </c>
      <c r="H1932" s="12" t="n">
        <v>-46.17</v>
      </c>
      <c r="I1932" s="17" t="n">
        <v>46230</v>
      </c>
      <c r="J1932" s="17" t="n">
        <v>46260</v>
      </c>
      <c r="K1932" t="inlineStr">
        <is>
          <t>Invoice Payment. SP: 20544</t>
        </is>
      </c>
    </row>
    <row r="1933">
      <c r="A1933" t="inlineStr">
        <is>
          <t>101463</t>
        </is>
      </c>
      <c r="B1933" t="inlineStr">
        <is>
          <t>ZURICH MINAS BRASIL SEGUROS S A</t>
        </is>
      </c>
      <c r="C1933" t="n">
        <v>2111000000</v>
      </c>
      <c r="D1933" t="inlineStr">
        <is>
          <t>Insurance</t>
        </is>
      </c>
      <c r="E1933" t="n">
        <v>5013631</v>
      </c>
      <c r="F1933" t="inlineStr">
        <is>
          <t>0325/26</t>
        </is>
      </c>
      <c r="G1933" t="inlineStr">
        <is>
          <t>RE</t>
        </is>
      </c>
      <c r="H1933" s="12" t="n">
        <v>-48.24</v>
      </c>
      <c r="I1933" s="17" t="n">
        <v>46230</v>
      </c>
      <c r="J1933" s="17" t="n">
        <v>46260</v>
      </c>
      <c r="K1933" t="inlineStr">
        <is>
          <t>Invoice Payment. SP: 20546</t>
        </is>
      </c>
    </row>
    <row r="1934">
      <c r="A1934" t="inlineStr">
        <is>
          <t>102017</t>
        </is>
      </c>
      <c r="B1934" t="inlineStr">
        <is>
          <t>GLOBO COMERCIO DE MAQUINAS E FERRAM</t>
        </is>
      </c>
      <c r="C1934" t="n">
        <v>2111000000</v>
      </c>
      <c r="D1934" t="inlineStr">
        <is>
          <t>Other Suppliers</t>
        </is>
      </c>
      <c r="E1934" t="n">
        <v>5013632</v>
      </c>
      <c r="F1934" t="inlineStr">
        <is>
          <t>22377-1</t>
        </is>
      </c>
      <c r="G1934" t="inlineStr">
        <is>
          <t>RE</t>
        </is>
      </c>
      <c r="H1934" s="12" t="n">
        <v>-34822</v>
      </c>
      <c r="I1934" s="17" t="n">
        <v>46217</v>
      </c>
      <c r="J1934" s="17" t="n">
        <v>46274</v>
      </c>
      <c r="K1934" t="inlineStr">
        <is>
          <t>Fatura - bruto GLOBO COMERCIO DE MAQUINAS E FERRAM</t>
        </is>
      </c>
    </row>
    <row r="1935">
      <c r="A1935" t="inlineStr">
        <is>
          <t>101463</t>
        </is>
      </c>
      <c r="B1935" t="inlineStr">
        <is>
          <t>ZURICH MINAS BRASIL SEGUROS S A</t>
        </is>
      </c>
      <c r="C1935" t="n">
        <v>2111000000</v>
      </c>
      <c r="D1935" t="inlineStr">
        <is>
          <t>Insurance</t>
        </is>
      </c>
      <c r="E1935" t="n">
        <v>5013639</v>
      </c>
      <c r="F1935" t="inlineStr">
        <is>
          <t>0350/26</t>
        </is>
      </c>
      <c r="G1935" t="inlineStr">
        <is>
          <t>RE</t>
        </is>
      </c>
      <c r="H1935" s="12" t="n">
        <v>-246.88</v>
      </c>
      <c r="I1935" s="17" t="n">
        <v>46230</v>
      </c>
      <c r="J1935" s="17" t="n">
        <v>46260</v>
      </c>
      <c r="K1935" t="inlineStr">
        <is>
          <t>Invoice Payment. SP: 20549</t>
        </is>
      </c>
    </row>
    <row r="1936">
      <c r="A1936" t="inlineStr">
        <is>
          <t>101463</t>
        </is>
      </c>
      <c r="B1936" t="inlineStr">
        <is>
          <t>ZURICH MINAS BRASIL SEGUROS S A</t>
        </is>
      </c>
      <c r="C1936" t="n">
        <v>2111000000</v>
      </c>
      <c r="D1936" t="inlineStr">
        <is>
          <t>Insurance</t>
        </is>
      </c>
      <c r="E1936" t="n">
        <v>5013648</v>
      </c>
      <c r="F1936" t="inlineStr">
        <is>
          <t>0437/26</t>
        </is>
      </c>
      <c r="G1936" t="inlineStr">
        <is>
          <t>RE</t>
        </is>
      </c>
      <c r="H1936" s="12" t="n">
        <v>-717.65</v>
      </c>
      <c r="I1936" s="17" t="n">
        <v>46230</v>
      </c>
      <c r="J1936" s="17" t="n">
        <v>46260</v>
      </c>
      <c r="K1936" t="inlineStr">
        <is>
          <t>Invoice Payment. SP: 20551</t>
        </is>
      </c>
    </row>
    <row r="1937">
      <c r="A1937" t="inlineStr">
        <is>
          <t>101463</t>
        </is>
      </c>
      <c r="B1937" t="inlineStr">
        <is>
          <t>ZURICH MINAS BRASIL SEGUROS S A</t>
        </is>
      </c>
      <c r="C1937" t="n">
        <v>2111000000</v>
      </c>
      <c r="D1937" t="inlineStr">
        <is>
          <t>Insurance</t>
        </is>
      </c>
      <c r="E1937" t="n">
        <v>5013652</v>
      </c>
      <c r="F1937" t="inlineStr">
        <is>
          <t>0315/26</t>
        </is>
      </c>
      <c r="G1937" t="inlineStr">
        <is>
          <t>RE</t>
        </is>
      </c>
      <c r="H1937" s="12" t="n">
        <v>-25.41</v>
      </c>
      <c r="I1937" s="17" t="n">
        <v>46230</v>
      </c>
      <c r="J1937" s="17" t="n">
        <v>46260</v>
      </c>
      <c r="K1937" t="inlineStr">
        <is>
          <t>Invoice Payment. SP: 20553</t>
        </is>
      </c>
    </row>
    <row r="1938">
      <c r="A1938" t="inlineStr">
        <is>
          <t>101463</t>
        </is>
      </c>
      <c r="B1938" t="inlineStr">
        <is>
          <t>ZURICH MINAS BRASIL SEGUROS S A</t>
        </is>
      </c>
      <c r="C1938" t="n">
        <v>2111000000</v>
      </c>
      <c r="D1938" t="inlineStr">
        <is>
          <t>Insurance</t>
        </is>
      </c>
      <c r="E1938" t="n">
        <v>5013658</v>
      </c>
      <c r="F1938" t="inlineStr">
        <is>
          <t>0391/26</t>
        </is>
      </c>
      <c r="G1938" t="inlineStr">
        <is>
          <t>RE</t>
        </is>
      </c>
      <c r="H1938" s="12" t="n">
        <v>-15.61</v>
      </c>
      <c r="I1938" s="17" t="n">
        <v>46230</v>
      </c>
      <c r="J1938" s="17" t="n">
        <v>46260</v>
      </c>
      <c r="K1938" t="inlineStr">
        <is>
          <t>Invoice Payment. SP: 20555</t>
        </is>
      </c>
    </row>
    <row r="1939">
      <c r="A1939" t="inlineStr">
        <is>
          <t>101463</t>
        </is>
      </c>
      <c r="B1939" t="inlineStr">
        <is>
          <t>ZURICH MINAS BRASIL SEGUROS S A</t>
        </is>
      </c>
      <c r="C1939" t="n">
        <v>2111000000</v>
      </c>
      <c r="D1939" t="inlineStr">
        <is>
          <t>Insurance</t>
        </is>
      </c>
      <c r="E1939" t="n">
        <v>5013662</v>
      </c>
      <c r="F1939" t="inlineStr">
        <is>
          <t>0309/26</t>
        </is>
      </c>
      <c r="G1939" t="inlineStr">
        <is>
          <t>RE</t>
        </is>
      </c>
      <c r="H1939" s="12" t="n">
        <v>-218.47</v>
      </c>
      <c r="I1939" s="17" t="n">
        <v>46230</v>
      </c>
      <c r="J1939" s="17" t="n">
        <v>46260</v>
      </c>
      <c r="K1939" t="inlineStr">
        <is>
          <t>Invoice Payment. SP: 20557</t>
        </is>
      </c>
    </row>
    <row r="1940">
      <c r="A1940" t="inlineStr">
        <is>
          <t>101463</t>
        </is>
      </c>
      <c r="B1940" t="inlineStr">
        <is>
          <t>ZURICH MINAS BRASIL SEGUROS S A</t>
        </is>
      </c>
      <c r="C1940" t="n">
        <v>2111000000</v>
      </c>
      <c r="D1940" t="inlineStr">
        <is>
          <t>Insurance</t>
        </is>
      </c>
      <c r="E1940" t="n">
        <v>5013667</v>
      </c>
      <c r="F1940" t="inlineStr">
        <is>
          <t>0392/26</t>
        </is>
      </c>
      <c r="G1940" t="inlineStr">
        <is>
          <t>RE</t>
        </is>
      </c>
      <c r="H1940" s="12" t="n">
        <v>-249.98</v>
      </c>
      <c r="I1940" s="17" t="n">
        <v>46230</v>
      </c>
      <c r="J1940" s="17" t="n">
        <v>46260</v>
      </c>
      <c r="K1940" t="inlineStr">
        <is>
          <t>Invoice Payment. SP: 20559</t>
        </is>
      </c>
    </row>
    <row r="1941">
      <c r="A1941" t="inlineStr">
        <is>
          <t>101463</t>
        </is>
      </c>
      <c r="B1941" t="inlineStr">
        <is>
          <t>ZURICH MINAS BRASIL SEGUROS S A</t>
        </is>
      </c>
      <c r="C1941" t="n">
        <v>2111000000</v>
      </c>
      <c r="D1941" t="inlineStr">
        <is>
          <t>Insurance</t>
        </is>
      </c>
      <c r="E1941" t="n">
        <v>5013677</v>
      </c>
      <c r="F1941" t="inlineStr">
        <is>
          <t>0357/26</t>
        </is>
      </c>
      <c r="G1941" t="inlineStr">
        <is>
          <t>RE</t>
        </is>
      </c>
      <c r="H1941" s="12" t="n">
        <v>-1010.29</v>
      </c>
      <c r="I1941" s="17" t="n">
        <v>46230</v>
      </c>
      <c r="J1941" s="17" t="n">
        <v>46260</v>
      </c>
      <c r="K1941" t="inlineStr">
        <is>
          <t>Invoice Payment. SP: 20579</t>
        </is>
      </c>
    </row>
    <row r="1942">
      <c r="A1942" t="inlineStr">
        <is>
          <t>101463</t>
        </is>
      </c>
      <c r="B1942" t="inlineStr">
        <is>
          <t>ZURICH MINAS BRASIL SEGUROS S A</t>
        </is>
      </c>
      <c r="C1942" t="n">
        <v>2111000000</v>
      </c>
      <c r="D1942" t="inlineStr">
        <is>
          <t>Insurance</t>
        </is>
      </c>
      <c r="E1942" t="n">
        <v>5013679</v>
      </c>
      <c r="F1942" t="inlineStr">
        <is>
          <t>0376/26</t>
        </is>
      </c>
      <c r="G1942" t="inlineStr">
        <is>
          <t>RE</t>
        </is>
      </c>
      <c r="H1942" s="12" t="n">
        <v>-152.62</v>
      </c>
      <c r="I1942" s="17" t="n">
        <v>46230</v>
      </c>
      <c r="J1942" s="17" t="n">
        <v>46260</v>
      </c>
      <c r="K1942" t="inlineStr">
        <is>
          <t>Invoice Payment. SP: 20581</t>
        </is>
      </c>
    </row>
    <row r="1943">
      <c r="A1943" t="inlineStr">
        <is>
          <t>101463</t>
        </is>
      </c>
      <c r="B1943" t="inlineStr">
        <is>
          <t>ZURICH MINAS BRASIL SEGUROS S A</t>
        </is>
      </c>
      <c r="C1943" t="n">
        <v>2111000000</v>
      </c>
      <c r="D1943" t="inlineStr">
        <is>
          <t>Insurance</t>
        </is>
      </c>
      <c r="E1943" t="n">
        <v>5013682</v>
      </c>
      <c r="F1943" t="inlineStr">
        <is>
          <t>0390/26</t>
        </is>
      </c>
      <c r="G1943" t="inlineStr">
        <is>
          <t>RE</t>
        </is>
      </c>
      <c r="H1943" s="12" t="n">
        <v>-128.01</v>
      </c>
      <c r="I1943" s="17" t="n">
        <v>46230</v>
      </c>
      <c r="J1943" s="17" t="n">
        <v>46260</v>
      </c>
      <c r="K1943" t="inlineStr">
        <is>
          <t>Invoice Payment. SP: 20584</t>
        </is>
      </c>
    </row>
    <row r="1944">
      <c r="A1944" t="inlineStr">
        <is>
          <t>101826</t>
        </is>
      </c>
      <c r="B1944" t="inlineStr">
        <is>
          <t>BUNZL EQUIP DE PROTECÃO INDIVIDUAL</t>
        </is>
      </c>
      <c r="C1944" t="n">
        <v>2111000000</v>
      </c>
      <c r="D1944" t="inlineStr">
        <is>
          <t>Other Suppliers</t>
        </is>
      </c>
      <c r="E1944" t="n">
        <v>5013683</v>
      </c>
      <c r="F1944" t="inlineStr">
        <is>
          <t>1820775-1</t>
        </is>
      </c>
      <c r="G1944" t="inlineStr">
        <is>
          <t>RE</t>
        </is>
      </c>
      <c r="H1944" s="12" t="n">
        <v>-13200</v>
      </c>
      <c r="I1944" s="17" t="n">
        <v>46198</v>
      </c>
      <c r="J1944" s="17" t="n">
        <v>46270</v>
      </c>
      <c r="K1944" t="inlineStr">
        <is>
          <t>Fatura - bruto BUNZL EQUIP DE PROTECÃO INDIVIDUAL</t>
        </is>
      </c>
    </row>
    <row r="1945">
      <c r="A1945" t="inlineStr">
        <is>
          <t>101463</t>
        </is>
      </c>
      <c r="B1945" t="inlineStr">
        <is>
          <t>ZURICH MINAS BRASIL SEGUROS S A</t>
        </is>
      </c>
      <c r="C1945" t="n">
        <v>2111000000</v>
      </c>
      <c r="D1945" t="inlineStr">
        <is>
          <t>Insurance</t>
        </is>
      </c>
      <c r="E1945" t="n">
        <v>5013685</v>
      </c>
      <c r="F1945" t="inlineStr">
        <is>
          <t>0406/26</t>
        </is>
      </c>
      <c r="G1945" t="inlineStr">
        <is>
          <t>RE</t>
        </is>
      </c>
      <c r="H1945" s="12" t="n">
        <v>-248.54</v>
      </c>
      <c r="I1945" s="17" t="n">
        <v>46230</v>
      </c>
      <c r="J1945" s="17" t="n">
        <v>46260</v>
      </c>
      <c r="K1945" t="inlineStr">
        <is>
          <t>Invoice Payment. SP: 20586</t>
        </is>
      </c>
    </row>
    <row r="1946">
      <c r="A1946" t="inlineStr">
        <is>
          <t>100031</t>
        </is>
      </c>
      <c r="B1946" t="inlineStr">
        <is>
          <t>MEGAWIND INDUSTRIA E COMERCIO</t>
        </is>
      </c>
      <c r="C1946" t="n">
        <v>2111000000</v>
      </c>
      <c r="D1946" t="inlineStr">
        <is>
          <t>Operational Suppliers (Wind Farms)</t>
        </is>
      </c>
      <c r="E1946" t="n">
        <v>5013688</v>
      </c>
      <c r="F1946" t="inlineStr">
        <is>
          <t>1426</t>
        </is>
      </c>
      <c r="G1946" t="inlineStr">
        <is>
          <t>RE</t>
        </is>
      </c>
      <c r="H1946" s="12" t="n">
        <v>-132000</v>
      </c>
      <c r="I1946" s="17" t="n">
        <v>46227</v>
      </c>
      <c r="J1946" s="17" t="n">
        <v>46270</v>
      </c>
      <c r="K1946" t="inlineStr">
        <is>
          <t>Fatura - bruto MEGAWIND INDUSTRIA E COMERCIO 1426</t>
        </is>
      </c>
    </row>
    <row r="1947">
      <c r="A1947" t="inlineStr">
        <is>
          <t>100031</t>
        </is>
      </c>
      <c r="B1947" t="inlineStr">
        <is>
          <t>MEGAWIND INDUSTRIA E COMERCIO</t>
        </is>
      </c>
      <c r="C1947" t="n">
        <v>2111000000</v>
      </c>
      <c r="D1947" t="inlineStr">
        <is>
          <t>Operational Suppliers (Wind Farms)</t>
        </is>
      </c>
      <c r="E1947" t="n">
        <v>5013689</v>
      </c>
      <c r="F1947" t="inlineStr">
        <is>
          <t>1428</t>
        </is>
      </c>
      <c r="G1947" t="inlineStr">
        <is>
          <t>RE</t>
        </is>
      </c>
      <c r="H1947" s="12" t="n">
        <v>-5500</v>
      </c>
      <c r="I1947" s="17" t="n">
        <v>46227</v>
      </c>
      <c r="J1947" s="17" t="n">
        <v>46270</v>
      </c>
      <c r="K1947" t="inlineStr">
        <is>
          <t>Fatura - bruto MEGAWIND INDUSTRIA E COMERCIO 1428</t>
        </is>
      </c>
    </row>
    <row r="1948">
      <c r="A1948" t="inlineStr">
        <is>
          <t>101559</t>
        </is>
      </c>
      <c r="B1948" t="inlineStr">
        <is>
          <t>SIND DOS DESPACH ADUANEIROS DE SANT</t>
        </is>
      </c>
      <c r="C1948" t="n">
        <v>2111000000</v>
      </c>
      <c r="D1948" t="inlineStr">
        <is>
          <t>Customs Brokerage – Overall</t>
        </is>
      </c>
      <c r="E1948" t="n">
        <v>5013710</v>
      </c>
      <c r="F1948" t="inlineStr">
        <is>
          <t>6588885</t>
        </is>
      </c>
      <c r="G1948" t="inlineStr">
        <is>
          <t>KR</t>
        </is>
      </c>
      <c r="H1948" s="12" t="n">
        <v>-500</v>
      </c>
      <c r="I1948" s="17" t="n">
        <v>44894</v>
      </c>
      <c r="J1948" s="17" t="n">
        <v>44894</v>
      </c>
      <c r="K1948" t="inlineStr">
        <is>
          <t>LDVVNLZ0088</t>
        </is>
      </c>
    </row>
    <row r="1949">
      <c r="A1949" t="inlineStr">
        <is>
          <t>100883</t>
        </is>
      </c>
      <c r="B1949" t="inlineStr">
        <is>
          <t>QUELMAR TRANSPORTES LTDA</t>
        </is>
      </c>
      <c r="C1949" t="n">
        <v>2111000000</v>
      </c>
      <c r="D1949" t="inlineStr">
        <is>
          <t>Operational Suppliers (Wind Farms)</t>
        </is>
      </c>
      <c r="E1949" t="n">
        <v>5013719</v>
      </c>
      <c r="F1949" t="inlineStr">
        <is>
          <t>6186-2</t>
        </is>
      </c>
      <c r="G1949" t="inlineStr">
        <is>
          <t>RE</t>
        </is>
      </c>
      <c r="H1949" s="12" t="n">
        <v>-980</v>
      </c>
      <c r="I1949" s="17" t="n">
        <v>46210</v>
      </c>
      <c r="J1949" s="17" t="n">
        <v>46270</v>
      </c>
      <c r="K1949" t="inlineStr">
        <is>
          <t>Fatura - bruto QUELMAR TRANSPORTES LTDA 6186-2</t>
        </is>
      </c>
    </row>
    <row r="1950">
      <c r="A1950" t="inlineStr">
        <is>
          <t>100883</t>
        </is>
      </c>
      <c r="B1950" t="inlineStr">
        <is>
          <t>QUELMAR TRANSPORTES LTDA</t>
        </is>
      </c>
      <c r="C1950" t="n">
        <v>2111000000</v>
      </c>
      <c r="D1950" t="inlineStr">
        <is>
          <t>Operational Suppliers (Wind Farms)</t>
        </is>
      </c>
      <c r="E1950" t="n">
        <v>5013720</v>
      </c>
      <c r="F1950" t="inlineStr">
        <is>
          <t>6190-2</t>
        </is>
      </c>
      <c r="G1950" t="inlineStr">
        <is>
          <t>RE</t>
        </is>
      </c>
      <c r="H1950" s="12" t="n">
        <v>-3980</v>
      </c>
      <c r="I1950" s="17" t="n">
        <v>46211</v>
      </c>
      <c r="J1950" s="17" t="n">
        <v>46270</v>
      </c>
      <c r="K1950" t="inlineStr">
        <is>
          <t>Fatura - bruto QUELMAR TRANSPORTES LTDA 6190-2</t>
        </is>
      </c>
    </row>
    <row r="1951">
      <c r="A1951" t="inlineStr">
        <is>
          <t>100883</t>
        </is>
      </c>
      <c r="B1951" t="inlineStr">
        <is>
          <t>QUELMAR TRANSPORTES LTDA</t>
        </is>
      </c>
      <c r="C1951" t="n">
        <v>2111000000</v>
      </c>
      <c r="D1951" t="inlineStr">
        <is>
          <t>Operational Suppliers (Wind Farms)</t>
        </is>
      </c>
      <c r="E1951" t="n">
        <v>5013721</v>
      </c>
      <c r="F1951" t="inlineStr">
        <is>
          <t>6191-2</t>
        </is>
      </c>
      <c r="G1951" t="inlineStr">
        <is>
          <t>RE</t>
        </is>
      </c>
      <c r="H1951" s="12" t="n">
        <v>-3520</v>
      </c>
      <c r="I1951" s="17" t="n">
        <v>46211</v>
      </c>
      <c r="J1951" s="17" t="n">
        <v>46270</v>
      </c>
      <c r="K1951" t="inlineStr">
        <is>
          <t>Fatura - bruto QUELMAR TRANSPORTES LTDA 6191-2</t>
        </is>
      </c>
    </row>
    <row r="1952">
      <c r="A1952" t="inlineStr">
        <is>
          <t>100883</t>
        </is>
      </c>
      <c r="B1952" t="inlineStr">
        <is>
          <t>QUELMAR TRANSPORTES LTDA</t>
        </is>
      </c>
      <c r="C1952" t="n">
        <v>2111000000</v>
      </c>
      <c r="D1952" t="inlineStr">
        <is>
          <t>Operational Suppliers (Wind Farms)</t>
        </is>
      </c>
      <c r="E1952" t="n">
        <v>5013722</v>
      </c>
      <c r="F1952" t="inlineStr">
        <is>
          <t>6213-2</t>
        </is>
      </c>
      <c r="G1952" t="inlineStr">
        <is>
          <t>RE</t>
        </is>
      </c>
      <c r="H1952" s="12" t="n">
        <v>-1450</v>
      </c>
      <c r="I1952" s="17" t="n">
        <v>46216</v>
      </c>
      <c r="J1952" s="17" t="n">
        <v>46270</v>
      </c>
      <c r="K1952" t="inlineStr">
        <is>
          <t>Fatura - bruto QUELMAR TRANSPORTES LTDA 6213-2</t>
        </is>
      </c>
    </row>
    <row r="1953">
      <c r="A1953" t="inlineStr">
        <is>
          <t>100883</t>
        </is>
      </c>
      <c r="B1953" t="inlineStr">
        <is>
          <t>QUELMAR TRANSPORTES LTDA</t>
        </is>
      </c>
      <c r="C1953" t="n">
        <v>2111000000</v>
      </c>
      <c r="D1953" t="inlineStr">
        <is>
          <t>Operational Suppliers (Wind Farms)</t>
        </is>
      </c>
      <c r="E1953" t="n">
        <v>5013723</v>
      </c>
      <c r="F1953" t="inlineStr">
        <is>
          <t>6226-2</t>
        </is>
      </c>
      <c r="G1953" t="inlineStr">
        <is>
          <t>RE</t>
        </is>
      </c>
      <c r="H1953" s="12" t="n">
        <v>-2200</v>
      </c>
      <c r="I1953" s="17" t="n">
        <v>46217</v>
      </c>
      <c r="J1953" s="17" t="n">
        <v>46270</v>
      </c>
      <c r="K1953" t="inlineStr">
        <is>
          <t>Fatura - bruto QUELMAR TRANSPORTES LTDA 6226-2</t>
        </is>
      </c>
    </row>
    <row r="1954">
      <c r="A1954" t="inlineStr">
        <is>
          <t>100883</t>
        </is>
      </c>
      <c r="B1954" t="inlineStr">
        <is>
          <t>QUELMAR TRANSPORTES LTDA</t>
        </is>
      </c>
      <c r="C1954" t="n">
        <v>2111000000</v>
      </c>
      <c r="D1954" t="inlineStr">
        <is>
          <t>Operational Suppliers (Wind Farms)</t>
        </is>
      </c>
      <c r="E1954" t="n">
        <v>5013724</v>
      </c>
      <c r="F1954" t="inlineStr">
        <is>
          <t>6230-2</t>
        </is>
      </c>
      <c r="G1954" t="inlineStr">
        <is>
          <t>RE</t>
        </is>
      </c>
      <c r="H1954" s="12" t="n">
        <v>-6200</v>
      </c>
      <c r="I1954" s="17" t="n">
        <v>46217</v>
      </c>
      <c r="J1954" s="17" t="n">
        <v>46270</v>
      </c>
      <c r="K1954" t="inlineStr">
        <is>
          <t>Fatura - bruto QUELMAR TRANSPORTES LTDA 6230-2</t>
        </is>
      </c>
    </row>
    <row r="1955">
      <c r="A1955" t="inlineStr">
        <is>
          <t>100883</t>
        </is>
      </c>
      <c r="B1955" t="inlineStr">
        <is>
          <t>QUELMAR TRANSPORTES LTDA</t>
        </is>
      </c>
      <c r="C1955" t="n">
        <v>2111000000</v>
      </c>
      <c r="D1955" t="inlineStr">
        <is>
          <t>Operational Suppliers (Wind Farms)</t>
        </is>
      </c>
      <c r="E1955" t="n">
        <v>5013725</v>
      </c>
      <c r="F1955" t="inlineStr">
        <is>
          <t>6232-2</t>
        </is>
      </c>
      <c r="G1955" t="inlineStr">
        <is>
          <t>RE</t>
        </is>
      </c>
      <c r="H1955" s="12" t="n">
        <v>-980</v>
      </c>
      <c r="I1955" s="17" t="n">
        <v>46217</v>
      </c>
      <c r="J1955" s="17" t="n">
        <v>46270</v>
      </c>
      <c r="K1955" t="inlineStr">
        <is>
          <t>Fatura - bruto QUELMAR TRANSPORTES LTDA 6232-2</t>
        </is>
      </c>
    </row>
    <row r="1956">
      <c r="A1956" t="inlineStr">
        <is>
          <t>101463</t>
        </is>
      </c>
      <c r="B1956" t="inlineStr">
        <is>
          <t>ZURICH MINAS BRASIL SEGUROS S A</t>
        </is>
      </c>
      <c r="C1956" t="n">
        <v>2111000000</v>
      </c>
      <c r="D1956" t="inlineStr">
        <is>
          <t>Insurance</t>
        </is>
      </c>
      <c r="E1956" t="n">
        <v>5013727</v>
      </c>
      <c r="F1956" t="inlineStr">
        <is>
          <t>0290/26</t>
        </is>
      </c>
      <c r="G1956" t="inlineStr">
        <is>
          <t>RE</t>
        </is>
      </c>
      <c r="H1956" s="12" t="n">
        <v>-1223.48</v>
      </c>
      <c r="I1956" s="17" t="n">
        <v>46230</v>
      </c>
      <c r="J1956" s="17" t="n">
        <v>46260</v>
      </c>
      <c r="K1956" t="inlineStr">
        <is>
          <t>Invoice Payment. SP: 20598</t>
        </is>
      </c>
    </row>
    <row r="1957">
      <c r="A1957" t="inlineStr">
        <is>
          <t>101463</t>
        </is>
      </c>
      <c r="B1957" t="inlineStr">
        <is>
          <t>ZURICH MINAS BRASIL SEGUROS S A</t>
        </is>
      </c>
      <c r="C1957" t="n">
        <v>2111000000</v>
      </c>
      <c r="D1957" t="inlineStr">
        <is>
          <t>Insurance</t>
        </is>
      </c>
      <c r="E1957" t="n">
        <v>5013730</v>
      </c>
      <c r="F1957" t="inlineStr">
        <is>
          <t>0393/26</t>
        </is>
      </c>
      <c r="G1957" t="inlineStr">
        <is>
          <t>RE</t>
        </is>
      </c>
      <c r="H1957" s="12" t="n">
        <v>-43.94</v>
      </c>
      <c r="I1957" s="17" t="n">
        <v>46230</v>
      </c>
      <c r="J1957" s="17" t="n">
        <v>46260</v>
      </c>
      <c r="K1957" t="inlineStr">
        <is>
          <t>Invoice Payment. SP: 20601</t>
        </is>
      </c>
    </row>
    <row r="1958">
      <c r="A1958" t="inlineStr">
        <is>
          <t>100883</t>
        </is>
      </c>
      <c r="B1958" t="inlineStr">
        <is>
          <t>QUELMAR TRANSPORTES LTDA</t>
        </is>
      </c>
      <c r="C1958" t="n">
        <v>2111000000</v>
      </c>
      <c r="D1958" t="inlineStr">
        <is>
          <t>Operational Suppliers (Wind Farms)</t>
        </is>
      </c>
      <c r="E1958" t="n">
        <v>5013732</v>
      </c>
      <c r="F1958" t="inlineStr">
        <is>
          <t>6239-2</t>
        </is>
      </c>
      <c r="G1958" t="inlineStr">
        <is>
          <t>RE</t>
        </is>
      </c>
      <c r="H1958" s="12" t="n">
        <v>-1380</v>
      </c>
      <c r="I1958" s="17" t="n">
        <v>46218</v>
      </c>
      <c r="J1958" s="17" t="n">
        <v>46270</v>
      </c>
      <c r="K1958" t="inlineStr">
        <is>
          <t>Fatura - bruto QUELMAR TRANSPORTES LTDA 6239-2</t>
        </is>
      </c>
    </row>
    <row r="1959">
      <c r="A1959" t="inlineStr">
        <is>
          <t>100883</t>
        </is>
      </c>
      <c r="B1959" t="inlineStr">
        <is>
          <t>QUELMAR TRANSPORTES LTDA</t>
        </is>
      </c>
      <c r="C1959" t="n">
        <v>2111000000</v>
      </c>
      <c r="D1959" t="inlineStr">
        <is>
          <t>Operational Suppliers (Wind Farms)</t>
        </is>
      </c>
      <c r="E1959" t="n">
        <v>5013733</v>
      </c>
      <c r="F1959" t="inlineStr">
        <is>
          <t>6245-2</t>
        </is>
      </c>
      <c r="G1959" t="inlineStr">
        <is>
          <t>RE</t>
        </is>
      </c>
      <c r="H1959" s="12" t="n">
        <v>-3308</v>
      </c>
      <c r="I1959" s="17" t="n">
        <v>46220</v>
      </c>
      <c r="J1959" s="17" t="n">
        <v>46270</v>
      </c>
      <c r="K1959" t="inlineStr">
        <is>
          <t>Fatura - bruto QUELMAR TRANSPORTES LTDA 6245-2</t>
        </is>
      </c>
    </row>
    <row r="1960">
      <c r="A1960" t="inlineStr">
        <is>
          <t>100031</t>
        </is>
      </c>
      <c r="B1960" t="inlineStr">
        <is>
          <t>MEGAWIND INDUSTRIA E COMERCIO</t>
        </is>
      </c>
      <c r="C1960" t="n">
        <v>2111000000</v>
      </c>
      <c r="D1960" t="inlineStr">
        <is>
          <t>Operational Suppliers (Wind Farms)</t>
        </is>
      </c>
      <c r="E1960" t="n">
        <v>5013735</v>
      </c>
      <c r="F1960" t="inlineStr">
        <is>
          <t>1427</t>
        </is>
      </c>
      <c r="G1960" t="inlineStr">
        <is>
          <t>RE</t>
        </is>
      </c>
      <c r="H1960" s="12" t="n">
        <v>-8000</v>
      </c>
      <c r="I1960" s="17" t="n">
        <v>46227</v>
      </c>
      <c r="J1960" s="17" t="n">
        <v>46270</v>
      </c>
      <c r="K1960" t="inlineStr">
        <is>
          <t>Fatura - bruto MEGAWIND INDUSTRIA E COMERCIO 1427</t>
        </is>
      </c>
    </row>
    <row r="1961">
      <c r="A1961" t="inlineStr">
        <is>
          <t>101463</t>
        </is>
      </c>
      <c r="B1961" t="inlineStr">
        <is>
          <t>ZURICH MINAS BRASIL SEGUROS S A</t>
        </is>
      </c>
      <c r="C1961" t="n">
        <v>2111000000</v>
      </c>
      <c r="D1961" t="inlineStr">
        <is>
          <t>Insurance</t>
        </is>
      </c>
      <c r="E1961" t="n">
        <v>5013739</v>
      </c>
      <c r="F1961" t="inlineStr">
        <is>
          <t>0286/26</t>
        </is>
      </c>
      <c r="G1961" t="inlineStr">
        <is>
          <t>RE</t>
        </is>
      </c>
      <c r="H1961" s="12" t="n">
        <v>-194.36</v>
      </c>
      <c r="I1961" s="17" t="n">
        <v>46230</v>
      </c>
      <c r="J1961" s="17" t="n">
        <v>46260</v>
      </c>
      <c r="K1961" t="inlineStr">
        <is>
          <t>Invoice Payment. SP: 20618</t>
        </is>
      </c>
    </row>
    <row r="1962">
      <c r="A1962" t="inlineStr">
        <is>
          <t>101463</t>
        </is>
      </c>
      <c r="B1962" t="inlineStr">
        <is>
          <t>ZURICH MINAS BRASIL SEGUROS S A</t>
        </is>
      </c>
      <c r="C1962" t="n">
        <v>2111000000</v>
      </c>
      <c r="D1962" t="inlineStr">
        <is>
          <t>Insurance</t>
        </is>
      </c>
      <c r="E1962" t="n">
        <v>5013742</v>
      </c>
      <c r="F1962" t="inlineStr">
        <is>
          <t>0441/26</t>
        </is>
      </c>
      <c r="G1962" t="inlineStr">
        <is>
          <t>RE</t>
        </is>
      </c>
      <c r="H1962" s="12" t="n">
        <v>-0.06</v>
      </c>
      <c r="I1962" s="17" t="n">
        <v>46230</v>
      </c>
      <c r="J1962" s="17" t="n">
        <v>46260</v>
      </c>
      <c r="K1962" t="inlineStr">
        <is>
          <t>Invoice Payment. SP: 20622</t>
        </is>
      </c>
    </row>
    <row r="1963">
      <c r="A1963" t="inlineStr">
        <is>
          <t>101463</t>
        </is>
      </c>
      <c r="B1963" t="inlineStr">
        <is>
          <t>ZURICH MINAS BRASIL SEGUROS S A</t>
        </is>
      </c>
      <c r="C1963" t="n">
        <v>2111000000</v>
      </c>
      <c r="D1963" t="inlineStr">
        <is>
          <t>Insurance</t>
        </is>
      </c>
      <c r="E1963" t="n">
        <v>5013745</v>
      </c>
      <c r="F1963" t="inlineStr">
        <is>
          <t>0442/26</t>
        </is>
      </c>
      <c r="G1963" t="inlineStr">
        <is>
          <t>RE</t>
        </is>
      </c>
      <c r="H1963" s="12" t="n">
        <v>-51.65</v>
      </c>
      <c r="I1963" s="17" t="n">
        <v>46230</v>
      </c>
      <c r="J1963" s="17" t="n">
        <v>46260</v>
      </c>
      <c r="K1963" t="inlineStr">
        <is>
          <t>Invoice Payment. SP: 20624</t>
        </is>
      </c>
    </row>
    <row r="1964">
      <c r="A1964" t="inlineStr">
        <is>
          <t>100883</t>
        </is>
      </c>
      <c r="B1964" t="inlineStr">
        <is>
          <t>QUELMAR TRANSPORTES LTDA</t>
        </is>
      </c>
      <c r="C1964" t="n">
        <v>2111000000</v>
      </c>
      <c r="D1964" t="inlineStr">
        <is>
          <t>Operational Suppliers (Wind Farms)</t>
        </is>
      </c>
      <c r="E1964" t="n">
        <v>5013758</v>
      </c>
      <c r="F1964" t="inlineStr">
        <is>
          <t>107993-1</t>
        </is>
      </c>
      <c r="G1964" t="inlineStr">
        <is>
          <t>RE</t>
        </is>
      </c>
      <c r="H1964" s="12" t="n">
        <v>-6980</v>
      </c>
      <c r="I1964" s="17" t="n">
        <v>46220</v>
      </c>
      <c r="J1964" s="17" t="n">
        <v>46270</v>
      </c>
      <c r="K1964" t="inlineStr">
        <is>
          <t>Fatura - bruto QUELMAR TRANSPORTES LTDA 107993-1</t>
        </is>
      </c>
    </row>
    <row r="1965">
      <c r="A1965" t="inlineStr">
        <is>
          <t>100883</t>
        </is>
      </c>
      <c r="B1965" t="inlineStr">
        <is>
          <t>QUELMAR TRANSPORTES LTDA</t>
        </is>
      </c>
      <c r="C1965" t="n">
        <v>2111000000</v>
      </c>
      <c r="D1965" t="inlineStr">
        <is>
          <t>Operational Suppliers (Wind Farms)</t>
        </is>
      </c>
      <c r="E1965" t="n">
        <v>5013759</v>
      </c>
      <c r="F1965" t="inlineStr">
        <is>
          <t>107995-1</t>
        </is>
      </c>
      <c r="G1965" t="inlineStr">
        <is>
          <t>RE</t>
        </is>
      </c>
      <c r="H1965" s="12" t="n">
        <v>-1662.11</v>
      </c>
      <c r="I1965" s="17" t="n">
        <v>46220</v>
      </c>
      <c r="J1965" s="17" t="n">
        <v>46270</v>
      </c>
      <c r="K1965" t="inlineStr">
        <is>
          <t>Fatura - bruto QUELMAR TRANSPORTES LTDA 107995-1</t>
        </is>
      </c>
    </row>
    <row r="1966">
      <c r="A1966" t="inlineStr">
        <is>
          <t>100883</t>
        </is>
      </c>
      <c r="B1966" t="inlineStr">
        <is>
          <t>QUELMAR TRANSPORTES LTDA</t>
        </is>
      </c>
      <c r="C1966" t="n">
        <v>2111000000</v>
      </c>
      <c r="D1966" t="inlineStr">
        <is>
          <t>Operational Suppliers (Wind Farms)</t>
        </is>
      </c>
      <c r="E1966" t="n">
        <v>5013760</v>
      </c>
      <c r="F1966" t="inlineStr">
        <is>
          <t>107998-1</t>
        </is>
      </c>
      <c r="G1966" t="inlineStr">
        <is>
          <t>RE</t>
        </is>
      </c>
      <c r="H1966" s="12" t="n">
        <v>-1550</v>
      </c>
      <c r="I1966" s="17" t="n">
        <v>46220</v>
      </c>
      <c r="J1966" s="17" t="n">
        <v>46270</v>
      </c>
      <c r="K1966" t="inlineStr">
        <is>
          <t>Fatura - bruto QUELMAR TRANSPORTES LTDA 107998-1</t>
        </is>
      </c>
    </row>
    <row r="1967">
      <c r="A1967" t="inlineStr">
        <is>
          <t>100883</t>
        </is>
      </c>
      <c r="B1967" t="inlineStr">
        <is>
          <t>QUELMAR TRANSPORTES LTDA</t>
        </is>
      </c>
      <c r="C1967" t="n">
        <v>2111000000</v>
      </c>
      <c r="D1967" t="inlineStr">
        <is>
          <t>Operational Suppliers (Wind Farms)</t>
        </is>
      </c>
      <c r="E1967" t="n">
        <v>5013761</v>
      </c>
      <c r="F1967" t="inlineStr">
        <is>
          <t>108021-1</t>
        </is>
      </c>
      <c r="G1967" t="inlineStr">
        <is>
          <t>RE</t>
        </is>
      </c>
      <c r="H1967" s="12" t="n">
        <v>-1561.33</v>
      </c>
      <c r="I1967" s="17" t="n">
        <v>46220</v>
      </c>
      <c r="J1967" s="17" t="n">
        <v>46270</v>
      </c>
      <c r="K1967" t="inlineStr">
        <is>
          <t>Fatura - bruto QUELMAR TRANSPORTES LTDA 108021-1</t>
        </is>
      </c>
    </row>
    <row r="1968">
      <c r="A1968" t="inlineStr">
        <is>
          <t>100883</t>
        </is>
      </c>
      <c r="B1968" t="inlineStr">
        <is>
          <t>QUELMAR TRANSPORTES LTDA</t>
        </is>
      </c>
      <c r="C1968" t="n">
        <v>2111000000</v>
      </c>
      <c r="D1968" t="inlineStr">
        <is>
          <t>Operational Suppliers (Wind Farms)</t>
        </is>
      </c>
      <c r="E1968" t="n">
        <v>5013762</v>
      </c>
      <c r="F1968" t="inlineStr">
        <is>
          <t>108003-1</t>
        </is>
      </c>
      <c r="G1968" t="inlineStr">
        <is>
          <t>RE</t>
        </is>
      </c>
      <c r="H1968" s="12" t="n">
        <v>-2271.77</v>
      </c>
      <c r="I1968" s="17" t="n">
        <v>46220</v>
      </c>
      <c r="J1968" s="17" t="n">
        <v>46270</v>
      </c>
      <c r="K1968" t="inlineStr">
        <is>
          <t>Fatura - bruto QUELMAR TRANSPORTES LTDA 108003-1</t>
        </is>
      </c>
    </row>
    <row r="1969">
      <c r="A1969" t="inlineStr">
        <is>
          <t>100883</t>
        </is>
      </c>
      <c r="B1969" t="inlineStr">
        <is>
          <t>QUELMAR TRANSPORTES LTDA</t>
        </is>
      </c>
      <c r="C1969" t="n">
        <v>2111000000</v>
      </c>
      <c r="D1969" t="inlineStr">
        <is>
          <t>Operational Suppliers (Wind Farms)</t>
        </is>
      </c>
      <c r="E1969" t="n">
        <v>5013767</v>
      </c>
      <c r="F1969" t="inlineStr">
        <is>
          <t>108002-1</t>
        </is>
      </c>
      <c r="G1969" t="inlineStr">
        <is>
          <t>RE</t>
        </is>
      </c>
      <c r="H1969" s="12" t="n">
        <v>-2189.16</v>
      </c>
      <c r="I1969" s="17" t="n">
        <v>46220</v>
      </c>
      <c r="J1969" s="17" t="n">
        <v>46270</v>
      </c>
      <c r="K1969" t="inlineStr">
        <is>
          <t>Fatura - bruto QUELMAR TRANSPORTES LTDA 108002-1</t>
        </is>
      </c>
    </row>
    <row r="1970">
      <c r="A1970" t="inlineStr">
        <is>
          <t>100883</t>
        </is>
      </c>
      <c r="B1970" t="inlineStr">
        <is>
          <t>QUELMAR TRANSPORTES LTDA</t>
        </is>
      </c>
      <c r="C1970" t="n">
        <v>2111000000</v>
      </c>
      <c r="D1970" t="inlineStr">
        <is>
          <t>Operational Suppliers (Wind Farms)</t>
        </is>
      </c>
      <c r="E1970" t="n">
        <v>5013768</v>
      </c>
      <c r="F1970" t="inlineStr">
        <is>
          <t>108006-1</t>
        </is>
      </c>
      <c r="G1970" t="inlineStr">
        <is>
          <t>RE</t>
        </is>
      </c>
      <c r="H1970" s="12" t="n">
        <v>-1548.94</v>
      </c>
      <c r="I1970" s="17" t="n">
        <v>46220</v>
      </c>
      <c r="J1970" s="17" t="n">
        <v>46270</v>
      </c>
      <c r="K1970" t="inlineStr">
        <is>
          <t>Fatura - bruto QUELMAR TRANSPORTES LTDA 108006-1</t>
        </is>
      </c>
    </row>
    <row r="1971">
      <c r="A1971" t="inlineStr">
        <is>
          <t>100883</t>
        </is>
      </c>
      <c r="B1971" t="inlineStr">
        <is>
          <t>QUELMAR TRANSPORTES LTDA</t>
        </is>
      </c>
      <c r="C1971" t="n">
        <v>2111000000</v>
      </c>
      <c r="D1971" t="inlineStr">
        <is>
          <t>Operational Suppliers (Wind Farms)</t>
        </is>
      </c>
      <c r="E1971" t="n">
        <v>5013769</v>
      </c>
      <c r="F1971" t="inlineStr">
        <is>
          <t>108011-1</t>
        </is>
      </c>
      <c r="G1971" t="inlineStr">
        <is>
          <t>RE</t>
        </is>
      </c>
      <c r="H1971" s="12" t="n">
        <v>-2891.35</v>
      </c>
      <c r="I1971" s="17" t="n">
        <v>46220</v>
      </c>
      <c r="J1971" s="17" t="n">
        <v>46270</v>
      </c>
      <c r="K1971" t="inlineStr">
        <is>
          <t>Fatura - bruto QUELMAR TRANSPORTES LTDA 108011-1</t>
        </is>
      </c>
    </row>
    <row r="1972">
      <c r="A1972" t="inlineStr">
        <is>
          <t>100883</t>
        </is>
      </c>
      <c r="B1972" t="inlineStr">
        <is>
          <t>QUELMAR TRANSPORTES LTDA</t>
        </is>
      </c>
      <c r="C1972" t="n">
        <v>2111000000</v>
      </c>
      <c r="D1972" t="inlineStr">
        <is>
          <t>Operational Suppliers (Wind Farms)</t>
        </is>
      </c>
      <c r="E1972" t="n">
        <v>5013770</v>
      </c>
      <c r="F1972" t="inlineStr">
        <is>
          <t>108013-1</t>
        </is>
      </c>
      <c r="G1972" t="inlineStr">
        <is>
          <t>RE</t>
        </is>
      </c>
      <c r="H1972" s="12" t="n">
        <v>-6072</v>
      </c>
      <c r="I1972" s="17" t="n">
        <v>46220</v>
      </c>
      <c r="J1972" s="17" t="n">
        <v>46270</v>
      </c>
      <c r="K1972" t="inlineStr">
        <is>
          <t>Fatura - bruto QUELMAR TRANSPORTES LTDA 108013-1</t>
        </is>
      </c>
    </row>
    <row r="1973">
      <c r="A1973" t="inlineStr">
        <is>
          <t>100883</t>
        </is>
      </c>
      <c r="B1973" t="inlineStr">
        <is>
          <t>QUELMAR TRANSPORTES LTDA</t>
        </is>
      </c>
      <c r="C1973" t="n">
        <v>2111000000</v>
      </c>
      <c r="D1973" t="inlineStr">
        <is>
          <t>Operational Suppliers (Wind Farms)</t>
        </is>
      </c>
      <c r="E1973" t="n">
        <v>5013771</v>
      </c>
      <c r="F1973" t="inlineStr">
        <is>
          <t>108014-1</t>
        </is>
      </c>
      <c r="G1973" t="inlineStr">
        <is>
          <t>RE</t>
        </is>
      </c>
      <c r="H1973" s="12" t="n">
        <v>-4089.19</v>
      </c>
      <c r="I1973" s="17" t="n">
        <v>46220</v>
      </c>
      <c r="J1973" s="17" t="n">
        <v>46270</v>
      </c>
      <c r="K1973" t="inlineStr">
        <is>
          <t>Fatura - bruto QUELMAR TRANSPORTES LTDA 108014-1</t>
        </is>
      </c>
    </row>
    <row r="1974">
      <c r="A1974" t="inlineStr">
        <is>
          <t>100883</t>
        </is>
      </c>
      <c r="B1974" t="inlineStr">
        <is>
          <t>QUELMAR TRANSPORTES LTDA</t>
        </is>
      </c>
      <c r="C1974" t="n">
        <v>2111000000</v>
      </c>
      <c r="D1974" t="inlineStr">
        <is>
          <t>Operational Suppliers (Wind Farms)</t>
        </is>
      </c>
      <c r="E1974" t="n">
        <v>5013772</v>
      </c>
      <c r="F1974" t="inlineStr">
        <is>
          <t>108015-1</t>
        </is>
      </c>
      <c r="G1974" t="inlineStr">
        <is>
          <t>RE</t>
        </is>
      </c>
      <c r="H1974" s="12" t="n">
        <v>-2891.35</v>
      </c>
      <c r="I1974" s="17" t="n">
        <v>46220</v>
      </c>
      <c r="J1974" s="17" t="n">
        <v>46270</v>
      </c>
      <c r="K1974" t="inlineStr">
        <is>
          <t>Fatura - bruto QUELMAR TRANSPORTES LTDA 108015-1</t>
        </is>
      </c>
    </row>
    <row r="1975">
      <c r="A1975" t="inlineStr">
        <is>
          <t>100883</t>
        </is>
      </c>
      <c r="B1975" t="inlineStr">
        <is>
          <t>QUELMAR TRANSPORTES LTDA</t>
        </is>
      </c>
      <c r="C1975" t="n">
        <v>2111000000</v>
      </c>
      <c r="D1975" t="inlineStr">
        <is>
          <t>Operational Suppliers (Wind Farms)</t>
        </is>
      </c>
      <c r="E1975" t="n">
        <v>5013773</v>
      </c>
      <c r="F1975" t="inlineStr">
        <is>
          <t>108020-1</t>
        </is>
      </c>
      <c r="G1975" t="inlineStr">
        <is>
          <t>RE</t>
        </is>
      </c>
      <c r="H1975" s="12" t="n">
        <v>-631.97</v>
      </c>
      <c r="I1975" s="17" t="n">
        <v>46220</v>
      </c>
      <c r="J1975" s="17" t="n">
        <v>46270</v>
      </c>
      <c r="K1975" t="inlineStr">
        <is>
          <t>Fatura - bruto QUELMAR TRANSPORTES LTDA 108020-1</t>
        </is>
      </c>
    </row>
    <row r="1976">
      <c r="A1976" t="inlineStr">
        <is>
          <t>100883</t>
        </is>
      </c>
      <c r="B1976" t="inlineStr">
        <is>
          <t>QUELMAR TRANSPORTES LTDA</t>
        </is>
      </c>
      <c r="C1976" t="n">
        <v>2111000000</v>
      </c>
      <c r="D1976" t="inlineStr">
        <is>
          <t>Operational Suppliers (Wind Farms)</t>
        </is>
      </c>
      <c r="E1976" t="n">
        <v>5013774</v>
      </c>
      <c r="F1976" t="inlineStr">
        <is>
          <t>108034-1</t>
        </is>
      </c>
      <c r="G1976" t="inlineStr">
        <is>
          <t>RE</t>
        </is>
      </c>
      <c r="H1976" s="12" t="n">
        <v>-2687.1</v>
      </c>
      <c r="I1976" s="17" t="n">
        <v>46220</v>
      </c>
      <c r="J1976" s="17" t="n">
        <v>46270</v>
      </c>
      <c r="K1976" t="inlineStr">
        <is>
          <t>Fatura - bruto QUELMAR TRANSPORTES LTDA 108034-1</t>
        </is>
      </c>
    </row>
    <row r="1977">
      <c r="A1977" t="inlineStr">
        <is>
          <t>100883</t>
        </is>
      </c>
      <c r="B1977" t="inlineStr">
        <is>
          <t>QUELMAR TRANSPORTES LTDA</t>
        </is>
      </c>
      <c r="C1977" t="n">
        <v>2111000000</v>
      </c>
      <c r="D1977" t="inlineStr">
        <is>
          <t>Operational Suppliers (Wind Farms)</t>
        </is>
      </c>
      <c r="E1977" t="n">
        <v>5013775</v>
      </c>
      <c r="F1977" t="inlineStr">
        <is>
          <t>108035-1</t>
        </is>
      </c>
      <c r="G1977" t="inlineStr">
        <is>
          <t>RE</t>
        </is>
      </c>
      <c r="H1977" s="12" t="n">
        <v>-1501.82</v>
      </c>
      <c r="I1977" s="17" t="n">
        <v>46220</v>
      </c>
      <c r="J1977" s="17" t="n">
        <v>46270</v>
      </c>
      <c r="K1977" t="inlineStr">
        <is>
          <t>Fatura - bruto QUELMAR TRANSPORTES LTDA 108035-1</t>
        </is>
      </c>
    </row>
    <row r="1978">
      <c r="A1978" t="inlineStr">
        <is>
          <t>100883</t>
        </is>
      </c>
      <c r="B1978" t="inlineStr">
        <is>
          <t>QUELMAR TRANSPORTES LTDA</t>
        </is>
      </c>
      <c r="C1978" t="n">
        <v>2111000000</v>
      </c>
      <c r="D1978" t="inlineStr">
        <is>
          <t>Operational Suppliers (Wind Farms)</t>
        </is>
      </c>
      <c r="E1978" t="n">
        <v>5013776</v>
      </c>
      <c r="F1978" t="inlineStr">
        <is>
          <t>108036-1</t>
        </is>
      </c>
      <c r="G1978" t="inlineStr">
        <is>
          <t>RE</t>
        </is>
      </c>
      <c r="H1978" s="12" t="n">
        <v>-1448.18</v>
      </c>
      <c r="I1978" s="17" t="n">
        <v>46220</v>
      </c>
      <c r="J1978" s="17" t="n">
        <v>46270</v>
      </c>
      <c r="K1978" t="inlineStr">
        <is>
          <t>Fatura - bruto QUELMAR TRANSPORTES LTDA 108036-1</t>
        </is>
      </c>
    </row>
    <row r="1979">
      <c r="A1979" t="inlineStr">
        <is>
          <t>100883</t>
        </is>
      </c>
      <c r="B1979" t="inlineStr">
        <is>
          <t>QUELMAR TRANSPORTES LTDA</t>
        </is>
      </c>
      <c r="C1979" t="n">
        <v>2111000000</v>
      </c>
      <c r="D1979" t="inlineStr">
        <is>
          <t>Operational Suppliers (Wind Farms)</t>
        </is>
      </c>
      <c r="E1979" t="n">
        <v>5013777</v>
      </c>
      <c r="F1979" t="inlineStr">
        <is>
          <t>108039-1</t>
        </is>
      </c>
      <c r="G1979" t="inlineStr">
        <is>
          <t>RE</t>
        </is>
      </c>
      <c r="H1979" s="12" t="n">
        <v>-2130.76</v>
      </c>
      <c r="I1979" s="17" t="n">
        <v>46220</v>
      </c>
      <c r="J1979" s="17" t="n">
        <v>46270</v>
      </c>
      <c r="K1979" t="inlineStr">
        <is>
          <t>Fatura - bruto QUELMAR TRANSPORTES LTDA 108039-1</t>
        </is>
      </c>
    </row>
    <row r="1980">
      <c r="A1980" t="inlineStr">
        <is>
          <t>100883</t>
        </is>
      </c>
      <c r="B1980" t="inlineStr">
        <is>
          <t>QUELMAR TRANSPORTES LTDA</t>
        </is>
      </c>
      <c r="C1980" t="n">
        <v>2111000000</v>
      </c>
      <c r="D1980" t="inlineStr">
        <is>
          <t>Operational Suppliers (Wind Farms)</t>
        </is>
      </c>
      <c r="E1980" t="n">
        <v>5013778</v>
      </c>
      <c r="F1980" t="inlineStr">
        <is>
          <t>108040-1</t>
        </is>
      </c>
      <c r="G1980" t="inlineStr">
        <is>
          <t>RE</t>
        </is>
      </c>
      <c r="H1980" s="12" t="n">
        <v>-1103.68</v>
      </c>
      <c r="I1980" s="17" t="n">
        <v>46220</v>
      </c>
      <c r="J1980" s="17" t="n">
        <v>46270</v>
      </c>
      <c r="K1980" t="inlineStr">
        <is>
          <t>Fatura - bruto QUELMAR TRANSPORTES LTDA 108040-1</t>
        </is>
      </c>
    </row>
    <row r="1981">
      <c r="A1981" t="inlineStr">
        <is>
          <t>100883</t>
        </is>
      </c>
      <c r="B1981" t="inlineStr">
        <is>
          <t>QUELMAR TRANSPORTES LTDA</t>
        </is>
      </c>
      <c r="C1981" t="n">
        <v>2111000000</v>
      </c>
      <c r="D1981" t="inlineStr">
        <is>
          <t>Operational Suppliers (Wind Farms)</t>
        </is>
      </c>
      <c r="E1981" t="n">
        <v>5013779</v>
      </c>
      <c r="F1981" t="inlineStr">
        <is>
          <t>108041-1</t>
        </is>
      </c>
      <c r="G1981" t="inlineStr">
        <is>
          <t>RE</t>
        </is>
      </c>
      <c r="H1981" s="12" t="n">
        <v>-1250.83</v>
      </c>
      <c r="I1981" s="17" t="n">
        <v>46220</v>
      </c>
      <c r="J1981" s="17" t="n">
        <v>46270</v>
      </c>
      <c r="K1981" t="inlineStr">
        <is>
          <t>Fatura - bruto QUELMAR TRANSPORTES LTDA 108041-1</t>
        </is>
      </c>
    </row>
    <row r="1982">
      <c r="A1982" t="inlineStr">
        <is>
          <t>100883</t>
        </is>
      </c>
      <c r="B1982" t="inlineStr">
        <is>
          <t>QUELMAR TRANSPORTES LTDA</t>
        </is>
      </c>
      <c r="C1982" t="n">
        <v>2111000000</v>
      </c>
      <c r="D1982" t="inlineStr">
        <is>
          <t>Operational Suppliers (Wind Farms)</t>
        </is>
      </c>
      <c r="E1982" t="n">
        <v>5013780</v>
      </c>
      <c r="F1982" t="inlineStr">
        <is>
          <t>108042-1</t>
        </is>
      </c>
      <c r="G1982" t="inlineStr">
        <is>
          <t>RE</t>
        </is>
      </c>
      <c r="H1982" s="12" t="n">
        <v>-5244.67</v>
      </c>
      <c r="I1982" s="17" t="n">
        <v>46220</v>
      </c>
      <c r="J1982" s="17" t="n">
        <v>46270</v>
      </c>
      <c r="K1982" t="inlineStr">
        <is>
          <t>Fatura - bruto QUELMAR TRANSPORTES LTDA 108042-1</t>
        </is>
      </c>
    </row>
    <row r="1983">
      <c r="A1983" t="inlineStr">
        <is>
          <t>100883</t>
        </is>
      </c>
      <c r="B1983" t="inlineStr">
        <is>
          <t>QUELMAR TRANSPORTES LTDA</t>
        </is>
      </c>
      <c r="C1983" t="n">
        <v>2111000000</v>
      </c>
      <c r="D1983" t="inlineStr">
        <is>
          <t>Operational Suppliers (Wind Farms)</t>
        </is>
      </c>
      <c r="E1983" t="n">
        <v>5013781</v>
      </c>
      <c r="F1983" t="inlineStr">
        <is>
          <t>108043-1</t>
        </is>
      </c>
      <c r="G1983" t="inlineStr">
        <is>
          <t>RE</t>
        </is>
      </c>
      <c r="H1983" s="12" t="n">
        <v>-1618.72</v>
      </c>
      <c r="I1983" s="17" t="n">
        <v>46220</v>
      </c>
      <c r="J1983" s="17" t="n">
        <v>46270</v>
      </c>
      <c r="K1983" t="inlineStr">
        <is>
          <t>Fatura - bruto QUELMAR TRANSPORTES LTDA 108043-1</t>
        </is>
      </c>
    </row>
    <row r="1984">
      <c r="A1984" t="inlineStr">
        <is>
          <t>100883</t>
        </is>
      </c>
      <c r="B1984" t="inlineStr">
        <is>
          <t>QUELMAR TRANSPORTES LTDA</t>
        </is>
      </c>
      <c r="C1984" t="n">
        <v>2111000000</v>
      </c>
      <c r="D1984" t="inlineStr">
        <is>
          <t>Operational Suppliers (Wind Farms)</t>
        </is>
      </c>
      <c r="E1984" t="n">
        <v>5013782</v>
      </c>
      <c r="F1984" t="inlineStr">
        <is>
          <t>108044-1</t>
        </is>
      </c>
      <c r="G1984" t="inlineStr">
        <is>
          <t>RE</t>
        </is>
      </c>
      <c r="H1984" s="12" t="n">
        <v>-2207.35</v>
      </c>
      <c r="I1984" s="17" t="n">
        <v>46220</v>
      </c>
      <c r="J1984" s="17" t="n">
        <v>46270</v>
      </c>
      <c r="K1984" t="inlineStr">
        <is>
          <t>Fatura - bruto QUELMAR TRANSPORTES LTDA 108044-1</t>
        </is>
      </c>
    </row>
    <row r="1985">
      <c r="A1985" t="inlineStr">
        <is>
          <t>100883</t>
        </is>
      </c>
      <c r="B1985" t="inlineStr">
        <is>
          <t>QUELMAR TRANSPORTES LTDA</t>
        </is>
      </c>
      <c r="C1985" t="n">
        <v>2111000000</v>
      </c>
      <c r="D1985" t="inlineStr">
        <is>
          <t>Operational Suppliers (Wind Farms)</t>
        </is>
      </c>
      <c r="E1985" t="n">
        <v>5013783</v>
      </c>
      <c r="F1985" t="inlineStr">
        <is>
          <t>108045-1</t>
        </is>
      </c>
      <c r="G1985" t="inlineStr">
        <is>
          <t>RE</t>
        </is>
      </c>
      <c r="H1985" s="12" t="n">
        <v>-6004.01</v>
      </c>
      <c r="I1985" s="17" t="n">
        <v>46220</v>
      </c>
      <c r="J1985" s="17" t="n">
        <v>46270</v>
      </c>
      <c r="K1985" t="inlineStr">
        <is>
          <t>Fatura - bruto QUELMAR TRANSPORTES LTDA 108045-1</t>
        </is>
      </c>
    </row>
    <row r="1986">
      <c r="A1986" t="inlineStr">
        <is>
          <t>100883</t>
        </is>
      </c>
      <c r="B1986" t="inlineStr">
        <is>
          <t>QUELMAR TRANSPORTES LTDA</t>
        </is>
      </c>
      <c r="C1986" t="n">
        <v>2111000000</v>
      </c>
      <c r="D1986" t="inlineStr">
        <is>
          <t>Operational Suppliers (Wind Farms)</t>
        </is>
      </c>
      <c r="E1986" t="n">
        <v>5013786</v>
      </c>
      <c r="F1986" t="inlineStr">
        <is>
          <t>108046-1</t>
        </is>
      </c>
      <c r="G1986" t="inlineStr">
        <is>
          <t>RE</t>
        </is>
      </c>
      <c r="H1986" s="12" t="n">
        <v>-2111.7</v>
      </c>
      <c r="I1986" s="17" t="n">
        <v>46220</v>
      </c>
      <c r="J1986" s="17" t="n">
        <v>46270</v>
      </c>
      <c r="K1986" t="inlineStr">
        <is>
          <t>Fatura - bruto QUELMAR TRANSPORTES LTDA 108046-1</t>
        </is>
      </c>
    </row>
    <row r="1987">
      <c r="A1987" t="inlineStr">
        <is>
          <t>100883</t>
        </is>
      </c>
      <c r="B1987" t="inlineStr">
        <is>
          <t>QUELMAR TRANSPORTES LTDA</t>
        </is>
      </c>
      <c r="C1987" t="n">
        <v>2111000000</v>
      </c>
      <c r="D1987" t="inlineStr">
        <is>
          <t>Operational Suppliers (Wind Farms)</t>
        </is>
      </c>
      <c r="E1987" t="n">
        <v>5013787</v>
      </c>
      <c r="F1987" t="inlineStr">
        <is>
          <t>108047-1</t>
        </is>
      </c>
      <c r="G1987" t="inlineStr">
        <is>
          <t>RE</t>
        </is>
      </c>
      <c r="H1987" s="12" t="n">
        <v>-2170.56</v>
      </c>
      <c r="I1987" s="17" t="n">
        <v>46220</v>
      </c>
      <c r="J1987" s="17" t="n">
        <v>46270</v>
      </c>
      <c r="K1987" t="inlineStr">
        <is>
          <t>Fatura - bruto QUELMAR TRANSPORTES LTDA 108047-1</t>
        </is>
      </c>
    </row>
    <row r="1988">
      <c r="A1988" t="inlineStr">
        <is>
          <t>100883</t>
        </is>
      </c>
      <c r="B1988" t="inlineStr">
        <is>
          <t>QUELMAR TRANSPORTES LTDA</t>
        </is>
      </c>
      <c r="C1988" t="n">
        <v>2111000000</v>
      </c>
      <c r="D1988" t="inlineStr">
        <is>
          <t>Operational Suppliers (Wind Farms)</t>
        </is>
      </c>
      <c r="E1988" t="n">
        <v>5013788</v>
      </c>
      <c r="F1988" t="inlineStr">
        <is>
          <t>108048-1</t>
        </is>
      </c>
      <c r="G1988" t="inlineStr">
        <is>
          <t>RE</t>
        </is>
      </c>
      <c r="H1988" s="12" t="n">
        <v>-727.76</v>
      </c>
      <c r="I1988" s="17" t="n">
        <v>46220</v>
      </c>
      <c r="J1988" s="17" t="n">
        <v>46270</v>
      </c>
      <c r="K1988" t="inlineStr">
        <is>
          <t>Fatura - bruto QUELMAR TRANSPORTES LTDA 108048-1</t>
        </is>
      </c>
    </row>
    <row r="1989">
      <c r="A1989" t="inlineStr">
        <is>
          <t>100883</t>
        </is>
      </c>
      <c r="B1989" t="inlineStr">
        <is>
          <t>QUELMAR TRANSPORTES LTDA</t>
        </is>
      </c>
      <c r="C1989" t="n">
        <v>2111000000</v>
      </c>
      <c r="D1989" t="inlineStr">
        <is>
          <t>Operational Suppliers (Wind Farms)</t>
        </is>
      </c>
      <c r="E1989" t="n">
        <v>5013789</v>
      </c>
      <c r="F1989" t="inlineStr">
        <is>
          <t>108049-1</t>
        </is>
      </c>
      <c r="G1989" t="inlineStr">
        <is>
          <t>RE</t>
        </is>
      </c>
      <c r="H1989" s="12" t="n">
        <v>-900.6</v>
      </c>
      <c r="I1989" s="17" t="n">
        <v>46220</v>
      </c>
      <c r="J1989" s="17" t="n">
        <v>46270</v>
      </c>
      <c r="K1989" t="inlineStr">
        <is>
          <t>Fatura - bruto QUELMAR TRANSPORTES LTDA 108049-1</t>
        </is>
      </c>
    </row>
    <row r="1990">
      <c r="A1990" t="inlineStr">
        <is>
          <t>100883</t>
        </is>
      </c>
      <c r="B1990" t="inlineStr">
        <is>
          <t>QUELMAR TRANSPORTES LTDA</t>
        </is>
      </c>
      <c r="C1990" t="n">
        <v>2111000000</v>
      </c>
      <c r="D1990" t="inlineStr">
        <is>
          <t>Operational Suppliers (Wind Farms)</t>
        </is>
      </c>
      <c r="E1990" t="n">
        <v>5013790</v>
      </c>
      <c r="F1990" t="inlineStr">
        <is>
          <t>108050-1</t>
        </is>
      </c>
      <c r="G1990" t="inlineStr">
        <is>
          <t>RE</t>
        </is>
      </c>
      <c r="H1990" s="12" t="n">
        <v>-699.36</v>
      </c>
      <c r="I1990" s="17" t="n">
        <v>46220</v>
      </c>
      <c r="J1990" s="17" t="n">
        <v>46270</v>
      </c>
      <c r="K1990" t="inlineStr">
        <is>
          <t>Fatura - bruto QUELMAR TRANSPORTES LTDA 108050-1</t>
        </is>
      </c>
    </row>
    <row r="1991">
      <c r="A1991" t="inlineStr">
        <is>
          <t>101095</t>
        </is>
      </c>
      <c r="B1991" t="inlineStr">
        <is>
          <t>HAILO SISTEMAS METALICOS LTDA</t>
        </is>
      </c>
      <c r="C1991" t="n">
        <v>2111000000</v>
      </c>
      <c r="D1991" t="inlineStr">
        <is>
          <t>Operational Suppliers (Wind Farms)</t>
        </is>
      </c>
      <c r="E1991" t="n">
        <v>5013860</v>
      </c>
      <c r="F1991" t="inlineStr">
        <is>
          <t>000009839-1</t>
        </is>
      </c>
      <c r="G1991" t="inlineStr">
        <is>
          <t>RE</t>
        </is>
      </c>
      <c r="H1991" s="12" t="n">
        <v>-1548.75</v>
      </c>
      <c r="I1991" s="17" t="n">
        <v>46217</v>
      </c>
      <c r="J1991" s="17" t="n">
        <v>46270</v>
      </c>
      <c r="K1991" t="inlineStr">
        <is>
          <t>Fatura - bruto HAILO SISTEMAS METALICOS LTDA 00000</t>
        </is>
      </c>
    </row>
    <row r="1992">
      <c r="A1992" t="inlineStr">
        <is>
          <t>100379</t>
        </is>
      </c>
      <c r="B1992" t="inlineStr">
        <is>
          <t>RAK LOG TRANSPORTES E LOGISTICA EIR</t>
        </is>
      </c>
      <c r="C1992" t="n">
        <v>2111000000</v>
      </c>
      <c r="D1992" t="inlineStr">
        <is>
          <t>Operational Suppliers (Wind Farms)</t>
        </is>
      </c>
      <c r="E1992" t="n">
        <v>5013868</v>
      </c>
      <c r="F1992" t="inlineStr">
        <is>
          <t>335292-1</t>
        </is>
      </c>
      <c r="G1992" t="inlineStr">
        <is>
          <t>RE</t>
        </is>
      </c>
      <c r="H1992" s="12" t="n">
        <v>-9609.49</v>
      </c>
      <c r="I1992" s="17" t="n">
        <v>46210</v>
      </c>
      <c r="J1992" s="17" t="n">
        <v>46270</v>
      </c>
      <c r="K1992" t="inlineStr">
        <is>
          <t>Fatura - bruto RAK LOG TRANSPORTES E LOGISTICA EIR</t>
        </is>
      </c>
    </row>
    <row r="1993">
      <c r="A1993" t="inlineStr">
        <is>
          <t>100379</t>
        </is>
      </c>
      <c r="B1993" t="inlineStr">
        <is>
          <t>RAK LOG TRANSPORTES E LOGISTICA EIR</t>
        </is>
      </c>
      <c r="C1993" t="n">
        <v>2111000000</v>
      </c>
      <c r="D1993" t="inlineStr">
        <is>
          <t>Operational Suppliers (Wind Farms)</t>
        </is>
      </c>
      <c r="E1993" t="n">
        <v>5013869</v>
      </c>
      <c r="F1993" t="inlineStr">
        <is>
          <t>335293-1</t>
        </is>
      </c>
      <c r="G1993" t="inlineStr">
        <is>
          <t>RE</t>
        </is>
      </c>
      <c r="H1993" s="12" t="n">
        <v>-9607.780000000001</v>
      </c>
      <c r="I1993" s="17" t="n">
        <v>46210</v>
      </c>
      <c r="J1993" s="17" t="n">
        <v>46270</v>
      </c>
      <c r="K1993" t="inlineStr">
        <is>
          <t>Fatura - bruto RAK LOG TRANSPORTES E LOGISTICA EIR</t>
        </is>
      </c>
    </row>
    <row r="1994">
      <c r="A1994" t="inlineStr">
        <is>
          <t>100883</t>
        </is>
      </c>
      <c r="B1994" t="inlineStr">
        <is>
          <t>QUELMAR TRANSPORTES LTDA</t>
        </is>
      </c>
      <c r="C1994" t="n">
        <v>2111000000</v>
      </c>
      <c r="D1994" t="inlineStr">
        <is>
          <t>Operational Suppliers (Wind Farms)</t>
        </is>
      </c>
      <c r="E1994" t="n">
        <v>5013898</v>
      </c>
      <c r="F1994" t="inlineStr">
        <is>
          <t>6249-2</t>
        </is>
      </c>
      <c r="G1994" t="inlineStr">
        <is>
          <t>RE</t>
        </is>
      </c>
      <c r="H1994" s="12" t="n">
        <v>-10000</v>
      </c>
      <c r="I1994" s="17" t="n">
        <v>46224</v>
      </c>
      <c r="J1994" s="17" t="n">
        <v>46270</v>
      </c>
      <c r="K1994" t="inlineStr">
        <is>
          <t>Fatura - bruto QUELMAR TRANSPORTES LTDA 6249-2</t>
        </is>
      </c>
    </row>
    <row r="1995">
      <c r="A1995" t="inlineStr">
        <is>
          <t>100883</t>
        </is>
      </c>
      <c r="B1995" t="inlineStr">
        <is>
          <t>QUELMAR TRANSPORTES LTDA</t>
        </is>
      </c>
      <c r="C1995" t="n">
        <v>2111000000</v>
      </c>
      <c r="D1995" t="inlineStr">
        <is>
          <t>Operational Suppliers (Wind Farms)</t>
        </is>
      </c>
      <c r="E1995" t="n">
        <v>5013899</v>
      </c>
      <c r="F1995" t="inlineStr">
        <is>
          <t>6250-2</t>
        </is>
      </c>
      <c r="G1995" t="inlineStr">
        <is>
          <t>RE</t>
        </is>
      </c>
      <c r="H1995" s="12" t="n">
        <v>-2780</v>
      </c>
      <c r="I1995" s="17" t="n">
        <v>46224</v>
      </c>
      <c r="J1995" s="17" t="n">
        <v>46270</v>
      </c>
      <c r="K1995" t="inlineStr">
        <is>
          <t>Fatura - bruto QUELMAR TRANSPORTES LTDA 6250-2</t>
        </is>
      </c>
    </row>
    <row r="1996">
      <c r="A1996" t="inlineStr">
        <is>
          <t>100883</t>
        </is>
      </c>
      <c r="B1996" t="inlineStr">
        <is>
          <t>QUELMAR TRANSPORTES LTDA</t>
        </is>
      </c>
      <c r="C1996" t="n">
        <v>2111000000</v>
      </c>
      <c r="D1996" t="inlineStr">
        <is>
          <t>Operational Suppliers (Wind Farms)</t>
        </is>
      </c>
      <c r="E1996" t="n">
        <v>5013900</v>
      </c>
      <c r="F1996" t="inlineStr">
        <is>
          <t>6308-2</t>
        </is>
      </c>
      <c r="G1996" t="inlineStr">
        <is>
          <t>RE</t>
        </is>
      </c>
      <c r="H1996" s="12" t="n">
        <v>-4980</v>
      </c>
      <c r="I1996" s="17" t="n">
        <v>46230</v>
      </c>
      <c r="J1996" s="17" t="n">
        <v>46270</v>
      </c>
      <c r="K1996" t="inlineStr">
        <is>
          <t>Fatura - bruto QUELMAR TRANSPORTES LTDA 6308-2</t>
        </is>
      </c>
    </row>
    <row r="1997">
      <c r="A1997" t="inlineStr">
        <is>
          <t>101463</t>
        </is>
      </c>
      <c r="B1997" t="inlineStr">
        <is>
          <t>ZURICH MINAS BRASIL SEGUROS S A</t>
        </is>
      </c>
      <c r="C1997" t="n">
        <v>2111000000</v>
      </c>
      <c r="D1997" t="inlineStr">
        <is>
          <t>Insurance</t>
        </is>
      </c>
      <c r="E1997" t="n">
        <v>5013901</v>
      </c>
      <c r="F1997" t="inlineStr">
        <is>
          <t>0403/26</t>
        </is>
      </c>
      <c r="G1997" t="inlineStr">
        <is>
          <t>RE</t>
        </is>
      </c>
      <c r="H1997" s="12" t="n">
        <v>-10.63</v>
      </c>
      <c r="I1997" s="17" t="n">
        <v>46231</v>
      </c>
      <c r="J1997" s="17" t="n">
        <v>46261</v>
      </c>
      <c r="K1997" t="inlineStr">
        <is>
          <t>Invoice Payment. SP: 20698</t>
        </is>
      </c>
    </row>
    <row r="1998">
      <c r="A1998" t="inlineStr">
        <is>
          <t>100883</t>
        </is>
      </c>
      <c r="B1998" t="inlineStr">
        <is>
          <t>QUELMAR TRANSPORTES LTDA</t>
        </is>
      </c>
      <c r="C1998" t="n">
        <v>2111000000</v>
      </c>
      <c r="D1998" t="inlineStr">
        <is>
          <t>Operational Suppliers (Wind Farms)</t>
        </is>
      </c>
      <c r="E1998" t="n">
        <v>5013902</v>
      </c>
      <c r="F1998" t="inlineStr">
        <is>
          <t>6263-2</t>
        </is>
      </c>
      <c r="G1998" t="inlineStr">
        <is>
          <t>RE</t>
        </is>
      </c>
      <c r="H1998" s="12" t="n">
        <v>-980</v>
      </c>
      <c r="I1998" s="17" t="n">
        <v>46225</v>
      </c>
      <c r="J1998" s="17" t="n">
        <v>46270</v>
      </c>
      <c r="K1998" t="inlineStr">
        <is>
          <t>Fatura - bruto QUELMAR TRANSPORTES LTDA 6263-2</t>
        </is>
      </c>
    </row>
    <row r="1999">
      <c r="A1999" t="inlineStr">
        <is>
          <t>100883</t>
        </is>
      </c>
      <c r="B1999" t="inlineStr">
        <is>
          <t>QUELMAR TRANSPORTES LTDA</t>
        </is>
      </c>
      <c r="C1999" t="n">
        <v>2111000000</v>
      </c>
      <c r="D1999" t="inlineStr">
        <is>
          <t>Operational Suppliers (Wind Farms)</t>
        </is>
      </c>
      <c r="E1999" t="n">
        <v>5013904</v>
      </c>
      <c r="F1999" t="inlineStr">
        <is>
          <t>6265-2</t>
        </is>
      </c>
      <c r="G1999" t="inlineStr">
        <is>
          <t>RE</t>
        </is>
      </c>
      <c r="H1999" s="12" t="n">
        <v>-4970</v>
      </c>
      <c r="I1999" s="17" t="n">
        <v>46225</v>
      </c>
      <c r="J1999" s="17" t="n">
        <v>46270</v>
      </c>
      <c r="K1999" t="inlineStr">
        <is>
          <t>Fatura - bruto QUELMAR TRANSPORTES LTDA 6265-2</t>
        </is>
      </c>
    </row>
    <row r="2000">
      <c r="A2000" t="inlineStr">
        <is>
          <t>100883</t>
        </is>
      </c>
      <c r="B2000" t="inlineStr">
        <is>
          <t>QUELMAR TRANSPORTES LTDA</t>
        </is>
      </c>
      <c r="C2000" t="n">
        <v>2111000000</v>
      </c>
      <c r="D2000" t="inlineStr">
        <is>
          <t>Operational Suppliers (Wind Farms)</t>
        </is>
      </c>
      <c r="E2000" t="n">
        <v>5013905</v>
      </c>
      <c r="F2000" t="inlineStr">
        <is>
          <t>6268-2</t>
        </is>
      </c>
      <c r="G2000" t="inlineStr">
        <is>
          <t>RE</t>
        </is>
      </c>
      <c r="H2000" s="12" t="n">
        <v>-2798.4</v>
      </c>
      <c r="I2000" s="17" t="n">
        <v>46225</v>
      </c>
      <c r="J2000" s="17" t="n">
        <v>46270</v>
      </c>
      <c r="K2000" t="inlineStr">
        <is>
          <t>Fatura - bruto QUELMAR TRANSPORTES LTDA 6268-2</t>
        </is>
      </c>
    </row>
    <row r="2001">
      <c r="A2001" t="inlineStr">
        <is>
          <t>100883</t>
        </is>
      </c>
      <c r="B2001" t="inlineStr">
        <is>
          <t>QUELMAR TRANSPORTES LTDA</t>
        </is>
      </c>
      <c r="C2001" t="n">
        <v>2111000000</v>
      </c>
      <c r="D2001" t="inlineStr">
        <is>
          <t>Operational Suppliers (Wind Farms)</t>
        </is>
      </c>
      <c r="E2001" t="n">
        <v>5013906</v>
      </c>
      <c r="F2001" t="inlineStr">
        <is>
          <t>6271-2</t>
        </is>
      </c>
      <c r="G2001" t="inlineStr">
        <is>
          <t>RE</t>
        </is>
      </c>
      <c r="H2001" s="12" t="n">
        <v>-3864</v>
      </c>
      <c r="I2001" s="17" t="n">
        <v>46225</v>
      </c>
      <c r="J2001" s="17" t="n">
        <v>46270</v>
      </c>
      <c r="K2001" t="inlineStr">
        <is>
          <t>Fatura - bruto QUELMAR TRANSPORTES LTDA 6271-2</t>
        </is>
      </c>
    </row>
    <row r="2002">
      <c r="A2002" t="inlineStr">
        <is>
          <t>100883</t>
        </is>
      </c>
      <c r="B2002" t="inlineStr">
        <is>
          <t>QUELMAR TRANSPORTES LTDA</t>
        </is>
      </c>
      <c r="C2002" t="n">
        <v>2111000000</v>
      </c>
      <c r="D2002" t="inlineStr">
        <is>
          <t>Operational Suppliers (Wind Farms)</t>
        </is>
      </c>
      <c r="E2002" t="n">
        <v>5013907</v>
      </c>
      <c r="F2002" t="inlineStr">
        <is>
          <t>6290-2</t>
        </is>
      </c>
      <c r="G2002" t="inlineStr">
        <is>
          <t>RE</t>
        </is>
      </c>
      <c r="H2002" s="12" t="n">
        <v>-5780</v>
      </c>
      <c r="I2002" s="17" t="n">
        <v>46226</v>
      </c>
      <c r="J2002" s="17" t="n">
        <v>46270</v>
      </c>
      <c r="K2002" t="inlineStr">
        <is>
          <t>Fatura - bruto QUELMAR TRANSPORTES LTDA 6290-2</t>
        </is>
      </c>
    </row>
    <row r="2003">
      <c r="A2003" t="inlineStr">
        <is>
          <t>100883</t>
        </is>
      </c>
      <c r="B2003" t="inlineStr">
        <is>
          <t>QUELMAR TRANSPORTES LTDA</t>
        </is>
      </c>
      <c r="C2003" t="n">
        <v>2111000000</v>
      </c>
      <c r="D2003" t="inlineStr">
        <is>
          <t>Operational Suppliers (Wind Farms)</t>
        </is>
      </c>
      <c r="E2003" t="n">
        <v>5013908</v>
      </c>
      <c r="F2003" t="inlineStr">
        <is>
          <t>6291-2</t>
        </is>
      </c>
      <c r="G2003" t="inlineStr">
        <is>
          <t>RE</t>
        </is>
      </c>
      <c r="H2003" s="12" t="n">
        <v>-6900</v>
      </c>
      <c r="I2003" s="17" t="n">
        <v>46226</v>
      </c>
      <c r="J2003" s="17" t="n">
        <v>46270</v>
      </c>
      <c r="K2003" t="inlineStr">
        <is>
          <t>Fatura - bruto QUELMAR TRANSPORTES LTDA 6291-2</t>
        </is>
      </c>
    </row>
    <row r="2004">
      <c r="A2004" t="inlineStr">
        <is>
          <t>100883</t>
        </is>
      </c>
      <c r="B2004" t="inlineStr">
        <is>
          <t>QUELMAR TRANSPORTES LTDA</t>
        </is>
      </c>
      <c r="C2004" t="n">
        <v>2111000000</v>
      </c>
      <c r="D2004" t="inlineStr">
        <is>
          <t>Operational Suppliers (Wind Farms)</t>
        </is>
      </c>
      <c r="E2004" t="n">
        <v>5013909</v>
      </c>
      <c r="F2004" t="inlineStr">
        <is>
          <t>6304-2</t>
        </is>
      </c>
      <c r="G2004" t="inlineStr">
        <is>
          <t>RE</t>
        </is>
      </c>
      <c r="H2004" s="12" t="n">
        <v>-3980</v>
      </c>
      <c r="I2004" s="17" t="n">
        <v>46227</v>
      </c>
      <c r="J2004" s="17" t="n">
        <v>46270</v>
      </c>
      <c r="K2004" t="inlineStr">
        <is>
          <t>Fatura - bruto QUELMAR TRANSPORTES LTDA 6304-2</t>
        </is>
      </c>
    </row>
    <row r="2005">
      <c r="A2005" t="inlineStr">
        <is>
          <t>100883</t>
        </is>
      </c>
      <c r="B2005" t="inlineStr">
        <is>
          <t>QUELMAR TRANSPORTES LTDA</t>
        </is>
      </c>
      <c r="C2005" t="n">
        <v>2111000000</v>
      </c>
      <c r="D2005" t="inlineStr">
        <is>
          <t>Operational Suppliers (Wind Farms)</t>
        </is>
      </c>
      <c r="E2005" t="n">
        <v>5013910</v>
      </c>
      <c r="F2005" t="inlineStr">
        <is>
          <t>6305-2</t>
        </is>
      </c>
      <c r="G2005" t="inlineStr">
        <is>
          <t>RE</t>
        </is>
      </c>
      <c r="H2005" s="12" t="n">
        <v>-6950</v>
      </c>
      <c r="I2005" s="17" t="n">
        <v>46227</v>
      </c>
      <c r="J2005" s="17" t="n">
        <v>46270</v>
      </c>
      <c r="K2005" t="inlineStr">
        <is>
          <t>Fatura - bruto QUELMAR TRANSPORTES LTDA 6305-2</t>
        </is>
      </c>
    </row>
    <row r="2006">
      <c r="A2006" t="inlineStr">
        <is>
          <t>100883</t>
        </is>
      </c>
      <c r="B2006" t="inlineStr">
        <is>
          <t>QUELMAR TRANSPORTES LTDA</t>
        </is>
      </c>
      <c r="C2006" t="n">
        <v>2111000000</v>
      </c>
      <c r="D2006" t="inlineStr">
        <is>
          <t>Operational Suppliers (Wind Farms)</t>
        </is>
      </c>
      <c r="E2006" t="n">
        <v>5013911</v>
      </c>
      <c r="F2006" t="inlineStr">
        <is>
          <t>6306-2</t>
        </is>
      </c>
      <c r="G2006" t="inlineStr">
        <is>
          <t>RE</t>
        </is>
      </c>
      <c r="H2006" s="12" t="n">
        <v>-7087</v>
      </c>
      <c r="I2006" s="17" t="n">
        <v>46227</v>
      </c>
      <c r="J2006" s="17" t="n">
        <v>46270</v>
      </c>
      <c r="K2006" t="inlineStr">
        <is>
          <t>Fatura - bruto QUELMAR TRANSPORTES LTDA 6306-2</t>
        </is>
      </c>
    </row>
    <row r="2007">
      <c r="A2007" t="inlineStr">
        <is>
          <t>100883</t>
        </is>
      </c>
      <c r="B2007" t="inlineStr">
        <is>
          <t>QUELMAR TRANSPORTES LTDA</t>
        </is>
      </c>
      <c r="C2007" t="n">
        <v>2111000000</v>
      </c>
      <c r="D2007" t="inlineStr">
        <is>
          <t>Operational Suppliers (Wind Farms)</t>
        </is>
      </c>
      <c r="E2007" t="n">
        <v>5013912</v>
      </c>
      <c r="F2007" t="inlineStr">
        <is>
          <t>6307-2</t>
        </is>
      </c>
      <c r="G2007" t="inlineStr">
        <is>
          <t>RE</t>
        </is>
      </c>
      <c r="H2007" s="12" t="n">
        <v>-6200</v>
      </c>
      <c r="I2007" s="17" t="n">
        <v>46227</v>
      </c>
      <c r="J2007" s="17" t="n">
        <v>46270</v>
      </c>
      <c r="K2007" t="inlineStr">
        <is>
          <t>Fatura - bruto QUELMAR TRANSPORTES LTDA 6307-2</t>
        </is>
      </c>
    </row>
    <row r="2008">
      <c r="A2008" t="inlineStr">
        <is>
          <t>100883</t>
        </is>
      </c>
      <c r="B2008" t="inlineStr">
        <is>
          <t>QUELMAR TRANSPORTES LTDA</t>
        </is>
      </c>
      <c r="C2008" t="n">
        <v>2111000000</v>
      </c>
      <c r="D2008" t="inlineStr">
        <is>
          <t>Operational Suppliers (Wind Farms)</t>
        </is>
      </c>
      <c r="E2008" t="n">
        <v>5013913</v>
      </c>
      <c r="F2008" t="inlineStr">
        <is>
          <t>6309-2</t>
        </is>
      </c>
      <c r="G2008" t="inlineStr">
        <is>
          <t>RE</t>
        </is>
      </c>
      <c r="H2008" s="12" t="n">
        <v>-5948.8</v>
      </c>
      <c r="I2008" s="17" t="n">
        <v>46230</v>
      </c>
      <c r="J2008" s="17" t="n">
        <v>46270</v>
      </c>
      <c r="K2008" t="inlineStr">
        <is>
          <t>Fatura - bruto QUELMAR TRANSPORTES LTDA 6309-2</t>
        </is>
      </c>
    </row>
    <row r="2009">
      <c r="A2009" t="inlineStr">
        <is>
          <t>100883</t>
        </is>
      </c>
      <c r="B2009" t="inlineStr">
        <is>
          <t>QUELMAR TRANSPORTES LTDA</t>
        </is>
      </c>
      <c r="C2009" t="n">
        <v>2111000000</v>
      </c>
      <c r="D2009" t="inlineStr">
        <is>
          <t>Operational Suppliers (Wind Farms)</t>
        </is>
      </c>
      <c r="E2009" t="n">
        <v>5013914</v>
      </c>
      <c r="F2009" t="inlineStr">
        <is>
          <t>108105-1</t>
        </is>
      </c>
      <c r="G2009" t="inlineStr">
        <is>
          <t>RE</t>
        </is>
      </c>
      <c r="H2009" s="12" t="n">
        <v>-1390</v>
      </c>
      <c r="I2009" s="17" t="n">
        <v>46224</v>
      </c>
      <c r="J2009" s="17" t="n">
        <v>46270</v>
      </c>
      <c r="K2009" t="inlineStr">
        <is>
          <t>Fatura - bruto QUELMAR TRANSPORTES LTDA 108105-1</t>
        </is>
      </c>
    </row>
    <row r="2010">
      <c r="A2010" t="inlineStr">
        <is>
          <t>100883</t>
        </is>
      </c>
      <c r="B2010" t="inlineStr">
        <is>
          <t>QUELMAR TRANSPORTES LTDA</t>
        </is>
      </c>
      <c r="C2010" t="n">
        <v>2111000000</v>
      </c>
      <c r="D2010" t="inlineStr">
        <is>
          <t>Operational Suppliers (Wind Farms)</t>
        </is>
      </c>
      <c r="E2010" t="n">
        <v>5013915</v>
      </c>
      <c r="F2010" t="inlineStr">
        <is>
          <t>6257-2</t>
        </is>
      </c>
      <c r="G2010" t="inlineStr">
        <is>
          <t>RE</t>
        </is>
      </c>
      <c r="H2010" s="12" t="n">
        <v>-2930</v>
      </c>
      <c r="I2010" s="17" t="n">
        <v>46225</v>
      </c>
      <c r="J2010" s="17" t="n">
        <v>46270</v>
      </c>
      <c r="K2010" t="inlineStr">
        <is>
          <t>Fatura - bruto QUELMAR TRANSPORTES LTDA 6257-2</t>
        </is>
      </c>
    </row>
    <row r="2011">
      <c r="A2011" t="inlineStr">
        <is>
          <t>100883</t>
        </is>
      </c>
      <c r="B2011" t="inlineStr">
        <is>
          <t>QUELMAR TRANSPORTES LTDA</t>
        </is>
      </c>
      <c r="C2011" t="n">
        <v>2111000000</v>
      </c>
      <c r="D2011" t="inlineStr">
        <is>
          <t>Operational Suppliers (Wind Farms)</t>
        </is>
      </c>
      <c r="E2011" t="n">
        <v>5013916</v>
      </c>
      <c r="F2011" t="inlineStr">
        <is>
          <t>6258-2</t>
        </is>
      </c>
      <c r="G2011" t="inlineStr">
        <is>
          <t>RE</t>
        </is>
      </c>
      <c r="H2011" s="12" t="n">
        <v>-3950</v>
      </c>
      <c r="I2011" s="17" t="n">
        <v>46225</v>
      </c>
      <c r="J2011" s="17" t="n">
        <v>46270</v>
      </c>
      <c r="K2011" t="inlineStr">
        <is>
          <t>Fatura - bruto QUELMAR TRANSPORTES LTDA 6258-2</t>
        </is>
      </c>
    </row>
    <row r="2012">
      <c r="A2012" t="inlineStr">
        <is>
          <t>100883</t>
        </is>
      </c>
      <c r="B2012" t="inlineStr">
        <is>
          <t>QUELMAR TRANSPORTES LTDA</t>
        </is>
      </c>
      <c r="C2012" t="n">
        <v>2111000000</v>
      </c>
      <c r="D2012" t="inlineStr">
        <is>
          <t>Operational Suppliers (Wind Farms)</t>
        </is>
      </c>
      <c r="E2012" t="n">
        <v>5013917</v>
      </c>
      <c r="F2012" t="inlineStr">
        <is>
          <t>6259-2</t>
        </is>
      </c>
      <c r="G2012" t="inlineStr">
        <is>
          <t>RE</t>
        </is>
      </c>
      <c r="H2012" s="12" t="n">
        <v>-3330</v>
      </c>
      <c r="I2012" s="17" t="n">
        <v>46225</v>
      </c>
      <c r="J2012" s="17" t="n">
        <v>46270</v>
      </c>
      <c r="K2012" t="inlineStr">
        <is>
          <t>Fatura - bruto QUELMAR TRANSPORTES LTDA 6259-2</t>
        </is>
      </c>
    </row>
    <row r="2013">
      <c r="A2013" t="inlineStr">
        <is>
          <t>100883</t>
        </is>
      </c>
      <c r="B2013" t="inlineStr">
        <is>
          <t>QUELMAR TRANSPORTES LTDA</t>
        </is>
      </c>
      <c r="C2013" t="n">
        <v>2111000000</v>
      </c>
      <c r="D2013" t="inlineStr">
        <is>
          <t>Operational Suppliers (Wind Farms)</t>
        </is>
      </c>
      <c r="E2013" t="n">
        <v>5013918</v>
      </c>
      <c r="F2013" t="inlineStr">
        <is>
          <t>6261-2</t>
        </is>
      </c>
      <c r="G2013" t="inlineStr">
        <is>
          <t>RE</t>
        </is>
      </c>
      <c r="H2013" s="12" t="n">
        <v>-550</v>
      </c>
      <c r="I2013" s="17" t="n">
        <v>46225</v>
      </c>
      <c r="J2013" s="17" t="n">
        <v>46270</v>
      </c>
      <c r="K2013" t="inlineStr">
        <is>
          <t>Fatura - bruto QUELMAR TRANSPORTES LTDA 6261-2</t>
        </is>
      </c>
    </row>
    <row r="2014">
      <c r="A2014" t="inlineStr">
        <is>
          <t>100883</t>
        </is>
      </c>
      <c r="B2014" t="inlineStr">
        <is>
          <t>QUELMAR TRANSPORTES LTDA</t>
        </is>
      </c>
      <c r="C2014" t="n">
        <v>2111000000</v>
      </c>
      <c r="D2014" t="inlineStr">
        <is>
          <t>Operational Suppliers (Wind Farms)</t>
        </is>
      </c>
      <c r="E2014" t="n">
        <v>5013919</v>
      </c>
      <c r="F2014" t="inlineStr">
        <is>
          <t>6266-2</t>
        </is>
      </c>
      <c r="G2014" t="inlineStr">
        <is>
          <t>RE</t>
        </is>
      </c>
      <c r="H2014" s="12" t="n">
        <v>-4950</v>
      </c>
      <c r="I2014" s="17" t="n">
        <v>46225</v>
      </c>
      <c r="J2014" s="17" t="n">
        <v>46270</v>
      </c>
      <c r="K2014" t="inlineStr">
        <is>
          <t>Fatura - bruto QUELMAR TRANSPORTES LTDA 6266-2</t>
        </is>
      </c>
    </row>
    <row r="2015">
      <c r="A2015" t="inlineStr">
        <is>
          <t>100883</t>
        </is>
      </c>
      <c r="B2015" t="inlineStr">
        <is>
          <t>QUELMAR TRANSPORTES LTDA</t>
        </is>
      </c>
      <c r="C2015" t="n">
        <v>2111000000</v>
      </c>
      <c r="D2015" t="inlineStr">
        <is>
          <t>Operational Suppliers (Wind Farms)</t>
        </is>
      </c>
      <c r="E2015" t="n">
        <v>5013920</v>
      </c>
      <c r="F2015" t="inlineStr">
        <is>
          <t>6270-2</t>
        </is>
      </c>
      <c r="G2015" t="inlineStr">
        <is>
          <t>RE</t>
        </is>
      </c>
      <c r="H2015" s="12" t="n">
        <v>-4830</v>
      </c>
      <c r="I2015" s="17" t="n">
        <v>46225</v>
      </c>
      <c r="J2015" s="17" t="n">
        <v>46270</v>
      </c>
      <c r="K2015" t="inlineStr">
        <is>
          <t>Fatura - bruto QUELMAR TRANSPORTES LTDA 6270-2</t>
        </is>
      </c>
    </row>
    <row r="2016">
      <c r="A2016" t="inlineStr">
        <is>
          <t>100883</t>
        </is>
      </c>
      <c r="B2016" t="inlineStr">
        <is>
          <t>QUELMAR TRANSPORTES LTDA</t>
        </is>
      </c>
      <c r="C2016" t="n">
        <v>2111000000</v>
      </c>
      <c r="D2016" t="inlineStr">
        <is>
          <t>Operational Suppliers (Wind Farms)</t>
        </is>
      </c>
      <c r="E2016" t="n">
        <v>5013921</v>
      </c>
      <c r="F2016" t="inlineStr">
        <is>
          <t>6273-2</t>
        </is>
      </c>
      <c r="G2016" t="inlineStr">
        <is>
          <t>RE</t>
        </is>
      </c>
      <c r="H2016" s="12" t="n">
        <v>-5880</v>
      </c>
      <c r="I2016" s="17" t="n">
        <v>46226</v>
      </c>
      <c r="J2016" s="17" t="n">
        <v>46270</v>
      </c>
      <c r="K2016" t="inlineStr">
        <is>
          <t>Fatura - bruto QUELMAR TRANSPORTES LTDA 6273-2</t>
        </is>
      </c>
    </row>
    <row r="2017">
      <c r="A2017" t="inlineStr">
        <is>
          <t>100883</t>
        </is>
      </c>
      <c r="B2017" t="inlineStr">
        <is>
          <t>QUELMAR TRANSPORTES LTDA</t>
        </is>
      </c>
      <c r="C2017" t="n">
        <v>2111000000</v>
      </c>
      <c r="D2017" t="inlineStr">
        <is>
          <t>Operational Suppliers (Wind Farms)</t>
        </is>
      </c>
      <c r="E2017" t="n">
        <v>5013922</v>
      </c>
      <c r="F2017" t="inlineStr">
        <is>
          <t>6277-2</t>
        </is>
      </c>
      <c r="G2017" t="inlineStr">
        <is>
          <t>RE</t>
        </is>
      </c>
      <c r="H2017" s="12" t="n">
        <v>-3990</v>
      </c>
      <c r="I2017" s="17" t="n">
        <v>46226</v>
      </c>
      <c r="J2017" s="17" t="n">
        <v>46270</v>
      </c>
      <c r="K2017" t="inlineStr">
        <is>
          <t>Fatura - bruto QUELMAR TRANSPORTES LTDA 6277-2</t>
        </is>
      </c>
    </row>
    <row r="2018">
      <c r="A2018" t="inlineStr">
        <is>
          <t>100883</t>
        </is>
      </c>
      <c r="B2018" t="inlineStr">
        <is>
          <t>QUELMAR TRANSPORTES LTDA</t>
        </is>
      </c>
      <c r="C2018" t="n">
        <v>2111000000</v>
      </c>
      <c r="D2018" t="inlineStr">
        <is>
          <t>Operational Suppliers (Wind Farms)</t>
        </is>
      </c>
      <c r="E2018" t="n">
        <v>5013923</v>
      </c>
      <c r="F2018" t="inlineStr">
        <is>
          <t>6278-2</t>
        </is>
      </c>
      <c r="G2018" t="inlineStr">
        <is>
          <t>RE</t>
        </is>
      </c>
      <c r="H2018" s="12" t="n">
        <v>-570</v>
      </c>
      <c r="I2018" s="17" t="n">
        <v>46226</v>
      </c>
      <c r="J2018" s="17" t="n">
        <v>46270</v>
      </c>
      <c r="K2018" t="inlineStr">
        <is>
          <t>Fatura - bruto QUELMAR TRANSPORTES LTDA 6278-2</t>
        </is>
      </c>
    </row>
    <row r="2019">
      <c r="A2019" t="inlineStr">
        <is>
          <t>100883</t>
        </is>
      </c>
      <c r="B2019" t="inlineStr">
        <is>
          <t>QUELMAR TRANSPORTES LTDA</t>
        </is>
      </c>
      <c r="C2019" t="n">
        <v>2111000000</v>
      </c>
      <c r="D2019" t="inlineStr">
        <is>
          <t>Operational Suppliers (Wind Farms)</t>
        </is>
      </c>
      <c r="E2019" t="n">
        <v>5013924</v>
      </c>
      <c r="F2019" t="inlineStr">
        <is>
          <t>6279-2</t>
        </is>
      </c>
      <c r="G2019" t="inlineStr">
        <is>
          <t>RE</t>
        </is>
      </c>
      <c r="H2019" s="12" t="n">
        <v>-4980</v>
      </c>
      <c r="I2019" s="17" t="n">
        <v>46226</v>
      </c>
      <c r="J2019" s="17" t="n">
        <v>46270</v>
      </c>
      <c r="K2019" t="inlineStr">
        <is>
          <t>Fatura - bruto QUELMAR TRANSPORTES LTDA 6279-2</t>
        </is>
      </c>
    </row>
    <row r="2020">
      <c r="A2020" t="inlineStr">
        <is>
          <t>100883</t>
        </is>
      </c>
      <c r="B2020" t="inlineStr">
        <is>
          <t>QUELMAR TRANSPORTES LTDA</t>
        </is>
      </c>
      <c r="C2020" t="n">
        <v>2111000000</v>
      </c>
      <c r="D2020" t="inlineStr">
        <is>
          <t>Operational Suppliers (Wind Farms)</t>
        </is>
      </c>
      <c r="E2020" t="n">
        <v>5013925</v>
      </c>
      <c r="F2020" t="inlineStr">
        <is>
          <t>6280-2</t>
        </is>
      </c>
      <c r="G2020" t="inlineStr">
        <is>
          <t>RE</t>
        </is>
      </c>
      <c r="H2020" s="12" t="n">
        <v>-4545</v>
      </c>
      <c r="I2020" s="17" t="n">
        <v>46226</v>
      </c>
      <c r="J2020" s="17" t="n">
        <v>46270</v>
      </c>
      <c r="K2020" t="inlineStr">
        <is>
          <t>Fatura - bruto QUELMAR TRANSPORTES LTDA 6280-2</t>
        </is>
      </c>
    </row>
    <row r="2021">
      <c r="A2021" t="inlineStr">
        <is>
          <t>100883</t>
        </is>
      </c>
      <c r="B2021" t="inlineStr">
        <is>
          <t>QUELMAR TRANSPORTES LTDA</t>
        </is>
      </c>
      <c r="C2021" t="n">
        <v>2111000000</v>
      </c>
      <c r="D2021" t="inlineStr">
        <is>
          <t>Operational Suppliers (Wind Farms)</t>
        </is>
      </c>
      <c r="E2021" t="n">
        <v>5013926</v>
      </c>
      <c r="F2021" t="inlineStr">
        <is>
          <t>6284-2</t>
        </is>
      </c>
      <c r="G2021" t="inlineStr">
        <is>
          <t>RE</t>
        </is>
      </c>
      <c r="H2021" s="12" t="n">
        <v>-4970</v>
      </c>
      <c r="I2021" s="17" t="n">
        <v>46226</v>
      </c>
      <c r="J2021" s="17" t="n">
        <v>46270</v>
      </c>
      <c r="K2021" t="inlineStr">
        <is>
          <t>Fatura - bruto QUELMAR TRANSPORTES LTDA 6284-2</t>
        </is>
      </c>
    </row>
    <row r="2022">
      <c r="A2022" t="inlineStr">
        <is>
          <t>100883</t>
        </is>
      </c>
      <c r="B2022" t="inlineStr">
        <is>
          <t>QUELMAR TRANSPORTES LTDA</t>
        </is>
      </c>
      <c r="C2022" t="n">
        <v>2111000000</v>
      </c>
      <c r="D2022" t="inlineStr">
        <is>
          <t>Operational Suppliers (Wind Farms)</t>
        </is>
      </c>
      <c r="E2022" t="n">
        <v>5013927</v>
      </c>
      <c r="F2022" t="inlineStr">
        <is>
          <t>6286-2</t>
        </is>
      </c>
      <c r="G2022" t="inlineStr">
        <is>
          <t>RE</t>
        </is>
      </c>
      <c r="H2022" s="12" t="n">
        <v>-3950</v>
      </c>
      <c r="I2022" s="17" t="n">
        <v>46226</v>
      </c>
      <c r="J2022" s="17" t="n">
        <v>46270</v>
      </c>
      <c r="K2022" t="inlineStr">
        <is>
          <t>Fatura - bruto QUELMAR TRANSPORTES LTDA 6286-2</t>
        </is>
      </c>
    </row>
    <row r="2023">
      <c r="A2023" t="inlineStr">
        <is>
          <t>100883</t>
        </is>
      </c>
      <c r="B2023" t="inlineStr">
        <is>
          <t>QUELMAR TRANSPORTES LTDA</t>
        </is>
      </c>
      <c r="C2023" t="n">
        <v>2111000000</v>
      </c>
      <c r="D2023" t="inlineStr">
        <is>
          <t>Operational Suppliers (Wind Farms)</t>
        </is>
      </c>
      <c r="E2023" t="n">
        <v>5013928</v>
      </c>
      <c r="F2023" t="inlineStr">
        <is>
          <t>6287-2</t>
        </is>
      </c>
      <c r="G2023" t="inlineStr">
        <is>
          <t>RE</t>
        </is>
      </c>
      <c r="H2023" s="12" t="n">
        <v>-3280</v>
      </c>
      <c r="I2023" s="17" t="n">
        <v>46226</v>
      </c>
      <c r="J2023" s="17" t="n">
        <v>46270</v>
      </c>
      <c r="K2023" t="inlineStr">
        <is>
          <t>Fatura - bruto QUELMAR TRANSPORTES LTDA 6287-2</t>
        </is>
      </c>
    </row>
    <row r="2024">
      <c r="A2024" t="inlineStr">
        <is>
          <t>100883</t>
        </is>
      </c>
      <c r="B2024" t="inlineStr">
        <is>
          <t>QUELMAR TRANSPORTES LTDA</t>
        </is>
      </c>
      <c r="C2024" t="n">
        <v>2111000000</v>
      </c>
      <c r="D2024" t="inlineStr">
        <is>
          <t>Operational Suppliers (Wind Farms)</t>
        </is>
      </c>
      <c r="E2024" t="n">
        <v>5013929</v>
      </c>
      <c r="F2024" t="inlineStr">
        <is>
          <t>6289-2</t>
        </is>
      </c>
      <c r="G2024" t="inlineStr">
        <is>
          <t>RE</t>
        </is>
      </c>
      <c r="H2024" s="12" t="n">
        <v>-8500</v>
      </c>
      <c r="I2024" s="17" t="n">
        <v>46226</v>
      </c>
      <c r="J2024" s="17" t="n">
        <v>46270</v>
      </c>
      <c r="K2024" t="inlineStr">
        <is>
          <t>Fatura - bruto QUELMAR TRANSPORTES LTDA 6289-2</t>
        </is>
      </c>
    </row>
    <row r="2025">
      <c r="A2025" t="inlineStr">
        <is>
          <t>100883</t>
        </is>
      </c>
      <c r="B2025" t="inlineStr">
        <is>
          <t>QUELMAR TRANSPORTES LTDA</t>
        </is>
      </c>
      <c r="C2025" t="n">
        <v>2111000000</v>
      </c>
      <c r="D2025" t="inlineStr">
        <is>
          <t>Operational Suppliers (Wind Farms)</t>
        </is>
      </c>
      <c r="E2025" t="n">
        <v>5013930</v>
      </c>
      <c r="F2025" t="inlineStr">
        <is>
          <t>6302-2</t>
        </is>
      </c>
      <c r="G2025" t="inlineStr">
        <is>
          <t>RE</t>
        </is>
      </c>
      <c r="H2025" s="12" t="n">
        <v>-6350</v>
      </c>
      <c r="I2025" s="17" t="n">
        <v>46227</v>
      </c>
      <c r="J2025" s="17" t="n">
        <v>46270</v>
      </c>
      <c r="K2025" t="inlineStr">
        <is>
          <t>Fatura - bruto QUELMAR TRANSPORTES LTDA 6302-2</t>
        </is>
      </c>
    </row>
    <row r="2026">
      <c r="A2026" t="inlineStr">
        <is>
          <t>100883</t>
        </is>
      </c>
      <c r="B2026" t="inlineStr">
        <is>
          <t>QUELMAR TRANSPORTES LTDA</t>
        </is>
      </c>
      <c r="C2026" t="n">
        <v>2111000000</v>
      </c>
      <c r="D2026" t="inlineStr">
        <is>
          <t>Operational Suppliers (Wind Farms)</t>
        </is>
      </c>
      <c r="E2026" t="n">
        <v>5013931</v>
      </c>
      <c r="F2026" t="inlineStr">
        <is>
          <t>6303-2</t>
        </is>
      </c>
      <c r="G2026" t="inlineStr">
        <is>
          <t>RE</t>
        </is>
      </c>
      <c r="H2026" s="12" t="n">
        <v>-4980</v>
      </c>
      <c r="I2026" s="17" t="n">
        <v>46227</v>
      </c>
      <c r="J2026" s="17" t="n">
        <v>46270</v>
      </c>
      <c r="K2026" t="inlineStr">
        <is>
          <t>Fatura - bruto QUELMAR TRANSPORTES LTDA 6303-2</t>
        </is>
      </c>
    </row>
    <row r="2027">
      <c r="A2027" t="inlineStr">
        <is>
          <t>100883</t>
        </is>
      </c>
      <c r="B2027" t="inlineStr">
        <is>
          <t>QUELMAR TRANSPORTES LTDA</t>
        </is>
      </c>
      <c r="C2027" t="n">
        <v>2111000000</v>
      </c>
      <c r="D2027" t="inlineStr">
        <is>
          <t>Operational Suppliers (Wind Farms)</t>
        </is>
      </c>
      <c r="E2027" t="n">
        <v>5013957</v>
      </c>
      <c r="F2027" t="inlineStr">
        <is>
          <t>108106-1</t>
        </is>
      </c>
      <c r="G2027" t="inlineStr">
        <is>
          <t>RE</t>
        </is>
      </c>
      <c r="H2027" s="12" t="n">
        <v>-1530</v>
      </c>
      <c r="I2027" s="17" t="n">
        <v>46224</v>
      </c>
      <c r="J2027" s="17" t="n">
        <v>46270</v>
      </c>
      <c r="K2027" t="inlineStr">
        <is>
          <t>Fatura - bruto QUELMAR TRANSPORTES LTDA 108106-1</t>
        </is>
      </c>
    </row>
    <row r="2028">
      <c r="A2028" t="inlineStr">
        <is>
          <t>100883</t>
        </is>
      </c>
      <c r="B2028" t="inlineStr">
        <is>
          <t>QUELMAR TRANSPORTES LTDA</t>
        </is>
      </c>
      <c r="C2028" t="n">
        <v>2111000000</v>
      </c>
      <c r="D2028" t="inlineStr">
        <is>
          <t>Operational Suppliers (Wind Farms)</t>
        </is>
      </c>
      <c r="E2028" t="n">
        <v>5013958</v>
      </c>
      <c r="F2028" t="inlineStr">
        <is>
          <t>107999-1</t>
        </is>
      </c>
      <c r="G2028" t="inlineStr">
        <is>
          <t>RE</t>
        </is>
      </c>
      <c r="H2028" s="12" t="n">
        <v>-1941.33</v>
      </c>
      <c r="I2028" s="17" t="n">
        <v>46220</v>
      </c>
      <c r="J2028" s="17" t="n">
        <v>46270</v>
      </c>
      <c r="K2028" t="inlineStr">
        <is>
          <t>Fatura - bruto QUELMAR TRANSPORTES LTDA 107999-1</t>
        </is>
      </c>
    </row>
    <row r="2029">
      <c r="A2029" t="inlineStr">
        <is>
          <t>100883</t>
        </is>
      </c>
      <c r="B2029" t="inlineStr">
        <is>
          <t>QUELMAR TRANSPORTES LTDA</t>
        </is>
      </c>
      <c r="C2029" t="n">
        <v>2111000000</v>
      </c>
      <c r="D2029" t="inlineStr">
        <is>
          <t>Operational Suppliers (Wind Farms)</t>
        </is>
      </c>
      <c r="E2029" t="n">
        <v>5013963</v>
      </c>
      <c r="F2029" t="inlineStr">
        <is>
          <t>6267-2</t>
        </is>
      </c>
      <c r="G2029" t="inlineStr">
        <is>
          <t>RE</t>
        </is>
      </c>
      <c r="H2029" s="12" t="n">
        <v>-4250</v>
      </c>
      <c r="I2029" s="17" t="n">
        <v>46225</v>
      </c>
      <c r="J2029" s="17" t="n">
        <v>46270</v>
      </c>
      <c r="K2029" t="inlineStr">
        <is>
          <t>Fatura - bruto QUELMAR TRANSPORTES LTDA 6267-2</t>
        </is>
      </c>
    </row>
    <row r="2030">
      <c r="A2030" t="inlineStr">
        <is>
          <t>100883</t>
        </is>
      </c>
      <c r="B2030" t="inlineStr">
        <is>
          <t>QUELMAR TRANSPORTES LTDA</t>
        </is>
      </c>
      <c r="C2030" t="n">
        <v>2111000000</v>
      </c>
      <c r="D2030" t="inlineStr">
        <is>
          <t>Operational Suppliers (Wind Farms)</t>
        </is>
      </c>
      <c r="E2030" t="n">
        <v>5013964</v>
      </c>
      <c r="F2030" t="inlineStr">
        <is>
          <t>6274-2</t>
        </is>
      </c>
      <c r="G2030" t="inlineStr">
        <is>
          <t>RE</t>
        </is>
      </c>
      <c r="H2030" s="12" t="n">
        <v>-7650</v>
      </c>
      <c r="I2030" s="17" t="n">
        <v>46226</v>
      </c>
      <c r="J2030" s="17" t="n">
        <v>46270</v>
      </c>
      <c r="K2030" t="inlineStr">
        <is>
          <t>Fatura - bruto QUELMAR TRANSPORTES LTDA 6274-2</t>
        </is>
      </c>
    </row>
    <row r="2031">
      <c r="A2031" t="inlineStr">
        <is>
          <t>100883</t>
        </is>
      </c>
      <c r="B2031" t="inlineStr">
        <is>
          <t>QUELMAR TRANSPORTES LTDA</t>
        </is>
      </c>
      <c r="C2031" t="n">
        <v>2111000000</v>
      </c>
      <c r="D2031" t="inlineStr">
        <is>
          <t>Operational Suppliers (Wind Farms)</t>
        </is>
      </c>
      <c r="E2031" t="n">
        <v>5013966</v>
      </c>
      <c r="F2031" t="inlineStr">
        <is>
          <t>6264-2</t>
        </is>
      </c>
      <c r="G2031" t="inlineStr">
        <is>
          <t>RE</t>
        </is>
      </c>
      <c r="H2031" s="12" t="n">
        <v>-1650</v>
      </c>
      <c r="I2031" s="17" t="n">
        <v>46225</v>
      </c>
      <c r="J2031" s="17" t="n">
        <v>46270</v>
      </c>
      <c r="K2031" t="inlineStr">
        <is>
          <t>Fatura - bruto QUELMAR TRANSPORTES LTDA 6264-2</t>
        </is>
      </c>
    </row>
    <row r="2032">
      <c r="A2032" t="inlineStr">
        <is>
          <t>100883</t>
        </is>
      </c>
      <c r="B2032" t="inlineStr">
        <is>
          <t>QUELMAR TRANSPORTES LTDA</t>
        </is>
      </c>
      <c r="C2032" t="n">
        <v>2111000000</v>
      </c>
      <c r="D2032" t="inlineStr">
        <is>
          <t>Operational Suppliers (Wind Farms)</t>
        </is>
      </c>
      <c r="E2032" t="n">
        <v>5013967</v>
      </c>
      <c r="F2032" t="inlineStr">
        <is>
          <t>6275-2</t>
        </is>
      </c>
      <c r="G2032" t="inlineStr">
        <is>
          <t>RE</t>
        </is>
      </c>
      <c r="H2032" s="12" t="n">
        <v>-3970</v>
      </c>
      <c r="I2032" s="17" t="n">
        <v>46226</v>
      </c>
      <c r="J2032" s="17" t="n">
        <v>46270</v>
      </c>
      <c r="K2032" t="inlineStr">
        <is>
          <t>Fatura - bruto QUELMAR TRANSPORTES LTDA 6275-2</t>
        </is>
      </c>
    </row>
    <row r="2033">
      <c r="A2033" t="inlineStr">
        <is>
          <t>100883</t>
        </is>
      </c>
      <c r="B2033" t="inlineStr">
        <is>
          <t>QUELMAR TRANSPORTES LTDA</t>
        </is>
      </c>
      <c r="C2033" t="n">
        <v>2111000000</v>
      </c>
      <c r="D2033" t="inlineStr">
        <is>
          <t>Operational Suppliers (Wind Farms)</t>
        </is>
      </c>
      <c r="E2033" t="n">
        <v>5013968</v>
      </c>
      <c r="F2033" t="inlineStr">
        <is>
          <t>6285-2</t>
        </is>
      </c>
      <c r="G2033" t="inlineStr">
        <is>
          <t>RE</t>
        </is>
      </c>
      <c r="H2033" s="12" t="n">
        <v>-4880</v>
      </c>
      <c r="I2033" s="17" t="n">
        <v>46226</v>
      </c>
      <c r="J2033" s="17" t="n">
        <v>46270</v>
      </c>
      <c r="K2033" t="inlineStr">
        <is>
          <t>Fatura - bruto QUELMAR TRANSPORTES LTDA 6285-2</t>
        </is>
      </c>
    </row>
    <row r="2034">
      <c r="A2034" t="inlineStr">
        <is>
          <t>100883</t>
        </is>
      </c>
      <c r="B2034" t="inlineStr">
        <is>
          <t>QUELMAR TRANSPORTES LTDA</t>
        </is>
      </c>
      <c r="C2034" t="n">
        <v>2111000000</v>
      </c>
      <c r="D2034" t="inlineStr">
        <is>
          <t>Operational Suppliers (Wind Farms)</t>
        </is>
      </c>
      <c r="E2034" t="n">
        <v>5013979</v>
      </c>
      <c r="F2034" t="inlineStr">
        <is>
          <t>108007-1</t>
        </is>
      </c>
      <c r="G2034" t="inlineStr">
        <is>
          <t>RE</t>
        </is>
      </c>
      <c r="H2034" s="12" t="n">
        <v>-772</v>
      </c>
      <c r="I2034" s="17" t="n">
        <v>46220</v>
      </c>
      <c r="J2034" s="17" t="n">
        <v>46270</v>
      </c>
      <c r="K2034" t="inlineStr">
        <is>
          <t>Fatura - bruto QUELMAR TRANSPORTES LTDA 108007-1</t>
        </is>
      </c>
    </row>
    <row r="2035">
      <c r="A2035" t="inlineStr">
        <is>
          <t>100883</t>
        </is>
      </c>
      <c r="B2035" t="inlineStr">
        <is>
          <t>QUELMAR TRANSPORTES LTDA</t>
        </is>
      </c>
      <c r="C2035" t="n">
        <v>2111000000</v>
      </c>
      <c r="D2035" t="inlineStr">
        <is>
          <t>Operational Suppliers (Wind Farms)</t>
        </is>
      </c>
      <c r="E2035" t="n">
        <v>5013980</v>
      </c>
      <c r="F2035" t="inlineStr">
        <is>
          <t>108008-1</t>
        </is>
      </c>
      <c r="G2035" t="inlineStr">
        <is>
          <t>RE</t>
        </is>
      </c>
      <c r="H2035" s="12" t="n">
        <v>-2624.52</v>
      </c>
      <c r="I2035" s="17" t="n">
        <v>46220</v>
      </c>
      <c r="J2035" s="17" t="n">
        <v>46270</v>
      </c>
      <c r="K2035" t="inlineStr">
        <is>
          <t>Fatura - bruto QUELMAR TRANSPORTES LTDA 108008-1</t>
        </is>
      </c>
    </row>
    <row r="2036">
      <c r="A2036" t="inlineStr">
        <is>
          <t>100883</t>
        </is>
      </c>
      <c r="B2036" t="inlineStr">
        <is>
          <t>QUELMAR TRANSPORTES LTDA</t>
        </is>
      </c>
      <c r="C2036" t="n">
        <v>2111000000</v>
      </c>
      <c r="D2036" t="inlineStr">
        <is>
          <t>Operational Suppliers (Wind Farms)</t>
        </is>
      </c>
      <c r="E2036" t="n">
        <v>5013981</v>
      </c>
      <c r="F2036" t="inlineStr">
        <is>
          <t>108023-1</t>
        </is>
      </c>
      <c r="G2036" t="inlineStr">
        <is>
          <t>RE</t>
        </is>
      </c>
      <c r="H2036" s="12" t="n">
        <v>-1590</v>
      </c>
      <c r="I2036" s="17" t="n">
        <v>46220</v>
      </c>
      <c r="J2036" s="17" t="n">
        <v>46270</v>
      </c>
      <c r="K2036" t="inlineStr">
        <is>
          <t>Fatura - bruto QUELMAR TRANSPORTES LTDA 108023-1</t>
        </is>
      </c>
    </row>
    <row r="2037">
      <c r="A2037" t="inlineStr">
        <is>
          <t>100883</t>
        </is>
      </c>
      <c r="B2037" t="inlineStr">
        <is>
          <t>QUELMAR TRANSPORTES LTDA</t>
        </is>
      </c>
      <c r="C2037" t="n">
        <v>2111000000</v>
      </c>
      <c r="D2037" t="inlineStr">
        <is>
          <t>Operational Suppliers (Wind Farms)</t>
        </is>
      </c>
      <c r="E2037" t="n">
        <v>5013982</v>
      </c>
      <c r="F2037" t="inlineStr">
        <is>
          <t>108009-1</t>
        </is>
      </c>
      <c r="G2037" t="inlineStr">
        <is>
          <t>RE</t>
        </is>
      </c>
      <c r="H2037" s="12" t="n">
        <v>-4085.47</v>
      </c>
      <c r="I2037" s="17" t="n">
        <v>46220</v>
      </c>
      <c r="J2037" s="17" t="n">
        <v>46270</v>
      </c>
      <c r="K2037" t="inlineStr">
        <is>
          <t>Fatura - bruto QUELMAR TRANSPORTES LTDA 108009-1</t>
        </is>
      </c>
    </row>
    <row r="2038">
      <c r="A2038" t="inlineStr">
        <is>
          <t>100883</t>
        </is>
      </c>
      <c r="B2038" t="inlineStr">
        <is>
          <t>QUELMAR TRANSPORTES LTDA</t>
        </is>
      </c>
      <c r="C2038" t="n">
        <v>2111000000</v>
      </c>
      <c r="D2038" t="inlineStr">
        <is>
          <t>Operational Suppliers (Wind Farms)</t>
        </is>
      </c>
      <c r="E2038" t="n">
        <v>5013983</v>
      </c>
      <c r="F2038" t="inlineStr">
        <is>
          <t>108010-1</t>
        </is>
      </c>
      <c r="G2038" t="inlineStr">
        <is>
          <t>RE</t>
        </is>
      </c>
      <c r="H2038" s="12" t="n">
        <v>-413.05</v>
      </c>
      <c r="I2038" s="17" t="n">
        <v>46220</v>
      </c>
      <c r="J2038" s="17" t="n">
        <v>46270</v>
      </c>
      <c r="K2038" t="inlineStr">
        <is>
          <t>Fatura - bruto QUELMAR TRANSPORTES LTDA 108010-1</t>
        </is>
      </c>
    </row>
    <row r="2039">
      <c r="A2039" t="inlineStr">
        <is>
          <t>100883</t>
        </is>
      </c>
      <c r="B2039" t="inlineStr">
        <is>
          <t>QUELMAR TRANSPORTES LTDA</t>
        </is>
      </c>
      <c r="C2039" t="n">
        <v>2111000000</v>
      </c>
      <c r="D2039" t="inlineStr">
        <is>
          <t>Operational Suppliers (Wind Farms)</t>
        </is>
      </c>
      <c r="E2039" t="n">
        <v>5013984</v>
      </c>
      <c r="F2039" t="inlineStr">
        <is>
          <t>108024-1</t>
        </is>
      </c>
      <c r="G2039" t="inlineStr">
        <is>
          <t>RE</t>
        </is>
      </c>
      <c r="H2039" s="12" t="n">
        <v>-12.91</v>
      </c>
      <c r="I2039" s="17" t="n">
        <v>46220</v>
      </c>
      <c r="J2039" s="17" t="n">
        <v>46270</v>
      </c>
      <c r="K2039" t="inlineStr">
        <is>
          <t>Fatura - bruto QUELMAR TRANSPORTES LTDA 108024-1</t>
        </is>
      </c>
    </row>
    <row r="2040">
      <c r="A2040" t="inlineStr">
        <is>
          <t>100883</t>
        </is>
      </c>
      <c r="B2040" t="inlineStr">
        <is>
          <t>QUELMAR TRANSPORTES LTDA</t>
        </is>
      </c>
      <c r="C2040" t="n">
        <v>2111000000</v>
      </c>
      <c r="D2040" t="inlineStr">
        <is>
          <t>Operational Suppliers (Wind Farms)</t>
        </is>
      </c>
      <c r="E2040" t="n">
        <v>5013985</v>
      </c>
      <c r="F2040" t="inlineStr">
        <is>
          <t>108025-1</t>
        </is>
      </c>
      <c r="G2040" t="inlineStr">
        <is>
          <t>RE</t>
        </is>
      </c>
      <c r="H2040" s="12" t="n">
        <v>-1338.22</v>
      </c>
      <c r="I2040" s="17" t="n">
        <v>46220</v>
      </c>
      <c r="J2040" s="17" t="n">
        <v>46270</v>
      </c>
      <c r="K2040" t="inlineStr">
        <is>
          <t>Fatura - bruto QUELMAR TRANSPORTES LTDA 108025-1</t>
        </is>
      </c>
    </row>
    <row r="2041">
      <c r="A2041" t="inlineStr">
        <is>
          <t>100883</t>
        </is>
      </c>
      <c r="B2041" t="inlineStr">
        <is>
          <t>QUELMAR TRANSPORTES LTDA</t>
        </is>
      </c>
      <c r="C2041" t="n">
        <v>2111000000</v>
      </c>
      <c r="D2041" t="inlineStr">
        <is>
          <t>Operational Suppliers (Wind Farms)</t>
        </is>
      </c>
      <c r="E2041" t="n">
        <v>5013986</v>
      </c>
      <c r="F2041" t="inlineStr">
        <is>
          <t>108026-1</t>
        </is>
      </c>
      <c r="G2041" t="inlineStr">
        <is>
          <t>RE</t>
        </is>
      </c>
      <c r="H2041" s="12" t="n">
        <v>-1848.87</v>
      </c>
      <c r="I2041" s="17" t="n">
        <v>46220</v>
      </c>
      <c r="J2041" s="17" t="n">
        <v>46270</v>
      </c>
      <c r="K2041" t="inlineStr">
        <is>
          <t>Fatura - bruto QUELMAR TRANSPORTES LTDA 108026-1</t>
        </is>
      </c>
    </row>
    <row r="2042">
      <c r="A2042" t="inlineStr">
        <is>
          <t>100883</t>
        </is>
      </c>
      <c r="B2042" t="inlineStr">
        <is>
          <t>QUELMAR TRANSPORTES LTDA</t>
        </is>
      </c>
      <c r="C2042" t="n">
        <v>2111000000</v>
      </c>
      <c r="D2042" t="inlineStr">
        <is>
          <t>Operational Suppliers (Wind Farms)</t>
        </is>
      </c>
      <c r="E2042" t="n">
        <v>5013987</v>
      </c>
      <c r="F2042" t="inlineStr">
        <is>
          <t>108037-1</t>
        </is>
      </c>
      <c r="G2042" t="inlineStr">
        <is>
          <t>RE</t>
        </is>
      </c>
      <c r="H2042" s="12" t="n">
        <v>-3501.09</v>
      </c>
      <c r="I2042" s="17" t="n">
        <v>46220</v>
      </c>
      <c r="J2042" s="17" t="n">
        <v>46270</v>
      </c>
      <c r="K2042" t="inlineStr">
        <is>
          <t>Fatura - bruto QUELMAR TRANSPORTES LTDA 108037-1</t>
        </is>
      </c>
    </row>
    <row r="2043">
      <c r="A2043" t="inlineStr">
        <is>
          <t>100883</t>
        </is>
      </c>
      <c r="B2043" t="inlineStr">
        <is>
          <t>QUELMAR TRANSPORTES LTDA</t>
        </is>
      </c>
      <c r="C2043" t="n">
        <v>2111000000</v>
      </c>
      <c r="D2043" t="inlineStr">
        <is>
          <t>Operational Suppliers (Wind Farms)</t>
        </is>
      </c>
      <c r="E2043" t="n">
        <v>5013988</v>
      </c>
      <c r="F2043" t="inlineStr">
        <is>
          <t>108038-1</t>
        </is>
      </c>
      <c r="G2043" t="inlineStr">
        <is>
          <t>RE</t>
        </is>
      </c>
      <c r="H2043" s="12" t="n">
        <v>-3967.91</v>
      </c>
      <c r="I2043" s="17" t="n">
        <v>46220</v>
      </c>
      <c r="J2043" s="17" t="n">
        <v>46270</v>
      </c>
      <c r="K2043" t="inlineStr">
        <is>
          <t>Fatura - bruto QUELMAR TRANSPORTES LTDA 108038-1</t>
        </is>
      </c>
    </row>
    <row r="2044">
      <c r="A2044" t="inlineStr">
        <is>
          <t>101801</t>
        </is>
      </c>
      <c r="B2044" t="inlineStr">
        <is>
          <t>DARCY PACHECO SOLUCOES DE PESO LTDA 89396121000108</t>
        </is>
      </c>
      <c r="C2044" t="n">
        <v>2111000000</v>
      </c>
      <c r="D2044" t="inlineStr">
        <is>
          <t>Operational Suppliers (Wind Farms)</t>
        </is>
      </c>
      <c r="E2044" t="n">
        <v>5013996</v>
      </c>
      <c r="F2044" t="inlineStr">
        <is>
          <t>8719</t>
        </is>
      </c>
      <c r="G2044" t="inlineStr">
        <is>
          <t>RE</t>
        </is>
      </c>
      <c r="H2044" s="12" t="n">
        <v>-459174.51</v>
      </c>
      <c r="I2044" s="17" t="n">
        <v>46231</v>
      </c>
      <c r="J2044" s="17" t="n">
        <v>46300</v>
      </c>
      <c r="K2044" t="inlineStr">
        <is>
          <t>Fatura - bruto DARCY PACHECO SOLUCOES DE PESO LTDA</t>
        </is>
      </c>
    </row>
    <row r="2045">
      <c r="A2045" t="inlineStr">
        <is>
          <t>100031</t>
        </is>
      </c>
      <c r="B2045" t="inlineStr">
        <is>
          <t>MEGAWIND INDUSTRIA E COMERCIO</t>
        </is>
      </c>
      <c r="C2045" t="n">
        <v>2111000000</v>
      </c>
      <c r="D2045" t="inlineStr">
        <is>
          <t>Operational Suppliers (Wind Farms)</t>
        </is>
      </c>
      <c r="E2045" t="n">
        <v>5014007</v>
      </c>
      <c r="F2045" t="inlineStr">
        <is>
          <t>1429</t>
        </is>
      </c>
      <c r="G2045" t="inlineStr">
        <is>
          <t>RE</t>
        </is>
      </c>
      <c r="H2045" s="12" t="n">
        <v>-105000</v>
      </c>
      <c r="I2045" s="17" t="n">
        <v>46232</v>
      </c>
      <c r="J2045" s="17" t="n">
        <v>46270</v>
      </c>
      <c r="K2045" t="inlineStr">
        <is>
          <t>Fatura - bruto MEGAWIND INDUSTRIA E COMERCIO 1429</t>
        </is>
      </c>
    </row>
    <row r="2046">
      <c r="A2046" t="inlineStr">
        <is>
          <t>106471</t>
        </is>
      </c>
      <c r="B2046" t="inlineStr">
        <is>
          <t>P M C FERNANDES</t>
        </is>
      </c>
      <c r="C2046" t="n">
        <v>2111000000</v>
      </c>
      <c r="D2046" t="inlineStr">
        <is>
          <t>Operational Suppliers (Wind Farms)</t>
        </is>
      </c>
      <c r="E2046" t="n">
        <v>5014019</v>
      </c>
      <c r="F2046" t="inlineStr">
        <is>
          <t>247</t>
        </is>
      </c>
      <c r="G2046" t="inlineStr">
        <is>
          <t>RE</t>
        </is>
      </c>
      <c r="H2046" s="12" t="n">
        <v>-2450.25</v>
      </c>
      <c r="I2046" s="17" t="n">
        <v>46211</v>
      </c>
      <c r="J2046" s="17" t="n">
        <v>46270</v>
      </c>
      <c r="K2046" t="inlineStr">
        <is>
          <t>Fatura - bruto P M C FERNANDES 247</t>
        </is>
      </c>
    </row>
    <row r="2047">
      <c r="A2047" t="inlineStr">
        <is>
          <t>102052</t>
        </is>
      </c>
      <c r="B2047" t="inlineStr">
        <is>
          <t>TOME EQUIPAMENTOS E TRANSPORTES LTD 44384832000124</t>
        </is>
      </c>
      <c r="C2047" t="n">
        <v>2111000000</v>
      </c>
      <c r="D2047" t="inlineStr">
        <is>
          <t>Operational Suppliers (Wind Farms)</t>
        </is>
      </c>
      <c r="E2047" t="n">
        <v>5014021</v>
      </c>
      <c r="F2047" t="inlineStr">
        <is>
          <t>10208</t>
        </is>
      </c>
      <c r="G2047" t="inlineStr">
        <is>
          <t>RE</t>
        </is>
      </c>
      <c r="H2047" s="12" t="n">
        <v>-36034.49</v>
      </c>
      <c r="I2047" s="17" t="n">
        <v>46195</v>
      </c>
      <c r="J2047" s="17" t="n">
        <v>46270</v>
      </c>
      <c r="K2047" t="inlineStr">
        <is>
          <t>Fatura - bruto TOME EQUIPAMENTOS E TRANSPORTES LTD</t>
        </is>
      </c>
    </row>
    <row r="2048">
      <c r="A2048" t="inlineStr">
        <is>
          <t>103727</t>
        </is>
      </c>
      <c r="B2048" t="inlineStr">
        <is>
          <t>COMECIAL NGS LTDA</t>
        </is>
      </c>
      <c r="C2048" t="n">
        <v>2111000000</v>
      </c>
      <c r="D2048" t="inlineStr">
        <is>
          <t>Other Suppliers</t>
        </is>
      </c>
      <c r="E2048" t="n">
        <v>5014026</v>
      </c>
      <c r="F2048" t="inlineStr">
        <is>
          <t>000001150-2</t>
        </is>
      </c>
      <c r="G2048" t="inlineStr">
        <is>
          <t>RE</t>
        </is>
      </c>
      <c r="H2048" s="12" t="n">
        <v>-3734.37</v>
      </c>
      <c r="I2048" s="17" t="n">
        <v>46226</v>
      </c>
      <c r="J2048" s="17" t="n">
        <v>46270</v>
      </c>
      <c r="K2048" t="inlineStr">
        <is>
          <t>Fatura - bruto COMECIAL NGS LTDA 000001150-2</t>
        </is>
      </c>
    </row>
    <row r="2049">
      <c r="A2049" t="inlineStr">
        <is>
          <t>100883</t>
        </is>
      </c>
      <c r="B2049" t="inlineStr">
        <is>
          <t>QUELMAR TRANSPORTES LTDA</t>
        </is>
      </c>
      <c r="C2049" t="n">
        <v>2111000000</v>
      </c>
      <c r="D2049" t="inlineStr">
        <is>
          <t>Operational Suppliers (Wind Farms)</t>
        </is>
      </c>
      <c r="E2049" t="n">
        <v>5014033</v>
      </c>
      <c r="F2049" t="inlineStr">
        <is>
          <t>6200-2</t>
        </is>
      </c>
      <c r="G2049" t="inlineStr">
        <is>
          <t>RE</t>
        </is>
      </c>
      <c r="H2049" s="12" t="n">
        <v>-1980</v>
      </c>
      <c r="I2049" s="17" t="n">
        <v>46213</v>
      </c>
      <c r="J2049" s="17" t="n">
        <v>46270</v>
      </c>
      <c r="K2049" t="inlineStr">
        <is>
          <t>Fatura - bruto QUELMAR TRANSPORTES LTDA 6200-2</t>
        </is>
      </c>
    </row>
    <row r="2050">
      <c r="A2050" t="inlineStr">
        <is>
          <t>100883</t>
        </is>
      </c>
      <c r="B2050" t="inlineStr">
        <is>
          <t>QUELMAR TRANSPORTES LTDA</t>
        </is>
      </c>
      <c r="C2050" t="n">
        <v>2111000000</v>
      </c>
      <c r="D2050" t="inlineStr">
        <is>
          <t>Operational Suppliers (Wind Farms)</t>
        </is>
      </c>
      <c r="E2050" t="n">
        <v>5014034</v>
      </c>
      <c r="F2050" t="inlineStr">
        <is>
          <t>6201-2</t>
        </is>
      </c>
      <c r="G2050" t="inlineStr">
        <is>
          <t>RE</t>
        </is>
      </c>
      <c r="H2050" s="12" t="n">
        <v>-5980</v>
      </c>
      <c r="I2050" s="17" t="n">
        <v>46213</v>
      </c>
      <c r="J2050" s="17" t="n">
        <v>46270</v>
      </c>
      <c r="K2050" t="inlineStr">
        <is>
          <t>Fatura - bruto QUELMAR TRANSPORTES LTDA 6201-2</t>
        </is>
      </c>
    </row>
    <row r="2051">
      <c r="A2051" t="inlineStr">
        <is>
          <t>100883</t>
        </is>
      </c>
      <c r="B2051" t="inlineStr">
        <is>
          <t>QUELMAR TRANSPORTES LTDA</t>
        </is>
      </c>
      <c r="C2051" t="n">
        <v>2111000000</v>
      </c>
      <c r="D2051" t="inlineStr">
        <is>
          <t>Operational Suppliers (Wind Farms)</t>
        </is>
      </c>
      <c r="E2051" t="n">
        <v>5014035</v>
      </c>
      <c r="F2051" t="inlineStr">
        <is>
          <t>6209-2</t>
        </is>
      </c>
      <c r="G2051" t="inlineStr">
        <is>
          <t>RE</t>
        </is>
      </c>
      <c r="H2051" s="12" t="n">
        <v>-2790</v>
      </c>
      <c r="I2051" s="17" t="n">
        <v>46216</v>
      </c>
      <c r="J2051" s="17" t="n">
        <v>46270</v>
      </c>
      <c r="K2051" t="inlineStr">
        <is>
          <t>Fatura - bruto QUELMAR TRANSPORTES LTDA 6209-2</t>
        </is>
      </c>
    </row>
    <row r="2052">
      <c r="A2052" t="inlineStr">
        <is>
          <t>100883</t>
        </is>
      </c>
      <c r="B2052" t="inlineStr">
        <is>
          <t>QUELMAR TRANSPORTES LTDA</t>
        </is>
      </c>
      <c r="C2052" t="n">
        <v>2111000000</v>
      </c>
      <c r="D2052" t="inlineStr">
        <is>
          <t>Operational Suppliers (Wind Farms)</t>
        </is>
      </c>
      <c r="E2052" t="n">
        <v>5014036</v>
      </c>
      <c r="F2052" t="inlineStr">
        <is>
          <t>6204-2</t>
        </is>
      </c>
      <c r="G2052" t="inlineStr">
        <is>
          <t>RE</t>
        </is>
      </c>
      <c r="H2052" s="12" t="n">
        <v>-7480</v>
      </c>
      <c r="I2052" s="17" t="n">
        <v>46213</v>
      </c>
      <c r="J2052" s="17" t="n">
        <v>46270</v>
      </c>
      <c r="K2052" t="inlineStr">
        <is>
          <t>Fatura - bruto QUELMAR TRANSPORTES LTDA 6204-2</t>
        </is>
      </c>
    </row>
    <row r="2053">
      <c r="A2053" t="inlineStr">
        <is>
          <t>100883</t>
        </is>
      </c>
      <c r="B2053" t="inlineStr">
        <is>
          <t>QUELMAR TRANSPORTES LTDA</t>
        </is>
      </c>
      <c r="C2053" t="n">
        <v>2111000000</v>
      </c>
      <c r="D2053" t="inlineStr">
        <is>
          <t>Operational Suppliers (Wind Farms)</t>
        </is>
      </c>
      <c r="E2053" t="n">
        <v>5014037</v>
      </c>
      <c r="F2053" t="inlineStr">
        <is>
          <t>6205-2</t>
        </is>
      </c>
      <c r="G2053" t="inlineStr">
        <is>
          <t>RE</t>
        </is>
      </c>
      <c r="H2053" s="12" t="n">
        <v>-8492</v>
      </c>
      <c r="I2053" s="17" t="n">
        <v>46213</v>
      </c>
      <c r="J2053" s="17" t="n">
        <v>46270</v>
      </c>
      <c r="K2053" t="inlineStr">
        <is>
          <t>Fatura - bruto QUELMAR TRANSPORTES LTDA 6205-2</t>
        </is>
      </c>
    </row>
    <row r="2054">
      <c r="A2054" t="inlineStr">
        <is>
          <t>100883</t>
        </is>
      </c>
      <c r="B2054" t="inlineStr">
        <is>
          <t>QUELMAR TRANSPORTES LTDA</t>
        </is>
      </c>
      <c r="C2054" t="n">
        <v>2111000000</v>
      </c>
      <c r="D2054" t="inlineStr">
        <is>
          <t>Operational Suppliers (Wind Farms)</t>
        </is>
      </c>
      <c r="E2054" t="n">
        <v>5014038</v>
      </c>
      <c r="F2054" t="inlineStr">
        <is>
          <t>6181-2</t>
        </is>
      </c>
      <c r="G2054" t="inlineStr">
        <is>
          <t>RE</t>
        </is>
      </c>
      <c r="H2054" s="12" t="n">
        <v>-1962</v>
      </c>
      <c r="I2054" s="17" t="n">
        <v>46209</v>
      </c>
      <c r="J2054" s="17" t="n">
        <v>46270</v>
      </c>
      <c r="K2054" t="inlineStr">
        <is>
          <t>Fatura - bruto QUELMAR TRANSPORTES LTDA 6181-2</t>
        </is>
      </c>
    </row>
    <row r="2055">
      <c r="A2055" t="inlineStr">
        <is>
          <t>100883</t>
        </is>
      </c>
      <c r="B2055" t="inlineStr">
        <is>
          <t>QUELMAR TRANSPORTES LTDA</t>
        </is>
      </c>
      <c r="C2055" t="n">
        <v>2111000000</v>
      </c>
      <c r="D2055" t="inlineStr">
        <is>
          <t>Operational Suppliers (Wind Farms)</t>
        </is>
      </c>
      <c r="E2055" t="n">
        <v>5014040</v>
      </c>
      <c r="F2055" t="inlineStr">
        <is>
          <t>6208-2</t>
        </is>
      </c>
      <c r="G2055" t="inlineStr">
        <is>
          <t>RE</t>
        </is>
      </c>
      <c r="H2055" s="12" t="n">
        <v>-4740</v>
      </c>
      <c r="I2055" s="17" t="n">
        <v>46216</v>
      </c>
      <c r="J2055" s="17" t="n">
        <v>46270</v>
      </c>
      <c r="K2055" t="inlineStr">
        <is>
          <t>Fatura - bruto QUELMAR TRANSPORTES LTDA 6208-2</t>
        </is>
      </c>
    </row>
    <row r="2056">
      <c r="A2056" t="inlineStr">
        <is>
          <t>101463</t>
        </is>
      </c>
      <c r="B2056" t="inlineStr">
        <is>
          <t>ZURICH MINAS BRASIL SEGUROS S A</t>
        </is>
      </c>
      <c r="C2056" t="n">
        <v>2111000000</v>
      </c>
      <c r="D2056" t="inlineStr">
        <is>
          <t>Insurance</t>
        </is>
      </c>
      <c r="E2056" t="n">
        <v>5014044</v>
      </c>
      <c r="F2056" t="inlineStr">
        <is>
          <t>0372/26</t>
        </is>
      </c>
      <c r="G2056" t="inlineStr">
        <is>
          <t>RE</t>
        </is>
      </c>
      <c r="H2056" s="12" t="n">
        <v>-496.02</v>
      </c>
      <c r="I2056" s="17" t="n">
        <v>46230</v>
      </c>
      <c r="J2056" s="17" t="n">
        <v>46262</v>
      </c>
      <c r="K2056" t="inlineStr">
        <is>
          <t>Invoice Payment. SP: 20620</t>
        </is>
      </c>
    </row>
    <row r="2057">
      <c r="A2057" t="inlineStr">
        <is>
          <t>101420</t>
        </is>
      </c>
      <c r="B2057" t="inlineStr">
        <is>
          <t>MEDEIROS GALVAO SOLUÇÕES LTDA</t>
        </is>
      </c>
      <c r="C2057" t="n">
        <v>2111000000</v>
      </c>
      <c r="D2057" t="inlineStr">
        <is>
          <t>Customs Brokerage – Overall</t>
        </is>
      </c>
      <c r="E2057" t="n">
        <v>5014049</v>
      </c>
      <c r="F2057" t="inlineStr">
        <is>
          <t>000030092-2</t>
        </is>
      </c>
      <c r="G2057" t="inlineStr">
        <is>
          <t>RE</t>
        </is>
      </c>
      <c r="H2057" s="12" t="n">
        <v>-2706.78</v>
      </c>
      <c r="I2057" s="17" t="n">
        <v>46227</v>
      </c>
      <c r="J2057" s="17" t="n">
        <v>46270</v>
      </c>
      <c r="K2057" t="inlineStr">
        <is>
          <t>Fatura - bruto MEDEIROS GALVAO SOLUÇÕES LTDA 00003</t>
        </is>
      </c>
    </row>
    <row r="2058">
      <c r="A2058" t="inlineStr">
        <is>
          <t>100485</t>
        </is>
      </c>
      <c r="B2058" t="inlineStr">
        <is>
          <t>FUCHS LUBRIFICANTES DO BRASIL LTDA</t>
        </is>
      </c>
      <c r="C2058" t="n">
        <v>2111000000</v>
      </c>
      <c r="D2058" t="inlineStr">
        <is>
          <t>Operational Suppliers (Wind Farms)</t>
        </is>
      </c>
      <c r="E2058" t="n">
        <v>5014051</v>
      </c>
      <c r="F2058" t="inlineStr">
        <is>
          <t>000103044-000</t>
        </is>
      </c>
      <c r="G2058" t="inlineStr">
        <is>
          <t>RE</t>
        </is>
      </c>
      <c r="H2058" s="12" t="n">
        <v>-113350.16</v>
      </c>
      <c r="I2058" s="17" t="n">
        <v>46216</v>
      </c>
      <c r="J2058" s="17" t="n">
        <v>46270</v>
      </c>
      <c r="K2058" t="inlineStr">
        <is>
          <t>Fatura - bruto FUCHS LUBRIFICANTES DO BRASIL LTDA</t>
        </is>
      </c>
    </row>
    <row r="2059">
      <c r="A2059" t="inlineStr">
        <is>
          <t>101463</t>
        </is>
      </c>
      <c r="B2059" t="inlineStr">
        <is>
          <t>ZURICH MINAS BRASIL SEGUROS S A</t>
        </is>
      </c>
      <c r="C2059" t="n">
        <v>2111000000</v>
      </c>
      <c r="D2059" t="inlineStr">
        <is>
          <t>Insurance</t>
        </is>
      </c>
      <c r="E2059" t="n">
        <v>5014057</v>
      </c>
      <c r="F2059" t="inlineStr">
        <is>
          <t>0413/26</t>
        </is>
      </c>
      <c r="G2059" t="inlineStr">
        <is>
          <t>RE</t>
        </is>
      </c>
      <c r="H2059" s="12" t="n">
        <v>-1485.54</v>
      </c>
      <c r="I2059" s="17" t="n">
        <v>46232</v>
      </c>
      <c r="J2059" s="17" t="n">
        <v>46262</v>
      </c>
      <c r="K2059" t="inlineStr">
        <is>
          <t>Invoice Payment. SP: 20798</t>
        </is>
      </c>
    </row>
    <row r="2060">
      <c r="A2060" t="inlineStr">
        <is>
          <t>101463</t>
        </is>
      </c>
      <c r="B2060" t="inlineStr">
        <is>
          <t>ZURICH MINAS BRASIL SEGUROS S A</t>
        </is>
      </c>
      <c r="C2060" t="n">
        <v>2111000000</v>
      </c>
      <c r="D2060" t="inlineStr">
        <is>
          <t>Insurance</t>
        </is>
      </c>
      <c r="E2060" t="n">
        <v>5014058</v>
      </c>
      <c r="F2060" t="inlineStr">
        <is>
          <t>0423/26</t>
        </is>
      </c>
      <c r="G2060" t="inlineStr">
        <is>
          <t>RE</t>
        </is>
      </c>
      <c r="H2060" s="12" t="n">
        <v>-124.93</v>
      </c>
      <c r="I2060" s="17" t="n">
        <v>46232</v>
      </c>
      <c r="J2060" s="17" t="n">
        <v>46262</v>
      </c>
      <c r="K2060" t="inlineStr">
        <is>
          <t>Invoice Payment. SP: 20799</t>
        </is>
      </c>
    </row>
    <row r="2061">
      <c r="A2061" t="inlineStr">
        <is>
          <t>100883</t>
        </is>
      </c>
      <c r="B2061" t="inlineStr">
        <is>
          <t>QUELMAR TRANSPORTES LTDA</t>
        </is>
      </c>
      <c r="C2061" t="n">
        <v>2111000000</v>
      </c>
      <c r="D2061" t="inlineStr">
        <is>
          <t>Operational Suppliers (Wind Farms)</t>
        </is>
      </c>
      <c r="E2061" t="n">
        <v>5014062</v>
      </c>
      <c r="F2061" t="inlineStr">
        <is>
          <t>6247-2</t>
        </is>
      </c>
      <c r="G2061" t="inlineStr">
        <is>
          <t>RE</t>
        </is>
      </c>
      <c r="H2061" s="12" t="n">
        <v>-1790</v>
      </c>
      <c r="I2061" s="17" t="n">
        <v>46223</v>
      </c>
      <c r="J2061" s="17" t="n">
        <v>46270</v>
      </c>
      <c r="K2061" t="inlineStr">
        <is>
          <t>Fatura - bruto QUELMAR TRANSPORTES LTDA 6247-2</t>
        </is>
      </c>
    </row>
    <row r="2062">
      <c r="A2062" t="inlineStr">
        <is>
          <t>100883</t>
        </is>
      </c>
      <c r="B2062" t="inlineStr">
        <is>
          <t>QUELMAR TRANSPORTES LTDA</t>
        </is>
      </c>
      <c r="C2062" t="n">
        <v>2111000000</v>
      </c>
      <c r="D2062" t="inlineStr">
        <is>
          <t>Operational Suppliers (Wind Farms)</t>
        </is>
      </c>
      <c r="E2062" t="n">
        <v>5014063</v>
      </c>
      <c r="F2062" t="inlineStr">
        <is>
          <t>108051-1</t>
        </is>
      </c>
      <c r="G2062" t="inlineStr">
        <is>
          <t>RE</t>
        </is>
      </c>
      <c r="H2062" s="12" t="n">
        <v>-6360</v>
      </c>
      <c r="I2062" s="17" t="n">
        <v>46220</v>
      </c>
      <c r="J2062" s="17" t="n">
        <v>46270</v>
      </c>
      <c r="K2062" t="inlineStr">
        <is>
          <t>Fatura - bruto QUELMAR TRANSPORTES LTDA 108051-1</t>
        </is>
      </c>
    </row>
    <row r="2063">
      <c r="A2063" t="inlineStr">
        <is>
          <t>106471</t>
        </is>
      </c>
      <c r="B2063" t="inlineStr">
        <is>
          <t>P M C FERNANDES</t>
        </is>
      </c>
      <c r="C2063" t="n">
        <v>2111000000</v>
      </c>
      <c r="D2063" t="inlineStr">
        <is>
          <t>Operational Suppliers (Wind Farms)</t>
        </is>
      </c>
      <c r="E2063" t="n">
        <v>5014151</v>
      </c>
      <c r="F2063" t="inlineStr">
        <is>
          <t>256</t>
        </is>
      </c>
      <c r="G2063" t="inlineStr">
        <is>
          <t>RE</t>
        </is>
      </c>
      <c r="H2063" s="12" t="n">
        <v>-2470</v>
      </c>
      <c r="I2063" s="17" t="n">
        <v>46235</v>
      </c>
      <c r="J2063" s="17" t="n">
        <v>46270</v>
      </c>
      <c r="K2063" t="inlineStr">
        <is>
          <t>Fatura - bruto P M C FERNANDES 256</t>
        </is>
      </c>
    </row>
    <row r="2064">
      <c r="A2064" t="inlineStr">
        <is>
          <t>101463</t>
        </is>
      </c>
      <c r="B2064" t="inlineStr">
        <is>
          <t>ZURICH MINAS BRASIL SEGUROS S A</t>
        </is>
      </c>
      <c r="C2064" t="n">
        <v>2111000000</v>
      </c>
      <c r="D2064" t="inlineStr">
        <is>
          <t>Insurance</t>
        </is>
      </c>
      <c r="E2064" t="n">
        <v>5014162</v>
      </c>
      <c r="F2064" t="inlineStr">
        <is>
          <t>0224/26</t>
        </is>
      </c>
      <c r="G2064" t="inlineStr">
        <is>
          <t>RE</t>
        </is>
      </c>
      <c r="H2064" s="12" t="n">
        <v>-2.31</v>
      </c>
      <c r="I2064" s="17" t="n">
        <v>46237</v>
      </c>
      <c r="J2064" s="17" t="n">
        <v>46267</v>
      </c>
      <c r="K2064" t="inlineStr">
        <is>
          <t>Invoice Payment. SP: 20879</t>
        </is>
      </c>
    </row>
    <row r="2065">
      <c r="A2065" t="inlineStr">
        <is>
          <t>100994</t>
        </is>
      </c>
      <c r="B2065" t="inlineStr">
        <is>
          <t>P W TREINAMENTO E CAPACITACOES LTDA</t>
        </is>
      </c>
      <c r="C2065" t="n">
        <v>2111000000</v>
      </c>
      <c r="D2065" t="inlineStr">
        <is>
          <t>Other Suppliers</t>
        </is>
      </c>
      <c r="E2065" t="n">
        <v>5014167</v>
      </c>
      <c r="F2065" t="inlineStr">
        <is>
          <t>107</t>
        </is>
      </c>
      <c r="G2065" t="inlineStr">
        <is>
          <t>RE</t>
        </is>
      </c>
      <c r="H2065" s="12" t="n">
        <v>-310000</v>
      </c>
      <c r="I2065" s="17" t="n">
        <v>46237</v>
      </c>
      <c r="J2065" s="17" t="n">
        <v>46270</v>
      </c>
      <c r="K2065" t="inlineStr">
        <is>
          <t>Fatura - bruto P W TREINAMENTO E CAPACITACOES LTDA</t>
        </is>
      </c>
    </row>
    <row r="2066">
      <c r="A2066" t="inlineStr">
        <is>
          <t>100994</t>
        </is>
      </c>
      <c r="B2066" t="inlineStr">
        <is>
          <t>P W TREINAMENTO E CAPACITACOES LTDA</t>
        </is>
      </c>
      <c r="C2066" t="n">
        <v>2111000000</v>
      </c>
      <c r="D2066" t="inlineStr">
        <is>
          <t>Other Suppliers</t>
        </is>
      </c>
      <c r="E2066" t="n">
        <v>5014168</v>
      </c>
      <c r="F2066" t="inlineStr">
        <is>
          <t>127</t>
        </is>
      </c>
      <c r="G2066" t="inlineStr">
        <is>
          <t>RE</t>
        </is>
      </c>
      <c r="H2066" s="12" t="n">
        <v>-25093</v>
      </c>
      <c r="I2066" s="17" t="n">
        <v>46237</v>
      </c>
      <c r="J2066" s="17" t="n">
        <v>46270</v>
      </c>
      <c r="K2066" t="inlineStr">
        <is>
          <t>Fatura - bruto P W TREINAMENTO E CAPACITACOES LTDA</t>
        </is>
      </c>
    </row>
    <row r="2067">
      <c r="A2067" t="inlineStr">
        <is>
          <t>100994</t>
        </is>
      </c>
      <c r="B2067" t="inlineStr">
        <is>
          <t>P W TREINAMENTO E CAPACITACOES LTDA</t>
        </is>
      </c>
      <c r="C2067" t="n">
        <v>2111000000</v>
      </c>
      <c r="D2067" t="inlineStr">
        <is>
          <t>Other Suppliers</t>
        </is>
      </c>
      <c r="E2067" t="n">
        <v>5014169</v>
      </c>
      <c r="F2067" t="inlineStr">
        <is>
          <t>129</t>
        </is>
      </c>
      <c r="G2067" t="inlineStr">
        <is>
          <t>RE</t>
        </is>
      </c>
      <c r="H2067" s="12" t="n">
        <v>-3500</v>
      </c>
      <c r="I2067" s="17" t="n">
        <v>46237</v>
      </c>
      <c r="J2067" s="17" t="n">
        <v>46270</v>
      </c>
      <c r="K2067" t="inlineStr">
        <is>
          <t>Fatura - bruto P W TREINAMENTO E CAPACITACOES LTDA</t>
        </is>
      </c>
    </row>
    <row r="2068">
      <c r="A2068" t="inlineStr">
        <is>
          <t>101005</t>
        </is>
      </c>
      <c r="B2068" t="inlineStr">
        <is>
          <t>SOLO PROJETOS LTDA</t>
        </is>
      </c>
      <c r="C2068" t="n">
        <v>2111000000</v>
      </c>
      <c r="D2068" t="inlineStr">
        <is>
          <t>Other Suppliers</t>
        </is>
      </c>
      <c r="E2068" t="n">
        <v>5014178</v>
      </c>
      <c r="F2068" t="inlineStr">
        <is>
          <t>16</t>
        </is>
      </c>
      <c r="G2068" t="inlineStr">
        <is>
          <t>RE</t>
        </is>
      </c>
      <c r="H2068" s="12" t="n">
        <v>-38500</v>
      </c>
      <c r="I2068" s="17" t="n">
        <v>46234</v>
      </c>
      <c r="J2068" s="17" t="n">
        <v>46269</v>
      </c>
      <c r="K2068" t="inlineStr">
        <is>
          <t>Fatura - bruto SOLO PROJETOS LTDA 16</t>
        </is>
      </c>
    </row>
    <row r="2069">
      <c r="A2069" t="inlineStr">
        <is>
          <t>101005</t>
        </is>
      </c>
      <c r="B2069" t="inlineStr">
        <is>
          <t>SOLO PROJETOS LTDA</t>
        </is>
      </c>
      <c r="C2069" t="n">
        <v>2111000000</v>
      </c>
      <c r="D2069" t="inlineStr">
        <is>
          <t>Other Suppliers</t>
        </is>
      </c>
      <c r="E2069" t="n">
        <v>5014179</v>
      </c>
      <c r="F2069" t="inlineStr">
        <is>
          <t>17</t>
        </is>
      </c>
      <c r="G2069" t="inlineStr">
        <is>
          <t>RE</t>
        </is>
      </c>
      <c r="H2069" s="12" t="n">
        <v>-66770</v>
      </c>
      <c r="I2069" s="17" t="n">
        <v>46234</v>
      </c>
      <c r="J2069" s="17" t="n">
        <v>46269</v>
      </c>
      <c r="K2069" t="inlineStr">
        <is>
          <t>Fatura - bruto SOLO PROJETOS LTDA 17</t>
        </is>
      </c>
    </row>
    <row r="2070">
      <c r="A2070" t="inlineStr">
        <is>
          <t>102017</t>
        </is>
      </c>
      <c r="B2070" t="inlineStr">
        <is>
          <t>GLOBO COMERCIO DE MAQUINAS E FERRAM</t>
        </is>
      </c>
      <c r="C2070" t="n">
        <v>2111000000</v>
      </c>
      <c r="D2070" t="inlineStr">
        <is>
          <t>Other Suppliers</t>
        </is>
      </c>
      <c r="E2070" t="n">
        <v>5014207</v>
      </c>
      <c r="F2070" t="inlineStr">
        <is>
          <t>22376-1</t>
        </is>
      </c>
      <c r="G2070" t="inlineStr">
        <is>
          <t>RE</t>
        </is>
      </c>
      <c r="H2070" s="12" t="n">
        <v>-1427</v>
      </c>
      <c r="I2070" s="17" t="n">
        <v>46217</v>
      </c>
      <c r="J2070" s="17" t="n">
        <v>46274</v>
      </c>
      <c r="K2070" t="inlineStr">
        <is>
          <t>Fatura - bruto GLOBO COMERCIO DE MAQUINAS E FERRAM</t>
        </is>
      </c>
    </row>
    <row r="2071">
      <c r="A2071" t="inlineStr">
        <is>
          <t>102017</t>
        </is>
      </c>
      <c r="B2071" t="inlineStr">
        <is>
          <t>GLOBO COMERCIO DE MAQUINAS E FERRAM</t>
        </is>
      </c>
      <c r="C2071" t="n">
        <v>2111000000</v>
      </c>
      <c r="D2071" t="inlineStr">
        <is>
          <t>Other Suppliers</t>
        </is>
      </c>
      <c r="E2071" t="n">
        <v>5014208</v>
      </c>
      <c r="F2071" t="inlineStr">
        <is>
          <t>22376-1</t>
        </is>
      </c>
      <c r="G2071" t="inlineStr">
        <is>
          <t>RE</t>
        </is>
      </c>
      <c r="H2071" s="12" t="n">
        <v>1427</v>
      </c>
      <c r="I2071" s="17" t="n">
        <v>46237</v>
      </c>
      <c r="J2071" s="17" t="n">
        <v>46274</v>
      </c>
      <c r="K2071" t="inlineStr">
        <is>
          <t>Fatura - bruto GLOBO COMERCIO DE MAQUINAS E FERRAM</t>
        </is>
      </c>
    </row>
    <row r="2072">
      <c r="A2072" t="inlineStr">
        <is>
          <t>100031</t>
        </is>
      </c>
      <c r="B2072" t="inlineStr">
        <is>
          <t>MEGAWIND INDUSTRIA E COMERCIO</t>
        </is>
      </c>
      <c r="C2072" t="n">
        <v>2111000000</v>
      </c>
      <c r="D2072" t="inlineStr">
        <is>
          <t>Operational Suppliers (Wind Farms)</t>
        </is>
      </c>
      <c r="E2072" t="n">
        <v>5014210</v>
      </c>
      <c r="F2072" t="inlineStr">
        <is>
          <t>1430</t>
        </is>
      </c>
      <c r="G2072" t="inlineStr">
        <is>
          <t>RE</t>
        </is>
      </c>
      <c r="H2072" s="12" t="n">
        <v>-80929.78999999999</v>
      </c>
      <c r="I2072" s="17" t="n">
        <v>46233</v>
      </c>
      <c r="J2072" s="17" t="n">
        <v>46270</v>
      </c>
      <c r="K2072" t="inlineStr">
        <is>
          <t>Fatura - bruto MEGAWIND INDUSTRIA E COMERCIO 1430</t>
        </is>
      </c>
    </row>
    <row r="2073">
      <c r="A2073" t="inlineStr">
        <is>
          <t>100031</t>
        </is>
      </c>
      <c r="B2073" t="inlineStr">
        <is>
          <t>MEGAWIND INDUSTRIA E COMERCIO</t>
        </is>
      </c>
      <c r="C2073" t="n">
        <v>2111000000</v>
      </c>
      <c r="D2073" t="inlineStr">
        <is>
          <t>Operational Suppliers (Wind Farms)</t>
        </is>
      </c>
      <c r="E2073" t="n">
        <v>5014211</v>
      </c>
      <c r="F2073" t="inlineStr">
        <is>
          <t>1431</t>
        </is>
      </c>
      <c r="G2073" t="inlineStr">
        <is>
          <t>RE</t>
        </is>
      </c>
      <c r="H2073" s="12" t="n">
        <v>-26626.32</v>
      </c>
      <c r="I2073" s="17" t="n">
        <v>46233</v>
      </c>
      <c r="J2073" s="17" t="n">
        <v>46270</v>
      </c>
      <c r="K2073" t="inlineStr">
        <is>
          <t>Fatura - bruto MEGAWIND INDUSTRIA E COMERCIO 1431</t>
        </is>
      </c>
    </row>
    <row r="2074">
      <c r="A2074" t="inlineStr">
        <is>
          <t>101463</t>
        </is>
      </c>
      <c r="B2074" t="inlineStr">
        <is>
          <t>ZURICH MINAS BRASIL SEGUROS S A</t>
        </is>
      </c>
      <c r="C2074" t="n">
        <v>2111000000</v>
      </c>
      <c r="D2074" t="inlineStr">
        <is>
          <t>Insurance</t>
        </is>
      </c>
      <c r="E2074" t="n">
        <v>5014230</v>
      </c>
      <c r="F2074" t="inlineStr">
        <is>
          <t>0417/26</t>
        </is>
      </c>
      <c r="G2074" t="inlineStr">
        <is>
          <t>RE</t>
        </is>
      </c>
      <c r="H2074" s="12" t="n">
        <v>-68.5</v>
      </c>
      <c r="I2074" s="17" t="n">
        <v>46237</v>
      </c>
      <c r="J2074" s="17" t="n">
        <v>46267</v>
      </c>
      <c r="K2074" t="inlineStr">
        <is>
          <t>Invoice Payment. SP: 20918</t>
        </is>
      </c>
    </row>
    <row r="2075">
      <c r="A2075" t="inlineStr">
        <is>
          <t>100883</t>
        </is>
      </c>
      <c r="B2075" t="inlineStr">
        <is>
          <t>QUELMAR TRANSPORTES LTDA</t>
        </is>
      </c>
      <c r="C2075" t="n">
        <v>2111000000</v>
      </c>
      <c r="D2075" t="inlineStr">
        <is>
          <t>Operational Suppliers (Wind Farms)</t>
        </is>
      </c>
      <c r="E2075" t="n">
        <v>5014236</v>
      </c>
      <c r="F2075" t="inlineStr">
        <is>
          <t>108107-1</t>
        </is>
      </c>
      <c r="G2075" t="inlineStr">
        <is>
          <t>RE</t>
        </is>
      </c>
      <c r="H2075" s="12" t="n">
        <v>-620</v>
      </c>
      <c r="I2075" s="17" t="n">
        <v>46224</v>
      </c>
      <c r="J2075" s="17" t="n">
        <v>46270</v>
      </c>
      <c r="K2075" t="inlineStr">
        <is>
          <t>Fatura - bruto QUELMAR TRANSPORTES LTDA 108107-1</t>
        </is>
      </c>
    </row>
    <row r="2076">
      <c r="A2076" t="inlineStr">
        <is>
          <t>100883</t>
        </is>
      </c>
      <c r="B2076" t="inlineStr">
        <is>
          <t>QUELMAR TRANSPORTES LTDA</t>
        </is>
      </c>
      <c r="C2076" t="n">
        <v>2111000000</v>
      </c>
      <c r="D2076" t="inlineStr">
        <is>
          <t>Operational Suppliers (Wind Farms)</t>
        </is>
      </c>
      <c r="E2076" t="n">
        <v>5014238</v>
      </c>
      <c r="F2076" t="inlineStr">
        <is>
          <t>108190-1</t>
        </is>
      </c>
      <c r="G2076" t="inlineStr">
        <is>
          <t>RE</t>
        </is>
      </c>
      <c r="H2076" s="12" t="n">
        <v>-1576.25</v>
      </c>
      <c r="I2076" s="17" t="n">
        <v>46231</v>
      </c>
      <c r="J2076" s="17" t="n">
        <v>46270</v>
      </c>
      <c r="K2076" t="inlineStr">
        <is>
          <t>Fatura - bruto QUELMAR TRANSPORTES LTDA 108190-1</t>
        </is>
      </c>
    </row>
    <row r="2077">
      <c r="A2077" t="inlineStr">
        <is>
          <t>100883</t>
        </is>
      </c>
      <c r="B2077" t="inlineStr">
        <is>
          <t>QUELMAR TRANSPORTES LTDA</t>
        </is>
      </c>
      <c r="C2077" t="n">
        <v>2111000000</v>
      </c>
      <c r="D2077" t="inlineStr">
        <is>
          <t>Operational Suppliers (Wind Farms)</t>
        </is>
      </c>
      <c r="E2077" t="n">
        <v>5014239</v>
      </c>
      <c r="F2077" t="inlineStr">
        <is>
          <t>108188-1</t>
        </is>
      </c>
      <c r="G2077" t="inlineStr">
        <is>
          <t>RE</t>
        </is>
      </c>
      <c r="H2077" s="12" t="n">
        <v>-1623.09</v>
      </c>
      <c r="I2077" s="17" t="n">
        <v>46231</v>
      </c>
      <c r="J2077" s="17" t="n">
        <v>46270</v>
      </c>
      <c r="K2077" t="inlineStr">
        <is>
          <t>Fatura - bruto QUELMAR TRANSPORTES LTDA 108188-1</t>
        </is>
      </c>
    </row>
    <row r="2078">
      <c r="A2078" t="inlineStr">
        <is>
          <t>100883</t>
        </is>
      </c>
      <c r="B2078" t="inlineStr">
        <is>
          <t>QUELMAR TRANSPORTES LTDA</t>
        </is>
      </c>
      <c r="C2078" t="n">
        <v>2111000000</v>
      </c>
      <c r="D2078" t="inlineStr">
        <is>
          <t>Operational Suppliers (Wind Farms)</t>
        </is>
      </c>
      <c r="E2078" t="n">
        <v>5014240</v>
      </c>
      <c r="F2078" t="inlineStr">
        <is>
          <t>108191-1</t>
        </is>
      </c>
      <c r="G2078" t="inlineStr">
        <is>
          <t>RE</t>
        </is>
      </c>
      <c r="H2078" s="12" t="n">
        <v>-1653.41</v>
      </c>
      <c r="I2078" s="17" t="n">
        <v>46231</v>
      </c>
      <c r="J2078" s="17" t="n">
        <v>46270</v>
      </c>
      <c r="K2078" t="inlineStr">
        <is>
          <t>Fatura - bruto QUELMAR TRANSPORTES LTDA 108191-1</t>
        </is>
      </c>
    </row>
    <row r="2079">
      <c r="A2079" t="inlineStr">
        <is>
          <t>100883</t>
        </is>
      </c>
      <c r="B2079" t="inlineStr">
        <is>
          <t>QUELMAR TRANSPORTES LTDA</t>
        </is>
      </c>
      <c r="C2079" t="n">
        <v>2111000000</v>
      </c>
      <c r="D2079" t="inlineStr">
        <is>
          <t>Operational Suppliers (Wind Farms)</t>
        </is>
      </c>
      <c r="E2079" t="n">
        <v>5014241</v>
      </c>
      <c r="F2079" t="inlineStr">
        <is>
          <t>108196-1</t>
        </is>
      </c>
      <c r="G2079" t="inlineStr">
        <is>
          <t>RE</t>
        </is>
      </c>
      <c r="H2079" s="12" t="n">
        <v>-1942.75</v>
      </c>
      <c r="I2079" s="17" t="n">
        <v>46231</v>
      </c>
      <c r="J2079" s="17" t="n">
        <v>46270</v>
      </c>
      <c r="K2079" t="inlineStr">
        <is>
          <t>Fatura - bruto QUELMAR TRANSPORTES LTDA 108196-1</t>
        </is>
      </c>
    </row>
    <row r="2080">
      <c r="A2080" t="inlineStr">
        <is>
          <t>100883</t>
        </is>
      </c>
      <c r="B2080" t="inlineStr">
        <is>
          <t>QUELMAR TRANSPORTES LTDA</t>
        </is>
      </c>
      <c r="C2080" t="n">
        <v>2111000000</v>
      </c>
      <c r="D2080" t="inlineStr">
        <is>
          <t>Operational Suppliers (Wind Farms)</t>
        </is>
      </c>
      <c r="E2080" t="n">
        <v>5014242</v>
      </c>
      <c r="F2080" t="inlineStr">
        <is>
          <t>108200-1</t>
        </is>
      </c>
      <c r="G2080" t="inlineStr">
        <is>
          <t>RE</t>
        </is>
      </c>
      <c r="H2080" s="12" t="n">
        <v>-1479.81</v>
      </c>
      <c r="I2080" s="17" t="n">
        <v>46231</v>
      </c>
      <c r="J2080" s="17" t="n">
        <v>46270</v>
      </c>
      <c r="K2080" t="inlineStr">
        <is>
          <t>Fatura - bruto QUELMAR TRANSPORTES LTDA 108200-1</t>
        </is>
      </c>
    </row>
    <row r="2081">
      <c r="A2081" t="inlineStr">
        <is>
          <t>100883</t>
        </is>
      </c>
      <c r="B2081" t="inlineStr">
        <is>
          <t>QUELMAR TRANSPORTES LTDA</t>
        </is>
      </c>
      <c r="C2081" t="n">
        <v>2111000000</v>
      </c>
      <c r="D2081" t="inlineStr">
        <is>
          <t>Operational Suppliers (Wind Farms)</t>
        </is>
      </c>
      <c r="E2081" t="n">
        <v>5014243</v>
      </c>
      <c r="F2081" t="inlineStr">
        <is>
          <t>108195-1</t>
        </is>
      </c>
      <c r="G2081" t="inlineStr">
        <is>
          <t>RE</t>
        </is>
      </c>
      <c r="H2081" s="12" t="n">
        <v>-1653.41</v>
      </c>
      <c r="I2081" s="17" t="n">
        <v>46231</v>
      </c>
      <c r="J2081" s="17" t="n">
        <v>46270</v>
      </c>
      <c r="K2081" t="inlineStr">
        <is>
          <t>Fatura - bruto QUELMAR TRANSPORTES LTDA 108195-1</t>
        </is>
      </c>
    </row>
    <row r="2082">
      <c r="A2082" t="inlineStr">
        <is>
          <t>100883</t>
        </is>
      </c>
      <c r="B2082" t="inlineStr">
        <is>
          <t>QUELMAR TRANSPORTES LTDA</t>
        </is>
      </c>
      <c r="C2082" t="n">
        <v>2111000000</v>
      </c>
      <c r="D2082" t="inlineStr">
        <is>
          <t>Operational Suppliers (Wind Farms)</t>
        </is>
      </c>
      <c r="E2082" t="n">
        <v>5014244</v>
      </c>
      <c r="F2082" t="inlineStr">
        <is>
          <t>108198-1</t>
        </is>
      </c>
      <c r="G2082" t="inlineStr">
        <is>
          <t>RE</t>
        </is>
      </c>
      <c r="H2082" s="12" t="n">
        <v>-1956.53</v>
      </c>
      <c r="I2082" s="17" t="n">
        <v>46231</v>
      </c>
      <c r="J2082" s="17" t="n">
        <v>46270</v>
      </c>
      <c r="K2082" t="inlineStr">
        <is>
          <t>Fatura - bruto QUELMAR TRANSPORTES LTDA 108198-1</t>
        </is>
      </c>
    </row>
    <row r="2083">
      <c r="A2083" t="inlineStr">
        <is>
          <t>100883</t>
        </is>
      </c>
      <c r="B2083" t="inlineStr">
        <is>
          <t>QUELMAR TRANSPORTES LTDA</t>
        </is>
      </c>
      <c r="C2083" t="n">
        <v>2111000000</v>
      </c>
      <c r="D2083" t="inlineStr">
        <is>
          <t>Operational Suppliers (Wind Farms)</t>
        </is>
      </c>
      <c r="E2083" t="n">
        <v>5014245</v>
      </c>
      <c r="F2083" t="inlineStr">
        <is>
          <t>108206-1</t>
        </is>
      </c>
      <c r="G2083" t="inlineStr">
        <is>
          <t>RE</t>
        </is>
      </c>
      <c r="H2083" s="12" t="n">
        <v>-1980</v>
      </c>
      <c r="I2083" s="17" t="n">
        <v>46231</v>
      </c>
      <c r="J2083" s="17" t="n">
        <v>46270</v>
      </c>
      <c r="K2083" t="inlineStr">
        <is>
          <t>Fatura - bruto QUELMAR TRANSPORTES LTDA 108206-1</t>
        </is>
      </c>
    </row>
    <row r="2084">
      <c r="A2084" t="inlineStr">
        <is>
          <t>100883</t>
        </is>
      </c>
      <c r="B2084" t="inlineStr">
        <is>
          <t>QUELMAR TRANSPORTES LTDA</t>
        </is>
      </c>
      <c r="C2084" t="n">
        <v>2111000000</v>
      </c>
      <c r="D2084" t="inlineStr">
        <is>
          <t>Operational Suppliers (Wind Farms)</t>
        </is>
      </c>
      <c r="E2084" t="n">
        <v>5014246</v>
      </c>
      <c r="F2084" t="inlineStr">
        <is>
          <t>108187-1</t>
        </is>
      </c>
      <c r="G2084" t="inlineStr">
        <is>
          <t>RE</t>
        </is>
      </c>
      <c r="H2084" s="12" t="n">
        <v>-1606.56</v>
      </c>
      <c r="I2084" s="17" t="n">
        <v>46231</v>
      </c>
      <c r="J2084" s="17" t="n">
        <v>46270</v>
      </c>
      <c r="K2084" t="inlineStr">
        <is>
          <t>Fatura - bruto QUELMAR TRANSPORTES LTDA 108187-1</t>
        </is>
      </c>
    </row>
    <row r="2085">
      <c r="A2085" t="inlineStr">
        <is>
          <t>101929</t>
        </is>
      </c>
      <c r="B2085" t="inlineStr">
        <is>
          <t>TECNOFIX INDUSTRIA E COMERCIO DE PA</t>
        </is>
      </c>
      <c r="C2085" t="n">
        <v>2111000000</v>
      </c>
      <c r="D2085" t="inlineStr">
        <is>
          <t>Operational Suppliers (Wind Farms)</t>
        </is>
      </c>
      <c r="E2085" t="n">
        <v>5014249</v>
      </c>
      <c r="F2085" t="inlineStr">
        <is>
          <t>000031361-1</t>
        </is>
      </c>
      <c r="G2085" t="inlineStr">
        <is>
          <t>RE</t>
        </is>
      </c>
      <c r="H2085" s="12" t="n">
        <v>-497541.39</v>
      </c>
      <c r="I2085" s="17" t="n">
        <v>46223</v>
      </c>
      <c r="J2085" s="17" t="n">
        <v>46300</v>
      </c>
      <c r="K2085" t="inlineStr">
        <is>
          <t>Fatura - bruto TECNOFIX INDUSTRIA E COMERCIO DE PA</t>
        </is>
      </c>
    </row>
    <row r="2086">
      <c r="A2086" t="inlineStr">
        <is>
          <t>102105</t>
        </is>
      </c>
      <c r="B2086" t="inlineStr">
        <is>
          <t>THOMSON REUTERS BRASIL C T LTDA</t>
        </is>
      </c>
      <c r="C2086" t="n">
        <v>2111000000</v>
      </c>
      <c r="D2086" t="inlineStr">
        <is>
          <t>Other Suppliers</t>
        </is>
      </c>
      <c r="E2086" t="n">
        <v>5014251</v>
      </c>
      <c r="F2086" t="inlineStr">
        <is>
          <t>221314</t>
        </is>
      </c>
      <c r="G2086" t="inlineStr">
        <is>
          <t>RE</t>
        </is>
      </c>
      <c r="H2086" s="12" t="n">
        <v>-14125.29</v>
      </c>
      <c r="I2086" s="17" t="n">
        <v>46237</v>
      </c>
      <c r="J2086" s="17" t="n">
        <v>46327</v>
      </c>
      <c r="K2086" t="inlineStr">
        <is>
          <t>Fatura - bruto THOMSON REUTERS BRASIL C T LTDA 221</t>
        </is>
      </c>
    </row>
    <row r="2087">
      <c r="A2087" t="inlineStr">
        <is>
          <t>104003</t>
        </is>
      </c>
      <c r="B2087" t="inlineStr">
        <is>
          <t>THIAGO DE MORAES 21707151000154</t>
        </is>
      </c>
      <c r="C2087" t="n">
        <v>2111000000</v>
      </c>
      <c r="D2087" t="inlineStr">
        <is>
          <t>Other Suppliers</t>
        </is>
      </c>
      <c r="E2087" t="n">
        <v>5014252</v>
      </c>
      <c r="F2087" t="inlineStr">
        <is>
          <t>147</t>
        </is>
      </c>
      <c r="G2087" t="inlineStr">
        <is>
          <t>RE</t>
        </is>
      </c>
      <c r="H2087" s="12" t="n">
        <v>-39500</v>
      </c>
      <c r="I2087" s="17" t="n">
        <v>46237</v>
      </c>
      <c r="J2087" s="17" t="n">
        <v>46270</v>
      </c>
      <c r="K2087" t="inlineStr">
        <is>
          <t>Fatura - bruto THIAGO DE MORAES 21707151000154 147</t>
        </is>
      </c>
    </row>
    <row r="2088">
      <c r="A2088" t="inlineStr">
        <is>
          <t>100883</t>
        </is>
      </c>
      <c r="B2088" t="inlineStr">
        <is>
          <t>QUELMAR TRANSPORTES LTDA</t>
        </is>
      </c>
      <c r="C2088" t="n">
        <v>2111000000</v>
      </c>
      <c r="D2088" t="inlineStr">
        <is>
          <t>Operational Suppliers (Wind Farms)</t>
        </is>
      </c>
      <c r="E2088" t="n">
        <v>5014255</v>
      </c>
      <c r="F2088" t="inlineStr">
        <is>
          <t>108197-1</t>
        </is>
      </c>
      <c r="G2088" t="inlineStr">
        <is>
          <t>RE</t>
        </is>
      </c>
      <c r="H2088" s="12" t="n">
        <v>-1667.19</v>
      </c>
      <c r="I2088" s="17" t="n">
        <v>46231</v>
      </c>
      <c r="J2088" s="17" t="n">
        <v>46270</v>
      </c>
      <c r="K2088" t="inlineStr">
        <is>
          <t>Fatura - bruto QUELMAR TRANSPORTES LTDA 108197-1</t>
        </is>
      </c>
    </row>
    <row r="2089">
      <c r="A2089" t="inlineStr">
        <is>
          <t>101463</t>
        </is>
      </c>
      <c r="B2089" t="inlineStr">
        <is>
          <t>ZURICH MINAS BRASIL SEGUROS S A</t>
        </is>
      </c>
      <c r="C2089" t="n">
        <v>2111000000</v>
      </c>
      <c r="D2089" t="inlineStr">
        <is>
          <t>Insurance</t>
        </is>
      </c>
      <c r="E2089" t="n">
        <v>5014256</v>
      </c>
      <c r="F2089" t="inlineStr">
        <is>
          <t>0414/26</t>
        </is>
      </c>
      <c r="G2089" t="inlineStr">
        <is>
          <t>RE</t>
        </is>
      </c>
      <c r="H2089" s="12" t="n">
        <v>-255.57</v>
      </c>
      <c r="I2089" s="17" t="n">
        <v>46237</v>
      </c>
      <c r="J2089" s="17" t="n">
        <v>46267</v>
      </c>
      <c r="K2089" t="inlineStr">
        <is>
          <t>Invoice Payment. SP: 20920</t>
        </is>
      </c>
    </row>
    <row r="2090">
      <c r="A2090" t="inlineStr">
        <is>
          <t>100883</t>
        </is>
      </c>
      <c r="B2090" t="inlineStr">
        <is>
          <t>QUELMAR TRANSPORTES LTDA</t>
        </is>
      </c>
      <c r="C2090" t="n">
        <v>2111000000</v>
      </c>
      <c r="D2090" t="inlineStr">
        <is>
          <t>Operational Suppliers (Wind Farms)</t>
        </is>
      </c>
      <c r="E2090" t="n">
        <v>5014257</v>
      </c>
      <c r="F2090" t="inlineStr">
        <is>
          <t>108194-1</t>
        </is>
      </c>
      <c r="G2090" t="inlineStr">
        <is>
          <t>RE</t>
        </is>
      </c>
      <c r="H2090" s="12" t="n">
        <v>-2025.42</v>
      </c>
      <c r="I2090" s="17" t="n">
        <v>46231</v>
      </c>
      <c r="J2090" s="17" t="n">
        <v>46270</v>
      </c>
      <c r="K2090" t="inlineStr">
        <is>
          <t>Fatura - bruto QUELMAR TRANSPORTES LTDA 108194-1</t>
        </is>
      </c>
    </row>
    <row r="2091">
      <c r="A2091" t="inlineStr">
        <is>
          <t>100883</t>
        </is>
      </c>
      <c r="B2091" t="inlineStr">
        <is>
          <t>QUELMAR TRANSPORTES LTDA</t>
        </is>
      </c>
      <c r="C2091" t="n">
        <v>2111000000</v>
      </c>
      <c r="D2091" t="inlineStr">
        <is>
          <t>Operational Suppliers (Wind Farms)</t>
        </is>
      </c>
      <c r="E2091" t="n">
        <v>5014259</v>
      </c>
      <c r="F2091" t="inlineStr">
        <is>
          <t>108189-1</t>
        </is>
      </c>
      <c r="G2091" t="inlineStr">
        <is>
          <t>RE</t>
        </is>
      </c>
      <c r="H2091" s="12" t="n">
        <v>-1176.67</v>
      </c>
      <c r="I2091" s="17" t="n">
        <v>46231</v>
      </c>
      <c r="J2091" s="17" t="n">
        <v>46270</v>
      </c>
      <c r="K2091" t="inlineStr">
        <is>
          <t>Fatura - bruto QUELMAR TRANSPORTES LTDA 108189-1</t>
        </is>
      </c>
    </row>
    <row r="2092">
      <c r="A2092" t="inlineStr">
        <is>
          <t>100883</t>
        </is>
      </c>
      <c r="B2092" t="inlineStr">
        <is>
          <t>QUELMAR TRANSPORTES LTDA</t>
        </is>
      </c>
      <c r="C2092" t="n">
        <v>2111000000</v>
      </c>
      <c r="D2092" t="inlineStr">
        <is>
          <t>Operational Suppliers (Wind Farms)</t>
        </is>
      </c>
      <c r="E2092" t="n">
        <v>5014260</v>
      </c>
      <c r="F2092" t="inlineStr">
        <is>
          <t>108018-1</t>
        </is>
      </c>
      <c r="G2092" t="inlineStr">
        <is>
          <t>RE</t>
        </is>
      </c>
      <c r="H2092" s="12" t="n">
        <v>-1528.28</v>
      </c>
      <c r="I2092" s="17" t="n">
        <v>46220</v>
      </c>
      <c r="J2092" s="17" t="n">
        <v>46270</v>
      </c>
      <c r="K2092" t="inlineStr">
        <is>
          <t>Fatura - bruto QUELMAR TRANSPORTES LTDA 108018-1</t>
        </is>
      </c>
    </row>
    <row r="2093">
      <c r="A2093" t="inlineStr">
        <is>
          <t>100883</t>
        </is>
      </c>
      <c r="B2093" t="inlineStr">
        <is>
          <t>QUELMAR TRANSPORTES LTDA</t>
        </is>
      </c>
      <c r="C2093" t="n">
        <v>2111000000</v>
      </c>
      <c r="D2093" t="inlineStr">
        <is>
          <t>Operational Suppliers (Wind Farms)</t>
        </is>
      </c>
      <c r="E2093" t="n">
        <v>5014261</v>
      </c>
      <c r="F2093" t="inlineStr">
        <is>
          <t>108192-1</t>
        </is>
      </c>
      <c r="G2093" t="inlineStr">
        <is>
          <t>RE</t>
        </is>
      </c>
      <c r="H2093" s="12" t="n">
        <v>-1860.08</v>
      </c>
      <c r="I2093" s="17" t="n">
        <v>46231</v>
      </c>
      <c r="J2093" s="17" t="n">
        <v>46270</v>
      </c>
      <c r="K2093" t="inlineStr">
        <is>
          <t>Fatura - bruto QUELMAR TRANSPORTES LTDA 108192-1</t>
        </is>
      </c>
    </row>
    <row r="2094">
      <c r="A2094" t="inlineStr">
        <is>
          <t>100883</t>
        </is>
      </c>
      <c r="B2094" t="inlineStr">
        <is>
          <t>QUELMAR TRANSPORTES LTDA</t>
        </is>
      </c>
      <c r="C2094" t="n">
        <v>2111000000</v>
      </c>
      <c r="D2094" t="inlineStr">
        <is>
          <t>Operational Suppliers (Wind Farms)</t>
        </is>
      </c>
      <c r="E2094" t="n">
        <v>5014262</v>
      </c>
      <c r="F2094" t="inlineStr">
        <is>
          <t>108001-1</t>
        </is>
      </c>
      <c r="G2094" t="inlineStr">
        <is>
          <t>RE</t>
        </is>
      </c>
      <c r="H2094" s="12" t="n">
        <v>-1982.64</v>
      </c>
      <c r="I2094" s="17" t="n">
        <v>46220</v>
      </c>
      <c r="J2094" s="17" t="n">
        <v>46270</v>
      </c>
      <c r="K2094" t="inlineStr">
        <is>
          <t>Fatura - bruto QUELMAR TRANSPORTES LTDA 108001-1</t>
        </is>
      </c>
    </row>
    <row r="2095">
      <c r="A2095" t="inlineStr">
        <is>
          <t>101463</t>
        </is>
      </c>
      <c r="B2095" t="inlineStr">
        <is>
          <t>ZURICH MINAS BRASIL SEGUROS S A</t>
        </is>
      </c>
      <c r="C2095" t="n">
        <v>2111000000</v>
      </c>
      <c r="D2095" t="inlineStr">
        <is>
          <t>Insurance</t>
        </is>
      </c>
      <c r="E2095" t="n">
        <v>5014274</v>
      </c>
      <c r="F2095" t="inlineStr">
        <is>
          <t>0404/26</t>
        </is>
      </c>
      <c r="G2095" t="inlineStr">
        <is>
          <t>RE</t>
        </is>
      </c>
      <c r="H2095" s="12" t="n">
        <v>-871.0599999999999</v>
      </c>
      <c r="I2095" s="17" t="n">
        <v>46227</v>
      </c>
      <c r="J2095" s="17" t="n">
        <v>46268</v>
      </c>
      <c r="K2095" t="inlineStr">
        <is>
          <t>Invoice Payment. SP: 20466</t>
        </is>
      </c>
    </row>
    <row r="2096">
      <c r="A2096" t="inlineStr">
        <is>
          <t>101982</t>
        </is>
      </c>
      <c r="B2096" t="inlineStr">
        <is>
          <t>NEW ENERGY TECH LTDA</t>
        </is>
      </c>
      <c r="C2096" t="n">
        <v>2111000000</v>
      </c>
      <c r="D2096" t="inlineStr">
        <is>
          <t>Operational Suppliers (Wind Farms)</t>
        </is>
      </c>
      <c r="E2096" t="n">
        <v>5014275</v>
      </c>
      <c r="F2096" t="inlineStr">
        <is>
          <t>81</t>
        </is>
      </c>
      <c r="G2096" t="inlineStr">
        <is>
          <t>RE</t>
        </is>
      </c>
      <c r="H2096" s="12" t="n">
        <v>-41500</v>
      </c>
      <c r="I2096" s="17" t="n">
        <v>46237</v>
      </c>
      <c r="J2096" s="17" t="n">
        <v>46270</v>
      </c>
      <c r="K2096" t="inlineStr">
        <is>
          <t>Fatura - bruto NEW ENERGY TECH LTDA 81</t>
        </is>
      </c>
    </row>
    <row r="2097">
      <c r="A2097" t="inlineStr">
        <is>
          <t>100883</t>
        </is>
      </c>
      <c r="B2097" t="inlineStr">
        <is>
          <t>QUELMAR TRANSPORTES LTDA</t>
        </is>
      </c>
      <c r="C2097" t="n">
        <v>2111000000</v>
      </c>
      <c r="D2097" t="inlineStr">
        <is>
          <t>Operational Suppliers (Wind Farms)</t>
        </is>
      </c>
      <c r="E2097" t="n">
        <v>5014284</v>
      </c>
      <c r="F2097" t="inlineStr">
        <is>
          <t>108224-1</t>
        </is>
      </c>
      <c r="G2097" t="inlineStr">
        <is>
          <t>RE</t>
        </is>
      </c>
      <c r="H2097" s="12" t="n">
        <v>-980</v>
      </c>
      <c r="I2097" s="17" t="n">
        <v>46232</v>
      </c>
      <c r="J2097" s="17" t="n">
        <v>46270</v>
      </c>
      <c r="K2097" t="inlineStr">
        <is>
          <t>Fatura - bruto QUELMAR TRANSPORTES LTDA 108224-1</t>
        </is>
      </c>
    </row>
    <row r="2098">
      <c r="A2098" t="inlineStr">
        <is>
          <t>100883</t>
        </is>
      </c>
      <c r="B2098" t="inlineStr">
        <is>
          <t>QUELMAR TRANSPORTES LTDA</t>
        </is>
      </c>
      <c r="C2098" t="n">
        <v>2111000000</v>
      </c>
      <c r="D2098" t="inlineStr">
        <is>
          <t>Operational Suppliers (Wind Farms)</t>
        </is>
      </c>
      <c r="E2098" t="n">
        <v>5014286</v>
      </c>
      <c r="F2098" t="inlineStr">
        <is>
          <t>108027-1</t>
        </is>
      </c>
      <c r="G2098" t="inlineStr">
        <is>
          <t>RE</t>
        </is>
      </c>
      <c r="H2098" s="12" t="n">
        <v>-4617</v>
      </c>
      <c r="I2098" s="17" t="n">
        <v>46220</v>
      </c>
      <c r="J2098" s="17" t="n">
        <v>46270</v>
      </c>
      <c r="K2098" t="inlineStr">
        <is>
          <t>Fatura - bruto QUELMAR TRANSPORTES LTDA 108027-1</t>
        </is>
      </c>
    </row>
    <row r="2099">
      <c r="A2099" t="inlineStr">
        <is>
          <t>103730</t>
        </is>
      </c>
      <c r="B2099" t="inlineStr">
        <is>
          <t>RAK LOG TRANSPORTES E LOGISTICA LTD</t>
        </is>
      </c>
      <c r="C2099" t="n">
        <v>2111000000</v>
      </c>
      <c r="D2099" t="inlineStr">
        <is>
          <t>Operational Suppliers (Wind Farms)</t>
        </is>
      </c>
      <c r="E2099" t="n">
        <v>5014288</v>
      </c>
      <c r="F2099" t="inlineStr">
        <is>
          <t>2001-1</t>
        </is>
      </c>
      <c r="G2099" t="inlineStr">
        <is>
          <t>RE</t>
        </is>
      </c>
      <c r="H2099" s="12" t="n">
        <v>-20778.26</v>
      </c>
      <c r="I2099" s="17" t="n">
        <v>46225</v>
      </c>
      <c r="J2099" s="17" t="n">
        <v>46300</v>
      </c>
      <c r="K2099" t="inlineStr">
        <is>
          <t>Fatura - bruto RAK LOG TRANSPORTES E LOGISTICA LTD</t>
        </is>
      </c>
    </row>
    <row r="2100">
      <c r="A2100" t="inlineStr">
        <is>
          <t>101095</t>
        </is>
      </c>
      <c r="B2100" t="inlineStr">
        <is>
          <t>HAILO SISTEMAS METALICOS LTDA</t>
        </is>
      </c>
      <c r="C2100" t="n">
        <v>2111000000</v>
      </c>
      <c r="D2100" t="inlineStr">
        <is>
          <t>Operational Suppliers (Wind Farms)</t>
        </is>
      </c>
      <c r="E2100" t="n">
        <v>5014289</v>
      </c>
      <c r="F2100" t="inlineStr">
        <is>
          <t>9838-1</t>
        </is>
      </c>
      <c r="G2100" t="inlineStr">
        <is>
          <t>RE</t>
        </is>
      </c>
      <c r="H2100" s="12" t="n">
        <v>-1548.75</v>
      </c>
      <c r="I2100" s="17" t="n">
        <v>46217</v>
      </c>
      <c r="J2100" s="17" t="n">
        <v>46270</v>
      </c>
      <c r="K2100" t="inlineStr">
        <is>
          <t>Fatura - bruto HAILO SISTEMAS METALICOS LTDA 9838-</t>
        </is>
      </c>
    </row>
    <row r="2101">
      <c r="A2101" t="inlineStr">
        <is>
          <t>104002</t>
        </is>
      </c>
      <c r="B2101" t="inlineStr">
        <is>
          <t>TOP LOCACOES LTDA 43452661000160</t>
        </is>
      </c>
      <c r="C2101" t="n">
        <v>2111000000</v>
      </c>
      <c r="D2101" t="inlineStr">
        <is>
          <t>Other Suppliers</t>
        </is>
      </c>
      <c r="E2101" t="n">
        <v>5014290</v>
      </c>
      <c r="F2101" t="inlineStr">
        <is>
          <t>311</t>
        </is>
      </c>
      <c r="G2101" t="inlineStr">
        <is>
          <t>RE</t>
        </is>
      </c>
      <c r="H2101" s="12" t="n">
        <v>-7900</v>
      </c>
      <c r="I2101" s="17" t="n">
        <v>46237</v>
      </c>
      <c r="J2101" s="17" t="n">
        <v>46273</v>
      </c>
      <c r="K2101" t="inlineStr">
        <is>
          <t>Fatura - bruto TOP LOCACOES LTDA 43452661000160 31</t>
        </is>
      </c>
    </row>
    <row r="2102">
      <c r="A2102" t="inlineStr">
        <is>
          <t>100917</t>
        </is>
      </c>
      <c r="B2102" t="inlineStr">
        <is>
          <t>GREENLEGIS SERVIÇOS EM MANUTENÇÃO</t>
        </is>
      </c>
      <c r="C2102" t="n">
        <v>2111000000</v>
      </c>
      <c r="D2102" t="inlineStr">
        <is>
          <t>Other Suppliers</t>
        </is>
      </c>
      <c r="E2102" t="n">
        <v>5014295</v>
      </c>
      <c r="F2102" t="inlineStr">
        <is>
          <t>7822</t>
        </is>
      </c>
      <c r="G2102" t="inlineStr">
        <is>
          <t>RE</t>
        </is>
      </c>
      <c r="H2102" s="12" t="n">
        <v>-14441.28</v>
      </c>
      <c r="I2102" s="17" t="n">
        <v>46237</v>
      </c>
      <c r="J2102" s="17" t="n">
        <v>46302</v>
      </c>
      <c r="K2102" t="inlineStr">
        <is>
          <t>Fatura - bruto GREENLEGIS SERVIÇOS EM MANUTENÇÃO 7</t>
        </is>
      </c>
    </row>
    <row r="2103">
      <c r="A2103" t="inlineStr">
        <is>
          <t>101560</t>
        </is>
      </c>
      <c r="B2103" t="inlineStr">
        <is>
          <t>SINDICATO DOS DESPACHANTES ADUANEIR DE SAO PAULO SINDASP</t>
        </is>
      </c>
      <c r="C2103" t="n">
        <v>2111000000</v>
      </c>
      <c r="D2103" t="inlineStr">
        <is>
          <t>Customs Brokerage – Overall</t>
        </is>
      </c>
      <c r="E2103" t="n">
        <v>5014306</v>
      </c>
      <c r="F2103" t="inlineStr">
        <is>
          <t>6564166</t>
        </is>
      </c>
      <c r="G2103" t="inlineStr">
        <is>
          <t>KR</t>
        </is>
      </c>
      <c r="H2103" s="12" t="n">
        <v>-500</v>
      </c>
      <c r="I2103" s="17" t="n">
        <v>44861</v>
      </c>
      <c r="J2103" s="17" t="n">
        <v>44861</v>
      </c>
      <c r="K2103" t="inlineStr">
        <is>
          <t>LDVVNLZ0047</t>
        </is>
      </c>
    </row>
    <row r="2104">
      <c r="A2104" t="inlineStr">
        <is>
          <t>101560</t>
        </is>
      </c>
      <c r="B2104" t="inlineStr">
        <is>
          <t>SINDICATO DOS DESPACHANTES ADUANEIR DE SAO PAULO SINDASP</t>
        </is>
      </c>
      <c r="C2104" t="n">
        <v>2111000000</v>
      </c>
      <c r="D2104" t="inlineStr">
        <is>
          <t>Customs Brokerage – Overall</t>
        </is>
      </c>
      <c r="E2104" t="n">
        <v>5014319</v>
      </c>
      <c r="F2104" t="inlineStr">
        <is>
          <t>6582194</t>
        </is>
      </c>
      <c r="G2104" t="inlineStr">
        <is>
          <t>KR</t>
        </is>
      </c>
      <c r="H2104" s="12" t="n">
        <v>-500</v>
      </c>
      <c r="I2104" s="17" t="n">
        <v>45251</v>
      </c>
      <c r="J2104" s="17" t="n">
        <v>45251</v>
      </c>
      <c r="K2104" t="inlineStr">
        <is>
          <t>LDVVNLZ0074</t>
        </is>
      </c>
    </row>
    <row r="2105">
      <c r="A2105" t="inlineStr">
        <is>
          <t>101317</t>
        </is>
      </c>
      <c r="B2105" t="inlineStr">
        <is>
          <t>JOAO VANDERLEI ROYER</t>
        </is>
      </c>
      <c r="C2105" t="n">
        <v>2111000000</v>
      </c>
      <c r="D2105" t="inlineStr">
        <is>
          <t>Other Suppliers</t>
        </is>
      </c>
      <c r="E2105" t="n">
        <v>5014335</v>
      </c>
      <c r="F2105" t="inlineStr">
        <is>
          <t>75</t>
        </is>
      </c>
      <c r="G2105" t="inlineStr">
        <is>
          <t>RE</t>
        </is>
      </c>
      <c r="H2105" s="12" t="n">
        <v>-7000</v>
      </c>
      <c r="I2105" s="17" t="n">
        <v>46228</v>
      </c>
      <c r="J2105" s="17" t="n">
        <v>46270</v>
      </c>
      <c r="K2105" t="inlineStr">
        <is>
          <t>Fatura - bruto JOAO VANDERLEI ROYER 75</t>
        </is>
      </c>
    </row>
    <row r="2106">
      <c r="A2106" t="inlineStr">
        <is>
          <t>100379</t>
        </is>
      </c>
      <c r="B2106" t="inlineStr">
        <is>
          <t>RAK LOG TRANSPORTES E LOGISTICA EIR</t>
        </is>
      </c>
      <c r="C2106" t="n">
        <v>2111000000</v>
      </c>
      <c r="D2106" t="inlineStr">
        <is>
          <t>Operational Suppliers (Wind Farms)</t>
        </is>
      </c>
      <c r="E2106" t="n">
        <v>5014337</v>
      </c>
      <c r="F2106" t="inlineStr">
        <is>
          <t>335295-1</t>
        </is>
      </c>
      <c r="G2106" t="inlineStr">
        <is>
          <t>RE</t>
        </is>
      </c>
      <c r="H2106" s="12" t="n">
        <v>-9630.27</v>
      </c>
      <c r="I2106" s="17" t="n">
        <v>46210</v>
      </c>
      <c r="J2106" s="17" t="n">
        <v>46300</v>
      </c>
      <c r="K2106" t="inlineStr">
        <is>
          <t>Fatura - bruto RAK LOG TRANSPORTES E LOGISTICA EIR</t>
        </is>
      </c>
    </row>
    <row r="2107">
      <c r="A2107" t="inlineStr">
        <is>
          <t>100379</t>
        </is>
      </c>
      <c r="B2107" t="inlineStr">
        <is>
          <t>RAK LOG TRANSPORTES E LOGISTICA EIR</t>
        </is>
      </c>
      <c r="C2107" t="n">
        <v>2111000000</v>
      </c>
      <c r="D2107" t="inlineStr">
        <is>
          <t>Operational Suppliers (Wind Farms)</t>
        </is>
      </c>
      <c r="E2107" t="n">
        <v>5014338</v>
      </c>
      <c r="F2107" t="inlineStr">
        <is>
          <t>335306-1</t>
        </is>
      </c>
      <c r="G2107" t="inlineStr">
        <is>
          <t>RE</t>
        </is>
      </c>
      <c r="H2107" s="12" t="n">
        <v>-9613.219999999999</v>
      </c>
      <c r="I2107" s="17" t="n">
        <v>46210</v>
      </c>
      <c r="J2107" s="17" t="n">
        <v>46300</v>
      </c>
      <c r="K2107" t="inlineStr">
        <is>
          <t>Fatura - bruto RAK LOG TRANSPORTES E LOGISTICA EIR</t>
        </is>
      </c>
    </row>
    <row r="2108">
      <c r="A2108" t="inlineStr">
        <is>
          <t>100379</t>
        </is>
      </c>
      <c r="B2108" t="inlineStr">
        <is>
          <t>RAK LOG TRANSPORTES E LOGISTICA EIR</t>
        </is>
      </c>
      <c r="C2108" t="n">
        <v>2111000000</v>
      </c>
      <c r="D2108" t="inlineStr">
        <is>
          <t>Operational Suppliers (Wind Farms)</t>
        </is>
      </c>
      <c r="E2108" t="n">
        <v>5014339</v>
      </c>
      <c r="F2108" t="inlineStr">
        <is>
          <t>335308-1</t>
        </is>
      </c>
      <c r="G2108" t="inlineStr">
        <is>
          <t>RE</t>
        </is>
      </c>
      <c r="H2108" s="12" t="n">
        <v>-9609.049999999999</v>
      </c>
      <c r="I2108" s="17" t="n">
        <v>46210</v>
      </c>
      <c r="J2108" s="17" t="n">
        <v>46300</v>
      </c>
      <c r="K2108" t="inlineStr">
        <is>
          <t>Fatura - bruto RAK LOG TRANSPORTES E LOGISTICA EIR</t>
        </is>
      </c>
    </row>
    <row r="2109">
      <c r="A2109" t="inlineStr">
        <is>
          <t>100379</t>
        </is>
      </c>
      <c r="B2109" t="inlineStr">
        <is>
          <t>RAK LOG TRANSPORTES E LOGISTICA EIR</t>
        </is>
      </c>
      <c r="C2109" t="n">
        <v>2111000000</v>
      </c>
      <c r="D2109" t="inlineStr">
        <is>
          <t>Operational Suppliers (Wind Farms)</t>
        </is>
      </c>
      <c r="E2109" t="n">
        <v>5014340</v>
      </c>
      <c r="F2109" t="inlineStr">
        <is>
          <t>336010-1</t>
        </is>
      </c>
      <c r="G2109" t="inlineStr">
        <is>
          <t>RE</t>
        </is>
      </c>
      <c r="H2109" s="12" t="n">
        <v>-9389.719999999999</v>
      </c>
      <c r="I2109" s="17" t="n">
        <v>46218</v>
      </c>
      <c r="J2109" s="17" t="n">
        <v>46300</v>
      </c>
      <c r="K2109" t="inlineStr">
        <is>
          <t>Fatura - bruto RAK LOG TRANSPORTES E LOGISTICA EIR</t>
        </is>
      </c>
    </row>
    <row r="2110">
      <c r="A2110" t="inlineStr">
        <is>
          <t>100379</t>
        </is>
      </c>
      <c r="B2110" t="inlineStr">
        <is>
          <t>RAK LOG TRANSPORTES E LOGISTICA EIR</t>
        </is>
      </c>
      <c r="C2110" t="n">
        <v>2111000000</v>
      </c>
      <c r="D2110" t="inlineStr">
        <is>
          <t>Operational Suppliers (Wind Farms)</t>
        </is>
      </c>
      <c r="E2110" t="n">
        <v>5014341</v>
      </c>
      <c r="F2110" t="inlineStr">
        <is>
          <t>336017-1</t>
        </is>
      </c>
      <c r="G2110" t="inlineStr">
        <is>
          <t>RE</t>
        </is>
      </c>
      <c r="H2110" s="12" t="n">
        <v>-9389.719999999999</v>
      </c>
      <c r="I2110" s="17" t="n">
        <v>46218</v>
      </c>
      <c r="J2110" s="17" t="n">
        <v>46300</v>
      </c>
      <c r="K2110" t="inlineStr">
        <is>
          <t>Fatura - bruto RAK LOG TRANSPORTES E LOGISTICA EIR</t>
        </is>
      </c>
    </row>
    <row r="2111">
      <c r="A2111" t="inlineStr">
        <is>
          <t>100379</t>
        </is>
      </c>
      <c r="B2111" t="inlineStr">
        <is>
          <t>RAK LOG TRANSPORTES E LOGISTICA EIR</t>
        </is>
      </c>
      <c r="C2111" t="n">
        <v>2111000000</v>
      </c>
      <c r="D2111" t="inlineStr">
        <is>
          <t>Operational Suppliers (Wind Farms)</t>
        </is>
      </c>
      <c r="E2111" t="n">
        <v>5014342</v>
      </c>
      <c r="F2111" t="inlineStr">
        <is>
          <t>336021-1</t>
        </is>
      </c>
      <c r="G2111" t="inlineStr">
        <is>
          <t>RE</t>
        </is>
      </c>
      <c r="H2111" s="12" t="n">
        <v>-9389.719999999999</v>
      </c>
      <c r="I2111" s="17" t="n">
        <v>46218</v>
      </c>
      <c r="J2111" s="17" t="n">
        <v>46300</v>
      </c>
      <c r="K2111" t="inlineStr">
        <is>
          <t>Fatura - bruto RAK LOG TRANSPORTES E LOGISTICA EIR</t>
        </is>
      </c>
    </row>
    <row r="2112">
      <c r="A2112" t="inlineStr">
        <is>
          <t>100379</t>
        </is>
      </c>
      <c r="B2112" t="inlineStr">
        <is>
          <t>RAK LOG TRANSPORTES E LOGISTICA EIR</t>
        </is>
      </c>
      <c r="C2112" t="n">
        <v>2111000000</v>
      </c>
      <c r="D2112" t="inlineStr">
        <is>
          <t>Operational Suppliers (Wind Farms)</t>
        </is>
      </c>
      <c r="E2112" t="n">
        <v>5014343</v>
      </c>
      <c r="F2112" t="inlineStr">
        <is>
          <t>336492-1</t>
        </is>
      </c>
      <c r="G2112" t="inlineStr">
        <is>
          <t>RE</t>
        </is>
      </c>
      <c r="H2112" s="12" t="n">
        <v>-9389.530000000001</v>
      </c>
      <c r="I2112" s="17" t="n">
        <v>46223</v>
      </c>
      <c r="J2112" s="17" t="n">
        <v>46300</v>
      </c>
      <c r="K2112" t="inlineStr">
        <is>
          <t>Fatura - bruto RAK LOG TRANSPORTES E LOGISTICA EIR</t>
        </is>
      </c>
    </row>
    <row r="2113">
      <c r="A2113" t="inlineStr">
        <is>
          <t>100379</t>
        </is>
      </c>
      <c r="B2113" t="inlineStr">
        <is>
          <t>RAK LOG TRANSPORTES E LOGISTICA EIR</t>
        </is>
      </c>
      <c r="C2113" t="n">
        <v>2111000000</v>
      </c>
      <c r="D2113" t="inlineStr">
        <is>
          <t>Operational Suppliers (Wind Farms)</t>
        </is>
      </c>
      <c r="E2113" t="n">
        <v>5014344</v>
      </c>
      <c r="F2113" t="inlineStr">
        <is>
          <t>336523-1</t>
        </is>
      </c>
      <c r="G2113" t="inlineStr">
        <is>
          <t>RE</t>
        </is>
      </c>
      <c r="H2113" s="12" t="n">
        <v>-9389.530000000001</v>
      </c>
      <c r="I2113" s="17" t="n">
        <v>46223</v>
      </c>
      <c r="J2113" s="17" t="n">
        <v>46300</v>
      </c>
      <c r="K2113" t="inlineStr">
        <is>
          <t>Fatura - bruto RAK LOG TRANSPORTES E LOGISTICA EIR</t>
        </is>
      </c>
    </row>
    <row r="2114">
      <c r="A2114" t="inlineStr">
        <is>
          <t>100379</t>
        </is>
      </c>
      <c r="B2114" t="inlineStr">
        <is>
          <t>RAK LOG TRANSPORTES E LOGISTICA EIR</t>
        </is>
      </c>
      <c r="C2114" t="n">
        <v>2111000000</v>
      </c>
      <c r="D2114" t="inlineStr">
        <is>
          <t>Operational Suppliers (Wind Farms)</t>
        </is>
      </c>
      <c r="E2114" t="n">
        <v>5014345</v>
      </c>
      <c r="F2114" t="inlineStr">
        <is>
          <t>336530-1</t>
        </is>
      </c>
      <c r="G2114" t="inlineStr">
        <is>
          <t>RE</t>
        </is>
      </c>
      <c r="H2114" s="12" t="n">
        <v>-9415.75</v>
      </c>
      <c r="I2114" s="17" t="n">
        <v>46223</v>
      </c>
      <c r="J2114" s="17" t="n">
        <v>46300</v>
      </c>
      <c r="K2114" t="inlineStr">
        <is>
          <t>Fatura - bruto RAK LOG TRANSPORTES E LOGISTICA EIR</t>
        </is>
      </c>
    </row>
    <row r="2115">
      <c r="A2115" t="inlineStr">
        <is>
          <t>100379</t>
        </is>
      </c>
      <c r="B2115" t="inlineStr">
        <is>
          <t>RAK LOG TRANSPORTES E LOGISTICA EIR</t>
        </is>
      </c>
      <c r="C2115" t="n">
        <v>2111000000</v>
      </c>
      <c r="D2115" t="inlineStr">
        <is>
          <t>Operational Suppliers (Wind Farms)</t>
        </is>
      </c>
      <c r="E2115" t="n">
        <v>5014346</v>
      </c>
      <c r="F2115" t="inlineStr">
        <is>
          <t>336535-1</t>
        </is>
      </c>
      <c r="G2115" t="inlineStr">
        <is>
          <t>RE</t>
        </is>
      </c>
      <c r="H2115" s="12" t="n">
        <v>-9415.52</v>
      </c>
      <c r="I2115" s="17" t="n">
        <v>46223</v>
      </c>
      <c r="J2115" s="17" t="n">
        <v>46300</v>
      </c>
      <c r="K2115" t="inlineStr">
        <is>
          <t>Fatura - bruto RAK LOG TRANSPORTES E LOGISTICA EIR</t>
        </is>
      </c>
    </row>
    <row r="2116">
      <c r="A2116" t="inlineStr">
        <is>
          <t>100379</t>
        </is>
      </c>
      <c r="B2116" t="inlineStr">
        <is>
          <t>RAK LOG TRANSPORTES E LOGISTICA EIR</t>
        </is>
      </c>
      <c r="C2116" t="n">
        <v>2111000000</v>
      </c>
      <c r="D2116" t="inlineStr">
        <is>
          <t>Operational Suppliers (Wind Farms)</t>
        </is>
      </c>
      <c r="E2116" t="n">
        <v>5014347</v>
      </c>
      <c r="F2116" t="inlineStr">
        <is>
          <t>336592-1</t>
        </is>
      </c>
      <c r="G2116" t="inlineStr">
        <is>
          <t>RE</t>
        </is>
      </c>
      <c r="H2116" s="12" t="n">
        <v>-9415.52</v>
      </c>
      <c r="I2116" s="17" t="n">
        <v>46223</v>
      </c>
      <c r="J2116" s="17" t="n">
        <v>46300</v>
      </c>
      <c r="K2116" t="inlineStr">
        <is>
          <t>Fatura - bruto RAK LOG TRANSPORTES E LOGISTICA EIR</t>
        </is>
      </c>
    </row>
    <row r="2117">
      <c r="A2117" t="inlineStr">
        <is>
          <t>102116</t>
        </is>
      </c>
      <c r="B2117" t="inlineStr">
        <is>
          <t>COMPANHIA DE ELETR DO ESTADO DA BAH</t>
        </is>
      </c>
      <c r="C2117" t="n">
        <v>2111000000</v>
      </c>
      <c r="D2117" t="inlineStr">
        <is>
          <t>Other Suppliers</t>
        </is>
      </c>
      <c r="E2117" t="n">
        <v>5014348</v>
      </c>
      <c r="F2117" t="inlineStr">
        <is>
          <t>978057641</t>
        </is>
      </c>
      <c r="G2117" t="inlineStr">
        <is>
          <t>RE</t>
        </is>
      </c>
      <c r="H2117" s="12" t="n">
        <v>-7736.44</v>
      </c>
      <c r="I2117" s="17" t="n">
        <v>46219</v>
      </c>
      <c r="J2117" s="17" t="n">
        <v>46276</v>
      </c>
      <c r="K2117" t="inlineStr">
        <is>
          <t>Fatura - bruto COMPANHIA DE ELETR DO ESTADO DA BAH</t>
        </is>
      </c>
    </row>
    <row r="2118">
      <c r="A2118" t="inlineStr">
        <is>
          <t>102069</t>
        </is>
      </c>
      <c r="B2118" t="inlineStr">
        <is>
          <t>AMBAR PATRIMONIAL LTDA</t>
        </is>
      </c>
      <c r="C2118" t="n">
        <v>2111000000</v>
      </c>
      <c r="D2118" t="inlineStr">
        <is>
          <t>Other Suppliers</t>
        </is>
      </c>
      <c r="E2118" t="n">
        <v>5014349</v>
      </c>
      <c r="F2118" t="inlineStr">
        <is>
          <t>15</t>
        </is>
      </c>
      <c r="G2118" t="inlineStr">
        <is>
          <t>RE</t>
        </is>
      </c>
      <c r="H2118" s="12" t="n">
        <v>-128248.22</v>
      </c>
      <c r="I2118" s="17" t="n">
        <v>46237</v>
      </c>
      <c r="J2118" s="17" t="n">
        <v>46270</v>
      </c>
      <c r="K2118" t="inlineStr">
        <is>
          <t>Fatura - bruto AMBAR PATRIMONIAL LTDA 15</t>
        </is>
      </c>
    </row>
    <row r="2119">
      <c r="A2119" t="inlineStr">
        <is>
          <t>103745</t>
        </is>
      </c>
      <c r="B2119" t="inlineStr">
        <is>
          <t>AIR LIDER COMERCIO E TRANSPORTE DE</t>
        </is>
      </c>
      <c r="C2119" t="n">
        <v>2111000000</v>
      </c>
      <c r="D2119" t="inlineStr">
        <is>
          <t>Other Suppliers</t>
        </is>
      </c>
      <c r="E2119" t="n">
        <v>5014361</v>
      </c>
      <c r="F2119" t="inlineStr">
        <is>
          <t>12363</t>
        </is>
      </c>
      <c r="G2119" t="inlineStr">
        <is>
          <t>RE</t>
        </is>
      </c>
      <c r="H2119" s="12" t="n">
        <v>-673.92</v>
      </c>
      <c r="I2119" s="17" t="n">
        <v>46237</v>
      </c>
      <c r="J2119" s="17" t="n">
        <v>46270</v>
      </c>
      <c r="K2119" t="inlineStr">
        <is>
          <t>Fatura - bruto AIR LIDER COMERCIO E TRANSPORTE DE</t>
        </is>
      </c>
    </row>
    <row r="2120">
      <c r="A2120" t="inlineStr">
        <is>
          <t>100883</t>
        </is>
      </c>
      <c r="B2120" t="inlineStr">
        <is>
          <t>QUELMAR TRANSPORTES LTDA</t>
        </is>
      </c>
      <c r="C2120" t="n">
        <v>2111000000</v>
      </c>
      <c r="D2120" t="inlineStr">
        <is>
          <t>Operational Suppliers (Wind Farms)</t>
        </is>
      </c>
      <c r="E2120" t="n">
        <v>5014364</v>
      </c>
      <c r="F2120" t="inlineStr">
        <is>
          <t>108052-1</t>
        </is>
      </c>
      <c r="G2120" t="inlineStr">
        <is>
          <t>RE</t>
        </is>
      </c>
      <c r="H2120" s="12" t="n">
        <v>-970</v>
      </c>
      <c r="I2120" s="17" t="n">
        <v>46220</v>
      </c>
      <c r="J2120" s="17" t="n">
        <v>46270</v>
      </c>
      <c r="K2120" t="inlineStr">
        <is>
          <t>Fatura - bruto QUELMAR TRANSPORTES LTDA 108052-1</t>
        </is>
      </c>
    </row>
    <row r="2121">
      <c r="A2121" t="inlineStr">
        <is>
          <t>100883</t>
        </is>
      </c>
      <c r="B2121" t="inlineStr">
        <is>
          <t>QUELMAR TRANSPORTES LTDA</t>
        </is>
      </c>
      <c r="C2121" t="n">
        <v>2111000000</v>
      </c>
      <c r="D2121" t="inlineStr">
        <is>
          <t>Operational Suppliers (Wind Farms)</t>
        </is>
      </c>
      <c r="E2121" t="n">
        <v>5014365</v>
      </c>
      <c r="F2121" t="inlineStr">
        <is>
          <t>108201-1</t>
        </is>
      </c>
      <c r="G2121" t="inlineStr">
        <is>
          <t>RE</t>
        </is>
      </c>
      <c r="H2121" s="12" t="n">
        <v>-3200</v>
      </c>
      <c r="I2121" s="17" t="n">
        <v>46231</v>
      </c>
      <c r="J2121" s="17" t="n">
        <v>46270</v>
      </c>
      <c r="K2121" t="inlineStr">
        <is>
          <t>Fatura - bruto QUELMAR TRANSPORTES LTDA 108201-1</t>
        </is>
      </c>
    </row>
    <row r="2122">
      <c r="A2122" t="inlineStr">
        <is>
          <t>100883</t>
        </is>
      </c>
      <c r="B2122" t="inlineStr">
        <is>
          <t>QUELMAR TRANSPORTES LTDA</t>
        </is>
      </c>
      <c r="C2122" t="n">
        <v>2111000000</v>
      </c>
      <c r="D2122" t="inlineStr">
        <is>
          <t>Operational Suppliers (Wind Farms)</t>
        </is>
      </c>
      <c r="E2122" t="n">
        <v>5014366</v>
      </c>
      <c r="F2122" t="inlineStr">
        <is>
          <t>108229-1</t>
        </is>
      </c>
      <c r="G2122" t="inlineStr">
        <is>
          <t>RE</t>
        </is>
      </c>
      <c r="H2122" s="12" t="n">
        <v>-1390</v>
      </c>
      <c r="I2122" s="17" t="n">
        <v>46232</v>
      </c>
      <c r="J2122" s="17" t="n">
        <v>46270</v>
      </c>
      <c r="K2122" t="inlineStr">
        <is>
          <t>Fatura - bruto QUELMAR TRANSPORTES LTDA 108229-1</t>
        </is>
      </c>
    </row>
    <row r="2123">
      <c r="A2123" t="inlineStr">
        <is>
          <t>100883</t>
        </is>
      </c>
      <c r="B2123" t="inlineStr">
        <is>
          <t>QUELMAR TRANSPORTES LTDA</t>
        </is>
      </c>
      <c r="C2123" t="n">
        <v>2111000000</v>
      </c>
      <c r="D2123" t="inlineStr">
        <is>
          <t>Operational Suppliers (Wind Farms)</t>
        </is>
      </c>
      <c r="E2123" t="n">
        <v>5014367</v>
      </c>
      <c r="F2123" t="inlineStr">
        <is>
          <t>108228-1</t>
        </is>
      </c>
      <c r="G2123" t="inlineStr">
        <is>
          <t>RE</t>
        </is>
      </c>
      <c r="H2123" s="12" t="n">
        <v>-3350</v>
      </c>
      <c r="I2123" s="17" t="n">
        <v>46232</v>
      </c>
      <c r="J2123" s="17" t="n">
        <v>46270</v>
      </c>
      <c r="K2123" t="inlineStr">
        <is>
          <t>Fatura - bruto QUELMAR TRANSPORTES LTDA 108228-1</t>
        </is>
      </c>
    </row>
    <row r="2124">
      <c r="A2124" t="inlineStr">
        <is>
          <t>100883</t>
        </is>
      </c>
      <c r="B2124" t="inlineStr">
        <is>
          <t>QUELMAR TRANSPORTES LTDA</t>
        </is>
      </c>
      <c r="C2124" t="n">
        <v>2111000000</v>
      </c>
      <c r="D2124" t="inlineStr">
        <is>
          <t>Operational Suppliers (Wind Farms)</t>
        </is>
      </c>
      <c r="E2124" t="n">
        <v>5014368</v>
      </c>
      <c r="F2124" t="inlineStr">
        <is>
          <t>108226-1</t>
        </is>
      </c>
      <c r="G2124" t="inlineStr">
        <is>
          <t>RE</t>
        </is>
      </c>
      <c r="H2124" s="12" t="n">
        <v>-980</v>
      </c>
      <c r="I2124" s="17" t="n">
        <v>46232</v>
      </c>
      <c r="J2124" s="17" t="n">
        <v>46270</v>
      </c>
      <c r="K2124" t="inlineStr">
        <is>
          <t>Fatura - bruto QUELMAR TRANSPORTES LTDA 108226-1</t>
        </is>
      </c>
    </row>
    <row r="2125">
      <c r="A2125" t="inlineStr">
        <is>
          <t>100883</t>
        </is>
      </c>
      <c r="B2125" t="inlineStr">
        <is>
          <t>QUELMAR TRANSPORTES LTDA</t>
        </is>
      </c>
      <c r="C2125" t="n">
        <v>2111000000</v>
      </c>
      <c r="D2125" t="inlineStr">
        <is>
          <t>Operational Suppliers (Wind Farms)</t>
        </is>
      </c>
      <c r="E2125" t="n">
        <v>5014369</v>
      </c>
      <c r="F2125" t="inlineStr">
        <is>
          <t>108207-1</t>
        </is>
      </c>
      <c r="G2125" t="inlineStr">
        <is>
          <t>RE</t>
        </is>
      </c>
      <c r="H2125" s="12" t="n">
        <v>-1970</v>
      </c>
      <c r="I2125" s="17" t="n">
        <v>46231</v>
      </c>
      <c r="J2125" s="17" t="n">
        <v>46270</v>
      </c>
      <c r="K2125" t="inlineStr">
        <is>
          <t>Fatura - bruto QUELMAR TRANSPORTES LTDA 108207-1</t>
        </is>
      </c>
    </row>
    <row r="2126">
      <c r="A2126" t="inlineStr">
        <is>
          <t>100883</t>
        </is>
      </c>
      <c r="B2126" t="inlineStr">
        <is>
          <t>QUELMAR TRANSPORTES LTDA</t>
        </is>
      </c>
      <c r="C2126" t="n">
        <v>2111000000</v>
      </c>
      <c r="D2126" t="inlineStr">
        <is>
          <t>Operational Suppliers (Wind Farms)</t>
        </is>
      </c>
      <c r="E2126" t="n">
        <v>5014370</v>
      </c>
      <c r="F2126" t="inlineStr">
        <is>
          <t>108204-1</t>
        </is>
      </c>
      <c r="G2126" t="inlineStr">
        <is>
          <t>RE</t>
        </is>
      </c>
      <c r="H2126" s="12" t="n">
        <v>-5882.15</v>
      </c>
      <c r="I2126" s="17" t="n">
        <v>46231</v>
      </c>
      <c r="J2126" s="17" t="n">
        <v>46270</v>
      </c>
      <c r="K2126" t="inlineStr">
        <is>
          <t>Fatura - bruto QUELMAR TRANSPORTES LTDA 108204-1</t>
        </is>
      </c>
    </row>
    <row r="2127">
      <c r="A2127" t="inlineStr">
        <is>
          <t>100883</t>
        </is>
      </c>
      <c r="B2127" t="inlineStr">
        <is>
          <t>QUELMAR TRANSPORTES LTDA</t>
        </is>
      </c>
      <c r="C2127" t="n">
        <v>2111000000</v>
      </c>
      <c r="D2127" t="inlineStr">
        <is>
          <t>Operational Suppliers (Wind Farms)</t>
        </is>
      </c>
      <c r="E2127" t="n">
        <v>5014371</v>
      </c>
      <c r="F2127" t="inlineStr">
        <is>
          <t>108203-1</t>
        </is>
      </c>
      <c r="G2127" t="inlineStr">
        <is>
          <t>RE</t>
        </is>
      </c>
      <c r="H2127" s="12" t="n">
        <v>-6617.85</v>
      </c>
      <c r="I2127" s="17" t="n">
        <v>46231</v>
      </c>
      <c r="J2127" s="17" t="n">
        <v>46270</v>
      </c>
      <c r="K2127" t="inlineStr">
        <is>
          <t>Fatura - bruto QUELMAR TRANSPORTES LTDA 108203-1</t>
        </is>
      </c>
    </row>
    <row r="2128">
      <c r="A2128" t="inlineStr">
        <is>
          <t>102105</t>
        </is>
      </c>
      <c r="B2128" t="inlineStr">
        <is>
          <t>THOMSON REUTERS BRASIL C T LTDA</t>
        </is>
      </c>
      <c r="C2128" t="n">
        <v>2111000000</v>
      </c>
      <c r="D2128" t="inlineStr">
        <is>
          <t>Other Suppliers</t>
        </is>
      </c>
      <c r="E2128" t="n">
        <v>5014373</v>
      </c>
      <c r="F2128" t="inlineStr">
        <is>
          <t>221475</t>
        </is>
      </c>
      <c r="G2128" t="inlineStr">
        <is>
          <t>RE</t>
        </is>
      </c>
      <c r="H2128" s="12" t="n">
        <v>-3811.07</v>
      </c>
      <c r="I2128" s="17" t="n">
        <v>46237</v>
      </c>
      <c r="J2128" s="17" t="n">
        <v>46267</v>
      </c>
      <c r="K2128" t="inlineStr">
        <is>
          <t>Fatura - bruto THOMSON REUTERS BRASIL C T LTDA 221</t>
        </is>
      </c>
    </row>
    <row r="2129">
      <c r="A2129" t="inlineStr">
        <is>
          <t>100883</t>
        </is>
      </c>
      <c r="B2129" t="inlineStr">
        <is>
          <t>QUELMAR TRANSPORTES LTDA</t>
        </is>
      </c>
      <c r="C2129" t="n">
        <v>2111000000</v>
      </c>
      <c r="D2129" t="inlineStr">
        <is>
          <t>Operational Suppliers (Wind Farms)</t>
        </is>
      </c>
      <c r="E2129" t="n">
        <v>5014374</v>
      </c>
      <c r="F2129" t="inlineStr">
        <is>
          <t>108028-1</t>
        </is>
      </c>
      <c r="G2129" t="inlineStr">
        <is>
          <t>RE</t>
        </is>
      </c>
      <c r="H2129" s="12" t="n">
        <v>-1887</v>
      </c>
      <c r="I2129" s="17" t="n">
        <v>46220</v>
      </c>
      <c r="J2129" s="17" t="n">
        <v>46270</v>
      </c>
      <c r="K2129" t="inlineStr">
        <is>
          <t>Fatura - bruto QUELMAR TRANSPORTES LTDA 108028-1</t>
        </is>
      </c>
    </row>
    <row r="2130">
      <c r="A2130" t="inlineStr">
        <is>
          <t>101021</t>
        </is>
      </c>
      <c r="B2130" t="inlineStr">
        <is>
          <t>CSI SERVICOS DE BPO E TECN DA INFOR</t>
        </is>
      </c>
      <c r="C2130" t="n">
        <v>2111000000</v>
      </c>
      <c r="D2130" t="inlineStr">
        <is>
          <t>Other Suppliers</t>
        </is>
      </c>
      <c r="E2130" t="n">
        <v>5014375</v>
      </c>
      <c r="F2130" t="inlineStr">
        <is>
          <t>2020</t>
        </is>
      </c>
      <c r="G2130" t="inlineStr">
        <is>
          <t>RE</t>
        </is>
      </c>
      <c r="H2130" s="12" t="n">
        <v>-18382.5</v>
      </c>
      <c r="I2130" s="17" t="n">
        <v>46238</v>
      </c>
      <c r="J2130" s="17" t="n">
        <v>46268</v>
      </c>
      <c r="K2130" t="inlineStr">
        <is>
          <t>Fatura - bruto CSI SERVICOS DE BPO E TECN DA INFOR</t>
        </is>
      </c>
    </row>
    <row r="2131">
      <c r="A2131" t="inlineStr">
        <is>
          <t>110770</t>
        </is>
      </c>
      <c r="B2131" t="inlineStr">
        <is>
          <t>A DE SN CARVALHO REFRIGERAÇÃO ME</t>
        </is>
      </c>
      <c r="C2131" t="n">
        <v>2111000000</v>
      </c>
      <c r="D2131" t="inlineStr">
        <is>
          <t>Other Suppliers</t>
        </is>
      </c>
      <c r="E2131" t="n">
        <v>5014382</v>
      </c>
      <c r="F2131" t="inlineStr">
        <is>
          <t>1573</t>
        </is>
      </c>
      <c r="G2131" t="inlineStr">
        <is>
          <t>RE</t>
        </is>
      </c>
      <c r="H2131" s="12" t="n">
        <v>-5562.85</v>
      </c>
      <c r="I2131" s="17" t="n">
        <v>46237</v>
      </c>
      <c r="J2131" s="17" t="n">
        <v>46267</v>
      </c>
      <c r="K2131" t="inlineStr">
        <is>
          <t>Fatura - bruto A DE SN CARVALHO REFRIGERAÇÃO ME 15</t>
        </is>
      </c>
    </row>
    <row r="2132">
      <c r="A2132" t="inlineStr">
        <is>
          <t>100994</t>
        </is>
      </c>
      <c r="B2132" t="inlineStr">
        <is>
          <t>P W TREINAMENTO E CAPACITACOES LTDA</t>
        </is>
      </c>
      <c r="C2132" t="n">
        <v>2111000000</v>
      </c>
      <c r="D2132" t="inlineStr">
        <is>
          <t>Other Suppliers</t>
        </is>
      </c>
      <c r="E2132" t="n">
        <v>5014386</v>
      </c>
      <c r="F2132" t="inlineStr">
        <is>
          <t>128</t>
        </is>
      </c>
      <c r="G2132" t="inlineStr">
        <is>
          <t>RE</t>
        </is>
      </c>
      <c r="H2132" s="12" t="n">
        <v>-37953</v>
      </c>
      <c r="I2132" s="17" t="n">
        <v>46237</v>
      </c>
      <c r="J2132" s="17" t="n">
        <v>46268</v>
      </c>
      <c r="K2132" t="inlineStr">
        <is>
          <t>Fatura - bruto P W TREINAMENTO E CAPACITACOES LTDA</t>
        </is>
      </c>
    </row>
    <row r="2133">
      <c r="A2133" t="inlineStr">
        <is>
          <t>100883</t>
        </is>
      </c>
      <c r="B2133" t="inlineStr">
        <is>
          <t>QUELMAR TRANSPORTES LTDA</t>
        </is>
      </c>
      <c r="C2133" t="n">
        <v>2111000000</v>
      </c>
      <c r="D2133" t="inlineStr">
        <is>
          <t>Operational Suppliers (Wind Farms)</t>
        </is>
      </c>
      <c r="E2133" t="n">
        <v>5014388</v>
      </c>
      <c r="F2133" t="inlineStr">
        <is>
          <t>108185-1</t>
        </is>
      </c>
      <c r="G2133" t="inlineStr">
        <is>
          <t>RE</t>
        </is>
      </c>
      <c r="H2133" s="12" t="n">
        <v>-5626.25</v>
      </c>
      <c r="I2133" s="17" t="n">
        <v>46231</v>
      </c>
      <c r="J2133" s="17" t="n">
        <v>46270</v>
      </c>
      <c r="K2133" t="inlineStr">
        <is>
          <t>Fatura - bruto QUELMAR TRANSPORTES LTDA 108185-1</t>
        </is>
      </c>
    </row>
    <row r="2134">
      <c r="A2134" t="inlineStr">
        <is>
          <t>100883</t>
        </is>
      </c>
      <c r="B2134" t="inlineStr">
        <is>
          <t>QUELMAR TRANSPORTES LTDA</t>
        </is>
      </c>
      <c r="C2134" t="n">
        <v>2111000000</v>
      </c>
      <c r="D2134" t="inlineStr">
        <is>
          <t>Operational Suppliers (Wind Farms)</t>
        </is>
      </c>
      <c r="E2134" t="n">
        <v>5014390</v>
      </c>
      <c r="F2134" t="inlineStr">
        <is>
          <t>6314-2</t>
        </is>
      </c>
      <c r="G2134" t="inlineStr">
        <is>
          <t>RE</t>
        </is>
      </c>
      <c r="H2134" s="12" t="n">
        <v>-2494</v>
      </c>
      <c r="I2134" s="17" t="n">
        <v>46231</v>
      </c>
      <c r="J2134" s="17" t="n">
        <v>46270</v>
      </c>
      <c r="K2134" t="inlineStr">
        <is>
          <t>Fatura - bruto QUELMAR TRANSPORTES LTDA 6314-2</t>
        </is>
      </c>
    </row>
    <row r="2135">
      <c r="A2135" t="inlineStr">
        <is>
          <t>100883</t>
        </is>
      </c>
      <c r="B2135" t="inlineStr">
        <is>
          <t>QUELMAR TRANSPORTES LTDA</t>
        </is>
      </c>
      <c r="C2135" t="n">
        <v>2111000000</v>
      </c>
      <c r="D2135" t="inlineStr">
        <is>
          <t>Operational Suppliers (Wind Farms)</t>
        </is>
      </c>
      <c r="E2135" t="n">
        <v>5014391</v>
      </c>
      <c r="F2135" t="inlineStr">
        <is>
          <t>6317-2</t>
        </is>
      </c>
      <c r="G2135" t="inlineStr">
        <is>
          <t>RE</t>
        </is>
      </c>
      <c r="H2135" s="12" t="n">
        <v>-2494</v>
      </c>
      <c r="I2135" s="17" t="n">
        <v>46231</v>
      </c>
      <c r="J2135" s="17" t="n">
        <v>46270</v>
      </c>
      <c r="K2135" t="inlineStr">
        <is>
          <t>Fatura - bruto QUELMAR TRANSPORTES LTDA 6317-2</t>
        </is>
      </c>
    </row>
    <row r="2136">
      <c r="A2136" t="inlineStr">
        <is>
          <t>100883</t>
        </is>
      </c>
      <c r="B2136" t="inlineStr">
        <is>
          <t>QUELMAR TRANSPORTES LTDA</t>
        </is>
      </c>
      <c r="C2136" t="n">
        <v>2111000000</v>
      </c>
      <c r="D2136" t="inlineStr">
        <is>
          <t>Operational Suppliers (Wind Farms)</t>
        </is>
      </c>
      <c r="E2136" t="n">
        <v>5014395</v>
      </c>
      <c r="F2136" t="inlineStr">
        <is>
          <t>6255-2</t>
        </is>
      </c>
      <c r="G2136" t="inlineStr">
        <is>
          <t>RE</t>
        </is>
      </c>
      <c r="H2136" s="12" t="n">
        <v>-1980</v>
      </c>
      <c r="I2136" s="17" t="n">
        <v>46225</v>
      </c>
      <c r="J2136" s="17" t="n">
        <v>46270</v>
      </c>
      <c r="K2136" t="inlineStr">
        <is>
          <t>Fatura - bruto QUELMAR TRANSPORTES LTDA 6255-2</t>
        </is>
      </c>
    </row>
    <row r="2137">
      <c r="A2137" t="inlineStr">
        <is>
          <t>100883</t>
        </is>
      </c>
      <c r="B2137" t="inlineStr">
        <is>
          <t>QUELMAR TRANSPORTES LTDA</t>
        </is>
      </c>
      <c r="C2137" t="n">
        <v>2111000000</v>
      </c>
      <c r="D2137" t="inlineStr">
        <is>
          <t>Operational Suppliers (Wind Farms)</t>
        </is>
      </c>
      <c r="E2137" t="n">
        <v>5014396</v>
      </c>
      <c r="F2137" t="inlineStr">
        <is>
          <t>6301-2</t>
        </is>
      </c>
      <c r="G2137" t="inlineStr">
        <is>
          <t>RE</t>
        </is>
      </c>
      <c r="H2137" s="12" t="n">
        <v>-2280</v>
      </c>
      <c r="I2137" s="17" t="n">
        <v>46227</v>
      </c>
      <c r="J2137" s="17" t="n">
        <v>46270</v>
      </c>
      <c r="K2137" t="inlineStr">
        <is>
          <t>Fatura - bruto QUELMAR TRANSPORTES LTDA 6301-2</t>
        </is>
      </c>
    </row>
    <row r="2138">
      <c r="A2138" t="inlineStr">
        <is>
          <t>100883</t>
        </is>
      </c>
      <c r="B2138" t="inlineStr">
        <is>
          <t>QUELMAR TRANSPORTES LTDA</t>
        </is>
      </c>
      <c r="C2138" t="n">
        <v>2111000000</v>
      </c>
      <c r="D2138" t="inlineStr">
        <is>
          <t>Operational Suppliers (Wind Farms)</t>
        </is>
      </c>
      <c r="E2138" t="n">
        <v>5014397</v>
      </c>
      <c r="F2138" t="inlineStr">
        <is>
          <t>6288-2</t>
        </is>
      </c>
      <c r="G2138" t="inlineStr">
        <is>
          <t>RE</t>
        </is>
      </c>
      <c r="H2138" s="12" t="n">
        <v>-2784</v>
      </c>
      <c r="I2138" s="17" t="n">
        <v>46226</v>
      </c>
      <c r="J2138" s="17" t="n">
        <v>46270</v>
      </c>
      <c r="K2138" t="inlineStr">
        <is>
          <t>Fatura - bruto QUELMAR TRANSPORTES LTDA 6288-2</t>
        </is>
      </c>
    </row>
    <row r="2139">
      <c r="A2139" t="inlineStr">
        <is>
          <t>100883</t>
        </is>
      </c>
      <c r="B2139" t="inlineStr">
        <is>
          <t>QUELMAR TRANSPORTES LTDA</t>
        </is>
      </c>
      <c r="C2139" t="n">
        <v>2111000000</v>
      </c>
      <c r="D2139" t="inlineStr">
        <is>
          <t>Operational Suppliers (Wind Farms)</t>
        </is>
      </c>
      <c r="E2139" t="n">
        <v>5014398</v>
      </c>
      <c r="F2139" t="inlineStr">
        <is>
          <t>6316-2</t>
        </is>
      </c>
      <c r="G2139" t="inlineStr">
        <is>
          <t>RE</t>
        </is>
      </c>
      <c r="H2139" s="12" t="n">
        <v>-4303</v>
      </c>
      <c r="I2139" s="17" t="n">
        <v>46231</v>
      </c>
      <c r="J2139" s="17" t="n">
        <v>46270</v>
      </c>
      <c r="K2139" t="inlineStr">
        <is>
          <t>Fatura - bruto QUELMAR TRANSPORTES LTDA 6316-2</t>
        </is>
      </c>
    </row>
    <row r="2140">
      <c r="A2140" t="inlineStr">
        <is>
          <t>101764</t>
        </is>
      </c>
      <c r="B2140" t="inlineStr">
        <is>
          <t>INTERJATO TELECOM LTDA - ME</t>
        </is>
      </c>
      <c r="C2140" t="n">
        <v>2111000000</v>
      </c>
      <c r="D2140" t="inlineStr">
        <is>
          <t>Other Suppliers</t>
        </is>
      </c>
      <c r="E2140" t="n">
        <v>5014399</v>
      </c>
      <c r="F2140" t="inlineStr">
        <is>
          <t>1435</t>
        </is>
      </c>
      <c r="G2140" t="inlineStr">
        <is>
          <t>RE</t>
        </is>
      </c>
      <c r="H2140" s="12" t="n">
        <v>-1825</v>
      </c>
      <c r="I2140" s="17" t="n">
        <v>46238</v>
      </c>
      <c r="J2140" s="17" t="n">
        <v>46273</v>
      </c>
      <c r="K2140" t="inlineStr">
        <is>
          <t>Fatura - bruto INTERJATO TELECOM LTDA - ME 1435</t>
        </is>
      </c>
    </row>
    <row r="2141">
      <c r="A2141" t="inlineStr">
        <is>
          <t>101764</t>
        </is>
      </c>
      <c r="B2141" t="inlineStr">
        <is>
          <t>INTERJATO TELECOM LTDA - ME</t>
        </is>
      </c>
      <c r="C2141" t="n">
        <v>2111000000</v>
      </c>
      <c r="D2141" t="inlineStr">
        <is>
          <t>Other Suppliers</t>
        </is>
      </c>
      <c r="E2141" t="n">
        <v>5014400</v>
      </c>
      <c r="F2141" t="inlineStr">
        <is>
          <t>1434</t>
        </is>
      </c>
      <c r="G2141" t="inlineStr">
        <is>
          <t>RE</t>
        </is>
      </c>
      <c r="H2141" s="12" t="n">
        <v>-1184</v>
      </c>
      <c r="I2141" s="17" t="n">
        <v>46238</v>
      </c>
      <c r="J2141" s="17" t="n">
        <v>46273</v>
      </c>
      <c r="K2141" t="inlineStr">
        <is>
          <t>Fatura - bruto INTERJATO TELECOM LTDA - ME 1434</t>
        </is>
      </c>
    </row>
    <row r="2142">
      <c r="A2142" t="inlineStr">
        <is>
          <t>101764</t>
        </is>
      </c>
      <c r="B2142" t="inlineStr">
        <is>
          <t>INTERJATO TELECOM LTDA - ME</t>
        </is>
      </c>
      <c r="C2142" t="n">
        <v>2111000000</v>
      </c>
      <c r="D2142" t="inlineStr">
        <is>
          <t>Other Suppliers</t>
        </is>
      </c>
      <c r="E2142" t="n">
        <v>5014401</v>
      </c>
      <c r="F2142" t="inlineStr">
        <is>
          <t>1433</t>
        </is>
      </c>
      <c r="G2142" t="inlineStr">
        <is>
          <t>RE</t>
        </is>
      </c>
      <c r="H2142" s="12" t="n">
        <v>-1590</v>
      </c>
      <c r="I2142" s="17" t="n">
        <v>46238</v>
      </c>
      <c r="J2142" s="17" t="n">
        <v>46273</v>
      </c>
      <c r="K2142" t="inlineStr">
        <is>
          <t>Fatura - bruto INTERJATO TELECOM LTDA - ME 1433</t>
        </is>
      </c>
    </row>
    <row r="2143">
      <c r="A2143" t="inlineStr">
        <is>
          <t>100883</t>
        </is>
      </c>
      <c r="B2143" t="inlineStr">
        <is>
          <t>QUELMAR TRANSPORTES LTDA</t>
        </is>
      </c>
      <c r="C2143" t="n">
        <v>2111000000</v>
      </c>
      <c r="D2143" t="inlineStr">
        <is>
          <t>Operational Suppliers (Wind Farms)</t>
        </is>
      </c>
      <c r="E2143" t="n">
        <v>5014402</v>
      </c>
      <c r="F2143" t="inlineStr">
        <is>
          <t>108227-1</t>
        </is>
      </c>
      <c r="G2143" t="inlineStr">
        <is>
          <t>RE</t>
        </is>
      </c>
      <c r="H2143" s="12" t="n">
        <v>-1100</v>
      </c>
      <c r="I2143" s="17" t="n">
        <v>46232</v>
      </c>
      <c r="J2143" s="17" t="n">
        <v>46270</v>
      </c>
      <c r="K2143" t="inlineStr">
        <is>
          <t>Fatura - bruto QUELMAR TRANSPORTES LTDA 108227-1</t>
        </is>
      </c>
    </row>
    <row r="2144">
      <c r="A2144" t="inlineStr">
        <is>
          <t>100883</t>
        </is>
      </c>
      <c r="B2144" t="inlineStr">
        <is>
          <t>QUELMAR TRANSPORTES LTDA</t>
        </is>
      </c>
      <c r="C2144" t="n">
        <v>2111000000</v>
      </c>
      <c r="D2144" t="inlineStr">
        <is>
          <t>Operational Suppliers (Wind Farms)</t>
        </is>
      </c>
      <c r="E2144" t="n">
        <v>5014403</v>
      </c>
      <c r="F2144" t="inlineStr">
        <is>
          <t>108186-1</t>
        </is>
      </c>
      <c r="G2144" t="inlineStr">
        <is>
          <t>RE</t>
        </is>
      </c>
      <c r="H2144" s="12" t="n">
        <v>-6313.75</v>
      </c>
      <c r="I2144" s="17" t="n">
        <v>46231</v>
      </c>
      <c r="J2144" s="17" t="n">
        <v>46270</v>
      </c>
      <c r="K2144" t="inlineStr">
        <is>
          <t>Fatura - bruto QUELMAR TRANSPORTES LTDA 108186-1</t>
        </is>
      </c>
    </row>
    <row r="2145">
      <c r="A2145" t="inlineStr">
        <is>
          <t>100421</t>
        </is>
      </c>
      <c r="B2145" t="inlineStr">
        <is>
          <t>CENTRO DE ESTAGIOS PPM HUMAN RESOUR</t>
        </is>
      </c>
      <c r="C2145" t="n">
        <v>2111000000</v>
      </c>
      <c r="D2145" t="inlineStr">
        <is>
          <t>Other Suppliers</t>
        </is>
      </c>
      <c r="E2145" t="n">
        <v>5014406</v>
      </c>
      <c r="F2145" t="inlineStr">
        <is>
          <t>61117</t>
        </is>
      </c>
      <c r="G2145" t="inlineStr">
        <is>
          <t>RE</t>
        </is>
      </c>
      <c r="H2145" s="12" t="n">
        <v>-789.75</v>
      </c>
      <c r="I2145" s="17" t="n">
        <v>46235</v>
      </c>
      <c r="J2145" s="17" t="n">
        <v>46294</v>
      </c>
      <c r="K2145" t="inlineStr">
        <is>
          <t>Fatura - bruto CENTRO DE ESTAGIOS PPM HUMAN RESOUR</t>
        </is>
      </c>
    </row>
    <row r="2146">
      <c r="A2146" t="inlineStr">
        <is>
          <t>101764</t>
        </is>
      </c>
      <c r="B2146" t="inlineStr">
        <is>
          <t>INTERJATO TELECOM LTDA - ME</t>
        </is>
      </c>
      <c r="C2146" t="n">
        <v>2111000000</v>
      </c>
      <c r="D2146" t="inlineStr">
        <is>
          <t>Other Suppliers</t>
        </is>
      </c>
      <c r="E2146" t="n">
        <v>5014407</v>
      </c>
      <c r="F2146" t="inlineStr">
        <is>
          <t>1432</t>
        </is>
      </c>
      <c r="G2146" t="inlineStr">
        <is>
          <t>RE</t>
        </is>
      </c>
      <c r="H2146" s="12" t="n">
        <v>-1196</v>
      </c>
      <c r="I2146" s="17" t="n">
        <v>46238</v>
      </c>
      <c r="J2146" s="17" t="n">
        <v>46273</v>
      </c>
      <c r="K2146" t="inlineStr">
        <is>
          <t>Fatura - bruto INTERJATO TELECOM LTDA - ME 1432</t>
        </is>
      </c>
    </row>
    <row r="2147">
      <c r="A2147" t="inlineStr">
        <is>
          <t>101764</t>
        </is>
      </c>
      <c r="B2147" t="inlineStr">
        <is>
          <t>INTERJATO TELECOM LTDA - ME</t>
        </is>
      </c>
      <c r="C2147" t="n">
        <v>2111000000</v>
      </c>
      <c r="D2147" t="inlineStr">
        <is>
          <t>Other Suppliers</t>
        </is>
      </c>
      <c r="E2147" t="n">
        <v>5014409</v>
      </c>
      <c r="F2147" t="inlineStr">
        <is>
          <t>1431</t>
        </is>
      </c>
      <c r="G2147" t="inlineStr">
        <is>
          <t>RE</t>
        </is>
      </c>
      <c r="H2147" s="12" t="n">
        <v>-960</v>
      </c>
      <c r="I2147" s="17" t="n">
        <v>46238</v>
      </c>
      <c r="J2147" s="17" t="n">
        <v>46273</v>
      </c>
      <c r="K2147" t="inlineStr">
        <is>
          <t>Fatura - bruto INTERJATO TELECOM LTDA - ME 1431</t>
        </is>
      </c>
    </row>
    <row r="2148">
      <c r="A2148" t="inlineStr">
        <is>
          <t>101764</t>
        </is>
      </c>
      <c r="B2148" t="inlineStr">
        <is>
          <t>INTERJATO TELECOM LTDA - ME</t>
        </is>
      </c>
      <c r="C2148" t="n">
        <v>2111000000</v>
      </c>
      <c r="D2148" t="inlineStr">
        <is>
          <t>Other Suppliers</t>
        </is>
      </c>
      <c r="E2148" t="n">
        <v>5014411</v>
      </c>
      <c r="F2148" t="inlineStr">
        <is>
          <t>1430</t>
        </is>
      </c>
      <c r="G2148" t="inlineStr">
        <is>
          <t>RE</t>
        </is>
      </c>
      <c r="H2148" s="12" t="n">
        <v>-2500</v>
      </c>
      <c r="I2148" s="17" t="n">
        <v>46238</v>
      </c>
      <c r="J2148" s="17" t="n">
        <v>46273</v>
      </c>
      <c r="K2148" t="inlineStr">
        <is>
          <t>Fatura - bruto INTERJATO TELECOM LTDA - ME 1430</t>
        </is>
      </c>
    </row>
    <row r="2149">
      <c r="A2149" t="inlineStr">
        <is>
          <t>101897</t>
        </is>
      </c>
      <c r="B2149" t="inlineStr">
        <is>
          <t>KL LOCACOES E SOLUCOES AMBIENTAIS L KL CONSTRUCOES E SERVICOS IMOBILIAR</t>
        </is>
      </c>
      <c r="C2149" t="n">
        <v>2111000000</v>
      </c>
      <c r="D2149" t="inlineStr">
        <is>
          <t>Other Suppliers</t>
        </is>
      </c>
      <c r="E2149" t="n">
        <v>5014412</v>
      </c>
      <c r="F2149" t="inlineStr">
        <is>
          <t>2034-1</t>
        </is>
      </c>
      <c r="G2149" t="inlineStr">
        <is>
          <t>RE</t>
        </is>
      </c>
      <c r="H2149" s="12" t="n">
        <v>-2000</v>
      </c>
      <c r="I2149" s="17" t="n">
        <v>46238</v>
      </c>
      <c r="J2149" s="17" t="n">
        <v>46270</v>
      </c>
      <c r="K2149" t="inlineStr">
        <is>
          <t>Fatura - bruto KL LOCACOES E SOLUCOES AMBIENTAIS L</t>
        </is>
      </c>
    </row>
    <row r="2150">
      <c r="A2150" t="inlineStr">
        <is>
          <t>101897</t>
        </is>
      </c>
      <c r="B2150" t="inlineStr">
        <is>
          <t>KL LOCACOES E SOLUCOES AMBIENTAIS L KL CONSTRUCOES E SERVICOS IMOBILIAR</t>
        </is>
      </c>
      <c r="C2150" t="n">
        <v>2111000000</v>
      </c>
      <c r="D2150" t="inlineStr">
        <is>
          <t>Other Suppliers</t>
        </is>
      </c>
      <c r="E2150" t="n">
        <v>5014413</v>
      </c>
      <c r="F2150" t="inlineStr">
        <is>
          <t>2035-1</t>
        </is>
      </c>
      <c r="G2150" t="inlineStr">
        <is>
          <t>RE</t>
        </is>
      </c>
      <c r="H2150" s="12" t="n">
        <v>-1500</v>
      </c>
      <c r="I2150" s="17" t="n">
        <v>46238</v>
      </c>
      <c r="J2150" s="17" t="n">
        <v>46270</v>
      </c>
      <c r="K2150" t="inlineStr">
        <is>
          <t>Fatura - bruto KL LOCACOES E SOLUCOES AMBIENTAIS L</t>
        </is>
      </c>
    </row>
    <row r="2151">
      <c r="A2151" t="inlineStr">
        <is>
          <t>101897</t>
        </is>
      </c>
      <c r="B2151" t="inlineStr">
        <is>
          <t>KL LOCACOES E SOLUCOES AMBIENTAIS L KL CONSTRUCOES E SERVICOS IMOBILIAR</t>
        </is>
      </c>
      <c r="C2151" t="n">
        <v>2111000000</v>
      </c>
      <c r="D2151" t="inlineStr">
        <is>
          <t>Other Suppliers</t>
        </is>
      </c>
      <c r="E2151" t="n">
        <v>5014414</v>
      </c>
      <c r="F2151" t="inlineStr">
        <is>
          <t>2036-1</t>
        </is>
      </c>
      <c r="G2151" t="inlineStr">
        <is>
          <t>RE</t>
        </is>
      </c>
      <c r="H2151" s="12" t="n">
        <v>-1500</v>
      </c>
      <c r="I2151" s="17" t="n">
        <v>46238</v>
      </c>
      <c r="J2151" s="17" t="n">
        <v>46270</v>
      </c>
      <c r="K2151" t="inlineStr">
        <is>
          <t>Fatura - bruto KL LOCACOES E SOLUCOES AMBIENTAIS L</t>
        </is>
      </c>
    </row>
    <row r="2152">
      <c r="A2152" t="inlineStr">
        <is>
          <t>101897</t>
        </is>
      </c>
      <c r="B2152" t="inlineStr">
        <is>
          <t>KL LOCACOES E SOLUCOES AMBIENTAIS L KL CONSTRUCOES E SERVICOS IMOBILIAR</t>
        </is>
      </c>
      <c r="C2152" t="n">
        <v>2111000000</v>
      </c>
      <c r="D2152" t="inlineStr">
        <is>
          <t>Other Suppliers</t>
        </is>
      </c>
      <c r="E2152" t="n">
        <v>5014415</v>
      </c>
      <c r="F2152" t="inlineStr">
        <is>
          <t>2037-1</t>
        </is>
      </c>
      <c r="G2152" t="inlineStr">
        <is>
          <t>RE</t>
        </is>
      </c>
      <c r="H2152" s="12" t="n">
        <v>-1500</v>
      </c>
      <c r="I2152" s="17" t="n">
        <v>46238</v>
      </c>
      <c r="J2152" s="17" t="n">
        <v>46270</v>
      </c>
      <c r="K2152" t="inlineStr">
        <is>
          <t>Fatura - bruto KL LOCACOES E SOLUCOES AMBIENTAIS L</t>
        </is>
      </c>
    </row>
    <row r="2153">
      <c r="A2153" t="inlineStr">
        <is>
          <t>101897</t>
        </is>
      </c>
      <c r="B2153" t="inlineStr">
        <is>
          <t>KL LOCACOES E SOLUCOES AMBIENTAIS L KL CONSTRUCOES E SERVICOS IMOBILIAR</t>
        </is>
      </c>
      <c r="C2153" t="n">
        <v>2111000000</v>
      </c>
      <c r="D2153" t="inlineStr">
        <is>
          <t>Other Suppliers</t>
        </is>
      </c>
      <c r="E2153" t="n">
        <v>5014416</v>
      </c>
      <c r="F2153" t="inlineStr">
        <is>
          <t>2039-1</t>
        </is>
      </c>
      <c r="G2153" t="inlineStr">
        <is>
          <t>RE</t>
        </is>
      </c>
      <c r="H2153" s="12" t="n">
        <v>-1500</v>
      </c>
      <c r="I2153" s="17" t="n">
        <v>46238</v>
      </c>
      <c r="J2153" s="17" t="n">
        <v>46270</v>
      </c>
      <c r="K2153" t="inlineStr">
        <is>
          <t>Fatura - bruto KL LOCACOES E SOLUCOES AMBIENTAIS L</t>
        </is>
      </c>
    </row>
    <row r="2154">
      <c r="A2154" t="inlineStr">
        <is>
          <t>101897</t>
        </is>
      </c>
      <c r="B2154" t="inlineStr">
        <is>
          <t>KL LOCACOES E SOLUCOES AMBIENTAIS L KL CONSTRUCOES E SERVICOS IMOBILIAR</t>
        </is>
      </c>
      <c r="C2154" t="n">
        <v>2111000000</v>
      </c>
      <c r="D2154" t="inlineStr">
        <is>
          <t>Other Suppliers</t>
        </is>
      </c>
      <c r="E2154" t="n">
        <v>5014417</v>
      </c>
      <c r="F2154" t="inlineStr">
        <is>
          <t>2038-1</t>
        </is>
      </c>
      <c r="G2154" t="inlineStr">
        <is>
          <t>RE</t>
        </is>
      </c>
      <c r="H2154" s="12" t="n">
        <v>-1500</v>
      </c>
      <c r="I2154" s="17" t="n">
        <v>46238</v>
      </c>
      <c r="J2154" s="17" t="n">
        <v>46270</v>
      </c>
      <c r="K2154" t="inlineStr">
        <is>
          <t>Fatura - bruto KL LOCACOES E SOLUCOES AMBIENTAIS L</t>
        </is>
      </c>
    </row>
    <row r="2155">
      <c r="A2155" t="inlineStr">
        <is>
          <t>101764</t>
        </is>
      </c>
      <c r="B2155" t="inlineStr">
        <is>
          <t>INTERJATO TELECOM LTDA - ME</t>
        </is>
      </c>
      <c r="C2155" t="n">
        <v>2111000000</v>
      </c>
      <c r="D2155" t="inlineStr">
        <is>
          <t>Other Suppliers</t>
        </is>
      </c>
      <c r="E2155" t="n">
        <v>5014421</v>
      </c>
      <c r="F2155" t="inlineStr">
        <is>
          <t>1428</t>
        </is>
      </c>
      <c r="G2155" t="inlineStr">
        <is>
          <t>RE</t>
        </is>
      </c>
      <c r="H2155" s="12" t="n">
        <v>-1184</v>
      </c>
      <c r="I2155" s="17" t="n">
        <v>46238</v>
      </c>
      <c r="J2155" s="17" t="n">
        <v>46273</v>
      </c>
      <c r="K2155" t="inlineStr">
        <is>
          <t>Fatura - bruto INTERJATO TELECOM LTDA - ME 1428</t>
        </is>
      </c>
    </row>
    <row r="2156">
      <c r="A2156" t="inlineStr">
        <is>
          <t>101764</t>
        </is>
      </c>
      <c r="B2156" t="inlineStr">
        <is>
          <t>INTERJATO TELECOM LTDA - ME</t>
        </is>
      </c>
      <c r="C2156" t="n">
        <v>2111000000</v>
      </c>
      <c r="D2156" t="inlineStr">
        <is>
          <t>Other Suppliers</t>
        </is>
      </c>
      <c r="E2156" t="n">
        <v>5014422</v>
      </c>
      <c r="F2156" t="inlineStr">
        <is>
          <t>1429</t>
        </is>
      </c>
      <c r="G2156" t="inlineStr">
        <is>
          <t>RE</t>
        </is>
      </c>
      <c r="H2156" s="12" t="n">
        <v>-934</v>
      </c>
      <c r="I2156" s="17" t="n">
        <v>46238</v>
      </c>
      <c r="J2156" s="17" t="n">
        <v>46273</v>
      </c>
      <c r="K2156" t="inlineStr">
        <is>
          <t>Fatura - bruto INTERJATO TELECOM LTDA - ME 1429</t>
        </is>
      </c>
    </row>
    <row r="2157">
      <c r="A2157" t="inlineStr">
        <is>
          <t>103789</t>
        </is>
      </c>
      <c r="B2157" t="inlineStr">
        <is>
          <t>GSW SUL SOLUCOES DE INFORMATICA LTD</t>
        </is>
      </c>
      <c r="C2157" t="n">
        <v>2111000000</v>
      </c>
      <c r="D2157" t="inlineStr">
        <is>
          <t>Other Suppliers</t>
        </is>
      </c>
      <c r="E2157" t="n">
        <v>5014423</v>
      </c>
      <c r="F2157" t="inlineStr">
        <is>
          <t>22</t>
        </is>
      </c>
      <c r="G2157" t="inlineStr">
        <is>
          <t>RE</t>
        </is>
      </c>
      <c r="H2157" s="12" t="n">
        <v>-9721.950000000001</v>
      </c>
      <c r="I2157" s="17" t="n">
        <v>46238</v>
      </c>
      <c r="J2157" s="17" t="n">
        <v>46273</v>
      </c>
      <c r="K2157" t="inlineStr">
        <is>
          <t>Fatura - bruto GSW SUL SOLUCOES DE INFORMATICA LTD</t>
        </is>
      </c>
    </row>
    <row r="2158">
      <c r="A2158" t="inlineStr">
        <is>
          <t>101703</t>
        </is>
      </c>
      <c r="B2158" t="inlineStr">
        <is>
          <t>ARK TEC GUARDA DE DOCUMENTOS LTDA</t>
        </is>
      </c>
      <c r="C2158" t="n">
        <v>2111000000</v>
      </c>
      <c r="D2158" t="inlineStr">
        <is>
          <t>Other Suppliers</t>
        </is>
      </c>
      <c r="E2158" t="n">
        <v>5014425</v>
      </c>
      <c r="F2158" t="inlineStr">
        <is>
          <t>555351</t>
        </is>
      </c>
      <c r="G2158" t="inlineStr">
        <is>
          <t>RE</t>
        </is>
      </c>
      <c r="H2158" s="12" t="n">
        <v>-1303.64</v>
      </c>
      <c r="I2158" s="17" t="n">
        <v>46235</v>
      </c>
      <c r="J2158" s="17" t="n">
        <v>46276</v>
      </c>
      <c r="K2158" t="inlineStr">
        <is>
          <t>Fatura - bruto ARK TEC GUARDA DE DOCUMENTOS LTDA 5</t>
        </is>
      </c>
    </row>
    <row r="2159">
      <c r="A2159" t="inlineStr">
        <is>
          <t>101703</t>
        </is>
      </c>
      <c r="B2159" t="inlineStr">
        <is>
          <t>ARK TEC GUARDA DE DOCUMENTOS LTDA</t>
        </is>
      </c>
      <c r="C2159" t="n">
        <v>2111000000</v>
      </c>
      <c r="D2159" t="inlineStr">
        <is>
          <t>Other Suppliers</t>
        </is>
      </c>
      <c r="E2159" t="n">
        <v>5014426</v>
      </c>
      <c r="F2159" t="inlineStr">
        <is>
          <t>163219</t>
        </is>
      </c>
      <c r="G2159" t="inlineStr">
        <is>
          <t>RE</t>
        </is>
      </c>
      <c r="H2159" s="12" t="n">
        <v>-393.39</v>
      </c>
      <c r="I2159" s="17" t="n">
        <v>46239</v>
      </c>
      <c r="J2159" s="17" t="n">
        <v>46276</v>
      </c>
      <c r="K2159" t="inlineStr">
        <is>
          <t>Fatura - bruto ARK TEC GUARDA DE DOCUMENTOS LTDA 1</t>
        </is>
      </c>
    </row>
    <row r="2160">
      <c r="A2160" t="inlineStr">
        <is>
          <t>100883</t>
        </is>
      </c>
      <c r="B2160" t="inlineStr">
        <is>
          <t>QUELMAR TRANSPORTES LTDA</t>
        </is>
      </c>
      <c r="C2160" t="n">
        <v>2111000000</v>
      </c>
      <c r="D2160" t="inlineStr">
        <is>
          <t>Operational Suppliers (Wind Farms)</t>
        </is>
      </c>
      <c r="E2160" t="n">
        <v>5014429</v>
      </c>
      <c r="F2160" t="inlineStr">
        <is>
          <t>6295-2</t>
        </is>
      </c>
      <c r="G2160" t="inlineStr">
        <is>
          <t>RE</t>
        </is>
      </c>
      <c r="H2160" s="12" t="n">
        <v>-5500</v>
      </c>
      <c r="I2160" s="17" t="n">
        <v>46226</v>
      </c>
      <c r="J2160" s="17" t="n">
        <v>46270</v>
      </c>
      <c r="K2160" t="inlineStr">
        <is>
          <t>Fatura - bruto QUELMAR TRANSPORTES LTDA 6295-2</t>
        </is>
      </c>
    </row>
    <row r="2161">
      <c r="A2161" t="inlineStr">
        <is>
          <t>100883</t>
        </is>
      </c>
      <c r="B2161" t="inlineStr">
        <is>
          <t>QUELMAR TRANSPORTES LTDA</t>
        </is>
      </c>
      <c r="C2161" t="n">
        <v>2111000000</v>
      </c>
      <c r="D2161" t="inlineStr">
        <is>
          <t>Operational Suppliers (Wind Farms)</t>
        </is>
      </c>
      <c r="E2161" t="n">
        <v>5014430</v>
      </c>
      <c r="F2161" t="inlineStr">
        <is>
          <t>6294-2</t>
        </is>
      </c>
      <c r="G2161" t="inlineStr">
        <is>
          <t>RE</t>
        </is>
      </c>
      <c r="H2161" s="12" t="n">
        <v>-5559</v>
      </c>
      <c r="I2161" s="17" t="n">
        <v>46226</v>
      </c>
      <c r="J2161" s="17" t="n">
        <v>46270</v>
      </c>
      <c r="K2161" t="inlineStr">
        <is>
          <t>Fatura - bruto QUELMAR TRANSPORTES LTDA 6294-2</t>
        </is>
      </c>
    </row>
    <row r="2162">
      <c r="A2162" t="inlineStr">
        <is>
          <t>100883</t>
        </is>
      </c>
      <c r="B2162" t="inlineStr">
        <is>
          <t>QUELMAR TRANSPORTES LTDA</t>
        </is>
      </c>
      <c r="C2162" t="n">
        <v>2111000000</v>
      </c>
      <c r="D2162" t="inlineStr">
        <is>
          <t>Operational Suppliers (Wind Farms)</t>
        </is>
      </c>
      <c r="E2162" t="n">
        <v>5014431</v>
      </c>
      <c r="F2162" t="inlineStr">
        <is>
          <t>6262-2</t>
        </is>
      </c>
      <c r="G2162" t="inlineStr">
        <is>
          <t>RE</t>
        </is>
      </c>
      <c r="H2162" s="12" t="n">
        <v>-3750</v>
      </c>
      <c r="I2162" s="17" t="n">
        <v>46225</v>
      </c>
      <c r="J2162" s="17" t="n">
        <v>46270</v>
      </c>
      <c r="K2162" t="inlineStr">
        <is>
          <t>Fatura - bruto QUELMAR TRANSPORTES LTDA 6262-2</t>
        </is>
      </c>
    </row>
    <row r="2163">
      <c r="A2163" t="inlineStr">
        <is>
          <t>100883</t>
        </is>
      </c>
      <c r="B2163" t="inlineStr">
        <is>
          <t>QUELMAR TRANSPORTES LTDA</t>
        </is>
      </c>
      <c r="C2163" t="n">
        <v>2111000000</v>
      </c>
      <c r="D2163" t="inlineStr">
        <is>
          <t>Operational Suppliers (Wind Farms)</t>
        </is>
      </c>
      <c r="E2163" t="n">
        <v>5014432</v>
      </c>
      <c r="F2163" t="inlineStr">
        <is>
          <t>6282-2</t>
        </is>
      </c>
      <c r="G2163" t="inlineStr">
        <is>
          <t>RE</t>
        </is>
      </c>
      <c r="H2163" s="12" t="n">
        <v>-3960</v>
      </c>
      <c r="I2163" s="17" t="n">
        <v>46226</v>
      </c>
      <c r="J2163" s="17" t="n">
        <v>46270</v>
      </c>
      <c r="K2163" t="inlineStr">
        <is>
          <t>Fatura - bruto QUELMAR TRANSPORTES LTDA 6282-2</t>
        </is>
      </c>
    </row>
    <row r="2164">
      <c r="A2164" t="inlineStr">
        <is>
          <t>100883</t>
        </is>
      </c>
      <c r="B2164" t="inlineStr">
        <is>
          <t>QUELMAR TRANSPORTES LTDA</t>
        </is>
      </c>
      <c r="C2164" t="n">
        <v>2111000000</v>
      </c>
      <c r="D2164" t="inlineStr">
        <is>
          <t>Operational Suppliers (Wind Farms)</t>
        </is>
      </c>
      <c r="E2164" t="n">
        <v>5014433</v>
      </c>
      <c r="F2164" t="inlineStr">
        <is>
          <t>6256-2</t>
        </is>
      </c>
      <c r="G2164" t="inlineStr">
        <is>
          <t>RE</t>
        </is>
      </c>
      <c r="H2164" s="12" t="n">
        <v>-4630</v>
      </c>
      <c r="I2164" s="17" t="n">
        <v>46225</v>
      </c>
      <c r="J2164" s="17" t="n">
        <v>46270</v>
      </c>
      <c r="K2164" t="inlineStr">
        <is>
          <t>Fatura - bruto QUELMAR TRANSPORTES LTDA 6256-2</t>
        </is>
      </c>
    </row>
    <row r="2165">
      <c r="A2165" t="inlineStr">
        <is>
          <t>100883</t>
        </is>
      </c>
      <c r="B2165" t="inlineStr">
        <is>
          <t>QUELMAR TRANSPORTES LTDA</t>
        </is>
      </c>
      <c r="C2165" t="n">
        <v>2111000000</v>
      </c>
      <c r="D2165" t="inlineStr">
        <is>
          <t>Operational Suppliers (Wind Farms)</t>
        </is>
      </c>
      <c r="E2165" t="n">
        <v>5014434</v>
      </c>
      <c r="F2165" t="inlineStr">
        <is>
          <t>6283-2</t>
        </is>
      </c>
      <c r="G2165" t="inlineStr">
        <is>
          <t>RE</t>
        </is>
      </c>
      <c r="H2165" s="12" t="n">
        <v>-4750</v>
      </c>
      <c r="I2165" s="17" t="n">
        <v>46226</v>
      </c>
      <c r="J2165" s="17" t="n">
        <v>46270</v>
      </c>
      <c r="K2165" t="inlineStr">
        <is>
          <t>Fatura - bruto QUELMAR TRANSPORTES LTDA 6283-2</t>
        </is>
      </c>
    </row>
    <row r="2166">
      <c r="A2166" t="inlineStr">
        <is>
          <t>100883</t>
        </is>
      </c>
      <c r="B2166" t="inlineStr">
        <is>
          <t>QUELMAR TRANSPORTES LTDA</t>
        </is>
      </c>
      <c r="C2166" t="n">
        <v>2111000000</v>
      </c>
      <c r="D2166" t="inlineStr">
        <is>
          <t>Operational Suppliers (Wind Farms)</t>
        </is>
      </c>
      <c r="E2166" t="n">
        <v>5014435</v>
      </c>
      <c r="F2166" t="inlineStr">
        <is>
          <t>6272-2</t>
        </is>
      </c>
      <c r="G2166" t="inlineStr">
        <is>
          <t>RE</t>
        </is>
      </c>
      <c r="H2166" s="12" t="n">
        <v>-5975</v>
      </c>
      <c r="I2166" s="17" t="n">
        <v>46226</v>
      </c>
      <c r="J2166" s="17" t="n">
        <v>46270</v>
      </c>
      <c r="K2166" t="inlineStr">
        <is>
          <t>Fatura - bruto QUELMAR TRANSPORTES LTDA 6272-2</t>
        </is>
      </c>
    </row>
    <row r="2167">
      <c r="A2167" t="inlineStr">
        <is>
          <t>100883</t>
        </is>
      </c>
      <c r="B2167" t="inlineStr">
        <is>
          <t>QUELMAR TRANSPORTES LTDA</t>
        </is>
      </c>
      <c r="C2167" t="n">
        <v>2111000000</v>
      </c>
      <c r="D2167" t="inlineStr">
        <is>
          <t>Operational Suppliers (Wind Farms)</t>
        </is>
      </c>
      <c r="E2167" t="n">
        <v>5014436</v>
      </c>
      <c r="F2167" t="inlineStr">
        <is>
          <t>6276-2</t>
        </is>
      </c>
      <c r="G2167" t="inlineStr">
        <is>
          <t>RE</t>
        </is>
      </c>
      <c r="H2167" s="12" t="n">
        <v>-1880</v>
      </c>
      <c r="I2167" s="17" t="n">
        <v>46226</v>
      </c>
      <c r="J2167" s="17" t="n">
        <v>46270</v>
      </c>
      <c r="K2167" t="inlineStr">
        <is>
          <t>Fatura - bruto QUELMAR TRANSPORTES LTDA 6276-2</t>
        </is>
      </c>
    </row>
    <row r="2168">
      <c r="A2168" t="inlineStr">
        <is>
          <t>100883</t>
        </is>
      </c>
      <c r="B2168" t="inlineStr">
        <is>
          <t>QUELMAR TRANSPORTES LTDA</t>
        </is>
      </c>
      <c r="C2168" t="n">
        <v>2111000000</v>
      </c>
      <c r="D2168" t="inlineStr">
        <is>
          <t>Operational Suppliers (Wind Farms)</t>
        </is>
      </c>
      <c r="E2168" t="n">
        <v>5014437</v>
      </c>
      <c r="F2168" t="inlineStr">
        <is>
          <t>6260-2</t>
        </is>
      </c>
      <c r="G2168" t="inlineStr">
        <is>
          <t>RE</t>
        </is>
      </c>
      <c r="H2168" s="12" t="n">
        <v>-4950</v>
      </c>
      <c r="I2168" s="17" t="n">
        <v>46225</v>
      </c>
      <c r="J2168" s="17" t="n">
        <v>46270</v>
      </c>
      <c r="K2168" t="inlineStr">
        <is>
          <t>Fatura - bruto QUELMAR TRANSPORTES LTDA 6260-2</t>
        </is>
      </c>
    </row>
    <row r="2169">
      <c r="A2169" t="inlineStr">
        <is>
          <t>100128</t>
        </is>
      </c>
      <c r="B2169" t="inlineStr">
        <is>
          <t>LENGUAE LANGUAGE SERVICES LTDA</t>
        </is>
      </c>
      <c r="C2169" t="n">
        <v>2111000000</v>
      </c>
      <c r="D2169" t="inlineStr">
        <is>
          <t>Other Suppliers</t>
        </is>
      </c>
      <c r="E2169" t="n">
        <v>5014438</v>
      </c>
      <c r="F2169" t="inlineStr">
        <is>
          <t>5259</t>
        </is>
      </c>
      <c r="G2169" t="inlineStr">
        <is>
          <t>RE</t>
        </is>
      </c>
      <c r="H2169" s="12" t="n">
        <v>-7140</v>
      </c>
      <c r="I2169" s="17" t="n">
        <v>46237</v>
      </c>
      <c r="J2169" s="17" t="n">
        <v>46270</v>
      </c>
      <c r="K2169" t="inlineStr">
        <is>
          <t>Fatura - bruto LENGUAE LANGUAGE SERVICES LTDA 5259</t>
        </is>
      </c>
    </row>
    <row r="2170">
      <c r="A2170" t="inlineStr">
        <is>
          <t>103805</t>
        </is>
      </c>
      <c r="B2170" t="inlineStr">
        <is>
          <t>NUMEN IT SOLUCOES EM TECNOLOGIA LTD</t>
        </is>
      </c>
      <c r="C2170" t="n">
        <v>2111000000</v>
      </c>
      <c r="D2170" t="inlineStr">
        <is>
          <t>Other Suppliers</t>
        </is>
      </c>
      <c r="E2170" t="n">
        <v>5014440</v>
      </c>
      <c r="F2170" t="inlineStr">
        <is>
          <t>18378</t>
        </is>
      </c>
      <c r="G2170" t="inlineStr">
        <is>
          <t>RE</t>
        </is>
      </c>
      <c r="H2170" s="12" t="n">
        <v>-8248.780000000001</v>
      </c>
      <c r="I2170" s="17" t="n">
        <v>46238</v>
      </c>
      <c r="J2170" s="17" t="n">
        <v>46273</v>
      </c>
      <c r="K2170" t="inlineStr">
        <is>
          <t>Fatura - bruto NUMEN IT SOLUCOES EM TECNOLOGIA LTD</t>
        </is>
      </c>
    </row>
    <row r="2171">
      <c r="A2171" t="inlineStr">
        <is>
          <t>104077</t>
        </is>
      </c>
      <c r="B2171" t="inlineStr">
        <is>
          <t>XRS SERVICOS AUXILIARES DE PORTARIA 31996152000110</t>
        </is>
      </c>
      <c r="C2171" t="n">
        <v>2111000000</v>
      </c>
      <c r="D2171" t="inlineStr">
        <is>
          <t>Other Suppliers</t>
        </is>
      </c>
      <c r="E2171" t="n">
        <v>5014441</v>
      </c>
      <c r="F2171" t="inlineStr">
        <is>
          <t>53993</t>
        </is>
      </c>
      <c r="G2171" t="inlineStr">
        <is>
          <t>RE</t>
        </is>
      </c>
      <c r="H2171" s="12" t="n">
        <v>-7023.6</v>
      </c>
      <c r="I2171" s="17" t="n">
        <v>46237</v>
      </c>
      <c r="J2171" s="17" t="n">
        <v>46266</v>
      </c>
      <c r="K2171" t="inlineStr">
        <is>
          <t>*23790368059000000026635001224209915560000664382</t>
        </is>
      </c>
    </row>
    <row r="2172">
      <c r="A2172" t="inlineStr">
        <is>
          <t>102113</t>
        </is>
      </c>
      <c r="B2172" t="inlineStr">
        <is>
          <t>3Z MOVIMENTACAO INTELIGENTE LTDA 94772233000237</t>
        </is>
      </c>
      <c r="C2172" t="n">
        <v>2111000000</v>
      </c>
      <c r="D2172" t="inlineStr">
        <is>
          <t>Operational Suppliers (Wind Farms)</t>
        </is>
      </c>
      <c r="E2172" t="n">
        <v>5014444</v>
      </c>
      <c r="F2172" t="inlineStr">
        <is>
          <t>248</t>
        </is>
      </c>
      <c r="G2172" t="inlineStr">
        <is>
          <t>RE</t>
        </is>
      </c>
      <c r="H2172" s="12" t="n">
        <v>-1102340.46</v>
      </c>
      <c r="I2172" s="17" t="n">
        <v>46213</v>
      </c>
      <c r="J2172" s="17" t="n">
        <v>46303</v>
      </c>
      <c r="K2172" t="inlineStr">
        <is>
          <t>Fatura - bruto 3Z MOVIMENTACAO INTELIGENTE LTDA 94</t>
        </is>
      </c>
    </row>
    <row r="2173">
      <c r="A2173" t="inlineStr">
        <is>
          <t>107696</t>
        </is>
      </c>
      <c r="B2173" t="inlineStr">
        <is>
          <t>SIMM MONTAGENS EOLICAS LTDA</t>
        </is>
      </c>
      <c r="C2173" t="n">
        <v>2111000000</v>
      </c>
      <c r="D2173" t="inlineStr">
        <is>
          <t>Operational Suppliers (Wind Farms)</t>
        </is>
      </c>
      <c r="E2173" t="n">
        <v>5014445</v>
      </c>
      <c r="F2173" t="inlineStr">
        <is>
          <t>80</t>
        </is>
      </c>
      <c r="G2173" t="inlineStr">
        <is>
          <t>RE</t>
        </is>
      </c>
      <c r="H2173" s="12" t="n">
        <v>-382520.08</v>
      </c>
      <c r="I2173" s="17" t="n">
        <v>46238</v>
      </c>
      <c r="J2173" s="17" t="n">
        <v>46268</v>
      </c>
      <c r="K2173" t="inlineStr">
        <is>
          <t>PGTO BLOQ ATE REG DE SEGURO</t>
        </is>
      </c>
    </row>
    <row r="2174">
      <c r="A2174" t="inlineStr">
        <is>
          <t>101499</t>
        </is>
      </c>
      <c r="B2174" t="inlineStr">
        <is>
          <t>NEW ENERGY LOGISTIC EIRELI</t>
        </is>
      </c>
      <c r="C2174" t="n">
        <v>2111000000</v>
      </c>
      <c r="D2174" t="inlineStr">
        <is>
          <t>Operational Suppliers (Wind Farms)</t>
        </is>
      </c>
      <c r="E2174" t="n">
        <v>5014446</v>
      </c>
      <c r="F2174" t="inlineStr">
        <is>
          <t>445</t>
        </is>
      </c>
      <c r="G2174" t="inlineStr">
        <is>
          <t>RE</t>
        </is>
      </c>
      <c r="H2174" s="12" t="n">
        <v>-750</v>
      </c>
      <c r="I2174" s="17" t="n">
        <v>46239</v>
      </c>
      <c r="J2174" s="17" t="n">
        <v>46270</v>
      </c>
      <c r="K2174" t="inlineStr">
        <is>
          <t>Fatura - bruto NEW ENERGY LOGISTIC EIRELI 445</t>
        </is>
      </c>
    </row>
    <row r="2175">
      <c r="A2175" t="inlineStr">
        <is>
          <t>100906</t>
        </is>
      </c>
      <c r="B2175" t="inlineStr">
        <is>
          <t>R &amp; G TELECOM LTDA</t>
        </is>
      </c>
      <c r="C2175" t="n">
        <v>2111000000</v>
      </c>
      <c r="D2175" t="inlineStr">
        <is>
          <t>Other Suppliers</t>
        </is>
      </c>
      <c r="E2175" t="n">
        <v>5014448</v>
      </c>
      <c r="F2175" t="inlineStr">
        <is>
          <t>5336</t>
        </is>
      </c>
      <c r="G2175" t="inlineStr">
        <is>
          <t>RE</t>
        </is>
      </c>
      <c r="H2175" s="12" t="n">
        <v>-525</v>
      </c>
      <c r="I2175" s="17" t="n">
        <v>46238</v>
      </c>
      <c r="J2175" s="17" t="n">
        <v>46270</v>
      </c>
      <c r="K2175" t="inlineStr">
        <is>
          <t>Fatura - bruto R &amp; G TELECOM LTDA 5336</t>
        </is>
      </c>
    </row>
    <row r="2176">
      <c r="A2176" t="inlineStr">
        <is>
          <t>103931</t>
        </is>
      </c>
      <c r="B2176" t="inlineStr">
        <is>
          <t>WPK SERVICOS E MONITORAMENTO LTDA 43980265000106</t>
        </is>
      </c>
      <c r="C2176" t="n">
        <v>2111000000</v>
      </c>
      <c r="D2176" t="inlineStr">
        <is>
          <t>Other Suppliers</t>
        </is>
      </c>
      <c r="E2176" t="n">
        <v>5014449</v>
      </c>
      <c r="F2176" t="inlineStr">
        <is>
          <t>1237</t>
        </is>
      </c>
      <c r="G2176" t="inlineStr">
        <is>
          <t>RE</t>
        </is>
      </c>
      <c r="H2176" s="12" t="n">
        <v>-21912</v>
      </c>
      <c r="I2176" s="17" t="n">
        <v>46238</v>
      </c>
      <c r="J2176" s="17" t="n">
        <v>46268</v>
      </c>
      <c r="K2176" t="inlineStr">
        <is>
          <t>Fatura - bruto WPK SERVICOS E MONITORAMENTO LTDA 4</t>
        </is>
      </c>
    </row>
    <row r="2177">
      <c r="A2177" t="inlineStr">
        <is>
          <t>103996</t>
        </is>
      </c>
      <c r="B2177" t="inlineStr">
        <is>
          <t>SS SECURITY SERVICE E ADMINISTRATIV 52856037000110</t>
        </is>
      </c>
      <c r="C2177" t="n">
        <v>2111000000</v>
      </c>
      <c r="D2177" t="inlineStr">
        <is>
          <t>Other Suppliers</t>
        </is>
      </c>
      <c r="E2177" t="n">
        <v>5014451</v>
      </c>
      <c r="F2177" t="inlineStr">
        <is>
          <t>17</t>
        </is>
      </c>
      <c r="G2177" t="inlineStr">
        <is>
          <t>RE</t>
        </is>
      </c>
      <c r="H2177" s="12" t="n">
        <v>-13027.35</v>
      </c>
      <c r="I2177" s="17" t="n">
        <v>46237</v>
      </c>
      <c r="J2177" s="17" t="n">
        <v>46270</v>
      </c>
      <c r="K2177" t="inlineStr">
        <is>
          <t>Fatura - bruto SS SECURITY SERVICE E ADMINISTRATIV</t>
        </is>
      </c>
    </row>
    <row r="2178">
      <c r="A2178" t="inlineStr">
        <is>
          <t>102068</t>
        </is>
      </c>
      <c r="B2178" t="inlineStr">
        <is>
          <t>ASSESSORIA TECNICA ATENE LIMITADA</t>
        </is>
      </c>
      <c r="C2178" t="n">
        <v>2111000000</v>
      </c>
      <c r="D2178" t="inlineStr">
        <is>
          <t>Other Suppliers</t>
        </is>
      </c>
      <c r="E2178" t="n">
        <v>5014453</v>
      </c>
      <c r="F2178" t="inlineStr">
        <is>
          <t>120520</t>
        </is>
      </c>
      <c r="G2178" t="inlineStr">
        <is>
          <t>RE</t>
        </is>
      </c>
      <c r="H2178" s="12" t="n">
        <v>-1991.03</v>
      </c>
      <c r="I2178" s="17" t="n">
        <v>46238</v>
      </c>
      <c r="J2178" s="17" t="n">
        <v>46268</v>
      </c>
      <c r="K2178" t="inlineStr">
        <is>
          <t>Fatura - bruto ASSESSORIA TECNICA ATENE LIMITADA 1</t>
        </is>
      </c>
    </row>
    <row r="2179">
      <c r="A2179" t="inlineStr">
        <is>
          <t>100883</t>
        </is>
      </c>
      <c r="B2179" t="inlineStr">
        <is>
          <t>QUELMAR TRANSPORTES LTDA</t>
        </is>
      </c>
      <c r="C2179" t="n">
        <v>2111000000</v>
      </c>
      <c r="D2179" t="inlineStr">
        <is>
          <t>Operational Suppliers (Wind Farms)</t>
        </is>
      </c>
      <c r="E2179" t="n">
        <v>5014454</v>
      </c>
      <c r="F2179" t="inlineStr">
        <is>
          <t>107975-1</t>
        </is>
      </c>
      <c r="G2179" t="inlineStr">
        <is>
          <t>RE</t>
        </is>
      </c>
      <c r="H2179" s="12" t="n">
        <v>-5340</v>
      </c>
      <c r="I2179" s="17" t="n">
        <v>46219</v>
      </c>
      <c r="J2179" s="17" t="n">
        <v>46270</v>
      </c>
      <c r="K2179" t="inlineStr">
        <is>
          <t>Fatura - bruto QUELMAR TRANSPORTES LTDA 107975-1</t>
        </is>
      </c>
    </row>
    <row r="2180">
      <c r="A2180" t="inlineStr">
        <is>
          <t>103966</t>
        </is>
      </c>
      <c r="B2180" t="inlineStr">
        <is>
          <t>HINE DO BRASIL IND E COM HIDR E PN 12482538000754</t>
        </is>
      </c>
      <c r="C2180" t="n">
        <v>2111000000</v>
      </c>
      <c r="D2180" t="inlineStr">
        <is>
          <t>Operational Suppliers (Wind Farms)</t>
        </is>
      </c>
      <c r="E2180" t="n">
        <v>5014455</v>
      </c>
      <c r="F2180" t="inlineStr">
        <is>
          <t>000004242-1</t>
        </is>
      </c>
      <c r="G2180" t="inlineStr">
        <is>
          <t>RE</t>
        </is>
      </c>
      <c r="H2180" s="12" t="n">
        <v>-112204.6</v>
      </c>
      <c r="I2180" s="17" t="n">
        <v>46224</v>
      </c>
      <c r="J2180" s="17" t="n">
        <v>46270</v>
      </c>
      <c r="K2180" t="inlineStr">
        <is>
          <t>Fatura - bruto HINE DO BRASIL IND E COM HIDR E PN</t>
        </is>
      </c>
    </row>
    <row r="2181">
      <c r="A2181" t="inlineStr">
        <is>
          <t>101253</t>
        </is>
      </c>
      <c r="B2181" t="inlineStr">
        <is>
          <t>ALTUS SISTEMAS DE AUTOMACAO SA</t>
        </is>
      </c>
      <c r="C2181" t="n">
        <v>2111000000</v>
      </c>
      <c r="D2181" t="inlineStr">
        <is>
          <t>Other Suppliers</t>
        </is>
      </c>
      <c r="E2181" t="n">
        <v>5014459</v>
      </c>
      <c r="F2181" t="inlineStr">
        <is>
          <t>000076176-1</t>
        </is>
      </c>
      <c r="G2181" t="inlineStr">
        <is>
          <t>RE</t>
        </is>
      </c>
      <c r="H2181" s="12" t="n">
        <v>-31979.72</v>
      </c>
      <c r="I2181" s="17" t="n">
        <v>46231</v>
      </c>
      <c r="J2181" s="17" t="n">
        <v>46270</v>
      </c>
      <c r="K2181" t="inlineStr">
        <is>
          <t>Fatura - bruto ALTUS SISTEMAS DE AUTOMACAO SA 0000</t>
        </is>
      </c>
    </row>
    <row r="2182">
      <c r="A2182" t="inlineStr">
        <is>
          <t>103966</t>
        </is>
      </c>
      <c r="B2182" t="inlineStr">
        <is>
          <t>HINE DO BRASIL IND E COM HIDR E PN 12482538000754</t>
        </is>
      </c>
      <c r="C2182" t="n">
        <v>2111000000</v>
      </c>
      <c r="D2182" t="inlineStr">
        <is>
          <t>Operational Suppliers (Wind Farms)</t>
        </is>
      </c>
      <c r="E2182" t="n">
        <v>5014462</v>
      </c>
      <c r="F2182" t="inlineStr">
        <is>
          <t>000004244-1</t>
        </is>
      </c>
      <c r="G2182" t="inlineStr">
        <is>
          <t>RE</t>
        </is>
      </c>
      <c r="H2182" s="12" t="n">
        <v>-7646</v>
      </c>
      <c r="I2182" s="17" t="n">
        <v>46224</v>
      </c>
      <c r="J2182" s="17" t="n">
        <v>46270</v>
      </c>
      <c r="K2182" t="inlineStr">
        <is>
          <t>Fatura - bruto HINE DO BRASIL IND E COM HIDR E PN</t>
        </is>
      </c>
    </row>
    <row r="2183">
      <c r="A2183" t="inlineStr">
        <is>
          <t>100621</t>
        </is>
      </c>
      <c r="B2183" t="inlineStr">
        <is>
          <t>CALTER ENGENHARIA LTDA</t>
        </is>
      </c>
      <c r="C2183" t="n">
        <v>2111000000</v>
      </c>
      <c r="D2183" t="inlineStr">
        <is>
          <t>Other Suppliers</t>
        </is>
      </c>
      <c r="E2183" t="n">
        <v>5014464</v>
      </c>
      <c r="F2183" t="inlineStr">
        <is>
          <t>40</t>
        </is>
      </c>
      <c r="G2183" t="inlineStr">
        <is>
          <t>RE</t>
        </is>
      </c>
      <c r="H2183" s="12" t="n">
        <v>-22002.26</v>
      </c>
      <c r="I2183" s="17" t="n">
        <v>46233</v>
      </c>
      <c r="J2183" s="17" t="n">
        <v>46300</v>
      </c>
      <c r="K2183" t="inlineStr">
        <is>
          <t>Fatura - bruto CALTER ENGENHARIA LTDA 40</t>
        </is>
      </c>
    </row>
    <row r="2184">
      <c r="A2184" t="inlineStr">
        <is>
          <t>101775</t>
        </is>
      </c>
      <c r="B2184" t="inlineStr">
        <is>
          <t>SOUSATEC.NET LTDA  ME</t>
        </is>
      </c>
      <c r="C2184" t="n">
        <v>2111000000</v>
      </c>
      <c r="D2184" t="inlineStr">
        <is>
          <t>Other Suppliers</t>
        </is>
      </c>
      <c r="E2184" t="n">
        <v>5014469</v>
      </c>
      <c r="F2184" t="inlineStr">
        <is>
          <t>5510</t>
        </is>
      </c>
      <c r="G2184" t="inlineStr">
        <is>
          <t>RE</t>
        </is>
      </c>
      <c r="H2184" s="12" t="n">
        <v>-1600</v>
      </c>
      <c r="I2184" s="17" t="n">
        <v>46239</v>
      </c>
      <c r="J2184" s="17" t="n">
        <v>46269</v>
      </c>
      <c r="K2184" t="inlineStr">
        <is>
          <t>Fatura - bruto SOUSATEC.NET LTDA  ME 5510</t>
        </is>
      </c>
    </row>
    <row r="2185">
      <c r="A2185" t="inlineStr">
        <is>
          <t>101463</t>
        </is>
      </c>
      <c r="B2185" t="inlineStr">
        <is>
          <t>ZURICH MINAS BRASIL SEGUROS S A</t>
        </is>
      </c>
      <c r="C2185" t="n">
        <v>2111000000</v>
      </c>
      <c r="D2185" t="inlineStr">
        <is>
          <t>Insurance</t>
        </is>
      </c>
      <c r="E2185" t="n">
        <v>5014471</v>
      </c>
      <c r="F2185" t="inlineStr">
        <is>
          <t>0335/26</t>
        </is>
      </c>
      <c r="G2185" t="inlineStr">
        <is>
          <t>RE</t>
        </is>
      </c>
      <c r="H2185" s="12" t="n">
        <v>-730.0700000000001</v>
      </c>
      <c r="I2185" s="17" t="n">
        <v>46240</v>
      </c>
      <c r="J2185" s="17" t="n">
        <v>46270</v>
      </c>
      <c r="K2185" t="inlineStr">
        <is>
          <t>Invoice Payment. SP: 20978</t>
        </is>
      </c>
    </row>
    <row r="2186">
      <c r="A2186" t="inlineStr">
        <is>
          <t>101775</t>
        </is>
      </c>
      <c r="B2186" t="inlineStr">
        <is>
          <t>SOUSATEC.NET LTDA  ME</t>
        </is>
      </c>
      <c r="C2186" t="n">
        <v>2111000000</v>
      </c>
      <c r="D2186" t="inlineStr">
        <is>
          <t>Other Suppliers</t>
        </is>
      </c>
      <c r="E2186" t="n">
        <v>5014477</v>
      </c>
      <c r="F2186" t="inlineStr">
        <is>
          <t>251</t>
        </is>
      </c>
      <c r="G2186" t="inlineStr">
        <is>
          <t>RE</t>
        </is>
      </c>
      <c r="H2186" s="12" t="n">
        <v>-890</v>
      </c>
      <c r="I2186" s="17" t="n">
        <v>46239</v>
      </c>
      <c r="J2186" s="17" t="n">
        <v>46269</v>
      </c>
      <c r="K2186" t="inlineStr">
        <is>
          <t>Fatura - bruto SOUSATEC.NET LTDA  ME 251</t>
        </is>
      </c>
    </row>
    <row r="2187">
      <c r="A2187" t="inlineStr">
        <is>
          <t>101463</t>
        </is>
      </c>
      <c r="B2187" t="inlineStr">
        <is>
          <t>ZURICH MINAS BRASIL SEGUROS S A</t>
        </is>
      </c>
      <c r="C2187" t="n">
        <v>2111000000</v>
      </c>
      <c r="D2187" t="inlineStr">
        <is>
          <t>Insurance</t>
        </is>
      </c>
      <c r="E2187" t="n">
        <v>5014478</v>
      </c>
      <c r="F2187" t="inlineStr">
        <is>
          <t>0230/26</t>
        </is>
      </c>
      <c r="G2187" t="inlineStr">
        <is>
          <t>RE</t>
        </is>
      </c>
      <c r="H2187" s="12" t="n">
        <v>-1.54</v>
      </c>
      <c r="I2187" s="17" t="n">
        <v>46240</v>
      </c>
      <c r="J2187" s="17" t="n">
        <v>46270</v>
      </c>
      <c r="K2187" t="inlineStr">
        <is>
          <t>Invoice Payment. SP: 20979</t>
        </is>
      </c>
    </row>
    <row r="2188">
      <c r="A2188" t="inlineStr">
        <is>
          <t>101463</t>
        </is>
      </c>
      <c r="B2188" t="inlineStr">
        <is>
          <t>ZURICH MINAS BRASIL SEGUROS S A</t>
        </is>
      </c>
      <c r="C2188" t="n">
        <v>2111000000</v>
      </c>
      <c r="D2188" t="inlineStr">
        <is>
          <t>Insurance</t>
        </is>
      </c>
      <c r="E2188" t="n">
        <v>5014481</v>
      </c>
      <c r="F2188" t="inlineStr">
        <is>
          <t>0454/26</t>
        </is>
      </c>
      <c r="G2188" t="inlineStr">
        <is>
          <t>RE</t>
        </is>
      </c>
      <c r="H2188" s="12" t="n">
        <v>-2.69</v>
      </c>
      <c r="I2188" s="17" t="n">
        <v>46240</v>
      </c>
      <c r="J2188" s="17" t="n">
        <v>46270</v>
      </c>
      <c r="K2188" t="inlineStr">
        <is>
          <t>Invoice Payment. SP: 20998</t>
        </is>
      </c>
    </row>
    <row r="2189">
      <c r="A2189" t="inlineStr">
        <is>
          <t>101226</t>
        </is>
      </c>
      <c r="B2189" t="inlineStr">
        <is>
          <t>AL WIND SOLUCOES LTDA</t>
        </is>
      </c>
      <c r="C2189" t="n">
        <v>2111000000</v>
      </c>
      <c r="D2189" t="inlineStr">
        <is>
          <t>Other Suppliers</t>
        </is>
      </c>
      <c r="E2189" t="n">
        <v>5014482</v>
      </c>
      <c r="F2189" t="inlineStr">
        <is>
          <t>39</t>
        </is>
      </c>
      <c r="G2189" t="inlineStr">
        <is>
          <t>RE</t>
        </is>
      </c>
      <c r="H2189" s="12" t="n">
        <v>-22155.38</v>
      </c>
      <c r="I2189" s="17" t="n">
        <v>46238</v>
      </c>
      <c r="J2189" s="17" t="n">
        <v>46268</v>
      </c>
      <c r="K2189" t="inlineStr">
        <is>
          <t>Fatura - bruto AL WIND SOLUCOES LTDA 39</t>
        </is>
      </c>
    </row>
    <row r="2190">
      <c r="A2190" t="inlineStr">
        <is>
          <t>100454</t>
        </is>
      </c>
      <c r="B2190" t="inlineStr">
        <is>
          <t>GEOMATICS GESTAO DE FROTAS LTDA</t>
        </is>
      </c>
      <c r="C2190" t="n">
        <v>2111000000</v>
      </c>
      <c r="D2190" t="inlineStr">
        <is>
          <t>Other Suppliers</t>
        </is>
      </c>
      <c r="E2190" t="n">
        <v>5014483</v>
      </c>
      <c r="F2190" t="inlineStr">
        <is>
          <t>2796</t>
        </is>
      </c>
      <c r="G2190" t="inlineStr">
        <is>
          <t>RE</t>
        </is>
      </c>
      <c r="H2190" s="12" t="n">
        <v>-1980.16</v>
      </c>
      <c r="I2190" s="17" t="n">
        <v>46239</v>
      </c>
      <c r="J2190" s="17" t="n">
        <v>46276</v>
      </c>
      <c r="K2190" t="inlineStr">
        <is>
          <t>Fatura - bruto GEOMATICS GESTAO DE FROTAS LTDA 279</t>
        </is>
      </c>
    </row>
    <row r="2191">
      <c r="A2191" t="inlineStr">
        <is>
          <t>100454</t>
        </is>
      </c>
      <c r="B2191" t="inlineStr">
        <is>
          <t>GEOMATICS GESTAO DE FROTAS LTDA</t>
        </is>
      </c>
      <c r="C2191" t="n">
        <v>2111000000</v>
      </c>
      <c r="D2191" t="inlineStr">
        <is>
          <t>Other Suppliers</t>
        </is>
      </c>
      <c r="E2191" t="n">
        <v>5014485</v>
      </c>
      <c r="F2191" t="inlineStr">
        <is>
          <t>5900</t>
        </is>
      </c>
      <c r="G2191" t="inlineStr">
        <is>
          <t>RE</t>
        </is>
      </c>
      <c r="H2191" s="12" t="n">
        <v>-1157.45</v>
      </c>
      <c r="I2191" s="17" t="n">
        <v>46239</v>
      </c>
      <c r="J2191" s="17" t="n">
        <v>46276</v>
      </c>
      <c r="K2191" t="inlineStr">
        <is>
          <t>Fatura - bruto GEOMATICS GESTAO DE FROTAS LTDA 590</t>
        </is>
      </c>
    </row>
    <row r="2192">
      <c r="A2192" t="inlineStr">
        <is>
          <t>100379</t>
        </is>
      </c>
      <c r="B2192" t="inlineStr">
        <is>
          <t>RAK LOG TRANSPORTES E LOGISTICA EIR</t>
        </is>
      </c>
      <c r="C2192" t="n">
        <v>2111000000</v>
      </c>
      <c r="D2192" t="inlineStr">
        <is>
          <t>Operational Suppliers (Wind Farms)</t>
        </is>
      </c>
      <c r="E2192" t="n">
        <v>5014488</v>
      </c>
      <c r="F2192" t="inlineStr">
        <is>
          <t>332980-1</t>
        </is>
      </c>
      <c r="G2192" t="inlineStr">
        <is>
          <t>RE</t>
        </is>
      </c>
      <c r="H2192" s="12" t="n">
        <v>-13030.05</v>
      </c>
      <c r="I2192" s="17" t="n">
        <v>46185</v>
      </c>
      <c r="J2192" s="17" t="n">
        <v>46270</v>
      </c>
      <c r="K2192" t="inlineStr">
        <is>
          <t>Fatura - bruto RAK LOG TRANSPORTES E LOGISTICA EIR</t>
        </is>
      </c>
    </row>
    <row r="2193">
      <c r="A2193" t="inlineStr">
        <is>
          <t>100379</t>
        </is>
      </c>
      <c r="B2193" t="inlineStr">
        <is>
          <t>RAK LOG TRANSPORTES E LOGISTICA EIR</t>
        </is>
      </c>
      <c r="C2193" t="n">
        <v>2111000000</v>
      </c>
      <c r="D2193" t="inlineStr">
        <is>
          <t>Operational Suppliers (Wind Farms)</t>
        </is>
      </c>
      <c r="E2193" t="n">
        <v>5014489</v>
      </c>
      <c r="F2193" t="inlineStr">
        <is>
          <t>332982-1</t>
        </is>
      </c>
      <c r="G2193" t="inlineStr">
        <is>
          <t>RE</t>
        </is>
      </c>
      <c r="H2193" s="12" t="n">
        <v>-13207.84</v>
      </c>
      <c r="I2193" s="17" t="n">
        <v>46185</v>
      </c>
      <c r="J2193" s="17" t="n">
        <v>46270</v>
      </c>
      <c r="K2193" t="inlineStr">
        <is>
          <t>Fatura - bruto RAK LOG TRANSPORTES E LOGISTICA EIR</t>
        </is>
      </c>
    </row>
    <row r="2194">
      <c r="A2194" t="inlineStr">
        <is>
          <t>100379</t>
        </is>
      </c>
      <c r="B2194" t="inlineStr">
        <is>
          <t>RAK LOG TRANSPORTES E LOGISTICA EIR</t>
        </is>
      </c>
      <c r="C2194" t="n">
        <v>2111000000</v>
      </c>
      <c r="D2194" t="inlineStr">
        <is>
          <t>Operational Suppliers (Wind Farms)</t>
        </is>
      </c>
      <c r="E2194" t="n">
        <v>5014490</v>
      </c>
      <c r="F2194" t="inlineStr">
        <is>
          <t>332983-1</t>
        </is>
      </c>
      <c r="G2194" t="inlineStr">
        <is>
          <t>RE</t>
        </is>
      </c>
      <c r="H2194" s="12" t="n">
        <v>-13101.16</v>
      </c>
      <c r="I2194" s="17" t="n">
        <v>46185</v>
      </c>
      <c r="J2194" s="17" t="n">
        <v>46270</v>
      </c>
      <c r="K2194" t="inlineStr">
        <is>
          <t>Fatura - bruto RAK LOG TRANSPORTES E LOGISTICA EIR</t>
        </is>
      </c>
    </row>
    <row r="2195">
      <c r="A2195" t="inlineStr">
        <is>
          <t>100379</t>
        </is>
      </c>
      <c r="B2195" t="inlineStr">
        <is>
          <t>RAK LOG TRANSPORTES E LOGISTICA EIR</t>
        </is>
      </c>
      <c r="C2195" t="n">
        <v>2111000000</v>
      </c>
      <c r="D2195" t="inlineStr">
        <is>
          <t>Operational Suppliers (Wind Farms)</t>
        </is>
      </c>
      <c r="E2195" t="n">
        <v>5014491</v>
      </c>
      <c r="F2195" t="inlineStr">
        <is>
          <t>332984-1</t>
        </is>
      </c>
      <c r="G2195" t="inlineStr">
        <is>
          <t>RE</t>
        </is>
      </c>
      <c r="H2195" s="12" t="n">
        <v>-13030.05</v>
      </c>
      <c r="I2195" s="17" t="n">
        <v>46185</v>
      </c>
      <c r="J2195" s="17" t="n">
        <v>46270</v>
      </c>
      <c r="K2195" t="inlineStr">
        <is>
          <t>Fatura - bruto RAK LOG TRANSPORTES E LOGISTICA EIR</t>
        </is>
      </c>
    </row>
    <row r="2196">
      <c r="A2196" t="inlineStr">
        <is>
          <t>100379</t>
        </is>
      </c>
      <c r="B2196" t="inlineStr">
        <is>
          <t>RAK LOG TRANSPORTES E LOGISTICA EIR</t>
        </is>
      </c>
      <c r="C2196" t="n">
        <v>2111000000</v>
      </c>
      <c r="D2196" t="inlineStr">
        <is>
          <t>Operational Suppliers (Wind Farms)</t>
        </is>
      </c>
      <c r="E2196" t="n">
        <v>5014492</v>
      </c>
      <c r="F2196" t="inlineStr">
        <is>
          <t>332399-1</t>
        </is>
      </c>
      <c r="G2196" t="inlineStr">
        <is>
          <t>RE</t>
        </is>
      </c>
      <c r="H2196" s="12" t="n">
        <v>-13296.66</v>
      </c>
      <c r="I2196" s="17" t="n">
        <v>46181</v>
      </c>
      <c r="J2196" s="17" t="n">
        <v>46270</v>
      </c>
      <c r="K2196" t="inlineStr">
        <is>
          <t>Fatura - bruto RAK LOG TRANSPORTES E LOGISTICA EIR</t>
        </is>
      </c>
    </row>
    <row r="2197">
      <c r="A2197" t="inlineStr">
        <is>
          <t>100379</t>
        </is>
      </c>
      <c r="B2197" t="inlineStr">
        <is>
          <t>RAK LOG TRANSPORTES E LOGISTICA EIR</t>
        </is>
      </c>
      <c r="C2197" t="n">
        <v>2111000000</v>
      </c>
      <c r="D2197" t="inlineStr">
        <is>
          <t>Operational Suppliers (Wind Farms)</t>
        </is>
      </c>
      <c r="E2197" t="n">
        <v>5014493</v>
      </c>
      <c r="F2197" t="inlineStr">
        <is>
          <t>336583-1</t>
        </is>
      </c>
      <c r="G2197" t="inlineStr">
        <is>
          <t>RE</t>
        </is>
      </c>
      <c r="H2197" s="12" t="n">
        <v>-13413.31</v>
      </c>
      <c r="I2197" s="17" t="n">
        <v>46223</v>
      </c>
      <c r="J2197" s="17" t="n">
        <v>46300</v>
      </c>
      <c r="K2197" t="inlineStr">
        <is>
          <t>Fatura - bruto RAK LOG TRANSPORTES E LOGISTICA EIR</t>
        </is>
      </c>
    </row>
    <row r="2198">
      <c r="A2198" t="inlineStr">
        <is>
          <t>100379</t>
        </is>
      </c>
      <c r="B2198" t="inlineStr">
        <is>
          <t>RAK LOG TRANSPORTES E LOGISTICA EIR</t>
        </is>
      </c>
      <c r="C2198" t="n">
        <v>2111000000</v>
      </c>
      <c r="D2198" t="inlineStr">
        <is>
          <t>Operational Suppliers (Wind Farms)</t>
        </is>
      </c>
      <c r="E2198" t="n">
        <v>5014494</v>
      </c>
      <c r="F2198" t="inlineStr">
        <is>
          <t>332432-1</t>
        </is>
      </c>
      <c r="G2198" t="inlineStr">
        <is>
          <t>RE</t>
        </is>
      </c>
      <c r="H2198" s="12" t="n">
        <v>-13557.07</v>
      </c>
      <c r="I2198" s="17" t="n">
        <v>46181</v>
      </c>
      <c r="J2198" s="17" t="n">
        <v>46270</v>
      </c>
      <c r="K2198" t="inlineStr">
        <is>
          <t>Fatura - bruto RAK LOG TRANSPORTES E LOGISTICA EIR</t>
        </is>
      </c>
    </row>
    <row r="2199">
      <c r="A2199" t="inlineStr">
        <is>
          <t>100379</t>
        </is>
      </c>
      <c r="B2199" t="inlineStr">
        <is>
          <t>RAK LOG TRANSPORTES E LOGISTICA EIR</t>
        </is>
      </c>
      <c r="C2199" t="n">
        <v>2111000000</v>
      </c>
      <c r="D2199" t="inlineStr">
        <is>
          <t>Operational Suppliers (Wind Farms)</t>
        </is>
      </c>
      <c r="E2199" t="n">
        <v>5014495</v>
      </c>
      <c r="F2199" t="inlineStr">
        <is>
          <t>336580-1</t>
        </is>
      </c>
      <c r="G2199" t="inlineStr">
        <is>
          <t>RE</t>
        </is>
      </c>
      <c r="H2199" s="12" t="n">
        <v>-12958.03</v>
      </c>
      <c r="I2199" s="17" t="n">
        <v>46223</v>
      </c>
      <c r="J2199" s="17" t="n">
        <v>46300</v>
      </c>
      <c r="K2199" t="inlineStr">
        <is>
          <t>Fatura - bruto RAK LOG TRANSPORTES E LOGISTICA EIR</t>
        </is>
      </c>
    </row>
    <row r="2200">
      <c r="A2200" t="inlineStr">
        <is>
          <t>100379</t>
        </is>
      </c>
      <c r="B2200" t="inlineStr">
        <is>
          <t>RAK LOG TRANSPORTES E LOGISTICA EIR</t>
        </is>
      </c>
      <c r="C2200" t="n">
        <v>2111000000</v>
      </c>
      <c r="D2200" t="inlineStr">
        <is>
          <t>Operational Suppliers (Wind Farms)</t>
        </is>
      </c>
      <c r="E2200" t="n">
        <v>5014496</v>
      </c>
      <c r="F2200" t="inlineStr">
        <is>
          <t>336579-1</t>
        </is>
      </c>
      <c r="G2200" t="inlineStr">
        <is>
          <t>RE</t>
        </is>
      </c>
      <c r="H2200" s="12" t="n">
        <v>-13027.62</v>
      </c>
      <c r="I2200" s="17" t="n">
        <v>46223</v>
      </c>
      <c r="J2200" s="17" t="n">
        <v>46300</v>
      </c>
      <c r="K2200" t="inlineStr">
        <is>
          <t>Fatura - bruto RAK LOG TRANSPORTES E LOGISTICA EIR</t>
        </is>
      </c>
    </row>
    <row r="2201">
      <c r="A2201" t="inlineStr">
        <is>
          <t>100379</t>
        </is>
      </c>
      <c r="B2201" t="inlineStr">
        <is>
          <t>RAK LOG TRANSPORTES E LOGISTICA EIR</t>
        </is>
      </c>
      <c r="C2201" t="n">
        <v>2111000000</v>
      </c>
      <c r="D2201" t="inlineStr">
        <is>
          <t>Operational Suppliers (Wind Farms)</t>
        </is>
      </c>
      <c r="E2201" t="n">
        <v>5014497</v>
      </c>
      <c r="F2201" t="inlineStr">
        <is>
          <t>336575-1</t>
        </is>
      </c>
      <c r="G2201" t="inlineStr">
        <is>
          <t>RE</t>
        </is>
      </c>
      <c r="H2201" s="12" t="n">
        <v>-13027.62</v>
      </c>
      <c r="I2201" s="17" t="n">
        <v>46223</v>
      </c>
      <c r="J2201" s="17" t="n">
        <v>46300</v>
      </c>
      <c r="K2201" t="inlineStr">
        <is>
          <t>Fatura - bruto RAK LOG TRANSPORTES E LOGISTICA EIR</t>
        </is>
      </c>
    </row>
    <row r="2202">
      <c r="A2202" t="inlineStr">
        <is>
          <t>100379</t>
        </is>
      </c>
      <c r="B2202" t="inlineStr">
        <is>
          <t>RAK LOG TRANSPORTES E LOGISTICA EIR</t>
        </is>
      </c>
      <c r="C2202" t="n">
        <v>2111000000</v>
      </c>
      <c r="D2202" t="inlineStr">
        <is>
          <t>Operational Suppliers (Wind Farms)</t>
        </is>
      </c>
      <c r="E2202" t="n">
        <v>5014498</v>
      </c>
      <c r="F2202" t="inlineStr">
        <is>
          <t>336550-1</t>
        </is>
      </c>
      <c r="G2202" t="inlineStr">
        <is>
          <t>RE</t>
        </is>
      </c>
      <c r="H2202" s="12" t="n">
        <v>-13086.02</v>
      </c>
      <c r="I2202" s="17" t="n">
        <v>46223</v>
      </c>
      <c r="J2202" s="17" t="n">
        <v>46300</v>
      </c>
      <c r="K2202" t="inlineStr">
        <is>
          <t>Fatura - bruto RAK LOG TRANSPORTES E LOGISTICA EIR</t>
        </is>
      </c>
    </row>
    <row r="2203">
      <c r="A2203" t="inlineStr">
        <is>
          <t>100379</t>
        </is>
      </c>
      <c r="B2203" t="inlineStr">
        <is>
          <t>RAK LOG TRANSPORTES E LOGISTICA EIR</t>
        </is>
      </c>
      <c r="C2203" t="n">
        <v>2111000000</v>
      </c>
      <c r="D2203" t="inlineStr">
        <is>
          <t>Operational Suppliers (Wind Farms)</t>
        </is>
      </c>
      <c r="E2203" t="n">
        <v>5014499</v>
      </c>
      <c r="F2203" t="inlineStr">
        <is>
          <t>336537-1</t>
        </is>
      </c>
      <c r="G2203" t="inlineStr">
        <is>
          <t>RE</t>
        </is>
      </c>
      <c r="H2203" s="12" t="n">
        <v>-13027.62</v>
      </c>
      <c r="I2203" s="17" t="n">
        <v>46223</v>
      </c>
      <c r="J2203" s="17" t="n">
        <v>46300</v>
      </c>
      <c r="K2203" t="inlineStr">
        <is>
          <t>Fatura - bruto RAK LOG TRANSPORTES E LOGISTICA EIR</t>
        </is>
      </c>
    </row>
    <row r="2204">
      <c r="A2204" t="inlineStr">
        <is>
          <t>100379</t>
        </is>
      </c>
      <c r="B2204" t="inlineStr">
        <is>
          <t>RAK LOG TRANSPORTES E LOGISTICA EIR</t>
        </is>
      </c>
      <c r="C2204" t="n">
        <v>2111000000</v>
      </c>
      <c r="D2204" t="inlineStr">
        <is>
          <t>Operational Suppliers (Wind Farms)</t>
        </is>
      </c>
      <c r="E2204" t="n">
        <v>5014500</v>
      </c>
      <c r="F2204" t="inlineStr">
        <is>
          <t>336771-1</t>
        </is>
      </c>
      <c r="G2204" t="inlineStr">
        <is>
          <t>RE</t>
        </is>
      </c>
      <c r="H2204" s="12" t="n">
        <v>-13836.97</v>
      </c>
      <c r="I2204" s="17" t="n">
        <v>46225</v>
      </c>
      <c r="J2204" s="17" t="n">
        <v>46300</v>
      </c>
      <c r="K2204" t="inlineStr">
        <is>
          <t>Fatura - bruto RAK LOG TRANSPORTES E LOGISTICA EIR</t>
        </is>
      </c>
    </row>
    <row r="2205">
      <c r="A2205" t="inlineStr">
        <is>
          <t>100379</t>
        </is>
      </c>
      <c r="B2205" t="inlineStr">
        <is>
          <t>RAK LOG TRANSPORTES E LOGISTICA EIR</t>
        </is>
      </c>
      <c r="C2205" t="n">
        <v>2111000000</v>
      </c>
      <c r="D2205" t="inlineStr">
        <is>
          <t>Operational Suppliers (Wind Farms)</t>
        </is>
      </c>
      <c r="E2205" t="n">
        <v>5014501</v>
      </c>
      <c r="F2205" t="inlineStr">
        <is>
          <t>336548-1</t>
        </is>
      </c>
      <c r="G2205" t="inlineStr">
        <is>
          <t>RE</t>
        </is>
      </c>
      <c r="H2205" s="12" t="n">
        <v>-13027.62</v>
      </c>
      <c r="I2205" s="17" t="n">
        <v>46223</v>
      </c>
      <c r="J2205" s="17" t="n">
        <v>46300</v>
      </c>
      <c r="K2205" t="inlineStr">
        <is>
          <t>Fatura - bruto RAK LOG TRANSPORTES E LOGISTICA EIR</t>
        </is>
      </c>
    </row>
    <row r="2206">
      <c r="A2206" t="inlineStr">
        <is>
          <t>101211</t>
        </is>
      </c>
      <c r="B2206" t="inlineStr">
        <is>
          <t>SHEKINAH SERVICOS DE USINAGEM E CAL</t>
        </is>
      </c>
      <c r="C2206" t="n">
        <v>2111000000</v>
      </c>
      <c r="D2206" t="inlineStr">
        <is>
          <t>Other Suppliers</t>
        </is>
      </c>
      <c r="E2206" t="n">
        <v>5014502</v>
      </c>
      <c r="F2206" t="inlineStr">
        <is>
          <t>246</t>
        </is>
      </c>
      <c r="G2206" t="inlineStr">
        <is>
          <t>RE</t>
        </is>
      </c>
      <c r="H2206" s="12" t="n">
        <v>-5703.99</v>
      </c>
      <c r="I2206" s="17" t="n">
        <v>46237</v>
      </c>
      <c r="J2206" s="17" t="n">
        <v>46270</v>
      </c>
      <c r="K2206" t="inlineStr">
        <is>
          <t>Fatura - bruto SHEKINAH SERVICOS DE USINAGEM E CAL</t>
        </is>
      </c>
    </row>
    <row r="2207">
      <c r="A2207" t="inlineStr">
        <is>
          <t>100553</t>
        </is>
      </c>
      <c r="B2207" t="inlineStr">
        <is>
          <t>LYCEG SEGURANCA PATRIMONIAL EIRELI</t>
        </is>
      </c>
      <c r="C2207" t="n">
        <v>2111000000</v>
      </c>
      <c r="D2207" t="inlineStr">
        <is>
          <t>Other Suppliers</t>
        </is>
      </c>
      <c r="E2207" t="n">
        <v>5014503</v>
      </c>
      <c r="F2207" t="inlineStr">
        <is>
          <t>20262158</t>
        </is>
      </c>
      <c r="G2207" t="inlineStr">
        <is>
          <t>RE</t>
        </is>
      </c>
      <c r="H2207" s="12" t="n">
        <v>-17200</v>
      </c>
      <c r="I2207" s="17" t="n">
        <v>46230</v>
      </c>
      <c r="J2207" s="17" t="n">
        <v>46270</v>
      </c>
      <c r="K2207" t="inlineStr">
        <is>
          <t>Fatura - bruto LYCEG SEGURANCA PATRIMONIAL EIRELI</t>
        </is>
      </c>
    </row>
    <row r="2208">
      <c r="A2208" t="inlineStr">
        <is>
          <t>101775</t>
        </is>
      </c>
      <c r="B2208" t="inlineStr">
        <is>
          <t>SOUSATEC.NET LTDA  ME</t>
        </is>
      </c>
      <c r="C2208" t="n">
        <v>2111000000</v>
      </c>
      <c r="D2208" t="inlineStr">
        <is>
          <t>Other Suppliers</t>
        </is>
      </c>
      <c r="E2208" t="n">
        <v>5014509</v>
      </c>
      <c r="F2208" t="inlineStr">
        <is>
          <t>5511</t>
        </is>
      </c>
      <c r="G2208" t="inlineStr">
        <is>
          <t>RE</t>
        </is>
      </c>
      <c r="H2208" s="12" t="n">
        <v>-1300</v>
      </c>
      <c r="I2208" s="17" t="n">
        <v>46239</v>
      </c>
      <c r="J2208" s="17" t="n">
        <v>46269</v>
      </c>
      <c r="K2208" t="inlineStr">
        <is>
          <t>Fatura - bruto SOUSATEC.NET LTDA  ME 5511</t>
        </is>
      </c>
    </row>
    <row r="2209">
      <c r="A2209" t="inlineStr">
        <is>
          <t>101775</t>
        </is>
      </c>
      <c r="B2209" t="inlineStr">
        <is>
          <t>SOUSATEC.NET LTDA  ME</t>
        </is>
      </c>
      <c r="C2209" t="n">
        <v>2111000000</v>
      </c>
      <c r="D2209" t="inlineStr">
        <is>
          <t>Other Suppliers</t>
        </is>
      </c>
      <c r="E2209" t="n">
        <v>5014515</v>
      </c>
      <c r="F2209" t="inlineStr">
        <is>
          <t>5515</t>
        </is>
      </c>
      <c r="G2209" t="inlineStr">
        <is>
          <t>RE</t>
        </is>
      </c>
      <c r="H2209" s="12" t="n">
        <v>-1710</v>
      </c>
      <c r="I2209" s="17" t="n">
        <v>46239</v>
      </c>
      <c r="J2209" s="17" t="n">
        <v>46269</v>
      </c>
      <c r="K2209" t="inlineStr">
        <is>
          <t>Fatura - bruto SOUSATEC.NET LTDA  ME 5515</t>
        </is>
      </c>
    </row>
    <row r="2210">
      <c r="A2210" t="inlineStr">
        <is>
          <t>101508</t>
        </is>
      </c>
      <c r="B2210" t="inlineStr">
        <is>
          <t>RANDSTAD BRASIL RECURSOS HUMANOS LT</t>
        </is>
      </c>
      <c r="C2210" t="n">
        <v>2111000000</v>
      </c>
      <c r="D2210" t="inlineStr">
        <is>
          <t>Other Suppliers</t>
        </is>
      </c>
      <c r="E2210" t="n">
        <v>5014516</v>
      </c>
      <c r="F2210" t="inlineStr">
        <is>
          <t>255380</t>
        </is>
      </c>
      <c r="G2210" t="inlineStr">
        <is>
          <t>RE</t>
        </is>
      </c>
      <c r="H2210" s="12" t="n">
        <v>-20210.36</v>
      </c>
      <c r="I2210" s="17" t="n">
        <v>46239</v>
      </c>
      <c r="J2210" s="17" t="n">
        <v>46269</v>
      </c>
      <c r="K2210" t="inlineStr">
        <is>
          <t>Fatura - bruto RANDSTAD BRASIL RECURSOS HUMANOS LT</t>
        </is>
      </c>
    </row>
    <row r="2211">
      <c r="A2211" t="inlineStr">
        <is>
          <t>101508</t>
        </is>
      </c>
      <c r="B2211" t="inlineStr">
        <is>
          <t>RANDSTAD BRASIL RECURSOS HUMANOS LT</t>
        </is>
      </c>
      <c r="C2211" t="n">
        <v>2111000000</v>
      </c>
      <c r="D2211" t="inlineStr">
        <is>
          <t>Other Suppliers</t>
        </is>
      </c>
      <c r="E2211" t="n">
        <v>5014517</v>
      </c>
      <c r="F2211" t="inlineStr">
        <is>
          <t>255373</t>
        </is>
      </c>
      <c r="G2211" t="inlineStr">
        <is>
          <t>RE</t>
        </is>
      </c>
      <c r="H2211" s="12" t="n">
        <v>-15684.83</v>
      </c>
      <c r="I2211" s="17" t="n">
        <v>46239</v>
      </c>
      <c r="J2211" s="17" t="n">
        <v>46269</v>
      </c>
      <c r="K2211" t="inlineStr">
        <is>
          <t>Fatura - bruto RANDSTAD BRASIL RECURSOS HUMANOS LT</t>
        </is>
      </c>
    </row>
    <row r="2212">
      <c r="A2212" t="inlineStr">
        <is>
          <t>100359</t>
        </is>
      </c>
      <c r="B2212" t="inlineStr">
        <is>
          <t>INOVAR LOCACOES MOSSORO LTDA</t>
        </is>
      </c>
      <c r="C2212" t="n">
        <v>2111000000</v>
      </c>
      <c r="D2212" t="inlineStr">
        <is>
          <t>Other Suppliers</t>
        </is>
      </c>
      <c r="E2212" t="n">
        <v>5014518</v>
      </c>
      <c r="F2212" t="inlineStr">
        <is>
          <t>3069</t>
        </is>
      </c>
      <c r="G2212" t="inlineStr">
        <is>
          <t>RE</t>
        </is>
      </c>
      <c r="H2212" s="12" t="n">
        <v>-950</v>
      </c>
      <c r="I2212" s="17" t="n">
        <v>46239</v>
      </c>
      <c r="J2212" s="17" t="n">
        <v>46270</v>
      </c>
      <c r="K2212" t="inlineStr">
        <is>
          <t>Fatura - bruto INOVAR LOCACOES MOSSORO LTDA 3069</t>
        </is>
      </c>
    </row>
    <row r="2213">
      <c r="A2213" t="inlineStr">
        <is>
          <t>100359</t>
        </is>
      </c>
      <c r="B2213" t="inlineStr">
        <is>
          <t>INOVAR LOCACOES MOSSORO LTDA</t>
        </is>
      </c>
      <c r="C2213" t="n">
        <v>2111000000</v>
      </c>
      <c r="D2213" t="inlineStr">
        <is>
          <t>Other Suppliers</t>
        </is>
      </c>
      <c r="E2213" t="n">
        <v>5014519</v>
      </c>
      <c r="F2213" t="inlineStr">
        <is>
          <t>3070</t>
        </is>
      </c>
      <c r="G2213" t="inlineStr">
        <is>
          <t>RE</t>
        </is>
      </c>
      <c r="H2213" s="12" t="n">
        <v>-1600</v>
      </c>
      <c r="I2213" s="17" t="n">
        <v>46239</v>
      </c>
      <c r="J2213" s="17" t="n">
        <v>46270</v>
      </c>
      <c r="K2213" t="inlineStr">
        <is>
          <t>Fatura - bruto INOVAR LOCACOES MOSSORO LTDA 3070</t>
        </is>
      </c>
    </row>
    <row r="2214">
      <c r="A2214" t="inlineStr">
        <is>
          <t>101714</t>
        </is>
      </c>
      <c r="B2214" t="inlineStr">
        <is>
          <t>VCI DO BRASIL IND E COMERC DE COMP</t>
        </is>
      </c>
      <c r="C2214" t="n">
        <v>2111000000</v>
      </c>
      <c r="D2214" t="inlineStr">
        <is>
          <t>Operational Suppliers (Wind Farms)</t>
        </is>
      </c>
      <c r="E2214" t="n">
        <v>5014520</v>
      </c>
      <c r="F2214" t="inlineStr">
        <is>
          <t>468</t>
        </is>
      </c>
      <c r="G2214" t="inlineStr">
        <is>
          <t>RE</t>
        </is>
      </c>
      <c r="H2214" s="12" t="n">
        <v>-110030.47</v>
      </c>
      <c r="I2214" s="17" t="n">
        <v>46238</v>
      </c>
      <c r="J2214" s="17" t="n">
        <v>46270</v>
      </c>
      <c r="K2214" t="inlineStr">
        <is>
          <t>Fatura - bruto VCI DO BRASIL IND E COMERC DE COMP</t>
        </is>
      </c>
    </row>
    <row r="2215">
      <c r="A2215" t="inlineStr">
        <is>
          <t>102452</t>
        </is>
      </c>
      <c r="B2215" t="inlineStr">
        <is>
          <t>ANTONIO FERNANDES VIEIRA</t>
        </is>
      </c>
      <c r="C2215" t="n">
        <v>2111000000</v>
      </c>
      <c r="D2215" t="inlineStr">
        <is>
          <t>Other Suppliers</t>
        </is>
      </c>
      <c r="E2215" t="n">
        <v>5014521</v>
      </c>
      <c r="F2215" t="inlineStr">
        <is>
          <t>2026-08</t>
        </is>
      </c>
      <c r="G2215" t="inlineStr">
        <is>
          <t>RE</t>
        </is>
      </c>
      <c r="H2215" s="12" t="n">
        <v>-12500</v>
      </c>
      <c r="I2215" s="17" t="n">
        <v>46239</v>
      </c>
      <c r="J2215" s="17" t="n">
        <v>46270</v>
      </c>
      <c r="K2215" t="inlineStr">
        <is>
          <t>Fatura - bruto ANTONIO FERNANDES VIEIRA 2026-08</t>
        </is>
      </c>
    </row>
    <row r="2216">
      <c r="A2216" t="inlineStr">
        <is>
          <t>101463</t>
        </is>
      </c>
      <c r="B2216" t="inlineStr">
        <is>
          <t>ZURICH MINAS BRASIL SEGUROS S A</t>
        </is>
      </c>
      <c r="C2216" t="n">
        <v>2111000000</v>
      </c>
      <c r="D2216" t="inlineStr">
        <is>
          <t>Insurance</t>
        </is>
      </c>
      <c r="E2216" t="n">
        <v>5014523</v>
      </c>
      <c r="F2216" t="inlineStr">
        <is>
          <t>0223/26</t>
        </is>
      </c>
      <c r="G2216" t="inlineStr">
        <is>
          <t>RE</t>
        </is>
      </c>
      <c r="H2216" s="12" t="n">
        <v>-300.85</v>
      </c>
      <c r="I2216" s="17" t="n">
        <v>46240</v>
      </c>
      <c r="J2216" s="17" t="n">
        <v>46270</v>
      </c>
      <c r="K2216" t="inlineStr">
        <is>
          <t>Invoice Payment. SP: 21058</t>
        </is>
      </c>
    </row>
    <row r="2217">
      <c r="A2217" t="inlineStr">
        <is>
          <t>101463</t>
        </is>
      </c>
      <c r="B2217" t="inlineStr">
        <is>
          <t>ZURICH MINAS BRASIL SEGUROS S A</t>
        </is>
      </c>
      <c r="C2217" t="n">
        <v>2111000000</v>
      </c>
      <c r="D2217" t="inlineStr">
        <is>
          <t>Insurance</t>
        </is>
      </c>
      <c r="E2217" t="n">
        <v>5014525</v>
      </c>
      <c r="F2217" t="inlineStr">
        <is>
          <t>0474/26</t>
        </is>
      </c>
      <c r="G2217" t="inlineStr">
        <is>
          <t>RE</t>
        </is>
      </c>
      <c r="H2217" s="12" t="n">
        <v>-197.72</v>
      </c>
      <c r="I2217" s="17" t="n">
        <v>46240</v>
      </c>
      <c r="J2217" s="17" t="n">
        <v>46270</v>
      </c>
      <c r="K2217" t="inlineStr">
        <is>
          <t>Invoice Payment. SP: 21060</t>
        </is>
      </c>
    </row>
    <row r="2218">
      <c r="A2218" t="inlineStr">
        <is>
          <t>101463</t>
        </is>
      </c>
      <c r="B2218" t="inlineStr">
        <is>
          <t>ZURICH MINAS BRASIL SEGUROS S A</t>
        </is>
      </c>
      <c r="C2218" t="n">
        <v>2111000000</v>
      </c>
      <c r="D2218" t="inlineStr">
        <is>
          <t>Insurance</t>
        </is>
      </c>
      <c r="E2218" t="n">
        <v>5014527</v>
      </c>
      <c r="F2218" t="inlineStr">
        <is>
          <t>0462/26</t>
        </is>
      </c>
      <c r="G2218" t="inlineStr">
        <is>
          <t>RE</t>
        </is>
      </c>
      <c r="H2218" s="12" t="n">
        <v>-179.24</v>
      </c>
      <c r="I2218" s="17" t="n">
        <v>46240</v>
      </c>
      <c r="J2218" s="17" t="n">
        <v>46270</v>
      </c>
      <c r="K2218" t="inlineStr">
        <is>
          <t>Invoice Payment. SP: 21062</t>
        </is>
      </c>
    </row>
    <row r="2219">
      <c r="A2219" t="inlineStr">
        <is>
          <t>102290</t>
        </is>
      </c>
      <c r="B2219" t="inlineStr">
        <is>
          <t>GILDO MARQUES RIBEIRO</t>
        </is>
      </c>
      <c r="C2219" t="n">
        <v>2111000000</v>
      </c>
      <c r="D2219" t="inlineStr">
        <is>
          <t>Other Suppliers</t>
        </is>
      </c>
      <c r="E2219" t="n">
        <v>5014528</v>
      </c>
      <c r="F2219" t="inlineStr">
        <is>
          <t>2026-08</t>
        </is>
      </c>
      <c r="G2219" t="inlineStr">
        <is>
          <t>RE</t>
        </is>
      </c>
      <c r="H2219" s="12" t="n">
        <v>-12343.7</v>
      </c>
      <c r="I2219" s="17" t="n">
        <v>46239</v>
      </c>
      <c r="J2219" s="17" t="n">
        <v>46270</v>
      </c>
      <c r="K2219" t="inlineStr">
        <is>
          <t>Fatura - bruto GILDO MARQUES RIBEIRO 2026-08</t>
        </is>
      </c>
    </row>
    <row r="2220">
      <c r="A2220" t="inlineStr">
        <is>
          <t>100490</t>
        </is>
      </c>
      <c r="B2220" t="inlineStr">
        <is>
          <t>LAGOA EMPREENDIMENTOS E PARTICIPACO</t>
        </is>
      </c>
      <c r="C2220" t="n">
        <v>2111000000</v>
      </c>
      <c r="D2220" t="inlineStr">
        <is>
          <t>Other Suppliers</t>
        </is>
      </c>
      <c r="E2220" t="n">
        <v>5014529</v>
      </c>
      <c r="F2220" t="inlineStr">
        <is>
          <t>2026-08</t>
        </is>
      </c>
      <c r="G2220" t="inlineStr">
        <is>
          <t>RE</t>
        </is>
      </c>
      <c r="H2220" s="12" t="n">
        <v>-29787.03</v>
      </c>
      <c r="I2220" s="17" t="n">
        <v>46239</v>
      </c>
      <c r="J2220" s="17" t="n">
        <v>46270</v>
      </c>
      <c r="K2220" t="inlineStr">
        <is>
          <t>Fatura - bruto LAGOA EMPREENDIMENTOS E PARTICIPACO</t>
        </is>
      </c>
    </row>
    <row r="2221">
      <c r="A2221" t="inlineStr">
        <is>
          <t>102287</t>
        </is>
      </c>
      <c r="B2221" t="inlineStr">
        <is>
          <t>MAURICIO FREDERICO SIMOES</t>
        </is>
      </c>
      <c r="C2221" t="n">
        <v>2111000000</v>
      </c>
      <c r="D2221" t="inlineStr">
        <is>
          <t>Operational Suppliers (Wind Farms)</t>
        </is>
      </c>
      <c r="E2221" t="n">
        <v>5014530</v>
      </c>
      <c r="F2221" t="inlineStr">
        <is>
          <t>2026-08</t>
        </is>
      </c>
      <c r="G2221" t="inlineStr">
        <is>
          <t>RE</t>
        </is>
      </c>
      <c r="H2221" s="12" t="n">
        <v>-3113</v>
      </c>
      <c r="I2221" s="17" t="n">
        <v>46239</v>
      </c>
      <c r="J2221" s="17" t="n">
        <v>46270</v>
      </c>
      <c r="K2221" t="inlineStr">
        <is>
          <t>Fatura - bruto MAURICIO FREDERICO SIMOES 2026-08</t>
        </is>
      </c>
    </row>
    <row r="2222">
      <c r="A2222" t="inlineStr">
        <is>
          <t>101202</t>
        </is>
      </c>
      <c r="B2222" t="inlineStr">
        <is>
          <t>FUNDACAO EZUTE</t>
        </is>
      </c>
      <c r="C2222" t="n">
        <v>2111000000</v>
      </c>
      <c r="D2222" t="inlineStr">
        <is>
          <t>Other Suppliers</t>
        </is>
      </c>
      <c r="E2222" t="n">
        <v>5014531</v>
      </c>
      <c r="F2222" t="inlineStr">
        <is>
          <t>2026-08</t>
        </is>
      </c>
      <c r="G2222" t="inlineStr">
        <is>
          <t>RE</t>
        </is>
      </c>
      <c r="H2222" s="12" t="n">
        <v>-41603.91</v>
      </c>
      <c r="I2222" s="17" t="n">
        <v>46239</v>
      </c>
      <c r="J2222" s="17" t="n">
        <v>46270</v>
      </c>
      <c r="K2222" t="inlineStr">
        <is>
          <t>Fatura - bruto FUNDACAO EZUTE 2026-08</t>
        </is>
      </c>
    </row>
    <row r="2223">
      <c r="A2223" t="inlineStr">
        <is>
          <t>101463</t>
        </is>
      </c>
      <c r="B2223" t="inlineStr">
        <is>
          <t>ZURICH MINAS BRASIL SEGUROS S A</t>
        </is>
      </c>
      <c r="C2223" t="n">
        <v>2111000000</v>
      </c>
      <c r="D2223" t="inlineStr">
        <is>
          <t>Insurance</t>
        </is>
      </c>
      <c r="E2223" t="n">
        <v>5014533</v>
      </c>
      <c r="F2223" t="inlineStr">
        <is>
          <t>0455/26</t>
        </is>
      </c>
      <c r="G2223" t="inlineStr">
        <is>
          <t>RE</t>
        </is>
      </c>
      <c r="H2223" s="12" t="n">
        <v>-20.88</v>
      </c>
      <c r="I2223" s="17" t="n">
        <v>46240</v>
      </c>
      <c r="J2223" s="17" t="n">
        <v>46270</v>
      </c>
      <c r="K2223" t="inlineStr">
        <is>
          <t>Invoice Payment. SP: 21078</t>
        </is>
      </c>
    </row>
    <row r="2224">
      <c r="A2224" t="inlineStr">
        <is>
          <t>100359</t>
        </is>
      </c>
      <c r="B2224" t="inlineStr">
        <is>
          <t>INOVAR LOCACOES MOSSORO LTDA</t>
        </is>
      </c>
      <c r="C2224" t="n">
        <v>2111000000</v>
      </c>
      <c r="D2224" t="inlineStr">
        <is>
          <t>Other Suppliers</t>
        </is>
      </c>
      <c r="E2224" t="n">
        <v>5014537</v>
      </c>
      <c r="F2224" t="inlineStr">
        <is>
          <t>3071</t>
        </is>
      </c>
      <c r="G2224" t="inlineStr">
        <is>
          <t>RE</t>
        </is>
      </c>
      <c r="H2224" s="12" t="n">
        <v>-600</v>
      </c>
      <c r="I2224" s="17" t="n">
        <v>46239</v>
      </c>
      <c r="J2224" s="17" t="n">
        <v>46270</v>
      </c>
      <c r="K2224" t="inlineStr">
        <is>
          <t>Fatura - bruto INOVAR LOCACOES MOSSORO LTDA 3071</t>
        </is>
      </c>
    </row>
    <row r="2225">
      <c r="A2225" t="inlineStr">
        <is>
          <t>101463</t>
        </is>
      </c>
      <c r="B2225" t="inlineStr">
        <is>
          <t>ZURICH MINAS BRASIL SEGUROS S A</t>
        </is>
      </c>
      <c r="C2225" t="n">
        <v>2111000000</v>
      </c>
      <c r="D2225" t="inlineStr">
        <is>
          <t>Insurance</t>
        </is>
      </c>
      <c r="E2225" t="n">
        <v>5014538</v>
      </c>
      <c r="F2225" t="inlineStr">
        <is>
          <t>0463/26</t>
        </is>
      </c>
      <c r="G2225" t="inlineStr">
        <is>
          <t>RE</t>
        </is>
      </c>
      <c r="H2225" s="12" t="n">
        <v>-293.83</v>
      </c>
      <c r="I2225" s="17" t="n">
        <v>46240</v>
      </c>
      <c r="J2225" s="17" t="n">
        <v>46270</v>
      </c>
      <c r="K2225" t="inlineStr">
        <is>
          <t>Invoice Payment. SP: 21080</t>
        </is>
      </c>
    </row>
    <row r="2226">
      <c r="A2226" t="inlineStr">
        <is>
          <t>101718</t>
        </is>
      </c>
      <c r="B2226" t="inlineStr">
        <is>
          <t>ITS TELECOMUNICACOES LTDA</t>
        </is>
      </c>
      <c r="C2226" t="n">
        <v>2111000000</v>
      </c>
      <c r="D2226" t="inlineStr">
        <is>
          <t>Other Suppliers</t>
        </is>
      </c>
      <c r="E2226" t="n">
        <v>5014560</v>
      </c>
      <c r="F2226" t="inlineStr">
        <is>
          <t>2930686</t>
        </is>
      </c>
      <c r="G2226" t="inlineStr">
        <is>
          <t>RE</t>
        </is>
      </c>
      <c r="H2226" s="12" t="n">
        <v>-2790</v>
      </c>
      <c r="I2226" s="17" t="n">
        <v>46240</v>
      </c>
      <c r="J2226" s="17" t="n">
        <v>46270</v>
      </c>
      <c r="K2226" t="inlineStr">
        <is>
          <t>*00190000090371666200600209073170115600000279000</t>
        </is>
      </c>
    </row>
    <row r="2227">
      <c r="A2227" t="inlineStr">
        <is>
          <t>100561</t>
        </is>
      </c>
      <c r="B2227" t="inlineStr">
        <is>
          <t>CONECTA TREINE LTDA</t>
        </is>
      </c>
      <c r="C2227" t="n">
        <v>2111000000</v>
      </c>
      <c r="D2227" t="inlineStr">
        <is>
          <t>Other Suppliers</t>
        </is>
      </c>
      <c r="E2227" t="n">
        <v>5014568</v>
      </c>
      <c r="F2227" t="inlineStr">
        <is>
          <t>5595</t>
        </is>
      </c>
      <c r="G2227" t="inlineStr">
        <is>
          <t>RE</t>
        </is>
      </c>
      <c r="H2227" s="12" t="n">
        <v>-5811.5</v>
      </c>
      <c r="I2227" s="17" t="n">
        <v>46240</v>
      </c>
      <c r="J2227" s="17" t="n">
        <v>46270</v>
      </c>
      <c r="K2227" t="inlineStr">
        <is>
          <t>Fatura - bruto CONECTA TREINE LTDA 5595</t>
        </is>
      </c>
    </row>
    <row r="2228">
      <c r="A2228" t="inlineStr">
        <is>
          <t>100883</t>
        </is>
      </c>
      <c r="B2228" t="inlineStr">
        <is>
          <t>QUELMAR TRANSPORTES LTDA</t>
        </is>
      </c>
      <c r="C2228" t="n">
        <v>2111000000</v>
      </c>
      <c r="D2228" t="inlineStr">
        <is>
          <t>Operational Suppliers (Wind Farms)</t>
        </is>
      </c>
      <c r="E2228" t="n">
        <v>5014572</v>
      </c>
      <c r="F2228" t="inlineStr">
        <is>
          <t>6297-2</t>
        </is>
      </c>
      <c r="G2228" t="inlineStr">
        <is>
          <t>RE</t>
        </is>
      </c>
      <c r="H2228" s="12" t="n">
        <v>-5770</v>
      </c>
      <c r="I2228" s="17" t="n">
        <v>46226</v>
      </c>
      <c r="J2228" s="17" t="n">
        <v>46270</v>
      </c>
      <c r="K2228" t="inlineStr">
        <is>
          <t>Fatura - bruto QUELMAR TRANSPORTES LTDA 6297-2</t>
        </is>
      </c>
    </row>
    <row r="2229">
      <c r="A2229" t="inlineStr">
        <is>
          <t>100883</t>
        </is>
      </c>
      <c r="B2229" t="inlineStr">
        <is>
          <t>QUELMAR TRANSPORTES LTDA</t>
        </is>
      </c>
      <c r="C2229" t="n">
        <v>2111000000</v>
      </c>
      <c r="D2229" t="inlineStr">
        <is>
          <t>Operational Suppliers (Wind Farms)</t>
        </is>
      </c>
      <c r="E2229" t="n">
        <v>5014573</v>
      </c>
      <c r="F2229" t="inlineStr">
        <is>
          <t>6299-2</t>
        </is>
      </c>
      <c r="G2229" t="inlineStr">
        <is>
          <t>RE</t>
        </is>
      </c>
      <c r="H2229" s="12" t="n">
        <v>-6900</v>
      </c>
      <c r="I2229" s="17" t="n">
        <v>46226</v>
      </c>
      <c r="J2229" s="17" t="n">
        <v>46270</v>
      </c>
      <c r="K2229" t="inlineStr">
        <is>
          <t>Fatura - bruto QUELMAR TRANSPORTES LTDA 6299-2</t>
        </is>
      </c>
    </row>
    <row r="2230">
      <c r="A2230" t="inlineStr">
        <is>
          <t>100379</t>
        </is>
      </c>
      <c r="B2230" t="inlineStr">
        <is>
          <t>RAK LOG TRANSPORTES E LOGISTICA EIR</t>
        </is>
      </c>
      <c r="C2230" t="n">
        <v>2111000000</v>
      </c>
      <c r="D2230" t="inlineStr">
        <is>
          <t>Operational Suppliers (Wind Farms)</t>
        </is>
      </c>
      <c r="E2230" t="n">
        <v>5014575</v>
      </c>
      <c r="F2230" t="inlineStr">
        <is>
          <t>335527-1</t>
        </is>
      </c>
      <c r="G2230" t="inlineStr">
        <is>
          <t>RE</t>
        </is>
      </c>
      <c r="H2230" s="12" t="n">
        <v>-13891.45</v>
      </c>
      <c r="I2230" s="17" t="n">
        <v>46212</v>
      </c>
      <c r="J2230" s="17" t="n">
        <v>46300</v>
      </c>
      <c r="K2230" t="inlineStr">
        <is>
          <t>Fatura - bruto RAK LOG TRANSPORTES E LOGISTICA EIR</t>
        </is>
      </c>
    </row>
    <row r="2231">
      <c r="A2231" t="inlineStr">
        <is>
          <t>100379</t>
        </is>
      </c>
      <c r="B2231" t="inlineStr">
        <is>
          <t>RAK LOG TRANSPORTES E LOGISTICA EIR</t>
        </is>
      </c>
      <c r="C2231" t="n">
        <v>2111000000</v>
      </c>
      <c r="D2231" t="inlineStr">
        <is>
          <t>Operational Suppliers (Wind Farms)</t>
        </is>
      </c>
      <c r="E2231" t="n">
        <v>5014576</v>
      </c>
      <c r="F2231" t="inlineStr">
        <is>
          <t>335582-1</t>
        </is>
      </c>
      <c r="G2231" t="inlineStr">
        <is>
          <t>RE</t>
        </is>
      </c>
      <c r="H2231" s="12" t="n">
        <v>-13268.08</v>
      </c>
      <c r="I2231" s="17" t="n">
        <v>46213</v>
      </c>
      <c r="J2231" s="17" t="n">
        <v>46300</v>
      </c>
      <c r="K2231" t="inlineStr">
        <is>
          <t>Fatura - bruto RAK LOG TRANSPORTES E LOGISTICA EIR</t>
        </is>
      </c>
    </row>
    <row r="2232">
      <c r="A2232" t="inlineStr">
        <is>
          <t>100379</t>
        </is>
      </c>
      <c r="B2232" t="inlineStr">
        <is>
          <t>RAK LOG TRANSPORTES E LOGISTICA EIR</t>
        </is>
      </c>
      <c r="C2232" t="n">
        <v>2111000000</v>
      </c>
      <c r="D2232" t="inlineStr">
        <is>
          <t>Operational Suppliers (Wind Farms)</t>
        </is>
      </c>
      <c r="E2232" t="n">
        <v>5014577</v>
      </c>
      <c r="F2232" t="inlineStr">
        <is>
          <t>335584-1</t>
        </is>
      </c>
      <c r="G2232" t="inlineStr">
        <is>
          <t>RE</t>
        </is>
      </c>
      <c r="H2232" s="12" t="n">
        <v>-13104.33</v>
      </c>
      <c r="I2232" s="17" t="n">
        <v>46213</v>
      </c>
      <c r="J2232" s="17" t="n">
        <v>46300</v>
      </c>
      <c r="K2232" t="inlineStr">
        <is>
          <t>Fatura - bruto RAK LOG TRANSPORTES E LOGISTICA EIR</t>
        </is>
      </c>
    </row>
    <row r="2233">
      <c r="A2233" t="inlineStr">
        <is>
          <t>100379</t>
        </is>
      </c>
      <c r="B2233" t="inlineStr">
        <is>
          <t>RAK LOG TRANSPORTES E LOGISTICA EIR</t>
        </is>
      </c>
      <c r="C2233" t="n">
        <v>2111000000</v>
      </c>
      <c r="D2233" t="inlineStr">
        <is>
          <t>Operational Suppliers (Wind Farms)</t>
        </is>
      </c>
      <c r="E2233" t="n">
        <v>5014578</v>
      </c>
      <c r="F2233" t="inlineStr">
        <is>
          <t>335866-1</t>
        </is>
      </c>
      <c r="G2233" t="inlineStr">
        <is>
          <t>RE</t>
        </is>
      </c>
      <c r="H2233" s="12" t="n">
        <v>-12911.57</v>
      </c>
      <c r="I2233" s="17" t="n">
        <v>46217</v>
      </c>
      <c r="J2233" s="17" t="n">
        <v>46300</v>
      </c>
      <c r="K2233" t="inlineStr">
        <is>
          <t>Fatura - bruto RAK LOG TRANSPORTES E LOGISTICA EIR</t>
        </is>
      </c>
    </row>
    <row r="2234">
      <c r="A2234" t="inlineStr">
        <is>
          <t>100379</t>
        </is>
      </c>
      <c r="B2234" t="inlineStr">
        <is>
          <t>RAK LOG TRANSPORTES E LOGISTICA EIR</t>
        </is>
      </c>
      <c r="C2234" t="n">
        <v>2111000000</v>
      </c>
      <c r="D2234" t="inlineStr">
        <is>
          <t>Operational Suppliers (Wind Farms)</t>
        </is>
      </c>
      <c r="E2234" t="n">
        <v>5014579</v>
      </c>
      <c r="F2234" t="inlineStr">
        <is>
          <t>335877-1</t>
        </is>
      </c>
      <c r="G2234" t="inlineStr">
        <is>
          <t>RE</t>
        </is>
      </c>
      <c r="H2234" s="12" t="n">
        <v>-13985.7</v>
      </c>
      <c r="I2234" s="17" t="n">
        <v>46217</v>
      </c>
      <c r="J2234" s="17" t="n">
        <v>46300</v>
      </c>
      <c r="K2234" t="inlineStr">
        <is>
          <t>Fatura - bruto RAK LOG TRANSPORTES E LOGISTICA EIR</t>
        </is>
      </c>
    </row>
    <row r="2235">
      <c r="A2235" t="inlineStr">
        <is>
          <t>100379</t>
        </is>
      </c>
      <c r="B2235" t="inlineStr">
        <is>
          <t>RAK LOG TRANSPORTES E LOGISTICA EIR</t>
        </is>
      </c>
      <c r="C2235" t="n">
        <v>2111000000</v>
      </c>
      <c r="D2235" t="inlineStr">
        <is>
          <t>Operational Suppliers (Wind Farms)</t>
        </is>
      </c>
      <c r="E2235" t="n">
        <v>5014580</v>
      </c>
      <c r="F2235" t="inlineStr">
        <is>
          <t>336872-1</t>
        </is>
      </c>
      <c r="G2235" t="inlineStr">
        <is>
          <t>RE</t>
        </is>
      </c>
      <c r="H2235" s="12" t="n">
        <v>-13127.98</v>
      </c>
      <c r="I2235" s="17" t="n">
        <v>46226</v>
      </c>
      <c r="J2235" s="17" t="n">
        <v>46300</v>
      </c>
      <c r="K2235" t="inlineStr">
        <is>
          <t>Fatura - bruto RAK LOG TRANSPORTES E LOGISTICA EIR</t>
        </is>
      </c>
    </row>
    <row r="2236">
      <c r="A2236" t="inlineStr">
        <is>
          <t>100379</t>
        </is>
      </c>
      <c r="B2236" t="inlineStr">
        <is>
          <t>RAK LOG TRANSPORTES E LOGISTICA EIR</t>
        </is>
      </c>
      <c r="C2236" t="n">
        <v>2111000000</v>
      </c>
      <c r="D2236" t="inlineStr">
        <is>
          <t>Operational Suppliers (Wind Farms)</t>
        </is>
      </c>
      <c r="E2236" t="n">
        <v>5014581</v>
      </c>
      <c r="F2236" t="inlineStr">
        <is>
          <t>336877-1</t>
        </is>
      </c>
      <c r="G2236" t="inlineStr">
        <is>
          <t>RE</t>
        </is>
      </c>
      <c r="H2236" s="12" t="n">
        <v>-13127.98</v>
      </c>
      <c r="I2236" s="17" t="n">
        <v>46226</v>
      </c>
      <c r="J2236" s="17" t="n">
        <v>46300</v>
      </c>
      <c r="K2236" t="inlineStr">
        <is>
          <t>Fatura - bruto RAK LOG TRANSPORTES E LOGISTICA EIR</t>
        </is>
      </c>
    </row>
    <row r="2237">
      <c r="A2237" t="inlineStr">
        <is>
          <t>100379</t>
        </is>
      </c>
      <c r="B2237" t="inlineStr">
        <is>
          <t>RAK LOG TRANSPORTES E LOGISTICA EIR</t>
        </is>
      </c>
      <c r="C2237" t="n">
        <v>2111000000</v>
      </c>
      <c r="D2237" t="inlineStr">
        <is>
          <t>Operational Suppliers (Wind Farms)</t>
        </is>
      </c>
      <c r="E2237" t="n">
        <v>5014582</v>
      </c>
      <c r="F2237" t="inlineStr">
        <is>
          <t>336882-1</t>
        </is>
      </c>
      <c r="G2237" t="inlineStr">
        <is>
          <t>RE</t>
        </is>
      </c>
      <c r="H2237" s="12" t="n">
        <v>-13127.98</v>
      </c>
      <c r="I2237" s="17" t="n">
        <v>46226</v>
      </c>
      <c r="J2237" s="17" t="n">
        <v>46300</v>
      </c>
      <c r="K2237" t="inlineStr">
        <is>
          <t>Fatura - bruto RAK LOG TRANSPORTES E LOGISTICA EIR</t>
        </is>
      </c>
    </row>
    <row r="2238">
      <c r="A2238" t="inlineStr">
        <is>
          <t>100379</t>
        </is>
      </c>
      <c r="B2238" t="inlineStr">
        <is>
          <t>RAK LOG TRANSPORTES E LOGISTICA EIR</t>
        </is>
      </c>
      <c r="C2238" t="n">
        <v>2111000000</v>
      </c>
      <c r="D2238" t="inlineStr">
        <is>
          <t>Operational Suppliers (Wind Farms)</t>
        </is>
      </c>
      <c r="E2238" t="n">
        <v>5014583</v>
      </c>
      <c r="F2238" t="inlineStr">
        <is>
          <t>336883-1</t>
        </is>
      </c>
      <c r="G2238" t="inlineStr">
        <is>
          <t>RE</t>
        </is>
      </c>
      <c r="H2238" s="12" t="n">
        <v>-13127.98</v>
      </c>
      <c r="I2238" s="17" t="n">
        <v>46226</v>
      </c>
      <c r="J2238" s="17" t="n">
        <v>46300</v>
      </c>
      <c r="K2238" t="inlineStr">
        <is>
          <t>Fatura - bruto RAK LOG TRANSPORTES E LOGISTICA EIR</t>
        </is>
      </c>
    </row>
    <row r="2239">
      <c r="A2239" t="inlineStr">
        <is>
          <t>100379</t>
        </is>
      </c>
      <c r="B2239" t="inlineStr">
        <is>
          <t>RAK LOG TRANSPORTES E LOGISTICA EIR</t>
        </is>
      </c>
      <c r="C2239" t="n">
        <v>2111000000</v>
      </c>
      <c r="D2239" t="inlineStr">
        <is>
          <t>Operational Suppliers (Wind Farms)</t>
        </is>
      </c>
      <c r="E2239" t="n">
        <v>5014584</v>
      </c>
      <c r="F2239" t="inlineStr">
        <is>
          <t>336934-1</t>
        </is>
      </c>
      <c r="G2239" t="inlineStr">
        <is>
          <t>RE</t>
        </is>
      </c>
      <c r="H2239" s="12" t="n">
        <v>-13127.98</v>
      </c>
      <c r="I2239" s="17" t="n">
        <v>46226</v>
      </c>
      <c r="J2239" s="17" t="n">
        <v>46300</v>
      </c>
      <c r="K2239" t="inlineStr">
        <is>
          <t>Fatura - bruto RAK LOG TRANSPORTES E LOGISTICA EIR</t>
        </is>
      </c>
    </row>
    <row r="2240">
      <c r="A2240" t="inlineStr">
        <is>
          <t>100379</t>
        </is>
      </c>
      <c r="B2240" t="inlineStr">
        <is>
          <t>RAK LOG TRANSPORTES E LOGISTICA EIR</t>
        </is>
      </c>
      <c r="C2240" t="n">
        <v>2111000000</v>
      </c>
      <c r="D2240" t="inlineStr">
        <is>
          <t>Operational Suppliers (Wind Farms)</t>
        </is>
      </c>
      <c r="E2240" t="n">
        <v>5014585</v>
      </c>
      <c r="F2240" t="inlineStr">
        <is>
          <t>336986-1</t>
        </is>
      </c>
      <c r="G2240" t="inlineStr">
        <is>
          <t>RE</t>
        </is>
      </c>
      <c r="H2240" s="12" t="n">
        <v>-13127.98</v>
      </c>
      <c r="I2240" s="17" t="n">
        <v>46227</v>
      </c>
      <c r="J2240" s="17" t="n">
        <v>46300</v>
      </c>
      <c r="K2240" t="inlineStr">
        <is>
          <t>Fatura - bruto RAK LOG TRANSPORTES E LOGISTICA EIR</t>
        </is>
      </c>
    </row>
    <row r="2241">
      <c r="A2241" t="inlineStr">
        <is>
          <t>100379</t>
        </is>
      </c>
      <c r="B2241" t="inlineStr">
        <is>
          <t>RAK LOG TRANSPORTES E LOGISTICA EIR</t>
        </is>
      </c>
      <c r="C2241" t="n">
        <v>2111000000</v>
      </c>
      <c r="D2241" t="inlineStr">
        <is>
          <t>Operational Suppliers (Wind Farms)</t>
        </is>
      </c>
      <c r="E2241" t="n">
        <v>5014586</v>
      </c>
      <c r="F2241" t="inlineStr">
        <is>
          <t>337012-1</t>
        </is>
      </c>
      <c r="G2241" t="inlineStr">
        <is>
          <t>RE</t>
        </is>
      </c>
      <c r="H2241" s="12" t="n">
        <v>-13127.98</v>
      </c>
      <c r="I2241" s="17" t="n">
        <v>46227</v>
      </c>
      <c r="J2241" s="17" t="n">
        <v>46300</v>
      </c>
      <c r="K2241" t="inlineStr">
        <is>
          <t>Fatura - bruto RAK LOG TRANSPORTES E LOGISTICA EIR</t>
        </is>
      </c>
    </row>
    <row r="2242">
      <c r="A2242" t="inlineStr">
        <is>
          <t>100379</t>
        </is>
      </c>
      <c r="B2242" t="inlineStr">
        <is>
          <t>RAK LOG TRANSPORTES E LOGISTICA EIR</t>
        </is>
      </c>
      <c r="C2242" t="n">
        <v>2111000000</v>
      </c>
      <c r="D2242" t="inlineStr">
        <is>
          <t>Operational Suppliers (Wind Farms)</t>
        </is>
      </c>
      <c r="E2242" t="n">
        <v>5014587</v>
      </c>
      <c r="F2242" t="inlineStr">
        <is>
          <t>337654-1</t>
        </is>
      </c>
      <c r="G2242" t="inlineStr">
        <is>
          <t>RE</t>
        </is>
      </c>
      <c r="H2242" s="12" t="n">
        <v>-13571.16</v>
      </c>
      <c r="I2242" s="17" t="n">
        <v>46233</v>
      </c>
      <c r="J2242" s="17" t="n">
        <v>46300</v>
      </c>
      <c r="K2242" t="inlineStr">
        <is>
          <t>Fatura - bruto RAK LOG TRANSPORTES E LOGISTICA EIR</t>
        </is>
      </c>
    </row>
    <row r="2243">
      <c r="A2243" t="inlineStr">
        <is>
          <t>100379</t>
        </is>
      </c>
      <c r="B2243" t="inlineStr">
        <is>
          <t>RAK LOG TRANSPORTES E LOGISTICA EIR</t>
        </is>
      </c>
      <c r="C2243" t="n">
        <v>2111000000</v>
      </c>
      <c r="D2243" t="inlineStr">
        <is>
          <t>Operational Suppliers (Wind Farms)</t>
        </is>
      </c>
      <c r="E2243" t="n">
        <v>5014588</v>
      </c>
      <c r="F2243" t="inlineStr">
        <is>
          <t>337681-1</t>
        </is>
      </c>
      <c r="G2243" t="inlineStr">
        <is>
          <t>RE</t>
        </is>
      </c>
      <c r="H2243" s="12" t="n">
        <v>-13202.84</v>
      </c>
      <c r="I2243" s="17" t="n">
        <v>46233</v>
      </c>
      <c r="J2243" s="17" t="n">
        <v>46300</v>
      </c>
      <c r="K2243" t="inlineStr">
        <is>
          <t>Fatura - bruto RAK LOG TRANSPORTES E LOGISTICA EIR</t>
        </is>
      </c>
    </row>
    <row r="2244">
      <c r="A2244" t="inlineStr">
        <is>
          <t>100379</t>
        </is>
      </c>
      <c r="B2244" t="inlineStr">
        <is>
          <t>RAK LOG TRANSPORTES E LOGISTICA EIR</t>
        </is>
      </c>
      <c r="C2244" t="n">
        <v>2111000000</v>
      </c>
      <c r="D2244" t="inlineStr">
        <is>
          <t>Operational Suppliers (Wind Farms)</t>
        </is>
      </c>
      <c r="E2244" t="n">
        <v>5014589</v>
      </c>
      <c r="F2244" t="inlineStr">
        <is>
          <t>337132-1</t>
        </is>
      </c>
      <c r="G2244" t="inlineStr">
        <is>
          <t>RE</t>
        </is>
      </c>
      <c r="H2244" s="12" t="n">
        <v>-13020.87</v>
      </c>
      <c r="I2244" s="17" t="n">
        <v>46230</v>
      </c>
      <c r="J2244" s="17" t="n">
        <v>46300</v>
      </c>
      <c r="K2244" t="inlineStr">
        <is>
          <t>Fatura - bruto RAK LOG TRANSPORTES E LOGISTICA EIR</t>
        </is>
      </c>
    </row>
    <row r="2245">
      <c r="A2245" t="inlineStr">
        <is>
          <t>100379</t>
        </is>
      </c>
      <c r="B2245" t="inlineStr">
        <is>
          <t>RAK LOG TRANSPORTES E LOGISTICA EIR</t>
        </is>
      </c>
      <c r="C2245" t="n">
        <v>2111000000</v>
      </c>
      <c r="D2245" t="inlineStr">
        <is>
          <t>Operational Suppliers (Wind Farms)</t>
        </is>
      </c>
      <c r="E2245" t="n">
        <v>5014590</v>
      </c>
      <c r="F2245" t="inlineStr">
        <is>
          <t>337136-1</t>
        </is>
      </c>
      <c r="G2245" t="inlineStr">
        <is>
          <t>RE</t>
        </is>
      </c>
      <c r="H2245" s="12" t="n">
        <v>-13001.2</v>
      </c>
      <c r="I2245" s="17" t="n">
        <v>46230</v>
      </c>
      <c r="J2245" s="17" t="n">
        <v>46300</v>
      </c>
      <c r="K2245" t="inlineStr">
        <is>
          <t>Fatura - bruto RAK LOG TRANSPORTES E LOGISTICA EIR</t>
        </is>
      </c>
    </row>
    <row r="2246">
      <c r="A2246" t="inlineStr">
        <is>
          <t>100379</t>
        </is>
      </c>
      <c r="B2246" t="inlineStr">
        <is>
          <t>RAK LOG TRANSPORTES E LOGISTICA EIR</t>
        </is>
      </c>
      <c r="C2246" t="n">
        <v>2111000000</v>
      </c>
      <c r="D2246" t="inlineStr">
        <is>
          <t>Operational Suppliers (Wind Farms)</t>
        </is>
      </c>
      <c r="E2246" t="n">
        <v>5014591</v>
      </c>
      <c r="F2246" t="inlineStr">
        <is>
          <t>337137-1</t>
        </is>
      </c>
      <c r="G2246" t="inlineStr">
        <is>
          <t>RE</t>
        </is>
      </c>
      <c r="H2246" s="12" t="n">
        <v>-12976.63</v>
      </c>
      <c r="I2246" s="17" t="n">
        <v>46230</v>
      </c>
      <c r="J2246" s="17" t="n">
        <v>46300</v>
      </c>
      <c r="K2246" t="inlineStr">
        <is>
          <t>Fatura - bruto RAK LOG TRANSPORTES E LOGISTICA EIR</t>
        </is>
      </c>
    </row>
    <row r="2247">
      <c r="A2247" t="inlineStr">
        <is>
          <t>100379</t>
        </is>
      </c>
      <c r="B2247" t="inlineStr">
        <is>
          <t>RAK LOG TRANSPORTES E LOGISTICA EIR</t>
        </is>
      </c>
      <c r="C2247" t="n">
        <v>2111000000</v>
      </c>
      <c r="D2247" t="inlineStr">
        <is>
          <t>Operational Suppliers (Wind Farms)</t>
        </is>
      </c>
      <c r="E2247" t="n">
        <v>5014592</v>
      </c>
      <c r="F2247" t="inlineStr">
        <is>
          <t>337138-1</t>
        </is>
      </c>
      <c r="G2247" t="inlineStr">
        <is>
          <t>RE</t>
        </is>
      </c>
      <c r="H2247" s="12" t="n">
        <v>-12939.67</v>
      </c>
      <c r="I2247" s="17" t="n">
        <v>46230</v>
      </c>
      <c r="J2247" s="17" t="n">
        <v>46300</v>
      </c>
      <c r="K2247" t="inlineStr">
        <is>
          <t>Fatura - bruto RAK LOG TRANSPORTES E LOGISTICA EIR</t>
        </is>
      </c>
    </row>
    <row r="2248">
      <c r="A2248" t="inlineStr">
        <is>
          <t>101463</t>
        </is>
      </c>
      <c r="B2248" t="inlineStr">
        <is>
          <t>ZURICH MINAS BRASIL SEGUROS S A</t>
        </is>
      </c>
      <c r="C2248" t="n">
        <v>2111000000</v>
      </c>
      <c r="D2248" t="inlineStr">
        <is>
          <t>Insurance</t>
        </is>
      </c>
      <c r="E2248" t="n">
        <v>5014593</v>
      </c>
      <c r="F2248" t="inlineStr">
        <is>
          <t>0456/26</t>
        </is>
      </c>
      <c r="G2248" t="inlineStr">
        <is>
          <t>RE</t>
        </is>
      </c>
      <c r="H2248" s="12" t="n">
        <v>-79.59</v>
      </c>
      <c r="I2248" s="17" t="n">
        <v>46241</v>
      </c>
      <c r="J2248" s="17" t="n">
        <v>46271</v>
      </c>
      <c r="K2248" t="inlineStr">
        <is>
          <t>Invoice Payment. SP: 21158</t>
        </is>
      </c>
    </row>
    <row r="2249">
      <c r="A2249" t="inlineStr">
        <is>
          <t>100031</t>
        </is>
      </c>
      <c r="B2249" t="inlineStr">
        <is>
          <t>MEGAWIND INDUSTRIA E COMERCIO</t>
        </is>
      </c>
      <c r="C2249" t="n">
        <v>2111000000</v>
      </c>
      <c r="D2249" t="inlineStr">
        <is>
          <t>Operational Suppliers (Wind Farms)</t>
        </is>
      </c>
      <c r="E2249" t="n">
        <v>5014594</v>
      </c>
      <c r="F2249" t="inlineStr">
        <is>
          <t>1437</t>
        </is>
      </c>
      <c r="G2249" t="inlineStr">
        <is>
          <t>RE</t>
        </is>
      </c>
      <c r="H2249" s="12" t="n">
        <v>-16835.25</v>
      </c>
      <c r="I2249" s="17" t="n">
        <v>46240</v>
      </c>
      <c r="J2249" s="17" t="n">
        <v>46300</v>
      </c>
      <c r="K2249" t="inlineStr">
        <is>
          <t>Fatura - bruto MEGAWIND INDUSTRIA E COMERCIO 1437</t>
        </is>
      </c>
    </row>
    <row r="2250">
      <c r="A2250" t="inlineStr">
        <is>
          <t>100031</t>
        </is>
      </c>
      <c r="B2250" t="inlineStr">
        <is>
          <t>MEGAWIND INDUSTRIA E COMERCIO</t>
        </is>
      </c>
      <c r="C2250" t="n">
        <v>2111000000</v>
      </c>
      <c r="D2250" t="inlineStr">
        <is>
          <t>Operational Suppliers (Wind Farms)</t>
        </is>
      </c>
      <c r="E2250" t="n">
        <v>5014596</v>
      </c>
      <c r="F2250" t="inlineStr">
        <is>
          <t>1438</t>
        </is>
      </c>
      <c r="G2250" t="inlineStr">
        <is>
          <t>RE</t>
        </is>
      </c>
      <c r="H2250" s="12" t="n">
        <v>-11315.02</v>
      </c>
      <c r="I2250" s="17" t="n">
        <v>46240</v>
      </c>
      <c r="J2250" s="17" t="n">
        <v>46300</v>
      </c>
      <c r="K2250" t="inlineStr">
        <is>
          <t>Fatura - bruto MEGAWIND INDUSTRIA E COMERCIO 1438</t>
        </is>
      </c>
    </row>
    <row r="2251">
      <c r="A2251" t="inlineStr">
        <is>
          <t>100031</t>
        </is>
      </c>
      <c r="B2251" t="inlineStr">
        <is>
          <t>MEGAWIND INDUSTRIA E COMERCIO</t>
        </is>
      </c>
      <c r="C2251" t="n">
        <v>2111000000</v>
      </c>
      <c r="D2251" t="inlineStr">
        <is>
          <t>Operational Suppliers (Wind Farms)</t>
        </is>
      </c>
      <c r="E2251" t="n">
        <v>5014597</v>
      </c>
      <c r="F2251" t="inlineStr">
        <is>
          <t>1439</t>
        </is>
      </c>
      <c r="G2251" t="inlineStr">
        <is>
          <t>RE</t>
        </is>
      </c>
      <c r="H2251" s="12" t="n">
        <v>-2758.33</v>
      </c>
      <c r="I2251" s="17" t="n">
        <v>46240</v>
      </c>
      <c r="J2251" s="17" t="n">
        <v>46300</v>
      </c>
      <c r="K2251" t="inlineStr">
        <is>
          <t>Fatura - bruto MEGAWIND INDUSTRIA E COMERCIO 1439</t>
        </is>
      </c>
    </row>
    <row r="2252">
      <c r="A2252" t="inlineStr">
        <is>
          <t>100379</t>
        </is>
      </c>
      <c r="B2252" t="inlineStr">
        <is>
          <t>RAK LOG TRANSPORTES E LOGISTICA EIR</t>
        </is>
      </c>
      <c r="C2252" t="n">
        <v>2111000000</v>
      </c>
      <c r="D2252" t="inlineStr">
        <is>
          <t>Operational Suppliers (Wind Farms)</t>
        </is>
      </c>
      <c r="E2252" t="n">
        <v>5014599</v>
      </c>
      <c r="F2252" t="inlineStr">
        <is>
          <t>337145-1</t>
        </is>
      </c>
      <c r="G2252" t="inlineStr">
        <is>
          <t>RE</t>
        </is>
      </c>
      <c r="H2252" s="12" t="n">
        <v>-13910.16</v>
      </c>
      <c r="I2252" s="17" t="n">
        <v>46230</v>
      </c>
      <c r="J2252" s="17" t="n">
        <v>46300</v>
      </c>
      <c r="K2252" t="inlineStr">
        <is>
          <t>Fatura - bruto RAK LOG TRANSPORTES E LOGISTICA EIR</t>
        </is>
      </c>
    </row>
    <row r="2253">
      <c r="A2253" t="inlineStr">
        <is>
          <t>100379</t>
        </is>
      </c>
      <c r="B2253" t="inlineStr">
        <is>
          <t>RAK LOG TRANSPORTES E LOGISTICA EIR</t>
        </is>
      </c>
      <c r="C2253" t="n">
        <v>2111000000</v>
      </c>
      <c r="D2253" t="inlineStr">
        <is>
          <t>Operational Suppliers (Wind Farms)</t>
        </is>
      </c>
      <c r="E2253" t="n">
        <v>5014600</v>
      </c>
      <c r="F2253" t="inlineStr">
        <is>
          <t>337348-1</t>
        </is>
      </c>
      <c r="G2253" t="inlineStr">
        <is>
          <t>RE</t>
        </is>
      </c>
      <c r="H2253" s="12" t="n">
        <v>-12957.35</v>
      </c>
      <c r="I2253" s="17" t="n">
        <v>46231</v>
      </c>
      <c r="J2253" s="17" t="n">
        <v>46300</v>
      </c>
      <c r="K2253" t="inlineStr">
        <is>
          <t>Fatura - bruto RAK LOG TRANSPORTES E LOGISTICA EIR</t>
        </is>
      </c>
    </row>
    <row r="2254">
      <c r="A2254" t="inlineStr">
        <is>
          <t>100379</t>
        </is>
      </c>
      <c r="B2254" t="inlineStr">
        <is>
          <t>RAK LOG TRANSPORTES E LOGISTICA EIR</t>
        </is>
      </c>
      <c r="C2254" t="n">
        <v>2111000000</v>
      </c>
      <c r="D2254" t="inlineStr">
        <is>
          <t>Operational Suppliers (Wind Farms)</t>
        </is>
      </c>
      <c r="E2254" t="n">
        <v>5014601</v>
      </c>
      <c r="F2254" t="inlineStr">
        <is>
          <t>337351-1</t>
        </is>
      </c>
      <c r="G2254" t="inlineStr">
        <is>
          <t>RE</t>
        </is>
      </c>
      <c r="H2254" s="12" t="n">
        <v>-12950.3</v>
      </c>
      <c r="I2254" s="17" t="n">
        <v>46231</v>
      </c>
      <c r="J2254" s="17" t="n">
        <v>46300</v>
      </c>
      <c r="K2254" t="inlineStr">
        <is>
          <t>Fatura - bruto RAK LOG TRANSPORTES E LOGISTICA EIR</t>
        </is>
      </c>
    </row>
    <row r="2255">
      <c r="A2255" t="inlineStr">
        <is>
          <t>100379</t>
        </is>
      </c>
      <c r="B2255" t="inlineStr">
        <is>
          <t>RAK LOG TRANSPORTES E LOGISTICA EIR</t>
        </is>
      </c>
      <c r="C2255" t="n">
        <v>2111000000</v>
      </c>
      <c r="D2255" t="inlineStr">
        <is>
          <t>Operational Suppliers (Wind Farms)</t>
        </is>
      </c>
      <c r="E2255" t="n">
        <v>5014602</v>
      </c>
      <c r="F2255" t="inlineStr">
        <is>
          <t>337355-1</t>
        </is>
      </c>
      <c r="G2255" t="inlineStr">
        <is>
          <t>RE</t>
        </is>
      </c>
      <c r="H2255" s="12" t="n">
        <v>-13283.54</v>
      </c>
      <c r="I2255" s="17" t="n">
        <v>46231</v>
      </c>
      <c r="J2255" s="17" t="n">
        <v>46300</v>
      </c>
      <c r="K2255" t="inlineStr">
        <is>
          <t>Fatura - bruto RAK LOG TRANSPORTES E LOGISTICA EIR</t>
        </is>
      </c>
    </row>
    <row r="2256">
      <c r="A2256" t="inlineStr">
        <is>
          <t>100379</t>
        </is>
      </c>
      <c r="B2256" t="inlineStr">
        <is>
          <t>RAK LOG TRANSPORTES E LOGISTICA EIR</t>
        </is>
      </c>
      <c r="C2256" t="n">
        <v>2111000000</v>
      </c>
      <c r="D2256" t="inlineStr">
        <is>
          <t>Operational Suppliers (Wind Farms)</t>
        </is>
      </c>
      <c r="E2256" t="n">
        <v>5014603</v>
      </c>
      <c r="F2256" t="inlineStr">
        <is>
          <t>337384-1</t>
        </is>
      </c>
      <c r="G2256" t="inlineStr">
        <is>
          <t>RE</t>
        </is>
      </c>
      <c r="H2256" s="12" t="n">
        <v>-13141.57</v>
      </c>
      <c r="I2256" s="17" t="n">
        <v>46231</v>
      </c>
      <c r="J2256" s="17" t="n">
        <v>46300</v>
      </c>
      <c r="K2256" t="inlineStr">
        <is>
          <t>Fatura - bruto RAK LOG TRANSPORTES E LOGISTICA EIR</t>
        </is>
      </c>
    </row>
    <row r="2257">
      <c r="A2257" t="inlineStr">
        <is>
          <t>101463</t>
        </is>
      </c>
      <c r="B2257" t="inlineStr">
        <is>
          <t>ZURICH MINAS BRASIL SEGUROS S A</t>
        </is>
      </c>
      <c r="C2257" t="n">
        <v>2111000000</v>
      </c>
      <c r="D2257" t="inlineStr">
        <is>
          <t>Insurance</t>
        </is>
      </c>
      <c r="E2257" t="n">
        <v>5014604</v>
      </c>
      <c r="F2257" t="inlineStr">
        <is>
          <t>0467/26</t>
        </is>
      </c>
      <c r="G2257" t="inlineStr">
        <is>
          <t>RE</t>
        </is>
      </c>
      <c r="H2257" s="12" t="n">
        <v>-34.68</v>
      </c>
      <c r="I2257" s="17" t="n">
        <v>46241</v>
      </c>
      <c r="J2257" s="17" t="n">
        <v>46271</v>
      </c>
      <c r="K2257" t="inlineStr">
        <is>
          <t>Invoice Payment. SP: 21160</t>
        </is>
      </c>
    </row>
    <row r="2258">
      <c r="A2258" t="inlineStr">
        <is>
          <t>100379</t>
        </is>
      </c>
      <c r="B2258" t="inlineStr">
        <is>
          <t>RAK LOG TRANSPORTES E LOGISTICA EIR</t>
        </is>
      </c>
      <c r="C2258" t="n">
        <v>2111000000</v>
      </c>
      <c r="D2258" t="inlineStr">
        <is>
          <t>Operational Suppliers (Wind Farms)</t>
        </is>
      </c>
      <c r="E2258" t="n">
        <v>5014605</v>
      </c>
      <c r="F2258" t="inlineStr">
        <is>
          <t>337386-1</t>
        </is>
      </c>
      <c r="G2258" t="inlineStr">
        <is>
          <t>RE</t>
        </is>
      </c>
      <c r="H2258" s="12" t="n">
        <v>-12994.87</v>
      </c>
      <c r="I2258" s="17" t="n">
        <v>46231</v>
      </c>
      <c r="J2258" s="17" t="n">
        <v>46300</v>
      </c>
      <c r="K2258" t="inlineStr">
        <is>
          <t>Fatura - bruto RAK LOG TRANSPORTES E LOGISTICA EIR</t>
        </is>
      </c>
    </row>
    <row r="2259">
      <c r="A2259" t="inlineStr">
        <is>
          <t>100379</t>
        </is>
      </c>
      <c r="B2259" t="inlineStr">
        <is>
          <t>RAK LOG TRANSPORTES E LOGISTICA EIR</t>
        </is>
      </c>
      <c r="C2259" t="n">
        <v>2111000000</v>
      </c>
      <c r="D2259" t="inlineStr">
        <is>
          <t>Operational Suppliers (Wind Farms)</t>
        </is>
      </c>
      <c r="E2259" t="n">
        <v>5014606</v>
      </c>
      <c r="F2259" t="inlineStr">
        <is>
          <t>337493-1</t>
        </is>
      </c>
      <c r="G2259" t="inlineStr">
        <is>
          <t>RE</t>
        </is>
      </c>
      <c r="H2259" s="12" t="n">
        <v>-12923.67</v>
      </c>
      <c r="I2259" s="17" t="n">
        <v>46232</v>
      </c>
      <c r="J2259" s="17" t="n">
        <v>46300</v>
      </c>
      <c r="K2259" t="inlineStr">
        <is>
          <t>Fatura - bruto RAK LOG TRANSPORTES E LOGISTICA EIR</t>
        </is>
      </c>
    </row>
    <row r="2260">
      <c r="A2260" t="inlineStr">
        <is>
          <t>100379</t>
        </is>
      </c>
      <c r="B2260" t="inlineStr">
        <is>
          <t>RAK LOG TRANSPORTES E LOGISTICA EIR</t>
        </is>
      </c>
      <c r="C2260" t="n">
        <v>2111000000</v>
      </c>
      <c r="D2260" t="inlineStr">
        <is>
          <t>Operational Suppliers (Wind Farms)</t>
        </is>
      </c>
      <c r="E2260" t="n">
        <v>5014607</v>
      </c>
      <c r="F2260" t="inlineStr">
        <is>
          <t>337495-1</t>
        </is>
      </c>
      <c r="G2260" t="inlineStr">
        <is>
          <t>RE</t>
        </is>
      </c>
      <c r="H2260" s="12" t="n">
        <v>-12923.67</v>
      </c>
      <c r="I2260" s="17" t="n">
        <v>46232</v>
      </c>
      <c r="J2260" s="17" t="n">
        <v>46300</v>
      </c>
      <c r="K2260" t="inlineStr">
        <is>
          <t>Fatura - bruto RAK LOG TRANSPORTES E LOGISTICA EIR</t>
        </is>
      </c>
    </row>
    <row r="2261">
      <c r="A2261" t="inlineStr">
        <is>
          <t>101463</t>
        </is>
      </c>
      <c r="B2261" t="inlineStr">
        <is>
          <t>ZURICH MINAS BRASIL SEGUROS S A</t>
        </is>
      </c>
      <c r="C2261" t="n">
        <v>2111000000</v>
      </c>
      <c r="D2261" t="inlineStr">
        <is>
          <t>Insurance</t>
        </is>
      </c>
      <c r="E2261" t="n">
        <v>5014612</v>
      </c>
      <c r="F2261" t="inlineStr">
        <is>
          <t>0472/26</t>
        </is>
      </c>
      <c r="G2261" t="inlineStr">
        <is>
          <t>RE</t>
        </is>
      </c>
      <c r="H2261" s="12" t="n">
        <v>-223.54</v>
      </c>
      <c r="I2261" s="17" t="n">
        <v>46241</v>
      </c>
      <c r="J2261" s="17" t="n">
        <v>46271</v>
      </c>
      <c r="K2261" t="inlineStr">
        <is>
          <t>Invoice Payment. SP: 21163</t>
        </is>
      </c>
    </row>
    <row r="2262">
      <c r="A2262" t="inlineStr">
        <is>
          <t>101463</t>
        </is>
      </c>
      <c r="B2262" t="inlineStr">
        <is>
          <t>ZURICH MINAS BRASIL SEGUROS S A</t>
        </is>
      </c>
      <c r="C2262" t="n">
        <v>2111000000</v>
      </c>
      <c r="D2262" t="inlineStr">
        <is>
          <t>Insurance</t>
        </is>
      </c>
      <c r="E2262" t="n">
        <v>5014626</v>
      </c>
      <c r="F2262" t="inlineStr">
        <is>
          <t>0340/26</t>
        </is>
      </c>
      <c r="G2262" t="inlineStr">
        <is>
          <t>RE</t>
        </is>
      </c>
      <c r="H2262" s="12" t="n">
        <v>-638.51</v>
      </c>
      <c r="I2262" s="17" t="n">
        <v>46241</v>
      </c>
      <c r="J2262" s="17" t="n">
        <v>46271</v>
      </c>
      <c r="K2262" t="inlineStr">
        <is>
          <t>Invoice Payment. SP: 21167</t>
        </is>
      </c>
    </row>
    <row r="2263">
      <c r="A2263" t="inlineStr">
        <is>
          <t>107720</t>
        </is>
      </c>
      <c r="B2263" t="inlineStr">
        <is>
          <t>DAYCOVAL LEASING SOCIEDADE DE ARRENDAMENTO MERCANTIL S.A</t>
        </is>
      </c>
      <c r="C2263" t="n">
        <v>2111000000</v>
      </c>
      <c r="D2263" t="inlineStr">
        <is>
          <t>Other Suppliers</t>
        </is>
      </c>
      <c r="E2263" t="n">
        <v>5014628</v>
      </c>
      <c r="F2263" t="inlineStr">
        <is>
          <t>997039</t>
        </is>
      </c>
      <c r="G2263" t="inlineStr">
        <is>
          <t>RE</t>
        </is>
      </c>
      <c r="H2263" s="12" t="n">
        <v>-3325.26</v>
      </c>
      <c r="I2263" s="17" t="n">
        <v>46232</v>
      </c>
      <c r="J2263" s="17" t="n">
        <v>46291</v>
      </c>
      <c r="K2263" t="inlineStr">
        <is>
          <t>Fatura - bruto DAYCOVAL LEASING SOCIEDADE DE ARREN</t>
        </is>
      </c>
    </row>
    <row r="2264">
      <c r="A2264" t="inlineStr">
        <is>
          <t>107720</t>
        </is>
      </c>
      <c r="B2264" t="inlineStr">
        <is>
          <t>DAYCOVAL LEASING SOCIEDADE DE ARRENDAMENTO MERCANTIL S.A</t>
        </is>
      </c>
      <c r="C2264" t="n">
        <v>2111000000</v>
      </c>
      <c r="D2264" t="inlineStr">
        <is>
          <t>Other Suppliers</t>
        </is>
      </c>
      <c r="E2264" t="n">
        <v>5014629</v>
      </c>
      <c r="F2264" t="inlineStr">
        <is>
          <t>806064</t>
        </is>
      </c>
      <c r="G2264" t="inlineStr">
        <is>
          <t>RE</t>
        </is>
      </c>
      <c r="H2264" s="12" t="n">
        <v>-1421.2</v>
      </c>
      <c r="I2264" s="17" t="n">
        <v>46230</v>
      </c>
      <c r="J2264" s="17" t="n">
        <v>46289</v>
      </c>
      <c r="K2264" t="inlineStr">
        <is>
          <t>Fatura - bruto DAYCOVAL LEASING SOCIEDADE DE ARREN</t>
        </is>
      </c>
    </row>
    <row r="2265">
      <c r="A2265" t="inlineStr">
        <is>
          <t>101435</t>
        </is>
      </c>
      <c r="B2265" t="inlineStr">
        <is>
          <t>DAYCOVAL LEASING BANCO MULTIPLO S A</t>
        </is>
      </c>
      <c r="C2265" t="n">
        <v>2111000000</v>
      </c>
      <c r="D2265" t="inlineStr">
        <is>
          <t>Other Suppliers</t>
        </is>
      </c>
      <c r="E2265" t="n">
        <v>5014630</v>
      </c>
      <c r="F2265" t="inlineStr">
        <is>
          <t>060055</t>
        </is>
      </c>
      <c r="G2265" t="inlineStr">
        <is>
          <t>RE</t>
        </is>
      </c>
      <c r="H2265" s="12" t="n">
        <v>-3678.2</v>
      </c>
      <c r="I2265" s="17" t="n">
        <v>46223</v>
      </c>
      <c r="J2265" s="17" t="n">
        <v>46283</v>
      </c>
      <c r="K2265" t="inlineStr">
        <is>
          <t>*23792374039620100000508000429103415730000367820</t>
        </is>
      </c>
    </row>
    <row r="2266">
      <c r="A2266" t="inlineStr">
        <is>
          <t>101435</t>
        </is>
      </c>
      <c r="B2266" t="inlineStr">
        <is>
          <t>DAYCOVAL LEASING BANCO MULTIPLO S A</t>
        </is>
      </c>
      <c r="C2266" t="n">
        <v>2111000000</v>
      </c>
      <c r="D2266" t="inlineStr">
        <is>
          <t>Other Suppliers</t>
        </is>
      </c>
      <c r="E2266" t="n">
        <v>5014631</v>
      </c>
      <c r="F2266" t="inlineStr">
        <is>
          <t>651082</t>
        </is>
      </c>
      <c r="G2266" t="inlineStr">
        <is>
          <t>RE</t>
        </is>
      </c>
      <c r="H2266" s="12" t="n">
        <v>-359.67</v>
      </c>
      <c r="I2266" s="17" t="n">
        <v>46223</v>
      </c>
      <c r="J2266" s="17" t="n">
        <v>46283</v>
      </c>
      <c r="K2266" t="inlineStr">
        <is>
          <t>*23792374039620100000507000429105115730000035967</t>
        </is>
      </c>
    </row>
    <row r="2267">
      <c r="A2267" t="inlineStr">
        <is>
          <t>107720</t>
        </is>
      </c>
      <c r="B2267" t="inlineStr">
        <is>
          <t>DAYCOVAL LEASING SOCIEDADE DE ARRENDAMENTO MERCANTIL S.A</t>
        </is>
      </c>
      <c r="C2267" t="n">
        <v>2111000000</v>
      </c>
      <c r="D2267" t="inlineStr">
        <is>
          <t>Other Suppliers</t>
        </is>
      </c>
      <c r="E2267" t="n">
        <v>5014632</v>
      </c>
      <c r="F2267" t="inlineStr">
        <is>
          <t>984086</t>
        </is>
      </c>
      <c r="G2267" t="inlineStr">
        <is>
          <t>RE</t>
        </is>
      </c>
      <c r="H2267" s="12" t="n">
        <v>-639.95</v>
      </c>
      <c r="I2267" s="17" t="n">
        <v>46232</v>
      </c>
      <c r="J2267" s="17" t="n">
        <v>46291</v>
      </c>
      <c r="K2267" t="inlineStr">
        <is>
          <t>Fatura - bruto DAYCOVAL LEASING SOCIEDADE DE ARREN</t>
        </is>
      </c>
    </row>
    <row r="2268">
      <c r="A2268" t="inlineStr">
        <is>
          <t>101435</t>
        </is>
      </c>
      <c r="B2268" t="inlineStr">
        <is>
          <t>DAYCOVAL LEASING BANCO MULTIPLO S A</t>
        </is>
      </c>
      <c r="C2268" t="n">
        <v>2111000000</v>
      </c>
      <c r="D2268" t="inlineStr">
        <is>
          <t>Other Suppliers</t>
        </is>
      </c>
      <c r="E2268" t="n">
        <v>5014633</v>
      </c>
      <c r="F2268" t="inlineStr">
        <is>
          <t>568059</t>
        </is>
      </c>
      <c r="G2268" t="inlineStr">
        <is>
          <t>RE</t>
        </is>
      </c>
      <c r="H2268" s="12" t="n">
        <v>-1070.29</v>
      </c>
      <c r="I2268" s="17" t="n">
        <v>46239</v>
      </c>
      <c r="J2268" s="17" t="n">
        <v>46294</v>
      </c>
      <c r="K2268" t="inlineStr">
        <is>
          <t>Fatura - bruto DAYCOVAL LEASING BANCO MULTIPLO S A</t>
        </is>
      </c>
    </row>
    <row r="2269">
      <c r="A2269" t="inlineStr">
        <is>
          <t>101463</t>
        </is>
      </c>
      <c r="B2269" t="inlineStr">
        <is>
          <t>ZURICH MINAS BRASIL SEGUROS S A</t>
        </is>
      </c>
      <c r="C2269" t="n">
        <v>2111000000</v>
      </c>
      <c r="D2269" t="inlineStr">
        <is>
          <t>Insurance</t>
        </is>
      </c>
      <c r="E2269" t="n">
        <v>5014634</v>
      </c>
      <c r="F2269" t="inlineStr">
        <is>
          <t>0457/26</t>
        </is>
      </c>
      <c r="G2269" t="inlineStr">
        <is>
          <t>RE</t>
        </is>
      </c>
      <c r="H2269" s="12" t="n">
        <v>-15.12</v>
      </c>
      <c r="I2269" s="17" t="n">
        <v>46241</v>
      </c>
      <c r="J2269" s="17" t="n">
        <v>46271</v>
      </c>
      <c r="K2269" t="inlineStr">
        <is>
          <t>Invoice Payment. SP: 21169</t>
        </is>
      </c>
    </row>
    <row r="2270">
      <c r="A2270" t="inlineStr">
        <is>
          <t>100746</t>
        </is>
      </c>
      <c r="B2270" t="inlineStr">
        <is>
          <t>PAPERCLEAN DISTRIBUIDORA LTDA ME</t>
        </is>
      </c>
      <c r="C2270" t="n">
        <v>2111000000</v>
      </c>
      <c r="D2270" t="inlineStr">
        <is>
          <t>Other Suppliers</t>
        </is>
      </c>
      <c r="E2270" t="n">
        <v>5014637</v>
      </c>
      <c r="F2270" t="inlineStr">
        <is>
          <t>000031329-1</t>
        </is>
      </c>
      <c r="G2270" t="inlineStr">
        <is>
          <t>RE</t>
        </is>
      </c>
      <c r="H2270" s="12" t="n">
        <v>-2557.75</v>
      </c>
      <c r="I2270" s="17" t="n">
        <v>46237</v>
      </c>
      <c r="J2270" s="17" t="n">
        <v>46270</v>
      </c>
      <c r="K2270" t="inlineStr">
        <is>
          <t>Fatura - bruto PAPERCLEAN DISTRIBUIDORA LTDA ME 00</t>
        </is>
      </c>
    </row>
    <row r="2271">
      <c r="A2271" t="inlineStr">
        <is>
          <t>101135</t>
        </is>
      </c>
      <c r="B2271" t="inlineStr">
        <is>
          <t>IDEAL WORK UNIFORMES E E.P.I.S LTDA</t>
        </is>
      </c>
      <c r="C2271" t="n">
        <v>2111000000</v>
      </c>
      <c r="D2271" t="inlineStr">
        <is>
          <t>Consumables Suppliers</t>
        </is>
      </c>
      <c r="E2271" t="n">
        <v>5014638</v>
      </c>
      <c r="F2271" t="inlineStr">
        <is>
          <t>000092234-2</t>
        </is>
      </c>
      <c r="G2271" t="inlineStr">
        <is>
          <t>RE</t>
        </is>
      </c>
      <c r="H2271" s="12" t="n">
        <v>-7878</v>
      </c>
      <c r="I2271" s="17" t="n">
        <v>46227</v>
      </c>
      <c r="J2271" s="17" t="n">
        <v>46270</v>
      </c>
      <c r="K2271" t="inlineStr">
        <is>
          <t>Fatura - bruto IDEAL WORK UNIFORMES E E.P.I.S LTDA</t>
        </is>
      </c>
    </row>
    <row r="2272">
      <c r="A2272" t="inlineStr">
        <is>
          <t>101463</t>
        </is>
      </c>
      <c r="B2272" t="inlineStr">
        <is>
          <t>ZURICH MINAS BRASIL SEGUROS S A</t>
        </is>
      </c>
      <c r="C2272" t="n">
        <v>2111000000</v>
      </c>
      <c r="D2272" t="inlineStr">
        <is>
          <t>Insurance</t>
        </is>
      </c>
      <c r="E2272" t="n">
        <v>5014643</v>
      </c>
      <c r="F2272" t="inlineStr">
        <is>
          <t>0233/26</t>
        </is>
      </c>
      <c r="G2272" t="inlineStr">
        <is>
          <t>RE</t>
        </is>
      </c>
      <c r="H2272" s="12" t="n">
        <v>-461.51</v>
      </c>
      <c r="I2272" s="17" t="n">
        <v>46241</v>
      </c>
      <c r="J2272" s="17" t="n">
        <v>46271</v>
      </c>
      <c r="K2272" t="inlineStr">
        <is>
          <t>Invoice Payment. SP: 21175</t>
        </is>
      </c>
    </row>
    <row r="2273">
      <c r="A2273" t="inlineStr">
        <is>
          <t>101030</t>
        </is>
      </c>
      <c r="B2273" t="inlineStr">
        <is>
          <t>ISAAC ALCANTARA SOC INDIV DE ADVOCA</t>
        </is>
      </c>
      <c r="C2273" t="n">
        <v>2111000000</v>
      </c>
      <c r="D2273" t="inlineStr">
        <is>
          <t>Legal Services Suppliers</t>
        </is>
      </c>
      <c r="E2273" t="n">
        <v>5014644</v>
      </c>
      <c r="F2273" t="inlineStr">
        <is>
          <t>70</t>
        </is>
      </c>
      <c r="G2273" t="inlineStr">
        <is>
          <t>RE</t>
        </is>
      </c>
      <c r="H2273" s="12" t="n">
        <v>-23113.2</v>
      </c>
      <c r="I2273" s="17" t="n">
        <v>46237</v>
      </c>
      <c r="J2273" s="17" t="n">
        <v>46267</v>
      </c>
      <c r="K2273" t="inlineStr">
        <is>
          <t>Fatura - bruto ISAAC ALCANTARA SOC INDIV DE ADVOCA</t>
        </is>
      </c>
    </row>
    <row r="2274">
      <c r="A2274" t="inlineStr">
        <is>
          <t>101030</t>
        </is>
      </c>
      <c r="B2274" t="inlineStr">
        <is>
          <t>ISAAC ALCANTARA SOC INDIV DE ADVOCA</t>
        </is>
      </c>
      <c r="C2274" t="n">
        <v>2111000000</v>
      </c>
      <c r="D2274" t="inlineStr">
        <is>
          <t>Legal Services Suppliers</t>
        </is>
      </c>
      <c r="E2274" t="n">
        <v>5014645</v>
      </c>
      <c r="F2274" t="inlineStr">
        <is>
          <t>71</t>
        </is>
      </c>
      <c r="G2274" t="inlineStr">
        <is>
          <t>RE</t>
        </is>
      </c>
      <c r="H2274" s="12" t="n">
        <v>-1805.12</v>
      </c>
      <c r="I2274" s="17" t="n">
        <v>46237</v>
      </c>
      <c r="J2274" s="17" t="n">
        <v>46267</v>
      </c>
      <c r="K2274" t="inlineStr">
        <is>
          <t>Fatura - bruto ISAAC ALCANTARA SOC INDIV DE ADVOCA</t>
        </is>
      </c>
    </row>
    <row r="2275">
      <c r="A2275" t="inlineStr">
        <is>
          <t>101463</t>
        </is>
      </c>
      <c r="B2275" t="inlineStr">
        <is>
          <t>ZURICH MINAS BRASIL SEGUROS S A</t>
        </is>
      </c>
      <c r="C2275" t="n">
        <v>2111000000</v>
      </c>
      <c r="D2275" t="inlineStr">
        <is>
          <t>Insurance</t>
        </is>
      </c>
      <c r="E2275" t="n">
        <v>5014658</v>
      </c>
      <c r="F2275" t="inlineStr">
        <is>
          <t>0466/26</t>
        </is>
      </c>
      <c r="G2275" t="inlineStr">
        <is>
          <t>RE</t>
        </is>
      </c>
      <c r="H2275" s="12" t="n">
        <v>-7.14</v>
      </c>
      <c r="I2275" s="17" t="n">
        <v>46241</v>
      </c>
      <c r="J2275" s="17" t="n">
        <v>46271</v>
      </c>
      <c r="K2275" t="inlineStr">
        <is>
          <t>Invoice Payment. SP: 21198</t>
        </is>
      </c>
    </row>
    <row r="2276">
      <c r="A2276" t="inlineStr">
        <is>
          <t>101463</t>
        </is>
      </c>
      <c r="B2276" t="inlineStr">
        <is>
          <t>ZURICH MINAS BRASIL SEGUROS S A</t>
        </is>
      </c>
      <c r="C2276" t="n">
        <v>2111000000</v>
      </c>
      <c r="D2276" t="inlineStr">
        <is>
          <t>Insurance</t>
        </is>
      </c>
      <c r="E2276" t="n">
        <v>5014660</v>
      </c>
      <c r="F2276" t="inlineStr">
        <is>
          <t>0383/26</t>
        </is>
      </c>
      <c r="G2276" t="inlineStr">
        <is>
          <t>RE</t>
        </is>
      </c>
      <c r="H2276" s="12" t="n">
        <v>-7.67</v>
      </c>
      <c r="I2276" s="17" t="n">
        <v>46241</v>
      </c>
      <c r="J2276" s="17" t="n">
        <v>46271</v>
      </c>
      <c r="K2276" t="inlineStr">
        <is>
          <t>Invoice Payment. SP: 21200</t>
        </is>
      </c>
    </row>
    <row r="2277">
      <c r="A2277" t="inlineStr">
        <is>
          <t>101463</t>
        </is>
      </c>
      <c r="B2277" t="inlineStr">
        <is>
          <t>ZURICH MINAS BRASIL SEGUROS S A</t>
        </is>
      </c>
      <c r="C2277" t="n">
        <v>2111000000</v>
      </c>
      <c r="D2277" t="inlineStr">
        <is>
          <t>Insurance</t>
        </is>
      </c>
      <c r="E2277" t="n">
        <v>5014666</v>
      </c>
      <c r="F2277" t="inlineStr">
        <is>
          <t>0238/26E</t>
        </is>
      </c>
      <c r="G2277" t="inlineStr">
        <is>
          <t>RE</t>
        </is>
      </c>
      <c r="H2277" s="12" t="n">
        <v>-197.3</v>
      </c>
      <c r="I2277" s="17" t="n">
        <v>46241</v>
      </c>
      <c r="J2277" s="17" t="n">
        <v>46241</v>
      </c>
      <c r="K2277" t="inlineStr">
        <is>
          <t>Invoice Payment. SP: 21201</t>
        </is>
      </c>
    </row>
    <row r="2278">
      <c r="A2278" t="inlineStr">
        <is>
          <t>101846</t>
        </is>
      </c>
      <c r="B2278" t="inlineStr">
        <is>
          <t>INNOVARE CONTABILIDADE LTDA EPP</t>
        </is>
      </c>
      <c r="C2278" t="n">
        <v>2111000000</v>
      </c>
      <c r="D2278" t="inlineStr">
        <is>
          <t>Other Suppliers</t>
        </is>
      </c>
      <c r="E2278" t="n">
        <v>5014667</v>
      </c>
      <c r="F2278" t="inlineStr">
        <is>
          <t>8156</t>
        </is>
      </c>
      <c r="G2278" t="inlineStr">
        <is>
          <t>RE</t>
        </is>
      </c>
      <c r="H2278" s="12" t="n">
        <v>-22889.43</v>
      </c>
      <c r="I2278" s="17" t="n">
        <v>46241</v>
      </c>
      <c r="J2278" s="17" t="n">
        <v>46268</v>
      </c>
      <c r="K2278" t="inlineStr">
        <is>
          <t>Fatura - bruto INNOVARE CONTABILIDADE LTDA EPP 815</t>
        </is>
      </c>
    </row>
    <row r="2279">
      <c r="A2279" t="inlineStr">
        <is>
          <t>101846</t>
        </is>
      </c>
      <c r="B2279" t="inlineStr">
        <is>
          <t>INNOVARE CONTABILIDADE LTDA EPP</t>
        </is>
      </c>
      <c r="C2279" t="n">
        <v>2111000000</v>
      </c>
      <c r="D2279" t="inlineStr">
        <is>
          <t>Other Suppliers</t>
        </is>
      </c>
      <c r="E2279" t="n">
        <v>5014668</v>
      </c>
      <c r="F2279" t="inlineStr">
        <is>
          <t>010</t>
        </is>
      </c>
      <c r="G2279" t="inlineStr">
        <is>
          <t>RE</t>
        </is>
      </c>
      <c r="H2279" s="12" t="n">
        <v>-61.1</v>
      </c>
      <c r="I2279" s="17" t="n">
        <v>46241</v>
      </c>
      <c r="J2279" s="17" t="n">
        <v>46268</v>
      </c>
      <c r="K2279" t="inlineStr">
        <is>
          <t>Fatura - bruto INNOVARE CONTABILIDADE LTDA EPP 010</t>
        </is>
      </c>
    </row>
    <row r="2280">
      <c r="A2280" t="inlineStr">
        <is>
          <t>103727</t>
        </is>
      </c>
      <c r="B2280" t="inlineStr">
        <is>
          <t>COMECIAL NGS LTDA</t>
        </is>
      </c>
      <c r="C2280" t="n">
        <v>2111000000</v>
      </c>
      <c r="D2280" t="inlineStr">
        <is>
          <t>Other Suppliers</t>
        </is>
      </c>
      <c r="E2280" t="n">
        <v>5014670</v>
      </c>
      <c r="F2280" t="inlineStr">
        <is>
          <t>000001151-2</t>
        </is>
      </c>
      <c r="G2280" t="inlineStr">
        <is>
          <t>RE</t>
        </is>
      </c>
      <c r="H2280" s="12" t="n">
        <v>-6068.35</v>
      </c>
      <c r="I2280" s="17" t="n">
        <v>46226</v>
      </c>
      <c r="J2280" s="17" t="n">
        <v>46270</v>
      </c>
      <c r="K2280" t="inlineStr">
        <is>
          <t>Fatura - bruto COMECIAL NGS LTDA 000001151-2</t>
        </is>
      </c>
    </row>
    <row r="2281">
      <c r="A2281" t="inlineStr">
        <is>
          <t>103727</t>
        </is>
      </c>
      <c r="B2281" t="inlineStr">
        <is>
          <t>COMECIAL NGS LTDA</t>
        </is>
      </c>
      <c r="C2281" t="n">
        <v>2111000000</v>
      </c>
      <c r="D2281" t="inlineStr">
        <is>
          <t>Other Suppliers</t>
        </is>
      </c>
      <c r="E2281" t="n">
        <v>5014671</v>
      </c>
      <c r="F2281" t="inlineStr">
        <is>
          <t>000001163-2</t>
        </is>
      </c>
      <c r="G2281" t="inlineStr">
        <is>
          <t>RE</t>
        </is>
      </c>
      <c r="H2281" s="12" t="n">
        <v>-3734.37</v>
      </c>
      <c r="I2281" s="17" t="n">
        <v>46232</v>
      </c>
      <c r="J2281" s="17" t="n">
        <v>46270</v>
      </c>
      <c r="K2281" t="inlineStr">
        <is>
          <t>Fatura - bruto COMECIAL NGS LTDA 000001163-2</t>
        </is>
      </c>
    </row>
    <row r="2282">
      <c r="A2282" t="inlineStr">
        <is>
          <t>103727</t>
        </is>
      </c>
      <c r="B2282" t="inlineStr">
        <is>
          <t>COMECIAL NGS LTDA</t>
        </is>
      </c>
      <c r="C2282" t="n">
        <v>2111000000</v>
      </c>
      <c r="D2282" t="inlineStr">
        <is>
          <t>Other Suppliers</t>
        </is>
      </c>
      <c r="E2282" t="n">
        <v>5014672</v>
      </c>
      <c r="F2282" t="inlineStr">
        <is>
          <t>000001164-2</t>
        </is>
      </c>
      <c r="G2282" t="inlineStr">
        <is>
          <t>RE</t>
        </is>
      </c>
      <c r="H2282" s="12" t="n">
        <v>-1867.18</v>
      </c>
      <c r="I2282" s="17" t="n">
        <v>46232</v>
      </c>
      <c r="J2282" s="17" t="n">
        <v>46270</v>
      </c>
      <c r="K2282" t="inlineStr">
        <is>
          <t>Fatura - bruto COMECIAL NGS LTDA 000001164-2</t>
        </is>
      </c>
    </row>
    <row r="2283">
      <c r="A2283" t="inlineStr">
        <is>
          <t>101460</t>
        </is>
      </c>
      <c r="B2283" t="inlineStr">
        <is>
          <t>NS AUTOMACAO E INSTRUMENTAÇAO LTDA</t>
        </is>
      </c>
      <c r="C2283" t="n">
        <v>2111000000</v>
      </c>
      <c r="D2283" t="inlineStr">
        <is>
          <t>Other Suppliers</t>
        </is>
      </c>
      <c r="E2283" t="n">
        <v>5014675</v>
      </c>
      <c r="F2283" t="inlineStr">
        <is>
          <t>000005785-1</t>
        </is>
      </c>
      <c r="G2283" t="inlineStr">
        <is>
          <t>RE</t>
        </is>
      </c>
      <c r="H2283" s="12" t="n">
        <v>-19300</v>
      </c>
      <c r="I2283" s="17" t="n">
        <v>46225</v>
      </c>
      <c r="J2283" s="17" t="n">
        <v>46270</v>
      </c>
      <c r="K2283" t="inlineStr">
        <is>
          <t>Fatura - bruto NS AUTOMACAO E INSTRUMENTAÇAO LTDA</t>
        </is>
      </c>
    </row>
    <row r="2284">
      <c r="A2284" t="inlineStr">
        <is>
          <t>102017</t>
        </is>
      </c>
      <c r="B2284" t="inlineStr">
        <is>
          <t>GLOBO COMERCIO DE MAQUINAS E FERRAM</t>
        </is>
      </c>
      <c r="C2284" t="n">
        <v>2111000000</v>
      </c>
      <c r="D2284" t="inlineStr">
        <is>
          <t>Other Suppliers</t>
        </is>
      </c>
      <c r="E2284" t="n">
        <v>5014677</v>
      </c>
      <c r="F2284" t="inlineStr">
        <is>
          <t>000022378-1</t>
        </is>
      </c>
      <c r="G2284" t="inlineStr">
        <is>
          <t>RE</t>
        </is>
      </c>
      <c r="H2284" s="12" t="n">
        <v>-22742.85</v>
      </c>
      <c r="I2284" s="17" t="n">
        <v>46217</v>
      </c>
      <c r="J2284" s="17" t="n">
        <v>46270</v>
      </c>
      <c r="K2284" t="inlineStr">
        <is>
          <t>Fatura - bruto GLOBO COMERCIO DE MAQUINAS E FERRAM</t>
        </is>
      </c>
    </row>
    <row r="2285">
      <c r="A2285" t="inlineStr">
        <is>
          <t>101929</t>
        </is>
      </c>
      <c r="B2285" t="inlineStr">
        <is>
          <t>TECNOFIX INDUSTRIA E COMERCIO DE PA</t>
        </is>
      </c>
      <c r="C2285" t="n">
        <v>2111000000</v>
      </c>
      <c r="D2285" t="inlineStr">
        <is>
          <t>Operational Suppliers (Wind Farms)</t>
        </is>
      </c>
      <c r="E2285" t="n">
        <v>5014681</v>
      </c>
      <c r="F2285" t="inlineStr">
        <is>
          <t>000031362-1</t>
        </is>
      </c>
      <c r="G2285" t="inlineStr">
        <is>
          <t>RE</t>
        </is>
      </c>
      <c r="H2285" s="12" t="n">
        <v>-4089.39</v>
      </c>
      <c r="I2285" s="17" t="n">
        <v>46223</v>
      </c>
      <c r="J2285" s="17" t="n">
        <v>46300</v>
      </c>
      <c r="K2285" t="inlineStr">
        <is>
          <t>Fatura - bruto TECNOFIX INDUSTRIA E COMERCIO DE PA</t>
        </is>
      </c>
    </row>
    <row r="2286">
      <c r="A2286" t="inlineStr">
        <is>
          <t>101929</t>
        </is>
      </c>
      <c r="B2286" t="inlineStr">
        <is>
          <t>TECNOFIX INDUSTRIA E COMERCIO DE PA</t>
        </is>
      </c>
      <c r="C2286" t="n">
        <v>2111000000</v>
      </c>
      <c r="D2286" t="inlineStr">
        <is>
          <t>Operational Suppliers (Wind Farms)</t>
        </is>
      </c>
      <c r="E2286" t="n">
        <v>5014682</v>
      </c>
      <c r="F2286" t="inlineStr">
        <is>
          <t>000031376-1</t>
        </is>
      </c>
      <c r="G2286" t="inlineStr">
        <is>
          <t>RE</t>
        </is>
      </c>
      <c r="H2286" s="12" t="n">
        <v>-17404.83</v>
      </c>
      <c r="I2286" s="17" t="n">
        <v>46227</v>
      </c>
      <c r="J2286" s="17" t="n">
        <v>46300</v>
      </c>
      <c r="K2286" t="inlineStr">
        <is>
          <t>Fatura - bruto TECNOFIX INDUSTRIA E COMERCIO DE PA</t>
        </is>
      </c>
    </row>
    <row r="2287">
      <c r="A2287" t="inlineStr">
        <is>
          <t>101929</t>
        </is>
      </c>
      <c r="B2287" t="inlineStr">
        <is>
          <t>TECNOFIX INDUSTRIA E COMERCIO DE PA</t>
        </is>
      </c>
      <c r="C2287" t="n">
        <v>2111000000</v>
      </c>
      <c r="D2287" t="inlineStr">
        <is>
          <t>Operational Suppliers (Wind Farms)</t>
        </is>
      </c>
      <c r="E2287" t="n">
        <v>5014683</v>
      </c>
      <c r="F2287" t="inlineStr">
        <is>
          <t>000031379-1</t>
        </is>
      </c>
      <c r="G2287" t="inlineStr">
        <is>
          <t>RE</t>
        </is>
      </c>
      <c r="H2287" s="12" t="n">
        <v>-42492.38</v>
      </c>
      <c r="I2287" s="17" t="n">
        <v>46227</v>
      </c>
      <c r="J2287" s="17" t="n">
        <v>46300</v>
      </c>
      <c r="K2287" t="inlineStr">
        <is>
          <t>Fatura - bruto TECNOFIX INDUSTRIA E COMERCIO DE PA</t>
        </is>
      </c>
    </row>
    <row r="2288">
      <c r="A2288" t="inlineStr">
        <is>
          <t>101929</t>
        </is>
      </c>
      <c r="B2288" t="inlineStr">
        <is>
          <t>TECNOFIX INDUSTRIA E COMERCIO DE PA</t>
        </is>
      </c>
      <c r="C2288" t="n">
        <v>2111000000</v>
      </c>
      <c r="D2288" t="inlineStr">
        <is>
          <t>Operational Suppliers (Wind Farms)</t>
        </is>
      </c>
      <c r="E2288" t="n">
        <v>5014684</v>
      </c>
      <c r="F2288" t="inlineStr">
        <is>
          <t>000031383-1</t>
        </is>
      </c>
      <c r="G2288" t="inlineStr">
        <is>
          <t>RE</t>
        </is>
      </c>
      <c r="H2288" s="12" t="n">
        <v>-50542.28</v>
      </c>
      <c r="I2288" s="17" t="n">
        <v>46231</v>
      </c>
      <c r="J2288" s="17" t="n">
        <v>46300</v>
      </c>
      <c r="K2288" t="inlineStr">
        <is>
          <t>Fatura - bruto TECNOFIX INDUSTRIA E COMERCIO DE PA</t>
        </is>
      </c>
    </row>
    <row r="2289">
      <c r="A2289" t="inlineStr">
        <is>
          <t>102114</t>
        </is>
      </c>
      <c r="B2289" t="inlineStr">
        <is>
          <t>LUBRISINT LUBR SINTETICOS ESPECIAS 50484476000113</t>
        </is>
      </c>
      <c r="C2289" t="n">
        <v>2111000000</v>
      </c>
      <c r="D2289" t="inlineStr">
        <is>
          <t>Operational Suppliers (Wind Farms)</t>
        </is>
      </c>
      <c r="E2289" t="n">
        <v>5014686</v>
      </c>
      <c r="F2289" t="inlineStr">
        <is>
          <t>000046835-1</t>
        </is>
      </c>
      <c r="G2289" t="inlineStr">
        <is>
          <t>RE</t>
        </is>
      </c>
      <c r="H2289" s="12" t="n">
        <v>-3671.76</v>
      </c>
      <c r="I2289" s="17" t="n">
        <v>46230</v>
      </c>
      <c r="J2289" s="17" t="n">
        <v>46270</v>
      </c>
      <c r="K2289" t="inlineStr">
        <is>
          <t>Fatura - bruto LUBRISINT LUBR SINTETICOS ESPECIAS</t>
        </is>
      </c>
    </row>
    <row r="2290">
      <c r="A2290" t="inlineStr">
        <is>
          <t>103839</t>
        </is>
      </c>
      <c r="B2290" t="inlineStr">
        <is>
          <t>NORTEL SUPRIMENTOS INDUSTRIAIS LTDA</t>
        </is>
      </c>
      <c r="C2290" t="n">
        <v>2111000000</v>
      </c>
      <c r="D2290" t="inlineStr">
        <is>
          <t>Operational Suppliers (Wind Farms)</t>
        </is>
      </c>
      <c r="E2290" t="n">
        <v>5014687</v>
      </c>
      <c r="F2290" t="inlineStr">
        <is>
          <t>000200898-1</t>
        </is>
      </c>
      <c r="G2290" t="inlineStr">
        <is>
          <t>RE</t>
        </is>
      </c>
      <c r="H2290" s="12" t="n">
        <v>-41612.95</v>
      </c>
      <c r="I2290" s="17" t="n">
        <v>46220</v>
      </c>
      <c r="J2290" s="17" t="n">
        <v>46270</v>
      </c>
      <c r="K2290" t="inlineStr">
        <is>
          <t>Fatura - bruto NORTEL SUPRIMENTOS INDUSTRIAIS LTDA</t>
        </is>
      </c>
    </row>
    <row r="2291">
      <c r="A2291" t="inlineStr">
        <is>
          <t>101848</t>
        </is>
      </c>
      <c r="B2291" t="inlineStr">
        <is>
          <t>KLUBER LUBRICATION LUBRIF ESPECIAIS</t>
        </is>
      </c>
      <c r="C2291" t="n">
        <v>2111000000</v>
      </c>
      <c r="D2291" t="inlineStr">
        <is>
          <t>Other Suppliers</t>
        </is>
      </c>
      <c r="E2291" t="n">
        <v>5014691</v>
      </c>
      <c r="F2291" t="inlineStr">
        <is>
          <t>000772607-1</t>
        </is>
      </c>
      <c r="G2291" t="inlineStr">
        <is>
          <t>RE</t>
        </is>
      </c>
      <c r="H2291" s="12" t="n">
        <v>-87974.92999999999</v>
      </c>
      <c r="I2291" s="17" t="n">
        <v>46225</v>
      </c>
      <c r="J2291" s="17" t="n">
        <v>46270</v>
      </c>
      <c r="K2291" t="inlineStr">
        <is>
          <t>Fatura - bruto KLUBER LUBRICATION LUBRIF ESPECIAIS</t>
        </is>
      </c>
    </row>
    <row r="2292">
      <c r="A2292" t="inlineStr">
        <is>
          <t>101848</t>
        </is>
      </c>
      <c r="B2292" t="inlineStr">
        <is>
          <t>KLUBER LUBRICATION LUBRIF ESPECIAIS</t>
        </is>
      </c>
      <c r="C2292" t="n">
        <v>2111000000</v>
      </c>
      <c r="D2292" t="inlineStr">
        <is>
          <t>Other Suppliers</t>
        </is>
      </c>
      <c r="E2292" t="n">
        <v>5014692</v>
      </c>
      <c r="F2292" t="inlineStr">
        <is>
          <t>000772723-1</t>
        </is>
      </c>
      <c r="G2292" t="inlineStr">
        <is>
          <t>RE</t>
        </is>
      </c>
      <c r="H2292" s="12" t="n">
        <v>-58649.95</v>
      </c>
      <c r="I2292" s="17" t="n">
        <v>46226</v>
      </c>
      <c r="J2292" s="17" t="n">
        <v>46270</v>
      </c>
      <c r="K2292" t="inlineStr">
        <is>
          <t>Fatura - bruto KLUBER LUBRICATION LUBRIF ESPECIAIS</t>
        </is>
      </c>
    </row>
    <row r="2293">
      <c r="A2293" t="inlineStr">
        <is>
          <t>103966</t>
        </is>
      </c>
      <c r="B2293" t="inlineStr">
        <is>
          <t>HINE DO BRASIL IND E COM HIDR E PN 12482538000754</t>
        </is>
      </c>
      <c r="C2293" t="n">
        <v>2111000000</v>
      </c>
      <c r="D2293" t="inlineStr">
        <is>
          <t>Operational Suppliers (Wind Farms)</t>
        </is>
      </c>
      <c r="E2293" t="n">
        <v>5014694</v>
      </c>
      <c r="F2293" t="inlineStr">
        <is>
          <t>000004243-1</t>
        </is>
      </c>
      <c r="G2293" t="inlineStr">
        <is>
          <t>RE</t>
        </is>
      </c>
      <c r="H2293" s="12" t="n">
        <v>-93503.8</v>
      </c>
      <c r="I2293" s="17" t="n">
        <v>46224</v>
      </c>
      <c r="J2293" s="17" t="n">
        <v>46270</v>
      </c>
      <c r="K2293" t="inlineStr">
        <is>
          <t>Fatura - bruto HINE DO BRASIL IND E COM HIDR E PN</t>
        </is>
      </c>
    </row>
    <row r="2294">
      <c r="A2294" t="inlineStr">
        <is>
          <t>101420</t>
        </is>
      </c>
      <c r="B2294" t="inlineStr">
        <is>
          <t>MEDEIROS GALVAO SOLUÇÕES LTDA</t>
        </is>
      </c>
      <c r="C2294" t="n">
        <v>2111000000</v>
      </c>
      <c r="D2294" t="inlineStr">
        <is>
          <t>Customs Brokerage – Overall</t>
        </is>
      </c>
      <c r="E2294" t="n">
        <v>5014695</v>
      </c>
      <c r="F2294" t="inlineStr">
        <is>
          <t>000030211-2</t>
        </is>
      </c>
      <c r="G2294" t="inlineStr">
        <is>
          <t>RE</t>
        </is>
      </c>
      <c r="H2294" s="12" t="n">
        <v>-11056.98</v>
      </c>
      <c r="I2294" s="17" t="n">
        <v>46234</v>
      </c>
      <c r="J2294" s="17" t="n">
        <v>46270</v>
      </c>
      <c r="K2294" t="inlineStr">
        <is>
          <t>Fatura - bruto MEDEIROS GALVAO SOLUÇÕES LTDA 00003</t>
        </is>
      </c>
    </row>
    <row r="2295">
      <c r="A2295" t="inlineStr">
        <is>
          <t>101253</t>
        </is>
      </c>
      <c r="B2295" t="inlineStr">
        <is>
          <t>ALTUS SISTEMAS DE AUTOMACAO SA</t>
        </is>
      </c>
      <c r="C2295" t="n">
        <v>2111000000</v>
      </c>
      <c r="D2295" t="inlineStr">
        <is>
          <t>Other Suppliers</t>
        </is>
      </c>
      <c r="E2295" t="n">
        <v>5014696</v>
      </c>
      <c r="F2295" t="inlineStr">
        <is>
          <t>000076162-1</t>
        </is>
      </c>
      <c r="G2295" t="inlineStr">
        <is>
          <t>RE</t>
        </is>
      </c>
      <c r="H2295" s="12" t="n">
        <v>-15989.86</v>
      </c>
      <c r="I2295" s="17" t="n">
        <v>46231</v>
      </c>
      <c r="J2295" s="17" t="n">
        <v>46270</v>
      </c>
      <c r="K2295" t="inlineStr">
        <is>
          <t>Fatura - bruto ALTUS SISTEMAS DE AUTOMACAO SA 0000</t>
        </is>
      </c>
    </row>
    <row r="2296">
      <c r="A2296" t="inlineStr">
        <is>
          <t>101218</t>
        </is>
      </c>
      <c r="B2296" t="inlineStr">
        <is>
          <t>CARLSONS PRODUTOS INDUSTRIAIS LTDA</t>
        </is>
      </c>
      <c r="C2296" t="n">
        <v>2111000000</v>
      </c>
      <c r="D2296" t="inlineStr">
        <is>
          <t>Consumables Suppliers</t>
        </is>
      </c>
      <c r="E2296" t="n">
        <v>5014698</v>
      </c>
      <c r="F2296" t="inlineStr">
        <is>
          <t>000210018-2</t>
        </is>
      </c>
      <c r="G2296" t="inlineStr">
        <is>
          <t>RE</t>
        </is>
      </c>
      <c r="H2296" s="12" t="n">
        <v>-6177.36</v>
      </c>
      <c r="I2296" s="17" t="n">
        <v>46225</v>
      </c>
      <c r="J2296" s="17" t="n">
        <v>46270</v>
      </c>
      <c r="K2296" t="inlineStr">
        <is>
          <t>Fatura - bruto CARLSONS PRODUTOS INDUSTRIAIS LTDA</t>
        </is>
      </c>
    </row>
    <row r="2297">
      <c r="A2297" t="inlineStr">
        <is>
          <t>101460</t>
        </is>
      </c>
      <c r="B2297" t="inlineStr">
        <is>
          <t>NS AUTOMACAO E INSTRUMENTAÇAO LTDA</t>
        </is>
      </c>
      <c r="C2297" t="n">
        <v>2111000000</v>
      </c>
      <c r="D2297" t="inlineStr">
        <is>
          <t>Other Suppliers</t>
        </is>
      </c>
      <c r="E2297" t="n">
        <v>5014702</v>
      </c>
      <c r="F2297" t="inlineStr">
        <is>
          <t>000005786-1</t>
        </is>
      </c>
      <c r="G2297" t="inlineStr">
        <is>
          <t>RE</t>
        </is>
      </c>
      <c r="H2297" s="12" t="n">
        <v>-7720</v>
      </c>
      <c r="I2297" s="17" t="n">
        <v>46225</v>
      </c>
      <c r="J2297" s="17" t="n">
        <v>46270</v>
      </c>
      <c r="K2297" t="inlineStr">
        <is>
          <t>Fatura - bruto NS AUTOMACAO E INSTRUMENTAÇAO LTDA</t>
        </is>
      </c>
    </row>
    <row r="2298">
      <c r="A2298" t="inlineStr">
        <is>
          <t>101929</t>
        </is>
      </c>
      <c r="B2298" t="inlineStr">
        <is>
          <t>TECNOFIX INDUSTRIA E COMERCIO DE PA</t>
        </is>
      </c>
      <c r="C2298" t="n">
        <v>2111000000</v>
      </c>
      <c r="D2298" t="inlineStr">
        <is>
          <t>Operational Suppliers (Wind Farms)</t>
        </is>
      </c>
      <c r="E2298" t="n">
        <v>5014704</v>
      </c>
      <c r="F2298" t="inlineStr">
        <is>
          <t>000031377-1</t>
        </is>
      </c>
      <c r="G2298" t="inlineStr">
        <is>
          <t>RE</t>
        </is>
      </c>
      <c r="H2298" s="12" t="n">
        <v>-72859.85000000001</v>
      </c>
      <c r="I2298" s="17" t="n">
        <v>46227</v>
      </c>
      <c r="J2298" s="17" t="n">
        <v>46300</v>
      </c>
      <c r="K2298" t="inlineStr">
        <is>
          <t>Fatura - bruto TECNOFIX INDUSTRIA E COMERCIO DE PA</t>
        </is>
      </c>
    </row>
    <row r="2299">
      <c r="A2299" t="inlineStr">
        <is>
          <t>101099</t>
        </is>
      </c>
      <c r="B2299" t="inlineStr">
        <is>
          <t>HYDAC TECNOLOGIA LTDA</t>
        </is>
      </c>
      <c r="C2299" t="n">
        <v>2111000000</v>
      </c>
      <c r="D2299" t="inlineStr">
        <is>
          <t>Operational Suppliers (Wind Farms)</t>
        </is>
      </c>
      <c r="E2299" t="n">
        <v>5014706</v>
      </c>
      <c r="F2299" t="inlineStr">
        <is>
          <t>000088064-20</t>
        </is>
      </c>
      <c r="G2299" t="inlineStr">
        <is>
          <t>RE</t>
        </is>
      </c>
      <c r="H2299" s="12" t="n">
        <v>-39758.99</v>
      </c>
      <c r="I2299" s="17" t="n">
        <v>46211</v>
      </c>
      <c r="J2299" s="17" t="n">
        <v>46270</v>
      </c>
      <c r="K2299" t="inlineStr">
        <is>
          <t>Fatura - bruto HYDAC TECNOLOGIA LTDA 000088064-20</t>
        </is>
      </c>
    </row>
    <row r="2300">
      <c r="A2300" t="inlineStr">
        <is>
          <t>103839</t>
        </is>
      </c>
      <c r="B2300" t="inlineStr">
        <is>
          <t>NORTEL SUPRIMENTOS INDUSTRIAIS LTDA</t>
        </is>
      </c>
      <c r="C2300" t="n">
        <v>2111000000</v>
      </c>
      <c r="D2300" t="inlineStr">
        <is>
          <t>Operational Suppliers (Wind Farms)</t>
        </is>
      </c>
      <c r="E2300" t="n">
        <v>5014707</v>
      </c>
      <c r="F2300" t="inlineStr">
        <is>
          <t>000200896-1</t>
        </is>
      </c>
      <c r="G2300" t="inlineStr">
        <is>
          <t>RE</t>
        </is>
      </c>
      <c r="H2300" s="12" t="n">
        <v>-12585.38</v>
      </c>
      <c r="I2300" s="17" t="n">
        <v>46220</v>
      </c>
      <c r="J2300" s="17" t="n">
        <v>46270</v>
      </c>
      <c r="K2300" t="inlineStr">
        <is>
          <t>Fatura - bruto NORTEL SUPRIMENTOS INDUSTRIAIS LTDA</t>
        </is>
      </c>
    </row>
    <row r="2301">
      <c r="A2301" t="inlineStr">
        <is>
          <t>101420</t>
        </is>
      </c>
      <c r="B2301" t="inlineStr">
        <is>
          <t>MEDEIROS GALVAO SOLUÇÕES LTDA</t>
        </is>
      </c>
      <c r="C2301" t="n">
        <v>2111000000</v>
      </c>
      <c r="D2301" t="inlineStr">
        <is>
          <t>Customs Brokerage – Overall</t>
        </is>
      </c>
      <c r="E2301" t="n">
        <v>5014708</v>
      </c>
      <c r="F2301" t="inlineStr">
        <is>
          <t>000030007-2</t>
        </is>
      </c>
      <c r="G2301" t="inlineStr">
        <is>
          <t>RE</t>
        </is>
      </c>
      <c r="H2301" s="12" t="n">
        <v>-17820</v>
      </c>
      <c r="I2301" s="17" t="n">
        <v>46225</v>
      </c>
      <c r="J2301" s="17" t="n">
        <v>46270</v>
      </c>
      <c r="K2301" t="inlineStr">
        <is>
          <t>Fatura - bruto MEDEIROS GALVAO SOLUÇÕES LTDA 00003</t>
        </is>
      </c>
    </row>
    <row r="2302">
      <c r="A2302" t="inlineStr">
        <is>
          <t>101420</t>
        </is>
      </c>
      <c r="B2302" t="inlineStr">
        <is>
          <t>MEDEIROS GALVAO SOLUÇÕES LTDA</t>
        </is>
      </c>
      <c r="C2302" t="n">
        <v>2111000000</v>
      </c>
      <c r="D2302" t="inlineStr">
        <is>
          <t>Customs Brokerage – Overall</t>
        </is>
      </c>
      <c r="E2302" t="n">
        <v>5014709</v>
      </c>
      <c r="F2302" t="inlineStr">
        <is>
          <t>000030080-2</t>
        </is>
      </c>
      <c r="G2302" t="inlineStr">
        <is>
          <t>RE</t>
        </is>
      </c>
      <c r="H2302" s="12" t="n">
        <v>-17780</v>
      </c>
      <c r="I2302" s="17" t="n">
        <v>46227</v>
      </c>
      <c r="J2302" s="17" t="n">
        <v>46270</v>
      </c>
      <c r="K2302" t="inlineStr">
        <is>
          <t>Fatura - bruto MEDEIROS GALVAO SOLUÇÕES LTDA 00003</t>
        </is>
      </c>
    </row>
    <row r="2303">
      <c r="A2303" t="inlineStr">
        <is>
          <t>101420</t>
        </is>
      </c>
      <c r="B2303" t="inlineStr">
        <is>
          <t>MEDEIROS GALVAO SOLUÇÕES LTDA</t>
        </is>
      </c>
      <c r="C2303" t="n">
        <v>2111000000</v>
      </c>
      <c r="D2303" t="inlineStr">
        <is>
          <t>Customs Brokerage – Overall</t>
        </is>
      </c>
      <c r="E2303" t="n">
        <v>5014710</v>
      </c>
      <c r="F2303" t="inlineStr">
        <is>
          <t>000030117-2</t>
        </is>
      </c>
      <c r="G2303" t="inlineStr">
        <is>
          <t>RE</t>
        </is>
      </c>
      <c r="H2303" s="12" t="n">
        <v>-3381</v>
      </c>
      <c r="I2303" s="17" t="n">
        <v>46230</v>
      </c>
      <c r="J2303" s="17" t="n">
        <v>46270</v>
      </c>
      <c r="K2303" t="inlineStr">
        <is>
          <t>Fatura - bruto MEDEIROS GALVAO SOLUÇÕES LTDA 00003</t>
        </is>
      </c>
    </row>
    <row r="2304">
      <c r="A2304" t="inlineStr">
        <is>
          <t>101420</t>
        </is>
      </c>
      <c r="B2304" t="inlineStr">
        <is>
          <t>MEDEIROS GALVAO SOLUÇÕES LTDA</t>
        </is>
      </c>
      <c r="C2304" t="n">
        <v>2111000000</v>
      </c>
      <c r="D2304" t="inlineStr">
        <is>
          <t>Customs Brokerage – Overall</t>
        </is>
      </c>
      <c r="E2304" t="n">
        <v>5014711</v>
      </c>
      <c r="F2304" t="inlineStr">
        <is>
          <t>000030218-2</t>
        </is>
      </c>
      <c r="G2304" t="inlineStr">
        <is>
          <t>RE</t>
        </is>
      </c>
      <c r="H2304" s="12" t="n">
        <v>-6900</v>
      </c>
      <c r="I2304" s="17" t="n">
        <v>46234</v>
      </c>
      <c r="J2304" s="17" t="n">
        <v>46270</v>
      </c>
      <c r="K2304" t="inlineStr">
        <is>
          <t>Fatura - bruto MEDEIROS GALVAO SOLUÇÕES LTDA 00003</t>
        </is>
      </c>
    </row>
    <row r="2305">
      <c r="A2305" t="inlineStr">
        <is>
          <t>101420</t>
        </is>
      </c>
      <c r="B2305" t="inlineStr">
        <is>
          <t>MEDEIROS GALVAO SOLUÇÕES LTDA</t>
        </is>
      </c>
      <c r="C2305" t="n">
        <v>2111000000</v>
      </c>
      <c r="D2305" t="inlineStr">
        <is>
          <t>Customs Brokerage – Overall</t>
        </is>
      </c>
      <c r="E2305" t="n">
        <v>5014712</v>
      </c>
      <c r="F2305" t="inlineStr">
        <is>
          <t>000030289-2</t>
        </is>
      </c>
      <c r="G2305" t="inlineStr">
        <is>
          <t>RE</t>
        </is>
      </c>
      <c r="H2305" s="12" t="n">
        <v>-690</v>
      </c>
      <c r="I2305" s="17" t="n">
        <v>46238</v>
      </c>
      <c r="J2305" s="17" t="n">
        <v>46270</v>
      </c>
      <c r="K2305" t="inlineStr">
        <is>
          <t>Fatura - bruto MEDEIROS GALVAO SOLUÇÕES LTDA 00003</t>
        </is>
      </c>
    </row>
    <row r="2306">
      <c r="A2306" t="inlineStr">
        <is>
          <t>101967</t>
        </is>
      </c>
      <c r="B2306" t="inlineStr">
        <is>
          <t>JR EQUIPAMENTOS E SERVICOS LTDA  ME</t>
        </is>
      </c>
      <c r="C2306" t="n">
        <v>2111000000</v>
      </c>
      <c r="D2306" t="inlineStr">
        <is>
          <t>Other Suppliers</t>
        </is>
      </c>
      <c r="E2306" t="n">
        <v>5014713</v>
      </c>
      <c r="F2306" t="inlineStr">
        <is>
          <t>000039992-1</t>
        </is>
      </c>
      <c r="G2306" t="inlineStr">
        <is>
          <t>RE</t>
        </is>
      </c>
      <c r="H2306" s="12" t="n">
        <v>-10545</v>
      </c>
      <c r="I2306" s="17" t="n">
        <v>46230</v>
      </c>
      <c r="J2306" s="17" t="n">
        <v>46270</v>
      </c>
      <c r="K2306" t="inlineStr">
        <is>
          <t>Fatura - bruto JR EQUIPAMENTOS E SERVICOS LTDA  ME</t>
        </is>
      </c>
    </row>
    <row r="2307">
      <c r="A2307" t="inlineStr">
        <is>
          <t>101967</t>
        </is>
      </c>
      <c r="B2307" t="inlineStr">
        <is>
          <t>JR EQUIPAMENTOS E SERVICOS LTDA  ME</t>
        </is>
      </c>
      <c r="C2307" t="n">
        <v>2111000000</v>
      </c>
      <c r="D2307" t="inlineStr">
        <is>
          <t>Other Suppliers</t>
        </is>
      </c>
      <c r="E2307" t="n">
        <v>5014714</v>
      </c>
      <c r="F2307" t="inlineStr">
        <is>
          <t>000039993-1</t>
        </is>
      </c>
      <c r="G2307" t="inlineStr">
        <is>
          <t>RE</t>
        </is>
      </c>
      <c r="H2307" s="12" t="n">
        <v>-6418</v>
      </c>
      <c r="I2307" s="17" t="n">
        <v>46230</v>
      </c>
      <c r="J2307" s="17" t="n">
        <v>46270</v>
      </c>
      <c r="K2307" t="inlineStr">
        <is>
          <t>Fatura - bruto JR EQUIPAMENTOS E SERVICOS LTDA  ME</t>
        </is>
      </c>
    </row>
    <row r="2308">
      <c r="A2308" t="inlineStr">
        <is>
          <t>101967</t>
        </is>
      </c>
      <c r="B2308" t="inlineStr">
        <is>
          <t>JR EQUIPAMENTOS E SERVICOS LTDA  ME</t>
        </is>
      </c>
      <c r="C2308" t="n">
        <v>2111000000</v>
      </c>
      <c r="D2308" t="inlineStr">
        <is>
          <t>Other Suppliers</t>
        </is>
      </c>
      <c r="E2308" t="n">
        <v>5014715</v>
      </c>
      <c r="F2308" t="inlineStr">
        <is>
          <t>000039994-1</t>
        </is>
      </c>
      <c r="G2308" t="inlineStr">
        <is>
          <t>RE</t>
        </is>
      </c>
      <c r="H2308" s="12" t="n">
        <v>-8512</v>
      </c>
      <c r="I2308" s="17" t="n">
        <v>46230</v>
      </c>
      <c r="J2308" s="17" t="n">
        <v>46270</v>
      </c>
      <c r="K2308" t="inlineStr">
        <is>
          <t>Fatura - bruto JR EQUIPAMENTOS E SERVICOS LTDA  ME</t>
        </is>
      </c>
    </row>
    <row r="2309">
      <c r="A2309" t="inlineStr">
        <is>
          <t>101218</t>
        </is>
      </c>
      <c r="B2309" t="inlineStr">
        <is>
          <t>CARLSONS PRODUTOS INDUSTRIAIS LTDA</t>
        </is>
      </c>
      <c r="C2309" t="n">
        <v>2111000000</v>
      </c>
      <c r="D2309" t="inlineStr">
        <is>
          <t>Consumables Suppliers</t>
        </is>
      </c>
      <c r="E2309" t="n">
        <v>5014718</v>
      </c>
      <c r="F2309" t="inlineStr">
        <is>
          <t>000210057-2</t>
        </is>
      </c>
      <c r="G2309" t="inlineStr">
        <is>
          <t>RE</t>
        </is>
      </c>
      <c r="H2309" s="12" t="n">
        <v>-1056.27</v>
      </c>
      <c r="I2309" s="17" t="n">
        <v>46225</v>
      </c>
      <c r="J2309" s="17" t="n">
        <v>46270</v>
      </c>
      <c r="K2309" t="inlineStr">
        <is>
          <t>Fatura - bruto CARLSONS PRODUTOS INDUSTRIAIS LTDA</t>
        </is>
      </c>
    </row>
    <row r="2310">
      <c r="A2310" t="inlineStr">
        <is>
          <t>101688</t>
        </is>
      </c>
      <c r="B2310" t="inlineStr">
        <is>
          <t>AGIS EQUIPAMENTOS E SERVIÇOS DE INFORMATICA LTDA</t>
        </is>
      </c>
      <c r="C2310" t="n">
        <v>2111000000</v>
      </c>
      <c r="D2310" t="inlineStr">
        <is>
          <t>Consumables Suppliers</t>
        </is>
      </c>
      <c r="E2310" t="n">
        <v>5014719</v>
      </c>
      <c r="F2310" t="inlineStr">
        <is>
          <t>000617622-1</t>
        </is>
      </c>
      <c r="G2310" t="inlineStr">
        <is>
          <t>RE</t>
        </is>
      </c>
      <c r="H2310" s="12" t="n">
        <v>-2242</v>
      </c>
      <c r="I2310" s="17" t="n">
        <v>46230</v>
      </c>
      <c r="J2310" s="17" t="n">
        <v>46270</v>
      </c>
      <c r="K2310" t="inlineStr">
        <is>
          <t>Fatura - bruto AGIS EQUIPAMENTOS E SERVIÇOS DE INF</t>
        </is>
      </c>
    </row>
    <row r="2311">
      <c r="A2311" t="inlineStr">
        <is>
          <t>103999</t>
        </is>
      </c>
      <c r="B2311" t="inlineStr">
        <is>
          <t>TECNOCON SOLUCOES PARA ENERGIAS REN</t>
        </is>
      </c>
      <c r="C2311" t="n">
        <v>2111000000</v>
      </c>
      <c r="D2311" t="inlineStr">
        <is>
          <t>Operational Suppliers (Wind Farms)</t>
        </is>
      </c>
      <c r="E2311" t="n">
        <v>5014723</v>
      </c>
      <c r="F2311" t="inlineStr">
        <is>
          <t>000019822-000</t>
        </is>
      </c>
      <c r="G2311" t="inlineStr">
        <is>
          <t>RE</t>
        </is>
      </c>
      <c r="H2311" s="12" t="n">
        <v>-28959.7</v>
      </c>
      <c r="I2311" s="17" t="n">
        <v>46210</v>
      </c>
      <c r="J2311" s="17" t="n">
        <v>46270</v>
      </c>
      <c r="K2311" t="inlineStr">
        <is>
          <t>Fatura - bruto TECNOCON SOLUCOES PARA ENERGIAS REN</t>
        </is>
      </c>
    </row>
    <row r="2312">
      <c r="A2312" t="inlineStr">
        <is>
          <t>100485</t>
        </is>
      </c>
      <c r="B2312" t="inlineStr">
        <is>
          <t>FUCHS LUBRIFICANTES DO BRASIL LTDA</t>
        </is>
      </c>
      <c r="C2312" t="n">
        <v>2111000000</v>
      </c>
      <c r="D2312" t="inlineStr">
        <is>
          <t>Operational Suppliers (Wind Farms)</t>
        </is>
      </c>
      <c r="E2312" t="n">
        <v>5014729</v>
      </c>
      <c r="F2312" t="inlineStr">
        <is>
          <t>000102881-000</t>
        </is>
      </c>
      <c r="G2312" t="inlineStr">
        <is>
          <t>RE</t>
        </is>
      </c>
      <c r="H2312" s="12" t="n">
        <v>-28334.45</v>
      </c>
      <c r="I2312" s="17" t="n">
        <v>46211</v>
      </c>
      <c r="J2312" s="17" t="n">
        <v>46270</v>
      </c>
      <c r="K2312" t="inlineStr">
        <is>
          <t>Fatura - bruto FUCHS LUBRIFICANTES DO BRASIL LTDA</t>
        </is>
      </c>
    </row>
    <row r="2313">
      <c r="A2313" t="inlineStr">
        <is>
          <t>101826</t>
        </is>
      </c>
      <c r="B2313" t="inlineStr">
        <is>
          <t>BUNZL EQUIP DE PROTECÃO INDIVIDUAL</t>
        </is>
      </c>
      <c r="C2313" t="n">
        <v>2111000000</v>
      </c>
      <c r="D2313" t="inlineStr">
        <is>
          <t>Other Suppliers</t>
        </is>
      </c>
      <c r="E2313" t="n">
        <v>5014752</v>
      </c>
      <c r="F2313" t="inlineStr">
        <is>
          <t>1831061-1</t>
        </is>
      </c>
      <c r="G2313" t="inlineStr">
        <is>
          <t>RE</t>
        </is>
      </c>
      <c r="H2313" s="12" t="n">
        <v>-105600</v>
      </c>
      <c r="I2313" s="17" t="n">
        <v>46225</v>
      </c>
      <c r="J2313" s="17" t="n">
        <v>46300</v>
      </c>
      <c r="K2313" t="inlineStr">
        <is>
          <t>Fatura - bruto BUNZL EQUIP DE PROTECÃO INDIVIDUAL</t>
        </is>
      </c>
    </row>
    <row r="2314">
      <c r="A2314" t="inlineStr">
        <is>
          <t>100883</t>
        </is>
      </c>
      <c r="B2314" t="inlineStr">
        <is>
          <t>QUELMAR TRANSPORTES LTDA</t>
        </is>
      </c>
      <c r="C2314" t="n">
        <v>2111000000</v>
      </c>
      <c r="D2314" t="inlineStr">
        <is>
          <t>Operational Suppliers (Wind Farms)</t>
        </is>
      </c>
      <c r="E2314" t="n">
        <v>5014759</v>
      </c>
      <c r="F2314" t="inlineStr">
        <is>
          <t>6323-2</t>
        </is>
      </c>
      <c r="G2314" t="inlineStr">
        <is>
          <t>RE</t>
        </is>
      </c>
      <c r="H2314" s="12" t="n">
        <v>-690</v>
      </c>
      <c r="I2314" s="17" t="n">
        <v>46232</v>
      </c>
      <c r="J2314" s="17" t="n">
        <v>46270</v>
      </c>
      <c r="K2314" t="inlineStr">
        <is>
          <t>Fatura - bruto QUELMAR TRANSPORTES LTDA 6323-2</t>
        </is>
      </c>
    </row>
    <row r="2315">
      <c r="A2315" t="inlineStr">
        <is>
          <t>102113</t>
        </is>
      </c>
      <c r="B2315" t="inlineStr">
        <is>
          <t>3Z MOVIMENTACAO INTELIGENTE LTDA 94772233000237</t>
        </is>
      </c>
      <c r="C2315" t="n">
        <v>2111000000</v>
      </c>
      <c r="D2315" t="inlineStr">
        <is>
          <t>Operational Suppliers (Wind Farms)</t>
        </is>
      </c>
      <c r="E2315" t="n">
        <v>5014760</v>
      </c>
      <c r="F2315" t="inlineStr">
        <is>
          <t>266</t>
        </is>
      </c>
      <c r="G2315" t="inlineStr">
        <is>
          <t>RE</t>
        </is>
      </c>
      <c r="H2315" s="12" t="n">
        <v>-303341.57</v>
      </c>
      <c r="I2315" s="17" t="n">
        <v>46240</v>
      </c>
      <c r="J2315" s="17" t="n">
        <v>46330</v>
      </c>
      <c r="K2315" t="inlineStr">
        <is>
          <t>Fatura - bruto 3Z MOVIMENTACAO INTELIGENTE LTDA 94</t>
        </is>
      </c>
    </row>
    <row r="2316">
      <c r="A2316" t="inlineStr">
        <is>
          <t>101944</t>
        </is>
      </c>
      <c r="B2316" t="inlineStr">
        <is>
          <t>TEXAS CONTROLS DO BRASIL LTDA</t>
        </is>
      </c>
      <c r="C2316" t="n">
        <v>2111000000</v>
      </c>
      <c r="D2316" t="inlineStr">
        <is>
          <t>Operational Suppliers (Wind Farms)</t>
        </is>
      </c>
      <c r="E2316" t="n">
        <v>5014761</v>
      </c>
      <c r="F2316" t="inlineStr">
        <is>
          <t>1163</t>
        </is>
      </c>
      <c r="G2316" t="inlineStr">
        <is>
          <t>RE</t>
        </is>
      </c>
      <c r="H2316" s="12" t="n">
        <v>-9070</v>
      </c>
      <c r="I2316" s="17" t="n">
        <v>46240</v>
      </c>
      <c r="J2316" s="17" t="n">
        <v>46271</v>
      </c>
      <c r="K2316" t="inlineStr">
        <is>
          <t>Fatura - bruto TEXAS CONTROLS DO BRASIL LTDA 1163</t>
        </is>
      </c>
    </row>
    <row r="2317">
      <c r="A2317" t="inlineStr">
        <is>
          <t>103767</t>
        </is>
      </c>
      <c r="B2317" t="inlineStr">
        <is>
          <t>ROBERT HALF TRABALHO TEMPORARIO</t>
        </is>
      </c>
      <c r="C2317" t="n">
        <v>2111000000</v>
      </c>
      <c r="D2317" t="inlineStr">
        <is>
          <t>Other Suppliers</t>
        </is>
      </c>
      <c r="E2317" t="n">
        <v>5014766</v>
      </c>
      <c r="F2317" t="inlineStr">
        <is>
          <t>83898</t>
        </is>
      </c>
      <c r="G2317" t="inlineStr">
        <is>
          <t>RE</t>
        </is>
      </c>
      <c r="H2317" s="12" t="n">
        <v>-19770.52</v>
      </c>
      <c r="I2317" s="17" t="n">
        <v>46242</v>
      </c>
      <c r="J2317" s="17" t="n">
        <v>46272</v>
      </c>
      <c r="K2317" t="inlineStr">
        <is>
          <t>MARCELO SILVA SANTANA - 07/2026</t>
        </is>
      </c>
    </row>
    <row r="2318">
      <c r="A2318" t="inlineStr">
        <is>
          <t>100036</t>
        </is>
      </c>
      <c r="B2318" t="inlineStr">
        <is>
          <t>EMBRAPORT EMPRESA BRASILEIRA DE TER</t>
        </is>
      </c>
      <c r="C2318" t="n">
        <v>2111000000</v>
      </c>
      <c r="D2318" t="inlineStr">
        <is>
          <t>Customs Brokerage – Overall</t>
        </is>
      </c>
      <c r="E2318" t="n">
        <v>5014767</v>
      </c>
      <c r="F2318" t="inlineStr">
        <is>
          <t>392731</t>
        </is>
      </c>
      <c r="G2318" t="inlineStr">
        <is>
          <t>KR</t>
        </is>
      </c>
      <c r="H2318" s="12" t="n">
        <v>-59063.6</v>
      </c>
      <c r="I2318" s="17" t="n">
        <v>44691</v>
      </c>
      <c r="J2318" s="17" t="n">
        <v>44747</v>
      </c>
      <c r="K2318" t="inlineStr">
        <is>
          <t>VESA087N2</t>
        </is>
      </c>
    </row>
    <row r="2319">
      <c r="A2319" t="inlineStr">
        <is>
          <t>100036</t>
        </is>
      </c>
      <c r="B2319" t="inlineStr">
        <is>
          <t>EMBRAPORT EMPRESA BRASILEIRA DE TER</t>
        </is>
      </c>
      <c r="C2319" t="n">
        <v>2111000000</v>
      </c>
      <c r="D2319" t="inlineStr">
        <is>
          <t>Customs Brokerage – Overall</t>
        </is>
      </c>
      <c r="E2319" t="n">
        <v>5014768</v>
      </c>
      <c r="F2319" t="inlineStr">
        <is>
          <t>392080</t>
        </is>
      </c>
      <c r="G2319" t="inlineStr">
        <is>
          <t>KR</t>
        </is>
      </c>
      <c r="H2319" s="12" t="n">
        <v>-167805.96</v>
      </c>
      <c r="I2319" s="17" t="n">
        <v>44698</v>
      </c>
      <c r="J2319" s="17" t="n">
        <v>44747</v>
      </c>
      <c r="K2319" t="inlineStr">
        <is>
          <t>VESA087N2</t>
        </is>
      </c>
    </row>
    <row r="2320">
      <c r="A2320" t="inlineStr">
        <is>
          <t>100031</t>
        </is>
      </c>
      <c r="B2320" t="inlineStr">
        <is>
          <t>MEGAWIND INDUSTRIA E COMERCIO</t>
        </is>
      </c>
      <c r="C2320" t="n">
        <v>2111000000</v>
      </c>
      <c r="D2320" t="inlineStr">
        <is>
          <t>Operational Suppliers (Wind Farms)</t>
        </is>
      </c>
      <c r="E2320" t="n">
        <v>5014782</v>
      </c>
      <c r="F2320" t="inlineStr">
        <is>
          <t>1440</t>
        </is>
      </c>
      <c r="G2320" t="inlineStr">
        <is>
          <t>RE</t>
        </is>
      </c>
      <c r="H2320" s="12" t="n">
        <v>-105000</v>
      </c>
      <c r="I2320" s="17" t="n">
        <v>46241</v>
      </c>
      <c r="J2320" s="17" t="n">
        <v>46300</v>
      </c>
      <c r="K2320" t="inlineStr">
        <is>
          <t>Fatura - bruto MEGAWIND INDUSTRIA E COMERCIO 1440</t>
        </is>
      </c>
    </row>
    <row r="2321">
      <c r="A2321" t="inlineStr">
        <is>
          <t>106471</t>
        </is>
      </c>
      <c r="B2321" t="inlineStr">
        <is>
          <t>P M C FERNANDES</t>
        </is>
      </c>
      <c r="C2321" t="n">
        <v>2111000000</v>
      </c>
      <c r="D2321" t="inlineStr">
        <is>
          <t>Operational Suppliers (Wind Farms)</t>
        </is>
      </c>
      <c r="E2321" t="n">
        <v>5014783</v>
      </c>
      <c r="F2321" t="inlineStr">
        <is>
          <t>259</t>
        </is>
      </c>
      <c r="G2321" t="inlineStr">
        <is>
          <t>RE</t>
        </is>
      </c>
      <c r="H2321" s="12" t="n">
        <v>-2620</v>
      </c>
      <c r="I2321" s="17" t="n">
        <v>46240</v>
      </c>
      <c r="J2321" s="17" t="n">
        <v>46300</v>
      </c>
      <c r="K2321" t="inlineStr">
        <is>
          <t>Fatura - bruto P M C FERNANDES 259</t>
        </is>
      </c>
    </row>
    <row r="2322">
      <c r="A2322" t="inlineStr">
        <is>
          <t>100031</t>
        </is>
      </c>
      <c r="B2322" t="inlineStr">
        <is>
          <t>MEGAWIND INDUSTRIA E COMERCIO</t>
        </is>
      </c>
      <c r="C2322" t="n">
        <v>2111000000</v>
      </c>
      <c r="D2322" t="inlineStr">
        <is>
          <t>Operational Suppliers (Wind Farms)</t>
        </is>
      </c>
      <c r="E2322" t="n">
        <v>5014787</v>
      </c>
      <c r="F2322" t="inlineStr">
        <is>
          <t>1443</t>
        </is>
      </c>
      <c r="G2322" t="inlineStr">
        <is>
          <t>RE</t>
        </is>
      </c>
      <c r="H2322" s="12" t="n">
        <v>-10357.74</v>
      </c>
      <c r="I2322" s="17" t="n">
        <v>46244</v>
      </c>
      <c r="J2322" s="17" t="n">
        <v>46300</v>
      </c>
      <c r="K2322" t="inlineStr">
        <is>
          <t>Fatura - bruto MEGAWIND INDUSTRIA E COMERCIO 1443</t>
        </is>
      </c>
    </row>
    <row r="2323">
      <c r="A2323" t="inlineStr">
        <is>
          <t>100883</t>
        </is>
      </c>
      <c r="B2323" t="inlineStr">
        <is>
          <t>QUELMAR TRANSPORTES LTDA</t>
        </is>
      </c>
      <c r="C2323" t="n">
        <v>2111000000</v>
      </c>
      <c r="D2323" t="inlineStr">
        <is>
          <t>Operational Suppliers (Wind Farms)</t>
        </is>
      </c>
      <c r="E2323" t="n">
        <v>5014788</v>
      </c>
      <c r="F2323" t="inlineStr">
        <is>
          <t>108225-1</t>
        </is>
      </c>
      <c r="G2323" t="inlineStr">
        <is>
          <t>RE</t>
        </is>
      </c>
      <c r="H2323" s="12" t="n">
        <v>-980</v>
      </c>
      <c r="I2323" s="17" t="n">
        <v>46232</v>
      </c>
      <c r="J2323" s="17" t="n">
        <v>46270</v>
      </c>
      <c r="K2323" t="inlineStr">
        <is>
          <t>Fatura - bruto QUELMAR TRANSPORTES LTDA 108225-1</t>
        </is>
      </c>
    </row>
    <row r="2324">
      <c r="A2324" t="inlineStr">
        <is>
          <t>100883</t>
        </is>
      </c>
      <c r="B2324" t="inlineStr">
        <is>
          <t>QUELMAR TRANSPORTES LTDA</t>
        </is>
      </c>
      <c r="C2324" t="n">
        <v>2111000000</v>
      </c>
      <c r="D2324" t="inlineStr">
        <is>
          <t>Operational Suppliers (Wind Farms)</t>
        </is>
      </c>
      <c r="E2324" t="n">
        <v>5014789</v>
      </c>
      <c r="F2324" t="inlineStr">
        <is>
          <t>108199-1</t>
        </is>
      </c>
      <c r="G2324" t="inlineStr">
        <is>
          <t>RE</t>
        </is>
      </c>
      <c r="H2324" s="12" t="n">
        <v>-1474.29</v>
      </c>
      <c r="I2324" s="17" t="n">
        <v>46231</v>
      </c>
      <c r="J2324" s="17" t="n">
        <v>46270</v>
      </c>
      <c r="K2324" t="inlineStr">
        <is>
          <t>Fatura - bruto QUELMAR TRANSPORTES LTDA 108199-1</t>
        </is>
      </c>
    </row>
    <row r="2325">
      <c r="A2325" t="inlineStr">
        <is>
          <t>100479</t>
        </is>
      </c>
      <c r="B2325" t="inlineStr">
        <is>
          <t>POUSADA ITARETAMA LTDA</t>
        </is>
      </c>
      <c r="C2325" t="n">
        <v>2111000000</v>
      </c>
      <c r="D2325" t="inlineStr">
        <is>
          <t>Other Suppliers</t>
        </is>
      </c>
      <c r="E2325" t="n">
        <v>5014792</v>
      </c>
      <c r="F2325" t="inlineStr">
        <is>
          <t>598</t>
        </is>
      </c>
      <c r="G2325" t="inlineStr">
        <is>
          <t>RE</t>
        </is>
      </c>
      <c r="H2325" s="12" t="n">
        <v>-1983.63</v>
      </c>
      <c r="I2325" s="17" t="n">
        <v>46244</v>
      </c>
      <c r="J2325" s="17" t="n">
        <v>46270</v>
      </c>
      <c r="K2325" t="inlineStr">
        <is>
          <t>Fatura - bruto POUSADA ITARETAMA LTDA 598</t>
        </is>
      </c>
    </row>
    <row r="2326">
      <c r="A2326" t="inlineStr">
        <is>
          <t>100031</t>
        </is>
      </c>
      <c r="B2326" t="inlineStr">
        <is>
          <t>MEGAWIND INDUSTRIA E COMERCIO</t>
        </is>
      </c>
      <c r="C2326" t="n">
        <v>2111000000</v>
      </c>
      <c r="D2326" t="inlineStr">
        <is>
          <t>Operational Suppliers (Wind Farms)</t>
        </is>
      </c>
      <c r="E2326" t="n">
        <v>5014807</v>
      </c>
      <c r="F2326" t="inlineStr">
        <is>
          <t>1442</t>
        </is>
      </c>
      <c r="G2326" t="inlineStr">
        <is>
          <t>RE</t>
        </is>
      </c>
      <c r="H2326" s="12" t="n">
        <v>-67174.92</v>
      </c>
      <c r="I2326" s="17" t="n">
        <v>46244</v>
      </c>
      <c r="J2326" s="17" t="n">
        <v>46300</v>
      </c>
      <c r="K2326" t="inlineStr">
        <is>
          <t>Fatura - bruto MEGAWIND INDUSTRIA E COMERCIO 1442</t>
        </is>
      </c>
    </row>
    <row r="2327">
      <c r="A2327" t="inlineStr">
        <is>
          <t>101463</t>
        </is>
      </c>
      <c r="B2327" t="inlineStr">
        <is>
          <t>ZURICH MINAS BRASIL SEGUROS S A</t>
        </is>
      </c>
      <c r="C2327" t="n">
        <v>2111000000</v>
      </c>
      <c r="D2327" t="inlineStr">
        <is>
          <t>Insurance</t>
        </is>
      </c>
      <c r="E2327" t="n">
        <v>5014809</v>
      </c>
      <c r="F2327" t="inlineStr">
        <is>
          <t>0226/26</t>
        </is>
      </c>
      <c r="G2327" t="inlineStr">
        <is>
          <t>RE</t>
        </is>
      </c>
      <c r="H2327" s="12" t="n">
        <v>-127.02</v>
      </c>
      <c r="I2327" s="17" t="n">
        <v>46244</v>
      </c>
      <c r="J2327" s="17" t="n">
        <v>46274</v>
      </c>
      <c r="K2327" t="inlineStr">
        <is>
          <t>Invoice Payment. SP: 21219</t>
        </is>
      </c>
    </row>
    <row r="2328">
      <c r="A2328" t="inlineStr">
        <is>
          <t>100031</t>
        </is>
      </c>
      <c r="B2328" t="inlineStr">
        <is>
          <t>MEGAWIND INDUSTRIA E COMERCIO</t>
        </is>
      </c>
      <c r="C2328" t="n">
        <v>2111000000</v>
      </c>
      <c r="D2328" t="inlineStr">
        <is>
          <t>Operational Suppliers (Wind Farms)</t>
        </is>
      </c>
      <c r="E2328" t="n">
        <v>5014810</v>
      </c>
      <c r="F2328" t="inlineStr">
        <is>
          <t>1435</t>
        </is>
      </c>
      <c r="G2328" t="inlineStr">
        <is>
          <t>RE</t>
        </is>
      </c>
      <c r="H2328" s="12" t="n">
        <v>-175289.04</v>
      </c>
      <c r="I2328" s="17" t="n">
        <v>46237</v>
      </c>
      <c r="J2328" s="17" t="n">
        <v>46300</v>
      </c>
      <c r="K2328" t="inlineStr">
        <is>
          <t>Fatura - bruto MEGAWIND INDUSTRIA E COMERCIO 1435</t>
        </is>
      </c>
    </row>
    <row r="2329">
      <c r="A2329" t="inlineStr">
        <is>
          <t>101463</t>
        </is>
      </c>
      <c r="B2329" t="inlineStr">
        <is>
          <t>ZURICH MINAS BRASIL SEGUROS S A</t>
        </is>
      </c>
      <c r="C2329" t="n">
        <v>2111000000</v>
      </c>
      <c r="D2329" t="inlineStr">
        <is>
          <t>Insurance</t>
        </is>
      </c>
      <c r="E2329" t="n">
        <v>5014812</v>
      </c>
      <c r="F2329" t="inlineStr">
        <is>
          <t>0341/26</t>
        </is>
      </c>
      <c r="G2329" t="inlineStr">
        <is>
          <t>RE</t>
        </is>
      </c>
      <c r="H2329" s="12" t="n">
        <v>-1278.37</v>
      </c>
      <c r="I2329" s="17" t="n">
        <v>46244</v>
      </c>
      <c r="J2329" s="17" t="n">
        <v>46274</v>
      </c>
      <c r="K2329" t="inlineStr">
        <is>
          <t>Invoice Payment. SP: 21221</t>
        </is>
      </c>
    </row>
    <row r="2330">
      <c r="A2330" t="inlineStr">
        <is>
          <t>107696</t>
        </is>
      </c>
      <c r="B2330" t="inlineStr">
        <is>
          <t>SIMM MONTAGENS EOLICAS LTDA</t>
        </is>
      </c>
      <c r="C2330" t="n">
        <v>2111000000</v>
      </c>
      <c r="D2330" t="inlineStr">
        <is>
          <t>Operational Suppliers (Wind Farms)</t>
        </is>
      </c>
      <c r="E2330" t="n">
        <v>5014813</v>
      </c>
      <c r="F2330" t="inlineStr">
        <is>
          <t>81</t>
        </is>
      </c>
      <c r="G2330" t="inlineStr">
        <is>
          <t>RE</t>
        </is>
      </c>
      <c r="H2330" s="12" t="n">
        <v>-26750.38</v>
      </c>
      <c r="I2330" s="17" t="n">
        <v>46239</v>
      </c>
      <c r="J2330" s="17" t="n">
        <v>46269</v>
      </c>
      <c r="K2330" t="inlineStr">
        <is>
          <t>PGTO BLOQ ATE REG DE SEGURO</t>
        </is>
      </c>
    </row>
    <row r="2331">
      <c r="A2331" t="inlineStr">
        <is>
          <t>107696</t>
        </is>
      </c>
      <c r="B2331" t="inlineStr">
        <is>
          <t>SIMM MONTAGENS EOLICAS LTDA</t>
        </is>
      </c>
      <c r="C2331" t="n">
        <v>2111000000</v>
      </c>
      <c r="D2331" t="inlineStr">
        <is>
          <t>Operational Suppliers (Wind Farms)</t>
        </is>
      </c>
      <c r="E2331" t="n">
        <v>5014815</v>
      </c>
      <c r="F2331" t="inlineStr">
        <is>
          <t>79</t>
        </is>
      </c>
      <c r="G2331" t="inlineStr">
        <is>
          <t>RE</t>
        </is>
      </c>
      <c r="H2331" s="12" t="n">
        <v>-43133.14</v>
      </c>
      <c r="I2331" s="17" t="n">
        <v>46238</v>
      </c>
      <c r="J2331" s="17" t="n">
        <v>46268</v>
      </c>
      <c r="K2331" t="inlineStr">
        <is>
          <t>PGTO BLOQ ATE REG DE SEGURO</t>
        </is>
      </c>
    </row>
    <row r="2332">
      <c r="A2332" t="inlineStr">
        <is>
          <t>101463</t>
        </is>
      </c>
      <c r="B2332" t="inlineStr">
        <is>
          <t>ZURICH MINAS BRASIL SEGUROS S A</t>
        </is>
      </c>
      <c r="C2332" t="n">
        <v>2111000000</v>
      </c>
      <c r="D2332" t="inlineStr">
        <is>
          <t>Insurance</t>
        </is>
      </c>
      <c r="E2332" t="n">
        <v>5014818</v>
      </c>
      <c r="F2332" t="inlineStr">
        <is>
          <t>0347/26</t>
        </is>
      </c>
      <c r="G2332" t="inlineStr">
        <is>
          <t>RE</t>
        </is>
      </c>
      <c r="H2332" s="12" t="n">
        <v>-347.9</v>
      </c>
      <c r="I2332" s="17" t="n">
        <v>46244</v>
      </c>
      <c r="J2332" s="17" t="n">
        <v>46274</v>
      </c>
      <c r="K2332" t="inlineStr">
        <is>
          <t>Invoice Payment. SP: 21223</t>
        </is>
      </c>
    </row>
    <row r="2333">
      <c r="A2333" t="inlineStr">
        <is>
          <t>104050</t>
        </is>
      </c>
      <c r="B2333" t="inlineStr">
        <is>
          <t>DEFENSY SEGURANCA E SERVICOS LTDA 49758078000169</t>
        </is>
      </c>
      <c r="C2333" t="n">
        <v>2111000000</v>
      </c>
      <c r="D2333" t="inlineStr">
        <is>
          <t>Other Suppliers</t>
        </is>
      </c>
      <c r="E2333" t="n">
        <v>5014819</v>
      </c>
      <c r="F2333" t="inlineStr">
        <is>
          <t>17</t>
        </is>
      </c>
      <c r="G2333" t="inlineStr">
        <is>
          <t>RE</t>
        </is>
      </c>
      <c r="H2333" s="12" t="n">
        <v>-71881.34</v>
      </c>
      <c r="I2333" s="17" t="n">
        <v>46244</v>
      </c>
      <c r="J2333" s="17" t="n">
        <v>46300</v>
      </c>
      <c r="K2333" t="inlineStr">
        <is>
          <t>Fatura - bruto DEFENSY SEGURANCA E SERVICOS LTDA 4</t>
        </is>
      </c>
    </row>
    <row r="2334">
      <c r="A2334" t="inlineStr">
        <is>
          <t>101775</t>
        </is>
      </c>
      <c r="B2334" t="inlineStr">
        <is>
          <t>SOUSATEC.NET LTDA  ME</t>
        </is>
      </c>
      <c r="C2334" t="n">
        <v>2111000000</v>
      </c>
      <c r="D2334" t="inlineStr">
        <is>
          <t>Other Suppliers</t>
        </is>
      </c>
      <c r="E2334" t="n">
        <v>5014823</v>
      </c>
      <c r="F2334" t="inlineStr">
        <is>
          <t>5509</t>
        </is>
      </c>
      <c r="G2334" t="inlineStr">
        <is>
          <t>RE</t>
        </is>
      </c>
      <c r="H2334" s="12" t="n">
        <v>-1390</v>
      </c>
      <c r="I2334" s="17" t="n">
        <v>46239</v>
      </c>
      <c r="J2334" s="17" t="n">
        <v>46269</v>
      </c>
      <c r="K2334" t="inlineStr">
        <is>
          <t>Fatura - bruto SOUSATEC.NET LTDA  ME 5509</t>
        </is>
      </c>
    </row>
    <row r="2335">
      <c r="A2335" t="inlineStr">
        <is>
          <t>101553</t>
        </is>
      </c>
      <c r="B2335" t="inlineStr">
        <is>
          <t>LABOTECH METROLOGIA LTDA ME</t>
        </is>
      </c>
      <c r="C2335" t="n">
        <v>2111000000</v>
      </c>
      <c r="D2335" t="inlineStr">
        <is>
          <t>Other Suppliers</t>
        </is>
      </c>
      <c r="E2335" t="n">
        <v>5014824</v>
      </c>
      <c r="F2335" t="inlineStr">
        <is>
          <t>970</t>
        </is>
      </c>
      <c r="G2335" t="inlineStr">
        <is>
          <t>RE</t>
        </is>
      </c>
      <c r="H2335" s="12" t="n">
        <v>-8505</v>
      </c>
      <c r="I2335" s="17" t="n">
        <v>46239</v>
      </c>
      <c r="J2335" s="17" t="n">
        <v>46270</v>
      </c>
      <c r="K2335" t="inlineStr">
        <is>
          <t>Fatura - bruto LABOTECH METROLOGIA LTDA ME 970</t>
        </is>
      </c>
    </row>
    <row r="2336">
      <c r="A2336" t="inlineStr">
        <is>
          <t>101553</t>
        </is>
      </c>
      <c r="B2336" t="inlineStr">
        <is>
          <t>LABOTECH METROLOGIA LTDA ME</t>
        </is>
      </c>
      <c r="C2336" t="n">
        <v>2111000000</v>
      </c>
      <c r="D2336" t="inlineStr">
        <is>
          <t>Other Suppliers</t>
        </is>
      </c>
      <c r="E2336" t="n">
        <v>5014825</v>
      </c>
      <c r="F2336" t="inlineStr">
        <is>
          <t>955</t>
        </is>
      </c>
      <c r="G2336" t="inlineStr">
        <is>
          <t>RE</t>
        </is>
      </c>
      <c r="H2336" s="12" t="n">
        <v>-623</v>
      </c>
      <c r="I2336" s="17" t="n">
        <v>46238</v>
      </c>
      <c r="J2336" s="17" t="n">
        <v>46270</v>
      </c>
      <c r="K2336" t="inlineStr">
        <is>
          <t>Fatura - bruto LABOTECH METROLOGIA LTDA ME 955</t>
        </is>
      </c>
    </row>
    <row r="2337">
      <c r="A2337" t="inlineStr">
        <is>
          <t>101553</t>
        </is>
      </c>
      <c r="B2337" t="inlineStr">
        <is>
          <t>LABOTECH METROLOGIA LTDA ME</t>
        </is>
      </c>
      <c r="C2337" t="n">
        <v>2111000000</v>
      </c>
      <c r="D2337" t="inlineStr">
        <is>
          <t>Other Suppliers</t>
        </is>
      </c>
      <c r="E2337" t="n">
        <v>5014826</v>
      </c>
      <c r="F2337" t="inlineStr">
        <is>
          <t>956</t>
        </is>
      </c>
      <c r="G2337" t="inlineStr">
        <is>
          <t>RE</t>
        </is>
      </c>
      <c r="H2337" s="12" t="n">
        <v>-1143</v>
      </c>
      <c r="I2337" s="17" t="n">
        <v>46238</v>
      </c>
      <c r="J2337" s="17" t="n">
        <v>46270</v>
      </c>
      <c r="K2337" t="inlineStr">
        <is>
          <t>Fatura - bruto LABOTECH METROLOGIA LTDA ME 956</t>
        </is>
      </c>
    </row>
    <row r="2338">
      <c r="A2338" t="inlineStr">
        <is>
          <t>102433</t>
        </is>
      </c>
      <c r="B2338" t="inlineStr">
        <is>
          <t>BECOMEX CONSULTORIA LTDA</t>
        </is>
      </c>
      <c r="C2338" t="n">
        <v>2111000000</v>
      </c>
      <c r="D2338" t="inlineStr">
        <is>
          <t>Customs Brokerage – Overall</t>
        </is>
      </c>
      <c r="E2338" t="n">
        <v>5014828</v>
      </c>
      <c r="F2338" t="inlineStr">
        <is>
          <t>437</t>
        </is>
      </c>
      <c r="G2338" t="inlineStr">
        <is>
          <t>RE</t>
        </is>
      </c>
      <c r="H2338" s="12" t="n">
        <v>-4432.3</v>
      </c>
      <c r="I2338" s="17" t="n">
        <v>46238</v>
      </c>
      <c r="J2338" s="17" t="n">
        <v>46273</v>
      </c>
      <c r="K2338" t="inlineStr">
        <is>
          <t>Fatura - bruto BECOMEX CONSULTORIA LTDA 437</t>
        </is>
      </c>
    </row>
    <row r="2339">
      <c r="A2339" t="inlineStr">
        <is>
          <t>101463</t>
        </is>
      </c>
      <c r="B2339" t="inlineStr">
        <is>
          <t>ZURICH MINAS BRASIL SEGUROS S A</t>
        </is>
      </c>
      <c r="C2339" t="n">
        <v>2111000000</v>
      </c>
      <c r="D2339" t="inlineStr">
        <is>
          <t>Insurance</t>
        </is>
      </c>
      <c r="E2339" t="n">
        <v>5014831</v>
      </c>
      <c r="F2339" t="inlineStr">
        <is>
          <t>0235/26</t>
        </is>
      </c>
      <c r="G2339" t="inlineStr">
        <is>
          <t>RE</t>
        </is>
      </c>
      <c r="H2339" s="12" t="n">
        <v>-6886.49</v>
      </c>
      <c r="I2339" s="17" t="n">
        <v>46244</v>
      </c>
      <c r="J2339" s="17" t="n">
        <v>46274</v>
      </c>
      <c r="K2339" t="inlineStr">
        <is>
          <t>Invoice Payment. SP: 21226</t>
        </is>
      </c>
    </row>
    <row r="2340">
      <c r="A2340" t="inlineStr">
        <is>
          <t>102433</t>
        </is>
      </c>
      <c r="B2340" t="inlineStr">
        <is>
          <t>BECOMEX CONSULTORIA LTDA</t>
        </is>
      </c>
      <c r="C2340" t="n">
        <v>2111000000</v>
      </c>
      <c r="D2340" t="inlineStr">
        <is>
          <t>Customs Brokerage – Overall</t>
        </is>
      </c>
      <c r="E2340" t="n">
        <v>5014832</v>
      </c>
      <c r="F2340" t="inlineStr">
        <is>
          <t>244</t>
        </is>
      </c>
      <c r="G2340" t="inlineStr">
        <is>
          <t>RE</t>
        </is>
      </c>
      <c r="H2340" s="12" t="n">
        <v>-6648.44</v>
      </c>
      <c r="I2340" s="17" t="n">
        <v>46237</v>
      </c>
      <c r="J2340" s="17" t="n">
        <v>46272</v>
      </c>
      <c r="K2340" t="inlineStr">
        <is>
          <t>Fatura - bruto BECOMEX CONSULTORIA LTDA 244</t>
        </is>
      </c>
    </row>
    <row r="2341">
      <c r="A2341" t="inlineStr">
        <is>
          <t>100883</t>
        </is>
      </c>
      <c r="B2341" t="inlineStr">
        <is>
          <t>QUELMAR TRANSPORTES LTDA</t>
        </is>
      </c>
      <c r="C2341" t="n">
        <v>2111000000</v>
      </c>
      <c r="D2341" t="inlineStr">
        <is>
          <t>Operational Suppliers (Wind Farms)</t>
        </is>
      </c>
      <c r="E2341" t="n">
        <v>5014839</v>
      </c>
      <c r="F2341" t="inlineStr">
        <is>
          <t>108004-1</t>
        </is>
      </c>
      <c r="G2341" t="inlineStr">
        <is>
          <t>RE</t>
        </is>
      </c>
      <c r="H2341" s="12" t="n">
        <v>-2395.69</v>
      </c>
      <c r="I2341" s="17" t="n">
        <v>46220</v>
      </c>
      <c r="J2341" s="17" t="n">
        <v>46270</v>
      </c>
      <c r="K2341" t="inlineStr">
        <is>
          <t>Fatura - bruto QUELMAR TRANSPORTES LTDA 108004-1</t>
        </is>
      </c>
    </row>
    <row r="2342">
      <c r="A2342" t="inlineStr">
        <is>
          <t>100883</t>
        </is>
      </c>
      <c r="B2342" t="inlineStr">
        <is>
          <t>QUELMAR TRANSPORTES LTDA</t>
        </is>
      </c>
      <c r="C2342" t="n">
        <v>2111000000</v>
      </c>
      <c r="D2342" t="inlineStr">
        <is>
          <t>Operational Suppliers (Wind Farms)</t>
        </is>
      </c>
      <c r="E2342" t="n">
        <v>5014841</v>
      </c>
      <c r="F2342" t="inlineStr">
        <is>
          <t>108012-1</t>
        </is>
      </c>
      <c r="G2342" t="inlineStr">
        <is>
          <t>RE</t>
        </is>
      </c>
      <c r="H2342" s="12" t="n">
        <v>-289.13</v>
      </c>
      <c r="I2342" s="17" t="n">
        <v>46220</v>
      </c>
      <c r="J2342" s="17" t="n">
        <v>46270</v>
      </c>
      <c r="K2342" t="inlineStr">
        <is>
          <t>Fatura - bruto QUELMAR TRANSPORTES LTDA 108012-1</t>
        </is>
      </c>
    </row>
    <row r="2343">
      <c r="A2343" t="inlineStr">
        <is>
          <t>100883</t>
        </is>
      </c>
      <c r="B2343" t="inlineStr">
        <is>
          <t>QUELMAR TRANSPORTES LTDA</t>
        </is>
      </c>
      <c r="C2343" t="n">
        <v>2111000000</v>
      </c>
      <c r="D2343" t="inlineStr">
        <is>
          <t>Operational Suppliers (Wind Farms)</t>
        </is>
      </c>
      <c r="E2343" t="n">
        <v>5014845</v>
      </c>
      <c r="F2343" t="inlineStr">
        <is>
          <t>6281-2</t>
        </is>
      </c>
      <c r="G2343" t="inlineStr">
        <is>
          <t>RE</t>
        </is>
      </c>
      <c r="H2343" s="12" t="n">
        <v>-4980</v>
      </c>
      <c r="I2343" s="17" t="n">
        <v>46226</v>
      </c>
      <c r="J2343" s="17" t="n">
        <v>46270</v>
      </c>
      <c r="K2343" t="inlineStr">
        <is>
          <t>Fatura - bruto QUELMAR TRANSPORTES LTDA 6281-2</t>
        </is>
      </c>
    </row>
    <row r="2344">
      <c r="A2344" t="inlineStr">
        <is>
          <t>101463</t>
        </is>
      </c>
      <c r="B2344" t="inlineStr">
        <is>
          <t>ZURICH MINAS BRASIL SEGUROS S A</t>
        </is>
      </c>
      <c r="C2344" t="n">
        <v>2111000000</v>
      </c>
      <c r="D2344" t="inlineStr">
        <is>
          <t>Insurance</t>
        </is>
      </c>
      <c r="E2344" t="n">
        <v>5014847</v>
      </c>
      <c r="F2344" t="inlineStr">
        <is>
          <t>0229/26</t>
        </is>
      </c>
      <c r="G2344" t="inlineStr">
        <is>
          <t>RE</t>
        </is>
      </c>
      <c r="H2344" s="12" t="n">
        <v>-26.83</v>
      </c>
      <c r="I2344" s="17" t="n">
        <v>46244</v>
      </c>
      <c r="J2344" s="17" t="n">
        <v>46274</v>
      </c>
      <c r="K2344" t="inlineStr">
        <is>
          <t>Invoice Payment. SP: 21228</t>
        </is>
      </c>
    </row>
    <row r="2345">
      <c r="A2345" t="inlineStr">
        <is>
          <t>101463</t>
        </is>
      </c>
      <c r="B2345" t="inlineStr">
        <is>
          <t>ZURICH MINAS BRASIL SEGUROS S A</t>
        </is>
      </c>
      <c r="C2345" t="n">
        <v>2111000000</v>
      </c>
      <c r="D2345" t="inlineStr">
        <is>
          <t>Insurance</t>
        </is>
      </c>
      <c r="E2345" t="n">
        <v>5014854</v>
      </c>
      <c r="F2345" t="inlineStr">
        <is>
          <t>0237/26</t>
        </is>
      </c>
      <c r="G2345" t="inlineStr">
        <is>
          <t>RE</t>
        </is>
      </c>
      <c r="H2345" s="12" t="n">
        <v>-313.93</v>
      </c>
      <c r="I2345" s="17" t="n">
        <v>46244</v>
      </c>
      <c r="J2345" s="17" t="n">
        <v>46274</v>
      </c>
      <c r="K2345" t="inlineStr">
        <is>
          <t>Invoice Payment. SP: 21232</t>
        </is>
      </c>
    </row>
    <row r="2346">
      <c r="A2346" t="inlineStr">
        <is>
          <t>101463</t>
        </is>
      </c>
      <c r="B2346" t="inlineStr">
        <is>
          <t>ZURICH MINAS BRASIL SEGUROS S A</t>
        </is>
      </c>
      <c r="C2346" t="n">
        <v>2111000000</v>
      </c>
      <c r="D2346" t="inlineStr">
        <is>
          <t>Insurance</t>
        </is>
      </c>
      <c r="E2346" t="n">
        <v>5014857</v>
      </c>
      <c r="F2346" t="inlineStr">
        <is>
          <t>0232/26</t>
        </is>
      </c>
      <c r="G2346" t="inlineStr">
        <is>
          <t>RE</t>
        </is>
      </c>
      <c r="H2346" s="12" t="n">
        <v>-94.63</v>
      </c>
      <c r="I2346" s="17" t="n">
        <v>46244</v>
      </c>
      <c r="J2346" s="17" t="n">
        <v>46274</v>
      </c>
      <c r="K2346" t="inlineStr">
        <is>
          <t>Invoice Payment. SP: 21234</t>
        </is>
      </c>
    </row>
    <row r="2347">
      <c r="A2347" t="inlineStr">
        <is>
          <t>101463</t>
        </is>
      </c>
      <c r="B2347" t="inlineStr">
        <is>
          <t>ZURICH MINAS BRASIL SEGUROS S A</t>
        </is>
      </c>
      <c r="C2347" t="n">
        <v>2111000000</v>
      </c>
      <c r="D2347" t="inlineStr">
        <is>
          <t>Insurance</t>
        </is>
      </c>
      <c r="E2347" t="n">
        <v>5014861</v>
      </c>
      <c r="F2347" t="inlineStr">
        <is>
          <t>0330/26</t>
        </is>
      </c>
      <c r="G2347" t="inlineStr">
        <is>
          <t>RE</t>
        </is>
      </c>
      <c r="H2347" s="12" t="n">
        <v>-1006.99</v>
      </c>
      <c r="I2347" s="17" t="n">
        <v>46244</v>
      </c>
      <c r="J2347" s="17" t="n">
        <v>46274</v>
      </c>
      <c r="K2347" t="inlineStr">
        <is>
          <t>Invoice Payment. SP: 21236</t>
        </is>
      </c>
    </row>
    <row r="2348">
      <c r="A2348" t="inlineStr">
        <is>
          <t>101463</t>
        </is>
      </c>
      <c r="B2348" t="inlineStr">
        <is>
          <t>ZURICH MINAS BRASIL SEGUROS S A</t>
        </is>
      </c>
      <c r="C2348" t="n">
        <v>2111000000</v>
      </c>
      <c r="D2348" t="inlineStr">
        <is>
          <t>Insurance</t>
        </is>
      </c>
      <c r="E2348" t="n">
        <v>5014863</v>
      </c>
      <c r="F2348" t="inlineStr">
        <is>
          <t>0227/26</t>
        </is>
      </c>
      <c r="G2348" t="inlineStr">
        <is>
          <t>RE</t>
        </is>
      </c>
      <c r="H2348" s="12" t="n">
        <v>-117.03</v>
      </c>
      <c r="I2348" s="17" t="n">
        <v>46244</v>
      </c>
      <c r="J2348" s="17" t="n">
        <v>46274</v>
      </c>
      <c r="K2348" t="inlineStr">
        <is>
          <t>Invoice Payment. SP: 21238</t>
        </is>
      </c>
    </row>
    <row r="2349">
      <c r="A2349" t="inlineStr">
        <is>
          <t>101463</t>
        </is>
      </c>
      <c r="B2349" t="inlineStr">
        <is>
          <t>ZURICH MINAS BRASIL SEGUROS S A</t>
        </is>
      </c>
      <c r="C2349" t="n">
        <v>2111000000</v>
      </c>
      <c r="D2349" t="inlineStr">
        <is>
          <t>Insurance</t>
        </is>
      </c>
      <c r="E2349" t="n">
        <v>5014865</v>
      </c>
      <c r="F2349" t="inlineStr">
        <is>
          <t>0343/26</t>
        </is>
      </c>
      <c r="G2349" t="inlineStr">
        <is>
          <t>RE</t>
        </is>
      </c>
      <c r="H2349" s="12" t="n">
        <v>-1191.7</v>
      </c>
      <c r="I2349" s="17" t="n">
        <v>46244</v>
      </c>
      <c r="J2349" s="17" t="n">
        <v>46274</v>
      </c>
      <c r="K2349" t="inlineStr">
        <is>
          <t>Invoice Payment. SP: 21240</t>
        </is>
      </c>
    </row>
    <row r="2350">
      <c r="A2350" t="inlineStr">
        <is>
          <t>101560</t>
        </is>
      </c>
      <c r="B2350" t="inlineStr">
        <is>
          <t>SINDICATO DOS DESPACHANTES ADUANEIR DE SAO PAULO SINDASP</t>
        </is>
      </c>
      <c r="C2350" t="n">
        <v>2111000000</v>
      </c>
      <c r="D2350" t="inlineStr">
        <is>
          <t>Customs Brokerage – Overall</t>
        </is>
      </c>
      <c r="E2350" t="n">
        <v>5014869</v>
      </c>
      <c r="F2350" t="inlineStr">
        <is>
          <t>0060/25</t>
        </is>
      </c>
      <c r="G2350" t="inlineStr">
        <is>
          <t>RE</t>
        </is>
      </c>
      <c r="H2350" s="12" t="n">
        <v>-500</v>
      </c>
      <c r="I2350" s="17" t="n">
        <v>45764</v>
      </c>
      <c r="J2350" s="17" t="n">
        <v>45794</v>
      </c>
      <c r="K2350" t="inlineStr">
        <is>
          <t>Invoice Payment. SP: 7597</t>
        </is>
      </c>
    </row>
    <row r="2351">
      <c r="A2351" t="inlineStr">
        <is>
          <t>103936</t>
        </is>
      </c>
      <c r="B2351" t="inlineStr">
        <is>
          <t>BELA VISTA RENOVAVEIS II LTDA</t>
        </is>
      </c>
      <c r="C2351" t="n">
        <v>2111000000</v>
      </c>
      <c r="D2351" t="inlineStr">
        <is>
          <t>Other Suppliers</t>
        </is>
      </c>
      <c r="E2351" t="n">
        <v>5014872</v>
      </c>
      <c r="F2351" t="inlineStr">
        <is>
          <t>1730</t>
        </is>
      </c>
      <c r="G2351" t="inlineStr">
        <is>
          <t>RE</t>
        </is>
      </c>
      <c r="H2351" s="12" t="n">
        <v>-109486.05</v>
      </c>
      <c r="I2351" s="17" t="n">
        <v>46240</v>
      </c>
      <c r="J2351" s="17" t="n">
        <v>46270</v>
      </c>
      <c r="K2351" t="inlineStr">
        <is>
          <t>Fatura - bruto BELA VISTA RENOVAVEIS II LTDA 1730</t>
        </is>
      </c>
    </row>
    <row r="2352">
      <c r="A2352" t="inlineStr">
        <is>
          <t>100031</t>
        </is>
      </c>
      <c r="B2352" t="inlineStr">
        <is>
          <t>MEGAWIND INDUSTRIA E COMERCIO</t>
        </is>
      </c>
      <c r="C2352" t="n">
        <v>2111000000</v>
      </c>
      <c r="D2352" t="inlineStr">
        <is>
          <t>Operational Suppliers (Wind Farms)</t>
        </is>
      </c>
      <c r="E2352" t="n">
        <v>5014875</v>
      </c>
      <c r="F2352" t="inlineStr">
        <is>
          <t>1441</t>
        </is>
      </c>
      <c r="G2352" t="inlineStr">
        <is>
          <t>RE</t>
        </is>
      </c>
      <c r="H2352" s="12" t="n">
        <v>-39450</v>
      </c>
      <c r="I2352" s="17" t="n">
        <v>46241</v>
      </c>
      <c r="J2352" s="17" t="n">
        <v>46300</v>
      </c>
      <c r="K2352" t="inlineStr">
        <is>
          <t>Fatura - bruto MEGAWIND INDUSTRIA E COMERCIO 1441</t>
        </is>
      </c>
    </row>
    <row r="2353">
      <c r="A2353" t="inlineStr">
        <is>
          <t>101115</t>
        </is>
      </c>
      <c r="B2353" t="inlineStr">
        <is>
          <t>WAITMAN &amp; SKOLIMOVSKI ADVOGADOS</t>
        </is>
      </c>
      <c r="C2353" t="n">
        <v>2111000000</v>
      </c>
      <c r="D2353" t="inlineStr">
        <is>
          <t>Legal Services Suppliers</t>
        </is>
      </c>
      <c r="E2353" t="n">
        <v>5014881</v>
      </c>
      <c r="F2353" t="inlineStr">
        <is>
          <t>671</t>
        </is>
      </c>
      <c r="G2353" t="inlineStr">
        <is>
          <t>RE</t>
        </is>
      </c>
      <c r="H2353" s="12" t="n">
        <v>-3743</v>
      </c>
      <c r="I2353" s="17" t="n">
        <v>46222</v>
      </c>
      <c r="J2353" s="17" t="n">
        <v>46270</v>
      </c>
      <c r="K2353" t="inlineStr">
        <is>
          <t>Fatura - bruto WAITMAN &amp; SKOLIMOVSKI ADVOGADOS 671</t>
        </is>
      </c>
    </row>
    <row r="2354">
      <c r="A2354" t="inlineStr">
        <is>
          <t>101115</t>
        </is>
      </c>
      <c r="B2354" t="inlineStr">
        <is>
          <t>WAITMAN &amp; SKOLIMOVSKI ADVOGADOS</t>
        </is>
      </c>
      <c r="C2354" t="n">
        <v>2111000000</v>
      </c>
      <c r="D2354" t="inlineStr">
        <is>
          <t>Legal Services Suppliers</t>
        </is>
      </c>
      <c r="E2354" t="n">
        <v>5014882</v>
      </c>
      <c r="F2354" t="inlineStr">
        <is>
          <t>670</t>
        </is>
      </c>
      <c r="G2354" t="inlineStr">
        <is>
          <t>RE</t>
        </is>
      </c>
      <c r="H2354" s="12" t="n">
        <v>-443.25</v>
      </c>
      <c r="I2354" s="17" t="n">
        <v>46222</v>
      </c>
      <c r="J2354" s="17" t="n">
        <v>46270</v>
      </c>
      <c r="K2354" t="inlineStr">
        <is>
          <t>Fatura - bruto WAITMAN &amp; SKOLIMOVSKI ADVOGADOS 670</t>
        </is>
      </c>
    </row>
    <row r="2355">
      <c r="A2355" t="inlineStr">
        <is>
          <t>101463</t>
        </is>
      </c>
      <c r="B2355" t="inlineStr">
        <is>
          <t>ZURICH MINAS BRASIL SEGUROS S A</t>
        </is>
      </c>
      <c r="C2355" t="n">
        <v>2111000000</v>
      </c>
      <c r="D2355" t="inlineStr">
        <is>
          <t>Insurance</t>
        </is>
      </c>
      <c r="E2355" t="n">
        <v>5014886</v>
      </c>
      <c r="F2355" t="inlineStr">
        <is>
          <t>0453/26</t>
        </is>
      </c>
      <c r="G2355" t="inlineStr">
        <is>
          <t>RE</t>
        </is>
      </c>
      <c r="H2355" s="12" t="n">
        <v>-1100.18</v>
      </c>
      <c r="I2355" s="17" t="n">
        <v>46245</v>
      </c>
      <c r="J2355" s="17" t="n">
        <v>46275</v>
      </c>
      <c r="K2355" t="inlineStr">
        <is>
          <t>Invoice Payment. SP: 21278</t>
        </is>
      </c>
    </row>
    <row r="2356">
      <c r="A2356" t="inlineStr">
        <is>
          <t>101463</t>
        </is>
      </c>
      <c r="B2356" t="inlineStr">
        <is>
          <t>ZURICH MINAS BRASIL SEGUROS S A</t>
        </is>
      </c>
      <c r="C2356" t="n">
        <v>2111000000</v>
      </c>
      <c r="D2356" t="inlineStr">
        <is>
          <t>Insurance</t>
        </is>
      </c>
      <c r="E2356" t="n">
        <v>5014890</v>
      </c>
      <c r="F2356" t="inlineStr">
        <is>
          <t>0231/26</t>
        </is>
      </c>
      <c r="G2356" t="inlineStr">
        <is>
          <t>RE</t>
        </is>
      </c>
      <c r="H2356" s="12" t="n">
        <v>-800.39</v>
      </c>
      <c r="I2356" s="17" t="n">
        <v>46245</v>
      </c>
      <c r="J2356" s="17" t="n">
        <v>46275</v>
      </c>
      <c r="K2356" t="inlineStr">
        <is>
          <t>Invoice Payment. SP: 21280</t>
        </is>
      </c>
    </row>
    <row r="2357">
      <c r="A2357" t="inlineStr">
        <is>
          <t>101946</t>
        </is>
      </c>
      <c r="B2357" t="inlineStr">
        <is>
          <t>EXTINSERVICE EQUIPAMENTOS E SERVIÇO</t>
        </is>
      </c>
      <c r="C2357" t="n">
        <v>2111000000</v>
      </c>
      <c r="D2357" t="inlineStr">
        <is>
          <t>Other Suppliers</t>
        </is>
      </c>
      <c r="E2357" t="n">
        <v>5014893</v>
      </c>
      <c r="F2357" t="inlineStr">
        <is>
          <t>16</t>
        </is>
      </c>
      <c r="G2357" t="inlineStr">
        <is>
          <t>RE</t>
        </is>
      </c>
      <c r="H2357" s="12" t="n">
        <v>-1310</v>
      </c>
      <c r="I2357" s="17" t="n">
        <v>46240</v>
      </c>
      <c r="J2357" s="17" t="n">
        <v>46270</v>
      </c>
      <c r="K2357" t="inlineStr">
        <is>
          <t>Fatura - bruto EXTINSERVICE EQUIPAMENTOS E SERVIÇO</t>
        </is>
      </c>
    </row>
    <row r="2358">
      <c r="A2358" t="inlineStr">
        <is>
          <t>107274</t>
        </is>
      </c>
      <c r="B2358" t="inlineStr">
        <is>
          <t>OBJECTA LIFTING LASHING AND TECHNIC</t>
        </is>
      </c>
      <c r="C2358" t="n">
        <v>2111000000</v>
      </c>
      <c r="D2358" t="inlineStr">
        <is>
          <t>Other Suppliers</t>
        </is>
      </c>
      <c r="E2358" t="n">
        <v>5014896</v>
      </c>
      <c r="F2358" t="inlineStr">
        <is>
          <t>147</t>
        </is>
      </c>
      <c r="G2358" t="inlineStr">
        <is>
          <t>RE</t>
        </is>
      </c>
      <c r="H2358" s="12" t="n">
        <v>-8200</v>
      </c>
      <c r="I2358" s="17" t="n">
        <v>46244</v>
      </c>
      <c r="J2358" s="17" t="n">
        <v>46274</v>
      </c>
      <c r="K2358" t="inlineStr">
        <is>
          <t>Fatura - bruto OBJECTA LIFTING LASHING AND TECHNIC</t>
        </is>
      </c>
    </row>
    <row r="2359">
      <c r="A2359" t="inlineStr">
        <is>
          <t>107274</t>
        </is>
      </c>
      <c r="B2359" t="inlineStr">
        <is>
          <t>OBJECTA LIFTING LASHING AND TECHNIC</t>
        </is>
      </c>
      <c r="C2359" t="n">
        <v>2111000000</v>
      </c>
      <c r="D2359" t="inlineStr">
        <is>
          <t>Other Suppliers</t>
        </is>
      </c>
      <c r="E2359" t="n">
        <v>5014900</v>
      </c>
      <c r="F2359" t="inlineStr">
        <is>
          <t>148</t>
        </is>
      </c>
      <c r="G2359" t="inlineStr">
        <is>
          <t>RE</t>
        </is>
      </c>
      <c r="H2359" s="12" t="n">
        <v>-7300</v>
      </c>
      <c r="I2359" s="17" t="n">
        <v>46244</v>
      </c>
      <c r="J2359" s="17" t="n">
        <v>46274</v>
      </c>
      <c r="K2359" t="inlineStr">
        <is>
          <t>Fatura - bruto OBJECTA LIFTING LASHING AND TECHNIC</t>
        </is>
      </c>
    </row>
    <row r="2360">
      <c r="A2360" t="inlineStr">
        <is>
          <t>101463</t>
        </is>
      </c>
      <c r="B2360" t="inlineStr">
        <is>
          <t>ZURICH MINAS BRASIL SEGUROS S A</t>
        </is>
      </c>
      <c r="C2360" t="n">
        <v>2111000000</v>
      </c>
      <c r="D2360" t="inlineStr">
        <is>
          <t>Insurance</t>
        </is>
      </c>
      <c r="E2360" t="n">
        <v>5014906</v>
      </c>
      <c r="F2360" t="inlineStr">
        <is>
          <t>0464/26</t>
        </is>
      </c>
      <c r="G2360" t="inlineStr">
        <is>
          <t>RE</t>
        </is>
      </c>
      <c r="H2360" s="12" t="n">
        <v>-1366.97</v>
      </c>
      <c r="I2360" s="17" t="n">
        <v>46245</v>
      </c>
      <c r="J2360" s="17" t="n">
        <v>46275</v>
      </c>
      <c r="K2360" t="inlineStr">
        <is>
          <t>Invoice Payment. SP: 21282</t>
        </is>
      </c>
    </row>
    <row r="2361">
      <c r="A2361" t="inlineStr">
        <is>
          <t>101463</t>
        </is>
      </c>
      <c r="B2361" t="inlineStr">
        <is>
          <t>ZURICH MINAS BRASIL SEGUROS S A</t>
        </is>
      </c>
      <c r="C2361" t="n">
        <v>2111000000</v>
      </c>
      <c r="D2361" t="inlineStr">
        <is>
          <t>Insurance</t>
        </is>
      </c>
      <c r="E2361" t="n">
        <v>5014920</v>
      </c>
      <c r="F2361" t="inlineStr">
        <is>
          <t>0234/26</t>
        </is>
      </c>
      <c r="G2361" t="inlineStr">
        <is>
          <t>RE</t>
        </is>
      </c>
      <c r="H2361" s="12" t="n">
        <v>-182.52</v>
      </c>
      <c r="I2361" s="17" t="n">
        <v>46245</v>
      </c>
      <c r="J2361" s="17" t="n">
        <v>46275</v>
      </c>
      <c r="K2361" t="inlineStr">
        <is>
          <t>Invoice Payment. SP: 21284</t>
        </is>
      </c>
    </row>
    <row r="2362">
      <c r="A2362" t="inlineStr">
        <is>
          <t>101463</t>
        </is>
      </c>
      <c r="B2362" t="inlineStr">
        <is>
          <t>ZURICH MINAS BRASIL SEGUROS S A</t>
        </is>
      </c>
      <c r="C2362" t="n">
        <v>2111000000</v>
      </c>
      <c r="D2362" t="inlineStr">
        <is>
          <t>Insurance</t>
        </is>
      </c>
      <c r="E2362" t="n">
        <v>5014922</v>
      </c>
      <c r="F2362" t="inlineStr">
        <is>
          <t>0228/26</t>
        </is>
      </c>
      <c r="G2362" t="inlineStr">
        <is>
          <t>RE</t>
        </is>
      </c>
      <c r="H2362" s="12" t="n">
        <v>-39</v>
      </c>
      <c r="I2362" s="17" t="n">
        <v>46245</v>
      </c>
      <c r="J2362" s="17" t="n">
        <v>46275</v>
      </c>
      <c r="K2362" t="inlineStr">
        <is>
          <t>Invoice Payment. SP: 21286</t>
        </is>
      </c>
    </row>
    <row r="2363">
      <c r="A2363" t="inlineStr">
        <is>
          <t>100031</t>
        </is>
      </c>
      <c r="B2363" t="inlineStr">
        <is>
          <t>MEGAWIND INDUSTRIA E COMERCIO</t>
        </is>
      </c>
      <c r="C2363" t="n">
        <v>2111000000</v>
      </c>
      <c r="D2363" t="inlineStr">
        <is>
          <t>Operational Suppliers (Wind Farms)</t>
        </is>
      </c>
      <c r="E2363" t="n">
        <v>5014923</v>
      </c>
      <c r="F2363" t="inlineStr">
        <is>
          <t>1445</t>
        </is>
      </c>
      <c r="G2363" t="inlineStr">
        <is>
          <t>RE</t>
        </is>
      </c>
      <c r="H2363" s="12" t="n">
        <v>-9545.450000000001</v>
      </c>
      <c r="I2363" s="17" t="n">
        <v>46245</v>
      </c>
      <c r="J2363" s="17" t="n">
        <v>46300</v>
      </c>
      <c r="K2363" t="inlineStr">
        <is>
          <t>Fatura - bruto MEGAWIND INDUSTRIA E COMERCIO 1445</t>
        </is>
      </c>
    </row>
    <row r="2364">
      <c r="A2364" t="inlineStr">
        <is>
          <t>100031</t>
        </is>
      </c>
      <c r="B2364" t="inlineStr">
        <is>
          <t>MEGAWIND INDUSTRIA E COMERCIO</t>
        </is>
      </c>
      <c r="C2364" t="n">
        <v>2111000000</v>
      </c>
      <c r="D2364" t="inlineStr">
        <is>
          <t>Operational Suppliers (Wind Farms)</t>
        </is>
      </c>
      <c r="E2364" t="n">
        <v>5014925</v>
      </c>
      <c r="F2364" t="inlineStr">
        <is>
          <t>1446</t>
        </is>
      </c>
      <c r="G2364" t="inlineStr">
        <is>
          <t>RE</t>
        </is>
      </c>
      <c r="H2364" s="12" t="n">
        <v>-55118.16</v>
      </c>
      <c r="I2364" s="17" t="n">
        <v>46245</v>
      </c>
      <c r="J2364" s="17" t="n">
        <v>46300</v>
      </c>
      <c r="K2364" t="inlineStr">
        <is>
          <t>Fatura - bruto MEGAWIND INDUSTRIA E COMERCIO 1446</t>
        </is>
      </c>
    </row>
    <row r="2365">
      <c r="A2365" t="inlineStr">
        <is>
          <t>100883</t>
        </is>
      </c>
      <c r="B2365" t="inlineStr">
        <is>
          <t>QUELMAR TRANSPORTES LTDA</t>
        </is>
      </c>
      <c r="C2365" t="n">
        <v>2111000000</v>
      </c>
      <c r="D2365" t="inlineStr">
        <is>
          <t>Operational Suppliers (Wind Farms)</t>
        </is>
      </c>
      <c r="E2365" t="n">
        <v>5014926</v>
      </c>
      <c r="F2365" t="inlineStr">
        <is>
          <t>6252-2</t>
        </is>
      </c>
      <c r="G2365" t="inlineStr">
        <is>
          <t>RE</t>
        </is>
      </c>
      <c r="H2365" s="12" t="n">
        <v>-3200</v>
      </c>
      <c r="I2365" s="17" t="n">
        <v>46225</v>
      </c>
      <c r="J2365" s="17" t="n">
        <v>46270</v>
      </c>
      <c r="K2365" t="inlineStr">
        <is>
          <t>Fatura - bruto QUELMAR TRANSPORTES LTDA 6252-2</t>
        </is>
      </c>
    </row>
    <row r="2366">
      <c r="A2366" t="inlineStr">
        <is>
          <t>100883</t>
        </is>
      </c>
      <c r="B2366" t="inlineStr">
        <is>
          <t>QUELMAR TRANSPORTES LTDA</t>
        </is>
      </c>
      <c r="C2366" t="n">
        <v>2111000000</v>
      </c>
      <c r="D2366" t="inlineStr">
        <is>
          <t>Operational Suppliers (Wind Farms)</t>
        </is>
      </c>
      <c r="E2366" t="n">
        <v>5014927</v>
      </c>
      <c r="F2366" t="inlineStr">
        <is>
          <t>6180-2</t>
        </is>
      </c>
      <c r="G2366" t="inlineStr">
        <is>
          <t>RE</t>
        </is>
      </c>
      <c r="H2366" s="12" t="n">
        <v>-1580</v>
      </c>
      <c r="I2366" s="17" t="n">
        <v>46206</v>
      </c>
      <c r="J2366" s="17" t="n">
        <v>46270</v>
      </c>
      <c r="K2366" t="inlineStr">
        <is>
          <t>Fatura - bruto QUELMAR TRANSPORTES LTDA 6180-2</t>
        </is>
      </c>
    </row>
    <row r="2367">
      <c r="A2367" t="inlineStr">
        <is>
          <t>101463</t>
        </is>
      </c>
      <c r="B2367" t="inlineStr">
        <is>
          <t>ZURICH MINAS BRASIL SEGUROS S A</t>
        </is>
      </c>
      <c r="C2367" t="n">
        <v>2111000000</v>
      </c>
      <c r="D2367" t="inlineStr">
        <is>
          <t>Insurance</t>
        </is>
      </c>
      <c r="E2367" t="n">
        <v>5014928</v>
      </c>
      <c r="F2367" t="inlineStr">
        <is>
          <t>0339/26</t>
        </is>
      </c>
      <c r="G2367" t="inlineStr">
        <is>
          <t>RE</t>
        </is>
      </c>
      <c r="H2367" s="12" t="n">
        <v>-1034.42</v>
      </c>
      <c r="I2367" s="17" t="n">
        <v>46245</v>
      </c>
      <c r="J2367" s="17" t="n">
        <v>46275</v>
      </c>
      <c r="K2367" t="inlineStr">
        <is>
          <t>Invoice Payment. SP: 21288</t>
        </is>
      </c>
    </row>
    <row r="2368">
      <c r="A2368" t="inlineStr">
        <is>
          <t>101463</t>
        </is>
      </c>
      <c r="B2368" t="inlineStr">
        <is>
          <t>ZURICH MINAS BRASIL SEGUROS S A</t>
        </is>
      </c>
      <c r="C2368" t="n">
        <v>2111000000</v>
      </c>
      <c r="D2368" t="inlineStr">
        <is>
          <t>Insurance</t>
        </is>
      </c>
      <c r="E2368" t="n">
        <v>5014933</v>
      </c>
      <c r="F2368" t="inlineStr">
        <is>
          <t>0448/26</t>
        </is>
      </c>
      <c r="G2368" t="inlineStr">
        <is>
          <t>RE</t>
        </is>
      </c>
      <c r="H2368" s="12" t="n">
        <v>-3.02</v>
      </c>
      <c r="I2368" s="17" t="n">
        <v>46245</v>
      </c>
      <c r="J2368" s="17" t="n">
        <v>46275</v>
      </c>
      <c r="K2368" t="inlineStr">
        <is>
          <t>Invoice Payment. SP: 21290</t>
        </is>
      </c>
    </row>
    <row r="2369">
      <c r="A2369" t="inlineStr">
        <is>
          <t>101463</t>
        </is>
      </c>
      <c r="B2369" t="inlineStr">
        <is>
          <t>ZURICH MINAS BRASIL SEGUROS S A</t>
        </is>
      </c>
      <c r="C2369" t="n">
        <v>2111000000</v>
      </c>
      <c r="D2369" t="inlineStr">
        <is>
          <t>Insurance</t>
        </is>
      </c>
      <c r="E2369" t="n">
        <v>5014945</v>
      </c>
      <c r="F2369" t="inlineStr">
        <is>
          <t>0332/26</t>
        </is>
      </c>
      <c r="G2369" t="inlineStr">
        <is>
          <t>RE</t>
        </is>
      </c>
      <c r="H2369" s="12" t="n">
        <v>-104.23</v>
      </c>
      <c r="I2369" s="17" t="n">
        <v>46245</v>
      </c>
      <c r="J2369" s="17" t="n">
        <v>46275</v>
      </c>
      <c r="K2369" t="inlineStr">
        <is>
          <t>Invoice Payment. SP: 21292</t>
        </is>
      </c>
    </row>
    <row r="2370">
      <c r="A2370" t="inlineStr">
        <is>
          <t>101463</t>
        </is>
      </c>
      <c r="B2370" t="inlineStr">
        <is>
          <t>ZURICH MINAS BRASIL SEGUROS S A</t>
        </is>
      </c>
      <c r="C2370" t="n">
        <v>2111000000</v>
      </c>
      <c r="D2370" t="inlineStr">
        <is>
          <t>Insurance</t>
        </is>
      </c>
      <c r="E2370" t="n">
        <v>5014953</v>
      </c>
      <c r="F2370" t="inlineStr">
        <is>
          <t>0452/26</t>
        </is>
      </c>
      <c r="G2370" t="inlineStr">
        <is>
          <t>RE</t>
        </is>
      </c>
      <c r="H2370" s="12" t="n">
        <v>-90.86</v>
      </c>
      <c r="I2370" s="17" t="n">
        <v>46245</v>
      </c>
      <c r="J2370" s="17" t="n">
        <v>46245</v>
      </c>
      <c r="K2370" t="inlineStr">
        <is>
          <t>Invoice Payment. SP: 21294</t>
        </is>
      </c>
    </row>
    <row r="2371">
      <c r="A2371" t="inlineStr">
        <is>
          <t>105982</t>
        </is>
      </c>
      <c r="B2371" t="inlineStr">
        <is>
          <t>TELES &amp; VILANOVA ADVOGADOS 57783429000110</t>
        </is>
      </c>
      <c r="C2371" t="n">
        <v>2111000000</v>
      </c>
      <c r="D2371" t="inlineStr">
        <is>
          <t>Legal Services Suppliers</t>
        </is>
      </c>
      <c r="E2371" t="n">
        <v>5014964</v>
      </c>
      <c r="F2371" t="inlineStr">
        <is>
          <t>10127</t>
        </is>
      </c>
      <c r="G2371" t="inlineStr">
        <is>
          <t>RE</t>
        </is>
      </c>
      <c r="H2371" s="12" t="n">
        <v>-4500</v>
      </c>
      <c r="I2371" s="17" t="n">
        <v>46244</v>
      </c>
      <c r="J2371" s="17" t="n">
        <v>46274</v>
      </c>
      <c r="K2371" t="inlineStr">
        <is>
          <t>Fatura - bruto TELES &amp; VILANOVA ADVOGADOS 57783429</t>
        </is>
      </c>
    </row>
    <row r="2372">
      <c r="A2372" t="inlineStr">
        <is>
          <t>105982</t>
        </is>
      </c>
      <c r="B2372" t="inlineStr">
        <is>
          <t>TELES &amp; VILANOVA ADVOGADOS 57783429000110</t>
        </is>
      </c>
      <c r="C2372" t="n">
        <v>2111000000</v>
      </c>
      <c r="D2372" t="inlineStr">
        <is>
          <t>Legal Services Suppliers</t>
        </is>
      </c>
      <c r="E2372" t="n">
        <v>5014965</v>
      </c>
      <c r="F2372" t="inlineStr">
        <is>
          <t>10126</t>
        </is>
      </c>
      <c r="G2372" t="inlineStr">
        <is>
          <t>RE</t>
        </is>
      </c>
      <c r="H2372" s="12" t="n">
        <v>-4793.9</v>
      </c>
      <c r="I2372" s="17" t="n">
        <v>46244</v>
      </c>
      <c r="J2372" s="17" t="n">
        <v>46274</v>
      </c>
      <c r="K2372" t="inlineStr">
        <is>
          <t>Fatura - bruto TELES &amp; VILANOVA ADVOGADOS 57783429</t>
        </is>
      </c>
    </row>
    <row r="2373">
      <c r="A2373" t="inlineStr">
        <is>
          <t>101958</t>
        </is>
      </c>
      <c r="B2373" t="inlineStr">
        <is>
          <t>PREFEITURA DE SAO PAULO</t>
        </is>
      </c>
      <c r="C2373" t="n">
        <v>2111000000</v>
      </c>
      <c r="D2373" t="inlineStr">
        <is>
          <t>Taxes Payable</t>
        </is>
      </c>
      <c r="E2373" t="n">
        <v>5014966</v>
      </c>
      <c r="F2373" t="inlineStr">
        <is>
          <t>IMP FCAMBIO LINK</t>
        </is>
      </c>
      <c r="G2373" t="inlineStr">
        <is>
          <t>KR</t>
        </is>
      </c>
      <c r="H2373" s="12" t="n">
        <v>-2857.72</v>
      </c>
      <c r="I2373" s="17" t="n">
        <v>46238</v>
      </c>
      <c r="J2373" s="17" t="n">
        <v>46274</v>
      </c>
      <c r="K2373" t="inlineStr">
        <is>
          <t>ISS FCAMBIO LINKEDIN INV 78112889228</t>
        </is>
      </c>
    </row>
    <row r="2374">
      <c r="A2374" t="inlineStr">
        <is>
          <t>100617</t>
        </is>
      </c>
      <c r="B2374" t="inlineStr">
        <is>
          <t>PREST SERVICOS DE SISTEMAS DE SEGUR</t>
        </is>
      </c>
      <c r="C2374" t="n">
        <v>2111000000</v>
      </c>
      <c r="D2374" t="inlineStr">
        <is>
          <t>Other Suppliers</t>
        </is>
      </c>
      <c r="E2374" t="n">
        <v>5014967</v>
      </c>
      <c r="F2374" t="inlineStr">
        <is>
          <t>31</t>
        </is>
      </c>
      <c r="G2374" t="inlineStr">
        <is>
          <t>RE</t>
        </is>
      </c>
      <c r="H2374" s="12" t="n">
        <v>-14880.83</v>
      </c>
      <c r="I2374" s="17" t="n">
        <v>46244</v>
      </c>
      <c r="J2374" s="17" t="n">
        <v>46300</v>
      </c>
      <c r="K2374" t="inlineStr">
        <is>
          <t>Fatura - bruto PREST SERVICOS DE SISTEMAS DE SEGUR</t>
        </is>
      </c>
    </row>
    <row r="2375">
      <c r="A2375" t="inlineStr">
        <is>
          <t>100883</t>
        </is>
      </c>
      <c r="B2375" t="inlineStr">
        <is>
          <t>QUELMAR TRANSPORTES LTDA</t>
        </is>
      </c>
      <c r="C2375" t="n">
        <v>2111000000</v>
      </c>
      <c r="D2375" t="inlineStr">
        <is>
          <t>Operational Suppliers (Wind Farms)</t>
        </is>
      </c>
      <c r="E2375" t="n">
        <v>5014968</v>
      </c>
      <c r="F2375" t="inlineStr">
        <is>
          <t>6326-2</t>
        </is>
      </c>
      <c r="G2375" t="inlineStr">
        <is>
          <t>RE</t>
        </is>
      </c>
      <c r="H2375" s="12" t="n">
        <v>-1980</v>
      </c>
      <c r="I2375" s="17" t="n">
        <v>46232</v>
      </c>
      <c r="J2375" s="17" t="n">
        <v>46270</v>
      </c>
      <c r="K2375" t="inlineStr">
        <is>
          <t>Fatura - bruto QUELMAR TRANSPORTES LTDA 6326-2</t>
        </is>
      </c>
    </row>
    <row r="2376">
      <c r="A2376" t="inlineStr">
        <is>
          <t>101958</t>
        </is>
      </c>
      <c r="B2376" t="inlineStr">
        <is>
          <t>PREFEITURA DE SAO PAULO</t>
        </is>
      </c>
      <c r="C2376" t="n">
        <v>2111000000</v>
      </c>
      <c r="D2376" t="inlineStr">
        <is>
          <t>Taxes Payable</t>
        </is>
      </c>
      <c r="E2376" t="n">
        <v>5014973</v>
      </c>
      <c r="F2376" t="inlineStr">
        <is>
          <t>IMP FCAMBIO HIDR</t>
        </is>
      </c>
      <c r="G2376" t="inlineStr">
        <is>
          <t>KR</t>
        </is>
      </c>
      <c r="H2376" s="12" t="n">
        <v>-112089.82</v>
      </c>
      <c r="I2376" s="17" t="n">
        <v>46240</v>
      </c>
      <c r="J2376" s="17" t="n">
        <v>46274</v>
      </c>
      <c r="K2376" t="inlineStr">
        <is>
          <t>ISS FCAMBIO HIDRAULICA INV 17/30/45/46-26</t>
        </is>
      </c>
    </row>
    <row r="2377">
      <c r="A2377" t="inlineStr">
        <is>
          <t>101463</t>
        </is>
      </c>
      <c r="B2377" t="inlineStr">
        <is>
          <t>ZURICH MINAS BRASIL SEGUROS S A</t>
        </is>
      </c>
      <c r="C2377" t="n">
        <v>2111000000</v>
      </c>
      <c r="D2377" t="inlineStr">
        <is>
          <t>Insurance</t>
        </is>
      </c>
      <c r="E2377" t="n">
        <v>5014976</v>
      </c>
      <c r="F2377" t="inlineStr">
        <is>
          <t>0465/26</t>
        </is>
      </c>
      <c r="G2377" t="inlineStr">
        <is>
          <t>RE</t>
        </is>
      </c>
      <c r="H2377" s="12" t="n">
        <v>-18.8</v>
      </c>
      <c r="I2377" s="17" t="n">
        <v>46245</v>
      </c>
      <c r="J2377" s="17" t="n">
        <v>46275</v>
      </c>
      <c r="K2377" t="inlineStr">
        <is>
          <t>Invoice Payment. SP: 21298</t>
        </is>
      </c>
    </row>
    <row r="2378">
      <c r="A2378" t="inlineStr">
        <is>
          <t>101958</t>
        </is>
      </c>
      <c r="B2378" t="inlineStr">
        <is>
          <t>PREFEITURA DE SAO PAULO</t>
        </is>
      </c>
      <c r="C2378" t="n">
        <v>2111000000</v>
      </c>
      <c r="D2378" t="inlineStr">
        <is>
          <t>Taxes Payable</t>
        </is>
      </c>
      <c r="E2378" t="n">
        <v>5014981</v>
      </c>
      <c r="F2378" t="inlineStr">
        <is>
          <t>IMP FCAMBIO SECR</t>
        </is>
      </c>
      <c r="G2378" t="inlineStr">
        <is>
          <t>KR</t>
        </is>
      </c>
      <c r="H2378" s="12" t="n">
        <v>-14592.99</v>
      </c>
      <c r="I2378" s="17" t="n">
        <v>46240</v>
      </c>
      <c r="J2378" s="17" t="n">
        <v>46274</v>
      </c>
      <c r="K2378" t="inlineStr">
        <is>
          <t>ISS FCAMBIO SECRETARIAT INV 620/645/783</t>
        </is>
      </c>
    </row>
    <row r="2379">
      <c r="A2379" t="inlineStr">
        <is>
          <t>101958</t>
        </is>
      </c>
      <c r="B2379" t="inlineStr">
        <is>
          <t>PREFEITURA DE SAO PAULO</t>
        </is>
      </c>
      <c r="C2379" t="n">
        <v>2111000000</v>
      </c>
      <c r="D2379" t="inlineStr">
        <is>
          <t>Taxes Payable</t>
        </is>
      </c>
      <c r="E2379" t="n">
        <v>5014984</v>
      </c>
      <c r="F2379" t="inlineStr">
        <is>
          <t>IMP FCAMBIO NORD</t>
        </is>
      </c>
      <c r="G2379" t="inlineStr">
        <is>
          <t>KR</t>
        </is>
      </c>
      <c r="H2379" s="12" t="n">
        <v>-4418.49</v>
      </c>
      <c r="I2379" s="17" t="n">
        <v>46241</v>
      </c>
      <c r="J2379" s="17" t="n">
        <v>46274</v>
      </c>
      <c r="K2379" t="inlineStr">
        <is>
          <t>ISS FCAMBIO NORDEX OY INV 6000244</t>
        </is>
      </c>
    </row>
    <row r="2380">
      <c r="A2380" t="inlineStr">
        <is>
          <t>101463</t>
        </is>
      </c>
      <c r="B2380" t="inlineStr">
        <is>
          <t>ZURICH MINAS BRASIL SEGUROS S A</t>
        </is>
      </c>
      <c r="C2380" t="n">
        <v>2111000000</v>
      </c>
      <c r="D2380" t="inlineStr">
        <is>
          <t>Insurance</t>
        </is>
      </c>
      <c r="E2380" t="n">
        <v>5014985</v>
      </c>
      <c r="F2380" t="inlineStr">
        <is>
          <t>0469/26</t>
        </is>
      </c>
      <c r="G2380" t="inlineStr">
        <is>
          <t>RE</t>
        </is>
      </c>
      <c r="H2380" s="12" t="n">
        <v>-63.29</v>
      </c>
      <c r="I2380" s="17" t="n">
        <v>46245</v>
      </c>
      <c r="J2380" s="17" t="n">
        <v>46275</v>
      </c>
      <c r="K2380" t="inlineStr">
        <is>
          <t>Invoice Payment. SP: 21302</t>
        </is>
      </c>
    </row>
    <row r="2381">
      <c r="A2381" t="inlineStr">
        <is>
          <t>100883</t>
        </is>
      </c>
      <c r="B2381" t="inlineStr">
        <is>
          <t>QUELMAR TRANSPORTES LTDA</t>
        </is>
      </c>
      <c r="C2381" t="n">
        <v>2111000000</v>
      </c>
      <c r="D2381" t="inlineStr">
        <is>
          <t>Operational Suppliers (Wind Farms)</t>
        </is>
      </c>
      <c r="E2381" t="n">
        <v>5014986</v>
      </c>
      <c r="F2381" t="inlineStr">
        <is>
          <t>108193-1</t>
        </is>
      </c>
      <c r="G2381" t="inlineStr">
        <is>
          <t>RE</t>
        </is>
      </c>
      <c r="H2381" s="12" t="n">
        <v>-2204.54</v>
      </c>
      <c r="I2381" s="17" t="n">
        <v>46231</v>
      </c>
      <c r="J2381" s="17" t="n">
        <v>46270</v>
      </c>
      <c r="K2381" t="inlineStr">
        <is>
          <t>Fatura - bruto QUELMAR TRANSPORTES LTDA 108193-1</t>
        </is>
      </c>
    </row>
    <row r="2382">
      <c r="A2382" t="inlineStr">
        <is>
          <t>101463</t>
        </is>
      </c>
      <c r="B2382" t="inlineStr">
        <is>
          <t>ZURICH MINAS BRASIL SEGUROS S A</t>
        </is>
      </c>
      <c r="C2382" t="n">
        <v>2111000000</v>
      </c>
      <c r="D2382" t="inlineStr">
        <is>
          <t>Insurance</t>
        </is>
      </c>
      <c r="E2382" t="n">
        <v>5014990</v>
      </c>
      <c r="F2382" t="inlineStr">
        <is>
          <t>0402/26</t>
        </is>
      </c>
      <c r="G2382" t="inlineStr">
        <is>
          <t>RE</t>
        </is>
      </c>
      <c r="H2382" s="12" t="n">
        <v>-27969.5</v>
      </c>
      <c r="I2382" s="17" t="n">
        <v>46245</v>
      </c>
      <c r="J2382" s="17" t="n">
        <v>46275</v>
      </c>
      <c r="K2382" t="inlineStr">
        <is>
          <t>Invoice Payment. SP: 21304</t>
        </is>
      </c>
    </row>
    <row r="2383">
      <c r="A2383" t="inlineStr">
        <is>
          <t>101463</t>
        </is>
      </c>
      <c r="B2383" t="inlineStr">
        <is>
          <t>ZURICH MINAS BRASIL SEGUROS S A</t>
        </is>
      </c>
      <c r="C2383" t="n">
        <v>2111000000</v>
      </c>
      <c r="D2383" t="inlineStr">
        <is>
          <t>Insurance</t>
        </is>
      </c>
      <c r="E2383" t="n">
        <v>5014992</v>
      </c>
      <c r="F2383" t="inlineStr">
        <is>
          <t>0468/26</t>
        </is>
      </c>
      <c r="G2383" t="inlineStr">
        <is>
          <t>RE</t>
        </is>
      </c>
      <c r="H2383" s="12" t="n">
        <v>-1005.88</v>
      </c>
      <c r="I2383" s="17" t="n">
        <v>46245</v>
      </c>
      <c r="J2383" s="17" t="n">
        <v>46275</v>
      </c>
      <c r="K2383" t="inlineStr">
        <is>
          <t>Invoice Payment. SP: 21306</t>
        </is>
      </c>
    </row>
    <row r="2384">
      <c r="A2384" t="inlineStr">
        <is>
          <t>101463</t>
        </is>
      </c>
      <c r="B2384" t="inlineStr">
        <is>
          <t>ZURICH MINAS BRASIL SEGUROS S A</t>
        </is>
      </c>
      <c r="C2384" t="n">
        <v>2111000000</v>
      </c>
      <c r="D2384" t="inlineStr">
        <is>
          <t>Insurance</t>
        </is>
      </c>
      <c r="E2384" t="n">
        <v>5014994</v>
      </c>
      <c r="F2384" t="inlineStr">
        <is>
          <t>0317/26</t>
        </is>
      </c>
      <c r="G2384" t="inlineStr">
        <is>
          <t>RE</t>
        </is>
      </c>
      <c r="H2384" s="12" t="n">
        <v>-1513.45</v>
      </c>
      <c r="I2384" s="17" t="n">
        <v>46245</v>
      </c>
      <c r="J2384" s="17" t="n">
        <v>46275</v>
      </c>
      <c r="K2384" t="inlineStr">
        <is>
          <t>Invoice Payment. SP: 21308</t>
        </is>
      </c>
    </row>
    <row r="2385">
      <c r="A2385" t="inlineStr">
        <is>
          <t>100192</t>
        </is>
      </c>
      <c r="B2385" t="inlineStr">
        <is>
          <t>EPHARMA PBM DO BRASIL SA</t>
        </is>
      </c>
      <c r="C2385" t="n">
        <v>2111000000</v>
      </c>
      <c r="D2385" t="inlineStr">
        <is>
          <t>Other Suppliers</t>
        </is>
      </c>
      <c r="E2385" t="n">
        <v>5015004</v>
      </c>
      <c r="F2385" t="inlineStr">
        <is>
          <t>5836</t>
        </is>
      </c>
      <c r="G2385" t="inlineStr">
        <is>
          <t>RE</t>
        </is>
      </c>
      <c r="H2385" s="12" t="n">
        <v>-20830.78</v>
      </c>
      <c r="I2385" s="17" t="n">
        <v>46239</v>
      </c>
      <c r="J2385" s="17" t="n">
        <v>46269</v>
      </c>
      <c r="K2385" t="inlineStr">
        <is>
          <t>Fatura - bruto EPHARMA PBM DO BRASIL SA 5836</t>
        </is>
      </c>
    </row>
    <row r="2386">
      <c r="A2386" t="inlineStr">
        <is>
          <t>101508</t>
        </is>
      </c>
      <c r="B2386" t="inlineStr">
        <is>
          <t>RANDSTAD BRASIL RECURSOS HUMANOS LT</t>
        </is>
      </c>
      <c r="C2386" t="n">
        <v>2111000000</v>
      </c>
      <c r="D2386" t="inlineStr">
        <is>
          <t>Other Suppliers</t>
        </is>
      </c>
      <c r="E2386" t="n">
        <v>5015006</v>
      </c>
      <c r="F2386" t="inlineStr">
        <is>
          <t>255381</t>
        </is>
      </c>
      <c r="G2386" t="inlineStr">
        <is>
          <t>RE</t>
        </is>
      </c>
      <c r="H2386" s="12" t="n">
        <v>-17722.12</v>
      </c>
      <c r="I2386" s="17" t="n">
        <v>46239</v>
      </c>
      <c r="J2386" s="17" t="n">
        <v>46269</v>
      </c>
      <c r="K2386" t="inlineStr">
        <is>
          <t>Fatura - bruto RANDSTAD BRASIL RECURSOS HUMANOS LT</t>
        </is>
      </c>
    </row>
    <row r="2387">
      <c r="A2387" t="inlineStr">
        <is>
          <t>101887</t>
        </is>
      </c>
      <c r="B2387" t="inlineStr">
        <is>
          <t>MGO DE FREITAS</t>
        </is>
      </c>
      <c r="C2387" t="n">
        <v>2111000000</v>
      </c>
      <c r="D2387" t="inlineStr">
        <is>
          <t>Other Suppliers</t>
        </is>
      </c>
      <c r="E2387" t="n">
        <v>5015008</v>
      </c>
      <c r="F2387" t="inlineStr">
        <is>
          <t>1411</t>
        </is>
      </c>
      <c r="G2387" t="inlineStr">
        <is>
          <t>RE</t>
        </is>
      </c>
      <c r="H2387" s="12" t="n">
        <v>-10701.05</v>
      </c>
      <c r="I2387" s="17" t="n">
        <v>46237</v>
      </c>
      <c r="J2387" s="17" t="n">
        <v>46270</v>
      </c>
      <c r="K2387" t="inlineStr">
        <is>
          <t>Fatura - bruto MGO DE FREITAS 1411</t>
        </is>
      </c>
    </row>
    <row r="2388">
      <c r="A2388" t="inlineStr">
        <is>
          <t>103936</t>
        </is>
      </c>
      <c r="B2388" t="inlineStr">
        <is>
          <t>BELA VISTA RENOVAVEIS II LTDA</t>
        </is>
      </c>
      <c r="C2388" t="n">
        <v>2111000000</v>
      </c>
      <c r="D2388" t="inlineStr">
        <is>
          <t>Other Suppliers</t>
        </is>
      </c>
      <c r="E2388" t="n">
        <v>5015009</v>
      </c>
      <c r="F2388" t="inlineStr">
        <is>
          <t>1736</t>
        </is>
      </c>
      <c r="G2388" t="inlineStr">
        <is>
          <t>RE</t>
        </is>
      </c>
      <c r="H2388" s="12" t="n">
        <v>-103312.96</v>
      </c>
      <c r="I2388" s="17" t="n">
        <v>46245</v>
      </c>
      <c r="J2388" s="17" t="n">
        <v>46270</v>
      </c>
      <c r="K2388" t="inlineStr">
        <is>
          <t>Fatura - bruto BELA VISTA RENOVAVEIS II LTDA 1736</t>
        </is>
      </c>
    </row>
    <row r="2389">
      <c r="A2389" t="inlineStr">
        <is>
          <t>101463</t>
        </is>
      </c>
      <c r="B2389" t="inlineStr">
        <is>
          <t>ZURICH MINAS BRASIL SEGUROS S A</t>
        </is>
      </c>
      <c r="C2389" t="n">
        <v>2111000000</v>
      </c>
      <c r="D2389" t="inlineStr">
        <is>
          <t>Insurance</t>
        </is>
      </c>
      <c r="E2389" t="n">
        <v>5015010</v>
      </c>
      <c r="F2389" t="inlineStr">
        <is>
          <t>0492/26</t>
        </is>
      </c>
      <c r="G2389" t="inlineStr">
        <is>
          <t>RE</t>
        </is>
      </c>
      <c r="H2389" s="12" t="n">
        <v>-0.35</v>
      </c>
      <c r="I2389" s="17" t="n">
        <v>46246</v>
      </c>
      <c r="J2389" s="17" t="n">
        <v>46276</v>
      </c>
      <c r="K2389" t="inlineStr">
        <is>
          <t>Invoice Payment. SP: 21318</t>
        </is>
      </c>
    </row>
    <row r="2390">
      <c r="A2390" t="inlineStr">
        <is>
          <t>101887</t>
        </is>
      </c>
      <c r="B2390" t="inlineStr">
        <is>
          <t>MGO DE FREITAS</t>
        </is>
      </c>
      <c r="C2390" t="n">
        <v>2111000000</v>
      </c>
      <c r="D2390" t="inlineStr">
        <is>
          <t>Other Suppliers</t>
        </is>
      </c>
      <c r="E2390" t="n">
        <v>5015013</v>
      </c>
      <c r="F2390" t="inlineStr">
        <is>
          <t>1413</t>
        </is>
      </c>
      <c r="G2390" t="inlineStr">
        <is>
          <t>RE</t>
        </is>
      </c>
      <c r="H2390" s="12" t="n">
        <v>-6640</v>
      </c>
      <c r="I2390" s="17" t="n">
        <v>46237</v>
      </c>
      <c r="J2390" s="17" t="n">
        <v>46270</v>
      </c>
      <c r="K2390" t="inlineStr">
        <is>
          <t>Fatura - bruto MGO DE FREITAS 1413</t>
        </is>
      </c>
    </row>
    <row r="2391">
      <c r="A2391" t="inlineStr">
        <is>
          <t>100621</t>
        </is>
      </c>
      <c r="B2391" t="inlineStr">
        <is>
          <t>CALTER ENGENHARIA LTDA</t>
        </is>
      </c>
      <c r="C2391" t="n">
        <v>2111000000</v>
      </c>
      <c r="D2391" t="inlineStr">
        <is>
          <t>Other Suppliers</t>
        </is>
      </c>
      <c r="E2391" t="n">
        <v>5015016</v>
      </c>
      <c r="F2391" t="inlineStr">
        <is>
          <t>41</t>
        </is>
      </c>
      <c r="G2391" t="inlineStr">
        <is>
          <t>RE</t>
        </is>
      </c>
      <c r="H2391" s="12" t="n">
        <v>-15191.67</v>
      </c>
      <c r="I2391" s="17" t="n">
        <v>46238</v>
      </c>
      <c r="J2391" s="17" t="n">
        <v>46331</v>
      </c>
      <c r="K2391" t="inlineStr">
        <is>
          <t>Fatura - bruto CALTER ENGENHARIA LTDA 41</t>
        </is>
      </c>
    </row>
    <row r="2392">
      <c r="A2392" t="inlineStr">
        <is>
          <t>100621</t>
        </is>
      </c>
      <c r="B2392" t="inlineStr">
        <is>
          <t>CALTER ENGENHARIA LTDA</t>
        </is>
      </c>
      <c r="C2392" t="n">
        <v>2111000000</v>
      </c>
      <c r="D2392" t="inlineStr">
        <is>
          <t>Other Suppliers</t>
        </is>
      </c>
      <c r="E2392" t="n">
        <v>5015017</v>
      </c>
      <c r="F2392" t="inlineStr">
        <is>
          <t>42</t>
        </is>
      </c>
      <c r="G2392" t="inlineStr">
        <is>
          <t>RE</t>
        </is>
      </c>
      <c r="H2392" s="12" t="n">
        <v>-405744.27</v>
      </c>
      <c r="I2392" s="17" t="n">
        <v>46238</v>
      </c>
      <c r="J2392" s="17" t="n">
        <v>46300</v>
      </c>
      <c r="K2392" t="inlineStr">
        <is>
          <t>Fatura - bruto CALTER ENGENHARIA LTDA 42</t>
        </is>
      </c>
    </row>
    <row r="2393">
      <c r="A2393" t="inlineStr">
        <is>
          <t>101463</t>
        </is>
      </c>
      <c r="B2393" t="inlineStr">
        <is>
          <t>ZURICH MINAS BRASIL SEGUROS S A</t>
        </is>
      </c>
      <c r="C2393" t="n">
        <v>2111000000</v>
      </c>
      <c r="D2393" t="inlineStr">
        <is>
          <t>Insurance</t>
        </is>
      </c>
      <c r="E2393" t="n">
        <v>5015019</v>
      </c>
      <c r="F2393" t="inlineStr">
        <is>
          <t>0473/26</t>
        </is>
      </c>
      <c r="G2393" t="inlineStr">
        <is>
          <t>RE</t>
        </is>
      </c>
      <c r="H2393" s="12" t="n">
        <v>-122.75</v>
      </c>
      <c r="I2393" s="17" t="n">
        <v>46246</v>
      </c>
      <c r="J2393" s="17" t="n">
        <v>46276</v>
      </c>
      <c r="K2393" t="inlineStr">
        <is>
          <t>Invoice Payment. SP: 21320</t>
        </is>
      </c>
    </row>
    <row r="2394">
      <c r="A2394" t="inlineStr">
        <is>
          <t>100621</t>
        </is>
      </c>
      <c r="B2394" t="inlineStr">
        <is>
          <t>CALTER ENGENHARIA LTDA</t>
        </is>
      </c>
      <c r="C2394" t="n">
        <v>2111000000</v>
      </c>
      <c r="D2394" t="inlineStr">
        <is>
          <t>Other Suppliers</t>
        </is>
      </c>
      <c r="E2394" t="n">
        <v>5015020</v>
      </c>
      <c r="F2394" t="inlineStr">
        <is>
          <t>44</t>
        </is>
      </c>
      <c r="G2394" t="inlineStr">
        <is>
          <t>RE</t>
        </is>
      </c>
      <c r="H2394" s="12" t="n">
        <v>-246027.63</v>
      </c>
      <c r="I2394" s="17" t="n">
        <v>46238</v>
      </c>
      <c r="J2394" s="17" t="n">
        <v>46331</v>
      </c>
      <c r="K2394" t="inlineStr">
        <is>
          <t>Fatura - bruto CALTER ENGENHARIA LTDA 44</t>
        </is>
      </c>
    </row>
    <row r="2395">
      <c r="A2395" t="inlineStr">
        <is>
          <t>100621</t>
        </is>
      </c>
      <c r="B2395" t="inlineStr">
        <is>
          <t>CALTER ENGENHARIA LTDA</t>
        </is>
      </c>
      <c r="C2395" t="n">
        <v>2111000000</v>
      </c>
      <c r="D2395" t="inlineStr">
        <is>
          <t>Other Suppliers</t>
        </is>
      </c>
      <c r="E2395" t="n">
        <v>5015022</v>
      </c>
      <c r="F2395" t="inlineStr">
        <is>
          <t>45</t>
        </is>
      </c>
      <c r="G2395" t="inlineStr">
        <is>
          <t>RE</t>
        </is>
      </c>
      <c r="H2395" s="12" t="n">
        <v>-5720.21</v>
      </c>
      <c r="I2395" s="17" t="n">
        <v>46240</v>
      </c>
      <c r="J2395" s="17" t="n">
        <v>46300</v>
      </c>
      <c r="K2395" t="inlineStr">
        <is>
          <t>Fatura - bruto CALTER ENGENHARIA LTDA 45</t>
        </is>
      </c>
    </row>
    <row r="2396">
      <c r="A2396" t="inlineStr">
        <is>
          <t>101463</t>
        </is>
      </c>
      <c r="B2396" t="inlineStr">
        <is>
          <t>ZURICH MINAS BRASIL SEGUROS S A</t>
        </is>
      </c>
      <c r="C2396" t="n">
        <v>2111000000</v>
      </c>
      <c r="D2396" t="inlineStr">
        <is>
          <t>Insurance</t>
        </is>
      </c>
      <c r="E2396" t="n">
        <v>5015024</v>
      </c>
      <c r="F2396" t="inlineStr">
        <is>
          <t>0352/26</t>
        </is>
      </c>
      <c r="G2396" t="inlineStr">
        <is>
          <t>RE</t>
        </is>
      </c>
      <c r="H2396" s="12" t="n">
        <v>-25.83</v>
      </c>
      <c r="I2396" s="17" t="n">
        <v>46246</v>
      </c>
      <c r="J2396" s="17" t="n">
        <v>46276</v>
      </c>
      <c r="K2396" t="inlineStr">
        <is>
          <t>Invoice Payment. SP: 21322</t>
        </is>
      </c>
    </row>
    <row r="2397">
      <c r="A2397" t="inlineStr">
        <is>
          <t>101982</t>
        </is>
      </c>
      <c r="B2397" t="inlineStr">
        <is>
          <t>NEW ENERGY TECH LTDA</t>
        </is>
      </c>
      <c r="C2397" t="n">
        <v>2111000000</v>
      </c>
      <c r="D2397" t="inlineStr">
        <is>
          <t>Operational Suppliers (Wind Farms)</t>
        </is>
      </c>
      <c r="E2397" t="n">
        <v>5015025</v>
      </c>
      <c r="F2397" t="inlineStr">
        <is>
          <t>88</t>
        </is>
      </c>
      <c r="G2397" t="inlineStr">
        <is>
          <t>RE</t>
        </is>
      </c>
      <c r="H2397" s="12" t="n">
        <v>-10400</v>
      </c>
      <c r="I2397" s="17" t="n">
        <v>46240</v>
      </c>
      <c r="J2397" s="17" t="n">
        <v>46270</v>
      </c>
      <c r="K2397" t="inlineStr">
        <is>
          <t>Fatura - bruto NEW ENERGY TECH LTDA 88</t>
        </is>
      </c>
    </row>
    <row r="2398">
      <c r="A2398" t="inlineStr">
        <is>
          <t>107696</t>
        </is>
      </c>
      <c r="B2398" t="inlineStr">
        <is>
          <t>SIMM MONTAGENS EOLICAS LTDA</t>
        </is>
      </c>
      <c r="C2398" t="n">
        <v>2111000000</v>
      </c>
      <c r="D2398" t="inlineStr">
        <is>
          <t>Operational Suppliers (Wind Farms)</t>
        </is>
      </c>
      <c r="E2398" t="n">
        <v>5015026</v>
      </c>
      <c r="F2398" t="inlineStr">
        <is>
          <t>96</t>
        </is>
      </c>
      <c r="G2398" t="inlineStr">
        <is>
          <t>RE</t>
        </is>
      </c>
      <c r="H2398" s="12" t="n">
        <v>-8653.57</v>
      </c>
      <c r="I2398" s="17" t="n">
        <v>46244</v>
      </c>
      <c r="J2398" s="17" t="n">
        <v>46274</v>
      </c>
      <c r="K2398" t="inlineStr">
        <is>
          <t>PGTO BLOQ ATE REG DE SEGURO</t>
        </is>
      </c>
    </row>
    <row r="2399">
      <c r="A2399" t="inlineStr">
        <is>
          <t>104077</t>
        </is>
      </c>
      <c r="B2399" t="inlineStr">
        <is>
          <t>XRS SERVICOS AUXILIARES DE PORTARIA 31996152000110</t>
        </is>
      </c>
      <c r="C2399" t="n">
        <v>2111000000</v>
      </c>
      <c r="D2399" t="inlineStr">
        <is>
          <t>Other Suppliers</t>
        </is>
      </c>
      <c r="E2399" t="n">
        <v>5015027</v>
      </c>
      <c r="F2399" t="inlineStr">
        <is>
          <t>55002</t>
        </is>
      </c>
      <c r="G2399" t="inlineStr">
        <is>
          <t>RE</t>
        </is>
      </c>
      <c r="H2399" s="12" t="n">
        <v>-810.9299999999999</v>
      </c>
      <c r="I2399" s="17" t="n">
        <v>46245</v>
      </c>
      <c r="J2399" s="17" t="n">
        <v>46275</v>
      </c>
      <c r="K2399" t="inlineStr">
        <is>
          <t>*34191090080034297019119978570000115490000076759</t>
        </is>
      </c>
    </row>
    <row r="2400">
      <c r="A2400" t="inlineStr">
        <is>
          <t>101463</t>
        </is>
      </c>
      <c r="B2400" t="inlineStr">
        <is>
          <t>ZURICH MINAS BRASIL SEGUROS S A</t>
        </is>
      </c>
      <c r="C2400" t="n">
        <v>2111000000</v>
      </c>
      <c r="D2400" t="inlineStr">
        <is>
          <t>Insurance</t>
        </is>
      </c>
      <c r="E2400" t="n">
        <v>5015030</v>
      </c>
      <c r="F2400" t="inlineStr">
        <is>
          <t>0331/26</t>
        </is>
      </c>
      <c r="G2400" t="inlineStr">
        <is>
          <t>RE</t>
        </is>
      </c>
      <c r="H2400" s="12" t="n">
        <v>-27.29</v>
      </c>
      <c r="I2400" s="17" t="n">
        <v>46246</v>
      </c>
      <c r="J2400" s="17" t="n">
        <v>46276</v>
      </c>
      <c r="K2400" t="inlineStr">
        <is>
          <t>Invoice Payment. SP: 21325</t>
        </is>
      </c>
    </row>
    <row r="2401">
      <c r="A2401" t="inlineStr">
        <is>
          <t>101463</t>
        </is>
      </c>
      <c r="B2401" t="inlineStr">
        <is>
          <t>ZURICH MINAS BRASIL SEGUROS S A</t>
        </is>
      </c>
      <c r="C2401" t="n">
        <v>2111000000</v>
      </c>
      <c r="D2401" t="inlineStr">
        <is>
          <t>Insurance</t>
        </is>
      </c>
      <c r="E2401" t="n">
        <v>5015033</v>
      </c>
      <c r="F2401" t="inlineStr">
        <is>
          <t>0333/26</t>
        </is>
      </c>
      <c r="G2401" t="inlineStr">
        <is>
          <t>RE</t>
        </is>
      </c>
      <c r="H2401" s="12" t="n">
        <v>-272.77</v>
      </c>
      <c r="I2401" s="17" t="n">
        <v>46246</v>
      </c>
      <c r="J2401" s="17" t="n">
        <v>46276</v>
      </c>
      <c r="K2401" t="inlineStr">
        <is>
          <t>Invoice Payment. SP: 21328</t>
        </is>
      </c>
    </row>
    <row r="2402">
      <c r="A2402" t="inlineStr">
        <is>
          <t>101463</t>
        </is>
      </c>
      <c r="B2402" t="inlineStr">
        <is>
          <t>ZURICH MINAS BRASIL SEGUROS S A</t>
        </is>
      </c>
      <c r="C2402" t="n">
        <v>2111000000</v>
      </c>
      <c r="D2402" t="inlineStr">
        <is>
          <t>Insurance</t>
        </is>
      </c>
      <c r="E2402" t="n">
        <v>5015035</v>
      </c>
      <c r="F2402" t="inlineStr">
        <is>
          <t>0320/26</t>
        </is>
      </c>
      <c r="G2402" t="inlineStr">
        <is>
          <t>RE</t>
        </is>
      </c>
      <c r="H2402" s="12" t="n">
        <v>-10493.67</v>
      </c>
      <c r="I2402" s="17" t="n">
        <v>46246</v>
      </c>
      <c r="J2402" s="17" t="n">
        <v>46276</v>
      </c>
      <c r="K2402" t="inlineStr">
        <is>
          <t>Invoice Payment. SP: 21330</t>
        </is>
      </c>
    </row>
    <row r="2403">
      <c r="A2403" t="inlineStr">
        <is>
          <t>101463</t>
        </is>
      </c>
      <c r="B2403" t="inlineStr">
        <is>
          <t>ZURICH MINAS BRASIL SEGUROS S A</t>
        </is>
      </c>
      <c r="C2403" t="n">
        <v>2111000000</v>
      </c>
      <c r="D2403" t="inlineStr">
        <is>
          <t>Insurance</t>
        </is>
      </c>
      <c r="E2403" t="n">
        <v>5015037</v>
      </c>
      <c r="F2403" t="inlineStr">
        <is>
          <t>0293/26</t>
        </is>
      </c>
      <c r="G2403" t="inlineStr">
        <is>
          <t>RE</t>
        </is>
      </c>
      <c r="H2403" s="12" t="n">
        <v>-52.56</v>
      </c>
      <c r="I2403" s="17" t="n">
        <v>46246</v>
      </c>
      <c r="J2403" s="17" t="n">
        <v>46276</v>
      </c>
      <c r="K2403" t="inlineStr">
        <is>
          <t>Invoice Payment. SP: 21332</t>
        </is>
      </c>
    </row>
    <row r="2404">
      <c r="A2404" t="inlineStr">
        <is>
          <t>101463</t>
        </is>
      </c>
      <c r="B2404" t="inlineStr">
        <is>
          <t>ZURICH MINAS BRASIL SEGUROS S A</t>
        </is>
      </c>
      <c r="C2404" t="n">
        <v>2111000000</v>
      </c>
      <c r="D2404" t="inlineStr">
        <is>
          <t>Insurance</t>
        </is>
      </c>
      <c r="E2404" t="n">
        <v>5015040</v>
      </c>
      <c r="F2404" t="inlineStr">
        <is>
          <t>0338/26</t>
        </is>
      </c>
      <c r="G2404" t="inlineStr">
        <is>
          <t>RE</t>
        </is>
      </c>
      <c r="H2404" s="12" t="n">
        <v>-284.63</v>
      </c>
      <c r="I2404" s="17" t="n">
        <v>46246</v>
      </c>
      <c r="J2404" s="17" t="n">
        <v>46276</v>
      </c>
      <c r="K2404" t="inlineStr">
        <is>
          <t>Invoice Payment. SP: 21335</t>
        </is>
      </c>
    </row>
    <row r="2405">
      <c r="A2405" t="inlineStr">
        <is>
          <t>101848</t>
        </is>
      </c>
      <c r="B2405" t="inlineStr">
        <is>
          <t>KLUBER LUBRICATION LUBRIF ESPECIAIS</t>
        </is>
      </c>
      <c r="C2405" t="n">
        <v>2111000000</v>
      </c>
      <c r="D2405" t="inlineStr">
        <is>
          <t>Other Suppliers</t>
        </is>
      </c>
      <c r="E2405" t="n">
        <v>5015047</v>
      </c>
      <c r="F2405" t="inlineStr">
        <is>
          <t>000772727-1</t>
        </is>
      </c>
      <c r="G2405" t="inlineStr">
        <is>
          <t>RE</t>
        </is>
      </c>
      <c r="H2405" s="12" t="n">
        <v>-215440.02</v>
      </c>
      <c r="I2405" s="17" t="n">
        <v>46226</v>
      </c>
      <c r="J2405" s="17" t="n">
        <v>46270</v>
      </c>
      <c r="K2405" t="inlineStr">
        <is>
          <t>Fatura - bruto KLUBER LUBRICATION LUBRIF ESPECIAIS</t>
        </is>
      </c>
    </row>
    <row r="2406">
      <c r="A2406" t="inlineStr">
        <is>
          <t>101848</t>
        </is>
      </c>
      <c r="B2406" t="inlineStr">
        <is>
          <t>KLUBER LUBRICATION LUBRIF ESPECIAIS</t>
        </is>
      </c>
      <c r="C2406" t="n">
        <v>2111000000</v>
      </c>
      <c r="D2406" t="inlineStr">
        <is>
          <t>Other Suppliers</t>
        </is>
      </c>
      <c r="E2406" t="n">
        <v>5015051</v>
      </c>
      <c r="F2406" t="inlineStr">
        <is>
          <t>000772153-1</t>
        </is>
      </c>
      <c r="G2406" t="inlineStr">
        <is>
          <t>RE</t>
        </is>
      </c>
      <c r="H2406" s="12" t="n">
        <v>-43987.46</v>
      </c>
      <c r="I2406" s="17" t="n">
        <v>46220</v>
      </c>
      <c r="J2406" s="17" t="n">
        <v>46270</v>
      </c>
      <c r="K2406" t="inlineStr">
        <is>
          <t>Fatura - bruto KLUBER LUBRICATION LUBRIF ESPECIAIS</t>
        </is>
      </c>
    </row>
    <row r="2407">
      <c r="A2407" t="inlineStr">
        <is>
          <t>101529</t>
        </is>
      </c>
      <c r="B2407" t="inlineStr">
        <is>
          <t>COOP DE RADIO TAXI E TRANSP EXEC DE SIMOES FILHO - COOTRANSPEX</t>
        </is>
      </c>
      <c r="C2407" t="n">
        <v>2111000000</v>
      </c>
      <c r="D2407" t="inlineStr">
        <is>
          <t>Other Suppliers</t>
        </is>
      </c>
      <c r="E2407" t="n">
        <v>5015058</v>
      </c>
      <c r="F2407" t="inlineStr">
        <is>
          <t>281-3</t>
        </is>
      </c>
      <c r="G2407" t="inlineStr">
        <is>
          <t>RE</t>
        </is>
      </c>
      <c r="H2407" s="12" t="n">
        <v>-907.7</v>
      </c>
      <c r="I2407" s="17" t="n">
        <v>46241</v>
      </c>
      <c r="J2407" s="17" t="n">
        <v>46272</v>
      </c>
      <c r="K2407" t="inlineStr">
        <is>
          <t>Fatura - bruto COOP DE RADIO TAXI E TRANSP EXEC DE</t>
        </is>
      </c>
    </row>
    <row r="2408">
      <c r="A2408" t="inlineStr">
        <is>
          <t>104059</t>
        </is>
      </c>
      <c r="B2408" t="inlineStr">
        <is>
          <t>MG SERVICOS E SAUDE LTDA 48515732000140</t>
        </is>
      </c>
      <c r="C2408" t="n">
        <v>2111000000</v>
      </c>
      <c r="D2408" t="inlineStr">
        <is>
          <t>Other Suppliers</t>
        </is>
      </c>
      <c r="E2408" t="n">
        <v>5015061</v>
      </c>
      <c r="F2408" t="inlineStr">
        <is>
          <t>1</t>
        </is>
      </c>
      <c r="G2408" t="inlineStr">
        <is>
          <t>RE</t>
        </is>
      </c>
      <c r="H2408" s="12" t="n">
        <v>-9542.299999999999</v>
      </c>
      <c r="I2408" s="17" t="n">
        <v>46237</v>
      </c>
      <c r="J2408" s="17" t="n">
        <v>46331</v>
      </c>
      <c r="K2408" t="inlineStr">
        <is>
          <t>Fatura - bruto MG SERVICOS E SAUDE LTDA 4851573200</t>
        </is>
      </c>
    </row>
    <row r="2409">
      <c r="A2409" t="inlineStr">
        <is>
          <t>104059</t>
        </is>
      </c>
      <c r="B2409" t="inlineStr">
        <is>
          <t>MG SERVICOS E SAUDE LTDA 48515732000140</t>
        </is>
      </c>
      <c r="C2409" t="n">
        <v>2111000000</v>
      </c>
      <c r="D2409" t="inlineStr">
        <is>
          <t>Other Suppliers</t>
        </is>
      </c>
      <c r="E2409" t="n">
        <v>5015062</v>
      </c>
      <c r="F2409" t="inlineStr">
        <is>
          <t>2</t>
        </is>
      </c>
      <c r="G2409" t="inlineStr">
        <is>
          <t>RE</t>
        </is>
      </c>
      <c r="H2409" s="12" t="n">
        <v>-665.28</v>
      </c>
      <c r="I2409" s="17" t="n">
        <v>46237</v>
      </c>
      <c r="J2409" s="17" t="n">
        <v>46331</v>
      </c>
      <c r="K2409" t="inlineStr">
        <is>
          <t>Fatura - bruto MG SERVICOS E SAUDE LTDA 4851573200</t>
        </is>
      </c>
    </row>
    <row r="2410">
      <c r="A2410" t="inlineStr">
        <is>
          <t>104059</t>
        </is>
      </c>
      <c r="B2410" t="inlineStr">
        <is>
          <t>MG SERVICOS E SAUDE LTDA 48515732000140</t>
        </is>
      </c>
      <c r="C2410" t="n">
        <v>2111000000</v>
      </c>
      <c r="D2410" t="inlineStr">
        <is>
          <t>Other Suppliers</t>
        </is>
      </c>
      <c r="E2410" t="n">
        <v>5015063</v>
      </c>
      <c r="F2410" t="inlineStr">
        <is>
          <t>944</t>
        </is>
      </c>
      <c r="G2410" t="inlineStr">
        <is>
          <t>RE</t>
        </is>
      </c>
      <c r="H2410" s="12" t="n">
        <v>-12030</v>
      </c>
      <c r="I2410" s="17" t="n">
        <v>46237</v>
      </c>
      <c r="J2410" s="17" t="n">
        <v>46267</v>
      </c>
      <c r="K2410" t="inlineStr">
        <is>
          <t>Fatura - bruto MG SERVICOS E SAUDE LTDA 4851573200</t>
        </is>
      </c>
    </row>
    <row r="2411">
      <c r="A2411" t="inlineStr">
        <is>
          <t>104059</t>
        </is>
      </c>
      <c r="B2411" t="inlineStr">
        <is>
          <t>MG SERVICOS E SAUDE LTDA 48515732000140</t>
        </is>
      </c>
      <c r="C2411" t="n">
        <v>2111000000</v>
      </c>
      <c r="D2411" t="inlineStr">
        <is>
          <t>Other Suppliers</t>
        </is>
      </c>
      <c r="E2411" t="n">
        <v>5015064</v>
      </c>
      <c r="F2411" t="inlineStr">
        <is>
          <t>945</t>
        </is>
      </c>
      <c r="G2411" t="inlineStr">
        <is>
          <t>RE</t>
        </is>
      </c>
      <c r="H2411" s="12" t="n">
        <v>-26000</v>
      </c>
      <c r="I2411" s="17" t="n">
        <v>46238</v>
      </c>
      <c r="J2411" s="17" t="n">
        <v>46269</v>
      </c>
      <c r="K2411" t="inlineStr">
        <is>
          <t>Fatura - bruto MG SERVICOS E SAUDE LTDA 4851573200</t>
        </is>
      </c>
    </row>
    <row r="2412">
      <c r="A2412" t="inlineStr">
        <is>
          <t>101463</t>
        </is>
      </c>
      <c r="B2412" t="inlineStr">
        <is>
          <t>ZURICH MINAS BRASIL SEGUROS S A</t>
        </is>
      </c>
      <c r="C2412" t="n">
        <v>2111000000</v>
      </c>
      <c r="D2412" t="inlineStr">
        <is>
          <t>Insurance</t>
        </is>
      </c>
      <c r="E2412" t="n">
        <v>5015065</v>
      </c>
      <c r="F2412" t="inlineStr">
        <is>
          <t>0337/26</t>
        </is>
      </c>
      <c r="G2412" t="inlineStr">
        <is>
          <t>RE</t>
        </is>
      </c>
      <c r="H2412" s="12" t="n">
        <v>-153.85</v>
      </c>
      <c r="I2412" s="17" t="n">
        <v>46246</v>
      </c>
      <c r="J2412" s="17" t="n">
        <v>46276</v>
      </c>
      <c r="K2412" t="inlineStr">
        <is>
          <t>Invoice Payment. SP: 21338</t>
        </is>
      </c>
    </row>
    <row r="2413">
      <c r="A2413" t="inlineStr">
        <is>
          <t>104059</t>
        </is>
      </c>
      <c r="B2413" t="inlineStr">
        <is>
          <t>MG SERVICOS E SAUDE LTDA 48515732000140</t>
        </is>
      </c>
      <c r="C2413" t="n">
        <v>2111000000</v>
      </c>
      <c r="D2413" t="inlineStr">
        <is>
          <t>Other Suppliers</t>
        </is>
      </c>
      <c r="E2413" t="n">
        <v>5015067</v>
      </c>
      <c r="F2413" t="inlineStr">
        <is>
          <t>4</t>
        </is>
      </c>
      <c r="G2413" t="inlineStr">
        <is>
          <t>RE</t>
        </is>
      </c>
      <c r="H2413" s="12" t="n">
        <v>-3223.5</v>
      </c>
      <c r="I2413" s="17" t="n">
        <v>46238</v>
      </c>
      <c r="J2413" s="17" t="n">
        <v>46331</v>
      </c>
      <c r="K2413" t="inlineStr">
        <is>
          <t>Fatura - bruto MG SERVICOS E SAUDE LTDA 4851573200</t>
        </is>
      </c>
    </row>
    <row r="2414">
      <c r="A2414" t="inlineStr">
        <is>
          <t>104059</t>
        </is>
      </c>
      <c r="B2414" t="inlineStr">
        <is>
          <t>MG SERVICOS E SAUDE LTDA 48515732000140</t>
        </is>
      </c>
      <c r="C2414" t="n">
        <v>2111000000</v>
      </c>
      <c r="D2414" t="inlineStr">
        <is>
          <t>Other Suppliers</t>
        </is>
      </c>
      <c r="E2414" t="n">
        <v>5015068</v>
      </c>
      <c r="F2414" t="inlineStr">
        <is>
          <t>5</t>
        </is>
      </c>
      <c r="G2414" t="inlineStr">
        <is>
          <t>RE</t>
        </is>
      </c>
      <c r="H2414" s="12" t="n">
        <v>-37744.31</v>
      </c>
      <c r="I2414" s="17" t="n">
        <v>46238</v>
      </c>
      <c r="J2414" s="17" t="n">
        <v>46331</v>
      </c>
      <c r="K2414" t="inlineStr">
        <is>
          <t>Fatura - bruto MG SERVICOS E SAUDE LTDA 4851573200</t>
        </is>
      </c>
    </row>
    <row r="2415">
      <c r="A2415" t="inlineStr">
        <is>
          <t>104059</t>
        </is>
      </c>
      <c r="B2415" t="inlineStr">
        <is>
          <t>MG SERVICOS E SAUDE LTDA 48515732000140</t>
        </is>
      </c>
      <c r="C2415" t="n">
        <v>2111000000</v>
      </c>
      <c r="D2415" t="inlineStr">
        <is>
          <t>Other Suppliers</t>
        </is>
      </c>
      <c r="E2415" t="n">
        <v>5015069</v>
      </c>
      <c r="F2415" t="inlineStr">
        <is>
          <t>946</t>
        </is>
      </c>
      <c r="G2415" t="inlineStr">
        <is>
          <t>RE</t>
        </is>
      </c>
      <c r="H2415" s="12" t="n">
        <v>-30510</v>
      </c>
      <c r="I2415" s="17" t="n">
        <v>46238</v>
      </c>
      <c r="J2415" s="17" t="n">
        <v>46269</v>
      </c>
      <c r="K2415" t="inlineStr">
        <is>
          <t>Fatura - bruto MG SERVICOS E SAUDE LTDA 4851573200</t>
        </is>
      </c>
    </row>
    <row r="2416">
      <c r="A2416" t="inlineStr">
        <is>
          <t>101463</t>
        </is>
      </c>
      <c r="B2416" t="inlineStr">
        <is>
          <t>ZURICH MINAS BRASIL SEGUROS S A</t>
        </is>
      </c>
      <c r="C2416" t="n">
        <v>2111000000</v>
      </c>
      <c r="D2416" t="inlineStr">
        <is>
          <t>Insurance</t>
        </is>
      </c>
      <c r="E2416" t="n">
        <v>5015070</v>
      </c>
      <c r="F2416" t="inlineStr">
        <is>
          <t>0336/26</t>
        </is>
      </c>
      <c r="G2416" t="inlineStr">
        <is>
          <t>RE</t>
        </is>
      </c>
      <c r="H2416" s="12" t="n">
        <v>-448.39</v>
      </c>
      <c r="I2416" s="17" t="n">
        <v>46246</v>
      </c>
      <c r="J2416" s="17" t="n">
        <v>46276</v>
      </c>
      <c r="K2416" t="inlineStr">
        <is>
          <t>Invoice Payment. SP: 21340</t>
        </is>
      </c>
    </row>
    <row r="2417">
      <c r="A2417" t="inlineStr">
        <is>
          <t>104059</t>
        </is>
      </c>
      <c r="B2417" t="inlineStr">
        <is>
          <t>MG SERVICOS E SAUDE LTDA 48515732000140</t>
        </is>
      </c>
      <c r="C2417" t="n">
        <v>2111000000</v>
      </c>
      <c r="D2417" t="inlineStr">
        <is>
          <t>Other Suppliers</t>
        </is>
      </c>
      <c r="E2417" t="n">
        <v>5015072</v>
      </c>
      <c r="F2417" t="inlineStr">
        <is>
          <t>11</t>
        </is>
      </c>
      <c r="G2417" t="inlineStr">
        <is>
          <t>RE</t>
        </is>
      </c>
      <c r="H2417" s="12" t="n">
        <v>-12018.49</v>
      </c>
      <c r="I2417" s="17" t="n">
        <v>46239</v>
      </c>
      <c r="J2417" s="17" t="n">
        <v>46331</v>
      </c>
      <c r="K2417" t="inlineStr">
        <is>
          <t>Fatura - bruto MG SERVICOS E SAUDE LTDA 4851573200</t>
        </is>
      </c>
    </row>
    <row r="2418">
      <c r="A2418" t="inlineStr">
        <is>
          <t>104002</t>
        </is>
      </c>
      <c r="B2418" t="inlineStr">
        <is>
          <t>TOP LOCACOES LTDA 43452661000160</t>
        </is>
      </c>
      <c r="C2418" t="n">
        <v>2111000000</v>
      </c>
      <c r="D2418" t="inlineStr">
        <is>
          <t>Other Suppliers</t>
        </is>
      </c>
      <c r="E2418" t="n">
        <v>5015073</v>
      </c>
      <c r="F2418" t="inlineStr">
        <is>
          <t>315</t>
        </is>
      </c>
      <c r="G2418" t="inlineStr">
        <is>
          <t>RE</t>
        </is>
      </c>
      <c r="H2418" s="12" t="n">
        <v>-14000</v>
      </c>
      <c r="I2418" s="17" t="n">
        <v>46238</v>
      </c>
      <c r="J2418" s="17" t="n">
        <v>46280</v>
      </c>
      <c r="K2418" t="inlineStr">
        <is>
          <t>Fatura - bruto TOP LOCACOES LTDA 43452661000160 31</t>
        </is>
      </c>
    </row>
    <row r="2419">
      <c r="A2419" t="inlineStr">
        <is>
          <t>104059</t>
        </is>
      </c>
      <c r="B2419" t="inlineStr">
        <is>
          <t>MG SERVICOS E SAUDE LTDA 48515732000140</t>
        </is>
      </c>
      <c r="C2419" t="n">
        <v>2111000000</v>
      </c>
      <c r="D2419" t="inlineStr">
        <is>
          <t>Other Suppliers</t>
        </is>
      </c>
      <c r="E2419" t="n">
        <v>5015074</v>
      </c>
      <c r="F2419" t="inlineStr">
        <is>
          <t>399</t>
        </is>
      </c>
      <c r="G2419" t="inlineStr">
        <is>
          <t>RE</t>
        </is>
      </c>
      <c r="H2419" s="12" t="n">
        <v>-12931.18</v>
      </c>
      <c r="I2419" s="17" t="n">
        <v>46205</v>
      </c>
      <c r="J2419" s="17" t="n">
        <v>46270</v>
      </c>
      <c r="K2419" t="inlineStr">
        <is>
          <t>Fatura - bruto MG SERVICOS E SAUDE LTDA 4851573200</t>
        </is>
      </c>
    </row>
    <row r="2420">
      <c r="A2420" t="inlineStr">
        <is>
          <t>104059</t>
        </is>
      </c>
      <c r="B2420" t="inlineStr">
        <is>
          <t>MG SERVICOS E SAUDE LTDA 48515732000140</t>
        </is>
      </c>
      <c r="C2420" t="n">
        <v>2111000000</v>
      </c>
      <c r="D2420" t="inlineStr">
        <is>
          <t>Other Suppliers</t>
        </is>
      </c>
      <c r="E2420" t="n">
        <v>5015075</v>
      </c>
      <c r="F2420" t="inlineStr">
        <is>
          <t>400</t>
        </is>
      </c>
      <c r="G2420" t="inlineStr">
        <is>
          <t>RE</t>
        </is>
      </c>
      <c r="H2420" s="12" t="n">
        <v>-11023.32</v>
      </c>
      <c r="I2420" s="17" t="n">
        <v>46205</v>
      </c>
      <c r="J2420" s="17" t="n">
        <v>46270</v>
      </c>
      <c r="K2420" t="inlineStr">
        <is>
          <t>Fatura - bruto MG SERVICOS E SAUDE LTDA 4851573200</t>
        </is>
      </c>
    </row>
    <row r="2421">
      <c r="A2421" t="inlineStr">
        <is>
          <t>101887</t>
        </is>
      </c>
      <c r="B2421" t="inlineStr">
        <is>
          <t>MGO DE FREITAS</t>
        </is>
      </c>
      <c r="C2421" t="n">
        <v>2111000000</v>
      </c>
      <c r="D2421" t="inlineStr">
        <is>
          <t>Other Suppliers</t>
        </is>
      </c>
      <c r="E2421" t="n">
        <v>5015077</v>
      </c>
      <c r="F2421" t="inlineStr">
        <is>
          <t>1414</t>
        </is>
      </c>
      <c r="G2421" t="inlineStr">
        <is>
          <t>RE</t>
        </is>
      </c>
      <c r="H2421" s="12" t="n">
        <v>-9013.799999999999</v>
      </c>
      <c r="I2421" s="17" t="n">
        <v>46237</v>
      </c>
      <c r="J2421" s="17" t="n">
        <v>46270</v>
      </c>
      <c r="K2421" t="inlineStr">
        <is>
          <t>Fatura - bruto MGO DE FREITAS 1414</t>
        </is>
      </c>
    </row>
    <row r="2422">
      <c r="A2422" t="inlineStr">
        <is>
          <t>103931</t>
        </is>
      </c>
      <c r="B2422" t="inlineStr">
        <is>
          <t>WPK SERVICOS E MONITORAMENTO LTDA 43980265000106</t>
        </is>
      </c>
      <c r="C2422" t="n">
        <v>2111000000</v>
      </c>
      <c r="D2422" t="inlineStr">
        <is>
          <t>Other Suppliers</t>
        </is>
      </c>
      <c r="E2422" t="n">
        <v>5015081</v>
      </c>
      <c r="F2422" t="inlineStr">
        <is>
          <t>1238</t>
        </is>
      </c>
      <c r="G2422" t="inlineStr">
        <is>
          <t>RE</t>
        </is>
      </c>
      <c r="H2422" s="12" t="n">
        <v>-14442</v>
      </c>
      <c r="I2422" s="17" t="n">
        <v>46238</v>
      </c>
      <c r="J2422" s="17" t="n">
        <v>46268</v>
      </c>
      <c r="K2422" t="inlineStr">
        <is>
          <t>Fatura - bruto WPK SERVICOS E MONITORAMENTO LTDA 4</t>
        </is>
      </c>
    </row>
    <row r="2423">
      <c r="A2423" t="inlineStr">
        <is>
          <t>101887</t>
        </is>
      </c>
      <c r="B2423" t="inlineStr">
        <is>
          <t>MGO DE FREITAS</t>
        </is>
      </c>
      <c r="C2423" t="n">
        <v>2111000000</v>
      </c>
      <c r="D2423" t="inlineStr">
        <is>
          <t>Other Suppliers</t>
        </is>
      </c>
      <c r="E2423" t="n">
        <v>5015082</v>
      </c>
      <c r="F2423" t="inlineStr">
        <is>
          <t>1402</t>
        </is>
      </c>
      <c r="G2423" t="inlineStr">
        <is>
          <t>RE</t>
        </is>
      </c>
      <c r="H2423" s="12" t="n">
        <v>-4265.96</v>
      </c>
      <c r="I2423" s="17" t="n">
        <v>46237</v>
      </c>
      <c r="J2423" s="17" t="n">
        <v>46270</v>
      </c>
      <c r="K2423" t="inlineStr">
        <is>
          <t>Fatura - bruto MGO DE FREITAS 1402</t>
        </is>
      </c>
    </row>
    <row r="2424">
      <c r="A2424" t="inlineStr">
        <is>
          <t>101887</t>
        </is>
      </c>
      <c r="B2424" t="inlineStr">
        <is>
          <t>MGO DE FREITAS</t>
        </is>
      </c>
      <c r="C2424" t="n">
        <v>2111000000</v>
      </c>
      <c r="D2424" t="inlineStr">
        <is>
          <t>Other Suppliers</t>
        </is>
      </c>
      <c r="E2424" t="n">
        <v>5015083</v>
      </c>
      <c r="F2424" t="inlineStr">
        <is>
          <t>1400</t>
        </is>
      </c>
      <c r="G2424" t="inlineStr">
        <is>
          <t>RE</t>
        </is>
      </c>
      <c r="H2424" s="12" t="n">
        <v>-5778.58</v>
      </c>
      <c r="I2424" s="17" t="n">
        <v>46237</v>
      </c>
      <c r="J2424" s="17" t="n">
        <v>46270</v>
      </c>
      <c r="K2424" t="inlineStr">
        <is>
          <t>Fatura - bruto MGO DE FREITAS 1400</t>
        </is>
      </c>
    </row>
    <row r="2425">
      <c r="A2425" t="inlineStr">
        <is>
          <t>100883</t>
        </is>
      </c>
      <c r="B2425" t="inlineStr">
        <is>
          <t>QUELMAR TRANSPORTES LTDA</t>
        </is>
      </c>
      <c r="C2425" t="n">
        <v>2111000000</v>
      </c>
      <c r="D2425" t="inlineStr">
        <is>
          <t>Operational Suppliers (Wind Farms)</t>
        </is>
      </c>
      <c r="E2425" t="n">
        <v>5015085</v>
      </c>
      <c r="F2425" t="inlineStr">
        <is>
          <t>6244-2</t>
        </is>
      </c>
      <c r="G2425" t="inlineStr">
        <is>
          <t>RE</t>
        </is>
      </c>
      <c r="H2425" s="12" t="n">
        <v>-15583</v>
      </c>
      <c r="I2425" s="17" t="n">
        <v>46220</v>
      </c>
      <c r="J2425" s="17" t="n">
        <v>46270</v>
      </c>
      <c r="K2425" t="inlineStr">
        <is>
          <t>Fatura - bruto QUELMAR TRANSPORTES LTDA 6244-2</t>
        </is>
      </c>
    </row>
    <row r="2426">
      <c r="A2426" t="inlineStr">
        <is>
          <t>101887</t>
        </is>
      </c>
      <c r="B2426" t="inlineStr">
        <is>
          <t>MGO DE FREITAS</t>
        </is>
      </c>
      <c r="C2426" t="n">
        <v>2111000000</v>
      </c>
      <c r="D2426" t="inlineStr">
        <is>
          <t>Other Suppliers</t>
        </is>
      </c>
      <c r="E2426" t="n">
        <v>5015086</v>
      </c>
      <c r="F2426" t="inlineStr">
        <is>
          <t>1406</t>
        </is>
      </c>
      <c r="G2426" t="inlineStr">
        <is>
          <t>RE</t>
        </is>
      </c>
      <c r="H2426" s="12" t="n">
        <v>-4265.96</v>
      </c>
      <c r="I2426" s="17" t="n">
        <v>46237</v>
      </c>
      <c r="J2426" s="17" t="n">
        <v>46270</v>
      </c>
      <c r="K2426" t="inlineStr">
        <is>
          <t>Fatura - bruto MGO DE FREITAS 1406</t>
        </is>
      </c>
    </row>
    <row r="2427">
      <c r="A2427" t="inlineStr">
        <is>
          <t>101887</t>
        </is>
      </c>
      <c r="B2427" t="inlineStr">
        <is>
          <t>MGO DE FREITAS</t>
        </is>
      </c>
      <c r="C2427" t="n">
        <v>2111000000</v>
      </c>
      <c r="D2427" t="inlineStr">
        <is>
          <t>Other Suppliers</t>
        </is>
      </c>
      <c r="E2427" t="n">
        <v>5015087</v>
      </c>
      <c r="F2427" t="inlineStr">
        <is>
          <t>1397</t>
        </is>
      </c>
      <c r="G2427" t="inlineStr">
        <is>
          <t>RE</t>
        </is>
      </c>
      <c r="H2427" s="12" t="n">
        <v>-5803.03</v>
      </c>
      <c r="I2427" s="17" t="n">
        <v>46237</v>
      </c>
      <c r="J2427" s="17" t="n">
        <v>46270</v>
      </c>
      <c r="K2427" t="inlineStr">
        <is>
          <t>Fatura - bruto MGO DE FREITAS 1397</t>
        </is>
      </c>
    </row>
    <row r="2428">
      <c r="A2428" t="inlineStr">
        <is>
          <t>101887</t>
        </is>
      </c>
      <c r="B2428" t="inlineStr">
        <is>
          <t>MGO DE FREITAS</t>
        </is>
      </c>
      <c r="C2428" t="n">
        <v>2111000000</v>
      </c>
      <c r="D2428" t="inlineStr">
        <is>
          <t>Other Suppliers</t>
        </is>
      </c>
      <c r="E2428" t="n">
        <v>5015088</v>
      </c>
      <c r="F2428" t="inlineStr">
        <is>
          <t>1401</t>
        </is>
      </c>
      <c r="G2428" t="inlineStr">
        <is>
          <t>RE</t>
        </is>
      </c>
      <c r="H2428" s="12" t="n">
        <v>-5778.58</v>
      </c>
      <c r="I2428" s="17" t="n">
        <v>46237</v>
      </c>
      <c r="J2428" s="17" t="n">
        <v>46270</v>
      </c>
      <c r="K2428" t="inlineStr">
        <is>
          <t>Fatura - bruto MGO DE FREITAS 1401</t>
        </is>
      </c>
    </row>
    <row r="2429">
      <c r="A2429" t="inlineStr">
        <is>
          <t>101887</t>
        </is>
      </c>
      <c r="B2429" t="inlineStr">
        <is>
          <t>MGO DE FREITAS</t>
        </is>
      </c>
      <c r="C2429" t="n">
        <v>2111000000</v>
      </c>
      <c r="D2429" t="inlineStr">
        <is>
          <t>Other Suppliers</t>
        </is>
      </c>
      <c r="E2429" t="n">
        <v>5015091</v>
      </c>
      <c r="F2429" t="inlineStr">
        <is>
          <t>1398</t>
        </is>
      </c>
      <c r="G2429" t="inlineStr">
        <is>
          <t>RE</t>
        </is>
      </c>
      <c r="H2429" s="12" t="n">
        <v>-5383.73</v>
      </c>
      <c r="I2429" s="17" t="n">
        <v>46237</v>
      </c>
      <c r="J2429" s="17" t="n">
        <v>46270</v>
      </c>
      <c r="K2429" t="inlineStr">
        <is>
          <t>Fatura - bruto MGO DE FREITAS 1398</t>
        </is>
      </c>
    </row>
    <row r="2430">
      <c r="A2430" t="inlineStr">
        <is>
          <t>101887</t>
        </is>
      </c>
      <c r="B2430" t="inlineStr">
        <is>
          <t>MGO DE FREITAS</t>
        </is>
      </c>
      <c r="C2430" t="n">
        <v>2111000000</v>
      </c>
      <c r="D2430" t="inlineStr">
        <is>
          <t>Other Suppliers</t>
        </is>
      </c>
      <c r="E2430" t="n">
        <v>5015092</v>
      </c>
      <c r="F2430" t="inlineStr">
        <is>
          <t>1399</t>
        </is>
      </c>
      <c r="G2430" t="inlineStr">
        <is>
          <t>RE</t>
        </is>
      </c>
      <c r="H2430" s="12" t="n">
        <v>-5383.73</v>
      </c>
      <c r="I2430" s="17" t="n">
        <v>46237</v>
      </c>
      <c r="J2430" s="17" t="n">
        <v>46270</v>
      </c>
      <c r="K2430" t="inlineStr">
        <is>
          <t>Fatura - bruto MGO DE FREITAS 1399</t>
        </is>
      </c>
    </row>
    <row r="2431">
      <c r="A2431" t="inlineStr">
        <is>
          <t>101887</t>
        </is>
      </c>
      <c r="B2431" t="inlineStr">
        <is>
          <t>MGO DE FREITAS</t>
        </is>
      </c>
      <c r="C2431" t="n">
        <v>2111000000</v>
      </c>
      <c r="D2431" t="inlineStr">
        <is>
          <t>Other Suppliers</t>
        </is>
      </c>
      <c r="E2431" t="n">
        <v>5015093</v>
      </c>
      <c r="F2431" t="inlineStr">
        <is>
          <t>1408</t>
        </is>
      </c>
      <c r="G2431" t="inlineStr">
        <is>
          <t>RE</t>
        </is>
      </c>
      <c r="H2431" s="12" t="n">
        <v>-5976</v>
      </c>
      <c r="I2431" s="17" t="n">
        <v>46237</v>
      </c>
      <c r="J2431" s="17" t="n">
        <v>46270</v>
      </c>
      <c r="K2431" t="inlineStr">
        <is>
          <t>Fatura - bruto MGO DE FREITAS 1408</t>
        </is>
      </c>
    </row>
    <row r="2432">
      <c r="A2432" t="inlineStr">
        <is>
          <t>100883</t>
        </is>
      </c>
      <c r="B2432" t="inlineStr">
        <is>
          <t>QUELMAR TRANSPORTES LTDA</t>
        </is>
      </c>
      <c r="C2432" t="n">
        <v>2111000000</v>
      </c>
      <c r="D2432" t="inlineStr">
        <is>
          <t>Operational Suppliers (Wind Farms)</t>
        </is>
      </c>
      <c r="E2432" t="n">
        <v>5015094</v>
      </c>
      <c r="F2432" t="inlineStr">
        <is>
          <t>6224-2</t>
        </is>
      </c>
      <c r="G2432" t="inlineStr">
        <is>
          <t>RE</t>
        </is>
      </c>
      <c r="H2432" s="12" t="n">
        <v>-2670</v>
      </c>
      <c r="I2432" s="17" t="n">
        <v>46217</v>
      </c>
      <c r="J2432" s="17" t="n">
        <v>46270</v>
      </c>
      <c r="K2432" t="inlineStr">
        <is>
          <t>Fatura - bruto QUELMAR TRANSPORTES LTDA 6224-2</t>
        </is>
      </c>
    </row>
    <row r="2433">
      <c r="A2433" t="inlineStr">
        <is>
          <t>100883</t>
        </is>
      </c>
      <c r="B2433" t="inlineStr">
        <is>
          <t>QUELMAR TRANSPORTES LTDA</t>
        </is>
      </c>
      <c r="C2433" t="n">
        <v>2111000000</v>
      </c>
      <c r="D2433" t="inlineStr">
        <is>
          <t>Operational Suppliers (Wind Farms)</t>
        </is>
      </c>
      <c r="E2433" t="n">
        <v>5015095</v>
      </c>
      <c r="F2433" t="inlineStr">
        <is>
          <t>6318-2</t>
        </is>
      </c>
      <c r="G2433" t="inlineStr">
        <is>
          <t>RE</t>
        </is>
      </c>
      <c r="H2433" s="12" t="n">
        <v>-2798.4</v>
      </c>
      <c r="I2433" s="17" t="n">
        <v>46232</v>
      </c>
      <c r="J2433" s="17" t="n">
        <v>46270</v>
      </c>
      <c r="K2433" t="inlineStr">
        <is>
          <t>Fatura - bruto QUELMAR TRANSPORTES LTDA 6318-2</t>
        </is>
      </c>
    </row>
    <row r="2434">
      <c r="A2434" t="inlineStr">
        <is>
          <t>100883</t>
        </is>
      </c>
      <c r="B2434" t="inlineStr">
        <is>
          <t>QUELMAR TRANSPORTES LTDA</t>
        </is>
      </c>
      <c r="C2434" t="n">
        <v>2111000000</v>
      </c>
      <c r="D2434" t="inlineStr">
        <is>
          <t>Operational Suppliers (Wind Farms)</t>
        </is>
      </c>
      <c r="E2434" t="n">
        <v>5015096</v>
      </c>
      <c r="F2434" t="inlineStr">
        <is>
          <t>6325-2</t>
        </is>
      </c>
      <c r="G2434" t="inlineStr">
        <is>
          <t>RE</t>
        </is>
      </c>
      <c r="H2434" s="12" t="n">
        <v>-5984</v>
      </c>
      <c r="I2434" s="17" t="n">
        <v>46232</v>
      </c>
      <c r="J2434" s="17" t="n">
        <v>46270</v>
      </c>
      <c r="K2434" t="inlineStr">
        <is>
          <t>Fatura - bruto QUELMAR TRANSPORTES LTDA 6325-2</t>
        </is>
      </c>
    </row>
    <row r="2435">
      <c r="A2435" t="inlineStr">
        <is>
          <t>100883</t>
        </is>
      </c>
      <c r="B2435" t="inlineStr">
        <is>
          <t>QUELMAR TRANSPORTES LTDA</t>
        </is>
      </c>
      <c r="C2435" t="n">
        <v>2111000000</v>
      </c>
      <c r="D2435" t="inlineStr">
        <is>
          <t>Operational Suppliers (Wind Farms)</t>
        </is>
      </c>
      <c r="E2435" t="n">
        <v>5015097</v>
      </c>
      <c r="F2435" t="inlineStr">
        <is>
          <t>6331-2</t>
        </is>
      </c>
      <c r="G2435" t="inlineStr">
        <is>
          <t>RE</t>
        </is>
      </c>
      <c r="H2435" s="12" t="n">
        <v>-6142.4</v>
      </c>
      <c r="I2435" s="17" t="n">
        <v>46234</v>
      </c>
      <c r="J2435" s="17" t="n">
        <v>46270</v>
      </c>
      <c r="K2435" t="inlineStr">
        <is>
          <t>Fatura - bruto QUELMAR TRANSPORTES LTDA 6331-2</t>
        </is>
      </c>
    </row>
    <row r="2436">
      <c r="A2436" t="inlineStr">
        <is>
          <t>100883</t>
        </is>
      </c>
      <c r="B2436" t="inlineStr">
        <is>
          <t>QUELMAR TRANSPORTES LTDA</t>
        </is>
      </c>
      <c r="C2436" t="n">
        <v>2111000000</v>
      </c>
      <c r="D2436" t="inlineStr">
        <is>
          <t>Operational Suppliers (Wind Farms)</t>
        </is>
      </c>
      <c r="E2436" t="n">
        <v>5015098</v>
      </c>
      <c r="F2436" t="inlineStr">
        <is>
          <t>6333-2</t>
        </is>
      </c>
      <c r="G2436" t="inlineStr">
        <is>
          <t>RE</t>
        </is>
      </c>
      <c r="H2436" s="12" t="n">
        <v>-12590</v>
      </c>
      <c r="I2436" s="17" t="n">
        <v>46234</v>
      </c>
      <c r="J2436" s="17" t="n">
        <v>46270</v>
      </c>
      <c r="K2436" t="inlineStr">
        <is>
          <t>Fatura - bruto QUELMAR TRANSPORTES LTDA 6333-2</t>
        </is>
      </c>
    </row>
    <row r="2437">
      <c r="A2437" t="inlineStr">
        <is>
          <t>101777</t>
        </is>
      </c>
      <c r="B2437" t="inlineStr">
        <is>
          <t>INGRAM MICRO BRASIL LTDA</t>
        </is>
      </c>
      <c r="C2437" t="n">
        <v>2111000000</v>
      </c>
      <c r="D2437" t="inlineStr">
        <is>
          <t>Other Suppliers</t>
        </is>
      </c>
      <c r="E2437" t="n">
        <v>5015099</v>
      </c>
      <c r="F2437" t="inlineStr">
        <is>
          <t>508611-16</t>
        </is>
      </c>
      <c r="G2437" t="inlineStr">
        <is>
          <t>RE</t>
        </is>
      </c>
      <c r="H2437" s="12" t="n">
        <v>-10120</v>
      </c>
      <c r="I2437" s="17" t="n">
        <v>46244</v>
      </c>
      <c r="J2437" s="17" t="n">
        <v>46273</v>
      </c>
      <c r="K2437" t="inlineStr">
        <is>
          <t>Fatura - bruto INGRAM MICRO BRASIL LTDA 508611-16</t>
        </is>
      </c>
    </row>
    <row r="2438">
      <c r="A2438" t="inlineStr">
        <is>
          <t>100961</t>
        </is>
      </c>
      <c r="B2438" t="inlineStr">
        <is>
          <t>VPS BRASIL SUPRIMENTOS INDUSTRIAIS</t>
        </is>
      </c>
      <c r="C2438" t="n">
        <v>2111000000</v>
      </c>
      <c r="D2438" t="inlineStr">
        <is>
          <t>Consumables Suppliers</t>
        </is>
      </c>
      <c r="E2438" t="n">
        <v>5015104</v>
      </c>
      <c r="F2438" t="inlineStr">
        <is>
          <t>000053330-1</t>
        </is>
      </c>
      <c r="G2438" t="inlineStr">
        <is>
          <t>RE</t>
        </is>
      </c>
      <c r="H2438" s="12" t="n">
        <v>21359.4</v>
      </c>
      <c r="I2438" s="17" t="n">
        <v>46247</v>
      </c>
      <c r="J2438" s="17" t="n">
        <v>46247</v>
      </c>
      <c r="K2438" t="inlineStr">
        <is>
          <t>NF 2894 - DEVOLUÇÃO DA NF 53330.pdf</t>
        </is>
      </c>
    </row>
    <row r="2439">
      <c r="A2439" t="inlineStr">
        <is>
          <t>104059</t>
        </is>
      </c>
      <c r="B2439" t="inlineStr">
        <is>
          <t>MG SERVICOS E SAUDE LTDA 48515732000140</t>
        </is>
      </c>
      <c r="C2439" t="n">
        <v>2111000000</v>
      </c>
      <c r="D2439" t="inlineStr">
        <is>
          <t>Other Suppliers</t>
        </is>
      </c>
      <c r="E2439" t="n">
        <v>5015106</v>
      </c>
      <c r="F2439" t="inlineStr">
        <is>
          <t>3</t>
        </is>
      </c>
      <c r="G2439" t="inlineStr">
        <is>
          <t>RE</t>
        </is>
      </c>
      <c r="H2439" s="12" t="n">
        <v>-50937.6</v>
      </c>
      <c r="I2439" s="17" t="n">
        <v>46238</v>
      </c>
      <c r="J2439" s="17" t="n">
        <v>46331</v>
      </c>
      <c r="K2439" t="inlineStr">
        <is>
          <t>Fatura - bruto MG SERVICOS E SAUDE LTDA 4851573200</t>
        </is>
      </c>
    </row>
    <row r="2440">
      <c r="A2440" t="inlineStr">
        <is>
          <t>101982</t>
        </is>
      </c>
      <c r="B2440" t="inlineStr">
        <is>
          <t>NEW ENERGY TECH LTDA</t>
        </is>
      </c>
      <c r="C2440" t="n">
        <v>2111000000</v>
      </c>
      <c r="D2440" t="inlineStr">
        <is>
          <t>Operational Suppliers (Wind Farms)</t>
        </is>
      </c>
      <c r="E2440" t="n">
        <v>5015108</v>
      </c>
      <c r="F2440" t="inlineStr">
        <is>
          <t>85</t>
        </is>
      </c>
      <c r="G2440" t="inlineStr">
        <is>
          <t>RE</t>
        </is>
      </c>
      <c r="H2440" s="12" t="n">
        <v>-16000</v>
      </c>
      <c r="I2440" s="17" t="n">
        <v>46238</v>
      </c>
      <c r="J2440" s="17" t="n">
        <v>46270</v>
      </c>
      <c r="K2440" t="inlineStr">
        <is>
          <t>Fatura - bruto NEW ENERGY TECH LTDA 85</t>
        </is>
      </c>
    </row>
    <row r="2441">
      <c r="A2441" t="inlineStr">
        <is>
          <t>101982</t>
        </is>
      </c>
      <c r="B2441" t="inlineStr">
        <is>
          <t>NEW ENERGY TECH LTDA</t>
        </is>
      </c>
      <c r="C2441" t="n">
        <v>2111000000</v>
      </c>
      <c r="D2441" t="inlineStr">
        <is>
          <t>Operational Suppliers (Wind Farms)</t>
        </is>
      </c>
      <c r="E2441" t="n">
        <v>5015109</v>
      </c>
      <c r="F2441" t="inlineStr">
        <is>
          <t>89</t>
        </is>
      </c>
      <c r="G2441" t="inlineStr">
        <is>
          <t>RE</t>
        </is>
      </c>
      <c r="H2441" s="12" t="n">
        <v>-13000</v>
      </c>
      <c r="I2441" s="17" t="n">
        <v>46241</v>
      </c>
      <c r="J2441" s="17" t="n">
        <v>46270</v>
      </c>
      <c r="K2441" t="inlineStr">
        <is>
          <t>Fatura - bruto NEW ENERGY TECH LTDA 89</t>
        </is>
      </c>
    </row>
    <row r="2442">
      <c r="A2442" t="inlineStr">
        <is>
          <t>107720</t>
        </is>
      </c>
      <c r="B2442" t="inlineStr">
        <is>
          <t>DAYCOVAL LEASING SOCIEDADE DE ARRENDAMENTO MERCANTIL S.A</t>
        </is>
      </c>
      <c r="C2442" t="n">
        <v>2111000000</v>
      </c>
      <c r="D2442" t="inlineStr">
        <is>
          <t>Other Suppliers</t>
        </is>
      </c>
      <c r="E2442" t="n">
        <v>5015110</v>
      </c>
      <c r="F2442" t="inlineStr">
        <is>
          <t>002038</t>
        </is>
      </c>
      <c r="G2442" t="inlineStr">
        <is>
          <t>RE</t>
        </is>
      </c>
      <c r="H2442" s="12" t="n">
        <v>-11872.56</v>
      </c>
      <c r="I2442" s="17" t="n">
        <v>46245</v>
      </c>
      <c r="J2442" s="17" t="n">
        <v>46269</v>
      </c>
      <c r="K2442" t="inlineStr">
        <is>
          <t>*23792374039622300000971000507708115590001187256</t>
        </is>
      </c>
    </row>
    <row r="2443">
      <c r="A2443" t="inlineStr">
        <is>
          <t>107720</t>
        </is>
      </c>
      <c r="B2443" t="inlineStr">
        <is>
          <t>DAYCOVAL LEASING SOCIEDADE DE ARRENDAMENTO MERCANTIL S.A</t>
        </is>
      </c>
      <c r="C2443" t="n">
        <v>2111000000</v>
      </c>
      <c r="D2443" t="inlineStr">
        <is>
          <t>Other Suppliers</t>
        </is>
      </c>
      <c r="E2443" t="n">
        <v>5015111</v>
      </c>
      <c r="F2443" t="inlineStr">
        <is>
          <t>910048</t>
        </is>
      </c>
      <c r="G2443" t="inlineStr">
        <is>
          <t>RE</t>
        </is>
      </c>
      <c r="H2443" s="12" t="n">
        <v>-16820.31</v>
      </c>
      <c r="I2443" s="17" t="n">
        <v>46245</v>
      </c>
      <c r="J2443" s="17" t="n">
        <v>46271</v>
      </c>
      <c r="K2443" t="inlineStr">
        <is>
          <t>Fatura - bruto DAYCOVAL LEASING SOCIEDADE DE ARREN</t>
        </is>
      </c>
    </row>
    <row r="2444">
      <c r="A2444" t="inlineStr">
        <is>
          <t>102052</t>
        </is>
      </c>
      <c r="B2444" t="inlineStr">
        <is>
          <t>TOME EQUIPAMENTOS E TRANSPORTES LTD 44384832000124</t>
        </is>
      </c>
      <c r="C2444" t="n">
        <v>2111000000</v>
      </c>
      <c r="D2444" t="inlineStr">
        <is>
          <t>Operational Suppliers (Wind Farms)</t>
        </is>
      </c>
      <c r="E2444" t="n">
        <v>5015116</v>
      </c>
      <c r="F2444" t="inlineStr">
        <is>
          <t>10277</t>
        </is>
      </c>
      <c r="G2444" t="inlineStr">
        <is>
          <t>RE</t>
        </is>
      </c>
      <c r="H2444" s="12" t="n">
        <v>-289466.89</v>
      </c>
      <c r="I2444" s="17" t="n">
        <v>46245</v>
      </c>
      <c r="J2444" s="17" t="n">
        <v>46331</v>
      </c>
      <c r="K2444" t="inlineStr">
        <is>
          <t>Fatura - bruto TOME EQUIPAMENTOS E TRANSPORTES LTD</t>
        </is>
      </c>
    </row>
    <row r="2445">
      <c r="A2445" t="inlineStr">
        <is>
          <t>100498</t>
        </is>
      </c>
      <c r="B2445" t="inlineStr">
        <is>
          <t>JESSYCA MARIA LIMA DE MOURA</t>
        </is>
      </c>
      <c r="C2445" t="n">
        <v>2111000000</v>
      </c>
      <c r="D2445" t="inlineStr">
        <is>
          <t>Other Suppliers</t>
        </is>
      </c>
      <c r="E2445" t="n">
        <v>5015117</v>
      </c>
      <c r="F2445" t="inlineStr">
        <is>
          <t>4027</t>
        </is>
      </c>
      <c r="G2445" t="inlineStr">
        <is>
          <t>RE</t>
        </is>
      </c>
      <c r="H2445" s="12" t="n">
        <v>-20169.68</v>
      </c>
      <c r="I2445" s="17" t="n">
        <v>46231</v>
      </c>
      <c r="J2445" s="17" t="n">
        <v>46270</v>
      </c>
      <c r="K2445" t="inlineStr">
        <is>
          <t>Fatura - bruto JESSYCA MARIA LIMA DE MOURA 4027</t>
        </is>
      </c>
    </row>
    <row r="2446">
      <c r="A2446" t="inlineStr">
        <is>
          <t>100906</t>
        </is>
      </c>
      <c r="B2446" t="inlineStr">
        <is>
          <t>R &amp; G TELECOM LTDA</t>
        </is>
      </c>
      <c r="C2446" t="n">
        <v>2111000000</v>
      </c>
      <c r="D2446" t="inlineStr">
        <is>
          <t>Other Suppliers</t>
        </is>
      </c>
      <c r="E2446" t="n">
        <v>5015120</v>
      </c>
      <c r="F2446" t="inlineStr">
        <is>
          <t>5356</t>
        </is>
      </c>
      <c r="G2446" t="inlineStr">
        <is>
          <t>RE</t>
        </is>
      </c>
      <c r="H2446" s="12" t="n">
        <v>-1225</v>
      </c>
      <c r="I2446" s="17" t="n">
        <v>46245</v>
      </c>
      <c r="J2446" s="17" t="n">
        <v>46280</v>
      </c>
      <c r="K2446" t="inlineStr">
        <is>
          <t>Fatura - bruto R &amp; G TELECOM LTDA 5356</t>
        </is>
      </c>
    </row>
    <row r="2447">
      <c r="A2447" t="inlineStr">
        <is>
          <t>105984</t>
        </is>
      </c>
      <c r="B2447" t="inlineStr">
        <is>
          <t>TRADEWORKS SERVICOS DE COMERCIO EXT 04955748000107</t>
        </is>
      </c>
      <c r="C2447" t="n">
        <v>2111000000</v>
      </c>
      <c r="D2447" t="inlineStr">
        <is>
          <t>Customs Brokerage – Overall</t>
        </is>
      </c>
      <c r="E2447" t="n">
        <v>5015121</v>
      </c>
      <c r="F2447" t="inlineStr">
        <is>
          <t>93613</t>
        </is>
      </c>
      <c r="G2447" t="inlineStr">
        <is>
          <t>RE</t>
        </is>
      </c>
      <c r="H2447" s="12" t="n">
        <v>-1337.76</v>
      </c>
      <c r="I2447" s="17" t="n">
        <v>46245</v>
      </c>
      <c r="J2447" s="17" t="n">
        <v>46275</v>
      </c>
      <c r="K2447" t="inlineStr">
        <is>
          <t>Fatura - bruto TRADEWORKS SERVICOS DE COMERCIO EXT</t>
        </is>
      </c>
    </row>
    <row r="2448">
      <c r="A2448" t="inlineStr">
        <is>
          <t>105984</t>
        </is>
      </c>
      <c r="B2448" t="inlineStr">
        <is>
          <t>TRADEWORKS SERVICOS DE COMERCIO EXT 04955748000107</t>
        </is>
      </c>
      <c r="C2448" t="n">
        <v>2111000000</v>
      </c>
      <c r="D2448" t="inlineStr">
        <is>
          <t>Customs Brokerage – Overall</t>
        </is>
      </c>
      <c r="E2448" t="n">
        <v>5015122</v>
      </c>
      <c r="F2448" t="inlineStr">
        <is>
          <t>93500</t>
        </is>
      </c>
      <c r="G2448" t="inlineStr">
        <is>
          <t>RE</t>
        </is>
      </c>
      <c r="H2448" s="12" t="n">
        <v>-1337.76</v>
      </c>
      <c r="I2448" s="17" t="n">
        <v>46239</v>
      </c>
      <c r="J2448" s="17" t="n">
        <v>46269</v>
      </c>
      <c r="K2448" t="inlineStr">
        <is>
          <t>Fatura - bruto TRADEWORKS SERVICOS DE COMERCIO EXT</t>
        </is>
      </c>
    </row>
    <row r="2449">
      <c r="A2449" t="inlineStr">
        <is>
          <t>105984</t>
        </is>
      </c>
      <c r="B2449" t="inlineStr">
        <is>
          <t>TRADEWORKS SERVICOS DE COMERCIO EXT 04955748000107</t>
        </is>
      </c>
      <c r="C2449" t="n">
        <v>2111000000</v>
      </c>
      <c r="D2449" t="inlineStr">
        <is>
          <t>Customs Brokerage – Overall</t>
        </is>
      </c>
      <c r="E2449" t="n">
        <v>5015123</v>
      </c>
      <c r="F2449" t="inlineStr">
        <is>
          <t>93568</t>
        </is>
      </c>
      <c r="G2449" t="inlineStr">
        <is>
          <t>RE</t>
        </is>
      </c>
      <c r="H2449" s="12" t="n">
        <v>-1337.76</v>
      </c>
      <c r="I2449" s="17" t="n">
        <v>46241</v>
      </c>
      <c r="J2449" s="17" t="n">
        <v>46271</v>
      </c>
      <c r="K2449" t="inlineStr">
        <is>
          <t>Fatura - bruto TRADEWORKS SERVICOS DE COMERCIO EXT</t>
        </is>
      </c>
    </row>
    <row r="2450">
      <c r="A2450" t="inlineStr">
        <is>
          <t>105984</t>
        </is>
      </c>
      <c r="B2450" t="inlineStr">
        <is>
          <t>TRADEWORKS SERVICOS DE COMERCIO EXT 04955748000107</t>
        </is>
      </c>
      <c r="C2450" t="n">
        <v>2111000000</v>
      </c>
      <c r="D2450" t="inlineStr">
        <is>
          <t>Customs Brokerage – Overall</t>
        </is>
      </c>
      <c r="E2450" t="n">
        <v>5015124</v>
      </c>
      <c r="F2450" t="inlineStr">
        <is>
          <t>93512</t>
        </is>
      </c>
      <c r="G2450" t="inlineStr">
        <is>
          <t>RE</t>
        </is>
      </c>
      <c r="H2450" s="12" t="n">
        <v>-1337.76</v>
      </c>
      <c r="I2450" s="17" t="n">
        <v>46239</v>
      </c>
      <c r="J2450" s="17" t="n">
        <v>46269</v>
      </c>
      <c r="K2450" t="inlineStr">
        <is>
          <t>Fatura - bruto TRADEWORKS SERVICOS DE COMERCIO EXT</t>
        </is>
      </c>
    </row>
    <row r="2451">
      <c r="A2451" t="inlineStr">
        <is>
          <t>105984</t>
        </is>
      </c>
      <c r="B2451" t="inlineStr">
        <is>
          <t>TRADEWORKS SERVICOS DE COMERCIO EXT 04955748000107</t>
        </is>
      </c>
      <c r="C2451" t="n">
        <v>2111000000</v>
      </c>
      <c r="D2451" t="inlineStr">
        <is>
          <t>Customs Brokerage – Overall</t>
        </is>
      </c>
      <c r="E2451" t="n">
        <v>5015125</v>
      </c>
      <c r="F2451" t="inlineStr">
        <is>
          <t>93570</t>
        </is>
      </c>
      <c r="G2451" t="inlineStr">
        <is>
          <t>RE</t>
        </is>
      </c>
      <c r="H2451" s="12" t="n">
        <v>-1337.76</v>
      </c>
      <c r="I2451" s="17" t="n">
        <v>46241</v>
      </c>
      <c r="J2451" s="17" t="n">
        <v>46271</v>
      </c>
      <c r="K2451" t="inlineStr">
        <is>
          <t>Fatura - bruto TRADEWORKS SERVICOS DE COMERCIO EXT</t>
        </is>
      </c>
    </row>
    <row r="2452">
      <c r="A2452" t="inlineStr">
        <is>
          <t>105984</t>
        </is>
      </c>
      <c r="B2452" t="inlineStr">
        <is>
          <t>TRADEWORKS SERVICOS DE COMERCIO EXT 04955748000107</t>
        </is>
      </c>
      <c r="C2452" t="n">
        <v>2111000000</v>
      </c>
      <c r="D2452" t="inlineStr">
        <is>
          <t>Customs Brokerage – Overall</t>
        </is>
      </c>
      <c r="E2452" t="n">
        <v>5015126</v>
      </c>
      <c r="F2452" t="inlineStr">
        <is>
          <t>93604</t>
        </is>
      </c>
      <c r="G2452" t="inlineStr">
        <is>
          <t>RE</t>
        </is>
      </c>
      <c r="H2452" s="12" t="n">
        <v>-1337.76</v>
      </c>
      <c r="I2452" s="17" t="n">
        <v>46245</v>
      </c>
      <c r="J2452" s="17" t="n">
        <v>46275</v>
      </c>
      <c r="K2452" t="inlineStr">
        <is>
          <t>Fatura - bruto TRADEWORKS SERVICOS DE COMERCIO EXT</t>
        </is>
      </c>
    </row>
    <row r="2453">
      <c r="A2453" t="inlineStr">
        <is>
          <t>105984</t>
        </is>
      </c>
      <c r="B2453" t="inlineStr">
        <is>
          <t>TRADEWORKS SERVICOS DE COMERCIO EXT 04955748000107</t>
        </is>
      </c>
      <c r="C2453" t="n">
        <v>2111000000</v>
      </c>
      <c r="D2453" t="inlineStr">
        <is>
          <t>Customs Brokerage – Overall</t>
        </is>
      </c>
      <c r="E2453" t="n">
        <v>5015127</v>
      </c>
      <c r="F2453" t="inlineStr">
        <is>
          <t>93497</t>
        </is>
      </c>
      <c r="G2453" t="inlineStr">
        <is>
          <t>RE</t>
        </is>
      </c>
      <c r="H2453" s="12" t="n">
        <v>-1337.76</v>
      </c>
      <c r="I2453" s="17" t="n">
        <v>46239</v>
      </c>
      <c r="J2453" s="17" t="n">
        <v>46269</v>
      </c>
      <c r="K2453" t="inlineStr">
        <is>
          <t>Fatura - bruto TRADEWORKS SERVICOS DE COMERCIO EXT</t>
        </is>
      </c>
    </row>
    <row r="2454">
      <c r="A2454" t="inlineStr">
        <is>
          <t>105984</t>
        </is>
      </c>
      <c r="B2454" t="inlineStr">
        <is>
          <t>TRADEWORKS SERVICOS DE COMERCIO EXT 04955748000107</t>
        </is>
      </c>
      <c r="C2454" t="n">
        <v>2111000000</v>
      </c>
      <c r="D2454" t="inlineStr">
        <is>
          <t>Customs Brokerage – Overall</t>
        </is>
      </c>
      <c r="E2454" t="n">
        <v>5015128</v>
      </c>
      <c r="F2454" t="inlineStr">
        <is>
          <t>93513</t>
        </is>
      </c>
      <c r="G2454" t="inlineStr">
        <is>
          <t>RE</t>
        </is>
      </c>
      <c r="H2454" s="12" t="n">
        <v>-1337.76</v>
      </c>
      <c r="I2454" s="17" t="n">
        <v>46239</v>
      </c>
      <c r="J2454" s="17" t="n">
        <v>46269</v>
      </c>
      <c r="K2454" t="inlineStr">
        <is>
          <t>Fatura - bruto TRADEWORKS SERVICOS DE COMERCIO EXT</t>
        </is>
      </c>
    </row>
    <row r="2455">
      <c r="A2455" t="inlineStr">
        <is>
          <t>105984</t>
        </is>
      </c>
      <c r="B2455" t="inlineStr">
        <is>
          <t>TRADEWORKS SERVICOS DE COMERCIO EXT 04955748000107</t>
        </is>
      </c>
      <c r="C2455" t="n">
        <v>2111000000</v>
      </c>
      <c r="D2455" t="inlineStr">
        <is>
          <t>Customs Brokerage – Overall</t>
        </is>
      </c>
      <c r="E2455" t="n">
        <v>5015129</v>
      </c>
      <c r="F2455" t="inlineStr">
        <is>
          <t>93508</t>
        </is>
      </c>
      <c r="G2455" t="inlineStr">
        <is>
          <t>RE</t>
        </is>
      </c>
      <c r="H2455" s="12" t="n">
        <v>-1337.76</v>
      </c>
      <c r="I2455" s="17" t="n">
        <v>46239</v>
      </c>
      <c r="J2455" s="17" t="n">
        <v>46269</v>
      </c>
      <c r="K2455" t="inlineStr">
        <is>
          <t>Fatura - bruto TRADEWORKS SERVICOS DE COMERCIO EXT</t>
        </is>
      </c>
    </row>
    <row r="2456">
      <c r="A2456" t="inlineStr">
        <is>
          <t>105984</t>
        </is>
      </c>
      <c r="B2456" t="inlineStr">
        <is>
          <t>TRADEWORKS SERVICOS DE COMERCIO EXT 04955748000107</t>
        </is>
      </c>
      <c r="C2456" t="n">
        <v>2111000000</v>
      </c>
      <c r="D2456" t="inlineStr">
        <is>
          <t>Customs Brokerage – Overall</t>
        </is>
      </c>
      <c r="E2456" t="n">
        <v>5015130</v>
      </c>
      <c r="F2456" t="inlineStr">
        <is>
          <t>93569</t>
        </is>
      </c>
      <c r="G2456" t="inlineStr">
        <is>
          <t>RE</t>
        </is>
      </c>
      <c r="H2456" s="12" t="n">
        <v>-1337.76</v>
      </c>
      <c r="I2456" s="17" t="n">
        <v>46241</v>
      </c>
      <c r="J2456" s="17" t="n">
        <v>46271</v>
      </c>
      <c r="K2456" t="inlineStr">
        <is>
          <t>Fatura - bruto TRADEWORKS SERVICOS DE COMERCIO EXT</t>
        </is>
      </c>
    </row>
    <row r="2457">
      <c r="A2457" t="inlineStr">
        <is>
          <t>105984</t>
        </is>
      </c>
      <c r="B2457" t="inlineStr">
        <is>
          <t>TRADEWORKS SERVICOS DE COMERCIO EXT 04955748000107</t>
        </is>
      </c>
      <c r="C2457" t="n">
        <v>2111000000</v>
      </c>
      <c r="D2457" t="inlineStr">
        <is>
          <t>Customs Brokerage – Overall</t>
        </is>
      </c>
      <c r="E2457" t="n">
        <v>5015131</v>
      </c>
      <c r="F2457" t="inlineStr">
        <is>
          <t>93481</t>
        </is>
      </c>
      <c r="G2457" t="inlineStr">
        <is>
          <t>RE</t>
        </is>
      </c>
      <c r="H2457" s="12" t="n">
        <v>-1337.76</v>
      </c>
      <c r="I2457" s="17" t="n">
        <v>46239</v>
      </c>
      <c r="J2457" s="17" t="n">
        <v>46269</v>
      </c>
      <c r="K2457" t="inlineStr">
        <is>
          <t>Fatura - bruto TRADEWORKS SERVICOS DE COMERCIO EXT</t>
        </is>
      </c>
    </row>
    <row r="2458">
      <c r="A2458" t="inlineStr">
        <is>
          <t>105984</t>
        </is>
      </c>
      <c r="B2458" t="inlineStr">
        <is>
          <t>TRADEWORKS SERVICOS DE COMERCIO EXT 04955748000107</t>
        </is>
      </c>
      <c r="C2458" t="n">
        <v>2111000000</v>
      </c>
      <c r="D2458" t="inlineStr">
        <is>
          <t>Customs Brokerage – Overall</t>
        </is>
      </c>
      <c r="E2458" t="n">
        <v>5015132</v>
      </c>
      <c r="F2458" t="inlineStr">
        <is>
          <t>93609</t>
        </is>
      </c>
      <c r="G2458" t="inlineStr">
        <is>
          <t>RE</t>
        </is>
      </c>
      <c r="H2458" s="12" t="n">
        <v>-1337.76</v>
      </c>
      <c r="I2458" s="17" t="n">
        <v>46245</v>
      </c>
      <c r="J2458" s="17" t="n">
        <v>46275</v>
      </c>
      <c r="K2458" t="inlineStr">
        <is>
          <t>Fatura - bruto TRADEWORKS SERVICOS DE COMERCIO EXT</t>
        </is>
      </c>
    </row>
    <row r="2459">
      <c r="A2459" t="inlineStr">
        <is>
          <t>105984</t>
        </is>
      </c>
      <c r="B2459" t="inlineStr">
        <is>
          <t>TRADEWORKS SERVICOS DE COMERCIO EXT 04955748000107</t>
        </is>
      </c>
      <c r="C2459" t="n">
        <v>2111000000</v>
      </c>
      <c r="D2459" t="inlineStr">
        <is>
          <t>Customs Brokerage – Overall</t>
        </is>
      </c>
      <c r="E2459" t="n">
        <v>5015133</v>
      </c>
      <c r="F2459" t="inlineStr">
        <is>
          <t>93503</t>
        </is>
      </c>
      <c r="G2459" t="inlineStr">
        <is>
          <t>RE</t>
        </is>
      </c>
      <c r="H2459" s="12" t="n">
        <v>-1337.76</v>
      </c>
      <c r="I2459" s="17" t="n">
        <v>46239</v>
      </c>
      <c r="J2459" s="17" t="n">
        <v>46269</v>
      </c>
      <c r="K2459" t="inlineStr">
        <is>
          <t>Fatura - bruto TRADEWORKS SERVICOS DE COMERCIO EXT</t>
        </is>
      </c>
    </row>
    <row r="2460">
      <c r="A2460" t="inlineStr">
        <is>
          <t>105984</t>
        </is>
      </c>
      <c r="B2460" t="inlineStr">
        <is>
          <t>TRADEWORKS SERVICOS DE COMERCIO EXT 04955748000107</t>
        </is>
      </c>
      <c r="C2460" t="n">
        <v>2111000000</v>
      </c>
      <c r="D2460" t="inlineStr">
        <is>
          <t>Customs Brokerage – Overall</t>
        </is>
      </c>
      <c r="E2460" t="n">
        <v>5015134</v>
      </c>
      <c r="F2460" t="inlineStr">
        <is>
          <t>93487</t>
        </is>
      </c>
      <c r="G2460" t="inlineStr">
        <is>
          <t>RE</t>
        </is>
      </c>
      <c r="H2460" s="12" t="n">
        <v>-1337.76</v>
      </c>
      <c r="I2460" s="17" t="n">
        <v>46239</v>
      </c>
      <c r="J2460" s="17" t="n">
        <v>46269</v>
      </c>
      <c r="K2460" t="inlineStr">
        <is>
          <t>Fatura - bruto TRADEWORKS SERVICOS DE COMERCIO EXT</t>
        </is>
      </c>
    </row>
    <row r="2461">
      <c r="A2461" t="inlineStr">
        <is>
          <t>105984</t>
        </is>
      </c>
      <c r="B2461" t="inlineStr">
        <is>
          <t>TRADEWORKS SERVICOS DE COMERCIO EXT 04955748000107</t>
        </is>
      </c>
      <c r="C2461" t="n">
        <v>2111000000</v>
      </c>
      <c r="D2461" t="inlineStr">
        <is>
          <t>Customs Brokerage – Overall</t>
        </is>
      </c>
      <c r="E2461" t="n">
        <v>5015135</v>
      </c>
      <c r="F2461" t="inlineStr">
        <is>
          <t>93507</t>
        </is>
      </c>
      <c r="G2461" t="inlineStr">
        <is>
          <t>RE</t>
        </is>
      </c>
      <c r="H2461" s="12" t="n">
        <v>-1337.76</v>
      </c>
      <c r="I2461" s="17" t="n">
        <v>46239</v>
      </c>
      <c r="J2461" s="17" t="n">
        <v>46269</v>
      </c>
      <c r="K2461" t="inlineStr">
        <is>
          <t>Fatura - bruto TRADEWORKS SERVICOS DE COMERCIO EXT</t>
        </is>
      </c>
    </row>
    <row r="2462">
      <c r="A2462" t="inlineStr">
        <is>
          <t>105984</t>
        </is>
      </c>
      <c r="B2462" t="inlineStr">
        <is>
          <t>TRADEWORKS SERVICOS DE COMERCIO EXT 04955748000107</t>
        </is>
      </c>
      <c r="C2462" t="n">
        <v>2111000000</v>
      </c>
      <c r="D2462" t="inlineStr">
        <is>
          <t>Customs Brokerage – Overall</t>
        </is>
      </c>
      <c r="E2462" t="n">
        <v>5015137</v>
      </c>
      <c r="F2462" t="inlineStr">
        <is>
          <t>93566</t>
        </is>
      </c>
      <c r="G2462" t="inlineStr">
        <is>
          <t>RE</t>
        </is>
      </c>
      <c r="H2462" s="12" t="n">
        <v>-1337.76</v>
      </c>
      <c r="I2462" s="17" t="n">
        <v>46241</v>
      </c>
      <c r="J2462" s="17" t="n">
        <v>46271</v>
      </c>
      <c r="K2462" t="inlineStr">
        <is>
          <t>Fatura - bruto TRADEWORKS SERVICOS DE COMERCIO EXT</t>
        </is>
      </c>
    </row>
    <row r="2463">
      <c r="A2463" t="inlineStr">
        <is>
          <t>105984</t>
        </is>
      </c>
      <c r="B2463" t="inlineStr">
        <is>
          <t>TRADEWORKS SERVICOS DE COMERCIO EXT 04955748000107</t>
        </is>
      </c>
      <c r="C2463" t="n">
        <v>2111000000</v>
      </c>
      <c r="D2463" t="inlineStr">
        <is>
          <t>Customs Brokerage – Overall</t>
        </is>
      </c>
      <c r="E2463" t="n">
        <v>5015138</v>
      </c>
      <c r="F2463" t="inlineStr">
        <is>
          <t>93499</t>
        </is>
      </c>
      <c r="G2463" t="inlineStr">
        <is>
          <t>RE</t>
        </is>
      </c>
      <c r="H2463" s="12" t="n">
        <v>-1337.76</v>
      </c>
      <c r="I2463" s="17" t="n">
        <v>46239</v>
      </c>
      <c r="J2463" s="17" t="n">
        <v>46269</v>
      </c>
      <c r="K2463" t="inlineStr">
        <is>
          <t>Fatura - bruto TRADEWORKS SERVICOS DE COMERCIO EXT</t>
        </is>
      </c>
    </row>
    <row r="2464">
      <c r="A2464" t="inlineStr">
        <is>
          <t>105984</t>
        </is>
      </c>
      <c r="B2464" t="inlineStr">
        <is>
          <t>TRADEWORKS SERVICOS DE COMERCIO EXT 04955748000107</t>
        </is>
      </c>
      <c r="C2464" t="n">
        <v>2111000000</v>
      </c>
      <c r="D2464" t="inlineStr">
        <is>
          <t>Customs Brokerage – Overall</t>
        </is>
      </c>
      <c r="E2464" t="n">
        <v>5015139</v>
      </c>
      <c r="F2464" t="inlineStr">
        <is>
          <t>93492</t>
        </is>
      </c>
      <c r="G2464" t="inlineStr">
        <is>
          <t>RE</t>
        </is>
      </c>
      <c r="H2464" s="12" t="n">
        <v>-1337.76</v>
      </c>
      <c r="I2464" s="17" t="n">
        <v>46239</v>
      </c>
      <c r="J2464" s="17" t="n">
        <v>46269</v>
      </c>
      <c r="K2464" t="inlineStr">
        <is>
          <t>Fatura - bruto TRADEWORKS SERVICOS DE COMERCIO EXT</t>
        </is>
      </c>
    </row>
    <row r="2465">
      <c r="A2465" t="inlineStr">
        <is>
          <t>105984</t>
        </is>
      </c>
      <c r="B2465" t="inlineStr">
        <is>
          <t>TRADEWORKS SERVICOS DE COMERCIO EXT 04955748000107</t>
        </is>
      </c>
      <c r="C2465" t="n">
        <v>2111000000</v>
      </c>
      <c r="D2465" t="inlineStr">
        <is>
          <t>Customs Brokerage – Overall</t>
        </is>
      </c>
      <c r="E2465" t="n">
        <v>5015140</v>
      </c>
      <c r="F2465" t="inlineStr">
        <is>
          <t>93564</t>
        </is>
      </c>
      <c r="G2465" t="inlineStr">
        <is>
          <t>RE</t>
        </is>
      </c>
      <c r="H2465" s="12" t="n">
        <v>-1337.76</v>
      </c>
      <c r="I2465" s="17" t="n">
        <v>46241</v>
      </c>
      <c r="J2465" s="17" t="n">
        <v>46271</v>
      </c>
      <c r="K2465" t="inlineStr">
        <is>
          <t>Fatura - bruto TRADEWORKS SERVICOS DE COMERCIO EXT</t>
        </is>
      </c>
    </row>
    <row r="2466">
      <c r="A2466" t="inlineStr">
        <is>
          <t>105984</t>
        </is>
      </c>
      <c r="B2466" t="inlineStr">
        <is>
          <t>TRADEWORKS SERVICOS DE COMERCIO EXT 04955748000107</t>
        </is>
      </c>
      <c r="C2466" t="n">
        <v>2111000000</v>
      </c>
      <c r="D2466" t="inlineStr">
        <is>
          <t>Customs Brokerage – Overall</t>
        </is>
      </c>
      <c r="E2466" t="n">
        <v>5015141</v>
      </c>
      <c r="F2466" t="inlineStr">
        <is>
          <t>93496</t>
        </is>
      </c>
      <c r="G2466" t="inlineStr">
        <is>
          <t>RE</t>
        </is>
      </c>
      <c r="H2466" s="12" t="n">
        <v>-1337.76</v>
      </c>
      <c r="I2466" s="17" t="n">
        <v>46239</v>
      </c>
      <c r="J2466" s="17" t="n">
        <v>46269</v>
      </c>
      <c r="K2466" t="inlineStr">
        <is>
          <t>Fatura - bruto TRADEWORKS SERVICOS DE COMERCIO EXT</t>
        </is>
      </c>
    </row>
    <row r="2467">
      <c r="A2467" t="inlineStr">
        <is>
          <t>105984</t>
        </is>
      </c>
      <c r="B2467" t="inlineStr">
        <is>
          <t>TRADEWORKS SERVICOS DE COMERCIO EXT 04955748000107</t>
        </is>
      </c>
      <c r="C2467" t="n">
        <v>2111000000</v>
      </c>
      <c r="D2467" t="inlineStr">
        <is>
          <t>Customs Brokerage – Overall</t>
        </is>
      </c>
      <c r="E2467" t="n">
        <v>5015142</v>
      </c>
      <c r="F2467" t="inlineStr">
        <is>
          <t>93504</t>
        </is>
      </c>
      <c r="G2467" t="inlineStr">
        <is>
          <t>RE</t>
        </is>
      </c>
      <c r="H2467" s="12" t="n">
        <v>-1337.76</v>
      </c>
      <c r="I2467" s="17" t="n">
        <v>46239</v>
      </c>
      <c r="J2467" s="17" t="n">
        <v>46269</v>
      </c>
      <c r="K2467" t="inlineStr">
        <is>
          <t>Fatura - bruto TRADEWORKS SERVICOS DE COMERCIO EXT</t>
        </is>
      </c>
    </row>
    <row r="2468">
      <c r="A2468" t="inlineStr">
        <is>
          <t>105984</t>
        </is>
      </c>
      <c r="B2468" t="inlineStr">
        <is>
          <t>TRADEWORKS SERVICOS DE COMERCIO EXT 04955748000107</t>
        </is>
      </c>
      <c r="C2468" t="n">
        <v>2111000000</v>
      </c>
      <c r="D2468" t="inlineStr">
        <is>
          <t>Customs Brokerage – Overall</t>
        </is>
      </c>
      <c r="E2468" t="n">
        <v>5015143</v>
      </c>
      <c r="F2468" t="inlineStr">
        <is>
          <t>93485</t>
        </is>
      </c>
      <c r="G2468" t="inlineStr">
        <is>
          <t>RE</t>
        </is>
      </c>
      <c r="H2468" s="12" t="n">
        <v>-1337.76</v>
      </c>
      <c r="I2468" s="17" t="n">
        <v>46239</v>
      </c>
      <c r="J2468" s="17" t="n">
        <v>46269</v>
      </c>
      <c r="K2468" t="inlineStr">
        <is>
          <t>Fatura - bruto TRADEWORKS SERVICOS DE COMERCIO EXT</t>
        </is>
      </c>
    </row>
    <row r="2469">
      <c r="A2469" t="inlineStr">
        <is>
          <t>100883</t>
        </is>
      </c>
      <c r="B2469" t="inlineStr">
        <is>
          <t>QUELMAR TRANSPORTES LTDA</t>
        </is>
      </c>
      <c r="C2469" t="n">
        <v>2111000000</v>
      </c>
      <c r="D2469" t="inlineStr">
        <is>
          <t>Operational Suppliers (Wind Farms)</t>
        </is>
      </c>
      <c r="E2469" t="n">
        <v>5015153</v>
      </c>
      <c r="F2469" t="inlineStr">
        <is>
          <t>6322-2</t>
        </is>
      </c>
      <c r="G2469" t="inlineStr">
        <is>
          <t>RE</t>
        </is>
      </c>
      <c r="H2469" s="12" t="n">
        <v>-4280</v>
      </c>
      <c r="I2469" s="17" t="n">
        <v>46232</v>
      </c>
      <c r="J2469" s="17" t="n">
        <v>46270</v>
      </c>
      <c r="K2469" t="inlineStr">
        <is>
          <t>Fatura - bruto QUELMAR TRANSPORTES LTDA 6322-2</t>
        </is>
      </c>
    </row>
    <row r="2470">
      <c r="A2470" t="inlineStr">
        <is>
          <t>100883</t>
        </is>
      </c>
      <c r="B2470" t="inlineStr">
        <is>
          <t>QUELMAR TRANSPORTES LTDA</t>
        </is>
      </c>
      <c r="C2470" t="n">
        <v>2111000000</v>
      </c>
      <c r="D2470" t="inlineStr">
        <is>
          <t>Operational Suppliers (Wind Farms)</t>
        </is>
      </c>
      <c r="E2470" t="n">
        <v>5015154</v>
      </c>
      <c r="F2470" t="inlineStr">
        <is>
          <t>6327-2</t>
        </is>
      </c>
      <c r="G2470" t="inlineStr">
        <is>
          <t>RE</t>
        </is>
      </c>
      <c r="H2470" s="12" t="n">
        <v>-7800</v>
      </c>
      <c r="I2470" s="17" t="n">
        <v>46232</v>
      </c>
      <c r="J2470" s="17" t="n">
        <v>46270</v>
      </c>
      <c r="K2470" t="inlineStr">
        <is>
          <t>Fatura - bruto QUELMAR TRANSPORTES LTDA 6327-2</t>
        </is>
      </c>
    </row>
    <row r="2471">
      <c r="A2471" t="inlineStr">
        <is>
          <t>100883</t>
        </is>
      </c>
      <c r="B2471" t="inlineStr">
        <is>
          <t>QUELMAR TRANSPORTES LTDA</t>
        </is>
      </c>
      <c r="C2471" t="n">
        <v>2111000000</v>
      </c>
      <c r="D2471" t="inlineStr">
        <is>
          <t>Operational Suppliers (Wind Farms)</t>
        </is>
      </c>
      <c r="E2471" t="n">
        <v>5015155</v>
      </c>
      <c r="F2471" t="inlineStr">
        <is>
          <t>6220-2</t>
        </is>
      </c>
      <c r="G2471" t="inlineStr">
        <is>
          <t>RE</t>
        </is>
      </c>
      <c r="H2471" s="12" t="n">
        <v>-18423</v>
      </c>
      <c r="I2471" s="17" t="n">
        <v>46217</v>
      </c>
      <c r="J2471" s="17" t="n">
        <v>46270</v>
      </c>
      <c r="K2471" t="inlineStr">
        <is>
          <t>Fatura - bruto QUELMAR TRANSPORTES LTDA 6220-2</t>
        </is>
      </c>
    </row>
    <row r="2472">
      <c r="A2472" t="inlineStr">
        <is>
          <t>100883</t>
        </is>
      </c>
      <c r="B2472" t="inlineStr">
        <is>
          <t>QUELMAR TRANSPORTES LTDA</t>
        </is>
      </c>
      <c r="C2472" t="n">
        <v>2111000000</v>
      </c>
      <c r="D2472" t="inlineStr">
        <is>
          <t>Operational Suppliers (Wind Farms)</t>
        </is>
      </c>
      <c r="E2472" t="n">
        <v>5015156</v>
      </c>
      <c r="F2472" t="inlineStr">
        <is>
          <t>108202-1</t>
        </is>
      </c>
      <c r="G2472" t="inlineStr">
        <is>
          <t>RE</t>
        </is>
      </c>
      <c r="H2472" s="12" t="n">
        <v>-3160</v>
      </c>
      <c r="I2472" s="17" t="n">
        <v>46231</v>
      </c>
      <c r="J2472" s="17" t="n">
        <v>46270</v>
      </c>
      <c r="K2472" t="inlineStr">
        <is>
          <t>Fatura - bruto QUELMAR TRANSPORTES LTDA 108202-1</t>
        </is>
      </c>
    </row>
    <row r="2473">
      <c r="A2473" t="inlineStr">
        <is>
          <t>100883</t>
        </is>
      </c>
      <c r="B2473" t="inlineStr">
        <is>
          <t>QUELMAR TRANSPORTES LTDA</t>
        </is>
      </c>
      <c r="C2473" t="n">
        <v>2111000000</v>
      </c>
      <c r="D2473" t="inlineStr">
        <is>
          <t>Operational Suppliers (Wind Farms)</t>
        </is>
      </c>
      <c r="E2473" t="n">
        <v>5015157</v>
      </c>
      <c r="F2473" t="inlineStr">
        <is>
          <t>6298-2</t>
        </is>
      </c>
      <c r="G2473" t="inlineStr">
        <is>
          <t>RE</t>
        </is>
      </c>
      <c r="H2473" s="12" t="n">
        <v>-4200</v>
      </c>
      <c r="I2473" s="17" t="n">
        <v>46226</v>
      </c>
      <c r="J2473" s="17" t="n">
        <v>46270</v>
      </c>
      <c r="K2473" t="inlineStr">
        <is>
          <t>Fatura - bruto QUELMAR TRANSPORTES LTDA 6298-2</t>
        </is>
      </c>
    </row>
    <row r="2474">
      <c r="A2474" t="inlineStr">
        <is>
          <t>100883</t>
        </is>
      </c>
      <c r="B2474" t="inlineStr">
        <is>
          <t>QUELMAR TRANSPORTES LTDA</t>
        </is>
      </c>
      <c r="C2474" t="n">
        <v>2111000000</v>
      </c>
      <c r="D2474" t="inlineStr">
        <is>
          <t>Operational Suppliers (Wind Farms)</t>
        </is>
      </c>
      <c r="E2474" t="n">
        <v>5015158</v>
      </c>
      <c r="F2474" t="inlineStr">
        <is>
          <t>6296-2</t>
        </is>
      </c>
      <c r="G2474" t="inlineStr">
        <is>
          <t>RE</t>
        </is>
      </c>
      <c r="H2474" s="12" t="n">
        <v>-5680</v>
      </c>
      <c r="I2474" s="17" t="n">
        <v>46226</v>
      </c>
      <c r="J2474" s="17" t="n">
        <v>46270</v>
      </c>
      <c r="K2474" t="inlineStr">
        <is>
          <t>Fatura - bruto QUELMAR TRANSPORTES LTDA 6296-2</t>
        </is>
      </c>
    </row>
    <row r="2475">
      <c r="A2475" t="inlineStr">
        <is>
          <t>101387</t>
        </is>
      </c>
      <c r="B2475" t="inlineStr">
        <is>
          <t>AZEVEDO ENGENHARIA E PARTICIPAÇÕES</t>
        </is>
      </c>
      <c r="C2475" t="n">
        <v>2111000000</v>
      </c>
      <c r="D2475" t="inlineStr">
        <is>
          <t>Other Suppliers</t>
        </is>
      </c>
      <c r="E2475" t="n">
        <v>5015159</v>
      </c>
      <c r="F2475" t="inlineStr">
        <is>
          <t>17</t>
        </is>
      </c>
      <c r="G2475" t="inlineStr">
        <is>
          <t>RE</t>
        </is>
      </c>
      <c r="H2475" s="12" t="n">
        <v>-26631.52</v>
      </c>
      <c r="I2475" s="17" t="n">
        <v>46246</v>
      </c>
      <c r="J2475" s="17" t="n">
        <v>46270</v>
      </c>
      <c r="K2475" t="inlineStr">
        <is>
          <t>Fatura - bruto AZEVEDO ENGENHARIA E PARTICIPAÇÕES</t>
        </is>
      </c>
    </row>
    <row r="2476">
      <c r="A2476" t="inlineStr">
        <is>
          <t>105984</t>
        </is>
      </c>
      <c r="B2476" t="inlineStr">
        <is>
          <t>TRADEWORKS SERVICOS DE COMERCIO EXT 04955748000107</t>
        </is>
      </c>
      <c r="C2476" t="n">
        <v>2111000000</v>
      </c>
      <c r="D2476" t="inlineStr">
        <is>
          <t>Customs Brokerage – Overall</t>
        </is>
      </c>
      <c r="E2476" t="n">
        <v>5015160</v>
      </c>
      <c r="F2476" t="inlineStr">
        <is>
          <t>93612</t>
        </is>
      </c>
      <c r="G2476" t="inlineStr">
        <is>
          <t>RE</t>
        </is>
      </c>
      <c r="H2476" s="12" t="n">
        <v>-1337.76</v>
      </c>
      <c r="I2476" s="17" t="n">
        <v>46245</v>
      </c>
      <c r="J2476" s="17" t="n">
        <v>46275</v>
      </c>
      <c r="K2476" t="inlineStr">
        <is>
          <t>Fatura - bruto TRADEWORKS SERVICOS DE COMERCIO EXT</t>
        </is>
      </c>
    </row>
    <row r="2477">
      <c r="A2477" t="inlineStr">
        <is>
          <t>105984</t>
        </is>
      </c>
      <c r="B2477" t="inlineStr">
        <is>
          <t>TRADEWORKS SERVICOS DE COMERCIO EXT 04955748000107</t>
        </is>
      </c>
      <c r="C2477" t="n">
        <v>2111000000</v>
      </c>
      <c r="D2477" t="inlineStr">
        <is>
          <t>Customs Brokerage – Overall</t>
        </is>
      </c>
      <c r="E2477" t="n">
        <v>5015161</v>
      </c>
      <c r="F2477" t="inlineStr">
        <is>
          <t>93565</t>
        </is>
      </c>
      <c r="G2477" t="inlineStr">
        <is>
          <t>RE</t>
        </is>
      </c>
      <c r="H2477" s="12" t="n">
        <v>-1337.76</v>
      </c>
      <c r="I2477" s="17" t="n">
        <v>46241</v>
      </c>
      <c r="J2477" s="17" t="n">
        <v>46271</v>
      </c>
      <c r="K2477" t="inlineStr">
        <is>
          <t>Fatura - bruto TRADEWORKS SERVICOS DE COMERCIO EXT</t>
        </is>
      </c>
    </row>
    <row r="2478">
      <c r="A2478" t="inlineStr">
        <is>
          <t>105984</t>
        </is>
      </c>
      <c r="B2478" t="inlineStr">
        <is>
          <t>TRADEWORKS SERVICOS DE COMERCIO EXT 04955748000107</t>
        </is>
      </c>
      <c r="C2478" t="n">
        <v>2111000000</v>
      </c>
      <c r="D2478" t="inlineStr">
        <is>
          <t>Customs Brokerage – Overall</t>
        </is>
      </c>
      <c r="E2478" t="n">
        <v>5015162</v>
      </c>
      <c r="F2478" t="inlineStr">
        <is>
          <t>93482</t>
        </is>
      </c>
      <c r="G2478" t="inlineStr">
        <is>
          <t>RE</t>
        </is>
      </c>
      <c r="H2478" s="12" t="n">
        <v>-1337.76</v>
      </c>
      <c r="I2478" s="17" t="n">
        <v>46239</v>
      </c>
      <c r="J2478" s="17" t="n">
        <v>46269</v>
      </c>
      <c r="K2478" t="inlineStr">
        <is>
          <t>Fatura - bruto TRADEWORKS SERVICOS DE COMERCIO EXT</t>
        </is>
      </c>
    </row>
    <row r="2479">
      <c r="A2479" t="inlineStr">
        <is>
          <t>101317</t>
        </is>
      </c>
      <c r="B2479" t="inlineStr">
        <is>
          <t>JOAO VANDERLEI ROYER</t>
        </is>
      </c>
      <c r="C2479" t="n">
        <v>2111000000</v>
      </c>
      <c r="D2479" t="inlineStr">
        <is>
          <t>Other Suppliers</t>
        </is>
      </c>
      <c r="E2479" t="n">
        <v>5015163</v>
      </c>
      <c r="F2479" t="inlineStr">
        <is>
          <t>78</t>
        </is>
      </c>
      <c r="G2479" t="inlineStr">
        <is>
          <t>RE</t>
        </is>
      </c>
      <c r="H2479" s="12" t="n">
        <v>-10500</v>
      </c>
      <c r="I2479" s="17" t="n">
        <v>46238</v>
      </c>
      <c r="J2479" s="17" t="n">
        <v>46270</v>
      </c>
      <c r="K2479" t="inlineStr">
        <is>
          <t>Fatura - bruto JOAO VANDERLEI ROYER 78</t>
        </is>
      </c>
    </row>
    <row r="2480">
      <c r="A2480" t="inlineStr">
        <is>
          <t>101982</t>
        </is>
      </c>
      <c r="B2480" t="inlineStr">
        <is>
          <t>NEW ENERGY TECH LTDA</t>
        </is>
      </c>
      <c r="C2480" t="n">
        <v>2111000000</v>
      </c>
      <c r="D2480" t="inlineStr">
        <is>
          <t>Operational Suppliers (Wind Farms)</t>
        </is>
      </c>
      <c r="E2480" t="n">
        <v>5015164</v>
      </c>
      <c r="F2480" t="inlineStr">
        <is>
          <t>449</t>
        </is>
      </c>
      <c r="G2480" t="inlineStr">
        <is>
          <t>RE</t>
        </is>
      </c>
      <c r="H2480" s="12" t="n">
        <v>-75366.66</v>
      </c>
      <c r="I2480" s="17" t="n">
        <v>46241</v>
      </c>
      <c r="J2480" s="17" t="n">
        <v>46270</v>
      </c>
      <c r="K2480" t="inlineStr">
        <is>
          <t>Fatura - bruto NEW ENERGY TECH LTDA 449</t>
        </is>
      </c>
    </row>
    <row r="2481">
      <c r="A2481" t="inlineStr">
        <is>
          <t>105984</t>
        </is>
      </c>
      <c r="B2481" t="inlineStr">
        <is>
          <t>TRADEWORKS SERVICOS DE COMERCIO EXT 04955748000107</t>
        </is>
      </c>
      <c r="C2481" t="n">
        <v>2111000000</v>
      </c>
      <c r="D2481" t="inlineStr">
        <is>
          <t>Customs Brokerage – Overall</t>
        </is>
      </c>
      <c r="E2481" t="n">
        <v>5015165</v>
      </c>
      <c r="F2481" t="inlineStr">
        <is>
          <t>93488</t>
        </is>
      </c>
      <c r="G2481" t="inlineStr">
        <is>
          <t>RE</t>
        </is>
      </c>
      <c r="H2481" s="12" t="n">
        <v>-1337.76</v>
      </c>
      <c r="I2481" s="17" t="n">
        <v>46239</v>
      </c>
      <c r="J2481" s="17" t="n">
        <v>46269</v>
      </c>
      <c r="K2481" t="inlineStr">
        <is>
          <t>Fatura - bruto TRADEWORKS SERVICOS DE COMERCIO EXT</t>
        </is>
      </c>
    </row>
    <row r="2482">
      <c r="A2482" t="inlineStr">
        <is>
          <t>105984</t>
        </is>
      </c>
      <c r="B2482" t="inlineStr">
        <is>
          <t>TRADEWORKS SERVICOS DE COMERCIO EXT 04955748000107</t>
        </is>
      </c>
      <c r="C2482" t="n">
        <v>2111000000</v>
      </c>
      <c r="D2482" t="inlineStr">
        <is>
          <t>Customs Brokerage – Overall</t>
        </is>
      </c>
      <c r="E2482" t="n">
        <v>5015166</v>
      </c>
      <c r="F2482" t="inlineStr">
        <is>
          <t>93611</t>
        </is>
      </c>
      <c r="G2482" t="inlineStr">
        <is>
          <t>RE</t>
        </is>
      </c>
      <c r="H2482" s="12" t="n">
        <v>-1337.76</v>
      </c>
      <c r="I2482" s="17" t="n">
        <v>46245</v>
      </c>
      <c r="J2482" s="17" t="n">
        <v>46275</v>
      </c>
      <c r="K2482" t="inlineStr">
        <is>
          <t>Fatura - bruto TRADEWORKS SERVICOS DE COMERCIO EXT</t>
        </is>
      </c>
    </row>
    <row r="2483">
      <c r="A2483" t="inlineStr">
        <is>
          <t>101290</t>
        </is>
      </c>
      <c r="B2483" t="inlineStr">
        <is>
          <t>ARTH WIND SERVICES&amp;CONSULTING EIREL</t>
        </is>
      </c>
      <c r="C2483" t="n">
        <v>2111000000</v>
      </c>
      <c r="D2483" t="inlineStr">
        <is>
          <t>Other Suppliers</t>
        </is>
      </c>
      <c r="E2483" t="n">
        <v>5015167</v>
      </c>
      <c r="F2483" t="inlineStr">
        <is>
          <t>6409</t>
        </is>
      </c>
      <c r="G2483" t="inlineStr">
        <is>
          <t>RE</t>
        </is>
      </c>
      <c r="H2483" s="12" t="n">
        <v>-132975</v>
      </c>
      <c r="I2483" s="17" t="n">
        <v>46241</v>
      </c>
      <c r="J2483" s="17" t="n">
        <v>46270</v>
      </c>
      <c r="K2483" t="inlineStr">
        <is>
          <t>Fatura - bruto ARTH WIND SERVICES&amp;CONSULTING EIREL</t>
        </is>
      </c>
    </row>
    <row r="2484">
      <c r="A2484" t="inlineStr">
        <is>
          <t>101334</t>
        </is>
      </c>
      <c r="B2484" t="inlineStr">
        <is>
          <t>ABRILSAN ASSES EM CART DE PROT LTDA</t>
        </is>
      </c>
      <c r="C2484" t="n">
        <v>2111000000</v>
      </c>
      <c r="D2484" t="inlineStr">
        <is>
          <t>Other Suppliers</t>
        </is>
      </c>
      <c r="E2484" t="n">
        <v>5015171</v>
      </c>
      <c r="F2484" t="inlineStr">
        <is>
          <t>136837</t>
        </is>
      </c>
      <c r="G2484" t="inlineStr">
        <is>
          <t>RE</t>
        </is>
      </c>
      <c r="H2484" s="12" t="n">
        <v>-7.3</v>
      </c>
      <c r="I2484" s="17" t="n">
        <v>46237</v>
      </c>
      <c r="J2484" s="17" t="n">
        <v>46268</v>
      </c>
      <c r="K2484" t="inlineStr">
        <is>
          <t>Fatura - bruto ABRILSAN ASSES EM CART DE PROT LTDA</t>
        </is>
      </c>
    </row>
    <row r="2485">
      <c r="A2485" t="inlineStr">
        <is>
          <t>107274</t>
        </is>
      </c>
      <c r="B2485" t="inlineStr">
        <is>
          <t>OBJECTA LIFTING LASHING AND TECHNIC</t>
        </is>
      </c>
      <c r="C2485" t="n">
        <v>2111000000</v>
      </c>
      <c r="D2485" t="inlineStr">
        <is>
          <t>Other Suppliers</t>
        </is>
      </c>
      <c r="E2485" t="n">
        <v>5015176</v>
      </c>
      <c r="F2485" t="inlineStr">
        <is>
          <t>147</t>
        </is>
      </c>
      <c r="G2485" t="inlineStr">
        <is>
          <t>RS</t>
        </is>
      </c>
      <c r="H2485" s="12" t="n">
        <v>8200</v>
      </c>
      <c r="I2485" s="17" t="n">
        <v>46244</v>
      </c>
      <c r="J2485" s="17" t="n">
        <v>46274</v>
      </c>
      <c r="K2485" t="inlineStr">
        <is>
          <t>MR8M</t>
        </is>
      </c>
    </row>
    <row r="2486">
      <c r="A2486" t="inlineStr">
        <is>
          <t>107274</t>
        </is>
      </c>
      <c r="B2486" t="inlineStr">
        <is>
          <t>OBJECTA LIFTING LASHING AND TECHNIC</t>
        </is>
      </c>
      <c r="C2486" t="n">
        <v>2111000000</v>
      </c>
      <c r="D2486" t="inlineStr">
        <is>
          <t>Other Suppliers</t>
        </is>
      </c>
      <c r="E2486" t="n">
        <v>5015177</v>
      </c>
      <c r="F2486" t="inlineStr">
        <is>
          <t>148</t>
        </is>
      </c>
      <c r="G2486" t="inlineStr">
        <is>
          <t>RS</t>
        </is>
      </c>
      <c r="H2486" s="12" t="n">
        <v>7300</v>
      </c>
      <c r="I2486" s="17" t="n">
        <v>46244</v>
      </c>
      <c r="J2486" s="17" t="n">
        <v>46274</v>
      </c>
      <c r="K2486" t="inlineStr">
        <is>
          <t>MR8M</t>
        </is>
      </c>
    </row>
    <row r="2487">
      <c r="A2487" t="inlineStr">
        <is>
          <t>103936</t>
        </is>
      </c>
      <c r="B2487" t="inlineStr">
        <is>
          <t>BELA VISTA RENOVAVEIS II LTDA</t>
        </is>
      </c>
      <c r="C2487" t="n">
        <v>2111000000</v>
      </c>
      <c r="D2487" t="inlineStr">
        <is>
          <t>Other Suppliers</t>
        </is>
      </c>
      <c r="E2487" t="n">
        <v>5015188</v>
      </c>
      <c r="F2487" t="inlineStr">
        <is>
          <t>1723</t>
        </is>
      </c>
      <c r="G2487" t="inlineStr">
        <is>
          <t>RE</t>
        </is>
      </c>
      <c r="H2487" s="12" t="n">
        <v>-193075.74</v>
      </c>
      <c r="I2487" s="17" t="n">
        <v>46237</v>
      </c>
      <c r="J2487" s="17" t="n">
        <v>46270</v>
      </c>
      <c r="K2487" t="inlineStr">
        <is>
          <t>Fatura - bruto BELA VISTA RENOVAVEIS II LTDA 1723</t>
        </is>
      </c>
    </row>
    <row r="2488">
      <c r="A2488" t="inlineStr">
        <is>
          <t>103936</t>
        </is>
      </c>
      <c r="B2488" t="inlineStr">
        <is>
          <t>BELA VISTA RENOVAVEIS II LTDA</t>
        </is>
      </c>
      <c r="C2488" t="n">
        <v>2111000000</v>
      </c>
      <c r="D2488" t="inlineStr">
        <is>
          <t>Other Suppliers</t>
        </is>
      </c>
      <c r="E2488" t="n">
        <v>5015189</v>
      </c>
      <c r="F2488" t="inlineStr">
        <is>
          <t>1724</t>
        </is>
      </c>
      <c r="G2488" t="inlineStr">
        <is>
          <t>RE</t>
        </is>
      </c>
      <c r="H2488" s="12" t="n">
        <v>-73048.42999999999</v>
      </c>
      <c r="I2488" s="17" t="n">
        <v>46237</v>
      </c>
      <c r="J2488" s="17" t="n">
        <v>46270</v>
      </c>
      <c r="K2488" t="inlineStr">
        <is>
          <t>Fatura - bruto BELA VISTA RENOVAVEIS II LTDA 1724</t>
        </is>
      </c>
    </row>
    <row r="2489">
      <c r="A2489" t="inlineStr">
        <is>
          <t>101775</t>
        </is>
      </c>
      <c r="B2489" t="inlineStr">
        <is>
          <t>SOUSATEC.NET LTDA  ME</t>
        </is>
      </c>
      <c r="C2489" t="n">
        <v>2111000000</v>
      </c>
      <c r="D2489" t="inlineStr">
        <is>
          <t>Other Suppliers</t>
        </is>
      </c>
      <c r="E2489" t="n">
        <v>5015191</v>
      </c>
      <c r="F2489" t="inlineStr">
        <is>
          <t>5512</t>
        </is>
      </c>
      <c r="G2489" t="inlineStr">
        <is>
          <t>RE</t>
        </is>
      </c>
      <c r="H2489" s="12" t="n">
        <v>-2900</v>
      </c>
      <c r="I2489" s="17" t="n">
        <v>46239</v>
      </c>
      <c r="J2489" s="17" t="n">
        <v>46269</v>
      </c>
      <c r="K2489" t="inlineStr">
        <is>
          <t>Fatura - bruto SOUSATEC.NET LTDA  ME 5512</t>
        </is>
      </c>
    </row>
    <row r="2490">
      <c r="A2490" t="inlineStr">
        <is>
          <t>103936</t>
        </is>
      </c>
      <c r="B2490" t="inlineStr">
        <is>
          <t>BELA VISTA RENOVAVEIS II LTDA</t>
        </is>
      </c>
      <c r="C2490" t="n">
        <v>2111000000</v>
      </c>
      <c r="D2490" t="inlineStr">
        <is>
          <t>Other Suppliers</t>
        </is>
      </c>
      <c r="E2490" t="n">
        <v>5015198</v>
      </c>
      <c r="F2490" t="inlineStr">
        <is>
          <t>1722</t>
        </is>
      </c>
      <c r="G2490" t="inlineStr">
        <is>
          <t>RE</t>
        </is>
      </c>
      <c r="H2490" s="12" t="n">
        <v>-130568.89</v>
      </c>
      <c r="I2490" s="17" t="n">
        <v>46237</v>
      </c>
      <c r="J2490" s="17" t="n">
        <v>46270</v>
      </c>
      <c r="K2490" t="inlineStr">
        <is>
          <t>Fatura - bruto BELA VISTA RENOVAVEIS II LTDA 1722</t>
        </is>
      </c>
    </row>
    <row r="2491">
      <c r="A2491" t="inlineStr">
        <is>
          <t>103936</t>
        </is>
      </c>
      <c r="B2491" t="inlineStr">
        <is>
          <t>BELA VISTA RENOVAVEIS II LTDA</t>
        </is>
      </c>
      <c r="C2491" t="n">
        <v>2111000000</v>
      </c>
      <c r="D2491" t="inlineStr">
        <is>
          <t>Other Suppliers</t>
        </is>
      </c>
      <c r="E2491" t="n">
        <v>5015199</v>
      </c>
      <c r="F2491" t="inlineStr">
        <is>
          <t>1725</t>
        </is>
      </c>
      <c r="G2491" t="inlineStr">
        <is>
          <t>RE</t>
        </is>
      </c>
      <c r="H2491" s="12" t="n">
        <v>-103152.74</v>
      </c>
      <c r="I2491" s="17" t="n">
        <v>46237</v>
      </c>
      <c r="J2491" s="17" t="n">
        <v>46270</v>
      </c>
      <c r="K2491" t="inlineStr">
        <is>
          <t>Fatura - bruto BELA VISTA RENOVAVEIS II LTDA 1725</t>
        </is>
      </c>
    </row>
    <row r="2492">
      <c r="A2492" t="inlineStr">
        <is>
          <t>103936</t>
        </is>
      </c>
      <c r="B2492" t="inlineStr">
        <is>
          <t>BELA VISTA RENOVAVEIS II LTDA</t>
        </is>
      </c>
      <c r="C2492" t="n">
        <v>2111000000</v>
      </c>
      <c r="D2492" t="inlineStr">
        <is>
          <t>Other Suppliers</t>
        </is>
      </c>
      <c r="E2492" t="n">
        <v>5015200</v>
      </c>
      <c r="F2492" t="inlineStr">
        <is>
          <t>1726</t>
        </is>
      </c>
      <c r="G2492" t="inlineStr">
        <is>
          <t>RE</t>
        </is>
      </c>
      <c r="H2492" s="12" t="n">
        <v>-111176.73</v>
      </c>
      <c r="I2492" s="17" t="n">
        <v>46237</v>
      </c>
      <c r="J2492" s="17" t="n">
        <v>46270</v>
      </c>
      <c r="K2492" t="inlineStr">
        <is>
          <t>Fatura - bruto BELA VISTA RENOVAVEIS II LTDA 1726</t>
        </is>
      </c>
    </row>
    <row r="2493">
      <c r="A2493" t="inlineStr">
        <is>
          <t>105751</t>
        </is>
      </c>
      <c r="B2493" t="inlineStr">
        <is>
          <t>SULZER SCHMID BRAZIL LTDA 57465227000120</t>
        </is>
      </c>
      <c r="C2493" t="n">
        <v>2111000000</v>
      </c>
      <c r="D2493" t="inlineStr">
        <is>
          <t>Operational Suppliers (Wind Farms)</t>
        </is>
      </c>
      <c r="E2493" t="n">
        <v>5015201</v>
      </c>
      <c r="F2493" t="inlineStr">
        <is>
          <t>86</t>
        </is>
      </c>
      <c r="G2493" t="inlineStr">
        <is>
          <t>RE</t>
        </is>
      </c>
      <c r="H2493" s="12" t="n">
        <v>-9850</v>
      </c>
      <c r="I2493" s="17" t="n">
        <v>46240</v>
      </c>
      <c r="J2493" s="17" t="n">
        <v>46300</v>
      </c>
      <c r="K2493" t="inlineStr">
        <is>
          <t>Fatura - bruto SULZER SCHMID BRAZIL LTDA 574652270</t>
        </is>
      </c>
    </row>
    <row r="2494">
      <c r="A2494" t="inlineStr">
        <is>
          <t>101008</t>
        </is>
      </c>
      <c r="B2494" t="inlineStr">
        <is>
          <t>OXIGENIO IRECE LTDA</t>
        </is>
      </c>
      <c r="C2494" t="n">
        <v>2111000000</v>
      </c>
      <c r="D2494" t="inlineStr">
        <is>
          <t>Operational Suppliers (Wind Farms)</t>
        </is>
      </c>
      <c r="E2494" t="n">
        <v>5015202</v>
      </c>
      <c r="F2494" t="inlineStr">
        <is>
          <t>395</t>
        </is>
      </c>
      <c r="G2494" t="inlineStr">
        <is>
          <t>RE</t>
        </is>
      </c>
      <c r="H2494" s="12" t="n">
        <v>-600</v>
      </c>
      <c r="I2494" s="17" t="n">
        <v>46240</v>
      </c>
      <c r="J2494" s="17" t="n">
        <v>46300</v>
      </c>
      <c r="K2494" t="inlineStr">
        <is>
          <t>Fatura - bruto OXIGENIO IRECE LTDA 395</t>
        </is>
      </c>
    </row>
    <row r="2495">
      <c r="A2495" t="inlineStr">
        <is>
          <t>101887</t>
        </is>
      </c>
      <c r="B2495" t="inlineStr">
        <is>
          <t>MGO DE FREITAS</t>
        </is>
      </c>
      <c r="C2495" t="n">
        <v>2111000000</v>
      </c>
      <c r="D2495" t="inlineStr">
        <is>
          <t>Other Suppliers</t>
        </is>
      </c>
      <c r="E2495" t="n">
        <v>5015203</v>
      </c>
      <c r="F2495" t="inlineStr">
        <is>
          <t>1407</t>
        </is>
      </c>
      <c r="G2495" t="inlineStr">
        <is>
          <t>RE</t>
        </is>
      </c>
      <c r="H2495" s="12" t="n">
        <v>-4265.96</v>
      </c>
      <c r="I2495" s="17" t="n">
        <v>46237</v>
      </c>
      <c r="J2495" s="17" t="n">
        <v>46270</v>
      </c>
      <c r="K2495" t="inlineStr">
        <is>
          <t>Fatura - bruto MGO DE FREITAS 1407</t>
        </is>
      </c>
    </row>
    <row r="2496">
      <c r="A2496" t="inlineStr">
        <is>
          <t>100519</t>
        </is>
      </c>
      <c r="B2496" t="inlineStr">
        <is>
          <t>CORDEIRO TRANSPORTES LTDA 13043748000113</t>
        </is>
      </c>
      <c r="C2496" t="n">
        <v>2111000000</v>
      </c>
      <c r="D2496" t="inlineStr">
        <is>
          <t>Operational Suppliers (Wind Farms)</t>
        </is>
      </c>
      <c r="E2496" t="n">
        <v>5015204</v>
      </c>
      <c r="F2496" t="inlineStr">
        <is>
          <t>910</t>
        </is>
      </c>
      <c r="G2496" t="inlineStr">
        <is>
          <t>RE</t>
        </is>
      </c>
      <c r="H2496" s="12" t="n">
        <v>-29141.18</v>
      </c>
      <c r="I2496" s="17" t="n">
        <v>46223</v>
      </c>
      <c r="J2496" s="17" t="n">
        <v>46270</v>
      </c>
      <c r="K2496" t="inlineStr">
        <is>
          <t>Fatura - bruto CORDEIRO TRANSPORTES LTDA 130437480</t>
        </is>
      </c>
    </row>
    <row r="2497">
      <c r="A2497" t="inlineStr">
        <is>
          <t>101387</t>
        </is>
      </c>
      <c r="B2497" t="inlineStr">
        <is>
          <t>AZEVEDO ENGENHARIA E PARTICIPAÇÕES</t>
        </is>
      </c>
      <c r="C2497" t="n">
        <v>2111000000</v>
      </c>
      <c r="D2497" t="inlineStr">
        <is>
          <t>Other Suppliers</t>
        </is>
      </c>
      <c r="E2497" t="n">
        <v>5015207</v>
      </c>
      <c r="F2497" t="inlineStr">
        <is>
          <t>18</t>
        </is>
      </c>
      <c r="G2497" t="inlineStr">
        <is>
          <t>RE</t>
        </is>
      </c>
      <c r="H2497" s="12" t="n">
        <v>-24855.6</v>
      </c>
      <c r="I2497" s="17" t="n">
        <v>46246</v>
      </c>
      <c r="J2497" s="17" t="n">
        <v>46270</v>
      </c>
      <c r="K2497" t="inlineStr">
        <is>
          <t>Fatura - bruto AZEVEDO ENGENHARIA E PARTICIPAÇÕES</t>
        </is>
      </c>
    </row>
    <row r="2498">
      <c r="A2498" t="inlineStr">
        <is>
          <t>101463</t>
        </is>
      </c>
      <c r="B2498" t="inlineStr">
        <is>
          <t>ZURICH MINAS BRASIL SEGUROS S A</t>
        </is>
      </c>
      <c r="C2498" t="n">
        <v>2111000000</v>
      </c>
      <c r="D2498" t="inlineStr">
        <is>
          <t>Insurance</t>
        </is>
      </c>
      <c r="E2498" t="n">
        <v>5015209</v>
      </c>
      <c r="F2498" t="inlineStr">
        <is>
          <t>0385/26</t>
        </is>
      </c>
      <c r="G2498" t="inlineStr">
        <is>
          <t>RE</t>
        </is>
      </c>
      <c r="H2498" s="12" t="n">
        <v>-11303.32</v>
      </c>
      <c r="I2498" s="17" t="n">
        <v>46248</v>
      </c>
      <c r="J2498" s="17" t="n">
        <v>46278</v>
      </c>
      <c r="K2498" t="inlineStr">
        <is>
          <t>Invoice Payment. SP: 21458</t>
        </is>
      </c>
    </row>
    <row r="2499">
      <c r="A2499" t="inlineStr">
        <is>
          <t>101463</t>
        </is>
      </c>
      <c r="B2499" t="inlineStr">
        <is>
          <t>ZURICH MINAS BRASIL SEGUROS S A</t>
        </is>
      </c>
      <c r="C2499" t="n">
        <v>2111000000</v>
      </c>
      <c r="D2499" t="inlineStr">
        <is>
          <t>Insurance</t>
        </is>
      </c>
      <c r="E2499" t="n">
        <v>5015211</v>
      </c>
      <c r="F2499" t="inlineStr">
        <is>
          <t>0373/26</t>
        </is>
      </c>
      <c r="G2499" t="inlineStr">
        <is>
          <t>RE</t>
        </is>
      </c>
      <c r="H2499" s="12" t="n">
        <v>-10574.68</v>
      </c>
      <c r="I2499" s="17" t="n">
        <v>46248</v>
      </c>
      <c r="J2499" s="17" t="n">
        <v>46278</v>
      </c>
      <c r="K2499" t="inlineStr">
        <is>
          <t>Invoice Payment. SP: 21460</t>
        </is>
      </c>
    </row>
    <row r="2500">
      <c r="A2500" t="inlineStr">
        <is>
          <t>101463</t>
        </is>
      </c>
      <c r="B2500" t="inlineStr">
        <is>
          <t>ZURICH MINAS BRASIL SEGUROS S A</t>
        </is>
      </c>
      <c r="C2500" t="n">
        <v>2111000000</v>
      </c>
      <c r="D2500" t="inlineStr">
        <is>
          <t>Insurance</t>
        </is>
      </c>
      <c r="E2500" t="n">
        <v>5015212</v>
      </c>
      <c r="F2500" t="inlineStr">
        <is>
          <t>0371/26</t>
        </is>
      </c>
      <c r="G2500" t="inlineStr">
        <is>
          <t>RE</t>
        </is>
      </c>
      <c r="H2500" s="12" t="n">
        <v>-3364.51</v>
      </c>
      <c r="I2500" s="17" t="n">
        <v>46248</v>
      </c>
      <c r="J2500" s="17" t="n">
        <v>46278</v>
      </c>
      <c r="K2500" t="inlineStr">
        <is>
          <t>Invoice Payment. SP: 21478</t>
        </is>
      </c>
    </row>
    <row r="2501">
      <c r="A2501" t="inlineStr">
        <is>
          <t>101463</t>
        </is>
      </c>
      <c r="B2501" t="inlineStr">
        <is>
          <t>ZURICH MINAS BRASIL SEGUROS S A</t>
        </is>
      </c>
      <c r="C2501" t="n">
        <v>2111000000</v>
      </c>
      <c r="D2501" t="inlineStr">
        <is>
          <t>Insurance</t>
        </is>
      </c>
      <c r="E2501" t="n">
        <v>5015216</v>
      </c>
      <c r="F2501" t="inlineStr">
        <is>
          <t>0450/26</t>
        </is>
      </c>
      <c r="G2501" t="inlineStr">
        <is>
          <t>RE</t>
        </is>
      </c>
      <c r="H2501" s="12" t="n">
        <v>-2.21</v>
      </c>
      <c r="I2501" s="17" t="n">
        <v>46248</v>
      </c>
      <c r="J2501" s="17" t="n">
        <v>46278</v>
      </c>
      <c r="K2501" t="inlineStr">
        <is>
          <t>Invoice Payment. SP: 21480</t>
        </is>
      </c>
    </row>
    <row r="2502">
      <c r="A2502" t="inlineStr">
        <is>
          <t>101463</t>
        </is>
      </c>
      <c r="B2502" t="inlineStr">
        <is>
          <t>ZURICH MINAS BRASIL SEGUROS S A</t>
        </is>
      </c>
      <c r="C2502" t="n">
        <v>2111000000</v>
      </c>
      <c r="D2502" t="inlineStr">
        <is>
          <t>Insurance</t>
        </is>
      </c>
      <c r="E2502" t="n">
        <v>5015220</v>
      </c>
      <c r="F2502" t="inlineStr">
        <is>
          <t>0494/26</t>
        </is>
      </c>
      <c r="G2502" t="inlineStr">
        <is>
          <t>RE</t>
        </is>
      </c>
      <c r="H2502" s="12" t="n">
        <v>-122.71</v>
      </c>
      <c r="I2502" s="17" t="n">
        <v>46248</v>
      </c>
      <c r="J2502" s="17" t="n">
        <v>46278</v>
      </c>
      <c r="K2502" t="inlineStr">
        <is>
          <t>Invoice Payment. SP: 21482</t>
        </is>
      </c>
    </row>
    <row r="2503">
      <c r="A2503" t="inlineStr">
        <is>
          <t>101226</t>
        </is>
      </c>
      <c r="B2503" t="inlineStr">
        <is>
          <t>AL WIND SOLUCOES LTDA</t>
        </is>
      </c>
      <c r="C2503" t="n">
        <v>2111000000</v>
      </c>
      <c r="D2503" t="inlineStr">
        <is>
          <t>Other Suppliers</t>
        </is>
      </c>
      <c r="E2503" t="n">
        <v>5015222</v>
      </c>
      <c r="F2503" t="inlineStr">
        <is>
          <t>61</t>
        </is>
      </c>
      <c r="G2503" t="inlineStr">
        <is>
          <t>RE</t>
        </is>
      </c>
      <c r="H2503" s="12" t="n">
        <v>-19479.26</v>
      </c>
      <c r="I2503" s="17" t="n">
        <v>46246</v>
      </c>
      <c r="J2503" s="17" t="n">
        <v>46276</v>
      </c>
      <c r="K2503" t="inlineStr">
        <is>
          <t>Fatura - bruto AL WIND SOLUCOES LTDA 61</t>
        </is>
      </c>
    </row>
    <row r="2504">
      <c r="A2504" t="inlineStr">
        <is>
          <t>101226</t>
        </is>
      </c>
      <c r="B2504" t="inlineStr">
        <is>
          <t>AL WIND SOLUCOES LTDA</t>
        </is>
      </c>
      <c r="C2504" t="n">
        <v>2111000000</v>
      </c>
      <c r="D2504" t="inlineStr">
        <is>
          <t>Other Suppliers</t>
        </is>
      </c>
      <c r="E2504" t="n">
        <v>5015223</v>
      </c>
      <c r="F2504" t="inlineStr">
        <is>
          <t>63</t>
        </is>
      </c>
      <c r="G2504" t="inlineStr">
        <is>
          <t>RE</t>
        </is>
      </c>
      <c r="H2504" s="12" t="n">
        <v>-21037.5</v>
      </c>
      <c r="I2504" s="17" t="n">
        <v>46247</v>
      </c>
      <c r="J2504" s="17" t="n">
        <v>46277</v>
      </c>
      <c r="K2504" t="inlineStr">
        <is>
          <t>Fatura - bruto AL WIND SOLUCOES LTDA 63</t>
        </is>
      </c>
    </row>
    <row r="2505">
      <c r="A2505" t="inlineStr">
        <is>
          <t>101226</t>
        </is>
      </c>
      <c r="B2505" t="inlineStr">
        <is>
          <t>AL WIND SOLUCOES LTDA</t>
        </is>
      </c>
      <c r="C2505" t="n">
        <v>2111000000</v>
      </c>
      <c r="D2505" t="inlineStr">
        <is>
          <t>Other Suppliers</t>
        </is>
      </c>
      <c r="E2505" t="n">
        <v>5015224</v>
      </c>
      <c r="F2505" t="inlineStr">
        <is>
          <t>7</t>
        </is>
      </c>
      <c r="G2505" t="inlineStr">
        <is>
          <t>RE</t>
        </is>
      </c>
      <c r="H2505" s="12" t="n">
        <v>-8004.76</v>
      </c>
      <c r="I2505" s="17" t="n">
        <v>46246</v>
      </c>
      <c r="J2505" s="17" t="n">
        <v>46277</v>
      </c>
      <c r="K2505" t="inlineStr">
        <is>
          <t>Fatura - bruto AL WIND SOLUCOES LTDA 7</t>
        </is>
      </c>
    </row>
    <row r="2506">
      <c r="A2506" t="inlineStr">
        <is>
          <t>101226</t>
        </is>
      </c>
      <c r="B2506" t="inlineStr">
        <is>
          <t>AL WIND SOLUCOES LTDA</t>
        </is>
      </c>
      <c r="C2506" t="n">
        <v>2111000000</v>
      </c>
      <c r="D2506" t="inlineStr">
        <is>
          <t>Other Suppliers</t>
        </is>
      </c>
      <c r="E2506" t="n">
        <v>5015225</v>
      </c>
      <c r="F2506" t="inlineStr">
        <is>
          <t>62</t>
        </is>
      </c>
      <c r="G2506" t="inlineStr">
        <is>
          <t>RE</t>
        </is>
      </c>
      <c r="H2506" s="12" t="n">
        <v>-14033.36</v>
      </c>
      <c r="I2506" s="17" t="n">
        <v>46246</v>
      </c>
      <c r="J2506" s="17" t="n">
        <v>46276</v>
      </c>
      <c r="K2506" t="inlineStr">
        <is>
          <t>Fatura - bruto AL WIND SOLUCOES LTDA 62</t>
        </is>
      </c>
    </row>
    <row r="2507">
      <c r="A2507" t="inlineStr">
        <is>
          <t>101226</t>
        </is>
      </c>
      <c r="B2507" t="inlineStr">
        <is>
          <t>AL WIND SOLUCOES LTDA</t>
        </is>
      </c>
      <c r="C2507" t="n">
        <v>2111000000</v>
      </c>
      <c r="D2507" t="inlineStr">
        <is>
          <t>Other Suppliers</t>
        </is>
      </c>
      <c r="E2507" t="n">
        <v>5015227</v>
      </c>
      <c r="F2507" t="inlineStr">
        <is>
          <t>63</t>
        </is>
      </c>
      <c r="G2507" t="inlineStr">
        <is>
          <t>RS</t>
        </is>
      </c>
      <c r="H2507" s="12" t="n">
        <v>21037.5</v>
      </c>
      <c r="I2507" s="17" t="n">
        <v>46247</v>
      </c>
      <c r="J2507" s="17" t="n">
        <v>46277</v>
      </c>
      <c r="K2507" t="inlineStr">
        <is>
          <t>MR8M</t>
        </is>
      </c>
    </row>
    <row r="2508">
      <c r="A2508" t="inlineStr">
        <is>
          <t>101226</t>
        </is>
      </c>
      <c r="B2508" t="inlineStr">
        <is>
          <t>AL WIND SOLUCOES LTDA</t>
        </is>
      </c>
      <c r="C2508" t="n">
        <v>2111000000</v>
      </c>
      <c r="D2508" t="inlineStr">
        <is>
          <t>Other Suppliers</t>
        </is>
      </c>
      <c r="E2508" t="n">
        <v>5015228</v>
      </c>
      <c r="F2508" t="inlineStr">
        <is>
          <t>63</t>
        </is>
      </c>
      <c r="G2508" t="inlineStr">
        <is>
          <t>RE</t>
        </is>
      </c>
      <c r="H2508" s="12" t="n">
        <v>-21037.5</v>
      </c>
      <c r="I2508" s="17" t="n">
        <v>46247</v>
      </c>
      <c r="J2508" s="17" t="n">
        <v>46277</v>
      </c>
      <c r="K2508" t="inlineStr">
        <is>
          <t>Fatura - bruto AL WIND SOLUCOES LTDA 63</t>
        </is>
      </c>
    </row>
    <row r="2509">
      <c r="A2509" t="inlineStr">
        <is>
          <t>101463</t>
        </is>
      </c>
      <c r="B2509" t="inlineStr">
        <is>
          <t>ZURICH MINAS BRASIL SEGUROS S A</t>
        </is>
      </c>
      <c r="C2509" t="n">
        <v>2111000000</v>
      </c>
      <c r="D2509" t="inlineStr">
        <is>
          <t>Insurance</t>
        </is>
      </c>
      <c r="E2509" t="n">
        <v>5015229</v>
      </c>
      <c r="F2509" t="inlineStr">
        <is>
          <t>0342/26</t>
        </is>
      </c>
      <c r="G2509" t="inlineStr">
        <is>
          <t>RE</t>
        </is>
      </c>
      <c r="H2509" s="12" t="n">
        <v>-3797.77</v>
      </c>
      <c r="I2509" s="17" t="n">
        <v>46248</v>
      </c>
      <c r="J2509" s="17" t="n">
        <v>46278</v>
      </c>
      <c r="K2509" t="inlineStr">
        <is>
          <t>Invoice Payment. SP: 21489</t>
        </is>
      </c>
    </row>
    <row r="2510">
      <c r="A2510" t="inlineStr">
        <is>
          <t>101714</t>
        </is>
      </c>
      <c r="B2510" t="inlineStr">
        <is>
          <t>VCI DO BRASIL IND E COMERC DE COMP</t>
        </is>
      </c>
      <c r="C2510" t="n">
        <v>2111000000</v>
      </c>
      <c r="D2510" t="inlineStr">
        <is>
          <t>Operational Suppliers (Wind Farms)</t>
        </is>
      </c>
      <c r="E2510" t="n">
        <v>5015232</v>
      </c>
      <c r="F2510" t="inlineStr">
        <is>
          <t>497</t>
        </is>
      </c>
      <c r="G2510" t="inlineStr">
        <is>
          <t>RE</t>
        </is>
      </c>
      <c r="H2510" s="12" t="n">
        <v>-110030.47</v>
      </c>
      <c r="I2510" s="17" t="n">
        <v>46247</v>
      </c>
      <c r="J2510" s="17" t="n">
        <v>46270</v>
      </c>
      <c r="K2510" t="inlineStr">
        <is>
          <t>Fatura - bruto VCI DO BRASIL IND E COMERC DE COMP</t>
        </is>
      </c>
    </row>
    <row r="2511">
      <c r="A2511" t="inlineStr">
        <is>
          <t>101944</t>
        </is>
      </c>
      <c r="B2511" t="inlineStr">
        <is>
          <t>TEXAS CONTROLS DO BRASIL LTDA</t>
        </is>
      </c>
      <c r="C2511" t="n">
        <v>2111000000</v>
      </c>
      <c r="D2511" t="inlineStr">
        <is>
          <t>Operational Suppliers (Wind Farms)</t>
        </is>
      </c>
      <c r="E2511" t="n">
        <v>5015233</v>
      </c>
      <c r="F2511" t="inlineStr">
        <is>
          <t>1218</t>
        </is>
      </c>
      <c r="G2511" t="inlineStr">
        <is>
          <t>RE</t>
        </is>
      </c>
      <c r="H2511" s="12" t="n">
        <v>-3733.83</v>
      </c>
      <c r="I2511" s="17" t="n">
        <v>46247</v>
      </c>
      <c r="J2511" s="17" t="n">
        <v>46278</v>
      </c>
      <c r="K2511" t="inlineStr">
        <is>
          <t>Fatura - bruto TEXAS CONTROLS DO BRASIL LTDA 1218</t>
        </is>
      </c>
    </row>
    <row r="2512">
      <c r="A2512" t="inlineStr">
        <is>
          <t>101463</t>
        </is>
      </c>
      <c r="B2512" t="inlineStr">
        <is>
          <t>ZURICH MINAS BRASIL SEGUROS S A</t>
        </is>
      </c>
      <c r="C2512" t="n">
        <v>2111000000</v>
      </c>
      <c r="D2512" t="inlineStr">
        <is>
          <t>Insurance</t>
        </is>
      </c>
      <c r="E2512" t="n">
        <v>5015234</v>
      </c>
      <c r="F2512" t="inlineStr">
        <is>
          <t>0411/26</t>
        </is>
      </c>
      <c r="G2512" t="inlineStr">
        <is>
          <t>RE</t>
        </is>
      </c>
      <c r="H2512" s="12" t="n">
        <v>-46.98</v>
      </c>
      <c r="I2512" s="17" t="n">
        <v>46251</v>
      </c>
      <c r="J2512" s="17" t="n">
        <v>46281</v>
      </c>
      <c r="K2512" t="inlineStr">
        <is>
          <t>Invoice Payment. SP: 21498</t>
        </is>
      </c>
    </row>
    <row r="2513">
      <c r="A2513" t="inlineStr">
        <is>
          <t>100906</t>
        </is>
      </c>
      <c r="B2513" t="inlineStr">
        <is>
          <t>R &amp; G TELECOM LTDA</t>
        </is>
      </c>
      <c r="C2513" t="n">
        <v>2111000000</v>
      </c>
      <c r="D2513" t="inlineStr">
        <is>
          <t>Other Suppliers</t>
        </is>
      </c>
      <c r="E2513" t="n">
        <v>5015235</v>
      </c>
      <c r="F2513" t="inlineStr">
        <is>
          <t>5360</t>
        </is>
      </c>
      <c r="G2513" t="inlineStr">
        <is>
          <t>RE</t>
        </is>
      </c>
      <c r="H2513" s="12" t="n">
        <v>-1970</v>
      </c>
      <c r="I2513" s="17" t="n">
        <v>46247</v>
      </c>
      <c r="J2513" s="17" t="n">
        <v>46280</v>
      </c>
      <c r="K2513" t="inlineStr">
        <is>
          <t>Fatura - bruto R &amp; G TELECOM LTDA 5360</t>
        </is>
      </c>
    </row>
    <row r="2514">
      <c r="A2514" t="inlineStr">
        <is>
          <t>101463</t>
        </is>
      </c>
      <c r="B2514" t="inlineStr">
        <is>
          <t>ZURICH MINAS BRASIL SEGUROS S A</t>
        </is>
      </c>
      <c r="C2514" t="n">
        <v>2111000000</v>
      </c>
      <c r="D2514" t="inlineStr">
        <is>
          <t>Insurance</t>
        </is>
      </c>
      <c r="E2514" t="n">
        <v>5015236</v>
      </c>
      <c r="F2514" t="inlineStr">
        <is>
          <t>0461/26</t>
        </is>
      </c>
      <c r="G2514" t="inlineStr">
        <is>
          <t>RE</t>
        </is>
      </c>
      <c r="H2514" s="12" t="n">
        <v>-467.15</v>
      </c>
      <c r="I2514" s="17" t="n">
        <v>46251</v>
      </c>
      <c r="J2514" s="17" t="n">
        <v>46281</v>
      </c>
      <c r="K2514" t="inlineStr">
        <is>
          <t>Invoice Payment. SP: 21499</t>
        </is>
      </c>
    </row>
    <row r="2515">
      <c r="A2515" t="inlineStr">
        <is>
          <t>101463</t>
        </is>
      </c>
      <c r="B2515" t="inlineStr">
        <is>
          <t>ZURICH MINAS BRASIL SEGUROS S A</t>
        </is>
      </c>
      <c r="C2515" t="n">
        <v>2111000000</v>
      </c>
      <c r="D2515" t="inlineStr">
        <is>
          <t>Insurance</t>
        </is>
      </c>
      <c r="E2515" t="n">
        <v>5015240</v>
      </c>
      <c r="F2515" t="inlineStr">
        <is>
          <t>0459/26</t>
        </is>
      </c>
      <c r="G2515" t="inlineStr">
        <is>
          <t>RE</t>
        </is>
      </c>
      <c r="H2515" s="12" t="n">
        <v>-278.71</v>
      </c>
      <c r="I2515" s="17" t="n">
        <v>46251</v>
      </c>
      <c r="J2515" s="17" t="n">
        <v>46281</v>
      </c>
      <c r="K2515" t="inlineStr">
        <is>
          <t>Invoice Payment. SP: 21501</t>
        </is>
      </c>
    </row>
    <row r="2516">
      <c r="A2516" t="inlineStr">
        <is>
          <t>100883</t>
        </is>
      </c>
      <c r="B2516" t="inlineStr">
        <is>
          <t>QUELMAR TRANSPORTES LTDA</t>
        </is>
      </c>
      <c r="C2516" t="n">
        <v>2111000000</v>
      </c>
      <c r="D2516" t="inlineStr">
        <is>
          <t>Operational Suppliers (Wind Farms)</t>
        </is>
      </c>
      <c r="E2516" t="n">
        <v>5015249</v>
      </c>
      <c r="F2516" t="inlineStr">
        <is>
          <t>6357-2</t>
        </is>
      </c>
      <c r="G2516" t="inlineStr">
        <is>
          <t>RE</t>
        </is>
      </c>
      <c r="H2516" s="12" t="n">
        <v>-1380</v>
      </c>
      <c r="I2516" s="17" t="n">
        <v>46240</v>
      </c>
      <c r="J2516" s="17" t="n">
        <v>46300</v>
      </c>
      <c r="K2516" t="inlineStr">
        <is>
          <t>Fatura - bruto QUELMAR TRANSPORTES LTDA 6357-2</t>
        </is>
      </c>
    </row>
    <row r="2517">
      <c r="A2517" t="inlineStr">
        <is>
          <t>100883</t>
        </is>
      </c>
      <c r="B2517" t="inlineStr">
        <is>
          <t>QUELMAR TRANSPORTES LTDA</t>
        </is>
      </c>
      <c r="C2517" t="n">
        <v>2111000000</v>
      </c>
      <c r="D2517" t="inlineStr">
        <is>
          <t>Operational Suppliers (Wind Farms)</t>
        </is>
      </c>
      <c r="E2517" t="n">
        <v>5015250</v>
      </c>
      <c r="F2517" t="inlineStr">
        <is>
          <t>6380-2</t>
        </is>
      </c>
      <c r="G2517" t="inlineStr">
        <is>
          <t>RE</t>
        </is>
      </c>
      <c r="H2517" s="12" t="n">
        <v>-3970</v>
      </c>
      <c r="I2517" s="17" t="n">
        <v>46245</v>
      </c>
      <c r="J2517" s="17" t="n">
        <v>46300</v>
      </c>
      <c r="K2517" t="inlineStr">
        <is>
          <t>Fatura - bruto QUELMAR TRANSPORTES LTDA 6380-2</t>
        </is>
      </c>
    </row>
    <row r="2518">
      <c r="A2518" t="inlineStr">
        <is>
          <t>100883</t>
        </is>
      </c>
      <c r="B2518" t="inlineStr">
        <is>
          <t>QUELMAR TRANSPORTES LTDA</t>
        </is>
      </c>
      <c r="C2518" t="n">
        <v>2111000000</v>
      </c>
      <c r="D2518" t="inlineStr">
        <is>
          <t>Operational Suppliers (Wind Farms)</t>
        </is>
      </c>
      <c r="E2518" t="n">
        <v>5015251</v>
      </c>
      <c r="F2518" t="inlineStr">
        <is>
          <t>6385-2</t>
        </is>
      </c>
      <c r="G2518" t="inlineStr">
        <is>
          <t>RE</t>
        </is>
      </c>
      <c r="H2518" s="12" t="n">
        <v>-3970</v>
      </c>
      <c r="I2518" s="17" t="n">
        <v>46245</v>
      </c>
      <c r="J2518" s="17" t="n">
        <v>46300</v>
      </c>
      <c r="K2518" t="inlineStr">
        <is>
          <t>Fatura - bruto QUELMAR TRANSPORTES LTDA 6385-2</t>
        </is>
      </c>
    </row>
    <row r="2519">
      <c r="A2519" t="inlineStr">
        <is>
          <t>100883</t>
        </is>
      </c>
      <c r="B2519" t="inlineStr">
        <is>
          <t>QUELMAR TRANSPORTES LTDA</t>
        </is>
      </c>
      <c r="C2519" t="n">
        <v>2111000000</v>
      </c>
      <c r="D2519" t="inlineStr">
        <is>
          <t>Operational Suppliers (Wind Farms)</t>
        </is>
      </c>
      <c r="E2519" t="n">
        <v>5015253</v>
      </c>
      <c r="F2519" t="inlineStr">
        <is>
          <t>6388-2</t>
        </is>
      </c>
      <c r="G2519" t="inlineStr">
        <is>
          <t>RE</t>
        </is>
      </c>
      <c r="H2519" s="12" t="n">
        <v>-4850</v>
      </c>
      <c r="I2519" s="17" t="n">
        <v>46245</v>
      </c>
      <c r="J2519" s="17" t="n">
        <v>46300</v>
      </c>
      <c r="K2519" t="inlineStr">
        <is>
          <t>Fatura - bruto QUELMAR TRANSPORTES LTDA 6388-2</t>
        </is>
      </c>
    </row>
    <row r="2520">
      <c r="A2520" t="inlineStr">
        <is>
          <t>100454</t>
        </is>
      </c>
      <c r="B2520" t="inlineStr">
        <is>
          <t>GEOMATICS GESTAO DE FROTAS LTDA</t>
        </is>
      </c>
      <c r="C2520" t="n">
        <v>2111000000</v>
      </c>
      <c r="D2520" t="inlineStr">
        <is>
          <t>Other Suppliers</t>
        </is>
      </c>
      <c r="E2520" t="n">
        <v>5015254</v>
      </c>
      <c r="F2520" t="inlineStr">
        <is>
          <t>2809</t>
        </is>
      </c>
      <c r="G2520" t="inlineStr">
        <is>
          <t>RE</t>
        </is>
      </c>
      <c r="H2520" s="12" t="n">
        <v>-73.05</v>
      </c>
      <c r="I2520" s="17" t="n">
        <v>46248</v>
      </c>
      <c r="J2520" s="17" t="n">
        <v>46278</v>
      </c>
      <c r="K2520" t="inlineStr">
        <is>
          <t>Fatura - bruto GEOMATICS GESTAO DE FROTAS LTDA 280</t>
        </is>
      </c>
    </row>
    <row r="2521">
      <c r="A2521" t="inlineStr">
        <is>
          <t>100454</t>
        </is>
      </c>
      <c r="B2521" t="inlineStr">
        <is>
          <t>GEOMATICS GESTAO DE FROTAS LTDA</t>
        </is>
      </c>
      <c r="C2521" t="n">
        <v>2111000000</v>
      </c>
      <c r="D2521" t="inlineStr">
        <is>
          <t>Other Suppliers</t>
        </is>
      </c>
      <c r="E2521" t="n">
        <v>5015255</v>
      </c>
      <c r="F2521" t="inlineStr">
        <is>
          <t>2810</t>
        </is>
      </c>
      <c r="G2521" t="inlineStr">
        <is>
          <t>RE</t>
        </is>
      </c>
      <c r="H2521" s="12" t="n">
        <v>-228.48</v>
      </c>
      <c r="I2521" s="17" t="n">
        <v>46248</v>
      </c>
      <c r="J2521" s="17" t="n">
        <v>46278</v>
      </c>
      <c r="K2521" t="inlineStr">
        <is>
          <t>Fatura - bruto GEOMATICS GESTAO DE FROTAS LTDA 281</t>
        </is>
      </c>
    </row>
    <row r="2522">
      <c r="A2522" t="inlineStr">
        <is>
          <t>100454</t>
        </is>
      </c>
      <c r="B2522" t="inlineStr">
        <is>
          <t>GEOMATICS GESTAO DE FROTAS LTDA</t>
        </is>
      </c>
      <c r="C2522" t="n">
        <v>2111000000</v>
      </c>
      <c r="D2522" t="inlineStr">
        <is>
          <t>Other Suppliers</t>
        </is>
      </c>
      <c r="E2522" t="n">
        <v>5015256</v>
      </c>
      <c r="F2522" t="inlineStr">
        <is>
          <t>2811</t>
        </is>
      </c>
      <c r="G2522" t="inlineStr">
        <is>
          <t>RE</t>
        </is>
      </c>
      <c r="H2522" s="12" t="n">
        <v>-76.16</v>
      </c>
      <c r="I2522" s="17" t="n">
        <v>46248</v>
      </c>
      <c r="J2522" s="17" t="n">
        <v>46278</v>
      </c>
      <c r="K2522" t="inlineStr">
        <is>
          <t>Fatura - bruto GEOMATICS GESTAO DE FROTAS LTDA 281</t>
        </is>
      </c>
    </row>
    <row r="2523">
      <c r="A2523" t="inlineStr">
        <is>
          <t>100454</t>
        </is>
      </c>
      <c r="B2523" t="inlineStr">
        <is>
          <t>GEOMATICS GESTAO DE FROTAS LTDA</t>
        </is>
      </c>
      <c r="C2523" t="n">
        <v>2111000000</v>
      </c>
      <c r="D2523" t="inlineStr">
        <is>
          <t>Other Suppliers</t>
        </is>
      </c>
      <c r="E2523" t="n">
        <v>5015257</v>
      </c>
      <c r="F2523" t="inlineStr">
        <is>
          <t>5904</t>
        </is>
      </c>
      <c r="G2523" t="inlineStr">
        <is>
          <t>RE</t>
        </is>
      </c>
      <c r="H2523" s="12" t="n">
        <v>-400.66</v>
      </c>
      <c r="I2523" s="17" t="n">
        <v>46248</v>
      </c>
      <c r="J2523" s="17" t="n">
        <v>46278</v>
      </c>
      <c r="K2523" t="inlineStr">
        <is>
          <t>Fatura - bruto GEOMATICS GESTAO DE FROTAS LTDA 590</t>
        </is>
      </c>
    </row>
    <row r="2524">
      <c r="A2524" t="inlineStr">
        <is>
          <t>100454</t>
        </is>
      </c>
      <c r="B2524" t="inlineStr">
        <is>
          <t>GEOMATICS GESTAO DE FROTAS LTDA</t>
        </is>
      </c>
      <c r="C2524" t="n">
        <v>2111000000</v>
      </c>
      <c r="D2524" t="inlineStr">
        <is>
          <t>Other Suppliers</t>
        </is>
      </c>
      <c r="E2524" t="n">
        <v>5015258</v>
      </c>
      <c r="F2524" t="inlineStr">
        <is>
          <t>2812</t>
        </is>
      </c>
      <c r="G2524" t="inlineStr">
        <is>
          <t>RE</t>
        </is>
      </c>
      <c r="H2524" s="12" t="n">
        <v>-685.4400000000001</v>
      </c>
      <c r="I2524" s="17" t="n">
        <v>46248</v>
      </c>
      <c r="J2524" s="17" t="n">
        <v>46278</v>
      </c>
      <c r="K2524" t="inlineStr">
        <is>
          <t>Fatura - bruto GEOMATICS GESTAO DE FROTAS LTDA 281</t>
        </is>
      </c>
    </row>
    <row r="2525">
      <c r="A2525" t="inlineStr">
        <is>
          <t>100454</t>
        </is>
      </c>
      <c r="B2525" t="inlineStr">
        <is>
          <t>GEOMATICS GESTAO DE FROTAS LTDA</t>
        </is>
      </c>
      <c r="C2525" t="n">
        <v>2111000000</v>
      </c>
      <c r="D2525" t="inlineStr">
        <is>
          <t>Other Suppliers</t>
        </is>
      </c>
      <c r="E2525" t="n">
        <v>5015259</v>
      </c>
      <c r="F2525" t="inlineStr">
        <is>
          <t>2813</t>
        </is>
      </c>
      <c r="G2525" t="inlineStr">
        <is>
          <t>RE</t>
        </is>
      </c>
      <c r="H2525" s="12" t="n">
        <v>-76.16</v>
      </c>
      <c r="I2525" s="17" t="n">
        <v>46248</v>
      </c>
      <c r="J2525" s="17" t="n">
        <v>46278</v>
      </c>
      <c r="K2525" t="inlineStr">
        <is>
          <t>Fatura - bruto GEOMATICS GESTAO DE FROTAS LTDA 281</t>
        </is>
      </c>
    </row>
    <row r="2526">
      <c r="A2526" t="inlineStr">
        <is>
          <t>100454</t>
        </is>
      </c>
      <c r="B2526" t="inlineStr">
        <is>
          <t>GEOMATICS GESTAO DE FROTAS LTDA</t>
        </is>
      </c>
      <c r="C2526" t="n">
        <v>2111000000</v>
      </c>
      <c r="D2526" t="inlineStr">
        <is>
          <t>Other Suppliers</t>
        </is>
      </c>
      <c r="E2526" t="n">
        <v>5015264</v>
      </c>
      <c r="F2526" t="inlineStr">
        <is>
          <t>2814</t>
        </is>
      </c>
      <c r="G2526" t="inlineStr">
        <is>
          <t>RE</t>
        </is>
      </c>
      <c r="H2526" s="12" t="n">
        <v>-456.96</v>
      </c>
      <c r="I2526" s="17" t="n">
        <v>46248</v>
      </c>
      <c r="J2526" s="17" t="n">
        <v>46278</v>
      </c>
      <c r="K2526" t="inlineStr">
        <is>
          <t>Fatura - bruto GEOMATICS GESTAO DE FROTAS LTDA 281</t>
        </is>
      </c>
    </row>
    <row r="2527">
      <c r="A2527" t="inlineStr">
        <is>
          <t>100454</t>
        </is>
      </c>
      <c r="B2527" t="inlineStr">
        <is>
          <t>GEOMATICS GESTAO DE FROTAS LTDA</t>
        </is>
      </c>
      <c r="C2527" t="n">
        <v>2111000000</v>
      </c>
      <c r="D2527" t="inlineStr">
        <is>
          <t>Other Suppliers</t>
        </is>
      </c>
      <c r="E2527" t="n">
        <v>5015266</v>
      </c>
      <c r="F2527" t="inlineStr">
        <is>
          <t>5905</t>
        </is>
      </c>
      <c r="G2527" t="inlineStr">
        <is>
          <t>RE</t>
        </is>
      </c>
      <c r="H2527" s="12" t="n">
        <v>-44.52</v>
      </c>
      <c r="I2527" s="17" t="n">
        <v>46248</v>
      </c>
      <c r="J2527" s="17" t="n">
        <v>46278</v>
      </c>
      <c r="K2527" t="inlineStr">
        <is>
          <t>Fatura - bruto GEOMATICS GESTAO DE FROTAS LTDA 590</t>
        </is>
      </c>
    </row>
    <row r="2528">
      <c r="A2528" t="inlineStr">
        <is>
          <t>100454</t>
        </is>
      </c>
      <c r="B2528" t="inlineStr">
        <is>
          <t>GEOMATICS GESTAO DE FROTAS LTDA</t>
        </is>
      </c>
      <c r="C2528" t="n">
        <v>2111000000</v>
      </c>
      <c r="D2528" t="inlineStr">
        <is>
          <t>Other Suppliers</t>
        </is>
      </c>
      <c r="E2528" t="n">
        <v>5015269</v>
      </c>
      <c r="F2528" t="inlineStr">
        <is>
          <t>2815</t>
        </is>
      </c>
      <c r="G2528" t="inlineStr">
        <is>
          <t>RE</t>
        </is>
      </c>
      <c r="H2528" s="12" t="n">
        <v>-304.64</v>
      </c>
      <c r="I2528" s="17" t="n">
        <v>46248</v>
      </c>
      <c r="J2528" s="17" t="n">
        <v>46278</v>
      </c>
      <c r="K2528" t="inlineStr">
        <is>
          <t>Fatura - bruto GEOMATICS GESTAO DE FROTAS LTDA 281</t>
        </is>
      </c>
    </row>
    <row r="2529">
      <c r="A2529" t="inlineStr">
        <is>
          <t>100454</t>
        </is>
      </c>
      <c r="B2529" t="inlineStr">
        <is>
          <t>GEOMATICS GESTAO DE FROTAS LTDA</t>
        </is>
      </c>
      <c r="C2529" t="n">
        <v>2111000000</v>
      </c>
      <c r="D2529" t="inlineStr">
        <is>
          <t>Other Suppliers</t>
        </is>
      </c>
      <c r="E2529" t="n">
        <v>5015270</v>
      </c>
      <c r="F2529" t="inlineStr">
        <is>
          <t>5906</t>
        </is>
      </c>
      <c r="G2529" t="inlineStr">
        <is>
          <t>RE</t>
        </is>
      </c>
      <c r="H2529" s="12" t="n">
        <v>-267.11</v>
      </c>
      <c r="I2529" s="17" t="n">
        <v>46248</v>
      </c>
      <c r="J2529" s="17" t="n">
        <v>46278</v>
      </c>
      <c r="K2529" t="inlineStr">
        <is>
          <t>Fatura - bruto GEOMATICS GESTAO DE FROTAS LTDA 590</t>
        </is>
      </c>
    </row>
    <row r="2530">
      <c r="A2530" t="inlineStr">
        <is>
          <t>100454</t>
        </is>
      </c>
      <c r="B2530" t="inlineStr">
        <is>
          <t>GEOMATICS GESTAO DE FROTAS LTDA</t>
        </is>
      </c>
      <c r="C2530" t="n">
        <v>2111000000</v>
      </c>
      <c r="D2530" t="inlineStr">
        <is>
          <t>Other Suppliers</t>
        </is>
      </c>
      <c r="E2530" t="n">
        <v>5015271</v>
      </c>
      <c r="F2530" t="inlineStr">
        <is>
          <t>2816</t>
        </is>
      </c>
      <c r="G2530" t="inlineStr">
        <is>
          <t>RE</t>
        </is>
      </c>
      <c r="H2530" s="12" t="n">
        <v>-533.12</v>
      </c>
      <c r="I2530" s="17" t="n">
        <v>46248</v>
      </c>
      <c r="J2530" s="17" t="n">
        <v>46278</v>
      </c>
      <c r="K2530" t="inlineStr">
        <is>
          <t>Fatura - bruto GEOMATICS GESTAO DE FROTAS LTDA 281</t>
        </is>
      </c>
    </row>
    <row r="2531">
      <c r="A2531" t="inlineStr">
        <is>
          <t>100454</t>
        </is>
      </c>
      <c r="B2531" t="inlineStr">
        <is>
          <t>GEOMATICS GESTAO DE FROTAS LTDA</t>
        </is>
      </c>
      <c r="C2531" t="n">
        <v>2111000000</v>
      </c>
      <c r="D2531" t="inlineStr">
        <is>
          <t>Other Suppliers</t>
        </is>
      </c>
      <c r="E2531" t="n">
        <v>5015272</v>
      </c>
      <c r="F2531" t="inlineStr">
        <is>
          <t>2817</t>
        </is>
      </c>
      <c r="G2531" t="inlineStr">
        <is>
          <t>RE</t>
        </is>
      </c>
      <c r="H2531" s="12" t="n">
        <v>-228.48</v>
      </c>
      <c r="I2531" s="17" t="n">
        <v>46248</v>
      </c>
      <c r="J2531" s="17" t="n">
        <v>46278</v>
      </c>
      <c r="K2531" t="inlineStr">
        <is>
          <t>Fatura - bruto GEOMATICS GESTAO DE FROTAS LTDA 281</t>
        </is>
      </c>
    </row>
    <row r="2532">
      <c r="A2532" t="inlineStr">
        <is>
          <t>100454</t>
        </is>
      </c>
      <c r="B2532" t="inlineStr">
        <is>
          <t>GEOMATICS GESTAO DE FROTAS LTDA</t>
        </is>
      </c>
      <c r="C2532" t="n">
        <v>2111000000</v>
      </c>
      <c r="D2532" t="inlineStr">
        <is>
          <t>Other Suppliers</t>
        </is>
      </c>
      <c r="E2532" t="n">
        <v>5015273</v>
      </c>
      <c r="F2532" t="inlineStr">
        <is>
          <t>5907</t>
        </is>
      </c>
      <c r="G2532" t="inlineStr">
        <is>
          <t>RE</t>
        </is>
      </c>
      <c r="H2532" s="12" t="n">
        <v>-133.56</v>
      </c>
      <c r="I2532" s="17" t="n">
        <v>46248</v>
      </c>
      <c r="J2532" s="17" t="n">
        <v>46278</v>
      </c>
      <c r="K2532" t="inlineStr">
        <is>
          <t>Fatura - bruto GEOMATICS GESTAO DE FROTAS LTDA 590</t>
        </is>
      </c>
    </row>
    <row r="2533">
      <c r="A2533" t="inlineStr">
        <is>
          <t>100454</t>
        </is>
      </c>
      <c r="B2533" t="inlineStr">
        <is>
          <t>GEOMATICS GESTAO DE FROTAS LTDA</t>
        </is>
      </c>
      <c r="C2533" t="n">
        <v>2111000000</v>
      </c>
      <c r="D2533" t="inlineStr">
        <is>
          <t>Other Suppliers</t>
        </is>
      </c>
      <c r="E2533" t="n">
        <v>5015274</v>
      </c>
      <c r="F2533" t="inlineStr">
        <is>
          <t>5909</t>
        </is>
      </c>
      <c r="G2533" t="inlineStr">
        <is>
          <t>RE</t>
        </is>
      </c>
      <c r="H2533" s="12" t="n">
        <v>-178.07</v>
      </c>
      <c r="I2533" s="17" t="n">
        <v>46248</v>
      </c>
      <c r="J2533" s="17" t="n">
        <v>46278</v>
      </c>
      <c r="K2533" t="inlineStr">
        <is>
          <t>Fatura - bruto GEOMATICS GESTAO DE FROTAS LTDA 590</t>
        </is>
      </c>
    </row>
    <row r="2534">
      <c r="A2534" t="inlineStr">
        <is>
          <t>100454</t>
        </is>
      </c>
      <c r="B2534" t="inlineStr">
        <is>
          <t>GEOMATICS GESTAO DE FROTAS LTDA</t>
        </is>
      </c>
      <c r="C2534" t="n">
        <v>2111000000</v>
      </c>
      <c r="D2534" t="inlineStr">
        <is>
          <t>Other Suppliers</t>
        </is>
      </c>
      <c r="E2534" t="n">
        <v>5015275</v>
      </c>
      <c r="F2534" t="inlineStr">
        <is>
          <t>5908</t>
        </is>
      </c>
      <c r="G2534" t="inlineStr">
        <is>
          <t>RE</t>
        </is>
      </c>
      <c r="H2534" s="12" t="n">
        <v>-311.62</v>
      </c>
      <c r="I2534" s="17" t="n">
        <v>46248</v>
      </c>
      <c r="J2534" s="17" t="n">
        <v>46278</v>
      </c>
      <c r="K2534" t="inlineStr">
        <is>
          <t>Fatura - bruto GEOMATICS GESTAO DE FROTAS LTDA 590</t>
        </is>
      </c>
    </row>
    <row r="2535">
      <c r="A2535" t="inlineStr">
        <is>
          <t>100454</t>
        </is>
      </c>
      <c r="B2535" t="inlineStr">
        <is>
          <t>GEOMATICS GESTAO DE FROTAS LTDA</t>
        </is>
      </c>
      <c r="C2535" t="n">
        <v>2111000000</v>
      </c>
      <c r="D2535" t="inlineStr">
        <is>
          <t>Other Suppliers</t>
        </is>
      </c>
      <c r="E2535" t="n">
        <v>5015276</v>
      </c>
      <c r="F2535" t="inlineStr">
        <is>
          <t>2818</t>
        </is>
      </c>
      <c r="G2535" t="inlineStr">
        <is>
          <t>RE</t>
        </is>
      </c>
      <c r="H2535" s="12" t="n">
        <v>-609.28</v>
      </c>
      <c r="I2535" s="17" t="n">
        <v>46248</v>
      </c>
      <c r="J2535" s="17" t="n">
        <v>46278</v>
      </c>
      <c r="K2535" t="inlineStr">
        <is>
          <t>Fatura - bruto GEOMATICS GESTAO DE FROTAS LTDA 281</t>
        </is>
      </c>
    </row>
    <row r="2536">
      <c r="A2536" t="inlineStr">
        <is>
          <t>100454</t>
        </is>
      </c>
      <c r="B2536" t="inlineStr">
        <is>
          <t>GEOMATICS GESTAO DE FROTAS LTDA</t>
        </is>
      </c>
      <c r="C2536" t="n">
        <v>2111000000</v>
      </c>
      <c r="D2536" t="inlineStr">
        <is>
          <t>Other Suppliers</t>
        </is>
      </c>
      <c r="E2536" t="n">
        <v>5015277</v>
      </c>
      <c r="F2536" t="inlineStr">
        <is>
          <t>5910</t>
        </is>
      </c>
      <c r="G2536" t="inlineStr">
        <is>
          <t>RE</t>
        </is>
      </c>
      <c r="H2536" s="12" t="n">
        <v>-356.14</v>
      </c>
      <c r="I2536" s="17" t="n">
        <v>46248</v>
      </c>
      <c r="J2536" s="17" t="n">
        <v>46278</v>
      </c>
      <c r="K2536" t="inlineStr">
        <is>
          <t>Fatura - bruto GEOMATICS GESTAO DE FROTAS LTDA 591</t>
        </is>
      </c>
    </row>
    <row r="2537">
      <c r="A2537" t="inlineStr">
        <is>
          <t>100454</t>
        </is>
      </c>
      <c r="B2537" t="inlineStr">
        <is>
          <t>GEOMATICS GESTAO DE FROTAS LTDA</t>
        </is>
      </c>
      <c r="C2537" t="n">
        <v>2111000000</v>
      </c>
      <c r="D2537" t="inlineStr">
        <is>
          <t>Other Suppliers</t>
        </is>
      </c>
      <c r="E2537" t="n">
        <v>5015278</v>
      </c>
      <c r="F2537" t="inlineStr">
        <is>
          <t>2819</t>
        </is>
      </c>
      <c r="G2537" t="inlineStr">
        <is>
          <t>RE</t>
        </is>
      </c>
      <c r="H2537" s="12" t="n">
        <v>-1599.36</v>
      </c>
      <c r="I2537" s="17" t="n">
        <v>46248</v>
      </c>
      <c r="J2537" s="17" t="n">
        <v>46278</v>
      </c>
      <c r="K2537" t="inlineStr">
        <is>
          <t>Fatura - bruto GEOMATICS GESTAO DE FROTAS LTDA 281</t>
        </is>
      </c>
    </row>
    <row r="2538">
      <c r="A2538" t="inlineStr">
        <is>
          <t>100454</t>
        </is>
      </c>
      <c r="B2538" t="inlineStr">
        <is>
          <t>GEOMATICS GESTAO DE FROTAS LTDA</t>
        </is>
      </c>
      <c r="C2538" t="n">
        <v>2111000000</v>
      </c>
      <c r="D2538" t="inlineStr">
        <is>
          <t>Other Suppliers</t>
        </is>
      </c>
      <c r="E2538" t="n">
        <v>5015279</v>
      </c>
      <c r="F2538" t="inlineStr">
        <is>
          <t>2820</t>
        </is>
      </c>
      <c r="G2538" t="inlineStr">
        <is>
          <t>RE</t>
        </is>
      </c>
      <c r="H2538" s="12" t="n">
        <v>-456.96</v>
      </c>
      <c r="I2538" s="17" t="n">
        <v>46248</v>
      </c>
      <c r="J2538" s="17" t="n">
        <v>46278</v>
      </c>
      <c r="K2538" t="inlineStr">
        <is>
          <t>Fatura - bruto GEOMATICS GESTAO DE FROTAS LTDA 282</t>
        </is>
      </c>
    </row>
    <row r="2539">
      <c r="A2539" t="inlineStr">
        <is>
          <t>101529</t>
        </is>
      </c>
      <c r="B2539" t="inlineStr">
        <is>
          <t>COOP DE RADIO TAXI E TRANSP EXEC DE SIMOES FILHO - COOTRANSPEX</t>
        </is>
      </c>
      <c r="C2539" t="n">
        <v>2111000000</v>
      </c>
      <c r="D2539" t="inlineStr">
        <is>
          <t>Other Suppliers</t>
        </is>
      </c>
      <c r="E2539" t="n">
        <v>5015281</v>
      </c>
      <c r="F2539" t="inlineStr">
        <is>
          <t>282-3</t>
        </is>
      </c>
      <c r="G2539" t="inlineStr">
        <is>
          <t>RE</t>
        </is>
      </c>
      <c r="H2539" s="12" t="n">
        <v>-1359.7</v>
      </c>
      <c r="I2539" s="17" t="n">
        <v>46246</v>
      </c>
      <c r="J2539" s="17" t="n">
        <v>46277</v>
      </c>
      <c r="K2539" t="inlineStr">
        <is>
          <t>Fatura - bruto COOP DE RADIO TAXI E TRANSP EXEC DE</t>
        </is>
      </c>
    </row>
    <row r="2540">
      <c r="A2540" t="inlineStr">
        <is>
          <t>101848</t>
        </is>
      </c>
      <c r="B2540" t="inlineStr">
        <is>
          <t>KLUBER LUBRICATION LUBRIF ESPECIAIS</t>
        </is>
      </c>
      <c r="C2540" t="n">
        <v>2111000000</v>
      </c>
      <c r="D2540" t="inlineStr">
        <is>
          <t>Other Suppliers</t>
        </is>
      </c>
      <c r="E2540" t="n">
        <v>5015291</v>
      </c>
      <c r="F2540" t="inlineStr">
        <is>
          <t>000772151-1</t>
        </is>
      </c>
      <c r="G2540" t="inlineStr">
        <is>
          <t>RE</t>
        </is>
      </c>
      <c r="H2540" s="12" t="n">
        <v>-58649.95</v>
      </c>
      <c r="I2540" s="17" t="n">
        <v>46220</v>
      </c>
      <c r="J2540" s="17" t="n">
        <v>46270</v>
      </c>
      <c r="K2540" t="inlineStr">
        <is>
          <t>Fatura - bruto KLUBER LUBRICATION LUBRIF ESPECIAIS</t>
        </is>
      </c>
    </row>
    <row r="2541">
      <c r="A2541" t="inlineStr">
        <is>
          <t>111041</t>
        </is>
      </c>
      <c r="B2541" t="inlineStr">
        <is>
          <t>PROXIMA ENGENHARIA E CONSULTORIA LT</t>
        </is>
      </c>
      <c r="C2541" t="n">
        <v>2111000000</v>
      </c>
      <c r="D2541" t="inlineStr">
        <is>
          <t>Operational Suppliers (Wind Farms)</t>
        </is>
      </c>
      <c r="E2541" t="n">
        <v>5015294</v>
      </c>
      <c r="F2541" t="inlineStr">
        <is>
          <t>7</t>
        </is>
      </c>
      <c r="G2541" t="inlineStr">
        <is>
          <t>RE</t>
        </is>
      </c>
      <c r="H2541" s="12" t="n">
        <v>-24000</v>
      </c>
      <c r="I2541" s="17" t="n">
        <v>46247</v>
      </c>
      <c r="J2541" s="17" t="n">
        <v>46262</v>
      </c>
      <c r="K2541" t="inlineStr">
        <is>
          <t>Pgto devolv, aguardando dados banc</t>
        </is>
      </c>
    </row>
    <row r="2542">
      <c r="A2542" t="inlineStr">
        <is>
          <t>101944</t>
        </is>
      </c>
      <c r="B2542" t="inlineStr">
        <is>
          <t>TEXAS CONTROLS DO BRASIL LTDA</t>
        </is>
      </c>
      <c r="C2542" t="n">
        <v>2111000000</v>
      </c>
      <c r="D2542" t="inlineStr">
        <is>
          <t>Operational Suppliers (Wind Farms)</t>
        </is>
      </c>
      <c r="E2542" t="n">
        <v>5015298</v>
      </c>
      <c r="F2542" t="inlineStr">
        <is>
          <t>1192</t>
        </is>
      </c>
      <c r="G2542" t="inlineStr">
        <is>
          <t>RE</t>
        </is>
      </c>
      <c r="H2542" s="12" t="n">
        <v>-24522.37</v>
      </c>
      <c r="I2542" s="17" t="n">
        <v>46245</v>
      </c>
      <c r="J2542" s="17" t="n">
        <v>46276</v>
      </c>
      <c r="K2542" t="inlineStr">
        <is>
          <t>Fatura - bruto TEXAS CONTROLS DO BRASIL LTDA 1192</t>
        </is>
      </c>
    </row>
    <row r="2543">
      <c r="A2543" t="inlineStr">
        <is>
          <t>101944</t>
        </is>
      </c>
      <c r="B2543" t="inlineStr">
        <is>
          <t>TEXAS CONTROLS DO BRASIL LTDA</t>
        </is>
      </c>
      <c r="C2543" t="n">
        <v>2111000000</v>
      </c>
      <c r="D2543" t="inlineStr">
        <is>
          <t>Operational Suppliers (Wind Farms)</t>
        </is>
      </c>
      <c r="E2543" t="n">
        <v>5015299</v>
      </c>
      <c r="F2543" t="inlineStr">
        <is>
          <t>1191</t>
        </is>
      </c>
      <c r="G2543" t="inlineStr">
        <is>
          <t>RE</t>
        </is>
      </c>
      <c r="H2543" s="12" t="n">
        <v>-14950</v>
      </c>
      <c r="I2543" s="17" t="n">
        <v>46245</v>
      </c>
      <c r="J2543" s="17" t="n">
        <v>46276</v>
      </c>
      <c r="K2543" t="inlineStr">
        <is>
          <t>Fatura - bruto TEXAS CONTROLS DO BRASIL LTDA 1191</t>
        </is>
      </c>
    </row>
    <row r="2544">
      <c r="A2544" t="inlineStr">
        <is>
          <t>100454</t>
        </is>
      </c>
      <c r="B2544" t="inlineStr">
        <is>
          <t>GEOMATICS GESTAO DE FROTAS LTDA</t>
        </is>
      </c>
      <c r="C2544" t="n">
        <v>2111000000</v>
      </c>
      <c r="D2544" t="inlineStr">
        <is>
          <t>Other Suppliers</t>
        </is>
      </c>
      <c r="E2544" t="n">
        <v>5015311</v>
      </c>
      <c r="F2544" t="inlineStr">
        <is>
          <t>5912</t>
        </is>
      </c>
      <c r="G2544" t="inlineStr">
        <is>
          <t>RE</t>
        </is>
      </c>
      <c r="H2544" s="12" t="n">
        <v>-267.11</v>
      </c>
      <c r="I2544" s="17" t="n">
        <v>46248</v>
      </c>
      <c r="J2544" s="17" t="n">
        <v>46278</v>
      </c>
      <c r="K2544" t="inlineStr">
        <is>
          <t>Fatura - bruto GEOMATICS GESTAO DE FROTAS LTDA 591</t>
        </is>
      </c>
    </row>
    <row r="2545">
      <c r="A2545" t="inlineStr">
        <is>
          <t>100454</t>
        </is>
      </c>
      <c r="B2545" t="inlineStr">
        <is>
          <t>GEOMATICS GESTAO DE FROTAS LTDA</t>
        </is>
      </c>
      <c r="C2545" t="n">
        <v>2111000000</v>
      </c>
      <c r="D2545" t="inlineStr">
        <is>
          <t>Other Suppliers</t>
        </is>
      </c>
      <c r="E2545" t="n">
        <v>5015313</v>
      </c>
      <c r="F2545" t="inlineStr">
        <is>
          <t>5911</t>
        </is>
      </c>
      <c r="G2545" t="inlineStr">
        <is>
          <t>RE</t>
        </is>
      </c>
      <c r="H2545" s="12" t="n">
        <v>-934.86</v>
      </c>
      <c r="I2545" s="17" t="n">
        <v>46248</v>
      </c>
      <c r="J2545" s="17" t="n">
        <v>46278</v>
      </c>
      <c r="K2545" t="inlineStr">
        <is>
          <t>Fatura - bruto GEOMATICS GESTAO DE FROTAS LTDA 591</t>
        </is>
      </c>
    </row>
    <row r="2546">
      <c r="A2546" t="inlineStr">
        <is>
          <t>100454</t>
        </is>
      </c>
      <c r="B2546" t="inlineStr">
        <is>
          <t>GEOMATICS GESTAO DE FROTAS LTDA</t>
        </is>
      </c>
      <c r="C2546" t="n">
        <v>2111000000</v>
      </c>
      <c r="D2546" t="inlineStr">
        <is>
          <t>Other Suppliers</t>
        </is>
      </c>
      <c r="E2546" t="n">
        <v>5015314</v>
      </c>
      <c r="F2546" t="inlineStr">
        <is>
          <t>2821</t>
        </is>
      </c>
      <c r="G2546" t="inlineStr">
        <is>
          <t>RE</t>
        </is>
      </c>
      <c r="H2546" s="12" t="n">
        <v>-609.28</v>
      </c>
      <c r="I2546" s="17" t="n">
        <v>46248</v>
      </c>
      <c r="J2546" s="17" t="n">
        <v>46278</v>
      </c>
      <c r="K2546" t="inlineStr">
        <is>
          <t>Fatura - bruto GEOMATICS GESTAO DE FROTAS LTDA 282</t>
        </is>
      </c>
    </row>
    <row r="2547">
      <c r="A2547" t="inlineStr">
        <is>
          <t>100454</t>
        </is>
      </c>
      <c r="B2547" t="inlineStr">
        <is>
          <t>GEOMATICS GESTAO DE FROTAS LTDA</t>
        </is>
      </c>
      <c r="C2547" t="n">
        <v>2111000000</v>
      </c>
      <c r="D2547" t="inlineStr">
        <is>
          <t>Other Suppliers</t>
        </is>
      </c>
      <c r="E2547" t="n">
        <v>5015315</v>
      </c>
      <c r="F2547" t="inlineStr">
        <is>
          <t>2822</t>
        </is>
      </c>
      <c r="G2547" t="inlineStr">
        <is>
          <t>RE</t>
        </is>
      </c>
      <c r="H2547" s="12" t="n">
        <v>-228.48</v>
      </c>
      <c r="I2547" s="17" t="n">
        <v>46248</v>
      </c>
      <c r="J2547" s="17" t="n">
        <v>46278</v>
      </c>
      <c r="K2547" t="inlineStr">
        <is>
          <t>Fatura - bruto GEOMATICS GESTAO DE FROTAS LTDA 282</t>
        </is>
      </c>
    </row>
    <row r="2548">
      <c r="A2548" t="inlineStr">
        <is>
          <t>100454</t>
        </is>
      </c>
      <c r="B2548" t="inlineStr">
        <is>
          <t>GEOMATICS GESTAO DE FROTAS LTDA</t>
        </is>
      </c>
      <c r="C2548" t="n">
        <v>2111000000</v>
      </c>
      <c r="D2548" t="inlineStr">
        <is>
          <t>Other Suppliers</t>
        </is>
      </c>
      <c r="E2548" t="n">
        <v>5015316</v>
      </c>
      <c r="F2548" t="inlineStr">
        <is>
          <t>5914</t>
        </is>
      </c>
      <c r="G2548" t="inlineStr">
        <is>
          <t>RE</t>
        </is>
      </c>
      <c r="H2548" s="12" t="n">
        <v>-133.56</v>
      </c>
      <c r="I2548" s="17" t="n">
        <v>46248</v>
      </c>
      <c r="J2548" s="17" t="n">
        <v>46278</v>
      </c>
      <c r="K2548" t="inlineStr">
        <is>
          <t>Fatura - bruto GEOMATICS GESTAO DE FROTAS LTDA 591</t>
        </is>
      </c>
    </row>
    <row r="2549">
      <c r="A2549" t="inlineStr">
        <is>
          <t>100454</t>
        </is>
      </c>
      <c r="B2549" t="inlineStr">
        <is>
          <t>GEOMATICS GESTAO DE FROTAS LTDA</t>
        </is>
      </c>
      <c r="C2549" t="n">
        <v>2111000000</v>
      </c>
      <c r="D2549" t="inlineStr">
        <is>
          <t>Other Suppliers</t>
        </is>
      </c>
      <c r="E2549" t="n">
        <v>5015317</v>
      </c>
      <c r="F2549" t="inlineStr">
        <is>
          <t>2823</t>
        </is>
      </c>
      <c r="G2549" t="inlineStr">
        <is>
          <t>RE</t>
        </is>
      </c>
      <c r="H2549" s="12" t="n">
        <v>-533.12</v>
      </c>
      <c r="I2549" s="17" t="n">
        <v>46248</v>
      </c>
      <c r="J2549" s="17" t="n">
        <v>46278</v>
      </c>
      <c r="K2549" t="inlineStr">
        <is>
          <t>Fatura - bruto GEOMATICS GESTAO DE FROTAS LTDA 282</t>
        </is>
      </c>
    </row>
    <row r="2550">
      <c r="A2550" t="inlineStr">
        <is>
          <t>100454</t>
        </is>
      </c>
      <c r="B2550" t="inlineStr">
        <is>
          <t>GEOMATICS GESTAO DE FROTAS LTDA</t>
        </is>
      </c>
      <c r="C2550" t="n">
        <v>2111000000</v>
      </c>
      <c r="D2550" t="inlineStr">
        <is>
          <t>Other Suppliers</t>
        </is>
      </c>
      <c r="E2550" t="n">
        <v>5015320</v>
      </c>
      <c r="F2550" t="inlineStr">
        <is>
          <t>5915</t>
        </is>
      </c>
      <c r="G2550" t="inlineStr">
        <is>
          <t>RE</t>
        </is>
      </c>
      <c r="H2550" s="12" t="n">
        <v>-311.62</v>
      </c>
      <c r="I2550" s="17" t="n">
        <v>46248</v>
      </c>
      <c r="J2550" s="17" t="n">
        <v>46278</v>
      </c>
      <c r="K2550" t="inlineStr">
        <is>
          <t>Fatura - bruto GEOMATICS GESTAO DE FROTAS LTDA 591</t>
        </is>
      </c>
    </row>
    <row r="2551">
      <c r="A2551" t="inlineStr">
        <is>
          <t>100454</t>
        </is>
      </c>
      <c r="B2551" t="inlineStr">
        <is>
          <t>GEOMATICS GESTAO DE FROTAS LTDA</t>
        </is>
      </c>
      <c r="C2551" t="n">
        <v>2111000000</v>
      </c>
      <c r="D2551" t="inlineStr">
        <is>
          <t>Other Suppliers</t>
        </is>
      </c>
      <c r="E2551" t="n">
        <v>5015322</v>
      </c>
      <c r="F2551" t="inlineStr">
        <is>
          <t>2824</t>
        </is>
      </c>
      <c r="G2551" t="inlineStr">
        <is>
          <t>RE</t>
        </is>
      </c>
      <c r="H2551" s="12" t="n">
        <v>-304.64</v>
      </c>
      <c r="I2551" s="17" t="n">
        <v>46248</v>
      </c>
      <c r="J2551" s="17" t="n">
        <v>46278</v>
      </c>
      <c r="K2551" t="inlineStr">
        <is>
          <t>Fatura - bruto GEOMATICS GESTAO DE FROTAS LTDA 282</t>
        </is>
      </c>
    </row>
    <row r="2552">
      <c r="A2552" t="inlineStr">
        <is>
          <t>100454</t>
        </is>
      </c>
      <c r="B2552" t="inlineStr">
        <is>
          <t>GEOMATICS GESTAO DE FROTAS LTDA</t>
        </is>
      </c>
      <c r="C2552" t="n">
        <v>2111000000</v>
      </c>
      <c r="D2552" t="inlineStr">
        <is>
          <t>Other Suppliers</t>
        </is>
      </c>
      <c r="E2552" t="n">
        <v>5015324</v>
      </c>
      <c r="F2552" t="inlineStr">
        <is>
          <t>2825</t>
        </is>
      </c>
      <c r="G2552" t="inlineStr">
        <is>
          <t>RE</t>
        </is>
      </c>
      <c r="H2552" s="12" t="n">
        <v>-228.48</v>
      </c>
      <c r="I2552" s="17" t="n">
        <v>46248</v>
      </c>
      <c r="J2552" s="17" t="n">
        <v>46278</v>
      </c>
      <c r="K2552" t="inlineStr">
        <is>
          <t>Fatura - bruto GEOMATICS GESTAO DE FROTAS LTDA 282</t>
        </is>
      </c>
    </row>
    <row r="2553">
      <c r="A2553" t="inlineStr">
        <is>
          <t>100454</t>
        </is>
      </c>
      <c r="B2553" t="inlineStr">
        <is>
          <t>GEOMATICS GESTAO DE FROTAS LTDA</t>
        </is>
      </c>
      <c r="C2553" t="n">
        <v>2111000000</v>
      </c>
      <c r="D2553" t="inlineStr">
        <is>
          <t>Other Suppliers</t>
        </is>
      </c>
      <c r="E2553" t="n">
        <v>5015325</v>
      </c>
      <c r="F2553" t="inlineStr">
        <is>
          <t>2826</t>
        </is>
      </c>
      <c r="G2553" t="inlineStr">
        <is>
          <t>RE</t>
        </is>
      </c>
      <c r="H2553" s="12" t="n">
        <v>-837.76</v>
      </c>
      <c r="I2553" s="17" t="n">
        <v>46248</v>
      </c>
      <c r="J2553" s="17" t="n">
        <v>46278</v>
      </c>
      <c r="K2553" t="inlineStr">
        <is>
          <t>Fatura - bruto GEOMATICS GESTAO DE FROTAS LTDA 282</t>
        </is>
      </c>
    </row>
    <row r="2554">
      <c r="A2554" t="inlineStr">
        <is>
          <t>101463</t>
        </is>
      </c>
      <c r="B2554" t="inlineStr">
        <is>
          <t>ZURICH MINAS BRASIL SEGUROS S A</t>
        </is>
      </c>
      <c r="C2554" t="n">
        <v>2111000000</v>
      </c>
      <c r="D2554" t="inlineStr">
        <is>
          <t>Insurance</t>
        </is>
      </c>
      <c r="E2554" t="n">
        <v>5015326</v>
      </c>
      <c r="F2554" t="inlineStr">
        <is>
          <t>0225/26</t>
        </is>
      </c>
      <c r="G2554" t="inlineStr">
        <is>
          <t>RE</t>
        </is>
      </c>
      <c r="H2554" s="12" t="n">
        <v>-214.14</v>
      </c>
      <c r="I2554" s="17" t="n">
        <v>46252</v>
      </c>
      <c r="J2554" s="17" t="n">
        <v>46282</v>
      </c>
      <c r="K2554" t="inlineStr">
        <is>
          <t>Invoice Payment. SP: 21578</t>
        </is>
      </c>
    </row>
    <row r="2555">
      <c r="A2555" t="inlineStr">
        <is>
          <t>100454</t>
        </is>
      </c>
      <c r="B2555" t="inlineStr">
        <is>
          <t>GEOMATICS GESTAO DE FROTAS LTDA</t>
        </is>
      </c>
      <c r="C2555" t="n">
        <v>2111000000</v>
      </c>
      <c r="D2555" t="inlineStr">
        <is>
          <t>Other Suppliers</t>
        </is>
      </c>
      <c r="E2555" t="n">
        <v>5015327</v>
      </c>
      <c r="F2555" t="inlineStr">
        <is>
          <t>5916</t>
        </is>
      </c>
      <c r="G2555" t="inlineStr">
        <is>
          <t>RE</t>
        </is>
      </c>
      <c r="H2555" s="12" t="n">
        <v>-178.07</v>
      </c>
      <c r="I2555" s="17" t="n">
        <v>46248</v>
      </c>
      <c r="J2555" s="17" t="n">
        <v>46278</v>
      </c>
      <c r="K2555" t="inlineStr">
        <is>
          <t>Fatura - bruto GEOMATICS GESTAO DE FROTAS LTDA 591</t>
        </is>
      </c>
    </row>
    <row r="2556">
      <c r="A2556" t="inlineStr">
        <is>
          <t>100454</t>
        </is>
      </c>
      <c r="B2556" t="inlineStr">
        <is>
          <t>GEOMATICS GESTAO DE FROTAS LTDA</t>
        </is>
      </c>
      <c r="C2556" t="n">
        <v>2111000000</v>
      </c>
      <c r="D2556" t="inlineStr">
        <is>
          <t>Other Suppliers</t>
        </is>
      </c>
      <c r="E2556" t="n">
        <v>5015329</v>
      </c>
      <c r="F2556" t="inlineStr">
        <is>
          <t>5917</t>
        </is>
      </c>
      <c r="G2556" t="inlineStr">
        <is>
          <t>RE</t>
        </is>
      </c>
      <c r="H2556" s="12" t="n">
        <v>-489.69</v>
      </c>
      <c r="I2556" s="17" t="n">
        <v>46248</v>
      </c>
      <c r="J2556" s="17" t="n">
        <v>46278</v>
      </c>
      <c r="K2556" t="inlineStr">
        <is>
          <t>Fatura - bruto GEOMATICS GESTAO DE FROTAS LTDA 591</t>
        </is>
      </c>
    </row>
    <row r="2557">
      <c r="A2557" t="inlineStr">
        <is>
          <t>100454</t>
        </is>
      </c>
      <c r="B2557" t="inlineStr">
        <is>
          <t>GEOMATICS GESTAO DE FROTAS LTDA</t>
        </is>
      </c>
      <c r="C2557" t="n">
        <v>2111000000</v>
      </c>
      <c r="D2557" t="inlineStr">
        <is>
          <t>Other Suppliers</t>
        </is>
      </c>
      <c r="E2557" t="n">
        <v>5015331</v>
      </c>
      <c r="F2557" t="inlineStr">
        <is>
          <t>2827</t>
        </is>
      </c>
      <c r="G2557" t="inlineStr">
        <is>
          <t>RE</t>
        </is>
      </c>
      <c r="H2557" s="12" t="n">
        <v>-152.32</v>
      </c>
      <c r="I2557" s="17" t="n">
        <v>46248</v>
      </c>
      <c r="J2557" s="17" t="n">
        <v>46278</v>
      </c>
      <c r="K2557" t="inlineStr">
        <is>
          <t>Fatura - bruto GEOMATICS GESTAO DE FROTAS LTDA 282</t>
        </is>
      </c>
    </row>
    <row r="2558">
      <c r="A2558" t="inlineStr">
        <is>
          <t>101463</t>
        </is>
      </c>
      <c r="B2558" t="inlineStr">
        <is>
          <t>ZURICH MINAS BRASIL SEGUROS S A</t>
        </is>
      </c>
      <c r="C2558" t="n">
        <v>2111000000</v>
      </c>
      <c r="D2558" t="inlineStr">
        <is>
          <t>Insurance</t>
        </is>
      </c>
      <c r="E2558" t="n">
        <v>5015342</v>
      </c>
      <c r="F2558" t="inlineStr">
        <is>
          <t>0236/26</t>
        </is>
      </c>
      <c r="G2558" t="inlineStr">
        <is>
          <t>RE</t>
        </is>
      </c>
      <c r="H2558" s="12" t="n">
        <v>-1301.51</v>
      </c>
      <c r="I2558" s="17" t="n">
        <v>46252</v>
      </c>
      <c r="J2558" s="17" t="n">
        <v>46282</v>
      </c>
      <c r="K2558" t="inlineStr">
        <is>
          <t>Invoice Payment. SP: 21582</t>
        </is>
      </c>
    </row>
    <row r="2559">
      <c r="A2559" t="inlineStr">
        <is>
          <t>101463</t>
        </is>
      </c>
      <c r="B2559" t="inlineStr">
        <is>
          <t>ZURICH MINAS BRASIL SEGUROS S A</t>
        </is>
      </c>
      <c r="C2559" t="n">
        <v>2111000000</v>
      </c>
      <c r="D2559" t="inlineStr">
        <is>
          <t>Insurance</t>
        </is>
      </c>
      <c r="E2559" t="n">
        <v>5015366</v>
      </c>
      <c r="F2559" t="inlineStr">
        <is>
          <t>0329/26</t>
        </is>
      </c>
      <c r="G2559" t="inlineStr">
        <is>
          <t>RE</t>
        </is>
      </c>
      <c r="H2559" s="12" t="n">
        <v>-188.9</v>
      </c>
      <c r="I2559" s="17" t="n">
        <v>46252</v>
      </c>
      <c r="J2559" s="17" t="n">
        <v>46282</v>
      </c>
      <c r="K2559" t="inlineStr">
        <is>
          <t>Invoice Payment. SP: 21598</t>
        </is>
      </c>
    </row>
    <row r="2560">
      <c r="A2560" t="inlineStr">
        <is>
          <t>101057</t>
        </is>
      </c>
      <c r="B2560" t="inlineStr">
        <is>
          <t>NC ENERGIA S A</t>
        </is>
      </c>
      <c r="C2560" t="n">
        <v>2111000000</v>
      </c>
      <c r="D2560" t="inlineStr">
        <is>
          <t>Other Suppliers</t>
        </is>
      </c>
      <c r="E2560" t="n">
        <v>5015376</v>
      </c>
      <c r="F2560" t="inlineStr">
        <is>
          <t>7475</t>
        </is>
      </c>
      <c r="G2560" t="inlineStr">
        <is>
          <t>RE</t>
        </is>
      </c>
      <c r="H2560" s="12" t="n">
        <v>-1133.36</v>
      </c>
      <c r="I2560" s="17" t="n">
        <v>46251</v>
      </c>
      <c r="J2560" s="17" t="n">
        <v>46275</v>
      </c>
      <c r="K2560" t="inlineStr">
        <is>
          <t>*00190000090295669100600279165179215650000113336</t>
        </is>
      </c>
    </row>
    <row r="2561">
      <c r="A2561" t="inlineStr">
        <is>
          <t>101057</t>
        </is>
      </c>
      <c r="B2561" t="inlineStr">
        <is>
          <t>NC ENERGIA S A</t>
        </is>
      </c>
      <c r="C2561" t="n">
        <v>2111000000</v>
      </c>
      <c r="D2561" t="inlineStr">
        <is>
          <t>Other Suppliers</t>
        </is>
      </c>
      <c r="E2561" t="n">
        <v>5015377</v>
      </c>
      <c r="F2561" t="inlineStr">
        <is>
          <t>7479</t>
        </is>
      </c>
      <c r="G2561" t="inlineStr">
        <is>
          <t>RE</t>
        </is>
      </c>
      <c r="H2561" s="12" t="n">
        <v>-1311.42</v>
      </c>
      <c r="I2561" s="17" t="n">
        <v>46251</v>
      </c>
      <c r="J2561" s="17" t="n">
        <v>46275</v>
      </c>
      <c r="K2561" t="inlineStr">
        <is>
          <t>*00190000090295669100600279177174515650000131142</t>
        </is>
      </c>
    </row>
    <row r="2562">
      <c r="A2562" t="inlineStr">
        <is>
          <t>101463</t>
        </is>
      </c>
      <c r="B2562" t="inlineStr">
        <is>
          <t>ZURICH MINAS BRASIL SEGUROS S A</t>
        </is>
      </c>
      <c r="C2562" t="n">
        <v>2111000000</v>
      </c>
      <c r="D2562" t="inlineStr">
        <is>
          <t>Insurance</t>
        </is>
      </c>
      <c r="E2562" t="n">
        <v>5015378</v>
      </c>
      <c r="F2562" t="inlineStr">
        <is>
          <t>0471/26</t>
        </is>
      </c>
      <c r="G2562" t="inlineStr">
        <is>
          <t>RE</t>
        </is>
      </c>
      <c r="H2562" s="12" t="n">
        <v>-5.5</v>
      </c>
      <c r="I2562" s="17" t="n">
        <v>46252</v>
      </c>
      <c r="J2562" s="17" t="n">
        <v>46282</v>
      </c>
      <c r="K2562" t="inlineStr">
        <is>
          <t>Invoice Payment. SP: 21619</t>
        </is>
      </c>
    </row>
    <row r="2563">
      <c r="A2563" t="inlineStr">
        <is>
          <t>101057</t>
        </is>
      </c>
      <c r="B2563" t="inlineStr">
        <is>
          <t>NC ENERGIA S A</t>
        </is>
      </c>
      <c r="C2563" t="n">
        <v>2111000000</v>
      </c>
      <c r="D2563" t="inlineStr">
        <is>
          <t>Other Suppliers</t>
        </is>
      </c>
      <c r="E2563" t="n">
        <v>5015379</v>
      </c>
      <c r="F2563" t="inlineStr">
        <is>
          <t>7474</t>
        </is>
      </c>
      <c r="G2563" t="inlineStr">
        <is>
          <t>RE</t>
        </is>
      </c>
      <c r="H2563" s="12" t="n">
        <v>-1394.33</v>
      </c>
      <c r="I2563" s="17" t="n">
        <v>46251</v>
      </c>
      <c r="J2563" s="17" t="n">
        <v>46275</v>
      </c>
      <c r="K2563" t="inlineStr">
        <is>
          <t>*00190000090295669100600279162176115650000139433</t>
        </is>
      </c>
    </row>
    <row r="2564">
      <c r="A2564" t="inlineStr">
        <is>
          <t>100454</t>
        </is>
      </c>
      <c r="B2564" t="inlineStr">
        <is>
          <t>GEOMATICS GESTAO DE FROTAS LTDA</t>
        </is>
      </c>
      <c r="C2564" t="n">
        <v>2111000000</v>
      </c>
      <c r="D2564" t="inlineStr">
        <is>
          <t>Other Suppliers</t>
        </is>
      </c>
      <c r="E2564" t="n">
        <v>5015380</v>
      </c>
      <c r="F2564" t="inlineStr">
        <is>
          <t>5913</t>
        </is>
      </c>
      <c r="G2564" t="inlineStr">
        <is>
          <t>RE</t>
        </is>
      </c>
      <c r="H2564" s="12" t="n">
        <v>-363.64</v>
      </c>
      <c r="I2564" s="17" t="n">
        <v>46248</v>
      </c>
      <c r="J2564" s="17" t="n">
        <v>46278</v>
      </c>
      <c r="K2564" t="inlineStr">
        <is>
          <t>Fatura - bruto GEOMATICS GESTAO DE FROTAS LTDA 591</t>
        </is>
      </c>
    </row>
    <row r="2565">
      <c r="A2565" t="inlineStr">
        <is>
          <t>100454</t>
        </is>
      </c>
      <c r="B2565" t="inlineStr">
        <is>
          <t>GEOMATICS GESTAO DE FROTAS LTDA</t>
        </is>
      </c>
      <c r="C2565" t="n">
        <v>2111000000</v>
      </c>
      <c r="D2565" t="inlineStr">
        <is>
          <t>Other Suppliers</t>
        </is>
      </c>
      <c r="E2565" t="n">
        <v>5015381</v>
      </c>
      <c r="F2565" t="inlineStr">
        <is>
          <t>5920</t>
        </is>
      </c>
      <c r="G2565" t="inlineStr">
        <is>
          <t>RE</t>
        </is>
      </c>
      <c r="H2565" s="12" t="n">
        <v>-89.04000000000001</v>
      </c>
      <c r="I2565" s="17" t="n">
        <v>46248</v>
      </c>
      <c r="J2565" s="17" t="n">
        <v>46278</v>
      </c>
      <c r="K2565" t="inlineStr">
        <is>
          <t>Fatura - bruto GEOMATICS GESTAO DE FROTAS LTDA 592</t>
        </is>
      </c>
    </row>
    <row r="2566">
      <c r="A2566" t="inlineStr">
        <is>
          <t>100454</t>
        </is>
      </c>
      <c r="B2566" t="inlineStr">
        <is>
          <t>GEOMATICS GESTAO DE FROTAS LTDA</t>
        </is>
      </c>
      <c r="C2566" t="n">
        <v>2111000000</v>
      </c>
      <c r="D2566" t="inlineStr">
        <is>
          <t>Other Suppliers</t>
        </is>
      </c>
      <c r="E2566" t="n">
        <v>5015382</v>
      </c>
      <c r="F2566" t="inlineStr">
        <is>
          <t>2829</t>
        </is>
      </c>
      <c r="G2566" t="inlineStr">
        <is>
          <t>RE</t>
        </is>
      </c>
      <c r="H2566" s="12" t="n">
        <v>-152.32</v>
      </c>
      <c r="I2566" s="17" t="n">
        <v>46248</v>
      </c>
      <c r="J2566" s="17" t="n">
        <v>46278</v>
      </c>
      <c r="K2566" t="inlineStr">
        <is>
          <t>Fatura - bruto GEOMATICS GESTAO DE FROTAS LTDA 282</t>
        </is>
      </c>
    </row>
    <row r="2567">
      <c r="A2567" t="inlineStr">
        <is>
          <t>101897</t>
        </is>
      </c>
      <c r="B2567" t="inlineStr">
        <is>
          <t>KL LOCACOES E SOLUCOES AMBIENTAIS L KL CONSTRUCOES E SERVICOS IMOBILIAR</t>
        </is>
      </c>
      <c r="C2567" t="n">
        <v>2111000000</v>
      </c>
      <c r="D2567" t="inlineStr">
        <is>
          <t>Other Suppliers</t>
        </is>
      </c>
      <c r="E2567" t="n">
        <v>5015384</v>
      </c>
      <c r="F2567" t="inlineStr">
        <is>
          <t>2041-1</t>
        </is>
      </c>
      <c r="G2567" t="inlineStr">
        <is>
          <t>RE</t>
        </is>
      </c>
      <c r="H2567" s="12" t="n">
        <v>-1500</v>
      </c>
      <c r="I2567" s="17" t="n">
        <v>46241</v>
      </c>
      <c r="J2567" s="17" t="n">
        <v>46270</v>
      </c>
      <c r="K2567" t="inlineStr">
        <is>
          <t>Fatura - bruto KL LOCACOES E SOLUCOES AMBIENTAIS L</t>
        </is>
      </c>
    </row>
    <row r="2568">
      <c r="A2568" t="inlineStr">
        <is>
          <t>101897</t>
        </is>
      </c>
      <c r="B2568" t="inlineStr">
        <is>
          <t>KL LOCACOES E SOLUCOES AMBIENTAIS L KL CONSTRUCOES E SERVICOS IMOBILIAR</t>
        </is>
      </c>
      <c r="C2568" t="n">
        <v>2111000000</v>
      </c>
      <c r="D2568" t="inlineStr">
        <is>
          <t>Other Suppliers</t>
        </is>
      </c>
      <c r="E2568" t="n">
        <v>5015385</v>
      </c>
      <c r="F2568" t="inlineStr">
        <is>
          <t>2047-1</t>
        </is>
      </c>
      <c r="G2568" t="inlineStr">
        <is>
          <t>RE</t>
        </is>
      </c>
      <c r="H2568" s="12" t="n">
        <v>-2000</v>
      </c>
      <c r="I2568" s="17" t="n">
        <v>46251</v>
      </c>
      <c r="J2568" s="17" t="n">
        <v>46300</v>
      </c>
      <c r="K2568" t="inlineStr">
        <is>
          <t>Fatura - bruto KL LOCACOES E SOLUCOES AMBIENTAIS L</t>
        </is>
      </c>
    </row>
    <row r="2569">
      <c r="A2569" t="inlineStr">
        <is>
          <t>100454</t>
        </is>
      </c>
      <c r="B2569" t="inlineStr">
        <is>
          <t>GEOMATICS GESTAO DE FROTAS LTDA</t>
        </is>
      </c>
      <c r="C2569" t="n">
        <v>2111000000</v>
      </c>
      <c r="D2569" t="inlineStr">
        <is>
          <t>Other Suppliers</t>
        </is>
      </c>
      <c r="E2569" t="n">
        <v>5015387</v>
      </c>
      <c r="F2569" t="inlineStr">
        <is>
          <t>5919</t>
        </is>
      </c>
      <c r="G2569" t="inlineStr">
        <is>
          <t>RE</t>
        </is>
      </c>
      <c r="H2569" s="12" t="n">
        <v>-318.18</v>
      </c>
      <c r="I2569" s="17" t="n">
        <v>46248</v>
      </c>
      <c r="J2569" s="17" t="n">
        <v>46278</v>
      </c>
      <c r="K2569" t="inlineStr">
        <is>
          <t>Fatura - bruto GEOMATICS GESTAO DE FROTAS LTDA 591</t>
        </is>
      </c>
    </row>
    <row r="2570">
      <c r="A2570" t="inlineStr">
        <is>
          <t>100454</t>
        </is>
      </c>
      <c r="B2570" t="inlineStr">
        <is>
          <t>GEOMATICS GESTAO DE FROTAS LTDA</t>
        </is>
      </c>
      <c r="C2570" t="n">
        <v>2111000000</v>
      </c>
      <c r="D2570" t="inlineStr">
        <is>
          <t>Other Suppliers</t>
        </is>
      </c>
      <c r="E2570" t="n">
        <v>5015388</v>
      </c>
      <c r="F2570" t="inlineStr">
        <is>
          <t>2828</t>
        </is>
      </c>
      <c r="G2570" t="inlineStr">
        <is>
          <t>RE</t>
        </is>
      </c>
      <c r="H2570" s="12" t="n">
        <v>-533.12</v>
      </c>
      <c r="I2570" s="17" t="n">
        <v>46248</v>
      </c>
      <c r="J2570" s="17" t="n">
        <v>46278</v>
      </c>
      <c r="K2570" t="inlineStr">
        <is>
          <t>Fatura - bruto GEOMATICS GESTAO DE FROTAS LTDA 282</t>
        </is>
      </c>
    </row>
    <row r="2571">
      <c r="A2571" t="inlineStr">
        <is>
          <t>100454</t>
        </is>
      </c>
      <c r="B2571" t="inlineStr">
        <is>
          <t>GEOMATICS GESTAO DE FROTAS LTDA</t>
        </is>
      </c>
      <c r="C2571" t="n">
        <v>2111000000</v>
      </c>
      <c r="D2571" t="inlineStr">
        <is>
          <t>Other Suppliers</t>
        </is>
      </c>
      <c r="E2571" t="n">
        <v>5015389</v>
      </c>
      <c r="F2571" t="inlineStr">
        <is>
          <t>2830</t>
        </is>
      </c>
      <c r="G2571" t="inlineStr">
        <is>
          <t>RE</t>
        </is>
      </c>
      <c r="H2571" s="12" t="n">
        <v>-152.32</v>
      </c>
      <c r="I2571" s="17" t="n">
        <v>46248</v>
      </c>
      <c r="J2571" s="17" t="n">
        <v>46278</v>
      </c>
      <c r="K2571" t="inlineStr">
        <is>
          <t>Fatura - bruto GEOMATICS GESTAO DE FROTAS LTDA 283</t>
        </is>
      </c>
    </row>
    <row r="2572">
      <c r="A2572" t="inlineStr">
        <is>
          <t>101463</t>
        </is>
      </c>
      <c r="B2572" t="inlineStr">
        <is>
          <t>ZURICH MINAS BRASIL SEGUROS S A</t>
        </is>
      </c>
      <c r="C2572" t="n">
        <v>2111000000</v>
      </c>
      <c r="D2572" t="inlineStr">
        <is>
          <t>Insurance</t>
        </is>
      </c>
      <c r="E2572" t="n">
        <v>5015390</v>
      </c>
      <c r="F2572" t="inlineStr">
        <is>
          <t>0475/26</t>
        </is>
      </c>
      <c r="G2572" t="inlineStr">
        <is>
          <t>RE</t>
        </is>
      </c>
      <c r="H2572" s="12" t="n">
        <v>-9.92</v>
      </c>
      <c r="I2572" s="17" t="n">
        <v>46252</v>
      </c>
      <c r="J2572" s="17" t="n">
        <v>46282</v>
      </c>
      <c r="K2572" t="inlineStr">
        <is>
          <t>Invoice Payment. SP: 21638</t>
        </is>
      </c>
    </row>
    <row r="2573">
      <c r="A2573" t="inlineStr">
        <is>
          <t>100454</t>
        </is>
      </c>
      <c r="B2573" t="inlineStr">
        <is>
          <t>GEOMATICS GESTAO DE FROTAS LTDA</t>
        </is>
      </c>
      <c r="C2573" t="n">
        <v>2111000000</v>
      </c>
      <c r="D2573" t="inlineStr">
        <is>
          <t>Other Suppliers</t>
        </is>
      </c>
      <c r="E2573" t="n">
        <v>5015391</v>
      </c>
      <c r="F2573" t="inlineStr">
        <is>
          <t>5921</t>
        </is>
      </c>
      <c r="G2573" t="inlineStr">
        <is>
          <t>RE</t>
        </is>
      </c>
      <c r="H2573" s="12" t="n">
        <v>-89.04000000000001</v>
      </c>
      <c r="I2573" s="17" t="n">
        <v>46248</v>
      </c>
      <c r="J2573" s="17" t="n">
        <v>46278</v>
      </c>
      <c r="K2573" t="inlineStr">
        <is>
          <t>Fatura - bruto GEOMATICS GESTAO DE FROTAS LTDA 592</t>
        </is>
      </c>
    </row>
    <row r="2574">
      <c r="A2574" t="inlineStr">
        <is>
          <t>100454</t>
        </is>
      </c>
      <c r="B2574" t="inlineStr">
        <is>
          <t>GEOMATICS GESTAO DE FROTAS LTDA</t>
        </is>
      </c>
      <c r="C2574" t="n">
        <v>2111000000</v>
      </c>
      <c r="D2574" t="inlineStr">
        <is>
          <t>Other Suppliers</t>
        </is>
      </c>
      <c r="E2574" t="n">
        <v>5015393</v>
      </c>
      <c r="F2574" t="inlineStr">
        <is>
          <t>5922</t>
        </is>
      </c>
      <c r="G2574" t="inlineStr">
        <is>
          <t>RE</t>
        </is>
      </c>
      <c r="H2574" s="12" t="n">
        <v>-89.04000000000001</v>
      </c>
      <c r="I2574" s="17" t="n">
        <v>46248</v>
      </c>
      <c r="J2574" s="17" t="n">
        <v>46278</v>
      </c>
      <c r="K2574" t="inlineStr">
        <is>
          <t>Fatura - bruto GEOMATICS GESTAO DE FROTAS LTDA 592</t>
        </is>
      </c>
    </row>
    <row r="2575">
      <c r="A2575" t="inlineStr">
        <is>
          <t>100454</t>
        </is>
      </c>
      <c r="B2575" t="inlineStr">
        <is>
          <t>GEOMATICS GESTAO DE FROTAS LTDA</t>
        </is>
      </c>
      <c r="C2575" t="n">
        <v>2111000000</v>
      </c>
      <c r="D2575" t="inlineStr">
        <is>
          <t>Other Suppliers</t>
        </is>
      </c>
      <c r="E2575" t="n">
        <v>5015394</v>
      </c>
      <c r="F2575" t="inlineStr">
        <is>
          <t>2832</t>
        </is>
      </c>
      <c r="G2575" t="inlineStr">
        <is>
          <t>RE</t>
        </is>
      </c>
      <c r="H2575" s="12" t="n">
        <v>-76.16</v>
      </c>
      <c r="I2575" s="17" t="n">
        <v>46248</v>
      </c>
      <c r="J2575" s="17" t="n">
        <v>46278</v>
      </c>
      <c r="K2575" t="inlineStr">
        <is>
          <t>Fatura - bruto GEOMATICS GESTAO DE FROTAS LTDA 283</t>
        </is>
      </c>
    </row>
    <row r="2576">
      <c r="A2576" t="inlineStr">
        <is>
          <t>100454</t>
        </is>
      </c>
      <c r="B2576" t="inlineStr">
        <is>
          <t>GEOMATICS GESTAO DE FROTAS LTDA</t>
        </is>
      </c>
      <c r="C2576" t="n">
        <v>2111000000</v>
      </c>
      <c r="D2576" t="inlineStr">
        <is>
          <t>Other Suppliers</t>
        </is>
      </c>
      <c r="E2576" t="n">
        <v>5015395</v>
      </c>
      <c r="F2576" t="inlineStr">
        <is>
          <t>5923</t>
        </is>
      </c>
      <c r="G2576" t="inlineStr">
        <is>
          <t>RE</t>
        </is>
      </c>
      <c r="H2576" s="12" t="n">
        <v>-89.04000000000001</v>
      </c>
      <c r="I2576" s="17" t="n">
        <v>46248</v>
      </c>
      <c r="J2576" s="17" t="n">
        <v>46278</v>
      </c>
      <c r="K2576" t="inlineStr">
        <is>
          <t>Fatura - bruto GEOMATICS GESTAO DE FROTAS LTDA 592</t>
        </is>
      </c>
    </row>
    <row r="2577">
      <c r="A2577" t="inlineStr">
        <is>
          <t>100454</t>
        </is>
      </c>
      <c r="B2577" t="inlineStr">
        <is>
          <t>GEOMATICS GESTAO DE FROTAS LTDA</t>
        </is>
      </c>
      <c r="C2577" t="n">
        <v>2111000000</v>
      </c>
      <c r="D2577" t="inlineStr">
        <is>
          <t>Other Suppliers</t>
        </is>
      </c>
      <c r="E2577" t="n">
        <v>5015396</v>
      </c>
      <c r="F2577" t="inlineStr">
        <is>
          <t>2831</t>
        </is>
      </c>
      <c r="G2577" t="inlineStr">
        <is>
          <t>RE</t>
        </is>
      </c>
      <c r="H2577" s="12" t="n">
        <v>-152.32</v>
      </c>
      <c r="I2577" s="17" t="n">
        <v>46248</v>
      </c>
      <c r="J2577" s="17" t="n">
        <v>46278</v>
      </c>
      <c r="K2577" t="inlineStr">
        <is>
          <t>Fatura - bruto GEOMATICS GESTAO DE FROTAS LTDA 283</t>
        </is>
      </c>
    </row>
    <row r="2578">
      <c r="A2578" t="inlineStr">
        <is>
          <t>100454</t>
        </is>
      </c>
      <c r="B2578" t="inlineStr">
        <is>
          <t>GEOMATICS GESTAO DE FROTAS LTDA</t>
        </is>
      </c>
      <c r="C2578" t="n">
        <v>2111000000</v>
      </c>
      <c r="D2578" t="inlineStr">
        <is>
          <t>Other Suppliers</t>
        </is>
      </c>
      <c r="E2578" t="n">
        <v>5015397</v>
      </c>
      <c r="F2578" t="inlineStr">
        <is>
          <t>5924</t>
        </is>
      </c>
      <c r="G2578" t="inlineStr">
        <is>
          <t>RE</t>
        </is>
      </c>
      <c r="H2578" s="12" t="n">
        <v>-44.52</v>
      </c>
      <c r="I2578" s="17" t="n">
        <v>46248</v>
      </c>
      <c r="J2578" s="17" t="n">
        <v>46278</v>
      </c>
      <c r="K2578" t="inlineStr">
        <is>
          <t>Fatura - bruto GEOMATICS GESTAO DE FROTAS LTDA 592</t>
        </is>
      </c>
    </row>
    <row r="2579">
      <c r="A2579" t="inlineStr">
        <is>
          <t>100454</t>
        </is>
      </c>
      <c r="B2579" t="inlineStr">
        <is>
          <t>GEOMATICS GESTAO DE FROTAS LTDA</t>
        </is>
      </c>
      <c r="C2579" t="n">
        <v>2111000000</v>
      </c>
      <c r="D2579" t="inlineStr">
        <is>
          <t>Other Suppliers</t>
        </is>
      </c>
      <c r="E2579" t="n">
        <v>5015398</v>
      </c>
      <c r="F2579" t="inlineStr">
        <is>
          <t>2833</t>
        </is>
      </c>
      <c r="G2579" t="inlineStr">
        <is>
          <t>RE</t>
        </is>
      </c>
      <c r="H2579" s="12" t="n">
        <v>-228.48</v>
      </c>
      <c r="I2579" s="17" t="n">
        <v>46248</v>
      </c>
      <c r="J2579" s="17" t="n">
        <v>46278</v>
      </c>
      <c r="K2579" t="inlineStr">
        <is>
          <t>Fatura - bruto GEOMATICS GESTAO DE FROTAS LTDA 283</t>
        </is>
      </c>
    </row>
    <row r="2580">
      <c r="A2580" t="inlineStr">
        <is>
          <t>100454</t>
        </is>
      </c>
      <c r="B2580" t="inlineStr">
        <is>
          <t>GEOMATICS GESTAO DE FROTAS LTDA</t>
        </is>
      </c>
      <c r="C2580" t="n">
        <v>2111000000</v>
      </c>
      <c r="D2580" t="inlineStr">
        <is>
          <t>Other Suppliers</t>
        </is>
      </c>
      <c r="E2580" t="n">
        <v>5015399</v>
      </c>
      <c r="F2580" t="inlineStr">
        <is>
          <t>5925</t>
        </is>
      </c>
      <c r="G2580" t="inlineStr">
        <is>
          <t>RE</t>
        </is>
      </c>
      <c r="H2580" s="12" t="n">
        <v>-133.56</v>
      </c>
      <c r="I2580" s="17" t="n">
        <v>46248</v>
      </c>
      <c r="J2580" s="17" t="n">
        <v>46278</v>
      </c>
      <c r="K2580" t="inlineStr">
        <is>
          <t>Fatura - bruto GEOMATICS GESTAO DE FROTAS LTDA 592</t>
        </is>
      </c>
    </row>
    <row r="2581">
      <c r="A2581" t="inlineStr">
        <is>
          <t>100454</t>
        </is>
      </c>
      <c r="B2581" t="inlineStr">
        <is>
          <t>GEOMATICS GESTAO DE FROTAS LTDA</t>
        </is>
      </c>
      <c r="C2581" t="n">
        <v>2111000000</v>
      </c>
      <c r="D2581" t="inlineStr">
        <is>
          <t>Other Suppliers</t>
        </is>
      </c>
      <c r="E2581" t="n">
        <v>5015400</v>
      </c>
      <c r="F2581" t="inlineStr">
        <is>
          <t>5926</t>
        </is>
      </c>
      <c r="G2581" t="inlineStr">
        <is>
          <t>RE</t>
        </is>
      </c>
      <c r="H2581" s="12" t="n">
        <v>-42.71</v>
      </c>
      <c r="I2581" s="17" t="n">
        <v>46248</v>
      </c>
      <c r="J2581" s="17" t="n">
        <v>46278</v>
      </c>
      <c r="K2581" t="inlineStr">
        <is>
          <t>Fatura - bruto GEOMATICS GESTAO DE FROTAS LTDA 592</t>
        </is>
      </c>
    </row>
    <row r="2582">
      <c r="A2582" t="inlineStr">
        <is>
          <t>100454</t>
        </is>
      </c>
      <c r="B2582" t="inlineStr">
        <is>
          <t>GEOMATICS GESTAO DE FROTAS LTDA</t>
        </is>
      </c>
      <c r="C2582" t="n">
        <v>2111000000</v>
      </c>
      <c r="D2582" t="inlineStr">
        <is>
          <t>Other Suppliers</t>
        </is>
      </c>
      <c r="E2582" t="n">
        <v>5015401</v>
      </c>
      <c r="F2582" t="inlineStr">
        <is>
          <t>5927</t>
        </is>
      </c>
      <c r="G2582" t="inlineStr">
        <is>
          <t>RE</t>
        </is>
      </c>
      <c r="H2582" s="12" t="n">
        <v>-128.11</v>
      </c>
      <c r="I2582" s="17" t="n">
        <v>46248</v>
      </c>
      <c r="J2582" s="17" t="n">
        <v>46278</v>
      </c>
      <c r="K2582" t="inlineStr">
        <is>
          <t>Fatura - bruto GEOMATICS GESTAO DE FROTAS LTDA 592</t>
        </is>
      </c>
    </row>
    <row r="2583">
      <c r="A2583" t="inlineStr">
        <is>
          <t>100454</t>
        </is>
      </c>
      <c r="B2583" t="inlineStr">
        <is>
          <t>GEOMATICS GESTAO DE FROTAS LTDA</t>
        </is>
      </c>
      <c r="C2583" t="n">
        <v>2111000000</v>
      </c>
      <c r="D2583" t="inlineStr">
        <is>
          <t>Other Suppliers</t>
        </is>
      </c>
      <c r="E2583" t="n">
        <v>5015405</v>
      </c>
      <c r="F2583" t="inlineStr">
        <is>
          <t>5928</t>
        </is>
      </c>
      <c r="G2583" t="inlineStr">
        <is>
          <t>RE</t>
        </is>
      </c>
      <c r="H2583" s="12" t="n">
        <v>-45.46</v>
      </c>
      <c r="I2583" s="17" t="n">
        <v>46248</v>
      </c>
      <c r="J2583" s="17" t="n">
        <v>46278</v>
      </c>
      <c r="K2583" t="inlineStr">
        <is>
          <t>Fatura - bruto GEOMATICS GESTAO DE FROTAS LTDA 592</t>
        </is>
      </c>
    </row>
    <row r="2584">
      <c r="A2584" t="inlineStr">
        <is>
          <t>100542</t>
        </is>
      </c>
      <c r="B2584" t="inlineStr">
        <is>
          <t>EXTREME WIND SERVICOS DE MANUTENCAO</t>
        </is>
      </c>
      <c r="C2584" t="n">
        <v>2111000000</v>
      </c>
      <c r="D2584" t="inlineStr">
        <is>
          <t>Operational Suppliers (Wind Farms)</t>
        </is>
      </c>
      <c r="E2584" t="n">
        <v>5015407</v>
      </c>
      <c r="F2584" t="inlineStr">
        <is>
          <t>673</t>
        </is>
      </c>
      <c r="G2584" t="inlineStr">
        <is>
          <t>RE</t>
        </is>
      </c>
      <c r="H2584" s="12" t="n">
        <v>-108999.98</v>
      </c>
      <c r="I2584" s="17" t="n">
        <v>46239</v>
      </c>
      <c r="J2584" s="17" t="n">
        <v>46300</v>
      </c>
      <c r="K2584" t="inlineStr">
        <is>
          <t>Fatura - bruto EXTREME WIND SERVICOS DE MANUTENCAO</t>
        </is>
      </c>
    </row>
    <row r="2585">
      <c r="A2585" t="inlineStr">
        <is>
          <t>100969</t>
        </is>
      </c>
      <c r="B2585" t="inlineStr">
        <is>
          <t>RONALDO LUIS DE SOUSA</t>
        </is>
      </c>
      <c r="C2585" t="n">
        <v>2111000000</v>
      </c>
      <c r="D2585" t="inlineStr">
        <is>
          <t>Other Suppliers</t>
        </is>
      </c>
      <c r="E2585" t="n">
        <v>5015409</v>
      </c>
      <c r="F2585" t="inlineStr">
        <is>
          <t>72</t>
        </is>
      </c>
      <c r="G2585" t="inlineStr">
        <is>
          <t>RE</t>
        </is>
      </c>
      <c r="H2585" s="12" t="n">
        <v>-1211</v>
      </c>
      <c r="I2585" s="17" t="n">
        <v>46245</v>
      </c>
      <c r="J2585" s="17" t="n">
        <v>46270</v>
      </c>
      <c r="K2585" t="inlineStr">
        <is>
          <t>Fatura - bruto RONALDO LUIS DE SOUSA 72</t>
        </is>
      </c>
    </row>
    <row r="2586">
      <c r="A2586" t="inlineStr">
        <is>
          <t>101692</t>
        </is>
      </c>
      <c r="B2586" t="inlineStr">
        <is>
          <t>SETE RADIOCOMUNICACAO LTDA ME</t>
        </is>
      </c>
      <c r="C2586" t="n">
        <v>2111000000</v>
      </c>
      <c r="D2586" t="inlineStr">
        <is>
          <t>Operational Suppliers (Wind Farms)</t>
        </is>
      </c>
      <c r="E2586" t="n">
        <v>5015412</v>
      </c>
      <c r="F2586" t="inlineStr">
        <is>
          <t>6857</t>
        </is>
      </c>
      <c r="G2586" t="inlineStr">
        <is>
          <t>RE</t>
        </is>
      </c>
      <c r="H2586" s="12" t="n">
        <v>-1000</v>
      </c>
      <c r="I2586" s="17" t="n">
        <v>46246</v>
      </c>
      <c r="J2586" s="17" t="n">
        <v>46267</v>
      </c>
      <c r="K2586" t="inlineStr">
        <is>
          <t>*34191570070414933445231019920003415570000100000</t>
        </is>
      </c>
    </row>
    <row r="2587">
      <c r="A2587" t="inlineStr">
        <is>
          <t>101692</t>
        </is>
      </c>
      <c r="B2587" t="inlineStr">
        <is>
          <t>SETE RADIOCOMUNICACAO LTDA ME</t>
        </is>
      </c>
      <c r="C2587" t="n">
        <v>2111000000</v>
      </c>
      <c r="D2587" t="inlineStr">
        <is>
          <t>Operational Suppliers (Wind Farms)</t>
        </is>
      </c>
      <c r="E2587" t="n">
        <v>5015413</v>
      </c>
      <c r="F2587" t="inlineStr">
        <is>
          <t>6858</t>
        </is>
      </c>
      <c r="G2587" t="inlineStr">
        <is>
          <t>RE</t>
        </is>
      </c>
      <c r="H2587" s="12" t="n">
        <v>-1000</v>
      </c>
      <c r="I2587" s="17" t="n">
        <v>46246</v>
      </c>
      <c r="J2587" s="17" t="n">
        <v>46267</v>
      </c>
      <c r="K2587" t="inlineStr">
        <is>
          <t>*34191570070414941445231019920003115570000100000</t>
        </is>
      </c>
    </row>
    <row r="2588">
      <c r="A2588" t="inlineStr">
        <is>
          <t>101897</t>
        </is>
      </c>
      <c r="B2588" t="inlineStr">
        <is>
          <t>KL LOCACOES E SOLUCOES AMBIENTAIS L KL CONSTRUCOES E SERVICOS IMOBILIAR</t>
        </is>
      </c>
      <c r="C2588" t="n">
        <v>2111000000</v>
      </c>
      <c r="D2588" t="inlineStr">
        <is>
          <t>Other Suppliers</t>
        </is>
      </c>
      <c r="E2588" t="n">
        <v>5015415</v>
      </c>
      <c r="F2588" t="inlineStr">
        <is>
          <t>2043-1</t>
        </is>
      </c>
      <c r="G2588" t="inlineStr">
        <is>
          <t>RE</t>
        </is>
      </c>
      <c r="H2588" s="12" t="n">
        <v>-4350</v>
      </c>
      <c r="I2588" s="17" t="n">
        <v>46246</v>
      </c>
      <c r="J2588" s="17" t="n">
        <v>46270</v>
      </c>
      <c r="K2588" t="inlineStr">
        <is>
          <t>Fatura - bruto KL LOCACOES E SOLUCOES AMBIENTAIS L</t>
        </is>
      </c>
    </row>
    <row r="2589">
      <c r="A2589" t="inlineStr">
        <is>
          <t>101463</t>
        </is>
      </c>
      <c r="B2589" t="inlineStr">
        <is>
          <t>ZURICH MINAS BRASIL SEGUROS S A</t>
        </is>
      </c>
      <c r="C2589" t="n">
        <v>2111000000</v>
      </c>
      <c r="D2589" t="inlineStr">
        <is>
          <t>Insurance</t>
        </is>
      </c>
      <c r="E2589" t="n">
        <v>5015416</v>
      </c>
      <c r="F2589" t="inlineStr">
        <is>
          <t>0495/26</t>
        </is>
      </c>
      <c r="G2589" t="inlineStr">
        <is>
          <t>RE</t>
        </is>
      </c>
      <c r="H2589" s="12" t="n">
        <v>-91.59999999999999</v>
      </c>
      <c r="I2589" s="17" t="n">
        <v>46252</v>
      </c>
      <c r="J2589" s="17" t="n">
        <v>46282</v>
      </c>
      <c r="K2589" t="inlineStr">
        <is>
          <t>Invoice Payment. SP: 21658</t>
        </is>
      </c>
    </row>
    <row r="2590">
      <c r="A2590" t="inlineStr">
        <is>
          <t>101897</t>
        </is>
      </c>
      <c r="B2590" t="inlineStr">
        <is>
          <t>KL LOCACOES E SOLUCOES AMBIENTAIS L KL CONSTRUCOES E SERVICOS IMOBILIAR</t>
        </is>
      </c>
      <c r="C2590" t="n">
        <v>2111000000</v>
      </c>
      <c r="D2590" t="inlineStr">
        <is>
          <t>Other Suppliers</t>
        </is>
      </c>
      <c r="E2590" t="n">
        <v>5015418</v>
      </c>
      <c r="F2590" t="inlineStr">
        <is>
          <t>2029-1</t>
        </is>
      </c>
      <c r="G2590" t="inlineStr">
        <is>
          <t>RE</t>
        </is>
      </c>
      <c r="H2590" s="12" t="n">
        <v>-18602</v>
      </c>
      <c r="I2590" s="17" t="n">
        <v>46221</v>
      </c>
      <c r="J2590" s="17" t="n">
        <v>46270</v>
      </c>
      <c r="K2590" t="inlineStr">
        <is>
          <t>Fatura - bruto KL LOCACOES E SOLUCOES AMBIENTAIS L</t>
        </is>
      </c>
    </row>
    <row r="2591">
      <c r="A2591" t="inlineStr">
        <is>
          <t>101463</t>
        </is>
      </c>
      <c r="B2591" t="inlineStr">
        <is>
          <t>ZURICH MINAS BRASIL SEGUROS S A</t>
        </is>
      </c>
      <c r="C2591" t="n">
        <v>2111000000</v>
      </c>
      <c r="D2591" t="inlineStr">
        <is>
          <t>Insurance</t>
        </is>
      </c>
      <c r="E2591" t="n">
        <v>5015419</v>
      </c>
      <c r="F2591" t="inlineStr">
        <is>
          <t>0458/26</t>
        </is>
      </c>
      <c r="G2591" t="inlineStr">
        <is>
          <t>RE</t>
        </is>
      </c>
      <c r="H2591" s="12" t="n">
        <v>-259.57</v>
      </c>
      <c r="I2591" s="17" t="n">
        <v>46252</v>
      </c>
      <c r="J2591" s="17" t="n">
        <v>46282</v>
      </c>
      <c r="K2591" t="inlineStr">
        <is>
          <t>Invoice Payment. SP: 21660</t>
        </is>
      </c>
    </row>
    <row r="2592">
      <c r="A2592" t="inlineStr">
        <is>
          <t>101897</t>
        </is>
      </c>
      <c r="B2592" t="inlineStr">
        <is>
          <t>KL LOCACOES E SOLUCOES AMBIENTAIS L KL CONSTRUCOES E SERVICOS IMOBILIAR</t>
        </is>
      </c>
      <c r="C2592" t="n">
        <v>2111000000</v>
      </c>
      <c r="D2592" t="inlineStr">
        <is>
          <t>Other Suppliers</t>
        </is>
      </c>
      <c r="E2592" t="n">
        <v>5015420</v>
      </c>
      <c r="F2592" t="inlineStr">
        <is>
          <t>2042-1</t>
        </is>
      </c>
      <c r="G2592" t="inlineStr">
        <is>
          <t>RE</t>
        </is>
      </c>
      <c r="H2592" s="12" t="n">
        <v>-1500</v>
      </c>
      <c r="I2592" s="17" t="n">
        <v>46241</v>
      </c>
      <c r="J2592" s="17" t="n">
        <v>46270</v>
      </c>
      <c r="K2592" t="inlineStr">
        <is>
          <t>Fatura - bruto KL LOCACOES E SOLUCOES AMBIENTAIS L</t>
        </is>
      </c>
    </row>
    <row r="2593">
      <c r="A2593" t="inlineStr">
        <is>
          <t>101172</t>
        </is>
      </c>
      <c r="B2593" t="inlineStr">
        <is>
          <t>N D S ENGENHARIA LTDA</t>
        </is>
      </c>
      <c r="C2593" t="n">
        <v>2111000000</v>
      </c>
      <c r="D2593" t="inlineStr">
        <is>
          <t>Other Suppliers</t>
        </is>
      </c>
      <c r="E2593" t="n">
        <v>5015421</v>
      </c>
      <c r="F2593" t="inlineStr">
        <is>
          <t>288</t>
        </is>
      </c>
      <c r="G2593" t="inlineStr">
        <is>
          <t>RE</t>
        </is>
      </c>
      <c r="H2593" s="12" t="n">
        <v>-92471</v>
      </c>
      <c r="I2593" s="17" t="n">
        <v>46247</v>
      </c>
      <c r="J2593" s="17" t="n">
        <v>46278</v>
      </c>
      <c r="K2593" t="inlineStr">
        <is>
          <t>Fatura - bruto N D S ENGENHARIA LTDA 288</t>
        </is>
      </c>
    </row>
    <row r="2594">
      <c r="A2594" t="inlineStr">
        <is>
          <t>101897</t>
        </is>
      </c>
      <c r="B2594" t="inlineStr">
        <is>
          <t>KL LOCACOES E SOLUCOES AMBIENTAIS L KL CONSTRUCOES E SERVICOS IMOBILIAR</t>
        </is>
      </c>
      <c r="C2594" t="n">
        <v>2111000000</v>
      </c>
      <c r="D2594" t="inlineStr">
        <is>
          <t>Other Suppliers</t>
        </is>
      </c>
      <c r="E2594" t="n">
        <v>5015422</v>
      </c>
      <c r="F2594" t="inlineStr">
        <is>
          <t>2046-1</t>
        </is>
      </c>
      <c r="G2594" t="inlineStr">
        <is>
          <t>RE</t>
        </is>
      </c>
      <c r="H2594" s="12" t="n">
        <v>-2000</v>
      </c>
      <c r="I2594" s="17" t="n">
        <v>46251</v>
      </c>
      <c r="J2594" s="17" t="n">
        <v>46300</v>
      </c>
      <c r="K2594" t="inlineStr">
        <is>
          <t>Fatura - bruto KL LOCACOES E SOLUCOES AMBIENTAIS L</t>
        </is>
      </c>
    </row>
    <row r="2595">
      <c r="A2595" t="inlineStr">
        <is>
          <t>101897</t>
        </is>
      </c>
      <c r="B2595" t="inlineStr">
        <is>
          <t>KL LOCACOES E SOLUCOES AMBIENTAIS L KL CONSTRUCOES E SERVICOS IMOBILIAR</t>
        </is>
      </c>
      <c r="C2595" t="n">
        <v>2111000000</v>
      </c>
      <c r="D2595" t="inlineStr">
        <is>
          <t>Other Suppliers</t>
        </is>
      </c>
      <c r="E2595" t="n">
        <v>5015423</v>
      </c>
      <c r="F2595" t="inlineStr">
        <is>
          <t>2045-1</t>
        </is>
      </c>
      <c r="G2595" t="inlineStr">
        <is>
          <t>RE</t>
        </is>
      </c>
      <c r="H2595" s="12" t="n">
        <v>-5000</v>
      </c>
      <c r="I2595" s="17" t="n">
        <v>46248</v>
      </c>
      <c r="J2595" s="17" t="n">
        <v>46270</v>
      </c>
      <c r="K2595" t="inlineStr">
        <is>
          <t>Fatura - bruto KL LOCACOES E SOLUCOES AMBIENTAIS L</t>
        </is>
      </c>
    </row>
    <row r="2596">
      <c r="A2596" t="inlineStr">
        <is>
          <t>101897</t>
        </is>
      </c>
      <c r="B2596" t="inlineStr">
        <is>
          <t>KL LOCACOES E SOLUCOES AMBIENTAIS L KL CONSTRUCOES E SERVICOS IMOBILIAR</t>
        </is>
      </c>
      <c r="C2596" t="n">
        <v>2111000000</v>
      </c>
      <c r="D2596" t="inlineStr">
        <is>
          <t>Other Suppliers</t>
        </is>
      </c>
      <c r="E2596" t="n">
        <v>5015424</v>
      </c>
      <c r="F2596" t="inlineStr">
        <is>
          <t>2044-1</t>
        </is>
      </c>
      <c r="G2596" t="inlineStr">
        <is>
          <t>RE</t>
        </is>
      </c>
      <c r="H2596" s="12" t="n">
        <v>-9060</v>
      </c>
      <c r="I2596" s="17" t="n">
        <v>46246</v>
      </c>
      <c r="J2596" s="17" t="n">
        <v>46270</v>
      </c>
      <c r="K2596" t="inlineStr">
        <is>
          <t>Fatura - bruto KL LOCACOES E SOLUCOES AMBIENTAIS L</t>
        </is>
      </c>
    </row>
    <row r="2597">
      <c r="A2597" t="inlineStr">
        <is>
          <t>101897</t>
        </is>
      </c>
      <c r="B2597" t="inlineStr">
        <is>
          <t>KL LOCACOES E SOLUCOES AMBIENTAIS L KL CONSTRUCOES E SERVICOS IMOBILIAR</t>
        </is>
      </c>
      <c r="C2597" t="n">
        <v>2111000000</v>
      </c>
      <c r="D2597" t="inlineStr">
        <is>
          <t>Other Suppliers</t>
        </is>
      </c>
      <c r="E2597" t="n">
        <v>5015425</v>
      </c>
      <c r="F2597" t="inlineStr">
        <is>
          <t>2048-1</t>
        </is>
      </c>
      <c r="G2597" t="inlineStr">
        <is>
          <t>RE</t>
        </is>
      </c>
      <c r="H2597" s="12" t="n">
        <v>-9090</v>
      </c>
      <c r="I2597" s="17" t="n">
        <v>46251</v>
      </c>
      <c r="J2597" s="17" t="n">
        <v>46300</v>
      </c>
      <c r="K2597" t="inlineStr">
        <is>
          <t>Fatura - bruto KL LOCACOES E SOLUCOES AMBIENTAIS L</t>
        </is>
      </c>
    </row>
    <row r="2598">
      <c r="A2598" t="inlineStr">
        <is>
          <t>100883</t>
        </is>
      </c>
      <c r="B2598" t="inlineStr">
        <is>
          <t>QUELMAR TRANSPORTES LTDA</t>
        </is>
      </c>
      <c r="C2598" t="n">
        <v>2111000000</v>
      </c>
      <c r="D2598" t="inlineStr">
        <is>
          <t>Operational Suppliers (Wind Farms)</t>
        </is>
      </c>
      <c r="E2598" t="n">
        <v>5015427</v>
      </c>
      <c r="F2598" t="inlineStr">
        <is>
          <t>6381-2</t>
        </is>
      </c>
      <c r="G2598" t="inlineStr">
        <is>
          <t>RE</t>
        </is>
      </c>
      <c r="H2598" s="12" t="n">
        <v>-880</v>
      </c>
      <c r="I2598" s="17" t="n">
        <v>46245</v>
      </c>
      <c r="J2598" s="17" t="n">
        <v>46300</v>
      </c>
      <c r="K2598" t="inlineStr">
        <is>
          <t>Fatura - bruto QUELMAR TRANSPORTES LTDA 6381-2</t>
        </is>
      </c>
    </row>
    <row r="2599">
      <c r="A2599" t="inlineStr">
        <is>
          <t>100883</t>
        </is>
      </c>
      <c r="B2599" t="inlineStr">
        <is>
          <t>QUELMAR TRANSPORTES LTDA</t>
        </is>
      </c>
      <c r="C2599" t="n">
        <v>2111000000</v>
      </c>
      <c r="D2599" t="inlineStr">
        <is>
          <t>Operational Suppliers (Wind Farms)</t>
        </is>
      </c>
      <c r="E2599" t="n">
        <v>5015428</v>
      </c>
      <c r="F2599" t="inlineStr">
        <is>
          <t>6348-2</t>
        </is>
      </c>
      <c r="G2599" t="inlineStr">
        <is>
          <t>RE</t>
        </is>
      </c>
      <c r="H2599" s="12" t="n">
        <v>-3900</v>
      </c>
      <c r="I2599" s="17" t="n">
        <v>46239</v>
      </c>
      <c r="J2599" s="17" t="n">
        <v>46300</v>
      </c>
      <c r="K2599" t="inlineStr">
        <is>
          <t>Fatura - bruto QUELMAR TRANSPORTES LTDA 6348-2</t>
        </is>
      </c>
    </row>
    <row r="2600">
      <c r="A2600" t="inlineStr">
        <is>
          <t>100883</t>
        </is>
      </c>
      <c r="B2600" t="inlineStr">
        <is>
          <t>QUELMAR TRANSPORTES LTDA</t>
        </is>
      </c>
      <c r="C2600" t="n">
        <v>2111000000</v>
      </c>
      <c r="D2600" t="inlineStr">
        <is>
          <t>Operational Suppliers (Wind Farms)</t>
        </is>
      </c>
      <c r="E2600" t="n">
        <v>5015429</v>
      </c>
      <c r="F2600" t="inlineStr">
        <is>
          <t>6355-2</t>
        </is>
      </c>
      <c r="G2600" t="inlineStr">
        <is>
          <t>RE</t>
        </is>
      </c>
      <c r="H2600" s="12" t="n">
        <v>-3950</v>
      </c>
      <c r="I2600" s="17" t="n">
        <v>46239</v>
      </c>
      <c r="J2600" s="17" t="n">
        <v>46300</v>
      </c>
      <c r="K2600" t="inlineStr">
        <is>
          <t>Fatura - bruto QUELMAR TRANSPORTES LTDA 6355-2</t>
        </is>
      </c>
    </row>
    <row r="2601">
      <c r="A2601" t="inlineStr">
        <is>
          <t>100883</t>
        </is>
      </c>
      <c r="B2601" t="inlineStr">
        <is>
          <t>QUELMAR TRANSPORTES LTDA</t>
        </is>
      </c>
      <c r="C2601" t="n">
        <v>2111000000</v>
      </c>
      <c r="D2601" t="inlineStr">
        <is>
          <t>Operational Suppliers (Wind Farms)</t>
        </is>
      </c>
      <c r="E2601" t="n">
        <v>5015430</v>
      </c>
      <c r="F2601" t="inlineStr">
        <is>
          <t>6361-2</t>
        </is>
      </c>
      <c r="G2601" t="inlineStr">
        <is>
          <t>RE</t>
        </is>
      </c>
      <c r="H2601" s="12" t="n">
        <v>-5560</v>
      </c>
      <c r="I2601" s="17" t="n">
        <v>46241</v>
      </c>
      <c r="J2601" s="17" t="n">
        <v>46300</v>
      </c>
      <c r="K2601" t="inlineStr">
        <is>
          <t>Fatura - bruto QUELMAR TRANSPORTES LTDA 6361-2</t>
        </is>
      </c>
    </row>
    <row r="2602">
      <c r="A2602" t="inlineStr">
        <is>
          <t>100883</t>
        </is>
      </c>
      <c r="B2602" t="inlineStr">
        <is>
          <t>QUELMAR TRANSPORTES LTDA</t>
        </is>
      </c>
      <c r="C2602" t="n">
        <v>2111000000</v>
      </c>
      <c r="D2602" t="inlineStr">
        <is>
          <t>Operational Suppliers (Wind Farms)</t>
        </is>
      </c>
      <c r="E2602" t="n">
        <v>5015431</v>
      </c>
      <c r="F2602" t="inlineStr">
        <is>
          <t>108327-1</t>
        </is>
      </c>
      <c r="G2602" t="inlineStr">
        <is>
          <t>RE</t>
        </is>
      </c>
      <c r="H2602" s="12" t="n">
        <v>-5700</v>
      </c>
      <c r="I2602" s="17" t="n">
        <v>46240</v>
      </c>
      <c r="J2602" s="17" t="n">
        <v>46300</v>
      </c>
      <c r="K2602" t="inlineStr">
        <is>
          <t>Fatura - bruto QUELMAR TRANSPORTES LTDA 108327-1</t>
        </is>
      </c>
    </row>
    <row r="2603">
      <c r="A2603" t="inlineStr">
        <is>
          <t>100883</t>
        </is>
      </c>
      <c r="B2603" t="inlineStr">
        <is>
          <t>QUELMAR TRANSPORTES LTDA</t>
        </is>
      </c>
      <c r="C2603" t="n">
        <v>2111000000</v>
      </c>
      <c r="D2603" t="inlineStr">
        <is>
          <t>Operational Suppliers (Wind Farms)</t>
        </is>
      </c>
      <c r="E2603" t="n">
        <v>5015432</v>
      </c>
      <c r="F2603" t="inlineStr">
        <is>
          <t>6372-2</t>
        </is>
      </c>
      <c r="G2603" t="inlineStr">
        <is>
          <t>RE</t>
        </is>
      </c>
      <c r="H2603" s="12" t="n">
        <v>-6730</v>
      </c>
      <c r="I2603" s="17" t="n">
        <v>46241</v>
      </c>
      <c r="J2603" s="17" t="n">
        <v>46300</v>
      </c>
      <c r="K2603" t="inlineStr">
        <is>
          <t>Fatura - bruto QUELMAR TRANSPORTES LTDA 6372-2</t>
        </is>
      </c>
    </row>
    <row r="2604">
      <c r="A2604" t="inlineStr">
        <is>
          <t>100883</t>
        </is>
      </c>
      <c r="B2604" t="inlineStr">
        <is>
          <t>QUELMAR TRANSPORTES LTDA</t>
        </is>
      </c>
      <c r="C2604" t="n">
        <v>2111000000</v>
      </c>
      <c r="D2604" t="inlineStr">
        <is>
          <t>Operational Suppliers (Wind Farms)</t>
        </is>
      </c>
      <c r="E2604" t="n">
        <v>5015433</v>
      </c>
      <c r="F2604" t="inlineStr">
        <is>
          <t>6360-2</t>
        </is>
      </c>
      <c r="G2604" t="inlineStr">
        <is>
          <t>RE</t>
        </is>
      </c>
      <c r="H2604" s="12" t="n">
        <v>-1480</v>
      </c>
      <c r="I2604" s="17" t="n">
        <v>46241</v>
      </c>
      <c r="J2604" s="17" t="n">
        <v>46300</v>
      </c>
      <c r="K2604" t="inlineStr">
        <is>
          <t>Fatura - bruto QUELMAR TRANSPORTES LTDA 6360-2</t>
        </is>
      </c>
    </row>
    <row r="2605">
      <c r="A2605" t="inlineStr">
        <is>
          <t>100883</t>
        </is>
      </c>
      <c r="B2605" t="inlineStr">
        <is>
          <t>QUELMAR TRANSPORTES LTDA</t>
        </is>
      </c>
      <c r="C2605" t="n">
        <v>2111000000</v>
      </c>
      <c r="D2605" t="inlineStr">
        <is>
          <t>Operational Suppliers (Wind Farms)</t>
        </is>
      </c>
      <c r="E2605" t="n">
        <v>5015434</v>
      </c>
      <c r="F2605" t="inlineStr">
        <is>
          <t>6378-2</t>
        </is>
      </c>
      <c r="G2605" t="inlineStr">
        <is>
          <t>RE</t>
        </is>
      </c>
      <c r="H2605" s="12" t="n">
        <v>-2300</v>
      </c>
      <c r="I2605" s="17" t="n">
        <v>46245</v>
      </c>
      <c r="J2605" s="17" t="n">
        <v>46300</v>
      </c>
      <c r="K2605" t="inlineStr">
        <is>
          <t>Fatura - bruto QUELMAR TRANSPORTES LTDA 6378-2</t>
        </is>
      </c>
    </row>
    <row r="2606">
      <c r="A2606" t="inlineStr">
        <is>
          <t>100883</t>
        </is>
      </c>
      <c r="B2606" t="inlineStr">
        <is>
          <t>QUELMAR TRANSPORTES LTDA</t>
        </is>
      </c>
      <c r="C2606" t="n">
        <v>2111000000</v>
      </c>
      <c r="D2606" t="inlineStr">
        <is>
          <t>Operational Suppliers (Wind Farms)</t>
        </is>
      </c>
      <c r="E2606" t="n">
        <v>5015435</v>
      </c>
      <c r="F2606" t="inlineStr">
        <is>
          <t>108350-1</t>
        </is>
      </c>
      <c r="G2606" t="inlineStr">
        <is>
          <t>RE</t>
        </is>
      </c>
      <c r="H2606" s="12" t="n">
        <v>-6848</v>
      </c>
      <c r="I2606" s="17" t="n">
        <v>46244</v>
      </c>
      <c r="J2606" s="17" t="n">
        <v>46300</v>
      </c>
      <c r="K2606" t="inlineStr">
        <is>
          <t>Fatura - bruto QUELMAR TRANSPORTES LTDA 108350-1</t>
        </is>
      </c>
    </row>
    <row r="2607">
      <c r="A2607" t="inlineStr">
        <is>
          <t>100883</t>
        </is>
      </c>
      <c r="B2607" t="inlineStr">
        <is>
          <t>QUELMAR TRANSPORTES LTDA</t>
        </is>
      </c>
      <c r="C2607" t="n">
        <v>2111000000</v>
      </c>
      <c r="D2607" t="inlineStr">
        <is>
          <t>Operational Suppliers (Wind Farms)</t>
        </is>
      </c>
      <c r="E2607" t="n">
        <v>5015436</v>
      </c>
      <c r="F2607" t="inlineStr">
        <is>
          <t>108344-1</t>
        </is>
      </c>
      <c r="G2607" t="inlineStr">
        <is>
          <t>RE</t>
        </is>
      </c>
      <c r="H2607" s="12" t="n">
        <v>-6970</v>
      </c>
      <c r="I2607" s="17" t="n">
        <v>46241</v>
      </c>
      <c r="J2607" s="17" t="n">
        <v>46300</v>
      </c>
      <c r="K2607" t="inlineStr">
        <is>
          <t>Fatura - bruto QUELMAR TRANSPORTES LTDA 108344-1</t>
        </is>
      </c>
    </row>
    <row r="2608">
      <c r="A2608" t="inlineStr">
        <is>
          <t>100883</t>
        </is>
      </c>
      <c r="B2608" t="inlineStr">
        <is>
          <t>QUELMAR TRANSPORTES LTDA</t>
        </is>
      </c>
      <c r="C2608" t="n">
        <v>2111000000</v>
      </c>
      <c r="D2608" t="inlineStr">
        <is>
          <t>Operational Suppliers (Wind Farms)</t>
        </is>
      </c>
      <c r="E2608" t="n">
        <v>5015437</v>
      </c>
      <c r="F2608" t="inlineStr">
        <is>
          <t>6345-2</t>
        </is>
      </c>
      <c r="G2608" t="inlineStr">
        <is>
          <t>RE</t>
        </is>
      </c>
      <c r="H2608" s="12" t="n">
        <v>-2750</v>
      </c>
      <c r="I2608" s="17" t="n">
        <v>46239</v>
      </c>
      <c r="J2608" s="17" t="n">
        <v>46300</v>
      </c>
      <c r="K2608" t="inlineStr">
        <is>
          <t>Fatura - bruto QUELMAR TRANSPORTES LTDA 6345-2</t>
        </is>
      </c>
    </row>
    <row r="2609">
      <c r="A2609" t="inlineStr">
        <is>
          <t>100883</t>
        </is>
      </c>
      <c r="B2609" t="inlineStr">
        <is>
          <t>QUELMAR TRANSPORTES LTDA</t>
        </is>
      </c>
      <c r="C2609" t="n">
        <v>2111000000</v>
      </c>
      <c r="D2609" t="inlineStr">
        <is>
          <t>Operational Suppliers (Wind Farms)</t>
        </is>
      </c>
      <c r="E2609" t="n">
        <v>5015438</v>
      </c>
      <c r="F2609" t="inlineStr">
        <is>
          <t>6344-2</t>
        </is>
      </c>
      <c r="G2609" t="inlineStr">
        <is>
          <t>RE</t>
        </is>
      </c>
      <c r="H2609" s="12" t="n">
        <v>-2980</v>
      </c>
      <c r="I2609" s="17" t="n">
        <v>46239</v>
      </c>
      <c r="J2609" s="17" t="n">
        <v>46300</v>
      </c>
      <c r="K2609" t="inlineStr">
        <is>
          <t>Fatura - bruto QUELMAR TRANSPORTES LTDA 6344-2</t>
        </is>
      </c>
    </row>
    <row r="2610">
      <c r="A2610" t="inlineStr">
        <is>
          <t>100883</t>
        </is>
      </c>
      <c r="B2610" t="inlineStr">
        <is>
          <t>QUELMAR TRANSPORTES LTDA</t>
        </is>
      </c>
      <c r="C2610" t="n">
        <v>2111000000</v>
      </c>
      <c r="D2610" t="inlineStr">
        <is>
          <t>Operational Suppliers (Wind Farms)</t>
        </is>
      </c>
      <c r="E2610" t="n">
        <v>5015440</v>
      </c>
      <c r="F2610" t="inlineStr">
        <is>
          <t>6346-2</t>
        </is>
      </c>
      <c r="G2610" t="inlineStr">
        <is>
          <t>RE</t>
        </is>
      </c>
      <c r="H2610" s="12" t="n">
        <v>-4980</v>
      </c>
      <c r="I2610" s="17" t="n">
        <v>46239</v>
      </c>
      <c r="J2610" s="17" t="n">
        <v>46300</v>
      </c>
      <c r="K2610" t="inlineStr">
        <is>
          <t>Fatura - bruto QUELMAR TRANSPORTES LTDA 6346-2</t>
        </is>
      </c>
    </row>
    <row r="2611">
      <c r="A2611" t="inlineStr">
        <is>
          <t>101463</t>
        </is>
      </c>
      <c r="B2611" t="inlineStr">
        <is>
          <t>ZURICH MINAS BRASIL SEGUROS S A</t>
        </is>
      </c>
      <c r="C2611" t="n">
        <v>2111000000</v>
      </c>
      <c r="D2611" t="inlineStr">
        <is>
          <t>Insurance</t>
        </is>
      </c>
      <c r="E2611" t="n">
        <v>5015441</v>
      </c>
      <c r="F2611" t="inlineStr">
        <is>
          <t>0374/26</t>
        </is>
      </c>
      <c r="G2611" t="inlineStr">
        <is>
          <t>RE</t>
        </is>
      </c>
      <c r="H2611" s="12" t="n">
        <v>-57294.87</v>
      </c>
      <c r="I2611" s="17" t="n">
        <v>46252</v>
      </c>
      <c r="J2611" s="17" t="n">
        <v>46282</v>
      </c>
      <c r="K2611" t="inlineStr">
        <is>
          <t>Invoice Payment. SP: 21679</t>
        </is>
      </c>
    </row>
    <row r="2612">
      <c r="A2612" t="inlineStr">
        <is>
          <t>100883</t>
        </is>
      </c>
      <c r="B2612" t="inlineStr">
        <is>
          <t>QUELMAR TRANSPORTES LTDA</t>
        </is>
      </c>
      <c r="C2612" t="n">
        <v>2111000000</v>
      </c>
      <c r="D2612" t="inlineStr">
        <is>
          <t>Operational Suppliers (Wind Farms)</t>
        </is>
      </c>
      <c r="E2612" t="n">
        <v>5015442</v>
      </c>
      <c r="F2612" t="inlineStr">
        <is>
          <t>6342-2</t>
        </is>
      </c>
      <c r="G2612" t="inlineStr">
        <is>
          <t>RE</t>
        </is>
      </c>
      <c r="H2612" s="12" t="n">
        <v>-2400</v>
      </c>
      <c r="I2612" s="17" t="n">
        <v>46239</v>
      </c>
      <c r="J2612" s="17" t="n">
        <v>46300</v>
      </c>
      <c r="K2612" t="inlineStr">
        <is>
          <t>Fatura - bruto QUELMAR TRANSPORTES LTDA 6342-2</t>
        </is>
      </c>
    </row>
    <row r="2613">
      <c r="A2613" t="inlineStr">
        <is>
          <t>100883</t>
        </is>
      </c>
      <c r="B2613" t="inlineStr">
        <is>
          <t>QUELMAR TRANSPORTES LTDA</t>
        </is>
      </c>
      <c r="C2613" t="n">
        <v>2111000000</v>
      </c>
      <c r="D2613" t="inlineStr">
        <is>
          <t>Operational Suppliers (Wind Farms)</t>
        </is>
      </c>
      <c r="E2613" t="n">
        <v>5015443</v>
      </c>
      <c r="F2613" t="inlineStr">
        <is>
          <t>6379-2</t>
        </is>
      </c>
      <c r="G2613" t="inlineStr">
        <is>
          <t>RE</t>
        </is>
      </c>
      <c r="H2613" s="12" t="n">
        <v>-2550</v>
      </c>
      <c r="I2613" s="17" t="n">
        <v>46245</v>
      </c>
      <c r="J2613" s="17" t="n">
        <v>46300</v>
      </c>
      <c r="K2613" t="inlineStr">
        <is>
          <t>Fatura - bruto QUELMAR TRANSPORTES LTDA 6379-2</t>
        </is>
      </c>
    </row>
    <row r="2614">
      <c r="A2614" t="inlineStr">
        <is>
          <t>100883</t>
        </is>
      </c>
      <c r="B2614" t="inlineStr">
        <is>
          <t>QUELMAR TRANSPORTES LTDA</t>
        </is>
      </c>
      <c r="C2614" t="n">
        <v>2111000000</v>
      </c>
      <c r="D2614" t="inlineStr">
        <is>
          <t>Operational Suppliers (Wind Farms)</t>
        </is>
      </c>
      <c r="E2614" t="n">
        <v>5015445</v>
      </c>
      <c r="F2614" t="inlineStr">
        <is>
          <t>6343-2</t>
        </is>
      </c>
      <c r="G2614" t="inlineStr">
        <is>
          <t>RE</t>
        </is>
      </c>
      <c r="H2614" s="12" t="n">
        <v>-2580</v>
      </c>
      <c r="I2614" s="17" t="n">
        <v>46239</v>
      </c>
      <c r="J2614" s="17" t="n">
        <v>46300</v>
      </c>
      <c r="K2614" t="inlineStr">
        <is>
          <t>Fatura - bruto QUELMAR TRANSPORTES LTDA 6343-2</t>
        </is>
      </c>
    </row>
    <row r="2615">
      <c r="A2615" t="inlineStr">
        <is>
          <t>100883</t>
        </is>
      </c>
      <c r="B2615" t="inlineStr">
        <is>
          <t>QUELMAR TRANSPORTES LTDA</t>
        </is>
      </c>
      <c r="C2615" t="n">
        <v>2111000000</v>
      </c>
      <c r="D2615" t="inlineStr">
        <is>
          <t>Operational Suppliers (Wind Farms)</t>
        </is>
      </c>
      <c r="E2615" t="n">
        <v>5015446</v>
      </c>
      <c r="F2615" t="inlineStr">
        <is>
          <t>6353-2</t>
        </is>
      </c>
      <c r="G2615" t="inlineStr">
        <is>
          <t>RE</t>
        </is>
      </c>
      <c r="H2615" s="12" t="n">
        <v>-1700</v>
      </c>
      <c r="I2615" s="17" t="n">
        <v>46239</v>
      </c>
      <c r="J2615" s="17" t="n">
        <v>46300</v>
      </c>
      <c r="K2615" t="inlineStr">
        <is>
          <t>Fatura - bruto QUELMAR TRANSPORTES LTDA 6353-2</t>
        </is>
      </c>
    </row>
    <row r="2616">
      <c r="A2616" t="inlineStr">
        <is>
          <t>100883</t>
        </is>
      </c>
      <c r="B2616" t="inlineStr">
        <is>
          <t>QUELMAR TRANSPORTES LTDA</t>
        </is>
      </c>
      <c r="C2616" t="n">
        <v>2111000000</v>
      </c>
      <c r="D2616" t="inlineStr">
        <is>
          <t>Operational Suppliers (Wind Farms)</t>
        </is>
      </c>
      <c r="E2616" t="n">
        <v>5015447</v>
      </c>
      <c r="F2616" t="inlineStr">
        <is>
          <t>6347-2</t>
        </is>
      </c>
      <c r="G2616" t="inlineStr">
        <is>
          <t>RE</t>
        </is>
      </c>
      <c r="H2616" s="12" t="n">
        <v>-1790</v>
      </c>
      <c r="I2616" s="17" t="n">
        <v>46239</v>
      </c>
      <c r="J2616" s="17" t="n">
        <v>46300</v>
      </c>
      <c r="K2616" t="inlineStr">
        <is>
          <t>Fatura - bruto QUELMAR TRANSPORTES LTDA 6347-2</t>
        </is>
      </c>
    </row>
    <row r="2617">
      <c r="A2617" t="inlineStr">
        <is>
          <t>100883</t>
        </is>
      </c>
      <c r="B2617" t="inlineStr">
        <is>
          <t>QUELMAR TRANSPORTES LTDA</t>
        </is>
      </c>
      <c r="C2617" t="n">
        <v>2111000000</v>
      </c>
      <c r="D2617" t="inlineStr">
        <is>
          <t>Operational Suppliers (Wind Farms)</t>
        </is>
      </c>
      <c r="E2617" t="n">
        <v>5015448</v>
      </c>
      <c r="F2617" t="inlineStr">
        <is>
          <t>6371-2</t>
        </is>
      </c>
      <c r="G2617" t="inlineStr">
        <is>
          <t>RE</t>
        </is>
      </c>
      <c r="H2617" s="12" t="n">
        <v>-1800</v>
      </c>
      <c r="I2617" s="17" t="n">
        <v>46241</v>
      </c>
      <c r="J2617" s="17" t="n">
        <v>46300</v>
      </c>
      <c r="K2617" t="inlineStr">
        <is>
          <t>Fatura - bruto QUELMAR TRANSPORTES LTDA 6371-2</t>
        </is>
      </c>
    </row>
    <row r="2618">
      <c r="A2618" t="inlineStr">
        <is>
          <t>100883</t>
        </is>
      </c>
      <c r="B2618" t="inlineStr">
        <is>
          <t>QUELMAR TRANSPORTES LTDA</t>
        </is>
      </c>
      <c r="C2618" t="n">
        <v>2111000000</v>
      </c>
      <c r="D2618" t="inlineStr">
        <is>
          <t>Operational Suppliers (Wind Farms)</t>
        </is>
      </c>
      <c r="E2618" t="n">
        <v>5015449</v>
      </c>
      <c r="F2618" t="inlineStr">
        <is>
          <t>6374-2</t>
        </is>
      </c>
      <c r="G2618" t="inlineStr">
        <is>
          <t>RE</t>
        </is>
      </c>
      <c r="H2618" s="12" t="n">
        <v>-4200</v>
      </c>
      <c r="I2618" s="17" t="n">
        <v>46244</v>
      </c>
      <c r="J2618" s="17" t="n">
        <v>46300</v>
      </c>
      <c r="K2618" t="inlineStr">
        <is>
          <t>Fatura - bruto QUELMAR TRANSPORTES LTDA 6374-2</t>
        </is>
      </c>
    </row>
    <row r="2619">
      <c r="A2619" t="inlineStr">
        <is>
          <t>100883</t>
        </is>
      </c>
      <c r="B2619" t="inlineStr">
        <is>
          <t>QUELMAR TRANSPORTES LTDA</t>
        </is>
      </c>
      <c r="C2619" t="n">
        <v>2111000000</v>
      </c>
      <c r="D2619" t="inlineStr">
        <is>
          <t>Operational Suppliers (Wind Farms)</t>
        </is>
      </c>
      <c r="E2619" t="n">
        <v>5015450</v>
      </c>
      <c r="F2619" t="inlineStr">
        <is>
          <t>6340-2</t>
        </is>
      </c>
      <c r="G2619" t="inlineStr">
        <is>
          <t>RE</t>
        </is>
      </c>
      <c r="H2619" s="12" t="n">
        <v>-6470</v>
      </c>
      <c r="I2619" s="17" t="n">
        <v>46239</v>
      </c>
      <c r="J2619" s="17" t="n">
        <v>46300</v>
      </c>
      <c r="K2619" t="inlineStr">
        <is>
          <t>Fatura - bruto QUELMAR TRANSPORTES LTDA 6340-2</t>
        </is>
      </c>
    </row>
    <row r="2620">
      <c r="A2620" t="inlineStr">
        <is>
          <t>100883</t>
        </is>
      </c>
      <c r="B2620" t="inlineStr">
        <is>
          <t>QUELMAR TRANSPORTES LTDA</t>
        </is>
      </c>
      <c r="C2620" t="n">
        <v>2111000000</v>
      </c>
      <c r="D2620" t="inlineStr">
        <is>
          <t>Operational Suppliers (Wind Farms)</t>
        </is>
      </c>
      <c r="E2620" t="n">
        <v>5015451</v>
      </c>
      <c r="F2620" t="inlineStr">
        <is>
          <t>6376-2</t>
        </is>
      </c>
      <c r="G2620" t="inlineStr">
        <is>
          <t>RE</t>
        </is>
      </c>
      <c r="H2620" s="12" t="n">
        <v>-1723</v>
      </c>
      <c r="I2620" s="17" t="n">
        <v>46245</v>
      </c>
      <c r="J2620" s="17" t="n">
        <v>46300</v>
      </c>
      <c r="K2620" t="inlineStr">
        <is>
          <t>Fatura - bruto QUELMAR TRANSPORTES LTDA 6376-2</t>
        </is>
      </c>
    </row>
    <row r="2621">
      <c r="A2621" t="inlineStr">
        <is>
          <t>100883</t>
        </is>
      </c>
      <c r="B2621" t="inlineStr">
        <is>
          <t>QUELMAR TRANSPORTES LTDA</t>
        </is>
      </c>
      <c r="C2621" t="n">
        <v>2111000000</v>
      </c>
      <c r="D2621" t="inlineStr">
        <is>
          <t>Operational Suppliers (Wind Farms)</t>
        </is>
      </c>
      <c r="E2621" t="n">
        <v>5015452</v>
      </c>
      <c r="F2621" t="inlineStr">
        <is>
          <t>6375-2</t>
        </is>
      </c>
      <c r="G2621" t="inlineStr">
        <is>
          <t>RE</t>
        </is>
      </c>
      <c r="H2621" s="12" t="n">
        <v>-1780</v>
      </c>
      <c r="I2621" s="17" t="n">
        <v>46244</v>
      </c>
      <c r="J2621" s="17" t="n">
        <v>46300</v>
      </c>
      <c r="K2621" t="inlineStr">
        <is>
          <t>Fatura - bruto QUELMAR TRANSPORTES LTDA 6375-2</t>
        </is>
      </c>
    </row>
    <row r="2622">
      <c r="A2622" t="inlineStr">
        <is>
          <t>100883</t>
        </is>
      </c>
      <c r="B2622" t="inlineStr">
        <is>
          <t>QUELMAR TRANSPORTES LTDA</t>
        </is>
      </c>
      <c r="C2622" t="n">
        <v>2111000000</v>
      </c>
      <c r="D2622" t="inlineStr">
        <is>
          <t>Operational Suppliers (Wind Farms)</t>
        </is>
      </c>
      <c r="E2622" t="n">
        <v>5015453</v>
      </c>
      <c r="F2622" t="inlineStr">
        <is>
          <t>6383-2</t>
        </is>
      </c>
      <c r="G2622" t="inlineStr">
        <is>
          <t>RE</t>
        </is>
      </c>
      <c r="H2622" s="12" t="n">
        <v>-1970</v>
      </c>
      <c r="I2622" s="17" t="n">
        <v>46245</v>
      </c>
      <c r="J2622" s="17" t="n">
        <v>46300</v>
      </c>
      <c r="K2622" t="inlineStr">
        <is>
          <t>Fatura - bruto QUELMAR TRANSPORTES LTDA 6383-2</t>
        </is>
      </c>
    </row>
    <row r="2623">
      <c r="A2623" t="inlineStr">
        <is>
          <t>101463</t>
        </is>
      </c>
      <c r="B2623" t="inlineStr">
        <is>
          <t>ZURICH MINAS BRASIL SEGUROS S A</t>
        </is>
      </c>
      <c r="C2623" t="n">
        <v>2111000000</v>
      </c>
      <c r="D2623" t="inlineStr">
        <is>
          <t>Insurance</t>
        </is>
      </c>
      <c r="E2623" t="n">
        <v>5015454</v>
      </c>
      <c r="F2623" t="inlineStr">
        <is>
          <t>0238/26</t>
        </is>
      </c>
      <c r="G2623" t="inlineStr">
        <is>
          <t>RE</t>
        </is>
      </c>
      <c r="H2623" s="12" t="n">
        <v>-3109.57</v>
      </c>
      <c r="I2623" s="17" t="n">
        <v>46252</v>
      </c>
      <c r="J2623" s="17" t="n">
        <v>46282</v>
      </c>
      <c r="K2623" t="inlineStr">
        <is>
          <t>Invoice Payment. SP: 21682</t>
        </is>
      </c>
    </row>
    <row r="2624">
      <c r="A2624" t="inlineStr">
        <is>
          <t>100883</t>
        </is>
      </c>
      <c r="B2624" t="inlineStr">
        <is>
          <t>QUELMAR TRANSPORTES LTDA</t>
        </is>
      </c>
      <c r="C2624" t="n">
        <v>2111000000</v>
      </c>
      <c r="D2624" t="inlineStr">
        <is>
          <t>Operational Suppliers (Wind Farms)</t>
        </is>
      </c>
      <c r="E2624" t="n">
        <v>5015455</v>
      </c>
      <c r="F2624" t="inlineStr">
        <is>
          <t>6356-2</t>
        </is>
      </c>
      <c r="G2624" t="inlineStr">
        <is>
          <t>RE</t>
        </is>
      </c>
      <c r="H2624" s="12" t="n">
        <v>-2950</v>
      </c>
      <c r="I2624" s="17" t="n">
        <v>46239</v>
      </c>
      <c r="J2624" s="17" t="n">
        <v>46300</v>
      </c>
      <c r="K2624" t="inlineStr">
        <is>
          <t>Fatura - bruto QUELMAR TRANSPORTES LTDA 6356-2</t>
        </is>
      </c>
    </row>
    <row r="2625">
      <c r="A2625" t="inlineStr">
        <is>
          <t>101463</t>
        </is>
      </c>
      <c r="B2625" t="inlineStr">
        <is>
          <t>ZURICH MINAS BRASIL SEGUROS S A</t>
        </is>
      </c>
      <c r="C2625" t="n">
        <v>2111000000</v>
      </c>
      <c r="D2625" t="inlineStr">
        <is>
          <t>Insurance</t>
        </is>
      </c>
      <c r="E2625" t="n">
        <v>5015458</v>
      </c>
      <c r="F2625" t="inlineStr">
        <is>
          <t>0493/26</t>
        </is>
      </c>
      <c r="G2625" t="inlineStr">
        <is>
          <t>RE</t>
        </is>
      </c>
      <c r="H2625" s="12" t="n">
        <v>-39.89</v>
      </c>
      <c r="I2625" s="17" t="n">
        <v>46252</v>
      </c>
      <c r="J2625" s="17" t="n">
        <v>46282</v>
      </c>
      <c r="K2625" t="inlineStr">
        <is>
          <t>Invoice Payment. SP: 21684</t>
        </is>
      </c>
    </row>
    <row r="2626">
      <c r="A2626" t="inlineStr">
        <is>
          <t>101463</t>
        </is>
      </c>
      <c r="B2626" t="inlineStr">
        <is>
          <t>ZURICH MINAS BRASIL SEGUROS S A</t>
        </is>
      </c>
      <c r="C2626" t="n">
        <v>2111000000</v>
      </c>
      <c r="D2626" t="inlineStr">
        <is>
          <t>Insurance</t>
        </is>
      </c>
      <c r="E2626" t="n">
        <v>5015467</v>
      </c>
      <c r="F2626" t="inlineStr">
        <is>
          <t>0375/26</t>
        </is>
      </c>
      <c r="G2626" t="inlineStr">
        <is>
          <t>RE</t>
        </is>
      </c>
      <c r="H2626" s="12" t="n">
        <v>-5684.04</v>
      </c>
      <c r="I2626" s="17" t="n">
        <v>46252</v>
      </c>
      <c r="J2626" s="17" t="n">
        <v>46252</v>
      </c>
      <c r="K2626" t="inlineStr">
        <is>
          <t>Invoice Payment. SP: 21688</t>
        </is>
      </c>
    </row>
    <row r="2627">
      <c r="A2627" t="inlineStr">
        <is>
          <t>107720</t>
        </is>
      </c>
      <c r="B2627" t="inlineStr">
        <is>
          <t>DAYCOVAL LEASING SOCIEDADE DE ARRENDAMENTO MERCANTIL S.A</t>
        </is>
      </c>
      <c r="C2627" t="n">
        <v>2111000000</v>
      </c>
      <c r="D2627" t="inlineStr">
        <is>
          <t>Other Suppliers</t>
        </is>
      </c>
      <c r="E2627" t="n">
        <v>5015471</v>
      </c>
      <c r="F2627" t="inlineStr">
        <is>
          <t>776064</t>
        </is>
      </c>
      <c r="G2627" t="inlineStr">
        <is>
          <t>RE</t>
        </is>
      </c>
      <c r="H2627" s="12" t="n">
        <v>-3552.98</v>
      </c>
      <c r="I2627" s="17" t="n">
        <v>46247</v>
      </c>
      <c r="J2627" s="17" t="n">
        <v>46269</v>
      </c>
      <c r="K2627" t="inlineStr">
        <is>
          <t>*34191570070057558713401352670002115590000355298</t>
        </is>
      </c>
    </row>
    <row r="2628">
      <c r="A2628" t="inlineStr">
        <is>
          <t>107720</t>
        </is>
      </c>
      <c r="B2628" t="inlineStr">
        <is>
          <t>DAYCOVAL LEASING SOCIEDADE DE ARRENDAMENTO MERCANTIL S.A</t>
        </is>
      </c>
      <c r="C2628" t="n">
        <v>2111000000</v>
      </c>
      <c r="D2628" t="inlineStr">
        <is>
          <t>Other Suppliers</t>
        </is>
      </c>
      <c r="E2628" t="n">
        <v>5015472</v>
      </c>
      <c r="F2628" t="inlineStr">
        <is>
          <t>593050</t>
        </is>
      </c>
      <c r="G2628" t="inlineStr">
        <is>
          <t>RE</t>
        </is>
      </c>
      <c r="H2628" s="12" t="n">
        <v>-8104.66</v>
      </c>
      <c r="I2628" s="17" t="n">
        <v>46247</v>
      </c>
      <c r="J2628" s="17" t="n">
        <v>46270</v>
      </c>
      <c r="K2628" t="inlineStr">
        <is>
          <t>*34191570070057566713401352670002415600000810466</t>
        </is>
      </c>
    </row>
    <row r="2629">
      <c r="A2629" t="inlineStr">
        <is>
          <t>100018</t>
        </is>
      </c>
      <c r="B2629" t="inlineStr">
        <is>
          <t>HOST TECNOLOGIA LTDA</t>
        </is>
      </c>
      <c r="C2629" t="n">
        <v>2111000000</v>
      </c>
      <c r="D2629" t="inlineStr">
        <is>
          <t>Other Suppliers</t>
        </is>
      </c>
      <c r="E2629" t="n">
        <v>5015473</v>
      </c>
      <c r="F2629" t="inlineStr">
        <is>
          <t>97283</t>
        </is>
      </c>
      <c r="G2629" t="inlineStr">
        <is>
          <t>RE</t>
        </is>
      </c>
      <c r="H2629" s="12" t="n">
        <v>-622.3099999999999</v>
      </c>
      <c r="I2629" s="17" t="n">
        <v>46250</v>
      </c>
      <c r="J2629" s="17" t="n">
        <v>46280</v>
      </c>
      <c r="K2629" t="inlineStr">
        <is>
          <t>Fatura - bruto HOST TECNOLOGIA LTDA 97283</t>
        </is>
      </c>
    </row>
    <row r="2630">
      <c r="A2630" t="inlineStr">
        <is>
          <t>100411</t>
        </is>
      </c>
      <c r="B2630" t="inlineStr">
        <is>
          <t>HOSTFIBER COMUNICACAO MULTIMIDIA LT</t>
        </is>
      </c>
      <c r="C2630" t="n">
        <v>2111000000</v>
      </c>
      <c r="D2630" t="inlineStr">
        <is>
          <t>Other Suppliers</t>
        </is>
      </c>
      <c r="E2630" t="n">
        <v>5015474</v>
      </c>
      <c r="F2630" t="inlineStr">
        <is>
          <t>200530-1</t>
        </is>
      </c>
      <c r="G2630" t="inlineStr">
        <is>
          <t>RE</t>
        </is>
      </c>
      <c r="H2630" s="12" t="n">
        <v>-1452.06</v>
      </c>
      <c r="I2630" s="17" t="n">
        <v>46252</v>
      </c>
      <c r="J2630" s="17" t="n">
        <v>46280</v>
      </c>
      <c r="K2630" t="inlineStr">
        <is>
          <t>Fatura - bruto HOSTFIBER COMUNICACAO MULTIMIDIA LT</t>
        </is>
      </c>
    </row>
    <row r="2631">
      <c r="A2631" t="inlineStr">
        <is>
          <t>105693</t>
        </is>
      </c>
      <c r="B2631" t="inlineStr">
        <is>
          <t>WINSERVICE SOLUTION INFORMATICA LTD 02598005000193</t>
        </is>
      </c>
      <c r="C2631" t="n">
        <v>2111000000</v>
      </c>
      <c r="D2631" t="inlineStr">
        <is>
          <t>Other Suppliers</t>
        </is>
      </c>
      <c r="E2631" t="n">
        <v>5015475</v>
      </c>
      <c r="F2631" t="inlineStr">
        <is>
          <t>6591</t>
        </is>
      </c>
      <c r="G2631" t="inlineStr">
        <is>
          <t>RE</t>
        </is>
      </c>
      <c r="H2631" s="12" t="n">
        <v>-424.2</v>
      </c>
      <c r="I2631" s="17" t="n">
        <v>46237</v>
      </c>
      <c r="J2631" s="17" t="n">
        <v>46272</v>
      </c>
      <c r="K2631" t="inlineStr">
        <is>
          <t>Fatura - bruto WINSERVICE SOLUTION INFORMATICA LTD</t>
        </is>
      </c>
    </row>
    <row r="2632">
      <c r="A2632" t="inlineStr">
        <is>
          <t>101105</t>
        </is>
      </c>
      <c r="B2632" t="inlineStr">
        <is>
          <t>IMUNIZADORA POTYGUAR E SERVICOS LTD</t>
        </is>
      </c>
      <c r="C2632" t="n">
        <v>2111000000</v>
      </c>
      <c r="D2632" t="inlineStr">
        <is>
          <t>Other Suppliers</t>
        </is>
      </c>
      <c r="E2632" t="n">
        <v>5015476</v>
      </c>
      <c r="F2632" t="inlineStr">
        <is>
          <t>989</t>
        </is>
      </c>
      <c r="G2632" t="inlineStr">
        <is>
          <t>RE</t>
        </is>
      </c>
      <c r="H2632" s="12" t="n">
        <v>-12000</v>
      </c>
      <c r="I2632" s="17" t="n">
        <v>46246</v>
      </c>
      <c r="J2632" s="17" t="n">
        <v>46270</v>
      </c>
      <c r="K2632" t="inlineStr">
        <is>
          <t>Fatura - bruto IMUNIZADORA POTYGUAR E SERVICOS LTD</t>
        </is>
      </c>
    </row>
    <row r="2633">
      <c r="A2633" t="inlineStr">
        <is>
          <t>104059</t>
        </is>
      </c>
      <c r="B2633" t="inlineStr">
        <is>
          <t>MG SERVICOS E SAUDE LTDA 48515732000140</t>
        </is>
      </c>
      <c r="C2633" t="n">
        <v>2111000000</v>
      </c>
      <c r="D2633" t="inlineStr">
        <is>
          <t>Other Suppliers</t>
        </is>
      </c>
      <c r="E2633" t="n">
        <v>5015477</v>
      </c>
      <c r="F2633" t="inlineStr">
        <is>
          <t>958</t>
        </is>
      </c>
      <c r="G2633" t="inlineStr">
        <is>
          <t>RE</t>
        </is>
      </c>
      <c r="H2633" s="12" t="n">
        <v>-30510</v>
      </c>
      <c r="I2633" s="17" t="n">
        <v>46247</v>
      </c>
      <c r="J2633" s="17" t="n">
        <v>46278</v>
      </c>
      <c r="K2633" t="inlineStr">
        <is>
          <t>Fatura - bruto MG SERVICOS E SAUDE LTDA 4851573200</t>
        </is>
      </c>
    </row>
    <row r="2634">
      <c r="A2634" t="inlineStr">
        <is>
          <t>104059</t>
        </is>
      </c>
      <c r="B2634" t="inlineStr">
        <is>
          <t>MG SERVICOS E SAUDE LTDA 48515732000140</t>
        </is>
      </c>
      <c r="C2634" t="n">
        <v>2111000000</v>
      </c>
      <c r="D2634" t="inlineStr">
        <is>
          <t>Other Suppliers</t>
        </is>
      </c>
      <c r="E2634" t="n">
        <v>5015478</v>
      </c>
      <c r="F2634" t="inlineStr">
        <is>
          <t>26</t>
        </is>
      </c>
      <c r="G2634" t="inlineStr">
        <is>
          <t>RE</t>
        </is>
      </c>
      <c r="H2634" s="12" t="n">
        <v>-20969.06</v>
      </c>
      <c r="I2634" s="17" t="n">
        <v>46247</v>
      </c>
      <c r="J2634" s="17" t="n">
        <v>46278</v>
      </c>
      <c r="K2634" t="inlineStr">
        <is>
          <t>Fatura - bruto MG SERVICOS E SAUDE LTDA 4851573200</t>
        </is>
      </c>
    </row>
    <row r="2635">
      <c r="A2635" t="inlineStr">
        <is>
          <t>104059</t>
        </is>
      </c>
      <c r="B2635" t="inlineStr">
        <is>
          <t>MG SERVICOS E SAUDE LTDA 48515732000140</t>
        </is>
      </c>
      <c r="C2635" t="n">
        <v>2111000000</v>
      </c>
      <c r="D2635" t="inlineStr">
        <is>
          <t>Other Suppliers</t>
        </is>
      </c>
      <c r="E2635" t="n">
        <v>5015479</v>
      </c>
      <c r="F2635" t="inlineStr">
        <is>
          <t>27</t>
        </is>
      </c>
      <c r="G2635" t="inlineStr">
        <is>
          <t>RE</t>
        </is>
      </c>
      <c r="H2635" s="12" t="n">
        <v>-4835.5</v>
      </c>
      <c r="I2635" s="17" t="n">
        <v>46247</v>
      </c>
      <c r="J2635" s="17" t="n">
        <v>46278</v>
      </c>
      <c r="K2635" t="inlineStr">
        <is>
          <t>Fatura - bruto MG SERVICOS E SAUDE LTDA 4851573200</t>
        </is>
      </c>
    </row>
    <row r="2636">
      <c r="A2636" t="inlineStr">
        <is>
          <t>104059</t>
        </is>
      </c>
      <c r="B2636" t="inlineStr">
        <is>
          <t>MG SERVICOS E SAUDE LTDA 48515732000140</t>
        </is>
      </c>
      <c r="C2636" t="n">
        <v>2111000000</v>
      </c>
      <c r="D2636" t="inlineStr">
        <is>
          <t>Other Suppliers</t>
        </is>
      </c>
      <c r="E2636" t="n">
        <v>5015480</v>
      </c>
      <c r="F2636" t="inlineStr">
        <is>
          <t>29</t>
        </is>
      </c>
      <c r="G2636" t="inlineStr">
        <is>
          <t>RE</t>
        </is>
      </c>
      <c r="H2636" s="12" t="n">
        <v>-4512.5</v>
      </c>
      <c r="I2636" s="17" t="n">
        <v>46247</v>
      </c>
      <c r="J2636" s="17" t="n">
        <v>46278</v>
      </c>
      <c r="K2636" t="inlineStr">
        <is>
          <t>Fatura - bruto MG SERVICOS E SAUDE LTDA 4851573200</t>
        </is>
      </c>
    </row>
    <row r="2637">
      <c r="A2637" t="inlineStr">
        <is>
          <t>104059</t>
        </is>
      </c>
      <c r="B2637" t="inlineStr">
        <is>
          <t>MG SERVICOS E SAUDE LTDA 48515732000140</t>
        </is>
      </c>
      <c r="C2637" t="n">
        <v>2111000000</v>
      </c>
      <c r="D2637" t="inlineStr">
        <is>
          <t>Other Suppliers</t>
        </is>
      </c>
      <c r="E2637" t="n">
        <v>5015481</v>
      </c>
      <c r="F2637" t="inlineStr">
        <is>
          <t>25</t>
        </is>
      </c>
      <c r="G2637" t="inlineStr">
        <is>
          <t>RE</t>
        </is>
      </c>
      <c r="H2637" s="12" t="n">
        <v>-50937.6</v>
      </c>
      <c r="I2637" s="17" t="n">
        <v>46247</v>
      </c>
      <c r="J2637" s="17" t="n">
        <v>46278</v>
      </c>
      <c r="K2637" t="inlineStr">
        <is>
          <t>Fatura - bruto MG SERVICOS E SAUDE LTDA 4851573200</t>
        </is>
      </c>
    </row>
    <row r="2638">
      <c r="A2638" t="inlineStr">
        <is>
          <t>104059</t>
        </is>
      </c>
      <c r="B2638" t="inlineStr">
        <is>
          <t>MG SERVICOS E SAUDE LTDA 48515732000140</t>
        </is>
      </c>
      <c r="C2638" t="n">
        <v>2111000000</v>
      </c>
      <c r="D2638" t="inlineStr">
        <is>
          <t>Other Suppliers</t>
        </is>
      </c>
      <c r="E2638" t="n">
        <v>5015482</v>
      </c>
      <c r="F2638" t="inlineStr">
        <is>
          <t>22</t>
        </is>
      </c>
      <c r="G2638" t="inlineStr">
        <is>
          <t>RE</t>
        </is>
      </c>
      <c r="H2638" s="12" t="n">
        <v>-1600.2</v>
      </c>
      <c r="I2638" s="17" t="n">
        <v>46247</v>
      </c>
      <c r="J2638" s="17" t="n">
        <v>46278</v>
      </c>
      <c r="K2638" t="inlineStr">
        <is>
          <t>Fatura - bruto MG SERVICOS E SAUDE LTDA 4851573200</t>
        </is>
      </c>
    </row>
    <row r="2639">
      <c r="A2639" t="inlineStr">
        <is>
          <t>104059</t>
        </is>
      </c>
      <c r="B2639" t="inlineStr">
        <is>
          <t>MG SERVICOS E SAUDE LTDA 48515732000140</t>
        </is>
      </c>
      <c r="C2639" t="n">
        <v>2111000000</v>
      </c>
      <c r="D2639" t="inlineStr">
        <is>
          <t>Other Suppliers</t>
        </is>
      </c>
      <c r="E2639" t="n">
        <v>5015483</v>
      </c>
      <c r="F2639" t="inlineStr">
        <is>
          <t>23</t>
        </is>
      </c>
      <c r="G2639" t="inlineStr">
        <is>
          <t>RE</t>
        </is>
      </c>
      <c r="H2639" s="12" t="n">
        <v>-1765.98</v>
      </c>
      <c r="I2639" s="17" t="n">
        <v>46247</v>
      </c>
      <c r="J2639" s="17" t="n">
        <v>46278</v>
      </c>
      <c r="K2639" t="inlineStr">
        <is>
          <t>Fatura - bruto MG SERVICOS E SAUDE LTDA 4851573200</t>
        </is>
      </c>
    </row>
    <row r="2640">
      <c r="A2640" t="inlineStr">
        <is>
          <t>104059</t>
        </is>
      </c>
      <c r="B2640" t="inlineStr">
        <is>
          <t>MG SERVICOS E SAUDE LTDA 48515732000140</t>
        </is>
      </c>
      <c r="C2640" t="n">
        <v>2111000000</v>
      </c>
      <c r="D2640" t="inlineStr">
        <is>
          <t>Other Suppliers</t>
        </is>
      </c>
      <c r="E2640" t="n">
        <v>5015484</v>
      </c>
      <c r="F2640" t="inlineStr">
        <is>
          <t>957</t>
        </is>
      </c>
      <c r="G2640" t="inlineStr">
        <is>
          <t>RE</t>
        </is>
      </c>
      <c r="H2640" s="12" t="n">
        <v>-26000</v>
      </c>
      <c r="I2640" s="17" t="n">
        <v>46247</v>
      </c>
      <c r="J2640" s="17" t="n">
        <v>46278</v>
      </c>
      <c r="K2640" t="inlineStr">
        <is>
          <t>Fatura - bruto MG SERVICOS E SAUDE LTDA 4851573200</t>
        </is>
      </c>
    </row>
    <row r="2641">
      <c r="A2641" t="inlineStr">
        <is>
          <t>104059</t>
        </is>
      </c>
      <c r="B2641" t="inlineStr">
        <is>
          <t>MG SERVICOS E SAUDE LTDA 48515732000140</t>
        </is>
      </c>
      <c r="C2641" t="n">
        <v>2111000000</v>
      </c>
      <c r="D2641" t="inlineStr">
        <is>
          <t>Other Suppliers</t>
        </is>
      </c>
      <c r="E2641" t="n">
        <v>5015485</v>
      </c>
      <c r="F2641" t="inlineStr">
        <is>
          <t>24</t>
        </is>
      </c>
      <c r="G2641" t="inlineStr">
        <is>
          <t>RE</t>
        </is>
      </c>
      <c r="H2641" s="12" t="n">
        <v>-9542.299999999999</v>
      </c>
      <c r="I2641" s="17" t="n">
        <v>46247</v>
      </c>
      <c r="J2641" s="17" t="n">
        <v>46278</v>
      </c>
      <c r="K2641" t="inlineStr">
        <is>
          <t>Fatura - bruto MG SERVICOS E SAUDE LTDA 4851573200</t>
        </is>
      </c>
    </row>
    <row r="2642">
      <c r="A2642" t="inlineStr">
        <is>
          <t>101226</t>
        </is>
      </c>
      <c r="B2642" t="inlineStr">
        <is>
          <t>AL WIND SOLUCOES LTDA</t>
        </is>
      </c>
      <c r="C2642" t="n">
        <v>2111000000</v>
      </c>
      <c r="D2642" t="inlineStr">
        <is>
          <t>Other Suppliers</t>
        </is>
      </c>
      <c r="E2642" t="n">
        <v>5015486</v>
      </c>
      <c r="F2642" t="inlineStr">
        <is>
          <t>64</t>
        </is>
      </c>
      <c r="G2642" t="inlineStr">
        <is>
          <t>RE</t>
        </is>
      </c>
      <c r="H2642" s="12" t="n">
        <v>-2125.01</v>
      </c>
      <c r="I2642" s="17" t="n">
        <v>46248</v>
      </c>
      <c r="J2642" s="17" t="n">
        <v>46278</v>
      </c>
      <c r="K2642" t="inlineStr">
        <is>
          <t>Fatura - bruto AL WIND SOLUCOES LTDA 64</t>
        </is>
      </c>
    </row>
    <row r="2643">
      <c r="A2643" t="inlineStr">
        <is>
          <t>101508</t>
        </is>
      </c>
      <c r="B2643" t="inlineStr">
        <is>
          <t>RANDSTAD BRASIL RECURSOS HUMANOS LT</t>
        </is>
      </c>
      <c r="C2643" t="n">
        <v>2111000000</v>
      </c>
      <c r="D2643" t="inlineStr">
        <is>
          <t>Other Suppliers</t>
        </is>
      </c>
      <c r="E2643" t="n">
        <v>5015488</v>
      </c>
      <c r="F2643" t="inlineStr">
        <is>
          <t>256405</t>
        </is>
      </c>
      <c r="G2643" t="inlineStr">
        <is>
          <t>RE</t>
        </is>
      </c>
      <c r="H2643" s="12" t="n">
        <v>-10458.59</v>
      </c>
      <c r="I2643" s="17" t="n">
        <v>46252</v>
      </c>
      <c r="J2643" s="17" t="n">
        <v>46282</v>
      </c>
      <c r="K2643" t="inlineStr">
        <is>
          <t>Fatura - bruto RANDSTAD BRASIL RECURSOS HUMANOS LT</t>
        </is>
      </c>
    </row>
    <row r="2644">
      <c r="A2644" t="inlineStr">
        <is>
          <t>100883</t>
        </is>
      </c>
      <c r="B2644" t="inlineStr">
        <is>
          <t>QUELMAR TRANSPORTES LTDA</t>
        </is>
      </c>
      <c r="C2644" t="n">
        <v>2111000000</v>
      </c>
      <c r="D2644" t="inlineStr">
        <is>
          <t>Operational Suppliers (Wind Farms)</t>
        </is>
      </c>
      <c r="E2644" t="n">
        <v>5015489</v>
      </c>
      <c r="F2644" t="inlineStr">
        <is>
          <t>6369-2</t>
        </is>
      </c>
      <c r="G2644" t="inlineStr">
        <is>
          <t>RE</t>
        </is>
      </c>
      <c r="H2644" s="12" t="n">
        <v>-2400</v>
      </c>
      <c r="I2644" s="17" t="n">
        <v>46241</v>
      </c>
      <c r="J2644" s="17" t="n">
        <v>46300</v>
      </c>
      <c r="K2644" t="inlineStr">
        <is>
          <t>Fatura - bruto QUELMAR TRANSPORTES LTDA 6369-2</t>
        </is>
      </c>
    </row>
    <row r="2645">
      <c r="A2645" t="inlineStr">
        <is>
          <t>100883</t>
        </is>
      </c>
      <c r="B2645" t="inlineStr">
        <is>
          <t>QUELMAR TRANSPORTES LTDA</t>
        </is>
      </c>
      <c r="C2645" t="n">
        <v>2111000000</v>
      </c>
      <c r="D2645" t="inlineStr">
        <is>
          <t>Operational Suppliers (Wind Farms)</t>
        </is>
      </c>
      <c r="E2645" t="n">
        <v>5015490</v>
      </c>
      <c r="F2645" t="inlineStr">
        <is>
          <t>6350-2</t>
        </is>
      </c>
      <c r="G2645" t="inlineStr">
        <is>
          <t>RE</t>
        </is>
      </c>
      <c r="H2645" s="12" t="n">
        <v>-3400</v>
      </c>
      <c r="I2645" s="17" t="n">
        <v>46239</v>
      </c>
      <c r="J2645" s="17" t="n">
        <v>46300</v>
      </c>
      <c r="K2645" t="inlineStr">
        <is>
          <t>Fatura - bruto QUELMAR TRANSPORTES LTDA 6350-2</t>
        </is>
      </c>
    </row>
    <row r="2646">
      <c r="A2646" t="inlineStr">
        <is>
          <t>100883</t>
        </is>
      </c>
      <c r="B2646" t="inlineStr">
        <is>
          <t>QUELMAR TRANSPORTES LTDA</t>
        </is>
      </c>
      <c r="C2646" t="n">
        <v>2111000000</v>
      </c>
      <c r="D2646" t="inlineStr">
        <is>
          <t>Operational Suppliers (Wind Farms)</t>
        </is>
      </c>
      <c r="E2646" t="n">
        <v>5015491</v>
      </c>
      <c r="F2646" t="inlineStr">
        <is>
          <t>6351-2</t>
        </is>
      </c>
      <c r="G2646" t="inlineStr">
        <is>
          <t>RE</t>
        </is>
      </c>
      <c r="H2646" s="12" t="n">
        <v>-3980</v>
      </c>
      <c r="I2646" s="17" t="n">
        <v>46239</v>
      </c>
      <c r="J2646" s="17" t="n">
        <v>46300</v>
      </c>
      <c r="K2646" t="inlineStr">
        <is>
          <t>Fatura - bruto QUELMAR TRANSPORTES LTDA 6351-2</t>
        </is>
      </c>
    </row>
    <row r="2647">
      <c r="A2647" t="inlineStr">
        <is>
          <t>100883</t>
        </is>
      </c>
      <c r="B2647" t="inlineStr">
        <is>
          <t>QUELMAR TRANSPORTES LTDA</t>
        </is>
      </c>
      <c r="C2647" t="n">
        <v>2111000000</v>
      </c>
      <c r="D2647" t="inlineStr">
        <is>
          <t>Operational Suppliers (Wind Farms)</t>
        </is>
      </c>
      <c r="E2647" t="n">
        <v>5015492</v>
      </c>
      <c r="F2647" t="inlineStr">
        <is>
          <t>6384-2</t>
        </is>
      </c>
      <c r="G2647" t="inlineStr">
        <is>
          <t>RE</t>
        </is>
      </c>
      <c r="H2647" s="12" t="n">
        <v>-3500</v>
      </c>
      <c r="I2647" s="17" t="n">
        <v>46245</v>
      </c>
      <c r="J2647" s="17" t="n">
        <v>46300</v>
      </c>
      <c r="K2647" t="inlineStr">
        <is>
          <t>Fatura - bruto QUELMAR TRANSPORTES LTDA 6384-2</t>
        </is>
      </c>
    </row>
    <row r="2648">
      <c r="A2648" t="inlineStr">
        <is>
          <t>100883</t>
        </is>
      </c>
      <c r="B2648" t="inlineStr">
        <is>
          <t>QUELMAR TRANSPORTES LTDA</t>
        </is>
      </c>
      <c r="C2648" t="n">
        <v>2111000000</v>
      </c>
      <c r="D2648" t="inlineStr">
        <is>
          <t>Operational Suppliers (Wind Farms)</t>
        </is>
      </c>
      <c r="E2648" t="n">
        <v>5015493</v>
      </c>
      <c r="F2648" t="inlineStr">
        <is>
          <t>108326-1</t>
        </is>
      </c>
      <c r="G2648" t="inlineStr">
        <is>
          <t>RE</t>
        </is>
      </c>
      <c r="H2648" s="12" t="n">
        <v>-3590</v>
      </c>
      <c r="I2648" s="17" t="n">
        <v>46240</v>
      </c>
      <c r="J2648" s="17" t="n">
        <v>46300</v>
      </c>
      <c r="K2648" t="inlineStr">
        <is>
          <t>Fatura - bruto QUELMAR TRANSPORTES LTDA 108326-1</t>
        </is>
      </c>
    </row>
    <row r="2649">
      <c r="A2649" t="inlineStr">
        <is>
          <t>100883</t>
        </is>
      </c>
      <c r="B2649" t="inlineStr">
        <is>
          <t>QUELMAR TRANSPORTES LTDA</t>
        </is>
      </c>
      <c r="C2649" t="n">
        <v>2111000000</v>
      </c>
      <c r="D2649" t="inlineStr">
        <is>
          <t>Operational Suppliers (Wind Farms)</t>
        </is>
      </c>
      <c r="E2649" t="n">
        <v>5015494</v>
      </c>
      <c r="F2649" t="inlineStr">
        <is>
          <t>6386-2</t>
        </is>
      </c>
      <c r="G2649" t="inlineStr">
        <is>
          <t>RE</t>
        </is>
      </c>
      <c r="H2649" s="12" t="n">
        <v>-3980</v>
      </c>
      <c r="I2649" s="17" t="n">
        <v>46245</v>
      </c>
      <c r="J2649" s="17" t="n">
        <v>46300</v>
      </c>
      <c r="K2649" t="inlineStr">
        <is>
          <t>Fatura - bruto QUELMAR TRANSPORTES LTDA 6386-2</t>
        </is>
      </c>
    </row>
    <row r="2650">
      <c r="A2650" t="inlineStr">
        <is>
          <t>104059</t>
        </is>
      </c>
      <c r="B2650" t="inlineStr">
        <is>
          <t>MG SERVICOS E SAUDE LTDA 48515732000140</t>
        </is>
      </c>
      <c r="C2650" t="n">
        <v>2111000000</v>
      </c>
      <c r="D2650" t="inlineStr">
        <is>
          <t>Other Suppliers</t>
        </is>
      </c>
      <c r="E2650" t="n">
        <v>5015496</v>
      </c>
      <c r="F2650" t="inlineStr">
        <is>
          <t>28</t>
        </is>
      </c>
      <c r="G2650" t="inlineStr">
        <is>
          <t>RE</t>
        </is>
      </c>
      <c r="H2650" s="12" t="n">
        <v>-5229.83</v>
      </c>
      <c r="I2650" s="17" t="n">
        <v>46247</v>
      </c>
      <c r="J2650" s="17" t="n">
        <v>46278</v>
      </c>
      <c r="K2650" t="inlineStr">
        <is>
          <t>Fatura - bruto MG SERVICOS E SAUDE LTDA 4851573200</t>
        </is>
      </c>
    </row>
    <row r="2651">
      <c r="A2651" t="inlineStr">
        <is>
          <t>103767</t>
        </is>
      </c>
      <c r="B2651" t="inlineStr">
        <is>
          <t>ROBERT HALF TRABALHO TEMPORARIO</t>
        </is>
      </c>
      <c r="C2651" t="n">
        <v>2111000000</v>
      </c>
      <c r="D2651" t="inlineStr">
        <is>
          <t>Other Suppliers</t>
        </is>
      </c>
      <c r="E2651" t="n">
        <v>5015498</v>
      </c>
      <c r="F2651" t="inlineStr">
        <is>
          <t>84047</t>
        </is>
      </c>
      <c r="G2651" t="inlineStr">
        <is>
          <t>RE</t>
        </is>
      </c>
      <c r="H2651" s="12" t="n">
        <v>-24273.92</v>
      </c>
      <c r="I2651" s="17" t="n">
        <v>46248</v>
      </c>
      <c r="J2651" s="17" t="n">
        <v>46278</v>
      </c>
      <c r="K2651" t="inlineStr">
        <is>
          <t>GILMAR SOARES ANTUNES - 06/2026</t>
        </is>
      </c>
    </row>
    <row r="2652">
      <c r="A2652" t="inlineStr">
        <is>
          <t>103767</t>
        </is>
      </c>
      <c r="B2652" t="inlineStr">
        <is>
          <t>ROBERT HALF TRABALHO TEMPORARIO</t>
        </is>
      </c>
      <c r="C2652" t="n">
        <v>2111000000</v>
      </c>
      <c r="D2652" t="inlineStr">
        <is>
          <t>Other Suppliers</t>
        </is>
      </c>
      <c r="E2652" t="n">
        <v>5015499</v>
      </c>
      <c r="F2652" t="inlineStr">
        <is>
          <t>84045</t>
        </is>
      </c>
      <c r="G2652" t="inlineStr">
        <is>
          <t>RE</t>
        </is>
      </c>
      <c r="H2652" s="12" t="n">
        <v>-25775.39</v>
      </c>
      <c r="I2652" s="17" t="n">
        <v>46248</v>
      </c>
      <c r="J2652" s="17" t="n">
        <v>46278</v>
      </c>
      <c r="K2652" t="inlineStr">
        <is>
          <t>GILMAR SOARES ANTUNES - 07/2026</t>
        </is>
      </c>
    </row>
    <row r="2653">
      <c r="A2653" t="inlineStr">
        <is>
          <t>103767</t>
        </is>
      </c>
      <c r="B2653" t="inlineStr">
        <is>
          <t>ROBERT HALF TRABALHO TEMPORARIO</t>
        </is>
      </c>
      <c r="C2653" t="n">
        <v>2111000000</v>
      </c>
      <c r="D2653" t="inlineStr">
        <is>
          <t>Other Suppliers</t>
        </is>
      </c>
      <c r="E2653" t="n">
        <v>5015500</v>
      </c>
      <c r="F2653" t="inlineStr">
        <is>
          <t>84046</t>
        </is>
      </c>
      <c r="G2653" t="inlineStr">
        <is>
          <t>RE</t>
        </is>
      </c>
      <c r="H2653" s="12" t="n">
        <v>-17472.68</v>
      </c>
      <c r="I2653" s="17" t="n">
        <v>46248</v>
      </c>
      <c r="J2653" s="17" t="n">
        <v>46278</v>
      </c>
      <c r="K2653" t="inlineStr">
        <is>
          <t>MARCELO SILVA SANTANA - 06/2026</t>
        </is>
      </c>
    </row>
    <row r="2654">
      <c r="A2654" t="inlineStr">
        <is>
          <t>100883</t>
        </is>
      </c>
      <c r="B2654" t="inlineStr">
        <is>
          <t>QUELMAR TRANSPORTES LTDA</t>
        </is>
      </c>
      <c r="C2654" t="n">
        <v>2111000000</v>
      </c>
      <c r="D2654" t="inlineStr">
        <is>
          <t>Operational Suppliers (Wind Farms)</t>
        </is>
      </c>
      <c r="E2654" t="n">
        <v>5015501</v>
      </c>
      <c r="F2654" t="inlineStr">
        <is>
          <t>6352-2</t>
        </is>
      </c>
      <c r="G2654" t="inlineStr">
        <is>
          <t>RE</t>
        </is>
      </c>
      <c r="H2654" s="12" t="n">
        <v>-3560</v>
      </c>
      <c r="I2654" s="17" t="n">
        <v>46239</v>
      </c>
      <c r="J2654" s="17" t="n">
        <v>46300</v>
      </c>
      <c r="K2654" t="inlineStr">
        <is>
          <t>Fatura - bruto QUELMAR TRANSPORTES LTDA 6352-2</t>
        </is>
      </c>
    </row>
    <row r="2655">
      <c r="A2655" t="inlineStr">
        <is>
          <t>100883</t>
        </is>
      </c>
      <c r="B2655" t="inlineStr">
        <is>
          <t>QUELMAR TRANSPORTES LTDA</t>
        </is>
      </c>
      <c r="C2655" t="n">
        <v>2111000000</v>
      </c>
      <c r="D2655" t="inlineStr">
        <is>
          <t>Operational Suppliers (Wind Farms)</t>
        </is>
      </c>
      <c r="E2655" t="n">
        <v>5015502</v>
      </c>
      <c r="F2655" t="inlineStr">
        <is>
          <t>6338-2</t>
        </is>
      </c>
      <c r="G2655" t="inlineStr">
        <is>
          <t>RE</t>
        </is>
      </c>
      <c r="H2655" s="12" t="n">
        <v>-6800</v>
      </c>
      <c r="I2655" s="17" t="n">
        <v>46238</v>
      </c>
      <c r="J2655" s="17" t="n">
        <v>46300</v>
      </c>
      <c r="K2655" t="inlineStr">
        <is>
          <t>Fatura - bruto QUELMAR TRANSPORTES LTDA 6338-2</t>
        </is>
      </c>
    </row>
    <row r="2656">
      <c r="A2656" t="inlineStr">
        <is>
          <t>100883</t>
        </is>
      </c>
      <c r="B2656" t="inlineStr">
        <is>
          <t>QUELMAR TRANSPORTES LTDA</t>
        </is>
      </c>
      <c r="C2656" t="n">
        <v>2111000000</v>
      </c>
      <c r="D2656" t="inlineStr">
        <is>
          <t>Operational Suppliers (Wind Farms)</t>
        </is>
      </c>
      <c r="E2656" t="n">
        <v>5015503</v>
      </c>
      <c r="F2656" t="inlineStr">
        <is>
          <t>6370-2</t>
        </is>
      </c>
      <c r="G2656" t="inlineStr">
        <is>
          <t>RE</t>
        </is>
      </c>
      <c r="H2656" s="12" t="n">
        <v>-3420</v>
      </c>
      <c r="I2656" s="17" t="n">
        <v>46241</v>
      </c>
      <c r="J2656" s="17" t="n">
        <v>46300</v>
      </c>
      <c r="K2656" t="inlineStr">
        <is>
          <t>Fatura - bruto QUELMAR TRANSPORTES LTDA 6370-2</t>
        </is>
      </c>
    </row>
    <row r="2657">
      <c r="A2657" t="inlineStr">
        <is>
          <t>100883</t>
        </is>
      </c>
      <c r="B2657" t="inlineStr">
        <is>
          <t>QUELMAR TRANSPORTES LTDA</t>
        </is>
      </c>
      <c r="C2657" t="n">
        <v>2111000000</v>
      </c>
      <c r="D2657" t="inlineStr">
        <is>
          <t>Operational Suppliers (Wind Farms)</t>
        </is>
      </c>
      <c r="E2657" t="n">
        <v>5015504</v>
      </c>
      <c r="F2657" t="inlineStr">
        <is>
          <t>6349-2</t>
        </is>
      </c>
      <c r="G2657" t="inlineStr">
        <is>
          <t>RE</t>
        </is>
      </c>
      <c r="H2657" s="12" t="n">
        <v>-3930</v>
      </c>
      <c r="I2657" s="17" t="n">
        <v>46239</v>
      </c>
      <c r="J2657" s="17" t="n">
        <v>46300</v>
      </c>
      <c r="K2657" t="inlineStr">
        <is>
          <t>Fatura - bruto QUELMAR TRANSPORTES LTDA 6349-2</t>
        </is>
      </c>
    </row>
    <row r="2658">
      <c r="A2658" t="inlineStr">
        <is>
          <t>100883</t>
        </is>
      </c>
      <c r="B2658" t="inlineStr">
        <is>
          <t>QUELMAR TRANSPORTES LTDA</t>
        </is>
      </c>
      <c r="C2658" t="n">
        <v>2111000000</v>
      </c>
      <c r="D2658" t="inlineStr">
        <is>
          <t>Operational Suppliers (Wind Farms)</t>
        </is>
      </c>
      <c r="E2658" t="n">
        <v>5015505</v>
      </c>
      <c r="F2658" t="inlineStr">
        <is>
          <t>6377-2</t>
        </is>
      </c>
      <c r="G2658" t="inlineStr">
        <is>
          <t>RE</t>
        </is>
      </c>
      <c r="H2658" s="12" t="n">
        <v>-1850</v>
      </c>
      <c r="I2658" s="17" t="n">
        <v>46245</v>
      </c>
      <c r="J2658" s="17" t="n">
        <v>46300</v>
      </c>
      <c r="K2658" t="inlineStr">
        <is>
          <t>Fatura - bruto QUELMAR TRANSPORTES LTDA 6377-2</t>
        </is>
      </c>
    </row>
    <row r="2659">
      <c r="A2659" t="inlineStr">
        <is>
          <t>101470</t>
        </is>
      </c>
      <c r="B2659" t="inlineStr">
        <is>
          <t>CRIL EMPREENDIMENTO AMBIENTAL LTDA</t>
        </is>
      </c>
      <c r="C2659" t="n">
        <v>2111000000</v>
      </c>
      <c r="D2659" t="inlineStr">
        <is>
          <t>Operational Suppliers (Wind Farms)</t>
        </is>
      </c>
      <c r="E2659" t="n">
        <v>5015506</v>
      </c>
      <c r="F2659" t="inlineStr">
        <is>
          <t>1045</t>
        </is>
      </c>
      <c r="G2659" t="inlineStr">
        <is>
          <t>RE</t>
        </is>
      </c>
      <c r="H2659" s="12" t="n">
        <v>-2366.67</v>
      </c>
      <c r="I2659" s="17" t="n">
        <v>46251</v>
      </c>
      <c r="J2659" s="17" t="n">
        <v>46281</v>
      </c>
      <c r="K2659" t="inlineStr">
        <is>
          <t>Fatura - bruto CRIL EMPREENDIMENTO AMBIENTAL LTDA</t>
        </is>
      </c>
    </row>
    <row r="2660">
      <c r="A2660" t="inlineStr">
        <is>
          <t>101470</t>
        </is>
      </c>
      <c r="B2660" t="inlineStr">
        <is>
          <t>CRIL EMPREENDIMENTO AMBIENTAL LTDA</t>
        </is>
      </c>
      <c r="C2660" t="n">
        <v>2111000000</v>
      </c>
      <c r="D2660" t="inlineStr">
        <is>
          <t>Operational Suppliers (Wind Farms)</t>
        </is>
      </c>
      <c r="E2660" t="n">
        <v>5015507</v>
      </c>
      <c r="F2660" t="inlineStr">
        <is>
          <t>166007</t>
        </is>
      </c>
      <c r="G2660" t="inlineStr">
        <is>
          <t>RE</t>
        </is>
      </c>
      <c r="H2660" s="12" t="n">
        <v>-10545</v>
      </c>
      <c r="I2660" s="17" t="n">
        <v>46251</v>
      </c>
      <c r="J2660" s="17" t="n">
        <v>46281</v>
      </c>
      <c r="K2660" t="inlineStr">
        <is>
          <t>Fatura - bruto CRIL EMPREENDIMENTO AMBIENTAL LTDA</t>
        </is>
      </c>
    </row>
    <row r="2661">
      <c r="A2661" t="inlineStr">
        <is>
          <t>101470</t>
        </is>
      </c>
      <c r="B2661" t="inlineStr">
        <is>
          <t>CRIL EMPREENDIMENTO AMBIENTAL LTDA</t>
        </is>
      </c>
      <c r="C2661" t="n">
        <v>2111000000</v>
      </c>
      <c r="D2661" t="inlineStr">
        <is>
          <t>Operational Suppliers (Wind Farms)</t>
        </is>
      </c>
      <c r="E2661" t="n">
        <v>5015508</v>
      </c>
      <c r="F2661" t="inlineStr">
        <is>
          <t>166006</t>
        </is>
      </c>
      <c r="G2661" t="inlineStr">
        <is>
          <t>RE</t>
        </is>
      </c>
      <c r="H2661" s="12" t="n">
        <v>-4065.25</v>
      </c>
      <c r="I2661" s="17" t="n">
        <v>46251</v>
      </c>
      <c r="J2661" s="17" t="n">
        <v>46281</v>
      </c>
      <c r="K2661" t="inlineStr">
        <is>
          <t>Fatura - bruto CRIL EMPREENDIMENTO AMBIENTAL LTDA</t>
        </is>
      </c>
    </row>
    <row r="2662">
      <c r="A2662" t="inlineStr">
        <is>
          <t>104143</t>
        </is>
      </c>
      <c r="B2662" t="inlineStr">
        <is>
          <t>H K ABDOUNI INSPECOES LTDA 10620234000195</t>
        </is>
      </c>
      <c r="C2662" t="n">
        <v>2111000000</v>
      </c>
      <c r="D2662" t="inlineStr">
        <is>
          <t>Other Suppliers</t>
        </is>
      </c>
      <c r="E2662" t="n">
        <v>5015509</v>
      </c>
      <c r="F2662" t="inlineStr">
        <is>
          <t>393</t>
        </is>
      </c>
      <c r="G2662" t="inlineStr">
        <is>
          <t>RE</t>
        </is>
      </c>
      <c r="H2662" s="12" t="n">
        <v>-91052.08</v>
      </c>
      <c r="I2662" s="17" t="n">
        <v>46252</v>
      </c>
      <c r="J2662" s="17" t="n">
        <v>46332</v>
      </c>
      <c r="K2662" t="inlineStr">
        <is>
          <t>Fatura - bruto H K ABDOUNI INSPECOES LTDA 10620234</t>
        </is>
      </c>
    </row>
    <row r="2663">
      <c r="A2663" t="inlineStr">
        <is>
          <t>100031</t>
        </is>
      </c>
      <c r="B2663" t="inlineStr">
        <is>
          <t>MEGAWIND INDUSTRIA E COMERCIO</t>
        </is>
      </c>
      <c r="C2663" t="n">
        <v>2111000000</v>
      </c>
      <c r="D2663" t="inlineStr">
        <is>
          <t>Operational Suppliers (Wind Farms)</t>
        </is>
      </c>
      <c r="E2663" t="n">
        <v>5015510</v>
      </c>
      <c r="F2663" t="inlineStr">
        <is>
          <t>1477</t>
        </is>
      </c>
      <c r="G2663" t="inlineStr">
        <is>
          <t>RE</t>
        </is>
      </c>
      <c r="H2663" s="12" t="n">
        <v>-66359.09</v>
      </c>
      <c r="I2663" s="17" t="n">
        <v>46253</v>
      </c>
      <c r="J2663" s="17" t="n">
        <v>46300</v>
      </c>
      <c r="K2663" t="inlineStr">
        <is>
          <t>Fatura - bruto MEGAWIND INDUSTRIA E COMERCIO 1477</t>
        </is>
      </c>
    </row>
    <row r="2664">
      <c r="A2664" t="inlineStr">
        <is>
          <t>101775</t>
        </is>
      </c>
      <c r="B2664" t="inlineStr">
        <is>
          <t>SOUSATEC.NET LTDA  ME</t>
        </is>
      </c>
      <c r="C2664" t="n">
        <v>2111000000</v>
      </c>
      <c r="D2664" t="inlineStr">
        <is>
          <t>Other Suppliers</t>
        </is>
      </c>
      <c r="E2664" t="n">
        <v>5015511</v>
      </c>
      <c r="F2664" t="inlineStr">
        <is>
          <t>253</t>
        </is>
      </c>
      <c r="G2664" t="inlineStr">
        <is>
          <t>RE</t>
        </is>
      </c>
      <c r="H2664" s="12" t="n">
        <v>-1250</v>
      </c>
      <c r="I2664" s="17" t="n">
        <v>46239</v>
      </c>
      <c r="J2664" s="17" t="n">
        <v>46269</v>
      </c>
      <c r="K2664" t="inlineStr">
        <is>
          <t>Fatura - bruto SOUSATEC.NET LTDA  ME 253</t>
        </is>
      </c>
    </row>
    <row r="2665">
      <c r="A2665" t="inlineStr">
        <is>
          <t>100883</t>
        </is>
      </c>
      <c r="B2665" t="inlineStr">
        <is>
          <t>QUELMAR TRANSPORTES LTDA</t>
        </is>
      </c>
      <c r="C2665" t="n">
        <v>2111000000</v>
      </c>
      <c r="D2665" t="inlineStr">
        <is>
          <t>Operational Suppliers (Wind Farms)</t>
        </is>
      </c>
      <c r="E2665" t="n">
        <v>5015512</v>
      </c>
      <c r="F2665" t="inlineStr">
        <is>
          <t>6363-2</t>
        </is>
      </c>
      <c r="G2665" t="inlineStr">
        <is>
          <t>RE</t>
        </is>
      </c>
      <c r="H2665" s="12" t="n">
        <v>-3740</v>
      </c>
      <c r="I2665" s="17" t="n">
        <v>46241</v>
      </c>
      <c r="J2665" s="17" t="n">
        <v>46300</v>
      </c>
      <c r="K2665" t="inlineStr">
        <is>
          <t>Fatura - bruto QUELMAR TRANSPORTES LTDA 6363-2</t>
        </is>
      </c>
    </row>
    <row r="2666">
      <c r="A2666" t="inlineStr">
        <is>
          <t>100883</t>
        </is>
      </c>
      <c r="B2666" t="inlineStr">
        <is>
          <t>QUELMAR TRANSPORTES LTDA</t>
        </is>
      </c>
      <c r="C2666" t="n">
        <v>2111000000</v>
      </c>
      <c r="D2666" t="inlineStr">
        <is>
          <t>Operational Suppliers (Wind Farms)</t>
        </is>
      </c>
      <c r="E2666" t="n">
        <v>5015513</v>
      </c>
      <c r="F2666" t="inlineStr">
        <is>
          <t>6364-2</t>
        </is>
      </c>
      <c r="G2666" t="inlineStr">
        <is>
          <t>RE</t>
        </is>
      </c>
      <c r="H2666" s="12" t="n">
        <v>-3740</v>
      </c>
      <c r="I2666" s="17" t="n">
        <v>46241</v>
      </c>
      <c r="J2666" s="17" t="n">
        <v>46300</v>
      </c>
      <c r="K2666" t="inlineStr">
        <is>
          <t>Fatura - bruto QUELMAR TRANSPORTES LTDA 6364-2</t>
        </is>
      </c>
    </row>
    <row r="2667">
      <c r="A2667" t="inlineStr">
        <is>
          <t>100450</t>
        </is>
      </c>
      <c r="B2667" t="inlineStr">
        <is>
          <t>SAMLIFE MSC LTDA</t>
        </is>
      </c>
      <c r="C2667" t="n">
        <v>2111000000</v>
      </c>
      <c r="D2667" t="inlineStr">
        <is>
          <t>Other Suppliers</t>
        </is>
      </c>
      <c r="E2667" t="n">
        <v>5015514</v>
      </c>
      <c r="F2667" t="inlineStr">
        <is>
          <t>866</t>
        </is>
      </c>
      <c r="G2667" t="inlineStr">
        <is>
          <t>RE</t>
        </is>
      </c>
      <c r="H2667" s="12" t="n">
        <v>-17852.21</v>
      </c>
      <c r="I2667" s="17" t="n">
        <v>46248</v>
      </c>
      <c r="J2667" s="17" t="n">
        <v>46270</v>
      </c>
      <c r="K2667" t="inlineStr">
        <is>
          <t>Fatura - bruto SAMLIFE MSC LTDA 866</t>
        </is>
      </c>
    </row>
    <row r="2668">
      <c r="A2668" t="inlineStr">
        <is>
          <t>100883</t>
        </is>
      </c>
      <c r="B2668" t="inlineStr">
        <is>
          <t>QUELMAR TRANSPORTES LTDA</t>
        </is>
      </c>
      <c r="C2668" t="n">
        <v>2111000000</v>
      </c>
      <c r="D2668" t="inlineStr">
        <is>
          <t>Operational Suppliers (Wind Farms)</t>
        </is>
      </c>
      <c r="E2668" t="n">
        <v>5015515</v>
      </c>
      <c r="F2668" t="inlineStr">
        <is>
          <t>6368-2</t>
        </is>
      </c>
      <c r="G2668" t="inlineStr">
        <is>
          <t>RE</t>
        </is>
      </c>
      <c r="H2668" s="12" t="n">
        <v>-3970</v>
      </c>
      <c r="I2668" s="17" t="n">
        <v>46241</v>
      </c>
      <c r="J2668" s="17" t="n">
        <v>46300</v>
      </c>
      <c r="K2668" t="inlineStr">
        <is>
          <t>Fatura - bruto QUELMAR TRANSPORTES LTDA 6368-2</t>
        </is>
      </c>
    </row>
    <row r="2669">
      <c r="A2669" t="inlineStr">
        <is>
          <t>100883</t>
        </is>
      </c>
      <c r="B2669" t="inlineStr">
        <is>
          <t>QUELMAR TRANSPORTES LTDA</t>
        </is>
      </c>
      <c r="C2669" t="n">
        <v>2111000000</v>
      </c>
      <c r="D2669" t="inlineStr">
        <is>
          <t>Operational Suppliers (Wind Farms)</t>
        </is>
      </c>
      <c r="E2669" t="n">
        <v>5015516</v>
      </c>
      <c r="F2669" t="inlineStr">
        <is>
          <t>6366-2</t>
        </is>
      </c>
      <c r="G2669" t="inlineStr">
        <is>
          <t>RE</t>
        </is>
      </c>
      <c r="H2669" s="12" t="n">
        <v>-3980</v>
      </c>
      <c r="I2669" s="17" t="n">
        <v>46241</v>
      </c>
      <c r="J2669" s="17" t="n">
        <v>46300</v>
      </c>
      <c r="K2669" t="inlineStr">
        <is>
          <t>Fatura - bruto QUELMAR TRANSPORTES LTDA 6366-2</t>
        </is>
      </c>
    </row>
    <row r="2670">
      <c r="A2670" t="inlineStr">
        <is>
          <t>100883</t>
        </is>
      </c>
      <c r="B2670" t="inlineStr">
        <is>
          <t>QUELMAR TRANSPORTES LTDA</t>
        </is>
      </c>
      <c r="C2670" t="n">
        <v>2111000000</v>
      </c>
      <c r="D2670" t="inlineStr">
        <is>
          <t>Operational Suppliers (Wind Farms)</t>
        </is>
      </c>
      <c r="E2670" t="n">
        <v>5015517</v>
      </c>
      <c r="F2670" t="inlineStr">
        <is>
          <t>6367-2</t>
        </is>
      </c>
      <c r="G2670" t="inlineStr">
        <is>
          <t>RE</t>
        </is>
      </c>
      <c r="H2670" s="12" t="n">
        <v>-5720</v>
      </c>
      <c r="I2670" s="17" t="n">
        <v>46241</v>
      </c>
      <c r="J2670" s="17" t="n">
        <v>46300</v>
      </c>
      <c r="K2670" t="inlineStr">
        <is>
          <t>Fatura - bruto QUELMAR TRANSPORTES LTDA 6367-2</t>
        </is>
      </c>
    </row>
    <row r="2671">
      <c r="A2671" t="inlineStr">
        <is>
          <t>101726</t>
        </is>
      </c>
      <c r="B2671" t="inlineStr">
        <is>
          <t>TRANSFORTECH ENGENHARIA LTDA</t>
        </is>
      </c>
      <c r="C2671" t="n">
        <v>2111000000</v>
      </c>
      <c r="D2671" t="inlineStr">
        <is>
          <t>Operational Suppliers (Wind Farms)</t>
        </is>
      </c>
      <c r="E2671" t="n">
        <v>5015518</v>
      </c>
      <c r="F2671" t="inlineStr">
        <is>
          <t>9162</t>
        </is>
      </c>
      <c r="G2671" t="inlineStr">
        <is>
          <t>RE</t>
        </is>
      </c>
      <c r="H2671" s="12" t="n">
        <v>-34710</v>
      </c>
      <c r="I2671" s="17" t="n">
        <v>46252</v>
      </c>
      <c r="J2671" s="17" t="n">
        <v>46267</v>
      </c>
      <c r="K2671" t="inlineStr">
        <is>
          <t>Fatura - bruto TRANSFORTECH ENGENHARIA LTDA 9162</t>
        </is>
      </c>
    </row>
    <row r="2672">
      <c r="A2672" t="inlineStr">
        <is>
          <t>100883</t>
        </is>
      </c>
      <c r="B2672" t="inlineStr">
        <is>
          <t>QUELMAR TRANSPORTES LTDA</t>
        </is>
      </c>
      <c r="C2672" t="n">
        <v>2111000000</v>
      </c>
      <c r="D2672" t="inlineStr">
        <is>
          <t>Operational Suppliers (Wind Farms)</t>
        </is>
      </c>
      <c r="E2672" t="n">
        <v>5015519</v>
      </c>
      <c r="F2672" t="inlineStr">
        <is>
          <t>6362-2</t>
        </is>
      </c>
      <c r="G2672" t="inlineStr">
        <is>
          <t>RE</t>
        </is>
      </c>
      <c r="H2672" s="12" t="n">
        <v>-5800</v>
      </c>
      <c r="I2672" s="17" t="n">
        <v>46241</v>
      </c>
      <c r="J2672" s="17" t="n">
        <v>46300</v>
      </c>
      <c r="K2672" t="inlineStr">
        <is>
          <t>Fatura - bruto QUELMAR TRANSPORTES LTDA 6362-2</t>
        </is>
      </c>
    </row>
    <row r="2673">
      <c r="A2673" t="inlineStr">
        <is>
          <t>100031</t>
        </is>
      </c>
      <c r="B2673" t="inlineStr">
        <is>
          <t>MEGAWIND INDUSTRIA E COMERCIO</t>
        </is>
      </c>
      <c r="C2673" t="n">
        <v>2111000000</v>
      </c>
      <c r="D2673" t="inlineStr">
        <is>
          <t>Operational Suppliers (Wind Farms)</t>
        </is>
      </c>
      <c r="E2673" t="n">
        <v>5015520</v>
      </c>
      <c r="F2673" t="inlineStr">
        <is>
          <t>1469</t>
        </is>
      </c>
      <c r="G2673" t="inlineStr">
        <is>
          <t>RE</t>
        </is>
      </c>
      <c r="H2673" s="12" t="n">
        <v>-44000</v>
      </c>
      <c r="I2673" s="17" t="n">
        <v>46252</v>
      </c>
      <c r="J2673" s="17" t="n">
        <v>46300</v>
      </c>
      <c r="K2673" t="inlineStr">
        <is>
          <t>Fatura - bruto MEGAWIND INDUSTRIA E COMERCIO 1469</t>
        </is>
      </c>
    </row>
    <row r="2674">
      <c r="A2674" t="inlineStr">
        <is>
          <t>101869</t>
        </is>
      </c>
      <c r="B2674" t="inlineStr">
        <is>
          <t>ASSOCIACAO BRASILEIRA DA IND DE MAQ</t>
        </is>
      </c>
      <c r="C2674" t="n">
        <v>2111000000</v>
      </c>
      <c r="D2674" t="inlineStr">
        <is>
          <t>Other Suppliers</t>
        </is>
      </c>
      <c r="E2674" t="n">
        <v>5015521</v>
      </c>
      <c r="F2674" t="inlineStr">
        <is>
          <t>227249 1</t>
        </is>
      </c>
      <c r="G2674" t="inlineStr">
        <is>
          <t>KR</t>
        </is>
      </c>
      <c r="H2674" s="12" t="n">
        <v>-3121.67</v>
      </c>
      <c r="I2674" s="17" t="n">
        <v>46244</v>
      </c>
      <c r="J2674" s="17" t="n">
        <v>46275</v>
      </c>
      <c r="K2674" t="inlineStr">
        <is>
          <t>*00190000090281228600900075581173515650000312167</t>
        </is>
      </c>
    </row>
    <row r="2675">
      <c r="A2675" t="inlineStr">
        <is>
          <t>100994</t>
        </is>
      </c>
      <c r="B2675" t="inlineStr">
        <is>
          <t>P W TREINAMENTO E CAPACITACOES LTDA</t>
        </is>
      </c>
      <c r="C2675" t="n">
        <v>2111000000</v>
      </c>
      <c r="D2675" t="inlineStr">
        <is>
          <t>Other Suppliers</t>
        </is>
      </c>
      <c r="E2675" t="n">
        <v>5015522</v>
      </c>
      <c r="F2675" t="inlineStr">
        <is>
          <t>148</t>
        </is>
      </c>
      <c r="G2675" t="inlineStr">
        <is>
          <t>RE</t>
        </is>
      </c>
      <c r="H2675" s="12" t="n">
        <v>-10665</v>
      </c>
      <c r="I2675" s="17" t="n">
        <v>46246</v>
      </c>
      <c r="J2675" s="17" t="n">
        <v>46277</v>
      </c>
      <c r="K2675" t="inlineStr">
        <is>
          <t>Fatura - bruto P W TREINAMENTO E CAPACITACOES LTDA</t>
        </is>
      </c>
    </row>
    <row r="2676">
      <c r="A2676" t="inlineStr">
        <is>
          <t>101463</t>
        </is>
      </c>
      <c r="B2676" t="inlineStr">
        <is>
          <t>ZURICH MINAS BRASIL SEGUROS S A</t>
        </is>
      </c>
      <c r="C2676" t="n">
        <v>2111000000</v>
      </c>
      <c r="D2676" t="inlineStr">
        <is>
          <t>Insurance</t>
        </is>
      </c>
      <c r="E2676" t="n">
        <v>5015523</v>
      </c>
      <c r="F2676" t="inlineStr">
        <is>
          <t>0409/26</t>
        </is>
      </c>
      <c r="G2676" t="inlineStr">
        <is>
          <t>RE</t>
        </is>
      </c>
      <c r="H2676" s="12" t="n">
        <v>-61.3</v>
      </c>
      <c r="I2676" s="17" t="n">
        <v>46253</v>
      </c>
      <c r="J2676" s="17" t="n">
        <v>46283</v>
      </c>
      <c r="K2676" t="inlineStr">
        <is>
          <t>Invoice Payment. SP: 21719</t>
        </is>
      </c>
    </row>
    <row r="2677">
      <c r="A2677" t="inlineStr">
        <is>
          <t>101982</t>
        </is>
      </c>
      <c r="B2677" t="inlineStr">
        <is>
          <t>NEW ENERGY TECH LTDA</t>
        </is>
      </c>
      <c r="C2677" t="n">
        <v>2111000000</v>
      </c>
      <c r="D2677" t="inlineStr">
        <is>
          <t>Operational Suppliers (Wind Farms)</t>
        </is>
      </c>
      <c r="E2677" t="n">
        <v>5015524</v>
      </c>
      <c r="F2677" t="inlineStr">
        <is>
          <t>90</t>
        </is>
      </c>
      <c r="G2677" t="inlineStr">
        <is>
          <t>RE</t>
        </is>
      </c>
      <c r="H2677" s="12" t="n">
        <v>-94800</v>
      </c>
      <c r="I2677" s="17" t="n">
        <v>46251</v>
      </c>
      <c r="J2677" s="17" t="n">
        <v>46300</v>
      </c>
      <c r="K2677" t="inlineStr">
        <is>
          <t>Fatura - bruto NEW ENERGY TECH LTDA 90</t>
        </is>
      </c>
    </row>
    <row r="2678">
      <c r="A2678" t="inlineStr">
        <is>
          <t>101552</t>
        </is>
      </c>
      <c r="B2678" t="inlineStr">
        <is>
          <t>KUEHNENAGEL SERVICOS LOGISTICOS LTD</t>
        </is>
      </c>
      <c r="C2678" t="n">
        <v>2111000000</v>
      </c>
      <c r="D2678" t="inlineStr">
        <is>
          <t>Customs Brokerage – Overall</t>
        </is>
      </c>
      <c r="E2678" t="n">
        <v>5015529</v>
      </c>
      <c r="F2678" t="inlineStr">
        <is>
          <t>FA50324B</t>
        </is>
      </c>
      <c r="G2678" t="inlineStr">
        <is>
          <t>KR</t>
        </is>
      </c>
      <c r="H2678" s="12" t="n">
        <v>-8982.17</v>
      </c>
      <c r="I2678" s="17" t="n">
        <v>45763</v>
      </c>
      <c r="J2678" s="17" t="n">
        <v>45813</v>
      </c>
      <c r="K2678" t="inlineStr">
        <is>
          <t>Fatura do fornecedor KUEHNENAGEL SERVICOS LOGISTIC</t>
        </is>
      </c>
    </row>
    <row r="2679">
      <c r="A2679" t="inlineStr">
        <is>
          <t>101048</t>
        </is>
      </c>
      <c r="B2679" t="inlineStr">
        <is>
          <t>M R DE MEDEIROS</t>
        </is>
      </c>
      <c r="C2679" t="n">
        <v>2111000000</v>
      </c>
      <c r="D2679" t="inlineStr">
        <is>
          <t>Other Suppliers</t>
        </is>
      </c>
      <c r="E2679" t="n">
        <v>5015530</v>
      </c>
      <c r="F2679" t="inlineStr">
        <is>
          <t>2638-1</t>
        </is>
      </c>
      <c r="G2679" t="inlineStr">
        <is>
          <t>RE</t>
        </is>
      </c>
      <c r="H2679" s="12" t="n">
        <v>-5460.1</v>
      </c>
      <c r="I2679" s="17" t="n">
        <v>46252</v>
      </c>
      <c r="J2679" s="17" t="n">
        <v>46267</v>
      </c>
      <c r="K2679" t="inlineStr">
        <is>
          <t>Fatura - bruto M R DE MEDEIROS 2638-1</t>
        </is>
      </c>
    </row>
    <row r="2680">
      <c r="A2680" t="inlineStr">
        <is>
          <t>101463</t>
        </is>
      </c>
      <c r="B2680" t="inlineStr">
        <is>
          <t>ZURICH MINAS BRASIL SEGUROS S A</t>
        </is>
      </c>
      <c r="C2680" t="n">
        <v>2111000000</v>
      </c>
      <c r="D2680" t="inlineStr">
        <is>
          <t>Insurance</t>
        </is>
      </c>
      <c r="E2680" t="n">
        <v>5015531</v>
      </c>
      <c r="F2680" t="inlineStr">
        <is>
          <t>0477/26</t>
        </is>
      </c>
      <c r="G2680" t="inlineStr">
        <is>
          <t>RE</t>
        </is>
      </c>
      <c r="H2680" s="12" t="n">
        <v>-48.22</v>
      </c>
      <c r="I2680" s="17" t="n">
        <v>46253</v>
      </c>
      <c r="J2680" s="17" t="n">
        <v>46283</v>
      </c>
      <c r="K2680" t="inlineStr">
        <is>
          <t>Invoice Payment. SP: 21721</t>
        </is>
      </c>
    </row>
    <row r="2681">
      <c r="A2681" t="inlineStr">
        <is>
          <t>101340</t>
        </is>
      </c>
      <c r="B2681" t="inlineStr">
        <is>
          <t>ALS TRIBOLOGY BRASIL ANALISE DE FLU</t>
        </is>
      </c>
      <c r="C2681" t="n">
        <v>2111000000</v>
      </c>
      <c r="D2681" t="inlineStr">
        <is>
          <t>Other Suppliers</t>
        </is>
      </c>
      <c r="E2681" t="n">
        <v>5015533</v>
      </c>
      <c r="F2681" t="inlineStr">
        <is>
          <t>2743</t>
        </is>
      </c>
      <c r="G2681" t="inlineStr">
        <is>
          <t>RE</t>
        </is>
      </c>
      <c r="H2681" s="12" t="n">
        <v>-83.5</v>
      </c>
      <c r="I2681" s="17" t="n">
        <v>46253</v>
      </c>
      <c r="J2681" s="17" t="n">
        <v>46281</v>
      </c>
      <c r="K2681" t="inlineStr">
        <is>
          <t>Fatura - bruto ALS TRIBOLOGY BRASIL ANALISE DE FLU</t>
        </is>
      </c>
    </row>
    <row r="2682">
      <c r="A2682" t="inlineStr">
        <is>
          <t>100883</t>
        </is>
      </c>
      <c r="B2682" t="inlineStr">
        <is>
          <t>QUELMAR TRANSPORTES LTDA</t>
        </is>
      </c>
      <c r="C2682" t="n">
        <v>2111000000</v>
      </c>
      <c r="D2682" t="inlineStr">
        <is>
          <t>Operational Suppliers (Wind Farms)</t>
        </is>
      </c>
      <c r="E2682" t="n">
        <v>5015534</v>
      </c>
      <c r="F2682" t="inlineStr">
        <is>
          <t>6413-2</t>
        </is>
      </c>
      <c r="G2682" t="inlineStr">
        <is>
          <t>RE</t>
        </is>
      </c>
      <c r="H2682" s="12" t="n">
        <v>-1490</v>
      </c>
      <c r="I2682" s="17" t="n">
        <v>46252</v>
      </c>
      <c r="J2682" s="17" t="n">
        <v>46300</v>
      </c>
      <c r="K2682" t="inlineStr">
        <is>
          <t>Fatura - bruto QUELMAR TRANSPORTES LTDA 6413-2</t>
        </is>
      </c>
    </row>
    <row r="2683">
      <c r="A2683" t="inlineStr">
        <is>
          <t>100883</t>
        </is>
      </c>
      <c r="B2683" t="inlineStr">
        <is>
          <t>QUELMAR TRANSPORTES LTDA</t>
        </is>
      </c>
      <c r="C2683" t="n">
        <v>2111000000</v>
      </c>
      <c r="D2683" t="inlineStr">
        <is>
          <t>Operational Suppliers (Wind Farms)</t>
        </is>
      </c>
      <c r="E2683" t="n">
        <v>5015535</v>
      </c>
      <c r="F2683" t="inlineStr">
        <is>
          <t>108425-1</t>
        </is>
      </c>
      <c r="G2683" t="inlineStr">
        <is>
          <t>RE</t>
        </is>
      </c>
      <c r="H2683" s="12" t="n">
        <v>-2636.25</v>
      </c>
      <c r="I2683" s="17" t="n">
        <v>46248</v>
      </c>
      <c r="J2683" s="17" t="n">
        <v>46300</v>
      </c>
      <c r="K2683" t="inlineStr">
        <is>
          <t>Fatura - bruto QUELMAR TRANSPORTES LTDA 108425-1</t>
        </is>
      </c>
    </row>
    <row r="2684">
      <c r="A2684" t="inlineStr">
        <is>
          <t>101340</t>
        </is>
      </c>
      <c r="B2684" t="inlineStr">
        <is>
          <t>ALS TRIBOLOGY BRASIL ANALISE DE FLU</t>
        </is>
      </c>
      <c r="C2684" t="n">
        <v>2111000000</v>
      </c>
      <c r="D2684" t="inlineStr">
        <is>
          <t>Other Suppliers</t>
        </is>
      </c>
      <c r="E2684" t="n">
        <v>5015536</v>
      </c>
      <c r="F2684" t="inlineStr">
        <is>
          <t>2745</t>
        </is>
      </c>
      <c r="G2684" t="inlineStr">
        <is>
          <t>RE</t>
        </is>
      </c>
      <c r="H2684" s="12" t="n">
        <v>-83.5</v>
      </c>
      <c r="I2684" s="17" t="n">
        <v>46253</v>
      </c>
      <c r="J2684" s="17" t="n">
        <v>46281</v>
      </c>
      <c r="K2684" t="inlineStr">
        <is>
          <t>Fatura - bruto ALS TRIBOLOGY BRASIL ANALISE DE FLU</t>
        </is>
      </c>
    </row>
    <row r="2685">
      <c r="A2685" t="inlineStr">
        <is>
          <t>101340</t>
        </is>
      </c>
      <c r="B2685" t="inlineStr">
        <is>
          <t>ALS TRIBOLOGY BRASIL ANALISE DE FLU</t>
        </is>
      </c>
      <c r="C2685" t="n">
        <v>2111000000</v>
      </c>
      <c r="D2685" t="inlineStr">
        <is>
          <t>Other Suppliers</t>
        </is>
      </c>
      <c r="E2685" t="n">
        <v>5015537</v>
      </c>
      <c r="F2685" t="inlineStr">
        <is>
          <t>2748</t>
        </is>
      </c>
      <c r="G2685" t="inlineStr">
        <is>
          <t>RE</t>
        </is>
      </c>
      <c r="H2685" s="12" t="n">
        <v>-2056.19</v>
      </c>
      <c r="I2685" s="17" t="n">
        <v>46253</v>
      </c>
      <c r="J2685" s="17" t="n">
        <v>46283</v>
      </c>
      <c r="K2685" t="inlineStr">
        <is>
          <t>Fatura - bruto ALS TRIBOLOGY BRASIL ANALISE DE FLU</t>
        </is>
      </c>
    </row>
    <row r="2686">
      <c r="A2686" t="inlineStr">
        <is>
          <t>101340</t>
        </is>
      </c>
      <c r="B2686" t="inlineStr">
        <is>
          <t>ALS TRIBOLOGY BRASIL ANALISE DE FLU</t>
        </is>
      </c>
      <c r="C2686" t="n">
        <v>2111000000</v>
      </c>
      <c r="D2686" t="inlineStr">
        <is>
          <t>Other Suppliers</t>
        </is>
      </c>
      <c r="E2686" t="n">
        <v>5015538</v>
      </c>
      <c r="F2686" t="inlineStr">
        <is>
          <t>2751</t>
        </is>
      </c>
      <c r="G2686" t="inlineStr">
        <is>
          <t>RE</t>
        </is>
      </c>
      <c r="H2686" s="12" t="n">
        <v>-3618.89</v>
      </c>
      <c r="I2686" s="17" t="n">
        <v>46253</v>
      </c>
      <c r="J2686" s="17" t="n">
        <v>46283</v>
      </c>
      <c r="K2686" t="inlineStr">
        <is>
          <t>Fatura - bruto ALS TRIBOLOGY BRASIL ANALISE DE FLU</t>
        </is>
      </c>
    </row>
    <row r="2687">
      <c r="A2687" t="inlineStr">
        <is>
          <t>101340</t>
        </is>
      </c>
      <c r="B2687" t="inlineStr">
        <is>
          <t>ALS TRIBOLOGY BRASIL ANALISE DE FLU</t>
        </is>
      </c>
      <c r="C2687" t="n">
        <v>2111000000</v>
      </c>
      <c r="D2687" t="inlineStr">
        <is>
          <t>Other Suppliers</t>
        </is>
      </c>
      <c r="E2687" t="n">
        <v>5015539</v>
      </c>
      <c r="F2687" t="inlineStr">
        <is>
          <t>2754</t>
        </is>
      </c>
      <c r="G2687" t="inlineStr">
        <is>
          <t>RE</t>
        </is>
      </c>
      <c r="H2687" s="12" t="n">
        <v>-986.97</v>
      </c>
      <c r="I2687" s="17" t="n">
        <v>46253</v>
      </c>
      <c r="J2687" s="17" t="n">
        <v>46283</v>
      </c>
      <c r="K2687" t="inlineStr">
        <is>
          <t>Fatura - bruto ALS TRIBOLOGY BRASIL ANALISE DE FLU</t>
        </is>
      </c>
    </row>
    <row r="2688">
      <c r="A2688" t="inlineStr">
        <is>
          <t>104002</t>
        </is>
      </c>
      <c r="B2688" t="inlineStr">
        <is>
          <t>TOP LOCACOES LTDA 43452661000160</t>
        </is>
      </c>
      <c r="C2688" t="n">
        <v>2111000000</v>
      </c>
      <c r="D2688" t="inlineStr">
        <is>
          <t>Other Suppliers</t>
        </is>
      </c>
      <c r="E2688" t="n">
        <v>5015540</v>
      </c>
      <c r="F2688" t="inlineStr">
        <is>
          <t>323</t>
        </is>
      </c>
      <c r="G2688" t="inlineStr">
        <is>
          <t>RE</t>
        </is>
      </c>
      <c r="H2688" s="12" t="n">
        <v>-9000</v>
      </c>
      <c r="I2688" s="17" t="n">
        <v>46247</v>
      </c>
      <c r="J2688" s="17" t="n">
        <v>46280</v>
      </c>
      <c r="K2688" t="inlineStr">
        <is>
          <t>Fatura - bruto TOP LOCACOES LTDA 43452661000160 32</t>
        </is>
      </c>
    </row>
    <row r="2689">
      <c r="A2689" t="inlineStr">
        <is>
          <t>101340</t>
        </is>
      </c>
      <c r="B2689" t="inlineStr">
        <is>
          <t>ALS TRIBOLOGY BRASIL ANALISE DE FLU</t>
        </is>
      </c>
      <c r="C2689" t="n">
        <v>2111000000</v>
      </c>
      <c r="D2689" t="inlineStr">
        <is>
          <t>Other Suppliers</t>
        </is>
      </c>
      <c r="E2689" t="n">
        <v>5015541</v>
      </c>
      <c r="F2689" t="inlineStr">
        <is>
          <t>2746</t>
        </is>
      </c>
      <c r="G2689" t="inlineStr">
        <is>
          <t>RE</t>
        </is>
      </c>
      <c r="H2689" s="12" t="n">
        <v>-4934.85</v>
      </c>
      <c r="I2689" s="17" t="n">
        <v>46253</v>
      </c>
      <c r="J2689" s="17" t="n">
        <v>46281</v>
      </c>
      <c r="K2689" t="inlineStr">
        <is>
          <t>Fatura - bruto ALS TRIBOLOGY BRASIL ANALISE DE FLU</t>
        </is>
      </c>
    </row>
    <row r="2690">
      <c r="A2690" t="inlineStr">
        <is>
          <t>101340</t>
        </is>
      </c>
      <c r="B2690" t="inlineStr">
        <is>
          <t>ALS TRIBOLOGY BRASIL ANALISE DE FLU</t>
        </is>
      </c>
      <c r="C2690" t="n">
        <v>2111000000</v>
      </c>
      <c r="D2690" t="inlineStr">
        <is>
          <t>Other Suppliers</t>
        </is>
      </c>
      <c r="E2690" t="n">
        <v>5015542</v>
      </c>
      <c r="F2690" t="inlineStr">
        <is>
          <t>2744</t>
        </is>
      </c>
      <c r="G2690" t="inlineStr">
        <is>
          <t>RE</t>
        </is>
      </c>
      <c r="H2690" s="12" t="n">
        <v>-1069.22</v>
      </c>
      <c r="I2690" s="17" t="n">
        <v>46253</v>
      </c>
      <c r="J2690" s="17" t="n">
        <v>46281</v>
      </c>
      <c r="K2690" t="inlineStr">
        <is>
          <t>Fatura - bruto ALS TRIBOLOGY BRASIL ANALISE DE FLU</t>
        </is>
      </c>
    </row>
    <row r="2691">
      <c r="A2691" t="inlineStr">
        <is>
          <t>101982</t>
        </is>
      </c>
      <c r="B2691" t="inlineStr">
        <is>
          <t>NEW ENERGY TECH LTDA</t>
        </is>
      </c>
      <c r="C2691" t="n">
        <v>2111000000</v>
      </c>
      <c r="D2691" t="inlineStr">
        <is>
          <t>Operational Suppliers (Wind Farms)</t>
        </is>
      </c>
      <c r="E2691" t="n">
        <v>5015543</v>
      </c>
      <c r="F2691" t="inlineStr">
        <is>
          <t>448</t>
        </is>
      </c>
      <c r="G2691" t="inlineStr">
        <is>
          <t>RE</t>
        </is>
      </c>
      <c r="H2691" s="12" t="n">
        <v>-15650</v>
      </c>
      <c r="I2691" s="17" t="n">
        <v>46241</v>
      </c>
      <c r="J2691" s="17" t="n">
        <v>46270</v>
      </c>
      <c r="K2691" t="inlineStr">
        <is>
          <t>Fatura - bruto NEW ENERGY TECH LTDA 448</t>
        </is>
      </c>
    </row>
    <row r="2692">
      <c r="A2692" t="inlineStr">
        <is>
          <t>100883</t>
        </is>
      </c>
      <c r="B2692" t="inlineStr">
        <is>
          <t>QUELMAR TRANSPORTES LTDA</t>
        </is>
      </c>
      <c r="C2692" t="n">
        <v>2111000000</v>
      </c>
      <c r="D2692" t="inlineStr">
        <is>
          <t>Operational Suppliers (Wind Farms)</t>
        </is>
      </c>
      <c r="E2692" t="n">
        <v>5015544</v>
      </c>
      <c r="F2692" t="inlineStr">
        <is>
          <t>6398-2</t>
        </is>
      </c>
      <c r="G2692" t="inlineStr">
        <is>
          <t>RE</t>
        </is>
      </c>
      <c r="H2692" s="12" t="n">
        <v>-3200</v>
      </c>
      <c r="I2692" s="17" t="n">
        <v>46247</v>
      </c>
      <c r="J2692" s="17" t="n">
        <v>46300</v>
      </c>
      <c r="K2692" t="inlineStr">
        <is>
          <t>Fatura - bruto QUELMAR TRANSPORTES LTDA 6398-2</t>
        </is>
      </c>
    </row>
    <row r="2693">
      <c r="A2693" t="inlineStr">
        <is>
          <t>100883</t>
        </is>
      </c>
      <c r="B2693" t="inlineStr">
        <is>
          <t>QUELMAR TRANSPORTES LTDA</t>
        </is>
      </c>
      <c r="C2693" t="n">
        <v>2111000000</v>
      </c>
      <c r="D2693" t="inlineStr">
        <is>
          <t>Operational Suppliers (Wind Farms)</t>
        </is>
      </c>
      <c r="E2693" t="n">
        <v>5015545</v>
      </c>
      <c r="F2693" t="inlineStr">
        <is>
          <t>6397-2</t>
        </is>
      </c>
      <c r="G2693" t="inlineStr">
        <is>
          <t>RE</t>
        </is>
      </c>
      <c r="H2693" s="12" t="n">
        <v>-3900</v>
      </c>
      <c r="I2693" s="17" t="n">
        <v>46247</v>
      </c>
      <c r="J2693" s="17" t="n">
        <v>46300</v>
      </c>
      <c r="K2693" t="inlineStr">
        <is>
          <t>Fatura - bruto QUELMAR TRANSPORTES LTDA 6397-2</t>
        </is>
      </c>
    </row>
    <row r="2694">
      <c r="A2694" t="inlineStr">
        <is>
          <t>100883</t>
        </is>
      </c>
      <c r="B2694" t="inlineStr">
        <is>
          <t>QUELMAR TRANSPORTES LTDA</t>
        </is>
      </c>
      <c r="C2694" t="n">
        <v>2111000000</v>
      </c>
      <c r="D2694" t="inlineStr">
        <is>
          <t>Operational Suppliers (Wind Farms)</t>
        </is>
      </c>
      <c r="E2694" t="n">
        <v>5015546</v>
      </c>
      <c r="F2694" t="inlineStr">
        <is>
          <t>6395-2</t>
        </is>
      </c>
      <c r="G2694" t="inlineStr">
        <is>
          <t>RE</t>
        </is>
      </c>
      <c r="H2694" s="12" t="n">
        <v>-4200</v>
      </c>
      <c r="I2694" s="17" t="n">
        <v>46247</v>
      </c>
      <c r="J2694" s="17" t="n">
        <v>46300</v>
      </c>
      <c r="K2694" t="inlineStr">
        <is>
          <t>Fatura - bruto QUELMAR TRANSPORTES LTDA 6395-2</t>
        </is>
      </c>
    </row>
    <row r="2695">
      <c r="A2695" t="inlineStr">
        <is>
          <t>100883</t>
        </is>
      </c>
      <c r="B2695" t="inlineStr">
        <is>
          <t>QUELMAR TRANSPORTES LTDA</t>
        </is>
      </c>
      <c r="C2695" t="n">
        <v>2111000000</v>
      </c>
      <c r="D2695" t="inlineStr">
        <is>
          <t>Operational Suppliers (Wind Farms)</t>
        </is>
      </c>
      <c r="E2695" t="n">
        <v>5015547</v>
      </c>
      <c r="F2695" t="inlineStr">
        <is>
          <t>6399-2</t>
        </is>
      </c>
      <c r="G2695" t="inlineStr">
        <is>
          <t>RE</t>
        </is>
      </c>
      <c r="H2695" s="12" t="n">
        <v>-4200</v>
      </c>
      <c r="I2695" s="17" t="n">
        <v>46247</v>
      </c>
      <c r="J2695" s="17" t="n">
        <v>46300</v>
      </c>
      <c r="K2695" t="inlineStr">
        <is>
          <t>Fatura - bruto QUELMAR TRANSPORTES LTDA 6399-2</t>
        </is>
      </c>
    </row>
    <row r="2696">
      <c r="A2696" t="inlineStr">
        <is>
          <t>100883</t>
        </is>
      </c>
      <c r="B2696" t="inlineStr">
        <is>
          <t>QUELMAR TRANSPORTES LTDA</t>
        </is>
      </c>
      <c r="C2696" t="n">
        <v>2111000000</v>
      </c>
      <c r="D2696" t="inlineStr">
        <is>
          <t>Operational Suppliers (Wind Farms)</t>
        </is>
      </c>
      <c r="E2696" t="n">
        <v>5015548</v>
      </c>
      <c r="F2696" t="inlineStr">
        <is>
          <t>6396-2</t>
        </is>
      </c>
      <c r="G2696" t="inlineStr">
        <is>
          <t>RE</t>
        </is>
      </c>
      <c r="H2696" s="12" t="n">
        <v>-4300</v>
      </c>
      <c r="I2696" s="17" t="n">
        <v>46247</v>
      </c>
      <c r="J2696" s="17" t="n">
        <v>46300</v>
      </c>
      <c r="K2696" t="inlineStr">
        <is>
          <t>Fatura - bruto QUELMAR TRANSPORTES LTDA 6396-2</t>
        </is>
      </c>
    </row>
    <row r="2697">
      <c r="A2697" t="inlineStr">
        <is>
          <t>100883</t>
        </is>
      </c>
      <c r="B2697" t="inlineStr">
        <is>
          <t>QUELMAR TRANSPORTES LTDA</t>
        </is>
      </c>
      <c r="C2697" t="n">
        <v>2111000000</v>
      </c>
      <c r="D2697" t="inlineStr">
        <is>
          <t>Operational Suppliers (Wind Farms)</t>
        </is>
      </c>
      <c r="E2697" t="n">
        <v>5015549</v>
      </c>
      <c r="F2697" t="inlineStr">
        <is>
          <t>6382-2</t>
        </is>
      </c>
      <c r="G2697" t="inlineStr">
        <is>
          <t>RE</t>
        </is>
      </c>
      <c r="H2697" s="12" t="n">
        <v>-5648</v>
      </c>
      <c r="I2697" s="17" t="n">
        <v>46245</v>
      </c>
      <c r="J2697" s="17" t="n">
        <v>46300</v>
      </c>
      <c r="K2697" t="inlineStr">
        <is>
          <t>Fatura - bruto QUELMAR TRANSPORTES LTDA 6382-2</t>
        </is>
      </c>
    </row>
    <row r="2698">
      <c r="A2698" t="inlineStr">
        <is>
          <t>101340</t>
        </is>
      </c>
      <c r="B2698" t="inlineStr">
        <is>
          <t>ALS TRIBOLOGY BRASIL ANALISE DE FLU</t>
        </is>
      </c>
      <c r="C2698" t="n">
        <v>2111000000</v>
      </c>
      <c r="D2698" t="inlineStr">
        <is>
          <t>Other Suppliers</t>
        </is>
      </c>
      <c r="E2698" t="n">
        <v>5015550</v>
      </c>
      <c r="F2698" t="inlineStr">
        <is>
          <t>2752</t>
        </is>
      </c>
      <c r="G2698" t="inlineStr">
        <is>
          <t>RE</t>
        </is>
      </c>
      <c r="H2698" s="12" t="n">
        <v>-584.5</v>
      </c>
      <c r="I2698" s="17" t="n">
        <v>46253</v>
      </c>
      <c r="J2698" s="17" t="n">
        <v>46281</v>
      </c>
      <c r="K2698" t="inlineStr">
        <is>
          <t>Fatura - bruto ALS TRIBOLOGY BRASIL ANALISE DE FLU</t>
        </is>
      </c>
    </row>
    <row r="2699">
      <c r="A2699" t="inlineStr">
        <is>
          <t>101340</t>
        </is>
      </c>
      <c r="B2699" t="inlineStr">
        <is>
          <t>ALS TRIBOLOGY BRASIL ANALISE DE FLU</t>
        </is>
      </c>
      <c r="C2699" t="n">
        <v>2111000000</v>
      </c>
      <c r="D2699" t="inlineStr">
        <is>
          <t>Other Suppliers</t>
        </is>
      </c>
      <c r="E2699" t="n">
        <v>5015551</v>
      </c>
      <c r="F2699" t="inlineStr">
        <is>
          <t>2753</t>
        </is>
      </c>
      <c r="G2699" t="inlineStr">
        <is>
          <t>RE</t>
        </is>
      </c>
      <c r="H2699" s="12" t="n">
        <v>-1480.46</v>
      </c>
      <c r="I2699" s="17" t="n">
        <v>46253</v>
      </c>
      <c r="J2699" s="17" t="n">
        <v>46283</v>
      </c>
      <c r="K2699" t="inlineStr">
        <is>
          <t>Fatura - bruto ALS TRIBOLOGY BRASIL ANALISE DE FLU</t>
        </is>
      </c>
    </row>
    <row r="2700">
      <c r="A2700" t="inlineStr">
        <is>
          <t>101340</t>
        </is>
      </c>
      <c r="B2700" t="inlineStr">
        <is>
          <t>ALS TRIBOLOGY BRASIL ANALISE DE FLU</t>
        </is>
      </c>
      <c r="C2700" t="n">
        <v>2111000000</v>
      </c>
      <c r="D2700" t="inlineStr">
        <is>
          <t>Other Suppliers</t>
        </is>
      </c>
      <c r="E2700" t="n">
        <v>5015553</v>
      </c>
      <c r="F2700" t="inlineStr">
        <is>
          <t>2747</t>
        </is>
      </c>
      <c r="G2700" t="inlineStr">
        <is>
          <t>RE</t>
        </is>
      </c>
      <c r="H2700" s="12" t="n">
        <v>-83.5</v>
      </c>
      <c r="I2700" s="17" t="n">
        <v>46253</v>
      </c>
      <c r="J2700" s="17" t="n">
        <v>46281</v>
      </c>
      <c r="K2700" t="inlineStr">
        <is>
          <t>Fatura - bruto ALS TRIBOLOGY BRASIL ANALISE DE FLU</t>
        </is>
      </c>
    </row>
    <row r="2701">
      <c r="A2701" t="inlineStr">
        <is>
          <t>101340</t>
        </is>
      </c>
      <c r="B2701" t="inlineStr">
        <is>
          <t>ALS TRIBOLOGY BRASIL ANALISE DE FLU</t>
        </is>
      </c>
      <c r="C2701" t="n">
        <v>2111000000</v>
      </c>
      <c r="D2701" t="inlineStr">
        <is>
          <t>Other Suppliers</t>
        </is>
      </c>
      <c r="E2701" t="n">
        <v>5015554</v>
      </c>
      <c r="F2701" t="inlineStr">
        <is>
          <t>2749</t>
        </is>
      </c>
      <c r="G2701" t="inlineStr">
        <is>
          <t>RE</t>
        </is>
      </c>
      <c r="H2701" s="12" t="n">
        <v>-250.5</v>
      </c>
      <c r="I2701" s="17" t="n">
        <v>46253</v>
      </c>
      <c r="J2701" s="17" t="n">
        <v>46283</v>
      </c>
      <c r="K2701" t="inlineStr">
        <is>
          <t>Fatura - bruto ALS TRIBOLOGY BRASIL ANALISE DE FLU</t>
        </is>
      </c>
    </row>
    <row r="2702">
      <c r="A2702" t="inlineStr">
        <is>
          <t>101340</t>
        </is>
      </c>
      <c r="B2702" t="inlineStr">
        <is>
          <t>ALS TRIBOLOGY BRASIL ANALISE DE FLU</t>
        </is>
      </c>
      <c r="C2702" t="n">
        <v>2111000000</v>
      </c>
      <c r="D2702" t="inlineStr">
        <is>
          <t>Other Suppliers</t>
        </is>
      </c>
      <c r="E2702" t="n">
        <v>5015555</v>
      </c>
      <c r="F2702" t="inlineStr">
        <is>
          <t>2750</t>
        </is>
      </c>
      <c r="G2702" t="inlineStr">
        <is>
          <t>RE</t>
        </is>
      </c>
      <c r="H2702" s="12" t="n">
        <v>-986.97</v>
      </c>
      <c r="I2702" s="17" t="n">
        <v>46253</v>
      </c>
      <c r="J2702" s="17" t="n">
        <v>46281</v>
      </c>
      <c r="K2702" t="inlineStr">
        <is>
          <t>Fatura - bruto ALS TRIBOLOGY BRASIL ANALISE DE FLU</t>
        </is>
      </c>
    </row>
    <row r="2703">
      <c r="A2703" t="inlineStr">
        <is>
          <t>104002</t>
        </is>
      </c>
      <c r="B2703" t="inlineStr">
        <is>
          <t>TOP LOCACOES LTDA 43452661000160</t>
        </is>
      </c>
      <c r="C2703" t="n">
        <v>2111000000</v>
      </c>
      <c r="D2703" t="inlineStr">
        <is>
          <t>Other Suppliers</t>
        </is>
      </c>
      <c r="E2703" t="n">
        <v>5015556</v>
      </c>
      <c r="F2703" t="inlineStr">
        <is>
          <t>321</t>
        </is>
      </c>
      <c r="G2703" t="inlineStr">
        <is>
          <t>RE</t>
        </is>
      </c>
      <c r="H2703" s="12" t="n">
        <v>-7900</v>
      </c>
      <c r="I2703" s="17" t="n">
        <v>46247</v>
      </c>
      <c r="J2703" s="17" t="n">
        <v>46280</v>
      </c>
      <c r="K2703" t="inlineStr">
        <is>
          <t>Fatura - bruto TOP LOCACOES LTDA 43452661000160 32</t>
        </is>
      </c>
    </row>
    <row r="2704">
      <c r="A2704" t="inlineStr">
        <is>
          <t>104002</t>
        </is>
      </c>
      <c r="B2704" t="inlineStr">
        <is>
          <t>TOP LOCACOES LTDA 43452661000160</t>
        </is>
      </c>
      <c r="C2704" t="n">
        <v>2111000000</v>
      </c>
      <c r="D2704" t="inlineStr">
        <is>
          <t>Other Suppliers</t>
        </is>
      </c>
      <c r="E2704" t="n">
        <v>5015558</v>
      </c>
      <c r="F2704" t="inlineStr">
        <is>
          <t>322</t>
        </is>
      </c>
      <c r="G2704" t="inlineStr">
        <is>
          <t>RE</t>
        </is>
      </c>
      <c r="H2704" s="12" t="n">
        <v>-7900</v>
      </c>
      <c r="I2704" s="17" t="n">
        <v>46247</v>
      </c>
      <c r="J2704" s="17" t="n">
        <v>46280</v>
      </c>
      <c r="K2704" t="inlineStr">
        <is>
          <t>Fatura - bruto TOP LOCACOES LTDA 43452661000160 32</t>
        </is>
      </c>
    </row>
    <row r="2705">
      <c r="A2705" t="inlineStr">
        <is>
          <t>104002</t>
        </is>
      </c>
      <c r="B2705" t="inlineStr">
        <is>
          <t>TOP LOCACOES LTDA 43452661000160</t>
        </is>
      </c>
      <c r="C2705" t="n">
        <v>2111000000</v>
      </c>
      <c r="D2705" t="inlineStr">
        <is>
          <t>Other Suppliers</t>
        </is>
      </c>
      <c r="E2705" t="n">
        <v>5015559</v>
      </c>
      <c r="F2705" t="inlineStr">
        <is>
          <t>312</t>
        </is>
      </c>
      <c r="G2705" t="inlineStr">
        <is>
          <t>RE</t>
        </is>
      </c>
      <c r="H2705" s="12" t="n">
        <v>-3800</v>
      </c>
      <c r="I2705" s="17" t="n">
        <v>46238</v>
      </c>
      <c r="J2705" s="17" t="n">
        <v>46280</v>
      </c>
      <c r="K2705" t="inlineStr">
        <is>
          <t>Fatura - bruto TOP LOCACOES LTDA 43452661000160 31</t>
        </is>
      </c>
    </row>
    <row r="2706">
      <c r="A2706" t="inlineStr">
        <is>
          <t>104002</t>
        </is>
      </c>
      <c r="B2706" t="inlineStr">
        <is>
          <t>TOP LOCACOES LTDA 43452661000160</t>
        </is>
      </c>
      <c r="C2706" t="n">
        <v>2111000000</v>
      </c>
      <c r="D2706" t="inlineStr">
        <is>
          <t>Other Suppliers</t>
        </is>
      </c>
      <c r="E2706" t="n">
        <v>5015560</v>
      </c>
      <c r="F2706" t="inlineStr">
        <is>
          <t>317</t>
        </is>
      </c>
      <c r="G2706" t="inlineStr">
        <is>
          <t>RE</t>
        </is>
      </c>
      <c r="H2706" s="12" t="n">
        <v>-1200</v>
      </c>
      <c r="I2706" s="17" t="n">
        <v>46238</v>
      </c>
      <c r="J2706" s="17" t="n">
        <v>46280</v>
      </c>
      <c r="K2706" t="inlineStr">
        <is>
          <t>Fatura - bruto TOP LOCACOES LTDA 43452661000160 31</t>
        </is>
      </c>
    </row>
    <row r="2707">
      <c r="A2707" t="inlineStr">
        <is>
          <t>104002</t>
        </is>
      </c>
      <c r="B2707" t="inlineStr">
        <is>
          <t>TOP LOCACOES LTDA 43452661000160</t>
        </is>
      </c>
      <c r="C2707" t="n">
        <v>2111000000</v>
      </c>
      <c r="D2707" t="inlineStr">
        <is>
          <t>Other Suppliers</t>
        </is>
      </c>
      <c r="E2707" t="n">
        <v>5015561</v>
      </c>
      <c r="F2707" t="inlineStr">
        <is>
          <t>318</t>
        </is>
      </c>
      <c r="G2707" t="inlineStr">
        <is>
          <t>RE</t>
        </is>
      </c>
      <c r="H2707" s="12" t="n">
        <v>-1200</v>
      </c>
      <c r="I2707" s="17" t="n">
        <v>46238</v>
      </c>
      <c r="J2707" s="17" t="n">
        <v>46280</v>
      </c>
      <c r="K2707" t="inlineStr">
        <is>
          <t>Fatura - bruto TOP LOCACOES LTDA 43452661000160 31</t>
        </is>
      </c>
    </row>
    <row r="2708">
      <c r="A2708" t="inlineStr">
        <is>
          <t>104002</t>
        </is>
      </c>
      <c r="B2708" t="inlineStr">
        <is>
          <t>TOP LOCACOES LTDA 43452661000160</t>
        </is>
      </c>
      <c r="C2708" t="n">
        <v>2111000000</v>
      </c>
      <c r="D2708" t="inlineStr">
        <is>
          <t>Other Suppliers</t>
        </is>
      </c>
      <c r="E2708" t="n">
        <v>5015566</v>
      </c>
      <c r="F2708" t="inlineStr">
        <is>
          <t>316</t>
        </is>
      </c>
      <c r="G2708" t="inlineStr">
        <is>
          <t>RE</t>
        </is>
      </c>
      <c r="H2708" s="12" t="n">
        <v>-1200</v>
      </c>
      <c r="I2708" s="17" t="n">
        <v>46235</v>
      </c>
      <c r="J2708" s="17" t="n">
        <v>46280</v>
      </c>
      <c r="K2708" t="inlineStr">
        <is>
          <t>Fatura - bruto TOP LOCACOES LTDA 43452661000160 31</t>
        </is>
      </c>
    </row>
    <row r="2709">
      <c r="A2709" t="inlineStr">
        <is>
          <t>105984</t>
        </is>
      </c>
      <c r="B2709" t="inlineStr">
        <is>
          <t>TRADEWORKS SERVICOS DE COMERCIO EXT 04955748000107</t>
        </is>
      </c>
      <c r="C2709" t="n">
        <v>2111000000</v>
      </c>
      <c r="D2709" t="inlineStr">
        <is>
          <t>Customs Brokerage – Overall</t>
        </is>
      </c>
      <c r="E2709" t="n">
        <v>5015575</v>
      </c>
      <c r="F2709" t="inlineStr">
        <is>
          <t>93708</t>
        </is>
      </c>
      <c r="G2709" t="inlineStr">
        <is>
          <t>RE</t>
        </is>
      </c>
      <c r="H2709" s="12" t="n">
        <v>-1337.76</v>
      </c>
      <c r="I2709" s="17" t="n">
        <v>46251</v>
      </c>
      <c r="J2709" s="17" t="n">
        <v>46281</v>
      </c>
      <c r="K2709" t="inlineStr">
        <is>
          <t>Fatura - bruto TRADEWORKS SERVICOS DE COMERCIO EXT</t>
        </is>
      </c>
    </row>
    <row r="2710">
      <c r="A2710" t="inlineStr">
        <is>
          <t>105984</t>
        </is>
      </c>
      <c r="B2710" t="inlineStr">
        <is>
          <t>TRADEWORKS SERVICOS DE COMERCIO EXT 04955748000107</t>
        </is>
      </c>
      <c r="C2710" t="n">
        <v>2111000000</v>
      </c>
      <c r="D2710" t="inlineStr">
        <is>
          <t>Customs Brokerage – Overall</t>
        </is>
      </c>
      <c r="E2710" t="n">
        <v>5015576</v>
      </c>
      <c r="F2710" t="inlineStr">
        <is>
          <t>93703</t>
        </is>
      </c>
      <c r="G2710" t="inlineStr">
        <is>
          <t>RE</t>
        </is>
      </c>
      <c r="H2710" s="12" t="n">
        <v>-1337.76</v>
      </c>
      <c r="I2710" s="17" t="n">
        <v>46251</v>
      </c>
      <c r="J2710" s="17" t="n">
        <v>46281</v>
      </c>
      <c r="K2710" t="inlineStr">
        <is>
          <t>Fatura - bruto TRADEWORKS SERVICOS DE COMERCIO EXT</t>
        </is>
      </c>
    </row>
    <row r="2711">
      <c r="A2711" t="inlineStr">
        <is>
          <t>105984</t>
        </is>
      </c>
      <c r="B2711" t="inlineStr">
        <is>
          <t>TRADEWORKS SERVICOS DE COMERCIO EXT 04955748000107</t>
        </is>
      </c>
      <c r="C2711" t="n">
        <v>2111000000</v>
      </c>
      <c r="D2711" t="inlineStr">
        <is>
          <t>Customs Brokerage – Overall</t>
        </is>
      </c>
      <c r="E2711" t="n">
        <v>5015577</v>
      </c>
      <c r="F2711" t="inlineStr">
        <is>
          <t>93641</t>
        </is>
      </c>
      <c r="G2711" t="inlineStr">
        <is>
          <t>RE</t>
        </is>
      </c>
      <c r="H2711" s="12" t="n">
        <v>-1337.76</v>
      </c>
      <c r="I2711" s="17" t="n">
        <v>46247</v>
      </c>
      <c r="J2711" s="17" t="n">
        <v>46277</v>
      </c>
      <c r="K2711" t="inlineStr">
        <is>
          <t>Fatura - bruto TRADEWORKS SERVICOS DE COMERCIO EXT</t>
        </is>
      </c>
    </row>
    <row r="2712">
      <c r="A2712" t="inlineStr">
        <is>
          <t>105984</t>
        </is>
      </c>
      <c r="B2712" t="inlineStr">
        <is>
          <t>TRADEWORKS SERVICOS DE COMERCIO EXT 04955748000107</t>
        </is>
      </c>
      <c r="C2712" t="n">
        <v>2111000000</v>
      </c>
      <c r="D2712" t="inlineStr">
        <is>
          <t>Customs Brokerage – Overall</t>
        </is>
      </c>
      <c r="E2712" t="n">
        <v>5015578</v>
      </c>
      <c r="F2712" t="inlineStr">
        <is>
          <t>93710</t>
        </is>
      </c>
      <c r="G2712" t="inlineStr">
        <is>
          <t>RE</t>
        </is>
      </c>
      <c r="H2712" s="12" t="n">
        <v>-1337.76</v>
      </c>
      <c r="I2712" s="17" t="n">
        <v>46251</v>
      </c>
      <c r="J2712" s="17" t="n">
        <v>46281</v>
      </c>
      <c r="K2712" t="inlineStr">
        <is>
          <t>Fatura - bruto TRADEWORKS SERVICOS DE COMERCIO EXT</t>
        </is>
      </c>
    </row>
    <row r="2713">
      <c r="A2713" t="inlineStr">
        <is>
          <t>105984</t>
        </is>
      </c>
      <c r="B2713" t="inlineStr">
        <is>
          <t>TRADEWORKS SERVICOS DE COMERCIO EXT 04955748000107</t>
        </is>
      </c>
      <c r="C2713" t="n">
        <v>2111000000</v>
      </c>
      <c r="D2713" t="inlineStr">
        <is>
          <t>Customs Brokerage – Overall</t>
        </is>
      </c>
      <c r="E2713" t="n">
        <v>5015579</v>
      </c>
      <c r="F2713" t="inlineStr">
        <is>
          <t>93704</t>
        </is>
      </c>
      <c r="G2713" t="inlineStr">
        <is>
          <t>RE</t>
        </is>
      </c>
      <c r="H2713" s="12" t="n">
        <v>-1337.76</v>
      </c>
      <c r="I2713" s="17" t="n">
        <v>46251</v>
      </c>
      <c r="J2713" s="17" t="n">
        <v>46281</v>
      </c>
      <c r="K2713" t="inlineStr">
        <is>
          <t>Fatura - bruto TRADEWORKS SERVICOS DE COMERCIO EXT</t>
        </is>
      </c>
    </row>
    <row r="2714">
      <c r="A2714" t="inlineStr">
        <is>
          <t>105984</t>
        </is>
      </c>
      <c r="B2714" t="inlineStr">
        <is>
          <t>TRADEWORKS SERVICOS DE COMERCIO EXT 04955748000107</t>
        </is>
      </c>
      <c r="C2714" t="n">
        <v>2111000000</v>
      </c>
      <c r="D2714" t="inlineStr">
        <is>
          <t>Customs Brokerage – Overall</t>
        </is>
      </c>
      <c r="E2714" t="n">
        <v>5015580</v>
      </c>
      <c r="F2714" t="inlineStr">
        <is>
          <t>93640</t>
        </is>
      </c>
      <c r="G2714" t="inlineStr">
        <is>
          <t>RE</t>
        </is>
      </c>
      <c r="H2714" s="12" t="n">
        <v>-1337.76</v>
      </c>
      <c r="I2714" s="17" t="n">
        <v>46247</v>
      </c>
      <c r="J2714" s="17" t="n">
        <v>46277</v>
      </c>
      <c r="K2714" t="inlineStr">
        <is>
          <t>Fatura - bruto TRADEWORKS SERVICOS DE COMERCIO EXT</t>
        </is>
      </c>
    </row>
    <row r="2715">
      <c r="A2715" t="inlineStr">
        <is>
          <t>101801</t>
        </is>
      </c>
      <c r="B2715" t="inlineStr">
        <is>
          <t>DARCY PACHECO SOLUCOES DE PESO LTDA 89396121000108</t>
        </is>
      </c>
      <c r="C2715" t="n">
        <v>2111000000</v>
      </c>
      <c r="D2715" t="inlineStr">
        <is>
          <t>Operational Suppliers (Wind Farms)</t>
        </is>
      </c>
      <c r="E2715" t="n">
        <v>5015592</v>
      </c>
      <c r="F2715" t="inlineStr">
        <is>
          <t>8776</t>
        </is>
      </c>
      <c r="G2715" t="inlineStr">
        <is>
          <t>RE</t>
        </is>
      </c>
      <c r="H2715" s="12" t="n">
        <v>-396999.47</v>
      </c>
      <c r="I2715" s="17" t="n">
        <v>46253</v>
      </c>
      <c r="J2715" s="17" t="n">
        <v>46331</v>
      </c>
      <c r="K2715" t="inlineStr">
        <is>
          <t>Fatura - bruto DARCY PACHECO SOLUCOES DE PESO LTDA</t>
        </is>
      </c>
    </row>
    <row r="2716">
      <c r="A2716" t="inlineStr">
        <is>
          <t>101156</t>
        </is>
      </c>
      <c r="B2716" t="inlineStr">
        <is>
          <t>TEKHELIUS PRESTAÇÃO DE SERVIÇOS LTD 37245993000171</t>
        </is>
      </c>
      <c r="C2716" t="n">
        <v>2111000000</v>
      </c>
      <c r="D2716" t="inlineStr">
        <is>
          <t>Operational Suppliers (Wind Farms)</t>
        </is>
      </c>
      <c r="E2716" t="n">
        <v>5015593</v>
      </c>
      <c r="F2716" t="inlineStr">
        <is>
          <t>17</t>
        </is>
      </c>
      <c r="G2716" t="inlineStr">
        <is>
          <t>RE</t>
        </is>
      </c>
      <c r="H2716" s="12" t="n">
        <v>-56743.02</v>
      </c>
      <c r="I2716" s="17" t="n">
        <v>46247</v>
      </c>
      <c r="J2716" s="17" t="n">
        <v>46270</v>
      </c>
      <c r="K2716" t="inlineStr">
        <is>
          <t>Fatura - bruto TEKHELIUS PRESTAÇÃO DE SERVIÇOS LTD</t>
        </is>
      </c>
    </row>
    <row r="2717">
      <c r="A2717" t="inlineStr">
        <is>
          <t>101156</t>
        </is>
      </c>
      <c r="B2717" t="inlineStr">
        <is>
          <t>TEKHELIUS PRESTAÇÃO DE SERVIÇOS LTD 37245993000171</t>
        </is>
      </c>
      <c r="C2717" t="n">
        <v>2111000000</v>
      </c>
      <c r="D2717" t="inlineStr">
        <is>
          <t>Operational Suppliers (Wind Farms)</t>
        </is>
      </c>
      <c r="E2717" t="n">
        <v>5015594</v>
      </c>
      <c r="F2717" t="inlineStr">
        <is>
          <t>19</t>
        </is>
      </c>
      <c r="G2717" t="inlineStr">
        <is>
          <t>RE</t>
        </is>
      </c>
      <c r="H2717" s="12" t="n">
        <v>-49890.28</v>
      </c>
      <c r="I2717" s="17" t="n">
        <v>46247</v>
      </c>
      <c r="J2717" s="17" t="n">
        <v>46270</v>
      </c>
      <c r="K2717" t="inlineStr">
        <is>
          <t>Fatura - bruto TEKHELIUS PRESTAÇÃO DE SERVIÇOS LTD</t>
        </is>
      </c>
    </row>
    <row r="2718">
      <c r="A2718" t="inlineStr">
        <is>
          <t>101156</t>
        </is>
      </c>
      <c r="B2718" t="inlineStr">
        <is>
          <t>TEKHELIUS PRESTAÇÃO DE SERVIÇOS LTD 37245993000171</t>
        </is>
      </c>
      <c r="C2718" t="n">
        <v>2111000000</v>
      </c>
      <c r="D2718" t="inlineStr">
        <is>
          <t>Operational Suppliers (Wind Farms)</t>
        </is>
      </c>
      <c r="E2718" t="n">
        <v>5015595</v>
      </c>
      <c r="F2718" t="inlineStr">
        <is>
          <t>14</t>
        </is>
      </c>
      <c r="G2718" t="inlineStr">
        <is>
          <t>RE</t>
        </is>
      </c>
      <c r="H2718" s="12" t="n">
        <v>-124996.62</v>
      </c>
      <c r="I2718" s="17" t="n">
        <v>46247</v>
      </c>
      <c r="J2718" s="17" t="n">
        <v>46270</v>
      </c>
      <c r="K2718" t="inlineStr">
        <is>
          <t>Fatura - bruto TEKHELIUS PRESTAÇÃO DE SERVIÇOS LTD</t>
        </is>
      </c>
    </row>
    <row r="2719">
      <c r="A2719" t="inlineStr">
        <is>
          <t>101156</t>
        </is>
      </c>
      <c r="B2719" t="inlineStr">
        <is>
          <t>TEKHELIUS PRESTAÇÃO DE SERVIÇOS LTD 37245993000171</t>
        </is>
      </c>
      <c r="C2719" t="n">
        <v>2111000000</v>
      </c>
      <c r="D2719" t="inlineStr">
        <is>
          <t>Operational Suppliers (Wind Farms)</t>
        </is>
      </c>
      <c r="E2719" t="n">
        <v>5015601</v>
      </c>
      <c r="F2719" t="inlineStr">
        <is>
          <t>15</t>
        </is>
      </c>
      <c r="G2719" t="inlineStr">
        <is>
          <t>RE</t>
        </is>
      </c>
      <c r="H2719" s="12" t="n">
        <v>-85909.98</v>
      </c>
      <c r="I2719" s="17" t="n">
        <v>46247</v>
      </c>
      <c r="J2719" s="17" t="n">
        <v>46270</v>
      </c>
      <c r="K2719" t="inlineStr">
        <is>
          <t>Fatura - bruto TEKHELIUS PRESTAÇÃO DE SERVIÇOS LTD</t>
        </is>
      </c>
    </row>
    <row r="2720">
      <c r="A2720" t="inlineStr">
        <is>
          <t>101463</t>
        </is>
      </c>
      <c r="B2720" t="inlineStr">
        <is>
          <t>ZURICH MINAS BRASIL SEGUROS S A</t>
        </is>
      </c>
      <c r="C2720" t="n">
        <v>2111000000</v>
      </c>
      <c r="D2720" t="inlineStr">
        <is>
          <t>Insurance</t>
        </is>
      </c>
      <c r="E2720" t="n">
        <v>5015608</v>
      </c>
      <c r="F2720" t="inlineStr">
        <is>
          <t>0443/26</t>
        </is>
      </c>
      <c r="G2720" t="inlineStr">
        <is>
          <t>RE</t>
        </is>
      </c>
      <c r="H2720" s="12" t="n">
        <v>-176.81</v>
      </c>
      <c r="I2720" s="17" t="n">
        <v>46253</v>
      </c>
      <c r="J2720" s="17" t="n">
        <v>46284</v>
      </c>
      <c r="K2720" t="inlineStr">
        <is>
          <t>Invoice Payment. SP: 21698</t>
        </is>
      </c>
    </row>
    <row r="2721">
      <c r="A2721" t="inlineStr">
        <is>
          <t>101463</t>
        </is>
      </c>
      <c r="B2721" t="inlineStr">
        <is>
          <t>ZURICH MINAS BRASIL SEGUROS S A</t>
        </is>
      </c>
      <c r="C2721" t="n">
        <v>2111000000</v>
      </c>
      <c r="D2721" t="inlineStr">
        <is>
          <t>Insurance</t>
        </is>
      </c>
      <c r="E2721" t="n">
        <v>5015609</v>
      </c>
      <c r="F2721" t="inlineStr">
        <is>
          <t>0447/26</t>
        </is>
      </c>
      <c r="G2721" t="inlineStr">
        <is>
          <t>RE</t>
        </is>
      </c>
      <c r="H2721" s="12" t="n">
        <v>-3178.25</v>
      </c>
      <c r="I2721" s="17" t="n">
        <v>46248</v>
      </c>
      <c r="J2721" s="17" t="n">
        <v>46284</v>
      </c>
      <c r="K2721" t="inlineStr">
        <is>
          <t>Invoice Payment. SP: 21484</t>
        </is>
      </c>
    </row>
    <row r="2722">
      <c r="A2722" t="inlineStr">
        <is>
          <t>101156</t>
        </is>
      </c>
      <c r="B2722" t="inlineStr">
        <is>
          <t>TEKHELIUS PRESTAÇÃO DE SERVIÇOS LTD 37245993000171</t>
        </is>
      </c>
      <c r="C2722" t="n">
        <v>2111000000</v>
      </c>
      <c r="D2722" t="inlineStr">
        <is>
          <t>Operational Suppliers (Wind Farms)</t>
        </is>
      </c>
      <c r="E2722" t="n">
        <v>5015612</v>
      </c>
      <c r="F2722" t="inlineStr">
        <is>
          <t>16</t>
        </is>
      </c>
      <c r="G2722" t="inlineStr">
        <is>
          <t>RE</t>
        </is>
      </c>
      <c r="H2722" s="12" t="n">
        <v>-44040.48</v>
      </c>
      <c r="I2722" s="17" t="n">
        <v>46247</v>
      </c>
      <c r="J2722" s="17" t="n">
        <v>46270</v>
      </c>
      <c r="K2722" t="inlineStr">
        <is>
          <t>Fatura - bruto TEKHELIUS PRESTAÇÃO DE SERVIÇOS LTD</t>
        </is>
      </c>
    </row>
    <row r="2723">
      <c r="A2723" t="inlineStr">
        <is>
          <t>101156</t>
        </is>
      </c>
      <c r="B2723" t="inlineStr">
        <is>
          <t>TEKHELIUS PRESTAÇÃO DE SERVIÇOS LTD 37245993000171</t>
        </is>
      </c>
      <c r="C2723" t="n">
        <v>2111000000</v>
      </c>
      <c r="D2723" t="inlineStr">
        <is>
          <t>Operational Suppliers (Wind Farms)</t>
        </is>
      </c>
      <c r="E2723" t="n">
        <v>5015613</v>
      </c>
      <c r="F2723" t="inlineStr">
        <is>
          <t>20</t>
        </is>
      </c>
      <c r="G2723" t="inlineStr">
        <is>
          <t>RE</t>
        </is>
      </c>
      <c r="H2723" s="12" t="n">
        <v>-16859.72</v>
      </c>
      <c r="I2723" s="17" t="n">
        <v>46247</v>
      </c>
      <c r="J2723" s="17" t="n">
        <v>46270</v>
      </c>
      <c r="K2723" t="inlineStr">
        <is>
          <t>Fatura - bruto TEKHELIUS PRESTAÇÃO DE SERVIÇOS LTD</t>
        </is>
      </c>
    </row>
    <row r="2724">
      <c r="A2724" t="inlineStr">
        <is>
          <t>101156</t>
        </is>
      </c>
      <c r="B2724" t="inlineStr">
        <is>
          <t>TEKHELIUS PRESTAÇÃO DE SERVIÇOS LTD 37245993000171</t>
        </is>
      </c>
      <c r="C2724" t="n">
        <v>2111000000</v>
      </c>
      <c r="D2724" t="inlineStr">
        <is>
          <t>Operational Suppliers (Wind Farms)</t>
        </is>
      </c>
      <c r="E2724" t="n">
        <v>5015614</v>
      </c>
      <c r="F2724" t="inlineStr">
        <is>
          <t>21</t>
        </is>
      </c>
      <c r="G2724" t="inlineStr">
        <is>
          <t>RE</t>
        </is>
      </c>
      <c r="H2724" s="12" t="n">
        <v>-25729.62</v>
      </c>
      <c r="I2724" s="17" t="n">
        <v>46247</v>
      </c>
      <c r="J2724" s="17" t="n">
        <v>46270</v>
      </c>
      <c r="K2724" t="inlineStr">
        <is>
          <t>Fatura - bruto TEKHELIUS PRESTAÇÃO DE SERVIÇOS LTD</t>
        </is>
      </c>
    </row>
    <row r="2725">
      <c r="A2725" t="inlineStr">
        <is>
          <t>101156</t>
        </is>
      </c>
      <c r="B2725" t="inlineStr">
        <is>
          <t>TEKHELIUS PRESTAÇÃO DE SERVIÇOS LTD 37245993000171</t>
        </is>
      </c>
      <c r="C2725" t="n">
        <v>2111000000</v>
      </c>
      <c r="D2725" t="inlineStr">
        <is>
          <t>Operational Suppliers (Wind Farms)</t>
        </is>
      </c>
      <c r="E2725" t="n">
        <v>5015615</v>
      </c>
      <c r="F2725" t="inlineStr">
        <is>
          <t>22</t>
        </is>
      </c>
      <c r="G2725" t="inlineStr">
        <is>
          <t>RE</t>
        </is>
      </c>
      <c r="H2725" s="12" t="n">
        <v>-134506.75</v>
      </c>
      <c r="I2725" s="17" t="n">
        <v>46247</v>
      </c>
      <c r="J2725" s="17" t="n">
        <v>46270</v>
      </c>
      <c r="K2725" t="inlineStr">
        <is>
          <t>Fatura - bruto TEKHELIUS PRESTAÇÃO DE SERVIÇOS LTD</t>
        </is>
      </c>
    </row>
    <row r="2726">
      <c r="A2726" t="inlineStr">
        <is>
          <t>100026</t>
        </is>
      </c>
      <c r="B2726" t="inlineStr">
        <is>
          <t>PAIVA SERVICOS LTDA</t>
        </is>
      </c>
      <c r="C2726" t="n">
        <v>2111000000</v>
      </c>
      <c r="D2726" t="inlineStr">
        <is>
          <t>Operational Suppliers (Wind Farms)</t>
        </is>
      </c>
      <c r="E2726" t="n">
        <v>5015616</v>
      </c>
      <c r="F2726" t="inlineStr">
        <is>
          <t>830</t>
        </is>
      </c>
      <c r="G2726" t="inlineStr">
        <is>
          <t>RE</t>
        </is>
      </c>
      <c r="H2726" s="12" t="n">
        <v>-44141.78</v>
      </c>
      <c r="I2726" s="17" t="n">
        <v>46254</v>
      </c>
      <c r="J2726" s="17" t="n">
        <v>46300</v>
      </c>
      <c r="K2726" t="inlineStr">
        <is>
          <t>Fatura - bruto PAIVA SERVICOS LTDA 830</t>
        </is>
      </c>
    </row>
    <row r="2727">
      <c r="A2727" t="inlineStr">
        <is>
          <t>101463</t>
        </is>
      </c>
      <c r="B2727" t="inlineStr">
        <is>
          <t>ZURICH MINAS BRASIL SEGUROS S A</t>
        </is>
      </c>
      <c r="C2727" t="n">
        <v>2111000000</v>
      </c>
      <c r="D2727" t="inlineStr">
        <is>
          <t>Insurance</t>
        </is>
      </c>
      <c r="E2727" t="n">
        <v>5015617</v>
      </c>
      <c r="F2727" t="inlineStr">
        <is>
          <t>0419/26</t>
        </is>
      </c>
      <c r="G2727" t="inlineStr">
        <is>
          <t>RE</t>
        </is>
      </c>
      <c r="H2727" s="12" t="n">
        <v>-3146.74</v>
      </c>
      <c r="I2727" s="17" t="n">
        <v>46248</v>
      </c>
      <c r="J2727" s="17" t="n">
        <v>46284</v>
      </c>
      <c r="K2727" t="inlineStr">
        <is>
          <t>Invoice Payment. SP: 21487</t>
        </is>
      </c>
    </row>
    <row r="2728">
      <c r="A2728" t="inlineStr">
        <is>
          <t>100026</t>
        </is>
      </c>
      <c r="B2728" t="inlineStr">
        <is>
          <t>PAIVA SERVICOS LTDA</t>
        </is>
      </c>
      <c r="C2728" t="n">
        <v>2111000000</v>
      </c>
      <c r="D2728" t="inlineStr">
        <is>
          <t>Operational Suppliers (Wind Farms)</t>
        </is>
      </c>
      <c r="E2728" t="n">
        <v>5015618</v>
      </c>
      <c r="F2728" t="inlineStr">
        <is>
          <t>829</t>
        </is>
      </c>
      <c r="G2728" t="inlineStr">
        <is>
          <t>RE</t>
        </is>
      </c>
      <c r="H2728" s="12" t="n">
        <v>-41107.99</v>
      </c>
      <c r="I2728" s="17" t="n">
        <v>46254</v>
      </c>
      <c r="J2728" s="17" t="n">
        <v>46300</v>
      </c>
      <c r="K2728" t="inlineStr">
        <is>
          <t>Fatura - bruto PAIVA SERVICOS LTDA 829</t>
        </is>
      </c>
    </row>
    <row r="2729">
      <c r="A2729" t="inlineStr">
        <is>
          <t>104059</t>
        </is>
      </c>
      <c r="B2729" t="inlineStr">
        <is>
          <t>MG SERVICOS E SAUDE LTDA 48515732000140</t>
        </is>
      </c>
      <c r="C2729" t="n">
        <v>2111000000</v>
      </c>
      <c r="D2729" t="inlineStr">
        <is>
          <t>Other Suppliers</t>
        </is>
      </c>
      <c r="E2729" t="n">
        <v>5015619</v>
      </c>
      <c r="F2729" t="inlineStr">
        <is>
          <t>37</t>
        </is>
      </c>
      <c r="G2729" t="inlineStr">
        <is>
          <t>RE</t>
        </is>
      </c>
      <c r="H2729" s="12" t="n">
        <v>-2656.33</v>
      </c>
      <c r="I2729" s="17" t="n">
        <v>46253</v>
      </c>
      <c r="J2729" s="17" t="n">
        <v>46331</v>
      </c>
      <c r="K2729" t="inlineStr">
        <is>
          <t>Fatura - bruto MG SERVICOS E SAUDE LTDA 4851573200</t>
        </is>
      </c>
    </row>
    <row r="2730">
      <c r="A2730" t="inlineStr">
        <is>
          <t>105984</t>
        </is>
      </c>
      <c r="B2730" t="inlineStr">
        <is>
          <t>TRADEWORKS SERVICOS DE COMERCIO EXT 04955748000107</t>
        </is>
      </c>
      <c r="C2730" t="n">
        <v>2111000000</v>
      </c>
      <c r="D2730" t="inlineStr">
        <is>
          <t>Customs Brokerage – Overall</t>
        </is>
      </c>
      <c r="E2730" t="n">
        <v>5015620</v>
      </c>
      <c r="F2730" t="inlineStr">
        <is>
          <t>0419/26</t>
        </is>
      </c>
      <c r="G2730" t="inlineStr">
        <is>
          <t>RE</t>
        </is>
      </c>
      <c r="H2730" s="12" t="n">
        <v>-145558.22</v>
      </c>
      <c r="I2730" s="17" t="n">
        <v>46248</v>
      </c>
      <c r="J2730" s="17" t="n">
        <v>46284</v>
      </c>
      <c r="K2730" t="inlineStr">
        <is>
          <t>Invoice Payment. SP: 21488</t>
        </is>
      </c>
    </row>
    <row r="2731">
      <c r="A2731" t="inlineStr">
        <is>
          <t>104059</t>
        </is>
      </c>
      <c r="B2731" t="inlineStr">
        <is>
          <t>MG SERVICOS E SAUDE LTDA 48515732000140</t>
        </is>
      </c>
      <c r="C2731" t="n">
        <v>2111000000</v>
      </c>
      <c r="D2731" t="inlineStr">
        <is>
          <t>Other Suppliers</t>
        </is>
      </c>
      <c r="E2731" t="n">
        <v>5015621</v>
      </c>
      <c r="F2731" t="inlineStr">
        <is>
          <t>36</t>
        </is>
      </c>
      <c r="G2731" t="inlineStr">
        <is>
          <t>RE</t>
        </is>
      </c>
      <c r="H2731" s="12" t="n">
        <v>-1544.06</v>
      </c>
      <c r="I2731" s="17" t="n">
        <v>46253</v>
      </c>
      <c r="J2731" s="17" t="n">
        <v>46331</v>
      </c>
      <c r="K2731" t="inlineStr">
        <is>
          <t>Fatura - bruto MG SERVICOS E SAUDE LTDA 4851573200</t>
        </is>
      </c>
    </row>
    <row r="2732">
      <c r="A2732" t="inlineStr">
        <is>
          <t>102052</t>
        </is>
      </c>
      <c r="B2732" t="inlineStr">
        <is>
          <t>TOME EQUIPAMENTOS E TRANSPORTES LTD 44384832000124</t>
        </is>
      </c>
      <c r="C2732" t="n">
        <v>2111000000</v>
      </c>
      <c r="D2732" t="inlineStr">
        <is>
          <t>Operational Suppliers (Wind Farms)</t>
        </is>
      </c>
      <c r="E2732" t="n">
        <v>5015627</v>
      </c>
      <c r="F2732" t="inlineStr">
        <is>
          <t>10280</t>
        </is>
      </c>
      <c r="G2732" t="inlineStr">
        <is>
          <t>RE</t>
        </is>
      </c>
      <c r="H2732" s="12" t="n">
        <v>-7838.2</v>
      </c>
      <c r="I2732" s="17" t="n">
        <v>46246</v>
      </c>
      <c r="J2732" s="17" t="n">
        <v>46331</v>
      </c>
      <c r="K2732" t="inlineStr">
        <is>
          <t>Fatura - bruto TOME EQUIPAMENTOS E TRANSPORTES LTD</t>
        </is>
      </c>
    </row>
    <row r="2733">
      <c r="A2733" t="inlineStr">
        <is>
          <t>101156</t>
        </is>
      </c>
      <c r="B2733" t="inlineStr">
        <is>
          <t>TEKHELIUS PRESTAÇÃO DE SERVIÇOS LTD 37245993000171</t>
        </is>
      </c>
      <c r="C2733" t="n">
        <v>2111000000</v>
      </c>
      <c r="D2733" t="inlineStr">
        <is>
          <t>Operational Suppliers (Wind Farms)</t>
        </is>
      </c>
      <c r="E2733" t="n">
        <v>5015628</v>
      </c>
      <c r="F2733" t="inlineStr">
        <is>
          <t>18</t>
        </is>
      </c>
      <c r="G2733" t="inlineStr">
        <is>
          <t>RE</t>
        </is>
      </c>
      <c r="H2733" s="12" t="n">
        <v>-32716.5</v>
      </c>
      <c r="I2733" s="17" t="n">
        <v>46247</v>
      </c>
      <c r="J2733" s="17" t="n">
        <v>46270</v>
      </c>
      <c r="K2733" t="inlineStr">
        <is>
          <t>Fatura - bruto TEKHELIUS PRESTAÇÃO DE SERVIÇOS LTD</t>
        </is>
      </c>
    </row>
    <row r="2734">
      <c r="A2734" t="inlineStr">
        <is>
          <t>101463</t>
        </is>
      </c>
      <c r="B2734" t="inlineStr">
        <is>
          <t>ZURICH MINAS BRASIL SEGUROS S A</t>
        </is>
      </c>
      <c r="C2734" t="n">
        <v>2111000000</v>
      </c>
      <c r="D2734" t="inlineStr">
        <is>
          <t>Insurance</t>
        </is>
      </c>
      <c r="E2734" t="n">
        <v>5015629</v>
      </c>
      <c r="F2734" t="inlineStr">
        <is>
          <t>0222/26</t>
        </is>
      </c>
      <c r="G2734" t="inlineStr">
        <is>
          <t>RE</t>
        </is>
      </c>
      <c r="H2734" s="12" t="n">
        <v>-492.94</v>
      </c>
      <c r="I2734" s="17" t="n">
        <v>46251</v>
      </c>
      <c r="J2734" s="17" t="n">
        <v>46284</v>
      </c>
      <c r="K2734" t="inlineStr">
        <is>
          <t>Invoice Payment. SP: 21560</t>
        </is>
      </c>
    </row>
    <row r="2735">
      <c r="A2735" t="inlineStr">
        <is>
          <t>101463</t>
        </is>
      </c>
      <c r="B2735" t="inlineStr">
        <is>
          <t>ZURICH MINAS BRASIL SEGUROS S A</t>
        </is>
      </c>
      <c r="C2735" t="n">
        <v>2111000000</v>
      </c>
      <c r="D2735" t="inlineStr">
        <is>
          <t>Insurance</t>
        </is>
      </c>
      <c r="E2735" t="n">
        <v>5015630</v>
      </c>
      <c r="F2735" t="inlineStr">
        <is>
          <t>0817/25</t>
        </is>
      </c>
      <c r="G2735" t="inlineStr">
        <is>
          <t>RE</t>
        </is>
      </c>
      <c r="H2735" s="12" t="n">
        <v>-245.21</v>
      </c>
      <c r="I2735" s="17" t="n">
        <v>46010</v>
      </c>
      <c r="J2735" s="17" t="n">
        <v>46040</v>
      </c>
      <c r="K2735" t="inlineStr">
        <is>
          <t>Invoice Payment. SP: 13939</t>
        </is>
      </c>
    </row>
    <row r="2736">
      <c r="A2736" t="inlineStr">
        <is>
          <t>101463</t>
        </is>
      </c>
      <c r="B2736" t="inlineStr">
        <is>
          <t>ZURICH MINAS BRASIL SEGUROS S A</t>
        </is>
      </c>
      <c r="C2736" t="n">
        <v>2111000000</v>
      </c>
      <c r="D2736" t="inlineStr">
        <is>
          <t>Insurance</t>
        </is>
      </c>
      <c r="E2736" t="n">
        <v>5015631</v>
      </c>
      <c r="F2736" t="inlineStr">
        <is>
          <t>0710/25</t>
        </is>
      </c>
      <c r="G2736" t="inlineStr">
        <is>
          <t>RE</t>
        </is>
      </c>
      <c r="H2736" s="12" t="n">
        <v>-40.26</v>
      </c>
      <c r="I2736" s="17" t="n">
        <v>45943</v>
      </c>
      <c r="J2736" s="17" t="n">
        <v>45973</v>
      </c>
      <c r="K2736" t="inlineStr">
        <is>
          <t>Invoice Payment. SP: 11842</t>
        </is>
      </c>
    </row>
    <row r="2737">
      <c r="A2737" t="inlineStr">
        <is>
          <t>105984</t>
        </is>
      </c>
      <c r="B2737" t="inlineStr">
        <is>
          <t>TRADEWORKS SERVICOS DE COMERCIO EXT 04955748000107</t>
        </is>
      </c>
      <c r="C2737" t="n">
        <v>2111000000</v>
      </c>
      <c r="D2737" t="inlineStr">
        <is>
          <t>Customs Brokerage – Overall</t>
        </is>
      </c>
      <c r="E2737" t="n">
        <v>5015632</v>
      </c>
      <c r="F2737" t="inlineStr">
        <is>
          <t>0710/25</t>
        </is>
      </c>
      <c r="G2737" t="inlineStr">
        <is>
          <t>RE</t>
        </is>
      </c>
      <c r="H2737" s="12" t="n">
        <v>-3713.04</v>
      </c>
      <c r="I2737" s="17" t="n">
        <v>45965</v>
      </c>
      <c r="J2737" s="17" t="n">
        <v>45995</v>
      </c>
      <c r="K2737" t="inlineStr">
        <is>
          <t>Invoice Payment. SP: 12428</t>
        </is>
      </c>
    </row>
    <row r="2738">
      <c r="A2738" t="inlineStr">
        <is>
          <t>101463</t>
        </is>
      </c>
      <c r="B2738" t="inlineStr">
        <is>
          <t>ZURICH MINAS BRASIL SEGUROS S A</t>
        </is>
      </c>
      <c r="C2738" t="n">
        <v>2111000000</v>
      </c>
      <c r="D2738" t="inlineStr">
        <is>
          <t>Insurance</t>
        </is>
      </c>
      <c r="E2738" t="n">
        <v>5015634</v>
      </c>
      <c r="F2738" t="inlineStr">
        <is>
          <t>0886/25</t>
        </is>
      </c>
      <c r="G2738" t="inlineStr">
        <is>
          <t>RE</t>
        </is>
      </c>
      <c r="H2738" s="12" t="n">
        <v>-629.89</v>
      </c>
      <c r="I2738" s="17" t="n">
        <v>46014</v>
      </c>
      <c r="J2738" s="17" t="n">
        <v>46044</v>
      </c>
      <c r="K2738" t="inlineStr">
        <is>
          <t>Invoice Payment. SP: 14039</t>
        </is>
      </c>
    </row>
    <row r="2739">
      <c r="A2739" t="inlineStr">
        <is>
          <t>101463</t>
        </is>
      </c>
      <c r="B2739" t="inlineStr">
        <is>
          <t>ZURICH MINAS BRASIL SEGUROS S A</t>
        </is>
      </c>
      <c r="C2739" t="n">
        <v>2111000000</v>
      </c>
      <c r="D2739" t="inlineStr">
        <is>
          <t>Insurance</t>
        </is>
      </c>
      <c r="E2739" t="n">
        <v>5015636</v>
      </c>
      <c r="F2739" t="inlineStr">
        <is>
          <t>0162/26</t>
        </is>
      </c>
      <c r="G2739" t="inlineStr">
        <is>
          <t>RE</t>
        </is>
      </c>
      <c r="H2739" s="12" t="n">
        <v>-116.72</v>
      </c>
      <c r="I2739" s="17" t="n">
        <v>46251</v>
      </c>
      <c r="J2739" s="17" t="n">
        <v>46284</v>
      </c>
      <c r="K2739" t="inlineStr">
        <is>
          <t>Invoice Payment. SP: 21558</t>
        </is>
      </c>
    </row>
    <row r="2740">
      <c r="A2740" t="inlineStr">
        <is>
          <t>101484</t>
        </is>
      </c>
      <c r="B2740" t="inlineStr">
        <is>
          <t>SANTIN EMPRESA DE TRANSP. ESPECIAIS 22902476000401</t>
        </is>
      </c>
      <c r="C2740" t="n">
        <v>2111000000</v>
      </c>
      <c r="D2740" t="inlineStr">
        <is>
          <t>Operational Suppliers (Wind Farms)</t>
        </is>
      </c>
      <c r="E2740" t="n">
        <v>5015638</v>
      </c>
      <c r="F2740" t="inlineStr">
        <is>
          <t>4171-1</t>
        </is>
      </c>
      <c r="G2740" t="inlineStr">
        <is>
          <t>RE</t>
        </is>
      </c>
      <c r="H2740" s="12" t="n">
        <v>-104462.73</v>
      </c>
      <c r="I2740" s="17" t="n">
        <v>46213</v>
      </c>
      <c r="J2740" s="17" t="n">
        <v>46300</v>
      </c>
      <c r="K2740" t="inlineStr">
        <is>
          <t>Fatura - bruto SANTIN EMPRESA DE TRANSP. ESPECIAIS</t>
        </is>
      </c>
    </row>
    <row r="2741">
      <c r="A2741" t="inlineStr">
        <is>
          <t>105984</t>
        </is>
      </c>
      <c r="B2741" t="inlineStr">
        <is>
          <t>TRADEWORKS SERVICOS DE COMERCIO EXT 04955748000107</t>
        </is>
      </c>
      <c r="C2741" t="n">
        <v>2111000000</v>
      </c>
      <c r="D2741" t="inlineStr">
        <is>
          <t>Customs Brokerage – Overall</t>
        </is>
      </c>
      <c r="E2741" t="n">
        <v>5015639</v>
      </c>
      <c r="F2741" t="inlineStr">
        <is>
          <t>0044/26</t>
        </is>
      </c>
      <c r="G2741" t="inlineStr">
        <is>
          <t>RE</t>
        </is>
      </c>
      <c r="H2741" s="12" t="n">
        <v>-0.03</v>
      </c>
      <c r="I2741" s="17" t="n">
        <v>46113</v>
      </c>
      <c r="J2741" s="17" t="n">
        <v>46284</v>
      </c>
      <c r="K2741" t="inlineStr">
        <is>
          <t>Invoice Payment. SP: 16542</t>
        </is>
      </c>
    </row>
    <row r="2742">
      <c r="A2742" t="inlineStr">
        <is>
          <t>105984</t>
        </is>
      </c>
      <c r="B2742" t="inlineStr">
        <is>
          <t>TRADEWORKS SERVICOS DE COMERCIO EXT 04955748000107</t>
        </is>
      </c>
      <c r="C2742" t="n">
        <v>2111000000</v>
      </c>
      <c r="D2742" t="inlineStr">
        <is>
          <t>Customs Brokerage – Overall</t>
        </is>
      </c>
      <c r="E2742" t="n">
        <v>5015640</v>
      </c>
      <c r="F2742" t="inlineStr">
        <is>
          <t>0044/26</t>
        </is>
      </c>
      <c r="G2742" t="inlineStr">
        <is>
          <t>RE</t>
        </is>
      </c>
      <c r="H2742" s="12" t="n">
        <v>-0.42</v>
      </c>
      <c r="I2742" s="17" t="n">
        <v>46113</v>
      </c>
      <c r="J2742" s="17" t="n">
        <v>46284</v>
      </c>
      <c r="K2742" t="inlineStr">
        <is>
          <t>Invoice Payment. SP: 16542</t>
        </is>
      </c>
    </row>
    <row r="2743">
      <c r="A2743" t="inlineStr">
        <is>
          <t>100379</t>
        </is>
      </c>
      <c r="B2743" t="inlineStr">
        <is>
          <t>RAK LOG TRANSPORTES E LOGISTICA EIR</t>
        </is>
      </c>
      <c r="C2743" t="n">
        <v>2111000000</v>
      </c>
      <c r="D2743" t="inlineStr">
        <is>
          <t>Operational Suppliers (Wind Farms)</t>
        </is>
      </c>
      <c r="E2743" t="n">
        <v>5015641</v>
      </c>
      <c r="F2743" t="inlineStr">
        <is>
          <t>339869-1</t>
        </is>
      </c>
      <c r="G2743" t="inlineStr">
        <is>
          <t>RE</t>
        </is>
      </c>
      <c r="H2743" s="12" t="n">
        <v>-7349.45</v>
      </c>
      <c r="I2743" s="17" t="n">
        <v>46253</v>
      </c>
      <c r="J2743" s="17" t="n">
        <v>46331</v>
      </c>
      <c r="K2743" t="inlineStr">
        <is>
          <t>Fatura - bruto RAK LOG TRANSPORTES E LOGISTICA EIR</t>
        </is>
      </c>
    </row>
    <row r="2744">
      <c r="A2744" t="inlineStr">
        <is>
          <t>100379</t>
        </is>
      </c>
      <c r="B2744" t="inlineStr">
        <is>
          <t>RAK LOG TRANSPORTES E LOGISTICA EIR</t>
        </is>
      </c>
      <c r="C2744" t="n">
        <v>2111000000</v>
      </c>
      <c r="D2744" t="inlineStr">
        <is>
          <t>Operational Suppliers (Wind Farms)</t>
        </is>
      </c>
      <c r="E2744" t="n">
        <v>5015643</v>
      </c>
      <c r="F2744" t="inlineStr">
        <is>
          <t>339018-1</t>
        </is>
      </c>
      <c r="G2744" t="inlineStr">
        <is>
          <t>RE</t>
        </is>
      </c>
      <c r="H2744" s="12" t="n">
        <v>-1400</v>
      </c>
      <c r="I2744" s="17" t="n">
        <v>46246</v>
      </c>
      <c r="J2744" s="17" t="n">
        <v>46331</v>
      </c>
      <c r="K2744" t="inlineStr">
        <is>
          <t>Fatura - bruto RAK LOG TRANSPORTES E LOGISTICA EIR</t>
        </is>
      </c>
    </row>
    <row r="2745">
      <c r="A2745" t="inlineStr">
        <is>
          <t>101463</t>
        </is>
      </c>
      <c r="B2745" t="inlineStr">
        <is>
          <t>ZURICH MINAS BRASIL SEGUROS S A</t>
        </is>
      </c>
      <c r="C2745" t="n">
        <v>2111000000</v>
      </c>
      <c r="D2745" t="inlineStr">
        <is>
          <t>Insurance</t>
        </is>
      </c>
      <c r="E2745" t="n">
        <v>5015644</v>
      </c>
      <c r="F2745" t="inlineStr">
        <is>
          <t>0093/26</t>
        </is>
      </c>
      <c r="G2745" t="inlineStr">
        <is>
          <t>RE</t>
        </is>
      </c>
      <c r="H2745" s="12" t="n">
        <v>-7741.59</v>
      </c>
      <c r="I2745" s="17" t="n">
        <v>46192</v>
      </c>
      <c r="J2745" s="17" t="n">
        <v>46284</v>
      </c>
      <c r="K2745" t="inlineStr">
        <is>
          <t>Invoice Payment. SP: 19139</t>
        </is>
      </c>
    </row>
    <row r="2746">
      <c r="A2746" t="inlineStr">
        <is>
          <t>100396</t>
        </is>
      </c>
      <c r="B2746" t="inlineStr">
        <is>
          <t>DISTRIBUI LOGISTICA LTDA 03592033000166</t>
        </is>
      </c>
      <c r="C2746" t="n">
        <v>2111000000</v>
      </c>
      <c r="D2746" t="inlineStr">
        <is>
          <t>Operational Suppliers (Wind Farms)</t>
        </is>
      </c>
      <c r="E2746" t="n">
        <v>5015647</v>
      </c>
      <c r="F2746" t="inlineStr">
        <is>
          <t>11034-4</t>
        </is>
      </c>
      <c r="G2746" t="inlineStr">
        <is>
          <t>RE</t>
        </is>
      </c>
      <c r="H2746" s="12" t="n">
        <v>-4067.14</v>
      </c>
      <c r="I2746" s="17" t="n">
        <v>46246</v>
      </c>
      <c r="J2746" s="17" t="n">
        <v>46331</v>
      </c>
      <c r="K2746" t="inlineStr">
        <is>
          <t>Fatura - bruto DISTRIBUI LOGISTICA LTDA 0359203300</t>
        </is>
      </c>
    </row>
    <row r="2747">
      <c r="A2747" t="inlineStr">
        <is>
          <t>115200</t>
        </is>
      </c>
      <c r="B2747" t="inlineStr">
        <is>
          <t>AIR LIDER GROUP COMERCIO DE GASES</t>
        </is>
      </c>
      <c r="C2747" t="n">
        <v>2111000000</v>
      </c>
      <c r="D2747" t="inlineStr">
        <is>
          <t>Other Suppliers</t>
        </is>
      </c>
      <c r="E2747" t="n">
        <v>5015650</v>
      </c>
      <c r="F2747" t="inlineStr">
        <is>
          <t>1277-1</t>
        </is>
      </c>
      <c r="G2747" t="inlineStr">
        <is>
          <t>RE</t>
        </is>
      </c>
      <c r="H2747" s="12" t="n">
        <v>-1982.7</v>
      </c>
      <c r="I2747" s="17" t="n">
        <v>46254</v>
      </c>
      <c r="J2747" s="17" t="n">
        <v>46282</v>
      </c>
      <c r="K2747" t="inlineStr">
        <is>
          <t>Fatura - bruto AIR LIDER GROUP COMERCIO DE GASES 1</t>
        </is>
      </c>
    </row>
    <row r="2748">
      <c r="A2748" t="inlineStr">
        <is>
          <t>100031</t>
        </is>
      </c>
      <c r="B2748" t="inlineStr">
        <is>
          <t>MEGAWIND INDUSTRIA E COMERCIO</t>
        </is>
      </c>
      <c r="C2748" t="n">
        <v>2111000000</v>
      </c>
      <c r="D2748" t="inlineStr">
        <is>
          <t>Operational Suppliers (Wind Farms)</t>
        </is>
      </c>
      <c r="E2748" t="n">
        <v>5015651</v>
      </c>
      <c r="F2748" t="inlineStr">
        <is>
          <t>1479</t>
        </is>
      </c>
      <c r="G2748" t="inlineStr">
        <is>
          <t>RE</t>
        </is>
      </c>
      <c r="H2748" s="12" t="n">
        <v>-41625</v>
      </c>
      <c r="I2748" s="17" t="n">
        <v>46254</v>
      </c>
      <c r="J2748" s="17" t="n">
        <v>46300</v>
      </c>
      <c r="K2748" t="inlineStr">
        <is>
          <t>Fatura - bruto MEGAWIND INDUSTRIA E COMERCIO 1479</t>
        </is>
      </c>
    </row>
    <row r="2749">
      <c r="A2749" t="inlineStr">
        <is>
          <t>100031</t>
        </is>
      </c>
      <c r="B2749" t="inlineStr">
        <is>
          <t>MEGAWIND INDUSTRIA E COMERCIO</t>
        </is>
      </c>
      <c r="C2749" t="n">
        <v>2111000000</v>
      </c>
      <c r="D2749" t="inlineStr">
        <is>
          <t>Operational Suppliers (Wind Farms)</t>
        </is>
      </c>
      <c r="E2749" t="n">
        <v>5015652</v>
      </c>
      <c r="F2749" t="inlineStr">
        <is>
          <t>1480</t>
        </is>
      </c>
      <c r="G2749" t="inlineStr">
        <is>
          <t>RE</t>
        </is>
      </c>
      <c r="H2749" s="12" t="n">
        <v>-41497.81</v>
      </c>
      <c r="I2749" s="17" t="n">
        <v>46254</v>
      </c>
      <c r="J2749" s="17" t="n">
        <v>46300</v>
      </c>
      <c r="K2749" t="inlineStr">
        <is>
          <t>Fatura - bruto MEGAWIND INDUSTRIA E COMERCIO 1480</t>
        </is>
      </c>
    </row>
    <row r="2750">
      <c r="A2750" t="inlineStr">
        <is>
          <t>101944</t>
        </is>
      </c>
      <c r="B2750" t="inlineStr">
        <is>
          <t>TEXAS CONTROLS DO BRASIL LTDA</t>
        </is>
      </c>
      <c r="C2750" t="n">
        <v>2111000000</v>
      </c>
      <c r="D2750" t="inlineStr">
        <is>
          <t>Operational Suppliers (Wind Farms)</t>
        </is>
      </c>
      <c r="E2750" t="n">
        <v>5015653</v>
      </c>
      <c r="F2750" t="inlineStr">
        <is>
          <t>1227</t>
        </is>
      </c>
      <c r="G2750" t="inlineStr">
        <is>
          <t>RE</t>
        </is>
      </c>
      <c r="H2750" s="12" t="n">
        <v>-21811</v>
      </c>
      <c r="I2750" s="17" t="n">
        <v>46251</v>
      </c>
      <c r="J2750" s="17" t="n">
        <v>46282</v>
      </c>
      <c r="K2750" t="inlineStr">
        <is>
          <t>Fatura - bruto TEXAS CONTROLS DO BRASIL LTDA 1227</t>
        </is>
      </c>
    </row>
    <row r="2751">
      <c r="A2751" t="inlineStr">
        <is>
          <t>101944</t>
        </is>
      </c>
      <c r="B2751" t="inlineStr">
        <is>
          <t>TEXAS CONTROLS DO BRASIL LTDA</t>
        </is>
      </c>
      <c r="C2751" t="n">
        <v>2111000000</v>
      </c>
      <c r="D2751" t="inlineStr">
        <is>
          <t>Operational Suppliers (Wind Farms)</t>
        </is>
      </c>
      <c r="E2751" t="n">
        <v>5015654</v>
      </c>
      <c r="F2751" t="inlineStr">
        <is>
          <t>1226</t>
        </is>
      </c>
      <c r="G2751" t="inlineStr">
        <is>
          <t>RE</t>
        </is>
      </c>
      <c r="H2751" s="12" t="n">
        <v>-6497</v>
      </c>
      <c r="I2751" s="17" t="n">
        <v>46251</v>
      </c>
      <c r="J2751" s="17" t="n">
        <v>46282</v>
      </c>
      <c r="K2751" t="inlineStr">
        <is>
          <t>Fatura - bruto TEXAS CONTROLS DO BRASIL LTDA 1226</t>
        </is>
      </c>
    </row>
    <row r="2752">
      <c r="A2752" t="inlineStr">
        <is>
          <t>101228</t>
        </is>
      </c>
      <c r="B2752" t="inlineStr">
        <is>
          <t>EDIFICIO ATRIUM VI COM</t>
        </is>
      </c>
      <c r="C2752" t="n">
        <v>2111000000</v>
      </c>
      <c r="D2752" t="inlineStr">
        <is>
          <t>Other Suppliers</t>
        </is>
      </c>
      <c r="E2752" t="n">
        <v>5015659</v>
      </c>
      <c r="F2752" t="inlineStr">
        <is>
          <t>779459</t>
        </is>
      </c>
      <c r="G2752" t="inlineStr">
        <is>
          <t>RE</t>
        </is>
      </c>
      <c r="H2752" s="12" t="n">
        <v>-13729.45</v>
      </c>
      <c r="I2752" s="17" t="n">
        <v>46254</v>
      </c>
      <c r="J2752" s="17" t="n">
        <v>46275</v>
      </c>
      <c r="K2752" t="inlineStr">
        <is>
          <t>Fatura - bruto EDIFICIO ATRIUM VI COM 779459</t>
        </is>
      </c>
    </row>
    <row r="2753">
      <c r="A2753" t="inlineStr">
        <is>
          <t>101944</t>
        </is>
      </c>
      <c r="B2753" t="inlineStr">
        <is>
          <t>TEXAS CONTROLS DO BRASIL LTDA</t>
        </is>
      </c>
      <c r="C2753" t="n">
        <v>2111000000</v>
      </c>
      <c r="D2753" t="inlineStr">
        <is>
          <t>Operational Suppliers (Wind Farms)</t>
        </is>
      </c>
      <c r="E2753" t="n">
        <v>5015662</v>
      </c>
      <c r="F2753" t="inlineStr">
        <is>
          <t>1164</t>
        </is>
      </c>
      <c r="G2753" t="inlineStr">
        <is>
          <t>RE</t>
        </is>
      </c>
      <c r="H2753" s="12" t="n">
        <v>-30293</v>
      </c>
      <c r="I2753" s="17" t="n">
        <v>46240</v>
      </c>
      <c r="J2753" s="17" t="n">
        <v>46271</v>
      </c>
      <c r="K2753" t="inlineStr">
        <is>
          <t>Fatura - bruto TEXAS CONTROLS DO BRASIL LTDA 1164</t>
        </is>
      </c>
    </row>
    <row r="2754">
      <c r="A2754" t="inlineStr">
        <is>
          <t>104018</t>
        </is>
      </c>
      <c r="B2754" t="inlineStr">
        <is>
          <t>MC CONSULTORIA E SERVICOES LTDA</t>
        </is>
      </c>
      <c r="C2754" t="n">
        <v>2111000000</v>
      </c>
      <c r="D2754" t="inlineStr">
        <is>
          <t>Other Suppliers</t>
        </is>
      </c>
      <c r="E2754" t="n">
        <v>5015664</v>
      </c>
      <c r="F2754" t="inlineStr">
        <is>
          <t>46</t>
        </is>
      </c>
      <c r="G2754" t="inlineStr">
        <is>
          <t>RE</t>
        </is>
      </c>
      <c r="H2754" s="12" t="n">
        <v>-13069.21</v>
      </c>
      <c r="I2754" s="17" t="n">
        <v>46251</v>
      </c>
      <c r="J2754" s="17" t="n">
        <v>46300</v>
      </c>
      <c r="K2754" t="inlineStr">
        <is>
          <t>Fatura - bruto MC CONSULTORIA E SERVICOES LTDA 46</t>
        </is>
      </c>
    </row>
    <row r="2755">
      <c r="A2755" t="inlineStr">
        <is>
          <t>100867</t>
        </is>
      </c>
      <c r="B2755" t="inlineStr">
        <is>
          <t>CSA - CASE SOLUCOES AMBIENTAIS LTDA</t>
        </is>
      </c>
      <c r="C2755" t="n">
        <v>2111000000</v>
      </c>
      <c r="D2755" t="inlineStr">
        <is>
          <t>Other Suppliers</t>
        </is>
      </c>
      <c r="E2755" t="n">
        <v>5015665</v>
      </c>
      <c r="F2755" t="inlineStr">
        <is>
          <t>360</t>
        </is>
      </c>
      <c r="G2755" t="inlineStr">
        <is>
          <t>RE</t>
        </is>
      </c>
      <c r="H2755" s="12" t="n">
        <v>-9817.1</v>
      </c>
      <c r="I2755" s="17" t="n">
        <v>46254</v>
      </c>
      <c r="J2755" s="17" t="n">
        <v>46300</v>
      </c>
      <c r="K2755" t="inlineStr">
        <is>
          <t>Fatura - bruto CSA - CASE SOLUCOES AMBIENTAIS LTDA</t>
        </is>
      </c>
    </row>
    <row r="2756">
      <c r="A2756" t="inlineStr">
        <is>
          <t>102086</t>
        </is>
      </c>
      <c r="B2756" t="inlineStr">
        <is>
          <t>ASSOCIACAO BRASILEIRA E E ABEEOLICA</t>
        </is>
      </c>
      <c r="C2756" t="n">
        <v>2111000000</v>
      </c>
      <c r="D2756" t="inlineStr">
        <is>
          <t>Other Suppliers</t>
        </is>
      </c>
      <c r="E2756" t="n">
        <v>5015666</v>
      </c>
      <c r="F2756" t="inlineStr">
        <is>
          <t>1104</t>
        </is>
      </c>
      <c r="G2756" t="inlineStr">
        <is>
          <t>RE</t>
        </is>
      </c>
      <c r="H2756" s="12" t="n">
        <v>-12879.35</v>
      </c>
      <c r="I2756" s="17" t="n">
        <v>46249</v>
      </c>
      <c r="J2756" s="17" t="n">
        <v>46275</v>
      </c>
      <c r="K2756" t="inlineStr">
        <is>
          <t>Fatura - bruto ASSOCIACAO BRASILEIRA E E ABEEOLICA</t>
        </is>
      </c>
    </row>
    <row r="2757">
      <c r="A2757" t="inlineStr">
        <is>
          <t>101463</t>
        </is>
      </c>
      <c r="B2757" t="inlineStr">
        <is>
          <t>ZURICH MINAS BRASIL SEGUROS S A</t>
        </is>
      </c>
      <c r="C2757" t="n">
        <v>2111000000</v>
      </c>
      <c r="D2757" t="inlineStr">
        <is>
          <t>Insurance</t>
        </is>
      </c>
      <c r="E2757" t="n">
        <v>5015669</v>
      </c>
      <c r="F2757" t="inlineStr">
        <is>
          <t>0410/26</t>
        </is>
      </c>
      <c r="G2757" t="inlineStr">
        <is>
          <t>RE</t>
        </is>
      </c>
      <c r="H2757" s="12" t="n">
        <v>-389.84</v>
      </c>
      <c r="I2757" s="17" t="n">
        <v>46255</v>
      </c>
      <c r="J2757" s="17" t="n">
        <v>46285</v>
      </c>
      <c r="K2757" t="inlineStr">
        <is>
          <t>Invoice Payment. SP: 21778</t>
        </is>
      </c>
    </row>
    <row r="2758">
      <c r="A2758" t="inlineStr">
        <is>
          <t>101463</t>
        </is>
      </c>
      <c r="B2758" t="inlineStr">
        <is>
          <t>ZURICH MINAS BRASIL SEGUROS S A</t>
        </is>
      </c>
      <c r="C2758" t="n">
        <v>2111000000</v>
      </c>
      <c r="D2758" t="inlineStr">
        <is>
          <t>Insurance</t>
        </is>
      </c>
      <c r="E2758" t="n">
        <v>5015671</v>
      </c>
      <c r="F2758" t="inlineStr">
        <is>
          <t>0488/26</t>
        </is>
      </c>
      <c r="G2758" t="inlineStr">
        <is>
          <t>RE</t>
        </is>
      </c>
      <c r="H2758" s="12" t="n">
        <v>-33.07</v>
      </c>
      <c r="I2758" s="17" t="n">
        <v>46255</v>
      </c>
      <c r="J2758" s="17" t="n">
        <v>46285</v>
      </c>
      <c r="K2758" t="inlineStr">
        <is>
          <t>Invoice Payment. SP: 21792</t>
        </is>
      </c>
    </row>
    <row r="2759">
      <c r="A2759" t="inlineStr">
        <is>
          <t>101463</t>
        </is>
      </c>
      <c r="B2759" t="inlineStr">
        <is>
          <t>ZURICH MINAS BRASIL SEGUROS S A</t>
        </is>
      </c>
      <c r="C2759" t="n">
        <v>2111000000</v>
      </c>
      <c r="D2759" t="inlineStr">
        <is>
          <t>Insurance</t>
        </is>
      </c>
      <c r="E2759" t="n">
        <v>5015675</v>
      </c>
      <c r="F2759" t="inlineStr">
        <is>
          <t>0334/26</t>
        </is>
      </c>
      <c r="G2759" t="inlineStr">
        <is>
          <t>RE</t>
        </is>
      </c>
      <c r="H2759" s="12" t="n">
        <v>-142.81</v>
      </c>
      <c r="I2759" s="17" t="n">
        <v>46246</v>
      </c>
      <c r="J2759" s="17" t="n">
        <v>46285</v>
      </c>
      <c r="K2759" t="inlineStr">
        <is>
          <t>Invoice Payment. SP: 21342</t>
        </is>
      </c>
    </row>
    <row r="2760">
      <c r="A2760" t="inlineStr">
        <is>
          <t>105984</t>
        </is>
      </c>
      <c r="B2760" t="inlineStr">
        <is>
          <t>TRADEWORKS SERVICOS DE COMERCIO EXT 04955748000107</t>
        </is>
      </c>
      <c r="C2760" t="n">
        <v>2111000000</v>
      </c>
      <c r="D2760" t="inlineStr">
        <is>
          <t>Customs Brokerage – Overall</t>
        </is>
      </c>
      <c r="E2760" t="n">
        <v>5015676</v>
      </c>
      <c r="F2760" t="inlineStr">
        <is>
          <t>0953/25</t>
        </is>
      </c>
      <c r="G2760" t="inlineStr">
        <is>
          <t>RE</t>
        </is>
      </c>
      <c r="H2760" s="12" t="n">
        <v>-0.49</v>
      </c>
      <c r="I2760" s="17" t="n">
        <v>46063</v>
      </c>
      <c r="J2760" s="17" t="n">
        <v>46285</v>
      </c>
      <c r="K2760" t="inlineStr">
        <is>
          <t>Invoice Payment. SP: 15240</t>
        </is>
      </c>
    </row>
    <row r="2761">
      <c r="A2761" t="inlineStr">
        <is>
          <t>101463</t>
        </is>
      </c>
      <c r="B2761" t="inlineStr">
        <is>
          <t>ZURICH MINAS BRASIL SEGUROS S A</t>
        </is>
      </c>
      <c r="C2761" t="n">
        <v>2111000000</v>
      </c>
      <c r="D2761" t="inlineStr">
        <is>
          <t>Insurance</t>
        </is>
      </c>
      <c r="E2761" t="n">
        <v>5015677</v>
      </c>
      <c r="F2761" t="inlineStr">
        <is>
          <t>0478/26</t>
        </is>
      </c>
      <c r="G2761" t="inlineStr">
        <is>
          <t>RE</t>
        </is>
      </c>
      <c r="H2761" s="12" t="n">
        <v>-85.75</v>
      </c>
      <c r="I2761" s="17" t="n">
        <v>46255</v>
      </c>
      <c r="J2761" s="17" t="n">
        <v>46285</v>
      </c>
      <c r="K2761" t="inlineStr">
        <is>
          <t>Invoice Payment. SP: 21785</t>
        </is>
      </c>
    </row>
    <row r="2762">
      <c r="A2762" t="inlineStr">
        <is>
          <t>101463</t>
        </is>
      </c>
      <c r="B2762" t="inlineStr">
        <is>
          <t>ZURICH MINAS BRASIL SEGUROS S A</t>
        </is>
      </c>
      <c r="C2762" t="n">
        <v>2111000000</v>
      </c>
      <c r="D2762" t="inlineStr">
        <is>
          <t>Insurance</t>
        </is>
      </c>
      <c r="E2762" t="n">
        <v>5015679</v>
      </c>
      <c r="F2762" t="inlineStr">
        <is>
          <t>0445/26</t>
        </is>
      </c>
      <c r="G2762" t="inlineStr">
        <is>
          <t>RE</t>
        </is>
      </c>
      <c r="H2762" s="12" t="n">
        <v>-253.28</v>
      </c>
      <c r="I2762" s="17" t="n">
        <v>46255</v>
      </c>
      <c r="J2762" s="17" t="n">
        <v>46285</v>
      </c>
      <c r="K2762" t="inlineStr">
        <is>
          <t>Invoice Payment. SP: 21783</t>
        </is>
      </c>
    </row>
    <row r="2763">
      <c r="A2763" t="inlineStr">
        <is>
          <t>101463</t>
        </is>
      </c>
      <c r="B2763" t="inlineStr">
        <is>
          <t>ZURICH MINAS BRASIL SEGUROS S A</t>
        </is>
      </c>
      <c r="C2763" t="n">
        <v>2111000000</v>
      </c>
      <c r="D2763" t="inlineStr">
        <is>
          <t>Insurance</t>
        </is>
      </c>
      <c r="E2763" t="n">
        <v>5015681</v>
      </c>
      <c r="F2763" t="inlineStr">
        <is>
          <t>0481/26</t>
        </is>
      </c>
      <c r="G2763" t="inlineStr">
        <is>
          <t>RE</t>
        </is>
      </c>
      <c r="H2763" s="12" t="n">
        <v>-26.37</v>
      </c>
      <c r="I2763" s="17" t="n">
        <v>46255</v>
      </c>
      <c r="J2763" s="17" t="n">
        <v>46285</v>
      </c>
      <c r="K2763" t="inlineStr">
        <is>
          <t>Invoice Payment. SP: 21787</t>
        </is>
      </c>
    </row>
    <row r="2764">
      <c r="A2764" t="inlineStr">
        <is>
          <t>101463</t>
        </is>
      </c>
      <c r="B2764" t="inlineStr">
        <is>
          <t>ZURICH MINAS BRASIL SEGUROS S A</t>
        </is>
      </c>
      <c r="C2764" t="n">
        <v>2111000000</v>
      </c>
      <c r="D2764" t="inlineStr">
        <is>
          <t>Insurance</t>
        </is>
      </c>
      <c r="E2764" t="n">
        <v>5015682</v>
      </c>
      <c r="F2764" t="inlineStr">
        <is>
          <t>0412/26</t>
        </is>
      </c>
      <c r="G2764" t="inlineStr">
        <is>
          <t>RE</t>
        </is>
      </c>
      <c r="H2764" s="12" t="n">
        <v>-58.02</v>
      </c>
      <c r="I2764" s="17" t="n">
        <v>46255</v>
      </c>
      <c r="J2764" s="17" t="n">
        <v>46285</v>
      </c>
      <c r="K2764" t="inlineStr">
        <is>
          <t>Invoice Payment. SP: 21780</t>
        </is>
      </c>
    </row>
    <row r="2765">
      <c r="A2765" t="inlineStr">
        <is>
          <t>101463</t>
        </is>
      </c>
      <c r="B2765" t="inlineStr">
        <is>
          <t>ZURICH MINAS BRASIL SEGUROS S A</t>
        </is>
      </c>
      <c r="C2765" t="n">
        <v>2111000000</v>
      </c>
      <c r="D2765" t="inlineStr">
        <is>
          <t>Insurance</t>
        </is>
      </c>
      <c r="E2765" t="n">
        <v>5015685</v>
      </c>
      <c r="F2765" t="inlineStr">
        <is>
          <t>0486/26</t>
        </is>
      </c>
      <c r="G2765" t="inlineStr">
        <is>
          <t>RE</t>
        </is>
      </c>
      <c r="H2765" s="12" t="n">
        <v>-4.35</v>
      </c>
      <c r="I2765" s="17" t="n">
        <v>46255</v>
      </c>
      <c r="J2765" s="17" t="n">
        <v>46285</v>
      </c>
      <c r="K2765" t="inlineStr">
        <is>
          <t>Invoice Payment. SP: 21789</t>
        </is>
      </c>
    </row>
    <row r="2766">
      <c r="A2766" t="inlineStr">
        <is>
          <t>101463</t>
        </is>
      </c>
      <c r="B2766" t="inlineStr">
        <is>
          <t>ZURICH MINAS BRASIL SEGUROS S A</t>
        </is>
      </c>
      <c r="C2766" t="n">
        <v>2111000000</v>
      </c>
      <c r="D2766" t="inlineStr">
        <is>
          <t>Insurance</t>
        </is>
      </c>
      <c r="E2766" t="n">
        <v>5015691</v>
      </c>
      <c r="F2766" t="inlineStr">
        <is>
          <t>0470/26</t>
        </is>
      </c>
      <c r="G2766" t="inlineStr">
        <is>
          <t>RE</t>
        </is>
      </c>
      <c r="H2766" s="12" t="n">
        <v>-5427</v>
      </c>
      <c r="I2766" s="17" t="n">
        <v>46245</v>
      </c>
      <c r="J2766" s="17" t="n">
        <v>46286</v>
      </c>
      <c r="K2766" t="inlineStr">
        <is>
          <t>Invoice Payment. SP: 21300</t>
        </is>
      </c>
    </row>
    <row r="2767">
      <c r="A2767" t="inlineStr">
        <is>
          <t>100845</t>
        </is>
      </c>
      <c r="B2767" t="inlineStr">
        <is>
          <t>DRIVEMEC MANUTENCAO INDUSTRIAL EIRE</t>
        </is>
      </c>
      <c r="C2767" t="n">
        <v>2111000000</v>
      </c>
      <c r="D2767" t="inlineStr">
        <is>
          <t>Operational Suppliers (Wind Farms)</t>
        </is>
      </c>
      <c r="E2767" t="n">
        <v>5015694</v>
      </c>
      <c r="F2767" t="inlineStr">
        <is>
          <t>000002255-1</t>
        </is>
      </c>
      <c r="G2767" t="inlineStr">
        <is>
          <t>RE</t>
        </is>
      </c>
      <c r="H2767" s="12" t="n">
        <v>-16130.79</v>
      </c>
      <c r="I2767" s="17" t="n">
        <v>46245</v>
      </c>
      <c r="J2767" s="17" t="n">
        <v>46331</v>
      </c>
      <c r="K2767" t="inlineStr">
        <is>
          <t>Fatura - bruto DRIVEMEC MANUTENCAO INDUSTRIAL EIRE</t>
        </is>
      </c>
    </row>
    <row r="2768">
      <c r="A2768" t="inlineStr">
        <is>
          <t>114597</t>
        </is>
      </c>
      <c r="B2768" t="inlineStr">
        <is>
          <t>BLUEWAY TRADING IMPORTAÇAO E EXPORT SA</t>
        </is>
      </c>
      <c r="C2768" t="n">
        <v>2111000000</v>
      </c>
      <c r="D2768" t="inlineStr">
        <is>
          <t>Consumables Suppliers</t>
        </is>
      </c>
      <c r="E2768" t="n">
        <v>5015700</v>
      </c>
      <c r="F2768" t="inlineStr">
        <is>
          <t>000012302-1</t>
        </is>
      </c>
      <c r="G2768" t="inlineStr">
        <is>
          <t>RE</t>
        </is>
      </c>
      <c r="H2768" s="12" t="n">
        <v>-17370</v>
      </c>
      <c r="I2768" s="17" t="n">
        <v>46244</v>
      </c>
      <c r="J2768" s="17" t="n">
        <v>46274</v>
      </c>
      <c r="K2768" t="inlineStr">
        <is>
          <t xml:space="preserve">dados banc CNPJ FILIAL
</t>
        </is>
      </c>
    </row>
    <row r="2769">
      <c r="A2769" t="inlineStr">
        <is>
          <t>102017</t>
        </is>
      </c>
      <c r="B2769" t="inlineStr">
        <is>
          <t>GLOBO COMERCIO DE MAQUINAS E FERRAM</t>
        </is>
      </c>
      <c r="C2769" t="n">
        <v>2111000000</v>
      </c>
      <c r="D2769" t="inlineStr">
        <is>
          <t>Other Suppliers</t>
        </is>
      </c>
      <c r="E2769" t="n">
        <v>5015703</v>
      </c>
      <c r="F2769" t="inlineStr">
        <is>
          <t>000022481-1</t>
        </is>
      </c>
      <c r="G2769" t="inlineStr">
        <is>
          <t>RE</t>
        </is>
      </c>
      <c r="H2769" s="12" t="n">
        <v>-4851</v>
      </c>
      <c r="I2769" s="17" t="n">
        <v>46247</v>
      </c>
      <c r="J2769" s="17" t="n">
        <v>46300</v>
      </c>
      <c r="K2769" t="inlineStr">
        <is>
          <t>Fatura - bruto GLOBO COMERCIO DE MAQUINAS E FERRAM</t>
        </is>
      </c>
    </row>
    <row r="2770">
      <c r="A2770" t="inlineStr">
        <is>
          <t>102017</t>
        </is>
      </c>
      <c r="B2770" t="inlineStr">
        <is>
          <t>GLOBO COMERCIO DE MAQUINAS E FERRAM</t>
        </is>
      </c>
      <c r="C2770" t="n">
        <v>2111000000</v>
      </c>
      <c r="D2770" t="inlineStr">
        <is>
          <t>Other Suppliers</t>
        </is>
      </c>
      <c r="E2770" t="n">
        <v>5015704</v>
      </c>
      <c r="F2770" t="inlineStr">
        <is>
          <t>000022482-1</t>
        </is>
      </c>
      <c r="G2770" t="inlineStr">
        <is>
          <t>RE</t>
        </is>
      </c>
      <c r="H2770" s="12" t="n">
        <v>-4851</v>
      </c>
      <c r="I2770" s="17" t="n">
        <v>46247</v>
      </c>
      <c r="J2770" s="17" t="n">
        <v>46300</v>
      </c>
      <c r="K2770" t="inlineStr">
        <is>
          <t>Fatura - bruto GLOBO COMERCIO DE MAQUINAS E FERRAM</t>
        </is>
      </c>
    </row>
    <row r="2771">
      <c r="A2771" t="inlineStr">
        <is>
          <t>101929</t>
        </is>
      </c>
      <c r="B2771" t="inlineStr">
        <is>
          <t>TECNOFIX INDUSTRIA E COMERCIO DE PA</t>
        </is>
      </c>
      <c r="C2771" t="n">
        <v>2111000000</v>
      </c>
      <c r="D2771" t="inlineStr">
        <is>
          <t>Operational Suppliers (Wind Farms)</t>
        </is>
      </c>
      <c r="E2771" t="n">
        <v>5015708</v>
      </c>
      <c r="F2771" t="inlineStr">
        <is>
          <t>000031433-1</t>
        </is>
      </c>
      <c r="G2771" t="inlineStr">
        <is>
          <t>RE</t>
        </is>
      </c>
      <c r="H2771" s="12" t="n">
        <v>-59663.13</v>
      </c>
      <c r="I2771" s="17" t="n">
        <v>46248</v>
      </c>
      <c r="J2771" s="17" t="n">
        <v>46300</v>
      </c>
      <c r="K2771" t="inlineStr">
        <is>
          <t>Fatura - bruto TECNOFIX INDUSTRIA E COMERCIO DE PA</t>
        </is>
      </c>
    </row>
    <row r="2772">
      <c r="A2772" t="inlineStr">
        <is>
          <t>100961</t>
        </is>
      </c>
      <c r="B2772" t="inlineStr">
        <is>
          <t>VPS BRASIL SUPRIMENTOS INDUSTRIAIS</t>
        </is>
      </c>
      <c r="C2772" t="n">
        <v>2111000000</v>
      </c>
      <c r="D2772" t="inlineStr">
        <is>
          <t>Consumables Suppliers</t>
        </is>
      </c>
      <c r="E2772" t="n">
        <v>5015713</v>
      </c>
      <c r="F2772" t="inlineStr">
        <is>
          <t>000053318-1</t>
        </is>
      </c>
      <c r="G2772" t="inlineStr">
        <is>
          <t>RE</t>
        </is>
      </c>
      <c r="H2772" s="12" t="n">
        <v>-1539.8</v>
      </c>
      <c r="I2772" s="17" t="n">
        <v>46203</v>
      </c>
      <c r="J2772" s="17" t="n">
        <v>46239</v>
      </c>
      <c r="K2772" t="inlineStr">
        <is>
          <t>Fatura - bruto VPS BRASIL SUPRIMENTOS INDUSTRIAIS</t>
        </is>
      </c>
    </row>
    <row r="2773">
      <c r="A2773" t="inlineStr">
        <is>
          <t>101099</t>
        </is>
      </c>
      <c r="B2773" t="inlineStr">
        <is>
          <t>HYDAC TECNOLOGIA LTDA</t>
        </is>
      </c>
      <c r="C2773" t="n">
        <v>2111000000</v>
      </c>
      <c r="D2773" t="inlineStr">
        <is>
          <t>Operational Suppliers (Wind Farms)</t>
        </is>
      </c>
      <c r="E2773" t="n">
        <v>5015714</v>
      </c>
      <c r="F2773" t="inlineStr">
        <is>
          <t>000089212-20</t>
        </is>
      </c>
      <c r="G2773" t="inlineStr">
        <is>
          <t>RE</t>
        </is>
      </c>
      <c r="H2773" s="12" t="n">
        <v>-29914.67</v>
      </c>
      <c r="I2773" s="17" t="n">
        <v>46238</v>
      </c>
      <c r="J2773" s="17" t="n">
        <v>46300</v>
      </c>
      <c r="K2773" t="inlineStr">
        <is>
          <t>Fatura - bruto HYDAC TECNOLOGIA LTDA 000089212-20</t>
        </is>
      </c>
    </row>
    <row r="2774">
      <c r="A2774" t="inlineStr">
        <is>
          <t>100485</t>
        </is>
      </c>
      <c r="B2774" t="inlineStr">
        <is>
          <t>FUCHS LUBRIFICANTES DO BRASIL LTDA</t>
        </is>
      </c>
      <c r="C2774" t="n">
        <v>2111000000</v>
      </c>
      <c r="D2774" t="inlineStr">
        <is>
          <t>Operational Suppliers (Wind Farms)</t>
        </is>
      </c>
      <c r="E2774" t="n">
        <v>5015716</v>
      </c>
      <c r="F2774" t="inlineStr">
        <is>
          <t>000104695-000</t>
        </is>
      </c>
      <c r="G2774" t="inlineStr">
        <is>
          <t>RE</t>
        </is>
      </c>
      <c r="H2774" s="12" t="n">
        <v>-26456.87</v>
      </c>
      <c r="I2774" s="17" t="n">
        <v>46237</v>
      </c>
      <c r="J2774" s="17" t="n">
        <v>46300</v>
      </c>
      <c r="K2774" t="inlineStr">
        <is>
          <t>Fatura - bruto FUCHS LUBRIFICANTES DO BRASIL LTDA</t>
        </is>
      </c>
    </row>
    <row r="2775">
      <c r="A2775" t="inlineStr">
        <is>
          <t>101696</t>
        </is>
      </c>
      <c r="B2775" t="inlineStr">
        <is>
          <t>LANA CALIBRACAO DE INST E MANUTENCO</t>
        </is>
      </c>
      <c r="C2775" t="n">
        <v>2111000000</v>
      </c>
      <c r="D2775" t="inlineStr">
        <is>
          <t>Operational Suppliers (Wind Farms)</t>
        </is>
      </c>
      <c r="E2775" t="n">
        <v>5015726</v>
      </c>
      <c r="F2775" t="inlineStr">
        <is>
          <t>12780</t>
        </is>
      </c>
      <c r="G2775" t="inlineStr">
        <is>
          <t>RE</t>
        </is>
      </c>
      <c r="H2775" s="12" t="n">
        <v>-1673.83</v>
      </c>
      <c r="I2775" s="17" t="n">
        <v>46237</v>
      </c>
      <c r="J2775" s="17" t="n">
        <v>46267</v>
      </c>
      <c r="K2775" t="inlineStr">
        <is>
          <t>Fatura - bruto LANA CALIBRACAO DE INST E MANUTENCO</t>
        </is>
      </c>
    </row>
    <row r="2776">
      <c r="A2776" t="inlineStr">
        <is>
          <t>101463</t>
        </is>
      </c>
      <c r="B2776" t="inlineStr">
        <is>
          <t>ZURICH MINAS BRASIL SEGUROS S A</t>
        </is>
      </c>
      <c r="C2776" t="n">
        <v>2111000000</v>
      </c>
      <c r="D2776" t="inlineStr">
        <is>
          <t>Insurance</t>
        </is>
      </c>
      <c r="E2776" t="n">
        <v>5015727</v>
      </c>
      <c r="F2776" t="inlineStr">
        <is>
          <t>0487/26</t>
        </is>
      </c>
      <c r="G2776" t="inlineStr">
        <is>
          <t>RE</t>
        </is>
      </c>
      <c r="H2776" s="12" t="n">
        <v>-2501.26</v>
      </c>
      <c r="I2776" s="17" t="n">
        <v>46258</v>
      </c>
      <c r="J2776" s="17" t="n">
        <v>46288</v>
      </c>
      <c r="K2776" t="inlineStr">
        <is>
          <t>Invoice Payment. SP: 21798</t>
        </is>
      </c>
    </row>
    <row r="2777">
      <c r="A2777" t="inlineStr">
        <is>
          <t>101011</t>
        </is>
      </c>
      <c r="B2777" t="inlineStr">
        <is>
          <t>THYSSENKRUPP BRASIL LTDA</t>
        </is>
      </c>
      <c r="C2777" t="n">
        <v>2111000000</v>
      </c>
      <c r="D2777" t="inlineStr">
        <is>
          <t>Operational Suppliers (Wind Farms)</t>
        </is>
      </c>
      <c r="E2777" t="n">
        <v>5015729</v>
      </c>
      <c r="F2777" t="inlineStr">
        <is>
          <t>000018051-2</t>
        </is>
      </c>
      <c r="G2777" t="inlineStr">
        <is>
          <t>RE</t>
        </is>
      </c>
      <c r="H2777" s="12" t="n">
        <v>-1047119.01</v>
      </c>
      <c r="I2777" s="17" t="n">
        <v>46255</v>
      </c>
      <c r="J2777" s="17" t="n">
        <v>46285</v>
      </c>
      <c r="K2777" t="inlineStr">
        <is>
          <t>Fatura - bruto THYSSENKRUPP BRASIL LTDA 000018051-</t>
        </is>
      </c>
    </row>
    <row r="2778">
      <c r="A2778" t="inlineStr">
        <is>
          <t>101696</t>
        </is>
      </c>
      <c r="B2778" t="inlineStr">
        <is>
          <t>LANA CALIBRACAO DE INST E MANUTENCO</t>
        </is>
      </c>
      <c r="C2778" t="n">
        <v>2111000000</v>
      </c>
      <c r="D2778" t="inlineStr">
        <is>
          <t>Operational Suppliers (Wind Farms)</t>
        </is>
      </c>
      <c r="E2778" t="n">
        <v>5015730</v>
      </c>
      <c r="F2778" t="inlineStr">
        <is>
          <t>8745-1</t>
        </is>
      </c>
      <c r="G2778" t="inlineStr">
        <is>
          <t>RE</t>
        </is>
      </c>
      <c r="H2778" s="12" t="n">
        <v>-1638</v>
      </c>
      <c r="I2778" s="17" t="n">
        <v>46237</v>
      </c>
      <c r="J2778" s="17" t="n">
        <v>46267</v>
      </c>
      <c r="K2778" t="inlineStr">
        <is>
          <t>Fatura - bruto LANA CALIBRACAO DE INST E MANUTENCO</t>
        </is>
      </c>
    </row>
    <row r="2779">
      <c r="A2779" t="inlineStr">
        <is>
          <t>103849</t>
        </is>
      </c>
      <c r="B2779" t="inlineStr">
        <is>
          <t>SINOMA WIND POWER BLADE (BRAZIL) LT</t>
        </is>
      </c>
      <c r="C2779" t="n">
        <v>2111000000</v>
      </c>
      <c r="D2779" t="inlineStr">
        <is>
          <t>SINOMA</t>
        </is>
      </c>
      <c r="E2779" t="n">
        <v>5015731</v>
      </c>
      <c r="F2779" t="inlineStr">
        <is>
          <t>1999-1</t>
        </is>
      </c>
      <c r="G2779" t="inlineStr">
        <is>
          <t>RE</t>
        </is>
      </c>
      <c r="H2779" s="12" t="n">
        <v>-4599632.79</v>
      </c>
      <c r="I2779" s="17" t="n">
        <v>46255</v>
      </c>
      <c r="J2779" s="17" t="n">
        <v>46270</v>
      </c>
      <c r="K2779" t="inlineStr">
        <is>
          <t>Segurar o fornecedor Sinoma até o SRC entrar</t>
        </is>
      </c>
    </row>
    <row r="2780">
      <c r="A2780" t="inlineStr">
        <is>
          <t>108031</t>
        </is>
      </c>
      <c r="B2780" t="inlineStr">
        <is>
          <t>ISELETRICA LTDA -EPP</t>
        </is>
      </c>
      <c r="C2780" t="n">
        <v>2111000000</v>
      </c>
      <c r="D2780" t="inlineStr">
        <is>
          <t>Operational Suppliers (Wind Farms)</t>
        </is>
      </c>
      <c r="E2780" t="n">
        <v>5015741</v>
      </c>
      <c r="F2780" t="inlineStr">
        <is>
          <t>47752</t>
        </is>
      </c>
      <c r="G2780" t="inlineStr">
        <is>
          <t>RE</t>
        </is>
      </c>
      <c r="H2780" s="12" t="n">
        <v>-25476.79</v>
      </c>
      <c r="I2780" s="17" t="n">
        <v>46224</v>
      </c>
      <c r="J2780" s="17" t="n">
        <v>46252</v>
      </c>
      <c r="K2780" t="inlineStr">
        <is>
          <t>Fatura - bruto ISELETRICA LTDA -EPP 47752</t>
        </is>
      </c>
    </row>
    <row r="2781">
      <c r="A2781" t="inlineStr">
        <is>
          <t>107626</t>
        </is>
      </c>
      <c r="B2781" t="inlineStr">
        <is>
          <t>DELTHA SERVICOS LTDA</t>
        </is>
      </c>
      <c r="C2781" t="n">
        <v>2111000000</v>
      </c>
      <c r="D2781" t="inlineStr">
        <is>
          <t>Other Suppliers</t>
        </is>
      </c>
      <c r="E2781" t="n">
        <v>5015744</v>
      </c>
      <c r="F2781" t="inlineStr">
        <is>
          <t>229</t>
        </is>
      </c>
      <c r="G2781" t="inlineStr">
        <is>
          <t>RE</t>
        </is>
      </c>
      <c r="H2781" s="12" t="n">
        <v>-1946.86</v>
      </c>
      <c r="I2781" s="17" t="n">
        <v>46248</v>
      </c>
      <c r="J2781" s="17" t="n">
        <v>46300</v>
      </c>
      <c r="K2781" t="inlineStr">
        <is>
          <t>Fatura - bruto DELTHA SERVICOS LTDA 229</t>
        </is>
      </c>
    </row>
    <row r="2782">
      <c r="A2782" t="inlineStr">
        <is>
          <t>107626</t>
        </is>
      </c>
      <c r="B2782" t="inlineStr">
        <is>
          <t>DELTHA SERVICOS LTDA</t>
        </is>
      </c>
      <c r="C2782" t="n">
        <v>2111000000</v>
      </c>
      <c r="D2782" t="inlineStr">
        <is>
          <t>Other Suppliers</t>
        </is>
      </c>
      <c r="E2782" t="n">
        <v>5015745</v>
      </c>
      <c r="F2782" t="inlineStr">
        <is>
          <t>228</t>
        </is>
      </c>
      <c r="G2782" t="inlineStr">
        <is>
          <t>RE</t>
        </is>
      </c>
      <c r="H2782" s="12" t="n">
        <v>-60042.52</v>
      </c>
      <c r="I2782" s="17" t="n">
        <v>46248</v>
      </c>
      <c r="J2782" s="17" t="n">
        <v>46300</v>
      </c>
      <c r="K2782" t="inlineStr">
        <is>
          <t>Fatura - bruto DELTHA SERVICOS LTDA 228</t>
        </is>
      </c>
    </row>
    <row r="2783">
      <c r="A2783" t="inlineStr">
        <is>
          <t>107626</t>
        </is>
      </c>
      <c r="B2783" t="inlineStr">
        <is>
          <t>DELTHA SERVICOS LTDA</t>
        </is>
      </c>
      <c r="C2783" t="n">
        <v>2111000000</v>
      </c>
      <c r="D2783" t="inlineStr">
        <is>
          <t>Other Suppliers</t>
        </is>
      </c>
      <c r="E2783" t="n">
        <v>5015746</v>
      </c>
      <c r="F2783" t="inlineStr">
        <is>
          <t>230</t>
        </is>
      </c>
      <c r="G2783" t="inlineStr">
        <is>
          <t>RE</t>
        </is>
      </c>
      <c r="H2783" s="12" t="n">
        <v>-60042.52</v>
      </c>
      <c r="I2783" s="17" t="n">
        <v>46248</v>
      </c>
      <c r="J2783" s="17" t="n">
        <v>46300</v>
      </c>
      <c r="K2783" t="inlineStr">
        <is>
          <t>Fatura - bruto DELTHA SERVICOS LTDA 230</t>
        </is>
      </c>
    </row>
    <row r="2784">
      <c r="A2784" t="inlineStr">
        <is>
          <t>107626</t>
        </is>
      </c>
      <c r="B2784" t="inlineStr">
        <is>
          <t>DELTHA SERVICOS LTDA</t>
        </is>
      </c>
      <c r="C2784" t="n">
        <v>2111000000</v>
      </c>
      <c r="D2784" t="inlineStr">
        <is>
          <t>Other Suppliers</t>
        </is>
      </c>
      <c r="E2784" t="n">
        <v>5015747</v>
      </c>
      <c r="F2784" t="inlineStr">
        <is>
          <t>231</t>
        </is>
      </c>
      <c r="G2784" t="inlineStr">
        <is>
          <t>RE</t>
        </is>
      </c>
      <c r="H2784" s="12" t="n">
        <v>-1946.87</v>
      </c>
      <c r="I2784" s="17" t="n">
        <v>46248</v>
      </c>
      <c r="J2784" s="17" t="n">
        <v>46300</v>
      </c>
      <c r="K2784" t="inlineStr">
        <is>
          <t>Fatura - bruto DELTHA SERVICOS LTDA 231</t>
        </is>
      </c>
    </row>
    <row r="2785">
      <c r="A2785" t="inlineStr">
        <is>
          <t>102109</t>
        </is>
      </c>
      <c r="B2785" t="inlineStr">
        <is>
          <t>L AMORIM LOCACAO DE EQUIPAMENTOS LT</t>
        </is>
      </c>
      <c r="C2785" t="n">
        <v>2111000000</v>
      </c>
      <c r="D2785" t="inlineStr">
        <is>
          <t>Other Suppliers</t>
        </is>
      </c>
      <c r="E2785" t="n">
        <v>5015748</v>
      </c>
      <c r="F2785" t="inlineStr">
        <is>
          <t>129785</t>
        </is>
      </c>
      <c r="G2785" t="inlineStr">
        <is>
          <t>RE</t>
        </is>
      </c>
      <c r="H2785" s="12" t="n">
        <v>-4970</v>
      </c>
      <c r="I2785" s="17" t="n">
        <v>46252</v>
      </c>
      <c r="J2785" s="17" t="n">
        <v>46282</v>
      </c>
      <c r="K2785" t="inlineStr">
        <is>
          <t>Fatura - bruto L AMORIM LOCACAO DE EQUIPAMENTOS LT</t>
        </is>
      </c>
    </row>
    <row r="2786">
      <c r="A2786" t="inlineStr">
        <is>
          <t>106332</t>
        </is>
      </c>
      <c r="B2786" t="inlineStr">
        <is>
          <t>CAROLINE LENICE DE SOUSA OLIVEIRA</t>
        </is>
      </c>
      <c r="C2786" t="n">
        <v>2111000000</v>
      </c>
      <c r="D2786" t="inlineStr">
        <is>
          <t>Other Suppliers</t>
        </is>
      </c>
      <c r="E2786" t="n">
        <v>5015749</v>
      </c>
      <c r="F2786" t="inlineStr">
        <is>
          <t>103</t>
        </is>
      </c>
      <c r="G2786" t="inlineStr">
        <is>
          <t>RE</t>
        </is>
      </c>
      <c r="H2786" s="12" t="n">
        <v>-728.5</v>
      </c>
      <c r="I2786" s="17" t="n">
        <v>46241</v>
      </c>
      <c r="J2786" s="17" t="n">
        <v>46270</v>
      </c>
      <c r="K2786" t="inlineStr">
        <is>
          <t>Fatura - bruto CAROLINE LENICE DE SOUSA OLIVEIRA 1</t>
        </is>
      </c>
    </row>
    <row r="2787">
      <c r="A2787" t="inlineStr">
        <is>
          <t>103966</t>
        </is>
      </c>
      <c r="B2787" t="inlineStr">
        <is>
          <t>HINE DO BRASIL IND E COM HIDR E PN 12482538000754</t>
        </is>
      </c>
      <c r="C2787" t="n">
        <v>2111000000</v>
      </c>
      <c r="D2787" t="inlineStr">
        <is>
          <t>Operational Suppliers (Wind Farms)</t>
        </is>
      </c>
      <c r="E2787" t="n">
        <v>5015750</v>
      </c>
      <c r="F2787" t="inlineStr">
        <is>
          <t>8</t>
        </is>
      </c>
      <c r="G2787" t="inlineStr">
        <is>
          <t>RE</t>
        </is>
      </c>
      <c r="H2787" s="12" t="n">
        <v>-122517.17</v>
      </c>
      <c r="I2787" s="17" t="n">
        <v>45763</v>
      </c>
      <c r="J2787" s="17" t="n">
        <v>45813</v>
      </c>
      <c r="K2787" t="inlineStr">
        <is>
          <t>Fatura - bruto HINE DO BRASIL IND E COM HIDR E PN</t>
        </is>
      </c>
    </row>
    <row r="2788">
      <c r="A2788" t="inlineStr">
        <is>
          <t>100396</t>
        </is>
      </c>
      <c r="B2788" t="inlineStr">
        <is>
          <t>DISTRIBUI LOGISTICA LTDA 03592033000166</t>
        </is>
      </c>
      <c r="C2788" t="n">
        <v>2111000000</v>
      </c>
      <c r="D2788" t="inlineStr">
        <is>
          <t>Operational Suppliers (Wind Farms)</t>
        </is>
      </c>
      <c r="E2788" t="n">
        <v>5015751</v>
      </c>
      <c r="F2788" t="inlineStr">
        <is>
          <t>11059-4</t>
        </is>
      </c>
      <c r="G2788" t="inlineStr">
        <is>
          <t>RE</t>
        </is>
      </c>
      <c r="H2788" s="12" t="n">
        <v>-2027.98</v>
      </c>
      <c r="I2788" s="17" t="n">
        <v>46254</v>
      </c>
      <c r="J2788" s="17" t="n">
        <v>46331</v>
      </c>
      <c r="K2788" t="inlineStr">
        <is>
          <t>Fatura - bruto DISTRIBUI LOGISTICA LTDA 0359203300</t>
        </is>
      </c>
    </row>
    <row r="2789">
      <c r="A2789" t="inlineStr">
        <is>
          <t>105984</t>
        </is>
      </c>
      <c r="B2789" t="inlineStr">
        <is>
          <t>TRADEWORKS SERVICOS DE COMERCIO EXT 04955748000107</t>
        </is>
      </c>
      <c r="C2789" t="n">
        <v>2111000000</v>
      </c>
      <c r="D2789" t="inlineStr">
        <is>
          <t>Customs Brokerage – Overall</t>
        </is>
      </c>
      <c r="E2789" t="n">
        <v>5015752</v>
      </c>
      <c r="F2789" t="inlineStr">
        <is>
          <t>93635</t>
        </is>
      </c>
      <c r="G2789" t="inlineStr">
        <is>
          <t>RE</t>
        </is>
      </c>
      <c r="H2789" s="12" t="n">
        <v>-1337.76</v>
      </c>
      <c r="I2789" s="17" t="n">
        <v>46247</v>
      </c>
      <c r="J2789" s="17" t="n">
        <v>46277</v>
      </c>
      <c r="K2789" t="inlineStr">
        <is>
          <t>Fatura - bruto TRADEWORKS SERVICOS DE COMERCIO EXT</t>
        </is>
      </c>
    </row>
    <row r="2790">
      <c r="A2790" t="inlineStr">
        <is>
          <t>105984</t>
        </is>
      </c>
      <c r="B2790" t="inlineStr">
        <is>
          <t>TRADEWORKS SERVICOS DE COMERCIO EXT 04955748000107</t>
        </is>
      </c>
      <c r="C2790" t="n">
        <v>2111000000</v>
      </c>
      <c r="D2790" t="inlineStr">
        <is>
          <t>Customs Brokerage – Overall</t>
        </is>
      </c>
      <c r="E2790" t="n">
        <v>5015753</v>
      </c>
      <c r="F2790" t="inlineStr">
        <is>
          <t>93725</t>
        </is>
      </c>
      <c r="G2790" t="inlineStr">
        <is>
          <t>RE</t>
        </is>
      </c>
      <c r="H2790" s="12" t="n">
        <v>-1337.76</v>
      </c>
      <c r="I2790" s="17" t="n">
        <v>46252</v>
      </c>
      <c r="J2790" s="17" t="n">
        <v>46282</v>
      </c>
      <c r="K2790" t="inlineStr">
        <is>
          <t>Fatura - bruto TRADEWORKS SERVICOS DE COMERCIO EXT</t>
        </is>
      </c>
    </row>
    <row r="2791">
      <c r="A2791" t="inlineStr">
        <is>
          <t>105984</t>
        </is>
      </c>
      <c r="B2791" t="inlineStr">
        <is>
          <t>TRADEWORKS SERVICOS DE COMERCIO EXT 04955748000107</t>
        </is>
      </c>
      <c r="C2791" t="n">
        <v>2111000000</v>
      </c>
      <c r="D2791" t="inlineStr">
        <is>
          <t>Customs Brokerage – Overall</t>
        </is>
      </c>
      <c r="E2791" t="n">
        <v>5015754</v>
      </c>
      <c r="F2791" t="inlineStr">
        <is>
          <t>93645</t>
        </is>
      </c>
      <c r="G2791" t="inlineStr">
        <is>
          <t>RE</t>
        </is>
      </c>
      <c r="H2791" s="12" t="n">
        <v>-1196.41</v>
      </c>
      <c r="I2791" s="17" t="n">
        <v>46247</v>
      </c>
      <c r="J2791" s="17" t="n">
        <v>46277</v>
      </c>
      <c r="K2791" t="inlineStr">
        <is>
          <t>Fatura - bruto TRADEWORKS SERVICOS DE COMERCIO EXT</t>
        </is>
      </c>
    </row>
    <row r="2792">
      <c r="A2792" t="inlineStr">
        <is>
          <t>105984</t>
        </is>
      </c>
      <c r="B2792" t="inlineStr">
        <is>
          <t>TRADEWORKS SERVICOS DE COMERCIO EXT 04955748000107</t>
        </is>
      </c>
      <c r="C2792" t="n">
        <v>2111000000</v>
      </c>
      <c r="D2792" t="inlineStr">
        <is>
          <t>Customs Brokerage – Overall</t>
        </is>
      </c>
      <c r="E2792" t="n">
        <v>5015755</v>
      </c>
      <c r="F2792" t="inlineStr">
        <is>
          <t>93644</t>
        </is>
      </c>
      <c r="G2792" t="inlineStr">
        <is>
          <t>RE</t>
        </is>
      </c>
      <c r="H2792" s="12" t="n">
        <v>-1337.76</v>
      </c>
      <c r="I2792" s="17" t="n">
        <v>46247</v>
      </c>
      <c r="J2792" s="17" t="n">
        <v>46277</v>
      </c>
      <c r="K2792" t="inlineStr">
        <is>
          <t>Fatura - bruto TRADEWORKS SERVICOS DE COMERCIO EXT</t>
        </is>
      </c>
    </row>
    <row r="2793">
      <c r="A2793" t="inlineStr">
        <is>
          <t>105984</t>
        </is>
      </c>
      <c r="B2793" t="inlineStr">
        <is>
          <t>TRADEWORKS SERVICOS DE COMERCIO EXT 04955748000107</t>
        </is>
      </c>
      <c r="C2793" t="n">
        <v>2111000000</v>
      </c>
      <c r="D2793" t="inlineStr">
        <is>
          <t>Customs Brokerage – Overall</t>
        </is>
      </c>
      <c r="E2793" t="n">
        <v>5015756</v>
      </c>
      <c r="F2793" t="inlineStr">
        <is>
          <t>93705</t>
        </is>
      </c>
      <c r="G2793" t="inlineStr">
        <is>
          <t>RE</t>
        </is>
      </c>
      <c r="H2793" s="12" t="n">
        <v>-1337.76</v>
      </c>
      <c r="I2793" s="17" t="n">
        <v>46251</v>
      </c>
      <c r="J2793" s="17" t="n">
        <v>46281</v>
      </c>
      <c r="K2793" t="inlineStr">
        <is>
          <t>Fatura - bruto TRADEWORKS SERVICOS DE COMERCIO EXT</t>
        </is>
      </c>
    </row>
    <row r="2794">
      <c r="A2794" t="inlineStr">
        <is>
          <t>105984</t>
        </is>
      </c>
      <c r="B2794" t="inlineStr">
        <is>
          <t>TRADEWORKS SERVICOS DE COMERCIO EXT 04955748000107</t>
        </is>
      </c>
      <c r="C2794" t="n">
        <v>2111000000</v>
      </c>
      <c r="D2794" t="inlineStr">
        <is>
          <t>Customs Brokerage – Overall</t>
        </is>
      </c>
      <c r="E2794" t="n">
        <v>5015757</v>
      </c>
      <c r="F2794" t="inlineStr">
        <is>
          <t>93726</t>
        </is>
      </c>
      <c r="G2794" t="inlineStr">
        <is>
          <t>RE</t>
        </is>
      </c>
      <c r="H2794" s="12" t="n">
        <v>-1337.76</v>
      </c>
      <c r="I2794" s="17" t="n">
        <v>46252</v>
      </c>
      <c r="J2794" s="17" t="n">
        <v>46282</v>
      </c>
      <c r="K2794" t="inlineStr">
        <is>
          <t>Fatura - bruto TRADEWORKS SERVICOS DE COMERCIO EXT</t>
        </is>
      </c>
    </row>
    <row r="2795">
      <c r="A2795" t="inlineStr">
        <is>
          <t>105984</t>
        </is>
      </c>
      <c r="B2795" t="inlineStr">
        <is>
          <t>TRADEWORKS SERVICOS DE COMERCIO EXT 04955748000107</t>
        </is>
      </c>
      <c r="C2795" t="n">
        <v>2111000000</v>
      </c>
      <c r="D2795" t="inlineStr">
        <is>
          <t>Customs Brokerage – Overall</t>
        </is>
      </c>
      <c r="E2795" t="n">
        <v>5015758</v>
      </c>
      <c r="F2795" t="inlineStr">
        <is>
          <t>93706</t>
        </is>
      </c>
      <c r="G2795" t="inlineStr">
        <is>
          <t>RE</t>
        </is>
      </c>
      <c r="H2795" s="12" t="n">
        <v>-1337.76</v>
      </c>
      <c r="I2795" s="17" t="n">
        <v>46251</v>
      </c>
      <c r="J2795" s="17" t="n">
        <v>46281</v>
      </c>
      <c r="K2795" t="inlineStr">
        <is>
          <t>Fatura - bruto TRADEWORKS SERVICOS DE COMERCIO EXT</t>
        </is>
      </c>
    </row>
    <row r="2796">
      <c r="A2796" t="inlineStr">
        <is>
          <t>101463</t>
        </is>
      </c>
      <c r="B2796" t="inlineStr">
        <is>
          <t>ZURICH MINAS BRASIL SEGUROS S A</t>
        </is>
      </c>
      <c r="C2796" t="n">
        <v>2111000000</v>
      </c>
      <c r="D2796" t="inlineStr">
        <is>
          <t>Insurance</t>
        </is>
      </c>
      <c r="E2796" t="n">
        <v>5015770</v>
      </c>
      <c r="F2796" t="inlineStr">
        <is>
          <t>0489/26</t>
        </is>
      </c>
      <c r="G2796" t="inlineStr">
        <is>
          <t>RE</t>
        </is>
      </c>
      <c r="H2796" s="12" t="n">
        <v>-401.76</v>
      </c>
      <c r="I2796" s="17" t="n">
        <v>46259</v>
      </c>
      <c r="J2796" s="17" t="n">
        <v>46289</v>
      </c>
      <c r="K2796" t="inlineStr">
        <is>
          <t>Invoice Payment. SP: 21878</t>
        </is>
      </c>
    </row>
    <row r="2797">
      <c r="A2797" t="inlineStr">
        <is>
          <t>101463</t>
        </is>
      </c>
      <c r="B2797" t="inlineStr">
        <is>
          <t>ZURICH MINAS BRASIL SEGUROS S A</t>
        </is>
      </c>
      <c r="C2797" t="n">
        <v>2111000000</v>
      </c>
      <c r="D2797" t="inlineStr">
        <is>
          <t>Insurance</t>
        </is>
      </c>
      <c r="E2797" t="n">
        <v>5015772</v>
      </c>
      <c r="F2797" t="inlineStr">
        <is>
          <t>0490/26</t>
        </is>
      </c>
      <c r="G2797" t="inlineStr">
        <is>
          <t>RE</t>
        </is>
      </c>
      <c r="H2797" s="12" t="n">
        <v>-651.16</v>
      </c>
      <c r="I2797" s="17" t="n">
        <v>46259</v>
      </c>
      <c r="J2797" s="17" t="n">
        <v>46289</v>
      </c>
      <c r="K2797" t="inlineStr">
        <is>
          <t>Invoice Payment. SP: 21880</t>
        </is>
      </c>
    </row>
    <row r="2798">
      <c r="A2798" t="inlineStr">
        <is>
          <t>101463</t>
        </is>
      </c>
      <c r="B2798" t="inlineStr">
        <is>
          <t>ZURICH MINAS BRASIL SEGUROS S A</t>
        </is>
      </c>
      <c r="C2798" t="n">
        <v>2111000000</v>
      </c>
      <c r="D2798" t="inlineStr">
        <is>
          <t>Insurance</t>
        </is>
      </c>
      <c r="E2798" t="n">
        <v>5015780</v>
      </c>
      <c r="F2798" t="inlineStr">
        <is>
          <t>0500/26</t>
        </is>
      </c>
      <c r="G2798" t="inlineStr">
        <is>
          <t>RE</t>
        </is>
      </c>
      <c r="H2798" s="12" t="n">
        <v>-62.38</v>
      </c>
      <c r="I2798" s="17" t="n">
        <v>46259</v>
      </c>
      <c r="J2798" s="17" t="n">
        <v>46289</v>
      </c>
      <c r="K2798" t="inlineStr">
        <is>
          <t>Invoice Payment. SP: 21899</t>
        </is>
      </c>
    </row>
    <row r="2799">
      <c r="A2799" t="inlineStr">
        <is>
          <t>101897</t>
        </is>
      </c>
      <c r="B2799" t="inlineStr">
        <is>
          <t>KL LOCACOES E SOLUCOES AMBIENTAIS L KL CONSTRUCOES E SERVICOS IMOBILIAR</t>
        </is>
      </c>
      <c r="C2799" t="n">
        <v>2111000000</v>
      </c>
      <c r="D2799" t="inlineStr">
        <is>
          <t>Other Suppliers</t>
        </is>
      </c>
      <c r="E2799" t="n">
        <v>5015808</v>
      </c>
      <c r="F2799" t="inlineStr">
        <is>
          <t>1993-1</t>
        </is>
      </c>
      <c r="G2799" t="inlineStr">
        <is>
          <t>RE</t>
        </is>
      </c>
      <c r="H2799" s="12" t="n">
        <v>-22669</v>
      </c>
      <c r="I2799" s="17" t="n">
        <v>46157</v>
      </c>
      <c r="J2799" s="17" t="n">
        <v>46178</v>
      </c>
      <c r="K2799" t="inlineStr">
        <is>
          <t>Fatura - bruto KL LOCACOES E SOLUCOES AMBIENTAIS L</t>
        </is>
      </c>
    </row>
    <row r="2800">
      <c r="A2800" t="inlineStr">
        <is>
          <t>105984</t>
        </is>
      </c>
      <c r="B2800" t="inlineStr">
        <is>
          <t>TRADEWORKS SERVICOS DE COMERCIO EXT 04955748000107</t>
        </is>
      </c>
      <c r="C2800" t="n">
        <v>2111000000</v>
      </c>
      <c r="D2800" t="inlineStr">
        <is>
          <t>Customs Brokerage – Overall</t>
        </is>
      </c>
      <c r="E2800" t="n">
        <v>5015810</v>
      </c>
      <c r="F2800" t="inlineStr">
        <is>
          <t>93720</t>
        </is>
      </c>
      <c r="G2800" t="inlineStr">
        <is>
          <t>RE</t>
        </is>
      </c>
      <c r="H2800" s="12" t="n">
        <v>-1337.76</v>
      </c>
      <c r="I2800" s="17" t="n">
        <v>46252</v>
      </c>
      <c r="J2800" s="17" t="n">
        <v>46282</v>
      </c>
      <c r="K2800" t="inlineStr">
        <is>
          <t>Fatura - bruto TRADEWORKS SERVICOS DE COMERCIO EXT</t>
        </is>
      </c>
    </row>
    <row r="2801">
      <c r="A2801" t="inlineStr">
        <is>
          <t>105984</t>
        </is>
      </c>
      <c r="B2801" t="inlineStr">
        <is>
          <t>TRADEWORKS SERVICOS DE COMERCIO EXT 04955748000107</t>
        </is>
      </c>
      <c r="C2801" t="n">
        <v>2111000000</v>
      </c>
      <c r="D2801" t="inlineStr">
        <is>
          <t>Customs Brokerage – Overall</t>
        </is>
      </c>
      <c r="E2801" t="n">
        <v>5015811</v>
      </c>
      <c r="F2801" t="inlineStr">
        <is>
          <t>93637</t>
        </is>
      </c>
      <c r="G2801" t="inlineStr">
        <is>
          <t>RE</t>
        </is>
      </c>
      <c r="H2801" s="12" t="n">
        <v>-1337.76</v>
      </c>
      <c r="I2801" s="17" t="n">
        <v>46247</v>
      </c>
      <c r="J2801" s="17" t="n">
        <v>46277</v>
      </c>
      <c r="K2801" t="inlineStr">
        <is>
          <t>Fatura - bruto TRADEWORKS SERVICOS DE COMERCIO EXT</t>
        </is>
      </c>
    </row>
    <row r="2802">
      <c r="A2802" t="inlineStr">
        <is>
          <t>105984</t>
        </is>
      </c>
      <c r="B2802" t="inlineStr">
        <is>
          <t>TRADEWORKS SERVICOS DE COMERCIO EXT 04955748000107</t>
        </is>
      </c>
      <c r="C2802" t="n">
        <v>2111000000</v>
      </c>
      <c r="D2802" t="inlineStr">
        <is>
          <t>Customs Brokerage – Overall</t>
        </is>
      </c>
      <c r="E2802" t="n">
        <v>5015812</v>
      </c>
      <c r="F2802" t="inlineStr">
        <is>
          <t>93636</t>
        </is>
      </c>
      <c r="G2802" t="inlineStr">
        <is>
          <t>RE</t>
        </is>
      </c>
      <c r="H2802" s="12" t="n">
        <v>-1337.76</v>
      </c>
      <c r="I2802" s="17" t="n">
        <v>46247</v>
      </c>
      <c r="J2802" s="17" t="n">
        <v>46277</v>
      </c>
      <c r="K2802" t="inlineStr">
        <is>
          <t>Fatura - bruto TRADEWORKS SERVICOS DE COMERCIO EXT</t>
        </is>
      </c>
    </row>
    <row r="2803">
      <c r="A2803" t="inlineStr">
        <is>
          <t>105984</t>
        </is>
      </c>
      <c r="B2803" t="inlineStr">
        <is>
          <t>TRADEWORKS SERVICOS DE COMERCIO EXT 04955748000107</t>
        </is>
      </c>
      <c r="C2803" t="n">
        <v>2111000000</v>
      </c>
      <c r="D2803" t="inlineStr">
        <is>
          <t>Customs Brokerage – Overall</t>
        </is>
      </c>
      <c r="E2803" t="n">
        <v>5015813</v>
      </c>
      <c r="F2803" t="inlineStr">
        <is>
          <t>93711</t>
        </is>
      </c>
      <c r="G2803" t="inlineStr">
        <is>
          <t>RE</t>
        </is>
      </c>
      <c r="H2803" s="12" t="n">
        <v>-1337.76</v>
      </c>
      <c r="I2803" s="17" t="n">
        <v>46251</v>
      </c>
      <c r="J2803" s="17" t="n">
        <v>46281</v>
      </c>
      <c r="K2803" t="inlineStr">
        <is>
          <t>Fatura - bruto TRADEWORKS SERVICOS DE COMERCIO EXT</t>
        </is>
      </c>
    </row>
    <row r="2804">
      <c r="A2804" t="inlineStr">
        <is>
          <t>105984</t>
        </is>
      </c>
      <c r="B2804" t="inlineStr">
        <is>
          <t>TRADEWORKS SERVICOS DE COMERCIO EXT 04955748000107</t>
        </is>
      </c>
      <c r="C2804" t="n">
        <v>2111000000</v>
      </c>
      <c r="D2804" t="inlineStr">
        <is>
          <t>Customs Brokerage – Overall</t>
        </is>
      </c>
      <c r="E2804" t="n">
        <v>5015814</v>
      </c>
      <c r="F2804" t="inlineStr">
        <is>
          <t>93709</t>
        </is>
      </c>
      <c r="G2804" t="inlineStr">
        <is>
          <t>RE</t>
        </is>
      </c>
      <c r="H2804" s="12" t="n">
        <v>-1196.41</v>
      </c>
      <c r="I2804" s="17" t="n">
        <v>46251</v>
      </c>
      <c r="J2804" s="17" t="n">
        <v>46281</v>
      </c>
      <c r="K2804" t="inlineStr">
        <is>
          <t>Fatura - bruto TRADEWORKS SERVICOS DE COMERCIO EXT</t>
        </is>
      </c>
    </row>
    <row r="2805">
      <c r="A2805" t="inlineStr">
        <is>
          <t>105984</t>
        </is>
      </c>
      <c r="B2805" t="inlineStr">
        <is>
          <t>TRADEWORKS SERVICOS DE COMERCIO EXT 04955748000107</t>
        </is>
      </c>
      <c r="C2805" t="n">
        <v>2111000000</v>
      </c>
      <c r="D2805" t="inlineStr">
        <is>
          <t>Customs Brokerage – Overall</t>
        </is>
      </c>
      <c r="E2805" t="n">
        <v>5015815</v>
      </c>
      <c r="F2805" t="inlineStr">
        <is>
          <t>93648</t>
        </is>
      </c>
      <c r="G2805" t="inlineStr">
        <is>
          <t>RE</t>
        </is>
      </c>
      <c r="H2805" s="12" t="n">
        <v>-1337.76</v>
      </c>
      <c r="I2805" s="17" t="n">
        <v>46247</v>
      </c>
      <c r="J2805" s="17" t="n">
        <v>46277</v>
      </c>
      <c r="K2805" t="inlineStr">
        <is>
          <t>Fatura - bruto TRADEWORKS SERVICOS DE COMERCIO EXT</t>
        </is>
      </c>
    </row>
    <row r="2806">
      <c r="A2806" t="inlineStr">
        <is>
          <t>105984</t>
        </is>
      </c>
      <c r="B2806" t="inlineStr">
        <is>
          <t>TRADEWORKS SERVICOS DE COMERCIO EXT 04955748000107</t>
        </is>
      </c>
      <c r="C2806" t="n">
        <v>2111000000</v>
      </c>
      <c r="D2806" t="inlineStr">
        <is>
          <t>Customs Brokerage – Overall</t>
        </is>
      </c>
      <c r="E2806" t="n">
        <v>5015816</v>
      </c>
      <c r="F2806" t="inlineStr">
        <is>
          <t>93635</t>
        </is>
      </c>
      <c r="G2806" t="inlineStr">
        <is>
          <t>RS</t>
        </is>
      </c>
      <c r="H2806" s="12" t="n">
        <v>1337.76</v>
      </c>
      <c r="I2806" s="17" t="n">
        <v>46247</v>
      </c>
      <c r="J2806" s="17" t="n">
        <v>46277</v>
      </c>
      <c r="K2806" t="inlineStr">
        <is>
          <t>MR8M</t>
        </is>
      </c>
    </row>
    <row r="2807">
      <c r="A2807" t="inlineStr">
        <is>
          <t>105984</t>
        </is>
      </c>
      <c r="B2807" t="inlineStr">
        <is>
          <t>TRADEWORKS SERVICOS DE COMERCIO EXT 04955748000107</t>
        </is>
      </c>
      <c r="C2807" t="n">
        <v>2111000000</v>
      </c>
      <c r="D2807" t="inlineStr">
        <is>
          <t>Customs Brokerage – Overall</t>
        </is>
      </c>
      <c r="E2807" t="n">
        <v>5015817</v>
      </c>
      <c r="F2807" t="inlineStr">
        <is>
          <t>93635</t>
        </is>
      </c>
      <c r="G2807" t="inlineStr">
        <is>
          <t>RE</t>
        </is>
      </c>
      <c r="H2807" s="12" t="n">
        <v>-1337.76</v>
      </c>
      <c r="I2807" s="17" t="n">
        <v>46247</v>
      </c>
      <c r="J2807" s="17" t="n">
        <v>46277</v>
      </c>
      <c r="K2807" t="inlineStr">
        <is>
          <t>Fatura - bruto TRADEWORKS SERVICOS DE COMERCIO EXT</t>
        </is>
      </c>
    </row>
    <row r="2808">
      <c r="A2808" t="inlineStr">
        <is>
          <t>105984</t>
        </is>
      </c>
      <c r="B2808" t="inlineStr">
        <is>
          <t>TRADEWORKS SERVICOS DE COMERCIO EXT 04955748000107</t>
        </is>
      </c>
      <c r="C2808" t="n">
        <v>2111000000</v>
      </c>
      <c r="D2808" t="inlineStr">
        <is>
          <t>Customs Brokerage – Overall</t>
        </is>
      </c>
      <c r="E2808" t="n">
        <v>5015818</v>
      </c>
      <c r="F2808" t="inlineStr">
        <is>
          <t>93840</t>
        </is>
      </c>
      <c r="G2808" t="inlineStr">
        <is>
          <t>RE</t>
        </is>
      </c>
      <c r="H2808" s="12" t="n">
        <v>-1337.76</v>
      </c>
      <c r="I2808" s="17" t="n">
        <v>46258</v>
      </c>
      <c r="J2808" s="17" t="n">
        <v>46288</v>
      </c>
      <c r="K2808" t="inlineStr">
        <is>
          <t>Fatura - bruto TRADEWORKS SERVICOS DE COMERCIO EXT</t>
        </is>
      </c>
    </row>
    <row r="2809">
      <c r="A2809" t="inlineStr">
        <is>
          <t>103761</t>
        </is>
      </c>
      <c r="B2809" t="inlineStr">
        <is>
          <t>CLEDSON RIBEIRO DOS SANTOS</t>
        </is>
      </c>
      <c r="C2809" t="n">
        <v>2111000000</v>
      </c>
      <c r="D2809" t="inlineStr">
        <is>
          <t>Other Suppliers</t>
        </is>
      </c>
      <c r="E2809" t="n">
        <v>5015819</v>
      </c>
      <c r="F2809" t="inlineStr">
        <is>
          <t>332-1</t>
        </is>
      </c>
      <c r="G2809" t="inlineStr">
        <is>
          <t>RE</t>
        </is>
      </c>
      <c r="H2809" s="12" t="n">
        <v>-374</v>
      </c>
      <c r="I2809" s="17" t="n">
        <v>46205</v>
      </c>
      <c r="J2809" s="17" t="n">
        <v>46220</v>
      </c>
      <c r="K2809" t="inlineStr">
        <is>
          <t>Fatura - bruto CLEDSON RIBEIRO DOS SANTOS 332-1</t>
        </is>
      </c>
    </row>
    <row r="2810">
      <c r="A2810" t="inlineStr">
        <is>
          <t>101463</t>
        </is>
      </c>
      <c r="B2810" t="inlineStr">
        <is>
          <t>ZURICH MINAS BRASIL SEGUROS S A</t>
        </is>
      </c>
      <c r="C2810" t="n">
        <v>2111000000</v>
      </c>
      <c r="D2810" t="inlineStr">
        <is>
          <t>Insurance</t>
        </is>
      </c>
      <c r="E2810" t="n">
        <v>5015820</v>
      </c>
      <c r="F2810" t="inlineStr">
        <is>
          <t>0283/26</t>
        </is>
      </c>
      <c r="G2810" t="inlineStr">
        <is>
          <t>RE</t>
        </is>
      </c>
      <c r="H2810" s="12" t="n">
        <v>-15413.66</v>
      </c>
      <c r="I2810" s="17" t="n">
        <v>46259</v>
      </c>
      <c r="J2810" s="17" t="n">
        <v>46289</v>
      </c>
      <c r="K2810" t="inlineStr">
        <is>
          <t>Invoice Payment. SP: 21918</t>
        </is>
      </c>
    </row>
    <row r="2811">
      <c r="A2811" t="inlineStr">
        <is>
          <t>105984</t>
        </is>
      </c>
      <c r="B2811" t="inlineStr">
        <is>
          <t>TRADEWORKS SERVICOS DE COMERCIO EXT 04955748000107</t>
        </is>
      </c>
      <c r="C2811" t="n">
        <v>2111000000</v>
      </c>
      <c r="D2811" t="inlineStr">
        <is>
          <t>Customs Brokerage – Overall</t>
        </is>
      </c>
      <c r="E2811" t="n">
        <v>5015824</v>
      </c>
      <c r="F2811" t="inlineStr">
        <is>
          <t>93634</t>
        </is>
      </c>
      <c r="G2811" t="inlineStr">
        <is>
          <t>RE</t>
        </is>
      </c>
      <c r="H2811" s="12" t="n">
        <v>-1337.76</v>
      </c>
      <c r="I2811" s="17" t="n">
        <v>46247</v>
      </c>
      <c r="J2811" s="17" t="n">
        <v>46277</v>
      </c>
      <c r="K2811" t="inlineStr">
        <is>
          <t>Fatura - bruto TRADEWORKS SERVICOS DE COMERCIO EXT</t>
        </is>
      </c>
    </row>
    <row r="2812">
      <c r="A2812" t="inlineStr">
        <is>
          <t>108031</t>
        </is>
      </c>
      <c r="B2812" t="inlineStr">
        <is>
          <t>ISELETRICA LTDA -EPP</t>
        </is>
      </c>
      <c r="C2812" t="n">
        <v>2111000000</v>
      </c>
      <c r="D2812" t="inlineStr">
        <is>
          <t>Operational Suppliers (Wind Farms)</t>
        </is>
      </c>
      <c r="E2812" t="n">
        <v>5015826</v>
      </c>
      <c r="F2812" t="inlineStr">
        <is>
          <t>47744</t>
        </is>
      </c>
      <c r="G2812" t="inlineStr">
        <is>
          <t>RE</t>
        </is>
      </c>
      <c r="H2812" s="12" t="n">
        <v>-38843.28</v>
      </c>
      <c r="I2812" s="17" t="n">
        <v>46221</v>
      </c>
      <c r="J2812" s="17" t="n">
        <v>46251</v>
      </c>
      <c r="K2812" t="inlineStr">
        <is>
          <t>Fatura - bruto ISELETRICA LTDA -EPP 47744</t>
        </is>
      </c>
    </row>
    <row r="2813">
      <c r="A2813" t="inlineStr">
        <is>
          <t>108017</t>
        </is>
      </c>
      <c r="B2813" t="inlineStr">
        <is>
          <t>CARLOS DIAS DOS SANTOS</t>
        </is>
      </c>
      <c r="C2813" t="n">
        <v>2111000000</v>
      </c>
      <c r="D2813" t="inlineStr">
        <is>
          <t>Other Suppliers</t>
        </is>
      </c>
      <c r="E2813" t="n">
        <v>5015827</v>
      </c>
      <c r="F2813" t="inlineStr">
        <is>
          <t>264</t>
        </is>
      </c>
      <c r="G2813" t="inlineStr">
        <is>
          <t>RE</t>
        </is>
      </c>
      <c r="H2813" s="12" t="n">
        <v>-1400</v>
      </c>
      <c r="I2813" s="17" t="n">
        <v>46225</v>
      </c>
      <c r="J2813" s="17" t="n">
        <v>46225</v>
      </c>
      <c r="K2813" t="inlineStr">
        <is>
          <t>Fatura - bruto CARLOS DIAS DOS SANTOS 264</t>
        </is>
      </c>
    </row>
    <row r="2814">
      <c r="A2814" t="inlineStr">
        <is>
          <t>101848</t>
        </is>
      </c>
      <c r="B2814" t="inlineStr">
        <is>
          <t>KLUBER LUBRICATION LUBRIF ESPECIAIS</t>
        </is>
      </c>
      <c r="C2814" t="n">
        <v>2111000000</v>
      </c>
      <c r="D2814" t="inlineStr">
        <is>
          <t>Other Suppliers</t>
        </is>
      </c>
      <c r="E2814" t="n">
        <v>5015833</v>
      </c>
      <c r="F2814" t="inlineStr">
        <is>
          <t>000772603-1</t>
        </is>
      </c>
      <c r="G2814" t="inlineStr">
        <is>
          <t>RE</t>
        </is>
      </c>
      <c r="H2814" s="12" t="n">
        <v>-58888.85</v>
      </c>
      <c r="I2814" s="17" t="n">
        <v>46225</v>
      </c>
      <c r="J2814" s="17" t="n">
        <v>46270</v>
      </c>
      <c r="K2814" t="inlineStr">
        <is>
          <t>Fatura - bruto KLUBER LUBRICATION LUBRIF ESPECIAIS</t>
        </is>
      </c>
    </row>
    <row r="2815">
      <c r="A2815" t="inlineStr">
        <is>
          <t>101848</t>
        </is>
      </c>
      <c r="B2815" t="inlineStr">
        <is>
          <t>KLUBER LUBRICATION LUBRIF ESPECIAIS</t>
        </is>
      </c>
      <c r="C2815" t="n">
        <v>2111000000</v>
      </c>
      <c r="D2815" t="inlineStr">
        <is>
          <t>Other Suppliers</t>
        </is>
      </c>
      <c r="E2815" t="n">
        <v>5015834</v>
      </c>
      <c r="F2815" t="inlineStr">
        <is>
          <t>000772728-1</t>
        </is>
      </c>
      <c r="G2815" t="inlineStr">
        <is>
          <t>RE</t>
        </is>
      </c>
      <c r="H2815" s="12" t="n">
        <v>-29444.43</v>
      </c>
      <c r="I2815" s="17" t="n">
        <v>46226</v>
      </c>
      <c r="J2815" s="17" t="n">
        <v>46270</v>
      </c>
      <c r="K2815" t="inlineStr">
        <is>
          <t>Fatura - bruto KLUBER LUBRICATION LUBRIF ESPECIAIS</t>
        </is>
      </c>
    </row>
    <row r="2816">
      <c r="A2816" t="inlineStr">
        <is>
          <t>101420</t>
        </is>
      </c>
      <c r="B2816" t="inlineStr">
        <is>
          <t>MEDEIROS GALVAO SOLUÇÕES LTDA</t>
        </is>
      </c>
      <c r="C2816" t="n">
        <v>2111000000</v>
      </c>
      <c r="D2816" t="inlineStr">
        <is>
          <t>Customs Brokerage – Overall</t>
        </is>
      </c>
      <c r="E2816" t="n">
        <v>5015835</v>
      </c>
      <c r="F2816" t="inlineStr">
        <is>
          <t>29881-2</t>
        </is>
      </c>
      <c r="G2816" t="inlineStr">
        <is>
          <t>RE</t>
        </is>
      </c>
      <c r="H2816" s="12" t="n">
        <v>-6505.8</v>
      </c>
      <c r="I2816" s="17" t="n">
        <v>46218</v>
      </c>
      <c r="J2816" s="17" t="n">
        <v>46270</v>
      </c>
      <c r="K2816" t="inlineStr">
        <is>
          <t>Fatura - bruto MEDEIROS GALVAO SOLUÇÕES LTDA 29881</t>
        </is>
      </c>
    </row>
    <row r="2817">
      <c r="A2817" t="inlineStr">
        <is>
          <t>101944</t>
        </is>
      </c>
      <c r="B2817" t="inlineStr">
        <is>
          <t>TEXAS CONTROLS DO BRASIL LTDA</t>
        </is>
      </c>
      <c r="C2817" t="n">
        <v>2111000000</v>
      </c>
      <c r="D2817" t="inlineStr">
        <is>
          <t>Operational Suppliers (Wind Farms)</t>
        </is>
      </c>
      <c r="E2817" t="n">
        <v>5015836</v>
      </c>
      <c r="F2817" t="inlineStr">
        <is>
          <t>2056</t>
        </is>
      </c>
      <c r="G2817" t="inlineStr">
        <is>
          <t>RE</t>
        </is>
      </c>
      <c r="H2817" s="12" t="n">
        <v>-22510</v>
      </c>
      <c r="I2817" s="17" t="n">
        <v>45967</v>
      </c>
      <c r="J2817" s="17" t="n">
        <v>45996</v>
      </c>
      <c r="K2817" t="inlineStr">
        <is>
          <t>Fatura - bruto TEXAS CONTROLS DO BRASIL LTDA 2056</t>
        </is>
      </c>
    </row>
    <row r="2818">
      <c r="A2818" t="inlineStr">
        <is>
          <t>101801</t>
        </is>
      </c>
      <c r="B2818" t="inlineStr">
        <is>
          <t>DARCY PACHECO SOLUCOES DE PESO LTDA 89396121000108</t>
        </is>
      </c>
      <c r="C2818" t="n">
        <v>2111000000</v>
      </c>
      <c r="D2818" t="inlineStr">
        <is>
          <t>Operational Suppliers (Wind Farms)</t>
        </is>
      </c>
      <c r="E2818" t="n">
        <v>5015837</v>
      </c>
      <c r="F2818" t="inlineStr">
        <is>
          <t>8174</t>
        </is>
      </c>
      <c r="G2818" t="inlineStr">
        <is>
          <t>RE</t>
        </is>
      </c>
      <c r="H2818" s="12" t="n">
        <v>-804015.95</v>
      </c>
      <c r="I2818" s="17" t="n">
        <v>46106</v>
      </c>
      <c r="J2818" s="17" t="n">
        <v>46178</v>
      </c>
      <c r="K2818" t="inlineStr">
        <is>
          <t>Fatura - bruto DARCY PACHECO SOLUCOES DE PESO LTDA</t>
        </is>
      </c>
    </row>
    <row r="2819">
      <c r="A2819" t="inlineStr">
        <is>
          <t>101801</t>
        </is>
      </c>
      <c r="B2819" t="inlineStr">
        <is>
          <t>DARCY PACHECO SOLUCOES DE PESO LTDA 89396121000108</t>
        </is>
      </c>
      <c r="C2819" t="n">
        <v>2111000000</v>
      </c>
      <c r="D2819" t="inlineStr">
        <is>
          <t>Operational Suppliers (Wind Farms)</t>
        </is>
      </c>
      <c r="E2819" t="n">
        <v>5015838</v>
      </c>
      <c r="F2819" t="inlineStr">
        <is>
          <t>8178</t>
        </is>
      </c>
      <c r="G2819" t="inlineStr">
        <is>
          <t>RE</t>
        </is>
      </c>
      <c r="H2819" s="12" t="n">
        <v>-472589.53</v>
      </c>
      <c r="I2819" s="17" t="n">
        <v>46106</v>
      </c>
      <c r="J2819" s="17" t="n">
        <v>46178</v>
      </c>
      <c r="K2819" t="inlineStr">
        <is>
          <t>Fatura - bruto DARCY PACHECO SOLUCOES DE PESO LTDA</t>
        </is>
      </c>
    </row>
    <row r="2820">
      <c r="A2820" t="inlineStr">
        <is>
          <t>101463</t>
        </is>
      </c>
      <c r="B2820" t="inlineStr">
        <is>
          <t>ZURICH MINAS BRASIL SEGUROS S A</t>
        </is>
      </c>
      <c r="C2820" t="n">
        <v>2111000000</v>
      </c>
      <c r="D2820" t="inlineStr">
        <is>
          <t>Insurance</t>
        </is>
      </c>
      <c r="E2820" t="n">
        <v>5015839</v>
      </c>
      <c r="F2820" t="inlineStr">
        <is>
          <t>0497/26</t>
        </is>
      </c>
      <c r="G2820" t="inlineStr">
        <is>
          <t>RE</t>
        </is>
      </c>
      <c r="H2820" s="12" t="n">
        <v>-371.62</v>
      </c>
      <c r="I2820" s="17" t="n">
        <v>46259</v>
      </c>
      <c r="J2820" s="17" t="n">
        <v>46289</v>
      </c>
      <c r="K2820" t="inlineStr">
        <is>
          <t>Invoice Payment. SP: 21978</t>
        </is>
      </c>
    </row>
    <row r="2821">
      <c r="A2821" t="inlineStr">
        <is>
          <t>100757</t>
        </is>
      </c>
      <c r="B2821" t="inlineStr">
        <is>
          <t>OMI BRASIL ENGENHARIA</t>
        </is>
      </c>
      <c r="C2821" t="n">
        <v>2111000000</v>
      </c>
      <c r="D2821" t="inlineStr">
        <is>
          <t>Operational Suppliers (Wind Farms)</t>
        </is>
      </c>
      <c r="E2821" t="n">
        <v>5015841</v>
      </c>
      <c r="F2821" t="inlineStr">
        <is>
          <t>71-1</t>
        </is>
      </c>
      <c r="G2821" t="inlineStr">
        <is>
          <t>RE</t>
        </is>
      </c>
      <c r="H2821" s="12" t="n">
        <v>-1250</v>
      </c>
      <c r="I2821" s="17" t="n">
        <v>46244</v>
      </c>
      <c r="J2821" s="17" t="n">
        <v>46274</v>
      </c>
      <c r="K2821" t="inlineStr">
        <is>
          <t>Fatura - bruto OMI BRASIL ENGENHARIA 71-1</t>
        </is>
      </c>
    </row>
    <row r="2822">
      <c r="A2822" t="inlineStr">
        <is>
          <t>100906</t>
        </is>
      </c>
      <c r="B2822" t="inlineStr">
        <is>
          <t>R &amp; G TELECOM LTDA</t>
        </is>
      </c>
      <c r="C2822" t="n">
        <v>2111000000</v>
      </c>
      <c r="D2822" t="inlineStr">
        <is>
          <t>Other Suppliers</t>
        </is>
      </c>
      <c r="E2822" t="n">
        <v>5015842</v>
      </c>
      <c r="F2822" t="inlineStr">
        <is>
          <t>5379</t>
        </is>
      </c>
      <c r="G2822" t="inlineStr">
        <is>
          <t>RE</t>
        </is>
      </c>
      <c r="H2822" s="12" t="n">
        <v>-1225</v>
      </c>
      <c r="I2822" s="17" t="n">
        <v>46255</v>
      </c>
      <c r="J2822" s="17" t="n">
        <v>46290</v>
      </c>
      <c r="K2822" t="inlineStr">
        <is>
          <t>Fatura - bruto R &amp; G TELECOM LTDA 5379</t>
        </is>
      </c>
    </row>
    <row r="2823">
      <c r="A2823" t="inlineStr">
        <is>
          <t>101247</t>
        </is>
      </c>
      <c r="B2823" t="inlineStr">
        <is>
          <t>CIA DE SANEAMENTO BASICO DO ESTADO</t>
        </is>
      </c>
      <c r="C2823" t="n">
        <v>2111000000</v>
      </c>
      <c r="D2823" t="inlineStr">
        <is>
          <t>Facilities</t>
        </is>
      </c>
      <c r="E2823" t="n">
        <v>5015843</v>
      </c>
      <c r="F2823" t="inlineStr">
        <is>
          <t>444344</t>
        </is>
      </c>
      <c r="G2823" t="inlineStr">
        <is>
          <t>RE</t>
        </is>
      </c>
      <c r="H2823" s="12" t="n">
        <v>-163.96</v>
      </c>
      <c r="I2823" s="17" t="n">
        <v>46255</v>
      </c>
      <c r="J2823" s="17" t="n">
        <v>46266</v>
      </c>
      <c r="K2823" t="inlineStr">
        <is>
          <t>Fatura - bruto CIA DE SANEAMENTO BASICO DO ESTADO</t>
        </is>
      </c>
    </row>
    <row r="2824">
      <c r="A2824" t="inlineStr">
        <is>
          <t>101247</t>
        </is>
      </c>
      <c r="B2824" t="inlineStr">
        <is>
          <t>CIA DE SANEAMENTO BASICO DO ESTADO</t>
        </is>
      </c>
      <c r="C2824" t="n">
        <v>2111000000</v>
      </c>
      <c r="D2824" t="inlineStr">
        <is>
          <t>Facilities</t>
        </is>
      </c>
      <c r="E2824" t="n">
        <v>5015844</v>
      </c>
      <c r="F2824" t="inlineStr">
        <is>
          <t>444345</t>
        </is>
      </c>
      <c r="G2824" t="inlineStr">
        <is>
          <t>RE</t>
        </is>
      </c>
      <c r="H2824" s="12" t="n">
        <v>-677.49</v>
      </c>
      <c r="I2824" s="17" t="n">
        <v>46255</v>
      </c>
      <c r="J2824" s="17" t="n">
        <v>46266</v>
      </c>
      <c r="K2824" t="inlineStr">
        <is>
          <t>Fatura - bruto CIA DE SANEAMENTO BASICO DO ESTADO</t>
        </is>
      </c>
    </row>
    <row r="2825">
      <c r="A2825" t="inlineStr">
        <is>
          <t>100883</t>
        </is>
      </c>
      <c r="B2825" t="inlineStr">
        <is>
          <t>QUELMAR TRANSPORTES LTDA</t>
        </is>
      </c>
      <c r="C2825" t="n">
        <v>2111000000</v>
      </c>
      <c r="D2825" t="inlineStr">
        <is>
          <t>Operational Suppliers (Wind Farms)</t>
        </is>
      </c>
      <c r="E2825" t="n">
        <v>5015845</v>
      </c>
      <c r="F2825" t="inlineStr">
        <is>
          <t>108513-1</t>
        </is>
      </c>
      <c r="G2825" t="inlineStr">
        <is>
          <t>RE</t>
        </is>
      </c>
      <c r="H2825" s="12" t="n">
        <v>-1748.78</v>
      </c>
      <c r="I2825" s="17" t="n">
        <v>46255</v>
      </c>
      <c r="J2825" s="17" t="n">
        <v>46300</v>
      </c>
      <c r="K2825" t="inlineStr">
        <is>
          <t>Fatura - bruto QUELMAR TRANSPORTES LTDA 108513-1</t>
        </is>
      </c>
    </row>
    <row r="2826">
      <c r="A2826" t="inlineStr">
        <is>
          <t>100883</t>
        </is>
      </c>
      <c r="B2826" t="inlineStr">
        <is>
          <t>QUELMAR TRANSPORTES LTDA</t>
        </is>
      </c>
      <c r="C2826" t="n">
        <v>2111000000</v>
      </c>
      <c r="D2826" t="inlineStr">
        <is>
          <t>Operational Suppliers (Wind Farms)</t>
        </is>
      </c>
      <c r="E2826" t="n">
        <v>5015847</v>
      </c>
      <c r="F2826" t="inlineStr">
        <is>
          <t>108522-1</t>
        </is>
      </c>
      <c r="G2826" t="inlineStr">
        <is>
          <t>RE</t>
        </is>
      </c>
      <c r="H2826" s="12" t="n">
        <v>-1748.78</v>
      </c>
      <c r="I2826" s="17" t="n">
        <v>46255</v>
      </c>
      <c r="J2826" s="17" t="n">
        <v>46300</v>
      </c>
      <c r="K2826" t="inlineStr">
        <is>
          <t>Fatura - bruto QUELMAR TRANSPORTES LTDA 108522-1</t>
        </is>
      </c>
    </row>
    <row r="2827">
      <c r="A2827" t="inlineStr">
        <is>
          <t>100883</t>
        </is>
      </c>
      <c r="B2827" t="inlineStr">
        <is>
          <t>QUELMAR TRANSPORTES LTDA</t>
        </is>
      </c>
      <c r="C2827" t="n">
        <v>2111000000</v>
      </c>
      <c r="D2827" t="inlineStr">
        <is>
          <t>Operational Suppliers (Wind Farms)</t>
        </is>
      </c>
      <c r="E2827" t="n">
        <v>5015848</v>
      </c>
      <c r="F2827" t="inlineStr">
        <is>
          <t>108525-1</t>
        </is>
      </c>
      <c r="G2827" t="inlineStr">
        <is>
          <t>RE</t>
        </is>
      </c>
      <c r="H2827" s="12" t="n">
        <v>-1748.78</v>
      </c>
      <c r="I2827" s="17" t="n">
        <v>46255</v>
      </c>
      <c r="J2827" s="17" t="n">
        <v>46300</v>
      </c>
      <c r="K2827" t="inlineStr">
        <is>
          <t>Fatura - bruto QUELMAR TRANSPORTES LTDA 108525-1</t>
        </is>
      </c>
    </row>
    <row r="2828">
      <c r="A2828" t="inlineStr">
        <is>
          <t>100883</t>
        </is>
      </c>
      <c r="B2828" t="inlineStr">
        <is>
          <t>QUELMAR TRANSPORTES LTDA</t>
        </is>
      </c>
      <c r="C2828" t="n">
        <v>2111000000</v>
      </c>
      <c r="D2828" t="inlineStr">
        <is>
          <t>Operational Suppliers (Wind Farms)</t>
        </is>
      </c>
      <c r="E2828" t="n">
        <v>5015849</v>
      </c>
      <c r="F2828" t="inlineStr">
        <is>
          <t>108527-1</t>
        </is>
      </c>
      <c r="G2828" t="inlineStr">
        <is>
          <t>RE</t>
        </is>
      </c>
      <c r="H2828" s="12" t="n">
        <v>-1748.78</v>
      </c>
      <c r="I2828" s="17" t="n">
        <v>46255</v>
      </c>
      <c r="J2828" s="17" t="n">
        <v>46300</v>
      </c>
      <c r="K2828" t="inlineStr">
        <is>
          <t>Fatura - bruto QUELMAR TRANSPORTES LTDA 108527-1</t>
        </is>
      </c>
    </row>
    <row r="2829">
      <c r="A2829" t="inlineStr">
        <is>
          <t>100883</t>
        </is>
      </c>
      <c r="B2829" t="inlineStr">
        <is>
          <t>QUELMAR TRANSPORTES LTDA</t>
        </is>
      </c>
      <c r="C2829" t="n">
        <v>2111000000</v>
      </c>
      <c r="D2829" t="inlineStr">
        <is>
          <t>Operational Suppliers (Wind Farms)</t>
        </is>
      </c>
      <c r="E2829" t="n">
        <v>5015850</v>
      </c>
      <c r="F2829" t="inlineStr">
        <is>
          <t>108530-1</t>
        </is>
      </c>
      <c r="G2829" t="inlineStr">
        <is>
          <t>RE</t>
        </is>
      </c>
      <c r="H2829" s="12" t="n">
        <v>-1748.78</v>
      </c>
      <c r="I2829" s="17" t="n">
        <v>46255</v>
      </c>
      <c r="J2829" s="17" t="n">
        <v>46300</v>
      </c>
      <c r="K2829" t="inlineStr">
        <is>
          <t>Fatura - bruto QUELMAR TRANSPORTES LTDA 108530-1</t>
        </is>
      </c>
    </row>
    <row r="2830">
      <c r="A2830" t="inlineStr">
        <is>
          <t>100883</t>
        </is>
      </c>
      <c r="B2830" t="inlineStr">
        <is>
          <t>QUELMAR TRANSPORTES LTDA</t>
        </is>
      </c>
      <c r="C2830" t="n">
        <v>2111000000</v>
      </c>
      <c r="D2830" t="inlineStr">
        <is>
          <t>Operational Suppliers (Wind Farms)</t>
        </is>
      </c>
      <c r="E2830" t="n">
        <v>5015851</v>
      </c>
      <c r="F2830" t="inlineStr">
        <is>
          <t>108544-1</t>
        </is>
      </c>
      <c r="G2830" t="inlineStr">
        <is>
          <t>RE</t>
        </is>
      </c>
      <c r="H2830" s="12" t="n">
        <v>-1748.78</v>
      </c>
      <c r="I2830" s="17" t="n">
        <v>46255</v>
      </c>
      <c r="J2830" s="17" t="n">
        <v>46300</v>
      </c>
      <c r="K2830" t="inlineStr">
        <is>
          <t>Fatura - bruto QUELMAR TRANSPORTES LTDA 108544-1</t>
        </is>
      </c>
    </row>
    <row r="2831">
      <c r="A2831" t="inlineStr">
        <is>
          <t>101317</t>
        </is>
      </c>
      <c r="B2831" t="inlineStr">
        <is>
          <t>JOAO VANDERLEI ROYER</t>
        </is>
      </c>
      <c r="C2831" t="n">
        <v>2111000000</v>
      </c>
      <c r="D2831" t="inlineStr">
        <is>
          <t>Other Suppliers</t>
        </is>
      </c>
      <c r="E2831" t="n">
        <v>5015852</v>
      </c>
      <c r="F2831" t="inlineStr">
        <is>
          <t>81</t>
        </is>
      </c>
      <c r="G2831" t="inlineStr">
        <is>
          <t>RE</t>
        </is>
      </c>
      <c r="H2831" s="12" t="n">
        <v>-10500</v>
      </c>
      <c r="I2831" s="17" t="n">
        <v>46248</v>
      </c>
      <c r="J2831" s="17" t="n">
        <v>46270</v>
      </c>
      <c r="K2831" t="inlineStr">
        <is>
          <t>Fatura - bruto JOAO VANDERLEI ROYER 81</t>
        </is>
      </c>
    </row>
    <row r="2832">
      <c r="A2832" t="inlineStr">
        <is>
          <t>100883</t>
        </is>
      </c>
      <c r="B2832" t="inlineStr">
        <is>
          <t>QUELMAR TRANSPORTES LTDA</t>
        </is>
      </c>
      <c r="C2832" t="n">
        <v>2111000000</v>
      </c>
      <c r="D2832" t="inlineStr">
        <is>
          <t>Operational Suppliers (Wind Farms)</t>
        </is>
      </c>
      <c r="E2832" t="n">
        <v>5015853</v>
      </c>
      <c r="F2832" t="inlineStr">
        <is>
          <t>108516-1</t>
        </is>
      </c>
      <c r="G2832" t="inlineStr">
        <is>
          <t>RE</t>
        </is>
      </c>
      <c r="H2832" s="12" t="n">
        <v>-1748.78</v>
      </c>
      <c r="I2832" s="17" t="n">
        <v>46255</v>
      </c>
      <c r="J2832" s="17" t="n">
        <v>46300</v>
      </c>
      <c r="K2832" t="inlineStr">
        <is>
          <t>Fatura - bruto QUELMAR TRANSPORTES LTDA 108516-1</t>
        </is>
      </c>
    </row>
    <row r="2833">
      <c r="A2833" t="inlineStr">
        <is>
          <t>100883</t>
        </is>
      </c>
      <c r="B2833" t="inlineStr">
        <is>
          <t>QUELMAR TRANSPORTES LTDA</t>
        </is>
      </c>
      <c r="C2833" t="n">
        <v>2111000000</v>
      </c>
      <c r="D2833" t="inlineStr">
        <is>
          <t>Operational Suppliers (Wind Farms)</t>
        </is>
      </c>
      <c r="E2833" t="n">
        <v>5015854</v>
      </c>
      <c r="F2833" t="inlineStr">
        <is>
          <t>108518-1</t>
        </is>
      </c>
      <c r="G2833" t="inlineStr">
        <is>
          <t>RE</t>
        </is>
      </c>
      <c r="H2833" s="12" t="n">
        <v>-1748.78</v>
      </c>
      <c r="I2833" s="17" t="n">
        <v>46255</v>
      </c>
      <c r="J2833" s="17" t="n">
        <v>46300</v>
      </c>
      <c r="K2833" t="inlineStr">
        <is>
          <t>Fatura - bruto QUELMAR TRANSPORTES LTDA 108518-1</t>
        </is>
      </c>
    </row>
    <row r="2834">
      <c r="A2834" t="inlineStr">
        <is>
          <t>100883</t>
        </is>
      </c>
      <c r="B2834" t="inlineStr">
        <is>
          <t>QUELMAR TRANSPORTES LTDA</t>
        </is>
      </c>
      <c r="C2834" t="n">
        <v>2111000000</v>
      </c>
      <c r="D2834" t="inlineStr">
        <is>
          <t>Operational Suppliers (Wind Farms)</t>
        </is>
      </c>
      <c r="E2834" t="n">
        <v>5015855</v>
      </c>
      <c r="F2834" t="inlineStr">
        <is>
          <t>108528-1</t>
        </is>
      </c>
      <c r="G2834" t="inlineStr">
        <is>
          <t>RE</t>
        </is>
      </c>
      <c r="H2834" s="12" t="n">
        <v>-1748.78</v>
      </c>
      <c r="I2834" s="17" t="n">
        <v>46255</v>
      </c>
      <c r="J2834" s="17" t="n">
        <v>46300</v>
      </c>
      <c r="K2834" t="inlineStr">
        <is>
          <t>Fatura - bruto QUELMAR TRANSPORTES LTDA 108528-1</t>
        </is>
      </c>
    </row>
    <row r="2835">
      <c r="A2835" t="inlineStr">
        <is>
          <t>100883</t>
        </is>
      </c>
      <c r="B2835" t="inlineStr">
        <is>
          <t>QUELMAR TRANSPORTES LTDA</t>
        </is>
      </c>
      <c r="C2835" t="n">
        <v>2111000000</v>
      </c>
      <c r="D2835" t="inlineStr">
        <is>
          <t>Operational Suppliers (Wind Farms)</t>
        </is>
      </c>
      <c r="E2835" t="n">
        <v>5015856</v>
      </c>
      <c r="F2835" t="inlineStr">
        <is>
          <t>108531-1</t>
        </is>
      </c>
      <c r="G2835" t="inlineStr">
        <is>
          <t>RE</t>
        </is>
      </c>
      <c r="H2835" s="12" t="n">
        <v>-1748.78</v>
      </c>
      <c r="I2835" s="17" t="n">
        <v>46255</v>
      </c>
      <c r="J2835" s="17" t="n">
        <v>46300</v>
      </c>
      <c r="K2835" t="inlineStr">
        <is>
          <t>Fatura - bruto QUELMAR TRANSPORTES LTDA 108531-1</t>
        </is>
      </c>
    </row>
    <row r="2836">
      <c r="A2836" t="inlineStr">
        <is>
          <t>100883</t>
        </is>
      </c>
      <c r="B2836" t="inlineStr">
        <is>
          <t>QUELMAR TRANSPORTES LTDA</t>
        </is>
      </c>
      <c r="C2836" t="n">
        <v>2111000000</v>
      </c>
      <c r="D2836" t="inlineStr">
        <is>
          <t>Operational Suppliers (Wind Farms)</t>
        </is>
      </c>
      <c r="E2836" t="n">
        <v>5015857</v>
      </c>
      <c r="F2836" t="inlineStr">
        <is>
          <t>108533-1</t>
        </is>
      </c>
      <c r="G2836" t="inlineStr">
        <is>
          <t>RE</t>
        </is>
      </c>
      <c r="H2836" s="12" t="n">
        <v>-1748.78</v>
      </c>
      <c r="I2836" s="17" t="n">
        <v>46255</v>
      </c>
      <c r="J2836" s="17" t="n">
        <v>46300</v>
      </c>
      <c r="K2836" t="inlineStr">
        <is>
          <t>Fatura - bruto QUELMAR TRANSPORTES LTDA 108533-1</t>
        </is>
      </c>
    </row>
    <row r="2837">
      <c r="A2837" t="inlineStr">
        <is>
          <t>100883</t>
        </is>
      </c>
      <c r="B2837" t="inlineStr">
        <is>
          <t>QUELMAR TRANSPORTES LTDA</t>
        </is>
      </c>
      <c r="C2837" t="n">
        <v>2111000000</v>
      </c>
      <c r="D2837" t="inlineStr">
        <is>
          <t>Operational Suppliers (Wind Farms)</t>
        </is>
      </c>
      <c r="E2837" t="n">
        <v>5015858</v>
      </c>
      <c r="F2837" t="inlineStr">
        <is>
          <t>108535-1</t>
        </is>
      </c>
      <c r="G2837" t="inlineStr">
        <is>
          <t>RE</t>
        </is>
      </c>
      <c r="H2837" s="12" t="n">
        <v>-1748.78</v>
      </c>
      <c r="I2837" s="17" t="n">
        <v>46255</v>
      </c>
      <c r="J2837" s="17" t="n">
        <v>46300</v>
      </c>
      <c r="K2837" t="inlineStr">
        <is>
          <t>Fatura - bruto QUELMAR TRANSPORTES LTDA 108535-1</t>
        </is>
      </c>
    </row>
    <row r="2838">
      <c r="A2838" t="inlineStr">
        <is>
          <t>100883</t>
        </is>
      </c>
      <c r="B2838" t="inlineStr">
        <is>
          <t>QUELMAR TRANSPORTES LTDA</t>
        </is>
      </c>
      <c r="C2838" t="n">
        <v>2111000000</v>
      </c>
      <c r="D2838" t="inlineStr">
        <is>
          <t>Operational Suppliers (Wind Farms)</t>
        </is>
      </c>
      <c r="E2838" t="n">
        <v>5015859</v>
      </c>
      <c r="F2838" t="inlineStr">
        <is>
          <t>108539-1</t>
        </is>
      </c>
      <c r="G2838" t="inlineStr">
        <is>
          <t>RE</t>
        </is>
      </c>
      <c r="H2838" s="12" t="n">
        <v>-3498.02</v>
      </c>
      <c r="I2838" s="17" t="n">
        <v>46255</v>
      </c>
      <c r="J2838" s="17" t="n">
        <v>46300</v>
      </c>
      <c r="K2838" t="inlineStr">
        <is>
          <t>Fatura - bruto QUELMAR TRANSPORTES LTDA 108539-1</t>
        </is>
      </c>
    </row>
    <row r="2839">
      <c r="A2839" t="inlineStr">
        <is>
          <t>100883</t>
        </is>
      </c>
      <c r="B2839" t="inlineStr">
        <is>
          <t>QUELMAR TRANSPORTES LTDA</t>
        </is>
      </c>
      <c r="C2839" t="n">
        <v>2111000000</v>
      </c>
      <c r="D2839" t="inlineStr">
        <is>
          <t>Operational Suppliers (Wind Farms)</t>
        </is>
      </c>
      <c r="E2839" t="n">
        <v>5015860</v>
      </c>
      <c r="F2839" t="inlineStr">
        <is>
          <t>108541-1</t>
        </is>
      </c>
      <c r="G2839" t="inlineStr">
        <is>
          <t>RE</t>
        </is>
      </c>
      <c r="H2839" s="12" t="n">
        <v>-1748.78</v>
      </c>
      <c r="I2839" s="17" t="n">
        <v>46255</v>
      </c>
      <c r="J2839" s="17" t="n">
        <v>46300</v>
      </c>
      <c r="K2839" t="inlineStr">
        <is>
          <t>Fatura - bruto QUELMAR TRANSPORTES LTDA 108541-1</t>
        </is>
      </c>
    </row>
    <row r="2840">
      <c r="A2840" t="inlineStr">
        <is>
          <t>100883</t>
        </is>
      </c>
      <c r="B2840" t="inlineStr">
        <is>
          <t>QUELMAR TRANSPORTES LTDA</t>
        </is>
      </c>
      <c r="C2840" t="n">
        <v>2111000000</v>
      </c>
      <c r="D2840" t="inlineStr">
        <is>
          <t>Operational Suppliers (Wind Farms)</t>
        </is>
      </c>
      <c r="E2840" t="n">
        <v>5015861</v>
      </c>
      <c r="F2840" t="inlineStr">
        <is>
          <t>108551-1</t>
        </is>
      </c>
      <c r="G2840" t="inlineStr">
        <is>
          <t>RE</t>
        </is>
      </c>
      <c r="H2840" s="12" t="n">
        <v>-3970</v>
      </c>
      <c r="I2840" s="17" t="n">
        <v>46255</v>
      </c>
      <c r="J2840" s="17" t="n">
        <v>46300</v>
      </c>
      <c r="K2840" t="inlineStr">
        <is>
          <t>Fatura - bruto QUELMAR TRANSPORTES LTDA 108551-1</t>
        </is>
      </c>
    </row>
    <row r="2841">
      <c r="A2841" t="inlineStr">
        <is>
          <t>101463</t>
        </is>
      </c>
      <c r="B2841" t="inlineStr">
        <is>
          <t>ZURICH MINAS BRASIL SEGUROS S A</t>
        </is>
      </c>
      <c r="C2841" t="n">
        <v>2111000000</v>
      </c>
      <c r="D2841" t="inlineStr">
        <is>
          <t>Insurance</t>
        </is>
      </c>
      <c r="E2841" t="n">
        <v>5015863</v>
      </c>
      <c r="F2841" t="inlineStr">
        <is>
          <t>0306/26</t>
        </is>
      </c>
      <c r="G2841" t="inlineStr">
        <is>
          <t>RE</t>
        </is>
      </c>
      <c r="H2841" s="12" t="n">
        <v>-510.86</v>
      </c>
      <c r="I2841" s="17" t="n">
        <v>46259</v>
      </c>
      <c r="J2841" s="17" t="n">
        <v>46289</v>
      </c>
      <c r="K2841" t="inlineStr">
        <is>
          <t>Invoice Payment. SP: 21986</t>
        </is>
      </c>
    </row>
    <row r="2842">
      <c r="A2842" t="inlineStr">
        <is>
          <t>101463</t>
        </is>
      </c>
      <c r="B2842" t="inlineStr">
        <is>
          <t>ZURICH MINAS BRASIL SEGUROS S A</t>
        </is>
      </c>
      <c r="C2842" t="n">
        <v>2111000000</v>
      </c>
      <c r="D2842" t="inlineStr">
        <is>
          <t>Insurance</t>
        </is>
      </c>
      <c r="E2842" t="n">
        <v>5015866</v>
      </c>
      <c r="F2842" t="inlineStr">
        <is>
          <t>0512/26</t>
        </is>
      </c>
      <c r="G2842" t="inlineStr">
        <is>
          <t>RE</t>
        </is>
      </c>
      <c r="H2842" s="12" t="n">
        <v>-58.08</v>
      </c>
      <c r="I2842" s="17" t="n">
        <v>46259</v>
      </c>
      <c r="J2842" s="17" t="n">
        <v>46289</v>
      </c>
      <c r="K2842" t="inlineStr">
        <is>
          <t>Invoice Payment. SP: 21989</t>
        </is>
      </c>
    </row>
    <row r="2843">
      <c r="A2843" t="inlineStr">
        <is>
          <t>101463</t>
        </is>
      </c>
      <c r="B2843" t="inlineStr">
        <is>
          <t>ZURICH MINAS BRASIL SEGUROS S A</t>
        </is>
      </c>
      <c r="C2843" t="n">
        <v>2111000000</v>
      </c>
      <c r="D2843" t="inlineStr">
        <is>
          <t>Insurance</t>
        </is>
      </c>
      <c r="E2843" t="n">
        <v>5015868</v>
      </c>
      <c r="F2843" t="inlineStr">
        <is>
          <t>0513/26</t>
        </is>
      </c>
      <c r="G2843" t="inlineStr">
        <is>
          <t>RE</t>
        </is>
      </c>
      <c r="H2843" s="12" t="n">
        <v>-730.62</v>
      </c>
      <c r="I2843" s="17" t="n">
        <v>46259</v>
      </c>
      <c r="J2843" s="17" t="n">
        <v>46289</v>
      </c>
      <c r="K2843" t="inlineStr">
        <is>
          <t>Invoice Payment. SP: 21991</t>
        </is>
      </c>
    </row>
    <row r="2844">
      <c r="A2844" t="inlineStr">
        <is>
          <t>101463</t>
        </is>
      </c>
      <c r="B2844" t="inlineStr">
        <is>
          <t>ZURICH MINAS BRASIL SEGUROS S A</t>
        </is>
      </c>
      <c r="C2844" t="n">
        <v>2111000000</v>
      </c>
      <c r="D2844" t="inlineStr">
        <is>
          <t>Insurance</t>
        </is>
      </c>
      <c r="E2844" t="n">
        <v>5015871</v>
      </c>
      <c r="F2844" t="inlineStr">
        <is>
          <t>0514/26</t>
        </is>
      </c>
      <c r="G2844" t="inlineStr">
        <is>
          <t>RE</t>
        </is>
      </c>
      <c r="H2844" s="12" t="n">
        <v>-142.64</v>
      </c>
      <c r="I2844" s="17" t="n">
        <v>46259</v>
      </c>
      <c r="J2844" s="17" t="n">
        <v>46289</v>
      </c>
      <c r="K2844" t="inlineStr">
        <is>
          <t>Invoice Payment. SP: 21993</t>
        </is>
      </c>
    </row>
    <row r="2845">
      <c r="A2845" t="inlineStr">
        <is>
          <t>101463</t>
        </is>
      </c>
      <c r="B2845" t="inlineStr">
        <is>
          <t>ZURICH MINAS BRASIL SEGUROS S A</t>
        </is>
      </c>
      <c r="C2845" t="n">
        <v>2111000000</v>
      </c>
      <c r="D2845" t="inlineStr">
        <is>
          <t>Insurance</t>
        </is>
      </c>
      <c r="E2845" t="n">
        <v>5015873</v>
      </c>
      <c r="F2845" t="inlineStr">
        <is>
          <t>0449/26</t>
        </is>
      </c>
      <c r="G2845" t="inlineStr">
        <is>
          <t>RE</t>
        </is>
      </c>
      <c r="H2845" s="12" t="n">
        <v>-9.23</v>
      </c>
      <c r="I2845" s="17" t="n">
        <v>46259</v>
      </c>
      <c r="J2845" s="17" t="n">
        <v>46289</v>
      </c>
      <c r="K2845" t="inlineStr">
        <is>
          <t>Invoice Payment. SP: 21995</t>
        </is>
      </c>
    </row>
    <row r="2846">
      <c r="A2846" t="inlineStr">
        <is>
          <t>101463</t>
        </is>
      </c>
      <c r="B2846" t="inlineStr">
        <is>
          <t>ZURICH MINAS BRASIL SEGUROS S A</t>
        </is>
      </c>
      <c r="C2846" t="n">
        <v>2111000000</v>
      </c>
      <c r="D2846" t="inlineStr">
        <is>
          <t>Insurance</t>
        </is>
      </c>
      <c r="E2846" t="n">
        <v>5015875</v>
      </c>
      <c r="F2846" t="inlineStr">
        <is>
          <t>0451/26</t>
        </is>
      </c>
      <c r="G2846" t="inlineStr">
        <is>
          <t>RE</t>
        </is>
      </c>
      <c r="H2846" s="12" t="n">
        <v>-10342.2</v>
      </c>
      <c r="I2846" s="17" t="n">
        <v>46259</v>
      </c>
      <c r="J2846" s="17" t="n">
        <v>46289</v>
      </c>
      <c r="K2846" t="inlineStr">
        <is>
          <t>Invoice Payment. SP: 21997</t>
        </is>
      </c>
    </row>
    <row r="2847">
      <c r="A2847" t="inlineStr">
        <is>
          <t>101463</t>
        </is>
      </c>
      <c r="B2847" t="inlineStr">
        <is>
          <t>ZURICH MINAS BRASIL SEGUROS S A</t>
        </is>
      </c>
      <c r="C2847" t="n">
        <v>2111000000</v>
      </c>
      <c r="D2847" t="inlineStr">
        <is>
          <t>Insurance</t>
        </is>
      </c>
      <c r="E2847" t="n">
        <v>5015877</v>
      </c>
      <c r="F2847" t="inlineStr">
        <is>
          <t>0516/26</t>
        </is>
      </c>
      <c r="G2847" t="inlineStr">
        <is>
          <t>RE</t>
        </is>
      </c>
      <c r="H2847" s="12" t="n">
        <v>-242.21</v>
      </c>
      <c r="I2847" s="17" t="n">
        <v>46259</v>
      </c>
      <c r="J2847" s="17" t="n">
        <v>46289</v>
      </c>
      <c r="K2847" t="inlineStr">
        <is>
          <t>Invoice Payment. SP: 21999</t>
        </is>
      </c>
    </row>
    <row r="2848">
      <c r="A2848" t="inlineStr">
        <is>
          <t>101008</t>
        </is>
      </c>
      <c r="B2848" t="inlineStr">
        <is>
          <t>OXIGENIO IRECE LTDA</t>
        </is>
      </c>
      <c r="C2848" t="n">
        <v>2111000000</v>
      </c>
      <c r="D2848" t="inlineStr">
        <is>
          <t>Operational Suppliers (Wind Farms)</t>
        </is>
      </c>
      <c r="E2848" t="n">
        <v>5015879</v>
      </c>
      <c r="F2848" t="inlineStr">
        <is>
          <t>368</t>
        </is>
      </c>
      <c r="G2848" t="inlineStr">
        <is>
          <t>RE</t>
        </is>
      </c>
      <c r="H2848" s="12" t="n">
        <v>-600</v>
      </c>
      <c r="I2848" s="17" t="n">
        <v>46175</v>
      </c>
      <c r="J2848" s="17" t="n">
        <v>46239</v>
      </c>
      <c r="K2848" t="inlineStr">
        <is>
          <t>Fatura - bruto OXIGENIO IRECE LTDA 368</t>
        </is>
      </c>
    </row>
    <row r="2849">
      <c r="A2849" t="inlineStr">
        <is>
          <t>101008</t>
        </is>
      </c>
      <c r="B2849" t="inlineStr">
        <is>
          <t>OXIGENIO IRECE LTDA</t>
        </is>
      </c>
      <c r="C2849" t="n">
        <v>2111000000</v>
      </c>
      <c r="D2849" t="inlineStr">
        <is>
          <t>Operational Suppliers (Wind Farms)</t>
        </is>
      </c>
      <c r="E2849" t="n">
        <v>5015880</v>
      </c>
      <c r="F2849" t="inlineStr">
        <is>
          <t>378</t>
        </is>
      </c>
      <c r="G2849" t="inlineStr">
        <is>
          <t>RE</t>
        </is>
      </c>
      <c r="H2849" s="12" t="n">
        <v>-600</v>
      </c>
      <c r="I2849" s="17" t="n">
        <v>46207</v>
      </c>
      <c r="J2849" s="17" t="n">
        <v>46270</v>
      </c>
      <c r="K2849" t="inlineStr">
        <is>
          <t>Fatura - bruto OXIGENIO IRECE LTDA 378</t>
        </is>
      </c>
    </row>
    <row r="2850">
      <c r="A2850" t="inlineStr">
        <is>
          <t>101897</t>
        </is>
      </c>
      <c r="B2850" t="inlineStr">
        <is>
          <t>KL LOCACOES E SOLUCOES AMBIENTAIS L KL CONSTRUCOES E SERVICOS IMOBILIAR</t>
        </is>
      </c>
      <c r="C2850" t="n">
        <v>2111000000</v>
      </c>
      <c r="D2850" t="inlineStr">
        <is>
          <t>Other Suppliers</t>
        </is>
      </c>
      <c r="E2850" t="n">
        <v>5015881</v>
      </c>
      <c r="F2850" t="inlineStr">
        <is>
          <t>2541</t>
        </is>
      </c>
      <c r="G2850" t="inlineStr">
        <is>
          <t>RE</t>
        </is>
      </c>
      <c r="H2850" s="12" t="n">
        <v>-58282.5</v>
      </c>
      <c r="I2850" s="17" t="n">
        <v>46204</v>
      </c>
      <c r="J2850" s="17" t="n">
        <v>46239</v>
      </c>
      <c r="K2850" t="inlineStr">
        <is>
          <t>Fatura - bruto KL LOCACOES E SOLUCOES AMBIENTAIS L</t>
        </is>
      </c>
    </row>
    <row r="2851">
      <c r="A2851" t="inlineStr">
        <is>
          <t>100883</t>
        </is>
      </c>
      <c r="B2851" t="inlineStr">
        <is>
          <t>QUELMAR TRANSPORTES LTDA</t>
        </is>
      </c>
      <c r="C2851" t="n">
        <v>2111000000</v>
      </c>
      <c r="D2851" t="inlineStr">
        <is>
          <t>Operational Suppliers (Wind Farms)</t>
        </is>
      </c>
      <c r="E2851" t="n">
        <v>5015882</v>
      </c>
      <c r="F2851" t="inlineStr">
        <is>
          <t>6005-2</t>
        </is>
      </c>
      <c r="G2851" t="inlineStr">
        <is>
          <t>RE</t>
        </is>
      </c>
      <c r="H2851" s="12" t="n">
        <v>-9680</v>
      </c>
      <c r="I2851" s="17" t="n">
        <v>46171</v>
      </c>
      <c r="J2851" s="17" t="n">
        <v>46208</v>
      </c>
      <c r="K2851" t="inlineStr">
        <is>
          <t>Fatura - bruto QUELMAR TRANSPORTES LTDA 6005-2</t>
        </is>
      </c>
    </row>
    <row r="2852">
      <c r="A2852" t="inlineStr">
        <is>
          <t>100883</t>
        </is>
      </c>
      <c r="B2852" t="inlineStr">
        <is>
          <t>QUELMAR TRANSPORTES LTDA</t>
        </is>
      </c>
      <c r="C2852" t="n">
        <v>2111000000</v>
      </c>
      <c r="D2852" t="inlineStr">
        <is>
          <t>Operational Suppliers (Wind Farms)</t>
        </is>
      </c>
      <c r="E2852" t="n">
        <v>5015883</v>
      </c>
      <c r="F2852" t="inlineStr">
        <is>
          <t>6004-2</t>
        </is>
      </c>
      <c r="G2852" t="inlineStr">
        <is>
          <t>RE</t>
        </is>
      </c>
      <c r="H2852" s="12" t="n">
        <v>-9720</v>
      </c>
      <c r="I2852" s="17" t="n">
        <v>46171</v>
      </c>
      <c r="J2852" s="17" t="n">
        <v>46208</v>
      </c>
      <c r="K2852" t="inlineStr">
        <is>
          <t>Fatura - bruto QUELMAR TRANSPORTES LTDA 6004-2</t>
        </is>
      </c>
    </row>
    <row r="2853">
      <c r="A2853" t="inlineStr">
        <is>
          <t>100883</t>
        </is>
      </c>
      <c r="B2853" t="inlineStr">
        <is>
          <t>QUELMAR TRANSPORTES LTDA</t>
        </is>
      </c>
      <c r="C2853" t="n">
        <v>2111000000</v>
      </c>
      <c r="D2853" t="inlineStr">
        <is>
          <t>Operational Suppliers (Wind Farms)</t>
        </is>
      </c>
      <c r="E2853" t="n">
        <v>5015884</v>
      </c>
      <c r="F2853" t="inlineStr">
        <is>
          <t>6319-2</t>
        </is>
      </c>
      <c r="G2853" t="inlineStr">
        <is>
          <t>RE</t>
        </is>
      </c>
      <c r="H2853" s="12" t="n">
        <v>-12348</v>
      </c>
      <c r="I2853" s="17" t="n">
        <v>46232</v>
      </c>
      <c r="J2853" s="17" t="n">
        <v>46270</v>
      </c>
      <c r="K2853" t="inlineStr">
        <is>
          <t>Fatura - bruto QUELMAR TRANSPORTES LTDA 6319-2</t>
        </is>
      </c>
    </row>
    <row r="2854">
      <c r="A2854" t="inlineStr">
        <is>
          <t>100883</t>
        </is>
      </c>
      <c r="B2854" t="inlineStr">
        <is>
          <t>QUELMAR TRANSPORTES LTDA</t>
        </is>
      </c>
      <c r="C2854" t="n">
        <v>2111000000</v>
      </c>
      <c r="D2854" t="inlineStr">
        <is>
          <t>Operational Suppliers (Wind Farms)</t>
        </is>
      </c>
      <c r="E2854" t="n">
        <v>5015885</v>
      </c>
      <c r="F2854" t="inlineStr">
        <is>
          <t>6024-2</t>
        </is>
      </c>
      <c r="G2854" t="inlineStr">
        <is>
          <t>RE</t>
        </is>
      </c>
      <c r="H2854" s="12" t="n">
        <v>-29890</v>
      </c>
      <c r="I2854" s="17" t="n">
        <v>46175</v>
      </c>
      <c r="J2854" s="17" t="n">
        <v>46239</v>
      </c>
      <c r="K2854" t="inlineStr">
        <is>
          <t>Fatura - bruto QUELMAR TRANSPORTES LTDA 6024-2</t>
        </is>
      </c>
    </row>
    <row r="2855">
      <c r="A2855" t="inlineStr">
        <is>
          <t>100883</t>
        </is>
      </c>
      <c r="B2855" t="inlineStr">
        <is>
          <t>QUELMAR TRANSPORTES LTDA</t>
        </is>
      </c>
      <c r="C2855" t="n">
        <v>2111000000</v>
      </c>
      <c r="D2855" t="inlineStr">
        <is>
          <t>Operational Suppliers (Wind Farms)</t>
        </is>
      </c>
      <c r="E2855" t="n">
        <v>5015886</v>
      </c>
      <c r="F2855" t="inlineStr">
        <is>
          <t>6161-2</t>
        </is>
      </c>
      <c r="G2855" t="inlineStr">
        <is>
          <t>RE</t>
        </is>
      </c>
      <c r="H2855" s="12" t="n">
        <v>-29800</v>
      </c>
      <c r="I2855" s="17" t="n">
        <v>46203</v>
      </c>
      <c r="J2855" s="17" t="n">
        <v>46239</v>
      </c>
      <c r="K2855" t="inlineStr">
        <is>
          <t>Fatura - bruto QUELMAR TRANSPORTES LTDA 6161-2</t>
        </is>
      </c>
    </row>
    <row r="2856">
      <c r="A2856" t="inlineStr">
        <is>
          <t>100883</t>
        </is>
      </c>
      <c r="B2856" t="inlineStr">
        <is>
          <t>QUELMAR TRANSPORTES LTDA</t>
        </is>
      </c>
      <c r="C2856" t="n">
        <v>2111000000</v>
      </c>
      <c r="D2856" t="inlineStr">
        <is>
          <t>Operational Suppliers (Wind Farms)</t>
        </is>
      </c>
      <c r="E2856" t="n">
        <v>5015887</v>
      </c>
      <c r="F2856" t="inlineStr">
        <is>
          <t>6311-2</t>
        </is>
      </c>
      <c r="G2856" t="inlineStr">
        <is>
          <t>RE</t>
        </is>
      </c>
      <c r="H2856" s="12" t="n">
        <v>-42500</v>
      </c>
      <c r="I2856" s="17" t="n">
        <v>46230</v>
      </c>
      <c r="J2856" s="17" t="n">
        <v>46270</v>
      </c>
      <c r="K2856" t="inlineStr">
        <is>
          <t>Fatura - bruto QUELMAR TRANSPORTES LTDA 6311-2</t>
        </is>
      </c>
    </row>
    <row r="2857">
      <c r="A2857" t="inlineStr">
        <is>
          <t>100883</t>
        </is>
      </c>
      <c r="B2857" t="inlineStr">
        <is>
          <t>QUELMAR TRANSPORTES LTDA</t>
        </is>
      </c>
      <c r="C2857" t="n">
        <v>2111000000</v>
      </c>
      <c r="D2857" t="inlineStr">
        <is>
          <t>Operational Suppliers (Wind Farms)</t>
        </is>
      </c>
      <c r="E2857" t="n">
        <v>5015888</v>
      </c>
      <c r="F2857" t="inlineStr">
        <is>
          <t>6320-2</t>
        </is>
      </c>
      <c r="G2857" t="inlineStr">
        <is>
          <t>RE</t>
        </is>
      </c>
      <c r="H2857" s="12" t="n">
        <v>-8600</v>
      </c>
      <c r="I2857" s="17" t="n">
        <v>46232</v>
      </c>
      <c r="J2857" s="17" t="n">
        <v>46270</v>
      </c>
      <c r="K2857" t="inlineStr">
        <is>
          <t>Fatura - bruto QUELMAR TRANSPORTES LTDA 6320-2</t>
        </is>
      </c>
    </row>
    <row r="2858">
      <c r="A2858" t="inlineStr">
        <is>
          <t>100883</t>
        </is>
      </c>
      <c r="B2858" t="inlineStr">
        <is>
          <t>QUELMAR TRANSPORTES LTDA</t>
        </is>
      </c>
      <c r="C2858" t="n">
        <v>2111000000</v>
      </c>
      <c r="D2858" t="inlineStr">
        <is>
          <t>Operational Suppliers (Wind Farms)</t>
        </is>
      </c>
      <c r="E2858" t="n">
        <v>5015889</v>
      </c>
      <c r="F2858" t="inlineStr">
        <is>
          <t>6207-2</t>
        </is>
      </c>
      <c r="G2858" t="inlineStr">
        <is>
          <t>RE</t>
        </is>
      </c>
      <c r="H2858" s="12" t="n">
        <v>-5950</v>
      </c>
      <c r="I2858" s="17" t="n">
        <v>46216</v>
      </c>
      <c r="J2858" s="17" t="n">
        <v>46270</v>
      </c>
      <c r="K2858" t="inlineStr">
        <is>
          <t>Fatura - bruto QUELMAR TRANSPORTES LTDA 6207-2</t>
        </is>
      </c>
    </row>
    <row r="2859">
      <c r="A2859" t="inlineStr">
        <is>
          <t>103936</t>
        </is>
      </c>
      <c r="B2859" t="inlineStr">
        <is>
          <t>BELA VISTA RENOVAVEIS II LTDA</t>
        </is>
      </c>
      <c r="C2859" t="n">
        <v>2111000000</v>
      </c>
      <c r="D2859" t="inlineStr">
        <is>
          <t>Other Suppliers</t>
        </is>
      </c>
      <c r="E2859" t="n">
        <v>5015890</v>
      </c>
      <c r="F2859" t="inlineStr">
        <is>
          <t>1752</t>
        </is>
      </c>
      <c r="G2859" t="inlineStr">
        <is>
          <t>RE</t>
        </is>
      </c>
      <c r="H2859" s="12" t="n">
        <v>-151339.13</v>
      </c>
      <c r="I2859" s="17" t="n">
        <v>46248</v>
      </c>
      <c r="J2859" s="17" t="n">
        <v>46270</v>
      </c>
      <c r="K2859" t="inlineStr">
        <is>
          <t>Fatura - bruto BELA VISTA RENOVAVEIS II LTDA 1752</t>
        </is>
      </c>
    </row>
    <row r="2860">
      <c r="A2860" t="inlineStr">
        <is>
          <t>103936</t>
        </is>
      </c>
      <c r="B2860" t="inlineStr">
        <is>
          <t>BELA VISTA RENOVAVEIS II LTDA</t>
        </is>
      </c>
      <c r="C2860" t="n">
        <v>2111000000</v>
      </c>
      <c r="D2860" t="inlineStr">
        <is>
          <t>Other Suppliers</t>
        </is>
      </c>
      <c r="E2860" t="n">
        <v>5015891</v>
      </c>
      <c r="F2860" t="inlineStr">
        <is>
          <t>1753</t>
        </is>
      </c>
      <c r="G2860" t="inlineStr">
        <is>
          <t>RE</t>
        </is>
      </c>
      <c r="H2860" s="12" t="n">
        <v>-22456.98</v>
      </c>
      <c r="I2860" s="17" t="n">
        <v>46248</v>
      </c>
      <c r="J2860" s="17" t="n">
        <v>46270</v>
      </c>
      <c r="K2860" t="inlineStr">
        <is>
          <t>Fatura - bruto BELA VISTA RENOVAVEIS II LTDA 1753</t>
        </is>
      </c>
    </row>
    <row r="2861">
      <c r="A2861" t="inlineStr">
        <is>
          <t>103936</t>
        </is>
      </c>
      <c r="B2861" t="inlineStr">
        <is>
          <t>BELA VISTA RENOVAVEIS II LTDA</t>
        </is>
      </c>
      <c r="C2861" t="n">
        <v>2111000000</v>
      </c>
      <c r="D2861" t="inlineStr">
        <is>
          <t>Other Suppliers</t>
        </is>
      </c>
      <c r="E2861" t="n">
        <v>5015892</v>
      </c>
      <c r="F2861" t="inlineStr">
        <is>
          <t>1755</t>
        </is>
      </c>
      <c r="G2861" t="inlineStr">
        <is>
          <t>RE</t>
        </is>
      </c>
      <c r="H2861" s="12" t="n">
        <v>-37698.91</v>
      </c>
      <c r="I2861" s="17" t="n">
        <v>46248</v>
      </c>
      <c r="J2861" s="17" t="n">
        <v>46270</v>
      </c>
      <c r="K2861" t="inlineStr">
        <is>
          <t>Fatura - bruto BELA VISTA RENOVAVEIS II LTDA 1755</t>
        </is>
      </c>
    </row>
    <row r="2862">
      <c r="A2862" t="inlineStr">
        <is>
          <t>103936</t>
        </is>
      </c>
      <c r="B2862" t="inlineStr">
        <is>
          <t>BELA VISTA RENOVAVEIS II LTDA</t>
        </is>
      </c>
      <c r="C2862" t="n">
        <v>2111000000</v>
      </c>
      <c r="D2862" t="inlineStr">
        <is>
          <t>Other Suppliers</t>
        </is>
      </c>
      <c r="E2862" t="n">
        <v>5015893</v>
      </c>
      <c r="F2862" t="inlineStr">
        <is>
          <t>1756</t>
        </is>
      </c>
      <c r="G2862" t="inlineStr">
        <is>
          <t>RE</t>
        </is>
      </c>
      <c r="H2862" s="12" t="n">
        <v>-69067.69</v>
      </c>
      <c r="I2862" s="17" t="n">
        <v>46248</v>
      </c>
      <c r="J2862" s="17" t="n">
        <v>46270</v>
      </c>
      <c r="K2862" t="inlineStr">
        <is>
          <t>Fatura - bruto BELA VISTA RENOVAVEIS II LTDA 1756</t>
        </is>
      </c>
    </row>
    <row r="2863">
      <c r="A2863" t="inlineStr">
        <is>
          <t>103936</t>
        </is>
      </c>
      <c r="B2863" t="inlineStr">
        <is>
          <t>BELA VISTA RENOVAVEIS II LTDA</t>
        </is>
      </c>
      <c r="C2863" t="n">
        <v>2111000000</v>
      </c>
      <c r="D2863" t="inlineStr">
        <is>
          <t>Other Suppliers</t>
        </is>
      </c>
      <c r="E2863" t="n">
        <v>5015894</v>
      </c>
      <c r="F2863" t="inlineStr">
        <is>
          <t>1758</t>
        </is>
      </c>
      <c r="G2863" t="inlineStr">
        <is>
          <t>RE</t>
        </is>
      </c>
      <c r="H2863" s="12" t="n">
        <v>-5853.76</v>
      </c>
      <c r="I2863" s="17" t="n">
        <v>46248</v>
      </c>
      <c r="J2863" s="17" t="n">
        <v>46270</v>
      </c>
      <c r="K2863" t="inlineStr">
        <is>
          <t>Fatura - bruto BELA VISTA RENOVAVEIS II LTDA 1758</t>
        </is>
      </c>
    </row>
    <row r="2864">
      <c r="A2864" t="inlineStr">
        <is>
          <t>103936</t>
        </is>
      </c>
      <c r="B2864" t="inlineStr">
        <is>
          <t>BELA VISTA RENOVAVEIS II LTDA</t>
        </is>
      </c>
      <c r="C2864" t="n">
        <v>2111000000</v>
      </c>
      <c r="D2864" t="inlineStr">
        <is>
          <t>Other Suppliers</t>
        </is>
      </c>
      <c r="E2864" t="n">
        <v>5015895</v>
      </c>
      <c r="F2864" t="inlineStr">
        <is>
          <t>1759</t>
        </is>
      </c>
      <c r="G2864" t="inlineStr">
        <is>
          <t>RE</t>
        </is>
      </c>
      <c r="H2864" s="12" t="n">
        <v>-42647.77</v>
      </c>
      <c r="I2864" s="17" t="n">
        <v>46248</v>
      </c>
      <c r="J2864" s="17" t="n">
        <v>46270</v>
      </c>
      <c r="K2864" t="inlineStr">
        <is>
          <t>Fatura - bruto BELA VISTA RENOVAVEIS II LTDA 1759</t>
        </is>
      </c>
    </row>
    <row r="2865">
      <c r="A2865" t="inlineStr">
        <is>
          <t>103936</t>
        </is>
      </c>
      <c r="B2865" t="inlineStr">
        <is>
          <t>BELA VISTA RENOVAVEIS II LTDA</t>
        </is>
      </c>
      <c r="C2865" t="n">
        <v>2111000000</v>
      </c>
      <c r="D2865" t="inlineStr">
        <is>
          <t>Other Suppliers</t>
        </is>
      </c>
      <c r="E2865" t="n">
        <v>5015897</v>
      </c>
      <c r="F2865" t="inlineStr">
        <is>
          <t>1760</t>
        </is>
      </c>
      <c r="G2865" t="inlineStr">
        <is>
          <t>RE</t>
        </is>
      </c>
      <c r="H2865" s="12" t="n">
        <v>-55156.92</v>
      </c>
      <c r="I2865" s="17" t="n">
        <v>46248</v>
      </c>
      <c r="J2865" s="17" t="n">
        <v>46270</v>
      </c>
      <c r="K2865" t="inlineStr">
        <is>
          <t>Fatura - bruto BELA VISTA RENOVAVEIS II LTDA 1760</t>
        </is>
      </c>
    </row>
    <row r="2866">
      <c r="A2866" t="inlineStr">
        <is>
          <t>103936</t>
        </is>
      </c>
      <c r="B2866" t="inlineStr">
        <is>
          <t>BELA VISTA RENOVAVEIS II LTDA</t>
        </is>
      </c>
      <c r="C2866" t="n">
        <v>2111000000</v>
      </c>
      <c r="D2866" t="inlineStr">
        <is>
          <t>Other Suppliers</t>
        </is>
      </c>
      <c r="E2866" t="n">
        <v>5015898</v>
      </c>
      <c r="F2866" t="inlineStr">
        <is>
          <t>1761</t>
        </is>
      </c>
      <c r="G2866" t="inlineStr">
        <is>
          <t>RE</t>
        </is>
      </c>
      <c r="H2866" s="12" t="n">
        <v>-35317.97</v>
      </c>
      <c r="I2866" s="17" t="n">
        <v>46248</v>
      </c>
      <c r="J2866" s="17" t="n">
        <v>46270</v>
      </c>
      <c r="K2866" t="inlineStr">
        <is>
          <t>Fatura - bruto BELA VISTA RENOVAVEIS II LTDA 1761</t>
        </is>
      </c>
    </row>
    <row r="2867">
      <c r="A2867" t="inlineStr">
        <is>
          <t>103936</t>
        </is>
      </c>
      <c r="B2867" t="inlineStr">
        <is>
          <t>BELA VISTA RENOVAVEIS II LTDA</t>
        </is>
      </c>
      <c r="C2867" t="n">
        <v>2111000000</v>
      </c>
      <c r="D2867" t="inlineStr">
        <is>
          <t>Other Suppliers</t>
        </is>
      </c>
      <c r="E2867" t="n">
        <v>5015900</v>
      </c>
      <c r="F2867" t="inlineStr">
        <is>
          <t>1762</t>
        </is>
      </c>
      <c r="G2867" t="inlineStr">
        <is>
          <t>RE</t>
        </is>
      </c>
      <c r="H2867" s="12" t="n">
        <v>-140390.88</v>
      </c>
      <c r="I2867" s="17" t="n">
        <v>46248</v>
      </c>
      <c r="J2867" s="17" t="n">
        <v>46270</v>
      </c>
      <c r="K2867" t="inlineStr">
        <is>
          <t>Fatura - bruto BELA VISTA RENOVAVEIS II LTDA 1762</t>
        </is>
      </c>
    </row>
    <row r="2868">
      <c r="A2868" t="inlineStr">
        <is>
          <t>100883</t>
        </is>
      </c>
      <c r="B2868" t="inlineStr">
        <is>
          <t>QUELMAR TRANSPORTES LTDA</t>
        </is>
      </c>
      <c r="C2868" t="n">
        <v>2111000000</v>
      </c>
      <c r="D2868" t="inlineStr">
        <is>
          <t>Operational Suppliers (Wind Farms)</t>
        </is>
      </c>
      <c r="E2868" t="n">
        <v>5015901</v>
      </c>
      <c r="F2868" t="inlineStr">
        <is>
          <t>6240-2</t>
        </is>
      </c>
      <c r="G2868" t="inlineStr">
        <is>
          <t>RE</t>
        </is>
      </c>
      <c r="H2868" s="12" t="n">
        <v>-15140</v>
      </c>
      <c r="I2868" s="17" t="n">
        <v>46219</v>
      </c>
      <c r="J2868" s="17" t="n">
        <v>46270</v>
      </c>
      <c r="K2868" t="inlineStr">
        <is>
          <t>Fatura - bruto QUELMAR TRANSPORTES LTDA 6240-2</t>
        </is>
      </c>
    </row>
    <row r="2869">
      <c r="A2869" t="inlineStr">
        <is>
          <t>101897</t>
        </is>
      </c>
      <c r="B2869" t="inlineStr">
        <is>
          <t>KL LOCACOES E SOLUCOES AMBIENTAIS L KL CONSTRUCOES E SERVICOS IMOBILIAR</t>
        </is>
      </c>
      <c r="C2869" t="n">
        <v>2111000000</v>
      </c>
      <c r="D2869" t="inlineStr">
        <is>
          <t>Other Suppliers</t>
        </is>
      </c>
      <c r="E2869" t="n">
        <v>5015902</v>
      </c>
      <c r="F2869" t="inlineStr">
        <is>
          <t>2040-1</t>
        </is>
      </c>
      <c r="G2869" t="inlineStr">
        <is>
          <t>RE</t>
        </is>
      </c>
      <c r="H2869" s="12" t="n">
        <v>-1500</v>
      </c>
      <c r="I2869" s="17" t="n">
        <v>46238</v>
      </c>
      <c r="J2869" s="17" t="n">
        <v>46270</v>
      </c>
      <c r="K2869" t="inlineStr">
        <is>
          <t>Fatura - bruto KL LOCACOES E SOLUCOES AMBIENTAIS L</t>
        </is>
      </c>
    </row>
    <row r="2870">
      <c r="A2870" t="inlineStr">
        <is>
          <t>101897</t>
        </is>
      </c>
      <c r="B2870" t="inlineStr">
        <is>
          <t>KL LOCACOES E SOLUCOES AMBIENTAIS L KL CONSTRUCOES E SERVICOS IMOBILIAR</t>
        </is>
      </c>
      <c r="C2870" t="n">
        <v>2111000000</v>
      </c>
      <c r="D2870" t="inlineStr">
        <is>
          <t>Other Suppliers</t>
        </is>
      </c>
      <c r="E2870" t="n">
        <v>5015903</v>
      </c>
      <c r="F2870" t="inlineStr">
        <is>
          <t>2032-1</t>
        </is>
      </c>
      <c r="G2870" t="inlineStr">
        <is>
          <t>RE</t>
        </is>
      </c>
      <c r="H2870" s="12" t="n">
        <v>-2500</v>
      </c>
      <c r="I2870" s="17" t="n">
        <v>46230</v>
      </c>
      <c r="J2870" s="17" t="n">
        <v>46270</v>
      </c>
      <c r="K2870" t="inlineStr">
        <is>
          <t>Fatura - bruto KL LOCACOES E SOLUCOES AMBIENTAIS L</t>
        </is>
      </c>
    </row>
    <row r="2871">
      <c r="A2871" t="inlineStr">
        <is>
          <t>101897</t>
        </is>
      </c>
      <c r="B2871" t="inlineStr">
        <is>
          <t>KL LOCACOES E SOLUCOES AMBIENTAIS L KL CONSTRUCOES E SERVICOS IMOBILIAR</t>
        </is>
      </c>
      <c r="C2871" t="n">
        <v>2111000000</v>
      </c>
      <c r="D2871" t="inlineStr">
        <is>
          <t>Other Suppliers</t>
        </is>
      </c>
      <c r="E2871" t="n">
        <v>5015904</v>
      </c>
      <c r="F2871" t="inlineStr">
        <is>
          <t>2033-1</t>
        </is>
      </c>
      <c r="G2871" t="inlineStr">
        <is>
          <t>RE</t>
        </is>
      </c>
      <c r="H2871" s="12" t="n">
        <v>-2500</v>
      </c>
      <c r="I2871" s="17" t="n">
        <v>46230</v>
      </c>
      <c r="J2871" s="17" t="n">
        <v>46270</v>
      </c>
      <c r="K2871" t="inlineStr">
        <is>
          <t>Fatura - bruto KL LOCACOES E SOLUCOES AMBIENTAIS L</t>
        </is>
      </c>
    </row>
    <row r="2872">
      <c r="A2872" t="inlineStr">
        <is>
          <t>100883</t>
        </is>
      </c>
      <c r="B2872" t="inlineStr">
        <is>
          <t>QUELMAR TRANSPORTES LTDA</t>
        </is>
      </c>
      <c r="C2872" t="n">
        <v>2111000000</v>
      </c>
      <c r="D2872" t="inlineStr">
        <is>
          <t>Operational Suppliers (Wind Farms)</t>
        </is>
      </c>
      <c r="E2872" t="n">
        <v>5015905</v>
      </c>
      <c r="F2872" t="inlineStr">
        <is>
          <t>6409-2</t>
        </is>
      </c>
      <c r="G2872" t="inlineStr">
        <is>
          <t>RE</t>
        </is>
      </c>
      <c r="H2872" s="12" t="n">
        <v>-9870</v>
      </c>
      <c r="I2872" s="17" t="n">
        <v>46251</v>
      </c>
      <c r="J2872" s="17" t="n">
        <v>46300</v>
      </c>
      <c r="K2872" t="inlineStr">
        <is>
          <t>Fatura - bruto QUELMAR TRANSPORTES LTDA 6409-2</t>
        </is>
      </c>
    </row>
    <row r="2873">
      <c r="A2873" t="inlineStr">
        <is>
          <t>106044</t>
        </is>
      </c>
      <c r="B2873" t="inlineStr">
        <is>
          <t>ECOVIS NORDESTE LTDA 52979841000196</t>
        </is>
      </c>
      <c r="C2873" t="n">
        <v>2111000000</v>
      </c>
      <c r="D2873" t="inlineStr">
        <is>
          <t>Other Suppliers</t>
        </is>
      </c>
      <c r="E2873" t="n">
        <v>5015906</v>
      </c>
      <c r="F2873" t="inlineStr">
        <is>
          <t>15</t>
        </is>
      </c>
      <c r="G2873" t="inlineStr">
        <is>
          <t>RE</t>
        </is>
      </c>
      <c r="H2873" s="12" t="n">
        <v>-62523</v>
      </c>
      <c r="I2873" s="17" t="n">
        <v>46251</v>
      </c>
      <c r="J2873" s="17" t="n">
        <v>46300</v>
      </c>
      <c r="K2873" t="inlineStr">
        <is>
          <t>Fatura - bruto ECOVIS NORDESTE LTDA 52979841000196</t>
        </is>
      </c>
    </row>
    <row r="2874">
      <c r="A2874" t="inlineStr">
        <is>
          <t>101353</t>
        </is>
      </c>
      <c r="B2874" t="inlineStr">
        <is>
          <t>SOMAR GASES COMERCIO E SERVICOS LTD</t>
        </is>
      </c>
      <c r="C2874" t="n">
        <v>2111000000</v>
      </c>
      <c r="D2874" t="inlineStr">
        <is>
          <t>Other Suppliers</t>
        </is>
      </c>
      <c r="E2874" t="n">
        <v>5015907</v>
      </c>
      <c r="F2874" t="inlineStr">
        <is>
          <t>5939</t>
        </is>
      </c>
      <c r="G2874" t="inlineStr">
        <is>
          <t>RE</t>
        </is>
      </c>
      <c r="H2874" s="12" t="n">
        <v>-1400</v>
      </c>
      <c r="I2874" s="17" t="n">
        <v>46251</v>
      </c>
      <c r="J2874" s="17" t="n">
        <v>46281</v>
      </c>
      <c r="K2874" t="inlineStr">
        <is>
          <t>Fatura - bruto SOMAR GASES COMERCIO E SERVICOS LTD</t>
        </is>
      </c>
    </row>
    <row r="2875">
      <c r="A2875" t="inlineStr">
        <is>
          <t>100883</t>
        </is>
      </c>
      <c r="B2875" t="inlineStr">
        <is>
          <t>QUELMAR TRANSPORTES LTDA</t>
        </is>
      </c>
      <c r="C2875" t="n">
        <v>2111000000</v>
      </c>
      <c r="D2875" t="inlineStr">
        <is>
          <t>Operational Suppliers (Wind Farms)</t>
        </is>
      </c>
      <c r="E2875" t="n">
        <v>5015908</v>
      </c>
      <c r="F2875" t="inlineStr">
        <is>
          <t>108545-1</t>
        </is>
      </c>
      <c r="G2875" t="inlineStr">
        <is>
          <t>RE</t>
        </is>
      </c>
      <c r="H2875" s="12" t="n">
        <v>-2800</v>
      </c>
      <c r="I2875" s="17" t="n">
        <v>46255</v>
      </c>
      <c r="J2875" s="17" t="n">
        <v>46300</v>
      </c>
      <c r="K2875" t="inlineStr">
        <is>
          <t>Fatura - bruto QUELMAR TRANSPORTES LTDA 108545-1</t>
        </is>
      </c>
    </row>
    <row r="2876">
      <c r="A2876" t="inlineStr">
        <is>
          <t>100883</t>
        </is>
      </c>
      <c r="B2876" t="inlineStr">
        <is>
          <t>QUELMAR TRANSPORTES LTDA</t>
        </is>
      </c>
      <c r="C2876" t="n">
        <v>2111000000</v>
      </c>
      <c r="D2876" t="inlineStr">
        <is>
          <t>Operational Suppliers (Wind Farms)</t>
        </is>
      </c>
      <c r="E2876" t="n">
        <v>5015909</v>
      </c>
      <c r="F2876" t="inlineStr">
        <is>
          <t>108546-1</t>
        </is>
      </c>
      <c r="G2876" t="inlineStr">
        <is>
          <t>RE</t>
        </is>
      </c>
      <c r="H2876" s="12" t="n">
        <v>-2800</v>
      </c>
      <c r="I2876" s="17" t="n">
        <v>46255</v>
      </c>
      <c r="J2876" s="17" t="n">
        <v>46300</v>
      </c>
      <c r="K2876" t="inlineStr">
        <is>
          <t>Fatura - bruto QUELMAR TRANSPORTES LTDA 108546-1</t>
        </is>
      </c>
    </row>
    <row r="2877">
      <c r="A2877" t="inlineStr">
        <is>
          <t>100883</t>
        </is>
      </c>
      <c r="B2877" t="inlineStr">
        <is>
          <t>QUELMAR TRANSPORTES LTDA</t>
        </is>
      </c>
      <c r="C2877" t="n">
        <v>2111000000</v>
      </c>
      <c r="D2877" t="inlineStr">
        <is>
          <t>Operational Suppliers (Wind Farms)</t>
        </is>
      </c>
      <c r="E2877" t="n">
        <v>5015910</v>
      </c>
      <c r="F2877" t="inlineStr">
        <is>
          <t>108547-1</t>
        </is>
      </c>
      <c r="G2877" t="inlineStr">
        <is>
          <t>RE</t>
        </is>
      </c>
      <c r="H2877" s="12" t="n">
        <v>-2800</v>
      </c>
      <c r="I2877" s="17" t="n">
        <v>46255</v>
      </c>
      <c r="J2877" s="17" t="n">
        <v>46300</v>
      </c>
      <c r="K2877" t="inlineStr">
        <is>
          <t>Fatura - bruto QUELMAR TRANSPORTES LTDA 108547-1</t>
        </is>
      </c>
    </row>
    <row r="2878">
      <c r="A2878" t="inlineStr">
        <is>
          <t>101353</t>
        </is>
      </c>
      <c r="B2878" t="inlineStr">
        <is>
          <t>SOMAR GASES COMERCIO E SERVICOS LTD</t>
        </is>
      </c>
      <c r="C2878" t="n">
        <v>2111000000</v>
      </c>
      <c r="D2878" t="inlineStr">
        <is>
          <t>Other Suppliers</t>
        </is>
      </c>
      <c r="E2878" t="n">
        <v>5015911</v>
      </c>
      <c r="F2878" t="inlineStr">
        <is>
          <t>5938</t>
        </is>
      </c>
      <c r="G2878" t="inlineStr">
        <is>
          <t>RE</t>
        </is>
      </c>
      <c r="H2878" s="12" t="n">
        <v>-700</v>
      </c>
      <c r="I2878" s="17" t="n">
        <v>46257</v>
      </c>
      <c r="J2878" s="17" t="n">
        <v>46287</v>
      </c>
      <c r="K2878" t="inlineStr">
        <is>
          <t>Fatura - bruto SOMAR GASES COMERCIO E SERVICOS LTD</t>
        </is>
      </c>
    </row>
    <row r="2879">
      <c r="A2879" t="inlineStr">
        <is>
          <t>101670</t>
        </is>
      </c>
      <c r="B2879" t="inlineStr">
        <is>
          <t>NSA BR ASSESSORIA TR E CO DE SE TO</t>
        </is>
      </c>
      <c r="C2879" t="n">
        <v>2111000000</v>
      </c>
      <c r="D2879" t="inlineStr">
        <is>
          <t>Other Suppliers</t>
        </is>
      </c>
      <c r="E2879" t="n">
        <v>5015914</v>
      </c>
      <c r="F2879" t="inlineStr">
        <is>
          <t>399</t>
        </is>
      </c>
      <c r="G2879" t="inlineStr">
        <is>
          <t>RE</t>
        </is>
      </c>
      <c r="H2879" s="12" t="n">
        <v>-69892.87</v>
      </c>
      <c r="I2879" s="17" t="n">
        <v>46259</v>
      </c>
      <c r="J2879" s="17" t="n">
        <v>46269</v>
      </c>
      <c r="K2879" t="inlineStr">
        <is>
          <t>Fatura - bruto NSA BR ASSESSORIA TR E CO DE SE TO</t>
        </is>
      </c>
    </row>
    <row r="2880">
      <c r="A2880" t="inlineStr">
        <is>
          <t>107759</t>
        </is>
      </c>
      <c r="B2880" t="inlineStr">
        <is>
          <t>AMBAR INOVAÇÕES SPE LTDA</t>
        </is>
      </c>
      <c r="C2880" t="n">
        <v>2111000000</v>
      </c>
      <c r="D2880" t="inlineStr">
        <is>
          <t>Other Suppliers</t>
        </is>
      </c>
      <c r="E2880" t="n">
        <v>5015915</v>
      </c>
      <c r="F2880" t="inlineStr">
        <is>
          <t>16794</t>
        </is>
      </c>
      <c r="G2880" t="inlineStr">
        <is>
          <t>RE</t>
        </is>
      </c>
      <c r="H2880" s="12" t="n">
        <v>-2623.87</v>
      </c>
      <c r="I2880" s="17" t="n">
        <v>46205</v>
      </c>
      <c r="J2880" s="17" t="n">
        <v>46235</v>
      </c>
      <c r="K2880" t="inlineStr">
        <is>
          <t>Fatura - bruto AMBAR INOVAÇÕES SPE LTDA 16794</t>
        </is>
      </c>
    </row>
    <row r="2881">
      <c r="A2881" t="inlineStr">
        <is>
          <t>101540</t>
        </is>
      </c>
      <c r="B2881" t="inlineStr">
        <is>
          <t>RICOH PY EQUIPAMENTOS DE INFORMATIC</t>
        </is>
      </c>
      <c r="C2881" t="n">
        <v>2111000000</v>
      </c>
      <c r="D2881" t="inlineStr">
        <is>
          <t>Other Suppliers</t>
        </is>
      </c>
      <c r="E2881" t="n">
        <v>5015916</v>
      </c>
      <c r="F2881" t="inlineStr">
        <is>
          <t>14586</t>
        </is>
      </c>
      <c r="G2881" t="inlineStr">
        <is>
          <t>RE</t>
        </is>
      </c>
      <c r="H2881" s="12" t="n">
        <v>-1204.36</v>
      </c>
      <c r="I2881" s="17" t="n">
        <v>46136</v>
      </c>
      <c r="J2881" s="17" t="n">
        <v>46160</v>
      </c>
      <c r="K2881" t="inlineStr">
        <is>
          <t>Fatura - bruto RICOH PY EQUIPAMENTOS DE INFORMATIC</t>
        </is>
      </c>
    </row>
    <row r="2882">
      <c r="A2882" t="inlineStr">
        <is>
          <t>100969</t>
        </is>
      </c>
      <c r="B2882" t="inlineStr">
        <is>
          <t>RONALDO LUIS DE SOUSA</t>
        </is>
      </c>
      <c r="C2882" t="n">
        <v>2111000000</v>
      </c>
      <c r="D2882" t="inlineStr">
        <is>
          <t>Other Suppliers</t>
        </is>
      </c>
      <c r="E2882" t="n">
        <v>5015917</v>
      </c>
      <c r="F2882" t="inlineStr">
        <is>
          <t>66</t>
        </is>
      </c>
      <c r="G2882" t="inlineStr">
        <is>
          <t>RE</t>
        </is>
      </c>
      <c r="H2882" s="12" t="n">
        <v>-2305</v>
      </c>
      <c r="I2882" s="17" t="n">
        <v>46192</v>
      </c>
      <c r="J2882" s="17" t="n">
        <v>46239</v>
      </c>
      <c r="K2882" t="inlineStr">
        <is>
          <t>Fatura - bruto RONALDO LUIS DE SOUSA 66</t>
        </is>
      </c>
    </row>
    <row r="2883">
      <c r="A2883" t="inlineStr">
        <is>
          <t>100883</t>
        </is>
      </c>
      <c r="B2883" t="inlineStr">
        <is>
          <t>QUELMAR TRANSPORTES LTDA</t>
        </is>
      </c>
      <c r="C2883" t="n">
        <v>2111000000</v>
      </c>
      <c r="D2883" t="inlineStr">
        <is>
          <t>Operational Suppliers (Wind Farms)</t>
        </is>
      </c>
      <c r="E2883" t="n">
        <v>5015918</v>
      </c>
      <c r="F2883" t="inlineStr">
        <is>
          <t>108548-1</t>
        </is>
      </c>
      <c r="G2883" t="inlineStr">
        <is>
          <t>RE</t>
        </is>
      </c>
      <c r="H2883" s="12" t="n">
        <v>-2800</v>
      </c>
      <c r="I2883" s="17" t="n">
        <v>46255</v>
      </c>
      <c r="J2883" s="17" t="n">
        <v>46300</v>
      </c>
      <c r="K2883" t="inlineStr">
        <is>
          <t>Fatura - bruto QUELMAR TRANSPORTES LTDA 108548-1</t>
        </is>
      </c>
    </row>
    <row r="2884">
      <c r="A2884" t="inlineStr">
        <is>
          <t>101540</t>
        </is>
      </c>
      <c r="B2884" t="inlineStr">
        <is>
          <t>RICOH PY EQUIPAMENTOS DE INFORMATIC</t>
        </is>
      </c>
      <c r="C2884" t="n">
        <v>2111000000</v>
      </c>
      <c r="D2884" t="inlineStr">
        <is>
          <t>Other Suppliers</t>
        </is>
      </c>
      <c r="E2884" t="n">
        <v>5015919</v>
      </c>
      <c r="F2884" t="inlineStr">
        <is>
          <t>15036</t>
        </is>
      </c>
      <c r="G2884" t="inlineStr">
        <is>
          <t>RE</t>
        </is>
      </c>
      <c r="H2884" s="12" t="n">
        <v>-1204.36</v>
      </c>
      <c r="I2884" s="17" t="n">
        <v>46230</v>
      </c>
      <c r="J2884" s="17" t="n">
        <v>46252</v>
      </c>
      <c r="K2884" t="inlineStr">
        <is>
          <t>Fatura - bruto RICOH PY EQUIPAMENTOS DE INFORMATIC</t>
        </is>
      </c>
    </row>
    <row r="2885">
      <c r="A2885" t="inlineStr">
        <is>
          <t>100883</t>
        </is>
      </c>
      <c r="B2885" t="inlineStr">
        <is>
          <t>QUELMAR TRANSPORTES LTDA</t>
        </is>
      </c>
      <c r="C2885" t="n">
        <v>2111000000</v>
      </c>
      <c r="D2885" t="inlineStr">
        <is>
          <t>Operational Suppliers (Wind Farms)</t>
        </is>
      </c>
      <c r="E2885" t="n">
        <v>5015920</v>
      </c>
      <c r="F2885" t="inlineStr">
        <is>
          <t>108549-1</t>
        </is>
      </c>
      <c r="G2885" t="inlineStr">
        <is>
          <t>RE</t>
        </is>
      </c>
      <c r="H2885" s="12" t="n">
        <v>-2800</v>
      </c>
      <c r="I2885" s="17" t="n">
        <v>46255</v>
      </c>
      <c r="J2885" s="17" t="n">
        <v>46300</v>
      </c>
      <c r="K2885" t="inlineStr">
        <is>
          <t>Fatura - bruto QUELMAR TRANSPORTES LTDA 108549-1</t>
        </is>
      </c>
    </row>
    <row r="2886">
      <c r="A2886" t="inlineStr">
        <is>
          <t>100883</t>
        </is>
      </c>
      <c r="B2886" t="inlineStr">
        <is>
          <t>QUELMAR TRANSPORTES LTDA</t>
        </is>
      </c>
      <c r="C2886" t="n">
        <v>2111000000</v>
      </c>
      <c r="D2886" t="inlineStr">
        <is>
          <t>Operational Suppliers (Wind Farms)</t>
        </is>
      </c>
      <c r="E2886" t="n">
        <v>5015921</v>
      </c>
      <c r="F2886" t="inlineStr">
        <is>
          <t>108552-1</t>
        </is>
      </c>
      <c r="G2886" t="inlineStr">
        <is>
          <t>RE</t>
        </is>
      </c>
      <c r="H2886" s="12" t="n">
        <v>-3980</v>
      </c>
      <c r="I2886" s="17" t="n">
        <v>46255</v>
      </c>
      <c r="J2886" s="17" t="n">
        <v>46300</v>
      </c>
      <c r="K2886" t="inlineStr">
        <is>
          <t>Fatura - bruto QUELMAR TRANSPORTES LTDA 108552-1</t>
        </is>
      </c>
    </row>
    <row r="2887">
      <c r="A2887" t="inlineStr">
        <is>
          <t>101540</t>
        </is>
      </c>
      <c r="B2887" t="inlineStr">
        <is>
          <t>RICOH PY EQUIPAMENTOS DE INFORMATIC</t>
        </is>
      </c>
      <c r="C2887" t="n">
        <v>2111000000</v>
      </c>
      <c r="D2887" t="inlineStr">
        <is>
          <t>Other Suppliers</t>
        </is>
      </c>
      <c r="E2887" t="n">
        <v>5015922</v>
      </c>
      <c r="F2887" t="inlineStr">
        <is>
          <t>14813</t>
        </is>
      </c>
      <c r="G2887" t="inlineStr">
        <is>
          <t>RE</t>
        </is>
      </c>
      <c r="H2887" s="12" t="n">
        <v>-1204.36</v>
      </c>
      <c r="I2887" s="17" t="n">
        <v>46195</v>
      </c>
      <c r="J2887" s="17" t="n">
        <v>46221</v>
      </c>
      <c r="K2887" t="inlineStr">
        <is>
          <t>Fatura - bruto RICOH PY EQUIPAMENTOS DE INFORMATIC</t>
        </is>
      </c>
    </row>
    <row r="2888">
      <c r="A2888" t="inlineStr">
        <is>
          <t>101048</t>
        </is>
      </c>
      <c r="B2888" t="inlineStr">
        <is>
          <t>M R DE MEDEIROS</t>
        </is>
      </c>
      <c r="C2888" t="n">
        <v>2111000000</v>
      </c>
      <c r="D2888" t="inlineStr">
        <is>
          <t>Other Suppliers</t>
        </is>
      </c>
      <c r="E2888" t="n">
        <v>5015923</v>
      </c>
      <c r="F2888" t="inlineStr">
        <is>
          <t>2640-1</t>
        </is>
      </c>
      <c r="G2888" t="inlineStr">
        <is>
          <t>RE</t>
        </is>
      </c>
      <c r="H2888" s="12" t="n">
        <v>-3494</v>
      </c>
      <c r="I2888" s="17" t="n">
        <v>46254</v>
      </c>
      <c r="J2888" s="17" t="n">
        <v>46269</v>
      </c>
      <c r="K2888" t="inlineStr">
        <is>
          <t>Fatura - bruto M R DE MEDEIROS 2640-1</t>
        </is>
      </c>
    </row>
    <row r="2889">
      <c r="A2889" t="inlineStr">
        <is>
          <t>106040</t>
        </is>
      </c>
      <c r="B2889" t="inlineStr">
        <is>
          <t>WANTEL TECNOLOGIA LTDA</t>
        </is>
      </c>
      <c r="C2889" t="n">
        <v>2111000000</v>
      </c>
      <c r="D2889" t="inlineStr">
        <is>
          <t>Facilities</t>
        </is>
      </c>
      <c r="E2889" t="n">
        <v>5015924</v>
      </c>
      <c r="F2889" t="inlineStr">
        <is>
          <t>1120257</t>
        </is>
      </c>
      <c r="G2889" t="inlineStr">
        <is>
          <t>RE</t>
        </is>
      </c>
      <c r="H2889" s="12" t="n">
        <v>-240</v>
      </c>
      <c r="I2889" s="17" t="n">
        <v>46238</v>
      </c>
      <c r="J2889" s="17" t="n">
        <v>46238</v>
      </c>
      <c r="K2889" t="inlineStr">
        <is>
          <t>Fatura - bruto WANTEL TECNOLOGIA LTDA 1120257</t>
        </is>
      </c>
    </row>
    <row r="2890">
      <c r="A2890" t="inlineStr">
        <is>
          <t>100883</t>
        </is>
      </c>
      <c r="B2890" t="inlineStr">
        <is>
          <t>QUELMAR TRANSPORTES LTDA</t>
        </is>
      </c>
      <c r="C2890" t="n">
        <v>2111000000</v>
      </c>
      <c r="D2890" t="inlineStr">
        <is>
          <t>Operational Suppliers (Wind Farms)</t>
        </is>
      </c>
      <c r="E2890" t="n">
        <v>5015925</v>
      </c>
      <c r="F2890" t="inlineStr">
        <is>
          <t>108529-1</t>
        </is>
      </c>
      <c r="G2890" t="inlineStr">
        <is>
          <t>RE</t>
        </is>
      </c>
      <c r="H2890" s="12" t="n">
        <v>-1748.78</v>
      </c>
      <c r="I2890" s="17" t="n">
        <v>46255</v>
      </c>
      <c r="J2890" s="17" t="n">
        <v>46300</v>
      </c>
      <c r="K2890" t="inlineStr">
        <is>
          <t>Fatura - bruto QUELMAR TRANSPORTES LTDA 108529-1</t>
        </is>
      </c>
    </row>
    <row r="2891">
      <c r="A2891" t="inlineStr">
        <is>
          <t>100883</t>
        </is>
      </c>
      <c r="B2891" t="inlineStr">
        <is>
          <t>QUELMAR TRANSPORTES LTDA</t>
        </is>
      </c>
      <c r="C2891" t="n">
        <v>2111000000</v>
      </c>
      <c r="D2891" t="inlineStr">
        <is>
          <t>Operational Suppliers (Wind Farms)</t>
        </is>
      </c>
      <c r="E2891" t="n">
        <v>5015926</v>
      </c>
      <c r="F2891" t="inlineStr">
        <is>
          <t>108534-1</t>
        </is>
      </c>
      <c r="G2891" t="inlineStr">
        <is>
          <t>RE</t>
        </is>
      </c>
      <c r="H2891" s="12" t="n">
        <v>-1748.78</v>
      </c>
      <c r="I2891" s="17" t="n">
        <v>46255</v>
      </c>
      <c r="J2891" s="17" t="n">
        <v>46300</v>
      </c>
      <c r="K2891" t="inlineStr">
        <is>
          <t>Fatura - bruto QUELMAR TRANSPORTES LTDA 108534-1</t>
        </is>
      </c>
    </row>
    <row r="2892">
      <c r="A2892" t="inlineStr">
        <is>
          <t>100883</t>
        </is>
      </c>
      <c r="B2892" t="inlineStr">
        <is>
          <t>QUELMAR TRANSPORTES LTDA</t>
        </is>
      </c>
      <c r="C2892" t="n">
        <v>2111000000</v>
      </c>
      <c r="D2892" t="inlineStr">
        <is>
          <t>Operational Suppliers (Wind Farms)</t>
        </is>
      </c>
      <c r="E2892" t="n">
        <v>5015927</v>
      </c>
      <c r="F2892" t="inlineStr">
        <is>
          <t>108538-1</t>
        </is>
      </c>
      <c r="G2892" t="inlineStr">
        <is>
          <t>RE</t>
        </is>
      </c>
      <c r="H2892" s="12" t="n">
        <v>-1748.78</v>
      </c>
      <c r="I2892" s="17" t="n">
        <v>46255</v>
      </c>
      <c r="J2892" s="17" t="n">
        <v>46300</v>
      </c>
      <c r="K2892" t="inlineStr">
        <is>
          <t>Fatura - bruto QUELMAR TRANSPORTES LTDA 108538-1</t>
        </is>
      </c>
    </row>
    <row r="2893">
      <c r="A2893" t="inlineStr">
        <is>
          <t>107759</t>
        </is>
      </c>
      <c r="B2893" t="inlineStr">
        <is>
          <t>AMBAR INOVAÇÕES SPE LTDA</t>
        </is>
      </c>
      <c r="C2893" t="n">
        <v>2111000000</v>
      </c>
      <c r="D2893" t="inlineStr">
        <is>
          <t>Other Suppliers</t>
        </is>
      </c>
      <c r="E2893" t="n">
        <v>5015928</v>
      </c>
      <c r="F2893" t="inlineStr">
        <is>
          <t>18896</t>
        </is>
      </c>
      <c r="G2893" t="inlineStr">
        <is>
          <t>RE</t>
        </is>
      </c>
      <c r="H2893" s="12" t="n">
        <v>-2500</v>
      </c>
      <c r="I2893" s="17" t="n">
        <v>46254</v>
      </c>
      <c r="J2893" s="17" t="n">
        <v>46284</v>
      </c>
      <c r="K2893" t="inlineStr">
        <is>
          <t>Fatura - bruto AMBAR INOVAÇÕES SPE LTDA 18896</t>
        </is>
      </c>
    </row>
    <row r="2894">
      <c r="A2894" t="inlineStr">
        <is>
          <t>103927</t>
        </is>
      </c>
      <c r="B2894" t="inlineStr">
        <is>
          <t>MOVIDA PARTICIPACOES</t>
        </is>
      </c>
      <c r="C2894" t="n">
        <v>2111000000</v>
      </c>
      <c r="D2894" t="inlineStr">
        <is>
          <t>Other Suppliers</t>
        </is>
      </c>
      <c r="E2894" t="n">
        <v>5015929</v>
      </c>
      <c r="F2894" t="inlineStr">
        <is>
          <t>800181</t>
        </is>
      </c>
      <c r="G2894" t="inlineStr">
        <is>
          <t>RE</t>
        </is>
      </c>
      <c r="H2894" s="12" t="n">
        <v>-390734.01</v>
      </c>
      <c r="I2894" s="17" t="n">
        <v>46245</v>
      </c>
      <c r="J2894" s="17" t="n">
        <v>46275</v>
      </c>
      <c r="K2894" t="inlineStr">
        <is>
          <t>Fatura - bruto MOVIDA PARTICIPACOES 800181</t>
        </is>
      </c>
    </row>
    <row r="2895">
      <c r="A2895" t="inlineStr">
        <is>
          <t>100379</t>
        </is>
      </c>
      <c r="B2895" t="inlineStr">
        <is>
          <t>RAK LOG TRANSPORTES E LOGISTICA EIR</t>
        </is>
      </c>
      <c r="C2895" t="n">
        <v>2111000000</v>
      </c>
      <c r="D2895" t="inlineStr">
        <is>
          <t>Operational Suppliers (Wind Farms)</t>
        </is>
      </c>
      <c r="E2895" t="n">
        <v>5015930</v>
      </c>
      <c r="F2895" t="inlineStr">
        <is>
          <t>337520-1</t>
        </is>
      </c>
      <c r="G2895" t="inlineStr">
        <is>
          <t>RE</t>
        </is>
      </c>
      <c r="H2895" s="12" t="n">
        <v>-9396.26</v>
      </c>
      <c r="I2895" s="17" t="n">
        <v>46232</v>
      </c>
      <c r="J2895" s="17" t="n">
        <v>46300</v>
      </c>
      <c r="K2895" t="inlineStr">
        <is>
          <t>Fatura - bruto RAK LOG TRANSPORTES E LOGISTICA EIR</t>
        </is>
      </c>
    </row>
    <row r="2896">
      <c r="A2896" t="inlineStr">
        <is>
          <t>100379</t>
        </is>
      </c>
      <c r="B2896" t="inlineStr">
        <is>
          <t>RAK LOG TRANSPORTES E LOGISTICA EIR</t>
        </is>
      </c>
      <c r="C2896" t="n">
        <v>2111000000</v>
      </c>
      <c r="D2896" t="inlineStr">
        <is>
          <t>Operational Suppliers (Wind Farms)</t>
        </is>
      </c>
      <c r="E2896" t="n">
        <v>5015931</v>
      </c>
      <c r="F2896" t="inlineStr">
        <is>
          <t>337558-1</t>
        </is>
      </c>
      <c r="G2896" t="inlineStr">
        <is>
          <t>RE</t>
        </is>
      </c>
      <c r="H2896" s="12" t="n">
        <v>-9396.26</v>
      </c>
      <c r="I2896" s="17" t="n">
        <v>46232</v>
      </c>
      <c r="J2896" s="17" t="n">
        <v>46300</v>
      </c>
      <c r="K2896" t="inlineStr">
        <is>
          <t>Fatura - bruto RAK LOG TRANSPORTES E LOGISTICA EIR</t>
        </is>
      </c>
    </row>
    <row r="2897">
      <c r="A2897" t="inlineStr">
        <is>
          <t>100379</t>
        </is>
      </c>
      <c r="B2897" t="inlineStr">
        <is>
          <t>RAK LOG TRANSPORTES E LOGISTICA EIR</t>
        </is>
      </c>
      <c r="C2897" t="n">
        <v>2111000000</v>
      </c>
      <c r="D2897" t="inlineStr">
        <is>
          <t>Operational Suppliers (Wind Farms)</t>
        </is>
      </c>
      <c r="E2897" t="n">
        <v>5015932</v>
      </c>
      <c r="F2897" t="inlineStr">
        <is>
          <t>337658-1</t>
        </is>
      </c>
      <c r="G2897" t="inlineStr">
        <is>
          <t>RE</t>
        </is>
      </c>
      <c r="H2897" s="12" t="n">
        <v>-9396.26</v>
      </c>
      <c r="I2897" s="17" t="n">
        <v>46233</v>
      </c>
      <c r="J2897" s="17" t="n">
        <v>46300</v>
      </c>
      <c r="K2897" t="inlineStr">
        <is>
          <t>Fatura - bruto RAK LOG TRANSPORTES E LOGISTICA EIR</t>
        </is>
      </c>
    </row>
    <row r="2898">
      <c r="A2898" t="inlineStr">
        <is>
          <t>100883</t>
        </is>
      </c>
      <c r="B2898" t="inlineStr">
        <is>
          <t>QUELMAR TRANSPORTES LTDA</t>
        </is>
      </c>
      <c r="C2898" t="n">
        <v>2111000000</v>
      </c>
      <c r="D2898" t="inlineStr">
        <is>
          <t>Operational Suppliers (Wind Farms)</t>
        </is>
      </c>
      <c r="E2898" t="n">
        <v>5015933</v>
      </c>
      <c r="F2898" t="inlineStr">
        <is>
          <t>108542-1</t>
        </is>
      </c>
      <c r="G2898" t="inlineStr">
        <is>
          <t>RE</t>
        </is>
      </c>
      <c r="H2898" s="12" t="n">
        <v>-1748.78</v>
      </c>
      <c r="I2898" s="17" t="n">
        <v>46255</v>
      </c>
      <c r="J2898" s="17" t="n">
        <v>46300</v>
      </c>
      <c r="K2898" t="inlineStr">
        <is>
          <t>Fatura - bruto QUELMAR TRANSPORTES LTDA 108542-1</t>
        </is>
      </c>
    </row>
    <row r="2899">
      <c r="A2899" t="inlineStr">
        <is>
          <t>100031</t>
        </is>
      </c>
      <c r="B2899" t="inlineStr">
        <is>
          <t>MEGAWIND INDUSTRIA E COMERCIO</t>
        </is>
      </c>
      <c r="C2899" t="n">
        <v>2111000000</v>
      </c>
      <c r="D2899" t="inlineStr">
        <is>
          <t>Operational Suppliers (Wind Farms)</t>
        </is>
      </c>
      <c r="E2899" t="n">
        <v>5015934</v>
      </c>
      <c r="F2899" t="inlineStr">
        <is>
          <t>1482</t>
        </is>
      </c>
      <c r="G2899" t="inlineStr">
        <is>
          <t>RE</t>
        </is>
      </c>
      <c r="H2899" s="12" t="n">
        <v>-210000</v>
      </c>
      <c r="I2899" s="17" t="n">
        <v>46259</v>
      </c>
      <c r="J2899" s="17" t="n">
        <v>46300</v>
      </c>
      <c r="K2899" t="inlineStr">
        <is>
          <t>Fatura - bruto MEGAWIND INDUSTRIA E COMERCIO 1482</t>
        </is>
      </c>
    </row>
    <row r="2900">
      <c r="A2900" t="inlineStr">
        <is>
          <t>107644</t>
        </is>
      </c>
      <c r="B2900" t="inlineStr">
        <is>
          <t>FIRST ENGLISH SCHOOL IDIOMAS LTDA</t>
        </is>
      </c>
      <c r="C2900" t="n">
        <v>2111000000</v>
      </c>
      <c r="D2900" t="inlineStr">
        <is>
          <t>Other Suppliers</t>
        </is>
      </c>
      <c r="E2900" t="n">
        <v>5015935</v>
      </c>
      <c r="F2900" t="inlineStr">
        <is>
          <t>243</t>
        </is>
      </c>
      <c r="G2900" t="inlineStr">
        <is>
          <t>RE</t>
        </is>
      </c>
      <c r="H2900" s="12" t="n">
        <v>-3714</v>
      </c>
      <c r="I2900" s="17" t="n">
        <v>46254</v>
      </c>
      <c r="J2900" s="17" t="n">
        <v>46300</v>
      </c>
      <c r="K2900" t="inlineStr">
        <is>
          <t>Fatura - bruto FIRST ENGLISH SCHOOL IDIOMAS LTDA 2</t>
        </is>
      </c>
    </row>
    <row r="2901">
      <c r="A2901" t="inlineStr">
        <is>
          <t>101703</t>
        </is>
      </c>
      <c r="B2901" t="inlineStr">
        <is>
          <t>ARK TEC GUARDA DE DOCUMENTOS LTDA</t>
        </is>
      </c>
      <c r="C2901" t="n">
        <v>2111000000</v>
      </c>
      <c r="D2901" t="inlineStr">
        <is>
          <t>Other Suppliers</t>
        </is>
      </c>
      <c r="E2901" t="n">
        <v>5015936</v>
      </c>
      <c r="F2901" t="inlineStr">
        <is>
          <t>559289</t>
        </is>
      </c>
      <c r="G2901" t="inlineStr">
        <is>
          <t>RE</t>
        </is>
      </c>
      <c r="H2901" s="12" t="n">
        <v>-1303.64</v>
      </c>
      <c r="I2901" s="17" t="n">
        <v>46260</v>
      </c>
      <c r="J2901" s="17" t="n">
        <v>46307</v>
      </c>
      <c r="K2901" t="inlineStr">
        <is>
          <t>Fatura - bruto ARK TEC GUARDA DE DOCUMENTOS LTDA 5</t>
        </is>
      </c>
    </row>
    <row r="2902">
      <c r="A2902" t="inlineStr">
        <is>
          <t>105984</t>
        </is>
      </c>
      <c r="B2902" t="inlineStr">
        <is>
          <t>TRADEWORKS SERVICOS DE COMERCIO EXT 04955748000107</t>
        </is>
      </c>
      <c r="C2902" t="n">
        <v>2111000000</v>
      </c>
      <c r="D2902" t="inlineStr">
        <is>
          <t>Customs Brokerage – Overall</t>
        </is>
      </c>
      <c r="E2902" t="n">
        <v>5015946</v>
      </c>
      <c r="F2902" t="inlineStr">
        <is>
          <t>93702</t>
        </is>
      </c>
      <c r="G2902" t="inlineStr">
        <is>
          <t>RE</t>
        </is>
      </c>
      <c r="H2902" s="12" t="n">
        <v>-1337.76</v>
      </c>
      <c r="I2902" s="17" t="n">
        <v>46251</v>
      </c>
      <c r="J2902" s="17" t="n">
        <v>46281</v>
      </c>
      <c r="K2902" t="inlineStr">
        <is>
          <t>Fatura - bruto TRADEWORKS SERVICOS DE COMERCIO EXT</t>
        </is>
      </c>
    </row>
    <row r="2903">
      <c r="A2903" t="inlineStr">
        <is>
          <t>105984</t>
        </is>
      </c>
      <c r="B2903" t="inlineStr">
        <is>
          <t>TRADEWORKS SERVICOS DE COMERCIO EXT 04955748000107</t>
        </is>
      </c>
      <c r="C2903" t="n">
        <v>2111000000</v>
      </c>
      <c r="D2903" t="inlineStr">
        <is>
          <t>Customs Brokerage – Overall</t>
        </is>
      </c>
      <c r="E2903" t="n">
        <v>5015947</v>
      </c>
      <c r="F2903" t="inlineStr">
        <is>
          <t>93649</t>
        </is>
      </c>
      <c r="G2903" t="inlineStr">
        <is>
          <t>RE</t>
        </is>
      </c>
      <c r="H2903" s="12" t="n">
        <v>-1337.76</v>
      </c>
      <c r="I2903" s="17" t="n">
        <v>46247</v>
      </c>
      <c r="J2903" s="17" t="n">
        <v>46277</v>
      </c>
      <c r="K2903" t="inlineStr">
        <is>
          <t>Fatura - bruto TRADEWORKS SERVICOS DE COMERCIO EXT</t>
        </is>
      </c>
    </row>
    <row r="2904">
      <c r="A2904" t="inlineStr">
        <is>
          <t>105984</t>
        </is>
      </c>
      <c r="B2904" t="inlineStr">
        <is>
          <t>TRADEWORKS SERVICOS DE COMERCIO EXT 04955748000107</t>
        </is>
      </c>
      <c r="C2904" t="n">
        <v>2111000000</v>
      </c>
      <c r="D2904" t="inlineStr">
        <is>
          <t>Customs Brokerage – Overall</t>
        </is>
      </c>
      <c r="E2904" t="n">
        <v>5015948</v>
      </c>
      <c r="F2904" t="inlineStr">
        <is>
          <t>93839</t>
        </is>
      </c>
      <c r="G2904" t="inlineStr">
        <is>
          <t>RE</t>
        </is>
      </c>
      <c r="H2904" s="12" t="n">
        <v>-1337.76</v>
      </c>
      <c r="I2904" s="17" t="n">
        <v>46258</v>
      </c>
      <c r="J2904" s="17" t="n">
        <v>46288</v>
      </c>
      <c r="K2904" t="inlineStr">
        <is>
          <t>Fatura - bruto TRADEWORKS SERVICOS DE COMERCIO EXT</t>
        </is>
      </c>
    </row>
    <row r="2905">
      <c r="A2905" t="inlineStr">
        <is>
          <t>105984</t>
        </is>
      </c>
      <c r="B2905" t="inlineStr">
        <is>
          <t>TRADEWORKS SERVICOS DE COMERCIO EXT 04955748000107</t>
        </is>
      </c>
      <c r="C2905" t="n">
        <v>2111000000</v>
      </c>
      <c r="D2905" t="inlineStr">
        <is>
          <t>Customs Brokerage – Overall</t>
        </is>
      </c>
      <c r="E2905" t="n">
        <v>5015949</v>
      </c>
      <c r="F2905" t="inlineStr">
        <is>
          <t>93638</t>
        </is>
      </c>
      <c r="G2905" t="inlineStr">
        <is>
          <t>RE</t>
        </is>
      </c>
      <c r="H2905" s="12" t="n">
        <v>-1337.76</v>
      </c>
      <c r="I2905" s="17" t="n">
        <v>46247</v>
      </c>
      <c r="J2905" s="17" t="n">
        <v>46277</v>
      </c>
      <c r="K2905" t="inlineStr">
        <is>
          <t>Fatura - bruto TRADEWORKS SERVICOS DE COMERCIO EXT</t>
        </is>
      </c>
    </row>
    <row r="2906">
      <c r="A2906" t="inlineStr">
        <is>
          <t>105984</t>
        </is>
      </c>
      <c r="B2906" t="inlineStr">
        <is>
          <t>TRADEWORKS SERVICOS DE COMERCIO EXT 04955748000107</t>
        </is>
      </c>
      <c r="C2906" t="n">
        <v>2111000000</v>
      </c>
      <c r="D2906" t="inlineStr">
        <is>
          <t>Customs Brokerage – Overall</t>
        </is>
      </c>
      <c r="E2906" t="n">
        <v>5015950</v>
      </c>
      <c r="F2906" t="inlineStr">
        <is>
          <t>93729</t>
        </is>
      </c>
      <c r="G2906" t="inlineStr">
        <is>
          <t>RE</t>
        </is>
      </c>
      <c r="H2906" s="12" t="n">
        <v>-1337.76</v>
      </c>
      <c r="I2906" s="17" t="n">
        <v>46252</v>
      </c>
      <c r="J2906" s="17" t="n">
        <v>46282</v>
      </c>
      <c r="K2906" t="inlineStr">
        <is>
          <t>Fatura - bruto TRADEWORKS SERVICOS DE COMERCIO EXT</t>
        </is>
      </c>
    </row>
    <row r="2907">
      <c r="A2907" t="inlineStr">
        <is>
          <t>102074</t>
        </is>
      </c>
      <c r="B2907" t="inlineStr">
        <is>
          <t>TAGUS TEC SERVIÇOS TECNOLOGIA LTDA</t>
        </is>
      </c>
      <c r="C2907" t="n">
        <v>2111000000</v>
      </c>
      <c r="D2907" t="inlineStr">
        <is>
          <t>Other Suppliers</t>
        </is>
      </c>
      <c r="E2907" t="n">
        <v>5015951</v>
      </c>
      <c r="F2907" t="inlineStr">
        <is>
          <t>844099</t>
        </is>
      </c>
      <c r="G2907" t="inlineStr">
        <is>
          <t>RE</t>
        </is>
      </c>
      <c r="H2907" s="12" t="n">
        <v>-250.4</v>
      </c>
      <c r="I2907" s="17" t="n">
        <v>46235</v>
      </c>
      <c r="J2907" s="17" t="n">
        <v>46294</v>
      </c>
      <c r="K2907" t="inlineStr">
        <is>
          <t>Fatura - bruto TAGUS TEC SERVIÇOS TECNOLOGIA LTDA</t>
        </is>
      </c>
    </row>
    <row r="2908">
      <c r="A2908" t="inlineStr">
        <is>
          <t>101683</t>
        </is>
      </c>
      <c r="B2908" t="inlineStr">
        <is>
          <t>TF DANTAS</t>
        </is>
      </c>
      <c r="C2908" t="n">
        <v>2111000000</v>
      </c>
      <c r="D2908" t="inlineStr">
        <is>
          <t>Other Suppliers</t>
        </is>
      </c>
      <c r="E2908" t="n">
        <v>5015952</v>
      </c>
      <c r="F2908" t="inlineStr">
        <is>
          <t>87</t>
        </is>
      </c>
      <c r="G2908" t="inlineStr">
        <is>
          <t>RE</t>
        </is>
      </c>
      <c r="H2908" s="12" t="n">
        <v>-9360</v>
      </c>
      <c r="I2908" s="17" t="n">
        <v>46240</v>
      </c>
      <c r="J2908" s="17" t="n">
        <v>46270</v>
      </c>
      <c r="K2908" t="inlineStr">
        <is>
          <t>Fatura - bruto TF DANTAS 87</t>
        </is>
      </c>
    </row>
    <row r="2909">
      <c r="A2909" t="inlineStr">
        <is>
          <t>101156</t>
        </is>
      </c>
      <c r="B2909" t="inlineStr">
        <is>
          <t>TEKHELIUS PRESTAÇÃO DE SERVIÇOS LTD 37245993000171</t>
        </is>
      </c>
      <c r="C2909" t="n">
        <v>2111000000</v>
      </c>
      <c r="D2909" t="inlineStr">
        <is>
          <t>Operational Suppliers (Wind Farms)</t>
        </is>
      </c>
      <c r="E2909" t="n">
        <v>5015953</v>
      </c>
      <c r="F2909" t="inlineStr">
        <is>
          <t>10</t>
        </is>
      </c>
      <c r="G2909" t="inlineStr">
        <is>
          <t>RE</t>
        </is>
      </c>
      <c r="H2909" s="12" t="n">
        <v>-169184.81</v>
      </c>
      <c r="I2909" s="17" t="n">
        <v>46223</v>
      </c>
      <c r="J2909" s="17" t="n">
        <v>46270</v>
      </c>
      <c r="K2909" t="inlineStr">
        <is>
          <t>Fatura - bruto TEKHELIUS PRESTAÇÃO DE SERVIÇOS LTD</t>
        </is>
      </c>
    </row>
    <row r="2910">
      <c r="A2910" t="inlineStr">
        <is>
          <t>101887</t>
        </is>
      </c>
      <c r="B2910" t="inlineStr">
        <is>
          <t>MGO DE FREITAS</t>
        </is>
      </c>
      <c r="C2910" t="n">
        <v>2111000000</v>
      </c>
      <c r="D2910" t="inlineStr">
        <is>
          <t>Other Suppliers</t>
        </is>
      </c>
      <c r="E2910" t="n">
        <v>5015954</v>
      </c>
      <c r="F2910" t="inlineStr">
        <is>
          <t>1410</t>
        </is>
      </c>
      <c r="G2910" t="inlineStr">
        <is>
          <t>RE</t>
        </is>
      </c>
      <c r="H2910" s="12" t="n">
        <v>-12189.79</v>
      </c>
      <c r="I2910" s="17" t="n">
        <v>46237</v>
      </c>
      <c r="J2910" s="17" t="n">
        <v>46270</v>
      </c>
      <c r="K2910" t="inlineStr">
        <is>
          <t>Fatura - bruto MGO DE FREITAS 1410</t>
        </is>
      </c>
    </row>
    <row r="2911">
      <c r="A2911" t="inlineStr">
        <is>
          <t>101214</t>
        </is>
      </c>
      <c r="B2911" t="inlineStr">
        <is>
          <t>PROTENDIDOS DYWIDAG LIMITADA</t>
        </is>
      </c>
      <c r="C2911" t="n">
        <v>2111000000</v>
      </c>
      <c r="D2911" t="inlineStr">
        <is>
          <t>Operational Suppliers (Wind Farms)</t>
        </is>
      </c>
      <c r="E2911" t="n">
        <v>5015955</v>
      </c>
      <c r="F2911" t="inlineStr">
        <is>
          <t>1499</t>
        </is>
      </c>
      <c r="G2911" t="inlineStr">
        <is>
          <t>RE</t>
        </is>
      </c>
      <c r="H2911" s="12" t="n">
        <v>-139789.52</v>
      </c>
      <c r="I2911" s="17" t="n">
        <v>46232</v>
      </c>
      <c r="J2911" s="17" t="n">
        <v>46270</v>
      </c>
      <c r="K2911" t="inlineStr">
        <is>
          <t>Fatura - bruto PROTENDIDOS DYWIDAG LIMITADA 1499</t>
        </is>
      </c>
    </row>
    <row r="2912">
      <c r="A2912" t="inlineStr">
        <is>
          <t>100008</t>
        </is>
      </c>
      <c r="B2912" t="inlineStr">
        <is>
          <t>DB3 SERVICOS DE TELECOMUNICACOES SA</t>
        </is>
      </c>
      <c r="C2912" t="n">
        <v>2111000000</v>
      </c>
      <c r="D2912" t="inlineStr">
        <is>
          <t>Other Suppliers</t>
        </is>
      </c>
      <c r="E2912" t="n">
        <v>5015956</v>
      </c>
      <c r="F2912" t="inlineStr">
        <is>
          <t>1827134-2</t>
        </is>
      </c>
      <c r="G2912" t="inlineStr">
        <is>
          <t>RE</t>
        </is>
      </c>
      <c r="H2912" s="12" t="n">
        <v>-1576.95</v>
      </c>
      <c r="I2912" s="17" t="n">
        <v>46241</v>
      </c>
      <c r="J2912" s="17" t="n">
        <v>46259</v>
      </c>
      <c r="K2912" t="inlineStr">
        <is>
          <t>*65590000020766850000700241651009415490000157695</t>
        </is>
      </c>
    </row>
    <row r="2913">
      <c r="A2913" t="inlineStr">
        <is>
          <t>102473</t>
        </is>
      </c>
      <c r="B2913" t="inlineStr">
        <is>
          <t>AMBIENTESEE COMERCIO E SERVICOS LTD 19246312000108</t>
        </is>
      </c>
      <c r="C2913" t="n">
        <v>2111000000</v>
      </c>
      <c r="D2913" t="inlineStr">
        <is>
          <t>Consumables Suppliers</t>
        </is>
      </c>
      <c r="E2913" t="n">
        <v>5015957</v>
      </c>
      <c r="F2913" t="inlineStr">
        <is>
          <t>68357313-890</t>
        </is>
      </c>
      <c r="G2913" t="inlineStr">
        <is>
          <t>RE</t>
        </is>
      </c>
      <c r="H2913" s="12" t="n">
        <v>-6000</v>
      </c>
      <c r="I2913" s="17" t="n">
        <v>46239</v>
      </c>
      <c r="J2913" s="17" t="n">
        <v>46269</v>
      </c>
      <c r="K2913" t="inlineStr">
        <is>
          <t>Fatura - bruto AMBIENTESEE COMERCIO E SERVICOS LTD</t>
        </is>
      </c>
    </row>
    <row r="2914">
      <c r="A2914" t="inlineStr">
        <is>
          <t>100883</t>
        </is>
      </c>
      <c r="B2914" t="inlineStr">
        <is>
          <t>QUELMAR TRANSPORTES LTDA</t>
        </is>
      </c>
      <c r="C2914" t="n">
        <v>2111000000</v>
      </c>
      <c r="D2914" t="inlineStr">
        <is>
          <t>Operational Suppliers (Wind Farms)</t>
        </is>
      </c>
      <c r="E2914" t="n">
        <v>5015958</v>
      </c>
      <c r="F2914" t="inlineStr">
        <is>
          <t>108569-1</t>
        </is>
      </c>
      <c r="G2914" t="inlineStr">
        <is>
          <t>RE</t>
        </is>
      </c>
      <c r="H2914" s="12" t="n">
        <v>-1940.52</v>
      </c>
      <c r="I2914" s="17" t="n">
        <v>46255</v>
      </c>
      <c r="J2914" s="17" t="n">
        <v>46300</v>
      </c>
      <c r="K2914" t="inlineStr">
        <is>
          <t>Fatura - bruto QUELMAR TRANSPORTES LTDA 108569-1</t>
        </is>
      </c>
    </row>
    <row r="2915">
      <c r="A2915" t="inlineStr">
        <is>
          <t>100883</t>
        </is>
      </c>
      <c r="B2915" t="inlineStr">
        <is>
          <t>QUELMAR TRANSPORTES LTDA</t>
        </is>
      </c>
      <c r="C2915" t="n">
        <v>2111000000</v>
      </c>
      <c r="D2915" t="inlineStr">
        <is>
          <t>Operational Suppliers (Wind Farms)</t>
        </is>
      </c>
      <c r="E2915" t="n">
        <v>5015959</v>
      </c>
      <c r="F2915" t="inlineStr">
        <is>
          <t>108570-1</t>
        </is>
      </c>
      <c r="G2915" t="inlineStr">
        <is>
          <t>RE</t>
        </is>
      </c>
      <c r="H2915" s="12" t="n">
        <v>-1747.33</v>
      </c>
      <c r="I2915" s="17" t="n">
        <v>46255</v>
      </c>
      <c r="J2915" s="17" t="n">
        <v>46300</v>
      </c>
      <c r="K2915" t="inlineStr">
        <is>
          <t>Fatura - bruto QUELMAR TRANSPORTES LTDA 108570-1</t>
        </is>
      </c>
    </row>
    <row r="2916">
      <c r="A2916" t="inlineStr">
        <is>
          <t>100883</t>
        </is>
      </c>
      <c r="B2916" t="inlineStr">
        <is>
          <t>QUELMAR TRANSPORTES LTDA</t>
        </is>
      </c>
      <c r="C2916" t="n">
        <v>2111000000</v>
      </c>
      <c r="D2916" t="inlineStr">
        <is>
          <t>Operational Suppliers (Wind Farms)</t>
        </is>
      </c>
      <c r="E2916" t="n">
        <v>5015960</v>
      </c>
      <c r="F2916" t="inlineStr">
        <is>
          <t>108571-1</t>
        </is>
      </c>
      <c r="G2916" t="inlineStr">
        <is>
          <t>RE</t>
        </is>
      </c>
      <c r="H2916" s="12" t="n">
        <v>-2491.06</v>
      </c>
      <c r="I2916" s="17" t="n">
        <v>46255</v>
      </c>
      <c r="J2916" s="17" t="n">
        <v>46300</v>
      </c>
      <c r="K2916" t="inlineStr">
        <is>
          <t>Fatura - bruto QUELMAR TRANSPORTES LTDA 108571-1</t>
        </is>
      </c>
    </row>
    <row r="2917">
      <c r="A2917" t="inlineStr">
        <is>
          <t>100883</t>
        </is>
      </c>
      <c r="B2917" t="inlineStr">
        <is>
          <t>QUELMAR TRANSPORTES LTDA</t>
        </is>
      </c>
      <c r="C2917" t="n">
        <v>2111000000</v>
      </c>
      <c r="D2917" t="inlineStr">
        <is>
          <t>Operational Suppliers (Wind Farms)</t>
        </is>
      </c>
      <c r="E2917" t="n">
        <v>5015961</v>
      </c>
      <c r="F2917" t="inlineStr">
        <is>
          <t>108572-1</t>
        </is>
      </c>
      <c r="G2917" t="inlineStr">
        <is>
          <t>RE</t>
        </is>
      </c>
      <c r="H2917" s="12" t="n">
        <v>-2683.72</v>
      </c>
      <c r="I2917" s="17" t="n">
        <v>46255</v>
      </c>
      <c r="J2917" s="17" t="n">
        <v>46300</v>
      </c>
      <c r="K2917" t="inlineStr">
        <is>
          <t>Fatura - bruto QUELMAR TRANSPORTES LTDA 108572-1</t>
        </is>
      </c>
    </row>
    <row r="2918">
      <c r="A2918" t="inlineStr">
        <is>
          <t>100883</t>
        </is>
      </c>
      <c r="B2918" t="inlineStr">
        <is>
          <t>QUELMAR TRANSPORTES LTDA</t>
        </is>
      </c>
      <c r="C2918" t="n">
        <v>2111000000</v>
      </c>
      <c r="D2918" t="inlineStr">
        <is>
          <t>Operational Suppliers (Wind Farms)</t>
        </is>
      </c>
      <c r="E2918" t="n">
        <v>5015962</v>
      </c>
      <c r="F2918" t="inlineStr">
        <is>
          <t>108573-1</t>
        </is>
      </c>
      <c r="G2918" t="inlineStr">
        <is>
          <t>RE</t>
        </is>
      </c>
      <c r="H2918" s="12" t="n">
        <v>-1017.03</v>
      </c>
      <c r="I2918" s="17" t="n">
        <v>46255</v>
      </c>
      <c r="J2918" s="17" t="n">
        <v>46300</v>
      </c>
      <c r="K2918" t="inlineStr">
        <is>
          <t>Fatura - bruto QUELMAR TRANSPORTES LTDA 108573-1</t>
        </is>
      </c>
    </row>
    <row r="2919">
      <c r="A2919" t="inlineStr">
        <is>
          <t>100883</t>
        </is>
      </c>
      <c r="B2919" t="inlineStr">
        <is>
          <t>QUELMAR TRANSPORTES LTDA</t>
        </is>
      </c>
      <c r="C2919" t="n">
        <v>2111000000</v>
      </c>
      <c r="D2919" t="inlineStr">
        <is>
          <t>Operational Suppliers (Wind Farms)</t>
        </is>
      </c>
      <c r="E2919" t="n">
        <v>5015963</v>
      </c>
      <c r="F2919" t="inlineStr">
        <is>
          <t>108574-1</t>
        </is>
      </c>
      <c r="G2919" t="inlineStr">
        <is>
          <t>RE</t>
        </is>
      </c>
      <c r="H2919" s="12" t="n">
        <v>-1693.56</v>
      </c>
      <c r="I2919" s="17" t="n">
        <v>46255</v>
      </c>
      <c r="J2919" s="17" t="n">
        <v>46300</v>
      </c>
      <c r="K2919" t="inlineStr">
        <is>
          <t>Fatura - bruto QUELMAR TRANSPORTES LTDA 108574-1</t>
        </is>
      </c>
    </row>
    <row r="2920">
      <c r="A2920" t="inlineStr">
        <is>
          <t>100883</t>
        </is>
      </c>
      <c r="B2920" t="inlineStr">
        <is>
          <t>QUELMAR TRANSPORTES LTDA</t>
        </is>
      </c>
      <c r="C2920" t="n">
        <v>2111000000</v>
      </c>
      <c r="D2920" t="inlineStr">
        <is>
          <t>Operational Suppliers (Wind Farms)</t>
        </is>
      </c>
      <c r="E2920" t="n">
        <v>5015964</v>
      </c>
      <c r="F2920" t="inlineStr">
        <is>
          <t>108575-1</t>
        </is>
      </c>
      <c r="G2920" t="inlineStr">
        <is>
          <t>RE</t>
        </is>
      </c>
      <c r="H2920" s="12" t="n">
        <v>-1303.78</v>
      </c>
      <c r="I2920" s="17" t="n">
        <v>46255</v>
      </c>
      <c r="J2920" s="17" t="n">
        <v>46300</v>
      </c>
      <c r="K2920" t="inlineStr">
        <is>
          <t>Fatura - bruto QUELMAR TRANSPORTES LTDA 108575-1</t>
        </is>
      </c>
    </row>
    <row r="2921">
      <c r="A2921" t="inlineStr">
        <is>
          <t>101420</t>
        </is>
      </c>
      <c r="B2921" t="inlineStr">
        <is>
          <t>MEDEIROS GALVAO SOLUÇÕES LTDA</t>
        </is>
      </c>
      <c r="C2921" t="n">
        <v>2111000000</v>
      </c>
      <c r="D2921" t="inlineStr">
        <is>
          <t>Customs Brokerage – Overall</t>
        </is>
      </c>
      <c r="E2921" t="n">
        <v>5015965</v>
      </c>
      <c r="F2921" t="inlineStr">
        <is>
          <t>000030155-2</t>
        </is>
      </c>
      <c r="G2921" t="inlineStr">
        <is>
          <t>RE</t>
        </is>
      </c>
      <c r="H2921" s="12" t="n">
        <v>-38935.61</v>
      </c>
      <c r="I2921" s="17" t="n">
        <v>46232</v>
      </c>
      <c r="J2921" s="17" t="n">
        <v>46270</v>
      </c>
      <c r="K2921" t="inlineStr">
        <is>
          <t>Fatura - bruto MEDEIROS GALVAO SOLUÇÕES LTDA 00003</t>
        </is>
      </c>
    </row>
    <row r="2922">
      <c r="A2922" t="inlineStr">
        <is>
          <t>101420</t>
        </is>
      </c>
      <c r="B2922" t="inlineStr">
        <is>
          <t>MEDEIROS GALVAO SOLUÇÕES LTDA</t>
        </is>
      </c>
      <c r="C2922" t="n">
        <v>2111000000</v>
      </c>
      <c r="D2922" t="inlineStr">
        <is>
          <t>Customs Brokerage – Overall</t>
        </is>
      </c>
      <c r="E2922" t="n">
        <v>5015966</v>
      </c>
      <c r="F2922" t="inlineStr">
        <is>
          <t>000030365-2</t>
        </is>
      </c>
      <c r="G2922" t="inlineStr">
        <is>
          <t>RE</t>
        </is>
      </c>
      <c r="H2922" s="12" t="n">
        <v>-1236.72</v>
      </c>
      <c r="I2922" s="17" t="n">
        <v>46241</v>
      </c>
      <c r="J2922" s="17" t="n">
        <v>46270</v>
      </c>
      <c r="K2922" t="inlineStr">
        <is>
          <t>Fatura - bruto MEDEIROS GALVAO SOLUÇÕES LTDA 00003</t>
        </is>
      </c>
    </row>
    <row r="2923">
      <c r="A2923" t="inlineStr">
        <is>
          <t>101420</t>
        </is>
      </c>
      <c r="B2923" t="inlineStr">
        <is>
          <t>MEDEIROS GALVAO SOLUÇÕES LTDA</t>
        </is>
      </c>
      <c r="C2923" t="n">
        <v>2111000000</v>
      </c>
      <c r="D2923" t="inlineStr">
        <is>
          <t>Customs Brokerage – Overall</t>
        </is>
      </c>
      <c r="E2923" t="n">
        <v>5015967</v>
      </c>
      <c r="F2923" t="inlineStr">
        <is>
          <t>000030368-2</t>
        </is>
      </c>
      <c r="G2923" t="inlineStr">
        <is>
          <t>RE</t>
        </is>
      </c>
      <c r="H2923" s="12" t="n">
        <v>-51.92</v>
      </c>
      <c r="I2923" s="17" t="n">
        <v>46241</v>
      </c>
      <c r="J2923" s="17" t="n">
        <v>46270</v>
      </c>
      <c r="K2923" t="inlineStr">
        <is>
          <t>Fatura - bruto MEDEIROS GALVAO SOLUÇÕES LTDA 00003</t>
        </is>
      </c>
    </row>
    <row r="2924">
      <c r="A2924" t="inlineStr">
        <is>
          <t>100883</t>
        </is>
      </c>
      <c r="B2924" t="inlineStr">
        <is>
          <t>QUELMAR TRANSPORTES LTDA</t>
        </is>
      </c>
      <c r="C2924" t="n">
        <v>2111000000</v>
      </c>
      <c r="D2924" t="inlineStr">
        <is>
          <t>Operational Suppliers (Wind Farms)</t>
        </is>
      </c>
      <c r="E2924" t="n">
        <v>5015968</v>
      </c>
      <c r="F2924" t="inlineStr">
        <is>
          <t>108510-1</t>
        </is>
      </c>
      <c r="G2924" t="inlineStr">
        <is>
          <t>RE</t>
        </is>
      </c>
      <c r="H2924" s="12" t="n">
        <v>-1748.78</v>
      </c>
      <c r="I2924" s="17" t="n">
        <v>46255</v>
      </c>
      <c r="J2924" s="17" t="n">
        <v>46300</v>
      </c>
      <c r="K2924" t="inlineStr">
        <is>
          <t>Fatura - bruto QUELMAR TRANSPORTES LTDA 108510-1</t>
        </is>
      </c>
    </row>
    <row r="2925">
      <c r="A2925" t="inlineStr">
        <is>
          <t>101420</t>
        </is>
      </c>
      <c r="B2925" t="inlineStr">
        <is>
          <t>MEDEIROS GALVAO SOLUÇÕES LTDA</t>
        </is>
      </c>
      <c r="C2925" t="n">
        <v>2111000000</v>
      </c>
      <c r="D2925" t="inlineStr">
        <is>
          <t>Customs Brokerage – Overall</t>
        </is>
      </c>
      <c r="E2925" t="n">
        <v>5015969</v>
      </c>
      <c r="F2925" t="inlineStr">
        <is>
          <t>000030371-2</t>
        </is>
      </c>
      <c r="G2925" t="inlineStr">
        <is>
          <t>RE</t>
        </is>
      </c>
      <c r="H2925" s="12" t="n">
        <v>-64.64</v>
      </c>
      <c r="I2925" s="17" t="n">
        <v>46241</v>
      </c>
      <c r="J2925" s="17" t="n">
        <v>46270</v>
      </c>
      <c r="K2925" t="inlineStr">
        <is>
          <t>Fatura - bruto MEDEIROS GALVAO SOLUÇÕES LTDA 00003</t>
        </is>
      </c>
    </row>
    <row r="2926">
      <c r="A2926" t="inlineStr">
        <is>
          <t>101420</t>
        </is>
      </c>
      <c r="B2926" t="inlineStr">
        <is>
          <t>MEDEIROS GALVAO SOLUÇÕES LTDA</t>
        </is>
      </c>
      <c r="C2926" t="n">
        <v>2111000000</v>
      </c>
      <c r="D2926" t="inlineStr">
        <is>
          <t>Customs Brokerage – Overall</t>
        </is>
      </c>
      <c r="E2926" t="n">
        <v>5015970</v>
      </c>
      <c r="F2926" t="inlineStr">
        <is>
          <t>000030374-2</t>
        </is>
      </c>
      <c r="G2926" t="inlineStr">
        <is>
          <t>RE</t>
        </is>
      </c>
      <c r="H2926" s="12" t="n">
        <v>-4761.72</v>
      </c>
      <c r="I2926" s="17" t="n">
        <v>46241</v>
      </c>
      <c r="J2926" s="17" t="n">
        <v>46270</v>
      </c>
      <c r="K2926" t="inlineStr">
        <is>
          <t>Fatura - bruto MEDEIROS GALVAO SOLUÇÕES LTDA 00003</t>
        </is>
      </c>
    </row>
    <row r="2927">
      <c r="A2927" t="inlineStr">
        <is>
          <t>101420</t>
        </is>
      </c>
      <c r="B2927" t="inlineStr">
        <is>
          <t>MEDEIROS GALVAO SOLUÇÕES LTDA</t>
        </is>
      </c>
      <c r="C2927" t="n">
        <v>2111000000</v>
      </c>
      <c r="D2927" t="inlineStr">
        <is>
          <t>Customs Brokerage – Overall</t>
        </is>
      </c>
      <c r="E2927" t="n">
        <v>5015971</v>
      </c>
      <c r="F2927" t="inlineStr">
        <is>
          <t>000030427-2</t>
        </is>
      </c>
      <c r="G2927" t="inlineStr">
        <is>
          <t>RE</t>
        </is>
      </c>
      <c r="H2927" s="12" t="n">
        <v>-5757.4</v>
      </c>
      <c r="I2927" s="17" t="n">
        <v>46244</v>
      </c>
      <c r="J2927" s="17" t="n">
        <v>46270</v>
      </c>
      <c r="K2927" t="inlineStr">
        <is>
          <t>Fatura - bruto MEDEIROS GALVAO SOLUÇÕES LTDA 00003</t>
        </is>
      </c>
    </row>
    <row r="2928">
      <c r="A2928" t="inlineStr">
        <is>
          <t>101420</t>
        </is>
      </c>
      <c r="B2928" t="inlineStr">
        <is>
          <t>MEDEIROS GALVAO SOLUÇÕES LTDA</t>
        </is>
      </c>
      <c r="C2928" t="n">
        <v>2111000000</v>
      </c>
      <c r="D2928" t="inlineStr">
        <is>
          <t>Customs Brokerage – Overall</t>
        </is>
      </c>
      <c r="E2928" t="n">
        <v>5015972</v>
      </c>
      <c r="F2928" t="inlineStr">
        <is>
          <t>000030428-2</t>
        </is>
      </c>
      <c r="G2928" t="inlineStr">
        <is>
          <t>RE</t>
        </is>
      </c>
      <c r="H2928" s="12" t="n">
        <v>-6348.96</v>
      </c>
      <c r="I2928" s="17" t="n">
        <v>46244</v>
      </c>
      <c r="J2928" s="17" t="n">
        <v>46270</v>
      </c>
      <c r="K2928" t="inlineStr">
        <is>
          <t>Fatura - bruto MEDEIROS GALVAO SOLUÇÕES LTDA 00003</t>
        </is>
      </c>
    </row>
    <row r="2929">
      <c r="A2929" t="inlineStr">
        <is>
          <t>101420</t>
        </is>
      </c>
      <c r="B2929" t="inlineStr">
        <is>
          <t>MEDEIROS GALVAO SOLUÇÕES LTDA</t>
        </is>
      </c>
      <c r="C2929" t="n">
        <v>2111000000</v>
      </c>
      <c r="D2929" t="inlineStr">
        <is>
          <t>Customs Brokerage – Overall</t>
        </is>
      </c>
      <c r="E2929" t="n">
        <v>5015973</v>
      </c>
      <c r="F2929" t="inlineStr">
        <is>
          <t>000030434-2</t>
        </is>
      </c>
      <c r="G2929" t="inlineStr">
        <is>
          <t>RE</t>
        </is>
      </c>
      <c r="H2929" s="12" t="n">
        <v>-5505.01</v>
      </c>
      <c r="I2929" s="17" t="n">
        <v>46244</v>
      </c>
      <c r="J2929" s="17" t="n">
        <v>46270</v>
      </c>
      <c r="K2929" t="inlineStr">
        <is>
          <t>Fatura - bruto MEDEIROS GALVAO SOLUÇÕES LTDA 00003</t>
        </is>
      </c>
    </row>
    <row r="2930">
      <c r="A2930" t="inlineStr">
        <is>
          <t>100883</t>
        </is>
      </c>
      <c r="B2930" t="inlineStr">
        <is>
          <t>QUELMAR TRANSPORTES LTDA</t>
        </is>
      </c>
      <c r="C2930" t="n">
        <v>2111000000</v>
      </c>
      <c r="D2930" t="inlineStr">
        <is>
          <t>Operational Suppliers (Wind Farms)</t>
        </is>
      </c>
      <c r="E2930" t="n">
        <v>5015974</v>
      </c>
      <c r="F2930" t="inlineStr">
        <is>
          <t>108511-1</t>
        </is>
      </c>
      <c r="G2930" t="inlineStr">
        <is>
          <t>RE</t>
        </is>
      </c>
      <c r="H2930" s="12" t="n">
        <v>-1748.78</v>
      </c>
      <c r="I2930" s="17" t="n">
        <v>46255</v>
      </c>
      <c r="J2930" s="17" t="n">
        <v>46300</v>
      </c>
      <c r="K2930" t="inlineStr">
        <is>
          <t>Fatura - bruto QUELMAR TRANSPORTES LTDA 108511-1</t>
        </is>
      </c>
    </row>
    <row r="2931">
      <c r="A2931" t="inlineStr">
        <is>
          <t>100883</t>
        </is>
      </c>
      <c r="B2931" t="inlineStr">
        <is>
          <t>QUELMAR TRANSPORTES LTDA</t>
        </is>
      </c>
      <c r="C2931" t="n">
        <v>2111000000</v>
      </c>
      <c r="D2931" t="inlineStr">
        <is>
          <t>Operational Suppliers (Wind Farms)</t>
        </is>
      </c>
      <c r="E2931" t="n">
        <v>5015975</v>
      </c>
      <c r="F2931" t="inlineStr">
        <is>
          <t>108514-1</t>
        </is>
      </c>
      <c r="G2931" t="inlineStr">
        <is>
          <t>RE</t>
        </is>
      </c>
      <c r="H2931" s="12" t="n">
        <v>-1748.78</v>
      </c>
      <c r="I2931" s="17" t="n">
        <v>46255</v>
      </c>
      <c r="J2931" s="17" t="n">
        <v>46300</v>
      </c>
      <c r="K2931" t="inlineStr">
        <is>
          <t>Fatura - bruto QUELMAR TRANSPORTES LTDA 108514-1</t>
        </is>
      </c>
    </row>
    <row r="2932">
      <c r="A2932" t="inlineStr">
        <is>
          <t>100883</t>
        </is>
      </c>
      <c r="B2932" t="inlineStr">
        <is>
          <t>QUELMAR TRANSPORTES LTDA</t>
        </is>
      </c>
      <c r="C2932" t="n">
        <v>2111000000</v>
      </c>
      <c r="D2932" t="inlineStr">
        <is>
          <t>Operational Suppliers (Wind Farms)</t>
        </is>
      </c>
      <c r="E2932" t="n">
        <v>5015976</v>
      </c>
      <c r="F2932" t="inlineStr">
        <is>
          <t>108515-1</t>
        </is>
      </c>
      <c r="G2932" t="inlineStr">
        <is>
          <t>RE</t>
        </is>
      </c>
      <c r="H2932" s="12" t="n">
        <v>-1748.78</v>
      </c>
      <c r="I2932" s="17" t="n">
        <v>46255</v>
      </c>
      <c r="J2932" s="17" t="n">
        <v>46300</v>
      </c>
      <c r="K2932" t="inlineStr">
        <is>
          <t>Fatura - bruto QUELMAR TRANSPORTES LTDA 108515-1</t>
        </is>
      </c>
    </row>
    <row r="2933">
      <c r="A2933" t="inlineStr">
        <is>
          <t>100883</t>
        </is>
      </c>
      <c r="B2933" t="inlineStr">
        <is>
          <t>QUELMAR TRANSPORTES LTDA</t>
        </is>
      </c>
      <c r="C2933" t="n">
        <v>2111000000</v>
      </c>
      <c r="D2933" t="inlineStr">
        <is>
          <t>Operational Suppliers (Wind Farms)</t>
        </is>
      </c>
      <c r="E2933" t="n">
        <v>5015977</v>
      </c>
      <c r="F2933" t="inlineStr">
        <is>
          <t>108532-1</t>
        </is>
      </c>
      <c r="G2933" t="inlineStr">
        <is>
          <t>RE</t>
        </is>
      </c>
      <c r="H2933" s="12" t="n">
        <v>-1748.78</v>
      </c>
      <c r="I2933" s="17" t="n">
        <v>46255</v>
      </c>
      <c r="J2933" s="17" t="n">
        <v>46300</v>
      </c>
      <c r="K2933" t="inlineStr">
        <is>
          <t>Fatura - bruto QUELMAR TRANSPORTES LTDA 108532-1</t>
        </is>
      </c>
    </row>
    <row r="2934">
      <c r="A2934" t="inlineStr">
        <is>
          <t>100883</t>
        </is>
      </c>
      <c r="B2934" t="inlineStr">
        <is>
          <t>QUELMAR TRANSPORTES LTDA</t>
        </is>
      </c>
      <c r="C2934" t="n">
        <v>2111000000</v>
      </c>
      <c r="D2934" t="inlineStr">
        <is>
          <t>Operational Suppliers (Wind Farms)</t>
        </is>
      </c>
      <c r="E2934" t="n">
        <v>5015978</v>
      </c>
      <c r="F2934" t="inlineStr">
        <is>
          <t>108564-1</t>
        </is>
      </c>
      <c r="G2934" t="inlineStr">
        <is>
          <t>RE</t>
        </is>
      </c>
      <c r="H2934" s="12" t="n">
        <v>-3009.93</v>
      </c>
      <c r="I2934" s="17" t="n">
        <v>46255</v>
      </c>
      <c r="J2934" s="17" t="n">
        <v>46300</v>
      </c>
      <c r="K2934" t="inlineStr">
        <is>
          <t>Fatura - bruto QUELMAR TRANSPORTES LTDA 108564-1</t>
        </is>
      </c>
    </row>
    <row r="2935">
      <c r="A2935" t="inlineStr">
        <is>
          <t>100883</t>
        </is>
      </c>
      <c r="B2935" t="inlineStr">
        <is>
          <t>QUELMAR TRANSPORTES LTDA</t>
        </is>
      </c>
      <c r="C2935" t="n">
        <v>2111000000</v>
      </c>
      <c r="D2935" t="inlineStr">
        <is>
          <t>Operational Suppliers (Wind Farms)</t>
        </is>
      </c>
      <c r="E2935" t="n">
        <v>5015979</v>
      </c>
      <c r="F2935" t="inlineStr">
        <is>
          <t>108565-1</t>
        </is>
      </c>
      <c r="G2935" t="inlineStr">
        <is>
          <t>RE</t>
        </is>
      </c>
      <c r="H2935" s="12" t="n">
        <v>-1906.44</v>
      </c>
      <c r="I2935" s="17" t="n">
        <v>46255</v>
      </c>
      <c r="J2935" s="17" t="n">
        <v>46300</v>
      </c>
      <c r="K2935" t="inlineStr">
        <is>
          <t>Fatura - bruto QUELMAR TRANSPORTES LTDA 108565-1</t>
        </is>
      </c>
    </row>
    <row r="2936">
      <c r="A2936" t="inlineStr">
        <is>
          <t>100883</t>
        </is>
      </c>
      <c r="B2936" t="inlineStr">
        <is>
          <t>QUELMAR TRANSPORTES LTDA</t>
        </is>
      </c>
      <c r="C2936" t="n">
        <v>2111000000</v>
      </c>
      <c r="D2936" t="inlineStr">
        <is>
          <t>Operational Suppliers (Wind Farms)</t>
        </is>
      </c>
      <c r="E2936" t="n">
        <v>5015980</v>
      </c>
      <c r="F2936" t="inlineStr">
        <is>
          <t>108566-1</t>
        </is>
      </c>
      <c r="G2936" t="inlineStr">
        <is>
          <t>RE</t>
        </is>
      </c>
      <c r="H2936" s="12" t="n">
        <v>-2311.39</v>
      </c>
      <c r="I2936" s="17" t="n">
        <v>46255</v>
      </c>
      <c r="J2936" s="17" t="n">
        <v>46300</v>
      </c>
      <c r="K2936" t="inlineStr">
        <is>
          <t>Fatura - bruto QUELMAR TRANSPORTES LTDA 108566-1</t>
        </is>
      </c>
    </row>
    <row r="2937">
      <c r="A2937" t="inlineStr">
        <is>
          <t>100883</t>
        </is>
      </c>
      <c r="B2937" t="inlineStr">
        <is>
          <t>QUELMAR TRANSPORTES LTDA</t>
        </is>
      </c>
      <c r="C2937" t="n">
        <v>2111000000</v>
      </c>
      <c r="D2937" t="inlineStr">
        <is>
          <t>Operational Suppliers (Wind Farms)</t>
        </is>
      </c>
      <c r="E2937" t="n">
        <v>5015981</v>
      </c>
      <c r="F2937" t="inlineStr">
        <is>
          <t>108567-1</t>
        </is>
      </c>
      <c r="G2937" t="inlineStr">
        <is>
          <t>RE</t>
        </is>
      </c>
      <c r="H2937" s="12" t="n">
        <v>-2242.87</v>
      </c>
      <c r="I2937" s="17" t="n">
        <v>46255</v>
      </c>
      <c r="J2937" s="17" t="n">
        <v>46300</v>
      </c>
      <c r="K2937" t="inlineStr">
        <is>
          <t>Fatura - bruto QUELMAR TRANSPORTES LTDA 108567-1</t>
        </is>
      </c>
    </row>
    <row r="2938">
      <c r="A2938" t="inlineStr">
        <is>
          <t>100883</t>
        </is>
      </c>
      <c r="B2938" t="inlineStr">
        <is>
          <t>QUELMAR TRANSPORTES LTDA</t>
        </is>
      </c>
      <c r="C2938" t="n">
        <v>2111000000</v>
      </c>
      <c r="D2938" t="inlineStr">
        <is>
          <t>Operational Suppliers (Wind Farms)</t>
        </is>
      </c>
      <c r="E2938" t="n">
        <v>5015982</v>
      </c>
      <c r="F2938" t="inlineStr">
        <is>
          <t>108568-1</t>
        </is>
      </c>
      <c r="G2938" t="inlineStr">
        <is>
          <t>RE</t>
        </is>
      </c>
      <c r="H2938" s="12" t="n">
        <v>-1850.37</v>
      </c>
      <c r="I2938" s="17" t="n">
        <v>46255</v>
      </c>
      <c r="J2938" s="17" t="n">
        <v>46300</v>
      </c>
      <c r="K2938" t="inlineStr">
        <is>
          <t>Fatura - bruto QUELMAR TRANSPORTES LTDA 108568-1</t>
        </is>
      </c>
    </row>
    <row r="2939">
      <c r="A2939" t="inlineStr">
        <is>
          <t>100883</t>
        </is>
      </c>
      <c r="B2939" t="inlineStr">
        <is>
          <t>QUELMAR TRANSPORTES LTDA</t>
        </is>
      </c>
      <c r="C2939" t="n">
        <v>2111000000</v>
      </c>
      <c r="D2939" t="inlineStr">
        <is>
          <t>Operational Suppliers (Wind Farms)</t>
        </is>
      </c>
      <c r="E2939" t="n">
        <v>5015984</v>
      </c>
      <c r="F2939" t="inlineStr">
        <is>
          <t>108521-1</t>
        </is>
      </c>
      <c r="G2939" t="inlineStr">
        <is>
          <t>RE</t>
        </is>
      </c>
      <c r="H2939" s="12" t="n">
        <v>-1748.78</v>
      </c>
      <c r="I2939" s="17" t="n">
        <v>46255</v>
      </c>
      <c r="J2939" s="17" t="n">
        <v>46300</v>
      </c>
      <c r="K2939" t="inlineStr">
        <is>
          <t>Fatura - bruto QUELMAR TRANSPORTES LTDA 108521-1</t>
        </is>
      </c>
    </row>
    <row r="2940">
      <c r="A2940" t="inlineStr">
        <is>
          <t>100883</t>
        </is>
      </c>
      <c r="B2940" t="inlineStr">
        <is>
          <t>QUELMAR TRANSPORTES LTDA</t>
        </is>
      </c>
      <c r="C2940" t="n">
        <v>2111000000</v>
      </c>
      <c r="D2940" t="inlineStr">
        <is>
          <t>Operational Suppliers (Wind Farms)</t>
        </is>
      </c>
      <c r="E2940" t="n">
        <v>5015985</v>
      </c>
      <c r="F2940" t="inlineStr">
        <is>
          <t>108536-1</t>
        </is>
      </c>
      <c r="G2940" t="inlineStr">
        <is>
          <t>RE</t>
        </is>
      </c>
      <c r="H2940" s="12" t="n">
        <v>-1748.78</v>
      </c>
      <c r="I2940" s="17" t="n">
        <v>46255</v>
      </c>
      <c r="J2940" s="17" t="n">
        <v>46300</v>
      </c>
      <c r="K2940" t="inlineStr">
        <is>
          <t>Fatura - bruto QUELMAR TRANSPORTES LTDA 108536-1</t>
        </is>
      </c>
    </row>
    <row r="2941">
      <c r="A2941" t="inlineStr">
        <is>
          <t>100883</t>
        </is>
      </c>
      <c r="B2941" t="inlineStr">
        <is>
          <t>QUELMAR TRANSPORTES LTDA</t>
        </is>
      </c>
      <c r="C2941" t="n">
        <v>2111000000</v>
      </c>
      <c r="D2941" t="inlineStr">
        <is>
          <t>Operational Suppliers (Wind Farms)</t>
        </is>
      </c>
      <c r="E2941" t="n">
        <v>5015986</v>
      </c>
      <c r="F2941" t="inlineStr">
        <is>
          <t>108540-1</t>
        </is>
      </c>
      <c r="G2941" t="inlineStr">
        <is>
          <t>RE</t>
        </is>
      </c>
      <c r="H2941" s="12" t="n">
        <v>-1748.78</v>
      </c>
      <c r="I2941" s="17" t="n">
        <v>46255</v>
      </c>
      <c r="J2941" s="17" t="n">
        <v>46300</v>
      </c>
      <c r="K2941" t="inlineStr">
        <is>
          <t>Fatura - bruto QUELMAR TRANSPORTES LTDA 108540-1</t>
        </is>
      </c>
    </row>
    <row r="2942">
      <c r="A2942" t="inlineStr">
        <is>
          <t>101801</t>
        </is>
      </c>
      <c r="B2942" t="inlineStr">
        <is>
          <t>DARCY PACHECO SOLUCOES DE PESO LTDA 89396121000108</t>
        </is>
      </c>
      <c r="C2942" t="n">
        <v>2111000000</v>
      </c>
      <c r="D2942" t="inlineStr">
        <is>
          <t>Operational Suppliers (Wind Farms)</t>
        </is>
      </c>
      <c r="E2942" t="n">
        <v>5015987</v>
      </c>
      <c r="F2942" t="inlineStr">
        <is>
          <t>8779</t>
        </is>
      </c>
      <c r="G2942" t="inlineStr">
        <is>
          <t>RE</t>
        </is>
      </c>
      <c r="H2942" s="12" t="n">
        <v>-450619.77</v>
      </c>
      <c r="I2942" s="17" t="n">
        <v>46254</v>
      </c>
      <c r="J2942" s="17" t="n">
        <v>46331</v>
      </c>
      <c r="K2942" t="inlineStr">
        <is>
          <t>Fatura - bruto DARCY PACHECO SOLUCOES DE PESO LTDA</t>
        </is>
      </c>
    </row>
    <row r="2943">
      <c r="A2943" t="inlineStr">
        <is>
          <t>102005</t>
        </is>
      </c>
      <c r="B2943" t="inlineStr">
        <is>
          <t>COMPANHIA ENERGETICA RIO G N COSERN</t>
        </is>
      </c>
      <c r="C2943" t="n">
        <v>2111000000</v>
      </c>
      <c r="D2943" t="inlineStr">
        <is>
          <t>Other Suppliers</t>
        </is>
      </c>
      <c r="E2943" t="n">
        <v>5015988</v>
      </c>
      <c r="F2943" t="inlineStr">
        <is>
          <t>164698703</t>
        </is>
      </c>
      <c r="G2943" t="inlineStr">
        <is>
          <t>RE</t>
        </is>
      </c>
      <c r="H2943" s="12" t="n">
        <v>-9620.66</v>
      </c>
      <c r="I2943" s="17" t="n">
        <v>46253</v>
      </c>
      <c r="J2943" s="17" t="n">
        <v>46262</v>
      </c>
      <c r="K2943" t="inlineStr">
        <is>
          <t>34191750828510393293685832890009115520000962066</t>
        </is>
      </c>
    </row>
    <row r="2944">
      <c r="A2944" t="inlineStr">
        <is>
          <t>102038</t>
        </is>
      </c>
      <c r="B2944" t="inlineStr">
        <is>
          <t>WHITE MARTINS GASES INDUSTRIAIS DO</t>
        </is>
      </c>
      <c r="C2944" t="n">
        <v>2111000000</v>
      </c>
      <c r="D2944" t="inlineStr">
        <is>
          <t>Other Suppliers</t>
        </is>
      </c>
      <c r="E2944" t="n">
        <v>5015989</v>
      </c>
      <c r="F2944" t="inlineStr">
        <is>
          <t>258558</t>
        </is>
      </c>
      <c r="G2944" t="inlineStr">
        <is>
          <t>RE</t>
        </is>
      </c>
      <c r="H2944" s="12" t="n">
        <v>-525.95</v>
      </c>
      <c r="I2944" s="17" t="n">
        <v>46253</v>
      </c>
      <c r="J2944" s="17" t="n">
        <v>46281</v>
      </c>
      <c r="K2944" t="inlineStr">
        <is>
          <t>Fatura - bruto WHITE MARTINS GASES INDUSTRIAIS DO</t>
        </is>
      </c>
    </row>
    <row r="2945">
      <c r="A2945" t="inlineStr">
        <is>
          <t>101494</t>
        </is>
      </c>
      <c r="B2945" t="inlineStr">
        <is>
          <t>AG SOLVE MONITORAMENTO AMBIENTAL LT</t>
        </is>
      </c>
      <c r="C2945" t="n">
        <v>2111000000</v>
      </c>
      <c r="D2945" t="inlineStr">
        <is>
          <t>Other Suppliers</t>
        </is>
      </c>
      <c r="E2945" t="n">
        <v>5015999</v>
      </c>
      <c r="F2945" t="inlineStr">
        <is>
          <t>000013916-4</t>
        </is>
      </c>
      <c r="G2945" t="inlineStr">
        <is>
          <t>RE</t>
        </is>
      </c>
      <c r="H2945" s="12" t="n">
        <v>-134225</v>
      </c>
      <c r="I2945" s="17" t="n">
        <v>46234</v>
      </c>
      <c r="J2945" s="17" t="n">
        <v>46270</v>
      </c>
      <c r="K2945" t="inlineStr">
        <is>
          <t>Fatura - bruto AG SOLVE MONITORAMENTO AMBIENTAL LT</t>
        </is>
      </c>
    </row>
    <row r="2946">
      <c r="A2946" t="inlineStr">
        <is>
          <t>100867</t>
        </is>
      </c>
      <c r="B2946" t="inlineStr">
        <is>
          <t>CSA - CASE SOLUCOES AMBIENTAIS LTDA</t>
        </is>
      </c>
      <c r="C2946" t="n">
        <v>2111000000</v>
      </c>
      <c r="D2946" t="inlineStr">
        <is>
          <t>Other Suppliers</t>
        </is>
      </c>
      <c r="E2946" t="n">
        <v>5016000</v>
      </c>
      <c r="F2946" t="inlineStr">
        <is>
          <t>361</t>
        </is>
      </c>
      <c r="G2946" t="inlineStr">
        <is>
          <t>RE</t>
        </is>
      </c>
      <c r="H2946" s="12" t="n">
        <v>-17212.88</v>
      </c>
      <c r="I2946" s="17" t="n">
        <v>46255</v>
      </c>
      <c r="J2946" s="17" t="n">
        <v>46300</v>
      </c>
      <c r="K2946" t="inlineStr">
        <is>
          <t>Fatura - bruto CSA - CASE SOLUCOES AMBIENTAIS LTDA</t>
        </is>
      </c>
    </row>
    <row r="2947">
      <c r="A2947" t="inlineStr">
        <is>
          <t>102038</t>
        </is>
      </c>
      <c r="B2947" t="inlineStr">
        <is>
          <t>WHITE MARTINS GASES INDUSTRIAIS DO</t>
        </is>
      </c>
      <c r="C2947" t="n">
        <v>2111000000</v>
      </c>
      <c r="D2947" t="inlineStr">
        <is>
          <t>Other Suppliers</t>
        </is>
      </c>
      <c r="E2947" t="n">
        <v>5016001</v>
      </c>
      <c r="F2947" t="inlineStr">
        <is>
          <t>257496</t>
        </is>
      </c>
      <c r="G2947" t="inlineStr">
        <is>
          <t>RE</t>
        </is>
      </c>
      <c r="H2947" s="12" t="n">
        <v>-1051.9</v>
      </c>
      <c r="I2947" s="17" t="n">
        <v>46253</v>
      </c>
      <c r="J2947" s="17" t="n">
        <v>46281</v>
      </c>
      <c r="K2947" t="inlineStr">
        <is>
          <t>Fatura - bruto WHITE MARTINS GASES INDUSTRIAIS DO</t>
        </is>
      </c>
    </row>
    <row r="2948">
      <c r="A2948" t="inlineStr">
        <is>
          <t>101420</t>
        </is>
      </c>
      <c r="B2948" t="inlineStr">
        <is>
          <t>MEDEIROS GALVAO SOLUÇÕES LTDA</t>
        </is>
      </c>
      <c r="C2948" t="n">
        <v>2111000000</v>
      </c>
      <c r="D2948" t="inlineStr">
        <is>
          <t>Customs Brokerage – Overall</t>
        </is>
      </c>
      <c r="E2948" t="n">
        <v>5016002</v>
      </c>
      <c r="F2948" t="inlineStr">
        <is>
          <t>000030384-2</t>
        </is>
      </c>
      <c r="G2948" t="inlineStr">
        <is>
          <t>RE</t>
        </is>
      </c>
      <c r="H2948" s="12" t="n">
        <v>-2724.66</v>
      </c>
      <c r="I2948" s="17" t="n">
        <v>46244</v>
      </c>
      <c r="J2948" s="17" t="n">
        <v>46270</v>
      </c>
      <c r="K2948" t="inlineStr">
        <is>
          <t>Fatura - bruto MEDEIROS GALVAO SOLUÇÕES LTDA 00003</t>
        </is>
      </c>
    </row>
    <row r="2949">
      <c r="A2949" t="inlineStr">
        <is>
          <t>101540</t>
        </is>
      </c>
      <c r="B2949" t="inlineStr">
        <is>
          <t>RICOH PY EQUIPAMENTOS DE INFORMATIC</t>
        </is>
      </c>
      <c r="C2949" t="n">
        <v>2111000000</v>
      </c>
      <c r="D2949" t="inlineStr">
        <is>
          <t>Other Suppliers</t>
        </is>
      </c>
      <c r="E2949" t="n">
        <v>5016003</v>
      </c>
      <c r="F2949" t="inlineStr">
        <is>
          <t>15160</t>
        </is>
      </c>
      <c r="G2949" t="inlineStr">
        <is>
          <t>RE</t>
        </is>
      </c>
      <c r="H2949" s="12" t="n">
        <v>-1204.36</v>
      </c>
      <c r="I2949" s="17" t="n">
        <v>46260</v>
      </c>
      <c r="J2949" s="17" t="n">
        <v>46283</v>
      </c>
      <c r="K2949" t="inlineStr">
        <is>
          <t>Fatura - bruto RICOH PY EQUIPAMENTOS DE INFORMATIC</t>
        </is>
      </c>
    </row>
    <row r="2950">
      <c r="A2950" t="inlineStr">
        <is>
          <t>101463</t>
        </is>
      </c>
      <c r="B2950" t="inlineStr">
        <is>
          <t>ZURICH MINAS BRASIL SEGUROS S A</t>
        </is>
      </c>
      <c r="C2950" t="n">
        <v>2111000000</v>
      </c>
      <c r="D2950" t="inlineStr">
        <is>
          <t>Insurance</t>
        </is>
      </c>
      <c r="E2950" t="n">
        <v>5016005</v>
      </c>
      <c r="F2950" t="inlineStr">
        <is>
          <t>0521/26</t>
        </is>
      </c>
      <c r="G2950" t="inlineStr">
        <is>
          <t>RE</t>
        </is>
      </c>
      <c r="H2950" s="12" t="n">
        <v>-127.57</v>
      </c>
      <c r="I2950" s="17" t="n">
        <v>46261</v>
      </c>
      <c r="J2950" s="17" t="n">
        <v>46291</v>
      </c>
      <c r="K2950" t="inlineStr">
        <is>
          <t>Invoice Payment. SP: 22038</t>
        </is>
      </c>
    </row>
    <row r="2951">
      <c r="A2951" t="inlineStr">
        <is>
          <t>101463</t>
        </is>
      </c>
      <c r="B2951" t="inlineStr">
        <is>
          <t>ZURICH MINAS BRASIL SEGUROS S A</t>
        </is>
      </c>
      <c r="C2951" t="n">
        <v>2111000000</v>
      </c>
      <c r="D2951" t="inlineStr">
        <is>
          <t>Insurance</t>
        </is>
      </c>
      <c r="E2951" t="n">
        <v>5016007</v>
      </c>
      <c r="F2951" t="inlineStr">
        <is>
          <t>0381/26</t>
        </is>
      </c>
      <c r="G2951" t="inlineStr">
        <is>
          <t>RE</t>
        </is>
      </c>
      <c r="H2951" s="12" t="n">
        <v>-5.13</v>
      </c>
      <c r="I2951" s="17" t="n">
        <v>46261</v>
      </c>
      <c r="J2951" s="17" t="n">
        <v>46291</v>
      </c>
      <c r="K2951" t="inlineStr">
        <is>
          <t>Invoice Payment. SP: 22040</t>
        </is>
      </c>
    </row>
    <row r="2952">
      <c r="A2952" t="inlineStr">
        <is>
          <t>101420</t>
        </is>
      </c>
      <c r="B2952" t="inlineStr">
        <is>
          <t>MEDEIROS GALVAO SOLUÇÕES LTDA</t>
        </is>
      </c>
      <c r="C2952" t="n">
        <v>2111000000</v>
      </c>
      <c r="D2952" t="inlineStr">
        <is>
          <t>Customs Brokerage – Overall</t>
        </is>
      </c>
      <c r="E2952" t="n">
        <v>5016008</v>
      </c>
      <c r="F2952" t="inlineStr">
        <is>
          <t>30278-2</t>
        </is>
      </c>
      <c r="G2952" t="inlineStr">
        <is>
          <t>RE</t>
        </is>
      </c>
      <c r="H2952" s="12" t="n">
        <v>-8758.73</v>
      </c>
      <c r="I2952" s="17" t="n">
        <v>46237</v>
      </c>
      <c r="J2952" s="17" t="n">
        <v>46270</v>
      </c>
      <c r="K2952" t="inlineStr">
        <is>
          <t>Fatura - bruto MEDEIROS GALVAO SOLUÇÕES LTDA 30278</t>
        </is>
      </c>
    </row>
    <row r="2953">
      <c r="A2953" t="inlineStr">
        <is>
          <t>101420</t>
        </is>
      </c>
      <c r="B2953" t="inlineStr">
        <is>
          <t>MEDEIROS GALVAO SOLUÇÕES LTDA</t>
        </is>
      </c>
      <c r="C2953" t="n">
        <v>2111000000</v>
      </c>
      <c r="D2953" t="inlineStr">
        <is>
          <t>Customs Brokerage – Overall</t>
        </is>
      </c>
      <c r="E2953" t="n">
        <v>5016010</v>
      </c>
      <c r="F2953" t="inlineStr">
        <is>
          <t>30437-2</t>
        </is>
      </c>
      <c r="G2953" t="inlineStr">
        <is>
          <t>RE</t>
        </is>
      </c>
      <c r="H2953" s="12" t="n">
        <v>-3094.71</v>
      </c>
      <c r="I2953" s="17" t="n">
        <v>46244</v>
      </c>
      <c r="J2953" s="17" t="n">
        <v>46300</v>
      </c>
      <c r="K2953" t="inlineStr">
        <is>
          <t>Fatura - bruto MEDEIROS GALVAO SOLUÇÕES LTDA 30437</t>
        </is>
      </c>
    </row>
    <row r="2954">
      <c r="A2954" t="inlineStr">
        <is>
          <t>101420</t>
        </is>
      </c>
      <c r="B2954" t="inlineStr">
        <is>
          <t>MEDEIROS GALVAO SOLUÇÕES LTDA</t>
        </is>
      </c>
      <c r="C2954" t="n">
        <v>2111000000</v>
      </c>
      <c r="D2954" t="inlineStr">
        <is>
          <t>Customs Brokerage – Overall</t>
        </is>
      </c>
      <c r="E2954" t="n">
        <v>5016011</v>
      </c>
      <c r="F2954" t="inlineStr">
        <is>
          <t>30531-2</t>
        </is>
      </c>
      <c r="G2954" t="inlineStr">
        <is>
          <t>RE</t>
        </is>
      </c>
      <c r="H2954" s="12" t="n">
        <v>-3405.24</v>
      </c>
      <c r="I2954" s="17" t="n">
        <v>46248</v>
      </c>
      <c r="J2954" s="17" t="n">
        <v>46300</v>
      </c>
      <c r="K2954" t="inlineStr">
        <is>
          <t>Fatura - bruto MEDEIROS GALVAO SOLUÇÕES LTDA 30531</t>
        </is>
      </c>
    </row>
    <row r="2955">
      <c r="A2955" t="inlineStr">
        <is>
          <t>101420</t>
        </is>
      </c>
      <c r="B2955" t="inlineStr">
        <is>
          <t>MEDEIROS GALVAO SOLUÇÕES LTDA</t>
        </is>
      </c>
      <c r="C2955" t="n">
        <v>2111000000</v>
      </c>
      <c r="D2955" t="inlineStr">
        <is>
          <t>Customs Brokerage – Overall</t>
        </is>
      </c>
      <c r="E2955" t="n">
        <v>5016012</v>
      </c>
      <c r="F2955" t="inlineStr">
        <is>
          <t>30535-2</t>
        </is>
      </c>
      <c r="G2955" t="inlineStr">
        <is>
          <t>RE</t>
        </is>
      </c>
      <c r="H2955" s="12" t="n">
        <v>-549.6</v>
      </c>
      <c r="I2955" s="17" t="n">
        <v>46248</v>
      </c>
      <c r="J2955" s="17" t="n">
        <v>46300</v>
      </c>
      <c r="K2955" t="inlineStr">
        <is>
          <t>Fatura - bruto MEDEIROS GALVAO SOLUÇÕES LTDA 30535</t>
        </is>
      </c>
    </row>
    <row r="2956">
      <c r="A2956" t="inlineStr">
        <is>
          <t>101463</t>
        </is>
      </c>
      <c r="B2956" t="inlineStr">
        <is>
          <t>ZURICH MINAS BRASIL SEGUROS S A</t>
        </is>
      </c>
      <c r="C2956" t="n">
        <v>2111000000</v>
      </c>
      <c r="D2956" t="inlineStr">
        <is>
          <t>Insurance</t>
        </is>
      </c>
      <c r="E2956" t="n">
        <v>5016013</v>
      </c>
      <c r="F2956" t="inlineStr">
        <is>
          <t>0460/26</t>
        </is>
      </c>
      <c r="G2956" t="inlineStr">
        <is>
          <t>RE</t>
        </is>
      </c>
      <c r="H2956" s="12" t="n">
        <v>-498.49</v>
      </c>
      <c r="I2956" s="17" t="n">
        <v>46261</v>
      </c>
      <c r="J2956" s="17" t="n">
        <v>46291</v>
      </c>
      <c r="K2956" t="inlineStr">
        <is>
          <t>Invoice Payment. SP: 22042</t>
        </is>
      </c>
    </row>
    <row r="2957">
      <c r="A2957" t="inlineStr">
        <is>
          <t>101540</t>
        </is>
      </c>
      <c r="B2957" t="inlineStr">
        <is>
          <t>RICOH PY EQUIPAMENTOS DE INFORMATIC</t>
        </is>
      </c>
      <c r="C2957" t="n">
        <v>2111000000</v>
      </c>
      <c r="D2957" t="inlineStr">
        <is>
          <t>Other Suppliers</t>
        </is>
      </c>
      <c r="E2957" t="n">
        <v>5016014</v>
      </c>
      <c r="F2957" t="inlineStr">
        <is>
          <t>15159</t>
        </is>
      </c>
      <c r="G2957" t="inlineStr">
        <is>
          <t>RE</t>
        </is>
      </c>
      <c r="H2957" s="12" t="n">
        <v>-925.95</v>
      </c>
      <c r="I2957" s="17" t="n">
        <v>46259</v>
      </c>
      <c r="J2957" s="17" t="n">
        <v>46283</v>
      </c>
      <c r="K2957" t="inlineStr">
        <is>
          <t>Fatura - bruto RICOH PY EQUIPAMENTOS DE INFORMATIC</t>
        </is>
      </c>
    </row>
    <row r="2958">
      <c r="A2958" t="inlineStr">
        <is>
          <t>101540</t>
        </is>
      </c>
      <c r="B2958" t="inlineStr">
        <is>
          <t>RICOH PY EQUIPAMENTOS DE INFORMATIC</t>
        </is>
      </c>
      <c r="C2958" t="n">
        <v>2111000000</v>
      </c>
      <c r="D2958" t="inlineStr">
        <is>
          <t>Other Suppliers</t>
        </is>
      </c>
      <c r="E2958" t="n">
        <v>5016015</v>
      </c>
      <c r="F2958" t="inlineStr">
        <is>
          <t>15158</t>
        </is>
      </c>
      <c r="G2958" t="inlineStr">
        <is>
          <t>RE</t>
        </is>
      </c>
      <c r="H2958" s="12" t="n">
        <v>-796.95</v>
      </c>
      <c r="I2958" s="17" t="n">
        <v>46259</v>
      </c>
      <c r="J2958" s="17" t="n">
        <v>46283</v>
      </c>
      <c r="K2958" t="inlineStr">
        <is>
          <t>Fatura - bruto RICOH PY EQUIPAMENTOS DE INFORMATIC</t>
        </is>
      </c>
    </row>
    <row r="2959">
      <c r="A2959" t="inlineStr">
        <is>
          <t>101540</t>
        </is>
      </c>
      <c r="B2959" t="inlineStr">
        <is>
          <t>RICOH PY EQUIPAMENTOS DE INFORMATIC</t>
        </is>
      </c>
      <c r="C2959" t="n">
        <v>2111000000</v>
      </c>
      <c r="D2959" t="inlineStr">
        <is>
          <t>Other Suppliers</t>
        </is>
      </c>
      <c r="E2959" t="n">
        <v>5016018</v>
      </c>
      <c r="F2959" t="inlineStr">
        <is>
          <t>15157</t>
        </is>
      </c>
      <c r="G2959" t="inlineStr">
        <is>
          <t>RE</t>
        </is>
      </c>
      <c r="H2959" s="12" t="n">
        <v>-796.95</v>
      </c>
      <c r="I2959" s="17" t="n">
        <v>46259</v>
      </c>
      <c r="J2959" s="17" t="n">
        <v>46283</v>
      </c>
      <c r="K2959" t="inlineStr">
        <is>
          <t>Fatura - bruto RICOH PY EQUIPAMENTOS DE INFORMATIC</t>
        </is>
      </c>
    </row>
    <row r="2960">
      <c r="A2960" t="inlineStr">
        <is>
          <t>101540</t>
        </is>
      </c>
      <c r="B2960" t="inlineStr">
        <is>
          <t>RICOH PY EQUIPAMENTOS DE INFORMATIC</t>
        </is>
      </c>
      <c r="C2960" t="n">
        <v>2111000000</v>
      </c>
      <c r="D2960" t="inlineStr">
        <is>
          <t>Other Suppliers</t>
        </is>
      </c>
      <c r="E2960" t="n">
        <v>5016019</v>
      </c>
      <c r="F2960" t="inlineStr">
        <is>
          <t>15156</t>
        </is>
      </c>
      <c r="G2960" t="inlineStr">
        <is>
          <t>RE</t>
        </is>
      </c>
      <c r="H2960" s="12" t="n">
        <v>-796.95</v>
      </c>
      <c r="I2960" s="17" t="n">
        <v>46259</v>
      </c>
      <c r="J2960" s="17" t="n">
        <v>46283</v>
      </c>
      <c r="K2960" t="inlineStr">
        <is>
          <t>Fatura - bruto RICOH PY EQUIPAMENTOS DE INFORMATIC</t>
        </is>
      </c>
    </row>
    <row r="2961">
      <c r="A2961" t="inlineStr">
        <is>
          <t>101540</t>
        </is>
      </c>
      <c r="B2961" t="inlineStr">
        <is>
          <t>RICOH PY EQUIPAMENTOS DE INFORMATIC</t>
        </is>
      </c>
      <c r="C2961" t="n">
        <v>2111000000</v>
      </c>
      <c r="D2961" t="inlineStr">
        <is>
          <t>Other Suppliers</t>
        </is>
      </c>
      <c r="E2961" t="n">
        <v>5016020</v>
      </c>
      <c r="F2961" t="inlineStr">
        <is>
          <t>15155</t>
        </is>
      </c>
      <c r="G2961" t="inlineStr">
        <is>
          <t>RE</t>
        </is>
      </c>
      <c r="H2961" s="12" t="n">
        <v>-796.95</v>
      </c>
      <c r="I2961" s="17" t="n">
        <v>46259</v>
      </c>
      <c r="J2961" s="17" t="n">
        <v>46283</v>
      </c>
      <c r="K2961" t="inlineStr">
        <is>
          <t>Fatura - bruto RICOH PY EQUIPAMENTOS DE INFORMATIC</t>
        </is>
      </c>
    </row>
    <row r="2962">
      <c r="A2962" t="inlineStr">
        <is>
          <t>101463</t>
        </is>
      </c>
      <c r="B2962" t="inlineStr">
        <is>
          <t>ZURICH MINAS BRASIL SEGUROS S A</t>
        </is>
      </c>
      <c r="C2962" t="n">
        <v>2111000000</v>
      </c>
      <c r="D2962" t="inlineStr">
        <is>
          <t>Insurance</t>
        </is>
      </c>
      <c r="E2962" t="n">
        <v>5016021</v>
      </c>
      <c r="F2962" t="inlineStr">
        <is>
          <t>0496/26</t>
        </is>
      </c>
      <c r="G2962" t="inlineStr">
        <is>
          <t>RE</t>
        </is>
      </c>
      <c r="H2962" s="12" t="n">
        <v>-22.24</v>
      </c>
      <c r="I2962" s="17" t="n">
        <v>46261</v>
      </c>
      <c r="J2962" s="17" t="n">
        <v>46291</v>
      </c>
      <c r="K2962" t="inlineStr">
        <is>
          <t>Invoice Payment. SP: 22047</t>
        </is>
      </c>
    </row>
    <row r="2963">
      <c r="A2963" t="inlineStr">
        <is>
          <t>101463</t>
        </is>
      </c>
      <c r="B2963" t="inlineStr">
        <is>
          <t>ZURICH MINAS BRASIL SEGUROS S A</t>
        </is>
      </c>
      <c r="C2963" t="n">
        <v>2111000000</v>
      </c>
      <c r="D2963" t="inlineStr">
        <is>
          <t>Insurance</t>
        </is>
      </c>
      <c r="E2963" t="n">
        <v>5016023</v>
      </c>
      <c r="F2963" t="inlineStr">
        <is>
          <t>0498/26</t>
        </is>
      </c>
      <c r="G2963" t="inlineStr">
        <is>
          <t>RE</t>
        </is>
      </c>
      <c r="H2963" s="12" t="n">
        <v>-23.36</v>
      </c>
      <c r="I2963" s="17" t="n">
        <v>46261</v>
      </c>
      <c r="J2963" s="17" t="n">
        <v>46291</v>
      </c>
      <c r="K2963" t="inlineStr">
        <is>
          <t>Invoice Payment. SP: 22049</t>
        </is>
      </c>
    </row>
    <row r="2964">
      <c r="A2964" t="inlineStr">
        <is>
          <t>101463</t>
        </is>
      </c>
      <c r="B2964" t="inlineStr">
        <is>
          <t>ZURICH MINAS BRASIL SEGUROS S A</t>
        </is>
      </c>
      <c r="C2964" t="n">
        <v>2111000000</v>
      </c>
      <c r="D2964" t="inlineStr">
        <is>
          <t>Insurance</t>
        </is>
      </c>
      <c r="E2964" t="n">
        <v>5016025</v>
      </c>
      <c r="F2964" t="inlineStr">
        <is>
          <t>0499/26</t>
        </is>
      </c>
      <c r="G2964" t="inlineStr">
        <is>
          <t>RE</t>
        </is>
      </c>
      <c r="H2964" s="12" t="n">
        <v>-247.53</v>
      </c>
      <c r="I2964" s="17" t="n">
        <v>46261</v>
      </c>
      <c r="J2964" s="17" t="n">
        <v>46291</v>
      </c>
      <c r="K2964" t="inlineStr">
        <is>
          <t>Invoice Payment. SP: 22051</t>
        </is>
      </c>
    </row>
    <row r="2965">
      <c r="A2965" t="inlineStr">
        <is>
          <t>101463</t>
        </is>
      </c>
      <c r="B2965" t="inlineStr">
        <is>
          <t>ZURICH MINAS BRASIL SEGUROS S A</t>
        </is>
      </c>
      <c r="C2965" t="n">
        <v>2111000000</v>
      </c>
      <c r="D2965" t="inlineStr">
        <is>
          <t>Insurance</t>
        </is>
      </c>
      <c r="E2965" t="n">
        <v>5016027</v>
      </c>
      <c r="F2965" t="inlineStr">
        <is>
          <t>0522/26</t>
        </is>
      </c>
      <c r="G2965" t="inlineStr">
        <is>
          <t>RE</t>
        </is>
      </c>
      <c r="H2965" s="12" t="n">
        <v>-5.97</v>
      </c>
      <c r="I2965" s="17" t="n">
        <v>46261</v>
      </c>
      <c r="J2965" s="17" t="n">
        <v>46291</v>
      </c>
      <c r="K2965" t="inlineStr">
        <is>
          <t>Invoice Payment. SP: 22053</t>
        </is>
      </c>
    </row>
    <row r="2966">
      <c r="A2966" t="inlineStr">
        <is>
          <t>102117</t>
        </is>
      </c>
      <c r="B2966" t="inlineStr">
        <is>
          <t>ELETROPAULO METRO ELETRICIDADE DE S</t>
        </is>
      </c>
      <c r="C2966" t="n">
        <v>2111000000</v>
      </c>
      <c r="D2966" t="inlineStr">
        <is>
          <t>Other Suppliers</t>
        </is>
      </c>
      <c r="E2966" t="n">
        <v>5016030</v>
      </c>
      <c r="F2966" t="inlineStr">
        <is>
          <t>94168200-2</t>
        </is>
      </c>
      <c r="G2966" t="inlineStr">
        <is>
          <t>RE</t>
        </is>
      </c>
      <c r="H2966" s="12" t="n">
        <v>-1806.23</v>
      </c>
      <c r="I2966" s="17" t="n">
        <v>46261</v>
      </c>
      <c r="J2966" s="17" t="n">
        <v>46273</v>
      </c>
      <c r="K2966" t="inlineStr">
        <is>
          <t>Fatura - bruto ELETROPAULO METRO ELETRICIDADE DE S</t>
        </is>
      </c>
    </row>
    <row r="2967">
      <c r="A2967" t="inlineStr">
        <is>
          <t>103927</t>
        </is>
      </c>
      <c r="B2967" t="inlineStr">
        <is>
          <t>MOVIDA PARTICIPACOES</t>
        </is>
      </c>
      <c r="C2967" t="n">
        <v>2111000000</v>
      </c>
      <c r="D2967" t="inlineStr">
        <is>
          <t>Other Suppliers</t>
        </is>
      </c>
      <c r="E2967" t="n">
        <v>5016031</v>
      </c>
      <c r="F2967" t="inlineStr">
        <is>
          <t>800180</t>
        </is>
      </c>
      <c r="G2967" t="inlineStr">
        <is>
          <t>RE</t>
        </is>
      </c>
      <c r="H2967" s="12" t="n">
        <v>-24623.68</v>
      </c>
      <c r="I2967" s="17" t="n">
        <v>46245</v>
      </c>
      <c r="J2967" s="17" t="n">
        <v>46275</v>
      </c>
      <c r="K2967" t="inlineStr">
        <is>
          <t>Fatura - bruto MOVIDA PARTICIPACOES 800180</t>
        </is>
      </c>
    </row>
    <row r="2968">
      <c r="A2968" t="inlineStr">
        <is>
          <t>101540</t>
        </is>
      </c>
      <c r="B2968" t="inlineStr">
        <is>
          <t>RICOH PY EQUIPAMENTOS DE INFORMATIC</t>
        </is>
      </c>
      <c r="C2968" t="n">
        <v>2111000000</v>
      </c>
      <c r="D2968" t="inlineStr">
        <is>
          <t>Other Suppliers</t>
        </is>
      </c>
      <c r="E2968" t="n">
        <v>5016032</v>
      </c>
      <c r="F2968" t="inlineStr">
        <is>
          <t>15154</t>
        </is>
      </c>
      <c r="G2968" t="inlineStr">
        <is>
          <t>RE</t>
        </is>
      </c>
      <c r="H2968" s="12" t="n">
        <v>-797.36</v>
      </c>
      <c r="I2968" s="17" t="n">
        <v>46259</v>
      </c>
      <c r="J2968" s="17" t="n">
        <v>46283</v>
      </c>
      <c r="K2968" t="inlineStr">
        <is>
          <t>Fatura - bruto RICOH PY EQUIPAMENTOS DE INFORMATIC</t>
        </is>
      </c>
    </row>
    <row r="2969">
      <c r="A2969" t="inlineStr">
        <is>
          <t>101540</t>
        </is>
      </c>
      <c r="B2969" t="inlineStr">
        <is>
          <t>RICOH PY EQUIPAMENTOS DE INFORMATIC</t>
        </is>
      </c>
      <c r="C2969" t="n">
        <v>2111000000</v>
      </c>
      <c r="D2969" t="inlineStr">
        <is>
          <t>Other Suppliers</t>
        </is>
      </c>
      <c r="E2969" t="n">
        <v>5016033</v>
      </c>
      <c r="F2969" t="inlineStr">
        <is>
          <t>15153</t>
        </is>
      </c>
      <c r="G2969" t="inlineStr">
        <is>
          <t>RE</t>
        </is>
      </c>
      <c r="H2969" s="12" t="n">
        <v>-796.95</v>
      </c>
      <c r="I2969" s="17" t="n">
        <v>46259</v>
      </c>
      <c r="J2969" s="17" t="n">
        <v>46283</v>
      </c>
      <c r="K2969" t="inlineStr">
        <is>
          <t>Fatura - bruto RICOH PY EQUIPAMENTOS DE INFORMATIC</t>
        </is>
      </c>
    </row>
    <row r="2970">
      <c r="A2970" t="inlineStr">
        <is>
          <t>101540</t>
        </is>
      </c>
      <c r="B2970" t="inlineStr">
        <is>
          <t>RICOH PY EQUIPAMENTOS DE INFORMATIC</t>
        </is>
      </c>
      <c r="C2970" t="n">
        <v>2111000000</v>
      </c>
      <c r="D2970" t="inlineStr">
        <is>
          <t>Other Suppliers</t>
        </is>
      </c>
      <c r="E2970" t="n">
        <v>5016034</v>
      </c>
      <c r="F2970" t="inlineStr">
        <is>
          <t>15152</t>
        </is>
      </c>
      <c r="G2970" t="inlineStr">
        <is>
          <t>RE</t>
        </is>
      </c>
      <c r="H2970" s="12" t="n">
        <v>-997.5700000000001</v>
      </c>
      <c r="I2970" s="17" t="n">
        <v>46259</v>
      </c>
      <c r="J2970" s="17" t="n">
        <v>46283</v>
      </c>
      <c r="K2970" t="inlineStr">
        <is>
          <t>Fatura - bruto RICOH PY EQUIPAMENTOS DE INFORMATIC</t>
        </is>
      </c>
    </row>
    <row r="2971">
      <c r="A2971" t="inlineStr">
        <is>
          <t>101540</t>
        </is>
      </c>
      <c r="B2971" t="inlineStr">
        <is>
          <t>RICOH PY EQUIPAMENTOS DE INFORMATIC</t>
        </is>
      </c>
      <c r="C2971" t="n">
        <v>2111000000</v>
      </c>
      <c r="D2971" t="inlineStr">
        <is>
          <t>Other Suppliers</t>
        </is>
      </c>
      <c r="E2971" t="n">
        <v>5016035</v>
      </c>
      <c r="F2971" t="inlineStr">
        <is>
          <t>15150</t>
        </is>
      </c>
      <c r="G2971" t="inlineStr">
        <is>
          <t>RE</t>
        </is>
      </c>
      <c r="H2971" s="12" t="n">
        <v>-3196.86</v>
      </c>
      <c r="I2971" s="17" t="n">
        <v>46259</v>
      </c>
      <c r="J2971" s="17" t="n">
        <v>46289</v>
      </c>
      <c r="K2971" t="inlineStr">
        <is>
          <t>Fatura - bruto RICOH PY EQUIPAMENTOS DE INFORMATIC</t>
        </is>
      </c>
    </row>
    <row r="2972">
      <c r="A2972" t="inlineStr">
        <is>
          <t>115365</t>
        </is>
      </c>
      <c r="B2972" t="inlineStr">
        <is>
          <t>IVANALDO DIAS DA SILVA 52.029.512</t>
        </is>
      </c>
      <c r="C2972" t="n">
        <v>2111000000</v>
      </c>
      <c r="D2972" t="inlineStr">
        <is>
          <t>Other Suppliers</t>
        </is>
      </c>
      <c r="E2972" t="n">
        <v>5016036</v>
      </c>
      <c r="F2972" t="inlineStr">
        <is>
          <t>1</t>
        </is>
      </c>
      <c r="G2972" t="inlineStr">
        <is>
          <t>RE</t>
        </is>
      </c>
      <c r="H2972" s="12" t="n">
        <v>-4500</v>
      </c>
      <c r="I2972" s="17" t="n">
        <v>46260</v>
      </c>
      <c r="J2972" s="17" t="n">
        <v>46260</v>
      </c>
      <c r="K2972" t="inlineStr">
        <is>
          <t>Fatura - bruto IVANALDO DIAS DA SILVA 52.029.512 1</t>
        </is>
      </c>
    </row>
    <row r="2973">
      <c r="A2973" t="inlineStr">
        <is>
          <t>101540</t>
        </is>
      </c>
      <c r="B2973" t="inlineStr">
        <is>
          <t>RICOH PY EQUIPAMENTOS DE INFORMATIC</t>
        </is>
      </c>
      <c r="C2973" t="n">
        <v>2111000000</v>
      </c>
      <c r="D2973" t="inlineStr">
        <is>
          <t>Other Suppliers</t>
        </is>
      </c>
      <c r="E2973" t="n">
        <v>5016037</v>
      </c>
      <c r="F2973" t="inlineStr">
        <is>
          <t>15128</t>
        </is>
      </c>
      <c r="G2973" t="inlineStr">
        <is>
          <t>RE</t>
        </is>
      </c>
      <c r="H2973" s="12" t="n">
        <v>-2064.54</v>
      </c>
      <c r="I2973" s="17" t="n">
        <v>46254</v>
      </c>
      <c r="J2973" s="17" t="n">
        <v>46274</v>
      </c>
      <c r="K2973" t="inlineStr">
        <is>
          <t>Fatura - bruto RICOH PY EQUIPAMENTOS DE INFORMATIC</t>
        </is>
      </c>
    </row>
    <row r="2974">
      <c r="A2974" t="inlineStr">
        <is>
          <t>101540</t>
        </is>
      </c>
      <c r="B2974" t="inlineStr">
        <is>
          <t>RICOH PY EQUIPAMENTOS DE INFORMATIC</t>
        </is>
      </c>
      <c r="C2974" t="n">
        <v>2111000000</v>
      </c>
      <c r="D2974" t="inlineStr">
        <is>
          <t>Other Suppliers</t>
        </is>
      </c>
      <c r="E2974" t="n">
        <v>5016038</v>
      </c>
      <c r="F2974" t="inlineStr">
        <is>
          <t>15129</t>
        </is>
      </c>
      <c r="G2974" t="inlineStr">
        <is>
          <t>RE</t>
        </is>
      </c>
      <c r="H2974" s="12" t="n">
        <v>-1875.12</v>
      </c>
      <c r="I2974" s="17" t="n">
        <v>46254</v>
      </c>
      <c r="J2974" s="17" t="n">
        <v>46274</v>
      </c>
      <c r="K2974" t="inlineStr">
        <is>
          <t>Fatura - bruto RICOH PY EQUIPAMENTOS DE INFORMATIC</t>
        </is>
      </c>
    </row>
    <row r="2975">
      <c r="A2975" t="inlineStr">
        <is>
          <t>101540</t>
        </is>
      </c>
      <c r="B2975" t="inlineStr">
        <is>
          <t>RICOH PY EQUIPAMENTOS DE INFORMATIC</t>
        </is>
      </c>
      <c r="C2975" t="n">
        <v>2111000000</v>
      </c>
      <c r="D2975" t="inlineStr">
        <is>
          <t>Other Suppliers</t>
        </is>
      </c>
      <c r="E2975" t="n">
        <v>5016039</v>
      </c>
      <c r="F2975" t="inlineStr">
        <is>
          <t>15130</t>
        </is>
      </c>
      <c r="G2975" t="inlineStr">
        <is>
          <t>RE</t>
        </is>
      </c>
      <c r="H2975" s="12" t="n">
        <v>-1868.24</v>
      </c>
      <c r="I2975" s="17" t="n">
        <v>46254</v>
      </c>
      <c r="J2975" s="17" t="n">
        <v>46274</v>
      </c>
      <c r="K2975" t="inlineStr">
        <is>
          <t>Fatura - bruto RICOH PY EQUIPAMENTOS DE INFORMATIC</t>
        </is>
      </c>
    </row>
    <row r="2976">
      <c r="A2976" t="inlineStr">
        <is>
          <t>103849</t>
        </is>
      </c>
      <c r="B2976" t="inlineStr">
        <is>
          <t>SINOMA WIND POWER BLADE (BRAZIL) LT</t>
        </is>
      </c>
      <c r="C2976" t="n">
        <v>2111000000</v>
      </c>
      <c r="D2976" t="inlineStr">
        <is>
          <t>SINOMA</t>
        </is>
      </c>
      <c r="E2976" t="n">
        <v>5016040</v>
      </c>
      <c r="F2976" t="inlineStr">
        <is>
          <t>2000-1</t>
        </is>
      </c>
      <c r="G2976" t="inlineStr">
        <is>
          <t>RE</t>
        </is>
      </c>
      <c r="H2976" s="12" t="n">
        <v>-4599632.79</v>
      </c>
      <c r="I2976" s="17" t="n">
        <v>46255</v>
      </c>
      <c r="J2976" s="17" t="n">
        <v>46270</v>
      </c>
      <c r="K2976" t="inlineStr">
        <is>
          <t>Segurar o fornecedor Sinoma até o SRC entrar</t>
        </is>
      </c>
    </row>
    <row r="2977">
      <c r="A2977" t="inlineStr">
        <is>
          <t>101115</t>
        </is>
      </c>
      <c r="B2977" t="inlineStr">
        <is>
          <t>WAITMAN &amp; SKOLIMOVSKI ADVOGADOS</t>
        </is>
      </c>
      <c r="C2977" t="n">
        <v>2111000000</v>
      </c>
      <c r="D2977" t="inlineStr">
        <is>
          <t>Legal Services Suppliers</t>
        </is>
      </c>
      <c r="E2977" t="n">
        <v>5016041</v>
      </c>
      <c r="F2977" t="inlineStr">
        <is>
          <t>659</t>
        </is>
      </c>
      <c r="G2977" t="inlineStr">
        <is>
          <t>RE</t>
        </is>
      </c>
      <c r="H2977" s="12" t="n">
        <v>-59484.15</v>
      </c>
      <c r="I2977" s="17" t="n">
        <v>46215</v>
      </c>
      <c r="J2977" s="17" t="n">
        <v>46239</v>
      </c>
      <c r="K2977" t="inlineStr">
        <is>
          <t>Fatura - bruto WAITMAN &amp; SKOLIMOVSKI ADVOGADOS 659</t>
        </is>
      </c>
    </row>
    <row r="2978">
      <c r="A2978" t="inlineStr">
        <is>
          <t>101945</t>
        </is>
      </c>
      <c r="B2978" t="inlineStr">
        <is>
          <t>JOAO MARIA BARBOSA DE MOURA</t>
        </is>
      </c>
      <c r="C2978" t="n">
        <v>2111000000</v>
      </c>
      <c r="D2978" t="inlineStr">
        <is>
          <t>Other Suppliers</t>
        </is>
      </c>
      <c r="E2978" t="n">
        <v>5016043</v>
      </c>
      <c r="F2978" t="inlineStr">
        <is>
          <t>401</t>
        </is>
      </c>
      <c r="G2978" t="inlineStr">
        <is>
          <t>RE</t>
        </is>
      </c>
      <c r="H2978" s="12" t="n">
        <v>-6561.2</v>
      </c>
      <c r="I2978" s="17" t="n">
        <v>46259</v>
      </c>
      <c r="J2978" s="17" t="n">
        <v>46300</v>
      </c>
      <c r="K2978" t="inlineStr">
        <is>
          <t>Fatura - bruto JOAO MARIA BARBOSA DE MOURA 401</t>
        </is>
      </c>
    </row>
    <row r="2979">
      <c r="A2979" t="inlineStr">
        <is>
          <t>102032</t>
        </is>
      </c>
      <c r="B2979" t="inlineStr">
        <is>
          <t>COMPANHIA AGUAS ESGOTOS RIO GRANDE</t>
        </is>
      </c>
      <c r="C2979" t="n">
        <v>2111000000</v>
      </c>
      <c r="D2979" t="inlineStr">
        <is>
          <t>Facilities</t>
        </is>
      </c>
      <c r="E2979" t="n">
        <v>5016044</v>
      </c>
      <c r="F2979" t="inlineStr">
        <is>
          <t>427470</t>
        </is>
      </c>
      <c r="G2979" t="inlineStr">
        <is>
          <t>RE</t>
        </is>
      </c>
      <c r="H2979" s="12" t="n">
        <v>-92.42</v>
      </c>
      <c r="I2979" s="17" t="n">
        <v>46246</v>
      </c>
      <c r="J2979" s="17" t="n">
        <v>46253</v>
      </c>
      <c r="K2979" t="inlineStr">
        <is>
          <t>826300000005924200063056008124850010082026600039</t>
        </is>
      </c>
    </row>
    <row r="2980">
      <c r="A2980" t="inlineStr">
        <is>
          <t>101377</t>
        </is>
      </c>
      <c r="B2980" t="inlineStr">
        <is>
          <t>APAGUE EQUIP DE COMBATE A INCENDIO</t>
        </is>
      </c>
      <c r="C2980" t="n">
        <v>2111000000</v>
      </c>
      <c r="D2980" t="inlineStr">
        <is>
          <t>Other Suppliers</t>
        </is>
      </c>
      <c r="E2980" t="n">
        <v>5016045</v>
      </c>
      <c r="F2980" t="inlineStr">
        <is>
          <t>153</t>
        </is>
      </c>
      <c r="G2980" t="inlineStr">
        <is>
          <t>RE</t>
        </is>
      </c>
      <c r="H2980" s="12" t="n">
        <v>-3222</v>
      </c>
      <c r="I2980" s="17" t="n">
        <v>46255</v>
      </c>
      <c r="J2980" s="17" t="n">
        <v>46270</v>
      </c>
      <c r="K2980" t="inlineStr">
        <is>
          <t>Fatura - bruto APAGUE EQUIP DE COMBATE A INCENDIO</t>
        </is>
      </c>
    </row>
    <row r="2981">
      <c r="A2981" t="inlineStr">
        <is>
          <t>100906</t>
        </is>
      </c>
      <c r="B2981" t="inlineStr">
        <is>
          <t>R &amp; G TELECOM LTDA</t>
        </is>
      </c>
      <c r="C2981" t="n">
        <v>2111000000</v>
      </c>
      <c r="D2981" t="inlineStr">
        <is>
          <t>Other Suppliers</t>
        </is>
      </c>
      <c r="E2981" t="n">
        <v>5016046</v>
      </c>
      <c r="F2981" t="inlineStr">
        <is>
          <t>5391</t>
        </is>
      </c>
      <c r="G2981" t="inlineStr">
        <is>
          <t>RE</t>
        </is>
      </c>
      <c r="H2981" s="12" t="n">
        <v>-1970</v>
      </c>
      <c r="I2981" s="17" t="n">
        <v>46258</v>
      </c>
      <c r="J2981" s="17" t="n">
        <v>46290</v>
      </c>
      <c r="K2981" t="inlineStr">
        <is>
          <t>Fatura - bruto R &amp; G TELECOM LTDA 5391</t>
        </is>
      </c>
    </row>
    <row r="2982">
      <c r="A2982" t="inlineStr">
        <is>
          <t>101115</t>
        </is>
      </c>
      <c r="B2982" t="inlineStr">
        <is>
          <t>WAITMAN &amp; SKOLIMOVSKI ADVOGADOS</t>
        </is>
      </c>
      <c r="C2982" t="n">
        <v>2111000000</v>
      </c>
      <c r="D2982" t="inlineStr">
        <is>
          <t>Legal Services Suppliers</t>
        </is>
      </c>
      <c r="E2982" t="n">
        <v>5016047</v>
      </c>
      <c r="F2982" t="inlineStr">
        <is>
          <t>651</t>
        </is>
      </c>
      <c r="G2982" t="inlineStr">
        <is>
          <t>RE</t>
        </is>
      </c>
      <c r="H2982" s="12" t="n">
        <v>-3743</v>
      </c>
      <c r="I2982" s="17" t="n">
        <v>46189</v>
      </c>
      <c r="J2982" s="17" t="n">
        <v>46239</v>
      </c>
      <c r="K2982" t="inlineStr">
        <is>
          <t>Fatura - bruto WAITMAN &amp; SKOLIMOVSKI ADVOGADOS 651</t>
        </is>
      </c>
    </row>
    <row r="2983">
      <c r="A2983" t="inlineStr">
        <is>
          <t>101115</t>
        </is>
      </c>
      <c r="B2983" t="inlineStr">
        <is>
          <t>WAITMAN &amp; SKOLIMOVSKI ADVOGADOS</t>
        </is>
      </c>
      <c r="C2983" t="n">
        <v>2111000000</v>
      </c>
      <c r="D2983" t="inlineStr">
        <is>
          <t>Legal Services Suppliers</t>
        </is>
      </c>
      <c r="E2983" t="n">
        <v>5016048</v>
      </c>
      <c r="F2983" t="inlineStr">
        <is>
          <t>652</t>
        </is>
      </c>
      <c r="G2983" t="inlineStr">
        <is>
          <t>RE</t>
        </is>
      </c>
      <c r="H2983" s="12" t="n">
        <v>-443.25</v>
      </c>
      <c r="I2983" s="17" t="n">
        <v>46189</v>
      </c>
      <c r="J2983" s="17" t="n">
        <v>46239</v>
      </c>
      <c r="K2983" t="inlineStr">
        <is>
          <t>Fatura - bruto WAITMAN &amp; SKOLIMOVSKI ADVOGADOS 652</t>
        </is>
      </c>
    </row>
    <row r="2984">
      <c r="A2984" t="inlineStr">
        <is>
          <t>101115</t>
        </is>
      </c>
      <c r="B2984" t="inlineStr">
        <is>
          <t>WAITMAN &amp; SKOLIMOVSKI ADVOGADOS</t>
        </is>
      </c>
      <c r="C2984" t="n">
        <v>2111000000</v>
      </c>
      <c r="D2984" t="inlineStr">
        <is>
          <t>Legal Services Suppliers</t>
        </is>
      </c>
      <c r="E2984" t="n">
        <v>5016049</v>
      </c>
      <c r="F2984" t="inlineStr">
        <is>
          <t>669</t>
        </is>
      </c>
      <c r="G2984" t="inlineStr">
        <is>
          <t>RE</t>
        </is>
      </c>
      <c r="H2984" s="12" t="n">
        <v>-15267.5</v>
      </c>
      <c r="I2984" s="17" t="n">
        <v>46222</v>
      </c>
      <c r="J2984" s="17" t="n">
        <v>46267</v>
      </c>
      <c r="K2984" t="inlineStr">
        <is>
          <t>Fatura - bruto WAITMAN &amp; SKOLIMOVSKI ADVOGADOS 669</t>
        </is>
      </c>
    </row>
    <row r="2985">
      <c r="A2985" t="inlineStr">
        <is>
          <t>101115</t>
        </is>
      </c>
      <c r="B2985" t="inlineStr">
        <is>
          <t>WAITMAN &amp; SKOLIMOVSKI ADVOGADOS</t>
        </is>
      </c>
      <c r="C2985" t="n">
        <v>2111000000</v>
      </c>
      <c r="D2985" t="inlineStr">
        <is>
          <t>Legal Services Suppliers</t>
        </is>
      </c>
      <c r="E2985" t="n">
        <v>5016050</v>
      </c>
      <c r="F2985" t="inlineStr">
        <is>
          <t>672</t>
        </is>
      </c>
      <c r="G2985" t="inlineStr">
        <is>
          <t>RE</t>
        </is>
      </c>
      <c r="H2985" s="12" t="n">
        <v>-4925</v>
      </c>
      <c r="I2985" s="17" t="n">
        <v>46222</v>
      </c>
      <c r="J2985" s="17" t="n">
        <v>46267</v>
      </c>
      <c r="K2985" t="inlineStr">
        <is>
          <t>Fatura - bruto WAITMAN &amp; SKOLIMOVSKI ADVOGADOS 672</t>
        </is>
      </c>
    </row>
    <row r="2986">
      <c r="A2986" t="inlineStr">
        <is>
          <t>101048</t>
        </is>
      </c>
      <c r="B2986" t="inlineStr">
        <is>
          <t>M R DE MEDEIROS</t>
        </is>
      </c>
      <c r="C2986" t="n">
        <v>2111000000</v>
      </c>
      <c r="D2986" t="inlineStr">
        <is>
          <t>Other Suppliers</t>
        </is>
      </c>
      <c r="E2986" t="n">
        <v>5016051</v>
      </c>
      <c r="F2986" t="inlineStr">
        <is>
          <t>2625-1</t>
        </is>
      </c>
      <c r="G2986" t="inlineStr">
        <is>
          <t>RE</t>
        </is>
      </c>
      <c r="H2986" s="12" t="n">
        <v>-10074.85</v>
      </c>
      <c r="I2986" s="17" t="n">
        <v>46245</v>
      </c>
      <c r="J2986" s="17" t="n">
        <v>46260</v>
      </c>
      <c r="K2986" t="inlineStr">
        <is>
          <t>Fatura - bruto M R DE MEDEIROS 2625-1</t>
        </is>
      </c>
    </row>
    <row r="2987">
      <c r="A2987" t="inlineStr">
        <is>
          <t>101290</t>
        </is>
      </c>
      <c r="B2987" t="inlineStr">
        <is>
          <t>ARTH WIND SERVICES&amp;CONSULTING EIREL</t>
        </is>
      </c>
      <c r="C2987" t="n">
        <v>2111000000</v>
      </c>
      <c r="D2987" t="inlineStr">
        <is>
          <t>Other Suppliers</t>
        </is>
      </c>
      <c r="E2987" t="n">
        <v>5016052</v>
      </c>
      <c r="F2987" t="inlineStr">
        <is>
          <t>6504</t>
        </is>
      </c>
      <c r="G2987" t="inlineStr">
        <is>
          <t>RE</t>
        </is>
      </c>
      <c r="H2987" s="12" t="n">
        <v>-25856.25</v>
      </c>
      <c r="I2987" s="17" t="n">
        <v>46259</v>
      </c>
      <c r="J2987" s="17" t="n">
        <v>46300</v>
      </c>
      <c r="K2987" t="inlineStr">
        <is>
          <t>Fatura - bruto ARTH WIND SERVICES&amp;CONSULTING EIREL</t>
        </is>
      </c>
    </row>
    <row r="2988">
      <c r="A2988" t="inlineStr">
        <is>
          <t>101290</t>
        </is>
      </c>
      <c r="B2988" t="inlineStr">
        <is>
          <t>ARTH WIND SERVICES&amp;CONSULTING EIREL</t>
        </is>
      </c>
      <c r="C2988" t="n">
        <v>2111000000</v>
      </c>
      <c r="D2988" t="inlineStr">
        <is>
          <t>Other Suppliers</t>
        </is>
      </c>
      <c r="E2988" t="n">
        <v>5016053</v>
      </c>
      <c r="F2988" t="inlineStr">
        <is>
          <t>6506</t>
        </is>
      </c>
      <c r="G2988" t="inlineStr">
        <is>
          <t>RE</t>
        </is>
      </c>
      <c r="H2988" s="12" t="n">
        <v>-5795.74</v>
      </c>
      <c r="I2988" s="17" t="n">
        <v>46260</v>
      </c>
      <c r="J2988" s="17" t="n">
        <v>46300</v>
      </c>
      <c r="K2988" t="inlineStr">
        <is>
          <t>Fatura - bruto ARTH WIND SERVICES&amp;CONSULTING EIREL</t>
        </is>
      </c>
    </row>
    <row r="2989">
      <c r="A2989" t="inlineStr">
        <is>
          <t>105984</t>
        </is>
      </c>
      <c r="B2989" t="inlineStr">
        <is>
          <t>TRADEWORKS SERVICOS DE COMERCIO EXT 04955748000107</t>
        </is>
      </c>
      <c r="C2989" t="n">
        <v>2111000000</v>
      </c>
      <c r="D2989" t="inlineStr">
        <is>
          <t>Customs Brokerage – Overall</t>
        </is>
      </c>
      <c r="E2989" t="n">
        <v>5016054</v>
      </c>
      <c r="F2989" t="inlineStr">
        <is>
          <t>93495</t>
        </is>
      </c>
      <c r="G2989" t="inlineStr">
        <is>
          <t>RE</t>
        </is>
      </c>
      <c r="H2989" s="12" t="n">
        <v>-1337.76</v>
      </c>
      <c r="I2989" s="17" t="n">
        <v>46239</v>
      </c>
      <c r="J2989" s="17" t="n">
        <v>46269</v>
      </c>
      <c r="K2989" t="inlineStr">
        <is>
          <t>Fatura - bruto TRADEWORKS SERVICOS DE COMERCIO EXT</t>
        </is>
      </c>
    </row>
    <row r="2990">
      <c r="A2990" t="inlineStr">
        <is>
          <t>101353</t>
        </is>
      </c>
      <c r="B2990" t="inlineStr">
        <is>
          <t>SOMAR GASES COMERCIO E SERVICOS LTD</t>
        </is>
      </c>
      <c r="C2990" t="n">
        <v>2111000000</v>
      </c>
      <c r="D2990" t="inlineStr">
        <is>
          <t>Other Suppliers</t>
        </is>
      </c>
      <c r="E2990" t="n">
        <v>5016063</v>
      </c>
      <c r="F2990" t="inlineStr">
        <is>
          <t>000038714-3</t>
        </is>
      </c>
      <c r="G2990" t="inlineStr">
        <is>
          <t>RE</t>
        </is>
      </c>
      <c r="H2990" s="12" t="n">
        <v>-4657.5</v>
      </c>
      <c r="I2990" s="17" t="n">
        <v>46219</v>
      </c>
      <c r="J2990" s="17" t="n">
        <v>46239</v>
      </c>
      <c r="K2990" t="inlineStr">
        <is>
          <t>Fatura - bruto SOMAR GASES COMERCIO E SERVICOS LTD</t>
        </is>
      </c>
    </row>
    <row r="2991">
      <c r="A2991" t="inlineStr">
        <is>
          <t>101353</t>
        </is>
      </c>
      <c r="B2991" t="inlineStr">
        <is>
          <t>SOMAR GASES COMERCIO E SERVICOS LTD</t>
        </is>
      </c>
      <c r="C2991" t="n">
        <v>2111000000</v>
      </c>
      <c r="D2991" t="inlineStr">
        <is>
          <t>Other Suppliers</t>
        </is>
      </c>
      <c r="E2991" t="n">
        <v>5016064</v>
      </c>
      <c r="F2991" t="inlineStr">
        <is>
          <t>000038715-3</t>
        </is>
      </c>
      <c r="G2991" t="inlineStr">
        <is>
          <t>RE</t>
        </is>
      </c>
      <c r="H2991" s="12" t="n">
        <v>-7815</v>
      </c>
      <c r="I2991" s="17" t="n">
        <v>46219</v>
      </c>
      <c r="J2991" s="17" t="n">
        <v>46239</v>
      </c>
      <c r="K2991" t="inlineStr">
        <is>
          <t>Fatura - bruto SOMAR GASES COMERCIO E SERVICOS LTD</t>
        </is>
      </c>
    </row>
    <row r="2992">
      <c r="A2992" t="inlineStr">
        <is>
          <t>103727</t>
        </is>
      </c>
      <c r="B2992" t="inlineStr">
        <is>
          <t>COMECIAL NGS LTDA</t>
        </is>
      </c>
      <c r="C2992" t="n">
        <v>2111000000</v>
      </c>
      <c r="D2992" t="inlineStr">
        <is>
          <t>Other Suppliers</t>
        </is>
      </c>
      <c r="E2992" t="n">
        <v>5016066</v>
      </c>
      <c r="F2992" t="inlineStr">
        <is>
          <t>000001225-2</t>
        </is>
      </c>
      <c r="G2992" t="inlineStr">
        <is>
          <t>RE</t>
        </is>
      </c>
      <c r="H2992" s="12" t="n">
        <v>-8402.33</v>
      </c>
      <c r="I2992" s="17" t="n">
        <v>46260</v>
      </c>
      <c r="J2992" s="17" t="n">
        <v>46300</v>
      </c>
      <c r="K2992" t="inlineStr">
        <is>
          <t>Fatura - bruto COMECIAL NGS LTDA 000001225-2</t>
        </is>
      </c>
    </row>
    <row r="2993">
      <c r="A2993" t="inlineStr">
        <is>
          <t>103727</t>
        </is>
      </c>
      <c r="B2993" t="inlineStr">
        <is>
          <t>COMECIAL NGS LTDA</t>
        </is>
      </c>
      <c r="C2993" t="n">
        <v>2111000000</v>
      </c>
      <c r="D2993" t="inlineStr">
        <is>
          <t>Other Suppliers</t>
        </is>
      </c>
      <c r="E2993" t="n">
        <v>5016067</v>
      </c>
      <c r="F2993" t="inlineStr">
        <is>
          <t>000001226-2</t>
        </is>
      </c>
      <c r="G2993" t="inlineStr">
        <is>
          <t>RE</t>
        </is>
      </c>
      <c r="H2993" s="12" t="n">
        <v>-933.59</v>
      </c>
      <c r="I2993" s="17" t="n">
        <v>46260</v>
      </c>
      <c r="J2993" s="17" t="n">
        <v>46300</v>
      </c>
      <c r="K2993" t="inlineStr">
        <is>
          <t>Fatura - bruto COMECIAL NGS LTDA 000001226-2</t>
        </is>
      </c>
    </row>
    <row r="2994">
      <c r="A2994" t="inlineStr">
        <is>
          <t>115019</t>
        </is>
      </c>
      <c r="B2994" t="inlineStr">
        <is>
          <t>BLUEWAY TRADING IMPORTAÇAO E EXPORT SA</t>
        </is>
      </c>
      <c r="C2994" t="n">
        <v>2111000000</v>
      </c>
      <c r="D2994" t="inlineStr">
        <is>
          <t>Consumables Suppliers</t>
        </is>
      </c>
      <c r="E2994" t="n">
        <v>5016068</v>
      </c>
      <c r="F2994" t="inlineStr">
        <is>
          <t>000003735-1</t>
        </is>
      </c>
      <c r="G2994" t="inlineStr">
        <is>
          <t>RE</t>
        </is>
      </c>
      <c r="H2994" s="12" t="n">
        <v>-84678.75</v>
      </c>
      <c r="I2994" s="17" t="n">
        <v>46210</v>
      </c>
      <c r="J2994" s="17" t="n">
        <v>46240</v>
      </c>
      <c r="K2994" t="inlineStr">
        <is>
          <t>Fatura - bruto BLUEWAY TRADING IMPORTAÇAO E EXPORT</t>
        </is>
      </c>
    </row>
    <row r="2995">
      <c r="A2995" t="inlineStr">
        <is>
          <t>101222</t>
        </is>
      </c>
      <c r="B2995" t="inlineStr">
        <is>
          <t>AGROPECUARIA CANOA MIRIM SA</t>
        </is>
      </c>
      <c r="C2995" t="n">
        <v>2111000000</v>
      </c>
      <c r="D2995" t="inlineStr">
        <is>
          <t>Other Suppliers</t>
        </is>
      </c>
      <c r="E2995" t="n">
        <v>5016069</v>
      </c>
      <c r="F2995" t="inlineStr">
        <is>
          <t>202309</t>
        </is>
      </c>
      <c r="G2995" t="inlineStr">
        <is>
          <t>RE</t>
        </is>
      </c>
      <c r="H2995" s="12" t="n">
        <v>-8000</v>
      </c>
      <c r="I2995" s="17" t="n">
        <v>45141</v>
      </c>
      <c r="J2995" s="17" t="n">
        <v>45174</v>
      </c>
      <c r="K2995" t="inlineStr">
        <is>
          <t>Invoice Receipt MM AGROPECUARIA CANOA MIRIM SA 202</t>
        </is>
      </c>
    </row>
    <row r="2996">
      <c r="A2996" t="inlineStr">
        <is>
          <t>115019</t>
        </is>
      </c>
      <c r="B2996" t="inlineStr">
        <is>
          <t>BLUEWAY TRADING IMPORTAÇAO E EXPORT SA</t>
        </is>
      </c>
      <c r="C2996" t="n">
        <v>2111000000</v>
      </c>
      <c r="D2996" t="inlineStr">
        <is>
          <t>Consumables Suppliers</t>
        </is>
      </c>
      <c r="E2996" t="n">
        <v>5016069</v>
      </c>
      <c r="F2996" t="inlineStr">
        <is>
          <t>000003855-1</t>
        </is>
      </c>
      <c r="G2996" t="inlineStr">
        <is>
          <t>RE</t>
        </is>
      </c>
      <c r="H2996" s="12" t="n">
        <v>-646000</v>
      </c>
      <c r="I2996" s="17" t="n">
        <v>46237</v>
      </c>
      <c r="J2996" s="17" t="n">
        <v>46267</v>
      </c>
      <c r="K2996" t="inlineStr">
        <is>
          <t>Fatura - bruto BLUEWAY TRADING IMPORTAÇAO E EXPORT</t>
        </is>
      </c>
    </row>
    <row r="2997">
      <c r="A2997" t="inlineStr">
        <is>
          <t>101222</t>
        </is>
      </c>
      <c r="B2997" t="inlineStr">
        <is>
          <t>AGROPECUARIA CANOA MIRIM SA</t>
        </is>
      </c>
      <c r="C2997" t="n">
        <v>2111000000</v>
      </c>
      <c r="D2997" t="inlineStr">
        <is>
          <t>Other Suppliers</t>
        </is>
      </c>
      <c r="E2997" t="n">
        <v>5016070</v>
      </c>
      <c r="F2997" t="inlineStr">
        <is>
          <t>202310</t>
        </is>
      </c>
      <c r="G2997" t="inlineStr">
        <is>
          <t>RE</t>
        </is>
      </c>
      <c r="H2997" s="12" t="n">
        <v>-8000</v>
      </c>
      <c r="I2997" s="17" t="n">
        <v>45172</v>
      </c>
      <c r="J2997" s="17" t="n">
        <v>45204</v>
      </c>
      <c r="K2997" t="inlineStr">
        <is>
          <t>Invoice Receipt MM AGROPECUARIA CANOA MIRIM SA 202</t>
        </is>
      </c>
    </row>
    <row r="2998">
      <c r="A2998" t="inlineStr">
        <is>
          <t>103966</t>
        </is>
      </c>
      <c r="B2998" t="inlineStr">
        <is>
          <t>HINE DO BRASIL IND E COM HIDR E PN 12482538000754</t>
        </is>
      </c>
      <c r="C2998" t="n">
        <v>2111000000</v>
      </c>
      <c r="D2998" t="inlineStr">
        <is>
          <t>Operational Suppliers (Wind Farms)</t>
        </is>
      </c>
      <c r="E2998" t="n">
        <v>5016070</v>
      </c>
      <c r="F2998" t="inlineStr">
        <is>
          <t>000004327-1</t>
        </is>
      </c>
      <c r="G2998" t="inlineStr">
        <is>
          <t>RE</t>
        </is>
      </c>
      <c r="H2998" s="12" t="n">
        <v>-918.9</v>
      </c>
      <c r="I2998" s="17" t="n">
        <v>46232</v>
      </c>
      <c r="J2998" s="17" t="n">
        <v>46270</v>
      </c>
      <c r="K2998" t="inlineStr">
        <is>
          <t>Fatura - bruto HINE DO BRASIL IND E COM HIDR E PN</t>
        </is>
      </c>
    </row>
    <row r="2999">
      <c r="A2999" t="inlineStr">
        <is>
          <t>101222</t>
        </is>
      </c>
      <c r="B2999" t="inlineStr">
        <is>
          <t>AGROPECUARIA CANOA MIRIM SA</t>
        </is>
      </c>
      <c r="C2999" t="n">
        <v>2111000000</v>
      </c>
      <c r="D2999" t="inlineStr">
        <is>
          <t>Other Suppliers</t>
        </is>
      </c>
      <c r="E2999" t="n">
        <v>5016071</v>
      </c>
      <c r="F2999" t="inlineStr">
        <is>
          <t>202311</t>
        </is>
      </c>
      <c r="G2999" t="inlineStr">
        <is>
          <t>RE</t>
        </is>
      </c>
      <c r="H2999" s="12" t="n">
        <v>-8000</v>
      </c>
      <c r="I2999" s="17" t="n">
        <v>45204</v>
      </c>
      <c r="J2999" s="17" t="n">
        <v>45235</v>
      </c>
      <c r="K2999" t="inlineStr">
        <is>
          <t>Invoice Receipt MM AGROPECUARIA CANOA MIRIM SA 202</t>
        </is>
      </c>
    </row>
    <row r="3000">
      <c r="A3000" t="inlineStr">
        <is>
          <t>103966</t>
        </is>
      </c>
      <c r="B3000" t="inlineStr">
        <is>
          <t>HINE DO BRASIL IND E COM HIDR E PN 12482538000754</t>
        </is>
      </c>
      <c r="C3000" t="n">
        <v>2111000000</v>
      </c>
      <c r="D3000" t="inlineStr">
        <is>
          <t>Operational Suppliers (Wind Farms)</t>
        </is>
      </c>
      <c r="E3000" t="n">
        <v>5016071</v>
      </c>
      <c r="F3000" t="inlineStr">
        <is>
          <t>000004417-1</t>
        </is>
      </c>
      <c r="G3000" t="inlineStr">
        <is>
          <t>RE</t>
        </is>
      </c>
      <c r="H3000" s="12" t="n">
        <v>-2687.07</v>
      </c>
      <c r="I3000" s="17" t="n">
        <v>46248</v>
      </c>
      <c r="J3000" s="17" t="n">
        <v>46300</v>
      </c>
      <c r="K3000" t="inlineStr">
        <is>
          <t>Fatura - bruto HINE DO BRASIL IND E COM HIDR E PN</t>
        </is>
      </c>
    </row>
    <row r="3001">
      <c r="A3001" t="inlineStr">
        <is>
          <t>101222</t>
        </is>
      </c>
      <c r="B3001" t="inlineStr">
        <is>
          <t>AGROPECUARIA CANOA MIRIM SA</t>
        </is>
      </c>
      <c r="C3001" t="n">
        <v>2111000000</v>
      </c>
      <c r="D3001" t="inlineStr">
        <is>
          <t>Other Suppliers</t>
        </is>
      </c>
      <c r="E3001" t="n">
        <v>5016072</v>
      </c>
      <c r="F3001" t="inlineStr">
        <is>
          <t>202312</t>
        </is>
      </c>
      <c r="G3001" t="inlineStr">
        <is>
          <t>RE</t>
        </is>
      </c>
      <c r="H3001" s="12" t="n">
        <v>-8000</v>
      </c>
      <c r="I3001" s="17" t="n">
        <v>45235</v>
      </c>
      <c r="J3001" s="17" t="n">
        <v>45265</v>
      </c>
      <c r="K3001" t="inlineStr">
        <is>
          <t>Invoice Receipt MM AGROPECUARIA CANOA MIRIM SA 202</t>
        </is>
      </c>
    </row>
    <row r="3002">
      <c r="A3002" t="inlineStr">
        <is>
          <t>101460</t>
        </is>
      </c>
      <c r="B3002" t="inlineStr">
        <is>
          <t>NS AUTOMACAO E INSTRUMENTAÇAO LTDA</t>
        </is>
      </c>
      <c r="C3002" t="n">
        <v>2111000000</v>
      </c>
      <c r="D3002" t="inlineStr">
        <is>
          <t>Other Suppliers</t>
        </is>
      </c>
      <c r="E3002" t="n">
        <v>5016072</v>
      </c>
      <c r="F3002" t="inlineStr">
        <is>
          <t>000005787-1</t>
        </is>
      </c>
      <c r="G3002" t="inlineStr">
        <is>
          <t>RE</t>
        </is>
      </c>
      <c r="H3002" s="12" t="n">
        <v>-23160</v>
      </c>
      <c r="I3002" s="17" t="n">
        <v>46225</v>
      </c>
      <c r="J3002" s="17" t="n">
        <v>46270</v>
      </c>
      <c r="K3002" t="inlineStr">
        <is>
          <t>Fatura - bruto NS AUTOMACAO E INSTRUMENTAÇAO LTDA</t>
        </is>
      </c>
    </row>
    <row r="3003">
      <c r="A3003" t="inlineStr">
        <is>
          <t>101166</t>
        </is>
      </c>
      <c r="B3003" t="inlineStr">
        <is>
          <t>HANSA-FLEX DO BRASIL LTDA</t>
        </is>
      </c>
      <c r="C3003" t="n">
        <v>2111000000</v>
      </c>
      <c r="D3003" t="inlineStr">
        <is>
          <t>Other Suppliers</t>
        </is>
      </c>
      <c r="E3003" t="n">
        <v>5016073</v>
      </c>
      <c r="F3003" t="inlineStr">
        <is>
          <t>000024014-1</t>
        </is>
      </c>
      <c r="G3003" t="inlineStr">
        <is>
          <t>RE</t>
        </is>
      </c>
      <c r="H3003" s="12" t="n">
        <v>-17632.14</v>
      </c>
      <c r="I3003" s="17" t="n">
        <v>46240</v>
      </c>
      <c r="J3003" s="17" t="n">
        <v>46300</v>
      </c>
      <c r="K3003" t="inlineStr">
        <is>
          <t>Fatura - bruto HANSA-FLEX DO BRASIL LTDA 000024014</t>
        </is>
      </c>
    </row>
    <row r="3004">
      <c r="A3004" t="inlineStr">
        <is>
          <t>114597</t>
        </is>
      </c>
      <c r="B3004" t="inlineStr">
        <is>
          <t>BLUEWAY TRADING IMPORTAÇAO E EXPORT SA</t>
        </is>
      </c>
      <c r="C3004" t="n">
        <v>2111000000</v>
      </c>
      <c r="D3004" t="inlineStr">
        <is>
          <t>Consumables Suppliers</t>
        </is>
      </c>
      <c r="E3004" t="n">
        <v>5016074</v>
      </c>
      <c r="F3004" t="inlineStr">
        <is>
          <t>000012056-1</t>
        </is>
      </c>
      <c r="G3004" t="inlineStr">
        <is>
          <t>RE</t>
        </is>
      </c>
      <c r="H3004" s="12" t="n">
        <v>-36160</v>
      </c>
      <c r="I3004" s="17" t="n">
        <v>46232</v>
      </c>
      <c r="J3004" s="17" t="n">
        <v>46262</v>
      </c>
      <c r="K3004" t="inlineStr">
        <is>
          <t>Fatura - bruto BLUEWAY TRADING IMPORTAÇAO E EXPORT</t>
        </is>
      </c>
    </row>
    <row r="3005">
      <c r="A3005" t="inlineStr">
        <is>
          <t>106024</t>
        </is>
      </c>
      <c r="B3005" t="inlineStr">
        <is>
          <t>NS AUTOMACAO E INSTRUMENTACAO LTDA 13786265000290</t>
        </is>
      </c>
      <c r="C3005" t="n">
        <v>2111000000</v>
      </c>
      <c r="D3005" t="inlineStr">
        <is>
          <t>Other Suppliers</t>
        </is>
      </c>
      <c r="E3005" t="n">
        <v>5016075</v>
      </c>
      <c r="F3005" t="inlineStr">
        <is>
          <t>000000316-1</t>
        </is>
      </c>
      <c r="G3005" t="inlineStr">
        <is>
          <t>RE</t>
        </is>
      </c>
      <c r="H3005" s="12" t="n">
        <v>-15840</v>
      </c>
      <c r="I3005" s="17" t="n">
        <v>46245</v>
      </c>
      <c r="J3005" s="17" t="n">
        <v>46300</v>
      </c>
      <c r="K3005" t="inlineStr">
        <is>
          <t>Fatura - bruto NS AUTOMACAO E INSTRUMENTACAO LTDA</t>
        </is>
      </c>
    </row>
    <row r="3006">
      <c r="A3006" t="inlineStr">
        <is>
          <t>115019</t>
        </is>
      </c>
      <c r="B3006" t="inlineStr">
        <is>
          <t>BLUEWAY TRADING IMPORTAÇAO E EXPORT SA</t>
        </is>
      </c>
      <c r="C3006" t="n">
        <v>2111000000</v>
      </c>
      <c r="D3006" t="inlineStr">
        <is>
          <t>Consumables Suppliers</t>
        </is>
      </c>
      <c r="E3006" t="n">
        <v>5016076</v>
      </c>
      <c r="F3006" t="inlineStr">
        <is>
          <t>000003626-1</t>
        </is>
      </c>
      <c r="G3006" t="inlineStr">
        <is>
          <t>RE</t>
        </is>
      </c>
      <c r="H3006" s="12" t="n">
        <v>-94999.98</v>
      </c>
      <c r="I3006" s="17" t="n">
        <v>46196</v>
      </c>
      <c r="J3006" s="17" t="n">
        <v>46226</v>
      </c>
      <c r="K3006" t="inlineStr">
        <is>
          <t>Fatura - bruto BLUEWAY TRADING IMPORTAÇAO E EXPORT</t>
        </is>
      </c>
    </row>
    <row r="3007">
      <c r="A3007" t="inlineStr">
        <is>
          <t>101929</t>
        </is>
      </c>
      <c r="B3007" t="inlineStr">
        <is>
          <t>TECNOFIX INDUSTRIA E COMERCIO DE PA</t>
        </is>
      </c>
      <c r="C3007" t="n">
        <v>2111000000</v>
      </c>
      <c r="D3007" t="inlineStr">
        <is>
          <t>Operational Suppliers (Wind Farms)</t>
        </is>
      </c>
      <c r="E3007" t="n">
        <v>5016077</v>
      </c>
      <c r="F3007" t="inlineStr">
        <is>
          <t>000031399-1</t>
        </is>
      </c>
      <c r="G3007" t="inlineStr">
        <is>
          <t>RE</t>
        </is>
      </c>
      <c r="H3007" s="12" t="n">
        <v>-17556.53</v>
      </c>
      <c r="I3007" s="17" t="n">
        <v>46237</v>
      </c>
      <c r="J3007" s="17" t="n">
        <v>46300</v>
      </c>
      <c r="K3007" t="inlineStr">
        <is>
          <t>Fatura - bruto TECNOFIX INDUSTRIA E COMERCIO DE PA</t>
        </is>
      </c>
    </row>
    <row r="3008">
      <c r="A3008" t="inlineStr">
        <is>
          <t>101929</t>
        </is>
      </c>
      <c r="B3008" t="inlineStr">
        <is>
          <t>TECNOFIX INDUSTRIA E COMERCIO DE PA</t>
        </is>
      </c>
      <c r="C3008" t="n">
        <v>2111000000</v>
      </c>
      <c r="D3008" t="inlineStr">
        <is>
          <t>Operational Suppliers (Wind Farms)</t>
        </is>
      </c>
      <c r="E3008" t="n">
        <v>5016078</v>
      </c>
      <c r="F3008" t="inlineStr">
        <is>
          <t>000031438-1</t>
        </is>
      </c>
      <c r="G3008" t="inlineStr">
        <is>
          <t>RE</t>
        </is>
      </c>
      <c r="H3008" s="12" t="n">
        <v>-497541.39</v>
      </c>
      <c r="I3008" s="17" t="n">
        <v>46252</v>
      </c>
      <c r="J3008" s="17" t="n">
        <v>46331</v>
      </c>
      <c r="K3008" t="inlineStr">
        <is>
          <t>Fatura - bruto TECNOFIX INDUSTRIA E COMERCIO DE PA</t>
        </is>
      </c>
    </row>
    <row r="3009">
      <c r="A3009" t="inlineStr">
        <is>
          <t>101135</t>
        </is>
      </c>
      <c r="B3009" t="inlineStr">
        <is>
          <t>IDEAL WORK UNIFORMES E E.P.I.S LTDA</t>
        </is>
      </c>
      <c r="C3009" t="n">
        <v>2111000000</v>
      </c>
      <c r="D3009" t="inlineStr">
        <is>
          <t>Consumables Suppliers</t>
        </is>
      </c>
      <c r="E3009" t="n">
        <v>5016079</v>
      </c>
      <c r="F3009" t="inlineStr">
        <is>
          <t>000093705-2</t>
        </is>
      </c>
      <c r="G3009" t="inlineStr">
        <is>
          <t>RE</t>
        </is>
      </c>
      <c r="H3009" s="12" t="n">
        <v>-7643.06</v>
      </c>
      <c r="I3009" s="17" t="n">
        <v>46234</v>
      </c>
      <c r="J3009" s="17" t="n">
        <v>46270</v>
      </c>
      <c r="K3009" t="inlineStr">
        <is>
          <t>Fatura - bruto IDEAL WORK UNIFORMES E E.P.I.S LTDA</t>
        </is>
      </c>
    </row>
    <row r="3010">
      <c r="A3010" t="inlineStr">
        <is>
          <t>101135</t>
        </is>
      </c>
      <c r="B3010" t="inlineStr">
        <is>
          <t>IDEAL WORK UNIFORMES E E.P.I.S LTDA</t>
        </is>
      </c>
      <c r="C3010" t="n">
        <v>2111000000</v>
      </c>
      <c r="D3010" t="inlineStr">
        <is>
          <t>Consumables Suppliers</t>
        </is>
      </c>
      <c r="E3010" t="n">
        <v>5016080</v>
      </c>
      <c r="F3010" t="inlineStr">
        <is>
          <t>000093706-2</t>
        </is>
      </c>
      <c r="G3010" t="inlineStr">
        <is>
          <t>RE</t>
        </is>
      </c>
      <c r="H3010" s="12" t="n">
        <v>-19764.15</v>
      </c>
      <c r="I3010" s="17" t="n">
        <v>46234</v>
      </c>
      <c r="J3010" s="17" t="n">
        <v>46270</v>
      </c>
      <c r="K3010" t="inlineStr">
        <is>
          <t>Fatura - bruto IDEAL WORK UNIFORMES E E.P.I.S LTDA</t>
        </is>
      </c>
    </row>
    <row r="3011">
      <c r="A3011" t="inlineStr">
        <is>
          <t>101135</t>
        </is>
      </c>
      <c r="B3011" t="inlineStr">
        <is>
          <t>IDEAL WORK UNIFORMES E E.P.I.S LTDA</t>
        </is>
      </c>
      <c r="C3011" t="n">
        <v>2111000000</v>
      </c>
      <c r="D3011" t="inlineStr">
        <is>
          <t>Consumables Suppliers</t>
        </is>
      </c>
      <c r="E3011" t="n">
        <v>5016081</v>
      </c>
      <c r="F3011" t="inlineStr">
        <is>
          <t>000093721-2</t>
        </is>
      </c>
      <c r="G3011" t="inlineStr">
        <is>
          <t>RE</t>
        </is>
      </c>
      <c r="H3011" s="12" t="n">
        <v>-22929.18</v>
      </c>
      <c r="I3011" s="17" t="n">
        <v>46234</v>
      </c>
      <c r="J3011" s="17" t="n">
        <v>46270</v>
      </c>
      <c r="K3011" t="inlineStr">
        <is>
          <t>Fatura - bruto IDEAL WORK UNIFORMES E E.P.I.S LTDA</t>
        </is>
      </c>
    </row>
    <row r="3012">
      <c r="A3012" t="inlineStr">
        <is>
          <t>101135</t>
        </is>
      </c>
      <c r="B3012" t="inlineStr">
        <is>
          <t>IDEAL WORK UNIFORMES E E.P.I.S LTDA</t>
        </is>
      </c>
      <c r="C3012" t="n">
        <v>2111000000</v>
      </c>
      <c r="D3012" t="inlineStr">
        <is>
          <t>Consumables Suppliers</t>
        </is>
      </c>
      <c r="E3012" t="n">
        <v>5016082</v>
      </c>
      <c r="F3012" t="inlineStr">
        <is>
          <t>000093797-2</t>
        </is>
      </c>
      <c r="G3012" t="inlineStr">
        <is>
          <t>RE</t>
        </is>
      </c>
      <c r="H3012" s="12" t="n">
        <v>-38754.33</v>
      </c>
      <c r="I3012" s="17" t="n">
        <v>46237</v>
      </c>
      <c r="J3012" s="17" t="n">
        <v>46270</v>
      </c>
      <c r="K3012" t="inlineStr">
        <is>
          <t>Fatura - bruto IDEAL WORK UNIFORMES E E.P.I.S LTDA</t>
        </is>
      </c>
    </row>
    <row r="3013">
      <c r="A3013" t="inlineStr">
        <is>
          <t>101135</t>
        </is>
      </c>
      <c r="B3013" t="inlineStr">
        <is>
          <t>IDEAL WORK UNIFORMES E E.P.I.S LTDA</t>
        </is>
      </c>
      <c r="C3013" t="n">
        <v>2111000000</v>
      </c>
      <c r="D3013" t="inlineStr">
        <is>
          <t>Consumables Suppliers</t>
        </is>
      </c>
      <c r="E3013" t="n">
        <v>5016083</v>
      </c>
      <c r="F3013" t="inlineStr">
        <is>
          <t>000093809-2</t>
        </is>
      </c>
      <c r="G3013" t="inlineStr">
        <is>
          <t>RE</t>
        </is>
      </c>
      <c r="H3013" s="12" t="n">
        <v>-49562.42</v>
      </c>
      <c r="I3013" s="17" t="n">
        <v>46237</v>
      </c>
      <c r="J3013" s="17" t="n">
        <v>46270</v>
      </c>
      <c r="K3013" t="inlineStr">
        <is>
          <t>Fatura - bruto IDEAL WORK UNIFORMES E E.P.I.S LTDA</t>
        </is>
      </c>
    </row>
    <row r="3014">
      <c r="A3014" t="inlineStr">
        <is>
          <t>101135</t>
        </is>
      </c>
      <c r="B3014" t="inlineStr">
        <is>
          <t>IDEAL WORK UNIFORMES E E.P.I.S LTDA</t>
        </is>
      </c>
      <c r="C3014" t="n">
        <v>2111000000</v>
      </c>
      <c r="D3014" t="inlineStr">
        <is>
          <t>Consumables Suppliers</t>
        </is>
      </c>
      <c r="E3014" t="n">
        <v>5016084</v>
      </c>
      <c r="F3014" t="inlineStr">
        <is>
          <t>000093818-2</t>
        </is>
      </c>
      <c r="G3014" t="inlineStr">
        <is>
          <t>RE</t>
        </is>
      </c>
      <c r="H3014" s="12" t="n">
        <v>-26094.21</v>
      </c>
      <c r="I3014" s="17" t="n">
        <v>46237</v>
      </c>
      <c r="J3014" s="17" t="n">
        <v>46270</v>
      </c>
      <c r="K3014" t="inlineStr">
        <is>
          <t>Fatura - bruto IDEAL WORK UNIFORMES E E.P.I.S LTDA</t>
        </is>
      </c>
    </row>
    <row r="3015">
      <c r="A3015" t="inlineStr">
        <is>
          <t>101135</t>
        </is>
      </c>
      <c r="B3015" t="inlineStr">
        <is>
          <t>IDEAL WORK UNIFORMES E E.P.I.S LTDA</t>
        </is>
      </c>
      <c r="C3015" t="n">
        <v>2111000000</v>
      </c>
      <c r="D3015" t="inlineStr">
        <is>
          <t>Consumables Suppliers</t>
        </is>
      </c>
      <c r="E3015" t="n">
        <v>5016085</v>
      </c>
      <c r="F3015" t="inlineStr">
        <is>
          <t>000096190-2</t>
        </is>
      </c>
      <c r="G3015" t="inlineStr">
        <is>
          <t>RE</t>
        </is>
      </c>
      <c r="H3015" s="12" t="n">
        <v>-13973.12</v>
      </c>
      <c r="I3015" s="17" t="n">
        <v>46246</v>
      </c>
      <c r="J3015" s="17" t="n">
        <v>46270</v>
      </c>
      <c r="K3015" t="inlineStr">
        <is>
          <t>Fatura - bruto IDEAL WORK UNIFORMES E E.P.I.S LTDA</t>
        </is>
      </c>
    </row>
    <row r="3016">
      <c r="A3016" t="inlineStr">
        <is>
          <t>101848</t>
        </is>
      </c>
      <c r="B3016" t="inlineStr">
        <is>
          <t>KLUBER LUBRICATION LUBRIF ESPECIAIS</t>
        </is>
      </c>
      <c r="C3016" t="n">
        <v>2111000000</v>
      </c>
      <c r="D3016" t="inlineStr">
        <is>
          <t>Other Suppliers</t>
        </is>
      </c>
      <c r="E3016" t="n">
        <v>5016086</v>
      </c>
      <c r="F3016" t="inlineStr">
        <is>
          <t>000772602-1</t>
        </is>
      </c>
      <c r="G3016" t="inlineStr">
        <is>
          <t>RE</t>
        </is>
      </c>
      <c r="H3016" s="12" t="n">
        <v>-58649.95</v>
      </c>
      <c r="I3016" s="17" t="n">
        <v>46225</v>
      </c>
      <c r="J3016" s="17" t="n">
        <v>46270</v>
      </c>
      <c r="K3016" t="inlineStr">
        <is>
          <t>Fatura - bruto KLUBER LUBRICATION LUBRIF ESPECIAIS</t>
        </is>
      </c>
    </row>
    <row r="3017">
      <c r="A3017" t="inlineStr">
        <is>
          <t>101929</t>
        </is>
      </c>
      <c r="B3017" t="inlineStr">
        <is>
          <t>TECNOFIX INDUSTRIA E COMERCIO DE PA</t>
        </is>
      </c>
      <c r="C3017" t="n">
        <v>2111000000</v>
      </c>
      <c r="D3017" t="inlineStr">
        <is>
          <t>Operational Suppliers (Wind Farms)</t>
        </is>
      </c>
      <c r="E3017" t="n">
        <v>5016087</v>
      </c>
      <c r="F3017" t="inlineStr">
        <is>
          <t>000031434-1</t>
        </is>
      </c>
      <c r="G3017" t="inlineStr">
        <is>
          <t>RE</t>
        </is>
      </c>
      <c r="H3017" s="12" t="n">
        <v>-3175.25</v>
      </c>
      <c r="I3017" s="17" t="n">
        <v>46248</v>
      </c>
      <c r="J3017" s="17" t="n">
        <v>46300</v>
      </c>
      <c r="K3017" t="inlineStr">
        <is>
          <t>Fatura - bruto TECNOFIX INDUSTRIA E COMERCIO DE PA</t>
        </is>
      </c>
    </row>
    <row r="3018">
      <c r="A3018" t="inlineStr">
        <is>
          <t>107723</t>
        </is>
      </c>
      <c r="B3018" t="inlineStr">
        <is>
          <t>BLUEWAY TRADING IMPORTACAO E EXPORT S.A</t>
        </is>
      </c>
      <c r="C3018" t="n">
        <v>2111000000</v>
      </c>
      <c r="D3018" t="inlineStr">
        <is>
          <t>Customs Brokerage – Overall</t>
        </is>
      </c>
      <c r="E3018" t="n">
        <v>5016088</v>
      </c>
      <c r="F3018" t="inlineStr">
        <is>
          <t>000002816-1</t>
        </is>
      </c>
      <c r="G3018" t="inlineStr">
        <is>
          <t>RE</t>
        </is>
      </c>
      <c r="H3018" s="12" t="n">
        <v>-89370.00999999999</v>
      </c>
      <c r="I3018" s="17" t="n">
        <v>46192</v>
      </c>
      <c r="J3018" s="17" t="n">
        <v>46239</v>
      </c>
      <c r="K3018" t="inlineStr">
        <is>
          <t>Fatura - bruto BLUEWAY TRADING IMPORTACAO E EXPORT</t>
        </is>
      </c>
    </row>
    <row r="3019">
      <c r="A3019" t="inlineStr">
        <is>
          <t>105984</t>
        </is>
      </c>
      <c r="B3019" t="inlineStr">
        <is>
          <t>TRADEWORKS SERVICOS DE COMERCIO EXT 04955748000107</t>
        </is>
      </c>
      <c r="C3019" t="n">
        <v>2111000000</v>
      </c>
      <c r="D3019" t="inlineStr">
        <is>
          <t>Customs Brokerage – Overall</t>
        </is>
      </c>
      <c r="E3019" t="n">
        <v>5016089</v>
      </c>
      <c r="F3019" t="inlineStr">
        <is>
          <t>93479</t>
        </is>
      </c>
      <c r="G3019" t="inlineStr">
        <is>
          <t>RE</t>
        </is>
      </c>
      <c r="H3019" s="12" t="n">
        <v>-1337.76</v>
      </c>
      <c r="I3019" s="17" t="n">
        <v>46239</v>
      </c>
      <c r="J3019" s="17" t="n">
        <v>46269</v>
      </c>
      <c r="K3019" t="inlineStr">
        <is>
          <t>Fatura - bruto TRADEWORKS SERVICOS DE COMERCIO EXT</t>
        </is>
      </c>
    </row>
    <row r="3020">
      <c r="A3020" t="inlineStr">
        <is>
          <t>105984</t>
        </is>
      </c>
      <c r="B3020" t="inlineStr">
        <is>
          <t>TRADEWORKS SERVICOS DE COMERCIO EXT 04955748000107</t>
        </is>
      </c>
      <c r="C3020" t="n">
        <v>2111000000</v>
      </c>
      <c r="D3020" t="inlineStr">
        <is>
          <t>Customs Brokerage – Overall</t>
        </is>
      </c>
      <c r="E3020" t="n">
        <v>5016090</v>
      </c>
      <c r="F3020" t="inlineStr">
        <is>
          <t>93515</t>
        </is>
      </c>
      <c r="G3020" t="inlineStr">
        <is>
          <t>RE</t>
        </is>
      </c>
      <c r="H3020" s="12" t="n">
        <v>-1337.76</v>
      </c>
      <c r="I3020" s="17" t="n">
        <v>46239</v>
      </c>
      <c r="J3020" s="17" t="n">
        <v>46269</v>
      </c>
      <c r="K3020" t="inlineStr">
        <is>
          <t>Fatura - bruto TRADEWORKS SERVICOS DE COMERCIO EXT</t>
        </is>
      </c>
    </row>
    <row r="3021">
      <c r="A3021" t="inlineStr">
        <is>
          <t>105984</t>
        </is>
      </c>
      <c r="B3021" t="inlineStr">
        <is>
          <t>TRADEWORKS SERVICOS DE COMERCIO EXT 04955748000107</t>
        </is>
      </c>
      <c r="C3021" t="n">
        <v>2111000000</v>
      </c>
      <c r="D3021" t="inlineStr">
        <is>
          <t>Customs Brokerage – Overall</t>
        </is>
      </c>
      <c r="E3021" t="n">
        <v>5016091</v>
      </c>
      <c r="F3021" t="inlineStr">
        <is>
          <t>93762</t>
        </is>
      </c>
      <c r="G3021" t="inlineStr">
        <is>
          <t>RE</t>
        </is>
      </c>
      <c r="H3021" s="12" t="n">
        <v>-1196.41</v>
      </c>
      <c r="I3021" s="17" t="n">
        <v>46254</v>
      </c>
      <c r="J3021" s="17" t="n">
        <v>46284</v>
      </c>
      <c r="K3021" t="inlineStr">
        <is>
          <t>Fatura - bruto TRADEWORKS SERVICOS DE COMERCIO EXT</t>
        </is>
      </c>
    </row>
    <row r="3022">
      <c r="A3022" t="inlineStr">
        <is>
          <t>101253</t>
        </is>
      </c>
      <c r="B3022" t="inlineStr">
        <is>
          <t>ALTUS SISTEMAS DE AUTOMACAO SA</t>
        </is>
      </c>
      <c r="C3022" t="n">
        <v>2111000000</v>
      </c>
      <c r="D3022" t="inlineStr">
        <is>
          <t>Other Suppliers</t>
        </is>
      </c>
      <c r="E3022" t="n">
        <v>5016092</v>
      </c>
      <c r="F3022" t="inlineStr">
        <is>
          <t>000075877-1</t>
        </is>
      </c>
      <c r="G3022" t="inlineStr">
        <is>
          <t>RE</t>
        </is>
      </c>
      <c r="H3022" s="12" t="n">
        <v>-15989.86</v>
      </c>
      <c r="I3022" s="17" t="n">
        <v>46217</v>
      </c>
      <c r="J3022" s="17" t="n">
        <v>46239</v>
      </c>
      <c r="K3022" t="inlineStr">
        <is>
          <t>Fatura - bruto ALTUS SISTEMAS DE AUTOMACAO SA 0000</t>
        </is>
      </c>
    </row>
    <row r="3023">
      <c r="A3023" t="inlineStr">
        <is>
          <t>100621</t>
        </is>
      </c>
      <c r="B3023" t="inlineStr">
        <is>
          <t>CALTER ENGENHARIA LTDA</t>
        </is>
      </c>
      <c r="C3023" t="n">
        <v>2111000000</v>
      </c>
      <c r="D3023" t="inlineStr">
        <is>
          <t>Other Suppliers</t>
        </is>
      </c>
      <c r="E3023" t="n">
        <v>5016093</v>
      </c>
      <c r="F3023" t="inlineStr">
        <is>
          <t>51</t>
        </is>
      </c>
      <c r="G3023" t="inlineStr">
        <is>
          <t>RE</t>
        </is>
      </c>
      <c r="H3023" s="12" t="n">
        <v>-166147.34</v>
      </c>
      <c r="I3023" s="17" t="n">
        <v>46255</v>
      </c>
      <c r="J3023" s="17" t="n">
        <v>46331</v>
      </c>
      <c r="K3023" t="inlineStr">
        <is>
          <t>Fatura - bruto CALTER ENGENHARIA LTDA 51</t>
        </is>
      </c>
    </row>
    <row r="3024">
      <c r="A3024" t="inlineStr">
        <is>
          <t>105635</t>
        </is>
      </c>
      <c r="B3024" t="inlineStr">
        <is>
          <t>DOIS A ENGENHARIA E TECNOLOGIA LTDA 03092799000181</t>
        </is>
      </c>
      <c r="C3024" t="n">
        <v>2111000000</v>
      </c>
      <c r="D3024" t="inlineStr">
        <is>
          <t>Operational Suppliers (Wind Farms)</t>
        </is>
      </c>
      <c r="E3024" t="n">
        <v>5016094</v>
      </c>
      <c r="F3024" t="inlineStr">
        <is>
          <t>259</t>
        </is>
      </c>
      <c r="G3024" t="inlineStr">
        <is>
          <t>RE</t>
        </is>
      </c>
      <c r="H3024" s="12" t="n">
        <v>-682604.89</v>
      </c>
      <c r="I3024" s="17" t="n">
        <v>46239</v>
      </c>
      <c r="J3024" s="17" t="n">
        <v>46300</v>
      </c>
      <c r="K3024" t="inlineStr">
        <is>
          <t>Fatura - bruto DOIS A ENGENHARIA E TECNOLOGIA LTDA</t>
        </is>
      </c>
    </row>
    <row r="3025">
      <c r="A3025" t="inlineStr">
        <is>
          <t>100906</t>
        </is>
      </c>
      <c r="B3025" t="inlineStr">
        <is>
          <t>R &amp; G TELECOM LTDA</t>
        </is>
      </c>
      <c r="C3025" t="n">
        <v>2111000000</v>
      </c>
      <c r="D3025" t="inlineStr">
        <is>
          <t>Other Suppliers</t>
        </is>
      </c>
      <c r="E3025" t="n">
        <v>5016095</v>
      </c>
      <c r="F3025" t="inlineStr">
        <is>
          <t>5247</t>
        </is>
      </c>
      <c r="G3025" t="inlineStr">
        <is>
          <t>RE</t>
        </is>
      </c>
      <c r="H3025" s="12" t="n">
        <v>-1225</v>
      </c>
      <c r="I3025" s="17" t="n">
        <v>46196</v>
      </c>
      <c r="J3025" s="17" t="n">
        <v>46228</v>
      </c>
      <c r="K3025" t="inlineStr">
        <is>
          <t>Fatura - bruto R &amp; G TELECOM LTDA 5247</t>
        </is>
      </c>
    </row>
    <row r="3026">
      <c r="A3026" t="inlineStr">
        <is>
          <t>101176</t>
        </is>
      </c>
      <c r="B3026" t="inlineStr">
        <is>
          <t>DEUBLIN BRASIL JUNTAS ROTATIVAS DE</t>
        </is>
      </c>
      <c r="C3026" t="n">
        <v>2111000000</v>
      </c>
      <c r="D3026" t="inlineStr">
        <is>
          <t>Operational Suppliers (Wind Farms)</t>
        </is>
      </c>
      <c r="E3026" t="n">
        <v>5016096</v>
      </c>
      <c r="F3026" t="inlineStr">
        <is>
          <t>000045583-2</t>
        </is>
      </c>
      <c r="G3026" t="inlineStr">
        <is>
          <t>RE</t>
        </is>
      </c>
      <c r="H3026" s="12" t="n">
        <v>-111947.9</v>
      </c>
      <c r="I3026" s="17" t="n">
        <v>46234</v>
      </c>
      <c r="J3026" s="17" t="n">
        <v>46300</v>
      </c>
      <c r="K3026" t="inlineStr">
        <is>
          <t>Fatura - bruto DEUBLIN BRASIL JUNTAS ROTATIVAS DE</t>
        </is>
      </c>
    </row>
    <row r="3027">
      <c r="A3027" t="inlineStr">
        <is>
          <t>101048</t>
        </is>
      </c>
      <c r="B3027" t="inlineStr">
        <is>
          <t>M R DE MEDEIROS</t>
        </is>
      </c>
      <c r="C3027" t="n">
        <v>2111000000</v>
      </c>
      <c r="D3027" t="inlineStr">
        <is>
          <t>Other Suppliers</t>
        </is>
      </c>
      <c r="E3027" t="n">
        <v>5016097</v>
      </c>
      <c r="F3027" t="inlineStr">
        <is>
          <t>2627-1</t>
        </is>
      </c>
      <c r="G3027" t="inlineStr">
        <is>
          <t>RE</t>
        </is>
      </c>
      <c r="H3027" s="12" t="n">
        <v>-1434</v>
      </c>
      <c r="I3027" s="17" t="n">
        <v>46245</v>
      </c>
      <c r="J3027" s="17" t="n">
        <v>46260</v>
      </c>
      <c r="K3027" t="inlineStr">
        <is>
          <t>Fatura - bruto M R DE MEDEIROS 2627-1</t>
        </is>
      </c>
    </row>
    <row r="3028">
      <c r="A3028" t="inlineStr">
        <is>
          <t>100498</t>
        </is>
      </c>
      <c r="B3028" t="inlineStr">
        <is>
          <t>JESSYCA MARIA LIMA DE MOURA</t>
        </is>
      </c>
      <c r="C3028" t="n">
        <v>2111000000</v>
      </c>
      <c r="D3028" t="inlineStr">
        <is>
          <t>Other Suppliers</t>
        </is>
      </c>
      <c r="E3028" t="n">
        <v>5016098</v>
      </c>
      <c r="F3028" t="inlineStr">
        <is>
          <t>4114</t>
        </is>
      </c>
      <c r="G3028" t="inlineStr">
        <is>
          <t>RE</t>
        </is>
      </c>
      <c r="H3028" s="12" t="n">
        <v>-20169.68</v>
      </c>
      <c r="I3028" s="17" t="n">
        <v>46262</v>
      </c>
      <c r="J3028" s="17" t="n">
        <v>46300</v>
      </c>
      <c r="K3028" t="inlineStr">
        <is>
          <t>Fatura - bruto JESSYCA MARIA LIMA DE MOURA 4114</t>
        </is>
      </c>
    </row>
    <row r="3029">
      <c r="A3029" t="inlineStr">
        <is>
          <t>100369</t>
        </is>
      </c>
      <c r="B3029" t="inlineStr">
        <is>
          <t>NUCLEO DE MONITORAMENTO DE DESCARGA</t>
        </is>
      </c>
      <c r="C3029" t="n">
        <v>2111000000</v>
      </c>
      <c r="D3029" t="inlineStr">
        <is>
          <t>Other Suppliers</t>
        </is>
      </c>
      <c r="E3029" t="n">
        <v>5016100</v>
      </c>
      <c r="F3029" t="inlineStr">
        <is>
          <t>3284</t>
        </is>
      </c>
      <c r="G3029" t="inlineStr">
        <is>
          <t>RE</t>
        </is>
      </c>
      <c r="H3029" s="12" t="n">
        <v>-35750</v>
      </c>
      <c r="I3029" s="17" t="n">
        <v>46241</v>
      </c>
      <c r="J3029" s="17" t="n">
        <v>46270</v>
      </c>
      <c r="K3029" t="inlineStr">
        <is>
          <t>Fatura - bruto NUCLEO DE MONITORAMENTO DE DESCARGA</t>
        </is>
      </c>
    </row>
    <row r="3030">
      <c r="A3030" t="inlineStr">
        <is>
          <t>100961</t>
        </is>
      </c>
      <c r="B3030" t="inlineStr">
        <is>
          <t>VPS BRASIL SUPRIMENTOS INDUSTRIAIS</t>
        </is>
      </c>
      <c r="C3030" t="n">
        <v>2111000000</v>
      </c>
      <c r="D3030" t="inlineStr">
        <is>
          <t>Consumables Suppliers</t>
        </is>
      </c>
      <c r="E3030" t="n">
        <v>5016101</v>
      </c>
      <c r="F3030" t="inlineStr">
        <is>
          <t>54844-1</t>
        </is>
      </c>
      <c r="G3030" t="inlineStr">
        <is>
          <t>RE</t>
        </is>
      </c>
      <c r="H3030" s="12" t="n">
        <v>-16959.9</v>
      </c>
      <c r="I3030" s="17" t="n">
        <v>46234</v>
      </c>
      <c r="J3030" s="17" t="n">
        <v>46272</v>
      </c>
      <c r="K3030" t="inlineStr">
        <is>
          <t>Fatura - bruto VPS BRASIL SUPRIMENTOS INDUSTRIAIS</t>
        </is>
      </c>
    </row>
    <row r="3031">
      <c r="A3031" t="inlineStr">
        <is>
          <t>102067</t>
        </is>
      </c>
      <c r="B3031" t="inlineStr">
        <is>
          <t>SUPRICORP SUPRIMENTOS LTDA</t>
        </is>
      </c>
      <c r="C3031" t="n">
        <v>2111000000</v>
      </c>
      <c r="D3031" t="inlineStr">
        <is>
          <t>Other Suppliers</t>
        </is>
      </c>
      <c r="E3031" t="n">
        <v>5016102</v>
      </c>
      <c r="F3031" t="inlineStr">
        <is>
          <t>8413844</t>
        </is>
      </c>
      <c r="G3031" t="inlineStr">
        <is>
          <t>RE</t>
        </is>
      </c>
      <c r="H3031" s="12" t="n">
        <v>-1597.8</v>
      </c>
      <c r="I3031" s="17" t="n">
        <v>46238</v>
      </c>
      <c r="J3031" s="17" t="n">
        <v>46270</v>
      </c>
      <c r="K3031" t="inlineStr">
        <is>
          <t>Fatura - bruto SUPRICORP SUPRIMENTOS LTDA 8413844</t>
        </is>
      </c>
    </row>
    <row r="3032">
      <c r="A3032" t="inlineStr">
        <is>
          <t>102067</t>
        </is>
      </c>
      <c r="B3032" t="inlineStr">
        <is>
          <t>SUPRICORP SUPRIMENTOS LTDA</t>
        </is>
      </c>
      <c r="C3032" t="n">
        <v>2111000000</v>
      </c>
      <c r="D3032" t="inlineStr">
        <is>
          <t>Other Suppliers</t>
        </is>
      </c>
      <c r="E3032" t="n">
        <v>5016103</v>
      </c>
      <c r="F3032" t="inlineStr">
        <is>
          <t>8414915</t>
        </is>
      </c>
      <c r="G3032" t="inlineStr">
        <is>
          <t>RE</t>
        </is>
      </c>
      <c r="H3032" s="12" t="n">
        <v>-126.05</v>
      </c>
      <c r="I3032" s="17" t="n">
        <v>46239</v>
      </c>
      <c r="J3032" s="17" t="n">
        <v>46270</v>
      </c>
      <c r="K3032" t="inlineStr">
        <is>
          <t>Fatura - bruto SUPRICORP SUPRIMENTOS LTDA 8414915</t>
        </is>
      </c>
    </row>
    <row r="3033">
      <c r="A3033" t="inlineStr">
        <is>
          <t>103927</t>
        </is>
      </c>
      <c r="B3033" t="inlineStr">
        <is>
          <t>MOVIDA PARTICIPACOES</t>
        </is>
      </c>
      <c r="C3033" t="n">
        <v>2111000000</v>
      </c>
      <c r="D3033" t="inlineStr">
        <is>
          <t>Other Suppliers</t>
        </is>
      </c>
      <c r="E3033" t="n">
        <v>5016104</v>
      </c>
      <c r="F3033" t="inlineStr">
        <is>
          <t>801070</t>
        </is>
      </c>
      <c r="G3033" t="inlineStr">
        <is>
          <t>RE</t>
        </is>
      </c>
      <c r="H3033" s="12" t="n">
        <v>-2599</v>
      </c>
      <c r="I3033" s="17" t="n">
        <v>46245</v>
      </c>
      <c r="J3033" s="17" t="n">
        <v>46260</v>
      </c>
      <c r="K3033" t="inlineStr">
        <is>
          <t>Fatura - bruto MOVIDA PARTICIPACOES 801070</t>
        </is>
      </c>
    </row>
    <row r="3034">
      <c r="A3034" t="inlineStr">
        <is>
          <t>101156</t>
        </is>
      </c>
      <c r="B3034" t="inlineStr">
        <is>
          <t>TEKHELIUS PRESTAÇÃO DE SERVIÇOS LTD 37245993000171</t>
        </is>
      </c>
      <c r="C3034" t="n">
        <v>2111000000</v>
      </c>
      <c r="D3034" t="inlineStr">
        <is>
          <t>Operational Suppliers (Wind Farms)</t>
        </is>
      </c>
      <c r="E3034" t="n">
        <v>5016105</v>
      </c>
      <c r="F3034" t="inlineStr">
        <is>
          <t>11</t>
        </is>
      </c>
      <c r="G3034" t="inlineStr">
        <is>
          <t>RE</t>
        </is>
      </c>
      <c r="H3034" s="12" t="n">
        <v>-63519.3</v>
      </c>
      <c r="I3034" s="17" t="n">
        <v>46244</v>
      </c>
      <c r="J3034" s="17" t="n">
        <v>46331</v>
      </c>
      <c r="K3034" t="inlineStr">
        <is>
          <t>Fatura - bruto TEKHELIUS PRESTAÇÃO DE SERVIÇOS LTD</t>
        </is>
      </c>
    </row>
    <row r="3035">
      <c r="A3035" t="inlineStr">
        <is>
          <t>101156</t>
        </is>
      </c>
      <c r="B3035" t="inlineStr">
        <is>
          <t>TEKHELIUS PRESTAÇÃO DE SERVIÇOS LTD 37245993000171</t>
        </is>
      </c>
      <c r="C3035" t="n">
        <v>2111000000</v>
      </c>
      <c r="D3035" t="inlineStr">
        <is>
          <t>Operational Suppliers (Wind Farms)</t>
        </is>
      </c>
      <c r="E3035" t="n">
        <v>5016106</v>
      </c>
      <c r="F3035" t="inlineStr">
        <is>
          <t>12</t>
        </is>
      </c>
      <c r="G3035" t="inlineStr">
        <is>
          <t>RE</t>
        </is>
      </c>
      <c r="H3035" s="12" t="n">
        <v>-76062.74000000001</v>
      </c>
      <c r="I3035" s="17" t="n">
        <v>46244</v>
      </c>
      <c r="J3035" s="17" t="n">
        <v>46331</v>
      </c>
      <c r="K3035" t="inlineStr">
        <is>
          <t>Fatura - bruto TEKHELIUS PRESTAÇÃO DE SERVIÇOS LTD</t>
        </is>
      </c>
    </row>
    <row r="3036">
      <c r="A3036" t="inlineStr">
        <is>
          <t>101156</t>
        </is>
      </c>
      <c r="B3036" t="inlineStr">
        <is>
          <t>TEKHELIUS PRESTAÇÃO DE SERVIÇOS LTD 37245993000171</t>
        </is>
      </c>
      <c r="C3036" t="n">
        <v>2111000000</v>
      </c>
      <c r="D3036" t="inlineStr">
        <is>
          <t>Operational Suppliers (Wind Farms)</t>
        </is>
      </c>
      <c r="E3036" t="n">
        <v>5016107</v>
      </c>
      <c r="F3036" t="inlineStr">
        <is>
          <t>13</t>
        </is>
      </c>
      <c r="G3036" t="inlineStr">
        <is>
          <t>RE</t>
        </is>
      </c>
      <c r="H3036" s="12" t="n">
        <v>-64535.72</v>
      </c>
      <c r="I3036" s="17" t="n">
        <v>46244</v>
      </c>
      <c r="J3036" s="17" t="n">
        <v>46331</v>
      </c>
      <c r="K3036" t="inlineStr">
        <is>
          <t>Fatura - bruto TEKHELIUS PRESTAÇÃO DE SERVIÇOS LTD</t>
        </is>
      </c>
    </row>
    <row r="3037">
      <c r="A3037" t="inlineStr">
        <is>
          <t>102052</t>
        </is>
      </c>
      <c r="B3037" t="inlineStr">
        <is>
          <t>TOME EQUIPAMENTOS E TRANSPORTES LTD 44384832000124</t>
        </is>
      </c>
      <c r="C3037" t="n">
        <v>2111000000</v>
      </c>
      <c r="D3037" t="inlineStr">
        <is>
          <t>Operational Suppliers (Wind Farms)</t>
        </is>
      </c>
      <c r="E3037" t="n">
        <v>5016109</v>
      </c>
      <c r="F3037" t="inlineStr">
        <is>
          <t>10290</t>
        </is>
      </c>
      <c r="G3037" t="inlineStr">
        <is>
          <t>RE</t>
        </is>
      </c>
      <c r="H3037" s="12" t="n">
        <v>-85403.73</v>
      </c>
      <c r="I3037" s="17" t="n">
        <v>46259</v>
      </c>
      <c r="J3037" s="17" t="n">
        <v>46331</v>
      </c>
      <c r="K3037" t="inlineStr">
        <is>
          <t>Fatura - bruto TOME EQUIPAMENTOS E TRANSPORTES LTD</t>
        </is>
      </c>
    </row>
    <row r="3038">
      <c r="A3038" t="inlineStr">
        <is>
          <t>101945</t>
        </is>
      </c>
      <c r="B3038" t="inlineStr">
        <is>
          <t>JOAO MARIA BARBOSA DE MOURA</t>
        </is>
      </c>
      <c r="C3038" t="n">
        <v>2111000000</v>
      </c>
      <c r="D3038" t="inlineStr">
        <is>
          <t>Other Suppliers</t>
        </is>
      </c>
      <c r="E3038" t="n">
        <v>5016110</v>
      </c>
      <c r="F3038" t="inlineStr">
        <is>
          <t>402</t>
        </is>
      </c>
      <c r="G3038" t="inlineStr">
        <is>
          <t>RE</t>
        </is>
      </c>
      <c r="H3038" s="12" t="n">
        <v>-17248.1</v>
      </c>
      <c r="I3038" s="17" t="n">
        <v>46260</v>
      </c>
      <c r="J3038" s="17" t="n">
        <v>46300</v>
      </c>
      <c r="K3038" t="inlineStr">
        <is>
          <t>Fatura - bruto JOAO MARIA BARBOSA DE MOURA 402</t>
        </is>
      </c>
    </row>
    <row r="3039">
      <c r="A3039" t="inlineStr">
        <is>
          <t>100542</t>
        </is>
      </c>
      <c r="B3039" t="inlineStr">
        <is>
          <t>EXTREME WIND SERVICOS DE MANUTENCAO</t>
        </is>
      </c>
      <c r="C3039" t="n">
        <v>2111000000</v>
      </c>
      <c r="D3039" t="inlineStr">
        <is>
          <t>Operational Suppliers (Wind Farms)</t>
        </is>
      </c>
      <c r="E3039" t="n">
        <v>5016111</v>
      </c>
      <c r="F3039" t="inlineStr">
        <is>
          <t>516</t>
        </is>
      </c>
      <c r="G3039" t="inlineStr">
        <is>
          <t>RE</t>
        </is>
      </c>
      <c r="H3039" s="12" t="n">
        <v>-108999.98</v>
      </c>
      <c r="I3039" s="17" t="n">
        <v>46175</v>
      </c>
      <c r="J3039" s="17" t="n">
        <v>46239</v>
      </c>
      <c r="K3039" t="inlineStr">
        <is>
          <t>Fatura - bruto EXTREME WIND SERVICOS DE MANUTENCAO</t>
        </is>
      </c>
    </row>
    <row r="3040">
      <c r="A3040" t="inlineStr">
        <is>
          <t>100450</t>
        </is>
      </c>
      <c r="B3040" t="inlineStr">
        <is>
          <t>SAMLIFE MSC LTDA</t>
        </is>
      </c>
      <c r="C3040" t="n">
        <v>2111000000</v>
      </c>
      <c r="D3040" t="inlineStr">
        <is>
          <t>Other Suppliers</t>
        </is>
      </c>
      <c r="E3040" t="n">
        <v>5016112</v>
      </c>
      <c r="F3040" t="inlineStr">
        <is>
          <t>867</t>
        </is>
      </c>
      <c r="G3040" t="inlineStr">
        <is>
          <t>RE</t>
        </is>
      </c>
      <c r="H3040" s="12" t="n">
        <v>-21982.78</v>
      </c>
      <c r="I3040" s="17" t="n">
        <v>46248</v>
      </c>
      <c r="J3040" s="17" t="n">
        <v>46270</v>
      </c>
      <c r="K3040" t="inlineStr">
        <is>
          <t>Fatura - bruto SAMLIFE MSC LTDA 867</t>
        </is>
      </c>
    </row>
    <row r="3041">
      <c r="A3041" t="inlineStr">
        <is>
          <t>101048</t>
        </is>
      </c>
      <c r="B3041" t="inlineStr">
        <is>
          <t>M R DE MEDEIROS</t>
        </is>
      </c>
      <c r="C3041" t="n">
        <v>2111000000</v>
      </c>
      <c r="D3041" t="inlineStr">
        <is>
          <t>Other Suppliers</t>
        </is>
      </c>
      <c r="E3041" t="n">
        <v>5016114</v>
      </c>
      <c r="F3041" t="inlineStr">
        <is>
          <t>2651-1</t>
        </is>
      </c>
      <c r="G3041" t="inlineStr">
        <is>
          <t>RE</t>
        </is>
      </c>
      <c r="H3041" s="12" t="n">
        <v>-464.3</v>
      </c>
      <c r="I3041" s="17" t="n">
        <v>46261</v>
      </c>
      <c r="J3041" s="17" t="n">
        <v>46276</v>
      </c>
      <c r="K3041" t="inlineStr">
        <is>
          <t>Fatura - bruto M R DE MEDEIROS 2651-1</t>
        </is>
      </c>
    </row>
    <row r="3042">
      <c r="A3042" t="inlineStr">
        <is>
          <t>101048</t>
        </is>
      </c>
      <c r="B3042" t="inlineStr">
        <is>
          <t>M R DE MEDEIROS</t>
        </is>
      </c>
      <c r="C3042" t="n">
        <v>2111000000</v>
      </c>
      <c r="D3042" t="inlineStr">
        <is>
          <t>Other Suppliers</t>
        </is>
      </c>
      <c r="E3042" t="n">
        <v>5016115</v>
      </c>
      <c r="F3042" t="inlineStr">
        <is>
          <t>2650-1</t>
        </is>
      </c>
      <c r="G3042" t="inlineStr">
        <is>
          <t>RE</t>
        </is>
      </c>
      <c r="H3042" s="12" t="n">
        <v>-389.5</v>
      </c>
      <c r="I3042" s="17" t="n">
        <v>46260</v>
      </c>
      <c r="J3042" s="17" t="n">
        <v>46275</v>
      </c>
      <c r="K3042" t="inlineStr">
        <is>
          <t>Fatura - bruto M R DE MEDEIROS 2650-1</t>
        </is>
      </c>
    </row>
    <row r="3043">
      <c r="A3043" t="inlineStr">
        <is>
          <t>103966</t>
        </is>
      </c>
      <c r="B3043" t="inlineStr">
        <is>
          <t>HINE DO BRASIL IND E COM HIDR E PN 12482538000754</t>
        </is>
      </c>
      <c r="C3043" t="n">
        <v>2111000000</v>
      </c>
      <c r="D3043" t="inlineStr">
        <is>
          <t>Operational Suppliers (Wind Farms)</t>
        </is>
      </c>
      <c r="E3043" t="n">
        <v>5016116</v>
      </c>
      <c r="F3043" t="inlineStr">
        <is>
          <t>000004407-1</t>
        </is>
      </c>
      <c r="G3043" t="inlineStr">
        <is>
          <t>RE</t>
        </is>
      </c>
      <c r="H3043" s="12" t="n">
        <v>-3192.3</v>
      </c>
      <c r="I3043" s="17" t="n">
        <v>46245</v>
      </c>
      <c r="J3043" s="17" t="n">
        <v>46300</v>
      </c>
      <c r="K3043" t="inlineStr">
        <is>
          <t>Fatura - bruto HINE DO BRASIL IND E COM HIDR E PN</t>
        </is>
      </c>
    </row>
    <row r="3044">
      <c r="A3044" t="inlineStr">
        <is>
          <t>103966</t>
        </is>
      </c>
      <c r="B3044" t="inlineStr">
        <is>
          <t>HINE DO BRASIL IND E COM HIDR E PN 12482538000754</t>
        </is>
      </c>
      <c r="C3044" t="n">
        <v>2111000000</v>
      </c>
      <c r="D3044" t="inlineStr">
        <is>
          <t>Operational Suppliers (Wind Farms)</t>
        </is>
      </c>
      <c r="E3044" t="n">
        <v>5016117</v>
      </c>
      <c r="F3044" t="inlineStr">
        <is>
          <t>000004424-1</t>
        </is>
      </c>
      <c r="G3044" t="inlineStr">
        <is>
          <t>RE</t>
        </is>
      </c>
      <c r="H3044" s="12" t="n">
        <v>-2387.89</v>
      </c>
      <c r="I3044" s="17" t="n">
        <v>46254</v>
      </c>
      <c r="J3044" s="17" t="n">
        <v>46300</v>
      </c>
      <c r="K3044" t="inlineStr">
        <is>
          <t>Fatura - bruto HINE DO BRASIL IND E COM HIDR E PN</t>
        </is>
      </c>
    </row>
    <row r="3045">
      <c r="A3045" t="inlineStr">
        <is>
          <t>103966</t>
        </is>
      </c>
      <c r="B3045" t="inlineStr">
        <is>
          <t>HINE DO BRASIL IND E COM HIDR E PN 12482538000754</t>
        </is>
      </c>
      <c r="C3045" t="n">
        <v>2111000000</v>
      </c>
      <c r="D3045" t="inlineStr">
        <is>
          <t>Operational Suppliers (Wind Farms)</t>
        </is>
      </c>
      <c r="E3045" t="n">
        <v>5016118</v>
      </c>
      <c r="F3045" t="inlineStr">
        <is>
          <t>000004399-1</t>
        </is>
      </c>
      <c r="G3045" t="inlineStr">
        <is>
          <t>RE</t>
        </is>
      </c>
      <c r="H3045" s="12" t="n">
        <v>-64318.2</v>
      </c>
      <c r="I3045" s="17" t="n">
        <v>46245</v>
      </c>
      <c r="J3045" s="17" t="n">
        <v>46300</v>
      </c>
      <c r="K3045" t="inlineStr">
        <is>
          <t>Fatura - bruto HINE DO BRASIL IND E COM HIDR E PN</t>
        </is>
      </c>
    </row>
    <row r="3046">
      <c r="A3046" t="inlineStr">
        <is>
          <t>100883</t>
        </is>
      </c>
      <c r="B3046" t="inlineStr">
        <is>
          <t>QUELMAR TRANSPORTES LTDA</t>
        </is>
      </c>
      <c r="C3046" t="n">
        <v>2111000000</v>
      </c>
      <c r="D3046" t="inlineStr">
        <is>
          <t>Operational Suppliers (Wind Farms)</t>
        </is>
      </c>
      <c r="E3046" t="n">
        <v>5016119</v>
      </c>
      <c r="F3046" t="inlineStr">
        <is>
          <t>108519-1</t>
        </is>
      </c>
      <c r="G3046" t="inlineStr">
        <is>
          <t>RE</t>
        </is>
      </c>
      <c r="H3046" s="12" t="n">
        <v>-1748.78</v>
      </c>
      <c r="I3046" s="17" t="n">
        <v>46255</v>
      </c>
      <c r="J3046" s="17" t="n">
        <v>46300</v>
      </c>
      <c r="K3046" t="inlineStr">
        <is>
          <t>Fatura - bruto QUELMAR TRANSPORTES LTDA 108519-1</t>
        </is>
      </c>
    </row>
    <row r="3047">
      <c r="A3047" t="inlineStr">
        <is>
          <t>100883</t>
        </is>
      </c>
      <c r="B3047" t="inlineStr">
        <is>
          <t>QUELMAR TRANSPORTES LTDA</t>
        </is>
      </c>
      <c r="C3047" t="n">
        <v>2111000000</v>
      </c>
      <c r="D3047" t="inlineStr">
        <is>
          <t>Operational Suppliers (Wind Farms)</t>
        </is>
      </c>
      <c r="E3047" t="n">
        <v>5016120</v>
      </c>
      <c r="F3047" t="inlineStr">
        <is>
          <t>108512-1</t>
        </is>
      </c>
      <c r="G3047" t="inlineStr">
        <is>
          <t>RE</t>
        </is>
      </c>
      <c r="H3047" s="12" t="n">
        <v>-1748.78</v>
      </c>
      <c r="I3047" s="17" t="n">
        <v>46255</v>
      </c>
      <c r="J3047" s="17" t="n">
        <v>46300</v>
      </c>
      <c r="K3047" t="inlineStr">
        <is>
          <t>Fatura - bruto QUELMAR TRANSPORTES LTDA 108512-1</t>
        </is>
      </c>
    </row>
    <row r="3048">
      <c r="A3048" t="inlineStr">
        <is>
          <t>100883</t>
        </is>
      </c>
      <c r="B3048" t="inlineStr">
        <is>
          <t>QUELMAR TRANSPORTES LTDA</t>
        </is>
      </c>
      <c r="C3048" t="n">
        <v>2111000000</v>
      </c>
      <c r="D3048" t="inlineStr">
        <is>
          <t>Operational Suppliers (Wind Farms)</t>
        </is>
      </c>
      <c r="E3048" t="n">
        <v>5016121</v>
      </c>
      <c r="F3048" t="inlineStr">
        <is>
          <t>108524-1</t>
        </is>
      </c>
      <c r="G3048" t="inlineStr">
        <is>
          <t>RE</t>
        </is>
      </c>
      <c r="H3048" s="12" t="n">
        <v>-1748.78</v>
      </c>
      <c r="I3048" s="17" t="n">
        <v>46255</v>
      </c>
      <c r="J3048" s="17" t="n">
        <v>46300</v>
      </c>
      <c r="K3048" t="inlineStr">
        <is>
          <t>Fatura - bruto QUELMAR TRANSPORTES LTDA 108524-1</t>
        </is>
      </c>
    </row>
    <row r="3049">
      <c r="A3049" t="inlineStr">
        <is>
          <t>100883</t>
        </is>
      </c>
      <c r="B3049" t="inlineStr">
        <is>
          <t>QUELMAR TRANSPORTES LTDA</t>
        </is>
      </c>
      <c r="C3049" t="n">
        <v>2111000000</v>
      </c>
      <c r="D3049" t="inlineStr">
        <is>
          <t>Operational Suppliers (Wind Farms)</t>
        </is>
      </c>
      <c r="E3049" t="n">
        <v>5016122</v>
      </c>
      <c r="F3049" t="inlineStr">
        <is>
          <t>108517-1</t>
        </is>
      </c>
      <c r="G3049" t="inlineStr">
        <is>
          <t>RE</t>
        </is>
      </c>
      <c r="H3049" s="12" t="n">
        <v>-1748.78</v>
      </c>
      <c r="I3049" s="17" t="n">
        <v>46255</v>
      </c>
      <c r="J3049" s="17" t="n">
        <v>46300</v>
      </c>
      <c r="K3049" t="inlineStr">
        <is>
          <t>Fatura - bruto QUELMAR TRANSPORTES LTDA 108517-1</t>
        </is>
      </c>
    </row>
    <row r="3050">
      <c r="A3050" t="inlineStr">
        <is>
          <t>101944</t>
        </is>
      </c>
      <c r="B3050" t="inlineStr">
        <is>
          <t>TEXAS CONTROLS DO BRASIL LTDA</t>
        </is>
      </c>
      <c r="C3050" t="n">
        <v>2111000000</v>
      </c>
      <c r="D3050" t="inlineStr">
        <is>
          <t>Operational Suppliers (Wind Farms)</t>
        </is>
      </c>
      <c r="E3050" t="n">
        <v>5016123</v>
      </c>
      <c r="F3050" t="inlineStr">
        <is>
          <t>1275</t>
        </is>
      </c>
      <c r="G3050" t="inlineStr">
        <is>
          <t>RE</t>
        </is>
      </c>
      <c r="H3050" s="12" t="n">
        <v>-192</v>
      </c>
      <c r="I3050" s="17" t="n">
        <v>46255</v>
      </c>
      <c r="J3050" s="17" t="n">
        <v>46286</v>
      </c>
      <c r="K3050" t="inlineStr">
        <is>
          <t>Fatura - bruto TEXAS CONTROLS DO BRASIL LTDA 1275</t>
        </is>
      </c>
    </row>
    <row r="3051">
      <c r="A3051" t="inlineStr">
        <is>
          <t>100883</t>
        </is>
      </c>
      <c r="B3051" t="inlineStr">
        <is>
          <t>QUELMAR TRANSPORTES LTDA</t>
        </is>
      </c>
      <c r="C3051" t="n">
        <v>2111000000</v>
      </c>
      <c r="D3051" t="inlineStr">
        <is>
          <t>Operational Suppliers (Wind Farms)</t>
        </is>
      </c>
      <c r="E3051" t="n">
        <v>5016124</v>
      </c>
      <c r="F3051" t="inlineStr">
        <is>
          <t>108553-1</t>
        </is>
      </c>
      <c r="G3051" t="inlineStr">
        <is>
          <t>RE</t>
        </is>
      </c>
      <c r="H3051" s="12" t="n">
        <v>-3340</v>
      </c>
      <c r="I3051" s="17" t="n">
        <v>46255</v>
      </c>
      <c r="J3051" s="17" t="n">
        <v>46300</v>
      </c>
      <c r="K3051" t="inlineStr">
        <is>
          <t>Fatura - bruto QUELMAR TRANSPORTES LTDA 108553-1</t>
        </is>
      </c>
    </row>
    <row r="3052">
      <c r="A3052" t="inlineStr">
        <is>
          <t>100883</t>
        </is>
      </c>
      <c r="B3052" t="inlineStr">
        <is>
          <t>QUELMAR TRANSPORTES LTDA</t>
        </is>
      </c>
      <c r="C3052" t="n">
        <v>2111000000</v>
      </c>
      <c r="D3052" t="inlineStr">
        <is>
          <t>Operational Suppliers (Wind Farms)</t>
        </is>
      </c>
      <c r="E3052" t="n">
        <v>5016125</v>
      </c>
      <c r="F3052" t="inlineStr">
        <is>
          <t>108554-1</t>
        </is>
      </c>
      <c r="G3052" t="inlineStr">
        <is>
          <t>RE</t>
        </is>
      </c>
      <c r="H3052" s="12" t="n">
        <v>-4770</v>
      </c>
      <c r="I3052" s="17" t="n">
        <v>46255</v>
      </c>
      <c r="J3052" s="17" t="n">
        <v>46300</v>
      </c>
      <c r="K3052" t="inlineStr">
        <is>
          <t>Fatura - bruto QUELMAR TRANSPORTES LTDA 108554-1</t>
        </is>
      </c>
    </row>
    <row r="3053">
      <c r="A3053" t="inlineStr">
        <is>
          <t>100883</t>
        </is>
      </c>
      <c r="B3053" t="inlineStr">
        <is>
          <t>QUELMAR TRANSPORTES LTDA</t>
        </is>
      </c>
      <c r="C3053" t="n">
        <v>2111000000</v>
      </c>
      <c r="D3053" t="inlineStr">
        <is>
          <t>Operational Suppliers (Wind Farms)</t>
        </is>
      </c>
      <c r="E3053" t="n">
        <v>5016126</v>
      </c>
      <c r="F3053" t="inlineStr">
        <is>
          <t>108555-1</t>
        </is>
      </c>
      <c r="G3053" t="inlineStr">
        <is>
          <t>RE</t>
        </is>
      </c>
      <c r="H3053" s="12" t="n">
        <v>-4770</v>
      </c>
      <c r="I3053" s="17" t="n">
        <v>46255</v>
      </c>
      <c r="J3053" s="17" t="n">
        <v>46300</v>
      </c>
      <c r="K3053" t="inlineStr">
        <is>
          <t>Fatura - bruto QUELMAR TRANSPORTES LTDA 108555-1</t>
        </is>
      </c>
    </row>
    <row r="3054">
      <c r="A3054" t="inlineStr">
        <is>
          <t>100883</t>
        </is>
      </c>
      <c r="B3054" t="inlineStr">
        <is>
          <t>QUELMAR TRANSPORTES LTDA</t>
        </is>
      </c>
      <c r="C3054" t="n">
        <v>2111000000</v>
      </c>
      <c r="D3054" t="inlineStr">
        <is>
          <t>Operational Suppliers (Wind Farms)</t>
        </is>
      </c>
      <c r="E3054" t="n">
        <v>5016127</v>
      </c>
      <c r="F3054" t="inlineStr">
        <is>
          <t>108556-1</t>
        </is>
      </c>
      <c r="G3054" t="inlineStr">
        <is>
          <t>RE</t>
        </is>
      </c>
      <c r="H3054" s="12" t="n">
        <v>-1360.98</v>
      </c>
      <c r="I3054" s="17" t="n">
        <v>46255</v>
      </c>
      <c r="J3054" s="17" t="n">
        <v>46300</v>
      </c>
      <c r="K3054" t="inlineStr">
        <is>
          <t>Fatura - bruto QUELMAR TRANSPORTES LTDA 108556-1</t>
        </is>
      </c>
    </row>
    <row r="3055">
      <c r="A3055" t="inlineStr">
        <is>
          <t>100883</t>
        </is>
      </c>
      <c r="B3055" t="inlineStr">
        <is>
          <t>QUELMAR TRANSPORTES LTDA</t>
        </is>
      </c>
      <c r="C3055" t="n">
        <v>2111000000</v>
      </c>
      <c r="D3055" t="inlineStr">
        <is>
          <t>Operational Suppliers (Wind Farms)</t>
        </is>
      </c>
      <c r="E3055" t="n">
        <v>5016128</v>
      </c>
      <c r="F3055" t="inlineStr">
        <is>
          <t>108557-1</t>
        </is>
      </c>
      <c r="G3055" t="inlineStr">
        <is>
          <t>RE</t>
        </is>
      </c>
      <c r="H3055" s="12" t="n">
        <v>-918.5700000000001</v>
      </c>
      <c r="I3055" s="17" t="n">
        <v>46255</v>
      </c>
      <c r="J3055" s="17" t="n">
        <v>46300</v>
      </c>
      <c r="K3055" t="inlineStr">
        <is>
          <t>Fatura - bruto QUELMAR TRANSPORTES LTDA 108557-1</t>
        </is>
      </c>
    </row>
    <row r="3056">
      <c r="A3056" t="inlineStr">
        <is>
          <t>100883</t>
        </is>
      </c>
      <c r="B3056" t="inlineStr">
        <is>
          <t>QUELMAR TRANSPORTES LTDA</t>
        </is>
      </c>
      <c r="C3056" t="n">
        <v>2111000000</v>
      </c>
      <c r="D3056" t="inlineStr">
        <is>
          <t>Operational Suppliers (Wind Farms)</t>
        </is>
      </c>
      <c r="E3056" t="n">
        <v>5016129</v>
      </c>
      <c r="F3056" t="inlineStr">
        <is>
          <t>108558-1</t>
        </is>
      </c>
      <c r="G3056" t="inlineStr">
        <is>
          <t>RE</t>
        </is>
      </c>
      <c r="H3056" s="12" t="n">
        <v>-700.45</v>
      </c>
      <c r="I3056" s="17" t="n">
        <v>46255</v>
      </c>
      <c r="J3056" s="17" t="n">
        <v>46300</v>
      </c>
      <c r="K3056" t="inlineStr">
        <is>
          <t>Fatura - bruto QUELMAR TRANSPORTES LTDA 108558-1</t>
        </is>
      </c>
    </row>
    <row r="3057">
      <c r="A3057" t="inlineStr">
        <is>
          <t>103927</t>
        </is>
      </c>
      <c r="B3057" t="inlineStr">
        <is>
          <t>MOVIDA PARTICIPACOES</t>
        </is>
      </c>
      <c r="C3057" t="n">
        <v>2111000000</v>
      </c>
      <c r="D3057" t="inlineStr">
        <is>
          <t>Other Suppliers</t>
        </is>
      </c>
      <c r="E3057" t="n">
        <v>5016130</v>
      </c>
      <c r="F3057" t="inlineStr">
        <is>
          <t>173311</t>
        </is>
      </c>
      <c r="G3057" t="inlineStr">
        <is>
          <t>RE</t>
        </is>
      </c>
      <c r="H3057" s="12" t="n">
        <v>-5457.9</v>
      </c>
      <c r="I3057" s="17" t="n">
        <v>46111</v>
      </c>
      <c r="J3057" s="17" t="n">
        <v>46147</v>
      </c>
      <c r="K3057" t="inlineStr">
        <is>
          <t>Fatura - bruto MOVIDA PARTICIPACOES 173311</t>
        </is>
      </c>
    </row>
    <row r="3058">
      <c r="A3058" t="inlineStr">
        <is>
          <t>103927</t>
        </is>
      </c>
      <c r="B3058" t="inlineStr">
        <is>
          <t>MOVIDA PARTICIPACOES</t>
        </is>
      </c>
      <c r="C3058" t="n">
        <v>2111000000</v>
      </c>
      <c r="D3058" t="inlineStr">
        <is>
          <t>Other Suppliers</t>
        </is>
      </c>
      <c r="E3058" t="n">
        <v>5016131</v>
      </c>
      <c r="F3058" t="inlineStr">
        <is>
          <t>173312</t>
        </is>
      </c>
      <c r="G3058" t="inlineStr">
        <is>
          <t>RE</t>
        </is>
      </c>
      <c r="H3058" s="12" t="n">
        <v>-1072.95</v>
      </c>
      <c r="I3058" s="17" t="n">
        <v>46111</v>
      </c>
      <c r="J3058" s="17" t="n">
        <v>46147</v>
      </c>
      <c r="K3058" t="inlineStr">
        <is>
          <t>Fatura - bruto MOVIDA PARTICIPACOES 173312</t>
        </is>
      </c>
    </row>
    <row r="3059">
      <c r="A3059" t="inlineStr">
        <is>
          <t>103927</t>
        </is>
      </c>
      <c r="B3059" t="inlineStr">
        <is>
          <t>MOVIDA PARTICIPACOES</t>
        </is>
      </c>
      <c r="C3059" t="n">
        <v>2111000000</v>
      </c>
      <c r="D3059" t="inlineStr">
        <is>
          <t>Other Suppliers</t>
        </is>
      </c>
      <c r="E3059" t="n">
        <v>5016132</v>
      </c>
      <c r="F3059" t="inlineStr">
        <is>
          <t>173313</t>
        </is>
      </c>
      <c r="G3059" t="inlineStr">
        <is>
          <t>RE</t>
        </is>
      </c>
      <c r="H3059" s="12" t="n">
        <v>-1937.18</v>
      </c>
      <c r="I3059" s="17" t="n">
        <v>46111</v>
      </c>
      <c r="J3059" s="17" t="n">
        <v>46147</v>
      </c>
      <c r="K3059" t="inlineStr">
        <is>
          <t>Fatura - bruto MOVIDA PARTICIPACOES 173313</t>
        </is>
      </c>
    </row>
    <row r="3060">
      <c r="A3060" t="inlineStr">
        <is>
          <t>103927</t>
        </is>
      </c>
      <c r="B3060" t="inlineStr">
        <is>
          <t>MOVIDA PARTICIPACOES</t>
        </is>
      </c>
      <c r="C3060" t="n">
        <v>2111000000</v>
      </c>
      <c r="D3060" t="inlineStr">
        <is>
          <t>Other Suppliers</t>
        </is>
      </c>
      <c r="E3060" t="n">
        <v>5016134</v>
      </c>
      <c r="F3060" t="inlineStr">
        <is>
          <t>173315</t>
        </is>
      </c>
      <c r="G3060" t="inlineStr">
        <is>
          <t>RE</t>
        </is>
      </c>
      <c r="H3060" s="12" t="n">
        <v>-3172.28</v>
      </c>
      <c r="I3060" s="17" t="n">
        <v>46111</v>
      </c>
      <c r="J3060" s="17" t="n">
        <v>46147</v>
      </c>
      <c r="K3060" t="inlineStr">
        <is>
          <t>Fatura - bruto MOVIDA PARTICIPACOES 173315</t>
        </is>
      </c>
    </row>
    <row r="3061">
      <c r="A3061" t="inlineStr">
        <is>
          <t>103927</t>
        </is>
      </c>
      <c r="B3061" t="inlineStr">
        <is>
          <t>MOVIDA PARTICIPACOES</t>
        </is>
      </c>
      <c r="C3061" t="n">
        <v>2111000000</v>
      </c>
      <c r="D3061" t="inlineStr">
        <is>
          <t>Other Suppliers</t>
        </is>
      </c>
      <c r="E3061" t="n">
        <v>5016135</v>
      </c>
      <c r="F3061" t="inlineStr">
        <is>
          <t>250301</t>
        </is>
      </c>
      <c r="G3061" t="inlineStr">
        <is>
          <t>RE</t>
        </is>
      </c>
      <c r="H3061" s="12" t="n">
        <v>-2659.95</v>
      </c>
      <c r="I3061" s="17" t="n">
        <v>46129</v>
      </c>
      <c r="J3061" s="17" t="n">
        <v>46178</v>
      </c>
      <c r="K3061" t="inlineStr">
        <is>
          <t>Fatura - bruto MOVIDA PARTICIPACOES 250301</t>
        </is>
      </c>
    </row>
    <row r="3062">
      <c r="A3062" t="inlineStr">
        <is>
          <t>103927</t>
        </is>
      </c>
      <c r="B3062" t="inlineStr">
        <is>
          <t>MOVIDA PARTICIPACOES</t>
        </is>
      </c>
      <c r="C3062" t="n">
        <v>2111000000</v>
      </c>
      <c r="D3062" t="inlineStr">
        <is>
          <t>Other Suppliers</t>
        </is>
      </c>
      <c r="E3062" t="n">
        <v>5016136</v>
      </c>
      <c r="F3062" t="inlineStr">
        <is>
          <t>257685</t>
        </is>
      </c>
      <c r="G3062" t="inlineStr">
        <is>
          <t>RE</t>
        </is>
      </c>
      <c r="H3062" s="12" t="n">
        <v>-1673.25</v>
      </c>
      <c r="I3062" s="17" t="n">
        <v>46131</v>
      </c>
      <c r="J3062" s="17" t="n">
        <v>46178</v>
      </c>
      <c r="K3062" t="inlineStr">
        <is>
          <t>Fatura - bruto MOVIDA PARTICIPACOES 257685</t>
        </is>
      </c>
    </row>
    <row r="3063">
      <c r="A3063" t="inlineStr">
        <is>
          <t>103927</t>
        </is>
      </c>
      <c r="B3063" t="inlineStr">
        <is>
          <t>MOVIDA PARTICIPACOES</t>
        </is>
      </c>
      <c r="C3063" t="n">
        <v>2111000000</v>
      </c>
      <c r="D3063" t="inlineStr">
        <is>
          <t>Other Suppliers</t>
        </is>
      </c>
      <c r="E3063" t="n">
        <v>5016137</v>
      </c>
      <c r="F3063" t="inlineStr">
        <is>
          <t>259543</t>
        </is>
      </c>
      <c r="G3063" t="inlineStr">
        <is>
          <t>RE</t>
        </is>
      </c>
      <c r="H3063" s="12" t="n">
        <v>-195.23</v>
      </c>
      <c r="I3063" s="17" t="n">
        <v>46132</v>
      </c>
      <c r="J3063" s="17" t="n">
        <v>46178</v>
      </c>
      <c r="K3063" t="inlineStr">
        <is>
          <t>Fatura - bruto MOVIDA PARTICIPACOES 259543</t>
        </is>
      </c>
    </row>
    <row r="3064">
      <c r="A3064" t="inlineStr">
        <is>
          <t>103927</t>
        </is>
      </c>
      <c r="B3064" t="inlineStr">
        <is>
          <t>MOVIDA PARTICIPACOES</t>
        </is>
      </c>
      <c r="C3064" t="n">
        <v>2111000000</v>
      </c>
      <c r="D3064" t="inlineStr">
        <is>
          <t>Other Suppliers</t>
        </is>
      </c>
      <c r="E3064" t="n">
        <v>5016138</v>
      </c>
      <c r="F3064" t="inlineStr">
        <is>
          <t>282480</t>
        </is>
      </c>
      <c r="G3064" t="inlineStr">
        <is>
          <t>RE</t>
        </is>
      </c>
      <c r="H3064" s="12" t="n">
        <v>-1756.05</v>
      </c>
      <c r="I3064" s="17" t="n">
        <v>46136</v>
      </c>
      <c r="J3064" s="17" t="n">
        <v>46178</v>
      </c>
      <c r="K3064" t="inlineStr">
        <is>
          <t>Fatura - bruto MOVIDA PARTICIPACOES 282480</t>
        </is>
      </c>
    </row>
    <row r="3065">
      <c r="A3065" t="inlineStr">
        <is>
          <t>103927</t>
        </is>
      </c>
      <c r="B3065" t="inlineStr">
        <is>
          <t>MOVIDA PARTICIPACOES</t>
        </is>
      </c>
      <c r="C3065" t="n">
        <v>2111000000</v>
      </c>
      <c r="D3065" t="inlineStr">
        <is>
          <t>Other Suppliers</t>
        </is>
      </c>
      <c r="E3065" t="n">
        <v>5016139</v>
      </c>
      <c r="F3065" t="inlineStr">
        <is>
          <t>289940</t>
        </is>
      </c>
      <c r="G3065" t="inlineStr">
        <is>
          <t>RE</t>
        </is>
      </c>
      <c r="H3065" s="12" t="n">
        <v>-293.46</v>
      </c>
      <c r="I3065" s="17" t="n">
        <v>46139</v>
      </c>
      <c r="J3065" s="17" t="n">
        <v>46178</v>
      </c>
      <c r="K3065" t="inlineStr">
        <is>
          <t>Fatura - bruto MOVIDA PARTICIPACOES 289940</t>
        </is>
      </c>
    </row>
    <row r="3066">
      <c r="A3066" t="inlineStr">
        <is>
          <t>103927</t>
        </is>
      </c>
      <c r="B3066" t="inlineStr">
        <is>
          <t>MOVIDA PARTICIPACOES</t>
        </is>
      </c>
      <c r="C3066" t="n">
        <v>2111000000</v>
      </c>
      <c r="D3066" t="inlineStr">
        <is>
          <t>Other Suppliers</t>
        </is>
      </c>
      <c r="E3066" t="n">
        <v>5016140</v>
      </c>
      <c r="F3066" t="inlineStr">
        <is>
          <t>458123</t>
        </is>
      </c>
      <c r="G3066" t="inlineStr">
        <is>
          <t>RE</t>
        </is>
      </c>
      <c r="H3066" s="12" t="n">
        <v>-550.85</v>
      </c>
      <c r="I3066" s="17" t="n">
        <v>46171</v>
      </c>
      <c r="J3066" s="17" t="n">
        <v>46208</v>
      </c>
      <c r="K3066" t="inlineStr">
        <is>
          <t>Fatura - bruto MOVIDA PARTICIPACOES 458123</t>
        </is>
      </c>
    </row>
    <row r="3067">
      <c r="A3067" t="inlineStr">
        <is>
          <t>103927</t>
        </is>
      </c>
      <c r="B3067" t="inlineStr">
        <is>
          <t>MOVIDA PARTICIPACOES</t>
        </is>
      </c>
      <c r="C3067" t="n">
        <v>2111000000</v>
      </c>
      <c r="D3067" t="inlineStr">
        <is>
          <t>Other Suppliers</t>
        </is>
      </c>
      <c r="E3067" t="n">
        <v>5016141</v>
      </c>
      <c r="F3067" t="inlineStr">
        <is>
          <t>458124</t>
        </is>
      </c>
      <c r="G3067" t="inlineStr">
        <is>
          <t>RE</t>
        </is>
      </c>
      <c r="H3067" s="12" t="n">
        <v>-2114.85</v>
      </c>
      <c r="I3067" s="17" t="n">
        <v>46171</v>
      </c>
      <c r="J3067" s="17" t="n">
        <v>46208</v>
      </c>
      <c r="K3067" t="inlineStr">
        <is>
          <t>Fatura - bruto MOVIDA PARTICIPACOES 458124</t>
        </is>
      </c>
    </row>
    <row r="3068">
      <c r="A3068" t="inlineStr">
        <is>
          <t>103927</t>
        </is>
      </c>
      <c r="B3068" t="inlineStr">
        <is>
          <t>MOVIDA PARTICIPACOES</t>
        </is>
      </c>
      <c r="C3068" t="n">
        <v>2111000000</v>
      </c>
      <c r="D3068" t="inlineStr">
        <is>
          <t>Other Suppliers</t>
        </is>
      </c>
      <c r="E3068" t="n">
        <v>5016142</v>
      </c>
      <c r="F3068" t="inlineStr">
        <is>
          <t>567650</t>
        </is>
      </c>
      <c r="G3068" t="inlineStr">
        <is>
          <t>RE</t>
        </is>
      </c>
      <c r="H3068" s="12" t="n">
        <v>-1988.93</v>
      </c>
      <c r="I3068" s="17" t="n">
        <v>46196</v>
      </c>
      <c r="J3068" s="17" t="n">
        <v>46239</v>
      </c>
      <c r="K3068" t="inlineStr">
        <is>
          <t>Fatura - bruto MOVIDA PARTICIPACOES 567650</t>
        </is>
      </c>
    </row>
    <row r="3069">
      <c r="A3069" t="inlineStr">
        <is>
          <t>103927</t>
        </is>
      </c>
      <c r="B3069" t="inlineStr">
        <is>
          <t>MOVIDA PARTICIPACOES</t>
        </is>
      </c>
      <c r="C3069" t="n">
        <v>2111000000</v>
      </c>
      <c r="D3069" t="inlineStr">
        <is>
          <t>Other Suppliers</t>
        </is>
      </c>
      <c r="E3069" t="n">
        <v>5016144</v>
      </c>
      <c r="F3069" t="inlineStr">
        <is>
          <t>173314</t>
        </is>
      </c>
      <c r="G3069" t="inlineStr">
        <is>
          <t>RE</t>
        </is>
      </c>
      <c r="H3069" s="12" t="n">
        <v>-5402.7</v>
      </c>
      <c r="I3069" s="17" t="n">
        <v>46111</v>
      </c>
      <c r="J3069" s="17" t="n">
        <v>46147</v>
      </c>
      <c r="K3069" t="inlineStr">
        <is>
          <t>Fatura - bruto MOVIDA PARTICIPACOES 173314</t>
        </is>
      </c>
    </row>
    <row r="3070">
      <c r="A3070" t="inlineStr">
        <is>
          <t>100845</t>
        </is>
      </c>
      <c r="B3070" t="inlineStr">
        <is>
          <t>DRIVEMEC MANUTENCAO INDUSTRIAL EIRE</t>
        </is>
      </c>
      <c r="C3070" t="n">
        <v>2111000000</v>
      </c>
      <c r="D3070" t="inlineStr">
        <is>
          <t>Operational Suppliers (Wind Farms)</t>
        </is>
      </c>
      <c r="E3070" t="n">
        <v>5016145</v>
      </c>
      <c r="F3070" t="inlineStr">
        <is>
          <t>1111</t>
        </is>
      </c>
      <c r="G3070" t="inlineStr">
        <is>
          <t>RE</t>
        </is>
      </c>
      <c r="H3070" s="12" t="n">
        <v>-2669.5</v>
      </c>
      <c r="I3070" s="17" t="n">
        <v>46245</v>
      </c>
      <c r="J3070" s="17" t="n">
        <v>46308</v>
      </c>
      <c r="K3070" t="inlineStr">
        <is>
          <t>Fatura - bruto DRIVEMEC MANUTENCAO INDUSTRIAL EIRE</t>
        </is>
      </c>
    </row>
    <row r="3071">
      <c r="A3071" t="inlineStr">
        <is>
          <t>101048</t>
        </is>
      </c>
      <c r="B3071" t="inlineStr">
        <is>
          <t>M R DE MEDEIROS</t>
        </is>
      </c>
      <c r="C3071" t="n">
        <v>2111000000</v>
      </c>
      <c r="D3071" t="inlineStr">
        <is>
          <t>Other Suppliers</t>
        </is>
      </c>
      <c r="E3071" t="n">
        <v>5016146</v>
      </c>
      <c r="F3071" t="inlineStr">
        <is>
          <t>2647-1</t>
        </is>
      </c>
      <c r="G3071" t="inlineStr">
        <is>
          <t>RE</t>
        </is>
      </c>
      <c r="H3071" s="12" t="n">
        <v>-836.5</v>
      </c>
      <c r="I3071" s="17" t="n">
        <v>46259</v>
      </c>
      <c r="J3071" s="17" t="n">
        <v>46274</v>
      </c>
      <c r="K3071" t="inlineStr">
        <is>
          <t>Fatura - bruto M R DE MEDEIROS 2647-1</t>
        </is>
      </c>
    </row>
    <row r="3072">
      <c r="A3072" t="inlineStr">
        <is>
          <t>100542</t>
        </is>
      </c>
      <c r="B3072" t="inlineStr">
        <is>
          <t>EXTREME WIND SERVICOS DE MANUTENCAO</t>
        </is>
      </c>
      <c r="C3072" t="n">
        <v>2111000000</v>
      </c>
      <c r="D3072" t="inlineStr">
        <is>
          <t>Operational Suppliers (Wind Farms)</t>
        </is>
      </c>
      <c r="E3072" t="n">
        <v>5016147</v>
      </c>
      <c r="F3072" t="inlineStr">
        <is>
          <t>672</t>
        </is>
      </c>
      <c r="G3072" t="inlineStr">
        <is>
          <t>RE</t>
        </is>
      </c>
      <c r="H3072" s="12" t="n">
        <v>-108999.98</v>
      </c>
      <c r="I3072" s="17" t="n">
        <v>46239</v>
      </c>
      <c r="J3072" s="17" t="n">
        <v>46300</v>
      </c>
      <c r="K3072" t="inlineStr">
        <is>
          <t>Fatura - bruto EXTREME WIND SERVICOS DE MANUTENCAO</t>
        </is>
      </c>
    </row>
    <row r="3073">
      <c r="A3073" t="inlineStr">
        <is>
          <t>100031</t>
        </is>
      </c>
      <c r="B3073" t="inlineStr">
        <is>
          <t>MEGAWIND INDUSTRIA E COMERCIO</t>
        </is>
      </c>
      <c r="C3073" t="n">
        <v>2111000000</v>
      </c>
      <c r="D3073" t="inlineStr">
        <is>
          <t>Operational Suppliers (Wind Farms)</t>
        </is>
      </c>
      <c r="E3073" t="n">
        <v>5016148</v>
      </c>
      <c r="F3073" t="inlineStr">
        <is>
          <t>1484</t>
        </is>
      </c>
      <c r="G3073" t="inlineStr">
        <is>
          <t>RE</t>
        </is>
      </c>
      <c r="H3073" s="12" t="n">
        <v>-9773.700000000001</v>
      </c>
      <c r="I3073" s="17" t="n">
        <v>46246</v>
      </c>
      <c r="J3073" s="17" t="n">
        <v>46300</v>
      </c>
      <c r="K3073" t="inlineStr">
        <is>
          <t>Fatura - bruto MEGAWIND INDUSTRIA E COMERCIO 1484</t>
        </is>
      </c>
    </row>
    <row r="3074">
      <c r="A3074" t="inlineStr">
        <is>
          <t>100031</t>
        </is>
      </c>
      <c r="B3074" t="inlineStr">
        <is>
          <t>MEGAWIND INDUSTRIA E COMERCIO</t>
        </is>
      </c>
      <c r="C3074" t="n">
        <v>2111000000</v>
      </c>
      <c r="D3074" t="inlineStr">
        <is>
          <t>Operational Suppliers (Wind Farms)</t>
        </is>
      </c>
      <c r="E3074" t="n">
        <v>5016149</v>
      </c>
      <c r="F3074" t="inlineStr">
        <is>
          <t>1485</t>
        </is>
      </c>
      <c r="G3074" t="inlineStr">
        <is>
          <t>RE</t>
        </is>
      </c>
      <c r="H3074" s="12" t="n">
        <v>-5596</v>
      </c>
      <c r="I3074" s="17" t="n">
        <v>46260</v>
      </c>
      <c r="J3074" s="17" t="n">
        <v>46300</v>
      </c>
      <c r="K3074" t="inlineStr">
        <is>
          <t>Fatura - bruto MEGAWIND INDUSTRIA E COMERCIO 1485</t>
        </is>
      </c>
    </row>
    <row r="3075">
      <c r="A3075" t="inlineStr">
        <is>
          <t>100031</t>
        </is>
      </c>
      <c r="B3075" t="inlineStr">
        <is>
          <t>MEGAWIND INDUSTRIA E COMERCIO</t>
        </is>
      </c>
      <c r="C3075" t="n">
        <v>2111000000</v>
      </c>
      <c r="D3075" t="inlineStr">
        <is>
          <t>Operational Suppliers (Wind Farms)</t>
        </is>
      </c>
      <c r="E3075" t="n">
        <v>5016150</v>
      </c>
      <c r="F3075" t="inlineStr">
        <is>
          <t>1486</t>
        </is>
      </c>
      <c r="G3075" t="inlineStr">
        <is>
          <t>RE</t>
        </is>
      </c>
      <c r="H3075" s="12" t="n">
        <v>-4090.32</v>
      </c>
      <c r="I3075" s="17" t="n">
        <v>46260</v>
      </c>
      <c r="J3075" s="17" t="n">
        <v>46300</v>
      </c>
      <c r="K3075" t="inlineStr">
        <is>
          <t>Fatura - bruto MEGAWIND INDUSTRIA E COMERCIO 1486</t>
        </is>
      </c>
    </row>
    <row r="3076">
      <c r="A3076" t="inlineStr">
        <is>
          <t>101801</t>
        </is>
      </c>
      <c r="B3076" t="inlineStr">
        <is>
          <t>DARCY PACHECO SOLUCOES DE PESO LTDA 89396121000108</t>
        </is>
      </c>
      <c r="C3076" t="n">
        <v>2111000000</v>
      </c>
      <c r="D3076" t="inlineStr">
        <is>
          <t>Operational Suppliers (Wind Farms)</t>
        </is>
      </c>
      <c r="E3076" t="n">
        <v>5016151</v>
      </c>
      <c r="F3076" t="inlineStr">
        <is>
          <t>8833</t>
        </is>
      </c>
      <c r="G3076" t="inlineStr">
        <is>
          <t>RE</t>
        </is>
      </c>
      <c r="H3076" s="12" t="n">
        <v>-401274.85</v>
      </c>
      <c r="I3076" s="17" t="n">
        <v>46260</v>
      </c>
      <c r="J3076" s="17" t="n">
        <v>46275</v>
      </c>
      <c r="K3076" t="inlineStr">
        <is>
          <t>Fatura - bruto DARCY PACHECO SOLUCOES DE PESO LTDA</t>
        </is>
      </c>
    </row>
    <row r="3077">
      <c r="A3077" t="inlineStr">
        <is>
          <t>100883</t>
        </is>
      </c>
      <c r="B3077" t="inlineStr">
        <is>
          <t>QUELMAR TRANSPORTES LTDA</t>
        </is>
      </c>
      <c r="C3077" t="n">
        <v>2111000000</v>
      </c>
      <c r="D3077" t="inlineStr">
        <is>
          <t>Operational Suppliers (Wind Farms)</t>
        </is>
      </c>
      <c r="E3077" t="n">
        <v>5016152</v>
      </c>
      <c r="F3077" t="inlineStr">
        <is>
          <t>108523-1</t>
        </is>
      </c>
      <c r="G3077" t="inlineStr">
        <is>
          <t>RE</t>
        </is>
      </c>
      <c r="H3077" s="12" t="n">
        <v>-3498.02</v>
      </c>
      <c r="I3077" s="17" t="n">
        <v>46255</v>
      </c>
      <c r="J3077" s="17" t="n">
        <v>46300</v>
      </c>
      <c r="K3077" t="inlineStr">
        <is>
          <t>Fatura - bruto QUELMAR TRANSPORTES LTDA 108523-1</t>
        </is>
      </c>
    </row>
    <row r="3078">
      <c r="A3078" t="inlineStr">
        <is>
          <t>100883</t>
        </is>
      </c>
      <c r="B3078" t="inlineStr">
        <is>
          <t>QUELMAR TRANSPORTES LTDA</t>
        </is>
      </c>
      <c r="C3078" t="n">
        <v>2111000000</v>
      </c>
      <c r="D3078" t="inlineStr">
        <is>
          <t>Operational Suppliers (Wind Farms)</t>
        </is>
      </c>
      <c r="E3078" t="n">
        <v>5016153</v>
      </c>
      <c r="F3078" t="inlineStr">
        <is>
          <t>108526-1</t>
        </is>
      </c>
      <c r="G3078" t="inlineStr">
        <is>
          <t>RE</t>
        </is>
      </c>
      <c r="H3078" s="12" t="n">
        <v>-1748.78</v>
      </c>
      <c r="I3078" s="17" t="n">
        <v>46255</v>
      </c>
      <c r="J3078" s="17" t="n">
        <v>46300</v>
      </c>
      <c r="K3078" t="inlineStr">
        <is>
          <t>Fatura - bruto QUELMAR TRANSPORTES LTDA 108526-1</t>
        </is>
      </c>
    </row>
    <row r="3079">
      <c r="A3079" t="inlineStr">
        <is>
          <t>101222</t>
        </is>
      </c>
      <c r="B3079" t="inlineStr">
        <is>
          <t>AGROPECUARIA CANOA MIRIM SA</t>
        </is>
      </c>
      <c r="C3079" t="n">
        <v>2111000000</v>
      </c>
      <c r="D3079" t="inlineStr">
        <is>
          <t>Other Suppliers</t>
        </is>
      </c>
      <c r="E3079" t="n">
        <v>5016468</v>
      </c>
      <c r="F3079" t="inlineStr">
        <is>
          <t>202401</t>
        </is>
      </c>
      <c r="G3079" t="inlineStr">
        <is>
          <t>RE</t>
        </is>
      </c>
      <c r="H3079" s="12" t="n">
        <v>-8000</v>
      </c>
      <c r="I3079" s="17" t="n">
        <v>45265</v>
      </c>
      <c r="J3079" s="17" t="n">
        <v>45296</v>
      </c>
      <c r="K3079" t="inlineStr">
        <is>
          <t>Fatura - bruto AGROPECUARIA CANOA MIRIM SA 202401</t>
        </is>
      </c>
    </row>
    <row r="3080">
      <c r="A3080" t="inlineStr">
        <is>
          <t>101222</t>
        </is>
      </c>
      <c r="B3080" t="inlineStr">
        <is>
          <t>AGROPECUARIA CANOA MIRIM SA</t>
        </is>
      </c>
      <c r="C3080" t="n">
        <v>2111000000</v>
      </c>
      <c r="D3080" t="inlineStr">
        <is>
          <t>Other Suppliers</t>
        </is>
      </c>
      <c r="E3080" t="n">
        <v>5016470</v>
      </c>
      <c r="F3080" t="inlineStr">
        <is>
          <t>202402</t>
        </is>
      </c>
      <c r="G3080" t="inlineStr">
        <is>
          <t>RE</t>
        </is>
      </c>
      <c r="H3080" s="12" t="n">
        <v>-8000</v>
      </c>
      <c r="I3080" s="17" t="n">
        <v>45296</v>
      </c>
      <c r="J3080" s="17" t="n">
        <v>45327</v>
      </c>
      <c r="K3080" t="inlineStr">
        <is>
          <t>Fatura - bruto AGROPECUARIA CANOA MIRIM SA 202402</t>
        </is>
      </c>
    </row>
    <row r="3081">
      <c r="A3081" t="inlineStr">
        <is>
          <t>101222</t>
        </is>
      </c>
      <c r="B3081" t="inlineStr">
        <is>
          <t>AGROPECUARIA CANOA MIRIM SA</t>
        </is>
      </c>
      <c r="C3081" t="n">
        <v>2111000000</v>
      </c>
      <c r="D3081" t="inlineStr">
        <is>
          <t>Other Suppliers</t>
        </is>
      </c>
      <c r="E3081" t="n">
        <v>5016472</v>
      </c>
      <c r="F3081" t="inlineStr">
        <is>
          <t>202403</t>
        </is>
      </c>
      <c r="G3081" t="inlineStr">
        <is>
          <t>RE</t>
        </is>
      </c>
      <c r="H3081" s="12" t="n">
        <v>-8000</v>
      </c>
      <c r="I3081" s="17" t="n">
        <v>45327</v>
      </c>
      <c r="J3081" s="17" t="n">
        <v>45356</v>
      </c>
      <c r="K3081" t="inlineStr">
        <is>
          <t>Fatura - bruto AGROPECUARIA CANOA MIRIM SA 202403</t>
        </is>
      </c>
    </row>
    <row r="3082">
      <c r="A3082" t="inlineStr">
        <is>
          <t>101222</t>
        </is>
      </c>
      <c r="B3082" t="inlineStr">
        <is>
          <t>AGROPECUARIA CANOA MIRIM SA</t>
        </is>
      </c>
      <c r="C3082" t="n">
        <v>2111000000</v>
      </c>
      <c r="D3082" t="inlineStr">
        <is>
          <t>Other Suppliers</t>
        </is>
      </c>
      <c r="E3082" t="n">
        <v>5016474</v>
      </c>
      <c r="F3082" t="inlineStr">
        <is>
          <t>202404</t>
        </is>
      </c>
      <c r="G3082" t="inlineStr">
        <is>
          <t>RE</t>
        </is>
      </c>
      <c r="H3082" s="12" t="n">
        <v>-8000</v>
      </c>
      <c r="I3082" s="17" t="n">
        <v>45327</v>
      </c>
      <c r="J3082" s="17" t="n">
        <v>45356</v>
      </c>
      <c r="K3082" t="inlineStr">
        <is>
          <t>Fatura - bruto AGROPECUARIA CANOA MIRIM SA 202404</t>
        </is>
      </c>
    </row>
    <row r="3083">
      <c r="A3083" t="inlineStr">
        <is>
          <t>101222</t>
        </is>
      </c>
      <c r="B3083" t="inlineStr">
        <is>
          <t>AGROPECUARIA CANOA MIRIM SA</t>
        </is>
      </c>
      <c r="C3083" t="n">
        <v>2111000000</v>
      </c>
      <c r="D3083" t="inlineStr">
        <is>
          <t>Other Suppliers</t>
        </is>
      </c>
      <c r="E3083" t="n">
        <v>5016475</v>
      </c>
      <c r="F3083" t="inlineStr">
        <is>
          <t>202405</t>
        </is>
      </c>
      <c r="G3083" t="inlineStr">
        <is>
          <t>RE</t>
        </is>
      </c>
      <c r="H3083" s="12" t="n">
        <v>-8000</v>
      </c>
      <c r="I3083" s="17" t="n">
        <v>45387</v>
      </c>
      <c r="J3083" s="17" t="n">
        <v>45417</v>
      </c>
      <c r="K3083" t="inlineStr">
        <is>
          <t>Fatura - bruto AGROPECUARIA CANOA MIRIM SA 202405</t>
        </is>
      </c>
    </row>
    <row r="3084">
      <c r="A3084" t="inlineStr">
        <is>
          <t>101222</t>
        </is>
      </c>
      <c r="B3084" t="inlineStr">
        <is>
          <t>AGROPECUARIA CANOA MIRIM SA</t>
        </is>
      </c>
      <c r="C3084" t="n">
        <v>2111000000</v>
      </c>
      <c r="D3084" t="inlineStr">
        <is>
          <t>Other Suppliers</t>
        </is>
      </c>
      <c r="E3084" t="n">
        <v>5017196</v>
      </c>
      <c r="F3084" t="inlineStr">
        <is>
          <t>202406</t>
        </is>
      </c>
      <c r="G3084" t="inlineStr">
        <is>
          <t>RE</t>
        </is>
      </c>
      <c r="H3084" s="12" t="n">
        <v>-8000</v>
      </c>
      <c r="I3084" s="17" t="n">
        <v>45417</v>
      </c>
      <c r="J3084" s="17" t="n">
        <v>45448</v>
      </c>
      <c r="K3084" t="inlineStr">
        <is>
          <t>Invoice Receipt MM AGROPECUARIA CANOA MIRIM SA 202</t>
        </is>
      </c>
    </row>
    <row r="3085">
      <c r="A3085" t="inlineStr">
        <is>
          <t>106331</t>
        </is>
      </c>
      <c r="B3085" t="inlineStr">
        <is>
          <t>INTERCARGAS ENCOMENDAS E CARGAS LTD</t>
        </is>
      </c>
      <c r="C3085" t="n">
        <v>2111000000</v>
      </c>
      <c r="D3085" t="inlineStr">
        <is>
          <t>Other Suppliers</t>
        </is>
      </c>
      <c r="E3085" t="n">
        <v>5017201</v>
      </c>
      <c r="F3085" t="inlineStr">
        <is>
          <t>15598-2</t>
        </is>
      </c>
      <c r="G3085" t="inlineStr">
        <is>
          <t>RE</t>
        </is>
      </c>
      <c r="H3085" s="12" t="n">
        <v>-6682.55</v>
      </c>
      <c r="I3085" s="17" t="n">
        <v>45092</v>
      </c>
      <c r="J3085" s="17" t="n">
        <v>45143</v>
      </c>
      <c r="K3085" t="inlineStr">
        <is>
          <t>Fatura - bruto INTERCARGAS ENCOMENDAS E CARGAS LTD</t>
        </is>
      </c>
    </row>
    <row r="3086">
      <c r="A3086" t="inlineStr">
        <is>
          <t>101687</t>
        </is>
      </c>
      <c r="B3086" t="inlineStr">
        <is>
          <t>UNIAO EDUCACIONAL T IMPACTA U IMPAC</t>
        </is>
      </c>
      <c r="C3086" t="n">
        <v>2111000000</v>
      </c>
      <c r="D3086" t="inlineStr">
        <is>
          <t>Other Suppliers</t>
        </is>
      </c>
      <c r="E3086" t="n">
        <v>5017919</v>
      </c>
      <c r="F3086" t="inlineStr">
        <is>
          <t>157663</t>
        </is>
      </c>
      <c r="G3086" t="inlineStr">
        <is>
          <t>RE</t>
        </is>
      </c>
      <c r="H3086" s="12" t="n">
        <v>-7918.45</v>
      </c>
      <c r="I3086" s="17" t="n">
        <v>45427</v>
      </c>
      <c r="J3086" s="17" t="n">
        <v>45442</v>
      </c>
      <c r="K3086" t="inlineStr">
        <is>
          <t>Fatura - bruto UNIAO EDUCACIONAL T IMPACTA U IMPAC</t>
        </is>
      </c>
    </row>
    <row r="3087">
      <c r="A3087" t="inlineStr">
        <is>
          <t>100883</t>
        </is>
      </c>
      <c r="B3087" t="inlineStr">
        <is>
          <t>QUELMAR TRANSPORTES LTDA</t>
        </is>
      </c>
      <c r="C3087" t="n">
        <v>2111000000</v>
      </c>
      <c r="D3087" t="inlineStr">
        <is>
          <t>Operational Suppliers (Wind Farms)</t>
        </is>
      </c>
      <c r="E3087" t="n">
        <v>5018378</v>
      </c>
      <c r="F3087" t="inlineStr">
        <is>
          <t>102178-1</t>
        </is>
      </c>
      <c r="G3087" t="inlineStr">
        <is>
          <t>RE</t>
        </is>
      </c>
      <c r="H3087" s="12" t="n">
        <v>-0.1</v>
      </c>
      <c r="I3087" s="17" t="n">
        <v>45786</v>
      </c>
      <c r="J3087" s="17" t="n">
        <v>45843</v>
      </c>
      <c r="K3087" t="inlineStr">
        <is>
          <t>Fatura - bruto QUELMAR TRANSPORTES LTDA 102178-1</t>
        </is>
      </c>
    </row>
    <row r="3088">
      <c r="A3088" t="inlineStr">
        <is>
          <t>100883</t>
        </is>
      </c>
      <c r="B3088" t="inlineStr">
        <is>
          <t>QUELMAR TRANSPORTES LTDA</t>
        </is>
      </c>
      <c r="C3088" t="n">
        <v>2111000000</v>
      </c>
      <c r="D3088" t="inlineStr">
        <is>
          <t>Operational Suppliers (Wind Farms)</t>
        </is>
      </c>
      <c r="E3088" t="n">
        <v>5018385</v>
      </c>
      <c r="F3088" t="inlineStr">
        <is>
          <t>102176-1</t>
        </is>
      </c>
      <c r="G3088" t="inlineStr">
        <is>
          <t>RE</t>
        </is>
      </c>
      <c r="H3088" s="12" t="n">
        <v>-0.1</v>
      </c>
      <c r="I3088" s="17" t="n">
        <v>45786</v>
      </c>
      <c r="J3088" s="17" t="n">
        <v>45843</v>
      </c>
      <c r="K3088" t="inlineStr">
        <is>
          <t>Fatura - bruto QUELMAR TRANSPORTES LTDA 102176-1</t>
        </is>
      </c>
    </row>
    <row r="3089">
      <c r="A3089" t="inlineStr">
        <is>
          <t>100883</t>
        </is>
      </c>
      <c r="B3089" t="inlineStr">
        <is>
          <t>QUELMAR TRANSPORTES LTDA</t>
        </is>
      </c>
      <c r="C3089" t="n">
        <v>2111000000</v>
      </c>
      <c r="D3089" t="inlineStr">
        <is>
          <t>Operational Suppliers (Wind Farms)</t>
        </is>
      </c>
      <c r="E3089" t="n">
        <v>5018391</v>
      </c>
      <c r="F3089" t="inlineStr">
        <is>
          <t>102177-1</t>
        </is>
      </c>
      <c r="G3089" t="inlineStr">
        <is>
          <t>RE</t>
        </is>
      </c>
      <c r="H3089" s="12" t="n">
        <v>-0.1</v>
      </c>
      <c r="I3089" s="17" t="n">
        <v>45786</v>
      </c>
      <c r="J3089" s="17" t="n">
        <v>45843</v>
      </c>
      <c r="K3089" t="inlineStr">
        <is>
          <t>Fatura - bruto QUELMAR TRANSPORTES LTDA 102177-1</t>
        </is>
      </c>
    </row>
    <row r="3090">
      <c r="A3090" t="inlineStr">
        <is>
          <t>100883</t>
        </is>
      </c>
      <c r="B3090" t="inlineStr">
        <is>
          <t>QUELMAR TRANSPORTES LTDA</t>
        </is>
      </c>
      <c r="C3090" t="n">
        <v>2111000000</v>
      </c>
      <c r="D3090" t="inlineStr">
        <is>
          <t>Operational Suppliers (Wind Farms)</t>
        </is>
      </c>
      <c r="E3090" t="n">
        <v>5018476</v>
      </c>
      <c r="F3090" t="inlineStr">
        <is>
          <t>102180-1</t>
        </is>
      </c>
      <c r="G3090" t="inlineStr">
        <is>
          <t>RE</t>
        </is>
      </c>
      <c r="H3090" s="12" t="n">
        <v>-0.1</v>
      </c>
      <c r="I3090" s="17" t="n">
        <v>45786</v>
      </c>
      <c r="J3090" s="17" t="n">
        <v>45843</v>
      </c>
      <c r="K3090" t="inlineStr">
        <is>
          <t>Fatura - bruto QUELMAR TRANSPORTES LTDA 102180-1</t>
        </is>
      </c>
    </row>
    <row r="3091">
      <c r="A3091" t="inlineStr">
        <is>
          <t>100883</t>
        </is>
      </c>
      <c r="B3091" t="inlineStr">
        <is>
          <t>QUELMAR TRANSPORTES LTDA</t>
        </is>
      </c>
      <c r="C3091" t="n">
        <v>2111000000</v>
      </c>
      <c r="D3091" t="inlineStr">
        <is>
          <t>Operational Suppliers (Wind Farms)</t>
        </is>
      </c>
      <c r="E3091" t="n">
        <v>5018478</v>
      </c>
      <c r="F3091" t="inlineStr">
        <is>
          <t>102181-1</t>
        </is>
      </c>
      <c r="G3091" t="inlineStr">
        <is>
          <t>RE</t>
        </is>
      </c>
      <c r="H3091" s="12" t="n">
        <v>-0.1</v>
      </c>
      <c r="I3091" s="17" t="n">
        <v>45786</v>
      </c>
      <c r="J3091" s="17" t="n">
        <v>45843</v>
      </c>
      <c r="K3091" t="inlineStr">
        <is>
          <t>Fatura - bruto QUELMAR TRANSPORTES LTDA 102181-1</t>
        </is>
      </c>
    </row>
    <row r="3092">
      <c r="A3092" t="inlineStr">
        <is>
          <t>100883</t>
        </is>
      </c>
      <c r="B3092" t="inlineStr">
        <is>
          <t>QUELMAR TRANSPORTES LTDA</t>
        </is>
      </c>
      <c r="C3092" t="n">
        <v>2111000000</v>
      </c>
      <c r="D3092" t="inlineStr">
        <is>
          <t>Operational Suppliers (Wind Farms)</t>
        </is>
      </c>
      <c r="E3092" t="n">
        <v>5018479</v>
      </c>
      <c r="F3092" t="inlineStr">
        <is>
          <t>102182-1</t>
        </is>
      </c>
      <c r="G3092" t="inlineStr">
        <is>
          <t>RE</t>
        </is>
      </c>
      <c r="H3092" s="12" t="n">
        <v>-0.1</v>
      </c>
      <c r="I3092" s="17" t="n">
        <v>45786</v>
      </c>
      <c r="J3092" s="17" t="n">
        <v>45843</v>
      </c>
      <c r="K3092" t="inlineStr">
        <is>
          <t>Fatura - bruto QUELMAR TRANSPORTES LTDA 102182-1</t>
        </is>
      </c>
    </row>
    <row r="3093">
      <c r="A3093" t="inlineStr">
        <is>
          <t>103681</t>
        </is>
      </c>
      <c r="B3093" t="inlineStr">
        <is>
          <t>SECRETARIA DA FAZENDA BAHIA</t>
        </is>
      </c>
      <c r="C3093" t="n">
        <v>2111000000</v>
      </c>
      <c r="D3093" t="inlineStr">
        <is>
          <t>Taxes Payable</t>
        </is>
      </c>
      <c r="E3093" t="n">
        <v>5019210</v>
      </c>
      <c r="F3093" t="inlineStr">
        <is>
          <t>E-2024-406E-2024</t>
        </is>
      </c>
      <c r="G3093" t="inlineStr">
        <is>
          <t>KR</t>
        </is>
      </c>
      <c r="H3093" s="12" t="n">
        <v>-4325.78</v>
      </c>
      <c r="I3093" s="17" t="n">
        <v>45379</v>
      </c>
      <c r="J3093" s="17" t="n">
        <v>45379</v>
      </c>
      <c r="K3093" t="inlineStr">
        <is>
          <t>E-2024-406E-2024-406</t>
        </is>
      </c>
    </row>
    <row r="3094">
      <c r="A3094" t="inlineStr">
        <is>
          <t>101888</t>
        </is>
      </c>
      <c r="B3094" t="inlineStr">
        <is>
          <t>BANCO SANTANDER BRASIL SA</t>
        </is>
      </c>
      <c r="C3094" t="n">
        <v>2111000000</v>
      </c>
      <c r="D3094" t="inlineStr">
        <is>
          <t>Corporate Card Payments</t>
        </is>
      </c>
      <c r="E3094" t="n">
        <v>5019338</v>
      </c>
      <c r="F3094" t="inlineStr">
        <is>
          <t>CC UBER 04.2024</t>
        </is>
      </c>
      <c r="G3094" t="inlineStr">
        <is>
          <t>KR</t>
        </is>
      </c>
      <c r="H3094" s="12" t="n">
        <v>-43058.78</v>
      </c>
      <c r="I3094" s="17" t="n">
        <v>45425</v>
      </c>
      <c r="J3094" s="17" t="n">
        <v>45425</v>
      </c>
      <c r="K3094" t="inlineStr">
        <is>
          <t>Fatura do fornecedor BANCO SANTANDER BRASIL SA CC</t>
        </is>
      </c>
    </row>
    <row r="3095">
      <c r="A3095" t="inlineStr">
        <is>
          <t>101560</t>
        </is>
      </c>
      <c r="B3095" t="inlineStr">
        <is>
          <t>SINDICATO DOS DESPACHANTES ADUANEIR DE SAO PAULO SINDASP</t>
        </is>
      </c>
      <c r="C3095" t="n">
        <v>2111000000</v>
      </c>
      <c r="D3095" t="inlineStr">
        <is>
          <t>Customs Brokerage – Overall</t>
        </is>
      </c>
      <c r="E3095" t="n">
        <v>5019434</v>
      </c>
      <c r="F3095" t="inlineStr">
        <is>
          <t>6821081</t>
        </is>
      </c>
      <c r="G3095" t="inlineStr">
        <is>
          <t>KR</t>
        </is>
      </c>
      <c r="H3095" s="12" t="n">
        <v>-500</v>
      </c>
      <c r="I3095" s="17" t="n">
        <v>45205</v>
      </c>
      <c r="J3095" s="17" t="n">
        <v>45205</v>
      </c>
      <c r="K3095" t="inlineStr">
        <is>
          <t>96012751</t>
        </is>
      </c>
    </row>
    <row r="3096">
      <c r="A3096" t="inlineStr">
        <is>
          <t>103681</t>
        </is>
      </c>
      <c r="B3096" t="inlineStr">
        <is>
          <t>SECRETARIA DA FAZENDA BAHIA</t>
        </is>
      </c>
      <c r="C3096" t="n">
        <v>2111000000</v>
      </c>
      <c r="D3096" t="inlineStr">
        <is>
          <t>Taxes Payable</t>
        </is>
      </c>
      <c r="E3096" t="n">
        <v>5019436</v>
      </c>
      <c r="F3096" t="inlineStr">
        <is>
          <t>96012751</t>
        </is>
      </c>
      <c r="G3096" t="inlineStr">
        <is>
          <t>KR</t>
        </is>
      </c>
      <c r="H3096" s="12" t="n">
        <v>-200.35</v>
      </c>
      <c r="I3096" s="17" t="n">
        <v>45205</v>
      </c>
      <c r="J3096" s="17" t="n">
        <v>45205</v>
      </c>
      <c r="K3096" t="inlineStr">
        <is>
          <t>96012751</t>
        </is>
      </c>
    </row>
    <row r="3097">
      <c r="A3097" t="inlineStr">
        <is>
          <t>101560</t>
        </is>
      </c>
      <c r="B3097" t="inlineStr">
        <is>
          <t>SINDICATO DOS DESPACHANTES ADUANEIR DE SAO PAULO SINDASP</t>
        </is>
      </c>
      <c r="C3097" t="n">
        <v>2111000000</v>
      </c>
      <c r="D3097" t="inlineStr">
        <is>
          <t>Customs Brokerage – Overall</t>
        </is>
      </c>
      <c r="E3097" t="n">
        <v>5019438</v>
      </c>
      <c r="F3097" t="inlineStr">
        <is>
          <t>6821734</t>
        </is>
      </c>
      <c r="G3097" t="inlineStr">
        <is>
          <t>KR</t>
        </is>
      </c>
      <c r="H3097" s="12" t="n">
        <v>-500</v>
      </c>
      <c r="I3097" s="17" t="n">
        <v>45208</v>
      </c>
      <c r="J3097" s="17" t="n">
        <v>45208</v>
      </c>
      <c r="K3097" t="inlineStr">
        <is>
          <t>4012341704 / 4012341705</t>
        </is>
      </c>
    </row>
    <row r="3098">
      <c r="A3098" t="inlineStr">
        <is>
          <t>101560</t>
        </is>
      </c>
      <c r="B3098" t="inlineStr">
        <is>
          <t>SINDICATO DOS DESPACHANTES ADUANEIR DE SAO PAULO SINDASP</t>
        </is>
      </c>
      <c r="C3098" t="n">
        <v>2111000000</v>
      </c>
      <c r="D3098" t="inlineStr">
        <is>
          <t>Customs Brokerage – Overall</t>
        </is>
      </c>
      <c r="E3098" t="n">
        <v>5019479</v>
      </c>
      <c r="F3098" t="inlineStr">
        <is>
          <t>6827393</t>
        </is>
      </c>
      <c r="G3098" t="inlineStr">
        <is>
          <t>KR</t>
        </is>
      </c>
      <c r="H3098" s="12" t="n">
        <v>-500</v>
      </c>
      <c r="I3098" s="17" t="n">
        <v>45216</v>
      </c>
      <c r="J3098" s="17" t="n">
        <v>45216</v>
      </c>
      <c r="K3098" t="inlineStr">
        <is>
          <t>4012341701 4012341707 4012341703 4012341706</t>
        </is>
      </c>
    </row>
    <row r="3099">
      <c r="A3099" t="inlineStr">
        <is>
          <t>100883</t>
        </is>
      </c>
      <c r="B3099" t="inlineStr">
        <is>
          <t>QUELMAR TRANSPORTES LTDA</t>
        </is>
      </c>
      <c r="C3099" t="n">
        <v>2111000000</v>
      </c>
      <c r="D3099" t="inlineStr">
        <is>
          <t>Operational Suppliers (Wind Farms)</t>
        </is>
      </c>
      <c r="E3099" t="n">
        <v>5019787</v>
      </c>
      <c r="F3099" t="inlineStr">
        <is>
          <t>102179-1</t>
        </is>
      </c>
      <c r="G3099" t="inlineStr">
        <is>
          <t>RE</t>
        </is>
      </c>
      <c r="H3099" s="12" t="n">
        <v>-0.1</v>
      </c>
      <c r="I3099" s="17" t="n">
        <v>45786</v>
      </c>
      <c r="J3099" s="17" t="n">
        <v>45843</v>
      </c>
      <c r="K3099" t="inlineStr">
        <is>
          <t>Fatura - bruto QUELMAR TRANSPORTES LTDA 102179-1</t>
        </is>
      </c>
    </row>
    <row r="3100">
      <c r="A3100" t="inlineStr">
        <is>
          <t>101222</t>
        </is>
      </c>
      <c r="B3100" t="inlineStr">
        <is>
          <t>AGROPECUARIA CANOA MIRIM SA</t>
        </is>
      </c>
      <c r="C3100" t="n">
        <v>2111000000</v>
      </c>
      <c r="D3100" t="inlineStr">
        <is>
          <t>Other Suppliers</t>
        </is>
      </c>
      <c r="E3100" t="n">
        <v>5020386</v>
      </c>
      <c r="F3100" t="inlineStr">
        <is>
          <t>202407</t>
        </is>
      </c>
      <c r="G3100" t="inlineStr">
        <is>
          <t>RE</t>
        </is>
      </c>
      <c r="H3100" s="12" t="n">
        <v>-8000</v>
      </c>
      <c r="I3100" s="17" t="n">
        <v>45448</v>
      </c>
      <c r="J3100" s="17" t="n">
        <v>45478</v>
      </c>
      <c r="K3100" t="inlineStr">
        <is>
          <t>Invoice Receipt MM AGROPECUARIA CANOA MIRIM SA 202</t>
        </is>
      </c>
    </row>
    <row r="3101">
      <c r="A3101" t="inlineStr">
        <is>
          <t>100855</t>
        </is>
      </c>
      <c r="B3101" t="inlineStr">
        <is>
          <t>LAVITA SERVICOS DE LAVANDERIA E TIN</t>
        </is>
      </c>
      <c r="C3101" t="n">
        <v>2111000000</v>
      </c>
      <c r="D3101" t="inlineStr">
        <is>
          <t>Other Suppliers</t>
        </is>
      </c>
      <c r="E3101" t="n">
        <v>5021035</v>
      </c>
      <c r="F3101" t="inlineStr">
        <is>
          <t>1119</t>
        </is>
      </c>
      <c r="G3101" t="inlineStr">
        <is>
          <t>RE</t>
        </is>
      </c>
      <c r="H3101" s="12" t="n">
        <v>-256</v>
      </c>
      <c r="I3101" s="17" t="n">
        <v>45812</v>
      </c>
      <c r="J3101" s="17" t="n">
        <v>45842</v>
      </c>
      <c r="K3101" t="inlineStr">
        <is>
          <t>Fatura - bruto LAVITA SERVICOS DE LAVANDERIA E TIN</t>
        </is>
      </c>
    </row>
    <row r="3102">
      <c r="A3102" t="inlineStr">
        <is>
          <t>105237</t>
        </is>
      </c>
      <c r="B3102" t="inlineStr">
        <is>
          <t>TGP BRASIL PROJETOS &amp; TRANSPORTES I 07752487000108</t>
        </is>
      </c>
      <c r="C3102" t="n">
        <v>2111000000</v>
      </c>
      <c r="D3102" t="inlineStr">
        <is>
          <t>Customs Brokerage – Overall</t>
        </is>
      </c>
      <c r="E3102" t="n">
        <v>5027000</v>
      </c>
      <c r="F3102" t="inlineStr">
        <is>
          <t>0877/24</t>
        </is>
      </c>
      <c r="G3102" t="inlineStr">
        <is>
          <t>RE</t>
        </is>
      </c>
      <c r="H3102" s="12" t="n">
        <v>-5786.41</v>
      </c>
      <c r="I3102" s="17" t="n">
        <v>45863</v>
      </c>
      <c r="J3102" s="17" t="n">
        <v>45903</v>
      </c>
      <c r="K3102" t="inlineStr">
        <is>
          <t>Invoice Payment. SP: 9194</t>
        </is>
      </c>
    </row>
    <row r="3103">
      <c r="A3103" t="inlineStr">
        <is>
          <t>101560</t>
        </is>
      </c>
      <c r="B3103" t="inlineStr">
        <is>
          <t>SINDICATO DOS DESPACHANTES ADUANEIR DE SAO PAULO SINDASP</t>
        </is>
      </c>
      <c r="C3103" t="n">
        <v>2111000000</v>
      </c>
      <c r="D3103" t="inlineStr">
        <is>
          <t>Customs Brokerage – Overall</t>
        </is>
      </c>
      <c r="E3103" t="n">
        <v>5028362</v>
      </c>
      <c r="F3103" t="inlineStr">
        <is>
          <t>3130586</t>
        </is>
      </c>
      <c r="G3103" t="inlineStr">
        <is>
          <t>KR</t>
        </is>
      </c>
      <c r="H3103" s="12" t="n">
        <v>-500</v>
      </c>
      <c r="I3103" s="17" t="n">
        <v>45882</v>
      </c>
      <c r="J3103" s="17" t="n">
        <v>45882</v>
      </c>
      <c r="K3103" t="inlineStr">
        <is>
          <t>Fatura do fornecedor SINDICATO DOS DESPACHANTES AD</t>
        </is>
      </c>
    </row>
    <row r="3104">
      <c r="A3104" t="inlineStr">
        <is>
          <t>103927</t>
        </is>
      </c>
      <c r="B3104" t="inlineStr">
        <is>
          <t>MOVIDA PARTICIPACOES</t>
        </is>
      </c>
      <c r="C3104" t="n">
        <v>2111000000</v>
      </c>
      <c r="D3104" t="inlineStr">
        <is>
          <t>Other Suppliers</t>
        </is>
      </c>
      <c r="E3104" t="n">
        <v>5028596</v>
      </c>
      <c r="F3104" t="inlineStr">
        <is>
          <t>6850918</t>
        </is>
      </c>
      <c r="G3104" t="inlineStr">
        <is>
          <t>KR</t>
        </is>
      </c>
      <c r="H3104" s="12" t="n">
        <v>-195.23</v>
      </c>
      <c r="I3104" s="17" t="n">
        <v>45807</v>
      </c>
      <c r="J3104" s="17" t="n">
        <v>45843</v>
      </c>
      <c r="K3104" t="inlineStr">
        <is>
          <t>Vendor Invoice MOVIDA PARTICIPACOES 6850918</t>
        </is>
      </c>
    </row>
    <row r="3105">
      <c r="A3105" t="inlineStr">
        <is>
          <t>103927</t>
        </is>
      </c>
      <c r="B3105" t="inlineStr">
        <is>
          <t>MOVIDA PARTICIPACOES</t>
        </is>
      </c>
      <c r="C3105" t="n">
        <v>2111000000</v>
      </c>
      <c r="D3105" t="inlineStr">
        <is>
          <t>Other Suppliers</t>
        </is>
      </c>
      <c r="E3105" t="n">
        <v>5028597</v>
      </c>
      <c r="F3105" t="inlineStr">
        <is>
          <t>6849930</t>
        </is>
      </c>
      <c r="G3105" t="inlineStr">
        <is>
          <t>KR</t>
        </is>
      </c>
      <c r="H3105" s="12" t="n">
        <v>-1737.08</v>
      </c>
      <c r="I3105" s="17" t="n">
        <v>45807</v>
      </c>
      <c r="J3105" s="17" t="n">
        <v>45843</v>
      </c>
      <c r="K3105" t="inlineStr">
        <is>
          <t>Vendor Invoice MOVIDA PARTICIPACOES 6849930</t>
        </is>
      </c>
    </row>
    <row r="3106">
      <c r="A3106" t="inlineStr">
        <is>
          <t>100028</t>
        </is>
      </c>
      <c r="B3106" t="inlineStr">
        <is>
          <t>SUPPLOG PORTO SECO DE IPOJUCA LTDA</t>
        </is>
      </c>
      <c r="C3106" t="n">
        <v>2111000000</v>
      </c>
      <c r="D3106" t="inlineStr">
        <is>
          <t>Customs Brokerage – Overall</t>
        </is>
      </c>
      <c r="E3106" t="n">
        <v>5028763</v>
      </c>
      <c r="F3106" t="inlineStr">
        <is>
          <t>230000506</t>
        </is>
      </c>
      <c r="G3106" t="inlineStr">
        <is>
          <t>KR</t>
        </is>
      </c>
      <c r="H3106" s="12" t="n">
        <v>-11749.63</v>
      </c>
      <c r="I3106" s="17" t="n">
        <v>45883</v>
      </c>
      <c r="J3106" s="17" t="n">
        <v>45935</v>
      </c>
      <c r="K3106" t="inlineStr">
        <is>
          <t>Fatura do fornecedor SUPPLOG PORTO SECO DE IPOJUCA</t>
        </is>
      </c>
    </row>
    <row r="3107">
      <c r="A3107" t="inlineStr">
        <is>
          <t>101569</t>
        </is>
      </c>
      <c r="B3107" t="inlineStr">
        <is>
          <t>SECRETARIA DA FAZENDA CEARA</t>
        </is>
      </c>
      <c r="C3107" t="n">
        <v>2111000000</v>
      </c>
      <c r="D3107" t="inlineStr">
        <is>
          <t>Customs Brokerage – Overall</t>
        </is>
      </c>
      <c r="E3107" t="n">
        <v>5029330</v>
      </c>
      <c r="F3107" t="inlineStr">
        <is>
          <t>0063/25</t>
        </is>
      </c>
      <c r="G3107" t="inlineStr">
        <is>
          <t>RE</t>
        </is>
      </c>
      <c r="H3107" s="12" t="n">
        <v>-33369.66</v>
      </c>
      <c r="I3107" s="17" t="n">
        <v>45887</v>
      </c>
      <c r="J3107" s="17" t="n">
        <v>45917</v>
      </c>
      <c r="K3107" t="inlineStr">
        <is>
          <t>Invoice Payment. SP: 10119</t>
        </is>
      </c>
    </row>
    <row r="3108">
      <c r="A3108" t="inlineStr">
        <is>
          <t>100183</t>
        </is>
      </c>
      <c r="B3108" t="inlineStr">
        <is>
          <t>AGL TRANSPORTES INTERNACIONAIS LTDA</t>
        </is>
      </c>
      <c r="C3108" t="n">
        <v>2111000000</v>
      </c>
      <c r="D3108" t="inlineStr">
        <is>
          <t>Customs Brokerage – Overall</t>
        </is>
      </c>
      <c r="E3108" t="n">
        <v>5030208</v>
      </c>
      <c r="F3108" t="inlineStr">
        <is>
          <t>0044/25</t>
        </is>
      </c>
      <c r="G3108" t="inlineStr">
        <is>
          <t>RE</t>
        </is>
      </c>
      <c r="H3108" s="12" t="n">
        <v>-1481.4</v>
      </c>
      <c r="I3108" s="17" t="n">
        <v>45890</v>
      </c>
      <c r="J3108" s="17" t="n">
        <v>45950</v>
      </c>
      <c r="K3108" t="inlineStr">
        <is>
          <t>Invoice Payment. SP: 10417</t>
        </is>
      </c>
    </row>
    <row r="3109">
      <c r="A3109" t="inlineStr">
        <is>
          <t>100183</t>
        </is>
      </c>
      <c r="B3109" t="inlineStr">
        <is>
          <t>AGL TRANSPORTES INTERNACIONAIS LTDA</t>
        </is>
      </c>
      <c r="C3109" t="n">
        <v>2111000000</v>
      </c>
      <c r="D3109" t="inlineStr">
        <is>
          <t>Customs Brokerage – Overall</t>
        </is>
      </c>
      <c r="E3109" t="n">
        <v>5030217</v>
      </c>
      <c r="F3109" t="inlineStr">
        <is>
          <t>1178/24</t>
        </is>
      </c>
      <c r="G3109" t="inlineStr">
        <is>
          <t>RE</t>
        </is>
      </c>
      <c r="H3109" s="12" t="n">
        <v>-8024.25</v>
      </c>
      <c r="I3109" s="17" t="n">
        <v>45890</v>
      </c>
      <c r="J3109" s="17" t="n">
        <v>45950</v>
      </c>
      <c r="K3109" t="inlineStr">
        <is>
          <t>Invoice Payment. SP: 10418</t>
        </is>
      </c>
    </row>
    <row r="3110">
      <c r="A3110" t="inlineStr">
        <is>
          <t>100124</t>
        </is>
      </c>
      <c r="B3110" t="inlineStr">
        <is>
          <t>PERMETAL S A METAIS PERFURADOS</t>
        </is>
      </c>
      <c r="C3110" t="n">
        <v>2111000000</v>
      </c>
      <c r="D3110" t="inlineStr">
        <is>
          <t>Other Suppliers</t>
        </is>
      </c>
      <c r="E3110" t="n">
        <v>5031268</v>
      </c>
      <c r="F3110" t="inlineStr">
        <is>
          <t>000028602-2</t>
        </is>
      </c>
      <c r="G3110" t="inlineStr">
        <is>
          <t>RE</t>
        </is>
      </c>
      <c r="H3110" s="12" t="n">
        <v>-102594.3</v>
      </c>
      <c r="I3110" s="17" t="n">
        <v>45891</v>
      </c>
      <c r="J3110" s="17" t="n">
        <v>45951</v>
      </c>
      <c r="K3110" t="inlineStr">
        <is>
          <t>Aguard CC para baixar</t>
        </is>
      </c>
    </row>
    <row r="3111">
      <c r="A3111" t="inlineStr">
        <is>
          <t>100124</t>
        </is>
      </c>
      <c r="B3111" t="inlineStr">
        <is>
          <t>PERMETAL S A METAIS PERFURADOS</t>
        </is>
      </c>
      <c r="C3111" t="n">
        <v>2111000000</v>
      </c>
      <c r="D3111" t="inlineStr">
        <is>
          <t>Other Suppliers</t>
        </is>
      </c>
      <c r="E3111" t="n">
        <v>5031269</v>
      </c>
      <c r="F3111" t="inlineStr">
        <is>
          <t>000028603-2</t>
        </is>
      </c>
      <c r="G3111" t="inlineStr">
        <is>
          <t>RE</t>
        </is>
      </c>
      <c r="H3111" s="12" t="n">
        <v>-1646.25</v>
      </c>
      <c r="I3111" s="17" t="n">
        <v>45891</v>
      </c>
      <c r="J3111" s="17" t="n">
        <v>45951</v>
      </c>
      <c r="K3111" t="inlineStr">
        <is>
          <t>Aguard CC para baixar</t>
        </is>
      </c>
    </row>
    <row r="3112">
      <c r="A3112" t="inlineStr">
        <is>
          <t>100183</t>
        </is>
      </c>
      <c r="B3112" t="inlineStr">
        <is>
          <t>AGL TRANSPORTES INTERNACIONAIS LTDA</t>
        </is>
      </c>
      <c r="C3112" t="n">
        <v>2111000000</v>
      </c>
      <c r="D3112" t="inlineStr">
        <is>
          <t>Customs Brokerage – Overall</t>
        </is>
      </c>
      <c r="E3112" t="n">
        <v>5031564</v>
      </c>
      <c r="F3112" t="inlineStr">
        <is>
          <t>0012/25</t>
        </is>
      </c>
      <c r="G3112" t="inlineStr">
        <is>
          <t>RE</t>
        </is>
      </c>
      <c r="H3112" s="12" t="n">
        <v>-13332.6</v>
      </c>
      <c r="I3112" s="17" t="n">
        <v>45898</v>
      </c>
      <c r="J3112" s="17" t="n">
        <v>45958</v>
      </c>
      <c r="K3112" t="inlineStr">
        <is>
          <t>Invoice Payment. SP: 10717</t>
        </is>
      </c>
    </row>
    <row r="3113">
      <c r="A3113" t="inlineStr">
        <is>
          <t>102057</t>
        </is>
      </c>
      <c r="B3113" t="inlineStr">
        <is>
          <t>AERIS INDUSTRIA E COM EQUI GERACAO</t>
        </is>
      </c>
      <c r="C3113" t="n">
        <v>2111000000</v>
      </c>
      <c r="D3113" t="inlineStr">
        <is>
          <t>Aeris</t>
        </is>
      </c>
      <c r="E3113" t="n">
        <v>5031779</v>
      </c>
      <c r="F3113" t="inlineStr">
        <is>
          <t>108301-1</t>
        </is>
      </c>
      <c r="G3113" t="inlineStr">
        <is>
          <t>RE</t>
        </is>
      </c>
      <c r="H3113" s="12" t="n">
        <v>-2051549.79</v>
      </c>
      <c r="I3113" s="17" t="n">
        <v>45838</v>
      </c>
      <c r="J3113" s="17" t="n">
        <v>45874</v>
      </c>
      <c r="K3113" t="inlineStr">
        <is>
          <t>NF COMPLEMENTAR REF NF 103483-1 29.09.2024</t>
        </is>
      </c>
    </row>
    <row r="3114">
      <c r="A3114" t="inlineStr">
        <is>
          <t>101836</t>
        </is>
      </c>
      <c r="B3114" t="inlineStr">
        <is>
          <t>SIKA S/A</t>
        </is>
      </c>
      <c r="C3114" t="n">
        <v>2111000000</v>
      </c>
      <c r="D3114" t="inlineStr">
        <is>
          <t>Operational Suppliers (Wind Farms)</t>
        </is>
      </c>
      <c r="E3114" t="n">
        <v>5032159</v>
      </c>
      <c r="F3114" t="inlineStr">
        <is>
          <t>000086412-14</t>
        </is>
      </c>
      <c r="G3114" t="inlineStr">
        <is>
          <t>RE</t>
        </is>
      </c>
      <c r="H3114" s="12" t="n">
        <v>-9020.719999999999</v>
      </c>
      <c r="I3114" s="17" t="n">
        <v>45909</v>
      </c>
      <c r="J3114" s="17" t="n">
        <v>45996</v>
      </c>
      <c r="K3114" t="inlineStr">
        <is>
          <t>Fatura - bruto SIKA S/A 000086412-14</t>
        </is>
      </c>
    </row>
    <row r="3115">
      <c r="A3115" t="inlineStr">
        <is>
          <t>107311</t>
        </is>
      </c>
      <c r="B3115" t="inlineStr">
        <is>
          <t>BRS SUPRIMENTOS CORPORATIVOS S A</t>
        </is>
      </c>
      <c r="C3115" t="n">
        <v>2111000000</v>
      </c>
      <c r="D3115" t="inlineStr">
        <is>
          <t>Other Suppliers</t>
        </is>
      </c>
      <c r="E3115" t="n">
        <v>5032186</v>
      </c>
      <c r="F3115" t="inlineStr">
        <is>
          <t>2453998-2</t>
        </is>
      </c>
      <c r="G3115" t="inlineStr">
        <is>
          <t>RE</t>
        </is>
      </c>
      <c r="H3115" s="12" t="n">
        <v>-614.6799999999999</v>
      </c>
      <c r="I3115" s="17" t="n">
        <v>45068</v>
      </c>
      <c r="J3115" s="17" t="n">
        <v>45910</v>
      </c>
      <c r="K3115" t="inlineStr">
        <is>
          <t>Fatura - bruto BRS SUPRIMENTOS CORPORATIVOS S A 24</t>
        </is>
      </c>
    </row>
    <row r="3116">
      <c r="A3116" t="inlineStr">
        <is>
          <t>100390</t>
        </is>
      </c>
      <c r="B3116" t="inlineStr">
        <is>
          <t>GREEN ENERGIA SERVICOS TECNICOS DE</t>
        </is>
      </c>
      <c r="C3116" t="n">
        <v>2111000000</v>
      </c>
      <c r="D3116" t="inlineStr">
        <is>
          <t>Other Suppliers</t>
        </is>
      </c>
      <c r="E3116" t="n">
        <v>5033079</v>
      </c>
      <c r="F3116" t="inlineStr">
        <is>
          <t>211</t>
        </is>
      </c>
      <c r="G3116" t="inlineStr">
        <is>
          <t>RE</t>
        </is>
      </c>
      <c r="H3116" s="12" t="n">
        <v>-15961.92</v>
      </c>
      <c r="I3116" s="17" t="n">
        <v>45159</v>
      </c>
      <c r="J3116" s="17" t="n">
        <v>45204</v>
      </c>
      <c r="K3116" t="inlineStr">
        <is>
          <t>DI  23/1177584-6 - 19/06/2023.</t>
        </is>
      </c>
    </row>
    <row r="3117">
      <c r="A3117" t="inlineStr">
        <is>
          <t>101222</t>
        </is>
      </c>
      <c r="B3117" t="inlineStr">
        <is>
          <t>AGROPECUARIA CANOA MIRIM SA</t>
        </is>
      </c>
      <c r="C3117" t="n">
        <v>2111000000</v>
      </c>
      <c r="D3117" t="inlineStr">
        <is>
          <t>Other Suppliers</t>
        </is>
      </c>
      <c r="E3117" t="n">
        <v>5033112</v>
      </c>
      <c r="F3117" t="inlineStr">
        <is>
          <t>202408</t>
        </is>
      </c>
      <c r="G3117" t="inlineStr">
        <is>
          <t>RE</t>
        </is>
      </c>
      <c r="H3117" s="12" t="n">
        <v>-8000</v>
      </c>
      <c r="I3117" s="17" t="n">
        <v>45478</v>
      </c>
      <c r="J3117" s="17" t="n">
        <v>45509</v>
      </c>
      <c r="K3117" t="inlineStr">
        <is>
          <t>Fatura - bruto AGROPECUARIA CANOA MIRIM SA 202408</t>
        </is>
      </c>
    </row>
    <row r="3118">
      <c r="A3118" t="inlineStr">
        <is>
          <t>101222</t>
        </is>
      </c>
      <c r="B3118" t="inlineStr">
        <is>
          <t>AGROPECUARIA CANOA MIRIM SA</t>
        </is>
      </c>
      <c r="C3118" t="n">
        <v>2111000000</v>
      </c>
      <c r="D3118" t="inlineStr">
        <is>
          <t>Other Suppliers</t>
        </is>
      </c>
      <c r="E3118" t="n">
        <v>5033115</v>
      </c>
      <c r="F3118" t="inlineStr">
        <is>
          <t>202409</t>
        </is>
      </c>
      <c r="G3118" t="inlineStr">
        <is>
          <t>RE</t>
        </is>
      </c>
      <c r="H3118" s="12" t="n">
        <v>-8000</v>
      </c>
      <c r="I3118" s="17" t="n">
        <v>45509</v>
      </c>
      <c r="J3118" s="17" t="n">
        <v>45540</v>
      </c>
      <c r="K3118" t="inlineStr">
        <is>
          <t>Fatura - bruto AGROPECUARIA CANOA MIRIM SA 202409</t>
        </is>
      </c>
    </row>
    <row r="3119">
      <c r="A3119" t="inlineStr">
        <is>
          <t>101255</t>
        </is>
      </c>
      <c r="B3119" t="inlineStr">
        <is>
          <t>WILSON SONS LOGISTICA LTDA</t>
        </is>
      </c>
      <c r="C3119" t="n">
        <v>2111000000</v>
      </c>
      <c r="D3119" t="inlineStr">
        <is>
          <t>Operational Suppliers (Wind Farms)</t>
        </is>
      </c>
      <c r="E3119" t="n">
        <v>5033251</v>
      </c>
      <c r="F3119" t="inlineStr">
        <is>
          <t>4592</t>
        </is>
      </c>
      <c r="G3119" t="inlineStr">
        <is>
          <t>RE</t>
        </is>
      </c>
      <c r="H3119" s="12" t="n">
        <v>-1080</v>
      </c>
      <c r="I3119" s="17" t="n">
        <v>45127</v>
      </c>
      <c r="J3119" s="17" t="n">
        <v>45127</v>
      </c>
      <c r="K3119" t="inlineStr">
        <is>
          <t>DI  23/1177584-6 - 19/06/2023.</t>
        </is>
      </c>
    </row>
    <row r="3120">
      <c r="A3120" t="inlineStr">
        <is>
          <t>102118</t>
        </is>
      </c>
      <c r="B3120" t="inlineStr">
        <is>
          <t>EMP BRASILEIRA DE CORREIOS E TELEGR</t>
        </is>
      </c>
      <c r="C3120" t="n">
        <v>2111000000</v>
      </c>
      <c r="D3120" t="inlineStr">
        <is>
          <t>Other Suppliers</t>
        </is>
      </c>
      <c r="E3120" t="n">
        <v>5033779</v>
      </c>
      <c r="F3120" t="inlineStr">
        <is>
          <t>336011</t>
        </is>
      </c>
      <c r="G3120" t="inlineStr">
        <is>
          <t>RE</t>
        </is>
      </c>
      <c r="H3120" s="12" t="n">
        <v>-16.05</v>
      </c>
      <c r="I3120" s="17" t="n">
        <v>45882</v>
      </c>
      <c r="J3120" s="17" t="n">
        <v>45882</v>
      </c>
      <c r="K3120" t="inlineStr">
        <is>
          <t>Fatura - bruto EMP BRASILEIRA DE CORREIOS E TELEGR</t>
        </is>
      </c>
    </row>
    <row r="3121">
      <c r="A3121" t="inlineStr">
        <is>
          <t>102118</t>
        </is>
      </c>
      <c r="B3121" t="inlineStr">
        <is>
          <t>EMP BRASILEIRA DE CORREIOS E TELEGR</t>
        </is>
      </c>
      <c r="C3121" t="n">
        <v>2111000000</v>
      </c>
      <c r="D3121" t="inlineStr">
        <is>
          <t>Other Suppliers</t>
        </is>
      </c>
      <c r="E3121" t="n">
        <v>5033781</v>
      </c>
      <c r="F3121" t="inlineStr">
        <is>
          <t>336012</t>
        </is>
      </c>
      <c r="G3121" t="inlineStr">
        <is>
          <t>RE</t>
        </is>
      </c>
      <c r="H3121" s="12" t="n">
        <v>-470.11</v>
      </c>
      <c r="I3121" s="17" t="n">
        <v>45882</v>
      </c>
      <c r="J3121" s="17" t="n">
        <v>45882</v>
      </c>
      <c r="K3121" t="inlineStr">
        <is>
          <t>00190000090212652908634883800178111850000047010</t>
        </is>
      </c>
    </row>
    <row r="3122">
      <c r="A3122" t="inlineStr">
        <is>
          <t>100124</t>
        </is>
      </c>
      <c r="B3122" t="inlineStr">
        <is>
          <t>PERMETAL S A METAIS PERFURADOS</t>
        </is>
      </c>
      <c r="C3122" t="n">
        <v>2111000000</v>
      </c>
      <c r="D3122" t="inlineStr">
        <is>
          <t>Other Suppliers</t>
        </is>
      </c>
      <c r="E3122" t="n">
        <v>5034028</v>
      </c>
      <c r="F3122" t="inlineStr">
        <is>
          <t>000029157-2</t>
        </is>
      </c>
      <c r="G3122" t="inlineStr">
        <is>
          <t>RE</t>
        </is>
      </c>
      <c r="H3122" s="12" t="n">
        <v>-70086.35000000001</v>
      </c>
      <c r="I3122" s="17" t="n">
        <v>45924</v>
      </c>
      <c r="J3122" s="17" t="n">
        <v>45984</v>
      </c>
      <c r="K3122" t="inlineStr">
        <is>
          <t>Aguard CC para baixar</t>
        </is>
      </c>
    </row>
    <row r="3123">
      <c r="A3123" t="inlineStr">
        <is>
          <t>101836</t>
        </is>
      </c>
      <c r="B3123" t="inlineStr">
        <is>
          <t>SIKA S/A</t>
        </is>
      </c>
      <c r="C3123" t="n">
        <v>2111000000</v>
      </c>
      <c r="D3123" t="inlineStr">
        <is>
          <t>Operational Suppliers (Wind Farms)</t>
        </is>
      </c>
      <c r="E3123" t="n">
        <v>5035255</v>
      </c>
      <c r="F3123" t="inlineStr">
        <is>
          <t>000086412-14</t>
        </is>
      </c>
      <c r="G3123" t="inlineStr">
        <is>
          <t>RE</t>
        </is>
      </c>
      <c r="H3123" s="12" t="n">
        <v>902.0700000000001</v>
      </c>
      <c r="I3123" s="17" t="n">
        <v>45946</v>
      </c>
      <c r="J3123" s="17" t="n">
        <v>45996</v>
      </c>
      <c r="K3123" t="inlineStr">
        <is>
          <t>Fatura - bruto SIKA S/A 000086412-14</t>
        </is>
      </c>
    </row>
    <row r="3124">
      <c r="A3124" t="inlineStr">
        <is>
          <t>100469</t>
        </is>
      </c>
      <c r="B3124" t="inlineStr">
        <is>
          <t>NELSON HEUSI LOGISTICA E ARMAZENS G</t>
        </is>
      </c>
      <c r="C3124" t="n">
        <v>2111000000</v>
      </c>
      <c r="D3124" t="inlineStr">
        <is>
          <t>Customs Brokerage – Overall</t>
        </is>
      </c>
      <c r="E3124" t="n">
        <v>5036811</v>
      </c>
      <c r="F3124" t="inlineStr">
        <is>
          <t>138414</t>
        </is>
      </c>
      <c r="G3124" t="inlineStr">
        <is>
          <t>RE</t>
        </is>
      </c>
      <c r="H3124" s="12" t="n">
        <v>-411.45</v>
      </c>
      <c r="I3124" s="17" t="n">
        <v>45135</v>
      </c>
      <c r="J3124" s="17" t="n">
        <v>45174</v>
      </c>
      <c r="K3124" t="inlineStr">
        <is>
          <t>Fatura - bruto NELSON HEUSI LOGISTICA E ARMAZENS G</t>
        </is>
      </c>
    </row>
    <row r="3125">
      <c r="A3125" t="inlineStr">
        <is>
          <t>101948</t>
        </is>
      </c>
      <c r="B3125" t="inlineStr">
        <is>
          <t>INSTITUTO BRAS DO MEIO AMBIEN E DOS</t>
        </is>
      </c>
      <c r="C3125" t="n">
        <v>2111000000</v>
      </c>
      <c r="D3125" t="inlineStr">
        <is>
          <t>Other Suppliers</t>
        </is>
      </c>
      <c r="E3125" t="n">
        <v>5037192</v>
      </c>
      <c r="F3125" t="inlineStr">
        <is>
          <t>54036182</t>
        </is>
      </c>
      <c r="G3125" t="inlineStr">
        <is>
          <t>KR</t>
        </is>
      </c>
      <c r="H3125" s="12" t="n">
        <v>-34300.68</v>
      </c>
      <c r="I3125" s="17" t="n">
        <v>45971</v>
      </c>
      <c r="J3125" s="17" t="n">
        <v>45971</v>
      </c>
      <c r="K3125" t="inlineStr">
        <is>
          <t>Fatura do fornecedor INSTITUTO BRAS DO MEIO AMBIEN</t>
        </is>
      </c>
    </row>
    <row r="3126">
      <c r="A3126" t="inlineStr">
        <is>
          <t>100469</t>
        </is>
      </c>
      <c r="B3126" t="inlineStr">
        <is>
          <t>NELSON HEUSI LOGISTICA E ARMAZENS G</t>
        </is>
      </c>
      <c r="C3126" t="n">
        <v>2111000000</v>
      </c>
      <c r="D3126" t="inlineStr">
        <is>
          <t>Customs Brokerage – Overall</t>
        </is>
      </c>
      <c r="E3126" t="n">
        <v>5037627</v>
      </c>
      <c r="F3126" t="inlineStr">
        <is>
          <t>151912</t>
        </is>
      </c>
      <c r="G3126" t="inlineStr">
        <is>
          <t>RE</t>
        </is>
      </c>
      <c r="H3126" s="12" t="n">
        <v>-424.45</v>
      </c>
      <c r="I3126" s="17" t="n">
        <v>45226</v>
      </c>
      <c r="J3126" s="17" t="n">
        <v>45265</v>
      </c>
      <c r="K3126" t="inlineStr">
        <is>
          <t>Fatura - bruto NELSON HEUSI LOGISTICA E ARMAZENS G</t>
        </is>
      </c>
    </row>
    <row r="3127">
      <c r="A3127" t="inlineStr">
        <is>
          <t>100469</t>
        </is>
      </c>
      <c r="B3127" t="inlineStr">
        <is>
          <t>NELSON HEUSI LOGISTICA E ARMAZENS G</t>
        </is>
      </c>
      <c r="C3127" t="n">
        <v>2111000000</v>
      </c>
      <c r="D3127" t="inlineStr">
        <is>
          <t>Customs Brokerage – Overall</t>
        </is>
      </c>
      <c r="E3127" t="n">
        <v>5037639</v>
      </c>
      <c r="F3127" t="inlineStr">
        <is>
          <t>136096</t>
        </is>
      </c>
      <c r="G3127" t="inlineStr">
        <is>
          <t>RE</t>
        </is>
      </c>
      <c r="H3127" s="12" t="n">
        <v>-416.83</v>
      </c>
      <c r="I3127" s="17" t="n">
        <v>45118</v>
      </c>
      <c r="J3127" s="17" t="n">
        <v>45174</v>
      </c>
      <c r="K3127" t="inlineStr">
        <is>
          <t>Fatura - bruto NELSON HEUSI LOGISTICA E ARMAZENS G</t>
        </is>
      </c>
    </row>
    <row r="3128">
      <c r="A3128" t="inlineStr">
        <is>
          <t>100469</t>
        </is>
      </c>
      <c r="B3128" t="inlineStr">
        <is>
          <t>NELSON HEUSI LOGISTICA E ARMAZENS G</t>
        </is>
      </c>
      <c r="C3128" t="n">
        <v>2111000000</v>
      </c>
      <c r="D3128" t="inlineStr">
        <is>
          <t>Customs Brokerage – Overall</t>
        </is>
      </c>
      <c r="E3128" t="n">
        <v>5037641</v>
      </c>
      <c r="F3128" t="inlineStr">
        <is>
          <t>138296</t>
        </is>
      </c>
      <c r="G3128" t="inlineStr">
        <is>
          <t>RE</t>
        </is>
      </c>
      <c r="H3128" s="12" t="n">
        <v>-1013.61</v>
      </c>
      <c r="I3128" s="17" t="n">
        <v>45134</v>
      </c>
      <c r="J3128" s="17" t="n">
        <v>45174</v>
      </c>
      <c r="K3128" t="inlineStr">
        <is>
          <t>Fatura - bruto NELSON HEUSI LOGISTICA E ARMAZENS G</t>
        </is>
      </c>
    </row>
    <row r="3129">
      <c r="A3129" t="inlineStr">
        <is>
          <t>100469</t>
        </is>
      </c>
      <c r="B3129" t="inlineStr">
        <is>
          <t>NELSON HEUSI LOGISTICA E ARMAZENS G</t>
        </is>
      </c>
      <c r="C3129" t="n">
        <v>2111000000</v>
      </c>
      <c r="D3129" t="inlineStr">
        <is>
          <t>Customs Brokerage – Overall</t>
        </is>
      </c>
      <c r="E3129" t="n">
        <v>5037647</v>
      </c>
      <c r="F3129" t="inlineStr">
        <is>
          <t>135832</t>
        </is>
      </c>
      <c r="G3129" t="inlineStr">
        <is>
          <t>RE</t>
        </is>
      </c>
      <c r="H3129" s="12" t="n">
        <v>-1050.98</v>
      </c>
      <c r="I3129" s="17" t="n">
        <v>45114</v>
      </c>
      <c r="J3129" s="17" t="n">
        <v>45174</v>
      </c>
      <c r="K3129" t="inlineStr">
        <is>
          <t>Fatura - bruto NELSON HEUSI LOGISTICA E ARMAZENS G</t>
        </is>
      </c>
    </row>
    <row r="3130">
      <c r="A3130" t="inlineStr">
        <is>
          <t>101540</t>
        </is>
      </c>
      <c r="B3130" t="inlineStr">
        <is>
          <t>RICOH PY EQUIPAMENTOS DE INFORMATIC</t>
        </is>
      </c>
      <c r="C3130" t="n">
        <v>2111000000</v>
      </c>
      <c r="D3130" t="inlineStr">
        <is>
          <t>Other Suppliers</t>
        </is>
      </c>
      <c r="E3130" t="n">
        <v>5038357</v>
      </c>
      <c r="F3130" t="inlineStr">
        <is>
          <t>13967</t>
        </is>
      </c>
      <c r="G3130" t="inlineStr">
        <is>
          <t>RE</t>
        </is>
      </c>
      <c r="H3130" s="12" t="n">
        <v>-2585.87</v>
      </c>
      <c r="I3130" s="17" t="n">
        <v>45987</v>
      </c>
      <c r="J3130" s="17" t="n">
        <v>46017</v>
      </c>
      <c r="K3130" t="inlineStr">
        <is>
          <t>Fatura - bruto RICOH PY EQUIPAMENTOS DE INFORMATIC</t>
        </is>
      </c>
    </row>
    <row r="3131">
      <c r="A3131" t="inlineStr">
        <is>
          <t>101222</t>
        </is>
      </c>
      <c r="B3131" t="inlineStr">
        <is>
          <t>AGROPECUARIA CANOA MIRIM SA</t>
        </is>
      </c>
      <c r="C3131" t="n">
        <v>2111000000</v>
      </c>
      <c r="D3131" t="inlineStr">
        <is>
          <t>Other Suppliers</t>
        </is>
      </c>
      <c r="E3131" t="n">
        <v>5038401</v>
      </c>
      <c r="F3131" t="inlineStr">
        <is>
          <t>202410</t>
        </is>
      </c>
      <c r="G3131" t="inlineStr">
        <is>
          <t>RE</t>
        </is>
      </c>
      <c r="H3131" s="12" t="n">
        <v>-8000</v>
      </c>
      <c r="I3131" s="17" t="n">
        <v>45540</v>
      </c>
      <c r="J3131" s="17" t="n">
        <v>45570</v>
      </c>
      <c r="K3131" t="inlineStr">
        <is>
          <t>Fatura - bruto AGROPECUARIA CANOA MIRIM SA 10</t>
        </is>
      </c>
    </row>
    <row r="3132">
      <c r="A3132" t="inlineStr">
        <is>
          <t>EM000394</t>
        </is>
      </c>
      <c r="B3132" t="inlineStr">
        <is>
          <t>WAGNER DELLA FLORA GROSS</t>
        </is>
      </c>
      <c r="C3132" t="n">
        <v>2111000000</v>
      </c>
      <c r="D3132" t="inlineStr">
        <is>
          <t>Nordex Employees</t>
        </is>
      </c>
      <c r="E3132" t="n">
        <v>5038504</v>
      </c>
      <c r="F3132" t="inlineStr">
        <is>
          <t>31299</t>
        </is>
      </c>
      <c r="G3132" t="inlineStr">
        <is>
          <t>KR</t>
        </is>
      </c>
      <c r="H3132" s="12" t="n">
        <v>-1362.36</v>
      </c>
      <c r="I3132" s="17" t="n">
        <v>45477</v>
      </c>
      <c r="J3132" s="17" t="n">
        <v>45477</v>
      </c>
      <c r="K3132" t="inlineStr">
        <is>
          <t>Fatura do fornecedor WAGNER DELLA FLORA GROSS 3129</t>
        </is>
      </c>
    </row>
    <row r="3133">
      <c r="A3133" t="inlineStr">
        <is>
          <t>104134</t>
        </is>
      </c>
      <c r="B3133" t="inlineStr">
        <is>
          <t>B&amp;M LOGISTICA INTERNACIONAL LTDA 07720307000106</t>
        </is>
      </c>
      <c r="C3133" t="n">
        <v>2111000000</v>
      </c>
      <c r="D3133" t="inlineStr">
        <is>
          <t>Other Suppliers</t>
        </is>
      </c>
      <c r="E3133" t="n">
        <v>5038728</v>
      </c>
      <c r="F3133" t="inlineStr">
        <is>
          <t>9052</t>
        </is>
      </c>
      <c r="G3133" t="inlineStr">
        <is>
          <t>RE</t>
        </is>
      </c>
      <c r="H3133" s="12" t="n">
        <v>-931.71</v>
      </c>
      <c r="I3133" s="17" t="n">
        <v>45251</v>
      </c>
      <c r="J3133" s="17" t="n">
        <v>45296</v>
      </c>
      <c r="K3133" t="inlineStr">
        <is>
          <t>Fatura - bruto B&amp;M LOGISTICA INTERNACIONAL LTDA 07</t>
        </is>
      </c>
    </row>
    <row r="3134">
      <c r="A3134" t="inlineStr">
        <is>
          <t>103904</t>
        </is>
      </c>
      <c r="B3134" t="inlineStr">
        <is>
          <t>EDSON MELO</t>
        </is>
      </c>
      <c r="C3134" t="n">
        <v>2111000000</v>
      </c>
      <c r="D3134" t="inlineStr">
        <is>
          <t>Other Suppliers</t>
        </is>
      </c>
      <c r="E3134" t="n">
        <v>5038794</v>
      </c>
      <c r="F3134" t="inlineStr">
        <is>
          <t>34-001</t>
        </is>
      </c>
      <c r="G3134" t="inlineStr">
        <is>
          <t>RE</t>
        </is>
      </c>
      <c r="H3134" s="12" t="n">
        <v>-648</v>
      </c>
      <c r="I3134" s="17" t="n">
        <v>45533</v>
      </c>
      <c r="J3134" s="17" t="n">
        <v>45570</v>
      </c>
      <c r="K3134" t="inlineStr">
        <is>
          <t>Fatura - bruto EDSON MELO 34-001</t>
        </is>
      </c>
    </row>
    <row r="3135">
      <c r="A3135" t="inlineStr">
        <is>
          <t>102077</t>
        </is>
      </c>
      <c r="B3135" t="inlineStr">
        <is>
          <t>SINDICATO IND MET MEC E MAT EL NO E</t>
        </is>
      </c>
      <c r="C3135" t="n">
        <v>2111000000</v>
      </c>
      <c r="D3135" t="inlineStr">
        <is>
          <t>Social charges</t>
        </is>
      </c>
      <c r="E3135" t="n">
        <v>5038933</v>
      </c>
      <c r="F3135" t="inlineStr">
        <is>
          <t>MENS SIND 12.25</t>
        </is>
      </c>
      <c r="G3135" t="inlineStr">
        <is>
          <t>KR</t>
        </is>
      </c>
      <c r="H3135" s="12" t="n">
        <v>-369.55</v>
      </c>
      <c r="I3135" s="17" t="n">
        <v>45986</v>
      </c>
      <c r="J3135" s="17" t="n">
        <v>46008</v>
      </c>
      <c r="K3135" t="inlineStr">
        <is>
          <t>*10495495283700020004000000646489113060000036955</t>
        </is>
      </c>
    </row>
    <row r="3136">
      <c r="A3136" t="inlineStr">
        <is>
          <t>100833</t>
        </is>
      </c>
      <c r="B3136" t="inlineStr">
        <is>
          <t>MUNICIPIO DE JANDAIRA</t>
        </is>
      </c>
      <c r="C3136" t="n">
        <v>2111000000</v>
      </c>
      <c r="D3136" t="inlineStr">
        <is>
          <t>Taxes Payable</t>
        </is>
      </c>
      <c r="E3136" t="n">
        <v>5039345</v>
      </c>
      <c r="F3136" t="inlineStr">
        <is>
          <t>ISS 11-2025</t>
        </is>
      </c>
      <c r="G3136" t="inlineStr">
        <is>
          <t>KR</t>
        </is>
      </c>
      <c r="H3136" s="12" t="n">
        <v>-52767.45</v>
      </c>
      <c r="I3136" s="17" t="n">
        <v>45999</v>
      </c>
      <c r="J3136" s="17" t="n">
        <v>46058</v>
      </c>
      <c r="K3136" t="inlineStr">
        <is>
          <t>ISS 11-2025 PREF. MUNIC. JANDAIRA</t>
        </is>
      </c>
    </row>
    <row r="3137">
      <c r="A3137" t="inlineStr">
        <is>
          <t>101255</t>
        </is>
      </c>
      <c r="B3137" t="inlineStr">
        <is>
          <t>WILSON SONS LOGISTICA LTDA</t>
        </is>
      </c>
      <c r="C3137" t="n">
        <v>2111000000</v>
      </c>
      <c r="D3137" t="inlineStr">
        <is>
          <t>Operational Suppliers (Wind Farms)</t>
        </is>
      </c>
      <c r="E3137" t="n">
        <v>5039651</v>
      </c>
      <c r="F3137" t="inlineStr">
        <is>
          <t>4665</t>
        </is>
      </c>
      <c r="G3137" t="inlineStr">
        <is>
          <t>RE</t>
        </is>
      </c>
      <c r="H3137" s="12" t="n">
        <v>-200.21</v>
      </c>
      <c r="I3137" s="17" t="n">
        <v>45140</v>
      </c>
      <c r="J3137" s="17" t="n">
        <v>45140</v>
      </c>
      <c r="K3137" t="inlineStr">
        <is>
          <t>Fatura - bruto WILSON SONS LOGISTICA LTDA 4665</t>
        </is>
      </c>
    </row>
    <row r="3138">
      <c r="A3138" t="inlineStr">
        <is>
          <t>101176</t>
        </is>
      </c>
      <c r="B3138" t="inlineStr">
        <is>
          <t>DEUBLIN BRASIL JUNTAS ROTATIVAS DE</t>
        </is>
      </c>
      <c r="C3138" t="n">
        <v>2111000000</v>
      </c>
      <c r="D3138" t="inlineStr">
        <is>
          <t>Operational Suppliers (Wind Farms)</t>
        </is>
      </c>
      <c r="E3138" t="n">
        <v>5039730</v>
      </c>
      <c r="F3138" t="inlineStr">
        <is>
          <t>960</t>
        </is>
      </c>
      <c r="G3138" t="inlineStr">
        <is>
          <t>RE</t>
        </is>
      </c>
      <c r="H3138" s="12" t="n">
        <v>3000</v>
      </c>
      <c r="I3138" s="17" t="n">
        <v>45911</v>
      </c>
      <c r="J3138" s="17" t="n">
        <v>45911</v>
      </c>
      <c r="K3138" t="inlineStr">
        <is>
          <t>Fatura - bruto DEUBLIN BRASIL JUNTAS ROTATIVAS DE</t>
        </is>
      </c>
    </row>
    <row r="3139">
      <c r="A3139" t="inlineStr">
        <is>
          <t>100469</t>
        </is>
      </c>
      <c r="B3139" t="inlineStr">
        <is>
          <t>NELSON HEUSI LOGISTICA E ARMAZENS G</t>
        </is>
      </c>
      <c r="C3139" t="n">
        <v>2111000000</v>
      </c>
      <c r="D3139" t="inlineStr">
        <is>
          <t>Customs Brokerage – Overall</t>
        </is>
      </c>
      <c r="E3139" t="n">
        <v>5039981</v>
      </c>
      <c r="F3139" t="inlineStr">
        <is>
          <t>147339</t>
        </is>
      </c>
      <c r="G3139" t="inlineStr">
        <is>
          <t>RE</t>
        </is>
      </c>
      <c r="H3139" s="12" t="n">
        <v>-1024.55</v>
      </c>
      <c r="I3139" s="17" t="n">
        <v>45195</v>
      </c>
      <c r="J3139" s="17" t="n">
        <v>45235</v>
      </c>
      <c r="K3139" t="inlineStr">
        <is>
          <t>Fatura - bruto NELSON HEUSI LOGISTICA E ARMAZENS G</t>
        </is>
      </c>
    </row>
    <row r="3140">
      <c r="A3140" t="inlineStr">
        <is>
          <t>101855</t>
        </is>
      </c>
      <c r="B3140" t="inlineStr">
        <is>
          <t>GERDAU ACOS LONGOS SA</t>
        </is>
      </c>
      <c r="C3140" t="n">
        <v>2111000000</v>
      </c>
      <c r="D3140" t="inlineStr">
        <is>
          <t>Operational Suppliers (Wind Farms)</t>
        </is>
      </c>
      <c r="E3140" t="n">
        <v>5040109</v>
      </c>
      <c r="F3140" t="inlineStr">
        <is>
          <t>69195-1</t>
        </is>
      </c>
      <c r="G3140" t="inlineStr">
        <is>
          <t>RE</t>
        </is>
      </c>
      <c r="H3140" s="12" t="n">
        <v>38760.75</v>
      </c>
      <c r="I3140" s="17" t="n">
        <v>46006</v>
      </c>
      <c r="J3140" s="17" t="n">
        <v>46006</v>
      </c>
      <c r="K3140" t="inlineStr">
        <is>
          <t>Fatura - bruto GERDAU ACOS LONGOS SA 69195-1</t>
        </is>
      </c>
    </row>
    <row r="3141">
      <c r="A3141" t="inlineStr">
        <is>
          <t>100469</t>
        </is>
      </c>
      <c r="B3141" t="inlineStr">
        <is>
          <t>NELSON HEUSI LOGISTICA E ARMAZENS G</t>
        </is>
      </c>
      <c r="C3141" t="n">
        <v>2111000000</v>
      </c>
      <c r="D3141" t="inlineStr">
        <is>
          <t>Customs Brokerage – Overall</t>
        </is>
      </c>
      <c r="E3141" t="n">
        <v>5040443</v>
      </c>
      <c r="F3141" t="inlineStr">
        <is>
          <t>135329</t>
        </is>
      </c>
      <c r="G3141" t="inlineStr">
        <is>
          <t>RE</t>
        </is>
      </c>
      <c r="H3141" s="12" t="n">
        <v>-1025.77</v>
      </c>
      <c r="I3141" s="17" t="n">
        <v>45477</v>
      </c>
      <c r="J3141" s="17" t="n">
        <v>45540</v>
      </c>
      <c r="K3141" t="inlineStr">
        <is>
          <t>Fatura - bruto NELSON HEUSI LOGISTICA E ARMAZENS G</t>
        </is>
      </c>
    </row>
    <row r="3142">
      <c r="A3142" t="inlineStr">
        <is>
          <t>100124</t>
        </is>
      </c>
      <c r="B3142" t="inlineStr">
        <is>
          <t>PERMETAL S A METAIS PERFURADOS</t>
        </is>
      </c>
      <c r="C3142" t="n">
        <v>2111000000</v>
      </c>
      <c r="D3142" t="inlineStr">
        <is>
          <t>Other Suppliers</t>
        </is>
      </c>
      <c r="E3142" t="n">
        <v>5041222</v>
      </c>
      <c r="F3142" t="inlineStr">
        <is>
          <t>000023085-2</t>
        </is>
      </c>
      <c r="G3142" t="inlineStr">
        <is>
          <t>RE</t>
        </is>
      </c>
      <c r="H3142" s="12" t="n">
        <v>-166171.3</v>
      </c>
      <c r="I3142" s="17" t="n">
        <v>45565</v>
      </c>
      <c r="J3142" s="17" t="n">
        <v>45625</v>
      </c>
      <c r="K3142" t="inlineStr">
        <is>
          <t>Aguard CC para baixar</t>
        </is>
      </c>
    </row>
    <row r="3143">
      <c r="A3143" t="inlineStr">
        <is>
          <t>101222</t>
        </is>
      </c>
      <c r="B3143" t="inlineStr">
        <is>
          <t>AGROPECUARIA CANOA MIRIM SA</t>
        </is>
      </c>
      <c r="C3143" t="n">
        <v>2111000000</v>
      </c>
      <c r="D3143" t="inlineStr">
        <is>
          <t>Other Suppliers</t>
        </is>
      </c>
      <c r="E3143" t="n">
        <v>5042712</v>
      </c>
      <c r="F3143" t="inlineStr">
        <is>
          <t>202411</t>
        </is>
      </c>
      <c r="G3143" t="inlineStr">
        <is>
          <t>RE</t>
        </is>
      </c>
      <c r="H3143" s="12" t="n">
        <v>-8000</v>
      </c>
      <c r="I3143" s="17" t="n">
        <v>45570</v>
      </c>
      <c r="J3143" s="17" t="n">
        <v>45601</v>
      </c>
      <c r="K3143" t="inlineStr">
        <is>
          <t>Fatura - bruto AGROPECUARIA CANOA MIRIM SA 202411</t>
        </is>
      </c>
    </row>
    <row r="3144">
      <c r="A3144" t="inlineStr">
        <is>
          <t>100555</t>
        </is>
      </c>
      <c r="B3144" t="inlineStr">
        <is>
          <t>MAC CONSULTORIA E LOGISTICA LTDA</t>
        </is>
      </c>
      <c r="C3144" t="n">
        <v>2111000000</v>
      </c>
      <c r="D3144" t="inlineStr">
        <is>
          <t>Other Suppliers</t>
        </is>
      </c>
      <c r="E3144" t="n">
        <v>5044345</v>
      </c>
      <c r="F3144" t="inlineStr">
        <is>
          <t>21005</t>
        </is>
      </c>
      <c r="G3144" t="inlineStr">
        <is>
          <t>RE</t>
        </is>
      </c>
      <c r="H3144" s="12" t="n">
        <v>-1261.17</v>
      </c>
      <c r="I3144" s="17" t="n">
        <v>45086</v>
      </c>
      <c r="J3144" s="17" t="n">
        <v>45146</v>
      </c>
      <c r="K3144" t="inlineStr">
        <is>
          <t>Fatura - bruto MAC CONSULTORIA E LOGISTICA LTDA 21</t>
        </is>
      </c>
    </row>
    <row r="3145">
      <c r="A3145" t="inlineStr">
        <is>
          <t>100469</t>
        </is>
      </c>
      <c r="B3145" t="inlineStr">
        <is>
          <t>NELSON HEUSI LOGISTICA E ARMAZENS G</t>
        </is>
      </c>
      <c r="C3145" t="n">
        <v>2111000000</v>
      </c>
      <c r="D3145" t="inlineStr">
        <is>
          <t>Customs Brokerage – Overall</t>
        </is>
      </c>
      <c r="E3145" t="n">
        <v>5045958</v>
      </c>
      <c r="F3145" t="inlineStr">
        <is>
          <t>156401</t>
        </is>
      </c>
      <c r="G3145" t="inlineStr">
        <is>
          <t>RE</t>
        </is>
      </c>
      <c r="H3145" s="12" t="n">
        <v>-418.35</v>
      </c>
      <c r="I3145" s="17" t="n">
        <v>45254</v>
      </c>
      <c r="J3145" s="17" t="n">
        <v>45296</v>
      </c>
      <c r="K3145" t="inlineStr">
        <is>
          <t>Fatura - bruto NELSON HEUSI LOGISTICA E ARMAZENS G</t>
        </is>
      </c>
    </row>
    <row r="3146">
      <c r="A3146" t="inlineStr">
        <is>
          <t>100469</t>
        </is>
      </c>
      <c r="B3146" t="inlineStr">
        <is>
          <t>NELSON HEUSI LOGISTICA E ARMAZENS G</t>
        </is>
      </c>
      <c r="C3146" t="n">
        <v>2111000000</v>
      </c>
      <c r="D3146" t="inlineStr">
        <is>
          <t>Customs Brokerage – Overall</t>
        </is>
      </c>
      <c r="E3146" t="n">
        <v>5045959</v>
      </c>
      <c r="F3146" t="inlineStr">
        <is>
          <t>162380</t>
        </is>
      </c>
      <c r="G3146" t="inlineStr">
        <is>
          <t>RE</t>
        </is>
      </c>
      <c r="H3146" s="12" t="n">
        <v>-2039.76</v>
      </c>
      <c r="I3146" s="17" t="n">
        <v>45294</v>
      </c>
      <c r="J3146" s="17" t="n">
        <v>45356</v>
      </c>
      <c r="K3146" t="inlineStr">
        <is>
          <t>Fatura - bruto NELSON HEUSI LOGISTICA E ARMAZENS G</t>
        </is>
      </c>
    </row>
    <row r="3147">
      <c r="A3147" t="inlineStr">
        <is>
          <t>103744</t>
        </is>
      </c>
      <c r="B3147" t="inlineStr">
        <is>
          <t>J G SERVICOS DE HOSPEDAGEM LTDA</t>
        </is>
      </c>
      <c r="C3147" t="n">
        <v>2111000000</v>
      </c>
      <c r="D3147" t="inlineStr">
        <is>
          <t>Other Suppliers</t>
        </is>
      </c>
      <c r="E3147" t="n">
        <v>5046100</v>
      </c>
      <c r="F3147" t="inlineStr">
        <is>
          <t>4305</t>
        </is>
      </c>
      <c r="G3147" t="inlineStr">
        <is>
          <t>RE</t>
        </is>
      </c>
      <c r="H3147" s="12" t="n">
        <v>-386</v>
      </c>
      <c r="I3147" s="17" t="n">
        <v>45597</v>
      </c>
      <c r="J3147" s="17" t="n">
        <v>45631</v>
      </c>
      <c r="K3147" t="inlineStr">
        <is>
          <t>Fatura - bruto J G SERVICOS DE HOSPEDAGEM LTDA 430</t>
        </is>
      </c>
    </row>
    <row r="3148">
      <c r="A3148" t="inlineStr">
        <is>
          <t>101255</t>
        </is>
      </c>
      <c r="B3148" t="inlineStr">
        <is>
          <t>WILSON SONS LOGISTICA LTDA</t>
        </is>
      </c>
      <c r="C3148" t="n">
        <v>2111000000</v>
      </c>
      <c r="D3148" t="inlineStr">
        <is>
          <t>Operational Suppliers (Wind Farms)</t>
        </is>
      </c>
      <c r="E3148" t="n">
        <v>5046934</v>
      </c>
      <c r="F3148" t="inlineStr">
        <is>
          <t>5215</t>
        </is>
      </c>
      <c r="G3148" t="inlineStr">
        <is>
          <t>RE</t>
        </is>
      </c>
      <c r="H3148" s="12" t="n">
        <v>-20.55</v>
      </c>
      <c r="I3148" s="17" t="n">
        <v>45250</v>
      </c>
      <c r="J3148" s="17" t="n">
        <v>45250</v>
      </c>
      <c r="K3148" t="inlineStr">
        <is>
          <t>Fatura - bruto WILSON SONS LOGISTICA LTDA 5215</t>
        </is>
      </c>
    </row>
    <row r="3149">
      <c r="A3149" t="inlineStr">
        <is>
          <t>101813</t>
        </is>
      </c>
      <c r="B3149" t="inlineStr">
        <is>
          <t>TECON RIO GRANDE SA</t>
        </is>
      </c>
      <c r="C3149" t="n">
        <v>2111000000</v>
      </c>
      <c r="D3149" t="inlineStr">
        <is>
          <t>Customs Brokerage – Overall</t>
        </is>
      </c>
      <c r="E3149" t="n">
        <v>5046990</v>
      </c>
      <c r="F3149" t="inlineStr">
        <is>
          <t>1789331</t>
        </is>
      </c>
      <c r="G3149" t="inlineStr">
        <is>
          <t>RE</t>
        </is>
      </c>
      <c r="H3149" s="12" t="n">
        <v>-349</v>
      </c>
      <c r="I3149" s="17" t="n">
        <v>45253</v>
      </c>
      <c r="J3149" s="17" t="n">
        <v>45296</v>
      </c>
      <c r="K3149" t="inlineStr">
        <is>
          <t>Fatura - bruto TECON RIO GRANDE SA 1789331</t>
        </is>
      </c>
    </row>
    <row r="3150">
      <c r="A3150" t="inlineStr">
        <is>
          <t>101813</t>
        </is>
      </c>
      <c r="B3150" t="inlineStr">
        <is>
          <t>TECON RIO GRANDE SA</t>
        </is>
      </c>
      <c r="C3150" t="n">
        <v>2111000000</v>
      </c>
      <c r="D3150" t="inlineStr">
        <is>
          <t>Customs Brokerage – Overall</t>
        </is>
      </c>
      <c r="E3150" t="n">
        <v>5046991</v>
      </c>
      <c r="F3150" t="inlineStr">
        <is>
          <t>1789334</t>
        </is>
      </c>
      <c r="G3150" t="inlineStr">
        <is>
          <t>RE</t>
        </is>
      </c>
      <c r="H3150" s="12" t="n">
        <v>-31</v>
      </c>
      <c r="I3150" s="17" t="n">
        <v>45253</v>
      </c>
      <c r="J3150" s="17" t="n">
        <v>45296</v>
      </c>
      <c r="K3150" t="inlineStr">
        <is>
          <t>Fatura - bruto TECON RIO GRANDE SA 1789334</t>
        </is>
      </c>
    </row>
    <row r="3151">
      <c r="A3151" t="inlineStr">
        <is>
          <t>101813</t>
        </is>
      </c>
      <c r="B3151" t="inlineStr">
        <is>
          <t>TECON RIO GRANDE SA</t>
        </is>
      </c>
      <c r="C3151" t="n">
        <v>2111000000</v>
      </c>
      <c r="D3151" t="inlineStr">
        <is>
          <t>Customs Brokerage – Overall</t>
        </is>
      </c>
      <c r="E3151" t="n">
        <v>5046992</v>
      </c>
      <c r="F3151" t="inlineStr">
        <is>
          <t>1789336</t>
        </is>
      </c>
      <c r="G3151" t="inlineStr">
        <is>
          <t>RE</t>
        </is>
      </c>
      <c r="H3151" s="12" t="n">
        <v>-916</v>
      </c>
      <c r="I3151" s="17" t="n">
        <v>45253</v>
      </c>
      <c r="J3151" s="17" t="n">
        <v>45296</v>
      </c>
      <c r="K3151" t="inlineStr">
        <is>
          <t>Fatura - bruto TECON RIO GRANDE SA 1789336</t>
        </is>
      </c>
    </row>
    <row r="3152">
      <c r="A3152" t="inlineStr">
        <is>
          <t>101813</t>
        </is>
      </c>
      <c r="B3152" t="inlineStr">
        <is>
          <t>TECON RIO GRANDE SA</t>
        </is>
      </c>
      <c r="C3152" t="n">
        <v>2111000000</v>
      </c>
      <c r="D3152" t="inlineStr">
        <is>
          <t>Customs Brokerage – Overall</t>
        </is>
      </c>
      <c r="E3152" t="n">
        <v>5046993</v>
      </c>
      <c r="F3152" t="inlineStr">
        <is>
          <t>1789342</t>
        </is>
      </c>
      <c r="G3152" t="inlineStr">
        <is>
          <t>RE</t>
        </is>
      </c>
      <c r="H3152" s="12" t="n">
        <v>-6536.1</v>
      </c>
      <c r="I3152" s="17" t="n">
        <v>45253</v>
      </c>
      <c r="J3152" s="17" t="n">
        <v>45296</v>
      </c>
      <c r="K3152" t="inlineStr">
        <is>
          <t>Fatura - bruto TECON RIO GRANDE SA 1789342</t>
        </is>
      </c>
    </row>
    <row r="3153">
      <c r="A3153" t="inlineStr">
        <is>
          <t>101813</t>
        </is>
      </c>
      <c r="B3153" t="inlineStr">
        <is>
          <t>TECON RIO GRANDE SA</t>
        </is>
      </c>
      <c r="C3153" t="n">
        <v>2111000000</v>
      </c>
      <c r="D3153" t="inlineStr">
        <is>
          <t>Customs Brokerage – Overall</t>
        </is>
      </c>
      <c r="E3153" t="n">
        <v>5046994</v>
      </c>
      <c r="F3153" t="inlineStr">
        <is>
          <t>1789343</t>
        </is>
      </c>
      <c r="G3153" t="inlineStr">
        <is>
          <t>RE</t>
        </is>
      </c>
      <c r="H3153" s="12" t="n">
        <v>-152</v>
      </c>
      <c r="I3153" s="17" t="n">
        <v>45253</v>
      </c>
      <c r="J3153" s="17" t="n">
        <v>45296</v>
      </c>
      <c r="K3153" t="inlineStr">
        <is>
          <t>Fatura - bruto TECON RIO GRANDE SA 1789343</t>
        </is>
      </c>
    </row>
    <row r="3154">
      <c r="A3154" t="inlineStr">
        <is>
          <t>101813</t>
        </is>
      </c>
      <c r="B3154" t="inlineStr">
        <is>
          <t>TECON RIO GRANDE SA</t>
        </is>
      </c>
      <c r="C3154" t="n">
        <v>2111000000</v>
      </c>
      <c r="D3154" t="inlineStr">
        <is>
          <t>Customs Brokerage – Overall</t>
        </is>
      </c>
      <c r="E3154" t="n">
        <v>5046995</v>
      </c>
      <c r="F3154" t="inlineStr">
        <is>
          <t>1820089</t>
        </is>
      </c>
      <c r="G3154" t="inlineStr">
        <is>
          <t>RE</t>
        </is>
      </c>
      <c r="H3154" s="12" t="n">
        <v>-45</v>
      </c>
      <c r="I3154" s="17" t="n">
        <v>45339</v>
      </c>
      <c r="J3154" s="17" t="n">
        <v>45387</v>
      </c>
      <c r="K3154" t="inlineStr">
        <is>
          <t>Fatura - bruto TECON RIO GRANDE SA 1820089</t>
        </is>
      </c>
    </row>
    <row r="3155">
      <c r="A3155" t="inlineStr">
        <is>
          <t>101813</t>
        </is>
      </c>
      <c r="B3155" t="inlineStr">
        <is>
          <t>TECON RIO GRANDE SA</t>
        </is>
      </c>
      <c r="C3155" t="n">
        <v>2111000000</v>
      </c>
      <c r="D3155" t="inlineStr">
        <is>
          <t>Customs Brokerage – Overall</t>
        </is>
      </c>
      <c r="E3155" t="n">
        <v>5047001</v>
      </c>
      <c r="F3155" t="inlineStr">
        <is>
          <t>1822966</t>
        </is>
      </c>
      <c r="G3155" t="inlineStr">
        <is>
          <t>RE</t>
        </is>
      </c>
      <c r="H3155" s="12" t="n">
        <v>-26878.25</v>
      </c>
      <c r="I3155" s="17" t="n">
        <v>45349</v>
      </c>
      <c r="J3155" s="17" t="n">
        <v>45387</v>
      </c>
      <c r="K3155" t="inlineStr">
        <is>
          <t>Fatura - bruto TECON RIO GRANDE SA 1822966</t>
        </is>
      </c>
    </row>
    <row r="3156">
      <c r="A3156" t="inlineStr">
        <is>
          <t>101813</t>
        </is>
      </c>
      <c r="B3156" t="inlineStr">
        <is>
          <t>TECON RIO GRANDE SA</t>
        </is>
      </c>
      <c r="C3156" t="n">
        <v>2111000000</v>
      </c>
      <c r="D3156" t="inlineStr">
        <is>
          <t>Customs Brokerage – Overall</t>
        </is>
      </c>
      <c r="E3156" t="n">
        <v>5047002</v>
      </c>
      <c r="F3156" t="inlineStr">
        <is>
          <t>1823485</t>
        </is>
      </c>
      <c r="G3156" t="inlineStr">
        <is>
          <t>RE</t>
        </is>
      </c>
      <c r="H3156" s="12" t="n">
        <v>-450.5</v>
      </c>
      <c r="I3156" s="17" t="n">
        <v>45350</v>
      </c>
      <c r="J3156" s="17" t="n">
        <v>45387</v>
      </c>
      <c r="K3156" t="inlineStr">
        <is>
          <t>Fatura - bruto TECON RIO GRANDE SA 1823485</t>
        </is>
      </c>
    </row>
    <row r="3157">
      <c r="A3157" t="inlineStr">
        <is>
          <t>101813</t>
        </is>
      </c>
      <c r="B3157" t="inlineStr">
        <is>
          <t>TECON RIO GRANDE SA</t>
        </is>
      </c>
      <c r="C3157" t="n">
        <v>2111000000</v>
      </c>
      <c r="D3157" t="inlineStr">
        <is>
          <t>Customs Brokerage – Overall</t>
        </is>
      </c>
      <c r="E3157" t="n">
        <v>5047151</v>
      </c>
      <c r="F3157" t="inlineStr">
        <is>
          <t>1822629</t>
        </is>
      </c>
      <c r="G3157" t="inlineStr">
        <is>
          <t>RE</t>
        </is>
      </c>
      <c r="H3157" s="12" t="n">
        <v>-31266.7</v>
      </c>
      <c r="I3157" s="17" t="n">
        <v>45346</v>
      </c>
      <c r="J3157" s="17" t="n">
        <v>45387</v>
      </c>
      <c r="K3157" t="inlineStr">
        <is>
          <t>Fatura - bruto TECON RIO GRANDE SA 1822629</t>
        </is>
      </c>
    </row>
    <row r="3158">
      <c r="A3158" t="inlineStr">
        <is>
          <t>101813</t>
        </is>
      </c>
      <c r="B3158" t="inlineStr">
        <is>
          <t>TECON RIO GRANDE SA</t>
        </is>
      </c>
      <c r="C3158" t="n">
        <v>2111000000</v>
      </c>
      <c r="D3158" t="inlineStr">
        <is>
          <t>Customs Brokerage – Overall</t>
        </is>
      </c>
      <c r="E3158" t="n">
        <v>5047153</v>
      </c>
      <c r="F3158" t="inlineStr">
        <is>
          <t>1823974</t>
        </is>
      </c>
      <c r="G3158" t="inlineStr">
        <is>
          <t>RE</t>
        </is>
      </c>
      <c r="H3158" s="12" t="n">
        <v>-473.9</v>
      </c>
      <c r="I3158" s="17" t="n">
        <v>45351</v>
      </c>
      <c r="J3158" s="17" t="n">
        <v>45387</v>
      </c>
      <c r="K3158" t="inlineStr">
        <is>
          <t>Fatura - bruto TECON RIO GRANDE SA 1823974</t>
        </is>
      </c>
    </row>
    <row r="3159">
      <c r="A3159" t="inlineStr">
        <is>
          <t>101813</t>
        </is>
      </c>
      <c r="B3159" t="inlineStr">
        <is>
          <t>TECON RIO GRANDE SA</t>
        </is>
      </c>
      <c r="C3159" t="n">
        <v>2111000000</v>
      </c>
      <c r="D3159" t="inlineStr">
        <is>
          <t>Customs Brokerage – Overall</t>
        </is>
      </c>
      <c r="E3159" t="n">
        <v>5047155</v>
      </c>
      <c r="F3159" t="inlineStr">
        <is>
          <t>1825050</t>
        </is>
      </c>
      <c r="G3159" t="inlineStr">
        <is>
          <t>RE</t>
        </is>
      </c>
      <c r="H3159" s="12" t="n">
        <v>-1599.95</v>
      </c>
      <c r="I3159" s="17" t="n">
        <v>45353</v>
      </c>
      <c r="J3159" s="17" t="n">
        <v>45387</v>
      </c>
      <c r="K3159" t="inlineStr">
        <is>
          <t>Fatura - bruto TECON RIO GRANDE SA 1825050</t>
        </is>
      </c>
    </row>
    <row r="3160">
      <c r="A3160" t="inlineStr">
        <is>
          <t>102485</t>
        </is>
      </c>
      <c r="B3160" t="inlineStr">
        <is>
          <t>SUATA SERVICO UNIFICADO DE ARMAZENA</t>
        </is>
      </c>
      <c r="C3160" t="n">
        <v>2111000000</v>
      </c>
      <c r="D3160" t="inlineStr">
        <is>
          <t>Customs Brokerage – Overall</t>
        </is>
      </c>
      <c r="E3160" t="n">
        <v>5047392</v>
      </c>
      <c r="F3160" t="inlineStr">
        <is>
          <t>3343</t>
        </is>
      </c>
      <c r="G3160" t="inlineStr">
        <is>
          <t>RE</t>
        </is>
      </c>
      <c r="H3160" s="12" t="n">
        <v>-38171.04</v>
      </c>
      <c r="I3160" s="17" t="n">
        <v>45394</v>
      </c>
      <c r="J3160" s="17" t="n">
        <v>45394</v>
      </c>
      <c r="K3160" t="inlineStr">
        <is>
          <t>Fatura - bruto SUATA SERVICO UNIFICADO DE ARMAZENA</t>
        </is>
      </c>
    </row>
    <row r="3161">
      <c r="A3161" t="inlineStr">
        <is>
          <t>100920</t>
        </is>
      </c>
      <c r="B3161" t="inlineStr">
        <is>
          <t>DSV SOLUTIONS BRASIL SERVICOS DE LO</t>
        </is>
      </c>
      <c r="C3161" t="n">
        <v>2111000000</v>
      </c>
      <c r="D3161" t="inlineStr">
        <is>
          <t>Customs Brokerage – Overall</t>
        </is>
      </c>
      <c r="E3161" t="n">
        <v>5047798</v>
      </c>
      <c r="F3161" t="inlineStr">
        <is>
          <t>29873</t>
        </is>
      </c>
      <c r="G3161" t="inlineStr">
        <is>
          <t>RE</t>
        </is>
      </c>
      <c r="H3161" s="12" t="n">
        <v>-947</v>
      </c>
      <c r="I3161" s="17" t="n">
        <v>45240</v>
      </c>
      <c r="J3161" s="17" t="n">
        <v>45240</v>
      </c>
      <c r="K3161" t="inlineStr">
        <is>
          <t>Fatura - bruto DSV SOLUTIONS BRASIL SERVICOS DE LO</t>
        </is>
      </c>
    </row>
    <row r="3162">
      <c r="A3162" t="inlineStr">
        <is>
          <t>101222</t>
        </is>
      </c>
      <c r="B3162" t="inlineStr">
        <is>
          <t>AGROPECUARIA CANOA MIRIM SA</t>
        </is>
      </c>
      <c r="C3162" t="n">
        <v>2111000000</v>
      </c>
      <c r="D3162" t="inlineStr">
        <is>
          <t>Other Suppliers</t>
        </is>
      </c>
      <c r="E3162" t="n">
        <v>5047868</v>
      </c>
      <c r="F3162" t="inlineStr">
        <is>
          <t>202412</t>
        </is>
      </c>
      <c r="G3162" t="inlineStr">
        <is>
          <t>RE</t>
        </is>
      </c>
      <c r="H3162" s="12" t="n">
        <v>-8000</v>
      </c>
      <c r="I3162" s="17" t="n">
        <v>45601</v>
      </c>
      <c r="J3162" s="17" t="n">
        <v>45631</v>
      </c>
      <c r="K3162" t="inlineStr">
        <is>
          <t>Fatura - bruto AGROPECUARIA CANOA MIRIM SA 202412</t>
        </is>
      </c>
    </row>
    <row r="3163">
      <c r="A3163" t="inlineStr">
        <is>
          <t>101813</t>
        </is>
      </c>
      <c r="B3163" t="inlineStr">
        <is>
          <t>TECON RIO GRANDE SA</t>
        </is>
      </c>
      <c r="C3163" t="n">
        <v>2111000000</v>
      </c>
      <c r="D3163" t="inlineStr">
        <is>
          <t>Customs Brokerage – Overall</t>
        </is>
      </c>
      <c r="E3163" t="n">
        <v>5049190</v>
      </c>
      <c r="F3163" t="inlineStr">
        <is>
          <t>1822965</t>
        </is>
      </c>
      <c r="G3163" t="inlineStr">
        <is>
          <t>RE</t>
        </is>
      </c>
      <c r="H3163" s="12" t="n">
        <v>-83.52</v>
      </c>
      <c r="I3163" s="17" t="n">
        <v>45349</v>
      </c>
      <c r="J3163" s="17" t="n">
        <v>45387</v>
      </c>
      <c r="K3163" t="inlineStr">
        <is>
          <t>Fatura - bruto TECON RIO GRANDE SA 1822965</t>
        </is>
      </c>
    </row>
    <row r="3164">
      <c r="A3164" t="inlineStr">
        <is>
          <t>101813</t>
        </is>
      </c>
      <c r="B3164" t="inlineStr">
        <is>
          <t>TECON RIO GRANDE SA</t>
        </is>
      </c>
      <c r="C3164" t="n">
        <v>2111000000</v>
      </c>
      <c r="D3164" t="inlineStr">
        <is>
          <t>Customs Brokerage – Overall</t>
        </is>
      </c>
      <c r="E3164" t="n">
        <v>5049236</v>
      </c>
      <c r="F3164" t="inlineStr">
        <is>
          <t>1789358</t>
        </is>
      </c>
      <c r="G3164" t="inlineStr">
        <is>
          <t>RE</t>
        </is>
      </c>
      <c r="H3164" s="12" t="n">
        <v>-87</v>
      </c>
      <c r="I3164" s="17" t="n">
        <v>45253</v>
      </c>
      <c r="J3164" s="17" t="n">
        <v>45296</v>
      </c>
      <c r="K3164" t="inlineStr">
        <is>
          <t>Fatura - bruto TECON RIO GRANDE SA 1789358</t>
        </is>
      </c>
    </row>
    <row r="3165">
      <c r="A3165" t="inlineStr">
        <is>
          <t>101813</t>
        </is>
      </c>
      <c r="B3165" t="inlineStr">
        <is>
          <t>TECON RIO GRANDE SA</t>
        </is>
      </c>
      <c r="C3165" t="n">
        <v>2111000000</v>
      </c>
      <c r="D3165" t="inlineStr">
        <is>
          <t>Customs Brokerage – Overall</t>
        </is>
      </c>
      <c r="E3165" t="n">
        <v>5050358</v>
      </c>
      <c r="F3165" t="inlineStr">
        <is>
          <t>1866961</t>
        </is>
      </c>
      <c r="G3165" t="inlineStr">
        <is>
          <t>RE</t>
        </is>
      </c>
      <c r="H3165" s="12" t="n">
        <v>-7333.9</v>
      </c>
      <c r="I3165" s="17" t="n">
        <v>45471</v>
      </c>
      <c r="J3165" s="17" t="n">
        <v>45540</v>
      </c>
      <c r="K3165" t="inlineStr">
        <is>
          <t>Fatura - bruto TECON RIO GRANDE SA 1866961</t>
        </is>
      </c>
    </row>
    <row r="3166">
      <c r="A3166" t="inlineStr">
        <is>
          <t>101813</t>
        </is>
      </c>
      <c r="B3166" t="inlineStr">
        <is>
          <t>TECON RIO GRANDE SA</t>
        </is>
      </c>
      <c r="C3166" t="n">
        <v>2111000000</v>
      </c>
      <c r="D3166" t="inlineStr">
        <is>
          <t>Customs Brokerage – Overall</t>
        </is>
      </c>
      <c r="E3166" t="n">
        <v>5050370</v>
      </c>
      <c r="F3166" t="inlineStr">
        <is>
          <t>1872495</t>
        </is>
      </c>
      <c r="G3166" t="inlineStr">
        <is>
          <t>RE</t>
        </is>
      </c>
      <c r="H3166" s="12" t="n">
        <v>-1050</v>
      </c>
      <c r="I3166" s="17" t="n">
        <v>45486</v>
      </c>
      <c r="J3166" s="17" t="n">
        <v>45509</v>
      </c>
      <c r="K3166" t="inlineStr">
        <is>
          <t>Fatura - bruto TECON RIO GRANDE SA 1872495</t>
        </is>
      </c>
    </row>
    <row r="3167">
      <c r="A3167" t="inlineStr">
        <is>
          <t>101813</t>
        </is>
      </c>
      <c r="B3167" t="inlineStr">
        <is>
          <t>TECON RIO GRANDE SA</t>
        </is>
      </c>
      <c r="C3167" t="n">
        <v>2111000000</v>
      </c>
      <c r="D3167" t="inlineStr">
        <is>
          <t>Customs Brokerage – Overall</t>
        </is>
      </c>
      <c r="E3167" t="n">
        <v>5050372</v>
      </c>
      <c r="F3167" t="inlineStr">
        <is>
          <t>1873093</t>
        </is>
      </c>
      <c r="G3167" t="inlineStr">
        <is>
          <t>RE</t>
        </is>
      </c>
      <c r="H3167" s="12" t="n">
        <v>-300</v>
      </c>
      <c r="I3167" s="17" t="n">
        <v>45489</v>
      </c>
      <c r="J3167" s="17" t="n">
        <v>45509</v>
      </c>
      <c r="K3167" t="inlineStr">
        <is>
          <t>Fatura - bruto TECON RIO GRANDE SA 1873093</t>
        </is>
      </c>
    </row>
    <row r="3168">
      <c r="A3168" t="inlineStr">
        <is>
          <t>102030</t>
        </is>
      </c>
      <c r="B3168" t="inlineStr">
        <is>
          <t>TECON SALVADOR SA</t>
        </is>
      </c>
      <c r="C3168" t="n">
        <v>2111000000</v>
      </c>
      <c r="D3168" t="inlineStr">
        <is>
          <t>Customs Brokerage – Overall</t>
        </is>
      </c>
      <c r="E3168" t="n">
        <v>5050432</v>
      </c>
      <c r="F3168" t="inlineStr">
        <is>
          <t>264059</t>
        </is>
      </c>
      <c r="G3168" t="inlineStr">
        <is>
          <t>RE</t>
        </is>
      </c>
      <c r="H3168" s="12" t="n">
        <v>-2036.09</v>
      </c>
      <c r="I3168" s="17" t="n">
        <v>45189</v>
      </c>
      <c r="J3168" s="17" t="n">
        <v>45509</v>
      </c>
      <c r="K3168" t="inlineStr">
        <is>
          <t>Fatura - bruto TECON SALVADOR SA 264059</t>
        </is>
      </c>
    </row>
    <row r="3169">
      <c r="A3169" t="inlineStr">
        <is>
          <t>102030</t>
        </is>
      </c>
      <c r="B3169" t="inlineStr">
        <is>
          <t>TECON SALVADOR SA</t>
        </is>
      </c>
      <c r="C3169" t="n">
        <v>2111000000</v>
      </c>
      <c r="D3169" t="inlineStr">
        <is>
          <t>Customs Brokerage – Overall</t>
        </is>
      </c>
      <c r="E3169" t="n">
        <v>5050435</v>
      </c>
      <c r="F3169" t="inlineStr">
        <is>
          <t>262730</t>
        </is>
      </c>
      <c r="G3169" t="inlineStr">
        <is>
          <t>RE</t>
        </is>
      </c>
      <c r="H3169" s="12" t="n">
        <v>-393.6</v>
      </c>
      <c r="I3169" s="17" t="n">
        <v>45175</v>
      </c>
      <c r="J3169" s="17" t="n">
        <v>45509</v>
      </c>
      <c r="K3169" t="inlineStr">
        <is>
          <t>Fatura - bruto TECON SALVADOR SA 262730</t>
        </is>
      </c>
    </row>
    <row r="3170">
      <c r="A3170" t="inlineStr">
        <is>
          <t>101255</t>
        </is>
      </c>
      <c r="B3170" t="inlineStr">
        <is>
          <t>WILSON SONS LOGISTICA LTDA</t>
        </is>
      </c>
      <c r="C3170" t="n">
        <v>2111000000</v>
      </c>
      <c r="D3170" t="inlineStr">
        <is>
          <t>Operational Suppliers (Wind Farms)</t>
        </is>
      </c>
      <c r="E3170" t="n">
        <v>5052155</v>
      </c>
      <c r="F3170" t="inlineStr">
        <is>
          <t>5942</t>
        </is>
      </c>
      <c r="G3170" t="inlineStr">
        <is>
          <t>RE</t>
        </is>
      </c>
      <c r="H3170" s="12" t="n">
        <v>-13.39</v>
      </c>
      <c r="I3170" s="17" t="n">
        <v>45384</v>
      </c>
      <c r="J3170" s="17" t="n">
        <v>45384</v>
      </c>
      <c r="K3170" t="inlineStr">
        <is>
          <t>Fatura - bruto WILSON SONS LOGISTICA LTDA 5942</t>
        </is>
      </c>
    </row>
    <row r="3171">
      <c r="A3171" t="inlineStr">
        <is>
          <t>100028</t>
        </is>
      </c>
      <c r="B3171" t="inlineStr">
        <is>
          <t>SUPPLOG PORTO SECO DE IPOJUCA LTDA</t>
        </is>
      </c>
      <c r="C3171" t="n">
        <v>2111000000</v>
      </c>
      <c r="D3171" t="inlineStr">
        <is>
          <t>Customs Brokerage – Overall</t>
        </is>
      </c>
      <c r="E3171" t="n">
        <v>5052641</v>
      </c>
      <c r="F3171" t="inlineStr">
        <is>
          <t>240008465</t>
        </is>
      </c>
      <c r="G3171" t="inlineStr">
        <is>
          <t>RE</t>
        </is>
      </c>
      <c r="H3171" s="12" t="n">
        <v>-2949.32</v>
      </c>
      <c r="I3171" s="17" t="n">
        <v>45499</v>
      </c>
      <c r="J3171" s="17" t="n">
        <v>45540</v>
      </c>
      <c r="K3171" t="inlineStr">
        <is>
          <t>Fatura - bruto SUPPLOG PORTO SECO DE IPOJUCA LTDA</t>
        </is>
      </c>
    </row>
    <row r="3172">
      <c r="A3172" t="inlineStr">
        <is>
          <t>100028</t>
        </is>
      </c>
      <c r="B3172" t="inlineStr">
        <is>
          <t>SUPPLOG PORTO SECO DE IPOJUCA LTDA</t>
        </is>
      </c>
      <c r="C3172" t="n">
        <v>2111000000</v>
      </c>
      <c r="D3172" t="inlineStr">
        <is>
          <t>Customs Brokerage – Overall</t>
        </is>
      </c>
      <c r="E3172" t="n">
        <v>5052642</v>
      </c>
      <c r="F3172" t="inlineStr">
        <is>
          <t>240007793</t>
        </is>
      </c>
      <c r="G3172" t="inlineStr">
        <is>
          <t>RE</t>
        </is>
      </c>
      <c r="H3172" s="12" t="n">
        <v>-1934.98</v>
      </c>
      <c r="I3172" s="17" t="n">
        <v>45485</v>
      </c>
      <c r="J3172" s="17" t="n">
        <v>45540</v>
      </c>
      <c r="K3172" t="inlineStr">
        <is>
          <t>Fatura - bruto SUPPLOG PORTO SECO DE IPOJUCA LTDA</t>
        </is>
      </c>
    </row>
    <row r="3173">
      <c r="A3173" t="inlineStr">
        <is>
          <t>105237</t>
        </is>
      </c>
      <c r="B3173" t="inlineStr">
        <is>
          <t>TGP BRASIL PROJETOS &amp; TRANSPORTES I 07752487000108</t>
        </is>
      </c>
      <c r="C3173" t="n">
        <v>2111000000</v>
      </c>
      <c r="D3173" t="inlineStr">
        <is>
          <t>Customs Brokerage – Overall</t>
        </is>
      </c>
      <c r="E3173" t="n">
        <v>5052650</v>
      </c>
      <c r="F3173" t="inlineStr">
        <is>
          <t>12906</t>
        </is>
      </c>
      <c r="G3173" t="inlineStr">
        <is>
          <t>RE</t>
        </is>
      </c>
      <c r="H3173" s="12" t="n">
        <v>-680.48</v>
      </c>
      <c r="I3173" s="17" t="n">
        <v>45475</v>
      </c>
      <c r="J3173" s="17" t="n">
        <v>45540</v>
      </c>
      <c r="K3173" t="inlineStr">
        <is>
          <t>Fatura - bruto TGP BRASIL PROJETOS &amp; TRANSPORTES I</t>
        </is>
      </c>
    </row>
    <row r="3174">
      <c r="A3174" t="inlineStr">
        <is>
          <t>101813</t>
        </is>
      </c>
      <c r="B3174" t="inlineStr">
        <is>
          <t>TECON RIO GRANDE SA</t>
        </is>
      </c>
      <c r="C3174" t="n">
        <v>2111000000</v>
      </c>
      <c r="D3174" t="inlineStr">
        <is>
          <t>Customs Brokerage – Overall</t>
        </is>
      </c>
      <c r="E3174" t="n">
        <v>5052912</v>
      </c>
      <c r="F3174" t="inlineStr">
        <is>
          <t>1840217</t>
        </is>
      </c>
      <c r="G3174" t="inlineStr">
        <is>
          <t>RE</t>
        </is>
      </c>
      <c r="H3174" s="12" t="n">
        <v>-10689.65</v>
      </c>
      <c r="I3174" s="17" t="n">
        <v>45394</v>
      </c>
      <c r="J3174" s="17" t="n">
        <v>45417</v>
      </c>
      <c r="K3174" t="inlineStr">
        <is>
          <t>Fatura - bruto TECON RIO GRANDE SA 1840217</t>
        </is>
      </c>
    </row>
    <row r="3175">
      <c r="A3175" t="inlineStr">
        <is>
          <t>100028</t>
        </is>
      </c>
      <c r="B3175" t="inlineStr">
        <is>
          <t>SUPPLOG PORTO SECO DE IPOJUCA LTDA</t>
        </is>
      </c>
      <c r="C3175" t="n">
        <v>2111000000</v>
      </c>
      <c r="D3175" t="inlineStr">
        <is>
          <t>Customs Brokerage – Overall</t>
        </is>
      </c>
      <c r="E3175" t="n">
        <v>5053422</v>
      </c>
      <c r="F3175" t="inlineStr">
        <is>
          <t>240007451</t>
        </is>
      </c>
      <c r="G3175" t="inlineStr">
        <is>
          <t>RE</t>
        </is>
      </c>
      <c r="H3175" s="12" t="n">
        <v>-423.59</v>
      </c>
      <c r="I3175" s="17" t="n">
        <v>45476</v>
      </c>
      <c r="J3175" s="17" t="n">
        <v>45540</v>
      </c>
      <c r="K3175" t="inlineStr">
        <is>
          <t>Fatura - bruto SUPPLOG PORTO SECO DE IPOJUCA LTDA</t>
        </is>
      </c>
    </row>
    <row r="3176">
      <c r="A3176" t="inlineStr">
        <is>
          <t>100028</t>
        </is>
      </c>
      <c r="B3176" t="inlineStr">
        <is>
          <t>SUPPLOG PORTO SECO DE IPOJUCA LTDA</t>
        </is>
      </c>
      <c r="C3176" t="n">
        <v>2111000000</v>
      </c>
      <c r="D3176" t="inlineStr">
        <is>
          <t>Customs Brokerage – Overall</t>
        </is>
      </c>
      <c r="E3176" t="n">
        <v>5053424</v>
      </c>
      <c r="F3176" t="inlineStr">
        <is>
          <t>240009339</t>
        </is>
      </c>
      <c r="G3176" t="inlineStr">
        <is>
          <t>RE</t>
        </is>
      </c>
      <c r="H3176" s="12" t="n">
        <v>-423.59</v>
      </c>
      <c r="I3176" s="17" t="n">
        <v>45513</v>
      </c>
      <c r="J3176" s="17" t="n">
        <v>45570</v>
      </c>
      <c r="K3176" t="inlineStr">
        <is>
          <t>Fatura - bruto SUPPLOG PORTO SECO DE IPOJUCA LTDA</t>
        </is>
      </c>
    </row>
    <row r="3177">
      <c r="A3177" t="inlineStr">
        <is>
          <t>101969</t>
        </is>
      </c>
      <c r="B3177" t="inlineStr">
        <is>
          <t>SECRETARIA DE ESTADO DA FAZENDA RN</t>
        </is>
      </c>
      <c r="C3177" t="n">
        <v>2111000000</v>
      </c>
      <c r="D3177" t="inlineStr">
        <is>
          <t>Customs Brokerage – Overall</t>
        </is>
      </c>
      <c r="E3177" t="n">
        <v>200007752</v>
      </c>
      <c r="F3177" t="inlineStr">
        <is>
          <t>2582</t>
        </is>
      </c>
      <c r="G3177" t="inlineStr">
        <is>
          <t>UE</t>
        </is>
      </c>
      <c r="H3177" s="12" t="n">
        <v>-68.75</v>
      </c>
      <c r="I3177" s="17" t="n">
        <v>44628</v>
      </c>
      <c r="J3177" s="17" t="n">
        <v>44628</v>
      </c>
      <c r="K3177" t="inlineStr">
        <is>
          <t>401.</t>
        </is>
      </c>
    </row>
    <row r="3178">
      <c r="A3178" t="inlineStr">
        <is>
          <t>101858</t>
        </is>
      </c>
      <c r="B3178" t="inlineStr">
        <is>
          <t>PAULO FRANCO SOCIEDADE DE ADVOGADOS</t>
        </is>
      </c>
      <c r="C3178" t="n">
        <v>2111000000</v>
      </c>
      <c r="D3178" t="inlineStr">
        <is>
          <t>Legal Services Suppliers</t>
        </is>
      </c>
      <c r="E3178" t="n">
        <v>200008590</v>
      </c>
      <c r="F3178" t="inlineStr">
        <is>
          <t>18177</t>
        </is>
      </c>
      <c r="G3178" t="inlineStr">
        <is>
          <t>UE</t>
        </is>
      </c>
      <c r="H3178" s="12" t="n">
        <v>-24247.55</v>
      </c>
      <c r="I3178" s="17" t="n">
        <v>45082</v>
      </c>
      <c r="J3178" s="17" t="n">
        <v>45082</v>
      </c>
      <c r="K3178" t="inlineStr">
        <is>
          <t>00222600</t>
        </is>
      </c>
    </row>
    <row r="3179">
      <c r="A3179" t="inlineStr">
        <is>
          <t>100800</t>
        </is>
      </c>
      <c r="B3179" t="inlineStr">
        <is>
          <t>TOXICLIN SERVICOS MEDICOS EIRELI</t>
        </is>
      </c>
      <c r="C3179" t="n">
        <v>2111000000</v>
      </c>
      <c r="D3179" t="inlineStr">
        <is>
          <t>Other Suppliers</t>
        </is>
      </c>
      <c r="E3179" t="n">
        <v>200008662</v>
      </c>
      <c r="F3179" t="inlineStr">
        <is>
          <t>18241</t>
        </is>
      </c>
      <c r="G3179" t="inlineStr">
        <is>
          <t>UE</t>
        </is>
      </c>
      <c r="H3179" s="12" t="n">
        <v>-1132.75</v>
      </c>
      <c r="I3179" s="17" t="n">
        <v>44544</v>
      </c>
      <c r="J3179" s="17" t="n">
        <v>44544</v>
      </c>
      <c r="K3179" t="inlineStr">
        <is>
          <t>00723500</t>
        </is>
      </c>
    </row>
    <row r="3180">
      <c r="A3180" t="inlineStr">
        <is>
          <t>100800</t>
        </is>
      </c>
      <c r="B3180" t="inlineStr">
        <is>
          <t>TOXICLIN SERVICOS MEDICOS EIRELI</t>
        </is>
      </c>
      <c r="C3180" t="n">
        <v>2111000000</v>
      </c>
      <c r="D3180" t="inlineStr">
        <is>
          <t>Other Suppliers</t>
        </is>
      </c>
      <c r="E3180" t="n">
        <v>200008663</v>
      </c>
      <c r="F3180" t="inlineStr">
        <is>
          <t>18242</t>
        </is>
      </c>
      <c r="G3180" t="inlineStr">
        <is>
          <t>UE</t>
        </is>
      </c>
      <c r="H3180" s="12" t="n">
        <v>-788</v>
      </c>
      <c r="I3180" s="17" t="n">
        <v>44544</v>
      </c>
      <c r="J3180" s="17" t="n">
        <v>44544</v>
      </c>
      <c r="K3180" t="inlineStr">
        <is>
          <t>00723600</t>
        </is>
      </c>
    </row>
    <row r="3181">
      <c r="A3181" t="inlineStr">
        <is>
          <t>102123</t>
        </is>
      </c>
      <c r="B3181" t="inlineStr">
        <is>
          <t>COLUMBIA DO NORDESTE S A</t>
        </is>
      </c>
      <c r="C3181" t="n">
        <v>2111000000</v>
      </c>
      <c r="D3181" t="inlineStr">
        <is>
          <t>Customs Brokerage – Overall</t>
        </is>
      </c>
      <c r="E3181" t="n">
        <v>200008682</v>
      </c>
      <c r="F3181" t="inlineStr">
        <is>
          <t>1826</t>
        </is>
      </c>
      <c r="G3181" t="inlineStr">
        <is>
          <t>UE</t>
        </is>
      </c>
      <c r="H3181" s="12" t="n">
        <v>-2371.31</v>
      </c>
      <c r="I3181" s="17" t="n">
        <v>44629</v>
      </c>
      <c r="J3181" s="17" t="n">
        <v>44629</v>
      </c>
      <c r="K3181" t="inlineStr">
        <is>
          <t>1155</t>
        </is>
      </c>
    </row>
    <row r="3182">
      <c r="A3182" t="inlineStr">
        <is>
          <t>102144</t>
        </is>
      </c>
      <c r="B3182" t="inlineStr">
        <is>
          <t>KALEIDO FREIGHT SERVICES B A L I LT</t>
        </is>
      </c>
      <c r="C3182" t="n">
        <v>2111000000</v>
      </c>
      <c r="D3182" t="inlineStr">
        <is>
          <t>Customs Brokerage – Overall</t>
        </is>
      </c>
      <c r="E3182" t="n">
        <v>200008690</v>
      </c>
      <c r="F3182" t="inlineStr">
        <is>
          <t>18267</t>
        </is>
      </c>
      <c r="G3182" t="inlineStr">
        <is>
          <t>UE</t>
        </is>
      </c>
      <c r="H3182" s="12" t="n">
        <v>-1404.07</v>
      </c>
      <c r="I3182" s="17" t="n">
        <v>44638</v>
      </c>
      <c r="J3182" s="17" t="n">
        <v>44638</v>
      </c>
      <c r="K3182" t="inlineStr">
        <is>
          <t>01072900</t>
        </is>
      </c>
    </row>
    <row r="3183">
      <c r="A3183" t="inlineStr">
        <is>
          <t>102123</t>
        </is>
      </c>
      <c r="B3183" t="inlineStr">
        <is>
          <t>COLUMBIA DO NORDESTE S A</t>
        </is>
      </c>
      <c r="C3183" t="n">
        <v>2111000000</v>
      </c>
      <c r="D3183" t="inlineStr">
        <is>
          <t>Customs Brokerage – Overall</t>
        </is>
      </c>
      <c r="E3183" t="n">
        <v>200008693</v>
      </c>
      <c r="F3183" t="inlineStr">
        <is>
          <t>1827</t>
        </is>
      </c>
      <c r="G3183" t="inlineStr">
        <is>
          <t>UE</t>
        </is>
      </c>
      <c r="H3183" s="12" t="n">
        <v>-10564.02</v>
      </c>
      <c r="I3183" s="17" t="n">
        <v>44629</v>
      </c>
      <c r="J3183" s="17" t="n">
        <v>44629</v>
      </c>
      <c r="K3183" t="inlineStr">
        <is>
          <t>1155.</t>
        </is>
      </c>
    </row>
    <row r="3184">
      <c r="A3184" t="inlineStr">
        <is>
          <t>101888</t>
        </is>
      </c>
      <c r="B3184" t="inlineStr">
        <is>
          <t>BANCO SANTANDER BRASIL SA</t>
        </is>
      </c>
      <c r="C3184" t="n">
        <v>2111000000</v>
      </c>
      <c r="D3184" t="inlineStr">
        <is>
          <t>Corporate Card Payments</t>
        </is>
      </c>
      <c r="E3184" t="n">
        <v>200009148</v>
      </c>
      <c r="F3184" t="inlineStr">
        <is>
          <t>1868</t>
        </is>
      </c>
      <c r="G3184" t="inlineStr">
        <is>
          <t>UE</t>
        </is>
      </c>
      <c r="H3184" s="12" t="n">
        <v>-1362.98</v>
      </c>
      <c r="I3184" s="17" t="n">
        <v>45120</v>
      </c>
      <c r="J3184" s="17" t="n">
        <v>45120</v>
      </c>
      <c r="K3184" t="inlineStr">
        <is>
          <t>UBER CC 07.2023</t>
        </is>
      </c>
    </row>
    <row r="3185">
      <c r="A3185" t="inlineStr">
        <is>
          <t>102014</t>
        </is>
      </c>
      <c r="B3185" t="inlineStr">
        <is>
          <t>DSV AIR &amp; SEA LOGISTICA LTDA</t>
        </is>
      </c>
      <c r="C3185" t="n">
        <v>2111000000</v>
      </c>
      <c r="D3185" t="inlineStr">
        <is>
          <t>Customs Brokerage – Overall</t>
        </is>
      </c>
      <c r="E3185" t="n">
        <v>200009237</v>
      </c>
      <c r="F3185" t="inlineStr">
        <is>
          <t>1876</t>
        </is>
      </c>
      <c r="G3185" t="inlineStr">
        <is>
          <t>UE</t>
        </is>
      </c>
      <c r="H3185" s="12" t="n">
        <v>-612.6900000000001</v>
      </c>
      <c r="I3185" s="17" t="n">
        <v>42219</v>
      </c>
      <c r="J3185" s="17" t="n">
        <v>42219</v>
      </c>
      <c r="K3185" t="inlineStr">
        <is>
          <t>804915</t>
        </is>
      </c>
    </row>
    <row r="3186">
      <c r="A3186" t="inlineStr">
        <is>
          <t>101041</t>
        </is>
      </c>
      <c r="B3186" t="inlineStr">
        <is>
          <t>DSV UTI AIR &amp; SEA AGENCIAMENTO DE T</t>
        </is>
      </c>
      <c r="C3186" t="n">
        <v>2111000000</v>
      </c>
      <c r="D3186" t="inlineStr">
        <is>
          <t>Customs Brokerage – Overall</t>
        </is>
      </c>
      <c r="E3186" t="n">
        <v>200009289</v>
      </c>
      <c r="F3186" t="inlineStr">
        <is>
          <t>18806</t>
        </is>
      </c>
      <c r="G3186" t="inlineStr">
        <is>
          <t>UE</t>
        </is>
      </c>
      <c r="H3186" s="12" t="n">
        <v>-2111.93</v>
      </c>
      <c r="I3186" s="17" t="n">
        <v>43927</v>
      </c>
      <c r="J3186" s="17" t="n">
        <v>43927</v>
      </c>
      <c r="K3186" t="inlineStr">
        <is>
          <t>08909900</t>
        </is>
      </c>
    </row>
    <row r="3187">
      <c r="A3187" t="inlineStr">
        <is>
          <t>101237</t>
        </is>
      </c>
      <c r="B3187" t="inlineStr">
        <is>
          <t>EURO AMERICA ASSESSORIA DESPACHOS</t>
        </is>
      </c>
      <c r="C3187" t="n">
        <v>2111000000</v>
      </c>
      <c r="D3187" t="inlineStr">
        <is>
          <t>Customs Brokerage – Overall</t>
        </is>
      </c>
      <c r="E3187" t="n">
        <v>200009290</v>
      </c>
      <c r="F3187" t="inlineStr">
        <is>
          <t>18807</t>
        </is>
      </c>
      <c r="G3187" t="inlineStr">
        <is>
          <t>UE</t>
        </is>
      </c>
      <c r="H3187" s="12" t="n">
        <v>-668.5</v>
      </c>
      <c r="I3187" s="17" t="n">
        <v>44592</v>
      </c>
      <c r="J3187" s="17" t="n">
        <v>44592</v>
      </c>
      <c r="K3187" t="inlineStr">
        <is>
          <t>13239900</t>
        </is>
      </c>
    </row>
    <row r="3188">
      <c r="A3188" t="inlineStr">
        <is>
          <t>101237</t>
        </is>
      </c>
      <c r="B3188" t="inlineStr">
        <is>
          <t>EURO AMERICA ASSESSORIA DESPACHOS</t>
        </is>
      </c>
      <c r="C3188" t="n">
        <v>2111000000</v>
      </c>
      <c r="D3188" t="inlineStr">
        <is>
          <t>Customs Brokerage – Overall</t>
        </is>
      </c>
      <c r="E3188" t="n">
        <v>200009291</v>
      </c>
      <c r="F3188" t="inlineStr">
        <is>
          <t>18808</t>
        </is>
      </c>
      <c r="G3188" t="inlineStr">
        <is>
          <t>UE</t>
        </is>
      </c>
      <c r="H3188" s="12" t="n">
        <v>-668.5</v>
      </c>
      <c r="I3188" s="17" t="n">
        <v>44592</v>
      </c>
      <c r="J3188" s="17" t="n">
        <v>44592</v>
      </c>
      <c r="K3188" t="inlineStr">
        <is>
          <t>13240100</t>
        </is>
      </c>
    </row>
    <row r="3189">
      <c r="A3189" t="inlineStr">
        <is>
          <t>101237</t>
        </is>
      </c>
      <c r="B3189" t="inlineStr">
        <is>
          <t>EURO AMERICA ASSESSORIA DESPACHOS</t>
        </is>
      </c>
      <c r="C3189" t="n">
        <v>2111000000</v>
      </c>
      <c r="D3189" t="inlineStr">
        <is>
          <t>Customs Brokerage – Overall</t>
        </is>
      </c>
      <c r="E3189" t="n">
        <v>200009292</v>
      </c>
      <c r="F3189" t="inlineStr">
        <is>
          <t>18809</t>
        </is>
      </c>
      <c r="G3189" t="inlineStr">
        <is>
          <t>UE</t>
        </is>
      </c>
      <c r="H3189" s="12" t="n">
        <v>-668.5</v>
      </c>
      <c r="I3189" s="17" t="n">
        <v>44594</v>
      </c>
      <c r="J3189" s="17" t="n">
        <v>44594</v>
      </c>
      <c r="K3189" t="inlineStr">
        <is>
          <t>13247200</t>
        </is>
      </c>
    </row>
    <row r="3190">
      <c r="A3190" t="inlineStr">
        <is>
          <t>101237</t>
        </is>
      </c>
      <c r="B3190" t="inlineStr">
        <is>
          <t>EURO AMERICA ASSESSORIA DESPACHOS</t>
        </is>
      </c>
      <c r="C3190" t="n">
        <v>2111000000</v>
      </c>
      <c r="D3190" t="inlineStr">
        <is>
          <t>Customs Brokerage – Overall</t>
        </is>
      </c>
      <c r="E3190" t="n">
        <v>200009294</v>
      </c>
      <c r="F3190" t="inlineStr">
        <is>
          <t>18810</t>
        </is>
      </c>
      <c r="G3190" t="inlineStr">
        <is>
          <t>UE</t>
        </is>
      </c>
      <c r="H3190" s="12" t="n">
        <v>-668.5</v>
      </c>
      <c r="I3190" s="17" t="n">
        <v>44594</v>
      </c>
      <c r="J3190" s="17" t="n">
        <v>44594</v>
      </c>
      <c r="K3190" t="inlineStr">
        <is>
          <t>13247400</t>
        </is>
      </c>
    </row>
    <row r="3191">
      <c r="A3191" t="inlineStr">
        <is>
          <t>101559</t>
        </is>
      </c>
      <c r="B3191" t="inlineStr">
        <is>
          <t>SIND DOS DESPACH ADUANEIROS DE SANT</t>
        </is>
      </c>
      <c r="C3191" t="n">
        <v>2111000000</v>
      </c>
      <c r="D3191" t="inlineStr">
        <is>
          <t>Customs Brokerage – Overall</t>
        </is>
      </c>
      <c r="E3191" t="n">
        <v>200009328</v>
      </c>
      <c r="F3191" t="inlineStr">
        <is>
          <t>1888</t>
        </is>
      </c>
      <c r="G3191" t="inlineStr">
        <is>
          <t>UE</t>
        </is>
      </c>
      <c r="H3191" s="12" t="n">
        <v>-500</v>
      </c>
      <c r="I3191" s="17" t="n">
        <v>43276</v>
      </c>
      <c r="J3191" s="17" t="n">
        <v>43276</v>
      </c>
      <c r="K3191" t="inlineStr">
        <is>
          <t>11903077</t>
        </is>
      </c>
    </row>
    <row r="3192">
      <c r="A3192" t="inlineStr">
        <is>
          <t>101559</t>
        </is>
      </c>
      <c r="B3192" t="inlineStr">
        <is>
          <t>SIND DOS DESPACH ADUANEIROS DE SANT</t>
        </is>
      </c>
      <c r="C3192" t="n">
        <v>2111000000</v>
      </c>
      <c r="D3192" t="inlineStr">
        <is>
          <t>Customs Brokerage – Overall</t>
        </is>
      </c>
      <c r="E3192" t="n">
        <v>200009331</v>
      </c>
      <c r="F3192" t="inlineStr">
        <is>
          <t>1890</t>
        </is>
      </c>
      <c r="G3192" t="inlineStr">
        <is>
          <t>UE</t>
        </is>
      </c>
      <c r="H3192" s="12" t="n">
        <v>-500</v>
      </c>
      <c r="I3192" s="17" t="n">
        <v>43597</v>
      </c>
      <c r="J3192" s="17" t="n">
        <v>43597</v>
      </c>
      <c r="K3192" t="inlineStr">
        <is>
          <t>12260335</t>
        </is>
      </c>
    </row>
    <row r="3193">
      <c r="A3193" t="inlineStr">
        <is>
          <t>101559</t>
        </is>
      </c>
      <c r="B3193" t="inlineStr">
        <is>
          <t>SIND DOS DESPACH ADUANEIROS DE SANT</t>
        </is>
      </c>
      <c r="C3193" t="n">
        <v>2111000000</v>
      </c>
      <c r="D3193" t="inlineStr">
        <is>
          <t>Customs Brokerage – Overall</t>
        </is>
      </c>
      <c r="E3193" t="n">
        <v>200009333</v>
      </c>
      <c r="F3193" t="inlineStr">
        <is>
          <t>1892</t>
        </is>
      </c>
      <c r="G3193" t="inlineStr">
        <is>
          <t>UE</t>
        </is>
      </c>
      <c r="H3193" s="12" t="n">
        <v>-500</v>
      </c>
      <c r="I3193" s="17" t="n">
        <v>43066</v>
      </c>
      <c r="J3193" s="17" t="n">
        <v>43066</v>
      </c>
      <c r="K3193" t="inlineStr">
        <is>
          <t>11674913</t>
        </is>
      </c>
    </row>
    <row r="3194">
      <c r="A3194" t="inlineStr">
        <is>
          <t>101559</t>
        </is>
      </c>
      <c r="B3194" t="inlineStr">
        <is>
          <t>SIND DOS DESPACH ADUANEIROS DE SANT</t>
        </is>
      </c>
      <c r="C3194" t="n">
        <v>2111000000</v>
      </c>
      <c r="D3194" t="inlineStr">
        <is>
          <t>Customs Brokerage – Overall</t>
        </is>
      </c>
      <c r="E3194" t="n">
        <v>200009335</v>
      </c>
      <c r="F3194" t="inlineStr">
        <is>
          <t>1894</t>
        </is>
      </c>
      <c r="G3194" t="inlineStr">
        <is>
          <t>UE</t>
        </is>
      </c>
      <c r="H3194" s="12" t="n">
        <v>-500</v>
      </c>
      <c r="I3194" s="17" t="n">
        <v>43486</v>
      </c>
      <c r="J3194" s="17" t="n">
        <v>43486</v>
      </c>
      <c r="K3194" t="inlineStr">
        <is>
          <t>12133369</t>
        </is>
      </c>
    </row>
    <row r="3195">
      <c r="A3195" t="inlineStr">
        <is>
          <t>101559</t>
        </is>
      </c>
      <c r="B3195" t="inlineStr">
        <is>
          <t>SIND DOS DESPACH ADUANEIROS DE SANT</t>
        </is>
      </c>
      <c r="C3195" t="n">
        <v>2111000000</v>
      </c>
      <c r="D3195" t="inlineStr">
        <is>
          <t>Customs Brokerage – Overall</t>
        </is>
      </c>
      <c r="E3195" t="n">
        <v>200009336</v>
      </c>
      <c r="F3195" t="inlineStr">
        <is>
          <t>1895</t>
        </is>
      </c>
      <c r="G3195" t="inlineStr">
        <is>
          <t>UE</t>
        </is>
      </c>
      <c r="H3195" s="12" t="n">
        <v>-500</v>
      </c>
      <c r="I3195" s="17" t="n">
        <v>43663</v>
      </c>
      <c r="J3195" s="17" t="n">
        <v>43663</v>
      </c>
      <c r="K3195" t="inlineStr">
        <is>
          <t>12321447</t>
        </is>
      </c>
    </row>
    <row r="3196">
      <c r="A3196" t="inlineStr">
        <is>
          <t>101559</t>
        </is>
      </c>
      <c r="B3196" t="inlineStr">
        <is>
          <t>SIND DOS DESPACH ADUANEIROS DE SANT</t>
        </is>
      </c>
      <c r="C3196" t="n">
        <v>2111000000</v>
      </c>
      <c r="D3196" t="inlineStr">
        <is>
          <t>Customs Brokerage – Overall</t>
        </is>
      </c>
      <c r="E3196" t="n">
        <v>200009339</v>
      </c>
      <c r="F3196" t="inlineStr">
        <is>
          <t>1898</t>
        </is>
      </c>
      <c r="G3196" t="inlineStr">
        <is>
          <t>UE</t>
        </is>
      </c>
      <c r="H3196" s="12" t="n">
        <v>-500</v>
      </c>
      <c r="I3196" s="17" t="n">
        <v>43788</v>
      </c>
      <c r="J3196" s="17" t="n">
        <v>43788</v>
      </c>
      <c r="K3196" t="inlineStr">
        <is>
          <t>2455476</t>
        </is>
      </c>
    </row>
    <row r="3197">
      <c r="A3197" t="inlineStr">
        <is>
          <t>101559</t>
        </is>
      </c>
      <c r="B3197" t="inlineStr">
        <is>
          <t>SIND DOS DESPACH ADUANEIROS DE SANT</t>
        </is>
      </c>
      <c r="C3197" t="n">
        <v>2111000000</v>
      </c>
      <c r="D3197" t="inlineStr">
        <is>
          <t>Customs Brokerage – Overall</t>
        </is>
      </c>
      <c r="E3197" t="n">
        <v>200009340</v>
      </c>
      <c r="F3197" t="inlineStr">
        <is>
          <t>1899</t>
        </is>
      </c>
      <c r="G3197" t="inlineStr">
        <is>
          <t>UE</t>
        </is>
      </c>
      <c r="H3197" s="12" t="n">
        <v>-500</v>
      </c>
      <c r="I3197" s="17" t="n">
        <v>43782</v>
      </c>
      <c r="J3197" s="17" t="n">
        <v>43782</v>
      </c>
      <c r="K3197" t="inlineStr">
        <is>
          <t>12450957</t>
        </is>
      </c>
    </row>
    <row r="3198">
      <c r="A3198" t="inlineStr">
        <is>
          <t>101559</t>
        </is>
      </c>
      <c r="B3198" t="inlineStr">
        <is>
          <t>SIND DOS DESPACH ADUANEIROS DE SANT</t>
        </is>
      </c>
      <c r="C3198" t="n">
        <v>2111000000</v>
      </c>
      <c r="D3198" t="inlineStr">
        <is>
          <t>Customs Brokerage – Overall</t>
        </is>
      </c>
      <c r="E3198" t="n">
        <v>200009344</v>
      </c>
      <c r="F3198" t="inlineStr">
        <is>
          <t>1901</t>
        </is>
      </c>
      <c r="G3198" t="inlineStr">
        <is>
          <t>UE</t>
        </is>
      </c>
      <c r="H3198" s="12" t="n">
        <v>-500</v>
      </c>
      <c r="I3198" s="17" t="n">
        <v>43158</v>
      </c>
      <c r="J3198" s="17" t="n">
        <v>43158</v>
      </c>
      <c r="K3198" t="inlineStr">
        <is>
          <t>5124569</t>
        </is>
      </c>
    </row>
    <row r="3199">
      <c r="A3199" t="inlineStr">
        <is>
          <t>101559</t>
        </is>
      </c>
      <c r="B3199" t="inlineStr">
        <is>
          <t>SIND DOS DESPACH ADUANEIROS DE SANT</t>
        </is>
      </c>
      <c r="C3199" t="n">
        <v>2111000000</v>
      </c>
      <c r="D3199" t="inlineStr">
        <is>
          <t>Customs Brokerage – Overall</t>
        </is>
      </c>
      <c r="E3199" t="n">
        <v>200009345</v>
      </c>
      <c r="F3199" t="inlineStr">
        <is>
          <t>1902</t>
        </is>
      </c>
      <c r="G3199" t="inlineStr">
        <is>
          <t>UE</t>
        </is>
      </c>
      <c r="H3199" s="12" t="n">
        <v>-500</v>
      </c>
      <c r="I3199" s="17" t="n">
        <v>42926</v>
      </c>
      <c r="J3199" s="17" t="n">
        <v>42926</v>
      </c>
      <c r="K3199" t="inlineStr">
        <is>
          <t>4886356</t>
        </is>
      </c>
    </row>
    <row r="3200">
      <c r="A3200" t="inlineStr">
        <is>
          <t>101559</t>
        </is>
      </c>
      <c r="B3200" t="inlineStr">
        <is>
          <t>SIND DOS DESPACH ADUANEIROS DE SANT</t>
        </is>
      </c>
      <c r="C3200" t="n">
        <v>2111000000</v>
      </c>
      <c r="D3200" t="inlineStr">
        <is>
          <t>Customs Brokerage – Overall</t>
        </is>
      </c>
      <c r="E3200" t="n">
        <v>200009346</v>
      </c>
      <c r="F3200" t="inlineStr">
        <is>
          <t>1903</t>
        </is>
      </c>
      <c r="G3200" t="inlineStr">
        <is>
          <t>UE</t>
        </is>
      </c>
      <c r="H3200" s="12" t="n">
        <v>-500</v>
      </c>
      <c r="I3200" s="17" t="n">
        <v>43795</v>
      </c>
      <c r="J3200" s="17" t="n">
        <v>43795</v>
      </c>
      <c r="K3200" t="inlineStr">
        <is>
          <t>12461954</t>
        </is>
      </c>
    </row>
    <row r="3201">
      <c r="A3201" t="inlineStr">
        <is>
          <t>101559</t>
        </is>
      </c>
      <c r="B3201" t="inlineStr">
        <is>
          <t>SIND DOS DESPACH ADUANEIROS DE SANT</t>
        </is>
      </c>
      <c r="C3201" t="n">
        <v>2111000000</v>
      </c>
      <c r="D3201" t="inlineStr">
        <is>
          <t>Customs Brokerage – Overall</t>
        </is>
      </c>
      <c r="E3201" t="n">
        <v>200009347</v>
      </c>
      <c r="F3201" t="inlineStr">
        <is>
          <t>1904</t>
        </is>
      </c>
      <c r="G3201" t="inlineStr">
        <is>
          <t>UE</t>
        </is>
      </c>
      <c r="H3201" s="12" t="n">
        <v>-500</v>
      </c>
      <c r="I3201" s="17" t="n">
        <v>43270</v>
      </c>
      <c r="J3201" s="17" t="n">
        <v>43270</v>
      </c>
      <c r="K3201" t="inlineStr">
        <is>
          <t>11896613</t>
        </is>
      </c>
    </row>
    <row r="3202">
      <c r="A3202" t="inlineStr">
        <is>
          <t>101559</t>
        </is>
      </c>
      <c r="B3202" t="inlineStr">
        <is>
          <t>SIND DOS DESPACH ADUANEIROS DE SANT</t>
        </is>
      </c>
      <c r="C3202" t="n">
        <v>2111000000</v>
      </c>
      <c r="D3202" t="inlineStr">
        <is>
          <t>Customs Brokerage – Overall</t>
        </is>
      </c>
      <c r="E3202" t="n">
        <v>200009348</v>
      </c>
      <c r="F3202" t="inlineStr">
        <is>
          <t>1905</t>
        </is>
      </c>
      <c r="G3202" t="inlineStr">
        <is>
          <t>UE</t>
        </is>
      </c>
      <c r="H3202" s="12" t="n">
        <v>-500</v>
      </c>
      <c r="I3202" s="17" t="n">
        <v>43444</v>
      </c>
      <c r="J3202" s="17" t="n">
        <v>43444</v>
      </c>
      <c r="K3202" t="inlineStr">
        <is>
          <t>12091586</t>
        </is>
      </c>
    </row>
    <row r="3203">
      <c r="A3203" t="inlineStr">
        <is>
          <t>101559</t>
        </is>
      </c>
      <c r="B3203" t="inlineStr">
        <is>
          <t>SIND DOS DESPACH ADUANEIROS DE SANT</t>
        </is>
      </c>
      <c r="C3203" t="n">
        <v>2111000000</v>
      </c>
      <c r="D3203" t="inlineStr">
        <is>
          <t>Customs Brokerage – Overall</t>
        </is>
      </c>
      <c r="E3203" t="n">
        <v>200009349</v>
      </c>
      <c r="F3203" t="inlineStr">
        <is>
          <t>1906</t>
        </is>
      </c>
      <c r="G3203" t="inlineStr">
        <is>
          <t>UE</t>
        </is>
      </c>
      <c r="H3203" s="12" t="n">
        <v>-500</v>
      </c>
      <c r="I3203" s="17" t="n">
        <v>43461</v>
      </c>
      <c r="J3203" s="17" t="n">
        <v>43461</v>
      </c>
      <c r="K3203" t="inlineStr">
        <is>
          <t>121094866</t>
        </is>
      </c>
    </row>
    <row r="3204">
      <c r="A3204" t="inlineStr">
        <is>
          <t>101559</t>
        </is>
      </c>
      <c r="B3204" t="inlineStr">
        <is>
          <t>SIND DOS DESPACH ADUANEIROS DE SANT</t>
        </is>
      </c>
      <c r="C3204" t="n">
        <v>2111000000</v>
      </c>
      <c r="D3204" t="inlineStr">
        <is>
          <t>Customs Brokerage – Overall</t>
        </is>
      </c>
      <c r="E3204" t="n">
        <v>200009350</v>
      </c>
      <c r="F3204" t="inlineStr">
        <is>
          <t>1907</t>
        </is>
      </c>
      <c r="G3204" t="inlineStr">
        <is>
          <t>UE</t>
        </is>
      </c>
      <c r="H3204" s="12" t="n">
        <v>-500</v>
      </c>
      <c r="I3204" s="17" t="n">
        <v>43612</v>
      </c>
      <c r="J3204" s="17" t="n">
        <v>43612</v>
      </c>
      <c r="K3204" t="inlineStr">
        <is>
          <t>12266440</t>
        </is>
      </c>
    </row>
    <row r="3205">
      <c r="A3205" t="inlineStr">
        <is>
          <t>101559</t>
        </is>
      </c>
      <c r="B3205" t="inlineStr">
        <is>
          <t>SIND DOS DESPACH ADUANEIROS DE SANT</t>
        </is>
      </c>
      <c r="C3205" t="n">
        <v>2111000000</v>
      </c>
      <c r="D3205" t="inlineStr">
        <is>
          <t>Customs Brokerage – Overall</t>
        </is>
      </c>
      <c r="E3205" t="n">
        <v>200009351</v>
      </c>
      <c r="F3205" t="inlineStr">
        <is>
          <t>1908</t>
        </is>
      </c>
      <c r="G3205" t="inlineStr">
        <is>
          <t>UE</t>
        </is>
      </c>
      <c r="H3205" s="12" t="n">
        <v>-500</v>
      </c>
      <c r="I3205" s="17" t="n">
        <v>43711</v>
      </c>
      <c r="J3205" s="17" t="n">
        <v>43711</v>
      </c>
      <c r="K3205" t="inlineStr">
        <is>
          <t>12373571</t>
        </is>
      </c>
    </row>
    <row r="3206">
      <c r="A3206" t="inlineStr">
        <is>
          <t>101559</t>
        </is>
      </c>
      <c r="B3206" t="inlineStr">
        <is>
          <t>SIND DOS DESPACH ADUANEIROS DE SANT</t>
        </is>
      </c>
      <c r="C3206" t="n">
        <v>2111000000</v>
      </c>
      <c r="D3206" t="inlineStr">
        <is>
          <t>Customs Brokerage – Overall</t>
        </is>
      </c>
      <c r="E3206" t="n">
        <v>200009352</v>
      </c>
      <c r="F3206" t="inlineStr">
        <is>
          <t>1909</t>
        </is>
      </c>
      <c r="G3206" t="inlineStr">
        <is>
          <t>UE</t>
        </is>
      </c>
      <c r="H3206" s="12" t="n">
        <v>-500</v>
      </c>
      <c r="I3206" s="17" t="n">
        <v>43130</v>
      </c>
      <c r="J3206" s="17" t="n">
        <v>43130</v>
      </c>
      <c r="K3206" t="inlineStr">
        <is>
          <t>11683019</t>
        </is>
      </c>
    </row>
    <row r="3207">
      <c r="A3207" t="inlineStr">
        <is>
          <t>101559</t>
        </is>
      </c>
      <c r="B3207" t="inlineStr">
        <is>
          <t>SIND DOS DESPACH ADUANEIROS DE SANT</t>
        </is>
      </c>
      <c r="C3207" t="n">
        <v>2111000000</v>
      </c>
      <c r="D3207" t="inlineStr">
        <is>
          <t>Customs Brokerage – Overall</t>
        </is>
      </c>
      <c r="E3207" t="n">
        <v>200009354</v>
      </c>
      <c r="F3207" t="inlineStr">
        <is>
          <t>1910</t>
        </is>
      </c>
      <c r="G3207" t="inlineStr">
        <is>
          <t>UE</t>
        </is>
      </c>
      <c r="H3207" s="12" t="n">
        <v>-500</v>
      </c>
      <c r="I3207" s="17" t="n">
        <v>43483</v>
      </c>
      <c r="J3207" s="17" t="n">
        <v>43483</v>
      </c>
      <c r="K3207" t="inlineStr">
        <is>
          <t>12131523</t>
        </is>
      </c>
    </row>
    <row r="3208">
      <c r="A3208" t="inlineStr">
        <is>
          <t>101559</t>
        </is>
      </c>
      <c r="B3208" t="inlineStr">
        <is>
          <t>SIND DOS DESPACH ADUANEIROS DE SANT</t>
        </is>
      </c>
      <c r="C3208" t="n">
        <v>2111000000</v>
      </c>
      <c r="D3208" t="inlineStr">
        <is>
          <t>Customs Brokerage – Overall</t>
        </is>
      </c>
      <c r="E3208" t="n">
        <v>200009355</v>
      </c>
      <c r="F3208" t="inlineStr">
        <is>
          <t>1911</t>
        </is>
      </c>
      <c r="G3208" t="inlineStr">
        <is>
          <t>UE</t>
        </is>
      </c>
      <c r="H3208" s="12" t="n">
        <v>-500</v>
      </c>
      <c r="I3208" s="17" t="n">
        <v>43852</v>
      </c>
      <c r="J3208" s="17" t="n">
        <v>43852</v>
      </c>
      <c r="K3208" t="inlineStr">
        <is>
          <t>12519308</t>
        </is>
      </c>
    </row>
    <row r="3209">
      <c r="A3209" t="inlineStr">
        <is>
          <t>101559</t>
        </is>
      </c>
      <c r="B3209" t="inlineStr">
        <is>
          <t>SIND DOS DESPACH ADUANEIROS DE SANT</t>
        </is>
      </c>
      <c r="C3209" t="n">
        <v>2111000000</v>
      </c>
      <c r="D3209" t="inlineStr">
        <is>
          <t>Customs Brokerage – Overall</t>
        </is>
      </c>
      <c r="E3209" t="n">
        <v>200009356</v>
      </c>
      <c r="F3209" t="inlineStr">
        <is>
          <t>1912</t>
        </is>
      </c>
      <c r="G3209" t="inlineStr">
        <is>
          <t>UE</t>
        </is>
      </c>
      <c r="H3209" s="12" t="n">
        <v>-500</v>
      </c>
      <c r="I3209" s="17" t="n">
        <v>43879</v>
      </c>
      <c r="J3209" s="17" t="n">
        <v>43879</v>
      </c>
      <c r="K3209" t="inlineStr">
        <is>
          <t>12546624</t>
        </is>
      </c>
    </row>
    <row r="3210">
      <c r="A3210" t="inlineStr">
        <is>
          <t>101559</t>
        </is>
      </c>
      <c r="B3210" t="inlineStr">
        <is>
          <t>SIND DOS DESPACH ADUANEIROS DE SANT</t>
        </is>
      </c>
      <c r="C3210" t="n">
        <v>2111000000</v>
      </c>
      <c r="D3210" t="inlineStr">
        <is>
          <t>Customs Brokerage – Overall</t>
        </is>
      </c>
      <c r="E3210" t="n">
        <v>200009357</v>
      </c>
      <c r="F3210" t="inlineStr">
        <is>
          <t>1913</t>
        </is>
      </c>
      <c r="G3210" t="inlineStr">
        <is>
          <t>UE</t>
        </is>
      </c>
      <c r="H3210" s="12" t="n">
        <v>-500</v>
      </c>
      <c r="I3210" s="17" t="n">
        <v>43872</v>
      </c>
      <c r="J3210" s="17" t="n">
        <v>43872</v>
      </c>
      <c r="K3210" t="inlineStr">
        <is>
          <t>12539785</t>
        </is>
      </c>
    </row>
    <row r="3211">
      <c r="A3211" t="inlineStr">
        <is>
          <t>101559</t>
        </is>
      </c>
      <c r="B3211" t="inlineStr">
        <is>
          <t>SIND DOS DESPACH ADUANEIROS DE SANT</t>
        </is>
      </c>
      <c r="C3211" t="n">
        <v>2111000000</v>
      </c>
      <c r="D3211" t="inlineStr">
        <is>
          <t>Customs Brokerage – Overall</t>
        </is>
      </c>
      <c r="E3211" t="n">
        <v>200009358</v>
      </c>
      <c r="F3211" t="inlineStr">
        <is>
          <t>1914</t>
        </is>
      </c>
      <c r="G3211" t="inlineStr">
        <is>
          <t>UE</t>
        </is>
      </c>
      <c r="H3211" s="12" t="n">
        <v>-500</v>
      </c>
      <c r="I3211" s="17" t="n">
        <v>43872</v>
      </c>
      <c r="J3211" s="17" t="n">
        <v>43872</v>
      </c>
      <c r="K3211" t="inlineStr">
        <is>
          <t>12539787</t>
        </is>
      </c>
    </row>
    <row r="3212">
      <c r="A3212" t="inlineStr">
        <is>
          <t>101559</t>
        </is>
      </c>
      <c r="B3212" t="inlineStr">
        <is>
          <t>SIND DOS DESPACH ADUANEIROS DE SANT</t>
        </is>
      </c>
      <c r="C3212" t="n">
        <v>2111000000</v>
      </c>
      <c r="D3212" t="inlineStr">
        <is>
          <t>Customs Brokerage – Overall</t>
        </is>
      </c>
      <c r="E3212" t="n">
        <v>200009359</v>
      </c>
      <c r="F3212" t="inlineStr">
        <is>
          <t>1915</t>
        </is>
      </c>
      <c r="G3212" t="inlineStr">
        <is>
          <t>UE</t>
        </is>
      </c>
      <c r="H3212" s="12" t="n">
        <v>-500</v>
      </c>
      <c r="I3212" s="17" t="n">
        <v>43865</v>
      </c>
      <c r="J3212" s="17" t="n">
        <v>43865</v>
      </c>
      <c r="K3212" t="inlineStr">
        <is>
          <t>12532345</t>
        </is>
      </c>
    </row>
    <row r="3213">
      <c r="A3213" t="inlineStr">
        <is>
          <t>101559</t>
        </is>
      </c>
      <c r="B3213" t="inlineStr">
        <is>
          <t>SIND DOS DESPACH ADUANEIROS DE SANT</t>
        </is>
      </c>
      <c r="C3213" t="n">
        <v>2111000000</v>
      </c>
      <c r="D3213" t="inlineStr">
        <is>
          <t>Customs Brokerage – Overall</t>
        </is>
      </c>
      <c r="E3213" t="n">
        <v>200009360</v>
      </c>
      <c r="F3213" t="inlineStr">
        <is>
          <t>1916</t>
        </is>
      </c>
      <c r="G3213" t="inlineStr">
        <is>
          <t>UE</t>
        </is>
      </c>
      <c r="H3213" s="12" t="n">
        <v>-500</v>
      </c>
      <c r="I3213" s="17" t="n">
        <v>43872</v>
      </c>
      <c r="J3213" s="17" t="n">
        <v>43872</v>
      </c>
      <c r="K3213" t="inlineStr">
        <is>
          <t>12539823</t>
        </is>
      </c>
    </row>
    <row r="3214">
      <c r="A3214" t="inlineStr">
        <is>
          <t>101559</t>
        </is>
      </c>
      <c r="B3214" t="inlineStr">
        <is>
          <t>SIND DOS DESPACH ADUANEIROS DE SANT</t>
        </is>
      </c>
      <c r="C3214" t="n">
        <v>2111000000</v>
      </c>
      <c r="D3214" t="inlineStr">
        <is>
          <t>Customs Brokerage – Overall</t>
        </is>
      </c>
      <c r="E3214" t="n">
        <v>200009361</v>
      </c>
      <c r="F3214" t="inlineStr">
        <is>
          <t>1917</t>
        </is>
      </c>
      <c r="G3214" t="inlineStr">
        <is>
          <t>UE</t>
        </is>
      </c>
      <c r="H3214" s="12" t="n">
        <v>-500</v>
      </c>
      <c r="I3214" s="17" t="n">
        <v>43872</v>
      </c>
      <c r="J3214" s="17" t="n">
        <v>43872</v>
      </c>
      <c r="K3214" t="inlineStr">
        <is>
          <t>12539824</t>
        </is>
      </c>
    </row>
    <row r="3215">
      <c r="A3215" t="inlineStr">
        <is>
          <t>101559</t>
        </is>
      </c>
      <c r="B3215" t="inlineStr">
        <is>
          <t>SIND DOS DESPACH ADUANEIROS DE SANT</t>
        </is>
      </c>
      <c r="C3215" t="n">
        <v>2111000000</v>
      </c>
      <c r="D3215" t="inlineStr">
        <is>
          <t>Customs Brokerage – Overall</t>
        </is>
      </c>
      <c r="E3215" t="n">
        <v>200009362</v>
      </c>
      <c r="F3215" t="inlineStr">
        <is>
          <t>1918</t>
        </is>
      </c>
      <c r="G3215" t="inlineStr">
        <is>
          <t>UE</t>
        </is>
      </c>
      <c r="H3215" s="12" t="n">
        <v>-500</v>
      </c>
      <c r="I3215" s="17" t="n">
        <v>43866</v>
      </c>
      <c r="J3215" s="17" t="n">
        <v>43866</v>
      </c>
      <c r="K3215" t="inlineStr">
        <is>
          <t>12533762</t>
        </is>
      </c>
    </row>
    <row r="3216">
      <c r="A3216" t="inlineStr">
        <is>
          <t>101559</t>
        </is>
      </c>
      <c r="B3216" t="inlineStr">
        <is>
          <t>SIND DOS DESPACH ADUANEIROS DE SANT</t>
        </is>
      </c>
      <c r="C3216" t="n">
        <v>2111000000</v>
      </c>
      <c r="D3216" t="inlineStr">
        <is>
          <t>Customs Brokerage – Overall</t>
        </is>
      </c>
      <c r="E3216" t="n">
        <v>200009363</v>
      </c>
      <c r="F3216" t="inlineStr">
        <is>
          <t>1919</t>
        </is>
      </c>
      <c r="G3216" t="inlineStr">
        <is>
          <t>UE</t>
        </is>
      </c>
      <c r="H3216" s="12" t="n">
        <v>-500</v>
      </c>
      <c r="I3216" s="17" t="n">
        <v>43872</v>
      </c>
      <c r="J3216" s="17" t="n">
        <v>43872</v>
      </c>
      <c r="K3216" t="inlineStr">
        <is>
          <t>12539773</t>
        </is>
      </c>
    </row>
    <row r="3217">
      <c r="A3217" t="inlineStr">
        <is>
          <t>101559</t>
        </is>
      </c>
      <c r="B3217" t="inlineStr">
        <is>
          <t>SIND DOS DESPACH ADUANEIROS DE SANT</t>
        </is>
      </c>
      <c r="C3217" t="n">
        <v>2111000000</v>
      </c>
      <c r="D3217" t="inlineStr">
        <is>
          <t>Customs Brokerage – Overall</t>
        </is>
      </c>
      <c r="E3217" t="n">
        <v>200009365</v>
      </c>
      <c r="F3217" t="inlineStr">
        <is>
          <t>1920</t>
        </is>
      </c>
      <c r="G3217" t="inlineStr">
        <is>
          <t>UE</t>
        </is>
      </c>
      <c r="H3217" s="12" t="n">
        <v>-500</v>
      </c>
      <c r="I3217" s="17" t="n">
        <v>43795</v>
      </c>
      <c r="J3217" s="17" t="n">
        <v>43795</v>
      </c>
      <c r="K3217" t="inlineStr">
        <is>
          <t>12462157</t>
        </is>
      </c>
    </row>
    <row r="3218">
      <c r="A3218" t="inlineStr">
        <is>
          <t>101559</t>
        </is>
      </c>
      <c r="B3218" t="inlineStr">
        <is>
          <t>SIND DOS DESPACH ADUANEIROS DE SANT</t>
        </is>
      </c>
      <c r="C3218" t="n">
        <v>2111000000</v>
      </c>
      <c r="D3218" t="inlineStr">
        <is>
          <t>Customs Brokerage – Overall</t>
        </is>
      </c>
      <c r="E3218" t="n">
        <v>200009369</v>
      </c>
      <c r="F3218" t="inlineStr">
        <is>
          <t>1924</t>
        </is>
      </c>
      <c r="G3218" t="inlineStr">
        <is>
          <t>UE</t>
        </is>
      </c>
      <c r="H3218" s="12" t="n">
        <v>-500</v>
      </c>
      <c r="I3218" s="17" t="n">
        <v>44067</v>
      </c>
      <c r="J3218" s="17" t="n">
        <v>44067</v>
      </c>
      <c r="K3218" t="inlineStr">
        <is>
          <t>SDA 4000277</t>
        </is>
      </c>
    </row>
    <row r="3219">
      <c r="A3219" t="inlineStr">
        <is>
          <t>101559</t>
        </is>
      </c>
      <c r="B3219" t="inlineStr">
        <is>
          <t>SIND DOS DESPACH ADUANEIROS DE SANT</t>
        </is>
      </c>
      <c r="C3219" t="n">
        <v>2111000000</v>
      </c>
      <c r="D3219" t="inlineStr">
        <is>
          <t>Customs Brokerage – Overall</t>
        </is>
      </c>
      <c r="E3219" t="n">
        <v>200009370</v>
      </c>
      <c r="F3219" t="inlineStr">
        <is>
          <t>1925</t>
        </is>
      </c>
      <c r="G3219" t="inlineStr">
        <is>
          <t>UE</t>
        </is>
      </c>
      <c r="H3219" s="12" t="n">
        <v>-500</v>
      </c>
      <c r="I3219" s="17" t="n">
        <v>44301</v>
      </c>
      <c r="J3219" s="17" t="n">
        <v>44301</v>
      </c>
      <c r="K3219" t="inlineStr">
        <is>
          <t>SDA 20200726</t>
        </is>
      </c>
    </row>
    <row r="3220">
      <c r="A3220" t="inlineStr">
        <is>
          <t>101559</t>
        </is>
      </c>
      <c r="B3220" t="inlineStr">
        <is>
          <t>SIND DOS DESPACH ADUANEIROS DE SANT</t>
        </is>
      </c>
      <c r="C3220" t="n">
        <v>2111000000</v>
      </c>
      <c r="D3220" t="inlineStr">
        <is>
          <t>Customs Brokerage – Overall</t>
        </is>
      </c>
      <c r="E3220" t="n">
        <v>200009372</v>
      </c>
      <c r="F3220" t="inlineStr">
        <is>
          <t>1927</t>
        </is>
      </c>
      <c r="G3220" t="inlineStr">
        <is>
          <t>UE</t>
        </is>
      </c>
      <c r="H3220" s="12" t="n">
        <v>-500</v>
      </c>
      <c r="I3220" s="17" t="n">
        <v>44048</v>
      </c>
      <c r="J3220" s="17" t="n">
        <v>44048</v>
      </c>
      <c r="K3220" t="inlineStr">
        <is>
          <t>12688254</t>
        </is>
      </c>
    </row>
    <row r="3221">
      <c r="A3221" t="inlineStr">
        <is>
          <t>101559</t>
        </is>
      </c>
      <c r="B3221" t="inlineStr">
        <is>
          <t>SIND DOS DESPACH ADUANEIROS DE SANT</t>
        </is>
      </c>
      <c r="C3221" t="n">
        <v>2111000000</v>
      </c>
      <c r="D3221" t="inlineStr">
        <is>
          <t>Customs Brokerage – Overall</t>
        </is>
      </c>
      <c r="E3221" t="n">
        <v>200009373</v>
      </c>
      <c r="F3221" t="inlineStr">
        <is>
          <t>1928</t>
        </is>
      </c>
      <c r="G3221" t="inlineStr">
        <is>
          <t>UE</t>
        </is>
      </c>
      <c r="H3221" s="12" t="n">
        <v>-500</v>
      </c>
      <c r="I3221" s="17" t="n">
        <v>44278</v>
      </c>
      <c r="J3221" s="17" t="n">
        <v>44278</v>
      </c>
      <c r="K3221" t="inlineStr">
        <is>
          <t>12922553</t>
        </is>
      </c>
    </row>
    <row r="3222">
      <c r="A3222" t="inlineStr">
        <is>
          <t>101559</t>
        </is>
      </c>
      <c r="B3222" t="inlineStr">
        <is>
          <t>SIND DOS DESPACH ADUANEIROS DE SANT</t>
        </is>
      </c>
      <c r="C3222" t="n">
        <v>2111000000</v>
      </c>
      <c r="D3222" t="inlineStr">
        <is>
          <t>Customs Brokerage – Overall</t>
        </is>
      </c>
      <c r="E3222" t="n">
        <v>200009374</v>
      </c>
      <c r="F3222" t="inlineStr">
        <is>
          <t>1929</t>
        </is>
      </c>
      <c r="G3222" t="inlineStr">
        <is>
          <t>UE</t>
        </is>
      </c>
      <c r="H3222" s="12" t="n">
        <v>-500</v>
      </c>
      <c r="I3222" s="17" t="n">
        <v>43906</v>
      </c>
      <c r="J3222" s="17" t="n">
        <v>43906</v>
      </c>
      <c r="K3222" t="inlineStr">
        <is>
          <t xml:space="preserve"> 12572306</t>
        </is>
      </c>
    </row>
    <row r="3223">
      <c r="A3223" t="inlineStr">
        <is>
          <t>101559</t>
        </is>
      </c>
      <c r="B3223" t="inlineStr">
        <is>
          <t>SIND DOS DESPACH ADUANEIROS DE SANT</t>
        </is>
      </c>
      <c r="C3223" t="n">
        <v>2111000000</v>
      </c>
      <c r="D3223" t="inlineStr">
        <is>
          <t>Customs Brokerage – Overall</t>
        </is>
      </c>
      <c r="E3223" t="n">
        <v>200009380</v>
      </c>
      <c r="F3223" t="inlineStr">
        <is>
          <t>1934</t>
        </is>
      </c>
      <c r="G3223" t="inlineStr">
        <is>
          <t>UE</t>
        </is>
      </c>
      <c r="H3223" s="12" t="n">
        <v>-500</v>
      </c>
      <c r="I3223" s="17" t="n">
        <v>44533</v>
      </c>
      <c r="J3223" s="17" t="n">
        <v>44533</v>
      </c>
      <c r="K3223" t="inlineStr">
        <is>
          <t>13181398</t>
        </is>
      </c>
    </row>
    <row r="3224">
      <c r="A3224" t="inlineStr">
        <is>
          <t>101559</t>
        </is>
      </c>
      <c r="B3224" t="inlineStr">
        <is>
          <t>SIND DOS DESPACH ADUANEIROS DE SANT</t>
        </is>
      </c>
      <c r="C3224" t="n">
        <v>2111000000</v>
      </c>
      <c r="D3224" t="inlineStr">
        <is>
          <t>Customs Brokerage – Overall</t>
        </is>
      </c>
      <c r="E3224" t="n">
        <v>200009382</v>
      </c>
      <c r="F3224" t="inlineStr">
        <is>
          <t>1936</t>
        </is>
      </c>
      <c r="G3224" t="inlineStr">
        <is>
          <t>UE</t>
        </is>
      </c>
      <c r="H3224" s="12" t="n">
        <v>-500</v>
      </c>
      <c r="I3224" s="17" t="n">
        <v>44144</v>
      </c>
      <c r="J3224" s="17" t="n">
        <v>44144</v>
      </c>
      <c r="K3224" t="inlineStr">
        <is>
          <t>12773556</t>
        </is>
      </c>
    </row>
    <row r="3225">
      <c r="A3225" t="inlineStr">
        <is>
          <t>101559</t>
        </is>
      </c>
      <c r="B3225" t="inlineStr">
        <is>
          <t>SIND DOS DESPACH ADUANEIROS DE SANT</t>
        </is>
      </c>
      <c r="C3225" t="n">
        <v>2111000000</v>
      </c>
      <c r="D3225" t="inlineStr">
        <is>
          <t>Customs Brokerage – Overall</t>
        </is>
      </c>
      <c r="E3225" t="n">
        <v>200009383</v>
      </c>
      <c r="F3225" t="inlineStr">
        <is>
          <t>1937</t>
        </is>
      </c>
      <c r="G3225" t="inlineStr">
        <is>
          <t>UE</t>
        </is>
      </c>
      <c r="H3225" s="12" t="n">
        <v>-500</v>
      </c>
      <c r="I3225" s="17" t="n">
        <v>43878</v>
      </c>
      <c r="J3225" s="17" t="n">
        <v>43878</v>
      </c>
      <c r="K3225" t="inlineStr">
        <is>
          <t>12545028</t>
        </is>
      </c>
    </row>
    <row r="3226">
      <c r="A3226" t="inlineStr">
        <is>
          <t>101559</t>
        </is>
      </c>
      <c r="B3226" t="inlineStr">
        <is>
          <t>SIND DOS DESPACH ADUANEIROS DE SANT</t>
        </is>
      </c>
      <c r="C3226" t="n">
        <v>2111000000</v>
      </c>
      <c r="D3226" t="inlineStr">
        <is>
          <t>Customs Brokerage – Overall</t>
        </is>
      </c>
      <c r="E3226" t="n">
        <v>200009384</v>
      </c>
      <c r="F3226" t="inlineStr">
        <is>
          <t>1938</t>
        </is>
      </c>
      <c r="G3226" t="inlineStr">
        <is>
          <t>UE</t>
        </is>
      </c>
      <c r="H3226" s="12" t="n">
        <v>-500</v>
      </c>
      <c r="I3226" s="17" t="n">
        <v>44048</v>
      </c>
      <c r="J3226" s="17" t="n">
        <v>44048</v>
      </c>
      <c r="K3226" t="inlineStr">
        <is>
          <t>12688186</t>
        </is>
      </c>
    </row>
    <row r="3227">
      <c r="A3227" t="inlineStr">
        <is>
          <t>101559</t>
        </is>
      </c>
      <c r="B3227" t="inlineStr">
        <is>
          <t>SIND DOS DESPACH ADUANEIROS DE SANT</t>
        </is>
      </c>
      <c r="C3227" t="n">
        <v>2111000000</v>
      </c>
      <c r="D3227" t="inlineStr">
        <is>
          <t>Customs Brokerage – Overall</t>
        </is>
      </c>
      <c r="E3227" t="n">
        <v>200009385</v>
      </c>
      <c r="F3227" t="inlineStr">
        <is>
          <t>1939</t>
        </is>
      </c>
      <c r="G3227" t="inlineStr">
        <is>
          <t>UE</t>
        </is>
      </c>
      <c r="H3227" s="12" t="n">
        <v>-500</v>
      </c>
      <c r="I3227" s="17" t="n">
        <v>43389</v>
      </c>
      <c r="J3227" s="17" t="n">
        <v>43389</v>
      </c>
      <c r="K3227" t="inlineStr">
        <is>
          <t>12029828</t>
        </is>
      </c>
    </row>
    <row r="3228">
      <c r="A3228" t="inlineStr">
        <is>
          <t>101559</t>
        </is>
      </c>
      <c r="B3228" t="inlineStr">
        <is>
          <t>SIND DOS DESPACH ADUANEIROS DE SANT</t>
        </is>
      </c>
      <c r="C3228" t="n">
        <v>2111000000</v>
      </c>
      <c r="D3228" t="inlineStr">
        <is>
          <t>Customs Brokerage – Overall</t>
        </is>
      </c>
      <c r="E3228" t="n">
        <v>200009387</v>
      </c>
      <c r="F3228" t="inlineStr">
        <is>
          <t>1940</t>
        </is>
      </c>
      <c r="G3228" t="inlineStr">
        <is>
          <t>UE</t>
        </is>
      </c>
      <c r="H3228" s="12" t="n">
        <v>-1590</v>
      </c>
      <c r="I3228" s="17" t="n">
        <v>44571</v>
      </c>
      <c r="J3228" s="17" t="n">
        <v>44571</v>
      </c>
      <c r="K3228" t="inlineStr">
        <is>
          <t>6334189</t>
        </is>
      </c>
    </row>
    <row r="3229">
      <c r="A3229" t="inlineStr">
        <is>
          <t>101559</t>
        </is>
      </c>
      <c r="B3229" t="inlineStr">
        <is>
          <t>SIND DOS DESPACH ADUANEIROS DE SANT</t>
        </is>
      </c>
      <c r="C3229" t="n">
        <v>2111000000</v>
      </c>
      <c r="D3229" t="inlineStr">
        <is>
          <t>Customs Brokerage – Overall</t>
        </is>
      </c>
      <c r="E3229" t="n">
        <v>200009389</v>
      </c>
      <c r="F3229" t="inlineStr">
        <is>
          <t>1942</t>
        </is>
      </c>
      <c r="G3229" t="inlineStr">
        <is>
          <t>UE</t>
        </is>
      </c>
      <c r="H3229" s="12" t="n">
        <v>-500</v>
      </c>
      <c r="I3229" s="17" t="n">
        <v>44659</v>
      </c>
      <c r="J3229" s="17" t="n">
        <v>44659</v>
      </c>
      <c r="K3229" t="inlineStr">
        <is>
          <t>6404156</t>
        </is>
      </c>
    </row>
    <row r="3230">
      <c r="A3230" t="inlineStr">
        <is>
          <t>101559</t>
        </is>
      </c>
      <c r="B3230" t="inlineStr">
        <is>
          <t>SIND DOS DESPACH ADUANEIROS DE SANT</t>
        </is>
      </c>
      <c r="C3230" t="n">
        <v>2111000000</v>
      </c>
      <c r="D3230" t="inlineStr">
        <is>
          <t>Customs Brokerage – Overall</t>
        </is>
      </c>
      <c r="E3230" t="n">
        <v>200009390</v>
      </c>
      <c r="F3230" t="inlineStr">
        <is>
          <t>1943</t>
        </is>
      </c>
      <c r="G3230" t="inlineStr">
        <is>
          <t>UE</t>
        </is>
      </c>
      <c r="H3230" s="12" t="n">
        <v>-500</v>
      </c>
      <c r="I3230" s="17" t="n">
        <v>44699</v>
      </c>
      <c r="J3230" s="17" t="n">
        <v>44699</v>
      </c>
      <c r="K3230" t="inlineStr">
        <is>
          <t>6434705</t>
        </is>
      </c>
    </row>
    <row r="3231">
      <c r="A3231" t="inlineStr">
        <is>
          <t>101559</t>
        </is>
      </c>
      <c r="B3231" t="inlineStr">
        <is>
          <t>SIND DOS DESPACH ADUANEIROS DE SANT</t>
        </is>
      </c>
      <c r="C3231" t="n">
        <v>2111000000</v>
      </c>
      <c r="D3231" t="inlineStr">
        <is>
          <t>Customs Brokerage – Overall</t>
        </is>
      </c>
      <c r="E3231" t="n">
        <v>200009391</v>
      </c>
      <c r="F3231" t="inlineStr">
        <is>
          <t>1944</t>
        </is>
      </c>
      <c r="G3231" t="inlineStr">
        <is>
          <t>UE</t>
        </is>
      </c>
      <c r="H3231" s="12" t="n">
        <v>-500</v>
      </c>
      <c r="I3231" s="17" t="n">
        <v>44686</v>
      </c>
      <c r="J3231" s="17" t="n">
        <v>44686</v>
      </c>
      <c r="K3231" t="inlineStr">
        <is>
          <t>6424252</t>
        </is>
      </c>
    </row>
    <row r="3232">
      <c r="A3232" t="inlineStr">
        <is>
          <t>101559</t>
        </is>
      </c>
      <c r="B3232" t="inlineStr">
        <is>
          <t>SIND DOS DESPACH ADUANEIROS DE SANT</t>
        </is>
      </c>
      <c r="C3232" t="n">
        <v>2111000000</v>
      </c>
      <c r="D3232" t="inlineStr">
        <is>
          <t>Customs Brokerage – Overall</t>
        </is>
      </c>
      <c r="E3232" t="n">
        <v>200009393</v>
      </c>
      <c r="F3232" t="inlineStr">
        <is>
          <t>1946</t>
        </is>
      </c>
      <c r="G3232" t="inlineStr">
        <is>
          <t>UE</t>
        </is>
      </c>
      <c r="H3232" s="12" t="n">
        <v>-500</v>
      </c>
      <c r="I3232" s="17" t="n">
        <v>44810</v>
      </c>
      <c r="J3232" s="17" t="n">
        <v>44810</v>
      </c>
      <c r="K3232" t="inlineStr">
        <is>
          <t>13463694</t>
        </is>
      </c>
    </row>
    <row r="3233">
      <c r="A3233" t="inlineStr">
        <is>
          <t>101559</t>
        </is>
      </c>
      <c r="B3233" t="inlineStr">
        <is>
          <t>SIND DOS DESPACH ADUANEIROS DE SANT</t>
        </is>
      </c>
      <c r="C3233" t="n">
        <v>2111000000</v>
      </c>
      <c r="D3233" t="inlineStr">
        <is>
          <t>Customs Brokerage – Overall</t>
        </is>
      </c>
      <c r="E3233" t="n">
        <v>200009400</v>
      </c>
      <c r="F3233" t="inlineStr">
        <is>
          <t>1952</t>
        </is>
      </c>
      <c r="G3233" t="inlineStr">
        <is>
          <t>UE</t>
        </is>
      </c>
      <c r="H3233" s="12" t="n">
        <v>-500</v>
      </c>
      <c r="I3233" s="17" t="n">
        <v>44860</v>
      </c>
      <c r="J3233" s="17" t="n">
        <v>44860</v>
      </c>
      <c r="K3233" t="inlineStr">
        <is>
          <t>6563026</t>
        </is>
      </c>
    </row>
    <row r="3234">
      <c r="A3234" t="inlineStr">
        <is>
          <t>101560</t>
        </is>
      </c>
      <c r="B3234" t="inlineStr">
        <is>
          <t>SINDICATO DOS DESPACHANTES ADUANEIR DE SAO PAULO SINDASP</t>
        </is>
      </c>
      <c r="C3234" t="n">
        <v>2111000000</v>
      </c>
      <c r="D3234" t="inlineStr">
        <is>
          <t>Customs Brokerage – Overall</t>
        </is>
      </c>
      <c r="E3234" t="n">
        <v>200009418</v>
      </c>
      <c r="F3234" t="inlineStr">
        <is>
          <t>1969</t>
        </is>
      </c>
      <c r="G3234" t="inlineStr">
        <is>
          <t>UE</t>
        </is>
      </c>
      <c r="H3234" s="12" t="n">
        <v>-500</v>
      </c>
      <c r="I3234" s="17" t="n">
        <v>42962</v>
      </c>
      <c r="J3234" s="17" t="n">
        <v>42962</v>
      </c>
      <c r="K3234" t="inlineStr">
        <is>
          <t>4925716</t>
        </is>
      </c>
    </row>
    <row r="3235">
      <c r="A3235" t="inlineStr">
        <is>
          <t>101560</t>
        </is>
      </c>
      <c r="B3235" t="inlineStr">
        <is>
          <t>SINDICATO DOS DESPACHANTES ADUANEIR DE SAO PAULO SINDASP</t>
        </is>
      </c>
      <c r="C3235" t="n">
        <v>2111000000</v>
      </c>
      <c r="D3235" t="inlineStr">
        <is>
          <t>Customs Brokerage – Overall</t>
        </is>
      </c>
      <c r="E3235" t="n">
        <v>200009420</v>
      </c>
      <c r="F3235" t="inlineStr">
        <is>
          <t>1970</t>
        </is>
      </c>
      <c r="G3235" t="inlineStr">
        <is>
          <t>UE</t>
        </is>
      </c>
      <c r="H3235" s="12" t="n">
        <v>-500</v>
      </c>
      <c r="I3235" s="17" t="n">
        <v>43299</v>
      </c>
      <c r="J3235" s="17" t="n">
        <v>43299</v>
      </c>
      <c r="K3235" t="inlineStr">
        <is>
          <t>5266843</t>
        </is>
      </c>
    </row>
    <row r="3236">
      <c r="A3236" t="inlineStr">
        <is>
          <t>103687</t>
        </is>
      </c>
      <c r="B3236" t="inlineStr">
        <is>
          <t>MALAGRINO JOSE ANTONIO</t>
        </is>
      </c>
      <c r="C3236" t="n">
        <v>2111000000</v>
      </c>
      <c r="D3236" t="inlineStr">
        <is>
          <t>Other Suppliers</t>
        </is>
      </c>
      <c r="E3236" t="n">
        <v>200009424</v>
      </c>
      <c r="F3236" t="inlineStr">
        <is>
          <t>1974</t>
        </is>
      </c>
      <c r="G3236" t="inlineStr">
        <is>
          <t>UE</t>
        </is>
      </c>
      <c r="H3236" s="12" t="n">
        <v>-7.31</v>
      </c>
      <c r="I3236" s="17" t="n">
        <v>44820</v>
      </c>
      <c r="J3236" s="17" t="n">
        <v>44820</v>
      </c>
      <c r="K3236" t="inlineStr">
        <is>
          <t>CND FL 81 09/2022</t>
        </is>
      </c>
    </row>
    <row r="3237">
      <c r="A3237" t="inlineStr">
        <is>
          <t>101746</t>
        </is>
      </c>
      <c r="B3237" t="inlineStr">
        <is>
          <t>SECRETARIA DA FAZENDA DO ESTADO DO</t>
        </is>
      </c>
      <c r="C3237" t="n">
        <v>2111000000</v>
      </c>
      <c r="D3237" t="inlineStr">
        <is>
          <t>Customs Brokerage – Overall</t>
        </is>
      </c>
      <c r="E3237" t="n">
        <v>200009502</v>
      </c>
      <c r="F3237" t="inlineStr">
        <is>
          <t>2043</t>
        </is>
      </c>
      <c r="G3237" t="inlineStr">
        <is>
          <t>UE</t>
        </is>
      </c>
      <c r="H3237" s="12" t="n">
        <v>-171</v>
      </c>
      <c r="I3237" s="17" t="n">
        <v>43507</v>
      </c>
      <c r="J3237" s="17" t="n">
        <v>43507</v>
      </c>
      <c r="K3237" t="inlineStr">
        <is>
          <t>110219</t>
        </is>
      </c>
    </row>
    <row r="3238">
      <c r="A3238" t="inlineStr">
        <is>
          <t>101746</t>
        </is>
      </c>
      <c r="B3238" t="inlineStr">
        <is>
          <t>SECRETARIA DA FAZENDA DO ESTADO DO</t>
        </is>
      </c>
      <c r="C3238" t="n">
        <v>2111000000</v>
      </c>
      <c r="D3238" t="inlineStr">
        <is>
          <t>Customs Brokerage – Overall</t>
        </is>
      </c>
      <c r="E3238" t="n">
        <v>200009503</v>
      </c>
      <c r="F3238" t="inlineStr">
        <is>
          <t>2044</t>
        </is>
      </c>
      <c r="G3238" t="inlineStr">
        <is>
          <t>UE</t>
        </is>
      </c>
      <c r="H3238" s="12" t="n">
        <v>-171</v>
      </c>
      <c r="I3238" s="17" t="n">
        <v>43489</v>
      </c>
      <c r="J3238" s="17" t="n">
        <v>43489</v>
      </c>
      <c r="K3238" t="inlineStr">
        <is>
          <t>240119</t>
        </is>
      </c>
    </row>
    <row r="3239">
      <c r="A3239" t="inlineStr">
        <is>
          <t>101746</t>
        </is>
      </c>
      <c r="B3239" t="inlineStr">
        <is>
          <t>SECRETARIA DA FAZENDA DO ESTADO DO</t>
        </is>
      </c>
      <c r="C3239" t="n">
        <v>2111000000</v>
      </c>
      <c r="D3239" t="inlineStr">
        <is>
          <t>Customs Brokerage – Overall</t>
        </is>
      </c>
      <c r="E3239" t="n">
        <v>200009504</v>
      </c>
      <c r="F3239" t="inlineStr">
        <is>
          <t>2045</t>
        </is>
      </c>
      <c r="G3239" t="inlineStr">
        <is>
          <t>UE</t>
        </is>
      </c>
      <c r="H3239" s="12" t="n">
        <v>-176.5</v>
      </c>
      <c r="I3239" s="17" t="n">
        <v>44013</v>
      </c>
      <c r="J3239" s="17" t="n">
        <v>44013</v>
      </c>
      <c r="K3239" t="inlineStr">
        <is>
          <t>96002452</t>
        </is>
      </c>
    </row>
    <row r="3240">
      <c r="A3240" t="inlineStr">
        <is>
          <t>101763</t>
        </is>
      </c>
      <c r="B3240" t="inlineStr">
        <is>
          <t>MUNICIPIO DE LAGOA DO BARRO DO PIAU</t>
        </is>
      </c>
      <c r="C3240" t="n">
        <v>2111000000</v>
      </c>
      <c r="D3240" t="inlineStr">
        <is>
          <t>Taxes Payable</t>
        </is>
      </c>
      <c r="E3240" t="n">
        <v>200009507</v>
      </c>
      <c r="F3240" t="inlineStr">
        <is>
          <t>2048</t>
        </is>
      </c>
      <c r="G3240" t="inlineStr">
        <is>
          <t>UE</t>
        </is>
      </c>
      <c r="H3240" s="12" t="n">
        <v>-0.04</v>
      </c>
      <c r="I3240" s="17" t="n">
        <v>44835</v>
      </c>
      <c r="J3240" s="17" t="n">
        <v>44835</v>
      </c>
      <c r="K3240" t="inlineStr">
        <is>
          <t>2206700</t>
        </is>
      </c>
    </row>
    <row r="3241">
      <c r="A3241" t="inlineStr">
        <is>
          <t>101320</t>
        </is>
      </c>
      <c r="B3241" t="inlineStr">
        <is>
          <t>MUNICIPIO DE QUEIMADA NOVA</t>
        </is>
      </c>
      <c r="C3241" t="n">
        <v>2111000000</v>
      </c>
      <c r="D3241" t="inlineStr">
        <is>
          <t>Taxes Payable</t>
        </is>
      </c>
      <c r="E3241" t="n">
        <v>200009529</v>
      </c>
      <c r="F3241" t="inlineStr">
        <is>
          <t>2068</t>
        </is>
      </c>
      <c r="G3241" t="inlineStr">
        <is>
          <t>UE</t>
        </is>
      </c>
      <c r="H3241" s="12" t="n">
        <v>-5735.9</v>
      </c>
      <c r="I3241" s="17" t="n">
        <v>44649</v>
      </c>
      <c r="J3241" s="17" t="n">
        <v>44649</v>
      </c>
      <c r="K3241" t="inlineStr">
        <is>
          <t>18939</t>
        </is>
      </c>
    </row>
    <row r="3242">
      <c r="A3242" t="inlineStr">
        <is>
          <t>101358</t>
        </is>
      </c>
      <c r="B3242" t="inlineStr">
        <is>
          <t>MUNICIPIO DE LAJES</t>
        </is>
      </c>
      <c r="C3242" t="n">
        <v>2111000000</v>
      </c>
      <c r="D3242" t="inlineStr">
        <is>
          <t>Taxes Payable</t>
        </is>
      </c>
      <c r="E3242" t="n">
        <v>200009575</v>
      </c>
      <c r="F3242" t="inlineStr">
        <is>
          <t>2109</t>
        </is>
      </c>
      <c r="G3242" t="inlineStr">
        <is>
          <t>UE</t>
        </is>
      </c>
      <c r="H3242" s="12" t="n">
        <v>-7140.93</v>
      </c>
      <c r="I3242" s="17" t="n">
        <v>44957</v>
      </c>
      <c r="J3242" s="17" t="n">
        <v>44957</v>
      </c>
      <c r="K3242" t="inlineStr">
        <is>
          <t>1582007414.</t>
        </is>
      </c>
    </row>
    <row r="3243">
      <c r="A3243" t="inlineStr">
        <is>
          <t>101043</t>
        </is>
      </c>
      <c r="B3243" t="inlineStr">
        <is>
          <t>AEROPORTO BRASIL VIRACOPOS SA</t>
        </is>
      </c>
      <c r="C3243" t="n">
        <v>2111000000</v>
      </c>
      <c r="D3243" t="inlineStr">
        <is>
          <t>Customs Brokerage – Overall</t>
        </is>
      </c>
      <c r="E3243" t="n">
        <v>200009580</v>
      </c>
      <c r="F3243" t="inlineStr">
        <is>
          <t>2113</t>
        </is>
      </c>
      <c r="G3243" t="inlineStr">
        <is>
          <t>UE</t>
        </is>
      </c>
      <c r="H3243" s="12" t="n">
        <v>-2231.23</v>
      </c>
      <c r="I3243" s="17" t="n">
        <v>43661</v>
      </c>
      <c r="J3243" s="17" t="n">
        <v>43661</v>
      </c>
      <c r="K3243" t="inlineStr">
        <is>
          <t>207682401000</t>
        </is>
      </c>
    </row>
    <row r="3244">
      <c r="A3244" t="inlineStr">
        <is>
          <t>101215</t>
        </is>
      </c>
      <c r="B3244" t="inlineStr">
        <is>
          <t>ECOPORTO SANTOS SA</t>
        </is>
      </c>
      <c r="C3244" t="n">
        <v>2111000000</v>
      </c>
      <c r="D3244" t="inlineStr">
        <is>
          <t>Customs Brokerage – Overall</t>
        </is>
      </c>
      <c r="E3244" t="n">
        <v>200009608</v>
      </c>
      <c r="F3244" t="inlineStr">
        <is>
          <t>2139</t>
        </is>
      </c>
      <c r="G3244" t="inlineStr">
        <is>
          <t>UE</t>
        </is>
      </c>
      <c r="H3244" s="12" t="n">
        <v>-15094.2</v>
      </c>
      <c r="I3244" s="17" t="n">
        <v>44560</v>
      </c>
      <c r="J3244" s="17" t="n">
        <v>44560</v>
      </c>
      <c r="K3244" t="inlineStr">
        <is>
          <t>976720</t>
        </is>
      </c>
    </row>
    <row r="3245">
      <c r="A3245" t="inlineStr">
        <is>
          <t>100800</t>
        </is>
      </c>
      <c r="B3245" t="inlineStr">
        <is>
          <t>TOXICLIN SERVICOS MEDICOS EIRELI</t>
        </is>
      </c>
      <c r="C3245" t="n">
        <v>2111000000</v>
      </c>
      <c r="D3245" t="inlineStr">
        <is>
          <t>Other Suppliers</t>
        </is>
      </c>
      <c r="E3245" t="n">
        <v>200009610</v>
      </c>
      <c r="F3245" t="inlineStr">
        <is>
          <t>2140</t>
        </is>
      </c>
      <c r="G3245" t="inlineStr">
        <is>
          <t>UE</t>
        </is>
      </c>
      <c r="H3245" s="12" t="n">
        <v>-656.95</v>
      </c>
      <c r="I3245" s="17" t="n">
        <v>44544</v>
      </c>
      <c r="J3245" s="17" t="n">
        <v>44544</v>
      </c>
      <c r="K3245" t="inlineStr">
        <is>
          <t>7237</t>
        </is>
      </c>
    </row>
    <row r="3246">
      <c r="A3246" t="inlineStr">
        <is>
          <t>100877</t>
        </is>
      </c>
      <c r="B3246" t="inlineStr">
        <is>
          <t>TRANSPORTES AEREOS PORTUGUESES SA</t>
        </is>
      </c>
      <c r="C3246" t="n">
        <v>2111000000</v>
      </c>
      <c r="D3246" t="inlineStr">
        <is>
          <t>Customs Brokerage – Overall</t>
        </is>
      </c>
      <c r="E3246" t="n">
        <v>200009611</v>
      </c>
      <c r="F3246" t="inlineStr">
        <is>
          <t>2141</t>
        </is>
      </c>
      <c r="G3246" t="inlineStr">
        <is>
          <t>UE</t>
        </is>
      </c>
      <c r="H3246" s="12" t="n">
        <v>-150</v>
      </c>
      <c r="I3246" s="17" t="n">
        <v>44658</v>
      </c>
      <c r="J3246" s="17" t="n">
        <v>44658</v>
      </c>
      <c r="K3246" t="inlineStr">
        <is>
          <t>624/22</t>
        </is>
      </c>
    </row>
    <row r="3247">
      <c r="A3247" t="inlineStr">
        <is>
          <t>100014</t>
        </is>
      </c>
      <c r="B3247" t="inlineStr">
        <is>
          <t xml:space="preserve"> TRANSITEX DO BRASIL SERVIÇOS DE LO</t>
        </is>
      </c>
      <c r="C3247" t="n">
        <v>2111000000</v>
      </c>
      <c r="D3247" t="inlineStr">
        <is>
          <t>Other Suppliers</t>
        </is>
      </c>
      <c r="E3247" t="n">
        <v>200009618</v>
      </c>
      <c r="F3247" t="inlineStr">
        <is>
          <t>2148</t>
        </is>
      </c>
      <c r="G3247" t="inlineStr">
        <is>
          <t>UE</t>
        </is>
      </c>
      <c r="H3247" s="12" t="n">
        <v>-1967.5</v>
      </c>
      <c r="I3247" s="17" t="n">
        <v>44559</v>
      </c>
      <c r="J3247" s="17" t="n">
        <v>44559</v>
      </c>
      <c r="K3247" t="inlineStr">
        <is>
          <t>9100002515</t>
        </is>
      </c>
    </row>
    <row r="3248">
      <c r="A3248" t="inlineStr">
        <is>
          <t>101041</t>
        </is>
      </c>
      <c r="B3248" t="inlineStr">
        <is>
          <t>DSV UTI AIR &amp; SEA AGENCIAMENTO DE T</t>
        </is>
      </c>
      <c r="C3248" t="n">
        <v>2111000000</v>
      </c>
      <c r="D3248" t="inlineStr">
        <is>
          <t>Customs Brokerage – Overall</t>
        </is>
      </c>
      <c r="E3248" t="n">
        <v>200010008</v>
      </c>
      <c r="F3248" t="inlineStr">
        <is>
          <t>17292</t>
        </is>
      </c>
      <c r="G3248" t="inlineStr">
        <is>
          <t>UE</t>
        </is>
      </c>
      <c r="H3248" s="12" t="n">
        <v>-766.12</v>
      </c>
      <c r="I3248" s="17" t="n">
        <v>43782</v>
      </c>
      <c r="J3248" s="17" t="n">
        <v>43782</v>
      </c>
      <c r="K3248" t="inlineStr">
        <is>
          <t>965893</t>
        </is>
      </c>
    </row>
    <row r="3249">
      <c r="A3249" t="inlineStr">
        <is>
          <t>102297</t>
        </is>
      </c>
      <c r="B3249" t="inlineStr">
        <is>
          <t>ENEDINO DANIEL DA SILVA</t>
        </is>
      </c>
      <c r="C3249" t="n">
        <v>2111000000</v>
      </c>
      <c r="D3249" t="inlineStr">
        <is>
          <t>Other Suppliers</t>
        </is>
      </c>
      <c r="E3249" t="n">
        <v>200010026</v>
      </c>
      <c r="F3249" t="inlineStr">
        <is>
          <t>17308</t>
        </is>
      </c>
      <c r="G3249" t="inlineStr">
        <is>
          <t>UE</t>
        </is>
      </c>
      <c r="H3249" s="12" t="n">
        <v>-4000</v>
      </c>
      <c r="I3249" s="17" t="n">
        <v>45110</v>
      </c>
      <c r="J3249" s="17" t="n">
        <v>45110</v>
      </c>
      <c r="K3249" t="inlineStr">
        <is>
          <t>1180142</t>
        </is>
      </c>
    </row>
    <row r="3250">
      <c r="A3250" t="inlineStr">
        <is>
          <t>102008</t>
        </is>
      </c>
      <c r="B3250" t="inlineStr">
        <is>
          <t>MUNICIPIO DE ITAREMA</t>
        </is>
      </c>
      <c r="C3250" t="n">
        <v>2111000000</v>
      </c>
      <c r="D3250" t="inlineStr">
        <is>
          <t>Taxes Payable</t>
        </is>
      </c>
      <c r="E3250" t="n">
        <v>200010044</v>
      </c>
      <c r="F3250" t="inlineStr">
        <is>
          <t>17324</t>
        </is>
      </c>
      <c r="G3250" t="inlineStr">
        <is>
          <t>UE</t>
        </is>
      </c>
      <c r="H3250" s="12" t="n">
        <v>-620</v>
      </c>
      <c r="I3250" s="17" t="n">
        <v>44971</v>
      </c>
      <c r="J3250" s="17" t="n">
        <v>44971</v>
      </c>
      <c r="K3250" t="inlineStr">
        <is>
          <t>1157415</t>
        </is>
      </c>
    </row>
    <row r="3251">
      <c r="A3251" t="inlineStr">
        <is>
          <t>102008</t>
        </is>
      </c>
      <c r="B3251" t="inlineStr">
        <is>
          <t>MUNICIPIO DE ITAREMA</t>
        </is>
      </c>
      <c r="C3251" t="n">
        <v>2111000000</v>
      </c>
      <c r="D3251" t="inlineStr">
        <is>
          <t>Taxes Payable</t>
        </is>
      </c>
      <c r="E3251" t="n">
        <v>200010045</v>
      </c>
      <c r="F3251" t="inlineStr">
        <is>
          <t>17325</t>
        </is>
      </c>
      <c r="G3251" t="inlineStr">
        <is>
          <t>UE</t>
        </is>
      </c>
      <c r="H3251" s="12" t="n">
        <v>-620</v>
      </c>
      <c r="I3251" s="17" t="n">
        <v>45030</v>
      </c>
      <c r="J3251" s="17" t="n">
        <v>45030</v>
      </c>
      <c r="K3251" t="inlineStr">
        <is>
          <t>1167466</t>
        </is>
      </c>
    </row>
    <row r="3252">
      <c r="A3252" t="inlineStr">
        <is>
          <t>101358</t>
        </is>
      </c>
      <c r="B3252" t="inlineStr">
        <is>
          <t>MUNICIPIO DE LAJES</t>
        </is>
      </c>
      <c r="C3252" t="n">
        <v>2111000000</v>
      </c>
      <c r="D3252" t="inlineStr">
        <is>
          <t>Taxes Payable</t>
        </is>
      </c>
      <c r="E3252" t="n">
        <v>200010064</v>
      </c>
      <c r="F3252" t="inlineStr">
        <is>
          <t>17342</t>
        </is>
      </c>
      <c r="G3252" t="inlineStr">
        <is>
          <t>UE</t>
        </is>
      </c>
      <c r="H3252" s="12" t="n">
        <v>-69546.09</v>
      </c>
      <c r="I3252" s="17" t="n">
        <v>44895</v>
      </c>
      <c r="J3252" s="17" t="n">
        <v>44895</v>
      </c>
      <c r="K3252" t="inlineStr">
        <is>
          <t>1138349</t>
        </is>
      </c>
    </row>
    <row r="3253">
      <c r="A3253" t="inlineStr">
        <is>
          <t>101358</t>
        </is>
      </c>
      <c r="B3253" t="inlineStr">
        <is>
          <t>MUNICIPIO DE LAJES</t>
        </is>
      </c>
      <c r="C3253" t="n">
        <v>2111000000</v>
      </c>
      <c r="D3253" t="inlineStr">
        <is>
          <t>Taxes Payable</t>
        </is>
      </c>
      <c r="E3253" t="n">
        <v>200010068</v>
      </c>
      <c r="F3253" t="inlineStr">
        <is>
          <t>17346</t>
        </is>
      </c>
      <c r="G3253" t="inlineStr">
        <is>
          <t>UE</t>
        </is>
      </c>
      <c r="H3253" s="12" t="n">
        <v>-101000.4</v>
      </c>
      <c r="I3253" s="17" t="n">
        <v>44943</v>
      </c>
      <c r="J3253" s="17" t="n">
        <v>44943</v>
      </c>
      <c r="K3253" t="inlineStr">
        <is>
          <t>1149955</t>
        </is>
      </c>
    </row>
    <row r="3254">
      <c r="A3254" t="inlineStr">
        <is>
          <t>101358</t>
        </is>
      </c>
      <c r="B3254" t="inlineStr">
        <is>
          <t>MUNICIPIO DE LAJES</t>
        </is>
      </c>
      <c r="C3254" t="n">
        <v>2111000000</v>
      </c>
      <c r="D3254" t="inlineStr">
        <is>
          <t>Taxes Payable</t>
        </is>
      </c>
      <c r="E3254" t="n">
        <v>200010097</v>
      </c>
      <c r="F3254" t="inlineStr">
        <is>
          <t>17372</t>
        </is>
      </c>
      <c r="G3254" t="inlineStr">
        <is>
          <t>UE</t>
        </is>
      </c>
      <c r="H3254" s="12" t="n">
        <v>-4877.95</v>
      </c>
      <c r="I3254" s="17" t="n">
        <v>44915</v>
      </c>
      <c r="J3254" s="17" t="n">
        <v>44915</v>
      </c>
      <c r="K3254" t="inlineStr">
        <is>
          <t>1148399</t>
        </is>
      </c>
    </row>
    <row r="3255">
      <c r="A3255" t="inlineStr">
        <is>
          <t>101358</t>
        </is>
      </c>
      <c r="B3255" t="inlineStr">
        <is>
          <t>MUNICIPIO DE LAJES</t>
        </is>
      </c>
      <c r="C3255" t="n">
        <v>2111000000</v>
      </c>
      <c r="D3255" t="inlineStr">
        <is>
          <t>Taxes Payable</t>
        </is>
      </c>
      <c r="E3255" t="n">
        <v>200010099</v>
      </c>
      <c r="F3255" t="inlineStr">
        <is>
          <t>17374</t>
        </is>
      </c>
      <c r="G3255" t="inlineStr">
        <is>
          <t>UE</t>
        </is>
      </c>
      <c r="H3255" s="12" t="n">
        <v>-33.28</v>
      </c>
      <c r="I3255" s="17" t="n">
        <v>44929</v>
      </c>
      <c r="J3255" s="17" t="n">
        <v>44929</v>
      </c>
      <c r="K3255" t="inlineStr">
        <is>
          <t>1149533</t>
        </is>
      </c>
    </row>
    <row r="3256">
      <c r="A3256" t="inlineStr">
        <is>
          <t>100759</t>
        </is>
      </c>
      <c r="B3256" t="inlineStr">
        <is>
          <t>MUNICIPIO DE UIBAI</t>
        </is>
      </c>
      <c r="C3256" t="n">
        <v>2111000000</v>
      </c>
      <c r="D3256" t="inlineStr">
        <is>
          <t>Taxes Payable</t>
        </is>
      </c>
      <c r="E3256" t="n">
        <v>200010100</v>
      </c>
      <c r="F3256" t="inlineStr">
        <is>
          <t>17375</t>
        </is>
      </c>
      <c r="G3256" t="inlineStr">
        <is>
          <t>UE</t>
        </is>
      </c>
      <c r="H3256" s="12" t="n">
        <v>-289.5</v>
      </c>
      <c r="I3256" s="17" t="n">
        <v>44904</v>
      </c>
      <c r="J3256" s="17" t="n">
        <v>44904</v>
      </c>
      <c r="K3256" t="inlineStr">
        <is>
          <t>1151789</t>
        </is>
      </c>
    </row>
    <row r="3257">
      <c r="A3257" t="inlineStr">
        <is>
          <t>101358</t>
        </is>
      </c>
      <c r="B3257" t="inlineStr">
        <is>
          <t>MUNICIPIO DE LAJES</t>
        </is>
      </c>
      <c r="C3257" t="n">
        <v>2111000000</v>
      </c>
      <c r="D3257" t="inlineStr">
        <is>
          <t>Taxes Payable</t>
        </is>
      </c>
      <c r="E3257" t="n">
        <v>200010102</v>
      </c>
      <c r="F3257" t="inlineStr">
        <is>
          <t>17377</t>
        </is>
      </c>
      <c r="G3257" t="inlineStr">
        <is>
          <t>UE</t>
        </is>
      </c>
      <c r="H3257" s="12" t="n">
        <v>-6168.04</v>
      </c>
      <c r="I3257" s="17" t="n">
        <v>44963</v>
      </c>
      <c r="J3257" s="17" t="n">
        <v>44963</v>
      </c>
      <c r="K3257" t="inlineStr">
        <is>
          <t>1155352</t>
        </is>
      </c>
    </row>
    <row r="3258">
      <c r="A3258" t="inlineStr">
        <is>
          <t>101358</t>
        </is>
      </c>
      <c r="B3258" t="inlineStr">
        <is>
          <t>MUNICIPIO DE LAJES</t>
        </is>
      </c>
      <c r="C3258" t="n">
        <v>2111000000</v>
      </c>
      <c r="D3258" t="inlineStr">
        <is>
          <t>Taxes Payable</t>
        </is>
      </c>
      <c r="E3258" t="n">
        <v>200010103</v>
      </c>
      <c r="F3258" t="inlineStr">
        <is>
          <t>17378</t>
        </is>
      </c>
      <c r="G3258" t="inlineStr">
        <is>
          <t>UE</t>
        </is>
      </c>
      <c r="H3258" s="12" t="n">
        <v>-6168.04</v>
      </c>
      <c r="I3258" s="17" t="n">
        <v>44986</v>
      </c>
      <c r="J3258" s="17" t="n">
        <v>44986</v>
      </c>
      <c r="K3258" t="inlineStr">
        <is>
          <t>1163469</t>
        </is>
      </c>
    </row>
    <row r="3259">
      <c r="A3259" t="inlineStr">
        <is>
          <t>100759</t>
        </is>
      </c>
      <c r="B3259" t="inlineStr">
        <is>
          <t>MUNICIPIO DE UIBAI</t>
        </is>
      </c>
      <c r="C3259" t="n">
        <v>2111000000</v>
      </c>
      <c r="D3259" t="inlineStr">
        <is>
          <t>Taxes Payable</t>
        </is>
      </c>
      <c r="E3259" t="n">
        <v>200010106</v>
      </c>
      <c r="F3259" t="inlineStr">
        <is>
          <t>17380</t>
        </is>
      </c>
      <c r="G3259" t="inlineStr">
        <is>
          <t>UE</t>
        </is>
      </c>
      <c r="H3259" s="12" t="n">
        <v>-1722.66</v>
      </c>
      <c r="I3259" s="17" t="n">
        <v>45051</v>
      </c>
      <c r="J3259" s="17" t="n">
        <v>45051</v>
      </c>
      <c r="K3259" t="inlineStr">
        <is>
          <t>1170828</t>
        </is>
      </c>
    </row>
    <row r="3260">
      <c r="A3260" t="inlineStr">
        <is>
          <t>100759</t>
        </is>
      </c>
      <c r="B3260" t="inlineStr">
        <is>
          <t>MUNICIPIO DE UIBAI</t>
        </is>
      </c>
      <c r="C3260" t="n">
        <v>2111000000</v>
      </c>
      <c r="D3260" t="inlineStr">
        <is>
          <t>Taxes Payable</t>
        </is>
      </c>
      <c r="E3260" t="n">
        <v>200010107</v>
      </c>
      <c r="F3260" t="inlineStr">
        <is>
          <t>17381</t>
        </is>
      </c>
      <c r="G3260" t="inlineStr">
        <is>
          <t>UE</t>
        </is>
      </c>
      <c r="H3260" s="12" t="n">
        <v>-962.85</v>
      </c>
      <c r="I3260" s="17" t="n">
        <v>45051</v>
      </c>
      <c r="J3260" s="17" t="n">
        <v>45051</v>
      </c>
      <c r="K3260" t="inlineStr">
        <is>
          <t>1170830</t>
        </is>
      </c>
    </row>
    <row r="3261">
      <c r="A3261" t="inlineStr">
        <is>
          <t>100759</t>
        </is>
      </c>
      <c r="B3261" t="inlineStr">
        <is>
          <t>MUNICIPIO DE UIBAI</t>
        </is>
      </c>
      <c r="C3261" t="n">
        <v>2111000000</v>
      </c>
      <c r="D3261" t="inlineStr">
        <is>
          <t>Taxes Payable</t>
        </is>
      </c>
      <c r="E3261" t="n">
        <v>200010108</v>
      </c>
      <c r="F3261" t="inlineStr">
        <is>
          <t>17382</t>
        </is>
      </c>
      <c r="G3261" t="inlineStr">
        <is>
          <t>UE</t>
        </is>
      </c>
      <c r="H3261" s="12" t="n">
        <v>-289.5</v>
      </c>
      <c r="I3261" s="17" t="n">
        <v>45051</v>
      </c>
      <c r="J3261" s="17" t="n">
        <v>45051</v>
      </c>
      <c r="K3261" t="inlineStr">
        <is>
          <t>1170835</t>
        </is>
      </c>
    </row>
    <row r="3262">
      <c r="A3262" t="inlineStr">
        <is>
          <t>100759</t>
        </is>
      </c>
      <c r="B3262" t="inlineStr">
        <is>
          <t>MUNICIPIO DE UIBAI</t>
        </is>
      </c>
      <c r="C3262" t="n">
        <v>2111000000</v>
      </c>
      <c r="D3262" t="inlineStr">
        <is>
          <t>Taxes Payable</t>
        </is>
      </c>
      <c r="E3262" t="n">
        <v>200010109</v>
      </c>
      <c r="F3262" t="inlineStr">
        <is>
          <t>17383</t>
        </is>
      </c>
      <c r="G3262" t="inlineStr">
        <is>
          <t>UE</t>
        </is>
      </c>
      <c r="H3262" s="12" t="n">
        <v>-613.61</v>
      </c>
      <c r="I3262" s="17" t="n">
        <v>45055</v>
      </c>
      <c r="J3262" s="17" t="n">
        <v>45055</v>
      </c>
      <c r="K3262" t="inlineStr">
        <is>
          <t>1171430</t>
        </is>
      </c>
    </row>
    <row r="3263">
      <c r="A3263" t="inlineStr">
        <is>
          <t>100759</t>
        </is>
      </c>
      <c r="B3263" t="inlineStr">
        <is>
          <t>MUNICIPIO DE UIBAI</t>
        </is>
      </c>
      <c r="C3263" t="n">
        <v>2111000000</v>
      </c>
      <c r="D3263" t="inlineStr">
        <is>
          <t>Taxes Payable</t>
        </is>
      </c>
      <c r="E3263" t="n">
        <v>200010122</v>
      </c>
      <c r="F3263" t="inlineStr">
        <is>
          <t>17395</t>
        </is>
      </c>
      <c r="G3263" t="inlineStr">
        <is>
          <t>UE</t>
        </is>
      </c>
      <c r="H3263" s="12" t="n">
        <v>-401.85</v>
      </c>
      <c r="I3263" s="17" t="n">
        <v>45083</v>
      </c>
      <c r="J3263" s="17" t="n">
        <v>45083</v>
      </c>
      <c r="K3263" t="inlineStr">
        <is>
          <t>1181654</t>
        </is>
      </c>
    </row>
    <row r="3264">
      <c r="A3264" t="inlineStr">
        <is>
          <t>100759</t>
        </is>
      </c>
      <c r="B3264" t="inlineStr">
        <is>
          <t>MUNICIPIO DE UIBAI</t>
        </is>
      </c>
      <c r="C3264" t="n">
        <v>2111000000</v>
      </c>
      <c r="D3264" t="inlineStr">
        <is>
          <t>Taxes Payable</t>
        </is>
      </c>
      <c r="E3264" t="n">
        <v>200010166</v>
      </c>
      <c r="F3264" t="inlineStr">
        <is>
          <t>17434</t>
        </is>
      </c>
      <c r="G3264" t="inlineStr">
        <is>
          <t>UE</t>
        </is>
      </c>
      <c r="H3264" s="12" t="n">
        <v>-3563.23</v>
      </c>
      <c r="I3264" s="17" t="n">
        <v>45065</v>
      </c>
      <c r="J3264" s="17" t="n">
        <v>45065</v>
      </c>
      <c r="K3264" t="inlineStr">
        <is>
          <t>1171683</t>
        </is>
      </c>
    </row>
    <row r="3265">
      <c r="A3265" t="inlineStr">
        <is>
          <t>100759</t>
        </is>
      </c>
      <c r="B3265" t="inlineStr">
        <is>
          <t>MUNICIPIO DE UIBAI</t>
        </is>
      </c>
      <c r="C3265" t="n">
        <v>2111000000</v>
      </c>
      <c r="D3265" t="inlineStr">
        <is>
          <t>Taxes Payable</t>
        </is>
      </c>
      <c r="E3265" t="n">
        <v>200010167</v>
      </c>
      <c r="F3265" t="inlineStr">
        <is>
          <t>17435</t>
        </is>
      </c>
      <c r="G3265" t="inlineStr">
        <is>
          <t>UE</t>
        </is>
      </c>
      <c r="H3265" s="12" t="n">
        <v>-4596.37</v>
      </c>
      <c r="I3265" s="17" t="n">
        <v>45065</v>
      </c>
      <c r="J3265" s="17" t="n">
        <v>45065</v>
      </c>
      <c r="K3265" t="inlineStr">
        <is>
          <t>1171684</t>
        </is>
      </c>
    </row>
    <row r="3266">
      <c r="A3266" t="inlineStr">
        <is>
          <t>100759</t>
        </is>
      </c>
      <c r="B3266" t="inlineStr">
        <is>
          <t>MUNICIPIO DE UIBAI</t>
        </is>
      </c>
      <c r="C3266" t="n">
        <v>2111000000</v>
      </c>
      <c r="D3266" t="inlineStr">
        <is>
          <t>Taxes Payable</t>
        </is>
      </c>
      <c r="E3266" t="n">
        <v>200010168</v>
      </c>
      <c r="F3266" t="inlineStr">
        <is>
          <t>17436</t>
        </is>
      </c>
      <c r="G3266" t="inlineStr">
        <is>
          <t>UE</t>
        </is>
      </c>
      <c r="H3266" s="12" t="n">
        <v>-5432.19</v>
      </c>
      <c r="I3266" s="17" t="n">
        <v>45065</v>
      </c>
      <c r="J3266" s="17" t="n">
        <v>45065</v>
      </c>
      <c r="K3266" t="inlineStr">
        <is>
          <t>1171687</t>
        </is>
      </c>
    </row>
    <row r="3267">
      <c r="A3267" t="inlineStr">
        <is>
          <t>101358</t>
        </is>
      </c>
      <c r="B3267" t="inlineStr">
        <is>
          <t>MUNICIPIO DE LAJES</t>
        </is>
      </c>
      <c r="C3267" t="n">
        <v>2111000000</v>
      </c>
      <c r="D3267" t="inlineStr">
        <is>
          <t>Taxes Payable</t>
        </is>
      </c>
      <c r="E3267" t="n">
        <v>200010186</v>
      </c>
      <c r="F3267" t="inlineStr">
        <is>
          <t>17452</t>
        </is>
      </c>
      <c r="G3267" t="inlineStr">
        <is>
          <t>UE</t>
        </is>
      </c>
      <c r="H3267" s="12" t="n">
        <v>-283.75</v>
      </c>
      <c r="I3267" s="17" t="n">
        <v>44909</v>
      </c>
      <c r="J3267" s="17" t="n">
        <v>44909</v>
      </c>
      <c r="K3267" t="inlineStr">
        <is>
          <t>1143742</t>
        </is>
      </c>
    </row>
    <row r="3268">
      <c r="A3268" t="inlineStr">
        <is>
          <t>101358</t>
        </is>
      </c>
      <c r="B3268" t="inlineStr">
        <is>
          <t>MUNICIPIO DE LAJES</t>
        </is>
      </c>
      <c r="C3268" t="n">
        <v>2111000000</v>
      </c>
      <c r="D3268" t="inlineStr">
        <is>
          <t>Taxes Payable</t>
        </is>
      </c>
      <c r="E3268" t="n">
        <v>200010187</v>
      </c>
      <c r="F3268" t="inlineStr">
        <is>
          <t>17453</t>
        </is>
      </c>
      <c r="G3268" t="inlineStr">
        <is>
          <t>UE</t>
        </is>
      </c>
      <c r="H3268" s="12" t="n">
        <v>-1108.65</v>
      </c>
      <c r="I3268" s="17" t="n">
        <v>44903</v>
      </c>
      <c r="J3268" s="17" t="n">
        <v>44903</v>
      </c>
      <c r="K3268" t="inlineStr">
        <is>
          <t>1143841</t>
        </is>
      </c>
    </row>
    <row r="3269">
      <c r="A3269" t="inlineStr">
        <is>
          <t>101358</t>
        </is>
      </c>
      <c r="B3269" t="inlineStr">
        <is>
          <t>MUNICIPIO DE LAJES</t>
        </is>
      </c>
      <c r="C3269" t="n">
        <v>2111000000</v>
      </c>
      <c r="D3269" t="inlineStr">
        <is>
          <t>Taxes Payable</t>
        </is>
      </c>
      <c r="E3269" t="n">
        <v>200010188</v>
      </c>
      <c r="F3269" t="inlineStr">
        <is>
          <t>17454</t>
        </is>
      </c>
      <c r="G3269" t="inlineStr">
        <is>
          <t>UE</t>
        </is>
      </c>
      <c r="H3269" s="12" t="n">
        <v>-974.03</v>
      </c>
      <c r="I3269" s="17" t="n">
        <v>44914</v>
      </c>
      <c r="J3269" s="17" t="n">
        <v>44914</v>
      </c>
      <c r="K3269" t="inlineStr">
        <is>
          <t>1147687</t>
        </is>
      </c>
    </row>
    <row r="3270">
      <c r="A3270" t="inlineStr">
        <is>
          <t>101358</t>
        </is>
      </c>
      <c r="B3270" t="inlineStr">
        <is>
          <t>MUNICIPIO DE LAJES</t>
        </is>
      </c>
      <c r="C3270" t="n">
        <v>2111000000</v>
      </c>
      <c r="D3270" t="inlineStr">
        <is>
          <t>Taxes Payable</t>
        </is>
      </c>
      <c r="E3270" t="n">
        <v>200010190</v>
      </c>
      <c r="F3270" t="inlineStr">
        <is>
          <t>17456</t>
        </is>
      </c>
      <c r="G3270" t="inlineStr">
        <is>
          <t>UE</t>
        </is>
      </c>
      <c r="H3270" s="12" t="n">
        <v>-1049.11</v>
      </c>
      <c r="I3270" s="17" t="n">
        <v>44987</v>
      </c>
      <c r="J3270" s="17" t="n">
        <v>44987</v>
      </c>
      <c r="K3270" t="inlineStr">
        <is>
          <t>1161474</t>
        </is>
      </c>
    </row>
    <row r="3271">
      <c r="A3271" t="inlineStr">
        <is>
          <t>101358</t>
        </is>
      </c>
      <c r="B3271" t="inlineStr">
        <is>
          <t>MUNICIPIO DE LAJES</t>
        </is>
      </c>
      <c r="C3271" t="n">
        <v>2111000000</v>
      </c>
      <c r="D3271" t="inlineStr">
        <is>
          <t>Taxes Payable</t>
        </is>
      </c>
      <c r="E3271" t="n">
        <v>200010191</v>
      </c>
      <c r="F3271" t="inlineStr">
        <is>
          <t>17457</t>
        </is>
      </c>
      <c r="G3271" t="inlineStr">
        <is>
          <t>UE</t>
        </is>
      </c>
      <c r="H3271" s="12" t="n">
        <v>-1091.07</v>
      </c>
      <c r="I3271" s="17" t="n">
        <v>44987</v>
      </c>
      <c r="J3271" s="17" t="n">
        <v>44987</v>
      </c>
      <c r="K3271" t="inlineStr">
        <is>
          <t>1162689</t>
        </is>
      </c>
    </row>
    <row r="3272">
      <c r="A3272" t="inlineStr">
        <is>
          <t>101358</t>
        </is>
      </c>
      <c r="B3272" t="inlineStr">
        <is>
          <t>MUNICIPIO DE LAJES</t>
        </is>
      </c>
      <c r="C3272" t="n">
        <v>2111000000</v>
      </c>
      <c r="D3272" t="inlineStr">
        <is>
          <t>Taxes Payable</t>
        </is>
      </c>
      <c r="E3272" t="n">
        <v>200010193</v>
      </c>
      <c r="F3272" t="inlineStr">
        <is>
          <t>17459</t>
        </is>
      </c>
      <c r="G3272" t="inlineStr">
        <is>
          <t>UE</t>
        </is>
      </c>
      <c r="H3272" s="12" t="n">
        <v>-974.03</v>
      </c>
      <c r="I3272" s="17" t="n">
        <v>44987</v>
      </c>
      <c r="J3272" s="17" t="n">
        <v>44987</v>
      </c>
      <c r="K3272" t="inlineStr">
        <is>
          <t>1162725</t>
        </is>
      </c>
    </row>
    <row r="3273">
      <c r="A3273" t="inlineStr">
        <is>
          <t>101358</t>
        </is>
      </c>
      <c r="B3273" t="inlineStr">
        <is>
          <t>MUNICIPIO DE LAJES</t>
        </is>
      </c>
      <c r="C3273" t="n">
        <v>2111000000</v>
      </c>
      <c r="D3273" t="inlineStr">
        <is>
          <t>Taxes Payable</t>
        </is>
      </c>
      <c r="E3273" t="n">
        <v>200010196</v>
      </c>
      <c r="F3273" t="inlineStr">
        <is>
          <t>17461</t>
        </is>
      </c>
      <c r="G3273" t="inlineStr">
        <is>
          <t>UE</t>
        </is>
      </c>
      <c r="H3273" s="12" t="n">
        <v>-1187.84</v>
      </c>
      <c r="I3273" s="17" t="n">
        <v>44987</v>
      </c>
      <c r="J3273" s="17" t="n">
        <v>44987</v>
      </c>
      <c r="K3273" t="inlineStr">
        <is>
          <t>1162740</t>
        </is>
      </c>
    </row>
    <row r="3274">
      <c r="A3274" t="inlineStr">
        <is>
          <t>101763</t>
        </is>
      </c>
      <c r="B3274" t="inlineStr">
        <is>
          <t>MUNICIPIO DE LAGOA DO BARRO DO PIAU</t>
        </is>
      </c>
      <c r="C3274" t="n">
        <v>2111000000</v>
      </c>
      <c r="D3274" t="inlineStr">
        <is>
          <t>Taxes Payable</t>
        </is>
      </c>
      <c r="E3274" t="n">
        <v>200010198</v>
      </c>
      <c r="F3274" t="inlineStr">
        <is>
          <t>17463</t>
        </is>
      </c>
      <c r="G3274" t="inlineStr">
        <is>
          <t>UE</t>
        </is>
      </c>
      <c r="H3274" s="12" t="n">
        <v>-1237.42</v>
      </c>
      <c r="I3274" s="17" t="n">
        <v>45050</v>
      </c>
      <c r="J3274" s="17" t="n">
        <v>45050</v>
      </c>
      <c r="K3274" t="inlineStr">
        <is>
          <t>1174837</t>
        </is>
      </c>
    </row>
    <row r="3275">
      <c r="A3275" t="inlineStr">
        <is>
          <t>101763</t>
        </is>
      </c>
      <c r="B3275" t="inlineStr">
        <is>
          <t>MUNICIPIO DE LAGOA DO BARRO DO PIAU</t>
        </is>
      </c>
      <c r="C3275" t="n">
        <v>2111000000</v>
      </c>
      <c r="D3275" t="inlineStr">
        <is>
          <t>Taxes Payable</t>
        </is>
      </c>
      <c r="E3275" t="n">
        <v>200010200</v>
      </c>
      <c r="F3275" t="inlineStr">
        <is>
          <t>17465</t>
        </is>
      </c>
      <c r="G3275" t="inlineStr">
        <is>
          <t>UE</t>
        </is>
      </c>
      <c r="H3275" s="12" t="n">
        <v>-1237.42</v>
      </c>
      <c r="I3275" s="17" t="n">
        <v>45050</v>
      </c>
      <c r="J3275" s="17" t="n">
        <v>45050</v>
      </c>
      <c r="K3275" t="inlineStr">
        <is>
          <t>1174838</t>
        </is>
      </c>
    </row>
    <row r="3276">
      <c r="A3276" t="inlineStr">
        <is>
          <t>101358</t>
        </is>
      </c>
      <c r="B3276" t="inlineStr">
        <is>
          <t>MUNICIPIO DE LAJES</t>
        </is>
      </c>
      <c r="C3276" t="n">
        <v>2111000000</v>
      </c>
      <c r="D3276" t="inlineStr">
        <is>
          <t>Taxes Payable</t>
        </is>
      </c>
      <c r="E3276" t="n">
        <v>200010207</v>
      </c>
      <c r="F3276" t="inlineStr">
        <is>
          <t>17471</t>
        </is>
      </c>
      <c r="G3276" t="inlineStr">
        <is>
          <t>UE</t>
        </is>
      </c>
      <c r="H3276" s="12" t="n">
        <v>-160.62</v>
      </c>
      <c r="I3276" s="17" t="n">
        <v>45090</v>
      </c>
      <c r="J3276" s="17" t="n">
        <v>45090</v>
      </c>
      <c r="K3276" t="inlineStr">
        <is>
          <t>1178216</t>
        </is>
      </c>
    </row>
    <row r="3277">
      <c r="A3277" t="inlineStr">
        <is>
          <t>101358</t>
        </is>
      </c>
      <c r="B3277" t="inlineStr">
        <is>
          <t>MUNICIPIO DE LAJES</t>
        </is>
      </c>
      <c r="C3277" t="n">
        <v>2111000000</v>
      </c>
      <c r="D3277" t="inlineStr">
        <is>
          <t>Taxes Payable</t>
        </is>
      </c>
      <c r="E3277" t="n">
        <v>200010210</v>
      </c>
      <c r="F3277" t="inlineStr">
        <is>
          <t>17474</t>
        </is>
      </c>
      <c r="G3277" t="inlineStr">
        <is>
          <t>UE</t>
        </is>
      </c>
      <c r="H3277" s="12" t="n">
        <v>-10.99</v>
      </c>
      <c r="I3277" s="17" t="n">
        <v>45090</v>
      </c>
      <c r="J3277" s="17" t="n">
        <v>45090</v>
      </c>
      <c r="K3277" t="inlineStr">
        <is>
          <t>1178226</t>
        </is>
      </c>
    </row>
    <row r="3278">
      <c r="A3278" t="inlineStr">
        <is>
          <t>101763</t>
        </is>
      </c>
      <c r="B3278" t="inlineStr">
        <is>
          <t>MUNICIPIO DE LAGOA DO BARRO DO PIAU</t>
        </is>
      </c>
      <c r="C3278" t="n">
        <v>2111000000</v>
      </c>
      <c r="D3278" t="inlineStr">
        <is>
          <t>Taxes Payable</t>
        </is>
      </c>
      <c r="E3278" t="n">
        <v>200010241</v>
      </c>
      <c r="F3278" t="inlineStr">
        <is>
          <t>17501</t>
        </is>
      </c>
      <c r="G3278" t="inlineStr">
        <is>
          <t>UE</t>
        </is>
      </c>
      <c r="H3278" s="12" t="n">
        <v>-243.67</v>
      </c>
      <c r="I3278" s="17" t="n">
        <v>45090</v>
      </c>
      <c r="J3278" s="17" t="n">
        <v>45090</v>
      </c>
      <c r="K3278" t="inlineStr">
        <is>
          <t>1181569</t>
        </is>
      </c>
    </row>
    <row r="3279">
      <c r="A3279" t="inlineStr">
        <is>
          <t>102452</t>
        </is>
      </c>
      <c r="B3279" t="inlineStr">
        <is>
          <t>ANTONIO FERNANDES VIEIRA</t>
        </is>
      </c>
      <c r="C3279" t="n">
        <v>2111000000</v>
      </c>
      <c r="D3279" t="inlineStr">
        <is>
          <t>Other Suppliers</t>
        </is>
      </c>
      <c r="E3279" t="n">
        <v>200010257</v>
      </c>
      <c r="F3279" t="inlineStr">
        <is>
          <t>17516</t>
        </is>
      </c>
      <c r="G3279" t="inlineStr">
        <is>
          <t>UE</t>
        </is>
      </c>
      <c r="H3279" s="12" t="n">
        <v>-25000</v>
      </c>
      <c r="I3279" s="17" t="n">
        <v>45110</v>
      </c>
      <c r="J3279" s="17" t="n">
        <v>45110</v>
      </c>
      <c r="K3279" t="inlineStr">
        <is>
          <t>1180136</t>
        </is>
      </c>
    </row>
    <row r="3280">
      <c r="A3280" t="inlineStr">
        <is>
          <t>100833</t>
        </is>
      </c>
      <c r="B3280" t="inlineStr">
        <is>
          <t>MUNICIPIO DE JANDAIRA</t>
        </is>
      </c>
      <c r="C3280" t="n">
        <v>2111000000</v>
      </c>
      <c r="D3280" t="inlineStr">
        <is>
          <t>Taxes Payable</t>
        </is>
      </c>
      <c r="E3280" t="n">
        <v>200010258</v>
      </c>
      <c r="F3280" t="inlineStr">
        <is>
          <t>17517</t>
        </is>
      </c>
      <c r="G3280" t="inlineStr">
        <is>
          <t>UE</t>
        </is>
      </c>
      <c r="H3280" s="12" t="n">
        <v>-1581</v>
      </c>
      <c r="I3280" s="17" t="n">
        <v>44805</v>
      </c>
      <c r="J3280" s="17" t="n">
        <v>44805</v>
      </c>
      <c r="K3280" t="inlineStr">
        <is>
          <t>1148387</t>
        </is>
      </c>
    </row>
    <row r="3281">
      <c r="A3281" t="inlineStr">
        <is>
          <t>101358</t>
        </is>
      </c>
      <c r="B3281" t="inlineStr">
        <is>
          <t>MUNICIPIO DE LAJES</t>
        </is>
      </c>
      <c r="C3281" t="n">
        <v>2111000000</v>
      </c>
      <c r="D3281" t="inlineStr">
        <is>
          <t>Taxes Payable</t>
        </is>
      </c>
      <c r="E3281" t="n">
        <v>200010262</v>
      </c>
      <c r="F3281" t="inlineStr">
        <is>
          <t>17520</t>
        </is>
      </c>
      <c r="G3281" t="inlineStr">
        <is>
          <t>UE</t>
        </is>
      </c>
      <c r="H3281" s="12" t="n">
        <v>-10513.19</v>
      </c>
      <c r="I3281" s="17" t="n">
        <v>44915</v>
      </c>
      <c r="J3281" s="17" t="n">
        <v>44915</v>
      </c>
      <c r="K3281" t="inlineStr">
        <is>
          <t>1140747</t>
        </is>
      </c>
    </row>
    <row r="3282">
      <c r="A3282" t="inlineStr">
        <is>
          <t>101358</t>
        </is>
      </c>
      <c r="B3282" t="inlineStr">
        <is>
          <t>MUNICIPIO DE LAJES</t>
        </is>
      </c>
      <c r="C3282" t="n">
        <v>2111000000</v>
      </c>
      <c r="D3282" t="inlineStr">
        <is>
          <t>Taxes Payable</t>
        </is>
      </c>
      <c r="E3282" t="n">
        <v>200010263</v>
      </c>
      <c r="F3282" t="inlineStr">
        <is>
          <t>17521</t>
        </is>
      </c>
      <c r="G3282" t="inlineStr">
        <is>
          <t>UE</t>
        </is>
      </c>
      <c r="H3282" s="12" t="n">
        <v>-8948.92</v>
      </c>
      <c r="I3282" s="17" t="n">
        <v>44915</v>
      </c>
      <c r="J3282" s="17" t="n">
        <v>44915</v>
      </c>
      <c r="K3282" t="inlineStr">
        <is>
          <t>1140748</t>
        </is>
      </c>
    </row>
    <row r="3283">
      <c r="A3283" t="inlineStr">
        <is>
          <t>101358</t>
        </is>
      </c>
      <c r="B3283" t="inlineStr">
        <is>
          <t>MUNICIPIO DE LAJES</t>
        </is>
      </c>
      <c r="C3283" t="n">
        <v>2111000000</v>
      </c>
      <c r="D3283" t="inlineStr">
        <is>
          <t>Taxes Payable</t>
        </is>
      </c>
      <c r="E3283" t="n">
        <v>200010334</v>
      </c>
      <c r="F3283" t="inlineStr">
        <is>
          <t>17586</t>
        </is>
      </c>
      <c r="G3283" t="inlineStr">
        <is>
          <t>UE</t>
        </is>
      </c>
      <c r="H3283" s="12" t="n">
        <v>-7175</v>
      </c>
      <c r="I3283" s="17" t="n">
        <v>44900</v>
      </c>
      <c r="J3283" s="17" t="n">
        <v>44900</v>
      </c>
      <c r="K3283" t="inlineStr">
        <is>
          <t>1143731</t>
        </is>
      </c>
    </row>
    <row r="3284">
      <c r="A3284" t="inlineStr">
        <is>
          <t>101358</t>
        </is>
      </c>
      <c r="B3284" t="inlineStr">
        <is>
          <t>MUNICIPIO DE LAJES</t>
        </is>
      </c>
      <c r="C3284" t="n">
        <v>2111000000</v>
      </c>
      <c r="D3284" t="inlineStr">
        <is>
          <t>Taxes Payable</t>
        </is>
      </c>
      <c r="E3284" t="n">
        <v>200010335</v>
      </c>
      <c r="F3284" t="inlineStr">
        <is>
          <t>17587</t>
        </is>
      </c>
      <c r="G3284" t="inlineStr">
        <is>
          <t>UE</t>
        </is>
      </c>
      <c r="H3284" s="12" t="n">
        <v>-1255.8</v>
      </c>
      <c r="I3284" s="17" t="n">
        <v>44911</v>
      </c>
      <c r="J3284" s="17" t="n">
        <v>44911</v>
      </c>
      <c r="K3284" t="inlineStr">
        <is>
          <t>1143734</t>
        </is>
      </c>
    </row>
    <row r="3285">
      <c r="A3285" t="inlineStr">
        <is>
          <t>101763</t>
        </is>
      </c>
      <c r="B3285" t="inlineStr">
        <is>
          <t>MUNICIPIO DE LAGOA DO BARRO DO PIAU</t>
        </is>
      </c>
      <c r="C3285" t="n">
        <v>2111000000</v>
      </c>
      <c r="D3285" t="inlineStr">
        <is>
          <t>Taxes Payable</t>
        </is>
      </c>
      <c r="E3285" t="n">
        <v>200010336</v>
      </c>
      <c r="F3285" t="inlineStr">
        <is>
          <t>17588</t>
        </is>
      </c>
      <c r="G3285" t="inlineStr">
        <is>
          <t>UE</t>
        </is>
      </c>
      <c r="H3285" s="12" t="n">
        <v>-5772.12</v>
      </c>
      <c r="I3285" s="17" t="n">
        <v>44881</v>
      </c>
      <c r="J3285" s="17" t="n">
        <v>44881</v>
      </c>
      <c r="K3285" t="inlineStr">
        <is>
          <t>1144557</t>
        </is>
      </c>
    </row>
    <row r="3286">
      <c r="A3286" t="inlineStr">
        <is>
          <t>101763</t>
        </is>
      </c>
      <c r="B3286" t="inlineStr">
        <is>
          <t>MUNICIPIO DE LAGOA DO BARRO DO PIAU</t>
        </is>
      </c>
      <c r="C3286" t="n">
        <v>2111000000</v>
      </c>
      <c r="D3286" t="inlineStr">
        <is>
          <t>Taxes Payable</t>
        </is>
      </c>
      <c r="E3286" t="n">
        <v>200010337</v>
      </c>
      <c r="F3286" t="inlineStr">
        <is>
          <t>17589</t>
        </is>
      </c>
      <c r="G3286" t="inlineStr">
        <is>
          <t>UE</t>
        </is>
      </c>
      <c r="H3286" s="12" t="n">
        <v>-6882.14</v>
      </c>
      <c r="I3286" s="17" t="n">
        <v>44897</v>
      </c>
      <c r="J3286" s="17" t="n">
        <v>44897</v>
      </c>
      <c r="K3286" t="inlineStr">
        <is>
          <t>1144560</t>
        </is>
      </c>
    </row>
    <row r="3287">
      <c r="A3287" t="inlineStr">
        <is>
          <t>101763</t>
        </is>
      </c>
      <c r="B3287" t="inlineStr">
        <is>
          <t>MUNICIPIO DE LAGOA DO BARRO DO PIAU</t>
        </is>
      </c>
      <c r="C3287" t="n">
        <v>2111000000</v>
      </c>
      <c r="D3287" t="inlineStr">
        <is>
          <t>Taxes Payable</t>
        </is>
      </c>
      <c r="E3287" t="n">
        <v>200010339</v>
      </c>
      <c r="F3287" t="inlineStr">
        <is>
          <t>17590</t>
        </is>
      </c>
      <c r="G3287" t="inlineStr">
        <is>
          <t>UE</t>
        </is>
      </c>
      <c r="H3287" s="12" t="n">
        <v>-6882.14</v>
      </c>
      <c r="I3287" s="17" t="n">
        <v>45001</v>
      </c>
      <c r="J3287" s="17" t="n">
        <v>45001</v>
      </c>
      <c r="K3287" t="inlineStr">
        <is>
          <t>1162893</t>
        </is>
      </c>
    </row>
    <row r="3288">
      <c r="A3288" t="inlineStr">
        <is>
          <t>101763</t>
        </is>
      </c>
      <c r="B3288" t="inlineStr">
        <is>
          <t>MUNICIPIO DE LAGOA DO BARRO DO PIAU</t>
        </is>
      </c>
      <c r="C3288" t="n">
        <v>2111000000</v>
      </c>
      <c r="D3288" t="inlineStr">
        <is>
          <t>Taxes Payable</t>
        </is>
      </c>
      <c r="E3288" t="n">
        <v>200010341</v>
      </c>
      <c r="F3288" t="inlineStr">
        <is>
          <t>17592</t>
        </is>
      </c>
      <c r="G3288" t="inlineStr">
        <is>
          <t>UE</t>
        </is>
      </c>
      <c r="H3288" s="12" t="n">
        <v>-1151.6</v>
      </c>
      <c r="I3288" s="17" t="n">
        <v>45083</v>
      </c>
      <c r="J3288" s="17" t="n">
        <v>45083</v>
      </c>
      <c r="K3288" t="inlineStr">
        <is>
          <t>1179829</t>
        </is>
      </c>
    </row>
    <row r="3289">
      <c r="A3289" t="inlineStr">
        <is>
          <t>100910</t>
        </is>
      </c>
      <c r="B3289" t="inlineStr">
        <is>
          <t>DSV AIR E SEA BRASIL LTDA</t>
        </is>
      </c>
      <c r="C3289" t="n">
        <v>2111000000</v>
      </c>
      <c r="D3289" t="inlineStr">
        <is>
          <t>Customs Brokerage – Overall</t>
        </is>
      </c>
      <c r="E3289" t="n">
        <v>200010342</v>
      </c>
      <c r="F3289" t="inlineStr">
        <is>
          <t>17593</t>
        </is>
      </c>
      <c r="G3289" t="inlineStr">
        <is>
          <t>UE</t>
        </is>
      </c>
      <c r="H3289" s="12" t="n">
        <v>-1169.97</v>
      </c>
      <c r="I3289" s="17" t="n">
        <v>44474</v>
      </c>
      <c r="J3289" s="17" t="n">
        <v>44474</v>
      </c>
      <c r="K3289" t="inlineStr">
        <is>
          <t>1085475</t>
        </is>
      </c>
    </row>
    <row r="3290">
      <c r="A3290" t="inlineStr">
        <is>
          <t>100910</t>
        </is>
      </c>
      <c r="B3290" t="inlineStr">
        <is>
          <t>DSV AIR E SEA BRASIL LTDA</t>
        </is>
      </c>
      <c r="C3290" t="n">
        <v>2111000000</v>
      </c>
      <c r="D3290" t="inlineStr">
        <is>
          <t>Customs Brokerage – Overall</t>
        </is>
      </c>
      <c r="E3290" t="n">
        <v>200010343</v>
      </c>
      <c r="F3290" t="inlineStr">
        <is>
          <t>17594</t>
        </is>
      </c>
      <c r="G3290" t="inlineStr">
        <is>
          <t>UE</t>
        </is>
      </c>
      <c r="H3290" s="12" t="n">
        <v>-1104.67</v>
      </c>
      <c r="I3290" s="17" t="n">
        <v>44615</v>
      </c>
      <c r="J3290" s="17" t="n">
        <v>44615</v>
      </c>
      <c r="K3290" t="inlineStr">
        <is>
          <t>1131748</t>
        </is>
      </c>
    </row>
    <row r="3291">
      <c r="A3291" t="inlineStr">
        <is>
          <t>100910</t>
        </is>
      </c>
      <c r="B3291" t="inlineStr">
        <is>
          <t>DSV AIR E SEA BRASIL LTDA</t>
        </is>
      </c>
      <c r="C3291" t="n">
        <v>2111000000</v>
      </c>
      <c r="D3291" t="inlineStr">
        <is>
          <t>Customs Brokerage – Overall</t>
        </is>
      </c>
      <c r="E3291" t="n">
        <v>200010345</v>
      </c>
      <c r="F3291" t="inlineStr">
        <is>
          <t>17596</t>
        </is>
      </c>
      <c r="G3291" t="inlineStr">
        <is>
          <t>UE</t>
        </is>
      </c>
      <c r="H3291" s="12" t="n">
        <v>-1104.67</v>
      </c>
      <c r="I3291" s="17" t="n">
        <v>44615</v>
      </c>
      <c r="J3291" s="17" t="n">
        <v>44615</v>
      </c>
      <c r="K3291" t="inlineStr">
        <is>
          <t>1131769</t>
        </is>
      </c>
    </row>
    <row r="3292">
      <c r="A3292" t="inlineStr">
        <is>
          <t>100759</t>
        </is>
      </c>
      <c r="B3292" t="inlineStr">
        <is>
          <t>MUNICIPIO DE UIBAI</t>
        </is>
      </c>
      <c r="C3292" t="n">
        <v>2111000000</v>
      </c>
      <c r="D3292" t="inlineStr">
        <is>
          <t>Taxes Payable</t>
        </is>
      </c>
      <c r="E3292" t="n">
        <v>200010352</v>
      </c>
      <c r="F3292" t="inlineStr">
        <is>
          <t>17601</t>
        </is>
      </c>
      <c r="G3292" t="inlineStr">
        <is>
          <t>UE</t>
        </is>
      </c>
      <c r="H3292" s="12" t="n">
        <v>-1545.71</v>
      </c>
      <c r="I3292" s="17" t="n">
        <v>44994</v>
      </c>
      <c r="J3292" s="17" t="n">
        <v>44994</v>
      </c>
      <c r="K3292" t="inlineStr">
        <is>
          <t>1161093</t>
        </is>
      </c>
    </row>
    <row r="3293">
      <c r="A3293" t="inlineStr">
        <is>
          <t>100759</t>
        </is>
      </c>
      <c r="B3293" t="inlineStr">
        <is>
          <t>MUNICIPIO DE UIBAI</t>
        </is>
      </c>
      <c r="C3293" t="n">
        <v>2111000000</v>
      </c>
      <c r="D3293" t="inlineStr">
        <is>
          <t>Taxes Payable</t>
        </is>
      </c>
      <c r="E3293" t="n">
        <v>200010353</v>
      </c>
      <c r="F3293" t="inlineStr">
        <is>
          <t>17602</t>
        </is>
      </c>
      <c r="G3293" t="inlineStr">
        <is>
          <t>UE</t>
        </is>
      </c>
      <c r="H3293" s="12" t="n">
        <v>-2230.34</v>
      </c>
      <c r="I3293" s="17" t="n">
        <v>44988</v>
      </c>
      <c r="J3293" s="17" t="n">
        <v>44988</v>
      </c>
      <c r="K3293" t="inlineStr">
        <is>
          <t>1163721</t>
        </is>
      </c>
    </row>
    <row r="3294">
      <c r="A3294" t="inlineStr">
        <is>
          <t>100759</t>
        </is>
      </c>
      <c r="B3294" t="inlineStr">
        <is>
          <t>MUNICIPIO DE UIBAI</t>
        </is>
      </c>
      <c r="C3294" t="n">
        <v>2111000000</v>
      </c>
      <c r="D3294" t="inlineStr">
        <is>
          <t>Taxes Payable</t>
        </is>
      </c>
      <c r="E3294" t="n">
        <v>200010355</v>
      </c>
      <c r="F3294" t="inlineStr">
        <is>
          <t>17604</t>
        </is>
      </c>
      <c r="G3294" t="inlineStr">
        <is>
          <t>UE</t>
        </is>
      </c>
      <c r="H3294" s="12" t="n">
        <v>-2431.06</v>
      </c>
      <c r="I3294" s="17" t="n">
        <v>45050</v>
      </c>
      <c r="J3294" s="17" t="n">
        <v>45050</v>
      </c>
      <c r="K3294" t="inlineStr">
        <is>
          <t>1168897</t>
        </is>
      </c>
    </row>
    <row r="3295">
      <c r="A3295" t="inlineStr">
        <is>
          <t>100759</t>
        </is>
      </c>
      <c r="B3295" t="inlineStr">
        <is>
          <t>MUNICIPIO DE UIBAI</t>
        </is>
      </c>
      <c r="C3295" t="n">
        <v>2111000000</v>
      </c>
      <c r="D3295" t="inlineStr">
        <is>
          <t>Taxes Payable</t>
        </is>
      </c>
      <c r="E3295" t="n">
        <v>200010356</v>
      </c>
      <c r="F3295" t="inlineStr">
        <is>
          <t>17605</t>
        </is>
      </c>
      <c r="G3295" t="inlineStr">
        <is>
          <t>UE</t>
        </is>
      </c>
      <c r="H3295" s="12" t="n">
        <v>-1545.71</v>
      </c>
      <c r="I3295" s="17" t="n">
        <v>45049</v>
      </c>
      <c r="J3295" s="17" t="n">
        <v>45049</v>
      </c>
      <c r="K3295" t="inlineStr">
        <is>
          <t>1169596</t>
        </is>
      </c>
    </row>
    <row r="3296">
      <c r="A3296" t="inlineStr">
        <is>
          <t>102081</t>
        </is>
      </c>
      <c r="B3296" t="inlineStr">
        <is>
          <t>MUNICIPIO DE PALMARES DO SUL</t>
        </is>
      </c>
      <c r="C3296" t="n">
        <v>2111000000</v>
      </c>
      <c r="D3296" t="inlineStr">
        <is>
          <t>Taxes Payable</t>
        </is>
      </c>
      <c r="E3296" t="n">
        <v>200010403</v>
      </c>
      <c r="F3296" t="inlineStr">
        <is>
          <t>17648</t>
        </is>
      </c>
      <c r="G3296" t="inlineStr">
        <is>
          <t>UE</t>
        </is>
      </c>
      <c r="H3296" s="12" t="n">
        <v>-876.46</v>
      </c>
      <c r="I3296" s="17" t="n">
        <v>45007</v>
      </c>
      <c r="J3296" s="17" t="n">
        <v>45007</v>
      </c>
      <c r="K3296" t="inlineStr">
        <is>
          <t>1164013</t>
        </is>
      </c>
    </row>
    <row r="3297">
      <c r="A3297" t="inlineStr">
        <is>
          <t>102081</t>
        </is>
      </c>
      <c r="B3297" t="inlineStr">
        <is>
          <t>MUNICIPIO DE PALMARES DO SUL</t>
        </is>
      </c>
      <c r="C3297" t="n">
        <v>2111000000</v>
      </c>
      <c r="D3297" t="inlineStr">
        <is>
          <t>Taxes Payable</t>
        </is>
      </c>
      <c r="E3297" t="n">
        <v>200010406</v>
      </c>
      <c r="F3297" t="inlineStr">
        <is>
          <t>17650</t>
        </is>
      </c>
      <c r="G3297" t="inlineStr">
        <is>
          <t>UE</t>
        </is>
      </c>
      <c r="H3297" s="12" t="n">
        <v>-583.88</v>
      </c>
      <c r="I3297" s="17" t="n">
        <v>45059</v>
      </c>
      <c r="J3297" s="17" t="n">
        <v>45059</v>
      </c>
      <c r="K3297" t="inlineStr">
        <is>
          <t>1177137</t>
        </is>
      </c>
    </row>
    <row r="3298">
      <c r="A3298" t="inlineStr">
        <is>
          <t>102008</t>
        </is>
      </c>
      <c r="B3298" t="inlineStr">
        <is>
          <t>MUNICIPIO DE ITAREMA</t>
        </is>
      </c>
      <c r="C3298" t="n">
        <v>2111000000</v>
      </c>
      <c r="D3298" t="inlineStr">
        <is>
          <t>Taxes Payable</t>
        </is>
      </c>
      <c r="E3298" t="n">
        <v>200010408</v>
      </c>
      <c r="F3298" t="inlineStr">
        <is>
          <t>17652</t>
        </is>
      </c>
      <c r="G3298" t="inlineStr">
        <is>
          <t>UE</t>
        </is>
      </c>
      <c r="H3298" s="12" t="n">
        <v>-1249.97</v>
      </c>
      <c r="I3298" s="17" t="n">
        <v>45065</v>
      </c>
      <c r="J3298" s="17" t="n">
        <v>45065</v>
      </c>
      <c r="K3298" t="inlineStr">
        <is>
          <t>1179548</t>
        </is>
      </c>
    </row>
    <row r="3299">
      <c r="A3299" t="inlineStr">
        <is>
          <t>100956</t>
        </is>
      </c>
      <c r="B3299" t="inlineStr">
        <is>
          <t>BREMER LLOYD BRAZIL LOGISTICS LTDA</t>
        </is>
      </c>
      <c r="C3299" t="n">
        <v>2111000000</v>
      </c>
      <c r="D3299" t="inlineStr">
        <is>
          <t>Customs Brokerage – Overall</t>
        </is>
      </c>
      <c r="E3299" t="n">
        <v>200010410</v>
      </c>
      <c r="F3299" t="inlineStr">
        <is>
          <t>17654</t>
        </is>
      </c>
      <c r="G3299" t="inlineStr">
        <is>
          <t>UE</t>
        </is>
      </c>
      <c r="H3299" s="12" t="n">
        <v>-2545.79</v>
      </c>
      <c r="I3299" s="17" t="n">
        <v>44641</v>
      </c>
      <c r="J3299" s="17" t="n">
        <v>44641</v>
      </c>
      <c r="K3299" t="inlineStr">
        <is>
          <t>1147692</t>
        </is>
      </c>
    </row>
    <row r="3300">
      <c r="A3300" t="inlineStr">
        <is>
          <t>100833</t>
        </is>
      </c>
      <c r="B3300" t="inlineStr">
        <is>
          <t>MUNICIPIO DE JANDAIRA</t>
        </is>
      </c>
      <c r="C3300" t="n">
        <v>2111000000</v>
      </c>
      <c r="D3300" t="inlineStr">
        <is>
          <t>Taxes Payable</t>
        </is>
      </c>
      <c r="E3300" t="n">
        <v>200010411</v>
      </c>
      <c r="F3300" t="inlineStr">
        <is>
          <t>17655</t>
        </is>
      </c>
      <c r="G3300" t="inlineStr">
        <is>
          <t>UE</t>
        </is>
      </c>
      <c r="H3300" s="12" t="n">
        <v>-953.72</v>
      </c>
      <c r="I3300" s="17" t="n">
        <v>44902</v>
      </c>
      <c r="J3300" s="17" t="n">
        <v>44902</v>
      </c>
      <c r="K3300" t="inlineStr">
        <is>
          <t>1147846</t>
        </is>
      </c>
    </row>
    <row r="3301">
      <c r="A3301" t="inlineStr">
        <is>
          <t>100833</t>
        </is>
      </c>
      <c r="B3301" t="inlineStr">
        <is>
          <t>MUNICIPIO DE JANDAIRA</t>
        </is>
      </c>
      <c r="C3301" t="n">
        <v>2111000000</v>
      </c>
      <c r="D3301" t="inlineStr">
        <is>
          <t>Taxes Payable</t>
        </is>
      </c>
      <c r="E3301" t="n">
        <v>200010412</v>
      </c>
      <c r="F3301" t="inlineStr">
        <is>
          <t>17656</t>
        </is>
      </c>
      <c r="G3301" t="inlineStr">
        <is>
          <t>UE</t>
        </is>
      </c>
      <c r="H3301" s="12" t="n">
        <v>-98.26000000000001</v>
      </c>
      <c r="I3301" s="17" t="n">
        <v>44902</v>
      </c>
      <c r="J3301" s="17" t="n">
        <v>44902</v>
      </c>
      <c r="K3301" t="inlineStr">
        <is>
          <t>1148926</t>
        </is>
      </c>
    </row>
    <row r="3302">
      <c r="A3302" t="inlineStr">
        <is>
          <t>101763</t>
        </is>
      </c>
      <c r="B3302" t="inlineStr">
        <is>
          <t>MUNICIPIO DE LAGOA DO BARRO DO PIAU</t>
        </is>
      </c>
      <c r="C3302" t="n">
        <v>2111000000</v>
      </c>
      <c r="D3302" t="inlineStr">
        <is>
          <t>Taxes Payable</t>
        </is>
      </c>
      <c r="E3302" t="n">
        <v>200010413</v>
      </c>
      <c r="F3302" t="inlineStr">
        <is>
          <t>17657</t>
        </is>
      </c>
      <c r="G3302" t="inlineStr">
        <is>
          <t>UE</t>
        </is>
      </c>
      <c r="H3302" s="12" t="n">
        <v>-93.56</v>
      </c>
      <c r="I3302" s="17" t="n">
        <v>45064</v>
      </c>
      <c r="J3302" s="17" t="n">
        <v>45064</v>
      </c>
      <c r="K3302" t="inlineStr">
        <is>
          <t>1174978</t>
        </is>
      </c>
    </row>
    <row r="3303">
      <c r="A3303" t="inlineStr">
        <is>
          <t>101358</t>
        </is>
      </c>
      <c r="B3303" t="inlineStr">
        <is>
          <t>MUNICIPIO DE LAJES</t>
        </is>
      </c>
      <c r="C3303" t="n">
        <v>2111000000</v>
      </c>
      <c r="D3303" t="inlineStr">
        <is>
          <t>Taxes Payable</t>
        </is>
      </c>
      <c r="E3303" t="n">
        <v>200010420</v>
      </c>
      <c r="F3303" t="inlineStr">
        <is>
          <t>17663</t>
        </is>
      </c>
      <c r="G3303" t="inlineStr">
        <is>
          <t>UE</t>
        </is>
      </c>
      <c r="H3303" s="12" t="n">
        <v>-0.04</v>
      </c>
      <c r="I3303" s="17" t="n">
        <v>44845</v>
      </c>
      <c r="J3303" s="17" t="n">
        <v>44845</v>
      </c>
      <c r="K3303" t="inlineStr">
        <is>
          <t>1136871</t>
        </is>
      </c>
    </row>
    <row r="3304">
      <c r="A3304" t="inlineStr">
        <is>
          <t>101763</t>
        </is>
      </c>
      <c r="B3304" t="inlineStr">
        <is>
          <t>MUNICIPIO DE LAGOA DO BARRO DO PIAU</t>
        </is>
      </c>
      <c r="C3304" t="n">
        <v>2111000000</v>
      </c>
      <c r="D3304" t="inlineStr">
        <is>
          <t>Taxes Payable</t>
        </is>
      </c>
      <c r="E3304" t="n">
        <v>200010421</v>
      </c>
      <c r="F3304" t="inlineStr">
        <is>
          <t>17664</t>
        </is>
      </c>
      <c r="G3304" t="inlineStr">
        <is>
          <t>UE</t>
        </is>
      </c>
      <c r="H3304" s="12" t="n">
        <v>-748.22</v>
      </c>
      <c r="I3304" s="17" t="n">
        <v>44850</v>
      </c>
      <c r="J3304" s="17" t="n">
        <v>44850</v>
      </c>
      <c r="K3304" t="inlineStr">
        <is>
          <t>1147324</t>
        </is>
      </c>
    </row>
    <row r="3305">
      <c r="A3305" t="inlineStr">
        <is>
          <t>101358</t>
        </is>
      </c>
      <c r="B3305" t="inlineStr">
        <is>
          <t>MUNICIPIO DE LAJES</t>
        </is>
      </c>
      <c r="C3305" t="n">
        <v>2111000000</v>
      </c>
      <c r="D3305" t="inlineStr">
        <is>
          <t>Taxes Payable</t>
        </is>
      </c>
      <c r="E3305" t="n">
        <v>200010423</v>
      </c>
      <c r="F3305" t="inlineStr">
        <is>
          <t>17666</t>
        </is>
      </c>
      <c r="G3305" t="inlineStr">
        <is>
          <t>UE</t>
        </is>
      </c>
      <c r="H3305" s="12" t="n">
        <v>-450</v>
      </c>
      <c r="I3305" s="17" t="n">
        <v>44872</v>
      </c>
      <c r="J3305" s="17" t="n">
        <v>44872</v>
      </c>
      <c r="K3305" t="inlineStr">
        <is>
          <t>1148389</t>
        </is>
      </c>
    </row>
    <row r="3306">
      <c r="A3306" t="inlineStr">
        <is>
          <t>101763</t>
        </is>
      </c>
      <c r="B3306" t="inlineStr">
        <is>
          <t>MUNICIPIO DE LAGOA DO BARRO DO PIAU</t>
        </is>
      </c>
      <c r="C3306" t="n">
        <v>2111000000</v>
      </c>
      <c r="D3306" t="inlineStr">
        <is>
          <t>Taxes Payable</t>
        </is>
      </c>
      <c r="E3306" t="n">
        <v>200010424</v>
      </c>
      <c r="F3306" t="inlineStr">
        <is>
          <t>17667</t>
        </is>
      </c>
      <c r="G3306" t="inlineStr">
        <is>
          <t>UE</t>
        </is>
      </c>
      <c r="H3306" s="12" t="n">
        <v>-177.73</v>
      </c>
      <c r="I3306" s="17" t="n">
        <v>44993</v>
      </c>
      <c r="J3306" s="17" t="n">
        <v>44993</v>
      </c>
      <c r="K3306" t="inlineStr">
        <is>
          <t>1163911</t>
        </is>
      </c>
    </row>
    <row r="3307">
      <c r="A3307" t="inlineStr">
        <is>
          <t>101763</t>
        </is>
      </c>
      <c r="B3307" t="inlineStr">
        <is>
          <t>MUNICIPIO DE LAGOA DO BARRO DO PIAU</t>
        </is>
      </c>
      <c r="C3307" t="n">
        <v>2111000000</v>
      </c>
      <c r="D3307" t="inlineStr">
        <is>
          <t>Taxes Payable</t>
        </is>
      </c>
      <c r="E3307" t="n">
        <v>200010426</v>
      </c>
      <c r="F3307" t="inlineStr">
        <is>
          <t>17669</t>
        </is>
      </c>
      <c r="G3307" t="inlineStr">
        <is>
          <t>UE</t>
        </is>
      </c>
      <c r="H3307" s="12" t="n">
        <v>-2475</v>
      </c>
      <c r="I3307" s="17" t="n">
        <v>44937</v>
      </c>
      <c r="J3307" s="17" t="n">
        <v>44937</v>
      </c>
      <c r="K3307" t="inlineStr">
        <is>
          <t>1165891</t>
        </is>
      </c>
    </row>
    <row r="3308">
      <c r="A3308" t="inlineStr">
        <is>
          <t>101358</t>
        </is>
      </c>
      <c r="B3308" t="inlineStr">
        <is>
          <t>MUNICIPIO DE LAJES</t>
        </is>
      </c>
      <c r="C3308" t="n">
        <v>2111000000</v>
      </c>
      <c r="D3308" t="inlineStr">
        <is>
          <t>Taxes Payable</t>
        </is>
      </c>
      <c r="E3308" t="n">
        <v>200010429</v>
      </c>
      <c r="F3308" t="inlineStr">
        <is>
          <t>17671</t>
        </is>
      </c>
      <c r="G3308" t="inlineStr">
        <is>
          <t>UE</t>
        </is>
      </c>
      <c r="H3308" s="12" t="n">
        <v>-450</v>
      </c>
      <c r="I3308" s="17" t="n">
        <v>45033</v>
      </c>
      <c r="J3308" s="17" t="n">
        <v>45033</v>
      </c>
      <c r="K3308" t="inlineStr">
        <is>
          <t>1168636</t>
        </is>
      </c>
    </row>
    <row r="3309">
      <c r="A3309" t="inlineStr">
        <is>
          <t>101763</t>
        </is>
      </c>
      <c r="B3309" t="inlineStr">
        <is>
          <t>MUNICIPIO DE LAGOA DO BARRO DO PIAU</t>
        </is>
      </c>
      <c r="C3309" t="n">
        <v>2111000000</v>
      </c>
      <c r="D3309" t="inlineStr">
        <is>
          <t>Taxes Payable</t>
        </is>
      </c>
      <c r="E3309" t="n">
        <v>200010430</v>
      </c>
      <c r="F3309" t="inlineStr">
        <is>
          <t>17672</t>
        </is>
      </c>
      <c r="G3309" t="inlineStr">
        <is>
          <t>UE</t>
        </is>
      </c>
      <c r="H3309" s="12" t="n">
        <v>-300</v>
      </c>
      <c r="I3309" s="17" t="n">
        <v>45001</v>
      </c>
      <c r="J3309" s="17" t="n">
        <v>45001</v>
      </c>
      <c r="K3309" t="inlineStr">
        <is>
          <t>1171025</t>
        </is>
      </c>
    </row>
    <row r="3310">
      <c r="A3310" t="inlineStr">
        <is>
          <t>101763</t>
        </is>
      </c>
      <c r="B3310" t="inlineStr">
        <is>
          <t>MUNICIPIO DE LAGOA DO BARRO DO PIAU</t>
        </is>
      </c>
      <c r="C3310" t="n">
        <v>2111000000</v>
      </c>
      <c r="D3310" t="inlineStr">
        <is>
          <t>Taxes Payable</t>
        </is>
      </c>
      <c r="E3310" t="n">
        <v>200010432</v>
      </c>
      <c r="F3310" t="inlineStr">
        <is>
          <t>17674</t>
        </is>
      </c>
      <c r="G3310" t="inlineStr">
        <is>
          <t>UE</t>
        </is>
      </c>
      <c r="H3310" s="12" t="n">
        <v>-3002.28</v>
      </c>
      <c r="I3310" s="17" t="n">
        <v>45001</v>
      </c>
      <c r="J3310" s="17" t="n">
        <v>45001</v>
      </c>
      <c r="K3310" t="inlineStr">
        <is>
          <t>1171425</t>
        </is>
      </c>
    </row>
    <row r="3311">
      <c r="A3311" t="inlineStr">
        <is>
          <t>101358</t>
        </is>
      </c>
      <c r="B3311" t="inlineStr">
        <is>
          <t>MUNICIPIO DE LAJES</t>
        </is>
      </c>
      <c r="C3311" t="n">
        <v>2111000000</v>
      </c>
      <c r="D3311" t="inlineStr">
        <is>
          <t>Taxes Payable</t>
        </is>
      </c>
      <c r="E3311" t="n">
        <v>200010463</v>
      </c>
      <c r="F3311" t="inlineStr">
        <is>
          <t>17701</t>
        </is>
      </c>
      <c r="G3311" t="inlineStr">
        <is>
          <t>UE</t>
        </is>
      </c>
      <c r="H3311" s="12" t="n">
        <v>-450</v>
      </c>
      <c r="I3311" s="17" t="n">
        <v>44973</v>
      </c>
      <c r="J3311" s="17" t="n">
        <v>44973</v>
      </c>
      <c r="K3311" t="inlineStr">
        <is>
          <t>1183127</t>
        </is>
      </c>
    </row>
    <row r="3312">
      <c r="A3312" t="inlineStr">
        <is>
          <t>101358</t>
        </is>
      </c>
      <c r="B3312" t="inlineStr">
        <is>
          <t>MUNICIPIO DE LAJES</t>
        </is>
      </c>
      <c r="C3312" t="n">
        <v>2111000000</v>
      </c>
      <c r="D3312" t="inlineStr">
        <is>
          <t>Taxes Payable</t>
        </is>
      </c>
      <c r="E3312" t="n">
        <v>200010464</v>
      </c>
      <c r="F3312" t="inlineStr">
        <is>
          <t>17702</t>
        </is>
      </c>
      <c r="G3312" t="inlineStr">
        <is>
          <t>UE</t>
        </is>
      </c>
      <c r="H3312" s="12" t="n">
        <v>-450</v>
      </c>
      <c r="I3312" s="17" t="n">
        <v>45001</v>
      </c>
      <c r="J3312" s="17" t="n">
        <v>45001</v>
      </c>
      <c r="K3312" t="inlineStr">
        <is>
          <t>1183139</t>
        </is>
      </c>
    </row>
    <row r="3313">
      <c r="A3313" t="inlineStr">
        <is>
          <t>101763</t>
        </is>
      </c>
      <c r="B3313" t="inlineStr">
        <is>
          <t>MUNICIPIO DE LAGOA DO BARRO DO PIAU</t>
        </is>
      </c>
      <c r="C3313" t="n">
        <v>2111000000</v>
      </c>
      <c r="D3313" t="inlineStr">
        <is>
          <t>Taxes Payable</t>
        </is>
      </c>
      <c r="E3313" t="n">
        <v>200010479</v>
      </c>
      <c r="F3313" t="inlineStr">
        <is>
          <t>17716</t>
        </is>
      </c>
      <c r="G3313" t="inlineStr">
        <is>
          <t>UE</t>
        </is>
      </c>
      <c r="H3313" s="12" t="n">
        <v>-291.67</v>
      </c>
      <c r="I3313" s="17" t="n">
        <v>44896</v>
      </c>
      <c r="J3313" s="17" t="n">
        <v>44896</v>
      </c>
      <c r="K3313" t="inlineStr">
        <is>
          <t>1143992</t>
        </is>
      </c>
    </row>
    <row r="3314">
      <c r="A3314" t="inlineStr">
        <is>
          <t>101763</t>
        </is>
      </c>
      <c r="B3314" t="inlineStr">
        <is>
          <t>MUNICIPIO DE LAGOA DO BARRO DO PIAU</t>
        </is>
      </c>
      <c r="C3314" t="n">
        <v>2111000000</v>
      </c>
      <c r="D3314" t="inlineStr">
        <is>
          <t>Taxes Payable</t>
        </is>
      </c>
      <c r="E3314" t="n">
        <v>200010480</v>
      </c>
      <c r="F3314" t="inlineStr">
        <is>
          <t>17717</t>
        </is>
      </c>
      <c r="G3314" t="inlineStr">
        <is>
          <t>UE</t>
        </is>
      </c>
      <c r="H3314" s="12" t="n">
        <v>-511.7</v>
      </c>
      <c r="I3314" s="17" t="n">
        <v>44869</v>
      </c>
      <c r="J3314" s="17" t="n">
        <v>44869</v>
      </c>
      <c r="K3314" t="inlineStr">
        <is>
          <t>1144073</t>
        </is>
      </c>
    </row>
    <row r="3315">
      <c r="A3315" t="inlineStr">
        <is>
          <t>101763</t>
        </is>
      </c>
      <c r="B3315" t="inlineStr">
        <is>
          <t>MUNICIPIO DE LAGOA DO BARRO DO PIAU</t>
        </is>
      </c>
      <c r="C3315" t="n">
        <v>2111000000</v>
      </c>
      <c r="D3315" t="inlineStr">
        <is>
          <t>Taxes Payable</t>
        </is>
      </c>
      <c r="E3315" t="n">
        <v>200010481</v>
      </c>
      <c r="F3315" t="inlineStr">
        <is>
          <t>17718</t>
        </is>
      </c>
      <c r="G3315" t="inlineStr">
        <is>
          <t>UE</t>
        </is>
      </c>
      <c r="H3315" s="12" t="n">
        <v>-258.95</v>
      </c>
      <c r="I3315" s="17" t="n">
        <v>44869</v>
      </c>
      <c r="J3315" s="17" t="n">
        <v>44869</v>
      </c>
      <c r="K3315" t="inlineStr">
        <is>
          <t>1144074</t>
        </is>
      </c>
    </row>
    <row r="3316">
      <c r="A3316" t="inlineStr">
        <is>
          <t>101763</t>
        </is>
      </c>
      <c r="B3316" t="inlineStr">
        <is>
          <t>MUNICIPIO DE LAGOA DO BARRO DO PIAU</t>
        </is>
      </c>
      <c r="C3316" t="n">
        <v>2111000000</v>
      </c>
      <c r="D3316" t="inlineStr">
        <is>
          <t>Taxes Payable</t>
        </is>
      </c>
      <c r="E3316" t="n">
        <v>200010482</v>
      </c>
      <c r="F3316" t="inlineStr">
        <is>
          <t>17719</t>
        </is>
      </c>
      <c r="G3316" t="inlineStr">
        <is>
          <t>UE</t>
        </is>
      </c>
      <c r="H3316" s="12" t="n">
        <v>-639.63</v>
      </c>
      <c r="I3316" s="17" t="n">
        <v>44914</v>
      </c>
      <c r="J3316" s="17" t="n">
        <v>44914</v>
      </c>
      <c r="K3316" t="inlineStr">
        <is>
          <t>1146484</t>
        </is>
      </c>
    </row>
    <row r="3317">
      <c r="A3317" t="inlineStr">
        <is>
          <t>101763</t>
        </is>
      </c>
      <c r="B3317" t="inlineStr">
        <is>
          <t>MUNICIPIO DE LAGOA DO BARRO DO PIAU</t>
        </is>
      </c>
      <c r="C3317" t="n">
        <v>2111000000</v>
      </c>
      <c r="D3317" t="inlineStr">
        <is>
          <t>Taxes Payable</t>
        </is>
      </c>
      <c r="E3317" t="n">
        <v>200010484</v>
      </c>
      <c r="F3317" t="inlineStr">
        <is>
          <t>17720</t>
        </is>
      </c>
      <c r="G3317" t="inlineStr">
        <is>
          <t>UE</t>
        </is>
      </c>
      <c r="H3317" s="12" t="n">
        <v>-127.93</v>
      </c>
      <c r="I3317" s="17" t="n">
        <v>44944</v>
      </c>
      <c r="J3317" s="17" t="n">
        <v>44944</v>
      </c>
      <c r="K3317" t="inlineStr">
        <is>
          <t>1150023</t>
        </is>
      </c>
    </row>
    <row r="3318">
      <c r="A3318" t="inlineStr">
        <is>
          <t>101763</t>
        </is>
      </c>
      <c r="B3318" t="inlineStr">
        <is>
          <t>MUNICIPIO DE LAGOA DO BARRO DO PIAU</t>
        </is>
      </c>
      <c r="C3318" t="n">
        <v>2111000000</v>
      </c>
      <c r="D3318" t="inlineStr">
        <is>
          <t>Taxes Payable</t>
        </is>
      </c>
      <c r="E3318" t="n">
        <v>200010485</v>
      </c>
      <c r="F3318" t="inlineStr">
        <is>
          <t>17721</t>
        </is>
      </c>
      <c r="G3318" t="inlineStr">
        <is>
          <t>UE</t>
        </is>
      </c>
      <c r="H3318" s="12" t="n">
        <v>-511.7</v>
      </c>
      <c r="I3318" s="17" t="n">
        <v>44944</v>
      </c>
      <c r="J3318" s="17" t="n">
        <v>44944</v>
      </c>
      <c r="K3318" t="inlineStr">
        <is>
          <t>1150025</t>
        </is>
      </c>
    </row>
    <row r="3319">
      <c r="A3319" t="inlineStr">
        <is>
          <t>101763</t>
        </is>
      </c>
      <c r="B3319" t="inlineStr">
        <is>
          <t>MUNICIPIO DE LAGOA DO BARRO DO PIAU</t>
        </is>
      </c>
      <c r="C3319" t="n">
        <v>2111000000</v>
      </c>
      <c r="D3319" t="inlineStr">
        <is>
          <t>Taxes Payable</t>
        </is>
      </c>
      <c r="E3319" t="n">
        <v>200010486</v>
      </c>
      <c r="F3319" t="inlineStr">
        <is>
          <t>17722</t>
        </is>
      </c>
      <c r="G3319" t="inlineStr">
        <is>
          <t>UE</t>
        </is>
      </c>
      <c r="H3319" s="12" t="n">
        <v>-1535.1</v>
      </c>
      <c r="I3319" s="17" t="n">
        <v>44959</v>
      </c>
      <c r="J3319" s="17" t="n">
        <v>44959</v>
      </c>
      <c r="K3319" t="inlineStr">
        <is>
          <t>1155901</t>
        </is>
      </c>
    </row>
    <row r="3320">
      <c r="A3320" t="inlineStr">
        <is>
          <t>101763</t>
        </is>
      </c>
      <c r="B3320" t="inlineStr">
        <is>
          <t>MUNICIPIO DE LAGOA DO BARRO DO PIAU</t>
        </is>
      </c>
      <c r="C3320" t="n">
        <v>2111000000</v>
      </c>
      <c r="D3320" t="inlineStr">
        <is>
          <t>Taxes Payable</t>
        </is>
      </c>
      <c r="E3320" t="n">
        <v>200010487</v>
      </c>
      <c r="F3320" t="inlineStr">
        <is>
          <t>17723</t>
        </is>
      </c>
      <c r="G3320" t="inlineStr">
        <is>
          <t>UE</t>
        </is>
      </c>
      <c r="H3320" s="12" t="n">
        <v>-850</v>
      </c>
      <c r="I3320" s="17" t="n">
        <v>44993</v>
      </c>
      <c r="J3320" s="17" t="n">
        <v>44993</v>
      </c>
      <c r="K3320" t="inlineStr">
        <is>
          <t>1170339</t>
        </is>
      </c>
    </row>
    <row r="3321">
      <c r="A3321" t="inlineStr">
        <is>
          <t>101763</t>
        </is>
      </c>
      <c r="B3321" t="inlineStr">
        <is>
          <t>MUNICIPIO DE LAGOA DO BARRO DO PIAU</t>
        </is>
      </c>
      <c r="C3321" t="n">
        <v>2111000000</v>
      </c>
      <c r="D3321" t="inlineStr">
        <is>
          <t>Taxes Payable</t>
        </is>
      </c>
      <c r="E3321" t="n">
        <v>200010492</v>
      </c>
      <c r="F3321" t="inlineStr">
        <is>
          <t>17728</t>
        </is>
      </c>
      <c r="G3321" t="inlineStr">
        <is>
          <t>UE</t>
        </is>
      </c>
      <c r="H3321" s="12" t="n">
        <v>-350</v>
      </c>
      <c r="I3321" s="17" t="n">
        <v>45055</v>
      </c>
      <c r="J3321" s="17" t="n">
        <v>45055</v>
      </c>
      <c r="K3321" t="inlineStr">
        <is>
          <t>1180628</t>
        </is>
      </c>
    </row>
    <row r="3322">
      <c r="A3322" t="inlineStr">
        <is>
          <t>101358</t>
        </is>
      </c>
      <c r="B3322" t="inlineStr">
        <is>
          <t>MUNICIPIO DE LAJES</t>
        </is>
      </c>
      <c r="C3322" t="n">
        <v>2111000000</v>
      </c>
      <c r="D3322" t="inlineStr">
        <is>
          <t>Taxes Payable</t>
        </is>
      </c>
      <c r="E3322" t="n">
        <v>200010515</v>
      </c>
      <c r="F3322" t="inlineStr">
        <is>
          <t>17749</t>
        </is>
      </c>
      <c r="G3322" t="inlineStr">
        <is>
          <t>UE</t>
        </is>
      </c>
      <c r="H3322" s="12" t="n">
        <v>-1248.56</v>
      </c>
      <c r="I3322" s="17" t="n">
        <v>44679</v>
      </c>
      <c r="J3322" s="17" t="n">
        <v>44679</v>
      </c>
      <c r="K3322" t="inlineStr">
        <is>
          <t>1100238</t>
        </is>
      </c>
    </row>
    <row r="3323">
      <c r="A3323" t="inlineStr">
        <is>
          <t>101358</t>
        </is>
      </c>
      <c r="B3323" t="inlineStr">
        <is>
          <t>MUNICIPIO DE LAJES</t>
        </is>
      </c>
      <c r="C3323" t="n">
        <v>2111000000</v>
      </c>
      <c r="D3323" t="inlineStr">
        <is>
          <t>Taxes Payable</t>
        </is>
      </c>
      <c r="E3323" t="n">
        <v>200010521</v>
      </c>
      <c r="F3323" t="inlineStr">
        <is>
          <t>17754</t>
        </is>
      </c>
      <c r="G3323" t="inlineStr">
        <is>
          <t>UE</t>
        </is>
      </c>
      <c r="H3323" s="12" t="n">
        <v>-496.36</v>
      </c>
      <c r="I3323" s="17" t="n">
        <v>44973</v>
      </c>
      <c r="J3323" s="17" t="n">
        <v>44973</v>
      </c>
      <c r="K3323" t="inlineStr">
        <is>
          <t>1157215</t>
        </is>
      </c>
    </row>
    <row r="3324">
      <c r="A3324" t="inlineStr">
        <is>
          <t>101358</t>
        </is>
      </c>
      <c r="B3324" t="inlineStr">
        <is>
          <t>MUNICIPIO DE LAJES</t>
        </is>
      </c>
      <c r="C3324" t="n">
        <v>2111000000</v>
      </c>
      <c r="D3324" t="inlineStr">
        <is>
          <t>Taxes Payable</t>
        </is>
      </c>
      <c r="E3324" t="n">
        <v>200010529</v>
      </c>
      <c r="F3324" t="inlineStr">
        <is>
          <t>17761</t>
        </is>
      </c>
      <c r="G3324" t="inlineStr">
        <is>
          <t>UE</t>
        </is>
      </c>
      <c r="H3324" s="12" t="n">
        <v>-1815.46</v>
      </c>
      <c r="I3324" s="17" t="n">
        <v>44998</v>
      </c>
      <c r="J3324" s="17" t="n">
        <v>44998</v>
      </c>
      <c r="K3324" t="inlineStr">
        <is>
          <t>1158908</t>
        </is>
      </c>
    </row>
    <row r="3325">
      <c r="A3325" t="inlineStr">
        <is>
          <t>101358</t>
        </is>
      </c>
      <c r="B3325" t="inlineStr">
        <is>
          <t>MUNICIPIO DE LAJES</t>
        </is>
      </c>
      <c r="C3325" t="n">
        <v>2111000000</v>
      </c>
      <c r="D3325" t="inlineStr">
        <is>
          <t>Taxes Payable</t>
        </is>
      </c>
      <c r="E3325" t="n">
        <v>200010530</v>
      </c>
      <c r="F3325" t="inlineStr">
        <is>
          <t>17762</t>
        </is>
      </c>
      <c r="G3325" t="inlineStr">
        <is>
          <t>UE</t>
        </is>
      </c>
      <c r="H3325" s="12" t="n">
        <v>-449.21</v>
      </c>
      <c r="I3325" s="17" t="n">
        <v>44915</v>
      </c>
      <c r="J3325" s="17" t="n">
        <v>44915</v>
      </c>
      <c r="K3325" t="inlineStr">
        <is>
          <t>1162435</t>
        </is>
      </c>
    </row>
    <row r="3326">
      <c r="A3326" t="inlineStr">
        <is>
          <t>101358</t>
        </is>
      </c>
      <c r="B3326" t="inlineStr">
        <is>
          <t>MUNICIPIO DE LAJES</t>
        </is>
      </c>
      <c r="C3326" t="n">
        <v>2111000000</v>
      </c>
      <c r="D3326" t="inlineStr">
        <is>
          <t>Taxes Payable</t>
        </is>
      </c>
      <c r="E3326" t="n">
        <v>200010532</v>
      </c>
      <c r="F3326" t="inlineStr">
        <is>
          <t>17764</t>
        </is>
      </c>
      <c r="G3326" t="inlineStr">
        <is>
          <t>UE</t>
        </is>
      </c>
      <c r="H3326" s="12" t="n">
        <v>-1191</v>
      </c>
      <c r="I3326" s="17" t="n">
        <v>44993</v>
      </c>
      <c r="J3326" s="17" t="n">
        <v>44993</v>
      </c>
      <c r="K3326" t="inlineStr">
        <is>
          <t>1162438</t>
        </is>
      </c>
    </row>
    <row r="3327">
      <c r="A3327" t="inlineStr">
        <is>
          <t>101358</t>
        </is>
      </c>
      <c r="B3327" t="inlineStr">
        <is>
          <t>MUNICIPIO DE LAJES</t>
        </is>
      </c>
      <c r="C3327" t="n">
        <v>2111000000</v>
      </c>
      <c r="D3327" t="inlineStr">
        <is>
          <t>Taxes Payable</t>
        </is>
      </c>
      <c r="E3327" t="n">
        <v>200010534</v>
      </c>
      <c r="F3327" t="inlineStr">
        <is>
          <t>17766</t>
        </is>
      </c>
      <c r="G3327" t="inlineStr">
        <is>
          <t>UE</t>
        </is>
      </c>
      <c r="H3327" s="12" t="n">
        <v>-96</v>
      </c>
      <c r="I3327" s="17" t="n">
        <v>44993</v>
      </c>
      <c r="J3327" s="17" t="n">
        <v>44993</v>
      </c>
      <c r="K3327" t="inlineStr">
        <is>
          <t>1162439</t>
        </is>
      </c>
    </row>
    <row r="3328">
      <c r="A3328" t="inlineStr">
        <is>
          <t>101358</t>
        </is>
      </c>
      <c r="B3328" t="inlineStr">
        <is>
          <t>MUNICIPIO DE LAJES</t>
        </is>
      </c>
      <c r="C3328" t="n">
        <v>2111000000</v>
      </c>
      <c r="D3328" t="inlineStr">
        <is>
          <t>Taxes Payable</t>
        </is>
      </c>
      <c r="E3328" t="n">
        <v>200010536</v>
      </c>
      <c r="F3328" t="inlineStr">
        <is>
          <t>17768</t>
        </is>
      </c>
      <c r="G3328" t="inlineStr">
        <is>
          <t>UE</t>
        </is>
      </c>
      <c r="H3328" s="12" t="n">
        <v>-1860.6</v>
      </c>
      <c r="I3328" s="17" t="n">
        <v>44956</v>
      </c>
      <c r="J3328" s="17" t="n">
        <v>44956</v>
      </c>
      <c r="K3328" t="inlineStr">
        <is>
          <t>1162547</t>
        </is>
      </c>
    </row>
    <row r="3329">
      <c r="A3329" t="inlineStr">
        <is>
          <t>101358</t>
        </is>
      </c>
      <c r="B3329" t="inlineStr">
        <is>
          <t>MUNICIPIO DE LAJES</t>
        </is>
      </c>
      <c r="C3329" t="n">
        <v>2111000000</v>
      </c>
      <c r="D3329" t="inlineStr">
        <is>
          <t>Taxes Payable</t>
        </is>
      </c>
      <c r="E3329" t="n">
        <v>200010539</v>
      </c>
      <c r="F3329" t="inlineStr">
        <is>
          <t>17770</t>
        </is>
      </c>
      <c r="G3329" t="inlineStr">
        <is>
          <t>UE</t>
        </is>
      </c>
      <c r="H3329" s="12" t="n">
        <v>-1311.43</v>
      </c>
      <c r="I3329" s="17" t="n">
        <v>45001</v>
      </c>
      <c r="J3329" s="17" t="n">
        <v>45001</v>
      </c>
      <c r="K3329" t="inlineStr">
        <is>
          <t>1167879</t>
        </is>
      </c>
    </row>
    <row r="3330">
      <c r="A3330" t="inlineStr">
        <is>
          <t>101763</t>
        </is>
      </c>
      <c r="B3330" t="inlineStr">
        <is>
          <t>MUNICIPIO DE LAGOA DO BARRO DO PIAU</t>
        </is>
      </c>
      <c r="C3330" t="n">
        <v>2111000000</v>
      </c>
      <c r="D3330" t="inlineStr">
        <is>
          <t>Taxes Payable</t>
        </is>
      </c>
      <c r="E3330" t="n">
        <v>200010541</v>
      </c>
      <c r="F3330" t="inlineStr">
        <is>
          <t>17772</t>
        </is>
      </c>
      <c r="G3330" t="inlineStr">
        <is>
          <t>UE</t>
        </is>
      </c>
      <c r="H3330" s="12" t="n">
        <v>-5430.59</v>
      </c>
      <c r="I3330" s="17" t="n">
        <v>44998</v>
      </c>
      <c r="J3330" s="17" t="n">
        <v>44998</v>
      </c>
      <c r="K3330" t="inlineStr">
        <is>
          <t>1168892</t>
        </is>
      </c>
    </row>
    <row r="3331">
      <c r="A3331" t="inlineStr">
        <is>
          <t>101358</t>
        </is>
      </c>
      <c r="B3331" t="inlineStr">
        <is>
          <t>MUNICIPIO DE LAJES</t>
        </is>
      </c>
      <c r="C3331" t="n">
        <v>2111000000</v>
      </c>
      <c r="D3331" t="inlineStr">
        <is>
          <t>Taxes Payable</t>
        </is>
      </c>
      <c r="E3331" t="n">
        <v>200010543</v>
      </c>
      <c r="F3331" t="inlineStr">
        <is>
          <t>17774</t>
        </is>
      </c>
      <c r="G3331" t="inlineStr">
        <is>
          <t>UE</t>
        </is>
      </c>
      <c r="H3331" s="12" t="n">
        <v>-2642.53</v>
      </c>
      <c r="I3331" s="17" t="n">
        <v>45092</v>
      </c>
      <c r="J3331" s="17" t="n">
        <v>45092</v>
      </c>
      <c r="K3331" t="inlineStr">
        <is>
          <t>1178732</t>
        </is>
      </c>
    </row>
    <row r="3332">
      <c r="A3332" t="inlineStr">
        <is>
          <t>101358</t>
        </is>
      </c>
      <c r="B3332" t="inlineStr">
        <is>
          <t>MUNICIPIO DE LAJES</t>
        </is>
      </c>
      <c r="C3332" t="n">
        <v>2111000000</v>
      </c>
      <c r="D3332" t="inlineStr">
        <is>
          <t>Taxes Payable</t>
        </is>
      </c>
      <c r="E3332" t="n">
        <v>200010545</v>
      </c>
      <c r="F3332" t="inlineStr">
        <is>
          <t>17776</t>
        </is>
      </c>
      <c r="G3332" t="inlineStr">
        <is>
          <t>UE</t>
        </is>
      </c>
      <c r="H3332" s="12" t="n">
        <v>-60</v>
      </c>
      <c r="I3332" s="17" t="n">
        <v>45092</v>
      </c>
      <c r="J3332" s="17" t="n">
        <v>45092</v>
      </c>
      <c r="K3332" t="inlineStr">
        <is>
          <t>1180130</t>
        </is>
      </c>
    </row>
    <row r="3333">
      <c r="A3333" t="inlineStr">
        <is>
          <t>101763</t>
        </is>
      </c>
      <c r="B3333" t="inlineStr">
        <is>
          <t>MUNICIPIO DE LAGOA DO BARRO DO PIAU</t>
        </is>
      </c>
      <c r="C3333" t="n">
        <v>2111000000</v>
      </c>
      <c r="D3333" t="inlineStr">
        <is>
          <t>Taxes Payable</t>
        </is>
      </c>
      <c r="E3333" t="n">
        <v>200010564</v>
      </c>
      <c r="F3333" t="inlineStr">
        <is>
          <t>17793</t>
        </is>
      </c>
      <c r="G3333" t="inlineStr">
        <is>
          <t>UE</t>
        </is>
      </c>
      <c r="H3333" s="12" t="n">
        <v>-3187.53</v>
      </c>
      <c r="I3333" s="17" t="n">
        <v>44928</v>
      </c>
      <c r="J3333" s="17" t="n">
        <v>44928</v>
      </c>
      <c r="K3333" t="inlineStr">
        <is>
          <t>1149473</t>
        </is>
      </c>
    </row>
    <row r="3334">
      <c r="A3334" t="inlineStr">
        <is>
          <t>101763</t>
        </is>
      </c>
      <c r="B3334" t="inlineStr">
        <is>
          <t>MUNICIPIO DE LAGOA DO BARRO DO PIAU</t>
        </is>
      </c>
      <c r="C3334" t="n">
        <v>2111000000</v>
      </c>
      <c r="D3334" t="inlineStr">
        <is>
          <t>Taxes Payable</t>
        </is>
      </c>
      <c r="E3334" t="n">
        <v>200010565</v>
      </c>
      <c r="F3334" t="inlineStr">
        <is>
          <t>17794</t>
        </is>
      </c>
      <c r="G3334" t="inlineStr">
        <is>
          <t>UE</t>
        </is>
      </c>
      <c r="H3334" s="12" t="n">
        <v>-3879.78</v>
      </c>
      <c r="I3334" s="17" t="n">
        <v>44959</v>
      </c>
      <c r="J3334" s="17" t="n">
        <v>44959</v>
      </c>
      <c r="K3334" t="inlineStr">
        <is>
          <t>1162511</t>
        </is>
      </c>
    </row>
    <row r="3335">
      <c r="A3335" t="inlineStr">
        <is>
          <t>101763</t>
        </is>
      </c>
      <c r="B3335" t="inlineStr">
        <is>
          <t>MUNICIPIO DE LAGOA DO BARRO DO PIAU</t>
        </is>
      </c>
      <c r="C3335" t="n">
        <v>2111000000</v>
      </c>
      <c r="D3335" t="inlineStr">
        <is>
          <t>Taxes Payable</t>
        </is>
      </c>
      <c r="E3335" t="n">
        <v>200010567</v>
      </c>
      <c r="F3335" t="inlineStr">
        <is>
          <t>17796</t>
        </is>
      </c>
      <c r="G3335" t="inlineStr">
        <is>
          <t>UE</t>
        </is>
      </c>
      <c r="H3335" s="12" t="n">
        <v>-3879.78</v>
      </c>
      <c r="I3335" s="17" t="n">
        <v>44987</v>
      </c>
      <c r="J3335" s="17" t="n">
        <v>44987</v>
      </c>
      <c r="K3335" t="inlineStr">
        <is>
          <t>1162514</t>
        </is>
      </c>
    </row>
    <row r="3336">
      <c r="A3336" t="inlineStr">
        <is>
          <t>101763</t>
        </is>
      </c>
      <c r="B3336" t="inlineStr">
        <is>
          <t>MUNICIPIO DE LAGOA DO BARRO DO PIAU</t>
        </is>
      </c>
      <c r="C3336" t="n">
        <v>2111000000</v>
      </c>
      <c r="D3336" t="inlineStr">
        <is>
          <t>Taxes Payable</t>
        </is>
      </c>
      <c r="E3336" t="n">
        <v>200010574</v>
      </c>
      <c r="F3336" t="inlineStr">
        <is>
          <t>17801</t>
        </is>
      </c>
      <c r="G3336" t="inlineStr">
        <is>
          <t>UE</t>
        </is>
      </c>
      <c r="H3336" s="12" t="n">
        <v>-2454.6</v>
      </c>
      <c r="I3336" s="17" t="n">
        <v>45054</v>
      </c>
      <c r="J3336" s="17" t="n">
        <v>45054</v>
      </c>
      <c r="K3336" t="inlineStr">
        <is>
          <t>1177312</t>
        </is>
      </c>
    </row>
    <row r="3337">
      <c r="A3337" t="inlineStr">
        <is>
          <t>101358</t>
        </is>
      </c>
      <c r="B3337" t="inlineStr">
        <is>
          <t>MUNICIPIO DE LAJES</t>
        </is>
      </c>
      <c r="C3337" t="n">
        <v>2111000000</v>
      </c>
      <c r="D3337" t="inlineStr">
        <is>
          <t>Taxes Payable</t>
        </is>
      </c>
      <c r="E3337" t="n">
        <v>200010587</v>
      </c>
      <c r="F3337" t="inlineStr">
        <is>
          <t>17813</t>
        </is>
      </c>
      <c r="G3337" t="inlineStr">
        <is>
          <t>UE</t>
        </is>
      </c>
      <c r="H3337" s="12" t="n">
        <v>-310.33</v>
      </c>
      <c r="I3337" s="17" t="n">
        <v>44876</v>
      </c>
      <c r="J3337" s="17" t="n">
        <v>44876</v>
      </c>
      <c r="K3337" t="inlineStr">
        <is>
          <t>1132835</t>
        </is>
      </c>
    </row>
    <row r="3338">
      <c r="A3338" t="inlineStr">
        <is>
          <t>101358</t>
        </is>
      </c>
      <c r="B3338" t="inlineStr">
        <is>
          <t>MUNICIPIO DE LAJES</t>
        </is>
      </c>
      <c r="C3338" t="n">
        <v>2111000000</v>
      </c>
      <c r="D3338" t="inlineStr">
        <is>
          <t>Taxes Payable</t>
        </is>
      </c>
      <c r="E3338" t="n">
        <v>200010588</v>
      </c>
      <c r="F3338" t="inlineStr">
        <is>
          <t>17814</t>
        </is>
      </c>
      <c r="G3338" t="inlineStr">
        <is>
          <t>UE</t>
        </is>
      </c>
      <c r="H3338" s="12" t="n">
        <v>-245.03</v>
      </c>
      <c r="I3338" s="17" t="n">
        <v>44876</v>
      </c>
      <c r="J3338" s="17" t="n">
        <v>44876</v>
      </c>
      <c r="K3338" t="inlineStr">
        <is>
          <t>1132838</t>
        </is>
      </c>
    </row>
    <row r="3339">
      <c r="A3339" t="inlineStr">
        <is>
          <t>101358</t>
        </is>
      </c>
      <c r="B3339" t="inlineStr">
        <is>
          <t>MUNICIPIO DE LAJES</t>
        </is>
      </c>
      <c r="C3339" t="n">
        <v>2111000000</v>
      </c>
      <c r="D3339" t="inlineStr">
        <is>
          <t>Taxes Payable</t>
        </is>
      </c>
      <c r="E3339" t="n">
        <v>200010589</v>
      </c>
      <c r="F3339" t="inlineStr">
        <is>
          <t>17815</t>
        </is>
      </c>
      <c r="G3339" t="inlineStr">
        <is>
          <t>UE</t>
        </is>
      </c>
      <c r="H3339" s="12" t="n">
        <v>-4111.56</v>
      </c>
      <c r="I3339" s="17" t="n">
        <v>44876</v>
      </c>
      <c r="J3339" s="17" t="n">
        <v>44876</v>
      </c>
      <c r="K3339" t="inlineStr">
        <is>
          <t>1132840</t>
        </is>
      </c>
    </row>
    <row r="3340">
      <c r="A3340" t="inlineStr">
        <is>
          <t>101763</t>
        </is>
      </c>
      <c r="B3340" t="inlineStr">
        <is>
          <t>MUNICIPIO DE LAGOA DO BARRO DO PIAU</t>
        </is>
      </c>
      <c r="C3340" t="n">
        <v>2111000000</v>
      </c>
      <c r="D3340" t="inlineStr">
        <is>
          <t>Taxes Payable</t>
        </is>
      </c>
      <c r="E3340" t="n">
        <v>200010591</v>
      </c>
      <c r="F3340" t="inlineStr">
        <is>
          <t>17817</t>
        </is>
      </c>
      <c r="G3340" t="inlineStr">
        <is>
          <t>UE</t>
        </is>
      </c>
      <c r="H3340" s="12" t="n">
        <v>-14408.99</v>
      </c>
      <c r="I3340" s="17" t="n">
        <v>45065</v>
      </c>
      <c r="J3340" s="17" t="n">
        <v>45065</v>
      </c>
      <c r="K3340" t="inlineStr">
        <is>
          <t>1177322</t>
        </is>
      </c>
    </row>
    <row r="3341">
      <c r="A3341" t="inlineStr">
        <is>
          <t>100833</t>
        </is>
      </c>
      <c r="B3341" t="inlineStr">
        <is>
          <t>MUNICIPIO DE JANDAIRA</t>
        </is>
      </c>
      <c r="C3341" t="n">
        <v>2111000000</v>
      </c>
      <c r="D3341" t="inlineStr">
        <is>
          <t>Taxes Payable</t>
        </is>
      </c>
      <c r="E3341" t="n">
        <v>200010602</v>
      </c>
      <c r="F3341" t="inlineStr">
        <is>
          <t>17827</t>
        </is>
      </c>
      <c r="G3341" t="inlineStr">
        <is>
          <t>UE</t>
        </is>
      </c>
      <c r="H3341" s="12" t="n">
        <v>-4727.2</v>
      </c>
      <c r="I3341" s="17" t="n">
        <v>44931</v>
      </c>
      <c r="J3341" s="17" t="n">
        <v>44931</v>
      </c>
      <c r="K3341" t="inlineStr">
        <is>
          <t>1151585</t>
        </is>
      </c>
    </row>
    <row r="3342">
      <c r="A3342" t="inlineStr">
        <is>
          <t>101763</t>
        </is>
      </c>
      <c r="B3342" t="inlineStr">
        <is>
          <t>MUNICIPIO DE LAGOA DO BARRO DO PIAU</t>
        </is>
      </c>
      <c r="C3342" t="n">
        <v>2111000000</v>
      </c>
      <c r="D3342" t="inlineStr">
        <is>
          <t>Taxes Payable</t>
        </is>
      </c>
      <c r="E3342" t="n">
        <v>200010610</v>
      </c>
      <c r="F3342" t="inlineStr">
        <is>
          <t>17834</t>
        </is>
      </c>
      <c r="G3342" t="inlineStr">
        <is>
          <t>UE</t>
        </is>
      </c>
      <c r="H3342" s="12" t="n">
        <v>-2300</v>
      </c>
      <c r="I3342" s="17" t="n">
        <v>44967</v>
      </c>
      <c r="J3342" s="17" t="n">
        <v>44967</v>
      </c>
      <c r="K3342" t="inlineStr">
        <is>
          <t>1162451</t>
        </is>
      </c>
    </row>
    <row r="3343">
      <c r="A3343" t="inlineStr">
        <is>
          <t>102332</t>
        </is>
      </c>
      <c r="B3343" t="inlineStr">
        <is>
          <t>RAFAEL ANTONIO SAADI</t>
        </is>
      </c>
      <c r="C3343" t="n">
        <v>2111000000</v>
      </c>
      <c r="D3343" t="inlineStr">
        <is>
          <t>Other Suppliers</t>
        </is>
      </c>
      <c r="E3343" t="n">
        <v>200010611</v>
      </c>
      <c r="F3343" t="inlineStr">
        <is>
          <t>17835</t>
        </is>
      </c>
      <c r="G3343" t="inlineStr">
        <is>
          <t>UE</t>
        </is>
      </c>
      <c r="H3343" s="12" t="n">
        <v>-9149.450000000001</v>
      </c>
      <c r="I3343" s="17" t="n">
        <v>45110</v>
      </c>
      <c r="J3343" s="17" t="n">
        <v>45110</v>
      </c>
      <c r="K3343" t="inlineStr">
        <is>
          <t>1180152</t>
        </is>
      </c>
    </row>
    <row r="3344">
      <c r="A3344" t="inlineStr">
        <is>
          <t>100759</t>
        </is>
      </c>
      <c r="B3344" t="inlineStr">
        <is>
          <t>MUNICIPIO DE UIBAI</t>
        </is>
      </c>
      <c r="C3344" t="n">
        <v>2111000000</v>
      </c>
      <c r="D3344" t="inlineStr">
        <is>
          <t>Taxes Payable</t>
        </is>
      </c>
      <c r="E3344" t="n">
        <v>200010623</v>
      </c>
      <c r="F3344" t="inlineStr">
        <is>
          <t>17846</t>
        </is>
      </c>
      <c r="G3344" t="inlineStr">
        <is>
          <t>UE</t>
        </is>
      </c>
      <c r="H3344" s="12" t="n">
        <v>-1769.79</v>
      </c>
      <c r="I3344" s="17" t="n">
        <v>45048</v>
      </c>
      <c r="J3344" s="17" t="n">
        <v>45048</v>
      </c>
      <c r="K3344" t="inlineStr">
        <is>
          <t>1169837</t>
        </is>
      </c>
    </row>
    <row r="3345">
      <c r="A3345" t="inlineStr">
        <is>
          <t>100759</t>
        </is>
      </c>
      <c r="B3345" t="inlineStr">
        <is>
          <t>MUNICIPIO DE UIBAI</t>
        </is>
      </c>
      <c r="C3345" t="n">
        <v>2111000000</v>
      </c>
      <c r="D3345" t="inlineStr">
        <is>
          <t>Taxes Payable</t>
        </is>
      </c>
      <c r="E3345" t="n">
        <v>200010624</v>
      </c>
      <c r="F3345" t="inlineStr">
        <is>
          <t>17847</t>
        </is>
      </c>
      <c r="G3345" t="inlineStr">
        <is>
          <t>UE</t>
        </is>
      </c>
      <c r="H3345" s="12" t="n">
        <v>-2933.52</v>
      </c>
      <c r="I3345" s="17" t="n">
        <v>45061</v>
      </c>
      <c r="J3345" s="17" t="n">
        <v>45061</v>
      </c>
      <c r="K3345" t="inlineStr">
        <is>
          <t>1171285</t>
        </is>
      </c>
    </row>
    <row r="3346">
      <c r="A3346" t="inlineStr">
        <is>
          <t>100759</t>
        </is>
      </c>
      <c r="B3346" t="inlineStr">
        <is>
          <t>MUNICIPIO DE UIBAI</t>
        </is>
      </c>
      <c r="C3346" t="n">
        <v>2111000000</v>
      </c>
      <c r="D3346" t="inlineStr">
        <is>
          <t>Taxes Payable</t>
        </is>
      </c>
      <c r="E3346" t="n">
        <v>200010625</v>
      </c>
      <c r="F3346" t="inlineStr">
        <is>
          <t>17848</t>
        </is>
      </c>
      <c r="G3346" t="inlineStr">
        <is>
          <t>UE</t>
        </is>
      </c>
      <c r="H3346" s="12" t="n">
        <v>-2063.05</v>
      </c>
      <c r="I3346" s="17" t="n">
        <v>45058</v>
      </c>
      <c r="J3346" s="17" t="n">
        <v>45058</v>
      </c>
      <c r="K3346" t="inlineStr">
        <is>
          <t>1171292</t>
        </is>
      </c>
    </row>
    <row r="3347">
      <c r="A3347" t="inlineStr">
        <is>
          <t>101358</t>
        </is>
      </c>
      <c r="B3347" t="inlineStr">
        <is>
          <t>MUNICIPIO DE LAJES</t>
        </is>
      </c>
      <c r="C3347" t="n">
        <v>2111000000</v>
      </c>
      <c r="D3347" t="inlineStr">
        <is>
          <t>Taxes Payable</t>
        </is>
      </c>
      <c r="E3347" t="n">
        <v>200010626</v>
      </c>
      <c r="F3347" t="inlineStr">
        <is>
          <t>17849</t>
        </is>
      </c>
      <c r="G3347" t="inlineStr">
        <is>
          <t>UE</t>
        </is>
      </c>
      <c r="H3347" s="12" t="n">
        <v>-2387.83</v>
      </c>
      <c r="I3347" s="17" t="n">
        <v>45070</v>
      </c>
      <c r="J3347" s="17" t="n">
        <v>45070</v>
      </c>
      <c r="K3347" t="inlineStr">
        <is>
          <t>1173368</t>
        </is>
      </c>
    </row>
    <row r="3348">
      <c r="A3348" t="inlineStr">
        <is>
          <t>101358</t>
        </is>
      </c>
      <c r="B3348" t="inlineStr">
        <is>
          <t>MUNICIPIO DE LAJES</t>
        </is>
      </c>
      <c r="C3348" t="n">
        <v>2111000000</v>
      </c>
      <c r="D3348" t="inlineStr">
        <is>
          <t>Taxes Payable</t>
        </is>
      </c>
      <c r="E3348" t="n">
        <v>200010628</v>
      </c>
      <c r="F3348" t="inlineStr">
        <is>
          <t>17850</t>
        </is>
      </c>
      <c r="G3348" t="inlineStr">
        <is>
          <t>UE</t>
        </is>
      </c>
      <c r="H3348" s="12" t="n">
        <v>-2588.06</v>
      </c>
      <c r="I3348" s="17" t="n">
        <v>45070</v>
      </c>
      <c r="J3348" s="17" t="n">
        <v>45070</v>
      </c>
      <c r="K3348" t="inlineStr">
        <is>
          <t>1173377</t>
        </is>
      </c>
    </row>
    <row r="3349">
      <c r="A3349" t="inlineStr">
        <is>
          <t>101358</t>
        </is>
      </c>
      <c r="B3349" t="inlineStr">
        <is>
          <t>MUNICIPIO DE LAJES</t>
        </is>
      </c>
      <c r="C3349" t="n">
        <v>2111000000</v>
      </c>
      <c r="D3349" t="inlineStr">
        <is>
          <t>Taxes Payable</t>
        </is>
      </c>
      <c r="E3349" t="n">
        <v>200010629</v>
      </c>
      <c r="F3349" t="inlineStr">
        <is>
          <t>17851</t>
        </is>
      </c>
      <c r="G3349" t="inlineStr">
        <is>
          <t>UE</t>
        </is>
      </c>
      <c r="H3349" s="12" t="n">
        <v>-2132.65</v>
      </c>
      <c r="I3349" s="17" t="n">
        <v>45070</v>
      </c>
      <c r="J3349" s="17" t="n">
        <v>45070</v>
      </c>
      <c r="K3349" t="inlineStr">
        <is>
          <t>1173386</t>
        </is>
      </c>
    </row>
    <row r="3350">
      <c r="A3350" t="inlineStr">
        <is>
          <t>101358</t>
        </is>
      </c>
      <c r="B3350" t="inlineStr">
        <is>
          <t>MUNICIPIO DE LAJES</t>
        </is>
      </c>
      <c r="C3350" t="n">
        <v>2111000000</v>
      </c>
      <c r="D3350" t="inlineStr">
        <is>
          <t>Taxes Payable</t>
        </is>
      </c>
      <c r="E3350" t="n">
        <v>200010630</v>
      </c>
      <c r="F3350" t="inlineStr">
        <is>
          <t>17852</t>
        </is>
      </c>
      <c r="G3350" t="inlineStr">
        <is>
          <t>UE</t>
        </is>
      </c>
      <c r="H3350" s="12" t="n">
        <v>-2154.6</v>
      </c>
      <c r="I3350" s="17" t="n">
        <v>45070</v>
      </c>
      <c r="J3350" s="17" t="n">
        <v>45070</v>
      </c>
      <c r="K3350" t="inlineStr">
        <is>
          <t>1173393</t>
        </is>
      </c>
    </row>
    <row r="3351">
      <c r="A3351" t="inlineStr">
        <is>
          <t>101358</t>
        </is>
      </c>
      <c r="B3351" t="inlineStr">
        <is>
          <t>MUNICIPIO DE LAJES</t>
        </is>
      </c>
      <c r="C3351" t="n">
        <v>2111000000</v>
      </c>
      <c r="D3351" t="inlineStr">
        <is>
          <t>Taxes Payable</t>
        </is>
      </c>
      <c r="E3351" t="n">
        <v>200010631</v>
      </c>
      <c r="F3351" t="inlineStr">
        <is>
          <t>17853</t>
        </is>
      </c>
      <c r="G3351" t="inlineStr">
        <is>
          <t>UE</t>
        </is>
      </c>
      <c r="H3351" s="12" t="n">
        <v>-2173.25</v>
      </c>
      <c r="I3351" s="17" t="n">
        <v>45070</v>
      </c>
      <c r="J3351" s="17" t="n">
        <v>45070</v>
      </c>
      <c r="K3351" t="inlineStr">
        <is>
          <t>1173403</t>
        </is>
      </c>
    </row>
    <row r="3352">
      <c r="A3352" t="inlineStr">
        <is>
          <t>101763</t>
        </is>
      </c>
      <c r="B3352" t="inlineStr">
        <is>
          <t>MUNICIPIO DE LAGOA DO BARRO DO PIAU</t>
        </is>
      </c>
      <c r="C3352" t="n">
        <v>2111000000</v>
      </c>
      <c r="D3352" t="inlineStr">
        <is>
          <t>Taxes Payable</t>
        </is>
      </c>
      <c r="E3352" t="n">
        <v>200010633</v>
      </c>
      <c r="F3352" t="inlineStr">
        <is>
          <t>17855</t>
        </is>
      </c>
      <c r="G3352" t="inlineStr">
        <is>
          <t>UE</t>
        </is>
      </c>
      <c r="H3352" s="12" t="n">
        <v>-10978.63</v>
      </c>
      <c r="I3352" s="17" t="n">
        <v>45099</v>
      </c>
      <c r="J3352" s="17" t="n">
        <v>45099</v>
      </c>
      <c r="K3352" t="inlineStr">
        <is>
          <t>1178594</t>
        </is>
      </c>
    </row>
    <row r="3353">
      <c r="A3353" t="inlineStr">
        <is>
          <t>101320</t>
        </is>
      </c>
      <c r="B3353" t="inlineStr">
        <is>
          <t>MUNICIPIO DE QUEIMADA NOVA</t>
        </is>
      </c>
      <c r="C3353" t="n">
        <v>2111000000</v>
      </c>
      <c r="D3353" t="inlineStr">
        <is>
          <t>Taxes Payable</t>
        </is>
      </c>
      <c r="E3353" t="n">
        <v>200010675</v>
      </c>
      <c r="F3353" t="inlineStr">
        <is>
          <t>17893</t>
        </is>
      </c>
      <c r="G3353" t="inlineStr">
        <is>
          <t>UE</t>
        </is>
      </c>
      <c r="H3353" s="12" t="n">
        <v>-300</v>
      </c>
      <c r="I3353" s="17" t="n">
        <v>44958</v>
      </c>
      <c r="J3353" s="17" t="n">
        <v>44958</v>
      </c>
      <c r="K3353" t="inlineStr">
        <is>
          <t>1157485</t>
        </is>
      </c>
    </row>
    <row r="3354">
      <c r="A3354" t="inlineStr">
        <is>
          <t>101763</t>
        </is>
      </c>
      <c r="B3354" t="inlineStr">
        <is>
          <t>MUNICIPIO DE LAGOA DO BARRO DO PIAU</t>
        </is>
      </c>
      <c r="C3354" t="n">
        <v>2111000000</v>
      </c>
      <c r="D3354" t="inlineStr">
        <is>
          <t>Taxes Payable</t>
        </is>
      </c>
      <c r="E3354" t="n">
        <v>200010676</v>
      </c>
      <c r="F3354" t="inlineStr">
        <is>
          <t>17894</t>
        </is>
      </c>
      <c r="G3354" t="inlineStr">
        <is>
          <t>UE</t>
        </is>
      </c>
      <c r="H3354" s="12" t="n">
        <v>-2900</v>
      </c>
      <c r="I3354" s="17" t="n">
        <v>44992</v>
      </c>
      <c r="J3354" s="17" t="n">
        <v>44992</v>
      </c>
      <c r="K3354" t="inlineStr">
        <is>
          <t>1161287</t>
        </is>
      </c>
    </row>
    <row r="3355">
      <c r="A3355" t="inlineStr">
        <is>
          <t>101763</t>
        </is>
      </c>
      <c r="B3355" t="inlineStr">
        <is>
          <t>MUNICIPIO DE LAGOA DO BARRO DO PIAU</t>
        </is>
      </c>
      <c r="C3355" t="n">
        <v>2111000000</v>
      </c>
      <c r="D3355" t="inlineStr">
        <is>
          <t>Taxes Payable</t>
        </is>
      </c>
      <c r="E3355" t="n">
        <v>200010677</v>
      </c>
      <c r="F3355" t="inlineStr">
        <is>
          <t>17895</t>
        </is>
      </c>
      <c r="G3355" t="inlineStr">
        <is>
          <t>UE</t>
        </is>
      </c>
      <c r="H3355" s="12" t="n">
        <v>-210</v>
      </c>
      <c r="I3355" s="17" t="n">
        <v>44992</v>
      </c>
      <c r="J3355" s="17" t="n">
        <v>44992</v>
      </c>
      <c r="K3355" t="inlineStr">
        <is>
          <t>1172055</t>
        </is>
      </c>
    </row>
    <row r="3356">
      <c r="A3356" t="inlineStr">
        <is>
          <t>100759</t>
        </is>
      </c>
      <c r="B3356" t="inlineStr">
        <is>
          <t>MUNICIPIO DE UIBAI</t>
        </is>
      </c>
      <c r="C3356" t="n">
        <v>2111000000</v>
      </c>
      <c r="D3356" t="inlineStr">
        <is>
          <t>Taxes Payable</t>
        </is>
      </c>
      <c r="E3356" t="n">
        <v>200010684</v>
      </c>
      <c r="F3356" t="inlineStr">
        <is>
          <t>17900</t>
        </is>
      </c>
      <c r="G3356" t="inlineStr">
        <is>
          <t>UE</t>
        </is>
      </c>
      <c r="H3356" s="12" t="n">
        <v>-735.88</v>
      </c>
      <c r="I3356" s="17" t="n">
        <v>45056</v>
      </c>
      <c r="J3356" s="17" t="n">
        <v>45056</v>
      </c>
      <c r="K3356" t="inlineStr">
        <is>
          <t>1171427</t>
        </is>
      </c>
    </row>
    <row r="3357">
      <c r="A3357" t="inlineStr">
        <is>
          <t>100446</t>
        </is>
      </c>
      <c r="B3357" t="inlineStr">
        <is>
          <t>DSV AIR &amp; SEA BRASIL LTDA</t>
        </is>
      </c>
      <c r="C3357" t="n">
        <v>2111000000</v>
      </c>
      <c r="D3357" t="inlineStr">
        <is>
          <t>Customs Brokerage – Overall</t>
        </is>
      </c>
      <c r="E3357" t="n">
        <v>200010685</v>
      </c>
      <c r="F3357" t="inlineStr">
        <is>
          <t>17901</t>
        </is>
      </c>
      <c r="G3357" t="inlineStr">
        <is>
          <t>UE</t>
        </is>
      </c>
      <c r="H3357" s="12" t="n">
        <v>-1171.34</v>
      </c>
      <c r="I3357" s="17" t="n">
        <v>44594</v>
      </c>
      <c r="J3357" s="17" t="n">
        <v>44594</v>
      </c>
      <c r="K3357" t="inlineStr">
        <is>
          <t>1144123</t>
        </is>
      </c>
    </row>
    <row r="3358">
      <c r="A3358" t="inlineStr">
        <is>
          <t>100447</t>
        </is>
      </c>
      <c r="B3358" t="inlineStr">
        <is>
          <t>DSV AIR &amp; SEA BRASIL LTDA</t>
        </is>
      </c>
      <c r="C3358" t="n">
        <v>2111000000</v>
      </c>
      <c r="D3358" t="inlineStr">
        <is>
          <t>Customs Brokerage – Overall</t>
        </is>
      </c>
      <c r="E3358" t="n">
        <v>200010687</v>
      </c>
      <c r="F3358" t="inlineStr">
        <is>
          <t>17903</t>
        </is>
      </c>
      <c r="G3358" t="inlineStr">
        <is>
          <t>UE</t>
        </is>
      </c>
      <c r="H3358" s="12" t="n">
        <v>-1182.28</v>
      </c>
      <c r="I3358" s="17" t="n">
        <v>44599</v>
      </c>
      <c r="J3358" s="17" t="n">
        <v>44599</v>
      </c>
      <c r="K3358" t="inlineStr">
        <is>
          <t>1148546</t>
        </is>
      </c>
    </row>
    <row r="3359">
      <c r="A3359" t="inlineStr">
        <is>
          <t>101763</t>
        </is>
      </c>
      <c r="B3359" t="inlineStr">
        <is>
          <t>MUNICIPIO DE LAGOA DO BARRO DO PIAU</t>
        </is>
      </c>
      <c r="C3359" t="n">
        <v>2111000000</v>
      </c>
      <c r="D3359" t="inlineStr">
        <is>
          <t>Taxes Payable</t>
        </is>
      </c>
      <c r="E3359" t="n">
        <v>200010695</v>
      </c>
      <c r="F3359" t="inlineStr">
        <is>
          <t>17910</t>
        </is>
      </c>
      <c r="G3359" t="inlineStr">
        <is>
          <t>UE</t>
        </is>
      </c>
      <c r="H3359" s="12" t="n">
        <v>-62</v>
      </c>
      <c r="I3359" s="17" t="n">
        <v>45100</v>
      </c>
      <c r="J3359" s="17" t="n">
        <v>45100</v>
      </c>
      <c r="K3359" t="inlineStr">
        <is>
          <t>1178345</t>
        </is>
      </c>
    </row>
    <row r="3360">
      <c r="A3360" t="inlineStr">
        <is>
          <t>101763</t>
        </is>
      </c>
      <c r="B3360" t="inlineStr">
        <is>
          <t>MUNICIPIO DE LAGOA DO BARRO DO PIAU</t>
        </is>
      </c>
      <c r="C3360" t="n">
        <v>2111000000</v>
      </c>
      <c r="D3360" t="inlineStr">
        <is>
          <t>Taxes Payable</t>
        </is>
      </c>
      <c r="E3360" t="n">
        <v>200010697</v>
      </c>
      <c r="F3360" t="inlineStr">
        <is>
          <t>17912</t>
        </is>
      </c>
      <c r="G3360" t="inlineStr">
        <is>
          <t>UE</t>
        </is>
      </c>
      <c r="H3360" s="12" t="n">
        <v>-28</v>
      </c>
      <c r="I3360" s="17" t="n">
        <v>45100</v>
      </c>
      <c r="J3360" s="17" t="n">
        <v>45100</v>
      </c>
      <c r="K3360" t="inlineStr">
        <is>
          <t>1178359</t>
        </is>
      </c>
    </row>
    <row r="3361">
      <c r="A3361" t="inlineStr">
        <is>
          <t>100759</t>
        </is>
      </c>
      <c r="B3361" t="inlineStr">
        <is>
          <t>MUNICIPIO DE UIBAI</t>
        </is>
      </c>
      <c r="C3361" t="n">
        <v>2111000000</v>
      </c>
      <c r="D3361" t="inlineStr">
        <is>
          <t>Taxes Payable</t>
        </is>
      </c>
      <c r="E3361" t="n">
        <v>200010699</v>
      </c>
      <c r="F3361" t="inlineStr">
        <is>
          <t>17914</t>
        </is>
      </c>
      <c r="G3361" t="inlineStr">
        <is>
          <t>UE</t>
        </is>
      </c>
      <c r="H3361" s="12" t="n">
        <v>-70</v>
      </c>
      <c r="I3361" s="17" t="n">
        <v>45100</v>
      </c>
      <c r="J3361" s="17" t="n">
        <v>45100</v>
      </c>
      <c r="K3361" t="inlineStr">
        <is>
          <t>1178380</t>
        </is>
      </c>
    </row>
    <row r="3362">
      <c r="A3362" t="inlineStr">
        <is>
          <t>101562</t>
        </is>
      </c>
      <c r="B3362" t="inlineStr">
        <is>
          <t>MUNICIPIO DE DIAS D AVILA</t>
        </is>
      </c>
      <c r="C3362" t="n">
        <v>2111000000</v>
      </c>
      <c r="D3362" t="inlineStr">
        <is>
          <t>Taxes Payable</t>
        </is>
      </c>
      <c r="E3362" t="n">
        <v>200010713</v>
      </c>
      <c r="F3362" t="inlineStr">
        <is>
          <t>17927</t>
        </is>
      </c>
      <c r="G3362" t="inlineStr">
        <is>
          <t>UE</t>
        </is>
      </c>
      <c r="H3362" s="12" t="n">
        <v>-3728.47</v>
      </c>
      <c r="I3362" s="17" t="n">
        <v>44939</v>
      </c>
      <c r="J3362" s="17" t="n">
        <v>44939</v>
      </c>
      <c r="K3362" t="inlineStr">
        <is>
          <t>1149445</t>
        </is>
      </c>
    </row>
    <row r="3363">
      <c r="A3363" t="inlineStr">
        <is>
          <t>101562</t>
        </is>
      </c>
      <c r="B3363" t="inlineStr">
        <is>
          <t>MUNICIPIO DE DIAS D AVILA</t>
        </is>
      </c>
      <c r="C3363" t="n">
        <v>2111000000</v>
      </c>
      <c r="D3363" t="inlineStr">
        <is>
          <t>Taxes Payable</t>
        </is>
      </c>
      <c r="E3363" t="n">
        <v>200010714</v>
      </c>
      <c r="F3363" t="inlineStr">
        <is>
          <t>17928</t>
        </is>
      </c>
      <c r="G3363" t="inlineStr">
        <is>
          <t>UE</t>
        </is>
      </c>
      <c r="H3363" s="12" t="n">
        <v>-11185.42</v>
      </c>
      <c r="I3363" s="17" t="n">
        <v>44946</v>
      </c>
      <c r="J3363" s="17" t="n">
        <v>44946</v>
      </c>
      <c r="K3363" t="inlineStr">
        <is>
          <t>1149447</t>
        </is>
      </c>
    </row>
    <row r="3364">
      <c r="A3364" t="inlineStr">
        <is>
          <t>101763</t>
        </is>
      </c>
      <c r="B3364" t="inlineStr">
        <is>
          <t>MUNICIPIO DE LAGOA DO BARRO DO PIAU</t>
        </is>
      </c>
      <c r="C3364" t="n">
        <v>2111000000</v>
      </c>
      <c r="D3364" t="inlineStr">
        <is>
          <t>Taxes Payable</t>
        </is>
      </c>
      <c r="E3364" t="n">
        <v>200010715</v>
      </c>
      <c r="F3364" t="inlineStr">
        <is>
          <t>17929</t>
        </is>
      </c>
      <c r="G3364" t="inlineStr">
        <is>
          <t>UE</t>
        </is>
      </c>
      <c r="H3364" s="12" t="n">
        <v>-519.75</v>
      </c>
      <c r="I3364" s="17" t="n">
        <v>44916</v>
      </c>
      <c r="J3364" s="17" t="n">
        <v>44916</v>
      </c>
      <c r="K3364" t="inlineStr">
        <is>
          <t>1148304</t>
        </is>
      </c>
    </row>
    <row r="3365">
      <c r="A3365" t="inlineStr">
        <is>
          <t>101763</t>
        </is>
      </c>
      <c r="B3365" t="inlineStr">
        <is>
          <t>MUNICIPIO DE LAGOA DO BARRO DO PIAU</t>
        </is>
      </c>
      <c r="C3365" t="n">
        <v>2111000000</v>
      </c>
      <c r="D3365" t="inlineStr">
        <is>
          <t>Taxes Payable</t>
        </is>
      </c>
      <c r="E3365" t="n">
        <v>200010718</v>
      </c>
      <c r="F3365" t="inlineStr">
        <is>
          <t>17931</t>
        </is>
      </c>
      <c r="G3365" t="inlineStr">
        <is>
          <t>UE</t>
        </is>
      </c>
      <c r="H3365" s="12" t="n">
        <v>-6251.18</v>
      </c>
      <c r="I3365" s="17" t="n">
        <v>44957</v>
      </c>
      <c r="J3365" s="17" t="n">
        <v>44957</v>
      </c>
      <c r="K3365" t="inlineStr">
        <is>
          <t>1158922</t>
        </is>
      </c>
    </row>
    <row r="3366">
      <c r="A3366" t="inlineStr">
        <is>
          <t>101320</t>
        </is>
      </c>
      <c r="B3366" t="inlineStr">
        <is>
          <t>MUNICIPIO DE QUEIMADA NOVA</t>
        </is>
      </c>
      <c r="C3366" t="n">
        <v>2111000000</v>
      </c>
      <c r="D3366" t="inlineStr">
        <is>
          <t>Taxes Payable</t>
        </is>
      </c>
      <c r="E3366" t="n">
        <v>200010721</v>
      </c>
      <c r="F3366" t="inlineStr">
        <is>
          <t>17934</t>
        </is>
      </c>
      <c r="G3366" t="inlineStr">
        <is>
          <t>UE</t>
        </is>
      </c>
      <c r="H3366" s="12" t="n">
        <v>-2095</v>
      </c>
      <c r="I3366" s="17" t="n">
        <v>45021</v>
      </c>
      <c r="J3366" s="17" t="n">
        <v>45021</v>
      </c>
      <c r="K3366" t="inlineStr">
        <is>
          <t>1181565</t>
        </is>
      </c>
    </row>
    <row r="3367">
      <c r="A3367" t="inlineStr">
        <is>
          <t>101763</t>
        </is>
      </c>
      <c r="B3367" t="inlineStr">
        <is>
          <t>MUNICIPIO DE LAGOA DO BARRO DO PIAU</t>
        </is>
      </c>
      <c r="C3367" t="n">
        <v>2111000000</v>
      </c>
      <c r="D3367" t="inlineStr">
        <is>
          <t>Taxes Payable</t>
        </is>
      </c>
      <c r="E3367" t="n">
        <v>200010722</v>
      </c>
      <c r="F3367" t="inlineStr">
        <is>
          <t>17935</t>
        </is>
      </c>
      <c r="G3367" t="inlineStr">
        <is>
          <t>UE</t>
        </is>
      </c>
      <c r="H3367" s="12" t="n">
        <v>-5278.73</v>
      </c>
      <c r="I3367" s="17" t="n">
        <v>44967</v>
      </c>
      <c r="J3367" s="17" t="n">
        <v>44967</v>
      </c>
      <c r="K3367" t="inlineStr">
        <is>
          <t>1160992</t>
        </is>
      </c>
    </row>
    <row r="3368">
      <c r="A3368" t="inlineStr">
        <is>
          <t>101763</t>
        </is>
      </c>
      <c r="B3368" t="inlineStr">
        <is>
          <t>MUNICIPIO DE LAGOA DO BARRO DO PIAU</t>
        </is>
      </c>
      <c r="C3368" t="n">
        <v>2111000000</v>
      </c>
      <c r="D3368" t="inlineStr">
        <is>
          <t>Taxes Payable</t>
        </is>
      </c>
      <c r="E3368" t="n">
        <v>200010723</v>
      </c>
      <c r="F3368" t="inlineStr">
        <is>
          <t>17936</t>
        </is>
      </c>
      <c r="G3368" t="inlineStr">
        <is>
          <t>UE</t>
        </is>
      </c>
      <c r="H3368" s="12" t="n">
        <v>-2164.43</v>
      </c>
      <c r="I3368" s="17" t="n">
        <v>44949</v>
      </c>
      <c r="J3368" s="17" t="n">
        <v>44949</v>
      </c>
      <c r="K3368" t="inlineStr">
        <is>
          <t>1167448</t>
        </is>
      </c>
    </row>
    <row r="3369">
      <c r="A3369" t="inlineStr">
        <is>
          <t>101763</t>
        </is>
      </c>
      <c r="B3369" t="inlineStr">
        <is>
          <t>MUNICIPIO DE LAGOA DO BARRO DO PIAU</t>
        </is>
      </c>
      <c r="C3369" t="n">
        <v>2111000000</v>
      </c>
      <c r="D3369" t="inlineStr">
        <is>
          <t>Taxes Payable</t>
        </is>
      </c>
      <c r="E3369" t="n">
        <v>200010724</v>
      </c>
      <c r="F3369" t="inlineStr">
        <is>
          <t>17937</t>
        </is>
      </c>
      <c r="G3369" t="inlineStr">
        <is>
          <t>UE</t>
        </is>
      </c>
      <c r="H3369" s="12" t="n">
        <v>-6312.48</v>
      </c>
      <c r="I3369" s="17" t="n">
        <v>45035</v>
      </c>
      <c r="J3369" s="17" t="n">
        <v>45035</v>
      </c>
      <c r="K3369" t="inlineStr">
        <is>
          <t>1170849</t>
        </is>
      </c>
    </row>
    <row r="3370">
      <c r="A3370" t="inlineStr">
        <is>
          <t>101763</t>
        </is>
      </c>
      <c r="B3370" t="inlineStr">
        <is>
          <t>MUNICIPIO DE LAGOA DO BARRO DO PIAU</t>
        </is>
      </c>
      <c r="C3370" t="n">
        <v>2111000000</v>
      </c>
      <c r="D3370" t="inlineStr">
        <is>
          <t>Taxes Payable</t>
        </is>
      </c>
      <c r="E3370" t="n">
        <v>200010725</v>
      </c>
      <c r="F3370" t="inlineStr">
        <is>
          <t>17938</t>
        </is>
      </c>
      <c r="G3370" t="inlineStr">
        <is>
          <t>UE</t>
        </is>
      </c>
      <c r="H3370" s="12" t="n">
        <v>-773.4299999999999</v>
      </c>
      <c r="I3370" s="17" t="n">
        <v>45033</v>
      </c>
      <c r="J3370" s="17" t="n">
        <v>45033</v>
      </c>
      <c r="K3370" t="inlineStr">
        <is>
          <t>1170945</t>
        </is>
      </c>
    </row>
    <row r="3371">
      <c r="A3371" t="inlineStr">
        <is>
          <t>103689</t>
        </is>
      </c>
      <c r="B3371" t="inlineStr">
        <is>
          <t>MUNICIPIO DE BROTAS DE MACAUBAS</t>
        </is>
      </c>
      <c r="C3371" t="n">
        <v>2111000000</v>
      </c>
      <c r="D3371" t="inlineStr">
        <is>
          <t>Taxes Payable</t>
        </is>
      </c>
      <c r="E3371" t="n">
        <v>200010741</v>
      </c>
      <c r="F3371" t="inlineStr">
        <is>
          <t>17952</t>
        </is>
      </c>
      <c r="G3371" t="inlineStr">
        <is>
          <t>UE</t>
        </is>
      </c>
      <c r="H3371" s="12" t="n">
        <v>-7161.43</v>
      </c>
      <c r="I3371" s="17" t="n">
        <v>45069</v>
      </c>
      <c r="J3371" s="17" t="n">
        <v>45069</v>
      </c>
      <c r="K3371" t="inlineStr">
        <is>
          <t>1171877</t>
        </is>
      </c>
    </row>
    <row r="3372">
      <c r="A3372" t="inlineStr">
        <is>
          <t>102028</t>
        </is>
      </c>
      <c r="B3372" t="inlineStr">
        <is>
          <t>DSV AIR &amp; SEA LOGISTICA LTDA.</t>
        </is>
      </c>
      <c r="C3372" t="n">
        <v>2111000000</v>
      </c>
      <c r="D3372" t="inlineStr">
        <is>
          <t>Customs Brokerage – Overall</t>
        </is>
      </c>
      <c r="E3372" t="n">
        <v>200010843</v>
      </c>
      <c r="F3372" t="inlineStr">
        <is>
          <t>18042</t>
        </is>
      </c>
      <c r="G3372" t="inlineStr">
        <is>
          <t>UE</t>
        </is>
      </c>
      <c r="H3372" s="12" t="n">
        <v>-422.19</v>
      </c>
      <c r="I3372" s="17" t="n">
        <v>42061</v>
      </c>
      <c r="J3372" s="17" t="n">
        <v>42061</v>
      </c>
      <c r="K3372" t="inlineStr">
        <is>
          <t>00109500</t>
        </is>
      </c>
    </row>
    <row r="3373">
      <c r="A3373" t="inlineStr">
        <is>
          <t>101358</t>
        </is>
      </c>
      <c r="B3373" t="inlineStr">
        <is>
          <t>MUNICIPIO DE LAJES</t>
        </is>
      </c>
      <c r="C3373" t="n">
        <v>2111000000</v>
      </c>
      <c r="D3373" t="inlineStr">
        <is>
          <t>Taxes Payable</t>
        </is>
      </c>
      <c r="E3373" t="n">
        <v>200011384</v>
      </c>
      <c r="F3373" t="inlineStr">
        <is>
          <t>16280</t>
        </is>
      </c>
      <c r="G3373" t="inlineStr">
        <is>
          <t>UE</t>
        </is>
      </c>
      <c r="H3373" s="12" t="n">
        <v>-2631.58</v>
      </c>
      <c r="I3373" s="17" t="n">
        <v>44875</v>
      </c>
      <c r="J3373" s="17" t="n">
        <v>44875</v>
      </c>
      <c r="K3373" t="inlineStr">
        <is>
          <t>1139567</t>
        </is>
      </c>
    </row>
    <row r="3374">
      <c r="A3374" t="inlineStr">
        <is>
          <t>101358</t>
        </is>
      </c>
      <c r="B3374" t="inlineStr">
        <is>
          <t>MUNICIPIO DE LAJES</t>
        </is>
      </c>
      <c r="C3374" t="n">
        <v>2111000000</v>
      </c>
      <c r="D3374" t="inlineStr">
        <is>
          <t>Taxes Payable</t>
        </is>
      </c>
      <c r="E3374" t="n">
        <v>200011387</v>
      </c>
      <c r="F3374" t="inlineStr">
        <is>
          <t>16283</t>
        </is>
      </c>
      <c r="G3374" t="inlineStr">
        <is>
          <t>UE</t>
        </is>
      </c>
      <c r="H3374" s="12" t="n">
        <v>-4668.42</v>
      </c>
      <c r="I3374" s="17" t="n">
        <v>44874</v>
      </c>
      <c r="J3374" s="17" t="n">
        <v>44874</v>
      </c>
      <c r="K3374" t="inlineStr">
        <is>
          <t>1147658</t>
        </is>
      </c>
    </row>
    <row r="3375">
      <c r="A3375" t="inlineStr">
        <is>
          <t>101358</t>
        </is>
      </c>
      <c r="B3375" t="inlineStr">
        <is>
          <t>MUNICIPIO DE LAJES</t>
        </is>
      </c>
      <c r="C3375" t="n">
        <v>2111000000</v>
      </c>
      <c r="D3375" t="inlineStr">
        <is>
          <t>Taxes Payable</t>
        </is>
      </c>
      <c r="E3375" t="n">
        <v>200011390</v>
      </c>
      <c r="F3375" t="inlineStr">
        <is>
          <t>16286</t>
        </is>
      </c>
      <c r="G3375" t="inlineStr">
        <is>
          <t>UE</t>
        </is>
      </c>
      <c r="H3375" s="12" t="n">
        <v>-4668.42</v>
      </c>
      <c r="I3375" s="17" t="n">
        <v>44988</v>
      </c>
      <c r="J3375" s="17" t="n">
        <v>44988</v>
      </c>
      <c r="K3375" t="inlineStr">
        <is>
          <t>1161368</t>
        </is>
      </c>
    </row>
    <row r="3376">
      <c r="A3376" t="inlineStr">
        <is>
          <t>101358</t>
        </is>
      </c>
      <c r="B3376" t="inlineStr">
        <is>
          <t>MUNICIPIO DE LAJES</t>
        </is>
      </c>
      <c r="C3376" t="n">
        <v>2111000000</v>
      </c>
      <c r="D3376" t="inlineStr">
        <is>
          <t>Taxes Payable</t>
        </is>
      </c>
      <c r="E3376" t="n">
        <v>200011397</v>
      </c>
      <c r="F3376" t="inlineStr">
        <is>
          <t>16292</t>
        </is>
      </c>
      <c r="G3376" t="inlineStr">
        <is>
          <t>UE</t>
        </is>
      </c>
      <c r="H3376" s="12" t="n">
        <v>-4668.42</v>
      </c>
      <c r="I3376" s="17" t="n">
        <v>45049</v>
      </c>
      <c r="J3376" s="17" t="n">
        <v>45049</v>
      </c>
      <c r="K3376" t="inlineStr">
        <is>
          <t>1180921</t>
        </is>
      </c>
    </row>
    <row r="3377">
      <c r="A3377" t="inlineStr">
        <is>
          <t>102144</t>
        </is>
      </c>
      <c r="B3377" t="inlineStr">
        <is>
          <t>KALEIDO FREIGHT SERVICES B A L I LT</t>
        </is>
      </c>
      <c r="C3377" t="n">
        <v>2111000000</v>
      </c>
      <c r="D3377" t="inlineStr">
        <is>
          <t>Customs Brokerage – Overall</t>
        </is>
      </c>
      <c r="E3377" t="n">
        <v>200011432</v>
      </c>
      <c r="F3377" t="inlineStr">
        <is>
          <t>16323</t>
        </is>
      </c>
      <c r="G3377" t="inlineStr">
        <is>
          <t>UE</t>
        </is>
      </c>
      <c r="H3377" s="12" t="n">
        <v>-1577.7</v>
      </c>
      <c r="I3377" s="17" t="n">
        <v>44203</v>
      </c>
      <c r="J3377" s="17" t="n">
        <v>44203</v>
      </c>
      <c r="K3377" t="inlineStr">
        <is>
          <t>1124454</t>
        </is>
      </c>
    </row>
    <row r="3378">
      <c r="A3378" t="inlineStr">
        <is>
          <t>101763</t>
        </is>
      </c>
      <c r="B3378" t="inlineStr">
        <is>
          <t>MUNICIPIO DE LAGOA DO BARRO DO PIAU</t>
        </is>
      </c>
      <c r="C3378" t="n">
        <v>2111000000</v>
      </c>
      <c r="D3378" t="inlineStr">
        <is>
          <t>Taxes Payable</t>
        </is>
      </c>
      <c r="E3378" t="n">
        <v>200011458</v>
      </c>
      <c r="F3378" t="inlineStr">
        <is>
          <t>16347</t>
        </is>
      </c>
      <c r="G3378" t="inlineStr">
        <is>
          <t>UE</t>
        </is>
      </c>
      <c r="H3378" s="12" t="n">
        <v>-28939.89</v>
      </c>
      <c r="I3378" s="17" t="n">
        <v>45077</v>
      </c>
      <c r="J3378" s="17" t="n">
        <v>45077</v>
      </c>
      <c r="K3378" t="inlineStr">
        <is>
          <t>1172437</t>
        </is>
      </c>
    </row>
    <row r="3379">
      <c r="A3379" t="inlineStr">
        <is>
          <t>100833</t>
        </is>
      </c>
      <c r="B3379" t="inlineStr">
        <is>
          <t>MUNICIPIO DE JANDAIRA</t>
        </is>
      </c>
      <c r="C3379" t="n">
        <v>2111000000</v>
      </c>
      <c r="D3379" t="inlineStr">
        <is>
          <t>Taxes Payable</t>
        </is>
      </c>
      <c r="E3379" t="n">
        <v>200011498</v>
      </c>
      <c r="F3379" t="inlineStr">
        <is>
          <t>16383</t>
        </is>
      </c>
      <c r="G3379" t="inlineStr">
        <is>
          <t>UE</t>
        </is>
      </c>
      <c r="H3379" s="12" t="n">
        <v>-45</v>
      </c>
      <c r="I3379" s="17" t="n">
        <v>45099</v>
      </c>
      <c r="J3379" s="17" t="n">
        <v>45099</v>
      </c>
      <c r="K3379" t="inlineStr">
        <is>
          <t>1180420</t>
        </is>
      </c>
    </row>
    <row r="3380">
      <c r="A3380" t="inlineStr">
        <is>
          <t>101542</t>
        </is>
      </c>
      <c r="B3380" t="inlineStr">
        <is>
          <t>PREFEITURA MUNICIPAL DE MOSSORO</t>
        </is>
      </c>
      <c r="C3380" t="n">
        <v>2111000000</v>
      </c>
      <c r="D3380" t="inlineStr">
        <is>
          <t>Taxes Payable</t>
        </is>
      </c>
      <c r="E3380" t="n">
        <v>200011507</v>
      </c>
      <c r="F3380" t="inlineStr">
        <is>
          <t>16391</t>
        </is>
      </c>
      <c r="G3380" t="inlineStr">
        <is>
          <t>UE</t>
        </is>
      </c>
      <c r="H3380" s="12" t="n">
        <v>-3065</v>
      </c>
      <c r="I3380" s="17" t="n">
        <v>44928</v>
      </c>
      <c r="J3380" s="17" t="n">
        <v>44928</v>
      </c>
      <c r="K3380" t="inlineStr">
        <is>
          <t>1152187</t>
        </is>
      </c>
    </row>
    <row r="3381">
      <c r="A3381" t="inlineStr">
        <is>
          <t>101763</t>
        </is>
      </c>
      <c r="B3381" t="inlineStr">
        <is>
          <t>MUNICIPIO DE LAGOA DO BARRO DO PIAU</t>
        </is>
      </c>
      <c r="C3381" t="n">
        <v>2111000000</v>
      </c>
      <c r="D3381" t="inlineStr">
        <is>
          <t>Taxes Payable</t>
        </is>
      </c>
      <c r="E3381" t="n">
        <v>200011513</v>
      </c>
      <c r="F3381" t="inlineStr">
        <is>
          <t>16397</t>
        </is>
      </c>
      <c r="G3381" t="inlineStr">
        <is>
          <t>UE</t>
        </is>
      </c>
      <c r="H3381" s="12" t="n">
        <v>-1740.94</v>
      </c>
      <c r="I3381" s="17" t="n">
        <v>45000</v>
      </c>
      <c r="J3381" s="17" t="n">
        <v>45000</v>
      </c>
      <c r="K3381" t="inlineStr">
        <is>
          <t>1161547</t>
        </is>
      </c>
    </row>
    <row r="3382">
      <c r="A3382" t="inlineStr">
        <is>
          <t>100759</t>
        </is>
      </c>
      <c r="B3382" t="inlineStr">
        <is>
          <t>MUNICIPIO DE UIBAI</t>
        </is>
      </c>
      <c r="C3382" t="n">
        <v>2111000000</v>
      </c>
      <c r="D3382" t="inlineStr">
        <is>
          <t>Taxes Payable</t>
        </is>
      </c>
      <c r="E3382" t="n">
        <v>200011514</v>
      </c>
      <c r="F3382" t="inlineStr">
        <is>
          <t>16398</t>
        </is>
      </c>
      <c r="G3382" t="inlineStr">
        <is>
          <t>UE</t>
        </is>
      </c>
      <c r="H3382" s="12" t="n">
        <v>-260</v>
      </c>
      <c r="I3382" s="17" t="n">
        <v>45048</v>
      </c>
      <c r="J3382" s="17" t="n">
        <v>45048</v>
      </c>
      <c r="K3382" t="inlineStr">
        <is>
          <t>1168698</t>
        </is>
      </c>
    </row>
    <row r="3383">
      <c r="A3383" t="inlineStr">
        <is>
          <t>100759</t>
        </is>
      </c>
      <c r="B3383" t="inlineStr">
        <is>
          <t>MUNICIPIO DE UIBAI</t>
        </is>
      </c>
      <c r="C3383" t="n">
        <v>2111000000</v>
      </c>
      <c r="D3383" t="inlineStr">
        <is>
          <t>Taxes Payable</t>
        </is>
      </c>
      <c r="E3383" t="n">
        <v>200011515</v>
      </c>
      <c r="F3383" t="inlineStr">
        <is>
          <t>16399</t>
        </is>
      </c>
      <c r="G3383" t="inlineStr">
        <is>
          <t>UE</t>
        </is>
      </c>
      <c r="H3383" s="12" t="n">
        <v>-239</v>
      </c>
      <c r="I3383" s="17" t="n">
        <v>45057</v>
      </c>
      <c r="J3383" s="17" t="n">
        <v>45057</v>
      </c>
      <c r="K3383" t="inlineStr">
        <is>
          <t>1172152</t>
        </is>
      </c>
    </row>
    <row r="3384">
      <c r="A3384" t="inlineStr">
        <is>
          <t>100759</t>
        </is>
      </c>
      <c r="B3384" t="inlineStr">
        <is>
          <t>MUNICIPIO DE UIBAI</t>
        </is>
      </c>
      <c r="C3384" t="n">
        <v>2111000000</v>
      </c>
      <c r="D3384" t="inlineStr">
        <is>
          <t>Taxes Payable</t>
        </is>
      </c>
      <c r="E3384" t="n">
        <v>200011518</v>
      </c>
      <c r="F3384" t="inlineStr">
        <is>
          <t>16400</t>
        </is>
      </c>
      <c r="G3384" t="inlineStr">
        <is>
          <t>UE</t>
        </is>
      </c>
      <c r="H3384" s="12" t="n">
        <v>-478</v>
      </c>
      <c r="I3384" s="17" t="n">
        <v>45057</v>
      </c>
      <c r="J3384" s="17" t="n">
        <v>45057</v>
      </c>
      <c r="K3384" t="inlineStr">
        <is>
          <t>1172156</t>
        </is>
      </c>
    </row>
    <row r="3385">
      <c r="A3385" t="inlineStr">
        <is>
          <t>100759</t>
        </is>
      </c>
      <c r="B3385" t="inlineStr">
        <is>
          <t>MUNICIPIO DE UIBAI</t>
        </is>
      </c>
      <c r="C3385" t="n">
        <v>2111000000</v>
      </c>
      <c r="D3385" t="inlineStr">
        <is>
          <t>Taxes Payable</t>
        </is>
      </c>
      <c r="E3385" t="n">
        <v>200011525</v>
      </c>
      <c r="F3385" t="inlineStr">
        <is>
          <t>16407</t>
        </is>
      </c>
      <c r="G3385" t="inlineStr">
        <is>
          <t>UE</t>
        </is>
      </c>
      <c r="H3385" s="12" t="n">
        <v>-435.48</v>
      </c>
      <c r="I3385" s="17" t="n">
        <v>45079</v>
      </c>
      <c r="J3385" s="17" t="n">
        <v>45079</v>
      </c>
      <c r="K3385" t="inlineStr">
        <is>
          <t>1179472</t>
        </is>
      </c>
    </row>
    <row r="3386">
      <c r="A3386" t="inlineStr">
        <is>
          <t>101358</t>
        </is>
      </c>
      <c r="B3386" t="inlineStr">
        <is>
          <t>MUNICIPIO DE LAJES</t>
        </is>
      </c>
      <c r="C3386" t="n">
        <v>2111000000</v>
      </c>
      <c r="D3386" t="inlineStr">
        <is>
          <t>Taxes Payable</t>
        </is>
      </c>
      <c r="E3386" t="n">
        <v>200011529</v>
      </c>
      <c r="F3386" t="inlineStr">
        <is>
          <t>16410</t>
        </is>
      </c>
      <c r="G3386" t="inlineStr">
        <is>
          <t>UE</t>
        </is>
      </c>
      <c r="H3386" s="12" t="n">
        <v>-127.58</v>
      </c>
      <c r="I3386" s="17" t="n">
        <v>44896</v>
      </c>
      <c r="J3386" s="17" t="n">
        <v>44896</v>
      </c>
      <c r="K3386" t="inlineStr">
        <is>
          <t>1144590</t>
        </is>
      </c>
    </row>
    <row r="3387">
      <c r="A3387" t="inlineStr">
        <is>
          <t>101358</t>
        </is>
      </c>
      <c r="B3387" t="inlineStr">
        <is>
          <t>MUNICIPIO DE LAJES</t>
        </is>
      </c>
      <c r="C3387" t="n">
        <v>2111000000</v>
      </c>
      <c r="D3387" t="inlineStr">
        <is>
          <t>Taxes Payable</t>
        </is>
      </c>
      <c r="E3387" t="n">
        <v>200011530</v>
      </c>
      <c r="F3387" t="inlineStr">
        <is>
          <t>16411</t>
        </is>
      </c>
      <c r="G3387" t="inlineStr">
        <is>
          <t>UE</t>
        </is>
      </c>
      <c r="H3387" s="12" t="n">
        <v>-249.08</v>
      </c>
      <c r="I3387" s="17" t="n">
        <v>44866</v>
      </c>
      <c r="J3387" s="17" t="n">
        <v>44866</v>
      </c>
      <c r="K3387" t="inlineStr">
        <is>
          <t>1149191</t>
        </is>
      </c>
    </row>
    <row r="3388">
      <c r="A3388" t="inlineStr">
        <is>
          <t>101358</t>
        </is>
      </c>
      <c r="B3388" t="inlineStr">
        <is>
          <t>MUNICIPIO DE LAJES</t>
        </is>
      </c>
      <c r="C3388" t="n">
        <v>2111000000</v>
      </c>
      <c r="D3388" t="inlineStr">
        <is>
          <t>Taxes Payable</t>
        </is>
      </c>
      <c r="E3388" t="n">
        <v>200011531</v>
      </c>
      <c r="F3388" t="inlineStr">
        <is>
          <t>16412</t>
        </is>
      </c>
      <c r="G3388" t="inlineStr">
        <is>
          <t>UE</t>
        </is>
      </c>
      <c r="H3388" s="12" t="n">
        <v>-249.08</v>
      </c>
      <c r="I3388" s="17" t="n">
        <v>44866</v>
      </c>
      <c r="J3388" s="17" t="n">
        <v>44866</v>
      </c>
      <c r="K3388" t="inlineStr">
        <is>
          <t>1150018</t>
        </is>
      </c>
    </row>
    <row r="3389">
      <c r="A3389" t="inlineStr">
        <is>
          <t>101358</t>
        </is>
      </c>
      <c r="B3389" t="inlineStr">
        <is>
          <t>MUNICIPIO DE LAJES</t>
        </is>
      </c>
      <c r="C3389" t="n">
        <v>2111000000</v>
      </c>
      <c r="D3389" t="inlineStr">
        <is>
          <t>Taxes Payable</t>
        </is>
      </c>
      <c r="E3389" t="n">
        <v>200011532</v>
      </c>
      <c r="F3389" t="inlineStr">
        <is>
          <t>16413</t>
        </is>
      </c>
      <c r="G3389" t="inlineStr">
        <is>
          <t>UE</t>
        </is>
      </c>
      <c r="H3389" s="12" t="n">
        <v>-382.73</v>
      </c>
      <c r="I3389" s="17" t="n">
        <v>45017</v>
      </c>
      <c r="J3389" s="17" t="n">
        <v>45017</v>
      </c>
      <c r="K3389" t="inlineStr">
        <is>
          <t>1171515</t>
        </is>
      </c>
    </row>
    <row r="3390">
      <c r="A3390" t="inlineStr">
        <is>
          <t>101358</t>
        </is>
      </c>
      <c r="B3390" t="inlineStr">
        <is>
          <t>MUNICIPIO DE LAJES</t>
        </is>
      </c>
      <c r="C3390" t="n">
        <v>2111000000</v>
      </c>
      <c r="D3390" t="inlineStr">
        <is>
          <t>Taxes Payable</t>
        </is>
      </c>
      <c r="E3390" t="n">
        <v>200011535</v>
      </c>
      <c r="F3390" t="inlineStr">
        <is>
          <t>16416</t>
        </is>
      </c>
      <c r="G3390" t="inlineStr">
        <is>
          <t>UE</t>
        </is>
      </c>
      <c r="H3390" s="12" t="n">
        <v>-109.35</v>
      </c>
      <c r="I3390" s="17" t="n">
        <v>45114</v>
      </c>
      <c r="J3390" s="17" t="n">
        <v>45114</v>
      </c>
      <c r="K3390" t="inlineStr">
        <is>
          <t>1181325</t>
        </is>
      </c>
    </row>
    <row r="3391">
      <c r="A3391" t="inlineStr">
        <is>
          <t>100759</t>
        </is>
      </c>
      <c r="B3391" t="inlineStr">
        <is>
          <t>MUNICIPIO DE UIBAI</t>
        </is>
      </c>
      <c r="C3391" t="n">
        <v>2111000000</v>
      </c>
      <c r="D3391" t="inlineStr">
        <is>
          <t>Taxes Payable</t>
        </is>
      </c>
      <c r="E3391" t="n">
        <v>200011546</v>
      </c>
      <c r="F3391" t="inlineStr">
        <is>
          <t>16426</t>
        </is>
      </c>
      <c r="G3391" t="inlineStr">
        <is>
          <t>UE</t>
        </is>
      </c>
      <c r="H3391" s="12" t="n">
        <v>-1023.72</v>
      </c>
      <c r="I3391" s="17" t="n">
        <v>44999</v>
      </c>
      <c r="J3391" s="17" t="n">
        <v>44999</v>
      </c>
      <c r="K3391" t="inlineStr">
        <is>
          <t>1160774</t>
        </is>
      </c>
    </row>
    <row r="3392">
      <c r="A3392" t="inlineStr">
        <is>
          <t>100759</t>
        </is>
      </c>
      <c r="B3392" t="inlineStr">
        <is>
          <t>MUNICIPIO DE UIBAI</t>
        </is>
      </c>
      <c r="C3392" t="n">
        <v>2111000000</v>
      </c>
      <c r="D3392" t="inlineStr">
        <is>
          <t>Taxes Payable</t>
        </is>
      </c>
      <c r="E3392" t="n">
        <v>200011547</v>
      </c>
      <c r="F3392" t="inlineStr">
        <is>
          <t>16427</t>
        </is>
      </c>
      <c r="G3392" t="inlineStr">
        <is>
          <t>UE</t>
        </is>
      </c>
      <c r="H3392" s="12" t="n">
        <v>-509.13</v>
      </c>
      <c r="I3392" s="17" t="n">
        <v>45089</v>
      </c>
      <c r="J3392" s="17" t="n">
        <v>45089</v>
      </c>
      <c r="K3392" t="inlineStr">
        <is>
          <t>1182685</t>
        </is>
      </c>
    </row>
    <row r="3393">
      <c r="A3393" t="inlineStr">
        <is>
          <t>101358</t>
        </is>
      </c>
      <c r="B3393" t="inlineStr">
        <is>
          <t>MUNICIPIO DE LAJES</t>
        </is>
      </c>
      <c r="C3393" t="n">
        <v>2111000000</v>
      </c>
      <c r="D3393" t="inlineStr">
        <is>
          <t>Taxes Payable</t>
        </is>
      </c>
      <c r="E3393" t="n">
        <v>200011571</v>
      </c>
      <c r="F3393" t="inlineStr">
        <is>
          <t>16449</t>
        </is>
      </c>
      <c r="G3393" t="inlineStr">
        <is>
          <t>UE</t>
        </is>
      </c>
      <c r="H3393" s="12" t="n">
        <v>-5827.26</v>
      </c>
      <c r="I3393" s="17" t="n">
        <v>44879</v>
      </c>
      <c r="J3393" s="17" t="n">
        <v>44879</v>
      </c>
      <c r="K3393" t="inlineStr">
        <is>
          <t>1138942</t>
        </is>
      </c>
    </row>
    <row r="3394">
      <c r="A3394" t="inlineStr">
        <is>
          <t>101358</t>
        </is>
      </c>
      <c r="B3394" t="inlineStr">
        <is>
          <t>MUNICIPIO DE LAJES</t>
        </is>
      </c>
      <c r="C3394" t="n">
        <v>2111000000</v>
      </c>
      <c r="D3394" t="inlineStr">
        <is>
          <t>Taxes Payable</t>
        </is>
      </c>
      <c r="E3394" t="n">
        <v>200011574</v>
      </c>
      <c r="F3394" t="inlineStr">
        <is>
          <t>16451</t>
        </is>
      </c>
      <c r="G3394" t="inlineStr">
        <is>
          <t>UE</t>
        </is>
      </c>
      <c r="H3394" s="12" t="n">
        <v>-33953.69</v>
      </c>
      <c r="I3394" s="17" t="n">
        <v>44879</v>
      </c>
      <c r="J3394" s="17" t="n">
        <v>44879</v>
      </c>
      <c r="K3394" t="inlineStr">
        <is>
          <t>1138947</t>
        </is>
      </c>
    </row>
    <row r="3395">
      <c r="A3395" t="inlineStr">
        <is>
          <t>101358</t>
        </is>
      </c>
      <c r="B3395" t="inlineStr">
        <is>
          <t>MUNICIPIO DE LAJES</t>
        </is>
      </c>
      <c r="C3395" t="n">
        <v>2111000000</v>
      </c>
      <c r="D3395" t="inlineStr">
        <is>
          <t>Taxes Payable</t>
        </is>
      </c>
      <c r="E3395" t="n">
        <v>200011576</v>
      </c>
      <c r="F3395" t="inlineStr">
        <is>
          <t>16453</t>
        </is>
      </c>
      <c r="G3395" t="inlineStr">
        <is>
          <t>UE</t>
        </is>
      </c>
      <c r="H3395" s="12" t="n">
        <v>-756.5599999999999</v>
      </c>
      <c r="I3395" s="17" t="n">
        <v>44816</v>
      </c>
      <c r="J3395" s="17" t="n">
        <v>44816</v>
      </c>
      <c r="K3395" t="inlineStr">
        <is>
          <t>1153005</t>
        </is>
      </c>
    </row>
    <row r="3396">
      <c r="A3396" t="inlineStr">
        <is>
          <t>101358</t>
        </is>
      </c>
      <c r="B3396" t="inlineStr">
        <is>
          <t>MUNICIPIO DE LAJES</t>
        </is>
      </c>
      <c r="C3396" t="n">
        <v>2111000000</v>
      </c>
      <c r="D3396" t="inlineStr">
        <is>
          <t>Taxes Payable</t>
        </is>
      </c>
      <c r="E3396" t="n">
        <v>200011578</v>
      </c>
      <c r="F3396" t="inlineStr">
        <is>
          <t>16455</t>
        </is>
      </c>
      <c r="G3396" t="inlineStr">
        <is>
          <t>UE</t>
        </is>
      </c>
      <c r="H3396" s="12" t="n">
        <v>-896.5</v>
      </c>
      <c r="I3396" s="17" t="n">
        <v>44915</v>
      </c>
      <c r="J3396" s="17" t="n">
        <v>44915</v>
      </c>
      <c r="K3396" t="inlineStr">
        <is>
          <t>1154468</t>
        </is>
      </c>
    </row>
    <row r="3397">
      <c r="A3397" t="inlineStr">
        <is>
          <t>101358</t>
        </is>
      </c>
      <c r="B3397" t="inlineStr">
        <is>
          <t>MUNICIPIO DE LAJES</t>
        </is>
      </c>
      <c r="C3397" t="n">
        <v>2111000000</v>
      </c>
      <c r="D3397" t="inlineStr">
        <is>
          <t>Taxes Payable</t>
        </is>
      </c>
      <c r="E3397" t="n">
        <v>200011580</v>
      </c>
      <c r="F3397" t="inlineStr">
        <is>
          <t>16457</t>
        </is>
      </c>
      <c r="G3397" t="inlineStr">
        <is>
          <t>UE</t>
        </is>
      </c>
      <c r="H3397" s="12" t="n">
        <v>-15164.03</v>
      </c>
      <c r="I3397" s="17" t="n">
        <v>44866</v>
      </c>
      <c r="J3397" s="17" t="n">
        <v>44866</v>
      </c>
      <c r="K3397" t="inlineStr">
        <is>
          <t>1154495</t>
        </is>
      </c>
    </row>
    <row r="3398">
      <c r="A3398" t="inlineStr">
        <is>
          <t>101358</t>
        </is>
      </c>
      <c r="B3398" t="inlineStr">
        <is>
          <t>MUNICIPIO DE LAJES</t>
        </is>
      </c>
      <c r="C3398" t="n">
        <v>2111000000</v>
      </c>
      <c r="D3398" t="inlineStr">
        <is>
          <t>Taxes Payable</t>
        </is>
      </c>
      <c r="E3398" t="n">
        <v>200011582</v>
      </c>
      <c r="F3398" t="inlineStr">
        <is>
          <t>16459</t>
        </is>
      </c>
      <c r="G3398" t="inlineStr">
        <is>
          <t>UE</t>
        </is>
      </c>
      <c r="H3398" s="12" t="n">
        <v>-48328.58</v>
      </c>
      <c r="I3398" s="17" t="n">
        <v>44866</v>
      </c>
      <c r="J3398" s="17" t="n">
        <v>44866</v>
      </c>
      <c r="K3398" t="inlineStr">
        <is>
          <t>1154499</t>
        </is>
      </c>
    </row>
    <row r="3399">
      <c r="A3399" t="inlineStr">
        <is>
          <t>100759</t>
        </is>
      </c>
      <c r="B3399" t="inlineStr">
        <is>
          <t>MUNICIPIO DE UIBAI</t>
        </is>
      </c>
      <c r="C3399" t="n">
        <v>2111000000</v>
      </c>
      <c r="D3399" t="inlineStr">
        <is>
          <t>Taxes Payable</t>
        </is>
      </c>
      <c r="E3399" t="n">
        <v>200011585</v>
      </c>
      <c r="F3399" t="inlineStr">
        <is>
          <t>16461</t>
        </is>
      </c>
      <c r="G3399" t="inlineStr">
        <is>
          <t>UE</t>
        </is>
      </c>
      <c r="H3399" s="12" t="n">
        <v>-19100.06</v>
      </c>
      <c r="I3399" s="17" t="n">
        <v>44995</v>
      </c>
      <c r="J3399" s="17" t="n">
        <v>44995</v>
      </c>
      <c r="K3399" t="inlineStr">
        <is>
          <t>1160673</t>
        </is>
      </c>
    </row>
    <row r="3400">
      <c r="A3400" t="inlineStr">
        <is>
          <t>100759</t>
        </is>
      </c>
      <c r="B3400" t="inlineStr">
        <is>
          <t>MUNICIPIO DE UIBAI</t>
        </is>
      </c>
      <c r="C3400" t="n">
        <v>2111000000</v>
      </c>
      <c r="D3400" t="inlineStr">
        <is>
          <t>Taxes Payable</t>
        </is>
      </c>
      <c r="E3400" t="n">
        <v>200011586</v>
      </c>
      <c r="F3400" t="inlineStr">
        <is>
          <t>16462</t>
        </is>
      </c>
      <c r="G3400" t="inlineStr">
        <is>
          <t>UE</t>
        </is>
      </c>
      <c r="H3400" s="12" t="n">
        <v>-12205.3</v>
      </c>
      <c r="I3400" s="17" t="n">
        <v>44995</v>
      </c>
      <c r="J3400" s="17" t="n">
        <v>44995</v>
      </c>
      <c r="K3400" t="inlineStr">
        <is>
          <t>1160674</t>
        </is>
      </c>
    </row>
    <row r="3401">
      <c r="A3401" t="inlineStr">
        <is>
          <t>100759</t>
        </is>
      </c>
      <c r="B3401" t="inlineStr">
        <is>
          <t>MUNICIPIO DE UIBAI</t>
        </is>
      </c>
      <c r="C3401" t="n">
        <v>2111000000</v>
      </c>
      <c r="D3401" t="inlineStr">
        <is>
          <t>Taxes Payable</t>
        </is>
      </c>
      <c r="E3401" t="n">
        <v>200011587</v>
      </c>
      <c r="F3401" t="inlineStr">
        <is>
          <t>16463</t>
        </is>
      </c>
      <c r="G3401" t="inlineStr">
        <is>
          <t>UE</t>
        </is>
      </c>
      <c r="H3401" s="12" t="n">
        <v>-2341.84</v>
      </c>
      <c r="I3401" s="17" t="n">
        <v>45005</v>
      </c>
      <c r="J3401" s="17" t="n">
        <v>45005</v>
      </c>
      <c r="K3401" t="inlineStr">
        <is>
          <t>1160676</t>
        </is>
      </c>
    </row>
    <row r="3402">
      <c r="A3402" t="inlineStr">
        <is>
          <t>100759</t>
        </is>
      </c>
      <c r="B3402" t="inlineStr">
        <is>
          <t>MUNICIPIO DE UIBAI</t>
        </is>
      </c>
      <c r="C3402" t="n">
        <v>2111000000</v>
      </c>
      <c r="D3402" t="inlineStr">
        <is>
          <t>Taxes Payable</t>
        </is>
      </c>
      <c r="E3402" t="n">
        <v>200011588</v>
      </c>
      <c r="F3402" t="inlineStr">
        <is>
          <t>16464</t>
        </is>
      </c>
      <c r="G3402" t="inlineStr">
        <is>
          <t>UE</t>
        </is>
      </c>
      <c r="H3402" s="12" t="n">
        <v>-641.75</v>
      </c>
      <c r="I3402" s="17" t="n">
        <v>44995</v>
      </c>
      <c r="J3402" s="17" t="n">
        <v>44995</v>
      </c>
      <c r="K3402" t="inlineStr">
        <is>
          <t>1160677</t>
        </is>
      </c>
    </row>
    <row r="3403">
      <c r="A3403" t="inlineStr">
        <is>
          <t>100759</t>
        </is>
      </c>
      <c r="B3403" t="inlineStr">
        <is>
          <t>MUNICIPIO DE UIBAI</t>
        </is>
      </c>
      <c r="C3403" t="n">
        <v>2111000000</v>
      </c>
      <c r="D3403" t="inlineStr">
        <is>
          <t>Taxes Payable</t>
        </is>
      </c>
      <c r="E3403" t="n">
        <v>200011589</v>
      </c>
      <c r="F3403" t="inlineStr">
        <is>
          <t>16465</t>
        </is>
      </c>
      <c r="G3403" t="inlineStr">
        <is>
          <t>UE</t>
        </is>
      </c>
      <c r="H3403" s="12" t="n">
        <v>-1384.84</v>
      </c>
      <c r="I3403" s="17" t="n">
        <v>45005</v>
      </c>
      <c r="J3403" s="17" t="n">
        <v>45005</v>
      </c>
      <c r="K3403" t="inlineStr">
        <is>
          <t>1160681</t>
        </is>
      </c>
    </row>
    <row r="3404">
      <c r="A3404" t="inlineStr">
        <is>
          <t>100759</t>
        </is>
      </c>
      <c r="B3404" t="inlineStr">
        <is>
          <t>MUNICIPIO DE UIBAI</t>
        </is>
      </c>
      <c r="C3404" t="n">
        <v>2111000000</v>
      </c>
      <c r="D3404" t="inlineStr">
        <is>
          <t>Taxes Payable</t>
        </is>
      </c>
      <c r="E3404" t="n">
        <v>200011590</v>
      </c>
      <c r="F3404" t="inlineStr">
        <is>
          <t>16466</t>
        </is>
      </c>
      <c r="G3404" t="inlineStr">
        <is>
          <t>UE</t>
        </is>
      </c>
      <c r="H3404" s="12" t="n">
        <v>-790.15</v>
      </c>
      <c r="I3404" s="17" t="n">
        <v>44995</v>
      </c>
      <c r="J3404" s="17" t="n">
        <v>44995</v>
      </c>
      <c r="K3404" t="inlineStr">
        <is>
          <t>1160683</t>
        </is>
      </c>
    </row>
    <row r="3405">
      <c r="A3405" t="inlineStr">
        <is>
          <t>100759</t>
        </is>
      </c>
      <c r="B3405" t="inlineStr">
        <is>
          <t>MUNICIPIO DE UIBAI</t>
        </is>
      </c>
      <c r="C3405" t="n">
        <v>2111000000</v>
      </c>
      <c r="D3405" t="inlineStr">
        <is>
          <t>Taxes Payable</t>
        </is>
      </c>
      <c r="E3405" t="n">
        <v>200011591</v>
      </c>
      <c r="F3405" t="inlineStr">
        <is>
          <t>16467</t>
        </is>
      </c>
      <c r="G3405" t="inlineStr">
        <is>
          <t>UE</t>
        </is>
      </c>
      <c r="H3405" s="12" t="n">
        <v>-2955.67</v>
      </c>
      <c r="I3405" s="17" t="n">
        <v>45005</v>
      </c>
      <c r="J3405" s="17" t="n">
        <v>45005</v>
      </c>
      <c r="K3405" t="inlineStr">
        <is>
          <t>1160684</t>
        </is>
      </c>
    </row>
    <row r="3406">
      <c r="A3406" t="inlineStr">
        <is>
          <t>100759</t>
        </is>
      </c>
      <c r="B3406" t="inlineStr">
        <is>
          <t>MUNICIPIO DE UIBAI</t>
        </is>
      </c>
      <c r="C3406" t="n">
        <v>2111000000</v>
      </c>
      <c r="D3406" t="inlineStr">
        <is>
          <t>Taxes Payable</t>
        </is>
      </c>
      <c r="E3406" t="n">
        <v>200011592</v>
      </c>
      <c r="F3406" t="inlineStr">
        <is>
          <t>16468</t>
        </is>
      </c>
      <c r="G3406" t="inlineStr">
        <is>
          <t>UE</t>
        </is>
      </c>
      <c r="H3406" s="12" t="n">
        <v>-1339.65</v>
      </c>
      <c r="I3406" s="17" t="n">
        <v>44995</v>
      </c>
      <c r="J3406" s="17" t="n">
        <v>44995</v>
      </c>
      <c r="K3406" t="inlineStr">
        <is>
          <t>1160686</t>
        </is>
      </c>
    </row>
    <row r="3407">
      <c r="A3407" t="inlineStr">
        <is>
          <t>100759</t>
        </is>
      </c>
      <c r="B3407" t="inlineStr">
        <is>
          <t>MUNICIPIO DE UIBAI</t>
        </is>
      </c>
      <c r="C3407" t="n">
        <v>2111000000</v>
      </c>
      <c r="D3407" t="inlineStr">
        <is>
          <t>Taxes Payable</t>
        </is>
      </c>
      <c r="E3407" t="n">
        <v>200011593</v>
      </c>
      <c r="F3407" t="inlineStr">
        <is>
          <t>16469</t>
        </is>
      </c>
      <c r="G3407" t="inlineStr">
        <is>
          <t>UE</t>
        </is>
      </c>
      <c r="H3407" s="12" t="n">
        <v>-3116.5</v>
      </c>
      <c r="I3407" s="17" t="n">
        <v>44995</v>
      </c>
      <c r="J3407" s="17" t="n">
        <v>44995</v>
      </c>
      <c r="K3407" t="inlineStr">
        <is>
          <t>1160687</t>
        </is>
      </c>
    </row>
    <row r="3408">
      <c r="A3408" t="inlineStr">
        <is>
          <t>100759</t>
        </is>
      </c>
      <c r="B3408" t="inlineStr">
        <is>
          <t>MUNICIPIO DE UIBAI</t>
        </is>
      </c>
      <c r="C3408" t="n">
        <v>2111000000</v>
      </c>
      <c r="D3408" t="inlineStr">
        <is>
          <t>Taxes Payable</t>
        </is>
      </c>
      <c r="E3408" t="n">
        <v>200011595</v>
      </c>
      <c r="F3408" t="inlineStr">
        <is>
          <t>16470</t>
        </is>
      </c>
      <c r="G3408" t="inlineStr">
        <is>
          <t>UE</t>
        </is>
      </c>
      <c r="H3408" s="12" t="n">
        <v>-14591.77</v>
      </c>
      <c r="I3408" s="17" t="n">
        <v>45001</v>
      </c>
      <c r="J3408" s="17" t="n">
        <v>45001</v>
      </c>
      <c r="K3408" t="inlineStr">
        <is>
          <t>1160708</t>
        </is>
      </c>
    </row>
    <row r="3409">
      <c r="A3409" t="inlineStr">
        <is>
          <t>100759</t>
        </is>
      </c>
      <c r="B3409" t="inlineStr">
        <is>
          <t>MUNICIPIO DE UIBAI</t>
        </is>
      </c>
      <c r="C3409" t="n">
        <v>2111000000</v>
      </c>
      <c r="D3409" t="inlineStr">
        <is>
          <t>Taxes Payable</t>
        </is>
      </c>
      <c r="E3409" t="n">
        <v>200011596</v>
      </c>
      <c r="F3409" t="inlineStr">
        <is>
          <t>16471</t>
        </is>
      </c>
      <c r="G3409" t="inlineStr">
        <is>
          <t>UE</t>
        </is>
      </c>
      <c r="H3409" s="12" t="n">
        <v>-5936.18</v>
      </c>
      <c r="I3409" s="17" t="n">
        <v>44995</v>
      </c>
      <c r="J3409" s="17" t="n">
        <v>44995</v>
      </c>
      <c r="K3409" t="inlineStr">
        <is>
          <t>1160713</t>
        </is>
      </c>
    </row>
    <row r="3410">
      <c r="A3410" t="inlineStr">
        <is>
          <t>100759</t>
        </is>
      </c>
      <c r="B3410" t="inlineStr">
        <is>
          <t>MUNICIPIO DE UIBAI</t>
        </is>
      </c>
      <c r="C3410" t="n">
        <v>2111000000</v>
      </c>
      <c r="D3410" t="inlineStr">
        <is>
          <t>Taxes Payable</t>
        </is>
      </c>
      <c r="E3410" t="n">
        <v>200011597</v>
      </c>
      <c r="F3410" t="inlineStr">
        <is>
          <t>16472</t>
        </is>
      </c>
      <c r="G3410" t="inlineStr">
        <is>
          <t>UE</t>
        </is>
      </c>
      <c r="H3410" s="12" t="n">
        <v>-11403.08</v>
      </c>
      <c r="I3410" s="17" t="n">
        <v>45005</v>
      </c>
      <c r="J3410" s="17" t="n">
        <v>45005</v>
      </c>
      <c r="K3410" t="inlineStr">
        <is>
          <t>1160845</t>
        </is>
      </c>
    </row>
    <row r="3411">
      <c r="A3411" t="inlineStr">
        <is>
          <t>100759</t>
        </is>
      </c>
      <c r="B3411" t="inlineStr">
        <is>
          <t>MUNICIPIO DE UIBAI</t>
        </is>
      </c>
      <c r="C3411" t="n">
        <v>2111000000</v>
      </c>
      <c r="D3411" t="inlineStr">
        <is>
          <t>Taxes Payable</t>
        </is>
      </c>
      <c r="E3411" t="n">
        <v>200011598</v>
      </c>
      <c r="F3411" t="inlineStr">
        <is>
          <t>16473</t>
        </is>
      </c>
      <c r="G3411" t="inlineStr">
        <is>
          <t>UE</t>
        </is>
      </c>
      <c r="H3411" s="12" t="n">
        <v>-9977.040000000001</v>
      </c>
      <c r="I3411" s="17" t="n">
        <v>45005</v>
      </c>
      <c r="J3411" s="17" t="n">
        <v>45005</v>
      </c>
      <c r="K3411" t="inlineStr">
        <is>
          <t>1160971</t>
        </is>
      </c>
    </row>
    <row r="3412">
      <c r="A3412" t="inlineStr">
        <is>
          <t>100759</t>
        </is>
      </c>
      <c r="B3412" t="inlineStr">
        <is>
          <t>MUNICIPIO DE UIBAI</t>
        </is>
      </c>
      <c r="C3412" t="n">
        <v>2111000000</v>
      </c>
      <c r="D3412" t="inlineStr">
        <is>
          <t>Taxes Payable</t>
        </is>
      </c>
      <c r="E3412" t="n">
        <v>200011599</v>
      </c>
      <c r="F3412" t="inlineStr">
        <is>
          <t>16474</t>
        </is>
      </c>
      <c r="G3412" t="inlineStr">
        <is>
          <t>UE</t>
        </is>
      </c>
      <c r="H3412" s="12" t="n">
        <v>-61.22</v>
      </c>
      <c r="I3412" s="17" t="n">
        <v>45005</v>
      </c>
      <c r="J3412" s="17" t="n">
        <v>45005</v>
      </c>
      <c r="K3412" t="inlineStr">
        <is>
          <t>1161500</t>
        </is>
      </c>
    </row>
    <row r="3413">
      <c r="A3413" t="inlineStr">
        <is>
          <t>100759</t>
        </is>
      </c>
      <c r="B3413" t="inlineStr">
        <is>
          <t>MUNICIPIO DE UIBAI</t>
        </is>
      </c>
      <c r="C3413" t="n">
        <v>2111000000</v>
      </c>
      <c r="D3413" t="inlineStr">
        <is>
          <t>Taxes Payable</t>
        </is>
      </c>
      <c r="E3413" t="n">
        <v>200011600</v>
      </c>
      <c r="F3413" t="inlineStr">
        <is>
          <t>16475</t>
        </is>
      </c>
      <c r="G3413" t="inlineStr">
        <is>
          <t>UE</t>
        </is>
      </c>
      <c r="H3413" s="12" t="n">
        <v>-61.22</v>
      </c>
      <c r="I3413" s="17" t="n">
        <v>45008</v>
      </c>
      <c r="J3413" s="17" t="n">
        <v>45008</v>
      </c>
      <c r="K3413" t="inlineStr">
        <is>
          <t>1161502</t>
        </is>
      </c>
    </row>
    <row r="3414">
      <c r="A3414" t="inlineStr">
        <is>
          <t>100759</t>
        </is>
      </c>
      <c r="B3414" t="inlineStr">
        <is>
          <t>MUNICIPIO DE UIBAI</t>
        </is>
      </c>
      <c r="C3414" t="n">
        <v>2111000000</v>
      </c>
      <c r="D3414" t="inlineStr">
        <is>
          <t>Taxes Payable</t>
        </is>
      </c>
      <c r="E3414" t="n">
        <v>200011601</v>
      </c>
      <c r="F3414" t="inlineStr">
        <is>
          <t>16476</t>
        </is>
      </c>
      <c r="G3414" t="inlineStr">
        <is>
          <t>UE</t>
        </is>
      </c>
      <c r="H3414" s="12" t="n">
        <v>-6122.45</v>
      </c>
      <c r="I3414" s="17" t="n">
        <v>45005</v>
      </c>
      <c r="J3414" s="17" t="n">
        <v>45005</v>
      </c>
      <c r="K3414" t="inlineStr">
        <is>
          <t>1161503</t>
        </is>
      </c>
    </row>
    <row r="3415">
      <c r="A3415" t="inlineStr">
        <is>
          <t>101358</t>
        </is>
      </c>
      <c r="B3415" t="inlineStr">
        <is>
          <t>MUNICIPIO DE LAJES</t>
        </is>
      </c>
      <c r="C3415" t="n">
        <v>2111000000</v>
      </c>
      <c r="D3415" t="inlineStr">
        <is>
          <t>Taxes Payable</t>
        </is>
      </c>
      <c r="E3415" t="n">
        <v>200011602</v>
      </c>
      <c r="F3415" t="inlineStr">
        <is>
          <t>16477</t>
        </is>
      </c>
      <c r="G3415" t="inlineStr">
        <is>
          <t>UE</t>
        </is>
      </c>
      <c r="H3415" s="12" t="n">
        <v>-48.69</v>
      </c>
      <c r="I3415" s="17" t="n">
        <v>44988</v>
      </c>
      <c r="J3415" s="17" t="n">
        <v>44988</v>
      </c>
      <c r="K3415" t="inlineStr">
        <is>
          <t>1162690</t>
        </is>
      </c>
    </row>
    <row r="3416">
      <c r="A3416" t="inlineStr">
        <is>
          <t>100759</t>
        </is>
      </c>
      <c r="B3416" t="inlineStr">
        <is>
          <t>MUNICIPIO DE UIBAI</t>
        </is>
      </c>
      <c r="C3416" t="n">
        <v>2111000000</v>
      </c>
      <c r="D3416" t="inlineStr">
        <is>
          <t>Taxes Payable</t>
        </is>
      </c>
      <c r="E3416" t="n">
        <v>200011604</v>
      </c>
      <c r="F3416" t="inlineStr">
        <is>
          <t>16479</t>
        </is>
      </c>
      <c r="G3416" t="inlineStr">
        <is>
          <t>UE</t>
        </is>
      </c>
      <c r="H3416" s="12" t="n">
        <v>-10560.79</v>
      </c>
      <c r="I3416" s="17" t="n">
        <v>45048</v>
      </c>
      <c r="J3416" s="17" t="n">
        <v>45048</v>
      </c>
      <c r="K3416" t="inlineStr">
        <is>
          <t>1167155</t>
        </is>
      </c>
    </row>
    <row r="3417">
      <c r="A3417" t="inlineStr">
        <is>
          <t>100759</t>
        </is>
      </c>
      <c r="B3417" t="inlineStr">
        <is>
          <t>MUNICIPIO DE UIBAI</t>
        </is>
      </c>
      <c r="C3417" t="n">
        <v>2111000000</v>
      </c>
      <c r="D3417" t="inlineStr">
        <is>
          <t>Taxes Payable</t>
        </is>
      </c>
      <c r="E3417" t="n">
        <v>200011606</v>
      </c>
      <c r="F3417" t="inlineStr">
        <is>
          <t>16480</t>
        </is>
      </c>
      <c r="G3417" t="inlineStr">
        <is>
          <t>UE</t>
        </is>
      </c>
      <c r="H3417" s="12" t="n">
        <v>-33745.98</v>
      </c>
      <c r="I3417" s="17" t="n">
        <v>45051</v>
      </c>
      <c r="J3417" s="17" t="n">
        <v>45051</v>
      </c>
      <c r="K3417" t="inlineStr">
        <is>
          <t>1167157</t>
        </is>
      </c>
    </row>
    <row r="3418">
      <c r="A3418" t="inlineStr">
        <is>
          <t>100759</t>
        </is>
      </c>
      <c r="B3418" t="inlineStr">
        <is>
          <t>MUNICIPIO DE UIBAI</t>
        </is>
      </c>
      <c r="C3418" t="n">
        <v>2111000000</v>
      </c>
      <c r="D3418" t="inlineStr">
        <is>
          <t>Taxes Payable</t>
        </is>
      </c>
      <c r="E3418" t="n">
        <v>200011607</v>
      </c>
      <c r="F3418" t="inlineStr">
        <is>
          <t>16481</t>
        </is>
      </c>
      <c r="G3418" t="inlineStr">
        <is>
          <t>UE</t>
        </is>
      </c>
      <c r="H3418" s="12" t="n">
        <v>-4433.5</v>
      </c>
      <c r="I3418" s="17" t="n">
        <v>45055</v>
      </c>
      <c r="J3418" s="17" t="n">
        <v>45055</v>
      </c>
      <c r="K3418" t="inlineStr">
        <is>
          <t>1168065</t>
        </is>
      </c>
    </row>
    <row r="3419">
      <c r="A3419" t="inlineStr">
        <is>
          <t>100759</t>
        </is>
      </c>
      <c r="B3419" t="inlineStr">
        <is>
          <t>MUNICIPIO DE UIBAI</t>
        </is>
      </c>
      <c r="C3419" t="n">
        <v>2111000000</v>
      </c>
      <c r="D3419" t="inlineStr">
        <is>
          <t>Taxes Payable</t>
        </is>
      </c>
      <c r="E3419" t="n">
        <v>200011608</v>
      </c>
      <c r="F3419" t="inlineStr">
        <is>
          <t>16482</t>
        </is>
      </c>
      <c r="G3419" t="inlineStr">
        <is>
          <t>UE</t>
        </is>
      </c>
      <c r="H3419" s="12" t="n">
        <v>-492.61</v>
      </c>
      <c r="I3419" s="17" t="n">
        <v>45055</v>
      </c>
      <c r="J3419" s="17" t="n">
        <v>45055</v>
      </c>
      <c r="K3419" t="inlineStr">
        <is>
          <t>1168074</t>
        </is>
      </c>
    </row>
    <row r="3420">
      <c r="A3420" t="inlineStr">
        <is>
          <t>100759</t>
        </is>
      </c>
      <c r="B3420" t="inlineStr">
        <is>
          <t>MUNICIPIO DE UIBAI</t>
        </is>
      </c>
      <c r="C3420" t="n">
        <v>2111000000</v>
      </c>
      <c r="D3420" t="inlineStr">
        <is>
          <t>Taxes Payable</t>
        </is>
      </c>
      <c r="E3420" t="n">
        <v>200011609</v>
      </c>
      <c r="F3420" t="inlineStr">
        <is>
          <t>16483</t>
        </is>
      </c>
      <c r="G3420" t="inlineStr">
        <is>
          <t>UE</t>
        </is>
      </c>
      <c r="H3420" s="12" t="n">
        <v>-7389.16</v>
      </c>
      <c r="I3420" s="17" t="n">
        <v>45070</v>
      </c>
      <c r="J3420" s="17" t="n">
        <v>45070</v>
      </c>
      <c r="K3420" t="inlineStr">
        <is>
          <t>1170719</t>
        </is>
      </c>
    </row>
    <row r="3421">
      <c r="A3421" t="inlineStr">
        <is>
          <t>102008</t>
        </is>
      </c>
      <c r="B3421" t="inlineStr">
        <is>
          <t>MUNICIPIO DE ITAREMA</t>
        </is>
      </c>
      <c r="C3421" t="n">
        <v>2111000000</v>
      </c>
      <c r="D3421" t="inlineStr">
        <is>
          <t>Taxes Payable</t>
        </is>
      </c>
      <c r="E3421" t="n">
        <v>200011702</v>
      </c>
      <c r="F3421" t="inlineStr">
        <is>
          <t>16567</t>
        </is>
      </c>
      <c r="G3421" t="inlineStr">
        <is>
          <t>UE</t>
        </is>
      </c>
      <c r="H3421" s="12" t="n">
        <v>-2054.99</v>
      </c>
      <c r="I3421" s="17" t="n">
        <v>44972</v>
      </c>
      <c r="J3421" s="17" t="n">
        <v>44972</v>
      </c>
      <c r="K3421" t="inlineStr">
        <is>
          <t>1155347</t>
        </is>
      </c>
    </row>
    <row r="3422">
      <c r="A3422" t="inlineStr">
        <is>
          <t>102008</t>
        </is>
      </c>
      <c r="B3422" t="inlineStr">
        <is>
          <t>MUNICIPIO DE ITAREMA</t>
        </is>
      </c>
      <c r="C3422" t="n">
        <v>2111000000</v>
      </c>
      <c r="D3422" t="inlineStr">
        <is>
          <t>Taxes Payable</t>
        </is>
      </c>
      <c r="E3422" t="n">
        <v>200011703</v>
      </c>
      <c r="F3422" t="inlineStr">
        <is>
          <t>16568</t>
        </is>
      </c>
      <c r="G3422" t="inlineStr">
        <is>
          <t>UE</t>
        </is>
      </c>
      <c r="H3422" s="12" t="n">
        <v>-680.8099999999999</v>
      </c>
      <c r="I3422" s="17" t="n">
        <v>44972</v>
      </c>
      <c r="J3422" s="17" t="n">
        <v>44972</v>
      </c>
      <c r="K3422" t="inlineStr">
        <is>
          <t>1155353</t>
        </is>
      </c>
    </row>
    <row r="3423">
      <c r="A3423" t="inlineStr">
        <is>
          <t>102008</t>
        </is>
      </c>
      <c r="B3423" t="inlineStr">
        <is>
          <t>MUNICIPIO DE ITAREMA</t>
        </is>
      </c>
      <c r="C3423" t="n">
        <v>2111000000</v>
      </c>
      <c r="D3423" t="inlineStr">
        <is>
          <t>Taxes Payable</t>
        </is>
      </c>
      <c r="E3423" t="n">
        <v>200011704</v>
      </c>
      <c r="F3423" t="inlineStr">
        <is>
          <t>16569</t>
        </is>
      </c>
      <c r="G3423" t="inlineStr">
        <is>
          <t>UE</t>
        </is>
      </c>
      <c r="H3423" s="12" t="n">
        <v>-3973.3</v>
      </c>
      <c r="I3423" s="17" t="n">
        <v>45008</v>
      </c>
      <c r="J3423" s="17" t="n">
        <v>45008</v>
      </c>
      <c r="K3423" t="inlineStr">
        <is>
          <t>1171945</t>
        </is>
      </c>
    </row>
    <row r="3424">
      <c r="A3424" t="inlineStr">
        <is>
          <t>102008</t>
        </is>
      </c>
      <c r="B3424" t="inlineStr">
        <is>
          <t>MUNICIPIO DE ITAREMA</t>
        </is>
      </c>
      <c r="C3424" t="n">
        <v>2111000000</v>
      </c>
      <c r="D3424" t="inlineStr">
        <is>
          <t>Taxes Payable</t>
        </is>
      </c>
      <c r="E3424" t="n">
        <v>200011707</v>
      </c>
      <c r="F3424" t="inlineStr">
        <is>
          <t>16571</t>
        </is>
      </c>
      <c r="G3424" t="inlineStr">
        <is>
          <t>UE</t>
        </is>
      </c>
      <c r="H3424" s="12" t="n">
        <v>-3440</v>
      </c>
      <c r="I3424" s="17" t="n">
        <v>45008</v>
      </c>
      <c r="J3424" s="17" t="n">
        <v>45008</v>
      </c>
      <c r="K3424" t="inlineStr">
        <is>
          <t>1171947</t>
        </is>
      </c>
    </row>
    <row r="3425">
      <c r="A3425" t="inlineStr">
        <is>
          <t>102008</t>
        </is>
      </c>
      <c r="B3425" t="inlineStr">
        <is>
          <t>MUNICIPIO DE ITAREMA</t>
        </is>
      </c>
      <c r="C3425" t="n">
        <v>2111000000</v>
      </c>
      <c r="D3425" t="inlineStr">
        <is>
          <t>Taxes Payable</t>
        </is>
      </c>
      <c r="E3425" t="n">
        <v>200011709</v>
      </c>
      <c r="F3425" t="inlineStr">
        <is>
          <t>16573</t>
        </is>
      </c>
      <c r="G3425" t="inlineStr">
        <is>
          <t>UE</t>
        </is>
      </c>
      <c r="H3425" s="12" t="n">
        <v>-2100</v>
      </c>
      <c r="I3425" s="17" t="n">
        <v>45008</v>
      </c>
      <c r="J3425" s="17" t="n">
        <v>45008</v>
      </c>
      <c r="K3425" t="inlineStr">
        <is>
          <t>1171948</t>
        </is>
      </c>
    </row>
    <row r="3426">
      <c r="A3426" t="inlineStr">
        <is>
          <t>101918</t>
        </is>
      </c>
      <c r="B3426" t="inlineStr">
        <is>
          <t>MUNICIPIO DE AREIA BRANCA</t>
        </is>
      </c>
      <c r="C3426" t="n">
        <v>2111000000</v>
      </c>
      <c r="D3426" t="inlineStr">
        <is>
          <t>Taxes Payable</t>
        </is>
      </c>
      <c r="E3426" t="n">
        <v>200011712</v>
      </c>
      <c r="F3426" t="inlineStr">
        <is>
          <t>16576</t>
        </is>
      </c>
      <c r="G3426" t="inlineStr">
        <is>
          <t>UE</t>
        </is>
      </c>
      <c r="H3426" s="12" t="n">
        <v>-58235</v>
      </c>
      <c r="I3426" s="17" t="n">
        <v>45057</v>
      </c>
      <c r="J3426" s="17" t="n">
        <v>45057</v>
      </c>
      <c r="K3426" t="inlineStr">
        <is>
          <t>1172459</t>
        </is>
      </c>
    </row>
    <row r="3427">
      <c r="A3427" t="inlineStr">
        <is>
          <t>101998</t>
        </is>
      </c>
      <c r="B3427" t="inlineStr">
        <is>
          <t>MUNICIPIO DE SERRA DO MEL</t>
        </is>
      </c>
      <c r="C3427" t="n">
        <v>2111000000</v>
      </c>
      <c r="D3427" t="inlineStr">
        <is>
          <t>Taxes Payable</t>
        </is>
      </c>
      <c r="E3427" t="n">
        <v>200011713</v>
      </c>
      <c r="F3427" t="inlineStr">
        <is>
          <t>16577</t>
        </is>
      </c>
      <c r="G3427" t="inlineStr">
        <is>
          <t>UE</t>
        </is>
      </c>
      <c r="H3427" s="12" t="n">
        <v>-56012.26</v>
      </c>
      <c r="I3427" s="17" t="n">
        <v>45057</v>
      </c>
      <c r="J3427" s="17" t="n">
        <v>45057</v>
      </c>
      <c r="K3427" t="inlineStr">
        <is>
          <t>1173417</t>
        </is>
      </c>
    </row>
    <row r="3428">
      <c r="A3428" t="inlineStr">
        <is>
          <t>101998</t>
        </is>
      </c>
      <c r="B3428" t="inlineStr">
        <is>
          <t>MUNICIPIO DE SERRA DO MEL</t>
        </is>
      </c>
      <c r="C3428" t="n">
        <v>2111000000</v>
      </c>
      <c r="D3428" t="inlineStr">
        <is>
          <t>Taxes Payable</t>
        </is>
      </c>
      <c r="E3428" t="n">
        <v>200011714</v>
      </c>
      <c r="F3428" t="inlineStr">
        <is>
          <t>16578</t>
        </is>
      </c>
      <c r="G3428" t="inlineStr">
        <is>
          <t>UE</t>
        </is>
      </c>
      <c r="H3428" s="12" t="n">
        <v>-39194.21</v>
      </c>
      <c r="I3428" s="17" t="n">
        <v>45070</v>
      </c>
      <c r="J3428" s="17" t="n">
        <v>45070</v>
      </c>
      <c r="K3428" t="inlineStr">
        <is>
          <t>1176120</t>
        </is>
      </c>
    </row>
    <row r="3429">
      <c r="A3429" t="inlineStr">
        <is>
          <t>101006</t>
        </is>
      </c>
      <c r="B3429" t="inlineStr">
        <is>
          <t>MUNICIPIO DE SAO BENTO DO NORTE</t>
        </is>
      </c>
      <c r="C3429" t="n">
        <v>2111000000</v>
      </c>
      <c r="D3429" t="inlineStr">
        <is>
          <t>Taxes Payable</t>
        </is>
      </c>
      <c r="E3429" t="n">
        <v>200011720</v>
      </c>
      <c r="F3429" t="inlineStr">
        <is>
          <t>16583</t>
        </is>
      </c>
      <c r="G3429" t="inlineStr">
        <is>
          <t>UE</t>
        </is>
      </c>
      <c r="H3429" s="12" t="n">
        <v>-5757.89</v>
      </c>
      <c r="I3429" s="17" t="n">
        <v>45084</v>
      </c>
      <c r="J3429" s="17" t="n">
        <v>45084</v>
      </c>
      <c r="K3429" t="inlineStr">
        <is>
          <t>1181574</t>
        </is>
      </c>
    </row>
    <row r="3430">
      <c r="A3430" t="inlineStr">
        <is>
          <t>101763</t>
        </is>
      </c>
      <c r="B3430" t="inlineStr">
        <is>
          <t>MUNICIPIO DE LAGOA DO BARRO DO PIAU</t>
        </is>
      </c>
      <c r="C3430" t="n">
        <v>2111000000</v>
      </c>
      <c r="D3430" t="inlineStr">
        <is>
          <t>Taxes Payable</t>
        </is>
      </c>
      <c r="E3430" t="n">
        <v>200011758</v>
      </c>
      <c r="F3430" t="inlineStr">
        <is>
          <t>16617</t>
        </is>
      </c>
      <c r="G3430" t="inlineStr">
        <is>
          <t>UE</t>
        </is>
      </c>
      <c r="H3430" s="12" t="n">
        <v>-5184.21</v>
      </c>
      <c r="I3430" s="17" t="n">
        <v>44945</v>
      </c>
      <c r="J3430" s="17" t="n">
        <v>44945</v>
      </c>
      <c r="K3430" t="inlineStr">
        <is>
          <t>1152475</t>
        </is>
      </c>
    </row>
    <row r="3431">
      <c r="A3431" t="inlineStr">
        <is>
          <t>101763</t>
        </is>
      </c>
      <c r="B3431" t="inlineStr">
        <is>
          <t>MUNICIPIO DE LAGOA DO BARRO DO PIAU</t>
        </is>
      </c>
      <c r="C3431" t="n">
        <v>2111000000</v>
      </c>
      <c r="D3431" t="inlineStr">
        <is>
          <t>Taxes Payable</t>
        </is>
      </c>
      <c r="E3431" t="n">
        <v>200011759</v>
      </c>
      <c r="F3431" t="inlineStr">
        <is>
          <t>16618</t>
        </is>
      </c>
      <c r="G3431" t="inlineStr">
        <is>
          <t>UE</t>
        </is>
      </c>
      <c r="H3431" s="12" t="n">
        <v>-5184.21</v>
      </c>
      <c r="I3431" s="17" t="n">
        <v>44903</v>
      </c>
      <c r="J3431" s="17" t="n">
        <v>44903</v>
      </c>
      <c r="K3431" t="inlineStr">
        <is>
          <t>1152479</t>
        </is>
      </c>
    </row>
    <row r="3432">
      <c r="A3432" t="inlineStr">
        <is>
          <t>101763</t>
        </is>
      </c>
      <c r="B3432" t="inlineStr">
        <is>
          <t>MUNICIPIO DE LAGOA DO BARRO DO PIAU</t>
        </is>
      </c>
      <c r="C3432" t="n">
        <v>2111000000</v>
      </c>
      <c r="D3432" t="inlineStr">
        <is>
          <t>Taxes Payable</t>
        </is>
      </c>
      <c r="E3432" t="n">
        <v>200011760</v>
      </c>
      <c r="F3432" t="inlineStr">
        <is>
          <t>16619</t>
        </is>
      </c>
      <c r="G3432" t="inlineStr">
        <is>
          <t>UE</t>
        </is>
      </c>
      <c r="H3432" s="12" t="n">
        <v>-1719.51</v>
      </c>
      <c r="I3432" s="17" t="n">
        <v>44914</v>
      </c>
      <c r="J3432" s="17" t="n">
        <v>44914</v>
      </c>
      <c r="K3432" t="inlineStr">
        <is>
          <t>1168860</t>
        </is>
      </c>
    </row>
    <row r="3433">
      <c r="A3433" t="inlineStr">
        <is>
          <t>101763</t>
        </is>
      </c>
      <c r="B3433" t="inlineStr">
        <is>
          <t>MUNICIPIO DE LAGOA DO BARRO DO PIAU</t>
        </is>
      </c>
      <c r="C3433" t="n">
        <v>2111000000</v>
      </c>
      <c r="D3433" t="inlineStr">
        <is>
          <t>Taxes Payable</t>
        </is>
      </c>
      <c r="E3433" t="n">
        <v>200011763</v>
      </c>
      <c r="F3433" t="inlineStr">
        <is>
          <t>16621</t>
        </is>
      </c>
      <c r="G3433" t="inlineStr">
        <is>
          <t>UE</t>
        </is>
      </c>
      <c r="H3433" s="12" t="n">
        <v>-1719.51</v>
      </c>
      <c r="I3433" s="17" t="n">
        <v>44914</v>
      </c>
      <c r="J3433" s="17" t="n">
        <v>44914</v>
      </c>
      <c r="K3433" t="inlineStr">
        <is>
          <t>1168871</t>
        </is>
      </c>
    </row>
    <row r="3434">
      <c r="A3434" t="inlineStr">
        <is>
          <t>101763</t>
        </is>
      </c>
      <c r="B3434" t="inlineStr">
        <is>
          <t>MUNICIPIO DE LAGOA DO BARRO DO PIAU</t>
        </is>
      </c>
      <c r="C3434" t="n">
        <v>2111000000</v>
      </c>
      <c r="D3434" t="inlineStr">
        <is>
          <t>Taxes Payable</t>
        </is>
      </c>
      <c r="E3434" t="n">
        <v>200011765</v>
      </c>
      <c r="F3434" t="inlineStr">
        <is>
          <t>16623</t>
        </is>
      </c>
      <c r="G3434" t="inlineStr">
        <is>
          <t>UE</t>
        </is>
      </c>
      <c r="H3434" s="12" t="n">
        <v>-1719.51</v>
      </c>
      <c r="I3434" s="17" t="n">
        <v>44914</v>
      </c>
      <c r="J3434" s="17" t="n">
        <v>44914</v>
      </c>
      <c r="K3434" t="inlineStr">
        <is>
          <t>1168872</t>
        </is>
      </c>
    </row>
    <row r="3435">
      <c r="A3435" t="inlineStr">
        <is>
          <t>101763</t>
        </is>
      </c>
      <c r="B3435" t="inlineStr">
        <is>
          <t>MUNICIPIO DE LAGOA DO BARRO DO PIAU</t>
        </is>
      </c>
      <c r="C3435" t="n">
        <v>2111000000</v>
      </c>
      <c r="D3435" t="inlineStr">
        <is>
          <t>Taxes Payable</t>
        </is>
      </c>
      <c r="E3435" t="n">
        <v>200011767</v>
      </c>
      <c r="F3435" t="inlineStr">
        <is>
          <t>16625</t>
        </is>
      </c>
      <c r="G3435" t="inlineStr">
        <is>
          <t>UE</t>
        </is>
      </c>
      <c r="H3435" s="12" t="n">
        <v>-1719.51</v>
      </c>
      <c r="I3435" s="17" t="n">
        <v>44914</v>
      </c>
      <c r="J3435" s="17" t="n">
        <v>44914</v>
      </c>
      <c r="K3435" t="inlineStr">
        <is>
          <t>1168876</t>
        </is>
      </c>
    </row>
    <row r="3436">
      <c r="A3436" t="inlineStr">
        <is>
          <t>101763</t>
        </is>
      </c>
      <c r="B3436" t="inlineStr">
        <is>
          <t>MUNICIPIO DE LAGOA DO BARRO DO PIAU</t>
        </is>
      </c>
      <c r="C3436" t="n">
        <v>2111000000</v>
      </c>
      <c r="D3436" t="inlineStr">
        <is>
          <t>Taxes Payable</t>
        </is>
      </c>
      <c r="E3436" t="n">
        <v>200011769</v>
      </c>
      <c r="F3436" t="inlineStr">
        <is>
          <t>16627</t>
        </is>
      </c>
      <c r="G3436" t="inlineStr">
        <is>
          <t>UE</t>
        </is>
      </c>
      <c r="H3436" s="12" t="n">
        <v>-1719.51</v>
      </c>
      <c r="I3436" s="17" t="n">
        <v>44914</v>
      </c>
      <c r="J3436" s="17" t="n">
        <v>44914</v>
      </c>
      <c r="K3436" t="inlineStr">
        <is>
          <t>1168877</t>
        </is>
      </c>
    </row>
    <row r="3437">
      <c r="A3437" t="inlineStr">
        <is>
          <t>101763</t>
        </is>
      </c>
      <c r="B3437" t="inlineStr">
        <is>
          <t>MUNICIPIO DE LAGOA DO BARRO DO PIAU</t>
        </is>
      </c>
      <c r="C3437" t="n">
        <v>2111000000</v>
      </c>
      <c r="D3437" t="inlineStr">
        <is>
          <t>Taxes Payable</t>
        </is>
      </c>
      <c r="E3437" t="n">
        <v>200011771</v>
      </c>
      <c r="F3437" t="inlineStr">
        <is>
          <t>16629</t>
        </is>
      </c>
      <c r="G3437" t="inlineStr">
        <is>
          <t>UE</t>
        </is>
      </c>
      <c r="H3437" s="12" t="n">
        <v>-1719.51</v>
      </c>
      <c r="I3437" s="17" t="n">
        <v>44914</v>
      </c>
      <c r="J3437" s="17" t="n">
        <v>44914</v>
      </c>
      <c r="K3437" t="inlineStr">
        <is>
          <t>1168882</t>
        </is>
      </c>
    </row>
    <row r="3438">
      <c r="A3438" t="inlineStr">
        <is>
          <t>101763</t>
        </is>
      </c>
      <c r="B3438" t="inlineStr">
        <is>
          <t>MUNICIPIO DE LAGOA DO BARRO DO PIAU</t>
        </is>
      </c>
      <c r="C3438" t="n">
        <v>2111000000</v>
      </c>
      <c r="D3438" t="inlineStr">
        <is>
          <t>Taxes Payable</t>
        </is>
      </c>
      <c r="E3438" t="n">
        <v>200011776</v>
      </c>
      <c r="F3438" t="inlineStr">
        <is>
          <t>16633</t>
        </is>
      </c>
      <c r="G3438" t="inlineStr">
        <is>
          <t>UE</t>
        </is>
      </c>
      <c r="H3438" s="12" t="n">
        <v>-26342.11</v>
      </c>
      <c r="I3438" s="17" t="n">
        <v>45036</v>
      </c>
      <c r="J3438" s="17" t="n">
        <v>45036</v>
      </c>
      <c r="K3438" t="inlineStr">
        <is>
          <t>1171680</t>
        </is>
      </c>
    </row>
    <row r="3439">
      <c r="A3439" t="inlineStr">
        <is>
          <t>101523</t>
        </is>
      </c>
      <c r="B3439" t="inlineStr">
        <is>
          <t>TRANSPORTES PESADOS MINAS SA 17215039000129</t>
        </is>
      </c>
      <c r="C3439" t="n">
        <v>2111000000</v>
      </c>
      <c r="D3439" t="inlineStr">
        <is>
          <t>Other Suppliers</t>
        </is>
      </c>
      <c r="E3439" t="n">
        <v>200011779</v>
      </c>
      <c r="F3439" t="inlineStr">
        <is>
          <t>16636</t>
        </is>
      </c>
      <c r="G3439" t="inlineStr">
        <is>
          <t>UE</t>
        </is>
      </c>
      <c r="H3439" s="12" t="n">
        <v>-98500</v>
      </c>
      <c r="I3439" s="17" t="n">
        <v>45117</v>
      </c>
      <c r="J3439" s="17" t="n">
        <v>45117</v>
      </c>
      <c r="K3439" t="inlineStr">
        <is>
          <t>1180168</t>
        </is>
      </c>
    </row>
    <row r="3440">
      <c r="A3440" t="inlineStr">
        <is>
          <t>101523</t>
        </is>
      </c>
      <c r="B3440" t="inlineStr">
        <is>
          <t>TRANSPORTES PESADOS MINAS SA 17215039000129</t>
        </is>
      </c>
      <c r="C3440" t="n">
        <v>2111000000</v>
      </c>
      <c r="D3440" t="inlineStr">
        <is>
          <t>Other Suppliers</t>
        </is>
      </c>
      <c r="E3440" t="n">
        <v>200011781</v>
      </c>
      <c r="F3440" t="inlineStr">
        <is>
          <t>16638</t>
        </is>
      </c>
      <c r="G3440" t="inlineStr">
        <is>
          <t>UE</t>
        </is>
      </c>
      <c r="H3440" s="12" t="n">
        <v>-98500</v>
      </c>
      <c r="I3440" s="17" t="n">
        <v>45117</v>
      </c>
      <c r="J3440" s="17" t="n">
        <v>45117</v>
      </c>
      <c r="K3440" t="inlineStr">
        <is>
          <t>1180172</t>
        </is>
      </c>
    </row>
    <row r="3441">
      <c r="A3441" t="inlineStr">
        <is>
          <t>101700</t>
        </is>
      </c>
      <c r="B3441" t="inlineStr">
        <is>
          <t>MUNICIPIO DE MULUNGU DO MORRO</t>
        </is>
      </c>
      <c r="C3441" t="n">
        <v>2111000000</v>
      </c>
      <c r="D3441" t="inlineStr">
        <is>
          <t>Taxes Payable</t>
        </is>
      </c>
      <c r="E3441" t="n">
        <v>200011806</v>
      </c>
      <c r="F3441" t="inlineStr">
        <is>
          <t>16660</t>
        </is>
      </c>
      <c r="G3441" t="inlineStr">
        <is>
          <t>UE</t>
        </is>
      </c>
      <c r="H3441" s="12" t="n">
        <v>-714</v>
      </c>
      <c r="I3441" s="17" t="n">
        <v>45007</v>
      </c>
      <c r="J3441" s="17" t="n">
        <v>45007</v>
      </c>
      <c r="K3441" t="inlineStr">
        <is>
          <t>1161543</t>
        </is>
      </c>
    </row>
    <row r="3442">
      <c r="A3442" t="inlineStr">
        <is>
          <t>101998</t>
        </is>
      </c>
      <c r="B3442" t="inlineStr">
        <is>
          <t>MUNICIPIO DE SERRA DO MEL</t>
        </is>
      </c>
      <c r="C3442" t="n">
        <v>2111000000</v>
      </c>
      <c r="D3442" t="inlineStr">
        <is>
          <t>Taxes Payable</t>
        </is>
      </c>
      <c r="E3442" t="n">
        <v>200011807</v>
      </c>
      <c r="F3442" t="inlineStr">
        <is>
          <t>16661</t>
        </is>
      </c>
      <c r="G3442" t="inlineStr">
        <is>
          <t>UE</t>
        </is>
      </c>
      <c r="H3442" s="12" t="n">
        <v>-280</v>
      </c>
      <c r="I3442" s="17" t="n">
        <v>45058</v>
      </c>
      <c r="J3442" s="17" t="n">
        <v>45058</v>
      </c>
      <c r="K3442" t="inlineStr">
        <is>
          <t>1172357</t>
        </is>
      </c>
    </row>
    <row r="3443">
      <c r="A3443" t="inlineStr">
        <is>
          <t>101700</t>
        </is>
      </c>
      <c r="B3443" t="inlineStr">
        <is>
          <t>MUNICIPIO DE MULUNGU DO MORRO</t>
        </is>
      </c>
      <c r="C3443" t="n">
        <v>2111000000</v>
      </c>
      <c r="D3443" t="inlineStr">
        <is>
          <t>Taxes Payable</t>
        </is>
      </c>
      <c r="E3443" t="n">
        <v>200011811</v>
      </c>
      <c r="F3443" t="inlineStr">
        <is>
          <t>16665</t>
        </is>
      </c>
      <c r="G3443" t="inlineStr">
        <is>
          <t>UE</t>
        </is>
      </c>
      <c r="H3443" s="12" t="n">
        <v>-1139.04</v>
      </c>
      <c r="I3443" s="17" t="n">
        <v>44824</v>
      </c>
      <c r="J3443" s="17" t="n">
        <v>44824</v>
      </c>
      <c r="K3443" t="inlineStr">
        <is>
          <t>1129643</t>
        </is>
      </c>
    </row>
    <row r="3444">
      <c r="A3444" t="inlineStr">
        <is>
          <t>101006</t>
        </is>
      </c>
      <c r="B3444" t="inlineStr">
        <is>
          <t>MUNICIPIO DE SAO BENTO DO NORTE</t>
        </is>
      </c>
      <c r="C3444" t="n">
        <v>2111000000</v>
      </c>
      <c r="D3444" t="inlineStr">
        <is>
          <t>Taxes Payable</t>
        </is>
      </c>
      <c r="E3444" t="n">
        <v>200011813</v>
      </c>
      <c r="F3444" t="inlineStr">
        <is>
          <t>16667</t>
        </is>
      </c>
      <c r="G3444" t="inlineStr">
        <is>
          <t>UE</t>
        </is>
      </c>
      <c r="H3444" s="12" t="n">
        <v>-839.0599999999999</v>
      </c>
      <c r="I3444" s="17" t="n">
        <v>44915</v>
      </c>
      <c r="J3444" s="17" t="n">
        <v>44915</v>
      </c>
      <c r="K3444" t="inlineStr">
        <is>
          <t>1149444</t>
        </is>
      </c>
    </row>
    <row r="3445">
      <c r="A3445" t="inlineStr">
        <is>
          <t>101763</t>
        </is>
      </c>
      <c r="B3445" t="inlineStr">
        <is>
          <t>MUNICIPIO DE LAGOA DO BARRO DO PIAU</t>
        </is>
      </c>
      <c r="C3445" t="n">
        <v>2111000000</v>
      </c>
      <c r="D3445" t="inlineStr">
        <is>
          <t>Taxes Payable</t>
        </is>
      </c>
      <c r="E3445" t="n">
        <v>200011815</v>
      </c>
      <c r="F3445" t="inlineStr">
        <is>
          <t>16669</t>
        </is>
      </c>
      <c r="G3445" t="inlineStr">
        <is>
          <t>UE</t>
        </is>
      </c>
      <c r="H3445" s="12" t="n">
        <v>-9551.58</v>
      </c>
      <c r="I3445" s="17" t="n">
        <v>44915</v>
      </c>
      <c r="J3445" s="17" t="n">
        <v>44915</v>
      </c>
      <c r="K3445" t="inlineStr">
        <is>
          <t>1149446</t>
        </is>
      </c>
    </row>
    <row r="3446">
      <c r="A3446" t="inlineStr">
        <is>
          <t>101998</t>
        </is>
      </c>
      <c r="B3446" t="inlineStr">
        <is>
          <t>MUNICIPIO DE SERRA DO MEL</t>
        </is>
      </c>
      <c r="C3446" t="n">
        <v>2111000000</v>
      </c>
      <c r="D3446" t="inlineStr">
        <is>
          <t>Taxes Payable</t>
        </is>
      </c>
      <c r="E3446" t="n">
        <v>200011818</v>
      </c>
      <c r="F3446" t="inlineStr">
        <is>
          <t>16671</t>
        </is>
      </c>
      <c r="G3446" t="inlineStr">
        <is>
          <t>UE</t>
        </is>
      </c>
      <c r="H3446" s="12" t="n">
        <v>-1180.58</v>
      </c>
      <c r="I3446" s="17" t="n">
        <v>44915</v>
      </c>
      <c r="J3446" s="17" t="n">
        <v>44915</v>
      </c>
      <c r="K3446" t="inlineStr">
        <is>
          <t>1149448</t>
        </is>
      </c>
    </row>
    <row r="3447">
      <c r="A3447" t="inlineStr">
        <is>
          <t>101763</t>
        </is>
      </c>
      <c r="B3447" t="inlineStr">
        <is>
          <t>MUNICIPIO DE LAGOA DO BARRO DO PIAU</t>
        </is>
      </c>
      <c r="C3447" t="n">
        <v>2111000000</v>
      </c>
      <c r="D3447" t="inlineStr">
        <is>
          <t>Taxes Payable</t>
        </is>
      </c>
      <c r="E3447" t="n">
        <v>200011820</v>
      </c>
      <c r="F3447" t="inlineStr">
        <is>
          <t>16673</t>
        </is>
      </c>
      <c r="G3447" t="inlineStr">
        <is>
          <t>UE</t>
        </is>
      </c>
      <c r="H3447" s="12" t="n">
        <v>-7923.72</v>
      </c>
      <c r="I3447" s="17" t="n">
        <v>45098</v>
      </c>
      <c r="J3447" s="17" t="n">
        <v>45098</v>
      </c>
      <c r="K3447" t="inlineStr">
        <is>
          <t>1178367</t>
        </is>
      </c>
    </row>
    <row r="3448">
      <c r="A3448" t="inlineStr">
        <is>
          <t>100759</t>
        </is>
      </c>
      <c r="B3448" t="inlineStr">
        <is>
          <t>MUNICIPIO DE UIBAI</t>
        </is>
      </c>
      <c r="C3448" t="n">
        <v>2111000000</v>
      </c>
      <c r="D3448" t="inlineStr">
        <is>
          <t>Taxes Payable</t>
        </is>
      </c>
      <c r="E3448" t="n">
        <v>200011836</v>
      </c>
      <c r="F3448" t="inlineStr">
        <is>
          <t>16688</t>
        </is>
      </c>
      <c r="G3448" t="inlineStr">
        <is>
          <t>UE</t>
        </is>
      </c>
      <c r="H3448" s="12" t="n">
        <v>-2712.18</v>
      </c>
      <c r="I3448" s="17" t="n">
        <v>44995</v>
      </c>
      <c r="J3448" s="17" t="n">
        <v>44995</v>
      </c>
      <c r="K3448" t="inlineStr">
        <is>
          <t>1170164</t>
        </is>
      </c>
    </row>
    <row r="3449">
      <c r="A3449" t="inlineStr">
        <is>
          <t>100759</t>
        </is>
      </c>
      <c r="B3449" t="inlineStr">
        <is>
          <t>MUNICIPIO DE UIBAI</t>
        </is>
      </c>
      <c r="C3449" t="n">
        <v>2111000000</v>
      </c>
      <c r="D3449" t="inlineStr">
        <is>
          <t>Taxes Payable</t>
        </is>
      </c>
      <c r="E3449" t="n">
        <v>200011837</v>
      </c>
      <c r="F3449" t="inlineStr">
        <is>
          <t>16689</t>
        </is>
      </c>
      <c r="G3449" t="inlineStr">
        <is>
          <t>UE</t>
        </is>
      </c>
      <c r="H3449" s="12" t="n">
        <v>-1148.75</v>
      </c>
      <c r="I3449" s="17" t="n">
        <v>45056</v>
      </c>
      <c r="J3449" s="17" t="n">
        <v>45056</v>
      </c>
      <c r="K3449" t="inlineStr">
        <is>
          <t>1170712</t>
        </is>
      </c>
    </row>
    <row r="3450">
      <c r="A3450" t="inlineStr">
        <is>
          <t>100759</t>
        </is>
      </c>
      <c r="B3450" t="inlineStr">
        <is>
          <t>MUNICIPIO DE UIBAI</t>
        </is>
      </c>
      <c r="C3450" t="n">
        <v>2111000000</v>
      </c>
      <c r="D3450" t="inlineStr">
        <is>
          <t>Taxes Payable</t>
        </is>
      </c>
      <c r="E3450" t="n">
        <v>200011839</v>
      </c>
      <c r="F3450" t="inlineStr">
        <is>
          <t>16690</t>
        </is>
      </c>
      <c r="G3450" t="inlineStr">
        <is>
          <t>UE</t>
        </is>
      </c>
      <c r="H3450" s="12" t="n">
        <v>-999.35</v>
      </c>
      <c r="I3450" s="17" t="n">
        <v>45033</v>
      </c>
      <c r="J3450" s="17" t="n">
        <v>45033</v>
      </c>
      <c r="K3450" t="inlineStr">
        <is>
          <t>1170715</t>
        </is>
      </c>
    </row>
    <row r="3451">
      <c r="A3451" t="inlineStr">
        <is>
          <t>102282</t>
        </is>
      </c>
      <c r="B3451" t="inlineStr">
        <is>
          <t>ARISTOTELES MARCIO SOUZA ARAUJO</t>
        </is>
      </c>
      <c r="C3451" t="n">
        <v>2111000000</v>
      </c>
      <c r="D3451" t="inlineStr">
        <is>
          <t>Customs Brokerage – Overall</t>
        </is>
      </c>
      <c r="E3451" t="n">
        <v>200011851</v>
      </c>
      <c r="F3451" t="inlineStr">
        <is>
          <t>16700</t>
        </is>
      </c>
      <c r="G3451" t="inlineStr">
        <is>
          <t>UE</t>
        </is>
      </c>
      <c r="H3451" s="12" t="n">
        <v>-18123</v>
      </c>
      <c r="I3451" s="17" t="n">
        <v>43914</v>
      </c>
      <c r="J3451" s="17" t="n">
        <v>43914</v>
      </c>
      <c r="K3451" t="inlineStr">
        <is>
          <t>977331</t>
        </is>
      </c>
    </row>
    <row r="3452">
      <c r="A3452" t="inlineStr">
        <is>
          <t>102282</t>
        </is>
      </c>
      <c r="B3452" t="inlineStr">
        <is>
          <t>ARISTOTELES MARCIO SOUZA ARAUJO</t>
        </is>
      </c>
      <c r="C3452" t="n">
        <v>2111000000</v>
      </c>
      <c r="D3452" t="inlineStr">
        <is>
          <t>Customs Brokerage – Overall</t>
        </is>
      </c>
      <c r="E3452" t="n">
        <v>200011852</v>
      </c>
      <c r="F3452" t="inlineStr">
        <is>
          <t>16701</t>
        </is>
      </c>
      <c r="G3452" t="inlineStr">
        <is>
          <t>UE</t>
        </is>
      </c>
      <c r="H3452" s="12" t="n">
        <v>-13600</v>
      </c>
      <c r="I3452" s="17" t="n">
        <v>43860</v>
      </c>
      <c r="J3452" s="17" t="n">
        <v>43860</v>
      </c>
      <c r="K3452" t="inlineStr">
        <is>
          <t>998826</t>
        </is>
      </c>
    </row>
    <row r="3453">
      <c r="A3453" t="inlineStr">
        <is>
          <t>101763</t>
        </is>
      </c>
      <c r="B3453" t="inlineStr">
        <is>
          <t>MUNICIPIO DE LAGOA DO BARRO DO PIAU</t>
        </is>
      </c>
      <c r="C3453" t="n">
        <v>2111000000</v>
      </c>
      <c r="D3453" t="inlineStr">
        <is>
          <t>Taxes Payable</t>
        </is>
      </c>
      <c r="E3453" t="n">
        <v>200011855</v>
      </c>
      <c r="F3453" t="inlineStr">
        <is>
          <t>16704</t>
        </is>
      </c>
      <c r="G3453" t="inlineStr">
        <is>
          <t>UE</t>
        </is>
      </c>
      <c r="H3453" s="12" t="n">
        <v>-4312.31</v>
      </c>
      <c r="I3453" s="17" t="n">
        <v>44883</v>
      </c>
      <c r="J3453" s="17" t="n">
        <v>44883</v>
      </c>
      <c r="K3453" t="inlineStr">
        <is>
          <t>1151503</t>
        </is>
      </c>
    </row>
    <row r="3454">
      <c r="A3454" t="inlineStr">
        <is>
          <t>101358</t>
        </is>
      </c>
      <c r="B3454" t="inlineStr">
        <is>
          <t>MUNICIPIO DE LAJES</t>
        </is>
      </c>
      <c r="C3454" t="n">
        <v>2111000000</v>
      </c>
      <c r="D3454" t="inlineStr">
        <is>
          <t>Taxes Payable</t>
        </is>
      </c>
      <c r="E3454" t="n">
        <v>200011867</v>
      </c>
      <c r="F3454" t="inlineStr">
        <is>
          <t>16715</t>
        </is>
      </c>
      <c r="G3454" t="inlineStr">
        <is>
          <t>UE</t>
        </is>
      </c>
      <c r="H3454" s="12" t="n">
        <v>-81.59999999999999</v>
      </c>
      <c r="I3454" s="17" t="n">
        <v>44796</v>
      </c>
      <c r="J3454" s="17" t="n">
        <v>44796</v>
      </c>
      <c r="K3454" t="inlineStr">
        <is>
          <t>1182512</t>
        </is>
      </c>
    </row>
    <row r="3455">
      <c r="A3455" t="inlineStr">
        <is>
          <t>101700</t>
        </is>
      </c>
      <c r="B3455" t="inlineStr">
        <is>
          <t>MUNICIPIO DE MULUNGU DO MORRO</t>
        </is>
      </c>
      <c r="C3455" t="n">
        <v>2111000000</v>
      </c>
      <c r="D3455" t="inlineStr">
        <is>
          <t>Taxes Payable</t>
        </is>
      </c>
      <c r="E3455" t="n">
        <v>200011868</v>
      </c>
      <c r="F3455" t="inlineStr">
        <is>
          <t>16716</t>
        </is>
      </c>
      <c r="G3455" t="inlineStr">
        <is>
          <t>UE</t>
        </is>
      </c>
      <c r="H3455" s="12" t="n">
        <v>-399.13</v>
      </c>
      <c r="I3455" s="17" t="n">
        <v>44757</v>
      </c>
      <c r="J3455" s="17" t="n">
        <v>44757</v>
      </c>
      <c r="K3455" t="inlineStr">
        <is>
          <t>1150008</t>
        </is>
      </c>
    </row>
    <row r="3456">
      <c r="A3456" t="inlineStr">
        <is>
          <t>101700</t>
        </is>
      </c>
      <c r="B3456" t="inlineStr">
        <is>
          <t>MUNICIPIO DE MULUNGU DO MORRO</t>
        </is>
      </c>
      <c r="C3456" t="n">
        <v>2111000000</v>
      </c>
      <c r="D3456" t="inlineStr">
        <is>
          <t>Taxes Payable</t>
        </is>
      </c>
      <c r="E3456" t="n">
        <v>200011869</v>
      </c>
      <c r="F3456" t="inlineStr">
        <is>
          <t>16717</t>
        </is>
      </c>
      <c r="G3456" t="inlineStr">
        <is>
          <t>UE</t>
        </is>
      </c>
      <c r="H3456" s="12" t="n">
        <v>-751.9</v>
      </c>
      <c r="I3456" s="17" t="n">
        <v>44967</v>
      </c>
      <c r="J3456" s="17" t="n">
        <v>44967</v>
      </c>
      <c r="K3456" t="inlineStr">
        <is>
          <t>1154739</t>
        </is>
      </c>
    </row>
    <row r="3457">
      <c r="A3457" t="inlineStr">
        <is>
          <t>101763</t>
        </is>
      </c>
      <c r="B3457" t="inlineStr">
        <is>
          <t>MUNICIPIO DE LAGOA DO BARRO DO PIAU</t>
        </is>
      </c>
      <c r="C3457" t="n">
        <v>2111000000</v>
      </c>
      <c r="D3457" t="inlineStr">
        <is>
          <t>Taxes Payable</t>
        </is>
      </c>
      <c r="E3457" t="n">
        <v>200011957</v>
      </c>
      <c r="F3457" t="inlineStr">
        <is>
          <t>16797</t>
        </is>
      </c>
      <c r="G3457" t="inlineStr">
        <is>
          <t>UE</t>
        </is>
      </c>
      <c r="H3457" s="12" t="n">
        <v>-4323.45</v>
      </c>
      <c r="I3457" s="17" t="n">
        <v>45093</v>
      </c>
      <c r="J3457" s="17" t="n">
        <v>45093</v>
      </c>
      <c r="K3457" t="inlineStr">
        <is>
          <t>1178285</t>
        </is>
      </c>
    </row>
    <row r="3458">
      <c r="A3458" t="inlineStr">
        <is>
          <t>101358</t>
        </is>
      </c>
      <c r="B3458" t="inlineStr">
        <is>
          <t>MUNICIPIO DE LAJES</t>
        </is>
      </c>
      <c r="C3458" t="n">
        <v>2111000000</v>
      </c>
      <c r="D3458" t="inlineStr">
        <is>
          <t>Taxes Payable</t>
        </is>
      </c>
      <c r="E3458" t="n">
        <v>200011984</v>
      </c>
      <c r="F3458" t="inlineStr">
        <is>
          <t>16820</t>
        </is>
      </c>
      <c r="G3458" t="inlineStr">
        <is>
          <t>UE</t>
        </is>
      </c>
      <c r="H3458" s="12" t="n">
        <v>-6633.53</v>
      </c>
      <c r="I3458" s="17" t="n">
        <v>44946</v>
      </c>
      <c r="J3458" s="17" t="n">
        <v>44946</v>
      </c>
      <c r="K3458" t="inlineStr">
        <is>
          <t>1153281</t>
        </is>
      </c>
    </row>
    <row r="3459">
      <c r="A3459" t="inlineStr">
        <is>
          <t>101358</t>
        </is>
      </c>
      <c r="B3459" t="inlineStr">
        <is>
          <t>MUNICIPIO DE LAJES</t>
        </is>
      </c>
      <c r="C3459" t="n">
        <v>2111000000</v>
      </c>
      <c r="D3459" t="inlineStr">
        <is>
          <t>Taxes Payable</t>
        </is>
      </c>
      <c r="E3459" t="n">
        <v>200011986</v>
      </c>
      <c r="F3459" t="inlineStr">
        <is>
          <t>16822</t>
        </is>
      </c>
      <c r="G3459" t="inlineStr">
        <is>
          <t>UE</t>
        </is>
      </c>
      <c r="H3459" s="12" t="n">
        <v>-13267.58</v>
      </c>
      <c r="I3459" s="17" t="n">
        <v>44946</v>
      </c>
      <c r="J3459" s="17" t="n">
        <v>44946</v>
      </c>
      <c r="K3459" t="inlineStr">
        <is>
          <t>1153282</t>
        </is>
      </c>
    </row>
    <row r="3460">
      <c r="A3460" t="inlineStr">
        <is>
          <t>102290</t>
        </is>
      </c>
      <c r="B3460" t="inlineStr">
        <is>
          <t>GILDO MARQUES RIBEIRO</t>
        </is>
      </c>
      <c r="C3460" t="n">
        <v>2111000000</v>
      </c>
      <c r="D3460" t="inlineStr">
        <is>
          <t>Other Suppliers</t>
        </is>
      </c>
      <c r="E3460" t="n">
        <v>200011998</v>
      </c>
      <c r="F3460" t="inlineStr">
        <is>
          <t>16833</t>
        </is>
      </c>
      <c r="G3460" t="inlineStr">
        <is>
          <t>UE</t>
        </is>
      </c>
      <c r="H3460" s="12" t="n">
        <v>-7503</v>
      </c>
      <c r="I3460" s="17" t="n">
        <v>45110</v>
      </c>
      <c r="J3460" s="17" t="n">
        <v>45110</v>
      </c>
      <c r="K3460" t="inlineStr">
        <is>
          <t>1180145</t>
        </is>
      </c>
    </row>
    <row r="3461">
      <c r="A3461" t="inlineStr">
        <is>
          <t>101763</t>
        </is>
      </c>
      <c r="B3461" t="inlineStr">
        <is>
          <t>MUNICIPIO DE LAGOA DO BARRO DO PIAU</t>
        </is>
      </c>
      <c r="C3461" t="n">
        <v>2111000000</v>
      </c>
      <c r="D3461" t="inlineStr">
        <is>
          <t>Taxes Payable</t>
        </is>
      </c>
      <c r="E3461" t="n">
        <v>200012000</v>
      </c>
      <c r="F3461" t="inlineStr">
        <is>
          <t>16835</t>
        </is>
      </c>
      <c r="G3461" t="inlineStr">
        <is>
          <t>UE</t>
        </is>
      </c>
      <c r="H3461" s="12" t="n">
        <v>-293.58</v>
      </c>
      <c r="I3461" s="17" t="n">
        <v>44848</v>
      </c>
      <c r="J3461" s="17" t="n">
        <v>44848</v>
      </c>
      <c r="K3461" t="inlineStr">
        <is>
          <t>1157454</t>
        </is>
      </c>
    </row>
    <row r="3462">
      <c r="A3462" t="inlineStr">
        <is>
          <t>101763</t>
        </is>
      </c>
      <c r="B3462" t="inlineStr">
        <is>
          <t>MUNICIPIO DE LAGOA DO BARRO DO PIAU</t>
        </is>
      </c>
      <c r="C3462" t="n">
        <v>2111000000</v>
      </c>
      <c r="D3462" t="inlineStr">
        <is>
          <t>Taxes Payable</t>
        </is>
      </c>
      <c r="E3462" t="n">
        <v>200012001</v>
      </c>
      <c r="F3462" t="inlineStr">
        <is>
          <t>16836</t>
        </is>
      </c>
      <c r="G3462" t="inlineStr">
        <is>
          <t>UE</t>
        </is>
      </c>
      <c r="H3462" s="12" t="n">
        <v>-293.58</v>
      </c>
      <c r="I3462" s="17" t="n">
        <v>44848</v>
      </c>
      <c r="J3462" s="17" t="n">
        <v>44848</v>
      </c>
      <c r="K3462" t="inlineStr">
        <is>
          <t>1157456</t>
        </is>
      </c>
    </row>
    <row r="3463">
      <c r="A3463" t="inlineStr">
        <is>
          <t>101918</t>
        </is>
      </c>
      <c r="B3463" t="inlineStr">
        <is>
          <t>MUNICIPIO DE AREIA BRANCA</t>
        </is>
      </c>
      <c r="C3463" t="n">
        <v>2111000000</v>
      </c>
      <c r="D3463" t="inlineStr">
        <is>
          <t>Taxes Payable</t>
        </is>
      </c>
      <c r="E3463" t="n">
        <v>200012002</v>
      </c>
      <c r="F3463" t="inlineStr">
        <is>
          <t>16837</t>
        </is>
      </c>
      <c r="G3463" t="inlineStr">
        <is>
          <t>UE</t>
        </is>
      </c>
      <c r="H3463" s="12" t="n">
        <v>-13.92</v>
      </c>
      <c r="I3463" s="17" t="n">
        <v>44508</v>
      </c>
      <c r="J3463" s="17" t="n">
        <v>44508</v>
      </c>
      <c r="K3463" t="inlineStr">
        <is>
          <t>1165842</t>
        </is>
      </c>
    </row>
    <row r="3464">
      <c r="A3464" t="inlineStr">
        <is>
          <t>101358</t>
        </is>
      </c>
      <c r="B3464" t="inlineStr">
        <is>
          <t>MUNICIPIO DE LAJES</t>
        </is>
      </c>
      <c r="C3464" t="n">
        <v>2111000000</v>
      </c>
      <c r="D3464" t="inlineStr">
        <is>
          <t>Taxes Payable</t>
        </is>
      </c>
      <c r="E3464" t="n">
        <v>200012010</v>
      </c>
      <c r="F3464" t="inlineStr">
        <is>
          <t>16844</t>
        </is>
      </c>
      <c r="G3464" t="inlineStr">
        <is>
          <t>UE</t>
        </is>
      </c>
      <c r="H3464" s="12" t="n">
        <v>-26926.46</v>
      </c>
      <c r="I3464" s="17" t="n">
        <v>44883</v>
      </c>
      <c r="J3464" s="17" t="n">
        <v>44883</v>
      </c>
      <c r="K3464" t="inlineStr">
        <is>
          <t>1136862</t>
        </is>
      </c>
    </row>
    <row r="3465">
      <c r="A3465" t="inlineStr">
        <is>
          <t>101358</t>
        </is>
      </c>
      <c r="B3465" t="inlineStr">
        <is>
          <t>MUNICIPIO DE LAJES</t>
        </is>
      </c>
      <c r="C3465" t="n">
        <v>2111000000</v>
      </c>
      <c r="D3465" t="inlineStr">
        <is>
          <t>Taxes Payable</t>
        </is>
      </c>
      <c r="E3465" t="n">
        <v>200012015</v>
      </c>
      <c r="F3465" t="inlineStr">
        <is>
          <t>16849</t>
        </is>
      </c>
      <c r="G3465" t="inlineStr">
        <is>
          <t>UE</t>
        </is>
      </c>
      <c r="H3465" s="12" t="n">
        <v>-10340.59</v>
      </c>
      <c r="I3465" s="17" t="n">
        <v>44876</v>
      </c>
      <c r="J3465" s="17" t="n">
        <v>44876</v>
      </c>
      <c r="K3465" t="inlineStr">
        <is>
          <t>1142015</t>
        </is>
      </c>
    </row>
    <row r="3466">
      <c r="A3466" t="inlineStr">
        <is>
          <t>101358</t>
        </is>
      </c>
      <c r="B3466" t="inlineStr">
        <is>
          <t>MUNICIPIO DE LAJES</t>
        </is>
      </c>
      <c r="C3466" t="n">
        <v>2111000000</v>
      </c>
      <c r="D3466" t="inlineStr">
        <is>
          <t>Taxes Payable</t>
        </is>
      </c>
      <c r="E3466" t="n">
        <v>200012017</v>
      </c>
      <c r="F3466" t="inlineStr">
        <is>
          <t>16850</t>
        </is>
      </c>
      <c r="G3466" t="inlineStr">
        <is>
          <t>UE</t>
        </is>
      </c>
      <c r="H3466" s="12" t="n">
        <v>-4719.08</v>
      </c>
      <c r="I3466" s="17" t="n">
        <v>44876</v>
      </c>
      <c r="J3466" s="17" t="n">
        <v>44876</v>
      </c>
      <c r="K3466" t="inlineStr">
        <is>
          <t>1142019</t>
        </is>
      </c>
    </row>
    <row r="3467">
      <c r="A3467" t="inlineStr">
        <is>
          <t>101763</t>
        </is>
      </c>
      <c r="B3467" t="inlineStr">
        <is>
          <t>MUNICIPIO DE LAGOA DO BARRO DO PIAU</t>
        </is>
      </c>
      <c r="C3467" t="n">
        <v>2111000000</v>
      </c>
      <c r="D3467" t="inlineStr">
        <is>
          <t>Taxes Payable</t>
        </is>
      </c>
      <c r="E3467" t="n">
        <v>200012018</v>
      </c>
      <c r="F3467" t="inlineStr">
        <is>
          <t>16851</t>
        </is>
      </c>
      <c r="G3467" t="inlineStr">
        <is>
          <t>UE</t>
        </is>
      </c>
      <c r="H3467" s="12" t="n">
        <v>-20995.19</v>
      </c>
      <c r="I3467" s="17" t="n">
        <v>44883</v>
      </c>
      <c r="J3467" s="17" t="n">
        <v>44883</v>
      </c>
      <c r="K3467" t="inlineStr">
        <is>
          <t>1142186</t>
        </is>
      </c>
    </row>
    <row r="3468">
      <c r="A3468" t="inlineStr">
        <is>
          <t>101358</t>
        </is>
      </c>
      <c r="B3468" t="inlineStr">
        <is>
          <t>MUNICIPIO DE LAJES</t>
        </is>
      </c>
      <c r="C3468" t="n">
        <v>2111000000</v>
      </c>
      <c r="D3468" t="inlineStr">
        <is>
          <t>Taxes Payable</t>
        </is>
      </c>
      <c r="E3468" t="n">
        <v>200012023</v>
      </c>
      <c r="F3468" t="inlineStr">
        <is>
          <t>16856</t>
        </is>
      </c>
      <c r="G3468" t="inlineStr">
        <is>
          <t>UE</t>
        </is>
      </c>
      <c r="H3468" s="12" t="n">
        <v>-55571.22</v>
      </c>
      <c r="I3468" s="17" t="n">
        <v>44883</v>
      </c>
      <c r="J3468" s="17" t="n">
        <v>44883</v>
      </c>
      <c r="K3468" t="inlineStr">
        <is>
          <t>1143833</t>
        </is>
      </c>
    </row>
    <row r="3469">
      <c r="A3469" t="inlineStr">
        <is>
          <t>101358</t>
        </is>
      </c>
      <c r="B3469" t="inlineStr">
        <is>
          <t>MUNICIPIO DE LAJES</t>
        </is>
      </c>
      <c r="C3469" t="n">
        <v>2111000000</v>
      </c>
      <c r="D3469" t="inlineStr">
        <is>
          <t>Taxes Payable</t>
        </is>
      </c>
      <c r="E3469" t="n">
        <v>200012024</v>
      </c>
      <c r="F3469" t="inlineStr">
        <is>
          <t>16857</t>
        </is>
      </c>
      <c r="G3469" t="inlineStr">
        <is>
          <t>UE</t>
        </is>
      </c>
      <c r="H3469" s="12" t="n">
        <v>-35269.61</v>
      </c>
      <c r="I3469" s="17" t="n">
        <v>44914</v>
      </c>
      <c r="J3469" s="17" t="n">
        <v>44914</v>
      </c>
      <c r="K3469" t="inlineStr">
        <is>
          <t>1146123</t>
        </is>
      </c>
    </row>
    <row r="3470">
      <c r="A3470" t="inlineStr">
        <is>
          <t>101358</t>
        </is>
      </c>
      <c r="B3470" t="inlineStr">
        <is>
          <t>MUNICIPIO DE LAJES</t>
        </is>
      </c>
      <c r="C3470" t="n">
        <v>2111000000</v>
      </c>
      <c r="D3470" t="inlineStr">
        <is>
          <t>Taxes Payable</t>
        </is>
      </c>
      <c r="E3470" t="n">
        <v>200012025</v>
      </c>
      <c r="F3470" t="inlineStr">
        <is>
          <t>16858</t>
        </is>
      </c>
      <c r="G3470" t="inlineStr">
        <is>
          <t>UE</t>
        </is>
      </c>
      <c r="H3470" s="12" t="n">
        <v>-54878.01</v>
      </c>
      <c r="I3470" s="17" t="n">
        <v>44914</v>
      </c>
      <c r="J3470" s="17" t="n">
        <v>44914</v>
      </c>
      <c r="K3470" t="inlineStr">
        <is>
          <t>1148312</t>
        </is>
      </c>
    </row>
    <row r="3471">
      <c r="A3471" t="inlineStr">
        <is>
          <t>101358</t>
        </is>
      </c>
      <c r="B3471" t="inlineStr">
        <is>
          <t>MUNICIPIO DE LAJES</t>
        </is>
      </c>
      <c r="C3471" t="n">
        <v>2111000000</v>
      </c>
      <c r="D3471" t="inlineStr">
        <is>
          <t>Taxes Payable</t>
        </is>
      </c>
      <c r="E3471" t="n">
        <v>200012037</v>
      </c>
      <c r="F3471" t="inlineStr">
        <is>
          <t>16869</t>
        </is>
      </c>
      <c r="G3471" t="inlineStr">
        <is>
          <t>UE</t>
        </is>
      </c>
      <c r="H3471" s="12" t="n">
        <v>-33166.74</v>
      </c>
      <c r="I3471" s="17" t="n">
        <v>44965</v>
      </c>
      <c r="J3471" s="17" t="n">
        <v>44965</v>
      </c>
      <c r="K3471" t="inlineStr">
        <is>
          <t>1165135</t>
        </is>
      </c>
    </row>
    <row r="3472">
      <c r="A3472" t="inlineStr">
        <is>
          <t>101358</t>
        </is>
      </c>
      <c r="B3472" t="inlineStr">
        <is>
          <t>MUNICIPIO DE LAJES</t>
        </is>
      </c>
      <c r="C3472" t="n">
        <v>2111000000</v>
      </c>
      <c r="D3472" t="inlineStr">
        <is>
          <t>Taxes Payable</t>
        </is>
      </c>
      <c r="E3472" t="n">
        <v>200012041</v>
      </c>
      <c r="F3472" t="inlineStr">
        <is>
          <t>16872</t>
        </is>
      </c>
      <c r="G3472" t="inlineStr">
        <is>
          <t>UE</t>
        </is>
      </c>
      <c r="H3472" s="12" t="n">
        <v>-12123.69</v>
      </c>
      <c r="I3472" s="17" t="n">
        <v>45000</v>
      </c>
      <c r="J3472" s="17" t="n">
        <v>45000</v>
      </c>
      <c r="K3472" t="inlineStr">
        <is>
          <t>1166239</t>
        </is>
      </c>
    </row>
    <row r="3473">
      <c r="A3473" t="inlineStr">
        <is>
          <t>101358</t>
        </is>
      </c>
      <c r="B3473" t="inlineStr">
        <is>
          <t>MUNICIPIO DE LAJES</t>
        </is>
      </c>
      <c r="C3473" t="n">
        <v>2111000000</v>
      </c>
      <c r="D3473" t="inlineStr">
        <is>
          <t>Taxes Payable</t>
        </is>
      </c>
      <c r="E3473" t="n">
        <v>200012042</v>
      </c>
      <c r="F3473" t="inlineStr">
        <is>
          <t>16873</t>
        </is>
      </c>
      <c r="G3473" t="inlineStr">
        <is>
          <t>UE</t>
        </is>
      </c>
      <c r="H3473" s="12" t="n">
        <v>-48685.46</v>
      </c>
      <c r="I3473" s="17" t="n">
        <v>45000</v>
      </c>
      <c r="J3473" s="17" t="n">
        <v>45000</v>
      </c>
      <c r="K3473" t="inlineStr">
        <is>
          <t>1166241</t>
        </is>
      </c>
    </row>
    <row r="3474">
      <c r="A3474" t="inlineStr">
        <is>
          <t>100759</t>
        </is>
      </c>
      <c r="B3474" t="inlineStr">
        <is>
          <t>MUNICIPIO DE UIBAI</t>
        </is>
      </c>
      <c r="C3474" t="n">
        <v>2111000000</v>
      </c>
      <c r="D3474" t="inlineStr">
        <is>
          <t>Taxes Payable</t>
        </is>
      </c>
      <c r="E3474" t="n">
        <v>200012061</v>
      </c>
      <c r="F3474" t="inlineStr">
        <is>
          <t>16890</t>
        </is>
      </c>
      <c r="G3474" t="inlineStr">
        <is>
          <t>UE</t>
        </is>
      </c>
      <c r="H3474" s="12" t="n">
        <v>-960</v>
      </c>
      <c r="I3474" s="17" t="n">
        <v>44995</v>
      </c>
      <c r="J3474" s="17" t="n">
        <v>44995</v>
      </c>
      <c r="K3474" t="inlineStr">
        <is>
          <t>1166212</t>
        </is>
      </c>
    </row>
    <row r="3475">
      <c r="A3475" t="inlineStr">
        <is>
          <t>101763</t>
        </is>
      </c>
      <c r="B3475" t="inlineStr">
        <is>
          <t>MUNICIPIO DE LAGOA DO BARRO DO PIAU</t>
        </is>
      </c>
      <c r="C3475" t="n">
        <v>2111000000</v>
      </c>
      <c r="D3475" t="inlineStr">
        <is>
          <t>Taxes Payable</t>
        </is>
      </c>
      <c r="E3475" t="n">
        <v>200012077</v>
      </c>
      <c r="F3475" t="inlineStr">
        <is>
          <t>16904</t>
        </is>
      </c>
      <c r="G3475" t="inlineStr">
        <is>
          <t>UE</t>
        </is>
      </c>
      <c r="H3475" s="12" t="n">
        <v>-2275</v>
      </c>
      <c r="I3475" s="17" t="n">
        <v>44988</v>
      </c>
      <c r="J3475" s="17" t="n">
        <v>44988</v>
      </c>
      <c r="K3475" t="inlineStr">
        <is>
          <t>1164164</t>
        </is>
      </c>
    </row>
    <row r="3476">
      <c r="A3476" t="inlineStr">
        <is>
          <t>101763</t>
        </is>
      </c>
      <c r="B3476" t="inlineStr">
        <is>
          <t>MUNICIPIO DE LAGOA DO BARRO DO PIAU</t>
        </is>
      </c>
      <c r="C3476" t="n">
        <v>2111000000</v>
      </c>
      <c r="D3476" t="inlineStr">
        <is>
          <t>Taxes Payable</t>
        </is>
      </c>
      <c r="E3476" t="n">
        <v>200012078</v>
      </c>
      <c r="F3476" t="inlineStr">
        <is>
          <t>16905</t>
        </is>
      </c>
      <c r="G3476" t="inlineStr">
        <is>
          <t>UE</t>
        </is>
      </c>
      <c r="H3476" s="12" t="n">
        <v>-2275</v>
      </c>
      <c r="I3476" s="17" t="n">
        <v>44988</v>
      </c>
      <c r="J3476" s="17" t="n">
        <v>44988</v>
      </c>
      <c r="K3476" t="inlineStr">
        <is>
          <t>1164166</t>
        </is>
      </c>
    </row>
    <row r="3477">
      <c r="A3477" t="inlineStr">
        <is>
          <t>101763</t>
        </is>
      </c>
      <c r="B3477" t="inlineStr">
        <is>
          <t>MUNICIPIO DE LAGOA DO BARRO DO PIAU</t>
        </is>
      </c>
      <c r="C3477" t="n">
        <v>2111000000</v>
      </c>
      <c r="D3477" t="inlineStr">
        <is>
          <t>Taxes Payable</t>
        </is>
      </c>
      <c r="E3477" t="n">
        <v>200012079</v>
      </c>
      <c r="F3477" t="inlineStr">
        <is>
          <t>16906</t>
        </is>
      </c>
      <c r="G3477" t="inlineStr">
        <is>
          <t>UE</t>
        </is>
      </c>
      <c r="H3477" s="12" t="n">
        <v>-2275</v>
      </c>
      <c r="I3477" s="17" t="n">
        <v>44988</v>
      </c>
      <c r="J3477" s="17" t="n">
        <v>44988</v>
      </c>
      <c r="K3477" t="inlineStr">
        <is>
          <t>1164168</t>
        </is>
      </c>
    </row>
    <row r="3478">
      <c r="A3478" t="inlineStr">
        <is>
          <t>101763</t>
        </is>
      </c>
      <c r="B3478" t="inlineStr">
        <is>
          <t>MUNICIPIO DE LAGOA DO BARRO DO PIAU</t>
        </is>
      </c>
      <c r="C3478" t="n">
        <v>2111000000</v>
      </c>
      <c r="D3478" t="inlineStr">
        <is>
          <t>Taxes Payable</t>
        </is>
      </c>
      <c r="E3478" t="n">
        <v>200012080</v>
      </c>
      <c r="F3478" t="inlineStr">
        <is>
          <t>16907</t>
        </is>
      </c>
      <c r="G3478" t="inlineStr">
        <is>
          <t>UE</t>
        </is>
      </c>
      <c r="H3478" s="12" t="n">
        <v>-2275</v>
      </c>
      <c r="I3478" s="17" t="n">
        <v>44988</v>
      </c>
      <c r="J3478" s="17" t="n">
        <v>44988</v>
      </c>
      <c r="K3478" t="inlineStr">
        <is>
          <t>1164170</t>
        </is>
      </c>
    </row>
    <row r="3479">
      <c r="A3479" t="inlineStr">
        <is>
          <t>101763</t>
        </is>
      </c>
      <c r="B3479" t="inlineStr">
        <is>
          <t>MUNICIPIO DE LAGOA DO BARRO DO PIAU</t>
        </is>
      </c>
      <c r="C3479" t="n">
        <v>2111000000</v>
      </c>
      <c r="D3479" t="inlineStr">
        <is>
          <t>Taxes Payable</t>
        </is>
      </c>
      <c r="E3479" t="n">
        <v>200012081</v>
      </c>
      <c r="F3479" t="inlineStr">
        <is>
          <t>16908</t>
        </is>
      </c>
      <c r="G3479" t="inlineStr">
        <is>
          <t>UE</t>
        </is>
      </c>
      <c r="H3479" s="12" t="n">
        <v>-2277.5</v>
      </c>
      <c r="I3479" s="17" t="n">
        <v>45065</v>
      </c>
      <c r="J3479" s="17" t="n">
        <v>45065</v>
      </c>
      <c r="K3479" t="inlineStr">
        <is>
          <t>1173449</t>
        </is>
      </c>
    </row>
    <row r="3480">
      <c r="A3480" t="inlineStr">
        <is>
          <t>101763</t>
        </is>
      </c>
      <c r="B3480" t="inlineStr">
        <is>
          <t>MUNICIPIO DE LAGOA DO BARRO DO PIAU</t>
        </is>
      </c>
      <c r="C3480" t="n">
        <v>2111000000</v>
      </c>
      <c r="D3480" t="inlineStr">
        <is>
          <t>Taxes Payable</t>
        </is>
      </c>
      <c r="E3480" t="n">
        <v>200012082</v>
      </c>
      <c r="F3480" t="inlineStr">
        <is>
          <t>16909</t>
        </is>
      </c>
      <c r="G3480" t="inlineStr">
        <is>
          <t>UE</t>
        </is>
      </c>
      <c r="H3480" s="12" t="n">
        <v>-2277.5</v>
      </c>
      <c r="I3480" s="17" t="n">
        <v>45036</v>
      </c>
      <c r="J3480" s="17" t="n">
        <v>45036</v>
      </c>
      <c r="K3480" t="inlineStr">
        <is>
          <t>1175221</t>
        </is>
      </c>
    </row>
    <row r="3481">
      <c r="A3481" t="inlineStr">
        <is>
          <t>101763</t>
        </is>
      </c>
      <c r="B3481" t="inlineStr">
        <is>
          <t>MUNICIPIO DE LAGOA DO BARRO DO PIAU</t>
        </is>
      </c>
      <c r="C3481" t="n">
        <v>2111000000</v>
      </c>
      <c r="D3481" t="inlineStr">
        <is>
          <t>Taxes Payable</t>
        </is>
      </c>
      <c r="E3481" t="n">
        <v>200012084</v>
      </c>
      <c r="F3481" t="inlineStr">
        <is>
          <t>16910</t>
        </is>
      </c>
      <c r="G3481" t="inlineStr">
        <is>
          <t>UE</t>
        </is>
      </c>
      <c r="H3481" s="12" t="n">
        <v>-2657.84</v>
      </c>
      <c r="I3481" s="17" t="n">
        <v>45097</v>
      </c>
      <c r="J3481" s="17" t="n">
        <v>45097</v>
      </c>
      <c r="K3481" t="inlineStr">
        <is>
          <t>1178318</t>
        </is>
      </c>
    </row>
    <row r="3482">
      <c r="A3482" t="inlineStr">
        <is>
          <t>101763</t>
        </is>
      </c>
      <c r="B3482" t="inlineStr">
        <is>
          <t>MUNICIPIO DE LAGOA DO BARRO DO PIAU</t>
        </is>
      </c>
      <c r="C3482" t="n">
        <v>2111000000</v>
      </c>
      <c r="D3482" t="inlineStr">
        <is>
          <t>Taxes Payable</t>
        </is>
      </c>
      <c r="E3482" t="n">
        <v>200012086</v>
      </c>
      <c r="F3482" t="inlineStr">
        <is>
          <t>16912</t>
        </is>
      </c>
      <c r="G3482" t="inlineStr">
        <is>
          <t>UE</t>
        </is>
      </c>
      <c r="H3482" s="12" t="n">
        <v>-4555</v>
      </c>
      <c r="I3482" s="17" t="n">
        <v>45127</v>
      </c>
      <c r="J3482" s="17" t="n">
        <v>45127</v>
      </c>
      <c r="K3482" t="inlineStr">
        <is>
          <t>1182331</t>
        </is>
      </c>
    </row>
    <row r="3483">
      <c r="A3483" t="inlineStr">
        <is>
          <t>101358</t>
        </is>
      </c>
      <c r="B3483" t="inlineStr">
        <is>
          <t>MUNICIPIO DE LAJES</t>
        </is>
      </c>
      <c r="C3483" t="n">
        <v>2111000000</v>
      </c>
      <c r="D3483" t="inlineStr">
        <is>
          <t>Taxes Payable</t>
        </is>
      </c>
      <c r="E3483" t="n">
        <v>200012088</v>
      </c>
      <c r="F3483" t="inlineStr">
        <is>
          <t>16914</t>
        </is>
      </c>
      <c r="G3483" t="inlineStr">
        <is>
          <t>UE</t>
        </is>
      </c>
      <c r="H3483" s="12" t="n">
        <v>-3192.49</v>
      </c>
      <c r="I3483" s="17" t="n">
        <v>44929</v>
      </c>
      <c r="J3483" s="17" t="n">
        <v>44929</v>
      </c>
      <c r="K3483" t="inlineStr">
        <is>
          <t>1152188</t>
        </is>
      </c>
    </row>
    <row r="3484">
      <c r="A3484" t="inlineStr">
        <is>
          <t>101358</t>
        </is>
      </c>
      <c r="B3484" t="inlineStr">
        <is>
          <t>MUNICIPIO DE LAJES</t>
        </is>
      </c>
      <c r="C3484" t="n">
        <v>2111000000</v>
      </c>
      <c r="D3484" t="inlineStr">
        <is>
          <t>Taxes Payable</t>
        </is>
      </c>
      <c r="E3484" t="n">
        <v>200012090</v>
      </c>
      <c r="F3484" t="inlineStr">
        <is>
          <t>16916</t>
        </is>
      </c>
      <c r="G3484" t="inlineStr">
        <is>
          <t>UE</t>
        </is>
      </c>
      <c r="H3484" s="12" t="n">
        <v>-3318.96</v>
      </c>
      <c r="I3484" s="17" t="n">
        <v>44993</v>
      </c>
      <c r="J3484" s="17" t="n">
        <v>44993</v>
      </c>
      <c r="K3484" t="inlineStr">
        <is>
          <t>1161295</t>
        </is>
      </c>
    </row>
    <row r="3485">
      <c r="A3485" t="inlineStr">
        <is>
          <t>101358</t>
        </is>
      </c>
      <c r="B3485" t="inlineStr">
        <is>
          <t>MUNICIPIO DE LAJES</t>
        </is>
      </c>
      <c r="C3485" t="n">
        <v>2111000000</v>
      </c>
      <c r="D3485" t="inlineStr">
        <is>
          <t>Taxes Payable</t>
        </is>
      </c>
      <c r="E3485" t="n">
        <v>200012091</v>
      </c>
      <c r="F3485" t="inlineStr">
        <is>
          <t>16917</t>
        </is>
      </c>
      <c r="G3485" t="inlineStr">
        <is>
          <t>UE</t>
        </is>
      </c>
      <c r="H3485" s="12" t="n">
        <v>-632.5</v>
      </c>
      <c r="I3485" s="17" t="n">
        <v>45019</v>
      </c>
      <c r="J3485" s="17" t="n">
        <v>45019</v>
      </c>
      <c r="K3485" t="inlineStr">
        <is>
          <t>1166641</t>
        </is>
      </c>
    </row>
    <row r="3486">
      <c r="A3486" t="inlineStr">
        <is>
          <t>101358</t>
        </is>
      </c>
      <c r="B3486" t="inlineStr">
        <is>
          <t>MUNICIPIO DE LAJES</t>
        </is>
      </c>
      <c r="C3486" t="n">
        <v>2111000000</v>
      </c>
      <c r="D3486" t="inlineStr">
        <is>
          <t>Taxes Payable</t>
        </is>
      </c>
      <c r="E3486" t="n">
        <v>200012092</v>
      </c>
      <c r="F3486" t="inlineStr">
        <is>
          <t>16918</t>
        </is>
      </c>
      <c r="G3486" t="inlineStr">
        <is>
          <t>UE</t>
        </is>
      </c>
      <c r="H3486" s="12" t="n">
        <v>-2255</v>
      </c>
      <c r="I3486" s="17" t="n">
        <v>45019</v>
      </c>
      <c r="J3486" s="17" t="n">
        <v>45019</v>
      </c>
      <c r="K3486" t="inlineStr">
        <is>
          <t>1166644</t>
        </is>
      </c>
    </row>
    <row r="3487">
      <c r="A3487" t="inlineStr">
        <is>
          <t>101969</t>
        </is>
      </c>
      <c r="B3487" t="inlineStr">
        <is>
          <t>SECRETARIA DE ESTADO DA FAZENDA RN</t>
        </is>
      </c>
      <c r="C3487" t="n">
        <v>2111000000</v>
      </c>
      <c r="D3487" t="inlineStr">
        <is>
          <t>Customs Brokerage – Overall</t>
        </is>
      </c>
      <c r="E3487" t="n">
        <v>200015641</v>
      </c>
      <c r="F3487" t="inlineStr">
        <is>
          <t>13274</t>
        </is>
      </c>
      <c r="G3487" t="inlineStr">
        <is>
          <t>UE</t>
        </is>
      </c>
      <c r="H3487" s="12" t="n">
        <v>-72</v>
      </c>
      <c r="I3487" s="17" t="n">
        <v>44700</v>
      </c>
      <c r="J3487" s="17" t="n">
        <v>44700</v>
      </c>
      <c r="K3487" t="inlineStr">
        <is>
          <t>000000547001</t>
        </is>
      </c>
    </row>
    <row r="3488">
      <c r="A3488" t="inlineStr">
        <is>
          <t>101969</t>
        </is>
      </c>
      <c r="B3488" t="inlineStr">
        <is>
          <t>SECRETARIA DE ESTADO DA FAZENDA RN</t>
        </is>
      </c>
      <c r="C3488" t="n">
        <v>2111000000</v>
      </c>
      <c r="D3488" t="inlineStr">
        <is>
          <t>Customs Brokerage – Overall</t>
        </is>
      </c>
      <c r="E3488" t="n">
        <v>200015642</v>
      </c>
      <c r="F3488" t="inlineStr">
        <is>
          <t>13275</t>
        </is>
      </c>
      <c r="G3488" t="inlineStr">
        <is>
          <t>UE</t>
        </is>
      </c>
      <c r="H3488" s="12" t="n">
        <v>-72</v>
      </c>
      <c r="I3488" s="17" t="n">
        <v>44770</v>
      </c>
      <c r="J3488" s="17" t="n">
        <v>44770</v>
      </c>
      <c r="K3488" t="inlineStr">
        <is>
          <t>000000628001</t>
        </is>
      </c>
    </row>
    <row r="3489">
      <c r="A3489" t="inlineStr">
        <is>
          <t>101969</t>
        </is>
      </c>
      <c r="B3489" t="inlineStr">
        <is>
          <t>SECRETARIA DE ESTADO DA FAZENDA RN</t>
        </is>
      </c>
      <c r="C3489" t="n">
        <v>2111000000</v>
      </c>
      <c r="D3489" t="inlineStr">
        <is>
          <t>Customs Brokerage – Overall</t>
        </is>
      </c>
      <c r="E3489" t="n">
        <v>200015643</v>
      </c>
      <c r="F3489" t="inlineStr">
        <is>
          <t>13276</t>
        </is>
      </c>
      <c r="G3489" t="inlineStr">
        <is>
          <t>UE</t>
        </is>
      </c>
      <c r="H3489" s="12" t="n">
        <v>-218.18</v>
      </c>
      <c r="I3489" s="17" t="n">
        <v>44782</v>
      </c>
      <c r="J3489" s="17" t="n">
        <v>44782</v>
      </c>
      <c r="K3489" t="inlineStr">
        <is>
          <t>000021036001</t>
        </is>
      </c>
    </row>
    <row r="3490">
      <c r="A3490" t="inlineStr">
        <is>
          <t>101746</t>
        </is>
      </c>
      <c r="B3490" t="inlineStr">
        <is>
          <t>SECRETARIA DA FAZENDA DO ESTADO DO</t>
        </is>
      </c>
      <c r="C3490" t="n">
        <v>2111000000</v>
      </c>
      <c r="D3490" t="inlineStr">
        <is>
          <t>Customs Brokerage – Overall</t>
        </is>
      </c>
      <c r="E3490" t="n">
        <v>200015652</v>
      </c>
      <c r="F3490" t="inlineStr">
        <is>
          <t>13284</t>
        </is>
      </c>
      <c r="G3490" t="inlineStr">
        <is>
          <t>UE</t>
        </is>
      </c>
      <c r="H3490" s="12" t="n">
        <v>-417.26</v>
      </c>
      <c r="I3490" s="17" t="n">
        <v>45106</v>
      </c>
      <c r="J3490" s="17" t="n">
        <v>45106</v>
      </c>
      <c r="K3490" t="inlineStr">
        <is>
          <t>000021992001</t>
        </is>
      </c>
    </row>
    <row r="3491">
      <c r="A3491" t="inlineStr">
        <is>
          <t>101969</t>
        </is>
      </c>
      <c r="B3491" t="inlineStr">
        <is>
          <t>SECRETARIA DE ESTADO DA FAZENDA RN</t>
        </is>
      </c>
      <c r="C3491" t="n">
        <v>2111000000</v>
      </c>
      <c r="D3491" t="inlineStr">
        <is>
          <t>Customs Brokerage – Overall</t>
        </is>
      </c>
      <c r="E3491" t="n">
        <v>200015653</v>
      </c>
      <c r="F3491" t="inlineStr">
        <is>
          <t>13285</t>
        </is>
      </c>
      <c r="G3491" t="inlineStr">
        <is>
          <t>UE</t>
        </is>
      </c>
      <c r="H3491" s="12" t="n">
        <v>-420</v>
      </c>
      <c r="I3491" s="17" t="n">
        <v>44642</v>
      </c>
      <c r="J3491" s="17" t="n">
        <v>44642</v>
      </c>
      <c r="K3491" t="inlineStr">
        <is>
          <t>000001941001</t>
        </is>
      </c>
    </row>
    <row r="3492">
      <c r="A3492" t="inlineStr">
        <is>
          <t>101969</t>
        </is>
      </c>
      <c r="B3492" t="inlineStr">
        <is>
          <t>SECRETARIA DE ESTADO DA FAZENDA RN</t>
        </is>
      </c>
      <c r="C3492" t="n">
        <v>2111000000</v>
      </c>
      <c r="D3492" t="inlineStr">
        <is>
          <t>Customs Brokerage – Overall</t>
        </is>
      </c>
      <c r="E3492" t="n">
        <v>200015654</v>
      </c>
      <c r="F3492" t="inlineStr">
        <is>
          <t>13286</t>
        </is>
      </c>
      <c r="G3492" t="inlineStr">
        <is>
          <t>UE</t>
        </is>
      </c>
      <c r="H3492" s="12" t="n">
        <v>-59.69</v>
      </c>
      <c r="I3492" s="17" t="n">
        <v>44895</v>
      </c>
      <c r="J3492" s="17" t="n">
        <v>44895</v>
      </c>
      <c r="K3492" t="inlineStr">
        <is>
          <t>000002090001</t>
        </is>
      </c>
    </row>
    <row r="3493">
      <c r="A3493" t="inlineStr">
        <is>
          <t>101969</t>
        </is>
      </c>
      <c r="B3493" t="inlineStr">
        <is>
          <t>SECRETARIA DE ESTADO DA FAZENDA RN</t>
        </is>
      </c>
      <c r="C3493" t="n">
        <v>2111000000</v>
      </c>
      <c r="D3493" t="inlineStr">
        <is>
          <t>Customs Brokerage – Overall</t>
        </is>
      </c>
      <c r="E3493" t="n">
        <v>200015655</v>
      </c>
      <c r="F3493" t="inlineStr">
        <is>
          <t>13287</t>
        </is>
      </c>
      <c r="G3493" t="inlineStr">
        <is>
          <t>UE</t>
        </is>
      </c>
      <c r="H3493" s="12" t="n">
        <v>-66.05</v>
      </c>
      <c r="I3493" s="17" t="n">
        <v>44895</v>
      </c>
      <c r="J3493" s="17" t="n">
        <v>44895</v>
      </c>
      <c r="K3493" t="inlineStr">
        <is>
          <t>000002089001</t>
        </is>
      </c>
    </row>
    <row r="3494">
      <c r="A3494" t="inlineStr">
        <is>
          <t>101746</t>
        </is>
      </c>
      <c r="B3494" t="inlineStr">
        <is>
          <t>SECRETARIA DA FAZENDA DO ESTADO DO</t>
        </is>
      </c>
      <c r="C3494" t="n">
        <v>2111000000</v>
      </c>
      <c r="D3494" t="inlineStr">
        <is>
          <t>Customs Brokerage – Overall</t>
        </is>
      </c>
      <c r="E3494" t="n">
        <v>200015656</v>
      </c>
      <c r="F3494" t="inlineStr">
        <is>
          <t>13288</t>
        </is>
      </c>
      <c r="G3494" t="inlineStr">
        <is>
          <t>UE</t>
        </is>
      </c>
      <c r="H3494" s="12" t="n">
        <v>-1035.36</v>
      </c>
      <c r="I3494" s="17" t="n">
        <v>44892</v>
      </c>
      <c r="J3494" s="17" t="n">
        <v>44892</v>
      </c>
      <c r="K3494" t="inlineStr">
        <is>
          <t>000000545001</t>
        </is>
      </c>
    </row>
    <row r="3495">
      <c r="A3495" t="inlineStr">
        <is>
          <t>101569</t>
        </is>
      </c>
      <c r="B3495" t="inlineStr">
        <is>
          <t>SECRETARIA DA FAZENDA CEARA</t>
        </is>
      </c>
      <c r="C3495" t="n">
        <v>2111000000</v>
      </c>
      <c r="D3495" t="inlineStr">
        <is>
          <t>Customs Brokerage – Overall</t>
        </is>
      </c>
      <c r="E3495" t="n">
        <v>200015657</v>
      </c>
      <c r="F3495" t="inlineStr">
        <is>
          <t>13289</t>
        </is>
      </c>
      <c r="G3495" t="inlineStr">
        <is>
          <t>UE</t>
        </is>
      </c>
      <c r="H3495" s="12" t="n">
        <v>-54</v>
      </c>
      <c r="I3495" s="17" t="n">
        <v>45030</v>
      </c>
      <c r="J3495" s="17" t="n">
        <v>45030</v>
      </c>
      <c r="K3495" t="inlineStr">
        <is>
          <t>000000611001</t>
        </is>
      </c>
    </row>
    <row r="3496">
      <c r="A3496" t="inlineStr">
        <is>
          <t>101969</t>
        </is>
      </c>
      <c r="B3496" t="inlineStr">
        <is>
          <t>SECRETARIA DE ESTADO DA FAZENDA RN</t>
        </is>
      </c>
      <c r="C3496" t="n">
        <v>2111000000</v>
      </c>
      <c r="D3496" t="inlineStr">
        <is>
          <t>Customs Brokerage – Overall</t>
        </is>
      </c>
      <c r="E3496" t="n">
        <v>200015666</v>
      </c>
      <c r="F3496" t="inlineStr">
        <is>
          <t>13297</t>
        </is>
      </c>
      <c r="G3496" t="inlineStr">
        <is>
          <t>UE</t>
        </is>
      </c>
      <c r="H3496" s="12" t="n">
        <v>-832.87</v>
      </c>
      <c r="I3496" s="17" t="n">
        <v>45063</v>
      </c>
      <c r="J3496" s="17" t="n">
        <v>45063</v>
      </c>
      <c r="K3496" t="inlineStr">
        <is>
          <t>000017905002</t>
        </is>
      </c>
    </row>
    <row r="3497">
      <c r="A3497" t="inlineStr">
        <is>
          <t>101746</t>
        </is>
      </c>
      <c r="B3497" t="inlineStr">
        <is>
          <t>SECRETARIA DA FAZENDA DO ESTADO DO</t>
        </is>
      </c>
      <c r="C3497" t="n">
        <v>2111000000</v>
      </c>
      <c r="D3497" t="inlineStr">
        <is>
          <t>Customs Brokerage – Overall</t>
        </is>
      </c>
      <c r="E3497" t="n">
        <v>200015668</v>
      </c>
      <c r="F3497" t="inlineStr">
        <is>
          <t>13299</t>
        </is>
      </c>
      <c r="G3497" t="inlineStr">
        <is>
          <t>UE</t>
        </is>
      </c>
      <c r="H3497" s="12" t="n">
        <v>-3400.69</v>
      </c>
      <c r="I3497" s="17" t="n">
        <v>45058</v>
      </c>
      <c r="J3497" s="17" t="n">
        <v>45058</v>
      </c>
      <c r="K3497" t="inlineStr">
        <is>
          <t>000017856002</t>
        </is>
      </c>
    </row>
    <row r="3498">
      <c r="A3498" t="inlineStr">
        <is>
          <t>101969</t>
        </is>
      </c>
      <c r="B3498" t="inlineStr">
        <is>
          <t>SECRETARIA DE ESTADO DA FAZENDA RN</t>
        </is>
      </c>
      <c r="C3498" t="n">
        <v>2111000000</v>
      </c>
      <c r="D3498" t="inlineStr">
        <is>
          <t>Customs Brokerage – Overall</t>
        </is>
      </c>
      <c r="E3498" t="n">
        <v>200015709</v>
      </c>
      <c r="F3498" t="inlineStr">
        <is>
          <t>13335</t>
        </is>
      </c>
      <c r="G3498" t="inlineStr">
        <is>
          <t>UE</t>
        </is>
      </c>
      <c r="H3498" s="12" t="n">
        <v>-240</v>
      </c>
      <c r="I3498" s="17" t="n">
        <v>45065</v>
      </c>
      <c r="J3498" s="17" t="n">
        <v>45065</v>
      </c>
      <c r="K3498" t="inlineStr">
        <is>
          <t>000003538001</t>
        </is>
      </c>
    </row>
    <row r="3499">
      <c r="A3499" t="inlineStr">
        <is>
          <t>101969</t>
        </is>
      </c>
      <c r="B3499" t="inlineStr">
        <is>
          <t>SECRETARIA DE ESTADO DA FAZENDA RN</t>
        </is>
      </c>
      <c r="C3499" t="n">
        <v>2111000000</v>
      </c>
      <c r="D3499" t="inlineStr">
        <is>
          <t>Customs Brokerage – Overall</t>
        </is>
      </c>
      <c r="E3499" t="n">
        <v>200015710</v>
      </c>
      <c r="F3499" t="inlineStr">
        <is>
          <t>13336</t>
        </is>
      </c>
      <c r="G3499" t="inlineStr">
        <is>
          <t>UE</t>
        </is>
      </c>
      <c r="H3499" s="12" t="n">
        <v>-240</v>
      </c>
      <c r="I3499" s="17" t="n">
        <v>45068</v>
      </c>
      <c r="J3499" s="17" t="n">
        <v>45068</v>
      </c>
      <c r="K3499" t="inlineStr">
        <is>
          <t>000003547001</t>
        </is>
      </c>
    </row>
    <row r="3500">
      <c r="A3500" t="inlineStr">
        <is>
          <t>101969</t>
        </is>
      </c>
      <c r="B3500" t="inlineStr">
        <is>
          <t>SECRETARIA DE ESTADO DA FAZENDA RN</t>
        </is>
      </c>
      <c r="C3500" t="n">
        <v>2111000000</v>
      </c>
      <c r="D3500" t="inlineStr">
        <is>
          <t>Customs Brokerage – Overall</t>
        </is>
      </c>
      <c r="E3500" t="n">
        <v>200015742</v>
      </c>
      <c r="F3500" t="inlineStr">
        <is>
          <t>13365</t>
        </is>
      </c>
      <c r="G3500" t="inlineStr">
        <is>
          <t>UE</t>
        </is>
      </c>
      <c r="H3500" s="12" t="n">
        <v>-757.3200000000001</v>
      </c>
      <c r="I3500" s="17" t="n">
        <v>44914</v>
      </c>
      <c r="J3500" s="17" t="n">
        <v>44914</v>
      </c>
      <c r="K3500" t="inlineStr">
        <is>
          <t>000006408001</t>
        </is>
      </c>
    </row>
    <row r="3501">
      <c r="A3501" t="inlineStr">
        <is>
          <t>103681</t>
        </is>
      </c>
      <c r="B3501" t="inlineStr">
        <is>
          <t>SECRETARIA DA FAZENDA BAHIA</t>
        </is>
      </c>
      <c r="C3501" t="n">
        <v>2111000000</v>
      </c>
      <c r="D3501" t="inlineStr">
        <is>
          <t>Taxes Payable</t>
        </is>
      </c>
      <c r="E3501" t="n">
        <v>200015744</v>
      </c>
      <c r="F3501" t="inlineStr">
        <is>
          <t>13367</t>
        </is>
      </c>
      <c r="G3501" t="inlineStr">
        <is>
          <t>UE</t>
        </is>
      </c>
      <c r="H3501" s="12" t="n">
        <v>-477.6</v>
      </c>
      <c r="I3501" s="17" t="n">
        <v>44692</v>
      </c>
      <c r="J3501" s="17" t="n">
        <v>44692</v>
      </c>
      <c r="K3501" t="inlineStr">
        <is>
          <t>000010778001</t>
        </is>
      </c>
    </row>
    <row r="3502">
      <c r="A3502" t="inlineStr">
        <is>
          <t>101969</t>
        </is>
      </c>
      <c r="B3502" t="inlineStr">
        <is>
          <t>SECRETARIA DE ESTADO DA FAZENDA RN</t>
        </is>
      </c>
      <c r="C3502" t="n">
        <v>2111000000</v>
      </c>
      <c r="D3502" t="inlineStr">
        <is>
          <t>Customs Brokerage – Overall</t>
        </is>
      </c>
      <c r="E3502" t="n">
        <v>200015746</v>
      </c>
      <c r="F3502" t="inlineStr">
        <is>
          <t>13369</t>
        </is>
      </c>
      <c r="G3502" t="inlineStr">
        <is>
          <t>UE</t>
        </is>
      </c>
      <c r="H3502" s="12" t="n">
        <v>-190.91</v>
      </c>
      <c r="I3502" s="17" t="n">
        <v>44902</v>
      </c>
      <c r="J3502" s="17" t="n">
        <v>44902</v>
      </c>
      <c r="K3502" t="inlineStr">
        <is>
          <t>000012069001</t>
        </is>
      </c>
    </row>
    <row r="3503">
      <c r="A3503" t="inlineStr">
        <is>
          <t>101746</t>
        </is>
      </c>
      <c r="B3503" t="inlineStr">
        <is>
          <t>SECRETARIA DA FAZENDA DO ESTADO DO</t>
        </is>
      </c>
      <c r="C3503" t="n">
        <v>2111000000</v>
      </c>
      <c r="D3503" t="inlineStr">
        <is>
          <t>Customs Brokerage – Overall</t>
        </is>
      </c>
      <c r="E3503" t="n">
        <v>200015748</v>
      </c>
      <c r="F3503" t="inlineStr">
        <is>
          <t>13370</t>
        </is>
      </c>
      <c r="G3503" t="inlineStr">
        <is>
          <t>UE</t>
        </is>
      </c>
      <c r="H3503" s="12" t="n">
        <v>-0.01</v>
      </c>
      <c r="I3503" s="17" t="n">
        <v>44911</v>
      </c>
      <c r="J3503" s="17" t="n">
        <v>44911</v>
      </c>
      <c r="K3503" t="inlineStr">
        <is>
          <t>000012222001</t>
        </is>
      </c>
    </row>
    <row r="3504">
      <c r="A3504" t="inlineStr">
        <is>
          <t>100830</t>
        </is>
      </c>
      <c r="B3504" t="inlineStr">
        <is>
          <t>EXPRESSO VALE REAL LTDA</t>
        </is>
      </c>
      <c r="C3504" t="n">
        <v>2111000000</v>
      </c>
      <c r="D3504" t="inlineStr">
        <is>
          <t>Operational Suppliers (Wind Farms)</t>
        </is>
      </c>
      <c r="E3504" t="n">
        <v>200015754</v>
      </c>
      <c r="F3504" t="inlineStr">
        <is>
          <t>13376</t>
        </is>
      </c>
      <c r="G3504" t="inlineStr">
        <is>
          <t>UE</t>
        </is>
      </c>
      <c r="H3504" s="12" t="n">
        <v>-3048.28</v>
      </c>
      <c r="I3504" s="17" t="n">
        <v>45092</v>
      </c>
      <c r="J3504" s="17" t="n">
        <v>45092</v>
      </c>
      <c r="K3504" t="inlineStr">
        <is>
          <t>000015307001</t>
        </is>
      </c>
    </row>
    <row r="3505">
      <c r="A3505" t="inlineStr">
        <is>
          <t>101969</t>
        </is>
      </c>
      <c r="B3505" t="inlineStr">
        <is>
          <t>SECRETARIA DE ESTADO DA FAZENDA RN</t>
        </is>
      </c>
      <c r="C3505" t="n">
        <v>2111000000</v>
      </c>
      <c r="D3505" t="inlineStr">
        <is>
          <t>Customs Brokerage – Overall</t>
        </is>
      </c>
      <c r="E3505" t="n">
        <v>200015757</v>
      </c>
      <c r="F3505" t="inlineStr">
        <is>
          <t>13379</t>
        </is>
      </c>
      <c r="G3505" t="inlineStr">
        <is>
          <t>UE</t>
        </is>
      </c>
      <c r="H3505" s="12" t="n">
        <v>-690.3</v>
      </c>
      <c r="I3505" s="17" t="n">
        <v>44644</v>
      </c>
      <c r="J3505" s="17" t="n">
        <v>44644</v>
      </c>
      <c r="K3505" t="inlineStr">
        <is>
          <t>000000482002</t>
        </is>
      </c>
    </row>
    <row r="3506">
      <c r="A3506" t="inlineStr">
        <is>
          <t>101969</t>
        </is>
      </c>
      <c r="B3506" t="inlineStr">
        <is>
          <t>SECRETARIA DE ESTADO DA FAZENDA RN</t>
        </is>
      </c>
      <c r="C3506" t="n">
        <v>2111000000</v>
      </c>
      <c r="D3506" t="inlineStr">
        <is>
          <t>Customs Brokerage – Overall</t>
        </is>
      </c>
      <c r="E3506" t="n">
        <v>200015759</v>
      </c>
      <c r="F3506" t="inlineStr">
        <is>
          <t>13380</t>
        </is>
      </c>
      <c r="G3506" t="inlineStr">
        <is>
          <t>UE</t>
        </is>
      </c>
      <c r="H3506" s="12" t="n">
        <v>-48</v>
      </c>
      <c r="I3506" s="17" t="n">
        <v>44753</v>
      </c>
      <c r="J3506" s="17" t="n">
        <v>44753</v>
      </c>
      <c r="K3506" t="inlineStr">
        <is>
          <t>000000659002</t>
        </is>
      </c>
    </row>
    <row r="3507">
      <c r="A3507" t="inlineStr">
        <is>
          <t>101969</t>
        </is>
      </c>
      <c r="B3507" t="inlineStr">
        <is>
          <t>SECRETARIA DE ESTADO DA FAZENDA RN</t>
        </is>
      </c>
      <c r="C3507" t="n">
        <v>2111000000</v>
      </c>
      <c r="D3507" t="inlineStr">
        <is>
          <t>Customs Brokerage – Overall</t>
        </is>
      </c>
      <c r="E3507" t="n">
        <v>200015760</v>
      </c>
      <c r="F3507" t="inlineStr">
        <is>
          <t>13381</t>
        </is>
      </c>
      <c r="G3507" t="inlineStr">
        <is>
          <t>UE</t>
        </is>
      </c>
      <c r="H3507" s="12" t="n">
        <v>-10.33</v>
      </c>
      <c r="I3507" s="17" t="n">
        <v>44764</v>
      </c>
      <c r="J3507" s="17" t="n">
        <v>44764</v>
      </c>
      <c r="K3507" t="inlineStr">
        <is>
          <t>000000715002</t>
        </is>
      </c>
    </row>
    <row r="3508">
      <c r="A3508" t="inlineStr">
        <is>
          <t>101969</t>
        </is>
      </c>
      <c r="B3508" t="inlineStr">
        <is>
          <t>SECRETARIA DE ESTADO DA FAZENDA RN</t>
        </is>
      </c>
      <c r="C3508" t="n">
        <v>2111000000</v>
      </c>
      <c r="D3508" t="inlineStr">
        <is>
          <t>Customs Brokerage – Overall</t>
        </is>
      </c>
      <c r="E3508" t="n">
        <v>200015761</v>
      </c>
      <c r="F3508" t="inlineStr">
        <is>
          <t>13382</t>
        </is>
      </c>
      <c r="G3508" t="inlineStr">
        <is>
          <t>UE</t>
        </is>
      </c>
      <c r="H3508" s="12" t="n">
        <v>-23.3</v>
      </c>
      <c r="I3508" s="17" t="n">
        <v>44756</v>
      </c>
      <c r="J3508" s="17" t="n">
        <v>44756</v>
      </c>
      <c r="K3508" t="inlineStr">
        <is>
          <t>000000700002</t>
        </is>
      </c>
    </row>
    <row r="3509">
      <c r="A3509" t="inlineStr">
        <is>
          <t>101969</t>
        </is>
      </c>
      <c r="B3509" t="inlineStr">
        <is>
          <t>SECRETARIA DE ESTADO DA FAZENDA RN</t>
        </is>
      </c>
      <c r="C3509" t="n">
        <v>2111000000</v>
      </c>
      <c r="D3509" t="inlineStr">
        <is>
          <t>Customs Brokerage – Overall</t>
        </is>
      </c>
      <c r="E3509" t="n">
        <v>200015762</v>
      </c>
      <c r="F3509" t="inlineStr">
        <is>
          <t>13383</t>
        </is>
      </c>
      <c r="G3509" t="inlineStr">
        <is>
          <t>UE</t>
        </is>
      </c>
      <c r="H3509" s="12" t="n">
        <v>-89.7</v>
      </c>
      <c r="I3509" s="17" t="n">
        <v>44818</v>
      </c>
      <c r="J3509" s="17" t="n">
        <v>44818</v>
      </c>
      <c r="K3509" t="inlineStr">
        <is>
          <t>000000813002</t>
        </is>
      </c>
    </row>
    <row r="3510">
      <c r="A3510" t="inlineStr">
        <is>
          <t>101969</t>
        </is>
      </c>
      <c r="B3510" t="inlineStr">
        <is>
          <t>SECRETARIA DE ESTADO DA FAZENDA RN</t>
        </is>
      </c>
      <c r="C3510" t="n">
        <v>2111000000</v>
      </c>
      <c r="D3510" t="inlineStr">
        <is>
          <t>Customs Brokerage – Overall</t>
        </is>
      </c>
      <c r="E3510" t="n">
        <v>200015763</v>
      </c>
      <c r="F3510" t="inlineStr">
        <is>
          <t>13384</t>
        </is>
      </c>
      <c r="G3510" t="inlineStr">
        <is>
          <t>UE</t>
        </is>
      </c>
      <c r="H3510" s="12" t="n">
        <v>-120</v>
      </c>
      <c r="I3510" s="17" t="n">
        <v>44630</v>
      </c>
      <c r="J3510" s="17" t="n">
        <v>44630</v>
      </c>
      <c r="K3510" t="inlineStr">
        <is>
          <t>000000458002</t>
        </is>
      </c>
    </row>
    <row r="3511">
      <c r="A3511" t="inlineStr">
        <is>
          <t>101969</t>
        </is>
      </c>
      <c r="B3511" t="inlineStr">
        <is>
          <t>SECRETARIA DE ESTADO DA FAZENDA RN</t>
        </is>
      </c>
      <c r="C3511" t="n">
        <v>2111000000</v>
      </c>
      <c r="D3511" t="inlineStr">
        <is>
          <t>Customs Brokerage – Overall</t>
        </is>
      </c>
      <c r="E3511" t="n">
        <v>200015764</v>
      </c>
      <c r="F3511" t="inlineStr">
        <is>
          <t>13385</t>
        </is>
      </c>
      <c r="G3511" t="inlineStr">
        <is>
          <t>UE</t>
        </is>
      </c>
      <c r="H3511" s="12" t="n">
        <v>-71.06999999999999</v>
      </c>
      <c r="I3511" s="17" t="n">
        <v>44645</v>
      </c>
      <c r="J3511" s="17" t="n">
        <v>44645</v>
      </c>
      <c r="K3511" t="inlineStr">
        <is>
          <t>000000486002</t>
        </is>
      </c>
    </row>
    <row r="3512">
      <c r="A3512" t="inlineStr">
        <is>
          <t>101969</t>
        </is>
      </c>
      <c r="B3512" t="inlineStr">
        <is>
          <t>SECRETARIA DE ESTADO DA FAZENDA RN</t>
        </is>
      </c>
      <c r="C3512" t="n">
        <v>2111000000</v>
      </c>
      <c r="D3512" t="inlineStr">
        <is>
          <t>Customs Brokerage – Overall</t>
        </is>
      </c>
      <c r="E3512" t="n">
        <v>200015765</v>
      </c>
      <c r="F3512" t="inlineStr">
        <is>
          <t>13386</t>
        </is>
      </c>
      <c r="G3512" t="inlineStr">
        <is>
          <t>UE</t>
        </is>
      </c>
      <c r="H3512" s="12" t="n">
        <v>-240</v>
      </c>
      <c r="I3512" s="17" t="n">
        <v>44617</v>
      </c>
      <c r="J3512" s="17" t="n">
        <v>44617</v>
      </c>
      <c r="K3512" t="inlineStr">
        <is>
          <t>000000443002</t>
        </is>
      </c>
    </row>
    <row r="3513">
      <c r="A3513" t="inlineStr">
        <is>
          <t>101969</t>
        </is>
      </c>
      <c r="B3513" t="inlineStr">
        <is>
          <t>SECRETARIA DE ESTADO DA FAZENDA RN</t>
        </is>
      </c>
      <c r="C3513" t="n">
        <v>2111000000</v>
      </c>
      <c r="D3513" t="inlineStr">
        <is>
          <t>Customs Brokerage – Overall</t>
        </is>
      </c>
      <c r="E3513" t="n">
        <v>200015766</v>
      </c>
      <c r="F3513" t="inlineStr">
        <is>
          <t>13387</t>
        </is>
      </c>
      <c r="G3513" t="inlineStr">
        <is>
          <t>UE</t>
        </is>
      </c>
      <c r="H3513" s="12" t="n">
        <v>-277.46</v>
      </c>
      <c r="I3513" s="17" t="n">
        <v>44601</v>
      </c>
      <c r="J3513" s="17" t="n">
        <v>44601</v>
      </c>
      <c r="K3513" t="inlineStr">
        <is>
          <t>000000422002</t>
        </is>
      </c>
    </row>
    <row r="3514">
      <c r="A3514" t="inlineStr">
        <is>
          <t>101969</t>
        </is>
      </c>
      <c r="B3514" t="inlineStr">
        <is>
          <t>SECRETARIA DE ESTADO DA FAZENDA RN</t>
        </is>
      </c>
      <c r="C3514" t="n">
        <v>2111000000</v>
      </c>
      <c r="D3514" t="inlineStr">
        <is>
          <t>Customs Brokerage – Overall</t>
        </is>
      </c>
      <c r="E3514" t="n">
        <v>200015767</v>
      </c>
      <c r="F3514" t="inlineStr">
        <is>
          <t>13388</t>
        </is>
      </c>
      <c r="G3514" t="inlineStr">
        <is>
          <t>UE</t>
        </is>
      </c>
      <c r="H3514" s="12" t="n">
        <v>-795.34</v>
      </c>
      <c r="I3514" s="17" t="n">
        <v>44601</v>
      </c>
      <c r="J3514" s="17" t="n">
        <v>44601</v>
      </c>
      <c r="K3514" t="inlineStr">
        <is>
          <t>000000421002</t>
        </is>
      </c>
    </row>
    <row r="3515">
      <c r="A3515" t="inlineStr">
        <is>
          <t>101969</t>
        </is>
      </c>
      <c r="B3515" t="inlineStr">
        <is>
          <t>SECRETARIA DE ESTADO DA FAZENDA RN</t>
        </is>
      </c>
      <c r="C3515" t="n">
        <v>2111000000</v>
      </c>
      <c r="D3515" t="inlineStr">
        <is>
          <t>Customs Brokerage – Overall</t>
        </is>
      </c>
      <c r="E3515" t="n">
        <v>200015768</v>
      </c>
      <c r="F3515" t="inlineStr">
        <is>
          <t>13389</t>
        </is>
      </c>
      <c r="G3515" t="inlineStr">
        <is>
          <t>UE</t>
        </is>
      </c>
      <c r="H3515" s="12" t="n">
        <v>-1099.68</v>
      </c>
      <c r="I3515" s="17" t="n">
        <v>44558</v>
      </c>
      <c r="J3515" s="17" t="n">
        <v>44558</v>
      </c>
      <c r="K3515" t="inlineStr">
        <is>
          <t>000000355002</t>
        </is>
      </c>
    </row>
    <row r="3516">
      <c r="A3516" t="inlineStr">
        <is>
          <t>101746</t>
        </is>
      </c>
      <c r="B3516" t="inlineStr">
        <is>
          <t>SECRETARIA DA FAZENDA DO ESTADO DO</t>
        </is>
      </c>
      <c r="C3516" t="n">
        <v>2111000000</v>
      </c>
      <c r="D3516" t="inlineStr">
        <is>
          <t>Customs Brokerage – Overall</t>
        </is>
      </c>
      <c r="E3516" t="n">
        <v>200015770</v>
      </c>
      <c r="F3516" t="inlineStr">
        <is>
          <t>13390</t>
        </is>
      </c>
      <c r="G3516" t="inlineStr">
        <is>
          <t>UE</t>
        </is>
      </c>
      <c r="H3516" s="12" t="n">
        <v>-285.6</v>
      </c>
      <c r="I3516" s="17" t="n">
        <v>44861</v>
      </c>
      <c r="J3516" s="17" t="n">
        <v>44861</v>
      </c>
      <c r="K3516" t="inlineStr">
        <is>
          <t>000000920002</t>
        </is>
      </c>
    </row>
    <row r="3517">
      <c r="A3517" t="inlineStr">
        <is>
          <t>101746</t>
        </is>
      </c>
      <c r="B3517" t="inlineStr">
        <is>
          <t>SECRETARIA DA FAZENDA DO ESTADO DO</t>
        </is>
      </c>
      <c r="C3517" t="n">
        <v>2111000000</v>
      </c>
      <c r="D3517" t="inlineStr">
        <is>
          <t>Customs Brokerage – Overall</t>
        </is>
      </c>
      <c r="E3517" t="n">
        <v>200015771</v>
      </c>
      <c r="F3517" t="inlineStr">
        <is>
          <t>13391</t>
        </is>
      </c>
      <c r="G3517" t="inlineStr">
        <is>
          <t>UE</t>
        </is>
      </c>
      <c r="H3517" s="12" t="n">
        <v>-164.77</v>
      </c>
      <c r="I3517" s="17" t="n">
        <v>44869</v>
      </c>
      <c r="J3517" s="17" t="n">
        <v>44869</v>
      </c>
      <c r="K3517" t="inlineStr">
        <is>
          <t>000000936002</t>
        </is>
      </c>
    </row>
    <row r="3518">
      <c r="A3518" t="inlineStr">
        <is>
          <t>101746</t>
        </is>
      </c>
      <c r="B3518" t="inlineStr">
        <is>
          <t>SECRETARIA DA FAZENDA DO ESTADO DO</t>
        </is>
      </c>
      <c r="C3518" t="n">
        <v>2111000000</v>
      </c>
      <c r="D3518" t="inlineStr">
        <is>
          <t>Customs Brokerage – Overall</t>
        </is>
      </c>
      <c r="E3518" t="n">
        <v>200015772</v>
      </c>
      <c r="F3518" t="inlineStr">
        <is>
          <t>13392</t>
        </is>
      </c>
      <c r="G3518" t="inlineStr">
        <is>
          <t>UE</t>
        </is>
      </c>
      <c r="H3518" s="12" t="n">
        <v>-832.8</v>
      </c>
      <c r="I3518" s="17" t="n">
        <v>44873</v>
      </c>
      <c r="J3518" s="17" t="n">
        <v>44873</v>
      </c>
      <c r="K3518" t="inlineStr">
        <is>
          <t>000000944002</t>
        </is>
      </c>
    </row>
    <row r="3519">
      <c r="A3519" t="inlineStr">
        <is>
          <t>101969</t>
        </is>
      </c>
      <c r="B3519" t="inlineStr">
        <is>
          <t>SECRETARIA DE ESTADO DA FAZENDA RN</t>
        </is>
      </c>
      <c r="C3519" t="n">
        <v>2111000000</v>
      </c>
      <c r="D3519" t="inlineStr">
        <is>
          <t>Customs Brokerage – Overall</t>
        </is>
      </c>
      <c r="E3519" t="n">
        <v>200015773</v>
      </c>
      <c r="F3519" t="inlineStr">
        <is>
          <t>13393</t>
        </is>
      </c>
      <c r="G3519" t="inlineStr">
        <is>
          <t>UE</t>
        </is>
      </c>
      <c r="H3519" s="12" t="n">
        <v>-31.75</v>
      </c>
      <c r="I3519" s="17" t="n">
        <v>44874</v>
      </c>
      <c r="J3519" s="17" t="n">
        <v>44874</v>
      </c>
      <c r="K3519" t="inlineStr">
        <is>
          <t>000000953002</t>
        </is>
      </c>
    </row>
    <row r="3520">
      <c r="A3520" t="inlineStr">
        <is>
          <t>101969</t>
        </is>
      </c>
      <c r="B3520" t="inlineStr">
        <is>
          <t>SECRETARIA DE ESTADO DA FAZENDA RN</t>
        </is>
      </c>
      <c r="C3520" t="n">
        <v>2111000000</v>
      </c>
      <c r="D3520" t="inlineStr">
        <is>
          <t>Customs Brokerage – Overall</t>
        </is>
      </c>
      <c r="E3520" t="n">
        <v>200015774</v>
      </c>
      <c r="F3520" t="inlineStr">
        <is>
          <t>13394</t>
        </is>
      </c>
      <c r="G3520" t="inlineStr">
        <is>
          <t>UE</t>
        </is>
      </c>
      <c r="H3520" s="12" t="n">
        <v>-63.53</v>
      </c>
      <c r="I3520" s="17" t="n">
        <v>44875</v>
      </c>
      <c r="J3520" s="17" t="n">
        <v>44875</v>
      </c>
      <c r="K3520" t="inlineStr">
        <is>
          <t>000000955002</t>
        </is>
      </c>
    </row>
    <row r="3521">
      <c r="A3521" t="inlineStr">
        <is>
          <t>101969</t>
        </is>
      </c>
      <c r="B3521" t="inlineStr">
        <is>
          <t>SECRETARIA DE ESTADO DA FAZENDA RN</t>
        </is>
      </c>
      <c r="C3521" t="n">
        <v>2111000000</v>
      </c>
      <c r="D3521" t="inlineStr">
        <is>
          <t>Customs Brokerage – Overall</t>
        </is>
      </c>
      <c r="E3521" t="n">
        <v>200015775</v>
      </c>
      <c r="F3521" t="inlineStr">
        <is>
          <t>13395</t>
        </is>
      </c>
      <c r="G3521" t="inlineStr">
        <is>
          <t>UE</t>
        </is>
      </c>
      <c r="H3521" s="12" t="n">
        <v>-5.72</v>
      </c>
      <c r="I3521" s="17" t="n">
        <v>44875</v>
      </c>
      <c r="J3521" s="17" t="n">
        <v>44875</v>
      </c>
      <c r="K3521" t="inlineStr">
        <is>
          <t>000000956002</t>
        </is>
      </c>
    </row>
    <row r="3522">
      <c r="A3522" t="inlineStr">
        <is>
          <t>101969</t>
        </is>
      </c>
      <c r="B3522" t="inlineStr">
        <is>
          <t>SECRETARIA DE ESTADO DA FAZENDA RN</t>
        </is>
      </c>
      <c r="C3522" t="n">
        <v>2111000000</v>
      </c>
      <c r="D3522" t="inlineStr">
        <is>
          <t>Customs Brokerage – Overall</t>
        </is>
      </c>
      <c r="E3522" t="n">
        <v>200015776</v>
      </c>
      <c r="F3522" t="inlineStr">
        <is>
          <t>13396</t>
        </is>
      </c>
      <c r="G3522" t="inlineStr">
        <is>
          <t>UE</t>
        </is>
      </c>
      <c r="H3522" s="12" t="n">
        <v>-8.130000000000001</v>
      </c>
      <c r="I3522" s="17" t="n">
        <v>44875</v>
      </c>
      <c r="J3522" s="17" t="n">
        <v>44875</v>
      </c>
      <c r="K3522" t="inlineStr">
        <is>
          <t>000000957002</t>
        </is>
      </c>
    </row>
    <row r="3523">
      <c r="A3523" t="inlineStr">
        <is>
          <t>101969</t>
        </is>
      </c>
      <c r="B3523" t="inlineStr">
        <is>
          <t>SECRETARIA DE ESTADO DA FAZENDA RN</t>
        </is>
      </c>
      <c r="C3523" t="n">
        <v>2111000000</v>
      </c>
      <c r="D3523" t="inlineStr">
        <is>
          <t>Customs Brokerage – Overall</t>
        </is>
      </c>
      <c r="E3523" t="n">
        <v>200015777</v>
      </c>
      <c r="F3523" t="inlineStr">
        <is>
          <t>13397</t>
        </is>
      </c>
      <c r="G3523" t="inlineStr">
        <is>
          <t>UE</t>
        </is>
      </c>
      <c r="H3523" s="12" t="n">
        <v>-56.81</v>
      </c>
      <c r="I3523" s="17" t="n">
        <v>44873</v>
      </c>
      <c r="J3523" s="17" t="n">
        <v>44873</v>
      </c>
      <c r="K3523" t="inlineStr">
        <is>
          <t>000000945002</t>
        </is>
      </c>
    </row>
    <row r="3524">
      <c r="A3524" t="inlineStr">
        <is>
          <t>101969</t>
        </is>
      </c>
      <c r="B3524" t="inlineStr">
        <is>
          <t>SECRETARIA DE ESTADO DA FAZENDA RN</t>
        </is>
      </c>
      <c r="C3524" t="n">
        <v>2111000000</v>
      </c>
      <c r="D3524" t="inlineStr">
        <is>
          <t>Customs Brokerage – Overall</t>
        </is>
      </c>
      <c r="E3524" t="n">
        <v>200015778</v>
      </c>
      <c r="F3524" t="inlineStr">
        <is>
          <t>13398</t>
        </is>
      </c>
      <c r="G3524" t="inlineStr">
        <is>
          <t>UE</t>
        </is>
      </c>
      <c r="H3524" s="12" t="n">
        <v>-45.31</v>
      </c>
      <c r="I3524" s="17" t="n">
        <v>44873</v>
      </c>
      <c r="J3524" s="17" t="n">
        <v>44873</v>
      </c>
      <c r="K3524" t="inlineStr">
        <is>
          <t>000000946002</t>
        </is>
      </c>
    </row>
    <row r="3525">
      <c r="A3525" t="inlineStr">
        <is>
          <t>101969</t>
        </is>
      </c>
      <c r="B3525" t="inlineStr">
        <is>
          <t>SECRETARIA DE ESTADO DA FAZENDA RN</t>
        </is>
      </c>
      <c r="C3525" t="n">
        <v>2111000000</v>
      </c>
      <c r="D3525" t="inlineStr">
        <is>
          <t>Customs Brokerage – Overall</t>
        </is>
      </c>
      <c r="E3525" t="n">
        <v>200015779</v>
      </c>
      <c r="F3525" t="inlineStr">
        <is>
          <t>13399</t>
        </is>
      </c>
      <c r="G3525" t="inlineStr">
        <is>
          <t>UE</t>
        </is>
      </c>
      <c r="H3525" s="12" t="n">
        <v>-45.81</v>
      </c>
      <c r="I3525" s="17" t="n">
        <v>44874</v>
      </c>
      <c r="J3525" s="17" t="n">
        <v>44874</v>
      </c>
      <c r="K3525" t="inlineStr">
        <is>
          <t>000000951002</t>
        </is>
      </c>
    </row>
    <row r="3526">
      <c r="A3526" t="inlineStr">
        <is>
          <t>101969</t>
        </is>
      </c>
      <c r="B3526" t="inlineStr">
        <is>
          <t>SECRETARIA DE ESTADO DA FAZENDA RN</t>
        </is>
      </c>
      <c r="C3526" t="n">
        <v>2111000000</v>
      </c>
      <c r="D3526" t="inlineStr">
        <is>
          <t>Customs Brokerage – Overall</t>
        </is>
      </c>
      <c r="E3526" t="n">
        <v>200015782</v>
      </c>
      <c r="F3526" t="inlineStr">
        <is>
          <t>13400</t>
        </is>
      </c>
      <c r="G3526" t="inlineStr">
        <is>
          <t>UE</t>
        </is>
      </c>
      <c r="H3526" s="12" t="n">
        <v>-44.59</v>
      </c>
      <c r="I3526" s="17" t="n">
        <v>44874</v>
      </c>
      <c r="J3526" s="17" t="n">
        <v>44874</v>
      </c>
      <c r="K3526" t="inlineStr">
        <is>
          <t>000000952002</t>
        </is>
      </c>
    </row>
    <row r="3527">
      <c r="A3527" t="inlineStr">
        <is>
          <t>101969</t>
        </is>
      </c>
      <c r="B3527" t="inlineStr">
        <is>
          <t>SECRETARIA DE ESTADO DA FAZENDA RN</t>
        </is>
      </c>
      <c r="C3527" t="n">
        <v>2111000000</v>
      </c>
      <c r="D3527" t="inlineStr">
        <is>
          <t>Customs Brokerage – Overall</t>
        </is>
      </c>
      <c r="E3527" t="n">
        <v>200015783</v>
      </c>
      <c r="F3527" t="inlineStr">
        <is>
          <t>13401</t>
        </is>
      </c>
      <c r="G3527" t="inlineStr">
        <is>
          <t>UE</t>
        </is>
      </c>
      <c r="H3527" s="12" t="n">
        <v>-128.09</v>
      </c>
      <c r="I3527" s="17" t="n">
        <v>44869</v>
      </c>
      <c r="J3527" s="17" t="n">
        <v>44869</v>
      </c>
      <c r="K3527" t="inlineStr">
        <is>
          <t>000000940002</t>
        </is>
      </c>
    </row>
    <row r="3528">
      <c r="A3528" t="inlineStr">
        <is>
          <t>101569</t>
        </is>
      </c>
      <c r="B3528" t="inlineStr">
        <is>
          <t>SECRETARIA DA FAZENDA CEARA</t>
        </is>
      </c>
      <c r="C3528" t="n">
        <v>2111000000</v>
      </c>
      <c r="D3528" t="inlineStr">
        <is>
          <t>Customs Brokerage – Overall</t>
        </is>
      </c>
      <c r="E3528" t="n">
        <v>200015784</v>
      </c>
      <c r="F3528" t="inlineStr">
        <is>
          <t>13402</t>
        </is>
      </c>
      <c r="G3528" t="inlineStr">
        <is>
          <t>UE</t>
        </is>
      </c>
      <c r="H3528" s="12" t="n">
        <v>-0.4</v>
      </c>
      <c r="I3528" s="17" t="n">
        <v>44909</v>
      </c>
      <c r="J3528" s="17" t="n">
        <v>44909</v>
      </c>
      <c r="K3528" t="inlineStr">
        <is>
          <t>000001045002</t>
        </is>
      </c>
    </row>
    <row r="3529">
      <c r="A3529" t="inlineStr">
        <is>
          <t>101969</t>
        </is>
      </c>
      <c r="B3529" t="inlineStr">
        <is>
          <t>SECRETARIA DE ESTADO DA FAZENDA RN</t>
        </is>
      </c>
      <c r="C3529" t="n">
        <v>2111000000</v>
      </c>
      <c r="D3529" t="inlineStr">
        <is>
          <t>Customs Brokerage – Overall</t>
        </is>
      </c>
      <c r="E3529" t="n">
        <v>200015785</v>
      </c>
      <c r="F3529" t="inlineStr">
        <is>
          <t>13403</t>
        </is>
      </c>
      <c r="G3529" t="inlineStr">
        <is>
          <t>UE</t>
        </is>
      </c>
      <c r="H3529" s="12" t="n">
        <v>-12.53</v>
      </c>
      <c r="I3529" s="17" t="n">
        <v>44902</v>
      </c>
      <c r="J3529" s="17" t="n">
        <v>44902</v>
      </c>
      <c r="K3529" t="inlineStr">
        <is>
          <t>000001017002</t>
        </is>
      </c>
    </row>
    <row r="3530">
      <c r="A3530" t="inlineStr">
        <is>
          <t>101969</t>
        </is>
      </c>
      <c r="B3530" t="inlineStr">
        <is>
          <t>SECRETARIA DE ESTADO DA FAZENDA RN</t>
        </is>
      </c>
      <c r="C3530" t="n">
        <v>2111000000</v>
      </c>
      <c r="D3530" t="inlineStr">
        <is>
          <t>Customs Brokerage – Overall</t>
        </is>
      </c>
      <c r="E3530" t="n">
        <v>200015786</v>
      </c>
      <c r="F3530" t="inlineStr">
        <is>
          <t>13404</t>
        </is>
      </c>
      <c r="G3530" t="inlineStr">
        <is>
          <t>UE</t>
        </is>
      </c>
      <c r="H3530" s="12" t="n">
        <v>-4.43</v>
      </c>
      <c r="I3530" s="17" t="n">
        <v>44914</v>
      </c>
      <c r="J3530" s="17" t="n">
        <v>44914</v>
      </c>
      <c r="K3530" t="inlineStr">
        <is>
          <t>000001051002</t>
        </is>
      </c>
    </row>
    <row r="3531">
      <c r="A3531" t="inlineStr">
        <is>
          <t>101746</t>
        </is>
      </c>
      <c r="B3531" t="inlineStr">
        <is>
          <t>SECRETARIA DA FAZENDA DO ESTADO DO</t>
        </is>
      </c>
      <c r="C3531" t="n">
        <v>2111000000</v>
      </c>
      <c r="D3531" t="inlineStr">
        <is>
          <t>Customs Brokerage – Overall</t>
        </is>
      </c>
      <c r="E3531" t="n">
        <v>200015787</v>
      </c>
      <c r="F3531" t="inlineStr">
        <is>
          <t>13405</t>
        </is>
      </c>
      <c r="G3531" t="inlineStr">
        <is>
          <t>UE</t>
        </is>
      </c>
      <c r="H3531" s="12" t="n">
        <v>-696</v>
      </c>
      <c r="I3531" s="17" t="n">
        <v>44917</v>
      </c>
      <c r="J3531" s="17" t="n">
        <v>44917</v>
      </c>
      <c r="K3531" t="inlineStr">
        <is>
          <t>000001072002</t>
        </is>
      </c>
    </row>
    <row r="3532">
      <c r="A3532" t="inlineStr">
        <is>
          <t>101969</t>
        </is>
      </c>
      <c r="B3532" t="inlineStr">
        <is>
          <t>SECRETARIA DE ESTADO DA FAZENDA RN</t>
        </is>
      </c>
      <c r="C3532" t="n">
        <v>2111000000</v>
      </c>
      <c r="D3532" t="inlineStr">
        <is>
          <t>Customs Brokerage – Overall</t>
        </is>
      </c>
      <c r="E3532" t="n">
        <v>200015788</v>
      </c>
      <c r="F3532" t="inlineStr">
        <is>
          <t>13406</t>
        </is>
      </c>
      <c r="G3532" t="inlineStr">
        <is>
          <t>UE</t>
        </is>
      </c>
      <c r="H3532" s="12" t="n">
        <v>-35.66</v>
      </c>
      <c r="I3532" s="17" t="n">
        <v>44915</v>
      </c>
      <c r="J3532" s="17" t="n">
        <v>44915</v>
      </c>
      <c r="K3532" t="inlineStr">
        <is>
          <t>000001067002</t>
        </is>
      </c>
    </row>
    <row r="3533">
      <c r="A3533" t="inlineStr">
        <is>
          <t>101969</t>
        </is>
      </c>
      <c r="B3533" t="inlineStr">
        <is>
          <t>SECRETARIA DE ESTADO DA FAZENDA RN</t>
        </is>
      </c>
      <c r="C3533" t="n">
        <v>2111000000</v>
      </c>
      <c r="D3533" t="inlineStr">
        <is>
          <t>Customs Brokerage – Overall</t>
        </is>
      </c>
      <c r="E3533" t="n">
        <v>200015789</v>
      </c>
      <c r="F3533" t="inlineStr">
        <is>
          <t>13407</t>
        </is>
      </c>
      <c r="G3533" t="inlineStr">
        <is>
          <t>UE</t>
        </is>
      </c>
      <c r="H3533" s="12" t="n">
        <v>-152.4</v>
      </c>
      <c r="I3533" s="17" t="n">
        <v>44931</v>
      </c>
      <c r="J3533" s="17" t="n">
        <v>44931</v>
      </c>
      <c r="K3533" t="inlineStr">
        <is>
          <t>000001095002</t>
        </is>
      </c>
    </row>
    <row r="3534">
      <c r="A3534" t="inlineStr">
        <is>
          <t>101969</t>
        </is>
      </c>
      <c r="B3534" t="inlineStr">
        <is>
          <t>SECRETARIA DE ESTADO DA FAZENDA RN</t>
        </is>
      </c>
      <c r="C3534" t="n">
        <v>2111000000</v>
      </c>
      <c r="D3534" t="inlineStr">
        <is>
          <t>Customs Brokerage – Overall</t>
        </is>
      </c>
      <c r="E3534" t="n">
        <v>200015790</v>
      </c>
      <c r="F3534" t="inlineStr">
        <is>
          <t>13408</t>
        </is>
      </c>
      <c r="G3534" t="inlineStr">
        <is>
          <t>UE</t>
        </is>
      </c>
      <c r="H3534" s="12" t="n">
        <v>-80.64</v>
      </c>
      <c r="I3534" s="17" t="n">
        <v>44939</v>
      </c>
      <c r="J3534" s="17" t="n">
        <v>44939</v>
      </c>
      <c r="K3534" t="inlineStr">
        <is>
          <t>000001135002</t>
        </is>
      </c>
    </row>
    <row r="3535">
      <c r="A3535" t="inlineStr">
        <is>
          <t>101969</t>
        </is>
      </c>
      <c r="B3535" t="inlineStr">
        <is>
          <t>SECRETARIA DE ESTADO DA FAZENDA RN</t>
        </is>
      </c>
      <c r="C3535" t="n">
        <v>2111000000</v>
      </c>
      <c r="D3535" t="inlineStr">
        <is>
          <t>Customs Brokerage – Overall</t>
        </is>
      </c>
      <c r="E3535" t="n">
        <v>200015791</v>
      </c>
      <c r="F3535" t="inlineStr">
        <is>
          <t>13409</t>
        </is>
      </c>
      <c r="G3535" t="inlineStr">
        <is>
          <t>UE</t>
        </is>
      </c>
      <c r="H3535" s="12" t="n">
        <v>-1440</v>
      </c>
      <c r="I3535" s="17" t="n">
        <v>44939</v>
      </c>
      <c r="J3535" s="17" t="n">
        <v>44939</v>
      </c>
      <c r="K3535" t="inlineStr">
        <is>
          <t>000001134002</t>
        </is>
      </c>
    </row>
    <row r="3536">
      <c r="A3536" t="inlineStr">
        <is>
          <t>101969</t>
        </is>
      </c>
      <c r="B3536" t="inlineStr">
        <is>
          <t>SECRETARIA DE ESTADO DA FAZENDA RN</t>
        </is>
      </c>
      <c r="C3536" t="n">
        <v>2111000000</v>
      </c>
      <c r="D3536" t="inlineStr">
        <is>
          <t>Customs Brokerage – Overall</t>
        </is>
      </c>
      <c r="E3536" t="n">
        <v>200015793</v>
      </c>
      <c r="F3536" t="inlineStr">
        <is>
          <t>13410</t>
        </is>
      </c>
      <c r="G3536" t="inlineStr">
        <is>
          <t>UE</t>
        </is>
      </c>
      <c r="H3536" s="12" t="n">
        <v>-60</v>
      </c>
      <c r="I3536" s="17" t="n">
        <v>44988</v>
      </c>
      <c r="J3536" s="17" t="n">
        <v>44988</v>
      </c>
      <c r="K3536" t="inlineStr">
        <is>
          <t>000001276002</t>
        </is>
      </c>
    </row>
    <row r="3537">
      <c r="A3537" t="inlineStr">
        <is>
          <t>101969</t>
        </is>
      </c>
      <c r="B3537" t="inlineStr">
        <is>
          <t>SECRETARIA DE ESTADO DA FAZENDA RN</t>
        </is>
      </c>
      <c r="C3537" t="n">
        <v>2111000000</v>
      </c>
      <c r="D3537" t="inlineStr">
        <is>
          <t>Customs Brokerage – Overall</t>
        </is>
      </c>
      <c r="E3537" t="n">
        <v>200015794</v>
      </c>
      <c r="F3537" t="inlineStr">
        <is>
          <t>13411</t>
        </is>
      </c>
      <c r="G3537" t="inlineStr">
        <is>
          <t>UE</t>
        </is>
      </c>
      <c r="H3537" s="12" t="n">
        <v>-60</v>
      </c>
      <c r="I3537" s="17" t="n">
        <v>44995</v>
      </c>
      <c r="J3537" s="17" t="n">
        <v>44995</v>
      </c>
      <c r="K3537" t="inlineStr">
        <is>
          <t>000001296002</t>
        </is>
      </c>
    </row>
    <row r="3538">
      <c r="A3538" t="inlineStr">
        <is>
          <t>101969</t>
        </is>
      </c>
      <c r="B3538" t="inlineStr">
        <is>
          <t>SECRETARIA DE ESTADO DA FAZENDA RN</t>
        </is>
      </c>
      <c r="C3538" t="n">
        <v>2111000000</v>
      </c>
      <c r="D3538" t="inlineStr">
        <is>
          <t>Customs Brokerage – Overall</t>
        </is>
      </c>
      <c r="E3538" t="n">
        <v>200015795</v>
      </c>
      <c r="F3538" t="inlineStr">
        <is>
          <t>13412</t>
        </is>
      </c>
      <c r="G3538" t="inlineStr">
        <is>
          <t>UE</t>
        </is>
      </c>
      <c r="H3538" s="12" t="n">
        <v>-141.48</v>
      </c>
      <c r="I3538" s="17" t="n">
        <v>44995</v>
      </c>
      <c r="J3538" s="17" t="n">
        <v>44995</v>
      </c>
      <c r="K3538" t="inlineStr">
        <is>
          <t>000001298002</t>
        </is>
      </c>
    </row>
    <row r="3539">
      <c r="A3539" t="inlineStr">
        <is>
          <t>101969</t>
        </is>
      </c>
      <c r="B3539" t="inlineStr">
        <is>
          <t>SECRETARIA DE ESTADO DA FAZENDA RN</t>
        </is>
      </c>
      <c r="C3539" t="n">
        <v>2111000000</v>
      </c>
      <c r="D3539" t="inlineStr">
        <is>
          <t>Customs Brokerage – Overall</t>
        </is>
      </c>
      <c r="E3539" t="n">
        <v>200015796</v>
      </c>
      <c r="F3539" t="inlineStr">
        <is>
          <t>13413</t>
        </is>
      </c>
      <c r="G3539" t="inlineStr">
        <is>
          <t>UE</t>
        </is>
      </c>
      <c r="H3539" s="12" t="n">
        <v>-60</v>
      </c>
      <c r="I3539" s="17" t="n">
        <v>44995</v>
      </c>
      <c r="J3539" s="17" t="n">
        <v>44995</v>
      </c>
      <c r="K3539" t="inlineStr">
        <is>
          <t>000001294002</t>
        </is>
      </c>
    </row>
    <row r="3540">
      <c r="A3540" t="inlineStr">
        <is>
          <t>101969</t>
        </is>
      </c>
      <c r="B3540" t="inlineStr">
        <is>
          <t>SECRETARIA DE ESTADO DA FAZENDA RN</t>
        </is>
      </c>
      <c r="C3540" t="n">
        <v>2111000000</v>
      </c>
      <c r="D3540" t="inlineStr">
        <is>
          <t>Customs Brokerage – Overall</t>
        </is>
      </c>
      <c r="E3540" t="n">
        <v>200015797</v>
      </c>
      <c r="F3540" t="inlineStr">
        <is>
          <t>13414</t>
        </is>
      </c>
      <c r="G3540" t="inlineStr">
        <is>
          <t>UE</t>
        </is>
      </c>
      <c r="H3540" s="12" t="n">
        <v>-801.72</v>
      </c>
      <c r="I3540" s="17" t="n">
        <v>44995</v>
      </c>
      <c r="J3540" s="17" t="n">
        <v>44995</v>
      </c>
      <c r="K3540" t="inlineStr">
        <is>
          <t>000001297002</t>
        </is>
      </c>
    </row>
    <row r="3541">
      <c r="A3541" t="inlineStr">
        <is>
          <t>101569</t>
        </is>
      </c>
      <c r="B3541" t="inlineStr">
        <is>
          <t>SECRETARIA DA FAZENDA CEARA</t>
        </is>
      </c>
      <c r="C3541" t="n">
        <v>2111000000</v>
      </c>
      <c r="D3541" t="inlineStr">
        <is>
          <t>Customs Brokerage – Overall</t>
        </is>
      </c>
      <c r="E3541" t="n">
        <v>200015798</v>
      </c>
      <c r="F3541" t="inlineStr">
        <is>
          <t>13415</t>
        </is>
      </c>
      <c r="G3541" t="inlineStr">
        <is>
          <t>UE</t>
        </is>
      </c>
      <c r="H3541" s="12" t="n">
        <v>-338.4</v>
      </c>
      <c r="I3541" s="17" t="n">
        <v>45005</v>
      </c>
      <c r="J3541" s="17" t="n">
        <v>45005</v>
      </c>
      <c r="K3541" t="inlineStr">
        <is>
          <t>000001309002</t>
        </is>
      </c>
    </row>
    <row r="3542">
      <c r="A3542" t="inlineStr">
        <is>
          <t>101569</t>
        </is>
      </c>
      <c r="B3542" t="inlineStr">
        <is>
          <t>SECRETARIA DA FAZENDA CEARA</t>
        </is>
      </c>
      <c r="C3542" t="n">
        <v>2111000000</v>
      </c>
      <c r="D3542" t="inlineStr">
        <is>
          <t>Customs Brokerage – Overall</t>
        </is>
      </c>
      <c r="E3542" t="n">
        <v>200015799</v>
      </c>
      <c r="F3542" t="inlineStr">
        <is>
          <t>13416</t>
        </is>
      </c>
      <c r="G3542" t="inlineStr">
        <is>
          <t>UE</t>
        </is>
      </c>
      <c r="H3542" s="12" t="n">
        <v>-522</v>
      </c>
      <c r="I3542" s="17" t="n">
        <v>45006</v>
      </c>
      <c r="J3542" s="17" t="n">
        <v>45006</v>
      </c>
      <c r="K3542" t="inlineStr">
        <is>
          <t>000001315002</t>
        </is>
      </c>
    </row>
    <row r="3543">
      <c r="A3543" t="inlineStr">
        <is>
          <t>101969</t>
        </is>
      </c>
      <c r="B3543" t="inlineStr">
        <is>
          <t>SECRETARIA DE ESTADO DA FAZENDA RN</t>
        </is>
      </c>
      <c r="C3543" t="n">
        <v>2111000000</v>
      </c>
      <c r="D3543" t="inlineStr">
        <is>
          <t>Customs Brokerage – Overall</t>
        </is>
      </c>
      <c r="E3543" t="n">
        <v>200015800</v>
      </c>
      <c r="F3543" t="inlineStr">
        <is>
          <t>13417</t>
        </is>
      </c>
      <c r="G3543" t="inlineStr">
        <is>
          <t>UE</t>
        </is>
      </c>
      <c r="H3543" s="12" t="n">
        <v>-453.6</v>
      </c>
      <c r="I3543" s="17" t="n">
        <v>45002</v>
      </c>
      <c r="J3543" s="17" t="n">
        <v>45002</v>
      </c>
      <c r="K3543" t="inlineStr">
        <is>
          <t>000001307002</t>
        </is>
      </c>
    </row>
    <row r="3544">
      <c r="A3544" t="inlineStr">
        <is>
          <t>101969</t>
        </is>
      </c>
      <c r="B3544" t="inlineStr">
        <is>
          <t>SECRETARIA DE ESTADO DA FAZENDA RN</t>
        </is>
      </c>
      <c r="C3544" t="n">
        <v>2111000000</v>
      </c>
      <c r="D3544" t="inlineStr">
        <is>
          <t>Customs Brokerage – Overall</t>
        </is>
      </c>
      <c r="E3544" t="n">
        <v>200015801</v>
      </c>
      <c r="F3544" t="inlineStr">
        <is>
          <t>13418</t>
        </is>
      </c>
      <c r="G3544" t="inlineStr">
        <is>
          <t>UE</t>
        </is>
      </c>
      <c r="H3544" s="12" t="n">
        <v>-949.2</v>
      </c>
      <c r="I3544" s="17" t="n">
        <v>44994</v>
      </c>
      <c r="J3544" s="17" t="n">
        <v>44994</v>
      </c>
      <c r="K3544" t="inlineStr">
        <is>
          <t>000001287002</t>
        </is>
      </c>
    </row>
    <row r="3545">
      <c r="A3545" t="inlineStr">
        <is>
          <t>101969</t>
        </is>
      </c>
      <c r="B3545" t="inlineStr">
        <is>
          <t>SECRETARIA DE ESTADO DA FAZENDA RN</t>
        </is>
      </c>
      <c r="C3545" t="n">
        <v>2111000000</v>
      </c>
      <c r="D3545" t="inlineStr">
        <is>
          <t>Customs Brokerage – Overall</t>
        </is>
      </c>
      <c r="E3545" t="n">
        <v>200015802</v>
      </c>
      <c r="F3545" t="inlineStr">
        <is>
          <t>13419</t>
        </is>
      </c>
      <c r="G3545" t="inlineStr">
        <is>
          <t>UE</t>
        </is>
      </c>
      <c r="H3545" s="12" t="n">
        <v>-1656</v>
      </c>
      <c r="I3545" s="17" t="n">
        <v>45006</v>
      </c>
      <c r="J3545" s="17" t="n">
        <v>45006</v>
      </c>
      <c r="K3545" t="inlineStr">
        <is>
          <t>000001314002</t>
        </is>
      </c>
    </row>
    <row r="3546">
      <c r="A3546" t="inlineStr">
        <is>
          <t>101969</t>
        </is>
      </c>
      <c r="B3546" t="inlineStr">
        <is>
          <t>SECRETARIA DE ESTADO DA FAZENDA RN</t>
        </is>
      </c>
      <c r="C3546" t="n">
        <v>2111000000</v>
      </c>
      <c r="D3546" t="inlineStr">
        <is>
          <t>Customs Brokerage – Overall</t>
        </is>
      </c>
      <c r="E3546" t="n">
        <v>200015804</v>
      </c>
      <c r="F3546" t="inlineStr">
        <is>
          <t>13420</t>
        </is>
      </c>
      <c r="G3546" t="inlineStr">
        <is>
          <t>UE</t>
        </is>
      </c>
      <c r="H3546" s="12" t="n">
        <v>-1536</v>
      </c>
      <c r="I3546" s="17" t="n">
        <v>45009</v>
      </c>
      <c r="J3546" s="17" t="n">
        <v>45009</v>
      </c>
      <c r="K3546" t="inlineStr">
        <is>
          <t>000001324002</t>
        </is>
      </c>
    </row>
    <row r="3547">
      <c r="A3547" t="inlineStr">
        <is>
          <t>101969</t>
        </is>
      </c>
      <c r="B3547" t="inlineStr">
        <is>
          <t>SECRETARIA DE ESTADO DA FAZENDA RN</t>
        </is>
      </c>
      <c r="C3547" t="n">
        <v>2111000000</v>
      </c>
      <c r="D3547" t="inlineStr">
        <is>
          <t>Customs Brokerage – Overall</t>
        </is>
      </c>
      <c r="E3547" t="n">
        <v>200015805</v>
      </c>
      <c r="F3547" t="inlineStr">
        <is>
          <t>13421</t>
        </is>
      </c>
      <c r="G3547" t="inlineStr">
        <is>
          <t>UE</t>
        </is>
      </c>
      <c r="H3547" s="12" t="n">
        <v>-240</v>
      </c>
      <c r="I3547" s="17" t="n">
        <v>45009</v>
      </c>
      <c r="J3547" s="17" t="n">
        <v>45009</v>
      </c>
      <c r="K3547" t="inlineStr">
        <is>
          <t>000001323002</t>
        </is>
      </c>
    </row>
    <row r="3548">
      <c r="A3548" t="inlineStr">
        <is>
          <t>101569</t>
        </is>
      </c>
      <c r="B3548" t="inlineStr">
        <is>
          <t>SECRETARIA DA FAZENDA CEARA</t>
        </is>
      </c>
      <c r="C3548" t="n">
        <v>2111000000</v>
      </c>
      <c r="D3548" t="inlineStr">
        <is>
          <t>Customs Brokerage – Overall</t>
        </is>
      </c>
      <c r="E3548" t="n">
        <v>200015806</v>
      </c>
      <c r="F3548" t="inlineStr">
        <is>
          <t>13422</t>
        </is>
      </c>
      <c r="G3548" t="inlineStr">
        <is>
          <t>UE</t>
        </is>
      </c>
      <c r="H3548" s="12" t="n">
        <v>-324</v>
      </c>
      <c r="I3548" s="17" t="n">
        <v>45013</v>
      </c>
      <c r="J3548" s="17" t="n">
        <v>45013</v>
      </c>
      <c r="K3548" t="inlineStr">
        <is>
          <t>000001331002</t>
        </is>
      </c>
    </row>
    <row r="3549">
      <c r="A3549" t="inlineStr">
        <is>
          <t>101569</t>
        </is>
      </c>
      <c r="B3549" t="inlineStr">
        <is>
          <t>SECRETARIA DA FAZENDA CEARA</t>
        </is>
      </c>
      <c r="C3549" t="n">
        <v>2111000000</v>
      </c>
      <c r="D3549" t="inlineStr">
        <is>
          <t>Customs Brokerage – Overall</t>
        </is>
      </c>
      <c r="E3549" t="n">
        <v>200015807</v>
      </c>
      <c r="F3549" t="inlineStr">
        <is>
          <t>13423</t>
        </is>
      </c>
      <c r="G3549" t="inlineStr">
        <is>
          <t>UE</t>
        </is>
      </c>
      <c r="H3549" s="12" t="n">
        <v>-666</v>
      </c>
      <c r="I3549" s="17" t="n">
        <v>45014</v>
      </c>
      <c r="J3549" s="17" t="n">
        <v>45014</v>
      </c>
      <c r="K3549" t="inlineStr">
        <is>
          <t>000001335002</t>
        </is>
      </c>
    </row>
    <row r="3550">
      <c r="A3550" t="inlineStr">
        <is>
          <t>101969</t>
        </is>
      </c>
      <c r="B3550" t="inlineStr">
        <is>
          <t>SECRETARIA DE ESTADO DA FAZENDA RN</t>
        </is>
      </c>
      <c r="C3550" t="n">
        <v>2111000000</v>
      </c>
      <c r="D3550" t="inlineStr">
        <is>
          <t>Customs Brokerage – Overall</t>
        </is>
      </c>
      <c r="E3550" t="n">
        <v>200015808</v>
      </c>
      <c r="F3550" t="inlineStr">
        <is>
          <t>13424</t>
        </is>
      </c>
      <c r="G3550" t="inlineStr">
        <is>
          <t>UE</t>
        </is>
      </c>
      <c r="H3550" s="12" t="n">
        <v>-82.5</v>
      </c>
      <c r="I3550" s="17" t="n">
        <v>45015</v>
      </c>
      <c r="J3550" s="17" t="n">
        <v>45015</v>
      </c>
      <c r="K3550" t="inlineStr">
        <is>
          <t>000001338002</t>
        </is>
      </c>
    </row>
    <row r="3551">
      <c r="A3551" t="inlineStr">
        <is>
          <t>103681</t>
        </is>
      </c>
      <c r="B3551" t="inlineStr">
        <is>
          <t>SECRETARIA DA FAZENDA BAHIA</t>
        </is>
      </c>
      <c r="C3551" t="n">
        <v>2111000000</v>
      </c>
      <c r="D3551" t="inlineStr">
        <is>
          <t>Taxes Payable</t>
        </is>
      </c>
      <c r="E3551" t="n">
        <v>200015809</v>
      </c>
      <c r="F3551" t="inlineStr">
        <is>
          <t>13425</t>
        </is>
      </c>
      <c r="G3551" t="inlineStr">
        <is>
          <t>UE</t>
        </is>
      </c>
      <c r="H3551" s="12" t="n">
        <v>-973.52</v>
      </c>
      <c r="I3551" s="17" t="n">
        <v>45015</v>
      </c>
      <c r="J3551" s="17" t="n">
        <v>45015</v>
      </c>
      <c r="K3551" t="inlineStr">
        <is>
          <t>000001340002</t>
        </is>
      </c>
    </row>
    <row r="3552">
      <c r="A3552" t="inlineStr">
        <is>
          <t>101569</t>
        </is>
      </c>
      <c r="B3552" t="inlineStr">
        <is>
          <t>SECRETARIA DA FAZENDA CEARA</t>
        </is>
      </c>
      <c r="C3552" t="n">
        <v>2111000000</v>
      </c>
      <c r="D3552" t="inlineStr">
        <is>
          <t>Customs Brokerage – Overall</t>
        </is>
      </c>
      <c r="E3552" t="n">
        <v>200015810</v>
      </c>
      <c r="F3552" t="inlineStr">
        <is>
          <t>13426</t>
        </is>
      </c>
      <c r="G3552" t="inlineStr">
        <is>
          <t>UE</t>
        </is>
      </c>
      <c r="H3552" s="12" t="n">
        <v>-699.84</v>
      </c>
      <c r="I3552" s="17" t="n">
        <v>45040</v>
      </c>
      <c r="J3552" s="17" t="n">
        <v>45040</v>
      </c>
      <c r="K3552" t="inlineStr">
        <is>
          <t>000001402002</t>
        </is>
      </c>
    </row>
    <row r="3553">
      <c r="A3553" t="inlineStr">
        <is>
          <t>101969</t>
        </is>
      </c>
      <c r="B3553" t="inlineStr">
        <is>
          <t>SECRETARIA DE ESTADO DA FAZENDA RN</t>
        </is>
      </c>
      <c r="C3553" t="n">
        <v>2111000000</v>
      </c>
      <c r="D3553" t="inlineStr">
        <is>
          <t>Customs Brokerage – Overall</t>
        </is>
      </c>
      <c r="E3553" t="n">
        <v>200015811</v>
      </c>
      <c r="F3553" t="inlineStr">
        <is>
          <t>13427</t>
        </is>
      </c>
      <c r="G3553" t="inlineStr">
        <is>
          <t>UE</t>
        </is>
      </c>
      <c r="H3553" s="12" t="n">
        <v>-60</v>
      </c>
      <c r="I3553" s="17" t="n">
        <v>45070</v>
      </c>
      <c r="J3553" s="17" t="n">
        <v>45070</v>
      </c>
      <c r="K3553" t="inlineStr">
        <is>
          <t>000001472002</t>
        </is>
      </c>
    </row>
    <row r="3554">
      <c r="A3554" t="inlineStr">
        <is>
          <t>101969</t>
        </is>
      </c>
      <c r="B3554" t="inlineStr">
        <is>
          <t>SECRETARIA DE ESTADO DA FAZENDA RN</t>
        </is>
      </c>
      <c r="C3554" t="n">
        <v>2111000000</v>
      </c>
      <c r="D3554" t="inlineStr">
        <is>
          <t>Customs Brokerage – Overall</t>
        </is>
      </c>
      <c r="E3554" t="n">
        <v>200015812</v>
      </c>
      <c r="F3554" t="inlineStr">
        <is>
          <t>13428</t>
        </is>
      </c>
      <c r="G3554" t="inlineStr">
        <is>
          <t>UE</t>
        </is>
      </c>
      <c r="H3554" s="12" t="n">
        <v>-240</v>
      </c>
      <c r="I3554" s="17" t="n">
        <v>45070</v>
      </c>
      <c r="J3554" s="17" t="n">
        <v>45070</v>
      </c>
      <c r="K3554" t="inlineStr">
        <is>
          <t>000001473002</t>
        </is>
      </c>
    </row>
    <row r="3555">
      <c r="A3555" t="inlineStr">
        <is>
          <t>101969</t>
        </is>
      </c>
      <c r="B3555" t="inlineStr">
        <is>
          <t>SECRETARIA DE ESTADO DA FAZENDA RN</t>
        </is>
      </c>
      <c r="C3555" t="n">
        <v>2111000000</v>
      </c>
      <c r="D3555" t="inlineStr">
        <is>
          <t>Customs Brokerage – Overall</t>
        </is>
      </c>
      <c r="E3555" t="n">
        <v>200015813</v>
      </c>
      <c r="F3555" t="inlineStr">
        <is>
          <t>13429</t>
        </is>
      </c>
      <c r="G3555" t="inlineStr">
        <is>
          <t>UE</t>
        </is>
      </c>
      <c r="H3555" s="12" t="n">
        <v>-43.68</v>
      </c>
      <c r="I3555" s="17" t="n">
        <v>45054</v>
      </c>
      <c r="J3555" s="17" t="n">
        <v>45054</v>
      </c>
      <c r="K3555" t="inlineStr">
        <is>
          <t>000001433002</t>
        </is>
      </c>
    </row>
    <row r="3556">
      <c r="A3556" t="inlineStr">
        <is>
          <t>101969</t>
        </is>
      </c>
      <c r="B3556" t="inlineStr">
        <is>
          <t>SECRETARIA DE ESTADO DA FAZENDA RN</t>
        </is>
      </c>
      <c r="C3556" t="n">
        <v>2111000000</v>
      </c>
      <c r="D3556" t="inlineStr">
        <is>
          <t>Customs Brokerage – Overall</t>
        </is>
      </c>
      <c r="E3556" t="n">
        <v>200015815</v>
      </c>
      <c r="F3556" t="inlineStr">
        <is>
          <t>13430</t>
        </is>
      </c>
      <c r="G3556" t="inlineStr">
        <is>
          <t>UE</t>
        </is>
      </c>
      <c r="H3556" s="12" t="n">
        <v>-508.8</v>
      </c>
      <c r="I3556" s="17" t="n">
        <v>45054</v>
      </c>
      <c r="J3556" s="17" t="n">
        <v>45054</v>
      </c>
      <c r="K3556" t="inlineStr">
        <is>
          <t>000001435002</t>
        </is>
      </c>
    </row>
    <row r="3557">
      <c r="A3557" t="inlineStr">
        <is>
          <t>101746</t>
        </is>
      </c>
      <c r="B3557" t="inlineStr">
        <is>
          <t>SECRETARIA DA FAZENDA DO ESTADO DO</t>
        </is>
      </c>
      <c r="C3557" t="n">
        <v>2111000000</v>
      </c>
      <c r="D3557" t="inlineStr">
        <is>
          <t>Customs Brokerage – Overall</t>
        </is>
      </c>
      <c r="E3557" t="n">
        <v>200015843</v>
      </c>
      <c r="F3557" t="inlineStr">
        <is>
          <t>13456</t>
        </is>
      </c>
      <c r="G3557" t="inlineStr">
        <is>
          <t>UE</t>
        </is>
      </c>
      <c r="H3557" s="12" t="n">
        <v>-120</v>
      </c>
      <c r="I3557" s="17" t="n">
        <v>45127</v>
      </c>
      <c r="J3557" s="17" t="n">
        <v>45127</v>
      </c>
      <c r="K3557" t="inlineStr">
        <is>
          <t>000001588002</t>
        </is>
      </c>
    </row>
    <row r="3558">
      <c r="A3558" t="inlineStr">
        <is>
          <t>103681</t>
        </is>
      </c>
      <c r="B3558" t="inlineStr">
        <is>
          <t>SECRETARIA DA FAZENDA BAHIA</t>
        </is>
      </c>
      <c r="C3558" t="n">
        <v>2111000000</v>
      </c>
      <c r="D3558" t="inlineStr">
        <is>
          <t>Taxes Payable</t>
        </is>
      </c>
      <c r="E3558" t="n">
        <v>200015846</v>
      </c>
      <c r="F3558" t="inlineStr">
        <is>
          <t>13459</t>
        </is>
      </c>
      <c r="G3558" t="inlineStr">
        <is>
          <t>UE</t>
        </is>
      </c>
      <c r="H3558" s="12" t="n">
        <v>-105.27</v>
      </c>
      <c r="I3558" s="17" t="n">
        <v>44573</v>
      </c>
      <c r="J3558" s="17" t="n">
        <v>44573</v>
      </c>
      <c r="K3558" t="inlineStr">
        <is>
          <t>000000195001</t>
        </is>
      </c>
    </row>
    <row r="3559">
      <c r="A3559" t="inlineStr">
        <is>
          <t>103681</t>
        </is>
      </c>
      <c r="B3559" t="inlineStr">
        <is>
          <t>SECRETARIA DA FAZENDA BAHIA</t>
        </is>
      </c>
      <c r="C3559" t="n">
        <v>2111000000</v>
      </c>
      <c r="D3559" t="inlineStr">
        <is>
          <t>Taxes Payable</t>
        </is>
      </c>
      <c r="E3559" t="n">
        <v>200015848</v>
      </c>
      <c r="F3559" t="inlineStr">
        <is>
          <t>13460</t>
        </is>
      </c>
      <c r="G3559" t="inlineStr">
        <is>
          <t>UE</t>
        </is>
      </c>
      <c r="H3559" s="12" t="n">
        <v>-87.73</v>
      </c>
      <c r="I3559" s="17" t="n">
        <v>44581</v>
      </c>
      <c r="J3559" s="17" t="n">
        <v>44581</v>
      </c>
      <c r="K3559" t="inlineStr">
        <is>
          <t>000000215001</t>
        </is>
      </c>
    </row>
    <row r="3560">
      <c r="A3560" t="inlineStr">
        <is>
          <t>103681</t>
        </is>
      </c>
      <c r="B3560" t="inlineStr">
        <is>
          <t>SECRETARIA DA FAZENDA BAHIA</t>
        </is>
      </c>
      <c r="C3560" t="n">
        <v>2111000000</v>
      </c>
      <c r="D3560" t="inlineStr">
        <is>
          <t>Taxes Payable</t>
        </is>
      </c>
      <c r="E3560" t="n">
        <v>200015849</v>
      </c>
      <c r="F3560" t="inlineStr">
        <is>
          <t>13461</t>
        </is>
      </c>
      <c r="G3560" t="inlineStr">
        <is>
          <t>UE</t>
        </is>
      </c>
      <c r="H3560" s="12" t="n">
        <v>-105.27</v>
      </c>
      <c r="I3560" s="17" t="n">
        <v>44637</v>
      </c>
      <c r="J3560" s="17" t="n">
        <v>44637</v>
      </c>
      <c r="K3560" t="inlineStr">
        <is>
          <t>000000385001</t>
        </is>
      </c>
    </row>
    <row r="3561">
      <c r="A3561" t="inlineStr">
        <is>
          <t>101746</t>
        </is>
      </c>
      <c r="B3561" t="inlineStr">
        <is>
          <t>SECRETARIA DA FAZENDA DO ESTADO DO</t>
        </is>
      </c>
      <c r="C3561" t="n">
        <v>2111000000</v>
      </c>
      <c r="D3561" t="inlineStr">
        <is>
          <t>Customs Brokerage – Overall</t>
        </is>
      </c>
      <c r="E3561" t="n">
        <v>200015854</v>
      </c>
      <c r="F3561" t="inlineStr">
        <is>
          <t>13466</t>
        </is>
      </c>
      <c r="G3561" t="inlineStr">
        <is>
          <t>UE</t>
        </is>
      </c>
      <c r="H3561" s="12" t="n">
        <v>-144.66</v>
      </c>
      <c r="I3561" s="17" t="n">
        <v>45050</v>
      </c>
      <c r="J3561" s="17" t="n">
        <v>45050</v>
      </c>
      <c r="K3561" t="inlineStr">
        <is>
          <t>000001764001</t>
        </is>
      </c>
    </row>
    <row r="3562">
      <c r="A3562" t="inlineStr">
        <is>
          <t>100929</t>
        </is>
      </c>
      <c r="B3562" t="inlineStr">
        <is>
          <t>EXPRESSO VALE REAL LTDA</t>
        </is>
      </c>
      <c r="C3562" t="n">
        <v>2111000000</v>
      </c>
      <c r="D3562" t="inlineStr">
        <is>
          <t>Operational Suppliers (Wind Farms)</t>
        </is>
      </c>
      <c r="E3562" t="n">
        <v>200015855</v>
      </c>
      <c r="F3562" t="inlineStr">
        <is>
          <t>13467</t>
        </is>
      </c>
      <c r="G3562" t="inlineStr">
        <is>
          <t>UE</t>
        </is>
      </c>
      <c r="H3562" s="12" t="n">
        <v>-13544.97</v>
      </c>
      <c r="I3562" s="17" t="n">
        <v>45119</v>
      </c>
      <c r="J3562" s="17" t="n">
        <v>45119</v>
      </c>
      <c r="K3562" t="inlineStr">
        <is>
          <t>000002067001</t>
        </is>
      </c>
    </row>
    <row r="3563">
      <c r="A3563" t="inlineStr">
        <is>
          <t>101969</t>
        </is>
      </c>
      <c r="B3563" t="inlineStr">
        <is>
          <t>SECRETARIA DE ESTADO DA FAZENDA RN</t>
        </is>
      </c>
      <c r="C3563" t="n">
        <v>2111000000</v>
      </c>
      <c r="D3563" t="inlineStr">
        <is>
          <t>Customs Brokerage – Overall</t>
        </is>
      </c>
      <c r="E3563" t="n">
        <v>200015860</v>
      </c>
      <c r="F3563" t="inlineStr">
        <is>
          <t>13471</t>
        </is>
      </c>
      <c r="G3563" t="inlineStr">
        <is>
          <t>UE</t>
        </is>
      </c>
      <c r="H3563" s="12" t="n">
        <v>-264.06</v>
      </c>
      <c r="I3563" s="17" t="n">
        <v>44897</v>
      </c>
      <c r="J3563" s="17" t="n">
        <v>44897</v>
      </c>
      <c r="K3563" t="inlineStr">
        <is>
          <t>000229269001</t>
        </is>
      </c>
    </row>
    <row r="3564">
      <c r="A3564" t="inlineStr">
        <is>
          <t>101746</t>
        </is>
      </c>
      <c r="B3564" t="inlineStr">
        <is>
          <t>SECRETARIA DA FAZENDA DO ESTADO DO</t>
        </is>
      </c>
      <c r="C3564" t="n">
        <v>2111000000</v>
      </c>
      <c r="D3564" t="inlineStr">
        <is>
          <t>Customs Brokerage – Overall</t>
        </is>
      </c>
      <c r="E3564" t="n">
        <v>200015876</v>
      </c>
      <c r="F3564" t="inlineStr">
        <is>
          <t>13486</t>
        </is>
      </c>
      <c r="G3564" t="inlineStr">
        <is>
          <t>UE</t>
        </is>
      </c>
      <c r="H3564" s="12" t="n">
        <v>-1260</v>
      </c>
      <c r="I3564" s="17" t="n">
        <v>45099</v>
      </c>
      <c r="J3564" s="17" t="n">
        <v>45099</v>
      </c>
      <c r="K3564" t="inlineStr">
        <is>
          <t>000005539001</t>
        </is>
      </c>
    </row>
    <row r="3565">
      <c r="A3565" t="inlineStr">
        <is>
          <t>101746</t>
        </is>
      </c>
      <c r="B3565" t="inlineStr">
        <is>
          <t>SECRETARIA DA FAZENDA DO ESTADO DO</t>
        </is>
      </c>
      <c r="C3565" t="n">
        <v>2111000000</v>
      </c>
      <c r="D3565" t="inlineStr">
        <is>
          <t>Customs Brokerage – Overall</t>
        </is>
      </c>
      <c r="E3565" t="n">
        <v>200015878</v>
      </c>
      <c r="F3565" t="inlineStr">
        <is>
          <t>13488</t>
        </is>
      </c>
      <c r="G3565" t="inlineStr">
        <is>
          <t>UE</t>
        </is>
      </c>
      <c r="H3565" s="12" t="n">
        <v>-1260</v>
      </c>
      <c r="I3565" s="17" t="n">
        <v>45099</v>
      </c>
      <c r="J3565" s="17" t="n">
        <v>45099</v>
      </c>
      <c r="K3565" t="inlineStr">
        <is>
          <t>000005542001</t>
        </is>
      </c>
    </row>
    <row r="3566">
      <c r="A3566" t="inlineStr">
        <is>
          <t>101763</t>
        </is>
      </c>
      <c r="B3566" t="inlineStr">
        <is>
          <t>MUNICIPIO DE LAGOA DO BARRO DO PIAU</t>
        </is>
      </c>
      <c r="C3566" t="n">
        <v>2111000000</v>
      </c>
      <c r="D3566" t="inlineStr">
        <is>
          <t>Taxes Payable</t>
        </is>
      </c>
      <c r="E3566" t="n">
        <v>200016054</v>
      </c>
      <c r="F3566" t="inlineStr">
        <is>
          <t>1137</t>
        </is>
      </c>
      <c r="G3566" t="inlineStr">
        <is>
          <t>UE</t>
        </is>
      </c>
      <c r="H3566" s="12" t="n">
        <v>-1638.86</v>
      </c>
      <c r="I3566" s="17" t="n">
        <v>44347</v>
      </c>
      <c r="J3566" s="17" t="n">
        <v>44347</v>
      </c>
      <c r="K3566" t="inlineStr">
        <is>
          <t>5102</t>
        </is>
      </c>
    </row>
    <row r="3567">
      <c r="A3567" t="inlineStr">
        <is>
          <t>101763</t>
        </is>
      </c>
      <c r="B3567" t="inlineStr">
        <is>
          <t>MUNICIPIO DE LAGOA DO BARRO DO PIAU</t>
        </is>
      </c>
      <c r="C3567" t="n">
        <v>2111000000</v>
      </c>
      <c r="D3567" t="inlineStr">
        <is>
          <t>Taxes Payable</t>
        </is>
      </c>
      <c r="E3567" t="n">
        <v>200016065</v>
      </c>
      <c r="F3567" t="inlineStr">
        <is>
          <t>1138</t>
        </is>
      </c>
      <c r="G3567" t="inlineStr">
        <is>
          <t>UE</t>
        </is>
      </c>
      <c r="H3567" s="12" t="n">
        <v>-1092.58</v>
      </c>
      <c r="I3567" s="17" t="n">
        <v>44347</v>
      </c>
      <c r="J3567" s="17" t="n">
        <v>44347</v>
      </c>
      <c r="K3567" t="inlineStr">
        <is>
          <t>5202</t>
        </is>
      </c>
    </row>
    <row r="3568">
      <c r="A3568" t="inlineStr">
        <is>
          <t>101763</t>
        </is>
      </c>
      <c r="B3568" t="inlineStr">
        <is>
          <t>MUNICIPIO DE LAGOA DO BARRO DO PIAU</t>
        </is>
      </c>
      <c r="C3568" t="n">
        <v>2111000000</v>
      </c>
      <c r="D3568" t="inlineStr">
        <is>
          <t>Taxes Payable</t>
        </is>
      </c>
      <c r="E3568" t="n">
        <v>200016076</v>
      </c>
      <c r="F3568" t="inlineStr">
        <is>
          <t>1139</t>
        </is>
      </c>
      <c r="G3568" t="inlineStr">
        <is>
          <t>UE</t>
        </is>
      </c>
      <c r="H3568" s="12" t="n">
        <v>-1638.86</v>
      </c>
      <c r="I3568" s="17" t="n">
        <v>44377</v>
      </c>
      <c r="J3568" s="17" t="n">
        <v>44377</v>
      </c>
      <c r="K3568" t="inlineStr">
        <is>
          <t>20702</t>
        </is>
      </c>
    </row>
    <row r="3569">
      <c r="A3569" t="inlineStr">
        <is>
          <t>102081</t>
        </is>
      </c>
      <c r="B3569" t="inlineStr">
        <is>
          <t>MUNICIPIO DE PALMARES DO SUL</t>
        </is>
      </c>
      <c r="C3569" t="n">
        <v>2111000000</v>
      </c>
      <c r="D3569" t="inlineStr">
        <is>
          <t>Taxes Payable</t>
        </is>
      </c>
      <c r="E3569" t="n">
        <v>200018062</v>
      </c>
      <c r="F3569" t="inlineStr">
        <is>
          <t>1096</t>
        </is>
      </c>
      <c r="G3569" t="inlineStr">
        <is>
          <t>UE</t>
        </is>
      </c>
      <c r="H3569" s="12" t="n">
        <v>-6911.95</v>
      </c>
      <c r="I3569" s="17" t="n">
        <v>44566</v>
      </c>
      <c r="J3569" s="17" t="n">
        <v>44566</v>
      </c>
      <c r="K3569" t="inlineStr">
        <is>
          <t>9401</t>
        </is>
      </c>
    </row>
    <row r="3570">
      <c r="A3570" t="inlineStr">
        <is>
          <t>101763</t>
        </is>
      </c>
      <c r="B3570" t="inlineStr">
        <is>
          <t>MUNICIPIO DE LAGOA DO BARRO DO PIAU</t>
        </is>
      </c>
      <c r="C3570" t="n">
        <v>2111000000</v>
      </c>
      <c r="D3570" t="inlineStr">
        <is>
          <t>Taxes Payable</t>
        </is>
      </c>
      <c r="E3570" t="n">
        <v>200018452</v>
      </c>
      <c r="F3570" t="inlineStr">
        <is>
          <t>1131</t>
        </is>
      </c>
      <c r="G3570" t="inlineStr">
        <is>
          <t>UE</t>
        </is>
      </c>
      <c r="H3570" s="12" t="n">
        <v>-1638.86</v>
      </c>
      <c r="I3570" s="17" t="n">
        <v>44347</v>
      </c>
      <c r="J3570" s="17" t="n">
        <v>44347</v>
      </c>
      <c r="K3570" t="inlineStr">
        <is>
          <t>2302</t>
        </is>
      </c>
    </row>
    <row r="3571">
      <c r="A3571" t="inlineStr">
        <is>
          <t>101763</t>
        </is>
      </c>
      <c r="B3571" t="inlineStr">
        <is>
          <t>MUNICIPIO DE LAGOA DO BARRO DO PIAU</t>
        </is>
      </c>
      <c r="C3571" t="n">
        <v>2111000000</v>
      </c>
      <c r="D3571" t="inlineStr">
        <is>
          <t>Taxes Payable</t>
        </is>
      </c>
      <c r="E3571" t="n">
        <v>200018463</v>
      </c>
      <c r="F3571" t="inlineStr">
        <is>
          <t>1132</t>
        </is>
      </c>
      <c r="G3571" t="inlineStr">
        <is>
          <t>UE</t>
        </is>
      </c>
      <c r="H3571" s="12" t="n">
        <v>-1638.86</v>
      </c>
      <c r="I3571" s="17" t="n">
        <v>44347</v>
      </c>
      <c r="J3571" s="17" t="n">
        <v>44347</v>
      </c>
      <c r="K3571" t="inlineStr">
        <is>
          <t>9802</t>
        </is>
      </c>
    </row>
    <row r="3572">
      <c r="A3572" t="inlineStr">
        <is>
          <t>101763</t>
        </is>
      </c>
      <c r="B3572" t="inlineStr">
        <is>
          <t>MUNICIPIO DE LAGOA DO BARRO DO PIAU</t>
        </is>
      </c>
      <c r="C3572" t="n">
        <v>2111000000</v>
      </c>
      <c r="D3572" t="inlineStr">
        <is>
          <t>Taxes Payable</t>
        </is>
      </c>
      <c r="E3572" t="n">
        <v>200018474</v>
      </c>
      <c r="F3572" t="inlineStr">
        <is>
          <t>1133</t>
        </is>
      </c>
      <c r="G3572" t="inlineStr">
        <is>
          <t>UE</t>
        </is>
      </c>
      <c r="H3572" s="12" t="n">
        <v>-1365.72</v>
      </c>
      <c r="I3572" s="17" t="n">
        <v>44347</v>
      </c>
      <c r="J3572" s="17" t="n">
        <v>44347</v>
      </c>
      <c r="K3572" t="inlineStr">
        <is>
          <t>4202</t>
        </is>
      </c>
    </row>
    <row r="3573">
      <c r="A3573" t="inlineStr">
        <is>
          <t>101763</t>
        </is>
      </c>
      <c r="B3573" t="inlineStr">
        <is>
          <t>MUNICIPIO DE LAGOA DO BARRO DO PIAU</t>
        </is>
      </c>
      <c r="C3573" t="n">
        <v>2111000000</v>
      </c>
      <c r="D3573" t="inlineStr">
        <is>
          <t>Taxes Payable</t>
        </is>
      </c>
      <c r="E3573" t="n">
        <v>200018485</v>
      </c>
      <c r="F3573" t="inlineStr">
        <is>
          <t>1134</t>
        </is>
      </c>
      <c r="G3573" t="inlineStr">
        <is>
          <t>UE</t>
        </is>
      </c>
      <c r="H3573" s="12" t="n">
        <v>-3072.87</v>
      </c>
      <c r="I3573" s="17" t="n">
        <v>44347</v>
      </c>
      <c r="J3573" s="17" t="n">
        <v>44347</v>
      </c>
      <c r="K3573" t="inlineStr">
        <is>
          <t>4302</t>
        </is>
      </c>
    </row>
    <row r="3574">
      <c r="A3574" t="inlineStr">
        <is>
          <t>101763</t>
        </is>
      </c>
      <c r="B3574" t="inlineStr">
        <is>
          <t>MUNICIPIO DE LAGOA DO BARRO DO PIAU</t>
        </is>
      </c>
      <c r="C3574" t="n">
        <v>2111000000</v>
      </c>
      <c r="D3574" t="inlineStr">
        <is>
          <t>Taxes Payable</t>
        </is>
      </c>
      <c r="E3574" t="n">
        <v>200018496</v>
      </c>
      <c r="F3574" t="inlineStr">
        <is>
          <t>1135</t>
        </is>
      </c>
      <c r="G3574" t="inlineStr">
        <is>
          <t>UE</t>
        </is>
      </c>
      <c r="H3574" s="12" t="n">
        <v>-1843.72</v>
      </c>
      <c r="I3574" s="17" t="n">
        <v>44347</v>
      </c>
      <c r="J3574" s="17" t="n">
        <v>44347</v>
      </c>
      <c r="K3574" t="inlineStr">
        <is>
          <t>4702</t>
        </is>
      </c>
    </row>
    <row r="3575">
      <c r="A3575" t="inlineStr">
        <is>
          <t>101763</t>
        </is>
      </c>
      <c r="B3575" t="inlineStr">
        <is>
          <t>MUNICIPIO DE LAGOA DO BARRO DO PIAU</t>
        </is>
      </c>
      <c r="C3575" t="n">
        <v>2111000000</v>
      </c>
      <c r="D3575" t="inlineStr">
        <is>
          <t>Taxes Payable</t>
        </is>
      </c>
      <c r="E3575" t="n">
        <v>200018507</v>
      </c>
      <c r="F3575" t="inlineStr">
        <is>
          <t>1136</t>
        </is>
      </c>
      <c r="G3575" t="inlineStr">
        <is>
          <t>UE</t>
        </is>
      </c>
      <c r="H3575" s="12" t="n">
        <v>-1229.15</v>
      </c>
      <c r="I3575" s="17" t="n">
        <v>44347</v>
      </c>
      <c r="J3575" s="17" t="n">
        <v>44347</v>
      </c>
      <c r="K3575" t="inlineStr">
        <is>
          <t>4802</t>
        </is>
      </c>
    </row>
    <row r="3576">
      <c r="A3576" t="inlineStr">
        <is>
          <t>100956</t>
        </is>
      </c>
      <c r="B3576" t="inlineStr">
        <is>
          <t>BREMER LLOYD BRAZIL LOGISTICS LTDA</t>
        </is>
      </c>
      <c r="C3576" t="n">
        <v>2111000000</v>
      </c>
      <c r="D3576" t="inlineStr">
        <is>
          <t>Customs Brokerage – Overall</t>
        </is>
      </c>
      <c r="E3576" t="n">
        <v>200033368</v>
      </c>
      <c r="F3576" t="inlineStr">
        <is>
          <t>22240</t>
        </is>
      </c>
      <c r="G3576" t="inlineStr">
        <is>
          <t>UE</t>
        </is>
      </c>
      <c r="H3576" s="12" t="n">
        <v>-11652.3</v>
      </c>
      <c r="I3576" s="17" t="n">
        <v>44635</v>
      </c>
      <c r="J3576" s="17" t="n">
        <v>44635</v>
      </c>
      <c r="K3576" t="inlineStr">
        <is>
          <t>00004800</t>
        </is>
      </c>
    </row>
    <row r="3577">
      <c r="A3577" t="inlineStr">
        <is>
          <t>100956</t>
        </is>
      </c>
      <c r="B3577" t="inlineStr">
        <is>
          <t>BREMER LLOYD BRAZIL LOGISTICS LTDA</t>
        </is>
      </c>
      <c r="C3577" t="n">
        <v>2111000000</v>
      </c>
      <c r="D3577" t="inlineStr">
        <is>
          <t>Customs Brokerage – Overall</t>
        </is>
      </c>
      <c r="E3577" t="n">
        <v>200033369</v>
      </c>
      <c r="F3577" t="inlineStr">
        <is>
          <t>22241</t>
        </is>
      </c>
      <c r="G3577" t="inlineStr">
        <is>
          <t>UE</t>
        </is>
      </c>
      <c r="H3577" s="12" t="n">
        <v>-10338.24</v>
      </c>
      <c r="I3577" s="17" t="n">
        <v>44641</v>
      </c>
      <c r="J3577" s="17" t="n">
        <v>44641</v>
      </c>
      <c r="K3577" t="inlineStr">
        <is>
          <t>00005000</t>
        </is>
      </c>
    </row>
    <row r="3578">
      <c r="A3578" t="inlineStr">
        <is>
          <t>100956</t>
        </is>
      </c>
      <c r="B3578" t="inlineStr">
        <is>
          <t>BREMER LLOYD BRAZIL LOGISTICS LTDA</t>
        </is>
      </c>
      <c r="C3578" t="n">
        <v>2111000000</v>
      </c>
      <c r="D3578" t="inlineStr">
        <is>
          <t>Customs Brokerage – Overall</t>
        </is>
      </c>
      <c r="E3578" t="n">
        <v>200033370</v>
      </c>
      <c r="F3578" t="inlineStr">
        <is>
          <t>22242</t>
        </is>
      </c>
      <c r="G3578" t="inlineStr">
        <is>
          <t>UE</t>
        </is>
      </c>
      <c r="H3578" s="12" t="n">
        <v>-13568.94</v>
      </c>
      <c r="I3578" s="17" t="n">
        <v>44641</v>
      </c>
      <c r="J3578" s="17" t="n">
        <v>44641</v>
      </c>
      <c r="K3578" t="inlineStr">
        <is>
          <t>00005100</t>
        </is>
      </c>
    </row>
    <row r="3579">
      <c r="A3579" t="inlineStr">
        <is>
          <t>100566</t>
        </is>
      </c>
      <c r="B3579" t="inlineStr">
        <is>
          <t>BRASIL TERMINAL PORTUARIO S.A.</t>
        </is>
      </c>
      <c r="C3579" t="n">
        <v>2111000000</v>
      </c>
      <c r="D3579" t="inlineStr">
        <is>
          <t>Customs Brokerage – Overall</t>
        </is>
      </c>
      <c r="E3579" t="n">
        <v>200033446</v>
      </c>
      <c r="F3579" t="inlineStr">
        <is>
          <t>22318</t>
        </is>
      </c>
      <c r="G3579" t="inlineStr">
        <is>
          <t>UE</t>
        </is>
      </c>
      <c r="H3579" s="12" t="n">
        <v>-293.39</v>
      </c>
      <c r="I3579" s="17" t="n">
        <v>44771</v>
      </c>
      <c r="J3579" s="17" t="n">
        <v>44771</v>
      </c>
      <c r="K3579" t="inlineStr">
        <is>
          <t>05580200</t>
        </is>
      </c>
    </row>
    <row r="3580">
      <c r="A3580" t="inlineStr">
        <is>
          <t>100566</t>
        </is>
      </c>
      <c r="B3580" t="inlineStr">
        <is>
          <t>BRASIL TERMINAL PORTUARIO S.A.</t>
        </is>
      </c>
      <c r="C3580" t="n">
        <v>2111000000</v>
      </c>
      <c r="D3580" t="inlineStr">
        <is>
          <t>Customs Brokerage – Overall</t>
        </is>
      </c>
      <c r="E3580" t="n">
        <v>200033447</v>
      </c>
      <c r="F3580" t="inlineStr">
        <is>
          <t>22319</t>
        </is>
      </c>
      <c r="G3580" t="inlineStr">
        <is>
          <t>UE</t>
        </is>
      </c>
      <c r="H3580" s="12" t="n">
        <v>-244.27</v>
      </c>
      <c r="I3580" s="17" t="n">
        <v>44770</v>
      </c>
      <c r="J3580" s="17" t="n">
        <v>44770</v>
      </c>
      <c r="K3580" t="inlineStr">
        <is>
          <t>05471900</t>
        </is>
      </c>
    </row>
    <row r="3581">
      <c r="A3581" t="inlineStr">
        <is>
          <t>100566</t>
        </is>
      </c>
      <c r="B3581" t="inlineStr">
        <is>
          <t>BRASIL TERMINAL PORTUARIO S.A.</t>
        </is>
      </c>
      <c r="C3581" t="n">
        <v>2111000000</v>
      </c>
      <c r="D3581" t="inlineStr">
        <is>
          <t>Customs Brokerage – Overall</t>
        </is>
      </c>
      <c r="E3581" t="n">
        <v>200033448</v>
      </c>
      <c r="F3581" t="inlineStr">
        <is>
          <t>22320</t>
        </is>
      </c>
      <c r="G3581" t="inlineStr">
        <is>
          <t>UE</t>
        </is>
      </c>
      <c r="H3581" s="12" t="n">
        <v>-55.98</v>
      </c>
      <c r="I3581" s="17" t="n">
        <v>44770</v>
      </c>
      <c r="J3581" s="17" t="n">
        <v>44770</v>
      </c>
      <c r="K3581" t="inlineStr">
        <is>
          <t>05472900</t>
        </is>
      </c>
    </row>
    <row r="3582">
      <c r="A3582" t="inlineStr">
        <is>
          <t>100566</t>
        </is>
      </c>
      <c r="B3582" t="inlineStr">
        <is>
          <t>BRASIL TERMINAL PORTUARIO S.A.</t>
        </is>
      </c>
      <c r="C3582" t="n">
        <v>2111000000</v>
      </c>
      <c r="D3582" t="inlineStr">
        <is>
          <t>Customs Brokerage – Overall</t>
        </is>
      </c>
      <c r="E3582" t="n">
        <v>200033449</v>
      </c>
      <c r="F3582" t="inlineStr">
        <is>
          <t>22321</t>
        </is>
      </c>
      <c r="G3582" t="inlineStr">
        <is>
          <t>UE</t>
        </is>
      </c>
      <c r="H3582" s="12" t="n">
        <v>-55.98</v>
      </c>
      <c r="I3582" s="17" t="n">
        <v>44771</v>
      </c>
      <c r="J3582" s="17" t="n">
        <v>44771</v>
      </c>
      <c r="K3582" t="inlineStr">
        <is>
          <t>05525000</t>
        </is>
      </c>
    </row>
    <row r="3583">
      <c r="A3583" t="inlineStr">
        <is>
          <t>100566</t>
        </is>
      </c>
      <c r="B3583" t="inlineStr">
        <is>
          <t>BRASIL TERMINAL PORTUARIO S.A.</t>
        </is>
      </c>
      <c r="C3583" t="n">
        <v>2111000000</v>
      </c>
      <c r="D3583" t="inlineStr">
        <is>
          <t>Customs Brokerage – Overall</t>
        </is>
      </c>
      <c r="E3583" t="n">
        <v>200033450</v>
      </c>
      <c r="F3583" t="inlineStr">
        <is>
          <t>22322</t>
        </is>
      </c>
      <c r="G3583" t="inlineStr">
        <is>
          <t>UE</t>
        </is>
      </c>
      <c r="H3583" s="12" t="n">
        <v>-244.27</v>
      </c>
      <c r="I3583" s="17" t="n">
        <v>44771</v>
      </c>
      <c r="J3583" s="17" t="n">
        <v>44771</v>
      </c>
      <c r="K3583" t="inlineStr">
        <is>
          <t>05547400</t>
        </is>
      </c>
    </row>
    <row r="3584">
      <c r="A3584" t="inlineStr">
        <is>
          <t>100631</t>
        </is>
      </c>
      <c r="B3584" t="inlineStr">
        <is>
          <t>BRANDAO FILHOS FORTSHIP AGENCIA MAR 11826476000100</t>
        </is>
      </c>
      <c r="C3584" t="n">
        <v>2111000000</v>
      </c>
      <c r="D3584" t="inlineStr">
        <is>
          <t>Customs Brokerage – Overall</t>
        </is>
      </c>
      <c r="E3584" t="n">
        <v>200033475</v>
      </c>
      <c r="F3584" t="inlineStr">
        <is>
          <t>22347</t>
        </is>
      </c>
      <c r="G3584" t="inlineStr">
        <is>
          <t>UE</t>
        </is>
      </c>
      <c r="H3584" s="12" t="n">
        <v>-230610.87</v>
      </c>
      <c r="I3584" s="17" t="n">
        <v>44893</v>
      </c>
      <c r="J3584" s="17" t="n">
        <v>44893</v>
      </c>
      <c r="K3584" t="inlineStr">
        <is>
          <t>00206400</t>
        </is>
      </c>
    </row>
    <row r="3585">
      <c r="A3585" t="inlineStr">
        <is>
          <t>100631</t>
        </is>
      </c>
      <c r="B3585" t="inlineStr">
        <is>
          <t>BRANDAO FILHOS FORTSHIP AGENCIA MAR 11826476000100</t>
        </is>
      </c>
      <c r="C3585" t="n">
        <v>2111000000</v>
      </c>
      <c r="D3585" t="inlineStr">
        <is>
          <t>Customs Brokerage – Overall</t>
        </is>
      </c>
      <c r="E3585" t="n">
        <v>200033476</v>
      </c>
      <c r="F3585" t="inlineStr">
        <is>
          <t>22348</t>
        </is>
      </c>
      <c r="G3585" t="inlineStr">
        <is>
          <t>UE</t>
        </is>
      </c>
      <c r="H3585" s="12" t="n">
        <v>-545105.26</v>
      </c>
      <c r="I3585" s="17" t="n">
        <v>44804</v>
      </c>
      <c r="J3585" s="17" t="n">
        <v>44804</v>
      </c>
      <c r="K3585" t="inlineStr">
        <is>
          <t>00200700</t>
        </is>
      </c>
    </row>
    <row r="3586">
      <c r="A3586" t="inlineStr">
        <is>
          <t>100385</t>
        </is>
      </c>
      <c r="B3586" t="inlineStr">
        <is>
          <t>ZIRAN SALVADOR TRANSPORTES LTDA</t>
        </is>
      </c>
      <c r="C3586" t="n">
        <v>2111000000</v>
      </c>
      <c r="D3586" t="inlineStr">
        <is>
          <t>Other Suppliers</t>
        </is>
      </c>
      <c r="E3586" t="n">
        <v>200033565</v>
      </c>
      <c r="F3586" t="inlineStr">
        <is>
          <t>22437</t>
        </is>
      </c>
      <c r="G3586" t="inlineStr">
        <is>
          <t>UE</t>
        </is>
      </c>
      <c r="H3586" s="12" t="n">
        <v>-165.3</v>
      </c>
      <c r="I3586" s="17" t="n">
        <v>44617</v>
      </c>
      <c r="J3586" s="17" t="n">
        <v>44617</v>
      </c>
      <c r="K3586" t="inlineStr">
        <is>
          <t>00190200</t>
        </is>
      </c>
    </row>
    <row r="3587">
      <c r="A3587" t="inlineStr">
        <is>
          <t>100385</t>
        </is>
      </c>
      <c r="B3587" t="inlineStr">
        <is>
          <t>ZIRAN SALVADOR TRANSPORTES LTDA</t>
        </is>
      </c>
      <c r="C3587" t="n">
        <v>2111000000</v>
      </c>
      <c r="D3587" t="inlineStr">
        <is>
          <t>Other Suppliers</t>
        </is>
      </c>
      <c r="E3587" t="n">
        <v>200033566</v>
      </c>
      <c r="F3587" t="inlineStr">
        <is>
          <t>22438</t>
        </is>
      </c>
      <c r="G3587" t="inlineStr">
        <is>
          <t>UE</t>
        </is>
      </c>
      <c r="H3587" s="12" t="n">
        <v>-165.3</v>
      </c>
      <c r="I3587" s="17" t="n">
        <v>44617</v>
      </c>
      <c r="J3587" s="17" t="n">
        <v>44617</v>
      </c>
      <c r="K3587" t="inlineStr">
        <is>
          <t>00192600</t>
        </is>
      </c>
    </row>
    <row r="3588">
      <c r="A3588" t="inlineStr">
        <is>
          <t>100469</t>
        </is>
      </c>
      <c r="B3588" t="inlineStr">
        <is>
          <t>NELSON HEUSI LOGISTICA E ARMAZENS G</t>
        </is>
      </c>
      <c r="C3588" t="n">
        <v>2111000000</v>
      </c>
      <c r="D3588" t="inlineStr">
        <is>
          <t>Customs Brokerage – Overall</t>
        </is>
      </c>
      <c r="E3588" t="n">
        <v>200033640</v>
      </c>
      <c r="F3588" t="inlineStr">
        <is>
          <t>22512</t>
        </is>
      </c>
      <c r="G3588" t="inlineStr">
        <is>
          <t>UE</t>
        </is>
      </c>
      <c r="H3588" s="12" t="n">
        <v>-1092.07</v>
      </c>
      <c r="I3588" s="17" t="n">
        <v>44789</v>
      </c>
      <c r="J3588" s="17" t="n">
        <v>44789</v>
      </c>
      <c r="K3588" t="inlineStr">
        <is>
          <t>08849800</t>
        </is>
      </c>
    </row>
    <row r="3589">
      <c r="A3589" t="inlineStr">
        <is>
          <t>100028</t>
        </is>
      </c>
      <c r="B3589" t="inlineStr">
        <is>
          <t>SUPPLOG PORTO SECO DE IPOJUCA LTDA</t>
        </is>
      </c>
      <c r="C3589" t="n">
        <v>2111000000</v>
      </c>
      <c r="D3589" t="inlineStr">
        <is>
          <t>Customs Brokerage – Overall</t>
        </is>
      </c>
      <c r="E3589" t="n">
        <v>200033671</v>
      </c>
      <c r="F3589" t="inlineStr">
        <is>
          <t>22543</t>
        </is>
      </c>
      <c r="G3589" t="inlineStr">
        <is>
          <t>UE</t>
        </is>
      </c>
      <c r="H3589" s="12" t="n">
        <v>-10806.5</v>
      </c>
      <c r="I3589" s="17" t="n">
        <v>44741</v>
      </c>
      <c r="J3589" s="17" t="n">
        <v>44741</v>
      </c>
      <c r="K3589" t="inlineStr">
        <is>
          <t>02230500</t>
        </is>
      </c>
    </row>
    <row r="3590">
      <c r="A3590" t="inlineStr">
        <is>
          <t>100036</t>
        </is>
      </c>
      <c r="B3590" t="inlineStr">
        <is>
          <t>EMBRAPORT EMPRESA BRASILEIRA DE TER</t>
        </is>
      </c>
      <c r="C3590" t="n">
        <v>2111000000</v>
      </c>
      <c r="D3590" t="inlineStr">
        <is>
          <t>Customs Brokerage – Overall</t>
        </is>
      </c>
      <c r="E3590" t="n">
        <v>200033672</v>
      </c>
      <c r="F3590" t="inlineStr">
        <is>
          <t>22544</t>
        </is>
      </c>
      <c r="G3590" t="inlineStr">
        <is>
          <t>UE</t>
        </is>
      </c>
      <c r="H3590" s="12" t="n">
        <v>-167805.96</v>
      </c>
      <c r="I3590" s="17" t="n">
        <v>44698</v>
      </c>
      <c r="J3590" s="17" t="n">
        <v>44698</v>
      </c>
      <c r="K3590" t="inlineStr">
        <is>
          <t>39208000</t>
        </is>
      </c>
    </row>
    <row r="3591">
      <c r="A3591" t="inlineStr">
        <is>
          <t>100036</t>
        </is>
      </c>
      <c r="B3591" t="inlineStr">
        <is>
          <t>EMBRAPORT EMPRESA BRASILEIRA DE TER</t>
        </is>
      </c>
      <c r="C3591" t="n">
        <v>2111000000</v>
      </c>
      <c r="D3591" t="inlineStr">
        <is>
          <t>Customs Brokerage – Overall</t>
        </is>
      </c>
      <c r="E3591" t="n">
        <v>200033673</v>
      </c>
      <c r="F3591" t="inlineStr">
        <is>
          <t>22545</t>
        </is>
      </c>
      <c r="G3591" t="inlineStr">
        <is>
          <t>UE</t>
        </is>
      </c>
      <c r="H3591" s="12" t="n">
        <v>-59063.6</v>
      </c>
      <c r="I3591" s="17" t="n">
        <v>44701</v>
      </c>
      <c r="J3591" s="17" t="n">
        <v>44701</v>
      </c>
      <c r="K3591" t="inlineStr">
        <is>
          <t>39273100</t>
        </is>
      </c>
    </row>
    <row r="3592">
      <c r="A3592" t="inlineStr">
        <is>
          <t>100036</t>
        </is>
      </c>
      <c r="B3592" t="inlineStr">
        <is>
          <t>EMBRAPORT EMPRESA BRASILEIRA DE TER</t>
        </is>
      </c>
      <c r="C3592" t="n">
        <v>2111000000</v>
      </c>
      <c r="D3592" t="inlineStr">
        <is>
          <t>Customs Brokerage – Overall</t>
        </is>
      </c>
      <c r="E3592" t="n">
        <v>200033674</v>
      </c>
      <c r="F3592" t="inlineStr">
        <is>
          <t>22546</t>
        </is>
      </c>
      <c r="G3592" t="inlineStr">
        <is>
          <t>UE</t>
        </is>
      </c>
      <c r="H3592" s="12" t="n">
        <v>-13353.5</v>
      </c>
      <c r="I3592" s="17" t="n">
        <v>44701</v>
      </c>
      <c r="J3592" s="17" t="n">
        <v>44701</v>
      </c>
      <c r="K3592" t="inlineStr">
        <is>
          <t>39273200</t>
        </is>
      </c>
    </row>
    <row r="3593">
      <c r="A3593" t="inlineStr">
        <is>
          <t>100152</t>
        </is>
      </c>
      <c r="B3593" t="inlineStr">
        <is>
          <t>CONQUER HOLDING EDUCACIONAL SA</t>
        </is>
      </c>
      <c r="C3593" t="n">
        <v>2111000000</v>
      </c>
      <c r="D3593" t="inlineStr">
        <is>
          <t>Other Suppliers</t>
        </is>
      </c>
      <c r="E3593" t="n">
        <v>200033697</v>
      </c>
      <c r="F3593" t="inlineStr">
        <is>
          <t>22569</t>
        </is>
      </c>
      <c r="G3593" t="inlineStr">
        <is>
          <t>UE</t>
        </is>
      </c>
      <c r="H3593" s="12" t="n">
        <v>-10692.01</v>
      </c>
      <c r="I3593" s="17" t="n">
        <v>45128</v>
      </c>
      <c r="J3593" s="17" t="n">
        <v>45128</v>
      </c>
      <c r="K3593" t="inlineStr">
        <is>
          <t>38688800</t>
        </is>
      </c>
    </row>
    <row r="3594">
      <c r="A3594" t="inlineStr">
        <is>
          <t>101689</t>
        </is>
      </c>
      <c r="B3594" t="inlineStr">
        <is>
          <t>UNILINK TRANSPORTES INTEGRADOS LTDA</t>
        </is>
      </c>
      <c r="C3594" t="n">
        <v>2111000000</v>
      </c>
      <c r="D3594" t="inlineStr">
        <is>
          <t>Other Suppliers</t>
        </is>
      </c>
      <c r="E3594" t="n">
        <v>200034780</v>
      </c>
      <c r="F3594" t="inlineStr">
        <is>
          <t>21126</t>
        </is>
      </c>
      <c r="G3594" t="inlineStr">
        <is>
          <t>UE</t>
        </is>
      </c>
      <c r="H3594" s="12" t="n">
        <v>-55000</v>
      </c>
      <c r="I3594" s="17" t="n">
        <v>44582</v>
      </c>
      <c r="J3594" s="17" t="n">
        <v>44582</v>
      </c>
      <c r="K3594" t="inlineStr">
        <is>
          <t>00199300</t>
        </is>
      </c>
    </row>
    <row r="3595">
      <c r="A3595" t="inlineStr">
        <is>
          <t>101713</t>
        </is>
      </c>
      <c r="B3595" t="inlineStr">
        <is>
          <t>COPLAS INDUSTRIA DE PLASTICOS LTDA</t>
        </is>
      </c>
      <c r="C3595" t="n">
        <v>2111000000</v>
      </c>
      <c r="D3595" t="inlineStr">
        <is>
          <t>Other Suppliers</t>
        </is>
      </c>
      <c r="E3595" t="n">
        <v>200034788</v>
      </c>
      <c r="F3595" t="inlineStr">
        <is>
          <t>21134</t>
        </is>
      </c>
      <c r="G3595" t="inlineStr">
        <is>
          <t>UE</t>
        </is>
      </c>
      <c r="H3595" s="12" t="n">
        <v>-135789.69</v>
      </c>
      <c r="I3595" s="17" t="n">
        <v>44377</v>
      </c>
      <c r="J3595" s="17" t="n">
        <v>44377</v>
      </c>
      <c r="K3595" t="inlineStr">
        <is>
          <t>000134719001</t>
        </is>
      </c>
    </row>
    <row r="3596">
      <c r="A3596" t="inlineStr">
        <is>
          <t>101755</t>
        </is>
      </c>
      <c r="B3596" t="inlineStr">
        <is>
          <t>NEW SMART LOG TRANSP INTERNAC LTDA</t>
        </is>
      </c>
      <c r="C3596" t="n">
        <v>2111000000</v>
      </c>
      <c r="D3596" t="inlineStr">
        <is>
          <t>Customs Brokerage – Overall</t>
        </is>
      </c>
      <c r="E3596" t="n">
        <v>200034811</v>
      </c>
      <c r="F3596" t="inlineStr">
        <is>
          <t>21157</t>
        </is>
      </c>
      <c r="G3596" t="inlineStr">
        <is>
          <t>UE</t>
        </is>
      </c>
      <c r="H3596" s="12" t="n">
        <v>-738.97</v>
      </c>
      <c r="I3596" s="17" t="n">
        <v>42893</v>
      </c>
      <c r="J3596" s="17" t="n">
        <v>42893</v>
      </c>
      <c r="K3596" t="inlineStr">
        <is>
          <t>001833A1</t>
        </is>
      </c>
    </row>
    <row r="3597">
      <c r="A3597" t="inlineStr">
        <is>
          <t>101755</t>
        </is>
      </c>
      <c r="B3597" t="inlineStr">
        <is>
          <t>NEW SMART LOG TRANSP INTERNAC LTDA</t>
        </is>
      </c>
      <c r="C3597" t="n">
        <v>2111000000</v>
      </c>
      <c r="D3597" t="inlineStr">
        <is>
          <t>Customs Brokerage – Overall</t>
        </is>
      </c>
      <c r="E3597" t="n">
        <v>200034812</v>
      </c>
      <c r="F3597" t="inlineStr">
        <is>
          <t>21158</t>
        </is>
      </c>
      <c r="G3597" t="inlineStr">
        <is>
          <t>UE</t>
        </is>
      </c>
      <c r="H3597" s="12" t="n">
        <v>-783.1799999999999</v>
      </c>
      <c r="I3597" s="17" t="n">
        <v>43061</v>
      </c>
      <c r="J3597" s="17" t="n">
        <v>43061</v>
      </c>
      <c r="K3597" t="inlineStr">
        <is>
          <t>002255A1</t>
        </is>
      </c>
    </row>
    <row r="3598">
      <c r="A3598" t="inlineStr">
        <is>
          <t>101755</t>
        </is>
      </c>
      <c r="B3598" t="inlineStr">
        <is>
          <t>NEW SMART LOG TRANSP INTERNAC LTDA</t>
        </is>
      </c>
      <c r="C3598" t="n">
        <v>2111000000</v>
      </c>
      <c r="D3598" t="inlineStr">
        <is>
          <t>Customs Brokerage – Overall</t>
        </is>
      </c>
      <c r="E3598" t="n">
        <v>200034813</v>
      </c>
      <c r="F3598" t="inlineStr">
        <is>
          <t>21159</t>
        </is>
      </c>
      <c r="G3598" t="inlineStr">
        <is>
          <t>UE</t>
        </is>
      </c>
      <c r="H3598" s="12" t="n">
        <v>-1080.18</v>
      </c>
      <c r="I3598" s="17" t="n">
        <v>43290</v>
      </c>
      <c r="J3598" s="17" t="n">
        <v>43290</v>
      </c>
      <c r="K3598" t="inlineStr">
        <is>
          <t>00272300</t>
        </is>
      </c>
    </row>
    <row r="3599">
      <c r="A3599" t="inlineStr">
        <is>
          <t>101755</t>
        </is>
      </c>
      <c r="B3599" t="inlineStr">
        <is>
          <t>NEW SMART LOG TRANSP INTERNAC LTDA</t>
        </is>
      </c>
      <c r="C3599" t="n">
        <v>2111000000</v>
      </c>
      <c r="D3599" t="inlineStr">
        <is>
          <t>Customs Brokerage – Overall</t>
        </is>
      </c>
      <c r="E3599" t="n">
        <v>200034814</v>
      </c>
      <c r="F3599" t="inlineStr">
        <is>
          <t>21160</t>
        </is>
      </c>
      <c r="G3599" t="inlineStr">
        <is>
          <t>UE</t>
        </is>
      </c>
      <c r="H3599" s="12" t="n">
        <v>-703.15</v>
      </c>
      <c r="I3599" s="17" t="n">
        <v>42893</v>
      </c>
      <c r="J3599" s="17" t="n">
        <v>42893</v>
      </c>
      <c r="K3599" t="inlineStr">
        <is>
          <t>00182900</t>
        </is>
      </c>
    </row>
    <row r="3600">
      <c r="A3600" t="inlineStr">
        <is>
          <t>101755</t>
        </is>
      </c>
      <c r="B3600" t="inlineStr">
        <is>
          <t>NEW SMART LOG TRANSP INTERNAC LTDA</t>
        </is>
      </c>
      <c r="C3600" t="n">
        <v>2111000000</v>
      </c>
      <c r="D3600" t="inlineStr">
        <is>
          <t>Customs Brokerage – Overall</t>
        </is>
      </c>
      <c r="E3600" t="n">
        <v>200034815</v>
      </c>
      <c r="F3600" t="inlineStr">
        <is>
          <t>21161</t>
        </is>
      </c>
      <c r="G3600" t="inlineStr">
        <is>
          <t>UE</t>
        </is>
      </c>
      <c r="H3600" s="12" t="n">
        <v>-1029.3</v>
      </c>
      <c r="I3600" s="17" t="n">
        <v>43775</v>
      </c>
      <c r="J3600" s="17" t="n">
        <v>43775</v>
      </c>
      <c r="K3600" t="inlineStr">
        <is>
          <t>00471900</t>
        </is>
      </c>
    </row>
    <row r="3601">
      <c r="A3601" t="inlineStr">
        <is>
          <t>101755</t>
        </is>
      </c>
      <c r="B3601" t="inlineStr">
        <is>
          <t>NEW SMART LOG TRANSP INTERNAC LTDA</t>
        </is>
      </c>
      <c r="C3601" t="n">
        <v>2111000000</v>
      </c>
      <c r="D3601" t="inlineStr">
        <is>
          <t>Customs Brokerage – Overall</t>
        </is>
      </c>
      <c r="E3601" t="n">
        <v>200034816</v>
      </c>
      <c r="F3601" t="inlineStr">
        <is>
          <t>21162</t>
        </is>
      </c>
      <c r="G3601" t="inlineStr">
        <is>
          <t>UE</t>
        </is>
      </c>
      <c r="H3601" s="12" t="n">
        <v>-738.97</v>
      </c>
      <c r="I3601" s="17" t="n">
        <v>42893</v>
      </c>
      <c r="J3601" s="17" t="n">
        <v>42893</v>
      </c>
      <c r="K3601" t="inlineStr">
        <is>
          <t>00183300</t>
        </is>
      </c>
    </row>
    <row r="3602">
      <c r="A3602" t="inlineStr">
        <is>
          <t>101755</t>
        </is>
      </c>
      <c r="B3602" t="inlineStr">
        <is>
          <t>NEW SMART LOG TRANSP INTERNAC LTDA</t>
        </is>
      </c>
      <c r="C3602" t="n">
        <v>2111000000</v>
      </c>
      <c r="D3602" t="inlineStr">
        <is>
          <t>Customs Brokerage – Overall</t>
        </is>
      </c>
      <c r="E3602" t="n">
        <v>200034817</v>
      </c>
      <c r="F3602" t="inlineStr">
        <is>
          <t>21163</t>
        </is>
      </c>
      <c r="G3602" t="inlineStr">
        <is>
          <t>UE</t>
        </is>
      </c>
      <c r="H3602" s="12" t="n">
        <v>-1015.57</v>
      </c>
      <c r="I3602" s="17" t="n">
        <v>43846</v>
      </c>
      <c r="J3602" s="17" t="n">
        <v>43846</v>
      </c>
      <c r="K3602" t="inlineStr">
        <is>
          <t>00497300</t>
        </is>
      </c>
    </row>
    <row r="3603">
      <c r="A3603" t="inlineStr">
        <is>
          <t>101755</t>
        </is>
      </c>
      <c r="B3603" t="inlineStr">
        <is>
          <t>NEW SMART LOG TRANSP INTERNAC LTDA</t>
        </is>
      </c>
      <c r="C3603" t="n">
        <v>2111000000</v>
      </c>
      <c r="D3603" t="inlineStr">
        <is>
          <t>Customs Brokerage – Overall</t>
        </is>
      </c>
      <c r="E3603" t="n">
        <v>200034818</v>
      </c>
      <c r="F3603" t="inlineStr">
        <is>
          <t>21164</t>
        </is>
      </c>
      <c r="G3603" t="inlineStr">
        <is>
          <t>UE</t>
        </is>
      </c>
      <c r="H3603" s="12" t="n">
        <v>-1015.57</v>
      </c>
      <c r="I3603" s="17" t="n">
        <v>43846</v>
      </c>
      <c r="J3603" s="17" t="n">
        <v>43846</v>
      </c>
      <c r="K3603" t="inlineStr">
        <is>
          <t>00497600</t>
        </is>
      </c>
    </row>
    <row r="3604">
      <c r="A3604" t="inlineStr">
        <is>
          <t>101755</t>
        </is>
      </c>
      <c r="B3604" t="inlineStr">
        <is>
          <t>NEW SMART LOG TRANSP INTERNAC LTDA</t>
        </is>
      </c>
      <c r="C3604" t="n">
        <v>2111000000</v>
      </c>
      <c r="D3604" t="inlineStr">
        <is>
          <t>Customs Brokerage – Overall</t>
        </is>
      </c>
      <c r="E3604" t="n">
        <v>200034819</v>
      </c>
      <c r="F3604" t="inlineStr">
        <is>
          <t>21165</t>
        </is>
      </c>
      <c r="G3604" t="inlineStr">
        <is>
          <t>UE</t>
        </is>
      </c>
      <c r="H3604" s="12" t="n">
        <v>-1015.57</v>
      </c>
      <c r="I3604" s="17" t="n">
        <v>43846</v>
      </c>
      <c r="J3604" s="17" t="n">
        <v>43846</v>
      </c>
      <c r="K3604" t="inlineStr">
        <is>
          <t>00497400</t>
        </is>
      </c>
    </row>
    <row r="3605">
      <c r="A3605" t="inlineStr">
        <is>
          <t>101755</t>
        </is>
      </c>
      <c r="B3605" t="inlineStr">
        <is>
          <t>NEW SMART LOG TRANSP INTERNAC LTDA</t>
        </is>
      </c>
      <c r="C3605" t="n">
        <v>2111000000</v>
      </c>
      <c r="D3605" t="inlineStr">
        <is>
          <t>Customs Brokerage – Overall</t>
        </is>
      </c>
      <c r="E3605" t="n">
        <v>200034820</v>
      </c>
      <c r="F3605" t="inlineStr">
        <is>
          <t>21166</t>
        </is>
      </c>
      <c r="G3605" t="inlineStr">
        <is>
          <t>UE</t>
        </is>
      </c>
      <c r="H3605" s="12" t="n">
        <v>-1015.57</v>
      </c>
      <c r="I3605" s="17" t="n">
        <v>43846</v>
      </c>
      <c r="J3605" s="17" t="n">
        <v>43846</v>
      </c>
      <c r="K3605" t="inlineStr">
        <is>
          <t>00497500</t>
        </is>
      </c>
    </row>
    <row r="3606">
      <c r="A3606" t="inlineStr">
        <is>
          <t>101289</t>
        </is>
      </c>
      <c r="B3606" t="inlineStr">
        <is>
          <t>DHUAN COMISSARIA DE DESP ADUAN LTDA</t>
        </is>
      </c>
      <c r="C3606" t="n">
        <v>2111000000</v>
      </c>
      <c r="D3606" t="inlineStr">
        <is>
          <t>Customs Brokerage – Overall</t>
        </is>
      </c>
      <c r="E3606" t="n">
        <v>200034867</v>
      </c>
      <c r="F3606" t="inlineStr">
        <is>
          <t>21213</t>
        </is>
      </c>
      <c r="G3606" t="inlineStr">
        <is>
          <t>UE</t>
        </is>
      </c>
      <c r="H3606" s="12" t="n">
        <v>-21162.75</v>
      </c>
      <c r="I3606" s="17" t="n">
        <v>43370</v>
      </c>
      <c r="J3606" s="17" t="n">
        <v>43370</v>
      </c>
      <c r="K3606" t="inlineStr">
        <is>
          <t>00038800</t>
        </is>
      </c>
    </row>
    <row r="3607">
      <c r="A3607" t="inlineStr">
        <is>
          <t>101289</t>
        </is>
      </c>
      <c r="B3607" t="inlineStr">
        <is>
          <t>DHUAN COMISSARIA DE DESP ADUAN LTDA</t>
        </is>
      </c>
      <c r="C3607" t="n">
        <v>2111000000</v>
      </c>
      <c r="D3607" t="inlineStr">
        <is>
          <t>Customs Brokerage – Overall</t>
        </is>
      </c>
      <c r="E3607" t="n">
        <v>200034868</v>
      </c>
      <c r="F3607" t="inlineStr">
        <is>
          <t>21214</t>
        </is>
      </c>
      <c r="G3607" t="inlineStr">
        <is>
          <t>UE</t>
        </is>
      </c>
      <c r="H3607" s="12" t="n">
        <v>-494.4</v>
      </c>
      <c r="I3607" s="17" t="n">
        <v>43334</v>
      </c>
      <c r="J3607" s="17" t="n">
        <v>43334</v>
      </c>
      <c r="K3607" t="inlineStr">
        <is>
          <t>03480900</t>
        </is>
      </c>
    </row>
    <row r="3608">
      <c r="A3608" t="inlineStr">
        <is>
          <t>101300</t>
        </is>
      </c>
      <c r="B3608" t="inlineStr">
        <is>
          <t>GOL LINHAS AEREAS SA</t>
        </is>
      </c>
      <c r="C3608" t="n">
        <v>2111000000</v>
      </c>
      <c r="D3608" t="inlineStr">
        <is>
          <t>Customs Brokerage – Overall</t>
        </is>
      </c>
      <c r="E3608" t="n">
        <v>200034884</v>
      </c>
      <c r="F3608" t="inlineStr">
        <is>
          <t>21230</t>
        </is>
      </c>
      <c r="G3608" t="inlineStr">
        <is>
          <t>UE</t>
        </is>
      </c>
      <c r="H3608" s="12" t="n">
        <v>-960</v>
      </c>
      <c r="I3608" s="17" t="n">
        <v>43075</v>
      </c>
      <c r="J3608" s="17" t="n">
        <v>43075</v>
      </c>
      <c r="K3608" t="inlineStr">
        <is>
          <t>000073919001</t>
        </is>
      </c>
    </row>
    <row r="3609">
      <c r="A3609" t="inlineStr">
        <is>
          <t>101360</t>
        </is>
      </c>
      <c r="B3609" t="inlineStr">
        <is>
          <t>MULTILOG SUL ARMAZENS GERAIS LTDA</t>
        </is>
      </c>
      <c r="C3609" t="n">
        <v>2111000000</v>
      </c>
      <c r="D3609" t="inlineStr">
        <is>
          <t>Customs Brokerage – Overall</t>
        </is>
      </c>
      <c r="E3609" t="n">
        <v>200034954</v>
      </c>
      <c r="F3609" t="inlineStr">
        <is>
          <t>21300</t>
        </is>
      </c>
      <c r="G3609" t="inlineStr">
        <is>
          <t>UE</t>
        </is>
      </c>
      <c r="H3609" s="12" t="n">
        <v>-1020.37</v>
      </c>
      <c r="I3609" s="17" t="n">
        <v>43274</v>
      </c>
      <c r="J3609" s="17" t="n">
        <v>43274</v>
      </c>
      <c r="K3609" t="inlineStr">
        <is>
          <t>49470200</t>
        </is>
      </c>
    </row>
    <row r="3610">
      <c r="A3610" t="inlineStr">
        <is>
          <t>101513</t>
        </is>
      </c>
      <c r="B3610" t="inlineStr">
        <is>
          <t>COLI SHIPPING &amp; TRANSPORT DO BRASIL</t>
        </is>
      </c>
      <c r="C3610" t="n">
        <v>2111000000</v>
      </c>
      <c r="D3610" t="inlineStr">
        <is>
          <t>Customs Brokerage – Overall</t>
        </is>
      </c>
      <c r="E3610" t="n">
        <v>200035106</v>
      </c>
      <c r="F3610" t="inlineStr">
        <is>
          <t>21452</t>
        </is>
      </c>
      <c r="G3610" t="inlineStr">
        <is>
          <t>UE</t>
        </is>
      </c>
      <c r="H3610" s="12" t="n">
        <v>-750</v>
      </c>
      <c r="I3610" s="17" t="n">
        <v>44105</v>
      </c>
      <c r="J3610" s="17" t="n">
        <v>44105</v>
      </c>
      <c r="K3610" t="inlineStr">
        <is>
          <t>00011000</t>
        </is>
      </c>
    </row>
    <row r="3611">
      <c r="A3611" t="inlineStr">
        <is>
          <t>101043</t>
        </is>
      </c>
      <c r="B3611" t="inlineStr">
        <is>
          <t>AEROPORTO BRASIL VIRACOPOS SA</t>
        </is>
      </c>
      <c r="C3611" t="n">
        <v>2111000000</v>
      </c>
      <c r="D3611" t="inlineStr">
        <is>
          <t>Customs Brokerage – Overall</t>
        </is>
      </c>
      <c r="E3611" t="n">
        <v>200035133</v>
      </c>
      <c r="F3611" t="inlineStr">
        <is>
          <t>21479</t>
        </is>
      </c>
      <c r="G3611" t="inlineStr">
        <is>
          <t>UE</t>
        </is>
      </c>
      <c r="H3611" s="12" t="n">
        <v>-842</v>
      </c>
      <c r="I3611" s="17" t="n">
        <v>44228</v>
      </c>
      <c r="J3611" s="17" t="n">
        <v>44228</v>
      </c>
      <c r="K3611" t="inlineStr">
        <is>
          <t>28292100</t>
        </is>
      </c>
    </row>
    <row r="3612">
      <c r="A3612" t="inlineStr">
        <is>
          <t>101043</t>
        </is>
      </c>
      <c r="B3612" t="inlineStr">
        <is>
          <t>AEROPORTO BRASIL VIRACOPOS SA</t>
        </is>
      </c>
      <c r="C3612" t="n">
        <v>2111000000</v>
      </c>
      <c r="D3612" t="inlineStr">
        <is>
          <t>Customs Brokerage – Overall</t>
        </is>
      </c>
      <c r="E3612" t="n">
        <v>200035134</v>
      </c>
      <c r="F3612" t="inlineStr">
        <is>
          <t>21480</t>
        </is>
      </c>
      <c r="G3612" t="inlineStr">
        <is>
          <t>UE</t>
        </is>
      </c>
      <c r="H3612" s="12" t="n">
        <v>-2739.04</v>
      </c>
      <c r="I3612" s="17" t="n">
        <v>44690</v>
      </c>
      <c r="J3612" s="17" t="n">
        <v>44690</v>
      </c>
      <c r="K3612" t="inlineStr">
        <is>
          <t>06504100</t>
        </is>
      </c>
    </row>
    <row r="3613">
      <c r="A3613" t="inlineStr">
        <is>
          <t>101043</t>
        </is>
      </c>
      <c r="B3613" t="inlineStr">
        <is>
          <t>AEROPORTO BRASIL VIRACOPOS SA</t>
        </is>
      </c>
      <c r="C3613" t="n">
        <v>2111000000</v>
      </c>
      <c r="D3613" t="inlineStr">
        <is>
          <t>Customs Brokerage – Overall</t>
        </is>
      </c>
      <c r="E3613" t="n">
        <v>200035135</v>
      </c>
      <c r="F3613" t="inlineStr">
        <is>
          <t>21481</t>
        </is>
      </c>
      <c r="G3613" t="inlineStr">
        <is>
          <t>UE</t>
        </is>
      </c>
      <c r="H3613" s="12" t="n">
        <v>-333</v>
      </c>
      <c r="I3613" s="17" t="n">
        <v>44686</v>
      </c>
      <c r="J3613" s="17" t="n">
        <v>44686</v>
      </c>
      <c r="K3613" t="inlineStr">
        <is>
          <t>06274100</t>
        </is>
      </c>
    </row>
    <row r="3614">
      <c r="A3614" t="inlineStr">
        <is>
          <t>101043</t>
        </is>
      </c>
      <c r="B3614" t="inlineStr">
        <is>
          <t>AEROPORTO BRASIL VIRACOPOS SA</t>
        </is>
      </c>
      <c r="C3614" t="n">
        <v>2111000000</v>
      </c>
      <c r="D3614" t="inlineStr">
        <is>
          <t>Customs Brokerage – Overall</t>
        </is>
      </c>
      <c r="E3614" t="n">
        <v>200035136</v>
      </c>
      <c r="F3614" t="inlineStr">
        <is>
          <t>21482</t>
        </is>
      </c>
      <c r="G3614" t="inlineStr">
        <is>
          <t>UE</t>
        </is>
      </c>
      <c r="H3614" s="12" t="n">
        <v>-5660.84</v>
      </c>
      <c r="I3614" s="17" t="n">
        <v>44685</v>
      </c>
      <c r="J3614" s="17" t="n">
        <v>44685</v>
      </c>
      <c r="K3614" t="inlineStr">
        <is>
          <t>06233000</t>
        </is>
      </c>
    </row>
    <row r="3615">
      <c r="A3615" t="inlineStr">
        <is>
          <t>101045</t>
        </is>
      </c>
      <c r="B3615" t="inlineStr">
        <is>
          <t>WILSON SONS LOGISTICA LTDA</t>
        </is>
      </c>
      <c r="C3615" t="n">
        <v>2111000000</v>
      </c>
      <c r="D3615" t="inlineStr">
        <is>
          <t>Operational Suppliers (Wind Farms)</t>
        </is>
      </c>
      <c r="E3615" t="n">
        <v>200035138</v>
      </c>
      <c r="F3615" t="inlineStr">
        <is>
          <t>21484</t>
        </is>
      </c>
      <c r="G3615" t="inlineStr">
        <is>
          <t>UE</t>
        </is>
      </c>
      <c r="H3615" s="12" t="n">
        <v>-2692.31</v>
      </c>
      <c r="I3615" s="17" t="n">
        <v>43951</v>
      </c>
      <c r="J3615" s="17" t="n">
        <v>43951</v>
      </c>
      <c r="K3615" t="inlineStr">
        <is>
          <t>00095600</t>
        </is>
      </c>
    </row>
    <row r="3616">
      <c r="A3616" t="inlineStr">
        <is>
          <t>101045</t>
        </is>
      </c>
      <c r="B3616" t="inlineStr">
        <is>
          <t>WILSON SONS LOGISTICA LTDA</t>
        </is>
      </c>
      <c r="C3616" t="n">
        <v>2111000000</v>
      </c>
      <c r="D3616" t="inlineStr">
        <is>
          <t>Operational Suppliers (Wind Farms)</t>
        </is>
      </c>
      <c r="E3616" t="n">
        <v>200035139</v>
      </c>
      <c r="F3616" t="inlineStr">
        <is>
          <t>21485</t>
        </is>
      </c>
      <c r="G3616" t="inlineStr">
        <is>
          <t>UE</t>
        </is>
      </c>
      <c r="H3616" s="12" t="n">
        <v>-626.39</v>
      </c>
      <c r="I3616" s="17" t="n">
        <v>44084</v>
      </c>
      <c r="J3616" s="17" t="n">
        <v>44084</v>
      </c>
      <c r="K3616" t="inlineStr">
        <is>
          <t>00195300</t>
        </is>
      </c>
    </row>
    <row r="3617">
      <c r="A3617" t="inlineStr">
        <is>
          <t>101045</t>
        </is>
      </c>
      <c r="B3617" t="inlineStr">
        <is>
          <t>WILSON SONS LOGISTICA LTDA</t>
        </is>
      </c>
      <c r="C3617" t="n">
        <v>2111000000</v>
      </c>
      <c r="D3617" t="inlineStr">
        <is>
          <t>Operational Suppliers (Wind Farms)</t>
        </is>
      </c>
      <c r="E3617" t="n">
        <v>200035140</v>
      </c>
      <c r="F3617" t="inlineStr">
        <is>
          <t>21486</t>
        </is>
      </c>
      <c r="G3617" t="inlineStr">
        <is>
          <t>UE</t>
        </is>
      </c>
      <c r="H3617" s="12" t="n">
        <v>-1530.28</v>
      </c>
      <c r="I3617" s="17" t="n">
        <v>44084</v>
      </c>
      <c r="J3617" s="17" t="n">
        <v>44084</v>
      </c>
      <c r="K3617" t="inlineStr">
        <is>
          <t>00195000</t>
        </is>
      </c>
    </row>
    <row r="3618">
      <c r="A3618" t="inlineStr">
        <is>
          <t>101045</t>
        </is>
      </c>
      <c r="B3618" t="inlineStr">
        <is>
          <t>WILSON SONS LOGISTICA LTDA</t>
        </is>
      </c>
      <c r="C3618" t="n">
        <v>2111000000</v>
      </c>
      <c r="D3618" t="inlineStr">
        <is>
          <t>Operational Suppliers (Wind Farms)</t>
        </is>
      </c>
      <c r="E3618" t="n">
        <v>200035141</v>
      </c>
      <c r="F3618" t="inlineStr">
        <is>
          <t>21487</t>
        </is>
      </c>
      <c r="G3618" t="inlineStr">
        <is>
          <t>UE</t>
        </is>
      </c>
      <c r="H3618" s="12" t="n">
        <v>-2821.04</v>
      </c>
      <c r="I3618" s="17" t="n">
        <v>44043</v>
      </c>
      <c r="J3618" s="17" t="n">
        <v>44043</v>
      </c>
      <c r="K3618" t="inlineStr">
        <is>
          <t>00156700</t>
        </is>
      </c>
    </row>
    <row r="3619">
      <c r="A3619" t="inlineStr">
        <is>
          <t>101045</t>
        </is>
      </c>
      <c r="B3619" t="inlineStr">
        <is>
          <t>WILSON SONS LOGISTICA LTDA</t>
        </is>
      </c>
      <c r="C3619" t="n">
        <v>2111000000</v>
      </c>
      <c r="D3619" t="inlineStr">
        <is>
          <t>Operational Suppliers (Wind Farms)</t>
        </is>
      </c>
      <c r="E3619" t="n">
        <v>200035142</v>
      </c>
      <c r="F3619" t="inlineStr">
        <is>
          <t>21488</t>
        </is>
      </c>
      <c r="G3619" t="inlineStr">
        <is>
          <t>UE</t>
        </is>
      </c>
      <c r="H3619" s="12" t="n">
        <v>-4575.46</v>
      </c>
      <c r="I3619" s="17" t="n">
        <v>44061</v>
      </c>
      <c r="J3619" s="17" t="n">
        <v>44061</v>
      </c>
      <c r="K3619" t="inlineStr">
        <is>
          <t>00173900</t>
        </is>
      </c>
    </row>
    <row r="3620">
      <c r="A3620" t="inlineStr">
        <is>
          <t>101045</t>
        </is>
      </c>
      <c r="B3620" t="inlineStr">
        <is>
          <t>WILSON SONS LOGISTICA LTDA</t>
        </is>
      </c>
      <c r="C3620" t="n">
        <v>2111000000</v>
      </c>
      <c r="D3620" t="inlineStr">
        <is>
          <t>Operational Suppliers (Wind Farms)</t>
        </is>
      </c>
      <c r="E3620" t="n">
        <v>200035143</v>
      </c>
      <c r="F3620" t="inlineStr">
        <is>
          <t>21489</t>
        </is>
      </c>
      <c r="G3620" t="inlineStr">
        <is>
          <t>UE</t>
        </is>
      </c>
      <c r="H3620" s="12" t="n">
        <v>-3153.75</v>
      </c>
      <c r="I3620" s="17" t="n">
        <v>44139</v>
      </c>
      <c r="J3620" s="17" t="n">
        <v>44139</v>
      </c>
      <c r="K3620" t="inlineStr">
        <is>
          <t>00241900</t>
        </is>
      </c>
    </row>
    <row r="3621">
      <c r="A3621" t="inlineStr">
        <is>
          <t>101045</t>
        </is>
      </c>
      <c r="B3621" t="inlineStr">
        <is>
          <t>WILSON SONS LOGISTICA LTDA</t>
        </is>
      </c>
      <c r="C3621" t="n">
        <v>2111000000</v>
      </c>
      <c r="D3621" t="inlineStr">
        <is>
          <t>Operational Suppliers (Wind Farms)</t>
        </is>
      </c>
      <c r="E3621" t="n">
        <v>200035144</v>
      </c>
      <c r="F3621" t="inlineStr">
        <is>
          <t>21490</t>
        </is>
      </c>
      <c r="G3621" t="inlineStr">
        <is>
          <t>UE</t>
        </is>
      </c>
      <c r="H3621" s="12" t="n">
        <v>-2304.45</v>
      </c>
      <c r="I3621" s="17" t="n">
        <v>44239</v>
      </c>
      <c r="J3621" s="17" t="n">
        <v>44239</v>
      </c>
      <c r="K3621" t="inlineStr">
        <is>
          <t>00092900</t>
        </is>
      </c>
    </row>
    <row r="3622">
      <c r="A3622" t="inlineStr">
        <is>
          <t>101045</t>
        </is>
      </c>
      <c r="B3622" t="inlineStr">
        <is>
          <t>WILSON SONS LOGISTICA LTDA</t>
        </is>
      </c>
      <c r="C3622" t="n">
        <v>2111000000</v>
      </c>
      <c r="D3622" t="inlineStr">
        <is>
          <t>Operational Suppliers (Wind Farms)</t>
        </is>
      </c>
      <c r="E3622" t="n">
        <v>200035145</v>
      </c>
      <c r="F3622" t="inlineStr">
        <is>
          <t>21491</t>
        </is>
      </c>
      <c r="G3622" t="inlineStr">
        <is>
          <t>UE</t>
        </is>
      </c>
      <c r="H3622" s="12" t="n">
        <v>-4192.16</v>
      </c>
      <c r="I3622" s="17" t="n">
        <v>44216</v>
      </c>
      <c r="J3622" s="17" t="n">
        <v>44216</v>
      </c>
      <c r="K3622" t="inlineStr">
        <is>
          <t>00049900</t>
        </is>
      </c>
    </row>
    <row r="3623">
      <c r="A3623" t="inlineStr">
        <is>
          <t>101045</t>
        </is>
      </c>
      <c r="B3623" t="inlineStr">
        <is>
          <t>WILSON SONS LOGISTICA LTDA</t>
        </is>
      </c>
      <c r="C3623" t="n">
        <v>2111000000</v>
      </c>
      <c r="D3623" t="inlineStr">
        <is>
          <t>Operational Suppliers (Wind Farms)</t>
        </is>
      </c>
      <c r="E3623" t="n">
        <v>200035146</v>
      </c>
      <c r="F3623" t="inlineStr">
        <is>
          <t>21492</t>
        </is>
      </c>
      <c r="G3623" t="inlineStr">
        <is>
          <t>UE</t>
        </is>
      </c>
      <c r="H3623" s="12" t="n">
        <v>-3765.17</v>
      </c>
      <c r="I3623" s="17" t="n">
        <v>43930</v>
      </c>
      <c r="J3623" s="17" t="n">
        <v>43930</v>
      </c>
      <c r="K3623" t="inlineStr">
        <is>
          <t>00080300</t>
        </is>
      </c>
    </row>
    <row r="3624">
      <c r="A3624" t="inlineStr">
        <is>
          <t>101045</t>
        </is>
      </c>
      <c r="B3624" t="inlineStr">
        <is>
          <t>WILSON SONS LOGISTICA LTDA</t>
        </is>
      </c>
      <c r="C3624" t="n">
        <v>2111000000</v>
      </c>
      <c r="D3624" t="inlineStr">
        <is>
          <t>Operational Suppliers (Wind Farms)</t>
        </is>
      </c>
      <c r="E3624" t="n">
        <v>200035147</v>
      </c>
      <c r="F3624" t="inlineStr">
        <is>
          <t>21493</t>
        </is>
      </c>
      <c r="G3624" t="inlineStr">
        <is>
          <t>UE</t>
        </is>
      </c>
      <c r="H3624" s="12" t="n">
        <v>-3607.99</v>
      </c>
      <c r="I3624" s="17" t="n">
        <v>43970</v>
      </c>
      <c r="J3624" s="17" t="n">
        <v>43970</v>
      </c>
      <c r="K3624" t="inlineStr">
        <is>
          <t>00109000</t>
        </is>
      </c>
    </row>
    <row r="3625">
      <c r="A3625" t="inlineStr">
        <is>
          <t>101045</t>
        </is>
      </c>
      <c r="B3625" t="inlineStr">
        <is>
          <t>WILSON SONS LOGISTICA LTDA</t>
        </is>
      </c>
      <c r="C3625" t="n">
        <v>2111000000</v>
      </c>
      <c r="D3625" t="inlineStr">
        <is>
          <t>Operational Suppliers (Wind Farms)</t>
        </is>
      </c>
      <c r="E3625" t="n">
        <v>200035148</v>
      </c>
      <c r="F3625" t="inlineStr">
        <is>
          <t>21494</t>
        </is>
      </c>
      <c r="G3625" t="inlineStr">
        <is>
          <t>UE</t>
        </is>
      </c>
      <c r="H3625" s="12" t="n">
        <v>-3627.59</v>
      </c>
      <c r="I3625" s="17" t="n">
        <v>43970</v>
      </c>
      <c r="J3625" s="17" t="n">
        <v>43970</v>
      </c>
      <c r="K3625" t="inlineStr">
        <is>
          <t>00109200</t>
        </is>
      </c>
    </row>
    <row r="3626">
      <c r="A3626" t="inlineStr">
        <is>
          <t>101045</t>
        </is>
      </c>
      <c r="B3626" t="inlineStr">
        <is>
          <t>WILSON SONS LOGISTICA LTDA</t>
        </is>
      </c>
      <c r="C3626" t="n">
        <v>2111000000</v>
      </c>
      <c r="D3626" t="inlineStr">
        <is>
          <t>Operational Suppliers (Wind Farms)</t>
        </is>
      </c>
      <c r="E3626" t="n">
        <v>200035149</v>
      </c>
      <c r="F3626" t="inlineStr">
        <is>
          <t>21495</t>
        </is>
      </c>
      <c r="G3626" t="inlineStr">
        <is>
          <t>UE</t>
        </is>
      </c>
      <c r="H3626" s="12" t="n">
        <v>-2474.55</v>
      </c>
      <c r="I3626" s="17" t="n">
        <v>44229</v>
      </c>
      <c r="J3626" s="17" t="n">
        <v>44229</v>
      </c>
      <c r="K3626" t="inlineStr">
        <is>
          <t>00071300</t>
        </is>
      </c>
    </row>
    <row r="3627">
      <c r="A3627" t="inlineStr">
        <is>
          <t>101045</t>
        </is>
      </c>
      <c r="B3627" t="inlineStr">
        <is>
          <t>WILSON SONS LOGISTICA LTDA</t>
        </is>
      </c>
      <c r="C3627" t="n">
        <v>2111000000</v>
      </c>
      <c r="D3627" t="inlineStr">
        <is>
          <t>Operational Suppliers (Wind Farms)</t>
        </is>
      </c>
      <c r="E3627" t="n">
        <v>200035150</v>
      </c>
      <c r="F3627" t="inlineStr">
        <is>
          <t>21496</t>
        </is>
      </c>
      <c r="G3627" t="inlineStr">
        <is>
          <t>UE</t>
        </is>
      </c>
      <c r="H3627" s="12" t="n">
        <v>-3234.29</v>
      </c>
      <c r="I3627" s="17" t="n">
        <v>44279</v>
      </c>
      <c r="J3627" s="17" t="n">
        <v>44279</v>
      </c>
      <c r="K3627" t="inlineStr">
        <is>
          <t>00157800</t>
        </is>
      </c>
    </row>
    <row r="3628">
      <c r="A3628" t="inlineStr">
        <is>
          <t>101045</t>
        </is>
      </c>
      <c r="B3628" t="inlineStr">
        <is>
          <t>WILSON SONS LOGISTICA LTDA</t>
        </is>
      </c>
      <c r="C3628" t="n">
        <v>2111000000</v>
      </c>
      <c r="D3628" t="inlineStr">
        <is>
          <t>Operational Suppliers (Wind Farms)</t>
        </is>
      </c>
      <c r="E3628" t="n">
        <v>200035151</v>
      </c>
      <c r="F3628" t="inlineStr">
        <is>
          <t>21497</t>
        </is>
      </c>
      <c r="G3628" t="inlineStr">
        <is>
          <t>UE</t>
        </is>
      </c>
      <c r="H3628" s="12" t="n">
        <v>-3370.58</v>
      </c>
      <c r="I3628" s="17" t="n">
        <v>44293</v>
      </c>
      <c r="J3628" s="17" t="n">
        <v>44293</v>
      </c>
      <c r="K3628" t="inlineStr">
        <is>
          <t>00179600</t>
        </is>
      </c>
    </row>
    <row r="3629">
      <c r="A3629" t="inlineStr">
        <is>
          <t>101045</t>
        </is>
      </c>
      <c r="B3629" t="inlineStr">
        <is>
          <t>WILSON SONS LOGISTICA LTDA</t>
        </is>
      </c>
      <c r="C3629" t="n">
        <v>2111000000</v>
      </c>
      <c r="D3629" t="inlineStr">
        <is>
          <t>Operational Suppliers (Wind Farms)</t>
        </is>
      </c>
      <c r="E3629" t="n">
        <v>200035152</v>
      </c>
      <c r="F3629" t="inlineStr">
        <is>
          <t>21498</t>
        </is>
      </c>
      <c r="G3629" t="inlineStr">
        <is>
          <t>UE</t>
        </is>
      </c>
      <c r="H3629" s="12" t="n">
        <v>-2675.06</v>
      </c>
      <c r="I3629" s="17" t="n">
        <v>44292</v>
      </c>
      <c r="J3629" s="17" t="n">
        <v>44292</v>
      </c>
      <c r="K3629" t="inlineStr">
        <is>
          <t>00178900</t>
        </is>
      </c>
    </row>
    <row r="3630">
      <c r="A3630" t="inlineStr">
        <is>
          <t>101045</t>
        </is>
      </c>
      <c r="B3630" t="inlineStr">
        <is>
          <t>WILSON SONS LOGISTICA LTDA</t>
        </is>
      </c>
      <c r="C3630" t="n">
        <v>2111000000</v>
      </c>
      <c r="D3630" t="inlineStr">
        <is>
          <t>Operational Suppliers (Wind Farms)</t>
        </is>
      </c>
      <c r="E3630" t="n">
        <v>200035153</v>
      </c>
      <c r="F3630" t="inlineStr">
        <is>
          <t>21499</t>
        </is>
      </c>
      <c r="G3630" t="inlineStr">
        <is>
          <t>UE</t>
        </is>
      </c>
      <c r="H3630" s="12" t="n">
        <v>-3742.88</v>
      </c>
      <c r="I3630" s="17" t="n">
        <v>44292</v>
      </c>
      <c r="J3630" s="17" t="n">
        <v>44292</v>
      </c>
      <c r="K3630" t="inlineStr">
        <is>
          <t>00177200</t>
        </is>
      </c>
    </row>
    <row r="3631">
      <c r="A3631" t="inlineStr">
        <is>
          <t>101045</t>
        </is>
      </c>
      <c r="B3631" t="inlineStr">
        <is>
          <t>WILSON SONS LOGISTICA LTDA</t>
        </is>
      </c>
      <c r="C3631" t="n">
        <v>2111000000</v>
      </c>
      <c r="D3631" t="inlineStr">
        <is>
          <t>Operational Suppliers (Wind Farms)</t>
        </is>
      </c>
      <c r="E3631" t="n">
        <v>200035154</v>
      </c>
      <c r="F3631" t="inlineStr">
        <is>
          <t>21500</t>
        </is>
      </c>
      <c r="G3631" t="inlineStr">
        <is>
          <t>UE</t>
        </is>
      </c>
      <c r="H3631" s="12" t="n">
        <v>-2511.47</v>
      </c>
      <c r="I3631" s="17" t="n">
        <v>44292</v>
      </c>
      <c r="J3631" s="17" t="n">
        <v>44292</v>
      </c>
      <c r="K3631" t="inlineStr">
        <is>
          <t>00177300</t>
        </is>
      </c>
    </row>
    <row r="3632">
      <c r="A3632" t="inlineStr">
        <is>
          <t>101045</t>
        </is>
      </c>
      <c r="B3632" t="inlineStr">
        <is>
          <t>WILSON SONS LOGISTICA LTDA</t>
        </is>
      </c>
      <c r="C3632" t="n">
        <v>2111000000</v>
      </c>
      <c r="D3632" t="inlineStr">
        <is>
          <t>Operational Suppliers (Wind Farms)</t>
        </is>
      </c>
      <c r="E3632" t="n">
        <v>200035155</v>
      </c>
      <c r="F3632" t="inlineStr">
        <is>
          <t>21501</t>
        </is>
      </c>
      <c r="G3632" t="inlineStr">
        <is>
          <t>UE</t>
        </is>
      </c>
      <c r="H3632" s="12" t="n">
        <v>-1820.07</v>
      </c>
      <c r="I3632" s="17" t="n">
        <v>44327</v>
      </c>
      <c r="J3632" s="17" t="n">
        <v>44327</v>
      </c>
      <c r="K3632" t="inlineStr">
        <is>
          <t>00218600</t>
        </is>
      </c>
    </row>
    <row r="3633">
      <c r="A3633" t="inlineStr">
        <is>
          <t>101045</t>
        </is>
      </c>
      <c r="B3633" t="inlineStr">
        <is>
          <t>WILSON SONS LOGISTICA LTDA</t>
        </is>
      </c>
      <c r="C3633" t="n">
        <v>2111000000</v>
      </c>
      <c r="D3633" t="inlineStr">
        <is>
          <t>Operational Suppliers (Wind Farms)</t>
        </is>
      </c>
      <c r="E3633" t="n">
        <v>200035156</v>
      </c>
      <c r="F3633" t="inlineStr">
        <is>
          <t>21502</t>
        </is>
      </c>
      <c r="G3633" t="inlineStr">
        <is>
          <t>UE</t>
        </is>
      </c>
      <c r="H3633" s="12" t="n">
        <v>-854.26</v>
      </c>
      <c r="I3633" s="17" t="n">
        <v>44470</v>
      </c>
      <c r="J3633" s="17" t="n">
        <v>44470</v>
      </c>
      <c r="K3633" t="inlineStr">
        <is>
          <t>00395400</t>
        </is>
      </c>
    </row>
    <row r="3634">
      <c r="A3634" t="inlineStr">
        <is>
          <t>101045</t>
        </is>
      </c>
      <c r="B3634" t="inlineStr">
        <is>
          <t>WILSON SONS LOGISTICA LTDA</t>
        </is>
      </c>
      <c r="C3634" t="n">
        <v>2111000000</v>
      </c>
      <c r="D3634" t="inlineStr">
        <is>
          <t>Operational Suppliers (Wind Farms)</t>
        </is>
      </c>
      <c r="E3634" t="n">
        <v>200035157</v>
      </c>
      <c r="F3634" t="inlineStr">
        <is>
          <t>21503</t>
        </is>
      </c>
      <c r="G3634" t="inlineStr">
        <is>
          <t>UE</t>
        </is>
      </c>
      <c r="H3634" s="12" t="n">
        <v>-812.76</v>
      </c>
      <c r="I3634" s="17" t="n">
        <v>44470</v>
      </c>
      <c r="J3634" s="17" t="n">
        <v>44470</v>
      </c>
      <c r="K3634" t="inlineStr">
        <is>
          <t>00395700</t>
        </is>
      </c>
    </row>
    <row r="3635">
      <c r="A3635" t="inlineStr">
        <is>
          <t>101045</t>
        </is>
      </c>
      <c r="B3635" t="inlineStr">
        <is>
          <t>WILSON SONS LOGISTICA LTDA</t>
        </is>
      </c>
      <c r="C3635" t="n">
        <v>2111000000</v>
      </c>
      <c r="D3635" t="inlineStr">
        <is>
          <t>Operational Suppliers (Wind Farms)</t>
        </is>
      </c>
      <c r="E3635" t="n">
        <v>200035158</v>
      </c>
      <c r="F3635" t="inlineStr">
        <is>
          <t>21504</t>
        </is>
      </c>
      <c r="G3635" t="inlineStr">
        <is>
          <t>UE</t>
        </is>
      </c>
      <c r="H3635" s="12" t="n">
        <v>-2546.9</v>
      </c>
      <c r="I3635" s="17" t="n">
        <v>44449</v>
      </c>
      <c r="J3635" s="17" t="n">
        <v>44449</v>
      </c>
      <c r="K3635" t="inlineStr">
        <is>
          <t>00369700</t>
        </is>
      </c>
    </row>
    <row r="3636">
      <c r="A3636" t="inlineStr">
        <is>
          <t>101045</t>
        </is>
      </c>
      <c r="B3636" t="inlineStr">
        <is>
          <t>WILSON SONS LOGISTICA LTDA</t>
        </is>
      </c>
      <c r="C3636" t="n">
        <v>2111000000</v>
      </c>
      <c r="D3636" t="inlineStr">
        <is>
          <t>Operational Suppliers (Wind Farms)</t>
        </is>
      </c>
      <c r="E3636" t="n">
        <v>200035159</v>
      </c>
      <c r="F3636" t="inlineStr">
        <is>
          <t>21505</t>
        </is>
      </c>
      <c r="G3636" t="inlineStr">
        <is>
          <t>UE</t>
        </is>
      </c>
      <c r="H3636" s="12" t="n">
        <v>-3466.77</v>
      </c>
      <c r="I3636" s="17" t="n">
        <v>44455</v>
      </c>
      <c r="J3636" s="17" t="n">
        <v>44455</v>
      </c>
      <c r="K3636" t="inlineStr">
        <is>
          <t>00375900</t>
        </is>
      </c>
    </row>
    <row r="3637">
      <c r="A3637" t="inlineStr">
        <is>
          <t>101045</t>
        </is>
      </c>
      <c r="B3637" t="inlineStr">
        <is>
          <t>WILSON SONS LOGISTICA LTDA</t>
        </is>
      </c>
      <c r="C3637" t="n">
        <v>2111000000</v>
      </c>
      <c r="D3637" t="inlineStr">
        <is>
          <t>Operational Suppliers (Wind Farms)</t>
        </is>
      </c>
      <c r="E3637" t="n">
        <v>200035161</v>
      </c>
      <c r="F3637" t="inlineStr">
        <is>
          <t>21507</t>
        </is>
      </c>
      <c r="G3637" t="inlineStr">
        <is>
          <t>UE</t>
        </is>
      </c>
      <c r="H3637" s="12" t="n">
        <v>-1463.46</v>
      </c>
      <c r="I3637" s="17" t="n">
        <v>44084</v>
      </c>
      <c r="J3637" s="17" t="n">
        <v>44084</v>
      </c>
      <c r="K3637" t="inlineStr">
        <is>
          <t>00195200</t>
        </is>
      </c>
    </row>
    <row r="3638">
      <c r="A3638" t="inlineStr">
        <is>
          <t>101045</t>
        </is>
      </c>
      <c r="B3638" t="inlineStr">
        <is>
          <t>WILSON SONS LOGISTICA LTDA</t>
        </is>
      </c>
      <c r="C3638" t="n">
        <v>2111000000</v>
      </c>
      <c r="D3638" t="inlineStr">
        <is>
          <t>Operational Suppliers (Wind Farms)</t>
        </is>
      </c>
      <c r="E3638" t="n">
        <v>200035162</v>
      </c>
      <c r="F3638" t="inlineStr">
        <is>
          <t>21508</t>
        </is>
      </c>
      <c r="G3638" t="inlineStr">
        <is>
          <t>UE</t>
        </is>
      </c>
      <c r="H3638" s="12" t="n">
        <v>-5644.18</v>
      </c>
      <c r="I3638" s="17" t="n">
        <v>44614</v>
      </c>
      <c r="J3638" s="17" t="n">
        <v>44614</v>
      </c>
      <c r="K3638" t="inlineStr">
        <is>
          <t>00052000</t>
        </is>
      </c>
    </row>
    <row r="3639">
      <c r="A3639" t="inlineStr">
        <is>
          <t>101045</t>
        </is>
      </c>
      <c r="B3639" t="inlineStr">
        <is>
          <t>WILSON SONS LOGISTICA LTDA</t>
        </is>
      </c>
      <c r="C3639" t="n">
        <v>2111000000</v>
      </c>
      <c r="D3639" t="inlineStr">
        <is>
          <t>Operational Suppliers (Wind Farms)</t>
        </is>
      </c>
      <c r="E3639" t="n">
        <v>200035163</v>
      </c>
      <c r="F3639" t="inlineStr">
        <is>
          <t>21509</t>
        </is>
      </c>
      <c r="G3639" t="inlineStr">
        <is>
          <t>UE</t>
        </is>
      </c>
      <c r="H3639" s="12" t="n">
        <v>-15493.6</v>
      </c>
      <c r="I3639" s="17" t="n">
        <v>44655</v>
      </c>
      <c r="J3639" s="17" t="n">
        <v>44655</v>
      </c>
      <c r="K3639" t="inlineStr">
        <is>
          <t>00102000</t>
        </is>
      </c>
    </row>
    <row r="3640">
      <c r="A3640" t="inlineStr">
        <is>
          <t>101045</t>
        </is>
      </c>
      <c r="B3640" t="inlineStr">
        <is>
          <t>WILSON SONS LOGISTICA LTDA</t>
        </is>
      </c>
      <c r="C3640" t="n">
        <v>2111000000</v>
      </c>
      <c r="D3640" t="inlineStr">
        <is>
          <t>Operational Suppliers (Wind Farms)</t>
        </is>
      </c>
      <c r="E3640" t="n">
        <v>200035164</v>
      </c>
      <c r="F3640" t="inlineStr">
        <is>
          <t>21510</t>
        </is>
      </c>
      <c r="G3640" t="inlineStr">
        <is>
          <t>UE</t>
        </is>
      </c>
      <c r="H3640" s="12" t="n">
        <v>-6443.31</v>
      </c>
      <c r="I3640" s="17" t="n">
        <v>44676</v>
      </c>
      <c r="J3640" s="17" t="n">
        <v>44676</v>
      </c>
      <c r="K3640" t="inlineStr">
        <is>
          <t>00124200</t>
        </is>
      </c>
    </row>
    <row r="3641">
      <c r="A3641" t="inlineStr">
        <is>
          <t>101045</t>
        </is>
      </c>
      <c r="B3641" t="inlineStr">
        <is>
          <t>WILSON SONS LOGISTICA LTDA</t>
        </is>
      </c>
      <c r="C3641" t="n">
        <v>2111000000</v>
      </c>
      <c r="D3641" t="inlineStr">
        <is>
          <t>Operational Suppliers (Wind Farms)</t>
        </is>
      </c>
      <c r="E3641" t="n">
        <v>200035165</v>
      </c>
      <c r="F3641" t="inlineStr">
        <is>
          <t>21511</t>
        </is>
      </c>
      <c r="G3641" t="inlineStr">
        <is>
          <t>UE</t>
        </is>
      </c>
      <c r="H3641" s="12" t="n">
        <v>-9778.360000000001</v>
      </c>
      <c r="I3641" s="17" t="n">
        <v>44637</v>
      </c>
      <c r="J3641" s="17" t="n">
        <v>44637</v>
      </c>
      <c r="K3641" t="inlineStr">
        <is>
          <t>00077900</t>
        </is>
      </c>
    </row>
    <row r="3642">
      <c r="A3642" t="inlineStr">
        <is>
          <t>101045</t>
        </is>
      </c>
      <c r="B3642" t="inlineStr">
        <is>
          <t>WILSON SONS LOGISTICA LTDA</t>
        </is>
      </c>
      <c r="C3642" t="n">
        <v>2111000000</v>
      </c>
      <c r="D3642" t="inlineStr">
        <is>
          <t>Operational Suppliers (Wind Farms)</t>
        </is>
      </c>
      <c r="E3642" t="n">
        <v>200035166</v>
      </c>
      <c r="F3642" t="inlineStr">
        <is>
          <t>21512</t>
        </is>
      </c>
      <c r="G3642" t="inlineStr">
        <is>
          <t>UE</t>
        </is>
      </c>
      <c r="H3642" s="12" t="n">
        <v>-5696.15</v>
      </c>
      <c r="I3642" s="17" t="n">
        <v>44662</v>
      </c>
      <c r="J3642" s="17" t="n">
        <v>44662</v>
      </c>
      <c r="K3642" t="inlineStr">
        <is>
          <t>00109100</t>
        </is>
      </c>
    </row>
    <row r="3643">
      <c r="A3643" t="inlineStr">
        <is>
          <t>101045</t>
        </is>
      </c>
      <c r="B3643" t="inlineStr">
        <is>
          <t>WILSON SONS LOGISTICA LTDA</t>
        </is>
      </c>
      <c r="C3643" t="n">
        <v>2111000000</v>
      </c>
      <c r="D3643" t="inlineStr">
        <is>
          <t>Operational Suppliers (Wind Farms)</t>
        </is>
      </c>
      <c r="E3643" t="n">
        <v>200035167</v>
      </c>
      <c r="F3643" t="inlineStr">
        <is>
          <t>21513</t>
        </is>
      </c>
      <c r="G3643" t="inlineStr">
        <is>
          <t>UE</t>
        </is>
      </c>
      <c r="H3643" s="12" t="n">
        <v>-4011.91</v>
      </c>
      <c r="I3643" s="17" t="n">
        <v>44645</v>
      </c>
      <c r="J3643" s="17" t="n">
        <v>44645</v>
      </c>
      <c r="K3643" t="inlineStr">
        <is>
          <t>00093600</t>
        </is>
      </c>
    </row>
    <row r="3644">
      <c r="A3644" t="inlineStr">
        <is>
          <t>101045</t>
        </is>
      </c>
      <c r="B3644" t="inlineStr">
        <is>
          <t>WILSON SONS LOGISTICA LTDA</t>
        </is>
      </c>
      <c r="C3644" t="n">
        <v>2111000000</v>
      </c>
      <c r="D3644" t="inlineStr">
        <is>
          <t>Operational Suppliers (Wind Farms)</t>
        </is>
      </c>
      <c r="E3644" t="n">
        <v>200035168</v>
      </c>
      <c r="F3644" t="inlineStr">
        <is>
          <t>21514</t>
        </is>
      </c>
      <c r="G3644" t="inlineStr">
        <is>
          <t>UE</t>
        </is>
      </c>
      <c r="H3644" s="12" t="n">
        <v>-4443.11</v>
      </c>
      <c r="I3644" s="17" t="n">
        <v>44628</v>
      </c>
      <c r="J3644" s="17" t="n">
        <v>44628</v>
      </c>
      <c r="K3644" t="inlineStr">
        <is>
          <t>00065000</t>
        </is>
      </c>
    </row>
    <row r="3645">
      <c r="A3645" t="inlineStr">
        <is>
          <t>101045</t>
        </is>
      </c>
      <c r="B3645" t="inlineStr">
        <is>
          <t>WILSON SONS LOGISTICA LTDA</t>
        </is>
      </c>
      <c r="C3645" t="n">
        <v>2111000000</v>
      </c>
      <c r="D3645" t="inlineStr">
        <is>
          <t>Operational Suppliers (Wind Farms)</t>
        </is>
      </c>
      <c r="E3645" t="n">
        <v>200035169</v>
      </c>
      <c r="F3645" t="inlineStr">
        <is>
          <t>21515</t>
        </is>
      </c>
      <c r="G3645" t="inlineStr">
        <is>
          <t>UE</t>
        </is>
      </c>
      <c r="H3645" s="12" t="n">
        <v>-4154.42</v>
      </c>
      <c r="I3645" s="17" t="n">
        <v>44203</v>
      </c>
      <c r="J3645" s="17" t="n">
        <v>44203</v>
      </c>
      <c r="K3645" t="inlineStr">
        <is>
          <t>00013000</t>
        </is>
      </c>
    </row>
    <row r="3646">
      <c r="A3646" t="inlineStr">
        <is>
          <t>101045</t>
        </is>
      </c>
      <c r="B3646" t="inlineStr">
        <is>
          <t>WILSON SONS LOGISTICA LTDA</t>
        </is>
      </c>
      <c r="C3646" t="n">
        <v>2111000000</v>
      </c>
      <c r="D3646" t="inlineStr">
        <is>
          <t>Operational Suppliers (Wind Farms)</t>
        </is>
      </c>
      <c r="E3646" t="n">
        <v>200035170</v>
      </c>
      <c r="F3646" t="inlineStr">
        <is>
          <t>21516</t>
        </is>
      </c>
      <c r="G3646" t="inlineStr">
        <is>
          <t>UE</t>
        </is>
      </c>
      <c r="H3646" s="12" t="n">
        <v>-3372.5</v>
      </c>
      <c r="I3646" s="17" t="n">
        <v>44628</v>
      </c>
      <c r="J3646" s="17" t="n">
        <v>44628</v>
      </c>
      <c r="K3646" t="inlineStr">
        <is>
          <t>00062900</t>
        </is>
      </c>
    </row>
    <row r="3647">
      <c r="A3647" t="inlineStr">
        <is>
          <t>101045</t>
        </is>
      </c>
      <c r="B3647" t="inlineStr">
        <is>
          <t>WILSON SONS LOGISTICA LTDA</t>
        </is>
      </c>
      <c r="C3647" t="n">
        <v>2111000000</v>
      </c>
      <c r="D3647" t="inlineStr">
        <is>
          <t>Operational Suppliers (Wind Farms)</t>
        </is>
      </c>
      <c r="E3647" t="n">
        <v>200035171</v>
      </c>
      <c r="F3647" t="inlineStr">
        <is>
          <t>21517</t>
        </is>
      </c>
      <c r="G3647" t="inlineStr">
        <is>
          <t>UE</t>
        </is>
      </c>
      <c r="H3647" s="12" t="n">
        <v>-4333.46</v>
      </c>
      <c r="I3647" s="17" t="n">
        <v>44694</v>
      </c>
      <c r="J3647" s="17" t="n">
        <v>44694</v>
      </c>
      <c r="K3647" t="inlineStr">
        <is>
          <t>00144700</t>
        </is>
      </c>
    </row>
    <row r="3648">
      <c r="A3648" t="inlineStr">
        <is>
          <t>101045</t>
        </is>
      </c>
      <c r="B3648" t="inlineStr">
        <is>
          <t>WILSON SONS LOGISTICA LTDA</t>
        </is>
      </c>
      <c r="C3648" t="n">
        <v>2111000000</v>
      </c>
      <c r="D3648" t="inlineStr">
        <is>
          <t>Operational Suppliers (Wind Farms)</t>
        </is>
      </c>
      <c r="E3648" t="n">
        <v>200035172</v>
      </c>
      <c r="F3648" t="inlineStr">
        <is>
          <t>21518</t>
        </is>
      </c>
      <c r="G3648" t="inlineStr">
        <is>
          <t>UE</t>
        </is>
      </c>
      <c r="H3648" s="12" t="n">
        <v>-3544.57</v>
      </c>
      <c r="I3648" s="17" t="n">
        <v>44676</v>
      </c>
      <c r="J3648" s="17" t="n">
        <v>44676</v>
      </c>
      <c r="K3648" t="inlineStr">
        <is>
          <t>00124900</t>
        </is>
      </c>
    </row>
    <row r="3649">
      <c r="A3649" t="inlineStr">
        <is>
          <t>101045</t>
        </is>
      </c>
      <c r="B3649" t="inlineStr">
        <is>
          <t>WILSON SONS LOGISTICA LTDA</t>
        </is>
      </c>
      <c r="C3649" t="n">
        <v>2111000000</v>
      </c>
      <c r="D3649" t="inlineStr">
        <is>
          <t>Operational Suppliers (Wind Farms)</t>
        </is>
      </c>
      <c r="E3649" t="n">
        <v>200035173</v>
      </c>
      <c r="F3649" t="inlineStr">
        <is>
          <t>21519</t>
        </is>
      </c>
      <c r="G3649" t="inlineStr">
        <is>
          <t>UE</t>
        </is>
      </c>
      <c r="H3649" s="12" t="n">
        <v>-13480.09</v>
      </c>
      <c r="I3649" s="17" t="n">
        <v>44662</v>
      </c>
      <c r="J3649" s="17" t="n">
        <v>44662</v>
      </c>
      <c r="K3649" t="inlineStr">
        <is>
          <t>00108600</t>
        </is>
      </c>
    </row>
    <row r="3650">
      <c r="A3650" t="inlineStr">
        <is>
          <t>101045</t>
        </is>
      </c>
      <c r="B3650" t="inlineStr">
        <is>
          <t>WILSON SONS LOGISTICA LTDA</t>
        </is>
      </c>
      <c r="C3650" t="n">
        <v>2111000000</v>
      </c>
      <c r="D3650" t="inlineStr">
        <is>
          <t>Operational Suppliers (Wind Farms)</t>
        </is>
      </c>
      <c r="E3650" t="n">
        <v>200035174</v>
      </c>
      <c r="F3650" t="inlineStr">
        <is>
          <t>21520</t>
        </is>
      </c>
      <c r="G3650" t="inlineStr">
        <is>
          <t>UE</t>
        </is>
      </c>
      <c r="H3650" s="12" t="n">
        <v>-5575.69</v>
      </c>
      <c r="I3650" s="17" t="n">
        <v>44662</v>
      </c>
      <c r="J3650" s="17" t="n">
        <v>44662</v>
      </c>
      <c r="K3650" t="inlineStr">
        <is>
          <t>00108900</t>
        </is>
      </c>
    </row>
    <row r="3651">
      <c r="A3651" t="inlineStr">
        <is>
          <t>101045</t>
        </is>
      </c>
      <c r="B3651" t="inlineStr">
        <is>
          <t>WILSON SONS LOGISTICA LTDA</t>
        </is>
      </c>
      <c r="C3651" t="n">
        <v>2111000000</v>
      </c>
      <c r="D3651" t="inlineStr">
        <is>
          <t>Operational Suppliers (Wind Farms)</t>
        </is>
      </c>
      <c r="E3651" t="n">
        <v>200035175</v>
      </c>
      <c r="F3651" t="inlineStr">
        <is>
          <t>21521</t>
        </is>
      </c>
      <c r="G3651" t="inlineStr">
        <is>
          <t>UE</t>
        </is>
      </c>
      <c r="H3651" s="12" t="n">
        <v>-4205.86</v>
      </c>
      <c r="I3651" s="17" t="n">
        <v>44676</v>
      </c>
      <c r="J3651" s="17" t="n">
        <v>44676</v>
      </c>
      <c r="K3651" t="inlineStr">
        <is>
          <t>00124700</t>
        </is>
      </c>
    </row>
    <row r="3652">
      <c r="A3652" t="inlineStr">
        <is>
          <t>101045</t>
        </is>
      </c>
      <c r="B3652" t="inlineStr">
        <is>
          <t>WILSON SONS LOGISTICA LTDA</t>
        </is>
      </c>
      <c r="C3652" t="n">
        <v>2111000000</v>
      </c>
      <c r="D3652" t="inlineStr">
        <is>
          <t>Operational Suppliers (Wind Farms)</t>
        </is>
      </c>
      <c r="E3652" t="n">
        <v>200035176</v>
      </c>
      <c r="F3652" t="inlineStr">
        <is>
          <t>21522</t>
        </is>
      </c>
      <c r="G3652" t="inlineStr">
        <is>
          <t>UE</t>
        </is>
      </c>
      <c r="H3652" s="12" t="n">
        <v>-6382.76</v>
      </c>
      <c r="I3652" s="17" t="n">
        <v>44697</v>
      </c>
      <c r="J3652" s="17" t="n">
        <v>44697</v>
      </c>
      <c r="K3652" t="inlineStr">
        <is>
          <t>00145700</t>
        </is>
      </c>
    </row>
    <row r="3653">
      <c r="A3653" t="inlineStr">
        <is>
          <t>101045</t>
        </is>
      </c>
      <c r="B3653" t="inlineStr">
        <is>
          <t>WILSON SONS LOGISTICA LTDA</t>
        </is>
      </c>
      <c r="C3653" t="n">
        <v>2111000000</v>
      </c>
      <c r="D3653" t="inlineStr">
        <is>
          <t>Operational Suppliers (Wind Farms)</t>
        </is>
      </c>
      <c r="E3653" t="n">
        <v>200035177</v>
      </c>
      <c r="F3653" t="inlineStr">
        <is>
          <t>21523</t>
        </is>
      </c>
      <c r="G3653" t="inlineStr">
        <is>
          <t>UE</t>
        </is>
      </c>
      <c r="H3653" s="12" t="n">
        <v>-5259.06</v>
      </c>
      <c r="I3653" s="17" t="n">
        <v>44685</v>
      </c>
      <c r="J3653" s="17" t="n">
        <v>44685</v>
      </c>
      <c r="K3653" t="inlineStr">
        <is>
          <t>00134100</t>
        </is>
      </c>
    </row>
    <row r="3654">
      <c r="A3654" t="inlineStr">
        <is>
          <t>101045</t>
        </is>
      </c>
      <c r="B3654" t="inlineStr">
        <is>
          <t>WILSON SONS LOGISTICA LTDA</t>
        </is>
      </c>
      <c r="C3654" t="n">
        <v>2111000000</v>
      </c>
      <c r="D3654" t="inlineStr">
        <is>
          <t>Operational Suppliers (Wind Farms)</t>
        </is>
      </c>
      <c r="E3654" t="n">
        <v>200035178</v>
      </c>
      <c r="F3654" t="inlineStr">
        <is>
          <t>21524</t>
        </is>
      </c>
      <c r="G3654" t="inlineStr">
        <is>
          <t>UE</t>
        </is>
      </c>
      <c r="H3654" s="12" t="n">
        <v>-6951.91</v>
      </c>
      <c r="I3654" s="17" t="n">
        <v>44693</v>
      </c>
      <c r="J3654" s="17" t="n">
        <v>44693</v>
      </c>
      <c r="K3654" t="inlineStr">
        <is>
          <t>00143900</t>
        </is>
      </c>
    </row>
    <row r="3655">
      <c r="A3655" t="inlineStr">
        <is>
          <t>101096</t>
        </is>
      </c>
      <c r="B3655" t="inlineStr">
        <is>
          <t>RUDLOFF INDUSTRIAL LTDA</t>
        </is>
      </c>
      <c r="C3655" t="n">
        <v>2111000000</v>
      </c>
      <c r="D3655" t="inlineStr">
        <is>
          <t>Operational Suppliers (Wind Farms)</t>
        </is>
      </c>
      <c r="E3655" t="n">
        <v>200035206</v>
      </c>
      <c r="F3655" t="inlineStr">
        <is>
          <t>21552</t>
        </is>
      </c>
      <c r="G3655" t="inlineStr">
        <is>
          <t>UE</t>
        </is>
      </c>
      <c r="H3655" s="12" t="n">
        <v>-22909.46</v>
      </c>
      <c r="I3655" s="17" t="n">
        <v>44511</v>
      </c>
      <c r="J3655" s="17" t="n">
        <v>44511</v>
      </c>
      <c r="K3655" t="inlineStr">
        <is>
          <t>00000200</t>
        </is>
      </c>
    </row>
    <row r="3656">
      <c r="A3656" t="inlineStr">
        <is>
          <t>101182</t>
        </is>
      </c>
      <c r="B3656" t="inlineStr">
        <is>
          <t>GAHE GASES E TRANSPORTES EIRELI</t>
        </is>
      </c>
      <c r="C3656" t="n">
        <v>2111000000</v>
      </c>
      <c r="D3656" t="inlineStr">
        <is>
          <t>Other Suppliers</t>
        </is>
      </c>
      <c r="E3656" t="n">
        <v>200035265</v>
      </c>
      <c r="F3656" t="inlineStr">
        <is>
          <t>21611</t>
        </is>
      </c>
      <c r="G3656" t="inlineStr">
        <is>
          <t>UE</t>
        </is>
      </c>
      <c r="H3656" s="12" t="n">
        <v>-2100</v>
      </c>
      <c r="I3656" s="17" t="n">
        <v>45064</v>
      </c>
      <c r="J3656" s="17" t="n">
        <v>45064</v>
      </c>
      <c r="K3656" t="inlineStr">
        <is>
          <t>000013306002</t>
        </is>
      </c>
    </row>
    <row r="3657">
      <c r="A3657" t="inlineStr">
        <is>
          <t>101182</t>
        </is>
      </c>
      <c r="B3657" t="inlineStr">
        <is>
          <t>GAHE GASES E TRANSPORTES EIRELI</t>
        </is>
      </c>
      <c r="C3657" t="n">
        <v>2111000000</v>
      </c>
      <c r="D3657" t="inlineStr">
        <is>
          <t>Other Suppliers</t>
        </is>
      </c>
      <c r="E3657" t="n">
        <v>200035266</v>
      </c>
      <c r="F3657" t="inlineStr">
        <is>
          <t>21612</t>
        </is>
      </c>
      <c r="G3657" t="inlineStr">
        <is>
          <t>UE</t>
        </is>
      </c>
      <c r="H3657" s="12" t="n">
        <v>-6600</v>
      </c>
      <c r="I3657" s="17" t="n">
        <v>45068</v>
      </c>
      <c r="J3657" s="17" t="n">
        <v>45068</v>
      </c>
      <c r="K3657" t="inlineStr">
        <is>
          <t>000013359002</t>
        </is>
      </c>
    </row>
    <row r="3658">
      <c r="A3658" t="inlineStr">
        <is>
          <t>101182</t>
        </is>
      </c>
      <c r="B3658" t="inlineStr">
        <is>
          <t>GAHE GASES E TRANSPORTES EIRELI</t>
        </is>
      </c>
      <c r="C3658" t="n">
        <v>2111000000</v>
      </c>
      <c r="D3658" t="inlineStr">
        <is>
          <t>Other Suppliers</t>
        </is>
      </c>
      <c r="E3658" t="n">
        <v>200035267</v>
      </c>
      <c r="F3658" t="inlineStr">
        <is>
          <t>21613</t>
        </is>
      </c>
      <c r="G3658" t="inlineStr">
        <is>
          <t>UE</t>
        </is>
      </c>
      <c r="H3658" s="12" t="n">
        <v>-1750</v>
      </c>
      <c r="I3658" s="17" t="n">
        <v>45070</v>
      </c>
      <c r="J3658" s="17" t="n">
        <v>45070</v>
      </c>
      <c r="K3658" t="inlineStr">
        <is>
          <t>000013549002</t>
        </is>
      </c>
    </row>
    <row r="3659">
      <c r="A3659" t="inlineStr">
        <is>
          <t>101182</t>
        </is>
      </c>
      <c r="B3659" t="inlineStr">
        <is>
          <t>GAHE GASES E TRANSPORTES EIRELI</t>
        </is>
      </c>
      <c r="C3659" t="n">
        <v>2111000000</v>
      </c>
      <c r="D3659" t="inlineStr">
        <is>
          <t>Other Suppliers</t>
        </is>
      </c>
      <c r="E3659" t="n">
        <v>200035268</v>
      </c>
      <c r="F3659" t="inlineStr">
        <is>
          <t>21614</t>
        </is>
      </c>
      <c r="G3659" t="inlineStr">
        <is>
          <t>UE</t>
        </is>
      </c>
      <c r="H3659" s="12" t="n">
        <v>-3600</v>
      </c>
      <c r="I3659" s="17" t="n">
        <v>45076</v>
      </c>
      <c r="J3659" s="17" t="n">
        <v>45076</v>
      </c>
      <c r="K3659" t="inlineStr">
        <is>
          <t>000013774002</t>
        </is>
      </c>
    </row>
    <row r="3660">
      <c r="A3660" t="inlineStr">
        <is>
          <t>101182</t>
        </is>
      </c>
      <c r="B3660" t="inlineStr">
        <is>
          <t>GAHE GASES E TRANSPORTES EIRELI</t>
        </is>
      </c>
      <c r="C3660" t="n">
        <v>2111000000</v>
      </c>
      <c r="D3660" t="inlineStr">
        <is>
          <t>Other Suppliers</t>
        </is>
      </c>
      <c r="E3660" t="n">
        <v>200035269</v>
      </c>
      <c r="F3660" t="inlineStr">
        <is>
          <t>21615</t>
        </is>
      </c>
      <c r="G3660" t="inlineStr">
        <is>
          <t>UE</t>
        </is>
      </c>
      <c r="H3660" s="12" t="n">
        <v>-1750</v>
      </c>
      <c r="I3660" s="17" t="n">
        <v>45079</v>
      </c>
      <c r="J3660" s="17" t="n">
        <v>45079</v>
      </c>
      <c r="K3660" t="inlineStr">
        <is>
          <t>000013900002</t>
        </is>
      </c>
    </row>
    <row r="3661">
      <c r="A3661" t="inlineStr">
        <is>
          <t>101182</t>
        </is>
      </c>
      <c r="B3661" t="inlineStr">
        <is>
          <t>GAHE GASES E TRANSPORTES EIRELI</t>
        </is>
      </c>
      <c r="C3661" t="n">
        <v>2111000000</v>
      </c>
      <c r="D3661" t="inlineStr">
        <is>
          <t>Other Suppliers</t>
        </is>
      </c>
      <c r="E3661" t="n">
        <v>200035270</v>
      </c>
      <c r="F3661" t="inlineStr">
        <is>
          <t>21616</t>
        </is>
      </c>
      <c r="G3661" t="inlineStr">
        <is>
          <t>UE</t>
        </is>
      </c>
      <c r="H3661" s="12" t="n">
        <v>-1750</v>
      </c>
      <c r="I3661" s="17" t="n">
        <v>45072</v>
      </c>
      <c r="J3661" s="17" t="n">
        <v>45072</v>
      </c>
      <c r="K3661" t="inlineStr">
        <is>
          <t>000013619002</t>
        </is>
      </c>
    </row>
    <row r="3662">
      <c r="A3662" t="inlineStr">
        <is>
          <t>101182</t>
        </is>
      </c>
      <c r="B3662" t="inlineStr">
        <is>
          <t>GAHE GASES E TRANSPORTES EIRELI</t>
        </is>
      </c>
      <c r="C3662" t="n">
        <v>2111000000</v>
      </c>
      <c r="D3662" t="inlineStr">
        <is>
          <t>Other Suppliers</t>
        </is>
      </c>
      <c r="E3662" t="n">
        <v>200035271</v>
      </c>
      <c r="F3662" t="inlineStr">
        <is>
          <t>21617</t>
        </is>
      </c>
      <c r="G3662" t="inlineStr">
        <is>
          <t>UE</t>
        </is>
      </c>
      <c r="H3662" s="12" t="n">
        <v>-5400</v>
      </c>
      <c r="I3662" s="17" t="n">
        <v>45083</v>
      </c>
      <c r="J3662" s="17" t="n">
        <v>45083</v>
      </c>
      <c r="K3662" t="inlineStr">
        <is>
          <t>000013943002</t>
        </is>
      </c>
    </row>
    <row r="3663">
      <c r="A3663" t="inlineStr">
        <is>
          <t>101182</t>
        </is>
      </c>
      <c r="B3663" t="inlineStr">
        <is>
          <t>GAHE GASES E TRANSPORTES EIRELI</t>
        </is>
      </c>
      <c r="C3663" t="n">
        <v>2111000000</v>
      </c>
      <c r="D3663" t="inlineStr">
        <is>
          <t>Other Suppliers</t>
        </is>
      </c>
      <c r="E3663" t="n">
        <v>200035272</v>
      </c>
      <c r="F3663" t="inlineStr">
        <is>
          <t>21618</t>
        </is>
      </c>
      <c r="G3663" t="inlineStr">
        <is>
          <t>UE</t>
        </is>
      </c>
      <c r="H3663" s="12" t="n">
        <v>-1750</v>
      </c>
      <c r="I3663" s="17" t="n">
        <v>45086</v>
      </c>
      <c r="J3663" s="17" t="n">
        <v>45086</v>
      </c>
      <c r="K3663" t="inlineStr">
        <is>
          <t>000013973002</t>
        </is>
      </c>
    </row>
    <row r="3664">
      <c r="A3664" t="inlineStr">
        <is>
          <t>101182</t>
        </is>
      </c>
      <c r="B3664" t="inlineStr">
        <is>
          <t>GAHE GASES E TRANSPORTES EIRELI</t>
        </is>
      </c>
      <c r="C3664" t="n">
        <v>2111000000</v>
      </c>
      <c r="D3664" t="inlineStr">
        <is>
          <t>Other Suppliers</t>
        </is>
      </c>
      <c r="E3664" t="n">
        <v>200035273</v>
      </c>
      <c r="F3664" t="inlineStr">
        <is>
          <t>21619</t>
        </is>
      </c>
      <c r="G3664" t="inlineStr">
        <is>
          <t>UE</t>
        </is>
      </c>
      <c r="H3664" s="12" t="n">
        <v>-1400</v>
      </c>
      <c r="I3664" s="17" t="n">
        <v>45096</v>
      </c>
      <c r="J3664" s="17" t="n">
        <v>45096</v>
      </c>
      <c r="K3664" t="inlineStr">
        <is>
          <t>000014152002</t>
        </is>
      </c>
    </row>
    <row r="3665">
      <c r="A3665" t="inlineStr">
        <is>
          <t>101182</t>
        </is>
      </c>
      <c r="B3665" t="inlineStr">
        <is>
          <t>GAHE GASES E TRANSPORTES EIRELI</t>
        </is>
      </c>
      <c r="C3665" t="n">
        <v>2111000000</v>
      </c>
      <c r="D3665" t="inlineStr">
        <is>
          <t>Other Suppliers</t>
        </is>
      </c>
      <c r="E3665" t="n">
        <v>200035274</v>
      </c>
      <c r="F3665" t="inlineStr">
        <is>
          <t>21620</t>
        </is>
      </c>
      <c r="G3665" t="inlineStr">
        <is>
          <t>UE</t>
        </is>
      </c>
      <c r="H3665" s="12" t="n">
        <v>-1750</v>
      </c>
      <c r="I3665" s="17" t="n">
        <v>45100</v>
      </c>
      <c r="J3665" s="17" t="n">
        <v>45100</v>
      </c>
      <c r="K3665" t="inlineStr">
        <is>
          <t>000014255002</t>
        </is>
      </c>
    </row>
    <row r="3666">
      <c r="A3666" t="inlineStr">
        <is>
          <t>101182</t>
        </is>
      </c>
      <c r="B3666" t="inlineStr">
        <is>
          <t>GAHE GASES E TRANSPORTES EIRELI</t>
        </is>
      </c>
      <c r="C3666" t="n">
        <v>2111000000</v>
      </c>
      <c r="D3666" t="inlineStr">
        <is>
          <t>Other Suppliers</t>
        </is>
      </c>
      <c r="E3666" t="n">
        <v>200035275</v>
      </c>
      <c r="F3666" t="inlineStr">
        <is>
          <t>21621</t>
        </is>
      </c>
      <c r="G3666" t="inlineStr">
        <is>
          <t>UE</t>
        </is>
      </c>
      <c r="H3666" s="12" t="n">
        <v>-4200</v>
      </c>
      <c r="I3666" s="17" t="n">
        <v>45100</v>
      </c>
      <c r="J3666" s="17" t="n">
        <v>45100</v>
      </c>
      <c r="K3666" t="inlineStr">
        <is>
          <t>000014254002</t>
        </is>
      </c>
    </row>
    <row r="3667">
      <c r="A3667" t="inlineStr">
        <is>
          <t>101182</t>
        </is>
      </c>
      <c r="B3667" t="inlineStr">
        <is>
          <t>GAHE GASES E TRANSPORTES EIRELI</t>
        </is>
      </c>
      <c r="C3667" t="n">
        <v>2111000000</v>
      </c>
      <c r="D3667" t="inlineStr">
        <is>
          <t>Other Suppliers</t>
        </is>
      </c>
      <c r="E3667" t="n">
        <v>200035276</v>
      </c>
      <c r="F3667" t="inlineStr">
        <is>
          <t>21622</t>
        </is>
      </c>
      <c r="G3667" t="inlineStr">
        <is>
          <t>UE</t>
        </is>
      </c>
      <c r="H3667" s="12" t="n">
        <v>-2100</v>
      </c>
      <c r="I3667" s="17" t="n">
        <v>45114</v>
      </c>
      <c r="J3667" s="17" t="n">
        <v>45114</v>
      </c>
      <c r="K3667" t="inlineStr">
        <is>
          <t>000014449002</t>
        </is>
      </c>
    </row>
    <row r="3668">
      <c r="A3668" t="inlineStr">
        <is>
          <t>101182</t>
        </is>
      </c>
      <c r="B3668" t="inlineStr">
        <is>
          <t>GAHE GASES E TRANSPORTES EIRELI</t>
        </is>
      </c>
      <c r="C3668" t="n">
        <v>2111000000</v>
      </c>
      <c r="D3668" t="inlineStr">
        <is>
          <t>Other Suppliers</t>
        </is>
      </c>
      <c r="E3668" t="n">
        <v>200035277</v>
      </c>
      <c r="F3668" t="inlineStr">
        <is>
          <t>21623</t>
        </is>
      </c>
      <c r="G3668" t="inlineStr">
        <is>
          <t>UE</t>
        </is>
      </c>
      <c r="H3668" s="12" t="n">
        <v>-2450</v>
      </c>
      <c r="I3668" s="17" t="n">
        <v>45106</v>
      </c>
      <c r="J3668" s="17" t="n">
        <v>45106</v>
      </c>
      <c r="K3668" t="inlineStr">
        <is>
          <t>000014304002</t>
        </is>
      </c>
    </row>
    <row r="3669">
      <c r="A3669" t="inlineStr">
        <is>
          <t>101182</t>
        </is>
      </c>
      <c r="B3669" t="inlineStr">
        <is>
          <t>GAHE GASES E TRANSPORTES EIRELI</t>
        </is>
      </c>
      <c r="C3669" t="n">
        <v>2111000000</v>
      </c>
      <c r="D3669" t="inlineStr">
        <is>
          <t>Other Suppliers</t>
        </is>
      </c>
      <c r="E3669" t="n">
        <v>200035278</v>
      </c>
      <c r="F3669" t="inlineStr">
        <is>
          <t>21624</t>
        </is>
      </c>
      <c r="G3669" t="inlineStr">
        <is>
          <t>UE</t>
        </is>
      </c>
      <c r="H3669" s="12" t="n">
        <v>-1750</v>
      </c>
      <c r="I3669" s="17" t="n">
        <v>45111</v>
      </c>
      <c r="J3669" s="17" t="n">
        <v>45111</v>
      </c>
      <c r="K3669" t="inlineStr">
        <is>
          <t>000014405002</t>
        </is>
      </c>
    </row>
    <row r="3670">
      <c r="A3670" t="inlineStr">
        <is>
          <t>101182</t>
        </is>
      </c>
      <c r="B3670" t="inlineStr">
        <is>
          <t>GAHE GASES E TRANSPORTES EIRELI</t>
        </is>
      </c>
      <c r="C3670" t="n">
        <v>2111000000</v>
      </c>
      <c r="D3670" t="inlineStr">
        <is>
          <t>Other Suppliers</t>
        </is>
      </c>
      <c r="E3670" t="n">
        <v>200035279</v>
      </c>
      <c r="F3670" t="inlineStr">
        <is>
          <t>21625</t>
        </is>
      </c>
      <c r="G3670" t="inlineStr">
        <is>
          <t>UE</t>
        </is>
      </c>
      <c r="H3670" s="12" t="n">
        <v>-4800</v>
      </c>
      <c r="I3670" s="17" t="n">
        <v>45125</v>
      </c>
      <c r="J3670" s="17" t="n">
        <v>45125</v>
      </c>
      <c r="K3670" t="inlineStr">
        <is>
          <t>000014519002</t>
        </is>
      </c>
    </row>
    <row r="3671">
      <c r="A3671" t="inlineStr">
        <is>
          <t>101182</t>
        </is>
      </c>
      <c r="B3671" t="inlineStr">
        <is>
          <t>GAHE GASES E TRANSPORTES EIRELI</t>
        </is>
      </c>
      <c r="C3671" t="n">
        <v>2111000000</v>
      </c>
      <c r="D3671" t="inlineStr">
        <is>
          <t>Other Suppliers</t>
        </is>
      </c>
      <c r="E3671" t="n">
        <v>200035280</v>
      </c>
      <c r="F3671" t="inlineStr">
        <is>
          <t>21626</t>
        </is>
      </c>
      <c r="G3671" t="inlineStr">
        <is>
          <t>UE</t>
        </is>
      </c>
      <c r="H3671" s="12" t="n">
        <v>-2800</v>
      </c>
      <c r="I3671" s="17" t="n">
        <v>45124</v>
      </c>
      <c r="J3671" s="17" t="n">
        <v>45124</v>
      </c>
      <c r="K3671" t="inlineStr">
        <is>
          <t>000014503002</t>
        </is>
      </c>
    </row>
    <row r="3672">
      <c r="A3672" t="inlineStr">
        <is>
          <t>101182</t>
        </is>
      </c>
      <c r="B3672" t="inlineStr">
        <is>
          <t>GAHE GASES E TRANSPORTES EIRELI</t>
        </is>
      </c>
      <c r="C3672" t="n">
        <v>2111000000</v>
      </c>
      <c r="D3672" t="inlineStr">
        <is>
          <t>Other Suppliers</t>
        </is>
      </c>
      <c r="E3672" t="n">
        <v>200035281</v>
      </c>
      <c r="F3672" t="inlineStr">
        <is>
          <t>21627</t>
        </is>
      </c>
      <c r="G3672" t="inlineStr">
        <is>
          <t>UE</t>
        </is>
      </c>
      <c r="H3672" s="12" t="n">
        <v>-3500</v>
      </c>
      <c r="I3672" s="17" t="n">
        <v>45127</v>
      </c>
      <c r="J3672" s="17" t="n">
        <v>45127</v>
      </c>
      <c r="K3672" t="inlineStr">
        <is>
          <t>000014544002</t>
        </is>
      </c>
    </row>
    <row r="3673">
      <c r="A3673" t="inlineStr">
        <is>
          <t>101215</t>
        </is>
      </c>
      <c r="B3673" t="inlineStr">
        <is>
          <t>ECOPORTO SANTOS SA</t>
        </is>
      </c>
      <c r="C3673" t="n">
        <v>2111000000</v>
      </c>
      <c r="D3673" t="inlineStr">
        <is>
          <t>Customs Brokerage – Overall</t>
        </is>
      </c>
      <c r="E3673" t="n">
        <v>200035289</v>
      </c>
      <c r="F3673" t="inlineStr">
        <is>
          <t>21635</t>
        </is>
      </c>
      <c r="G3673" t="inlineStr">
        <is>
          <t>UE</t>
        </is>
      </c>
      <c r="H3673" s="12" t="n">
        <v>-2641.4</v>
      </c>
      <c r="I3673" s="17" t="n">
        <v>43895</v>
      </c>
      <c r="J3673" s="17" t="n">
        <v>43895</v>
      </c>
      <c r="K3673" t="inlineStr">
        <is>
          <t>49827200</t>
        </is>
      </c>
    </row>
    <row r="3674">
      <c r="A3674" t="inlineStr">
        <is>
          <t>101222</t>
        </is>
      </c>
      <c r="B3674" t="inlineStr">
        <is>
          <t>AGROPECUARIA CANOA MIRIM SA</t>
        </is>
      </c>
      <c r="C3674" t="n">
        <v>2111000000</v>
      </c>
      <c r="D3674" t="inlineStr">
        <is>
          <t>Other Suppliers</t>
        </is>
      </c>
      <c r="E3674" t="n">
        <v>200035290</v>
      </c>
      <c r="F3674" t="inlineStr">
        <is>
          <t>21636</t>
        </is>
      </c>
      <c r="G3674" t="inlineStr">
        <is>
          <t>UE</t>
        </is>
      </c>
      <c r="H3674" s="12" t="n">
        <v>-8000</v>
      </c>
      <c r="I3674" s="17" t="n">
        <v>45049</v>
      </c>
      <c r="J3674" s="17" t="n">
        <v>45049</v>
      </c>
      <c r="K3674" t="inlineStr">
        <is>
          <t>20230600</t>
        </is>
      </c>
    </row>
    <row r="3675">
      <c r="A3675" t="inlineStr">
        <is>
          <t>101222</t>
        </is>
      </c>
      <c r="B3675" t="inlineStr">
        <is>
          <t>AGROPECUARIA CANOA MIRIM SA</t>
        </is>
      </c>
      <c r="C3675" t="n">
        <v>2111000000</v>
      </c>
      <c r="D3675" t="inlineStr">
        <is>
          <t>Other Suppliers</t>
        </is>
      </c>
      <c r="E3675" t="n">
        <v>200035291</v>
      </c>
      <c r="F3675" t="inlineStr">
        <is>
          <t>21637</t>
        </is>
      </c>
      <c r="G3675" t="inlineStr">
        <is>
          <t>UE</t>
        </is>
      </c>
      <c r="H3675" s="12" t="n">
        <v>-8000</v>
      </c>
      <c r="I3675" s="17" t="n">
        <v>45110</v>
      </c>
      <c r="J3675" s="17" t="n">
        <v>45110</v>
      </c>
      <c r="K3675" t="inlineStr">
        <is>
          <t>20230800</t>
        </is>
      </c>
    </row>
    <row r="3676">
      <c r="A3676" t="inlineStr">
        <is>
          <t>101255</t>
        </is>
      </c>
      <c r="B3676" t="inlineStr">
        <is>
          <t>WILSON SONS LOGISTICA LTDA</t>
        </is>
      </c>
      <c r="C3676" t="n">
        <v>2111000000</v>
      </c>
      <c r="D3676" t="inlineStr">
        <is>
          <t>Operational Suppliers (Wind Farms)</t>
        </is>
      </c>
      <c r="E3676" t="n">
        <v>200035302</v>
      </c>
      <c r="F3676" t="inlineStr">
        <is>
          <t>21648</t>
        </is>
      </c>
      <c r="G3676" t="inlineStr">
        <is>
          <t>UE</t>
        </is>
      </c>
      <c r="H3676" s="12" t="n">
        <v>-50.59</v>
      </c>
      <c r="I3676" s="17" t="n">
        <v>44750</v>
      </c>
      <c r="J3676" s="17" t="n">
        <v>44750</v>
      </c>
      <c r="K3676" t="inlineStr">
        <is>
          <t>00272900</t>
        </is>
      </c>
    </row>
    <row r="3677">
      <c r="A3677" t="inlineStr">
        <is>
          <t>101255</t>
        </is>
      </c>
      <c r="B3677" t="inlineStr">
        <is>
          <t>WILSON SONS LOGISTICA LTDA</t>
        </is>
      </c>
      <c r="C3677" t="n">
        <v>2111000000</v>
      </c>
      <c r="D3677" t="inlineStr">
        <is>
          <t>Operational Suppliers (Wind Farms)</t>
        </is>
      </c>
      <c r="E3677" t="n">
        <v>200035308</v>
      </c>
      <c r="F3677" t="inlineStr">
        <is>
          <t>21654</t>
        </is>
      </c>
      <c r="G3677" t="inlineStr">
        <is>
          <t>UE</t>
        </is>
      </c>
      <c r="H3677" s="12" t="n">
        <v>-2822.85</v>
      </c>
      <c r="I3677" s="17" t="n">
        <v>45036</v>
      </c>
      <c r="J3677" s="17" t="n">
        <v>45036</v>
      </c>
      <c r="K3677" t="inlineStr">
        <is>
          <t>00411300</t>
        </is>
      </c>
    </row>
    <row r="3678">
      <c r="A3678" t="inlineStr">
        <is>
          <t>101255</t>
        </is>
      </c>
      <c r="B3678" t="inlineStr">
        <is>
          <t>WILSON SONS LOGISTICA LTDA</t>
        </is>
      </c>
      <c r="C3678" t="n">
        <v>2111000000</v>
      </c>
      <c r="D3678" t="inlineStr">
        <is>
          <t>Operational Suppliers (Wind Farms)</t>
        </is>
      </c>
      <c r="E3678" t="n">
        <v>200035309</v>
      </c>
      <c r="F3678" t="inlineStr">
        <is>
          <t>21655</t>
        </is>
      </c>
      <c r="G3678" t="inlineStr">
        <is>
          <t>UE</t>
        </is>
      </c>
      <c r="H3678" s="12" t="n">
        <v>-163630.91</v>
      </c>
      <c r="I3678" s="17" t="n">
        <v>45036</v>
      </c>
      <c r="J3678" s="17" t="n">
        <v>45036</v>
      </c>
      <c r="K3678" t="inlineStr">
        <is>
          <t>00411500</t>
        </is>
      </c>
    </row>
    <row r="3679">
      <c r="A3679" t="inlineStr">
        <is>
          <t>100805</t>
        </is>
      </c>
      <c r="B3679" t="inlineStr">
        <is>
          <t>EXPRESSO VALE REAL LTDA</t>
        </is>
      </c>
      <c r="C3679" t="n">
        <v>2111000000</v>
      </c>
      <c r="D3679" t="inlineStr">
        <is>
          <t>Operational Suppliers (Wind Farms)</t>
        </is>
      </c>
      <c r="E3679" t="n">
        <v>200035435</v>
      </c>
      <c r="F3679" t="inlineStr">
        <is>
          <t>21781</t>
        </is>
      </c>
      <c r="G3679" t="inlineStr">
        <is>
          <t>UE</t>
        </is>
      </c>
      <c r="H3679" s="12" t="n">
        <v>-1171.11</v>
      </c>
      <c r="I3679" s="17" t="n">
        <v>45110</v>
      </c>
      <c r="J3679" s="17" t="n">
        <v>45110</v>
      </c>
      <c r="K3679" t="inlineStr">
        <is>
          <t>000017560001</t>
        </is>
      </c>
    </row>
    <row r="3680">
      <c r="A3680" t="inlineStr">
        <is>
          <t>100805</t>
        </is>
      </c>
      <c r="B3680" t="inlineStr">
        <is>
          <t>EXPRESSO VALE REAL LTDA</t>
        </is>
      </c>
      <c r="C3680" t="n">
        <v>2111000000</v>
      </c>
      <c r="D3680" t="inlineStr">
        <is>
          <t>Operational Suppliers (Wind Farms)</t>
        </is>
      </c>
      <c r="E3680" t="n">
        <v>200035441</v>
      </c>
      <c r="F3680" t="inlineStr">
        <is>
          <t>21787</t>
        </is>
      </c>
      <c r="G3680" t="inlineStr">
        <is>
          <t>UE</t>
        </is>
      </c>
      <c r="H3680" s="12" t="n">
        <v>-1153.7</v>
      </c>
      <c r="I3680" s="17" t="n">
        <v>45119</v>
      </c>
      <c r="J3680" s="17" t="n">
        <v>45119</v>
      </c>
      <c r="K3680" t="inlineStr">
        <is>
          <t>000017704001</t>
        </is>
      </c>
    </row>
    <row r="3681">
      <c r="A3681" t="inlineStr">
        <is>
          <t>100805</t>
        </is>
      </c>
      <c r="B3681" t="inlineStr">
        <is>
          <t>EXPRESSO VALE REAL LTDA</t>
        </is>
      </c>
      <c r="C3681" t="n">
        <v>2111000000</v>
      </c>
      <c r="D3681" t="inlineStr">
        <is>
          <t>Operational Suppliers (Wind Farms)</t>
        </is>
      </c>
      <c r="E3681" t="n">
        <v>200035444</v>
      </c>
      <c r="F3681" t="inlineStr">
        <is>
          <t>21790</t>
        </is>
      </c>
      <c r="G3681" t="inlineStr">
        <is>
          <t>UE</t>
        </is>
      </c>
      <c r="H3681" s="12" t="n">
        <v>-848.9400000000001</v>
      </c>
      <c r="I3681" s="17" t="n">
        <v>45120</v>
      </c>
      <c r="J3681" s="17" t="n">
        <v>45120</v>
      </c>
      <c r="K3681" t="inlineStr">
        <is>
          <t>000017716001</t>
        </is>
      </c>
    </row>
    <row r="3682">
      <c r="A3682" t="inlineStr">
        <is>
          <t>100805</t>
        </is>
      </c>
      <c r="B3682" t="inlineStr">
        <is>
          <t>EXPRESSO VALE REAL LTDA</t>
        </is>
      </c>
      <c r="C3682" t="n">
        <v>2111000000</v>
      </c>
      <c r="D3682" t="inlineStr">
        <is>
          <t>Operational Suppliers (Wind Farms)</t>
        </is>
      </c>
      <c r="E3682" t="n">
        <v>200035446</v>
      </c>
      <c r="F3682" t="inlineStr">
        <is>
          <t>21792</t>
        </is>
      </c>
      <c r="G3682" t="inlineStr">
        <is>
          <t>UE</t>
        </is>
      </c>
      <c r="H3682" s="12" t="n">
        <v>-848.9400000000001</v>
      </c>
      <c r="I3682" s="17" t="n">
        <v>45126</v>
      </c>
      <c r="J3682" s="17" t="n">
        <v>45126</v>
      </c>
      <c r="K3682" t="inlineStr">
        <is>
          <t>000017783001</t>
        </is>
      </c>
    </row>
    <row r="3683">
      <c r="A3683" t="inlineStr">
        <is>
          <t>100910</t>
        </is>
      </c>
      <c r="B3683" t="inlineStr">
        <is>
          <t>DSV AIR E SEA BRASIL LTDA</t>
        </is>
      </c>
      <c r="C3683" t="n">
        <v>2111000000</v>
      </c>
      <c r="D3683" t="inlineStr">
        <is>
          <t>Customs Brokerage – Overall</t>
        </is>
      </c>
      <c r="E3683" t="n">
        <v>200035728</v>
      </c>
      <c r="F3683" t="inlineStr">
        <is>
          <t>22074</t>
        </is>
      </c>
      <c r="G3683" t="inlineStr">
        <is>
          <t>UE</t>
        </is>
      </c>
      <c r="H3683" s="12" t="n">
        <v>-2043</v>
      </c>
      <c r="I3683" s="17" t="n">
        <v>44390</v>
      </c>
      <c r="J3683" s="17" t="n">
        <v>44390</v>
      </c>
      <c r="K3683" t="inlineStr">
        <is>
          <t>10650800</t>
        </is>
      </c>
    </row>
    <row r="3684">
      <c r="A3684" t="inlineStr">
        <is>
          <t>100910</t>
        </is>
      </c>
      <c r="B3684" t="inlineStr">
        <is>
          <t>DSV AIR E SEA BRASIL LTDA</t>
        </is>
      </c>
      <c r="C3684" t="n">
        <v>2111000000</v>
      </c>
      <c r="D3684" t="inlineStr">
        <is>
          <t>Customs Brokerage – Overall</t>
        </is>
      </c>
      <c r="E3684" t="n">
        <v>200035730</v>
      </c>
      <c r="F3684" t="inlineStr">
        <is>
          <t>22076</t>
        </is>
      </c>
      <c r="G3684" t="inlineStr">
        <is>
          <t>UE</t>
        </is>
      </c>
      <c r="H3684" s="12" t="n">
        <v>-2043</v>
      </c>
      <c r="I3684" s="17" t="n">
        <v>44390</v>
      </c>
      <c r="J3684" s="17" t="n">
        <v>44390</v>
      </c>
      <c r="K3684" t="inlineStr">
        <is>
          <t>10656500</t>
        </is>
      </c>
    </row>
    <row r="3685">
      <c r="A3685" t="inlineStr">
        <is>
          <t>100910</t>
        </is>
      </c>
      <c r="B3685" t="inlineStr">
        <is>
          <t>DSV AIR E SEA BRASIL LTDA</t>
        </is>
      </c>
      <c r="C3685" t="n">
        <v>2111000000</v>
      </c>
      <c r="D3685" t="inlineStr">
        <is>
          <t>Customs Brokerage – Overall</t>
        </is>
      </c>
      <c r="E3685" t="n">
        <v>200035731</v>
      </c>
      <c r="F3685" t="inlineStr">
        <is>
          <t>22077</t>
        </is>
      </c>
      <c r="G3685" t="inlineStr">
        <is>
          <t>UE</t>
        </is>
      </c>
      <c r="H3685" s="12" t="n">
        <v>-466.47</v>
      </c>
      <c r="I3685" s="17" t="n">
        <v>44410</v>
      </c>
      <c r="J3685" s="17" t="n">
        <v>44410</v>
      </c>
      <c r="K3685" t="inlineStr">
        <is>
          <t>10733600</t>
        </is>
      </c>
    </row>
    <row r="3686">
      <c r="A3686" t="inlineStr">
        <is>
          <t>100910</t>
        </is>
      </c>
      <c r="B3686" t="inlineStr">
        <is>
          <t>DSV AIR E SEA BRASIL LTDA</t>
        </is>
      </c>
      <c r="C3686" t="n">
        <v>2111000000</v>
      </c>
      <c r="D3686" t="inlineStr">
        <is>
          <t>Customs Brokerage – Overall</t>
        </is>
      </c>
      <c r="E3686" t="n">
        <v>200035732</v>
      </c>
      <c r="F3686" t="inlineStr">
        <is>
          <t>22078</t>
        </is>
      </c>
      <c r="G3686" t="inlineStr">
        <is>
          <t>UE</t>
        </is>
      </c>
      <c r="H3686" s="12" t="n">
        <v>-2159.09</v>
      </c>
      <c r="I3686" s="17" t="n">
        <v>44571</v>
      </c>
      <c r="J3686" s="17" t="n">
        <v>44571</v>
      </c>
      <c r="K3686" t="inlineStr">
        <is>
          <t>11260900</t>
        </is>
      </c>
    </row>
    <row r="3687">
      <c r="A3687" t="inlineStr">
        <is>
          <t>100910</t>
        </is>
      </c>
      <c r="B3687" t="inlineStr">
        <is>
          <t>DSV AIR E SEA BRASIL LTDA</t>
        </is>
      </c>
      <c r="C3687" t="n">
        <v>2111000000</v>
      </c>
      <c r="D3687" t="inlineStr">
        <is>
          <t>Customs Brokerage – Overall</t>
        </is>
      </c>
      <c r="E3687" t="n">
        <v>200035733</v>
      </c>
      <c r="F3687" t="inlineStr">
        <is>
          <t>22079</t>
        </is>
      </c>
      <c r="G3687" t="inlineStr">
        <is>
          <t>UE</t>
        </is>
      </c>
      <c r="H3687" s="12" t="n">
        <v>-2154.9</v>
      </c>
      <c r="I3687" s="17" t="n">
        <v>44557</v>
      </c>
      <c r="J3687" s="17" t="n">
        <v>44557</v>
      </c>
      <c r="K3687" t="inlineStr">
        <is>
          <t>11233000</t>
        </is>
      </c>
    </row>
    <row r="3688">
      <c r="A3688" t="inlineStr">
        <is>
          <t>100910</t>
        </is>
      </c>
      <c r="B3688" t="inlineStr">
        <is>
          <t>DSV AIR E SEA BRASIL LTDA</t>
        </is>
      </c>
      <c r="C3688" t="n">
        <v>2111000000</v>
      </c>
      <c r="D3688" t="inlineStr">
        <is>
          <t>Customs Brokerage – Overall</t>
        </is>
      </c>
      <c r="E3688" t="n">
        <v>200035734</v>
      </c>
      <c r="F3688" t="inlineStr">
        <is>
          <t>22080</t>
        </is>
      </c>
      <c r="G3688" t="inlineStr">
        <is>
          <t>UE</t>
        </is>
      </c>
      <c r="H3688" s="12" t="n">
        <v>-2164.36</v>
      </c>
      <c r="I3688" s="17" t="n">
        <v>44550</v>
      </c>
      <c r="J3688" s="17" t="n">
        <v>44550</v>
      </c>
      <c r="K3688" t="inlineStr">
        <is>
          <t>11216200</t>
        </is>
      </c>
    </row>
    <row r="3689">
      <c r="A3689" t="inlineStr">
        <is>
          <t>100910</t>
        </is>
      </c>
      <c r="B3689" t="inlineStr">
        <is>
          <t>DSV AIR E SEA BRASIL LTDA</t>
        </is>
      </c>
      <c r="C3689" t="n">
        <v>2111000000</v>
      </c>
      <c r="D3689" t="inlineStr">
        <is>
          <t>Customs Brokerage – Overall</t>
        </is>
      </c>
      <c r="E3689" t="n">
        <v>200035735</v>
      </c>
      <c r="F3689" t="inlineStr">
        <is>
          <t>22081</t>
        </is>
      </c>
      <c r="G3689" t="inlineStr">
        <is>
          <t>UE</t>
        </is>
      </c>
      <c r="H3689" s="12" t="n">
        <v>-466.47</v>
      </c>
      <c r="I3689" s="17" t="n">
        <v>44613</v>
      </c>
      <c r="J3689" s="17" t="n">
        <v>44613</v>
      </c>
      <c r="K3689" t="inlineStr">
        <is>
          <t>11444600</t>
        </is>
      </c>
    </row>
    <row r="3690">
      <c r="A3690" t="inlineStr">
        <is>
          <t>100910</t>
        </is>
      </c>
      <c r="B3690" t="inlineStr">
        <is>
          <t>DSV AIR E SEA BRASIL LTDA</t>
        </is>
      </c>
      <c r="C3690" t="n">
        <v>2111000000</v>
      </c>
      <c r="D3690" t="inlineStr">
        <is>
          <t>Customs Brokerage – Overall</t>
        </is>
      </c>
      <c r="E3690" t="n">
        <v>200035736</v>
      </c>
      <c r="F3690" t="inlineStr">
        <is>
          <t>22082</t>
        </is>
      </c>
      <c r="G3690" t="inlineStr">
        <is>
          <t>UE</t>
        </is>
      </c>
      <c r="H3690" s="12" t="n">
        <v>-2060.33</v>
      </c>
      <c r="I3690" s="17" t="n">
        <v>44600</v>
      </c>
      <c r="J3690" s="17" t="n">
        <v>44600</v>
      </c>
      <c r="K3690" t="inlineStr">
        <is>
          <t>11374800</t>
        </is>
      </c>
    </row>
    <row r="3691">
      <c r="A3691" t="inlineStr">
        <is>
          <t>100910</t>
        </is>
      </c>
      <c r="B3691" t="inlineStr">
        <is>
          <t>DSV AIR E SEA BRASIL LTDA</t>
        </is>
      </c>
      <c r="C3691" t="n">
        <v>2111000000</v>
      </c>
      <c r="D3691" t="inlineStr">
        <is>
          <t>Customs Brokerage – Overall</t>
        </is>
      </c>
      <c r="E3691" t="n">
        <v>200035737</v>
      </c>
      <c r="F3691" t="inlineStr">
        <is>
          <t>22083</t>
        </is>
      </c>
      <c r="G3691" t="inlineStr">
        <is>
          <t>UE</t>
        </is>
      </c>
      <c r="H3691" s="12" t="n">
        <v>-2060.33</v>
      </c>
      <c r="I3691" s="17" t="n">
        <v>44600</v>
      </c>
      <c r="J3691" s="17" t="n">
        <v>44600</v>
      </c>
      <c r="K3691" t="inlineStr">
        <is>
          <t>11375300</t>
        </is>
      </c>
    </row>
    <row r="3692">
      <c r="A3692" t="inlineStr">
        <is>
          <t>100910</t>
        </is>
      </c>
      <c r="B3692" t="inlineStr">
        <is>
          <t>DSV AIR E SEA BRASIL LTDA</t>
        </is>
      </c>
      <c r="C3692" t="n">
        <v>2111000000</v>
      </c>
      <c r="D3692" t="inlineStr">
        <is>
          <t>Customs Brokerage – Overall</t>
        </is>
      </c>
      <c r="E3692" t="n">
        <v>200035738</v>
      </c>
      <c r="F3692" t="inlineStr">
        <is>
          <t>22084</t>
        </is>
      </c>
      <c r="G3692" t="inlineStr">
        <is>
          <t>UE</t>
        </is>
      </c>
      <c r="H3692" s="12" t="n">
        <v>-2027.34</v>
      </c>
      <c r="I3692" s="17" t="n">
        <v>44609</v>
      </c>
      <c r="J3692" s="17" t="n">
        <v>44609</v>
      </c>
      <c r="K3692" t="inlineStr">
        <is>
          <t>11432200</t>
        </is>
      </c>
    </row>
    <row r="3693">
      <c r="A3693" t="inlineStr">
        <is>
          <t>100910</t>
        </is>
      </c>
      <c r="B3693" t="inlineStr">
        <is>
          <t>DSV AIR E SEA BRASIL LTDA</t>
        </is>
      </c>
      <c r="C3693" t="n">
        <v>2111000000</v>
      </c>
      <c r="D3693" t="inlineStr">
        <is>
          <t>Customs Brokerage – Overall</t>
        </is>
      </c>
      <c r="E3693" t="n">
        <v>200035739</v>
      </c>
      <c r="F3693" t="inlineStr">
        <is>
          <t>22085</t>
        </is>
      </c>
      <c r="G3693" t="inlineStr">
        <is>
          <t>UE</t>
        </is>
      </c>
      <c r="H3693" s="12" t="n">
        <v>-2060.33</v>
      </c>
      <c r="I3693" s="17" t="n">
        <v>44600</v>
      </c>
      <c r="J3693" s="17" t="n">
        <v>44600</v>
      </c>
      <c r="K3693" t="inlineStr">
        <is>
          <t>11374900</t>
        </is>
      </c>
    </row>
    <row r="3694">
      <c r="A3694" t="inlineStr">
        <is>
          <t>100910</t>
        </is>
      </c>
      <c r="B3694" t="inlineStr">
        <is>
          <t>DSV AIR E SEA BRASIL LTDA</t>
        </is>
      </c>
      <c r="C3694" t="n">
        <v>2111000000</v>
      </c>
      <c r="D3694" t="inlineStr">
        <is>
          <t>Customs Brokerage – Overall</t>
        </is>
      </c>
      <c r="E3694" t="n">
        <v>200035740</v>
      </c>
      <c r="F3694" t="inlineStr">
        <is>
          <t>22086</t>
        </is>
      </c>
      <c r="G3694" t="inlineStr">
        <is>
          <t>UE</t>
        </is>
      </c>
      <c r="H3694" s="12" t="n">
        <v>-2060.33</v>
      </c>
      <c r="I3694" s="17" t="n">
        <v>44600</v>
      </c>
      <c r="J3694" s="17" t="n">
        <v>44600</v>
      </c>
      <c r="K3694" t="inlineStr">
        <is>
          <t>11375800</t>
        </is>
      </c>
    </row>
    <row r="3695">
      <c r="A3695" t="inlineStr">
        <is>
          <t>100910</t>
        </is>
      </c>
      <c r="B3695" t="inlineStr">
        <is>
          <t>DSV AIR E SEA BRASIL LTDA</t>
        </is>
      </c>
      <c r="C3695" t="n">
        <v>2111000000</v>
      </c>
      <c r="D3695" t="inlineStr">
        <is>
          <t>Customs Brokerage – Overall</t>
        </is>
      </c>
      <c r="E3695" t="n">
        <v>200035741</v>
      </c>
      <c r="F3695" t="inlineStr">
        <is>
          <t>22087</t>
        </is>
      </c>
      <c r="G3695" t="inlineStr">
        <is>
          <t>UE</t>
        </is>
      </c>
      <c r="H3695" s="12" t="n">
        <v>-2027.34</v>
      </c>
      <c r="I3695" s="17" t="n">
        <v>44609</v>
      </c>
      <c r="J3695" s="17" t="n">
        <v>44609</v>
      </c>
      <c r="K3695" t="inlineStr">
        <is>
          <t>11431900</t>
        </is>
      </c>
    </row>
    <row r="3696">
      <c r="A3696" t="inlineStr">
        <is>
          <t>100910</t>
        </is>
      </c>
      <c r="B3696" t="inlineStr">
        <is>
          <t>DSV AIR E SEA BRASIL LTDA</t>
        </is>
      </c>
      <c r="C3696" t="n">
        <v>2111000000</v>
      </c>
      <c r="D3696" t="inlineStr">
        <is>
          <t>Customs Brokerage – Overall</t>
        </is>
      </c>
      <c r="E3696" t="n">
        <v>200035742</v>
      </c>
      <c r="F3696" t="inlineStr">
        <is>
          <t>22088</t>
        </is>
      </c>
      <c r="G3696" t="inlineStr">
        <is>
          <t>UE</t>
        </is>
      </c>
      <c r="H3696" s="12" t="n">
        <v>-2027.34</v>
      </c>
      <c r="I3696" s="17" t="n">
        <v>44609</v>
      </c>
      <c r="J3696" s="17" t="n">
        <v>44609</v>
      </c>
      <c r="K3696" t="inlineStr">
        <is>
          <t>11432800</t>
        </is>
      </c>
    </row>
    <row r="3697">
      <c r="A3697" t="inlineStr">
        <is>
          <t>100910</t>
        </is>
      </c>
      <c r="B3697" t="inlineStr">
        <is>
          <t>DSV AIR E SEA BRASIL LTDA</t>
        </is>
      </c>
      <c r="C3697" t="n">
        <v>2111000000</v>
      </c>
      <c r="D3697" t="inlineStr">
        <is>
          <t>Customs Brokerage – Overall</t>
        </is>
      </c>
      <c r="E3697" t="n">
        <v>200035743</v>
      </c>
      <c r="F3697" t="inlineStr">
        <is>
          <t>22089</t>
        </is>
      </c>
      <c r="G3697" t="inlineStr">
        <is>
          <t>UE</t>
        </is>
      </c>
      <c r="H3697" s="12" t="n">
        <v>-2060.33</v>
      </c>
      <c r="I3697" s="17" t="n">
        <v>44600</v>
      </c>
      <c r="J3697" s="17" t="n">
        <v>44600</v>
      </c>
      <c r="K3697" t="inlineStr">
        <is>
          <t>11375400</t>
        </is>
      </c>
    </row>
    <row r="3698">
      <c r="A3698" t="inlineStr">
        <is>
          <t>100910</t>
        </is>
      </c>
      <c r="B3698" t="inlineStr">
        <is>
          <t>DSV AIR E SEA BRASIL LTDA</t>
        </is>
      </c>
      <c r="C3698" t="n">
        <v>2111000000</v>
      </c>
      <c r="D3698" t="inlineStr">
        <is>
          <t>Customs Brokerage – Overall</t>
        </is>
      </c>
      <c r="E3698" t="n">
        <v>200035744</v>
      </c>
      <c r="F3698" t="inlineStr">
        <is>
          <t>22090</t>
        </is>
      </c>
      <c r="G3698" t="inlineStr">
        <is>
          <t>UE</t>
        </is>
      </c>
      <c r="H3698" s="12" t="n">
        <v>-2027.34</v>
      </c>
      <c r="I3698" s="17" t="n">
        <v>44609</v>
      </c>
      <c r="J3698" s="17" t="n">
        <v>44609</v>
      </c>
      <c r="K3698" t="inlineStr">
        <is>
          <t>11432400</t>
        </is>
      </c>
    </row>
    <row r="3699">
      <c r="A3699" t="inlineStr">
        <is>
          <t>100910</t>
        </is>
      </c>
      <c r="B3699" t="inlineStr">
        <is>
          <t>DSV AIR E SEA BRASIL LTDA</t>
        </is>
      </c>
      <c r="C3699" t="n">
        <v>2111000000</v>
      </c>
      <c r="D3699" t="inlineStr">
        <is>
          <t>Customs Brokerage – Overall</t>
        </is>
      </c>
      <c r="E3699" t="n">
        <v>200035745</v>
      </c>
      <c r="F3699" t="inlineStr">
        <is>
          <t>22091</t>
        </is>
      </c>
      <c r="G3699" t="inlineStr">
        <is>
          <t>UE</t>
        </is>
      </c>
      <c r="H3699" s="12" t="n">
        <v>-2027.34</v>
      </c>
      <c r="I3699" s="17" t="n">
        <v>44609</v>
      </c>
      <c r="J3699" s="17" t="n">
        <v>44609</v>
      </c>
      <c r="K3699" t="inlineStr">
        <is>
          <t>11432100</t>
        </is>
      </c>
    </row>
    <row r="3700">
      <c r="A3700" t="inlineStr">
        <is>
          <t>102123</t>
        </is>
      </c>
      <c r="B3700" t="inlineStr">
        <is>
          <t>COLUMBIA DO NORDESTE S A</t>
        </is>
      </c>
      <c r="C3700" t="n">
        <v>2111000000</v>
      </c>
      <c r="D3700" t="inlineStr">
        <is>
          <t>Customs Brokerage – Overall</t>
        </is>
      </c>
      <c r="E3700" t="n">
        <v>200035853</v>
      </c>
      <c r="F3700" t="inlineStr">
        <is>
          <t>20001</t>
        </is>
      </c>
      <c r="G3700" t="inlineStr">
        <is>
          <t>UE</t>
        </is>
      </c>
      <c r="H3700" s="12" t="n">
        <v>-1072.03</v>
      </c>
      <c r="I3700" s="17" t="n">
        <v>44146</v>
      </c>
      <c r="J3700" s="17" t="n">
        <v>44146</v>
      </c>
      <c r="K3700" t="inlineStr">
        <is>
          <t>00530800</t>
        </is>
      </c>
    </row>
    <row r="3701">
      <c r="A3701" t="inlineStr">
        <is>
          <t>101806</t>
        </is>
      </c>
      <c r="B3701" t="inlineStr">
        <is>
          <t>COLUMBIA DO NORD S A</t>
        </is>
      </c>
      <c r="C3701" t="n">
        <v>2111000000</v>
      </c>
      <c r="D3701" t="inlineStr">
        <is>
          <t>Customs Brokerage – Overall</t>
        </is>
      </c>
      <c r="E3701" t="n">
        <v>200035879</v>
      </c>
      <c r="F3701" t="inlineStr">
        <is>
          <t>20027</t>
        </is>
      </c>
      <c r="G3701" t="inlineStr">
        <is>
          <t>UE</t>
        </is>
      </c>
      <c r="H3701" s="12" t="n">
        <v>-10789.89</v>
      </c>
      <c r="I3701" s="17" t="n">
        <v>42154</v>
      </c>
      <c r="J3701" s="17" t="n">
        <v>42154</v>
      </c>
      <c r="K3701" t="inlineStr">
        <is>
          <t>000073524000</t>
        </is>
      </c>
    </row>
    <row r="3702">
      <c r="A3702" t="inlineStr">
        <is>
          <t>101809</t>
        </is>
      </c>
      <c r="B3702" t="inlineStr">
        <is>
          <t>TECON SUAPE SA</t>
        </is>
      </c>
      <c r="C3702" t="n">
        <v>2111000000</v>
      </c>
      <c r="D3702" t="inlineStr">
        <is>
          <t>Customs Brokerage – Overall</t>
        </is>
      </c>
      <c r="E3702" t="n">
        <v>200035880</v>
      </c>
      <c r="F3702" t="inlineStr">
        <is>
          <t>20028</t>
        </is>
      </c>
      <c r="G3702" t="inlineStr">
        <is>
          <t>UE</t>
        </is>
      </c>
      <c r="H3702" s="12" t="n">
        <v>-85</v>
      </c>
      <c r="I3702" s="17" t="n">
        <v>43721</v>
      </c>
      <c r="J3702" s="17" t="n">
        <v>43721</v>
      </c>
      <c r="K3702" t="inlineStr">
        <is>
          <t>02430000</t>
        </is>
      </c>
    </row>
    <row r="3703">
      <c r="A3703" t="inlineStr">
        <is>
          <t>101809</t>
        </is>
      </c>
      <c r="B3703" t="inlineStr">
        <is>
          <t>TECON SUAPE SA</t>
        </is>
      </c>
      <c r="C3703" t="n">
        <v>2111000000</v>
      </c>
      <c r="D3703" t="inlineStr">
        <is>
          <t>Customs Brokerage – Overall</t>
        </is>
      </c>
      <c r="E3703" t="n">
        <v>200035881</v>
      </c>
      <c r="F3703" t="inlineStr">
        <is>
          <t>20029</t>
        </is>
      </c>
      <c r="G3703" t="inlineStr">
        <is>
          <t>UE</t>
        </is>
      </c>
      <c r="H3703" s="12" t="n">
        <v>-16219.1</v>
      </c>
      <c r="I3703" s="17" t="n">
        <v>44686</v>
      </c>
      <c r="J3703" s="17" t="n">
        <v>44686</v>
      </c>
      <c r="K3703" t="inlineStr">
        <is>
          <t>01156900</t>
        </is>
      </c>
    </row>
    <row r="3704">
      <c r="A3704" t="inlineStr">
        <is>
          <t>101813</t>
        </is>
      </c>
      <c r="B3704" t="inlineStr">
        <is>
          <t>TECON RIO GRANDE SA</t>
        </is>
      </c>
      <c r="C3704" t="n">
        <v>2111000000</v>
      </c>
      <c r="D3704" t="inlineStr">
        <is>
          <t>Customs Brokerage – Overall</t>
        </is>
      </c>
      <c r="E3704" t="n">
        <v>200035883</v>
      </c>
      <c r="F3704" t="inlineStr">
        <is>
          <t>20031</t>
        </is>
      </c>
      <c r="G3704" t="inlineStr">
        <is>
          <t>UE</t>
        </is>
      </c>
      <c r="H3704" s="12" t="n">
        <v>-1397.82</v>
      </c>
      <c r="I3704" s="17" t="n">
        <v>43262</v>
      </c>
      <c r="J3704" s="17" t="n">
        <v>43262</v>
      </c>
      <c r="K3704" t="inlineStr">
        <is>
          <t>80923700</t>
        </is>
      </c>
    </row>
    <row r="3705">
      <c r="A3705" t="inlineStr">
        <is>
          <t>101813</t>
        </is>
      </c>
      <c r="B3705" t="inlineStr">
        <is>
          <t>TECON RIO GRANDE SA</t>
        </is>
      </c>
      <c r="C3705" t="n">
        <v>2111000000</v>
      </c>
      <c r="D3705" t="inlineStr">
        <is>
          <t>Customs Brokerage – Overall</t>
        </is>
      </c>
      <c r="E3705" t="n">
        <v>200035884</v>
      </c>
      <c r="F3705" t="inlineStr">
        <is>
          <t>20032</t>
        </is>
      </c>
      <c r="G3705" t="inlineStr">
        <is>
          <t>UE</t>
        </is>
      </c>
      <c r="H3705" s="12" t="n">
        <v>-2415.96</v>
      </c>
      <c r="I3705" s="17" t="n">
        <v>43244</v>
      </c>
      <c r="J3705" s="17" t="n">
        <v>43244</v>
      </c>
      <c r="K3705" t="inlineStr">
        <is>
          <t>80002500</t>
        </is>
      </c>
    </row>
    <row r="3706">
      <c r="A3706" t="inlineStr">
        <is>
          <t>101813</t>
        </is>
      </c>
      <c r="B3706" t="inlineStr">
        <is>
          <t>TECON RIO GRANDE SA</t>
        </is>
      </c>
      <c r="C3706" t="n">
        <v>2111000000</v>
      </c>
      <c r="D3706" t="inlineStr">
        <is>
          <t>Customs Brokerage – Overall</t>
        </is>
      </c>
      <c r="E3706" t="n">
        <v>200035885</v>
      </c>
      <c r="F3706" t="inlineStr">
        <is>
          <t>20033</t>
        </is>
      </c>
      <c r="G3706" t="inlineStr">
        <is>
          <t>UE</t>
        </is>
      </c>
      <c r="H3706" s="12" t="n">
        <v>-47</v>
      </c>
      <c r="I3706" s="17" t="n">
        <v>43221</v>
      </c>
      <c r="J3706" s="17" t="n">
        <v>43221</v>
      </c>
      <c r="K3706" t="inlineStr">
        <is>
          <t>78538800</t>
        </is>
      </c>
    </row>
    <row r="3707">
      <c r="A3707" t="inlineStr">
        <is>
          <t>101813</t>
        </is>
      </c>
      <c r="B3707" t="inlineStr">
        <is>
          <t>TECON RIO GRANDE SA</t>
        </is>
      </c>
      <c r="C3707" t="n">
        <v>2111000000</v>
      </c>
      <c r="D3707" t="inlineStr">
        <is>
          <t>Customs Brokerage – Overall</t>
        </is>
      </c>
      <c r="E3707" t="n">
        <v>200035886</v>
      </c>
      <c r="F3707" t="inlineStr">
        <is>
          <t>20034</t>
        </is>
      </c>
      <c r="G3707" t="inlineStr">
        <is>
          <t>UE</t>
        </is>
      </c>
      <c r="H3707" s="12" t="n">
        <v>-4874</v>
      </c>
      <c r="I3707" s="17" t="n">
        <v>43221</v>
      </c>
      <c r="J3707" s="17" t="n">
        <v>43221</v>
      </c>
      <c r="K3707" t="inlineStr">
        <is>
          <t>78549000</t>
        </is>
      </c>
    </row>
    <row r="3708">
      <c r="A3708" t="inlineStr">
        <is>
          <t>101813</t>
        </is>
      </c>
      <c r="B3708" t="inlineStr">
        <is>
          <t>TECON RIO GRANDE SA</t>
        </is>
      </c>
      <c r="C3708" t="n">
        <v>2111000000</v>
      </c>
      <c r="D3708" t="inlineStr">
        <is>
          <t>Customs Brokerage – Overall</t>
        </is>
      </c>
      <c r="E3708" t="n">
        <v>200035887</v>
      </c>
      <c r="F3708" t="inlineStr">
        <is>
          <t>20035</t>
        </is>
      </c>
      <c r="G3708" t="inlineStr">
        <is>
          <t>UE</t>
        </is>
      </c>
      <c r="H3708" s="12" t="n">
        <v>-7784.76</v>
      </c>
      <c r="I3708" s="17" t="n">
        <v>43221</v>
      </c>
      <c r="J3708" s="17" t="n">
        <v>43221</v>
      </c>
      <c r="K3708" t="inlineStr">
        <is>
          <t>78545100</t>
        </is>
      </c>
    </row>
    <row r="3709">
      <c r="A3709" t="inlineStr">
        <is>
          <t>101813</t>
        </is>
      </c>
      <c r="B3709" t="inlineStr">
        <is>
          <t>TECON RIO GRANDE SA</t>
        </is>
      </c>
      <c r="C3709" t="n">
        <v>2111000000</v>
      </c>
      <c r="D3709" t="inlineStr">
        <is>
          <t>Customs Brokerage – Overall</t>
        </is>
      </c>
      <c r="E3709" t="n">
        <v>200035888</v>
      </c>
      <c r="F3709" t="inlineStr">
        <is>
          <t>20036</t>
        </is>
      </c>
      <c r="G3709" t="inlineStr">
        <is>
          <t>UE</t>
        </is>
      </c>
      <c r="H3709" s="12" t="n">
        <v>-167</v>
      </c>
      <c r="I3709" s="17" t="n">
        <v>43203</v>
      </c>
      <c r="J3709" s="17" t="n">
        <v>43203</v>
      </c>
      <c r="K3709" t="inlineStr">
        <is>
          <t>77473400</t>
        </is>
      </c>
    </row>
    <row r="3710">
      <c r="A3710" t="inlineStr">
        <is>
          <t>101813</t>
        </is>
      </c>
      <c r="B3710" t="inlineStr">
        <is>
          <t>TECON RIO GRANDE SA</t>
        </is>
      </c>
      <c r="C3710" t="n">
        <v>2111000000</v>
      </c>
      <c r="D3710" t="inlineStr">
        <is>
          <t>Customs Brokerage – Overall</t>
        </is>
      </c>
      <c r="E3710" t="n">
        <v>200035889</v>
      </c>
      <c r="F3710" t="inlineStr">
        <is>
          <t>20037</t>
        </is>
      </c>
      <c r="G3710" t="inlineStr">
        <is>
          <t>UE</t>
        </is>
      </c>
      <c r="H3710" s="12" t="n">
        <v>-2415.96</v>
      </c>
      <c r="I3710" s="17" t="n">
        <v>43239</v>
      </c>
      <c r="J3710" s="17" t="n">
        <v>43239</v>
      </c>
      <c r="K3710" t="inlineStr">
        <is>
          <t>79826100</t>
        </is>
      </c>
    </row>
    <row r="3711">
      <c r="A3711" t="inlineStr">
        <is>
          <t>101813</t>
        </is>
      </c>
      <c r="B3711" t="inlineStr">
        <is>
          <t>TECON RIO GRANDE SA</t>
        </is>
      </c>
      <c r="C3711" t="n">
        <v>2111000000</v>
      </c>
      <c r="D3711" t="inlineStr">
        <is>
          <t>Customs Brokerage – Overall</t>
        </is>
      </c>
      <c r="E3711" t="n">
        <v>200035890</v>
      </c>
      <c r="F3711" t="inlineStr">
        <is>
          <t>20038</t>
        </is>
      </c>
      <c r="G3711" t="inlineStr">
        <is>
          <t>UE</t>
        </is>
      </c>
      <c r="H3711" s="12" t="n">
        <v>-9932.280000000001</v>
      </c>
      <c r="I3711" s="17" t="n">
        <v>43239</v>
      </c>
      <c r="J3711" s="17" t="n">
        <v>43239</v>
      </c>
      <c r="K3711" t="inlineStr">
        <is>
          <t>79722200</t>
        </is>
      </c>
    </row>
    <row r="3712">
      <c r="A3712" t="inlineStr">
        <is>
          <t>101813</t>
        </is>
      </c>
      <c r="B3712" t="inlineStr">
        <is>
          <t>TECON RIO GRANDE SA</t>
        </is>
      </c>
      <c r="C3712" t="n">
        <v>2111000000</v>
      </c>
      <c r="D3712" t="inlineStr">
        <is>
          <t>Customs Brokerage – Overall</t>
        </is>
      </c>
      <c r="E3712" t="n">
        <v>200035891</v>
      </c>
      <c r="F3712" t="inlineStr">
        <is>
          <t>20039</t>
        </is>
      </c>
      <c r="G3712" t="inlineStr">
        <is>
          <t>UE</t>
        </is>
      </c>
      <c r="H3712" s="12" t="n">
        <v>-208.08</v>
      </c>
      <c r="I3712" s="17" t="n">
        <v>43761</v>
      </c>
      <c r="J3712" s="17" t="n">
        <v>43761</v>
      </c>
      <c r="K3712" t="inlineStr">
        <is>
          <t>11109800</t>
        </is>
      </c>
    </row>
    <row r="3713">
      <c r="A3713" t="inlineStr">
        <is>
          <t>101813</t>
        </is>
      </c>
      <c r="B3713" t="inlineStr">
        <is>
          <t>TECON RIO GRANDE SA</t>
        </is>
      </c>
      <c r="C3713" t="n">
        <v>2111000000</v>
      </c>
      <c r="D3713" t="inlineStr">
        <is>
          <t>Customs Brokerage – Overall</t>
        </is>
      </c>
      <c r="E3713" t="n">
        <v>200035892</v>
      </c>
      <c r="F3713" t="inlineStr">
        <is>
          <t>20040</t>
        </is>
      </c>
      <c r="G3713" t="inlineStr">
        <is>
          <t>UE</t>
        </is>
      </c>
      <c r="H3713" s="12" t="n">
        <v>-772.6</v>
      </c>
      <c r="I3713" s="17" t="n">
        <v>43760</v>
      </c>
      <c r="J3713" s="17" t="n">
        <v>43760</v>
      </c>
      <c r="K3713" t="inlineStr">
        <is>
          <t>10970700</t>
        </is>
      </c>
    </row>
    <row r="3714">
      <c r="A3714" t="inlineStr">
        <is>
          <t>101813</t>
        </is>
      </c>
      <c r="B3714" t="inlineStr">
        <is>
          <t>TECON RIO GRANDE SA</t>
        </is>
      </c>
      <c r="C3714" t="n">
        <v>2111000000</v>
      </c>
      <c r="D3714" t="inlineStr">
        <is>
          <t>Customs Brokerage – Overall</t>
        </is>
      </c>
      <c r="E3714" t="n">
        <v>200035893</v>
      </c>
      <c r="F3714" t="inlineStr">
        <is>
          <t>20041</t>
        </is>
      </c>
      <c r="G3714" t="inlineStr">
        <is>
          <t>UE</t>
        </is>
      </c>
      <c r="H3714" s="12" t="n">
        <v>-2000.72</v>
      </c>
      <c r="I3714" s="17" t="n">
        <v>43718</v>
      </c>
      <c r="J3714" s="17" t="n">
        <v>43718</v>
      </c>
      <c r="K3714" t="inlineStr">
        <is>
          <t>10852200</t>
        </is>
      </c>
    </row>
    <row r="3715">
      <c r="A3715" t="inlineStr">
        <is>
          <t>101813</t>
        </is>
      </c>
      <c r="B3715" t="inlineStr">
        <is>
          <t>TECON RIO GRANDE SA</t>
        </is>
      </c>
      <c r="C3715" t="n">
        <v>2111000000</v>
      </c>
      <c r="D3715" t="inlineStr">
        <is>
          <t>Customs Brokerage – Overall</t>
        </is>
      </c>
      <c r="E3715" t="n">
        <v>200035894</v>
      </c>
      <c r="F3715" t="inlineStr">
        <is>
          <t>20042</t>
        </is>
      </c>
      <c r="G3715" t="inlineStr">
        <is>
          <t>UE</t>
        </is>
      </c>
      <c r="H3715" s="12" t="n">
        <v>-49</v>
      </c>
      <c r="I3715" s="17" t="n">
        <v>43718</v>
      </c>
      <c r="J3715" s="17" t="n">
        <v>43718</v>
      </c>
      <c r="K3715" t="inlineStr">
        <is>
          <t>10853500</t>
        </is>
      </c>
    </row>
    <row r="3716">
      <c r="A3716" t="inlineStr">
        <is>
          <t>101813</t>
        </is>
      </c>
      <c r="B3716" t="inlineStr">
        <is>
          <t>TECON RIO GRANDE SA</t>
        </is>
      </c>
      <c r="C3716" t="n">
        <v>2111000000</v>
      </c>
      <c r="D3716" t="inlineStr">
        <is>
          <t>Customs Brokerage – Overall</t>
        </is>
      </c>
      <c r="E3716" t="n">
        <v>200035895</v>
      </c>
      <c r="F3716" t="inlineStr">
        <is>
          <t>20043</t>
        </is>
      </c>
      <c r="G3716" t="inlineStr">
        <is>
          <t>UE</t>
        </is>
      </c>
      <c r="H3716" s="12" t="n">
        <v>-8449.52</v>
      </c>
      <c r="I3716" s="17" t="n">
        <v>43736</v>
      </c>
      <c r="J3716" s="17" t="n">
        <v>43736</v>
      </c>
      <c r="K3716" t="inlineStr">
        <is>
          <t>10955600</t>
        </is>
      </c>
    </row>
    <row r="3717">
      <c r="A3717" t="inlineStr">
        <is>
          <t>101813</t>
        </is>
      </c>
      <c r="B3717" t="inlineStr">
        <is>
          <t>TECON RIO GRANDE SA</t>
        </is>
      </c>
      <c r="C3717" t="n">
        <v>2111000000</v>
      </c>
      <c r="D3717" t="inlineStr">
        <is>
          <t>Customs Brokerage – Overall</t>
        </is>
      </c>
      <c r="E3717" t="n">
        <v>200035896</v>
      </c>
      <c r="F3717" t="inlineStr">
        <is>
          <t>20044</t>
        </is>
      </c>
      <c r="G3717" t="inlineStr">
        <is>
          <t>UE</t>
        </is>
      </c>
      <c r="H3717" s="12" t="n">
        <v>-565.54</v>
      </c>
      <c r="I3717" s="17" t="n">
        <v>43761</v>
      </c>
      <c r="J3717" s="17" t="n">
        <v>43761</v>
      </c>
      <c r="K3717" t="inlineStr">
        <is>
          <t>11109800</t>
        </is>
      </c>
    </row>
    <row r="3718">
      <c r="A3718" t="inlineStr">
        <is>
          <t>101813</t>
        </is>
      </c>
      <c r="B3718" t="inlineStr">
        <is>
          <t>TECON RIO GRANDE SA</t>
        </is>
      </c>
      <c r="C3718" t="n">
        <v>2111000000</v>
      </c>
      <c r="D3718" t="inlineStr">
        <is>
          <t>Customs Brokerage – Overall</t>
        </is>
      </c>
      <c r="E3718" t="n">
        <v>200035897</v>
      </c>
      <c r="F3718" t="inlineStr">
        <is>
          <t>20045</t>
        </is>
      </c>
      <c r="G3718" t="inlineStr">
        <is>
          <t>UE</t>
        </is>
      </c>
      <c r="H3718" s="12" t="n">
        <v>-11128.68</v>
      </c>
      <c r="I3718" s="17" t="n">
        <v>43760</v>
      </c>
      <c r="J3718" s="17" t="n">
        <v>43760</v>
      </c>
      <c r="K3718" t="inlineStr">
        <is>
          <t>11097400</t>
        </is>
      </c>
    </row>
    <row r="3719">
      <c r="A3719" t="inlineStr">
        <is>
          <t>101813</t>
        </is>
      </c>
      <c r="B3719" t="inlineStr">
        <is>
          <t>TECON RIO GRANDE SA</t>
        </is>
      </c>
      <c r="C3719" t="n">
        <v>2111000000</v>
      </c>
      <c r="D3719" t="inlineStr">
        <is>
          <t>Customs Brokerage – Overall</t>
        </is>
      </c>
      <c r="E3719" t="n">
        <v>200035898</v>
      </c>
      <c r="F3719" t="inlineStr">
        <is>
          <t>20046</t>
        </is>
      </c>
      <c r="G3719" t="inlineStr">
        <is>
          <t>UE</t>
        </is>
      </c>
      <c r="H3719" s="12" t="n">
        <v>-5633.9</v>
      </c>
      <c r="I3719" s="17" t="n">
        <v>43718</v>
      </c>
      <c r="J3719" s="17" t="n">
        <v>43718</v>
      </c>
      <c r="K3719" t="inlineStr">
        <is>
          <t>10852100</t>
        </is>
      </c>
    </row>
    <row r="3720">
      <c r="A3720" t="inlineStr">
        <is>
          <t>101813</t>
        </is>
      </c>
      <c r="B3720" t="inlineStr">
        <is>
          <t>TECON RIO GRANDE SA</t>
        </is>
      </c>
      <c r="C3720" t="n">
        <v>2111000000</v>
      </c>
      <c r="D3720" t="inlineStr">
        <is>
          <t>Customs Brokerage – Overall</t>
        </is>
      </c>
      <c r="E3720" t="n">
        <v>200035899</v>
      </c>
      <c r="F3720" t="inlineStr">
        <is>
          <t>20047</t>
        </is>
      </c>
      <c r="G3720" t="inlineStr">
        <is>
          <t>UE</t>
        </is>
      </c>
      <c r="H3720" s="12" t="n">
        <v>-49</v>
      </c>
      <c r="I3720" s="17" t="n">
        <v>43718</v>
      </c>
      <c r="J3720" s="17" t="n">
        <v>43718</v>
      </c>
      <c r="K3720" t="inlineStr">
        <is>
          <t>10852200</t>
        </is>
      </c>
    </row>
    <row r="3721">
      <c r="A3721" t="inlineStr">
        <is>
          <t>101813</t>
        </is>
      </c>
      <c r="B3721" t="inlineStr">
        <is>
          <t>TECON RIO GRANDE SA</t>
        </is>
      </c>
      <c r="C3721" t="n">
        <v>2111000000</v>
      </c>
      <c r="D3721" t="inlineStr">
        <is>
          <t>Customs Brokerage – Overall</t>
        </is>
      </c>
      <c r="E3721" t="n">
        <v>200035900</v>
      </c>
      <c r="F3721" t="inlineStr">
        <is>
          <t>20048</t>
        </is>
      </c>
      <c r="G3721" t="inlineStr">
        <is>
          <t>UE</t>
        </is>
      </c>
      <c r="H3721" s="12" t="n">
        <v>-5574.03</v>
      </c>
      <c r="I3721" s="17" t="n">
        <v>43860</v>
      </c>
      <c r="J3721" s="17" t="n">
        <v>43860</v>
      </c>
      <c r="K3721" t="inlineStr">
        <is>
          <t>95782500</t>
        </is>
      </c>
    </row>
    <row r="3722">
      <c r="A3722" t="inlineStr">
        <is>
          <t>101813</t>
        </is>
      </c>
      <c r="B3722" t="inlineStr">
        <is>
          <t>TECON RIO GRANDE SA</t>
        </is>
      </c>
      <c r="C3722" t="n">
        <v>2111000000</v>
      </c>
      <c r="D3722" t="inlineStr">
        <is>
          <t>Customs Brokerage – Overall</t>
        </is>
      </c>
      <c r="E3722" t="n">
        <v>200035901</v>
      </c>
      <c r="F3722" t="inlineStr">
        <is>
          <t>20049</t>
        </is>
      </c>
      <c r="G3722" t="inlineStr">
        <is>
          <t>UE</t>
        </is>
      </c>
      <c r="H3722" s="12" t="n">
        <v>-49</v>
      </c>
      <c r="I3722" s="17" t="n">
        <v>43483</v>
      </c>
      <c r="J3722" s="17" t="n">
        <v>43483</v>
      </c>
      <c r="K3722" t="inlineStr">
        <is>
          <t>95152900</t>
        </is>
      </c>
    </row>
    <row r="3723">
      <c r="A3723" t="inlineStr">
        <is>
          <t>101813</t>
        </is>
      </c>
      <c r="B3723" t="inlineStr">
        <is>
          <t>TECON RIO GRANDE SA</t>
        </is>
      </c>
      <c r="C3723" t="n">
        <v>2111000000</v>
      </c>
      <c r="D3723" t="inlineStr">
        <is>
          <t>Customs Brokerage – Overall</t>
        </is>
      </c>
      <c r="E3723" t="n">
        <v>200035902</v>
      </c>
      <c r="F3723" t="inlineStr">
        <is>
          <t>20050</t>
        </is>
      </c>
      <c r="G3723" t="inlineStr">
        <is>
          <t>UE</t>
        </is>
      </c>
      <c r="H3723" s="12" t="n">
        <v>-15638.99</v>
      </c>
      <c r="I3723" s="17" t="n">
        <v>43483</v>
      </c>
      <c r="J3723" s="17" t="n">
        <v>43483</v>
      </c>
      <c r="K3723" t="inlineStr">
        <is>
          <t>95169000</t>
        </is>
      </c>
    </row>
    <row r="3724">
      <c r="A3724" t="inlineStr">
        <is>
          <t>101813</t>
        </is>
      </c>
      <c r="B3724" t="inlineStr">
        <is>
          <t>TECON RIO GRANDE SA</t>
        </is>
      </c>
      <c r="C3724" t="n">
        <v>2111000000</v>
      </c>
      <c r="D3724" t="inlineStr">
        <is>
          <t>Customs Brokerage – Overall</t>
        </is>
      </c>
      <c r="E3724" t="n">
        <v>200035903</v>
      </c>
      <c r="F3724" t="inlineStr">
        <is>
          <t>20051</t>
        </is>
      </c>
      <c r="G3724" t="inlineStr">
        <is>
          <t>UE</t>
        </is>
      </c>
      <c r="H3724" s="12" t="n">
        <v>-1405.79</v>
      </c>
      <c r="I3724" s="17" t="n">
        <v>43490</v>
      </c>
      <c r="J3724" s="17" t="n">
        <v>43490</v>
      </c>
      <c r="K3724" t="inlineStr">
        <is>
          <t>95530500</t>
        </is>
      </c>
    </row>
    <row r="3725">
      <c r="A3725" t="inlineStr">
        <is>
          <t>101813</t>
        </is>
      </c>
      <c r="B3725" t="inlineStr">
        <is>
          <t>TECON RIO GRANDE SA</t>
        </is>
      </c>
      <c r="C3725" t="n">
        <v>2111000000</v>
      </c>
      <c r="D3725" t="inlineStr">
        <is>
          <t>Customs Brokerage – Overall</t>
        </is>
      </c>
      <c r="E3725" t="n">
        <v>200035904</v>
      </c>
      <c r="F3725" t="inlineStr">
        <is>
          <t>20052</t>
        </is>
      </c>
      <c r="G3725" t="inlineStr">
        <is>
          <t>UE</t>
        </is>
      </c>
      <c r="H3725" s="12" t="n">
        <v>-1581.51</v>
      </c>
      <c r="I3725" s="17" t="n">
        <v>43491</v>
      </c>
      <c r="J3725" s="17" t="n">
        <v>43491</v>
      </c>
      <c r="K3725" t="inlineStr">
        <is>
          <t>95578400</t>
        </is>
      </c>
    </row>
    <row r="3726">
      <c r="A3726" t="inlineStr">
        <is>
          <t>101813</t>
        </is>
      </c>
      <c r="B3726" t="inlineStr">
        <is>
          <t>TECON RIO GRANDE SA</t>
        </is>
      </c>
      <c r="C3726" t="n">
        <v>2111000000</v>
      </c>
      <c r="D3726" t="inlineStr">
        <is>
          <t>Customs Brokerage – Overall</t>
        </is>
      </c>
      <c r="E3726" t="n">
        <v>200035907</v>
      </c>
      <c r="F3726" t="inlineStr">
        <is>
          <t>20055</t>
        </is>
      </c>
      <c r="G3726" t="inlineStr">
        <is>
          <t>UE</t>
        </is>
      </c>
      <c r="H3726" s="12" t="n">
        <v>-175</v>
      </c>
      <c r="I3726" s="17" t="n">
        <v>44093</v>
      </c>
      <c r="J3726" s="17" t="n">
        <v>44093</v>
      </c>
      <c r="K3726" t="inlineStr">
        <is>
          <t>28100200</t>
        </is>
      </c>
    </row>
    <row r="3727">
      <c r="A3727" t="inlineStr">
        <is>
          <t>101813</t>
        </is>
      </c>
      <c r="B3727" t="inlineStr">
        <is>
          <t>TECON RIO GRANDE SA</t>
        </is>
      </c>
      <c r="C3727" t="n">
        <v>2111000000</v>
      </c>
      <c r="D3727" t="inlineStr">
        <is>
          <t>Customs Brokerage – Overall</t>
        </is>
      </c>
      <c r="E3727" t="n">
        <v>200035908</v>
      </c>
      <c r="F3727" t="inlineStr">
        <is>
          <t>20056</t>
        </is>
      </c>
      <c r="G3727" t="inlineStr">
        <is>
          <t>UE</t>
        </is>
      </c>
      <c r="H3727" s="12" t="n">
        <v>-500.76</v>
      </c>
      <c r="I3727" s="17" t="n">
        <v>44090</v>
      </c>
      <c r="J3727" s="17" t="n">
        <v>44090</v>
      </c>
      <c r="K3727" t="inlineStr">
        <is>
          <t>27858000</t>
        </is>
      </c>
    </row>
    <row r="3728">
      <c r="A3728" t="inlineStr">
        <is>
          <t>101813</t>
        </is>
      </c>
      <c r="B3728" t="inlineStr">
        <is>
          <t>TECON RIO GRANDE SA</t>
        </is>
      </c>
      <c r="C3728" t="n">
        <v>2111000000</v>
      </c>
      <c r="D3728" t="inlineStr">
        <is>
          <t>Customs Brokerage – Overall</t>
        </is>
      </c>
      <c r="E3728" t="n">
        <v>200035909</v>
      </c>
      <c r="F3728" t="inlineStr">
        <is>
          <t>20057</t>
        </is>
      </c>
      <c r="G3728" t="inlineStr">
        <is>
          <t>UE</t>
        </is>
      </c>
      <c r="H3728" s="12" t="n">
        <v>-2165</v>
      </c>
      <c r="I3728" s="17" t="n">
        <v>44072</v>
      </c>
      <c r="J3728" s="17" t="n">
        <v>44072</v>
      </c>
      <c r="K3728" t="inlineStr">
        <is>
          <t>27046000</t>
        </is>
      </c>
    </row>
    <row r="3729">
      <c r="A3729" t="inlineStr">
        <is>
          <t>101813</t>
        </is>
      </c>
      <c r="B3729" t="inlineStr">
        <is>
          <t>TECON RIO GRANDE SA</t>
        </is>
      </c>
      <c r="C3729" t="n">
        <v>2111000000</v>
      </c>
      <c r="D3729" t="inlineStr">
        <is>
          <t>Customs Brokerage – Overall</t>
        </is>
      </c>
      <c r="E3729" t="n">
        <v>200035910</v>
      </c>
      <c r="F3729" t="inlineStr">
        <is>
          <t>20058</t>
        </is>
      </c>
      <c r="G3729" t="inlineStr">
        <is>
          <t>UE</t>
        </is>
      </c>
      <c r="H3729" s="12" t="n">
        <v>-52</v>
      </c>
      <c r="I3729" s="17" t="n">
        <v>44072</v>
      </c>
      <c r="J3729" s="17" t="n">
        <v>44072</v>
      </c>
      <c r="K3729" t="inlineStr">
        <is>
          <t>27032400</t>
        </is>
      </c>
    </row>
    <row r="3730">
      <c r="A3730" t="inlineStr">
        <is>
          <t>101813</t>
        </is>
      </c>
      <c r="B3730" t="inlineStr">
        <is>
          <t>TECON RIO GRANDE SA</t>
        </is>
      </c>
      <c r="C3730" t="n">
        <v>2111000000</v>
      </c>
      <c r="D3730" t="inlineStr">
        <is>
          <t>Customs Brokerage – Overall</t>
        </is>
      </c>
      <c r="E3730" t="n">
        <v>200035911</v>
      </c>
      <c r="F3730" t="inlineStr">
        <is>
          <t>20059</t>
        </is>
      </c>
      <c r="G3730" t="inlineStr">
        <is>
          <t>UE</t>
        </is>
      </c>
      <c r="H3730" s="12" t="n">
        <v>-145</v>
      </c>
      <c r="I3730" s="17" t="n">
        <v>44124</v>
      </c>
      <c r="J3730" s="17" t="n">
        <v>44124</v>
      </c>
      <c r="K3730" t="inlineStr">
        <is>
          <t>29532600</t>
        </is>
      </c>
    </row>
    <row r="3731">
      <c r="A3731" t="inlineStr">
        <is>
          <t>101813</t>
        </is>
      </c>
      <c r="B3731" t="inlineStr">
        <is>
          <t>TECON RIO GRANDE SA</t>
        </is>
      </c>
      <c r="C3731" t="n">
        <v>2111000000</v>
      </c>
      <c r="D3731" t="inlineStr">
        <is>
          <t>Customs Brokerage – Overall</t>
        </is>
      </c>
      <c r="E3731" t="n">
        <v>200035912</v>
      </c>
      <c r="F3731" t="inlineStr">
        <is>
          <t>20060</t>
        </is>
      </c>
      <c r="G3731" t="inlineStr">
        <is>
          <t>UE</t>
        </is>
      </c>
      <c r="H3731" s="12" t="n">
        <v>-2057</v>
      </c>
      <c r="I3731" s="17" t="n">
        <v>44119</v>
      </c>
      <c r="J3731" s="17" t="n">
        <v>44119</v>
      </c>
      <c r="K3731" t="inlineStr">
        <is>
          <t>29290400</t>
        </is>
      </c>
    </row>
    <row r="3732">
      <c r="A3732" t="inlineStr">
        <is>
          <t>101813</t>
        </is>
      </c>
      <c r="B3732" t="inlineStr">
        <is>
          <t>TECON RIO GRANDE SA</t>
        </is>
      </c>
      <c r="C3732" t="n">
        <v>2111000000</v>
      </c>
      <c r="D3732" t="inlineStr">
        <is>
          <t>Customs Brokerage – Overall</t>
        </is>
      </c>
      <c r="E3732" t="n">
        <v>200035913</v>
      </c>
      <c r="F3732" t="inlineStr">
        <is>
          <t>20061</t>
        </is>
      </c>
      <c r="G3732" t="inlineStr">
        <is>
          <t>UE</t>
        </is>
      </c>
      <c r="H3732" s="12" t="n">
        <v>-52</v>
      </c>
      <c r="I3732" s="17" t="n">
        <v>44119</v>
      </c>
      <c r="J3732" s="17" t="n">
        <v>44119</v>
      </c>
      <c r="K3732" t="inlineStr">
        <is>
          <t>29294100</t>
        </is>
      </c>
    </row>
    <row r="3733">
      <c r="A3733" t="inlineStr">
        <is>
          <t>101813</t>
        </is>
      </c>
      <c r="B3733" t="inlineStr">
        <is>
          <t>TECON RIO GRANDE SA</t>
        </is>
      </c>
      <c r="C3733" t="n">
        <v>2111000000</v>
      </c>
      <c r="D3733" t="inlineStr">
        <is>
          <t>Customs Brokerage – Overall</t>
        </is>
      </c>
      <c r="E3733" t="n">
        <v>200035914</v>
      </c>
      <c r="F3733" t="inlineStr">
        <is>
          <t>20062</t>
        </is>
      </c>
      <c r="G3733" t="inlineStr">
        <is>
          <t>UE</t>
        </is>
      </c>
      <c r="H3733" s="12" t="n">
        <v>-210.84</v>
      </c>
      <c r="I3733" s="17" t="n">
        <v>44181</v>
      </c>
      <c r="J3733" s="17" t="n">
        <v>44181</v>
      </c>
      <c r="K3733" t="inlineStr">
        <is>
          <t>32910400</t>
        </is>
      </c>
    </row>
    <row r="3734">
      <c r="A3734" t="inlineStr">
        <is>
          <t>101813</t>
        </is>
      </c>
      <c r="B3734" t="inlineStr">
        <is>
          <t>TECON RIO GRANDE SA</t>
        </is>
      </c>
      <c r="C3734" t="n">
        <v>2111000000</v>
      </c>
      <c r="D3734" t="inlineStr">
        <is>
          <t>Customs Brokerage – Overall</t>
        </is>
      </c>
      <c r="E3734" t="n">
        <v>200035920</v>
      </c>
      <c r="F3734" t="inlineStr">
        <is>
          <t>20068</t>
        </is>
      </c>
      <c r="G3734" t="inlineStr">
        <is>
          <t>UE</t>
        </is>
      </c>
      <c r="H3734" s="12" t="n">
        <v>-1551.3</v>
      </c>
      <c r="I3734" s="17" t="n">
        <v>44371</v>
      </c>
      <c r="J3734" s="17" t="n">
        <v>44371</v>
      </c>
      <c r="K3734" t="inlineStr">
        <is>
          <t>14391800</t>
        </is>
      </c>
    </row>
    <row r="3735">
      <c r="A3735" t="inlineStr">
        <is>
          <t>101817</t>
        </is>
      </c>
      <c r="B3735" t="inlineStr">
        <is>
          <t>FIGWAL TRANSPORTES INTERNACIONAIS L</t>
        </is>
      </c>
      <c r="C3735" t="n">
        <v>2111000000</v>
      </c>
      <c r="D3735" t="inlineStr">
        <is>
          <t>Customs Brokerage – Overall</t>
        </is>
      </c>
      <c r="E3735" t="n">
        <v>200035922</v>
      </c>
      <c r="F3735" t="inlineStr">
        <is>
          <t>20070</t>
        </is>
      </c>
      <c r="G3735" t="inlineStr">
        <is>
          <t>UE</t>
        </is>
      </c>
      <c r="H3735" s="12" t="n">
        <v>-130</v>
      </c>
      <c r="I3735" s="17" t="n">
        <v>44627</v>
      </c>
      <c r="J3735" s="17" t="n">
        <v>44627</v>
      </c>
      <c r="K3735" t="inlineStr">
        <is>
          <t>25612100</t>
        </is>
      </c>
    </row>
    <row r="3736">
      <c r="A3736" t="inlineStr">
        <is>
          <t>101817</t>
        </is>
      </c>
      <c r="B3736" t="inlineStr">
        <is>
          <t>FIGWAL TRANSPORTES INTERNACIONAIS L</t>
        </is>
      </c>
      <c r="C3736" t="n">
        <v>2111000000</v>
      </c>
      <c r="D3736" t="inlineStr">
        <is>
          <t>Customs Brokerage – Overall</t>
        </is>
      </c>
      <c r="E3736" t="n">
        <v>200035923</v>
      </c>
      <c r="F3736" t="inlineStr">
        <is>
          <t>20071</t>
        </is>
      </c>
      <c r="G3736" t="inlineStr">
        <is>
          <t>UE</t>
        </is>
      </c>
      <c r="H3736" s="12" t="n">
        <v>-130</v>
      </c>
      <c r="I3736" s="17" t="n">
        <v>44686</v>
      </c>
      <c r="J3736" s="17" t="n">
        <v>44686</v>
      </c>
      <c r="K3736" t="inlineStr">
        <is>
          <t>25805800</t>
        </is>
      </c>
    </row>
    <row r="3737">
      <c r="A3737" t="inlineStr">
        <is>
          <t>101817</t>
        </is>
      </c>
      <c r="B3737" t="inlineStr">
        <is>
          <t>FIGWAL TRANSPORTES INTERNACIONAIS L</t>
        </is>
      </c>
      <c r="C3737" t="n">
        <v>2111000000</v>
      </c>
      <c r="D3737" t="inlineStr">
        <is>
          <t>Customs Brokerage – Overall</t>
        </is>
      </c>
      <c r="E3737" t="n">
        <v>200035924</v>
      </c>
      <c r="F3737" t="inlineStr">
        <is>
          <t>20072</t>
        </is>
      </c>
      <c r="G3737" t="inlineStr">
        <is>
          <t>UE</t>
        </is>
      </c>
      <c r="H3737" s="12" t="n">
        <v>-130</v>
      </c>
      <c r="I3737" s="17" t="n">
        <v>44690</v>
      </c>
      <c r="J3737" s="17" t="n">
        <v>44690</v>
      </c>
      <c r="K3737" t="inlineStr">
        <is>
          <t>25817900</t>
        </is>
      </c>
    </row>
    <row r="3738">
      <c r="A3738" t="inlineStr">
        <is>
          <t>101817</t>
        </is>
      </c>
      <c r="B3738" t="inlineStr">
        <is>
          <t>FIGWAL TRANSPORTES INTERNACIONAIS L</t>
        </is>
      </c>
      <c r="C3738" t="n">
        <v>2111000000</v>
      </c>
      <c r="D3738" t="inlineStr">
        <is>
          <t>Customs Brokerage – Overall</t>
        </is>
      </c>
      <c r="E3738" t="n">
        <v>200035925</v>
      </c>
      <c r="F3738" t="inlineStr">
        <is>
          <t>20073</t>
        </is>
      </c>
      <c r="G3738" t="inlineStr">
        <is>
          <t>UE</t>
        </is>
      </c>
      <c r="H3738" s="12" t="n">
        <v>-130</v>
      </c>
      <c r="I3738" s="17" t="n">
        <v>44663</v>
      </c>
      <c r="J3738" s="17" t="n">
        <v>44663</v>
      </c>
      <c r="K3738" t="inlineStr">
        <is>
          <t>25720900</t>
        </is>
      </c>
    </row>
    <row r="3739">
      <c r="A3739" t="inlineStr">
        <is>
          <t>101875</t>
        </is>
      </c>
      <c r="B3739" t="inlineStr">
        <is>
          <t>DANIEL TRANSPORTES LTDA</t>
        </is>
      </c>
      <c r="C3739" t="n">
        <v>2111000000</v>
      </c>
      <c r="D3739" t="inlineStr">
        <is>
          <t>Operational Suppliers (Wind Farms)</t>
        </is>
      </c>
      <c r="E3739" t="n">
        <v>200036187</v>
      </c>
      <c r="F3739" t="inlineStr">
        <is>
          <t>20335</t>
        </is>
      </c>
      <c r="G3739" t="inlineStr">
        <is>
          <t>UE</t>
        </is>
      </c>
      <c r="H3739" s="12" t="n">
        <v>-499</v>
      </c>
      <c r="I3739" s="17" t="n">
        <v>44286</v>
      </c>
      <c r="J3739" s="17" t="n">
        <v>44286</v>
      </c>
      <c r="K3739" t="inlineStr">
        <is>
          <t>00162200</t>
        </is>
      </c>
    </row>
    <row r="3740">
      <c r="A3740" t="inlineStr">
        <is>
          <t>101875</t>
        </is>
      </c>
      <c r="B3740" t="inlineStr">
        <is>
          <t>DANIEL TRANSPORTES LTDA</t>
        </is>
      </c>
      <c r="C3740" t="n">
        <v>2111000000</v>
      </c>
      <c r="D3740" t="inlineStr">
        <is>
          <t>Operational Suppliers (Wind Farms)</t>
        </is>
      </c>
      <c r="E3740" t="n">
        <v>200036188</v>
      </c>
      <c r="F3740" t="inlineStr">
        <is>
          <t>20336</t>
        </is>
      </c>
      <c r="G3740" t="inlineStr">
        <is>
          <t>UE</t>
        </is>
      </c>
      <c r="H3740" s="12" t="n">
        <v>-372.5</v>
      </c>
      <c r="I3740" s="17" t="n">
        <v>44236</v>
      </c>
      <c r="J3740" s="17" t="n">
        <v>44236</v>
      </c>
      <c r="K3740" t="inlineStr">
        <is>
          <t>00148100</t>
        </is>
      </c>
    </row>
    <row r="3741">
      <c r="A3741" t="inlineStr">
        <is>
          <t>101875</t>
        </is>
      </c>
      <c r="B3741" t="inlineStr">
        <is>
          <t>DANIEL TRANSPORTES LTDA</t>
        </is>
      </c>
      <c r="C3741" t="n">
        <v>2111000000</v>
      </c>
      <c r="D3741" t="inlineStr">
        <is>
          <t>Operational Suppliers (Wind Farms)</t>
        </is>
      </c>
      <c r="E3741" t="n">
        <v>200036189</v>
      </c>
      <c r="F3741" t="inlineStr">
        <is>
          <t>20337</t>
        </is>
      </c>
      <c r="G3741" t="inlineStr">
        <is>
          <t>UE</t>
        </is>
      </c>
      <c r="H3741" s="12" t="n">
        <v>-110</v>
      </c>
      <c r="I3741" s="17" t="n">
        <v>44250</v>
      </c>
      <c r="J3741" s="17" t="n">
        <v>44250</v>
      </c>
      <c r="K3741" t="inlineStr">
        <is>
          <t>00153700</t>
        </is>
      </c>
    </row>
    <row r="3742">
      <c r="A3742" t="inlineStr">
        <is>
          <t>101875</t>
        </is>
      </c>
      <c r="B3742" t="inlineStr">
        <is>
          <t>DANIEL TRANSPORTES LTDA</t>
        </is>
      </c>
      <c r="C3742" t="n">
        <v>2111000000</v>
      </c>
      <c r="D3742" t="inlineStr">
        <is>
          <t>Operational Suppliers (Wind Farms)</t>
        </is>
      </c>
      <c r="E3742" t="n">
        <v>200036190</v>
      </c>
      <c r="F3742" t="inlineStr">
        <is>
          <t>20338</t>
        </is>
      </c>
      <c r="G3742" t="inlineStr">
        <is>
          <t>UE</t>
        </is>
      </c>
      <c r="H3742" s="12" t="n">
        <v>-90</v>
      </c>
      <c r="I3742" s="17" t="n">
        <v>44250</v>
      </c>
      <c r="J3742" s="17" t="n">
        <v>44250</v>
      </c>
      <c r="K3742" t="inlineStr">
        <is>
          <t>00153800</t>
        </is>
      </c>
    </row>
    <row r="3743">
      <c r="A3743" t="inlineStr">
        <is>
          <t>101875</t>
        </is>
      </c>
      <c r="B3743" t="inlineStr">
        <is>
          <t>DANIEL TRANSPORTES LTDA</t>
        </is>
      </c>
      <c r="C3743" t="n">
        <v>2111000000</v>
      </c>
      <c r="D3743" t="inlineStr">
        <is>
          <t>Operational Suppliers (Wind Farms)</t>
        </is>
      </c>
      <c r="E3743" t="n">
        <v>200036191</v>
      </c>
      <c r="F3743" t="inlineStr">
        <is>
          <t>20339</t>
        </is>
      </c>
      <c r="G3743" t="inlineStr">
        <is>
          <t>UE</t>
        </is>
      </c>
      <c r="H3743" s="12" t="n">
        <v>-380</v>
      </c>
      <c r="I3743" s="17" t="n">
        <v>44250</v>
      </c>
      <c r="J3743" s="17" t="n">
        <v>44250</v>
      </c>
      <c r="K3743" t="inlineStr">
        <is>
          <t>00153900</t>
        </is>
      </c>
    </row>
    <row r="3744">
      <c r="A3744" t="inlineStr">
        <is>
          <t>101875</t>
        </is>
      </c>
      <c r="B3744" t="inlineStr">
        <is>
          <t>DANIEL TRANSPORTES LTDA</t>
        </is>
      </c>
      <c r="C3744" t="n">
        <v>2111000000</v>
      </c>
      <c r="D3744" t="inlineStr">
        <is>
          <t>Operational Suppliers (Wind Farms)</t>
        </is>
      </c>
      <c r="E3744" t="n">
        <v>200036192</v>
      </c>
      <c r="F3744" t="inlineStr">
        <is>
          <t>20340</t>
        </is>
      </c>
      <c r="G3744" t="inlineStr">
        <is>
          <t>UE</t>
        </is>
      </c>
      <c r="H3744" s="12" t="n">
        <v>-240</v>
      </c>
      <c r="I3744" s="17" t="n">
        <v>44222</v>
      </c>
      <c r="J3744" s="17" t="n">
        <v>44222</v>
      </c>
      <c r="K3744" t="inlineStr">
        <is>
          <t>00143000</t>
        </is>
      </c>
    </row>
    <row r="3745">
      <c r="A3745" t="inlineStr">
        <is>
          <t>101875</t>
        </is>
      </c>
      <c r="B3745" t="inlineStr">
        <is>
          <t>DANIEL TRANSPORTES LTDA</t>
        </is>
      </c>
      <c r="C3745" t="n">
        <v>2111000000</v>
      </c>
      <c r="D3745" t="inlineStr">
        <is>
          <t>Operational Suppliers (Wind Farms)</t>
        </is>
      </c>
      <c r="E3745" t="n">
        <v>200036193</v>
      </c>
      <c r="F3745" t="inlineStr">
        <is>
          <t>20341</t>
        </is>
      </c>
      <c r="G3745" t="inlineStr">
        <is>
          <t>UE</t>
        </is>
      </c>
      <c r="H3745" s="12" t="n">
        <v>-240</v>
      </c>
      <c r="I3745" s="17" t="n">
        <v>44222</v>
      </c>
      <c r="J3745" s="17" t="n">
        <v>44222</v>
      </c>
      <c r="K3745" t="inlineStr">
        <is>
          <t>00143100</t>
        </is>
      </c>
    </row>
    <row r="3746">
      <c r="A3746" t="inlineStr">
        <is>
          <t>101875</t>
        </is>
      </c>
      <c r="B3746" t="inlineStr">
        <is>
          <t>DANIEL TRANSPORTES LTDA</t>
        </is>
      </c>
      <c r="C3746" t="n">
        <v>2111000000</v>
      </c>
      <c r="D3746" t="inlineStr">
        <is>
          <t>Operational Suppliers (Wind Farms)</t>
        </is>
      </c>
      <c r="E3746" t="n">
        <v>200036196</v>
      </c>
      <c r="F3746" t="inlineStr">
        <is>
          <t>20344</t>
        </is>
      </c>
      <c r="G3746" t="inlineStr">
        <is>
          <t>UE</t>
        </is>
      </c>
      <c r="H3746" s="12" t="n">
        <v>-499</v>
      </c>
      <c r="I3746" s="17" t="n">
        <v>44404</v>
      </c>
      <c r="J3746" s="17" t="n">
        <v>44404</v>
      </c>
      <c r="K3746" t="inlineStr">
        <is>
          <t>00205200</t>
        </is>
      </c>
    </row>
    <row r="3747">
      <c r="A3747" t="inlineStr">
        <is>
          <t>101875</t>
        </is>
      </c>
      <c r="B3747" t="inlineStr">
        <is>
          <t>DANIEL TRANSPORTES LTDA</t>
        </is>
      </c>
      <c r="C3747" t="n">
        <v>2111000000</v>
      </c>
      <c r="D3747" t="inlineStr">
        <is>
          <t>Operational Suppliers (Wind Farms)</t>
        </is>
      </c>
      <c r="E3747" t="n">
        <v>200036197</v>
      </c>
      <c r="F3747" t="inlineStr">
        <is>
          <t>20345</t>
        </is>
      </c>
      <c r="G3747" t="inlineStr">
        <is>
          <t>UE</t>
        </is>
      </c>
      <c r="H3747" s="12" t="n">
        <v>-372.5</v>
      </c>
      <c r="I3747" s="17" t="n">
        <v>44236</v>
      </c>
      <c r="J3747" s="17" t="n">
        <v>44236</v>
      </c>
      <c r="K3747" t="inlineStr">
        <is>
          <t>00147900</t>
        </is>
      </c>
    </row>
    <row r="3748">
      <c r="A3748" t="inlineStr">
        <is>
          <t>101875</t>
        </is>
      </c>
      <c r="B3748" t="inlineStr">
        <is>
          <t>DANIEL TRANSPORTES LTDA</t>
        </is>
      </c>
      <c r="C3748" t="n">
        <v>2111000000</v>
      </c>
      <c r="D3748" t="inlineStr">
        <is>
          <t>Operational Suppliers (Wind Farms)</t>
        </is>
      </c>
      <c r="E3748" t="n">
        <v>200036198</v>
      </c>
      <c r="F3748" t="inlineStr">
        <is>
          <t>20346</t>
        </is>
      </c>
      <c r="G3748" t="inlineStr">
        <is>
          <t>UE</t>
        </is>
      </c>
      <c r="H3748" s="12" t="n">
        <v>-124.28</v>
      </c>
      <c r="I3748" s="17" t="n">
        <v>44442</v>
      </c>
      <c r="J3748" s="17" t="n">
        <v>44442</v>
      </c>
      <c r="K3748" t="inlineStr">
        <is>
          <t>00215500</t>
        </is>
      </c>
    </row>
    <row r="3749">
      <c r="A3749" t="inlineStr">
        <is>
          <t>101875</t>
        </is>
      </c>
      <c r="B3749" t="inlineStr">
        <is>
          <t>DANIEL TRANSPORTES LTDA</t>
        </is>
      </c>
      <c r="C3749" t="n">
        <v>2111000000</v>
      </c>
      <c r="D3749" t="inlineStr">
        <is>
          <t>Operational Suppliers (Wind Farms)</t>
        </is>
      </c>
      <c r="E3749" t="n">
        <v>200036199</v>
      </c>
      <c r="F3749" t="inlineStr">
        <is>
          <t>20347</t>
        </is>
      </c>
      <c r="G3749" t="inlineStr">
        <is>
          <t>UE</t>
        </is>
      </c>
      <c r="H3749" s="12" t="n">
        <v>-108.63</v>
      </c>
      <c r="I3749" s="17" t="n">
        <v>44466</v>
      </c>
      <c r="J3749" s="17" t="n">
        <v>44466</v>
      </c>
      <c r="K3749" t="inlineStr">
        <is>
          <t>00224900</t>
        </is>
      </c>
    </row>
    <row r="3750">
      <c r="A3750" t="inlineStr">
        <is>
          <t>101875</t>
        </is>
      </c>
      <c r="B3750" t="inlineStr">
        <is>
          <t>DANIEL TRANSPORTES LTDA</t>
        </is>
      </c>
      <c r="C3750" t="n">
        <v>2111000000</v>
      </c>
      <c r="D3750" t="inlineStr">
        <is>
          <t>Operational Suppliers (Wind Farms)</t>
        </is>
      </c>
      <c r="E3750" t="n">
        <v>200036200</v>
      </c>
      <c r="F3750" t="inlineStr">
        <is>
          <t>20348</t>
        </is>
      </c>
      <c r="G3750" t="inlineStr">
        <is>
          <t>UE</t>
        </is>
      </c>
      <c r="H3750" s="12" t="n">
        <v>-400</v>
      </c>
      <c r="I3750" s="17" t="n">
        <v>44456</v>
      </c>
      <c r="J3750" s="17" t="n">
        <v>44456</v>
      </c>
      <c r="K3750" t="inlineStr">
        <is>
          <t>00220200</t>
        </is>
      </c>
    </row>
    <row r="3751">
      <c r="A3751" t="inlineStr">
        <is>
          <t>101875</t>
        </is>
      </c>
      <c r="B3751" t="inlineStr">
        <is>
          <t>DANIEL TRANSPORTES LTDA</t>
        </is>
      </c>
      <c r="C3751" t="n">
        <v>2111000000</v>
      </c>
      <c r="D3751" t="inlineStr">
        <is>
          <t>Operational Suppliers (Wind Farms)</t>
        </is>
      </c>
      <c r="E3751" t="n">
        <v>200036203</v>
      </c>
      <c r="F3751" t="inlineStr">
        <is>
          <t>20351</t>
        </is>
      </c>
      <c r="G3751" t="inlineStr">
        <is>
          <t>UE</t>
        </is>
      </c>
      <c r="H3751" s="12" t="n">
        <v>-108.63</v>
      </c>
      <c r="I3751" s="17" t="n">
        <v>44466</v>
      </c>
      <c r="J3751" s="17" t="n">
        <v>44466</v>
      </c>
      <c r="K3751" t="inlineStr">
        <is>
          <t>00224700</t>
        </is>
      </c>
    </row>
    <row r="3752">
      <c r="A3752" t="inlineStr">
        <is>
          <t>101875</t>
        </is>
      </c>
      <c r="B3752" t="inlineStr">
        <is>
          <t>DANIEL TRANSPORTES LTDA</t>
        </is>
      </c>
      <c r="C3752" t="n">
        <v>2111000000</v>
      </c>
      <c r="D3752" t="inlineStr">
        <is>
          <t>Operational Suppliers (Wind Farms)</t>
        </is>
      </c>
      <c r="E3752" t="n">
        <v>200036204</v>
      </c>
      <c r="F3752" t="inlineStr">
        <is>
          <t>20352</t>
        </is>
      </c>
      <c r="G3752" t="inlineStr">
        <is>
          <t>UE</t>
        </is>
      </c>
      <c r="H3752" s="12" t="n">
        <v>-400</v>
      </c>
      <c r="I3752" s="17" t="n">
        <v>44456</v>
      </c>
      <c r="J3752" s="17" t="n">
        <v>44456</v>
      </c>
      <c r="K3752" t="inlineStr">
        <is>
          <t>00221000</t>
        </is>
      </c>
    </row>
    <row r="3753">
      <c r="A3753" t="inlineStr">
        <is>
          <t>101875</t>
        </is>
      </c>
      <c r="B3753" t="inlineStr">
        <is>
          <t>DANIEL TRANSPORTES LTDA</t>
        </is>
      </c>
      <c r="C3753" t="n">
        <v>2111000000</v>
      </c>
      <c r="D3753" t="inlineStr">
        <is>
          <t>Operational Suppliers (Wind Farms)</t>
        </is>
      </c>
      <c r="E3753" t="n">
        <v>200036205</v>
      </c>
      <c r="F3753" t="inlineStr">
        <is>
          <t>20353</t>
        </is>
      </c>
      <c r="G3753" t="inlineStr">
        <is>
          <t>UE</t>
        </is>
      </c>
      <c r="H3753" s="12" t="n">
        <v>-217.48</v>
      </c>
      <c r="I3753" s="17" t="n">
        <v>44442</v>
      </c>
      <c r="J3753" s="17" t="n">
        <v>44442</v>
      </c>
      <c r="K3753" t="inlineStr">
        <is>
          <t>00216500</t>
        </is>
      </c>
    </row>
    <row r="3754">
      <c r="A3754" t="inlineStr">
        <is>
          <t>101875</t>
        </is>
      </c>
      <c r="B3754" t="inlineStr">
        <is>
          <t>DANIEL TRANSPORTES LTDA</t>
        </is>
      </c>
      <c r="C3754" t="n">
        <v>2111000000</v>
      </c>
      <c r="D3754" t="inlineStr">
        <is>
          <t>Operational Suppliers (Wind Farms)</t>
        </is>
      </c>
      <c r="E3754" t="n">
        <v>200036206</v>
      </c>
      <c r="F3754" t="inlineStr">
        <is>
          <t>20354</t>
        </is>
      </c>
      <c r="G3754" t="inlineStr">
        <is>
          <t>UE</t>
        </is>
      </c>
      <c r="H3754" s="12" t="n">
        <v>-108.63</v>
      </c>
      <c r="I3754" s="17" t="n">
        <v>44466</v>
      </c>
      <c r="J3754" s="17" t="n">
        <v>44466</v>
      </c>
      <c r="K3754" t="inlineStr">
        <is>
          <t>00224600</t>
        </is>
      </c>
    </row>
    <row r="3755">
      <c r="A3755" t="inlineStr">
        <is>
          <t>101875</t>
        </is>
      </c>
      <c r="B3755" t="inlineStr">
        <is>
          <t>DANIEL TRANSPORTES LTDA</t>
        </is>
      </c>
      <c r="C3755" t="n">
        <v>2111000000</v>
      </c>
      <c r="D3755" t="inlineStr">
        <is>
          <t>Operational Suppliers (Wind Farms)</t>
        </is>
      </c>
      <c r="E3755" t="n">
        <v>200036207</v>
      </c>
      <c r="F3755" t="inlineStr">
        <is>
          <t>20355</t>
        </is>
      </c>
      <c r="G3755" t="inlineStr">
        <is>
          <t>UE</t>
        </is>
      </c>
      <c r="H3755" s="12" t="n">
        <v>-319</v>
      </c>
      <c r="I3755" s="17" t="n">
        <v>44466</v>
      </c>
      <c r="J3755" s="17" t="n">
        <v>44466</v>
      </c>
      <c r="K3755" t="inlineStr">
        <is>
          <t>00225300</t>
        </is>
      </c>
    </row>
    <row r="3756">
      <c r="A3756" t="inlineStr">
        <is>
          <t>101875</t>
        </is>
      </c>
      <c r="B3756" t="inlineStr">
        <is>
          <t>DANIEL TRANSPORTES LTDA</t>
        </is>
      </c>
      <c r="C3756" t="n">
        <v>2111000000</v>
      </c>
      <c r="D3756" t="inlineStr">
        <is>
          <t>Operational Suppliers (Wind Farms)</t>
        </is>
      </c>
      <c r="E3756" t="n">
        <v>200036208</v>
      </c>
      <c r="F3756" t="inlineStr">
        <is>
          <t>20356</t>
        </is>
      </c>
      <c r="G3756" t="inlineStr">
        <is>
          <t>UE</t>
        </is>
      </c>
      <c r="H3756" s="12" t="n">
        <v>-217.48</v>
      </c>
      <c r="I3756" s="17" t="n">
        <v>44442</v>
      </c>
      <c r="J3756" s="17" t="n">
        <v>44442</v>
      </c>
      <c r="K3756" t="inlineStr">
        <is>
          <t>00216600</t>
        </is>
      </c>
    </row>
    <row r="3757">
      <c r="A3757" t="inlineStr">
        <is>
          <t>101875</t>
        </is>
      </c>
      <c r="B3757" t="inlineStr">
        <is>
          <t>DANIEL TRANSPORTES LTDA</t>
        </is>
      </c>
      <c r="C3757" t="n">
        <v>2111000000</v>
      </c>
      <c r="D3757" t="inlineStr">
        <is>
          <t>Operational Suppliers (Wind Farms)</t>
        </is>
      </c>
      <c r="E3757" t="n">
        <v>200036209</v>
      </c>
      <c r="F3757" t="inlineStr">
        <is>
          <t>20357</t>
        </is>
      </c>
      <c r="G3757" t="inlineStr">
        <is>
          <t>UE</t>
        </is>
      </c>
      <c r="H3757" s="12" t="n">
        <v>-217.48</v>
      </c>
      <c r="I3757" s="17" t="n">
        <v>44442</v>
      </c>
      <c r="J3757" s="17" t="n">
        <v>44442</v>
      </c>
      <c r="K3757" t="inlineStr">
        <is>
          <t>00216700</t>
        </is>
      </c>
    </row>
    <row r="3758">
      <c r="A3758" t="inlineStr">
        <is>
          <t>101875</t>
        </is>
      </c>
      <c r="B3758" t="inlineStr">
        <is>
          <t>DANIEL TRANSPORTES LTDA</t>
        </is>
      </c>
      <c r="C3758" t="n">
        <v>2111000000</v>
      </c>
      <c r="D3758" t="inlineStr">
        <is>
          <t>Operational Suppliers (Wind Farms)</t>
        </is>
      </c>
      <c r="E3758" t="n">
        <v>200036210</v>
      </c>
      <c r="F3758" t="inlineStr">
        <is>
          <t>20358</t>
        </is>
      </c>
      <c r="G3758" t="inlineStr">
        <is>
          <t>UE</t>
        </is>
      </c>
      <c r="H3758" s="12" t="n">
        <v>-319</v>
      </c>
      <c r="I3758" s="17" t="n">
        <v>44442</v>
      </c>
      <c r="J3758" s="17" t="n">
        <v>44442</v>
      </c>
      <c r="K3758" t="inlineStr">
        <is>
          <t>00216800</t>
        </is>
      </c>
    </row>
    <row r="3759">
      <c r="A3759" t="inlineStr">
        <is>
          <t>101875</t>
        </is>
      </c>
      <c r="B3759" t="inlineStr">
        <is>
          <t>DANIEL TRANSPORTES LTDA</t>
        </is>
      </c>
      <c r="C3759" t="n">
        <v>2111000000</v>
      </c>
      <c r="D3759" t="inlineStr">
        <is>
          <t>Operational Suppliers (Wind Farms)</t>
        </is>
      </c>
      <c r="E3759" t="n">
        <v>200036211</v>
      </c>
      <c r="F3759" t="inlineStr">
        <is>
          <t>20359</t>
        </is>
      </c>
      <c r="G3759" t="inlineStr">
        <is>
          <t>UE</t>
        </is>
      </c>
      <c r="H3759" s="12" t="n">
        <v>-400</v>
      </c>
      <c r="I3759" s="17" t="n">
        <v>44456</v>
      </c>
      <c r="J3759" s="17" t="n">
        <v>44456</v>
      </c>
      <c r="K3759" t="inlineStr">
        <is>
          <t>00219800</t>
        </is>
      </c>
    </row>
    <row r="3760">
      <c r="A3760" t="inlineStr">
        <is>
          <t>101875</t>
        </is>
      </c>
      <c r="B3760" t="inlineStr">
        <is>
          <t>DANIEL TRANSPORTES LTDA</t>
        </is>
      </c>
      <c r="C3760" t="n">
        <v>2111000000</v>
      </c>
      <c r="D3760" t="inlineStr">
        <is>
          <t>Operational Suppliers (Wind Farms)</t>
        </is>
      </c>
      <c r="E3760" t="n">
        <v>200036212</v>
      </c>
      <c r="F3760" t="inlineStr">
        <is>
          <t>20360</t>
        </is>
      </c>
      <c r="G3760" t="inlineStr">
        <is>
          <t>UE</t>
        </is>
      </c>
      <c r="H3760" s="12" t="n">
        <v>-400</v>
      </c>
      <c r="I3760" s="17" t="n">
        <v>44456</v>
      </c>
      <c r="J3760" s="17" t="n">
        <v>44456</v>
      </c>
      <c r="K3760" t="inlineStr">
        <is>
          <t>00220500</t>
        </is>
      </c>
    </row>
    <row r="3761">
      <c r="A3761" t="inlineStr">
        <is>
          <t>101875</t>
        </is>
      </c>
      <c r="B3761" t="inlineStr">
        <is>
          <t>DANIEL TRANSPORTES LTDA</t>
        </is>
      </c>
      <c r="C3761" t="n">
        <v>2111000000</v>
      </c>
      <c r="D3761" t="inlineStr">
        <is>
          <t>Operational Suppliers (Wind Farms)</t>
        </is>
      </c>
      <c r="E3761" t="n">
        <v>200036215</v>
      </c>
      <c r="F3761" t="inlineStr">
        <is>
          <t>20363</t>
        </is>
      </c>
      <c r="G3761" t="inlineStr">
        <is>
          <t>UE</t>
        </is>
      </c>
      <c r="H3761" s="12" t="n">
        <v>-400</v>
      </c>
      <c r="I3761" s="17" t="n">
        <v>44476</v>
      </c>
      <c r="J3761" s="17" t="n">
        <v>44476</v>
      </c>
      <c r="K3761" t="inlineStr">
        <is>
          <t>22910000</t>
        </is>
      </c>
    </row>
    <row r="3762">
      <c r="A3762" t="inlineStr">
        <is>
          <t>101875</t>
        </is>
      </c>
      <c r="B3762" t="inlineStr">
        <is>
          <t>DANIEL TRANSPORTES LTDA</t>
        </is>
      </c>
      <c r="C3762" t="n">
        <v>2111000000</v>
      </c>
      <c r="D3762" t="inlineStr">
        <is>
          <t>Operational Suppliers (Wind Farms)</t>
        </is>
      </c>
      <c r="E3762" t="n">
        <v>200036217</v>
      </c>
      <c r="F3762" t="inlineStr">
        <is>
          <t>20365</t>
        </is>
      </c>
      <c r="G3762" t="inlineStr">
        <is>
          <t>UE</t>
        </is>
      </c>
      <c r="H3762" s="12" t="n">
        <v>-400</v>
      </c>
      <c r="I3762" s="17" t="n">
        <v>44391</v>
      </c>
      <c r="J3762" s="17" t="n">
        <v>44391</v>
      </c>
      <c r="K3762" t="inlineStr">
        <is>
          <t>00200100</t>
        </is>
      </c>
    </row>
    <row r="3763">
      <c r="A3763" t="inlineStr">
        <is>
          <t>101875</t>
        </is>
      </c>
      <c r="B3763" t="inlineStr">
        <is>
          <t>DANIEL TRANSPORTES LTDA</t>
        </is>
      </c>
      <c r="C3763" t="n">
        <v>2111000000</v>
      </c>
      <c r="D3763" t="inlineStr">
        <is>
          <t>Operational Suppliers (Wind Farms)</t>
        </is>
      </c>
      <c r="E3763" t="n">
        <v>200036218</v>
      </c>
      <c r="F3763" t="inlineStr">
        <is>
          <t>20366</t>
        </is>
      </c>
      <c r="G3763" t="inlineStr">
        <is>
          <t>UE</t>
        </is>
      </c>
      <c r="H3763" s="12" t="n">
        <v>-38.45</v>
      </c>
      <c r="I3763" s="17" t="n">
        <v>44370</v>
      </c>
      <c r="J3763" s="17" t="n">
        <v>44370</v>
      </c>
      <c r="K3763" t="inlineStr">
        <is>
          <t>00193300</t>
        </is>
      </c>
    </row>
    <row r="3764">
      <c r="A3764" t="inlineStr">
        <is>
          <t>101875</t>
        </is>
      </c>
      <c r="B3764" t="inlineStr">
        <is>
          <t>DANIEL TRANSPORTES LTDA</t>
        </is>
      </c>
      <c r="C3764" t="n">
        <v>2111000000</v>
      </c>
      <c r="D3764" t="inlineStr">
        <is>
          <t>Operational Suppliers (Wind Farms)</t>
        </is>
      </c>
      <c r="E3764" t="n">
        <v>200036219</v>
      </c>
      <c r="F3764" t="inlineStr">
        <is>
          <t>20367</t>
        </is>
      </c>
      <c r="G3764" t="inlineStr">
        <is>
          <t>UE</t>
        </is>
      </c>
      <c r="H3764" s="12" t="n">
        <v>-38.45</v>
      </c>
      <c r="I3764" s="17" t="n">
        <v>44370</v>
      </c>
      <c r="J3764" s="17" t="n">
        <v>44370</v>
      </c>
      <c r="K3764" t="inlineStr">
        <is>
          <t>00192700</t>
        </is>
      </c>
    </row>
    <row r="3765">
      <c r="A3765" t="inlineStr">
        <is>
          <t>101875</t>
        </is>
      </c>
      <c r="B3765" t="inlineStr">
        <is>
          <t>DANIEL TRANSPORTES LTDA</t>
        </is>
      </c>
      <c r="C3765" t="n">
        <v>2111000000</v>
      </c>
      <c r="D3765" t="inlineStr">
        <is>
          <t>Operational Suppliers (Wind Farms)</t>
        </is>
      </c>
      <c r="E3765" t="n">
        <v>200036220</v>
      </c>
      <c r="F3765" t="inlineStr">
        <is>
          <t>20368</t>
        </is>
      </c>
      <c r="G3765" t="inlineStr">
        <is>
          <t>UE</t>
        </is>
      </c>
      <c r="H3765" s="12" t="n">
        <v>-400</v>
      </c>
      <c r="I3765" s="17" t="n">
        <v>44588</v>
      </c>
      <c r="J3765" s="17" t="n">
        <v>44588</v>
      </c>
      <c r="K3765" t="inlineStr">
        <is>
          <t>00270400</t>
        </is>
      </c>
    </row>
    <row r="3766">
      <c r="A3766" t="inlineStr">
        <is>
          <t>101875</t>
        </is>
      </c>
      <c r="B3766" t="inlineStr">
        <is>
          <t>DANIEL TRANSPORTES LTDA</t>
        </is>
      </c>
      <c r="C3766" t="n">
        <v>2111000000</v>
      </c>
      <c r="D3766" t="inlineStr">
        <is>
          <t>Operational Suppliers (Wind Farms)</t>
        </is>
      </c>
      <c r="E3766" t="n">
        <v>200036221</v>
      </c>
      <c r="F3766" t="inlineStr">
        <is>
          <t>20369</t>
        </is>
      </c>
      <c r="G3766" t="inlineStr">
        <is>
          <t>UE</t>
        </is>
      </c>
      <c r="H3766" s="12" t="n">
        <v>-96.66</v>
      </c>
      <c r="I3766" s="17" t="n">
        <v>44531</v>
      </c>
      <c r="J3766" s="17" t="n">
        <v>44531</v>
      </c>
      <c r="K3766" t="inlineStr">
        <is>
          <t>00251300</t>
        </is>
      </c>
    </row>
    <row r="3767">
      <c r="A3767" t="inlineStr">
        <is>
          <t>101875</t>
        </is>
      </c>
      <c r="B3767" t="inlineStr">
        <is>
          <t>DANIEL TRANSPORTES LTDA</t>
        </is>
      </c>
      <c r="C3767" t="n">
        <v>2111000000</v>
      </c>
      <c r="D3767" t="inlineStr">
        <is>
          <t>Operational Suppliers (Wind Farms)</t>
        </is>
      </c>
      <c r="E3767" t="n">
        <v>200036222</v>
      </c>
      <c r="F3767" t="inlineStr">
        <is>
          <t>20370</t>
        </is>
      </c>
      <c r="G3767" t="inlineStr">
        <is>
          <t>UE</t>
        </is>
      </c>
      <c r="H3767" s="12" t="n">
        <v>-240</v>
      </c>
      <c r="I3767" s="17" t="n">
        <v>44614</v>
      </c>
      <c r="J3767" s="17" t="n">
        <v>44614</v>
      </c>
      <c r="K3767" t="inlineStr">
        <is>
          <t>00280700</t>
        </is>
      </c>
    </row>
    <row r="3768">
      <c r="A3768" t="inlineStr">
        <is>
          <t>101875</t>
        </is>
      </c>
      <c r="B3768" t="inlineStr">
        <is>
          <t>DANIEL TRANSPORTES LTDA</t>
        </is>
      </c>
      <c r="C3768" t="n">
        <v>2111000000</v>
      </c>
      <c r="D3768" t="inlineStr">
        <is>
          <t>Operational Suppliers (Wind Farms)</t>
        </is>
      </c>
      <c r="E3768" t="n">
        <v>200036223</v>
      </c>
      <c r="F3768" t="inlineStr">
        <is>
          <t>20371</t>
        </is>
      </c>
      <c r="G3768" t="inlineStr">
        <is>
          <t>UE</t>
        </is>
      </c>
      <c r="H3768" s="12" t="n">
        <v>-96.66</v>
      </c>
      <c r="I3768" s="17" t="n">
        <v>44531</v>
      </c>
      <c r="J3768" s="17" t="n">
        <v>44531</v>
      </c>
      <c r="K3768" t="inlineStr">
        <is>
          <t>00250800</t>
        </is>
      </c>
    </row>
    <row r="3769">
      <c r="A3769" t="inlineStr">
        <is>
          <t>101875</t>
        </is>
      </c>
      <c r="B3769" t="inlineStr">
        <is>
          <t>DANIEL TRANSPORTES LTDA</t>
        </is>
      </c>
      <c r="C3769" t="n">
        <v>2111000000</v>
      </c>
      <c r="D3769" t="inlineStr">
        <is>
          <t>Operational Suppliers (Wind Farms)</t>
        </is>
      </c>
      <c r="E3769" t="n">
        <v>200036224</v>
      </c>
      <c r="F3769" t="inlineStr">
        <is>
          <t>20372</t>
        </is>
      </c>
      <c r="G3769" t="inlineStr">
        <is>
          <t>UE</t>
        </is>
      </c>
      <c r="H3769" s="12" t="n">
        <v>-320</v>
      </c>
      <c r="I3769" s="17" t="n">
        <v>44587</v>
      </c>
      <c r="J3769" s="17" t="n">
        <v>44587</v>
      </c>
      <c r="K3769" t="inlineStr">
        <is>
          <t>00143500</t>
        </is>
      </c>
    </row>
    <row r="3770">
      <c r="A3770" t="inlineStr">
        <is>
          <t>101875</t>
        </is>
      </c>
      <c r="B3770" t="inlineStr">
        <is>
          <t>DANIEL TRANSPORTES LTDA</t>
        </is>
      </c>
      <c r="C3770" t="n">
        <v>2111000000</v>
      </c>
      <c r="D3770" t="inlineStr">
        <is>
          <t>Operational Suppliers (Wind Farms)</t>
        </is>
      </c>
      <c r="E3770" t="n">
        <v>200036225</v>
      </c>
      <c r="F3770" t="inlineStr">
        <is>
          <t>20373</t>
        </is>
      </c>
      <c r="G3770" t="inlineStr">
        <is>
          <t>UE</t>
        </is>
      </c>
      <c r="H3770" s="12" t="n">
        <v>-319</v>
      </c>
      <c r="I3770" s="17" t="n">
        <v>44531</v>
      </c>
      <c r="J3770" s="17" t="n">
        <v>44531</v>
      </c>
      <c r="K3770" t="inlineStr">
        <is>
          <t>00251600</t>
        </is>
      </c>
    </row>
    <row r="3771">
      <c r="A3771" t="inlineStr">
        <is>
          <t>101950</t>
        </is>
      </c>
      <c r="B3771" t="inlineStr">
        <is>
          <t>SHELL BRASIL PETROLEO LTDA</t>
        </is>
      </c>
      <c r="C3771" t="n">
        <v>2111000000</v>
      </c>
      <c r="D3771" t="inlineStr">
        <is>
          <t>Operational Suppliers (Wind Farms)</t>
        </is>
      </c>
      <c r="E3771" t="n">
        <v>200036310</v>
      </c>
      <c r="F3771" t="inlineStr">
        <is>
          <t>20458</t>
        </is>
      </c>
      <c r="G3771" t="inlineStr">
        <is>
          <t>UE</t>
        </is>
      </c>
      <c r="H3771" s="12" t="n">
        <v>-1344.41</v>
      </c>
      <c r="I3771" s="17" t="n">
        <v>44610</v>
      </c>
      <c r="J3771" s="17" t="n">
        <v>44610</v>
      </c>
      <c r="K3771" t="inlineStr">
        <is>
          <t>000021570001</t>
        </is>
      </c>
    </row>
    <row r="3772">
      <c r="A3772" t="inlineStr">
        <is>
          <t>102022</t>
        </is>
      </c>
      <c r="B3772" t="inlineStr">
        <is>
          <t>OBJECTA CONSULTORIA LTDA</t>
        </is>
      </c>
      <c r="C3772" t="n">
        <v>2111000000</v>
      </c>
      <c r="D3772" t="inlineStr">
        <is>
          <t>Other Suppliers</t>
        </is>
      </c>
      <c r="E3772" t="n">
        <v>200036458</v>
      </c>
      <c r="F3772" t="inlineStr">
        <is>
          <t>20606</t>
        </is>
      </c>
      <c r="G3772" t="inlineStr">
        <is>
          <t>UE</t>
        </is>
      </c>
      <c r="H3772" s="12" t="n">
        <v>-7200</v>
      </c>
      <c r="I3772" s="17" t="n">
        <v>44757</v>
      </c>
      <c r="J3772" s="17" t="n">
        <v>44757</v>
      </c>
      <c r="K3772" t="inlineStr">
        <is>
          <t>00025700</t>
        </is>
      </c>
    </row>
    <row r="3773">
      <c r="A3773" t="inlineStr">
        <is>
          <t>102029</t>
        </is>
      </c>
      <c r="B3773" t="inlineStr">
        <is>
          <t>LEEWARD INTERNACIONAL DO BRASIL LTD</t>
        </is>
      </c>
      <c r="C3773" t="n">
        <v>2111000000</v>
      </c>
      <c r="D3773" t="inlineStr">
        <is>
          <t>Customs Brokerage – Overall</t>
        </is>
      </c>
      <c r="E3773" t="n">
        <v>200036461</v>
      </c>
      <c r="F3773" t="inlineStr">
        <is>
          <t>20609</t>
        </is>
      </c>
      <c r="G3773" t="inlineStr">
        <is>
          <t>UE</t>
        </is>
      </c>
      <c r="H3773" s="12" t="n">
        <v>-6212.31</v>
      </c>
      <c r="I3773" s="17" t="n">
        <v>43091</v>
      </c>
      <c r="J3773" s="17" t="n">
        <v>43091</v>
      </c>
      <c r="K3773" t="inlineStr">
        <is>
          <t>00065500</t>
        </is>
      </c>
    </row>
    <row r="3774">
      <c r="A3774" t="inlineStr">
        <is>
          <t>102029</t>
        </is>
      </c>
      <c r="B3774" t="inlineStr">
        <is>
          <t>LEEWARD INTERNACIONAL DO BRASIL LTD</t>
        </is>
      </c>
      <c r="C3774" t="n">
        <v>2111000000</v>
      </c>
      <c r="D3774" t="inlineStr">
        <is>
          <t>Customs Brokerage – Overall</t>
        </is>
      </c>
      <c r="E3774" t="n">
        <v>200036463</v>
      </c>
      <c r="F3774" t="inlineStr">
        <is>
          <t>20611</t>
        </is>
      </c>
      <c r="G3774" t="inlineStr">
        <is>
          <t>UE</t>
        </is>
      </c>
      <c r="H3774" s="12" t="n">
        <v>-136.66</v>
      </c>
      <c r="I3774" s="17" t="n">
        <v>43382</v>
      </c>
      <c r="J3774" s="17" t="n">
        <v>43382</v>
      </c>
      <c r="K3774" t="inlineStr">
        <is>
          <t>00158600</t>
        </is>
      </c>
    </row>
    <row r="3775">
      <c r="A3775" t="inlineStr">
        <is>
          <t>102029</t>
        </is>
      </c>
      <c r="B3775" t="inlineStr">
        <is>
          <t>LEEWARD INTERNACIONAL DO BRASIL LTD</t>
        </is>
      </c>
      <c r="C3775" t="n">
        <v>2111000000</v>
      </c>
      <c r="D3775" t="inlineStr">
        <is>
          <t>Customs Brokerage – Overall</t>
        </is>
      </c>
      <c r="E3775" t="n">
        <v>200036464</v>
      </c>
      <c r="F3775" t="inlineStr">
        <is>
          <t>20612</t>
        </is>
      </c>
      <c r="G3775" t="inlineStr">
        <is>
          <t>UE</t>
        </is>
      </c>
      <c r="H3775" s="12" t="n">
        <v>-2868.5</v>
      </c>
      <c r="I3775" s="17" t="n">
        <v>43623</v>
      </c>
      <c r="J3775" s="17" t="n">
        <v>43623</v>
      </c>
      <c r="K3775" t="inlineStr">
        <is>
          <t>09221900</t>
        </is>
      </c>
    </row>
    <row r="3776">
      <c r="A3776" t="inlineStr">
        <is>
          <t>102029</t>
        </is>
      </c>
      <c r="B3776" t="inlineStr">
        <is>
          <t>LEEWARD INTERNACIONAL DO BRASIL LTD</t>
        </is>
      </c>
      <c r="C3776" t="n">
        <v>2111000000</v>
      </c>
      <c r="D3776" t="inlineStr">
        <is>
          <t>Customs Brokerage – Overall</t>
        </is>
      </c>
      <c r="E3776" t="n">
        <v>200036465</v>
      </c>
      <c r="F3776" t="inlineStr">
        <is>
          <t>20613</t>
        </is>
      </c>
      <c r="G3776" t="inlineStr">
        <is>
          <t>UE</t>
        </is>
      </c>
      <c r="H3776" s="12" t="n">
        <v>-2402.96</v>
      </c>
      <c r="I3776" s="17" t="n">
        <v>43304</v>
      </c>
      <c r="J3776" s="17" t="n">
        <v>43304</v>
      </c>
      <c r="K3776" t="inlineStr">
        <is>
          <t>00100400</t>
        </is>
      </c>
    </row>
    <row r="3777">
      <c r="A3777" t="inlineStr">
        <is>
          <t>102029</t>
        </is>
      </c>
      <c r="B3777" t="inlineStr">
        <is>
          <t>LEEWARD INTERNACIONAL DO BRASIL LTD</t>
        </is>
      </c>
      <c r="C3777" t="n">
        <v>2111000000</v>
      </c>
      <c r="D3777" t="inlineStr">
        <is>
          <t>Customs Brokerage – Overall</t>
        </is>
      </c>
      <c r="E3777" t="n">
        <v>200036466</v>
      </c>
      <c r="F3777" t="inlineStr">
        <is>
          <t>20614</t>
        </is>
      </c>
      <c r="G3777" t="inlineStr">
        <is>
          <t>UE</t>
        </is>
      </c>
      <c r="H3777" s="12" t="n">
        <v>-2412.98</v>
      </c>
      <c r="I3777" s="17" t="n">
        <v>43305</v>
      </c>
      <c r="J3777" s="17" t="n">
        <v>43305</v>
      </c>
      <c r="K3777" t="inlineStr">
        <is>
          <t>00100500</t>
        </is>
      </c>
    </row>
    <row r="3778">
      <c r="A3778" t="inlineStr">
        <is>
          <t>102029</t>
        </is>
      </c>
      <c r="B3778" t="inlineStr">
        <is>
          <t>LEEWARD INTERNACIONAL DO BRASIL LTD</t>
        </is>
      </c>
      <c r="C3778" t="n">
        <v>2111000000</v>
      </c>
      <c r="D3778" t="inlineStr">
        <is>
          <t>Customs Brokerage – Overall</t>
        </is>
      </c>
      <c r="E3778" t="n">
        <v>200036468</v>
      </c>
      <c r="F3778" t="inlineStr">
        <is>
          <t>20616</t>
        </is>
      </c>
      <c r="G3778" t="inlineStr">
        <is>
          <t>UE</t>
        </is>
      </c>
      <c r="H3778" s="12" t="n">
        <v>-10970.67</v>
      </c>
      <c r="I3778" s="17" t="n">
        <v>43329</v>
      </c>
      <c r="J3778" s="17" t="n">
        <v>43329</v>
      </c>
      <c r="K3778" t="inlineStr">
        <is>
          <t>05391800</t>
        </is>
      </c>
    </row>
    <row r="3779">
      <c r="A3779" t="inlineStr">
        <is>
          <t>102030</t>
        </is>
      </c>
      <c r="B3779" t="inlineStr">
        <is>
          <t>TECON SALVADOR SA</t>
        </is>
      </c>
      <c r="C3779" t="n">
        <v>2111000000</v>
      </c>
      <c r="D3779" t="inlineStr">
        <is>
          <t>Customs Brokerage – Overall</t>
        </is>
      </c>
      <c r="E3779" t="n">
        <v>200036469</v>
      </c>
      <c r="F3779" t="inlineStr">
        <is>
          <t>20617</t>
        </is>
      </c>
      <c r="G3779" t="inlineStr">
        <is>
          <t>UE</t>
        </is>
      </c>
      <c r="H3779" s="12" t="n">
        <v>-1375.73</v>
      </c>
      <c r="I3779" s="17" t="n">
        <v>45035</v>
      </c>
      <c r="J3779" s="17" t="n">
        <v>45035</v>
      </c>
      <c r="K3779" t="inlineStr">
        <is>
          <t>25044600</t>
        </is>
      </c>
    </row>
    <row r="3780">
      <c r="A3780" t="inlineStr">
        <is>
          <t>102030</t>
        </is>
      </c>
      <c r="B3780" t="inlineStr">
        <is>
          <t>TECON SALVADOR SA</t>
        </is>
      </c>
      <c r="C3780" t="n">
        <v>2111000000</v>
      </c>
      <c r="D3780" t="inlineStr">
        <is>
          <t>Customs Brokerage – Overall</t>
        </is>
      </c>
      <c r="E3780" t="n">
        <v>200036471</v>
      </c>
      <c r="F3780" t="inlineStr">
        <is>
          <t>20619</t>
        </is>
      </c>
      <c r="G3780" t="inlineStr">
        <is>
          <t>UE</t>
        </is>
      </c>
      <c r="H3780" s="12" t="n">
        <v>-151.83</v>
      </c>
      <c r="I3780" s="17" t="n">
        <v>45036</v>
      </c>
      <c r="J3780" s="17" t="n">
        <v>45036</v>
      </c>
      <c r="K3780" t="inlineStr">
        <is>
          <t>25051300</t>
        </is>
      </c>
    </row>
    <row r="3781">
      <c r="A3781" t="inlineStr">
        <is>
          <t>102030</t>
        </is>
      </c>
      <c r="B3781" t="inlineStr">
        <is>
          <t>TECON SALVADOR SA</t>
        </is>
      </c>
      <c r="C3781" t="n">
        <v>2111000000</v>
      </c>
      <c r="D3781" t="inlineStr">
        <is>
          <t>Customs Brokerage – Overall</t>
        </is>
      </c>
      <c r="E3781" t="n">
        <v>200036472</v>
      </c>
      <c r="F3781" t="inlineStr">
        <is>
          <t>20620</t>
        </is>
      </c>
      <c r="G3781" t="inlineStr">
        <is>
          <t>UE</t>
        </is>
      </c>
      <c r="H3781" s="12" t="n">
        <v>-50</v>
      </c>
      <c r="I3781" s="17" t="n">
        <v>45036</v>
      </c>
      <c r="J3781" s="17" t="n">
        <v>45036</v>
      </c>
      <c r="K3781" t="inlineStr">
        <is>
          <t>25051000</t>
        </is>
      </c>
    </row>
    <row r="3782">
      <c r="A3782" t="inlineStr">
        <is>
          <t>102030</t>
        </is>
      </c>
      <c r="B3782" t="inlineStr">
        <is>
          <t>TECON SALVADOR SA</t>
        </is>
      </c>
      <c r="C3782" t="n">
        <v>2111000000</v>
      </c>
      <c r="D3782" t="inlineStr">
        <is>
          <t>Customs Brokerage – Overall</t>
        </is>
      </c>
      <c r="E3782" t="n">
        <v>200036474</v>
      </c>
      <c r="F3782" t="inlineStr">
        <is>
          <t>20622</t>
        </is>
      </c>
      <c r="G3782" t="inlineStr">
        <is>
          <t>UE</t>
        </is>
      </c>
      <c r="H3782" s="12" t="n">
        <v>-2185.44</v>
      </c>
      <c r="I3782" s="17" t="n">
        <v>45036</v>
      </c>
      <c r="J3782" s="17" t="n">
        <v>45036</v>
      </c>
      <c r="K3782" t="inlineStr">
        <is>
          <t>25050300</t>
        </is>
      </c>
    </row>
    <row r="3783">
      <c r="A3783" t="inlineStr">
        <is>
          <t>102030</t>
        </is>
      </c>
      <c r="B3783" t="inlineStr">
        <is>
          <t>TECON SALVADOR SA</t>
        </is>
      </c>
      <c r="C3783" t="n">
        <v>2111000000</v>
      </c>
      <c r="D3783" t="inlineStr">
        <is>
          <t>Customs Brokerage – Overall</t>
        </is>
      </c>
      <c r="E3783" t="n">
        <v>200036475</v>
      </c>
      <c r="F3783" t="inlineStr">
        <is>
          <t>20623</t>
        </is>
      </c>
      <c r="G3783" t="inlineStr">
        <is>
          <t>UE</t>
        </is>
      </c>
      <c r="H3783" s="12" t="n">
        <v>-927.02</v>
      </c>
      <c r="I3783" s="17" t="n">
        <v>45036</v>
      </c>
      <c r="J3783" s="17" t="n">
        <v>45036</v>
      </c>
      <c r="K3783" t="inlineStr">
        <is>
          <t>25053400</t>
        </is>
      </c>
    </row>
    <row r="3784">
      <c r="A3784" t="inlineStr">
        <is>
          <t>102030</t>
        </is>
      </c>
      <c r="B3784" t="inlineStr">
        <is>
          <t>TECON SALVADOR SA</t>
        </is>
      </c>
      <c r="C3784" t="n">
        <v>2111000000</v>
      </c>
      <c r="D3784" t="inlineStr">
        <is>
          <t>Customs Brokerage – Overall</t>
        </is>
      </c>
      <c r="E3784" t="n">
        <v>200036477</v>
      </c>
      <c r="F3784" t="inlineStr">
        <is>
          <t>20625</t>
        </is>
      </c>
      <c r="G3784" t="inlineStr">
        <is>
          <t>UE</t>
        </is>
      </c>
      <c r="H3784" s="12" t="n">
        <v>-788.48</v>
      </c>
      <c r="I3784" s="17" t="n">
        <v>45036</v>
      </c>
      <c r="J3784" s="17" t="n">
        <v>45036</v>
      </c>
      <c r="K3784" t="inlineStr">
        <is>
          <t>25053600</t>
        </is>
      </c>
    </row>
    <row r="3785">
      <c r="A3785" t="inlineStr">
        <is>
          <t>102030</t>
        </is>
      </c>
      <c r="B3785" t="inlineStr">
        <is>
          <t>TECON SALVADOR SA</t>
        </is>
      </c>
      <c r="C3785" t="n">
        <v>2111000000</v>
      </c>
      <c r="D3785" t="inlineStr">
        <is>
          <t>Customs Brokerage – Overall</t>
        </is>
      </c>
      <c r="E3785" t="n">
        <v>200036479</v>
      </c>
      <c r="F3785" t="inlineStr">
        <is>
          <t>20627</t>
        </is>
      </c>
      <c r="G3785" t="inlineStr">
        <is>
          <t>UE</t>
        </is>
      </c>
      <c r="H3785" s="12" t="n">
        <v>-2961.88</v>
      </c>
      <c r="I3785" s="17" t="n">
        <v>45036</v>
      </c>
      <c r="J3785" s="17" t="n">
        <v>45036</v>
      </c>
      <c r="K3785" t="inlineStr">
        <is>
          <t>25055300</t>
        </is>
      </c>
    </row>
    <row r="3786">
      <c r="A3786" t="inlineStr">
        <is>
          <t>102030</t>
        </is>
      </c>
      <c r="B3786" t="inlineStr">
        <is>
          <t>TECON SALVADOR SA</t>
        </is>
      </c>
      <c r="C3786" t="n">
        <v>2111000000</v>
      </c>
      <c r="D3786" t="inlineStr">
        <is>
          <t>Customs Brokerage – Overall</t>
        </is>
      </c>
      <c r="E3786" t="n">
        <v>200036482</v>
      </c>
      <c r="F3786" t="inlineStr">
        <is>
          <t>20630</t>
        </is>
      </c>
      <c r="G3786" t="inlineStr">
        <is>
          <t>UE</t>
        </is>
      </c>
      <c r="H3786" s="12" t="n">
        <v>-1243.51</v>
      </c>
      <c r="I3786" s="17" t="n">
        <v>45036</v>
      </c>
      <c r="J3786" s="17" t="n">
        <v>45036</v>
      </c>
      <c r="K3786" t="inlineStr">
        <is>
          <t>25051700</t>
        </is>
      </c>
    </row>
    <row r="3787">
      <c r="A3787" t="inlineStr">
        <is>
          <t>102030</t>
        </is>
      </c>
      <c r="B3787" t="inlineStr">
        <is>
          <t>TECON SALVADOR SA</t>
        </is>
      </c>
      <c r="C3787" t="n">
        <v>2111000000</v>
      </c>
      <c r="D3787" t="inlineStr">
        <is>
          <t>Customs Brokerage – Overall</t>
        </is>
      </c>
      <c r="E3787" t="n">
        <v>200036488</v>
      </c>
      <c r="F3787" t="inlineStr">
        <is>
          <t>20636</t>
        </is>
      </c>
      <c r="G3787" t="inlineStr">
        <is>
          <t>UE</t>
        </is>
      </c>
      <c r="H3787" s="12" t="n">
        <v>-1469.88</v>
      </c>
      <c r="I3787" s="17" t="n">
        <v>45035</v>
      </c>
      <c r="J3787" s="17" t="n">
        <v>45035</v>
      </c>
      <c r="K3787" t="inlineStr">
        <is>
          <t>25044500</t>
        </is>
      </c>
    </row>
    <row r="3788">
      <c r="A3788" t="inlineStr">
        <is>
          <t>101552</t>
        </is>
      </c>
      <c r="B3788" t="inlineStr">
        <is>
          <t>KUEHNENAGEL SERVICOS LOGISTICOS LTD</t>
        </is>
      </c>
      <c r="C3788" t="n">
        <v>2111000000</v>
      </c>
      <c r="D3788" t="inlineStr">
        <is>
          <t>Customs Brokerage – Overall</t>
        </is>
      </c>
      <c r="E3788" t="n">
        <v>200036603</v>
      </c>
      <c r="F3788" t="inlineStr">
        <is>
          <t>20751</t>
        </is>
      </c>
      <c r="G3788" t="inlineStr">
        <is>
          <t>UE</t>
        </is>
      </c>
      <c r="H3788" s="12" t="n">
        <v>-466.46</v>
      </c>
      <c r="I3788" s="17" t="n">
        <v>43859</v>
      </c>
      <c r="J3788" s="17" t="n">
        <v>43859</v>
      </c>
      <c r="K3788" t="inlineStr">
        <is>
          <t>22754700</t>
        </is>
      </c>
    </row>
    <row r="3789">
      <c r="A3789" t="inlineStr">
        <is>
          <t>101318</t>
        </is>
      </c>
      <c r="B3789" t="inlineStr">
        <is>
          <t>SECRETARIA DA FAZENDA RS</t>
        </is>
      </c>
      <c r="C3789" t="n">
        <v>2111000000</v>
      </c>
      <c r="D3789" t="inlineStr">
        <is>
          <t>Customs Brokerage – Overall</t>
        </is>
      </c>
      <c r="E3789" t="n">
        <v>200036614</v>
      </c>
      <c r="F3789" t="inlineStr">
        <is>
          <t>20762</t>
        </is>
      </c>
      <c r="G3789" t="inlineStr">
        <is>
          <t>UE</t>
        </is>
      </c>
      <c r="H3789" s="12" t="n">
        <v>-882</v>
      </c>
      <c r="I3789" s="17" t="n">
        <v>44217</v>
      </c>
      <c r="J3789" s="17" t="n">
        <v>44217</v>
      </c>
      <c r="K3789" t="inlineStr">
        <is>
          <t>000001529001</t>
        </is>
      </c>
    </row>
    <row r="3790">
      <c r="A3790" t="inlineStr">
        <is>
          <t>101685</t>
        </is>
      </c>
      <c r="B3790" t="inlineStr">
        <is>
          <t>POLIMIX CONCRETO LTDA</t>
        </is>
      </c>
      <c r="C3790" t="n">
        <v>2111000000</v>
      </c>
      <c r="D3790" t="inlineStr">
        <is>
          <t>Other Suppliers</t>
        </is>
      </c>
      <c r="E3790" t="n">
        <v>200036702</v>
      </c>
      <c r="F3790" t="inlineStr">
        <is>
          <t>20850</t>
        </is>
      </c>
      <c r="G3790" t="inlineStr">
        <is>
          <t>UE</t>
        </is>
      </c>
      <c r="H3790" s="12" t="n">
        <v>-13867.51</v>
      </c>
      <c r="I3790" s="17" t="n">
        <v>44477</v>
      </c>
      <c r="J3790" s="17" t="n">
        <v>44477</v>
      </c>
      <c r="K3790" t="inlineStr">
        <is>
          <t>000355884010</t>
        </is>
      </c>
    </row>
    <row r="3791">
      <c r="A3791" t="inlineStr">
        <is>
          <t>EM000324</t>
        </is>
      </c>
      <c r="B3791" t="inlineStr">
        <is>
          <t>LUIZ EDUARDO PEREIRA DA SILVA</t>
        </is>
      </c>
      <c r="C3791" t="n">
        <v>2111000000</v>
      </c>
      <c r="D3791" t="inlineStr">
        <is>
          <t>Nordex Employees</t>
        </is>
      </c>
      <c r="E3791" t="n">
        <v>1100001158</v>
      </c>
      <c r="G3791" t="inlineStr">
        <is>
          <t>AB</t>
        </is>
      </c>
      <c r="H3791" s="12" t="n">
        <v>-157.47</v>
      </c>
      <c r="I3791" s="17" t="n">
        <v>45730</v>
      </c>
      <c r="J3791" s="17" t="n">
        <v>45730</v>
      </c>
      <c r="K3791" t="inlineStr">
        <is>
          <t>Clearing document LUIZ EDUARDO PEREIRA DA SILVA</t>
        </is>
      </c>
    </row>
    <row r="3792">
      <c r="A3792" t="inlineStr">
        <is>
          <t>EM000105</t>
        </is>
      </c>
      <c r="B3792" t="inlineStr">
        <is>
          <t>THIAGO CARVALHO</t>
        </is>
      </c>
      <c r="C3792" t="n">
        <v>2111000000</v>
      </c>
      <c r="D3792" t="inlineStr">
        <is>
          <t>Nordex Employees</t>
        </is>
      </c>
      <c r="E3792" t="n">
        <v>1100001380</v>
      </c>
      <c r="F3792" t="inlineStr">
        <is>
          <t>PLANO 30396</t>
        </is>
      </c>
      <c r="G3792" t="inlineStr">
        <is>
          <t>AB</t>
        </is>
      </c>
      <c r="H3792" s="12" t="n">
        <v>-390</v>
      </c>
      <c r="I3792" s="17" t="n">
        <v>45451</v>
      </c>
      <c r="J3792" s="17" t="n">
        <v>45451</v>
      </c>
      <c r="K3792" t="inlineStr">
        <is>
          <t>Partida individual THIAGO CARVALHO PLANO 30396</t>
        </is>
      </c>
    </row>
    <row r="3793">
      <c r="A3793" t="inlineStr">
        <is>
          <t>EM000041</t>
        </is>
      </c>
      <c r="B3793" t="inlineStr">
        <is>
          <t>FLAVIO BELLOLI</t>
        </is>
      </c>
      <c r="C3793" t="n">
        <v>2111000000</v>
      </c>
      <c r="D3793" t="inlineStr">
        <is>
          <t>Nordex Employees</t>
        </is>
      </c>
      <c r="E3793" t="n">
        <v>1100001915</v>
      </c>
      <c r="G3793" t="inlineStr">
        <is>
          <t>AB</t>
        </is>
      </c>
      <c r="H3793" s="12" t="n">
        <v>-59.14</v>
      </c>
      <c r="I3793" s="17" t="n">
        <v>45459</v>
      </c>
      <c r="J3793" s="17" t="n">
        <v>45459</v>
      </c>
      <c r="K3793" t="inlineStr">
        <is>
          <t>Clearing document FLAVIO BELLOLI</t>
        </is>
      </c>
    </row>
    <row r="3794">
      <c r="A3794" t="inlineStr">
        <is>
          <t>EM000271</t>
        </is>
      </c>
      <c r="B3794" t="inlineStr">
        <is>
          <t>PABLO SUEIRAS BLANCO</t>
        </is>
      </c>
      <c r="C3794" t="n">
        <v>2111000000</v>
      </c>
      <c r="D3794" t="inlineStr">
        <is>
          <t>Nordex Employees</t>
        </is>
      </c>
      <c r="E3794" t="n">
        <v>1100002430</v>
      </c>
      <c r="F3794" t="inlineStr">
        <is>
          <t>29608.1</t>
        </is>
      </c>
      <c r="G3794" t="inlineStr">
        <is>
          <t>AB</t>
        </is>
      </c>
      <c r="H3794" s="12" t="n">
        <v>-52</v>
      </c>
      <c r="I3794" s="17" t="n">
        <v>45507</v>
      </c>
      <c r="J3794" s="17" t="n">
        <v>45507</v>
      </c>
      <c r="K3794" t="inlineStr">
        <is>
          <t>Partida individual PABLO SUEIRAS BLANCO 29608.1</t>
        </is>
      </c>
    </row>
    <row r="3795">
      <c r="A3795" t="inlineStr">
        <is>
          <t>101604</t>
        </is>
      </c>
      <c r="B3795" t="inlineStr">
        <is>
          <t>PREFEITURA SANTA VITORIA DO PALMAR</t>
        </is>
      </c>
      <c r="C3795" t="n">
        <v>2111000000</v>
      </c>
      <c r="D3795" t="inlineStr">
        <is>
          <t>Taxes Payable</t>
        </is>
      </c>
      <c r="E3795" t="n">
        <v>1100003660</v>
      </c>
      <c r="G3795" t="inlineStr">
        <is>
          <t>AB</t>
        </is>
      </c>
      <c r="H3795" s="12" t="n">
        <v>-121392.76</v>
      </c>
      <c r="I3795" s="17" t="n">
        <v>46053</v>
      </c>
      <c r="J3795" s="17" t="n">
        <v>46053</v>
      </c>
      <c r="K3795" t="inlineStr">
        <is>
          <t>Clearing document PREFEITURA SANTA VITORIA DO PALM</t>
        </is>
      </c>
    </row>
    <row r="3796">
      <c r="A3796" t="inlineStr">
        <is>
          <t>100992</t>
        </is>
      </c>
      <c r="B3796" t="inlineStr">
        <is>
          <t>P W GESTAO DE SAUDE E SEGURANÇA LTD</t>
        </is>
      </c>
      <c r="C3796" t="n">
        <v>2111000000</v>
      </c>
      <c r="D3796" t="inlineStr">
        <is>
          <t>Other Suppliers</t>
        </is>
      </c>
      <c r="E3796" t="n">
        <v>1100020540</v>
      </c>
      <c r="F3796" t="inlineStr">
        <is>
          <t>18</t>
        </is>
      </c>
      <c r="G3796" t="inlineStr">
        <is>
          <t>AB</t>
        </is>
      </c>
      <c r="H3796" s="12" t="n">
        <v>11611.76</v>
      </c>
      <c r="I3796" s="17" t="n">
        <v>46242</v>
      </c>
      <c r="J3796" s="17" t="n">
        <v>46242</v>
      </c>
      <c r="K3796" t="inlineStr">
        <is>
          <t>Saldo a ser descontado da NF de 09.26 ( NF101667)</t>
        </is>
      </c>
    </row>
    <row r="3797">
      <c r="A3797" t="inlineStr">
        <is>
          <t>105984</t>
        </is>
      </c>
      <c r="B3797" t="inlineStr">
        <is>
          <t>TRADEWORKS SERVICOS DE COMERCIO EXT 04955748000107</t>
        </is>
      </c>
      <c r="C3797" t="n">
        <v>2111000000</v>
      </c>
      <c r="D3797" t="inlineStr">
        <is>
          <t>Customs Brokerage – Overall</t>
        </is>
      </c>
      <c r="E3797" t="n">
        <v>1100022427</v>
      </c>
      <c r="F3797" t="inlineStr">
        <is>
          <t>0413/26</t>
        </is>
      </c>
      <c r="G3797" t="inlineStr">
        <is>
          <t>AB</t>
        </is>
      </c>
      <c r="H3797" s="12" t="n">
        <v>196.55</v>
      </c>
      <c r="I3797" s="17" t="n">
        <v>46265</v>
      </c>
      <c r="J3797" s="17" t="n">
        <v>46265</v>
      </c>
      <c r="K3797" t="inlineStr">
        <is>
          <t>Partida individual TRADEWORKS SERVICOS DE COMERCIO</t>
        </is>
      </c>
    </row>
    <row r="3798">
      <c r="A3798" t="inlineStr">
        <is>
          <t>105984</t>
        </is>
      </c>
      <c r="B3798" t="inlineStr">
        <is>
          <t>TRADEWORKS SERVICOS DE COMERCIO EXT 04955748000107</t>
        </is>
      </c>
      <c r="C3798" t="n">
        <v>2111000000</v>
      </c>
      <c r="D3798" t="inlineStr">
        <is>
          <t>Customs Brokerage – Overall</t>
        </is>
      </c>
      <c r="E3798" t="n">
        <v>1100022428</v>
      </c>
      <c r="F3798" t="inlineStr">
        <is>
          <t>0419/26</t>
        </is>
      </c>
      <c r="G3798" t="inlineStr">
        <is>
          <t>AB</t>
        </is>
      </c>
      <c r="H3798" s="12" t="n">
        <v>145754.77</v>
      </c>
      <c r="I3798" s="17" t="n">
        <v>46265</v>
      </c>
      <c r="J3798" s="17" t="n">
        <v>46265</v>
      </c>
      <c r="K3798" t="inlineStr">
        <is>
          <t>Partida individual TRADEWORKS SERVICOS DE COMERCIO</t>
        </is>
      </c>
    </row>
    <row r="3799">
      <c r="A3799" t="inlineStr">
        <is>
          <t>101420</t>
        </is>
      </c>
      <c r="B3799" t="inlineStr">
        <is>
          <t>MEDEIROS GALVAO SOLUÇÕES LTDA</t>
        </is>
      </c>
      <c r="C3799" t="n">
        <v>2111000000</v>
      </c>
      <c r="D3799" t="inlineStr">
        <is>
          <t>Customs Brokerage – Overall</t>
        </is>
      </c>
      <c r="E3799" t="n">
        <v>1100032821</v>
      </c>
      <c r="F3799" t="inlineStr">
        <is>
          <t>019859</t>
        </is>
      </c>
      <c r="G3799" t="inlineStr">
        <is>
          <t>AB</t>
        </is>
      </c>
      <c r="H3799" s="12" t="n">
        <v>32240.11</v>
      </c>
      <c r="I3799" s="17" t="n">
        <v>45836</v>
      </c>
      <c r="J3799" s="17" t="n">
        <v>45836</v>
      </c>
      <c r="K3799" t="inlineStr">
        <is>
          <t>Partida individual MEDEIROS GALVAO SOLUÇÕES LTDA 0</t>
        </is>
      </c>
    </row>
    <row r="3800">
      <c r="A3800" t="inlineStr">
        <is>
          <t>101632</t>
        </is>
      </c>
      <c r="B3800" t="inlineStr">
        <is>
          <t>BVQI DO BRASIL SOCIEDADE CERTIFICAD</t>
        </is>
      </c>
      <c r="C3800" t="n">
        <v>2111000000</v>
      </c>
      <c r="D3800" t="inlineStr">
        <is>
          <t>Other Suppliers</t>
        </is>
      </c>
      <c r="E3800" t="n">
        <v>1100034256</v>
      </c>
      <c r="F3800" t="inlineStr">
        <is>
          <t>0113389</t>
        </is>
      </c>
      <c r="G3800" t="inlineStr">
        <is>
          <t>AB</t>
        </is>
      </c>
      <c r="H3800" s="12" t="n">
        <v>-1553.7</v>
      </c>
      <c r="I3800" s="17" t="n">
        <v>45861</v>
      </c>
      <c r="J3800" s="17" t="n">
        <v>45861</v>
      </c>
      <c r="K3800" t="inlineStr">
        <is>
          <t>Partida individual BVQI DO BRASIL SOCIEDADE CERTIF</t>
        </is>
      </c>
    </row>
    <row r="3801">
      <c r="A3801" t="inlineStr">
        <is>
          <t>101632</t>
        </is>
      </c>
      <c r="B3801" t="inlineStr">
        <is>
          <t>BVQI DO BRASIL SOCIEDADE CERTIFICAD</t>
        </is>
      </c>
      <c r="C3801" t="n">
        <v>2111000000</v>
      </c>
      <c r="D3801" t="inlineStr">
        <is>
          <t>Other Suppliers</t>
        </is>
      </c>
      <c r="E3801" t="n">
        <v>1100034257</v>
      </c>
      <c r="F3801" t="inlineStr">
        <is>
          <t>0107788</t>
        </is>
      </c>
      <c r="G3801" t="inlineStr">
        <is>
          <t>AB</t>
        </is>
      </c>
      <c r="H3801" s="12" t="n">
        <v>-4229.85</v>
      </c>
      <c r="I3801" s="17" t="n">
        <v>45861</v>
      </c>
      <c r="J3801" s="17" t="n">
        <v>45861</v>
      </c>
      <c r="K3801" t="inlineStr">
        <is>
          <t>Partida individual BVQI DO BRASIL SOCIEDADE CERTIF</t>
        </is>
      </c>
    </row>
    <row r="3802">
      <c r="A3802" t="inlineStr">
        <is>
          <t>101632</t>
        </is>
      </c>
      <c r="B3802" t="inlineStr">
        <is>
          <t>BVQI DO BRASIL SOCIEDADE CERTIFICAD</t>
        </is>
      </c>
      <c r="C3802" t="n">
        <v>2111000000</v>
      </c>
      <c r="D3802" t="inlineStr">
        <is>
          <t>Other Suppliers</t>
        </is>
      </c>
      <c r="E3802" t="n">
        <v>1100034258</v>
      </c>
      <c r="F3802" t="inlineStr">
        <is>
          <t>0112856</t>
        </is>
      </c>
      <c r="G3802" t="inlineStr">
        <is>
          <t>AB</t>
        </is>
      </c>
      <c r="H3802" s="12" t="n">
        <v>-4998.2</v>
      </c>
      <c r="I3802" s="17" t="n">
        <v>45861</v>
      </c>
      <c r="J3802" s="17" t="n">
        <v>45861</v>
      </c>
      <c r="K3802" t="inlineStr">
        <is>
          <t>Partida individual BVQI DO BRASIL SOCIEDADE CERTIF</t>
        </is>
      </c>
    </row>
    <row r="3803">
      <c r="A3803" t="inlineStr">
        <is>
          <t>101071</t>
        </is>
      </c>
      <c r="B3803" t="inlineStr">
        <is>
          <t>CUSTOM COMERCIO INTERNACIONAL LTDA</t>
        </is>
      </c>
      <c r="C3803" t="n">
        <v>2111000000</v>
      </c>
      <c r="D3803" t="inlineStr">
        <is>
          <t>Customs Brokerage – Overall</t>
        </is>
      </c>
      <c r="E3803" t="n">
        <v>1100036425</v>
      </c>
      <c r="F3803" t="inlineStr">
        <is>
          <t>4023002662</t>
        </is>
      </c>
      <c r="G3803" t="inlineStr">
        <is>
          <t>AB</t>
        </is>
      </c>
      <c r="H3803" s="12" t="n">
        <v>155470.21</v>
      </c>
      <c r="I3803" s="17" t="n">
        <v>45871</v>
      </c>
      <c r="J3803" s="17" t="n">
        <v>45871</v>
      </c>
      <c r="K3803" t="inlineStr">
        <is>
          <t>CUSTOM A DEVOLVER</t>
        </is>
      </c>
    </row>
    <row r="3804">
      <c r="A3804" t="inlineStr">
        <is>
          <t>101071</t>
        </is>
      </c>
      <c r="B3804" t="inlineStr">
        <is>
          <t>CUSTOM COMERCIO INTERNACIONAL LTDA</t>
        </is>
      </c>
      <c r="C3804" t="n">
        <v>2111000000</v>
      </c>
      <c r="D3804" t="inlineStr">
        <is>
          <t>Customs Brokerage – Overall</t>
        </is>
      </c>
      <c r="E3804" t="n">
        <v>1100036520</v>
      </c>
      <c r="F3804" t="inlineStr">
        <is>
          <t>OEM0209</t>
        </is>
      </c>
      <c r="G3804" t="inlineStr">
        <is>
          <t>AB</t>
        </is>
      </c>
      <c r="H3804" s="12" t="n">
        <v>119283.6</v>
      </c>
      <c r="I3804" s="17" t="n">
        <v>45871</v>
      </c>
      <c r="J3804" s="17" t="n">
        <v>45871</v>
      </c>
      <c r="K3804" t="inlineStr">
        <is>
          <t>CUSTOM A DEVOLVER</t>
        </is>
      </c>
    </row>
    <row r="3805">
      <c r="A3805" t="inlineStr">
        <is>
          <t>101071</t>
        </is>
      </c>
      <c r="B3805" t="inlineStr">
        <is>
          <t>CUSTOM COMERCIO INTERNACIONAL LTDA</t>
        </is>
      </c>
      <c r="C3805" t="n">
        <v>2111000000</v>
      </c>
      <c r="D3805" t="inlineStr">
        <is>
          <t>Customs Brokerage – Overall</t>
        </is>
      </c>
      <c r="E3805" t="n">
        <v>1100036537</v>
      </c>
      <c r="F3805" t="inlineStr">
        <is>
          <t>4012318402</t>
        </is>
      </c>
      <c r="G3805" t="inlineStr">
        <is>
          <t>AB</t>
        </is>
      </c>
      <c r="H3805" s="12" t="n">
        <v>12987.43</v>
      </c>
      <c r="I3805" s="17" t="n">
        <v>45871</v>
      </c>
      <c r="J3805" s="17" t="n">
        <v>45871</v>
      </c>
      <c r="K3805" t="inlineStr">
        <is>
          <t>CUSTOM A DEVOLVER</t>
        </is>
      </c>
    </row>
    <row r="3806">
      <c r="A3806" t="inlineStr">
        <is>
          <t>101071</t>
        </is>
      </c>
      <c r="B3806" t="inlineStr">
        <is>
          <t>CUSTOM COMERCIO INTERNACIONAL LTDA</t>
        </is>
      </c>
      <c r="C3806" t="n">
        <v>2111000000</v>
      </c>
      <c r="D3806" t="inlineStr">
        <is>
          <t>Customs Brokerage – Overall</t>
        </is>
      </c>
      <c r="E3806" t="n">
        <v>1100036543</v>
      </c>
      <c r="F3806" t="inlineStr">
        <is>
          <t>CAJUII012T</t>
        </is>
      </c>
      <c r="G3806" t="inlineStr">
        <is>
          <t>AB</t>
        </is>
      </c>
      <c r="H3806" s="12" t="n">
        <v>52018.67</v>
      </c>
      <c r="I3806" s="17" t="n">
        <v>45871</v>
      </c>
      <c r="J3806" s="17" t="n">
        <v>45871</v>
      </c>
      <c r="K3806" t="inlineStr">
        <is>
          <t>CUSTOM A DEVOLVER</t>
        </is>
      </c>
    </row>
    <row r="3807">
      <c r="A3807" t="inlineStr">
        <is>
          <t>101071</t>
        </is>
      </c>
      <c r="B3807" t="inlineStr">
        <is>
          <t>CUSTOM COMERCIO INTERNACIONAL LTDA</t>
        </is>
      </c>
      <c r="C3807" t="n">
        <v>2111000000</v>
      </c>
      <c r="D3807" t="inlineStr">
        <is>
          <t>Customs Brokerage – Overall</t>
        </is>
      </c>
      <c r="E3807" t="n">
        <v>1100036590</v>
      </c>
      <c r="F3807" t="inlineStr">
        <is>
          <t>LDVV006A1</t>
        </is>
      </c>
      <c r="G3807" t="inlineStr">
        <is>
          <t>AB</t>
        </is>
      </c>
      <c r="H3807" s="12" t="n">
        <v>609264</v>
      </c>
      <c r="I3807" s="17" t="n">
        <v>45871</v>
      </c>
      <c r="J3807" s="17" t="n">
        <v>45871</v>
      </c>
      <c r="K3807" t="inlineStr">
        <is>
          <t>CUSTOM A DEVOLVER</t>
        </is>
      </c>
    </row>
    <row r="3808">
      <c r="A3808" t="inlineStr">
        <is>
          <t>101071</t>
        </is>
      </c>
      <c r="B3808" t="inlineStr">
        <is>
          <t>CUSTOM COMERCIO INTERNACIONAL LTDA</t>
        </is>
      </c>
      <c r="C3808" t="n">
        <v>2111000000</v>
      </c>
      <c r="D3808" t="inlineStr">
        <is>
          <t>Customs Brokerage – Overall</t>
        </is>
      </c>
      <c r="E3808" t="n">
        <v>1100036639</v>
      </c>
      <c r="F3808" t="inlineStr">
        <is>
          <t>CAJU023U</t>
        </is>
      </c>
      <c r="G3808" t="inlineStr">
        <is>
          <t>AB</t>
        </is>
      </c>
      <c r="H3808" s="12" t="n">
        <v>100153.13</v>
      </c>
      <c r="I3808" s="17" t="n">
        <v>45871</v>
      </c>
      <c r="J3808" s="17" t="n">
        <v>45871</v>
      </c>
      <c r="K3808" t="inlineStr">
        <is>
          <t>CUSTOM A DEVOLVER</t>
        </is>
      </c>
    </row>
    <row r="3809">
      <c r="A3809" t="inlineStr">
        <is>
          <t>101071</t>
        </is>
      </c>
      <c r="B3809" t="inlineStr">
        <is>
          <t>CUSTOM COMERCIO INTERNACIONAL LTDA</t>
        </is>
      </c>
      <c r="C3809" t="n">
        <v>2111000000</v>
      </c>
      <c r="D3809" t="inlineStr">
        <is>
          <t>Customs Brokerage – Overall</t>
        </is>
      </c>
      <c r="E3809" t="n">
        <v>1100036724</v>
      </c>
      <c r="F3809" t="inlineStr">
        <is>
          <t>OEM0241</t>
        </is>
      </c>
      <c r="G3809" t="inlineStr">
        <is>
          <t>AB</t>
        </is>
      </c>
      <c r="H3809" s="12" t="n">
        <v>44838.5</v>
      </c>
      <c r="I3809" s="17" t="n">
        <v>45871</v>
      </c>
      <c r="J3809" s="17" t="n">
        <v>45871</v>
      </c>
      <c r="K3809" t="inlineStr">
        <is>
          <t>CUSTOM A DEVOLVER</t>
        </is>
      </c>
    </row>
    <row r="3810">
      <c r="A3810" t="inlineStr">
        <is>
          <t>101071</t>
        </is>
      </c>
      <c r="B3810" t="inlineStr">
        <is>
          <t>CUSTOM COMERCIO INTERNACIONAL LTDA</t>
        </is>
      </c>
      <c r="C3810" t="n">
        <v>2111000000</v>
      </c>
      <c r="D3810" t="inlineStr">
        <is>
          <t>Customs Brokerage – Overall</t>
        </is>
      </c>
      <c r="E3810" t="n">
        <v>1100036727</v>
      </c>
      <c r="F3810" t="inlineStr">
        <is>
          <t>CAJU004EPE</t>
        </is>
      </c>
      <c r="G3810" t="inlineStr">
        <is>
          <t>AB</t>
        </is>
      </c>
      <c r="H3810" s="12" t="n">
        <v>120225.33</v>
      </c>
      <c r="I3810" s="17" t="n">
        <v>45871</v>
      </c>
      <c r="J3810" s="17" t="n">
        <v>45871</v>
      </c>
      <c r="K3810" t="inlineStr">
        <is>
          <t>CUSTOM A DEVOLVER</t>
        </is>
      </c>
    </row>
    <row r="3811">
      <c r="A3811" t="inlineStr">
        <is>
          <t>101071</t>
        </is>
      </c>
      <c r="B3811" t="inlineStr">
        <is>
          <t>CUSTOM COMERCIO INTERNACIONAL LTDA</t>
        </is>
      </c>
      <c r="C3811" t="n">
        <v>2111000000</v>
      </c>
      <c r="D3811" t="inlineStr">
        <is>
          <t>Customs Brokerage – Overall</t>
        </is>
      </c>
      <c r="E3811" t="n">
        <v>1100036729</v>
      </c>
      <c r="F3811" t="inlineStr">
        <is>
          <t>OEM0267</t>
        </is>
      </c>
      <c r="G3811" t="inlineStr">
        <is>
          <t>AB</t>
        </is>
      </c>
      <c r="H3811" s="12" t="n">
        <v>45390.35</v>
      </c>
      <c r="I3811" s="17" t="n">
        <v>45871</v>
      </c>
      <c r="J3811" s="17" t="n">
        <v>45871</v>
      </c>
      <c r="K3811" t="inlineStr">
        <is>
          <t>CUSTOM A DEVOLVER</t>
        </is>
      </c>
    </row>
    <row r="3812">
      <c r="A3812" t="inlineStr">
        <is>
          <t>101071</t>
        </is>
      </c>
      <c r="B3812" t="inlineStr">
        <is>
          <t>CUSTOM COMERCIO INTERNACIONAL LTDA</t>
        </is>
      </c>
      <c r="C3812" t="n">
        <v>2111000000</v>
      </c>
      <c r="D3812" t="inlineStr">
        <is>
          <t>Customs Brokerage – Overall</t>
        </is>
      </c>
      <c r="E3812" t="n">
        <v>1100036741</v>
      </c>
      <c r="F3812" t="inlineStr">
        <is>
          <t>CAJU037A</t>
        </is>
      </c>
      <c r="G3812" t="inlineStr">
        <is>
          <t>AB</t>
        </is>
      </c>
      <c r="H3812" s="12" t="n">
        <v>6337.1</v>
      </c>
      <c r="I3812" s="17" t="n">
        <v>45871</v>
      </c>
      <c r="J3812" s="17" t="n">
        <v>45871</v>
      </c>
      <c r="K3812" t="inlineStr">
        <is>
          <t>CUSTOM A DEVOLVER</t>
        </is>
      </c>
    </row>
    <row r="3813">
      <c r="A3813" t="inlineStr">
        <is>
          <t>101071</t>
        </is>
      </c>
      <c r="B3813" t="inlineStr">
        <is>
          <t>CUSTOM COMERCIO INTERNACIONAL LTDA</t>
        </is>
      </c>
      <c r="C3813" t="n">
        <v>2111000000</v>
      </c>
      <c r="D3813" t="inlineStr">
        <is>
          <t>Customs Brokerage – Overall</t>
        </is>
      </c>
      <c r="E3813" t="n">
        <v>1100036742</v>
      </c>
      <c r="F3813" t="inlineStr">
        <is>
          <t>LDVV008A</t>
        </is>
      </c>
      <c r="G3813" t="inlineStr">
        <is>
          <t>AB</t>
        </is>
      </c>
      <c r="H3813" s="12" t="n">
        <v>92016.85000000001</v>
      </c>
      <c r="I3813" s="17" t="n">
        <v>45871</v>
      </c>
      <c r="J3813" s="17" t="n">
        <v>45871</v>
      </c>
      <c r="K3813" t="inlineStr">
        <is>
          <t>CUSTOM A DEVOLVER</t>
        </is>
      </c>
    </row>
    <row r="3814">
      <c r="A3814" t="inlineStr">
        <is>
          <t>101071</t>
        </is>
      </c>
      <c r="B3814" t="inlineStr">
        <is>
          <t>CUSTOM COMERCIO INTERNACIONAL LTDA</t>
        </is>
      </c>
      <c r="C3814" t="n">
        <v>2111000000</v>
      </c>
      <c r="D3814" t="inlineStr">
        <is>
          <t>Customs Brokerage – Overall</t>
        </is>
      </c>
      <c r="E3814" t="n">
        <v>1100036759</v>
      </c>
      <c r="F3814" t="inlineStr">
        <is>
          <t>MOLDE T2A</t>
        </is>
      </c>
      <c r="G3814" t="inlineStr">
        <is>
          <t>AB</t>
        </is>
      </c>
      <c r="H3814" s="12" t="n">
        <v>14339.3</v>
      </c>
      <c r="I3814" s="17" t="n">
        <v>45871</v>
      </c>
      <c r="J3814" s="17" t="n">
        <v>45871</v>
      </c>
      <c r="K3814" t="inlineStr">
        <is>
          <t>CUSTOM A DEVOLVER</t>
        </is>
      </c>
    </row>
    <row r="3815">
      <c r="A3815" t="inlineStr">
        <is>
          <t>101071</t>
        </is>
      </c>
      <c r="B3815" t="inlineStr">
        <is>
          <t>CUSTOM COMERCIO INTERNACIONAL LTDA</t>
        </is>
      </c>
      <c r="C3815" t="n">
        <v>2111000000</v>
      </c>
      <c r="D3815" t="inlineStr">
        <is>
          <t>Customs Brokerage – Overall</t>
        </is>
      </c>
      <c r="E3815" t="n">
        <v>1100036765</v>
      </c>
      <c r="F3815" t="inlineStr">
        <is>
          <t>MOLDE T3A</t>
        </is>
      </c>
      <c r="G3815" t="inlineStr">
        <is>
          <t>AB</t>
        </is>
      </c>
      <c r="H3815" s="12" t="n">
        <v>31625.57</v>
      </c>
      <c r="I3815" s="17" t="n">
        <v>45871</v>
      </c>
      <c r="J3815" s="17" t="n">
        <v>45871</v>
      </c>
      <c r="K3815" t="inlineStr">
        <is>
          <t>CUSTOM A DEVOLVER</t>
        </is>
      </c>
    </row>
    <row r="3816">
      <c r="A3816" t="inlineStr">
        <is>
          <t>101071</t>
        </is>
      </c>
      <c r="B3816" t="inlineStr">
        <is>
          <t>CUSTOM COMERCIO INTERNACIONAL LTDA</t>
        </is>
      </c>
      <c r="C3816" t="n">
        <v>2111000000</v>
      </c>
      <c r="D3816" t="inlineStr">
        <is>
          <t>Customs Brokerage – Overall</t>
        </is>
      </c>
      <c r="E3816" t="n">
        <v>1100036769</v>
      </c>
      <c r="F3816" t="inlineStr">
        <is>
          <t>LDVV046U1</t>
        </is>
      </c>
      <c r="G3816" t="inlineStr">
        <is>
          <t>AB</t>
        </is>
      </c>
      <c r="H3816" s="12" t="n">
        <v>127516.22</v>
      </c>
      <c r="I3816" s="17" t="n">
        <v>45871</v>
      </c>
      <c r="J3816" s="17" t="n">
        <v>45871</v>
      </c>
      <c r="K3816" t="inlineStr">
        <is>
          <t>CUSTOM A DEVOLVER</t>
        </is>
      </c>
    </row>
    <row r="3817">
      <c r="A3817" t="inlineStr">
        <is>
          <t>101071</t>
        </is>
      </c>
      <c r="B3817" t="inlineStr">
        <is>
          <t>CUSTOM COMERCIO INTERNACIONAL LTDA</t>
        </is>
      </c>
      <c r="C3817" t="n">
        <v>2111000000</v>
      </c>
      <c r="D3817" t="inlineStr">
        <is>
          <t>Customs Brokerage – Overall</t>
        </is>
      </c>
      <c r="E3817" t="n">
        <v>1100036771</v>
      </c>
      <c r="F3817" t="inlineStr">
        <is>
          <t>OEM0500</t>
        </is>
      </c>
      <c r="G3817" t="inlineStr">
        <is>
          <t>AB</t>
        </is>
      </c>
      <c r="H3817" s="12" t="n">
        <v>4388.62</v>
      </c>
      <c r="I3817" s="17" t="n">
        <v>45871</v>
      </c>
      <c r="J3817" s="17" t="n">
        <v>45871</v>
      </c>
      <c r="K3817" t="inlineStr">
        <is>
          <t>CUSTOM A DEVOLVER</t>
        </is>
      </c>
    </row>
    <row r="3818">
      <c r="A3818" t="inlineStr">
        <is>
          <t>101071</t>
        </is>
      </c>
      <c r="B3818" t="inlineStr">
        <is>
          <t>CUSTOM COMERCIO INTERNACIONAL LTDA</t>
        </is>
      </c>
      <c r="C3818" t="n">
        <v>2111000000</v>
      </c>
      <c r="D3818" t="inlineStr">
        <is>
          <t>Customs Brokerage – Overall</t>
        </is>
      </c>
      <c r="E3818" t="n">
        <v>1100036805</v>
      </c>
      <c r="F3818" t="inlineStr">
        <is>
          <t>03606/24</t>
        </is>
      </c>
      <c r="G3818" t="inlineStr">
        <is>
          <t>AB</t>
        </is>
      </c>
      <c r="H3818" s="12" t="n">
        <v>35147.05</v>
      </c>
      <c r="I3818" s="17" t="n">
        <v>45871</v>
      </c>
      <c r="J3818" s="17" t="n">
        <v>45871</v>
      </c>
      <c r="K3818" t="inlineStr">
        <is>
          <t>CUSTOM A DEVOLVER</t>
        </is>
      </c>
    </row>
    <row r="3819">
      <c r="A3819" t="inlineStr">
        <is>
          <t>101071</t>
        </is>
      </c>
      <c r="B3819" t="inlineStr">
        <is>
          <t>CUSTOM COMERCIO INTERNACIONAL LTDA</t>
        </is>
      </c>
      <c r="C3819" t="n">
        <v>2111000000</v>
      </c>
      <c r="D3819" t="inlineStr">
        <is>
          <t>Customs Brokerage – Overall</t>
        </is>
      </c>
      <c r="E3819" t="n">
        <v>1100036811</v>
      </c>
      <c r="F3819" t="inlineStr">
        <is>
          <t>4023003076</t>
        </is>
      </c>
      <c r="G3819" t="inlineStr">
        <is>
          <t>AB</t>
        </is>
      </c>
      <c r="H3819" s="12" t="n">
        <v>158520.14</v>
      </c>
      <c r="I3819" s="17" t="n">
        <v>45871</v>
      </c>
      <c r="J3819" s="17" t="n">
        <v>45871</v>
      </c>
      <c r="K3819" t="inlineStr">
        <is>
          <t>CUSTOM A DEVOLVER</t>
        </is>
      </c>
    </row>
    <row r="3820">
      <c r="A3820" t="inlineStr">
        <is>
          <t>101071</t>
        </is>
      </c>
      <c r="B3820" t="inlineStr">
        <is>
          <t>CUSTOM COMERCIO INTERNACIONAL LTDA</t>
        </is>
      </c>
      <c r="C3820" t="n">
        <v>2111000000</v>
      </c>
      <c r="D3820" t="inlineStr">
        <is>
          <t>Customs Brokerage – Overall</t>
        </is>
      </c>
      <c r="E3820" t="n">
        <v>1100036819</v>
      </c>
      <c r="F3820" t="inlineStr">
        <is>
          <t>OEM0355</t>
        </is>
      </c>
      <c r="G3820" t="inlineStr">
        <is>
          <t>AB</t>
        </is>
      </c>
      <c r="H3820" s="12" t="n">
        <v>44550.28</v>
      </c>
      <c r="I3820" s="17" t="n">
        <v>45871</v>
      </c>
      <c r="J3820" s="17" t="n">
        <v>45871</v>
      </c>
      <c r="K3820" t="inlineStr">
        <is>
          <t>CUSTOM A DEVOLVER</t>
        </is>
      </c>
    </row>
    <row r="3821">
      <c r="A3821" t="inlineStr">
        <is>
          <t>101071</t>
        </is>
      </c>
      <c r="B3821" t="inlineStr">
        <is>
          <t>CUSTOM COMERCIO INTERNACIONAL LTDA</t>
        </is>
      </c>
      <c r="C3821" t="n">
        <v>2111000000</v>
      </c>
      <c r="D3821" t="inlineStr">
        <is>
          <t>Customs Brokerage – Overall</t>
        </is>
      </c>
      <c r="E3821" t="n">
        <v>1100036821</v>
      </c>
      <c r="F3821" t="inlineStr">
        <is>
          <t>CAJU025A</t>
        </is>
      </c>
      <c r="G3821" t="inlineStr">
        <is>
          <t>AB</t>
        </is>
      </c>
      <c r="H3821" s="12" t="n">
        <v>86259.91</v>
      </c>
      <c r="I3821" s="17" t="n">
        <v>45871</v>
      </c>
      <c r="J3821" s="17" t="n">
        <v>45871</v>
      </c>
      <c r="K3821" t="inlineStr">
        <is>
          <t>CUSTOM A DEVOLVER</t>
        </is>
      </c>
    </row>
    <row r="3822">
      <c r="A3822" t="inlineStr">
        <is>
          <t>101071</t>
        </is>
      </c>
      <c r="B3822" t="inlineStr">
        <is>
          <t>CUSTOM COMERCIO INTERNACIONAL LTDA</t>
        </is>
      </c>
      <c r="C3822" t="n">
        <v>2111000000</v>
      </c>
      <c r="D3822" t="inlineStr">
        <is>
          <t>Customs Brokerage – Overall</t>
        </is>
      </c>
      <c r="E3822" t="n">
        <v>1100036822</v>
      </c>
      <c r="F3822" t="inlineStr">
        <is>
          <t>4023004712</t>
        </is>
      </c>
      <c r="G3822" t="inlineStr">
        <is>
          <t>AB</t>
        </is>
      </c>
      <c r="H3822" s="12" t="n">
        <v>150630.06</v>
      </c>
      <c r="I3822" s="17" t="n">
        <v>45871</v>
      </c>
      <c r="J3822" s="17" t="n">
        <v>45871</v>
      </c>
      <c r="K3822" t="inlineStr">
        <is>
          <t>CUSTOM A DEVOLVER</t>
        </is>
      </c>
    </row>
    <row r="3823">
      <c r="A3823" t="inlineStr">
        <is>
          <t>101071</t>
        </is>
      </c>
      <c r="B3823" t="inlineStr">
        <is>
          <t>CUSTOM COMERCIO INTERNACIONAL LTDA</t>
        </is>
      </c>
      <c r="C3823" t="n">
        <v>2111000000</v>
      </c>
      <c r="D3823" t="inlineStr">
        <is>
          <t>Customs Brokerage – Overall</t>
        </is>
      </c>
      <c r="E3823" t="n">
        <v>1100036825</v>
      </c>
      <c r="F3823" t="inlineStr">
        <is>
          <t>OEM0409</t>
        </is>
      </c>
      <c r="G3823" t="inlineStr">
        <is>
          <t>AB</t>
        </is>
      </c>
      <c r="H3823" s="12" t="n">
        <v>5025.09</v>
      </c>
      <c r="I3823" s="17" t="n">
        <v>45871</v>
      </c>
      <c r="J3823" s="17" t="n">
        <v>45871</v>
      </c>
      <c r="K3823" t="inlineStr">
        <is>
          <t>CUSTOM A DEVOLVER</t>
        </is>
      </c>
    </row>
    <row r="3824">
      <c r="A3824" t="inlineStr">
        <is>
          <t>101071</t>
        </is>
      </c>
      <c r="B3824" t="inlineStr">
        <is>
          <t>CUSTOM COMERCIO INTERNACIONAL LTDA</t>
        </is>
      </c>
      <c r="C3824" t="n">
        <v>2111000000</v>
      </c>
      <c r="D3824" t="inlineStr">
        <is>
          <t>Customs Brokerage – Overall</t>
        </is>
      </c>
      <c r="E3824" t="n">
        <v>1100036827</v>
      </c>
      <c r="F3824" t="inlineStr">
        <is>
          <t>OEM0254</t>
        </is>
      </c>
      <c r="G3824" t="inlineStr">
        <is>
          <t>AB</t>
        </is>
      </c>
      <c r="H3824" s="12" t="n">
        <v>33725.33</v>
      </c>
      <c r="I3824" s="17" t="n">
        <v>45871</v>
      </c>
      <c r="J3824" s="17" t="n">
        <v>45871</v>
      </c>
      <c r="K3824" t="inlineStr">
        <is>
          <t>CUSTOM A DEVOLVER</t>
        </is>
      </c>
    </row>
    <row r="3825">
      <c r="A3825" t="inlineStr">
        <is>
          <t>101071</t>
        </is>
      </c>
      <c r="B3825" t="inlineStr">
        <is>
          <t>CUSTOM COMERCIO INTERNACIONAL LTDA</t>
        </is>
      </c>
      <c r="C3825" t="n">
        <v>2111000000</v>
      </c>
      <c r="D3825" t="inlineStr">
        <is>
          <t>Customs Brokerage – Overall</t>
        </is>
      </c>
      <c r="E3825" t="n">
        <v>1100036831</v>
      </c>
      <c r="F3825" t="inlineStr">
        <is>
          <t>CAJU024U</t>
        </is>
      </c>
      <c r="G3825" t="inlineStr">
        <is>
          <t>AB</t>
        </is>
      </c>
      <c r="H3825" s="12" t="n">
        <v>51266.94</v>
      </c>
      <c r="I3825" s="17" t="n">
        <v>45871</v>
      </c>
      <c r="J3825" s="17" t="n">
        <v>45871</v>
      </c>
      <c r="K3825" t="inlineStr">
        <is>
          <t>CUSTOM A DEVOLVER</t>
        </is>
      </c>
    </row>
    <row r="3826">
      <c r="A3826" t="inlineStr">
        <is>
          <t>101071</t>
        </is>
      </c>
      <c r="B3826" t="inlineStr">
        <is>
          <t>CUSTOM COMERCIO INTERNACIONAL LTDA</t>
        </is>
      </c>
      <c r="C3826" t="n">
        <v>2111000000</v>
      </c>
      <c r="D3826" t="inlineStr">
        <is>
          <t>Customs Brokerage – Overall</t>
        </is>
      </c>
      <c r="E3826" t="n">
        <v>1100036832</v>
      </c>
      <c r="F3826" t="inlineStr">
        <is>
          <t>CAJUII007T</t>
        </is>
      </c>
      <c r="G3826" t="inlineStr">
        <is>
          <t>AB</t>
        </is>
      </c>
      <c r="H3826" s="12" t="n">
        <v>64767.5</v>
      </c>
      <c r="I3826" s="17" t="n">
        <v>45871</v>
      </c>
      <c r="J3826" s="17" t="n">
        <v>45871</v>
      </c>
      <c r="K3826" t="inlineStr">
        <is>
          <t>CUSTOM A DEVOLVER</t>
        </is>
      </c>
    </row>
    <row r="3827">
      <c r="A3827" t="inlineStr">
        <is>
          <t>101071</t>
        </is>
      </c>
      <c r="B3827" t="inlineStr">
        <is>
          <t>CUSTOM COMERCIO INTERNACIONAL LTDA</t>
        </is>
      </c>
      <c r="C3827" t="n">
        <v>2111000000</v>
      </c>
      <c r="D3827" t="inlineStr">
        <is>
          <t>Customs Brokerage – Overall</t>
        </is>
      </c>
      <c r="E3827" t="n">
        <v>1100036833</v>
      </c>
      <c r="F3827" t="inlineStr">
        <is>
          <t>CAJU064A</t>
        </is>
      </c>
      <c r="G3827" t="inlineStr">
        <is>
          <t>AB</t>
        </is>
      </c>
      <c r="H3827" s="12" t="n">
        <v>312765.95</v>
      </c>
      <c r="I3827" s="17" t="n">
        <v>45871</v>
      </c>
      <c r="J3827" s="17" t="n">
        <v>45871</v>
      </c>
      <c r="K3827" t="inlineStr">
        <is>
          <t>CUSTOM A DEVOLVER</t>
        </is>
      </c>
    </row>
    <row r="3828">
      <c r="A3828" t="inlineStr">
        <is>
          <t>101071</t>
        </is>
      </c>
      <c r="B3828" t="inlineStr">
        <is>
          <t>CUSTOM COMERCIO INTERNACIONAL LTDA</t>
        </is>
      </c>
      <c r="C3828" t="n">
        <v>2111000000</v>
      </c>
      <c r="D3828" t="inlineStr">
        <is>
          <t>Customs Brokerage – Overall</t>
        </is>
      </c>
      <c r="E3828" t="n">
        <v>1100036834</v>
      </c>
      <c r="F3828" t="inlineStr">
        <is>
          <t>CAJUII041A</t>
        </is>
      </c>
      <c r="G3828" t="inlineStr">
        <is>
          <t>AB</t>
        </is>
      </c>
      <c r="H3828" s="12" t="n">
        <v>44283.1</v>
      </c>
      <c r="I3828" s="17" t="n">
        <v>45871</v>
      </c>
      <c r="J3828" s="17" t="n">
        <v>45871</v>
      </c>
      <c r="K3828" t="inlineStr">
        <is>
          <t>CUSTOM A DEVOLVER</t>
        </is>
      </c>
    </row>
    <row r="3829">
      <c r="A3829" t="inlineStr">
        <is>
          <t>101071</t>
        </is>
      </c>
      <c r="B3829" t="inlineStr">
        <is>
          <t>CUSTOM COMERCIO INTERNACIONAL LTDA</t>
        </is>
      </c>
      <c r="C3829" t="n">
        <v>2111000000</v>
      </c>
      <c r="D3829" t="inlineStr">
        <is>
          <t>Customs Brokerage – Overall</t>
        </is>
      </c>
      <c r="E3829" t="n">
        <v>1100036867</v>
      </c>
      <c r="F3829" t="inlineStr">
        <is>
          <t>CAJUII022A</t>
        </is>
      </c>
      <c r="G3829" t="inlineStr">
        <is>
          <t>AB</t>
        </is>
      </c>
      <c r="H3829" s="12" t="n">
        <v>59301.38</v>
      </c>
      <c r="I3829" s="17" t="n">
        <v>45871</v>
      </c>
      <c r="J3829" s="17" t="n">
        <v>45871</v>
      </c>
      <c r="K3829" t="inlineStr">
        <is>
          <t>CUSTOM A DEVOLVER</t>
        </is>
      </c>
    </row>
    <row r="3830">
      <c r="A3830" t="inlineStr">
        <is>
          <t>101071</t>
        </is>
      </c>
      <c r="B3830" t="inlineStr">
        <is>
          <t>CUSTOM COMERCIO INTERNACIONAL LTDA</t>
        </is>
      </c>
      <c r="C3830" t="n">
        <v>2111000000</v>
      </c>
      <c r="D3830" t="inlineStr">
        <is>
          <t>Customs Brokerage – Overall</t>
        </is>
      </c>
      <c r="E3830" t="n">
        <v>1100036869</v>
      </c>
      <c r="F3830" t="inlineStr">
        <is>
          <t>LDVV051U</t>
        </is>
      </c>
      <c r="G3830" t="inlineStr">
        <is>
          <t>AB</t>
        </is>
      </c>
      <c r="H3830" s="12" t="n">
        <v>96212.27</v>
      </c>
      <c r="I3830" s="17" t="n">
        <v>45871</v>
      </c>
      <c r="J3830" s="17" t="n">
        <v>45871</v>
      </c>
      <c r="K3830" t="inlineStr">
        <is>
          <t>CUSTOM A DEVOLVER</t>
        </is>
      </c>
    </row>
    <row r="3831">
      <c r="A3831" t="inlineStr">
        <is>
          <t>101071</t>
        </is>
      </c>
      <c r="B3831" t="inlineStr">
        <is>
          <t>CUSTOM COMERCIO INTERNACIONAL LTDA</t>
        </is>
      </c>
      <c r="C3831" t="n">
        <v>2111000000</v>
      </c>
      <c r="D3831" t="inlineStr">
        <is>
          <t>Customs Brokerage – Overall</t>
        </is>
      </c>
      <c r="E3831" t="n">
        <v>1100036870</v>
      </c>
      <c r="F3831" t="inlineStr">
        <is>
          <t>0259-24 OEM0548</t>
        </is>
      </c>
      <c r="G3831" t="inlineStr">
        <is>
          <t>AB</t>
        </is>
      </c>
      <c r="H3831" s="12" t="n">
        <v>136568.25</v>
      </c>
      <c r="I3831" s="17" t="n">
        <v>45871</v>
      </c>
      <c r="J3831" s="17" t="n">
        <v>45871</v>
      </c>
      <c r="K3831" t="inlineStr">
        <is>
          <t>CUSTOM A DEVOLVER</t>
        </is>
      </c>
    </row>
    <row r="3832">
      <c r="A3832" t="inlineStr">
        <is>
          <t>101071</t>
        </is>
      </c>
      <c r="B3832" t="inlineStr">
        <is>
          <t>CUSTOM COMERCIO INTERNACIONAL LTDA</t>
        </is>
      </c>
      <c r="C3832" t="n">
        <v>2111000000</v>
      </c>
      <c r="D3832" t="inlineStr">
        <is>
          <t>Customs Brokerage – Overall</t>
        </is>
      </c>
      <c r="E3832" t="n">
        <v>1100036874</v>
      </c>
      <c r="F3832" t="inlineStr">
        <is>
          <t>OEM0301</t>
        </is>
      </c>
      <c r="G3832" t="inlineStr">
        <is>
          <t>AB</t>
        </is>
      </c>
      <c r="H3832" s="12" t="n">
        <v>52584.83</v>
      </c>
      <c r="I3832" s="17" t="n">
        <v>45871</v>
      </c>
      <c r="J3832" s="17" t="n">
        <v>45871</v>
      </c>
      <c r="K3832" t="inlineStr">
        <is>
          <t>CUSTOM A DEVOLVER</t>
        </is>
      </c>
    </row>
    <row r="3833">
      <c r="A3833" t="inlineStr">
        <is>
          <t>101071</t>
        </is>
      </c>
      <c r="B3833" t="inlineStr">
        <is>
          <t>CUSTOM COMERCIO INTERNACIONAL LTDA</t>
        </is>
      </c>
      <c r="C3833" t="n">
        <v>2111000000</v>
      </c>
      <c r="D3833" t="inlineStr">
        <is>
          <t>Customs Brokerage – Overall</t>
        </is>
      </c>
      <c r="E3833" t="n">
        <v>1100036899</v>
      </c>
      <c r="F3833" t="inlineStr">
        <is>
          <t>CAJU001NC</t>
        </is>
      </c>
      <c r="G3833" t="inlineStr">
        <is>
          <t>AB</t>
        </is>
      </c>
      <c r="H3833" s="12" t="n">
        <v>47611.62</v>
      </c>
      <c r="I3833" s="17" t="n">
        <v>45871</v>
      </c>
      <c r="J3833" s="17" t="n">
        <v>45871</v>
      </c>
      <c r="K3833" t="inlineStr">
        <is>
          <t>CUSTOM A DEVOLVER</t>
        </is>
      </c>
    </row>
    <row r="3834">
      <c r="A3834" t="inlineStr">
        <is>
          <t>101071</t>
        </is>
      </c>
      <c r="B3834" t="inlineStr">
        <is>
          <t>CUSTOM COMERCIO INTERNACIONAL LTDA</t>
        </is>
      </c>
      <c r="C3834" t="n">
        <v>2111000000</v>
      </c>
      <c r="D3834" t="inlineStr">
        <is>
          <t>Customs Brokerage – Overall</t>
        </is>
      </c>
      <c r="E3834" t="n">
        <v>1100036916</v>
      </c>
      <c r="F3834" t="inlineStr">
        <is>
          <t>03094/24</t>
        </is>
      </c>
      <c r="G3834" t="inlineStr">
        <is>
          <t>AB</t>
        </is>
      </c>
      <c r="H3834" s="12" t="n">
        <v>190825.54</v>
      </c>
      <c r="I3834" s="17" t="n">
        <v>45871</v>
      </c>
      <c r="J3834" s="17" t="n">
        <v>45871</v>
      </c>
      <c r="K3834" t="inlineStr">
        <is>
          <t>CUSTOM A DEVOLVER</t>
        </is>
      </c>
    </row>
    <row r="3835">
      <c r="A3835" t="inlineStr">
        <is>
          <t>101071</t>
        </is>
      </c>
      <c r="B3835" t="inlineStr">
        <is>
          <t>CUSTOM COMERCIO INTERNACIONAL LTDA</t>
        </is>
      </c>
      <c r="C3835" t="n">
        <v>2111000000</v>
      </c>
      <c r="D3835" t="inlineStr">
        <is>
          <t>Customs Brokerage – Overall</t>
        </is>
      </c>
      <c r="E3835" t="n">
        <v>1100036917</v>
      </c>
      <c r="F3835" t="inlineStr">
        <is>
          <t>4024002441</t>
        </is>
      </c>
      <c r="G3835" t="inlineStr">
        <is>
          <t>AB</t>
        </is>
      </c>
      <c r="H3835" s="12" t="n">
        <v>64747.36</v>
      </c>
      <c r="I3835" s="17" t="n">
        <v>45871</v>
      </c>
      <c r="J3835" s="17" t="n">
        <v>45871</v>
      </c>
      <c r="K3835" t="inlineStr">
        <is>
          <t>CUSTOM A DEVOLVER</t>
        </is>
      </c>
    </row>
    <row r="3836">
      <c r="A3836" t="inlineStr">
        <is>
          <t>101071</t>
        </is>
      </c>
      <c r="B3836" t="inlineStr">
        <is>
          <t>CUSTOM COMERCIO INTERNACIONAL LTDA</t>
        </is>
      </c>
      <c r="C3836" t="n">
        <v>2111000000</v>
      </c>
      <c r="D3836" t="inlineStr">
        <is>
          <t>Customs Brokerage – Overall</t>
        </is>
      </c>
      <c r="E3836" t="n">
        <v>1100036921</v>
      </c>
      <c r="F3836" t="inlineStr">
        <is>
          <t>CAJU033A</t>
        </is>
      </c>
      <c r="G3836" t="inlineStr">
        <is>
          <t>AB</t>
        </is>
      </c>
      <c r="H3836" s="12" t="n">
        <v>86063.39999999999</v>
      </c>
      <c r="I3836" s="17" t="n">
        <v>45871</v>
      </c>
      <c r="J3836" s="17" t="n">
        <v>45871</v>
      </c>
      <c r="K3836" t="inlineStr">
        <is>
          <t>CUSTOM A DEVOLVER</t>
        </is>
      </c>
    </row>
    <row r="3837">
      <c r="A3837" t="inlineStr">
        <is>
          <t>101071</t>
        </is>
      </c>
      <c r="B3837" t="inlineStr">
        <is>
          <t>CUSTOM COMERCIO INTERNACIONAL LTDA</t>
        </is>
      </c>
      <c r="C3837" t="n">
        <v>2111000000</v>
      </c>
      <c r="D3837" t="inlineStr">
        <is>
          <t>Customs Brokerage – Overall</t>
        </is>
      </c>
      <c r="E3837" t="n">
        <v>1100036938</v>
      </c>
      <c r="F3837" t="inlineStr">
        <is>
          <t>CARR001U</t>
        </is>
      </c>
      <c r="G3837" t="inlineStr">
        <is>
          <t>AB</t>
        </is>
      </c>
      <c r="H3837" s="12" t="n">
        <v>24943</v>
      </c>
      <c r="I3837" s="17" t="n">
        <v>45871</v>
      </c>
      <c r="J3837" s="17" t="n">
        <v>45871</v>
      </c>
      <c r="K3837" t="inlineStr">
        <is>
          <t>CUSTOM A DEVOLVER</t>
        </is>
      </c>
    </row>
    <row r="3838">
      <c r="A3838" t="inlineStr">
        <is>
          <t>101071</t>
        </is>
      </c>
      <c r="B3838" t="inlineStr">
        <is>
          <t>CUSTOM COMERCIO INTERNACIONAL LTDA</t>
        </is>
      </c>
      <c r="C3838" t="n">
        <v>2111000000</v>
      </c>
      <c r="D3838" t="inlineStr">
        <is>
          <t>Customs Brokerage – Overall</t>
        </is>
      </c>
      <c r="E3838" t="n">
        <v>1100036940</v>
      </c>
      <c r="F3838" t="inlineStr">
        <is>
          <t>LDVV046U</t>
        </is>
      </c>
      <c r="G3838" t="inlineStr">
        <is>
          <t>AB</t>
        </is>
      </c>
      <c r="H3838" s="12" t="n">
        <v>110228.37</v>
      </c>
      <c r="I3838" s="17" t="n">
        <v>45871</v>
      </c>
      <c r="J3838" s="17" t="n">
        <v>45871</v>
      </c>
      <c r="K3838" t="inlineStr">
        <is>
          <t>CUSTOM A DEVOLVER</t>
        </is>
      </c>
    </row>
    <row r="3839">
      <c r="A3839" t="inlineStr">
        <is>
          <t>101071</t>
        </is>
      </c>
      <c r="B3839" t="inlineStr">
        <is>
          <t>CUSTOM COMERCIO INTERNACIONAL LTDA</t>
        </is>
      </c>
      <c r="C3839" t="n">
        <v>2111000000</v>
      </c>
      <c r="D3839" t="inlineStr">
        <is>
          <t>Customs Brokerage – Overall</t>
        </is>
      </c>
      <c r="E3839" t="n">
        <v>1100036943</v>
      </c>
      <c r="F3839" t="inlineStr">
        <is>
          <t>CAJUII056A</t>
        </is>
      </c>
      <c r="G3839" t="inlineStr">
        <is>
          <t>AB</t>
        </is>
      </c>
      <c r="H3839" s="12" t="n">
        <v>54232.8</v>
      </c>
      <c r="I3839" s="17" t="n">
        <v>45871</v>
      </c>
      <c r="J3839" s="17" t="n">
        <v>45871</v>
      </c>
      <c r="K3839" t="inlineStr">
        <is>
          <t>CUSTOM A DEVOLVER</t>
        </is>
      </c>
    </row>
    <row r="3840">
      <c r="A3840" t="inlineStr">
        <is>
          <t>101071</t>
        </is>
      </c>
      <c r="B3840" t="inlineStr">
        <is>
          <t>CUSTOM COMERCIO INTERNACIONAL LTDA</t>
        </is>
      </c>
      <c r="C3840" t="n">
        <v>2111000000</v>
      </c>
      <c r="D3840" t="inlineStr">
        <is>
          <t>Customs Brokerage – Overall</t>
        </is>
      </c>
      <c r="E3840" t="n">
        <v>1100036970</v>
      </c>
      <c r="F3840" t="inlineStr">
        <is>
          <t>CAJU008T</t>
        </is>
      </c>
      <c r="G3840" t="inlineStr">
        <is>
          <t>AB</t>
        </is>
      </c>
      <c r="H3840" s="12" t="n">
        <v>40126.4</v>
      </c>
      <c r="I3840" s="17" t="n">
        <v>45871</v>
      </c>
      <c r="J3840" s="17" t="n">
        <v>45871</v>
      </c>
      <c r="K3840" t="inlineStr">
        <is>
          <t>CUSTOM A DEVOLVER</t>
        </is>
      </c>
    </row>
    <row r="3841">
      <c r="A3841" t="inlineStr">
        <is>
          <t>101071</t>
        </is>
      </c>
      <c r="B3841" t="inlineStr">
        <is>
          <t>CUSTOM COMERCIO INTERNACIONAL LTDA</t>
        </is>
      </c>
      <c r="C3841" t="n">
        <v>2111000000</v>
      </c>
      <c r="D3841" t="inlineStr">
        <is>
          <t>Customs Brokerage – Overall</t>
        </is>
      </c>
      <c r="E3841" t="n">
        <v>1100036973</v>
      </c>
      <c r="F3841" t="inlineStr">
        <is>
          <t>CAJU017A</t>
        </is>
      </c>
      <c r="G3841" t="inlineStr">
        <is>
          <t>AB</t>
        </is>
      </c>
      <c r="H3841" s="12" t="n">
        <v>4599.67</v>
      </c>
      <c r="I3841" s="17" t="n">
        <v>45871</v>
      </c>
      <c r="J3841" s="17" t="n">
        <v>45871</v>
      </c>
      <c r="K3841" t="inlineStr">
        <is>
          <t>CUSTOM A DEVOLVER</t>
        </is>
      </c>
    </row>
    <row r="3842">
      <c r="A3842" t="inlineStr">
        <is>
          <t>101071</t>
        </is>
      </c>
      <c r="B3842" t="inlineStr">
        <is>
          <t>CUSTOM COMERCIO INTERNACIONAL LTDA</t>
        </is>
      </c>
      <c r="C3842" t="n">
        <v>2111000000</v>
      </c>
      <c r="D3842" t="inlineStr">
        <is>
          <t>Customs Brokerage – Overall</t>
        </is>
      </c>
      <c r="E3842" t="n">
        <v>1100037004</v>
      </c>
      <c r="F3842" t="inlineStr">
        <is>
          <t>OEM0369</t>
        </is>
      </c>
      <c r="G3842" t="inlineStr">
        <is>
          <t>AB</t>
        </is>
      </c>
      <c r="H3842" s="12" t="n">
        <v>79837.28999999999</v>
      </c>
      <c r="I3842" s="17" t="n">
        <v>45871</v>
      </c>
      <c r="J3842" s="17" t="n">
        <v>45871</v>
      </c>
      <c r="K3842" t="inlineStr">
        <is>
          <t>CUSTOM A DEVOLVER</t>
        </is>
      </c>
    </row>
    <row r="3843">
      <c r="A3843" t="inlineStr">
        <is>
          <t>101071</t>
        </is>
      </c>
      <c r="B3843" t="inlineStr">
        <is>
          <t>CUSTOM COMERCIO INTERNACIONAL LTDA</t>
        </is>
      </c>
      <c r="C3843" t="n">
        <v>2111000000</v>
      </c>
      <c r="D3843" t="inlineStr">
        <is>
          <t>Customs Brokerage – Overall</t>
        </is>
      </c>
      <c r="E3843" t="n">
        <v>1100037043</v>
      </c>
      <c r="F3843" t="inlineStr">
        <is>
          <t>OEM0377</t>
        </is>
      </c>
      <c r="G3843" t="inlineStr">
        <is>
          <t>AB</t>
        </is>
      </c>
      <c r="H3843" s="12" t="n">
        <v>17298.79</v>
      </c>
      <c r="I3843" s="17" t="n">
        <v>45871</v>
      </c>
      <c r="J3843" s="17" t="n">
        <v>45871</v>
      </c>
      <c r="K3843" t="inlineStr">
        <is>
          <t>CUSTOM A DEVOLVER</t>
        </is>
      </c>
    </row>
    <row r="3844">
      <c r="A3844" t="inlineStr">
        <is>
          <t>101071</t>
        </is>
      </c>
      <c r="B3844" t="inlineStr">
        <is>
          <t>CUSTOM COMERCIO INTERNACIONAL LTDA</t>
        </is>
      </c>
      <c r="C3844" t="n">
        <v>2111000000</v>
      </c>
      <c r="D3844" t="inlineStr">
        <is>
          <t>Customs Brokerage – Overall</t>
        </is>
      </c>
      <c r="E3844" t="n">
        <v>1100037058</v>
      </c>
      <c r="F3844" t="inlineStr">
        <is>
          <t>OEM0194</t>
        </is>
      </c>
      <c r="G3844" t="inlineStr">
        <is>
          <t>AB</t>
        </is>
      </c>
      <c r="H3844" s="12" t="n">
        <v>45846.45</v>
      </c>
      <c r="I3844" s="17" t="n">
        <v>45871</v>
      </c>
      <c r="J3844" s="17" t="n">
        <v>45871</v>
      </c>
      <c r="K3844" t="inlineStr">
        <is>
          <t>CUSTOM A DEVOLVER</t>
        </is>
      </c>
    </row>
    <row r="3845">
      <c r="A3845" t="inlineStr">
        <is>
          <t>101071</t>
        </is>
      </c>
      <c r="B3845" t="inlineStr">
        <is>
          <t>CUSTOM COMERCIO INTERNACIONAL LTDA</t>
        </is>
      </c>
      <c r="C3845" t="n">
        <v>2111000000</v>
      </c>
      <c r="D3845" t="inlineStr">
        <is>
          <t>Customs Brokerage – Overall</t>
        </is>
      </c>
      <c r="E3845" t="n">
        <v>1100038514</v>
      </c>
      <c r="F3845" t="inlineStr">
        <is>
          <t>OEM0325</t>
        </is>
      </c>
      <c r="G3845" t="inlineStr">
        <is>
          <t>AB</t>
        </is>
      </c>
      <c r="H3845" s="12" t="n">
        <v>19340.26</v>
      </c>
      <c r="I3845" s="17" t="n">
        <v>45871</v>
      </c>
      <c r="J3845" s="17" t="n">
        <v>45871</v>
      </c>
      <c r="K3845" t="inlineStr">
        <is>
          <t>CUSTOM A DEVOLVER</t>
        </is>
      </c>
    </row>
    <row r="3846">
      <c r="A3846" t="inlineStr">
        <is>
          <t>101071</t>
        </is>
      </c>
      <c r="B3846" t="inlineStr">
        <is>
          <t>CUSTOM COMERCIO INTERNACIONAL LTDA</t>
        </is>
      </c>
      <c r="C3846" t="n">
        <v>2111000000</v>
      </c>
      <c r="D3846" t="inlineStr">
        <is>
          <t>Customs Brokerage – Overall</t>
        </is>
      </c>
      <c r="E3846" t="n">
        <v>1100038515</v>
      </c>
      <c r="F3846" t="inlineStr">
        <is>
          <t>4023003007</t>
        </is>
      </c>
      <c r="G3846" t="inlineStr">
        <is>
          <t>AB</t>
        </is>
      </c>
      <c r="H3846" s="12" t="n">
        <v>31043.32</v>
      </c>
      <c r="I3846" s="17" t="n">
        <v>45871</v>
      </c>
      <c r="J3846" s="17" t="n">
        <v>45871</v>
      </c>
      <c r="K3846" t="inlineStr">
        <is>
          <t>CUSTOM A DEVOLVER</t>
        </is>
      </c>
    </row>
    <row r="3847">
      <c r="A3847" t="inlineStr">
        <is>
          <t>101071</t>
        </is>
      </c>
      <c r="B3847" t="inlineStr">
        <is>
          <t>CUSTOM COMERCIO INTERNACIONAL LTDA</t>
        </is>
      </c>
      <c r="C3847" t="n">
        <v>2111000000</v>
      </c>
      <c r="D3847" t="inlineStr">
        <is>
          <t>Customs Brokerage – Overall</t>
        </is>
      </c>
      <c r="E3847" t="n">
        <v>1100038517</v>
      </c>
      <c r="F3847" t="inlineStr">
        <is>
          <t>OEM0302</t>
        </is>
      </c>
      <c r="G3847" t="inlineStr">
        <is>
          <t>AB</t>
        </is>
      </c>
      <c r="H3847" s="12" t="n">
        <v>33473.98</v>
      </c>
      <c r="I3847" s="17" t="n">
        <v>45871</v>
      </c>
      <c r="J3847" s="17" t="n">
        <v>45871</v>
      </c>
      <c r="K3847" t="inlineStr">
        <is>
          <t>CUSTOM A DEVOLVER</t>
        </is>
      </c>
    </row>
    <row r="3848">
      <c r="A3848" t="inlineStr">
        <is>
          <t>101071</t>
        </is>
      </c>
      <c r="B3848" t="inlineStr">
        <is>
          <t>CUSTOM COMERCIO INTERNACIONAL LTDA</t>
        </is>
      </c>
      <c r="C3848" t="n">
        <v>2111000000</v>
      </c>
      <c r="D3848" t="inlineStr">
        <is>
          <t>Customs Brokerage – Overall</t>
        </is>
      </c>
      <c r="E3848" t="n">
        <v>1100038519</v>
      </c>
      <c r="F3848" t="inlineStr">
        <is>
          <t>CARR002T</t>
        </is>
      </c>
      <c r="G3848" t="inlineStr">
        <is>
          <t>AB</t>
        </is>
      </c>
      <c r="H3848" s="12" t="n">
        <v>17190.46</v>
      </c>
      <c r="I3848" s="17" t="n">
        <v>45871</v>
      </c>
      <c r="J3848" s="17" t="n">
        <v>45871</v>
      </c>
      <c r="K3848" t="inlineStr">
        <is>
          <t>CUSTOM A DEVOLVER</t>
        </is>
      </c>
    </row>
    <row r="3849">
      <c r="A3849" t="inlineStr">
        <is>
          <t>101071</t>
        </is>
      </c>
      <c r="B3849" t="inlineStr">
        <is>
          <t>CUSTOM COMERCIO INTERNACIONAL LTDA</t>
        </is>
      </c>
      <c r="C3849" t="n">
        <v>2111000000</v>
      </c>
      <c r="D3849" t="inlineStr">
        <is>
          <t>Customs Brokerage – Overall</t>
        </is>
      </c>
      <c r="E3849" t="n">
        <v>1100038522</v>
      </c>
      <c r="F3849" t="inlineStr">
        <is>
          <t>CAJU059A</t>
        </is>
      </c>
      <c r="G3849" t="inlineStr">
        <is>
          <t>AB</t>
        </is>
      </c>
      <c r="H3849" s="12" t="n">
        <v>39448.35</v>
      </c>
      <c r="I3849" s="17" t="n">
        <v>45871</v>
      </c>
      <c r="J3849" s="17" t="n">
        <v>45871</v>
      </c>
      <c r="K3849" t="inlineStr">
        <is>
          <t>CUSTOM A DEVOLVER</t>
        </is>
      </c>
    </row>
    <row r="3850">
      <c r="A3850" t="inlineStr">
        <is>
          <t>101071</t>
        </is>
      </c>
      <c r="B3850" t="inlineStr">
        <is>
          <t>CUSTOM COMERCIO INTERNACIONAL LTDA</t>
        </is>
      </c>
      <c r="C3850" t="n">
        <v>2111000000</v>
      </c>
      <c r="D3850" t="inlineStr">
        <is>
          <t>Customs Brokerage – Overall</t>
        </is>
      </c>
      <c r="E3850" t="n">
        <v>1100038542</v>
      </c>
      <c r="F3850" t="inlineStr">
        <is>
          <t>OEM0354</t>
        </is>
      </c>
      <c r="G3850" t="inlineStr">
        <is>
          <t>AB</t>
        </is>
      </c>
      <c r="H3850" s="12" t="n">
        <v>10004.42</v>
      </c>
      <c r="I3850" s="17" t="n">
        <v>45871</v>
      </c>
      <c r="J3850" s="17" t="n">
        <v>45871</v>
      </c>
      <c r="K3850" t="inlineStr">
        <is>
          <t>CUSTOM A DEVOLVER</t>
        </is>
      </c>
    </row>
    <row r="3851">
      <c r="A3851" t="inlineStr">
        <is>
          <t>101071</t>
        </is>
      </c>
      <c r="B3851" t="inlineStr">
        <is>
          <t>CUSTOM COMERCIO INTERNACIONAL LTDA</t>
        </is>
      </c>
      <c r="C3851" t="n">
        <v>2111000000</v>
      </c>
      <c r="D3851" t="inlineStr">
        <is>
          <t>Customs Brokerage – Overall</t>
        </is>
      </c>
      <c r="E3851" t="n">
        <v>1100038544</v>
      </c>
      <c r="F3851" t="inlineStr">
        <is>
          <t>03254/24</t>
        </is>
      </c>
      <c r="G3851" t="inlineStr">
        <is>
          <t>AB</t>
        </is>
      </c>
      <c r="H3851" s="12" t="n">
        <v>57651.65</v>
      </c>
      <c r="I3851" s="17" t="n">
        <v>45871</v>
      </c>
      <c r="J3851" s="17" t="n">
        <v>45871</v>
      </c>
      <c r="K3851" t="inlineStr">
        <is>
          <t>CUSTOM A DEVOLVER</t>
        </is>
      </c>
    </row>
    <row r="3852">
      <c r="A3852" t="inlineStr">
        <is>
          <t>101071</t>
        </is>
      </c>
      <c r="B3852" t="inlineStr">
        <is>
          <t>CUSTOM COMERCIO INTERNACIONAL LTDA</t>
        </is>
      </c>
      <c r="C3852" t="n">
        <v>2111000000</v>
      </c>
      <c r="D3852" t="inlineStr">
        <is>
          <t>Customs Brokerage – Overall</t>
        </is>
      </c>
      <c r="E3852" t="n">
        <v>1100038547</v>
      </c>
      <c r="F3852" t="inlineStr">
        <is>
          <t>OEM0423</t>
        </is>
      </c>
      <c r="G3852" t="inlineStr">
        <is>
          <t>AB</t>
        </is>
      </c>
      <c r="H3852" s="12" t="n">
        <v>5048.65</v>
      </c>
      <c r="I3852" s="17" t="n">
        <v>45871</v>
      </c>
      <c r="J3852" s="17" t="n">
        <v>45871</v>
      </c>
      <c r="K3852" t="inlineStr">
        <is>
          <t>CUSTOM A DEVOLVER</t>
        </is>
      </c>
    </row>
    <row r="3853">
      <c r="A3853" t="inlineStr">
        <is>
          <t>101071</t>
        </is>
      </c>
      <c r="B3853" t="inlineStr">
        <is>
          <t>CUSTOM COMERCIO INTERNACIONAL LTDA</t>
        </is>
      </c>
      <c r="C3853" t="n">
        <v>2111000000</v>
      </c>
      <c r="D3853" t="inlineStr">
        <is>
          <t>Customs Brokerage – Overall</t>
        </is>
      </c>
      <c r="E3853" t="n">
        <v>1100038551</v>
      </c>
      <c r="F3853" t="inlineStr">
        <is>
          <t>EXP 005/2023</t>
        </is>
      </c>
      <c r="G3853" t="inlineStr">
        <is>
          <t>AB</t>
        </is>
      </c>
      <c r="H3853" s="12" t="n">
        <v>6638.49</v>
      </c>
      <c r="I3853" s="17" t="n">
        <v>45871</v>
      </c>
      <c r="J3853" s="17" t="n">
        <v>45871</v>
      </c>
      <c r="K3853" t="inlineStr">
        <is>
          <t>CUSTOM A DEVOLVER</t>
        </is>
      </c>
    </row>
    <row r="3854">
      <c r="A3854" t="inlineStr">
        <is>
          <t>101071</t>
        </is>
      </c>
      <c r="B3854" t="inlineStr">
        <is>
          <t>CUSTOM COMERCIO INTERNACIONAL LTDA</t>
        </is>
      </c>
      <c r="C3854" t="n">
        <v>2111000000</v>
      </c>
      <c r="D3854" t="inlineStr">
        <is>
          <t>Customs Brokerage – Overall</t>
        </is>
      </c>
      <c r="E3854" t="n">
        <v>1100038554</v>
      </c>
      <c r="F3854" t="inlineStr">
        <is>
          <t>OEM0413</t>
        </is>
      </c>
      <c r="G3854" t="inlineStr">
        <is>
          <t>AB</t>
        </is>
      </c>
      <c r="H3854" s="12" t="n">
        <v>9345.459999999999</v>
      </c>
      <c r="I3854" s="17" t="n">
        <v>45871</v>
      </c>
      <c r="J3854" s="17" t="n">
        <v>45871</v>
      </c>
      <c r="K3854" t="inlineStr">
        <is>
          <t>CUSTOM A DEVOLVER</t>
        </is>
      </c>
    </row>
    <row r="3855">
      <c r="A3855" t="inlineStr">
        <is>
          <t>101071</t>
        </is>
      </c>
      <c r="B3855" t="inlineStr">
        <is>
          <t>CUSTOM COMERCIO INTERNACIONAL LTDA</t>
        </is>
      </c>
      <c r="C3855" t="n">
        <v>2111000000</v>
      </c>
      <c r="D3855" t="inlineStr">
        <is>
          <t>Customs Brokerage – Overall</t>
        </is>
      </c>
      <c r="E3855" t="n">
        <v>1100038556</v>
      </c>
      <c r="F3855" t="inlineStr">
        <is>
          <t>4023005535-37-38</t>
        </is>
      </c>
      <c r="G3855" t="inlineStr">
        <is>
          <t>AB</t>
        </is>
      </c>
      <c r="H3855" s="12" t="n">
        <v>29426.6</v>
      </c>
      <c r="I3855" s="17" t="n">
        <v>45871</v>
      </c>
      <c r="J3855" s="17" t="n">
        <v>45871</v>
      </c>
      <c r="K3855" t="inlineStr">
        <is>
          <t>CUSTOM A DEVOLVER</t>
        </is>
      </c>
    </row>
    <row r="3856">
      <c r="A3856" t="inlineStr">
        <is>
          <t>101071</t>
        </is>
      </c>
      <c r="B3856" t="inlineStr">
        <is>
          <t>CUSTOM COMERCIO INTERNACIONAL LTDA</t>
        </is>
      </c>
      <c r="C3856" t="n">
        <v>2111000000</v>
      </c>
      <c r="D3856" t="inlineStr">
        <is>
          <t>Customs Brokerage – Overall</t>
        </is>
      </c>
      <c r="E3856" t="n">
        <v>1100038560</v>
      </c>
      <c r="F3856" t="inlineStr">
        <is>
          <t>OEM0487</t>
        </is>
      </c>
      <c r="G3856" t="inlineStr">
        <is>
          <t>AB</t>
        </is>
      </c>
      <c r="H3856" s="12" t="n">
        <v>8332.08</v>
      </c>
      <c r="I3856" s="17" t="n">
        <v>45871</v>
      </c>
      <c r="J3856" s="17" t="n">
        <v>45871</v>
      </c>
      <c r="K3856" t="inlineStr">
        <is>
          <t>CUSTOM A DEVOLVER</t>
        </is>
      </c>
    </row>
    <row r="3857">
      <c r="A3857" t="inlineStr">
        <is>
          <t>101071</t>
        </is>
      </c>
      <c r="B3857" t="inlineStr">
        <is>
          <t>CUSTOM COMERCIO INTERNACIONAL LTDA</t>
        </is>
      </c>
      <c r="C3857" t="n">
        <v>2111000000</v>
      </c>
      <c r="D3857" t="inlineStr">
        <is>
          <t>Customs Brokerage – Overall</t>
        </is>
      </c>
      <c r="E3857" t="n">
        <v>1100038561</v>
      </c>
      <c r="F3857" t="inlineStr">
        <is>
          <t>OEM0461</t>
        </is>
      </c>
      <c r="G3857" t="inlineStr">
        <is>
          <t>AB</t>
        </is>
      </c>
      <c r="H3857" s="12" t="n">
        <v>6922.26</v>
      </c>
      <c r="I3857" s="17" t="n">
        <v>45871</v>
      </c>
      <c r="J3857" s="17" t="n">
        <v>45871</v>
      </c>
      <c r="K3857" t="inlineStr">
        <is>
          <t>CUSTOM A DEVOLVER</t>
        </is>
      </c>
    </row>
    <row r="3858">
      <c r="A3858" t="inlineStr">
        <is>
          <t>101071</t>
        </is>
      </c>
      <c r="B3858" t="inlineStr">
        <is>
          <t>CUSTOM COMERCIO INTERNACIONAL LTDA</t>
        </is>
      </c>
      <c r="C3858" t="n">
        <v>2111000000</v>
      </c>
      <c r="D3858" t="inlineStr">
        <is>
          <t>Customs Brokerage – Overall</t>
        </is>
      </c>
      <c r="E3858" t="n">
        <v>1100038564</v>
      </c>
      <c r="F3858" t="inlineStr">
        <is>
          <t>02562/24</t>
        </is>
      </c>
      <c r="G3858" t="inlineStr">
        <is>
          <t>AB</t>
        </is>
      </c>
      <c r="H3858" s="12" t="n">
        <v>190361.66</v>
      </c>
      <c r="I3858" s="17" t="n">
        <v>45894</v>
      </c>
      <c r="J3858" s="17" t="n">
        <v>45894</v>
      </c>
      <c r="K3858" t="inlineStr">
        <is>
          <t>CUSTOM A DEVOLVER</t>
        </is>
      </c>
    </row>
    <row r="3859">
      <c r="A3859" t="inlineStr">
        <is>
          <t>101071</t>
        </is>
      </c>
      <c r="B3859" t="inlineStr">
        <is>
          <t>CUSTOM COMERCIO INTERNACIONAL LTDA</t>
        </is>
      </c>
      <c r="C3859" t="n">
        <v>2111000000</v>
      </c>
      <c r="D3859" t="inlineStr">
        <is>
          <t>Customs Brokerage – Overall</t>
        </is>
      </c>
      <c r="E3859" t="n">
        <v>1100038572</v>
      </c>
      <c r="F3859" t="inlineStr">
        <is>
          <t>MOLDE T0B</t>
        </is>
      </c>
      <c r="G3859" t="inlineStr">
        <is>
          <t>AB</t>
        </is>
      </c>
      <c r="H3859" s="12" t="n">
        <v>15917.86</v>
      </c>
      <c r="I3859" s="17" t="n">
        <v>45871</v>
      </c>
      <c r="J3859" s="17" t="n">
        <v>45871</v>
      </c>
      <c r="K3859" t="inlineStr">
        <is>
          <t>CUSTOM A DEVOLVER</t>
        </is>
      </c>
    </row>
    <row r="3860">
      <c r="A3860" t="inlineStr">
        <is>
          <t>101071</t>
        </is>
      </c>
      <c r="B3860" t="inlineStr">
        <is>
          <t>CUSTOM COMERCIO INTERNACIONAL LTDA</t>
        </is>
      </c>
      <c r="C3860" t="n">
        <v>2111000000</v>
      </c>
      <c r="D3860" t="inlineStr">
        <is>
          <t>Customs Brokerage – Overall</t>
        </is>
      </c>
      <c r="E3860" t="n">
        <v>1100038575</v>
      </c>
      <c r="F3860" t="inlineStr">
        <is>
          <t>02744/24</t>
        </is>
      </c>
      <c r="G3860" t="inlineStr">
        <is>
          <t>AB</t>
        </is>
      </c>
      <c r="H3860" s="12" t="n">
        <v>66548.75</v>
      </c>
      <c r="I3860" s="17" t="n">
        <v>45871</v>
      </c>
      <c r="J3860" s="17" t="n">
        <v>45871</v>
      </c>
      <c r="K3860" t="inlineStr">
        <is>
          <t>CUSTOM A DEVOLVER</t>
        </is>
      </c>
    </row>
    <row r="3861">
      <c r="A3861" t="inlineStr">
        <is>
          <t>101071</t>
        </is>
      </c>
      <c r="B3861" t="inlineStr">
        <is>
          <t>CUSTOM COMERCIO INTERNACIONAL LTDA</t>
        </is>
      </c>
      <c r="C3861" t="n">
        <v>2111000000</v>
      </c>
      <c r="D3861" t="inlineStr">
        <is>
          <t>Customs Brokerage – Overall</t>
        </is>
      </c>
      <c r="E3861" t="n">
        <v>1100038576</v>
      </c>
      <c r="F3861" t="inlineStr">
        <is>
          <t>VESANGL017</t>
        </is>
      </c>
      <c r="G3861" t="inlineStr">
        <is>
          <t>AB</t>
        </is>
      </c>
      <c r="H3861" s="12" t="n">
        <v>110002.1</v>
      </c>
      <c r="I3861" s="17" t="n">
        <v>45871</v>
      </c>
      <c r="J3861" s="17" t="n">
        <v>45871</v>
      </c>
      <c r="K3861" t="inlineStr">
        <is>
          <t>CUSTOM A DEVOLVER</t>
        </is>
      </c>
    </row>
    <row r="3862">
      <c r="A3862" t="inlineStr">
        <is>
          <t>101071</t>
        </is>
      </c>
      <c r="B3862" t="inlineStr">
        <is>
          <t>CUSTOM COMERCIO INTERNACIONAL LTDA</t>
        </is>
      </c>
      <c r="C3862" t="n">
        <v>2111000000</v>
      </c>
      <c r="D3862" t="inlineStr">
        <is>
          <t>Customs Brokerage – Overall</t>
        </is>
      </c>
      <c r="E3862" t="n">
        <v>1100038597</v>
      </c>
      <c r="F3862" t="inlineStr">
        <is>
          <t>4023002702</t>
        </is>
      </c>
      <c r="G3862" t="inlineStr">
        <is>
          <t>AB</t>
        </is>
      </c>
      <c r="H3862" s="12" t="n">
        <v>2135.3</v>
      </c>
      <c r="I3862" s="17" t="n">
        <v>45871</v>
      </c>
      <c r="J3862" s="17" t="n">
        <v>45871</v>
      </c>
      <c r="K3862" t="inlineStr">
        <is>
          <t>CUSTOM A DEVOLVER</t>
        </is>
      </c>
    </row>
    <row r="3863">
      <c r="A3863" t="inlineStr">
        <is>
          <t>101848</t>
        </is>
      </c>
      <c r="B3863" t="inlineStr">
        <is>
          <t>KLUBER LUBRICATION LUBRIF ESPECIAIS</t>
        </is>
      </c>
      <c r="C3863" t="n">
        <v>2111000000</v>
      </c>
      <c r="D3863" t="inlineStr">
        <is>
          <t>Other Suppliers</t>
        </is>
      </c>
      <c r="E3863" t="n">
        <v>1100041754</v>
      </c>
      <c r="G3863" t="inlineStr">
        <is>
          <t>AB</t>
        </is>
      </c>
      <c r="H3863" s="12" t="n">
        <v>-132699.65</v>
      </c>
      <c r="I3863" s="17" t="n">
        <v>45919</v>
      </c>
      <c r="J3863" s="17" t="n">
        <v>45919</v>
      </c>
      <c r="K3863" t="inlineStr">
        <is>
          <t>nota de devolução</t>
        </is>
      </c>
    </row>
    <row r="3864">
      <c r="A3864" t="inlineStr">
        <is>
          <t>101052</t>
        </is>
      </c>
      <c r="B3864" t="inlineStr">
        <is>
          <t>MEGALIFT LOCACAO E TRANSP INTERM LT</t>
        </is>
      </c>
      <c r="C3864" t="n">
        <v>2111000000</v>
      </c>
      <c r="D3864" t="inlineStr">
        <is>
          <t>Other Suppliers</t>
        </is>
      </c>
      <c r="E3864" t="n">
        <v>1100041922</v>
      </c>
      <c r="F3864" t="inlineStr">
        <is>
          <t>125001</t>
        </is>
      </c>
      <c r="G3864" t="inlineStr">
        <is>
          <t>AB</t>
        </is>
      </c>
      <c r="H3864" s="12" t="n">
        <v>-111.65</v>
      </c>
      <c r="I3864" s="17" t="n">
        <v>45929</v>
      </c>
      <c r="J3864" s="17" t="n">
        <v>45996</v>
      </c>
      <c r="K3864" t="inlineStr">
        <is>
          <t>125001</t>
        </is>
      </c>
    </row>
    <row r="3865">
      <c r="A3865" t="inlineStr">
        <is>
          <t>101485</t>
        </is>
      </c>
      <c r="B3865" t="inlineStr">
        <is>
          <t>RUDLOFF SISTEMA DE PROTENSAO LTDA</t>
        </is>
      </c>
      <c r="C3865" t="n">
        <v>2111000000</v>
      </c>
      <c r="D3865" t="inlineStr">
        <is>
          <t>Operational Suppliers (Wind Farms)</t>
        </is>
      </c>
      <c r="E3865" t="n">
        <v>1100041923</v>
      </c>
      <c r="F3865" t="inlineStr">
        <is>
          <t>1914</t>
        </is>
      </c>
      <c r="G3865" t="inlineStr">
        <is>
          <t>AB</t>
        </is>
      </c>
      <c r="H3865" s="12" t="n">
        <v>-763.75</v>
      </c>
      <c r="I3865" s="17" t="n">
        <v>45929</v>
      </c>
      <c r="J3865" s="17" t="n">
        <v>45966</v>
      </c>
      <c r="K3865" t="inlineStr">
        <is>
          <t>Partida individual RUDLOFF SISTEMA DE PROTENSAO LT</t>
        </is>
      </c>
    </row>
    <row r="3866">
      <c r="A3866" t="inlineStr">
        <is>
          <t>101053</t>
        </is>
      </c>
      <c r="B3866" t="inlineStr">
        <is>
          <t>NLA LATINOAMERICANA LOGISTICA LTDA</t>
        </is>
      </c>
      <c r="C3866" t="n">
        <v>2111000000</v>
      </c>
      <c r="D3866" t="inlineStr">
        <is>
          <t>Operational Suppliers (Wind Farms)</t>
        </is>
      </c>
      <c r="E3866" t="n">
        <v>1100041924</v>
      </c>
      <c r="F3866" t="inlineStr">
        <is>
          <t>2658000</t>
        </is>
      </c>
      <c r="G3866" t="inlineStr">
        <is>
          <t>AB</t>
        </is>
      </c>
      <c r="H3866" s="12" t="n">
        <v>-1415.61</v>
      </c>
      <c r="I3866" s="17" t="n">
        <v>45929</v>
      </c>
      <c r="J3866" s="17" t="n">
        <v>45996</v>
      </c>
      <c r="K3866" t="inlineStr">
        <is>
          <t>Partida individual NLA LATINOAMERICANA LOGISTICA L</t>
        </is>
      </c>
    </row>
    <row r="3867">
      <c r="A3867" t="inlineStr">
        <is>
          <t>101432</t>
        </is>
      </c>
      <c r="B3867" t="inlineStr">
        <is>
          <t>CONSTRUTORA MD EIRELI</t>
        </is>
      </c>
      <c r="C3867" t="n">
        <v>2111000000</v>
      </c>
      <c r="D3867" t="inlineStr">
        <is>
          <t>Operational Suppliers (Wind Farms)</t>
        </is>
      </c>
      <c r="E3867" t="n">
        <v>1100041926</v>
      </c>
      <c r="F3867" t="inlineStr">
        <is>
          <t>26 E 25</t>
        </is>
      </c>
      <c r="G3867" t="inlineStr">
        <is>
          <t>AB</t>
        </is>
      </c>
      <c r="H3867" s="12" t="n">
        <v>-38721.58</v>
      </c>
      <c r="I3867" s="17" t="n">
        <v>45929</v>
      </c>
      <c r="J3867" s="17" t="n">
        <v>45966</v>
      </c>
      <c r="K3867" t="inlineStr">
        <is>
          <t>NAO PAGAR</t>
        </is>
      </c>
    </row>
    <row r="3868">
      <c r="A3868" t="inlineStr">
        <is>
          <t>102143</t>
        </is>
      </c>
      <c r="B3868" t="inlineStr">
        <is>
          <t>FARDIER LOGISTICA ESP EM CARGAS EPE</t>
        </is>
      </c>
      <c r="C3868" t="n">
        <v>2111000000</v>
      </c>
      <c r="D3868" t="inlineStr">
        <is>
          <t>Operational Suppliers (Wind Farms)</t>
        </is>
      </c>
      <c r="E3868" t="n">
        <v>1100041927</v>
      </c>
      <c r="F3868" t="inlineStr">
        <is>
          <t>FW FARDIER</t>
        </is>
      </c>
      <c r="G3868" t="inlineStr">
        <is>
          <t>AB</t>
        </is>
      </c>
      <c r="H3868" s="12" t="n">
        <v>-650000</v>
      </c>
      <c r="I3868" s="17" t="n">
        <v>45929</v>
      </c>
      <c r="J3868" s="17" t="n">
        <v>45996</v>
      </c>
      <c r="K3868" t="inlineStr">
        <is>
          <t>Partida individual FARDIER LOGISTICA ESP EM CARGAS</t>
        </is>
      </c>
    </row>
    <row r="3869">
      <c r="A3869" t="inlineStr">
        <is>
          <t>102087</t>
        </is>
      </c>
      <c r="B3869" t="inlineStr">
        <is>
          <t>CAIXA ECONOMICA FEDERAL</t>
        </is>
      </c>
      <c r="C3869" t="n">
        <v>2111000000</v>
      </c>
      <c r="D3869" t="inlineStr">
        <is>
          <t>Social charges</t>
        </is>
      </c>
      <c r="E3869" t="n">
        <v>1100050074</v>
      </c>
      <c r="F3869" t="inlineStr">
        <is>
          <t>FGTS DEVOLVIDO</t>
        </is>
      </c>
      <c r="G3869" t="inlineStr">
        <is>
          <t>AB</t>
        </is>
      </c>
      <c r="H3869" s="12" t="n">
        <v>-1409.07</v>
      </c>
      <c r="I3869" s="17" t="n">
        <v>45993</v>
      </c>
      <c r="J3869" s="17" t="n">
        <v>45993</v>
      </c>
      <c r="K3869" t="inlineStr">
        <is>
          <t>Partida individual CAIXA ECONOMICA FEDERAL FGTS DE</t>
        </is>
      </c>
    </row>
    <row r="3870">
      <c r="A3870" t="inlineStr">
        <is>
          <t>101918</t>
        </is>
      </c>
      <c r="B3870" t="inlineStr">
        <is>
          <t>MUNICIPIO DE AREIA BRANCA</t>
        </is>
      </c>
      <c r="C3870" t="n">
        <v>2111000000</v>
      </c>
      <c r="D3870" t="inlineStr">
        <is>
          <t>Taxes Payable</t>
        </is>
      </c>
      <c r="E3870" t="n">
        <v>1300000108</v>
      </c>
      <c r="G3870" t="inlineStr">
        <is>
          <t>KZ</t>
        </is>
      </c>
      <c r="H3870" s="12" t="n">
        <v>26554.9</v>
      </c>
      <c r="I3870" s="17" t="n">
        <v>46029</v>
      </c>
      <c r="J3870" s="17" t="n">
        <v>46029</v>
      </c>
      <c r="K3870" t="inlineStr">
        <is>
          <t>Pagamento fornecedor MUNICIPIO DE AREIA BRANCA</t>
        </is>
      </c>
    </row>
    <row r="3871">
      <c r="A3871" t="inlineStr">
        <is>
          <t>101918</t>
        </is>
      </c>
      <c r="B3871" t="inlineStr">
        <is>
          <t>MUNICIPIO DE AREIA BRANCA</t>
        </is>
      </c>
      <c r="C3871" t="n">
        <v>2111000000</v>
      </c>
      <c r="D3871" t="inlineStr">
        <is>
          <t>Taxes Payable</t>
        </is>
      </c>
      <c r="E3871" t="n">
        <v>1300000109</v>
      </c>
      <c r="G3871" t="inlineStr">
        <is>
          <t>KZ</t>
        </is>
      </c>
      <c r="H3871" s="12" t="n">
        <v>143975.21</v>
      </c>
      <c r="I3871" s="17" t="n">
        <v>46029</v>
      </c>
      <c r="J3871" s="17" t="n">
        <v>46029</v>
      </c>
      <c r="K3871" t="inlineStr">
        <is>
          <t>Pagamento fornecedor MUNICIPIO DE AREIA BRANCA</t>
        </is>
      </c>
    </row>
    <row r="3872">
      <c r="A3872" t="inlineStr">
        <is>
          <t>101918</t>
        </is>
      </c>
      <c r="B3872" t="inlineStr">
        <is>
          <t>MUNICIPIO DE AREIA BRANCA</t>
        </is>
      </c>
      <c r="C3872" t="n">
        <v>2111000000</v>
      </c>
      <c r="D3872" t="inlineStr">
        <is>
          <t>Taxes Payable</t>
        </is>
      </c>
      <c r="E3872" t="n">
        <v>1300000122</v>
      </c>
      <c r="G3872" t="inlineStr">
        <is>
          <t>KZ</t>
        </is>
      </c>
      <c r="H3872" s="12" t="n">
        <v>-26554.9</v>
      </c>
      <c r="I3872" s="17" t="n">
        <v>46029</v>
      </c>
      <c r="J3872" s="17" t="n">
        <v>46029</v>
      </c>
      <c r="K3872" t="inlineStr">
        <is>
          <t>Pagamento fornecedor MUNICIPIO DE AREIA BRANCA</t>
        </is>
      </c>
    </row>
    <row r="3873">
      <c r="A3873" t="inlineStr">
        <is>
          <t>101918</t>
        </is>
      </c>
      <c r="B3873" t="inlineStr">
        <is>
          <t>MUNICIPIO DE AREIA BRANCA</t>
        </is>
      </c>
      <c r="C3873" t="n">
        <v>2111000000</v>
      </c>
      <c r="D3873" t="inlineStr">
        <is>
          <t>Taxes Payable</t>
        </is>
      </c>
      <c r="E3873" t="n">
        <v>1300000123</v>
      </c>
      <c r="G3873" t="inlineStr">
        <is>
          <t>KZ</t>
        </is>
      </c>
      <c r="H3873" s="12" t="n">
        <v>-143975.21</v>
      </c>
      <c r="I3873" s="17" t="n">
        <v>46029</v>
      </c>
      <c r="J3873" s="17" t="n">
        <v>46029</v>
      </c>
      <c r="K3873" t="inlineStr">
        <is>
          <t>Pagamento fornecedor MUNICIPIO DE AREIA BRANCA</t>
        </is>
      </c>
    </row>
    <row r="3874">
      <c r="A3874" t="inlineStr">
        <is>
          <t>102209</t>
        </is>
      </c>
      <c r="B3874" t="inlineStr">
        <is>
          <t>ENEL GREEN POWER V DE SANTA ANGELA 29711059000250</t>
        </is>
      </c>
      <c r="C3874" t="n">
        <v>2111000000</v>
      </c>
      <c r="D3874" t="inlineStr">
        <is>
          <t>Other Suppliers</t>
        </is>
      </c>
      <c r="E3874" t="n">
        <v>1300002066</v>
      </c>
      <c r="G3874" t="inlineStr">
        <is>
          <t>DZ</t>
        </is>
      </c>
      <c r="H3874" s="12" t="n">
        <v>-5470.92</v>
      </c>
      <c r="I3874" s="17" t="n">
        <v>45741</v>
      </c>
      <c r="J3874" s="17" t="n">
        <v>45741</v>
      </c>
      <c r="K3874" t="inlineStr">
        <is>
          <t>INSS NÃO RETIDO NF 2944 DEVOLVER AO CLIENTE</t>
        </is>
      </c>
    </row>
    <row r="3875">
      <c r="A3875" t="inlineStr">
        <is>
          <t>105589</t>
        </is>
      </c>
      <c r="B3875" t="inlineStr">
        <is>
          <t>ENEL GREEN POWER VENTOS DE SAO ROQU 36051515000249</t>
        </is>
      </c>
      <c r="C3875" t="n">
        <v>2111000000</v>
      </c>
      <c r="D3875" t="inlineStr">
        <is>
          <t>Facilities</t>
        </is>
      </c>
      <c r="E3875" t="n">
        <v>1300007749</v>
      </c>
      <c r="G3875" t="inlineStr">
        <is>
          <t>DZ</t>
        </is>
      </c>
      <c r="H3875" s="12" t="n">
        <v>-4923.03</v>
      </c>
      <c r="I3875" s="17" t="n">
        <v>45975</v>
      </c>
      <c r="J3875" s="17" t="n">
        <v>45975</v>
      </c>
      <c r="K3875" t="inlineStr">
        <is>
          <t>Customer Payment ENEL GREEN POWER VENTOS DE SAO RO</t>
        </is>
      </c>
    </row>
    <row r="3876">
      <c r="A3876" t="inlineStr">
        <is>
          <t>102080</t>
        </is>
      </c>
      <c r="B3876" t="inlineStr">
        <is>
          <t>RECEITA FEDERAL DO BRASIL</t>
        </is>
      </c>
      <c r="C3876" t="n">
        <v>2111000000</v>
      </c>
      <c r="D3876" t="inlineStr">
        <is>
          <t>Customs Brokerage – Overall</t>
        </is>
      </c>
      <c r="E3876" t="n">
        <v>1400000058</v>
      </c>
      <c r="F3876" t="inlineStr">
        <is>
          <t>0000229558</t>
        </is>
      </c>
      <c r="G3876" t="inlineStr">
        <is>
          <t>JP</t>
        </is>
      </c>
      <c r="H3876" s="12" t="n">
        <v>0</v>
      </c>
      <c r="I3876" s="17" t="n">
        <v>46009</v>
      </c>
      <c r="J3876" s="17" t="n"/>
      <c r="K3876" t="inlineStr">
        <is>
          <t>Journal Posting OSGT  0000229558</t>
        </is>
      </c>
    </row>
    <row r="3877">
      <c r="A3877" t="inlineStr">
        <is>
          <t>102080</t>
        </is>
      </c>
      <c r="B3877" t="inlineStr">
        <is>
          <t>RECEITA FEDERAL DO BRASIL</t>
        </is>
      </c>
      <c r="C3877" t="n">
        <v>2111000000</v>
      </c>
      <c r="D3877" t="inlineStr">
        <is>
          <t>Customs Brokerage – Overall</t>
        </is>
      </c>
      <c r="E3877" t="n">
        <v>1400000080</v>
      </c>
      <c r="F3877" t="inlineStr">
        <is>
          <t>0000200000</t>
        </is>
      </c>
      <c r="G3877" t="inlineStr">
        <is>
          <t>JP</t>
        </is>
      </c>
      <c r="H3877" s="12" t="n">
        <v>0</v>
      </c>
      <c r="I3877" s="17" t="n">
        <v>46028</v>
      </c>
      <c r="J3877" s="17" t="n"/>
      <c r="K3877" t="inlineStr">
        <is>
          <t>Journal Posting OSGT  0000200000</t>
        </is>
      </c>
    </row>
    <row r="3878">
      <c r="A3878" t="inlineStr">
        <is>
          <t>102080</t>
        </is>
      </c>
      <c r="B3878" t="inlineStr">
        <is>
          <t>RECEITA FEDERAL DO BRASIL</t>
        </is>
      </c>
      <c r="C3878" t="n">
        <v>2111000000</v>
      </c>
      <c r="D3878" t="inlineStr">
        <is>
          <t>Customs Brokerage – Overall</t>
        </is>
      </c>
      <c r="E3878" t="n">
        <v>1400000111</v>
      </c>
      <c r="F3878" t="inlineStr">
        <is>
          <t>0000230647</t>
        </is>
      </c>
      <c r="G3878" t="inlineStr">
        <is>
          <t>JP</t>
        </is>
      </c>
      <c r="H3878" s="12" t="n">
        <v>0</v>
      </c>
      <c r="I3878" s="17" t="n">
        <v>46014</v>
      </c>
      <c r="J3878" s="17" t="n"/>
      <c r="K3878" t="inlineStr">
        <is>
          <t>Journal Posting OSGT  0000230647</t>
        </is>
      </c>
    </row>
    <row r="3879">
      <c r="A3879" t="inlineStr">
        <is>
          <t>102080</t>
        </is>
      </c>
      <c r="B3879" t="inlineStr">
        <is>
          <t>RECEITA FEDERAL DO BRASIL</t>
        </is>
      </c>
      <c r="C3879" t="n">
        <v>2111000000</v>
      </c>
      <c r="D3879" t="inlineStr">
        <is>
          <t>Customs Brokerage – Overall</t>
        </is>
      </c>
      <c r="E3879" t="n">
        <v>1400000130</v>
      </c>
      <c r="F3879" t="inlineStr">
        <is>
          <t>0000230724</t>
        </is>
      </c>
      <c r="G3879" t="inlineStr">
        <is>
          <t>JP</t>
        </is>
      </c>
      <c r="H3879" s="12" t="n">
        <v>0</v>
      </c>
      <c r="I3879" s="17" t="n">
        <v>46006</v>
      </c>
      <c r="J3879" s="17" t="n"/>
      <c r="K3879" t="inlineStr">
        <is>
          <t>Journal Posting OSGT  0000230724</t>
        </is>
      </c>
    </row>
    <row r="3880">
      <c r="A3880" t="inlineStr">
        <is>
          <t>102080</t>
        </is>
      </c>
      <c r="B3880" t="inlineStr">
        <is>
          <t>RECEITA FEDERAL DO BRASIL</t>
        </is>
      </c>
      <c r="C3880" t="n">
        <v>2111000000</v>
      </c>
      <c r="D3880" t="inlineStr">
        <is>
          <t>Customs Brokerage – Overall</t>
        </is>
      </c>
      <c r="E3880" t="n">
        <v>1400000132</v>
      </c>
      <c r="F3880" t="inlineStr">
        <is>
          <t>0000230703</t>
        </is>
      </c>
      <c r="G3880" t="inlineStr">
        <is>
          <t>JP</t>
        </is>
      </c>
      <c r="H3880" s="12" t="n">
        <v>0</v>
      </c>
      <c r="I3880" s="17" t="n">
        <v>46006</v>
      </c>
      <c r="J3880" s="17" t="n"/>
      <c r="K3880" t="inlineStr">
        <is>
          <t>Journal Posting OSGT  0000230703</t>
        </is>
      </c>
    </row>
    <row r="3881">
      <c r="A3881" t="inlineStr">
        <is>
          <t>102080</t>
        </is>
      </c>
      <c r="B3881" t="inlineStr">
        <is>
          <t>RECEITA FEDERAL DO BRASIL</t>
        </is>
      </c>
      <c r="C3881" t="n">
        <v>2111000000</v>
      </c>
      <c r="D3881" t="inlineStr">
        <is>
          <t>Customs Brokerage – Overall</t>
        </is>
      </c>
      <c r="E3881" t="n">
        <v>1400000135</v>
      </c>
      <c r="F3881" t="inlineStr">
        <is>
          <t>0000230715</t>
        </is>
      </c>
      <c r="G3881" t="inlineStr">
        <is>
          <t>JP</t>
        </is>
      </c>
      <c r="H3881" s="12" t="n">
        <v>0</v>
      </c>
      <c r="I3881" s="17" t="n">
        <v>46006</v>
      </c>
      <c r="J3881" s="17" t="n"/>
      <c r="K3881" t="inlineStr">
        <is>
          <t>Journal Posting OSGT  0000230715</t>
        </is>
      </c>
    </row>
    <row r="3882">
      <c r="A3882" t="inlineStr">
        <is>
          <t>102080</t>
        </is>
      </c>
      <c r="B3882" t="inlineStr">
        <is>
          <t>RECEITA FEDERAL DO BRASIL</t>
        </is>
      </c>
      <c r="C3882" t="n">
        <v>2111000000</v>
      </c>
      <c r="D3882" t="inlineStr">
        <is>
          <t>Customs Brokerage – Overall</t>
        </is>
      </c>
      <c r="E3882" t="n">
        <v>1400000155</v>
      </c>
      <c r="F3882" t="inlineStr">
        <is>
          <t>0000200918</t>
        </is>
      </c>
      <c r="G3882" t="inlineStr">
        <is>
          <t>JP</t>
        </is>
      </c>
      <c r="H3882" s="12" t="n">
        <v>0</v>
      </c>
      <c r="I3882" s="17" t="n">
        <v>45929</v>
      </c>
      <c r="J3882" s="17" t="n"/>
      <c r="K3882" t="inlineStr">
        <is>
          <t>Journal Posting OSGT  0000200918</t>
        </is>
      </c>
    </row>
    <row r="3883">
      <c r="A3883" t="inlineStr">
        <is>
          <t>102080</t>
        </is>
      </c>
      <c r="B3883" t="inlineStr">
        <is>
          <t>RECEITA FEDERAL DO BRASIL</t>
        </is>
      </c>
      <c r="C3883" t="n">
        <v>2111000000</v>
      </c>
      <c r="D3883" t="inlineStr">
        <is>
          <t>Customs Brokerage – Overall</t>
        </is>
      </c>
      <c r="E3883" t="n">
        <v>1400000184</v>
      </c>
      <c r="F3883" t="inlineStr">
        <is>
          <t>0000230714</t>
        </is>
      </c>
      <c r="G3883" t="inlineStr">
        <is>
          <t>JP</t>
        </is>
      </c>
      <c r="H3883" s="12" t="n">
        <v>0</v>
      </c>
      <c r="I3883" s="17" t="n">
        <v>46020</v>
      </c>
      <c r="J3883" s="17" t="n"/>
      <c r="K3883" t="inlineStr">
        <is>
          <t>Journal Posting OSGT  0000230714</t>
        </is>
      </c>
    </row>
    <row r="3884">
      <c r="A3884" t="inlineStr">
        <is>
          <t>102080</t>
        </is>
      </c>
      <c r="B3884" t="inlineStr">
        <is>
          <t>RECEITA FEDERAL DO BRASIL</t>
        </is>
      </c>
      <c r="C3884" t="n">
        <v>2111000000</v>
      </c>
      <c r="D3884" t="inlineStr">
        <is>
          <t>Customs Brokerage – Overall</t>
        </is>
      </c>
      <c r="E3884" t="n">
        <v>1400000210</v>
      </c>
      <c r="F3884" t="inlineStr">
        <is>
          <t>0000201593</t>
        </is>
      </c>
      <c r="G3884" t="inlineStr">
        <is>
          <t>JP</t>
        </is>
      </c>
      <c r="H3884" s="12" t="n">
        <v>0</v>
      </c>
      <c r="I3884" s="17" t="n">
        <v>46036</v>
      </c>
      <c r="J3884" s="17" t="n"/>
      <c r="K3884" t="inlineStr">
        <is>
          <t>Journal Posting OSGT  0000201593</t>
        </is>
      </c>
    </row>
    <row r="3885">
      <c r="A3885" t="inlineStr">
        <is>
          <t>102080</t>
        </is>
      </c>
      <c r="B3885" t="inlineStr">
        <is>
          <t>RECEITA FEDERAL DO BRASIL</t>
        </is>
      </c>
      <c r="C3885" t="n">
        <v>2111000000</v>
      </c>
      <c r="D3885" t="inlineStr">
        <is>
          <t>Customs Brokerage – Overall</t>
        </is>
      </c>
      <c r="E3885" t="n">
        <v>1400000218</v>
      </c>
      <c r="F3885" t="inlineStr">
        <is>
          <t>0000201581</t>
        </is>
      </c>
      <c r="G3885" t="inlineStr">
        <is>
          <t>JP</t>
        </is>
      </c>
      <c r="H3885" s="12" t="n">
        <v>0</v>
      </c>
      <c r="I3885" s="17" t="n">
        <v>46027</v>
      </c>
      <c r="J3885" s="17" t="n"/>
      <c r="K3885" t="inlineStr">
        <is>
          <t>Journal Posting OSGT  0000201581</t>
        </is>
      </c>
    </row>
    <row r="3886">
      <c r="A3886" t="inlineStr">
        <is>
          <t>102080</t>
        </is>
      </c>
      <c r="B3886" t="inlineStr">
        <is>
          <t>RECEITA FEDERAL DO BRASIL</t>
        </is>
      </c>
      <c r="C3886" t="n">
        <v>2111000000</v>
      </c>
      <c r="D3886" t="inlineStr">
        <is>
          <t>Customs Brokerage – Overall</t>
        </is>
      </c>
      <c r="E3886" t="n">
        <v>1400000260</v>
      </c>
      <c r="F3886" t="inlineStr">
        <is>
          <t>0000202269</t>
        </is>
      </c>
      <c r="G3886" t="inlineStr">
        <is>
          <t>JP</t>
        </is>
      </c>
      <c r="H3886" s="12" t="n">
        <v>0</v>
      </c>
      <c r="I3886" s="17" t="n">
        <v>46028</v>
      </c>
      <c r="J3886" s="17" t="n"/>
      <c r="K3886" t="inlineStr">
        <is>
          <t>Journal Posting OSGT  0000202269</t>
        </is>
      </c>
    </row>
    <row r="3887">
      <c r="A3887" t="inlineStr">
        <is>
          <t>102080</t>
        </is>
      </c>
      <c r="B3887" t="inlineStr">
        <is>
          <t>RECEITA FEDERAL DO BRASIL</t>
        </is>
      </c>
      <c r="C3887" t="n">
        <v>2111000000</v>
      </c>
      <c r="D3887" t="inlineStr">
        <is>
          <t>Customs Brokerage – Overall</t>
        </is>
      </c>
      <c r="E3887" t="n">
        <v>1400000285</v>
      </c>
      <c r="G3887" t="inlineStr">
        <is>
          <t>JP</t>
        </is>
      </c>
      <c r="H3887" s="12" t="n">
        <v>0</v>
      </c>
      <c r="I3887" s="17" t="n">
        <v>45938</v>
      </c>
      <c r="J3887" s="17" t="n"/>
      <c r="K3887" t="inlineStr">
        <is>
          <t>Journal Posting OSGT</t>
        </is>
      </c>
    </row>
    <row r="3888">
      <c r="A3888" t="inlineStr">
        <is>
          <t>102080</t>
        </is>
      </c>
      <c r="B3888" t="inlineStr">
        <is>
          <t>RECEITA FEDERAL DO BRASIL</t>
        </is>
      </c>
      <c r="C3888" t="n">
        <v>2111000000</v>
      </c>
      <c r="D3888" t="inlineStr">
        <is>
          <t>Customs Brokerage – Overall</t>
        </is>
      </c>
      <c r="E3888" t="n">
        <v>1400000315</v>
      </c>
      <c r="F3888" t="inlineStr">
        <is>
          <t>0000202254</t>
        </is>
      </c>
      <c r="G3888" t="inlineStr">
        <is>
          <t>JP</t>
        </is>
      </c>
      <c r="H3888" s="12" t="n">
        <v>0</v>
      </c>
      <c r="I3888" s="17" t="n">
        <v>46029</v>
      </c>
      <c r="J3888" s="17" t="n"/>
      <c r="K3888" t="inlineStr">
        <is>
          <t>Journal Posting OSGT  0000202254</t>
        </is>
      </c>
    </row>
    <row r="3889">
      <c r="A3889" t="inlineStr">
        <is>
          <t>102080</t>
        </is>
      </c>
      <c r="B3889" t="inlineStr">
        <is>
          <t>RECEITA FEDERAL DO BRASIL</t>
        </is>
      </c>
      <c r="C3889" t="n">
        <v>2111000000</v>
      </c>
      <c r="D3889" t="inlineStr">
        <is>
          <t>Customs Brokerage – Overall</t>
        </is>
      </c>
      <c r="E3889" t="n">
        <v>1400000370</v>
      </c>
      <c r="F3889" t="inlineStr">
        <is>
          <t>0000201514</t>
        </is>
      </c>
      <c r="G3889" t="inlineStr">
        <is>
          <t>JP</t>
        </is>
      </c>
      <c r="H3889" s="12" t="n">
        <v>0</v>
      </c>
      <c r="I3889" s="17" t="n">
        <v>45989</v>
      </c>
      <c r="J3889" s="17" t="n"/>
      <c r="K3889" t="inlineStr">
        <is>
          <t>Journal Posting OSGT  0000201514</t>
        </is>
      </c>
    </row>
    <row r="3890">
      <c r="A3890" t="inlineStr">
        <is>
          <t>102080</t>
        </is>
      </c>
      <c r="B3890" t="inlineStr">
        <is>
          <t>RECEITA FEDERAL DO BRASIL</t>
        </is>
      </c>
      <c r="C3890" t="n">
        <v>2111000000</v>
      </c>
      <c r="D3890" t="inlineStr">
        <is>
          <t>Customs Brokerage – Overall</t>
        </is>
      </c>
      <c r="E3890" t="n">
        <v>1400000386</v>
      </c>
      <c r="F3890" t="inlineStr">
        <is>
          <t>0000202541</t>
        </is>
      </c>
      <c r="G3890" t="inlineStr">
        <is>
          <t>JP</t>
        </is>
      </c>
      <c r="H3890" s="12" t="n">
        <v>0</v>
      </c>
      <c r="I3890" s="17" t="n">
        <v>46049</v>
      </c>
      <c r="J3890" s="17" t="n"/>
      <c r="K3890" t="inlineStr">
        <is>
          <t>Journal Posting OSGT  0000202541</t>
        </is>
      </c>
    </row>
    <row r="3891">
      <c r="A3891" t="inlineStr">
        <is>
          <t>102080</t>
        </is>
      </c>
      <c r="B3891" t="inlineStr">
        <is>
          <t>RECEITA FEDERAL DO BRASIL</t>
        </is>
      </c>
      <c r="C3891" t="n">
        <v>2111000000</v>
      </c>
      <c r="D3891" t="inlineStr">
        <is>
          <t>Customs Brokerage – Overall</t>
        </is>
      </c>
      <c r="E3891" t="n">
        <v>1400000394</v>
      </c>
      <c r="F3891" t="inlineStr">
        <is>
          <t>0000202545</t>
        </is>
      </c>
      <c r="G3891" t="inlineStr">
        <is>
          <t>JP</t>
        </is>
      </c>
      <c r="H3891" s="12" t="n">
        <v>0</v>
      </c>
      <c r="I3891" s="17" t="n">
        <v>46038</v>
      </c>
      <c r="J3891" s="17" t="n"/>
      <c r="K3891" t="inlineStr">
        <is>
          <t>Journal Posting OSGT  0000202545</t>
        </is>
      </c>
    </row>
    <row r="3892">
      <c r="A3892" t="inlineStr">
        <is>
          <t>102080</t>
        </is>
      </c>
      <c r="B3892" t="inlineStr">
        <is>
          <t>RECEITA FEDERAL DO BRASIL</t>
        </is>
      </c>
      <c r="C3892" t="n">
        <v>2111000000</v>
      </c>
      <c r="D3892" t="inlineStr">
        <is>
          <t>Customs Brokerage – Overall</t>
        </is>
      </c>
      <c r="E3892" t="n">
        <v>1400000475</v>
      </c>
      <c r="F3892" t="inlineStr">
        <is>
          <t>0000201513</t>
        </is>
      </c>
      <c r="G3892" t="inlineStr">
        <is>
          <t>JP</t>
        </is>
      </c>
      <c r="H3892" s="12" t="n">
        <v>0</v>
      </c>
      <c r="I3892" s="17" t="n">
        <v>46031</v>
      </c>
      <c r="J3892" s="17" t="n"/>
      <c r="K3892" t="inlineStr">
        <is>
          <t>Journal Posting OSGT  0000201513</t>
        </is>
      </c>
    </row>
    <row r="3893">
      <c r="A3893" t="inlineStr">
        <is>
          <t>102080</t>
        </is>
      </c>
      <c r="B3893" t="inlineStr">
        <is>
          <t>RECEITA FEDERAL DO BRASIL</t>
        </is>
      </c>
      <c r="C3893" t="n">
        <v>2111000000</v>
      </c>
      <c r="D3893" t="inlineStr">
        <is>
          <t>Customs Brokerage – Overall</t>
        </is>
      </c>
      <c r="E3893" t="n">
        <v>1400000494</v>
      </c>
      <c r="F3893" t="inlineStr">
        <is>
          <t>0000203039</t>
        </is>
      </c>
      <c r="G3893" t="inlineStr">
        <is>
          <t>JP</t>
        </is>
      </c>
      <c r="H3893" s="12" t="n">
        <v>0</v>
      </c>
      <c r="I3893" s="17" t="n">
        <v>46058</v>
      </c>
      <c r="J3893" s="17" t="n"/>
      <c r="K3893" t="inlineStr">
        <is>
          <t>Journal Posting OSGT  0000203039</t>
        </is>
      </c>
    </row>
    <row r="3894">
      <c r="A3894" t="inlineStr">
        <is>
          <t>102080</t>
        </is>
      </c>
      <c r="B3894" t="inlineStr">
        <is>
          <t>RECEITA FEDERAL DO BRASIL</t>
        </is>
      </c>
      <c r="C3894" t="n">
        <v>2111000000</v>
      </c>
      <c r="D3894" t="inlineStr">
        <is>
          <t>Customs Brokerage – Overall</t>
        </is>
      </c>
      <c r="E3894" t="n">
        <v>1400000524</v>
      </c>
      <c r="F3894" t="inlineStr">
        <is>
          <t>0000204623</t>
        </is>
      </c>
      <c r="G3894" t="inlineStr">
        <is>
          <t>JP</t>
        </is>
      </c>
      <c r="H3894" s="12" t="n">
        <v>0</v>
      </c>
      <c r="I3894" s="17" t="n">
        <v>46066</v>
      </c>
      <c r="J3894" s="17" t="n"/>
      <c r="K3894" t="inlineStr">
        <is>
          <t>Journal Posting OSGT  0000204623</t>
        </is>
      </c>
    </row>
    <row r="3895">
      <c r="A3895" t="inlineStr">
        <is>
          <t>102080</t>
        </is>
      </c>
      <c r="B3895" t="inlineStr">
        <is>
          <t>RECEITA FEDERAL DO BRASIL</t>
        </is>
      </c>
      <c r="C3895" t="n">
        <v>2111000000</v>
      </c>
      <c r="D3895" t="inlineStr">
        <is>
          <t>Customs Brokerage – Overall</t>
        </is>
      </c>
      <c r="E3895" t="n">
        <v>1400000539</v>
      </c>
      <c r="F3895" t="inlineStr">
        <is>
          <t>0000204658</t>
        </is>
      </c>
      <c r="G3895" t="inlineStr">
        <is>
          <t>JP</t>
        </is>
      </c>
      <c r="H3895" s="12" t="n">
        <v>0</v>
      </c>
      <c r="I3895" s="17" t="n">
        <v>46062</v>
      </c>
      <c r="J3895" s="17" t="n"/>
      <c r="K3895" t="inlineStr">
        <is>
          <t>Journal Posting OSGT  0000204658</t>
        </is>
      </c>
    </row>
    <row r="3896">
      <c r="A3896" t="inlineStr">
        <is>
          <t>102080</t>
        </is>
      </c>
      <c r="B3896" t="inlineStr">
        <is>
          <t>RECEITA FEDERAL DO BRASIL</t>
        </is>
      </c>
      <c r="C3896" t="n">
        <v>2111000000</v>
      </c>
      <c r="D3896" t="inlineStr">
        <is>
          <t>Customs Brokerage – Overall</t>
        </is>
      </c>
      <c r="E3896" t="n">
        <v>1400000601</v>
      </c>
      <c r="F3896" t="inlineStr">
        <is>
          <t>0000204870</t>
        </is>
      </c>
      <c r="G3896" t="inlineStr">
        <is>
          <t>JP</t>
        </is>
      </c>
      <c r="H3896" s="12" t="n">
        <v>0</v>
      </c>
      <c r="I3896" s="17" t="n">
        <v>46076</v>
      </c>
      <c r="J3896" s="17" t="n"/>
      <c r="K3896" t="inlineStr">
        <is>
          <t>Journal Posting OSGT  0000204870</t>
        </is>
      </c>
    </row>
    <row r="3897">
      <c r="A3897" t="inlineStr">
        <is>
          <t>102080</t>
        </is>
      </c>
      <c r="B3897" t="inlineStr">
        <is>
          <t>RECEITA FEDERAL DO BRASIL</t>
        </is>
      </c>
      <c r="C3897" t="n">
        <v>2111000000</v>
      </c>
      <c r="D3897" t="inlineStr">
        <is>
          <t>Customs Brokerage – Overall</t>
        </is>
      </c>
      <c r="E3897" t="n">
        <v>1400000638</v>
      </c>
      <c r="G3897" t="inlineStr">
        <is>
          <t>JP</t>
        </is>
      </c>
      <c r="H3897" s="12" t="n">
        <v>0</v>
      </c>
      <c r="I3897" s="17" t="n">
        <v>46062</v>
      </c>
      <c r="J3897" s="17" t="n"/>
      <c r="K3897" t="inlineStr">
        <is>
          <t>Journal Posting OSGT</t>
        </is>
      </c>
    </row>
    <row r="3898">
      <c r="A3898" t="inlineStr">
        <is>
          <t>102080</t>
        </is>
      </c>
      <c r="B3898" t="inlineStr">
        <is>
          <t>RECEITA FEDERAL DO BRASIL</t>
        </is>
      </c>
      <c r="C3898" t="n">
        <v>2111000000</v>
      </c>
      <c r="D3898" t="inlineStr">
        <is>
          <t>Customs Brokerage – Overall</t>
        </is>
      </c>
      <c r="E3898" t="n">
        <v>1400000700</v>
      </c>
      <c r="F3898" t="inlineStr">
        <is>
          <t>0000203910</t>
        </is>
      </c>
      <c r="G3898" t="inlineStr">
        <is>
          <t>JP</t>
        </is>
      </c>
      <c r="H3898" s="12" t="n">
        <v>0</v>
      </c>
      <c r="I3898" s="17" t="n">
        <v>46064</v>
      </c>
      <c r="J3898" s="17" t="n"/>
      <c r="K3898" t="inlineStr">
        <is>
          <t>Journal Posting OSGT  0000203910</t>
        </is>
      </c>
    </row>
    <row r="3899">
      <c r="A3899" t="inlineStr">
        <is>
          <t>102080</t>
        </is>
      </c>
      <c r="B3899" t="inlineStr">
        <is>
          <t>RECEITA FEDERAL DO BRASIL</t>
        </is>
      </c>
      <c r="C3899" t="n">
        <v>2111000000</v>
      </c>
      <c r="D3899" t="inlineStr">
        <is>
          <t>Customs Brokerage – Overall</t>
        </is>
      </c>
      <c r="E3899" t="n">
        <v>1400000741</v>
      </c>
      <c r="F3899" t="inlineStr">
        <is>
          <t>0000206473</t>
        </is>
      </c>
      <c r="G3899" t="inlineStr">
        <is>
          <t>JP</t>
        </is>
      </c>
      <c r="H3899" s="12" t="n">
        <v>0</v>
      </c>
      <c r="I3899" s="17" t="n">
        <v>46086</v>
      </c>
      <c r="J3899" s="17" t="n"/>
      <c r="K3899" t="inlineStr">
        <is>
          <t>Journal Posting OSGT  0000206473</t>
        </is>
      </c>
    </row>
    <row r="3900">
      <c r="A3900" t="inlineStr">
        <is>
          <t>102080</t>
        </is>
      </c>
      <c r="B3900" t="inlineStr">
        <is>
          <t>RECEITA FEDERAL DO BRASIL</t>
        </is>
      </c>
      <c r="C3900" t="n">
        <v>2111000000</v>
      </c>
      <c r="D3900" t="inlineStr">
        <is>
          <t>Customs Brokerage – Overall</t>
        </is>
      </c>
      <c r="E3900" t="n">
        <v>1400000745</v>
      </c>
      <c r="F3900" t="inlineStr">
        <is>
          <t>0000204995</t>
        </is>
      </c>
      <c r="G3900" t="inlineStr">
        <is>
          <t>JP</t>
        </is>
      </c>
      <c r="H3900" s="12" t="n">
        <v>0</v>
      </c>
      <c r="I3900" s="17" t="n">
        <v>45986</v>
      </c>
      <c r="J3900" s="17" t="n"/>
      <c r="K3900" t="inlineStr">
        <is>
          <t>Journal Posting OSGT  0000204995</t>
        </is>
      </c>
    </row>
    <row r="3901">
      <c r="A3901" t="inlineStr">
        <is>
          <t>102080</t>
        </is>
      </c>
      <c r="B3901" t="inlineStr">
        <is>
          <t>RECEITA FEDERAL DO BRASIL</t>
        </is>
      </c>
      <c r="C3901" t="n">
        <v>2111000000</v>
      </c>
      <c r="D3901" t="inlineStr">
        <is>
          <t>Customs Brokerage – Overall</t>
        </is>
      </c>
      <c r="E3901" t="n">
        <v>1400000799</v>
      </c>
      <c r="F3901" t="inlineStr">
        <is>
          <t>0000205503</t>
        </is>
      </c>
      <c r="G3901" t="inlineStr">
        <is>
          <t>JP</t>
        </is>
      </c>
      <c r="H3901" s="12" t="n">
        <v>0</v>
      </c>
      <c r="I3901" s="17" t="n">
        <v>46044</v>
      </c>
      <c r="J3901" s="17" t="n"/>
      <c r="K3901" t="inlineStr">
        <is>
          <t>Journal Posting OSGT  0000205503</t>
        </is>
      </c>
    </row>
    <row r="3902">
      <c r="A3902" t="inlineStr">
        <is>
          <t>102080</t>
        </is>
      </c>
      <c r="B3902" t="inlineStr">
        <is>
          <t>RECEITA FEDERAL DO BRASIL</t>
        </is>
      </c>
      <c r="C3902" t="n">
        <v>2111000000</v>
      </c>
      <c r="D3902" t="inlineStr">
        <is>
          <t>Customs Brokerage – Overall</t>
        </is>
      </c>
      <c r="E3902" t="n">
        <v>1400000812</v>
      </c>
      <c r="G3902" t="inlineStr">
        <is>
          <t>JP</t>
        </is>
      </c>
      <c r="H3902" s="12" t="n">
        <v>0</v>
      </c>
      <c r="I3902" s="17" t="n">
        <v>46064</v>
      </c>
      <c r="J3902" s="17" t="n"/>
      <c r="K3902" t="inlineStr">
        <is>
          <t>Journal Posting OSGT</t>
        </is>
      </c>
    </row>
    <row r="3903">
      <c r="A3903" t="inlineStr">
        <is>
          <t>102080</t>
        </is>
      </c>
      <c r="B3903" t="inlineStr">
        <is>
          <t>RECEITA FEDERAL DO BRASIL</t>
        </is>
      </c>
      <c r="C3903" t="n">
        <v>2111000000</v>
      </c>
      <c r="D3903" t="inlineStr">
        <is>
          <t>Customs Brokerage – Overall</t>
        </is>
      </c>
      <c r="E3903" t="n">
        <v>1400000887</v>
      </c>
      <c r="F3903" t="inlineStr">
        <is>
          <t>0000207085</t>
        </is>
      </c>
      <c r="G3903" t="inlineStr">
        <is>
          <t>JP</t>
        </is>
      </c>
      <c r="H3903" s="12" t="n">
        <v>0</v>
      </c>
      <c r="I3903" s="17" t="n">
        <v>46098</v>
      </c>
      <c r="J3903" s="17" t="n"/>
      <c r="K3903" t="inlineStr">
        <is>
          <t>Journal Posting OSGT  0000207085</t>
        </is>
      </c>
    </row>
    <row r="3904">
      <c r="A3904" t="inlineStr">
        <is>
          <t>102080</t>
        </is>
      </c>
      <c r="B3904" t="inlineStr">
        <is>
          <t>RECEITA FEDERAL DO BRASIL</t>
        </is>
      </c>
      <c r="C3904" t="n">
        <v>2111000000</v>
      </c>
      <c r="D3904" t="inlineStr">
        <is>
          <t>Customs Brokerage – Overall</t>
        </is>
      </c>
      <c r="E3904" t="n">
        <v>1400000893</v>
      </c>
      <c r="F3904" t="inlineStr">
        <is>
          <t>0000206489</t>
        </is>
      </c>
      <c r="G3904" t="inlineStr">
        <is>
          <t>JP</t>
        </is>
      </c>
      <c r="H3904" s="12" t="n">
        <v>0</v>
      </c>
      <c r="I3904" s="17" t="n">
        <v>46086</v>
      </c>
      <c r="J3904" s="17" t="n"/>
      <c r="K3904" t="inlineStr">
        <is>
          <t>Journal Posting OSGT  0000206489</t>
        </is>
      </c>
    </row>
    <row r="3905">
      <c r="A3905" t="inlineStr">
        <is>
          <t>102080</t>
        </is>
      </c>
      <c r="B3905" t="inlineStr">
        <is>
          <t>RECEITA FEDERAL DO BRASIL</t>
        </is>
      </c>
      <c r="C3905" t="n">
        <v>2111000000</v>
      </c>
      <c r="D3905" t="inlineStr">
        <is>
          <t>Customs Brokerage – Overall</t>
        </is>
      </c>
      <c r="E3905" t="n">
        <v>1400000917</v>
      </c>
      <c r="F3905" t="inlineStr">
        <is>
          <t>0000207158</t>
        </is>
      </c>
      <c r="G3905" t="inlineStr">
        <is>
          <t>JP</t>
        </is>
      </c>
      <c r="H3905" s="12" t="n">
        <v>0</v>
      </c>
      <c r="I3905" s="17" t="n">
        <v>46100</v>
      </c>
      <c r="J3905" s="17" t="n"/>
      <c r="K3905" t="inlineStr">
        <is>
          <t>Journal Posting OSGT  0000207158</t>
        </is>
      </c>
    </row>
    <row r="3906">
      <c r="A3906" t="inlineStr">
        <is>
          <t>102080</t>
        </is>
      </c>
      <c r="B3906" t="inlineStr">
        <is>
          <t>RECEITA FEDERAL DO BRASIL</t>
        </is>
      </c>
      <c r="C3906" t="n">
        <v>2111000000</v>
      </c>
      <c r="D3906" t="inlineStr">
        <is>
          <t>Customs Brokerage – Overall</t>
        </is>
      </c>
      <c r="E3906" t="n">
        <v>1400000930</v>
      </c>
      <c r="G3906" t="inlineStr">
        <is>
          <t>JP</t>
        </is>
      </c>
      <c r="H3906" s="12" t="n">
        <v>0</v>
      </c>
      <c r="I3906" s="17" t="n">
        <v>45986</v>
      </c>
      <c r="J3906" s="17" t="n"/>
      <c r="K3906" t="inlineStr">
        <is>
          <t>Journal Posting OSGT</t>
        </is>
      </c>
    </row>
    <row r="3907">
      <c r="A3907" t="inlineStr">
        <is>
          <t>102080</t>
        </is>
      </c>
      <c r="B3907" t="inlineStr">
        <is>
          <t>RECEITA FEDERAL DO BRASIL</t>
        </is>
      </c>
      <c r="C3907" t="n">
        <v>2111000000</v>
      </c>
      <c r="D3907" t="inlineStr">
        <is>
          <t>Customs Brokerage – Overall</t>
        </is>
      </c>
      <c r="E3907" t="n">
        <v>1400000996</v>
      </c>
      <c r="F3907" t="inlineStr">
        <is>
          <t>0000207163</t>
        </is>
      </c>
      <c r="G3907" t="inlineStr">
        <is>
          <t>JP</t>
        </is>
      </c>
      <c r="H3907" s="12" t="n">
        <v>0</v>
      </c>
      <c r="I3907" s="17" t="n">
        <v>46100</v>
      </c>
      <c r="J3907" s="17" t="n"/>
      <c r="K3907" t="inlineStr">
        <is>
          <t>Journal Posting OSGT  0000207163</t>
        </is>
      </c>
    </row>
    <row r="3908">
      <c r="A3908" t="inlineStr">
        <is>
          <t>102080</t>
        </is>
      </c>
      <c r="B3908" t="inlineStr">
        <is>
          <t>RECEITA FEDERAL DO BRASIL</t>
        </is>
      </c>
      <c r="C3908" t="n">
        <v>2111000000</v>
      </c>
      <c r="D3908" t="inlineStr">
        <is>
          <t>Customs Brokerage – Overall</t>
        </is>
      </c>
      <c r="E3908" t="n">
        <v>1400001049</v>
      </c>
      <c r="F3908" t="inlineStr">
        <is>
          <t>0000207138</t>
        </is>
      </c>
      <c r="G3908" t="inlineStr">
        <is>
          <t>JP</t>
        </is>
      </c>
      <c r="H3908" s="12" t="n">
        <v>0</v>
      </c>
      <c r="I3908" s="17" t="n">
        <v>46099</v>
      </c>
      <c r="J3908" s="17" t="n"/>
      <c r="K3908" t="inlineStr">
        <is>
          <t>Journal Posting OSGT  0000207138</t>
        </is>
      </c>
    </row>
    <row r="3909">
      <c r="A3909" t="inlineStr">
        <is>
          <t>102080</t>
        </is>
      </c>
      <c r="B3909" t="inlineStr">
        <is>
          <t>RECEITA FEDERAL DO BRASIL</t>
        </is>
      </c>
      <c r="C3909" t="n">
        <v>2111000000</v>
      </c>
      <c r="D3909" t="inlineStr">
        <is>
          <t>Customs Brokerage – Overall</t>
        </is>
      </c>
      <c r="E3909" t="n">
        <v>1400001091</v>
      </c>
      <c r="F3909" t="inlineStr">
        <is>
          <t>0000208029</t>
        </is>
      </c>
      <c r="G3909" t="inlineStr">
        <is>
          <t>JP</t>
        </is>
      </c>
      <c r="H3909" s="12" t="n">
        <v>0</v>
      </c>
      <c r="I3909" s="17" t="n">
        <v>46105</v>
      </c>
      <c r="J3909" s="17" t="n"/>
      <c r="K3909" t="inlineStr">
        <is>
          <t>Journal Posting OSGT  0000208029</t>
        </is>
      </c>
    </row>
    <row r="3910">
      <c r="A3910" t="inlineStr">
        <is>
          <t>102080</t>
        </is>
      </c>
      <c r="B3910" t="inlineStr">
        <is>
          <t>RECEITA FEDERAL DO BRASIL</t>
        </is>
      </c>
      <c r="C3910" t="n">
        <v>2111000000</v>
      </c>
      <c r="D3910" t="inlineStr">
        <is>
          <t>Customs Brokerage – Overall</t>
        </is>
      </c>
      <c r="E3910" t="n">
        <v>1400001111</v>
      </c>
      <c r="F3910" t="inlineStr">
        <is>
          <t>0000207100</t>
        </is>
      </c>
      <c r="G3910" t="inlineStr">
        <is>
          <t>JP</t>
        </is>
      </c>
      <c r="H3910" s="12" t="n">
        <v>0</v>
      </c>
      <c r="I3910" s="17" t="n">
        <v>46099</v>
      </c>
      <c r="J3910" s="17" t="n"/>
      <c r="K3910" t="inlineStr">
        <is>
          <t>Journal Posting OSGT  0000207100</t>
        </is>
      </c>
    </row>
    <row r="3911">
      <c r="A3911" t="inlineStr">
        <is>
          <t>102080</t>
        </is>
      </c>
      <c r="B3911" t="inlineStr">
        <is>
          <t>RECEITA FEDERAL DO BRASIL</t>
        </is>
      </c>
      <c r="C3911" t="n">
        <v>2111000000</v>
      </c>
      <c r="D3911" t="inlineStr">
        <is>
          <t>Customs Brokerage – Overall</t>
        </is>
      </c>
      <c r="E3911" t="n">
        <v>1400001133</v>
      </c>
      <c r="F3911" t="inlineStr">
        <is>
          <t>0000208012</t>
        </is>
      </c>
      <c r="G3911" t="inlineStr">
        <is>
          <t>JP</t>
        </is>
      </c>
      <c r="H3911" s="12" t="n">
        <v>0</v>
      </c>
      <c r="I3911" s="17" t="n">
        <v>46105</v>
      </c>
      <c r="J3911" s="17" t="n"/>
      <c r="K3911" t="inlineStr">
        <is>
          <t>Journal Posting OSGT  0000208012</t>
        </is>
      </c>
    </row>
    <row r="3912">
      <c r="A3912" t="inlineStr">
        <is>
          <t>102080</t>
        </is>
      </c>
      <c r="B3912" t="inlineStr">
        <is>
          <t>RECEITA FEDERAL DO BRASIL</t>
        </is>
      </c>
      <c r="C3912" t="n">
        <v>2111000000</v>
      </c>
      <c r="D3912" t="inlineStr">
        <is>
          <t>Customs Brokerage – Overall</t>
        </is>
      </c>
      <c r="E3912" t="n">
        <v>1400001143</v>
      </c>
      <c r="F3912" t="inlineStr">
        <is>
          <t>0000208016</t>
        </is>
      </c>
      <c r="G3912" t="inlineStr">
        <is>
          <t>JP</t>
        </is>
      </c>
      <c r="H3912" s="12" t="n">
        <v>0</v>
      </c>
      <c r="I3912" s="17" t="n">
        <v>46105</v>
      </c>
      <c r="J3912" s="17" t="n"/>
      <c r="K3912" t="inlineStr">
        <is>
          <t>Journal Posting OSGT  0000208016</t>
        </is>
      </c>
    </row>
    <row r="3913">
      <c r="A3913" t="inlineStr">
        <is>
          <t>102080</t>
        </is>
      </c>
      <c r="B3913" t="inlineStr">
        <is>
          <t>RECEITA FEDERAL DO BRASIL</t>
        </is>
      </c>
      <c r="C3913" t="n">
        <v>2111000000</v>
      </c>
      <c r="D3913" t="inlineStr">
        <is>
          <t>Customs Brokerage – Overall</t>
        </is>
      </c>
      <c r="E3913" t="n">
        <v>1400001200</v>
      </c>
      <c r="F3913" t="inlineStr">
        <is>
          <t>0000209938</t>
        </is>
      </c>
      <c r="G3913" t="inlineStr">
        <is>
          <t>JP</t>
        </is>
      </c>
      <c r="H3913" s="12" t="n">
        <v>0</v>
      </c>
      <c r="I3913" s="17" t="n">
        <v>46099</v>
      </c>
      <c r="J3913" s="17" t="n"/>
      <c r="K3913" t="inlineStr">
        <is>
          <t>Journal Posting OSGT  0000209938</t>
        </is>
      </c>
    </row>
    <row r="3914">
      <c r="A3914" t="inlineStr">
        <is>
          <t>102080</t>
        </is>
      </c>
      <c r="B3914" t="inlineStr">
        <is>
          <t>RECEITA FEDERAL DO BRASIL</t>
        </is>
      </c>
      <c r="C3914" t="n">
        <v>2111000000</v>
      </c>
      <c r="D3914" t="inlineStr">
        <is>
          <t>Customs Brokerage – Overall</t>
        </is>
      </c>
      <c r="E3914" t="n">
        <v>1400001259</v>
      </c>
      <c r="F3914" t="inlineStr">
        <is>
          <t>0000209926</t>
        </is>
      </c>
      <c r="G3914" t="inlineStr">
        <is>
          <t>JP</t>
        </is>
      </c>
      <c r="H3914" s="12" t="n">
        <v>0</v>
      </c>
      <c r="I3914" s="17" t="n">
        <v>46107</v>
      </c>
      <c r="J3914" s="17" t="n"/>
      <c r="K3914" t="inlineStr">
        <is>
          <t>Journal Posting OSGT  0000209926</t>
        </is>
      </c>
    </row>
    <row r="3915">
      <c r="A3915" t="inlineStr">
        <is>
          <t>102080</t>
        </is>
      </c>
      <c r="B3915" t="inlineStr">
        <is>
          <t>RECEITA FEDERAL DO BRASIL</t>
        </is>
      </c>
      <c r="C3915" t="n">
        <v>2111000000</v>
      </c>
      <c r="D3915" t="inlineStr">
        <is>
          <t>Customs Brokerage – Overall</t>
        </is>
      </c>
      <c r="E3915" t="n">
        <v>1400001300</v>
      </c>
      <c r="F3915" t="inlineStr">
        <is>
          <t>0000208136</t>
        </is>
      </c>
      <c r="G3915" t="inlineStr">
        <is>
          <t>JP</t>
        </is>
      </c>
      <c r="H3915" s="12" t="n">
        <v>0</v>
      </c>
      <c r="I3915" s="17" t="n">
        <v>46112</v>
      </c>
      <c r="J3915" s="17" t="n"/>
      <c r="K3915" t="inlineStr">
        <is>
          <t>Journal Posting OSGT  0000208136</t>
        </is>
      </c>
    </row>
    <row r="3916">
      <c r="A3916" t="inlineStr">
        <is>
          <t>102080</t>
        </is>
      </c>
      <c r="B3916" t="inlineStr">
        <is>
          <t>RECEITA FEDERAL DO BRASIL</t>
        </is>
      </c>
      <c r="C3916" t="n">
        <v>2111000000</v>
      </c>
      <c r="D3916" t="inlineStr">
        <is>
          <t>Customs Brokerage – Overall</t>
        </is>
      </c>
      <c r="E3916" t="n">
        <v>1400001310</v>
      </c>
      <c r="F3916" t="inlineStr">
        <is>
          <t>0000210691</t>
        </is>
      </c>
      <c r="G3916" t="inlineStr">
        <is>
          <t>JP</t>
        </is>
      </c>
      <c r="H3916" s="12" t="n">
        <v>0</v>
      </c>
      <c r="I3916" s="17" t="n">
        <v>46126</v>
      </c>
      <c r="J3916" s="17" t="n"/>
      <c r="K3916" t="inlineStr">
        <is>
          <t>Journal Posting OSGT  0000210691</t>
        </is>
      </c>
    </row>
    <row r="3917">
      <c r="A3917" t="inlineStr">
        <is>
          <t>102080</t>
        </is>
      </c>
      <c r="B3917" t="inlineStr">
        <is>
          <t>RECEITA FEDERAL DO BRASIL</t>
        </is>
      </c>
      <c r="C3917" t="n">
        <v>2111000000</v>
      </c>
      <c r="D3917" t="inlineStr">
        <is>
          <t>Customs Brokerage – Overall</t>
        </is>
      </c>
      <c r="E3917" t="n">
        <v>1400001335</v>
      </c>
      <c r="F3917" t="inlineStr">
        <is>
          <t>0000208851</t>
        </is>
      </c>
      <c r="G3917" t="inlineStr">
        <is>
          <t>JP</t>
        </is>
      </c>
      <c r="H3917" s="12" t="n">
        <v>0</v>
      </c>
      <c r="I3917" s="17" t="n">
        <v>46121</v>
      </c>
      <c r="J3917" s="17" t="n"/>
      <c r="K3917" t="inlineStr">
        <is>
          <t>Journal Posting OSGT  0000208851</t>
        </is>
      </c>
    </row>
    <row r="3918">
      <c r="A3918" t="inlineStr">
        <is>
          <t>102080</t>
        </is>
      </c>
      <c r="B3918" t="inlineStr">
        <is>
          <t>RECEITA FEDERAL DO BRASIL</t>
        </is>
      </c>
      <c r="C3918" t="n">
        <v>2111000000</v>
      </c>
      <c r="D3918" t="inlineStr">
        <is>
          <t>Customs Brokerage – Overall</t>
        </is>
      </c>
      <c r="E3918" t="n">
        <v>1400001359</v>
      </c>
      <c r="F3918" t="inlineStr">
        <is>
          <t>0000208159</t>
        </is>
      </c>
      <c r="G3918" t="inlineStr">
        <is>
          <t>JP</t>
        </is>
      </c>
      <c r="H3918" s="12" t="n">
        <v>0</v>
      </c>
      <c r="I3918" s="17" t="n">
        <v>46106</v>
      </c>
      <c r="J3918" s="17" t="n"/>
      <c r="K3918" t="inlineStr">
        <is>
          <t>Journal Posting OSGT  0000208159</t>
        </is>
      </c>
    </row>
    <row r="3919">
      <c r="A3919" t="inlineStr">
        <is>
          <t>102080</t>
        </is>
      </c>
      <c r="B3919" t="inlineStr">
        <is>
          <t>RECEITA FEDERAL DO BRASIL</t>
        </is>
      </c>
      <c r="C3919" t="n">
        <v>2111000000</v>
      </c>
      <c r="D3919" t="inlineStr">
        <is>
          <t>Customs Brokerage – Overall</t>
        </is>
      </c>
      <c r="E3919" t="n">
        <v>1400001403</v>
      </c>
      <c r="F3919" t="inlineStr">
        <is>
          <t>0000209971</t>
        </is>
      </c>
      <c r="G3919" t="inlineStr">
        <is>
          <t>JP</t>
        </is>
      </c>
      <c r="H3919" s="12" t="n">
        <v>0</v>
      </c>
      <c r="I3919" s="17" t="n">
        <v>46128</v>
      </c>
      <c r="J3919" s="17" t="n"/>
      <c r="K3919" t="inlineStr">
        <is>
          <t>Journal Posting OSGT  0000209971</t>
        </is>
      </c>
    </row>
    <row r="3920">
      <c r="A3920" t="inlineStr">
        <is>
          <t>102080</t>
        </is>
      </c>
      <c r="B3920" t="inlineStr">
        <is>
          <t>RECEITA FEDERAL DO BRASIL</t>
        </is>
      </c>
      <c r="C3920" t="n">
        <v>2111000000</v>
      </c>
      <c r="D3920" t="inlineStr">
        <is>
          <t>Customs Brokerage – Overall</t>
        </is>
      </c>
      <c r="E3920" t="n">
        <v>1400001454</v>
      </c>
      <c r="F3920" t="inlineStr">
        <is>
          <t>0000211059</t>
        </is>
      </c>
      <c r="G3920" t="inlineStr">
        <is>
          <t>JP</t>
        </is>
      </c>
      <c r="H3920" s="12" t="n">
        <v>0</v>
      </c>
      <c r="I3920" s="17" t="n">
        <v>46139</v>
      </c>
      <c r="J3920" s="17" t="n"/>
      <c r="K3920" t="inlineStr">
        <is>
          <t>Journal Posting OSGT  0000211059</t>
        </is>
      </c>
    </row>
    <row r="3921">
      <c r="A3921" t="inlineStr">
        <is>
          <t>102080</t>
        </is>
      </c>
      <c r="B3921" t="inlineStr">
        <is>
          <t>RECEITA FEDERAL DO BRASIL</t>
        </is>
      </c>
      <c r="C3921" t="n">
        <v>2111000000</v>
      </c>
      <c r="D3921" t="inlineStr">
        <is>
          <t>Customs Brokerage – Overall</t>
        </is>
      </c>
      <c r="E3921" t="n">
        <v>1400001537</v>
      </c>
      <c r="F3921" t="inlineStr">
        <is>
          <t>0000211764</t>
        </is>
      </c>
      <c r="G3921" t="inlineStr">
        <is>
          <t>JP</t>
        </is>
      </c>
      <c r="H3921" s="12" t="n">
        <v>0</v>
      </c>
      <c r="I3921" s="17" t="n">
        <v>46136</v>
      </c>
      <c r="J3921" s="17" t="n"/>
      <c r="K3921" t="inlineStr">
        <is>
          <t>Journal Posting OSGT  0000211764</t>
        </is>
      </c>
    </row>
    <row r="3922">
      <c r="A3922" t="inlineStr">
        <is>
          <t>102080</t>
        </is>
      </c>
      <c r="B3922" t="inlineStr">
        <is>
          <t>RECEITA FEDERAL DO BRASIL</t>
        </is>
      </c>
      <c r="C3922" t="n">
        <v>2111000000</v>
      </c>
      <c r="D3922" t="inlineStr">
        <is>
          <t>Customs Brokerage – Overall</t>
        </is>
      </c>
      <c r="E3922" t="n">
        <v>1400001564</v>
      </c>
      <c r="F3922" t="inlineStr">
        <is>
          <t>0000211071</t>
        </is>
      </c>
      <c r="G3922" t="inlineStr">
        <is>
          <t>JP</t>
        </is>
      </c>
      <c r="H3922" s="12" t="n">
        <v>0</v>
      </c>
      <c r="I3922" s="17" t="n">
        <v>46139</v>
      </c>
      <c r="J3922" s="17" t="n"/>
      <c r="K3922" t="inlineStr">
        <is>
          <t>Journal Posting OSGT  0000211071</t>
        </is>
      </c>
    </row>
    <row r="3923">
      <c r="A3923" t="inlineStr">
        <is>
          <t>102080</t>
        </is>
      </c>
      <c r="B3923" t="inlineStr">
        <is>
          <t>RECEITA FEDERAL DO BRASIL</t>
        </is>
      </c>
      <c r="C3923" t="n">
        <v>2111000000</v>
      </c>
      <c r="D3923" t="inlineStr">
        <is>
          <t>Customs Brokerage – Overall</t>
        </is>
      </c>
      <c r="E3923" t="n">
        <v>1400001569</v>
      </c>
      <c r="F3923" t="inlineStr">
        <is>
          <t>0000208817</t>
        </is>
      </c>
      <c r="G3923" t="inlineStr">
        <is>
          <t>JP</t>
        </is>
      </c>
      <c r="H3923" s="12" t="n">
        <v>0</v>
      </c>
      <c r="I3923" s="17" t="n">
        <v>46120</v>
      </c>
      <c r="J3923" s="17" t="n"/>
      <c r="K3923" t="inlineStr">
        <is>
          <t>Journal Posting OSGT  0000208817</t>
        </is>
      </c>
    </row>
    <row r="3924">
      <c r="A3924" t="inlineStr">
        <is>
          <t>102080</t>
        </is>
      </c>
      <c r="B3924" t="inlineStr">
        <is>
          <t>RECEITA FEDERAL DO BRASIL</t>
        </is>
      </c>
      <c r="C3924" t="n">
        <v>2111000000</v>
      </c>
      <c r="D3924" t="inlineStr">
        <is>
          <t>Customs Brokerage – Overall</t>
        </is>
      </c>
      <c r="E3924" t="n">
        <v>1400001571</v>
      </c>
      <c r="F3924" t="inlineStr">
        <is>
          <t>0000210659</t>
        </is>
      </c>
      <c r="G3924" t="inlineStr">
        <is>
          <t>JP</t>
        </is>
      </c>
      <c r="H3924" s="12" t="n">
        <v>0</v>
      </c>
      <c r="I3924" s="17" t="n">
        <v>46120</v>
      </c>
      <c r="J3924" s="17" t="n"/>
      <c r="K3924" t="inlineStr">
        <is>
          <t>Journal Posting OSGT  0000210659</t>
        </is>
      </c>
    </row>
    <row r="3925">
      <c r="A3925" t="inlineStr">
        <is>
          <t>102080</t>
        </is>
      </c>
      <c r="B3925" t="inlineStr">
        <is>
          <t>RECEITA FEDERAL DO BRASIL</t>
        </is>
      </c>
      <c r="C3925" t="n">
        <v>2111000000</v>
      </c>
      <c r="D3925" t="inlineStr">
        <is>
          <t>Customs Brokerage – Overall</t>
        </is>
      </c>
      <c r="E3925" t="n">
        <v>1400001580</v>
      </c>
      <c r="F3925" t="inlineStr">
        <is>
          <t>0000208082</t>
        </is>
      </c>
      <c r="G3925" t="inlineStr">
        <is>
          <t>JP</t>
        </is>
      </c>
      <c r="H3925" s="12" t="n">
        <v>0</v>
      </c>
      <c r="I3925" s="17" t="n">
        <v>46111</v>
      </c>
      <c r="J3925" s="17" t="n"/>
      <c r="K3925" t="inlineStr">
        <is>
          <t>Journal Posting OSGT  0000208082</t>
        </is>
      </c>
    </row>
    <row r="3926">
      <c r="A3926" t="inlineStr">
        <is>
          <t>102080</t>
        </is>
      </c>
      <c r="B3926" t="inlineStr">
        <is>
          <t>RECEITA FEDERAL DO BRASIL</t>
        </is>
      </c>
      <c r="C3926" t="n">
        <v>2111000000</v>
      </c>
      <c r="D3926" t="inlineStr">
        <is>
          <t>Customs Brokerage – Overall</t>
        </is>
      </c>
      <c r="E3926" t="n">
        <v>1400001599</v>
      </c>
      <c r="F3926" t="inlineStr">
        <is>
          <t>0000211049</t>
        </is>
      </c>
      <c r="G3926" t="inlineStr">
        <is>
          <t>JP</t>
        </is>
      </c>
      <c r="H3926" s="12" t="n">
        <v>0</v>
      </c>
      <c r="I3926" s="17" t="n">
        <v>46139</v>
      </c>
      <c r="J3926" s="17" t="n"/>
      <c r="K3926" t="inlineStr">
        <is>
          <t>Journal Posting OSGT  0000211049</t>
        </is>
      </c>
    </row>
    <row r="3927">
      <c r="A3927" t="inlineStr">
        <is>
          <t>102080</t>
        </is>
      </c>
      <c r="B3927" t="inlineStr">
        <is>
          <t>RECEITA FEDERAL DO BRASIL</t>
        </is>
      </c>
      <c r="C3927" t="n">
        <v>2111000000</v>
      </c>
      <c r="D3927" t="inlineStr">
        <is>
          <t>Customs Brokerage – Overall</t>
        </is>
      </c>
      <c r="E3927" t="n">
        <v>1400001601</v>
      </c>
      <c r="F3927" t="inlineStr">
        <is>
          <t>0000210705</t>
        </is>
      </c>
      <c r="G3927" t="inlineStr">
        <is>
          <t>JP</t>
        </is>
      </c>
      <c r="H3927" s="12" t="n">
        <v>0</v>
      </c>
      <c r="I3927" s="17" t="n">
        <v>46120</v>
      </c>
      <c r="J3927" s="17" t="n"/>
      <c r="K3927" t="inlineStr">
        <is>
          <t>Journal Posting OSGT  0000210705</t>
        </is>
      </c>
    </row>
    <row r="3928">
      <c r="A3928" t="inlineStr">
        <is>
          <t>102080</t>
        </is>
      </c>
      <c r="B3928" t="inlineStr">
        <is>
          <t>RECEITA FEDERAL DO BRASIL</t>
        </is>
      </c>
      <c r="C3928" t="n">
        <v>2111000000</v>
      </c>
      <c r="D3928" t="inlineStr">
        <is>
          <t>Customs Brokerage – Overall</t>
        </is>
      </c>
      <c r="E3928" t="n">
        <v>1400001616</v>
      </c>
      <c r="F3928" t="inlineStr">
        <is>
          <t>0000210634</t>
        </is>
      </c>
      <c r="G3928" t="inlineStr">
        <is>
          <t>JP</t>
        </is>
      </c>
      <c r="H3928" s="12" t="n">
        <v>0</v>
      </c>
      <c r="I3928" s="17" t="n">
        <v>46132</v>
      </c>
      <c r="J3928" s="17" t="n"/>
      <c r="K3928" t="inlineStr">
        <is>
          <t>Journal Posting OSGT  0000210634</t>
        </is>
      </c>
    </row>
    <row r="3929">
      <c r="A3929" t="inlineStr">
        <is>
          <t>102080</t>
        </is>
      </c>
      <c r="B3929" t="inlineStr">
        <is>
          <t>RECEITA FEDERAL DO BRASIL</t>
        </is>
      </c>
      <c r="C3929" t="n">
        <v>2111000000</v>
      </c>
      <c r="D3929" t="inlineStr">
        <is>
          <t>Customs Brokerage – Overall</t>
        </is>
      </c>
      <c r="E3929" t="n">
        <v>1400001671</v>
      </c>
      <c r="F3929" t="inlineStr">
        <is>
          <t>0000211781</t>
        </is>
      </c>
      <c r="G3929" t="inlineStr">
        <is>
          <t>JP</t>
        </is>
      </c>
      <c r="H3929" s="12" t="n">
        <v>0</v>
      </c>
      <c r="I3929" s="17" t="n">
        <v>46146</v>
      </c>
      <c r="J3929" s="17" t="n"/>
      <c r="K3929" t="inlineStr">
        <is>
          <t>Journal Posting OSGT  0000211781</t>
        </is>
      </c>
    </row>
    <row r="3930">
      <c r="A3930" t="inlineStr">
        <is>
          <t>102080</t>
        </is>
      </c>
      <c r="B3930" t="inlineStr">
        <is>
          <t>RECEITA FEDERAL DO BRASIL</t>
        </is>
      </c>
      <c r="C3930" t="n">
        <v>2111000000</v>
      </c>
      <c r="D3930" t="inlineStr">
        <is>
          <t>Customs Brokerage – Overall</t>
        </is>
      </c>
      <c r="E3930" t="n">
        <v>1400001719</v>
      </c>
      <c r="F3930" t="inlineStr">
        <is>
          <t>0000208099</t>
        </is>
      </c>
      <c r="G3930" t="inlineStr">
        <is>
          <t>JP</t>
        </is>
      </c>
      <c r="H3930" s="12" t="n">
        <v>0</v>
      </c>
      <c r="I3930" s="17" t="n">
        <v>46112</v>
      </c>
      <c r="J3930" s="17" t="n"/>
      <c r="K3930" t="inlineStr">
        <is>
          <t>Journal Posting OSGT  0000208099</t>
        </is>
      </c>
    </row>
    <row r="3931">
      <c r="A3931" t="inlineStr">
        <is>
          <t>102080</t>
        </is>
      </c>
      <c r="B3931" t="inlineStr">
        <is>
          <t>RECEITA FEDERAL DO BRASIL</t>
        </is>
      </c>
      <c r="C3931" t="n">
        <v>2111000000</v>
      </c>
      <c r="D3931" t="inlineStr">
        <is>
          <t>Customs Brokerage – Overall</t>
        </is>
      </c>
      <c r="E3931" t="n">
        <v>1400001732</v>
      </c>
      <c r="F3931" t="inlineStr">
        <is>
          <t>0000210641</t>
        </is>
      </c>
      <c r="G3931" t="inlineStr">
        <is>
          <t>JP</t>
        </is>
      </c>
      <c r="H3931" s="12" t="n">
        <v>0</v>
      </c>
      <c r="I3931" s="17" t="n">
        <v>46132</v>
      </c>
      <c r="J3931" s="17" t="n"/>
      <c r="K3931" t="inlineStr">
        <is>
          <t>Journal Posting OSGT  0000210641</t>
        </is>
      </c>
    </row>
    <row r="3932">
      <c r="A3932" t="inlineStr">
        <is>
          <t>102080</t>
        </is>
      </c>
      <c r="B3932" t="inlineStr">
        <is>
          <t>RECEITA FEDERAL DO BRASIL</t>
        </is>
      </c>
      <c r="C3932" t="n">
        <v>2111000000</v>
      </c>
      <c r="D3932" t="inlineStr">
        <is>
          <t>Customs Brokerage – Overall</t>
        </is>
      </c>
      <c r="E3932" t="n">
        <v>1400001735</v>
      </c>
      <c r="F3932" t="inlineStr">
        <is>
          <t>0000208092</t>
        </is>
      </c>
      <c r="G3932" t="inlineStr">
        <is>
          <t>JP</t>
        </is>
      </c>
      <c r="H3932" s="12" t="n">
        <v>0</v>
      </c>
      <c r="I3932" s="17" t="n">
        <v>46111</v>
      </c>
      <c r="J3932" s="17" t="n"/>
      <c r="K3932" t="inlineStr">
        <is>
          <t>Journal Posting OSGT  0000208092</t>
        </is>
      </c>
    </row>
    <row r="3933">
      <c r="A3933" t="inlineStr">
        <is>
          <t>102080</t>
        </is>
      </c>
      <c r="B3933" t="inlineStr">
        <is>
          <t>RECEITA FEDERAL DO BRASIL</t>
        </is>
      </c>
      <c r="C3933" t="n">
        <v>2111000000</v>
      </c>
      <c r="D3933" t="inlineStr">
        <is>
          <t>Customs Brokerage – Overall</t>
        </is>
      </c>
      <c r="E3933" t="n">
        <v>1400001754</v>
      </c>
      <c r="F3933" t="inlineStr">
        <is>
          <t>0000208076</t>
        </is>
      </c>
      <c r="G3933" t="inlineStr">
        <is>
          <t>JP</t>
        </is>
      </c>
      <c r="H3933" s="12" t="n">
        <v>0</v>
      </c>
      <c r="I3933" s="17" t="n">
        <v>46106</v>
      </c>
      <c r="J3933" s="17" t="n"/>
      <c r="K3933" t="inlineStr">
        <is>
          <t>Journal Posting OSGT  0000208076</t>
        </is>
      </c>
    </row>
    <row r="3934">
      <c r="A3934" t="inlineStr">
        <is>
          <t>102080</t>
        </is>
      </c>
      <c r="B3934" t="inlineStr">
        <is>
          <t>RECEITA FEDERAL DO BRASIL</t>
        </is>
      </c>
      <c r="C3934" t="n">
        <v>2111000000</v>
      </c>
      <c r="D3934" t="inlineStr">
        <is>
          <t>Customs Brokerage – Overall</t>
        </is>
      </c>
      <c r="E3934" t="n">
        <v>1400001789</v>
      </c>
      <c r="F3934" t="inlineStr">
        <is>
          <t>0000213407</t>
        </is>
      </c>
      <c r="G3934" t="inlineStr">
        <is>
          <t>JP</t>
        </is>
      </c>
      <c r="H3934" s="12" t="n">
        <v>0</v>
      </c>
      <c r="I3934" s="17" t="n">
        <v>46153</v>
      </c>
      <c r="J3934" s="17" t="n"/>
      <c r="K3934" t="inlineStr">
        <is>
          <t>Journal Posting OSGT  0000213407</t>
        </is>
      </c>
    </row>
    <row r="3935">
      <c r="A3935" t="inlineStr">
        <is>
          <t>102080</t>
        </is>
      </c>
      <c r="B3935" t="inlineStr">
        <is>
          <t>RECEITA FEDERAL DO BRASIL</t>
        </is>
      </c>
      <c r="C3935" t="n">
        <v>2111000000</v>
      </c>
      <c r="D3935" t="inlineStr">
        <is>
          <t>Customs Brokerage – Overall</t>
        </is>
      </c>
      <c r="E3935" t="n">
        <v>1400001803</v>
      </c>
      <c r="F3935" t="inlineStr">
        <is>
          <t>0000211030</t>
        </is>
      </c>
      <c r="G3935" t="inlineStr">
        <is>
          <t>JP</t>
        </is>
      </c>
      <c r="H3935" s="12" t="n">
        <v>0</v>
      </c>
      <c r="I3935" s="17" t="n">
        <v>46139</v>
      </c>
      <c r="J3935" s="17" t="n"/>
      <c r="K3935" t="inlineStr">
        <is>
          <t>Journal Posting OSGT  0000211030</t>
        </is>
      </c>
    </row>
    <row r="3936">
      <c r="A3936" t="inlineStr">
        <is>
          <t>102080</t>
        </is>
      </c>
      <c r="B3936" t="inlineStr">
        <is>
          <t>RECEITA FEDERAL DO BRASIL</t>
        </is>
      </c>
      <c r="C3936" t="n">
        <v>2111000000</v>
      </c>
      <c r="D3936" t="inlineStr">
        <is>
          <t>Customs Brokerage – Overall</t>
        </is>
      </c>
      <c r="E3936" t="n">
        <v>1400001848</v>
      </c>
      <c r="F3936" t="inlineStr">
        <is>
          <t>0000214377</t>
        </is>
      </c>
      <c r="G3936" t="inlineStr">
        <is>
          <t>JP</t>
        </is>
      </c>
      <c r="H3936" s="12" t="n">
        <v>0</v>
      </c>
      <c r="I3936" s="17" t="n">
        <v>46163</v>
      </c>
      <c r="J3936" s="17" t="n"/>
      <c r="K3936" t="inlineStr">
        <is>
          <t>Journal Posting OSGT  0000214377</t>
        </is>
      </c>
    </row>
    <row r="3937">
      <c r="A3937" t="inlineStr">
        <is>
          <t>102080</t>
        </is>
      </c>
      <c r="B3937" t="inlineStr">
        <is>
          <t>RECEITA FEDERAL DO BRASIL</t>
        </is>
      </c>
      <c r="C3937" t="n">
        <v>2111000000</v>
      </c>
      <c r="D3937" t="inlineStr">
        <is>
          <t>Customs Brokerage – Overall</t>
        </is>
      </c>
      <c r="E3937" t="n">
        <v>1400001868</v>
      </c>
      <c r="F3937" t="inlineStr">
        <is>
          <t>0000211871</t>
        </is>
      </c>
      <c r="G3937" t="inlineStr">
        <is>
          <t>JP</t>
        </is>
      </c>
      <c r="H3937" s="12" t="n">
        <v>0</v>
      </c>
      <c r="I3937" s="17" t="n">
        <v>46148</v>
      </c>
      <c r="J3937" s="17" t="n"/>
      <c r="K3937" t="inlineStr">
        <is>
          <t>Journal Posting OSGT  0000211871</t>
        </is>
      </c>
    </row>
    <row r="3938">
      <c r="A3938" t="inlineStr">
        <is>
          <t>102080</t>
        </is>
      </c>
      <c r="B3938" t="inlineStr">
        <is>
          <t>RECEITA FEDERAL DO BRASIL</t>
        </is>
      </c>
      <c r="C3938" t="n">
        <v>2111000000</v>
      </c>
      <c r="D3938" t="inlineStr">
        <is>
          <t>Customs Brokerage – Overall</t>
        </is>
      </c>
      <c r="E3938" t="n">
        <v>1400001917</v>
      </c>
      <c r="F3938" t="inlineStr">
        <is>
          <t>0000211757</t>
        </is>
      </c>
      <c r="G3938" t="inlineStr">
        <is>
          <t>JP</t>
        </is>
      </c>
      <c r="H3938" s="12" t="n">
        <v>0</v>
      </c>
      <c r="I3938" s="17" t="n">
        <v>46136</v>
      </c>
      <c r="J3938" s="17" t="n"/>
      <c r="K3938" t="inlineStr">
        <is>
          <t>Journal Posting OSGT  0000211757</t>
        </is>
      </c>
    </row>
    <row r="3939">
      <c r="A3939" t="inlineStr">
        <is>
          <t>102080</t>
        </is>
      </c>
      <c r="B3939" t="inlineStr">
        <is>
          <t>RECEITA FEDERAL DO BRASIL</t>
        </is>
      </c>
      <c r="C3939" t="n">
        <v>2111000000</v>
      </c>
      <c r="D3939" t="inlineStr">
        <is>
          <t>Customs Brokerage – Overall</t>
        </is>
      </c>
      <c r="E3939" t="n">
        <v>1400001940</v>
      </c>
      <c r="F3939" t="inlineStr">
        <is>
          <t>0000214371</t>
        </is>
      </c>
      <c r="G3939" t="inlineStr">
        <is>
          <t>JP</t>
        </is>
      </c>
      <c r="H3939" s="12" t="n">
        <v>0</v>
      </c>
      <c r="I3939" s="17" t="n">
        <v>46150</v>
      </c>
      <c r="J3939" s="17" t="n"/>
      <c r="K3939" t="inlineStr">
        <is>
          <t>Journal Posting OSGT  0000214371</t>
        </is>
      </c>
    </row>
    <row r="3940">
      <c r="A3940" t="inlineStr">
        <is>
          <t>102080</t>
        </is>
      </c>
      <c r="B3940" t="inlineStr">
        <is>
          <t>RECEITA FEDERAL DO BRASIL</t>
        </is>
      </c>
      <c r="C3940" t="n">
        <v>2111000000</v>
      </c>
      <c r="D3940" t="inlineStr">
        <is>
          <t>Customs Brokerage – Overall</t>
        </is>
      </c>
      <c r="E3940" t="n">
        <v>1400001958</v>
      </c>
      <c r="F3940" t="inlineStr">
        <is>
          <t>0000214861</t>
        </is>
      </c>
      <c r="G3940" t="inlineStr">
        <is>
          <t>JP</t>
        </is>
      </c>
      <c r="H3940" s="12" t="n">
        <v>0</v>
      </c>
      <c r="I3940" s="17" t="n">
        <v>46148</v>
      </c>
      <c r="J3940" s="17" t="n"/>
      <c r="K3940" t="inlineStr">
        <is>
          <t>Journal Posting OSGT  0000214861</t>
        </is>
      </c>
    </row>
    <row r="3941">
      <c r="A3941" t="inlineStr">
        <is>
          <t>102080</t>
        </is>
      </c>
      <c r="B3941" t="inlineStr">
        <is>
          <t>RECEITA FEDERAL DO BRASIL</t>
        </is>
      </c>
      <c r="C3941" t="n">
        <v>2111000000</v>
      </c>
      <c r="D3941" t="inlineStr">
        <is>
          <t>Customs Brokerage – Overall</t>
        </is>
      </c>
      <c r="E3941" t="n">
        <v>1400001961</v>
      </c>
      <c r="F3941" t="inlineStr">
        <is>
          <t>0000217048</t>
        </is>
      </c>
      <c r="G3941" t="inlineStr">
        <is>
          <t>JP</t>
        </is>
      </c>
      <c r="H3941" s="12" t="n">
        <v>0</v>
      </c>
      <c r="I3941" s="17" t="n">
        <v>46149</v>
      </c>
      <c r="J3941" s="17" t="n"/>
      <c r="K3941" t="inlineStr">
        <is>
          <t>Journal Posting OSGT  0000217048</t>
        </is>
      </c>
    </row>
    <row r="3942">
      <c r="A3942" t="inlineStr">
        <is>
          <t>102080</t>
        </is>
      </c>
      <c r="B3942" t="inlineStr">
        <is>
          <t>RECEITA FEDERAL DO BRASIL</t>
        </is>
      </c>
      <c r="C3942" t="n">
        <v>2111000000</v>
      </c>
      <c r="D3942" t="inlineStr">
        <is>
          <t>Customs Brokerage – Overall</t>
        </is>
      </c>
      <c r="E3942" t="n">
        <v>1400002004</v>
      </c>
      <c r="F3942" t="inlineStr">
        <is>
          <t>0000213458</t>
        </is>
      </c>
      <c r="G3942" t="inlineStr">
        <is>
          <t>JP</t>
        </is>
      </c>
      <c r="H3942" s="12" t="n">
        <v>0</v>
      </c>
      <c r="I3942" s="17" t="n">
        <v>46128</v>
      </c>
      <c r="J3942" s="17" t="n"/>
      <c r="K3942" t="inlineStr">
        <is>
          <t>Journal Posting OSGT  0000213458</t>
        </is>
      </c>
    </row>
    <row r="3943">
      <c r="A3943" t="inlineStr">
        <is>
          <t>102080</t>
        </is>
      </c>
      <c r="B3943" t="inlineStr">
        <is>
          <t>RECEITA FEDERAL DO BRASIL</t>
        </is>
      </c>
      <c r="C3943" t="n">
        <v>2111000000</v>
      </c>
      <c r="D3943" t="inlineStr">
        <is>
          <t>Customs Brokerage – Overall</t>
        </is>
      </c>
      <c r="E3943" t="n">
        <v>1400002069</v>
      </c>
      <c r="F3943" t="inlineStr">
        <is>
          <t>0000217031</t>
        </is>
      </c>
      <c r="G3943" t="inlineStr">
        <is>
          <t>JP</t>
        </is>
      </c>
      <c r="H3943" s="12" t="n">
        <v>0</v>
      </c>
      <c r="I3943" s="17" t="n">
        <v>46149</v>
      </c>
      <c r="J3943" s="17" t="n"/>
      <c r="K3943" t="inlineStr">
        <is>
          <t>Journal Posting OSGT  0000217031</t>
        </is>
      </c>
    </row>
    <row r="3944">
      <c r="A3944" t="inlineStr">
        <is>
          <t>102080</t>
        </is>
      </c>
      <c r="B3944" t="inlineStr">
        <is>
          <t>RECEITA FEDERAL DO BRASIL</t>
        </is>
      </c>
      <c r="C3944" t="n">
        <v>2111000000</v>
      </c>
      <c r="D3944" t="inlineStr">
        <is>
          <t>Customs Brokerage – Overall</t>
        </is>
      </c>
      <c r="E3944" t="n">
        <v>1400002101</v>
      </c>
      <c r="F3944" t="inlineStr">
        <is>
          <t>0000217184</t>
        </is>
      </c>
      <c r="G3944" t="inlineStr">
        <is>
          <t>JP</t>
        </is>
      </c>
      <c r="H3944" s="12" t="n">
        <v>0</v>
      </c>
      <c r="I3944" s="17" t="n">
        <v>46184</v>
      </c>
      <c r="J3944" s="17" t="n"/>
      <c r="K3944" t="inlineStr">
        <is>
          <t>Journal Posting OSGT  0000217184</t>
        </is>
      </c>
    </row>
    <row r="3945">
      <c r="A3945" t="inlineStr">
        <is>
          <t>102080</t>
        </is>
      </c>
      <c r="B3945" t="inlineStr">
        <is>
          <t>RECEITA FEDERAL DO BRASIL</t>
        </is>
      </c>
      <c r="C3945" t="n">
        <v>2111000000</v>
      </c>
      <c r="D3945" t="inlineStr">
        <is>
          <t>Customs Brokerage – Overall</t>
        </is>
      </c>
      <c r="E3945" t="n">
        <v>1400002139</v>
      </c>
      <c r="F3945" t="inlineStr">
        <is>
          <t>0000214888</t>
        </is>
      </c>
      <c r="G3945" t="inlineStr">
        <is>
          <t>JP</t>
        </is>
      </c>
      <c r="H3945" s="12" t="n">
        <v>0</v>
      </c>
      <c r="I3945" s="17" t="n">
        <v>46176</v>
      </c>
      <c r="J3945" s="17" t="n"/>
      <c r="K3945" t="inlineStr">
        <is>
          <t>Journal Posting OSGT  0000214888</t>
        </is>
      </c>
    </row>
    <row r="3946">
      <c r="A3946" t="inlineStr">
        <is>
          <t>102080</t>
        </is>
      </c>
      <c r="B3946" t="inlineStr">
        <is>
          <t>RECEITA FEDERAL DO BRASIL</t>
        </is>
      </c>
      <c r="C3946" t="n">
        <v>2111000000</v>
      </c>
      <c r="D3946" t="inlineStr">
        <is>
          <t>Customs Brokerage – Overall</t>
        </is>
      </c>
      <c r="E3946" t="n">
        <v>1400002144</v>
      </c>
      <c r="F3946" t="inlineStr">
        <is>
          <t>0000217714</t>
        </is>
      </c>
      <c r="G3946" t="inlineStr">
        <is>
          <t>JP</t>
        </is>
      </c>
      <c r="H3946" s="12" t="n">
        <v>0</v>
      </c>
      <c r="I3946" s="17" t="n">
        <v>46185</v>
      </c>
      <c r="J3946" s="17" t="n"/>
      <c r="K3946" t="inlineStr">
        <is>
          <t>Journal Posting OSGT  0000217714</t>
        </is>
      </c>
    </row>
    <row r="3947">
      <c r="A3947" t="inlineStr">
        <is>
          <t>102080</t>
        </is>
      </c>
      <c r="B3947" t="inlineStr">
        <is>
          <t>RECEITA FEDERAL DO BRASIL</t>
        </is>
      </c>
      <c r="C3947" t="n">
        <v>2111000000</v>
      </c>
      <c r="D3947" t="inlineStr">
        <is>
          <t>Customs Brokerage – Overall</t>
        </is>
      </c>
      <c r="E3947" t="n">
        <v>1400002175</v>
      </c>
      <c r="F3947" t="inlineStr">
        <is>
          <t>0000218966</t>
        </is>
      </c>
      <c r="G3947" t="inlineStr">
        <is>
          <t>JP</t>
        </is>
      </c>
      <c r="H3947" s="12" t="n">
        <v>0</v>
      </c>
      <c r="I3947" s="17" t="n">
        <v>46199</v>
      </c>
      <c r="J3947" s="17" t="n"/>
      <c r="K3947" t="inlineStr">
        <is>
          <t>Journal Posting OSGT  0000218966</t>
        </is>
      </c>
    </row>
    <row r="3948">
      <c r="A3948" t="inlineStr">
        <is>
          <t>102080</t>
        </is>
      </c>
      <c r="B3948" t="inlineStr">
        <is>
          <t>RECEITA FEDERAL DO BRASIL</t>
        </is>
      </c>
      <c r="C3948" t="n">
        <v>2111000000</v>
      </c>
      <c r="D3948" t="inlineStr">
        <is>
          <t>Customs Brokerage – Overall</t>
        </is>
      </c>
      <c r="E3948" t="n">
        <v>1400002185</v>
      </c>
      <c r="F3948" t="inlineStr">
        <is>
          <t>0000217176</t>
        </is>
      </c>
      <c r="G3948" t="inlineStr">
        <is>
          <t>JP</t>
        </is>
      </c>
      <c r="H3948" s="12" t="n">
        <v>0</v>
      </c>
      <c r="I3948" s="17" t="n">
        <v>46164</v>
      </c>
      <c r="J3948" s="17" t="n"/>
      <c r="K3948" t="inlineStr">
        <is>
          <t>Journal Posting OSGT  0000217176</t>
        </is>
      </c>
    </row>
    <row r="3949">
      <c r="A3949" t="inlineStr">
        <is>
          <t>102080</t>
        </is>
      </c>
      <c r="B3949" t="inlineStr">
        <is>
          <t>RECEITA FEDERAL DO BRASIL</t>
        </is>
      </c>
      <c r="C3949" t="n">
        <v>2111000000</v>
      </c>
      <c r="D3949" t="inlineStr">
        <is>
          <t>Customs Brokerage – Overall</t>
        </is>
      </c>
      <c r="E3949" t="n">
        <v>1400002196</v>
      </c>
      <c r="F3949" t="inlineStr">
        <is>
          <t>0000218700</t>
        </is>
      </c>
      <c r="G3949" t="inlineStr">
        <is>
          <t>JP</t>
        </is>
      </c>
      <c r="H3949" s="12" t="n">
        <v>0</v>
      </c>
      <c r="I3949" s="17" t="n">
        <v>46198</v>
      </c>
      <c r="J3949" s="17" t="n"/>
      <c r="K3949" t="inlineStr">
        <is>
          <t>Journal Posting OSGT  0000218700</t>
        </is>
      </c>
    </row>
    <row r="3950">
      <c r="A3950" t="inlineStr">
        <is>
          <t>102080</t>
        </is>
      </c>
      <c r="B3950" t="inlineStr">
        <is>
          <t>RECEITA FEDERAL DO BRASIL</t>
        </is>
      </c>
      <c r="C3950" t="n">
        <v>2111000000</v>
      </c>
      <c r="D3950" t="inlineStr">
        <is>
          <t>Customs Brokerage – Overall</t>
        </is>
      </c>
      <c r="E3950" t="n">
        <v>1400002212</v>
      </c>
      <c r="F3950" t="inlineStr">
        <is>
          <t>0000217797</t>
        </is>
      </c>
      <c r="G3950" t="inlineStr">
        <is>
          <t>JP</t>
        </is>
      </c>
      <c r="H3950" s="12" t="n">
        <v>0</v>
      </c>
      <c r="I3950" s="17" t="n">
        <v>46148</v>
      </c>
      <c r="J3950" s="17" t="n"/>
      <c r="K3950" t="inlineStr">
        <is>
          <t>Journal Posting OSGT  0000217797</t>
        </is>
      </c>
    </row>
    <row r="3951">
      <c r="A3951" t="inlineStr">
        <is>
          <t>102080</t>
        </is>
      </c>
      <c r="B3951" t="inlineStr">
        <is>
          <t>RECEITA FEDERAL DO BRASIL</t>
        </is>
      </c>
      <c r="C3951" t="n">
        <v>2111000000</v>
      </c>
      <c r="D3951" t="inlineStr">
        <is>
          <t>Customs Brokerage – Overall</t>
        </is>
      </c>
      <c r="E3951" t="n">
        <v>1400002216</v>
      </c>
      <c r="F3951" t="inlineStr">
        <is>
          <t>0000217035</t>
        </is>
      </c>
      <c r="G3951" t="inlineStr">
        <is>
          <t>JP</t>
        </is>
      </c>
      <c r="H3951" s="12" t="n">
        <v>0</v>
      </c>
      <c r="I3951" s="17" t="n">
        <v>46181</v>
      </c>
      <c r="J3951" s="17" t="n"/>
      <c r="K3951" t="inlineStr">
        <is>
          <t>Journal Posting OSGT  0000217035</t>
        </is>
      </c>
    </row>
    <row r="3952">
      <c r="A3952" t="inlineStr">
        <is>
          <t>102080</t>
        </is>
      </c>
      <c r="B3952" t="inlineStr">
        <is>
          <t>RECEITA FEDERAL DO BRASIL</t>
        </is>
      </c>
      <c r="C3952" t="n">
        <v>2111000000</v>
      </c>
      <c r="D3952" t="inlineStr">
        <is>
          <t>Customs Brokerage – Overall</t>
        </is>
      </c>
      <c r="E3952" t="n">
        <v>1400002268</v>
      </c>
      <c r="G3952" t="inlineStr">
        <is>
          <t>JP</t>
        </is>
      </c>
      <c r="H3952" s="12" t="n">
        <v>0</v>
      </c>
      <c r="I3952" s="17" t="n">
        <v>46184</v>
      </c>
      <c r="J3952" s="17" t="n"/>
      <c r="K3952" t="inlineStr">
        <is>
          <t>Journal Posting OSGT</t>
        </is>
      </c>
    </row>
    <row r="3953">
      <c r="A3953" t="inlineStr">
        <is>
          <t>102080</t>
        </is>
      </c>
      <c r="B3953" t="inlineStr">
        <is>
          <t>RECEITA FEDERAL DO BRASIL</t>
        </is>
      </c>
      <c r="C3953" t="n">
        <v>2111000000</v>
      </c>
      <c r="D3953" t="inlineStr">
        <is>
          <t>Customs Brokerage – Overall</t>
        </is>
      </c>
      <c r="E3953" t="n">
        <v>1400002303</v>
      </c>
      <c r="F3953" t="inlineStr">
        <is>
          <t>0000218621</t>
        </is>
      </c>
      <c r="G3953" t="inlineStr">
        <is>
          <t>JP</t>
        </is>
      </c>
      <c r="H3953" s="12" t="n">
        <v>0</v>
      </c>
      <c r="I3953" s="17" t="n">
        <v>46162</v>
      </c>
      <c r="J3953" s="17" t="n"/>
      <c r="K3953" t="inlineStr">
        <is>
          <t>Journal Posting OSGT  0000218621</t>
        </is>
      </c>
    </row>
    <row r="3954">
      <c r="A3954" t="inlineStr">
        <is>
          <t>102080</t>
        </is>
      </c>
      <c r="B3954" t="inlineStr">
        <is>
          <t>RECEITA FEDERAL DO BRASIL</t>
        </is>
      </c>
      <c r="C3954" t="n">
        <v>2111000000</v>
      </c>
      <c r="D3954" t="inlineStr">
        <is>
          <t>Customs Brokerage – Overall</t>
        </is>
      </c>
      <c r="E3954" t="n">
        <v>1400002317</v>
      </c>
      <c r="F3954" t="inlineStr">
        <is>
          <t>0000218610</t>
        </is>
      </c>
      <c r="G3954" t="inlineStr">
        <is>
          <t>JP</t>
        </is>
      </c>
      <c r="H3954" s="12" t="n">
        <v>0</v>
      </c>
      <c r="I3954" s="17" t="n">
        <v>46195</v>
      </c>
      <c r="J3954" s="17" t="n"/>
      <c r="K3954" t="inlineStr">
        <is>
          <t>Journal Posting OSGT  0000218610</t>
        </is>
      </c>
    </row>
    <row r="3955">
      <c r="A3955" t="inlineStr">
        <is>
          <t>102080</t>
        </is>
      </c>
      <c r="B3955" t="inlineStr">
        <is>
          <t>RECEITA FEDERAL DO BRASIL</t>
        </is>
      </c>
      <c r="C3955" t="n">
        <v>2111000000</v>
      </c>
      <c r="D3955" t="inlineStr">
        <is>
          <t>Customs Brokerage – Overall</t>
        </is>
      </c>
      <c r="E3955" t="n">
        <v>1400002322</v>
      </c>
      <c r="F3955" t="inlineStr">
        <is>
          <t>0000217192</t>
        </is>
      </c>
      <c r="G3955" t="inlineStr">
        <is>
          <t>JP</t>
        </is>
      </c>
      <c r="H3955" s="12" t="n">
        <v>0</v>
      </c>
      <c r="I3955" s="17" t="n">
        <v>46164</v>
      </c>
      <c r="J3955" s="17" t="n"/>
      <c r="K3955" t="inlineStr">
        <is>
          <t>Journal Posting OSGT  0000217192</t>
        </is>
      </c>
    </row>
    <row r="3956">
      <c r="A3956" t="inlineStr">
        <is>
          <t>102080</t>
        </is>
      </c>
      <c r="B3956" t="inlineStr">
        <is>
          <t>RECEITA FEDERAL DO BRASIL</t>
        </is>
      </c>
      <c r="C3956" t="n">
        <v>2111000000</v>
      </c>
      <c r="D3956" t="inlineStr">
        <is>
          <t>Customs Brokerage – Overall</t>
        </is>
      </c>
      <c r="E3956" t="n">
        <v>1400002323</v>
      </c>
      <c r="F3956" t="inlineStr">
        <is>
          <t>0000217711</t>
        </is>
      </c>
      <c r="G3956" t="inlineStr">
        <is>
          <t>JP</t>
        </is>
      </c>
      <c r="H3956" s="12" t="n">
        <v>0</v>
      </c>
      <c r="I3956" s="17" t="n">
        <v>46185</v>
      </c>
      <c r="J3956" s="17" t="n"/>
      <c r="K3956" t="inlineStr">
        <is>
          <t>Journal Posting OSGT  0000217711</t>
        </is>
      </c>
    </row>
    <row r="3957">
      <c r="A3957" t="inlineStr">
        <is>
          <t>102080</t>
        </is>
      </c>
      <c r="B3957" t="inlineStr">
        <is>
          <t>RECEITA FEDERAL DO BRASIL</t>
        </is>
      </c>
      <c r="C3957" t="n">
        <v>2111000000</v>
      </c>
      <c r="D3957" t="inlineStr">
        <is>
          <t>Customs Brokerage – Overall</t>
        </is>
      </c>
      <c r="E3957" t="n">
        <v>1400002351</v>
      </c>
      <c r="F3957" t="inlineStr">
        <is>
          <t>0000218783</t>
        </is>
      </c>
      <c r="G3957" t="inlineStr">
        <is>
          <t>JP</t>
        </is>
      </c>
      <c r="H3957" s="12" t="n">
        <v>0</v>
      </c>
      <c r="I3957" s="17" t="n">
        <v>46203</v>
      </c>
      <c r="J3957" s="17" t="n"/>
      <c r="K3957" t="inlineStr">
        <is>
          <t>Journal Posting OSGT  0000218783</t>
        </is>
      </c>
    </row>
    <row r="3958">
      <c r="A3958" t="inlineStr">
        <is>
          <t>102080</t>
        </is>
      </c>
      <c r="B3958" t="inlineStr">
        <is>
          <t>RECEITA FEDERAL DO BRASIL</t>
        </is>
      </c>
      <c r="C3958" t="n">
        <v>2111000000</v>
      </c>
      <c r="D3958" t="inlineStr">
        <is>
          <t>Customs Brokerage – Overall</t>
        </is>
      </c>
      <c r="E3958" t="n">
        <v>1400002360</v>
      </c>
      <c r="F3958" t="inlineStr">
        <is>
          <t>0000218795</t>
        </is>
      </c>
      <c r="G3958" t="inlineStr">
        <is>
          <t>JP</t>
        </is>
      </c>
      <c r="H3958" s="12" t="n">
        <v>0</v>
      </c>
      <c r="I3958" s="17" t="n">
        <v>46203</v>
      </c>
      <c r="J3958" s="17" t="n"/>
      <c r="K3958" t="inlineStr">
        <is>
          <t>Journal Posting OSGT  0000218795</t>
        </is>
      </c>
    </row>
    <row r="3959">
      <c r="A3959" t="inlineStr">
        <is>
          <t>102080</t>
        </is>
      </c>
      <c r="B3959" t="inlineStr">
        <is>
          <t>RECEITA FEDERAL DO BRASIL</t>
        </is>
      </c>
      <c r="C3959" t="n">
        <v>2111000000</v>
      </c>
      <c r="D3959" t="inlineStr">
        <is>
          <t>Customs Brokerage – Overall</t>
        </is>
      </c>
      <c r="E3959" t="n">
        <v>1400002365</v>
      </c>
      <c r="F3959" t="inlineStr">
        <is>
          <t>0000218579</t>
        </is>
      </c>
      <c r="G3959" t="inlineStr">
        <is>
          <t>JP</t>
        </is>
      </c>
      <c r="H3959" s="12" t="n">
        <v>0</v>
      </c>
      <c r="I3959" s="17" t="n">
        <v>46175</v>
      </c>
      <c r="J3959" s="17" t="n"/>
      <c r="K3959" t="inlineStr">
        <is>
          <t>Journal Posting OSGT  0000218579</t>
        </is>
      </c>
    </row>
    <row r="3960">
      <c r="A3960" t="inlineStr">
        <is>
          <t>102080</t>
        </is>
      </c>
      <c r="B3960" t="inlineStr">
        <is>
          <t>RECEITA FEDERAL DO BRASIL</t>
        </is>
      </c>
      <c r="C3960" t="n">
        <v>2111000000</v>
      </c>
      <c r="D3960" t="inlineStr">
        <is>
          <t>Customs Brokerage – Overall</t>
        </is>
      </c>
      <c r="E3960" t="n">
        <v>1400002366</v>
      </c>
      <c r="F3960" t="inlineStr">
        <is>
          <t>0000218586</t>
        </is>
      </c>
      <c r="G3960" t="inlineStr">
        <is>
          <t>JP</t>
        </is>
      </c>
      <c r="H3960" s="12" t="n">
        <v>0</v>
      </c>
      <c r="I3960" s="17" t="n">
        <v>46175</v>
      </c>
      <c r="J3960" s="17" t="n"/>
      <c r="K3960" t="inlineStr">
        <is>
          <t>Journal Posting OSGT  0000218586</t>
        </is>
      </c>
    </row>
    <row r="3961">
      <c r="A3961" t="inlineStr">
        <is>
          <t>102080</t>
        </is>
      </c>
      <c r="B3961" t="inlineStr">
        <is>
          <t>RECEITA FEDERAL DO BRASIL</t>
        </is>
      </c>
      <c r="C3961" t="n">
        <v>2111000000</v>
      </c>
      <c r="D3961" t="inlineStr">
        <is>
          <t>Customs Brokerage – Overall</t>
        </is>
      </c>
      <c r="E3961" t="n">
        <v>1400002404</v>
      </c>
      <c r="F3961" t="inlineStr">
        <is>
          <t>0000211043</t>
        </is>
      </c>
      <c r="G3961" t="inlineStr">
        <is>
          <t>JP</t>
        </is>
      </c>
      <c r="H3961" s="12" t="n">
        <v>0</v>
      </c>
      <c r="I3961" s="17" t="n">
        <v>46139</v>
      </c>
      <c r="J3961" s="17" t="n"/>
      <c r="K3961" t="inlineStr">
        <is>
          <t>Journal Posting OSGT  0000211043</t>
        </is>
      </c>
    </row>
    <row r="3962">
      <c r="A3962" t="inlineStr">
        <is>
          <t>102080</t>
        </is>
      </c>
      <c r="B3962" t="inlineStr">
        <is>
          <t>RECEITA FEDERAL DO BRASIL</t>
        </is>
      </c>
      <c r="C3962" t="n">
        <v>2111000000</v>
      </c>
      <c r="D3962" t="inlineStr">
        <is>
          <t>Customs Brokerage – Overall</t>
        </is>
      </c>
      <c r="E3962" t="n">
        <v>1400002469</v>
      </c>
      <c r="F3962" t="inlineStr">
        <is>
          <t>0000219630</t>
        </is>
      </c>
      <c r="G3962" t="inlineStr">
        <is>
          <t>JP</t>
        </is>
      </c>
      <c r="H3962" s="12" t="n">
        <v>0</v>
      </c>
      <c r="I3962" s="17" t="n">
        <v>46192</v>
      </c>
      <c r="J3962" s="17" t="n"/>
      <c r="K3962" t="inlineStr">
        <is>
          <t>Journal Posting OSGT  0000219630</t>
        </is>
      </c>
    </row>
    <row r="3963">
      <c r="A3963" t="inlineStr">
        <is>
          <t>102080</t>
        </is>
      </c>
      <c r="B3963" t="inlineStr">
        <is>
          <t>RECEITA FEDERAL DO BRASIL</t>
        </is>
      </c>
      <c r="C3963" t="n">
        <v>2111000000</v>
      </c>
      <c r="D3963" t="inlineStr">
        <is>
          <t>Customs Brokerage – Overall</t>
        </is>
      </c>
      <c r="E3963" t="n">
        <v>1400002533</v>
      </c>
      <c r="F3963" t="inlineStr">
        <is>
          <t>0000219637</t>
        </is>
      </c>
      <c r="G3963" t="inlineStr">
        <is>
          <t>JP</t>
        </is>
      </c>
      <c r="H3963" s="12" t="n">
        <v>0</v>
      </c>
      <c r="I3963" s="17" t="n">
        <v>46209</v>
      </c>
      <c r="J3963" s="17" t="n"/>
      <c r="K3963" t="inlineStr">
        <is>
          <t>Journal Posting OSGT  0000219637</t>
        </is>
      </c>
    </row>
    <row r="3964">
      <c r="A3964" t="inlineStr">
        <is>
          <t>102080</t>
        </is>
      </c>
      <c r="B3964" t="inlineStr">
        <is>
          <t>RECEITA FEDERAL DO BRASIL</t>
        </is>
      </c>
      <c r="C3964" t="n">
        <v>2111000000</v>
      </c>
      <c r="D3964" t="inlineStr">
        <is>
          <t>Customs Brokerage – Overall</t>
        </is>
      </c>
      <c r="E3964" t="n">
        <v>1400002555</v>
      </c>
      <c r="G3964" t="inlineStr">
        <is>
          <t>JP</t>
        </is>
      </c>
      <c r="H3964" s="12" t="n">
        <v>0</v>
      </c>
      <c r="I3964" s="17" t="n">
        <v>46155</v>
      </c>
      <c r="J3964" s="17" t="n"/>
      <c r="K3964" t="inlineStr">
        <is>
          <t>Journal Posting OSGT</t>
        </is>
      </c>
    </row>
    <row r="3965">
      <c r="A3965" t="inlineStr">
        <is>
          <t>102080</t>
        </is>
      </c>
      <c r="B3965" t="inlineStr">
        <is>
          <t>RECEITA FEDERAL DO BRASIL</t>
        </is>
      </c>
      <c r="C3965" t="n">
        <v>2111000000</v>
      </c>
      <c r="D3965" t="inlineStr">
        <is>
          <t>Customs Brokerage – Overall</t>
        </is>
      </c>
      <c r="E3965" t="n">
        <v>1400002573</v>
      </c>
      <c r="F3965" t="inlineStr">
        <is>
          <t>0000218921</t>
        </is>
      </c>
      <c r="G3965" t="inlineStr">
        <is>
          <t>JP</t>
        </is>
      </c>
      <c r="H3965" s="12" t="n">
        <v>0</v>
      </c>
      <c r="I3965" s="17" t="n">
        <v>46204</v>
      </c>
      <c r="J3965" s="17" t="n"/>
      <c r="K3965" t="inlineStr">
        <is>
          <t>Journal Posting OSGT  0000218921</t>
        </is>
      </c>
    </row>
    <row r="3966">
      <c r="A3966" t="inlineStr">
        <is>
          <t>102080</t>
        </is>
      </c>
      <c r="B3966" t="inlineStr">
        <is>
          <t>RECEITA FEDERAL DO BRASIL</t>
        </is>
      </c>
      <c r="C3966" t="n">
        <v>2111000000</v>
      </c>
      <c r="D3966" t="inlineStr">
        <is>
          <t>Customs Brokerage – Overall</t>
        </is>
      </c>
      <c r="E3966" t="n">
        <v>1400002577</v>
      </c>
      <c r="F3966" t="inlineStr">
        <is>
          <t>0000217774</t>
        </is>
      </c>
      <c r="G3966" t="inlineStr">
        <is>
          <t>JP</t>
        </is>
      </c>
      <c r="H3966" s="12" t="n">
        <v>0</v>
      </c>
      <c r="I3966" s="17" t="n">
        <v>46164</v>
      </c>
      <c r="J3966" s="17" t="n"/>
      <c r="K3966" t="inlineStr">
        <is>
          <t>Journal Posting OSGT  0000217774</t>
        </is>
      </c>
    </row>
    <row r="3967">
      <c r="A3967" t="inlineStr">
        <is>
          <t>102080</t>
        </is>
      </c>
      <c r="B3967" t="inlineStr">
        <is>
          <t>RECEITA FEDERAL DO BRASIL</t>
        </is>
      </c>
      <c r="C3967" t="n">
        <v>2111000000</v>
      </c>
      <c r="D3967" t="inlineStr">
        <is>
          <t>Customs Brokerage – Overall</t>
        </is>
      </c>
      <c r="E3967" t="n">
        <v>1400002595</v>
      </c>
      <c r="F3967" t="inlineStr">
        <is>
          <t>0000218688</t>
        </is>
      </c>
      <c r="G3967" t="inlineStr">
        <is>
          <t>JP</t>
        </is>
      </c>
      <c r="H3967" s="12" t="n">
        <v>0</v>
      </c>
      <c r="I3967" s="17" t="n">
        <v>46198</v>
      </c>
      <c r="J3967" s="17" t="n"/>
      <c r="K3967" t="inlineStr">
        <is>
          <t>Journal Posting OSGT  0000218688</t>
        </is>
      </c>
    </row>
    <row r="3968">
      <c r="A3968" t="inlineStr">
        <is>
          <t>102080</t>
        </is>
      </c>
      <c r="B3968" t="inlineStr">
        <is>
          <t>RECEITA FEDERAL DO BRASIL</t>
        </is>
      </c>
      <c r="C3968" t="n">
        <v>2111000000</v>
      </c>
      <c r="D3968" t="inlineStr">
        <is>
          <t>Customs Brokerage – Overall</t>
        </is>
      </c>
      <c r="E3968" t="n">
        <v>1400002622</v>
      </c>
      <c r="F3968" t="inlineStr">
        <is>
          <t>0000221252</t>
        </is>
      </c>
      <c r="G3968" t="inlineStr">
        <is>
          <t>JP</t>
        </is>
      </c>
      <c r="H3968" s="12" t="n">
        <v>0</v>
      </c>
      <c r="I3968" s="17" t="n">
        <v>46216</v>
      </c>
      <c r="J3968" s="17" t="n"/>
      <c r="K3968" t="inlineStr">
        <is>
          <t>Journal Posting OSGT  0000221252</t>
        </is>
      </c>
    </row>
    <row r="3969">
      <c r="A3969" t="inlineStr">
        <is>
          <t>102080</t>
        </is>
      </c>
      <c r="B3969" t="inlineStr">
        <is>
          <t>RECEITA FEDERAL DO BRASIL</t>
        </is>
      </c>
      <c r="C3969" t="n">
        <v>2111000000</v>
      </c>
      <c r="D3969" t="inlineStr">
        <is>
          <t>Customs Brokerage – Overall</t>
        </is>
      </c>
      <c r="E3969" t="n">
        <v>1400002664</v>
      </c>
      <c r="F3969" t="inlineStr">
        <is>
          <t>0000219671</t>
        </is>
      </c>
      <c r="G3969" t="inlineStr">
        <is>
          <t>JP</t>
        </is>
      </c>
      <c r="H3969" s="12" t="n">
        <v>0</v>
      </c>
      <c r="I3969" s="17" t="n">
        <v>46197</v>
      </c>
      <c r="J3969" s="17" t="n"/>
      <c r="K3969" t="inlineStr">
        <is>
          <t>Journal Posting OSGT  0000219671</t>
        </is>
      </c>
    </row>
    <row r="3970">
      <c r="A3970" t="inlineStr">
        <is>
          <t>102080</t>
        </is>
      </c>
      <c r="B3970" t="inlineStr">
        <is>
          <t>RECEITA FEDERAL DO BRASIL</t>
        </is>
      </c>
      <c r="C3970" t="n">
        <v>2111000000</v>
      </c>
      <c r="D3970" t="inlineStr">
        <is>
          <t>Customs Brokerage – Overall</t>
        </is>
      </c>
      <c r="E3970" t="n">
        <v>1400002675</v>
      </c>
      <c r="F3970" t="inlineStr">
        <is>
          <t>0000221977</t>
        </is>
      </c>
      <c r="G3970" t="inlineStr">
        <is>
          <t>JP</t>
        </is>
      </c>
      <c r="H3970" s="12" t="n">
        <v>0</v>
      </c>
      <c r="I3970" s="17" t="n">
        <v>46226</v>
      </c>
      <c r="J3970" s="17" t="n"/>
      <c r="K3970" t="inlineStr">
        <is>
          <t>Journal Posting OSGT  0000221977</t>
        </is>
      </c>
    </row>
    <row r="3971">
      <c r="A3971" t="inlineStr">
        <is>
          <t>102080</t>
        </is>
      </c>
      <c r="B3971" t="inlineStr">
        <is>
          <t>RECEITA FEDERAL DO BRASIL</t>
        </is>
      </c>
      <c r="C3971" t="n">
        <v>2111000000</v>
      </c>
      <c r="D3971" t="inlineStr">
        <is>
          <t>Customs Brokerage – Overall</t>
        </is>
      </c>
      <c r="E3971" t="n">
        <v>1400002678</v>
      </c>
      <c r="F3971" t="inlineStr">
        <is>
          <t>0000221436</t>
        </is>
      </c>
      <c r="G3971" t="inlineStr">
        <is>
          <t>JP</t>
        </is>
      </c>
      <c r="H3971" s="12" t="n">
        <v>0</v>
      </c>
      <c r="I3971" s="17" t="n">
        <v>46219</v>
      </c>
      <c r="J3971" s="17" t="n"/>
      <c r="K3971" t="inlineStr">
        <is>
          <t>Journal Posting OSGT  0000221436</t>
        </is>
      </c>
    </row>
    <row r="3972">
      <c r="A3972" t="inlineStr">
        <is>
          <t>102080</t>
        </is>
      </c>
      <c r="B3972" t="inlineStr">
        <is>
          <t>RECEITA FEDERAL DO BRASIL</t>
        </is>
      </c>
      <c r="C3972" t="n">
        <v>2111000000</v>
      </c>
      <c r="D3972" t="inlineStr">
        <is>
          <t>Customs Brokerage – Overall</t>
        </is>
      </c>
      <c r="E3972" t="n">
        <v>1400002697</v>
      </c>
      <c r="F3972" t="inlineStr">
        <is>
          <t>0000221948</t>
        </is>
      </c>
      <c r="G3972" t="inlineStr">
        <is>
          <t>JP</t>
        </is>
      </c>
      <c r="H3972" s="12" t="n">
        <v>0</v>
      </c>
      <c r="I3972" s="17" t="n">
        <v>46217</v>
      </c>
      <c r="J3972" s="17" t="n"/>
      <c r="K3972" t="inlineStr">
        <is>
          <t>Journal Posting OSGT  0000221948</t>
        </is>
      </c>
    </row>
    <row r="3973">
      <c r="A3973" t="inlineStr">
        <is>
          <t>102080</t>
        </is>
      </c>
      <c r="B3973" t="inlineStr">
        <is>
          <t>RECEITA FEDERAL DO BRASIL</t>
        </is>
      </c>
      <c r="C3973" t="n">
        <v>2111000000</v>
      </c>
      <c r="D3973" t="inlineStr">
        <is>
          <t>Customs Brokerage – Overall</t>
        </is>
      </c>
      <c r="E3973" t="n">
        <v>1400002701</v>
      </c>
      <c r="F3973" t="inlineStr">
        <is>
          <t>0000221215</t>
        </is>
      </c>
      <c r="G3973" t="inlineStr">
        <is>
          <t>JP</t>
        </is>
      </c>
      <c r="H3973" s="12" t="n">
        <v>0</v>
      </c>
      <c r="I3973" s="17" t="n">
        <v>46213</v>
      </c>
      <c r="J3973" s="17" t="n"/>
      <c r="K3973" t="inlineStr">
        <is>
          <t>Journal Posting OSGT  0000221215</t>
        </is>
      </c>
    </row>
    <row r="3974">
      <c r="A3974" t="inlineStr">
        <is>
          <t>102080</t>
        </is>
      </c>
      <c r="B3974" t="inlineStr">
        <is>
          <t>RECEITA FEDERAL DO BRASIL</t>
        </is>
      </c>
      <c r="C3974" t="n">
        <v>2111000000</v>
      </c>
      <c r="D3974" t="inlineStr">
        <is>
          <t>Customs Brokerage – Overall</t>
        </is>
      </c>
      <c r="E3974" t="n">
        <v>1400002705</v>
      </c>
      <c r="F3974" t="inlineStr">
        <is>
          <t>0000221312</t>
        </is>
      </c>
      <c r="G3974" t="inlineStr">
        <is>
          <t>JP</t>
        </is>
      </c>
      <c r="H3974" s="12" t="n">
        <v>0</v>
      </c>
      <c r="I3974" s="17" t="n">
        <v>46209</v>
      </c>
      <c r="J3974" s="17" t="n"/>
      <c r="K3974" t="inlineStr">
        <is>
          <t>Journal Posting OSGT  0000221312</t>
        </is>
      </c>
    </row>
    <row r="3975">
      <c r="A3975" t="inlineStr">
        <is>
          <t>102080</t>
        </is>
      </c>
      <c r="B3975" t="inlineStr">
        <is>
          <t>RECEITA FEDERAL DO BRASIL</t>
        </is>
      </c>
      <c r="C3975" t="n">
        <v>2111000000</v>
      </c>
      <c r="D3975" t="inlineStr">
        <is>
          <t>Customs Brokerage – Overall</t>
        </is>
      </c>
      <c r="E3975" t="n">
        <v>1400002710</v>
      </c>
      <c r="F3975" t="inlineStr">
        <is>
          <t>0000218631</t>
        </is>
      </c>
      <c r="G3975" t="inlineStr">
        <is>
          <t>JP</t>
        </is>
      </c>
      <c r="H3975" s="12" t="n">
        <v>0</v>
      </c>
      <c r="I3975" s="17" t="n">
        <v>46191</v>
      </c>
      <c r="J3975" s="17" t="n"/>
      <c r="K3975" t="inlineStr">
        <is>
          <t>Journal Posting OSGT  0000218631</t>
        </is>
      </c>
    </row>
    <row r="3976">
      <c r="A3976" t="inlineStr">
        <is>
          <t>102080</t>
        </is>
      </c>
      <c r="B3976" t="inlineStr">
        <is>
          <t>RECEITA FEDERAL DO BRASIL</t>
        </is>
      </c>
      <c r="C3976" t="n">
        <v>2111000000</v>
      </c>
      <c r="D3976" t="inlineStr">
        <is>
          <t>Customs Brokerage – Overall</t>
        </is>
      </c>
      <c r="E3976" t="n">
        <v>1400002776</v>
      </c>
      <c r="F3976" t="inlineStr">
        <is>
          <t>0000218886</t>
        </is>
      </c>
      <c r="G3976" t="inlineStr">
        <is>
          <t>JP</t>
        </is>
      </c>
      <c r="H3976" s="12" t="n">
        <v>0</v>
      </c>
      <c r="I3976" s="17" t="n">
        <v>46204</v>
      </c>
      <c r="J3976" s="17" t="n"/>
      <c r="K3976" t="inlineStr">
        <is>
          <t>Journal Posting OSGT  0000218886</t>
        </is>
      </c>
    </row>
    <row r="3977">
      <c r="A3977" t="inlineStr">
        <is>
          <t>102080</t>
        </is>
      </c>
      <c r="B3977" t="inlineStr">
        <is>
          <t>RECEITA FEDERAL DO BRASIL</t>
        </is>
      </c>
      <c r="C3977" t="n">
        <v>2111000000</v>
      </c>
      <c r="D3977" t="inlineStr">
        <is>
          <t>Customs Brokerage – Overall</t>
        </is>
      </c>
      <c r="E3977" t="n">
        <v>1400002779</v>
      </c>
      <c r="G3977" t="inlineStr">
        <is>
          <t>JP</t>
        </is>
      </c>
      <c r="H3977" s="12" t="n">
        <v>0</v>
      </c>
      <c r="I3977" s="17" t="n">
        <v>46155</v>
      </c>
      <c r="J3977" s="17" t="n"/>
      <c r="K3977" t="inlineStr">
        <is>
          <t>Journal Posting OSGT</t>
        </is>
      </c>
    </row>
    <row r="3978">
      <c r="A3978" t="inlineStr">
        <is>
          <t>102080</t>
        </is>
      </c>
      <c r="B3978" t="inlineStr">
        <is>
          <t>RECEITA FEDERAL DO BRASIL</t>
        </is>
      </c>
      <c r="C3978" t="n">
        <v>2111000000</v>
      </c>
      <c r="D3978" t="inlineStr">
        <is>
          <t>Customs Brokerage – Overall</t>
        </is>
      </c>
      <c r="E3978" t="n">
        <v>1400002788</v>
      </c>
      <c r="F3978" t="inlineStr">
        <is>
          <t>0000221239</t>
        </is>
      </c>
      <c r="G3978" t="inlineStr">
        <is>
          <t>JP</t>
        </is>
      </c>
      <c r="H3978" s="12" t="n">
        <v>0</v>
      </c>
      <c r="I3978" s="17" t="n">
        <v>46206</v>
      </c>
      <c r="J3978" s="17" t="n"/>
      <c r="K3978" t="inlineStr">
        <is>
          <t>Journal Posting OSGT  0000221239</t>
        </is>
      </c>
    </row>
    <row r="3979">
      <c r="A3979" t="inlineStr">
        <is>
          <t>102080</t>
        </is>
      </c>
      <c r="B3979" t="inlineStr">
        <is>
          <t>RECEITA FEDERAL DO BRASIL</t>
        </is>
      </c>
      <c r="C3979" t="n">
        <v>2111000000</v>
      </c>
      <c r="D3979" t="inlineStr">
        <is>
          <t>Customs Brokerage – Overall</t>
        </is>
      </c>
      <c r="E3979" t="n">
        <v>1400002813</v>
      </c>
      <c r="F3979" t="inlineStr">
        <is>
          <t>0000221434</t>
        </is>
      </c>
      <c r="G3979" t="inlineStr">
        <is>
          <t>JP</t>
        </is>
      </c>
      <c r="H3979" s="12" t="n">
        <v>0</v>
      </c>
      <c r="I3979" s="17" t="n">
        <v>46219</v>
      </c>
      <c r="J3979" s="17" t="n"/>
      <c r="K3979" t="inlineStr">
        <is>
          <t>Journal Posting OSGT  0000221434</t>
        </is>
      </c>
    </row>
    <row r="3980">
      <c r="A3980" t="inlineStr">
        <is>
          <t>102080</t>
        </is>
      </c>
      <c r="B3980" t="inlineStr">
        <is>
          <t>RECEITA FEDERAL DO BRASIL</t>
        </is>
      </c>
      <c r="C3980" t="n">
        <v>2111000000</v>
      </c>
      <c r="D3980" t="inlineStr">
        <is>
          <t>Customs Brokerage – Overall</t>
        </is>
      </c>
      <c r="E3980" t="n">
        <v>1400002823</v>
      </c>
      <c r="F3980" t="inlineStr">
        <is>
          <t>0000221944</t>
        </is>
      </c>
      <c r="G3980" t="inlineStr">
        <is>
          <t>JP</t>
        </is>
      </c>
      <c r="H3980" s="12" t="n">
        <v>0</v>
      </c>
      <c r="I3980" s="17" t="n">
        <v>46213</v>
      </c>
      <c r="J3980" s="17" t="n"/>
      <c r="K3980" t="inlineStr">
        <is>
          <t>Journal Posting OSGT  0000221944</t>
        </is>
      </c>
    </row>
    <row r="3981">
      <c r="A3981" t="inlineStr">
        <is>
          <t>102080</t>
        </is>
      </c>
      <c r="B3981" t="inlineStr">
        <is>
          <t>RECEITA FEDERAL DO BRASIL</t>
        </is>
      </c>
      <c r="C3981" t="n">
        <v>2111000000</v>
      </c>
      <c r="D3981" t="inlineStr">
        <is>
          <t>Customs Brokerage – Overall</t>
        </is>
      </c>
      <c r="E3981" t="n">
        <v>1400002827</v>
      </c>
      <c r="F3981" t="inlineStr">
        <is>
          <t>0000218854</t>
        </is>
      </c>
      <c r="G3981" t="inlineStr">
        <is>
          <t>JP</t>
        </is>
      </c>
      <c r="H3981" s="12" t="n">
        <v>0</v>
      </c>
      <c r="I3981" s="17" t="n">
        <v>46204</v>
      </c>
      <c r="J3981" s="17" t="n"/>
      <c r="K3981" t="inlineStr">
        <is>
          <t>Journal Posting OSGT  0000218854</t>
        </is>
      </c>
    </row>
    <row r="3982">
      <c r="A3982" t="inlineStr">
        <is>
          <t>102080</t>
        </is>
      </c>
      <c r="B3982" t="inlineStr">
        <is>
          <t>RECEITA FEDERAL DO BRASIL</t>
        </is>
      </c>
      <c r="C3982" t="n">
        <v>2111000000</v>
      </c>
      <c r="D3982" t="inlineStr">
        <is>
          <t>Customs Brokerage – Overall</t>
        </is>
      </c>
      <c r="E3982" t="n">
        <v>1400002855</v>
      </c>
      <c r="F3982" t="inlineStr">
        <is>
          <t>0000221381</t>
        </is>
      </c>
      <c r="G3982" t="inlineStr">
        <is>
          <t>JP</t>
        </is>
      </c>
      <c r="H3982" s="12" t="n">
        <v>0</v>
      </c>
      <c r="I3982" s="17" t="n">
        <v>46218</v>
      </c>
      <c r="J3982" s="17" t="n"/>
      <c r="K3982" t="inlineStr">
        <is>
          <t>Journal Posting OSGT  0000221381</t>
        </is>
      </c>
    </row>
    <row r="3983">
      <c r="A3983" t="inlineStr">
        <is>
          <t>102080</t>
        </is>
      </c>
      <c r="B3983" t="inlineStr">
        <is>
          <t>RECEITA FEDERAL DO BRASIL</t>
        </is>
      </c>
      <c r="C3983" t="n">
        <v>2111000000</v>
      </c>
      <c r="D3983" t="inlineStr">
        <is>
          <t>Customs Brokerage – Overall</t>
        </is>
      </c>
      <c r="E3983" t="n">
        <v>1400002871</v>
      </c>
      <c r="F3983" t="inlineStr">
        <is>
          <t>0000221908</t>
        </is>
      </c>
      <c r="G3983" t="inlineStr">
        <is>
          <t>JP</t>
        </is>
      </c>
      <c r="H3983" s="12" t="n">
        <v>0</v>
      </c>
      <c r="I3983" s="17" t="n">
        <v>46220</v>
      </c>
      <c r="J3983" s="17" t="n"/>
      <c r="K3983" t="inlineStr">
        <is>
          <t>Journal Posting OSGT  0000221908</t>
        </is>
      </c>
    </row>
    <row r="3984">
      <c r="A3984" t="inlineStr">
        <is>
          <t>102080</t>
        </is>
      </c>
      <c r="B3984" t="inlineStr">
        <is>
          <t>RECEITA FEDERAL DO BRASIL</t>
        </is>
      </c>
      <c r="C3984" t="n">
        <v>2111000000</v>
      </c>
      <c r="D3984" t="inlineStr">
        <is>
          <t>Customs Brokerage – Overall</t>
        </is>
      </c>
      <c r="E3984" t="n">
        <v>1400002895</v>
      </c>
      <c r="F3984" t="inlineStr">
        <is>
          <t>0000221936</t>
        </is>
      </c>
      <c r="G3984" t="inlineStr">
        <is>
          <t>JP</t>
        </is>
      </c>
      <c r="H3984" s="12" t="n">
        <v>0</v>
      </c>
      <c r="I3984" s="17" t="n">
        <v>46213</v>
      </c>
      <c r="J3984" s="17" t="n"/>
      <c r="K3984" t="inlineStr">
        <is>
          <t>Journal Posting OSGT  0000221936</t>
        </is>
      </c>
    </row>
    <row r="3985">
      <c r="A3985" t="inlineStr">
        <is>
          <t>102080</t>
        </is>
      </c>
      <c r="B3985" t="inlineStr">
        <is>
          <t>RECEITA FEDERAL DO BRASIL</t>
        </is>
      </c>
      <c r="C3985" t="n">
        <v>2111000000</v>
      </c>
      <c r="D3985" t="inlineStr">
        <is>
          <t>Customs Brokerage – Overall</t>
        </is>
      </c>
      <c r="E3985" t="n">
        <v>1400002902</v>
      </c>
      <c r="F3985" t="inlineStr">
        <is>
          <t>0000218826</t>
        </is>
      </c>
      <c r="G3985" t="inlineStr">
        <is>
          <t>JP</t>
        </is>
      </c>
      <c r="H3985" s="12" t="n">
        <v>0</v>
      </c>
      <c r="I3985" s="17" t="n">
        <v>46191</v>
      </c>
      <c r="J3985" s="17" t="n"/>
      <c r="K3985" t="inlineStr">
        <is>
          <t>Journal Posting OSGT  0000218826</t>
        </is>
      </c>
    </row>
    <row r="3986">
      <c r="A3986" t="inlineStr">
        <is>
          <t>102080</t>
        </is>
      </c>
      <c r="B3986" t="inlineStr">
        <is>
          <t>RECEITA FEDERAL DO BRASIL</t>
        </is>
      </c>
      <c r="C3986" t="n">
        <v>2111000000</v>
      </c>
      <c r="D3986" t="inlineStr">
        <is>
          <t>Customs Brokerage – Overall</t>
        </is>
      </c>
      <c r="E3986" t="n">
        <v>1400002904</v>
      </c>
      <c r="F3986" t="inlineStr">
        <is>
          <t>0000221408</t>
        </is>
      </c>
      <c r="G3986" t="inlineStr">
        <is>
          <t>JP</t>
        </is>
      </c>
      <c r="H3986" s="12" t="n">
        <v>0</v>
      </c>
      <c r="I3986" s="17" t="n">
        <v>46211</v>
      </c>
      <c r="J3986" s="17" t="n"/>
      <c r="K3986" t="inlineStr">
        <is>
          <t>Journal Posting OSGT  0000221408</t>
        </is>
      </c>
    </row>
    <row r="3987">
      <c r="A3987" t="inlineStr">
        <is>
          <t>102080</t>
        </is>
      </c>
      <c r="B3987" t="inlineStr">
        <is>
          <t>RECEITA FEDERAL DO BRASIL</t>
        </is>
      </c>
      <c r="C3987" t="n">
        <v>2111000000</v>
      </c>
      <c r="D3987" t="inlineStr">
        <is>
          <t>Customs Brokerage – Overall</t>
        </is>
      </c>
      <c r="E3987" t="n">
        <v>1400002922</v>
      </c>
      <c r="F3987" t="inlineStr">
        <is>
          <t>0000221230</t>
        </is>
      </c>
      <c r="G3987" t="inlineStr">
        <is>
          <t>JP</t>
        </is>
      </c>
      <c r="H3987" s="12" t="n">
        <v>0</v>
      </c>
      <c r="I3987" s="17" t="n">
        <v>46206</v>
      </c>
      <c r="J3987" s="17" t="n"/>
      <c r="K3987" t="inlineStr">
        <is>
          <t>Journal Posting OSGT  0000221230</t>
        </is>
      </c>
    </row>
    <row r="3988">
      <c r="A3988" t="inlineStr">
        <is>
          <t>102080</t>
        </is>
      </c>
      <c r="B3988" t="inlineStr">
        <is>
          <t>RECEITA FEDERAL DO BRASIL</t>
        </is>
      </c>
      <c r="C3988" t="n">
        <v>2111000000</v>
      </c>
      <c r="D3988" t="inlineStr">
        <is>
          <t>Customs Brokerage – Overall</t>
        </is>
      </c>
      <c r="E3988" t="n">
        <v>1400003066</v>
      </c>
      <c r="F3988" t="inlineStr">
        <is>
          <t>0000223085</t>
        </is>
      </c>
      <c r="G3988" t="inlineStr">
        <is>
          <t>JP</t>
        </is>
      </c>
      <c r="H3988" s="12" t="n">
        <v>0</v>
      </c>
      <c r="I3988" s="17" t="n">
        <v>46237</v>
      </c>
      <c r="J3988" s="17" t="n"/>
      <c r="K3988" t="inlineStr">
        <is>
          <t>Journal Posting OSGT  0000223085</t>
        </is>
      </c>
    </row>
    <row r="3989">
      <c r="A3989" t="inlineStr">
        <is>
          <t>102080</t>
        </is>
      </c>
      <c r="B3989" t="inlineStr">
        <is>
          <t>RECEITA FEDERAL DO BRASIL</t>
        </is>
      </c>
      <c r="C3989" t="n">
        <v>2111000000</v>
      </c>
      <c r="D3989" t="inlineStr">
        <is>
          <t>Customs Brokerage – Overall</t>
        </is>
      </c>
      <c r="E3989" t="n">
        <v>1400003176</v>
      </c>
      <c r="F3989" t="inlineStr">
        <is>
          <t>0000225200</t>
        </is>
      </c>
      <c r="G3989" t="inlineStr">
        <is>
          <t>JP</t>
        </is>
      </c>
      <c r="H3989" s="12" t="n">
        <v>0</v>
      </c>
      <c r="I3989" s="17" t="n">
        <v>46237</v>
      </c>
      <c r="J3989" s="17" t="n"/>
      <c r="K3989" t="inlineStr">
        <is>
          <t>Journal Posting OSGT  0000225200</t>
        </is>
      </c>
    </row>
    <row r="3990">
      <c r="A3990" t="inlineStr">
        <is>
          <t>102080</t>
        </is>
      </c>
      <c r="B3990" t="inlineStr">
        <is>
          <t>RECEITA FEDERAL DO BRASIL</t>
        </is>
      </c>
      <c r="C3990" t="n">
        <v>2111000000</v>
      </c>
      <c r="D3990" t="inlineStr">
        <is>
          <t>Customs Brokerage – Overall</t>
        </is>
      </c>
      <c r="E3990" t="n">
        <v>1400003185</v>
      </c>
      <c r="G3990" t="inlineStr">
        <is>
          <t>JP</t>
        </is>
      </c>
      <c r="H3990" s="12" t="n">
        <v>0</v>
      </c>
      <c r="I3990" s="17" t="n">
        <v>46206</v>
      </c>
      <c r="J3990" s="17" t="n"/>
      <c r="K3990" t="inlineStr">
        <is>
          <t>Journal Posting OSGT</t>
        </is>
      </c>
    </row>
    <row r="3991">
      <c r="A3991" t="inlineStr">
        <is>
          <t>102080</t>
        </is>
      </c>
      <c r="B3991" t="inlineStr">
        <is>
          <t>RECEITA FEDERAL DO BRASIL</t>
        </is>
      </c>
      <c r="C3991" t="n">
        <v>2111000000</v>
      </c>
      <c r="D3991" t="inlineStr">
        <is>
          <t>Customs Brokerage – Overall</t>
        </is>
      </c>
      <c r="E3991" t="n">
        <v>1400003193</v>
      </c>
      <c r="F3991" t="inlineStr">
        <is>
          <t>0000221302</t>
        </is>
      </c>
      <c r="G3991" t="inlineStr">
        <is>
          <t>JP</t>
        </is>
      </c>
      <c r="H3991" s="12" t="n">
        <v>0</v>
      </c>
      <c r="I3991" s="17" t="n">
        <v>46216</v>
      </c>
      <c r="J3991" s="17" t="n"/>
      <c r="K3991" t="inlineStr">
        <is>
          <t>Journal Posting OSGT  0000221302</t>
        </is>
      </c>
    </row>
    <row r="3992">
      <c r="A3992" t="inlineStr">
        <is>
          <t>102080</t>
        </is>
      </c>
      <c r="B3992" t="inlineStr">
        <is>
          <t>RECEITA FEDERAL DO BRASIL</t>
        </is>
      </c>
      <c r="C3992" t="n">
        <v>2111000000</v>
      </c>
      <c r="D3992" t="inlineStr">
        <is>
          <t>Customs Brokerage – Overall</t>
        </is>
      </c>
      <c r="E3992" t="n">
        <v>1400003230</v>
      </c>
      <c r="F3992" t="inlineStr">
        <is>
          <t>0000225751</t>
        </is>
      </c>
      <c r="G3992" t="inlineStr">
        <is>
          <t>JP</t>
        </is>
      </c>
      <c r="H3992" s="12" t="n">
        <v>0</v>
      </c>
      <c r="I3992" s="17" t="n">
        <v>46252</v>
      </c>
      <c r="J3992" s="17" t="n"/>
      <c r="K3992" t="inlineStr">
        <is>
          <t>Journal Posting OSGT  0000225751</t>
        </is>
      </c>
    </row>
    <row r="3993">
      <c r="A3993" t="inlineStr">
        <is>
          <t>102080</t>
        </is>
      </c>
      <c r="B3993" t="inlineStr">
        <is>
          <t>RECEITA FEDERAL DO BRASIL</t>
        </is>
      </c>
      <c r="C3993" t="n">
        <v>2111000000</v>
      </c>
      <c r="D3993" t="inlineStr">
        <is>
          <t>Customs Brokerage – Overall</t>
        </is>
      </c>
      <c r="E3993" t="n">
        <v>1400003237</v>
      </c>
      <c r="F3993" t="inlineStr">
        <is>
          <t>0000223099</t>
        </is>
      </c>
      <c r="G3993" t="inlineStr">
        <is>
          <t>JP</t>
        </is>
      </c>
      <c r="H3993" s="12" t="n">
        <v>0</v>
      </c>
      <c r="I3993" s="17" t="n">
        <v>46232</v>
      </c>
      <c r="J3993" s="17" t="n"/>
      <c r="K3993" t="inlineStr">
        <is>
          <t>Journal Posting OSGT  0000223099</t>
        </is>
      </c>
    </row>
    <row r="3994">
      <c r="A3994" t="inlineStr">
        <is>
          <t>102080</t>
        </is>
      </c>
      <c r="B3994" t="inlineStr">
        <is>
          <t>RECEITA FEDERAL DO BRASIL</t>
        </is>
      </c>
      <c r="C3994" t="n">
        <v>2111000000</v>
      </c>
      <c r="D3994" t="inlineStr">
        <is>
          <t>Customs Brokerage – Overall</t>
        </is>
      </c>
      <c r="E3994" t="n">
        <v>1400003259</v>
      </c>
      <c r="F3994" t="inlineStr">
        <is>
          <t>0000225759</t>
        </is>
      </c>
      <c r="G3994" t="inlineStr">
        <is>
          <t>JP</t>
        </is>
      </c>
      <c r="H3994" s="12" t="n">
        <v>0</v>
      </c>
      <c r="I3994" s="17" t="n">
        <v>46241</v>
      </c>
      <c r="J3994" s="17" t="n"/>
      <c r="K3994" t="inlineStr">
        <is>
          <t>Journal Posting OSGT  0000225759</t>
        </is>
      </c>
    </row>
    <row r="3995">
      <c r="A3995" t="inlineStr">
        <is>
          <t>102080</t>
        </is>
      </c>
      <c r="B3995" t="inlineStr">
        <is>
          <t>RECEITA FEDERAL DO BRASIL</t>
        </is>
      </c>
      <c r="C3995" t="n">
        <v>2111000000</v>
      </c>
      <c r="D3995" t="inlineStr">
        <is>
          <t>Customs Brokerage – Overall</t>
        </is>
      </c>
      <c r="E3995" t="n">
        <v>1400003267</v>
      </c>
      <c r="F3995" t="inlineStr">
        <is>
          <t>0000225769</t>
        </is>
      </c>
      <c r="G3995" t="inlineStr">
        <is>
          <t>JP</t>
        </is>
      </c>
      <c r="H3995" s="12" t="n">
        <v>0</v>
      </c>
      <c r="I3995" s="17" t="n">
        <v>46240</v>
      </c>
      <c r="J3995" s="17" t="n"/>
      <c r="K3995" t="inlineStr">
        <is>
          <t>Journal Posting OSGT  0000225769</t>
        </is>
      </c>
    </row>
    <row r="3996">
      <c r="A3996" t="inlineStr">
        <is>
          <t>102080</t>
        </is>
      </c>
      <c r="B3996" t="inlineStr">
        <is>
          <t>RECEITA FEDERAL DO BRASIL</t>
        </is>
      </c>
      <c r="C3996" t="n">
        <v>2111000000</v>
      </c>
      <c r="D3996" t="inlineStr">
        <is>
          <t>Customs Brokerage – Overall</t>
        </is>
      </c>
      <c r="E3996" t="n">
        <v>1400003287</v>
      </c>
      <c r="F3996" t="inlineStr">
        <is>
          <t>0000226265</t>
        </is>
      </c>
      <c r="G3996" t="inlineStr">
        <is>
          <t>JP</t>
        </is>
      </c>
      <c r="H3996" s="12" t="n">
        <v>0</v>
      </c>
      <c r="I3996" s="17" t="n">
        <v>46247</v>
      </c>
      <c r="J3996" s="17" t="n"/>
      <c r="K3996" t="inlineStr">
        <is>
          <t>Journal Posting OSGT  0000226265</t>
        </is>
      </c>
    </row>
    <row r="3997">
      <c r="A3997" t="inlineStr">
        <is>
          <t>102080</t>
        </is>
      </c>
      <c r="B3997" t="inlineStr">
        <is>
          <t>RECEITA FEDERAL DO BRASIL</t>
        </is>
      </c>
      <c r="C3997" t="n">
        <v>2111000000</v>
      </c>
      <c r="D3997" t="inlineStr">
        <is>
          <t>Customs Brokerage – Overall</t>
        </is>
      </c>
      <c r="E3997" t="n">
        <v>1400003292</v>
      </c>
      <c r="F3997" t="inlineStr">
        <is>
          <t>0000225779</t>
        </is>
      </c>
      <c r="G3997" t="inlineStr">
        <is>
          <t>JP</t>
        </is>
      </c>
      <c r="H3997" s="12" t="n">
        <v>0</v>
      </c>
      <c r="I3997" s="17" t="n">
        <v>46240</v>
      </c>
      <c r="J3997" s="17" t="n"/>
      <c r="K3997" t="inlineStr">
        <is>
          <t>Journal Posting OSGT  0000225779</t>
        </is>
      </c>
    </row>
    <row r="3998">
      <c r="A3998" t="inlineStr">
        <is>
          <t>101763</t>
        </is>
      </c>
      <c r="B3998" t="inlineStr">
        <is>
          <t>MUNICIPIO DE LAGOA DO BARRO DO PIAU</t>
        </is>
      </c>
      <c r="C3998" t="n">
        <v>2111000000</v>
      </c>
      <c r="D3998" t="inlineStr">
        <is>
          <t>Taxes Payable</t>
        </is>
      </c>
      <c r="E3998" t="n">
        <v>1900000258</v>
      </c>
      <c r="F3998" t="inlineStr">
        <is>
          <t>0012</t>
        </is>
      </c>
      <c r="G3998" t="inlineStr">
        <is>
          <t>ZT</t>
        </is>
      </c>
      <c r="H3998" s="12" t="n">
        <v>-9975.82</v>
      </c>
      <c r="I3998" s="17" t="n">
        <v>45838</v>
      </c>
      <c r="J3998" s="17" t="n">
        <v>45636</v>
      </c>
      <c r="K3998" t="inlineStr">
        <is>
          <t>ISS Retido - Fornecedores</t>
        </is>
      </c>
    </row>
    <row r="3999">
      <c r="A3999" t="inlineStr">
        <is>
          <t>101763</t>
        </is>
      </c>
      <c r="B3999" t="inlineStr">
        <is>
          <t>MUNICIPIO DE LAGOA DO BARRO DO PIAU</t>
        </is>
      </c>
      <c r="C3999" t="n">
        <v>2111000000</v>
      </c>
      <c r="D3999" t="inlineStr">
        <is>
          <t>Taxes Payable</t>
        </is>
      </c>
      <c r="E3999" t="n">
        <v>1900000259</v>
      </c>
      <c r="F3999" t="inlineStr">
        <is>
          <t>0012</t>
        </is>
      </c>
      <c r="G3999" t="inlineStr">
        <is>
          <t>ZT</t>
        </is>
      </c>
      <c r="H3999" s="12" t="n">
        <v>-33964.15</v>
      </c>
      <c r="I3999" s="17" t="n">
        <v>45838</v>
      </c>
      <c r="J3999" s="17" t="n">
        <v>45839</v>
      </c>
      <c r="K3999" t="inlineStr">
        <is>
          <t>ISS Retido - Fornecedores</t>
        </is>
      </c>
    </row>
    <row r="4000">
      <c r="A4000" t="inlineStr">
        <is>
          <t>100759</t>
        </is>
      </c>
      <c r="B4000" t="inlineStr">
        <is>
          <t>MUNICIPIO DE UIBAI</t>
        </is>
      </c>
      <c r="C4000" t="n">
        <v>2111000000</v>
      </c>
      <c r="D4000" t="inlineStr">
        <is>
          <t>Taxes Payable</t>
        </is>
      </c>
      <c r="E4000" t="n">
        <v>1900000351</v>
      </c>
      <c r="F4000" t="inlineStr">
        <is>
          <t>0016</t>
        </is>
      </c>
      <c r="G4000" t="inlineStr">
        <is>
          <t>ZT</t>
        </is>
      </c>
      <c r="H4000" s="12" t="n">
        <v>-1003.4</v>
      </c>
      <c r="I4000" s="17" t="n">
        <v>46204</v>
      </c>
      <c r="J4000" s="17" t="n">
        <v>46213</v>
      </c>
      <c r="K4000" t="inlineStr">
        <is>
          <t>ISS Retido - Fornecedores</t>
        </is>
      </c>
    </row>
    <row r="4001">
      <c r="A4001" t="inlineStr">
        <is>
          <t>104069</t>
        </is>
      </c>
      <c r="B4001" t="inlineStr">
        <is>
          <t>MUNICIPIO DE POCINHOS 08741688000172</t>
        </is>
      </c>
      <c r="C4001" t="n">
        <v>2111000000</v>
      </c>
      <c r="D4001" t="inlineStr">
        <is>
          <t>Taxes Payable</t>
        </is>
      </c>
      <c r="E4001" t="n">
        <v>1900000386</v>
      </c>
      <c r="F4001" t="inlineStr">
        <is>
          <t>0024</t>
        </is>
      </c>
      <c r="G4001" t="inlineStr">
        <is>
          <t>ZT</t>
        </is>
      </c>
      <c r="H4001" s="12" t="n">
        <v>-28027.99</v>
      </c>
      <c r="I4001" s="17" t="n">
        <v>45915</v>
      </c>
      <c r="J4001" s="17" t="n">
        <v>45910</v>
      </c>
      <c r="K4001" t="inlineStr">
        <is>
          <t>ISS Retido - Fornecedores</t>
        </is>
      </c>
    </row>
    <row r="4002">
      <c r="A4002" t="inlineStr">
        <is>
          <t>101700</t>
        </is>
      </c>
      <c r="B4002" t="inlineStr">
        <is>
          <t>MUNICIPIO DE MULUNGU DO MORRO</t>
        </is>
      </c>
      <c r="C4002" t="n">
        <v>2111000000</v>
      </c>
      <c r="D4002" t="inlineStr">
        <is>
          <t>Taxes Payable</t>
        </is>
      </c>
      <c r="E4002" t="n">
        <v>1900000433</v>
      </c>
      <c r="F4002" t="inlineStr">
        <is>
          <t>0011</t>
        </is>
      </c>
      <c r="G4002" t="inlineStr">
        <is>
          <t>ZT</t>
        </is>
      </c>
      <c r="H4002" s="12" t="n">
        <v>-40390.9</v>
      </c>
      <c r="I4002" s="17" t="n">
        <v>45965</v>
      </c>
      <c r="J4002" s="17" t="n">
        <v>45971</v>
      </c>
      <c r="K4002" t="inlineStr">
        <is>
          <t>ISS a Recolher</t>
        </is>
      </c>
    </row>
    <row r="4003">
      <c r="A4003" t="inlineStr">
        <is>
          <t>101542</t>
        </is>
      </c>
      <c r="B4003" t="inlineStr">
        <is>
          <t>PREFEITURA MUNICIPAL DE MOSSORO</t>
        </is>
      </c>
      <c r="C4003" t="n">
        <v>2111000000</v>
      </c>
      <c r="D4003" t="inlineStr">
        <is>
          <t>Taxes Payable</t>
        </is>
      </c>
      <c r="E4003" t="n">
        <v>1900000461</v>
      </c>
      <c r="F4003" t="inlineStr">
        <is>
          <t>0008</t>
        </is>
      </c>
      <c r="G4003" t="inlineStr">
        <is>
          <t>ZT</t>
        </is>
      </c>
      <c r="H4003" s="12" t="n">
        <v>-1493.69</v>
      </c>
      <c r="I4003" s="17" t="n">
        <v>45967</v>
      </c>
      <c r="J4003" s="17" t="n">
        <v>45971</v>
      </c>
      <c r="K4003" t="inlineStr">
        <is>
          <t>ISS Retido - Fornecedores</t>
        </is>
      </c>
    </row>
    <row r="4004">
      <c r="A4004" t="inlineStr">
        <is>
          <t>101763</t>
        </is>
      </c>
      <c r="B4004" t="inlineStr">
        <is>
          <t>MUNICIPIO DE LAGOA DO BARRO DO PIAU</t>
        </is>
      </c>
      <c r="C4004" t="n">
        <v>2111000000</v>
      </c>
      <c r="D4004" t="inlineStr">
        <is>
          <t>Taxes Payable</t>
        </is>
      </c>
      <c r="E4004" t="n">
        <v>1900000466</v>
      </c>
      <c r="F4004" t="inlineStr">
        <is>
          <t>0012</t>
        </is>
      </c>
      <c r="G4004" t="inlineStr">
        <is>
          <t>ZT</t>
        </is>
      </c>
      <c r="H4004" s="12" t="n">
        <v>-1894.7</v>
      </c>
      <c r="I4004" s="17" t="n">
        <v>45971</v>
      </c>
      <c r="J4004" s="17" t="n">
        <v>45971</v>
      </c>
      <c r="K4004" t="inlineStr">
        <is>
          <t>ISS Retido - Fornecedores</t>
        </is>
      </c>
    </row>
    <row r="4005">
      <c r="A4005" t="inlineStr">
        <is>
          <t>101763</t>
        </is>
      </c>
      <c r="B4005" t="inlineStr">
        <is>
          <t>MUNICIPIO DE LAGOA DO BARRO DO PIAU</t>
        </is>
      </c>
      <c r="C4005" t="n">
        <v>2111000000</v>
      </c>
      <c r="D4005" t="inlineStr">
        <is>
          <t>Taxes Payable</t>
        </is>
      </c>
      <c r="E4005" t="n">
        <v>1900000467</v>
      </c>
      <c r="F4005" t="inlineStr">
        <is>
          <t>0012</t>
        </is>
      </c>
      <c r="G4005" t="inlineStr">
        <is>
          <t>ZT</t>
        </is>
      </c>
      <c r="H4005" s="12" t="n">
        <v>-2901.6</v>
      </c>
      <c r="I4005" s="17" t="n">
        <v>45971</v>
      </c>
      <c r="J4005" s="17" t="n">
        <v>45972</v>
      </c>
      <c r="K4005" t="inlineStr">
        <is>
          <t>ISS Retido - Fornecedores</t>
        </is>
      </c>
    </row>
    <row r="4006">
      <c r="A4006" t="inlineStr">
        <is>
          <t>EM000029</t>
        </is>
      </c>
      <c r="B4006" t="inlineStr">
        <is>
          <t>RENATO BRUNO LIMA DE FARIAS</t>
        </is>
      </c>
      <c r="C4006" t="n">
        <v>1517730000</v>
      </c>
      <c r="D4006" t="inlineStr">
        <is>
          <t>Nordex Employees</t>
        </is>
      </c>
      <c r="E4006" t="n">
        <v>300956</v>
      </c>
      <c r="G4006" t="inlineStr">
        <is>
          <t>KZ</t>
        </is>
      </c>
      <c r="H4006" s="12" t="n">
        <v>-94.31999999999999</v>
      </c>
      <c r="I4006" s="17" t="n">
        <v>45142</v>
      </c>
      <c r="J4006" s="17" t="n">
        <v>45142</v>
      </c>
      <c r="K4006" t="inlineStr">
        <is>
          <t>Vendor payment RENATO BRUNO LIMA DE FARIAS</t>
        </is>
      </c>
    </row>
    <row r="4007">
      <c r="A4007" t="inlineStr">
        <is>
          <t>EM000129</t>
        </is>
      </c>
      <c r="B4007" t="inlineStr">
        <is>
          <t>JOCIVAN DE SOUZA SILVA</t>
        </is>
      </c>
      <c r="C4007" t="n">
        <v>1517730000</v>
      </c>
      <c r="D4007" t="inlineStr">
        <is>
          <t>Nordex Employees</t>
        </is>
      </c>
      <c r="E4007" t="n">
        <v>301011</v>
      </c>
      <c r="G4007" t="inlineStr">
        <is>
          <t>KZ</t>
        </is>
      </c>
      <c r="H4007" s="12" t="n">
        <v>-1148.24</v>
      </c>
      <c r="I4007" s="17" t="n">
        <v>45154</v>
      </c>
      <c r="J4007" s="17" t="n">
        <v>45154</v>
      </c>
      <c r="K4007" t="inlineStr">
        <is>
          <t>Vendor payment JOCIVAN DE SOUZA SILVA</t>
        </is>
      </c>
    </row>
    <row r="4008">
      <c r="A4008" t="inlineStr">
        <is>
          <t>EM000272</t>
        </is>
      </c>
      <c r="B4008" t="inlineStr">
        <is>
          <t>JOBSON BARBOSA DE OLIVEIRA</t>
        </is>
      </c>
      <c r="C4008" t="n">
        <v>1517730000</v>
      </c>
      <c r="D4008" t="inlineStr">
        <is>
          <t>Nordex Employees</t>
        </is>
      </c>
      <c r="E4008" t="n">
        <v>301015</v>
      </c>
      <c r="G4008" t="inlineStr">
        <is>
          <t>KZ</t>
        </is>
      </c>
      <c r="H4008" s="12" t="n">
        <v>-735.55</v>
      </c>
      <c r="I4008" s="17" t="n">
        <v>45155</v>
      </c>
      <c r="J4008" s="17" t="n">
        <v>45155</v>
      </c>
      <c r="K4008" t="inlineStr">
        <is>
          <t>Vendor payment JOBSON BARBOSA DE OLIVEIRA</t>
        </is>
      </c>
    </row>
    <row r="4009">
      <c r="A4009" t="inlineStr">
        <is>
          <t>EM000724</t>
        </is>
      </c>
      <c r="B4009" t="inlineStr">
        <is>
          <t>EMMANOEL LELIS EZIAS DOS SANTOS</t>
        </is>
      </c>
      <c r="C4009" t="n">
        <v>1517730000</v>
      </c>
      <c r="D4009" t="inlineStr">
        <is>
          <t>Nordex Employees</t>
        </is>
      </c>
      <c r="E4009" t="n">
        <v>302540</v>
      </c>
      <c r="F4009" t="inlineStr">
        <is>
          <t>22190 - 22099</t>
        </is>
      </c>
      <c r="G4009" t="inlineStr">
        <is>
          <t>KZ</t>
        </is>
      </c>
      <c r="H4009" s="12" t="n">
        <v>657.1</v>
      </c>
      <c r="I4009" s="17" t="n">
        <v>45207</v>
      </c>
      <c r="J4009" s="17" t="n">
        <v>45207</v>
      </c>
      <c r="K4009" t="inlineStr">
        <is>
          <t>Documento fornecedor EMMANOEL LELIS EZIAS DOS SANT</t>
        </is>
      </c>
    </row>
    <row r="4010">
      <c r="A4010" t="inlineStr">
        <is>
          <t>EM000272</t>
        </is>
      </c>
      <c r="B4010" t="inlineStr">
        <is>
          <t>JOBSON BARBOSA DE OLIVEIRA</t>
        </is>
      </c>
      <c r="C4010" t="n">
        <v>1517730000</v>
      </c>
      <c r="D4010" t="inlineStr">
        <is>
          <t>Nordex Employees</t>
        </is>
      </c>
      <c r="E4010" t="n">
        <v>200000083</v>
      </c>
      <c r="F4010" t="inlineStr">
        <is>
          <t>8935</t>
        </is>
      </c>
      <c r="G4010" t="inlineStr">
        <is>
          <t>UE</t>
        </is>
      </c>
      <c r="H4010" s="12" t="n">
        <v>2760</v>
      </c>
      <c r="I4010" s="17" t="n">
        <v>44749</v>
      </c>
      <c r="J4010" s="17" t="n">
        <v>44749</v>
      </c>
      <c r="K4010" t="inlineStr">
        <is>
          <t>12938</t>
        </is>
      </c>
    </row>
    <row r="4011">
      <c r="A4011" t="inlineStr">
        <is>
          <t>EM000029</t>
        </is>
      </c>
      <c r="B4011" t="inlineStr">
        <is>
          <t>RENATO BRUNO LIMA DE FARIAS</t>
        </is>
      </c>
      <c r="C4011" t="n">
        <v>1517730000</v>
      </c>
      <c r="D4011" t="inlineStr">
        <is>
          <t>Nordex Employees</t>
        </is>
      </c>
      <c r="E4011" t="n">
        <v>200002273</v>
      </c>
      <c r="F4011" t="inlineStr">
        <is>
          <t>8627</t>
        </is>
      </c>
      <c r="G4011" t="inlineStr">
        <is>
          <t>UE</t>
        </is>
      </c>
      <c r="H4011" s="12" t="n">
        <v>3336.55</v>
      </c>
      <c r="I4011" s="17" t="n">
        <v>45120</v>
      </c>
      <c r="J4011" s="17" t="n">
        <v>45120</v>
      </c>
      <c r="K4011" t="inlineStr">
        <is>
          <t>CC 07.2023</t>
        </is>
      </c>
    </row>
    <row r="4012">
      <c r="A4012" t="inlineStr">
        <is>
          <t>EM000018</t>
        </is>
      </c>
      <c r="B4012" t="inlineStr">
        <is>
          <t>ALESSANDRO SANTANA CORTES</t>
        </is>
      </c>
      <c r="C4012" t="n">
        <v>1517730000</v>
      </c>
      <c r="D4012" t="inlineStr">
        <is>
          <t>Nordex Employees</t>
        </is>
      </c>
      <c r="E4012" t="n">
        <v>200002295</v>
      </c>
      <c r="F4012" t="inlineStr">
        <is>
          <t>8647</t>
        </is>
      </c>
      <c r="G4012" t="inlineStr">
        <is>
          <t>UE</t>
        </is>
      </c>
      <c r="H4012" s="12" t="n">
        <v>2530</v>
      </c>
      <c r="I4012" s="17" t="n">
        <v>44673</v>
      </c>
      <c r="J4012" s="17" t="n">
        <v>44673</v>
      </c>
      <c r="K4012" t="inlineStr">
        <is>
          <t>PLANO 12004</t>
        </is>
      </c>
    </row>
    <row r="4013">
      <c r="A4013" t="inlineStr">
        <is>
          <t>EM000024</t>
        </is>
      </c>
      <c r="B4013" t="inlineStr">
        <is>
          <t>GUILLERMO ROSSI</t>
        </is>
      </c>
      <c r="C4013" t="n">
        <v>1517730000</v>
      </c>
      <c r="D4013" t="inlineStr">
        <is>
          <t>Nordex Employees</t>
        </is>
      </c>
      <c r="E4013" t="n">
        <v>200002300</v>
      </c>
      <c r="F4013" t="inlineStr">
        <is>
          <t>8651</t>
        </is>
      </c>
      <c r="G4013" t="inlineStr">
        <is>
          <t>UE</t>
        </is>
      </c>
      <c r="H4013" s="12" t="n">
        <v>2530</v>
      </c>
      <c r="I4013" s="17" t="n">
        <v>44673</v>
      </c>
      <c r="J4013" s="17" t="n">
        <v>44673</v>
      </c>
      <c r="K4013" t="inlineStr">
        <is>
          <t>PLANO 12021</t>
        </is>
      </c>
    </row>
    <row r="4014">
      <c r="A4014" t="inlineStr">
        <is>
          <t>EM000026</t>
        </is>
      </c>
      <c r="B4014" t="inlineStr">
        <is>
          <t>DIEGO ALAN DE OLIVEIRA DA SILVA</t>
        </is>
      </c>
      <c r="C4014" t="n">
        <v>1517730000</v>
      </c>
      <c r="D4014" t="inlineStr">
        <is>
          <t>Nordex Employees</t>
        </is>
      </c>
      <c r="E4014" t="n">
        <v>200002302</v>
      </c>
      <c r="F4014" t="inlineStr">
        <is>
          <t>8653</t>
        </is>
      </c>
      <c r="G4014" t="inlineStr">
        <is>
          <t>UE</t>
        </is>
      </c>
      <c r="H4014" s="12" t="n">
        <v>2000</v>
      </c>
      <c r="I4014" s="17" t="n">
        <v>44489</v>
      </c>
      <c r="J4014" s="17" t="n">
        <v>44489</v>
      </c>
      <c r="K4014" t="inlineStr">
        <is>
          <t>8977</t>
        </is>
      </c>
    </row>
    <row r="4015">
      <c r="A4015" t="inlineStr">
        <is>
          <t>EM000026</t>
        </is>
      </c>
      <c r="B4015" t="inlineStr">
        <is>
          <t>DIEGO ALAN DE OLIVEIRA DA SILVA</t>
        </is>
      </c>
      <c r="C4015" t="n">
        <v>1517730000</v>
      </c>
      <c r="D4015" t="inlineStr">
        <is>
          <t>Nordex Employees</t>
        </is>
      </c>
      <c r="E4015" t="n">
        <v>200002303</v>
      </c>
      <c r="F4015" t="inlineStr">
        <is>
          <t>8654</t>
        </is>
      </c>
      <c r="G4015" t="inlineStr">
        <is>
          <t>UE</t>
        </is>
      </c>
      <c r="H4015" s="12" t="n">
        <v>8000</v>
      </c>
      <c r="I4015" s="17" t="n">
        <v>44659</v>
      </c>
      <c r="J4015" s="17" t="n">
        <v>44659</v>
      </c>
      <c r="K4015" t="inlineStr">
        <is>
          <t>11759</t>
        </is>
      </c>
    </row>
    <row r="4016">
      <c r="A4016" t="inlineStr">
        <is>
          <t>EM000026</t>
        </is>
      </c>
      <c r="B4016" t="inlineStr">
        <is>
          <t>DIEGO ALAN DE OLIVEIRA DA SILVA</t>
        </is>
      </c>
      <c r="C4016" t="n">
        <v>1517730000</v>
      </c>
      <c r="D4016" t="inlineStr">
        <is>
          <t>Nordex Employees</t>
        </is>
      </c>
      <c r="E4016" t="n">
        <v>200002304</v>
      </c>
      <c r="F4016" t="inlineStr">
        <is>
          <t>8655</t>
        </is>
      </c>
      <c r="G4016" t="inlineStr">
        <is>
          <t>UE</t>
        </is>
      </c>
      <c r="H4016" s="12" t="n">
        <v>14000</v>
      </c>
      <c r="I4016" s="17" t="n">
        <v>44644</v>
      </c>
      <c r="J4016" s="17" t="n">
        <v>44644</v>
      </c>
      <c r="K4016" t="inlineStr">
        <is>
          <t>11759.1</t>
        </is>
      </c>
    </row>
    <row r="4017">
      <c r="A4017" t="inlineStr">
        <is>
          <t>EM000059</t>
        </is>
      </c>
      <c r="B4017" t="inlineStr">
        <is>
          <t>CRISOSTOMO CUNHA DE SOUSA</t>
        </is>
      </c>
      <c r="C4017" t="n">
        <v>1517730000</v>
      </c>
      <c r="D4017" t="inlineStr">
        <is>
          <t>Nordex Employees</t>
        </is>
      </c>
      <c r="E4017" t="n">
        <v>200002334</v>
      </c>
      <c r="F4017" t="inlineStr">
        <is>
          <t>8682</t>
        </is>
      </c>
      <c r="G4017" t="inlineStr">
        <is>
          <t>UE</t>
        </is>
      </c>
      <c r="H4017" s="12" t="n">
        <v>2960</v>
      </c>
      <c r="I4017" s="17" t="n">
        <v>44298</v>
      </c>
      <c r="J4017" s="17" t="n">
        <v>44298</v>
      </c>
      <c r="K4017" t="inlineStr">
        <is>
          <t>Data Transfer CRISOSTOMO CUNHA DE SOUSA 8682</t>
        </is>
      </c>
    </row>
    <row r="4018">
      <c r="A4018" t="inlineStr">
        <is>
          <t>EM000065</t>
        </is>
      </c>
      <c r="B4018" t="inlineStr">
        <is>
          <t>JOABE MACEDO DA SILVA</t>
        </is>
      </c>
      <c r="C4018" t="n">
        <v>1517730000</v>
      </c>
      <c r="D4018" t="inlineStr">
        <is>
          <t>Nordex Employees</t>
        </is>
      </c>
      <c r="E4018" t="n">
        <v>200002345</v>
      </c>
      <c r="F4018" t="inlineStr">
        <is>
          <t>8692</t>
        </is>
      </c>
      <c r="G4018" t="inlineStr">
        <is>
          <t>UE</t>
        </is>
      </c>
      <c r="H4018" s="12" t="n">
        <v>756</v>
      </c>
      <c r="I4018" s="17" t="n">
        <v>44678</v>
      </c>
      <c r="J4018" s="17" t="n">
        <v>44678</v>
      </c>
      <c r="K4018" t="inlineStr">
        <is>
          <t>12116</t>
        </is>
      </c>
    </row>
    <row r="4019">
      <c r="A4019" t="inlineStr">
        <is>
          <t>EM000076</t>
        </is>
      </c>
      <c r="B4019" t="inlineStr">
        <is>
          <t>MOISES MELO DOS SANTOS</t>
        </is>
      </c>
      <c r="C4019" t="n">
        <v>1517730000</v>
      </c>
      <c r="D4019" t="inlineStr">
        <is>
          <t>Nordex Employees</t>
        </is>
      </c>
      <c r="E4019" t="n">
        <v>200002360</v>
      </c>
      <c r="F4019" t="inlineStr">
        <is>
          <t>8705</t>
        </is>
      </c>
      <c r="G4019" t="inlineStr">
        <is>
          <t>UE</t>
        </is>
      </c>
      <c r="H4019" s="12" t="n">
        <v>640</v>
      </c>
      <c r="I4019" s="17" t="n">
        <v>44461</v>
      </c>
      <c r="J4019" s="17" t="n">
        <v>44461</v>
      </c>
      <c r="K4019" t="inlineStr">
        <is>
          <t>8715</t>
        </is>
      </c>
    </row>
    <row r="4020">
      <c r="A4020" t="inlineStr">
        <is>
          <t>EM000080</t>
        </is>
      </c>
      <c r="B4020" t="inlineStr">
        <is>
          <t>SAIRON DOS SANTOS BASTOS</t>
        </is>
      </c>
      <c r="C4020" t="n">
        <v>1517730000</v>
      </c>
      <c r="D4020" t="inlineStr">
        <is>
          <t>Nordex Employees</t>
        </is>
      </c>
      <c r="E4020" t="n">
        <v>200002364</v>
      </c>
      <c r="F4020" t="inlineStr">
        <is>
          <t>8709</t>
        </is>
      </c>
      <c r="G4020" t="inlineStr">
        <is>
          <t>UE</t>
        </is>
      </c>
      <c r="H4020" s="12" t="n">
        <v>960</v>
      </c>
      <c r="I4020" s="17" t="n">
        <v>44362</v>
      </c>
      <c r="J4020" s="17" t="n">
        <v>44362</v>
      </c>
      <c r="K4020" t="inlineStr">
        <is>
          <t>6909</t>
        </is>
      </c>
    </row>
    <row r="4021">
      <c r="A4021" t="inlineStr">
        <is>
          <t>EM000080</t>
        </is>
      </c>
      <c r="B4021" t="inlineStr">
        <is>
          <t>SAIRON DOS SANTOS BASTOS</t>
        </is>
      </c>
      <c r="C4021" t="n">
        <v>1517730000</v>
      </c>
      <c r="D4021" t="inlineStr">
        <is>
          <t>Nordex Employees</t>
        </is>
      </c>
      <c r="E4021" t="n">
        <v>200002366</v>
      </c>
      <c r="F4021" t="inlineStr">
        <is>
          <t>8710</t>
        </is>
      </c>
      <c r="G4021" t="inlineStr">
        <is>
          <t>UE</t>
        </is>
      </c>
      <c r="H4021" s="12" t="n">
        <v>560</v>
      </c>
      <c r="I4021" s="17" t="n">
        <v>44483</v>
      </c>
      <c r="J4021" s="17" t="n">
        <v>44483</v>
      </c>
      <c r="K4021" t="inlineStr">
        <is>
          <t>8933</t>
        </is>
      </c>
    </row>
    <row r="4022">
      <c r="A4022" t="inlineStr">
        <is>
          <t>EM000108</t>
        </is>
      </c>
      <c r="B4022" t="inlineStr">
        <is>
          <t>GISLANIO GOMES DA SILVA</t>
        </is>
      </c>
      <c r="C4022" t="n">
        <v>1517730000</v>
      </c>
      <c r="D4022" t="inlineStr">
        <is>
          <t>Nordex Employees</t>
        </is>
      </c>
      <c r="E4022" t="n">
        <v>200002399</v>
      </c>
      <c r="F4022" t="inlineStr">
        <is>
          <t>8740</t>
        </is>
      </c>
      <c r="G4022" t="inlineStr">
        <is>
          <t>UE</t>
        </is>
      </c>
      <c r="H4022" s="12" t="n">
        <v>240</v>
      </c>
      <c r="I4022" s="17" t="n">
        <v>44671</v>
      </c>
      <c r="J4022" s="17" t="n">
        <v>44671</v>
      </c>
      <c r="K4022" t="inlineStr">
        <is>
          <t>11992</t>
        </is>
      </c>
    </row>
    <row r="4023">
      <c r="A4023" t="inlineStr">
        <is>
          <t>EM000125</t>
        </is>
      </c>
      <c r="B4023" t="inlineStr">
        <is>
          <t>RODRIGO RAFAEL LIMA DE FARIAS</t>
        </is>
      </c>
      <c r="C4023" t="n">
        <v>1517730000</v>
      </c>
      <c r="D4023" t="inlineStr">
        <is>
          <t>Nordex Employees</t>
        </is>
      </c>
      <c r="E4023" t="n">
        <v>200002422</v>
      </c>
      <c r="F4023" t="inlineStr">
        <is>
          <t>8761</t>
        </is>
      </c>
      <c r="G4023" t="inlineStr">
        <is>
          <t>UE</t>
        </is>
      </c>
      <c r="H4023" s="12" t="n">
        <v>2000</v>
      </c>
      <c r="I4023" s="17" t="n">
        <v>45068</v>
      </c>
      <c r="J4023" s="17" t="n">
        <v>45068</v>
      </c>
      <c r="K4023" t="inlineStr">
        <is>
          <t xml:space="preserve"> 21785</t>
        </is>
      </c>
    </row>
    <row r="4024">
      <c r="A4024" t="inlineStr">
        <is>
          <t>EM000129</t>
        </is>
      </c>
      <c r="B4024" t="inlineStr">
        <is>
          <t>JOCIVAN DE SOUZA SILVA</t>
        </is>
      </c>
      <c r="C4024" t="n">
        <v>1517730000</v>
      </c>
      <c r="D4024" t="inlineStr">
        <is>
          <t>Nordex Employees</t>
        </is>
      </c>
      <c r="E4024" t="n">
        <v>200002425</v>
      </c>
      <c r="F4024" t="inlineStr">
        <is>
          <t>8764</t>
        </is>
      </c>
      <c r="G4024" t="inlineStr">
        <is>
          <t>UE</t>
        </is>
      </c>
      <c r="H4024" s="12" t="n">
        <v>2700</v>
      </c>
      <c r="I4024" s="17" t="n">
        <v>45107</v>
      </c>
      <c r="J4024" s="17" t="n">
        <v>45107</v>
      </c>
      <c r="K4024" t="inlineStr">
        <is>
          <t>22508</t>
        </is>
      </c>
    </row>
    <row r="4025">
      <c r="A4025" t="inlineStr">
        <is>
          <t>EM000130</t>
        </is>
      </c>
      <c r="B4025" t="inlineStr">
        <is>
          <t>RANDSON BUENO SOARES SALES</t>
        </is>
      </c>
      <c r="C4025" t="n">
        <v>1517730000</v>
      </c>
      <c r="D4025" t="inlineStr">
        <is>
          <t>Nordex Employees</t>
        </is>
      </c>
      <c r="E4025" t="n">
        <v>200002428</v>
      </c>
      <c r="F4025" t="inlineStr">
        <is>
          <t>8767</t>
        </is>
      </c>
      <c r="G4025" t="inlineStr">
        <is>
          <t>UE</t>
        </is>
      </c>
      <c r="H4025" s="12" t="n">
        <v>1300</v>
      </c>
      <c r="I4025" s="17" t="n">
        <v>44567</v>
      </c>
      <c r="J4025" s="17" t="n">
        <v>44567</v>
      </c>
      <c r="K4025" t="inlineStr">
        <is>
          <t>9849</t>
        </is>
      </c>
    </row>
    <row r="4026">
      <c r="A4026" t="inlineStr">
        <is>
          <t>EM000130</t>
        </is>
      </c>
      <c r="B4026" t="inlineStr">
        <is>
          <t>RANDSON BUENO SOARES SALES</t>
        </is>
      </c>
      <c r="C4026" t="n">
        <v>1517730000</v>
      </c>
      <c r="D4026" t="inlineStr">
        <is>
          <t>Nordex Employees</t>
        </is>
      </c>
      <c r="E4026" t="n">
        <v>200002429</v>
      </c>
      <c r="F4026" t="inlineStr">
        <is>
          <t>8768</t>
        </is>
      </c>
      <c r="G4026" t="inlineStr">
        <is>
          <t>UE</t>
        </is>
      </c>
      <c r="H4026" s="12" t="n">
        <v>1960</v>
      </c>
      <c r="I4026" s="17" t="n">
        <v>44579</v>
      </c>
      <c r="J4026" s="17" t="n">
        <v>44579</v>
      </c>
      <c r="K4026" t="inlineStr">
        <is>
          <t>10947</t>
        </is>
      </c>
    </row>
    <row r="4027">
      <c r="A4027" t="inlineStr">
        <is>
          <t>EM000130</t>
        </is>
      </c>
      <c r="B4027" t="inlineStr">
        <is>
          <t>RANDSON BUENO SOARES SALES</t>
        </is>
      </c>
      <c r="C4027" t="n">
        <v>1517730000</v>
      </c>
      <c r="D4027" t="inlineStr">
        <is>
          <t>Nordex Employees</t>
        </is>
      </c>
      <c r="E4027" t="n">
        <v>200002430</v>
      </c>
      <c r="F4027" t="inlineStr">
        <is>
          <t>8769</t>
        </is>
      </c>
      <c r="G4027" t="inlineStr">
        <is>
          <t>UE</t>
        </is>
      </c>
      <c r="H4027" s="12" t="n">
        <v>4440</v>
      </c>
      <c r="I4027" s="17" t="n">
        <v>44684</v>
      </c>
      <c r="J4027" s="17" t="n">
        <v>44684</v>
      </c>
      <c r="K4027" t="inlineStr">
        <is>
          <t>12224</t>
        </is>
      </c>
    </row>
    <row r="4028">
      <c r="A4028" t="inlineStr">
        <is>
          <t>EM000130</t>
        </is>
      </c>
      <c r="B4028" t="inlineStr">
        <is>
          <t>RANDSON BUENO SOARES SALES</t>
        </is>
      </c>
      <c r="C4028" t="n">
        <v>1517730000</v>
      </c>
      <c r="D4028" t="inlineStr">
        <is>
          <t>Nordex Employees</t>
        </is>
      </c>
      <c r="E4028" t="n">
        <v>200002432</v>
      </c>
      <c r="F4028" t="inlineStr">
        <is>
          <t>8770</t>
        </is>
      </c>
      <c r="G4028" t="inlineStr">
        <is>
          <t>UE</t>
        </is>
      </c>
      <c r="H4028" s="12" t="n">
        <v>6562.24</v>
      </c>
      <c r="I4028" s="17" t="n">
        <v>44924</v>
      </c>
      <c r="J4028" s="17" t="n">
        <v>44924</v>
      </c>
      <c r="K4028" t="inlineStr">
        <is>
          <t>17417</t>
        </is>
      </c>
    </row>
    <row r="4029">
      <c r="A4029" t="inlineStr">
        <is>
          <t>EM000130</t>
        </is>
      </c>
      <c r="B4029" t="inlineStr">
        <is>
          <t>RANDSON BUENO SOARES SALES</t>
        </is>
      </c>
      <c r="C4029" t="n">
        <v>1517730000</v>
      </c>
      <c r="D4029" t="inlineStr">
        <is>
          <t>Nordex Employees</t>
        </is>
      </c>
      <c r="E4029" t="n">
        <v>200002433</v>
      </c>
      <c r="F4029" t="inlineStr">
        <is>
          <t>8771</t>
        </is>
      </c>
      <c r="G4029" t="inlineStr">
        <is>
          <t>UE</t>
        </is>
      </c>
      <c r="H4029" s="12" t="n">
        <v>5363</v>
      </c>
      <c r="I4029" s="17" t="n">
        <v>44670</v>
      </c>
      <c r="J4029" s="17" t="n">
        <v>44670</v>
      </c>
      <c r="K4029" t="inlineStr">
        <is>
          <t>12033</t>
        </is>
      </c>
    </row>
    <row r="4030">
      <c r="A4030" t="inlineStr">
        <is>
          <t>EM000134</t>
        </is>
      </c>
      <c r="B4030" t="inlineStr">
        <is>
          <t>FRED LACERDA MACEDO</t>
        </is>
      </c>
      <c r="C4030" t="n">
        <v>1517730000</v>
      </c>
      <c r="D4030" t="inlineStr">
        <is>
          <t>Nordex Employees</t>
        </is>
      </c>
      <c r="E4030" t="n">
        <v>200002439</v>
      </c>
      <c r="F4030" t="inlineStr">
        <is>
          <t>8777</t>
        </is>
      </c>
      <c r="G4030" t="inlineStr">
        <is>
          <t>UE</t>
        </is>
      </c>
      <c r="H4030" s="12" t="n">
        <v>5100</v>
      </c>
      <c r="I4030" s="17" t="n">
        <v>44236</v>
      </c>
      <c r="J4030" s="17" t="n">
        <v>44236</v>
      </c>
      <c r="K4030" t="inlineStr">
        <is>
          <t>6220</t>
        </is>
      </c>
    </row>
    <row r="4031">
      <c r="A4031" t="inlineStr">
        <is>
          <t>EM000134</t>
        </is>
      </c>
      <c r="B4031" t="inlineStr">
        <is>
          <t>FRED LACERDA MACEDO</t>
        </is>
      </c>
      <c r="C4031" t="n">
        <v>1517730000</v>
      </c>
      <c r="D4031" t="inlineStr">
        <is>
          <t>Nordex Employees</t>
        </is>
      </c>
      <c r="E4031" t="n">
        <v>200002440</v>
      </c>
      <c r="F4031" t="inlineStr">
        <is>
          <t>8778</t>
        </is>
      </c>
      <c r="G4031" t="inlineStr">
        <is>
          <t>UE</t>
        </is>
      </c>
      <c r="H4031" s="12" t="n">
        <v>1336</v>
      </c>
      <c r="I4031" s="17" t="n">
        <v>44265</v>
      </c>
      <c r="J4031" s="17" t="n">
        <v>44265</v>
      </c>
      <c r="K4031" t="inlineStr">
        <is>
          <t>6220.</t>
        </is>
      </c>
    </row>
    <row r="4032">
      <c r="A4032" t="inlineStr">
        <is>
          <t>EM000135</t>
        </is>
      </c>
      <c r="B4032" t="inlineStr">
        <is>
          <t>MARCELO DE MOURA SILVA</t>
        </is>
      </c>
      <c r="C4032" t="n">
        <v>1517730000</v>
      </c>
      <c r="D4032" t="inlineStr">
        <is>
          <t>Nordex Employees</t>
        </is>
      </c>
      <c r="E4032" t="n">
        <v>200002441</v>
      </c>
      <c r="F4032" t="inlineStr">
        <is>
          <t>8779</t>
        </is>
      </c>
      <c r="G4032" t="inlineStr">
        <is>
          <t>UE</t>
        </is>
      </c>
      <c r="H4032" s="12" t="n">
        <v>506</v>
      </c>
      <c r="I4032" s="17" t="n">
        <v>44964</v>
      </c>
      <c r="J4032" s="17" t="n">
        <v>44964</v>
      </c>
      <c r="K4032" t="inlineStr">
        <is>
          <t>19068</t>
        </is>
      </c>
    </row>
    <row r="4033">
      <c r="A4033" t="inlineStr">
        <is>
          <t>EM000155</t>
        </is>
      </c>
      <c r="B4033" t="inlineStr">
        <is>
          <t>IAGO TEIXEIRA MORGADO</t>
        </is>
      </c>
      <c r="C4033" t="n">
        <v>1517730000</v>
      </c>
      <c r="D4033" t="inlineStr">
        <is>
          <t>Nordex Employees</t>
        </is>
      </c>
      <c r="E4033" t="n">
        <v>200002457</v>
      </c>
      <c r="F4033" t="inlineStr">
        <is>
          <t>8793</t>
        </is>
      </c>
      <c r="G4033" t="inlineStr">
        <is>
          <t>UE</t>
        </is>
      </c>
      <c r="H4033" s="12" t="n">
        <v>3420</v>
      </c>
      <c r="I4033" s="17" t="n">
        <v>44362</v>
      </c>
      <c r="J4033" s="17" t="n">
        <v>44362</v>
      </c>
      <c r="K4033" t="inlineStr">
        <is>
          <t>6904</t>
        </is>
      </c>
    </row>
    <row r="4034">
      <c r="A4034" t="inlineStr">
        <is>
          <t>EM000394</t>
        </is>
      </c>
      <c r="B4034" t="inlineStr">
        <is>
          <t>WAGNER DELLA FLORA GROSS</t>
        </is>
      </c>
      <c r="C4034" t="n">
        <v>1517730000</v>
      </c>
      <c r="D4034" t="inlineStr">
        <is>
          <t>Nordex Employees</t>
        </is>
      </c>
      <c r="E4034" t="n">
        <v>1100002985</v>
      </c>
      <c r="G4034" t="inlineStr">
        <is>
          <t>AB</t>
        </is>
      </c>
      <c r="H4034" s="12" t="n">
        <v>-455</v>
      </c>
      <c r="I4034" s="17" t="n">
        <v>45507</v>
      </c>
      <c r="J4034" s="17" t="n">
        <v>45507</v>
      </c>
      <c r="K4034" t="inlineStr">
        <is>
          <t>Plano Finalizado Reserve, mas WBS bloqueado</t>
        </is>
      </c>
    </row>
    <row r="4035">
      <c r="A4035" t="inlineStr">
        <is>
          <t>EM000130</t>
        </is>
      </c>
      <c r="B4035" t="inlineStr">
        <is>
          <t>RANDSON BUENO SOARES SALES</t>
        </is>
      </c>
      <c r="C4035" t="n">
        <v>1517730000</v>
      </c>
      <c r="D4035" t="inlineStr">
        <is>
          <t>Nordex Employees</t>
        </is>
      </c>
      <c r="E4035" t="n">
        <v>1100011519</v>
      </c>
      <c r="F4035" t="inlineStr">
        <is>
          <t>35232</t>
        </is>
      </c>
      <c r="G4035" t="inlineStr">
        <is>
          <t>AB</t>
        </is>
      </c>
      <c r="H4035" s="12" t="n">
        <v>1430</v>
      </c>
      <c r="I4035" s="17" t="n">
        <v>46161</v>
      </c>
      <c r="J4035" s="17" t="n">
        <v>45721</v>
      </c>
      <c r="K4035" t="inlineStr">
        <is>
          <t>Clearing document RANDSON BUENO SOARES SALES 35232</t>
        </is>
      </c>
    </row>
    <row r="4036">
      <c r="A4036" t="inlineStr">
        <is>
          <t>101888</t>
        </is>
      </c>
      <c r="B4036" t="inlineStr">
        <is>
          <t>BANCO SANTANDER BRASIL SA</t>
        </is>
      </c>
      <c r="C4036" t="n">
        <v>1517730000</v>
      </c>
      <c r="D4036" t="inlineStr">
        <is>
          <t>Corporate Card Payments</t>
        </is>
      </c>
      <c r="E4036" t="n">
        <v>1100026501</v>
      </c>
      <c r="F4036" t="inlineStr">
        <is>
          <t>CC 10.2023</t>
        </is>
      </c>
      <c r="G4036" t="inlineStr">
        <is>
          <t>AB</t>
        </is>
      </c>
      <c r="H4036" s="12" t="n">
        <v>272.52</v>
      </c>
      <c r="I4036" s="17" t="n">
        <v>45748</v>
      </c>
      <c r="J4036" s="17" t="n">
        <v>45748</v>
      </c>
      <c r="K4036" t="inlineStr">
        <is>
          <t>Partida individual BANCO SANTANDER BRASIL SA CC 10</t>
        </is>
      </c>
    </row>
    <row r="4037">
      <c r="A4037" t="inlineStr">
        <is>
          <t>101888</t>
        </is>
      </c>
      <c r="B4037" t="inlineStr">
        <is>
          <t>BANCO SANTANDER BRASIL SA</t>
        </is>
      </c>
      <c r="C4037" t="n">
        <v>1517730000</v>
      </c>
      <c r="D4037" t="inlineStr">
        <is>
          <t>Corporate Card Payments</t>
        </is>
      </c>
      <c r="E4037" t="n">
        <v>1100026504</v>
      </c>
      <c r="F4037" t="inlineStr">
        <is>
          <t>CC 11.2023</t>
        </is>
      </c>
      <c r="G4037" t="inlineStr">
        <is>
          <t>AB</t>
        </is>
      </c>
      <c r="H4037" s="12" t="n">
        <v>20.99</v>
      </c>
      <c r="I4037" s="17" t="n">
        <v>45748</v>
      </c>
      <c r="J4037" s="17" t="n">
        <v>45748</v>
      </c>
      <c r="K4037" t="inlineStr">
        <is>
          <t>Partida individual BANCO SANTANDER BRASIL SA CC 11</t>
        </is>
      </c>
    </row>
    <row r="4038">
      <c r="A4038" t="inlineStr">
        <is>
          <t>101888</t>
        </is>
      </c>
      <c r="B4038" t="inlineStr">
        <is>
          <t>BANCO SANTANDER BRASIL SA</t>
        </is>
      </c>
      <c r="C4038" t="n">
        <v>1517730000</v>
      </c>
      <c r="D4038" t="inlineStr">
        <is>
          <t>Corporate Card Payments</t>
        </is>
      </c>
      <c r="E4038" t="n">
        <v>1100026506</v>
      </c>
      <c r="F4038" t="inlineStr">
        <is>
          <t>CC 09.2023</t>
        </is>
      </c>
      <c r="G4038" t="inlineStr">
        <is>
          <t>AB</t>
        </is>
      </c>
      <c r="H4038" s="12" t="n">
        <v>377.86</v>
      </c>
      <c r="I4038" s="17" t="n">
        <v>45748</v>
      </c>
      <c r="J4038" s="17" t="n">
        <v>45748</v>
      </c>
      <c r="K4038" t="inlineStr">
        <is>
          <t>Partida individual BANCO SANTANDER BRASIL SA CC 09</t>
        </is>
      </c>
    </row>
    <row r="4039">
      <c r="A4039" t="inlineStr">
        <is>
          <t>107672</t>
        </is>
      </c>
      <c r="B4039" t="inlineStr">
        <is>
          <t>WONGTSCHOWSKI KLEIMAN ADVOGADOS</t>
        </is>
      </c>
      <c r="C4039" t="n">
        <v>1517730000</v>
      </c>
      <c r="D4039" t="inlineStr">
        <is>
          <t>Legal Services Suppliers</t>
        </is>
      </c>
      <c r="E4039" t="n">
        <v>1300000905</v>
      </c>
      <c r="G4039" t="inlineStr">
        <is>
          <t>KZ</t>
        </is>
      </c>
      <c r="H4039" s="12" t="n">
        <v>1300.65</v>
      </c>
      <c r="I4039" s="17" t="n">
        <v>46049</v>
      </c>
      <c r="J4039" s="17" t="n">
        <v>46049</v>
      </c>
      <c r="K4039" t="inlineStr">
        <is>
          <t>Não pagar, eles precisam devolver este valor</t>
        </is>
      </c>
    </row>
    <row r="4040">
      <c r="A4040" t="inlineStr">
        <is>
          <t>EM000127</t>
        </is>
      </c>
      <c r="B4040" t="inlineStr">
        <is>
          <t>GUSTAVO FERNANDES LIMA</t>
        </is>
      </c>
      <c r="C4040" t="n">
        <v>1517730000</v>
      </c>
      <c r="D4040" t="inlineStr">
        <is>
          <t>Nordex Employees</t>
        </is>
      </c>
      <c r="E4040" t="n">
        <v>2000003246</v>
      </c>
      <c r="G4040" t="inlineStr">
        <is>
          <t>ZP</t>
        </is>
      </c>
      <c r="H4040" s="12" t="n">
        <v>2210</v>
      </c>
      <c r="I4040" s="17" t="n">
        <v>45352</v>
      </c>
      <c r="J4040" s="17" t="n">
        <v>45352</v>
      </c>
      <c r="K4040" t="inlineStr">
        <is>
          <t>Documento fornecedor GUSTAVO FERNANDES LIMA 29535</t>
        </is>
      </c>
    </row>
    <row r="4041">
      <c r="A4041" t="inlineStr">
        <is>
          <t>EM000281</t>
        </is>
      </c>
      <c r="B4041" t="inlineStr">
        <is>
          <t>VANESSA REGINA DE CAMARGO</t>
        </is>
      </c>
      <c r="C4041" t="n">
        <v>1517730000</v>
      </c>
      <c r="D4041" t="inlineStr">
        <is>
          <t>Nordex Employees</t>
        </is>
      </c>
      <c r="E4041" t="n">
        <v>2000007106</v>
      </c>
      <c r="G4041" t="inlineStr">
        <is>
          <t>ZP</t>
        </is>
      </c>
      <c r="H4041" s="12" t="n">
        <v>240</v>
      </c>
      <c r="I4041" s="17" t="n">
        <v>45483</v>
      </c>
      <c r="J4041" s="17" t="n">
        <v>45483</v>
      </c>
      <c r="K4041" t="inlineStr">
        <is>
          <t>Documento fornecedor VANESSA REGINA DE CAMARGO 117</t>
        </is>
      </c>
    </row>
    <row r="4042">
      <c r="A4042" t="inlineStr">
        <is>
          <t>EM000394</t>
        </is>
      </c>
      <c r="B4042" t="inlineStr">
        <is>
          <t>WAGNER DELLA FLORA GROSS</t>
        </is>
      </c>
      <c r="C4042" t="n">
        <v>1517730000</v>
      </c>
      <c r="D4042" t="inlineStr">
        <is>
          <t>Nordex Employees</t>
        </is>
      </c>
      <c r="E4042" t="n">
        <v>2000007111</v>
      </c>
      <c r="G4042" t="inlineStr">
        <is>
          <t>ZP</t>
        </is>
      </c>
      <c r="H4042" s="12" t="n">
        <v>520</v>
      </c>
      <c r="I4042" s="17" t="n">
        <v>45483</v>
      </c>
      <c r="J4042" s="17" t="n">
        <v>45483</v>
      </c>
      <c r="K4042" t="inlineStr">
        <is>
          <t>Plano Finalizado Reserve, mas WBS bloqueado</t>
        </is>
      </c>
    </row>
    <row r="4043">
      <c r="A4043" t="inlineStr">
        <is>
          <t>EM000663</t>
        </is>
      </c>
      <c r="B4043" t="inlineStr">
        <is>
          <t>MARCELO DA COSTA BRAS</t>
        </is>
      </c>
      <c r="C4043" t="n">
        <v>1517730000</v>
      </c>
      <c r="D4043" t="inlineStr">
        <is>
          <t>Nordex Employees</t>
        </is>
      </c>
      <c r="E4043" t="n">
        <v>2000020499</v>
      </c>
      <c r="G4043" t="inlineStr">
        <is>
          <t>ZP</t>
        </is>
      </c>
      <c r="H4043" s="12" t="n">
        <v>130</v>
      </c>
      <c r="I4043" s="17" t="n">
        <v>45597</v>
      </c>
      <c r="J4043" s="17" t="n">
        <v>45597</v>
      </c>
      <c r="K4043" t="inlineStr">
        <is>
          <t>Vendor DP Request MARCELO DA COSTA BRAS 34383</t>
        </is>
      </c>
    </row>
    <row r="4044">
      <c r="A4044" t="inlineStr">
        <is>
          <t>EM000431</t>
        </is>
      </c>
      <c r="B4044" t="inlineStr">
        <is>
          <t>HERVERTON CAVALCANTE LIMA</t>
        </is>
      </c>
      <c r="C4044" t="n">
        <v>1517730000</v>
      </c>
      <c r="D4044" t="inlineStr">
        <is>
          <t>Nordex Employees</t>
        </is>
      </c>
      <c r="E4044" t="n">
        <v>2000022603</v>
      </c>
      <c r="G4044" t="inlineStr">
        <is>
          <t>ZP</t>
        </is>
      </c>
      <c r="H4044" s="12" t="n">
        <v>780</v>
      </c>
      <c r="I4044" s="17" t="n">
        <v>45604</v>
      </c>
      <c r="J4044" s="17" t="n">
        <v>45604</v>
      </c>
      <c r="K4044" t="inlineStr">
        <is>
          <t>Documento fornecedor HERVERTON CAVALCANTE LIMA 344</t>
        </is>
      </c>
    </row>
    <row r="4045">
      <c r="A4045" t="inlineStr">
        <is>
          <t>IC1000</t>
        </is>
      </c>
      <c r="B4045" t="inlineStr">
        <is>
          <t>NORDEX ENERGY SE &amp; CO KG</t>
        </is>
      </c>
      <c r="C4045" t="n">
        <v>1193100000</v>
      </c>
      <c r="D4045" t="inlineStr">
        <is>
          <t>Intercompany</t>
        </is>
      </c>
      <c r="E4045" t="n">
        <v>301810</v>
      </c>
      <c r="G4045" t="inlineStr">
        <is>
          <t>KZ</t>
        </is>
      </c>
      <c r="H4045" s="12" t="n">
        <v>7609.23</v>
      </c>
      <c r="I4045" s="17" t="n">
        <v>45166</v>
      </c>
      <c r="J4045" s="17" t="n">
        <v>45166</v>
      </c>
      <c r="K4045" t="inlineStr">
        <is>
          <t>Vendor DP Request NORDEX ENERGY SE &amp; CO. KG IC1000</t>
        </is>
      </c>
    </row>
    <row r="4046">
      <c r="A4046" t="inlineStr">
        <is>
          <t>IC1000</t>
        </is>
      </c>
      <c r="B4046" t="inlineStr">
        <is>
          <t>NORDEX ENERGY SE &amp; CO KG</t>
        </is>
      </c>
      <c r="C4046" t="n">
        <v>1193100000</v>
      </c>
      <c r="D4046" t="inlineStr">
        <is>
          <t>Intercompany</t>
        </is>
      </c>
      <c r="E4046" t="n">
        <v>200015498</v>
      </c>
      <c r="F4046" t="inlineStr">
        <is>
          <t>13145</t>
        </is>
      </c>
      <c r="G4046" t="inlineStr">
        <is>
          <t>UE</t>
        </is>
      </c>
      <c r="H4046" s="12" t="n">
        <v>44216847</v>
      </c>
      <c r="I4046" s="17" t="n">
        <v>44677</v>
      </c>
      <c r="J4046" s="17" t="n">
        <v>44677</v>
      </c>
      <c r="K4046" t="inlineStr">
        <is>
          <t>612678</t>
        </is>
      </c>
    </row>
    <row r="4047">
      <c r="A4047" t="inlineStr">
        <is>
          <t>IC1000</t>
        </is>
      </c>
      <c r="B4047" t="inlineStr">
        <is>
          <t>NORDEX ENERGY SE &amp; CO KG</t>
        </is>
      </c>
      <c r="C4047" t="n">
        <v>1193100000</v>
      </c>
      <c r="D4047" t="inlineStr">
        <is>
          <t>Intercompany</t>
        </is>
      </c>
      <c r="E4047" t="n">
        <v>200015499</v>
      </c>
      <c r="F4047" t="inlineStr">
        <is>
          <t>13146</t>
        </is>
      </c>
      <c r="G4047" t="inlineStr">
        <is>
          <t>UE</t>
        </is>
      </c>
      <c r="H4047" s="12" t="n">
        <v>42482853</v>
      </c>
      <c r="I4047" s="17" t="n">
        <v>44677</v>
      </c>
      <c r="J4047" s="17" t="n">
        <v>44677</v>
      </c>
      <c r="K4047" t="inlineStr">
        <is>
          <t>612678-1</t>
        </is>
      </c>
    </row>
    <row r="4048">
      <c r="A4048" t="inlineStr">
        <is>
          <t>IC1000</t>
        </is>
      </c>
      <c r="B4048" t="inlineStr">
        <is>
          <t>NORDEX ENERGY SE &amp; CO KG</t>
        </is>
      </c>
      <c r="C4048" t="n">
        <v>1193100000</v>
      </c>
      <c r="D4048" t="inlineStr">
        <is>
          <t>Intercompany</t>
        </is>
      </c>
      <c r="E4048" t="n">
        <v>200015500</v>
      </c>
      <c r="F4048" t="inlineStr">
        <is>
          <t>13147</t>
        </is>
      </c>
      <c r="G4048" t="inlineStr">
        <is>
          <t>UE</t>
        </is>
      </c>
      <c r="H4048" s="12" t="n">
        <v>22473385.98</v>
      </c>
      <c r="I4048" s="17" t="n">
        <v>44320</v>
      </c>
      <c r="J4048" s="17" t="n">
        <v>44320</v>
      </c>
      <c r="K4048" t="inlineStr">
        <is>
          <t>610177_2</t>
        </is>
      </c>
    </row>
    <row r="4049">
      <c r="A4049" t="inlineStr">
        <is>
          <t>IC1000</t>
        </is>
      </c>
      <c r="B4049" t="inlineStr">
        <is>
          <t>NORDEX ENERGY SE &amp; CO KG</t>
        </is>
      </c>
      <c r="C4049" t="n">
        <v>1193100000</v>
      </c>
      <c r="D4049" t="inlineStr">
        <is>
          <t>Intercompany</t>
        </is>
      </c>
      <c r="E4049" t="n">
        <v>200015506</v>
      </c>
      <c r="F4049" t="inlineStr">
        <is>
          <t>13152</t>
        </is>
      </c>
      <c r="G4049" t="inlineStr">
        <is>
          <t>UE</t>
        </is>
      </c>
      <c r="H4049" s="12" t="n">
        <v>4185978.28</v>
      </c>
      <c r="I4049" s="17" t="n">
        <v>44509</v>
      </c>
      <c r="J4049" s="17" t="n">
        <v>44509</v>
      </c>
      <c r="K4049" t="inlineStr">
        <is>
          <t>611242_3</t>
        </is>
      </c>
    </row>
    <row r="4050">
      <c r="A4050" t="inlineStr">
        <is>
          <t>IC1000</t>
        </is>
      </c>
      <c r="B4050" t="inlineStr">
        <is>
          <t>NORDEX ENERGY SE &amp; CO KG</t>
        </is>
      </c>
      <c r="C4050" t="n">
        <v>1193100000</v>
      </c>
      <c r="D4050" t="inlineStr">
        <is>
          <t>Intercompany</t>
        </is>
      </c>
      <c r="E4050" t="n">
        <v>200015513</v>
      </c>
      <c r="F4050" t="inlineStr">
        <is>
          <t>13159</t>
        </is>
      </c>
      <c r="G4050" t="inlineStr">
        <is>
          <t>UE</t>
        </is>
      </c>
      <c r="H4050" s="12" t="n">
        <v>9853116</v>
      </c>
      <c r="I4050" s="17" t="n">
        <v>44708</v>
      </c>
      <c r="J4050" s="17" t="n">
        <v>44708</v>
      </c>
      <c r="K4050" t="inlineStr">
        <is>
          <t>612759.1</t>
        </is>
      </c>
    </row>
    <row r="4051">
      <c r="A4051" t="inlineStr">
        <is>
          <t>IC1000</t>
        </is>
      </c>
      <c r="B4051" t="inlineStr">
        <is>
          <t>NORDEX ENERGY SE &amp; CO KG</t>
        </is>
      </c>
      <c r="C4051" t="n">
        <v>1193100000</v>
      </c>
      <c r="D4051" t="inlineStr">
        <is>
          <t>Intercompany</t>
        </is>
      </c>
      <c r="E4051" t="n">
        <v>200015518</v>
      </c>
      <c r="F4051" t="inlineStr">
        <is>
          <t>13163</t>
        </is>
      </c>
      <c r="G4051" t="inlineStr">
        <is>
          <t>UE</t>
        </is>
      </c>
      <c r="H4051" s="12" t="n">
        <v>11840394.93</v>
      </c>
      <c r="I4051" s="17" t="n">
        <v>44749</v>
      </c>
      <c r="J4051" s="17" t="n">
        <v>44749</v>
      </c>
      <c r="K4051" t="inlineStr">
        <is>
          <t>613239.</t>
        </is>
      </c>
    </row>
    <row r="4052">
      <c r="A4052" t="inlineStr">
        <is>
          <t>IC4420</t>
        </is>
      </c>
      <c r="B4052" t="inlineStr">
        <is>
          <t>NORDEX ENERGY SPAIN S A U</t>
        </is>
      </c>
      <c r="C4052" t="n">
        <v>1193100000</v>
      </c>
      <c r="D4052" t="inlineStr">
        <is>
          <t>Intercompany</t>
        </is>
      </c>
      <c r="E4052" t="n">
        <v>200018362</v>
      </c>
      <c r="F4052" t="inlineStr">
        <is>
          <t>11229</t>
        </is>
      </c>
      <c r="G4052" t="inlineStr">
        <is>
          <t>UE</t>
        </is>
      </c>
      <c r="H4052" s="12" t="n">
        <v>3386.11</v>
      </c>
      <c r="I4052" s="17" t="n">
        <v>42789</v>
      </c>
      <c r="J4052" s="17" t="n">
        <v>42789</v>
      </c>
      <c r="K4052" t="inlineStr">
        <is>
          <t>P2017075</t>
        </is>
      </c>
    </row>
    <row r="4053">
      <c r="A4053" t="inlineStr">
        <is>
          <t>IC4420</t>
        </is>
      </c>
      <c r="B4053" t="inlineStr">
        <is>
          <t>NORDEX ENERGY SPAIN S A U</t>
        </is>
      </c>
      <c r="C4053" t="n">
        <v>1193100000</v>
      </c>
      <c r="D4053" t="inlineStr">
        <is>
          <t>Intercompany</t>
        </is>
      </c>
      <c r="E4053" t="n">
        <v>200018364</v>
      </c>
      <c r="F4053" t="inlineStr">
        <is>
          <t>11230</t>
        </is>
      </c>
      <c r="G4053" t="inlineStr">
        <is>
          <t>UE</t>
        </is>
      </c>
      <c r="H4053" s="12" t="n">
        <v>297.26</v>
      </c>
      <c r="I4053" s="17" t="n">
        <v>44008</v>
      </c>
      <c r="J4053" s="17" t="n">
        <v>44008</v>
      </c>
      <c r="K4053" t="inlineStr">
        <is>
          <t>20171774-20171775</t>
        </is>
      </c>
    </row>
    <row r="4054">
      <c r="A4054" t="inlineStr">
        <is>
          <t>IC4420</t>
        </is>
      </c>
      <c r="B4054" t="inlineStr">
        <is>
          <t>NORDEX ENERGY SPAIN S A U</t>
        </is>
      </c>
      <c r="C4054" t="n">
        <v>1193100000</v>
      </c>
      <c r="D4054" t="inlineStr">
        <is>
          <t>Intercompany</t>
        </is>
      </c>
      <c r="E4054" t="n">
        <v>200018365</v>
      </c>
      <c r="F4054" t="inlineStr">
        <is>
          <t>11231</t>
        </is>
      </c>
      <c r="G4054" t="inlineStr">
        <is>
          <t>UE</t>
        </is>
      </c>
      <c r="H4054" s="12" t="n">
        <v>26363.07</v>
      </c>
      <c r="I4054" s="17" t="n">
        <v>44011</v>
      </c>
      <c r="J4054" s="17" t="n">
        <v>44011</v>
      </c>
      <c r="K4054" t="inlineStr">
        <is>
          <t>2017977-20172197</t>
        </is>
      </c>
    </row>
    <row r="4055">
      <c r="A4055" t="inlineStr">
        <is>
          <t>IC4420</t>
        </is>
      </c>
      <c r="B4055" t="inlineStr">
        <is>
          <t>NORDEX ENERGY SPAIN S A U</t>
        </is>
      </c>
      <c r="C4055" t="n">
        <v>1193100000</v>
      </c>
      <c r="D4055" t="inlineStr">
        <is>
          <t>Intercompany</t>
        </is>
      </c>
      <c r="E4055" t="n">
        <v>200018366</v>
      </c>
      <c r="F4055" t="inlineStr">
        <is>
          <t>11232</t>
        </is>
      </c>
      <c r="G4055" t="inlineStr">
        <is>
          <t>UE</t>
        </is>
      </c>
      <c r="H4055" s="12" t="n">
        <v>5005.3</v>
      </c>
      <c r="I4055" s="17" t="n">
        <v>43286</v>
      </c>
      <c r="J4055" s="17" t="n">
        <v>43286</v>
      </c>
      <c r="K4055" t="inlineStr">
        <is>
          <t>40</t>
        </is>
      </c>
    </row>
    <row r="4056">
      <c r="A4056" t="inlineStr">
        <is>
          <t>IC4420</t>
        </is>
      </c>
      <c r="B4056" t="inlineStr">
        <is>
          <t>NORDEX ENERGY SPAIN S A U</t>
        </is>
      </c>
      <c r="C4056" t="n">
        <v>1193100000</v>
      </c>
      <c r="D4056" t="inlineStr">
        <is>
          <t>Intercompany</t>
        </is>
      </c>
      <c r="E4056" t="n">
        <v>200018367</v>
      </c>
      <c r="F4056" t="inlineStr">
        <is>
          <t>11233</t>
        </is>
      </c>
      <c r="G4056" t="inlineStr">
        <is>
          <t>UE</t>
        </is>
      </c>
      <c r="H4056" s="12" t="n">
        <v>827.4299999999999</v>
      </c>
      <c r="I4056" s="17" t="n">
        <v>43373</v>
      </c>
      <c r="J4056" s="17" t="n">
        <v>43373</v>
      </c>
      <c r="K4056" t="inlineStr">
        <is>
          <t>20181052</t>
        </is>
      </c>
    </row>
    <row r="4057">
      <c r="A4057" t="inlineStr">
        <is>
          <t>IC4420</t>
        </is>
      </c>
      <c r="B4057" t="inlineStr">
        <is>
          <t>NORDEX ENERGY SPAIN S A U</t>
        </is>
      </c>
      <c r="C4057" t="n">
        <v>1193100000</v>
      </c>
      <c r="D4057" t="inlineStr">
        <is>
          <t>Intercompany</t>
        </is>
      </c>
      <c r="E4057" t="n">
        <v>200018368</v>
      </c>
      <c r="F4057" t="inlineStr">
        <is>
          <t>11234</t>
        </is>
      </c>
      <c r="G4057" t="inlineStr">
        <is>
          <t>UE</t>
        </is>
      </c>
      <c r="H4057" s="12" t="n">
        <v>26569.68</v>
      </c>
      <c r="I4057" s="17" t="n">
        <v>44162</v>
      </c>
      <c r="J4057" s="17" t="n">
        <v>44162</v>
      </c>
      <c r="K4057" t="inlineStr">
        <is>
          <t>20181312.1</t>
        </is>
      </c>
    </row>
    <row r="4058">
      <c r="A4058" t="inlineStr">
        <is>
          <t>IC4420</t>
        </is>
      </c>
      <c r="B4058" t="inlineStr">
        <is>
          <t>NORDEX ENERGY SPAIN S A U</t>
        </is>
      </c>
      <c r="C4058" t="n">
        <v>1193100000</v>
      </c>
      <c r="D4058" t="inlineStr">
        <is>
          <t>Intercompany</t>
        </is>
      </c>
      <c r="E4058" t="n">
        <v>200018370</v>
      </c>
      <c r="F4058" t="inlineStr">
        <is>
          <t>11236</t>
        </is>
      </c>
      <c r="G4058" t="inlineStr">
        <is>
          <t>UE</t>
        </is>
      </c>
      <c r="H4058" s="12" t="n">
        <v>13937.34</v>
      </c>
      <c r="I4058" s="17" t="n">
        <v>43160</v>
      </c>
      <c r="J4058" s="17" t="n">
        <v>43160</v>
      </c>
      <c r="K4058" t="inlineStr">
        <is>
          <t>20180487</t>
        </is>
      </c>
    </row>
    <row r="4059">
      <c r="A4059" t="inlineStr">
        <is>
          <t>IC4420</t>
        </is>
      </c>
      <c r="B4059" t="inlineStr">
        <is>
          <t>NORDEX ENERGY SPAIN S A U</t>
        </is>
      </c>
      <c r="C4059" t="n">
        <v>1193100000</v>
      </c>
      <c r="D4059" t="inlineStr">
        <is>
          <t>Intercompany</t>
        </is>
      </c>
      <c r="E4059" t="n">
        <v>200018371</v>
      </c>
      <c r="F4059" t="inlineStr">
        <is>
          <t>11237</t>
        </is>
      </c>
      <c r="G4059" t="inlineStr">
        <is>
          <t>UE</t>
        </is>
      </c>
      <c r="H4059" s="12" t="n">
        <v>73019.41</v>
      </c>
      <c r="I4059" s="17" t="n">
        <v>43265</v>
      </c>
      <c r="J4059" s="17" t="n">
        <v>43265</v>
      </c>
      <c r="K4059" t="inlineStr">
        <is>
          <t>20180485/20180486</t>
        </is>
      </c>
    </row>
    <row r="4060">
      <c r="A4060" t="inlineStr">
        <is>
          <t>IC4420</t>
        </is>
      </c>
      <c r="B4060" t="inlineStr">
        <is>
          <t>NORDEX ENERGY SPAIN S A U</t>
        </is>
      </c>
      <c r="C4060" t="n">
        <v>1193100000</v>
      </c>
      <c r="D4060" t="inlineStr">
        <is>
          <t>Intercompany</t>
        </is>
      </c>
      <c r="E4060" t="n">
        <v>200018373</v>
      </c>
      <c r="F4060" t="inlineStr">
        <is>
          <t>11239</t>
        </is>
      </c>
      <c r="G4060" t="inlineStr">
        <is>
          <t>UE</t>
        </is>
      </c>
      <c r="H4060" s="12" t="n">
        <v>142722.51</v>
      </c>
      <c r="I4060" s="17" t="n">
        <v>43264</v>
      </c>
      <c r="J4060" s="17" t="n">
        <v>43264</v>
      </c>
      <c r="K4060" t="inlineStr">
        <is>
          <t>20180490</t>
        </is>
      </c>
    </row>
    <row r="4061">
      <c r="A4061" t="inlineStr">
        <is>
          <t>IC4420</t>
        </is>
      </c>
      <c r="B4061" t="inlineStr">
        <is>
          <t>NORDEX ENERGY SPAIN S A U</t>
        </is>
      </c>
      <c r="C4061" t="n">
        <v>1193100000</v>
      </c>
      <c r="D4061" t="inlineStr">
        <is>
          <t>Intercompany</t>
        </is>
      </c>
      <c r="E4061" t="n">
        <v>200018375</v>
      </c>
      <c r="F4061" t="inlineStr">
        <is>
          <t>11240</t>
        </is>
      </c>
      <c r="G4061" t="inlineStr">
        <is>
          <t>UE</t>
        </is>
      </c>
      <c r="H4061" s="12" t="n">
        <v>31920.62</v>
      </c>
      <c r="I4061" s="17" t="n">
        <v>43278</v>
      </c>
      <c r="J4061" s="17" t="n">
        <v>43278</v>
      </c>
      <c r="K4061" t="inlineStr">
        <is>
          <t>20180990</t>
        </is>
      </c>
    </row>
    <row r="4062">
      <c r="A4062" t="inlineStr">
        <is>
          <t>IC4420</t>
        </is>
      </c>
      <c r="B4062" t="inlineStr">
        <is>
          <t>NORDEX ENERGY SPAIN S A U</t>
        </is>
      </c>
      <c r="C4062" t="n">
        <v>1193100000</v>
      </c>
      <c r="D4062" t="inlineStr">
        <is>
          <t>Intercompany</t>
        </is>
      </c>
      <c r="E4062" t="n">
        <v>200018377</v>
      </c>
      <c r="F4062" t="inlineStr">
        <is>
          <t>11242</t>
        </is>
      </c>
      <c r="G4062" t="inlineStr">
        <is>
          <t>UE</t>
        </is>
      </c>
      <c r="H4062" s="12" t="n">
        <v>13283.28</v>
      </c>
      <c r="I4062" s="17" t="n">
        <v>44544</v>
      </c>
      <c r="J4062" s="17" t="n">
        <v>44544</v>
      </c>
      <c r="K4062" t="inlineStr">
        <is>
          <t>20180788</t>
        </is>
      </c>
    </row>
    <row r="4063">
      <c r="A4063" t="inlineStr">
        <is>
          <t>IC4420</t>
        </is>
      </c>
      <c r="B4063" t="inlineStr">
        <is>
          <t>NORDEX ENERGY SPAIN S A U</t>
        </is>
      </c>
      <c r="C4063" t="n">
        <v>1193100000</v>
      </c>
      <c r="D4063" t="inlineStr">
        <is>
          <t>Intercompany</t>
        </is>
      </c>
      <c r="E4063" t="n">
        <v>200033720</v>
      </c>
      <c r="F4063" t="inlineStr">
        <is>
          <t>22592</t>
        </is>
      </c>
      <c r="G4063" t="inlineStr">
        <is>
          <t>UE</t>
        </is>
      </c>
      <c r="H4063" s="12" t="n">
        <v>23906.79</v>
      </c>
      <c r="I4063" s="17" t="n">
        <v>43451</v>
      </c>
      <c r="J4063" s="17" t="n">
        <v>43451</v>
      </c>
      <c r="K4063" t="inlineStr">
        <is>
          <t>20181312</t>
        </is>
      </c>
    </row>
    <row r="4064">
      <c r="A4064" t="inlineStr">
        <is>
          <t>IC1000</t>
        </is>
      </c>
      <c r="B4064" t="inlineStr">
        <is>
          <t>NORDEX ENERGY SE &amp; CO KG</t>
        </is>
      </c>
      <c r="C4064" t="n">
        <v>1193100000</v>
      </c>
      <c r="D4064" t="inlineStr">
        <is>
          <t>Intercompany</t>
        </is>
      </c>
      <c r="E4064" t="n">
        <v>1100000463</v>
      </c>
      <c r="F4064" t="inlineStr">
        <is>
          <t>IC1000 - 90585</t>
        </is>
      </c>
      <c r="G4064" t="inlineStr">
        <is>
          <t>AB</t>
        </is>
      </c>
      <c r="H4064" s="12" t="n">
        <v>-44661.07</v>
      </c>
      <c r="I4064" s="17" t="n">
        <v>45353</v>
      </c>
      <c r="J4064" s="17" t="n">
        <v>45353</v>
      </c>
      <c r="K4064" t="inlineStr">
        <is>
          <t>Clearing document NORDEX ENERGY SE &amp; CO. KG IC1000</t>
        </is>
      </c>
    </row>
    <row r="4065">
      <c r="A4065" t="inlineStr">
        <is>
          <t>IC1000</t>
        </is>
      </c>
      <c r="B4065" t="inlineStr">
        <is>
          <t>NORDEX ENERGY SE &amp; CO KG</t>
        </is>
      </c>
      <c r="C4065" t="n">
        <v>1193100000</v>
      </c>
      <c r="D4065" t="inlineStr">
        <is>
          <t>Intercompany</t>
        </is>
      </c>
      <c r="E4065" t="n">
        <v>1100000870</v>
      </c>
      <c r="F4065" t="inlineStr">
        <is>
          <t>COMP CARR DIUNIC</t>
        </is>
      </c>
      <c r="G4065" t="inlineStr">
        <is>
          <t>AB</t>
        </is>
      </c>
      <c r="H4065" s="12" t="n">
        <v>-6699206.44</v>
      </c>
      <c r="I4065" s="17" t="n">
        <v>45716</v>
      </c>
      <c r="J4065" s="17" t="n">
        <v>45716</v>
      </c>
      <c r="K4065" t="inlineStr">
        <is>
          <t>Clearing document NORDEX ENERGY SE &amp; CO KG COMP CA</t>
        </is>
      </c>
    </row>
    <row r="4066">
      <c r="A4066" t="inlineStr">
        <is>
          <t>IC1000</t>
        </is>
      </c>
      <c r="B4066" t="inlineStr">
        <is>
          <t>NORDEX ENERGY SE &amp; CO KG</t>
        </is>
      </c>
      <c r="C4066" t="n">
        <v>1193100000</v>
      </c>
      <c r="D4066" t="inlineStr">
        <is>
          <t>Intercompany</t>
        </is>
      </c>
      <c r="E4066" t="n">
        <v>1100009630</v>
      </c>
      <c r="F4066" t="inlineStr">
        <is>
          <t>CARR D.I UNI PT1</t>
        </is>
      </c>
      <c r="G4066" t="inlineStr">
        <is>
          <t>AB</t>
        </is>
      </c>
      <c r="H4066" s="12" t="n">
        <v>-6843051.24</v>
      </c>
      <c r="I4066" s="17" t="n">
        <v>45570</v>
      </c>
      <c r="J4066" s="17" t="n">
        <v>45570</v>
      </c>
      <c r="K4066" t="inlineStr">
        <is>
          <t>Clearing document NORDEX ENERGY SE &amp; CO KG CARR D.</t>
        </is>
      </c>
    </row>
    <row r="4067">
      <c r="A4067" t="inlineStr">
        <is>
          <t>IC1000</t>
        </is>
      </c>
      <c r="B4067" t="inlineStr">
        <is>
          <t>NORDEX ENERGY SE &amp; CO KG</t>
        </is>
      </c>
      <c r="C4067" t="n">
        <v>1193100000</v>
      </c>
      <c r="D4067" t="inlineStr">
        <is>
          <t>Intercompany</t>
        </is>
      </c>
      <c r="E4067" t="n">
        <v>1100010008</v>
      </c>
      <c r="F4067" t="inlineStr">
        <is>
          <t>CARR D.I UNI PT2</t>
        </is>
      </c>
      <c r="G4067" t="inlineStr">
        <is>
          <t>AB</t>
        </is>
      </c>
      <c r="H4067" s="12" t="n">
        <v>-2405851.28</v>
      </c>
      <c r="I4067" s="17" t="n">
        <v>45591</v>
      </c>
      <c r="J4067" s="17" t="n">
        <v>45591</v>
      </c>
      <c r="K4067" t="inlineStr">
        <is>
          <t>Clearing document NORDEX ENERGY SE &amp; CO KG CARR D.</t>
        </is>
      </c>
    </row>
    <row r="4068">
      <c r="A4068" t="inlineStr">
        <is>
          <t>IC1000</t>
        </is>
      </c>
      <c r="B4068" t="inlineStr">
        <is>
          <t>NORDEX ENERGY SE &amp; CO KG</t>
        </is>
      </c>
      <c r="C4068" t="n">
        <v>1193100000</v>
      </c>
      <c r="D4068" t="inlineStr">
        <is>
          <t>Intercompany</t>
        </is>
      </c>
      <c r="E4068" t="n">
        <v>1100010154</v>
      </c>
      <c r="F4068" t="inlineStr">
        <is>
          <t>COMPENSAÇ SEBO</t>
        </is>
      </c>
      <c r="G4068" t="inlineStr">
        <is>
          <t>AB</t>
        </is>
      </c>
      <c r="H4068" s="12" t="n">
        <v>-4696063.39</v>
      </c>
      <c r="I4068" s="17" t="n">
        <v>45591</v>
      </c>
      <c r="J4068" s="17" t="n">
        <v>45591</v>
      </c>
      <c r="K4068" t="inlineStr">
        <is>
          <t>Clearing document NORDEX ENERGY SE &amp; CO KG COMPENS</t>
        </is>
      </c>
    </row>
    <row r="4069">
      <c r="A4069" t="inlineStr">
        <is>
          <t>IC1000</t>
        </is>
      </c>
      <c r="B4069" t="inlineStr">
        <is>
          <t>NORDEX ENERGY SE &amp; CO KG</t>
        </is>
      </c>
      <c r="C4069" t="n">
        <v>1193100000</v>
      </c>
      <c r="D4069" t="inlineStr">
        <is>
          <t>Intercompany</t>
        </is>
      </c>
      <c r="E4069" t="n">
        <v>1100010155</v>
      </c>
      <c r="F4069" t="inlineStr">
        <is>
          <t>COMPENSAÇ FEIJ6</t>
        </is>
      </c>
      <c r="G4069" t="inlineStr">
        <is>
          <t>AB</t>
        </is>
      </c>
      <c r="H4069" s="12" t="n">
        <v>-7233678.91</v>
      </c>
      <c r="I4069" s="17" t="n">
        <v>45591</v>
      </c>
      <c r="J4069" s="17" t="n">
        <v>45591</v>
      </c>
      <c r="K4069" t="inlineStr">
        <is>
          <t>Clearing document NORDEX ENERGY SE &amp; CO KG COMPENS</t>
        </is>
      </c>
    </row>
    <row r="4070">
      <c r="A4070" t="inlineStr">
        <is>
          <t>IC1000</t>
        </is>
      </c>
      <c r="B4070" t="inlineStr">
        <is>
          <t>NORDEX ENERGY SE &amp; CO KG</t>
        </is>
      </c>
      <c r="C4070" t="n">
        <v>1193100000</v>
      </c>
      <c r="D4070" t="inlineStr">
        <is>
          <t>Intercompany</t>
        </is>
      </c>
      <c r="E4070" t="n">
        <v>1100010157</v>
      </c>
      <c r="F4070" t="inlineStr">
        <is>
          <t>COMPENSAÇ 1000</t>
        </is>
      </c>
      <c r="G4070" t="inlineStr">
        <is>
          <t>AB</t>
        </is>
      </c>
      <c r="H4070" s="12" t="n">
        <v>-2623950.57</v>
      </c>
      <c r="I4070" s="17" t="n">
        <v>45591</v>
      </c>
      <c r="J4070" s="17" t="n">
        <v>45591</v>
      </c>
      <c r="K4070" t="inlineStr">
        <is>
          <t>Clearing document NORDEX ENERGY SE &amp; CO KG COMPENS</t>
        </is>
      </c>
    </row>
    <row r="4071">
      <c r="A4071" t="inlineStr">
        <is>
          <t>IC1000</t>
        </is>
      </c>
      <c r="B4071" t="inlineStr">
        <is>
          <t>NORDEX ENERGY SE &amp; CO KG</t>
        </is>
      </c>
      <c r="C4071" t="n">
        <v>1193100000</v>
      </c>
      <c r="D4071" t="inlineStr">
        <is>
          <t>Intercompany</t>
        </is>
      </c>
      <c r="E4071" t="n">
        <v>1100010377</v>
      </c>
      <c r="F4071" t="inlineStr">
        <is>
          <t>COMP CAJU</t>
        </is>
      </c>
      <c r="G4071" t="inlineStr">
        <is>
          <t>AB</t>
        </is>
      </c>
      <c r="H4071" s="12" t="n">
        <v>-4483740.09</v>
      </c>
      <c r="I4071" s="17" t="n">
        <v>45605</v>
      </c>
      <c r="J4071" s="17" t="n">
        <v>45605</v>
      </c>
      <c r="K4071" t="inlineStr">
        <is>
          <t>Clearing document NORDEX ENERGY SE &amp; CO KG COMP CA</t>
        </is>
      </c>
    </row>
    <row r="4072">
      <c r="A4072" t="inlineStr">
        <is>
          <t>IC1000</t>
        </is>
      </c>
      <c r="B4072" t="inlineStr">
        <is>
          <t>NORDEX ENERGY SE &amp; CO KG</t>
        </is>
      </c>
      <c r="C4072" t="n">
        <v>1193100000</v>
      </c>
      <c r="D4072" t="inlineStr">
        <is>
          <t>Intercompany</t>
        </is>
      </c>
      <c r="E4072" t="n">
        <v>1100010390</v>
      </c>
      <c r="F4072" t="inlineStr">
        <is>
          <t>COMP PASSAGEM</t>
        </is>
      </c>
      <c r="G4072" t="inlineStr">
        <is>
          <t>AB</t>
        </is>
      </c>
      <c r="H4072" s="12" t="n">
        <v>-3236027.92</v>
      </c>
      <c r="I4072" s="17" t="n">
        <v>45605</v>
      </c>
      <c r="J4072" s="17" t="n">
        <v>45605</v>
      </c>
      <c r="K4072" t="inlineStr">
        <is>
          <t>Clearing document NORDEX ENERGY SE &amp; CO KG COMP PA</t>
        </is>
      </c>
    </row>
    <row r="4073">
      <c r="A4073" t="inlineStr">
        <is>
          <t>IC1000</t>
        </is>
      </c>
      <c r="B4073" t="inlineStr">
        <is>
          <t>NORDEX ENERGY SE &amp; CO KG</t>
        </is>
      </c>
      <c r="C4073" t="n">
        <v>1193100000</v>
      </c>
      <c r="D4073" t="inlineStr">
        <is>
          <t>Intercompany</t>
        </is>
      </c>
      <c r="E4073" t="n">
        <v>1100010590</v>
      </c>
      <c r="F4073" t="inlineStr">
        <is>
          <t>COMP PASSAGEM</t>
        </is>
      </c>
      <c r="G4073" t="inlineStr">
        <is>
          <t>AB</t>
        </is>
      </c>
      <c r="H4073" s="12" t="n">
        <v>-21814310.62</v>
      </c>
      <c r="I4073" s="17" t="n">
        <v>45619</v>
      </c>
      <c r="J4073" s="17" t="n">
        <v>45619</v>
      </c>
      <c r="K4073" t="inlineStr">
        <is>
          <t>Clearing document NORDEX ENERGY SE &amp; CO KG COMP PA</t>
        </is>
      </c>
    </row>
    <row r="4074">
      <c r="A4074" t="inlineStr">
        <is>
          <t>IC1000</t>
        </is>
      </c>
      <c r="B4074" t="inlineStr">
        <is>
          <t>NORDEX ENERGY SE &amp; CO KG</t>
        </is>
      </c>
      <c r="C4074" t="n">
        <v>1193100000</v>
      </c>
      <c r="D4074" t="inlineStr">
        <is>
          <t>Intercompany</t>
        </is>
      </c>
      <c r="E4074" t="n">
        <v>1100010903</v>
      </c>
      <c r="F4074" t="inlineStr">
        <is>
          <t>COMP DIUNICAITAU</t>
        </is>
      </c>
      <c r="G4074" t="inlineStr">
        <is>
          <t>AB</t>
        </is>
      </c>
      <c r="H4074" s="12" t="n">
        <v>-30547883.14</v>
      </c>
      <c r="I4074" s="17" t="n">
        <v>45633</v>
      </c>
      <c r="J4074" s="17" t="n">
        <v>45633</v>
      </c>
      <c r="K4074" t="inlineStr">
        <is>
          <t>Clearing document NORDEX ENERGY SE &amp; CO KG COMP DI</t>
        </is>
      </c>
    </row>
    <row r="4075">
      <c r="A4075" t="inlineStr">
        <is>
          <t>IC1000</t>
        </is>
      </c>
      <c r="B4075" t="inlineStr">
        <is>
          <t>NORDEX ENERGY SE &amp; CO KG</t>
        </is>
      </c>
      <c r="C4075" t="n">
        <v>1193100000</v>
      </c>
      <c r="D4075" t="inlineStr">
        <is>
          <t>Intercompany</t>
        </is>
      </c>
      <c r="E4075" t="n">
        <v>1100010905</v>
      </c>
      <c r="F4075" t="inlineStr">
        <is>
          <t>COMP ITAÚNA</t>
        </is>
      </c>
      <c r="G4075" t="inlineStr">
        <is>
          <t>AB</t>
        </is>
      </c>
      <c r="H4075" s="12" t="n">
        <v>-996846.29</v>
      </c>
      <c r="I4075" s="17" t="n">
        <v>45633</v>
      </c>
      <c r="J4075" s="17" t="n">
        <v>45633</v>
      </c>
      <c r="K4075" t="inlineStr">
        <is>
          <t>Clearing document NORDEX ENERGY SE &amp; CO KG COMP IT</t>
        </is>
      </c>
    </row>
    <row r="4076">
      <c r="A4076" t="inlineStr">
        <is>
          <t>IC1000</t>
        </is>
      </c>
      <c r="B4076" t="inlineStr">
        <is>
          <t>NORDEX ENERGY SE &amp; CO KG</t>
        </is>
      </c>
      <c r="C4076" t="n">
        <v>1193100000</v>
      </c>
      <c r="D4076" t="inlineStr">
        <is>
          <t>Intercompany</t>
        </is>
      </c>
      <c r="E4076" t="n">
        <v>1100010906</v>
      </c>
      <c r="G4076" t="inlineStr">
        <is>
          <t>AB</t>
        </is>
      </c>
      <c r="H4076" s="12" t="n">
        <v>-10113353.19</v>
      </c>
      <c r="I4076" s="17" t="n">
        <v>45633</v>
      </c>
      <c r="J4076" s="17" t="n">
        <v>45633</v>
      </c>
      <c r="K4076" t="inlineStr">
        <is>
          <t>Clearing document NORDEX ENERGY SE &amp; CO KG</t>
        </is>
      </c>
    </row>
    <row r="4077">
      <c r="A4077" t="inlineStr">
        <is>
          <t>IC1000</t>
        </is>
      </c>
      <c r="B4077" t="inlineStr">
        <is>
          <t>NORDEX ENERGY SE &amp; CO KG</t>
        </is>
      </c>
      <c r="C4077" t="n">
        <v>1193100000</v>
      </c>
      <c r="D4077" t="inlineStr">
        <is>
          <t>Intercompany</t>
        </is>
      </c>
      <c r="E4077" t="n">
        <v>1100011011</v>
      </c>
      <c r="F4077" t="inlineStr">
        <is>
          <t>COMP ITAUDIUNICA</t>
        </is>
      </c>
      <c r="G4077" t="inlineStr">
        <is>
          <t>AB</t>
        </is>
      </c>
      <c r="H4077" s="12" t="n">
        <v>-20387147.34</v>
      </c>
      <c r="I4077" s="17" t="n">
        <v>45640</v>
      </c>
      <c r="J4077" s="17" t="n">
        <v>45640</v>
      </c>
      <c r="K4077" t="inlineStr">
        <is>
          <t>Clearing document NORDEX ENERGY SE &amp; CO KG COMP IT</t>
        </is>
      </c>
    </row>
    <row r="4078">
      <c r="A4078" t="inlineStr">
        <is>
          <t>IC1000</t>
        </is>
      </c>
      <c r="B4078" t="inlineStr">
        <is>
          <t>NORDEX ENERGY SE &amp; CO KG</t>
        </is>
      </c>
      <c r="C4078" t="n">
        <v>1193100000</v>
      </c>
      <c r="D4078" t="inlineStr">
        <is>
          <t>Intercompany</t>
        </is>
      </c>
      <c r="E4078" t="n">
        <v>1300003059</v>
      </c>
      <c r="F4078" t="inlineStr">
        <is>
          <t>BR-ITAU-01-BR-C</t>
        </is>
      </c>
      <c r="G4078" t="inlineStr">
        <is>
          <t>KZ</t>
        </is>
      </c>
      <c r="H4078" s="12" t="n">
        <v>53970000</v>
      </c>
      <c r="I4078" s="17" t="n">
        <v>45479</v>
      </c>
      <c r="J4078" s="17" t="n">
        <v>45479</v>
      </c>
      <c r="K4078" t="inlineStr">
        <is>
          <t>Vendor DP Request NORDEX ENERGY SE &amp; CO KG BR-ITAU</t>
        </is>
      </c>
    </row>
    <row r="4079">
      <c r="A4079" t="inlineStr">
        <is>
          <t>IC1000</t>
        </is>
      </c>
      <c r="B4079" t="inlineStr">
        <is>
          <t>NORDEX ENERGY SE &amp; CO KG</t>
        </is>
      </c>
      <c r="C4079" t="n">
        <v>1193100000</v>
      </c>
      <c r="D4079" t="inlineStr">
        <is>
          <t>Intercompany</t>
        </is>
      </c>
      <c r="E4079" t="n">
        <v>1300003060</v>
      </c>
      <c r="F4079" t="inlineStr">
        <is>
          <t>BR-SEBO-01-BR-C</t>
        </is>
      </c>
      <c r="G4079" t="inlineStr">
        <is>
          <t>KZ</t>
        </is>
      </c>
      <c r="H4079" s="12" t="n">
        <v>26985000</v>
      </c>
      <c r="I4079" s="17" t="n">
        <v>45479</v>
      </c>
      <c r="J4079" s="17" t="n">
        <v>45479</v>
      </c>
      <c r="K4079" t="inlineStr">
        <is>
          <t>BR-SEBO-01-BR-C</t>
        </is>
      </c>
    </row>
    <row r="4080">
      <c r="A4080" t="inlineStr">
        <is>
          <t>IC1000</t>
        </is>
      </c>
      <c r="B4080" t="inlineStr">
        <is>
          <t>NORDEX ENERGY SE &amp; CO KG</t>
        </is>
      </c>
      <c r="C4080" t="n">
        <v>1193100000</v>
      </c>
      <c r="D4080" t="inlineStr">
        <is>
          <t>Intercompany</t>
        </is>
      </c>
      <c r="E4080" t="n">
        <v>1300003062</v>
      </c>
      <c r="F4080" t="inlineStr">
        <is>
          <t>BR-FEIJ-01-BR-C</t>
        </is>
      </c>
      <c r="G4080" t="inlineStr">
        <is>
          <t>KZ</t>
        </is>
      </c>
      <c r="H4080" s="12" t="n">
        <v>54250000</v>
      </c>
      <c r="I4080" s="17" t="n">
        <v>45479</v>
      </c>
      <c r="J4080" s="17" t="n">
        <v>45479</v>
      </c>
      <c r="K4080" t="inlineStr">
        <is>
          <t>BR-FEIJ-01-BR-C</t>
        </is>
      </c>
    </row>
    <row r="4081">
      <c r="A4081" t="inlineStr">
        <is>
          <t>IC1000</t>
        </is>
      </c>
      <c r="B4081" t="inlineStr">
        <is>
          <t>NORDEX ENERGY SE &amp; CO KG</t>
        </is>
      </c>
      <c r="C4081" t="n">
        <v>1193100000</v>
      </c>
      <c r="D4081" t="inlineStr">
        <is>
          <t>Intercompany</t>
        </is>
      </c>
      <c r="E4081" t="n">
        <v>1300003065</v>
      </c>
      <c r="F4081" t="inlineStr">
        <is>
          <t>BR-PASS-01-BR-C</t>
        </is>
      </c>
      <c r="G4081" t="inlineStr">
        <is>
          <t>KZ</t>
        </is>
      </c>
      <c r="H4081" s="12" t="n">
        <v>22328444.55</v>
      </c>
      <c r="I4081" s="17" t="n">
        <v>45479</v>
      </c>
      <c r="J4081" s="17" t="n">
        <v>45479</v>
      </c>
      <c r="K4081" t="inlineStr">
        <is>
          <t>BR-PASS-01-BR-C</t>
        </is>
      </c>
    </row>
    <row r="4082">
      <c r="A4082" t="inlineStr">
        <is>
          <t>IC1000</t>
        </is>
      </c>
      <c r="B4082" t="inlineStr">
        <is>
          <t>NORDEX ENERGY SE &amp; CO KG</t>
        </is>
      </c>
      <c r="C4082" t="n">
        <v>1193100000</v>
      </c>
      <c r="D4082" t="inlineStr">
        <is>
          <t>Intercompany</t>
        </is>
      </c>
      <c r="E4082" t="n">
        <v>1300003068</v>
      </c>
      <c r="F4082" t="inlineStr">
        <is>
          <t>BR-CARR-01-BR-C</t>
        </is>
      </c>
      <c r="G4082" t="inlineStr">
        <is>
          <t>KZ</t>
        </is>
      </c>
      <c r="H4082" s="12" t="n">
        <v>24934140</v>
      </c>
      <c r="I4082" s="17" t="n">
        <v>45479</v>
      </c>
      <c r="J4082" s="17" t="n">
        <v>45479</v>
      </c>
      <c r="K4082" t="inlineStr">
        <is>
          <t>BR-CARR-01-BR-C</t>
        </is>
      </c>
    </row>
    <row r="4083">
      <c r="A4083" t="inlineStr">
        <is>
          <t>IC1000</t>
        </is>
      </c>
      <c r="B4083" t="inlineStr">
        <is>
          <t>NORDEX ENERGY SE &amp; CO KG</t>
        </is>
      </c>
      <c r="C4083" t="n">
        <v>1193100000</v>
      </c>
      <c r="D4083" t="inlineStr">
        <is>
          <t>Intercompany</t>
        </is>
      </c>
      <c r="E4083" t="n">
        <v>1300003180</v>
      </c>
      <c r="F4083" t="inlineStr">
        <is>
          <t>LAVE OFFSET 1807</t>
        </is>
      </c>
      <c r="G4083" t="inlineStr">
        <is>
          <t>KZ</t>
        </is>
      </c>
      <c r="H4083" s="12" t="n">
        <v>-136.88</v>
      </c>
      <c r="I4083" s="17" t="n">
        <v>45486</v>
      </c>
      <c r="J4083" s="17" t="n">
        <v>45486</v>
      </c>
      <c r="K4083" t="inlineStr">
        <is>
          <t>Vendor payment NORDEX ENERGY SE &amp; CO KG LAVE OFFSE</t>
        </is>
      </c>
    </row>
    <row r="4084">
      <c r="A4084" t="inlineStr">
        <is>
          <t>IC1000</t>
        </is>
      </c>
      <c r="B4084" t="inlineStr">
        <is>
          <t>NORDEX ENERGY SE &amp; CO KG</t>
        </is>
      </c>
      <c r="C4084" t="n">
        <v>1193100000</v>
      </c>
      <c r="D4084" t="inlineStr">
        <is>
          <t>Intercompany</t>
        </is>
      </c>
      <c r="E4084" t="n">
        <v>1300003181</v>
      </c>
      <c r="F4084" t="inlineStr">
        <is>
          <t>CAJU OFFSET 1807</t>
        </is>
      </c>
      <c r="G4084" t="inlineStr">
        <is>
          <t>KZ</t>
        </is>
      </c>
      <c r="H4084" s="12" t="n">
        <v>-58.9</v>
      </c>
      <c r="I4084" s="17" t="n">
        <v>45486</v>
      </c>
      <c r="J4084" s="17" t="n">
        <v>45486</v>
      </c>
      <c r="K4084" t="inlineStr">
        <is>
          <t>Vendor payment NORDEX ENERGY SE &amp; CO KG CAJU OFFSE</t>
        </is>
      </c>
    </row>
    <row r="4085">
      <c r="A4085" t="inlineStr">
        <is>
          <t>IC1000</t>
        </is>
      </c>
      <c r="B4085" t="inlineStr">
        <is>
          <t>NORDEX ENERGY SE &amp; CO KG</t>
        </is>
      </c>
      <c r="C4085" t="n">
        <v>1193100000</v>
      </c>
      <c r="D4085" t="inlineStr">
        <is>
          <t>Intercompany</t>
        </is>
      </c>
      <c r="E4085" t="n">
        <v>1300003236</v>
      </c>
      <c r="F4085" t="inlineStr">
        <is>
          <t>BX FEIJ 5 EMBARQ</t>
        </is>
      </c>
      <c r="G4085" t="inlineStr">
        <is>
          <t>KZ</t>
        </is>
      </c>
      <c r="H4085" s="12" t="n">
        <v>-7572914.57</v>
      </c>
      <c r="I4085" s="17" t="n">
        <v>45501</v>
      </c>
      <c r="J4085" s="17" t="n">
        <v>45501</v>
      </c>
      <c r="K4085" t="inlineStr">
        <is>
          <t>Vendor payment NORDEX ENERGY SE &amp; CO KG BX FEIJ 5</t>
        </is>
      </c>
    </row>
    <row r="4086">
      <c r="A4086" t="inlineStr">
        <is>
          <t>IC1000</t>
        </is>
      </c>
      <c r="B4086" t="inlineStr">
        <is>
          <t>NORDEX ENERGY SE &amp; CO KG</t>
        </is>
      </c>
      <c r="C4086" t="n">
        <v>1193100000</v>
      </c>
      <c r="D4086" t="inlineStr">
        <is>
          <t>Intercompany</t>
        </is>
      </c>
      <c r="E4086" t="n">
        <v>1300003256</v>
      </c>
      <c r="F4086" t="inlineStr">
        <is>
          <t>BX 2 FEIJ 5 EMB</t>
        </is>
      </c>
      <c r="G4086" t="inlineStr">
        <is>
          <t>KZ</t>
        </is>
      </c>
      <c r="H4086" s="12" t="n">
        <v>-15694370.98</v>
      </c>
      <c r="I4086" s="17" t="n">
        <v>45501</v>
      </c>
      <c r="J4086" s="17" t="n">
        <v>45501</v>
      </c>
      <c r="K4086" t="inlineStr">
        <is>
          <t>Vendor payment NORDEX ENERGY SE &amp; CO KG BX 2 FEIJ</t>
        </is>
      </c>
    </row>
    <row r="4087">
      <c r="A4087" t="inlineStr">
        <is>
          <t>IC1000</t>
        </is>
      </c>
      <c r="B4087" t="inlineStr">
        <is>
          <t>NORDEX ENERGY SE &amp; CO KG</t>
        </is>
      </c>
      <c r="C4087" t="n">
        <v>1193100000</v>
      </c>
      <c r="D4087" t="inlineStr">
        <is>
          <t>Intercompany</t>
        </is>
      </c>
      <c r="E4087" t="n">
        <v>1300004821</v>
      </c>
      <c r="F4087" t="inlineStr">
        <is>
          <t>621551 CAJU-03</t>
        </is>
      </c>
      <c r="G4087" t="inlineStr">
        <is>
          <t>KZ</t>
        </is>
      </c>
      <c r="H4087" s="12" t="n">
        <v>36276000</v>
      </c>
      <c r="I4087" s="17" t="n">
        <v>45701</v>
      </c>
      <c r="J4087" s="17" t="n">
        <v>45701</v>
      </c>
      <c r="K4087" t="inlineStr">
        <is>
          <t>Advance Payment 621551 - NBR-CAJU-03-EN</t>
        </is>
      </c>
    </row>
    <row r="4088">
      <c r="A4088" t="inlineStr">
        <is>
          <t>101508</t>
        </is>
      </c>
      <c r="B4088" t="inlineStr">
        <is>
          <t>RANDSTAD BRASIL RECURSOS HUMANOS LT</t>
        </is>
      </c>
      <c r="C4088" t="n">
        <v>1191000000</v>
      </c>
      <c r="D4088" t="inlineStr">
        <is>
          <t>Other Suppliers</t>
        </is>
      </c>
      <c r="E4088" t="n">
        <v>203365</v>
      </c>
      <c r="F4088" t="inlineStr">
        <is>
          <t>217944</t>
        </is>
      </c>
      <c r="G4088" t="inlineStr">
        <is>
          <t>SA</t>
        </is>
      </c>
      <c r="H4088" s="12" t="n">
        <v>969.85</v>
      </c>
      <c r="I4088" s="17" t="n">
        <v>45778</v>
      </c>
      <c r="J4088" s="17" t="n">
        <v>45778</v>
      </c>
      <c r="K4088" t="inlineStr">
        <is>
          <t>Documento cta.Razão RANDSTAD BRASIL RECURSOS HUMAN</t>
        </is>
      </c>
    </row>
    <row r="4089">
      <c r="A4089" t="inlineStr">
        <is>
          <t>101269</t>
        </is>
      </c>
      <c r="B4089" t="inlineStr">
        <is>
          <t>CERTISIGN CERTIFICADORA DIGITAL SA</t>
        </is>
      </c>
      <c r="C4089" t="n">
        <v>1191000000</v>
      </c>
      <c r="D4089" t="inlineStr">
        <is>
          <t>Other Suppliers</t>
        </is>
      </c>
      <c r="E4089" t="n">
        <v>300147</v>
      </c>
      <c r="G4089" t="inlineStr">
        <is>
          <t>KZ</t>
        </is>
      </c>
      <c r="H4089" s="12" t="n">
        <v>294.9</v>
      </c>
      <c r="I4089" s="17" t="n">
        <v>45177</v>
      </c>
      <c r="J4089" s="17" t="n">
        <v>45177</v>
      </c>
      <c r="K4089" t="inlineStr">
        <is>
          <t>Documento fornecedor CERTISIGN CERTIFICADORA DIGIT</t>
        </is>
      </c>
    </row>
    <row r="4090">
      <c r="A4090" t="inlineStr">
        <is>
          <t>101265</t>
        </is>
      </c>
      <c r="B4090" t="inlineStr">
        <is>
          <t>NET2PHONE BRASIL TELECOMUNICAÇÕES L</t>
        </is>
      </c>
      <c r="C4090" t="n">
        <v>1191000000</v>
      </c>
      <c r="D4090" t="inlineStr">
        <is>
          <t>Other Suppliers</t>
        </is>
      </c>
      <c r="E4090" t="n">
        <v>300171</v>
      </c>
      <c r="G4090" t="inlineStr">
        <is>
          <t>KZ</t>
        </is>
      </c>
      <c r="H4090" s="12" t="n">
        <v>1155.18</v>
      </c>
      <c r="I4090" s="17" t="n">
        <v>45182</v>
      </c>
      <c r="J4090" s="17" t="n">
        <v>45182</v>
      </c>
      <c r="K4090" t="inlineStr">
        <is>
          <t>Vendor DP Request IDT BRASIL TELECOMUNICACOES LTDA</t>
        </is>
      </c>
    </row>
    <row r="4091">
      <c r="A4091" t="inlineStr">
        <is>
          <t>101265</t>
        </is>
      </c>
      <c r="B4091" t="inlineStr">
        <is>
          <t>NET2PHONE BRASIL TELECOMUNICAÇÕES L</t>
        </is>
      </c>
      <c r="C4091" t="n">
        <v>1191000000</v>
      </c>
      <c r="D4091" t="inlineStr">
        <is>
          <t>Other Suppliers</t>
        </is>
      </c>
      <c r="E4091" t="n">
        <v>300171</v>
      </c>
      <c r="G4091" t="inlineStr">
        <is>
          <t>KZ</t>
        </is>
      </c>
      <c r="H4091" s="12" t="n">
        <v>1155.18</v>
      </c>
      <c r="I4091" s="17" t="n">
        <v>45182</v>
      </c>
      <c r="J4091" s="17" t="n">
        <v>45182</v>
      </c>
      <c r="K4091" t="inlineStr">
        <is>
          <t>Vendor DP Request IDT BRASIL TELECOMUNICACOES LTDA</t>
        </is>
      </c>
    </row>
    <row r="4092">
      <c r="A4092" t="inlineStr">
        <is>
          <t>102140</t>
        </is>
      </c>
      <c r="B4092" t="inlineStr">
        <is>
          <t>SERASA SA</t>
        </is>
      </c>
      <c r="C4092" t="n">
        <v>1191000000</v>
      </c>
      <c r="D4092" t="inlineStr">
        <is>
          <t>Other Suppliers</t>
        </is>
      </c>
      <c r="E4092" t="n">
        <v>300180</v>
      </c>
      <c r="G4092" t="inlineStr">
        <is>
          <t>KZ</t>
        </is>
      </c>
      <c r="H4092" s="12" t="n">
        <v>1485.64</v>
      </c>
      <c r="I4092" s="17" t="n">
        <v>45182</v>
      </c>
      <c r="J4092" s="17" t="n">
        <v>45182</v>
      </c>
      <c r="K4092" t="inlineStr">
        <is>
          <t>Vendor DP Request SERASA SA 1796731</t>
        </is>
      </c>
    </row>
    <row r="4093">
      <c r="A4093" t="inlineStr">
        <is>
          <t>102084</t>
        </is>
      </c>
      <c r="B4093" t="inlineStr">
        <is>
          <t>TELEFONICA BRASIL SA</t>
        </is>
      </c>
      <c r="C4093" t="n">
        <v>1191000000</v>
      </c>
      <c r="D4093" t="inlineStr">
        <is>
          <t>Facilities</t>
        </is>
      </c>
      <c r="E4093" t="n">
        <v>300297</v>
      </c>
      <c r="G4093" t="inlineStr">
        <is>
          <t>KZ</t>
        </is>
      </c>
      <c r="H4093" s="12" t="n">
        <v>1640.95</v>
      </c>
      <c r="I4093" s="17" t="n">
        <v>45188</v>
      </c>
      <c r="J4093" s="17" t="n">
        <v>45188</v>
      </c>
      <c r="K4093" t="inlineStr">
        <is>
          <t>Documento fornecedor TELEFONICA BRASIL SA 17145787</t>
        </is>
      </c>
    </row>
    <row r="4094">
      <c r="A4094" t="inlineStr">
        <is>
          <t>102001</t>
        </is>
      </c>
      <c r="B4094" t="inlineStr">
        <is>
          <t>TRIBUNAL REGIONAL TRABALHO 21A REGI</t>
        </is>
      </c>
      <c r="C4094" t="n">
        <v>1191000000</v>
      </c>
      <c r="D4094" t="inlineStr">
        <is>
          <t>Legal Services Suppliers</t>
        </is>
      </c>
      <c r="E4094" t="n">
        <v>300345</v>
      </c>
      <c r="G4094" t="inlineStr">
        <is>
          <t>KZ</t>
        </is>
      </c>
      <c r="H4094" s="12" t="n">
        <v>11448.19</v>
      </c>
      <c r="I4094" s="17" t="n">
        <v>45189</v>
      </c>
      <c r="J4094" s="17" t="n">
        <v>45189</v>
      </c>
      <c r="K4094" t="inlineStr">
        <is>
          <t>Documento fornecedor TRIBUNAL REGIONAL TRABALHO 21</t>
        </is>
      </c>
    </row>
    <row r="4095">
      <c r="A4095" t="inlineStr">
        <is>
          <t>102486</t>
        </is>
      </c>
      <c r="B4095" t="inlineStr">
        <is>
          <t>F&amp;F ATIVIDADES ESPORTIVAS LTDA</t>
        </is>
      </c>
      <c r="C4095" t="n">
        <v>1191000000</v>
      </c>
      <c r="D4095" t="inlineStr">
        <is>
          <t>Other Suppliers</t>
        </is>
      </c>
      <c r="E4095" t="n">
        <v>300435</v>
      </c>
      <c r="G4095" t="inlineStr">
        <is>
          <t>KZ</t>
        </is>
      </c>
      <c r="H4095" s="12" t="n">
        <v>16732</v>
      </c>
      <c r="I4095" s="17" t="n">
        <v>45145</v>
      </c>
      <c r="J4095" s="17" t="n">
        <v>45145</v>
      </c>
      <c r="K4095" t="inlineStr">
        <is>
          <t>Documento fornecedor F&amp;F ATIVIDADES ESPORTIVAS LTD</t>
        </is>
      </c>
    </row>
    <row r="4096">
      <c r="A4096" t="inlineStr">
        <is>
          <t>EM000121</t>
        </is>
      </c>
      <c r="B4096" t="inlineStr">
        <is>
          <t>WILLIAM VICENTE DA SILVA</t>
        </is>
      </c>
      <c r="C4096" t="n">
        <v>1191000000</v>
      </c>
      <c r="D4096" t="inlineStr">
        <is>
          <t>Nordex Employees</t>
        </is>
      </c>
      <c r="E4096" t="n">
        <v>300529</v>
      </c>
      <c r="G4096" t="inlineStr">
        <is>
          <t>KZ</t>
        </is>
      </c>
      <c r="H4096" s="12" t="n">
        <v>1643.2</v>
      </c>
      <c r="I4096" s="17" t="n">
        <v>45142</v>
      </c>
      <c r="J4096" s="17" t="n">
        <v>45142</v>
      </c>
      <c r="K4096" t="inlineStr">
        <is>
          <t>Documento fornecedor WILLIAM VICENTE DA SILVA 04.2</t>
        </is>
      </c>
    </row>
    <row r="4097">
      <c r="A4097" t="inlineStr">
        <is>
          <t>EM000121</t>
        </is>
      </c>
      <c r="B4097" t="inlineStr">
        <is>
          <t>WILLIAM VICENTE DA SILVA</t>
        </is>
      </c>
      <c r="C4097" t="n">
        <v>1191000000</v>
      </c>
      <c r="D4097" t="inlineStr">
        <is>
          <t>Nordex Employees</t>
        </is>
      </c>
      <c r="E4097" t="n">
        <v>300529</v>
      </c>
      <c r="G4097" t="inlineStr">
        <is>
          <t>KZ</t>
        </is>
      </c>
      <c r="H4097" s="12" t="n">
        <v>2371.2</v>
      </c>
      <c r="I4097" s="17" t="n">
        <v>45142</v>
      </c>
      <c r="J4097" s="17" t="n">
        <v>45142</v>
      </c>
      <c r="K4097" t="inlineStr">
        <is>
          <t>Documento fornecedor WILLIAM VICENTE DA SILVA 07.2</t>
        </is>
      </c>
    </row>
    <row r="4098">
      <c r="A4098" t="inlineStr">
        <is>
          <t>EM000020</t>
        </is>
      </c>
      <c r="B4098" t="inlineStr">
        <is>
          <t>JOAO JORGE DA SILVA TEMOTEO</t>
        </is>
      </c>
      <c r="C4098" t="n">
        <v>1191000000</v>
      </c>
      <c r="D4098" t="inlineStr">
        <is>
          <t>Nordex Employees</t>
        </is>
      </c>
      <c r="E4098" t="n">
        <v>300532</v>
      </c>
      <c r="G4098" t="inlineStr">
        <is>
          <t>KZ</t>
        </is>
      </c>
      <c r="H4098" s="12" t="n">
        <v>2001.8</v>
      </c>
      <c r="I4098" s="17" t="n">
        <v>45147</v>
      </c>
      <c r="J4098" s="17" t="n">
        <v>45147</v>
      </c>
      <c r="K4098" t="inlineStr">
        <is>
          <t>Documento fornecedor JOAO JORGE DA SILVA TEMOTEO</t>
        </is>
      </c>
    </row>
    <row r="4099">
      <c r="A4099" t="inlineStr">
        <is>
          <t>101265</t>
        </is>
      </c>
      <c r="B4099" t="inlineStr">
        <is>
          <t>NET2PHONE BRASIL TELECOMUNICAÇÕES L</t>
        </is>
      </c>
      <c r="C4099" t="n">
        <v>1191000000</v>
      </c>
      <c r="D4099" t="inlineStr">
        <is>
          <t>Other Suppliers</t>
        </is>
      </c>
      <c r="E4099" t="n">
        <v>300537</v>
      </c>
      <c r="G4099" t="inlineStr">
        <is>
          <t>KZ</t>
        </is>
      </c>
      <c r="H4099" s="12" t="n">
        <v>923.9</v>
      </c>
      <c r="I4099" s="17" t="n">
        <v>45149</v>
      </c>
      <c r="J4099" s="17" t="n">
        <v>45149</v>
      </c>
      <c r="K4099" t="inlineStr">
        <is>
          <t>Documento fornecedor IDT BRASIL TELECOMUNICACOES L</t>
        </is>
      </c>
    </row>
    <row r="4100">
      <c r="A4100" t="inlineStr">
        <is>
          <t>101576</t>
        </is>
      </c>
      <c r="B4100" t="inlineStr">
        <is>
          <t>CLARO S.A</t>
        </is>
      </c>
      <c r="C4100" t="n">
        <v>1191000000</v>
      </c>
      <c r="D4100" t="inlineStr">
        <is>
          <t>Facilities</t>
        </is>
      </c>
      <c r="E4100" t="n">
        <v>300538</v>
      </c>
      <c r="G4100" t="inlineStr">
        <is>
          <t>KZ</t>
        </is>
      </c>
      <c r="H4100" s="12" t="n">
        <v>915.89</v>
      </c>
      <c r="I4100" s="17" t="n">
        <v>45149</v>
      </c>
      <c r="J4100" s="17" t="n">
        <v>45149</v>
      </c>
      <c r="K4100" t="inlineStr">
        <is>
          <t>Documento fornecedor CLARO S.A 092643</t>
        </is>
      </c>
    </row>
    <row r="4101">
      <c r="A4101" t="inlineStr">
        <is>
          <t>101287</t>
        </is>
      </c>
      <c r="B4101" t="inlineStr">
        <is>
          <t>TELEFONICA BRASIL SA</t>
        </is>
      </c>
      <c r="C4101" t="n">
        <v>1191000000</v>
      </c>
      <c r="D4101" t="inlineStr">
        <is>
          <t>Facilities</t>
        </is>
      </c>
      <c r="E4101" t="n">
        <v>300539</v>
      </c>
      <c r="G4101" t="inlineStr">
        <is>
          <t>KZ</t>
        </is>
      </c>
      <c r="H4101" s="12" t="n">
        <v>1471.15</v>
      </c>
      <c r="I4101" s="17" t="n">
        <v>45154</v>
      </c>
      <c r="J4101" s="17" t="n">
        <v>45154</v>
      </c>
      <c r="K4101" t="inlineStr">
        <is>
          <t>Documento fornecedor TELEFONICA BRASIL SA 03647868</t>
        </is>
      </c>
    </row>
    <row r="4102">
      <c r="A4102" t="inlineStr">
        <is>
          <t>101159</t>
        </is>
      </c>
      <c r="B4102" t="inlineStr">
        <is>
          <t>DOCUSIGN BRASIL SOLUCOES EM TECNOLO 05516218000117</t>
        </is>
      </c>
      <c r="C4102" t="n">
        <v>1191000000</v>
      </c>
      <c r="D4102" t="inlineStr">
        <is>
          <t>Other Suppliers</t>
        </is>
      </c>
      <c r="E4102" t="n">
        <v>300781</v>
      </c>
      <c r="G4102" t="inlineStr">
        <is>
          <t>KZ</t>
        </is>
      </c>
      <c r="H4102" s="12" t="n">
        <v>1258.77</v>
      </c>
      <c r="I4102" s="17" t="n">
        <v>45168</v>
      </c>
      <c r="J4102" s="17" t="n">
        <v>45168</v>
      </c>
      <c r="K4102" t="inlineStr">
        <is>
          <t>Documento fornecedor DOCUSIGN BRASIL SOLUCOES EM T</t>
        </is>
      </c>
    </row>
    <row r="4103">
      <c r="A4103" t="inlineStr">
        <is>
          <t>101159</t>
        </is>
      </c>
      <c r="B4103" t="inlineStr">
        <is>
          <t>DOCUSIGN BRASIL SOLUCOES EM TECNOLO 05516218000117</t>
        </is>
      </c>
      <c r="C4103" t="n">
        <v>1191000000</v>
      </c>
      <c r="D4103" t="inlineStr">
        <is>
          <t>Other Suppliers</t>
        </is>
      </c>
      <c r="E4103" t="n">
        <v>300781</v>
      </c>
      <c r="G4103" t="inlineStr">
        <is>
          <t>KZ</t>
        </is>
      </c>
      <c r="H4103" s="12" t="n">
        <v>13412.82</v>
      </c>
      <c r="I4103" s="17" t="n">
        <v>45168</v>
      </c>
      <c r="J4103" s="17" t="n">
        <v>45168</v>
      </c>
      <c r="K4103" t="inlineStr">
        <is>
          <t>Documento fornecedor DOCUSIGN BRASIL SOLUCOES EM T</t>
        </is>
      </c>
    </row>
    <row r="4104">
      <c r="A4104" t="inlineStr">
        <is>
          <t>101976</t>
        </is>
      </c>
      <c r="B4104" t="inlineStr">
        <is>
          <t>SAO PAULO TRIBUNAL DE JUSTICA</t>
        </is>
      </c>
      <c r="C4104" t="n">
        <v>1191000000</v>
      </c>
      <c r="D4104" t="inlineStr">
        <is>
          <t>Legal Services Suppliers</t>
        </is>
      </c>
      <c r="E4104" t="n">
        <v>300785</v>
      </c>
      <c r="G4104" t="inlineStr">
        <is>
          <t>KZ</t>
        </is>
      </c>
      <c r="H4104" s="12" t="n">
        <v>49450</v>
      </c>
      <c r="I4104" s="17" t="n">
        <v>45142</v>
      </c>
      <c r="J4104" s="17" t="n">
        <v>45142</v>
      </c>
      <c r="K4104" t="inlineStr">
        <is>
          <t>Documento fornecedor SAO PAULO TRIBUNAL DE JUSTICA</t>
        </is>
      </c>
    </row>
    <row r="4105">
      <c r="A4105" t="inlineStr">
        <is>
          <t>101976</t>
        </is>
      </c>
      <c r="B4105" t="inlineStr">
        <is>
          <t>SAO PAULO TRIBUNAL DE JUSTICA</t>
        </is>
      </c>
      <c r="C4105" t="n">
        <v>1191000000</v>
      </c>
      <c r="D4105" t="inlineStr">
        <is>
          <t>Legal Services Suppliers</t>
        </is>
      </c>
      <c r="E4105" t="n">
        <v>300785</v>
      </c>
      <c r="G4105" t="inlineStr">
        <is>
          <t>KZ</t>
        </is>
      </c>
      <c r="H4105" s="12" t="n">
        <v>161090</v>
      </c>
      <c r="I4105" s="17" t="n">
        <v>45142</v>
      </c>
      <c r="J4105" s="17" t="n">
        <v>45142</v>
      </c>
      <c r="K4105" t="inlineStr">
        <is>
          <t>Documento fornecedor SAO PAULO TRIBUNAL DE JUSTICA</t>
        </is>
      </c>
    </row>
    <row r="4106">
      <c r="A4106" t="inlineStr">
        <is>
          <t>102115</t>
        </is>
      </c>
      <c r="B4106" t="inlineStr">
        <is>
          <t>CLARO SA SAO PAULO</t>
        </is>
      </c>
      <c r="C4106" t="n">
        <v>1191000000</v>
      </c>
      <c r="D4106" t="inlineStr">
        <is>
          <t>Facilities</t>
        </is>
      </c>
      <c r="E4106" t="n">
        <v>300788</v>
      </c>
      <c r="G4106" t="inlineStr">
        <is>
          <t>KZ</t>
        </is>
      </c>
      <c r="H4106" s="12" t="n">
        <v>3101.66</v>
      </c>
      <c r="I4106" s="17" t="n">
        <v>45154</v>
      </c>
      <c r="J4106" s="17" t="n">
        <v>45154</v>
      </c>
      <c r="K4106" t="inlineStr">
        <is>
          <t>Documento fornecedor CLARO SA SAO PAULO 082473</t>
        </is>
      </c>
    </row>
    <row r="4107">
      <c r="A4107" t="inlineStr">
        <is>
          <t>100099</t>
        </is>
      </c>
      <c r="B4107" t="inlineStr">
        <is>
          <t>PRESENCA COMERCIAL LTDA</t>
        </is>
      </c>
      <c r="C4107" t="n">
        <v>1191000000</v>
      </c>
      <c r="D4107" t="inlineStr">
        <is>
          <t>Other Suppliers</t>
        </is>
      </c>
      <c r="E4107" t="n">
        <v>300815</v>
      </c>
      <c r="G4107" t="inlineStr">
        <is>
          <t>KZ</t>
        </is>
      </c>
      <c r="H4107" s="12" t="n">
        <v>1062</v>
      </c>
      <c r="I4107" s="17" t="n">
        <v>45168</v>
      </c>
      <c r="J4107" s="17" t="n">
        <v>45168</v>
      </c>
      <c r="K4107" t="inlineStr">
        <is>
          <t>Documento fornecedor PRESENCA COMERCIAL LTDA 46905</t>
        </is>
      </c>
    </row>
    <row r="4108">
      <c r="A4108" t="inlineStr">
        <is>
          <t>102001</t>
        </is>
      </c>
      <c r="B4108" t="inlineStr">
        <is>
          <t>TRIBUNAL REGIONAL TRABALHO 21A REGI</t>
        </is>
      </c>
      <c r="C4108" t="n">
        <v>1191000000</v>
      </c>
      <c r="D4108" t="inlineStr">
        <is>
          <t>Legal Services Suppliers</t>
        </is>
      </c>
      <c r="E4108" t="n">
        <v>301189</v>
      </c>
      <c r="G4108" t="inlineStr">
        <is>
          <t>KZ</t>
        </is>
      </c>
      <c r="H4108" s="12" t="n">
        <v>25330.28</v>
      </c>
      <c r="I4108" s="17" t="n">
        <v>45195</v>
      </c>
      <c r="J4108" s="17" t="n">
        <v>45195</v>
      </c>
      <c r="K4108" t="inlineStr">
        <is>
          <t>Proc. 0000918-31.2018.5.21.0012</t>
        </is>
      </c>
    </row>
    <row r="4109">
      <c r="A4109" t="inlineStr">
        <is>
          <t>100161</t>
        </is>
      </c>
      <c r="B4109" t="inlineStr">
        <is>
          <t>CAMARA DE COM E IND BRASIL ALEMANHA</t>
        </is>
      </c>
      <c r="C4109" t="n">
        <v>1191000000</v>
      </c>
      <c r="D4109" t="inlineStr">
        <is>
          <t>Other Suppliers</t>
        </is>
      </c>
      <c r="E4109" t="n">
        <v>301785</v>
      </c>
      <c r="G4109" t="inlineStr">
        <is>
          <t>KZ</t>
        </is>
      </c>
      <c r="H4109" s="12" t="n">
        <v>10847</v>
      </c>
      <c r="I4109" s="17" t="n">
        <v>45202</v>
      </c>
      <c r="J4109" s="17" t="n">
        <v>45202</v>
      </c>
      <c r="K4109" t="inlineStr">
        <is>
          <t>Documento fornecedor CAMARA DE COM E IND BRASIL AL</t>
        </is>
      </c>
    </row>
    <row r="4110">
      <c r="A4110" t="inlineStr">
        <is>
          <t>101482</t>
        </is>
      </c>
      <c r="B4110" t="inlineStr">
        <is>
          <t>SANTIN EMPRESA DE TRANSP. ESPECIAIS 22902476000584</t>
        </is>
      </c>
      <c r="C4110" t="n">
        <v>1191000000</v>
      </c>
      <c r="D4110" t="inlineStr">
        <is>
          <t>Operational Suppliers (Wind Farms)</t>
        </is>
      </c>
      <c r="E4110" t="n">
        <v>301937</v>
      </c>
      <c r="G4110" t="inlineStr">
        <is>
          <t>KZ</t>
        </is>
      </c>
      <c r="H4110" s="12" t="n">
        <v>2000</v>
      </c>
      <c r="I4110" s="17" t="n">
        <v>45204</v>
      </c>
      <c r="J4110" s="17" t="n">
        <v>45204</v>
      </c>
      <c r="K4110" t="inlineStr">
        <is>
          <t>Documento fornecedor SANTIN EMPRESA DE TRANSP. ESP</t>
        </is>
      </c>
    </row>
    <row r="4111">
      <c r="A4111" t="inlineStr">
        <is>
          <t>101482</t>
        </is>
      </c>
      <c r="B4111" t="inlineStr">
        <is>
          <t>SANTIN EMPRESA DE TRANSP. ESPECIAIS 22902476000584</t>
        </is>
      </c>
      <c r="C4111" t="n">
        <v>1191000000</v>
      </c>
      <c r="D4111" t="inlineStr">
        <is>
          <t>Operational Suppliers (Wind Farms)</t>
        </is>
      </c>
      <c r="E4111" t="n">
        <v>301937</v>
      </c>
      <c r="G4111" t="inlineStr">
        <is>
          <t>KZ</t>
        </is>
      </c>
      <c r="H4111" s="12" t="n">
        <v>2000</v>
      </c>
      <c r="I4111" s="17" t="n">
        <v>45204</v>
      </c>
      <c r="J4111" s="17" t="n">
        <v>45204</v>
      </c>
      <c r="K4111" t="inlineStr">
        <is>
          <t>Documento fornecedor SANTIN EMPRESA DE TRANSP. ESP</t>
        </is>
      </c>
    </row>
    <row r="4112">
      <c r="A4112" t="inlineStr">
        <is>
          <t>101482</t>
        </is>
      </c>
      <c r="B4112" t="inlineStr">
        <is>
          <t>SANTIN EMPRESA DE TRANSP. ESPECIAIS 22902476000584</t>
        </is>
      </c>
      <c r="C4112" t="n">
        <v>1191000000</v>
      </c>
      <c r="D4112" t="inlineStr">
        <is>
          <t>Operational Suppliers (Wind Farms)</t>
        </is>
      </c>
      <c r="E4112" t="n">
        <v>301937</v>
      </c>
      <c r="G4112" t="inlineStr">
        <is>
          <t>KZ</t>
        </is>
      </c>
      <c r="H4112" s="12" t="n">
        <v>2000</v>
      </c>
      <c r="I4112" s="17" t="n">
        <v>45204</v>
      </c>
      <c r="J4112" s="17" t="n">
        <v>45204</v>
      </c>
      <c r="K4112" t="inlineStr">
        <is>
          <t>Documento fornecedor SANTIN EMPRESA DE TRANSP. ESP</t>
        </is>
      </c>
    </row>
    <row r="4113">
      <c r="A4113" t="inlineStr">
        <is>
          <t>101056</t>
        </is>
      </c>
      <c r="B4113" t="inlineStr">
        <is>
          <t>CAMARA DE COMER ENERGIA ELETRICA CC</t>
        </is>
      </c>
      <c r="C4113" t="n">
        <v>1191000000</v>
      </c>
      <c r="D4113" t="inlineStr">
        <is>
          <t>Other Suppliers</t>
        </is>
      </c>
      <c r="E4113" t="n">
        <v>301968</v>
      </c>
      <c r="G4113" t="inlineStr">
        <is>
          <t>KZ</t>
        </is>
      </c>
      <c r="H4113" s="12" t="n">
        <v>60.86</v>
      </c>
      <c r="I4113" s="17" t="n">
        <v>45210</v>
      </c>
      <c r="J4113" s="17" t="n">
        <v>45210</v>
      </c>
      <c r="K4113" t="inlineStr">
        <is>
          <t>Documento fornecedor CAMARA DE COMER ENERGIA ELETR</t>
        </is>
      </c>
    </row>
    <row r="4114">
      <c r="A4114" t="inlineStr">
        <is>
          <t>101416</t>
        </is>
      </c>
      <c r="B4114" t="inlineStr">
        <is>
          <t>CENTRO DAS INDUSTRIAS DO ESTADO DE</t>
        </is>
      </c>
      <c r="C4114" t="n">
        <v>1191000000</v>
      </c>
      <c r="D4114" t="inlineStr">
        <is>
          <t>Other Suppliers</t>
        </is>
      </c>
      <c r="E4114" t="n">
        <v>301969</v>
      </c>
      <c r="G4114" t="inlineStr">
        <is>
          <t>KZ</t>
        </is>
      </c>
      <c r="H4114" s="12" t="n">
        <v>1353</v>
      </c>
      <c r="I4114" s="17" t="n">
        <v>45210</v>
      </c>
      <c r="J4114" s="17" t="n">
        <v>45210</v>
      </c>
      <c r="K4114" t="inlineStr">
        <is>
          <t>Documento fornecedor CENTRO DAS INDUSTRIAS DO ESTA</t>
        </is>
      </c>
    </row>
    <row r="4115">
      <c r="A4115" t="inlineStr">
        <is>
          <t>101416</t>
        </is>
      </c>
      <c r="B4115" t="inlineStr">
        <is>
          <t>CENTRO DAS INDUSTRIAS DO ESTADO DE</t>
        </is>
      </c>
      <c r="C4115" t="n">
        <v>1191000000</v>
      </c>
      <c r="D4115" t="inlineStr">
        <is>
          <t>Other Suppliers</t>
        </is>
      </c>
      <c r="E4115" t="n">
        <v>301969</v>
      </c>
      <c r="G4115" t="inlineStr">
        <is>
          <t>KZ</t>
        </is>
      </c>
      <c r="H4115" s="12" t="n">
        <v>1353</v>
      </c>
      <c r="I4115" s="17" t="n">
        <v>45210</v>
      </c>
      <c r="J4115" s="17" t="n">
        <v>45210</v>
      </c>
      <c r="K4115" t="inlineStr">
        <is>
          <t>Documento fornecedor CENTRO DAS INDUSTRIAS DO ESTA</t>
        </is>
      </c>
    </row>
    <row r="4116">
      <c r="A4116" t="inlineStr">
        <is>
          <t>101416</t>
        </is>
      </c>
      <c r="B4116" t="inlineStr">
        <is>
          <t>CENTRO DAS INDUSTRIAS DO ESTADO DE</t>
        </is>
      </c>
      <c r="C4116" t="n">
        <v>1191000000</v>
      </c>
      <c r="D4116" t="inlineStr">
        <is>
          <t>Other Suppliers</t>
        </is>
      </c>
      <c r="E4116" t="n">
        <v>301969</v>
      </c>
      <c r="G4116" t="inlineStr">
        <is>
          <t>KZ</t>
        </is>
      </c>
      <c r="H4116" s="12" t="n">
        <v>1353</v>
      </c>
      <c r="I4116" s="17" t="n">
        <v>45210</v>
      </c>
      <c r="J4116" s="17" t="n">
        <v>45210</v>
      </c>
      <c r="K4116" t="inlineStr">
        <is>
          <t>Documento fornecedor CENTRO DAS INDUSTRIAS DO ESTA</t>
        </is>
      </c>
    </row>
    <row r="4117">
      <c r="A4117" t="inlineStr">
        <is>
          <t>101416</t>
        </is>
      </c>
      <c r="B4117" t="inlineStr">
        <is>
          <t>CENTRO DAS INDUSTRIAS DO ESTADO DE</t>
        </is>
      </c>
      <c r="C4117" t="n">
        <v>1191000000</v>
      </c>
      <c r="D4117" t="inlineStr">
        <is>
          <t>Other Suppliers</t>
        </is>
      </c>
      <c r="E4117" t="n">
        <v>301969</v>
      </c>
      <c r="G4117" t="inlineStr">
        <is>
          <t>KZ</t>
        </is>
      </c>
      <c r="H4117" s="12" t="n">
        <v>1353</v>
      </c>
      <c r="I4117" s="17" t="n">
        <v>45210</v>
      </c>
      <c r="J4117" s="17" t="n">
        <v>45210</v>
      </c>
      <c r="K4117" t="inlineStr">
        <is>
          <t>Documento fornecedor CENTRO DAS INDUSTRIAS DO ESTA</t>
        </is>
      </c>
    </row>
    <row r="4118">
      <c r="A4118" t="inlineStr">
        <is>
          <t>103759</t>
        </is>
      </c>
      <c r="B4118" t="inlineStr">
        <is>
          <t>MUNICIPIO DE SIMOES</t>
        </is>
      </c>
      <c r="C4118" t="n">
        <v>1191000000</v>
      </c>
      <c r="D4118" t="inlineStr">
        <is>
          <t>Taxes Payable</t>
        </is>
      </c>
      <c r="E4118" t="n">
        <v>302126</v>
      </c>
      <c r="G4118" t="inlineStr">
        <is>
          <t>KZ</t>
        </is>
      </c>
      <c r="H4118" s="12" t="n">
        <v>591.23</v>
      </c>
      <c r="I4118" s="17" t="n">
        <v>45216</v>
      </c>
      <c r="J4118" s="17" t="n">
        <v>45216</v>
      </c>
      <c r="K4118" t="inlineStr">
        <is>
          <t>Documento fornecedor MUNICIPIO DE SIMOES TX ALVARA</t>
        </is>
      </c>
    </row>
    <row r="4119">
      <c r="A4119" t="inlineStr">
        <is>
          <t>101948</t>
        </is>
      </c>
      <c r="B4119" t="inlineStr">
        <is>
          <t>INSTITUTO BRAS DO MEIO AMBIEN E DOS</t>
        </is>
      </c>
      <c r="C4119" t="n">
        <v>1191000000</v>
      </c>
      <c r="D4119" t="inlineStr">
        <is>
          <t>Other Suppliers</t>
        </is>
      </c>
      <c r="E4119" t="n">
        <v>302150</v>
      </c>
      <c r="G4119" t="inlineStr">
        <is>
          <t>KZ</t>
        </is>
      </c>
      <c r="H4119" s="12" t="n">
        <v>7391.06</v>
      </c>
      <c r="I4119" s="17" t="n">
        <v>45217</v>
      </c>
      <c r="J4119" s="17" t="n">
        <v>45217</v>
      </c>
      <c r="K4119" t="inlineStr">
        <is>
          <t>Documento fornecedor INSTITUTO BRAS DO MEIO AMBIEN</t>
        </is>
      </c>
    </row>
    <row r="4120">
      <c r="A4120" t="inlineStr">
        <is>
          <t>101359</t>
        </is>
      </c>
      <c r="B4120" t="inlineStr">
        <is>
          <t>TRIBUNAL REGIONAL TRABALHO 5A REGIA</t>
        </is>
      </c>
      <c r="C4120" t="n">
        <v>1191000000</v>
      </c>
      <c r="D4120" t="inlineStr">
        <is>
          <t>Legal Services Suppliers</t>
        </is>
      </c>
      <c r="E4120" t="n">
        <v>302305</v>
      </c>
      <c r="F4120" t="inlineStr">
        <is>
          <t>274620165050102</t>
        </is>
      </c>
      <c r="G4120" t="inlineStr">
        <is>
          <t>KZ</t>
        </is>
      </c>
      <c r="H4120" s="12" t="n">
        <v>800</v>
      </c>
      <c r="I4120" s="17" t="n">
        <v>45211</v>
      </c>
      <c r="J4120" s="17" t="n">
        <v>45211</v>
      </c>
      <c r="K4120" t="inlineStr">
        <is>
          <t>Documento fornecedor TRIBUNAL REGIONAL TRABALHO 5A</t>
        </is>
      </c>
    </row>
    <row r="4121">
      <c r="A4121" t="inlineStr">
        <is>
          <t>101462</t>
        </is>
      </c>
      <c r="B4121" t="inlineStr">
        <is>
          <t>EMERSON MEDEIROS DE MELO</t>
        </is>
      </c>
      <c r="C4121" t="n">
        <v>1191000000</v>
      </c>
      <c r="D4121" t="inlineStr">
        <is>
          <t>Other Suppliers</t>
        </is>
      </c>
      <c r="E4121" t="n">
        <v>302587</v>
      </c>
      <c r="F4121" t="inlineStr">
        <is>
          <t>70</t>
        </is>
      </c>
      <c r="G4121" t="inlineStr">
        <is>
          <t>KZ</t>
        </is>
      </c>
      <c r="H4121" s="12" t="n">
        <v>400</v>
      </c>
      <c r="I4121" s="17" t="n">
        <v>45211</v>
      </c>
      <c r="J4121" s="17" t="n">
        <v>45211</v>
      </c>
      <c r="K4121" t="inlineStr">
        <is>
          <t>Documento fornecedor EMERSON MEDEIROS DE MELO ME 7</t>
        </is>
      </c>
    </row>
    <row r="4122">
      <c r="A4122" t="inlineStr">
        <is>
          <t>101482</t>
        </is>
      </c>
      <c r="B4122" t="inlineStr">
        <is>
          <t>SANTIN EMPRESA DE TRANSP. ESPECIAIS 22902476000584</t>
        </is>
      </c>
      <c r="C4122" t="n">
        <v>1191000000</v>
      </c>
      <c r="D4122" t="inlineStr">
        <is>
          <t>Operational Suppliers (Wind Farms)</t>
        </is>
      </c>
      <c r="E4122" t="n">
        <v>302675</v>
      </c>
      <c r="G4122" t="inlineStr">
        <is>
          <t>DZ</t>
        </is>
      </c>
      <c r="H4122" s="12" t="n">
        <v>-240</v>
      </c>
      <c r="I4122" s="17" t="n">
        <v>45218</v>
      </c>
      <c r="J4122" s="17" t="n">
        <v>45218</v>
      </c>
      <c r="K4122" t="inlineStr">
        <is>
          <t>Pagamento do cliente SANTIN EMPRESA DE TRANSP. ESP</t>
        </is>
      </c>
    </row>
    <row r="4123">
      <c r="A4123" t="inlineStr">
        <is>
          <t>101482</t>
        </is>
      </c>
      <c r="B4123" t="inlineStr">
        <is>
          <t>SANTIN EMPRESA DE TRANSP. ESPECIAIS 22902476000584</t>
        </is>
      </c>
      <c r="C4123" t="n">
        <v>1191000000</v>
      </c>
      <c r="D4123" t="inlineStr">
        <is>
          <t>Operational Suppliers (Wind Farms)</t>
        </is>
      </c>
      <c r="E4123" t="n">
        <v>302675</v>
      </c>
      <c r="G4123" t="inlineStr">
        <is>
          <t>DZ</t>
        </is>
      </c>
      <c r="H4123" s="12" t="n">
        <v>-240</v>
      </c>
      <c r="I4123" s="17" t="n">
        <v>45218</v>
      </c>
      <c r="J4123" s="17" t="n">
        <v>45218</v>
      </c>
      <c r="K4123" t="inlineStr">
        <is>
          <t>Pagamento do cliente SANTIN EMPRESA DE TRANSP. ESP</t>
        </is>
      </c>
    </row>
    <row r="4124">
      <c r="A4124" t="inlineStr">
        <is>
          <t>101482</t>
        </is>
      </c>
      <c r="B4124" t="inlineStr">
        <is>
          <t>SANTIN EMPRESA DE TRANSP. ESPECIAIS 22902476000584</t>
        </is>
      </c>
      <c r="C4124" t="n">
        <v>1191000000</v>
      </c>
      <c r="D4124" t="inlineStr">
        <is>
          <t>Operational Suppliers (Wind Farms)</t>
        </is>
      </c>
      <c r="E4124" t="n">
        <v>302675</v>
      </c>
      <c r="G4124" t="inlineStr">
        <is>
          <t>DZ</t>
        </is>
      </c>
      <c r="H4124" s="12" t="n">
        <v>-240</v>
      </c>
      <c r="I4124" s="17" t="n">
        <v>45218</v>
      </c>
      <c r="J4124" s="17" t="n">
        <v>45218</v>
      </c>
      <c r="K4124" t="inlineStr">
        <is>
          <t>Pagamento do cliente SANTIN EMPRESA DE TRANSP. ESP</t>
        </is>
      </c>
    </row>
    <row r="4125">
      <c r="A4125" t="inlineStr">
        <is>
          <t>103781</t>
        </is>
      </c>
      <c r="B4125" t="inlineStr">
        <is>
          <t>INSTITUTO NACIONAL DA PROPRIEDADE I</t>
        </is>
      </c>
      <c r="C4125" t="n">
        <v>1191000000</v>
      </c>
      <c r="D4125" t="inlineStr">
        <is>
          <t>Other Suppliers</t>
        </is>
      </c>
      <c r="E4125" t="n">
        <v>302724</v>
      </c>
      <c r="F4125" t="inlineStr">
        <is>
          <t>294091823089</t>
        </is>
      </c>
      <c r="G4125" t="inlineStr">
        <is>
          <t>KZ</t>
        </is>
      </c>
      <c r="H4125" s="12" t="n">
        <v>6750</v>
      </c>
      <c r="I4125" s="17" t="n">
        <v>45211</v>
      </c>
      <c r="J4125" s="17" t="n">
        <v>45211</v>
      </c>
      <c r="K4125" t="inlineStr">
        <is>
          <t>Vendor DP Request INSTITUTO NACIONAL DA PROPRIEDAD</t>
        </is>
      </c>
    </row>
    <row r="4126">
      <c r="A4126" t="inlineStr">
        <is>
          <t>101508</t>
        </is>
      </c>
      <c r="B4126" t="inlineStr">
        <is>
          <t>RANDSTAD BRASIL RECURSOS HUMANOS LT</t>
        </is>
      </c>
      <c r="C4126" t="n">
        <v>1191000000</v>
      </c>
      <c r="D4126" t="inlineStr">
        <is>
          <t>Other Suppliers</t>
        </is>
      </c>
      <c r="E4126" t="n">
        <v>302776</v>
      </c>
      <c r="G4126" t="inlineStr">
        <is>
          <t>KZ</t>
        </is>
      </c>
      <c r="H4126" s="12" t="n">
        <v>3218.86</v>
      </c>
      <c r="I4126" s="17" t="n">
        <v>45237</v>
      </c>
      <c r="J4126" s="17" t="n">
        <v>45237</v>
      </c>
      <c r="K4126" t="inlineStr">
        <is>
          <t>Documento fornecedor RANDSTAD BRASIL RECURSOS HUMA</t>
        </is>
      </c>
    </row>
    <row r="4127">
      <c r="A4127" t="inlineStr">
        <is>
          <t>101969</t>
        </is>
      </c>
      <c r="B4127" t="inlineStr">
        <is>
          <t>SECRETARIA DE ESTADO DA FAZENDA RN</t>
        </is>
      </c>
      <c r="C4127" t="n">
        <v>1191000000</v>
      </c>
      <c r="D4127" t="inlineStr">
        <is>
          <t>Customs Brokerage – Overall</t>
        </is>
      </c>
      <c r="E4127" t="n">
        <v>303375</v>
      </c>
      <c r="G4127" t="inlineStr">
        <is>
          <t>KZ</t>
        </is>
      </c>
      <c r="H4127" s="12" t="n">
        <v>233503.25</v>
      </c>
      <c r="I4127" s="17" t="n">
        <v>45266</v>
      </c>
      <c r="J4127" s="17" t="n">
        <v>45266</v>
      </c>
      <c r="K4127" t="inlineStr">
        <is>
          <t>Documento fornecedor SECRETARIA DE ESTADO DE TRIBU</t>
        </is>
      </c>
    </row>
    <row r="4128">
      <c r="A4128" t="inlineStr">
        <is>
          <t>101969</t>
        </is>
      </c>
      <c r="B4128" t="inlineStr">
        <is>
          <t>SECRETARIA DE ESTADO DA FAZENDA RN</t>
        </is>
      </c>
      <c r="C4128" t="n">
        <v>1191000000</v>
      </c>
      <c r="D4128" t="inlineStr">
        <is>
          <t>Customs Brokerage – Overall</t>
        </is>
      </c>
      <c r="E4128" t="n">
        <v>303376</v>
      </c>
      <c r="G4128" t="inlineStr">
        <is>
          <t>KZ</t>
        </is>
      </c>
      <c r="H4128" s="12" t="n">
        <v>2044.89</v>
      </c>
      <c r="I4128" s="17" t="n">
        <v>45266</v>
      </c>
      <c r="J4128" s="17" t="n">
        <v>45266</v>
      </c>
      <c r="K4128" t="inlineStr">
        <is>
          <t>Documento fornecedor SECRETARIA DE ESTADO DE TRIBU</t>
        </is>
      </c>
    </row>
    <row r="4129">
      <c r="A4129" t="inlineStr">
        <is>
          <t>101969</t>
        </is>
      </c>
      <c r="B4129" t="inlineStr">
        <is>
          <t>SECRETARIA DE ESTADO DA FAZENDA RN</t>
        </is>
      </c>
      <c r="C4129" t="n">
        <v>1191000000</v>
      </c>
      <c r="D4129" t="inlineStr">
        <is>
          <t>Customs Brokerage – Overall</t>
        </is>
      </c>
      <c r="E4129" t="n">
        <v>303377</v>
      </c>
      <c r="G4129" t="inlineStr">
        <is>
          <t>KZ</t>
        </is>
      </c>
      <c r="H4129" s="12" t="n">
        <v>6027.11</v>
      </c>
      <c r="I4129" s="17" t="n">
        <v>45266</v>
      </c>
      <c r="J4129" s="17" t="n">
        <v>45266</v>
      </c>
      <c r="K4129" t="inlineStr">
        <is>
          <t>Documento fornecedor SECRETARIA DE ESTADO DE TRIBU</t>
        </is>
      </c>
    </row>
    <row r="4130">
      <c r="A4130" t="inlineStr">
        <is>
          <t>101969</t>
        </is>
      </c>
      <c r="B4130" t="inlineStr">
        <is>
          <t>SECRETARIA DE ESTADO DA FAZENDA RN</t>
        </is>
      </c>
      <c r="C4130" t="n">
        <v>1191000000</v>
      </c>
      <c r="D4130" t="inlineStr">
        <is>
          <t>Customs Brokerage – Overall</t>
        </is>
      </c>
      <c r="E4130" t="n">
        <v>303378</v>
      </c>
      <c r="G4130" t="inlineStr">
        <is>
          <t>KZ</t>
        </is>
      </c>
      <c r="H4130" s="12" t="n">
        <v>884.79</v>
      </c>
      <c r="I4130" s="17" t="n">
        <v>45266</v>
      </c>
      <c r="J4130" s="17" t="n">
        <v>45266</v>
      </c>
      <c r="K4130" t="inlineStr">
        <is>
          <t>Documento fornecedor SECRETARIA DE ESTADO DE TRIBU</t>
        </is>
      </c>
    </row>
    <row r="4131">
      <c r="A4131" t="inlineStr">
        <is>
          <t>101969</t>
        </is>
      </c>
      <c r="B4131" t="inlineStr">
        <is>
          <t>SECRETARIA DE ESTADO DA FAZENDA RN</t>
        </is>
      </c>
      <c r="C4131" t="n">
        <v>1191000000</v>
      </c>
      <c r="D4131" t="inlineStr">
        <is>
          <t>Customs Brokerage – Overall</t>
        </is>
      </c>
      <c r="E4131" t="n">
        <v>303379</v>
      </c>
      <c r="G4131" t="inlineStr">
        <is>
          <t>KZ</t>
        </is>
      </c>
      <c r="H4131" s="12" t="n">
        <v>3799.01</v>
      </c>
      <c r="I4131" s="17" t="n">
        <v>45266</v>
      </c>
      <c r="J4131" s="17" t="n">
        <v>45266</v>
      </c>
      <c r="K4131" t="inlineStr">
        <is>
          <t>Documento fornecedor SECRETARIA DE ESTADO DE TRIBU</t>
        </is>
      </c>
    </row>
    <row r="4132">
      <c r="A4132" t="inlineStr">
        <is>
          <t>101969</t>
        </is>
      </c>
      <c r="B4132" t="inlineStr">
        <is>
          <t>SECRETARIA DE ESTADO DA FAZENDA RN</t>
        </is>
      </c>
      <c r="C4132" t="n">
        <v>1191000000</v>
      </c>
      <c r="D4132" t="inlineStr">
        <is>
          <t>Customs Brokerage – Overall</t>
        </is>
      </c>
      <c r="E4132" t="n">
        <v>303380</v>
      </c>
      <c r="G4132" t="inlineStr">
        <is>
          <t>KZ</t>
        </is>
      </c>
      <c r="H4132" s="12" t="n">
        <v>80965.5</v>
      </c>
      <c r="I4132" s="17" t="n">
        <v>45266</v>
      </c>
      <c r="J4132" s="17" t="n">
        <v>45266</v>
      </c>
      <c r="K4132" t="inlineStr">
        <is>
          <t>Documento fornecedor SECRETARIA DE ESTADO DE TRIBU</t>
        </is>
      </c>
    </row>
    <row r="4133">
      <c r="A4133" t="inlineStr">
        <is>
          <t>100512</t>
        </is>
      </c>
      <c r="B4133" t="inlineStr">
        <is>
          <t>PREMA TECNOLOGIA E COMERCIO LTDA</t>
        </is>
      </c>
      <c r="C4133" t="n">
        <v>1191000000</v>
      </c>
      <c r="D4133" t="inlineStr">
        <is>
          <t>Other Suppliers</t>
        </is>
      </c>
      <c r="E4133" t="n">
        <v>1010024</v>
      </c>
      <c r="F4133" t="inlineStr">
        <is>
          <t>10815001</t>
        </is>
      </c>
      <c r="G4133" t="inlineStr">
        <is>
          <t>AB</t>
        </is>
      </c>
      <c r="H4133" s="12" t="n">
        <v>120303.2</v>
      </c>
      <c r="I4133" s="17" t="n">
        <v>45283</v>
      </c>
      <c r="J4133" s="17" t="n">
        <v>45283</v>
      </c>
      <c r="K4133" t="inlineStr">
        <is>
          <t>Documento fornecedor PREMA TECNOLOGIA E COMERCIO L</t>
        </is>
      </c>
    </row>
    <row r="4134">
      <c r="A4134" t="inlineStr">
        <is>
          <t>102030</t>
        </is>
      </c>
      <c r="B4134" t="inlineStr">
        <is>
          <t>TECON SALVADOR SA</t>
        </is>
      </c>
      <c r="C4134" t="n">
        <v>1191000000</v>
      </c>
      <c r="D4134" t="inlineStr">
        <is>
          <t>Customs Brokerage – Overall</t>
        </is>
      </c>
      <c r="E4134" t="n">
        <v>1010030</v>
      </c>
      <c r="G4134" t="inlineStr">
        <is>
          <t>AB</t>
        </is>
      </c>
      <c r="H4134" s="12" t="n">
        <v>-65709.57000000001</v>
      </c>
      <c r="I4134" s="17" t="n">
        <v>45275</v>
      </c>
      <c r="J4134" s="17" t="n">
        <v>45275</v>
      </c>
      <c r="K4134" t="inlineStr">
        <is>
          <t>Partida individual TECON SALVADOR SA</t>
        </is>
      </c>
    </row>
    <row r="4135">
      <c r="A4135" t="inlineStr">
        <is>
          <t>101204</t>
        </is>
      </c>
      <c r="B4135" t="inlineStr">
        <is>
          <t>MCADOFFICES COMERCIO DE MOVEIS E MA</t>
        </is>
      </c>
      <c r="C4135" t="n">
        <v>1191000000</v>
      </c>
      <c r="D4135" t="inlineStr">
        <is>
          <t>Other Suppliers</t>
        </is>
      </c>
      <c r="E4135" t="n">
        <v>5000280</v>
      </c>
      <c r="F4135" t="inlineStr">
        <is>
          <t>10003626</t>
        </is>
      </c>
      <c r="G4135" t="inlineStr">
        <is>
          <t>KR</t>
        </is>
      </c>
      <c r="H4135" s="12" t="n">
        <v>1008.58</v>
      </c>
      <c r="I4135" s="17" t="n">
        <v>45296</v>
      </c>
      <c r="J4135" s="17" t="n">
        <v>45296</v>
      </c>
      <c r="K4135" t="inlineStr">
        <is>
          <t>Documento fornecedor MCADOFFICES COMERCIO DE MOVEI</t>
        </is>
      </c>
    </row>
    <row r="4136">
      <c r="A4136" t="inlineStr">
        <is>
          <t>100606</t>
        </is>
      </c>
      <c r="B4136" t="inlineStr">
        <is>
          <t>NOVA ERA COMERCIAL DE TINTAS LTDA</t>
        </is>
      </c>
      <c r="C4136" t="n">
        <v>1191000000</v>
      </c>
      <c r="D4136" t="inlineStr">
        <is>
          <t>Other Suppliers</t>
        </is>
      </c>
      <c r="E4136" t="n">
        <v>5007810</v>
      </c>
      <c r="F4136" t="inlineStr">
        <is>
          <t>69354A</t>
        </is>
      </c>
      <c r="G4136" t="inlineStr">
        <is>
          <t>KR</t>
        </is>
      </c>
      <c r="H4136" s="12" t="n">
        <v>1364.53</v>
      </c>
      <c r="I4136" s="17" t="n">
        <v>45222</v>
      </c>
      <c r="J4136" s="17" t="n">
        <v>45222</v>
      </c>
      <c r="K4136" t="inlineStr">
        <is>
          <t>Documento fornecedor NOVA ERA COMERCIAL DE TINTAS</t>
        </is>
      </c>
    </row>
    <row r="4137">
      <c r="A4137" t="inlineStr">
        <is>
          <t>101071</t>
        </is>
      </c>
      <c r="B4137" t="inlineStr">
        <is>
          <t>CUSTOM COMERCIO INTERNACIONAL LTDA</t>
        </is>
      </c>
      <c r="C4137" t="n">
        <v>1191000000</v>
      </c>
      <c r="D4137" t="inlineStr">
        <is>
          <t>Customs Brokerage – Overall</t>
        </is>
      </c>
      <c r="E4137" t="n">
        <v>200005093</v>
      </c>
      <c r="F4137" t="inlineStr">
        <is>
          <t>4394</t>
        </is>
      </c>
      <c r="G4137" t="inlineStr">
        <is>
          <t>UE</t>
        </is>
      </c>
      <c r="H4137" s="12" t="n">
        <v>50500</v>
      </c>
      <c r="I4137" s="17" t="n">
        <v>45040</v>
      </c>
      <c r="J4137" s="17" t="n">
        <v>45040</v>
      </c>
      <c r="K4137" t="inlineStr">
        <is>
          <t>CUSTOM A DEVOLVER</t>
        </is>
      </c>
    </row>
    <row r="4138">
      <c r="A4138" t="inlineStr">
        <is>
          <t>101071</t>
        </is>
      </c>
      <c r="B4138" t="inlineStr">
        <is>
          <t>CUSTOM COMERCIO INTERNACIONAL LTDA</t>
        </is>
      </c>
      <c r="C4138" t="n">
        <v>1191000000</v>
      </c>
      <c r="D4138" t="inlineStr">
        <is>
          <t>Customs Brokerage – Overall</t>
        </is>
      </c>
      <c r="E4138" t="n">
        <v>200006529</v>
      </c>
      <c r="F4138" t="inlineStr">
        <is>
          <t>3570</t>
        </is>
      </c>
      <c r="G4138" t="inlineStr">
        <is>
          <t>UE</t>
        </is>
      </c>
      <c r="H4138" s="12" t="n">
        <v>32634.54</v>
      </c>
      <c r="I4138" s="17" t="n">
        <v>44853</v>
      </c>
      <c r="J4138" s="17" t="n">
        <v>44853</v>
      </c>
      <c r="K4138" t="inlineStr">
        <is>
          <t>CUSTOM A DEVOLVER</t>
        </is>
      </c>
    </row>
    <row r="4139">
      <c r="A4139" t="inlineStr">
        <is>
          <t>101071</t>
        </is>
      </c>
      <c r="B4139" t="inlineStr">
        <is>
          <t>CUSTOM COMERCIO INTERNACIONAL LTDA</t>
        </is>
      </c>
      <c r="C4139" t="n">
        <v>1191000000</v>
      </c>
      <c r="D4139" t="inlineStr">
        <is>
          <t>Customs Brokerage – Overall</t>
        </is>
      </c>
      <c r="E4139" t="n">
        <v>200007039</v>
      </c>
      <c r="F4139" t="inlineStr">
        <is>
          <t>4029</t>
        </is>
      </c>
      <c r="G4139" t="inlineStr">
        <is>
          <t>UE</t>
        </is>
      </c>
      <c r="H4139" s="12" t="n">
        <v>10464.42</v>
      </c>
      <c r="I4139" s="17" t="n">
        <v>44931</v>
      </c>
      <c r="J4139" s="17" t="n">
        <v>44931</v>
      </c>
      <c r="K4139" t="inlineStr">
        <is>
          <t>CUSTOM A DEVOLVER</t>
        </is>
      </c>
    </row>
    <row r="4140">
      <c r="A4140" t="inlineStr">
        <is>
          <t>101071</t>
        </is>
      </c>
      <c r="B4140" t="inlineStr">
        <is>
          <t>CUSTOM COMERCIO INTERNACIONAL LTDA</t>
        </is>
      </c>
      <c r="C4140" t="n">
        <v>1191000000</v>
      </c>
      <c r="D4140" t="inlineStr">
        <is>
          <t>Customs Brokerage – Overall</t>
        </is>
      </c>
      <c r="E4140" t="n">
        <v>200007265</v>
      </c>
      <c r="F4140" t="inlineStr">
        <is>
          <t>4232</t>
        </is>
      </c>
      <c r="G4140" t="inlineStr">
        <is>
          <t>UE</t>
        </is>
      </c>
      <c r="H4140" s="12" t="n">
        <v>15500</v>
      </c>
      <c r="I4140" s="17" t="n">
        <v>44992</v>
      </c>
      <c r="J4140" s="17" t="n">
        <v>44992</v>
      </c>
      <c r="K4140" t="inlineStr">
        <is>
          <t>CUSTOM A DEVOLVER</t>
        </is>
      </c>
    </row>
    <row r="4141">
      <c r="A4141" t="inlineStr">
        <is>
          <t>102087</t>
        </is>
      </c>
      <c r="B4141" t="inlineStr">
        <is>
          <t>CAIXA ECONOMICA FEDERAL</t>
        </is>
      </c>
      <c r="C4141" t="n">
        <v>1191000000</v>
      </c>
      <c r="D4141" t="inlineStr">
        <is>
          <t>Social charges</t>
        </is>
      </c>
      <c r="E4141" t="n">
        <v>200007767</v>
      </c>
      <c r="F4141" t="inlineStr">
        <is>
          <t>2596</t>
        </is>
      </c>
      <c r="G4141" t="inlineStr">
        <is>
          <t>UE</t>
        </is>
      </c>
      <c r="H4141" s="12" t="n">
        <v>60</v>
      </c>
      <c r="I4141" s="17" t="n">
        <v>42432</v>
      </c>
      <c r="J4141" s="17" t="n">
        <v>42432</v>
      </c>
      <c r="K4141" t="inlineStr">
        <is>
          <t>032150000341603039</t>
        </is>
      </c>
    </row>
    <row r="4142">
      <c r="A4142" t="inlineStr">
        <is>
          <t>102087</t>
        </is>
      </c>
      <c r="B4142" t="inlineStr">
        <is>
          <t>CAIXA ECONOMICA FEDERAL</t>
        </is>
      </c>
      <c r="C4142" t="n">
        <v>1191000000</v>
      </c>
      <c r="D4142" t="inlineStr">
        <is>
          <t>Social charges</t>
        </is>
      </c>
      <c r="E4142" t="n">
        <v>200007782</v>
      </c>
      <c r="F4142" t="inlineStr">
        <is>
          <t>2609</t>
        </is>
      </c>
      <c r="G4142" t="inlineStr">
        <is>
          <t>UE</t>
        </is>
      </c>
      <c r="H4142" s="12" t="n">
        <v>8959.629999999999</v>
      </c>
      <c r="I4142" s="17" t="n">
        <v>42683</v>
      </c>
      <c r="J4142" s="17" t="n">
        <v>42683</v>
      </c>
      <c r="K4142" t="inlineStr">
        <is>
          <t>00008481620155210013</t>
        </is>
      </c>
    </row>
    <row r="4143">
      <c r="A4143" t="inlineStr">
        <is>
          <t>102087</t>
        </is>
      </c>
      <c r="B4143" t="inlineStr">
        <is>
          <t>CAIXA ECONOMICA FEDERAL</t>
        </is>
      </c>
      <c r="C4143" t="n">
        <v>1191000000</v>
      </c>
      <c r="D4143" t="inlineStr">
        <is>
          <t>Social charges</t>
        </is>
      </c>
      <c r="E4143" t="n">
        <v>200007785</v>
      </c>
      <c r="F4143" t="inlineStr">
        <is>
          <t>2611</t>
        </is>
      </c>
      <c r="G4143" t="inlineStr">
        <is>
          <t>UE</t>
        </is>
      </c>
      <c r="H4143" s="12" t="n">
        <v>40.37</v>
      </c>
      <c r="I4143" s="17" t="n">
        <v>42703</v>
      </c>
      <c r="J4143" s="17" t="n">
        <v>42703</v>
      </c>
      <c r="K4143" t="inlineStr">
        <is>
          <t>000676020165210012</t>
        </is>
      </c>
    </row>
    <row r="4144">
      <c r="A4144" t="inlineStr">
        <is>
          <t>101844</t>
        </is>
      </c>
      <c r="B4144" t="inlineStr">
        <is>
          <t>COATE CONCRETO AGUA E TERRA LTDA</t>
        </is>
      </c>
      <c r="C4144" t="n">
        <v>1191000000</v>
      </c>
      <c r="D4144" t="inlineStr">
        <is>
          <t>Operational Suppliers (Wind Farms)</t>
        </is>
      </c>
      <c r="E4144" t="n">
        <v>200007797</v>
      </c>
      <c r="F4144" t="inlineStr">
        <is>
          <t>2622</t>
        </is>
      </c>
      <c r="G4144" t="inlineStr">
        <is>
          <t>UE</t>
        </is>
      </c>
      <c r="H4144" s="12" t="n">
        <v>9143.190000000001</v>
      </c>
      <c r="I4144" s="17" t="n">
        <v>44222</v>
      </c>
      <c r="J4144" s="17" t="n">
        <v>44222</v>
      </c>
      <c r="K4144" t="inlineStr">
        <is>
          <t>GARANTIA - ANTONIO WAGNER</t>
        </is>
      </c>
    </row>
    <row r="4145">
      <c r="A4145" t="inlineStr">
        <is>
          <t>101844</t>
        </is>
      </c>
      <c r="B4145" t="inlineStr">
        <is>
          <t>COATE CONCRETO AGUA E TERRA LTDA</t>
        </is>
      </c>
      <c r="C4145" t="n">
        <v>1191000000</v>
      </c>
      <c r="D4145" t="inlineStr">
        <is>
          <t>Operational Suppliers (Wind Farms)</t>
        </is>
      </c>
      <c r="E4145" t="n">
        <v>200007798</v>
      </c>
      <c r="F4145" t="inlineStr">
        <is>
          <t>2623</t>
        </is>
      </c>
      <c r="G4145" t="inlineStr">
        <is>
          <t>UE</t>
        </is>
      </c>
      <c r="H4145" s="12" t="n">
        <v>57584.07</v>
      </c>
      <c r="I4145" s="17" t="n">
        <v>44222</v>
      </c>
      <c r="J4145" s="17" t="n">
        <v>44222</v>
      </c>
      <c r="K4145" t="inlineStr">
        <is>
          <t>GARANTIA - JAIRO DE SANTA</t>
        </is>
      </c>
    </row>
    <row r="4146">
      <c r="A4146" t="inlineStr">
        <is>
          <t>101844</t>
        </is>
      </c>
      <c r="B4146" t="inlineStr">
        <is>
          <t>COATE CONCRETO AGUA E TERRA LTDA</t>
        </is>
      </c>
      <c r="C4146" t="n">
        <v>1191000000</v>
      </c>
      <c r="D4146" t="inlineStr">
        <is>
          <t>Operational Suppliers (Wind Farms)</t>
        </is>
      </c>
      <c r="E4146" t="n">
        <v>200007799</v>
      </c>
      <c r="F4146" t="inlineStr">
        <is>
          <t>2624</t>
        </is>
      </c>
      <c r="G4146" t="inlineStr">
        <is>
          <t>UE</t>
        </is>
      </c>
      <c r="H4146" s="12" t="n">
        <v>5434.33</v>
      </c>
      <c r="I4146" s="17" t="n">
        <v>44230</v>
      </c>
      <c r="J4146" s="17" t="n">
        <v>44230</v>
      </c>
      <c r="K4146" t="inlineStr">
        <is>
          <t>GARANTIA - LUCIMAR CHAVES</t>
        </is>
      </c>
    </row>
    <row r="4147">
      <c r="A4147" t="inlineStr">
        <is>
          <t>101976</t>
        </is>
      </c>
      <c r="B4147" t="inlineStr">
        <is>
          <t>SAO PAULO TRIBUNAL DE JUSTICA</t>
        </is>
      </c>
      <c r="C4147" t="n">
        <v>1191000000</v>
      </c>
      <c r="D4147" t="inlineStr">
        <is>
          <t>Legal Services Suppliers</t>
        </is>
      </c>
      <c r="E4147" t="n">
        <v>200007801</v>
      </c>
      <c r="F4147" t="inlineStr">
        <is>
          <t>2626</t>
        </is>
      </c>
      <c r="G4147" t="inlineStr">
        <is>
          <t>UE</t>
        </is>
      </c>
      <c r="H4147" s="12" t="n">
        <v>19600</v>
      </c>
      <c r="I4147" s="17" t="n">
        <v>44816</v>
      </c>
      <c r="J4147" s="17" t="n">
        <v>44816</v>
      </c>
      <c r="K4147" t="inlineStr">
        <is>
          <t>81020000128947868</t>
        </is>
      </c>
    </row>
    <row r="4148">
      <c r="A4148" t="inlineStr">
        <is>
          <t>102001</t>
        </is>
      </c>
      <c r="B4148" t="inlineStr">
        <is>
          <t>TRIBUNAL REGIONAL TRABALHO 21A REGI</t>
        </is>
      </c>
      <c r="C4148" t="n">
        <v>1191000000</v>
      </c>
      <c r="D4148" t="inlineStr">
        <is>
          <t>Legal Services Suppliers</t>
        </is>
      </c>
      <c r="E4148" t="n">
        <v>200007807</v>
      </c>
      <c r="F4148" t="inlineStr">
        <is>
          <t>2631</t>
        </is>
      </c>
      <c r="G4148" t="inlineStr">
        <is>
          <t>UE</t>
        </is>
      </c>
      <c r="H4148" s="12" t="n">
        <v>2312.57</v>
      </c>
      <c r="I4148" s="17" t="n">
        <v>44313</v>
      </c>
      <c r="J4148" s="17" t="n">
        <v>44313</v>
      </c>
      <c r="K4148" t="inlineStr">
        <is>
          <t>0000356-73.2019.5.21.0016</t>
        </is>
      </c>
    </row>
    <row r="4149">
      <c r="A4149" t="inlineStr">
        <is>
          <t>102001</t>
        </is>
      </c>
      <c r="B4149" t="inlineStr">
        <is>
          <t>TRIBUNAL REGIONAL TRABALHO 21A REGI</t>
        </is>
      </c>
      <c r="C4149" t="n">
        <v>1191000000</v>
      </c>
      <c r="D4149" t="inlineStr">
        <is>
          <t>Legal Services Suppliers</t>
        </is>
      </c>
      <c r="E4149" t="n">
        <v>200007808</v>
      </c>
      <c r="F4149" t="inlineStr">
        <is>
          <t>2632</t>
        </is>
      </c>
      <c r="G4149" t="inlineStr">
        <is>
          <t>UE</t>
        </is>
      </c>
      <c r="H4149" s="12" t="n">
        <v>12296.38</v>
      </c>
      <c r="I4149" s="17" t="n">
        <v>45050</v>
      </c>
      <c r="J4149" s="17" t="n">
        <v>45050</v>
      </c>
      <c r="K4149" t="inlineStr">
        <is>
          <t>0000478-81.2022.5.21.0016</t>
        </is>
      </c>
    </row>
    <row r="4150">
      <c r="A4150" t="inlineStr">
        <is>
          <t>101690</t>
        </is>
      </c>
      <c r="B4150" t="inlineStr">
        <is>
          <t>TES TRANSFOR EQUIPAMENTOS ELETRICOS</t>
        </is>
      </c>
      <c r="C4150" t="n">
        <v>1191000000</v>
      </c>
      <c r="D4150" t="inlineStr">
        <is>
          <t>Legal Services Suppliers</t>
        </is>
      </c>
      <c r="E4150" t="n">
        <v>200007810</v>
      </c>
      <c r="F4150" t="inlineStr">
        <is>
          <t>2634</t>
        </is>
      </c>
      <c r="G4150" t="inlineStr">
        <is>
          <t>UE</t>
        </is>
      </c>
      <c r="H4150" s="12" t="n">
        <v>78500</v>
      </c>
      <c r="I4150" s="17" t="n">
        <v>44819</v>
      </c>
      <c r="J4150" s="17" t="n">
        <v>44819</v>
      </c>
      <c r="K4150" t="inlineStr">
        <is>
          <t>PROC.1037678-57.2022.8.26</t>
        </is>
      </c>
    </row>
    <row r="4151">
      <c r="A4151" t="inlineStr">
        <is>
          <t>101359</t>
        </is>
      </c>
      <c r="B4151" t="inlineStr">
        <is>
          <t>TRIBUNAL REGIONAL TRABALHO 5A REGIA</t>
        </is>
      </c>
      <c r="C4151" t="n">
        <v>1191000000</v>
      </c>
      <c r="D4151" t="inlineStr">
        <is>
          <t>Legal Services Suppliers</t>
        </is>
      </c>
      <c r="E4151" t="n">
        <v>200007817</v>
      </c>
      <c r="F4151" t="inlineStr">
        <is>
          <t>2640</t>
        </is>
      </c>
      <c r="G4151" t="inlineStr">
        <is>
          <t>UE</t>
        </is>
      </c>
      <c r="H4151" s="12" t="n">
        <v>1137.8</v>
      </c>
      <c r="I4151" s="17" t="n">
        <v>45043</v>
      </c>
      <c r="J4151" s="17" t="n">
        <v>45043</v>
      </c>
      <c r="K4151" t="inlineStr">
        <is>
          <t>0000277-77.2019.5.05.0101</t>
        </is>
      </c>
    </row>
    <row r="4152">
      <c r="A4152" t="inlineStr">
        <is>
          <t>100575</t>
        </is>
      </c>
      <c r="B4152" t="inlineStr">
        <is>
          <t>DNIT DEP NAC DE INFRAEST DE TRANSPO</t>
        </is>
      </c>
      <c r="C4152" t="n">
        <v>1191000000</v>
      </c>
      <c r="D4152" t="inlineStr">
        <is>
          <t>Legal Services Suppliers</t>
        </is>
      </c>
      <c r="E4152" t="n">
        <v>200007820</v>
      </c>
      <c r="F4152" t="inlineStr">
        <is>
          <t>2643</t>
        </is>
      </c>
      <c r="G4152" t="inlineStr">
        <is>
          <t>UE</t>
        </is>
      </c>
      <c r="H4152" s="12" t="n">
        <v>2250</v>
      </c>
      <c r="I4152" s="17" t="n">
        <v>44771</v>
      </c>
      <c r="J4152" s="17" t="n">
        <v>44771</v>
      </c>
      <c r="K4152" t="inlineStr">
        <is>
          <t xml:space="preserve"> 3337101102</t>
        </is>
      </c>
    </row>
    <row r="4153">
      <c r="A4153" t="inlineStr">
        <is>
          <t>101133</t>
        </is>
      </c>
      <c r="B4153" t="inlineStr">
        <is>
          <t>ALLIANZ SEGUROS SA USD</t>
        </is>
      </c>
      <c r="C4153" t="n">
        <v>1191000000</v>
      </c>
      <c r="D4153" t="inlineStr">
        <is>
          <t>Insurance</t>
        </is>
      </c>
      <c r="E4153" t="n">
        <v>200015585</v>
      </c>
      <c r="F4153" t="inlineStr">
        <is>
          <t>13223</t>
        </is>
      </c>
      <c r="G4153" t="inlineStr">
        <is>
          <t>UE</t>
        </is>
      </c>
      <c r="H4153" s="12" t="n">
        <v>31701.65</v>
      </c>
      <c r="I4153" s="17" t="n">
        <v>44963</v>
      </c>
      <c r="J4153" s="17" t="n">
        <v>44963</v>
      </c>
      <c r="K4153" t="inlineStr">
        <is>
          <t>5177202353220000008</t>
        </is>
      </c>
    </row>
    <row r="4154">
      <c r="A4154" t="inlineStr">
        <is>
          <t>101178</t>
        </is>
      </c>
      <c r="B4154" t="inlineStr">
        <is>
          <t>ACTUANT GMBH</t>
        </is>
      </c>
      <c r="C4154" t="n">
        <v>1191000000</v>
      </c>
      <c r="D4154" t="inlineStr">
        <is>
          <t>Other Suppliers</t>
        </is>
      </c>
      <c r="E4154" t="n">
        <v>200015587</v>
      </c>
      <c r="F4154" t="inlineStr">
        <is>
          <t>13225</t>
        </is>
      </c>
      <c r="G4154" t="inlineStr">
        <is>
          <t>UE</t>
        </is>
      </c>
      <c r="H4154" s="12" t="n">
        <v>72936.99000000001</v>
      </c>
      <c r="I4154" s="17" t="n">
        <v>44690</v>
      </c>
      <c r="J4154" s="17" t="n">
        <v>44690</v>
      </c>
      <c r="K4154" t="inlineStr">
        <is>
          <t>203143597</t>
        </is>
      </c>
    </row>
    <row r="4155">
      <c r="A4155" t="inlineStr">
        <is>
          <t>100916</t>
        </is>
      </c>
      <c r="B4155" t="inlineStr">
        <is>
          <t>SRJ Peety Steels Pvt Ltd</t>
        </is>
      </c>
      <c r="C4155" t="n">
        <v>1191000000</v>
      </c>
      <c r="D4155" t="inlineStr">
        <is>
          <t>Other Suppliers</t>
        </is>
      </c>
      <c r="E4155" t="n">
        <v>200015609</v>
      </c>
      <c r="F4155" t="inlineStr">
        <is>
          <t>13245</t>
        </is>
      </c>
      <c r="G4155" t="inlineStr">
        <is>
          <t>UE</t>
        </is>
      </c>
      <c r="H4155" s="12" t="n">
        <v>3051.61</v>
      </c>
      <c r="I4155" s="17" t="n">
        <v>44495</v>
      </c>
      <c r="J4155" s="17" t="n">
        <v>44495</v>
      </c>
      <c r="K4155" t="inlineStr">
        <is>
          <t>3224</t>
        </is>
      </c>
    </row>
    <row r="4156">
      <c r="A4156" t="inlineStr">
        <is>
          <t>101878</t>
        </is>
      </c>
      <c r="B4156" t="inlineStr">
        <is>
          <t>UPLOG TRANSPORTES E LOGISTICA EIREL</t>
        </is>
      </c>
      <c r="C4156" t="n">
        <v>1191000000</v>
      </c>
      <c r="D4156" t="inlineStr">
        <is>
          <t>Operational Suppliers (Wind Farms)</t>
        </is>
      </c>
      <c r="E4156" t="n">
        <v>200032976</v>
      </c>
      <c r="F4156" t="inlineStr">
        <is>
          <t>24374</t>
        </is>
      </c>
      <c r="G4156" t="inlineStr">
        <is>
          <t>UE</t>
        </is>
      </c>
      <c r="H4156" s="12" t="n">
        <v>3371.91</v>
      </c>
      <c r="I4156" s="17" t="n">
        <v>45034</v>
      </c>
      <c r="J4156" s="17" t="n">
        <v>45034</v>
      </c>
      <c r="K4156" t="inlineStr">
        <is>
          <t>3222004</t>
        </is>
      </c>
    </row>
    <row r="4157">
      <c r="A4157" t="inlineStr">
        <is>
          <t>EM000102</t>
        </is>
      </c>
      <c r="B4157" t="inlineStr">
        <is>
          <t>LUIZ MARCELO SILVA MENESCAL CAMPOS</t>
        </is>
      </c>
      <c r="C4157" t="n">
        <v>1191000000</v>
      </c>
      <c r="D4157" t="inlineStr">
        <is>
          <t>Nordex Employees</t>
        </is>
      </c>
      <c r="E4157" t="n">
        <v>200032980</v>
      </c>
      <c r="F4157" t="inlineStr">
        <is>
          <t>24378</t>
        </is>
      </c>
      <c r="G4157" t="inlineStr">
        <is>
          <t>UE</t>
        </is>
      </c>
      <c r="H4157" s="12" t="n">
        <v>627.8099999999999</v>
      </c>
      <c r="I4157" s="17" t="n">
        <v>44680</v>
      </c>
      <c r="J4157" s="17" t="n">
        <v>44680</v>
      </c>
      <c r="K4157" t="inlineStr">
        <is>
          <t>FATURA CC 04.2022</t>
        </is>
      </c>
    </row>
    <row r="4158">
      <c r="A4158" t="inlineStr">
        <is>
          <t>101888</t>
        </is>
      </c>
      <c r="B4158" t="inlineStr">
        <is>
          <t>BANCO SANTANDER BRASIL SA</t>
        </is>
      </c>
      <c r="C4158" t="n">
        <v>1191000000</v>
      </c>
      <c r="D4158" t="inlineStr">
        <is>
          <t>Corporate Card Payments</t>
        </is>
      </c>
      <c r="E4158" t="n">
        <v>200032981</v>
      </c>
      <c r="F4158" t="inlineStr">
        <is>
          <t>24379</t>
        </is>
      </c>
      <c r="G4158" t="inlineStr">
        <is>
          <t>UE</t>
        </is>
      </c>
      <c r="H4158" s="12" t="n">
        <v>2218.86</v>
      </c>
      <c r="I4158" s="17" t="n">
        <v>44680</v>
      </c>
      <c r="J4158" s="17" t="n">
        <v>44680</v>
      </c>
      <c r="K4158" t="inlineStr">
        <is>
          <t>FATURA CC 04.2022</t>
        </is>
      </c>
    </row>
    <row r="4159">
      <c r="A4159" t="inlineStr">
        <is>
          <t>101896</t>
        </is>
      </c>
      <c r="B4159" t="inlineStr">
        <is>
          <t>EMTERC SERVICOS E CONSTRUCOES LTDA</t>
        </is>
      </c>
      <c r="C4159" t="n">
        <v>1191000000</v>
      </c>
      <c r="D4159" t="inlineStr">
        <is>
          <t>Other Suppliers</t>
        </is>
      </c>
      <c r="E4159" t="n">
        <v>200032982</v>
      </c>
      <c r="F4159" t="inlineStr">
        <is>
          <t>24380</t>
        </is>
      </c>
      <c r="G4159" t="inlineStr">
        <is>
          <t>UE</t>
        </is>
      </c>
      <c r="H4159" s="12" t="n">
        <v>21768.06</v>
      </c>
      <c r="I4159" s="17" t="n">
        <v>44735</v>
      </c>
      <c r="J4159" s="17" t="n">
        <v>44735</v>
      </c>
      <c r="K4159" t="inlineStr">
        <is>
          <t>584.</t>
        </is>
      </c>
    </row>
    <row r="4160">
      <c r="A4160" t="inlineStr">
        <is>
          <t>101917</t>
        </is>
      </c>
      <c r="B4160" t="inlineStr">
        <is>
          <t>ROSCAFIX FIXACAO E VEDACAO LTDA</t>
        </is>
      </c>
      <c r="C4160" t="n">
        <v>1191000000</v>
      </c>
      <c r="D4160" t="inlineStr">
        <is>
          <t>Other Suppliers</t>
        </is>
      </c>
      <c r="E4160" t="n">
        <v>200032983</v>
      </c>
      <c r="F4160" t="inlineStr">
        <is>
          <t>24381</t>
        </is>
      </c>
      <c r="G4160" t="inlineStr">
        <is>
          <t>UE</t>
        </is>
      </c>
      <c r="H4160" s="12" t="n">
        <v>11304.97</v>
      </c>
      <c r="I4160" s="17" t="n">
        <v>44852</v>
      </c>
      <c r="J4160" s="17" t="n">
        <v>44852</v>
      </c>
      <c r="K4160" t="inlineStr">
        <is>
          <t>33334</t>
        </is>
      </c>
    </row>
    <row r="4161">
      <c r="A4161" t="inlineStr">
        <is>
          <t>101917</t>
        </is>
      </c>
      <c r="B4161" t="inlineStr">
        <is>
          <t>ROSCAFIX FIXACAO E VEDACAO LTDA</t>
        </is>
      </c>
      <c r="C4161" t="n">
        <v>1191000000</v>
      </c>
      <c r="D4161" t="inlineStr">
        <is>
          <t>Other Suppliers</t>
        </is>
      </c>
      <c r="E4161" t="n">
        <v>200032984</v>
      </c>
      <c r="F4161" t="inlineStr">
        <is>
          <t>24382</t>
        </is>
      </c>
      <c r="G4161" t="inlineStr">
        <is>
          <t>UE</t>
        </is>
      </c>
      <c r="H4161" s="12" t="n">
        <v>11304.97</v>
      </c>
      <c r="I4161" s="17" t="n">
        <v>44852</v>
      </c>
      <c r="J4161" s="17" t="n">
        <v>44852</v>
      </c>
      <c r="K4161" t="inlineStr">
        <is>
          <t>33378</t>
        </is>
      </c>
    </row>
    <row r="4162">
      <c r="A4162" t="inlineStr">
        <is>
          <t>101969</t>
        </is>
      </c>
      <c r="B4162" t="inlineStr">
        <is>
          <t>SECRETARIA DE ESTADO DA FAZENDA RN</t>
        </is>
      </c>
      <c r="C4162" t="n">
        <v>1191000000</v>
      </c>
      <c r="D4162" t="inlineStr">
        <is>
          <t>Customs Brokerage – Overall</t>
        </is>
      </c>
      <c r="E4162" t="n">
        <v>200032992</v>
      </c>
      <c r="F4162" t="inlineStr">
        <is>
          <t>24390</t>
        </is>
      </c>
      <c r="G4162" t="inlineStr">
        <is>
          <t>UE</t>
        </is>
      </c>
      <c r="H4162" s="12" t="n">
        <v>702.87</v>
      </c>
      <c r="I4162" s="17" t="n">
        <v>44694</v>
      </c>
      <c r="J4162" s="17" t="n">
        <v>44694</v>
      </c>
      <c r="K4162" t="inlineStr">
        <is>
          <t xml:space="preserve"> GRI 2478</t>
        </is>
      </c>
    </row>
    <row r="4163">
      <c r="A4163" t="inlineStr">
        <is>
          <t>101969</t>
        </is>
      </c>
      <c r="B4163" t="inlineStr">
        <is>
          <t>SECRETARIA DE ESTADO DA FAZENDA RN</t>
        </is>
      </c>
      <c r="C4163" t="n">
        <v>1191000000</v>
      </c>
      <c r="D4163" t="inlineStr">
        <is>
          <t>Customs Brokerage – Overall</t>
        </is>
      </c>
      <c r="E4163" t="n">
        <v>200032993</v>
      </c>
      <c r="F4163" t="inlineStr">
        <is>
          <t>24391</t>
        </is>
      </c>
      <c r="G4163" t="inlineStr">
        <is>
          <t>UE</t>
        </is>
      </c>
      <c r="H4163" s="12" t="n">
        <v>43.62</v>
      </c>
      <c r="I4163" s="17" t="n">
        <v>44694</v>
      </c>
      <c r="J4163" s="17" t="n">
        <v>44694</v>
      </c>
      <c r="K4163" t="inlineStr">
        <is>
          <t xml:space="preserve"> GNRE 477 - VOUCHER 10922</t>
        </is>
      </c>
    </row>
    <row r="4164">
      <c r="A4164" t="inlineStr">
        <is>
          <t>101969</t>
        </is>
      </c>
      <c r="B4164" t="inlineStr">
        <is>
          <t>SECRETARIA DE ESTADO DA FAZENDA RN</t>
        </is>
      </c>
      <c r="C4164" t="n">
        <v>1191000000</v>
      </c>
      <c r="D4164" t="inlineStr">
        <is>
          <t>Customs Brokerage – Overall</t>
        </is>
      </c>
      <c r="E4164" t="n">
        <v>200032994</v>
      </c>
      <c r="F4164" t="inlineStr">
        <is>
          <t>24392</t>
        </is>
      </c>
      <c r="G4164" t="inlineStr">
        <is>
          <t>UE</t>
        </is>
      </c>
      <c r="H4164" s="12" t="n">
        <v>47.85</v>
      </c>
      <c r="I4164" s="17" t="n">
        <v>44694</v>
      </c>
      <c r="J4164" s="17" t="n">
        <v>44694</v>
      </c>
      <c r="K4164" t="inlineStr">
        <is>
          <t xml:space="preserve"> GNRE 478 - VOUCHER 10922</t>
        </is>
      </c>
    </row>
    <row r="4165">
      <c r="A4165" t="inlineStr">
        <is>
          <t>101969</t>
        </is>
      </c>
      <c r="B4165" t="inlineStr">
        <is>
          <t>SECRETARIA DE ESTADO DA FAZENDA RN</t>
        </is>
      </c>
      <c r="C4165" t="n">
        <v>1191000000</v>
      </c>
      <c r="D4165" t="inlineStr">
        <is>
          <t>Customs Brokerage – Overall</t>
        </is>
      </c>
      <c r="E4165" t="n">
        <v>200032995</v>
      </c>
      <c r="F4165" t="inlineStr">
        <is>
          <t>24393</t>
        </is>
      </c>
      <c r="G4165" t="inlineStr">
        <is>
          <t>UE</t>
        </is>
      </c>
      <c r="H4165" s="12" t="n">
        <v>100.46</v>
      </c>
      <c r="I4165" s="17" t="n">
        <v>44694</v>
      </c>
      <c r="J4165" s="17" t="n">
        <v>44694</v>
      </c>
      <c r="K4165" t="inlineStr">
        <is>
          <t xml:space="preserve"> GNRE 479 - VOUCHER 10922</t>
        </is>
      </c>
    </row>
    <row r="4166">
      <c r="A4166" t="inlineStr">
        <is>
          <t>101969</t>
        </is>
      </c>
      <c r="B4166" t="inlineStr">
        <is>
          <t>SECRETARIA DE ESTADO DA FAZENDA RN</t>
        </is>
      </c>
      <c r="C4166" t="n">
        <v>1191000000</v>
      </c>
      <c r="D4166" t="inlineStr">
        <is>
          <t>Customs Brokerage – Overall</t>
        </is>
      </c>
      <c r="E4166" t="n">
        <v>200032996</v>
      </c>
      <c r="F4166" t="inlineStr">
        <is>
          <t>24394</t>
        </is>
      </c>
      <c r="G4166" t="inlineStr">
        <is>
          <t>UE</t>
        </is>
      </c>
      <c r="H4166" s="12" t="n">
        <v>6133.34</v>
      </c>
      <c r="I4166" s="17" t="n">
        <v>44694</v>
      </c>
      <c r="J4166" s="17" t="n">
        <v>44694</v>
      </c>
      <c r="K4166" t="inlineStr">
        <is>
          <t xml:space="preserve"> GNRE 482 - VOUCHER 10922</t>
        </is>
      </c>
    </row>
    <row r="4167">
      <c r="A4167" t="inlineStr">
        <is>
          <t>101969</t>
        </is>
      </c>
      <c r="B4167" t="inlineStr">
        <is>
          <t>SECRETARIA DE ESTADO DA FAZENDA RN</t>
        </is>
      </c>
      <c r="C4167" t="n">
        <v>1191000000</v>
      </c>
      <c r="D4167" t="inlineStr">
        <is>
          <t>Customs Brokerage – Overall</t>
        </is>
      </c>
      <c r="E4167" t="n">
        <v>200032997</v>
      </c>
      <c r="F4167" t="inlineStr">
        <is>
          <t>24395</t>
        </is>
      </c>
      <c r="G4167" t="inlineStr">
        <is>
          <t>UE</t>
        </is>
      </c>
      <c r="H4167" s="12" t="n">
        <v>1037.76</v>
      </c>
      <c r="I4167" s="17" t="n">
        <v>44694</v>
      </c>
      <c r="J4167" s="17" t="n">
        <v>44694</v>
      </c>
      <c r="K4167" t="inlineStr">
        <is>
          <t>GNRE 467 - VOUCHER 109243</t>
        </is>
      </c>
    </row>
    <row r="4168">
      <c r="A4168" t="inlineStr">
        <is>
          <t>101969</t>
        </is>
      </c>
      <c r="B4168" t="inlineStr">
        <is>
          <t>SECRETARIA DE ESTADO DA FAZENDA RN</t>
        </is>
      </c>
      <c r="C4168" t="n">
        <v>1191000000</v>
      </c>
      <c r="D4168" t="inlineStr">
        <is>
          <t>Customs Brokerage – Overall</t>
        </is>
      </c>
      <c r="E4168" t="n">
        <v>200032998</v>
      </c>
      <c r="F4168" t="inlineStr">
        <is>
          <t>24396</t>
        </is>
      </c>
      <c r="G4168" t="inlineStr">
        <is>
          <t>UE</t>
        </is>
      </c>
      <c r="H4168" s="12" t="n">
        <v>1092.03</v>
      </c>
      <c r="I4168" s="17" t="n">
        <v>44694</v>
      </c>
      <c r="J4168" s="17" t="n">
        <v>44694</v>
      </c>
      <c r="K4168" t="inlineStr">
        <is>
          <t xml:space="preserve"> GNRE 465 - VOUCHER 10924</t>
        </is>
      </c>
    </row>
    <row r="4169">
      <c r="A4169" t="inlineStr">
        <is>
          <t>101969</t>
        </is>
      </c>
      <c r="B4169" t="inlineStr">
        <is>
          <t>SECRETARIA DE ESTADO DA FAZENDA RN</t>
        </is>
      </c>
      <c r="C4169" t="n">
        <v>1191000000</v>
      </c>
      <c r="D4169" t="inlineStr">
        <is>
          <t>Customs Brokerage – Overall</t>
        </is>
      </c>
      <c r="E4169" t="n">
        <v>200032999</v>
      </c>
      <c r="F4169" t="inlineStr">
        <is>
          <t>24397</t>
        </is>
      </c>
      <c r="G4169" t="inlineStr">
        <is>
          <t>UE</t>
        </is>
      </c>
      <c r="H4169" s="12" t="n">
        <v>589.1900000000001</v>
      </c>
      <c r="I4169" s="17" t="n">
        <v>44659</v>
      </c>
      <c r="J4169" s="17" t="n">
        <v>44659</v>
      </c>
      <c r="K4169" t="inlineStr">
        <is>
          <t>CTE 501 SUA CARGA</t>
        </is>
      </c>
    </row>
    <row r="4170">
      <c r="A4170" t="inlineStr">
        <is>
          <t>101969</t>
        </is>
      </c>
      <c r="B4170" t="inlineStr">
        <is>
          <t>SECRETARIA DE ESTADO DA FAZENDA RN</t>
        </is>
      </c>
      <c r="C4170" t="n">
        <v>1191000000</v>
      </c>
      <c r="D4170" t="inlineStr">
        <is>
          <t>Customs Brokerage – Overall</t>
        </is>
      </c>
      <c r="E4170" t="n">
        <v>200033000</v>
      </c>
      <c r="F4170" t="inlineStr">
        <is>
          <t>24398</t>
        </is>
      </c>
      <c r="G4170" t="inlineStr">
        <is>
          <t>UE</t>
        </is>
      </c>
      <c r="H4170" s="12" t="n">
        <v>555.14</v>
      </c>
      <c r="I4170" s="17" t="n">
        <v>44659</v>
      </c>
      <c r="J4170" s="17" t="n">
        <v>44659</v>
      </c>
      <c r="K4170" t="inlineStr">
        <is>
          <t>CTE 1992 UPLOG</t>
        </is>
      </c>
    </row>
    <row r="4171">
      <c r="A4171" t="inlineStr">
        <is>
          <t>101969</t>
        </is>
      </c>
      <c r="B4171" t="inlineStr">
        <is>
          <t>SECRETARIA DE ESTADO DA FAZENDA RN</t>
        </is>
      </c>
      <c r="C4171" t="n">
        <v>1191000000</v>
      </c>
      <c r="D4171" t="inlineStr">
        <is>
          <t>Customs Brokerage – Overall</t>
        </is>
      </c>
      <c r="E4171" t="n">
        <v>200033001</v>
      </c>
      <c r="F4171" t="inlineStr">
        <is>
          <t>24399</t>
        </is>
      </c>
      <c r="G4171" t="inlineStr">
        <is>
          <t>UE</t>
        </is>
      </c>
      <c r="H4171" s="12" t="n">
        <v>658.97</v>
      </c>
      <c r="I4171" s="17" t="n">
        <v>44659</v>
      </c>
      <c r="J4171" s="17" t="n">
        <v>44659</v>
      </c>
      <c r="K4171" t="inlineStr">
        <is>
          <t>CTE 2147 UPLOG</t>
        </is>
      </c>
    </row>
    <row r="4172">
      <c r="A4172" t="inlineStr">
        <is>
          <t>101969</t>
        </is>
      </c>
      <c r="B4172" t="inlineStr">
        <is>
          <t>SECRETARIA DE ESTADO DA FAZENDA RN</t>
        </is>
      </c>
      <c r="C4172" t="n">
        <v>1191000000</v>
      </c>
      <c r="D4172" t="inlineStr">
        <is>
          <t>Customs Brokerage – Overall</t>
        </is>
      </c>
      <c r="E4172" t="n">
        <v>200033002</v>
      </c>
      <c r="F4172" t="inlineStr">
        <is>
          <t>24400</t>
        </is>
      </c>
      <c r="G4172" t="inlineStr">
        <is>
          <t>UE</t>
        </is>
      </c>
      <c r="H4172" s="12" t="n">
        <v>584.9</v>
      </c>
      <c r="I4172" s="17" t="n">
        <v>44659</v>
      </c>
      <c r="J4172" s="17" t="n">
        <v>44659</v>
      </c>
      <c r="K4172" t="inlineStr">
        <is>
          <t>CTE 5847 KMA</t>
        </is>
      </c>
    </row>
    <row r="4173">
      <c r="A4173" t="inlineStr">
        <is>
          <t>101969</t>
        </is>
      </c>
      <c r="B4173" t="inlineStr">
        <is>
          <t>SECRETARIA DE ESTADO DA FAZENDA RN</t>
        </is>
      </c>
      <c r="C4173" t="n">
        <v>1191000000</v>
      </c>
      <c r="D4173" t="inlineStr">
        <is>
          <t>Customs Brokerage – Overall</t>
        </is>
      </c>
      <c r="E4173" t="n">
        <v>200033003</v>
      </c>
      <c r="F4173" t="inlineStr">
        <is>
          <t>24401</t>
        </is>
      </c>
      <c r="G4173" t="inlineStr">
        <is>
          <t>UE</t>
        </is>
      </c>
      <c r="H4173" s="12" t="n">
        <v>974.9</v>
      </c>
      <c r="I4173" s="17" t="n">
        <v>44659</v>
      </c>
      <c r="J4173" s="17" t="n">
        <v>44659</v>
      </c>
      <c r="K4173" t="inlineStr">
        <is>
          <t>CTE 2115 UPLOG</t>
        </is>
      </c>
    </row>
    <row r="4174">
      <c r="A4174" t="inlineStr">
        <is>
          <t>101969</t>
        </is>
      </c>
      <c r="B4174" t="inlineStr">
        <is>
          <t>SECRETARIA DE ESTADO DA FAZENDA RN</t>
        </is>
      </c>
      <c r="C4174" t="n">
        <v>1191000000</v>
      </c>
      <c r="D4174" t="inlineStr">
        <is>
          <t>Customs Brokerage – Overall</t>
        </is>
      </c>
      <c r="E4174" t="n">
        <v>200033004</v>
      </c>
      <c r="F4174" t="inlineStr">
        <is>
          <t>24402</t>
        </is>
      </c>
      <c r="G4174" t="inlineStr">
        <is>
          <t>UE</t>
        </is>
      </c>
      <c r="H4174" s="12" t="n">
        <v>620.49</v>
      </c>
      <c r="I4174" s="17" t="n">
        <v>44659</v>
      </c>
      <c r="J4174" s="17" t="n">
        <v>44659</v>
      </c>
      <c r="K4174" t="inlineStr">
        <is>
          <t>CTE 315 QUELMAR</t>
        </is>
      </c>
    </row>
    <row r="4175">
      <c r="A4175" t="inlineStr">
        <is>
          <t>101969</t>
        </is>
      </c>
      <c r="B4175" t="inlineStr">
        <is>
          <t>SECRETARIA DE ESTADO DA FAZENDA RN</t>
        </is>
      </c>
      <c r="C4175" t="n">
        <v>1191000000</v>
      </c>
      <c r="D4175" t="inlineStr">
        <is>
          <t>Customs Brokerage – Overall</t>
        </is>
      </c>
      <c r="E4175" t="n">
        <v>200033005</v>
      </c>
      <c r="F4175" t="inlineStr">
        <is>
          <t>24403</t>
        </is>
      </c>
      <c r="G4175" t="inlineStr">
        <is>
          <t>UE</t>
        </is>
      </c>
      <c r="H4175" s="12" t="n">
        <v>1253.65</v>
      </c>
      <c r="I4175" s="17" t="n">
        <v>44659</v>
      </c>
      <c r="J4175" s="17" t="n">
        <v>44659</v>
      </c>
      <c r="K4175" t="inlineStr">
        <is>
          <t>CTE 355 QUELMAR</t>
        </is>
      </c>
    </row>
    <row r="4176">
      <c r="A4176" t="inlineStr">
        <is>
          <t>101969</t>
        </is>
      </c>
      <c r="B4176" t="inlineStr">
        <is>
          <t>SECRETARIA DE ESTADO DA FAZENDA RN</t>
        </is>
      </c>
      <c r="C4176" t="n">
        <v>1191000000</v>
      </c>
      <c r="D4176" t="inlineStr">
        <is>
          <t>Customs Brokerage – Overall</t>
        </is>
      </c>
      <c r="E4176" t="n">
        <v>200033006</v>
      </c>
      <c r="F4176" t="inlineStr">
        <is>
          <t>24404</t>
        </is>
      </c>
      <c r="G4176" t="inlineStr">
        <is>
          <t>UE</t>
        </is>
      </c>
      <c r="H4176" s="12" t="n">
        <v>842.75</v>
      </c>
      <c r="I4176" s="17" t="n">
        <v>44659</v>
      </c>
      <c r="J4176" s="17" t="n">
        <v>44659</v>
      </c>
      <c r="K4176" t="inlineStr">
        <is>
          <t>CTE 421 QUELMAR</t>
        </is>
      </c>
    </row>
    <row r="4177">
      <c r="A4177" t="inlineStr">
        <is>
          <t>101969</t>
        </is>
      </c>
      <c r="B4177" t="inlineStr">
        <is>
          <t>SECRETARIA DE ESTADO DA FAZENDA RN</t>
        </is>
      </c>
      <c r="C4177" t="n">
        <v>1191000000</v>
      </c>
      <c r="D4177" t="inlineStr">
        <is>
          <t>Customs Brokerage – Overall</t>
        </is>
      </c>
      <c r="E4177" t="n">
        <v>200033007</v>
      </c>
      <c r="F4177" t="inlineStr">
        <is>
          <t>24405</t>
        </is>
      </c>
      <c r="G4177" t="inlineStr">
        <is>
          <t>UE</t>
        </is>
      </c>
      <c r="H4177" s="12" t="n">
        <v>294</v>
      </c>
      <c r="I4177" s="17" t="n">
        <v>44659</v>
      </c>
      <c r="J4177" s="17" t="n">
        <v>44659</v>
      </c>
      <c r="K4177" t="inlineStr">
        <is>
          <t>CTE 422 QUELMAR</t>
        </is>
      </c>
    </row>
    <row r="4178">
      <c r="A4178" t="inlineStr">
        <is>
          <t>101969</t>
        </is>
      </c>
      <c r="B4178" t="inlineStr">
        <is>
          <t>SECRETARIA DE ESTADO DA FAZENDA RN</t>
        </is>
      </c>
      <c r="C4178" t="n">
        <v>1191000000</v>
      </c>
      <c r="D4178" t="inlineStr">
        <is>
          <t>Customs Brokerage – Overall</t>
        </is>
      </c>
      <c r="E4178" t="n">
        <v>200033008</v>
      </c>
      <c r="F4178" t="inlineStr">
        <is>
          <t>24406</t>
        </is>
      </c>
      <c r="G4178" t="inlineStr">
        <is>
          <t>UE</t>
        </is>
      </c>
      <c r="H4178" s="12" t="n">
        <v>250.35</v>
      </c>
      <c r="I4178" s="17" t="n">
        <v>44659</v>
      </c>
      <c r="J4178" s="17" t="n">
        <v>44659</v>
      </c>
      <c r="K4178" t="inlineStr">
        <is>
          <t>CTE 443 QUELMAR</t>
        </is>
      </c>
    </row>
    <row r="4179">
      <c r="A4179" t="inlineStr">
        <is>
          <t>101969</t>
        </is>
      </c>
      <c r="B4179" t="inlineStr">
        <is>
          <t>SECRETARIA DE ESTADO DA FAZENDA RN</t>
        </is>
      </c>
      <c r="C4179" t="n">
        <v>1191000000</v>
      </c>
      <c r="D4179" t="inlineStr">
        <is>
          <t>Customs Brokerage – Overall</t>
        </is>
      </c>
      <c r="E4179" t="n">
        <v>200033009</v>
      </c>
      <c r="F4179" t="inlineStr">
        <is>
          <t>24407</t>
        </is>
      </c>
      <c r="G4179" t="inlineStr">
        <is>
          <t>UE</t>
        </is>
      </c>
      <c r="H4179" s="12" t="n">
        <v>74.02</v>
      </c>
      <c r="I4179" s="17" t="n">
        <v>44659</v>
      </c>
      <c r="J4179" s="17" t="n">
        <v>44659</v>
      </c>
      <c r="K4179" t="inlineStr">
        <is>
          <t>CTE 486 QUELMAR</t>
        </is>
      </c>
    </row>
    <row r="4180">
      <c r="A4180" t="inlineStr">
        <is>
          <t>101969</t>
        </is>
      </c>
      <c r="B4180" t="inlineStr">
        <is>
          <t>SECRETARIA DE ESTADO DA FAZENDA RN</t>
        </is>
      </c>
      <c r="C4180" t="n">
        <v>1191000000</v>
      </c>
      <c r="D4180" t="inlineStr">
        <is>
          <t>Customs Brokerage – Overall</t>
        </is>
      </c>
      <c r="E4180" t="n">
        <v>200033010</v>
      </c>
      <c r="F4180" t="inlineStr">
        <is>
          <t>24408</t>
        </is>
      </c>
      <c r="G4180" t="inlineStr">
        <is>
          <t>UE</t>
        </is>
      </c>
      <c r="H4180" s="12" t="n">
        <v>779.76</v>
      </c>
      <c r="I4180" s="17" t="n">
        <v>44659</v>
      </c>
      <c r="J4180" s="17" t="n">
        <v>44659</v>
      </c>
      <c r="K4180" t="inlineStr">
        <is>
          <t>CTE 1931 MVC</t>
        </is>
      </c>
    </row>
    <row r="4181">
      <c r="A4181" t="inlineStr">
        <is>
          <t>101969</t>
        </is>
      </c>
      <c r="B4181" t="inlineStr">
        <is>
          <t>SECRETARIA DE ESTADO DA FAZENDA RN</t>
        </is>
      </c>
      <c r="C4181" t="n">
        <v>1191000000</v>
      </c>
      <c r="D4181" t="inlineStr">
        <is>
          <t>Customs Brokerage – Overall</t>
        </is>
      </c>
      <c r="E4181" t="n">
        <v>200033011</v>
      </c>
      <c r="F4181" t="inlineStr">
        <is>
          <t>24409</t>
        </is>
      </c>
      <c r="G4181" t="inlineStr">
        <is>
          <t>UE</t>
        </is>
      </c>
      <c r="H4181" s="12" t="n">
        <v>739.6900000000001</v>
      </c>
      <c r="I4181" s="17" t="n">
        <v>44659</v>
      </c>
      <c r="J4181" s="17" t="n">
        <v>44659</v>
      </c>
      <c r="K4181" t="inlineStr">
        <is>
          <t>CTE 1945 QUELMAR</t>
        </is>
      </c>
    </row>
    <row r="4182">
      <c r="A4182" t="inlineStr">
        <is>
          <t>101969</t>
        </is>
      </c>
      <c r="B4182" t="inlineStr">
        <is>
          <t>SECRETARIA DE ESTADO DA FAZENDA RN</t>
        </is>
      </c>
      <c r="C4182" t="n">
        <v>1191000000</v>
      </c>
      <c r="D4182" t="inlineStr">
        <is>
          <t>Customs Brokerage – Overall</t>
        </is>
      </c>
      <c r="E4182" t="n">
        <v>200033012</v>
      </c>
      <c r="F4182" t="inlineStr">
        <is>
          <t>24410</t>
        </is>
      </c>
      <c r="G4182" t="inlineStr">
        <is>
          <t>UE</t>
        </is>
      </c>
      <c r="H4182" s="12" t="n">
        <v>7326.74</v>
      </c>
      <c r="I4182" s="17" t="n">
        <v>44659</v>
      </c>
      <c r="J4182" s="17" t="n">
        <v>44659</v>
      </c>
      <c r="K4182" t="inlineStr">
        <is>
          <t>CTE 1952 QUELMAR</t>
        </is>
      </c>
    </row>
    <row r="4183">
      <c r="A4183" t="inlineStr">
        <is>
          <t>101969</t>
        </is>
      </c>
      <c r="B4183" t="inlineStr">
        <is>
          <t>SECRETARIA DE ESTADO DA FAZENDA RN</t>
        </is>
      </c>
      <c r="C4183" t="n">
        <v>1191000000</v>
      </c>
      <c r="D4183" t="inlineStr">
        <is>
          <t>Customs Brokerage – Overall</t>
        </is>
      </c>
      <c r="E4183" t="n">
        <v>200033013</v>
      </c>
      <c r="F4183" t="inlineStr">
        <is>
          <t>24411</t>
        </is>
      </c>
      <c r="G4183" t="inlineStr">
        <is>
          <t>UE</t>
        </is>
      </c>
      <c r="H4183" s="12" t="n">
        <v>624</v>
      </c>
      <c r="I4183" s="17" t="n">
        <v>44669</v>
      </c>
      <c r="J4183" s="17" t="n">
        <v>44669</v>
      </c>
      <c r="K4183" t="inlineStr">
        <is>
          <t>CTE 446</t>
        </is>
      </c>
    </row>
    <row r="4184">
      <c r="A4184" t="inlineStr">
        <is>
          <t>101969</t>
        </is>
      </c>
      <c r="B4184" t="inlineStr">
        <is>
          <t>SECRETARIA DE ESTADO DA FAZENDA RN</t>
        </is>
      </c>
      <c r="C4184" t="n">
        <v>1191000000</v>
      </c>
      <c r="D4184" t="inlineStr">
        <is>
          <t>Customs Brokerage – Overall</t>
        </is>
      </c>
      <c r="E4184" t="n">
        <v>200033014</v>
      </c>
      <c r="F4184" t="inlineStr">
        <is>
          <t>24412</t>
        </is>
      </c>
      <c r="G4184" t="inlineStr">
        <is>
          <t>UE</t>
        </is>
      </c>
      <c r="H4184" s="12" t="n">
        <v>53.7</v>
      </c>
      <c r="I4184" s="17" t="n">
        <v>44669</v>
      </c>
      <c r="J4184" s="17" t="n">
        <v>44669</v>
      </c>
      <c r="K4184" t="inlineStr">
        <is>
          <t>CTE 17599</t>
        </is>
      </c>
    </row>
    <row r="4185">
      <c r="A4185" t="inlineStr">
        <is>
          <t>101969</t>
        </is>
      </c>
      <c r="B4185" t="inlineStr">
        <is>
          <t>SECRETARIA DE ESTADO DA FAZENDA RN</t>
        </is>
      </c>
      <c r="C4185" t="n">
        <v>1191000000</v>
      </c>
      <c r="D4185" t="inlineStr">
        <is>
          <t>Customs Brokerage – Overall</t>
        </is>
      </c>
      <c r="E4185" t="n">
        <v>200033015</v>
      </c>
      <c r="F4185" t="inlineStr">
        <is>
          <t>24413</t>
        </is>
      </c>
      <c r="G4185" t="inlineStr">
        <is>
          <t>UE</t>
        </is>
      </c>
      <c r="H4185" s="12" t="n">
        <v>420</v>
      </c>
      <c r="I4185" s="17" t="n">
        <v>44669</v>
      </c>
      <c r="J4185" s="17" t="n">
        <v>44669</v>
      </c>
      <c r="K4185" t="inlineStr">
        <is>
          <t>CTE 1941</t>
        </is>
      </c>
    </row>
    <row r="4186">
      <c r="A4186" t="inlineStr">
        <is>
          <t>101969</t>
        </is>
      </c>
      <c r="B4186" t="inlineStr">
        <is>
          <t>SECRETARIA DE ESTADO DA FAZENDA RN</t>
        </is>
      </c>
      <c r="C4186" t="n">
        <v>1191000000</v>
      </c>
      <c r="D4186" t="inlineStr">
        <is>
          <t>Customs Brokerage – Overall</t>
        </is>
      </c>
      <c r="E4186" t="n">
        <v>200033016</v>
      </c>
      <c r="F4186" t="inlineStr">
        <is>
          <t>24414</t>
        </is>
      </c>
      <c r="G4186" t="inlineStr">
        <is>
          <t>UE</t>
        </is>
      </c>
      <c r="H4186" s="12" t="n">
        <v>283.06</v>
      </c>
      <c r="I4186" s="17" t="n">
        <v>44671</v>
      </c>
      <c r="J4186" s="17" t="n">
        <v>44671</v>
      </c>
      <c r="K4186" t="inlineStr">
        <is>
          <t>1945</t>
        </is>
      </c>
    </row>
    <row r="4187">
      <c r="A4187" t="inlineStr">
        <is>
          <t>101969</t>
        </is>
      </c>
      <c r="B4187" t="inlineStr">
        <is>
          <t>SECRETARIA DE ESTADO DA FAZENDA RN</t>
        </is>
      </c>
      <c r="C4187" t="n">
        <v>1191000000</v>
      </c>
      <c r="D4187" t="inlineStr">
        <is>
          <t>Customs Brokerage – Overall</t>
        </is>
      </c>
      <c r="E4187" t="n">
        <v>200033017</v>
      </c>
      <c r="F4187" t="inlineStr">
        <is>
          <t>24415</t>
        </is>
      </c>
      <c r="G4187" t="inlineStr">
        <is>
          <t>UE</t>
        </is>
      </c>
      <c r="H4187" s="12" t="n">
        <v>10.28</v>
      </c>
      <c r="I4187" s="17" t="n">
        <v>44671</v>
      </c>
      <c r="J4187" s="17" t="n">
        <v>44671</v>
      </c>
      <c r="K4187" t="inlineStr">
        <is>
          <t>458</t>
        </is>
      </c>
    </row>
    <row r="4188">
      <c r="A4188" t="inlineStr">
        <is>
          <t>101969</t>
        </is>
      </c>
      <c r="B4188" t="inlineStr">
        <is>
          <t>SECRETARIA DE ESTADO DA FAZENDA RN</t>
        </is>
      </c>
      <c r="C4188" t="n">
        <v>1191000000</v>
      </c>
      <c r="D4188" t="inlineStr">
        <is>
          <t>Customs Brokerage – Overall</t>
        </is>
      </c>
      <c r="E4188" t="n">
        <v>200033018</v>
      </c>
      <c r="F4188" t="inlineStr">
        <is>
          <t>24416</t>
        </is>
      </c>
      <c r="G4188" t="inlineStr">
        <is>
          <t>UE</t>
        </is>
      </c>
      <c r="H4188" s="12" t="n">
        <v>14.48</v>
      </c>
      <c r="I4188" s="17" t="n">
        <v>44671</v>
      </c>
      <c r="J4188" s="17" t="n">
        <v>44671</v>
      </c>
      <c r="K4188" t="inlineStr">
        <is>
          <t>477</t>
        </is>
      </c>
    </row>
    <row r="4189">
      <c r="A4189" t="inlineStr">
        <is>
          <t>101969</t>
        </is>
      </c>
      <c r="B4189" t="inlineStr">
        <is>
          <t>SECRETARIA DE ESTADO DA FAZENDA RN</t>
        </is>
      </c>
      <c r="C4189" t="n">
        <v>1191000000</v>
      </c>
      <c r="D4189" t="inlineStr">
        <is>
          <t>Customs Brokerage – Overall</t>
        </is>
      </c>
      <c r="E4189" t="n">
        <v>200033019</v>
      </c>
      <c r="F4189" t="inlineStr">
        <is>
          <t>24417</t>
        </is>
      </c>
      <c r="G4189" t="inlineStr">
        <is>
          <t>UE</t>
        </is>
      </c>
      <c r="H4189" s="12" t="n">
        <v>244.99</v>
      </c>
      <c r="I4189" s="17" t="n">
        <v>44671</v>
      </c>
      <c r="J4189" s="17" t="n">
        <v>44671</v>
      </c>
      <c r="K4189" t="inlineStr">
        <is>
          <t>518</t>
        </is>
      </c>
    </row>
    <row r="4190">
      <c r="A4190" t="inlineStr">
        <is>
          <t>101969</t>
        </is>
      </c>
      <c r="B4190" t="inlineStr">
        <is>
          <t>SECRETARIA DE ESTADO DA FAZENDA RN</t>
        </is>
      </c>
      <c r="C4190" t="n">
        <v>1191000000</v>
      </c>
      <c r="D4190" t="inlineStr">
        <is>
          <t>Customs Brokerage – Overall</t>
        </is>
      </c>
      <c r="E4190" t="n">
        <v>200033020</v>
      </c>
      <c r="F4190" t="inlineStr">
        <is>
          <t>24418</t>
        </is>
      </c>
      <c r="G4190" t="inlineStr">
        <is>
          <t>UE</t>
        </is>
      </c>
      <c r="H4190" s="12" t="n">
        <v>218.18</v>
      </c>
      <c r="I4190" s="17" t="n">
        <v>44785</v>
      </c>
      <c r="J4190" s="17" t="n">
        <v>44785</v>
      </c>
      <c r="K4190" t="inlineStr">
        <is>
          <t>CTE - 21036</t>
        </is>
      </c>
    </row>
    <row r="4191">
      <c r="A4191" t="inlineStr">
        <is>
          <t>101969</t>
        </is>
      </c>
      <c r="B4191" t="inlineStr">
        <is>
          <t>SECRETARIA DE ESTADO DA FAZENDA RN</t>
        </is>
      </c>
      <c r="C4191" t="n">
        <v>1191000000</v>
      </c>
      <c r="D4191" t="inlineStr">
        <is>
          <t>Customs Brokerage – Overall</t>
        </is>
      </c>
      <c r="E4191" t="n">
        <v>200033021</v>
      </c>
      <c r="F4191" t="inlineStr">
        <is>
          <t>24419</t>
        </is>
      </c>
      <c r="G4191" t="inlineStr">
        <is>
          <t>UE</t>
        </is>
      </c>
      <c r="H4191" s="12" t="n">
        <v>191.56</v>
      </c>
      <c r="I4191" s="17" t="n">
        <v>44881</v>
      </c>
      <c r="J4191" s="17" t="n">
        <v>44881</v>
      </c>
      <c r="K4191" t="inlineStr">
        <is>
          <t>851</t>
        </is>
      </c>
    </row>
    <row r="4192">
      <c r="A4192" t="inlineStr">
        <is>
          <t>101969</t>
        </is>
      </c>
      <c r="B4192" t="inlineStr">
        <is>
          <t>SECRETARIA DE ESTADO DA FAZENDA RN</t>
        </is>
      </c>
      <c r="C4192" t="n">
        <v>1191000000</v>
      </c>
      <c r="D4192" t="inlineStr">
        <is>
          <t>Customs Brokerage – Overall</t>
        </is>
      </c>
      <c r="E4192" t="n">
        <v>200033022</v>
      </c>
      <c r="F4192" t="inlineStr">
        <is>
          <t>24420</t>
        </is>
      </c>
      <c r="G4192" t="inlineStr">
        <is>
          <t>UE</t>
        </is>
      </c>
      <c r="H4192" s="12" t="n">
        <v>16.66</v>
      </c>
      <c r="I4192" s="17" t="n">
        <v>44881</v>
      </c>
      <c r="J4192" s="17" t="n">
        <v>44881</v>
      </c>
      <c r="K4192" t="inlineStr">
        <is>
          <t>874002</t>
        </is>
      </c>
    </row>
    <row r="4193">
      <c r="A4193" t="inlineStr">
        <is>
          <t>101969</t>
        </is>
      </c>
      <c r="B4193" t="inlineStr">
        <is>
          <t>SECRETARIA DE ESTADO DA FAZENDA RN</t>
        </is>
      </c>
      <c r="C4193" t="n">
        <v>1191000000</v>
      </c>
      <c r="D4193" t="inlineStr">
        <is>
          <t>Customs Brokerage – Overall</t>
        </is>
      </c>
      <c r="E4193" t="n">
        <v>200033023</v>
      </c>
      <c r="F4193" t="inlineStr">
        <is>
          <t>24421</t>
        </is>
      </c>
      <c r="G4193" t="inlineStr">
        <is>
          <t>UE</t>
        </is>
      </c>
      <c r="H4193" s="12" t="n">
        <v>498.67</v>
      </c>
      <c r="I4193" s="17" t="n">
        <v>44939</v>
      </c>
      <c r="J4193" s="17" t="n">
        <v>44939</v>
      </c>
      <c r="K4193" t="inlineStr">
        <is>
          <t>1139.</t>
        </is>
      </c>
    </row>
    <row r="4194">
      <c r="A4194" t="inlineStr">
        <is>
          <t>101969</t>
        </is>
      </c>
      <c r="B4194" t="inlineStr">
        <is>
          <t>SECRETARIA DE ESTADO DA FAZENDA RN</t>
        </is>
      </c>
      <c r="C4194" t="n">
        <v>1191000000</v>
      </c>
      <c r="D4194" t="inlineStr">
        <is>
          <t>Customs Brokerage – Overall</t>
        </is>
      </c>
      <c r="E4194" t="n">
        <v>200033024</v>
      </c>
      <c r="F4194" t="inlineStr">
        <is>
          <t>24422</t>
        </is>
      </c>
      <c r="G4194" t="inlineStr">
        <is>
          <t>UE</t>
        </is>
      </c>
      <c r="H4194" s="12" t="n">
        <v>498.67</v>
      </c>
      <c r="I4194" s="17" t="n">
        <v>44939</v>
      </c>
      <c r="J4194" s="17" t="n">
        <v>44939</v>
      </c>
      <c r="K4194" t="inlineStr">
        <is>
          <t>11399.</t>
        </is>
      </c>
    </row>
    <row r="4195">
      <c r="A4195" t="inlineStr">
        <is>
          <t>101969</t>
        </is>
      </c>
      <c r="B4195" t="inlineStr">
        <is>
          <t>SECRETARIA DE ESTADO DA FAZENDA RN</t>
        </is>
      </c>
      <c r="C4195" t="n">
        <v>1191000000</v>
      </c>
      <c r="D4195" t="inlineStr">
        <is>
          <t>Customs Brokerage – Overall</t>
        </is>
      </c>
      <c r="E4195" t="n">
        <v>200033025</v>
      </c>
      <c r="F4195" t="inlineStr">
        <is>
          <t>24423</t>
        </is>
      </c>
      <c r="G4195" t="inlineStr">
        <is>
          <t>UE</t>
        </is>
      </c>
      <c r="H4195" s="12" t="n">
        <v>504.35</v>
      </c>
      <c r="I4195" s="17" t="n">
        <v>44939</v>
      </c>
      <c r="J4195" s="17" t="n">
        <v>44939</v>
      </c>
      <c r="K4195" t="inlineStr">
        <is>
          <t>10679.</t>
        </is>
      </c>
    </row>
    <row r="4196">
      <c r="A4196" t="inlineStr">
        <is>
          <t>101969</t>
        </is>
      </c>
      <c r="B4196" t="inlineStr">
        <is>
          <t>SECRETARIA DE ESTADO DA FAZENDA RN</t>
        </is>
      </c>
      <c r="C4196" t="n">
        <v>1191000000</v>
      </c>
      <c r="D4196" t="inlineStr">
        <is>
          <t>Customs Brokerage – Overall</t>
        </is>
      </c>
      <c r="E4196" t="n">
        <v>200033026</v>
      </c>
      <c r="F4196" t="inlineStr">
        <is>
          <t>24424</t>
        </is>
      </c>
      <c r="G4196" t="inlineStr">
        <is>
          <t>UE</t>
        </is>
      </c>
      <c r="H4196" s="12" t="n">
        <v>553.1</v>
      </c>
      <c r="I4196" s="17" t="n">
        <v>44939</v>
      </c>
      <c r="J4196" s="17" t="n">
        <v>44939</v>
      </c>
      <c r="K4196" t="inlineStr">
        <is>
          <t>2804</t>
        </is>
      </c>
    </row>
    <row r="4197">
      <c r="A4197" t="inlineStr">
        <is>
          <t>101969</t>
        </is>
      </c>
      <c r="B4197" t="inlineStr">
        <is>
          <t>SECRETARIA DE ESTADO DA FAZENDA RN</t>
        </is>
      </c>
      <c r="C4197" t="n">
        <v>1191000000</v>
      </c>
      <c r="D4197" t="inlineStr">
        <is>
          <t>Customs Brokerage – Overall</t>
        </is>
      </c>
      <c r="E4197" t="n">
        <v>200033027</v>
      </c>
      <c r="F4197" t="inlineStr">
        <is>
          <t>24425</t>
        </is>
      </c>
      <c r="G4197" t="inlineStr">
        <is>
          <t>UE</t>
        </is>
      </c>
      <c r="H4197" s="12" t="n">
        <v>1466.28</v>
      </c>
      <c r="I4197" s="17" t="n">
        <v>44944</v>
      </c>
      <c r="J4197" s="17" t="n">
        <v>44944</v>
      </c>
      <c r="K4197" t="inlineStr">
        <is>
          <t>1134.</t>
        </is>
      </c>
    </row>
    <row r="4198">
      <c r="A4198" t="inlineStr">
        <is>
          <t>101969</t>
        </is>
      </c>
      <c r="B4198" t="inlineStr">
        <is>
          <t>SECRETARIA DE ESTADO DA FAZENDA RN</t>
        </is>
      </c>
      <c r="C4198" t="n">
        <v>1191000000</v>
      </c>
      <c r="D4198" t="inlineStr">
        <is>
          <t>Customs Brokerage – Overall</t>
        </is>
      </c>
      <c r="E4198" t="n">
        <v>200033028</v>
      </c>
      <c r="F4198" t="inlineStr">
        <is>
          <t>24426</t>
        </is>
      </c>
      <c r="G4198" t="inlineStr">
        <is>
          <t>UE</t>
        </is>
      </c>
      <c r="H4198" s="12" t="n">
        <v>82.12</v>
      </c>
      <c r="I4198" s="17" t="n">
        <v>44944</v>
      </c>
      <c r="J4198" s="17" t="n">
        <v>44944</v>
      </c>
      <c r="K4198" t="inlineStr">
        <is>
          <t xml:space="preserve"> 1135</t>
        </is>
      </c>
    </row>
    <row r="4199">
      <c r="A4199" t="inlineStr">
        <is>
          <t>102008</t>
        </is>
      </c>
      <c r="B4199" t="inlineStr">
        <is>
          <t>MUNICIPIO DE ITAREMA</t>
        </is>
      </c>
      <c r="C4199" t="n">
        <v>1191000000</v>
      </c>
      <c r="D4199" t="inlineStr">
        <is>
          <t>Taxes Payable</t>
        </is>
      </c>
      <c r="E4199" t="n">
        <v>200033029</v>
      </c>
      <c r="F4199" t="inlineStr">
        <is>
          <t>24427</t>
        </is>
      </c>
      <c r="G4199" t="inlineStr">
        <is>
          <t>UE</t>
        </is>
      </c>
      <c r="H4199" s="12" t="n">
        <v>92.88</v>
      </c>
      <c r="I4199" s="17" t="n">
        <v>44389</v>
      </c>
      <c r="J4199" s="17" t="n">
        <v>44389</v>
      </c>
      <c r="K4199" t="inlineStr">
        <is>
          <t>365</t>
        </is>
      </c>
    </row>
    <row r="4200">
      <c r="A4200" t="inlineStr">
        <is>
          <t>102030</t>
        </is>
      </c>
      <c r="B4200" t="inlineStr">
        <is>
          <t>TECON SALVADOR SA</t>
        </is>
      </c>
      <c r="C4200" t="n">
        <v>1191000000</v>
      </c>
      <c r="D4200" t="inlineStr">
        <is>
          <t>Customs Brokerage – Overall</t>
        </is>
      </c>
      <c r="E4200" t="n">
        <v>200033030</v>
      </c>
      <c r="F4200" t="inlineStr">
        <is>
          <t>24428</t>
        </is>
      </c>
      <c r="G4200" t="inlineStr">
        <is>
          <t>UE</t>
        </is>
      </c>
      <c r="H4200" s="12" t="n">
        <v>109.14</v>
      </c>
      <c r="I4200" s="17" t="n">
        <v>44697</v>
      </c>
      <c r="J4200" s="17" t="n">
        <v>44697</v>
      </c>
      <c r="K4200" t="inlineStr">
        <is>
          <t>Data Transfer TECON SALVADOR SA 24428</t>
        </is>
      </c>
    </row>
    <row r="4201">
      <c r="A4201" t="inlineStr">
        <is>
          <t>102030</t>
        </is>
      </c>
      <c r="B4201" t="inlineStr">
        <is>
          <t>TECON SALVADOR SA</t>
        </is>
      </c>
      <c r="C4201" t="n">
        <v>1191000000</v>
      </c>
      <c r="D4201" t="inlineStr">
        <is>
          <t>Customs Brokerage – Overall</t>
        </is>
      </c>
      <c r="E4201" t="n">
        <v>200033031</v>
      </c>
      <c r="F4201" t="inlineStr">
        <is>
          <t>24429</t>
        </is>
      </c>
      <c r="G4201" t="inlineStr">
        <is>
          <t>UE</t>
        </is>
      </c>
      <c r="H4201" s="12" t="n">
        <v>494.92</v>
      </c>
      <c r="I4201" s="17" t="n">
        <v>44973</v>
      </c>
      <c r="J4201" s="17" t="n">
        <v>44973</v>
      </c>
      <c r="K4201" t="inlineStr">
        <is>
          <t>245259</t>
        </is>
      </c>
    </row>
    <row r="4202">
      <c r="A4202" t="inlineStr">
        <is>
          <t>102030</t>
        </is>
      </c>
      <c r="B4202" t="inlineStr">
        <is>
          <t>TECON SALVADOR SA</t>
        </is>
      </c>
      <c r="C4202" t="n">
        <v>1191000000</v>
      </c>
      <c r="D4202" t="inlineStr">
        <is>
          <t>Customs Brokerage – Overall</t>
        </is>
      </c>
      <c r="E4202" t="n">
        <v>200033033</v>
      </c>
      <c r="F4202" t="inlineStr">
        <is>
          <t>24431</t>
        </is>
      </c>
      <c r="G4202" t="inlineStr">
        <is>
          <t>UE</t>
        </is>
      </c>
      <c r="H4202" s="12" t="n">
        <v>813.97</v>
      </c>
      <c r="I4202" s="17" t="n">
        <v>44973</v>
      </c>
      <c r="J4202" s="17" t="n">
        <v>44973</v>
      </c>
      <c r="K4202" t="inlineStr">
        <is>
          <t>245250</t>
        </is>
      </c>
    </row>
    <row r="4203">
      <c r="A4203" t="inlineStr">
        <is>
          <t>102030</t>
        </is>
      </c>
      <c r="B4203" t="inlineStr">
        <is>
          <t>TECON SALVADOR SA</t>
        </is>
      </c>
      <c r="C4203" t="n">
        <v>1191000000</v>
      </c>
      <c r="D4203" t="inlineStr">
        <is>
          <t>Customs Brokerage – Overall</t>
        </is>
      </c>
      <c r="E4203" t="n">
        <v>200033034</v>
      </c>
      <c r="F4203" t="inlineStr">
        <is>
          <t>24432</t>
        </is>
      </c>
      <c r="G4203" t="inlineStr">
        <is>
          <t>UE</t>
        </is>
      </c>
      <c r="H4203" s="12" t="n">
        <v>813.97</v>
      </c>
      <c r="I4203" s="17" t="n">
        <v>44973</v>
      </c>
      <c r="J4203" s="17" t="n">
        <v>44973</v>
      </c>
      <c r="K4203" t="inlineStr">
        <is>
          <t>245293</t>
        </is>
      </c>
    </row>
    <row r="4204">
      <c r="A4204" t="inlineStr">
        <is>
          <t>102030</t>
        </is>
      </c>
      <c r="B4204" t="inlineStr">
        <is>
          <t>TECON SALVADOR SA</t>
        </is>
      </c>
      <c r="C4204" t="n">
        <v>1191000000</v>
      </c>
      <c r="D4204" t="inlineStr">
        <is>
          <t>Customs Brokerage – Overall</t>
        </is>
      </c>
      <c r="E4204" t="n">
        <v>200033035</v>
      </c>
      <c r="F4204" t="inlineStr">
        <is>
          <t>24433</t>
        </is>
      </c>
      <c r="G4204" t="inlineStr">
        <is>
          <t>UE</t>
        </is>
      </c>
      <c r="H4204" s="12" t="n">
        <v>851.95</v>
      </c>
      <c r="I4204" s="17" t="n">
        <v>44973</v>
      </c>
      <c r="J4204" s="17" t="n">
        <v>44973</v>
      </c>
      <c r="K4204" t="inlineStr">
        <is>
          <t>245252</t>
        </is>
      </c>
    </row>
    <row r="4205">
      <c r="A4205" t="inlineStr">
        <is>
          <t>102030</t>
        </is>
      </c>
      <c r="B4205" t="inlineStr">
        <is>
          <t>TECON SALVADOR SA</t>
        </is>
      </c>
      <c r="C4205" t="n">
        <v>1191000000</v>
      </c>
      <c r="D4205" t="inlineStr">
        <is>
          <t>Customs Brokerage – Overall</t>
        </is>
      </c>
      <c r="E4205" t="n">
        <v>200033036</v>
      </c>
      <c r="F4205" t="inlineStr">
        <is>
          <t>24434</t>
        </is>
      </c>
      <c r="G4205" t="inlineStr">
        <is>
          <t>UE</t>
        </is>
      </c>
      <c r="H4205" s="12" t="n">
        <v>947.16</v>
      </c>
      <c r="I4205" s="17" t="n">
        <v>44973</v>
      </c>
      <c r="J4205" s="17" t="n">
        <v>44973</v>
      </c>
      <c r="K4205" t="inlineStr">
        <is>
          <t>245260</t>
        </is>
      </c>
    </row>
    <row r="4206">
      <c r="A4206" t="inlineStr">
        <is>
          <t>102030</t>
        </is>
      </c>
      <c r="B4206" t="inlineStr">
        <is>
          <t>TECON SALVADOR SA</t>
        </is>
      </c>
      <c r="C4206" t="n">
        <v>1191000000</v>
      </c>
      <c r="D4206" t="inlineStr">
        <is>
          <t>Customs Brokerage – Overall</t>
        </is>
      </c>
      <c r="E4206" t="n">
        <v>200033037</v>
      </c>
      <c r="F4206" t="inlineStr">
        <is>
          <t>24435</t>
        </is>
      </c>
      <c r="G4206" t="inlineStr">
        <is>
          <t>UE</t>
        </is>
      </c>
      <c r="H4206" s="12" t="n">
        <v>1820.87</v>
      </c>
      <c r="I4206" s="17" t="n">
        <v>44973</v>
      </c>
      <c r="J4206" s="17" t="n">
        <v>44973</v>
      </c>
      <c r="K4206" t="inlineStr">
        <is>
          <t>245292</t>
        </is>
      </c>
    </row>
    <row r="4207">
      <c r="A4207" t="inlineStr">
        <is>
          <t>102030</t>
        </is>
      </c>
      <c r="B4207" t="inlineStr">
        <is>
          <t>TECON SALVADOR SA</t>
        </is>
      </c>
      <c r="C4207" t="n">
        <v>1191000000</v>
      </c>
      <c r="D4207" t="inlineStr">
        <is>
          <t>Customs Brokerage – Overall</t>
        </is>
      </c>
      <c r="E4207" t="n">
        <v>200033038</v>
      </c>
      <c r="F4207" t="inlineStr">
        <is>
          <t>24436</t>
        </is>
      </c>
      <c r="G4207" t="inlineStr">
        <is>
          <t>UE</t>
        </is>
      </c>
      <c r="H4207" s="12" t="n">
        <v>3253.63</v>
      </c>
      <c r="I4207" s="17" t="n">
        <v>44973</v>
      </c>
      <c r="J4207" s="17" t="n">
        <v>44973</v>
      </c>
      <c r="K4207" t="inlineStr">
        <is>
          <t>245294</t>
        </is>
      </c>
    </row>
    <row r="4208">
      <c r="A4208" t="inlineStr">
        <is>
          <t>102030</t>
        </is>
      </c>
      <c r="B4208" t="inlineStr">
        <is>
          <t>TECON SALVADOR SA</t>
        </is>
      </c>
      <c r="C4208" t="n">
        <v>1191000000</v>
      </c>
      <c r="D4208" t="inlineStr">
        <is>
          <t>Customs Brokerage – Overall</t>
        </is>
      </c>
      <c r="E4208" t="n">
        <v>200033039</v>
      </c>
      <c r="F4208" t="inlineStr">
        <is>
          <t>24437</t>
        </is>
      </c>
      <c r="G4208" t="inlineStr">
        <is>
          <t>UE</t>
        </is>
      </c>
      <c r="H4208" s="12" t="n">
        <v>3951.44</v>
      </c>
      <c r="I4208" s="17" t="n">
        <v>44973</v>
      </c>
      <c r="J4208" s="17" t="n">
        <v>44973</v>
      </c>
      <c r="K4208" t="inlineStr">
        <is>
          <t>245251</t>
        </is>
      </c>
    </row>
    <row r="4209">
      <c r="A4209" t="inlineStr">
        <is>
          <t>102030</t>
        </is>
      </c>
      <c r="B4209" t="inlineStr">
        <is>
          <t>TECON SALVADOR SA</t>
        </is>
      </c>
      <c r="C4209" t="n">
        <v>1191000000</v>
      </c>
      <c r="D4209" t="inlineStr">
        <is>
          <t>Customs Brokerage – Overall</t>
        </is>
      </c>
      <c r="E4209" t="n">
        <v>200033041</v>
      </c>
      <c r="F4209" t="inlineStr">
        <is>
          <t>24439</t>
        </is>
      </c>
      <c r="G4209" t="inlineStr">
        <is>
          <t>UE</t>
        </is>
      </c>
      <c r="H4209" s="12" t="n">
        <v>4881.78</v>
      </c>
      <c r="I4209" s="17" t="n">
        <v>44973</v>
      </c>
      <c r="J4209" s="17" t="n">
        <v>44973</v>
      </c>
      <c r="K4209" t="inlineStr">
        <is>
          <t>245262</t>
        </is>
      </c>
    </row>
    <row r="4210">
      <c r="A4210" t="inlineStr">
        <is>
          <t>102030</t>
        </is>
      </c>
      <c r="B4210" t="inlineStr">
        <is>
          <t>TECON SALVADOR SA</t>
        </is>
      </c>
      <c r="C4210" t="n">
        <v>1191000000</v>
      </c>
      <c r="D4210" t="inlineStr">
        <is>
          <t>Customs Brokerage – Overall</t>
        </is>
      </c>
      <c r="E4210" t="n">
        <v>200033043</v>
      </c>
      <c r="F4210" t="inlineStr">
        <is>
          <t>24441</t>
        </is>
      </c>
      <c r="G4210" t="inlineStr">
        <is>
          <t>UE</t>
        </is>
      </c>
      <c r="H4210" s="12" t="n">
        <v>7292.41</v>
      </c>
      <c r="I4210" s="17" t="n">
        <v>44973</v>
      </c>
      <c r="J4210" s="17" t="n">
        <v>44973</v>
      </c>
      <c r="K4210" t="inlineStr">
        <is>
          <t>245258</t>
        </is>
      </c>
    </row>
    <row r="4211">
      <c r="A4211" t="inlineStr">
        <is>
          <t>102030</t>
        </is>
      </c>
      <c r="B4211" t="inlineStr">
        <is>
          <t>TECON SALVADOR SA</t>
        </is>
      </c>
      <c r="C4211" t="n">
        <v>1191000000</v>
      </c>
      <c r="D4211" t="inlineStr">
        <is>
          <t>Customs Brokerage – Overall</t>
        </is>
      </c>
      <c r="E4211" t="n">
        <v>200033045</v>
      </c>
      <c r="F4211" t="inlineStr">
        <is>
          <t>24443</t>
        </is>
      </c>
      <c r="G4211" t="inlineStr">
        <is>
          <t>UE</t>
        </is>
      </c>
      <c r="H4211" s="12" t="n">
        <v>9760.879999999999</v>
      </c>
      <c r="I4211" s="17" t="n">
        <v>44973</v>
      </c>
      <c r="J4211" s="17" t="n">
        <v>44973</v>
      </c>
      <c r="K4211" t="inlineStr">
        <is>
          <t>245253</t>
        </is>
      </c>
    </row>
    <row r="4212">
      <c r="A4212" t="inlineStr">
        <is>
          <t>102030</t>
        </is>
      </c>
      <c r="B4212" t="inlineStr">
        <is>
          <t>TECON SALVADOR SA</t>
        </is>
      </c>
      <c r="C4212" t="n">
        <v>1191000000</v>
      </c>
      <c r="D4212" t="inlineStr">
        <is>
          <t>Customs Brokerage – Overall</t>
        </is>
      </c>
      <c r="E4212" t="n">
        <v>200033049</v>
      </c>
      <c r="F4212" t="inlineStr">
        <is>
          <t>24447</t>
        </is>
      </c>
      <c r="G4212" t="inlineStr">
        <is>
          <t>UE</t>
        </is>
      </c>
      <c r="H4212" s="12" t="n">
        <v>366.55</v>
      </c>
      <c r="I4212" s="17" t="n">
        <v>44974</v>
      </c>
      <c r="J4212" s="17" t="n">
        <v>44974</v>
      </c>
      <c r="K4212" t="inlineStr">
        <is>
          <t>245396</t>
        </is>
      </c>
    </row>
    <row r="4213">
      <c r="A4213" t="inlineStr">
        <is>
          <t>102030</t>
        </is>
      </c>
      <c r="B4213" t="inlineStr">
        <is>
          <t>TECON SALVADOR SA</t>
        </is>
      </c>
      <c r="C4213" t="n">
        <v>1191000000</v>
      </c>
      <c r="D4213" t="inlineStr">
        <is>
          <t>Customs Brokerage – Overall</t>
        </is>
      </c>
      <c r="E4213" t="n">
        <v>200033051</v>
      </c>
      <c r="F4213" t="inlineStr">
        <is>
          <t>24449</t>
        </is>
      </c>
      <c r="G4213" t="inlineStr">
        <is>
          <t>UE</t>
        </is>
      </c>
      <c r="H4213" s="12" t="n">
        <v>3778.85</v>
      </c>
      <c r="I4213" s="17" t="n">
        <v>44974</v>
      </c>
      <c r="J4213" s="17" t="n">
        <v>44974</v>
      </c>
      <c r="K4213" t="inlineStr">
        <is>
          <t>245395</t>
        </is>
      </c>
    </row>
    <row r="4214">
      <c r="A4214" t="inlineStr">
        <is>
          <t>102030</t>
        </is>
      </c>
      <c r="B4214" t="inlineStr">
        <is>
          <t>TECON SALVADOR SA</t>
        </is>
      </c>
      <c r="C4214" t="n">
        <v>1191000000</v>
      </c>
      <c r="D4214" t="inlineStr">
        <is>
          <t>Customs Brokerage – Overall</t>
        </is>
      </c>
      <c r="E4214" t="n">
        <v>200033053</v>
      </c>
      <c r="F4214" t="inlineStr">
        <is>
          <t>24451</t>
        </is>
      </c>
      <c r="G4214" t="inlineStr">
        <is>
          <t>UE</t>
        </is>
      </c>
      <c r="H4214" s="12" t="n">
        <v>66390.91</v>
      </c>
      <c r="I4214" s="17" t="n">
        <v>44974</v>
      </c>
      <c r="J4214" s="17" t="n">
        <v>44974</v>
      </c>
      <c r="K4214" t="inlineStr">
        <is>
          <t>245393</t>
        </is>
      </c>
    </row>
    <row r="4215">
      <c r="A4215" t="inlineStr">
        <is>
          <t>102030</t>
        </is>
      </c>
      <c r="B4215" t="inlineStr">
        <is>
          <t>TECON SALVADOR SA</t>
        </is>
      </c>
      <c r="C4215" t="n">
        <v>1191000000</v>
      </c>
      <c r="D4215" t="inlineStr">
        <is>
          <t>Customs Brokerage – Overall</t>
        </is>
      </c>
      <c r="E4215" t="n">
        <v>200033055</v>
      </c>
      <c r="F4215" t="inlineStr">
        <is>
          <t>24453</t>
        </is>
      </c>
      <c r="G4215" t="inlineStr">
        <is>
          <t>UE</t>
        </is>
      </c>
      <c r="H4215" s="12" t="n">
        <v>5005.73</v>
      </c>
      <c r="I4215" s="17" t="n">
        <v>44999</v>
      </c>
      <c r="J4215" s="17" t="n">
        <v>44999</v>
      </c>
      <c r="K4215" t="inlineStr">
        <is>
          <t>247394</t>
        </is>
      </c>
    </row>
    <row r="4216">
      <c r="A4216" t="inlineStr">
        <is>
          <t>102030</t>
        </is>
      </c>
      <c r="B4216" t="inlineStr">
        <is>
          <t>TECON SALVADOR SA</t>
        </is>
      </c>
      <c r="C4216" t="n">
        <v>1191000000</v>
      </c>
      <c r="D4216" t="inlineStr">
        <is>
          <t>Customs Brokerage – Overall</t>
        </is>
      </c>
      <c r="E4216" t="n">
        <v>200033058</v>
      </c>
      <c r="F4216" t="inlineStr">
        <is>
          <t>24456</t>
        </is>
      </c>
      <c r="G4216" t="inlineStr">
        <is>
          <t>UE</t>
        </is>
      </c>
      <c r="H4216" s="12" t="n">
        <v>621.6799999999999</v>
      </c>
      <c r="I4216" s="17" t="n">
        <v>44999</v>
      </c>
      <c r="J4216" s="17" t="n">
        <v>44999</v>
      </c>
      <c r="K4216" t="inlineStr">
        <is>
          <t>247400</t>
        </is>
      </c>
    </row>
    <row r="4217">
      <c r="A4217" t="inlineStr">
        <is>
          <t>102030</t>
        </is>
      </c>
      <c r="B4217" t="inlineStr">
        <is>
          <t>TECON SALVADOR SA</t>
        </is>
      </c>
      <c r="C4217" t="n">
        <v>1191000000</v>
      </c>
      <c r="D4217" t="inlineStr">
        <is>
          <t>Customs Brokerage – Overall</t>
        </is>
      </c>
      <c r="E4217" t="n">
        <v>200033059</v>
      </c>
      <c r="F4217" t="inlineStr">
        <is>
          <t>24457</t>
        </is>
      </c>
      <c r="G4217" t="inlineStr">
        <is>
          <t>UE</t>
        </is>
      </c>
      <c r="H4217" s="12" t="n">
        <v>72162.74000000001</v>
      </c>
      <c r="I4217" s="17" t="n">
        <v>44999</v>
      </c>
      <c r="J4217" s="17" t="n">
        <v>44999</v>
      </c>
      <c r="K4217" t="inlineStr">
        <is>
          <t>247396</t>
        </is>
      </c>
    </row>
    <row r="4218">
      <c r="A4218" t="inlineStr">
        <is>
          <t>102030</t>
        </is>
      </c>
      <c r="B4218" t="inlineStr">
        <is>
          <t>TECON SALVADOR SA</t>
        </is>
      </c>
      <c r="C4218" t="n">
        <v>1191000000</v>
      </c>
      <c r="D4218" t="inlineStr">
        <is>
          <t>Customs Brokerage – Overall</t>
        </is>
      </c>
      <c r="E4218" t="n">
        <v>200033060</v>
      </c>
      <c r="F4218" t="inlineStr">
        <is>
          <t>24458</t>
        </is>
      </c>
      <c r="G4218" t="inlineStr">
        <is>
          <t>UE</t>
        </is>
      </c>
      <c r="H4218" s="12" t="n">
        <v>79.73999999999999</v>
      </c>
      <c r="I4218" s="17" t="n">
        <v>45070</v>
      </c>
      <c r="J4218" s="17" t="n">
        <v>45070</v>
      </c>
      <c r="K4218" t="inlineStr">
        <is>
          <t>247399</t>
        </is>
      </c>
    </row>
    <row r="4219">
      <c r="A4219" t="inlineStr">
        <is>
          <t>102030</t>
        </is>
      </c>
      <c r="B4219" t="inlineStr">
        <is>
          <t>TECON SALVADOR SA</t>
        </is>
      </c>
      <c r="C4219" t="n">
        <v>1191000000</v>
      </c>
      <c r="D4219" t="inlineStr">
        <is>
          <t>Customs Brokerage – Overall</t>
        </is>
      </c>
      <c r="E4219" t="n">
        <v>200033061</v>
      </c>
      <c r="F4219" t="inlineStr">
        <is>
          <t>24459</t>
        </is>
      </c>
      <c r="G4219" t="inlineStr">
        <is>
          <t>UE</t>
        </is>
      </c>
      <c r="H4219" s="12" t="n">
        <v>1929.96</v>
      </c>
      <c r="I4219" s="17" t="n">
        <v>44999</v>
      </c>
      <c r="J4219" s="17" t="n">
        <v>44999</v>
      </c>
      <c r="K4219" t="inlineStr">
        <is>
          <t>247401</t>
        </is>
      </c>
    </row>
    <row r="4220">
      <c r="A4220" t="inlineStr">
        <is>
          <t>102030</t>
        </is>
      </c>
      <c r="B4220" t="inlineStr">
        <is>
          <t>TECON SALVADOR SA</t>
        </is>
      </c>
      <c r="C4220" t="n">
        <v>1191000000</v>
      </c>
      <c r="D4220" t="inlineStr">
        <is>
          <t>Customs Brokerage – Overall</t>
        </is>
      </c>
      <c r="E4220" t="n">
        <v>200033062</v>
      </c>
      <c r="F4220" t="inlineStr">
        <is>
          <t>24460</t>
        </is>
      </c>
      <c r="G4220" t="inlineStr">
        <is>
          <t>UE</t>
        </is>
      </c>
      <c r="H4220" s="12" t="n">
        <v>1614.28</v>
      </c>
      <c r="I4220" s="17" t="n">
        <v>44999</v>
      </c>
      <c r="J4220" s="17" t="n">
        <v>44999</v>
      </c>
      <c r="K4220" t="inlineStr">
        <is>
          <t>247398</t>
        </is>
      </c>
    </row>
    <row r="4221">
      <c r="A4221" t="inlineStr">
        <is>
          <t>102030</t>
        </is>
      </c>
      <c r="B4221" t="inlineStr">
        <is>
          <t>TECON SALVADOR SA</t>
        </is>
      </c>
      <c r="C4221" t="n">
        <v>1191000000</v>
      </c>
      <c r="D4221" t="inlineStr">
        <is>
          <t>Customs Brokerage – Overall</t>
        </is>
      </c>
      <c r="E4221" t="n">
        <v>200033063</v>
      </c>
      <c r="F4221" t="inlineStr">
        <is>
          <t>24461</t>
        </is>
      </c>
      <c r="G4221" t="inlineStr">
        <is>
          <t>UE</t>
        </is>
      </c>
      <c r="H4221" s="12" t="n">
        <v>1205.74</v>
      </c>
      <c r="I4221" s="17" t="n">
        <v>44999</v>
      </c>
      <c r="J4221" s="17" t="n">
        <v>44999</v>
      </c>
      <c r="K4221" t="inlineStr">
        <is>
          <t>247402</t>
        </is>
      </c>
    </row>
    <row r="4222">
      <c r="A4222" t="inlineStr">
        <is>
          <t>102030</t>
        </is>
      </c>
      <c r="B4222" t="inlineStr">
        <is>
          <t>TECON SALVADOR SA</t>
        </is>
      </c>
      <c r="C4222" t="n">
        <v>1191000000</v>
      </c>
      <c r="D4222" t="inlineStr">
        <is>
          <t>Customs Brokerage – Overall</t>
        </is>
      </c>
      <c r="E4222" t="n">
        <v>200033067</v>
      </c>
      <c r="F4222" t="inlineStr">
        <is>
          <t>24465</t>
        </is>
      </c>
      <c r="G4222" t="inlineStr">
        <is>
          <t>UE</t>
        </is>
      </c>
      <c r="H4222" s="12" t="n">
        <v>1018.95</v>
      </c>
      <c r="I4222" s="17" t="n">
        <v>44999</v>
      </c>
      <c r="J4222" s="17" t="n">
        <v>44999</v>
      </c>
      <c r="K4222" t="inlineStr">
        <is>
          <t>247391</t>
        </is>
      </c>
    </row>
    <row r="4223">
      <c r="A4223" t="inlineStr">
        <is>
          <t>102030</t>
        </is>
      </c>
      <c r="B4223" t="inlineStr">
        <is>
          <t>TECON SALVADOR SA</t>
        </is>
      </c>
      <c r="C4223" t="n">
        <v>1191000000</v>
      </c>
      <c r="D4223" t="inlineStr">
        <is>
          <t>Customs Brokerage – Overall</t>
        </is>
      </c>
      <c r="E4223" t="n">
        <v>200033068</v>
      </c>
      <c r="F4223" t="inlineStr">
        <is>
          <t>24466</t>
        </is>
      </c>
      <c r="G4223" t="inlineStr">
        <is>
          <t>UE</t>
        </is>
      </c>
      <c r="H4223" s="12" t="n">
        <v>26603.49</v>
      </c>
      <c r="I4223" s="17" t="n">
        <v>45000</v>
      </c>
      <c r="J4223" s="17" t="n">
        <v>45000</v>
      </c>
      <c r="K4223" t="inlineStr">
        <is>
          <t>247492</t>
        </is>
      </c>
    </row>
    <row r="4224">
      <c r="A4224" t="inlineStr">
        <is>
          <t>102030</t>
        </is>
      </c>
      <c r="B4224" t="inlineStr">
        <is>
          <t>TECON SALVADOR SA</t>
        </is>
      </c>
      <c r="C4224" t="n">
        <v>1191000000</v>
      </c>
      <c r="D4224" t="inlineStr">
        <is>
          <t>Customs Brokerage – Overall</t>
        </is>
      </c>
      <c r="E4224" t="n">
        <v>200033069</v>
      </c>
      <c r="F4224" t="inlineStr">
        <is>
          <t>24467</t>
        </is>
      </c>
      <c r="G4224" t="inlineStr">
        <is>
          <t>UE</t>
        </is>
      </c>
      <c r="H4224" s="12" t="n">
        <v>9792.15</v>
      </c>
      <c r="I4224" s="17" t="n">
        <v>45005</v>
      </c>
      <c r="J4224" s="17" t="n">
        <v>45005</v>
      </c>
      <c r="K4224" t="inlineStr">
        <is>
          <t>247877</t>
        </is>
      </c>
    </row>
    <row r="4225">
      <c r="A4225" t="inlineStr">
        <is>
          <t>102030</t>
        </is>
      </c>
      <c r="B4225" t="inlineStr">
        <is>
          <t>TECON SALVADOR SA</t>
        </is>
      </c>
      <c r="C4225" t="n">
        <v>1191000000</v>
      </c>
      <c r="D4225" t="inlineStr">
        <is>
          <t>Customs Brokerage – Overall</t>
        </is>
      </c>
      <c r="E4225" t="n">
        <v>200033070</v>
      </c>
      <c r="F4225" t="inlineStr">
        <is>
          <t>24468</t>
        </is>
      </c>
      <c r="G4225" t="inlineStr">
        <is>
          <t>UE</t>
        </is>
      </c>
      <c r="H4225" s="12" t="n">
        <v>18406.38</v>
      </c>
      <c r="I4225" s="17" t="n">
        <v>45005</v>
      </c>
      <c r="J4225" s="17" t="n">
        <v>45005</v>
      </c>
      <c r="K4225" t="inlineStr">
        <is>
          <t>247880</t>
        </is>
      </c>
    </row>
    <row r="4226">
      <c r="A4226" t="inlineStr">
        <is>
          <t>101568</t>
        </is>
      </c>
      <c r="B4226" t="inlineStr">
        <is>
          <t>GLOBAL AIR CARGO LTDA</t>
        </is>
      </c>
      <c r="C4226" t="n">
        <v>1191000000</v>
      </c>
      <c r="D4226" t="inlineStr">
        <is>
          <t>Other Suppliers</t>
        </is>
      </c>
      <c r="E4226" t="n">
        <v>200033071</v>
      </c>
      <c r="F4226" t="inlineStr">
        <is>
          <t>24474</t>
        </is>
      </c>
      <c r="G4226" t="inlineStr">
        <is>
          <t>UE</t>
        </is>
      </c>
      <c r="H4226" s="12" t="n">
        <v>1216.04</v>
      </c>
      <c r="I4226" s="17" t="n">
        <v>44783</v>
      </c>
      <c r="J4226" s="17" t="n">
        <v>44783</v>
      </c>
      <c r="K4226" t="inlineStr">
        <is>
          <t>43051</t>
        </is>
      </c>
    </row>
    <row r="4227">
      <c r="A4227" t="inlineStr">
        <is>
          <t>101569</t>
        </is>
      </c>
      <c r="B4227" t="inlineStr">
        <is>
          <t>SECRETARIA DA FAZENDA CEARA</t>
        </is>
      </c>
      <c r="C4227" t="n">
        <v>1191000000</v>
      </c>
      <c r="D4227" t="inlineStr">
        <is>
          <t>Customs Brokerage – Overall</t>
        </is>
      </c>
      <c r="E4227" t="n">
        <v>200033072</v>
      </c>
      <c r="F4227" t="inlineStr">
        <is>
          <t>24475</t>
        </is>
      </c>
      <c r="G4227" t="inlineStr">
        <is>
          <t>UE</t>
        </is>
      </c>
      <c r="H4227" s="12" t="n">
        <v>6.98</v>
      </c>
      <c r="I4227" s="17" t="n">
        <v>44447</v>
      </c>
      <c r="J4227" s="17" t="n">
        <v>44447</v>
      </c>
      <c r="K4227" t="inlineStr">
        <is>
          <t>676004</t>
        </is>
      </c>
    </row>
    <row r="4228">
      <c r="A4228" t="inlineStr">
        <is>
          <t>101569</t>
        </is>
      </c>
      <c r="B4228" t="inlineStr">
        <is>
          <t>SECRETARIA DA FAZENDA CEARA</t>
        </is>
      </c>
      <c r="C4228" t="n">
        <v>1191000000</v>
      </c>
      <c r="D4228" t="inlineStr">
        <is>
          <t>Customs Brokerage – Overall</t>
        </is>
      </c>
      <c r="E4228" t="n">
        <v>200033073</v>
      </c>
      <c r="F4228" t="inlineStr">
        <is>
          <t>24476</t>
        </is>
      </c>
      <c r="G4228" t="inlineStr">
        <is>
          <t>UE</t>
        </is>
      </c>
      <c r="H4228" s="12" t="n">
        <v>6.98</v>
      </c>
      <c r="I4228" s="17" t="n">
        <v>44447</v>
      </c>
      <c r="J4228" s="17" t="n">
        <v>44447</v>
      </c>
      <c r="K4228" t="inlineStr">
        <is>
          <t>671004</t>
        </is>
      </c>
    </row>
    <row r="4229">
      <c r="A4229" t="inlineStr">
        <is>
          <t>101569</t>
        </is>
      </c>
      <c r="B4229" t="inlineStr">
        <is>
          <t>SECRETARIA DA FAZENDA CEARA</t>
        </is>
      </c>
      <c r="C4229" t="n">
        <v>1191000000</v>
      </c>
      <c r="D4229" t="inlineStr">
        <is>
          <t>Customs Brokerage – Overall</t>
        </is>
      </c>
      <c r="E4229" t="n">
        <v>200033074</v>
      </c>
      <c r="F4229" t="inlineStr">
        <is>
          <t>24477</t>
        </is>
      </c>
      <c r="G4229" t="inlineStr">
        <is>
          <t>UE</t>
        </is>
      </c>
      <c r="H4229" s="12" t="n">
        <v>1009.43</v>
      </c>
      <c r="I4229" s="17" t="n">
        <v>44457</v>
      </c>
      <c r="J4229" s="17" t="n">
        <v>44457</v>
      </c>
      <c r="K4229" t="inlineStr">
        <is>
          <t>15687-15784-15787</t>
        </is>
      </c>
    </row>
    <row r="4230">
      <c r="A4230" t="inlineStr">
        <is>
          <t>101576</t>
        </is>
      </c>
      <c r="B4230" t="inlineStr">
        <is>
          <t>CLARO S.A</t>
        </is>
      </c>
      <c r="C4230" t="n">
        <v>1191000000</v>
      </c>
      <c r="D4230" t="inlineStr">
        <is>
          <t>Facilities</t>
        </is>
      </c>
      <c r="E4230" t="n">
        <v>200033075</v>
      </c>
      <c r="F4230" t="inlineStr">
        <is>
          <t>24478</t>
        </is>
      </c>
      <c r="G4230" t="inlineStr">
        <is>
          <t>UE</t>
        </is>
      </c>
      <c r="H4230" s="12" t="n">
        <v>397.57</v>
      </c>
      <c r="I4230" s="17" t="n">
        <v>44522</v>
      </c>
      <c r="J4230" s="17" t="n">
        <v>44522</v>
      </c>
      <c r="K4230" t="inlineStr">
        <is>
          <t>192337250-11/2021</t>
        </is>
      </c>
    </row>
    <row r="4231">
      <c r="A4231" t="inlineStr">
        <is>
          <t>101597</t>
        </is>
      </c>
      <c r="B4231" t="inlineStr">
        <is>
          <t>TELEFONICA BRASIL SA</t>
        </is>
      </c>
      <c r="C4231" t="n">
        <v>1191000000</v>
      </c>
      <c r="D4231" t="inlineStr">
        <is>
          <t>Facilities</t>
        </is>
      </c>
      <c r="E4231" t="n">
        <v>200033076</v>
      </c>
      <c r="F4231" t="inlineStr">
        <is>
          <t>24479</t>
        </is>
      </c>
      <c r="G4231" t="inlineStr">
        <is>
          <t>UE</t>
        </is>
      </c>
      <c r="H4231" s="12" t="n">
        <v>3052.52</v>
      </c>
      <c r="I4231" s="17" t="n">
        <v>44614</v>
      </c>
      <c r="J4231" s="17" t="n">
        <v>44614</v>
      </c>
      <c r="K4231" t="inlineStr">
        <is>
          <t>12/2021</t>
        </is>
      </c>
    </row>
    <row r="4232">
      <c r="A4232" t="inlineStr">
        <is>
          <t>101611</t>
        </is>
      </c>
      <c r="B4232" t="inlineStr">
        <is>
          <t>SECRETARIA DA FAZENDA BAHIA</t>
        </is>
      </c>
      <c r="C4232" t="n">
        <v>1191000000</v>
      </c>
      <c r="D4232" t="inlineStr">
        <is>
          <t>Taxes Payable</t>
        </is>
      </c>
      <c r="E4232" t="n">
        <v>200033077</v>
      </c>
      <c r="F4232" t="inlineStr">
        <is>
          <t>24480</t>
        </is>
      </c>
      <c r="G4232" t="inlineStr">
        <is>
          <t>UE</t>
        </is>
      </c>
      <c r="H4232" s="12" t="n">
        <v>444.43</v>
      </c>
      <c r="I4232" s="17" t="n">
        <v>44358</v>
      </c>
      <c r="J4232" s="17" t="n">
        <v>44358</v>
      </c>
      <c r="K4232" t="inlineStr">
        <is>
          <t>1549001</t>
        </is>
      </c>
    </row>
    <row r="4233">
      <c r="A4233" t="inlineStr">
        <is>
          <t>101611</t>
        </is>
      </c>
      <c r="B4233" t="inlineStr">
        <is>
          <t>SECRETARIA DA FAZENDA BAHIA</t>
        </is>
      </c>
      <c r="C4233" t="n">
        <v>1191000000</v>
      </c>
      <c r="D4233" t="inlineStr">
        <is>
          <t>Taxes Payable</t>
        </is>
      </c>
      <c r="E4233" t="n">
        <v>200033078</v>
      </c>
      <c r="F4233" t="inlineStr">
        <is>
          <t>24481</t>
        </is>
      </c>
      <c r="G4233" t="inlineStr">
        <is>
          <t>UE</t>
        </is>
      </c>
      <c r="H4233" s="12" t="n">
        <v>576</v>
      </c>
      <c r="I4233" s="17" t="n">
        <v>44358</v>
      </c>
      <c r="J4233" s="17" t="n">
        <v>44358</v>
      </c>
      <c r="K4233" t="inlineStr">
        <is>
          <t>1564001</t>
        </is>
      </c>
    </row>
    <row r="4234">
      <c r="A4234" t="inlineStr">
        <is>
          <t>101611</t>
        </is>
      </c>
      <c r="B4234" t="inlineStr">
        <is>
          <t>SECRETARIA DA FAZENDA BAHIA</t>
        </is>
      </c>
      <c r="C4234" t="n">
        <v>1191000000</v>
      </c>
      <c r="D4234" t="inlineStr">
        <is>
          <t>Taxes Payable</t>
        </is>
      </c>
      <c r="E4234" t="n">
        <v>200033079</v>
      </c>
      <c r="F4234" t="inlineStr">
        <is>
          <t>24482</t>
        </is>
      </c>
      <c r="G4234" t="inlineStr">
        <is>
          <t>UE</t>
        </is>
      </c>
      <c r="H4234" s="12" t="n">
        <v>748.48</v>
      </c>
      <c r="I4234" s="17" t="n">
        <v>44358</v>
      </c>
      <c r="J4234" s="17" t="n">
        <v>44358</v>
      </c>
      <c r="K4234" t="inlineStr">
        <is>
          <t>1591001</t>
        </is>
      </c>
    </row>
    <row r="4235">
      <c r="A4235" t="inlineStr">
        <is>
          <t>101611</t>
        </is>
      </c>
      <c r="B4235" t="inlineStr">
        <is>
          <t>SECRETARIA DA FAZENDA BAHIA</t>
        </is>
      </c>
      <c r="C4235" t="n">
        <v>1191000000</v>
      </c>
      <c r="D4235" t="inlineStr">
        <is>
          <t>Taxes Payable</t>
        </is>
      </c>
      <c r="E4235" t="n">
        <v>200033080</v>
      </c>
      <c r="F4235" t="inlineStr">
        <is>
          <t>24483</t>
        </is>
      </c>
      <c r="G4235" t="inlineStr">
        <is>
          <t>UE</t>
        </is>
      </c>
      <c r="H4235" s="12" t="n">
        <v>201.02</v>
      </c>
      <c r="I4235" s="17" t="n">
        <v>44358</v>
      </c>
      <c r="J4235" s="17" t="n">
        <v>44358</v>
      </c>
      <c r="K4235" t="inlineStr">
        <is>
          <t>544002</t>
        </is>
      </c>
    </row>
    <row r="4236">
      <c r="A4236" t="inlineStr">
        <is>
          <t>101611</t>
        </is>
      </c>
      <c r="B4236" t="inlineStr">
        <is>
          <t>SECRETARIA DA FAZENDA BAHIA</t>
        </is>
      </c>
      <c r="C4236" t="n">
        <v>1191000000</v>
      </c>
      <c r="D4236" t="inlineStr">
        <is>
          <t>Taxes Payable</t>
        </is>
      </c>
      <c r="E4236" t="n">
        <v>200033081</v>
      </c>
      <c r="F4236" t="inlineStr">
        <is>
          <t>24484</t>
        </is>
      </c>
      <c r="G4236" t="inlineStr">
        <is>
          <t>UE</t>
        </is>
      </c>
      <c r="H4236" s="12" t="n">
        <v>149.72</v>
      </c>
      <c r="I4236" s="17" t="n">
        <v>44358</v>
      </c>
      <c r="J4236" s="17" t="n">
        <v>44358</v>
      </c>
      <c r="K4236" t="inlineStr">
        <is>
          <t>1674001</t>
        </is>
      </c>
    </row>
    <row r="4237">
      <c r="A4237" t="inlineStr">
        <is>
          <t>101611</t>
        </is>
      </c>
      <c r="B4237" t="inlineStr">
        <is>
          <t>SECRETARIA DA FAZENDA BAHIA</t>
        </is>
      </c>
      <c r="C4237" t="n">
        <v>1191000000</v>
      </c>
      <c r="D4237" t="inlineStr">
        <is>
          <t>Taxes Payable</t>
        </is>
      </c>
      <c r="E4237" t="n">
        <v>200033082</v>
      </c>
      <c r="F4237" t="inlineStr">
        <is>
          <t>24485</t>
        </is>
      </c>
      <c r="G4237" t="inlineStr">
        <is>
          <t>UE</t>
        </is>
      </c>
      <c r="H4237" s="12" t="n">
        <v>1451.79</v>
      </c>
      <c r="I4237" s="17" t="n">
        <v>44358</v>
      </c>
      <c r="J4237" s="17" t="n">
        <v>44358</v>
      </c>
      <c r="K4237" t="inlineStr">
        <is>
          <t>1650001</t>
        </is>
      </c>
    </row>
    <row r="4238">
      <c r="A4238" t="inlineStr">
        <is>
          <t>101611</t>
        </is>
      </c>
      <c r="B4238" t="inlineStr">
        <is>
          <t>SECRETARIA DA FAZENDA BAHIA</t>
        </is>
      </c>
      <c r="C4238" t="n">
        <v>1191000000</v>
      </c>
      <c r="D4238" t="inlineStr">
        <is>
          <t>Taxes Payable</t>
        </is>
      </c>
      <c r="E4238" t="n">
        <v>200033083</v>
      </c>
      <c r="F4238" t="inlineStr">
        <is>
          <t>24486</t>
        </is>
      </c>
      <c r="G4238" t="inlineStr">
        <is>
          <t>UE</t>
        </is>
      </c>
      <c r="H4238" s="12" t="n">
        <v>6</v>
      </c>
      <c r="I4238" s="17" t="n">
        <v>44358</v>
      </c>
      <c r="J4238" s="17" t="n">
        <v>44358</v>
      </c>
      <c r="K4238" t="inlineStr">
        <is>
          <t>538002</t>
        </is>
      </c>
    </row>
    <row r="4239">
      <c r="A4239" t="inlineStr">
        <is>
          <t>101611</t>
        </is>
      </c>
      <c r="B4239" t="inlineStr">
        <is>
          <t>SECRETARIA DA FAZENDA BAHIA</t>
        </is>
      </c>
      <c r="C4239" t="n">
        <v>1191000000</v>
      </c>
      <c r="D4239" t="inlineStr">
        <is>
          <t>Taxes Payable</t>
        </is>
      </c>
      <c r="E4239" t="n">
        <v>200033084</v>
      </c>
      <c r="F4239" t="inlineStr">
        <is>
          <t>24487</t>
        </is>
      </c>
      <c r="G4239" t="inlineStr">
        <is>
          <t>UE</t>
        </is>
      </c>
      <c r="H4239" s="12" t="n">
        <v>7.4</v>
      </c>
      <c r="I4239" s="17" t="n">
        <v>44358</v>
      </c>
      <c r="J4239" s="17" t="n">
        <v>44358</v>
      </c>
      <c r="K4239" t="inlineStr">
        <is>
          <t>542002</t>
        </is>
      </c>
    </row>
    <row r="4240">
      <c r="A4240" t="inlineStr">
        <is>
          <t>101611</t>
        </is>
      </c>
      <c r="B4240" t="inlineStr">
        <is>
          <t>SECRETARIA DA FAZENDA BAHIA</t>
        </is>
      </c>
      <c r="C4240" t="n">
        <v>1191000000</v>
      </c>
      <c r="D4240" t="inlineStr">
        <is>
          <t>Taxes Payable</t>
        </is>
      </c>
      <c r="E4240" t="n">
        <v>200033085</v>
      </c>
      <c r="F4240" t="inlineStr">
        <is>
          <t>24488</t>
        </is>
      </c>
      <c r="G4240" t="inlineStr">
        <is>
          <t>UE</t>
        </is>
      </c>
      <c r="H4240" s="12" t="n">
        <v>735.58</v>
      </c>
      <c r="I4240" s="17" t="n">
        <v>44358</v>
      </c>
      <c r="J4240" s="17" t="n">
        <v>44358</v>
      </c>
      <c r="K4240" t="inlineStr">
        <is>
          <t>000000567002</t>
        </is>
      </c>
    </row>
    <row r="4241">
      <c r="A4241" t="inlineStr">
        <is>
          <t>101622</t>
        </is>
      </c>
      <c r="B4241" t="inlineStr">
        <is>
          <t>BAGAREL COMERCIO DE INSTRUMENTOS LT</t>
        </is>
      </c>
      <c r="C4241" t="n">
        <v>1191000000</v>
      </c>
      <c r="D4241" t="inlineStr">
        <is>
          <t>Operational Suppliers (Wind Farms)</t>
        </is>
      </c>
      <c r="E4241" t="n">
        <v>200033086</v>
      </c>
      <c r="F4241" t="inlineStr">
        <is>
          <t>24489</t>
        </is>
      </c>
      <c r="G4241" t="inlineStr">
        <is>
          <t>UE</t>
        </is>
      </c>
      <c r="H4241" s="12" t="n">
        <v>2801.55</v>
      </c>
      <c r="I4241" s="17" t="n">
        <v>44924</v>
      </c>
      <c r="J4241" s="17" t="n">
        <v>44924</v>
      </c>
      <c r="K4241" t="inlineStr">
        <is>
          <t>43111</t>
        </is>
      </c>
    </row>
    <row r="4242">
      <c r="A4242" t="inlineStr">
        <is>
          <t>101673</t>
        </is>
      </c>
      <c r="B4242" t="inlineStr">
        <is>
          <t>SANTOS BRASIL PARTICIPACOES SA</t>
        </is>
      </c>
      <c r="C4242" t="n">
        <v>1191000000</v>
      </c>
      <c r="D4242" t="inlineStr">
        <is>
          <t>Other Suppliers</t>
        </is>
      </c>
      <c r="E4242" t="n">
        <v>200033088</v>
      </c>
      <c r="F4242" t="inlineStr">
        <is>
          <t>24491</t>
        </is>
      </c>
      <c r="G4242" t="inlineStr">
        <is>
          <t>UE</t>
        </is>
      </c>
      <c r="H4242" s="12" t="n">
        <v>12935.56</v>
      </c>
      <c r="I4242" s="17" t="n">
        <v>44890</v>
      </c>
      <c r="J4242" s="17" t="n">
        <v>44890</v>
      </c>
      <c r="K4242" t="inlineStr">
        <is>
          <t>171083801</t>
        </is>
      </c>
    </row>
    <row r="4243">
      <c r="A4243" t="inlineStr">
        <is>
          <t>101746</t>
        </is>
      </c>
      <c r="B4243" t="inlineStr">
        <is>
          <t>SECRETARIA DA FAZENDA DO ESTADO DO</t>
        </is>
      </c>
      <c r="C4243" t="n">
        <v>1191000000</v>
      </c>
      <c r="D4243" t="inlineStr">
        <is>
          <t>Customs Brokerage – Overall</t>
        </is>
      </c>
      <c r="E4243" t="n">
        <v>200033090</v>
      </c>
      <c r="F4243" t="inlineStr">
        <is>
          <t>24493</t>
        </is>
      </c>
      <c r="G4243" t="inlineStr">
        <is>
          <t>UE</t>
        </is>
      </c>
      <c r="H4243" s="12" t="n">
        <v>505.64</v>
      </c>
      <c r="I4243" s="17" t="n">
        <v>44358</v>
      </c>
      <c r="J4243" s="17" t="n">
        <v>44358</v>
      </c>
      <c r="K4243" t="inlineStr">
        <is>
          <t>GNRE DIFAL NF 3297.</t>
        </is>
      </c>
    </row>
    <row r="4244">
      <c r="A4244" t="inlineStr">
        <is>
          <t>101746</t>
        </is>
      </c>
      <c r="B4244" t="inlineStr">
        <is>
          <t>SECRETARIA DA FAZENDA DO ESTADO DO</t>
        </is>
      </c>
      <c r="C4244" t="n">
        <v>1191000000</v>
      </c>
      <c r="D4244" t="inlineStr">
        <is>
          <t>Customs Brokerage – Overall</t>
        </is>
      </c>
      <c r="E4244" t="n">
        <v>200033091</v>
      </c>
      <c r="F4244" t="inlineStr">
        <is>
          <t>24494</t>
        </is>
      </c>
      <c r="G4244" t="inlineStr">
        <is>
          <t>UE</t>
        </is>
      </c>
      <c r="H4244" s="12" t="n">
        <v>659.5700000000001</v>
      </c>
      <c r="I4244" s="17" t="n">
        <v>44389</v>
      </c>
      <c r="J4244" s="17" t="n">
        <v>44389</v>
      </c>
      <c r="K4244" t="inlineStr">
        <is>
          <t>2221001</t>
        </is>
      </c>
    </row>
    <row r="4245">
      <c r="A4245" t="inlineStr">
        <is>
          <t>101746</t>
        </is>
      </c>
      <c r="B4245" t="inlineStr">
        <is>
          <t>SECRETARIA DA FAZENDA DO ESTADO DO</t>
        </is>
      </c>
      <c r="C4245" t="n">
        <v>1191000000</v>
      </c>
      <c r="D4245" t="inlineStr">
        <is>
          <t>Customs Brokerage – Overall</t>
        </is>
      </c>
      <c r="E4245" t="n">
        <v>200033092</v>
      </c>
      <c r="F4245" t="inlineStr">
        <is>
          <t>24495</t>
        </is>
      </c>
      <c r="G4245" t="inlineStr">
        <is>
          <t>UE</t>
        </is>
      </c>
      <c r="H4245" s="12" t="n">
        <v>116.72</v>
      </c>
      <c r="I4245" s="17" t="n">
        <v>44447</v>
      </c>
      <c r="J4245" s="17" t="n">
        <v>44447</v>
      </c>
      <c r="K4245" t="inlineStr">
        <is>
          <t>15625000</t>
        </is>
      </c>
    </row>
    <row r="4246">
      <c r="A4246" t="inlineStr">
        <is>
          <t>101751</t>
        </is>
      </c>
      <c r="B4246" t="inlineStr">
        <is>
          <t>METLIFE PLANOS ODONTOLOGICOS LTDA</t>
        </is>
      </c>
      <c r="C4246" t="n">
        <v>1191000000</v>
      </c>
      <c r="D4246" t="inlineStr">
        <is>
          <t>Other Suppliers</t>
        </is>
      </c>
      <c r="E4246" t="n">
        <v>200033094</v>
      </c>
      <c r="F4246" t="inlineStr">
        <is>
          <t>24497</t>
        </is>
      </c>
      <c r="G4246" t="inlineStr">
        <is>
          <t>UE</t>
        </is>
      </c>
      <c r="H4246" s="12" t="n">
        <v>15856.5</v>
      </c>
      <c r="I4246" s="17" t="n">
        <v>44593</v>
      </c>
      <c r="J4246" s="17" t="n">
        <v>44593</v>
      </c>
      <c r="K4246" t="inlineStr">
        <is>
          <t>6071197</t>
        </is>
      </c>
    </row>
    <row r="4247">
      <c r="A4247" t="inlineStr">
        <is>
          <t>101763</t>
        </is>
      </c>
      <c r="B4247" t="inlineStr">
        <is>
          <t>MUNICIPIO DE LAGOA DO BARRO DO PIAU</t>
        </is>
      </c>
      <c r="C4247" t="n">
        <v>1191000000</v>
      </c>
      <c r="D4247" t="inlineStr">
        <is>
          <t>Taxes Payable</t>
        </is>
      </c>
      <c r="E4247" t="n">
        <v>200033097</v>
      </c>
      <c r="F4247" t="inlineStr">
        <is>
          <t>24500</t>
        </is>
      </c>
      <c r="G4247" t="inlineStr">
        <is>
          <t>UE</t>
        </is>
      </c>
      <c r="H4247" s="12" t="n">
        <v>20439.67</v>
      </c>
      <c r="I4247" s="17" t="n">
        <v>44646</v>
      </c>
      <c r="J4247" s="17" t="n">
        <v>44646</v>
      </c>
      <c r="K4247" t="inlineStr">
        <is>
          <t>016121754</t>
        </is>
      </c>
    </row>
    <row r="4248">
      <c r="A4248" t="inlineStr">
        <is>
          <t>101771</t>
        </is>
      </c>
      <c r="B4248" t="inlineStr">
        <is>
          <t>RUZINALDO BARROS MOURA</t>
        </is>
      </c>
      <c r="C4248" t="n">
        <v>1191000000</v>
      </c>
      <c r="D4248" t="inlineStr">
        <is>
          <t>Other Suppliers</t>
        </is>
      </c>
      <c r="E4248" t="n">
        <v>200033098</v>
      </c>
      <c r="F4248" t="inlineStr">
        <is>
          <t>24501</t>
        </is>
      </c>
      <c r="G4248" t="inlineStr">
        <is>
          <t>UE</t>
        </is>
      </c>
      <c r="H4248" s="12" t="n">
        <v>1826.48</v>
      </c>
      <c r="I4248" s="17" t="n">
        <v>44768</v>
      </c>
      <c r="J4248" s="17" t="n">
        <v>44768</v>
      </c>
      <c r="K4248" t="inlineStr">
        <is>
          <t>642</t>
        </is>
      </c>
    </row>
    <row r="4249">
      <c r="A4249" t="inlineStr">
        <is>
          <t>101269</t>
        </is>
      </c>
      <c r="B4249" t="inlineStr">
        <is>
          <t>CERTISIGN CERTIFICADORA DIGITAL SA</t>
        </is>
      </c>
      <c r="C4249" t="n">
        <v>1191000000</v>
      </c>
      <c r="D4249" t="inlineStr">
        <is>
          <t>Other Suppliers</t>
        </is>
      </c>
      <c r="E4249" t="n">
        <v>200033099</v>
      </c>
      <c r="F4249" t="inlineStr">
        <is>
          <t>24502</t>
        </is>
      </c>
      <c r="G4249" t="inlineStr">
        <is>
          <t>UE</t>
        </is>
      </c>
      <c r="H4249" s="12" t="n">
        <v>439</v>
      </c>
      <c r="I4249" s="17" t="n">
        <v>44434</v>
      </c>
      <c r="J4249" s="17" t="n">
        <v>44434</v>
      </c>
      <c r="K4249" t="inlineStr">
        <is>
          <t>12950565</t>
        </is>
      </c>
    </row>
    <row r="4250">
      <c r="A4250" t="inlineStr">
        <is>
          <t>101269</t>
        </is>
      </c>
      <c r="B4250" t="inlineStr">
        <is>
          <t>CERTISIGN CERTIFICADORA DIGITAL SA</t>
        </is>
      </c>
      <c r="C4250" t="n">
        <v>1191000000</v>
      </c>
      <c r="D4250" t="inlineStr">
        <is>
          <t>Other Suppliers</t>
        </is>
      </c>
      <c r="E4250" t="n">
        <v>200033100</v>
      </c>
      <c r="F4250" t="inlineStr">
        <is>
          <t>24503</t>
        </is>
      </c>
      <c r="G4250" t="inlineStr">
        <is>
          <t>UE</t>
        </is>
      </c>
      <c r="H4250" s="12" t="n">
        <v>369.9</v>
      </c>
      <c r="I4250" s="17" t="n">
        <v>44774</v>
      </c>
      <c r="J4250" s="17" t="n">
        <v>44774</v>
      </c>
      <c r="K4250" t="inlineStr">
        <is>
          <t>14326547</t>
        </is>
      </c>
    </row>
    <row r="4251">
      <c r="A4251" t="inlineStr">
        <is>
          <t>101358</t>
        </is>
      </c>
      <c r="B4251" t="inlineStr">
        <is>
          <t>MUNICIPIO DE LAJES</t>
        </is>
      </c>
      <c r="C4251" t="n">
        <v>1191000000</v>
      </c>
      <c r="D4251" t="inlineStr">
        <is>
          <t>Taxes Payable</t>
        </is>
      </c>
      <c r="E4251" t="n">
        <v>200033117</v>
      </c>
      <c r="F4251" t="inlineStr">
        <is>
          <t>24520</t>
        </is>
      </c>
      <c r="G4251" t="inlineStr">
        <is>
          <t>UE</t>
        </is>
      </c>
      <c r="H4251" s="12" t="n">
        <v>28194.24</v>
      </c>
      <c r="I4251" s="17" t="n">
        <v>44638</v>
      </c>
      <c r="J4251" s="17" t="n">
        <v>44638</v>
      </c>
      <c r="K4251" t="inlineStr">
        <is>
          <t>2400</t>
        </is>
      </c>
    </row>
    <row r="4252">
      <c r="A4252" t="inlineStr">
        <is>
          <t>101006</t>
        </is>
      </c>
      <c r="B4252" t="inlineStr">
        <is>
          <t>MUNICIPIO DE SAO BENTO DO NORTE</t>
        </is>
      </c>
      <c r="C4252" t="n">
        <v>1191000000</v>
      </c>
      <c r="D4252" t="inlineStr">
        <is>
          <t>Taxes Payable</t>
        </is>
      </c>
      <c r="E4252" t="n">
        <v>200033120</v>
      </c>
      <c r="F4252" t="inlineStr">
        <is>
          <t>24525</t>
        </is>
      </c>
      <c r="G4252" t="inlineStr">
        <is>
          <t>UE</t>
        </is>
      </c>
      <c r="H4252" s="12" t="n">
        <v>143260.73</v>
      </c>
      <c r="I4252" s="17" t="n">
        <v>44320</v>
      </c>
      <c r="J4252" s="17" t="n">
        <v>44320</v>
      </c>
      <c r="K4252" t="inlineStr">
        <is>
          <t>00067500</t>
        </is>
      </c>
    </row>
    <row r="4253">
      <c r="A4253" t="inlineStr">
        <is>
          <t>101006</t>
        </is>
      </c>
      <c r="B4253" t="inlineStr">
        <is>
          <t>MUNICIPIO DE SAO BENTO DO NORTE</t>
        </is>
      </c>
      <c r="C4253" t="n">
        <v>1191000000</v>
      </c>
      <c r="D4253" t="inlineStr">
        <is>
          <t>Taxes Payable</t>
        </is>
      </c>
      <c r="E4253" t="n">
        <v>200033121</v>
      </c>
      <c r="F4253" t="inlineStr">
        <is>
          <t>24526</t>
        </is>
      </c>
      <c r="G4253" t="inlineStr">
        <is>
          <t>UE</t>
        </is>
      </c>
      <c r="H4253" s="12" t="n">
        <v>47313.12</v>
      </c>
      <c r="I4253" s="17" t="n">
        <v>44320</v>
      </c>
      <c r="J4253" s="17" t="n">
        <v>44320</v>
      </c>
      <c r="K4253" t="inlineStr">
        <is>
          <t>00067400</t>
        </is>
      </c>
    </row>
    <row r="4254">
      <c r="A4254" t="inlineStr">
        <is>
          <t>EM000332</t>
        </is>
      </c>
      <c r="B4254" t="inlineStr">
        <is>
          <t>MARIO SERGIO NASCIMENTO DOS SANTOS</t>
        </is>
      </c>
      <c r="C4254" t="n">
        <v>1191000000</v>
      </c>
      <c r="D4254" t="inlineStr">
        <is>
          <t>Nordex Employees</t>
        </is>
      </c>
      <c r="E4254" t="n">
        <v>200033122</v>
      </c>
      <c r="F4254" t="inlineStr">
        <is>
          <t>24527</t>
        </is>
      </c>
      <c r="G4254" t="inlineStr">
        <is>
          <t>UE</t>
        </is>
      </c>
      <c r="H4254" s="12" t="n">
        <v>157.11</v>
      </c>
      <c r="I4254" s="17" t="n">
        <v>44638</v>
      </c>
      <c r="J4254" s="17" t="n">
        <v>44638</v>
      </c>
      <c r="K4254" t="inlineStr">
        <is>
          <t>11011.</t>
        </is>
      </c>
    </row>
    <row r="4255">
      <c r="A4255" t="inlineStr">
        <is>
          <t>101232</t>
        </is>
      </c>
      <c r="B4255" t="inlineStr">
        <is>
          <t>TRANSDATA ENGENHARIA E MOVIMENTACAO</t>
        </is>
      </c>
      <c r="C4255" t="n">
        <v>1191000000</v>
      </c>
      <c r="D4255" t="inlineStr">
        <is>
          <t>Other Suppliers</t>
        </is>
      </c>
      <c r="E4255" t="n">
        <v>200033125</v>
      </c>
      <c r="F4255" t="inlineStr">
        <is>
          <t>24530</t>
        </is>
      </c>
      <c r="G4255" t="inlineStr">
        <is>
          <t>UE</t>
        </is>
      </c>
      <c r="H4255" s="12" t="n">
        <v>117333.33</v>
      </c>
      <c r="I4255" s="17" t="n">
        <v>44293</v>
      </c>
      <c r="J4255" s="17" t="n">
        <v>44293</v>
      </c>
      <c r="K4255" t="inlineStr">
        <is>
          <t>ADTO CTE 3195</t>
        </is>
      </c>
    </row>
    <row r="4256">
      <c r="A4256" t="inlineStr">
        <is>
          <t>101255</t>
        </is>
      </c>
      <c r="B4256" t="inlineStr">
        <is>
          <t>WILSON SONS LOGISTICA LTDA</t>
        </is>
      </c>
      <c r="C4256" t="n">
        <v>1191000000</v>
      </c>
      <c r="D4256" t="inlineStr">
        <is>
          <t>Operational Suppliers (Wind Farms)</t>
        </is>
      </c>
      <c r="E4256" t="n">
        <v>200033127</v>
      </c>
      <c r="F4256" t="inlineStr">
        <is>
          <t>24532</t>
        </is>
      </c>
      <c r="G4256" t="inlineStr">
        <is>
          <t>UE</t>
        </is>
      </c>
      <c r="H4256" s="12" t="n">
        <v>2773.99</v>
      </c>
      <c r="I4256" s="17" t="n">
        <v>45005</v>
      </c>
      <c r="J4256" s="17" t="n">
        <v>45005</v>
      </c>
      <c r="K4256" t="inlineStr">
        <is>
          <t>3952</t>
        </is>
      </c>
    </row>
    <row r="4257">
      <c r="A4257" t="inlineStr">
        <is>
          <t>101255</t>
        </is>
      </c>
      <c r="B4257" t="inlineStr">
        <is>
          <t>WILSON SONS LOGISTICA LTDA</t>
        </is>
      </c>
      <c r="C4257" t="n">
        <v>1191000000</v>
      </c>
      <c r="D4257" t="inlineStr">
        <is>
          <t>Operational Suppliers (Wind Farms)</t>
        </is>
      </c>
      <c r="E4257" t="n">
        <v>200033128</v>
      </c>
      <c r="F4257" t="inlineStr">
        <is>
          <t>24533</t>
        </is>
      </c>
      <c r="G4257" t="inlineStr">
        <is>
          <t>UE</t>
        </is>
      </c>
      <c r="H4257" s="12" t="n">
        <v>16822.77</v>
      </c>
      <c r="I4257" s="17" t="n">
        <v>45005</v>
      </c>
      <c r="J4257" s="17" t="n">
        <v>45005</v>
      </c>
      <c r="K4257" t="inlineStr">
        <is>
          <t>3950</t>
        </is>
      </c>
    </row>
    <row r="4258">
      <c r="A4258" t="inlineStr">
        <is>
          <t>101255</t>
        </is>
      </c>
      <c r="B4258" t="inlineStr">
        <is>
          <t>WILSON SONS LOGISTICA LTDA</t>
        </is>
      </c>
      <c r="C4258" t="n">
        <v>1191000000</v>
      </c>
      <c r="D4258" t="inlineStr">
        <is>
          <t>Operational Suppliers (Wind Farms)</t>
        </is>
      </c>
      <c r="E4258" t="n">
        <v>200033129</v>
      </c>
      <c r="F4258" t="inlineStr">
        <is>
          <t>24534</t>
        </is>
      </c>
      <c r="G4258" t="inlineStr">
        <is>
          <t>UE</t>
        </is>
      </c>
      <c r="H4258" s="12" t="n">
        <v>6992.08</v>
      </c>
      <c r="I4258" s="17" t="n">
        <v>45005</v>
      </c>
      <c r="J4258" s="17" t="n">
        <v>45005</v>
      </c>
      <c r="K4258" t="inlineStr">
        <is>
          <t>3951</t>
        </is>
      </c>
    </row>
    <row r="4259">
      <c r="A4259" t="inlineStr">
        <is>
          <t>100747</t>
        </is>
      </c>
      <c r="B4259" t="inlineStr">
        <is>
          <t>MA TECH ENGENHARIA DA CONSTRUCAO LT</t>
        </is>
      </c>
      <c r="C4259" t="n">
        <v>1191000000</v>
      </c>
      <c r="D4259" t="inlineStr">
        <is>
          <t>Other Suppliers</t>
        </is>
      </c>
      <c r="E4259" t="n">
        <v>200033130</v>
      </c>
      <c r="F4259" t="inlineStr">
        <is>
          <t>24535</t>
        </is>
      </c>
      <c r="G4259" t="inlineStr">
        <is>
          <t>UE</t>
        </is>
      </c>
      <c r="H4259" s="12" t="n">
        <v>221832.41</v>
      </c>
      <c r="I4259" s="17" t="n">
        <v>44540</v>
      </c>
      <c r="J4259" s="17" t="n">
        <v>44540</v>
      </c>
      <c r="K4259" t="inlineStr">
        <is>
          <t>0306920219907760035539000</t>
        </is>
      </c>
    </row>
    <row r="4260">
      <c r="A4260" t="inlineStr">
        <is>
          <t>102453</t>
        </is>
      </c>
      <c r="B4260" t="inlineStr">
        <is>
          <t>GILVAN GONÇALVES DE ANDRADE</t>
        </is>
      </c>
      <c r="C4260" t="n">
        <v>1191000000</v>
      </c>
      <c r="D4260" t="inlineStr">
        <is>
          <t>Other Suppliers</t>
        </is>
      </c>
      <c r="E4260" t="n">
        <v>200033131</v>
      </c>
      <c r="F4260" t="inlineStr">
        <is>
          <t>24537</t>
        </is>
      </c>
      <c r="G4260" t="inlineStr">
        <is>
          <t>UE</t>
        </is>
      </c>
      <c r="H4260" s="12" t="n">
        <v>919</v>
      </c>
      <c r="I4260" s="17" t="n">
        <v>44306</v>
      </c>
      <c r="J4260" s="17" t="n">
        <v>44306</v>
      </c>
      <c r="K4260" t="inlineStr">
        <is>
          <t>20210400.</t>
        </is>
      </c>
    </row>
    <row r="4261">
      <c r="A4261" t="inlineStr">
        <is>
          <t>100812</t>
        </is>
      </c>
      <c r="B4261" t="inlineStr">
        <is>
          <t>MODULAR TRANSPORTES LTDA</t>
        </is>
      </c>
      <c r="C4261" t="n">
        <v>1191000000</v>
      </c>
      <c r="D4261" t="inlineStr">
        <is>
          <t>Operational Suppliers (Wind Farms)</t>
        </is>
      </c>
      <c r="E4261" t="n">
        <v>200033132</v>
      </c>
      <c r="F4261" t="inlineStr">
        <is>
          <t>24538</t>
        </is>
      </c>
      <c r="G4261" t="inlineStr">
        <is>
          <t>UE</t>
        </is>
      </c>
      <c r="H4261" s="12" t="n">
        <v>50.73</v>
      </c>
      <c r="I4261" s="17" t="n">
        <v>44596</v>
      </c>
      <c r="J4261" s="17" t="n">
        <v>44596</v>
      </c>
      <c r="K4261" t="inlineStr">
        <is>
          <t>935031000</t>
        </is>
      </c>
    </row>
    <row r="4262">
      <c r="A4262" t="inlineStr">
        <is>
          <t>100812</t>
        </is>
      </c>
      <c r="B4262" t="inlineStr">
        <is>
          <t>MODULAR TRANSPORTES LTDA</t>
        </is>
      </c>
      <c r="C4262" t="n">
        <v>1191000000</v>
      </c>
      <c r="D4262" t="inlineStr">
        <is>
          <t>Operational Suppliers (Wind Farms)</t>
        </is>
      </c>
      <c r="E4262" t="n">
        <v>200033133</v>
      </c>
      <c r="F4262" t="inlineStr">
        <is>
          <t>24539</t>
        </is>
      </c>
      <c r="G4262" t="inlineStr">
        <is>
          <t>UE</t>
        </is>
      </c>
      <c r="H4262" s="12" t="n">
        <v>94.93000000000001</v>
      </c>
      <c r="I4262" s="17" t="n">
        <v>44527</v>
      </c>
      <c r="J4262" s="17" t="n">
        <v>44527</v>
      </c>
      <c r="K4262" t="inlineStr">
        <is>
          <t>929554000</t>
        </is>
      </c>
    </row>
    <row r="4263">
      <c r="A4263" t="inlineStr">
        <is>
          <t>100876</t>
        </is>
      </c>
      <c r="B4263" t="inlineStr">
        <is>
          <t>EQUIPO INFO SERVICOS DE TECNOLOGIA</t>
        </is>
      </c>
      <c r="C4263" t="n">
        <v>1191000000</v>
      </c>
      <c r="D4263" t="inlineStr">
        <is>
          <t>Other Suppliers</t>
        </is>
      </c>
      <c r="E4263" t="n">
        <v>200033134</v>
      </c>
      <c r="F4263" t="inlineStr">
        <is>
          <t>24540</t>
        </is>
      </c>
      <c r="G4263" t="inlineStr">
        <is>
          <t>UE</t>
        </is>
      </c>
      <c r="H4263" s="12" t="n">
        <v>326.72</v>
      </c>
      <c r="I4263" s="17" t="n">
        <v>44391</v>
      </c>
      <c r="J4263" s="17" t="n">
        <v>44391</v>
      </c>
      <c r="K4263" t="inlineStr">
        <is>
          <t>33047</t>
        </is>
      </c>
    </row>
    <row r="4264">
      <c r="A4264" t="inlineStr">
        <is>
          <t>100909</t>
        </is>
      </c>
      <c r="B4264" t="inlineStr">
        <is>
          <t>FCG COMERCIO DE ALIMENTOS LTDA</t>
        </is>
      </c>
      <c r="C4264" t="n">
        <v>1191000000</v>
      </c>
      <c r="D4264" t="inlineStr">
        <is>
          <t>Other Suppliers</t>
        </is>
      </c>
      <c r="E4264" t="n">
        <v>200033135</v>
      </c>
      <c r="F4264" t="inlineStr">
        <is>
          <t>24541</t>
        </is>
      </c>
      <c r="G4264" t="inlineStr">
        <is>
          <t>UE</t>
        </is>
      </c>
      <c r="H4264" s="12" t="n">
        <v>137233.74</v>
      </c>
      <c r="I4264" s="17" t="n">
        <v>44714</v>
      </c>
      <c r="J4264" s="17" t="n">
        <v>44714</v>
      </c>
      <c r="K4264" t="inlineStr">
        <is>
          <t>70</t>
        </is>
      </c>
    </row>
    <row r="4265">
      <c r="A4265" t="inlineStr">
        <is>
          <t>100951</t>
        </is>
      </c>
      <c r="B4265" t="inlineStr">
        <is>
          <t>CONCRELOC CONCRETO LTDA</t>
        </is>
      </c>
      <c r="C4265" t="n">
        <v>1191000000</v>
      </c>
      <c r="D4265" t="inlineStr">
        <is>
          <t>Operational Suppliers (Wind Farms)</t>
        </is>
      </c>
      <c r="E4265" t="n">
        <v>200033137</v>
      </c>
      <c r="F4265" t="inlineStr">
        <is>
          <t>24543</t>
        </is>
      </c>
      <c r="G4265" t="inlineStr">
        <is>
          <t>UE</t>
        </is>
      </c>
      <c r="H4265" s="12" t="n">
        <v>667.5</v>
      </c>
      <c r="I4265" s="17" t="n">
        <v>44476</v>
      </c>
      <c r="J4265" s="17" t="n">
        <v>44476</v>
      </c>
      <c r="K4265" t="inlineStr">
        <is>
          <t>21005260</t>
        </is>
      </c>
    </row>
    <row r="4266">
      <c r="A4266" t="inlineStr">
        <is>
          <t>100951</t>
        </is>
      </c>
      <c r="B4266" t="inlineStr">
        <is>
          <t>CONCRELOC CONCRETO LTDA</t>
        </is>
      </c>
      <c r="C4266" t="n">
        <v>1191000000</v>
      </c>
      <c r="D4266" t="inlineStr">
        <is>
          <t>Operational Suppliers (Wind Farms)</t>
        </is>
      </c>
      <c r="E4266" t="n">
        <v>200033138</v>
      </c>
      <c r="F4266" t="inlineStr">
        <is>
          <t>24544</t>
        </is>
      </c>
      <c r="G4266" t="inlineStr">
        <is>
          <t>UE</t>
        </is>
      </c>
      <c r="H4266" s="12" t="n">
        <v>1287.63</v>
      </c>
      <c r="I4266" s="17" t="n">
        <v>44488</v>
      </c>
      <c r="J4266" s="17" t="n">
        <v>44488</v>
      </c>
      <c r="K4266" t="inlineStr">
        <is>
          <t>21005410</t>
        </is>
      </c>
    </row>
    <row r="4267">
      <c r="A4267" t="inlineStr">
        <is>
          <t>100951</t>
        </is>
      </c>
      <c r="B4267" t="inlineStr">
        <is>
          <t>CONCRELOC CONCRETO LTDA</t>
        </is>
      </c>
      <c r="C4267" t="n">
        <v>1191000000</v>
      </c>
      <c r="D4267" t="inlineStr">
        <is>
          <t>Operational Suppliers (Wind Farms)</t>
        </is>
      </c>
      <c r="E4267" t="n">
        <v>200033139</v>
      </c>
      <c r="F4267" t="inlineStr">
        <is>
          <t>24545</t>
        </is>
      </c>
      <c r="G4267" t="inlineStr">
        <is>
          <t>UE</t>
        </is>
      </c>
      <c r="H4267" s="12" t="n">
        <v>21593.1</v>
      </c>
      <c r="I4267" s="17" t="n">
        <v>44518</v>
      </c>
      <c r="J4267" s="17" t="n">
        <v>44518</v>
      </c>
      <c r="K4267" t="inlineStr">
        <is>
          <t>21006147</t>
        </is>
      </c>
    </row>
    <row r="4268">
      <c r="A4268" t="inlineStr">
        <is>
          <t>100951</t>
        </is>
      </c>
      <c r="B4268" t="inlineStr">
        <is>
          <t>CONCRELOC CONCRETO LTDA</t>
        </is>
      </c>
      <c r="C4268" t="n">
        <v>1191000000</v>
      </c>
      <c r="D4268" t="inlineStr">
        <is>
          <t>Operational Suppliers (Wind Farms)</t>
        </is>
      </c>
      <c r="E4268" t="n">
        <v>200033140</v>
      </c>
      <c r="F4268" t="inlineStr">
        <is>
          <t>24546</t>
        </is>
      </c>
      <c r="G4268" t="inlineStr">
        <is>
          <t>UE</t>
        </is>
      </c>
      <c r="H4268" s="12" t="n">
        <v>5352.46</v>
      </c>
      <c r="I4268" s="17" t="n">
        <v>44658</v>
      </c>
      <c r="J4268" s="17" t="n">
        <v>44658</v>
      </c>
      <c r="K4268" t="inlineStr">
        <is>
          <t>PEDIDO 22001844</t>
        </is>
      </c>
    </row>
    <row r="4269">
      <c r="A4269" t="inlineStr">
        <is>
          <t>100548</t>
        </is>
      </c>
      <c r="B4269" t="inlineStr">
        <is>
          <t>POLIMEXE CONCRETOS CONSTRUCOES E SE</t>
        </is>
      </c>
      <c r="C4269" t="n">
        <v>1191000000</v>
      </c>
      <c r="D4269" t="inlineStr">
        <is>
          <t>Operational Suppliers (Wind Farms)</t>
        </is>
      </c>
      <c r="E4269" t="n">
        <v>200033142</v>
      </c>
      <c r="F4269" t="inlineStr">
        <is>
          <t>24548</t>
        </is>
      </c>
      <c r="G4269" t="inlineStr">
        <is>
          <t>UE</t>
        </is>
      </c>
      <c r="H4269" s="12" t="n">
        <v>3215.02</v>
      </c>
      <c r="I4269" s="17" t="n">
        <v>44679</v>
      </c>
      <c r="J4269" s="17" t="n">
        <v>44679</v>
      </c>
      <c r="K4269" t="inlineStr">
        <is>
          <t>233</t>
        </is>
      </c>
    </row>
    <row r="4270">
      <c r="A4270" t="inlineStr">
        <is>
          <t>100558</t>
        </is>
      </c>
      <c r="B4270" t="inlineStr">
        <is>
          <t>REAL SERVICE TRANSPORTE E TURISMO L</t>
        </is>
      </c>
      <c r="C4270" t="n">
        <v>1191000000</v>
      </c>
      <c r="D4270" t="inlineStr">
        <is>
          <t>Other Suppliers</t>
        </is>
      </c>
      <c r="E4270" t="n">
        <v>200033143</v>
      </c>
      <c r="F4270" t="inlineStr">
        <is>
          <t>24549</t>
        </is>
      </c>
      <c r="G4270" t="inlineStr">
        <is>
          <t>UE</t>
        </is>
      </c>
      <c r="H4270" s="12" t="n">
        <v>724.46</v>
      </c>
      <c r="I4270" s="17" t="n">
        <v>44690</v>
      </c>
      <c r="J4270" s="17" t="n">
        <v>44690</v>
      </c>
      <c r="K4270" t="inlineStr">
        <is>
          <t>FTD203002</t>
        </is>
      </c>
    </row>
    <row r="4271">
      <c r="A4271" t="inlineStr">
        <is>
          <t>100566</t>
        </is>
      </c>
      <c r="B4271" t="inlineStr">
        <is>
          <t>BRASIL TERMINAL PORTUARIO S.A.</t>
        </is>
      </c>
      <c r="C4271" t="n">
        <v>1191000000</v>
      </c>
      <c r="D4271" t="inlineStr">
        <is>
          <t>Customs Brokerage – Overall</t>
        </is>
      </c>
      <c r="E4271" t="n">
        <v>200033144</v>
      </c>
      <c r="F4271" t="inlineStr">
        <is>
          <t>24550</t>
        </is>
      </c>
      <c r="G4271" t="inlineStr">
        <is>
          <t>UE</t>
        </is>
      </c>
      <c r="H4271" s="12" t="n">
        <v>2176.47</v>
      </c>
      <c r="I4271" s="17" t="n">
        <v>44916</v>
      </c>
      <c r="J4271" s="17" t="n">
        <v>44916</v>
      </c>
      <c r="K4271" t="inlineStr">
        <is>
          <t>PROTESTOS BRASIL PORTUAR</t>
        </is>
      </c>
    </row>
    <row r="4272">
      <c r="A4272" t="inlineStr">
        <is>
          <t>101334</t>
        </is>
      </c>
      <c r="B4272" t="inlineStr">
        <is>
          <t>ABRILSAN ASSES EM CART DE PROT LTDA</t>
        </is>
      </c>
      <c r="C4272" t="n">
        <v>1191000000</v>
      </c>
      <c r="D4272" t="inlineStr">
        <is>
          <t>Other Suppliers</t>
        </is>
      </c>
      <c r="E4272" t="n">
        <v>200033145</v>
      </c>
      <c r="F4272" t="inlineStr">
        <is>
          <t>24551</t>
        </is>
      </c>
      <c r="G4272" t="inlineStr">
        <is>
          <t>UE</t>
        </is>
      </c>
      <c r="H4272" s="12" t="n">
        <v>95.55</v>
      </c>
      <c r="I4272" s="17" t="n">
        <v>45083</v>
      </c>
      <c r="J4272" s="17" t="n">
        <v>45083</v>
      </c>
      <c r="K4272" t="inlineStr">
        <is>
          <t>123312001</t>
        </is>
      </c>
    </row>
    <row r="4273">
      <c r="A4273" t="inlineStr">
        <is>
          <t>101334</t>
        </is>
      </c>
      <c r="B4273" t="inlineStr">
        <is>
          <t>ABRILSAN ASSES EM CART DE PROT LTDA</t>
        </is>
      </c>
      <c r="C4273" t="n">
        <v>1191000000</v>
      </c>
      <c r="D4273" t="inlineStr">
        <is>
          <t>Other Suppliers</t>
        </is>
      </c>
      <c r="E4273" t="n">
        <v>200033146</v>
      </c>
      <c r="F4273" t="inlineStr">
        <is>
          <t>24552</t>
        </is>
      </c>
      <c r="G4273" t="inlineStr">
        <is>
          <t>UE</t>
        </is>
      </c>
      <c r="H4273" s="12" t="n">
        <v>410.97</v>
      </c>
      <c r="I4273" s="17" t="n">
        <v>45083</v>
      </c>
      <c r="J4273" s="17" t="n">
        <v>45083</v>
      </c>
      <c r="K4273" t="inlineStr">
        <is>
          <t>123320001</t>
        </is>
      </c>
    </row>
    <row r="4274">
      <c r="A4274" t="inlineStr">
        <is>
          <t>100573</t>
        </is>
      </c>
      <c r="B4274" t="inlineStr">
        <is>
          <t>FEDERAL EXPRESS CORPORATION</t>
        </is>
      </c>
      <c r="C4274" t="n">
        <v>1191000000</v>
      </c>
      <c r="D4274" t="inlineStr">
        <is>
          <t>Other Suppliers</t>
        </is>
      </c>
      <c r="E4274" t="n">
        <v>200033147</v>
      </c>
      <c r="F4274" t="inlineStr">
        <is>
          <t>24553</t>
        </is>
      </c>
      <c r="G4274" t="inlineStr">
        <is>
          <t>UE</t>
        </is>
      </c>
      <c r="H4274" s="12" t="n">
        <v>6023.31</v>
      </c>
      <c r="I4274" s="17" t="n">
        <v>44680</v>
      </c>
      <c r="J4274" s="17" t="n">
        <v>44680</v>
      </c>
      <c r="K4274" t="inlineStr">
        <is>
          <t>3686439</t>
        </is>
      </c>
    </row>
    <row r="4275">
      <c r="A4275" t="inlineStr">
        <is>
          <t>100585</t>
        </is>
      </c>
      <c r="B4275" t="inlineStr">
        <is>
          <t>MM ENERGIA CONSTRUCOES E MANUTENCOE</t>
        </is>
      </c>
      <c r="C4275" t="n">
        <v>1191000000</v>
      </c>
      <c r="D4275" t="inlineStr">
        <is>
          <t>Other Suppliers</t>
        </is>
      </c>
      <c r="E4275" t="n">
        <v>200033148</v>
      </c>
      <c r="F4275" t="inlineStr">
        <is>
          <t>24554</t>
        </is>
      </c>
      <c r="G4275" t="inlineStr">
        <is>
          <t>UE</t>
        </is>
      </c>
      <c r="H4275" s="12" t="n">
        <v>1501.74</v>
      </c>
      <c r="I4275" s="17" t="n">
        <v>44664</v>
      </c>
      <c r="J4275" s="17" t="n">
        <v>44664</v>
      </c>
      <c r="K4275" t="inlineStr">
        <is>
          <t>446</t>
        </is>
      </c>
    </row>
    <row r="4276">
      <c r="A4276" t="inlineStr">
        <is>
          <t>100585</t>
        </is>
      </c>
      <c r="B4276" t="inlineStr">
        <is>
          <t>MM ENERGIA CONSTRUCOES E MANUTENCOE</t>
        </is>
      </c>
      <c r="C4276" t="n">
        <v>1191000000</v>
      </c>
      <c r="D4276" t="inlineStr">
        <is>
          <t>Other Suppliers</t>
        </is>
      </c>
      <c r="E4276" t="n">
        <v>200033149</v>
      </c>
      <c r="F4276" t="inlineStr">
        <is>
          <t>24555</t>
        </is>
      </c>
      <c r="G4276" t="inlineStr">
        <is>
          <t>UE</t>
        </is>
      </c>
      <c r="H4276" s="12" t="n">
        <v>1501.74</v>
      </c>
      <c r="I4276" s="17" t="n">
        <v>44664</v>
      </c>
      <c r="J4276" s="17" t="n">
        <v>44664</v>
      </c>
      <c r="K4276" t="inlineStr">
        <is>
          <t>448</t>
        </is>
      </c>
    </row>
    <row r="4277">
      <c r="A4277" t="inlineStr">
        <is>
          <t>100585</t>
        </is>
      </c>
      <c r="B4277" t="inlineStr">
        <is>
          <t>MM ENERGIA CONSTRUCOES E MANUTENCOE</t>
        </is>
      </c>
      <c r="C4277" t="n">
        <v>1191000000</v>
      </c>
      <c r="D4277" t="inlineStr">
        <is>
          <t>Other Suppliers</t>
        </is>
      </c>
      <c r="E4277" t="n">
        <v>200033150</v>
      </c>
      <c r="F4277" t="inlineStr">
        <is>
          <t>24556</t>
        </is>
      </c>
      <c r="G4277" t="inlineStr">
        <is>
          <t>UE</t>
        </is>
      </c>
      <c r="H4277" s="12" t="n">
        <v>6389.33</v>
      </c>
      <c r="I4277" s="17" t="n">
        <v>44665</v>
      </c>
      <c r="J4277" s="17" t="n">
        <v>44665</v>
      </c>
      <c r="K4277" t="inlineStr">
        <is>
          <t>54</t>
        </is>
      </c>
    </row>
    <row r="4278">
      <c r="A4278" t="inlineStr">
        <is>
          <t>100585</t>
        </is>
      </c>
      <c r="B4278" t="inlineStr">
        <is>
          <t>MM ENERGIA CONSTRUCOES E MANUTENCOE</t>
        </is>
      </c>
      <c r="C4278" t="n">
        <v>1191000000</v>
      </c>
      <c r="D4278" t="inlineStr">
        <is>
          <t>Other Suppliers</t>
        </is>
      </c>
      <c r="E4278" t="n">
        <v>200033151</v>
      </c>
      <c r="F4278" t="inlineStr">
        <is>
          <t>24557</t>
        </is>
      </c>
      <c r="G4278" t="inlineStr">
        <is>
          <t>UE</t>
        </is>
      </c>
      <c r="H4278" s="12" t="n">
        <v>7304.15</v>
      </c>
      <c r="I4278" s="17" t="n">
        <v>44665</v>
      </c>
      <c r="J4278" s="17" t="n">
        <v>44665</v>
      </c>
      <c r="K4278" t="inlineStr">
        <is>
          <t>53</t>
        </is>
      </c>
    </row>
    <row r="4279">
      <c r="A4279" t="inlineStr">
        <is>
          <t>100585</t>
        </is>
      </c>
      <c r="B4279" t="inlineStr">
        <is>
          <t>MM ENERGIA CONSTRUCOES E MANUTENCOE</t>
        </is>
      </c>
      <c r="C4279" t="n">
        <v>1191000000</v>
      </c>
      <c r="D4279" t="inlineStr">
        <is>
          <t>Other Suppliers</t>
        </is>
      </c>
      <c r="E4279" t="n">
        <v>200033152</v>
      </c>
      <c r="F4279" t="inlineStr">
        <is>
          <t>24558</t>
        </is>
      </c>
      <c r="G4279" t="inlineStr">
        <is>
          <t>UE</t>
        </is>
      </c>
      <c r="H4279" s="12" t="n">
        <v>6041.74</v>
      </c>
      <c r="I4279" s="17" t="n">
        <v>44665</v>
      </c>
      <c r="J4279" s="17" t="n">
        <v>44665</v>
      </c>
      <c r="K4279" t="inlineStr">
        <is>
          <t>52</t>
        </is>
      </c>
    </row>
    <row r="4280">
      <c r="A4280" t="inlineStr">
        <is>
          <t>100585</t>
        </is>
      </c>
      <c r="B4280" t="inlineStr">
        <is>
          <t>MM ENERGIA CONSTRUCOES E MANUTENCOE</t>
        </is>
      </c>
      <c r="C4280" t="n">
        <v>1191000000</v>
      </c>
      <c r="D4280" t="inlineStr">
        <is>
          <t>Other Suppliers</t>
        </is>
      </c>
      <c r="E4280" t="n">
        <v>200033153</v>
      </c>
      <c r="F4280" t="inlineStr">
        <is>
          <t>24559</t>
        </is>
      </c>
      <c r="G4280" t="inlineStr">
        <is>
          <t>UE</t>
        </is>
      </c>
      <c r="H4280" s="12" t="n">
        <v>13902.03</v>
      </c>
      <c r="I4280" s="17" t="n">
        <v>44665</v>
      </c>
      <c r="J4280" s="17" t="n">
        <v>44665</v>
      </c>
      <c r="K4280" t="inlineStr">
        <is>
          <t>51</t>
        </is>
      </c>
    </row>
    <row r="4281">
      <c r="A4281" t="inlineStr">
        <is>
          <t>100590</t>
        </is>
      </c>
      <c r="B4281" t="inlineStr">
        <is>
          <t>WDS ENGENHARIA E LOGISTICA LTDA</t>
        </is>
      </c>
      <c r="C4281" t="n">
        <v>1191000000</v>
      </c>
      <c r="D4281" t="inlineStr">
        <is>
          <t>Other Suppliers</t>
        </is>
      </c>
      <c r="E4281" t="n">
        <v>200033154</v>
      </c>
      <c r="F4281" t="inlineStr">
        <is>
          <t>24560</t>
        </is>
      </c>
      <c r="G4281" t="inlineStr">
        <is>
          <t>UE</t>
        </is>
      </c>
      <c r="H4281" s="12" t="n">
        <v>74613.64</v>
      </c>
      <c r="I4281" s="17" t="n">
        <v>44812</v>
      </c>
      <c r="J4281" s="17" t="n">
        <v>44812</v>
      </c>
      <c r="K4281" t="inlineStr">
        <is>
          <t>3100</t>
        </is>
      </c>
    </row>
    <row r="4282">
      <c r="A4282" t="inlineStr">
        <is>
          <t>100614</t>
        </is>
      </c>
      <c r="B4282" t="inlineStr">
        <is>
          <t>SKYFOR TREINAMENTOS LTDA 39426894000111</t>
        </is>
      </c>
      <c r="C4282" t="n">
        <v>1191000000</v>
      </c>
      <c r="D4282" t="inlineStr">
        <is>
          <t>Other Suppliers</t>
        </is>
      </c>
      <c r="E4282" t="n">
        <v>200033155</v>
      </c>
      <c r="F4282" t="inlineStr">
        <is>
          <t>24561</t>
        </is>
      </c>
      <c r="G4282" t="inlineStr">
        <is>
          <t>UE</t>
        </is>
      </c>
      <c r="H4282" s="12" t="n">
        <v>19250</v>
      </c>
      <c r="I4282" s="17" t="n">
        <v>44706</v>
      </c>
      <c r="J4282" s="17" t="n">
        <v>44706</v>
      </c>
      <c r="K4282" t="inlineStr">
        <is>
          <t>23</t>
        </is>
      </c>
    </row>
    <row r="4283">
      <c r="A4283" t="inlineStr">
        <is>
          <t>101358</t>
        </is>
      </c>
      <c r="B4283" t="inlineStr">
        <is>
          <t>MUNICIPIO DE LAJES</t>
        </is>
      </c>
      <c r="C4283" t="n">
        <v>1191000000</v>
      </c>
      <c r="D4283" t="inlineStr">
        <is>
          <t>Taxes Payable</t>
        </is>
      </c>
      <c r="E4283" t="n">
        <v>200033157</v>
      </c>
      <c r="F4283" t="inlineStr">
        <is>
          <t>24563</t>
        </is>
      </c>
      <c r="G4283" t="inlineStr">
        <is>
          <t>UE</t>
        </is>
      </c>
      <c r="H4283" s="12" t="n">
        <v>-357</v>
      </c>
      <c r="I4283" s="17" t="n">
        <v>44896</v>
      </c>
      <c r="J4283" s="17" t="n">
        <v>44896</v>
      </c>
      <c r="K4283" t="inlineStr">
        <is>
          <t>20223200.</t>
        </is>
      </c>
    </row>
    <row r="4284">
      <c r="A4284" t="inlineStr">
        <is>
          <t>100419</t>
        </is>
      </c>
      <c r="B4284" t="inlineStr">
        <is>
          <t>THE WORLD HOTELS ASSESSORIA E ADM</t>
        </is>
      </c>
      <c r="C4284" t="n">
        <v>1191000000</v>
      </c>
      <c r="D4284" t="inlineStr">
        <is>
          <t>Other Suppliers</t>
        </is>
      </c>
      <c r="E4284" t="n">
        <v>200033158</v>
      </c>
      <c r="F4284" t="inlineStr">
        <is>
          <t>24564</t>
        </is>
      </c>
      <c r="G4284" t="inlineStr">
        <is>
          <t>UE</t>
        </is>
      </c>
      <c r="H4284" s="12" t="n">
        <v>59</v>
      </c>
      <c r="I4284" s="17" t="n">
        <v>44840</v>
      </c>
      <c r="J4284" s="17" t="n">
        <v>44840</v>
      </c>
      <c r="K4284" t="inlineStr">
        <is>
          <t>SCOPING WORKSHOPS CW41/42</t>
        </is>
      </c>
    </row>
    <row r="4285">
      <c r="A4285" t="inlineStr">
        <is>
          <t>102339</t>
        </is>
      </c>
      <c r="B4285" t="inlineStr">
        <is>
          <t>MELO E BARRETO CLINICA MEDICA LTDA</t>
        </is>
      </c>
      <c r="C4285" t="n">
        <v>1191000000</v>
      </c>
      <c r="D4285" t="inlineStr">
        <is>
          <t>Other Suppliers</t>
        </is>
      </c>
      <c r="E4285" t="n">
        <v>200033161</v>
      </c>
      <c r="F4285" t="inlineStr">
        <is>
          <t>24567</t>
        </is>
      </c>
      <c r="G4285" t="inlineStr">
        <is>
          <t>UE</t>
        </is>
      </c>
      <c r="H4285" s="12" t="n">
        <v>1063.83</v>
      </c>
      <c r="I4285" s="17" t="n">
        <v>44944</v>
      </c>
      <c r="J4285" s="17" t="n">
        <v>44944</v>
      </c>
      <c r="K4285" t="inlineStr">
        <is>
          <t>14</t>
        </is>
      </c>
    </row>
    <row r="4286">
      <c r="A4286" t="inlineStr">
        <is>
          <t>102472</t>
        </is>
      </c>
      <c r="B4286" t="inlineStr">
        <is>
          <t>BALASKA EQUIPE INDUSTRIA E COMERCIO</t>
        </is>
      </c>
      <c r="C4286" t="n">
        <v>1191000000</v>
      </c>
      <c r="D4286" t="inlineStr">
        <is>
          <t>Consumables Suppliers</t>
        </is>
      </c>
      <c r="E4286" t="n">
        <v>200033162</v>
      </c>
      <c r="F4286" t="inlineStr">
        <is>
          <t>24568</t>
        </is>
      </c>
      <c r="G4286" t="inlineStr">
        <is>
          <t>UE</t>
        </is>
      </c>
      <c r="H4286" s="12" t="n">
        <v>1267.79</v>
      </c>
      <c r="I4286" s="17" t="n">
        <v>44965</v>
      </c>
      <c r="J4286" s="17" t="n">
        <v>44965</v>
      </c>
      <c r="K4286" t="inlineStr">
        <is>
          <t>1759</t>
        </is>
      </c>
    </row>
    <row r="4287">
      <c r="A4287" t="inlineStr">
        <is>
          <t>103693</t>
        </is>
      </c>
      <c r="B4287" t="inlineStr">
        <is>
          <t>IMERSA AUDITORIA E CONSULTORIA LTDA</t>
        </is>
      </c>
      <c r="C4287" t="n">
        <v>1191000000</v>
      </c>
      <c r="D4287" t="inlineStr">
        <is>
          <t>Other Suppliers</t>
        </is>
      </c>
      <c r="E4287" t="n">
        <v>200033163</v>
      </c>
      <c r="F4287" t="inlineStr">
        <is>
          <t>24569</t>
        </is>
      </c>
      <c r="G4287" t="inlineStr">
        <is>
          <t>UE</t>
        </is>
      </c>
      <c r="H4287" s="12" t="n">
        <v>15050</v>
      </c>
      <c r="I4287" s="17" t="n">
        <v>45078</v>
      </c>
      <c r="J4287" s="17" t="n">
        <v>45078</v>
      </c>
      <c r="K4287" t="inlineStr">
        <is>
          <t>476</t>
        </is>
      </c>
    </row>
    <row r="4288">
      <c r="A4288" t="inlineStr">
        <is>
          <t>EM000055</t>
        </is>
      </c>
      <c r="B4288" t="inlineStr">
        <is>
          <t>VINICIUS MECCHI SILVA</t>
        </is>
      </c>
      <c r="C4288" t="n">
        <v>1191000000</v>
      </c>
      <c r="D4288" t="inlineStr">
        <is>
          <t>Nordex Employees</t>
        </is>
      </c>
      <c r="E4288" t="n">
        <v>200033721</v>
      </c>
      <c r="F4288" t="inlineStr">
        <is>
          <t>22593</t>
        </is>
      </c>
      <c r="G4288" t="inlineStr">
        <is>
          <t>UE</t>
        </is>
      </c>
      <c r="H4288" s="12" t="n">
        <v>995.4</v>
      </c>
      <c r="I4288" s="17" t="n">
        <v>44838</v>
      </c>
      <c r="J4288" s="17" t="n">
        <v>44838</v>
      </c>
      <c r="K4288" t="inlineStr">
        <is>
          <t>BENEF EDUCACIONAL 09/22</t>
        </is>
      </c>
    </row>
    <row r="4289">
      <c r="A4289" t="inlineStr">
        <is>
          <t>102053</t>
        </is>
      </c>
      <c r="B4289" t="inlineStr">
        <is>
          <t>GH DO BRASIL INDUSTRIA E COMERCIO L</t>
        </is>
      </c>
      <c r="C4289" t="n">
        <v>1191000000</v>
      </c>
      <c r="D4289" t="inlineStr">
        <is>
          <t>Operational Suppliers (Wind Farms)</t>
        </is>
      </c>
      <c r="E4289" t="n">
        <v>200033722</v>
      </c>
      <c r="F4289" t="inlineStr">
        <is>
          <t>22594</t>
        </is>
      </c>
      <c r="G4289" t="inlineStr">
        <is>
          <t>UE</t>
        </is>
      </c>
      <c r="H4289" s="12" t="n">
        <v>8.44</v>
      </c>
      <c r="I4289" s="17" t="n">
        <v>44679</v>
      </c>
      <c r="J4289" s="17" t="n">
        <v>44679</v>
      </c>
      <c r="K4289" t="inlineStr">
        <is>
          <t>ADTO COMERCIAL</t>
        </is>
      </c>
    </row>
    <row r="4290">
      <c r="A4290" t="inlineStr">
        <is>
          <t>102030</t>
        </is>
      </c>
      <c r="B4290" t="inlineStr">
        <is>
          <t>TECON SALVADOR SA</t>
        </is>
      </c>
      <c r="C4290" t="n">
        <v>1191000000</v>
      </c>
      <c r="D4290" t="inlineStr">
        <is>
          <t>Customs Brokerage – Overall</t>
        </is>
      </c>
      <c r="E4290" t="n">
        <v>200041525</v>
      </c>
      <c r="F4290" t="inlineStr">
        <is>
          <t>247892</t>
        </is>
      </c>
      <c r="G4290" t="inlineStr">
        <is>
          <t>UE</t>
        </is>
      </c>
      <c r="H4290" s="12" t="n">
        <v>51845.25</v>
      </c>
      <c r="I4290" s="17" t="n">
        <v>45228</v>
      </c>
      <c r="J4290" s="17" t="n">
        <v>45228</v>
      </c>
      <c r="K4290" t="inlineStr">
        <is>
          <t>Data Transfer TECON SALVADOR SA 247892</t>
        </is>
      </c>
    </row>
    <row r="4291">
      <c r="A4291" t="inlineStr">
        <is>
          <t>102030</t>
        </is>
      </c>
      <c r="B4291" t="inlineStr">
        <is>
          <t>TECON SALVADOR SA</t>
        </is>
      </c>
      <c r="C4291" t="n">
        <v>1191000000</v>
      </c>
      <c r="D4291" t="inlineStr">
        <is>
          <t>Customs Brokerage – Overall</t>
        </is>
      </c>
      <c r="E4291" t="n">
        <v>200041526</v>
      </c>
      <c r="F4291" t="inlineStr">
        <is>
          <t>247883</t>
        </is>
      </c>
      <c r="G4291" t="inlineStr">
        <is>
          <t>UE</t>
        </is>
      </c>
      <c r="H4291" s="12" t="n">
        <v>32040.7</v>
      </c>
      <c r="I4291" s="17" t="n">
        <v>45228</v>
      </c>
      <c r="J4291" s="17" t="n">
        <v>45228</v>
      </c>
      <c r="K4291" t="inlineStr">
        <is>
          <t>Data Transfer TECON SALVADOR SA 247883</t>
        </is>
      </c>
    </row>
    <row r="4292">
      <c r="A4292" t="inlineStr">
        <is>
          <t>102030</t>
        </is>
      </c>
      <c r="B4292" t="inlineStr">
        <is>
          <t>TECON SALVADOR SA</t>
        </is>
      </c>
      <c r="C4292" t="n">
        <v>1191000000</v>
      </c>
      <c r="D4292" t="inlineStr">
        <is>
          <t>Customs Brokerage – Overall</t>
        </is>
      </c>
      <c r="E4292" t="n">
        <v>200041527</v>
      </c>
      <c r="F4292" t="inlineStr">
        <is>
          <t>247881</t>
        </is>
      </c>
      <c r="G4292" t="inlineStr">
        <is>
          <t>UE</t>
        </is>
      </c>
      <c r="H4292" s="12" t="n">
        <v>5818.14</v>
      </c>
      <c r="I4292" s="17" t="n">
        <v>45228</v>
      </c>
      <c r="J4292" s="17" t="n">
        <v>45228</v>
      </c>
      <c r="K4292" t="inlineStr">
        <is>
          <t>Data Transfer TECON SALVADOR SA 247881</t>
        </is>
      </c>
    </row>
    <row r="4293">
      <c r="A4293" t="inlineStr">
        <is>
          <t>102030</t>
        </is>
      </c>
      <c r="B4293" t="inlineStr">
        <is>
          <t>TECON SALVADOR SA</t>
        </is>
      </c>
      <c r="C4293" t="n">
        <v>1191000000</v>
      </c>
      <c r="D4293" t="inlineStr">
        <is>
          <t>Customs Brokerage – Overall</t>
        </is>
      </c>
      <c r="E4293" t="n">
        <v>200041529</v>
      </c>
      <c r="F4293" t="inlineStr">
        <is>
          <t>247890</t>
        </is>
      </c>
      <c r="G4293" t="inlineStr">
        <is>
          <t>UE</t>
        </is>
      </c>
      <c r="H4293" s="12" t="n">
        <v>4728.77</v>
      </c>
      <c r="I4293" s="17" t="n">
        <v>45228</v>
      </c>
      <c r="J4293" s="17" t="n">
        <v>45228</v>
      </c>
      <c r="K4293" t="inlineStr">
        <is>
          <t>Data Transfer TECON SALVADOR SA 247890</t>
        </is>
      </c>
    </row>
    <row r="4294">
      <c r="A4294" t="inlineStr">
        <is>
          <t>102030</t>
        </is>
      </c>
      <c r="B4294" t="inlineStr">
        <is>
          <t>TECON SALVADOR SA</t>
        </is>
      </c>
      <c r="C4294" t="n">
        <v>1191000000</v>
      </c>
      <c r="D4294" t="inlineStr">
        <is>
          <t>Customs Brokerage – Overall</t>
        </is>
      </c>
      <c r="E4294" t="n">
        <v>200041530</v>
      </c>
      <c r="F4294" t="inlineStr">
        <is>
          <t>247891</t>
        </is>
      </c>
      <c r="G4294" t="inlineStr">
        <is>
          <t>UE</t>
        </is>
      </c>
      <c r="H4294" s="12" t="n">
        <v>2577.56</v>
      </c>
      <c r="I4294" s="17" t="n">
        <v>45228</v>
      </c>
      <c r="J4294" s="17" t="n">
        <v>45228</v>
      </c>
      <c r="K4294" t="inlineStr">
        <is>
          <t>Data Transfer TECON SALVADOR SA 247891</t>
        </is>
      </c>
    </row>
    <row r="4295">
      <c r="A4295" t="inlineStr">
        <is>
          <t>102099</t>
        </is>
      </c>
      <c r="B4295" t="inlineStr">
        <is>
          <t>INGRAM MICRO BRASIL LTDA</t>
        </is>
      </c>
      <c r="C4295" t="n">
        <v>1191000000</v>
      </c>
      <c r="D4295" t="inlineStr">
        <is>
          <t>Other Suppliers</t>
        </is>
      </c>
      <c r="E4295" t="n">
        <v>1100000226</v>
      </c>
      <c r="F4295" t="inlineStr">
        <is>
          <t>0437699</t>
        </is>
      </c>
      <c r="G4295" t="inlineStr">
        <is>
          <t>AB</t>
        </is>
      </c>
      <c r="H4295" s="12" t="n">
        <v>793.65</v>
      </c>
      <c r="I4295" s="17" t="n">
        <v>45682</v>
      </c>
      <c r="J4295" s="17" t="n">
        <v>45682</v>
      </c>
      <c r="K4295" t="inlineStr">
        <is>
          <t>Partida individual INGRAM MICRO BRASIL LTDA 043769</t>
        </is>
      </c>
    </row>
    <row r="4296">
      <c r="A4296" t="inlineStr">
        <is>
          <t>101334</t>
        </is>
      </c>
      <c r="B4296" t="inlineStr">
        <is>
          <t>ABRILSAN ASSES EM CART DE PROT LTDA</t>
        </is>
      </c>
      <c r="C4296" t="n">
        <v>1191000000</v>
      </c>
      <c r="D4296" t="inlineStr">
        <is>
          <t>Other Suppliers</t>
        </is>
      </c>
      <c r="E4296" t="n">
        <v>1100000385</v>
      </c>
      <c r="G4296" t="inlineStr">
        <is>
          <t>AB</t>
        </is>
      </c>
      <c r="H4296" s="12" t="n">
        <v>-317.53</v>
      </c>
      <c r="I4296" s="17" t="n">
        <v>45680</v>
      </c>
      <c r="J4296" s="17" t="n">
        <v>45680</v>
      </c>
      <c r="K4296" t="inlineStr">
        <is>
          <t>Clearing document ABRILSAN ASSES EM CART DE PROT L</t>
        </is>
      </c>
    </row>
    <row r="4297">
      <c r="A4297" t="inlineStr">
        <is>
          <t>103767</t>
        </is>
      </c>
      <c r="B4297" t="inlineStr">
        <is>
          <t>ROBERT HALF TRABALHO TEMPORARIO</t>
        </is>
      </c>
      <c r="C4297" t="n">
        <v>1191000000</v>
      </c>
      <c r="D4297" t="inlineStr">
        <is>
          <t>Other Suppliers</t>
        </is>
      </c>
      <c r="E4297" t="n">
        <v>1100000640</v>
      </c>
      <c r="F4297" t="inlineStr">
        <is>
          <t>067317</t>
        </is>
      </c>
      <c r="G4297" t="inlineStr">
        <is>
          <t>AB</t>
        </is>
      </c>
      <c r="H4297" s="12" t="n">
        <v>747.13</v>
      </c>
      <c r="I4297" s="17" t="n">
        <v>45703</v>
      </c>
      <c r="J4297" s="17" t="n">
        <v>45703</v>
      </c>
      <c r="K4297" t="inlineStr">
        <is>
          <t>Partida individual ROBERT HALF TRABALHO TEMPORARIO</t>
        </is>
      </c>
    </row>
    <row r="4298">
      <c r="A4298" t="inlineStr">
        <is>
          <t>103767</t>
        </is>
      </c>
      <c r="B4298" t="inlineStr">
        <is>
          <t>ROBERT HALF TRABALHO TEMPORARIO</t>
        </is>
      </c>
      <c r="C4298" t="n">
        <v>1191000000</v>
      </c>
      <c r="D4298" t="inlineStr">
        <is>
          <t>Other Suppliers</t>
        </is>
      </c>
      <c r="E4298" t="n">
        <v>1100000641</v>
      </c>
      <c r="F4298" t="inlineStr">
        <is>
          <t>067879</t>
        </is>
      </c>
      <c r="G4298" t="inlineStr">
        <is>
          <t>AB</t>
        </is>
      </c>
      <c r="H4298" s="12" t="n">
        <v>709.92</v>
      </c>
      <c r="I4298" s="17" t="n">
        <v>45703</v>
      </c>
      <c r="J4298" s="17" t="n">
        <v>45703</v>
      </c>
      <c r="K4298" t="inlineStr">
        <is>
          <t>Partida individual ROBERT HALF TRABALHO TEMPORARIO</t>
        </is>
      </c>
    </row>
    <row r="4299">
      <c r="A4299" t="inlineStr">
        <is>
          <t>100379</t>
        </is>
      </c>
      <c r="B4299" t="inlineStr">
        <is>
          <t>RAK LOG TRANSPORTES E LOGISTICA EIR</t>
        </is>
      </c>
      <c r="C4299" t="n">
        <v>1191000000</v>
      </c>
      <c r="D4299" t="inlineStr">
        <is>
          <t>Operational Suppliers (Wind Farms)</t>
        </is>
      </c>
      <c r="E4299" t="n">
        <v>1100000711</v>
      </c>
      <c r="F4299" t="inlineStr">
        <is>
          <t>247769</t>
        </is>
      </c>
      <c r="G4299" t="inlineStr">
        <is>
          <t>AB</t>
        </is>
      </c>
      <c r="H4299" s="12" t="n">
        <v>597.49</v>
      </c>
      <c r="I4299" s="17" t="n">
        <v>45709</v>
      </c>
      <c r="J4299" s="17" t="n">
        <v>45709</v>
      </c>
      <c r="K4299" t="inlineStr">
        <is>
          <t>Partida individual RAK LOG TRANSPORTES E LOGISTICA</t>
        </is>
      </c>
    </row>
    <row r="4300">
      <c r="A4300" t="inlineStr">
        <is>
          <t>105984</t>
        </is>
      </c>
      <c r="B4300" t="inlineStr">
        <is>
          <t>TRADEWORKS SERVICOS DE COMERCIO EXT 04955748000107</t>
        </is>
      </c>
      <c r="C4300" t="n">
        <v>1191000000</v>
      </c>
      <c r="D4300" t="inlineStr">
        <is>
          <t>Customs Brokerage – Overall</t>
        </is>
      </c>
      <c r="E4300" t="n">
        <v>1100004559</v>
      </c>
      <c r="F4300" t="inlineStr">
        <is>
          <t>0953/25</t>
        </is>
      </c>
      <c r="G4300" t="inlineStr">
        <is>
          <t>AB</t>
        </is>
      </c>
      <c r="H4300" s="12" t="n">
        <v>716487.97</v>
      </c>
      <c r="I4300" s="17" t="n">
        <v>46055</v>
      </c>
      <c r="J4300" s="17" t="n">
        <v>46029</v>
      </c>
      <c r="K4300" t="inlineStr">
        <is>
          <t>Partida individual TRADEWORKS SERVICOS DE COMERCIO</t>
        </is>
      </c>
    </row>
    <row r="4301">
      <c r="A4301" t="inlineStr">
        <is>
          <t>105984</t>
        </is>
      </c>
      <c r="B4301" t="inlineStr">
        <is>
          <t>TRADEWORKS SERVICOS DE COMERCIO EXT 04955748000107</t>
        </is>
      </c>
      <c r="C4301" t="n">
        <v>1191000000</v>
      </c>
      <c r="D4301" t="inlineStr">
        <is>
          <t>Customs Brokerage – Overall</t>
        </is>
      </c>
      <c r="E4301" t="n">
        <v>1100004577</v>
      </c>
      <c r="F4301" t="inlineStr">
        <is>
          <t>0786/25</t>
        </is>
      </c>
      <c r="G4301" t="inlineStr">
        <is>
          <t>AB</t>
        </is>
      </c>
      <c r="H4301" s="12" t="n">
        <v>3288.87</v>
      </c>
      <c r="I4301" s="17" t="n">
        <v>46057</v>
      </c>
      <c r="J4301" s="17" t="n">
        <v>45945</v>
      </c>
      <c r="K4301" t="inlineStr">
        <is>
          <t>Partida individual TRADEWORKS SERVICOS DE COMERCIO</t>
        </is>
      </c>
    </row>
    <row r="4302">
      <c r="A4302" t="inlineStr">
        <is>
          <t>105984</t>
        </is>
      </c>
      <c r="B4302" t="inlineStr">
        <is>
          <t>TRADEWORKS SERVICOS DE COMERCIO EXT 04955748000107</t>
        </is>
      </c>
      <c r="C4302" t="n">
        <v>1191000000</v>
      </c>
      <c r="D4302" t="inlineStr">
        <is>
          <t>Customs Brokerage – Overall</t>
        </is>
      </c>
      <c r="E4302" t="n">
        <v>1100007162</v>
      </c>
      <c r="F4302" t="inlineStr">
        <is>
          <t>0035/26</t>
        </is>
      </c>
      <c r="G4302" t="inlineStr">
        <is>
          <t>AB</t>
        </is>
      </c>
      <c r="H4302" s="12" t="n">
        <v>58227.91</v>
      </c>
      <c r="I4302" s="17" t="n">
        <v>46100</v>
      </c>
      <c r="J4302" s="17" t="n">
        <v>46057</v>
      </c>
      <c r="K4302" t="inlineStr">
        <is>
          <t>Partida individual TRADEWORKS SERVICOS DE COMERCIO</t>
        </is>
      </c>
    </row>
    <row r="4303">
      <c r="A4303" t="inlineStr">
        <is>
          <t>101071</t>
        </is>
      </c>
      <c r="B4303" t="inlineStr">
        <is>
          <t>CUSTOM COMERCIO INTERNACIONAL LTDA</t>
        </is>
      </c>
      <c r="C4303" t="n">
        <v>1191000000</v>
      </c>
      <c r="D4303" t="inlineStr">
        <is>
          <t>Customs Brokerage – Overall</t>
        </is>
      </c>
      <c r="E4303" t="n">
        <v>1100008611</v>
      </c>
      <c r="F4303" t="inlineStr">
        <is>
          <t>CAJUII057A</t>
        </is>
      </c>
      <c r="G4303" t="inlineStr">
        <is>
          <t>AB</t>
        </is>
      </c>
      <c r="H4303" s="12" t="n">
        <v>32841.89</v>
      </c>
      <c r="I4303" s="17" t="n">
        <v>46113</v>
      </c>
      <c r="J4303" s="17" t="n">
        <v>45061</v>
      </c>
      <c r="K4303" t="inlineStr">
        <is>
          <t>CUSTOM A DEVOLVER</t>
        </is>
      </c>
    </row>
    <row r="4304">
      <c r="A4304" t="inlineStr">
        <is>
          <t>101071</t>
        </is>
      </c>
      <c r="B4304" t="inlineStr">
        <is>
          <t>CUSTOM COMERCIO INTERNACIONAL LTDA</t>
        </is>
      </c>
      <c r="C4304" t="n">
        <v>1191000000</v>
      </c>
      <c r="D4304" t="inlineStr">
        <is>
          <t>Customs Brokerage – Overall</t>
        </is>
      </c>
      <c r="E4304" t="n">
        <v>1100008697</v>
      </c>
      <c r="F4304" t="inlineStr">
        <is>
          <t>OEM0242</t>
        </is>
      </c>
      <c r="G4304" t="inlineStr">
        <is>
          <t>AB</t>
        </is>
      </c>
      <c r="H4304" s="12" t="n">
        <v>36767.38</v>
      </c>
      <c r="I4304" s="17" t="n">
        <v>46113</v>
      </c>
      <c r="J4304" s="17" t="n">
        <v>44984</v>
      </c>
      <c r="K4304" t="inlineStr">
        <is>
          <t>CUSTOM A DEVOLVER</t>
        </is>
      </c>
    </row>
    <row r="4305">
      <c r="A4305" t="inlineStr">
        <is>
          <t>101071</t>
        </is>
      </c>
      <c r="B4305" t="inlineStr">
        <is>
          <t>CUSTOM COMERCIO INTERNACIONAL LTDA</t>
        </is>
      </c>
      <c r="C4305" t="n">
        <v>1191000000</v>
      </c>
      <c r="D4305" t="inlineStr">
        <is>
          <t>Customs Brokerage – Overall</t>
        </is>
      </c>
      <c r="E4305" t="n">
        <v>1100008698</v>
      </c>
      <c r="F4305" t="inlineStr">
        <is>
          <t>VESA045U</t>
        </is>
      </c>
      <c r="G4305" t="inlineStr">
        <is>
          <t>AB</t>
        </is>
      </c>
      <c r="H4305" s="12" t="n">
        <v>17510.64</v>
      </c>
      <c r="I4305" s="17" t="n">
        <v>46113</v>
      </c>
      <c r="J4305" s="17" t="n">
        <v>44974</v>
      </c>
      <c r="K4305" t="inlineStr">
        <is>
          <t>CUSTOM A DEVOLVER</t>
        </is>
      </c>
    </row>
    <row r="4306">
      <c r="A4306" t="inlineStr">
        <is>
          <t>101071</t>
        </is>
      </c>
      <c r="B4306" t="inlineStr">
        <is>
          <t>CUSTOM COMERCIO INTERNACIONAL LTDA</t>
        </is>
      </c>
      <c r="C4306" t="n">
        <v>1191000000</v>
      </c>
      <c r="D4306" t="inlineStr">
        <is>
          <t>Customs Brokerage – Overall</t>
        </is>
      </c>
      <c r="E4306" t="n">
        <v>1100008699</v>
      </c>
      <c r="F4306" t="inlineStr">
        <is>
          <t>96011270</t>
        </is>
      </c>
      <c r="G4306" t="inlineStr">
        <is>
          <t>AB</t>
        </is>
      </c>
      <c r="H4306" s="12" t="n">
        <v>33974.73</v>
      </c>
      <c r="I4306" s="17" t="n">
        <v>46113</v>
      </c>
      <c r="J4306" s="17" t="n">
        <v>45068</v>
      </c>
      <c r="K4306" t="inlineStr">
        <is>
          <t>CUSTOM A DEVOLVER</t>
        </is>
      </c>
    </row>
    <row r="4307">
      <c r="A4307" t="inlineStr">
        <is>
          <t>101071</t>
        </is>
      </c>
      <c r="B4307" t="inlineStr">
        <is>
          <t>CUSTOM COMERCIO INTERNACIONAL LTDA</t>
        </is>
      </c>
      <c r="C4307" t="n">
        <v>1191000000</v>
      </c>
      <c r="D4307" t="inlineStr">
        <is>
          <t>Customs Brokerage – Overall</t>
        </is>
      </c>
      <c r="E4307" t="n">
        <v>1100008700</v>
      </c>
      <c r="F4307" t="inlineStr">
        <is>
          <t>96011110</t>
        </is>
      </c>
      <c r="G4307" t="inlineStr">
        <is>
          <t>AB</t>
        </is>
      </c>
      <c r="H4307" s="12" t="n">
        <v>28972.13</v>
      </c>
      <c r="I4307" s="17" t="n">
        <v>46113</v>
      </c>
      <c r="J4307" s="17" t="n">
        <v>45050</v>
      </c>
      <c r="K4307" t="inlineStr">
        <is>
          <t>CUSTOM A DEVOLVER</t>
        </is>
      </c>
    </row>
    <row r="4308">
      <c r="A4308" t="inlineStr">
        <is>
          <t>101071</t>
        </is>
      </c>
      <c r="B4308" t="inlineStr">
        <is>
          <t>CUSTOM COMERCIO INTERNACIONAL LTDA</t>
        </is>
      </c>
      <c r="C4308" t="n">
        <v>1191000000</v>
      </c>
      <c r="D4308" t="inlineStr">
        <is>
          <t>Customs Brokerage – Overall</t>
        </is>
      </c>
      <c r="E4308" t="n">
        <v>1100008701</v>
      </c>
      <c r="F4308" t="inlineStr">
        <is>
          <t>OEM0270</t>
        </is>
      </c>
      <c r="G4308" t="inlineStr">
        <is>
          <t>AB</t>
        </is>
      </c>
      <c r="H4308" s="12" t="n">
        <v>30918.22</v>
      </c>
      <c r="I4308" s="17" t="n">
        <v>46113</v>
      </c>
      <c r="J4308" s="17" t="n">
        <v>45036</v>
      </c>
      <c r="K4308" t="inlineStr">
        <is>
          <t>CUSTOM A DEVOLVER</t>
        </is>
      </c>
    </row>
    <row r="4309">
      <c r="A4309" t="inlineStr">
        <is>
          <t>101071</t>
        </is>
      </c>
      <c r="B4309" t="inlineStr">
        <is>
          <t>CUSTOM COMERCIO INTERNACIONAL LTDA</t>
        </is>
      </c>
      <c r="C4309" t="n">
        <v>1191000000</v>
      </c>
      <c r="D4309" t="inlineStr">
        <is>
          <t>Customs Brokerage – Overall</t>
        </is>
      </c>
      <c r="E4309" t="n">
        <v>1100008702</v>
      </c>
      <c r="F4309" t="inlineStr">
        <is>
          <t>4012330149</t>
        </is>
      </c>
      <c r="G4309" t="inlineStr">
        <is>
          <t>AB</t>
        </is>
      </c>
      <c r="H4309" s="12" t="n">
        <v>32771.66</v>
      </c>
      <c r="I4309" s="17" t="n">
        <v>46113</v>
      </c>
      <c r="J4309" s="17" t="n">
        <v>45041</v>
      </c>
      <c r="K4309" t="inlineStr">
        <is>
          <t>CUSTOM A DEVOLVER</t>
        </is>
      </c>
    </row>
    <row r="4310">
      <c r="A4310" t="inlineStr">
        <is>
          <t>101071</t>
        </is>
      </c>
      <c r="B4310" t="inlineStr">
        <is>
          <t>CUSTOM COMERCIO INTERNACIONAL LTDA</t>
        </is>
      </c>
      <c r="C4310" t="n">
        <v>1191000000</v>
      </c>
      <c r="D4310" t="inlineStr">
        <is>
          <t>Customs Brokerage – Overall</t>
        </is>
      </c>
      <c r="E4310" t="n">
        <v>1100008703</v>
      </c>
      <c r="F4310" t="inlineStr">
        <is>
          <t>SO 71355-2300023</t>
        </is>
      </c>
      <c r="G4310" t="inlineStr">
        <is>
          <t>AB</t>
        </is>
      </c>
      <c r="H4310" s="12" t="n">
        <v>25876.18</v>
      </c>
      <c r="I4310" s="17" t="n">
        <v>46113</v>
      </c>
      <c r="J4310" s="17" t="n">
        <v>45033</v>
      </c>
      <c r="K4310" t="inlineStr">
        <is>
          <t>CUSTOM A DEVOLVER</t>
        </is>
      </c>
    </row>
    <row r="4311">
      <c r="A4311" t="inlineStr">
        <is>
          <t>101071</t>
        </is>
      </c>
      <c r="B4311" t="inlineStr">
        <is>
          <t>CUSTOM COMERCIO INTERNACIONAL LTDA</t>
        </is>
      </c>
      <c r="C4311" t="n">
        <v>1191000000</v>
      </c>
      <c r="D4311" t="inlineStr">
        <is>
          <t>Customs Brokerage – Overall</t>
        </is>
      </c>
      <c r="E4311" t="n">
        <v>1100008704</v>
      </c>
      <c r="F4311" t="inlineStr">
        <is>
          <t>96010118</t>
        </is>
      </c>
      <c r="G4311" t="inlineStr">
        <is>
          <t>AB</t>
        </is>
      </c>
      <c r="H4311" s="12" t="n">
        <v>25856.56</v>
      </c>
      <c r="I4311" s="17" t="n">
        <v>46113</v>
      </c>
      <c r="J4311" s="17" t="n">
        <v>45009</v>
      </c>
      <c r="K4311" t="inlineStr">
        <is>
          <t>CUSTOM A DEVOLVER</t>
        </is>
      </c>
    </row>
    <row r="4312">
      <c r="A4312" t="inlineStr">
        <is>
          <t>101071</t>
        </is>
      </c>
      <c r="B4312" t="inlineStr">
        <is>
          <t>CUSTOM COMERCIO INTERNACIONAL LTDA</t>
        </is>
      </c>
      <c r="C4312" t="n">
        <v>1191000000</v>
      </c>
      <c r="D4312" t="inlineStr">
        <is>
          <t>Customs Brokerage – Overall</t>
        </is>
      </c>
      <c r="E4312" t="n">
        <v>1100008708</v>
      </c>
      <c r="F4312" t="inlineStr">
        <is>
          <t>CAJU066A</t>
        </is>
      </c>
      <c r="G4312" t="inlineStr">
        <is>
          <t>AB</t>
        </is>
      </c>
      <c r="H4312" s="12" t="n">
        <v>30426.47</v>
      </c>
      <c r="I4312" s="17" t="n">
        <v>46113</v>
      </c>
      <c r="J4312" s="17" t="n">
        <v>44995</v>
      </c>
      <c r="K4312" t="inlineStr">
        <is>
          <t>CUSTOM A DEVOLVER</t>
        </is>
      </c>
    </row>
    <row r="4313">
      <c r="A4313" t="inlineStr">
        <is>
          <t>101071</t>
        </is>
      </c>
      <c r="B4313" t="inlineStr">
        <is>
          <t>CUSTOM COMERCIO INTERNACIONAL LTDA</t>
        </is>
      </c>
      <c r="C4313" t="n">
        <v>1191000000</v>
      </c>
      <c r="D4313" t="inlineStr">
        <is>
          <t>Customs Brokerage – Overall</t>
        </is>
      </c>
      <c r="E4313" t="n">
        <v>1100008710</v>
      </c>
      <c r="F4313" t="inlineStr">
        <is>
          <t>CAJUII011T1</t>
        </is>
      </c>
      <c r="G4313" t="inlineStr">
        <is>
          <t>AB</t>
        </is>
      </c>
      <c r="H4313" s="12" t="n">
        <v>27106.09</v>
      </c>
      <c r="I4313" s="17" t="n">
        <v>46113</v>
      </c>
      <c r="J4313" s="17" t="n">
        <v>44986</v>
      </c>
      <c r="K4313" t="inlineStr">
        <is>
          <t>CUSTOM A DEVOLVER</t>
        </is>
      </c>
    </row>
    <row r="4314">
      <c r="A4314" t="inlineStr">
        <is>
          <t>101071</t>
        </is>
      </c>
      <c r="B4314" t="inlineStr">
        <is>
          <t>CUSTOM COMERCIO INTERNACIONAL LTDA</t>
        </is>
      </c>
      <c r="C4314" t="n">
        <v>1191000000</v>
      </c>
      <c r="D4314" t="inlineStr">
        <is>
          <t>Customs Brokerage – Overall</t>
        </is>
      </c>
      <c r="E4314" t="n">
        <v>1100008716</v>
      </c>
      <c r="F4314" t="inlineStr">
        <is>
          <t>LDVV011A1</t>
        </is>
      </c>
      <c r="G4314" t="inlineStr">
        <is>
          <t>AB</t>
        </is>
      </c>
      <c r="H4314" s="12" t="n">
        <v>32126.19</v>
      </c>
      <c r="I4314" s="17" t="n">
        <v>46113</v>
      </c>
      <c r="J4314" s="17" t="n">
        <v>44931</v>
      </c>
      <c r="K4314" t="inlineStr">
        <is>
          <t>CUSTOM A DEVOLVER</t>
        </is>
      </c>
    </row>
    <row r="4315">
      <c r="A4315" t="inlineStr">
        <is>
          <t>101071</t>
        </is>
      </c>
      <c r="B4315" t="inlineStr">
        <is>
          <t>CUSTOM COMERCIO INTERNACIONAL LTDA</t>
        </is>
      </c>
      <c r="C4315" t="n">
        <v>1191000000</v>
      </c>
      <c r="D4315" t="inlineStr">
        <is>
          <t>Customs Brokerage – Overall</t>
        </is>
      </c>
      <c r="E4315" t="n">
        <v>1100008721</v>
      </c>
      <c r="F4315" t="inlineStr">
        <is>
          <t>OEM0272</t>
        </is>
      </c>
      <c r="G4315" t="inlineStr">
        <is>
          <t>AB</t>
        </is>
      </c>
      <c r="H4315" s="12" t="n">
        <v>22706.63</v>
      </c>
      <c r="I4315" s="17" t="n">
        <v>46113</v>
      </c>
      <c r="J4315" s="17" t="n">
        <v>45036</v>
      </c>
      <c r="K4315" t="inlineStr">
        <is>
          <t>CUSTOM A DEVOLVER</t>
        </is>
      </c>
    </row>
    <row r="4316">
      <c r="A4316" t="inlineStr">
        <is>
          <t>101071</t>
        </is>
      </c>
      <c r="B4316" t="inlineStr">
        <is>
          <t>CUSTOM COMERCIO INTERNACIONAL LTDA</t>
        </is>
      </c>
      <c r="C4316" t="n">
        <v>1191000000</v>
      </c>
      <c r="D4316" t="inlineStr">
        <is>
          <t>Customs Brokerage – Overall</t>
        </is>
      </c>
      <c r="E4316" t="n">
        <v>1100008722</v>
      </c>
      <c r="F4316" t="inlineStr">
        <is>
          <t>OEM0297</t>
        </is>
      </c>
      <c r="G4316" t="inlineStr">
        <is>
          <t>AB</t>
        </is>
      </c>
      <c r="H4316" s="12" t="n">
        <v>21880.11</v>
      </c>
      <c r="I4316" s="17" t="n">
        <v>46113</v>
      </c>
      <c r="J4316" s="17" t="n">
        <v>45061</v>
      </c>
      <c r="K4316" t="inlineStr">
        <is>
          <t>CUSTOM A DEVOLVER</t>
        </is>
      </c>
    </row>
    <row r="4317">
      <c r="A4317" t="inlineStr">
        <is>
          <t>101071</t>
        </is>
      </c>
      <c r="B4317" t="inlineStr">
        <is>
          <t>CUSTOM COMERCIO INTERNACIONAL LTDA</t>
        </is>
      </c>
      <c r="C4317" t="n">
        <v>1191000000</v>
      </c>
      <c r="D4317" t="inlineStr">
        <is>
          <t>Customs Brokerage – Overall</t>
        </is>
      </c>
      <c r="E4317" t="n">
        <v>1100008723</v>
      </c>
      <c r="F4317" t="inlineStr">
        <is>
          <t>4012326909</t>
        </is>
      </c>
      <c r="G4317" t="inlineStr">
        <is>
          <t>AB</t>
        </is>
      </c>
      <c r="H4317" s="12" t="n">
        <v>22865.04</v>
      </c>
      <c r="I4317" s="17" t="n">
        <v>46113</v>
      </c>
      <c r="J4317" s="17" t="n">
        <v>45020</v>
      </c>
      <c r="K4317" t="inlineStr">
        <is>
          <t>CUSTOM A DEVOLVER</t>
        </is>
      </c>
    </row>
    <row r="4318">
      <c r="A4318" t="inlineStr">
        <is>
          <t>101071</t>
        </is>
      </c>
      <c r="B4318" t="inlineStr">
        <is>
          <t>CUSTOM COMERCIO INTERNACIONAL LTDA</t>
        </is>
      </c>
      <c r="C4318" t="n">
        <v>1191000000</v>
      </c>
      <c r="D4318" t="inlineStr">
        <is>
          <t>Customs Brokerage – Overall</t>
        </is>
      </c>
      <c r="E4318" t="n">
        <v>1100008724</v>
      </c>
      <c r="F4318" t="inlineStr">
        <is>
          <t>VESA070A</t>
        </is>
      </c>
      <c r="G4318" t="inlineStr">
        <is>
          <t>AB</t>
        </is>
      </c>
      <c r="H4318" s="12" t="n">
        <v>19733.69</v>
      </c>
      <c r="I4318" s="17" t="n">
        <v>46113</v>
      </c>
      <c r="J4318" s="17" t="n">
        <v>45007</v>
      </c>
      <c r="K4318" t="inlineStr">
        <is>
          <t>CUSTOM A DEVOLVER</t>
        </is>
      </c>
    </row>
    <row r="4319">
      <c r="A4319" t="inlineStr">
        <is>
          <t>101071</t>
        </is>
      </c>
      <c r="B4319" t="inlineStr">
        <is>
          <t>CUSTOM COMERCIO INTERNACIONAL LTDA</t>
        </is>
      </c>
      <c r="C4319" t="n">
        <v>1191000000</v>
      </c>
      <c r="D4319" t="inlineStr">
        <is>
          <t>Customs Brokerage – Overall</t>
        </is>
      </c>
      <c r="E4319" t="n">
        <v>1100008725</v>
      </c>
      <c r="F4319" t="inlineStr">
        <is>
          <t>4012324642</t>
        </is>
      </c>
      <c r="G4319" t="inlineStr">
        <is>
          <t>AB</t>
        </is>
      </c>
      <c r="H4319" s="12" t="n">
        <v>18924.59</v>
      </c>
      <c r="I4319" s="17" t="n">
        <v>46113</v>
      </c>
      <c r="J4319" s="17" t="n">
        <v>45007</v>
      </c>
      <c r="K4319" t="inlineStr">
        <is>
          <t>CUSTOM A DEVOLVER</t>
        </is>
      </c>
    </row>
    <row r="4320">
      <c r="A4320" t="inlineStr">
        <is>
          <t>101071</t>
        </is>
      </c>
      <c r="B4320" t="inlineStr">
        <is>
          <t>CUSTOM COMERCIO INTERNACIONAL LTDA</t>
        </is>
      </c>
      <c r="C4320" t="n">
        <v>1191000000</v>
      </c>
      <c r="D4320" t="inlineStr">
        <is>
          <t>Customs Brokerage – Overall</t>
        </is>
      </c>
      <c r="E4320" t="n">
        <v>1100008730</v>
      </c>
      <c r="F4320" t="inlineStr">
        <is>
          <t>OEM0196</t>
        </is>
      </c>
      <c r="G4320" t="inlineStr">
        <is>
          <t>AB</t>
        </is>
      </c>
      <c r="H4320" s="12" t="n">
        <v>38259.07</v>
      </c>
      <c r="I4320" s="17" t="n">
        <v>46113</v>
      </c>
      <c r="J4320" s="17" t="n">
        <v>44890</v>
      </c>
      <c r="K4320" t="inlineStr">
        <is>
          <t>CUSTOM A DEVOLVER</t>
        </is>
      </c>
    </row>
    <row r="4321">
      <c r="A4321" t="inlineStr">
        <is>
          <t>101071</t>
        </is>
      </c>
      <c r="B4321" t="inlineStr">
        <is>
          <t>CUSTOM COMERCIO INTERNACIONAL LTDA</t>
        </is>
      </c>
      <c r="C4321" t="n">
        <v>1191000000</v>
      </c>
      <c r="D4321" t="inlineStr">
        <is>
          <t>Customs Brokerage – Overall</t>
        </is>
      </c>
      <c r="E4321" t="n">
        <v>1100008731</v>
      </c>
      <c r="F4321" t="inlineStr">
        <is>
          <t>OEM0189</t>
        </is>
      </c>
      <c r="G4321" t="inlineStr">
        <is>
          <t>AB</t>
        </is>
      </c>
      <c r="H4321" s="12" t="n">
        <v>33458.7</v>
      </c>
      <c r="I4321" s="17" t="n">
        <v>46113</v>
      </c>
      <c r="J4321" s="17" t="n">
        <v>44882</v>
      </c>
      <c r="K4321" t="inlineStr">
        <is>
          <t>CUSTOM A DEVOLVER</t>
        </is>
      </c>
    </row>
    <row r="4322">
      <c r="A4322" t="inlineStr">
        <is>
          <t>101071</t>
        </is>
      </c>
      <c r="B4322" t="inlineStr">
        <is>
          <t>CUSTOM COMERCIO INTERNACIONAL LTDA</t>
        </is>
      </c>
      <c r="C4322" t="n">
        <v>1191000000</v>
      </c>
      <c r="D4322" t="inlineStr">
        <is>
          <t>Customs Brokerage – Overall</t>
        </is>
      </c>
      <c r="E4322" t="n">
        <v>1100008732</v>
      </c>
      <c r="F4322" t="inlineStr">
        <is>
          <t>OEM0164</t>
        </is>
      </c>
      <c r="G4322" t="inlineStr">
        <is>
          <t>AB</t>
        </is>
      </c>
      <c r="H4322" s="12" t="n">
        <v>40747.75</v>
      </c>
      <c r="I4322" s="17" t="n">
        <v>46113</v>
      </c>
      <c r="J4322" s="17" t="n">
        <v>44853</v>
      </c>
      <c r="K4322" t="inlineStr">
        <is>
          <t>CUSTOM A DEVOLVER</t>
        </is>
      </c>
    </row>
    <row r="4323">
      <c r="A4323" t="inlineStr">
        <is>
          <t>101071</t>
        </is>
      </c>
      <c r="B4323" t="inlineStr">
        <is>
          <t>CUSTOM COMERCIO INTERNACIONAL LTDA</t>
        </is>
      </c>
      <c r="C4323" t="n">
        <v>1191000000</v>
      </c>
      <c r="D4323" t="inlineStr">
        <is>
          <t>Customs Brokerage – Overall</t>
        </is>
      </c>
      <c r="E4323" t="n">
        <v>1100008740</v>
      </c>
      <c r="F4323" t="inlineStr">
        <is>
          <t>AERIS0015</t>
        </is>
      </c>
      <c r="G4323" t="inlineStr">
        <is>
          <t>AB</t>
        </is>
      </c>
      <c r="H4323" s="12" t="n">
        <v>42680.08</v>
      </c>
      <c r="I4323" s="17" t="n">
        <v>46113</v>
      </c>
      <c r="J4323" s="17" t="n">
        <v>44797</v>
      </c>
      <c r="K4323" t="inlineStr">
        <is>
          <t>CUSTOM A DEVOLVER</t>
        </is>
      </c>
    </row>
    <row r="4324">
      <c r="A4324" t="inlineStr">
        <is>
          <t>101071</t>
        </is>
      </c>
      <c r="B4324" t="inlineStr">
        <is>
          <t>CUSTOM COMERCIO INTERNACIONAL LTDA</t>
        </is>
      </c>
      <c r="C4324" t="n">
        <v>1191000000</v>
      </c>
      <c r="D4324" t="inlineStr">
        <is>
          <t>Customs Brokerage – Overall</t>
        </is>
      </c>
      <c r="E4324" t="n">
        <v>1100008743</v>
      </c>
      <c r="F4324" t="inlineStr">
        <is>
          <t>4010005742</t>
        </is>
      </c>
      <c r="G4324" t="inlineStr">
        <is>
          <t>AB</t>
        </is>
      </c>
      <c r="H4324" s="12" t="n">
        <v>24472.97</v>
      </c>
      <c r="I4324" s="17" t="n">
        <v>46113</v>
      </c>
      <c r="J4324" s="17" t="n">
        <v>44522</v>
      </c>
      <c r="K4324" t="inlineStr">
        <is>
          <t>CUSTOM A DEVOLVER</t>
        </is>
      </c>
    </row>
    <row r="4325">
      <c r="A4325" t="inlineStr">
        <is>
          <t>101071</t>
        </is>
      </c>
      <c r="B4325" t="inlineStr">
        <is>
          <t>CUSTOM COMERCIO INTERNACIONAL LTDA</t>
        </is>
      </c>
      <c r="C4325" t="n">
        <v>1191000000</v>
      </c>
      <c r="D4325" t="inlineStr">
        <is>
          <t>Customs Brokerage – Overall</t>
        </is>
      </c>
      <c r="E4325" t="n">
        <v>1100008746</v>
      </c>
      <c r="F4325" t="inlineStr">
        <is>
          <t xml:space="preserve"> CAJUIINLZ0117</t>
        </is>
      </c>
      <c r="G4325" t="inlineStr">
        <is>
          <t>AB</t>
        </is>
      </c>
      <c r="H4325" s="12" t="n">
        <v>38544.87</v>
      </c>
      <c r="I4325" s="17" t="n">
        <v>46113</v>
      </c>
      <c r="J4325" s="17" t="n">
        <v>44901</v>
      </c>
      <c r="K4325" t="inlineStr">
        <is>
          <t>CUSTOM A DEVOLVER</t>
        </is>
      </c>
    </row>
    <row r="4326">
      <c r="A4326" t="inlineStr">
        <is>
          <t>101071</t>
        </is>
      </c>
      <c r="B4326" t="inlineStr">
        <is>
          <t>CUSTOM COMERCIO INTERNACIONAL LTDA</t>
        </is>
      </c>
      <c r="C4326" t="n">
        <v>1191000000</v>
      </c>
      <c r="D4326" t="inlineStr">
        <is>
          <t>Customs Brokerage – Overall</t>
        </is>
      </c>
      <c r="E4326" t="n">
        <v>1100008747</v>
      </c>
      <c r="F4326" t="inlineStr">
        <is>
          <t>LDVV009T</t>
        </is>
      </c>
      <c r="G4326" t="inlineStr">
        <is>
          <t>AB</t>
        </is>
      </c>
      <c r="H4326" s="12" t="n">
        <v>30724.21</v>
      </c>
      <c r="I4326" s="17" t="n">
        <v>46113</v>
      </c>
      <c r="J4326" s="17" t="n">
        <v>44853</v>
      </c>
      <c r="K4326" t="inlineStr">
        <is>
          <t>CUSTOM A DEVOLVER</t>
        </is>
      </c>
    </row>
    <row r="4327">
      <c r="A4327" t="inlineStr">
        <is>
          <t>101071</t>
        </is>
      </c>
      <c r="B4327" t="inlineStr">
        <is>
          <t>CUSTOM COMERCIO INTERNACIONAL LTDA</t>
        </is>
      </c>
      <c r="C4327" t="n">
        <v>1191000000</v>
      </c>
      <c r="D4327" t="inlineStr">
        <is>
          <t>Customs Brokerage – Overall</t>
        </is>
      </c>
      <c r="E4327" t="n">
        <v>1100008748</v>
      </c>
      <c r="F4327" t="inlineStr">
        <is>
          <t>CAJUIINLZ0065</t>
        </is>
      </c>
      <c r="G4327" t="inlineStr">
        <is>
          <t>AB</t>
        </is>
      </c>
      <c r="H4327" s="12" t="n">
        <v>35318.29</v>
      </c>
      <c r="I4327" s="17" t="n">
        <v>46113</v>
      </c>
      <c r="J4327" s="17" t="n">
        <v>44852</v>
      </c>
      <c r="K4327" t="inlineStr">
        <is>
          <t>CUSTOM A DEVOLVER</t>
        </is>
      </c>
    </row>
    <row r="4328">
      <c r="A4328" t="inlineStr">
        <is>
          <t>101071</t>
        </is>
      </c>
      <c r="B4328" t="inlineStr">
        <is>
          <t>CUSTOM COMERCIO INTERNACIONAL LTDA</t>
        </is>
      </c>
      <c r="C4328" t="n">
        <v>1191000000</v>
      </c>
      <c r="D4328" t="inlineStr">
        <is>
          <t>Customs Brokerage – Overall</t>
        </is>
      </c>
      <c r="E4328" t="n">
        <v>1100008749</v>
      </c>
      <c r="F4328" t="inlineStr">
        <is>
          <t>CAJUII003A</t>
        </is>
      </c>
      <c r="G4328" t="inlineStr">
        <is>
          <t>AB</t>
        </is>
      </c>
      <c r="H4328" s="12" t="n">
        <v>16383.61</v>
      </c>
      <c r="I4328" s="17" t="n">
        <v>46113</v>
      </c>
      <c r="J4328" s="17" t="n">
        <v>44781</v>
      </c>
      <c r="K4328" t="inlineStr">
        <is>
          <t>CUSTOM A DEVOLVER</t>
        </is>
      </c>
    </row>
    <row r="4329">
      <c r="A4329" t="inlineStr">
        <is>
          <t>101071</t>
        </is>
      </c>
      <c r="B4329" t="inlineStr">
        <is>
          <t>CUSTOM COMERCIO INTERNACIONAL LTDA</t>
        </is>
      </c>
      <c r="C4329" t="n">
        <v>1191000000</v>
      </c>
      <c r="D4329" t="inlineStr">
        <is>
          <t>Customs Brokerage – Overall</t>
        </is>
      </c>
      <c r="E4329" t="n">
        <v>1100008767</v>
      </c>
      <c r="F4329" t="inlineStr">
        <is>
          <t>CAJUIINLZ0116</t>
        </is>
      </c>
      <c r="G4329" t="inlineStr">
        <is>
          <t>AB</t>
        </is>
      </c>
      <c r="H4329" s="12" t="n">
        <v>31814.1</v>
      </c>
      <c r="I4329" s="17" t="n">
        <v>46113</v>
      </c>
      <c r="J4329" s="17" t="n">
        <v>44901</v>
      </c>
      <c r="K4329" t="inlineStr">
        <is>
          <t>CUSTOM A DEVOLVER</t>
        </is>
      </c>
    </row>
    <row r="4330">
      <c r="A4330" t="inlineStr">
        <is>
          <t>101071</t>
        </is>
      </c>
      <c r="B4330" t="inlineStr">
        <is>
          <t>CUSTOM COMERCIO INTERNACIONAL LTDA</t>
        </is>
      </c>
      <c r="C4330" t="n">
        <v>1191000000</v>
      </c>
      <c r="D4330" t="inlineStr">
        <is>
          <t>Customs Brokerage – Overall</t>
        </is>
      </c>
      <c r="E4330" t="n">
        <v>1100008768</v>
      </c>
      <c r="F4330" t="inlineStr">
        <is>
          <t xml:space="preserve"> LDVVNLZ0151</t>
        </is>
      </c>
      <c r="G4330" t="inlineStr">
        <is>
          <t>AB</t>
        </is>
      </c>
      <c r="H4330" s="12" t="n">
        <v>31153.84</v>
      </c>
      <c r="I4330" s="17" t="n">
        <v>46113</v>
      </c>
      <c r="J4330" s="17" t="n">
        <v>44901</v>
      </c>
      <c r="K4330" t="inlineStr">
        <is>
          <t>CUSTOM A DEVOLVER</t>
        </is>
      </c>
    </row>
    <row r="4331">
      <c r="A4331" t="inlineStr">
        <is>
          <t>101071</t>
        </is>
      </c>
      <c r="B4331" t="inlineStr">
        <is>
          <t>CUSTOM COMERCIO INTERNACIONAL LTDA</t>
        </is>
      </c>
      <c r="C4331" t="n">
        <v>1191000000</v>
      </c>
      <c r="D4331" t="inlineStr">
        <is>
          <t>Customs Brokerage – Overall</t>
        </is>
      </c>
      <c r="E4331" t="n">
        <v>1100008769</v>
      </c>
      <c r="F4331" t="inlineStr">
        <is>
          <t>CAJUNLZ0224</t>
        </is>
      </c>
      <c r="G4331" t="inlineStr">
        <is>
          <t>AB</t>
        </is>
      </c>
      <c r="H4331" s="12" t="n">
        <v>32962.33</v>
      </c>
      <c r="I4331" s="17" t="n">
        <v>46113</v>
      </c>
      <c r="J4331" s="17" t="n">
        <v>44887</v>
      </c>
      <c r="K4331" t="inlineStr">
        <is>
          <t>CUSTOM A DEVOLVER</t>
        </is>
      </c>
    </row>
    <row r="4332">
      <c r="A4332" t="inlineStr">
        <is>
          <t>101071</t>
        </is>
      </c>
      <c r="B4332" t="inlineStr">
        <is>
          <t>CUSTOM COMERCIO INTERNACIONAL LTDA</t>
        </is>
      </c>
      <c r="C4332" t="n">
        <v>1191000000</v>
      </c>
      <c r="D4332" t="inlineStr">
        <is>
          <t>Customs Brokerage – Overall</t>
        </is>
      </c>
      <c r="E4332" t="n">
        <v>1100008770</v>
      </c>
      <c r="F4332" t="inlineStr">
        <is>
          <t>LDVVNLZ0081</t>
        </is>
      </c>
      <c r="G4332" t="inlineStr">
        <is>
          <t>AB</t>
        </is>
      </c>
      <c r="H4332" s="12" t="n">
        <v>31726.97</v>
      </c>
      <c r="I4332" s="17" t="n">
        <v>46113</v>
      </c>
      <c r="J4332" s="17" t="n">
        <v>44872</v>
      </c>
      <c r="K4332" t="inlineStr">
        <is>
          <t>CUSTOM A DEVOLVER</t>
        </is>
      </c>
    </row>
    <row r="4333">
      <c r="A4333" t="inlineStr">
        <is>
          <t>101071</t>
        </is>
      </c>
      <c r="B4333" t="inlineStr">
        <is>
          <t>CUSTOM COMERCIO INTERNACIONAL LTDA</t>
        </is>
      </c>
      <c r="C4333" t="n">
        <v>1191000000</v>
      </c>
      <c r="D4333" t="inlineStr">
        <is>
          <t>Customs Brokerage – Overall</t>
        </is>
      </c>
      <c r="E4333" t="n">
        <v>1100008772</v>
      </c>
      <c r="F4333" t="inlineStr">
        <is>
          <t>CAJU042A</t>
        </is>
      </c>
      <c r="G4333" t="inlineStr">
        <is>
          <t>AB</t>
        </is>
      </c>
      <c r="H4333" s="12" t="n">
        <v>32339.02</v>
      </c>
      <c r="I4333" s="17" t="n">
        <v>46113</v>
      </c>
      <c r="J4333" s="17" t="n">
        <v>44832</v>
      </c>
      <c r="K4333" t="inlineStr">
        <is>
          <t>CUSTOM A DEVOLVER</t>
        </is>
      </c>
    </row>
    <row r="4334">
      <c r="A4334" t="inlineStr">
        <is>
          <t>101071</t>
        </is>
      </c>
      <c r="B4334" t="inlineStr">
        <is>
          <t>CUSTOM COMERCIO INTERNACIONAL LTDA</t>
        </is>
      </c>
      <c r="C4334" t="n">
        <v>1191000000</v>
      </c>
      <c r="D4334" t="inlineStr">
        <is>
          <t>Customs Brokerage – Overall</t>
        </is>
      </c>
      <c r="E4334" t="n">
        <v>1100008773</v>
      </c>
      <c r="F4334" t="inlineStr">
        <is>
          <t>CAJUII004T</t>
        </is>
      </c>
      <c r="G4334" t="inlineStr">
        <is>
          <t>AB</t>
        </is>
      </c>
      <c r="H4334" s="12" t="n">
        <v>23985.29</v>
      </c>
      <c r="I4334" s="17" t="n">
        <v>46113</v>
      </c>
      <c r="J4334" s="17" t="n">
        <v>44781</v>
      </c>
      <c r="K4334" t="inlineStr">
        <is>
          <t>CUSTOM A DEVOLVER</t>
        </is>
      </c>
    </row>
    <row r="4335">
      <c r="A4335" t="inlineStr">
        <is>
          <t>101071</t>
        </is>
      </c>
      <c r="B4335" t="inlineStr">
        <is>
          <t>CUSTOM COMERCIO INTERNACIONAL LTDA</t>
        </is>
      </c>
      <c r="C4335" t="n">
        <v>1191000000</v>
      </c>
      <c r="D4335" t="inlineStr">
        <is>
          <t>Customs Brokerage – Overall</t>
        </is>
      </c>
      <c r="E4335" t="n">
        <v>1100008904</v>
      </c>
      <c r="F4335" t="inlineStr">
        <is>
          <t>OEM0195</t>
        </is>
      </c>
      <c r="G4335" t="inlineStr">
        <is>
          <t>AB</t>
        </is>
      </c>
      <c r="H4335" s="12" t="n">
        <v>24474.89</v>
      </c>
      <c r="I4335" s="17" t="n">
        <v>46113</v>
      </c>
      <c r="J4335" s="17" t="n">
        <v>44882</v>
      </c>
      <c r="K4335" t="inlineStr">
        <is>
          <t>CUSTOM A DEVOLVER</t>
        </is>
      </c>
    </row>
    <row r="4336">
      <c r="A4336" t="inlineStr">
        <is>
          <t>101071</t>
        </is>
      </c>
      <c r="B4336" t="inlineStr">
        <is>
          <t>CUSTOM COMERCIO INTERNACIONAL LTDA</t>
        </is>
      </c>
      <c r="C4336" t="n">
        <v>1191000000</v>
      </c>
      <c r="D4336" t="inlineStr">
        <is>
          <t>Customs Brokerage – Overall</t>
        </is>
      </c>
      <c r="E4336" t="n">
        <v>1100008911</v>
      </c>
      <c r="F4336" t="inlineStr">
        <is>
          <t>CAJUIINLZ0239</t>
        </is>
      </c>
      <c r="G4336" t="inlineStr">
        <is>
          <t>AB</t>
        </is>
      </c>
      <c r="H4336" s="12" t="n">
        <v>28477.86</v>
      </c>
      <c r="I4336" s="17" t="n">
        <v>46113</v>
      </c>
      <c r="J4336" s="17" t="n">
        <v>44907</v>
      </c>
      <c r="K4336" t="inlineStr">
        <is>
          <t>CUSTOM A DEVOLVER</t>
        </is>
      </c>
    </row>
    <row r="4337">
      <c r="A4337" t="inlineStr">
        <is>
          <t>101071</t>
        </is>
      </c>
      <c r="B4337" t="inlineStr">
        <is>
          <t>CUSTOM COMERCIO INTERNACIONAL LTDA</t>
        </is>
      </c>
      <c r="C4337" t="n">
        <v>1191000000</v>
      </c>
      <c r="D4337" t="inlineStr">
        <is>
          <t>Customs Brokerage – Overall</t>
        </is>
      </c>
      <c r="E4337" t="n">
        <v>1100008912</v>
      </c>
      <c r="F4337" t="inlineStr">
        <is>
          <t>LDVVNLZ0119</t>
        </is>
      </c>
      <c r="G4337" t="inlineStr">
        <is>
          <t>AB</t>
        </is>
      </c>
      <c r="H4337" s="12" t="n">
        <v>27625.76</v>
      </c>
      <c r="I4337" s="17" t="n">
        <v>46113</v>
      </c>
      <c r="J4337" s="17" t="n">
        <v>44901</v>
      </c>
      <c r="K4337" t="inlineStr">
        <is>
          <t>CUSTOM A DEVOLVER</t>
        </is>
      </c>
    </row>
    <row r="4338">
      <c r="A4338" t="inlineStr">
        <is>
          <t>101071</t>
        </is>
      </c>
      <c r="B4338" t="inlineStr">
        <is>
          <t>CUSTOM COMERCIO INTERNACIONAL LTDA</t>
        </is>
      </c>
      <c r="C4338" t="n">
        <v>1191000000</v>
      </c>
      <c r="D4338" t="inlineStr">
        <is>
          <t>Customs Brokerage – Overall</t>
        </is>
      </c>
      <c r="E4338" t="n">
        <v>1100008913</v>
      </c>
      <c r="F4338" t="inlineStr">
        <is>
          <t xml:space="preserve"> VESANLZ0190</t>
        </is>
      </c>
      <c r="G4338" t="inlineStr">
        <is>
          <t>AB</t>
        </is>
      </c>
      <c r="H4338" s="12" t="n">
        <v>27299.59</v>
      </c>
      <c r="I4338" s="17" t="n">
        <v>46113</v>
      </c>
      <c r="J4338" s="17" t="n">
        <v>44901</v>
      </c>
      <c r="K4338" t="inlineStr">
        <is>
          <t>CUSTOM A DEVOLVER</t>
        </is>
      </c>
    </row>
    <row r="4339">
      <c r="A4339" t="inlineStr">
        <is>
          <t>101071</t>
        </is>
      </c>
      <c r="B4339" t="inlineStr">
        <is>
          <t>CUSTOM COMERCIO INTERNACIONAL LTDA</t>
        </is>
      </c>
      <c r="C4339" t="n">
        <v>1191000000</v>
      </c>
      <c r="D4339" t="inlineStr">
        <is>
          <t>Customs Brokerage – Overall</t>
        </is>
      </c>
      <c r="E4339" t="n">
        <v>1100008914</v>
      </c>
      <c r="F4339" t="inlineStr">
        <is>
          <t xml:space="preserve"> LDVVNLZ0114</t>
        </is>
      </c>
      <c r="G4339" t="inlineStr">
        <is>
          <t>AB</t>
        </is>
      </c>
      <c r="H4339" s="12" t="n">
        <v>27943.14</v>
      </c>
      <c r="I4339" s="17" t="n">
        <v>46113</v>
      </c>
      <c r="J4339" s="17" t="n">
        <v>44890</v>
      </c>
      <c r="K4339" t="inlineStr">
        <is>
          <t>CUSTOM A DEVOLVER</t>
        </is>
      </c>
    </row>
    <row r="4340">
      <c r="A4340" t="inlineStr">
        <is>
          <t>101071</t>
        </is>
      </c>
      <c r="B4340" t="inlineStr">
        <is>
          <t>CUSTOM COMERCIO INTERNACIONAL LTDA</t>
        </is>
      </c>
      <c r="C4340" t="n">
        <v>1191000000</v>
      </c>
      <c r="D4340" t="inlineStr">
        <is>
          <t>Customs Brokerage – Overall</t>
        </is>
      </c>
      <c r="E4340" t="n">
        <v>1100008915</v>
      </c>
      <c r="F4340" t="inlineStr">
        <is>
          <t>CAJUIINLZ0061</t>
        </is>
      </c>
      <c r="G4340" t="inlineStr">
        <is>
          <t>AB</t>
        </is>
      </c>
      <c r="H4340" s="12" t="n">
        <v>27976.01</v>
      </c>
      <c r="I4340" s="17" t="n">
        <v>46113</v>
      </c>
      <c r="J4340" s="17" t="n">
        <v>44848</v>
      </c>
      <c r="K4340" t="inlineStr">
        <is>
          <t>CUSTOM A DEVOLVER</t>
        </is>
      </c>
    </row>
    <row r="4341">
      <c r="A4341" t="inlineStr">
        <is>
          <t>101071</t>
        </is>
      </c>
      <c r="B4341" t="inlineStr">
        <is>
          <t>CUSTOM COMERCIO INTERNACIONAL LTDA</t>
        </is>
      </c>
      <c r="C4341" t="n">
        <v>1191000000</v>
      </c>
      <c r="D4341" t="inlineStr">
        <is>
          <t>Customs Brokerage – Overall</t>
        </is>
      </c>
      <c r="E4341" t="n">
        <v>1100008918</v>
      </c>
      <c r="F4341" t="inlineStr">
        <is>
          <t>OEM0156</t>
        </is>
      </c>
      <c r="G4341" t="inlineStr">
        <is>
          <t>AB</t>
        </is>
      </c>
      <c r="H4341" s="12" t="n">
        <v>25630.72</v>
      </c>
      <c r="I4341" s="17" t="n">
        <v>46113</v>
      </c>
      <c r="J4341" s="17" t="n">
        <v>44845</v>
      </c>
      <c r="K4341" t="inlineStr">
        <is>
          <t>CUSTOM A DEVOLVER</t>
        </is>
      </c>
    </row>
    <row r="4342">
      <c r="A4342" t="inlineStr">
        <is>
          <t>101071</t>
        </is>
      </c>
      <c r="B4342" t="inlineStr">
        <is>
          <t>CUSTOM COMERCIO INTERNACIONAL LTDA</t>
        </is>
      </c>
      <c r="C4342" t="n">
        <v>1191000000</v>
      </c>
      <c r="D4342" t="inlineStr">
        <is>
          <t>Customs Brokerage – Overall</t>
        </is>
      </c>
      <c r="E4342" t="n">
        <v>1100008943</v>
      </c>
      <c r="F4342" t="inlineStr">
        <is>
          <t>VESA001NOV</t>
        </is>
      </c>
      <c r="G4342" t="inlineStr">
        <is>
          <t>AB</t>
        </is>
      </c>
      <c r="H4342" s="12" t="n">
        <v>13844.15</v>
      </c>
      <c r="I4342" s="17" t="n">
        <v>46113</v>
      </c>
      <c r="J4342" s="17" t="n">
        <v>44540</v>
      </c>
      <c r="K4342" t="inlineStr">
        <is>
          <t>CUSTOM A DEVOLVER</t>
        </is>
      </c>
    </row>
    <row r="4343">
      <c r="A4343" t="inlineStr">
        <is>
          <t>101071</t>
        </is>
      </c>
      <c r="B4343" t="inlineStr">
        <is>
          <t>CUSTOM COMERCIO INTERNACIONAL LTDA</t>
        </is>
      </c>
      <c r="C4343" t="n">
        <v>1191000000</v>
      </c>
      <c r="D4343" t="inlineStr">
        <is>
          <t>Customs Brokerage – Overall</t>
        </is>
      </c>
      <c r="E4343" t="n">
        <v>1100008946</v>
      </c>
      <c r="F4343" t="inlineStr">
        <is>
          <t>VESANLZ0182</t>
        </is>
      </c>
      <c r="G4343" t="inlineStr">
        <is>
          <t>AB</t>
        </is>
      </c>
      <c r="H4343" s="12" t="n">
        <v>24127.86</v>
      </c>
      <c r="I4343" s="17" t="n">
        <v>46113</v>
      </c>
      <c r="J4343" s="17" t="n">
        <v>44845</v>
      </c>
      <c r="K4343" t="inlineStr">
        <is>
          <t>CUSTOM A DEVOLVER</t>
        </is>
      </c>
    </row>
    <row r="4344">
      <c r="A4344" t="inlineStr">
        <is>
          <t>101071</t>
        </is>
      </c>
      <c r="B4344" t="inlineStr">
        <is>
          <t>CUSTOM COMERCIO INTERNACIONAL LTDA</t>
        </is>
      </c>
      <c r="C4344" t="n">
        <v>1191000000</v>
      </c>
      <c r="D4344" t="inlineStr">
        <is>
          <t>Customs Brokerage – Overall</t>
        </is>
      </c>
      <c r="E4344" t="n">
        <v>1100009068</v>
      </c>
      <c r="F4344" t="inlineStr">
        <is>
          <t>LDVV016T</t>
        </is>
      </c>
      <c r="G4344" t="inlineStr">
        <is>
          <t>AB</t>
        </is>
      </c>
      <c r="H4344" s="12" t="n">
        <v>23482.46</v>
      </c>
      <c r="I4344" s="17" t="n">
        <v>46113</v>
      </c>
      <c r="J4344" s="17" t="n">
        <v>44972</v>
      </c>
      <c r="K4344" t="inlineStr">
        <is>
          <t>CUSTOM A DEVOLVER</t>
        </is>
      </c>
    </row>
    <row r="4345">
      <c r="A4345" t="inlineStr">
        <is>
          <t>101071</t>
        </is>
      </c>
      <c r="B4345" t="inlineStr">
        <is>
          <t>CUSTOM COMERCIO INTERNACIONAL LTDA</t>
        </is>
      </c>
      <c r="C4345" t="n">
        <v>1191000000</v>
      </c>
      <c r="D4345" t="inlineStr">
        <is>
          <t>Customs Brokerage – Overall</t>
        </is>
      </c>
      <c r="E4345" t="n">
        <v>1100009070</v>
      </c>
      <c r="F4345" t="inlineStr">
        <is>
          <t>LDVV016A</t>
        </is>
      </c>
      <c r="G4345" t="inlineStr">
        <is>
          <t>AB</t>
        </is>
      </c>
      <c r="H4345" s="12" t="n">
        <v>23482.46</v>
      </c>
      <c r="I4345" s="17" t="n">
        <v>46113</v>
      </c>
      <c r="J4345" s="17" t="n">
        <v>44972</v>
      </c>
      <c r="K4345" t="inlineStr">
        <is>
          <t>CUSTOM A DEVOLVER</t>
        </is>
      </c>
    </row>
    <row r="4346">
      <c r="A4346" t="inlineStr">
        <is>
          <t>101071</t>
        </is>
      </c>
      <c r="B4346" t="inlineStr">
        <is>
          <t>CUSTOM COMERCIO INTERNACIONAL LTDA</t>
        </is>
      </c>
      <c r="C4346" t="n">
        <v>1191000000</v>
      </c>
      <c r="D4346" t="inlineStr">
        <is>
          <t>Customs Brokerage – Overall</t>
        </is>
      </c>
      <c r="E4346" t="n">
        <v>1100009072</v>
      </c>
      <c r="F4346" t="inlineStr">
        <is>
          <t>VESA034VSL</t>
        </is>
      </c>
      <c r="G4346" t="inlineStr">
        <is>
          <t>AB</t>
        </is>
      </c>
      <c r="H4346" s="12" t="n">
        <v>22730.05</v>
      </c>
      <c r="I4346" s="17" t="n">
        <v>46113</v>
      </c>
      <c r="J4346" s="17" t="n">
        <v>44960</v>
      </c>
      <c r="K4346" t="inlineStr">
        <is>
          <t>CUSTOM A DEVOLVER</t>
        </is>
      </c>
    </row>
    <row r="4347">
      <c r="A4347" t="inlineStr">
        <is>
          <t>101071</t>
        </is>
      </c>
      <c r="B4347" t="inlineStr">
        <is>
          <t>CUSTOM COMERCIO INTERNACIONAL LTDA</t>
        </is>
      </c>
      <c r="C4347" t="n">
        <v>1191000000</v>
      </c>
      <c r="D4347" t="inlineStr">
        <is>
          <t>Customs Brokerage – Overall</t>
        </is>
      </c>
      <c r="E4347" t="n">
        <v>1100009073</v>
      </c>
      <c r="F4347" t="inlineStr">
        <is>
          <t>LDVVNLZ0162</t>
        </is>
      </c>
      <c r="G4347" t="inlineStr">
        <is>
          <t>AB</t>
        </is>
      </c>
      <c r="H4347" s="12" t="n">
        <v>23878.14</v>
      </c>
      <c r="I4347" s="17" t="n">
        <v>46113</v>
      </c>
      <c r="J4347" s="17" t="n">
        <v>44909</v>
      </c>
      <c r="K4347" t="inlineStr">
        <is>
          <t>CUSTOM A DEVOLVER</t>
        </is>
      </c>
    </row>
    <row r="4348">
      <c r="A4348" t="inlineStr">
        <is>
          <t>101071</t>
        </is>
      </c>
      <c r="B4348" t="inlineStr">
        <is>
          <t>CUSTOM COMERCIO INTERNACIONAL LTDA</t>
        </is>
      </c>
      <c r="C4348" t="n">
        <v>1191000000</v>
      </c>
      <c r="D4348" t="inlineStr">
        <is>
          <t>Customs Brokerage – Overall</t>
        </is>
      </c>
      <c r="E4348" t="n">
        <v>1100009074</v>
      </c>
      <c r="F4348" t="inlineStr">
        <is>
          <t>CAJUNLZ0238</t>
        </is>
      </c>
      <c r="G4348" t="inlineStr">
        <is>
          <t>AB</t>
        </is>
      </c>
      <c r="H4348" s="12" t="n">
        <v>23349.63</v>
      </c>
      <c r="I4348" s="17" t="n">
        <v>46113</v>
      </c>
      <c r="J4348" s="17" t="n">
        <v>44908</v>
      </c>
      <c r="K4348" t="inlineStr">
        <is>
          <t>CUSTOM A DEVOLVER</t>
        </is>
      </c>
    </row>
    <row r="4349">
      <c r="A4349" t="inlineStr">
        <is>
          <t>101071</t>
        </is>
      </c>
      <c r="B4349" t="inlineStr">
        <is>
          <t>CUSTOM COMERCIO INTERNACIONAL LTDA</t>
        </is>
      </c>
      <c r="C4349" t="n">
        <v>1191000000</v>
      </c>
      <c r="D4349" t="inlineStr">
        <is>
          <t>Customs Brokerage – Overall</t>
        </is>
      </c>
      <c r="E4349" t="n">
        <v>1100009078</v>
      </c>
      <c r="F4349" t="inlineStr">
        <is>
          <t>CAJU048A</t>
        </is>
      </c>
      <c r="G4349" t="inlineStr">
        <is>
          <t>AB</t>
        </is>
      </c>
      <c r="H4349" s="12" t="n">
        <v>8646.17</v>
      </c>
      <c r="I4349" s="17" t="n">
        <v>46113</v>
      </c>
      <c r="J4349" s="17" t="n">
        <v>44886</v>
      </c>
      <c r="K4349" t="inlineStr">
        <is>
          <t>CUSTOM A DEVOLVER</t>
        </is>
      </c>
    </row>
    <row r="4350">
      <c r="A4350" t="inlineStr">
        <is>
          <t>101071</t>
        </is>
      </c>
      <c r="B4350" t="inlineStr">
        <is>
          <t>CUSTOM COMERCIO INTERNACIONAL LTDA</t>
        </is>
      </c>
      <c r="C4350" t="n">
        <v>1191000000</v>
      </c>
      <c r="D4350" t="inlineStr">
        <is>
          <t>Customs Brokerage – Overall</t>
        </is>
      </c>
      <c r="E4350" t="n">
        <v>1100009079</v>
      </c>
      <c r="F4350" t="inlineStr">
        <is>
          <t xml:space="preserve"> CAJUIINLZ0081</t>
        </is>
      </c>
      <c r="G4350" t="inlineStr">
        <is>
          <t>AB</t>
        </is>
      </c>
      <c r="H4350" s="12" t="n">
        <v>22908.91</v>
      </c>
      <c r="I4350" s="17" t="n">
        <v>46113</v>
      </c>
      <c r="J4350" s="17" t="n">
        <v>44872</v>
      </c>
      <c r="K4350" t="inlineStr">
        <is>
          <t>CUSTOM A DEVOLVER</t>
        </is>
      </c>
    </row>
    <row r="4351">
      <c r="A4351" t="inlineStr">
        <is>
          <t>101071</t>
        </is>
      </c>
      <c r="B4351" t="inlineStr">
        <is>
          <t>CUSTOM COMERCIO INTERNACIONAL LTDA</t>
        </is>
      </c>
      <c r="C4351" t="n">
        <v>1191000000</v>
      </c>
      <c r="D4351" t="inlineStr">
        <is>
          <t>Customs Brokerage – Overall</t>
        </is>
      </c>
      <c r="E4351" t="n">
        <v>1100009080</v>
      </c>
      <c r="F4351" t="inlineStr">
        <is>
          <t>CAJUIINLZ0080</t>
        </is>
      </c>
      <c r="G4351" t="inlineStr">
        <is>
          <t>AB</t>
        </is>
      </c>
      <c r="H4351" s="12" t="n">
        <v>23109.33</v>
      </c>
      <c r="I4351" s="17" t="n">
        <v>46113</v>
      </c>
      <c r="J4351" s="17" t="n">
        <v>44872</v>
      </c>
      <c r="K4351" t="inlineStr">
        <is>
          <t>CUSTOM A DEVOLVER</t>
        </is>
      </c>
    </row>
    <row r="4352">
      <c r="A4352" t="inlineStr">
        <is>
          <t>101071</t>
        </is>
      </c>
      <c r="B4352" t="inlineStr">
        <is>
          <t>CUSTOM COMERCIO INTERNACIONAL LTDA</t>
        </is>
      </c>
      <c r="C4352" t="n">
        <v>1191000000</v>
      </c>
      <c r="D4352" t="inlineStr">
        <is>
          <t>Customs Brokerage – Overall</t>
        </is>
      </c>
      <c r="E4352" t="n">
        <v>1100009081</v>
      </c>
      <c r="F4352" t="inlineStr">
        <is>
          <t>LDVVNLZ0066</t>
        </is>
      </c>
      <c r="G4352" t="inlineStr">
        <is>
          <t>AB</t>
        </is>
      </c>
      <c r="H4352" s="12" t="n">
        <v>23273.55</v>
      </c>
      <c r="I4352" s="17" t="n">
        <v>46113</v>
      </c>
      <c r="J4352" s="17" t="n">
        <v>44852</v>
      </c>
      <c r="K4352" t="inlineStr">
        <is>
          <t>CUSTOM A DEVOLVER</t>
        </is>
      </c>
    </row>
    <row r="4353">
      <c r="A4353" t="inlineStr">
        <is>
          <t>101071</t>
        </is>
      </c>
      <c r="B4353" t="inlineStr">
        <is>
          <t>CUSTOM COMERCIO INTERNACIONAL LTDA</t>
        </is>
      </c>
      <c r="C4353" t="n">
        <v>1191000000</v>
      </c>
      <c r="D4353" t="inlineStr">
        <is>
          <t>Customs Brokerage – Overall</t>
        </is>
      </c>
      <c r="E4353" t="n">
        <v>1100009082</v>
      </c>
      <c r="F4353" t="inlineStr">
        <is>
          <t>CAJUIINLZ0067</t>
        </is>
      </c>
      <c r="G4353" t="inlineStr">
        <is>
          <t>AB</t>
        </is>
      </c>
      <c r="H4353" s="12" t="n">
        <v>23358.36</v>
      </c>
      <c r="I4353" s="17" t="n">
        <v>46113</v>
      </c>
      <c r="J4353" s="17" t="n">
        <v>44852</v>
      </c>
      <c r="K4353" t="inlineStr">
        <is>
          <t>CUSTOM A DEVOLVER</t>
        </is>
      </c>
    </row>
    <row r="4354">
      <c r="A4354" t="inlineStr">
        <is>
          <t>101071</t>
        </is>
      </c>
      <c r="B4354" t="inlineStr">
        <is>
          <t>CUSTOM COMERCIO INTERNACIONAL LTDA</t>
        </is>
      </c>
      <c r="C4354" t="n">
        <v>1191000000</v>
      </c>
      <c r="D4354" t="inlineStr">
        <is>
          <t>Customs Brokerage – Overall</t>
        </is>
      </c>
      <c r="E4354" t="n">
        <v>1100009137</v>
      </c>
      <c r="F4354" t="inlineStr">
        <is>
          <t>4012334398</t>
        </is>
      </c>
      <c r="G4354" t="inlineStr">
        <is>
          <t>AB</t>
        </is>
      </c>
      <c r="H4354" s="12" t="n">
        <v>18354.09</v>
      </c>
      <c r="I4354" s="17" t="n">
        <v>46113</v>
      </c>
      <c r="J4354" s="17" t="n">
        <v>45068</v>
      </c>
      <c r="K4354" t="inlineStr">
        <is>
          <t>CUSTOM A DEVOLVER</t>
        </is>
      </c>
    </row>
    <row r="4355">
      <c r="A4355" t="inlineStr">
        <is>
          <t>101071</t>
        </is>
      </c>
      <c r="B4355" t="inlineStr">
        <is>
          <t>CUSTOM COMERCIO INTERNACIONAL LTDA</t>
        </is>
      </c>
      <c r="C4355" t="n">
        <v>1191000000</v>
      </c>
      <c r="D4355" t="inlineStr">
        <is>
          <t>Customs Brokerage – Overall</t>
        </is>
      </c>
      <c r="E4355" t="n">
        <v>1100009138</v>
      </c>
      <c r="F4355" t="inlineStr">
        <is>
          <t>96010408</t>
        </is>
      </c>
      <c r="G4355" t="inlineStr">
        <is>
          <t>AB</t>
        </is>
      </c>
      <c r="H4355" s="12" t="n">
        <v>17922.47</v>
      </c>
      <c r="I4355" s="17" t="n">
        <v>46113</v>
      </c>
      <c r="J4355" s="17" t="n">
        <v>45020</v>
      </c>
      <c r="K4355" t="inlineStr">
        <is>
          <t>CUSTOM A DEVOLVER</t>
        </is>
      </c>
    </row>
    <row r="4356">
      <c r="A4356" t="inlineStr">
        <is>
          <t>101071</t>
        </is>
      </c>
      <c r="B4356" t="inlineStr">
        <is>
          <t>CUSTOM COMERCIO INTERNACIONAL LTDA</t>
        </is>
      </c>
      <c r="C4356" t="n">
        <v>1191000000</v>
      </c>
      <c r="D4356" t="inlineStr">
        <is>
          <t>Customs Brokerage – Overall</t>
        </is>
      </c>
      <c r="E4356" t="n">
        <v>1100009139</v>
      </c>
      <c r="F4356" t="inlineStr">
        <is>
          <t>4012326924</t>
        </is>
      </c>
      <c r="G4356" t="inlineStr">
        <is>
          <t>AB</t>
        </is>
      </c>
      <c r="H4356" s="12" t="n">
        <v>18286.38</v>
      </c>
      <c r="I4356" s="17" t="n">
        <v>46113</v>
      </c>
      <c r="J4356" s="17" t="n">
        <v>45019</v>
      </c>
      <c r="K4356" t="inlineStr">
        <is>
          <t>CUSTOM A DEVOLVER</t>
        </is>
      </c>
    </row>
    <row r="4357">
      <c r="A4357" t="inlineStr">
        <is>
          <t>101071</t>
        </is>
      </c>
      <c r="B4357" t="inlineStr">
        <is>
          <t>CUSTOM COMERCIO INTERNACIONAL LTDA</t>
        </is>
      </c>
      <c r="C4357" t="n">
        <v>1191000000</v>
      </c>
      <c r="D4357" t="inlineStr">
        <is>
          <t>Customs Brokerage – Overall</t>
        </is>
      </c>
      <c r="E4357" t="n">
        <v>1100009140</v>
      </c>
      <c r="F4357" t="inlineStr">
        <is>
          <t>4012324921</t>
        </is>
      </c>
      <c r="G4357" t="inlineStr">
        <is>
          <t>AB</t>
        </is>
      </c>
      <c r="H4357" s="12" t="n">
        <v>18414.43</v>
      </c>
      <c r="I4357" s="17" t="n">
        <v>46113</v>
      </c>
      <c r="J4357" s="17" t="n">
        <v>45009</v>
      </c>
      <c r="K4357" t="inlineStr">
        <is>
          <t>CUSTOM A DEVOLVER</t>
        </is>
      </c>
    </row>
    <row r="4358">
      <c r="A4358" t="inlineStr">
        <is>
          <t>101071</t>
        </is>
      </c>
      <c r="B4358" t="inlineStr">
        <is>
          <t>CUSTOM COMERCIO INTERNACIONAL LTDA</t>
        </is>
      </c>
      <c r="C4358" t="n">
        <v>1191000000</v>
      </c>
      <c r="D4358" t="inlineStr">
        <is>
          <t>Customs Brokerage – Overall</t>
        </is>
      </c>
      <c r="E4358" t="n">
        <v>1100009141</v>
      </c>
      <c r="F4358" t="inlineStr">
        <is>
          <t>4012322932</t>
        </is>
      </c>
      <c r="G4358" t="inlineStr">
        <is>
          <t>AB</t>
        </is>
      </c>
      <c r="H4358" s="12" t="n">
        <v>17605.7</v>
      </c>
      <c r="I4358" s="17" t="n">
        <v>46113</v>
      </c>
      <c r="J4358" s="17" t="n">
        <v>44991</v>
      </c>
      <c r="K4358" t="inlineStr">
        <is>
          <t>CUSTOM A DEVOLVER</t>
        </is>
      </c>
    </row>
    <row r="4359">
      <c r="A4359" t="inlineStr">
        <is>
          <t>101071</t>
        </is>
      </c>
      <c r="B4359" t="inlineStr">
        <is>
          <t>CUSTOM COMERCIO INTERNACIONAL LTDA</t>
        </is>
      </c>
      <c r="C4359" t="n">
        <v>1191000000</v>
      </c>
      <c r="D4359" t="inlineStr">
        <is>
          <t>Customs Brokerage – Overall</t>
        </is>
      </c>
      <c r="E4359" t="n">
        <v>1100009142</v>
      </c>
      <c r="F4359" t="inlineStr">
        <is>
          <t>FEIJ003T</t>
        </is>
      </c>
      <c r="G4359" t="inlineStr">
        <is>
          <t>AB</t>
        </is>
      </c>
      <c r="H4359" s="12" t="n">
        <v>16430.63</v>
      </c>
      <c r="I4359" s="17" t="n">
        <v>46113</v>
      </c>
      <c r="J4359" s="17" t="n">
        <v>44974</v>
      </c>
      <c r="K4359" t="inlineStr">
        <is>
          <t>CUSTOM A DEVOLVER</t>
        </is>
      </c>
    </row>
    <row r="4360">
      <c r="A4360" t="inlineStr">
        <is>
          <t>101071</t>
        </is>
      </c>
      <c r="B4360" t="inlineStr">
        <is>
          <t>CUSTOM COMERCIO INTERNACIONAL LTDA</t>
        </is>
      </c>
      <c r="C4360" t="n">
        <v>1191000000</v>
      </c>
      <c r="D4360" t="inlineStr">
        <is>
          <t>Customs Brokerage – Overall</t>
        </is>
      </c>
      <c r="E4360" t="n">
        <v>1100009143</v>
      </c>
      <c r="F4360" t="inlineStr">
        <is>
          <t>OEM0227</t>
        </is>
      </c>
      <c r="G4360" t="inlineStr">
        <is>
          <t>AB</t>
        </is>
      </c>
      <c r="H4360" s="12" t="n">
        <v>9371.33</v>
      </c>
      <c r="I4360" s="17" t="n">
        <v>46113</v>
      </c>
      <c r="J4360" s="17" t="n">
        <v>44967</v>
      </c>
      <c r="K4360" t="inlineStr">
        <is>
          <t>CUSTOM A DEVOLVER</t>
        </is>
      </c>
    </row>
    <row r="4361">
      <c r="A4361" t="inlineStr">
        <is>
          <t>101071</t>
        </is>
      </c>
      <c r="B4361" t="inlineStr">
        <is>
          <t>CUSTOM COMERCIO INTERNACIONAL LTDA</t>
        </is>
      </c>
      <c r="C4361" t="n">
        <v>1191000000</v>
      </c>
      <c r="D4361" t="inlineStr">
        <is>
          <t>Customs Brokerage – Overall</t>
        </is>
      </c>
      <c r="E4361" t="n">
        <v>1100009144</v>
      </c>
      <c r="F4361" t="inlineStr">
        <is>
          <t>LDVVNLZ0175</t>
        </is>
      </c>
      <c r="G4361" t="inlineStr">
        <is>
          <t>AB</t>
        </is>
      </c>
      <c r="H4361" s="12" t="n">
        <v>19703.07</v>
      </c>
      <c r="I4361" s="17" t="n">
        <v>46113</v>
      </c>
      <c r="J4361" s="17" t="n">
        <v>44923</v>
      </c>
      <c r="K4361" t="inlineStr">
        <is>
          <t>CUSTOM A DEVOLVER</t>
        </is>
      </c>
    </row>
    <row r="4362">
      <c r="A4362" t="inlineStr">
        <is>
          <t>101071</t>
        </is>
      </c>
      <c r="B4362" t="inlineStr">
        <is>
          <t>CUSTOM COMERCIO INTERNACIONAL LTDA</t>
        </is>
      </c>
      <c r="C4362" t="n">
        <v>1191000000</v>
      </c>
      <c r="D4362" t="inlineStr">
        <is>
          <t>Customs Brokerage – Overall</t>
        </is>
      </c>
      <c r="E4362" t="n">
        <v>1100009146</v>
      </c>
      <c r="F4362" t="inlineStr">
        <is>
          <t>LDVV008A1</t>
        </is>
      </c>
      <c r="G4362" t="inlineStr">
        <is>
          <t>AB</t>
        </is>
      </c>
      <c r="H4362" s="12" t="n">
        <v>8730.84</v>
      </c>
      <c r="I4362" s="17" t="n">
        <v>46113</v>
      </c>
      <c r="J4362" s="17" t="n">
        <v>44902</v>
      </c>
      <c r="K4362" t="inlineStr">
        <is>
          <t>CUSTOM A DEVOLVER</t>
        </is>
      </c>
    </row>
    <row r="4363">
      <c r="A4363" t="inlineStr">
        <is>
          <t>101071</t>
        </is>
      </c>
      <c r="B4363" t="inlineStr">
        <is>
          <t>CUSTOM COMERCIO INTERNACIONAL LTDA</t>
        </is>
      </c>
      <c r="C4363" t="n">
        <v>1191000000</v>
      </c>
      <c r="D4363" t="inlineStr">
        <is>
          <t>Customs Brokerage – Overall</t>
        </is>
      </c>
      <c r="E4363" t="n">
        <v>1100009148</v>
      </c>
      <c r="F4363" t="inlineStr">
        <is>
          <t>611251.</t>
        </is>
      </c>
      <c r="G4363" t="inlineStr">
        <is>
          <t>AB</t>
        </is>
      </c>
      <c r="H4363" s="12" t="n">
        <v>7236.75</v>
      </c>
      <c r="I4363" s="17" t="n">
        <v>46113</v>
      </c>
      <c r="J4363" s="17" t="n">
        <v>44930</v>
      </c>
      <c r="K4363" t="inlineStr">
        <is>
          <t>CUSTOM A DEVOLVER</t>
        </is>
      </c>
    </row>
    <row r="4364">
      <c r="A4364" t="inlineStr">
        <is>
          <t>101071</t>
        </is>
      </c>
      <c r="B4364" t="inlineStr">
        <is>
          <t>CUSTOM COMERCIO INTERNACIONAL LTDA</t>
        </is>
      </c>
      <c r="C4364" t="n">
        <v>1191000000</v>
      </c>
      <c r="D4364" t="inlineStr">
        <is>
          <t>Customs Brokerage – Overall</t>
        </is>
      </c>
      <c r="E4364" t="n">
        <v>1100009165</v>
      </c>
      <c r="F4364" t="inlineStr">
        <is>
          <t>611374</t>
        </is>
      </c>
      <c r="G4364" t="inlineStr">
        <is>
          <t>AB</t>
        </is>
      </c>
      <c r="H4364" s="12" t="n">
        <v>12880.09</v>
      </c>
      <c r="I4364" s="17" t="n">
        <v>46113</v>
      </c>
      <c r="J4364" s="17" t="n">
        <v>44540</v>
      </c>
      <c r="K4364" t="inlineStr">
        <is>
          <t>CUSTOM A DEVOLVER</t>
        </is>
      </c>
    </row>
    <row r="4365">
      <c r="A4365" t="inlineStr">
        <is>
          <t>101071</t>
        </is>
      </c>
      <c r="B4365" t="inlineStr">
        <is>
          <t>CUSTOM COMERCIO INTERNACIONAL LTDA</t>
        </is>
      </c>
      <c r="C4365" t="n">
        <v>1191000000</v>
      </c>
      <c r="D4365" t="inlineStr">
        <is>
          <t>Customs Brokerage – Overall</t>
        </is>
      </c>
      <c r="E4365" t="n">
        <v>1100009183</v>
      </c>
      <c r="F4365" t="inlineStr">
        <is>
          <t>4010005737</t>
        </is>
      </c>
      <c r="G4365" t="inlineStr">
        <is>
          <t>AB</t>
        </is>
      </c>
      <c r="H4365" s="12" t="n">
        <v>12875.44</v>
      </c>
      <c r="I4365" s="17" t="n">
        <v>46113</v>
      </c>
      <c r="J4365" s="17" t="n">
        <v>44522</v>
      </c>
      <c r="K4365" t="inlineStr">
        <is>
          <t>CUSTOM A DEVOLVER</t>
        </is>
      </c>
    </row>
    <row r="4366">
      <c r="A4366" t="inlineStr">
        <is>
          <t>101071</t>
        </is>
      </c>
      <c r="B4366" t="inlineStr">
        <is>
          <t>CUSTOM COMERCIO INTERNACIONAL LTDA</t>
        </is>
      </c>
      <c r="C4366" t="n">
        <v>1191000000</v>
      </c>
      <c r="D4366" t="inlineStr">
        <is>
          <t>Customs Brokerage – Overall</t>
        </is>
      </c>
      <c r="E4366" t="n">
        <v>1100009193</v>
      </c>
      <c r="F4366" t="inlineStr">
        <is>
          <t>4012333026</t>
        </is>
      </c>
      <c r="G4366" t="inlineStr">
        <is>
          <t>AB</t>
        </is>
      </c>
      <c r="H4366" s="12" t="n">
        <v>13961.16</v>
      </c>
      <c r="I4366" s="17" t="n">
        <v>46113</v>
      </c>
      <c r="J4366" s="17" t="n">
        <v>45055</v>
      </c>
      <c r="K4366" t="inlineStr">
        <is>
          <t>CUSTOM A DEVOLVER</t>
        </is>
      </c>
    </row>
    <row r="4367">
      <c r="A4367" t="inlineStr">
        <is>
          <t>101071</t>
        </is>
      </c>
      <c r="B4367" t="inlineStr">
        <is>
          <t>CUSTOM COMERCIO INTERNACIONAL LTDA</t>
        </is>
      </c>
      <c r="C4367" t="n">
        <v>1191000000</v>
      </c>
      <c r="D4367" t="inlineStr">
        <is>
          <t>Customs Brokerage – Overall</t>
        </is>
      </c>
      <c r="E4367" t="n">
        <v>1100009194</v>
      </c>
      <c r="F4367" t="inlineStr">
        <is>
          <t>4012331885</t>
        </is>
      </c>
      <c r="G4367" t="inlineStr">
        <is>
          <t>AB</t>
        </is>
      </c>
      <c r="H4367" s="12" t="n">
        <v>13395.07</v>
      </c>
      <c r="I4367" s="17" t="n">
        <v>46113</v>
      </c>
      <c r="J4367" s="17" t="n">
        <v>45049</v>
      </c>
      <c r="K4367" t="inlineStr">
        <is>
          <t>CUSTOM A DEVOLVER</t>
        </is>
      </c>
    </row>
    <row r="4368">
      <c r="A4368" t="inlineStr">
        <is>
          <t>101071</t>
        </is>
      </c>
      <c r="B4368" t="inlineStr">
        <is>
          <t>CUSTOM COMERCIO INTERNACIONAL LTDA</t>
        </is>
      </c>
      <c r="C4368" t="n">
        <v>1191000000</v>
      </c>
      <c r="D4368" t="inlineStr">
        <is>
          <t>Customs Brokerage – Overall</t>
        </is>
      </c>
      <c r="E4368" t="n">
        <v>1100009195</v>
      </c>
      <c r="F4368" t="inlineStr">
        <is>
          <t>4012327194</t>
        </is>
      </c>
      <c r="G4368" t="inlineStr">
        <is>
          <t>AB</t>
        </is>
      </c>
      <c r="H4368" s="12" t="n">
        <v>14665.11</v>
      </c>
      <c r="I4368" s="17" t="n">
        <v>46113</v>
      </c>
      <c r="J4368" s="17" t="n">
        <v>45019</v>
      </c>
      <c r="K4368" t="inlineStr">
        <is>
          <t>CUSTOM A DEVOLVER</t>
        </is>
      </c>
    </row>
    <row r="4369">
      <c r="A4369" t="inlineStr">
        <is>
          <t>101071</t>
        </is>
      </c>
      <c r="B4369" t="inlineStr">
        <is>
          <t>CUSTOM COMERCIO INTERNACIONAL LTDA</t>
        </is>
      </c>
      <c r="C4369" t="n">
        <v>1191000000</v>
      </c>
      <c r="D4369" t="inlineStr">
        <is>
          <t>Customs Brokerage – Overall</t>
        </is>
      </c>
      <c r="E4369" t="n">
        <v>1100009196</v>
      </c>
      <c r="F4369" t="inlineStr">
        <is>
          <t>96010171</t>
        </is>
      </c>
      <c r="G4369" t="inlineStr">
        <is>
          <t>AB</t>
        </is>
      </c>
      <c r="H4369" s="12" t="n">
        <v>12193.53</v>
      </c>
      <c r="I4369" s="17" t="n">
        <v>46113</v>
      </c>
      <c r="J4369" s="17" t="n">
        <v>45012</v>
      </c>
      <c r="K4369" t="inlineStr">
        <is>
          <t>CUSTOM A DEVOLVER</t>
        </is>
      </c>
    </row>
    <row r="4370">
      <c r="A4370" t="inlineStr">
        <is>
          <t>101071</t>
        </is>
      </c>
      <c r="B4370" t="inlineStr">
        <is>
          <t>CUSTOM COMERCIO INTERNACIONAL LTDA</t>
        </is>
      </c>
      <c r="C4370" t="n">
        <v>1191000000</v>
      </c>
      <c r="D4370" t="inlineStr">
        <is>
          <t>Customs Brokerage – Overall</t>
        </is>
      </c>
      <c r="E4370" t="n">
        <v>1100009197</v>
      </c>
      <c r="F4370" t="inlineStr">
        <is>
          <t>4012325203</t>
        </is>
      </c>
      <c r="G4370" t="inlineStr">
        <is>
          <t>AB</t>
        </is>
      </c>
      <c r="H4370" s="12" t="n">
        <v>14739.2</v>
      </c>
      <c r="I4370" s="17" t="n">
        <v>46113</v>
      </c>
      <c r="J4370" s="17" t="n">
        <v>45005</v>
      </c>
      <c r="K4370" t="inlineStr">
        <is>
          <t>CUSTOM A DEVOLVER</t>
        </is>
      </c>
    </row>
    <row r="4371">
      <c r="A4371" t="inlineStr">
        <is>
          <t>101071</t>
        </is>
      </c>
      <c r="B4371" t="inlineStr">
        <is>
          <t>CUSTOM COMERCIO INTERNACIONAL LTDA</t>
        </is>
      </c>
      <c r="C4371" t="n">
        <v>1191000000</v>
      </c>
      <c r="D4371" t="inlineStr">
        <is>
          <t>Customs Brokerage – Overall</t>
        </is>
      </c>
      <c r="E4371" t="n">
        <v>1100009198</v>
      </c>
      <c r="F4371" t="inlineStr">
        <is>
          <t>HSE0001</t>
        </is>
      </c>
      <c r="G4371" t="inlineStr">
        <is>
          <t>AB</t>
        </is>
      </c>
      <c r="H4371" s="12" t="n">
        <v>11131.63</v>
      </c>
      <c r="I4371" s="17" t="n">
        <v>46113</v>
      </c>
      <c r="J4371" s="17" t="n">
        <v>44838</v>
      </c>
      <c r="K4371" t="inlineStr">
        <is>
          <t>CUSTOM A DEVOLVER</t>
        </is>
      </c>
    </row>
    <row r="4372">
      <c r="A4372" t="inlineStr">
        <is>
          <t>101071</t>
        </is>
      </c>
      <c r="B4372" t="inlineStr">
        <is>
          <t>CUSTOM COMERCIO INTERNACIONAL LTDA</t>
        </is>
      </c>
      <c r="C4372" t="n">
        <v>1191000000</v>
      </c>
      <c r="D4372" t="inlineStr">
        <is>
          <t>Customs Brokerage – Overall</t>
        </is>
      </c>
      <c r="E4372" t="n">
        <v>1100009202</v>
      </c>
      <c r="F4372" t="inlineStr">
        <is>
          <t>611144/611145</t>
        </is>
      </c>
      <c r="G4372" t="inlineStr">
        <is>
          <t>AB</t>
        </is>
      </c>
      <c r="H4372" s="12" t="n">
        <v>11747.96</v>
      </c>
      <c r="I4372" s="17" t="n">
        <v>46113</v>
      </c>
      <c r="J4372" s="17" t="n">
        <v>44512</v>
      </c>
      <c r="K4372" t="inlineStr">
        <is>
          <t>CUSTOM A DEVOLVER</t>
        </is>
      </c>
    </row>
    <row r="4373">
      <c r="A4373" t="inlineStr">
        <is>
          <t>101071</t>
        </is>
      </c>
      <c r="B4373" t="inlineStr">
        <is>
          <t>CUSTOM COMERCIO INTERNACIONAL LTDA</t>
        </is>
      </c>
      <c r="C4373" t="n">
        <v>1191000000</v>
      </c>
      <c r="D4373" t="inlineStr">
        <is>
          <t>Customs Brokerage – Overall</t>
        </is>
      </c>
      <c r="E4373" t="n">
        <v>1100009356</v>
      </c>
      <c r="F4373" t="inlineStr">
        <is>
          <t>4012334209</t>
        </is>
      </c>
      <c r="G4373" t="inlineStr">
        <is>
          <t>AB</t>
        </is>
      </c>
      <c r="H4373" s="12" t="n">
        <v>9825.77</v>
      </c>
      <c r="I4373" s="17" t="n">
        <v>46113</v>
      </c>
      <c r="J4373" s="17" t="n">
        <v>45063</v>
      </c>
      <c r="K4373" t="inlineStr">
        <is>
          <t>CUSTOM A DEVOLVER</t>
        </is>
      </c>
    </row>
    <row r="4374">
      <c r="A4374" t="inlineStr">
        <is>
          <t>101071</t>
        </is>
      </c>
      <c r="B4374" t="inlineStr">
        <is>
          <t>CUSTOM COMERCIO INTERNACIONAL LTDA</t>
        </is>
      </c>
      <c r="C4374" t="n">
        <v>1191000000</v>
      </c>
      <c r="D4374" t="inlineStr">
        <is>
          <t>Customs Brokerage – Overall</t>
        </is>
      </c>
      <c r="E4374" t="n">
        <v>1100009358</v>
      </c>
      <c r="F4374" t="inlineStr">
        <is>
          <t>4012326671</t>
        </is>
      </c>
      <c r="G4374" t="inlineStr">
        <is>
          <t>AB</t>
        </is>
      </c>
      <c r="H4374" s="12" t="n">
        <v>5860.48</v>
      </c>
      <c r="I4374" s="17" t="n">
        <v>46113</v>
      </c>
      <c r="J4374" s="17" t="n">
        <v>45036</v>
      </c>
      <c r="K4374" t="inlineStr">
        <is>
          <t>CUSTOM A DEVOLVER</t>
        </is>
      </c>
    </row>
    <row r="4375">
      <c r="A4375" t="inlineStr">
        <is>
          <t>101071</t>
        </is>
      </c>
      <c r="B4375" t="inlineStr">
        <is>
          <t>CUSTOM COMERCIO INTERNACIONAL LTDA</t>
        </is>
      </c>
      <c r="C4375" t="n">
        <v>1191000000</v>
      </c>
      <c r="D4375" t="inlineStr">
        <is>
          <t>Customs Brokerage – Overall</t>
        </is>
      </c>
      <c r="E4375" t="n">
        <v>1100009359</v>
      </c>
      <c r="F4375" t="inlineStr">
        <is>
          <t>4012326735</t>
        </is>
      </c>
      <c r="G4375" t="inlineStr">
        <is>
          <t>AB</t>
        </is>
      </c>
      <c r="H4375" s="12" t="n">
        <v>5963.98</v>
      </c>
      <c r="I4375" s="17" t="n">
        <v>46113</v>
      </c>
      <c r="J4375" s="17" t="n">
        <v>45036</v>
      </c>
      <c r="K4375" t="inlineStr">
        <is>
          <t>CUSTOM A DEVOLVER</t>
        </is>
      </c>
    </row>
    <row r="4376">
      <c r="A4376" t="inlineStr">
        <is>
          <t>101071</t>
        </is>
      </c>
      <c r="B4376" t="inlineStr">
        <is>
          <t>CUSTOM COMERCIO INTERNACIONAL LTDA</t>
        </is>
      </c>
      <c r="C4376" t="n">
        <v>1191000000</v>
      </c>
      <c r="D4376" t="inlineStr">
        <is>
          <t>Customs Brokerage – Overall</t>
        </is>
      </c>
      <c r="E4376" t="n">
        <v>1100009360</v>
      </c>
      <c r="F4376" t="inlineStr">
        <is>
          <t>MORR002T</t>
        </is>
      </c>
      <c r="G4376" t="inlineStr">
        <is>
          <t>AB</t>
        </is>
      </c>
      <c r="H4376" s="12" t="n">
        <v>6568.12</v>
      </c>
      <c r="I4376" s="17" t="n">
        <v>46113</v>
      </c>
      <c r="J4376" s="17" t="n">
        <v>45009</v>
      </c>
      <c r="K4376" t="inlineStr">
        <is>
          <t>CUSTOM A DEVOLVER</t>
        </is>
      </c>
    </row>
    <row r="4377">
      <c r="A4377" t="inlineStr">
        <is>
          <t>101071</t>
        </is>
      </c>
      <c r="B4377" t="inlineStr">
        <is>
          <t>CUSTOM COMERCIO INTERNACIONAL LTDA</t>
        </is>
      </c>
      <c r="C4377" t="n">
        <v>1191000000</v>
      </c>
      <c r="D4377" t="inlineStr">
        <is>
          <t>Customs Brokerage – Overall</t>
        </is>
      </c>
      <c r="E4377" t="n">
        <v>1100009361</v>
      </c>
      <c r="F4377" t="inlineStr">
        <is>
          <t>MORR003T</t>
        </is>
      </c>
      <c r="G4377" t="inlineStr">
        <is>
          <t>AB</t>
        </is>
      </c>
      <c r="H4377" s="12" t="n">
        <v>6146.44</v>
      </c>
      <c r="I4377" s="17" t="n">
        <v>46113</v>
      </c>
      <c r="J4377" s="17" t="n">
        <v>45007</v>
      </c>
      <c r="K4377" t="inlineStr">
        <is>
          <t>CUSTOM A DEVOLVER</t>
        </is>
      </c>
    </row>
    <row r="4378">
      <c r="A4378" t="inlineStr">
        <is>
          <t>101071</t>
        </is>
      </c>
      <c r="B4378" t="inlineStr">
        <is>
          <t>CUSTOM COMERCIO INTERNACIONAL LTDA</t>
        </is>
      </c>
      <c r="C4378" t="n">
        <v>1191000000</v>
      </c>
      <c r="D4378" t="inlineStr">
        <is>
          <t>Customs Brokerage – Overall</t>
        </is>
      </c>
      <c r="E4378" t="n">
        <v>1100009371</v>
      </c>
      <c r="F4378" t="inlineStr">
        <is>
          <t>611290</t>
        </is>
      </c>
      <c r="G4378" t="inlineStr">
        <is>
          <t>AB</t>
        </is>
      </c>
      <c r="H4378" s="12" t="n">
        <v>6322.19</v>
      </c>
      <c r="I4378" s="17" t="n">
        <v>46113</v>
      </c>
      <c r="J4378" s="17" t="n">
        <v>44552</v>
      </c>
      <c r="K4378" t="inlineStr">
        <is>
          <t>CUSTOM A DEVOLVER</t>
        </is>
      </c>
    </row>
    <row r="4379">
      <c r="A4379" t="inlineStr">
        <is>
          <t>101071</t>
        </is>
      </c>
      <c r="B4379" t="inlineStr">
        <is>
          <t>CUSTOM COMERCIO INTERNACIONAL LTDA</t>
        </is>
      </c>
      <c r="C4379" t="n">
        <v>1191000000</v>
      </c>
      <c r="D4379" t="inlineStr">
        <is>
          <t>Customs Brokerage – Overall</t>
        </is>
      </c>
      <c r="E4379" t="n">
        <v>1100009378</v>
      </c>
      <c r="F4379" t="inlineStr">
        <is>
          <t>4010005753</t>
        </is>
      </c>
      <c r="G4379" t="inlineStr">
        <is>
          <t>AB</t>
        </is>
      </c>
      <c r="H4379" s="12" t="n">
        <v>8174.1</v>
      </c>
      <c r="I4379" s="17" t="n">
        <v>46113</v>
      </c>
      <c r="J4379" s="17" t="n">
        <v>44522</v>
      </c>
      <c r="K4379" t="inlineStr">
        <is>
          <t>CUSTOM A DEVOLVER</t>
        </is>
      </c>
    </row>
    <row r="4380">
      <c r="A4380" t="inlineStr">
        <is>
          <t>101071</t>
        </is>
      </c>
      <c r="B4380" t="inlineStr">
        <is>
          <t>CUSTOM COMERCIO INTERNACIONAL LTDA</t>
        </is>
      </c>
      <c r="C4380" t="n">
        <v>1191000000</v>
      </c>
      <c r="D4380" t="inlineStr">
        <is>
          <t>Customs Brokerage – Overall</t>
        </is>
      </c>
      <c r="E4380" t="n">
        <v>1100009379</v>
      </c>
      <c r="F4380" t="inlineStr">
        <is>
          <t>4010005738</t>
        </is>
      </c>
      <c r="G4380" t="inlineStr">
        <is>
          <t>AB</t>
        </is>
      </c>
      <c r="H4380" s="12" t="n">
        <v>8082.12</v>
      </c>
      <c r="I4380" s="17" t="n">
        <v>46113</v>
      </c>
      <c r="J4380" s="17" t="n">
        <v>44522</v>
      </c>
      <c r="K4380" t="inlineStr">
        <is>
          <t>CUSTOM A DEVOLVER</t>
        </is>
      </c>
    </row>
    <row r="4381">
      <c r="A4381" t="inlineStr">
        <is>
          <t>101071</t>
        </is>
      </c>
      <c r="B4381" t="inlineStr">
        <is>
          <t>CUSTOM COMERCIO INTERNACIONAL LTDA</t>
        </is>
      </c>
      <c r="C4381" t="n">
        <v>1191000000</v>
      </c>
      <c r="D4381" t="inlineStr">
        <is>
          <t>Customs Brokerage – Overall</t>
        </is>
      </c>
      <c r="E4381" t="n">
        <v>1100009380</v>
      </c>
      <c r="F4381" t="inlineStr">
        <is>
          <t>610937</t>
        </is>
      </c>
      <c r="G4381" t="inlineStr">
        <is>
          <t>AB</t>
        </is>
      </c>
      <c r="H4381" s="12" t="n">
        <v>4020.77</v>
      </c>
      <c r="I4381" s="17" t="n">
        <v>46113</v>
      </c>
      <c r="J4381" s="17" t="n">
        <v>44512</v>
      </c>
      <c r="K4381" t="inlineStr">
        <is>
          <t>CUSTOM A DEVOLVER</t>
        </is>
      </c>
    </row>
    <row r="4382">
      <c r="A4382" t="inlineStr">
        <is>
          <t>101071</t>
        </is>
      </c>
      <c r="B4382" t="inlineStr">
        <is>
          <t>CUSTOM COMERCIO INTERNACIONAL LTDA</t>
        </is>
      </c>
      <c r="C4382" t="n">
        <v>1191000000</v>
      </c>
      <c r="D4382" t="inlineStr">
        <is>
          <t>Customs Brokerage – Overall</t>
        </is>
      </c>
      <c r="E4382" t="n">
        <v>1100009400</v>
      </c>
      <c r="F4382" t="inlineStr">
        <is>
          <t>4012334003</t>
        </is>
      </c>
      <c r="G4382" t="inlineStr">
        <is>
          <t>AB</t>
        </is>
      </c>
      <c r="H4382" s="12" t="n">
        <v>4926.6</v>
      </c>
      <c r="I4382" s="17" t="n">
        <v>46113</v>
      </c>
      <c r="J4382" s="17" t="n">
        <v>45062</v>
      </c>
      <c r="K4382" t="inlineStr">
        <is>
          <t>CUSTOM A DEVOLVER</t>
        </is>
      </c>
    </row>
    <row r="4383">
      <c r="A4383" t="inlineStr">
        <is>
          <t>101071</t>
        </is>
      </c>
      <c r="B4383" t="inlineStr">
        <is>
          <t>CUSTOM COMERCIO INTERNACIONAL LTDA</t>
        </is>
      </c>
      <c r="C4383" t="n">
        <v>1191000000</v>
      </c>
      <c r="D4383" t="inlineStr">
        <is>
          <t>Customs Brokerage – Overall</t>
        </is>
      </c>
      <c r="E4383" t="n">
        <v>1100009401</v>
      </c>
      <c r="F4383" t="inlineStr">
        <is>
          <t>4012334005</t>
        </is>
      </c>
      <c r="G4383" t="inlineStr">
        <is>
          <t>AB</t>
        </is>
      </c>
      <c r="H4383" s="12" t="n">
        <v>4698.34</v>
      </c>
      <c r="I4383" s="17" t="n">
        <v>46113</v>
      </c>
      <c r="J4383" s="17" t="n">
        <v>45062</v>
      </c>
      <c r="K4383" t="inlineStr">
        <is>
          <t>CUSTOM A DEVOLVER</t>
        </is>
      </c>
    </row>
    <row r="4384">
      <c r="A4384" t="inlineStr">
        <is>
          <t>101007</t>
        </is>
      </c>
      <c r="B4384" t="inlineStr">
        <is>
          <t>SANTA BARBARA TRANSPORTES E LOGISTI</t>
        </is>
      </c>
      <c r="C4384" t="n">
        <v>1191000000</v>
      </c>
      <c r="D4384" t="inlineStr">
        <is>
          <t>Other Suppliers</t>
        </is>
      </c>
      <c r="E4384" t="n">
        <v>1100009776</v>
      </c>
      <c r="F4384" t="inlineStr">
        <is>
          <t>ADTO INDEVIDO</t>
        </is>
      </c>
      <c r="G4384" t="inlineStr">
        <is>
          <t>AB</t>
        </is>
      </c>
      <c r="H4384" s="12" t="n">
        <v>15766.62</v>
      </c>
      <c r="I4384" s="17" t="n">
        <v>45579</v>
      </c>
      <c r="J4384" s="17" t="n">
        <v>45579</v>
      </c>
      <c r="K4384" t="inlineStr">
        <is>
          <t>Partida individual SANTA BARBARA TRANSPORTES E LOG</t>
        </is>
      </c>
    </row>
    <row r="4385">
      <c r="A4385" t="inlineStr">
        <is>
          <t>105984</t>
        </is>
      </c>
      <c r="B4385" t="inlineStr">
        <is>
          <t>TRADEWORKS SERVICOS DE COMERCIO EXT 04955748000107</t>
        </is>
      </c>
      <c r="C4385" t="n">
        <v>1191000000</v>
      </c>
      <c r="D4385" t="inlineStr">
        <is>
          <t>Customs Brokerage – Overall</t>
        </is>
      </c>
      <c r="E4385" t="n">
        <v>1100009800</v>
      </c>
      <c r="F4385" t="inlineStr">
        <is>
          <t>0034/26</t>
        </is>
      </c>
      <c r="G4385" t="inlineStr">
        <is>
          <t>AB</t>
        </is>
      </c>
      <c r="H4385" s="12" t="n">
        <v>74479.14</v>
      </c>
      <c r="I4385" s="17" t="n">
        <v>46113</v>
      </c>
      <c r="J4385" s="17" t="n">
        <v>46057</v>
      </c>
      <c r="K4385" t="inlineStr">
        <is>
          <t>Partida individual TRADEWORKS SERVICOS DE COMERCIO</t>
        </is>
      </c>
    </row>
    <row r="4386">
      <c r="A4386" t="inlineStr">
        <is>
          <t>101540</t>
        </is>
      </c>
      <c r="B4386" t="inlineStr">
        <is>
          <t>RICOH PY EQUIPAMENTOS DE INFORMATIC</t>
        </is>
      </c>
      <c r="C4386" t="n">
        <v>1191000000</v>
      </c>
      <c r="D4386" t="inlineStr">
        <is>
          <t>Other Suppliers</t>
        </is>
      </c>
      <c r="E4386" t="n">
        <v>1100010521</v>
      </c>
      <c r="F4386" t="inlineStr">
        <is>
          <t>011748</t>
        </is>
      </c>
      <c r="G4386" t="inlineStr">
        <is>
          <t>AB</t>
        </is>
      </c>
      <c r="H4386" s="12" t="n">
        <v>7856.43</v>
      </c>
      <c r="I4386" s="17" t="n">
        <v>45623</v>
      </c>
      <c r="J4386" s="17" t="n">
        <v>45623</v>
      </c>
      <c r="K4386" t="inlineStr">
        <is>
          <t>Documento fornecedor RICOH PY EQUIPAMENTOS DE INFO</t>
        </is>
      </c>
    </row>
    <row r="4387">
      <c r="A4387" t="inlineStr">
        <is>
          <t>105984</t>
        </is>
      </c>
      <c r="B4387" t="inlineStr">
        <is>
          <t>TRADEWORKS SERVICOS DE COMERCIO EXT 04955748000107</t>
        </is>
      </c>
      <c r="C4387" t="n">
        <v>1191000000</v>
      </c>
      <c r="D4387" t="inlineStr">
        <is>
          <t>Customs Brokerage – Overall</t>
        </is>
      </c>
      <c r="E4387" t="n">
        <v>1100011882</v>
      </c>
      <c r="F4387" t="inlineStr">
        <is>
          <t>0939/25</t>
        </is>
      </c>
      <c r="G4387" t="inlineStr">
        <is>
          <t>AB</t>
        </is>
      </c>
      <c r="H4387" s="12" t="n">
        <v>15920.49</v>
      </c>
      <c r="I4387" s="17" t="n">
        <v>46150</v>
      </c>
      <c r="J4387" s="17" t="n">
        <v>46029</v>
      </c>
      <c r="K4387" t="inlineStr">
        <is>
          <t>Partida individual TRADEWORKS SERVICOS DE COMERCIO</t>
        </is>
      </c>
    </row>
    <row r="4388">
      <c r="A4388" t="inlineStr">
        <is>
          <t>105984</t>
        </is>
      </c>
      <c r="B4388" t="inlineStr">
        <is>
          <t>TRADEWORKS SERVICOS DE COMERCIO EXT 04955748000107</t>
        </is>
      </c>
      <c r="C4388" t="n">
        <v>1191000000</v>
      </c>
      <c r="D4388" t="inlineStr">
        <is>
          <t>Customs Brokerage – Overall</t>
        </is>
      </c>
      <c r="E4388" t="n">
        <v>1100014465</v>
      </c>
      <c r="F4388" t="inlineStr">
        <is>
          <t>0058/23</t>
        </is>
      </c>
      <c r="G4388" t="inlineStr">
        <is>
          <t>AB</t>
        </is>
      </c>
      <c r="H4388" s="12" t="n">
        <v>6539.52</v>
      </c>
      <c r="I4388" s="17" t="n">
        <v>46192</v>
      </c>
      <c r="J4388" s="17" t="n">
        <v>46176</v>
      </c>
      <c r="K4388" t="inlineStr">
        <is>
          <t>Partida individual TRADEWORKS SERVICOS DE COMERCIO</t>
        </is>
      </c>
    </row>
    <row r="4389">
      <c r="A4389" t="inlineStr">
        <is>
          <t>105984</t>
        </is>
      </c>
      <c r="B4389" t="inlineStr">
        <is>
          <t>TRADEWORKS SERVICOS DE COMERCIO EXT 04955748000107</t>
        </is>
      </c>
      <c r="C4389" t="n">
        <v>1191000000</v>
      </c>
      <c r="D4389" t="inlineStr">
        <is>
          <t>Customs Brokerage – Overall</t>
        </is>
      </c>
      <c r="E4389" t="n">
        <v>1100014466</v>
      </c>
      <c r="F4389" t="inlineStr">
        <is>
          <t>0018/23</t>
        </is>
      </c>
      <c r="G4389" t="inlineStr">
        <is>
          <t>AB</t>
        </is>
      </c>
      <c r="H4389" s="12" t="n">
        <v>2286.95</v>
      </c>
      <c r="I4389" s="17" t="n">
        <v>46192</v>
      </c>
      <c r="J4389" s="17" t="n">
        <v>46176</v>
      </c>
      <c r="K4389" t="inlineStr">
        <is>
          <t>Partida individual TRADEWORKS SERVICOS DE COMERCIO</t>
        </is>
      </c>
    </row>
    <row r="4390">
      <c r="A4390" t="inlineStr">
        <is>
          <t>105984</t>
        </is>
      </c>
      <c r="B4390" t="inlineStr">
        <is>
          <t>TRADEWORKS SERVICOS DE COMERCIO EXT 04955748000107</t>
        </is>
      </c>
      <c r="C4390" t="n">
        <v>1191000000</v>
      </c>
      <c r="D4390" t="inlineStr">
        <is>
          <t>Customs Brokerage – Overall</t>
        </is>
      </c>
      <c r="E4390" t="n">
        <v>1100014467</v>
      </c>
      <c r="F4390" t="inlineStr">
        <is>
          <t>TWIAS01495/26</t>
        </is>
      </c>
      <c r="G4390" t="inlineStr">
        <is>
          <t>AB</t>
        </is>
      </c>
      <c r="H4390" s="12" t="n">
        <v>10942.25</v>
      </c>
      <c r="I4390" s="17" t="n">
        <v>46192</v>
      </c>
      <c r="J4390" s="17" t="n">
        <v>46176</v>
      </c>
      <c r="K4390" t="inlineStr">
        <is>
          <t>Partida individual TRADEWORKS SERVICOS DE COMERCIO</t>
        </is>
      </c>
    </row>
    <row r="4391">
      <c r="A4391" t="inlineStr">
        <is>
          <t>105984</t>
        </is>
      </c>
      <c r="B4391" t="inlineStr">
        <is>
          <t>TRADEWORKS SERVICOS DE COMERCIO EXT 04955748000107</t>
        </is>
      </c>
      <c r="C4391" t="n">
        <v>1191000000</v>
      </c>
      <c r="D4391" t="inlineStr">
        <is>
          <t>Customs Brokerage – Overall</t>
        </is>
      </c>
      <c r="E4391" t="n">
        <v>1100014469</v>
      </c>
      <c r="F4391" t="inlineStr">
        <is>
          <t>TWIAS02099/26</t>
        </is>
      </c>
      <c r="G4391" t="inlineStr">
        <is>
          <t>AB</t>
        </is>
      </c>
      <c r="H4391" s="12" t="n">
        <v>1705.4</v>
      </c>
      <c r="I4391" s="17" t="n">
        <v>46192</v>
      </c>
      <c r="J4391" s="17" t="n">
        <v>46176</v>
      </c>
      <c r="K4391" t="inlineStr">
        <is>
          <t>Partida individual TRADEWORKS SERVICOS DE COMERCIO</t>
        </is>
      </c>
    </row>
    <row r="4392">
      <c r="A4392" t="inlineStr">
        <is>
          <t>105984</t>
        </is>
      </c>
      <c r="B4392" t="inlineStr">
        <is>
          <t>TRADEWORKS SERVICOS DE COMERCIO EXT 04955748000107</t>
        </is>
      </c>
      <c r="C4392" t="n">
        <v>1191000000</v>
      </c>
      <c r="D4392" t="inlineStr">
        <is>
          <t>Customs Brokerage – Overall</t>
        </is>
      </c>
      <c r="E4392" t="n">
        <v>1100014476</v>
      </c>
      <c r="F4392" t="inlineStr">
        <is>
          <t>0635/24</t>
        </is>
      </c>
      <c r="G4392" t="inlineStr">
        <is>
          <t>AB</t>
        </is>
      </c>
      <c r="H4392" s="12" t="n">
        <v>3924.35</v>
      </c>
      <c r="I4392" s="17" t="n">
        <v>46192</v>
      </c>
      <c r="J4392" s="17" t="n">
        <v>46176</v>
      </c>
      <c r="K4392" t="inlineStr">
        <is>
          <t>Partida individual TRADEWORKS SERVICOS DE COMERCIO</t>
        </is>
      </c>
    </row>
    <row r="4393">
      <c r="A4393" t="inlineStr">
        <is>
          <t>101963</t>
        </is>
      </c>
      <c r="B4393" t="inlineStr">
        <is>
          <t>4U CONSTRUCOES LTDA EPP</t>
        </is>
      </c>
      <c r="C4393" t="n">
        <v>1191000000</v>
      </c>
      <c r="D4393" t="inlineStr">
        <is>
          <t>Construction Services – Under Litigation</t>
        </is>
      </c>
      <c r="E4393" t="n">
        <v>1100017361</v>
      </c>
      <c r="F4393" t="inlineStr">
        <is>
          <t>FEIJAO</t>
        </is>
      </c>
      <c r="G4393" t="inlineStr">
        <is>
          <t>AB</t>
        </is>
      </c>
      <c r="H4393" s="12" t="n">
        <v>14302193.56</v>
      </c>
      <c r="I4393" s="17" t="n">
        <v>46203</v>
      </c>
      <c r="J4393" s="17" t="n">
        <v>46203</v>
      </c>
      <c r="K4393" t="inlineStr">
        <is>
          <t>IDENTIFICAÇÃO FEIJAO WBS</t>
        </is>
      </c>
    </row>
    <row r="4394">
      <c r="A4394" t="inlineStr">
        <is>
          <t>105984</t>
        </is>
      </c>
      <c r="B4394" t="inlineStr">
        <is>
          <t>TRADEWORKS SERVICOS DE COMERCIO EXT 04955748000107</t>
        </is>
      </c>
      <c r="C4394" t="n">
        <v>1191000000</v>
      </c>
      <c r="D4394" t="inlineStr">
        <is>
          <t>Customs Brokerage – Overall</t>
        </is>
      </c>
      <c r="E4394" t="n">
        <v>1100017998</v>
      </c>
      <c r="F4394" t="inlineStr">
        <is>
          <t>TWIAS01921/26</t>
        </is>
      </c>
      <c r="G4394" t="inlineStr">
        <is>
          <t>AB</t>
        </is>
      </c>
      <c r="H4394" s="12" t="n">
        <v>10767.97</v>
      </c>
      <c r="I4394" s="17" t="n">
        <v>46206</v>
      </c>
      <c r="J4394" s="17" t="n">
        <v>46190</v>
      </c>
      <c r="K4394" t="inlineStr">
        <is>
          <t>Partida individual TRADEWORKS SERVICOS DE COMERCIO</t>
        </is>
      </c>
    </row>
    <row r="4395">
      <c r="A4395" t="inlineStr">
        <is>
          <t>105984</t>
        </is>
      </c>
      <c r="B4395" t="inlineStr">
        <is>
          <t>TRADEWORKS SERVICOS DE COMERCIO EXT 04955748000107</t>
        </is>
      </c>
      <c r="C4395" t="n">
        <v>1191000000</v>
      </c>
      <c r="D4395" t="inlineStr">
        <is>
          <t>Customs Brokerage – Overall</t>
        </is>
      </c>
      <c r="E4395" t="n">
        <v>1100021427</v>
      </c>
      <c r="F4395" t="inlineStr">
        <is>
          <t>0458/26</t>
        </is>
      </c>
      <c r="G4395" t="inlineStr">
        <is>
          <t>AB</t>
        </is>
      </c>
      <c r="H4395" s="12" t="n">
        <v>58243.99</v>
      </c>
      <c r="I4395" s="17" t="n">
        <v>46251</v>
      </c>
      <c r="J4395" s="17" t="n">
        <v>46211</v>
      </c>
      <c r="K4395" t="inlineStr">
        <is>
          <t>Partida individual TRADEWORKS SERVICOS DE COMERCIO</t>
        </is>
      </c>
    </row>
    <row r="4396">
      <c r="A4396" t="inlineStr">
        <is>
          <t>105984</t>
        </is>
      </c>
      <c r="B4396" t="inlineStr">
        <is>
          <t>TRADEWORKS SERVICOS DE COMERCIO EXT 04955748000107</t>
        </is>
      </c>
      <c r="C4396" t="n">
        <v>1191000000</v>
      </c>
      <c r="D4396" t="inlineStr">
        <is>
          <t>Customs Brokerage – Overall</t>
        </is>
      </c>
      <c r="E4396" t="n">
        <v>1100021460</v>
      </c>
      <c r="F4396" t="inlineStr">
        <is>
          <t>TWIAS03608/26</t>
        </is>
      </c>
      <c r="G4396" t="inlineStr">
        <is>
          <t>AB</t>
        </is>
      </c>
      <c r="H4396" s="12" t="n">
        <v>9103.25</v>
      </c>
      <c r="I4396" s="17" t="n">
        <v>46254</v>
      </c>
      <c r="J4396" s="17" t="n">
        <v>46246</v>
      </c>
      <c r="K4396" t="inlineStr">
        <is>
          <t>Partida individual TRADEWORKS SERVICOS DE COMERCIO</t>
        </is>
      </c>
    </row>
    <row r="4397">
      <c r="A4397" t="inlineStr">
        <is>
          <t>105984</t>
        </is>
      </c>
      <c r="B4397" t="inlineStr">
        <is>
          <t>TRADEWORKS SERVICOS DE COMERCIO EXT 04955748000107</t>
        </is>
      </c>
      <c r="C4397" t="n">
        <v>1191000000</v>
      </c>
      <c r="D4397" t="inlineStr">
        <is>
          <t>Customs Brokerage – Overall</t>
        </is>
      </c>
      <c r="E4397" t="n">
        <v>1100021461</v>
      </c>
      <c r="F4397" t="inlineStr">
        <is>
          <t>TWIAS03605/26</t>
        </is>
      </c>
      <c r="G4397" t="inlineStr">
        <is>
          <t>AB</t>
        </is>
      </c>
      <c r="H4397" s="12" t="n">
        <v>12120.19</v>
      </c>
      <c r="I4397" s="17" t="n">
        <v>46254</v>
      </c>
      <c r="J4397" s="17" t="n">
        <v>46246</v>
      </c>
      <c r="K4397" t="inlineStr">
        <is>
          <t>Partida individual TRADEWORKS SERVICOS DE COMERCIO</t>
        </is>
      </c>
    </row>
    <row r="4398">
      <c r="A4398" t="inlineStr">
        <is>
          <t>105984</t>
        </is>
      </c>
      <c r="B4398" t="inlineStr">
        <is>
          <t>TRADEWORKS SERVICOS DE COMERCIO EXT 04955748000107</t>
        </is>
      </c>
      <c r="C4398" t="n">
        <v>1191000000</v>
      </c>
      <c r="D4398" t="inlineStr">
        <is>
          <t>Customs Brokerage – Overall</t>
        </is>
      </c>
      <c r="E4398" t="n">
        <v>1100021462</v>
      </c>
      <c r="F4398" t="inlineStr">
        <is>
          <t>TWIAS03607/26</t>
        </is>
      </c>
      <c r="G4398" t="inlineStr">
        <is>
          <t>AB</t>
        </is>
      </c>
      <c r="H4398" s="12" t="n">
        <v>9726.200000000001</v>
      </c>
      <c r="I4398" s="17" t="n">
        <v>46254</v>
      </c>
      <c r="J4398" s="17" t="n">
        <v>46246</v>
      </c>
      <c r="K4398" t="inlineStr">
        <is>
          <t>Partida individual TRADEWORKS SERVICOS DE COMERCIO</t>
        </is>
      </c>
    </row>
    <row r="4399">
      <c r="A4399" t="inlineStr">
        <is>
          <t>105984</t>
        </is>
      </c>
      <c r="B4399" t="inlineStr">
        <is>
          <t>TRADEWORKS SERVICOS DE COMERCIO EXT 04955748000107</t>
        </is>
      </c>
      <c r="C4399" t="n">
        <v>1191000000</v>
      </c>
      <c r="D4399" t="inlineStr">
        <is>
          <t>Customs Brokerage – Overall</t>
        </is>
      </c>
      <c r="E4399" t="n">
        <v>1100021537</v>
      </c>
      <c r="F4399" t="inlineStr">
        <is>
          <t>TWIAS03611/26</t>
        </is>
      </c>
      <c r="G4399" t="inlineStr">
        <is>
          <t>AB</t>
        </is>
      </c>
      <c r="H4399" s="12" t="n">
        <v>8532.25</v>
      </c>
      <c r="I4399" s="17" t="n">
        <v>46254</v>
      </c>
      <c r="J4399" s="17" t="n">
        <v>46246</v>
      </c>
      <c r="K4399" t="inlineStr">
        <is>
          <t>Partida individual TRADEWORKS SERVICOS DE COMERCIO</t>
        </is>
      </c>
    </row>
    <row r="4400">
      <c r="A4400" t="inlineStr">
        <is>
          <t>105984</t>
        </is>
      </c>
      <c r="B4400" t="inlineStr">
        <is>
          <t>TRADEWORKS SERVICOS DE COMERCIO EXT 04955748000107</t>
        </is>
      </c>
      <c r="C4400" t="n">
        <v>1191000000</v>
      </c>
      <c r="D4400" t="inlineStr">
        <is>
          <t>Customs Brokerage – Overall</t>
        </is>
      </c>
      <c r="E4400" t="n">
        <v>1100021538</v>
      </c>
      <c r="F4400" t="inlineStr">
        <is>
          <t>TWIAS03610/26</t>
        </is>
      </c>
      <c r="G4400" t="inlineStr">
        <is>
          <t>AB</t>
        </is>
      </c>
      <c r="H4400" s="12" t="n">
        <v>7962.79</v>
      </c>
      <c r="I4400" s="17" t="n">
        <v>46254</v>
      </c>
      <c r="J4400" s="17" t="n">
        <v>46246</v>
      </c>
      <c r="K4400" t="inlineStr">
        <is>
          <t>Partida individual TRADEWORKS SERVICOS DE COMERCIO</t>
        </is>
      </c>
    </row>
    <row r="4401">
      <c r="A4401" t="inlineStr">
        <is>
          <t>105984</t>
        </is>
      </c>
      <c r="B4401" t="inlineStr">
        <is>
          <t>TRADEWORKS SERVICOS DE COMERCIO EXT 04955748000107</t>
        </is>
      </c>
      <c r="C4401" t="n">
        <v>1191000000</v>
      </c>
      <c r="D4401" t="inlineStr">
        <is>
          <t>Customs Brokerage – Overall</t>
        </is>
      </c>
      <c r="E4401" t="n">
        <v>1100021539</v>
      </c>
      <c r="F4401" t="inlineStr">
        <is>
          <t>TWIAS03604/26</t>
        </is>
      </c>
      <c r="G4401" t="inlineStr">
        <is>
          <t>AB</t>
        </is>
      </c>
      <c r="H4401" s="12" t="n">
        <v>2001.46</v>
      </c>
      <c r="I4401" s="17" t="n">
        <v>46254</v>
      </c>
      <c r="J4401" s="17" t="n">
        <v>46246</v>
      </c>
      <c r="K4401" t="inlineStr">
        <is>
          <t>Partida individual TRADEWORKS SERVICOS DE COMERCIO</t>
        </is>
      </c>
    </row>
    <row r="4402">
      <c r="A4402" t="inlineStr">
        <is>
          <t>105984</t>
        </is>
      </c>
      <c r="B4402" t="inlineStr">
        <is>
          <t>TRADEWORKS SERVICOS DE COMERCIO EXT 04955748000107</t>
        </is>
      </c>
      <c r="C4402" t="n">
        <v>1191000000</v>
      </c>
      <c r="D4402" t="inlineStr">
        <is>
          <t>Customs Brokerage – Overall</t>
        </is>
      </c>
      <c r="E4402" t="n">
        <v>1100021540</v>
      </c>
      <c r="F4402" t="inlineStr">
        <is>
          <t>TWIAS03612/26</t>
        </is>
      </c>
      <c r="G4402" t="inlineStr">
        <is>
          <t>AB</t>
        </is>
      </c>
      <c r="H4402" s="12" t="n">
        <v>32587.76</v>
      </c>
      <c r="I4402" s="17" t="n">
        <v>46254</v>
      </c>
      <c r="J4402" s="17" t="n">
        <v>46246</v>
      </c>
      <c r="K4402" t="inlineStr">
        <is>
          <t>Partida individual TRADEWORKS SERVICOS DE COMERCIO</t>
        </is>
      </c>
    </row>
    <row r="4403">
      <c r="A4403" t="inlineStr">
        <is>
          <t>105984</t>
        </is>
      </c>
      <c r="B4403" t="inlineStr">
        <is>
          <t>TRADEWORKS SERVICOS DE COMERCIO EXT 04955748000107</t>
        </is>
      </c>
      <c r="C4403" t="n">
        <v>1191000000</v>
      </c>
      <c r="D4403" t="inlineStr">
        <is>
          <t>Customs Brokerage – Overall</t>
        </is>
      </c>
      <c r="E4403" t="n">
        <v>1100022413</v>
      </c>
      <c r="F4403" t="inlineStr">
        <is>
          <t>0419/26</t>
        </is>
      </c>
      <c r="G4403" t="inlineStr">
        <is>
          <t>AB</t>
        </is>
      </c>
      <c r="H4403" s="12" t="n">
        <v>145558.22</v>
      </c>
      <c r="I4403" s="17" t="n">
        <v>46247</v>
      </c>
      <c r="J4403" s="17" t="n">
        <v>46204</v>
      </c>
      <c r="K4403" t="inlineStr">
        <is>
          <t>Partida individual TRADEWORKS SERVICOS DE COMERCIO</t>
        </is>
      </c>
    </row>
    <row r="4404">
      <c r="A4404" t="inlineStr">
        <is>
          <t>105984</t>
        </is>
      </c>
      <c r="B4404" t="inlineStr">
        <is>
          <t>TRADEWORKS SERVICOS DE COMERCIO EXT 04955748000107</t>
        </is>
      </c>
      <c r="C4404" t="n">
        <v>1191000000</v>
      </c>
      <c r="D4404" t="inlineStr">
        <is>
          <t>Customs Brokerage – Overall</t>
        </is>
      </c>
      <c r="E4404" t="n">
        <v>1100022414</v>
      </c>
      <c r="F4404" t="inlineStr">
        <is>
          <t>0479/26</t>
        </is>
      </c>
      <c r="G4404" t="inlineStr">
        <is>
          <t>AB</t>
        </is>
      </c>
      <c r="H4404" s="12" t="n">
        <v>3625.4</v>
      </c>
      <c r="I4404" s="17" t="n">
        <v>46247</v>
      </c>
      <c r="J4404" s="17" t="n">
        <v>46232</v>
      </c>
      <c r="K4404" t="inlineStr">
        <is>
          <t>Partida individual TRADEWORKS SERVICOS DE COMERCIO</t>
        </is>
      </c>
    </row>
    <row r="4405">
      <c r="A4405" t="inlineStr">
        <is>
          <t>105984</t>
        </is>
      </c>
      <c r="B4405" t="inlineStr">
        <is>
          <t>TRADEWORKS SERVICOS DE COMERCIO EXT 04955748000107</t>
        </is>
      </c>
      <c r="C4405" t="n">
        <v>1191000000</v>
      </c>
      <c r="D4405" t="inlineStr">
        <is>
          <t>Customs Brokerage – Overall</t>
        </is>
      </c>
      <c r="E4405" t="n">
        <v>1100022418</v>
      </c>
      <c r="F4405" t="inlineStr">
        <is>
          <t>0480/26</t>
        </is>
      </c>
      <c r="G4405" t="inlineStr">
        <is>
          <t>AB</t>
        </is>
      </c>
      <c r="H4405" s="12" t="n">
        <v>1779.97</v>
      </c>
      <c r="I4405" s="17" t="n">
        <v>46247</v>
      </c>
      <c r="J4405" s="17" t="n">
        <v>46232</v>
      </c>
      <c r="K4405" t="inlineStr">
        <is>
          <t>Partida individual TRADEWORKS SERVICOS DE COMERCIO</t>
        </is>
      </c>
    </row>
    <row r="4406">
      <c r="A4406" t="inlineStr">
        <is>
          <t>105984</t>
        </is>
      </c>
      <c r="B4406" t="inlineStr">
        <is>
          <t>TRADEWORKS SERVICOS DE COMERCIO EXT 04955748000107</t>
        </is>
      </c>
      <c r="C4406" t="n">
        <v>1191000000</v>
      </c>
      <c r="D4406" t="inlineStr">
        <is>
          <t>Customs Brokerage – Overall</t>
        </is>
      </c>
      <c r="E4406" t="n">
        <v>1100022425</v>
      </c>
      <c r="F4406" t="inlineStr">
        <is>
          <t>TWIAS03361/26</t>
        </is>
      </c>
      <c r="G4406" t="inlineStr">
        <is>
          <t>AB</t>
        </is>
      </c>
      <c r="H4406" s="12" t="n">
        <v>3162.22</v>
      </c>
      <c r="I4406" s="17" t="n">
        <v>46247</v>
      </c>
      <c r="J4406" s="17" t="n">
        <v>46232</v>
      </c>
      <c r="K4406" t="inlineStr">
        <is>
          <t>Partida individual TRADEWORKS SERVICOS DE COMERCIO</t>
        </is>
      </c>
    </row>
    <row r="4407">
      <c r="A4407" t="inlineStr">
        <is>
          <t>105984</t>
        </is>
      </c>
      <c r="B4407" t="inlineStr">
        <is>
          <t>TRADEWORKS SERVICOS DE COMERCIO EXT 04955748000107</t>
        </is>
      </c>
      <c r="C4407" t="n">
        <v>1191000000</v>
      </c>
      <c r="D4407" t="inlineStr">
        <is>
          <t>Customs Brokerage – Overall</t>
        </is>
      </c>
      <c r="E4407" t="n">
        <v>1100022427</v>
      </c>
      <c r="F4407" t="inlineStr">
        <is>
          <t>0413/26</t>
        </is>
      </c>
      <c r="G4407" t="inlineStr">
        <is>
          <t>AB</t>
        </is>
      </c>
      <c r="H4407" s="12" t="n">
        <v>-196.55</v>
      </c>
      <c r="I4407" s="17" t="n">
        <v>46265</v>
      </c>
      <c r="J4407" s="17" t="n">
        <v>46265</v>
      </c>
      <c r="K4407" t="inlineStr">
        <is>
          <t>Partida individual TRADEWORKS SERVICOS DE COMERCIO</t>
        </is>
      </c>
    </row>
    <row r="4408">
      <c r="A4408" t="inlineStr">
        <is>
          <t>105984</t>
        </is>
      </c>
      <c r="B4408" t="inlineStr">
        <is>
          <t>TRADEWORKS SERVICOS DE COMERCIO EXT 04955748000107</t>
        </is>
      </c>
      <c r="C4408" t="n">
        <v>1191000000</v>
      </c>
      <c r="D4408" t="inlineStr">
        <is>
          <t>Customs Brokerage – Overall</t>
        </is>
      </c>
      <c r="E4408" t="n">
        <v>1100022428</v>
      </c>
      <c r="F4408" t="inlineStr">
        <is>
          <t>0419/26</t>
        </is>
      </c>
      <c r="G4408" t="inlineStr">
        <is>
          <t>AB</t>
        </is>
      </c>
      <c r="H4408" s="12" t="n">
        <v>-145558.22</v>
      </c>
      <c r="I4408" s="17" t="n">
        <v>46265</v>
      </c>
      <c r="J4408" s="17" t="n">
        <v>46265</v>
      </c>
      <c r="K4408" t="inlineStr">
        <is>
          <t>Partida individual TRADEWORKS SERVICOS DE COMERCIO</t>
        </is>
      </c>
    </row>
    <row r="4409">
      <c r="A4409" t="inlineStr">
        <is>
          <t>105984</t>
        </is>
      </c>
      <c r="B4409" t="inlineStr">
        <is>
          <t>TRADEWORKS SERVICOS DE COMERCIO EXT 04955748000107</t>
        </is>
      </c>
      <c r="C4409" t="n">
        <v>1191000000</v>
      </c>
      <c r="D4409" t="inlineStr">
        <is>
          <t>Customs Brokerage – Overall</t>
        </is>
      </c>
      <c r="E4409" t="n">
        <v>1100022428</v>
      </c>
      <c r="F4409" t="inlineStr">
        <is>
          <t>0419/26</t>
        </is>
      </c>
      <c r="G4409" t="inlineStr">
        <is>
          <t>AB</t>
        </is>
      </c>
      <c r="H4409" s="12" t="n">
        <v>-196.55</v>
      </c>
      <c r="I4409" s="17" t="n">
        <v>46265</v>
      </c>
      <c r="J4409" s="17" t="n">
        <v>46265</v>
      </c>
      <c r="K4409" t="inlineStr">
        <is>
          <t>Partida individual TRADEWORKS SERVICOS DE COMERCIO</t>
        </is>
      </c>
    </row>
    <row r="4410">
      <c r="A4410" t="inlineStr">
        <is>
          <t>101963</t>
        </is>
      </c>
      <c r="B4410" t="inlineStr">
        <is>
          <t>4U CONSTRUCOES LTDA EPP</t>
        </is>
      </c>
      <c r="C4410" t="n">
        <v>1191000000</v>
      </c>
      <c r="D4410" t="inlineStr">
        <is>
          <t>Construction Services – Under Litigation</t>
        </is>
      </c>
      <c r="E4410" t="n">
        <v>1100023352</v>
      </c>
      <c r="F4410" t="inlineStr">
        <is>
          <t>ADTO PROFORMA</t>
        </is>
      </c>
      <c r="G4410" t="inlineStr">
        <is>
          <t>AB</t>
        </is>
      </c>
      <c r="H4410" s="12" t="n">
        <v>1951027.85</v>
      </c>
      <c r="I4410" s="17" t="n">
        <v>45759</v>
      </c>
      <c r="J4410" s="17" t="n">
        <v>45759</v>
      </c>
      <c r="K4410" t="inlineStr">
        <is>
          <t>Partida individual 4U CONSTRUCOES LTDA EPP ADTO PR</t>
        </is>
      </c>
    </row>
    <row r="4411">
      <c r="A4411" t="inlineStr">
        <is>
          <t>101963</t>
        </is>
      </c>
      <c r="B4411" t="inlineStr">
        <is>
          <t>4U CONSTRUCOES LTDA EPP</t>
        </is>
      </c>
      <c r="C4411" t="n">
        <v>1191000000</v>
      </c>
      <c r="D4411" t="inlineStr">
        <is>
          <t>Construction Services – Under Litigation</t>
        </is>
      </c>
      <c r="E4411" t="n">
        <v>1100023353</v>
      </c>
      <c r="F4411" t="inlineStr">
        <is>
          <t>ORDEM DE RESERV</t>
        </is>
      </c>
      <c r="G4411" t="inlineStr">
        <is>
          <t>AB</t>
        </is>
      </c>
      <c r="H4411" s="12" t="n">
        <v>3521750</v>
      </c>
      <c r="I4411" s="17" t="n">
        <v>45759</v>
      </c>
      <c r="J4411" s="17" t="n">
        <v>45759</v>
      </c>
      <c r="K4411" t="inlineStr">
        <is>
          <t>Partida individual 4U CONSTRUCOES LTDA EPP ORDEM D</t>
        </is>
      </c>
    </row>
    <row r="4412">
      <c r="A4412" t="inlineStr">
        <is>
          <t>103740</t>
        </is>
      </c>
      <c r="B4412" t="inlineStr">
        <is>
          <t>SEM PARAR INSTITUIÇÃO DE PAGAMENTO</t>
        </is>
      </c>
      <c r="C4412" t="n">
        <v>1191000000</v>
      </c>
      <c r="D4412" t="inlineStr">
        <is>
          <t>Other Suppliers</t>
        </is>
      </c>
      <c r="E4412" t="n">
        <v>1100023355</v>
      </c>
      <c r="F4412" t="inlineStr">
        <is>
          <t>SALDO ADTO 23.08</t>
        </is>
      </c>
      <c r="G4412" t="inlineStr">
        <is>
          <t>AB</t>
        </is>
      </c>
      <c r="H4412" s="12" t="n">
        <v>34950.37</v>
      </c>
      <c r="I4412" s="17" t="n">
        <v>45761</v>
      </c>
      <c r="J4412" s="17" t="n">
        <v>45761</v>
      </c>
      <c r="K4412" t="inlineStr">
        <is>
          <t>Partida individual SEM PARAR INSTITUIÇÃO DE PAGAME</t>
        </is>
      </c>
    </row>
    <row r="4413">
      <c r="A4413" t="inlineStr">
        <is>
          <t>101260</t>
        </is>
      </c>
      <c r="B4413" t="inlineStr">
        <is>
          <t>ECOLOGICA NORDESTE EIRELI ME</t>
        </is>
      </c>
      <c r="C4413" t="n">
        <v>1191000000</v>
      </c>
      <c r="D4413" t="inlineStr">
        <is>
          <t>Other Suppliers</t>
        </is>
      </c>
      <c r="E4413" t="n">
        <v>1100023357</v>
      </c>
      <c r="F4413" t="inlineStr">
        <is>
          <t>682</t>
        </is>
      </c>
      <c r="G4413" t="inlineStr">
        <is>
          <t>AB</t>
        </is>
      </c>
      <c r="H4413" s="12" t="n">
        <v>175.1</v>
      </c>
      <c r="I4413" s="17" t="n">
        <v>45761</v>
      </c>
      <c r="J4413" s="17" t="n">
        <v>45761</v>
      </c>
      <c r="K4413" t="inlineStr">
        <is>
          <t>Partida individual ECOLOGICA NORDESTE EIRELI ME 68</t>
        </is>
      </c>
    </row>
    <row r="4414">
      <c r="A4414" t="inlineStr">
        <is>
          <t>101260</t>
        </is>
      </c>
      <c r="B4414" t="inlineStr">
        <is>
          <t>ECOLOGICA NORDESTE EIRELI ME</t>
        </is>
      </c>
      <c r="C4414" t="n">
        <v>1191000000</v>
      </c>
      <c r="D4414" t="inlineStr">
        <is>
          <t>Other Suppliers</t>
        </is>
      </c>
      <c r="E4414" t="n">
        <v>1100023358</v>
      </c>
      <c r="F4414" t="inlineStr">
        <is>
          <t>795</t>
        </is>
      </c>
      <c r="G4414" t="inlineStr">
        <is>
          <t>AB</t>
        </is>
      </c>
      <c r="H4414" s="12" t="n">
        <v>267.1</v>
      </c>
      <c r="I4414" s="17" t="n">
        <v>45761</v>
      </c>
      <c r="J4414" s="17" t="n">
        <v>45761</v>
      </c>
      <c r="K4414" t="inlineStr">
        <is>
          <t>Partida individual ECOLOGICA NORDESTE EIRELI ME 79</t>
        </is>
      </c>
    </row>
    <row r="4415">
      <c r="A4415" t="inlineStr">
        <is>
          <t>101483</t>
        </is>
      </c>
      <c r="B4415" t="inlineStr">
        <is>
          <t>SANTIN EMPRESA DE TRANSP. ESPECIAIS 22902476000150</t>
        </is>
      </c>
      <c r="C4415" t="n">
        <v>1191000000</v>
      </c>
      <c r="D4415" t="inlineStr">
        <is>
          <t>Operational Suppliers (Wind Farms)</t>
        </is>
      </c>
      <c r="E4415" t="n">
        <v>1100023359</v>
      </c>
      <c r="F4415" t="inlineStr">
        <is>
          <t>2º ADITIVO SANTI</t>
        </is>
      </c>
      <c r="G4415" t="inlineStr">
        <is>
          <t>AB</t>
        </is>
      </c>
      <c r="H4415" s="12" t="n">
        <v>120060.01</v>
      </c>
      <c r="I4415" s="17" t="n">
        <v>45761</v>
      </c>
      <c r="J4415" s="17" t="n">
        <v>45761</v>
      </c>
      <c r="K4415" t="inlineStr">
        <is>
          <t>Partida individual SANTIN EMPRESA DE TRANSP. ESPEC</t>
        </is>
      </c>
    </row>
    <row r="4416">
      <c r="A4416" t="inlineStr">
        <is>
          <t>101481</t>
        </is>
      </c>
      <c r="B4416" t="inlineStr">
        <is>
          <t>SANTIN EMPRESA DE TRANSP. ESPECIAIS 22902476000312</t>
        </is>
      </c>
      <c r="C4416" t="n">
        <v>1191000000</v>
      </c>
      <c r="D4416" t="inlineStr">
        <is>
          <t>Operational Suppliers (Wind Farms)</t>
        </is>
      </c>
      <c r="E4416" t="n">
        <v>1100023360</v>
      </c>
      <c r="F4416" t="inlineStr">
        <is>
          <t>2602</t>
        </is>
      </c>
      <c r="G4416" t="inlineStr">
        <is>
          <t>AB</t>
        </is>
      </c>
      <c r="H4416" s="12" t="n">
        <v>4560</v>
      </c>
      <c r="I4416" s="17" t="n">
        <v>45761</v>
      </c>
      <c r="J4416" s="17" t="n">
        <v>45761</v>
      </c>
      <c r="K4416" t="inlineStr">
        <is>
          <t>Partida individual SANTIN EMPRESA DE TRANSP. ESPEC</t>
        </is>
      </c>
    </row>
    <row r="4417">
      <c r="A4417" t="inlineStr">
        <is>
          <t>101481</t>
        </is>
      </c>
      <c r="B4417" t="inlineStr">
        <is>
          <t>SANTIN EMPRESA DE TRANSP. ESPECIAIS 22902476000312</t>
        </is>
      </c>
      <c r="C4417" t="n">
        <v>1191000000</v>
      </c>
      <c r="D4417" t="inlineStr">
        <is>
          <t>Operational Suppliers (Wind Farms)</t>
        </is>
      </c>
      <c r="E4417" t="n">
        <v>1100023361</v>
      </c>
      <c r="F4417" t="inlineStr">
        <is>
          <t>SANTIN 05.10.23</t>
        </is>
      </c>
      <c r="G4417" t="inlineStr">
        <is>
          <t>AB</t>
        </is>
      </c>
      <c r="H4417" s="12" t="n">
        <v>27698.49</v>
      </c>
      <c r="I4417" s="17" t="n">
        <v>45761</v>
      </c>
      <c r="J4417" s="17" t="n">
        <v>45761</v>
      </c>
      <c r="K4417" t="inlineStr">
        <is>
          <t>Partida individual SANTIN EMPRESA DE TRANSP. ESPEC</t>
        </is>
      </c>
    </row>
    <row r="4418">
      <c r="A4418" t="inlineStr">
        <is>
          <t>102440</t>
        </is>
      </c>
      <c r="B4418" t="inlineStr">
        <is>
          <t>PREVIDENCIA SOCIAL DO BRASIL</t>
        </is>
      </c>
      <c r="C4418" t="n">
        <v>1191000000</v>
      </c>
      <c r="D4418" t="inlineStr">
        <is>
          <t>Social charges</t>
        </is>
      </c>
      <c r="E4418" t="n">
        <v>1100023427</v>
      </c>
      <c r="F4418" t="inlineStr">
        <is>
          <t>8655702.</t>
        </is>
      </c>
      <c r="G4418" t="inlineStr">
        <is>
          <t>AB</t>
        </is>
      </c>
      <c r="H4418" s="12" t="n">
        <v>63.84</v>
      </c>
      <c r="I4418" s="17" t="n">
        <v>45761</v>
      </c>
      <c r="J4418" s="17" t="n">
        <v>45761</v>
      </c>
      <c r="K4418" t="inlineStr">
        <is>
          <t>Partida individual PREVIDENCIA SOCIAL DO BRASIL 86</t>
        </is>
      </c>
    </row>
    <row r="4419">
      <c r="A4419" t="inlineStr">
        <is>
          <t>101963</t>
        </is>
      </c>
      <c r="B4419" t="inlineStr">
        <is>
          <t>4U CONSTRUCOES LTDA EPP</t>
        </is>
      </c>
      <c r="C4419" t="n">
        <v>1191000000</v>
      </c>
      <c r="D4419" t="inlineStr">
        <is>
          <t>Construction Services – Under Litigation</t>
        </is>
      </c>
      <c r="E4419" t="n">
        <v>1100024480</v>
      </c>
      <c r="F4419" t="inlineStr">
        <is>
          <t>ADTO PROFORMA</t>
        </is>
      </c>
      <c r="G4419" t="inlineStr">
        <is>
          <t>AB</t>
        </is>
      </c>
      <c r="H4419" s="12" t="n">
        <v>2451580.68</v>
      </c>
      <c r="I4419" s="17" t="n">
        <v>45764</v>
      </c>
      <c r="J4419" s="17" t="n">
        <v>45764</v>
      </c>
      <c r="K4419" t="inlineStr">
        <is>
          <t>Partida individual 4U CONSTRUCOES LTDA EPP ADTO PR</t>
        </is>
      </c>
    </row>
    <row r="4420">
      <c r="A4420" t="inlineStr">
        <is>
          <t>101963</t>
        </is>
      </c>
      <c r="B4420" t="inlineStr">
        <is>
          <t>4U CONSTRUCOES LTDA EPP</t>
        </is>
      </c>
      <c r="C4420" t="n">
        <v>1191000000</v>
      </c>
      <c r="D4420" t="inlineStr">
        <is>
          <t>Construction Services – Under Litigation</t>
        </is>
      </c>
      <c r="E4420" t="n">
        <v>1100024484</v>
      </c>
      <c r="F4420" t="inlineStr">
        <is>
          <t>ANTICIPO FEIJAO</t>
        </is>
      </c>
      <c r="G4420" t="inlineStr">
        <is>
          <t>AB</t>
        </is>
      </c>
      <c r="H4420" s="12" t="n">
        <v>9667968.359999999</v>
      </c>
      <c r="I4420" s="17" t="n">
        <v>45764</v>
      </c>
      <c r="J4420" s="17" t="n">
        <v>45764</v>
      </c>
      <c r="K4420" t="inlineStr">
        <is>
          <t>Partida individual 4U CONSTRUCOES LTDA EPP ANTICIP</t>
        </is>
      </c>
    </row>
    <row r="4421">
      <c r="A4421" t="inlineStr">
        <is>
          <t>101963</t>
        </is>
      </c>
      <c r="B4421" t="inlineStr">
        <is>
          <t>4U CONSTRUCOES LTDA EPP</t>
        </is>
      </c>
      <c r="C4421" t="n">
        <v>1191000000</v>
      </c>
      <c r="D4421" t="inlineStr">
        <is>
          <t>Construction Services – Under Litigation</t>
        </is>
      </c>
      <c r="E4421" t="n">
        <v>1100024495</v>
      </c>
      <c r="F4421" t="inlineStr">
        <is>
          <t>1054080_20220902</t>
        </is>
      </c>
      <c r="G4421" t="inlineStr">
        <is>
          <t>AB</t>
        </is>
      </c>
      <c r="H4421" s="12" t="n">
        <v>743841.28</v>
      </c>
      <c r="I4421" s="17" t="n">
        <v>45764</v>
      </c>
      <c r="J4421" s="17" t="n">
        <v>45764</v>
      </c>
      <c r="K4421" t="inlineStr">
        <is>
          <t>Partida individual 4U CONSTRUCOES LTDA EPP 1054080</t>
        </is>
      </c>
    </row>
    <row r="4422">
      <c r="A4422" t="inlineStr">
        <is>
          <t>101963</t>
        </is>
      </c>
      <c r="B4422" t="inlineStr">
        <is>
          <t>4U CONSTRUCOES LTDA EPP</t>
        </is>
      </c>
      <c r="C4422" t="n">
        <v>1191000000</v>
      </c>
      <c r="D4422" t="inlineStr">
        <is>
          <t>Construction Services – Under Litigation</t>
        </is>
      </c>
      <c r="E4422" t="n">
        <v>1100024498</v>
      </c>
      <c r="F4422" t="inlineStr">
        <is>
          <t>ADTO PROFORMA</t>
        </is>
      </c>
      <c r="G4422" t="inlineStr">
        <is>
          <t>AB</t>
        </is>
      </c>
      <c r="H4422" s="12" t="n">
        <v>4276894.86</v>
      </c>
      <c r="I4422" s="17" t="n">
        <v>45764</v>
      </c>
      <c r="J4422" s="17" t="n">
        <v>45764</v>
      </c>
      <c r="K4422" t="inlineStr">
        <is>
          <t>Partida individual 4U CONSTRUCOES LTDA EPP ADTO PR</t>
        </is>
      </c>
    </row>
    <row r="4423">
      <c r="A4423" t="inlineStr">
        <is>
          <t>101888</t>
        </is>
      </c>
      <c r="B4423" t="inlineStr">
        <is>
          <t>BANCO SANTANDER BRASIL SA</t>
        </is>
      </c>
      <c r="C4423" t="n">
        <v>1191000000</v>
      </c>
      <c r="D4423" t="inlineStr">
        <is>
          <t>Corporate Card Payments</t>
        </is>
      </c>
      <c r="E4423" t="n">
        <v>1100026396</v>
      </c>
      <c r="F4423" t="inlineStr">
        <is>
          <t>UBER 08.2023</t>
        </is>
      </c>
      <c r="G4423" t="inlineStr">
        <is>
          <t>AB</t>
        </is>
      </c>
      <c r="H4423" s="12" t="n">
        <v>32063.37</v>
      </c>
      <c r="I4423" s="17" t="n">
        <v>45748</v>
      </c>
      <c r="J4423" s="17" t="n">
        <v>45748</v>
      </c>
      <c r="K4423" t="inlineStr">
        <is>
          <t>Partida individual BANCO SANTANDER BRASIL SA UBER</t>
        </is>
      </c>
    </row>
    <row r="4424">
      <c r="A4424" t="inlineStr">
        <is>
          <t>101888</t>
        </is>
      </c>
      <c r="B4424" t="inlineStr">
        <is>
          <t>BANCO SANTANDER BRASIL SA</t>
        </is>
      </c>
      <c r="C4424" t="n">
        <v>1191000000</v>
      </c>
      <c r="D4424" t="inlineStr">
        <is>
          <t>Corporate Card Payments</t>
        </is>
      </c>
      <c r="E4424" t="n">
        <v>1100026453</v>
      </c>
      <c r="F4424" t="inlineStr">
        <is>
          <t>UBER 09.2023</t>
        </is>
      </c>
      <c r="G4424" t="inlineStr">
        <is>
          <t>AB</t>
        </is>
      </c>
      <c r="H4424" s="12" t="n">
        <v>6533.92</v>
      </c>
      <c r="I4424" s="17" t="n">
        <v>45748</v>
      </c>
      <c r="J4424" s="17" t="n">
        <v>45748</v>
      </c>
      <c r="K4424" t="inlineStr">
        <is>
          <t>Partida individual BANCO SANTANDER BRASIL SA UBER</t>
        </is>
      </c>
    </row>
    <row r="4425">
      <c r="A4425" t="inlineStr">
        <is>
          <t>101427</t>
        </is>
      </c>
      <c r="B4425" t="inlineStr">
        <is>
          <t>TRIBUNAL REGIONAL FEDERAL 3 REGIAO</t>
        </is>
      </c>
      <c r="C4425" t="n">
        <v>1191000000</v>
      </c>
      <c r="D4425" t="inlineStr">
        <is>
          <t>Legal Services Suppliers</t>
        </is>
      </c>
      <c r="E4425" t="n">
        <v>1100026477</v>
      </c>
      <c r="F4425" t="inlineStr">
        <is>
          <t>864240</t>
        </is>
      </c>
      <c r="G4425" t="inlineStr">
        <is>
          <t>AB</t>
        </is>
      </c>
      <c r="H4425" s="12" t="n">
        <v>3362.33</v>
      </c>
      <c r="I4425" s="17" t="n">
        <v>45748</v>
      </c>
      <c r="J4425" s="17" t="n">
        <v>45748</v>
      </c>
      <c r="K4425" t="inlineStr">
        <is>
          <t>Partida individual TRIBUNAL REGIONAL FEDERAL 3 REG</t>
        </is>
      </c>
    </row>
    <row r="4426">
      <c r="A4426" t="inlineStr">
        <is>
          <t>100454</t>
        </is>
      </c>
      <c r="B4426" t="inlineStr">
        <is>
          <t>GEOMATICS GESTAO DE FROTAS LTDA</t>
        </is>
      </c>
      <c r="C4426" t="n">
        <v>1191000000</v>
      </c>
      <c r="D4426" t="inlineStr">
        <is>
          <t>Other Suppliers</t>
        </is>
      </c>
      <c r="E4426" t="n">
        <v>1100029424</v>
      </c>
      <c r="F4426" t="inlineStr">
        <is>
          <t>04903</t>
        </is>
      </c>
      <c r="G4426" t="inlineStr">
        <is>
          <t>AB</t>
        </is>
      </c>
      <c r="H4426" s="12" t="n">
        <v>134.85</v>
      </c>
      <c r="I4426" s="17" t="n">
        <v>45800</v>
      </c>
      <c r="J4426" s="17" t="n">
        <v>45809</v>
      </c>
      <c r="K4426" t="inlineStr">
        <is>
          <t>Partida individual GEOMATICS GESTAO DE FROTAS LTDA</t>
        </is>
      </c>
    </row>
    <row r="4427">
      <c r="A4427" t="inlineStr">
        <is>
          <t>101071</t>
        </is>
      </c>
      <c r="B4427" t="inlineStr">
        <is>
          <t>CUSTOM COMERCIO INTERNACIONAL LTDA</t>
        </is>
      </c>
      <c r="C4427" t="n">
        <v>1191000000</v>
      </c>
      <c r="D4427" t="inlineStr">
        <is>
          <t>Customs Brokerage – Overall</t>
        </is>
      </c>
      <c r="E4427" t="n">
        <v>1100032713</v>
      </c>
      <c r="F4427" t="inlineStr">
        <is>
          <t>21/2159968-0</t>
        </is>
      </c>
      <c r="G4427" t="inlineStr">
        <is>
          <t>AB</t>
        </is>
      </c>
      <c r="H4427" s="12" t="n">
        <v>135752.96</v>
      </c>
      <c r="I4427" s="17" t="n">
        <v>45809</v>
      </c>
      <c r="J4427" s="17" t="n">
        <v>44477</v>
      </c>
      <c r="K4427" t="inlineStr">
        <is>
          <t>CUSTOM A DEVOLVER</t>
        </is>
      </c>
    </row>
    <row r="4428">
      <c r="A4428" t="inlineStr">
        <is>
          <t>101825</t>
        </is>
      </c>
      <c r="B4428" t="inlineStr">
        <is>
          <t>WURTH DO BRASIL PECAS DE FIXACAO LT</t>
        </is>
      </c>
      <c r="C4428" t="n">
        <v>1191000000</v>
      </c>
      <c r="D4428" t="inlineStr">
        <is>
          <t>Other Suppliers</t>
        </is>
      </c>
      <c r="E4428" t="n">
        <v>1100041912</v>
      </c>
      <c r="F4428" t="inlineStr">
        <is>
          <t>931159-7</t>
        </is>
      </c>
      <c r="G4428" t="inlineStr">
        <is>
          <t>AB</t>
        </is>
      </c>
      <c r="H4428" s="12" t="n">
        <v>30878.74</v>
      </c>
      <c r="I4428" s="17" t="n">
        <v>45929</v>
      </c>
      <c r="J4428" s="17" t="n">
        <v>45929</v>
      </c>
      <c r="K4428" t="inlineStr">
        <is>
          <t>Partida individual WURTH DO BRASIL PECAS DE FIXACA</t>
        </is>
      </c>
    </row>
    <row r="4429">
      <c r="A4429" t="inlineStr">
        <is>
          <t>101547</t>
        </is>
      </c>
      <c r="B4429" t="inlineStr">
        <is>
          <t>BARRACUDA PRODUTOS MATERIAIS C LTDA</t>
        </is>
      </c>
      <c r="C4429" t="n">
        <v>1191000000</v>
      </c>
      <c r="D4429" t="inlineStr">
        <is>
          <t>Other Suppliers</t>
        </is>
      </c>
      <c r="E4429" t="n">
        <v>1100041914</v>
      </c>
      <c r="F4429" t="inlineStr">
        <is>
          <t>27614-1</t>
        </is>
      </c>
      <c r="G4429" t="inlineStr">
        <is>
          <t>AB</t>
        </is>
      </c>
      <c r="H4429" s="12" t="n">
        <v>20000.71</v>
      </c>
      <c r="I4429" s="17" t="n">
        <v>45929</v>
      </c>
      <c r="J4429" s="17" t="n">
        <v>45929</v>
      </c>
      <c r="K4429" t="inlineStr">
        <is>
          <t>Partida individual BARRACUDA PRODUTOS MATERIAIS C</t>
        </is>
      </c>
    </row>
    <row r="4430">
      <c r="A4430" t="inlineStr">
        <is>
          <t>101547</t>
        </is>
      </c>
      <c r="B4430" t="inlineStr">
        <is>
          <t>BARRACUDA PRODUTOS MATERIAIS C LTDA</t>
        </is>
      </c>
      <c r="C4430" t="n">
        <v>1191000000</v>
      </c>
      <c r="D4430" t="inlineStr">
        <is>
          <t>Other Suppliers</t>
        </is>
      </c>
      <c r="E4430" t="n">
        <v>1100041916</v>
      </c>
      <c r="F4430" t="inlineStr">
        <is>
          <t>27230-1</t>
        </is>
      </c>
      <c r="G4430" t="inlineStr">
        <is>
          <t>AB</t>
        </is>
      </c>
      <c r="H4430" s="12" t="n">
        <v>24000.83</v>
      </c>
      <c r="I4430" s="17" t="n">
        <v>45929</v>
      </c>
      <c r="J4430" s="17" t="n">
        <v>45929</v>
      </c>
      <c r="K4430" t="inlineStr">
        <is>
          <t>Partida individual BARRACUDA PRODUTOS MATERIAIS C</t>
        </is>
      </c>
    </row>
    <row r="4431">
      <c r="A4431" t="inlineStr">
        <is>
          <t>103999</t>
        </is>
      </c>
      <c r="B4431" t="inlineStr">
        <is>
          <t>TECNOCON SOLUCOES PARA ENERGIAS REN</t>
        </is>
      </c>
      <c r="C4431" t="n">
        <v>1191000000</v>
      </c>
      <c r="D4431" t="inlineStr">
        <is>
          <t>Operational Suppliers (Wind Farms)</t>
        </is>
      </c>
      <c r="E4431" t="n">
        <v>1100041917</v>
      </c>
      <c r="F4431" t="inlineStr">
        <is>
          <t>18808-0</t>
        </is>
      </c>
      <c r="G4431" t="inlineStr">
        <is>
          <t>AB</t>
        </is>
      </c>
      <c r="H4431" s="12" t="n">
        <v>3884.51</v>
      </c>
      <c r="I4431" s="17" t="n">
        <v>45929</v>
      </c>
      <c r="J4431" s="17" t="n">
        <v>45929</v>
      </c>
      <c r="K4431" t="inlineStr">
        <is>
          <t>Partida individual TECNOCON SOLUCOES PARA ENERGIAS</t>
        </is>
      </c>
    </row>
    <row r="4432">
      <c r="A4432" t="inlineStr">
        <is>
          <t>101844</t>
        </is>
      </c>
      <c r="B4432" t="inlineStr">
        <is>
          <t>COATE CONCRETO AGUA E TERRA LTDA</t>
        </is>
      </c>
      <c r="C4432" t="n">
        <v>1191000000</v>
      </c>
      <c r="D4432" t="inlineStr">
        <is>
          <t>Operational Suppliers (Wind Farms)</t>
        </is>
      </c>
      <c r="E4432" t="n">
        <v>1100041918</v>
      </c>
      <c r="F4432" t="inlineStr">
        <is>
          <t>PROC. 0001330-64</t>
        </is>
      </c>
      <c r="G4432" t="inlineStr">
        <is>
          <t>AB</t>
        </is>
      </c>
      <c r="H4432" s="12" t="n">
        <v>44.26</v>
      </c>
      <c r="I4432" s="17" t="n">
        <v>45929</v>
      </c>
      <c r="J4432" s="17" t="n">
        <v>45929</v>
      </c>
      <c r="K4432" t="inlineStr">
        <is>
          <t>Partida individual COATE CONCRETO AGUA E TERRA LTD</t>
        </is>
      </c>
    </row>
    <row r="4433">
      <c r="A4433" t="inlineStr">
        <is>
          <t>101333</t>
        </is>
      </c>
      <c r="B4433" t="inlineStr">
        <is>
          <t>CONCESSIONARIA DO AEROPORTO DE SALV</t>
        </is>
      </c>
      <c r="C4433" t="n">
        <v>1191000000</v>
      </c>
      <c r="D4433" t="inlineStr">
        <is>
          <t>Customs Brokerage – Overall</t>
        </is>
      </c>
      <c r="E4433" t="n">
        <v>1300000135</v>
      </c>
      <c r="G4433" t="inlineStr">
        <is>
          <t>KZ</t>
        </is>
      </c>
      <c r="H4433" s="12" t="n">
        <v>6737.27</v>
      </c>
      <c r="I4433" s="17" t="n">
        <v>45671</v>
      </c>
      <c r="J4433" s="17" t="n">
        <v>45671</v>
      </c>
      <c r="K4433" t="inlineStr">
        <is>
          <t>1183/24 1183/24</t>
        </is>
      </c>
    </row>
    <row r="4434">
      <c r="A4434" t="inlineStr">
        <is>
          <t>103886</t>
        </is>
      </c>
      <c r="B4434" t="inlineStr">
        <is>
          <t>FEDERAL EXPRESS CORPORATION</t>
        </is>
      </c>
      <c r="C4434" t="n">
        <v>1191000000</v>
      </c>
      <c r="D4434" t="inlineStr">
        <is>
          <t>Other Suppliers</t>
        </is>
      </c>
      <c r="E4434" t="n">
        <v>1300000203</v>
      </c>
      <c r="G4434" t="inlineStr">
        <is>
          <t>KZ</t>
        </is>
      </c>
      <c r="H4434" s="12" t="n">
        <v>344.88</v>
      </c>
      <c r="I4434" s="17" t="n">
        <v>45343</v>
      </c>
      <c r="J4434" s="17" t="n">
        <v>45343</v>
      </c>
      <c r="K4434" t="inlineStr">
        <is>
          <t>Documento fornecedor FEDERAL EXPRESS CORPORATION 5</t>
        </is>
      </c>
    </row>
    <row r="4435">
      <c r="A4435" t="inlineStr">
        <is>
          <t>101969</t>
        </is>
      </c>
      <c r="B4435" t="inlineStr">
        <is>
          <t>SECRETARIA DE ESTADO DA FAZENDA RN</t>
        </is>
      </c>
      <c r="C4435" t="n">
        <v>1191000000</v>
      </c>
      <c r="D4435" t="inlineStr">
        <is>
          <t>Customs Brokerage – Overall</t>
        </is>
      </c>
      <c r="E4435" t="n">
        <v>1300000276</v>
      </c>
      <c r="G4435" t="inlineStr">
        <is>
          <t>KZ</t>
        </is>
      </c>
      <c r="H4435" s="12" t="n">
        <v>5855.59</v>
      </c>
      <c r="I4435" s="17" t="n">
        <v>45672</v>
      </c>
      <c r="J4435" s="17" t="n">
        <v>45672</v>
      </c>
      <c r="K4435" t="inlineStr">
        <is>
          <t>Documento fornecedor SECRETARIA DE ESTADO DE TRIBU</t>
        </is>
      </c>
    </row>
    <row r="4436">
      <c r="A4436" t="inlineStr">
        <is>
          <t>101969</t>
        </is>
      </c>
      <c r="B4436" t="inlineStr">
        <is>
          <t>SECRETARIA DE ESTADO DA FAZENDA RN</t>
        </is>
      </c>
      <c r="C4436" t="n">
        <v>1191000000</v>
      </c>
      <c r="D4436" t="inlineStr">
        <is>
          <t>Customs Brokerage – Overall</t>
        </is>
      </c>
      <c r="E4436" t="n">
        <v>1300000277</v>
      </c>
      <c r="G4436" t="inlineStr">
        <is>
          <t>KZ</t>
        </is>
      </c>
      <c r="H4436" s="12" t="n">
        <v>690214.4</v>
      </c>
      <c r="I4436" s="17" t="n">
        <v>45672</v>
      </c>
      <c r="J4436" s="17" t="n">
        <v>45672</v>
      </c>
      <c r="K4436" t="inlineStr">
        <is>
          <t>Documento fornecedor SECRETARIA DE ESTADO DE TRIBU</t>
        </is>
      </c>
    </row>
    <row r="4437">
      <c r="A4437" t="inlineStr">
        <is>
          <t>102001</t>
        </is>
      </c>
      <c r="B4437" t="inlineStr">
        <is>
          <t>TRIBUNAL REGIONAL TRABALHO 21A REGI</t>
        </is>
      </c>
      <c r="C4437" t="n">
        <v>1191000000</v>
      </c>
      <c r="D4437" t="inlineStr">
        <is>
          <t>Legal Services Suppliers</t>
        </is>
      </c>
      <c r="E4437" t="n">
        <v>1300000442</v>
      </c>
      <c r="G4437" t="inlineStr">
        <is>
          <t>KZ</t>
        </is>
      </c>
      <c r="H4437" s="12" t="n">
        <v>344508.04</v>
      </c>
      <c r="I4437" s="17" t="n">
        <v>45355</v>
      </c>
      <c r="J4437" s="17" t="n">
        <v>45355</v>
      </c>
      <c r="K4437" t="inlineStr">
        <is>
          <t>Documento fornecedor TRIBUNAL REGIONAL TRABALHO 21</t>
        </is>
      </c>
    </row>
    <row r="4438">
      <c r="A4438" t="inlineStr">
        <is>
          <t>103759</t>
        </is>
      </c>
      <c r="B4438" t="inlineStr">
        <is>
          <t>MUNICIPIO DE SIMOES</t>
        </is>
      </c>
      <c r="C4438" t="n">
        <v>1191000000</v>
      </c>
      <c r="D4438" t="inlineStr">
        <is>
          <t>Taxes Payable</t>
        </is>
      </c>
      <c r="E4438" t="n">
        <v>1300000492</v>
      </c>
      <c r="F4438" t="inlineStr">
        <is>
          <t>ISS DUPLICI</t>
        </is>
      </c>
      <c r="G4438" t="inlineStr">
        <is>
          <t>KZ</t>
        </is>
      </c>
      <c r="H4438" s="12" t="n">
        <v>6143.85</v>
      </c>
      <c r="I4438" s="17" t="n">
        <v>45681</v>
      </c>
      <c r="J4438" s="17" t="n">
        <v>45681</v>
      </c>
      <c r="K4438" t="inlineStr">
        <is>
          <t>Documento fornecedor MUNICIPIO DE SIMOES ISS DUPLI</t>
        </is>
      </c>
    </row>
    <row r="4439">
      <c r="A4439" t="inlineStr">
        <is>
          <t>101969</t>
        </is>
      </c>
      <c r="B4439" t="inlineStr">
        <is>
          <t>SECRETARIA DE ESTADO DA FAZENDA RN</t>
        </is>
      </c>
      <c r="C4439" t="n">
        <v>1191000000</v>
      </c>
      <c r="D4439" t="inlineStr">
        <is>
          <t>Customs Brokerage – Overall</t>
        </is>
      </c>
      <c r="E4439" t="n">
        <v>1300000543</v>
      </c>
      <c r="G4439" t="inlineStr">
        <is>
          <t>KZ</t>
        </is>
      </c>
      <c r="H4439" s="12" t="n">
        <v>2586.94</v>
      </c>
      <c r="I4439" s="17" t="n">
        <v>45686</v>
      </c>
      <c r="J4439" s="17" t="n">
        <v>45686</v>
      </c>
      <c r="K4439" t="inlineStr">
        <is>
          <t>Vendor DP Request SECRETARIA DE ESTADO DA FAZENDA</t>
        </is>
      </c>
    </row>
    <row r="4440">
      <c r="A4440" t="inlineStr">
        <is>
          <t>101611</t>
        </is>
      </c>
      <c r="B4440" t="inlineStr">
        <is>
          <t>SECRETARIA DA FAZENDA BAHIA</t>
        </is>
      </c>
      <c r="C4440" t="n">
        <v>1191000000</v>
      </c>
      <c r="D4440" t="inlineStr">
        <is>
          <t>Taxes Payable</t>
        </is>
      </c>
      <c r="E4440" t="n">
        <v>1300000842</v>
      </c>
      <c r="G4440" t="inlineStr">
        <is>
          <t>KZ</t>
        </is>
      </c>
      <c r="H4440" s="12" t="n">
        <v>52332.58</v>
      </c>
      <c r="I4440" s="17" t="n">
        <v>45670</v>
      </c>
      <c r="J4440" s="17" t="n">
        <v>45670</v>
      </c>
      <c r="K4440" t="inlineStr">
        <is>
          <t>Documento fornecedor SECRETARIA DA FAZENDA BAHIA 0</t>
        </is>
      </c>
    </row>
    <row r="4441">
      <c r="A4441" t="inlineStr">
        <is>
          <t>101611</t>
        </is>
      </c>
      <c r="B4441" t="inlineStr">
        <is>
          <t>SECRETARIA DA FAZENDA BAHIA</t>
        </is>
      </c>
      <c r="C4441" t="n">
        <v>1191000000</v>
      </c>
      <c r="D4441" t="inlineStr">
        <is>
          <t>Taxes Payable</t>
        </is>
      </c>
      <c r="E4441" t="n">
        <v>1300000842</v>
      </c>
      <c r="G4441" t="inlineStr">
        <is>
          <t>KZ</t>
        </is>
      </c>
      <c r="H4441" s="12" t="n">
        <v>1638.07</v>
      </c>
      <c r="I4441" s="17" t="n">
        <v>45670</v>
      </c>
      <c r="J4441" s="17" t="n">
        <v>45670</v>
      </c>
      <c r="K4441" t="inlineStr">
        <is>
          <t>Documento fornecedor SECRETARIA DA FAZENDA BAHIA 1</t>
        </is>
      </c>
    </row>
    <row r="4442">
      <c r="A4442" t="inlineStr">
        <is>
          <t>101746</t>
        </is>
      </c>
      <c r="B4442" t="inlineStr">
        <is>
          <t>SECRETARIA DA FAZENDA DO ESTADO DO</t>
        </is>
      </c>
      <c r="C4442" t="n">
        <v>1191000000</v>
      </c>
      <c r="D4442" t="inlineStr">
        <is>
          <t>Customs Brokerage – Overall</t>
        </is>
      </c>
      <c r="E4442" t="n">
        <v>1300000843</v>
      </c>
      <c r="G4442" t="inlineStr">
        <is>
          <t>KZ</t>
        </is>
      </c>
      <c r="H4442" s="12" t="n">
        <v>35921.58</v>
      </c>
      <c r="I4442" s="17" t="n">
        <v>45670</v>
      </c>
      <c r="J4442" s="17" t="n">
        <v>45670</v>
      </c>
      <c r="K4442" t="inlineStr">
        <is>
          <t>Documento fornecedor SECRETARIA DA FAZENDA DO ESTA</t>
        </is>
      </c>
    </row>
    <row r="4443">
      <c r="A4443" t="inlineStr">
        <is>
          <t>101331</t>
        </is>
      </c>
      <c r="B4443" t="inlineStr">
        <is>
          <t>GEODIS GERENCI DE FRETES DO BRASIL</t>
        </is>
      </c>
      <c r="C4443" t="n">
        <v>1191000000</v>
      </c>
      <c r="D4443" t="inlineStr">
        <is>
          <t>Customs Brokerage – Overall</t>
        </is>
      </c>
      <c r="E4443" t="n">
        <v>1300000930</v>
      </c>
      <c r="G4443" t="inlineStr">
        <is>
          <t>KZ</t>
        </is>
      </c>
      <c r="H4443" s="12" t="n">
        <v>1833.1</v>
      </c>
      <c r="I4443" s="17" t="n">
        <v>45694</v>
      </c>
      <c r="J4443" s="17" t="n">
        <v>45694</v>
      </c>
      <c r="K4443" t="inlineStr">
        <is>
          <t>0063/25 0063/25</t>
        </is>
      </c>
    </row>
    <row r="4444">
      <c r="A4444" t="inlineStr">
        <is>
          <t>101969</t>
        </is>
      </c>
      <c r="B4444" t="inlineStr">
        <is>
          <t>SECRETARIA DE ESTADO DA FAZENDA RN</t>
        </is>
      </c>
      <c r="C4444" t="n">
        <v>1191000000</v>
      </c>
      <c r="D4444" t="inlineStr">
        <is>
          <t>Customs Brokerage – Overall</t>
        </is>
      </c>
      <c r="E4444" t="n">
        <v>1300000938</v>
      </c>
      <c r="G4444" t="inlineStr">
        <is>
          <t>KZ</t>
        </is>
      </c>
      <c r="H4444" s="12" t="n">
        <v>500</v>
      </c>
      <c r="I4444" s="17" t="n">
        <v>45694</v>
      </c>
      <c r="J4444" s="17" t="n">
        <v>45694</v>
      </c>
      <c r="K4444" t="inlineStr">
        <is>
          <t>0060/25 0060/25</t>
        </is>
      </c>
    </row>
    <row r="4445">
      <c r="A4445" t="inlineStr">
        <is>
          <t>101569</t>
        </is>
      </c>
      <c r="B4445" t="inlineStr">
        <is>
          <t>SECRETARIA DA FAZENDA CEARA</t>
        </is>
      </c>
      <c r="C4445" t="n">
        <v>1191000000</v>
      </c>
      <c r="D4445" t="inlineStr">
        <is>
          <t>Customs Brokerage – Overall</t>
        </is>
      </c>
      <c r="E4445" t="n">
        <v>1300000980</v>
      </c>
      <c r="G4445" t="inlineStr">
        <is>
          <t>KZ</t>
        </is>
      </c>
      <c r="H4445" s="12" t="n">
        <v>33369.66</v>
      </c>
      <c r="I4445" s="17" t="n">
        <v>45694</v>
      </c>
      <c r="J4445" s="17" t="n">
        <v>45694</v>
      </c>
      <c r="K4445" t="inlineStr">
        <is>
          <t>0063/25 0063/25</t>
        </is>
      </c>
    </row>
    <row r="4446">
      <c r="A4446" t="inlineStr">
        <is>
          <t>101331</t>
        </is>
      </c>
      <c r="B4446" t="inlineStr">
        <is>
          <t>GEODIS GERENCI DE FRETES DO BRASIL</t>
        </is>
      </c>
      <c r="C4446" t="n">
        <v>1191000000</v>
      </c>
      <c r="D4446" t="inlineStr">
        <is>
          <t>Customs Brokerage – Overall</t>
        </is>
      </c>
      <c r="E4446" t="n">
        <v>1300001074</v>
      </c>
      <c r="G4446" t="inlineStr">
        <is>
          <t>KZ</t>
        </is>
      </c>
      <c r="H4446" s="12" t="n">
        <v>1789.46</v>
      </c>
      <c r="I4446" s="17" t="n">
        <v>45698</v>
      </c>
      <c r="J4446" s="17" t="n">
        <v>45698</v>
      </c>
      <c r="K4446" t="inlineStr">
        <is>
          <t>1089/24 1089/24</t>
        </is>
      </c>
    </row>
    <row r="4447">
      <c r="A4447" t="inlineStr">
        <is>
          <t>101611</t>
        </is>
      </c>
      <c r="B4447" t="inlineStr">
        <is>
          <t>SECRETARIA DA FAZENDA BAHIA</t>
        </is>
      </c>
      <c r="C4447" t="n">
        <v>1191000000</v>
      </c>
      <c r="D4447" t="inlineStr">
        <is>
          <t>Taxes Payable</t>
        </is>
      </c>
      <c r="E4447" t="n">
        <v>1300001186</v>
      </c>
      <c r="G4447" t="inlineStr">
        <is>
          <t>KZ</t>
        </is>
      </c>
      <c r="H4447" s="12" t="n">
        <v>3102.44</v>
      </c>
      <c r="I4447" s="17" t="n">
        <v>45699</v>
      </c>
      <c r="J4447" s="17" t="n">
        <v>45699</v>
      </c>
      <c r="K4447" t="inlineStr">
        <is>
          <t>Documento fornecedor SECRETARIA DA FAZENDA BAHIA C</t>
        </is>
      </c>
    </row>
    <row r="4448">
      <c r="A4448" t="inlineStr">
        <is>
          <t>101331</t>
        </is>
      </c>
      <c r="B4448" t="inlineStr">
        <is>
          <t>GEODIS GERENCI DE FRETES DO BRASIL</t>
        </is>
      </c>
      <c r="C4448" t="n">
        <v>1191000000</v>
      </c>
      <c r="D4448" t="inlineStr">
        <is>
          <t>Customs Brokerage – Overall</t>
        </is>
      </c>
      <c r="E4448" t="n">
        <v>1300001199</v>
      </c>
      <c r="G4448" t="inlineStr">
        <is>
          <t>KZ</t>
        </is>
      </c>
      <c r="H4448" s="12" t="n">
        <v>1926.2</v>
      </c>
      <c r="I4448" s="17" t="n">
        <v>45700</v>
      </c>
      <c r="J4448" s="17" t="n">
        <v>45700</v>
      </c>
      <c r="K4448" t="inlineStr">
        <is>
          <t>1182/24 1182/24</t>
        </is>
      </c>
    </row>
    <row r="4449">
      <c r="A4449" t="inlineStr">
        <is>
          <t>101331</t>
        </is>
      </c>
      <c r="B4449" t="inlineStr">
        <is>
          <t>GEODIS GERENCI DE FRETES DO BRASIL</t>
        </is>
      </c>
      <c r="C4449" t="n">
        <v>1191000000</v>
      </c>
      <c r="D4449" t="inlineStr">
        <is>
          <t>Customs Brokerage – Overall</t>
        </is>
      </c>
      <c r="E4449" t="n">
        <v>1300001256</v>
      </c>
      <c r="G4449" t="inlineStr">
        <is>
          <t>KZ</t>
        </is>
      </c>
      <c r="H4449" s="12" t="n">
        <v>1813.52</v>
      </c>
      <c r="I4449" s="17" t="n">
        <v>45702</v>
      </c>
      <c r="J4449" s="17" t="n">
        <v>45702</v>
      </c>
      <c r="K4449" t="inlineStr">
        <is>
          <t>0091/25 0091/25</t>
        </is>
      </c>
    </row>
    <row r="4450">
      <c r="A4450" t="inlineStr">
        <is>
          <t>105237</t>
        </is>
      </c>
      <c r="B4450" t="inlineStr">
        <is>
          <t>TGP BRASIL PROJETOS &amp; TRANSPORTES I 07752487000108</t>
        </is>
      </c>
      <c r="C4450" t="n">
        <v>1191000000</v>
      </c>
      <c r="D4450" t="inlineStr">
        <is>
          <t>Customs Brokerage – Overall</t>
        </is>
      </c>
      <c r="E4450" t="n">
        <v>1300001257</v>
      </c>
      <c r="G4450" t="inlineStr">
        <is>
          <t>KZ</t>
        </is>
      </c>
      <c r="H4450" s="12" t="n">
        <v>1445.43</v>
      </c>
      <c r="I4450" s="17" t="n">
        <v>45702</v>
      </c>
      <c r="J4450" s="17" t="n">
        <v>45702</v>
      </c>
      <c r="K4450" t="inlineStr">
        <is>
          <t>0877/24 0877/24</t>
        </is>
      </c>
    </row>
    <row r="4451">
      <c r="A4451" t="inlineStr">
        <is>
          <t>105237</t>
        </is>
      </c>
      <c r="B4451" t="inlineStr">
        <is>
          <t>TGP BRASIL PROJETOS &amp; TRANSPORTES I 07752487000108</t>
        </is>
      </c>
      <c r="C4451" t="n">
        <v>1191000000</v>
      </c>
      <c r="D4451" t="inlineStr">
        <is>
          <t>Customs Brokerage – Overall</t>
        </is>
      </c>
      <c r="E4451" t="n">
        <v>1300001257</v>
      </c>
      <c r="G4451" t="inlineStr">
        <is>
          <t>KZ</t>
        </is>
      </c>
      <c r="H4451" s="12" t="n">
        <v>4340.98</v>
      </c>
      <c r="I4451" s="17" t="n">
        <v>45702</v>
      </c>
      <c r="J4451" s="17" t="n">
        <v>45702</v>
      </c>
      <c r="K4451" t="inlineStr">
        <is>
          <t>0877/24 0877/24</t>
        </is>
      </c>
    </row>
    <row r="4452">
      <c r="A4452" t="inlineStr">
        <is>
          <t>101333</t>
        </is>
      </c>
      <c r="B4452" t="inlineStr">
        <is>
          <t>CONCESSIONARIA DO AEROPORTO DE SALV</t>
        </is>
      </c>
      <c r="C4452" t="n">
        <v>1191000000</v>
      </c>
      <c r="D4452" t="inlineStr">
        <is>
          <t>Customs Brokerage – Overall</t>
        </is>
      </c>
      <c r="E4452" t="n">
        <v>1300001263</v>
      </c>
      <c r="G4452" t="inlineStr">
        <is>
          <t>KZ</t>
        </is>
      </c>
      <c r="H4452" s="12" t="n">
        <v>178.22</v>
      </c>
      <c r="I4452" s="17" t="n">
        <v>45702</v>
      </c>
      <c r="J4452" s="17" t="n">
        <v>45702</v>
      </c>
      <c r="K4452" t="inlineStr">
        <is>
          <t>1089/24 1089/24</t>
        </is>
      </c>
    </row>
    <row r="4453">
      <c r="A4453" t="inlineStr">
        <is>
          <t>108019</t>
        </is>
      </c>
      <c r="B4453" t="inlineStr">
        <is>
          <t>GERSON PEDRO DOS SANTOS OLIVEIRA -M</t>
        </is>
      </c>
      <c r="C4453" t="n">
        <v>1191000000</v>
      </c>
      <c r="D4453" t="inlineStr">
        <is>
          <t>Other Suppliers</t>
        </is>
      </c>
      <c r="E4453" t="n">
        <v>1300001300</v>
      </c>
      <c r="G4453" t="inlineStr">
        <is>
          <t>KZ</t>
        </is>
      </c>
      <c r="H4453" s="12" t="n">
        <v>27000</v>
      </c>
      <c r="I4453" s="17" t="n">
        <v>46064</v>
      </c>
      <c r="J4453" s="17" t="n">
        <v>46064</v>
      </c>
      <c r="K4453" t="inlineStr">
        <is>
          <t>Documento fornecedor GERSON PEDRO DOS SANTOS OLIVE</t>
        </is>
      </c>
    </row>
    <row r="4454">
      <c r="A4454" t="inlineStr">
        <is>
          <t>108017</t>
        </is>
      </c>
      <c r="B4454" t="inlineStr">
        <is>
          <t>CARLOS DIAS DOS SANTOS</t>
        </is>
      </c>
      <c r="C4454" t="n">
        <v>1191000000</v>
      </c>
      <c r="D4454" t="inlineStr">
        <is>
          <t>Other Suppliers</t>
        </is>
      </c>
      <c r="E4454" t="n">
        <v>1300001301</v>
      </c>
      <c r="G4454" t="inlineStr">
        <is>
          <t>KZ</t>
        </is>
      </c>
      <c r="H4454" s="12" t="n">
        <v>18750</v>
      </c>
      <c r="I4454" s="17" t="n">
        <v>46064</v>
      </c>
      <c r="J4454" s="17" t="n">
        <v>46064</v>
      </c>
      <c r="K4454" t="inlineStr">
        <is>
          <t>Documento fornecedor CARLOS DIAS DOS SANTOS 490003</t>
        </is>
      </c>
    </row>
    <row r="4455">
      <c r="A4455" t="inlineStr">
        <is>
          <t>100393</t>
        </is>
      </c>
      <c r="B4455" t="inlineStr">
        <is>
          <t>DISTRIBUIDORA DE PRODUCTOS DE ELEVA</t>
        </is>
      </c>
      <c r="C4455" t="n">
        <v>1191000000</v>
      </c>
      <c r="D4455" t="inlineStr">
        <is>
          <t>Other Suppliers</t>
        </is>
      </c>
      <c r="E4455" t="n">
        <v>1300001419</v>
      </c>
      <c r="G4455" t="inlineStr">
        <is>
          <t>KZ</t>
        </is>
      </c>
      <c r="H4455" s="12" t="n">
        <v>20225.39</v>
      </c>
      <c r="I4455" s="17" t="n">
        <v>45386</v>
      </c>
      <c r="J4455" s="17" t="n">
        <v>45386</v>
      </c>
      <c r="K4455" t="inlineStr">
        <is>
          <t>Vendor DP Request DISTRIBUIDORA DE PRODUCTOS DE EL</t>
        </is>
      </c>
    </row>
    <row r="4456">
      <c r="A4456" t="inlineStr">
        <is>
          <t>101969</t>
        </is>
      </c>
      <c r="B4456" t="inlineStr">
        <is>
          <t>SECRETARIA DE ESTADO DA FAZENDA RN</t>
        </is>
      </c>
      <c r="C4456" t="n">
        <v>1191000000</v>
      </c>
      <c r="D4456" t="inlineStr">
        <is>
          <t>Customs Brokerage – Overall</t>
        </is>
      </c>
      <c r="E4456" t="n">
        <v>1300001580</v>
      </c>
      <c r="G4456" t="inlineStr">
        <is>
          <t>KZ</t>
        </is>
      </c>
      <c r="H4456" s="12" t="n">
        <v>1492.48</v>
      </c>
      <c r="I4456" s="17" t="n">
        <v>45714</v>
      </c>
      <c r="J4456" s="17" t="n">
        <v>45714</v>
      </c>
      <c r="K4456" t="inlineStr">
        <is>
          <t>Documento fornecedor SECRETARIA DE ESTADO DA FAZEN</t>
        </is>
      </c>
    </row>
    <row r="4457">
      <c r="A4457" t="inlineStr">
        <is>
          <t>102001</t>
        </is>
      </c>
      <c r="B4457" t="inlineStr">
        <is>
          <t>TRIBUNAL REGIONAL TRABALHO 21A REGI</t>
        </is>
      </c>
      <c r="C4457" t="n">
        <v>1191000000</v>
      </c>
      <c r="D4457" t="inlineStr">
        <is>
          <t>Legal Services Suppliers</t>
        </is>
      </c>
      <c r="E4457" t="n">
        <v>1300001601</v>
      </c>
      <c r="G4457" t="inlineStr">
        <is>
          <t>KZ</t>
        </is>
      </c>
      <c r="H4457" s="12" t="n">
        <v>12665.14</v>
      </c>
      <c r="I4457" s="17" t="n">
        <v>45412</v>
      </c>
      <c r="J4457" s="17" t="n">
        <v>45412</v>
      </c>
      <c r="K4457" t="inlineStr">
        <is>
          <t>Documento fornecedor TRIBUNAL REGIONAL TRABALHO 21</t>
        </is>
      </c>
    </row>
    <row r="4458">
      <c r="A4458" t="inlineStr">
        <is>
          <t>101888</t>
        </is>
      </c>
      <c r="B4458" t="inlineStr">
        <is>
          <t>BANCO SANTANDER BRASIL SA</t>
        </is>
      </c>
      <c r="C4458" t="n">
        <v>1191000000</v>
      </c>
      <c r="D4458" t="inlineStr">
        <is>
          <t>Corporate Card Payments</t>
        </is>
      </c>
      <c r="E4458" t="n">
        <v>1300001668</v>
      </c>
      <c r="G4458" t="inlineStr">
        <is>
          <t>KZ</t>
        </is>
      </c>
      <c r="H4458" s="12" t="n">
        <v>28723.63</v>
      </c>
      <c r="I4458" s="17" t="n">
        <v>45415</v>
      </c>
      <c r="J4458" s="17" t="n">
        <v>45415</v>
      </c>
      <c r="K4458" t="inlineStr">
        <is>
          <t>Documento fornecedor BANCO SANTANDER BRASIL SA CC</t>
        </is>
      </c>
    </row>
    <row r="4459">
      <c r="A4459" t="inlineStr">
        <is>
          <t>101269</t>
        </is>
      </c>
      <c r="B4459" t="inlineStr">
        <is>
          <t>CERTISIGN CERTIFICADORA DIGITAL SA</t>
        </is>
      </c>
      <c r="C4459" t="n">
        <v>1191000000</v>
      </c>
      <c r="D4459" t="inlineStr">
        <is>
          <t>Other Suppliers</t>
        </is>
      </c>
      <c r="E4459" t="n">
        <v>1300001699</v>
      </c>
      <c r="G4459" t="inlineStr">
        <is>
          <t>KZ</t>
        </is>
      </c>
      <c r="H4459" s="12" t="n">
        <v>324.4</v>
      </c>
      <c r="I4459" s="17" t="n">
        <v>45723</v>
      </c>
      <c r="J4459" s="17" t="n">
        <v>45723</v>
      </c>
      <c r="K4459" t="inlineStr">
        <is>
          <t>Documento fornecedor CERTISIGN CERTIFICADORA DIGIT</t>
        </is>
      </c>
    </row>
    <row r="4460">
      <c r="A4460" t="inlineStr">
        <is>
          <t>101888</t>
        </is>
      </c>
      <c r="B4460" t="inlineStr">
        <is>
          <t>BANCO SANTANDER BRASIL SA</t>
        </is>
      </c>
      <c r="C4460" t="n">
        <v>1191000000</v>
      </c>
      <c r="D4460" t="inlineStr">
        <is>
          <t>Corporate Card Payments</t>
        </is>
      </c>
      <c r="E4460" t="n">
        <v>1300002276</v>
      </c>
      <c r="G4460" t="inlineStr">
        <is>
          <t>KZ</t>
        </is>
      </c>
      <c r="H4460" s="12" t="n">
        <v>52718.76</v>
      </c>
      <c r="I4460" s="17" t="n">
        <v>45441</v>
      </c>
      <c r="J4460" s="17" t="n">
        <v>45441</v>
      </c>
      <c r="K4460" t="inlineStr">
        <is>
          <t>Documento fornecedor BANCO SANTANDER BRASIL SA UBE</t>
        </is>
      </c>
    </row>
    <row r="4461">
      <c r="A4461" t="inlineStr">
        <is>
          <t>102057</t>
        </is>
      </c>
      <c r="B4461" t="inlineStr">
        <is>
          <t>AERIS INDUSTRIA E COM EQUI GERACAO</t>
        </is>
      </c>
      <c r="C4461" t="n">
        <v>1191000000</v>
      </c>
      <c r="D4461" t="inlineStr">
        <is>
          <t>Aeris</t>
        </is>
      </c>
      <c r="E4461" t="n">
        <v>1300002579</v>
      </c>
      <c r="G4461" t="inlineStr">
        <is>
          <t>KZ</t>
        </is>
      </c>
      <c r="H4461" s="12" t="n">
        <v>559690.03</v>
      </c>
      <c r="I4461" s="17" t="n">
        <v>45785</v>
      </c>
      <c r="J4461" s="17" t="n">
        <v>45785</v>
      </c>
      <c r="K4461" t="inlineStr">
        <is>
          <t>Documento fornecedor AERIS INDUSTRIA E COM EQUI GE</t>
        </is>
      </c>
    </row>
    <row r="4462">
      <c r="A4462" t="inlineStr">
        <is>
          <t>102057</t>
        </is>
      </c>
      <c r="B4462" t="inlineStr">
        <is>
          <t>AERIS INDUSTRIA E COM EQUI GERACAO</t>
        </is>
      </c>
      <c r="C4462" t="n">
        <v>1191000000</v>
      </c>
      <c r="D4462" t="inlineStr">
        <is>
          <t>Aeris</t>
        </is>
      </c>
      <c r="E4462" t="n">
        <v>1300002594</v>
      </c>
      <c r="G4462" t="inlineStr">
        <is>
          <t>KZ</t>
        </is>
      </c>
      <c r="H4462" s="12" t="n">
        <v>559315.99</v>
      </c>
      <c r="I4462" s="17" t="n">
        <v>45789</v>
      </c>
      <c r="J4462" s="17" t="n">
        <v>45789</v>
      </c>
      <c r="K4462" t="inlineStr">
        <is>
          <t>Documento fornecedor AERIS INDUSTRIA E COM EQUI GE</t>
        </is>
      </c>
    </row>
    <row r="4463">
      <c r="A4463" t="inlineStr">
        <is>
          <t>102057</t>
        </is>
      </c>
      <c r="B4463" t="inlineStr">
        <is>
          <t>AERIS INDUSTRIA E COM EQUI GERACAO</t>
        </is>
      </c>
      <c r="C4463" t="n">
        <v>1191000000</v>
      </c>
      <c r="D4463" t="inlineStr">
        <is>
          <t>Aeris</t>
        </is>
      </c>
      <c r="E4463" t="n">
        <v>1300002659</v>
      </c>
      <c r="G4463" t="inlineStr">
        <is>
          <t>KZ</t>
        </is>
      </c>
      <c r="H4463" s="12" t="n">
        <v>371230.22</v>
      </c>
      <c r="I4463" s="17" t="n">
        <v>45799</v>
      </c>
      <c r="J4463" s="17" t="n">
        <v>45799</v>
      </c>
      <c r="K4463" t="inlineStr">
        <is>
          <t>Vendor DP Request AERIS INDUSTRIA E COM EQUI GERAC</t>
        </is>
      </c>
    </row>
    <row r="4464">
      <c r="A4464" t="inlineStr">
        <is>
          <t>102057</t>
        </is>
      </c>
      <c r="B4464" t="inlineStr">
        <is>
          <t>AERIS INDUSTRIA E COM EQUI GERACAO</t>
        </is>
      </c>
      <c r="C4464" t="n">
        <v>1191000000</v>
      </c>
      <c r="D4464" t="inlineStr">
        <is>
          <t>Aeris</t>
        </is>
      </c>
      <c r="E4464" t="n">
        <v>1300002746</v>
      </c>
      <c r="G4464" t="inlineStr">
        <is>
          <t>KZ</t>
        </is>
      </c>
      <c r="H4464" s="12" t="n">
        <v>371545.2</v>
      </c>
      <c r="I4464" s="17" t="n">
        <v>45803</v>
      </c>
      <c r="J4464" s="17" t="n">
        <v>45803</v>
      </c>
      <c r="K4464" t="inlineStr">
        <is>
          <t>Documento fornecedor AERIS INDUSTRIA E COM EQUI GE</t>
        </is>
      </c>
    </row>
    <row r="4465">
      <c r="A4465" t="inlineStr">
        <is>
          <t>101888</t>
        </is>
      </c>
      <c r="B4465" t="inlineStr">
        <is>
          <t>BANCO SANTANDER BRASIL SA</t>
        </is>
      </c>
      <c r="C4465" t="n">
        <v>1191000000</v>
      </c>
      <c r="D4465" t="inlineStr">
        <is>
          <t>Corporate Card Payments</t>
        </is>
      </c>
      <c r="E4465" t="n">
        <v>1300002749</v>
      </c>
      <c r="G4465" t="inlineStr">
        <is>
          <t>KZ</t>
        </is>
      </c>
      <c r="H4465" s="12" t="n">
        <v>36304.24</v>
      </c>
      <c r="I4465" s="17" t="n">
        <v>45471</v>
      </c>
      <c r="J4465" s="17" t="n">
        <v>45471</v>
      </c>
      <c r="K4465" t="inlineStr">
        <is>
          <t>Documento fornecedor BANCO SANTANDER BRASIL SA UBE</t>
        </is>
      </c>
    </row>
    <row r="4466">
      <c r="A4466" t="inlineStr">
        <is>
          <t>101973</t>
        </is>
      </c>
      <c r="B4466" t="inlineStr">
        <is>
          <t>APM TERMINALS PECEM OPERACOES P LTD</t>
        </is>
      </c>
      <c r="C4466" t="n">
        <v>1191000000</v>
      </c>
      <c r="D4466" t="inlineStr">
        <is>
          <t>Customs Brokerage – Overall</t>
        </is>
      </c>
      <c r="E4466" t="n">
        <v>1300002929</v>
      </c>
      <c r="G4466" t="inlineStr">
        <is>
          <t>KZ</t>
        </is>
      </c>
      <c r="H4466" s="12" t="n">
        <v>463.57</v>
      </c>
      <c r="I4466" s="17" t="n">
        <v>45818</v>
      </c>
      <c r="J4466" s="17" t="n">
        <v>45818</v>
      </c>
      <c r="K4466" t="inlineStr">
        <is>
          <t>0516/23 0516/23</t>
        </is>
      </c>
    </row>
    <row r="4467">
      <c r="A4467" t="inlineStr">
        <is>
          <t>100183</t>
        </is>
      </c>
      <c r="B4467" t="inlineStr">
        <is>
          <t>AGL TRANSPORTES INTERNACIONAIS LTDA</t>
        </is>
      </c>
      <c r="C4467" t="n">
        <v>1191000000</v>
      </c>
      <c r="D4467" t="inlineStr">
        <is>
          <t>Customs Brokerage – Overall</t>
        </is>
      </c>
      <c r="E4467" t="n">
        <v>1300003918</v>
      </c>
      <c r="G4467" t="inlineStr">
        <is>
          <t>KZ</t>
        </is>
      </c>
      <c r="H4467" s="12" t="n">
        <v>1481.4</v>
      </c>
      <c r="I4467" s="17" t="n">
        <v>45867</v>
      </c>
      <c r="J4467" s="17" t="n">
        <v>45867</v>
      </c>
      <c r="K4467" t="inlineStr">
        <is>
          <t>0044/25 0044/25</t>
        </is>
      </c>
    </row>
    <row r="4468">
      <c r="A4468" t="inlineStr">
        <is>
          <t>100183</t>
        </is>
      </c>
      <c r="B4468" t="inlineStr">
        <is>
          <t>AGL TRANSPORTES INTERNACIONAIS LTDA</t>
        </is>
      </c>
      <c r="C4468" t="n">
        <v>1191000000</v>
      </c>
      <c r="D4468" t="inlineStr">
        <is>
          <t>Customs Brokerage – Overall</t>
        </is>
      </c>
      <c r="E4468" t="n">
        <v>1300003919</v>
      </c>
      <c r="G4468" t="inlineStr">
        <is>
          <t>KZ</t>
        </is>
      </c>
      <c r="H4468" s="12" t="n">
        <v>13332.6</v>
      </c>
      <c r="I4468" s="17" t="n">
        <v>45867</v>
      </c>
      <c r="J4468" s="17" t="n">
        <v>45867</v>
      </c>
      <c r="K4468" t="inlineStr">
        <is>
          <t>0012/25 0012/25</t>
        </is>
      </c>
    </row>
    <row r="4469">
      <c r="A4469" t="inlineStr">
        <is>
          <t>100183</t>
        </is>
      </c>
      <c r="B4469" t="inlineStr">
        <is>
          <t>AGL TRANSPORTES INTERNACIONAIS LTDA</t>
        </is>
      </c>
      <c r="C4469" t="n">
        <v>1191000000</v>
      </c>
      <c r="D4469" t="inlineStr">
        <is>
          <t>Customs Brokerage – Overall</t>
        </is>
      </c>
      <c r="E4469" t="n">
        <v>1300003920</v>
      </c>
      <c r="G4469" t="inlineStr">
        <is>
          <t>KZ</t>
        </is>
      </c>
      <c r="H4469" s="12" t="n">
        <v>8024.25</v>
      </c>
      <c r="I4469" s="17" t="n">
        <v>45867</v>
      </c>
      <c r="J4469" s="17" t="n">
        <v>45867</v>
      </c>
      <c r="K4469" t="inlineStr">
        <is>
          <t>1178/24 1178/24</t>
        </is>
      </c>
    </row>
    <row r="4470">
      <c r="A4470" t="inlineStr">
        <is>
          <t>103886</t>
        </is>
      </c>
      <c r="B4470" t="inlineStr">
        <is>
          <t>FEDERAL EXPRESS CORPORATION</t>
        </is>
      </c>
      <c r="C4470" t="n">
        <v>1191000000</v>
      </c>
      <c r="D4470" t="inlineStr">
        <is>
          <t>Other Suppliers</t>
        </is>
      </c>
      <c r="E4470" t="n">
        <v>1300004955</v>
      </c>
      <c r="G4470" t="inlineStr">
        <is>
          <t>KZ</t>
        </is>
      </c>
      <c r="H4470" s="12" t="n">
        <v>1665.7</v>
      </c>
      <c r="I4470" s="17" t="n">
        <v>45605</v>
      </c>
      <c r="J4470" s="17" t="n">
        <v>45605</v>
      </c>
      <c r="K4470" t="inlineStr">
        <is>
          <t>Documento fornecedor FEDERAL EXPRESS CORPORATION 5</t>
        </is>
      </c>
    </row>
    <row r="4471">
      <c r="A4471" t="inlineStr">
        <is>
          <t>101269</t>
        </is>
      </c>
      <c r="B4471" t="inlineStr">
        <is>
          <t>CERTISIGN CERTIFICADORA DIGITAL SA</t>
        </is>
      </c>
      <c r="C4471" t="n">
        <v>1191000000</v>
      </c>
      <c r="D4471" t="inlineStr">
        <is>
          <t>Other Suppliers</t>
        </is>
      </c>
      <c r="E4471" t="n">
        <v>1300005090</v>
      </c>
      <c r="G4471" t="inlineStr">
        <is>
          <t>KZ</t>
        </is>
      </c>
      <c r="H4471" s="12" t="n">
        <v>549.8</v>
      </c>
      <c r="I4471" s="17" t="n">
        <v>45902</v>
      </c>
      <c r="J4471" s="17" t="n">
        <v>45902</v>
      </c>
      <c r="K4471" t="inlineStr">
        <is>
          <t>Documento fornecedor CERTISIGN CERTIFICADORA DIGIT</t>
        </is>
      </c>
    </row>
    <row r="4472">
      <c r="A4472" t="inlineStr">
        <is>
          <t>101331</t>
        </is>
      </c>
      <c r="B4472" t="inlineStr">
        <is>
          <t>GEODIS GERENCI DE FRETES DO BRASIL</t>
        </is>
      </c>
      <c r="C4472" t="n">
        <v>1191000000</v>
      </c>
      <c r="D4472" t="inlineStr">
        <is>
          <t>Customs Brokerage – Overall</t>
        </is>
      </c>
      <c r="E4472" t="n">
        <v>1300005189</v>
      </c>
      <c r="G4472" t="inlineStr">
        <is>
          <t>KZ</t>
        </is>
      </c>
      <c r="H4472" s="12" t="n">
        <v>12462.25</v>
      </c>
      <c r="I4472" s="17" t="n">
        <v>45904</v>
      </c>
      <c r="J4472" s="17" t="n">
        <v>45904</v>
      </c>
      <c r="K4472" t="inlineStr">
        <is>
          <t>0317/24 0317/24</t>
        </is>
      </c>
    </row>
    <row r="4473">
      <c r="A4473" t="inlineStr">
        <is>
          <t>105629</t>
        </is>
      </c>
      <c r="B4473" t="inlineStr">
        <is>
          <t>RESTAURANTE SANTA GERTRUDES LTDA 47904495000309</t>
        </is>
      </c>
      <c r="C4473" t="n">
        <v>1191000000</v>
      </c>
      <c r="D4473" t="inlineStr">
        <is>
          <t>Other Suppliers</t>
        </is>
      </c>
      <c r="E4473" t="n">
        <v>1300005378</v>
      </c>
      <c r="G4473" t="inlineStr">
        <is>
          <t>KZ</t>
        </is>
      </c>
      <c r="H4473" s="12" t="n">
        <v>3350</v>
      </c>
      <c r="I4473" s="17" t="n">
        <v>45636</v>
      </c>
      <c r="J4473" s="17" t="n">
        <v>45636</v>
      </c>
      <c r="K4473" t="inlineStr">
        <is>
          <t>Documento fornecedor RESTAURANTE SANTA GERTRUDES L</t>
        </is>
      </c>
    </row>
    <row r="4474">
      <c r="A4474" t="inlineStr">
        <is>
          <t>105629</t>
        </is>
      </c>
      <c r="B4474" t="inlineStr">
        <is>
          <t>RESTAURANTE SANTA GERTRUDES LTDA 47904495000309</t>
        </is>
      </c>
      <c r="C4474" t="n">
        <v>1191000000</v>
      </c>
      <c r="D4474" t="inlineStr">
        <is>
          <t>Other Suppliers</t>
        </is>
      </c>
      <c r="E4474" t="n">
        <v>1300005378</v>
      </c>
      <c r="G4474" t="inlineStr">
        <is>
          <t>KZ</t>
        </is>
      </c>
      <c r="H4474" s="12" t="n">
        <v>2000</v>
      </c>
      <c r="I4474" s="17" t="n">
        <v>45636</v>
      </c>
      <c r="J4474" s="17" t="n">
        <v>45636</v>
      </c>
      <c r="K4474" t="inlineStr">
        <is>
          <t>Documento fornecedor RESTAURANTE SANTA GERTRUDES L</t>
        </is>
      </c>
    </row>
    <row r="4475">
      <c r="A4475" t="inlineStr">
        <is>
          <t>101269</t>
        </is>
      </c>
      <c r="B4475" t="inlineStr">
        <is>
          <t>CERTISIGN CERTIFICADORA DIGITAL SA</t>
        </is>
      </c>
      <c r="C4475" t="n">
        <v>1191000000</v>
      </c>
      <c r="D4475" t="inlineStr">
        <is>
          <t>Other Suppliers</t>
        </is>
      </c>
      <c r="E4475" t="n">
        <v>1300005398</v>
      </c>
      <c r="G4475" t="inlineStr">
        <is>
          <t>KZ</t>
        </is>
      </c>
      <c r="H4475" s="12" t="n">
        <v>249.9</v>
      </c>
      <c r="I4475" s="17" t="n">
        <v>45638</v>
      </c>
      <c r="J4475" s="17" t="n">
        <v>45638</v>
      </c>
      <c r="K4475" t="inlineStr">
        <is>
          <t>Documento fornecedor CERTISIGN CERTIFICADORA DIGIT</t>
        </is>
      </c>
    </row>
    <row r="4476">
      <c r="A4476" t="inlineStr">
        <is>
          <t>105667</t>
        </is>
      </c>
      <c r="B4476" t="inlineStr">
        <is>
          <t>TERMOPLAST PLASTIK ENJEKSIYON VE</t>
        </is>
      </c>
      <c r="C4476" t="n">
        <v>1191000000</v>
      </c>
      <c r="D4476" t="inlineStr">
        <is>
          <t>Operational Suppliers (Wind Farms)</t>
        </is>
      </c>
      <c r="E4476" t="n">
        <v>1300006339</v>
      </c>
      <c r="F4476" t="inlineStr">
        <is>
          <t>624687147</t>
        </is>
      </c>
      <c r="G4476" t="inlineStr">
        <is>
          <t>KZ</t>
        </is>
      </c>
      <c r="H4476" s="12" t="n">
        <v>17325.15</v>
      </c>
      <c r="I4476" s="17" t="n">
        <v>46254</v>
      </c>
      <c r="J4476" s="17" t="n">
        <v>46254</v>
      </c>
      <c r="K4476" t="inlineStr">
        <is>
          <t>Documento fornecedor TERMOPLAST PLASTIK ENJEKSIYON</t>
        </is>
      </c>
    </row>
    <row r="4477">
      <c r="A4477" t="inlineStr">
        <is>
          <t>104077</t>
        </is>
      </c>
      <c r="B4477" t="inlineStr">
        <is>
          <t>XRS SERVICOS AUXILIARES DE PORTARIA 31996152000110</t>
        </is>
      </c>
      <c r="C4477" t="n">
        <v>1191000000</v>
      </c>
      <c r="D4477" t="inlineStr">
        <is>
          <t>Other Suppliers</t>
        </is>
      </c>
      <c r="E4477" t="n">
        <v>1300006536</v>
      </c>
      <c r="F4477" t="inlineStr">
        <is>
          <t>53320</t>
        </is>
      </c>
      <c r="G4477" t="inlineStr">
        <is>
          <t>KZ</t>
        </is>
      </c>
      <c r="H4477" s="12" t="n">
        <v>550.3099999999999</v>
      </c>
      <c r="I4477" s="17" t="n">
        <v>46253</v>
      </c>
      <c r="J4477" s="17" t="n">
        <v>46253</v>
      </c>
      <c r="K4477" t="inlineStr">
        <is>
          <t>Pagto dupl - NF 53320 em 19 e 26/08/2026</t>
        </is>
      </c>
    </row>
    <row r="4478">
      <c r="A4478" t="inlineStr">
        <is>
          <t>101254</t>
        </is>
      </c>
      <c r="B4478" t="inlineStr">
        <is>
          <t>AGENCIA BRASILEIRA DE METEOROLOGIA</t>
        </is>
      </c>
      <c r="C4478" t="n">
        <v>1191000000</v>
      </c>
      <c r="D4478" t="inlineStr">
        <is>
          <t>Other Suppliers</t>
        </is>
      </c>
      <c r="E4478" t="n">
        <v>1300007211</v>
      </c>
      <c r="G4478" t="inlineStr">
        <is>
          <t>KZ</t>
        </is>
      </c>
      <c r="H4478" s="12" t="n">
        <v>132.53</v>
      </c>
      <c r="I4478" s="17" t="n">
        <v>45979</v>
      </c>
      <c r="J4478" s="17" t="n">
        <v>45979</v>
      </c>
      <c r="K4478" t="inlineStr">
        <is>
          <t>Documento fornecedor AGENCIA BRASILEIRA DE METEORO</t>
        </is>
      </c>
    </row>
    <row r="4479">
      <c r="A4479" t="inlineStr">
        <is>
          <t>101269</t>
        </is>
      </c>
      <c r="B4479" t="inlineStr">
        <is>
          <t>CERTISIGN CERTIFICADORA DIGITAL SA</t>
        </is>
      </c>
      <c r="C4479" t="n">
        <v>1191000000</v>
      </c>
      <c r="D4479" t="inlineStr">
        <is>
          <t>Other Suppliers</t>
        </is>
      </c>
      <c r="E4479" t="n">
        <v>1300008107</v>
      </c>
      <c r="G4479" t="inlineStr">
        <is>
          <t>KZ</t>
        </is>
      </c>
      <c r="H4479" s="12" t="n">
        <v>274.9</v>
      </c>
      <c r="I4479" s="17" t="n">
        <v>45999</v>
      </c>
      <c r="J4479" s="17" t="n">
        <v>45999</v>
      </c>
      <c r="K4479" t="inlineStr">
        <is>
          <t>Documento fornecedor CERTISIGN CERTIFICADORA DIGIT</t>
        </is>
      </c>
    </row>
    <row r="4480">
      <c r="A4480" t="inlineStr">
        <is>
          <t>100847</t>
        </is>
      </c>
      <c r="B4480" t="inlineStr">
        <is>
          <t>RECONLOG LTDA</t>
        </is>
      </c>
      <c r="C4480" t="n">
        <v>1191000000</v>
      </c>
      <c r="D4480" t="inlineStr">
        <is>
          <t>Other Suppliers</t>
        </is>
      </c>
      <c r="E4480" t="n">
        <v>2000000017</v>
      </c>
      <c r="G4480" t="inlineStr">
        <is>
          <t>ZP</t>
        </is>
      </c>
      <c r="H4480" s="12" t="n">
        <v>118172.71</v>
      </c>
      <c r="I4480" s="17" t="n">
        <v>45178</v>
      </c>
      <c r="J4480" s="17" t="n">
        <v>45178</v>
      </c>
      <c r="K4480" t="inlineStr">
        <is>
          <t>Documento fornecedor RECONLOG LTDA 7222</t>
        </is>
      </c>
    </row>
    <row r="4481">
      <c r="A4481" t="inlineStr">
        <is>
          <t>101334</t>
        </is>
      </c>
      <c r="B4481" t="inlineStr">
        <is>
          <t>ABRILSAN ASSES EM CART DE PROT LTDA</t>
        </is>
      </c>
      <c r="C4481" t="n">
        <v>1191000000</v>
      </c>
      <c r="D4481" t="inlineStr">
        <is>
          <t>Other Suppliers</t>
        </is>
      </c>
      <c r="E4481" t="n">
        <v>2000000026</v>
      </c>
      <c r="G4481" t="inlineStr">
        <is>
          <t>ZP</t>
        </is>
      </c>
      <c r="H4481" s="12" t="n">
        <v>722.04</v>
      </c>
      <c r="I4481" s="17" t="n">
        <v>45178</v>
      </c>
      <c r="J4481" s="17" t="n">
        <v>45178</v>
      </c>
      <c r="K4481" t="inlineStr">
        <is>
          <t>Documento fornecedor ABRILSAN ASSES EM CART DE PRO</t>
        </is>
      </c>
    </row>
    <row r="4482">
      <c r="A4482" t="inlineStr">
        <is>
          <t>101334</t>
        </is>
      </c>
      <c r="B4482" t="inlineStr">
        <is>
          <t>ABRILSAN ASSES EM CART DE PROT LTDA</t>
        </is>
      </c>
      <c r="C4482" t="n">
        <v>1191000000</v>
      </c>
      <c r="D4482" t="inlineStr">
        <is>
          <t>Other Suppliers</t>
        </is>
      </c>
      <c r="E4482" t="n">
        <v>2000000026</v>
      </c>
      <c r="G4482" t="inlineStr">
        <is>
          <t>ZP</t>
        </is>
      </c>
      <c r="H4482" s="12" t="n">
        <v>722.04</v>
      </c>
      <c r="I4482" s="17" t="n">
        <v>45178</v>
      </c>
      <c r="J4482" s="17" t="n">
        <v>45178</v>
      </c>
      <c r="K4482" t="inlineStr">
        <is>
          <t>Documento fornecedor ABRILSAN ASSES EM CART DE PRO</t>
        </is>
      </c>
    </row>
    <row r="4483">
      <c r="A4483" t="inlineStr">
        <is>
          <t>101334</t>
        </is>
      </c>
      <c r="B4483" t="inlineStr">
        <is>
          <t>ABRILSAN ASSES EM CART DE PROT LTDA</t>
        </is>
      </c>
      <c r="C4483" t="n">
        <v>1191000000</v>
      </c>
      <c r="D4483" t="inlineStr">
        <is>
          <t>Other Suppliers</t>
        </is>
      </c>
      <c r="E4483" t="n">
        <v>2000000026</v>
      </c>
      <c r="G4483" t="inlineStr">
        <is>
          <t>ZP</t>
        </is>
      </c>
      <c r="H4483" s="12" t="n">
        <v>3560</v>
      </c>
      <c r="I4483" s="17" t="n">
        <v>45178</v>
      </c>
      <c r="J4483" s="17" t="n">
        <v>45178</v>
      </c>
      <c r="K4483" t="inlineStr">
        <is>
          <t>Vendor DP Request ABRILSAN ASSES EM CART DE PROT L</t>
        </is>
      </c>
    </row>
    <row r="4484">
      <c r="A4484" t="inlineStr">
        <is>
          <t>100456</t>
        </is>
      </c>
      <c r="B4484" t="inlineStr">
        <is>
          <t>CARNEVALI EQUIPAMENTOS DE PROTECAO</t>
        </is>
      </c>
      <c r="C4484" t="n">
        <v>1191000000</v>
      </c>
      <c r="D4484" t="inlineStr">
        <is>
          <t>Other Suppliers</t>
        </is>
      </c>
      <c r="E4484" t="n">
        <v>2000000046</v>
      </c>
      <c r="G4484" t="inlineStr">
        <is>
          <t>ZP</t>
        </is>
      </c>
      <c r="H4484" s="12" t="n">
        <v>12423</v>
      </c>
      <c r="I4484" s="17" t="n">
        <v>45182</v>
      </c>
      <c r="J4484" s="17" t="n">
        <v>45182</v>
      </c>
      <c r="K4484" t="inlineStr">
        <is>
          <t>Vendor DP Request CARNEVALI EQUIPAMENTOS DE PROTEC</t>
        </is>
      </c>
    </row>
    <row r="4485">
      <c r="A4485" t="inlineStr">
        <is>
          <t>102094</t>
        </is>
      </c>
      <c r="B4485" t="inlineStr">
        <is>
          <t>MILLS LOCACAO SERVICOS E LOGISTICA</t>
        </is>
      </c>
      <c r="C4485" t="n">
        <v>1191000000</v>
      </c>
      <c r="D4485" t="inlineStr">
        <is>
          <t>Other Suppliers</t>
        </is>
      </c>
      <c r="E4485" t="n">
        <v>2000000057</v>
      </c>
      <c r="G4485" t="inlineStr">
        <is>
          <t>ZP</t>
        </is>
      </c>
      <c r="H4485" s="12" t="n">
        <v>13514.4</v>
      </c>
      <c r="I4485" s="17" t="n">
        <v>45182</v>
      </c>
      <c r="J4485" s="17" t="n">
        <v>45182</v>
      </c>
      <c r="K4485" t="inlineStr">
        <is>
          <t>Vendor DP Request MILLS LOCACAO SERVICOS E LOGISTI</t>
        </is>
      </c>
    </row>
    <row r="4486">
      <c r="A4486" t="inlineStr">
        <is>
          <t>100111</t>
        </is>
      </c>
      <c r="B4486" t="inlineStr">
        <is>
          <t>PREDMEC ENGENHARIA DE MANUTENCAO E</t>
        </is>
      </c>
      <c r="C4486" t="n">
        <v>1191000000</v>
      </c>
      <c r="D4486" t="inlineStr">
        <is>
          <t>Other Suppliers</t>
        </is>
      </c>
      <c r="E4486" t="n">
        <v>2000000083</v>
      </c>
      <c r="G4486" t="inlineStr">
        <is>
          <t>ZP</t>
        </is>
      </c>
      <c r="H4486" s="12" t="n">
        <v>115998.6</v>
      </c>
      <c r="I4486" s="17" t="n">
        <v>45188</v>
      </c>
      <c r="J4486" s="17" t="n">
        <v>45188</v>
      </c>
      <c r="K4486" t="inlineStr">
        <is>
          <t>Documento fornecedor KARLLYAMMO LENNON DE SOUZA 85</t>
        </is>
      </c>
    </row>
    <row r="4487">
      <c r="A4487" t="inlineStr">
        <is>
          <t>100379</t>
        </is>
      </c>
      <c r="B4487" t="inlineStr">
        <is>
          <t>RAK LOG TRANSPORTES E LOGISTICA EIR</t>
        </is>
      </c>
      <c r="C4487" t="n">
        <v>1191000000</v>
      </c>
      <c r="D4487" t="inlineStr">
        <is>
          <t>Operational Suppliers (Wind Farms)</t>
        </is>
      </c>
      <c r="E4487" t="n">
        <v>2000000108</v>
      </c>
      <c r="G4487" t="inlineStr">
        <is>
          <t>ZP</t>
        </is>
      </c>
      <c r="H4487" s="12" t="n">
        <v>3181.82</v>
      </c>
      <c r="I4487" s="17" t="n">
        <v>45191</v>
      </c>
      <c r="J4487" s="17" t="n">
        <v>45191</v>
      </c>
      <c r="K4487" t="inlineStr">
        <is>
          <t>Vendor DP Request RAK LOG TRANSPORTES E LOGISTICA</t>
        </is>
      </c>
    </row>
    <row r="4488">
      <c r="A4488" t="inlineStr">
        <is>
          <t>100379</t>
        </is>
      </c>
      <c r="B4488" t="inlineStr">
        <is>
          <t>RAK LOG TRANSPORTES E LOGISTICA EIR</t>
        </is>
      </c>
      <c r="C4488" t="n">
        <v>1191000000</v>
      </c>
      <c r="D4488" t="inlineStr">
        <is>
          <t>Operational Suppliers (Wind Farms)</t>
        </is>
      </c>
      <c r="E4488" t="n">
        <v>2000000108</v>
      </c>
      <c r="G4488" t="inlineStr">
        <is>
          <t>ZP</t>
        </is>
      </c>
      <c r="H4488" s="12" t="n">
        <v>1136.36</v>
      </c>
      <c r="I4488" s="17" t="n">
        <v>45191</v>
      </c>
      <c r="J4488" s="17" t="n">
        <v>45191</v>
      </c>
      <c r="K4488" t="inlineStr">
        <is>
          <t>Vendor DP Request RAK LOG TRANSPORTES E LOGISTICA</t>
        </is>
      </c>
    </row>
    <row r="4489">
      <c r="A4489" t="inlineStr">
        <is>
          <t>100379</t>
        </is>
      </c>
      <c r="B4489" t="inlineStr">
        <is>
          <t>RAK LOG TRANSPORTES E LOGISTICA EIR</t>
        </is>
      </c>
      <c r="C4489" t="n">
        <v>1191000000</v>
      </c>
      <c r="D4489" t="inlineStr">
        <is>
          <t>Operational Suppliers (Wind Farms)</t>
        </is>
      </c>
      <c r="E4489" t="n">
        <v>2000000108</v>
      </c>
      <c r="G4489" t="inlineStr">
        <is>
          <t>ZP</t>
        </is>
      </c>
      <c r="H4489" s="12" t="n">
        <v>1136.36</v>
      </c>
      <c r="I4489" s="17" t="n">
        <v>45191</v>
      </c>
      <c r="J4489" s="17" t="n">
        <v>45191</v>
      </c>
      <c r="K4489" t="inlineStr">
        <is>
          <t>Vendor DP Request RAK LOG TRANSPORTES E LOGISTICA</t>
        </is>
      </c>
    </row>
    <row r="4490">
      <c r="A4490" t="inlineStr">
        <is>
          <t>101765</t>
        </is>
      </c>
      <c r="B4490" t="inlineStr">
        <is>
          <t>C DA SILVA CARVALHO E FILHA LTDA</t>
        </is>
      </c>
      <c r="C4490" t="n">
        <v>1191000000</v>
      </c>
      <c r="D4490" t="inlineStr">
        <is>
          <t>Other Suppliers</t>
        </is>
      </c>
      <c r="E4490" t="n">
        <v>2000000118</v>
      </c>
      <c r="G4490" t="inlineStr">
        <is>
          <t>ZP</t>
        </is>
      </c>
      <c r="H4490" s="12" t="n">
        <v>396</v>
      </c>
      <c r="I4490" s="17" t="n">
        <v>45194</v>
      </c>
      <c r="J4490" s="17" t="n">
        <v>45194</v>
      </c>
      <c r="K4490" t="inlineStr">
        <is>
          <t>Vendor DP Request C DA SILVA CARVALHO E FILHA LTDA</t>
        </is>
      </c>
    </row>
    <row r="4491">
      <c r="A4491" t="inlineStr">
        <is>
          <t>102426</t>
        </is>
      </c>
      <c r="B4491" t="inlineStr">
        <is>
          <t>CAFE COM COMPRADOR CONSULTORIA EMPR</t>
        </is>
      </c>
      <c r="C4491" t="n">
        <v>1191000000</v>
      </c>
      <c r="D4491" t="inlineStr">
        <is>
          <t>Other Suppliers</t>
        </is>
      </c>
      <c r="E4491" t="n">
        <v>2000000141</v>
      </c>
      <c r="G4491" t="inlineStr">
        <is>
          <t>ZP</t>
        </is>
      </c>
      <c r="H4491" s="12" t="n">
        <v>4741</v>
      </c>
      <c r="I4491" s="17" t="n">
        <v>45196</v>
      </c>
      <c r="J4491" s="17" t="n">
        <v>45196</v>
      </c>
      <c r="K4491" t="inlineStr">
        <is>
          <t>Documento fornecedor CAFE COM COMPRADOR CONSULTORI</t>
        </is>
      </c>
    </row>
    <row r="4492">
      <c r="A4492" t="inlineStr">
        <is>
          <t>100980</t>
        </is>
      </c>
      <c r="B4492" t="inlineStr">
        <is>
          <t>CMPRO CONSULTORIA EMPRESARIAL LTDA</t>
        </is>
      </c>
      <c r="C4492" t="n">
        <v>1191000000</v>
      </c>
      <c r="D4492" t="inlineStr">
        <is>
          <t>Other Suppliers</t>
        </is>
      </c>
      <c r="E4492" t="n">
        <v>2000000145</v>
      </c>
      <c r="G4492" t="inlineStr">
        <is>
          <t>ZP</t>
        </is>
      </c>
      <c r="H4492" s="12" t="n">
        <v>5912.55</v>
      </c>
      <c r="I4492" s="17" t="n">
        <v>45197</v>
      </c>
      <c r="J4492" s="17" t="n">
        <v>45197</v>
      </c>
      <c r="K4492" t="inlineStr">
        <is>
          <t>Documento fornecedor CMPRO CONSULTORIA EMPRESARIAL</t>
        </is>
      </c>
    </row>
    <row r="4493">
      <c r="A4493" t="inlineStr">
        <is>
          <t>100149</t>
        </is>
      </c>
      <c r="B4493" t="inlineStr">
        <is>
          <t>ULTRATECH MONTAGEM E MANUTENCAO LTD</t>
        </is>
      </c>
      <c r="C4493" t="n">
        <v>1191000000</v>
      </c>
      <c r="D4493" t="inlineStr">
        <is>
          <t>Other Suppliers</t>
        </is>
      </c>
      <c r="E4493" t="n">
        <v>2000000678</v>
      </c>
      <c r="G4493" t="inlineStr">
        <is>
          <t>ZP</t>
        </is>
      </c>
      <c r="H4493" s="12" t="n">
        <v>23871.36</v>
      </c>
      <c r="I4493" s="17" t="n">
        <v>45215</v>
      </c>
      <c r="J4493" s="17" t="n">
        <v>45215</v>
      </c>
      <c r="K4493" t="inlineStr">
        <is>
          <t>Documento fornecedor ULTRATECH MONTAGEM E MANUTENC</t>
        </is>
      </c>
    </row>
    <row r="4494">
      <c r="A4494" t="inlineStr">
        <is>
          <t>100432</t>
        </is>
      </c>
      <c r="B4494" t="inlineStr">
        <is>
          <t>COVERWIND SOLUTIONS BRASIL LTDA 45580524000137</t>
        </is>
      </c>
      <c r="C4494" t="n">
        <v>1191000000</v>
      </c>
      <c r="D4494" t="inlineStr">
        <is>
          <t>Operational Suppliers (Wind Farms)</t>
        </is>
      </c>
      <c r="E4494" t="n">
        <v>2000000682</v>
      </c>
      <c r="G4494" t="inlineStr">
        <is>
          <t>ZP</t>
        </is>
      </c>
      <c r="H4494" s="12" t="n">
        <v>300856.93</v>
      </c>
      <c r="I4494" s="17" t="n">
        <v>45215</v>
      </c>
      <c r="J4494" s="17" t="n">
        <v>45215</v>
      </c>
      <c r="K4494" t="inlineStr">
        <is>
          <t>Documento fornecedor COVERWIND SOLUTIONS BRASIL LT</t>
        </is>
      </c>
    </row>
    <row r="4495">
      <c r="A4495" t="inlineStr">
        <is>
          <t>101334</t>
        </is>
      </c>
      <c r="B4495" t="inlineStr">
        <is>
          <t>ABRILSAN ASSES EM CART DE PROT LTDA</t>
        </is>
      </c>
      <c r="C4495" t="n">
        <v>1191000000</v>
      </c>
      <c r="D4495" t="inlineStr">
        <is>
          <t>Other Suppliers</t>
        </is>
      </c>
      <c r="E4495" t="n">
        <v>2000000728</v>
      </c>
      <c r="G4495" t="inlineStr">
        <is>
          <t>ZP</t>
        </is>
      </c>
      <c r="H4495" s="12" t="n">
        <v>722.04</v>
      </c>
      <c r="I4495" s="17" t="n">
        <v>45215</v>
      </c>
      <c r="J4495" s="17" t="n">
        <v>45215</v>
      </c>
      <c r="K4495" t="inlineStr">
        <is>
          <t>Documento fornecedor ABRILSAN ASSES EM CART DE PRO</t>
        </is>
      </c>
    </row>
    <row r="4496">
      <c r="A4496" t="inlineStr">
        <is>
          <t>101714</t>
        </is>
      </c>
      <c r="B4496" t="inlineStr">
        <is>
          <t>VCI DO BRASIL IND E COMERC DE COMP</t>
        </is>
      </c>
      <c r="C4496" t="n">
        <v>1191000000</v>
      </c>
      <c r="D4496" t="inlineStr">
        <is>
          <t>Operational Suppliers (Wind Farms)</t>
        </is>
      </c>
      <c r="E4496" t="n">
        <v>2000000747</v>
      </c>
      <c r="G4496" t="inlineStr">
        <is>
          <t>ZP</t>
        </is>
      </c>
      <c r="H4496" s="12" t="n">
        <v>32080.75</v>
      </c>
      <c r="I4496" s="17" t="n">
        <v>45215</v>
      </c>
      <c r="J4496" s="17" t="n">
        <v>45215</v>
      </c>
      <c r="K4496" t="inlineStr">
        <is>
          <t>Documento fornecedor VCI DO BRASIL IND E COMERC DE</t>
        </is>
      </c>
    </row>
    <row r="4497">
      <c r="A4497" t="inlineStr">
        <is>
          <t>101714</t>
        </is>
      </c>
      <c r="B4497" t="inlineStr">
        <is>
          <t>VCI DO BRASIL IND E COMERC DE COMP</t>
        </is>
      </c>
      <c r="C4497" t="n">
        <v>1191000000</v>
      </c>
      <c r="D4497" t="inlineStr">
        <is>
          <t>Operational Suppliers (Wind Farms)</t>
        </is>
      </c>
      <c r="E4497" t="n">
        <v>2000000747</v>
      </c>
      <c r="G4497" t="inlineStr">
        <is>
          <t>ZP</t>
        </is>
      </c>
      <c r="H4497" s="12" t="n">
        <v>40623.8</v>
      </c>
      <c r="I4497" s="17" t="n">
        <v>45215</v>
      </c>
      <c r="J4497" s="17" t="n">
        <v>45215</v>
      </c>
      <c r="K4497" t="inlineStr">
        <is>
          <t>Documento fornecedor VCI DO BRASIL IND E COMERC DE</t>
        </is>
      </c>
    </row>
    <row r="4498">
      <c r="A4498" t="inlineStr">
        <is>
          <t>101714</t>
        </is>
      </c>
      <c r="B4498" t="inlineStr">
        <is>
          <t>VCI DO BRASIL IND E COMERC DE COMP</t>
        </is>
      </c>
      <c r="C4498" t="n">
        <v>1191000000</v>
      </c>
      <c r="D4498" t="inlineStr">
        <is>
          <t>Operational Suppliers (Wind Farms)</t>
        </is>
      </c>
      <c r="E4498" t="n">
        <v>2000000747</v>
      </c>
      <c r="G4498" t="inlineStr">
        <is>
          <t>ZP</t>
        </is>
      </c>
      <c r="H4498" s="12" t="n">
        <v>30634.34</v>
      </c>
      <c r="I4498" s="17" t="n">
        <v>45215</v>
      </c>
      <c r="J4498" s="17" t="n">
        <v>45215</v>
      </c>
      <c r="K4498" t="inlineStr">
        <is>
          <t>Documento fornecedor VCI DO BRASIL IND E COMERC DE</t>
        </is>
      </c>
    </row>
    <row r="4499">
      <c r="A4499" t="inlineStr">
        <is>
          <t>103756</t>
        </is>
      </c>
      <c r="B4499" t="inlineStr">
        <is>
          <t>TW TRANSPORTES E LOGISTICA LTDA</t>
        </is>
      </c>
      <c r="C4499" t="n">
        <v>1191000000</v>
      </c>
      <c r="D4499" t="inlineStr">
        <is>
          <t>Other Suppliers</t>
        </is>
      </c>
      <c r="E4499" t="n">
        <v>2000000780</v>
      </c>
      <c r="G4499" t="inlineStr">
        <is>
          <t>ZP</t>
        </is>
      </c>
      <c r="H4499" s="12" t="n">
        <v>235.1</v>
      </c>
      <c r="I4499" s="17" t="n">
        <v>45215</v>
      </c>
      <c r="J4499" s="17" t="n">
        <v>45215</v>
      </c>
      <c r="K4499" t="inlineStr">
        <is>
          <t>DECS INDUSTRIA DO VESTUARIO
LUCAS DE LIMA CANDIDO</t>
        </is>
      </c>
    </row>
    <row r="4500">
      <c r="A4500" t="inlineStr">
        <is>
          <t>100830</t>
        </is>
      </c>
      <c r="B4500" t="inlineStr">
        <is>
          <t>EXPRESSO VALE REAL LTDA</t>
        </is>
      </c>
      <c r="C4500" t="n">
        <v>1191000000</v>
      </c>
      <c r="D4500" t="inlineStr">
        <is>
          <t>Operational Suppliers (Wind Farms)</t>
        </is>
      </c>
      <c r="E4500" t="n">
        <v>2000000846</v>
      </c>
      <c r="G4500" t="inlineStr">
        <is>
          <t>ZP</t>
        </is>
      </c>
      <c r="H4500" s="12" t="n">
        <v>11553.08</v>
      </c>
      <c r="I4500" s="17" t="n">
        <v>45218</v>
      </c>
      <c r="J4500" s="17" t="n">
        <v>45218</v>
      </c>
      <c r="K4500" t="inlineStr">
        <is>
          <t>Documento fornecedor EXPRESSO VALE REAL LTDA 1900</t>
        </is>
      </c>
    </row>
    <row r="4501">
      <c r="A4501" t="inlineStr">
        <is>
          <t>100830</t>
        </is>
      </c>
      <c r="B4501" t="inlineStr">
        <is>
          <t>EXPRESSO VALE REAL LTDA</t>
        </is>
      </c>
      <c r="C4501" t="n">
        <v>1191000000</v>
      </c>
      <c r="D4501" t="inlineStr">
        <is>
          <t>Operational Suppliers (Wind Farms)</t>
        </is>
      </c>
      <c r="E4501" t="n">
        <v>2000000846</v>
      </c>
      <c r="G4501" t="inlineStr">
        <is>
          <t>ZP</t>
        </is>
      </c>
      <c r="H4501" s="12" t="n">
        <v>11553.08</v>
      </c>
      <c r="I4501" s="17" t="n">
        <v>45218</v>
      </c>
      <c r="J4501" s="17" t="n">
        <v>45218</v>
      </c>
      <c r="K4501" t="inlineStr">
        <is>
          <t>Documento fornecedor EXPRESSO VALE REAL LTDA 1901</t>
        </is>
      </c>
    </row>
    <row r="4502">
      <c r="A4502" t="inlineStr">
        <is>
          <t>102069</t>
        </is>
      </c>
      <c r="B4502" t="inlineStr">
        <is>
          <t>AMBAR PATRIMONIAL LTDA</t>
        </is>
      </c>
      <c r="C4502" t="n">
        <v>1191000000</v>
      </c>
      <c r="D4502" t="inlineStr">
        <is>
          <t>Other Suppliers</t>
        </is>
      </c>
      <c r="E4502" t="n">
        <v>2000000860</v>
      </c>
      <c r="G4502" t="inlineStr">
        <is>
          <t>ZP</t>
        </is>
      </c>
      <c r="H4502" s="12" t="n">
        <v>135.18</v>
      </c>
      <c r="I4502" s="17" t="n">
        <v>45219</v>
      </c>
      <c r="J4502" s="17" t="n">
        <v>45219</v>
      </c>
      <c r="K4502" t="inlineStr">
        <is>
          <t>Documento fornecedor AMBAR PATRIMONIAL LTDA 13933</t>
        </is>
      </c>
    </row>
    <row r="4503">
      <c r="A4503" t="inlineStr">
        <is>
          <t>102290</t>
        </is>
      </c>
      <c r="B4503" t="inlineStr">
        <is>
          <t>GILDO MARQUES RIBEIRO</t>
        </is>
      </c>
      <c r="C4503" t="n">
        <v>1191000000</v>
      </c>
      <c r="D4503" t="inlineStr">
        <is>
          <t>Other Suppliers</t>
        </is>
      </c>
      <c r="E4503" t="n">
        <v>2000001131</v>
      </c>
      <c r="G4503" t="inlineStr">
        <is>
          <t>ZP</t>
        </is>
      </c>
      <c r="H4503" s="12" t="n">
        <v>6309.03</v>
      </c>
      <c r="I4503" s="17" t="n">
        <v>45200</v>
      </c>
      <c r="J4503" s="17" t="n">
        <v>45200</v>
      </c>
      <c r="K4503" t="inlineStr">
        <is>
          <t>Documento fornecedor GILDO MARQUES RIBEIRO  202308</t>
        </is>
      </c>
    </row>
    <row r="4504">
      <c r="A4504" t="inlineStr">
        <is>
          <t>102297</t>
        </is>
      </c>
      <c r="B4504" t="inlineStr">
        <is>
          <t>ENEDINO DANIEL DA SILVA</t>
        </is>
      </c>
      <c r="C4504" t="n">
        <v>1191000000</v>
      </c>
      <c r="D4504" t="inlineStr">
        <is>
          <t>Other Suppliers</t>
        </is>
      </c>
      <c r="E4504" t="n">
        <v>2000001132</v>
      </c>
      <c r="G4504" t="inlineStr">
        <is>
          <t>ZP</t>
        </is>
      </c>
      <c r="H4504" s="12" t="n">
        <v>3736.13</v>
      </c>
      <c r="I4504" s="17" t="n">
        <v>45200</v>
      </c>
      <c r="J4504" s="17" t="n">
        <v>45200</v>
      </c>
      <c r="K4504" t="inlineStr">
        <is>
          <t>Documento fornecedor ENEDINO DANIEL DA SILVA  2023</t>
        </is>
      </c>
    </row>
    <row r="4505">
      <c r="A4505" t="inlineStr">
        <is>
          <t>102332</t>
        </is>
      </c>
      <c r="B4505" t="inlineStr">
        <is>
          <t>RAFAEL ANTONIO SAADI</t>
        </is>
      </c>
      <c r="C4505" t="n">
        <v>1191000000</v>
      </c>
      <c r="D4505" t="inlineStr">
        <is>
          <t>Other Suppliers</t>
        </is>
      </c>
      <c r="E4505" t="n">
        <v>2000001134</v>
      </c>
      <c r="G4505" t="inlineStr">
        <is>
          <t>ZP</t>
        </is>
      </c>
      <c r="H4505" s="12" t="n">
        <v>7502.71</v>
      </c>
      <c r="I4505" s="17" t="n">
        <v>45200</v>
      </c>
      <c r="J4505" s="17" t="n">
        <v>45200</v>
      </c>
      <c r="K4505" t="inlineStr">
        <is>
          <t>Documento fornecedor RAFAEL ANTONIO SAADI  2023080</t>
        </is>
      </c>
    </row>
    <row r="4506">
      <c r="A4506" t="inlineStr">
        <is>
          <t>102452</t>
        </is>
      </c>
      <c r="B4506" t="inlineStr">
        <is>
          <t>ANTONIO FERNANDES VIEIRA</t>
        </is>
      </c>
      <c r="C4506" t="n">
        <v>1191000000</v>
      </c>
      <c r="D4506" t="inlineStr">
        <is>
          <t>Other Suppliers</t>
        </is>
      </c>
      <c r="E4506" t="n">
        <v>2000001136</v>
      </c>
      <c r="G4506" t="inlineStr">
        <is>
          <t>ZP</t>
        </is>
      </c>
      <c r="H4506" s="12" t="n">
        <v>18994.36</v>
      </c>
      <c r="I4506" s="17" t="n">
        <v>45200</v>
      </c>
      <c r="J4506" s="17" t="n">
        <v>45200</v>
      </c>
      <c r="K4506" t="inlineStr">
        <is>
          <t>Documento fornecedor ANTONIO FERNANDES VIEIRA  202</t>
        </is>
      </c>
    </row>
    <row r="4507">
      <c r="A4507" t="inlineStr">
        <is>
          <t>105237</t>
        </is>
      </c>
      <c r="B4507" t="inlineStr">
        <is>
          <t>TGP BRASIL PROJETOS &amp; TRANSPORTES I 07752487000108</t>
        </is>
      </c>
      <c r="C4507" t="n">
        <v>1191000000</v>
      </c>
      <c r="D4507" t="inlineStr">
        <is>
          <t>Customs Brokerage – Overall</t>
        </is>
      </c>
      <c r="E4507" t="n">
        <v>2000001631</v>
      </c>
      <c r="G4507" t="inlineStr">
        <is>
          <t>ZP</t>
        </is>
      </c>
      <c r="H4507" s="12" t="n">
        <v>32526.04</v>
      </c>
      <c r="I4507" s="17" t="n">
        <v>46050</v>
      </c>
      <c r="J4507" s="17" t="n">
        <v>46050</v>
      </c>
      <c r="K4507" t="inlineStr">
        <is>
          <t>0601/24 0601/24</t>
        </is>
      </c>
    </row>
    <row r="4508">
      <c r="A4508" t="inlineStr">
        <is>
          <t>101760</t>
        </is>
      </c>
      <c r="B4508" t="inlineStr">
        <is>
          <t>R J C COELHO  ME</t>
        </is>
      </c>
      <c r="C4508" t="n">
        <v>1191000000</v>
      </c>
      <c r="D4508" t="inlineStr">
        <is>
          <t>Other Suppliers</t>
        </is>
      </c>
      <c r="E4508" t="n">
        <v>2000001765</v>
      </c>
      <c r="G4508" t="inlineStr">
        <is>
          <t>ZP</t>
        </is>
      </c>
      <c r="H4508" s="12" t="n">
        <v>2809.44</v>
      </c>
      <c r="I4508" s="17" t="n">
        <v>45322</v>
      </c>
      <c r="J4508" s="17" t="n">
        <v>45322</v>
      </c>
      <c r="K4508" t="inlineStr">
        <is>
          <t>Documento fornecedor R J C COELHO  ME 15834</t>
        </is>
      </c>
    </row>
    <row r="4509">
      <c r="A4509" t="inlineStr">
        <is>
          <t>101760</t>
        </is>
      </c>
      <c r="B4509" t="inlineStr">
        <is>
          <t>R J C COELHO  ME</t>
        </is>
      </c>
      <c r="C4509" t="n">
        <v>1191000000</v>
      </c>
      <c r="D4509" t="inlineStr">
        <is>
          <t>Other Suppliers</t>
        </is>
      </c>
      <c r="E4509" t="n">
        <v>2000001765</v>
      </c>
      <c r="G4509" t="inlineStr">
        <is>
          <t>ZP</t>
        </is>
      </c>
      <c r="H4509" s="12" t="n">
        <v>1300.28</v>
      </c>
      <c r="I4509" s="17" t="n">
        <v>45322</v>
      </c>
      <c r="J4509" s="17" t="n">
        <v>45322</v>
      </c>
      <c r="K4509" t="inlineStr">
        <is>
          <t>Documento fornecedor R J C COELHO  ME 9659</t>
        </is>
      </c>
    </row>
    <row r="4510">
      <c r="A4510" t="inlineStr">
        <is>
          <t>103772</t>
        </is>
      </c>
      <c r="B4510" t="inlineStr">
        <is>
          <t>BRASPRESS TRANSPORTES URGENTES LTDA</t>
        </is>
      </c>
      <c r="C4510" t="n">
        <v>1191000000</v>
      </c>
      <c r="D4510" t="inlineStr">
        <is>
          <t>Operational Suppliers (Wind Farms)</t>
        </is>
      </c>
      <c r="E4510" t="n">
        <v>2000001975</v>
      </c>
      <c r="G4510" t="inlineStr">
        <is>
          <t>ZP</t>
        </is>
      </c>
      <c r="H4510" s="12" t="n">
        <v>436.99</v>
      </c>
      <c r="I4510" s="17" t="n">
        <v>45237</v>
      </c>
      <c r="J4510" s="17" t="n">
        <v>45237</v>
      </c>
      <c r="K4510" t="inlineStr">
        <is>
          <t>Documento fornecedor BRASPRESS TRANSPORTES URGENTE</t>
        </is>
      </c>
    </row>
    <row r="4511">
      <c r="A4511" t="inlineStr">
        <is>
          <t>103772</t>
        </is>
      </c>
      <c r="B4511" t="inlineStr">
        <is>
          <t>BRASPRESS TRANSPORTES URGENTES LTDA</t>
        </is>
      </c>
      <c r="C4511" t="n">
        <v>1191000000</v>
      </c>
      <c r="D4511" t="inlineStr">
        <is>
          <t>Operational Suppliers (Wind Farms)</t>
        </is>
      </c>
      <c r="E4511" t="n">
        <v>2000001975</v>
      </c>
      <c r="G4511" t="inlineStr">
        <is>
          <t>ZP</t>
        </is>
      </c>
      <c r="H4511" s="12" t="n">
        <v>1037.72</v>
      </c>
      <c r="I4511" s="17" t="n">
        <v>45237</v>
      </c>
      <c r="J4511" s="17" t="n">
        <v>45237</v>
      </c>
      <c r="K4511" t="inlineStr">
        <is>
          <t>Documento fornecedor BRASPRESS TRANSPORTES URGENTE</t>
        </is>
      </c>
    </row>
    <row r="4512">
      <c r="A4512" t="inlineStr">
        <is>
          <t>105984</t>
        </is>
      </c>
      <c r="B4512" t="inlineStr">
        <is>
          <t>TRADEWORKS SERVICOS DE COMERCIO EXT 04955748000107</t>
        </is>
      </c>
      <c r="C4512" t="n">
        <v>1191000000</v>
      </c>
      <c r="D4512" t="inlineStr">
        <is>
          <t>Customs Brokerage – Overall</t>
        </is>
      </c>
      <c r="E4512" t="n">
        <v>2000002787</v>
      </c>
      <c r="G4512" t="inlineStr">
        <is>
          <t>ZP</t>
        </is>
      </c>
      <c r="H4512" s="12" t="n">
        <v>560</v>
      </c>
      <c r="I4512" s="17" t="n">
        <v>46064</v>
      </c>
      <c r="J4512" s="17" t="n">
        <v>46064</v>
      </c>
      <c r="K4512" t="inlineStr">
        <is>
          <t>0953/25 0953/25</t>
        </is>
      </c>
    </row>
    <row r="4513">
      <c r="A4513" t="inlineStr">
        <is>
          <t>102126</t>
        </is>
      </c>
      <c r="B4513" t="inlineStr">
        <is>
          <t>GV NONDESTRUCTIVE TESTING LTDA ME</t>
        </is>
      </c>
      <c r="C4513" t="n">
        <v>1191000000</v>
      </c>
      <c r="D4513" t="inlineStr">
        <is>
          <t>Other Suppliers</t>
        </is>
      </c>
      <c r="E4513" t="n">
        <v>2000004410</v>
      </c>
      <c r="G4513" t="inlineStr">
        <is>
          <t>ZP</t>
        </is>
      </c>
      <c r="H4513" s="12" t="n">
        <v>3300</v>
      </c>
      <c r="I4513" s="17" t="n">
        <v>45406</v>
      </c>
      <c r="J4513" s="17" t="n">
        <v>45406</v>
      </c>
      <c r="K4513" t="inlineStr">
        <is>
          <t>Documento fornecedor GV NONDESTRUCTIVE TESTING LTD</t>
        </is>
      </c>
    </row>
    <row r="4514">
      <c r="A4514" t="inlineStr">
        <is>
          <t>101558</t>
        </is>
      </c>
      <c r="B4514" t="inlineStr">
        <is>
          <t>ALTRA INDUSTRIAL MOTION B E I LTDA</t>
        </is>
      </c>
      <c r="C4514" t="n">
        <v>1191000000</v>
      </c>
      <c r="D4514" t="inlineStr">
        <is>
          <t>Operational Suppliers (Wind Farms)</t>
        </is>
      </c>
      <c r="E4514" t="n">
        <v>2000004494</v>
      </c>
      <c r="G4514" t="inlineStr">
        <is>
          <t>ZP</t>
        </is>
      </c>
      <c r="H4514" s="12" t="n">
        <v>1630.2</v>
      </c>
      <c r="I4514" s="17" t="n">
        <v>45408</v>
      </c>
      <c r="J4514" s="17" t="n">
        <v>45408</v>
      </c>
      <c r="K4514" t="inlineStr">
        <is>
          <t>Documento fornecedor ALTRA INDUSTRIAL MOTION B E I</t>
        </is>
      </c>
    </row>
    <row r="4515">
      <c r="A4515" t="inlineStr">
        <is>
          <t>101558</t>
        </is>
      </c>
      <c r="B4515" t="inlineStr">
        <is>
          <t>ALTRA INDUSTRIAL MOTION B E I LTDA</t>
        </is>
      </c>
      <c r="C4515" t="n">
        <v>1191000000</v>
      </c>
      <c r="D4515" t="inlineStr">
        <is>
          <t>Operational Suppliers (Wind Farms)</t>
        </is>
      </c>
      <c r="E4515" t="n">
        <v>2000004494</v>
      </c>
      <c r="G4515" t="inlineStr">
        <is>
          <t>ZP</t>
        </is>
      </c>
      <c r="H4515" s="12" t="n">
        <v>1630.2</v>
      </c>
      <c r="I4515" s="17" t="n">
        <v>45408</v>
      </c>
      <c r="J4515" s="17" t="n">
        <v>45408</v>
      </c>
      <c r="K4515" t="inlineStr">
        <is>
          <t>Documento fornecedor ALTRA INDUSTRIAL MOTION B E I</t>
        </is>
      </c>
    </row>
    <row r="4516">
      <c r="A4516" t="inlineStr">
        <is>
          <t>101558</t>
        </is>
      </c>
      <c r="B4516" t="inlineStr">
        <is>
          <t>ALTRA INDUSTRIAL MOTION B E I LTDA</t>
        </is>
      </c>
      <c r="C4516" t="n">
        <v>1191000000</v>
      </c>
      <c r="D4516" t="inlineStr">
        <is>
          <t>Operational Suppliers (Wind Farms)</t>
        </is>
      </c>
      <c r="E4516" t="n">
        <v>2000004494</v>
      </c>
      <c r="G4516" t="inlineStr">
        <is>
          <t>ZP</t>
        </is>
      </c>
      <c r="H4516" s="12" t="n">
        <v>3260.4</v>
      </c>
      <c r="I4516" s="17" t="n">
        <v>45408</v>
      </c>
      <c r="J4516" s="17" t="n">
        <v>45408</v>
      </c>
      <c r="K4516" t="inlineStr">
        <is>
          <t>Documento fornecedor ALTRA INDUSTRIAL MOTION B E I</t>
        </is>
      </c>
    </row>
    <row r="4517">
      <c r="A4517" t="inlineStr">
        <is>
          <t>101558</t>
        </is>
      </c>
      <c r="B4517" t="inlineStr">
        <is>
          <t>ALTRA INDUSTRIAL MOTION B E I LTDA</t>
        </is>
      </c>
      <c r="C4517" t="n">
        <v>1191000000</v>
      </c>
      <c r="D4517" t="inlineStr">
        <is>
          <t>Operational Suppliers (Wind Farms)</t>
        </is>
      </c>
      <c r="E4517" t="n">
        <v>2000004494</v>
      </c>
      <c r="G4517" t="inlineStr">
        <is>
          <t>ZP</t>
        </is>
      </c>
      <c r="H4517" s="12" t="n">
        <v>919.6</v>
      </c>
      <c r="I4517" s="17" t="n">
        <v>45408</v>
      </c>
      <c r="J4517" s="17" t="n">
        <v>45408</v>
      </c>
      <c r="K4517" t="inlineStr">
        <is>
          <t>Documento fornecedor ALTRA INDUSTRIAL MOTION B E I</t>
        </is>
      </c>
    </row>
    <row r="4518">
      <c r="A4518" t="inlineStr">
        <is>
          <t>101558</t>
        </is>
      </c>
      <c r="B4518" t="inlineStr">
        <is>
          <t>ALTRA INDUSTRIAL MOTION B E I LTDA</t>
        </is>
      </c>
      <c r="C4518" t="n">
        <v>1191000000</v>
      </c>
      <c r="D4518" t="inlineStr">
        <is>
          <t>Operational Suppliers (Wind Farms)</t>
        </is>
      </c>
      <c r="E4518" t="n">
        <v>2000004494</v>
      </c>
      <c r="G4518" t="inlineStr">
        <is>
          <t>ZP</t>
        </is>
      </c>
      <c r="H4518" s="12" t="n">
        <v>3678.4</v>
      </c>
      <c r="I4518" s="17" t="n">
        <v>45408</v>
      </c>
      <c r="J4518" s="17" t="n">
        <v>45408</v>
      </c>
      <c r="K4518" t="inlineStr">
        <is>
          <t>Documento fornecedor ALTRA INDUSTRIAL MOTION B E I</t>
        </is>
      </c>
    </row>
    <row r="4519">
      <c r="A4519" t="inlineStr">
        <is>
          <t>105984</t>
        </is>
      </c>
      <c r="B4519" t="inlineStr">
        <is>
          <t>TRADEWORKS SERVICOS DE COMERCIO EXT 04955748000107</t>
        </is>
      </c>
      <c r="C4519" t="n">
        <v>1191000000</v>
      </c>
      <c r="D4519" t="inlineStr">
        <is>
          <t>Customs Brokerage – Overall</t>
        </is>
      </c>
      <c r="E4519" t="n">
        <v>2000006723</v>
      </c>
      <c r="G4519" t="inlineStr">
        <is>
          <t>ZP</t>
        </is>
      </c>
      <c r="H4519" s="12" t="n">
        <v>550.71</v>
      </c>
      <c r="I4519" s="17" t="n">
        <v>46134</v>
      </c>
      <c r="J4519" s="17" t="n">
        <v>46134</v>
      </c>
      <c r="K4519" t="inlineStr">
        <is>
          <t>Documento fornecedor TRADEWORKS SERVICOS DE COMERC</t>
        </is>
      </c>
    </row>
    <row r="4520">
      <c r="A4520" t="inlineStr">
        <is>
          <t>105984</t>
        </is>
      </c>
      <c r="B4520" t="inlineStr">
        <is>
          <t>TRADEWORKS SERVICOS DE COMERCIO EXT 04955748000107</t>
        </is>
      </c>
      <c r="C4520" t="n">
        <v>1191000000</v>
      </c>
      <c r="D4520" t="inlineStr">
        <is>
          <t>Customs Brokerage – Overall</t>
        </is>
      </c>
      <c r="E4520" t="n">
        <v>2000007754</v>
      </c>
      <c r="G4520" t="inlineStr">
        <is>
          <t>ZP</t>
        </is>
      </c>
      <c r="H4520" s="12" t="n">
        <v>233.82</v>
      </c>
      <c r="I4520" s="17" t="n">
        <v>46148</v>
      </c>
      <c r="J4520" s="17" t="n">
        <v>46148</v>
      </c>
      <c r="K4520" t="inlineStr">
        <is>
          <t>Documento fornecedor TRADEWORKS SERVICOS DE COMERC</t>
        </is>
      </c>
    </row>
    <row r="4521">
      <c r="A4521" t="inlineStr">
        <is>
          <t>105984</t>
        </is>
      </c>
      <c r="B4521" t="inlineStr">
        <is>
          <t>TRADEWORKS SERVICOS DE COMERCIO EXT 04955748000107</t>
        </is>
      </c>
      <c r="C4521" t="n">
        <v>1191000000</v>
      </c>
      <c r="D4521" t="inlineStr">
        <is>
          <t>Customs Brokerage – Overall</t>
        </is>
      </c>
      <c r="E4521" t="n">
        <v>2000007764</v>
      </c>
      <c r="G4521" t="inlineStr">
        <is>
          <t>ZP</t>
        </is>
      </c>
      <c r="H4521" s="12" t="n">
        <v>8194.530000000001</v>
      </c>
      <c r="I4521" s="17" t="n">
        <v>46148</v>
      </c>
      <c r="J4521" s="17" t="n">
        <v>46148</v>
      </c>
      <c r="K4521" t="inlineStr">
        <is>
          <t>Documento fornecedor TRADEWORKS SERVICOS DE COMERC</t>
        </is>
      </c>
    </row>
    <row r="4522">
      <c r="A4522" t="inlineStr">
        <is>
          <t>105984</t>
        </is>
      </c>
      <c r="B4522" t="inlineStr">
        <is>
          <t>TRADEWORKS SERVICOS DE COMERCIO EXT 04955748000107</t>
        </is>
      </c>
      <c r="C4522" t="n">
        <v>1191000000</v>
      </c>
      <c r="D4522" t="inlineStr">
        <is>
          <t>Customs Brokerage – Overall</t>
        </is>
      </c>
      <c r="E4522" t="n">
        <v>2000007765</v>
      </c>
      <c r="G4522" t="inlineStr">
        <is>
          <t>ZP</t>
        </is>
      </c>
      <c r="H4522" s="12" t="n">
        <v>10165.59</v>
      </c>
      <c r="I4522" s="17" t="n">
        <v>46148</v>
      </c>
      <c r="J4522" s="17" t="n">
        <v>46148</v>
      </c>
      <c r="K4522" t="inlineStr">
        <is>
          <t>Documento fornecedor TRADEWORKS SERVICOS DE COMERC</t>
        </is>
      </c>
    </row>
    <row r="4523">
      <c r="A4523" t="inlineStr">
        <is>
          <t>105984</t>
        </is>
      </c>
      <c r="B4523" t="inlineStr">
        <is>
          <t>TRADEWORKS SERVICOS DE COMERCIO EXT 04955748000107</t>
        </is>
      </c>
      <c r="C4523" t="n">
        <v>1191000000</v>
      </c>
      <c r="D4523" t="inlineStr">
        <is>
          <t>Customs Brokerage – Overall</t>
        </is>
      </c>
      <c r="E4523" t="n">
        <v>2000009284</v>
      </c>
      <c r="G4523" t="inlineStr">
        <is>
          <t>ZP</t>
        </is>
      </c>
      <c r="H4523" s="12" t="n">
        <v>22.96</v>
      </c>
      <c r="I4523" s="17" t="n">
        <v>46176</v>
      </c>
      <c r="J4523" s="17" t="n">
        <v>46176</v>
      </c>
      <c r="K4523" t="inlineStr">
        <is>
          <t>Documento fornecedor TRADEWORKS SERVICOS DE COMERC</t>
        </is>
      </c>
    </row>
    <row r="4524">
      <c r="A4524" t="inlineStr">
        <is>
          <t>105984</t>
        </is>
      </c>
      <c r="B4524" t="inlineStr">
        <is>
          <t>TRADEWORKS SERVICOS DE COMERCIO EXT 04955748000107</t>
        </is>
      </c>
      <c r="C4524" t="n">
        <v>1191000000</v>
      </c>
      <c r="D4524" t="inlineStr">
        <is>
          <t>Customs Brokerage – Overall</t>
        </is>
      </c>
      <c r="E4524" t="n">
        <v>2000009285</v>
      </c>
      <c r="G4524" t="inlineStr">
        <is>
          <t>ZP</t>
        </is>
      </c>
      <c r="H4524" s="12" t="n">
        <v>33.16</v>
      </c>
      <c r="I4524" s="17" t="n">
        <v>46176</v>
      </c>
      <c r="J4524" s="17" t="n">
        <v>46176</v>
      </c>
      <c r="K4524" t="inlineStr">
        <is>
          <t>Documento fornecedor TRADEWORKS SERVICOS DE COMERC</t>
        </is>
      </c>
    </row>
    <row r="4525">
      <c r="A4525" t="inlineStr">
        <is>
          <t>105984</t>
        </is>
      </c>
      <c r="B4525" t="inlineStr">
        <is>
          <t>TRADEWORKS SERVICOS DE COMERCIO EXT 04955748000107</t>
        </is>
      </c>
      <c r="C4525" t="n">
        <v>1191000000</v>
      </c>
      <c r="D4525" t="inlineStr">
        <is>
          <t>Customs Brokerage – Overall</t>
        </is>
      </c>
      <c r="E4525" t="n">
        <v>2000009287</v>
      </c>
      <c r="G4525" t="inlineStr">
        <is>
          <t>ZP</t>
        </is>
      </c>
      <c r="H4525" s="12" t="n">
        <v>182.98</v>
      </c>
      <c r="I4525" s="17" t="n">
        <v>46176</v>
      </c>
      <c r="J4525" s="17" t="n">
        <v>46176</v>
      </c>
      <c r="K4525" t="inlineStr">
        <is>
          <t>Documento fornecedor TRADEWORKS SERVICOS DE COMERC</t>
        </is>
      </c>
    </row>
    <row r="4526">
      <c r="A4526" t="inlineStr">
        <is>
          <t>105984</t>
        </is>
      </c>
      <c r="B4526" t="inlineStr">
        <is>
          <t>TRADEWORKS SERVICOS DE COMERCIO EXT 04955748000107</t>
        </is>
      </c>
      <c r="C4526" t="n">
        <v>1191000000</v>
      </c>
      <c r="D4526" t="inlineStr">
        <is>
          <t>Customs Brokerage – Overall</t>
        </is>
      </c>
      <c r="E4526" t="n">
        <v>2000009303</v>
      </c>
      <c r="G4526" t="inlineStr">
        <is>
          <t>ZP</t>
        </is>
      </c>
      <c r="H4526" s="12" t="n">
        <v>632.0700000000001</v>
      </c>
      <c r="I4526" s="17" t="n">
        <v>46176</v>
      </c>
      <c r="J4526" s="17" t="n">
        <v>46176</v>
      </c>
      <c r="K4526" t="inlineStr">
        <is>
          <t>Documento fornecedor TRADEWORKS SERVICOS DE COMERC</t>
        </is>
      </c>
    </row>
    <row r="4527">
      <c r="A4527" t="inlineStr">
        <is>
          <t>105984</t>
        </is>
      </c>
      <c r="B4527" t="inlineStr">
        <is>
          <t>TRADEWORKS SERVICOS DE COMERCIO EXT 04955748000107</t>
        </is>
      </c>
      <c r="C4527" t="n">
        <v>1191000000</v>
      </c>
      <c r="D4527" t="inlineStr">
        <is>
          <t>Customs Brokerage – Overall</t>
        </is>
      </c>
      <c r="E4527" t="n">
        <v>2000009306</v>
      </c>
      <c r="G4527" t="inlineStr">
        <is>
          <t>ZP</t>
        </is>
      </c>
      <c r="H4527" s="12" t="n">
        <v>1112.12</v>
      </c>
      <c r="I4527" s="17" t="n">
        <v>46176</v>
      </c>
      <c r="J4527" s="17" t="n">
        <v>46176</v>
      </c>
      <c r="K4527" t="inlineStr">
        <is>
          <t>Documento fornecedor TRADEWORKS SERVICOS DE COMERC</t>
        </is>
      </c>
    </row>
    <row r="4528">
      <c r="A4528" t="inlineStr">
        <is>
          <t>105984</t>
        </is>
      </c>
      <c r="B4528" t="inlineStr">
        <is>
          <t>TRADEWORKS SERVICOS DE COMERCIO EXT 04955748000107</t>
        </is>
      </c>
      <c r="C4528" t="n">
        <v>1191000000</v>
      </c>
      <c r="D4528" t="inlineStr">
        <is>
          <t>Customs Brokerage – Overall</t>
        </is>
      </c>
      <c r="E4528" t="n">
        <v>2000009307</v>
      </c>
      <c r="G4528" t="inlineStr">
        <is>
          <t>ZP</t>
        </is>
      </c>
      <c r="H4528" s="12" t="n">
        <v>1112.12</v>
      </c>
      <c r="I4528" s="17" t="n">
        <v>46176</v>
      </c>
      <c r="J4528" s="17" t="n">
        <v>46176</v>
      </c>
      <c r="K4528" t="inlineStr">
        <is>
          <t>Documento fornecedor TRADEWORKS SERVICOS DE COMERC</t>
        </is>
      </c>
    </row>
    <row r="4529">
      <c r="A4529" t="inlineStr">
        <is>
          <t>105984</t>
        </is>
      </c>
      <c r="B4529" t="inlineStr">
        <is>
          <t>TRADEWORKS SERVICOS DE COMERCIO EXT 04955748000107</t>
        </is>
      </c>
      <c r="C4529" t="n">
        <v>1191000000</v>
      </c>
      <c r="D4529" t="inlineStr">
        <is>
          <t>Customs Brokerage – Overall</t>
        </is>
      </c>
      <c r="E4529" t="n">
        <v>2000009308</v>
      </c>
      <c r="G4529" t="inlineStr">
        <is>
          <t>ZP</t>
        </is>
      </c>
      <c r="H4529" s="12" t="n">
        <v>1112.12</v>
      </c>
      <c r="I4529" s="17" t="n">
        <v>46176</v>
      </c>
      <c r="J4529" s="17" t="n">
        <v>46176</v>
      </c>
      <c r="K4529" t="inlineStr">
        <is>
          <t>Documento fornecedor TRADEWORKS SERVICOS DE COMERC</t>
        </is>
      </c>
    </row>
    <row r="4530">
      <c r="A4530" t="inlineStr">
        <is>
          <t>105984</t>
        </is>
      </c>
      <c r="B4530" t="inlineStr">
        <is>
          <t>TRADEWORKS SERVICOS DE COMERCIO EXT 04955748000107</t>
        </is>
      </c>
      <c r="C4530" t="n">
        <v>1191000000</v>
      </c>
      <c r="D4530" t="inlineStr">
        <is>
          <t>Customs Brokerage – Overall</t>
        </is>
      </c>
      <c r="E4530" t="n">
        <v>2000009432</v>
      </c>
      <c r="G4530" t="inlineStr">
        <is>
          <t>ZP</t>
        </is>
      </c>
      <c r="H4530" s="12" t="n">
        <v>11500</v>
      </c>
      <c r="I4530" s="17" t="n">
        <v>46176</v>
      </c>
      <c r="J4530" s="17" t="n">
        <v>46176</v>
      </c>
      <c r="K4530" t="inlineStr">
        <is>
          <t>Documento fornecedor TRADEWORKS SERVICOS DE COMERC</t>
        </is>
      </c>
    </row>
    <row r="4531">
      <c r="A4531" t="inlineStr">
        <is>
          <t>105984</t>
        </is>
      </c>
      <c r="B4531" t="inlineStr">
        <is>
          <t>TRADEWORKS SERVICOS DE COMERCIO EXT 04955748000107</t>
        </is>
      </c>
      <c r="C4531" t="n">
        <v>1191000000</v>
      </c>
      <c r="D4531" t="inlineStr">
        <is>
          <t>Customs Brokerage – Overall</t>
        </is>
      </c>
      <c r="E4531" t="n">
        <v>2000009475</v>
      </c>
      <c r="G4531" t="inlineStr">
        <is>
          <t>ZP</t>
        </is>
      </c>
      <c r="H4531" s="12" t="n">
        <v>30366.84</v>
      </c>
      <c r="I4531" s="17" t="n">
        <v>46176</v>
      </c>
      <c r="J4531" s="17" t="n">
        <v>46176</v>
      </c>
      <c r="K4531" t="inlineStr">
        <is>
          <t>Documento fornecedor TRADEWORKS SERVICOS DE COMERC</t>
        </is>
      </c>
    </row>
    <row r="4532">
      <c r="A4532" t="inlineStr">
        <is>
          <t>EM000820</t>
        </is>
      </c>
      <c r="B4532" t="inlineStr">
        <is>
          <t>JOSE RENATO SILVA DE SOUZA</t>
        </is>
      </c>
      <c r="C4532" t="n">
        <v>1191000000</v>
      </c>
      <c r="D4532" t="inlineStr">
        <is>
          <t>Nordex Employees</t>
        </is>
      </c>
      <c r="E4532" t="n">
        <v>2000009557</v>
      </c>
      <c r="G4532" t="inlineStr">
        <is>
          <t>ZP</t>
        </is>
      </c>
      <c r="H4532" s="12" t="n">
        <v>100</v>
      </c>
      <c r="I4532" s="17" t="n">
        <v>46176</v>
      </c>
      <c r="J4532" s="17" t="n">
        <v>46176</v>
      </c>
      <c r="K4532" t="inlineStr">
        <is>
          <t>Documento fornecedor JOSE RENATO SILVA DE SOUZA DE</t>
        </is>
      </c>
    </row>
    <row r="4533">
      <c r="A4533" t="inlineStr">
        <is>
          <t>105984</t>
        </is>
      </c>
      <c r="B4533" t="inlineStr">
        <is>
          <t>TRADEWORKS SERVICOS DE COMERCIO EXT 04955748000107</t>
        </is>
      </c>
      <c r="C4533" t="n">
        <v>1191000000</v>
      </c>
      <c r="D4533" t="inlineStr">
        <is>
          <t>Customs Brokerage – Overall</t>
        </is>
      </c>
      <c r="E4533" t="n">
        <v>2000010099</v>
      </c>
      <c r="G4533" t="inlineStr">
        <is>
          <t>ZP</t>
        </is>
      </c>
      <c r="H4533" s="12" t="n">
        <v>1921545.49</v>
      </c>
      <c r="I4533" s="17" t="n">
        <v>46190</v>
      </c>
      <c r="J4533" s="17" t="n">
        <v>46190</v>
      </c>
      <c r="K4533" t="inlineStr">
        <is>
          <t>0382/26 0382/26</t>
        </is>
      </c>
    </row>
    <row r="4534">
      <c r="A4534" t="inlineStr">
        <is>
          <t>105984</t>
        </is>
      </c>
      <c r="B4534" t="inlineStr">
        <is>
          <t>TRADEWORKS SERVICOS DE COMERCIO EXT 04955748000107</t>
        </is>
      </c>
      <c r="C4534" t="n">
        <v>1191000000</v>
      </c>
      <c r="D4534" t="inlineStr">
        <is>
          <t>Customs Brokerage – Overall</t>
        </is>
      </c>
      <c r="E4534" t="n">
        <v>2000010254</v>
      </c>
      <c r="G4534" t="inlineStr">
        <is>
          <t>ZP</t>
        </is>
      </c>
      <c r="H4534" s="12" t="n">
        <v>4979.36</v>
      </c>
      <c r="I4534" s="17" t="n">
        <v>46197</v>
      </c>
      <c r="J4534" s="17" t="n">
        <v>46197</v>
      </c>
      <c r="K4534" t="inlineStr">
        <is>
          <t>Documento fornecedor TRADEWORKS SERVICOS DE COMERC</t>
        </is>
      </c>
    </row>
    <row r="4535">
      <c r="A4535" t="inlineStr">
        <is>
          <t>105984</t>
        </is>
      </c>
      <c r="B4535" t="inlineStr">
        <is>
          <t>TRADEWORKS SERVICOS DE COMERCIO EXT 04955748000107</t>
        </is>
      </c>
      <c r="C4535" t="n">
        <v>1191000000</v>
      </c>
      <c r="D4535" t="inlineStr">
        <is>
          <t>Customs Brokerage – Overall</t>
        </is>
      </c>
      <c r="E4535" t="n">
        <v>2000010570</v>
      </c>
      <c r="G4535" t="inlineStr">
        <is>
          <t>ZP</t>
        </is>
      </c>
      <c r="H4535" s="12" t="n">
        <v>12299.31</v>
      </c>
      <c r="I4535" s="17" t="n">
        <v>46204</v>
      </c>
      <c r="J4535" s="17" t="n">
        <v>46204</v>
      </c>
      <c r="K4535" t="inlineStr">
        <is>
          <t>0430/26 0430/26</t>
        </is>
      </c>
    </row>
    <row r="4536">
      <c r="A4536" t="inlineStr">
        <is>
          <t>105984</t>
        </is>
      </c>
      <c r="B4536" t="inlineStr">
        <is>
          <t>TRADEWORKS SERVICOS DE COMERCIO EXT 04955748000107</t>
        </is>
      </c>
      <c r="C4536" t="n">
        <v>1191000000</v>
      </c>
      <c r="D4536" t="inlineStr">
        <is>
          <t>Customs Brokerage – Overall</t>
        </is>
      </c>
      <c r="E4536" t="n">
        <v>2000010573</v>
      </c>
      <c r="G4536" t="inlineStr">
        <is>
          <t>ZP</t>
        </is>
      </c>
      <c r="H4536" s="12" t="n">
        <v>25074.6</v>
      </c>
      <c r="I4536" s="17" t="n">
        <v>46204</v>
      </c>
      <c r="J4536" s="17" t="n">
        <v>46204</v>
      </c>
      <c r="K4536" t="inlineStr">
        <is>
          <t>0433/26 0433/26</t>
        </is>
      </c>
    </row>
    <row r="4537">
      <c r="A4537" t="inlineStr">
        <is>
          <t>105984</t>
        </is>
      </c>
      <c r="B4537" t="inlineStr">
        <is>
          <t>TRADEWORKS SERVICOS DE COMERCIO EXT 04955748000107</t>
        </is>
      </c>
      <c r="C4537" t="n">
        <v>1191000000</v>
      </c>
      <c r="D4537" t="inlineStr">
        <is>
          <t>Customs Brokerage – Overall</t>
        </is>
      </c>
      <c r="E4537" t="n">
        <v>2000010575</v>
      </c>
      <c r="G4537" t="inlineStr">
        <is>
          <t>ZP</t>
        </is>
      </c>
      <c r="H4537" s="12" t="n">
        <v>35425.55</v>
      </c>
      <c r="I4537" s="17" t="n">
        <v>46204</v>
      </c>
      <c r="J4537" s="17" t="n">
        <v>46204</v>
      </c>
      <c r="K4537" t="inlineStr">
        <is>
          <t>0424/26 0424/26</t>
        </is>
      </c>
    </row>
    <row r="4538">
      <c r="A4538" t="inlineStr">
        <is>
          <t>105984</t>
        </is>
      </c>
      <c r="B4538" t="inlineStr">
        <is>
          <t>TRADEWORKS SERVICOS DE COMERCIO EXT 04955748000107</t>
        </is>
      </c>
      <c r="C4538" t="n">
        <v>1191000000</v>
      </c>
      <c r="D4538" t="inlineStr">
        <is>
          <t>Customs Brokerage – Overall</t>
        </is>
      </c>
      <c r="E4538" t="n">
        <v>2000010576</v>
      </c>
      <c r="G4538" t="inlineStr">
        <is>
          <t>ZP</t>
        </is>
      </c>
      <c r="H4538" s="12" t="n">
        <v>39190.72</v>
      </c>
      <c r="I4538" s="17" t="n">
        <v>46204</v>
      </c>
      <c r="J4538" s="17" t="n">
        <v>46204</v>
      </c>
      <c r="K4538" t="inlineStr">
        <is>
          <t>0427/26 0427/26</t>
        </is>
      </c>
    </row>
    <row r="4539">
      <c r="A4539" t="inlineStr">
        <is>
          <t>105984</t>
        </is>
      </c>
      <c r="B4539" t="inlineStr">
        <is>
          <t>TRADEWORKS SERVICOS DE COMERCIO EXT 04955748000107</t>
        </is>
      </c>
      <c r="C4539" t="n">
        <v>1191000000</v>
      </c>
      <c r="D4539" t="inlineStr">
        <is>
          <t>Customs Brokerage – Overall</t>
        </is>
      </c>
      <c r="E4539" t="n">
        <v>2000010578</v>
      </c>
      <c r="G4539" t="inlineStr">
        <is>
          <t>ZP</t>
        </is>
      </c>
      <c r="H4539" s="12" t="n">
        <v>49286.48</v>
      </c>
      <c r="I4539" s="17" t="n">
        <v>46204</v>
      </c>
      <c r="J4539" s="17" t="n">
        <v>46204</v>
      </c>
      <c r="K4539" t="inlineStr">
        <is>
          <t>0432/26 0432/26</t>
        </is>
      </c>
    </row>
    <row r="4540">
      <c r="A4540" t="inlineStr">
        <is>
          <t>105984</t>
        </is>
      </c>
      <c r="B4540" t="inlineStr">
        <is>
          <t>TRADEWORKS SERVICOS DE COMERCIO EXT 04955748000107</t>
        </is>
      </c>
      <c r="C4540" t="n">
        <v>1191000000</v>
      </c>
      <c r="D4540" t="inlineStr">
        <is>
          <t>Customs Brokerage – Overall</t>
        </is>
      </c>
      <c r="E4540" t="n">
        <v>2000010579</v>
      </c>
      <c r="G4540" t="inlineStr">
        <is>
          <t>ZP</t>
        </is>
      </c>
      <c r="H4540" s="12" t="n">
        <v>69052.24000000001</v>
      </c>
      <c r="I4540" s="17" t="n">
        <v>46204</v>
      </c>
      <c r="J4540" s="17" t="n">
        <v>46204</v>
      </c>
      <c r="K4540" t="inlineStr">
        <is>
          <t>0434/26 0434/26</t>
        </is>
      </c>
    </row>
    <row r="4541">
      <c r="A4541" t="inlineStr">
        <is>
          <t>105984</t>
        </is>
      </c>
      <c r="B4541" t="inlineStr">
        <is>
          <t>TRADEWORKS SERVICOS DE COMERCIO EXT 04955748000107</t>
        </is>
      </c>
      <c r="C4541" t="n">
        <v>1191000000</v>
      </c>
      <c r="D4541" t="inlineStr">
        <is>
          <t>Customs Brokerage – Overall</t>
        </is>
      </c>
      <c r="E4541" t="n">
        <v>2000010580</v>
      </c>
      <c r="G4541" t="inlineStr">
        <is>
          <t>ZP</t>
        </is>
      </c>
      <c r="H4541" s="12" t="n">
        <v>90666.42999999999</v>
      </c>
      <c r="I4541" s="17" t="n">
        <v>46204</v>
      </c>
      <c r="J4541" s="17" t="n">
        <v>46204</v>
      </c>
      <c r="K4541" t="inlineStr">
        <is>
          <t>0425/26 0425/26</t>
        </is>
      </c>
    </row>
    <row r="4542">
      <c r="A4542" t="inlineStr">
        <is>
          <t>105984</t>
        </is>
      </c>
      <c r="B4542" t="inlineStr">
        <is>
          <t>TRADEWORKS SERVICOS DE COMERCIO EXT 04955748000107</t>
        </is>
      </c>
      <c r="C4542" t="n">
        <v>1191000000</v>
      </c>
      <c r="D4542" t="inlineStr">
        <is>
          <t>Customs Brokerage – Overall</t>
        </is>
      </c>
      <c r="E4542" t="n">
        <v>2000010581</v>
      </c>
      <c r="G4542" t="inlineStr">
        <is>
          <t>ZP</t>
        </is>
      </c>
      <c r="H4542" s="12" t="n">
        <v>96906.72</v>
      </c>
      <c r="I4542" s="17" t="n">
        <v>46204</v>
      </c>
      <c r="J4542" s="17" t="n">
        <v>46204</v>
      </c>
      <c r="K4542" t="inlineStr">
        <is>
          <t>0436/26 0436/26</t>
        </is>
      </c>
    </row>
    <row r="4543">
      <c r="A4543" t="inlineStr">
        <is>
          <t>105984</t>
        </is>
      </c>
      <c r="B4543" t="inlineStr">
        <is>
          <t>TRADEWORKS SERVICOS DE COMERCIO EXT 04955748000107</t>
        </is>
      </c>
      <c r="C4543" t="n">
        <v>1191000000</v>
      </c>
      <c r="D4543" t="inlineStr">
        <is>
          <t>Customs Brokerage – Overall</t>
        </is>
      </c>
      <c r="E4543" t="n">
        <v>2000010583</v>
      </c>
      <c r="G4543" t="inlineStr">
        <is>
          <t>ZP</t>
        </is>
      </c>
      <c r="H4543" s="12" t="n">
        <v>382647.39</v>
      </c>
      <c r="I4543" s="17" t="n">
        <v>46204</v>
      </c>
      <c r="J4543" s="17" t="n">
        <v>46204</v>
      </c>
      <c r="K4543" t="inlineStr">
        <is>
          <t>0435/26 0435/26</t>
        </is>
      </c>
    </row>
    <row r="4544">
      <c r="A4544" t="inlineStr">
        <is>
          <t>105984</t>
        </is>
      </c>
      <c r="B4544" t="inlineStr">
        <is>
          <t>TRADEWORKS SERVICOS DE COMERCIO EXT 04955748000107</t>
        </is>
      </c>
      <c r="C4544" t="n">
        <v>1191000000</v>
      </c>
      <c r="D4544" t="inlineStr">
        <is>
          <t>Customs Brokerage – Overall</t>
        </is>
      </c>
      <c r="E4544" t="n">
        <v>2000011250</v>
      </c>
      <c r="G4544" t="inlineStr">
        <is>
          <t>ZP</t>
        </is>
      </c>
      <c r="H4544" s="12" t="n">
        <v>277839.6</v>
      </c>
      <c r="I4544" s="17" t="n">
        <v>46211</v>
      </c>
      <c r="J4544" s="17" t="n">
        <v>46211</v>
      </c>
      <c r="K4544" t="inlineStr">
        <is>
          <t>Documento fornecedor TRADEWORKS SERVICOS DE COMERC</t>
        </is>
      </c>
    </row>
    <row r="4545">
      <c r="A4545" t="inlineStr">
        <is>
          <t>105984</t>
        </is>
      </c>
      <c r="B4545" t="inlineStr">
        <is>
          <t>TRADEWORKS SERVICOS DE COMERCIO EXT 04955748000107</t>
        </is>
      </c>
      <c r="C4545" t="n">
        <v>1191000000</v>
      </c>
      <c r="D4545" t="inlineStr">
        <is>
          <t>Customs Brokerage – Overall</t>
        </is>
      </c>
      <c r="E4545" t="n">
        <v>2000011272</v>
      </c>
      <c r="G4545" t="inlineStr">
        <is>
          <t>ZP</t>
        </is>
      </c>
      <c r="H4545" s="12" t="n">
        <v>9980.58</v>
      </c>
      <c r="I4545" s="17" t="n">
        <v>46211</v>
      </c>
      <c r="J4545" s="17" t="n">
        <v>46211</v>
      </c>
      <c r="K4545" t="inlineStr">
        <is>
          <t>0431/26 0431/26</t>
        </is>
      </c>
    </row>
    <row r="4546">
      <c r="A4546" t="inlineStr">
        <is>
          <t>105984</t>
        </is>
      </c>
      <c r="B4546" t="inlineStr">
        <is>
          <t>TRADEWORKS SERVICOS DE COMERCIO EXT 04955748000107</t>
        </is>
      </c>
      <c r="C4546" t="n">
        <v>1191000000</v>
      </c>
      <c r="D4546" t="inlineStr">
        <is>
          <t>Customs Brokerage – Overall</t>
        </is>
      </c>
      <c r="E4546" t="n">
        <v>2000011276</v>
      </c>
      <c r="G4546" t="inlineStr">
        <is>
          <t>ZP</t>
        </is>
      </c>
      <c r="H4546" s="12" t="n">
        <v>11231.74</v>
      </c>
      <c r="I4546" s="17" t="n">
        <v>46211</v>
      </c>
      <c r="J4546" s="17" t="n">
        <v>46211</v>
      </c>
      <c r="K4546" t="inlineStr">
        <is>
          <t>0429/26 0429/26</t>
        </is>
      </c>
    </row>
    <row r="4547">
      <c r="A4547" t="inlineStr">
        <is>
          <t>105984</t>
        </is>
      </c>
      <c r="B4547" t="inlineStr">
        <is>
          <t>TRADEWORKS SERVICOS DE COMERCIO EXT 04955748000107</t>
        </is>
      </c>
      <c r="C4547" t="n">
        <v>1191000000</v>
      </c>
      <c r="D4547" t="inlineStr">
        <is>
          <t>Customs Brokerage – Overall</t>
        </is>
      </c>
      <c r="E4547" t="n">
        <v>2000011281</v>
      </c>
      <c r="G4547" t="inlineStr">
        <is>
          <t>ZP</t>
        </is>
      </c>
      <c r="H4547" s="12" t="n">
        <v>15508.5</v>
      </c>
      <c r="I4547" s="17" t="n">
        <v>46211</v>
      </c>
      <c r="J4547" s="17" t="n">
        <v>46211</v>
      </c>
      <c r="K4547" t="inlineStr">
        <is>
          <t>0426/26 0426/26</t>
        </is>
      </c>
    </row>
    <row r="4548">
      <c r="A4548" t="inlineStr">
        <is>
          <t>105984</t>
        </is>
      </c>
      <c r="B4548" t="inlineStr">
        <is>
          <t>TRADEWORKS SERVICOS DE COMERCIO EXT 04955748000107</t>
        </is>
      </c>
      <c r="C4548" t="n">
        <v>1191000000</v>
      </c>
      <c r="D4548" t="inlineStr">
        <is>
          <t>Customs Brokerage – Overall</t>
        </is>
      </c>
      <c r="E4548" t="n">
        <v>2000011288</v>
      </c>
      <c r="G4548" t="inlineStr">
        <is>
          <t>ZP</t>
        </is>
      </c>
      <c r="H4548" s="12" t="n">
        <v>56039.79</v>
      </c>
      <c r="I4548" s="17" t="n">
        <v>46211</v>
      </c>
      <c r="J4548" s="17" t="n">
        <v>46211</v>
      </c>
      <c r="K4548" t="inlineStr">
        <is>
          <t>0446/26 0446/26</t>
        </is>
      </c>
    </row>
    <row r="4549">
      <c r="A4549" t="inlineStr">
        <is>
          <t>105984</t>
        </is>
      </c>
      <c r="B4549" t="inlineStr">
        <is>
          <t>TRADEWORKS SERVICOS DE COMERCIO EXT 04955748000107</t>
        </is>
      </c>
      <c r="C4549" t="n">
        <v>1191000000</v>
      </c>
      <c r="D4549" t="inlineStr">
        <is>
          <t>Customs Brokerage – Overall</t>
        </is>
      </c>
      <c r="E4549" t="n">
        <v>2000011290</v>
      </c>
      <c r="G4549" t="inlineStr">
        <is>
          <t>ZP</t>
        </is>
      </c>
      <c r="H4549" s="12" t="n">
        <v>95912.66</v>
      </c>
      <c r="I4549" s="17" t="n">
        <v>46211</v>
      </c>
      <c r="J4549" s="17" t="n">
        <v>46211</v>
      </c>
      <c r="K4549" t="inlineStr">
        <is>
          <t>0428/26 0428/26</t>
        </is>
      </c>
    </row>
    <row r="4550">
      <c r="A4550" t="inlineStr">
        <is>
          <t>105984</t>
        </is>
      </c>
      <c r="B4550" t="inlineStr">
        <is>
          <t>TRADEWORKS SERVICOS DE COMERCIO EXT 04955748000107</t>
        </is>
      </c>
      <c r="C4550" t="n">
        <v>1191000000</v>
      </c>
      <c r="D4550" t="inlineStr">
        <is>
          <t>Customs Brokerage – Overall</t>
        </is>
      </c>
      <c r="E4550" t="n">
        <v>2000011686</v>
      </c>
      <c r="G4550" t="inlineStr">
        <is>
          <t>ZP</t>
        </is>
      </c>
      <c r="H4550" s="12" t="n">
        <v>18000</v>
      </c>
      <c r="I4550" s="17" t="n">
        <v>46225</v>
      </c>
      <c r="J4550" s="17" t="n">
        <v>46225</v>
      </c>
      <c r="K4550" t="inlineStr">
        <is>
          <t>Documento fornecedor TRADEWORKS SERVICOS DE COMERC</t>
        </is>
      </c>
    </row>
    <row r="4551">
      <c r="A4551" t="inlineStr">
        <is>
          <t>105984</t>
        </is>
      </c>
      <c r="B4551" t="inlineStr">
        <is>
          <t>TRADEWORKS SERVICOS DE COMERCIO EXT 04955748000107</t>
        </is>
      </c>
      <c r="C4551" t="n">
        <v>1191000000</v>
      </c>
      <c r="D4551" t="inlineStr">
        <is>
          <t>Customs Brokerage – Overall</t>
        </is>
      </c>
      <c r="E4551" t="n">
        <v>2000011687</v>
      </c>
      <c r="G4551" t="inlineStr">
        <is>
          <t>ZP</t>
        </is>
      </c>
      <c r="H4551" s="12" t="n">
        <v>120000</v>
      </c>
      <c r="I4551" s="17" t="n">
        <v>46225</v>
      </c>
      <c r="J4551" s="17" t="n">
        <v>46225</v>
      </c>
      <c r="K4551" t="inlineStr">
        <is>
          <t>Documento fornecedor TRADEWORKS SERVICOS DE COMERC</t>
        </is>
      </c>
    </row>
    <row r="4552">
      <c r="A4552" t="inlineStr">
        <is>
          <t>105984</t>
        </is>
      </c>
      <c r="B4552" t="inlineStr">
        <is>
          <t>TRADEWORKS SERVICOS DE COMERCIO EXT 04955748000107</t>
        </is>
      </c>
      <c r="C4552" t="n">
        <v>1191000000</v>
      </c>
      <c r="D4552" t="inlineStr">
        <is>
          <t>Customs Brokerage – Overall</t>
        </is>
      </c>
      <c r="E4552" t="n">
        <v>2000011688</v>
      </c>
      <c r="G4552" t="inlineStr">
        <is>
          <t>ZP</t>
        </is>
      </c>
      <c r="H4552" s="12" t="n">
        <v>640165.48</v>
      </c>
      <c r="I4552" s="17" t="n">
        <v>46225</v>
      </c>
      <c r="J4552" s="17" t="n">
        <v>46225</v>
      </c>
      <c r="K4552" t="inlineStr">
        <is>
          <t>0476/26 0476/26</t>
        </is>
      </c>
    </row>
    <row r="4553">
      <c r="A4553" t="inlineStr">
        <is>
          <t>105984</t>
        </is>
      </c>
      <c r="B4553" t="inlineStr">
        <is>
          <t>TRADEWORKS SERVICOS DE COMERCIO EXT 04955748000107</t>
        </is>
      </c>
      <c r="C4553" t="n">
        <v>1191000000</v>
      </c>
      <c r="D4553" t="inlineStr">
        <is>
          <t>Customs Brokerage – Overall</t>
        </is>
      </c>
      <c r="E4553" t="n">
        <v>2000011910</v>
      </c>
      <c r="G4553" t="inlineStr">
        <is>
          <t>ZP</t>
        </is>
      </c>
      <c r="H4553" s="12" t="n">
        <v>7187.41</v>
      </c>
      <c r="I4553" s="17" t="n">
        <v>46232</v>
      </c>
      <c r="J4553" s="17" t="n">
        <v>46232</v>
      </c>
      <c r="K4553" t="inlineStr">
        <is>
          <t>0482/26 0482/26</t>
        </is>
      </c>
    </row>
    <row r="4554">
      <c r="A4554" t="inlineStr">
        <is>
          <t>105984</t>
        </is>
      </c>
      <c r="B4554" t="inlineStr">
        <is>
          <t>TRADEWORKS SERVICOS DE COMERCIO EXT 04955748000107</t>
        </is>
      </c>
      <c r="C4554" t="n">
        <v>1191000000</v>
      </c>
      <c r="D4554" t="inlineStr">
        <is>
          <t>Customs Brokerage – Overall</t>
        </is>
      </c>
      <c r="E4554" t="n">
        <v>2000011911</v>
      </c>
      <c r="G4554" t="inlineStr">
        <is>
          <t>ZP</t>
        </is>
      </c>
      <c r="H4554" s="12" t="n">
        <v>7333.92</v>
      </c>
      <c r="I4554" s="17" t="n">
        <v>46232</v>
      </c>
      <c r="J4554" s="17" t="n">
        <v>46232</v>
      </c>
      <c r="K4554" t="inlineStr">
        <is>
          <t>0483/26 0483/26</t>
        </is>
      </c>
    </row>
    <row r="4555">
      <c r="A4555" t="inlineStr">
        <is>
          <t>105984</t>
        </is>
      </c>
      <c r="B4555" t="inlineStr">
        <is>
          <t>TRADEWORKS SERVICOS DE COMERCIO EXT 04955748000107</t>
        </is>
      </c>
      <c r="C4555" t="n">
        <v>1191000000</v>
      </c>
      <c r="D4555" t="inlineStr">
        <is>
          <t>Customs Brokerage – Overall</t>
        </is>
      </c>
      <c r="E4555" t="n">
        <v>2000011914</v>
      </c>
      <c r="G4555" t="inlineStr">
        <is>
          <t>ZP</t>
        </is>
      </c>
      <c r="H4555" s="12" t="n">
        <v>8303.1</v>
      </c>
      <c r="I4555" s="17" t="n">
        <v>46232</v>
      </c>
      <c r="J4555" s="17" t="n">
        <v>46232</v>
      </c>
      <c r="K4555" t="inlineStr">
        <is>
          <t>0484/26 0484/26</t>
        </is>
      </c>
    </row>
    <row r="4556">
      <c r="A4556" t="inlineStr">
        <is>
          <t>105984</t>
        </is>
      </c>
      <c r="B4556" t="inlineStr">
        <is>
          <t>TRADEWORKS SERVICOS DE COMERCIO EXT 04955748000107</t>
        </is>
      </c>
      <c r="C4556" t="n">
        <v>1191000000</v>
      </c>
      <c r="D4556" t="inlineStr">
        <is>
          <t>Customs Brokerage – Overall</t>
        </is>
      </c>
      <c r="E4556" t="n">
        <v>2000011915</v>
      </c>
      <c r="G4556" t="inlineStr">
        <is>
          <t>ZP</t>
        </is>
      </c>
      <c r="H4556" s="12" t="n">
        <v>8311.139999999999</v>
      </c>
      <c r="I4556" s="17" t="n">
        <v>46232</v>
      </c>
      <c r="J4556" s="17" t="n">
        <v>46232</v>
      </c>
      <c r="K4556" t="inlineStr">
        <is>
          <t>0485/26 0485/26</t>
        </is>
      </c>
    </row>
    <row r="4557">
      <c r="A4557" t="inlineStr">
        <is>
          <t>105984</t>
        </is>
      </c>
      <c r="B4557" t="inlineStr">
        <is>
          <t>TRADEWORKS SERVICOS DE COMERCIO EXT 04955748000107</t>
        </is>
      </c>
      <c r="C4557" t="n">
        <v>1191000000</v>
      </c>
      <c r="D4557" t="inlineStr">
        <is>
          <t>Customs Brokerage – Overall</t>
        </is>
      </c>
      <c r="E4557" t="n">
        <v>2000011926</v>
      </c>
      <c r="G4557" t="inlineStr">
        <is>
          <t>ZP</t>
        </is>
      </c>
      <c r="H4557" s="12" t="n">
        <v>50534.74</v>
      </c>
      <c r="I4557" s="17" t="n">
        <v>46232</v>
      </c>
      <c r="J4557" s="17" t="n">
        <v>46232</v>
      </c>
      <c r="K4557" t="inlineStr">
        <is>
          <t>0491/26 0491/26</t>
        </is>
      </c>
    </row>
    <row r="4558">
      <c r="A4558" t="inlineStr">
        <is>
          <t>105984</t>
        </is>
      </c>
      <c r="B4558" t="inlineStr">
        <is>
          <t>TRADEWORKS SERVICOS DE COMERCIO EXT 04955748000107</t>
        </is>
      </c>
      <c r="C4558" t="n">
        <v>1191000000</v>
      </c>
      <c r="D4558" t="inlineStr">
        <is>
          <t>Customs Brokerage – Overall</t>
        </is>
      </c>
      <c r="E4558" t="n">
        <v>2000011975</v>
      </c>
      <c r="G4558" t="inlineStr">
        <is>
          <t>ZP</t>
        </is>
      </c>
      <c r="H4558" s="12" t="n">
        <v>18000</v>
      </c>
      <c r="I4558" s="17" t="n">
        <v>46232</v>
      </c>
      <c r="J4558" s="17" t="n">
        <v>46232</v>
      </c>
      <c r="K4558" t="inlineStr">
        <is>
          <t>Documento fornecedor TRADEWORKS SERVICOS DE COMERC</t>
        </is>
      </c>
    </row>
    <row r="4559">
      <c r="A4559" t="inlineStr">
        <is>
          <t>105984</t>
        </is>
      </c>
      <c r="B4559" t="inlineStr">
        <is>
          <t>TRADEWORKS SERVICOS DE COMERCIO EXT 04955748000107</t>
        </is>
      </c>
      <c r="C4559" t="n">
        <v>1191000000</v>
      </c>
      <c r="D4559" t="inlineStr">
        <is>
          <t>Customs Brokerage – Overall</t>
        </is>
      </c>
      <c r="E4559" t="n">
        <v>2000011977</v>
      </c>
      <c r="G4559" t="inlineStr">
        <is>
          <t>ZP</t>
        </is>
      </c>
      <c r="H4559" s="12" t="n">
        <v>33000</v>
      </c>
      <c r="I4559" s="17" t="n">
        <v>46232</v>
      </c>
      <c r="J4559" s="17" t="n">
        <v>46232</v>
      </c>
      <c r="K4559" t="inlineStr">
        <is>
          <t>Documento fornecedor TRADEWORKS SERVICOS DE COMERC</t>
        </is>
      </c>
    </row>
    <row r="4560">
      <c r="A4560" t="inlineStr">
        <is>
          <t>105984</t>
        </is>
      </c>
      <c r="B4560" t="inlineStr">
        <is>
          <t>TRADEWORKS SERVICOS DE COMERCIO EXT 04955748000107</t>
        </is>
      </c>
      <c r="C4560" t="n">
        <v>1191000000</v>
      </c>
      <c r="D4560" t="inlineStr">
        <is>
          <t>Customs Brokerage – Overall</t>
        </is>
      </c>
      <c r="E4560" t="n">
        <v>2000011979</v>
      </c>
      <c r="G4560" t="inlineStr">
        <is>
          <t>ZP</t>
        </is>
      </c>
      <c r="H4560" s="12" t="n">
        <v>118000</v>
      </c>
      <c r="I4560" s="17" t="n">
        <v>46232</v>
      </c>
      <c r="J4560" s="17" t="n">
        <v>46232</v>
      </c>
      <c r="K4560" t="inlineStr">
        <is>
          <t>Documento fornecedor TRADEWORKS SERVICOS DE COMERC</t>
        </is>
      </c>
    </row>
    <row r="4561">
      <c r="A4561" t="inlineStr">
        <is>
          <t>105984</t>
        </is>
      </c>
      <c r="B4561" t="inlineStr">
        <is>
          <t>TRADEWORKS SERVICOS DE COMERCIO EXT 04955748000107</t>
        </is>
      </c>
      <c r="C4561" t="n">
        <v>1191000000</v>
      </c>
      <c r="D4561" t="inlineStr">
        <is>
          <t>Customs Brokerage – Overall</t>
        </is>
      </c>
      <c r="E4561" t="n">
        <v>2000011980</v>
      </c>
      <c r="G4561" t="inlineStr">
        <is>
          <t>ZP</t>
        </is>
      </c>
      <c r="H4561" s="12" t="n">
        <v>166000</v>
      </c>
      <c r="I4561" s="17" t="n">
        <v>46232</v>
      </c>
      <c r="J4561" s="17" t="n">
        <v>46232</v>
      </c>
      <c r="K4561" t="inlineStr">
        <is>
          <t>Documento fornecedor TRADEWORKS SERVICOS DE COMERC</t>
        </is>
      </c>
    </row>
    <row r="4562">
      <c r="A4562" t="inlineStr">
        <is>
          <t>105984</t>
        </is>
      </c>
      <c r="B4562" t="inlineStr">
        <is>
          <t>TRADEWORKS SERVICOS DE COMERCIO EXT 04955748000107</t>
        </is>
      </c>
      <c r="C4562" t="n">
        <v>1191000000</v>
      </c>
      <c r="D4562" t="inlineStr">
        <is>
          <t>Customs Brokerage – Overall</t>
        </is>
      </c>
      <c r="E4562" t="n">
        <v>2000011981</v>
      </c>
      <c r="G4562" t="inlineStr">
        <is>
          <t>ZP</t>
        </is>
      </c>
      <c r="H4562" s="12" t="n">
        <v>196000</v>
      </c>
      <c r="I4562" s="17" t="n">
        <v>46232</v>
      </c>
      <c r="J4562" s="17" t="n">
        <v>46232</v>
      </c>
      <c r="K4562" t="inlineStr">
        <is>
          <t>Documento fornecedor TRADEWORKS SERVICOS DE COMERC</t>
        </is>
      </c>
    </row>
    <row r="4563">
      <c r="A4563" t="inlineStr">
        <is>
          <t>105984</t>
        </is>
      </c>
      <c r="B4563" t="inlineStr">
        <is>
          <t>TRADEWORKS SERVICOS DE COMERCIO EXT 04955748000107</t>
        </is>
      </c>
      <c r="C4563" t="n">
        <v>1191000000</v>
      </c>
      <c r="D4563" t="inlineStr">
        <is>
          <t>Customs Brokerage – Overall</t>
        </is>
      </c>
      <c r="E4563" t="n">
        <v>2000012854</v>
      </c>
      <c r="G4563" t="inlineStr">
        <is>
          <t>ZP</t>
        </is>
      </c>
      <c r="H4563" s="12" t="n">
        <v>7077.74</v>
      </c>
      <c r="I4563" s="17" t="n">
        <v>46239</v>
      </c>
      <c r="J4563" s="17" t="n">
        <v>46239</v>
      </c>
      <c r="K4563" t="inlineStr">
        <is>
          <t>0501/26 0501/26</t>
        </is>
      </c>
    </row>
    <row r="4564">
      <c r="A4564" t="inlineStr">
        <is>
          <t>105984</t>
        </is>
      </c>
      <c r="B4564" t="inlineStr">
        <is>
          <t>TRADEWORKS SERVICOS DE COMERCIO EXT 04955748000107</t>
        </is>
      </c>
      <c r="C4564" t="n">
        <v>1191000000</v>
      </c>
      <c r="D4564" t="inlineStr">
        <is>
          <t>Customs Brokerage – Overall</t>
        </is>
      </c>
      <c r="E4564" t="n">
        <v>2000012855</v>
      </c>
      <c r="G4564" t="inlineStr">
        <is>
          <t>ZP</t>
        </is>
      </c>
      <c r="H4564" s="12" t="n">
        <v>7314.2</v>
      </c>
      <c r="I4564" s="17" t="n">
        <v>46239</v>
      </c>
      <c r="J4564" s="17" t="n">
        <v>46239</v>
      </c>
      <c r="K4564" t="inlineStr">
        <is>
          <t>0502/26 0502/26</t>
        </is>
      </c>
    </row>
    <row r="4565">
      <c r="A4565" t="inlineStr">
        <is>
          <t>105984</t>
        </is>
      </c>
      <c r="B4565" t="inlineStr">
        <is>
          <t>TRADEWORKS SERVICOS DE COMERCIO EXT 04955748000107</t>
        </is>
      </c>
      <c r="C4565" t="n">
        <v>1191000000</v>
      </c>
      <c r="D4565" t="inlineStr">
        <is>
          <t>Customs Brokerage – Overall</t>
        </is>
      </c>
      <c r="E4565" t="n">
        <v>2000012856</v>
      </c>
      <c r="G4565" t="inlineStr">
        <is>
          <t>ZP</t>
        </is>
      </c>
      <c r="H4565" s="12" t="n">
        <v>8076.96</v>
      </c>
      <c r="I4565" s="17" t="n">
        <v>46239</v>
      </c>
      <c r="J4565" s="17" t="n">
        <v>46239</v>
      </c>
      <c r="K4565" t="inlineStr">
        <is>
          <t>0506/26 0506/26</t>
        </is>
      </c>
    </row>
    <row r="4566">
      <c r="A4566" t="inlineStr">
        <is>
          <t>105984</t>
        </is>
      </c>
      <c r="B4566" t="inlineStr">
        <is>
          <t>TRADEWORKS SERVICOS DE COMERCIO EXT 04955748000107</t>
        </is>
      </c>
      <c r="C4566" t="n">
        <v>1191000000</v>
      </c>
      <c r="D4566" t="inlineStr">
        <is>
          <t>Customs Brokerage – Overall</t>
        </is>
      </c>
      <c r="E4566" t="n">
        <v>2000012857</v>
      </c>
      <c r="G4566" t="inlineStr">
        <is>
          <t>ZP</t>
        </is>
      </c>
      <c r="H4566" s="12" t="n">
        <v>8113.17</v>
      </c>
      <c r="I4566" s="17" t="n">
        <v>46239</v>
      </c>
      <c r="J4566" s="17" t="n">
        <v>46239</v>
      </c>
      <c r="K4566" t="inlineStr">
        <is>
          <t>0503/26 0503/26</t>
        </is>
      </c>
    </row>
    <row r="4567">
      <c r="A4567" t="inlineStr">
        <is>
          <t>105984</t>
        </is>
      </c>
      <c r="B4567" t="inlineStr">
        <is>
          <t>TRADEWORKS SERVICOS DE COMERCIO EXT 04955748000107</t>
        </is>
      </c>
      <c r="C4567" t="n">
        <v>1191000000</v>
      </c>
      <c r="D4567" t="inlineStr">
        <is>
          <t>Customs Brokerage – Overall</t>
        </is>
      </c>
      <c r="E4567" t="n">
        <v>2000012858</v>
      </c>
      <c r="G4567" t="inlineStr">
        <is>
          <t>ZP</t>
        </is>
      </c>
      <c r="H4567" s="12" t="n">
        <v>8580.74</v>
      </c>
      <c r="I4567" s="17" t="n">
        <v>46239</v>
      </c>
      <c r="J4567" s="17" t="n">
        <v>46239</v>
      </c>
      <c r="K4567" t="inlineStr">
        <is>
          <t>0508/26 0508/26</t>
        </is>
      </c>
    </row>
    <row r="4568">
      <c r="A4568" t="inlineStr">
        <is>
          <t>105984</t>
        </is>
      </c>
      <c r="B4568" t="inlineStr">
        <is>
          <t>TRADEWORKS SERVICOS DE COMERCIO EXT 04955748000107</t>
        </is>
      </c>
      <c r="C4568" t="n">
        <v>1191000000</v>
      </c>
      <c r="D4568" t="inlineStr">
        <is>
          <t>Customs Brokerage – Overall</t>
        </is>
      </c>
      <c r="E4568" t="n">
        <v>2000012860</v>
      </c>
      <c r="G4568" t="inlineStr">
        <is>
          <t>ZP</t>
        </is>
      </c>
      <c r="H4568" s="12" t="n">
        <v>10614.3</v>
      </c>
      <c r="I4568" s="17" t="n">
        <v>46239</v>
      </c>
      <c r="J4568" s="17" t="n">
        <v>46239</v>
      </c>
      <c r="K4568" t="inlineStr">
        <is>
          <t>0505/26 0505/26</t>
        </is>
      </c>
    </row>
    <row r="4569">
      <c r="A4569" t="inlineStr">
        <is>
          <t>105984</t>
        </is>
      </c>
      <c r="B4569" t="inlineStr">
        <is>
          <t>TRADEWORKS SERVICOS DE COMERCIO EXT 04955748000107</t>
        </is>
      </c>
      <c r="C4569" t="n">
        <v>1191000000</v>
      </c>
      <c r="D4569" t="inlineStr">
        <is>
          <t>Customs Brokerage – Overall</t>
        </is>
      </c>
      <c r="E4569" t="n">
        <v>2000012861</v>
      </c>
      <c r="G4569" t="inlineStr">
        <is>
          <t>ZP</t>
        </is>
      </c>
      <c r="H4569" s="12" t="n">
        <v>11254.89</v>
      </c>
      <c r="I4569" s="17" t="n">
        <v>46239</v>
      </c>
      <c r="J4569" s="17" t="n">
        <v>46239</v>
      </c>
      <c r="K4569" t="inlineStr">
        <is>
          <t>0510/26 0510/26</t>
        </is>
      </c>
    </row>
    <row r="4570">
      <c r="A4570" t="inlineStr">
        <is>
          <t>105984</t>
        </is>
      </c>
      <c r="B4570" t="inlineStr">
        <is>
          <t>TRADEWORKS SERVICOS DE COMERCIO EXT 04955748000107</t>
        </is>
      </c>
      <c r="C4570" t="n">
        <v>1191000000</v>
      </c>
      <c r="D4570" t="inlineStr">
        <is>
          <t>Customs Brokerage – Overall</t>
        </is>
      </c>
      <c r="E4570" t="n">
        <v>2000012863</v>
      </c>
      <c r="G4570" t="inlineStr">
        <is>
          <t>ZP</t>
        </is>
      </c>
      <c r="H4570" s="12" t="n">
        <v>13292.67</v>
      </c>
      <c r="I4570" s="17" t="n">
        <v>46239</v>
      </c>
      <c r="J4570" s="17" t="n">
        <v>46239</v>
      </c>
      <c r="K4570" t="inlineStr">
        <is>
          <t>0509/26 0509/26</t>
        </is>
      </c>
    </row>
    <row r="4571">
      <c r="A4571" t="inlineStr">
        <is>
          <t>105984</t>
        </is>
      </c>
      <c r="B4571" t="inlineStr">
        <is>
          <t>TRADEWORKS SERVICOS DE COMERCIO EXT 04955748000107</t>
        </is>
      </c>
      <c r="C4571" t="n">
        <v>1191000000</v>
      </c>
      <c r="D4571" t="inlineStr">
        <is>
          <t>Customs Brokerage – Overall</t>
        </is>
      </c>
      <c r="E4571" t="n">
        <v>2000012866</v>
      </c>
      <c r="G4571" t="inlineStr">
        <is>
          <t>ZP</t>
        </is>
      </c>
      <c r="H4571" s="12" t="n">
        <v>20250.93</v>
      </c>
      <c r="I4571" s="17" t="n">
        <v>46239</v>
      </c>
      <c r="J4571" s="17" t="n">
        <v>46239</v>
      </c>
      <c r="K4571" t="inlineStr">
        <is>
          <t>0511/26 0511/26</t>
        </is>
      </c>
    </row>
    <row r="4572">
      <c r="A4572" t="inlineStr">
        <is>
          <t>105984</t>
        </is>
      </c>
      <c r="B4572" t="inlineStr">
        <is>
          <t>TRADEWORKS SERVICOS DE COMERCIO EXT 04955748000107</t>
        </is>
      </c>
      <c r="C4572" t="n">
        <v>1191000000</v>
      </c>
      <c r="D4572" t="inlineStr">
        <is>
          <t>Customs Brokerage – Overall</t>
        </is>
      </c>
      <c r="E4572" t="n">
        <v>2000012867</v>
      </c>
      <c r="G4572" t="inlineStr">
        <is>
          <t>ZP</t>
        </is>
      </c>
      <c r="H4572" s="12" t="n">
        <v>65933.62</v>
      </c>
      <c r="I4572" s="17" t="n">
        <v>46239</v>
      </c>
      <c r="J4572" s="17" t="n">
        <v>46239</v>
      </c>
      <c r="K4572" t="inlineStr">
        <is>
          <t>0507/26 0507/26</t>
        </is>
      </c>
    </row>
    <row r="4573">
      <c r="A4573" t="inlineStr">
        <is>
          <t>105984</t>
        </is>
      </c>
      <c r="B4573" t="inlineStr">
        <is>
          <t>TRADEWORKS SERVICOS DE COMERCIO EXT 04955748000107</t>
        </is>
      </c>
      <c r="C4573" t="n">
        <v>1191000000</v>
      </c>
      <c r="D4573" t="inlineStr">
        <is>
          <t>Customs Brokerage – Overall</t>
        </is>
      </c>
      <c r="E4573" t="n">
        <v>2000012869</v>
      </c>
      <c r="G4573" t="inlineStr">
        <is>
          <t>ZP</t>
        </is>
      </c>
      <c r="H4573" s="12" t="n">
        <v>150941.91</v>
      </c>
      <c r="I4573" s="17" t="n">
        <v>46239</v>
      </c>
      <c r="J4573" s="17" t="n">
        <v>46239</v>
      </c>
      <c r="K4573" t="inlineStr">
        <is>
          <t>0504/26 0504/26</t>
        </is>
      </c>
    </row>
    <row r="4574">
      <c r="A4574" t="inlineStr">
        <is>
          <t>105984</t>
        </is>
      </c>
      <c r="B4574" t="inlineStr">
        <is>
          <t>TRADEWORKS SERVICOS DE COMERCIO EXT 04955748000107</t>
        </is>
      </c>
      <c r="C4574" t="n">
        <v>1191000000</v>
      </c>
      <c r="D4574" t="inlineStr">
        <is>
          <t>Customs Brokerage – Overall</t>
        </is>
      </c>
      <c r="E4574" t="n">
        <v>2000012920</v>
      </c>
      <c r="G4574" t="inlineStr">
        <is>
          <t>ZP</t>
        </is>
      </c>
      <c r="H4574" s="12" t="n">
        <v>35000</v>
      </c>
      <c r="I4574" s="17" t="n">
        <v>46239</v>
      </c>
      <c r="J4574" s="17" t="n">
        <v>46239</v>
      </c>
      <c r="K4574" t="inlineStr">
        <is>
          <t>6438 6439</t>
        </is>
      </c>
    </row>
    <row r="4575">
      <c r="A4575" t="inlineStr">
        <is>
          <t>105984</t>
        </is>
      </c>
      <c r="B4575" t="inlineStr">
        <is>
          <t>TRADEWORKS SERVICOS DE COMERCIO EXT 04955748000107</t>
        </is>
      </c>
      <c r="C4575" t="n">
        <v>1191000000</v>
      </c>
      <c r="D4575" t="inlineStr">
        <is>
          <t>Customs Brokerage – Overall</t>
        </is>
      </c>
      <c r="E4575" t="n">
        <v>2000013197</v>
      </c>
      <c r="G4575" t="inlineStr">
        <is>
          <t>ZP</t>
        </is>
      </c>
      <c r="H4575" s="12" t="n">
        <v>27.93</v>
      </c>
      <c r="I4575" s="17" t="n">
        <v>46246</v>
      </c>
      <c r="J4575" s="17" t="n">
        <v>46246</v>
      </c>
      <c r="K4575" t="inlineStr">
        <is>
          <t>0026/26 0026/26</t>
        </is>
      </c>
    </row>
    <row r="4576">
      <c r="A4576" t="inlineStr">
        <is>
          <t>105984</t>
        </is>
      </c>
      <c r="B4576" t="inlineStr">
        <is>
          <t>TRADEWORKS SERVICOS DE COMERCIO EXT 04955748000107</t>
        </is>
      </c>
      <c r="C4576" t="n">
        <v>1191000000</v>
      </c>
      <c r="D4576" t="inlineStr">
        <is>
          <t>Customs Brokerage – Overall</t>
        </is>
      </c>
      <c r="E4576" t="n">
        <v>2000013198</v>
      </c>
      <c r="G4576" t="inlineStr">
        <is>
          <t>ZP</t>
        </is>
      </c>
      <c r="H4576" s="12" t="n">
        <v>112.66</v>
      </c>
      <c r="I4576" s="17" t="n">
        <v>46246</v>
      </c>
      <c r="J4576" s="17" t="n">
        <v>46246</v>
      </c>
      <c r="K4576" t="inlineStr">
        <is>
          <t>0061/26 0061/26</t>
        </is>
      </c>
    </row>
    <row r="4577">
      <c r="A4577" t="inlineStr">
        <is>
          <t>105984</t>
        </is>
      </c>
      <c r="B4577" t="inlineStr">
        <is>
          <t>TRADEWORKS SERVICOS DE COMERCIO EXT 04955748000107</t>
        </is>
      </c>
      <c r="C4577" t="n">
        <v>1191000000</v>
      </c>
      <c r="D4577" t="inlineStr">
        <is>
          <t>Customs Brokerage – Overall</t>
        </is>
      </c>
      <c r="E4577" t="n">
        <v>2000013199</v>
      </c>
      <c r="G4577" t="inlineStr">
        <is>
          <t>ZP</t>
        </is>
      </c>
      <c r="H4577" s="12" t="n">
        <v>1203.9</v>
      </c>
      <c r="I4577" s="17" t="n">
        <v>46246</v>
      </c>
      <c r="J4577" s="17" t="n">
        <v>46246</v>
      </c>
      <c r="K4577" t="inlineStr">
        <is>
          <t>0058/26 0058/26</t>
        </is>
      </c>
    </row>
    <row r="4578">
      <c r="A4578" t="inlineStr">
        <is>
          <t>105984</t>
        </is>
      </c>
      <c r="B4578" t="inlineStr">
        <is>
          <t>TRADEWORKS SERVICOS DE COMERCIO EXT 04955748000107</t>
        </is>
      </c>
      <c r="C4578" t="n">
        <v>1191000000</v>
      </c>
      <c r="D4578" t="inlineStr">
        <is>
          <t>Customs Brokerage – Overall</t>
        </is>
      </c>
      <c r="E4578" t="n">
        <v>2000013201</v>
      </c>
      <c r="G4578" t="inlineStr">
        <is>
          <t>ZP</t>
        </is>
      </c>
      <c r="H4578" s="12" t="n">
        <v>2051.87</v>
      </c>
      <c r="I4578" s="17" t="n">
        <v>46246</v>
      </c>
      <c r="J4578" s="17" t="n">
        <v>46246</v>
      </c>
      <c r="K4578" t="inlineStr">
        <is>
          <t>0024/26 0024/26</t>
        </is>
      </c>
    </row>
    <row r="4579">
      <c r="A4579" t="inlineStr">
        <is>
          <t>105984</t>
        </is>
      </c>
      <c r="B4579" t="inlineStr">
        <is>
          <t>TRADEWORKS SERVICOS DE COMERCIO EXT 04955748000107</t>
        </is>
      </c>
      <c r="C4579" t="n">
        <v>1191000000</v>
      </c>
      <c r="D4579" t="inlineStr">
        <is>
          <t>Customs Brokerage – Overall</t>
        </is>
      </c>
      <c r="E4579" t="n">
        <v>2000013203</v>
      </c>
      <c r="G4579" t="inlineStr">
        <is>
          <t>ZP</t>
        </is>
      </c>
      <c r="H4579" s="12" t="n">
        <v>3438.52</v>
      </c>
      <c r="I4579" s="17" t="n">
        <v>46246</v>
      </c>
      <c r="J4579" s="17" t="n">
        <v>46246</v>
      </c>
      <c r="K4579" t="inlineStr">
        <is>
          <t>0078/26 0078/26</t>
        </is>
      </c>
    </row>
    <row r="4580">
      <c r="A4580" t="inlineStr">
        <is>
          <t>105984</t>
        </is>
      </c>
      <c r="B4580" t="inlineStr">
        <is>
          <t>TRADEWORKS SERVICOS DE COMERCIO EXT 04955748000107</t>
        </is>
      </c>
      <c r="C4580" t="n">
        <v>1191000000</v>
      </c>
      <c r="D4580" t="inlineStr">
        <is>
          <t>Customs Brokerage – Overall</t>
        </is>
      </c>
      <c r="E4580" t="n">
        <v>2000013204</v>
      </c>
      <c r="G4580" t="inlineStr">
        <is>
          <t>ZP</t>
        </is>
      </c>
      <c r="H4580" s="12" t="n">
        <v>5000</v>
      </c>
      <c r="I4580" s="17" t="n">
        <v>46246</v>
      </c>
      <c r="J4580" s="17" t="n">
        <v>46246</v>
      </c>
      <c r="K4580" t="inlineStr">
        <is>
          <t>SSAOS048918</t>
        </is>
      </c>
    </row>
    <row r="4581">
      <c r="A4581" t="inlineStr">
        <is>
          <t>105984</t>
        </is>
      </c>
      <c r="B4581" t="inlineStr">
        <is>
          <t>TRADEWORKS SERVICOS DE COMERCIO EXT 04955748000107</t>
        </is>
      </c>
      <c r="C4581" t="n">
        <v>1191000000</v>
      </c>
      <c r="D4581" t="inlineStr">
        <is>
          <t>Customs Brokerage – Overall</t>
        </is>
      </c>
      <c r="E4581" t="n">
        <v>2000013205</v>
      </c>
      <c r="G4581" t="inlineStr">
        <is>
          <t>ZP</t>
        </is>
      </c>
      <c r="H4581" s="12" t="n">
        <v>5731.98</v>
      </c>
      <c r="I4581" s="17" t="n">
        <v>46246</v>
      </c>
      <c r="J4581" s="17" t="n">
        <v>46246</v>
      </c>
      <c r="K4581" t="inlineStr">
        <is>
          <t>0057/26 0057/26</t>
        </is>
      </c>
    </row>
    <row r="4582">
      <c r="A4582" t="inlineStr">
        <is>
          <t>105984</t>
        </is>
      </c>
      <c r="B4582" t="inlineStr">
        <is>
          <t>TRADEWORKS SERVICOS DE COMERCIO EXT 04955748000107</t>
        </is>
      </c>
      <c r="C4582" t="n">
        <v>1191000000</v>
      </c>
      <c r="D4582" t="inlineStr">
        <is>
          <t>Customs Brokerage – Overall</t>
        </is>
      </c>
      <c r="E4582" t="n">
        <v>2000013207</v>
      </c>
      <c r="G4582" t="inlineStr">
        <is>
          <t>ZP</t>
        </is>
      </c>
      <c r="H4582" s="12" t="n">
        <v>7546.67</v>
      </c>
      <c r="I4582" s="17" t="n">
        <v>46246</v>
      </c>
      <c r="J4582" s="17" t="n">
        <v>46246</v>
      </c>
      <c r="K4582" t="inlineStr">
        <is>
          <t>0048/26 0048/26</t>
        </is>
      </c>
    </row>
    <row r="4583">
      <c r="A4583" t="inlineStr">
        <is>
          <t>105984</t>
        </is>
      </c>
      <c r="B4583" t="inlineStr">
        <is>
          <t>TRADEWORKS SERVICOS DE COMERCIO EXT 04955748000107</t>
        </is>
      </c>
      <c r="C4583" t="n">
        <v>1191000000</v>
      </c>
      <c r="D4583" t="inlineStr">
        <is>
          <t>Customs Brokerage – Overall</t>
        </is>
      </c>
      <c r="E4583" t="n">
        <v>2000013208</v>
      </c>
      <c r="G4583" t="inlineStr">
        <is>
          <t>ZP</t>
        </is>
      </c>
      <c r="H4583" s="12" t="n">
        <v>8572.370000000001</v>
      </c>
      <c r="I4583" s="17" t="n">
        <v>46246</v>
      </c>
      <c r="J4583" s="17" t="n">
        <v>46246</v>
      </c>
      <c r="K4583" t="inlineStr">
        <is>
          <t>0518/26 0518/26</t>
        </is>
      </c>
    </row>
    <row r="4584">
      <c r="A4584" t="inlineStr">
        <is>
          <t>105984</t>
        </is>
      </c>
      <c r="B4584" t="inlineStr">
        <is>
          <t>TRADEWORKS SERVICOS DE COMERCIO EXT 04955748000107</t>
        </is>
      </c>
      <c r="C4584" t="n">
        <v>1191000000</v>
      </c>
      <c r="D4584" t="inlineStr">
        <is>
          <t>Customs Brokerage – Overall</t>
        </is>
      </c>
      <c r="E4584" t="n">
        <v>2000013210</v>
      </c>
      <c r="G4584" t="inlineStr">
        <is>
          <t>ZP</t>
        </is>
      </c>
      <c r="H4584" s="12" t="n">
        <v>9370</v>
      </c>
      <c r="I4584" s="17" t="n">
        <v>46246</v>
      </c>
      <c r="J4584" s="17" t="n">
        <v>46246</v>
      </c>
      <c r="K4584" t="inlineStr">
        <is>
          <t>0515/26 0515/26</t>
        </is>
      </c>
    </row>
    <row r="4585">
      <c r="A4585" t="inlineStr">
        <is>
          <t>105984</t>
        </is>
      </c>
      <c r="B4585" t="inlineStr">
        <is>
          <t>TRADEWORKS SERVICOS DE COMERCIO EXT 04955748000107</t>
        </is>
      </c>
      <c r="C4585" t="n">
        <v>1191000000</v>
      </c>
      <c r="D4585" t="inlineStr">
        <is>
          <t>Customs Brokerage – Overall</t>
        </is>
      </c>
      <c r="E4585" t="n">
        <v>2000013211</v>
      </c>
      <c r="G4585" t="inlineStr">
        <is>
          <t>ZP</t>
        </is>
      </c>
      <c r="H4585" s="12" t="n">
        <v>9855.09</v>
      </c>
      <c r="I4585" s="17" t="n">
        <v>46246</v>
      </c>
      <c r="J4585" s="17" t="n">
        <v>46246</v>
      </c>
      <c r="K4585" t="inlineStr">
        <is>
          <t>0047/26 0047/26</t>
        </is>
      </c>
    </row>
    <row r="4586">
      <c r="A4586" t="inlineStr">
        <is>
          <t>105984</t>
        </is>
      </c>
      <c r="B4586" t="inlineStr">
        <is>
          <t>TRADEWORKS SERVICOS DE COMERCIO EXT 04955748000107</t>
        </is>
      </c>
      <c r="C4586" t="n">
        <v>1191000000</v>
      </c>
      <c r="D4586" t="inlineStr">
        <is>
          <t>Customs Brokerage – Overall</t>
        </is>
      </c>
      <c r="E4586" t="n">
        <v>2000013213</v>
      </c>
      <c r="G4586" t="inlineStr">
        <is>
          <t>ZP</t>
        </is>
      </c>
      <c r="H4586" s="12" t="n">
        <v>10836.93</v>
      </c>
      <c r="I4586" s="17" t="n">
        <v>46246</v>
      </c>
      <c r="J4586" s="17" t="n">
        <v>46246</v>
      </c>
      <c r="K4586" t="inlineStr">
        <is>
          <t>0517/26 0517/26</t>
        </is>
      </c>
    </row>
    <row r="4587">
      <c r="A4587" t="inlineStr">
        <is>
          <t>105984</t>
        </is>
      </c>
      <c r="B4587" t="inlineStr">
        <is>
          <t>TRADEWORKS SERVICOS DE COMERCIO EXT 04955748000107</t>
        </is>
      </c>
      <c r="C4587" t="n">
        <v>1191000000</v>
      </c>
      <c r="D4587" t="inlineStr">
        <is>
          <t>Customs Brokerage – Overall</t>
        </is>
      </c>
      <c r="E4587" t="n">
        <v>2000013215</v>
      </c>
      <c r="G4587" t="inlineStr">
        <is>
          <t>ZP</t>
        </is>
      </c>
      <c r="H4587" s="12" t="n">
        <v>11091.26</v>
      </c>
      <c r="I4587" s="17" t="n">
        <v>46246</v>
      </c>
      <c r="J4587" s="17" t="n">
        <v>46246</v>
      </c>
      <c r="K4587" t="inlineStr">
        <is>
          <t>0052/26 0052/26</t>
        </is>
      </c>
    </row>
    <row r="4588">
      <c r="A4588" t="inlineStr">
        <is>
          <t>105984</t>
        </is>
      </c>
      <c r="B4588" t="inlineStr">
        <is>
          <t>TRADEWORKS SERVICOS DE COMERCIO EXT 04955748000107</t>
        </is>
      </c>
      <c r="C4588" t="n">
        <v>1191000000</v>
      </c>
      <c r="D4588" t="inlineStr">
        <is>
          <t>Customs Brokerage – Overall</t>
        </is>
      </c>
      <c r="E4588" t="n">
        <v>2000013219</v>
      </c>
      <c r="G4588" t="inlineStr">
        <is>
          <t>ZP</t>
        </is>
      </c>
      <c r="H4588" s="12" t="n">
        <v>14910.85</v>
      </c>
      <c r="I4588" s="17" t="n">
        <v>46246</v>
      </c>
      <c r="J4588" s="17" t="n">
        <v>46246</v>
      </c>
      <c r="K4588" t="inlineStr">
        <is>
          <t>0017/26 0017/26</t>
        </is>
      </c>
    </row>
    <row r="4589">
      <c r="A4589" t="inlineStr">
        <is>
          <t>105984</t>
        </is>
      </c>
      <c r="B4589" t="inlineStr">
        <is>
          <t>TRADEWORKS SERVICOS DE COMERCIO EXT 04955748000107</t>
        </is>
      </c>
      <c r="C4589" t="n">
        <v>1191000000</v>
      </c>
      <c r="D4589" t="inlineStr">
        <is>
          <t>Customs Brokerage – Overall</t>
        </is>
      </c>
      <c r="E4589" t="n">
        <v>2000013222</v>
      </c>
      <c r="G4589" t="inlineStr">
        <is>
          <t>ZP</t>
        </is>
      </c>
      <c r="H4589" s="12" t="n">
        <v>16500</v>
      </c>
      <c r="I4589" s="17" t="n">
        <v>46246</v>
      </c>
      <c r="J4589" s="17" t="n">
        <v>46246</v>
      </c>
      <c r="K4589" t="inlineStr">
        <is>
          <t>96002681, 96002685 - DI 20/1191977-0</t>
        </is>
      </c>
    </row>
    <row r="4590">
      <c r="A4590" t="inlineStr">
        <is>
          <t>105984</t>
        </is>
      </c>
      <c r="B4590" t="inlineStr">
        <is>
          <t>TRADEWORKS SERVICOS DE COMERCIO EXT 04955748000107</t>
        </is>
      </c>
      <c r="C4590" t="n">
        <v>1191000000</v>
      </c>
      <c r="D4590" t="inlineStr">
        <is>
          <t>Customs Brokerage – Overall</t>
        </is>
      </c>
      <c r="E4590" t="n">
        <v>2000013226</v>
      </c>
      <c r="G4590" t="inlineStr">
        <is>
          <t>ZP</t>
        </is>
      </c>
      <c r="H4590" s="12" t="n">
        <v>23874.57</v>
      </c>
      <c r="I4590" s="17" t="n">
        <v>46246</v>
      </c>
      <c r="J4590" s="17" t="n">
        <v>46246</v>
      </c>
      <c r="K4590" t="inlineStr">
        <is>
          <t>0520/26 0520/26</t>
        </is>
      </c>
    </row>
    <row r="4591">
      <c r="A4591" t="inlineStr">
        <is>
          <t>105984</t>
        </is>
      </c>
      <c r="B4591" t="inlineStr">
        <is>
          <t>TRADEWORKS SERVICOS DE COMERCIO EXT 04955748000107</t>
        </is>
      </c>
      <c r="C4591" t="n">
        <v>1191000000</v>
      </c>
      <c r="D4591" t="inlineStr">
        <is>
          <t>Customs Brokerage – Overall</t>
        </is>
      </c>
      <c r="E4591" t="n">
        <v>2000013228</v>
      </c>
      <c r="G4591" t="inlineStr">
        <is>
          <t>ZP</t>
        </is>
      </c>
      <c r="H4591" s="12" t="n">
        <v>30000</v>
      </c>
      <c r="I4591" s="17" t="n">
        <v>46246</v>
      </c>
      <c r="J4591" s="17" t="n">
        <v>46246</v>
      </c>
      <c r="K4591" t="inlineStr">
        <is>
          <t>Documento fornecedor TRADEWORKS SERVICOS DE COMERC</t>
        </is>
      </c>
    </row>
    <row r="4592">
      <c r="A4592" t="inlineStr">
        <is>
          <t>105984</t>
        </is>
      </c>
      <c r="B4592" t="inlineStr">
        <is>
          <t>TRADEWORKS SERVICOS DE COMERCIO EXT 04955748000107</t>
        </is>
      </c>
      <c r="C4592" t="n">
        <v>1191000000</v>
      </c>
      <c r="D4592" t="inlineStr">
        <is>
          <t>Customs Brokerage – Overall</t>
        </is>
      </c>
      <c r="E4592" t="n">
        <v>2000013229</v>
      </c>
      <c r="G4592" t="inlineStr">
        <is>
          <t>ZP</t>
        </is>
      </c>
      <c r="H4592" s="12" t="n">
        <v>46000</v>
      </c>
      <c r="I4592" s="17" t="n">
        <v>46246</v>
      </c>
      <c r="J4592" s="17" t="n">
        <v>46246</v>
      </c>
      <c r="K4592" t="inlineStr">
        <is>
          <t>REEXPORTAÇÃO</t>
        </is>
      </c>
    </row>
    <row r="4593">
      <c r="A4593" t="inlineStr">
        <is>
          <t>105984</t>
        </is>
      </c>
      <c r="B4593" t="inlineStr">
        <is>
          <t>TRADEWORKS SERVICOS DE COMERCIO EXT 04955748000107</t>
        </is>
      </c>
      <c r="C4593" t="n">
        <v>1191000000</v>
      </c>
      <c r="D4593" t="inlineStr">
        <is>
          <t>Customs Brokerage – Overall</t>
        </is>
      </c>
      <c r="E4593" t="n">
        <v>2000013232</v>
      </c>
      <c r="G4593" t="inlineStr">
        <is>
          <t>ZP</t>
        </is>
      </c>
      <c r="H4593" s="12" t="n">
        <v>81512.88</v>
      </c>
      <c r="I4593" s="17" t="n">
        <v>46246</v>
      </c>
      <c r="J4593" s="17" t="n">
        <v>46246</v>
      </c>
      <c r="K4593" t="inlineStr">
        <is>
          <t>0519/26 0519/26</t>
        </is>
      </c>
    </row>
    <row r="4594">
      <c r="A4594" t="inlineStr">
        <is>
          <t>105984</t>
        </is>
      </c>
      <c r="B4594" t="inlineStr">
        <is>
          <t>TRADEWORKS SERVICOS DE COMERCIO EXT 04955748000107</t>
        </is>
      </c>
      <c r="C4594" t="n">
        <v>1191000000</v>
      </c>
      <c r="D4594" t="inlineStr">
        <is>
          <t>Customs Brokerage – Overall</t>
        </is>
      </c>
      <c r="E4594" t="n">
        <v>2000013441</v>
      </c>
      <c r="G4594" t="inlineStr">
        <is>
          <t>ZP</t>
        </is>
      </c>
      <c r="H4594" s="12" t="n">
        <v>7403.26</v>
      </c>
      <c r="I4594" s="17" t="n">
        <v>46253</v>
      </c>
      <c r="J4594" s="17" t="n">
        <v>46253</v>
      </c>
      <c r="K4594" t="inlineStr">
        <is>
          <t>0531/26 0531/26</t>
        </is>
      </c>
    </row>
    <row r="4595">
      <c r="A4595" t="inlineStr">
        <is>
          <t>105984</t>
        </is>
      </c>
      <c r="B4595" t="inlineStr">
        <is>
          <t>TRADEWORKS SERVICOS DE COMERCIO EXT 04955748000107</t>
        </is>
      </c>
      <c r="C4595" t="n">
        <v>1191000000</v>
      </c>
      <c r="D4595" t="inlineStr">
        <is>
          <t>Customs Brokerage – Overall</t>
        </is>
      </c>
      <c r="E4595" t="n">
        <v>2000013442</v>
      </c>
      <c r="G4595" t="inlineStr">
        <is>
          <t>ZP</t>
        </is>
      </c>
      <c r="H4595" s="12" t="n">
        <v>10515.86</v>
      </c>
      <c r="I4595" s="17" t="n">
        <v>46253</v>
      </c>
      <c r="J4595" s="17" t="n">
        <v>46253</v>
      </c>
      <c r="K4595" t="inlineStr">
        <is>
          <t>0533/26 0533/26</t>
        </is>
      </c>
    </row>
    <row r="4596">
      <c r="A4596" t="inlineStr">
        <is>
          <t>105984</t>
        </is>
      </c>
      <c r="B4596" t="inlineStr">
        <is>
          <t>TRADEWORKS SERVICOS DE COMERCIO EXT 04955748000107</t>
        </is>
      </c>
      <c r="C4596" t="n">
        <v>1191000000</v>
      </c>
      <c r="D4596" t="inlineStr">
        <is>
          <t>Customs Brokerage – Overall</t>
        </is>
      </c>
      <c r="E4596" t="n">
        <v>2000013443</v>
      </c>
      <c r="G4596" t="inlineStr">
        <is>
          <t>ZP</t>
        </is>
      </c>
      <c r="H4596" s="12" t="n">
        <v>11418.2</v>
      </c>
      <c r="I4596" s="17" t="n">
        <v>46253</v>
      </c>
      <c r="J4596" s="17" t="n">
        <v>46253</v>
      </c>
      <c r="K4596" t="inlineStr">
        <is>
          <t>0529/26 0529/26</t>
        </is>
      </c>
    </row>
    <row r="4597">
      <c r="A4597" t="inlineStr">
        <is>
          <t>105984</t>
        </is>
      </c>
      <c r="B4597" t="inlineStr">
        <is>
          <t>TRADEWORKS SERVICOS DE COMERCIO EXT 04955748000107</t>
        </is>
      </c>
      <c r="C4597" t="n">
        <v>1191000000</v>
      </c>
      <c r="D4597" t="inlineStr">
        <is>
          <t>Customs Brokerage – Overall</t>
        </is>
      </c>
      <c r="E4597" t="n">
        <v>2000013445</v>
      </c>
      <c r="G4597" t="inlineStr">
        <is>
          <t>ZP</t>
        </is>
      </c>
      <c r="H4597" s="12" t="n">
        <v>12060.57</v>
      </c>
      <c r="I4597" s="17" t="n">
        <v>46253</v>
      </c>
      <c r="J4597" s="17" t="n">
        <v>46253</v>
      </c>
      <c r="K4597" t="inlineStr">
        <is>
          <t>0523/26 0523/26</t>
        </is>
      </c>
    </row>
    <row r="4598">
      <c r="A4598" t="inlineStr">
        <is>
          <t>105984</t>
        </is>
      </c>
      <c r="B4598" t="inlineStr">
        <is>
          <t>TRADEWORKS SERVICOS DE COMERCIO EXT 04955748000107</t>
        </is>
      </c>
      <c r="C4598" t="n">
        <v>1191000000</v>
      </c>
      <c r="D4598" t="inlineStr">
        <is>
          <t>Customs Brokerage – Overall</t>
        </is>
      </c>
      <c r="E4598" t="n">
        <v>2000013446</v>
      </c>
      <c r="G4598" t="inlineStr">
        <is>
          <t>ZP</t>
        </is>
      </c>
      <c r="H4598" s="12" t="n">
        <v>12354.63</v>
      </c>
      <c r="I4598" s="17" t="n">
        <v>46253</v>
      </c>
      <c r="J4598" s="17" t="n">
        <v>46253</v>
      </c>
      <c r="K4598" t="inlineStr">
        <is>
          <t>0528/26 0528/26</t>
        </is>
      </c>
    </row>
    <row r="4599">
      <c r="A4599" t="inlineStr">
        <is>
          <t>105984</t>
        </is>
      </c>
      <c r="B4599" t="inlineStr">
        <is>
          <t>TRADEWORKS SERVICOS DE COMERCIO EXT 04955748000107</t>
        </is>
      </c>
      <c r="C4599" t="n">
        <v>1191000000</v>
      </c>
      <c r="D4599" t="inlineStr">
        <is>
          <t>Customs Brokerage – Overall</t>
        </is>
      </c>
      <c r="E4599" t="n">
        <v>2000013447</v>
      </c>
      <c r="G4599" t="inlineStr">
        <is>
          <t>ZP</t>
        </is>
      </c>
      <c r="H4599" s="12" t="n">
        <v>12919.48</v>
      </c>
      <c r="I4599" s="17" t="n">
        <v>46253</v>
      </c>
      <c r="J4599" s="17" t="n">
        <v>46253</v>
      </c>
      <c r="K4599" t="inlineStr">
        <is>
          <t>0530/26 0530/26</t>
        </is>
      </c>
    </row>
    <row r="4600">
      <c r="A4600" t="inlineStr">
        <is>
          <t>105984</t>
        </is>
      </c>
      <c r="B4600" t="inlineStr">
        <is>
          <t>TRADEWORKS SERVICOS DE COMERCIO EXT 04955748000107</t>
        </is>
      </c>
      <c r="C4600" t="n">
        <v>1191000000</v>
      </c>
      <c r="D4600" t="inlineStr">
        <is>
          <t>Customs Brokerage – Overall</t>
        </is>
      </c>
      <c r="E4600" t="n">
        <v>2000013448</v>
      </c>
      <c r="G4600" t="inlineStr">
        <is>
          <t>ZP</t>
        </is>
      </c>
      <c r="H4600" s="12" t="n">
        <v>13725.6</v>
      </c>
      <c r="I4600" s="17" t="n">
        <v>46253</v>
      </c>
      <c r="J4600" s="17" t="n">
        <v>46253</v>
      </c>
      <c r="K4600" t="inlineStr">
        <is>
          <t>0525/26 0525/26</t>
        </is>
      </c>
    </row>
    <row r="4601">
      <c r="A4601" t="inlineStr">
        <is>
          <t>105984</t>
        </is>
      </c>
      <c r="B4601" t="inlineStr">
        <is>
          <t>TRADEWORKS SERVICOS DE COMERCIO EXT 04955748000107</t>
        </is>
      </c>
      <c r="C4601" t="n">
        <v>1191000000</v>
      </c>
      <c r="D4601" t="inlineStr">
        <is>
          <t>Customs Brokerage – Overall</t>
        </is>
      </c>
      <c r="E4601" t="n">
        <v>2000013449</v>
      </c>
      <c r="G4601" t="inlineStr">
        <is>
          <t>ZP</t>
        </is>
      </c>
      <c r="H4601" s="12" t="n">
        <v>18040.2</v>
      </c>
      <c r="I4601" s="17" t="n">
        <v>46253</v>
      </c>
      <c r="J4601" s="17" t="n">
        <v>46253</v>
      </c>
      <c r="K4601" t="inlineStr">
        <is>
          <t>0534/26 0534/26</t>
        </is>
      </c>
    </row>
    <row r="4602">
      <c r="A4602" t="inlineStr">
        <is>
          <t>105984</t>
        </is>
      </c>
      <c r="B4602" t="inlineStr">
        <is>
          <t>TRADEWORKS SERVICOS DE COMERCIO EXT 04955748000107</t>
        </is>
      </c>
      <c r="C4602" t="n">
        <v>1191000000</v>
      </c>
      <c r="D4602" t="inlineStr">
        <is>
          <t>Customs Brokerage – Overall</t>
        </is>
      </c>
      <c r="E4602" t="n">
        <v>2000013450</v>
      </c>
      <c r="G4602" t="inlineStr">
        <is>
          <t>ZP</t>
        </is>
      </c>
      <c r="H4602" s="12" t="n">
        <v>28991.19</v>
      </c>
      <c r="I4602" s="17" t="n">
        <v>46253</v>
      </c>
      <c r="J4602" s="17" t="n">
        <v>46253</v>
      </c>
      <c r="K4602" t="inlineStr">
        <is>
          <t>0532/26 0532/26</t>
        </is>
      </c>
    </row>
    <row r="4603">
      <c r="A4603" t="inlineStr">
        <is>
          <t>105984</t>
        </is>
      </c>
      <c r="B4603" t="inlineStr">
        <is>
          <t>TRADEWORKS SERVICOS DE COMERCIO EXT 04955748000107</t>
        </is>
      </c>
      <c r="C4603" t="n">
        <v>1191000000</v>
      </c>
      <c r="D4603" t="inlineStr">
        <is>
          <t>Customs Brokerage – Overall</t>
        </is>
      </c>
      <c r="E4603" t="n">
        <v>2000013451</v>
      </c>
      <c r="G4603" t="inlineStr">
        <is>
          <t>ZP</t>
        </is>
      </c>
      <c r="H4603" s="12" t="n">
        <v>54996.51</v>
      </c>
      <c r="I4603" s="17" t="n">
        <v>46253</v>
      </c>
      <c r="J4603" s="17" t="n">
        <v>46253</v>
      </c>
      <c r="K4603" t="inlineStr">
        <is>
          <t>0526/26 0526/26</t>
        </is>
      </c>
    </row>
    <row r="4604">
      <c r="A4604" t="inlineStr">
        <is>
          <t>105984</t>
        </is>
      </c>
      <c r="B4604" t="inlineStr">
        <is>
          <t>TRADEWORKS SERVICOS DE COMERCIO EXT 04955748000107</t>
        </is>
      </c>
      <c r="C4604" t="n">
        <v>1191000000</v>
      </c>
      <c r="D4604" t="inlineStr">
        <is>
          <t>Customs Brokerage – Overall</t>
        </is>
      </c>
      <c r="E4604" t="n">
        <v>2000013452</v>
      </c>
      <c r="G4604" t="inlineStr">
        <is>
          <t>ZP</t>
        </is>
      </c>
      <c r="H4604" s="12" t="n">
        <v>56209.26</v>
      </c>
      <c r="I4604" s="17" t="n">
        <v>46253</v>
      </c>
      <c r="J4604" s="17" t="n">
        <v>46253</v>
      </c>
      <c r="K4604" t="inlineStr">
        <is>
          <t>0524/26 0524/26</t>
        </is>
      </c>
    </row>
    <row r="4605">
      <c r="A4605" t="inlineStr">
        <is>
          <t>105984</t>
        </is>
      </c>
      <c r="B4605" t="inlineStr">
        <is>
          <t>TRADEWORKS SERVICOS DE COMERCIO EXT 04955748000107</t>
        </is>
      </c>
      <c r="C4605" t="n">
        <v>1191000000</v>
      </c>
      <c r="D4605" t="inlineStr">
        <is>
          <t>Customs Brokerage – Overall</t>
        </is>
      </c>
      <c r="E4605" t="n">
        <v>2000013453</v>
      </c>
      <c r="G4605" t="inlineStr">
        <is>
          <t>ZP</t>
        </is>
      </c>
      <c r="H4605" s="12" t="n">
        <v>99504.24000000001</v>
      </c>
      <c r="I4605" s="17" t="n">
        <v>46253</v>
      </c>
      <c r="J4605" s="17" t="n">
        <v>46253</v>
      </c>
      <c r="K4605" t="inlineStr">
        <is>
          <t>0527/26 0527/26</t>
        </is>
      </c>
    </row>
    <row r="4606">
      <c r="A4606" t="inlineStr">
        <is>
          <t>105984</t>
        </is>
      </c>
      <c r="B4606" t="inlineStr">
        <is>
          <t>TRADEWORKS SERVICOS DE COMERCIO EXT 04955748000107</t>
        </is>
      </c>
      <c r="C4606" t="n">
        <v>1191000000</v>
      </c>
      <c r="D4606" t="inlineStr">
        <is>
          <t>Customs Brokerage – Overall</t>
        </is>
      </c>
      <c r="E4606" t="n">
        <v>2000013631</v>
      </c>
      <c r="G4606" t="inlineStr">
        <is>
          <t>ZP</t>
        </is>
      </c>
      <c r="H4606" s="12" t="n">
        <v>9000</v>
      </c>
      <c r="I4606" s="17" t="n">
        <v>46260</v>
      </c>
      <c r="J4606" s="17" t="n">
        <v>46260</v>
      </c>
      <c r="K4606" t="inlineStr">
        <is>
          <t>96002681, 96002685 - DI 20/1191977-0</t>
        </is>
      </c>
    </row>
    <row r="4607">
      <c r="A4607" t="inlineStr">
        <is>
          <t>105984</t>
        </is>
      </c>
      <c r="B4607" t="inlineStr">
        <is>
          <t>TRADEWORKS SERVICOS DE COMERCIO EXT 04955748000107</t>
        </is>
      </c>
      <c r="C4607" t="n">
        <v>1191000000</v>
      </c>
      <c r="D4607" t="inlineStr">
        <is>
          <t>Customs Brokerage – Overall</t>
        </is>
      </c>
      <c r="E4607" t="n">
        <v>2000013632</v>
      </c>
      <c r="G4607" t="inlineStr">
        <is>
          <t>ZP</t>
        </is>
      </c>
      <c r="H4607" s="12" t="n">
        <v>75000</v>
      </c>
      <c r="I4607" s="17" t="n">
        <v>46260</v>
      </c>
      <c r="J4607" s="17" t="n">
        <v>46260</v>
      </c>
      <c r="K4607" t="inlineStr">
        <is>
          <t>EBKG17679855</t>
        </is>
      </c>
    </row>
    <row r="4608">
      <c r="A4608" t="inlineStr">
        <is>
          <t>105984</t>
        </is>
      </c>
      <c r="B4608" t="inlineStr">
        <is>
          <t>TRADEWORKS SERVICOS DE COMERCIO EXT 04955748000107</t>
        </is>
      </c>
      <c r="C4608" t="n">
        <v>1191000000</v>
      </c>
      <c r="D4608" t="inlineStr">
        <is>
          <t>Customs Brokerage – Overall</t>
        </is>
      </c>
      <c r="E4608" t="n">
        <v>2000013659</v>
      </c>
      <c r="G4608" t="inlineStr">
        <is>
          <t>ZP</t>
        </is>
      </c>
      <c r="H4608" s="12" t="n">
        <v>196.55</v>
      </c>
      <c r="I4608" s="17" t="n">
        <v>46260</v>
      </c>
      <c r="J4608" s="17" t="n">
        <v>46260</v>
      </c>
      <c r="K4608" t="inlineStr">
        <is>
          <t>0413/26 0413/26</t>
        </is>
      </c>
    </row>
    <row r="4609">
      <c r="A4609" t="inlineStr">
        <is>
          <t>105984</t>
        </is>
      </c>
      <c r="B4609" t="inlineStr">
        <is>
          <t>TRADEWORKS SERVICOS DE COMERCIO EXT 04955748000107</t>
        </is>
      </c>
      <c r="C4609" t="n">
        <v>1191000000</v>
      </c>
      <c r="D4609" t="inlineStr">
        <is>
          <t>Customs Brokerage – Overall</t>
        </is>
      </c>
      <c r="E4609" t="n">
        <v>2000013660</v>
      </c>
      <c r="G4609" t="inlineStr">
        <is>
          <t>ZP</t>
        </is>
      </c>
      <c r="H4609" s="12" t="n">
        <v>196.55</v>
      </c>
      <c r="I4609" s="17" t="n">
        <v>46260</v>
      </c>
      <c r="J4609" s="17" t="n">
        <v>46260</v>
      </c>
      <c r="K4609" t="inlineStr">
        <is>
          <t>0419/26 0419/26</t>
        </is>
      </c>
    </row>
    <row r="4610">
      <c r="A4610" t="inlineStr">
        <is>
          <t>105984</t>
        </is>
      </c>
      <c r="B4610" t="inlineStr">
        <is>
          <t>TRADEWORKS SERVICOS DE COMERCIO EXT 04955748000107</t>
        </is>
      </c>
      <c r="C4610" t="n">
        <v>1191000000</v>
      </c>
      <c r="D4610" t="inlineStr">
        <is>
          <t>Customs Brokerage – Overall</t>
        </is>
      </c>
      <c r="E4610" t="n">
        <v>2000013665</v>
      </c>
      <c r="G4610" t="inlineStr">
        <is>
          <t>ZP</t>
        </is>
      </c>
      <c r="H4610" s="12" t="n">
        <v>7439.28</v>
      </c>
      <c r="I4610" s="17" t="n">
        <v>46260</v>
      </c>
      <c r="J4610" s="17" t="n">
        <v>46260</v>
      </c>
      <c r="K4610" t="inlineStr">
        <is>
          <t>Admissão Temporária</t>
        </is>
      </c>
    </row>
    <row r="4611">
      <c r="A4611" t="inlineStr">
        <is>
          <t>105984</t>
        </is>
      </c>
      <c r="B4611" t="inlineStr">
        <is>
          <t>TRADEWORKS SERVICOS DE COMERCIO EXT 04955748000107</t>
        </is>
      </c>
      <c r="C4611" t="n">
        <v>1191000000</v>
      </c>
      <c r="D4611" t="inlineStr">
        <is>
          <t>Customs Brokerage – Overall</t>
        </is>
      </c>
      <c r="E4611" t="n">
        <v>2000013666</v>
      </c>
      <c r="G4611" t="inlineStr">
        <is>
          <t>ZP</t>
        </is>
      </c>
      <c r="H4611" s="12" t="n">
        <v>7559</v>
      </c>
      <c r="I4611" s="17" t="n">
        <v>46260</v>
      </c>
      <c r="J4611" s="17" t="n">
        <v>46260</v>
      </c>
      <c r="K4611" t="inlineStr">
        <is>
          <t>0535/26 0535/26</t>
        </is>
      </c>
    </row>
    <row r="4612">
      <c r="A4612" t="inlineStr">
        <is>
          <t>105984</t>
        </is>
      </c>
      <c r="B4612" t="inlineStr">
        <is>
          <t>TRADEWORKS SERVICOS DE COMERCIO EXT 04955748000107</t>
        </is>
      </c>
      <c r="C4612" t="n">
        <v>1191000000</v>
      </c>
      <c r="D4612" t="inlineStr">
        <is>
          <t>Customs Brokerage – Overall</t>
        </is>
      </c>
      <c r="E4612" t="n">
        <v>2000013667</v>
      </c>
      <c r="G4612" t="inlineStr">
        <is>
          <t>ZP</t>
        </is>
      </c>
      <c r="H4612" s="12" t="n">
        <v>11638.4</v>
      </c>
      <c r="I4612" s="17" t="n">
        <v>46260</v>
      </c>
      <c r="J4612" s="17" t="n">
        <v>46260</v>
      </c>
      <c r="K4612" t="inlineStr">
        <is>
          <t>0536/26 0536/26</t>
        </is>
      </c>
    </row>
    <row r="4613">
      <c r="A4613" t="inlineStr">
        <is>
          <t>105984</t>
        </is>
      </c>
      <c r="B4613" t="inlineStr">
        <is>
          <t>TRADEWORKS SERVICOS DE COMERCIO EXT 04955748000107</t>
        </is>
      </c>
      <c r="C4613" t="n">
        <v>1191000000</v>
      </c>
      <c r="D4613" t="inlineStr">
        <is>
          <t>Customs Brokerage – Overall</t>
        </is>
      </c>
      <c r="E4613" t="n">
        <v>2000013668</v>
      </c>
      <c r="G4613" t="inlineStr">
        <is>
          <t>ZP</t>
        </is>
      </c>
      <c r="H4613" s="12" t="n">
        <v>12864.05</v>
      </c>
      <c r="I4613" s="17" t="n">
        <v>46260</v>
      </c>
      <c r="J4613" s="17" t="n">
        <v>46260</v>
      </c>
      <c r="K4613" t="inlineStr">
        <is>
          <t>Admissão Temporária</t>
        </is>
      </c>
    </row>
    <row r="4614">
      <c r="A4614" t="inlineStr">
        <is>
          <t>105984</t>
        </is>
      </c>
      <c r="B4614" t="inlineStr">
        <is>
          <t>TRADEWORKS SERVICOS DE COMERCIO EXT 04955748000107</t>
        </is>
      </c>
      <c r="C4614" t="n">
        <v>1191000000</v>
      </c>
      <c r="D4614" t="inlineStr">
        <is>
          <t>Customs Brokerage – Overall</t>
        </is>
      </c>
      <c r="E4614" t="n">
        <v>2000013669</v>
      </c>
      <c r="G4614" t="inlineStr">
        <is>
          <t>ZP</t>
        </is>
      </c>
      <c r="H4614" s="12" t="n">
        <v>15205.76</v>
      </c>
      <c r="I4614" s="17" t="n">
        <v>46260</v>
      </c>
      <c r="J4614" s="17" t="n">
        <v>46260</v>
      </c>
      <c r="K4614" t="inlineStr">
        <is>
          <t>0515/26 0515/26</t>
        </is>
      </c>
    </row>
    <row r="4615">
      <c r="A4615" t="inlineStr">
        <is>
          <t>105984</t>
        </is>
      </c>
      <c r="B4615" t="inlineStr">
        <is>
          <t>TRADEWORKS SERVICOS DE COMERCIO EXT 04955748000107</t>
        </is>
      </c>
      <c r="C4615" t="n">
        <v>1191000000</v>
      </c>
      <c r="D4615" t="inlineStr">
        <is>
          <t>Customs Brokerage – Overall</t>
        </is>
      </c>
      <c r="E4615" t="n">
        <v>2000013670</v>
      </c>
      <c r="G4615" t="inlineStr">
        <is>
          <t>ZP</t>
        </is>
      </c>
      <c r="H4615" s="12" t="n">
        <v>18288.5</v>
      </c>
      <c r="I4615" s="17" t="n">
        <v>46260</v>
      </c>
      <c r="J4615" s="17" t="n">
        <v>46260</v>
      </c>
      <c r="K4615" t="inlineStr">
        <is>
          <t>Admissão Temporária</t>
        </is>
      </c>
    </row>
    <row r="4616">
      <c r="A4616" t="inlineStr">
        <is>
          <t>105984</t>
        </is>
      </c>
      <c r="B4616" t="inlineStr">
        <is>
          <t>TRADEWORKS SERVICOS DE COMERCIO EXT 04955748000107</t>
        </is>
      </c>
      <c r="C4616" t="n">
        <v>1191000000</v>
      </c>
      <c r="D4616" t="inlineStr">
        <is>
          <t>Customs Brokerage – Overall</t>
        </is>
      </c>
      <c r="E4616" t="n">
        <v>2000013671</v>
      </c>
      <c r="G4616" t="inlineStr">
        <is>
          <t>ZP</t>
        </is>
      </c>
      <c r="H4616" s="12" t="n">
        <v>68000</v>
      </c>
      <c r="I4616" s="17" t="n">
        <v>46260</v>
      </c>
      <c r="J4616" s="17" t="n">
        <v>46260</v>
      </c>
      <c r="K4616" t="inlineStr">
        <is>
          <t>0446/26 0446/26</t>
        </is>
      </c>
    </row>
    <row r="4617">
      <c r="A4617" t="inlineStr">
        <is>
          <t>105984</t>
        </is>
      </c>
      <c r="B4617" t="inlineStr">
        <is>
          <t>TRADEWORKS SERVICOS DE COMERCIO EXT 04955748000107</t>
        </is>
      </c>
      <c r="C4617" t="n">
        <v>1191000000</v>
      </c>
      <c r="D4617" t="inlineStr">
        <is>
          <t>Customs Brokerage – Overall</t>
        </is>
      </c>
      <c r="E4617" t="n">
        <v>2000013672</v>
      </c>
      <c r="G4617" t="inlineStr">
        <is>
          <t>ZP</t>
        </is>
      </c>
      <c r="H4617" s="12" t="n">
        <v>93859.12</v>
      </c>
      <c r="I4617" s="17" t="n">
        <v>46260</v>
      </c>
      <c r="J4617" s="17" t="n">
        <v>46260</v>
      </c>
      <c r="K4617" t="inlineStr">
        <is>
          <t>Admissão Temporária</t>
        </is>
      </c>
    </row>
    <row r="4618">
      <c r="A4618" t="inlineStr">
        <is>
          <t>101269</t>
        </is>
      </c>
      <c r="B4618" t="inlineStr">
        <is>
          <t>CERTISIGN CERTIFICADORA DIGITAL SA</t>
        </is>
      </c>
      <c r="C4618" t="n">
        <v>1191000000</v>
      </c>
      <c r="D4618" t="inlineStr">
        <is>
          <t>Other Suppliers</t>
        </is>
      </c>
      <c r="E4618" t="n">
        <v>2000013709</v>
      </c>
      <c r="G4618" t="inlineStr">
        <is>
          <t>ZP</t>
        </is>
      </c>
      <c r="H4618" s="12" t="n">
        <v>274.9</v>
      </c>
      <c r="I4618" s="17" t="n">
        <v>46260</v>
      </c>
      <c r="J4618" s="17" t="n">
        <v>46260</v>
      </c>
      <c r="K4618" t="inlineStr">
        <is>
          <t>*34191090083872847290310481460003815510000027490</t>
        </is>
      </c>
    </row>
    <row r="4619">
      <c r="A4619" t="inlineStr">
        <is>
          <t>101269</t>
        </is>
      </c>
      <c r="B4619" t="inlineStr">
        <is>
          <t>CERTISIGN CERTIFICADORA DIGITAL SA</t>
        </is>
      </c>
      <c r="C4619" t="n">
        <v>1191000000</v>
      </c>
      <c r="D4619" t="inlineStr">
        <is>
          <t>Other Suppliers</t>
        </is>
      </c>
      <c r="E4619" t="n">
        <v>2000013710</v>
      </c>
      <c r="G4619" t="inlineStr">
        <is>
          <t>ZP</t>
        </is>
      </c>
      <c r="H4619" s="12" t="n">
        <v>324.4</v>
      </c>
      <c r="I4619" s="17" t="n">
        <v>46260</v>
      </c>
      <c r="J4619" s="17" t="n">
        <v>46260</v>
      </c>
      <c r="K4619" t="inlineStr">
        <is>
          <t>*34191090083871468290310481460003115510000032440</t>
        </is>
      </c>
    </row>
    <row r="4620">
      <c r="A4620" t="inlineStr">
        <is>
          <t>101791</t>
        </is>
      </c>
      <c r="B4620" t="inlineStr">
        <is>
          <t>INT DE PESQUISAS TECNOLOGICAS EST D</t>
        </is>
      </c>
      <c r="C4620" t="n">
        <v>1191000000</v>
      </c>
      <c r="D4620" t="inlineStr">
        <is>
          <t>Other Suppliers</t>
        </is>
      </c>
      <c r="E4620" t="n">
        <v>2000019852</v>
      </c>
      <c r="G4620" t="inlineStr">
        <is>
          <t>ZP</t>
        </is>
      </c>
      <c r="H4620" s="12" t="n">
        <v>6194.1</v>
      </c>
      <c r="I4620" s="17" t="n">
        <v>45583</v>
      </c>
      <c r="J4620" s="17" t="n">
        <v>45583</v>
      </c>
      <c r="K4620" t="inlineStr">
        <is>
          <t>Documento fornecedor INT DE PESQUISAS TECNOLOGICAS</t>
        </is>
      </c>
    </row>
    <row r="4621">
      <c r="A4621" t="inlineStr">
        <is>
          <t>101791</t>
        </is>
      </c>
      <c r="B4621" t="inlineStr">
        <is>
          <t>INT DE PESQUISAS TECNOLOGICAS EST D</t>
        </is>
      </c>
      <c r="C4621" t="n">
        <v>1191000000</v>
      </c>
      <c r="D4621" t="inlineStr">
        <is>
          <t>Other Suppliers</t>
        </is>
      </c>
      <c r="E4621" t="n">
        <v>2000019853</v>
      </c>
      <c r="G4621" t="inlineStr">
        <is>
          <t>ZP</t>
        </is>
      </c>
      <c r="H4621" s="12" t="n">
        <v>32772.42</v>
      </c>
      <c r="I4621" s="17" t="n">
        <v>45583</v>
      </c>
      <c r="J4621" s="17" t="n">
        <v>45583</v>
      </c>
      <c r="K4621" t="inlineStr">
        <is>
          <t>Documento fornecedor INT DE PESQUISAS TECNOLOGICAS</t>
        </is>
      </c>
    </row>
    <row r="4622">
      <c r="A4622" t="inlineStr">
        <is>
          <t>103437</t>
        </is>
      </c>
      <c r="B4622" t="inlineStr">
        <is>
          <t>Cleber Aparecido Araujo</t>
        </is>
      </c>
      <c r="C4622" t="n">
        <v>1117730000</v>
      </c>
      <c r="D4622" t="inlineStr">
        <is>
          <t>Nordex Employees</t>
        </is>
      </c>
      <c r="E4622" t="n">
        <v>5048220</v>
      </c>
      <c r="F4622" t="inlineStr">
        <is>
          <t>34408</t>
        </is>
      </c>
      <c r="G4622" t="inlineStr">
        <is>
          <t>KA</t>
        </is>
      </c>
      <c r="H4622" s="12" t="n">
        <v>4030</v>
      </c>
      <c r="I4622" s="17" t="n">
        <v>45621</v>
      </c>
      <c r="J4622" s="17" t="n">
        <v>45621</v>
      </c>
      <c r="K4622" t="inlineStr">
        <is>
          <t>Vendor DP Request Cleber Aparecido Araujo 34408</t>
        </is>
      </c>
    </row>
    <row r="4623">
      <c r="A4623" t="inlineStr">
        <is>
          <t>EM000159</t>
        </is>
      </c>
      <c r="B4623" t="inlineStr">
        <is>
          <t>FABIO COFFANI DOS SANTOS DE SIQUEIRA</t>
        </is>
      </c>
      <c r="C4623" t="n">
        <v>1117730000</v>
      </c>
      <c r="D4623" t="inlineStr">
        <is>
          <t>Nordex Employees</t>
        </is>
      </c>
      <c r="E4623" t="n">
        <v>1100001905</v>
      </c>
      <c r="F4623" t="inlineStr">
        <is>
          <t>42418</t>
        </is>
      </c>
      <c r="G4623" t="inlineStr">
        <is>
          <t>AB</t>
        </is>
      </c>
      <c r="H4623" s="12" t="n">
        <v>5077.8</v>
      </c>
      <c r="I4623" s="17" t="n">
        <v>46038</v>
      </c>
      <c r="J4623" s="17" t="n">
        <v>45952</v>
      </c>
      <c r="K4623" t="inlineStr">
        <is>
          <t>Clearing document FABIO COFFANI DOS SANTOS DE SIQU</t>
        </is>
      </c>
    </row>
    <row r="4624">
      <c r="A4624" t="inlineStr">
        <is>
          <t>EM000167</t>
        </is>
      </c>
      <c r="B4624" t="inlineStr">
        <is>
          <t>ANDERSON DE LIMA AFFONSO</t>
        </is>
      </c>
      <c r="C4624" t="n">
        <v>1117730000</v>
      </c>
      <c r="D4624" t="inlineStr">
        <is>
          <t>Nordex Employees</t>
        </is>
      </c>
      <c r="E4624" t="n">
        <v>1100003378</v>
      </c>
      <c r="F4624" t="inlineStr">
        <is>
          <t>CC 01.2026</t>
        </is>
      </c>
      <c r="G4624" t="inlineStr">
        <is>
          <t>AB</t>
        </is>
      </c>
      <c r="H4624" s="12" t="n">
        <v>427.44</v>
      </c>
      <c r="I4624" s="17" t="n">
        <v>46043</v>
      </c>
      <c r="J4624" s="17" t="n">
        <v>46043</v>
      </c>
      <c r="K4624" t="inlineStr">
        <is>
          <t>Partida individual ANDERSON DE LIMA AFFONSO CC 01.</t>
        </is>
      </c>
    </row>
    <row r="4625">
      <c r="A4625" t="inlineStr">
        <is>
          <t>EM000080</t>
        </is>
      </c>
      <c r="B4625" t="inlineStr">
        <is>
          <t>SAIRON DOS SANTOS BASTOS</t>
        </is>
      </c>
      <c r="C4625" t="n">
        <v>1117730000</v>
      </c>
      <c r="D4625" t="inlineStr">
        <is>
          <t>Nordex Employees</t>
        </is>
      </c>
      <c r="E4625" t="n">
        <v>1100003378</v>
      </c>
      <c r="F4625" t="inlineStr">
        <is>
          <t>CC 01.2026</t>
        </is>
      </c>
      <c r="G4625" t="inlineStr">
        <is>
          <t>AB</t>
        </is>
      </c>
      <c r="H4625" s="12" t="n">
        <v>41.18</v>
      </c>
      <c r="I4625" s="17" t="n">
        <v>46043</v>
      </c>
      <c r="J4625" s="17" t="n">
        <v>46043</v>
      </c>
      <c r="K4625" t="inlineStr">
        <is>
          <t>Partida individual SAIRON DOS SANTOS BASTOS CC 01.</t>
        </is>
      </c>
    </row>
    <row r="4626">
      <c r="A4626" t="inlineStr">
        <is>
          <t>EM000171</t>
        </is>
      </c>
      <c r="B4626" t="inlineStr">
        <is>
          <t>ALESSANDRA RAFFO SCHNEIDER</t>
        </is>
      </c>
      <c r="C4626" t="n">
        <v>1117730000</v>
      </c>
      <c r="D4626" t="inlineStr">
        <is>
          <t>Nordex Employees</t>
        </is>
      </c>
      <c r="E4626" t="n">
        <v>1100005948</v>
      </c>
      <c r="F4626" t="inlineStr">
        <is>
          <t>CC 02.2026</t>
        </is>
      </c>
      <c r="G4626" t="inlineStr">
        <is>
          <t>AB</t>
        </is>
      </c>
      <c r="H4626" s="12" t="n">
        <v>3722.08</v>
      </c>
      <c r="I4626" s="17" t="n">
        <v>46078</v>
      </c>
      <c r="J4626" s="17" t="n">
        <v>46078</v>
      </c>
      <c r="K4626" t="inlineStr">
        <is>
          <t>Partida individual ALESSANDRA RAFFO SCHNEIDER</t>
        </is>
      </c>
    </row>
    <row r="4627">
      <c r="A4627" t="inlineStr">
        <is>
          <t>EM000167</t>
        </is>
      </c>
      <c r="B4627" t="inlineStr">
        <is>
          <t>ANDERSON DE LIMA AFFONSO</t>
        </is>
      </c>
      <c r="C4627" t="n">
        <v>1117730000</v>
      </c>
      <c r="D4627" t="inlineStr">
        <is>
          <t>Nordex Employees</t>
        </is>
      </c>
      <c r="E4627" t="n">
        <v>1100005948</v>
      </c>
      <c r="F4627" t="inlineStr">
        <is>
          <t>CC 02.2026</t>
        </is>
      </c>
      <c r="G4627" t="inlineStr">
        <is>
          <t>AB</t>
        </is>
      </c>
      <c r="H4627" s="12" t="n">
        <v>83</v>
      </c>
      <c r="I4627" s="17" t="n">
        <v>46078</v>
      </c>
      <c r="J4627" s="17" t="n">
        <v>46078</v>
      </c>
      <c r="K4627" t="inlineStr">
        <is>
          <t>Partida individual ANDERSON DE LIMA AFFONSO</t>
        </is>
      </c>
    </row>
    <row r="4628">
      <c r="A4628" t="inlineStr">
        <is>
          <t>EM000048</t>
        </is>
      </c>
      <c r="B4628" t="inlineStr">
        <is>
          <t>ARLINDO ASTYZEM REGO</t>
        </is>
      </c>
      <c r="C4628" t="n">
        <v>1117730000</v>
      </c>
      <c r="D4628" t="inlineStr">
        <is>
          <t>Nordex Employees</t>
        </is>
      </c>
      <c r="E4628" t="n">
        <v>1100005948</v>
      </c>
      <c r="F4628" t="inlineStr">
        <is>
          <t>CC 02.2026</t>
        </is>
      </c>
      <c r="G4628" t="inlineStr">
        <is>
          <t>AB</t>
        </is>
      </c>
      <c r="H4628" s="12" t="n">
        <v>1928.32</v>
      </c>
      <c r="I4628" s="17" t="n">
        <v>46078</v>
      </c>
      <c r="J4628" s="17" t="n">
        <v>46078</v>
      </c>
      <c r="K4628" t="inlineStr">
        <is>
          <t>Partida individual ARLINDO ASTYZEM REGO</t>
        </is>
      </c>
    </row>
    <row r="4629">
      <c r="A4629" t="inlineStr">
        <is>
          <t>EM000024</t>
        </is>
      </c>
      <c r="B4629" t="inlineStr">
        <is>
          <t>GUILLERMO ROSSI</t>
        </is>
      </c>
      <c r="C4629" t="n">
        <v>1117730000</v>
      </c>
      <c r="D4629" t="inlineStr">
        <is>
          <t>Nordex Employees</t>
        </is>
      </c>
      <c r="E4629" t="n">
        <v>1100005948</v>
      </c>
      <c r="F4629" t="inlineStr">
        <is>
          <t>CC 02.2026</t>
        </is>
      </c>
      <c r="G4629" t="inlineStr">
        <is>
          <t>AB</t>
        </is>
      </c>
      <c r="H4629" s="12" t="n">
        <v>2683.15</v>
      </c>
      <c r="I4629" s="17" t="n">
        <v>46078</v>
      </c>
      <c r="J4629" s="17" t="n">
        <v>46078</v>
      </c>
      <c r="K4629" t="inlineStr">
        <is>
          <t>Partida individual GUILLERMO ROSSI</t>
        </is>
      </c>
    </row>
    <row r="4630">
      <c r="A4630" t="inlineStr">
        <is>
          <t>EM000157</t>
        </is>
      </c>
      <c r="B4630" t="inlineStr">
        <is>
          <t>JULIANO NASCIMIENTO</t>
        </is>
      </c>
      <c r="C4630" t="n">
        <v>1117730000</v>
      </c>
      <c r="D4630" t="inlineStr">
        <is>
          <t>Nordex Employees</t>
        </is>
      </c>
      <c r="E4630" t="n">
        <v>1100005948</v>
      </c>
      <c r="F4630" t="inlineStr">
        <is>
          <t>CC 02.2026</t>
        </is>
      </c>
      <c r="G4630" t="inlineStr">
        <is>
          <t>AB</t>
        </is>
      </c>
      <c r="H4630" s="12" t="n">
        <v>640</v>
      </c>
      <c r="I4630" s="17" t="n">
        <v>46078</v>
      </c>
      <c r="J4630" s="17" t="n">
        <v>46078</v>
      </c>
      <c r="K4630" t="inlineStr">
        <is>
          <t>Partida individual JULIANO NASCIMIENTO</t>
        </is>
      </c>
    </row>
    <row r="4631">
      <c r="A4631" t="inlineStr">
        <is>
          <t>EM000019</t>
        </is>
      </c>
      <c r="B4631" t="inlineStr">
        <is>
          <t>MARCIO RISSO LEITAO</t>
        </is>
      </c>
      <c r="C4631" t="n">
        <v>1117730000</v>
      </c>
      <c r="D4631" t="inlineStr">
        <is>
          <t>Nordex Employees</t>
        </is>
      </c>
      <c r="E4631" t="n">
        <v>1100005948</v>
      </c>
      <c r="F4631" t="inlineStr">
        <is>
          <t>CC 02.2026</t>
        </is>
      </c>
      <c r="G4631" t="inlineStr">
        <is>
          <t>AB</t>
        </is>
      </c>
      <c r="H4631" s="12" t="n">
        <v>704.79</v>
      </c>
      <c r="I4631" s="17" t="n">
        <v>46078</v>
      </c>
      <c r="J4631" s="17" t="n">
        <v>46078</v>
      </c>
      <c r="K4631" t="inlineStr">
        <is>
          <t>Partida individual MARCIO RISSO LEITAO</t>
        </is>
      </c>
    </row>
    <row r="4632">
      <c r="A4632" t="inlineStr">
        <is>
          <t>EM000029</t>
        </is>
      </c>
      <c r="B4632" t="inlineStr">
        <is>
          <t>RENATO BRUNO LIMA DE FARIAS</t>
        </is>
      </c>
      <c r="C4632" t="n">
        <v>1117730000</v>
      </c>
      <c r="D4632" t="inlineStr">
        <is>
          <t>Nordex Employees</t>
        </is>
      </c>
      <c r="E4632" t="n">
        <v>1100005948</v>
      </c>
      <c r="F4632" t="inlineStr">
        <is>
          <t>CC 02.2026</t>
        </is>
      </c>
      <c r="G4632" t="inlineStr">
        <is>
          <t>AB</t>
        </is>
      </c>
      <c r="H4632" s="12" t="n">
        <v>2691.05</v>
      </c>
      <c r="I4632" s="17" t="n">
        <v>46078</v>
      </c>
      <c r="J4632" s="17" t="n">
        <v>46078</v>
      </c>
      <c r="K4632" t="inlineStr">
        <is>
          <t>Partida individual RENATO BRUNO LIMA DE FARIAS</t>
        </is>
      </c>
    </row>
    <row r="4633">
      <c r="A4633" t="inlineStr">
        <is>
          <t>EM000633</t>
        </is>
      </c>
      <c r="B4633" t="inlineStr">
        <is>
          <t>ROGERIO PEREIRA PASSOS</t>
        </is>
      </c>
      <c r="C4633" t="n">
        <v>1117730000</v>
      </c>
      <c r="D4633" t="inlineStr">
        <is>
          <t>Nordex Employees</t>
        </is>
      </c>
      <c r="E4633" t="n">
        <v>1100005948</v>
      </c>
      <c r="F4633" t="inlineStr">
        <is>
          <t>CC 02.2026</t>
        </is>
      </c>
      <c r="G4633" t="inlineStr">
        <is>
          <t>AB</t>
        </is>
      </c>
      <c r="H4633" s="12" t="n">
        <v>462.55</v>
      </c>
      <c r="I4633" s="17" t="n">
        <v>46078</v>
      </c>
      <c r="J4633" s="17" t="n">
        <v>46078</v>
      </c>
      <c r="K4633" t="inlineStr">
        <is>
          <t>Partida individual ROGERIO PEREIRA PASSOS</t>
        </is>
      </c>
    </row>
    <row r="4634">
      <c r="A4634" t="inlineStr">
        <is>
          <t>EM000080</t>
        </is>
      </c>
      <c r="B4634" t="inlineStr">
        <is>
          <t>SAIRON DOS SANTOS BASTOS</t>
        </is>
      </c>
      <c r="C4634" t="n">
        <v>1117730000</v>
      </c>
      <c r="D4634" t="inlineStr">
        <is>
          <t>Nordex Employees</t>
        </is>
      </c>
      <c r="E4634" t="n">
        <v>1100005948</v>
      </c>
      <c r="F4634" t="inlineStr">
        <is>
          <t>CC 02.2026</t>
        </is>
      </c>
      <c r="G4634" t="inlineStr">
        <is>
          <t>AB</t>
        </is>
      </c>
      <c r="H4634" s="12" t="n">
        <v>52.29</v>
      </c>
      <c r="I4634" s="17" t="n">
        <v>46078</v>
      </c>
      <c r="J4634" s="17" t="n">
        <v>46078</v>
      </c>
      <c r="K4634" t="inlineStr">
        <is>
          <t>Partida individual SAIRON DOS SANTOS BASTOS</t>
        </is>
      </c>
    </row>
    <row r="4635">
      <c r="A4635" t="inlineStr">
        <is>
          <t>EM000281</t>
        </is>
      </c>
      <c r="B4635" t="inlineStr">
        <is>
          <t>VANESSA REGINA DE CAMARGO</t>
        </is>
      </c>
      <c r="C4635" t="n">
        <v>1117730000</v>
      </c>
      <c r="D4635" t="inlineStr">
        <is>
          <t>Nordex Employees</t>
        </is>
      </c>
      <c r="E4635" t="n">
        <v>1100005948</v>
      </c>
      <c r="F4635" t="inlineStr">
        <is>
          <t>CC 02.2026</t>
        </is>
      </c>
      <c r="G4635" t="inlineStr">
        <is>
          <t>AB</t>
        </is>
      </c>
      <c r="H4635" s="12" t="n">
        <v>3244.87</v>
      </c>
      <c r="I4635" s="17" t="n">
        <v>46078</v>
      </c>
      <c r="J4635" s="17" t="n">
        <v>46078</v>
      </c>
      <c r="K4635" t="inlineStr">
        <is>
          <t>Partida individual VANESSA REGINA DE CAMARGO</t>
        </is>
      </c>
    </row>
    <row r="4636">
      <c r="A4636" t="inlineStr">
        <is>
          <t>EM000296</t>
        </is>
      </c>
      <c r="B4636" t="inlineStr">
        <is>
          <t>ROBERTISON JOSE DE BRITO</t>
        </is>
      </c>
      <c r="C4636" t="n">
        <v>1117730000</v>
      </c>
      <c r="D4636" t="inlineStr">
        <is>
          <t>Nordex Employees</t>
        </is>
      </c>
      <c r="E4636" t="n">
        <v>1100006401</v>
      </c>
      <c r="F4636" t="inlineStr">
        <is>
          <t>CC 06.2025</t>
        </is>
      </c>
      <c r="G4636" t="inlineStr">
        <is>
          <t>AB</t>
        </is>
      </c>
      <c r="H4636" s="12" t="n">
        <v>24.39</v>
      </c>
      <c r="I4636" s="17" t="n">
        <v>46087</v>
      </c>
      <c r="J4636" s="17" t="n">
        <v>45884</v>
      </c>
      <c r="K4636" t="inlineStr">
        <is>
          <t>Clearing document ROBERTISON JOSE DE BRITO CC 06.2</t>
        </is>
      </c>
    </row>
    <row r="4637">
      <c r="A4637" t="inlineStr">
        <is>
          <t>EM000027</t>
        </is>
      </c>
      <c r="B4637" t="inlineStr">
        <is>
          <t>RAFAEL AUGUSTO DA SILVA GOULARTE</t>
        </is>
      </c>
      <c r="C4637" t="n">
        <v>1117730000</v>
      </c>
      <c r="D4637" t="inlineStr">
        <is>
          <t>Nordex Employees</t>
        </is>
      </c>
      <c r="E4637" t="n">
        <v>1100006444</v>
      </c>
      <c r="F4637" t="inlineStr">
        <is>
          <t>43919</t>
        </is>
      </c>
      <c r="G4637" t="inlineStr">
        <is>
          <t>AB</t>
        </is>
      </c>
      <c r="H4637" s="12" t="n">
        <v>720</v>
      </c>
      <c r="I4637" s="17" t="n">
        <v>46090</v>
      </c>
      <c r="J4637" s="17" t="n">
        <v>46036</v>
      </c>
      <c r="K4637" t="inlineStr">
        <is>
          <t>Clearing document RAFAEL AUGUSTO DA SILVA GOULARTE</t>
        </is>
      </c>
    </row>
    <row r="4638">
      <c r="A4638" t="inlineStr">
        <is>
          <t>EM000083</t>
        </is>
      </c>
      <c r="B4638" t="inlineStr">
        <is>
          <t>ANDERSON DE SOUZA MOTA</t>
        </is>
      </c>
      <c r="C4638" t="n">
        <v>1117730000</v>
      </c>
      <c r="D4638" t="inlineStr">
        <is>
          <t>Nordex Employees</t>
        </is>
      </c>
      <c r="E4638" t="n">
        <v>1100008062</v>
      </c>
      <c r="F4638" t="inlineStr">
        <is>
          <t>CC 03.2026</t>
        </is>
      </c>
      <c r="G4638" t="inlineStr">
        <is>
          <t>AB</t>
        </is>
      </c>
      <c r="H4638" s="12" t="n">
        <v>790</v>
      </c>
      <c r="I4638" s="17" t="n">
        <v>46106</v>
      </c>
      <c r="J4638" s="17" t="n">
        <v>46106</v>
      </c>
      <c r="K4638" t="inlineStr">
        <is>
          <t>Partida individual ANDERSON DE SOUZA MOTA CC 03.20</t>
        </is>
      </c>
    </row>
    <row r="4639">
      <c r="A4639" t="inlineStr">
        <is>
          <t>EM000161</t>
        </is>
      </c>
      <c r="B4639" t="inlineStr">
        <is>
          <t>ARIOVALDO COSTA FILHO</t>
        </is>
      </c>
      <c r="C4639" t="n">
        <v>1117730000</v>
      </c>
      <c r="D4639" t="inlineStr">
        <is>
          <t>Nordex Employees</t>
        </is>
      </c>
      <c r="E4639" t="n">
        <v>1100008062</v>
      </c>
      <c r="F4639" t="inlineStr">
        <is>
          <t>CC 03.2026</t>
        </is>
      </c>
      <c r="G4639" t="inlineStr">
        <is>
          <t>AB</t>
        </is>
      </c>
      <c r="H4639" s="12" t="n">
        <v>275</v>
      </c>
      <c r="I4639" s="17" t="n">
        <v>46106</v>
      </c>
      <c r="J4639" s="17" t="n">
        <v>46106</v>
      </c>
      <c r="K4639" t="inlineStr">
        <is>
          <t>Partida individual ARIOVALDO COSTA FILHO CC 03.202</t>
        </is>
      </c>
    </row>
    <row r="4640">
      <c r="A4640" t="inlineStr">
        <is>
          <t>EM000238</t>
        </is>
      </c>
      <c r="B4640" t="inlineStr">
        <is>
          <t>FEDERICO BIANCHI</t>
        </is>
      </c>
      <c r="C4640" t="n">
        <v>1117730000</v>
      </c>
      <c r="D4640" t="inlineStr">
        <is>
          <t>Nordex Employees</t>
        </is>
      </c>
      <c r="E4640" t="n">
        <v>1100008062</v>
      </c>
      <c r="F4640" t="inlineStr">
        <is>
          <t>CC 03.2026</t>
        </is>
      </c>
      <c r="G4640" t="inlineStr">
        <is>
          <t>AB</t>
        </is>
      </c>
      <c r="H4640" s="12" t="n">
        <v>1824.39</v>
      </c>
      <c r="I4640" s="17" t="n">
        <v>46106</v>
      </c>
      <c r="J4640" s="17" t="n">
        <v>46106</v>
      </c>
      <c r="K4640" t="inlineStr">
        <is>
          <t>Partida individual FEDERICO BIANCHI CC 03.2026</t>
        </is>
      </c>
    </row>
    <row r="4641">
      <c r="A4641" t="inlineStr">
        <is>
          <t>EM000127</t>
        </is>
      </c>
      <c r="B4641" t="inlineStr">
        <is>
          <t>GUSTAVO FERNANDES LIMA</t>
        </is>
      </c>
      <c r="C4641" t="n">
        <v>1117730000</v>
      </c>
      <c r="D4641" t="inlineStr">
        <is>
          <t>Nordex Employees</t>
        </is>
      </c>
      <c r="E4641" t="n">
        <v>1100008062</v>
      </c>
      <c r="F4641" t="inlineStr">
        <is>
          <t>CC 03.2026</t>
        </is>
      </c>
      <c r="G4641" t="inlineStr">
        <is>
          <t>AB</t>
        </is>
      </c>
      <c r="H4641" s="12" t="n">
        <v>2824.98</v>
      </c>
      <c r="I4641" s="17" t="n">
        <v>46106</v>
      </c>
      <c r="J4641" s="17" t="n">
        <v>46106</v>
      </c>
      <c r="K4641" t="inlineStr">
        <is>
          <t>Partida individual GUSTAVO FERNANDES LIMA CC 03.20</t>
        </is>
      </c>
    </row>
    <row r="4642">
      <c r="A4642" t="inlineStr">
        <is>
          <t>EM000157</t>
        </is>
      </c>
      <c r="B4642" t="inlineStr">
        <is>
          <t>JULIANO NASCIMIENTO</t>
        </is>
      </c>
      <c r="C4642" t="n">
        <v>1117730000</v>
      </c>
      <c r="D4642" t="inlineStr">
        <is>
          <t>Nordex Employees</t>
        </is>
      </c>
      <c r="E4642" t="n">
        <v>1100008062</v>
      </c>
      <c r="F4642" t="inlineStr">
        <is>
          <t>CC 03.2026</t>
        </is>
      </c>
      <c r="G4642" t="inlineStr">
        <is>
          <t>AB</t>
        </is>
      </c>
      <c r="H4642" s="12" t="n">
        <v>2805.48</v>
      </c>
      <c r="I4642" s="17" t="n">
        <v>46106</v>
      </c>
      <c r="J4642" s="17" t="n">
        <v>46106</v>
      </c>
      <c r="K4642" t="inlineStr">
        <is>
          <t>Partida individual JULIANO NASCIMIENTO CC 03.2026</t>
        </is>
      </c>
    </row>
    <row r="4643">
      <c r="A4643" t="inlineStr">
        <is>
          <t>EM000029</t>
        </is>
      </c>
      <c r="B4643" t="inlineStr">
        <is>
          <t>RENATO BRUNO LIMA DE FARIAS</t>
        </is>
      </c>
      <c r="C4643" t="n">
        <v>1117730000</v>
      </c>
      <c r="D4643" t="inlineStr">
        <is>
          <t>Nordex Employees</t>
        </is>
      </c>
      <c r="E4643" t="n">
        <v>1100008062</v>
      </c>
      <c r="F4643" t="inlineStr">
        <is>
          <t>CC 03.2026</t>
        </is>
      </c>
      <c r="G4643" t="inlineStr">
        <is>
          <t>AB</t>
        </is>
      </c>
      <c r="H4643" s="12" t="n">
        <v>1474.01</v>
      </c>
      <c r="I4643" s="17" t="n">
        <v>46106</v>
      </c>
      <c r="J4643" s="17" t="n">
        <v>46106</v>
      </c>
      <c r="K4643" t="inlineStr">
        <is>
          <t>Partida individual RENATO BRUNO LIMA DE FARIAS CC</t>
        </is>
      </c>
    </row>
    <row r="4644">
      <c r="A4644" t="inlineStr">
        <is>
          <t>EM000281</t>
        </is>
      </c>
      <c r="B4644" t="inlineStr">
        <is>
          <t>VANESSA REGINA DE CAMARGO</t>
        </is>
      </c>
      <c r="C4644" t="n">
        <v>1117730000</v>
      </c>
      <c r="D4644" t="inlineStr">
        <is>
          <t>Nordex Employees</t>
        </is>
      </c>
      <c r="E4644" t="n">
        <v>1100008062</v>
      </c>
      <c r="F4644" t="inlineStr">
        <is>
          <t>CC 03.2026</t>
        </is>
      </c>
      <c r="G4644" t="inlineStr">
        <is>
          <t>AB</t>
        </is>
      </c>
      <c r="H4644" s="12" t="n">
        <v>597.91</v>
      </c>
      <c r="I4644" s="17" t="n">
        <v>46106</v>
      </c>
      <c r="J4644" s="17" t="n">
        <v>46106</v>
      </c>
      <c r="K4644" t="inlineStr">
        <is>
          <t>Partida individual VANESSA REGINA DE CAMARGO CC 03</t>
        </is>
      </c>
    </row>
    <row r="4645">
      <c r="A4645" t="inlineStr">
        <is>
          <t>EM000048</t>
        </is>
      </c>
      <c r="B4645" t="inlineStr">
        <is>
          <t>ARLINDO ASTYZEM REGO</t>
        </is>
      </c>
      <c r="C4645" t="n">
        <v>1117730000</v>
      </c>
      <c r="D4645" t="inlineStr">
        <is>
          <t>Nordex Employees</t>
        </is>
      </c>
      <c r="E4645" t="n">
        <v>1100010073</v>
      </c>
      <c r="F4645" t="inlineStr">
        <is>
          <t>CC 04.2026</t>
        </is>
      </c>
      <c r="G4645" t="inlineStr">
        <is>
          <t>AB</t>
        </is>
      </c>
      <c r="H4645" s="12" t="n">
        <v>3287.09</v>
      </c>
      <c r="I4645" s="17" t="n">
        <v>46127</v>
      </c>
      <c r="J4645" s="17" t="n">
        <v>46127</v>
      </c>
      <c r="K4645" t="inlineStr">
        <is>
          <t>Partida individual ARLINDO ASTYZEM REGO CC 04.2026</t>
        </is>
      </c>
    </row>
    <row r="4646">
      <c r="A4646" t="inlineStr">
        <is>
          <t>EM000167</t>
        </is>
      </c>
      <c r="B4646" t="inlineStr">
        <is>
          <t>ANDERSON DE LIMA AFFONSO</t>
        </is>
      </c>
      <c r="C4646" t="n">
        <v>1117730000</v>
      </c>
      <c r="D4646" t="inlineStr">
        <is>
          <t>Nordex Employees</t>
        </is>
      </c>
      <c r="E4646" t="n">
        <v>1100010073</v>
      </c>
      <c r="F4646" t="inlineStr">
        <is>
          <t>CC 04.2026</t>
        </is>
      </c>
      <c r="G4646" t="inlineStr">
        <is>
          <t>AB</t>
        </is>
      </c>
      <c r="H4646" s="12" t="n">
        <v>1315.08</v>
      </c>
      <c r="I4646" s="17" t="n">
        <v>46127</v>
      </c>
      <c r="J4646" s="17" t="n">
        <v>46127</v>
      </c>
      <c r="K4646" t="inlineStr">
        <is>
          <t>Partida individual ANDERSON DE LIMA AFFONSO CC 04.</t>
        </is>
      </c>
    </row>
    <row r="4647">
      <c r="A4647" t="inlineStr">
        <is>
          <t>EM000083</t>
        </is>
      </c>
      <c r="B4647" t="inlineStr">
        <is>
          <t>ANDERSON DE SOUZA MOTA</t>
        </is>
      </c>
      <c r="C4647" t="n">
        <v>1117730000</v>
      </c>
      <c r="D4647" t="inlineStr">
        <is>
          <t>Nordex Employees</t>
        </is>
      </c>
      <c r="E4647" t="n">
        <v>1100010073</v>
      </c>
      <c r="F4647" t="inlineStr">
        <is>
          <t>CC 04.2026</t>
        </is>
      </c>
      <c r="G4647" t="inlineStr">
        <is>
          <t>AB</t>
        </is>
      </c>
      <c r="H4647" s="12" t="n">
        <v>476.31</v>
      </c>
      <c r="I4647" s="17" t="n">
        <v>46127</v>
      </c>
      <c r="J4647" s="17" t="n">
        <v>46127</v>
      </c>
      <c r="K4647" t="inlineStr">
        <is>
          <t>Partida individual ANDERSON DE SOUZA MOTA CC 04.20</t>
        </is>
      </c>
    </row>
    <row r="4648">
      <c r="A4648" t="inlineStr">
        <is>
          <t>EM000060</t>
        </is>
      </c>
      <c r="B4648" t="inlineStr">
        <is>
          <t>DANIELLA PANCA PADILHA</t>
        </is>
      </c>
      <c r="C4648" t="n">
        <v>1117730000</v>
      </c>
      <c r="D4648" t="inlineStr">
        <is>
          <t>Nordex Employees</t>
        </is>
      </c>
      <c r="E4648" t="n">
        <v>1100010073</v>
      </c>
      <c r="F4648" t="inlineStr">
        <is>
          <t>CC 04.2026</t>
        </is>
      </c>
      <c r="G4648" t="inlineStr">
        <is>
          <t>AB</t>
        </is>
      </c>
      <c r="H4648" s="12" t="n">
        <v>33</v>
      </c>
      <c r="I4648" s="17" t="n">
        <v>46127</v>
      </c>
      <c r="J4648" s="17" t="n">
        <v>46127</v>
      </c>
      <c r="K4648" t="inlineStr">
        <is>
          <t>Partida individual DANIELLA PANCA PADILHA CC 04.20</t>
        </is>
      </c>
    </row>
    <row r="4649">
      <c r="A4649" t="inlineStr">
        <is>
          <t>EM000159</t>
        </is>
      </c>
      <c r="B4649" t="inlineStr">
        <is>
          <t>FABIO COFFANI DOS SANTOS DE SIQUEIRA</t>
        </is>
      </c>
      <c r="C4649" t="n">
        <v>1117730000</v>
      </c>
      <c r="D4649" t="inlineStr">
        <is>
          <t>Nordex Employees</t>
        </is>
      </c>
      <c r="E4649" t="n">
        <v>1100010073</v>
      </c>
      <c r="F4649" t="inlineStr">
        <is>
          <t>CC 04.2026</t>
        </is>
      </c>
      <c r="G4649" t="inlineStr">
        <is>
          <t>AB</t>
        </is>
      </c>
      <c r="H4649" s="12" t="n">
        <v>400</v>
      </c>
      <c r="I4649" s="17" t="n">
        <v>46127</v>
      </c>
      <c r="J4649" s="17" t="n">
        <v>46127</v>
      </c>
      <c r="K4649" t="inlineStr">
        <is>
          <t>Partida individual FABIO COFFANI DOS SANTOS DE SIQ</t>
        </is>
      </c>
    </row>
    <row r="4650">
      <c r="A4650" t="inlineStr">
        <is>
          <t>EM000238</t>
        </is>
      </c>
      <c r="B4650" t="inlineStr">
        <is>
          <t>FEDERICO BIANCHI</t>
        </is>
      </c>
      <c r="C4650" t="n">
        <v>1117730000</v>
      </c>
      <c r="D4650" t="inlineStr">
        <is>
          <t>Nordex Employees</t>
        </is>
      </c>
      <c r="E4650" t="n">
        <v>1100010073</v>
      </c>
      <c r="F4650" t="inlineStr">
        <is>
          <t>CC 04.2026</t>
        </is>
      </c>
      <c r="G4650" t="inlineStr">
        <is>
          <t>AB</t>
        </is>
      </c>
      <c r="H4650" s="12" t="n">
        <v>10887.76</v>
      </c>
      <c r="I4650" s="17" t="n">
        <v>46127</v>
      </c>
      <c r="J4650" s="17" t="n">
        <v>46127</v>
      </c>
      <c r="K4650" t="inlineStr">
        <is>
          <t>Partida individual FEDERICO BIANCHI CC 04.2026</t>
        </is>
      </c>
    </row>
    <row r="4651">
      <c r="A4651" t="inlineStr">
        <is>
          <t>EM000127</t>
        </is>
      </c>
      <c r="B4651" t="inlineStr">
        <is>
          <t>GUSTAVO FERNANDES LIMA</t>
        </is>
      </c>
      <c r="C4651" t="n">
        <v>1117730000</v>
      </c>
      <c r="D4651" t="inlineStr">
        <is>
          <t>Nordex Employees</t>
        </is>
      </c>
      <c r="E4651" t="n">
        <v>1100010073</v>
      </c>
      <c r="F4651" t="inlineStr">
        <is>
          <t>CC 04.2026</t>
        </is>
      </c>
      <c r="G4651" t="inlineStr">
        <is>
          <t>AB</t>
        </is>
      </c>
      <c r="H4651" s="12" t="n">
        <v>2403.25</v>
      </c>
      <c r="I4651" s="17" t="n">
        <v>46127</v>
      </c>
      <c r="J4651" s="17" t="n">
        <v>46127</v>
      </c>
      <c r="K4651" t="inlineStr">
        <is>
          <t>Partida individual GUSTAVO FERNANDES LIMA CC 04.20</t>
        </is>
      </c>
    </row>
    <row r="4652">
      <c r="A4652" t="inlineStr">
        <is>
          <t>EM000861</t>
        </is>
      </c>
      <c r="B4652" t="inlineStr">
        <is>
          <t>JOSE ELIMAR PALHARES JUNIOR</t>
        </is>
      </c>
      <c r="C4652" t="n">
        <v>1117730000</v>
      </c>
      <c r="D4652" t="inlineStr">
        <is>
          <t>Nordex Employees</t>
        </is>
      </c>
      <c r="E4652" t="n">
        <v>1100010073</v>
      </c>
      <c r="F4652" t="inlineStr">
        <is>
          <t>CC 04.2026</t>
        </is>
      </c>
      <c r="G4652" t="inlineStr">
        <is>
          <t>AB</t>
        </is>
      </c>
      <c r="H4652" s="12" t="n">
        <v>2939.17</v>
      </c>
      <c r="I4652" s="17" t="n">
        <v>46127</v>
      </c>
      <c r="J4652" s="17" t="n">
        <v>46127</v>
      </c>
      <c r="K4652" t="inlineStr">
        <is>
          <t>Partida individual JOSE ELIMAR PALHARES JUNIOR CC</t>
        </is>
      </c>
    </row>
    <row r="4653">
      <c r="A4653" t="inlineStr">
        <is>
          <t>EM000157</t>
        </is>
      </c>
      <c r="B4653" t="inlineStr">
        <is>
          <t>JULIANO NASCIMIENTO</t>
        </is>
      </c>
      <c r="C4653" t="n">
        <v>1117730000</v>
      </c>
      <c r="D4653" t="inlineStr">
        <is>
          <t>Nordex Employees</t>
        </is>
      </c>
      <c r="E4653" t="n">
        <v>1100010073</v>
      </c>
      <c r="F4653" t="inlineStr">
        <is>
          <t>CC 04.2026</t>
        </is>
      </c>
      <c r="G4653" t="inlineStr">
        <is>
          <t>AB</t>
        </is>
      </c>
      <c r="H4653" s="12" t="n">
        <v>550</v>
      </c>
      <c r="I4653" s="17" t="n">
        <v>46127</v>
      </c>
      <c r="J4653" s="17" t="n">
        <v>46127</v>
      </c>
      <c r="K4653" t="inlineStr">
        <is>
          <t>Partida individual JULIANO NASCIMIENTO CC 04.2026</t>
        </is>
      </c>
    </row>
    <row r="4654">
      <c r="A4654" t="inlineStr">
        <is>
          <t>EM000019</t>
        </is>
      </c>
      <c r="B4654" t="inlineStr">
        <is>
          <t>MARCIO RISSO LEITAO</t>
        </is>
      </c>
      <c r="C4654" t="n">
        <v>1117730000</v>
      </c>
      <c r="D4654" t="inlineStr">
        <is>
          <t>Nordex Employees</t>
        </is>
      </c>
      <c r="E4654" t="n">
        <v>1100010073</v>
      </c>
      <c r="F4654" t="inlineStr">
        <is>
          <t>CC 04.2026</t>
        </is>
      </c>
      <c r="G4654" t="inlineStr">
        <is>
          <t>AB</t>
        </is>
      </c>
      <c r="H4654" s="12" t="n">
        <v>233.31</v>
      </c>
      <c r="I4654" s="17" t="n">
        <v>46127</v>
      </c>
      <c r="J4654" s="17" t="n">
        <v>46127</v>
      </c>
      <c r="K4654" t="inlineStr">
        <is>
          <t>Partida individual MARCIO RISSO LEITAO CC 04.2026</t>
        </is>
      </c>
    </row>
    <row r="4655">
      <c r="A4655" t="inlineStr">
        <is>
          <t>EM000029</t>
        </is>
      </c>
      <c r="B4655" t="inlineStr">
        <is>
          <t>RENATO BRUNO LIMA DE FARIAS</t>
        </is>
      </c>
      <c r="C4655" t="n">
        <v>1117730000</v>
      </c>
      <c r="D4655" t="inlineStr">
        <is>
          <t>Nordex Employees</t>
        </is>
      </c>
      <c r="E4655" t="n">
        <v>1100010073</v>
      </c>
      <c r="F4655" t="inlineStr">
        <is>
          <t>CC 04.2026</t>
        </is>
      </c>
      <c r="G4655" t="inlineStr">
        <is>
          <t>AB</t>
        </is>
      </c>
      <c r="H4655" s="12" t="n">
        <v>3384.47</v>
      </c>
      <c r="I4655" s="17" t="n">
        <v>46127</v>
      </c>
      <c r="J4655" s="17" t="n">
        <v>46127</v>
      </c>
      <c r="K4655" t="inlineStr">
        <is>
          <t>Partida individual RENATO BRUNO LIMA DE FARIAS CC</t>
        </is>
      </c>
    </row>
    <row r="4656">
      <c r="A4656" t="inlineStr">
        <is>
          <t>EM000131</t>
        </is>
      </c>
      <c r="B4656" t="inlineStr">
        <is>
          <t>RICARDO COSTA DA SILVA</t>
        </is>
      </c>
      <c r="C4656" t="n">
        <v>1117730000</v>
      </c>
      <c r="D4656" t="inlineStr">
        <is>
          <t>Nordex Employees</t>
        </is>
      </c>
      <c r="E4656" t="n">
        <v>1100010073</v>
      </c>
      <c r="F4656" t="inlineStr">
        <is>
          <t>CC 04.2026</t>
        </is>
      </c>
      <c r="G4656" t="inlineStr">
        <is>
          <t>AB</t>
        </is>
      </c>
      <c r="H4656" s="12" t="n">
        <v>20194.01</v>
      </c>
      <c r="I4656" s="17" t="n">
        <v>46127</v>
      </c>
      <c r="J4656" s="17" t="n">
        <v>46127</v>
      </c>
      <c r="K4656" t="inlineStr">
        <is>
          <t>Partida individual RICARDO COSTA DA SILVA CC 04.20</t>
        </is>
      </c>
    </row>
    <row r="4657">
      <c r="A4657" t="inlineStr">
        <is>
          <t>EM000281</t>
        </is>
      </c>
      <c r="B4657" t="inlineStr">
        <is>
          <t>VANESSA REGINA DE CAMARGO</t>
        </is>
      </c>
      <c r="C4657" t="n">
        <v>1117730000</v>
      </c>
      <c r="D4657" t="inlineStr">
        <is>
          <t>Nordex Employees</t>
        </is>
      </c>
      <c r="E4657" t="n">
        <v>1100010073</v>
      </c>
      <c r="F4657" t="inlineStr">
        <is>
          <t>CC 04.2026</t>
        </is>
      </c>
      <c r="G4657" t="inlineStr">
        <is>
          <t>AB</t>
        </is>
      </c>
      <c r="H4657" s="12" t="n">
        <v>483.11</v>
      </c>
      <c r="I4657" s="17" t="n">
        <v>46127</v>
      </c>
      <c r="J4657" s="17" t="n">
        <v>46127</v>
      </c>
      <c r="K4657" t="inlineStr">
        <is>
          <t>Partida individual VANESSA REGINA DE CAMARGO CC 04</t>
        </is>
      </c>
    </row>
    <row r="4658">
      <c r="A4658" t="inlineStr">
        <is>
          <t>EM000394</t>
        </is>
      </c>
      <c r="B4658" t="inlineStr">
        <is>
          <t>WAGNER DELLA FLORA GROSS</t>
        </is>
      </c>
      <c r="C4658" t="n">
        <v>1117730000</v>
      </c>
      <c r="D4658" t="inlineStr">
        <is>
          <t>Nordex Employees</t>
        </is>
      </c>
      <c r="E4658" t="n">
        <v>1100010073</v>
      </c>
      <c r="F4658" t="inlineStr">
        <is>
          <t>CC 04.2026</t>
        </is>
      </c>
      <c r="G4658" t="inlineStr">
        <is>
          <t>AB</t>
        </is>
      </c>
      <c r="H4658" s="12" t="n">
        <v>1853.82</v>
      </c>
      <c r="I4658" s="17" t="n">
        <v>46127</v>
      </c>
      <c r="J4658" s="17" t="n">
        <v>46127</v>
      </c>
      <c r="K4658" t="inlineStr">
        <is>
          <t>Pendente Financeiro</t>
        </is>
      </c>
    </row>
    <row r="4659">
      <c r="A4659" t="inlineStr">
        <is>
          <t>EM000238</t>
        </is>
      </c>
      <c r="B4659" t="inlineStr">
        <is>
          <t>FEDERICO BIANCHI</t>
        </is>
      </c>
      <c r="C4659" t="n">
        <v>1117730000</v>
      </c>
      <c r="D4659" t="inlineStr">
        <is>
          <t>Nordex Employees</t>
        </is>
      </c>
      <c r="E4659" t="n">
        <v>1100010184</v>
      </c>
      <c r="F4659" t="inlineStr">
        <is>
          <t>CC 02.2026</t>
        </is>
      </c>
      <c r="G4659" t="inlineStr">
        <is>
          <t>AB</t>
        </is>
      </c>
      <c r="H4659" s="12" t="n">
        <v>151.59</v>
      </c>
      <c r="I4659" s="17" t="n">
        <v>46139</v>
      </c>
      <c r="J4659" s="17" t="n">
        <v>46078</v>
      </c>
      <c r="K4659" t="inlineStr">
        <is>
          <t>Clearing document FEDERICO BIANCHI CC 02.2026</t>
        </is>
      </c>
    </row>
    <row r="4660">
      <c r="A4660" t="inlineStr">
        <is>
          <t>102960</t>
        </is>
      </c>
      <c r="B4660" t="inlineStr">
        <is>
          <t>Wanderley Junior</t>
        </is>
      </c>
      <c r="C4660" t="n">
        <v>1117730000</v>
      </c>
      <c r="D4660" t="inlineStr">
        <is>
          <t>Nordex Employees</t>
        </is>
      </c>
      <c r="E4660" t="n">
        <v>1100011254</v>
      </c>
      <c r="F4660" t="inlineStr">
        <is>
          <t>27989</t>
        </is>
      </c>
      <c r="G4660" t="inlineStr">
        <is>
          <t>AB</t>
        </is>
      </c>
      <c r="H4660" s="12" t="n">
        <v>910</v>
      </c>
      <c r="I4660" s="17" t="n">
        <v>45649</v>
      </c>
      <c r="J4660" s="17" t="n">
        <v>45649</v>
      </c>
      <c r="K4660" t="inlineStr">
        <is>
          <t>Documento fornecedor Wanderley Junior 27989</t>
        </is>
      </c>
    </row>
    <row r="4661">
      <c r="A4661" t="inlineStr">
        <is>
          <t>EM000451</t>
        </is>
      </c>
      <c r="B4661" t="inlineStr">
        <is>
          <t>ALEX DA SILVA CONCEIÇÃO</t>
        </is>
      </c>
      <c r="C4661" t="n">
        <v>1117730000</v>
      </c>
      <c r="D4661" t="inlineStr">
        <is>
          <t>Nordex Employees</t>
        </is>
      </c>
      <c r="E4661" t="n">
        <v>1100012590</v>
      </c>
      <c r="F4661" t="inlineStr">
        <is>
          <t>CC 05.2026</t>
        </is>
      </c>
      <c r="G4661" t="inlineStr">
        <is>
          <t>AB</t>
        </is>
      </c>
      <c r="H4661" s="12" t="n">
        <v>2418.09</v>
      </c>
      <c r="I4661" s="17" t="n">
        <v>46162</v>
      </c>
      <c r="J4661" s="17" t="n">
        <v>46162</v>
      </c>
      <c r="K4661" t="inlineStr">
        <is>
          <t>Partida individual ALEX DA SILVA CONCEIÇÃO CC 05.2</t>
        </is>
      </c>
    </row>
    <row r="4662">
      <c r="A4662" t="inlineStr">
        <is>
          <t>EM000167</t>
        </is>
      </c>
      <c r="B4662" t="inlineStr">
        <is>
          <t>ANDERSON DE LIMA AFFONSO</t>
        </is>
      </c>
      <c r="C4662" t="n">
        <v>1117730000</v>
      </c>
      <c r="D4662" t="inlineStr">
        <is>
          <t>Nordex Employees</t>
        </is>
      </c>
      <c r="E4662" t="n">
        <v>1100012590</v>
      </c>
      <c r="F4662" t="inlineStr">
        <is>
          <t>CC 05.2026</t>
        </is>
      </c>
      <c r="G4662" t="inlineStr">
        <is>
          <t>AB</t>
        </is>
      </c>
      <c r="H4662" s="12" t="n">
        <v>770.84</v>
      </c>
      <c r="I4662" s="17" t="n">
        <v>46162</v>
      </c>
      <c r="J4662" s="17" t="n">
        <v>46162</v>
      </c>
      <c r="K4662" t="inlineStr">
        <is>
          <t>Partida individual ANDERSON DE LIMA AFFONSO CC 05.</t>
        </is>
      </c>
    </row>
    <row r="4663">
      <c r="A4663" t="inlineStr">
        <is>
          <t>EM000083</t>
        </is>
      </c>
      <c r="B4663" t="inlineStr">
        <is>
          <t>ANDERSON DE SOUZA MOTA</t>
        </is>
      </c>
      <c r="C4663" t="n">
        <v>1117730000</v>
      </c>
      <c r="D4663" t="inlineStr">
        <is>
          <t>Nordex Employees</t>
        </is>
      </c>
      <c r="E4663" t="n">
        <v>1100012590</v>
      </c>
      <c r="F4663" t="inlineStr">
        <is>
          <t>CC 05.2026</t>
        </is>
      </c>
      <c r="G4663" t="inlineStr">
        <is>
          <t>AB</t>
        </is>
      </c>
      <c r="H4663" s="12" t="n">
        <v>451.59</v>
      </c>
      <c r="I4663" s="17" t="n">
        <v>46162</v>
      </c>
      <c r="J4663" s="17" t="n">
        <v>46162</v>
      </c>
      <c r="K4663" t="inlineStr">
        <is>
          <t>Partida individual ANDERSON DE SOUZA MOTA CC 05.20</t>
        </is>
      </c>
    </row>
    <row r="4664">
      <c r="A4664" t="inlineStr">
        <is>
          <t>EM000143</t>
        </is>
      </c>
      <c r="B4664" t="inlineStr">
        <is>
          <t>CARLOS ADRIANO SILVA DE OLIVEIRA</t>
        </is>
      </c>
      <c r="C4664" t="n">
        <v>1117730000</v>
      </c>
      <c r="D4664" t="inlineStr">
        <is>
          <t>Nordex Employees</t>
        </is>
      </c>
      <c r="E4664" t="n">
        <v>1100012590</v>
      </c>
      <c r="F4664" t="inlineStr">
        <is>
          <t>CC 05.2026</t>
        </is>
      </c>
      <c r="G4664" t="inlineStr">
        <is>
          <t>AB</t>
        </is>
      </c>
      <c r="H4664" s="12" t="n">
        <v>1925.52</v>
      </c>
      <c r="I4664" s="17" t="n">
        <v>46162</v>
      </c>
      <c r="J4664" s="17" t="n">
        <v>46162</v>
      </c>
      <c r="K4664" t="inlineStr">
        <is>
          <t>Partida individual CARLOS ADRIANO SILVA DE OLIVEIR</t>
        </is>
      </c>
    </row>
    <row r="4665">
      <c r="A4665" t="inlineStr">
        <is>
          <t>EM000109</t>
        </is>
      </c>
      <c r="B4665" t="inlineStr">
        <is>
          <t>DANILO MOREIRA DOS SANTOS</t>
        </is>
      </c>
      <c r="C4665" t="n">
        <v>1117730000</v>
      </c>
      <c r="D4665" t="inlineStr">
        <is>
          <t>Nordex Employees</t>
        </is>
      </c>
      <c r="E4665" t="n">
        <v>1100012590</v>
      </c>
      <c r="F4665" t="inlineStr">
        <is>
          <t>CC 05.2026</t>
        </is>
      </c>
      <c r="G4665" t="inlineStr">
        <is>
          <t>AB</t>
        </is>
      </c>
      <c r="H4665" s="12" t="n">
        <v>253.3</v>
      </c>
      <c r="I4665" s="17" t="n">
        <v>46162</v>
      </c>
      <c r="J4665" s="17" t="n">
        <v>46162</v>
      </c>
      <c r="K4665" t="inlineStr">
        <is>
          <t>Partida individual DANILO MOREIRA DOS SANTOS CC 05</t>
        </is>
      </c>
    </row>
    <row r="4666">
      <c r="A4666" t="inlineStr">
        <is>
          <t>EM000202</t>
        </is>
      </c>
      <c r="B4666" t="inlineStr">
        <is>
          <t>DIEGO DE SOUSA ALMEIDA</t>
        </is>
      </c>
      <c r="C4666" t="n">
        <v>1117730000</v>
      </c>
      <c r="D4666" t="inlineStr">
        <is>
          <t>Nordex Employees</t>
        </is>
      </c>
      <c r="E4666" t="n">
        <v>1100012590</v>
      </c>
      <c r="F4666" t="inlineStr">
        <is>
          <t>CC 05.2026</t>
        </is>
      </c>
      <c r="G4666" t="inlineStr">
        <is>
          <t>AB</t>
        </is>
      </c>
      <c r="H4666" s="12" t="n">
        <v>1626.12</v>
      </c>
      <c r="I4666" s="17" t="n">
        <v>46162</v>
      </c>
      <c r="J4666" s="17" t="n">
        <v>46162</v>
      </c>
      <c r="K4666" t="inlineStr">
        <is>
          <t>Partida individual DIEGO DE SOUSA ALMEIDA CC 05.20</t>
        </is>
      </c>
    </row>
    <row r="4667">
      <c r="A4667" t="inlineStr">
        <is>
          <t>EM000141</t>
        </is>
      </c>
      <c r="B4667" t="inlineStr">
        <is>
          <t>EDGLEISON TAMBORIL FIRMIANO</t>
        </is>
      </c>
      <c r="C4667" t="n">
        <v>1117730000</v>
      </c>
      <c r="D4667" t="inlineStr">
        <is>
          <t>Nordex Employees</t>
        </is>
      </c>
      <c r="E4667" t="n">
        <v>1100012590</v>
      </c>
      <c r="F4667" t="inlineStr">
        <is>
          <t>CC 05.2026</t>
        </is>
      </c>
      <c r="G4667" t="inlineStr">
        <is>
          <t>AB</t>
        </is>
      </c>
      <c r="H4667" s="12" t="n">
        <v>2922.43</v>
      </c>
      <c r="I4667" s="17" t="n">
        <v>46162</v>
      </c>
      <c r="J4667" s="17" t="n">
        <v>46162</v>
      </c>
      <c r="K4667" t="inlineStr">
        <is>
          <t>Partida individual EDGLEISON TAMBORIL FIRMIANO CC</t>
        </is>
      </c>
    </row>
    <row r="4668">
      <c r="A4668" t="inlineStr">
        <is>
          <t>EM000159</t>
        </is>
      </c>
      <c r="B4668" t="inlineStr">
        <is>
          <t>FABIO COFFANI DOS SANTOS DE SIQUEIRA</t>
        </is>
      </c>
      <c r="C4668" t="n">
        <v>1117730000</v>
      </c>
      <c r="D4668" t="inlineStr">
        <is>
          <t>Nordex Employees</t>
        </is>
      </c>
      <c r="E4668" t="n">
        <v>1100012590</v>
      </c>
      <c r="F4668" t="inlineStr">
        <is>
          <t>CC 05.2026</t>
        </is>
      </c>
      <c r="G4668" t="inlineStr">
        <is>
          <t>AB</t>
        </is>
      </c>
      <c r="H4668" s="12" t="n">
        <v>480.98</v>
      </c>
      <c r="I4668" s="17" t="n">
        <v>46162</v>
      </c>
      <c r="J4668" s="17" t="n">
        <v>46162</v>
      </c>
      <c r="K4668" t="inlineStr">
        <is>
          <t>Partida individual FABIO COFFANI DOS SANTOS DE SIQ</t>
        </is>
      </c>
    </row>
    <row r="4669">
      <c r="A4669" t="inlineStr">
        <is>
          <t>EM000041</t>
        </is>
      </c>
      <c r="B4669" t="inlineStr">
        <is>
          <t>FLAVIO BELLOLI</t>
        </is>
      </c>
      <c r="C4669" t="n">
        <v>1117730000</v>
      </c>
      <c r="D4669" t="inlineStr">
        <is>
          <t>Nordex Employees</t>
        </is>
      </c>
      <c r="E4669" t="n">
        <v>1100012590</v>
      </c>
      <c r="F4669" t="inlineStr">
        <is>
          <t>CC 05.2026</t>
        </is>
      </c>
      <c r="G4669" t="inlineStr">
        <is>
          <t>AB</t>
        </is>
      </c>
      <c r="H4669" s="12" t="n">
        <v>630.14</v>
      </c>
      <c r="I4669" s="17" t="n">
        <v>46162</v>
      </c>
      <c r="J4669" s="17" t="n">
        <v>46162</v>
      </c>
      <c r="K4669" t="inlineStr">
        <is>
          <t>Partida individual FLAVIO BELLOLI CC 05.2026</t>
        </is>
      </c>
    </row>
    <row r="4670">
      <c r="A4670" t="inlineStr">
        <is>
          <t>EM000238</t>
        </is>
      </c>
      <c r="B4670" t="inlineStr">
        <is>
          <t>FEDERICO BIANCHI</t>
        </is>
      </c>
      <c r="C4670" t="n">
        <v>1117730000</v>
      </c>
      <c r="D4670" t="inlineStr">
        <is>
          <t>Nordex Employees</t>
        </is>
      </c>
      <c r="E4670" t="n">
        <v>1100012590</v>
      </c>
      <c r="F4670" t="inlineStr">
        <is>
          <t>CC 05.2026</t>
        </is>
      </c>
      <c r="G4670" t="inlineStr">
        <is>
          <t>AB</t>
        </is>
      </c>
      <c r="H4670" s="12" t="n">
        <v>3056.07</v>
      </c>
      <c r="I4670" s="17" t="n">
        <v>46162</v>
      </c>
      <c r="J4670" s="17" t="n">
        <v>46162</v>
      </c>
      <c r="K4670" t="inlineStr">
        <is>
          <t>Partida individual FEDERICO BIANCHI CC 05.2026</t>
        </is>
      </c>
    </row>
    <row r="4671">
      <c r="A4671" t="inlineStr">
        <is>
          <t>EM000127</t>
        </is>
      </c>
      <c r="B4671" t="inlineStr">
        <is>
          <t>GUSTAVO FERNANDES LIMA</t>
        </is>
      </c>
      <c r="C4671" t="n">
        <v>1117730000</v>
      </c>
      <c r="D4671" t="inlineStr">
        <is>
          <t>Nordex Employees</t>
        </is>
      </c>
      <c r="E4671" t="n">
        <v>1100012590</v>
      </c>
      <c r="F4671" t="inlineStr">
        <is>
          <t>CC 05.2026</t>
        </is>
      </c>
      <c r="G4671" t="inlineStr">
        <is>
          <t>AB</t>
        </is>
      </c>
      <c r="H4671" s="12" t="n">
        <v>2751.81</v>
      </c>
      <c r="I4671" s="17" t="n">
        <v>46162</v>
      </c>
      <c r="J4671" s="17" t="n">
        <v>46162</v>
      </c>
      <c r="K4671" t="inlineStr">
        <is>
          <t>Partida individual GUSTAVO FERNANDES LIMA CC 05.20</t>
        </is>
      </c>
    </row>
    <row r="4672">
      <c r="A4672" t="inlineStr">
        <is>
          <t>EM000986</t>
        </is>
      </c>
      <c r="B4672" t="inlineStr">
        <is>
          <t>JESSE IVO PRATES FERNANDES</t>
        </is>
      </c>
      <c r="C4672" t="n">
        <v>1117730000</v>
      </c>
      <c r="D4672" t="inlineStr">
        <is>
          <t>Nordex Employees</t>
        </is>
      </c>
      <c r="E4672" t="n">
        <v>1100012590</v>
      </c>
      <c r="F4672" t="inlineStr">
        <is>
          <t>CC 05.2026</t>
        </is>
      </c>
      <c r="G4672" t="inlineStr">
        <is>
          <t>AB</t>
        </is>
      </c>
      <c r="H4672" s="12" t="n">
        <v>804.45</v>
      </c>
      <c r="I4672" s="17" t="n">
        <v>46162</v>
      </c>
      <c r="J4672" s="17" t="n">
        <v>46162</v>
      </c>
      <c r="K4672" t="inlineStr">
        <is>
          <t>Partida individual JESSE IVO PRATES FERNANDES CC 0</t>
        </is>
      </c>
    </row>
    <row r="4673">
      <c r="A4673" t="inlineStr">
        <is>
          <t>EM000861</t>
        </is>
      </c>
      <c r="B4673" t="inlineStr">
        <is>
          <t>JOSE ELIMAR PALHARES JUNIOR</t>
        </is>
      </c>
      <c r="C4673" t="n">
        <v>1117730000</v>
      </c>
      <c r="D4673" t="inlineStr">
        <is>
          <t>Nordex Employees</t>
        </is>
      </c>
      <c r="E4673" t="n">
        <v>1100012590</v>
      </c>
      <c r="F4673" t="inlineStr">
        <is>
          <t>CC 05.2026</t>
        </is>
      </c>
      <c r="G4673" t="inlineStr">
        <is>
          <t>AB</t>
        </is>
      </c>
      <c r="H4673" s="12" t="n">
        <v>2759.33</v>
      </c>
      <c r="I4673" s="17" t="n">
        <v>46162</v>
      </c>
      <c r="J4673" s="17" t="n">
        <v>46162</v>
      </c>
      <c r="K4673" t="inlineStr">
        <is>
          <t>Partida individual JOSE ELIMAR PALHARES JUNIOR CC</t>
        </is>
      </c>
    </row>
    <row r="4674">
      <c r="A4674" t="inlineStr">
        <is>
          <t>EM000323</t>
        </is>
      </c>
      <c r="B4674" t="inlineStr">
        <is>
          <t>JOSE LEONARDO RIBEIRO DUARTE</t>
        </is>
      </c>
      <c r="C4674" t="n">
        <v>1117730000</v>
      </c>
      <c r="D4674" t="inlineStr">
        <is>
          <t>Nordex Employees</t>
        </is>
      </c>
      <c r="E4674" t="n">
        <v>1100012590</v>
      </c>
      <c r="F4674" t="inlineStr">
        <is>
          <t>CC 05.2026</t>
        </is>
      </c>
      <c r="G4674" t="inlineStr">
        <is>
          <t>AB</t>
        </is>
      </c>
      <c r="H4674" s="12" t="n">
        <v>6065.8</v>
      </c>
      <c r="I4674" s="17" t="n">
        <v>46162</v>
      </c>
      <c r="J4674" s="17" t="n">
        <v>46162</v>
      </c>
      <c r="K4674" t="inlineStr">
        <is>
          <t>Partida individual JOSE LEONARDO RIBEIRO DUARTE CC</t>
        </is>
      </c>
    </row>
    <row r="4675">
      <c r="A4675" t="inlineStr">
        <is>
          <t>EM000101</t>
        </is>
      </c>
      <c r="B4675" t="inlineStr">
        <is>
          <t>LAZARO DE OLIVEIRA SOUSA</t>
        </is>
      </c>
      <c r="C4675" t="n">
        <v>1117730000</v>
      </c>
      <c r="D4675" t="inlineStr">
        <is>
          <t>Nordex Employees</t>
        </is>
      </c>
      <c r="E4675" t="n">
        <v>1100012590</v>
      </c>
      <c r="F4675" t="inlineStr">
        <is>
          <t>CC 05.2026</t>
        </is>
      </c>
      <c r="G4675" t="inlineStr">
        <is>
          <t>AB</t>
        </is>
      </c>
      <c r="H4675" s="12" t="n">
        <v>1279.3</v>
      </c>
      <c r="I4675" s="17" t="n">
        <v>46162</v>
      </c>
      <c r="J4675" s="17" t="n">
        <v>46162</v>
      </c>
      <c r="K4675" t="inlineStr">
        <is>
          <t>Partida individual LAZARO DE OLIVEIRA SOUSA CC 05.</t>
        </is>
      </c>
    </row>
    <row r="4676">
      <c r="A4676" t="inlineStr">
        <is>
          <t>EM000210</t>
        </is>
      </c>
      <c r="B4676" t="inlineStr">
        <is>
          <t>LUCAS HENRIQUE SOARES</t>
        </is>
      </c>
      <c r="C4676" t="n">
        <v>1117730000</v>
      </c>
      <c r="D4676" t="inlineStr">
        <is>
          <t>Nordex Employees</t>
        </is>
      </c>
      <c r="E4676" t="n">
        <v>1100012590</v>
      </c>
      <c r="F4676" t="inlineStr">
        <is>
          <t>CC 05.2026</t>
        </is>
      </c>
      <c r="G4676" t="inlineStr">
        <is>
          <t>AB</t>
        </is>
      </c>
      <c r="H4676" s="12" t="n">
        <v>6630.59</v>
      </c>
      <c r="I4676" s="17" t="n">
        <v>46162</v>
      </c>
      <c r="J4676" s="17" t="n">
        <v>46162</v>
      </c>
      <c r="K4676" t="inlineStr">
        <is>
          <t>Partida individual LUCAS HENRIQUE SOARES CC 05.202</t>
        </is>
      </c>
    </row>
    <row r="4677">
      <c r="A4677" t="inlineStr">
        <is>
          <t>EM000005</t>
        </is>
      </c>
      <c r="B4677" t="inlineStr">
        <is>
          <t>LUIZ SAVIO DE CAMPOS SIQUEIRA</t>
        </is>
      </c>
      <c r="C4677" t="n">
        <v>1117730000</v>
      </c>
      <c r="D4677" t="inlineStr">
        <is>
          <t>Nordex Employees</t>
        </is>
      </c>
      <c r="E4677" t="n">
        <v>1100012590</v>
      </c>
      <c r="F4677" t="inlineStr">
        <is>
          <t>CC 05.2026</t>
        </is>
      </c>
      <c r="G4677" t="inlineStr">
        <is>
          <t>AB</t>
        </is>
      </c>
      <c r="H4677" s="12" t="n">
        <v>2340.33</v>
      </c>
      <c r="I4677" s="17" t="n">
        <v>46162</v>
      </c>
      <c r="J4677" s="17" t="n">
        <v>46162</v>
      </c>
      <c r="K4677" t="inlineStr">
        <is>
          <t>Partida individual LUIZ SAVIO DE CAMPOS SIQUEIRA C</t>
        </is>
      </c>
    </row>
    <row r="4678">
      <c r="A4678" t="inlineStr">
        <is>
          <t>EM000027</t>
        </is>
      </c>
      <c r="B4678" t="inlineStr">
        <is>
          <t>RAFAEL AUGUSTO DA SILVA GOULARTE</t>
        </is>
      </c>
      <c r="C4678" t="n">
        <v>1117730000</v>
      </c>
      <c r="D4678" t="inlineStr">
        <is>
          <t>Nordex Employees</t>
        </is>
      </c>
      <c r="E4678" t="n">
        <v>1100012590</v>
      </c>
      <c r="F4678" t="inlineStr">
        <is>
          <t>CC 05.2026</t>
        </is>
      </c>
      <c r="G4678" t="inlineStr">
        <is>
          <t>AB</t>
        </is>
      </c>
      <c r="H4678" s="12" t="n">
        <v>3771.78</v>
      </c>
      <c r="I4678" s="17" t="n">
        <v>46162</v>
      </c>
      <c r="J4678" s="17" t="n">
        <v>46162</v>
      </c>
      <c r="K4678" t="inlineStr">
        <is>
          <t>Partida individual RAFAEL AUGUSTO DA SILVA GOULART</t>
        </is>
      </c>
    </row>
    <row r="4679">
      <c r="A4679" t="inlineStr">
        <is>
          <t>EM000023</t>
        </is>
      </c>
      <c r="B4679" t="inlineStr">
        <is>
          <t>RAFAEL MACHADO SALLES</t>
        </is>
      </c>
      <c r="C4679" t="n">
        <v>1117730000</v>
      </c>
      <c r="D4679" t="inlineStr">
        <is>
          <t>Nordex Employees</t>
        </is>
      </c>
      <c r="E4679" t="n">
        <v>1100012590</v>
      </c>
      <c r="F4679" t="inlineStr">
        <is>
          <t>CC 05.2026</t>
        </is>
      </c>
      <c r="G4679" t="inlineStr">
        <is>
          <t>AB</t>
        </is>
      </c>
      <c r="H4679" s="12" t="n">
        <v>1509.19</v>
      </c>
      <c r="I4679" s="17" t="n">
        <v>46162</v>
      </c>
      <c r="J4679" s="17" t="n">
        <v>46162</v>
      </c>
      <c r="K4679" t="inlineStr">
        <is>
          <t>Partida individual RAFAEL MACHADO SALLES CC 05.202</t>
        </is>
      </c>
    </row>
    <row r="4680">
      <c r="A4680" t="inlineStr">
        <is>
          <t>EM000029</t>
        </is>
      </c>
      <c r="B4680" t="inlineStr">
        <is>
          <t>RENATO BRUNO LIMA DE FARIAS</t>
        </is>
      </c>
      <c r="C4680" t="n">
        <v>1117730000</v>
      </c>
      <c r="D4680" t="inlineStr">
        <is>
          <t>Nordex Employees</t>
        </is>
      </c>
      <c r="E4680" t="n">
        <v>1100012590</v>
      </c>
      <c r="F4680" t="inlineStr">
        <is>
          <t>CC 05.2026</t>
        </is>
      </c>
      <c r="G4680" t="inlineStr">
        <is>
          <t>AB</t>
        </is>
      </c>
      <c r="H4680" s="12" t="n">
        <v>2111.76</v>
      </c>
      <c r="I4680" s="17" t="n">
        <v>46162</v>
      </c>
      <c r="J4680" s="17" t="n">
        <v>46162</v>
      </c>
      <c r="K4680" t="inlineStr">
        <is>
          <t>Partida individual RENATO BRUNO LIMA DE FARIAS CC</t>
        </is>
      </c>
    </row>
    <row r="4681">
      <c r="A4681" t="inlineStr">
        <is>
          <t>EM000131</t>
        </is>
      </c>
      <c r="B4681" t="inlineStr">
        <is>
          <t>RICARDO COSTA DA SILVA</t>
        </is>
      </c>
      <c r="C4681" t="n">
        <v>1117730000</v>
      </c>
      <c r="D4681" t="inlineStr">
        <is>
          <t>Nordex Employees</t>
        </is>
      </c>
      <c r="E4681" t="n">
        <v>1100012590</v>
      </c>
      <c r="F4681" t="inlineStr">
        <is>
          <t>CC 05.2026</t>
        </is>
      </c>
      <c r="G4681" t="inlineStr">
        <is>
          <t>AB</t>
        </is>
      </c>
      <c r="H4681" s="12" t="n">
        <v>15276.89</v>
      </c>
      <c r="I4681" s="17" t="n">
        <v>46162</v>
      </c>
      <c r="J4681" s="17" t="n">
        <v>46162</v>
      </c>
      <c r="K4681" t="inlineStr">
        <is>
          <t>Partida individual RICARDO COSTA DA SILVA CC 05.20</t>
        </is>
      </c>
    </row>
    <row r="4682">
      <c r="A4682" t="inlineStr">
        <is>
          <t>EM000125</t>
        </is>
      </c>
      <c r="B4682" t="inlineStr">
        <is>
          <t>RODRIGO RAFAEL LIMA DE FARIAS</t>
        </is>
      </c>
      <c r="C4682" t="n">
        <v>1117730000</v>
      </c>
      <c r="D4682" t="inlineStr">
        <is>
          <t>Nordex Employees</t>
        </is>
      </c>
      <c r="E4682" t="n">
        <v>1100012590</v>
      </c>
      <c r="F4682" t="inlineStr">
        <is>
          <t>CC 05.2026</t>
        </is>
      </c>
      <c r="G4682" t="inlineStr">
        <is>
          <t>AB</t>
        </is>
      </c>
      <c r="H4682" s="12" t="n">
        <v>895.63</v>
      </c>
      <c r="I4682" s="17" t="n">
        <v>46162</v>
      </c>
      <c r="J4682" s="17" t="n">
        <v>46162</v>
      </c>
      <c r="K4682" t="inlineStr">
        <is>
          <t>Partida individual RODRIGO RAFAEL LIMA DE FARIAS C</t>
        </is>
      </c>
    </row>
    <row r="4683">
      <c r="A4683" t="inlineStr">
        <is>
          <t>EM000080</t>
        </is>
      </c>
      <c r="B4683" t="inlineStr">
        <is>
          <t>SAIRON DOS SANTOS BASTOS</t>
        </is>
      </c>
      <c r="C4683" t="n">
        <v>1117730000</v>
      </c>
      <c r="D4683" t="inlineStr">
        <is>
          <t>Nordex Employees</t>
        </is>
      </c>
      <c r="E4683" t="n">
        <v>1100012590</v>
      </c>
      <c r="F4683" t="inlineStr">
        <is>
          <t>CC 05.2026</t>
        </is>
      </c>
      <c r="G4683" t="inlineStr">
        <is>
          <t>AB</t>
        </is>
      </c>
      <c r="H4683" s="12" t="n">
        <v>227</v>
      </c>
      <c r="I4683" s="17" t="n">
        <v>46162</v>
      </c>
      <c r="J4683" s="17" t="n">
        <v>46162</v>
      </c>
      <c r="K4683" t="inlineStr">
        <is>
          <t>Partida individual SAIRON DOS SANTOS BASTOS CC 05.</t>
        </is>
      </c>
    </row>
    <row r="4684">
      <c r="A4684" t="inlineStr">
        <is>
          <t>EM000281</t>
        </is>
      </c>
      <c r="B4684" t="inlineStr">
        <is>
          <t>VANESSA REGINA DE CAMARGO</t>
        </is>
      </c>
      <c r="C4684" t="n">
        <v>1117730000</v>
      </c>
      <c r="D4684" t="inlineStr">
        <is>
          <t>Nordex Employees</t>
        </is>
      </c>
      <c r="E4684" t="n">
        <v>1100012590</v>
      </c>
      <c r="F4684" t="inlineStr">
        <is>
          <t>CC 05.2026</t>
        </is>
      </c>
      <c r="G4684" t="inlineStr">
        <is>
          <t>AB</t>
        </is>
      </c>
      <c r="H4684" s="12" t="n">
        <v>5162.26</v>
      </c>
      <c r="I4684" s="17" t="n">
        <v>46162</v>
      </c>
      <c r="J4684" s="17" t="n">
        <v>46162</v>
      </c>
      <c r="K4684" t="inlineStr">
        <is>
          <t>Partida individual VANESSA REGINA DE CAMARGO CC 05</t>
        </is>
      </c>
    </row>
    <row r="4685">
      <c r="A4685" t="inlineStr">
        <is>
          <t>EM000394</t>
        </is>
      </c>
      <c r="B4685" t="inlineStr">
        <is>
          <t>WAGNER DELLA FLORA GROSS</t>
        </is>
      </c>
      <c r="C4685" t="n">
        <v>1117730000</v>
      </c>
      <c r="D4685" t="inlineStr">
        <is>
          <t>Nordex Employees</t>
        </is>
      </c>
      <c r="E4685" t="n">
        <v>1100012590</v>
      </c>
      <c r="F4685" t="inlineStr">
        <is>
          <t>CC 05.2026</t>
        </is>
      </c>
      <c r="G4685" t="inlineStr">
        <is>
          <t>AB</t>
        </is>
      </c>
      <c r="H4685" s="12" t="n">
        <v>791.03</v>
      </c>
      <c r="I4685" s="17" t="n">
        <v>46162</v>
      </c>
      <c r="J4685" s="17" t="n">
        <v>46162</v>
      </c>
      <c r="K4685" t="inlineStr">
        <is>
          <t>Pendente Financeiro</t>
        </is>
      </c>
    </row>
    <row r="4686">
      <c r="A4686" t="inlineStr">
        <is>
          <t>EM000093</t>
        </is>
      </c>
      <c r="B4686" t="inlineStr">
        <is>
          <t>CARLOS ALVES DE AZEVEDO</t>
        </is>
      </c>
      <c r="C4686" t="n">
        <v>1117730000</v>
      </c>
      <c r="D4686" t="inlineStr">
        <is>
          <t>Nordex Employees</t>
        </is>
      </c>
      <c r="E4686" t="n">
        <v>1100012645</v>
      </c>
      <c r="F4686" t="inlineStr">
        <is>
          <t>CC 05.2026</t>
        </is>
      </c>
      <c r="G4686" t="inlineStr">
        <is>
          <t>AB</t>
        </is>
      </c>
      <c r="H4686" s="12" t="n">
        <v>4664.4</v>
      </c>
      <c r="I4686" s="17" t="n">
        <v>46156</v>
      </c>
      <c r="J4686" s="17" t="n">
        <v>46162</v>
      </c>
      <c r="K4686" t="inlineStr">
        <is>
          <t>Clearing document CARLOS ALVES DE AZEVEDO CC 05.20</t>
        </is>
      </c>
    </row>
    <row r="4687">
      <c r="A4687" t="inlineStr">
        <is>
          <t>EM000451</t>
        </is>
      </c>
      <c r="B4687" t="inlineStr">
        <is>
          <t>ALEX DA SILVA CONCEIÇÃO</t>
        </is>
      </c>
      <c r="C4687" t="n">
        <v>1117730000</v>
      </c>
      <c r="D4687" t="inlineStr">
        <is>
          <t>Nordex Employees</t>
        </is>
      </c>
      <c r="E4687" t="n">
        <v>1100012704</v>
      </c>
      <c r="F4687" t="inlineStr">
        <is>
          <t>CC 04.2026</t>
        </is>
      </c>
      <c r="G4687" t="inlineStr">
        <is>
          <t>AB</t>
        </is>
      </c>
      <c r="H4687" s="12" t="n">
        <v>3334.75</v>
      </c>
      <c r="I4687" s="17" t="n">
        <v>46146</v>
      </c>
      <c r="J4687" s="17" t="n">
        <v>46127</v>
      </c>
      <c r="K4687" t="inlineStr">
        <is>
          <t>Partida individual ALEX DA SILVA CONCEIÇÃO CC 04.2</t>
        </is>
      </c>
    </row>
    <row r="4688">
      <c r="A4688" t="inlineStr">
        <is>
          <t>EM000054</t>
        </is>
      </c>
      <c r="B4688" t="inlineStr">
        <is>
          <t>FERNANDO SCHNEIDER FERNANDES</t>
        </is>
      </c>
      <c r="C4688" t="n">
        <v>1117730000</v>
      </c>
      <c r="D4688" t="inlineStr">
        <is>
          <t>Nordex Employees</t>
        </is>
      </c>
      <c r="E4688" t="n">
        <v>1100013827</v>
      </c>
      <c r="F4688" t="inlineStr">
        <is>
          <t>50990</t>
        </is>
      </c>
      <c r="G4688" t="inlineStr">
        <is>
          <t>AB</t>
        </is>
      </c>
      <c r="H4688" s="12" t="n">
        <v>1205.78</v>
      </c>
      <c r="I4688" s="17" t="n">
        <v>46184</v>
      </c>
      <c r="J4688" s="17" t="n">
        <v>46162</v>
      </c>
      <c r="K4688" t="inlineStr">
        <is>
          <t>Clearing document FERNANDO SCHNEIDER FERNANDES 509</t>
        </is>
      </c>
    </row>
    <row r="4689">
      <c r="A4689" t="inlineStr">
        <is>
          <t>EM000083</t>
        </is>
      </c>
      <c r="B4689" t="inlineStr">
        <is>
          <t>ANDERSON DE SOUZA MOTA</t>
        </is>
      </c>
      <c r="C4689" t="n">
        <v>1117730000</v>
      </c>
      <c r="D4689" t="inlineStr">
        <is>
          <t>Nordex Employees</t>
        </is>
      </c>
      <c r="E4689" t="n">
        <v>1100014737</v>
      </c>
      <c r="F4689" t="inlineStr">
        <is>
          <t>CC 06.2026</t>
        </is>
      </c>
      <c r="G4689" t="inlineStr">
        <is>
          <t>AB</t>
        </is>
      </c>
      <c r="H4689" s="12" t="n">
        <v>511.43</v>
      </c>
      <c r="I4689" s="17" t="n">
        <v>46199</v>
      </c>
      <c r="J4689" s="17" t="n">
        <v>46199</v>
      </c>
      <c r="K4689" t="inlineStr">
        <is>
          <t>Partida individual ANDERSON DE SOUZA MOTA CC 06.20</t>
        </is>
      </c>
    </row>
    <row r="4690">
      <c r="A4690" t="inlineStr">
        <is>
          <t>EM000297</t>
        </is>
      </c>
      <c r="B4690" t="inlineStr">
        <is>
          <t>ARIEL VANZETTO DUARTE</t>
        </is>
      </c>
      <c r="C4690" t="n">
        <v>1117730000</v>
      </c>
      <c r="D4690" t="inlineStr">
        <is>
          <t>Nordex Employees</t>
        </is>
      </c>
      <c r="E4690" t="n">
        <v>1100014737</v>
      </c>
      <c r="F4690" t="inlineStr">
        <is>
          <t>CC 06.2026</t>
        </is>
      </c>
      <c r="G4690" t="inlineStr">
        <is>
          <t>AB</t>
        </is>
      </c>
      <c r="H4690" s="12" t="n">
        <v>1403.95</v>
      </c>
      <c r="I4690" s="17" t="n">
        <v>46199</v>
      </c>
      <c r="J4690" s="17" t="n">
        <v>46199</v>
      </c>
      <c r="K4690" t="inlineStr">
        <is>
          <t>Partida individual ARIEL VANZETTO DUARTE CC 06.202</t>
        </is>
      </c>
    </row>
    <row r="4691">
      <c r="A4691" t="inlineStr">
        <is>
          <t>EM000048</t>
        </is>
      </c>
      <c r="B4691" t="inlineStr">
        <is>
          <t>ARLINDO ASTYZEM REGO</t>
        </is>
      </c>
      <c r="C4691" t="n">
        <v>1117730000</v>
      </c>
      <c r="D4691" t="inlineStr">
        <is>
          <t>Nordex Employees</t>
        </is>
      </c>
      <c r="E4691" t="n">
        <v>1100014737</v>
      </c>
      <c r="F4691" t="inlineStr">
        <is>
          <t>CC 06.2026</t>
        </is>
      </c>
      <c r="G4691" t="inlineStr">
        <is>
          <t>AB</t>
        </is>
      </c>
      <c r="H4691" s="12" t="n">
        <v>1389.98</v>
      </c>
      <c r="I4691" s="17" t="n">
        <v>46199</v>
      </c>
      <c r="J4691" s="17" t="n">
        <v>46199</v>
      </c>
      <c r="K4691" t="inlineStr">
        <is>
          <t>Partida individual ARLINDO ASTYZEM REGO CC 06.2026</t>
        </is>
      </c>
    </row>
    <row r="4692">
      <c r="A4692" t="inlineStr">
        <is>
          <t>EM000093</t>
        </is>
      </c>
      <c r="B4692" t="inlineStr">
        <is>
          <t>CARLOS ALVES DE AZEVEDO</t>
        </is>
      </c>
      <c r="C4692" t="n">
        <v>1117730000</v>
      </c>
      <c r="D4692" t="inlineStr">
        <is>
          <t>Nordex Employees</t>
        </is>
      </c>
      <c r="E4692" t="n">
        <v>1100014737</v>
      </c>
      <c r="F4692" t="inlineStr">
        <is>
          <t>CC 06.2026</t>
        </is>
      </c>
      <c r="G4692" t="inlineStr">
        <is>
          <t>AB</t>
        </is>
      </c>
      <c r="H4692" s="12" t="n">
        <v>5230.7</v>
      </c>
      <c r="I4692" s="17" t="n">
        <v>46199</v>
      </c>
      <c r="J4692" s="17" t="n">
        <v>46199</v>
      </c>
      <c r="K4692" t="inlineStr">
        <is>
          <t>Partida individual CARLOS ALVES DE AZEVEDO CC 06.2</t>
        </is>
      </c>
    </row>
    <row r="4693">
      <c r="A4693" t="inlineStr">
        <is>
          <t>EM000143</t>
        </is>
      </c>
      <c r="B4693" t="inlineStr">
        <is>
          <t>CARLOS ADRIANO SILVA DE OLIVEIRA</t>
        </is>
      </c>
      <c r="C4693" t="n">
        <v>1117730000</v>
      </c>
      <c r="D4693" t="inlineStr">
        <is>
          <t>Nordex Employees</t>
        </is>
      </c>
      <c r="E4693" t="n">
        <v>1100014737</v>
      </c>
      <c r="F4693" t="inlineStr">
        <is>
          <t>CC 06.2026</t>
        </is>
      </c>
      <c r="G4693" t="inlineStr">
        <is>
          <t>AB</t>
        </is>
      </c>
      <c r="H4693" s="12" t="n">
        <v>882.34</v>
      </c>
      <c r="I4693" s="17" t="n">
        <v>46199</v>
      </c>
      <c r="J4693" s="17" t="n">
        <v>46199</v>
      </c>
      <c r="K4693" t="inlineStr">
        <is>
          <t>Partida individual CARLOS ADRIANO SILVA DE OLIVEIR</t>
        </is>
      </c>
    </row>
    <row r="4694">
      <c r="A4694" t="inlineStr">
        <is>
          <t>EM000109</t>
        </is>
      </c>
      <c r="B4694" t="inlineStr">
        <is>
          <t>DANILO MOREIRA DOS SANTOS</t>
        </is>
      </c>
      <c r="C4694" t="n">
        <v>1117730000</v>
      </c>
      <c r="D4694" t="inlineStr">
        <is>
          <t>Nordex Employees</t>
        </is>
      </c>
      <c r="E4694" t="n">
        <v>1100014737</v>
      </c>
      <c r="F4694" t="inlineStr">
        <is>
          <t>CC 06.2026</t>
        </is>
      </c>
      <c r="G4694" t="inlineStr">
        <is>
          <t>AB</t>
        </is>
      </c>
      <c r="H4694" s="12" t="n">
        <v>951.23</v>
      </c>
      <c r="I4694" s="17" t="n">
        <v>46199</v>
      </c>
      <c r="J4694" s="17" t="n">
        <v>46199</v>
      </c>
      <c r="K4694" t="inlineStr">
        <is>
          <t>Partida individual DANILO MOREIRA DOS SANTOS CC 06</t>
        </is>
      </c>
    </row>
    <row r="4695">
      <c r="A4695" t="inlineStr">
        <is>
          <t>EM000202</t>
        </is>
      </c>
      <c r="B4695" t="inlineStr">
        <is>
          <t>DIEGO DE SOUSA ALMEIDA</t>
        </is>
      </c>
      <c r="C4695" t="n">
        <v>1117730000</v>
      </c>
      <c r="D4695" t="inlineStr">
        <is>
          <t>Nordex Employees</t>
        </is>
      </c>
      <c r="E4695" t="n">
        <v>1100014737</v>
      </c>
      <c r="F4695" t="inlineStr">
        <is>
          <t>CC 06.2026</t>
        </is>
      </c>
      <c r="G4695" t="inlineStr">
        <is>
          <t>AB</t>
        </is>
      </c>
      <c r="H4695" s="12" t="n">
        <v>1116.73</v>
      </c>
      <c r="I4695" s="17" t="n">
        <v>46199</v>
      </c>
      <c r="J4695" s="17" t="n">
        <v>46199</v>
      </c>
      <c r="K4695" t="inlineStr">
        <is>
          <t>Partida individual DIEGO DE SOUSA ALMEIDA CC 06.20</t>
        </is>
      </c>
    </row>
    <row r="4696">
      <c r="A4696" t="inlineStr">
        <is>
          <t>EM000141</t>
        </is>
      </c>
      <c r="B4696" t="inlineStr">
        <is>
          <t>EDGLEISON TAMBORIL FIRMIANO</t>
        </is>
      </c>
      <c r="C4696" t="n">
        <v>1117730000</v>
      </c>
      <c r="D4696" t="inlineStr">
        <is>
          <t>Nordex Employees</t>
        </is>
      </c>
      <c r="E4696" t="n">
        <v>1100014737</v>
      </c>
      <c r="F4696" t="inlineStr">
        <is>
          <t>CC 06.2026</t>
        </is>
      </c>
      <c r="G4696" t="inlineStr">
        <is>
          <t>AB</t>
        </is>
      </c>
      <c r="H4696" s="12" t="n">
        <v>4073.71</v>
      </c>
      <c r="I4696" s="17" t="n">
        <v>46199</v>
      </c>
      <c r="J4696" s="17" t="n">
        <v>46199</v>
      </c>
      <c r="K4696" t="inlineStr">
        <is>
          <t>Partida individual EDGLEISON TAMBORIL FIRMIANO CC</t>
        </is>
      </c>
    </row>
    <row r="4697">
      <c r="A4697" t="inlineStr">
        <is>
          <t>EM000041</t>
        </is>
      </c>
      <c r="B4697" t="inlineStr">
        <is>
          <t>FLAVIO BELLOLI</t>
        </is>
      </c>
      <c r="C4697" t="n">
        <v>1117730000</v>
      </c>
      <c r="D4697" t="inlineStr">
        <is>
          <t>Nordex Employees</t>
        </is>
      </c>
      <c r="E4697" t="n">
        <v>1100014737</v>
      </c>
      <c r="F4697" t="inlineStr">
        <is>
          <t>CC 06.2026</t>
        </is>
      </c>
      <c r="G4697" t="inlineStr">
        <is>
          <t>AB</t>
        </is>
      </c>
      <c r="H4697" s="12" t="n">
        <v>1178.5</v>
      </c>
      <c r="I4697" s="17" t="n">
        <v>46199</v>
      </c>
      <c r="J4697" s="17" t="n">
        <v>46199</v>
      </c>
      <c r="K4697" t="inlineStr">
        <is>
          <t>Partida individual FLAVIO BELLOLI CC 06.2026</t>
        </is>
      </c>
    </row>
    <row r="4698">
      <c r="A4698" t="inlineStr">
        <is>
          <t>EM000127</t>
        </is>
      </c>
      <c r="B4698" t="inlineStr">
        <is>
          <t>GUSTAVO FERNANDES LIMA</t>
        </is>
      </c>
      <c r="C4698" t="n">
        <v>1117730000</v>
      </c>
      <c r="D4698" t="inlineStr">
        <is>
          <t>Nordex Employees</t>
        </is>
      </c>
      <c r="E4698" t="n">
        <v>1100014737</v>
      </c>
      <c r="F4698" t="inlineStr">
        <is>
          <t>CC 06.2026</t>
        </is>
      </c>
      <c r="G4698" t="inlineStr">
        <is>
          <t>AB</t>
        </is>
      </c>
      <c r="H4698" s="12" t="n">
        <v>2475.16</v>
      </c>
      <c r="I4698" s="17" t="n">
        <v>46199</v>
      </c>
      <c r="J4698" s="17" t="n">
        <v>46199</v>
      </c>
      <c r="K4698" t="inlineStr">
        <is>
          <t>Partida individual GUSTAVO FERNANDES LIMA CC 06.20</t>
        </is>
      </c>
    </row>
    <row r="4699">
      <c r="A4699" t="inlineStr">
        <is>
          <t>EM000861</t>
        </is>
      </c>
      <c r="B4699" t="inlineStr">
        <is>
          <t>JOSE ELIMAR PALHARES JUNIOR</t>
        </is>
      </c>
      <c r="C4699" t="n">
        <v>1117730000</v>
      </c>
      <c r="D4699" t="inlineStr">
        <is>
          <t>Nordex Employees</t>
        </is>
      </c>
      <c r="E4699" t="n">
        <v>1100014737</v>
      </c>
      <c r="F4699" t="inlineStr">
        <is>
          <t>CC 06.2026</t>
        </is>
      </c>
      <c r="G4699" t="inlineStr">
        <is>
          <t>AB</t>
        </is>
      </c>
      <c r="H4699" s="12" t="n">
        <v>2976.52</v>
      </c>
      <c r="I4699" s="17" t="n">
        <v>46199</v>
      </c>
      <c r="J4699" s="17" t="n">
        <v>46199</v>
      </c>
      <c r="K4699" t="inlineStr">
        <is>
          <t>Partida individual JOSE ELIMAR PALHARES JUNIOR CC</t>
        </is>
      </c>
    </row>
    <row r="4700">
      <c r="A4700" t="inlineStr">
        <is>
          <t>EM000323</t>
        </is>
      </c>
      <c r="B4700" t="inlineStr">
        <is>
          <t>JOSE LEONARDO RIBEIRO DUARTE</t>
        </is>
      </c>
      <c r="C4700" t="n">
        <v>1117730000</v>
      </c>
      <c r="D4700" t="inlineStr">
        <is>
          <t>Nordex Employees</t>
        </is>
      </c>
      <c r="E4700" t="n">
        <v>1100014737</v>
      </c>
      <c r="F4700" t="inlineStr">
        <is>
          <t>CC 06.2026</t>
        </is>
      </c>
      <c r="G4700" t="inlineStr">
        <is>
          <t>AB</t>
        </is>
      </c>
      <c r="H4700" s="12" t="n">
        <v>6762.6</v>
      </c>
      <c r="I4700" s="17" t="n">
        <v>46199</v>
      </c>
      <c r="J4700" s="17" t="n">
        <v>46199</v>
      </c>
      <c r="K4700" t="inlineStr">
        <is>
          <t>Partida individual JOSE LEONARDO RIBEIRO DUARTE CC</t>
        </is>
      </c>
    </row>
    <row r="4701">
      <c r="A4701" t="inlineStr">
        <is>
          <t>EM000005</t>
        </is>
      </c>
      <c r="B4701" t="inlineStr">
        <is>
          <t>LUIZ SAVIO DE CAMPOS SIQUEIRA</t>
        </is>
      </c>
      <c r="C4701" t="n">
        <v>1117730000</v>
      </c>
      <c r="D4701" t="inlineStr">
        <is>
          <t>Nordex Employees</t>
        </is>
      </c>
      <c r="E4701" t="n">
        <v>1100014737</v>
      </c>
      <c r="F4701" t="inlineStr">
        <is>
          <t>CC 06.2026</t>
        </is>
      </c>
      <c r="G4701" t="inlineStr">
        <is>
          <t>AB</t>
        </is>
      </c>
      <c r="H4701" s="12" t="n">
        <v>2119.67</v>
      </c>
      <c r="I4701" s="17" t="n">
        <v>46199</v>
      </c>
      <c r="J4701" s="17" t="n">
        <v>46199</v>
      </c>
      <c r="K4701" t="inlineStr">
        <is>
          <t>Partida individual LUIZ SAVIO DE CAMPOS SIQUEIRA C</t>
        </is>
      </c>
    </row>
    <row r="4702">
      <c r="A4702" t="inlineStr">
        <is>
          <t>EM000027</t>
        </is>
      </c>
      <c r="B4702" t="inlineStr">
        <is>
          <t>RAFAEL AUGUSTO DA SILVA GOULARTE</t>
        </is>
      </c>
      <c r="C4702" t="n">
        <v>1117730000</v>
      </c>
      <c r="D4702" t="inlineStr">
        <is>
          <t>Nordex Employees</t>
        </is>
      </c>
      <c r="E4702" t="n">
        <v>1100014737</v>
      </c>
      <c r="F4702" t="inlineStr">
        <is>
          <t>CC 06.2026</t>
        </is>
      </c>
      <c r="G4702" t="inlineStr">
        <is>
          <t>AB</t>
        </is>
      </c>
      <c r="H4702" s="12" t="n">
        <v>3504.91</v>
      </c>
      <c r="I4702" s="17" t="n">
        <v>46199</v>
      </c>
      <c r="J4702" s="17" t="n">
        <v>46199</v>
      </c>
      <c r="K4702" t="inlineStr">
        <is>
          <t>Partida individual RAFAEL AUGUSTO DA SILVA GOULART</t>
        </is>
      </c>
    </row>
    <row r="4703">
      <c r="A4703" t="inlineStr">
        <is>
          <t>EM000029</t>
        </is>
      </c>
      <c r="B4703" t="inlineStr">
        <is>
          <t>RENATO BRUNO LIMA DE FARIAS</t>
        </is>
      </c>
      <c r="C4703" t="n">
        <v>1117730000</v>
      </c>
      <c r="D4703" t="inlineStr">
        <is>
          <t>Nordex Employees</t>
        </is>
      </c>
      <c r="E4703" t="n">
        <v>1100014737</v>
      </c>
      <c r="F4703" t="inlineStr">
        <is>
          <t>CC 06.2026</t>
        </is>
      </c>
      <c r="G4703" t="inlineStr">
        <is>
          <t>AB</t>
        </is>
      </c>
      <c r="H4703" s="12" t="n">
        <v>1881.03</v>
      </c>
      <c r="I4703" s="17" t="n">
        <v>46199</v>
      </c>
      <c r="J4703" s="17" t="n">
        <v>46199</v>
      </c>
      <c r="K4703" t="inlineStr">
        <is>
          <t>Partida individual RENATO BRUNO LIMA DE FARIAS CC</t>
        </is>
      </c>
    </row>
    <row r="4704">
      <c r="A4704" t="inlineStr">
        <is>
          <t>EM000125</t>
        </is>
      </c>
      <c r="B4704" t="inlineStr">
        <is>
          <t>RODRIGO RAFAEL LIMA DE FARIAS</t>
        </is>
      </c>
      <c r="C4704" t="n">
        <v>1117730000</v>
      </c>
      <c r="D4704" t="inlineStr">
        <is>
          <t>Nordex Employees</t>
        </is>
      </c>
      <c r="E4704" t="n">
        <v>1100014737</v>
      </c>
      <c r="F4704" t="inlineStr">
        <is>
          <t>CC 06.2026</t>
        </is>
      </c>
      <c r="G4704" t="inlineStr">
        <is>
          <t>AB</t>
        </is>
      </c>
      <c r="H4704" s="12" t="n">
        <v>1275.1</v>
      </c>
      <c r="I4704" s="17" t="n">
        <v>46199</v>
      </c>
      <c r="J4704" s="17" t="n">
        <v>46199</v>
      </c>
      <c r="K4704" t="inlineStr">
        <is>
          <t>Partida individual RODRIGO RAFAEL LIMA DE FARIAS C</t>
        </is>
      </c>
    </row>
    <row r="4705">
      <c r="A4705" t="inlineStr">
        <is>
          <t>EM000296</t>
        </is>
      </c>
      <c r="B4705" t="inlineStr">
        <is>
          <t>ROBERTISON JOSE DE BRITO</t>
        </is>
      </c>
      <c r="C4705" t="n">
        <v>1117730000</v>
      </c>
      <c r="D4705" t="inlineStr">
        <is>
          <t>Nordex Employees</t>
        </is>
      </c>
      <c r="E4705" t="n">
        <v>1100014737</v>
      </c>
      <c r="F4705" t="inlineStr">
        <is>
          <t>CC 06.2026</t>
        </is>
      </c>
      <c r="G4705" t="inlineStr">
        <is>
          <t>AB</t>
        </is>
      </c>
      <c r="H4705" s="12" t="n">
        <v>5060.24</v>
      </c>
      <c r="I4705" s="17" t="n">
        <v>46199</v>
      </c>
      <c r="J4705" s="17" t="n">
        <v>46199</v>
      </c>
      <c r="K4705" t="inlineStr">
        <is>
          <t>Partida individual ROBERTISON JOSE DE BRITO CC 06.</t>
        </is>
      </c>
    </row>
    <row r="4706">
      <c r="A4706" t="inlineStr">
        <is>
          <t>EM000080</t>
        </is>
      </c>
      <c r="B4706" t="inlineStr">
        <is>
          <t>SAIRON DOS SANTOS BASTOS</t>
        </is>
      </c>
      <c r="C4706" t="n">
        <v>1117730000</v>
      </c>
      <c r="D4706" t="inlineStr">
        <is>
          <t>Nordex Employees</t>
        </is>
      </c>
      <c r="E4706" t="n">
        <v>1100014737</v>
      </c>
      <c r="F4706" t="inlineStr">
        <is>
          <t>CC 06.2026</t>
        </is>
      </c>
      <c r="G4706" t="inlineStr">
        <is>
          <t>AB</t>
        </is>
      </c>
      <c r="H4706" s="12" t="n">
        <v>312</v>
      </c>
      <c r="I4706" s="17" t="n">
        <v>46199</v>
      </c>
      <c r="J4706" s="17" t="n">
        <v>46199</v>
      </c>
      <c r="K4706" t="inlineStr">
        <is>
          <t>Partida individual SAIRON DOS SANTOS BASTOS CC 06.</t>
        </is>
      </c>
    </row>
    <row r="4707">
      <c r="A4707" t="inlineStr">
        <is>
          <t>EM000281</t>
        </is>
      </c>
      <c r="B4707" t="inlineStr">
        <is>
          <t>VANESSA REGINA DE CAMARGO</t>
        </is>
      </c>
      <c r="C4707" t="n">
        <v>1117730000</v>
      </c>
      <c r="D4707" t="inlineStr">
        <is>
          <t>Nordex Employees</t>
        </is>
      </c>
      <c r="E4707" t="n">
        <v>1100014737</v>
      </c>
      <c r="F4707" t="inlineStr">
        <is>
          <t>CC 06.2026</t>
        </is>
      </c>
      <c r="G4707" t="inlineStr">
        <is>
          <t>AB</t>
        </is>
      </c>
      <c r="H4707" s="12" t="n">
        <v>1416.87</v>
      </c>
      <c r="I4707" s="17" t="n">
        <v>46199</v>
      </c>
      <c r="J4707" s="17" t="n">
        <v>46199</v>
      </c>
      <c r="K4707" t="inlineStr">
        <is>
          <t>Partida individual VANESSA REGINA DE CAMARGO CC 06</t>
        </is>
      </c>
    </row>
    <row r="4708">
      <c r="A4708" t="inlineStr">
        <is>
          <t>EM000058</t>
        </is>
      </c>
      <c r="B4708" t="inlineStr">
        <is>
          <t>VITOR DE CASTRO SANTOS</t>
        </is>
      </c>
      <c r="C4708" t="n">
        <v>1117730000</v>
      </c>
      <c r="D4708" t="inlineStr">
        <is>
          <t>Nordex Employees</t>
        </is>
      </c>
      <c r="E4708" t="n">
        <v>1100014737</v>
      </c>
      <c r="F4708" t="inlineStr">
        <is>
          <t>CC 06.2026</t>
        </is>
      </c>
      <c r="G4708" t="inlineStr">
        <is>
          <t>AB</t>
        </is>
      </c>
      <c r="H4708" s="12" t="n">
        <v>3751.43</v>
      </c>
      <c r="I4708" s="17" t="n">
        <v>46199</v>
      </c>
      <c r="J4708" s="17" t="n">
        <v>46199</v>
      </c>
      <c r="K4708" t="inlineStr">
        <is>
          <t>Partida individual VITOR DE CASTRO SANTOS CC 06.20</t>
        </is>
      </c>
    </row>
    <row r="4709">
      <c r="A4709" t="inlineStr">
        <is>
          <t>EM000451</t>
        </is>
      </c>
      <c r="B4709" t="inlineStr">
        <is>
          <t>ALEX DA SILVA CONCEIÇÃO</t>
        </is>
      </c>
      <c r="C4709" t="n">
        <v>1117730000</v>
      </c>
      <c r="D4709" t="inlineStr">
        <is>
          <t>Nordex Employees</t>
        </is>
      </c>
      <c r="E4709" t="n">
        <v>1100019313</v>
      </c>
      <c r="F4709" t="inlineStr">
        <is>
          <t>CC 07.2026</t>
        </is>
      </c>
      <c r="G4709" t="inlineStr">
        <is>
          <t>AB</t>
        </is>
      </c>
      <c r="H4709" s="12" t="n">
        <v>3435.52</v>
      </c>
      <c r="I4709" s="17" t="n">
        <v>46225</v>
      </c>
      <c r="J4709" s="17" t="n">
        <v>46225</v>
      </c>
      <c r="K4709" t="inlineStr">
        <is>
          <t>Partida individual ALEX DA SILVA CONCEIÇÃO CC 07.2</t>
        </is>
      </c>
    </row>
    <row r="4710">
      <c r="A4710" t="inlineStr">
        <is>
          <t>EM000167</t>
        </is>
      </c>
      <c r="B4710" t="inlineStr">
        <is>
          <t>ANDERSON DE LIMA AFFONSO</t>
        </is>
      </c>
      <c r="C4710" t="n">
        <v>1117730000</v>
      </c>
      <c r="D4710" t="inlineStr">
        <is>
          <t>Nordex Employees</t>
        </is>
      </c>
      <c r="E4710" t="n">
        <v>1100019313</v>
      </c>
      <c r="F4710" t="inlineStr">
        <is>
          <t>CC 07.2026</t>
        </is>
      </c>
      <c r="G4710" t="inlineStr">
        <is>
          <t>AB</t>
        </is>
      </c>
      <c r="H4710" s="12" t="n">
        <v>1246.36</v>
      </c>
      <c r="I4710" s="17" t="n">
        <v>46225</v>
      </c>
      <c r="J4710" s="17" t="n">
        <v>46225</v>
      </c>
      <c r="K4710" t="inlineStr">
        <is>
          <t>Partida individual ANDERSON DE LIMA AFFONSO CC 07.</t>
        </is>
      </c>
    </row>
    <row r="4711">
      <c r="A4711" t="inlineStr">
        <is>
          <t>EM000083</t>
        </is>
      </c>
      <c r="B4711" t="inlineStr">
        <is>
          <t>ANDERSON DE SOUZA MOTA</t>
        </is>
      </c>
      <c r="C4711" t="n">
        <v>1117730000</v>
      </c>
      <c r="D4711" t="inlineStr">
        <is>
          <t>Nordex Employees</t>
        </is>
      </c>
      <c r="E4711" t="n">
        <v>1100019313</v>
      </c>
      <c r="F4711" t="inlineStr">
        <is>
          <t>CC 07.2026</t>
        </is>
      </c>
      <c r="G4711" t="inlineStr">
        <is>
          <t>AB</t>
        </is>
      </c>
      <c r="H4711" s="12" t="n">
        <v>1309.71</v>
      </c>
      <c r="I4711" s="17" t="n">
        <v>46225</v>
      </c>
      <c r="J4711" s="17" t="n">
        <v>46225</v>
      </c>
      <c r="K4711" t="inlineStr">
        <is>
          <t>Partida individual ANDERSON DE SOUZA MOTA CC 07.20</t>
        </is>
      </c>
    </row>
    <row r="4712">
      <c r="A4712" t="inlineStr">
        <is>
          <t>EM000093</t>
        </is>
      </c>
      <c r="B4712" t="inlineStr">
        <is>
          <t>CARLOS ALVES DE AZEVEDO</t>
        </is>
      </c>
      <c r="C4712" t="n">
        <v>1117730000</v>
      </c>
      <c r="D4712" t="inlineStr">
        <is>
          <t>Nordex Employees</t>
        </is>
      </c>
      <c r="E4712" t="n">
        <v>1100019313</v>
      </c>
      <c r="F4712" t="inlineStr">
        <is>
          <t>CC 07.2026</t>
        </is>
      </c>
      <c r="G4712" t="inlineStr">
        <is>
          <t>AB</t>
        </is>
      </c>
      <c r="H4712" s="12" t="n">
        <v>1862.67</v>
      </c>
      <c r="I4712" s="17" t="n">
        <v>46225</v>
      </c>
      <c r="J4712" s="17" t="n">
        <v>46225</v>
      </c>
      <c r="K4712" t="inlineStr">
        <is>
          <t>Partida individual CARLOS ALVES DE AZEVEDO CC 07.2</t>
        </is>
      </c>
    </row>
    <row r="4713">
      <c r="A4713" t="inlineStr">
        <is>
          <t>EM000143</t>
        </is>
      </c>
      <c r="B4713" t="inlineStr">
        <is>
          <t>CARLOS ADRIANO SILVA DE OLIVEIRA</t>
        </is>
      </c>
      <c r="C4713" t="n">
        <v>1117730000</v>
      </c>
      <c r="D4713" t="inlineStr">
        <is>
          <t>Nordex Employees</t>
        </is>
      </c>
      <c r="E4713" t="n">
        <v>1100019313</v>
      </c>
      <c r="F4713" t="inlineStr">
        <is>
          <t>CC 07.2026</t>
        </is>
      </c>
      <c r="G4713" t="inlineStr">
        <is>
          <t>AB</t>
        </is>
      </c>
      <c r="H4713" s="12" t="n">
        <v>4748.43</v>
      </c>
      <c r="I4713" s="17" t="n">
        <v>46225</v>
      </c>
      <c r="J4713" s="17" t="n">
        <v>46225</v>
      </c>
      <c r="K4713" t="inlineStr">
        <is>
          <t>Partida individual CARLOS ADRIANO SILVA DE OLIVEIR</t>
        </is>
      </c>
    </row>
    <row r="4714">
      <c r="A4714" t="inlineStr">
        <is>
          <t>EM000202</t>
        </is>
      </c>
      <c r="B4714" t="inlineStr">
        <is>
          <t>DIEGO DE SOUSA ALMEIDA</t>
        </is>
      </c>
      <c r="C4714" t="n">
        <v>1117730000</v>
      </c>
      <c r="D4714" t="inlineStr">
        <is>
          <t>Nordex Employees</t>
        </is>
      </c>
      <c r="E4714" t="n">
        <v>1100019313</v>
      </c>
      <c r="F4714" t="inlineStr">
        <is>
          <t>CC 07.2026</t>
        </is>
      </c>
      <c r="G4714" t="inlineStr">
        <is>
          <t>AB</t>
        </is>
      </c>
      <c r="H4714" s="12" t="n">
        <v>646.75</v>
      </c>
      <c r="I4714" s="17" t="n">
        <v>46225</v>
      </c>
      <c r="J4714" s="17" t="n">
        <v>46225</v>
      </c>
      <c r="K4714" t="inlineStr">
        <is>
          <t>Partida individual DIEGO DE SOUSA ALMEIDA CC 07.20</t>
        </is>
      </c>
    </row>
    <row r="4715">
      <c r="A4715" t="inlineStr">
        <is>
          <t>EM000141</t>
        </is>
      </c>
      <c r="B4715" t="inlineStr">
        <is>
          <t>EDGLEISON TAMBORIL FIRMIANO</t>
        </is>
      </c>
      <c r="C4715" t="n">
        <v>1117730000</v>
      </c>
      <c r="D4715" t="inlineStr">
        <is>
          <t>Nordex Employees</t>
        </is>
      </c>
      <c r="E4715" t="n">
        <v>1100019313</v>
      </c>
      <c r="F4715" t="inlineStr">
        <is>
          <t>CC 07.2026</t>
        </is>
      </c>
      <c r="G4715" t="inlineStr">
        <is>
          <t>AB</t>
        </is>
      </c>
      <c r="H4715" s="12" t="n">
        <v>5526.82</v>
      </c>
      <c r="I4715" s="17" t="n">
        <v>46225</v>
      </c>
      <c r="J4715" s="17" t="n">
        <v>46225</v>
      </c>
      <c r="K4715" t="inlineStr">
        <is>
          <t>Partida individual EDGLEISON TAMBORIL FIRMIANO CC</t>
        </is>
      </c>
    </row>
    <row r="4716">
      <c r="A4716" t="inlineStr">
        <is>
          <t>EM000159</t>
        </is>
      </c>
      <c r="B4716" t="inlineStr">
        <is>
          <t>FABIO COFFANI DOS SANTOS DE SIQUEIRA</t>
        </is>
      </c>
      <c r="C4716" t="n">
        <v>1117730000</v>
      </c>
      <c r="D4716" t="inlineStr">
        <is>
          <t>Nordex Employees</t>
        </is>
      </c>
      <c r="E4716" t="n">
        <v>1100019313</v>
      </c>
      <c r="F4716" t="inlineStr">
        <is>
          <t>CC 07.2026</t>
        </is>
      </c>
      <c r="G4716" t="inlineStr">
        <is>
          <t>AB</t>
        </is>
      </c>
      <c r="H4716" s="12" t="n">
        <v>581.87</v>
      </c>
      <c r="I4716" s="17" t="n">
        <v>46225</v>
      </c>
      <c r="J4716" s="17" t="n">
        <v>46225</v>
      </c>
      <c r="K4716" t="inlineStr">
        <is>
          <t>Partida individual FABIO COFFANI DOS SANTOS DE SIQ</t>
        </is>
      </c>
    </row>
    <row r="4717">
      <c r="A4717" t="inlineStr">
        <is>
          <t>EM000041</t>
        </is>
      </c>
      <c r="B4717" t="inlineStr">
        <is>
          <t>FLAVIO BELLOLI</t>
        </is>
      </c>
      <c r="C4717" t="n">
        <v>1117730000</v>
      </c>
      <c r="D4717" t="inlineStr">
        <is>
          <t>Nordex Employees</t>
        </is>
      </c>
      <c r="E4717" t="n">
        <v>1100019313</v>
      </c>
      <c r="F4717" t="inlineStr">
        <is>
          <t>CC 07.2026</t>
        </is>
      </c>
      <c r="G4717" t="inlineStr">
        <is>
          <t>AB</t>
        </is>
      </c>
      <c r="H4717" s="12" t="n">
        <v>1119.2</v>
      </c>
      <c r="I4717" s="17" t="n">
        <v>46225</v>
      </c>
      <c r="J4717" s="17" t="n">
        <v>46225</v>
      </c>
      <c r="K4717" t="inlineStr">
        <is>
          <t>Partida individual FLAVIO BELLOLI CC 07.2026</t>
        </is>
      </c>
    </row>
    <row r="4718">
      <c r="A4718" t="inlineStr">
        <is>
          <t>EM000127</t>
        </is>
      </c>
      <c r="B4718" t="inlineStr">
        <is>
          <t>GUSTAVO FERNANDES LIMA</t>
        </is>
      </c>
      <c r="C4718" t="n">
        <v>1117730000</v>
      </c>
      <c r="D4718" t="inlineStr">
        <is>
          <t>Nordex Employees</t>
        </is>
      </c>
      <c r="E4718" t="n">
        <v>1100019313</v>
      </c>
      <c r="F4718" t="inlineStr">
        <is>
          <t>CC 07.2026</t>
        </is>
      </c>
      <c r="G4718" t="inlineStr">
        <is>
          <t>AB</t>
        </is>
      </c>
      <c r="H4718" s="12" t="n">
        <v>1717.89</v>
      </c>
      <c r="I4718" s="17" t="n">
        <v>46225</v>
      </c>
      <c r="J4718" s="17" t="n">
        <v>46225</v>
      </c>
      <c r="K4718" t="inlineStr">
        <is>
          <t>Partida individual GUSTAVO FERNANDES LIMA CC 07.20</t>
        </is>
      </c>
    </row>
    <row r="4719">
      <c r="A4719" t="inlineStr">
        <is>
          <t>EM000521</t>
        </is>
      </c>
      <c r="B4719" t="inlineStr">
        <is>
          <t>JOSE EDINELE MARTINS</t>
        </is>
      </c>
      <c r="C4719" t="n">
        <v>1117730000</v>
      </c>
      <c r="D4719" t="inlineStr">
        <is>
          <t>Nordex Employees</t>
        </is>
      </c>
      <c r="E4719" t="n">
        <v>1100019313</v>
      </c>
      <c r="F4719" t="inlineStr">
        <is>
          <t>CC 07.2026</t>
        </is>
      </c>
      <c r="G4719" t="inlineStr">
        <is>
          <t>AB</t>
        </is>
      </c>
      <c r="H4719" s="12" t="n">
        <v>4181.75</v>
      </c>
      <c r="I4719" s="17" t="n">
        <v>46225</v>
      </c>
      <c r="J4719" s="17" t="n">
        <v>46225</v>
      </c>
      <c r="K4719" t="inlineStr">
        <is>
          <t>Partida individual JOSE EDINELE MARTINS CC 07.2026</t>
        </is>
      </c>
    </row>
    <row r="4720">
      <c r="A4720" t="inlineStr">
        <is>
          <t>EM000861</t>
        </is>
      </c>
      <c r="B4720" t="inlineStr">
        <is>
          <t>JOSE ELIMAR PALHARES JUNIOR</t>
        </is>
      </c>
      <c r="C4720" t="n">
        <v>1117730000</v>
      </c>
      <c r="D4720" t="inlineStr">
        <is>
          <t>Nordex Employees</t>
        </is>
      </c>
      <c r="E4720" t="n">
        <v>1100019313</v>
      </c>
      <c r="F4720" t="inlineStr">
        <is>
          <t>CC 07.2026</t>
        </is>
      </c>
      <c r="G4720" t="inlineStr">
        <is>
          <t>AB</t>
        </is>
      </c>
      <c r="H4720" s="12" t="n">
        <v>2410.24</v>
      </c>
      <c r="I4720" s="17" t="n">
        <v>46225</v>
      </c>
      <c r="J4720" s="17" t="n">
        <v>46225</v>
      </c>
      <c r="K4720" t="inlineStr">
        <is>
          <t>Partida individual JOSE ELIMAR PALHARES JUNIOR CC</t>
        </is>
      </c>
    </row>
    <row r="4721">
      <c r="A4721" t="inlineStr">
        <is>
          <t>EM000323</t>
        </is>
      </c>
      <c r="B4721" t="inlineStr">
        <is>
          <t>JOSE LEONARDO RIBEIRO DUARTE</t>
        </is>
      </c>
      <c r="C4721" t="n">
        <v>1117730000</v>
      </c>
      <c r="D4721" t="inlineStr">
        <is>
          <t>Nordex Employees</t>
        </is>
      </c>
      <c r="E4721" t="n">
        <v>1100019313</v>
      </c>
      <c r="F4721" t="inlineStr">
        <is>
          <t>CC 07.2026</t>
        </is>
      </c>
      <c r="G4721" t="inlineStr">
        <is>
          <t>AB</t>
        </is>
      </c>
      <c r="H4721" s="12" t="n">
        <v>6184.25</v>
      </c>
      <c r="I4721" s="17" t="n">
        <v>46225</v>
      </c>
      <c r="J4721" s="17" t="n">
        <v>46225</v>
      </c>
      <c r="K4721" t="inlineStr">
        <is>
          <t>Partida individual JOSE LEONARDO RIBEIRO DUARTE CC</t>
        </is>
      </c>
    </row>
    <row r="4722">
      <c r="A4722" t="inlineStr">
        <is>
          <t>EM000327</t>
        </is>
      </c>
      <c r="B4722" t="inlineStr">
        <is>
          <t>JOSE MARTINS TEIXEIRA NETO</t>
        </is>
      </c>
      <c r="C4722" t="n">
        <v>1117730000</v>
      </c>
      <c r="D4722" t="inlineStr">
        <is>
          <t>Nordex Employees</t>
        </is>
      </c>
      <c r="E4722" t="n">
        <v>1100019313</v>
      </c>
      <c r="F4722" t="inlineStr">
        <is>
          <t>CC 07.2026</t>
        </is>
      </c>
      <c r="G4722" t="inlineStr">
        <is>
          <t>AB</t>
        </is>
      </c>
      <c r="H4722" s="12" t="n">
        <v>2577.4</v>
      </c>
      <c r="I4722" s="17" t="n">
        <v>46225</v>
      </c>
      <c r="J4722" s="17" t="n">
        <v>46225</v>
      </c>
      <c r="K4722" t="inlineStr">
        <is>
          <t>Partida individual JOSE MARTINS TEIXEIRA NETO CC 0</t>
        </is>
      </c>
    </row>
    <row r="4723">
      <c r="A4723" t="inlineStr">
        <is>
          <t>EM000157</t>
        </is>
      </c>
      <c r="B4723" t="inlineStr">
        <is>
          <t>JULIANO NASCIMIENTO</t>
        </is>
      </c>
      <c r="C4723" t="n">
        <v>1117730000</v>
      </c>
      <c r="D4723" t="inlineStr">
        <is>
          <t>Nordex Employees</t>
        </is>
      </c>
      <c r="E4723" t="n">
        <v>1100019313</v>
      </c>
      <c r="F4723" t="inlineStr">
        <is>
          <t>CC 07.2026</t>
        </is>
      </c>
      <c r="G4723" t="inlineStr">
        <is>
          <t>AB</t>
        </is>
      </c>
      <c r="H4723" s="12" t="n">
        <v>59</v>
      </c>
      <c r="I4723" s="17" t="n">
        <v>46225</v>
      </c>
      <c r="J4723" s="17" t="n">
        <v>46225</v>
      </c>
      <c r="K4723" t="inlineStr">
        <is>
          <t>Partida individual JULIANO NASCIMIENTO CC 07.2026</t>
        </is>
      </c>
    </row>
    <row r="4724">
      <c r="A4724" t="inlineStr">
        <is>
          <t>EM000324</t>
        </is>
      </c>
      <c r="B4724" t="inlineStr">
        <is>
          <t>LUIZ EDUARDO PEREIRA DA SILVA</t>
        </is>
      </c>
      <c r="C4724" t="n">
        <v>1117730000</v>
      </c>
      <c r="D4724" t="inlineStr">
        <is>
          <t>Nordex Employees</t>
        </is>
      </c>
      <c r="E4724" t="n">
        <v>1100019313</v>
      </c>
      <c r="F4724" t="inlineStr">
        <is>
          <t>CC 07.2026</t>
        </is>
      </c>
      <c r="G4724" t="inlineStr">
        <is>
          <t>AB</t>
        </is>
      </c>
      <c r="H4724" s="12" t="n">
        <v>5980.06</v>
      </c>
      <c r="I4724" s="17" t="n">
        <v>46225</v>
      </c>
      <c r="J4724" s="17" t="n">
        <v>46225</v>
      </c>
      <c r="K4724" t="inlineStr">
        <is>
          <t>Partida individual LUIZ EDUARDO PEREIRA DA SILVA C</t>
        </is>
      </c>
    </row>
    <row r="4725">
      <c r="A4725" t="inlineStr">
        <is>
          <t>EM000005</t>
        </is>
      </c>
      <c r="B4725" t="inlineStr">
        <is>
          <t>LUIZ SAVIO DE CAMPOS SIQUEIRA</t>
        </is>
      </c>
      <c r="C4725" t="n">
        <v>1117730000</v>
      </c>
      <c r="D4725" t="inlineStr">
        <is>
          <t>Nordex Employees</t>
        </is>
      </c>
      <c r="E4725" t="n">
        <v>1100019313</v>
      </c>
      <c r="F4725" t="inlineStr">
        <is>
          <t>CC 07.2026</t>
        </is>
      </c>
      <c r="G4725" t="inlineStr">
        <is>
          <t>AB</t>
        </is>
      </c>
      <c r="H4725" s="12" t="n">
        <v>1878.87</v>
      </c>
      <c r="I4725" s="17" t="n">
        <v>46225</v>
      </c>
      <c r="J4725" s="17" t="n">
        <v>46225</v>
      </c>
      <c r="K4725" t="inlineStr">
        <is>
          <t>Partida individual LUIZ SAVIO DE CAMPOS SIQUEIRA C</t>
        </is>
      </c>
    </row>
    <row r="4726">
      <c r="A4726" t="inlineStr">
        <is>
          <t>EM000023</t>
        </is>
      </c>
      <c r="B4726" t="inlineStr">
        <is>
          <t>RAFAEL MACHADO SALLES</t>
        </is>
      </c>
      <c r="C4726" t="n">
        <v>1117730000</v>
      </c>
      <c r="D4726" t="inlineStr">
        <is>
          <t>Nordex Employees</t>
        </is>
      </c>
      <c r="E4726" t="n">
        <v>1100019313</v>
      </c>
      <c r="F4726" t="inlineStr">
        <is>
          <t>CC 07.2026</t>
        </is>
      </c>
      <c r="G4726" t="inlineStr">
        <is>
          <t>AB</t>
        </is>
      </c>
      <c r="H4726" s="12" t="n">
        <v>304.22</v>
      </c>
      <c r="I4726" s="17" t="n">
        <v>46225</v>
      </c>
      <c r="J4726" s="17" t="n">
        <v>46225</v>
      </c>
      <c r="K4726" t="inlineStr">
        <is>
          <t>Partida individual RAFAEL MACHADO SALLES CC 07.202</t>
        </is>
      </c>
    </row>
    <row r="4727">
      <c r="A4727" t="inlineStr">
        <is>
          <t>EM000027</t>
        </is>
      </c>
      <c r="B4727" t="inlineStr">
        <is>
          <t>RAFAEL AUGUSTO DA SILVA GOULARTE</t>
        </is>
      </c>
      <c r="C4727" t="n">
        <v>1117730000</v>
      </c>
      <c r="D4727" t="inlineStr">
        <is>
          <t>Nordex Employees</t>
        </is>
      </c>
      <c r="E4727" t="n">
        <v>1100019313</v>
      </c>
      <c r="F4727" t="inlineStr">
        <is>
          <t>CC 07.2026</t>
        </is>
      </c>
      <c r="G4727" t="inlineStr">
        <is>
          <t>AB</t>
        </is>
      </c>
      <c r="H4727" s="12" t="n">
        <v>5048.93</v>
      </c>
      <c r="I4727" s="17" t="n">
        <v>46225</v>
      </c>
      <c r="J4727" s="17" t="n">
        <v>46225</v>
      </c>
      <c r="K4727" t="inlineStr">
        <is>
          <t>Partida individual RAFAEL AUGUSTO DA SILVA GOULART</t>
        </is>
      </c>
    </row>
    <row r="4728">
      <c r="A4728" t="inlineStr">
        <is>
          <t>EM000029</t>
        </is>
      </c>
      <c r="B4728" t="inlineStr">
        <is>
          <t>RENATO BRUNO LIMA DE FARIAS</t>
        </is>
      </c>
      <c r="C4728" t="n">
        <v>1117730000</v>
      </c>
      <c r="D4728" t="inlineStr">
        <is>
          <t>Nordex Employees</t>
        </is>
      </c>
      <c r="E4728" t="n">
        <v>1100019313</v>
      </c>
      <c r="F4728" t="inlineStr">
        <is>
          <t>CC 07.2026</t>
        </is>
      </c>
      <c r="G4728" t="inlineStr">
        <is>
          <t>AB</t>
        </is>
      </c>
      <c r="H4728" s="12" t="n">
        <v>3377.34</v>
      </c>
      <c r="I4728" s="17" t="n">
        <v>46225</v>
      </c>
      <c r="J4728" s="17" t="n">
        <v>46225</v>
      </c>
      <c r="K4728" t="inlineStr">
        <is>
          <t>Partida individual RENATO BRUNO LIMA DE FARIAS CC</t>
        </is>
      </c>
    </row>
    <row r="4729">
      <c r="A4729" t="inlineStr">
        <is>
          <t>EM000131</t>
        </is>
      </c>
      <c r="B4729" t="inlineStr">
        <is>
          <t>RICARDO COSTA DA SILVA</t>
        </is>
      </c>
      <c r="C4729" t="n">
        <v>1117730000</v>
      </c>
      <c r="D4729" t="inlineStr">
        <is>
          <t>Nordex Employees</t>
        </is>
      </c>
      <c r="E4729" t="n">
        <v>1100019313</v>
      </c>
      <c r="F4729" t="inlineStr">
        <is>
          <t>CC 07.2026</t>
        </is>
      </c>
      <c r="G4729" t="inlineStr">
        <is>
          <t>AB</t>
        </is>
      </c>
      <c r="H4729" s="12" t="n">
        <v>1249.51</v>
      </c>
      <c r="I4729" s="17" t="n">
        <v>46225</v>
      </c>
      <c r="J4729" s="17" t="n">
        <v>46225</v>
      </c>
      <c r="K4729" t="inlineStr">
        <is>
          <t>Partida individual RICARDO COSTA DA SILVA CC 07.20</t>
        </is>
      </c>
    </row>
    <row r="4730">
      <c r="A4730" t="inlineStr">
        <is>
          <t>EM000125</t>
        </is>
      </c>
      <c r="B4730" t="inlineStr">
        <is>
          <t>RODRIGO RAFAEL LIMA DE FARIAS</t>
        </is>
      </c>
      <c r="C4730" t="n">
        <v>1117730000</v>
      </c>
      <c r="D4730" t="inlineStr">
        <is>
          <t>Nordex Employees</t>
        </is>
      </c>
      <c r="E4730" t="n">
        <v>1100019313</v>
      </c>
      <c r="F4730" t="inlineStr">
        <is>
          <t>CC 07.2026</t>
        </is>
      </c>
      <c r="G4730" t="inlineStr">
        <is>
          <t>AB</t>
        </is>
      </c>
      <c r="H4730" s="12" t="n">
        <v>1564.78</v>
      </c>
      <c r="I4730" s="17" t="n">
        <v>46225</v>
      </c>
      <c r="J4730" s="17" t="n">
        <v>46225</v>
      </c>
      <c r="K4730" t="inlineStr">
        <is>
          <t>Partida individual RODRIGO RAFAEL LIMA DE FARIAS C</t>
        </is>
      </c>
    </row>
    <row r="4731">
      <c r="A4731" t="inlineStr">
        <is>
          <t>EM000296</t>
        </is>
      </c>
      <c r="B4731" t="inlineStr">
        <is>
          <t>ROBERTISON JOSE DE BRITO</t>
        </is>
      </c>
      <c r="C4731" t="n">
        <v>1117730000</v>
      </c>
      <c r="D4731" t="inlineStr">
        <is>
          <t>Nordex Employees</t>
        </is>
      </c>
      <c r="E4731" t="n">
        <v>1100019313</v>
      </c>
      <c r="F4731" t="inlineStr">
        <is>
          <t>CC 07.2026</t>
        </is>
      </c>
      <c r="G4731" t="inlineStr">
        <is>
          <t>AB</t>
        </is>
      </c>
      <c r="H4731" s="12" t="n">
        <v>4649.85</v>
      </c>
      <c r="I4731" s="17" t="n">
        <v>46225</v>
      </c>
      <c r="J4731" s="17" t="n">
        <v>46225</v>
      </c>
      <c r="K4731" t="inlineStr">
        <is>
          <t>Partida individual ROBERTISON JOSE DE BRITO CC 07.</t>
        </is>
      </c>
    </row>
    <row r="4732">
      <c r="A4732" t="inlineStr">
        <is>
          <t>EM000281</t>
        </is>
      </c>
      <c r="B4732" t="inlineStr">
        <is>
          <t>VANESSA REGINA DE CAMARGO</t>
        </is>
      </c>
      <c r="C4732" t="n">
        <v>1117730000</v>
      </c>
      <c r="D4732" t="inlineStr">
        <is>
          <t>Nordex Employees</t>
        </is>
      </c>
      <c r="E4732" t="n">
        <v>1100019313</v>
      </c>
      <c r="F4732" t="inlineStr">
        <is>
          <t>CC 07.2026</t>
        </is>
      </c>
      <c r="G4732" t="inlineStr">
        <is>
          <t>AB</t>
        </is>
      </c>
      <c r="H4732" s="12" t="n">
        <v>2553.11</v>
      </c>
      <c r="I4732" s="17" t="n">
        <v>46225</v>
      </c>
      <c r="J4732" s="17" t="n">
        <v>46225</v>
      </c>
      <c r="K4732" t="inlineStr">
        <is>
          <t>Partida individual VANESSA REGINA DE CAMARGO CC 07</t>
        </is>
      </c>
    </row>
    <row r="4733">
      <c r="A4733" t="inlineStr">
        <is>
          <t>EM000326</t>
        </is>
      </c>
      <c r="B4733" t="inlineStr">
        <is>
          <t>VITOR ARAUJO DOS SANTOS</t>
        </is>
      </c>
      <c r="C4733" t="n">
        <v>1117730000</v>
      </c>
      <c r="D4733" t="inlineStr">
        <is>
          <t>Nordex Employees</t>
        </is>
      </c>
      <c r="E4733" t="n">
        <v>1100019313</v>
      </c>
      <c r="F4733" t="inlineStr">
        <is>
          <t>CC 07.2026</t>
        </is>
      </c>
      <c r="G4733" t="inlineStr">
        <is>
          <t>AB</t>
        </is>
      </c>
      <c r="H4733" s="12" t="n">
        <v>4253.65</v>
      </c>
      <c r="I4733" s="17" t="n">
        <v>46225</v>
      </c>
      <c r="J4733" s="17" t="n">
        <v>46225</v>
      </c>
      <c r="K4733" t="inlineStr">
        <is>
          <t>Partida individual VITOR ARAUJO DOS SANTOS CC 07.2</t>
        </is>
      </c>
    </row>
    <row r="4734">
      <c r="A4734" t="inlineStr">
        <is>
          <t>EM000058</t>
        </is>
      </c>
      <c r="B4734" t="inlineStr">
        <is>
          <t>VITOR DE CASTRO SANTOS</t>
        </is>
      </c>
      <c r="C4734" t="n">
        <v>1117730000</v>
      </c>
      <c r="D4734" t="inlineStr">
        <is>
          <t>Nordex Employees</t>
        </is>
      </c>
      <c r="E4734" t="n">
        <v>1100019313</v>
      </c>
      <c r="F4734" t="inlineStr">
        <is>
          <t>CC 07.2026</t>
        </is>
      </c>
      <c r="G4734" t="inlineStr">
        <is>
          <t>AB</t>
        </is>
      </c>
      <c r="H4734" s="12" t="n">
        <v>2605.58</v>
      </c>
      <c r="I4734" s="17" t="n">
        <v>46225</v>
      </c>
      <c r="J4734" s="17" t="n">
        <v>46225</v>
      </c>
      <c r="K4734" t="inlineStr">
        <is>
          <t>Partida individual VITOR DE CASTRO SANTOS CC 07.20</t>
        </is>
      </c>
    </row>
    <row r="4735">
      <c r="A4735" t="inlineStr">
        <is>
          <t>EM000210</t>
        </is>
      </c>
      <c r="B4735" t="inlineStr">
        <is>
          <t>LUCAS HENRIQUE SOARES</t>
        </is>
      </c>
      <c r="C4735" t="n">
        <v>1117730000</v>
      </c>
      <c r="D4735" t="inlineStr">
        <is>
          <t>Nordex Employees</t>
        </is>
      </c>
      <c r="E4735" t="n">
        <v>1100019652</v>
      </c>
      <c r="F4735" t="inlineStr">
        <is>
          <t>CC 07.2026</t>
        </is>
      </c>
      <c r="G4735" t="inlineStr">
        <is>
          <t>AB</t>
        </is>
      </c>
      <c r="H4735" s="12" t="n">
        <v>7862.91</v>
      </c>
      <c r="I4735" s="17" t="n">
        <v>46219</v>
      </c>
      <c r="J4735" s="17" t="n">
        <v>46225</v>
      </c>
      <c r="K4735" t="inlineStr">
        <is>
          <t>Partida individual LUCAS HENRIQUE SOARES CC 07.202</t>
        </is>
      </c>
    </row>
    <row r="4736">
      <c r="A4736" t="inlineStr">
        <is>
          <t>EM000171</t>
        </is>
      </c>
      <c r="B4736" t="inlineStr">
        <is>
          <t>ALESSANDRA RAFFO SCHNEIDER</t>
        </is>
      </c>
      <c r="C4736" t="n">
        <v>1117730000</v>
      </c>
      <c r="D4736" t="inlineStr">
        <is>
          <t>Nordex Employees</t>
        </is>
      </c>
      <c r="E4736" t="n">
        <v>1100021811</v>
      </c>
      <c r="F4736" t="inlineStr">
        <is>
          <t>CC 08.2026</t>
        </is>
      </c>
      <c r="G4736" t="inlineStr">
        <is>
          <t>AB</t>
        </is>
      </c>
      <c r="H4736" s="12" t="n">
        <v>1028.2</v>
      </c>
      <c r="I4736" s="17" t="n">
        <v>46260</v>
      </c>
      <c r="J4736" s="17" t="n">
        <v>46260</v>
      </c>
      <c r="K4736" t="inlineStr">
        <is>
          <t>Partida individual ALESSANDRA RAFFO SCHNEIDER CC 0</t>
        </is>
      </c>
    </row>
    <row r="4737">
      <c r="A4737" t="inlineStr">
        <is>
          <t>EM000167</t>
        </is>
      </c>
      <c r="B4737" t="inlineStr">
        <is>
          <t>ANDERSON DE LIMA AFFONSO</t>
        </is>
      </c>
      <c r="C4737" t="n">
        <v>1117730000</v>
      </c>
      <c r="D4737" t="inlineStr">
        <is>
          <t>Nordex Employees</t>
        </is>
      </c>
      <c r="E4737" t="n">
        <v>1100021811</v>
      </c>
      <c r="F4737" t="inlineStr">
        <is>
          <t>CC 08.2026</t>
        </is>
      </c>
      <c r="G4737" t="inlineStr">
        <is>
          <t>AB</t>
        </is>
      </c>
      <c r="H4737" s="12" t="n">
        <v>105.95</v>
      </c>
      <c r="I4737" s="17" t="n">
        <v>46260</v>
      </c>
      <c r="J4737" s="17" t="n">
        <v>46260</v>
      </c>
      <c r="K4737" t="inlineStr">
        <is>
          <t>Partida individual ANDERSON DE LIMA AFFONSO CC 08.</t>
        </is>
      </c>
    </row>
    <row r="4738">
      <c r="A4738" t="inlineStr">
        <is>
          <t>EM000083</t>
        </is>
      </c>
      <c r="B4738" t="inlineStr">
        <is>
          <t>ANDERSON DE SOUZA MOTA</t>
        </is>
      </c>
      <c r="C4738" t="n">
        <v>1117730000</v>
      </c>
      <c r="D4738" t="inlineStr">
        <is>
          <t>Nordex Employees</t>
        </is>
      </c>
      <c r="E4738" t="n">
        <v>1100021811</v>
      </c>
      <c r="F4738" t="inlineStr">
        <is>
          <t>CC 08.2026</t>
        </is>
      </c>
      <c r="G4738" t="inlineStr">
        <is>
          <t>AB</t>
        </is>
      </c>
      <c r="H4738" s="12" t="n">
        <v>1104.99</v>
      </c>
      <c r="I4738" s="17" t="n">
        <v>46260</v>
      </c>
      <c r="J4738" s="17" t="n">
        <v>46260</v>
      </c>
      <c r="K4738" t="inlineStr">
        <is>
          <t>Partida individual ANDERSON DE SOUZA MOTA CC 08.20</t>
        </is>
      </c>
    </row>
    <row r="4739">
      <c r="A4739" t="inlineStr">
        <is>
          <t>EM000048</t>
        </is>
      </c>
      <c r="B4739" t="inlineStr">
        <is>
          <t>ARLINDO ASTYZEM REGO</t>
        </is>
      </c>
      <c r="C4739" t="n">
        <v>1117730000</v>
      </c>
      <c r="D4739" t="inlineStr">
        <is>
          <t>Nordex Employees</t>
        </is>
      </c>
      <c r="E4739" t="n">
        <v>1100021811</v>
      </c>
      <c r="F4739" t="inlineStr">
        <is>
          <t>CC 08.2026</t>
        </is>
      </c>
      <c r="G4739" t="inlineStr">
        <is>
          <t>AB</t>
        </is>
      </c>
      <c r="H4739" s="12" t="n">
        <v>418.91</v>
      </c>
      <c r="I4739" s="17" t="n">
        <v>46260</v>
      </c>
      <c r="J4739" s="17" t="n">
        <v>46260</v>
      </c>
      <c r="K4739" t="inlineStr">
        <is>
          <t>Partida individual ARLINDO ASTYZEM REGO CC 08.2026</t>
        </is>
      </c>
    </row>
    <row r="4740">
      <c r="A4740" t="inlineStr">
        <is>
          <t>EM000093</t>
        </is>
      </c>
      <c r="B4740" t="inlineStr">
        <is>
          <t>CARLOS ALVES DE AZEVEDO</t>
        </is>
      </c>
      <c r="C4740" t="n">
        <v>1117730000</v>
      </c>
      <c r="D4740" t="inlineStr">
        <is>
          <t>Nordex Employees</t>
        </is>
      </c>
      <c r="E4740" t="n">
        <v>1100021811</v>
      </c>
      <c r="F4740" t="inlineStr">
        <is>
          <t>CC 08.2026</t>
        </is>
      </c>
      <c r="G4740" t="inlineStr">
        <is>
          <t>AB</t>
        </is>
      </c>
      <c r="H4740" s="12" t="n">
        <v>3708.81</v>
      </c>
      <c r="I4740" s="17" t="n">
        <v>46260</v>
      </c>
      <c r="J4740" s="17" t="n">
        <v>46260</v>
      </c>
      <c r="K4740" t="inlineStr">
        <is>
          <t>Partida individual CARLOS ALVES DE AZEVEDO CC 08.2</t>
        </is>
      </c>
    </row>
    <row r="4741">
      <c r="A4741" t="inlineStr">
        <is>
          <t>EM000143</t>
        </is>
      </c>
      <c r="B4741" t="inlineStr">
        <is>
          <t>CARLOS ADRIANO SILVA DE OLIVEIRA</t>
        </is>
      </c>
      <c r="C4741" t="n">
        <v>1117730000</v>
      </c>
      <c r="D4741" t="inlineStr">
        <is>
          <t>Nordex Employees</t>
        </is>
      </c>
      <c r="E4741" t="n">
        <v>1100021811</v>
      </c>
      <c r="F4741" t="inlineStr">
        <is>
          <t>CC 08.2026</t>
        </is>
      </c>
      <c r="G4741" t="inlineStr">
        <is>
          <t>AB</t>
        </is>
      </c>
      <c r="H4741" s="12" t="n">
        <v>4180.59</v>
      </c>
      <c r="I4741" s="17" t="n">
        <v>46260</v>
      </c>
      <c r="J4741" s="17" t="n">
        <v>46260</v>
      </c>
      <c r="K4741" t="inlineStr">
        <is>
          <t>Partida individual CARLOS ADRIANO SILVA DE OLIVEIR</t>
        </is>
      </c>
    </row>
    <row r="4742">
      <c r="A4742" t="inlineStr">
        <is>
          <t>EM000109</t>
        </is>
      </c>
      <c r="B4742" t="inlineStr">
        <is>
          <t>DANILO MOREIRA DOS SANTOS</t>
        </is>
      </c>
      <c r="C4742" t="n">
        <v>1117730000</v>
      </c>
      <c r="D4742" t="inlineStr">
        <is>
          <t>Nordex Employees</t>
        </is>
      </c>
      <c r="E4742" t="n">
        <v>1100021811</v>
      </c>
      <c r="F4742" t="inlineStr">
        <is>
          <t>CC 08.2026</t>
        </is>
      </c>
      <c r="G4742" t="inlineStr">
        <is>
          <t>AB</t>
        </is>
      </c>
      <c r="H4742" s="12" t="n">
        <v>707.84</v>
      </c>
      <c r="I4742" s="17" t="n">
        <v>46260</v>
      </c>
      <c r="J4742" s="17" t="n">
        <v>46260</v>
      </c>
      <c r="K4742" t="inlineStr">
        <is>
          <t>Partida individual DANILO MOREIRA DOS SANTOS CC 08</t>
        </is>
      </c>
    </row>
    <row r="4743">
      <c r="A4743" t="inlineStr">
        <is>
          <t>EM000202</t>
        </is>
      </c>
      <c r="B4743" t="inlineStr">
        <is>
          <t>DIEGO DE SOUSA ALMEIDA</t>
        </is>
      </c>
      <c r="C4743" t="n">
        <v>1117730000</v>
      </c>
      <c r="D4743" t="inlineStr">
        <is>
          <t>Nordex Employees</t>
        </is>
      </c>
      <c r="E4743" t="n">
        <v>1100021811</v>
      </c>
      <c r="F4743" t="inlineStr">
        <is>
          <t>CC 08.2026</t>
        </is>
      </c>
      <c r="G4743" t="inlineStr">
        <is>
          <t>AB</t>
        </is>
      </c>
      <c r="H4743" s="12" t="n">
        <v>646.75</v>
      </c>
      <c r="I4743" s="17" t="n">
        <v>46260</v>
      </c>
      <c r="J4743" s="17" t="n">
        <v>46260</v>
      </c>
      <c r="K4743" t="inlineStr">
        <is>
          <t>Partida individual DIEGO DE SOUSA ALMEIDA CC 08.20</t>
        </is>
      </c>
    </row>
    <row r="4744">
      <c r="A4744" t="inlineStr">
        <is>
          <t>EM000141</t>
        </is>
      </c>
      <c r="B4744" t="inlineStr">
        <is>
          <t>EDGLEISON TAMBORIL FIRMIANO</t>
        </is>
      </c>
      <c r="C4744" t="n">
        <v>1117730000</v>
      </c>
      <c r="D4744" t="inlineStr">
        <is>
          <t>Nordex Employees</t>
        </is>
      </c>
      <c r="E4744" t="n">
        <v>1100021811</v>
      </c>
      <c r="F4744" t="inlineStr">
        <is>
          <t>CC 08.2026</t>
        </is>
      </c>
      <c r="G4744" t="inlineStr">
        <is>
          <t>AB</t>
        </is>
      </c>
      <c r="H4744" s="12" t="n">
        <v>1845.36</v>
      </c>
      <c r="I4744" s="17" t="n">
        <v>46260</v>
      </c>
      <c r="J4744" s="17" t="n">
        <v>46260</v>
      </c>
      <c r="K4744" t="inlineStr">
        <is>
          <t>Partida individual EDGLEISON TAMBORIL FIRMIANO CC</t>
        </is>
      </c>
    </row>
    <row r="4745">
      <c r="A4745" t="inlineStr">
        <is>
          <t>EM000159</t>
        </is>
      </c>
      <c r="B4745" t="inlineStr">
        <is>
          <t>FABIO COFFANI DOS SANTOS DE SIQUEIRA</t>
        </is>
      </c>
      <c r="C4745" t="n">
        <v>1117730000</v>
      </c>
      <c r="D4745" t="inlineStr">
        <is>
          <t>Nordex Employees</t>
        </is>
      </c>
      <c r="E4745" t="n">
        <v>1100021811</v>
      </c>
      <c r="F4745" t="inlineStr">
        <is>
          <t>CC 08.2026</t>
        </is>
      </c>
      <c r="G4745" t="inlineStr">
        <is>
          <t>AB</t>
        </is>
      </c>
      <c r="H4745" s="12" t="n">
        <v>4738.46</v>
      </c>
      <c r="I4745" s="17" t="n">
        <v>46260</v>
      </c>
      <c r="J4745" s="17" t="n">
        <v>46260</v>
      </c>
      <c r="K4745" t="inlineStr">
        <is>
          <t>Partida individual FABIO COFFANI DOS SANTOS DE SIQ</t>
        </is>
      </c>
    </row>
    <row r="4746">
      <c r="A4746" t="inlineStr">
        <is>
          <t>EM000041</t>
        </is>
      </c>
      <c r="B4746" t="inlineStr">
        <is>
          <t>FLAVIO BELLOLI</t>
        </is>
      </c>
      <c r="C4746" t="n">
        <v>1117730000</v>
      </c>
      <c r="D4746" t="inlineStr">
        <is>
          <t>Nordex Employees</t>
        </is>
      </c>
      <c r="E4746" t="n">
        <v>1100021811</v>
      </c>
      <c r="F4746" t="inlineStr">
        <is>
          <t>CC 08.2026</t>
        </is>
      </c>
      <c r="G4746" t="inlineStr">
        <is>
          <t>AB</t>
        </is>
      </c>
      <c r="H4746" s="12" t="n">
        <v>1131.9</v>
      </c>
      <c r="I4746" s="17" t="n">
        <v>46260</v>
      </c>
      <c r="J4746" s="17" t="n">
        <v>46260</v>
      </c>
      <c r="K4746" t="inlineStr">
        <is>
          <t>Partida individual FLAVIO BELLOLI CC 08.2026</t>
        </is>
      </c>
    </row>
    <row r="4747">
      <c r="A4747" t="inlineStr">
        <is>
          <t>EM000127</t>
        </is>
      </c>
      <c r="B4747" t="inlineStr">
        <is>
          <t>GUSTAVO FERNANDES LIMA</t>
        </is>
      </c>
      <c r="C4747" t="n">
        <v>1117730000</v>
      </c>
      <c r="D4747" t="inlineStr">
        <is>
          <t>Nordex Employees</t>
        </is>
      </c>
      <c r="E4747" t="n">
        <v>1100021811</v>
      </c>
      <c r="F4747" t="inlineStr">
        <is>
          <t>CC 08.2026</t>
        </is>
      </c>
      <c r="G4747" t="inlineStr">
        <is>
          <t>AB</t>
        </is>
      </c>
      <c r="H4747" s="12" t="n">
        <v>851.4400000000001</v>
      </c>
      <c r="I4747" s="17" t="n">
        <v>46260</v>
      </c>
      <c r="J4747" s="17" t="n">
        <v>46260</v>
      </c>
      <c r="K4747" t="inlineStr">
        <is>
          <t>Partida individual GUSTAVO FERNANDES LIMA CC 08.20</t>
        </is>
      </c>
    </row>
    <row r="4748">
      <c r="A4748" t="inlineStr">
        <is>
          <t>EM000100</t>
        </is>
      </c>
      <c r="B4748" t="inlineStr">
        <is>
          <t>GUSTAVO ROCHA PACHECO</t>
        </is>
      </c>
      <c r="C4748" t="n">
        <v>1117730000</v>
      </c>
      <c r="D4748" t="inlineStr">
        <is>
          <t>Nordex Employees</t>
        </is>
      </c>
      <c r="E4748" t="n">
        <v>1100021811</v>
      </c>
      <c r="F4748" t="inlineStr">
        <is>
          <t>CC 08.2026</t>
        </is>
      </c>
      <c r="G4748" t="inlineStr">
        <is>
          <t>AB</t>
        </is>
      </c>
      <c r="H4748" s="12" t="n">
        <v>2805.27</v>
      </c>
      <c r="I4748" s="17" t="n">
        <v>46260</v>
      </c>
      <c r="J4748" s="17" t="n">
        <v>46260</v>
      </c>
      <c r="K4748" t="inlineStr">
        <is>
          <t>Partida individual GUSTAVO ROCHA PACHECO CC 08.202</t>
        </is>
      </c>
    </row>
    <row r="4749">
      <c r="A4749" t="inlineStr">
        <is>
          <t>EM000521</t>
        </is>
      </c>
      <c r="B4749" t="inlineStr">
        <is>
          <t>JOSE EDINELE MARTINS</t>
        </is>
      </c>
      <c r="C4749" t="n">
        <v>1117730000</v>
      </c>
      <c r="D4749" t="inlineStr">
        <is>
          <t>Nordex Employees</t>
        </is>
      </c>
      <c r="E4749" t="n">
        <v>1100021811</v>
      </c>
      <c r="F4749" t="inlineStr">
        <is>
          <t>CC 08.2026</t>
        </is>
      </c>
      <c r="G4749" t="inlineStr">
        <is>
          <t>AB</t>
        </is>
      </c>
      <c r="H4749" s="12" t="n">
        <v>3664.53</v>
      </c>
      <c r="I4749" s="17" t="n">
        <v>46260</v>
      </c>
      <c r="J4749" s="17" t="n">
        <v>46260</v>
      </c>
      <c r="K4749" t="inlineStr">
        <is>
          <t>Partida individual JOSE EDINELE MARTINS CC 08.2026</t>
        </is>
      </c>
    </row>
    <row r="4750">
      <c r="A4750" t="inlineStr">
        <is>
          <t>EM000861</t>
        </is>
      </c>
      <c r="B4750" t="inlineStr">
        <is>
          <t>JOSE ELIMAR PALHARES JUNIOR</t>
        </is>
      </c>
      <c r="C4750" t="n">
        <v>1117730000</v>
      </c>
      <c r="D4750" t="inlineStr">
        <is>
          <t>Nordex Employees</t>
        </is>
      </c>
      <c r="E4750" t="n">
        <v>1100021811</v>
      </c>
      <c r="F4750" t="inlineStr">
        <is>
          <t>CC 08.2026</t>
        </is>
      </c>
      <c r="G4750" t="inlineStr">
        <is>
          <t>AB</t>
        </is>
      </c>
      <c r="H4750" s="12" t="n">
        <v>2983.32</v>
      </c>
      <c r="I4750" s="17" t="n">
        <v>46260</v>
      </c>
      <c r="J4750" s="17" t="n">
        <v>46260</v>
      </c>
      <c r="K4750" t="inlineStr">
        <is>
          <t>Partida individual JOSE ELIMAR PALHARES JUNIOR CC</t>
        </is>
      </c>
    </row>
    <row r="4751">
      <c r="A4751" t="inlineStr">
        <is>
          <t>EM000323</t>
        </is>
      </c>
      <c r="B4751" t="inlineStr">
        <is>
          <t>JOSE LEONARDO RIBEIRO DUARTE</t>
        </is>
      </c>
      <c r="C4751" t="n">
        <v>1117730000</v>
      </c>
      <c r="D4751" t="inlineStr">
        <is>
          <t>Nordex Employees</t>
        </is>
      </c>
      <c r="E4751" t="n">
        <v>1100021811</v>
      </c>
      <c r="F4751" t="inlineStr">
        <is>
          <t>CC 08.2026</t>
        </is>
      </c>
      <c r="G4751" t="inlineStr">
        <is>
          <t>AB</t>
        </is>
      </c>
      <c r="H4751" s="12" t="n">
        <v>6208.83</v>
      </c>
      <c r="I4751" s="17" t="n">
        <v>46260</v>
      </c>
      <c r="J4751" s="17" t="n">
        <v>46260</v>
      </c>
      <c r="K4751" t="inlineStr">
        <is>
          <t>Partida individual JOSE LEONARDO RIBEIRO DUARTE CC</t>
        </is>
      </c>
    </row>
    <row r="4752">
      <c r="A4752" t="inlineStr">
        <is>
          <t>EM000327</t>
        </is>
      </c>
      <c r="B4752" t="inlineStr">
        <is>
          <t>JOSE MARTINS TEIXEIRA NETO</t>
        </is>
      </c>
      <c r="C4752" t="n">
        <v>1117730000</v>
      </c>
      <c r="D4752" t="inlineStr">
        <is>
          <t>Nordex Employees</t>
        </is>
      </c>
      <c r="E4752" t="n">
        <v>1100021811</v>
      </c>
      <c r="F4752" t="inlineStr">
        <is>
          <t>CC 08.2026</t>
        </is>
      </c>
      <c r="G4752" t="inlineStr">
        <is>
          <t>AB</t>
        </is>
      </c>
      <c r="H4752" s="12" t="n">
        <v>2152.82</v>
      </c>
      <c r="I4752" s="17" t="n">
        <v>46260</v>
      </c>
      <c r="J4752" s="17" t="n">
        <v>46260</v>
      </c>
      <c r="K4752" t="inlineStr">
        <is>
          <t>Partida individual JOSE MARTINS TEIXEIRA NETO CC 0</t>
        </is>
      </c>
    </row>
    <row r="4753">
      <c r="A4753" t="inlineStr">
        <is>
          <t>EM000157</t>
        </is>
      </c>
      <c r="B4753" t="inlineStr">
        <is>
          <t>JULIANO NASCIMIENTO</t>
        </is>
      </c>
      <c r="C4753" t="n">
        <v>1117730000</v>
      </c>
      <c r="D4753" t="inlineStr">
        <is>
          <t>Nordex Employees</t>
        </is>
      </c>
      <c r="E4753" t="n">
        <v>1100021811</v>
      </c>
      <c r="F4753" t="inlineStr">
        <is>
          <t>CC 08.2026</t>
        </is>
      </c>
      <c r="G4753" t="inlineStr">
        <is>
          <t>AB</t>
        </is>
      </c>
      <c r="H4753" s="12" t="n">
        <v>1100</v>
      </c>
      <c r="I4753" s="17" t="n">
        <v>46260</v>
      </c>
      <c r="J4753" s="17" t="n">
        <v>46260</v>
      </c>
      <c r="K4753" t="inlineStr">
        <is>
          <t>Partida individual JULIANO NASCIMIENTO CC 08.2026</t>
        </is>
      </c>
    </row>
    <row r="4754">
      <c r="A4754" t="inlineStr">
        <is>
          <t>EM000210</t>
        </is>
      </c>
      <c r="B4754" t="inlineStr">
        <is>
          <t>LUCAS HENRIQUE SOARES</t>
        </is>
      </c>
      <c r="C4754" t="n">
        <v>1117730000</v>
      </c>
      <c r="D4754" t="inlineStr">
        <is>
          <t>Nordex Employees</t>
        </is>
      </c>
      <c r="E4754" t="n">
        <v>1100021811</v>
      </c>
      <c r="F4754" t="inlineStr">
        <is>
          <t>CC 08.2026</t>
        </is>
      </c>
      <c r="G4754" t="inlineStr">
        <is>
          <t>AB</t>
        </is>
      </c>
      <c r="H4754" s="12" t="n">
        <v>7724.44</v>
      </c>
      <c r="I4754" s="17" t="n">
        <v>46260</v>
      </c>
      <c r="J4754" s="17" t="n">
        <v>46260</v>
      </c>
      <c r="K4754" t="inlineStr">
        <is>
          <t>Partida individual LUCAS HENRIQUE SOARES CC 08.202</t>
        </is>
      </c>
    </row>
    <row r="4755">
      <c r="A4755" t="inlineStr">
        <is>
          <t>EM000365</t>
        </is>
      </c>
      <c r="B4755" t="inlineStr">
        <is>
          <t>LUCIANA OLIVEIRA COSTA LOREDO</t>
        </is>
      </c>
      <c r="C4755" t="n">
        <v>1117730000</v>
      </c>
      <c r="D4755" t="inlineStr">
        <is>
          <t>Nordex Employees</t>
        </is>
      </c>
      <c r="E4755" t="n">
        <v>1100021811</v>
      </c>
      <c r="F4755" t="inlineStr">
        <is>
          <t>CC 08.2026</t>
        </is>
      </c>
      <c r="G4755" t="inlineStr">
        <is>
          <t>AB</t>
        </is>
      </c>
      <c r="H4755" s="12" t="n">
        <v>2276.85</v>
      </c>
      <c r="I4755" s="17" t="n">
        <v>46260</v>
      </c>
      <c r="J4755" s="17" t="n">
        <v>46260</v>
      </c>
      <c r="K4755" t="inlineStr">
        <is>
          <t>Partida individual LUCIANA OLIVEIRA COSTA LOREDO C</t>
        </is>
      </c>
    </row>
    <row r="4756">
      <c r="A4756" t="inlineStr">
        <is>
          <t>EM000005</t>
        </is>
      </c>
      <c r="B4756" t="inlineStr">
        <is>
          <t>LUIZ SAVIO DE CAMPOS SIQUEIRA</t>
        </is>
      </c>
      <c r="C4756" t="n">
        <v>1117730000</v>
      </c>
      <c r="D4756" t="inlineStr">
        <is>
          <t>Nordex Employees</t>
        </is>
      </c>
      <c r="E4756" t="n">
        <v>1100021811</v>
      </c>
      <c r="F4756" t="inlineStr">
        <is>
          <t>CC 08.2026</t>
        </is>
      </c>
      <c r="G4756" t="inlineStr">
        <is>
          <t>AB</t>
        </is>
      </c>
      <c r="H4756" s="12" t="n">
        <v>789.79</v>
      </c>
      <c r="I4756" s="17" t="n">
        <v>46260</v>
      </c>
      <c r="J4756" s="17" t="n">
        <v>46260</v>
      </c>
      <c r="K4756" t="inlineStr">
        <is>
          <t>Partida individual LUIZ SAVIO DE CAMPOS SIQUEIRA C</t>
        </is>
      </c>
    </row>
    <row r="4757">
      <c r="A4757" t="inlineStr">
        <is>
          <t>EM000027</t>
        </is>
      </c>
      <c r="B4757" t="inlineStr">
        <is>
          <t>RAFAEL AUGUSTO DA SILVA GOULARTE</t>
        </is>
      </c>
      <c r="C4757" t="n">
        <v>1117730000</v>
      </c>
      <c r="D4757" t="inlineStr">
        <is>
          <t>Nordex Employees</t>
        </is>
      </c>
      <c r="E4757" t="n">
        <v>1100021811</v>
      </c>
      <c r="F4757" t="inlineStr">
        <is>
          <t>CC 08.2026</t>
        </is>
      </c>
      <c r="G4757" t="inlineStr">
        <is>
          <t>AB</t>
        </is>
      </c>
      <c r="H4757" s="12" t="n">
        <v>4283.63</v>
      </c>
      <c r="I4757" s="17" t="n">
        <v>46260</v>
      </c>
      <c r="J4757" s="17" t="n">
        <v>46260</v>
      </c>
      <c r="K4757" t="inlineStr">
        <is>
          <t>Partida individual RAFAEL AUGUSTO DA SILVA GOULART</t>
        </is>
      </c>
    </row>
    <row r="4758">
      <c r="A4758" t="inlineStr">
        <is>
          <t>EM000029</t>
        </is>
      </c>
      <c r="B4758" t="inlineStr">
        <is>
          <t>RENATO BRUNO LIMA DE FARIAS</t>
        </is>
      </c>
      <c r="C4758" t="n">
        <v>1117730000</v>
      </c>
      <c r="D4758" t="inlineStr">
        <is>
          <t>Nordex Employees</t>
        </is>
      </c>
      <c r="E4758" t="n">
        <v>1100021811</v>
      </c>
      <c r="F4758" t="inlineStr">
        <is>
          <t>CC 08.2026</t>
        </is>
      </c>
      <c r="G4758" t="inlineStr">
        <is>
          <t>AB</t>
        </is>
      </c>
      <c r="H4758" s="12" t="n">
        <v>2626.33</v>
      </c>
      <c r="I4758" s="17" t="n">
        <v>46260</v>
      </c>
      <c r="J4758" s="17" t="n">
        <v>46260</v>
      </c>
      <c r="K4758" t="inlineStr">
        <is>
          <t>Partida individual RENATO BRUNO LIMA DE FARIAS CC</t>
        </is>
      </c>
    </row>
    <row r="4759">
      <c r="A4759" t="inlineStr">
        <is>
          <t>EM000125</t>
        </is>
      </c>
      <c r="B4759" t="inlineStr">
        <is>
          <t>RODRIGO RAFAEL LIMA DE FARIAS</t>
        </is>
      </c>
      <c r="C4759" t="n">
        <v>1117730000</v>
      </c>
      <c r="D4759" t="inlineStr">
        <is>
          <t>Nordex Employees</t>
        </is>
      </c>
      <c r="E4759" t="n">
        <v>1100021811</v>
      </c>
      <c r="F4759" t="inlineStr">
        <is>
          <t>CC 08.2026</t>
        </is>
      </c>
      <c r="G4759" t="inlineStr">
        <is>
          <t>AB</t>
        </is>
      </c>
      <c r="H4759" s="12" t="n">
        <v>861.5</v>
      </c>
      <c r="I4759" s="17" t="n">
        <v>46260</v>
      </c>
      <c r="J4759" s="17" t="n">
        <v>46260</v>
      </c>
      <c r="K4759" t="inlineStr">
        <is>
          <t>Partida individual RODRIGO RAFAEL LIMA DE FARIAS C</t>
        </is>
      </c>
    </row>
    <row r="4760">
      <c r="A4760" t="inlineStr">
        <is>
          <t>EM000296</t>
        </is>
      </c>
      <c r="B4760" t="inlineStr">
        <is>
          <t>ROBERTISON JOSE DE BRITO</t>
        </is>
      </c>
      <c r="C4760" t="n">
        <v>1117730000</v>
      </c>
      <c r="D4760" t="inlineStr">
        <is>
          <t>Nordex Employees</t>
        </is>
      </c>
      <c r="E4760" t="n">
        <v>1100021811</v>
      </c>
      <c r="F4760" t="inlineStr">
        <is>
          <t>CC 08.2026</t>
        </is>
      </c>
      <c r="G4760" t="inlineStr">
        <is>
          <t>AB</t>
        </is>
      </c>
      <c r="H4760" s="12" t="n">
        <v>5970.13</v>
      </c>
      <c r="I4760" s="17" t="n">
        <v>46260</v>
      </c>
      <c r="J4760" s="17" t="n">
        <v>46260</v>
      </c>
      <c r="K4760" t="inlineStr">
        <is>
          <t>Partida individual ROBERTISON JOSE DE BRITO CC 08.</t>
        </is>
      </c>
    </row>
    <row r="4761">
      <c r="A4761" t="inlineStr">
        <is>
          <t>EM000080</t>
        </is>
      </c>
      <c r="B4761" t="inlineStr">
        <is>
          <t>SAIRON DOS SANTOS BASTOS</t>
        </is>
      </c>
      <c r="C4761" t="n">
        <v>1117730000</v>
      </c>
      <c r="D4761" t="inlineStr">
        <is>
          <t>Nordex Employees</t>
        </is>
      </c>
      <c r="E4761" t="n">
        <v>1100021811</v>
      </c>
      <c r="F4761" t="inlineStr">
        <is>
          <t>CC 08.2026</t>
        </is>
      </c>
      <c r="G4761" t="inlineStr">
        <is>
          <t>AB</t>
        </is>
      </c>
      <c r="H4761" s="12" t="n">
        <v>13.2</v>
      </c>
      <c r="I4761" s="17" t="n">
        <v>46260</v>
      </c>
      <c r="J4761" s="17" t="n">
        <v>46260</v>
      </c>
      <c r="K4761" t="inlineStr">
        <is>
          <t>Partida individual SAIRON DOS SANTOS BASTOS CC 08.</t>
        </is>
      </c>
    </row>
    <row r="4762">
      <c r="A4762" t="inlineStr">
        <is>
          <t>EM000281</t>
        </is>
      </c>
      <c r="B4762" t="inlineStr">
        <is>
          <t>VANESSA REGINA DE CAMARGO</t>
        </is>
      </c>
      <c r="C4762" t="n">
        <v>1117730000</v>
      </c>
      <c r="D4762" t="inlineStr">
        <is>
          <t>Nordex Employees</t>
        </is>
      </c>
      <c r="E4762" t="n">
        <v>1100021811</v>
      </c>
      <c r="F4762" t="inlineStr">
        <is>
          <t>CC 08.2026</t>
        </is>
      </c>
      <c r="G4762" t="inlineStr">
        <is>
          <t>AB</t>
        </is>
      </c>
      <c r="H4762" s="12" t="n">
        <v>615.1</v>
      </c>
      <c r="I4762" s="17" t="n">
        <v>46260</v>
      </c>
      <c r="J4762" s="17" t="n">
        <v>46260</v>
      </c>
      <c r="K4762" t="inlineStr">
        <is>
          <t>Partida individual VANESSA REGINA DE CAMARGO CC 08</t>
        </is>
      </c>
    </row>
    <row r="4763">
      <c r="A4763" t="inlineStr">
        <is>
          <t>EM000326</t>
        </is>
      </c>
      <c r="B4763" t="inlineStr">
        <is>
          <t>VITOR ARAUJO DOS SANTOS</t>
        </is>
      </c>
      <c r="C4763" t="n">
        <v>1117730000</v>
      </c>
      <c r="D4763" t="inlineStr">
        <is>
          <t>Nordex Employees</t>
        </is>
      </c>
      <c r="E4763" t="n">
        <v>1100021811</v>
      </c>
      <c r="F4763" t="inlineStr">
        <is>
          <t>CC 08.2026</t>
        </is>
      </c>
      <c r="G4763" t="inlineStr">
        <is>
          <t>AB</t>
        </is>
      </c>
      <c r="H4763" s="12" t="n">
        <v>5161.4</v>
      </c>
      <c r="I4763" s="17" t="n">
        <v>46260</v>
      </c>
      <c r="J4763" s="17" t="n">
        <v>46260</v>
      </c>
      <c r="K4763" t="inlineStr">
        <is>
          <t>Partida individual VITOR ARAUJO DOS SANTOS CC 08.2</t>
        </is>
      </c>
    </row>
    <row r="4764">
      <c r="A4764" t="inlineStr">
        <is>
          <t>EM000058</t>
        </is>
      </c>
      <c r="B4764" t="inlineStr">
        <is>
          <t>VITOR DE CASTRO SANTOS</t>
        </is>
      </c>
      <c r="C4764" t="n">
        <v>1117730000</v>
      </c>
      <c r="D4764" t="inlineStr">
        <is>
          <t>Nordex Employees</t>
        </is>
      </c>
      <c r="E4764" t="n">
        <v>1100021811</v>
      </c>
      <c r="F4764" t="inlineStr">
        <is>
          <t>CC 08.2026</t>
        </is>
      </c>
      <c r="G4764" t="inlineStr">
        <is>
          <t>AB</t>
        </is>
      </c>
      <c r="H4764" s="12" t="n">
        <v>3993.2</v>
      </c>
      <c r="I4764" s="17" t="n">
        <v>46260</v>
      </c>
      <c r="J4764" s="17" t="n">
        <v>46260</v>
      </c>
      <c r="K4764" t="inlineStr">
        <is>
          <t>Partida individual VITOR DE CASTRO SANTOS CC 08.20</t>
        </is>
      </c>
    </row>
    <row r="4765">
      <c r="A4765" t="inlineStr">
        <is>
          <t>EM000394</t>
        </is>
      </c>
      <c r="B4765" t="inlineStr">
        <is>
          <t>WAGNER DELLA FLORA GROSS</t>
        </is>
      </c>
      <c r="C4765" t="n">
        <v>1117730000</v>
      </c>
      <c r="D4765" t="inlineStr">
        <is>
          <t>Nordex Employees</t>
        </is>
      </c>
      <c r="E4765" t="n">
        <v>1100021811</v>
      </c>
      <c r="F4765" t="inlineStr">
        <is>
          <t>CC 08.2026</t>
        </is>
      </c>
      <c r="G4765" t="inlineStr">
        <is>
          <t>AB</t>
        </is>
      </c>
      <c r="H4765" s="12" t="n">
        <v>1375.77</v>
      </c>
      <c r="I4765" s="17" t="n">
        <v>46260</v>
      </c>
      <c r="J4765" s="17" t="n">
        <v>46260</v>
      </c>
      <c r="K4765" t="inlineStr">
        <is>
          <t>Partida individual WAGNER DELLA FLORA GROSS CC 08.</t>
        </is>
      </c>
    </row>
    <row r="4766">
      <c r="A4766" t="inlineStr">
        <is>
          <t>EM000034</t>
        </is>
      </c>
      <c r="B4766" t="inlineStr">
        <is>
          <t>WALLYSON HENRIQUE VIEIRA GALDINO</t>
        </is>
      </c>
      <c r="C4766" t="n">
        <v>1117730000</v>
      </c>
      <c r="D4766" t="inlineStr">
        <is>
          <t>Nordex Employees</t>
        </is>
      </c>
      <c r="E4766" t="n">
        <v>1100021811</v>
      </c>
      <c r="F4766" t="inlineStr">
        <is>
          <t>CC 08.2026</t>
        </is>
      </c>
      <c r="G4766" t="inlineStr">
        <is>
          <t>AB</t>
        </is>
      </c>
      <c r="H4766" s="12" t="n">
        <v>1751.31</v>
      </c>
      <c r="I4766" s="17" t="n">
        <v>46260</v>
      </c>
      <c r="J4766" s="17" t="n">
        <v>46260</v>
      </c>
      <c r="K4766" t="inlineStr">
        <is>
          <t>Partida individual WALLYSON HENRIQUE VIEIRA GALDIN</t>
        </is>
      </c>
    </row>
    <row r="4767">
      <c r="A4767" t="inlineStr">
        <is>
          <t>EM000324</t>
        </is>
      </c>
      <c r="B4767" t="inlineStr">
        <is>
          <t>LUIZ EDUARDO PEREIRA DA SILVA</t>
        </is>
      </c>
      <c r="C4767" t="n">
        <v>1117730000</v>
      </c>
      <c r="D4767" t="inlineStr">
        <is>
          <t>Nordex Employees</t>
        </is>
      </c>
      <c r="E4767" t="n">
        <v>1100021813</v>
      </c>
      <c r="F4767" t="inlineStr">
        <is>
          <t>DEV. CC 08.26</t>
        </is>
      </c>
      <c r="G4767" t="inlineStr">
        <is>
          <t>AB</t>
        </is>
      </c>
      <c r="H4767" s="12" t="n">
        <v>2423.25</v>
      </c>
      <c r="I4767" s="17" t="n">
        <v>46248</v>
      </c>
      <c r="J4767" s="17" t="n">
        <v>46260</v>
      </c>
      <c r="K4767" t="inlineStr">
        <is>
          <t>Partida individual LUIZ EDUARDO PEREIRA DA SILVA D</t>
        </is>
      </c>
    </row>
    <row r="4768">
      <c r="A4768" t="inlineStr">
        <is>
          <t>EM000043</t>
        </is>
      </c>
      <c r="B4768" t="inlineStr">
        <is>
          <t>JOAO BATISTA DA COSTA CARDOSO</t>
        </is>
      </c>
      <c r="C4768" t="n">
        <v>1117730000</v>
      </c>
      <c r="D4768" t="inlineStr">
        <is>
          <t>Nordex Employees</t>
        </is>
      </c>
      <c r="E4768" t="n">
        <v>1100023366</v>
      </c>
      <c r="F4768" t="inlineStr">
        <is>
          <t>14467</t>
        </is>
      </c>
      <c r="G4768" t="inlineStr">
        <is>
          <t>AB</t>
        </is>
      </c>
      <c r="H4768" s="12" t="n">
        <v>99.23</v>
      </c>
      <c r="I4768" s="17" t="n">
        <v>45761</v>
      </c>
      <c r="J4768" s="17" t="n">
        <v>45761</v>
      </c>
      <c r="K4768" t="inlineStr">
        <is>
          <t>Partida individual JOAO BATISTA DA COSTA CARDOSO 1</t>
        </is>
      </c>
    </row>
    <row r="4769">
      <c r="A4769" t="inlineStr">
        <is>
          <t>EM000279</t>
        </is>
      </c>
      <c r="B4769" t="inlineStr">
        <is>
          <t>HOSAIAS VIEIRA CHAVES</t>
        </is>
      </c>
      <c r="C4769" t="n">
        <v>1117730000</v>
      </c>
      <c r="D4769" t="inlineStr">
        <is>
          <t>Nordex Employees</t>
        </is>
      </c>
      <c r="E4769" t="n">
        <v>1100023376</v>
      </c>
      <c r="F4769" t="inlineStr">
        <is>
          <t>27414</t>
        </is>
      </c>
      <c r="G4769" t="inlineStr">
        <is>
          <t>AB</t>
        </is>
      </c>
      <c r="H4769" s="12" t="n">
        <v>3120.86</v>
      </c>
      <c r="I4769" s="17" t="n">
        <v>45761</v>
      </c>
      <c r="J4769" s="17" t="n">
        <v>45761</v>
      </c>
      <c r="K4769" t="inlineStr">
        <is>
          <t>Partida individual HOSAIAS VIEIRA CHAVES 27414</t>
        </is>
      </c>
    </row>
    <row r="4770">
      <c r="A4770" t="inlineStr">
        <is>
          <t>EM000024</t>
        </is>
      </c>
      <c r="B4770" t="inlineStr">
        <is>
          <t>GUILLERMO ROSSI</t>
        </is>
      </c>
      <c r="C4770" t="n">
        <v>1117730000</v>
      </c>
      <c r="D4770" t="inlineStr">
        <is>
          <t>Nordex Employees</t>
        </is>
      </c>
      <c r="E4770" t="n">
        <v>1100026419</v>
      </c>
      <c r="F4770" t="inlineStr">
        <is>
          <t>CC 03.2024</t>
        </is>
      </c>
      <c r="G4770" t="inlineStr">
        <is>
          <t>AB</t>
        </is>
      </c>
      <c r="H4770" s="12" t="n">
        <v>1827.23</v>
      </c>
      <c r="I4770" s="17" t="n">
        <v>45748</v>
      </c>
      <c r="J4770" s="17" t="n">
        <v>45748</v>
      </c>
      <c r="K4770" t="inlineStr">
        <is>
          <t>Partida individual GUILLERMO ROSSI CC 03.2024</t>
        </is>
      </c>
    </row>
    <row r="4771">
      <c r="A4771" t="inlineStr">
        <is>
          <t>EM000296</t>
        </is>
      </c>
      <c r="B4771" t="inlineStr">
        <is>
          <t>ROBERTISON JOSE DE BRITO</t>
        </is>
      </c>
      <c r="C4771" t="n">
        <v>1117730000</v>
      </c>
      <c r="D4771" t="inlineStr">
        <is>
          <t>Nordex Employees</t>
        </is>
      </c>
      <c r="E4771" t="n">
        <v>1100026438</v>
      </c>
      <c r="F4771" t="inlineStr">
        <is>
          <t>CC 01.2024</t>
        </is>
      </c>
      <c r="G4771" t="inlineStr">
        <is>
          <t>AB</t>
        </is>
      </c>
      <c r="H4771" s="12" t="n">
        <v>1388.5</v>
      </c>
      <c r="I4771" s="17" t="n">
        <v>45748</v>
      </c>
      <c r="J4771" s="17" t="n">
        <v>45748</v>
      </c>
      <c r="K4771" t="inlineStr">
        <is>
          <t>Partida individual ROBERTISON JOSE DE BRITO CC 01.</t>
        </is>
      </c>
    </row>
    <row r="4772">
      <c r="A4772" t="inlineStr">
        <is>
          <t>EM000080</t>
        </is>
      </c>
      <c r="B4772" t="inlineStr">
        <is>
          <t>SAIRON DOS SANTOS BASTOS</t>
        </is>
      </c>
      <c r="C4772" t="n">
        <v>1117730000</v>
      </c>
      <c r="D4772" t="inlineStr">
        <is>
          <t>Nordex Employees</t>
        </is>
      </c>
      <c r="E4772" t="n">
        <v>1100026439</v>
      </c>
      <c r="F4772" t="inlineStr">
        <is>
          <t>CC 06.2024</t>
        </is>
      </c>
      <c r="G4772" t="inlineStr">
        <is>
          <t>AB</t>
        </is>
      </c>
      <c r="H4772" s="12" t="n">
        <v>942.65</v>
      </c>
      <c r="I4772" s="17" t="n">
        <v>45748</v>
      </c>
      <c r="J4772" s="17" t="n">
        <v>45748</v>
      </c>
      <c r="K4772" t="inlineStr">
        <is>
          <t>Partida individual SAIRON DOS SANTOS BASTOS CC 06.</t>
        </is>
      </c>
    </row>
    <row r="4773">
      <c r="A4773" t="inlineStr">
        <is>
          <t>EM000080</t>
        </is>
      </c>
      <c r="B4773" t="inlineStr">
        <is>
          <t>SAIRON DOS SANTOS BASTOS</t>
        </is>
      </c>
      <c r="C4773" t="n">
        <v>1117730000</v>
      </c>
      <c r="D4773" t="inlineStr">
        <is>
          <t>Nordex Employees</t>
        </is>
      </c>
      <c r="E4773" t="n">
        <v>1100026459</v>
      </c>
      <c r="F4773" t="inlineStr">
        <is>
          <t>CC 09.2024</t>
        </is>
      </c>
      <c r="G4773" t="inlineStr">
        <is>
          <t>AB</t>
        </is>
      </c>
      <c r="H4773" s="12" t="n">
        <v>30.2</v>
      </c>
      <c r="I4773" s="17" t="n">
        <v>45748</v>
      </c>
      <c r="J4773" s="17" t="n">
        <v>45748</v>
      </c>
      <c r="K4773" t="inlineStr">
        <is>
          <t>Partida individual SAIRON DOS SANTOS BASTOS CC 09.</t>
        </is>
      </c>
    </row>
    <row r="4774">
      <c r="A4774" t="inlineStr">
        <is>
          <t>EM000024</t>
        </is>
      </c>
      <c r="B4774" t="inlineStr">
        <is>
          <t>GUILLERMO ROSSI</t>
        </is>
      </c>
      <c r="C4774" t="n">
        <v>1117730000</v>
      </c>
      <c r="D4774" t="inlineStr">
        <is>
          <t>Nordex Employees</t>
        </is>
      </c>
      <c r="E4774" t="n">
        <v>1100026460</v>
      </c>
      <c r="F4774" t="inlineStr">
        <is>
          <t>CC 11.2024</t>
        </is>
      </c>
      <c r="G4774" t="inlineStr">
        <is>
          <t>AB</t>
        </is>
      </c>
      <c r="H4774" s="12" t="n">
        <v>1785.47</v>
      </c>
      <c r="I4774" s="17" t="n">
        <v>45748</v>
      </c>
      <c r="J4774" s="17" t="n">
        <v>45748</v>
      </c>
      <c r="K4774" t="inlineStr">
        <is>
          <t>Partida individual GUILLERMO ROSSI CC 11.2024</t>
        </is>
      </c>
    </row>
    <row r="4775">
      <c r="A4775" t="inlineStr">
        <is>
          <t>EM000594</t>
        </is>
      </c>
      <c r="B4775" t="inlineStr">
        <is>
          <t>WELLINGTON LOPES DOS SANTOS</t>
        </is>
      </c>
      <c r="C4775" t="n">
        <v>1117730000</v>
      </c>
      <c r="D4775" t="inlineStr">
        <is>
          <t>Nordex Employees</t>
        </is>
      </c>
      <c r="E4775" t="n">
        <v>1100028678</v>
      </c>
      <c r="F4775" t="inlineStr">
        <is>
          <t>36908</t>
        </is>
      </c>
      <c r="G4775" t="inlineStr">
        <is>
          <t>AB</t>
        </is>
      </c>
      <c r="H4775" s="12" t="n">
        <v>109.88</v>
      </c>
      <c r="I4775" s="17" t="n">
        <v>45803</v>
      </c>
      <c r="J4775" s="17" t="n">
        <v>45758</v>
      </c>
      <c r="K4775" t="inlineStr">
        <is>
          <t>Partida individual WELLINGTON LOPES DOS SANTOS 369</t>
        </is>
      </c>
    </row>
    <row r="4776">
      <c r="A4776" t="inlineStr">
        <is>
          <t>EM000005</t>
        </is>
      </c>
      <c r="B4776" t="inlineStr">
        <is>
          <t>LUIZ SAVIO DE CAMPOS SIQUEIRA</t>
        </is>
      </c>
      <c r="C4776" t="n">
        <v>1117730000</v>
      </c>
      <c r="D4776" t="inlineStr">
        <is>
          <t>Nordex Employees</t>
        </is>
      </c>
      <c r="E4776" t="n">
        <v>1100036695</v>
      </c>
      <c r="F4776" t="inlineStr">
        <is>
          <t>CC 05.2025</t>
        </is>
      </c>
      <c r="G4776" t="inlineStr">
        <is>
          <t>AB</t>
        </is>
      </c>
      <c r="H4776" s="12" t="n">
        <v>146.38</v>
      </c>
      <c r="I4776" s="17" t="n">
        <v>45884</v>
      </c>
      <c r="J4776" s="17" t="n">
        <v>45884</v>
      </c>
      <c r="K4776" t="inlineStr">
        <is>
          <t>Partida individual LUIZ SAVIO DE CAMPOS SIQUEIRA C</t>
        </is>
      </c>
    </row>
    <row r="4777">
      <c r="A4777" t="inlineStr">
        <is>
          <t>EM000005</t>
        </is>
      </c>
      <c r="B4777" t="inlineStr">
        <is>
          <t>LUIZ SAVIO DE CAMPOS SIQUEIRA</t>
        </is>
      </c>
      <c r="C4777" t="n">
        <v>1117730000</v>
      </c>
      <c r="D4777" t="inlineStr">
        <is>
          <t>Nordex Employees</t>
        </is>
      </c>
      <c r="E4777" t="n">
        <v>1100036708</v>
      </c>
      <c r="F4777" t="inlineStr">
        <is>
          <t>CC 07.2025</t>
        </is>
      </c>
      <c r="G4777" t="inlineStr">
        <is>
          <t>AB</t>
        </is>
      </c>
      <c r="H4777" s="12" t="n">
        <v>4297.46</v>
      </c>
      <c r="I4777" s="17" t="n">
        <v>45884</v>
      </c>
      <c r="J4777" s="17" t="n">
        <v>45884</v>
      </c>
      <c r="K4777" t="inlineStr">
        <is>
          <t>Partida individual LUIZ SAVIO DE CAMPOS SIQUEIRA C</t>
        </is>
      </c>
    </row>
    <row r="4778">
      <c r="A4778" t="inlineStr">
        <is>
          <t>EM000080</t>
        </is>
      </c>
      <c r="B4778" t="inlineStr">
        <is>
          <t>SAIRON DOS SANTOS BASTOS</t>
        </is>
      </c>
      <c r="C4778" t="n">
        <v>1117730000</v>
      </c>
      <c r="D4778" t="inlineStr">
        <is>
          <t>Nordex Employees</t>
        </is>
      </c>
      <c r="E4778" t="n">
        <v>1100036708</v>
      </c>
      <c r="F4778" t="inlineStr">
        <is>
          <t>CC 07.2025</t>
        </is>
      </c>
      <c r="G4778" t="inlineStr">
        <is>
          <t>AB</t>
        </is>
      </c>
      <c r="H4778" s="12" t="n">
        <v>843.11</v>
      </c>
      <c r="I4778" s="17" t="n">
        <v>45884</v>
      </c>
      <c r="J4778" s="17" t="n">
        <v>45884</v>
      </c>
      <c r="K4778" t="inlineStr">
        <is>
          <t>Partida individual SAIRON DOS SANTOS BASTOS CC 07.</t>
        </is>
      </c>
    </row>
    <row r="4779">
      <c r="A4779" t="inlineStr">
        <is>
          <t>EM000281</t>
        </is>
      </c>
      <c r="B4779" t="inlineStr">
        <is>
          <t>VANESSA REGINA DE CAMARGO</t>
        </is>
      </c>
      <c r="C4779" t="n">
        <v>1117730000</v>
      </c>
      <c r="D4779" t="inlineStr">
        <is>
          <t>Nordex Employees</t>
        </is>
      </c>
      <c r="E4779" t="n">
        <v>1100038674</v>
      </c>
      <c r="F4779" t="inlineStr">
        <is>
          <t>CC 04.2025</t>
        </is>
      </c>
      <c r="G4779" t="inlineStr">
        <is>
          <t>AB</t>
        </is>
      </c>
      <c r="H4779" s="12" t="n">
        <v>1532.58</v>
      </c>
      <c r="I4779" s="17" t="n">
        <v>45895</v>
      </c>
      <c r="J4779" s="17" t="n">
        <v>45895</v>
      </c>
      <c r="K4779" t="inlineStr">
        <is>
          <t>Partida individual VANESSA REGINA DE CAMARGO CC 04</t>
        </is>
      </c>
    </row>
    <row r="4780">
      <c r="A4780" t="inlineStr">
        <is>
          <t>EM000080</t>
        </is>
      </c>
      <c r="B4780" t="inlineStr">
        <is>
          <t>SAIRON DOS SANTOS BASTOS</t>
        </is>
      </c>
      <c r="C4780" t="n">
        <v>1117730000</v>
      </c>
      <c r="D4780" t="inlineStr">
        <is>
          <t>Nordex Employees</t>
        </is>
      </c>
      <c r="E4780" t="n">
        <v>1100041755</v>
      </c>
      <c r="F4780" t="inlineStr">
        <is>
          <t>CC 09.2025</t>
        </is>
      </c>
      <c r="G4780" t="inlineStr">
        <is>
          <t>AB</t>
        </is>
      </c>
      <c r="H4780" s="12" t="n">
        <v>110</v>
      </c>
      <c r="I4780" s="17" t="n">
        <v>45912</v>
      </c>
      <c r="J4780" s="17" t="n">
        <v>45912</v>
      </c>
      <c r="K4780" t="inlineStr">
        <is>
          <t>Partida individual SAIRON DOS SANTOS BASTOS CC 09.</t>
        </is>
      </c>
    </row>
    <row r="4781">
      <c r="A4781" t="inlineStr">
        <is>
          <t>EM000296</t>
        </is>
      </c>
      <c r="B4781" t="inlineStr">
        <is>
          <t>ROBERTISON JOSE DE BRITO</t>
        </is>
      </c>
      <c r="C4781" t="n">
        <v>1117730000</v>
      </c>
      <c r="D4781" t="inlineStr">
        <is>
          <t>Nordex Employees</t>
        </is>
      </c>
      <c r="E4781" t="n">
        <v>1100044467</v>
      </c>
      <c r="F4781" t="inlineStr">
        <is>
          <t>CC 10.2025</t>
        </is>
      </c>
      <c r="G4781" t="inlineStr">
        <is>
          <t>AB</t>
        </is>
      </c>
      <c r="H4781" s="12" t="n">
        <v>92.06999999999999</v>
      </c>
      <c r="I4781" s="17" t="n">
        <v>45952</v>
      </c>
      <c r="J4781" s="17" t="n">
        <v>45952</v>
      </c>
      <c r="K4781" t="inlineStr">
        <is>
          <t>Partida individual ROBERTISON JOSE DE BRITO CC 10.</t>
        </is>
      </c>
    </row>
    <row r="4782">
      <c r="A4782" t="inlineStr">
        <is>
          <t>EM000080</t>
        </is>
      </c>
      <c r="B4782" t="inlineStr">
        <is>
          <t>SAIRON DOS SANTOS BASTOS</t>
        </is>
      </c>
      <c r="C4782" t="n">
        <v>1117730000</v>
      </c>
      <c r="D4782" t="inlineStr">
        <is>
          <t>Nordex Employees</t>
        </is>
      </c>
      <c r="E4782" t="n">
        <v>1100044467</v>
      </c>
      <c r="F4782" t="inlineStr">
        <is>
          <t>CC 10.2025</t>
        </is>
      </c>
      <c r="G4782" t="inlineStr">
        <is>
          <t>AB</t>
        </is>
      </c>
      <c r="H4782" s="12" t="n">
        <v>410.41</v>
      </c>
      <c r="I4782" s="17" t="n">
        <v>45952</v>
      </c>
      <c r="J4782" s="17" t="n">
        <v>45952</v>
      </c>
      <c r="K4782" t="inlineStr">
        <is>
          <t>Partida individual SAIRON DOS SANTOS BASTOS CC 10.</t>
        </is>
      </c>
    </row>
    <row r="4783">
      <c r="A4783" t="inlineStr">
        <is>
          <t>EM000281</t>
        </is>
      </c>
      <c r="B4783" t="inlineStr">
        <is>
          <t>VANESSA REGINA DE CAMARGO</t>
        </is>
      </c>
      <c r="C4783" t="n">
        <v>1117730000</v>
      </c>
      <c r="D4783" t="inlineStr">
        <is>
          <t>Nordex Employees</t>
        </is>
      </c>
      <c r="E4783" t="n">
        <v>1100044467</v>
      </c>
      <c r="F4783" t="inlineStr">
        <is>
          <t>CC 10.2025</t>
        </is>
      </c>
      <c r="G4783" t="inlineStr">
        <is>
          <t>AB</t>
        </is>
      </c>
      <c r="H4783" s="12" t="n">
        <v>976.96</v>
      </c>
      <c r="I4783" s="17" t="n">
        <v>45952</v>
      </c>
      <c r="J4783" s="17" t="n">
        <v>45952</v>
      </c>
      <c r="K4783" t="inlineStr">
        <is>
          <t>Partida individual VANESSA REGINA DE CAMARGO CC 10</t>
        </is>
      </c>
    </row>
    <row r="4784">
      <c r="A4784" t="inlineStr">
        <is>
          <t>EM000080</t>
        </is>
      </c>
      <c r="B4784" t="inlineStr">
        <is>
          <t>SAIRON DOS SANTOS BASTOS</t>
        </is>
      </c>
      <c r="C4784" t="n">
        <v>1117730000</v>
      </c>
      <c r="D4784" t="inlineStr">
        <is>
          <t>Nordex Employees</t>
        </is>
      </c>
      <c r="E4784" t="n">
        <v>1100047129</v>
      </c>
      <c r="F4784" t="inlineStr">
        <is>
          <t>CC 11.2025</t>
        </is>
      </c>
      <c r="G4784" t="inlineStr">
        <is>
          <t>AB</t>
        </is>
      </c>
      <c r="H4784" s="12" t="n">
        <v>274.25</v>
      </c>
      <c r="I4784" s="17" t="n">
        <v>45980</v>
      </c>
      <c r="J4784" s="17" t="n">
        <v>45980</v>
      </c>
      <c r="K4784" t="inlineStr">
        <is>
          <t>Partida individual SAIRON DOS SANTOS BASTOS CC 11.</t>
        </is>
      </c>
    </row>
    <row r="4785">
      <c r="A4785" t="inlineStr">
        <is>
          <t>EM000281</t>
        </is>
      </c>
      <c r="B4785" t="inlineStr">
        <is>
          <t>VANESSA REGINA DE CAMARGO</t>
        </is>
      </c>
      <c r="C4785" t="n">
        <v>1117730000</v>
      </c>
      <c r="D4785" t="inlineStr">
        <is>
          <t>Nordex Employees</t>
        </is>
      </c>
      <c r="E4785" t="n">
        <v>1100047129</v>
      </c>
      <c r="F4785" t="inlineStr">
        <is>
          <t>CC 11.2025</t>
        </is>
      </c>
      <c r="G4785" t="inlineStr">
        <is>
          <t>AB</t>
        </is>
      </c>
      <c r="H4785" s="12" t="n">
        <v>162.35</v>
      </c>
      <c r="I4785" s="17" t="n">
        <v>45980</v>
      </c>
      <c r="J4785" s="17" t="n">
        <v>45980</v>
      </c>
      <c r="K4785" t="inlineStr">
        <is>
          <t>Partida individual VANESSA REGINA DE CAMARGO CC 11</t>
        </is>
      </c>
    </row>
    <row r="4786">
      <c r="A4786" t="inlineStr">
        <is>
          <t>EM000171</t>
        </is>
      </c>
      <c r="B4786" t="inlineStr">
        <is>
          <t>ALESSANDRA RAFFO SCHNEIDER</t>
        </is>
      </c>
      <c r="C4786" t="n">
        <v>1117730000</v>
      </c>
      <c r="D4786" t="inlineStr">
        <is>
          <t>Nordex Employees</t>
        </is>
      </c>
      <c r="E4786" t="n">
        <v>1100049930</v>
      </c>
      <c r="F4786" t="inlineStr">
        <is>
          <t>CC 12.2025</t>
        </is>
      </c>
      <c r="G4786" t="inlineStr">
        <is>
          <t>AB</t>
        </is>
      </c>
      <c r="H4786" s="12" t="n">
        <v>2118.97</v>
      </c>
      <c r="I4786" s="17" t="n">
        <v>46010</v>
      </c>
      <c r="J4786" s="17" t="n">
        <v>46010</v>
      </c>
      <c r="K4786" t="inlineStr">
        <is>
          <t>Partida individual ALESSANDRA RAFFO SCHNEIDER CC 1</t>
        </is>
      </c>
    </row>
    <row r="4787">
      <c r="A4787" t="inlineStr">
        <is>
          <t>EM000157</t>
        </is>
      </c>
      <c r="B4787" t="inlineStr">
        <is>
          <t>JULIANO NASCIMIENTO</t>
        </is>
      </c>
      <c r="C4787" t="n">
        <v>1117730000</v>
      </c>
      <c r="D4787" t="inlineStr">
        <is>
          <t>Nordex Employees</t>
        </is>
      </c>
      <c r="E4787" t="n">
        <v>1100049930</v>
      </c>
      <c r="F4787" t="inlineStr">
        <is>
          <t>CC 12.2025</t>
        </is>
      </c>
      <c r="G4787" t="inlineStr">
        <is>
          <t>AB</t>
        </is>
      </c>
      <c r="H4787" s="12" t="n">
        <v>2511.27</v>
      </c>
      <c r="I4787" s="17" t="n">
        <v>46010</v>
      </c>
      <c r="J4787" s="17" t="n">
        <v>46010</v>
      </c>
      <c r="K4787" t="inlineStr">
        <is>
          <t>Partida individual JULIANO NASCIMIENTO CC 12.2025</t>
        </is>
      </c>
    </row>
    <row r="4788">
      <c r="A4788" t="inlineStr">
        <is>
          <t>EM000005</t>
        </is>
      </c>
      <c r="B4788" t="inlineStr">
        <is>
          <t>LUIZ SAVIO DE CAMPOS SIQUEIRA</t>
        </is>
      </c>
      <c r="C4788" t="n">
        <v>1117730000</v>
      </c>
      <c r="D4788" t="inlineStr">
        <is>
          <t>Nordex Employees</t>
        </is>
      </c>
      <c r="E4788" t="n">
        <v>1100049930</v>
      </c>
      <c r="F4788" t="inlineStr">
        <is>
          <t>CC 12.2025</t>
        </is>
      </c>
      <c r="G4788" t="inlineStr">
        <is>
          <t>AB</t>
        </is>
      </c>
      <c r="H4788" s="12" t="n">
        <v>7073.73</v>
      </c>
      <c r="I4788" s="17" t="n">
        <v>46010</v>
      </c>
      <c r="J4788" s="17" t="n">
        <v>46010</v>
      </c>
      <c r="K4788" t="inlineStr">
        <is>
          <t>Partida individual LUIZ SAVIO DE CAMPOS SIQUEIRA C</t>
        </is>
      </c>
    </row>
    <row r="4789">
      <c r="A4789" t="inlineStr">
        <is>
          <t>EM000023</t>
        </is>
      </c>
      <c r="B4789" t="inlineStr">
        <is>
          <t>RAFAEL MACHADO SALLES</t>
        </is>
      </c>
      <c r="C4789" t="n">
        <v>1117730000</v>
      </c>
      <c r="D4789" t="inlineStr">
        <is>
          <t>Nordex Employees</t>
        </is>
      </c>
      <c r="E4789" t="n">
        <v>1100049930</v>
      </c>
      <c r="F4789" t="inlineStr">
        <is>
          <t>CC 12.2025</t>
        </is>
      </c>
      <c r="G4789" t="inlineStr">
        <is>
          <t>AB</t>
        </is>
      </c>
      <c r="H4789" s="12" t="n">
        <v>1358.03</v>
      </c>
      <c r="I4789" s="17" t="n">
        <v>46010</v>
      </c>
      <c r="J4789" s="17" t="n">
        <v>46010</v>
      </c>
      <c r="K4789" t="inlineStr">
        <is>
          <t>Partida individual RAFAEL MACHADO SALLES CC 12.202</t>
        </is>
      </c>
    </row>
    <row r="4790">
      <c r="A4790" t="inlineStr">
        <is>
          <t>EM000080</t>
        </is>
      </c>
      <c r="B4790" t="inlineStr">
        <is>
          <t>SAIRON DOS SANTOS BASTOS</t>
        </is>
      </c>
      <c r="C4790" t="n">
        <v>1117730000</v>
      </c>
      <c r="D4790" t="inlineStr">
        <is>
          <t>Nordex Employees</t>
        </is>
      </c>
      <c r="E4790" t="n">
        <v>1100049930</v>
      </c>
      <c r="F4790" t="inlineStr">
        <is>
          <t>CC 12.2025</t>
        </is>
      </c>
      <c r="G4790" t="inlineStr">
        <is>
          <t>AB</t>
        </is>
      </c>
      <c r="H4790" s="12" t="n">
        <v>581.2</v>
      </c>
      <c r="I4790" s="17" t="n">
        <v>46010</v>
      </c>
      <c r="J4790" s="17" t="n">
        <v>46010</v>
      </c>
      <c r="K4790" t="inlineStr">
        <is>
          <t>Partida individual SAIRON DOS SANTOS BASTOS CC 12.</t>
        </is>
      </c>
    </row>
    <row r="4791">
      <c r="A4791" t="inlineStr">
        <is>
          <t>EM000281</t>
        </is>
      </c>
      <c r="B4791" t="inlineStr">
        <is>
          <t>VANESSA REGINA DE CAMARGO</t>
        </is>
      </c>
      <c r="C4791" t="n">
        <v>1117730000</v>
      </c>
      <c r="D4791" t="inlineStr">
        <is>
          <t>Nordex Employees</t>
        </is>
      </c>
      <c r="E4791" t="n">
        <v>1100049930</v>
      </c>
      <c r="F4791" t="inlineStr">
        <is>
          <t>CC 12.2025</t>
        </is>
      </c>
      <c r="G4791" t="inlineStr">
        <is>
          <t>AB</t>
        </is>
      </c>
      <c r="H4791" s="12" t="n">
        <v>45</v>
      </c>
      <c r="I4791" s="17" t="n">
        <v>46010</v>
      </c>
      <c r="J4791" s="17" t="n">
        <v>46010</v>
      </c>
      <c r="K4791" t="inlineStr">
        <is>
          <t>Partida individual VANESSA REGINA DE CAMARGO CC 12</t>
        </is>
      </c>
    </row>
    <row r="4792">
      <c r="A4792" t="inlineStr">
        <is>
          <t>EM000127</t>
        </is>
      </c>
      <c r="B4792" t="inlineStr">
        <is>
          <t>GUSTAVO FERNANDES LIMA</t>
        </is>
      </c>
      <c r="C4792" t="n">
        <v>1117730000</v>
      </c>
      <c r="D4792" t="inlineStr">
        <is>
          <t>Nordex Employees</t>
        </is>
      </c>
      <c r="E4792" t="n">
        <v>1100050028</v>
      </c>
      <c r="F4792" t="inlineStr">
        <is>
          <t>CC 12.2025</t>
        </is>
      </c>
      <c r="G4792" t="inlineStr">
        <is>
          <t>AB</t>
        </is>
      </c>
      <c r="H4792" s="12" t="n">
        <v>1287.2</v>
      </c>
      <c r="I4792" s="17" t="n">
        <v>46009</v>
      </c>
      <c r="J4792" s="17" t="n">
        <v>46010</v>
      </c>
      <c r="K4792" t="inlineStr">
        <is>
          <t>Partida individual GUSTAVO FERNANDES LIMA CC 12.20</t>
        </is>
      </c>
    </row>
    <row r="4793">
      <c r="A4793" t="inlineStr">
        <is>
          <t>EM000100</t>
        </is>
      </c>
      <c r="B4793" t="inlineStr">
        <is>
          <t>GUSTAVO ROCHA PACHECO</t>
        </is>
      </c>
      <c r="C4793" t="n">
        <v>1117730000</v>
      </c>
      <c r="D4793" t="inlineStr">
        <is>
          <t>Nordex Employees</t>
        </is>
      </c>
      <c r="E4793" t="n">
        <v>1100050059</v>
      </c>
      <c r="F4793" t="inlineStr">
        <is>
          <t>CC 02.25</t>
        </is>
      </c>
      <c r="G4793" t="inlineStr">
        <is>
          <t>AB</t>
        </is>
      </c>
      <c r="H4793" s="12" t="n">
        <v>733.9299999999999</v>
      </c>
      <c r="I4793" s="17" t="n">
        <v>46021</v>
      </c>
      <c r="J4793" s="17" t="n">
        <v>45761</v>
      </c>
      <c r="K4793" t="inlineStr">
        <is>
          <t>Partida individual GUSTAVO ROCHA PACHECO CC 02.25</t>
        </is>
      </c>
    </row>
    <row r="4794">
      <c r="A4794" t="inlineStr">
        <is>
          <t>EM000648</t>
        </is>
      </c>
      <c r="B4794" t="inlineStr">
        <is>
          <t>JULIA SERAPHIM DE CASTRO</t>
        </is>
      </c>
      <c r="C4794" t="n">
        <v>1117730000</v>
      </c>
      <c r="D4794" t="inlineStr">
        <is>
          <t>Nordex Employees</t>
        </is>
      </c>
      <c r="E4794" t="n">
        <v>1300003464</v>
      </c>
      <c r="G4794" t="inlineStr">
        <is>
          <t>KZ</t>
        </is>
      </c>
      <c r="H4794" s="12" t="n">
        <v>2448.6</v>
      </c>
      <c r="I4794" s="17" t="n">
        <v>46147</v>
      </c>
      <c r="J4794" s="17" t="n">
        <v>46147</v>
      </c>
      <c r="K4794" t="inlineStr">
        <is>
          <t>Vendor DP Request JULIA SERAPHIM DE CASTRO 44271</t>
        </is>
      </c>
    </row>
    <row r="4795">
      <c r="A4795" t="inlineStr">
        <is>
          <t>EM000521</t>
        </is>
      </c>
      <c r="B4795" t="inlineStr">
        <is>
          <t>JOSE EDINELE MARTINS</t>
        </is>
      </c>
      <c r="C4795" t="n">
        <v>1117730000</v>
      </c>
      <c r="D4795" t="inlineStr">
        <is>
          <t>Nordex Employees</t>
        </is>
      </c>
      <c r="E4795" t="n">
        <v>1300004568</v>
      </c>
      <c r="G4795" t="inlineStr">
        <is>
          <t>KZ</t>
        </is>
      </c>
      <c r="H4795" s="12" t="n">
        <v>4030</v>
      </c>
      <c r="I4795" s="17" t="n">
        <v>46182</v>
      </c>
      <c r="J4795" s="17" t="n">
        <v>46182</v>
      </c>
      <c r="K4795" t="inlineStr">
        <is>
          <t>Vendor DP Request JOSE EDINELE MARTINS 51211</t>
        </is>
      </c>
    </row>
    <row r="4796">
      <c r="A4796" t="inlineStr">
        <is>
          <t>EM000521</t>
        </is>
      </c>
      <c r="B4796" t="inlineStr">
        <is>
          <t>JOSE EDINELE MARTINS</t>
        </is>
      </c>
      <c r="C4796" t="n">
        <v>1117730000</v>
      </c>
      <c r="D4796" t="inlineStr">
        <is>
          <t>Nordex Employees</t>
        </is>
      </c>
      <c r="E4796" t="n">
        <v>1300005656</v>
      </c>
      <c r="G4796" t="inlineStr">
        <is>
          <t>KZ</t>
        </is>
      </c>
      <c r="H4796" s="12" t="n">
        <v>1690</v>
      </c>
      <c r="I4796" s="17" t="n">
        <v>46223</v>
      </c>
      <c r="J4796" s="17" t="n">
        <v>46223</v>
      </c>
      <c r="K4796" t="inlineStr">
        <is>
          <t>Documento fornecedor JOSE EDINELE MARTINS 51211</t>
        </is>
      </c>
    </row>
    <row r="4797">
      <c r="A4797" t="inlineStr">
        <is>
          <t>EM000521</t>
        </is>
      </c>
      <c r="B4797" t="inlineStr">
        <is>
          <t>JOSE EDINELE MARTINS</t>
        </is>
      </c>
      <c r="C4797" t="n">
        <v>1117730000</v>
      </c>
      <c r="D4797" t="inlineStr">
        <is>
          <t>Nordex Employees</t>
        </is>
      </c>
      <c r="E4797" t="n">
        <v>1300005657</v>
      </c>
      <c r="G4797" t="inlineStr">
        <is>
          <t>KZ</t>
        </is>
      </c>
      <c r="H4797" s="12" t="n">
        <v>1950</v>
      </c>
      <c r="I4797" s="17" t="n">
        <v>46218</v>
      </c>
      <c r="J4797" s="17" t="n">
        <v>46218</v>
      </c>
      <c r="K4797" t="inlineStr">
        <is>
          <t>Documento fornecedor JOSE EDINELE MARTINS 51211</t>
        </is>
      </c>
    </row>
    <row r="4798">
      <c r="A4798" t="inlineStr">
        <is>
          <t>EM000521</t>
        </is>
      </c>
      <c r="B4798" t="inlineStr">
        <is>
          <t>JOSE EDINELE MARTINS</t>
        </is>
      </c>
      <c r="C4798" t="n">
        <v>1117730000</v>
      </c>
      <c r="D4798" t="inlineStr">
        <is>
          <t>Nordex Employees</t>
        </is>
      </c>
      <c r="E4798" t="n">
        <v>1300006087</v>
      </c>
      <c r="G4798" t="inlineStr">
        <is>
          <t>KZ</t>
        </is>
      </c>
      <c r="H4798" s="12" t="n">
        <v>1950</v>
      </c>
      <c r="I4798" s="17" t="n">
        <v>46245</v>
      </c>
      <c r="J4798" s="17" t="n">
        <v>46245</v>
      </c>
      <c r="K4798" t="inlineStr">
        <is>
          <t>Vendor DP Request JOSE EDINELE MARTINS 51211</t>
        </is>
      </c>
    </row>
    <row r="4799">
      <c r="A4799" t="inlineStr">
        <is>
          <t>EM003093</t>
        </is>
      </c>
      <c r="B4799" t="inlineStr">
        <is>
          <t>JAIRO DIAS RIBEIRO</t>
        </is>
      </c>
      <c r="C4799" t="n">
        <v>1117730000</v>
      </c>
      <c r="D4799" t="inlineStr">
        <is>
          <t>Nordex Employees</t>
        </is>
      </c>
      <c r="E4799" t="n">
        <v>1300008209</v>
      </c>
      <c r="G4799" t="inlineStr">
        <is>
          <t>KZ</t>
        </is>
      </c>
      <c r="H4799" s="12" t="n">
        <v>910</v>
      </c>
      <c r="I4799" s="17" t="n">
        <v>46002</v>
      </c>
      <c r="J4799" s="17" t="n">
        <v>46002</v>
      </c>
      <c r="K4799" t="inlineStr">
        <is>
          <t>Documento fornecedor JAIRO DIAS RIBEIRO 43618</t>
        </is>
      </c>
    </row>
    <row r="4800">
      <c r="A4800" t="inlineStr">
        <is>
          <t>EM003093</t>
        </is>
      </c>
      <c r="B4800" t="inlineStr">
        <is>
          <t>JAIRO DIAS RIBEIRO</t>
        </is>
      </c>
      <c r="C4800" t="n">
        <v>1117730000</v>
      </c>
      <c r="D4800" t="inlineStr">
        <is>
          <t>Nordex Employees</t>
        </is>
      </c>
      <c r="E4800" t="n">
        <v>1300008209</v>
      </c>
      <c r="G4800" t="inlineStr">
        <is>
          <t>KZ</t>
        </is>
      </c>
      <c r="H4800" s="12" t="n">
        <v>520</v>
      </c>
      <c r="I4800" s="17" t="n">
        <v>46002</v>
      </c>
      <c r="J4800" s="17" t="n">
        <v>46002</v>
      </c>
      <c r="K4800" t="inlineStr">
        <is>
          <t>Documento fornecedor JAIRO DIAS RIBEIRO 43679</t>
        </is>
      </c>
    </row>
    <row r="4801">
      <c r="A4801" t="inlineStr">
        <is>
          <t>EM000927</t>
        </is>
      </c>
      <c r="B4801" t="inlineStr">
        <is>
          <t>JOSE AELIO NASCIMENTO DA SILVA</t>
        </is>
      </c>
      <c r="C4801" t="n">
        <v>1117730000</v>
      </c>
      <c r="D4801" t="inlineStr">
        <is>
          <t>Nordex Employees</t>
        </is>
      </c>
      <c r="E4801" t="n">
        <v>2000000862</v>
      </c>
      <c r="G4801" t="inlineStr">
        <is>
          <t>ZP</t>
        </is>
      </c>
      <c r="H4801" s="12" t="n">
        <v>520</v>
      </c>
      <c r="I4801" s="17" t="n">
        <v>46029</v>
      </c>
      <c r="J4801" s="17" t="n">
        <v>46029</v>
      </c>
      <c r="K4801" t="inlineStr">
        <is>
          <t>Vendor DP Request JOSE AELIO NASCIMENTO DA SILVA 4</t>
        </is>
      </c>
    </row>
    <row r="4802">
      <c r="A4802" t="inlineStr">
        <is>
          <t>EM000048</t>
        </is>
      </c>
      <c r="B4802" t="inlineStr">
        <is>
          <t>ARLINDO ASTYZEM REGO</t>
        </is>
      </c>
      <c r="C4802" t="n">
        <v>1117730000</v>
      </c>
      <c r="D4802" t="inlineStr">
        <is>
          <t>Nordex Employees</t>
        </is>
      </c>
      <c r="E4802" t="n">
        <v>2000001288</v>
      </c>
      <c r="G4802" t="inlineStr">
        <is>
          <t>ZP</t>
        </is>
      </c>
      <c r="H4802" s="12" t="n">
        <v>780</v>
      </c>
      <c r="I4802" s="17" t="n">
        <v>46036</v>
      </c>
      <c r="J4802" s="17" t="n">
        <v>46036</v>
      </c>
      <c r="K4802" t="inlineStr">
        <is>
          <t>Vendor DP Request ARLINDO ASTYZEM REGO 43975</t>
        </is>
      </c>
    </row>
    <row r="4803">
      <c r="A4803" t="inlineStr">
        <is>
          <t>EM000549</t>
        </is>
      </c>
      <c r="B4803" t="inlineStr">
        <is>
          <t>ALISSON ALEXANDRE CARVALHO ARAUJO</t>
        </is>
      </c>
      <c r="C4803" t="n">
        <v>1117730000</v>
      </c>
      <c r="D4803" t="inlineStr">
        <is>
          <t>Nordex Employees</t>
        </is>
      </c>
      <c r="E4803" t="n">
        <v>2000001336</v>
      </c>
      <c r="G4803" t="inlineStr">
        <is>
          <t>ZP</t>
        </is>
      </c>
      <c r="H4803" s="12" t="n">
        <v>520</v>
      </c>
      <c r="I4803" s="17" t="n">
        <v>46036</v>
      </c>
      <c r="J4803" s="17" t="n">
        <v>46036</v>
      </c>
      <c r="K4803" t="inlineStr">
        <is>
          <t>Vendor DP Request ALISSON ALEXANDRE CARVALHO ARAUJ</t>
        </is>
      </c>
    </row>
    <row r="4804">
      <c r="A4804" t="inlineStr">
        <is>
          <t>EM003135</t>
        </is>
      </c>
      <c r="B4804" t="inlineStr">
        <is>
          <t>DAMIÃO FERREIRA</t>
        </is>
      </c>
      <c r="C4804" t="n">
        <v>1117730000</v>
      </c>
      <c r="D4804" t="inlineStr">
        <is>
          <t>Nordex Employees</t>
        </is>
      </c>
      <c r="E4804" t="n">
        <v>2000001365</v>
      </c>
      <c r="G4804" t="inlineStr">
        <is>
          <t>ZP</t>
        </is>
      </c>
      <c r="H4804" s="12" t="n">
        <v>1300</v>
      </c>
      <c r="I4804" s="17" t="n">
        <v>46036</v>
      </c>
      <c r="J4804" s="17" t="n">
        <v>46036</v>
      </c>
      <c r="K4804" t="inlineStr">
        <is>
          <t>Vendor DP Request DAMIÃO FERREIRA 43851</t>
        </is>
      </c>
    </row>
    <row r="4805">
      <c r="A4805" t="inlineStr">
        <is>
          <t>EM000134</t>
        </is>
      </c>
      <c r="B4805" t="inlineStr">
        <is>
          <t>FRED LACERDA MACEDO</t>
        </is>
      </c>
      <c r="C4805" t="n">
        <v>1117730000</v>
      </c>
      <c r="D4805" t="inlineStr">
        <is>
          <t>Nordex Employees</t>
        </is>
      </c>
      <c r="E4805" t="n">
        <v>2000001657</v>
      </c>
      <c r="G4805" t="inlineStr">
        <is>
          <t>ZP</t>
        </is>
      </c>
      <c r="H4805" s="12" t="n">
        <v>910</v>
      </c>
      <c r="I4805" s="17" t="n">
        <v>46050</v>
      </c>
      <c r="J4805" s="17" t="n">
        <v>46050</v>
      </c>
      <c r="K4805" t="inlineStr">
        <is>
          <t>Vendor DP Request FRED LACERDA MACEDO 44178</t>
        </is>
      </c>
    </row>
    <row r="4806">
      <c r="A4806" t="inlineStr">
        <is>
          <t>EM003480</t>
        </is>
      </c>
      <c r="B4806" t="inlineStr">
        <is>
          <t>ISLAILSON MARTINS MACIEL ABREU</t>
        </is>
      </c>
      <c r="C4806" t="n">
        <v>1117730000</v>
      </c>
      <c r="D4806" t="inlineStr">
        <is>
          <t>Nordex Employees</t>
        </is>
      </c>
      <c r="E4806" t="n">
        <v>2000001699</v>
      </c>
      <c r="G4806" t="inlineStr">
        <is>
          <t>ZP</t>
        </is>
      </c>
      <c r="H4806" s="12" t="n">
        <v>910</v>
      </c>
      <c r="I4806" s="17" t="n">
        <v>46050</v>
      </c>
      <c r="J4806" s="17" t="n">
        <v>46050</v>
      </c>
      <c r="K4806" t="inlineStr">
        <is>
          <t>Vendor DP Request ISLAILSON MARTINS MACIEL ABREU 4</t>
        </is>
      </c>
    </row>
    <row r="4807">
      <c r="A4807" t="inlineStr">
        <is>
          <t>EM000423</t>
        </is>
      </c>
      <c r="B4807" t="inlineStr">
        <is>
          <t>CARLOS GUILHERME RODRIGUES DA SILVA</t>
        </is>
      </c>
      <c r="C4807" t="n">
        <v>1117730000</v>
      </c>
      <c r="D4807" t="inlineStr">
        <is>
          <t>Nordex Employees</t>
        </is>
      </c>
      <c r="E4807" t="n">
        <v>2000001829</v>
      </c>
      <c r="G4807" t="inlineStr">
        <is>
          <t>ZP</t>
        </is>
      </c>
      <c r="H4807" s="12" t="n">
        <v>260</v>
      </c>
      <c r="I4807" s="17" t="n">
        <v>46057</v>
      </c>
      <c r="J4807" s="17" t="n">
        <v>46057</v>
      </c>
      <c r="K4807" t="inlineStr">
        <is>
          <t>Vendor DP Request CARLOS GUILHERME RODRIGUES DA SI</t>
        </is>
      </c>
    </row>
    <row r="4808">
      <c r="A4808" t="inlineStr">
        <is>
          <t>EM000868</t>
        </is>
      </c>
      <c r="B4808" t="inlineStr">
        <is>
          <t>BERNARDO SÉRGIO MENDONÇA</t>
        </is>
      </c>
      <c r="C4808" t="n">
        <v>1117730000</v>
      </c>
      <c r="D4808" t="inlineStr">
        <is>
          <t>Nordex Employees</t>
        </is>
      </c>
      <c r="E4808" t="n">
        <v>2000001842</v>
      </c>
      <c r="G4808" t="inlineStr">
        <is>
          <t>ZP</t>
        </is>
      </c>
      <c r="H4808" s="12" t="n">
        <v>1690</v>
      </c>
      <c r="I4808" s="17" t="n">
        <v>46057</v>
      </c>
      <c r="J4808" s="17" t="n">
        <v>46057</v>
      </c>
      <c r="K4808" t="inlineStr">
        <is>
          <t>Vendor DP Request BERNARDO SÉRGIO MENDONÇA 44238</t>
        </is>
      </c>
    </row>
    <row r="4809">
      <c r="A4809" t="inlineStr">
        <is>
          <t>EM000128</t>
        </is>
      </c>
      <c r="B4809" t="inlineStr">
        <is>
          <t>FRANCISCO MARDONIO TORRES DA SILVA</t>
        </is>
      </c>
      <c r="C4809" t="n">
        <v>1117730000</v>
      </c>
      <c r="D4809" t="inlineStr">
        <is>
          <t>Nordex Employees</t>
        </is>
      </c>
      <c r="E4809" t="n">
        <v>2000002877</v>
      </c>
      <c r="G4809" t="inlineStr">
        <is>
          <t>ZP</t>
        </is>
      </c>
      <c r="H4809" s="12" t="n">
        <v>910</v>
      </c>
      <c r="I4809" s="17" t="n">
        <v>46072</v>
      </c>
      <c r="J4809" s="17" t="n">
        <v>46072</v>
      </c>
      <c r="K4809" t="inlineStr">
        <is>
          <t>Vendor DP Request FRANCISCO MARDONIO TORRES DA SIL</t>
        </is>
      </c>
    </row>
    <row r="4810">
      <c r="A4810" t="inlineStr">
        <is>
          <t>EM000145</t>
        </is>
      </c>
      <c r="B4810" t="inlineStr">
        <is>
          <t>THIAGO SPINOSA</t>
        </is>
      </c>
      <c r="C4810" t="n">
        <v>1117730000</v>
      </c>
      <c r="D4810" t="inlineStr">
        <is>
          <t>Nordex Employees</t>
        </is>
      </c>
      <c r="E4810" t="n">
        <v>2000002878</v>
      </c>
      <c r="G4810" t="inlineStr">
        <is>
          <t>ZP</t>
        </is>
      </c>
      <c r="H4810" s="12" t="n">
        <v>420</v>
      </c>
      <c r="I4810" s="17" t="n">
        <v>46072</v>
      </c>
      <c r="J4810" s="17" t="n">
        <v>46072</v>
      </c>
      <c r="K4810" t="inlineStr">
        <is>
          <t>Vendor DP Request THIAGO SPINOSA 44353</t>
        </is>
      </c>
    </row>
    <row r="4811">
      <c r="A4811" t="inlineStr">
        <is>
          <t>EM000964</t>
        </is>
      </c>
      <c r="B4811" t="inlineStr">
        <is>
          <t>ANA MARIA BOTELHO FONSECA</t>
        </is>
      </c>
      <c r="C4811" t="n">
        <v>1117730000</v>
      </c>
      <c r="D4811" t="inlineStr">
        <is>
          <t>Nordex Employees</t>
        </is>
      </c>
      <c r="E4811" t="n">
        <v>2000002912</v>
      </c>
      <c r="G4811" t="inlineStr">
        <is>
          <t>ZP</t>
        </is>
      </c>
      <c r="H4811" s="12" t="n">
        <v>1869</v>
      </c>
      <c r="I4811" s="17" t="n">
        <v>46072</v>
      </c>
      <c r="J4811" s="17" t="n">
        <v>46072</v>
      </c>
      <c r="K4811" t="inlineStr">
        <is>
          <t>Vendor DP Request ANA MARIA BOTELHO FONSECA 44251</t>
        </is>
      </c>
    </row>
    <row r="4812">
      <c r="A4812" t="inlineStr">
        <is>
          <t>EM000928</t>
        </is>
      </c>
      <c r="B4812" t="inlineStr">
        <is>
          <t>LUCAS VINICIUS ALENCAR RIBEIRO</t>
        </is>
      </c>
      <c r="C4812" t="n">
        <v>1117730000</v>
      </c>
      <c r="D4812" t="inlineStr">
        <is>
          <t>Nordex Employees</t>
        </is>
      </c>
      <c r="E4812" t="n">
        <v>2000003073</v>
      </c>
      <c r="G4812" t="inlineStr">
        <is>
          <t>ZP</t>
        </is>
      </c>
      <c r="H4812" s="12" t="n">
        <v>260</v>
      </c>
      <c r="I4812" s="17" t="n">
        <v>46078</v>
      </c>
      <c r="J4812" s="17" t="n">
        <v>46078</v>
      </c>
      <c r="K4812" t="inlineStr">
        <is>
          <t>Vendor DP Request LUCAS VINICIUS ALENCAR RIBEIRO 4</t>
        </is>
      </c>
    </row>
    <row r="4813">
      <c r="A4813" t="inlineStr">
        <is>
          <t>EM000038</t>
        </is>
      </c>
      <c r="B4813" t="inlineStr">
        <is>
          <t>FRANCISCO BENEDITO FILHO</t>
        </is>
      </c>
      <c r="C4813" t="n">
        <v>1117730000</v>
      </c>
      <c r="D4813" t="inlineStr">
        <is>
          <t>Nordex Employees</t>
        </is>
      </c>
      <c r="E4813" t="n">
        <v>2000003210</v>
      </c>
      <c r="G4813" t="inlineStr">
        <is>
          <t>ZP</t>
        </is>
      </c>
      <c r="H4813" s="12" t="n">
        <v>650</v>
      </c>
      <c r="I4813" s="17" t="n">
        <v>46085</v>
      </c>
      <c r="J4813" s="17" t="n">
        <v>46085</v>
      </c>
      <c r="K4813" t="inlineStr">
        <is>
          <t>Vendor DP Request FRANCISCO BENEDITO FILHO 44428</t>
        </is>
      </c>
    </row>
    <row r="4814">
      <c r="A4814" t="inlineStr">
        <is>
          <t>EM000391</t>
        </is>
      </c>
      <c r="B4814" t="inlineStr">
        <is>
          <t>GERLAN DA SILVA SAMPAIO</t>
        </is>
      </c>
      <c r="C4814" t="n">
        <v>1117730000</v>
      </c>
      <c r="D4814" t="inlineStr">
        <is>
          <t>Nordex Employees</t>
        </is>
      </c>
      <c r="E4814" t="n">
        <v>2000003244</v>
      </c>
      <c r="G4814" t="inlineStr">
        <is>
          <t>ZP</t>
        </is>
      </c>
      <c r="H4814" s="12" t="n">
        <v>2574.26</v>
      </c>
      <c r="I4814" s="17" t="n">
        <v>46085</v>
      </c>
      <c r="J4814" s="17" t="n">
        <v>46085</v>
      </c>
      <c r="K4814" t="inlineStr">
        <is>
          <t>Vendor DP Request GERLAN DA SILVA SAMPAIO 44410</t>
        </is>
      </c>
    </row>
    <row r="4815">
      <c r="A4815" t="inlineStr">
        <is>
          <t>EM000746</t>
        </is>
      </c>
      <c r="B4815" t="inlineStr">
        <is>
          <t>FABIO SANTIAGO GOMES</t>
        </is>
      </c>
      <c r="C4815" t="n">
        <v>1117730000</v>
      </c>
      <c r="D4815" t="inlineStr">
        <is>
          <t>Nordex Employees</t>
        </is>
      </c>
      <c r="E4815" t="n">
        <v>2000003268</v>
      </c>
      <c r="G4815" t="inlineStr">
        <is>
          <t>ZP</t>
        </is>
      </c>
      <c r="H4815" s="12" t="n">
        <v>2210</v>
      </c>
      <c r="I4815" s="17" t="n">
        <v>46085</v>
      </c>
      <c r="J4815" s="17" t="n">
        <v>46085</v>
      </c>
      <c r="K4815" t="inlineStr">
        <is>
          <t>Vendor DP Request FABIO SANTIAGO GOMES 44408</t>
        </is>
      </c>
    </row>
    <row r="4816">
      <c r="A4816" t="inlineStr">
        <is>
          <t>EM000895</t>
        </is>
      </c>
      <c r="B4816" t="inlineStr">
        <is>
          <t>IVONALDO FERNANDES DOS SANTOS</t>
        </is>
      </c>
      <c r="C4816" t="n">
        <v>1117730000</v>
      </c>
      <c r="D4816" t="inlineStr">
        <is>
          <t>Nordex Employees</t>
        </is>
      </c>
      <c r="E4816" t="n">
        <v>2000003276</v>
      </c>
      <c r="G4816" t="inlineStr">
        <is>
          <t>ZP</t>
        </is>
      </c>
      <c r="H4816" s="12" t="n">
        <v>650</v>
      </c>
      <c r="I4816" s="17" t="n">
        <v>46085</v>
      </c>
      <c r="J4816" s="17" t="n">
        <v>46085</v>
      </c>
      <c r="K4816" t="inlineStr">
        <is>
          <t>Vendor DP Request IVONALDO FERNANDES DOS SANTOS 44</t>
        </is>
      </c>
    </row>
    <row r="4817">
      <c r="A4817" t="inlineStr">
        <is>
          <t>EM003521</t>
        </is>
      </c>
      <c r="B4817" t="inlineStr">
        <is>
          <t>CLAUDIO COELHO</t>
        </is>
      </c>
      <c r="C4817" t="n">
        <v>1117730000</v>
      </c>
      <c r="D4817" t="inlineStr">
        <is>
          <t>Nordex Employees</t>
        </is>
      </c>
      <c r="E4817" t="n">
        <v>2000003287</v>
      </c>
      <c r="G4817" t="inlineStr">
        <is>
          <t>ZP</t>
        </is>
      </c>
      <c r="H4817" s="12" t="n">
        <v>910</v>
      </c>
      <c r="I4817" s="17" t="n">
        <v>46085</v>
      </c>
      <c r="J4817" s="17" t="n">
        <v>46085</v>
      </c>
      <c r="K4817" t="inlineStr">
        <is>
          <t>Vendor DP Request CLAUDIO COELHO 44336</t>
        </is>
      </c>
    </row>
    <row r="4818">
      <c r="A4818" t="inlineStr">
        <is>
          <t>EM000556</t>
        </is>
      </c>
      <c r="B4818" t="inlineStr">
        <is>
          <t>LUIZ BRAULY RODRIGUES DE AZEVEDO</t>
        </is>
      </c>
      <c r="C4818" t="n">
        <v>1117730000</v>
      </c>
      <c r="D4818" t="inlineStr">
        <is>
          <t>Nordex Employees</t>
        </is>
      </c>
      <c r="E4818" t="n">
        <v>2000004699</v>
      </c>
      <c r="G4818" t="inlineStr">
        <is>
          <t>ZP</t>
        </is>
      </c>
      <c r="H4818" s="12" t="n">
        <v>650</v>
      </c>
      <c r="I4818" s="17" t="n">
        <v>46092</v>
      </c>
      <c r="J4818" s="17" t="n">
        <v>46092</v>
      </c>
      <c r="K4818" t="inlineStr">
        <is>
          <t>Vendor DP Request LUIZ BRAULY RODRIGUES DE AZEVEDO</t>
        </is>
      </c>
    </row>
    <row r="4819">
      <c r="A4819" t="inlineStr">
        <is>
          <t>EM000654</t>
        </is>
      </c>
      <c r="B4819" t="inlineStr">
        <is>
          <t>FRANCISCO THOMAZ AMIRATI UCHOA</t>
        </is>
      </c>
      <c r="C4819" t="n">
        <v>1117730000</v>
      </c>
      <c r="D4819" t="inlineStr">
        <is>
          <t>Nordex Employees</t>
        </is>
      </c>
      <c r="E4819" t="n">
        <v>2000004701</v>
      </c>
      <c r="G4819" t="inlineStr">
        <is>
          <t>ZP</t>
        </is>
      </c>
      <c r="H4819" s="12" t="n">
        <v>2185.2</v>
      </c>
      <c r="I4819" s="17" t="n">
        <v>46092</v>
      </c>
      <c r="J4819" s="17" t="n">
        <v>46092</v>
      </c>
      <c r="K4819" t="inlineStr">
        <is>
          <t>Vendor DP Request FRANCISCO THOMAZ AMIRATI UCHOA 4</t>
        </is>
      </c>
    </row>
    <row r="4820">
      <c r="A4820" t="inlineStr">
        <is>
          <t>EM000883</t>
        </is>
      </c>
      <c r="B4820" t="inlineStr">
        <is>
          <t>GLINTON LEONARDO FERNANDES PEREIRA</t>
        </is>
      </c>
      <c r="C4820" t="n">
        <v>1117730000</v>
      </c>
      <c r="D4820" t="inlineStr">
        <is>
          <t>Nordex Employees</t>
        </is>
      </c>
      <c r="E4820" t="n">
        <v>2000004713</v>
      </c>
      <c r="G4820" t="inlineStr">
        <is>
          <t>ZP</t>
        </is>
      </c>
      <c r="H4820" s="12" t="n">
        <v>390</v>
      </c>
      <c r="I4820" s="17" t="n">
        <v>46092</v>
      </c>
      <c r="J4820" s="17" t="n">
        <v>46092</v>
      </c>
      <c r="K4820" t="inlineStr">
        <is>
          <t>Vendor DP Request GLINTON LEONARDO FERNANDES PEREI</t>
        </is>
      </c>
    </row>
    <row r="4821">
      <c r="A4821" t="inlineStr">
        <is>
          <t>EM000281</t>
        </is>
      </c>
      <c r="B4821" t="inlineStr">
        <is>
          <t>VANESSA REGINA DE CAMARGO</t>
        </is>
      </c>
      <c r="C4821" t="n">
        <v>1117730000</v>
      </c>
      <c r="D4821" t="inlineStr">
        <is>
          <t>Nordex Employees</t>
        </is>
      </c>
      <c r="E4821" t="n">
        <v>2000004781</v>
      </c>
      <c r="G4821" t="inlineStr">
        <is>
          <t>ZP</t>
        </is>
      </c>
      <c r="H4821" s="12" t="n">
        <v>2304</v>
      </c>
      <c r="I4821" s="17" t="n">
        <v>45700</v>
      </c>
      <c r="J4821" s="17" t="n">
        <v>45700</v>
      </c>
      <c r="K4821" t="inlineStr">
        <is>
          <t>Documento fornecedor VANESSA REGINA DE CAMARGO PLA</t>
        </is>
      </c>
    </row>
    <row r="4822">
      <c r="A4822" t="inlineStr">
        <is>
          <t>EM000746</t>
        </is>
      </c>
      <c r="B4822" t="inlineStr">
        <is>
          <t>FABIO SANTIAGO GOMES</t>
        </is>
      </c>
      <c r="C4822" t="n">
        <v>1117730000</v>
      </c>
      <c r="D4822" t="inlineStr">
        <is>
          <t>Nordex Employees</t>
        </is>
      </c>
      <c r="E4822" t="n">
        <v>2000004945</v>
      </c>
      <c r="G4822" t="inlineStr">
        <is>
          <t>ZP</t>
        </is>
      </c>
      <c r="H4822" s="12" t="n">
        <v>1300</v>
      </c>
      <c r="I4822" s="17" t="n">
        <v>46099</v>
      </c>
      <c r="J4822" s="17" t="n">
        <v>46099</v>
      </c>
      <c r="K4822" t="inlineStr">
        <is>
          <t>Vendor DP Request FABIO SANTIAGO GOMES 45573</t>
        </is>
      </c>
    </row>
    <row r="4823">
      <c r="A4823" t="inlineStr">
        <is>
          <t>EM000396</t>
        </is>
      </c>
      <c r="B4823" t="inlineStr">
        <is>
          <t>WALTIRLLEY FERREIRA DA COSTA</t>
        </is>
      </c>
      <c r="C4823" t="n">
        <v>1117730000</v>
      </c>
      <c r="D4823" t="inlineStr">
        <is>
          <t>Nordex Employees</t>
        </is>
      </c>
      <c r="E4823" t="n">
        <v>2000005172</v>
      </c>
      <c r="F4823" t="inlineStr">
        <is>
          <t>32990</t>
        </is>
      </c>
      <c r="G4823" t="inlineStr">
        <is>
          <t>ZP</t>
        </is>
      </c>
      <c r="H4823" s="12" t="n">
        <v>130</v>
      </c>
      <c r="I4823" s="17" t="n">
        <v>46097</v>
      </c>
      <c r="J4823" s="17" t="n">
        <v>46097</v>
      </c>
      <c r="K4823" t="inlineStr">
        <is>
          <t>Documento fornecedor WALTIRLLEY FERREIRA DA COSTA</t>
        </is>
      </c>
    </row>
    <row r="4824">
      <c r="A4824" t="inlineStr">
        <is>
          <t>EM000666</t>
        </is>
      </c>
      <c r="B4824" t="inlineStr">
        <is>
          <t>FAGNER OLIVEIRA DA SILVA</t>
        </is>
      </c>
      <c r="C4824" t="n">
        <v>1117730000</v>
      </c>
      <c r="D4824" t="inlineStr">
        <is>
          <t>Nordex Employees</t>
        </is>
      </c>
      <c r="E4824" t="n">
        <v>2000005333</v>
      </c>
      <c r="G4824" t="inlineStr">
        <is>
          <t>ZP</t>
        </is>
      </c>
      <c r="H4824" s="12" t="n">
        <v>130</v>
      </c>
      <c r="I4824" s="17" t="n">
        <v>46113</v>
      </c>
      <c r="J4824" s="17" t="n">
        <v>46113</v>
      </c>
      <c r="K4824" t="inlineStr">
        <is>
          <t>Vendor DP Request FAGNER OLIVEIRA DA SILVA 45579</t>
        </is>
      </c>
    </row>
    <row r="4825">
      <c r="A4825" t="inlineStr">
        <is>
          <t>EM000747</t>
        </is>
      </c>
      <c r="B4825" t="inlineStr">
        <is>
          <t>IGOR RAFAEL DA SILVA RAMOS</t>
        </is>
      </c>
      <c r="C4825" t="n">
        <v>1117730000</v>
      </c>
      <c r="D4825" t="inlineStr">
        <is>
          <t>Nordex Employees</t>
        </is>
      </c>
      <c r="E4825" t="n">
        <v>2000005732</v>
      </c>
      <c r="G4825" t="inlineStr">
        <is>
          <t>ZP</t>
        </is>
      </c>
      <c r="H4825" s="12" t="n">
        <v>300</v>
      </c>
      <c r="I4825" s="17" t="n">
        <v>45441</v>
      </c>
      <c r="J4825" s="17" t="n">
        <v>45441</v>
      </c>
      <c r="K4825" t="inlineStr">
        <is>
          <t>Documento fornecedor IGOR RAFAEL DA SILVA RAMOS PL</t>
        </is>
      </c>
    </row>
    <row r="4826">
      <c r="A4826" t="inlineStr">
        <is>
          <t>EM000237</t>
        </is>
      </c>
      <c r="B4826" t="inlineStr">
        <is>
          <t>PEDRO DA CRUZ SILVA JUNIOR</t>
        </is>
      </c>
      <c r="C4826" t="n">
        <v>1117730000</v>
      </c>
      <c r="D4826" t="inlineStr">
        <is>
          <t>Nordex Employees</t>
        </is>
      </c>
      <c r="E4826" t="n">
        <v>2000005788</v>
      </c>
      <c r="G4826" t="inlineStr">
        <is>
          <t>ZP</t>
        </is>
      </c>
      <c r="H4826" s="12" t="n">
        <v>520</v>
      </c>
      <c r="I4826" s="17" t="n">
        <v>46120</v>
      </c>
      <c r="J4826" s="17" t="n">
        <v>46120</v>
      </c>
      <c r="K4826" t="inlineStr">
        <is>
          <t>Vendor DP Request PEDRO DA CRUZ SILVA JUNIOR 48720</t>
        </is>
      </c>
    </row>
    <row r="4827">
      <c r="A4827" t="inlineStr">
        <is>
          <t>EM000237</t>
        </is>
      </c>
      <c r="B4827" t="inlineStr">
        <is>
          <t>PEDRO DA CRUZ SILVA JUNIOR</t>
        </is>
      </c>
      <c r="C4827" t="n">
        <v>1117730000</v>
      </c>
      <c r="D4827" t="inlineStr">
        <is>
          <t>Nordex Employees</t>
        </is>
      </c>
      <c r="E4827" t="n">
        <v>2000005789</v>
      </c>
      <c r="G4827" t="inlineStr">
        <is>
          <t>ZP</t>
        </is>
      </c>
      <c r="H4827" s="12" t="n">
        <v>1170</v>
      </c>
      <c r="I4827" s="17" t="n">
        <v>46120</v>
      </c>
      <c r="J4827" s="17" t="n">
        <v>46120</v>
      </c>
      <c r="K4827" t="inlineStr">
        <is>
          <t>Vendor DP Request PEDRO DA CRUZ SILVA JUNIOR 48721</t>
        </is>
      </c>
    </row>
    <row r="4828">
      <c r="A4828" t="inlineStr">
        <is>
          <t>EM000391</t>
        </is>
      </c>
      <c r="B4828" t="inlineStr">
        <is>
          <t>GERLAN DA SILVA SAMPAIO</t>
        </is>
      </c>
      <c r="C4828" t="n">
        <v>1117730000</v>
      </c>
      <c r="D4828" t="inlineStr">
        <is>
          <t>Nordex Employees</t>
        </is>
      </c>
      <c r="E4828" t="n">
        <v>2000005797</v>
      </c>
      <c r="G4828" t="inlineStr">
        <is>
          <t>ZP</t>
        </is>
      </c>
      <c r="H4828" s="12" t="n">
        <v>780</v>
      </c>
      <c r="I4828" s="17" t="n">
        <v>46120</v>
      </c>
      <c r="J4828" s="17" t="n">
        <v>46120</v>
      </c>
      <c r="K4828" t="inlineStr">
        <is>
          <t>Vendor DP Request GERLAN DA SILVA SAMPAIO 46667</t>
        </is>
      </c>
    </row>
    <row r="4829">
      <c r="A4829" t="inlineStr">
        <is>
          <t>EM000470</t>
        </is>
      </c>
      <c r="B4829" t="inlineStr">
        <is>
          <t>GUILHERME ROSSONI DOS SANTOS</t>
        </is>
      </c>
      <c r="C4829" t="n">
        <v>1117730000</v>
      </c>
      <c r="D4829" t="inlineStr">
        <is>
          <t>Nordex Employees</t>
        </is>
      </c>
      <c r="E4829" t="n">
        <v>2000005808</v>
      </c>
      <c r="G4829" t="inlineStr">
        <is>
          <t>ZP</t>
        </is>
      </c>
      <c r="H4829" s="12" t="n">
        <v>650</v>
      </c>
      <c r="I4829" s="17" t="n">
        <v>46120</v>
      </c>
      <c r="J4829" s="17" t="n">
        <v>46120</v>
      </c>
      <c r="K4829" t="inlineStr">
        <is>
          <t>Vendor DP Request GUILHERME ROSSONI DOS SANTOS 444</t>
        </is>
      </c>
    </row>
    <row r="4830">
      <c r="A4830" t="inlineStr">
        <is>
          <t>EM000423</t>
        </is>
      </c>
      <c r="B4830" t="inlineStr">
        <is>
          <t>CARLOS GUILHERME RODRIGUES DA SILVA</t>
        </is>
      </c>
      <c r="C4830" t="n">
        <v>1117730000</v>
      </c>
      <c r="D4830" t="inlineStr">
        <is>
          <t>Nordex Employees</t>
        </is>
      </c>
      <c r="E4830" t="n">
        <v>2000006543</v>
      </c>
      <c r="G4830" t="inlineStr">
        <is>
          <t>ZP</t>
        </is>
      </c>
      <c r="H4830" s="12" t="n">
        <v>780</v>
      </c>
      <c r="I4830" s="17" t="n">
        <v>46127</v>
      </c>
      <c r="J4830" s="17" t="n">
        <v>46127</v>
      </c>
      <c r="K4830" t="inlineStr">
        <is>
          <t>Vendor DP Request CARLOS GUILHERME RODRIGUES DA SI</t>
        </is>
      </c>
    </row>
    <row r="4831">
      <c r="A4831" t="inlineStr">
        <is>
          <t>EM000428</t>
        </is>
      </c>
      <c r="B4831" t="inlineStr">
        <is>
          <t>EVALDO SOARES DA SILVEIRA</t>
        </is>
      </c>
      <c r="C4831" t="n">
        <v>1117730000</v>
      </c>
      <c r="D4831" t="inlineStr">
        <is>
          <t>Nordex Employees</t>
        </is>
      </c>
      <c r="E4831" t="n">
        <v>2000006544</v>
      </c>
      <c r="G4831" t="inlineStr">
        <is>
          <t>ZP</t>
        </is>
      </c>
      <c r="H4831" s="12" t="n">
        <v>4030</v>
      </c>
      <c r="I4831" s="17" t="n">
        <v>46127</v>
      </c>
      <c r="J4831" s="17" t="n">
        <v>46127</v>
      </c>
      <c r="K4831" t="inlineStr">
        <is>
          <t>Vendor DP Request EVALDO SOARES DA SILVEIRA 48782</t>
        </is>
      </c>
    </row>
    <row r="4832">
      <c r="A4832" t="inlineStr">
        <is>
          <t>EM000879</t>
        </is>
      </c>
      <c r="B4832" t="inlineStr">
        <is>
          <t>JOSE LUIS COELHO DE SOUSA</t>
        </is>
      </c>
      <c r="C4832" t="n">
        <v>1117730000</v>
      </c>
      <c r="D4832" t="inlineStr">
        <is>
          <t>Nordex Employees</t>
        </is>
      </c>
      <c r="E4832" t="n">
        <v>2000006563</v>
      </c>
      <c r="G4832" t="inlineStr">
        <is>
          <t>ZP</t>
        </is>
      </c>
      <c r="H4832" s="12" t="n">
        <v>910</v>
      </c>
      <c r="I4832" s="17" t="n">
        <v>46127</v>
      </c>
      <c r="J4832" s="17" t="n">
        <v>46127</v>
      </c>
      <c r="K4832" t="inlineStr">
        <is>
          <t>Vendor DP Request JOSE LUIS COELHO DE SOUSA 48798</t>
        </is>
      </c>
    </row>
    <row r="4833">
      <c r="A4833" t="inlineStr">
        <is>
          <t>EM000895</t>
        </is>
      </c>
      <c r="B4833" t="inlineStr">
        <is>
          <t>IVONALDO FERNANDES DOS SANTOS</t>
        </is>
      </c>
      <c r="C4833" t="n">
        <v>1117730000</v>
      </c>
      <c r="D4833" t="inlineStr">
        <is>
          <t>Nordex Employees</t>
        </is>
      </c>
      <c r="E4833" t="n">
        <v>2000006567</v>
      </c>
      <c r="G4833" t="inlineStr">
        <is>
          <t>ZP</t>
        </is>
      </c>
      <c r="H4833" s="12" t="n">
        <v>650</v>
      </c>
      <c r="I4833" s="17" t="n">
        <v>46127</v>
      </c>
      <c r="J4833" s="17" t="n">
        <v>46127</v>
      </c>
      <c r="K4833" t="inlineStr">
        <is>
          <t>Vendor DP Request IVONALDO FERNANDES DOS SANTOS 48</t>
        </is>
      </c>
    </row>
    <row r="4834">
      <c r="A4834" t="inlineStr">
        <is>
          <t>EM000964</t>
        </is>
      </c>
      <c r="B4834" t="inlineStr">
        <is>
          <t>ANA MARIA BOTELHO FONSECA</t>
        </is>
      </c>
      <c r="C4834" t="n">
        <v>1117730000</v>
      </c>
      <c r="D4834" t="inlineStr">
        <is>
          <t>Nordex Employees</t>
        </is>
      </c>
      <c r="E4834" t="n">
        <v>2000006570</v>
      </c>
      <c r="G4834" t="inlineStr">
        <is>
          <t>ZP</t>
        </is>
      </c>
      <c r="H4834" s="12" t="n">
        <v>1887</v>
      </c>
      <c r="I4834" s="17" t="n">
        <v>46127</v>
      </c>
      <c r="J4834" s="17" t="n">
        <v>46127</v>
      </c>
      <c r="K4834" t="inlineStr">
        <is>
          <t>Vendor DP Request ANA MARIA BOTELHO FONSECA 46649</t>
        </is>
      </c>
    </row>
    <row r="4835">
      <c r="A4835" t="inlineStr">
        <is>
          <t>EM003567</t>
        </is>
      </c>
      <c r="B4835" t="inlineStr">
        <is>
          <t>RANILSON DE SOUSA SANTANA</t>
        </is>
      </c>
      <c r="C4835" t="n">
        <v>1117730000</v>
      </c>
      <c r="D4835" t="inlineStr">
        <is>
          <t>Nordex Employees</t>
        </is>
      </c>
      <c r="E4835" t="n">
        <v>2000006575</v>
      </c>
      <c r="G4835" t="inlineStr">
        <is>
          <t>ZP</t>
        </is>
      </c>
      <c r="H4835" s="12" t="n">
        <v>780</v>
      </c>
      <c r="I4835" s="17" t="n">
        <v>46127</v>
      </c>
      <c r="J4835" s="17" t="n">
        <v>46127</v>
      </c>
      <c r="K4835" t="inlineStr">
        <is>
          <t>Vendor DP Request RANILSON DE SOUSA SANTANA 46633</t>
        </is>
      </c>
    </row>
    <row r="4836">
      <c r="A4836" t="inlineStr">
        <is>
          <t>EM003569</t>
        </is>
      </c>
      <c r="B4836" t="inlineStr">
        <is>
          <t>JOSIVALDO COELHO DE SOUSA</t>
        </is>
      </c>
      <c r="C4836" t="n">
        <v>1117730000</v>
      </c>
      <c r="D4836" t="inlineStr">
        <is>
          <t>Nordex Employees</t>
        </is>
      </c>
      <c r="E4836" t="n">
        <v>2000006577</v>
      </c>
      <c r="G4836" t="inlineStr">
        <is>
          <t>ZP</t>
        </is>
      </c>
      <c r="H4836" s="12" t="n">
        <v>910</v>
      </c>
      <c r="I4836" s="17" t="n">
        <v>46127</v>
      </c>
      <c r="J4836" s="17" t="n">
        <v>46127</v>
      </c>
      <c r="K4836" t="inlineStr">
        <is>
          <t>Vendor DP Request JOSIVALDO COELHO DE SOUSA 48726</t>
        </is>
      </c>
    </row>
    <row r="4837">
      <c r="A4837" t="inlineStr">
        <is>
          <t>EM000080</t>
        </is>
      </c>
      <c r="B4837" t="inlineStr">
        <is>
          <t>SAIRON DOS SANTOS BASTOS</t>
        </is>
      </c>
      <c r="C4837" t="n">
        <v>1117730000</v>
      </c>
      <c r="D4837" t="inlineStr">
        <is>
          <t>Nordex Employees</t>
        </is>
      </c>
      <c r="E4837" t="n">
        <v>2000006609</v>
      </c>
      <c r="G4837" t="inlineStr">
        <is>
          <t>ZP</t>
        </is>
      </c>
      <c r="H4837" s="12" t="n">
        <v>2340</v>
      </c>
      <c r="I4837" s="17" t="n">
        <v>45723</v>
      </c>
      <c r="J4837" s="17" t="n">
        <v>45723</v>
      </c>
      <c r="K4837" t="inlineStr">
        <is>
          <t>Documento fornecedor SAIRON DOS SANTOS BASTOS PLAN</t>
        </is>
      </c>
    </row>
    <row r="4838">
      <c r="A4838" t="inlineStr">
        <is>
          <t>EM000518</t>
        </is>
      </c>
      <c r="B4838" t="inlineStr">
        <is>
          <t>RIVALDO FRANCISCO DE SOUZA QUEIROZ</t>
        </is>
      </c>
      <c r="C4838" t="n">
        <v>1117730000</v>
      </c>
      <c r="D4838" t="inlineStr">
        <is>
          <t>Nordex Employees</t>
        </is>
      </c>
      <c r="E4838" t="n">
        <v>2000006888</v>
      </c>
      <c r="G4838" t="inlineStr">
        <is>
          <t>ZP</t>
        </is>
      </c>
      <c r="H4838" s="12" t="n">
        <v>650</v>
      </c>
      <c r="I4838" s="17" t="n">
        <v>45735</v>
      </c>
      <c r="J4838" s="17" t="n">
        <v>45735</v>
      </c>
      <c r="K4838" t="inlineStr">
        <is>
          <t>Documento fornecedor RIVALDO FRANCISCO DE SOUZA QU</t>
        </is>
      </c>
    </row>
    <row r="4839">
      <c r="A4839" t="inlineStr">
        <is>
          <t>EM000882</t>
        </is>
      </c>
      <c r="B4839" t="inlineStr">
        <is>
          <t>LEANDRO SILVINO DE MOURA</t>
        </is>
      </c>
      <c r="C4839" t="n">
        <v>1117730000</v>
      </c>
      <c r="D4839" t="inlineStr">
        <is>
          <t>Nordex Employees</t>
        </is>
      </c>
      <c r="E4839" t="n">
        <v>2000006910</v>
      </c>
      <c r="G4839" t="inlineStr">
        <is>
          <t>ZP</t>
        </is>
      </c>
      <c r="H4839" s="12" t="n">
        <v>650</v>
      </c>
      <c r="I4839" s="17" t="n">
        <v>45735</v>
      </c>
      <c r="J4839" s="17" t="n">
        <v>45735</v>
      </c>
      <c r="K4839" t="inlineStr">
        <is>
          <t>Documento fornecedor LEANDRO SILVINO DE MOURA PLAN</t>
        </is>
      </c>
    </row>
    <row r="4840">
      <c r="A4840" t="inlineStr">
        <is>
          <t>EM000129</t>
        </is>
      </c>
      <c r="B4840" t="inlineStr">
        <is>
          <t>JOCIVAN DE SOUZA SILVA</t>
        </is>
      </c>
      <c r="C4840" t="n">
        <v>1117730000</v>
      </c>
      <c r="D4840" t="inlineStr">
        <is>
          <t>Nordex Employees</t>
        </is>
      </c>
      <c r="E4840" t="n">
        <v>2000006979</v>
      </c>
      <c r="G4840" t="inlineStr">
        <is>
          <t>ZP</t>
        </is>
      </c>
      <c r="H4840" s="12" t="n">
        <v>4290</v>
      </c>
      <c r="I4840" s="17" t="n">
        <v>46141</v>
      </c>
      <c r="J4840" s="17" t="n">
        <v>46141</v>
      </c>
      <c r="K4840" t="inlineStr">
        <is>
          <t>Vendor DP Request JOCIVAN DE SOUZA SILVA 48885</t>
        </is>
      </c>
    </row>
    <row r="4841">
      <c r="A4841" t="inlineStr">
        <is>
          <t>EM000786</t>
        </is>
      </c>
      <c r="B4841" t="inlineStr">
        <is>
          <t>LIVIA TOSTES CALVO</t>
        </is>
      </c>
      <c r="C4841" t="n">
        <v>1117730000</v>
      </c>
      <c r="D4841" t="inlineStr">
        <is>
          <t>Nordex Employees</t>
        </is>
      </c>
      <c r="E4841" t="n">
        <v>2000007030</v>
      </c>
      <c r="G4841" t="inlineStr">
        <is>
          <t>ZP</t>
        </is>
      </c>
      <c r="H4841" s="12" t="n">
        <v>2448.98</v>
      </c>
      <c r="I4841" s="17" t="n">
        <v>46141</v>
      </c>
      <c r="J4841" s="17" t="n">
        <v>46141</v>
      </c>
      <c r="K4841" t="inlineStr">
        <is>
          <t>Vendor DP Request LIVIA TOSTES CALVO 44318</t>
        </is>
      </c>
    </row>
    <row r="4842">
      <c r="A4842" t="inlineStr">
        <is>
          <t>EM000866</t>
        </is>
      </c>
      <c r="B4842" t="inlineStr">
        <is>
          <t>FRANCISCO MARCOS DE FREITAS</t>
        </is>
      </c>
      <c r="C4842" t="n">
        <v>1117730000</v>
      </c>
      <c r="D4842" t="inlineStr">
        <is>
          <t>Nordex Employees</t>
        </is>
      </c>
      <c r="E4842" t="n">
        <v>2000007035</v>
      </c>
      <c r="G4842" t="inlineStr">
        <is>
          <t>ZP</t>
        </is>
      </c>
      <c r="H4842" s="12" t="n">
        <v>4290</v>
      </c>
      <c r="I4842" s="17" t="n">
        <v>46141</v>
      </c>
      <c r="J4842" s="17" t="n">
        <v>46141</v>
      </c>
      <c r="K4842" t="inlineStr">
        <is>
          <t>Vendor DP Request FRANCISCO MARCOS DE FREITAS 4888</t>
        </is>
      </c>
    </row>
    <row r="4843">
      <c r="A4843" t="inlineStr">
        <is>
          <t>EM000949</t>
        </is>
      </c>
      <c r="B4843" t="inlineStr">
        <is>
          <t>LEANDRO CRUZ VIEIRA</t>
        </is>
      </c>
      <c r="C4843" t="n">
        <v>1117730000</v>
      </c>
      <c r="D4843" t="inlineStr">
        <is>
          <t>Nordex Employees</t>
        </is>
      </c>
      <c r="E4843" t="n">
        <v>2000007037</v>
      </c>
      <c r="G4843" t="inlineStr">
        <is>
          <t>ZP</t>
        </is>
      </c>
      <c r="H4843" s="12" t="n">
        <v>650</v>
      </c>
      <c r="I4843" s="17" t="n">
        <v>46141</v>
      </c>
      <c r="J4843" s="17" t="n">
        <v>46141</v>
      </c>
      <c r="K4843" t="inlineStr">
        <is>
          <t>Vendor DP Request LEANDRO CRUZ VIEIRA 48842</t>
        </is>
      </c>
    </row>
    <row r="4844">
      <c r="A4844" t="inlineStr">
        <is>
          <t>EM003135</t>
        </is>
      </c>
      <c r="B4844" t="inlineStr">
        <is>
          <t>DAMIÃO FERREIRA</t>
        </is>
      </c>
      <c r="C4844" t="n">
        <v>1117730000</v>
      </c>
      <c r="D4844" t="inlineStr">
        <is>
          <t>Nordex Employees</t>
        </is>
      </c>
      <c r="E4844" t="n">
        <v>2000007039</v>
      </c>
      <c r="G4844" t="inlineStr">
        <is>
          <t>ZP</t>
        </is>
      </c>
      <c r="H4844" s="12" t="n">
        <v>650</v>
      </c>
      <c r="I4844" s="17" t="n">
        <v>46141</v>
      </c>
      <c r="J4844" s="17" t="n">
        <v>46141</v>
      </c>
      <c r="K4844" t="inlineStr">
        <is>
          <t>Vendor DP Request DAMIÃO FERREIRA 48804</t>
        </is>
      </c>
    </row>
    <row r="4845">
      <c r="A4845" t="inlineStr">
        <is>
          <t>EM003535</t>
        </is>
      </c>
      <c r="B4845" t="inlineStr">
        <is>
          <t>JOILTON MARQUES DA SILVA</t>
        </is>
      </c>
      <c r="C4845" t="n">
        <v>1117730000</v>
      </c>
      <c r="D4845" t="inlineStr">
        <is>
          <t>Nordex Employees</t>
        </is>
      </c>
      <c r="E4845" t="n">
        <v>2000007040</v>
      </c>
      <c r="G4845" t="inlineStr">
        <is>
          <t>ZP</t>
        </is>
      </c>
      <c r="H4845" s="12" t="n">
        <v>1690</v>
      </c>
      <c r="I4845" s="17" t="n">
        <v>46141</v>
      </c>
      <c r="J4845" s="17" t="n">
        <v>46141</v>
      </c>
      <c r="K4845" t="inlineStr">
        <is>
          <t>Vendor DP Request JOILTON MARQUES DA SILVA 48814</t>
        </is>
      </c>
    </row>
    <row r="4846">
      <c r="A4846" t="inlineStr">
        <is>
          <t>EM003580</t>
        </is>
      </c>
      <c r="B4846" t="inlineStr">
        <is>
          <t>IVO DE SOUSA RODRIGUES</t>
        </is>
      </c>
      <c r="C4846" t="n">
        <v>1117730000</v>
      </c>
      <c r="D4846" t="inlineStr">
        <is>
          <t>Nordex Employees</t>
        </is>
      </c>
      <c r="E4846" t="n">
        <v>2000007048</v>
      </c>
      <c r="G4846" t="inlineStr">
        <is>
          <t>ZP</t>
        </is>
      </c>
      <c r="H4846" s="12" t="n">
        <v>910</v>
      </c>
      <c r="I4846" s="17" t="n">
        <v>46141</v>
      </c>
      <c r="J4846" s="17" t="n">
        <v>46141</v>
      </c>
      <c r="K4846" t="inlineStr">
        <is>
          <t>Vendor DP Request IVO DE SOUSA RODRIGUES 48802</t>
        </is>
      </c>
    </row>
    <row r="4847">
      <c r="A4847" t="inlineStr">
        <is>
          <t>EM000846</t>
        </is>
      </c>
      <c r="B4847" t="inlineStr">
        <is>
          <t>HUGO MARQUES DA SILVA</t>
        </is>
      </c>
      <c r="C4847" t="n">
        <v>1117730000</v>
      </c>
      <c r="D4847" t="inlineStr">
        <is>
          <t>Nordex Employees</t>
        </is>
      </c>
      <c r="E4847" t="n">
        <v>2000007793</v>
      </c>
      <c r="G4847" t="inlineStr">
        <is>
          <t>ZP</t>
        </is>
      </c>
      <c r="H4847" s="12" t="n">
        <v>650</v>
      </c>
      <c r="I4847" s="17" t="n">
        <v>46141</v>
      </c>
      <c r="J4847" s="17" t="n">
        <v>46141</v>
      </c>
      <c r="K4847" t="inlineStr">
        <is>
          <t>Vendor DP Request HUGO MARQUES DA SILVA 48850</t>
        </is>
      </c>
    </row>
    <row r="4848">
      <c r="A4848" t="inlineStr">
        <is>
          <t>EM000016</t>
        </is>
      </c>
      <c r="B4848" t="inlineStr">
        <is>
          <t>JAMERSON BEZERRA DA SILVA</t>
        </is>
      </c>
      <c r="C4848" t="n">
        <v>1117730000</v>
      </c>
      <c r="D4848" t="inlineStr">
        <is>
          <t>Nordex Employees</t>
        </is>
      </c>
      <c r="E4848" t="n">
        <v>2000007817</v>
      </c>
      <c r="G4848" t="inlineStr">
        <is>
          <t>ZP</t>
        </is>
      </c>
      <c r="H4848" s="12" t="n">
        <v>650</v>
      </c>
      <c r="I4848" s="17" t="n">
        <v>46148</v>
      </c>
      <c r="J4848" s="17" t="n">
        <v>46148</v>
      </c>
      <c r="K4848" t="inlineStr">
        <is>
          <t>Vendor DP Request JAMERSON BEZERRA DA SILVA 48903</t>
        </is>
      </c>
    </row>
    <row r="4849">
      <c r="A4849" t="inlineStr">
        <is>
          <t>EM000145</t>
        </is>
      </c>
      <c r="B4849" t="inlineStr">
        <is>
          <t>THIAGO SPINOSA</t>
        </is>
      </c>
      <c r="C4849" t="n">
        <v>1117730000</v>
      </c>
      <c r="D4849" t="inlineStr">
        <is>
          <t>Nordex Employees</t>
        </is>
      </c>
      <c r="E4849" t="n">
        <v>2000007820</v>
      </c>
      <c r="G4849" t="inlineStr">
        <is>
          <t>ZP</t>
        </is>
      </c>
      <c r="H4849" s="12" t="n">
        <v>2595.6</v>
      </c>
      <c r="I4849" s="17" t="n">
        <v>46148</v>
      </c>
      <c r="J4849" s="17" t="n">
        <v>46148</v>
      </c>
      <c r="K4849" t="inlineStr">
        <is>
          <t>Vendor DP Request THIAGO SPINOSA 44353</t>
        </is>
      </c>
    </row>
    <row r="4850">
      <c r="A4850" t="inlineStr">
        <is>
          <t>EM000652</t>
        </is>
      </c>
      <c r="B4850" t="inlineStr">
        <is>
          <t>LUCAS TURCI</t>
        </is>
      </c>
      <c r="C4850" t="n">
        <v>1117730000</v>
      </c>
      <c r="D4850" t="inlineStr">
        <is>
          <t>Nordex Employees</t>
        </is>
      </c>
      <c r="E4850" t="n">
        <v>2000007832</v>
      </c>
      <c r="G4850" t="inlineStr">
        <is>
          <t>ZP</t>
        </is>
      </c>
      <c r="H4850" s="12" t="n">
        <v>1749</v>
      </c>
      <c r="I4850" s="17" t="n">
        <v>46148</v>
      </c>
      <c r="J4850" s="17" t="n">
        <v>46148</v>
      </c>
      <c r="K4850" t="inlineStr">
        <is>
          <t>Vendor DP Request LUCAS TURCI 48897</t>
        </is>
      </c>
    </row>
    <row r="4851">
      <c r="A4851" t="inlineStr">
        <is>
          <t>EM000663</t>
        </is>
      </c>
      <c r="B4851" t="inlineStr">
        <is>
          <t>MARCELO DA COSTA BRAS</t>
        </is>
      </c>
      <c r="C4851" t="n">
        <v>1117730000</v>
      </c>
      <c r="D4851" t="inlineStr">
        <is>
          <t>Nordex Employees</t>
        </is>
      </c>
      <c r="E4851" t="n">
        <v>2000007834</v>
      </c>
      <c r="G4851" t="inlineStr">
        <is>
          <t>ZP</t>
        </is>
      </c>
      <c r="H4851" s="12" t="n">
        <v>260</v>
      </c>
      <c r="I4851" s="17" t="n">
        <v>46148</v>
      </c>
      <c r="J4851" s="17" t="n">
        <v>46148</v>
      </c>
      <c r="K4851" t="inlineStr">
        <is>
          <t>Vendor DP Request MARCELO DA COSTA BRAS 48931</t>
        </is>
      </c>
    </row>
    <row r="4852">
      <c r="A4852" t="inlineStr">
        <is>
          <t>EM000780</t>
        </is>
      </c>
      <c r="B4852" t="inlineStr">
        <is>
          <t>Diego Ribeiro Brito</t>
        </is>
      </c>
      <c r="C4852" t="n">
        <v>1117730000</v>
      </c>
      <c r="D4852" t="inlineStr">
        <is>
          <t>Nordex Employees</t>
        </is>
      </c>
      <c r="E4852" t="n">
        <v>2000007838</v>
      </c>
      <c r="G4852" t="inlineStr">
        <is>
          <t>ZP</t>
        </is>
      </c>
      <c r="H4852" s="12" t="n">
        <v>1820</v>
      </c>
      <c r="I4852" s="17" t="n">
        <v>46148</v>
      </c>
      <c r="J4852" s="17" t="n">
        <v>46148</v>
      </c>
      <c r="K4852" t="inlineStr">
        <is>
          <t>Vendor DP Request Diego Ribeiro Brito 49954</t>
        </is>
      </c>
    </row>
    <row r="4853">
      <c r="A4853" t="inlineStr">
        <is>
          <t>EM000882</t>
        </is>
      </c>
      <c r="B4853" t="inlineStr">
        <is>
          <t>LEANDRO SILVINO DE MOURA</t>
        </is>
      </c>
      <c r="C4853" t="n">
        <v>1117730000</v>
      </c>
      <c r="D4853" t="inlineStr">
        <is>
          <t>Nordex Employees</t>
        </is>
      </c>
      <c r="E4853" t="n">
        <v>2000007842</v>
      </c>
      <c r="G4853" t="inlineStr">
        <is>
          <t>ZP</t>
        </is>
      </c>
      <c r="H4853" s="12" t="n">
        <v>650</v>
      </c>
      <c r="I4853" s="17" t="n">
        <v>46148</v>
      </c>
      <c r="J4853" s="17" t="n">
        <v>46148</v>
      </c>
      <c r="K4853" t="inlineStr">
        <is>
          <t>Vendor DP Request LEANDRO SILVINO DE MOURA 48819</t>
        </is>
      </c>
    </row>
    <row r="4854">
      <c r="A4854" t="inlineStr">
        <is>
          <t>EM003594</t>
        </is>
      </c>
      <c r="B4854" t="inlineStr">
        <is>
          <t>CAIO GEANDERSON MACIEL MARTINS</t>
        </is>
      </c>
      <c r="C4854" t="n">
        <v>1117730000</v>
      </c>
      <c r="D4854" t="inlineStr">
        <is>
          <t>Nordex Employees</t>
        </is>
      </c>
      <c r="E4854" t="n">
        <v>2000007849</v>
      </c>
      <c r="G4854" t="inlineStr">
        <is>
          <t>ZP</t>
        </is>
      </c>
      <c r="H4854" s="12" t="n">
        <v>5753.46</v>
      </c>
      <c r="I4854" s="17" t="n">
        <v>46148</v>
      </c>
      <c r="J4854" s="17" t="n">
        <v>46148</v>
      </c>
      <c r="K4854" t="inlineStr">
        <is>
          <t>Vendor DP Request CAIO GEANDERSON MACIEL MARTINS 4</t>
        </is>
      </c>
    </row>
    <row r="4855">
      <c r="A4855" t="inlineStr">
        <is>
          <t>EM000121</t>
        </is>
      </c>
      <c r="B4855" t="inlineStr">
        <is>
          <t>WILLIAM VICENTE DA SILVA</t>
        </is>
      </c>
      <c r="C4855" t="n">
        <v>1117730000</v>
      </c>
      <c r="D4855" t="inlineStr">
        <is>
          <t>Nordex Employees</t>
        </is>
      </c>
      <c r="E4855" t="n">
        <v>2000007994</v>
      </c>
      <c r="G4855" t="inlineStr">
        <is>
          <t>ZP</t>
        </is>
      </c>
      <c r="H4855" s="12" t="n">
        <v>650</v>
      </c>
      <c r="I4855" s="17" t="n">
        <v>46155</v>
      </c>
      <c r="J4855" s="17" t="n">
        <v>46155</v>
      </c>
      <c r="K4855" t="inlineStr">
        <is>
          <t>Vendor DP Request WILLIAM VICENTE DA SILVA 48905</t>
        </is>
      </c>
    </row>
    <row r="4856">
      <c r="A4856" t="inlineStr">
        <is>
          <t>EM000134</t>
        </is>
      </c>
      <c r="B4856" t="inlineStr">
        <is>
          <t>FRED LACERDA MACEDO</t>
        </is>
      </c>
      <c r="C4856" t="n">
        <v>1117730000</v>
      </c>
      <c r="D4856" t="inlineStr">
        <is>
          <t>Nordex Employees</t>
        </is>
      </c>
      <c r="E4856" t="n">
        <v>2000007996</v>
      </c>
      <c r="G4856" t="inlineStr">
        <is>
          <t>ZP</t>
        </is>
      </c>
      <c r="H4856" s="12" t="n">
        <v>1820</v>
      </c>
      <c r="I4856" s="17" t="n">
        <v>46155</v>
      </c>
      <c r="J4856" s="17" t="n">
        <v>46155</v>
      </c>
      <c r="K4856" t="inlineStr">
        <is>
          <t>Vendor DP Request FRED LACERDA MACEDO 49983</t>
        </is>
      </c>
    </row>
    <row r="4857">
      <c r="A4857" t="inlineStr">
        <is>
          <t>EM000826</t>
        </is>
      </c>
      <c r="B4857" t="inlineStr">
        <is>
          <t>ADALBERTO COELHO DE SOUSA</t>
        </is>
      </c>
      <c r="C4857" t="n">
        <v>1117730000</v>
      </c>
      <c r="D4857" t="inlineStr">
        <is>
          <t>Nordex Employees</t>
        </is>
      </c>
      <c r="E4857" t="n">
        <v>2000008020</v>
      </c>
      <c r="G4857" t="inlineStr">
        <is>
          <t>ZP</t>
        </is>
      </c>
      <c r="H4857" s="12" t="n">
        <v>1820</v>
      </c>
      <c r="I4857" s="17" t="n">
        <v>46155</v>
      </c>
      <c r="J4857" s="17" t="n">
        <v>46155</v>
      </c>
      <c r="K4857" t="inlineStr">
        <is>
          <t>Vendor DP Request ADALBERTO COELHO DE SOUSA 49978</t>
        </is>
      </c>
    </row>
    <row r="4858">
      <c r="A4858" t="inlineStr">
        <is>
          <t>EM000862</t>
        </is>
      </c>
      <c r="B4858" t="inlineStr">
        <is>
          <t>ANTONIO FREIRE MENDES FILHO</t>
        </is>
      </c>
      <c r="C4858" t="n">
        <v>1117730000</v>
      </c>
      <c r="D4858" t="inlineStr">
        <is>
          <t>Nordex Employees</t>
        </is>
      </c>
      <c r="E4858" t="n">
        <v>2000008024</v>
      </c>
      <c r="G4858" t="inlineStr">
        <is>
          <t>ZP</t>
        </is>
      </c>
      <c r="H4858" s="12" t="n">
        <v>650</v>
      </c>
      <c r="I4858" s="17" t="n">
        <v>46155</v>
      </c>
      <c r="J4858" s="17" t="n">
        <v>46155</v>
      </c>
      <c r="K4858" t="inlineStr">
        <is>
          <t>Vendor DP Request ANTONIO FREIRE MENDES FILHO 4996</t>
        </is>
      </c>
    </row>
    <row r="4859">
      <c r="A4859" t="inlineStr">
        <is>
          <t>EM003090</t>
        </is>
      </c>
      <c r="B4859" t="inlineStr">
        <is>
          <t>VALQUIRIA STRAHLR DA SILVA</t>
        </is>
      </c>
      <c r="C4859" t="n">
        <v>1117730000</v>
      </c>
      <c r="D4859" t="inlineStr">
        <is>
          <t>Nordex Employees</t>
        </is>
      </c>
      <c r="E4859" t="n">
        <v>2000008027</v>
      </c>
      <c r="G4859" t="inlineStr">
        <is>
          <t>ZP</t>
        </is>
      </c>
      <c r="H4859" s="12" t="n">
        <v>1797</v>
      </c>
      <c r="I4859" s="17" t="n">
        <v>46155</v>
      </c>
      <c r="J4859" s="17" t="n">
        <v>46155</v>
      </c>
      <c r="K4859" t="inlineStr">
        <is>
          <t>Vendor DP Request VALQUIRIA STRAHLR DA SILVA 50988</t>
        </is>
      </c>
    </row>
    <row r="4860">
      <c r="A4860" t="inlineStr">
        <is>
          <t>EM000081</t>
        </is>
      </c>
      <c r="B4860" t="inlineStr">
        <is>
          <t>BRUNO VINICIUS MOREIRA CARDOSO</t>
        </is>
      </c>
      <c r="C4860" t="n">
        <v>1117730000</v>
      </c>
      <c r="D4860" t="inlineStr">
        <is>
          <t>Nordex Employees</t>
        </is>
      </c>
      <c r="E4860" t="n">
        <v>2000008251</v>
      </c>
      <c r="G4860" t="inlineStr">
        <is>
          <t>ZP</t>
        </is>
      </c>
      <c r="H4860" s="12" t="n">
        <v>910</v>
      </c>
      <c r="I4860" s="17" t="n">
        <v>46162</v>
      </c>
      <c r="J4860" s="17" t="n">
        <v>46162</v>
      </c>
      <c r="K4860" t="inlineStr">
        <is>
          <t>Vendor DP Request BRUNO VINICIUS MOREIRA CARDOSO 5</t>
        </is>
      </c>
    </row>
    <row r="4861">
      <c r="A4861" t="inlineStr">
        <is>
          <t>EM000398</t>
        </is>
      </c>
      <c r="B4861" t="inlineStr">
        <is>
          <t>EDUARDO SCHAPLIN ROCHA</t>
        </is>
      </c>
      <c r="C4861" t="n">
        <v>1117730000</v>
      </c>
      <c r="D4861" t="inlineStr">
        <is>
          <t>Nordex Employees</t>
        </is>
      </c>
      <c r="E4861" t="n">
        <v>2000008261</v>
      </c>
      <c r="G4861" t="inlineStr">
        <is>
          <t>ZP</t>
        </is>
      </c>
      <c r="H4861" s="12" t="n">
        <v>12499.2</v>
      </c>
      <c r="I4861" s="17" t="n">
        <v>46162</v>
      </c>
      <c r="J4861" s="17" t="n">
        <v>46162</v>
      </c>
      <c r="K4861" t="inlineStr">
        <is>
          <t>Vendor DP Request EDUARDO SCHAPLIN ROCHA 51017</t>
        </is>
      </c>
    </row>
    <row r="4862">
      <c r="A4862" t="inlineStr">
        <is>
          <t>EM000428</t>
        </is>
      </c>
      <c r="B4862" t="inlineStr">
        <is>
          <t>EVALDO SOARES DA SILVEIRA</t>
        </is>
      </c>
      <c r="C4862" t="n">
        <v>1117730000</v>
      </c>
      <c r="D4862" t="inlineStr">
        <is>
          <t>Nordex Employees</t>
        </is>
      </c>
      <c r="E4862" t="n">
        <v>2000008263</v>
      </c>
      <c r="G4862" t="inlineStr">
        <is>
          <t>ZP</t>
        </is>
      </c>
      <c r="H4862" s="12" t="n">
        <v>4160</v>
      </c>
      <c r="I4862" s="17" t="n">
        <v>46162</v>
      </c>
      <c r="J4862" s="17" t="n">
        <v>46162</v>
      </c>
      <c r="K4862" t="inlineStr">
        <is>
          <t>Vendor DP Request EVALDO SOARES DA SILVEIRA 48782</t>
        </is>
      </c>
    </row>
    <row r="4863">
      <c r="A4863" t="inlineStr">
        <is>
          <t>EM000511</t>
        </is>
      </c>
      <c r="B4863" t="inlineStr">
        <is>
          <t>ALLISON DE OLIVEIRA COSTA</t>
        </is>
      </c>
      <c r="C4863" t="n">
        <v>1117730000</v>
      </c>
      <c r="D4863" t="inlineStr">
        <is>
          <t>Nordex Employees</t>
        </is>
      </c>
      <c r="E4863" t="n">
        <v>2000008267</v>
      </c>
      <c r="G4863" t="inlineStr">
        <is>
          <t>ZP</t>
        </is>
      </c>
      <c r="H4863" s="12" t="n">
        <v>1820</v>
      </c>
      <c r="I4863" s="17" t="n">
        <v>46162</v>
      </c>
      <c r="J4863" s="17" t="n">
        <v>46162</v>
      </c>
      <c r="K4863" t="inlineStr">
        <is>
          <t>Vendor DP Request ALLISON DE OLIVEIRA COSTA 51056</t>
        </is>
      </c>
    </row>
    <row r="4864">
      <c r="A4864" t="inlineStr">
        <is>
          <t>EM000783</t>
        </is>
      </c>
      <c r="B4864" t="inlineStr">
        <is>
          <t>JEYSON DE OLIVEIRA BARROS</t>
        </is>
      </c>
      <c r="C4864" t="n">
        <v>1117730000</v>
      </c>
      <c r="D4864" t="inlineStr">
        <is>
          <t>Nordex Employees</t>
        </is>
      </c>
      <c r="E4864" t="n">
        <v>2000008276</v>
      </c>
      <c r="G4864" t="inlineStr">
        <is>
          <t>ZP</t>
        </is>
      </c>
      <c r="H4864" s="12" t="n">
        <v>4030</v>
      </c>
      <c r="I4864" s="17" t="n">
        <v>46162</v>
      </c>
      <c r="J4864" s="17" t="n">
        <v>46162</v>
      </c>
      <c r="K4864" t="inlineStr">
        <is>
          <t>Vendor DP Request JEYSON DE OLIVEIRA BARROS 51043</t>
        </is>
      </c>
    </row>
    <row r="4865">
      <c r="A4865" t="inlineStr">
        <is>
          <t>EM000862</t>
        </is>
      </c>
      <c r="B4865" t="inlineStr">
        <is>
          <t>ANTONIO FREIRE MENDES FILHO</t>
        </is>
      </c>
      <c r="C4865" t="n">
        <v>1117730000</v>
      </c>
      <c r="D4865" t="inlineStr">
        <is>
          <t>Nordex Employees</t>
        </is>
      </c>
      <c r="E4865" t="n">
        <v>2000008279</v>
      </c>
      <c r="G4865" t="inlineStr">
        <is>
          <t>ZP</t>
        </is>
      </c>
      <c r="H4865" s="12" t="n">
        <v>650</v>
      </c>
      <c r="I4865" s="17" t="n">
        <v>46162</v>
      </c>
      <c r="J4865" s="17" t="n">
        <v>46162</v>
      </c>
      <c r="K4865" t="inlineStr">
        <is>
          <t>Vendor DP Request ANTONIO FREIRE MENDES FILHO 5107</t>
        </is>
      </c>
    </row>
    <row r="4866">
      <c r="A4866" t="inlineStr">
        <is>
          <t>EM000982</t>
        </is>
      </c>
      <c r="B4866" t="inlineStr">
        <is>
          <t>SADRAQUE DA COSTA PEREIRA</t>
        </is>
      </c>
      <c r="C4866" t="n">
        <v>1117730000</v>
      </c>
      <c r="D4866" t="inlineStr">
        <is>
          <t>Nordex Employees</t>
        </is>
      </c>
      <c r="E4866" t="n">
        <v>2000008283</v>
      </c>
      <c r="G4866" t="inlineStr">
        <is>
          <t>ZP</t>
        </is>
      </c>
      <c r="H4866" s="12" t="n">
        <v>3250</v>
      </c>
      <c r="I4866" s="17" t="n">
        <v>46162</v>
      </c>
      <c r="J4866" s="17" t="n">
        <v>46162</v>
      </c>
      <c r="K4866" t="inlineStr">
        <is>
          <t>Vendor DP Request SADRAQUE DA COSTA PEREIRA 51020</t>
        </is>
      </c>
    </row>
    <row r="4867">
      <c r="A4867" t="inlineStr">
        <is>
          <t>EM000443</t>
        </is>
      </c>
      <c r="B4867" t="inlineStr">
        <is>
          <t>WAGNER STHALONE SILVA DE MEDEIROS</t>
        </is>
      </c>
      <c r="C4867" t="n">
        <v>1117730000</v>
      </c>
      <c r="D4867" t="inlineStr">
        <is>
          <t>Nordex Employees</t>
        </is>
      </c>
      <c r="E4867" t="n">
        <v>2000008428</v>
      </c>
      <c r="G4867" t="inlineStr">
        <is>
          <t>ZP</t>
        </is>
      </c>
      <c r="H4867" s="12" t="n">
        <v>3900</v>
      </c>
      <c r="I4867" s="17" t="n">
        <v>46169</v>
      </c>
      <c r="J4867" s="17" t="n">
        <v>46169</v>
      </c>
      <c r="K4867" t="inlineStr">
        <is>
          <t>Vendor DP Request WAGNER STHALONE SILVA DE MEDEIRO</t>
        </is>
      </c>
    </row>
    <row r="4868">
      <c r="A4868" t="inlineStr">
        <is>
          <t>EM000901</t>
        </is>
      </c>
      <c r="B4868" t="inlineStr">
        <is>
          <t>LEOJAIME DOS SANTOS LIMA</t>
        </is>
      </c>
      <c r="C4868" t="n">
        <v>1117730000</v>
      </c>
      <c r="D4868" t="inlineStr">
        <is>
          <t>Nordex Employees</t>
        </is>
      </c>
      <c r="E4868" t="n">
        <v>2000008435</v>
      </c>
      <c r="G4868" t="inlineStr">
        <is>
          <t>ZP</t>
        </is>
      </c>
      <c r="H4868" s="12" t="n">
        <v>910</v>
      </c>
      <c r="I4868" s="17" t="n">
        <v>46169</v>
      </c>
      <c r="J4868" s="17" t="n">
        <v>46169</v>
      </c>
      <c r="K4868" t="inlineStr">
        <is>
          <t>Vendor DP Request LEOJAIME DOS SANTOS LIMA 51074</t>
        </is>
      </c>
    </row>
    <row r="4869">
      <c r="A4869" t="inlineStr">
        <is>
          <t>EM000921</t>
        </is>
      </c>
      <c r="B4869" t="inlineStr">
        <is>
          <t>PAULO HENRIQUE LAPERA ZORZETO</t>
        </is>
      </c>
      <c r="C4869" t="n">
        <v>1117730000</v>
      </c>
      <c r="D4869" t="inlineStr">
        <is>
          <t>Nordex Employees</t>
        </is>
      </c>
      <c r="E4869" t="n">
        <v>2000008437</v>
      </c>
      <c r="G4869" t="inlineStr">
        <is>
          <t>ZP</t>
        </is>
      </c>
      <c r="H4869" s="12" t="n">
        <v>3900</v>
      </c>
      <c r="I4869" s="17" t="n">
        <v>46169</v>
      </c>
      <c r="J4869" s="17" t="n">
        <v>46169</v>
      </c>
      <c r="K4869" t="inlineStr">
        <is>
          <t>Vendor DP Request PAULO HENRIQUE LAPERA ZORZETO 51</t>
        </is>
      </c>
    </row>
    <row r="4870">
      <c r="A4870" t="inlineStr">
        <is>
          <t>EM000129</t>
        </is>
      </c>
      <c r="B4870" t="inlineStr">
        <is>
          <t>JOCIVAN DE SOUZA SILVA</t>
        </is>
      </c>
      <c r="C4870" t="n">
        <v>1117730000</v>
      </c>
      <c r="D4870" t="inlineStr">
        <is>
          <t>Nordex Employees</t>
        </is>
      </c>
      <c r="E4870" t="n">
        <v>2000009187</v>
      </c>
      <c r="G4870" t="inlineStr">
        <is>
          <t>ZP</t>
        </is>
      </c>
      <c r="H4870" s="12" t="n">
        <v>520</v>
      </c>
      <c r="I4870" s="17" t="n">
        <v>46176</v>
      </c>
      <c r="J4870" s="17" t="n">
        <v>46176</v>
      </c>
      <c r="K4870" t="inlineStr">
        <is>
          <t>Vendor DP Request JOCIVAN DE SOUZA SILVA 48885</t>
        </is>
      </c>
    </row>
    <row r="4871">
      <c r="A4871" t="inlineStr">
        <is>
          <t>EM000347</t>
        </is>
      </c>
      <c r="B4871" t="inlineStr">
        <is>
          <t>FABIO SANTANA DA CONCEICAO</t>
        </is>
      </c>
      <c r="C4871" t="n">
        <v>1117730000</v>
      </c>
      <c r="D4871" t="inlineStr">
        <is>
          <t>Nordex Employees</t>
        </is>
      </c>
      <c r="E4871" t="n">
        <v>2000009208</v>
      </c>
      <c r="G4871" t="inlineStr">
        <is>
          <t>ZP</t>
        </is>
      </c>
      <c r="H4871" s="12" t="n">
        <v>2955</v>
      </c>
      <c r="I4871" s="17" t="n">
        <v>45763</v>
      </c>
      <c r="J4871" s="17" t="n">
        <v>45763</v>
      </c>
      <c r="K4871" t="inlineStr">
        <is>
          <t>Documento fornecedor FABIO SANTANA DA CONCEICAO AD</t>
        </is>
      </c>
    </row>
    <row r="4872">
      <c r="A4872" t="inlineStr">
        <is>
          <t>EM000426</t>
        </is>
      </c>
      <c r="B4872" t="inlineStr">
        <is>
          <t>NAIBHY ADELY GARCIA RODRIGUES</t>
        </is>
      </c>
      <c r="C4872" t="n">
        <v>1117730000</v>
      </c>
      <c r="D4872" t="inlineStr">
        <is>
          <t>Nordex Employees</t>
        </is>
      </c>
      <c r="E4872" t="n">
        <v>2000009210</v>
      </c>
      <c r="G4872" t="inlineStr">
        <is>
          <t>ZP</t>
        </is>
      </c>
      <c r="H4872" s="12" t="n">
        <v>260</v>
      </c>
      <c r="I4872" s="17" t="n">
        <v>46176</v>
      </c>
      <c r="J4872" s="17" t="n">
        <v>46176</v>
      </c>
      <c r="K4872" t="inlineStr">
        <is>
          <t>Vendor DP Request NAIBHY ADELY GARCIA RODRIGUES 51</t>
        </is>
      </c>
    </row>
    <row r="4873">
      <c r="A4873" t="inlineStr">
        <is>
          <t>EM000593</t>
        </is>
      </c>
      <c r="B4873" t="inlineStr">
        <is>
          <t>PEDRO JUNIOR DA SILVA ARAUJO</t>
        </is>
      </c>
      <c r="C4873" t="n">
        <v>1117730000</v>
      </c>
      <c r="D4873" t="inlineStr">
        <is>
          <t>Nordex Employees</t>
        </is>
      </c>
      <c r="E4873" t="n">
        <v>2000009214</v>
      </c>
      <c r="G4873" t="inlineStr">
        <is>
          <t>ZP</t>
        </is>
      </c>
      <c r="H4873" s="12" t="n">
        <v>2955</v>
      </c>
      <c r="I4873" s="17" t="n">
        <v>45763</v>
      </c>
      <c r="J4873" s="17" t="n">
        <v>45763</v>
      </c>
      <c r="K4873" t="inlineStr">
        <is>
          <t>Documento fornecedor PEDRO JUNIOR DA SILVA ARAUJO</t>
        </is>
      </c>
    </row>
    <row r="4874">
      <c r="A4874" t="inlineStr">
        <is>
          <t>EM000594</t>
        </is>
      </c>
      <c r="B4874" t="inlineStr">
        <is>
          <t>WELLINGTON LOPES DOS SANTOS</t>
        </is>
      </c>
      <c r="C4874" t="n">
        <v>1117730000</v>
      </c>
      <c r="D4874" t="inlineStr">
        <is>
          <t>Nordex Employees</t>
        </is>
      </c>
      <c r="E4874" t="n">
        <v>2000009215</v>
      </c>
      <c r="G4874" t="inlineStr">
        <is>
          <t>ZP</t>
        </is>
      </c>
      <c r="H4874" s="12" t="n">
        <v>2955</v>
      </c>
      <c r="I4874" s="17" t="n">
        <v>45763</v>
      </c>
      <c r="J4874" s="17" t="n">
        <v>45763</v>
      </c>
      <c r="K4874" t="inlineStr">
        <is>
          <t>Documento fornecedor WELLINGTON LOPES DOS SANTOS A</t>
        </is>
      </c>
    </row>
    <row r="4875">
      <c r="A4875" t="inlineStr">
        <is>
          <t>EM000955</t>
        </is>
      </c>
      <c r="B4875" t="inlineStr">
        <is>
          <t>JOE MAGNI FREITAS SANTOS</t>
        </is>
      </c>
      <c r="C4875" t="n">
        <v>1117730000</v>
      </c>
      <c r="D4875" t="inlineStr">
        <is>
          <t>Nordex Employees</t>
        </is>
      </c>
      <c r="E4875" t="n">
        <v>2000009219</v>
      </c>
      <c r="G4875" t="inlineStr">
        <is>
          <t>ZP</t>
        </is>
      </c>
      <c r="H4875" s="12" t="n">
        <v>2955</v>
      </c>
      <c r="I4875" s="17" t="n">
        <v>45763</v>
      </c>
      <c r="J4875" s="17" t="n">
        <v>45763</v>
      </c>
      <c r="K4875" t="inlineStr">
        <is>
          <t>Documento fornecedor JOE MAGNI FREITAS SANTOS ADTO</t>
        </is>
      </c>
    </row>
    <row r="4876">
      <c r="A4876" t="inlineStr">
        <is>
          <t>EM000959</t>
        </is>
      </c>
      <c r="B4876" t="inlineStr">
        <is>
          <t>GEOVANE SANTOS GOMES</t>
        </is>
      </c>
      <c r="C4876" t="n">
        <v>1117730000</v>
      </c>
      <c r="D4876" t="inlineStr">
        <is>
          <t>Nordex Employees</t>
        </is>
      </c>
      <c r="E4876" t="n">
        <v>2000009223</v>
      </c>
      <c r="G4876" t="inlineStr">
        <is>
          <t>ZP</t>
        </is>
      </c>
      <c r="H4876" s="12" t="n">
        <v>2955</v>
      </c>
      <c r="I4876" s="17" t="n">
        <v>45763</v>
      </c>
      <c r="J4876" s="17" t="n">
        <v>45763</v>
      </c>
      <c r="K4876" t="inlineStr">
        <is>
          <t>Documento fornecedor GEOVANE SANTOS GOMES ADTO 500</t>
        </is>
      </c>
    </row>
    <row r="4877">
      <c r="A4877" t="inlineStr">
        <is>
          <t>EM000666</t>
        </is>
      </c>
      <c r="B4877" t="inlineStr">
        <is>
          <t>FAGNER OLIVEIRA DA SILVA</t>
        </is>
      </c>
      <c r="C4877" t="n">
        <v>1117730000</v>
      </c>
      <c r="D4877" t="inlineStr">
        <is>
          <t>Nordex Employees</t>
        </is>
      </c>
      <c r="E4877" t="n">
        <v>2000009224</v>
      </c>
      <c r="G4877" t="inlineStr">
        <is>
          <t>ZP</t>
        </is>
      </c>
      <c r="H4877" s="12" t="n">
        <v>650</v>
      </c>
      <c r="I4877" s="17" t="n">
        <v>46176</v>
      </c>
      <c r="J4877" s="17" t="n">
        <v>46176</v>
      </c>
      <c r="K4877" t="inlineStr">
        <is>
          <t>Vendor DP Request FAGNER OLIVEIRA DA SILVA 49949</t>
        </is>
      </c>
    </row>
    <row r="4878">
      <c r="A4878" t="inlineStr">
        <is>
          <t>EM000960</t>
        </is>
      </c>
      <c r="B4878" t="inlineStr">
        <is>
          <t>ITALO OLIVEIRA FERREIRA</t>
        </is>
      </c>
      <c r="C4878" t="n">
        <v>1117730000</v>
      </c>
      <c r="D4878" t="inlineStr">
        <is>
          <t>Nordex Employees</t>
        </is>
      </c>
      <c r="E4878" t="n">
        <v>2000009225</v>
      </c>
      <c r="G4878" t="inlineStr">
        <is>
          <t>ZP</t>
        </is>
      </c>
      <c r="H4878" s="12" t="n">
        <v>2955</v>
      </c>
      <c r="I4878" s="17" t="n">
        <v>45763</v>
      </c>
      <c r="J4878" s="17" t="n">
        <v>45763</v>
      </c>
      <c r="K4878" t="inlineStr">
        <is>
          <t>Documento fornecedor ITALO OLIVEIRA FERREIRA ADTO</t>
        </is>
      </c>
    </row>
    <row r="4879">
      <c r="A4879" t="inlineStr">
        <is>
          <t>EM000969</t>
        </is>
      </c>
      <c r="B4879" t="inlineStr">
        <is>
          <t>KEVIN LUCAS DA SILVA</t>
        </is>
      </c>
      <c r="C4879" t="n">
        <v>1117730000</v>
      </c>
      <c r="D4879" t="inlineStr">
        <is>
          <t>Nordex Employees</t>
        </is>
      </c>
      <c r="E4879" t="n">
        <v>2000009235</v>
      </c>
      <c r="G4879" t="inlineStr">
        <is>
          <t>ZP</t>
        </is>
      </c>
      <c r="H4879" s="12" t="n">
        <v>910</v>
      </c>
      <c r="I4879" s="17" t="n">
        <v>46176</v>
      </c>
      <c r="J4879" s="17" t="n">
        <v>46176</v>
      </c>
      <c r="K4879" t="inlineStr">
        <is>
          <t>Vendor DP Request KEVIN LUCAS DA SILVA 51025</t>
        </is>
      </c>
    </row>
    <row r="4880">
      <c r="A4880" t="inlineStr">
        <is>
          <t>EM000027</t>
        </is>
      </c>
      <c r="B4880" t="inlineStr">
        <is>
          <t>RAFAEL AUGUSTO DA SILVA GOULARTE</t>
        </is>
      </c>
      <c r="C4880" t="n">
        <v>1117730000</v>
      </c>
      <c r="D4880" t="inlineStr">
        <is>
          <t>Nordex Employees</t>
        </is>
      </c>
      <c r="E4880" t="n">
        <v>2000009701</v>
      </c>
      <c r="G4880" t="inlineStr">
        <is>
          <t>ZP</t>
        </is>
      </c>
      <c r="H4880" s="12" t="n">
        <v>1560</v>
      </c>
      <c r="I4880" s="17" t="n">
        <v>46183</v>
      </c>
      <c r="J4880" s="17" t="n">
        <v>46183</v>
      </c>
      <c r="K4880" t="inlineStr">
        <is>
          <t>Vendor DP Request RAFAEL AUGUSTO DA SILVA GOULARTE</t>
        </is>
      </c>
    </row>
    <row r="4881">
      <c r="A4881" t="inlineStr">
        <is>
          <t>EM000129</t>
        </is>
      </c>
      <c r="B4881" t="inlineStr">
        <is>
          <t>JOCIVAN DE SOUZA SILVA</t>
        </is>
      </c>
      <c r="C4881" t="n">
        <v>1117730000</v>
      </c>
      <c r="D4881" t="inlineStr">
        <is>
          <t>Nordex Employees</t>
        </is>
      </c>
      <c r="E4881" t="n">
        <v>2000009709</v>
      </c>
      <c r="G4881" t="inlineStr">
        <is>
          <t>ZP</t>
        </is>
      </c>
      <c r="H4881" s="12" t="n">
        <v>520</v>
      </c>
      <c r="I4881" s="17" t="n">
        <v>46183</v>
      </c>
      <c r="J4881" s="17" t="n">
        <v>46183</v>
      </c>
      <c r="K4881" t="inlineStr">
        <is>
          <t>Vendor DP Request JOCIVAN DE SOUZA SILVA 48885</t>
        </is>
      </c>
    </row>
    <row r="4882">
      <c r="A4882" t="inlineStr">
        <is>
          <t>EM000417</t>
        </is>
      </c>
      <c r="B4882" t="inlineStr">
        <is>
          <t>VICTOR DOS SANTOS DE JESUS</t>
        </is>
      </c>
      <c r="C4882" t="n">
        <v>1117730000</v>
      </c>
      <c r="D4882" t="inlineStr">
        <is>
          <t>Nordex Employees</t>
        </is>
      </c>
      <c r="E4882" t="n">
        <v>2000009717</v>
      </c>
      <c r="G4882" t="inlineStr">
        <is>
          <t>ZP</t>
        </is>
      </c>
      <c r="H4882" s="12" t="n">
        <v>260</v>
      </c>
      <c r="I4882" s="17" t="n">
        <v>46183</v>
      </c>
      <c r="J4882" s="17" t="n">
        <v>46183</v>
      </c>
      <c r="K4882" t="inlineStr">
        <is>
          <t>Vendor DP Request VICTOR DOS SANTOS DE JESUS 51201</t>
        </is>
      </c>
    </row>
    <row r="4883">
      <c r="A4883" t="inlineStr">
        <is>
          <t>EM000866</t>
        </is>
      </c>
      <c r="B4883" t="inlineStr">
        <is>
          <t>FRANCISCO MARCOS DE FREITAS</t>
        </is>
      </c>
      <c r="C4883" t="n">
        <v>1117730000</v>
      </c>
      <c r="D4883" t="inlineStr">
        <is>
          <t>Nordex Employees</t>
        </is>
      </c>
      <c r="E4883" t="n">
        <v>2000009728</v>
      </c>
      <c r="G4883" t="inlineStr">
        <is>
          <t>ZP</t>
        </is>
      </c>
      <c r="H4883" s="12" t="n">
        <v>1040</v>
      </c>
      <c r="I4883" s="17" t="n">
        <v>46183</v>
      </c>
      <c r="J4883" s="17" t="n">
        <v>46183</v>
      </c>
      <c r="K4883" t="inlineStr">
        <is>
          <t>Vendor DP Request FRANCISCO MARCOS DE FREITAS 4888</t>
        </is>
      </c>
    </row>
    <row r="4884">
      <c r="A4884" t="inlineStr">
        <is>
          <t>EM000866</t>
        </is>
      </c>
      <c r="B4884" t="inlineStr">
        <is>
          <t>FRANCISCO MARCOS DE FREITAS</t>
        </is>
      </c>
      <c r="C4884" t="n">
        <v>1117730000</v>
      </c>
      <c r="D4884" t="inlineStr">
        <is>
          <t>Nordex Employees</t>
        </is>
      </c>
      <c r="E4884" t="n">
        <v>2000010059</v>
      </c>
      <c r="G4884" t="inlineStr">
        <is>
          <t>ZP</t>
        </is>
      </c>
      <c r="H4884" s="12" t="n">
        <v>650</v>
      </c>
      <c r="I4884" s="17" t="n">
        <v>46190</v>
      </c>
      <c r="J4884" s="17" t="n">
        <v>46190</v>
      </c>
      <c r="K4884" t="inlineStr">
        <is>
          <t>Vendor DP Request FRANCISCO MARCOS DE FREITAS 4888</t>
        </is>
      </c>
    </row>
    <row r="4885">
      <c r="A4885" t="inlineStr">
        <is>
          <t>EM000546</t>
        </is>
      </c>
      <c r="B4885" t="inlineStr">
        <is>
          <t>FELLIPE MATHEUS OLIVEIRA DO NASCIMENTO</t>
        </is>
      </c>
      <c r="C4885" t="n">
        <v>1117730000</v>
      </c>
      <c r="D4885" t="inlineStr">
        <is>
          <t>Nordex Employees</t>
        </is>
      </c>
      <c r="E4885" t="n">
        <v>2000010109</v>
      </c>
      <c r="G4885" t="inlineStr">
        <is>
          <t>ZP</t>
        </is>
      </c>
      <c r="H4885" s="12" t="n">
        <v>3900</v>
      </c>
      <c r="I4885" s="17" t="n">
        <v>46190</v>
      </c>
      <c r="J4885" s="17" t="n">
        <v>46190</v>
      </c>
      <c r="K4885" t="inlineStr">
        <is>
          <t>Vendor DP Request FELLIPE MATHEUS OLIVEIRA DO NASC</t>
        </is>
      </c>
    </row>
    <row r="4886">
      <c r="A4886" t="inlineStr">
        <is>
          <t>EM003688</t>
        </is>
      </c>
      <c r="B4886" t="inlineStr">
        <is>
          <t>Felipe Affonso de Carvalho Quita</t>
        </is>
      </c>
      <c r="C4886" t="n">
        <v>1117730000</v>
      </c>
      <c r="D4886" t="inlineStr">
        <is>
          <t>Nordex Employees</t>
        </is>
      </c>
      <c r="E4886" t="n">
        <v>2000010118</v>
      </c>
      <c r="G4886" t="inlineStr">
        <is>
          <t>ZP</t>
        </is>
      </c>
      <c r="H4886" s="12" t="n">
        <v>1490.4</v>
      </c>
      <c r="I4886" s="17" t="n">
        <v>46190</v>
      </c>
      <c r="J4886" s="17" t="n">
        <v>46190</v>
      </c>
      <c r="K4886" t="inlineStr">
        <is>
          <t>Vendor DP Request Felipe Affonso de Carvalho Quita</t>
        </is>
      </c>
    </row>
    <row r="4887">
      <c r="A4887" t="inlineStr">
        <is>
          <t>EM003688</t>
        </is>
      </c>
      <c r="B4887" t="inlineStr">
        <is>
          <t>Felipe Affonso de Carvalho Quita</t>
        </is>
      </c>
      <c r="C4887" t="n">
        <v>1117730000</v>
      </c>
      <c r="D4887" t="inlineStr">
        <is>
          <t>Nordex Employees</t>
        </is>
      </c>
      <c r="E4887" t="n">
        <v>2000010119</v>
      </c>
      <c r="G4887" t="inlineStr">
        <is>
          <t>ZP</t>
        </is>
      </c>
      <c r="H4887" s="12" t="n">
        <v>1579.2</v>
      </c>
      <c r="I4887" s="17" t="n">
        <v>46190</v>
      </c>
      <c r="J4887" s="17" t="n">
        <v>46190</v>
      </c>
      <c r="K4887" t="inlineStr">
        <is>
          <t>Vendor DP Request Felipe Affonso de Carvalho Quita</t>
        </is>
      </c>
    </row>
    <row r="4888">
      <c r="A4888" t="inlineStr">
        <is>
          <t>EM003688</t>
        </is>
      </c>
      <c r="B4888" t="inlineStr">
        <is>
          <t>Felipe Affonso de Carvalho Quita</t>
        </is>
      </c>
      <c r="C4888" t="n">
        <v>1117730000</v>
      </c>
      <c r="D4888" t="inlineStr">
        <is>
          <t>Nordex Employees</t>
        </is>
      </c>
      <c r="E4888" t="n">
        <v>2000010120</v>
      </c>
      <c r="G4888" t="inlineStr">
        <is>
          <t>ZP</t>
        </is>
      </c>
      <c r="H4888" s="12" t="n">
        <v>3005.76</v>
      </c>
      <c r="I4888" s="17" t="n">
        <v>46190</v>
      </c>
      <c r="J4888" s="17" t="n">
        <v>46190</v>
      </c>
      <c r="K4888" t="inlineStr">
        <is>
          <t>Vendor DP Request Felipe Affonso de Carvalho Quita</t>
        </is>
      </c>
    </row>
    <row r="4889">
      <c r="A4889" t="inlineStr">
        <is>
          <t>EM000027</t>
        </is>
      </c>
      <c r="B4889" t="inlineStr">
        <is>
          <t>RAFAEL AUGUSTO DA SILVA GOULARTE</t>
        </is>
      </c>
      <c r="C4889" t="n">
        <v>1117730000</v>
      </c>
      <c r="D4889" t="inlineStr">
        <is>
          <t>Nordex Employees</t>
        </is>
      </c>
      <c r="E4889" t="n">
        <v>2000010345</v>
      </c>
      <c r="G4889" t="inlineStr">
        <is>
          <t>ZP</t>
        </is>
      </c>
      <c r="H4889" s="12" t="n">
        <v>1300</v>
      </c>
      <c r="I4889" s="17" t="n">
        <v>46197</v>
      </c>
      <c r="J4889" s="17" t="n">
        <v>46197</v>
      </c>
      <c r="K4889" t="inlineStr">
        <is>
          <t>Vendor DP Request RAFAEL AUGUSTO DA SILVA GOULARTE</t>
        </is>
      </c>
    </row>
    <row r="4890">
      <c r="A4890" t="inlineStr">
        <is>
          <t>EM000125</t>
        </is>
      </c>
      <c r="B4890" t="inlineStr">
        <is>
          <t>RODRIGO RAFAEL LIMA DE FARIAS</t>
        </is>
      </c>
      <c r="C4890" t="n">
        <v>1117730000</v>
      </c>
      <c r="D4890" t="inlineStr">
        <is>
          <t>Nordex Employees</t>
        </is>
      </c>
      <c r="E4890" t="n">
        <v>2000010352</v>
      </c>
      <c r="G4890" t="inlineStr">
        <is>
          <t>ZP</t>
        </is>
      </c>
      <c r="H4890" s="12" t="n">
        <v>260</v>
      </c>
      <c r="I4890" s="17" t="n">
        <v>46197</v>
      </c>
      <c r="J4890" s="17" t="n">
        <v>46197</v>
      </c>
      <c r="K4890" t="inlineStr">
        <is>
          <t>Vendor DP Request RODRIGO RAFAEL LIMA DE FARIAS 51</t>
        </is>
      </c>
    </row>
    <row r="4891">
      <c r="A4891" t="inlineStr">
        <is>
          <t>EM000129</t>
        </is>
      </c>
      <c r="B4891" t="inlineStr">
        <is>
          <t>JOCIVAN DE SOUZA SILVA</t>
        </is>
      </c>
      <c r="C4891" t="n">
        <v>1117730000</v>
      </c>
      <c r="D4891" t="inlineStr">
        <is>
          <t>Nordex Employees</t>
        </is>
      </c>
      <c r="E4891" t="n">
        <v>2000010354</v>
      </c>
      <c r="G4891" t="inlineStr">
        <is>
          <t>ZP</t>
        </is>
      </c>
      <c r="H4891" s="12" t="n">
        <v>1300</v>
      </c>
      <c r="I4891" s="17" t="n">
        <v>46197</v>
      </c>
      <c r="J4891" s="17" t="n">
        <v>46197</v>
      </c>
      <c r="K4891" t="inlineStr">
        <is>
          <t>Vendor DP Request JOCIVAN DE SOUZA SILVA 48885</t>
        </is>
      </c>
    </row>
    <row r="4892">
      <c r="A4892" t="inlineStr">
        <is>
          <t>EM000278</t>
        </is>
      </c>
      <c r="B4892" t="inlineStr">
        <is>
          <t>LEONARDO FERNANDES PEREIRA MOREIRA</t>
        </is>
      </c>
      <c r="C4892" t="n">
        <v>1117730000</v>
      </c>
      <c r="D4892" t="inlineStr">
        <is>
          <t>Nordex Employees</t>
        </is>
      </c>
      <c r="E4892" t="n">
        <v>2000010355</v>
      </c>
      <c r="G4892" t="inlineStr">
        <is>
          <t>ZP</t>
        </is>
      </c>
      <c r="H4892" s="12" t="n">
        <v>910</v>
      </c>
      <c r="I4892" s="17" t="n">
        <v>46197</v>
      </c>
      <c r="J4892" s="17" t="n">
        <v>46197</v>
      </c>
      <c r="K4892" t="inlineStr">
        <is>
          <t>Vendor DP Request LEONARDO FERNANDES PEREIRA MOREI</t>
        </is>
      </c>
    </row>
    <row r="4893">
      <c r="A4893" t="inlineStr">
        <is>
          <t>EM000301</t>
        </is>
      </c>
      <c r="B4893" t="inlineStr">
        <is>
          <t>CLEBER JULIAN DA SILVA</t>
        </is>
      </c>
      <c r="C4893" t="n">
        <v>1117730000</v>
      </c>
      <c r="D4893" t="inlineStr">
        <is>
          <t>Nordex Employees</t>
        </is>
      </c>
      <c r="E4893" t="n">
        <v>2000010360</v>
      </c>
      <c r="G4893" t="inlineStr">
        <is>
          <t>ZP</t>
        </is>
      </c>
      <c r="H4893" s="12" t="n">
        <v>10908</v>
      </c>
      <c r="I4893" s="17" t="n">
        <v>46197</v>
      </c>
      <c r="J4893" s="17" t="n">
        <v>46197</v>
      </c>
      <c r="K4893" t="inlineStr">
        <is>
          <t>Vendor DP Request CLEBER JULIAN DA SILVA 51309</t>
        </is>
      </c>
    </row>
    <row r="4894">
      <c r="A4894" t="inlineStr">
        <is>
          <t>EM000490</t>
        </is>
      </c>
      <c r="B4894" t="inlineStr">
        <is>
          <t>JOAQUIM INACIO PEREIRA DA SILVA</t>
        </is>
      </c>
      <c r="C4894" t="n">
        <v>1117730000</v>
      </c>
      <c r="D4894" t="inlineStr">
        <is>
          <t>Nordex Employees</t>
        </is>
      </c>
      <c r="E4894" t="n">
        <v>2000010365</v>
      </c>
      <c r="G4894" t="inlineStr">
        <is>
          <t>ZP</t>
        </is>
      </c>
      <c r="H4894" s="12" t="n">
        <v>650</v>
      </c>
      <c r="I4894" s="17" t="n">
        <v>46197</v>
      </c>
      <c r="J4894" s="17" t="n">
        <v>46197</v>
      </c>
      <c r="K4894" t="inlineStr">
        <is>
          <t>Vendor DP Request JOAQUIM INACIO PEREIRA DA SILVA</t>
        </is>
      </c>
    </row>
    <row r="4895">
      <c r="A4895" t="inlineStr">
        <is>
          <t>EM000532</t>
        </is>
      </c>
      <c r="B4895" t="inlineStr">
        <is>
          <t>VALDIRENE MESSONES PINTO DA SILVA</t>
        </is>
      </c>
      <c r="C4895" t="n">
        <v>1117730000</v>
      </c>
      <c r="D4895" t="inlineStr">
        <is>
          <t>Nordex Employees</t>
        </is>
      </c>
      <c r="E4895" t="n">
        <v>2000010366</v>
      </c>
      <c r="G4895" t="inlineStr">
        <is>
          <t>ZP</t>
        </is>
      </c>
      <c r="H4895" s="12" t="n">
        <v>1820</v>
      </c>
      <c r="I4895" s="17" t="n">
        <v>46197</v>
      </c>
      <c r="J4895" s="17" t="n">
        <v>46197</v>
      </c>
      <c r="K4895" t="inlineStr">
        <is>
          <t>Vendor DP Request VALDIRENE MESSONES PINTO DA SILV</t>
        </is>
      </c>
    </row>
    <row r="4896">
      <c r="A4896" t="inlineStr">
        <is>
          <t>EM000674</t>
        </is>
      </c>
      <c r="B4896" t="inlineStr">
        <is>
          <t>PAULO HENRIQUE DA CRUZ BOTELHO</t>
        </is>
      </c>
      <c r="C4896" t="n">
        <v>1117730000</v>
      </c>
      <c r="D4896" t="inlineStr">
        <is>
          <t>Nordex Employees</t>
        </is>
      </c>
      <c r="E4896" t="n">
        <v>2000010369</v>
      </c>
      <c r="G4896" t="inlineStr">
        <is>
          <t>ZP</t>
        </is>
      </c>
      <c r="H4896" s="12" t="n">
        <v>390</v>
      </c>
      <c r="I4896" s="17" t="n">
        <v>46197</v>
      </c>
      <c r="J4896" s="17" t="n">
        <v>46197</v>
      </c>
      <c r="K4896" t="inlineStr">
        <is>
          <t>Vendor DP Request PAULO HENRIQUE DA CRUZ BOTELHO 5</t>
        </is>
      </c>
    </row>
    <row r="4897">
      <c r="A4897" t="inlineStr">
        <is>
          <t>EM000866</t>
        </is>
      </c>
      <c r="B4897" t="inlineStr">
        <is>
          <t>FRANCISCO MARCOS DE FREITAS</t>
        </is>
      </c>
      <c r="C4897" t="n">
        <v>1117730000</v>
      </c>
      <c r="D4897" t="inlineStr">
        <is>
          <t>Nordex Employees</t>
        </is>
      </c>
      <c r="E4897" t="n">
        <v>2000010373</v>
      </c>
      <c r="G4897" t="inlineStr">
        <is>
          <t>ZP</t>
        </is>
      </c>
      <c r="H4897" s="12" t="n">
        <v>650</v>
      </c>
      <c r="I4897" s="17" t="n">
        <v>46197</v>
      </c>
      <c r="J4897" s="17" t="n">
        <v>46197</v>
      </c>
      <c r="K4897" t="inlineStr">
        <is>
          <t>Vendor DP Request FRANCISCO MARCOS DE FREITAS 4888</t>
        </is>
      </c>
    </row>
    <row r="4898">
      <c r="A4898" t="inlineStr">
        <is>
          <t>EM000012</t>
        </is>
      </c>
      <c r="B4898" t="inlineStr">
        <is>
          <t>EDERSON GOMES XABIER BARBALHO</t>
        </is>
      </c>
      <c r="C4898" t="n">
        <v>1117730000</v>
      </c>
      <c r="D4898" t="inlineStr">
        <is>
          <t>Nordex Employees</t>
        </is>
      </c>
      <c r="E4898" t="n">
        <v>2000010585</v>
      </c>
      <c r="G4898" t="inlineStr">
        <is>
          <t>ZP</t>
        </is>
      </c>
      <c r="H4898" s="12" t="n">
        <v>390</v>
      </c>
      <c r="I4898" s="17" t="n">
        <v>46204</v>
      </c>
      <c r="J4898" s="17" t="n">
        <v>46204</v>
      </c>
      <c r="K4898" t="inlineStr">
        <is>
          <t>Vendor DP Request EDERSON GOMES XABIER BARBALHO 51</t>
        </is>
      </c>
    </row>
    <row r="4899">
      <c r="A4899" t="inlineStr">
        <is>
          <t>EM000125</t>
        </is>
      </c>
      <c r="B4899" t="inlineStr">
        <is>
          <t>RODRIGO RAFAEL LIMA DE FARIAS</t>
        </is>
      </c>
      <c r="C4899" t="n">
        <v>1117730000</v>
      </c>
      <c r="D4899" t="inlineStr">
        <is>
          <t>Nordex Employees</t>
        </is>
      </c>
      <c r="E4899" t="n">
        <v>2000010592</v>
      </c>
      <c r="G4899" t="inlineStr">
        <is>
          <t>ZP</t>
        </is>
      </c>
      <c r="H4899" s="12" t="n">
        <v>650</v>
      </c>
      <c r="I4899" s="17" t="n">
        <v>46204</v>
      </c>
      <c r="J4899" s="17" t="n">
        <v>46204</v>
      </c>
      <c r="K4899" t="inlineStr">
        <is>
          <t>Vendor DP Request RODRIGO RAFAEL LIMA DE FARIAS 51</t>
        </is>
      </c>
    </row>
    <row r="4900">
      <c r="A4900" t="inlineStr">
        <is>
          <t>EM000129</t>
        </is>
      </c>
      <c r="B4900" t="inlineStr">
        <is>
          <t>JOCIVAN DE SOUZA SILVA</t>
        </is>
      </c>
      <c r="C4900" t="n">
        <v>1117730000</v>
      </c>
      <c r="D4900" t="inlineStr">
        <is>
          <t>Nordex Employees</t>
        </is>
      </c>
      <c r="E4900" t="n">
        <v>2000010594</v>
      </c>
      <c r="G4900" t="inlineStr">
        <is>
          <t>ZP</t>
        </is>
      </c>
      <c r="H4900" s="12" t="n">
        <v>650</v>
      </c>
      <c r="I4900" s="17" t="n">
        <v>46204</v>
      </c>
      <c r="J4900" s="17" t="n">
        <v>46204</v>
      </c>
      <c r="K4900" t="inlineStr">
        <is>
          <t>Vendor DP Request JOCIVAN DE SOUZA SILVA 48885</t>
        </is>
      </c>
    </row>
    <row r="4901">
      <c r="A4901" t="inlineStr">
        <is>
          <t>EM000278</t>
        </is>
      </c>
      <c r="B4901" t="inlineStr">
        <is>
          <t>LEONARDO FERNANDES PEREIRA MOREIRA</t>
        </is>
      </c>
      <c r="C4901" t="n">
        <v>1117730000</v>
      </c>
      <c r="D4901" t="inlineStr">
        <is>
          <t>Nordex Employees</t>
        </is>
      </c>
      <c r="E4901" t="n">
        <v>2000010602</v>
      </c>
      <c r="G4901" t="inlineStr">
        <is>
          <t>ZP</t>
        </is>
      </c>
      <c r="H4901" s="12" t="n">
        <v>3900</v>
      </c>
      <c r="I4901" s="17" t="n">
        <v>46204</v>
      </c>
      <c r="J4901" s="17" t="n">
        <v>46204</v>
      </c>
      <c r="K4901" t="inlineStr">
        <is>
          <t>Vendor DP Request LEONARDO FERNANDES PEREIRA MOREI</t>
        </is>
      </c>
    </row>
    <row r="4902">
      <c r="A4902" t="inlineStr">
        <is>
          <t>EM000373</t>
        </is>
      </c>
      <c r="B4902" t="inlineStr">
        <is>
          <t>JACKSON VICENTE SOUZA FERREIRA</t>
        </is>
      </c>
      <c r="C4902" t="n">
        <v>1117730000</v>
      </c>
      <c r="D4902" t="inlineStr">
        <is>
          <t>Nordex Employees</t>
        </is>
      </c>
      <c r="E4902" t="n">
        <v>2000010610</v>
      </c>
      <c r="G4902" t="inlineStr">
        <is>
          <t>ZP</t>
        </is>
      </c>
      <c r="H4902" s="12" t="n">
        <v>1430</v>
      </c>
      <c r="I4902" s="17" t="n">
        <v>46204</v>
      </c>
      <c r="J4902" s="17" t="n">
        <v>46204</v>
      </c>
      <c r="K4902" t="inlineStr">
        <is>
          <t>Vendor DP Request JACKSON VICENTE SOUZA FERREIRA 5</t>
        </is>
      </c>
    </row>
    <row r="4903">
      <c r="A4903" t="inlineStr">
        <is>
          <t>EM000390</t>
        </is>
      </c>
      <c r="B4903" t="inlineStr">
        <is>
          <t>BRUNO RAFAEL REBOUCAS DE SOUZA</t>
        </is>
      </c>
      <c r="C4903" t="n">
        <v>1117730000</v>
      </c>
      <c r="D4903" t="inlineStr">
        <is>
          <t>Nordex Employees</t>
        </is>
      </c>
      <c r="E4903" t="n">
        <v>2000010611</v>
      </c>
      <c r="G4903" t="inlineStr">
        <is>
          <t>ZP</t>
        </is>
      </c>
      <c r="H4903" s="12" t="n">
        <v>3900</v>
      </c>
      <c r="I4903" s="17" t="n">
        <v>46204</v>
      </c>
      <c r="J4903" s="17" t="n">
        <v>46204</v>
      </c>
      <c r="K4903" t="inlineStr">
        <is>
          <t>Vendor DP Request BRUNO RAFAEL REBOUCAS DE SOUZA 5</t>
        </is>
      </c>
    </row>
    <row r="4904">
      <c r="A4904" t="inlineStr">
        <is>
          <t>EM000443</t>
        </is>
      </c>
      <c r="B4904" t="inlineStr">
        <is>
          <t>WAGNER STHALONE SILVA DE MEDEIROS</t>
        </is>
      </c>
      <c r="C4904" t="n">
        <v>1117730000</v>
      </c>
      <c r="D4904" t="inlineStr">
        <is>
          <t>Nordex Employees</t>
        </is>
      </c>
      <c r="E4904" t="n">
        <v>2000010613</v>
      </c>
      <c r="G4904" t="inlineStr">
        <is>
          <t>ZP</t>
        </is>
      </c>
      <c r="H4904" s="12" t="n">
        <v>1950</v>
      </c>
      <c r="I4904" s="17" t="n">
        <v>46204</v>
      </c>
      <c r="J4904" s="17" t="n">
        <v>46204</v>
      </c>
      <c r="K4904" t="inlineStr">
        <is>
          <t>Vendor DP Request WAGNER STHALONE SILVA DE MEDEIRO</t>
        </is>
      </c>
    </row>
    <row r="4905">
      <c r="A4905" t="inlineStr">
        <is>
          <t>EM000468</t>
        </is>
      </c>
      <c r="B4905" t="inlineStr">
        <is>
          <t>LUCAS EMANUEL ALVES DE SOUSA</t>
        </is>
      </c>
      <c r="C4905" t="n">
        <v>1117730000</v>
      </c>
      <c r="D4905" t="inlineStr">
        <is>
          <t>Nordex Employees</t>
        </is>
      </c>
      <c r="E4905" t="n">
        <v>2000010616</v>
      </c>
      <c r="G4905" t="inlineStr">
        <is>
          <t>ZP</t>
        </is>
      </c>
      <c r="H4905" s="12" t="n">
        <v>4964.4</v>
      </c>
      <c r="I4905" s="17" t="n">
        <v>46204</v>
      </c>
      <c r="J4905" s="17" t="n">
        <v>46204</v>
      </c>
      <c r="K4905" t="inlineStr">
        <is>
          <t>Vendor DP Request LUCAS EMANUEL ALVES DE SOUSA 513</t>
        </is>
      </c>
    </row>
    <row r="4906">
      <c r="A4906" t="inlineStr">
        <is>
          <t>EM000482</t>
        </is>
      </c>
      <c r="B4906" t="inlineStr">
        <is>
          <t>FRANCISCO EGON ROQUE DE SOUSA</t>
        </is>
      </c>
      <c r="C4906" t="n">
        <v>1117730000</v>
      </c>
      <c r="D4906" t="inlineStr">
        <is>
          <t>Nordex Employees</t>
        </is>
      </c>
      <c r="E4906" t="n">
        <v>2000010617</v>
      </c>
      <c r="G4906" t="inlineStr">
        <is>
          <t>ZP</t>
        </is>
      </c>
      <c r="H4906" s="12" t="n">
        <v>390</v>
      </c>
      <c r="I4906" s="17" t="n">
        <v>46204</v>
      </c>
      <c r="J4906" s="17" t="n">
        <v>46204</v>
      </c>
      <c r="K4906" t="inlineStr">
        <is>
          <t>Vendor DP Request FRANCISCO EGON ROQUE DE SOUSA 44</t>
        </is>
      </c>
    </row>
    <row r="4907">
      <c r="A4907" t="inlineStr">
        <is>
          <t>EM000553</t>
        </is>
      </c>
      <c r="B4907" t="inlineStr">
        <is>
          <t>JAILSON SILVA PEREIRA</t>
        </is>
      </c>
      <c r="C4907" t="n">
        <v>1117730000</v>
      </c>
      <c r="D4907" t="inlineStr">
        <is>
          <t>Nordex Employees</t>
        </is>
      </c>
      <c r="E4907" t="n">
        <v>2000010618</v>
      </c>
      <c r="G4907" t="inlineStr">
        <is>
          <t>ZP</t>
        </is>
      </c>
      <c r="H4907" s="12" t="n">
        <v>3900</v>
      </c>
      <c r="I4907" s="17" t="n">
        <v>46204</v>
      </c>
      <c r="J4907" s="17" t="n">
        <v>46204</v>
      </c>
      <c r="K4907" t="inlineStr">
        <is>
          <t>Vendor DP Request JAILSON SILVA PEREIRA 51350</t>
        </is>
      </c>
    </row>
    <row r="4908">
      <c r="A4908" t="inlineStr">
        <is>
          <t>EM000619</t>
        </is>
      </c>
      <c r="B4908" t="inlineStr">
        <is>
          <t>GLEUSON DE QUEIROZ FERNANDES</t>
        </is>
      </c>
      <c r="C4908" t="n">
        <v>1117730000</v>
      </c>
      <c r="D4908" t="inlineStr">
        <is>
          <t>Nordex Employees</t>
        </is>
      </c>
      <c r="E4908" t="n">
        <v>2000010620</v>
      </c>
      <c r="G4908" t="inlineStr">
        <is>
          <t>ZP</t>
        </is>
      </c>
      <c r="H4908" s="12" t="n">
        <v>650</v>
      </c>
      <c r="I4908" s="17" t="n">
        <v>46204</v>
      </c>
      <c r="J4908" s="17" t="n">
        <v>46204</v>
      </c>
      <c r="K4908" t="inlineStr">
        <is>
          <t>Vendor DP Request GLEUSON DE QUEIROZ FERNANDES 514</t>
        </is>
      </c>
    </row>
    <row r="4909">
      <c r="A4909" t="inlineStr">
        <is>
          <t>EM000866</t>
        </is>
      </c>
      <c r="B4909" t="inlineStr">
        <is>
          <t>FRANCISCO MARCOS DE FREITAS</t>
        </is>
      </c>
      <c r="C4909" t="n">
        <v>1117730000</v>
      </c>
      <c r="D4909" t="inlineStr">
        <is>
          <t>Nordex Employees</t>
        </is>
      </c>
      <c r="E4909" t="n">
        <v>2000010626</v>
      </c>
      <c r="G4909" t="inlineStr">
        <is>
          <t>ZP</t>
        </is>
      </c>
      <c r="H4909" s="12" t="n">
        <v>650</v>
      </c>
      <c r="I4909" s="17" t="n">
        <v>46204</v>
      </c>
      <c r="J4909" s="17" t="n">
        <v>46204</v>
      </c>
      <c r="K4909" t="inlineStr">
        <is>
          <t>Vendor DP Request FRANCISCO MARCOS DE FREITAS 4888</t>
        </is>
      </c>
    </row>
    <row r="4910">
      <c r="A4910" t="inlineStr">
        <is>
          <t>EM000887</t>
        </is>
      </c>
      <c r="B4910" t="inlineStr">
        <is>
          <t>WANDERLEY RODRIGUES DO BOMFIM JUNIOR</t>
        </is>
      </c>
      <c r="C4910" t="n">
        <v>1117730000</v>
      </c>
      <c r="D4910" t="inlineStr">
        <is>
          <t>Nordex Employees</t>
        </is>
      </c>
      <c r="E4910" t="n">
        <v>2000010627</v>
      </c>
      <c r="G4910" t="inlineStr">
        <is>
          <t>ZP</t>
        </is>
      </c>
      <c r="H4910" s="12" t="n">
        <v>1300</v>
      </c>
      <c r="I4910" s="17" t="n">
        <v>46204</v>
      </c>
      <c r="J4910" s="17" t="n">
        <v>46204</v>
      </c>
      <c r="K4910" t="inlineStr">
        <is>
          <t>Vendor DP Request WANDERLEY RODRIGUES DO BOMFIM JU</t>
        </is>
      </c>
    </row>
    <row r="4911">
      <c r="A4911" t="inlineStr">
        <is>
          <t>EM000976</t>
        </is>
      </c>
      <c r="B4911" t="inlineStr">
        <is>
          <t>MICHEL EDWIN ZAMBRANA GUEVARA</t>
        </is>
      </c>
      <c r="C4911" t="n">
        <v>1117730000</v>
      </c>
      <c r="D4911" t="inlineStr">
        <is>
          <t>Nordex Employees</t>
        </is>
      </c>
      <c r="E4911" t="n">
        <v>2000010630</v>
      </c>
      <c r="G4911" t="inlineStr">
        <is>
          <t>ZP</t>
        </is>
      </c>
      <c r="H4911" s="12" t="n">
        <v>1800.5</v>
      </c>
      <c r="I4911" s="17" t="n">
        <v>46204</v>
      </c>
      <c r="J4911" s="17" t="n">
        <v>46204</v>
      </c>
      <c r="K4911" t="inlineStr">
        <is>
          <t>Vendor DP Request MICHEL EDWIN ZAMBRANA GUEVARA 51</t>
        </is>
      </c>
    </row>
    <row r="4912">
      <c r="A4912" t="inlineStr">
        <is>
          <t>EM003655</t>
        </is>
      </c>
      <c r="B4912" t="inlineStr">
        <is>
          <t>JOSE ARLINDO DE SOUSA JUNIOR</t>
        </is>
      </c>
      <c r="C4912" t="n">
        <v>1117730000</v>
      </c>
      <c r="D4912" t="inlineStr">
        <is>
          <t>Nordex Employees</t>
        </is>
      </c>
      <c r="E4912" t="n">
        <v>2000010632</v>
      </c>
      <c r="G4912" t="inlineStr">
        <is>
          <t>ZP</t>
        </is>
      </c>
      <c r="H4912" s="12" t="n">
        <v>3052.8</v>
      </c>
      <c r="I4912" s="17" t="n">
        <v>46204</v>
      </c>
      <c r="J4912" s="17" t="n">
        <v>46204</v>
      </c>
      <c r="K4912" t="inlineStr">
        <is>
          <t>Vendor DP Request JOSE ARLINDO DE SOUSA JUNIOR 513</t>
        </is>
      </c>
    </row>
    <row r="4913">
      <c r="A4913" t="inlineStr">
        <is>
          <t>EM003693</t>
        </is>
      </c>
      <c r="B4913" t="inlineStr">
        <is>
          <t>Fabio Fernando Pereira de Andrade</t>
        </is>
      </c>
      <c r="C4913" t="n">
        <v>1117730000</v>
      </c>
      <c r="D4913" t="inlineStr">
        <is>
          <t>Nordex Employees</t>
        </is>
      </c>
      <c r="E4913" t="n">
        <v>2000010633</v>
      </c>
      <c r="G4913" t="inlineStr">
        <is>
          <t>ZP</t>
        </is>
      </c>
      <c r="H4913" s="12" t="n">
        <v>1950</v>
      </c>
      <c r="I4913" s="17" t="n">
        <v>46204</v>
      </c>
      <c r="J4913" s="17" t="n">
        <v>46204</v>
      </c>
      <c r="K4913" t="inlineStr">
        <is>
          <t>Vendor DP Request Fabio Fernando Pereira de Andrad</t>
        </is>
      </c>
    </row>
    <row r="4914">
      <c r="A4914" t="inlineStr">
        <is>
          <t>EM003694</t>
        </is>
      </c>
      <c r="B4914" t="inlineStr">
        <is>
          <t>José Ribamar Morais Frazão</t>
        </is>
      </c>
      <c r="C4914" t="n">
        <v>1117730000</v>
      </c>
      <c r="D4914" t="inlineStr">
        <is>
          <t>Nordex Employees</t>
        </is>
      </c>
      <c r="E4914" t="n">
        <v>2000010634</v>
      </c>
      <c r="G4914" t="inlineStr">
        <is>
          <t>ZP</t>
        </is>
      </c>
      <c r="H4914" s="12" t="n">
        <v>1950</v>
      </c>
      <c r="I4914" s="17" t="n">
        <v>46204</v>
      </c>
      <c r="J4914" s="17" t="n">
        <v>46204</v>
      </c>
      <c r="K4914" t="inlineStr">
        <is>
          <t>Vendor DP Request José Ribamar Morais Frazão 51361</t>
        </is>
      </c>
    </row>
    <row r="4915">
      <c r="A4915" t="inlineStr">
        <is>
          <t>EM003655</t>
        </is>
      </c>
      <c r="B4915" t="inlineStr">
        <is>
          <t>JOSE ARLINDO DE SOUSA JUNIOR</t>
        </is>
      </c>
      <c r="C4915" t="n">
        <v>1117730000</v>
      </c>
      <c r="D4915" t="inlineStr">
        <is>
          <t>Nordex Employees</t>
        </is>
      </c>
      <c r="E4915" t="n">
        <v>2000011262</v>
      </c>
      <c r="G4915" t="inlineStr">
        <is>
          <t>ZP</t>
        </is>
      </c>
      <c r="H4915" s="12" t="n">
        <v>910</v>
      </c>
      <c r="I4915" s="17" t="n">
        <v>46211</v>
      </c>
      <c r="J4915" s="17" t="n">
        <v>46211</v>
      </c>
      <c r="K4915" t="inlineStr">
        <is>
          <t>Vendor DP Request JOSE ARLINDO DE SOUSA JUNIOR 487</t>
        </is>
      </c>
    </row>
    <row r="4916">
      <c r="A4916" t="inlineStr">
        <is>
          <t>EM000016</t>
        </is>
      </c>
      <c r="B4916" t="inlineStr">
        <is>
          <t>JAMERSON BEZERRA DA SILVA</t>
        </is>
      </c>
      <c r="C4916" t="n">
        <v>1117730000</v>
      </c>
      <c r="D4916" t="inlineStr">
        <is>
          <t>Nordex Employees</t>
        </is>
      </c>
      <c r="E4916" t="n">
        <v>2000011293</v>
      </c>
      <c r="G4916" t="inlineStr">
        <is>
          <t>ZP</t>
        </is>
      </c>
      <c r="H4916" s="12" t="n">
        <v>390</v>
      </c>
      <c r="I4916" s="17" t="n">
        <v>46211</v>
      </c>
      <c r="J4916" s="17" t="n">
        <v>46211</v>
      </c>
      <c r="K4916" t="inlineStr">
        <is>
          <t>Vendor DP Request JAMERSON BEZERRA DA SILVA 52430</t>
        </is>
      </c>
    </row>
    <row r="4917">
      <c r="A4917" t="inlineStr">
        <is>
          <t>EM000055</t>
        </is>
      </c>
      <c r="B4917" t="inlineStr">
        <is>
          <t>VINICIUS MECCHI SILVA</t>
        </is>
      </c>
      <c r="C4917" t="n">
        <v>1117730000</v>
      </c>
      <c r="D4917" t="inlineStr">
        <is>
          <t>Nordex Employees</t>
        </is>
      </c>
      <c r="E4917" t="n">
        <v>2000011299</v>
      </c>
      <c r="G4917" t="inlineStr">
        <is>
          <t>ZP</t>
        </is>
      </c>
      <c r="H4917" s="12" t="n">
        <v>390</v>
      </c>
      <c r="I4917" s="17" t="n">
        <v>46211</v>
      </c>
      <c r="J4917" s="17" t="n">
        <v>46211</v>
      </c>
      <c r="K4917" t="inlineStr">
        <is>
          <t>Vendor DP Request VINICIUS MECCHI SILVA 52431</t>
        </is>
      </c>
    </row>
    <row r="4918">
      <c r="A4918" t="inlineStr">
        <is>
          <t>EM000135</t>
        </is>
      </c>
      <c r="B4918" t="inlineStr">
        <is>
          <t>MARCELO DE MOURA SILVA</t>
        </is>
      </c>
      <c r="C4918" t="n">
        <v>1117730000</v>
      </c>
      <c r="D4918" t="inlineStr">
        <is>
          <t>Nordex Employees</t>
        </is>
      </c>
      <c r="E4918" t="n">
        <v>2000011306</v>
      </c>
      <c r="G4918" t="inlineStr">
        <is>
          <t>ZP</t>
        </is>
      </c>
      <c r="H4918" s="12" t="n">
        <v>910</v>
      </c>
      <c r="I4918" s="17" t="n">
        <v>46211</v>
      </c>
      <c r="J4918" s="17" t="n">
        <v>46211</v>
      </c>
      <c r="K4918" t="inlineStr">
        <is>
          <t>Vendor DP Request MARCELO DE MOURA SILVA 52458</t>
        </is>
      </c>
    </row>
    <row r="4919">
      <c r="A4919" t="inlineStr">
        <is>
          <t>EM000153</t>
        </is>
      </c>
      <c r="B4919" t="inlineStr">
        <is>
          <t>FRANCISCO WAGNER DE FREITAS ARAUJO</t>
        </is>
      </c>
      <c r="C4919" t="n">
        <v>1117730000</v>
      </c>
      <c r="D4919" t="inlineStr">
        <is>
          <t>Nordex Employees</t>
        </is>
      </c>
      <c r="E4919" t="n">
        <v>2000011307</v>
      </c>
      <c r="G4919" t="inlineStr">
        <is>
          <t>ZP</t>
        </is>
      </c>
      <c r="H4919" s="12" t="n">
        <v>910</v>
      </c>
      <c r="I4919" s="17" t="n">
        <v>46211</v>
      </c>
      <c r="J4919" s="17" t="n">
        <v>46211</v>
      </c>
      <c r="K4919" t="inlineStr">
        <is>
          <t>Vendor DP Request FRANCISCO WAGNER DE FREITAS ARAU</t>
        </is>
      </c>
    </row>
    <row r="4920">
      <c r="A4920" t="inlineStr">
        <is>
          <t>EM000159</t>
        </is>
      </c>
      <c r="B4920" t="inlineStr">
        <is>
          <t>FABIO COFFANI DOS SANTOS DE SIQUEIRA</t>
        </is>
      </c>
      <c r="C4920" t="n">
        <v>1117730000</v>
      </c>
      <c r="D4920" t="inlineStr">
        <is>
          <t>Nordex Employees</t>
        </is>
      </c>
      <c r="E4920" t="n">
        <v>2000011308</v>
      </c>
      <c r="G4920" t="inlineStr">
        <is>
          <t>ZP</t>
        </is>
      </c>
      <c r="H4920" s="12" t="n">
        <v>6840</v>
      </c>
      <c r="I4920" s="17" t="n">
        <v>46211</v>
      </c>
      <c r="J4920" s="17" t="n">
        <v>46211</v>
      </c>
      <c r="K4920" t="inlineStr">
        <is>
          <t>Vendor DP Request FABIO COFFANI DOS SANTOS DE SIQU</t>
        </is>
      </c>
    </row>
    <row r="4921">
      <c r="A4921" t="inlineStr">
        <is>
          <t>EM000420</t>
        </is>
      </c>
      <c r="B4921" t="inlineStr">
        <is>
          <t>RAFAEL SILVA DE FREITAS</t>
        </is>
      </c>
      <c r="C4921" t="n">
        <v>1117730000</v>
      </c>
      <c r="D4921" t="inlineStr">
        <is>
          <t>Nordex Employees</t>
        </is>
      </c>
      <c r="E4921" t="n">
        <v>2000011320</v>
      </c>
      <c r="G4921" t="inlineStr">
        <is>
          <t>ZP</t>
        </is>
      </c>
      <c r="H4921" s="12" t="n">
        <v>910</v>
      </c>
      <c r="I4921" s="17" t="n">
        <v>46211</v>
      </c>
      <c r="J4921" s="17" t="n">
        <v>46211</v>
      </c>
      <c r="K4921" t="inlineStr">
        <is>
          <t>Vendor DP Request RAFAEL SILVA DE FREITAS 52432</t>
        </is>
      </c>
    </row>
    <row r="4922">
      <c r="A4922" t="inlineStr">
        <is>
          <t>EM000652</t>
        </is>
      </c>
      <c r="B4922" t="inlineStr">
        <is>
          <t>LUCAS TURCI</t>
        </is>
      </c>
      <c r="C4922" t="n">
        <v>1117730000</v>
      </c>
      <c r="D4922" t="inlineStr">
        <is>
          <t>Nordex Employees</t>
        </is>
      </c>
      <c r="E4922" t="n">
        <v>2000011329</v>
      </c>
      <c r="G4922" t="inlineStr">
        <is>
          <t>ZP</t>
        </is>
      </c>
      <c r="H4922" s="12" t="n">
        <v>1770</v>
      </c>
      <c r="I4922" s="17" t="n">
        <v>46211</v>
      </c>
      <c r="J4922" s="17" t="n">
        <v>46211</v>
      </c>
      <c r="K4922" t="inlineStr">
        <is>
          <t>Vendor DP Request LUCAS TURCI 53462</t>
        </is>
      </c>
    </row>
    <row r="4923">
      <c r="A4923" t="inlineStr">
        <is>
          <t>EM000682</t>
        </is>
      </c>
      <c r="B4923" t="inlineStr">
        <is>
          <t>RAUL GONCALVES RODRIGUES</t>
        </is>
      </c>
      <c r="C4923" t="n">
        <v>1117730000</v>
      </c>
      <c r="D4923" t="inlineStr">
        <is>
          <t>Nordex Employees</t>
        </is>
      </c>
      <c r="E4923" t="n">
        <v>2000011330</v>
      </c>
      <c r="G4923" t="inlineStr">
        <is>
          <t>ZP</t>
        </is>
      </c>
      <c r="H4923" s="12" t="n">
        <v>390</v>
      </c>
      <c r="I4923" s="17" t="n">
        <v>46211</v>
      </c>
      <c r="J4923" s="17" t="n">
        <v>46211</v>
      </c>
      <c r="K4923" t="inlineStr">
        <is>
          <t>Vendor DP Request RAUL GONCALVES RODRIGUES 52433</t>
        </is>
      </c>
    </row>
    <row r="4924">
      <c r="A4924" t="inlineStr">
        <is>
          <t>EM000866</t>
        </is>
      </c>
      <c r="B4924" t="inlineStr">
        <is>
          <t>FRANCISCO MARCOS DE FREITAS</t>
        </is>
      </c>
      <c r="C4924" t="n">
        <v>1117730000</v>
      </c>
      <c r="D4924" t="inlineStr">
        <is>
          <t>Nordex Employees</t>
        </is>
      </c>
      <c r="E4924" t="n">
        <v>2000011335</v>
      </c>
      <c r="G4924" t="inlineStr">
        <is>
          <t>ZP</t>
        </is>
      </c>
      <c r="H4924" s="12" t="n">
        <v>650</v>
      </c>
      <c r="I4924" s="17" t="n">
        <v>46211</v>
      </c>
      <c r="J4924" s="17" t="n">
        <v>46211</v>
      </c>
      <c r="K4924" t="inlineStr">
        <is>
          <t>Vendor DP Request FRANCISCO MARCOS DE FREITAS 4888</t>
        </is>
      </c>
    </row>
    <row r="4925">
      <c r="A4925" t="inlineStr">
        <is>
          <t>EM003535</t>
        </is>
      </c>
      <c r="B4925" t="inlineStr">
        <is>
          <t>JOILTON MARQUES DA SILVA</t>
        </is>
      </c>
      <c r="C4925" t="n">
        <v>1117730000</v>
      </c>
      <c r="D4925" t="inlineStr">
        <is>
          <t>Nordex Employees</t>
        </is>
      </c>
      <c r="E4925" t="n">
        <v>2000011336</v>
      </c>
      <c r="G4925" t="inlineStr">
        <is>
          <t>ZP</t>
        </is>
      </c>
      <c r="H4925" s="12" t="n">
        <v>910</v>
      </c>
      <c r="I4925" s="17" t="n">
        <v>46211</v>
      </c>
      <c r="J4925" s="17" t="n">
        <v>46211</v>
      </c>
      <c r="K4925" t="inlineStr">
        <is>
          <t>Vendor DP Request JOILTON MARQUES DA SILVA 52447</t>
        </is>
      </c>
    </row>
    <row r="4926">
      <c r="A4926" t="inlineStr">
        <is>
          <t>EM003724</t>
        </is>
      </c>
      <c r="B4926" t="inlineStr">
        <is>
          <t>OTÁVIO PAULINO DA SILVA NETO</t>
        </is>
      </c>
      <c r="C4926" t="n">
        <v>1117730000</v>
      </c>
      <c r="D4926" t="inlineStr">
        <is>
          <t>Nordex Employees</t>
        </is>
      </c>
      <c r="E4926" t="n">
        <v>2000011337</v>
      </c>
      <c r="G4926" t="inlineStr">
        <is>
          <t>ZP</t>
        </is>
      </c>
      <c r="H4926" s="12" t="n">
        <v>1820</v>
      </c>
      <c r="I4926" s="17" t="n">
        <v>46211</v>
      </c>
      <c r="J4926" s="17" t="n">
        <v>46211</v>
      </c>
      <c r="K4926" t="inlineStr">
        <is>
          <t>Vendor DP Request OTÁVIO PAULINO DA SILVA NETO 524</t>
        </is>
      </c>
    </row>
    <row r="4927">
      <c r="A4927" t="inlineStr">
        <is>
          <t>EM003725</t>
        </is>
      </c>
      <c r="B4927" t="inlineStr">
        <is>
          <t>FRANKLIN CLEMENTE DE FRANÇA</t>
        </is>
      </c>
      <c r="C4927" t="n">
        <v>1117730000</v>
      </c>
      <c r="D4927" t="inlineStr">
        <is>
          <t>Nordex Employees</t>
        </is>
      </c>
      <c r="E4927" t="n">
        <v>2000011338</v>
      </c>
      <c r="G4927" t="inlineStr">
        <is>
          <t>ZP</t>
        </is>
      </c>
      <c r="H4927" s="12" t="n">
        <v>1820</v>
      </c>
      <c r="I4927" s="17" t="n">
        <v>46211</v>
      </c>
      <c r="J4927" s="17" t="n">
        <v>46211</v>
      </c>
      <c r="K4927" t="inlineStr">
        <is>
          <t>Vendor DP Request FRANKLIN CLEMENTE DE FRANÇA 5242</t>
        </is>
      </c>
    </row>
    <row r="4928">
      <c r="A4928" t="inlineStr">
        <is>
          <t>EM000039</t>
        </is>
      </c>
      <c r="B4928" t="inlineStr">
        <is>
          <t>ANDRE LUIS MENDES VELOSO</t>
        </is>
      </c>
      <c r="C4928" t="n">
        <v>1117730000</v>
      </c>
      <c r="D4928" t="inlineStr">
        <is>
          <t>Nordex Employees</t>
        </is>
      </c>
      <c r="E4928" t="n">
        <v>2000011709</v>
      </c>
      <c r="G4928" t="inlineStr">
        <is>
          <t>ZP</t>
        </is>
      </c>
      <c r="H4928" s="12" t="n">
        <v>4138.2</v>
      </c>
      <c r="I4928" s="17" t="n">
        <v>46225</v>
      </c>
      <c r="J4928" s="17" t="n">
        <v>46225</v>
      </c>
      <c r="K4928" t="inlineStr">
        <is>
          <t>Documento fornecedor ANDRE LUIS MENDES VELOSO 5350</t>
        </is>
      </c>
    </row>
    <row r="4929">
      <c r="A4929" t="inlineStr">
        <is>
          <t>EM000075</t>
        </is>
      </c>
      <c r="B4929" t="inlineStr">
        <is>
          <t>RENATO CAIO FERNANDES SILVA</t>
        </is>
      </c>
      <c r="C4929" t="n">
        <v>1117730000</v>
      </c>
      <c r="D4929" t="inlineStr">
        <is>
          <t>Nordex Employees</t>
        </is>
      </c>
      <c r="E4929" t="n">
        <v>2000011712</v>
      </c>
      <c r="G4929" t="inlineStr">
        <is>
          <t>ZP</t>
        </is>
      </c>
      <c r="H4929" s="12" t="n">
        <v>910</v>
      </c>
      <c r="I4929" s="17" t="n">
        <v>46225</v>
      </c>
      <c r="J4929" s="17" t="n">
        <v>46225</v>
      </c>
      <c r="K4929" t="inlineStr">
        <is>
          <t>Documento fornecedor RENATO CAIO FERNANDES SILVA P</t>
        </is>
      </c>
    </row>
    <row r="4930">
      <c r="A4930" t="inlineStr">
        <is>
          <t>EM000162</t>
        </is>
      </c>
      <c r="B4930" t="inlineStr">
        <is>
          <t>ASSUERO SAVIO TEIXEIRA SOUSA</t>
        </is>
      </c>
      <c r="C4930" t="n">
        <v>1117730000</v>
      </c>
      <c r="D4930" t="inlineStr">
        <is>
          <t>Nordex Employees</t>
        </is>
      </c>
      <c r="E4930" t="n">
        <v>2000011718</v>
      </c>
      <c r="G4930" t="inlineStr">
        <is>
          <t>ZP</t>
        </is>
      </c>
      <c r="H4930" s="12" t="n">
        <v>260</v>
      </c>
      <c r="I4930" s="17" t="n">
        <v>46225</v>
      </c>
      <c r="J4930" s="17" t="n">
        <v>46225</v>
      </c>
      <c r="K4930" t="inlineStr">
        <is>
          <t>Documento fornecedor ASSUERO SAVIO TEIXEIRA SOUSA</t>
        </is>
      </c>
    </row>
    <row r="4931">
      <c r="A4931" t="inlineStr">
        <is>
          <t>EM000162</t>
        </is>
      </c>
      <c r="B4931" t="inlineStr">
        <is>
          <t>ASSUERO SAVIO TEIXEIRA SOUSA</t>
        </is>
      </c>
      <c r="C4931" t="n">
        <v>1117730000</v>
      </c>
      <c r="D4931" t="inlineStr">
        <is>
          <t>Nordex Employees</t>
        </is>
      </c>
      <c r="E4931" t="n">
        <v>2000011719</v>
      </c>
      <c r="G4931" t="inlineStr">
        <is>
          <t>ZP</t>
        </is>
      </c>
      <c r="H4931" s="12" t="n">
        <v>260</v>
      </c>
      <c r="I4931" s="17" t="n">
        <v>46225</v>
      </c>
      <c r="J4931" s="17" t="n">
        <v>46225</v>
      </c>
      <c r="K4931" t="inlineStr">
        <is>
          <t>Documento fornecedor ASSUERO SAVIO TEIXEIRA SOUSA</t>
        </is>
      </c>
    </row>
    <row r="4932">
      <c r="A4932" t="inlineStr">
        <is>
          <t>EM000162</t>
        </is>
      </c>
      <c r="B4932" t="inlineStr">
        <is>
          <t>ASSUERO SAVIO TEIXEIRA SOUSA</t>
        </is>
      </c>
      <c r="C4932" t="n">
        <v>1117730000</v>
      </c>
      <c r="D4932" t="inlineStr">
        <is>
          <t>Nordex Employees</t>
        </is>
      </c>
      <c r="E4932" t="n">
        <v>2000011720</v>
      </c>
      <c r="G4932" t="inlineStr">
        <is>
          <t>ZP</t>
        </is>
      </c>
      <c r="H4932" s="12" t="n">
        <v>390</v>
      </c>
      <c r="I4932" s="17" t="n">
        <v>46225</v>
      </c>
      <c r="J4932" s="17" t="n">
        <v>46225</v>
      </c>
      <c r="K4932" t="inlineStr">
        <is>
          <t>Documento fornecedor ASSUERO SAVIO TEIXEIRA SOUSA</t>
        </is>
      </c>
    </row>
    <row r="4933">
      <c r="A4933" t="inlineStr">
        <is>
          <t>EM000162</t>
        </is>
      </c>
      <c r="B4933" t="inlineStr">
        <is>
          <t>ASSUERO SAVIO TEIXEIRA SOUSA</t>
        </is>
      </c>
      <c r="C4933" t="n">
        <v>1117730000</v>
      </c>
      <c r="D4933" t="inlineStr">
        <is>
          <t>Nordex Employees</t>
        </is>
      </c>
      <c r="E4933" t="n">
        <v>2000011721</v>
      </c>
      <c r="G4933" t="inlineStr">
        <is>
          <t>ZP</t>
        </is>
      </c>
      <c r="H4933" s="12" t="n">
        <v>780</v>
      </c>
      <c r="I4933" s="17" t="n">
        <v>46225</v>
      </c>
      <c r="J4933" s="17" t="n">
        <v>46225</v>
      </c>
      <c r="K4933" t="inlineStr">
        <is>
          <t>Documento fornecedor ASSUERO SAVIO TEIXEIRA SOUSA</t>
        </is>
      </c>
    </row>
    <row r="4934">
      <c r="A4934" t="inlineStr">
        <is>
          <t>EM000162</t>
        </is>
      </c>
      <c r="B4934" t="inlineStr">
        <is>
          <t>ASSUERO SAVIO TEIXEIRA SOUSA</t>
        </is>
      </c>
      <c r="C4934" t="n">
        <v>1117730000</v>
      </c>
      <c r="D4934" t="inlineStr">
        <is>
          <t>Nordex Employees</t>
        </is>
      </c>
      <c r="E4934" t="n">
        <v>2000011722</v>
      </c>
      <c r="G4934" t="inlineStr">
        <is>
          <t>ZP</t>
        </is>
      </c>
      <c r="H4934" s="12" t="n">
        <v>910</v>
      </c>
      <c r="I4934" s="17" t="n">
        <v>46225</v>
      </c>
      <c r="J4934" s="17" t="n">
        <v>46225</v>
      </c>
      <c r="K4934" t="inlineStr">
        <is>
          <t>Documento fornecedor ASSUERO SAVIO TEIXEIRA SOUSA</t>
        </is>
      </c>
    </row>
    <row r="4935">
      <c r="A4935" t="inlineStr">
        <is>
          <t>EM000190</t>
        </is>
      </c>
      <c r="B4935" t="inlineStr">
        <is>
          <t>DOUGLAS NASCIMENTO</t>
        </is>
      </c>
      <c r="C4935" t="n">
        <v>1117730000</v>
      </c>
      <c r="D4935" t="inlineStr">
        <is>
          <t>Nordex Employees</t>
        </is>
      </c>
      <c r="E4935" t="n">
        <v>2000011723</v>
      </c>
      <c r="G4935" t="inlineStr">
        <is>
          <t>ZP</t>
        </is>
      </c>
      <c r="H4935" s="12" t="n">
        <v>390</v>
      </c>
      <c r="I4935" s="17" t="n">
        <v>46225</v>
      </c>
      <c r="J4935" s="17" t="n">
        <v>46225</v>
      </c>
      <c r="K4935" t="inlineStr">
        <is>
          <t>Documento fornecedor DOUGLAS NASCIMENTO PLANO 5013</t>
        </is>
      </c>
    </row>
    <row r="4936">
      <c r="A4936" t="inlineStr">
        <is>
          <t>EM000394</t>
        </is>
      </c>
      <c r="B4936" t="inlineStr">
        <is>
          <t>WAGNER DELLA FLORA GROSS</t>
        </is>
      </c>
      <c r="C4936" t="n">
        <v>1117730000</v>
      </c>
      <c r="D4936" t="inlineStr">
        <is>
          <t>Nordex Employees</t>
        </is>
      </c>
      <c r="E4936" t="n">
        <v>2000011726</v>
      </c>
      <c r="G4936" t="inlineStr">
        <is>
          <t>ZP</t>
        </is>
      </c>
      <c r="H4936" s="12" t="n">
        <v>1103.4</v>
      </c>
      <c r="I4936" s="17" t="n">
        <v>46225</v>
      </c>
      <c r="J4936" s="17" t="n">
        <v>46225</v>
      </c>
      <c r="K4936" t="inlineStr">
        <is>
          <t>Documento fornecedor WAGNER DELLA FLORA GROSS 5129</t>
        </is>
      </c>
    </row>
    <row r="4937">
      <c r="A4937" t="inlineStr">
        <is>
          <t>EM000425</t>
        </is>
      </c>
      <c r="B4937" t="inlineStr">
        <is>
          <t>NAIGUEL PEREIRA DO SANTOS</t>
        </is>
      </c>
      <c r="C4937" t="n">
        <v>1117730000</v>
      </c>
      <c r="D4937" t="inlineStr">
        <is>
          <t>Nordex Employees</t>
        </is>
      </c>
      <c r="E4937" t="n">
        <v>2000011727</v>
      </c>
      <c r="G4937" t="inlineStr">
        <is>
          <t>ZP</t>
        </is>
      </c>
      <c r="H4937" s="12" t="n">
        <v>2600</v>
      </c>
      <c r="I4937" s="17" t="n">
        <v>46225</v>
      </c>
      <c r="J4937" s="17" t="n">
        <v>46225</v>
      </c>
      <c r="K4937" t="inlineStr">
        <is>
          <t>Documento fornecedor NAIGUEL PEREIRA DO SANTOS PLA</t>
        </is>
      </c>
    </row>
    <row r="4938">
      <c r="A4938" t="inlineStr">
        <is>
          <t>EM000516</t>
        </is>
      </c>
      <c r="B4938" t="inlineStr">
        <is>
          <t>KLEBER JERONIMO DA SILVA</t>
        </is>
      </c>
      <c r="C4938" t="n">
        <v>1117730000</v>
      </c>
      <c r="D4938" t="inlineStr">
        <is>
          <t>Nordex Employees</t>
        </is>
      </c>
      <c r="E4938" t="n">
        <v>2000011733</v>
      </c>
      <c r="G4938" t="inlineStr">
        <is>
          <t>ZP</t>
        </is>
      </c>
      <c r="H4938" s="12" t="n">
        <v>910</v>
      </c>
      <c r="I4938" s="17" t="n">
        <v>46225</v>
      </c>
      <c r="J4938" s="17" t="n">
        <v>46225</v>
      </c>
      <c r="K4938" t="inlineStr">
        <is>
          <t>Documento fornecedor KLEBER JERONIMO DA SILVA PLAN</t>
        </is>
      </c>
    </row>
    <row r="4939">
      <c r="A4939" t="inlineStr">
        <is>
          <t>EM000549</t>
        </is>
      </c>
      <c r="B4939" t="inlineStr">
        <is>
          <t>ALISSON ALEXANDRE CARVALHO ARAUJO</t>
        </is>
      </c>
      <c r="C4939" t="n">
        <v>1117730000</v>
      </c>
      <c r="D4939" t="inlineStr">
        <is>
          <t>Nordex Employees</t>
        </is>
      </c>
      <c r="E4939" t="n">
        <v>2000011737</v>
      </c>
      <c r="G4939" t="inlineStr">
        <is>
          <t>ZP</t>
        </is>
      </c>
      <c r="H4939" s="12" t="n">
        <v>910</v>
      </c>
      <c r="I4939" s="17" t="n">
        <v>46225</v>
      </c>
      <c r="J4939" s="17" t="n">
        <v>46225</v>
      </c>
      <c r="K4939" t="inlineStr">
        <is>
          <t>Documento fornecedor ALISSON ALEXANDRE CARVALHO AR</t>
        </is>
      </c>
    </row>
    <row r="4940">
      <c r="A4940" t="inlineStr">
        <is>
          <t>EM000654</t>
        </is>
      </c>
      <c r="B4940" t="inlineStr">
        <is>
          <t>FRANCISCO THOMAZ AMIRATI UCHOA</t>
        </is>
      </c>
      <c r="C4940" t="n">
        <v>1117730000</v>
      </c>
      <c r="D4940" t="inlineStr">
        <is>
          <t>Nordex Employees</t>
        </is>
      </c>
      <c r="E4940" t="n">
        <v>2000011739</v>
      </c>
      <c r="G4940" t="inlineStr">
        <is>
          <t>ZP</t>
        </is>
      </c>
      <c r="H4940" s="12" t="n">
        <v>6372</v>
      </c>
      <c r="I4940" s="17" t="n">
        <v>46225</v>
      </c>
      <c r="J4940" s="17" t="n">
        <v>46225</v>
      </c>
      <c r="K4940" t="inlineStr">
        <is>
          <t>Documento fornecedor FRANCISCO THOMAZ AMIRATI UCHO</t>
        </is>
      </c>
    </row>
    <row r="4941">
      <c r="A4941" t="inlineStr">
        <is>
          <t>EM000674</t>
        </is>
      </c>
      <c r="B4941" t="inlineStr">
        <is>
          <t>PAULO HENRIQUE DA CRUZ BOTELHO</t>
        </is>
      </c>
      <c r="C4941" t="n">
        <v>1117730000</v>
      </c>
      <c r="D4941" t="inlineStr">
        <is>
          <t>Nordex Employees</t>
        </is>
      </c>
      <c r="E4941" t="n">
        <v>2000011740</v>
      </c>
      <c r="G4941" t="inlineStr">
        <is>
          <t>ZP</t>
        </is>
      </c>
      <c r="H4941" s="12" t="n">
        <v>1430</v>
      </c>
      <c r="I4941" s="17" t="n">
        <v>46225</v>
      </c>
      <c r="J4941" s="17" t="n">
        <v>46225</v>
      </c>
      <c r="K4941" t="inlineStr">
        <is>
          <t>Documento fornecedor PAULO HENRIQUE DA CRUZ BOTELH</t>
        </is>
      </c>
    </row>
    <row r="4942">
      <c r="A4942" t="inlineStr">
        <is>
          <t>EM000792</t>
        </is>
      </c>
      <c r="B4942" t="inlineStr">
        <is>
          <t>BRUNO INÁCIO LOURENÇO</t>
        </is>
      </c>
      <c r="C4942" t="n">
        <v>1117730000</v>
      </c>
      <c r="D4942" t="inlineStr">
        <is>
          <t>Nordex Employees</t>
        </is>
      </c>
      <c r="E4942" t="n">
        <v>2000011743</v>
      </c>
      <c r="G4942" t="inlineStr">
        <is>
          <t>ZP</t>
        </is>
      </c>
      <c r="H4942" s="12" t="n">
        <v>4890.6</v>
      </c>
      <c r="I4942" s="17" t="n">
        <v>46225</v>
      </c>
      <c r="J4942" s="17" t="n">
        <v>46225</v>
      </c>
      <c r="K4942" t="inlineStr">
        <is>
          <t>Documento fornecedor BRUNO INÁCIO LOURENÇO PLANO 5</t>
        </is>
      </c>
    </row>
    <row r="4943">
      <c r="A4943" t="inlineStr">
        <is>
          <t>EM000901</t>
        </is>
      </c>
      <c r="B4943" t="inlineStr">
        <is>
          <t>LEOJAIME DOS SANTOS LIMA</t>
        </is>
      </c>
      <c r="C4943" t="n">
        <v>1117730000</v>
      </c>
      <c r="D4943" t="inlineStr">
        <is>
          <t>Nordex Employees</t>
        </is>
      </c>
      <c r="E4943" t="n">
        <v>2000011746</v>
      </c>
      <c r="G4943" t="inlineStr">
        <is>
          <t>ZP</t>
        </is>
      </c>
      <c r="H4943" s="12" t="n">
        <v>910</v>
      </c>
      <c r="I4943" s="17" t="n">
        <v>46225</v>
      </c>
      <c r="J4943" s="17" t="n">
        <v>46225</v>
      </c>
      <c r="K4943" t="inlineStr">
        <is>
          <t>Documento fornecedor LEOJAIME DOS SANTOS LIMA PLAN</t>
        </is>
      </c>
    </row>
    <row r="4944">
      <c r="A4944" t="inlineStr">
        <is>
          <t>EM000927</t>
        </is>
      </c>
      <c r="B4944" t="inlineStr">
        <is>
          <t>JOSE AELIO NASCIMENTO DA SILVA</t>
        </is>
      </c>
      <c r="C4944" t="n">
        <v>1117730000</v>
      </c>
      <c r="D4944" t="inlineStr">
        <is>
          <t>Nordex Employees</t>
        </is>
      </c>
      <c r="E4944" t="n">
        <v>2000011747</v>
      </c>
      <c r="G4944" t="inlineStr">
        <is>
          <t>ZP</t>
        </is>
      </c>
      <c r="H4944" s="12" t="n">
        <v>910</v>
      </c>
      <c r="I4944" s="17" t="n">
        <v>46225</v>
      </c>
      <c r="J4944" s="17" t="n">
        <v>46225</v>
      </c>
      <c r="K4944" t="inlineStr">
        <is>
          <t>Documento fornecedor JOSE AELIO NASCIMENTO DA SILV</t>
        </is>
      </c>
    </row>
    <row r="4945">
      <c r="A4945" t="inlineStr">
        <is>
          <t>EM000967</t>
        </is>
      </c>
      <c r="B4945" t="inlineStr">
        <is>
          <t>THIAGO RODRIGUES DOS SANTOS COSTA</t>
        </is>
      </c>
      <c r="C4945" t="n">
        <v>1117730000</v>
      </c>
      <c r="D4945" t="inlineStr">
        <is>
          <t>Nordex Employees</t>
        </is>
      </c>
      <c r="E4945" t="n">
        <v>2000011749</v>
      </c>
      <c r="G4945" t="inlineStr">
        <is>
          <t>ZP</t>
        </is>
      </c>
      <c r="H4945" s="12" t="n">
        <v>14277.84</v>
      </c>
      <c r="I4945" s="17" t="n">
        <v>46225</v>
      </c>
      <c r="J4945" s="17" t="n">
        <v>46225</v>
      </c>
      <c r="K4945" t="inlineStr">
        <is>
          <t>Documento fornecedor THIAGO RODRIGUES DOS SANTOS C</t>
        </is>
      </c>
    </row>
    <row r="4946">
      <c r="A4946" t="inlineStr">
        <is>
          <t>EM000968</t>
        </is>
      </c>
      <c r="B4946" t="inlineStr">
        <is>
          <t>THIAGO NOGUEIRA FIGUEREDO</t>
        </is>
      </c>
      <c r="C4946" t="n">
        <v>1117730000</v>
      </c>
      <c r="D4946" t="inlineStr">
        <is>
          <t>Nordex Employees</t>
        </is>
      </c>
      <c r="E4946" t="n">
        <v>2000011750</v>
      </c>
      <c r="G4946" t="inlineStr">
        <is>
          <t>ZP</t>
        </is>
      </c>
      <c r="H4946" s="12" t="n">
        <v>390</v>
      </c>
      <c r="I4946" s="17" t="n">
        <v>46225</v>
      </c>
      <c r="J4946" s="17" t="n">
        <v>46225</v>
      </c>
      <c r="K4946" t="inlineStr">
        <is>
          <t>Documento fornecedor THIAGO NOGUEIRA FIGUEREDO 514</t>
        </is>
      </c>
    </row>
    <row r="4947">
      <c r="A4947" t="inlineStr">
        <is>
          <t>EM000976</t>
        </is>
      </c>
      <c r="B4947" t="inlineStr">
        <is>
          <t>MICHEL EDWIN ZAMBRANA GUEVARA</t>
        </is>
      </c>
      <c r="C4947" t="n">
        <v>1117730000</v>
      </c>
      <c r="D4947" t="inlineStr">
        <is>
          <t>Nordex Employees</t>
        </is>
      </c>
      <c r="E4947" t="n">
        <v>2000011751</v>
      </c>
      <c r="G4947" t="inlineStr">
        <is>
          <t>ZP</t>
        </is>
      </c>
      <c r="H4947" s="12" t="n">
        <v>520</v>
      </c>
      <c r="I4947" s="17" t="n">
        <v>46225</v>
      </c>
      <c r="J4947" s="17" t="n">
        <v>46225</v>
      </c>
      <c r="K4947" t="inlineStr">
        <is>
          <t>Documento fornecedor MICHEL EDWIN ZAMBRANA GUEVARA</t>
        </is>
      </c>
    </row>
    <row r="4948">
      <c r="A4948" t="inlineStr">
        <is>
          <t>EM003535</t>
        </is>
      </c>
      <c r="B4948" t="inlineStr">
        <is>
          <t>JOILTON MARQUES DA SILVA</t>
        </is>
      </c>
      <c r="C4948" t="n">
        <v>1117730000</v>
      </c>
      <c r="D4948" t="inlineStr">
        <is>
          <t>Nordex Employees</t>
        </is>
      </c>
      <c r="E4948" t="n">
        <v>2000011752</v>
      </c>
      <c r="G4948" t="inlineStr">
        <is>
          <t>ZP</t>
        </is>
      </c>
      <c r="H4948" s="12" t="n">
        <v>2210</v>
      </c>
      <c r="I4948" s="17" t="n">
        <v>46225</v>
      </c>
      <c r="J4948" s="17" t="n">
        <v>46225</v>
      </c>
      <c r="K4948" t="inlineStr">
        <is>
          <t>Documento fornecedor JOILTON MARQUES DA SILVA PLAN</t>
        </is>
      </c>
    </row>
    <row r="4949">
      <c r="A4949" t="inlineStr">
        <is>
          <t>EM003688</t>
        </is>
      </c>
      <c r="B4949" t="inlineStr">
        <is>
          <t>Felipe Affonso de Carvalho Quita</t>
        </is>
      </c>
      <c r="C4949" t="n">
        <v>1117730000</v>
      </c>
      <c r="D4949" t="inlineStr">
        <is>
          <t>Nordex Employees</t>
        </is>
      </c>
      <c r="E4949" t="n">
        <v>2000011754</v>
      </c>
      <c r="G4949" t="inlineStr">
        <is>
          <t>ZP</t>
        </is>
      </c>
      <c r="H4949" s="12" t="n">
        <v>390</v>
      </c>
      <c r="I4949" s="17" t="n">
        <v>46225</v>
      </c>
      <c r="J4949" s="17" t="n">
        <v>46225</v>
      </c>
      <c r="K4949" t="inlineStr">
        <is>
          <t>Documento fornecedor Felipe Affonso de Carvalho Qu</t>
        </is>
      </c>
    </row>
    <row r="4950">
      <c r="A4950" t="inlineStr">
        <is>
          <t>EM003688</t>
        </is>
      </c>
      <c r="B4950" t="inlineStr">
        <is>
          <t>Felipe Affonso de Carvalho Quita</t>
        </is>
      </c>
      <c r="C4950" t="n">
        <v>1117730000</v>
      </c>
      <c r="D4950" t="inlineStr">
        <is>
          <t>Nordex Employees</t>
        </is>
      </c>
      <c r="E4950" t="n">
        <v>2000011755</v>
      </c>
      <c r="G4950" t="inlineStr">
        <is>
          <t>ZP</t>
        </is>
      </c>
      <c r="H4950" s="12" t="n">
        <v>650</v>
      </c>
      <c r="I4950" s="17" t="n">
        <v>46225</v>
      </c>
      <c r="J4950" s="17" t="n">
        <v>46225</v>
      </c>
      <c r="K4950" t="inlineStr">
        <is>
          <t>Documento fornecedor Felipe Affonso de Carvalho Qu</t>
        </is>
      </c>
    </row>
    <row r="4951">
      <c r="A4951" t="inlineStr">
        <is>
          <t>EM003693</t>
        </is>
      </c>
      <c r="B4951" t="inlineStr">
        <is>
          <t>Fabio Fernando Pereira de Andrade</t>
        </is>
      </c>
      <c r="C4951" t="n">
        <v>1117730000</v>
      </c>
      <c r="D4951" t="inlineStr">
        <is>
          <t>Nordex Employees</t>
        </is>
      </c>
      <c r="E4951" t="n">
        <v>2000011756</v>
      </c>
      <c r="G4951" t="inlineStr">
        <is>
          <t>ZP</t>
        </is>
      </c>
      <c r="H4951" s="12" t="n">
        <v>1950</v>
      </c>
      <c r="I4951" s="17" t="n">
        <v>46225</v>
      </c>
      <c r="J4951" s="17" t="n">
        <v>46225</v>
      </c>
      <c r="K4951" t="inlineStr">
        <is>
          <t>Documento fornecedor Fabio Fernando Pereira de And</t>
        </is>
      </c>
    </row>
    <row r="4952">
      <c r="A4952" t="inlineStr">
        <is>
          <t>EM003694</t>
        </is>
      </c>
      <c r="B4952" t="inlineStr">
        <is>
          <t>José Ribamar Morais Frazão</t>
        </is>
      </c>
      <c r="C4952" t="n">
        <v>1117730000</v>
      </c>
      <c r="D4952" t="inlineStr">
        <is>
          <t>Nordex Employees</t>
        </is>
      </c>
      <c r="E4952" t="n">
        <v>2000011757</v>
      </c>
      <c r="G4952" t="inlineStr">
        <is>
          <t>ZP</t>
        </is>
      </c>
      <c r="H4952" s="12" t="n">
        <v>1950</v>
      </c>
      <c r="I4952" s="17" t="n">
        <v>46225</v>
      </c>
      <c r="J4952" s="17" t="n">
        <v>46225</v>
      </c>
      <c r="K4952" t="inlineStr">
        <is>
          <t>Documento fornecedor José Ribamar Morais Frazão PL</t>
        </is>
      </c>
    </row>
    <row r="4953">
      <c r="A4953" t="inlineStr">
        <is>
          <t>EM000468</t>
        </is>
      </c>
      <c r="B4953" t="inlineStr">
        <is>
          <t>LUCAS EMANUEL ALVES DE SOUSA</t>
        </is>
      </c>
      <c r="C4953" t="n">
        <v>1117730000</v>
      </c>
      <c r="D4953" t="inlineStr">
        <is>
          <t>Nordex Employees</t>
        </is>
      </c>
      <c r="E4953" t="n">
        <v>2000011951</v>
      </c>
      <c r="G4953" t="inlineStr">
        <is>
          <t>ZP</t>
        </is>
      </c>
      <c r="H4953" s="12" t="n">
        <v>3202.2</v>
      </c>
      <c r="I4953" s="17" t="n">
        <v>46232</v>
      </c>
      <c r="J4953" s="17" t="n">
        <v>46232</v>
      </c>
      <c r="K4953" t="inlineStr">
        <is>
          <t>Vendor DP Request LUCAS EMANUEL ALVES DE SOUSA 513</t>
        </is>
      </c>
    </row>
    <row r="4954">
      <c r="A4954" t="inlineStr">
        <is>
          <t>EM000058</t>
        </is>
      </c>
      <c r="B4954" t="inlineStr">
        <is>
          <t>VITOR DE CASTRO SANTOS</t>
        </is>
      </c>
      <c r="C4954" t="n">
        <v>1117730000</v>
      </c>
      <c r="D4954" t="inlineStr">
        <is>
          <t>Nordex Employees</t>
        </is>
      </c>
      <c r="E4954" t="n">
        <v>2000011987</v>
      </c>
      <c r="G4954" t="inlineStr">
        <is>
          <t>ZP</t>
        </is>
      </c>
      <c r="H4954" s="12" t="n">
        <v>520</v>
      </c>
      <c r="I4954" s="17" t="n">
        <v>46232</v>
      </c>
      <c r="J4954" s="17" t="n">
        <v>46232</v>
      </c>
      <c r="K4954" t="inlineStr">
        <is>
          <t>Vendor DP Request VITOR DE CASTRO SANTOS 53558</t>
        </is>
      </c>
    </row>
    <row r="4955">
      <c r="A4955" t="inlineStr">
        <is>
          <t>EM000075</t>
        </is>
      </c>
      <c r="B4955" t="inlineStr">
        <is>
          <t>RENATO CAIO FERNANDES SILVA</t>
        </is>
      </c>
      <c r="C4955" t="n">
        <v>1117730000</v>
      </c>
      <c r="D4955" t="inlineStr">
        <is>
          <t>Nordex Employees</t>
        </is>
      </c>
      <c r="E4955" t="n">
        <v>2000011988</v>
      </c>
      <c r="G4955" t="inlineStr">
        <is>
          <t>ZP</t>
        </is>
      </c>
      <c r="H4955" s="12" t="n">
        <v>650</v>
      </c>
      <c r="I4955" s="17" t="n">
        <v>46232</v>
      </c>
      <c r="J4955" s="17" t="n">
        <v>46232</v>
      </c>
      <c r="K4955" t="inlineStr">
        <is>
          <t>Vendor DP Request RENATO CAIO FERNANDES SILVA 5349</t>
        </is>
      </c>
    </row>
    <row r="4956">
      <c r="A4956" t="inlineStr">
        <is>
          <t>EM000129</t>
        </is>
      </c>
      <c r="B4956" t="inlineStr">
        <is>
          <t>JOCIVAN DE SOUZA SILVA</t>
        </is>
      </c>
      <c r="C4956" t="n">
        <v>1117730000</v>
      </c>
      <c r="D4956" t="inlineStr">
        <is>
          <t>Nordex Employees</t>
        </is>
      </c>
      <c r="E4956" t="n">
        <v>2000011990</v>
      </c>
      <c r="G4956" t="inlineStr">
        <is>
          <t>ZP</t>
        </is>
      </c>
      <c r="H4956" s="12" t="n">
        <v>650</v>
      </c>
      <c r="I4956" s="17" t="n">
        <v>46232</v>
      </c>
      <c r="J4956" s="17" t="n">
        <v>46232</v>
      </c>
      <c r="K4956" t="inlineStr">
        <is>
          <t>Vendor DP Request JOCIVAN DE SOUZA SILVA 48885</t>
        </is>
      </c>
    </row>
    <row r="4957">
      <c r="A4957" t="inlineStr">
        <is>
          <t>EM000373</t>
        </is>
      </c>
      <c r="B4957" t="inlineStr">
        <is>
          <t>JACKSON VICENTE SOUZA FERREIRA</t>
        </is>
      </c>
      <c r="C4957" t="n">
        <v>1117730000</v>
      </c>
      <c r="D4957" t="inlineStr">
        <is>
          <t>Nordex Employees</t>
        </is>
      </c>
      <c r="E4957" t="n">
        <v>2000011998</v>
      </c>
      <c r="G4957" t="inlineStr">
        <is>
          <t>ZP</t>
        </is>
      </c>
      <c r="H4957" s="12" t="n">
        <v>910</v>
      </c>
      <c r="I4957" s="17" t="n">
        <v>46232</v>
      </c>
      <c r="J4957" s="17" t="n">
        <v>46232</v>
      </c>
      <c r="K4957" t="inlineStr">
        <is>
          <t>Vendor DP Request JACKSON VICENTE SOUZA FERREIRA 5</t>
        </is>
      </c>
    </row>
    <row r="4958">
      <c r="A4958" t="inlineStr">
        <is>
          <t>EM000451</t>
        </is>
      </c>
      <c r="B4958" t="inlineStr">
        <is>
          <t>ALEX DA SILVA CONCEIÇÃO</t>
        </is>
      </c>
      <c r="C4958" t="n">
        <v>1117730000</v>
      </c>
      <c r="D4958" t="inlineStr">
        <is>
          <t>Nordex Employees</t>
        </is>
      </c>
      <c r="E4958" t="n">
        <v>2000012001</v>
      </c>
      <c r="G4958" t="inlineStr">
        <is>
          <t>ZP</t>
        </is>
      </c>
      <c r="H4958" s="12" t="n">
        <v>2990</v>
      </c>
      <c r="I4958" s="17" t="n">
        <v>46232</v>
      </c>
      <c r="J4958" s="17" t="n">
        <v>46232</v>
      </c>
      <c r="K4958" t="inlineStr">
        <is>
          <t>Vendor DP Request ALEX DA SILVA CONCEIÇÃO 53561</t>
        </is>
      </c>
    </row>
    <row r="4959">
      <c r="A4959" t="inlineStr">
        <is>
          <t>EM000458</t>
        </is>
      </c>
      <c r="B4959" t="inlineStr">
        <is>
          <t>CARLOS CESAR FONSECA MACHADO</t>
        </is>
      </c>
      <c r="C4959" t="n">
        <v>1117730000</v>
      </c>
      <c r="D4959" t="inlineStr">
        <is>
          <t>Nordex Employees</t>
        </is>
      </c>
      <c r="E4959" t="n">
        <v>2000012002</v>
      </c>
      <c r="G4959" t="inlineStr">
        <is>
          <t>ZP</t>
        </is>
      </c>
      <c r="H4959" s="12" t="n">
        <v>260</v>
      </c>
      <c r="I4959" s="17" t="n">
        <v>46232</v>
      </c>
      <c r="J4959" s="17" t="n">
        <v>46232</v>
      </c>
      <c r="K4959" t="inlineStr">
        <is>
          <t>Vendor DP Request CARLOS CESAR FONSECA MACHADO 535</t>
        </is>
      </c>
    </row>
    <row r="4960">
      <c r="A4960" t="inlineStr">
        <is>
          <t>EM000901</t>
        </is>
      </c>
      <c r="B4960" t="inlineStr">
        <is>
          <t>LEOJAIME DOS SANTOS LIMA</t>
        </is>
      </c>
      <c r="C4960" t="n">
        <v>1117730000</v>
      </c>
      <c r="D4960" t="inlineStr">
        <is>
          <t>Nordex Employees</t>
        </is>
      </c>
      <c r="E4960" t="n">
        <v>2000012003</v>
      </c>
      <c r="G4960" t="inlineStr">
        <is>
          <t>ZP</t>
        </is>
      </c>
      <c r="H4960" s="12" t="n">
        <v>1040</v>
      </c>
      <c r="I4960" s="17" t="n">
        <v>45798</v>
      </c>
      <c r="J4960" s="17" t="n">
        <v>45798</v>
      </c>
      <c r="K4960" t="inlineStr">
        <is>
          <t>Documento fornecedor LEOJAIME DOS SANTOS LIMA PLAN</t>
        </is>
      </c>
    </row>
    <row r="4961">
      <c r="A4961" t="inlineStr">
        <is>
          <t>EM000532</t>
        </is>
      </c>
      <c r="B4961" t="inlineStr">
        <is>
          <t>VALDIRENE MESSONES PINTO DA SILVA</t>
        </is>
      </c>
      <c r="C4961" t="n">
        <v>1117730000</v>
      </c>
      <c r="D4961" t="inlineStr">
        <is>
          <t>Nordex Employees</t>
        </is>
      </c>
      <c r="E4961" t="n">
        <v>2000012005</v>
      </c>
      <c r="G4961" t="inlineStr">
        <is>
          <t>ZP</t>
        </is>
      </c>
      <c r="H4961" s="12" t="n">
        <v>650</v>
      </c>
      <c r="I4961" s="17" t="n">
        <v>46232</v>
      </c>
      <c r="J4961" s="17" t="n">
        <v>46232</v>
      </c>
      <c r="K4961" t="inlineStr">
        <is>
          <t>Vendor DP Request VALDIRENE MESSONES PINTO DA SILV</t>
        </is>
      </c>
    </row>
    <row r="4962">
      <c r="A4962" t="inlineStr">
        <is>
          <t>EM000608</t>
        </is>
      </c>
      <c r="B4962" t="inlineStr">
        <is>
          <t>ERLAN MARQUES DO NASCIMENTO SOUZA</t>
        </is>
      </c>
      <c r="C4962" t="n">
        <v>1117730000</v>
      </c>
      <c r="D4962" t="inlineStr">
        <is>
          <t>Nordex Employees</t>
        </is>
      </c>
      <c r="E4962" t="n">
        <v>2000012006</v>
      </c>
      <c r="G4962" t="inlineStr">
        <is>
          <t>ZP</t>
        </is>
      </c>
      <c r="H4962" s="12" t="n">
        <v>650</v>
      </c>
      <c r="I4962" s="17" t="n">
        <v>46232</v>
      </c>
      <c r="J4962" s="17" t="n">
        <v>46232</v>
      </c>
      <c r="K4962" t="inlineStr">
        <is>
          <t>Vendor DP Request ERLAN MARQUES DO NASCIMENTO SOUZ</t>
        </is>
      </c>
    </row>
    <row r="4963">
      <c r="A4963" t="inlineStr">
        <is>
          <t>EM000670</t>
        </is>
      </c>
      <c r="B4963" t="inlineStr">
        <is>
          <t>JULIANO DE PAULA NEVES NASCIMENTO</t>
        </is>
      </c>
      <c r="C4963" t="n">
        <v>1117730000</v>
      </c>
      <c r="D4963" t="inlineStr">
        <is>
          <t>Nordex Employees</t>
        </is>
      </c>
      <c r="E4963" t="n">
        <v>2000012007</v>
      </c>
      <c r="G4963" t="inlineStr">
        <is>
          <t>ZP</t>
        </is>
      </c>
      <c r="H4963" s="12" t="n">
        <v>2124</v>
      </c>
      <c r="I4963" s="17" t="n">
        <v>46232</v>
      </c>
      <c r="J4963" s="17" t="n">
        <v>46232</v>
      </c>
      <c r="K4963" t="inlineStr">
        <is>
          <t>Vendor DP Request JULIANO DE PAULA NEVES NASCIMENT</t>
        </is>
      </c>
    </row>
    <row r="4964">
      <c r="A4964" t="inlineStr">
        <is>
          <t>EM000793</t>
        </is>
      </c>
      <c r="B4964" t="inlineStr">
        <is>
          <t>Marcio Hoffmann Fernandes</t>
        </is>
      </c>
      <c r="C4964" t="n">
        <v>1117730000</v>
      </c>
      <c r="D4964" t="inlineStr">
        <is>
          <t>Nordex Employees</t>
        </is>
      </c>
      <c r="E4964" t="n">
        <v>2000012011</v>
      </c>
      <c r="G4964" t="inlineStr">
        <is>
          <t>ZP</t>
        </is>
      </c>
      <c r="H4964" s="12" t="n">
        <v>7191.49</v>
      </c>
      <c r="I4964" s="17" t="n">
        <v>46232</v>
      </c>
      <c r="J4964" s="17" t="n">
        <v>46232</v>
      </c>
      <c r="K4964" t="inlineStr">
        <is>
          <t>Vendor DP Request Marcio Hoffmann Fernandes 53463</t>
        </is>
      </c>
    </row>
    <row r="4965">
      <c r="A4965" t="inlineStr">
        <is>
          <t>EM000866</t>
        </is>
      </c>
      <c r="B4965" t="inlineStr">
        <is>
          <t>FRANCISCO MARCOS DE FREITAS</t>
        </is>
      </c>
      <c r="C4965" t="n">
        <v>1117730000</v>
      </c>
      <c r="D4965" t="inlineStr">
        <is>
          <t>Nordex Employees</t>
        </is>
      </c>
      <c r="E4965" t="n">
        <v>2000012013</v>
      </c>
      <c r="G4965" t="inlineStr">
        <is>
          <t>ZP</t>
        </is>
      </c>
      <c r="H4965" s="12" t="n">
        <v>1950</v>
      </c>
      <c r="I4965" s="17" t="n">
        <v>46232</v>
      </c>
      <c r="J4965" s="17" t="n">
        <v>46232</v>
      </c>
      <c r="K4965" t="inlineStr">
        <is>
          <t>Vendor DP Request FRANCISCO MARCOS DE FREITAS 4888</t>
        </is>
      </c>
    </row>
    <row r="4966">
      <c r="A4966" t="inlineStr">
        <is>
          <t>EM000903</t>
        </is>
      </c>
      <c r="B4966" t="inlineStr">
        <is>
          <t>ELANIO MAXIMINIANO OLIVEIRA DA SILVA</t>
        </is>
      </c>
      <c r="C4966" t="n">
        <v>1117730000</v>
      </c>
      <c r="D4966" t="inlineStr">
        <is>
          <t>Nordex Employees</t>
        </is>
      </c>
      <c r="E4966" t="n">
        <v>2000012016</v>
      </c>
      <c r="G4966" t="inlineStr">
        <is>
          <t>ZP</t>
        </is>
      </c>
      <c r="H4966" s="12" t="n">
        <v>910</v>
      </c>
      <c r="I4966" s="17" t="n">
        <v>46232</v>
      </c>
      <c r="J4966" s="17" t="n">
        <v>46232</v>
      </c>
      <c r="K4966" t="inlineStr">
        <is>
          <t>Vendor DP Request ELANIO MAXIMINIANO OLIVEIRA DA S</t>
        </is>
      </c>
    </row>
    <row r="4967">
      <c r="A4967" t="inlineStr">
        <is>
          <t>EM003756</t>
        </is>
      </c>
      <c r="B4967" t="inlineStr">
        <is>
          <t>DAVID DA CRUZ SILVA</t>
        </is>
      </c>
      <c r="C4967" t="n">
        <v>1117730000</v>
      </c>
      <c r="D4967" t="inlineStr">
        <is>
          <t>Nordex Employees</t>
        </is>
      </c>
      <c r="E4967" t="n">
        <v>2000012019</v>
      </c>
      <c r="G4967" t="inlineStr">
        <is>
          <t>ZP</t>
        </is>
      </c>
      <c r="H4967" s="12" t="n">
        <v>910</v>
      </c>
      <c r="I4967" s="17" t="n">
        <v>46232</v>
      </c>
      <c r="J4967" s="17" t="n">
        <v>46232</v>
      </c>
      <c r="K4967" t="inlineStr">
        <is>
          <t>Vendor DP Request DAVID DA CRUZ SILVA 52451</t>
        </is>
      </c>
    </row>
    <row r="4968">
      <c r="A4968" t="inlineStr">
        <is>
          <t>EM000006</t>
        </is>
      </c>
      <c r="B4968" t="inlineStr">
        <is>
          <t>FERNANDA CYNTHIA DA SILVA</t>
        </is>
      </c>
      <c r="C4968" t="n">
        <v>1117730000</v>
      </c>
      <c r="D4968" t="inlineStr">
        <is>
          <t>Nordex Employees</t>
        </is>
      </c>
      <c r="E4968" t="n">
        <v>2000012923</v>
      </c>
      <c r="G4968" t="inlineStr">
        <is>
          <t>ZP</t>
        </is>
      </c>
      <c r="H4968" s="12" t="n">
        <v>910</v>
      </c>
      <c r="I4968" s="17" t="n">
        <v>46239</v>
      </c>
      <c r="J4968" s="17" t="n">
        <v>46239</v>
      </c>
      <c r="K4968" t="inlineStr">
        <is>
          <t>Vendor DP Request FERNANDA CYNTHIA DA SILVA 53666</t>
        </is>
      </c>
    </row>
    <row r="4969">
      <c r="A4969" t="inlineStr">
        <is>
          <t>EM000021</t>
        </is>
      </c>
      <c r="B4969" t="inlineStr">
        <is>
          <t>PAULO HENRIQUE BARBOSA ORTIZ DE SOUZA</t>
        </is>
      </c>
      <c r="C4969" t="n">
        <v>1117730000</v>
      </c>
      <c r="D4969" t="inlineStr">
        <is>
          <t>Nordex Employees</t>
        </is>
      </c>
      <c r="E4969" t="n">
        <v>2000012924</v>
      </c>
      <c r="G4969" t="inlineStr">
        <is>
          <t>ZP</t>
        </is>
      </c>
      <c r="H4969" s="12" t="n">
        <v>2600</v>
      </c>
      <c r="I4969" s="17" t="n">
        <v>46239</v>
      </c>
      <c r="J4969" s="17" t="n">
        <v>46239</v>
      </c>
      <c r="K4969" t="inlineStr">
        <is>
          <t>Vendor DP Request PAULO HENRIQUE BARBOSA ORTIZ DE</t>
        </is>
      </c>
    </row>
    <row r="4970">
      <c r="A4970" t="inlineStr">
        <is>
          <t>EM000023</t>
        </is>
      </c>
      <c r="B4970" t="inlineStr">
        <is>
          <t>RAFAEL MACHADO SALLES</t>
        </is>
      </c>
      <c r="C4970" t="n">
        <v>1117730000</v>
      </c>
      <c r="D4970" t="inlineStr">
        <is>
          <t>Nordex Employees</t>
        </is>
      </c>
      <c r="E4970" t="n">
        <v>2000012925</v>
      </c>
      <c r="G4970" t="inlineStr">
        <is>
          <t>ZP</t>
        </is>
      </c>
      <c r="H4970" s="12" t="n">
        <v>2545.2</v>
      </c>
      <c r="I4970" s="17" t="n">
        <v>46239</v>
      </c>
      <c r="J4970" s="17" t="n">
        <v>46239</v>
      </c>
      <c r="K4970" t="inlineStr">
        <is>
          <t>Vendor DP Request RAFAEL MACHADO SALLES 53591</t>
        </is>
      </c>
    </row>
    <row r="4971">
      <c r="A4971" t="inlineStr">
        <is>
          <t>EM000035</t>
        </is>
      </c>
      <c r="B4971" t="inlineStr">
        <is>
          <t>ALEXANDRE SILVEIRA TRINDADE</t>
        </is>
      </c>
      <c r="C4971" t="n">
        <v>1117730000</v>
      </c>
      <c r="D4971" t="inlineStr">
        <is>
          <t>Nordex Employees</t>
        </is>
      </c>
      <c r="E4971" t="n">
        <v>2000012928</v>
      </c>
      <c r="G4971" t="inlineStr">
        <is>
          <t>ZP</t>
        </is>
      </c>
      <c r="H4971" s="12" t="n">
        <v>10710</v>
      </c>
      <c r="I4971" s="17" t="n">
        <v>46239</v>
      </c>
      <c r="J4971" s="17" t="n">
        <v>46239</v>
      </c>
      <c r="K4971" t="inlineStr">
        <is>
          <t>Vendor DP Request ALEXANDRE SILVEIRA TRINDADE 5362</t>
        </is>
      </c>
    </row>
    <row r="4972">
      <c r="A4972" t="inlineStr">
        <is>
          <t>EM000041</t>
        </is>
      </c>
      <c r="B4972" t="inlineStr">
        <is>
          <t>FLAVIO BELLOLI</t>
        </is>
      </c>
      <c r="C4972" t="n">
        <v>1117730000</v>
      </c>
      <c r="D4972" t="inlineStr">
        <is>
          <t>Nordex Employees</t>
        </is>
      </c>
      <c r="E4972" t="n">
        <v>2000012929</v>
      </c>
      <c r="G4972" t="inlineStr">
        <is>
          <t>ZP</t>
        </is>
      </c>
      <c r="H4972" s="12" t="n">
        <v>2124</v>
      </c>
      <c r="I4972" s="17" t="n">
        <v>46239</v>
      </c>
      <c r="J4972" s="17" t="n">
        <v>46239</v>
      </c>
      <c r="K4972" t="inlineStr">
        <is>
          <t>Vendor DP Request FLAVIO BELLOLI 53634</t>
        </is>
      </c>
    </row>
    <row r="4973">
      <c r="A4973" t="inlineStr">
        <is>
          <t>EM000050</t>
        </is>
      </c>
      <c r="B4973" t="inlineStr">
        <is>
          <t>RICARDO DANTAS ALVES JUNIOR</t>
        </is>
      </c>
      <c r="C4973" t="n">
        <v>1117730000</v>
      </c>
      <c r="D4973" t="inlineStr">
        <is>
          <t>Nordex Employees</t>
        </is>
      </c>
      <c r="E4973" t="n">
        <v>2000012930</v>
      </c>
      <c r="G4973" t="inlineStr">
        <is>
          <t>ZP</t>
        </is>
      </c>
      <c r="H4973" s="12" t="n">
        <v>2104.38</v>
      </c>
      <c r="I4973" s="17" t="n">
        <v>46239</v>
      </c>
      <c r="J4973" s="17" t="n">
        <v>46239</v>
      </c>
      <c r="K4973" t="inlineStr">
        <is>
          <t>Vendor DP Request RICARDO DANTAS ALVES JUNIOR 5363</t>
        </is>
      </c>
    </row>
    <row r="4974">
      <c r="A4974" t="inlineStr">
        <is>
          <t>EM000058</t>
        </is>
      </c>
      <c r="B4974" t="inlineStr">
        <is>
          <t>VITOR DE CASTRO SANTOS</t>
        </is>
      </c>
      <c r="C4974" t="n">
        <v>1117730000</v>
      </c>
      <c r="D4974" t="inlineStr">
        <is>
          <t>Nordex Employees</t>
        </is>
      </c>
      <c r="E4974" t="n">
        <v>2000012931</v>
      </c>
      <c r="G4974" t="inlineStr">
        <is>
          <t>ZP</t>
        </is>
      </c>
      <c r="H4974" s="12" t="n">
        <v>780</v>
      </c>
      <c r="I4974" s="17" t="n">
        <v>46239</v>
      </c>
      <c r="J4974" s="17" t="n">
        <v>46239</v>
      </c>
      <c r="K4974" t="inlineStr">
        <is>
          <t>Vendor DP Request VITOR DE CASTRO SANTOS 53670</t>
        </is>
      </c>
    </row>
    <row r="4975">
      <c r="A4975" t="inlineStr">
        <is>
          <t>EM000105</t>
        </is>
      </c>
      <c r="B4975" t="inlineStr">
        <is>
          <t>THIAGO CARVALHO</t>
        </is>
      </c>
      <c r="C4975" t="n">
        <v>1117730000</v>
      </c>
      <c r="D4975" t="inlineStr">
        <is>
          <t>Nordex Employees</t>
        </is>
      </c>
      <c r="E4975" t="n">
        <v>2000012933</v>
      </c>
      <c r="G4975" t="inlineStr">
        <is>
          <t>ZP</t>
        </is>
      </c>
      <c r="H4975" s="12" t="n">
        <v>1761</v>
      </c>
      <c r="I4975" s="17" t="n">
        <v>46239</v>
      </c>
      <c r="J4975" s="17" t="n">
        <v>46239</v>
      </c>
      <c r="K4975" t="inlineStr">
        <is>
          <t>Vendor DP Request THIAGO CARVALHO 53681</t>
        </is>
      </c>
    </row>
    <row r="4976">
      <c r="A4976" t="inlineStr">
        <is>
          <t>EM000129</t>
        </is>
      </c>
      <c r="B4976" t="inlineStr">
        <is>
          <t>JOCIVAN DE SOUZA SILVA</t>
        </is>
      </c>
      <c r="C4976" t="n">
        <v>1117730000</v>
      </c>
      <c r="D4976" t="inlineStr">
        <is>
          <t>Nordex Employees</t>
        </is>
      </c>
      <c r="E4976" t="n">
        <v>2000012937</v>
      </c>
      <c r="G4976" t="inlineStr">
        <is>
          <t>ZP</t>
        </is>
      </c>
      <c r="H4976" s="12" t="n">
        <v>650</v>
      </c>
      <c r="I4976" s="17" t="n">
        <v>46239</v>
      </c>
      <c r="J4976" s="17" t="n">
        <v>46239</v>
      </c>
      <c r="K4976" t="inlineStr">
        <is>
          <t>Vendor DP Request JOCIVAN DE SOUZA SILVA 48885</t>
        </is>
      </c>
    </row>
    <row r="4977">
      <c r="A4977" t="inlineStr">
        <is>
          <t>EM000243</t>
        </is>
      </c>
      <c r="B4977" t="inlineStr">
        <is>
          <t>JOSE LUIZ CONCEICAO DE SOUZA</t>
        </is>
      </c>
      <c r="C4977" t="n">
        <v>1117730000</v>
      </c>
      <c r="D4977" t="inlineStr">
        <is>
          <t>Nordex Employees</t>
        </is>
      </c>
      <c r="E4977" t="n">
        <v>2000012944</v>
      </c>
      <c r="G4977" t="inlineStr">
        <is>
          <t>ZP</t>
        </is>
      </c>
      <c r="H4977" s="12" t="n">
        <v>1950</v>
      </c>
      <c r="I4977" s="17" t="n">
        <v>46239</v>
      </c>
      <c r="J4977" s="17" t="n">
        <v>46239</v>
      </c>
      <c r="K4977" t="inlineStr">
        <is>
          <t>Vendor DP Request JOSE LUIZ CONCEICAO DE SOUZA 536</t>
        </is>
      </c>
    </row>
    <row r="4978">
      <c r="A4978" t="inlineStr">
        <is>
          <t>EM000310</t>
        </is>
      </c>
      <c r="B4978" t="inlineStr">
        <is>
          <t>CARLOS EDUARDO LAUREANO</t>
        </is>
      </c>
      <c r="C4978" t="n">
        <v>1117730000</v>
      </c>
      <c r="D4978" t="inlineStr">
        <is>
          <t>Nordex Employees</t>
        </is>
      </c>
      <c r="E4978" t="n">
        <v>2000012945</v>
      </c>
      <c r="G4978" t="inlineStr">
        <is>
          <t>ZP</t>
        </is>
      </c>
      <c r="H4978" s="12" t="n">
        <v>10710</v>
      </c>
      <c r="I4978" s="17" t="n">
        <v>46239</v>
      </c>
      <c r="J4978" s="17" t="n">
        <v>46239</v>
      </c>
      <c r="K4978" t="inlineStr">
        <is>
          <t>Vendor DP Request CARLOS EDUARDO LAUREANO 53640</t>
        </is>
      </c>
    </row>
    <row r="4979">
      <c r="A4979" t="inlineStr">
        <is>
          <t>EM000327</t>
        </is>
      </c>
      <c r="B4979" t="inlineStr">
        <is>
          <t>JOSE MARTINS TEIXEIRA NETO</t>
        </is>
      </c>
      <c r="C4979" t="n">
        <v>1117730000</v>
      </c>
      <c r="D4979" t="inlineStr">
        <is>
          <t>Nordex Employees</t>
        </is>
      </c>
      <c r="E4979" t="n">
        <v>2000012946</v>
      </c>
      <c r="G4979" t="inlineStr">
        <is>
          <t>ZP</t>
        </is>
      </c>
      <c r="H4979" s="12" t="n">
        <v>2990</v>
      </c>
      <c r="I4979" s="17" t="n">
        <v>46239</v>
      </c>
      <c r="J4979" s="17" t="n">
        <v>46239</v>
      </c>
      <c r="K4979" t="inlineStr">
        <is>
          <t>Vendor DP Request JOSE MARTINS TEIXEIRA NETO 53665</t>
        </is>
      </c>
    </row>
    <row r="4980">
      <c r="A4980" t="inlineStr">
        <is>
          <t>EM000437</t>
        </is>
      </c>
      <c r="B4980" t="inlineStr">
        <is>
          <t>CLEODON MARIO DA SILVA FILHO</t>
        </is>
      </c>
      <c r="C4980" t="n">
        <v>1117730000</v>
      </c>
      <c r="D4980" t="inlineStr">
        <is>
          <t>Nordex Employees</t>
        </is>
      </c>
      <c r="E4980" t="n">
        <v>2000012947</v>
      </c>
      <c r="G4980" t="inlineStr">
        <is>
          <t>ZP</t>
        </is>
      </c>
      <c r="H4980" s="12" t="n">
        <v>3510</v>
      </c>
      <c r="I4980" s="17" t="n">
        <v>46239</v>
      </c>
      <c r="J4980" s="17" t="n">
        <v>46239</v>
      </c>
      <c r="K4980" t="inlineStr">
        <is>
          <t>Vendor DP Request CLEODON MARIO DA SILVA FILHO 535</t>
        </is>
      </c>
    </row>
    <row r="4981">
      <c r="A4981" t="inlineStr">
        <is>
          <t>EM000468</t>
        </is>
      </c>
      <c r="B4981" t="inlineStr">
        <is>
          <t>LUCAS EMANUEL ALVES DE SOUSA</t>
        </is>
      </c>
      <c r="C4981" t="n">
        <v>1117730000</v>
      </c>
      <c r="D4981" t="inlineStr">
        <is>
          <t>Nordex Employees</t>
        </is>
      </c>
      <c r="E4981" t="n">
        <v>2000012949</v>
      </c>
      <c r="G4981" t="inlineStr">
        <is>
          <t>ZP</t>
        </is>
      </c>
      <c r="H4981" s="12" t="n">
        <v>9228.450000000001</v>
      </c>
      <c r="I4981" s="17" t="n">
        <v>46239</v>
      </c>
      <c r="J4981" s="17" t="n">
        <v>46239</v>
      </c>
      <c r="K4981" t="inlineStr">
        <is>
          <t>Vendor DP Request LUCAS EMANUEL ALVES DE SOUSA 513</t>
        </is>
      </c>
    </row>
    <row r="4982">
      <c r="A4982" t="inlineStr">
        <is>
          <t>EM000532</t>
        </is>
      </c>
      <c r="B4982" t="inlineStr">
        <is>
          <t>VALDIRENE MESSONES PINTO DA SILVA</t>
        </is>
      </c>
      <c r="C4982" t="n">
        <v>1117730000</v>
      </c>
      <c r="D4982" t="inlineStr">
        <is>
          <t>Nordex Employees</t>
        </is>
      </c>
      <c r="E4982" t="n">
        <v>2000012953</v>
      </c>
      <c r="G4982" t="inlineStr">
        <is>
          <t>ZP</t>
        </is>
      </c>
      <c r="H4982" s="12" t="n">
        <v>910</v>
      </c>
      <c r="I4982" s="17" t="n">
        <v>46239</v>
      </c>
      <c r="J4982" s="17" t="n">
        <v>46239</v>
      </c>
      <c r="K4982" t="inlineStr">
        <is>
          <t>Vendor DP Request VALDIRENE MESSONES PINTO DA SILV</t>
        </is>
      </c>
    </row>
    <row r="4983">
      <c r="A4983" t="inlineStr">
        <is>
          <t>EM000561</t>
        </is>
      </c>
      <c r="B4983" t="inlineStr">
        <is>
          <t>GEOVANE PASSOS LOPES</t>
        </is>
      </c>
      <c r="C4983" t="n">
        <v>1117730000</v>
      </c>
      <c r="D4983" t="inlineStr">
        <is>
          <t>Nordex Employees</t>
        </is>
      </c>
      <c r="E4983" t="n">
        <v>2000012955</v>
      </c>
      <c r="G4983" t="inlineStr">
        <is>
          <t>ZP</t>
        </is>
      </c>
      <c r="H4983" s="12" t="n">
        <v>8652.6</v>
      </c>
      <c r="I4983" s="17" t="n">
        <v>46239</v>
      </c>
      <c r="J4983" s="17" t="n">
        <v>46239</v>
      </c>
      <c r="K4983" t="inlineStr">
        <is>
          <t>Vendor DP Request GEOVANE PASSOS LOPES 53656</t>
        </is>
      </c>
    </row>
    <row r="4984">
      <c r="A4984" t="inlineStr">
        <is>
          <t>EM000670</t>
        </is>
      </c>
      <c r="B4984" t="inlineStr">
        <is>
          <t>JULIANO DE PAULA NEVES NASCIMENTO</t>
        </is>
      </c>
      <c r="C4984" t="n">
        <v>1117730000</v>
      </c>
      <c r="D4984" t="inlineStr">
        <is>
          <t>Nordex Employees</t>
        </is>
      </c>
      <c r="E4984" t="n">
        <v>2000012956</v>
      </c>
      <c r="G4984" t="inlineStr">
        <is>
          <t>ZP</t>
        </is>
      </c>
      <c r="H4984" s="12" t="n">
        <v>1752</v>
      </c>
      <c r="I4984" s="17" t="n">
        <v>46239</v>
      </c>
      <c r="J4984" s="17" t="n">
        <v>46239</v>
      </c>
      <c r="K4984" t="inlineStr">
        <is>
          <t>Vendor DP Request JULIANO DE PAULA NEVES NASCIMENT</t>
        </is>
      </c>
    </row>
    <row r="4985">
      <c r="A4985" t="inlineStr">
        <is>
          <t>EM000866</t>
        </is>
      </c>
      <c r="B4985" t="inlineStr">
        <is>
          <t>FRANCISCO MARCOS DE FREITAS</t>
        </is>
      </c>
      <c r="C4985" t="n">
        <v>1117730000</v>
      </c>
      <c r="D4985" t="inlineStr">
        <is>
          <t>Nordex Employees</t>
        </is>
      </c>
      <c r="E4985" t="n">
        <v>2000012961</v>
      </c>
      <c r="G4985" t="inlineStr">
        <is>
          <t>ZP</t>
        </is>
      </c>
      <c r="H4985" s="12" t="n">
        <v>650</v>
      </c>
      <c r="I4985" s="17" t="n">
        <v>46239</v>
      </c>
      <c r="J4985" s="17" t="n">
        <v>46239</v>
      </c>
      <c r="K4985" t="inlineStr">
        <is>
          <t>Vendor DP Request FRANCISCO MARCOS DE FREITAS 4888</t>
        </is>
      </c>
    </row>
    <row r="4986">
      <c r="A4986" t="inlineStr">
        <is>
          <t>EM000890</t>
        </is>
      </c>
      <c r="B4986" t="inlineStr">
        <is>
          <t>DENILSON FERNANDES SILVA</t>
        </is>
      </c>
      <c r="C4986" t="n">
        <v>1117730000</v>
      </c>
      <c r="D4986" t="inlineStr">
        <is>
          <t>Nordex Employees</t>
        </is>
      </c>
      <c r="E4986" t="n">
        <v>2000012963</v>
      </c>
      <c r="G4986" t="inlineStr">
        <is>
          <t>ZP</t>
        </is>
      </c>
      <c r="H4986" s="12" t="n">
        <v>390</v>
      </c>
      <c r="I4986" s="17" t="n">
        <v>46239</v>
      </c>
      <c r="J4986" s="17" t="n">
        <v>46239</v>
      </c>
      <c r="K4986" t="inlineStr">
        <is>
          <t>Vendor DP Request DENILSON FERNANDES SILVA 53647</t>
        </is>
      </c>
    </row>
    <row r="4987">
      <c r="A4987" t="inlineStr">
        <is>
          <t>EM000905</t>
        </is>
      </c>
      <c r="B4987" t="inlineStr">
        <is>
          <t>TIAGO DA SILVA SANTANA</t>
        </is>
      </c>
      <c r="C4987" t="n">
        <v>1117730000</v>
      </c>
      <c r="D4987" t="inlineStr">
        <is>
          <t>Nordex Employees</t>
        </is>
      </c>
      <c r="E4987" t="n">
        <v>2000012965</v>
      </c>
      <c r="G4987" t="inlineStr">
        <is>
          <t>ZP</t>
        </is>
      </c>
      <c r="H4987" s="12" t="n">
        <v>28479.6</v>
      </c>
      <c r="I4987" s="17" t="n">
        <v>46239</v>
      </c>
      <c r="J4987" s="17" t="n">
        <v>46239</v>
      </c>
      <c r="K4987" t="inlineStr">
        <is>
          <t>Vendor DP Request TIAGO DA SILVA SANTANA 53624</t>
        </is>
      </c>
    </row>
    <row r="4988">
      <c r="A4988" t="inlineStr">
        <is>
          <t>EM000919</t>
        </is>
      </c>
      <c r="B4988" t="inlineStr">
        <is>
          <t>LUCAS MEDEIROS DE OLIVEIRA</t>
        </is>
      </c>
      <c r="C4988" t="n">
        <v>1117730000</v>
      </c>
      <c r="D4988" t="inlineStr">
        <is>
          <t>Nordex Employees</t>
        </is>
      </c>
      <c r="E4988" t="n">
        <v>2000012967</v>
      </c>
      <c r="G4988" t="inlineStr">
        <is>
          <t>ZP</t>
        </is>
      </c>
      <c r="H4988" s="12" t="n">
        <v>11286</v>
      </c>
      <c r="I4988" s="17" t="n">
        <v>46239</v>
      </c>
      <c r="J4988" s="17" t="n">
        <v>46239</v>
      </c>
      <c r="K4988" t="inlineStr">
        <is>
          <t>Vendor DP Request LUCAS MEDEIROS DE OLIVEIRA 53651</t>
        </is>
      </c>
    </row>
    <row r="4989">
      <c r="A4989" t="inlineStr">
        <is>
          <t>EM000982</t>
        </is>
      </c>
      <c r="B4989" t="inlineStr">
        <is>
          <t>SADRAQUE DA COSTA PEREIRA</t>
        </is>
      </c>
      <c r="C4989" t="n">
        <v>1117730000</v>
      </c>
      <c r="D4989" t="inlineStr">
        <is>
          <t>Nordex Employees</t>
        </is>
      </c>
      <c r="E4989" t="n">
        <v>2000012968</v>
      </c>
      <c r="G4989" t="inlineStr">
        <is>
          <t>ZP</t>
        </is>
      </c>
      <c r="H4989" s="12" t="n">
        <v>4290</v>
      </c>
      <c r="I4989" s="17" t="n">
        <v>46239</v>
      </c>
      <c r="J4989" s="17" t="n">
        <v>46239</v>
      </c>
      <c r="K4989" t="inlineStr">
        <is>
          <t>Vendor DP Request SADRAQUE DA COSTA PEREIRA 53678</t>
        </is>
      </c>
    </row>
    <row r="4990">
      <c r="A4990" t="inlineStr">
        <is>
          <t>EM000987</t>
        </is>
      </c>
      <c r="B4990" t="inlineStr">
        <is>
          <t>SIDEMARIO SANTANA SILVA</t>
        </is>
      </c>
      <c r="C4990" t="n">
        <v>1117730000</v>
      </c>
      <c r="D4990" t="inlineStr">
        <is>
          <t>Nordex Employees</t>
        </is>
      </c>
      <c r="E4990" t="n">
        <v>2000012969</v>
      </c>
      <c r="G4990" t="inlineStr">
        <is>
          <t>ZP</t>
        </is>
      </c>
      <c r="H4990" s="12" t="n">
        <v>3770</v>
      </c>
      <c r="I4990" s="17" t="n">
        <v>46239</v>
      </c>
      <c r="J4990" s="17" t="n">
        <v>46239</v>
      </c>
      <c r="K4990" t="inlineStr">
        <is>
          <t>Vendor DP Request SIDEMARIO SANTANA SILVA 53648</t>
        </is>
      </c>
    </row>
    <row r="4991">
      <c r="A4991" t="inlineStr">
        <is>
          <t>EM003535</t>
        </is>
      </c>
      <c r="B4991" t="inlineStr">
        <is>
          <t>JOILTON MARQUES DA SILVA</t>
        </is>
      </c>
      <c r="C4991" t="n">
        <v>1117730000</v>
      </c>
      <c r="D4991" t="inlineStr">
        <is>
          <t>Nordex Employees</t>
        </is>
      </c>
      <c r="E4991" t="n">
        <v>2000012970</v>
      </c>
      <c r="G4991" t="inlineStr">
        <is>
          <t>ZP</t>
        </is>
      </c>
      <c r="H4991" s="12" t="n">
        <v>1040</v>
      </c>
      <c r="I4991" s="17" t="n">
        <v>46239</v>
      </c>
      <c r="J4991" s="17" t="n">
        <v>46239</v>
      </c>
      <c r="K4991" t="inlineStr">
        <is>
          <t>Vendor DP Request JOILTON MARQUES DA SILVA 53529</t>
        </is>
      </c>
    </row>
    <row r="4992">
      <c r="A4992" t="inlineStr">
        <is>
          <t>EM003688</t>
        </is>
      </c>
      <c r="B4992" t="inlineStr">
        <is>
          <t>Felipe Affonso de Carvalho Quita</t>
        </is>
      </c>
      <c r="C4992" t="n">
        <v>1117730000</v>
      </c>
      <c r="D4992" t="inlineStr">
        <is>
          <t>Nordex Employees</t>
        </is>
      </c>
      <c r="E4992" t="n">
        <v>2000012971</v>
      </c>
      <c r="G4992" t="inlineStr">
        <is>
          <t>ZP</t>
        </is>
      </c>
      <c r="H4992" s="12" t="n">
        <v>1444.8</v>
      </c>
      <c r="I4992" s="17" t="n">
        <v>46239</v>
      </c>
      <c r="J4992" s="17" t="n">
        <v>46239</v>
      </c>
      <c r="K4992" t="inlineStr">
        <is>
          <t>Documento fornecedor Felipe Affonso de Carvalho Qu</t>
        </is>
      </c>
    </row>
    <row r="4993">
      <c r="A4993" t="inlineStr">
        <is>
          <t>EM000048</t>
        </is>
      </c>
      <c r="B4993" t="inlineStr">
        <is>
          <t>ARLINDO ASTYZEM REGO</t>
        </is>
      </c>
      <c r="C4993" t="n">
        <v>1117730000</v>
      </c>
      <c r="D4993" t="inlineStr">
        <is>
          <t>Nordex Employees</t>
        </is>
      </c>
      <c r="E4993" t="n">
        <v>2000013234</v>
      </c>
      <c r="G4993" t="inlineStr">
        <is>
          <t>ZP</t>
        </is>
      </c>
      <c r="H4993" s="12" t="n">
        <v>2836.8</v>
      </c>
      <c r="I4993" s="17" t="n">
        <v>46246</v>
      </c>
      <c r="J4993" s="17" t="n">
        <v>46246</v>
      </c>
      <c r="K4993" t="inlineStr">
        <is>
          <t>Vendor DP Request ARLINDO ASTYZEM REGO 53693</t>
        </is>
      </c>
    </row>
    <row r="4994">
      <c r="A4994" t="inlineStr">
        <is>
          <t>EM000141</t>
        </is>
      </c>
      <c r="B4994" t="inlineStr">
        <is>
          <t>EDGLEISON TAMBORIL FIRMIANO</t>
        </is>
      </c>
      <c r="C4994" t="n">
        <v>1117730000</v>
      </c>
      <c r="D4994" t="inlineStr">
        <is>
          <t>Nordex Employees</t>
        </is>
      </c>
      <c r="E4994" t="n">
        <v>2000013240</v>
      </c>
      <c r="G4994" t="inlineStr">
        <is>
          <t>ZP</t>
        </is>
      </c>
      <c r="H4994" s="12" t="n">
        <v>3900</v>
      </c>
      <c r="I4994" s="17" t="n">
        <v>46246</v>
      </c>
      <c r="J4994" s="17" t="n">
        <v>46246</v>
      </c>
      <c r="K4994" t="inlineStr">
        <is>
          <t>Vendor DP Request EDGLEISON TAMBORIL FIRMIANO 5359</t>
        </is>
      </c>
    </row>
    <row r="4995">
      <c r="A4995" t="inlineStr">
        <is>
          <t>EM000243</t>
        </is>
      </c>
      <c r="B4995" t="inlineStr">
        <is>
          <t>JOSE LUIZ CONCEICAO DE SOUZA</t>
        </is>
      </c>
      <c r="C4995" t="n">
        <v>1117730000</v>
      </c>
      <c r="D4995" t="inlineStr">
        <is>
          <t>Nordex Employees</t>
        </is>
      </c>
      <c r="E4995" t="n">
        <v>2000013242</v>
      </c>
      <c r="G4995" t="inlineStr">
        <is>
          <t>ZP</t>
        </is>
      </c>
      <c r="H4995" s="12" t="n">
        <v>1040</v>
      </c>
      <c r="I4995" s="17" t="n">
        <v>46246</v>
      </c>
      <c r="J4995" s="17" t="n">
        <v>46246</v>
      </c>
      <c r="K4995" t="inlineStr">
        <is>
          <t>Vendor DP Request JOSE LUIZ CONCEICAO DE SOUZA 536</t>
        </is>
      </c>
    </row>
    <row r="4996">
      <c r="A4996" t="inlineStr">
        <is>
          <t>EM000324</t>
        </is>
      </c>
      <c r="B4996" t="inlineStr">
        <is>
          <t>LUIZ EDUARDO PEREIRA DA SILVA</t>
        </is>
      </c>
      <c r="C4996" t="n">
        <v>1117730000</v>
      </c>
      <c r="D4996" t="inlineStr">
        <is>
          <t>Nordex Employees</t>
        </is>
      </c>
      <c r="E4996" t="n">
        <v>2000013243</v>
      </c>
      <c r="G4996" t="inlineStr">
        <is>
          <t>ZP</t>
        </is>
      </c>
      <c r="H4996" s="12" t="n">
        <v>2990</v>
      </c>
      <c r="I4996" s="17" t="n">
        <v>46246</v>
      </c>
      <c r="J4996" s="17" t="n">
        <v>46246</v>
      </c>
      <c r="K4996" t="inlineStr">
        <is>
          <t>Vendor DP Request LUIZ EDUARDO PEREIRA DA SILVA 53</t>
        </is>
      </c>
    </row>
    <row r="4997">
      <c r="A4997" t="inlineStr">
        <is>
          <t>EM000425</t>
        </is>
      </c>
      <c r="B4997" t="inlineStr">
        <is>
          <t>NAIGUEL PEREIRA DO SANTOS</t>
        </is>
      </c>
      <c r="C4997" t="n">
        <v>1117730000</v>
      </c>
      <c r="D4997" t="inlineStr">
        <is>
          <t>Nordex Employees</t>
        </is>
      </c>
      <c r="E4997" t="n">
        <v>2000013244</v>
      </c>
      <c r="G4997" t="inlineStr">
        <is>
          <t>ZP</t>
        </is>
      </c>
      <c r="H4997" s="12" t="n">
        <v>1820</v>
      </c>
      <c r="I4997" s="17" t="n">
        <v>46246</v>
      </c>
      <c r="J4997" s="17" t="n">
        <v>46246</v>
      </c>
      <c r="K4997" t="inlineStr">
        <is>
          <t>Vendor DP Request NAIGUEL PEREIRA DO SANTOS 53542</t>
        </is>
      </c>
    </row>
    <row r="4998">
      <c r="A4998" t="inlineStr">
        <is>
          <t>EM000591</t>
        </is>
      </c>
      <c r="B4998" t="inlineStr">
        <is>
          <t>SANDERSON SILVA GONCALVES</t>
        </is>
      </c>
      <c r="C4998" t="n">
        <v>1117730000</v>
      </c>
      <c r="D4998" t="inlineStr">
        <is>
          <t>Nordex Employees</t>
        </is>
      </c>
      <c r="E4998" t="n">
        <v>2000013245</v>
      </c>
      <c r="G4998" t="inlineStr">
        <is>
          <t>ZP</t>
        </is>
      </c>
      <c r="H4998" s="12" t="n">
        <v>2470</v>
      </c>
      <c r="I4998" s="17" t="n">
        <v>46246</v>
      </c>
      <c r="J4998" s="17" t="n">
        <v>46246</v>
      </c>
      <c r="K4998" t="inlineStr">
        <is>
          <t>Vendor DP Request SANDERSON SILVA GONCALVES 53701</t>
        </is>
      </c>
    </row>
    <row r="4999">
      <c r="A4999" t="inlineStr">
        <is>
          <t>EM000702</t>
        </is>
      </c>
      <c r="B4999" t="inlineStr">
        <is>
          <t>EDGARD ALEXANDRE DE ANDRADE VARELA</t>
        </is>
      </c>
      <c r="C4999" t="n">
        <v>1117730000</v>
      </c>
      <c r="D4999" t="inlineStr">
        <is>
          <t>Nordex Employees</t>
        </is>
      </c>
      <c r="E4999" t="n">
        <v>2000013247</v>
      </c>
      <c r="G4999" t="inlineStr">
        <is>
          <t>ZP</t>
        </is>
      </c>
      <c r="H4999" s="12" t="n">
        <v>2470</v>
      </c>
      <c r="I4999" s="17" t="n">
        <v>46246</v>
      </c>
      <c r="J4999" s="17" t="n">
        <v>46246</v>
      </c>
      <c r="K4999" t="inlineStr">
        <is>
          <t>Vendor DP Request EDGARD ALEXANDRE DE ANDRADE VARE</t>
        </is>
      </c>
    </row>
    <row r="5000">
      <c r="A5000" t="inlineStr">
        <is>
          <t>EM000770</t>
        </is>
      </c>
      <c r="B5000" t="inlineStr">
        <is>
          <t>THIAGO MENDES DE MESQUITA</t>
        </is>
      </c>
      <c r="C5000" t="n">
        <v>1117730000</v>
      </c>
      <c r="D5000" t="inlineStr">
        <is>
          <t>Nordex Employees</t>
        </is>
      </c>
      <c r="E5000" t="n">
        <v>2000013250</v>
      </c>
      <c r="G5000" t="inlineStr">
        <is>
          <t>ZP</t>
        </is>
      </c>
      <c r="H5000" s="12" t="n">
        <v>650</v>
      </c>
      <c r="I5000" s="17" t="n">
        <v>46246</v>
      </c>
      <c r="J5000" s="17" t="n">
        <v>46246</v>
      </c>
      <c r="K5000" t="inlineStr">
        <is>
          <t>Vendor DP Request THIAGO MENDES DE MESQUITA 53685</t>
        </is>
      </c>
    </row>
    <row r="5001">
      <c r="A5001" t="inlineStr">
        <is>
          <t>EM000861</t>
        </is>
      </c>
      <c r="B5001" t="inlineStr">
        <is>
          <t>JOSE ELIMAR PALHARES JUNIOR</t>
        </is>
      </c>
      <c r="C5001" t="n">
        <v>1117730000</v>
      </c>
      <c r="D5001" t="inlineStr">
        <is>
          <t>Nordex Employees</t>
        </is>
      </c>
      <c r="E5001" t="n">
        <v>2000013252</v>
      </c>
      <c r="G5001" t="inlineStr">
        <is>
          <t>ZP</t>
        </is>
      </c>
      <c r="H5001" s="12" t="n">
        <v>4160</v>
      </c>
      <c r="I5001" s="17" t="n">
        <v>46246</v>
      </c>
      <c r="J5001" s="17" t="n">
        <v>46246</v>
      </c>
      <c r="K5001" t="inlineStr">
        <is>
          <t>Vendor DP Request JOSE ELIMAR PALHARES JUNIOR 5371</t>
        </is>
      </c>
    </row>
    <row r="5002">
      <c r="A5002" t="inlineStr">
        <is>
          <t>EM000863</t>
        </is>
      </c>
      <c r="B5002" t="inlineStr">
        <is>
          <t>LEANDRO CLEYTON MAIA DE SOUSA</t>
        </is>
      </c>
      <c r="C5002" t="n">
        <v>1117730000</v>
      </c>
      <c r="D5002" t="inlineStr">
        <is>
          <t>Nordex Employees</t>
        </is>
      </c>
      <c r="E5002" t="n">
        <v>2000013253</v>
      </c>
      <c r="G5002" t="inlineStr">
        <is>
          <t>ZP</t>
        </is>
      </c>
      <c r="H5002" s="12" t="n">
        <v>650</v>
      </c>
      <c r="I5002" s="17" t="n">
        <v>46246</v>
      </c>
      <c r="J5002" s="17" t="n">
        <v>46246</v>
      </c>
      <c r="K5002" t="inlineStr">
        <is>
          <t>Vendor DP Request LEANDRO CLEYTON MAIA DE SOUSA 53</t>
        </is>
      </c>
    </row>
    <row r="5003">
      <c r="A5003" t="inlineStr">
        <is>
          <t>EM000890</t>
        </is>
      </c>
      <c r="B5003" t="inlineStr">
        <is>
          <t>DENILSON FERNANDES SILVA</t>
        </is>
      </c>
      <c r="C5003" t="n">
        <v>1117730000</v>
      </c>
      <c r="D5003" t="inlineStr">
        <is>
          <t>Nordex Employees</t>
        </is>
      </c>
      <c r="E5003" t="n">
        <v>2000013254</v>
      </c>
      <c r="G5003" t="inlineStr">
        <is>
          <t>ZP</t>
        </is>
      </c>
      <c r="H5003" s="12" t="n">
        <v>520</v>
      </c>
      <c r="I5003" s="17" t="n">
        <v>46246</v>
      </c>
      <c r="J5003" s="17" t="n">
        <v>46246</v>
      </c>
      <c r="K5003" t="inlineStr">
        <is>
          <t>Vendor DP Request DENILSON FERNANDES SILVA 53647</t>
        </is>
      </c>
    </row>
    <row r="5004">
      <c r="A5004" t="inlineStr">
        <is>
          <t>EM000900</t>
        </is>
      </c>
      <c r="B5004" t="inlineStr">
        <is>
          <t>PAULO JOSE DE BRITO</t>
        </is>
      </c>
      <c r="C5004" t="n">
        <v>1117730000</v>
      </c>
      <c r="D5004" t="inlineStr">
        <is>
          <t>Nordex Employees</t>
        </is>
      </c>
      <c r="E5004" t="n">
        <v>2000013255</v>
      </c>
      <c r="G5004" t="inlineStr">
        <is>
          <t>ZP</t>
        </is>
      </c>
      <c r="H5004" s="12" t="n">
        <v>910</v>
      </c>
      <c r="I5004" s="17" t="n">
        <v>46246</v>
      </c>
      <c r="J5004" s="17" t="n">
        <v>46246</v>
      </c>
      <c r="K5004" t="inlineStr">
        <is>
          <t>Vendor DP Request PAULO JOSE DE BRITO 53691</t>
        </is>
      </c>
    </row>
    <row r="5005">
      <c r="A5005" t="inlineStr">
        <is>
          <t>EM000905</t>
        </is>
      </c>
      <c r="B5005" t="inlineStr">
        <is>
          <t>TIAGO DA SILVA SANTANA</t>
        </is>
      </c>
      <c r="C5005" t="n">
        <v>1117730000</v>
      </c>
      <c r="D5005" t="inlineStr">
        <is>
          <t>Nordex Employees</t>
        </is>
      </c>
      <c r="E5005" t="n">
        <v>2000013256</v>
      </c>
      <c r="G5005" t="inlineStr">
        <is>
          <t>ZP</t>
        </is>
      </c>
      <c r="H5005" s="12" t="n">
        <v>3867.6</v>
      </c>
      <c r="I5005" s="17" t="n">
        <v>46246</v>
      </c>
      <c r="J5005" s="17" t="n">
        <v>46246</v>
      </c>
      <c r="K5005" t="inlineStr">
        <is>
          <t>Vendor DP Request TIAGO DA SILVA SANTANA 53624</t>
        </is>
      </c>
    </row>
    <row r="5006">
      <c r="A5006" t="inlineStr">
        <is>
          <t>EM003645</t>
        </is>
      </c>
      <c r="B5006" t="inlineStr">
        <is>
          <t>RAMON PINHEIRO DE AFONSECA</t>
        </is>
      </c>
      <c r="C5006" t="n">
        <v>1117730000</v>
      </c>
      <c r="D5006" t="inlineStr">
        <is>
          <t>Nordex Employees</t>
        </is>
      </c>
      <c r="E5006" t="n">
        <v>2000013257</v>
      </c>
      <c r="G5006" t="inlineStr">
        <is>
          <t>ZP</t>
        </is>
      </c>
      <c r="H5006" s="12" t="n">
        <v>2470</v>
      </c>
      <c r="I5006" s="17" t="n">
        <v>46246</v>
      </c>
      <c r="J5006" s="17" t="n">
        <v>46246</v>
      </c>
      <c r="K5006" t="inlineStr">
        <is>
          <t>Vendor DP Request RAMON PINHEIRO DE AFONSECA 53703</t>
        </is>
      </c>
    </row>
    <row r="5007">
      <c r="A5007" t="inlineStr">
        <is>
          <t>EM003694</t>
        </is>
      </c>
      <c r="B5007" t="inlineStr">
        <is>
          <t>José Ribamar Morais Frazão</t>
        </is>
      </c>
      <c r="C5007" t="n">
        <v>1117730000</v>
      </c>
      <c r="D5007" t="inlineStr">
        <is>
          <t>Nordex Employees</t>
        </is>
      </c>
      <c r="E5007" t="n">
        <v>2000013259</v>
      </c>
      <c r="G5007" t="inlineStr">
        <is>
          <t>ZP</t>
        </is>
      </c>
      <c r="H5007" s="12" t="n">
        <v>1690</v>
      </c>
      <c r="I5007" s="17" t="n">
        <v>46246</v>
      </c>
      <c r="J5007" s="17" t="n">
        <v>46246</v>
      </c>
      <c r="K5007" t="inlineStr">
        <is>
          <t>Vendor DP Request José Ribamar Morais Frazão 53683</t>
        </is>
      </c>
    </row>
    <row r="5008">
      <c r="A5008" t="inlineStr">
        <is>
          <t>EM003695</t>
        </is>
      </c>
      <c r="B5008" t="inlineStr">
        <is>
          <t>Veranilson Santana da silva</t>
        </is>
      </c>
      <c r="C5008" t="n">
        <v>1117730000</v>
      </c>
      <c r="D5008" t="inlineStr">
        <is>
          <t>Nordex Employees</t>
        </is>
      </c>
      <c r="E5008" t="n">
        <v>2000013260</v>
      </c>
      <c r="G5008" t="inlineStr">
        <is>
          <t>ZP</t>
        </is>
      </c>
      <c r="H5008" s="12" t="n">
        <v>1690</v>
      </c>
      <c r="I5008" s="17" t="n">
        <v>46246</v>
      </c>
      <c r="J5008" s="17" t="n">
        <v>46246</v>
      </c>
      <c r="K5008" t="inlineStr">
        <is>
          <t>Vendor DP Request Veranilson Santana da silva 5368</t>
        </is>
      </c>
    </row>
    <row r="5009">
      <c r="A5009" t="inlineStr">
        <is>
          <t>EM000210</t>
        </is>
      </c>
      <c r="B5009" t="inlineStr">
        <is>
          <t>LUCAS HENRIQUE SOARES</t>
        </is>
      </c>
      <c r="C5009" t="n">
        <v>1117730000</v>
      </c>
      <c r="D5009" t="inlineStr">
        <is>
          <t>Nordex Employees</t>
        </is>
      </c>
      <c r="E5009" t="n">
        <v>2000013422</v>
      </c>
      <c r="G5009" t="inlineStr">
        <is>
          <t>ZP</t>
        </is>
      </c>
      <c r="H5009" s="12" t="n">
        <v>2600</v>
      </c>
      <c r="I5009" s="17" t="n">
        <v>46253</v>
      </c>
      <c r="J5009" s="17" t="n">
        <v>46253</v>
      </c>
      <c r="K5009" t="inlineStr">
        <is>
          <t>Vendor DP Request LUCAS HENRIQUE SOARES 53719</t>
        </is>
      </c>
    </row>
    <row r="5010">
      <c r="A5010" t="inlineStr">
        <is>
          <t>EM000296</t>
        </is>
      </c>
      <c r="B5010" t="inlineStr">
        <is>
          <t>ROBERTISON JOSE DE BRITO</t>
        </is>
      </c>
      <c r="C5010" t="n">
        <v>1117730000</v>
      </c>
      <c r="D5010" t="inlineStr">
        <is>
          <t>Nordex Employees</t>
        </is>
      </c>
      <c r="E5010" t="n">
        <v>2000013425</v>
      </c>
      <c r="G5010" t="inlineStr">
        <is>
          <t>ZP</t>
        </is>
      </c>
      <c r="H5010" s="12" t="n">
        <v>1040</v>
      </c>
      <c r="I5010" s="17" t="n">
        <v>46253</v>
      </c>
      <c r="J5010" s="17" t="n">
        <v>46253</v>
      </c>
      <c r="K5010" t="inlineStr">
        <is>
          <t>Vendor DP Request ROBERTISON JOSE DE BRITO 43706</t>
        </is>
      </c>
    </row>
    <row r="5011">
      <c r="A5011" t="inlineStr">
        <is>
          <t>EM000296</t>
        </is>
      </c>
      <c r="B5011" t="inlineStr">
        <is>
          <t>ROBERTISON JOSE DE BRITO</t>
        </is>
      </c>
      <c r="C5011" t="n">
        <v>1117730000</v>
      </c>
      <c r="D5011" t="inlineStr">
        <is>
          <t>Nordex Employees</t>
        </is>
      </c>
      <c r="E5011" t="n">
        <v>2000013427</v>
      </c>
      <c r="G5011" t="inlineStr">
        <is>
          <t>ZP</t>
        </is>
      </c>
      <c r="H5011" s="12" t="n">
        <v>2836.06</v>
      </c>
      <c r="I5011" s="17" t="n">
        <v>46253</v>
      </c>
      <c r="J5011" s="17" t="n">
        <v>46253</v>
      </c>
      <c r="K5011" t="inlineStr">
        <is>
          <t>Vendor DP Request ROBERTISON JOSE DE BRITO 43770</t>
        </is>
      </c>
    </row>
    <row r="5012">
      <c r="A5012" t="inlineStr">
        <is>
          <t>EM003789</t>
        </is>
      </c>
      <c r="B5012" t="inlineStr">
        <is>
          <t>Wagner Munhoz Pezzopani</t>
        </is>
      </c>
      <c r="C5012" t="n">
        <v>1117730000</v>
      </c>
      <c r="D5012" t="inlineStr">
        <is>
          <t>Nordex Employees</t>
        </is>
      </c>
      <c r="E5012" t="n">
        <v>2000013432</v>
      </c>
      <c r="G5012" t="inlineStr">
        <is>
          <t>ZP</t>
        </is>
      </c>
      <c r="H5012" s="12" t="n">
        <v>4420</v>
      </c>
      <c r="I5012" s="17" t="n">
        <v>46253</v>
      </c>
      <c r="J5012" s="17" t="n">
        <v>46253</v>
      </c>
      <c r="K5012" t="inlineStr">
        <is>
          <t>Vendor DP Request Wagner Munhoz Pezzopani 53697</t>
        </is>
      </c>
    </row>
    <row r="5013">
      <c r="A5013" t="inlineStr">
        <is>
          <t>EM000025</t>
        </is>
      </c>
      <c r="B5013" t="inlineStr">
        <is>
          <t>DANIEL SPARREMBERGER SHWARTZHAUPT</t>
        </is>
      </c>
      <c r="C5013" t="n">
        <v>1117730000</v>
      </c>
      <c r="D5013" t="inlineStr">
        <is>
          <t>Nordex Employees</t>
        </is>
      </c>
      <c r="E5013" t="n">
        <v>2000013456</v>
      </c>
      <c r="G5013" t="inlineStr">
        <is>
          <t>ZP</t>
        </is>
      </c>
      <c r="H5013" s="12" t="n">
        <v>130</v>
      </c>
      <c r="I5013" s="17" t="n">
        <v>46253</v>
      </c>
      <c r="J5013" s="17" t="n">
        <v>46253</v>
      </c>
      <c r="K5013" t="inlineStr">
        <is>
          <t>Vendor DP Request DANIEL SPARREMBERGER SHWARTZHAUP</t>
        </is>
      </c>
    </row>
    <row r="5014">
      <c r="A5014" t="inlineStr">
        <is>
          <t>EM000027</t>
        </is>
      </c>
      <c r="B5014" t="inlineStr">
        <is>
          <t>RAFAEL AUGUSTO DA SILVA GOULARTE</t>
        </is>
      </c>
      <c r="C5014" t="n">
        <v>1117730000</v>
      </c>
      <c r="D5014" t="inlineStr">
        <is>
          <t>Nordex Employees</t>
        </is>
      </c>
      <c r="E5014" t="n">
        <v>2000013457</v>
      </c>
      <c r="G5014" t="inlineStr">
        <is>
          <t>ZP</t>
        </is>
      </c>
      <c r="H5014" s="12" t="n">
        <v>1800</v>
      </c>
      <c r="I5014" s="17" t="n">
        <v>46253</v>
      </c>
      <c r="J5014" s="17" t="n">
        <v>46253</v>
      </c>
      <c r="K5014" t="inlineStr">
        <is>
          <t>Vendor DP Request RAFAEL AUGUSTO DA SILVA GOULARTE</t>
        </is>
      </c>
    </row>
    <row r="5015">
      <c r="A5015" t="inlineStr">
        <is>
          <t>EM000035</t>
        </is>
      </c>
      <c r="B5015" t="inlineStr">
        <is>
          <t>ALEXANDRE SILVEIRA TRINDADE</t>
        </is>
      </c>
      <c r="C5015" t="n">
        <v>1117730000</v>
      </c>
      <c r="D5015" t="inlineStr">
        <is>
          <t>Nordex Employees</t>
        </is>
      </c>
      <c r="E5015" t="n">
        <v>2000013458</v>
      </c>
      <c r="G5015" t="inlineStr">
        <is>
          <t>ZP</t>
        </is>
      </c>
      <c r="H5015" s="12" t="n">
        <v>780</v>
      </c>
      <c r="I5015" s="17" t="n">
        <v>46253</v>
      </c>
      <c r="J5015" s="17" t="n">
        <v>46253</v>
      </c>
      <c r="K5015" t="inlineStr">
        <is>
          <t>Vendor DP Request ALEXANDRE SILVEIRA TRINDADE 5474</t>
        </is>
      </c>
    </row>
    <row r="5016">
      <c r="A5016" t="inlineStr">
        <is>
          <t>EM000036</t>
        </is>
      </c>
      <c r="B5016" t="inlineStr">
        <is>
          <t>FELIPE EDUARDO GONCALVES</t>
        </is>
      </c>
      <c r="C5016" t="n">
        <v>1117730000</v>
      </c>
      <c r="D5016" t="inlineStr">
        <is>
          <t>Nordex Employees</t>
        </is>
      </c>
      <c r="E5016" t="n">
        <v>2000013459</v>
      </c>
      <c r="G5016" t="inlineStr">
        <is>
          <t>ZP</t>
        </is>
      </c>
      <c r="H5016" s="12" t="n">
        <v>1950</v>
      </c>
      <c r="I5016" s="17" t="n">
        <v>46253</v>
      </c>
      <c r="J5016" s="17" t="n">
        <v>46253</v>
      </c>
      <c r="K5016" t="inlineStr">
        <is>
          <t>Vendor DP Request FELIPE EDUARDO GONCALVES 53473</t>
        </is>
      </c>
    </row>
    <row r="5017">
      <c r="A5017" t="inlineStr">
        <is>
          <t>EM000048</t>
        </is>
      </c>
      <c r="B5017" t="inlineStr">
        <is>
          <t>ARLINDO ASTYZEM REGO</t>
        </is>
      </c>
      <c r="C5017" t="n">
        <v>1117730000</v>
      </c>
      <c r="D5017" t="inlineStr">
        <is>
          <t>Nordex Employees</t>
        </is>
      </c>
      <c r="E5017" t="n">
        <v>2000013461</v>
      </c>
      <c r="G5017" t="inlineStr">
        <is>
          <t>ZP</t>
        </is>
      </c>
      <c r="H5017" s="12" t="n">
        <v>390</v>
      </c>
      <c r="I5017" s="17" t="n">
        <v>46253</v>
      </c>
      <c r="J5017" s="17" t="n">
        <v>46253</v>
      </c>
      <c r="K5017" t="inlineStr">
        <is>
          <t>Vendor DP Request ARLINDO ASTYZEM REGO 53733</t>
        </is>
      </c>
    </row>
    <row r="5018">
      <c r="A5018" t="inlineStr">
        <is>
          <t>EM000050</t>
        </is>
      </c>
      <c r="B5018" t="inlineStr">
        <is>
          <t>RICARDO DANTAS ALVES JUNIOR</t>
        </is>
      </c>
      <c r="C5018" t="n">
        <v>1117730000</v>
      </c>
      <c r="D5018" t="inlineStr">
        <is>
          <t>Nordex Employees</t>
        </is>
      </c>
      <c r="E5018" t="n">
        <v>2000013462</v>
      </c>
      <c r="G5018" t="inlineStr">
        <is>
          <t>ZP</t>
        </is>
      </c>
      <c r="H5018" s="12" t="n">
        <v>390</v>
      </c>
      <c r="I5018" s="17" t="n">
        <v>46253</v>
      </c>
      <c r="J5018" s="17" t="n">
        <v>46253</v>
      </c>
      <c r="K5018" t="inlineStr">
        <is>
          <t>Vendor DP Request RICARDO DANTAS ALVES JUNIOR 5475</t>
        </is>
      </c>
    </row>
    <row r="5019">
      <c r="A5019" t="inlineStr">
        <is>
          <t>EM000058</t>
        </is>
      </c>
      <c r="B5019" t="inlineStr">
        <is>
          <t>VITOR DE CASTRO SANTOS</t>
        </is>
      </c>
      <c r="C5019" t="n">
        <v>1117730000</v>
      </c>
      <c r="D5019" t="inlineStr">
        <is>
          <t>Nordex Employees</t>
        </is>
      </c>
      <c r="E5019" t="n">
        <v>2000013464</v>
      </c>
      <c r="G5019" t="inlineStr">
        <is>
          <t>ZP</t>
        </is>
      </c>
      <c r="H5019" s="12" t="n">
        <v>520</v>
      </c>
      <c r="I5019" s="17" t="n">
        <v>46253</v>
      </c>
      <c r="J5019" s="17" t="n">
        <v>46253</v>
      </c>
      <c r="K5019" t="inlineStr">
        <is>
          <t>Vendor DP Request VITOR DE CASTRO SANTOS 54763</t>
        </is>
      </c>
    </row>
    <row r="5020">
      <c r="A5020" t="inlineStr">
        <is>
          <t>EM000063</t>
        </is>
      </c>
      <c r="B5020" t="inlineStr">
        <is>
          <t>GUSTAVO CRISTYAN DE MACEDO SILVA</t>
        </is>
      </c>
      <c r="C5020" t="n">
        <v>1117730000</v>
      </c>
      <c r="D5020" t="inlineStr">
        <is>
          <t>Nordex Employees</t>
        </is>
      </c>
      <c r="E5020" t="n">
        <v>2000013465</v>
      </c>
      <c r="G5020" t="inlineStr">
        <is>
          <t>ZP</t>
        </is>
      </c>
      <c r="H5020" s="12" t="n">
        <v>780</v>
      </c>
      <c r="I5020" s="17" t="n">
        <v>46253</v>
      </c>
      <c r="J5020" s="17" t="n">
        <v>46253</v>
      </c>
      <c r="K5020" t="inlineStr">
        <is>
          <t>Vendor DP Request GUSTAVO CRISTYAN DE MACEDO SILVA</t>
        </is>
      </c>
    </row>
    <row r="5021">
      <c r="A5021" t="inlineStr">
        <is>
          <t>EM000075</t>
        </is>
      </c>
      <c r="B5021" t="inlineStr">
        <is>
          <t>RENATO CAIO FERNANDES SILVA</t>
        </is>
      </c>
      <c r="C5021" t="n">
        <v>1117730000</v>
      </c>
      <c r="D5021" t="inlineStr">
        <is>
          <t>Nordex Employees</t>
        </is>
      </c>
      <c r="E5021" t="n">
        <v>2000013467</v>
      </c>
      <c r="G5021" t="inlineStr">
        <is>
          <t>ZP</t>
        </is>
      </c>
      <c r="H5021" s="12" t="n">
        <v>910</v>
      </c>
      <c r="I5021" s="17" t="n">
        <v>46253</v>
      </c>
      <c r="J5021" s="17" t="n">
        <v>46253</v>
      </c>
      <c r="K5021" t="inlineStr">
        <is>
          <t>Vendor DP Request RENATO CAIO FERNANDES SILVA 5369</t>
        </is>
      </c>
    </row>
    <row r="5022">
      <c r="A5022" t="inlineStr">
        <is>
          <t>EM000095</t>
        </is>
      </c>
      <c r="B5022" t="inlineStr">
        <is>
          <t>DEYMSON ROBSON AMARAL BEZERRA</t>
        </is>
      </c>
      <c r="C5022" t="n">
        <v>1117730000</v>
      </c>
      <c r="D5022" t="inlineStr">
        <is>
          <t>Nordex Employees</t>
        </is>
      </c>
      <c r="E5022" t="n">
        <v>2000013468</v>
      </c>
      <c r="G5022" t="inlineStr">
        <is>
          <t>ZP</t>
        </is>
      </c>
      <c r="H5022" s="12" t="n">
        <v>1950</v>
      </c>
      <c r="I5022" s="17" t="n">
        <v>46253</v>
      </c>
      <c r="J5022" s="17" t="n">
        <v>46253</v>
      </c>
      <c r="K5022" t="inlineStr">
        <is>
          <t>Vendor DP Request DEYMSON ROBSON AMARAL BEZERRA 54</t>
        </is>
      </c>
    </row>
    <row r="5023">
      <c r="A5023" t="inlineStr">
        <is>
          <t>EM000105</t>
        </is>
      </c>
      <c r="B5023" t="inlineStr">
        <is>
          <t>THIAGO CARVALHO</t>
        </is>
      </c>
      <c r="C5023" t="n">
        <v>1117730000</v>
      </c>
      <c r="D5023" t="inlineStr">
        <is>
          <t>Nordex Employees</t>
        </is>
      </c>
      <c r="E5023" t="n">
        <v>2000013469</v>
      </c>
      <c r="G5023" t="inlineStr">
        <is>
          <t>ZP</t>
        </is>
      </c>
      <c r="H5023" s="12" t="n">
        <v>1773</v>
      </c>
      <c r="I5023" s="17" t="n">
        <v>46253</v>
      </c>
      <c r="J5023" s="17" t="n">
        <v>46253</v>
      </c>
      <c r="K5023" t="inlineStr">
        <is>
          <t>Vendor DP Request THIAGO CARVALHO 53704</t>
        </is>
      </c>
    </row>
    <row r="5024">
      <c r="A5024" t="inlineStr">
        <is>
          <t>EM000116</t>
        </is>
      </c>
      <c r="B5024" t="inlineStr">
        <is>
          <t>NAJARA MENDES OLIVEIRA</t>
        </is>
      </c>
      <c r="C5024" t="n">
        <v>1117730000</v>
      </c>
      <c r="D5024" t="inlineStr">
        <is>
          <t>Nordex Employees</t>
        </is>
      </c>
      <c r="E5024" t="n">
        <v>2000013470</v>
      </c>
      <c r="G5024" t="inlineStr">
        <is>
          <t>ZP</t>
        </is>
      </c>
      <c r="H5024" s="12" t="n">
        <v>520</v>
      </c>
      <c r="I5024" s="17" t="n">
        <v>46253</v>
      </c>
      <c r="J5024" s="17" t="n">
        <v>46253</v>
      </c>
      <c r="K5024" t="inlineStr">
        <is>
          <t>Vendor DP Request NAJARA MENDES OLIVEIRA 54761</t>
        </is>
      </c>
    </row>
    <row r="5025">
      <c r="A5025" t="inlineStr">
        <is>
          <t>EM000127</t>
        </is>
      </c>
      <c r="B5025" t="inlineStr">
        <is>
          <t>GUSTAVO FERNANDES LIMA</t>
        </is>
      </c>
      <c r="C5025" t="n">
        <v>1117730000</v>
      </c>
      <c r="D5025" t="inlineStr">
        <is>
          <t>Nordex Employees</t>
        </is>
      </c>
      <c r="E5025" t="n">
        <v>2000013471</v>
      </c>
      <c r="G5025" t="inlineStr">
        <is>
          <t>ZP</t>
        </is>
      </c>
      <c r="H5025" s="12" t="n">
        <v>1690</v>
      </c>
      <c r="I5025" s="17" t="n">
        <v>46253</v>
      </c>
      <c r="J5025" s="17" t="n">
        <v>46253</v>
      </c>
      <c r="K5025" t="inlineStr">
        <is>
          <t>Vendor DP Request GUSTAVO FERNANDES LIMA 53662</t>
        </is>
      </c>
    </row>
    <row r="5026">
      <c r="A5026" t="inlineStr">
        <is>
          <t>EM000128</t>
        </is>
      </c>
      <c r="B5026" t="inlineStr">
        <is>
          <t>FRANCISCO MARDONIO TORRES DA SILVA</t>
        </is>
      </c>
      <c r="C5026" t="n">
        <v>1117730000</v>
      </c>
      <c r="D5026" t="inlineStr">
        <is>
          <t>Nordex Employees</t>
        </is>
      </c>
      <c r="E5026" t="n">
        <v>2000013472</v>
      </c>
      <c r="G5026" t="inlineStr">
        <is>
          <t>ZP</t>
        </is>
      </c>
      <c r="H5026" s="12" t="n">
        <v>910</v>
      </c>
      <c r="I5026" s="17" t="n">
        <v>46253</v>
      </c>
      <c r="J5026" s="17" t="n">
        <v>46253</v>
      </c>
      <c r="K5026" t="inlineStr">
        <is>
          <t>Vendor DP Request FRANCISCO MARDONIO TORRES DA SIL</t>
        </is>
      </c>
    </row>
    <row r="5027">
      <c r="A5027" t="inlineStr">
        <is>
          <t>EM000242</t>
        </is>
      </c>
      <c r="B5027" t="inlineStr">
        <is>
          <t>JOSE EDUARDO DE SOUSA SOARES</t>
        </is>
      </c>
      <c r="C5027" t="n">
        <v>1117730000</v>
      </c>
      <c r="D5027" t="inlineStr">
        <is>
          <t>Nordex Employees</t>
        </is>
      </c>
      <c r="E5027" t="n">
        <v>2000013474</v>
      </c>
      <c r="G5027" t="inlineStr">
        <is>
          <t>ZP</t>
        </is>
      </c>
      <c r="H5027" s="12" t="n">
        <v>14062.52</v>
      </c>
      <c r="I5027" s="17" t="n">
        <v>46253</v>
      </c>
      <c r="J5027" s="17" t="n">
        <v>46253</v>
      </c>
      <c r="K5027" t="inlineStr">
        <is>
          <t>Vendor DP Request JOSE EDUARDO DE SOUSA SOARES 547</t>
        </is>
      </c>
    </row>
    <row r="5028">
      <c r="A5028" t="inlineStr">
        <is>
          <t>EM000367</t>
        </is>
      </c>
      <c r="B5028" t="inlineStr">
        <is>
          <t>MARCELLA GOMES PEREZ</t>
        </is>
      </c>
      <c r="C5028" t="n">
        <v>1117730000</v>
      </c>
      <c r="D5028" t="inlineStr">
        <is>
          <t>Nordex Employees</t>
        </is>
      </c>
      <c r="E5028" t="n">
        <v>2000013478</v>
      </c>
      <c r="G5028" t="inlineStr">
        <is>
          <t>ZP</t>
        </is>
      </c>
      <c r="H5028" s="12" t="n">
        <v>1060.2</v>
      </c>
      <c r="I5028" s="17" t="n">
        <v>46253</v>
      </c>
      <c r="J5028" s="17" t="n">
        <v>46253</v>
      </c>
      <c r="K5028" t="inlineStr">
        <is>
          <t>Vendor DP Request MARCELLA GOMES PEREZ 53721</t>
        </is>
      </c>
    </row>
    <row r="5029">
      <c r="A5029" t="inlineStr">
        <is>
          <t>EM000394</t>
        </is>
      </c>
      <c r="B5029" t="inlineStr">
        <is>
          <t>WAGNER DELLA FLORA GROSS</t>
        </is>
      </c>
      <c r="C5029" t="n">
        <v>1117730000</v>
      </c>
      <c r="D5029" t="inlineStr">
        <is>
          <t>Nordex Employees</t>
        </is>
      </c>
      <c r="E5029" t="n">
        <v>2000013480</v>
      </c>
      <c r="G5029" t="inlineStr">
        <is>
          <t>ZP</t>
        </is>
      </c>
      <c r="H5029" s="12" t="n">
        <v>1468.8</v>
      </c>
      <c r="I5029" s="17" t="n">
        <v>46253</v>
      </c>
      <c r="J5029" s="17" t="n">
        <v>46253</v>
      </c>
      <c r="K5029" t="inlineStr">
        <is>
          <t>Vendor DP Request WAGNER DELLA FLORA GROSS 53679</t>
        </is>
      </c>
    </row>
    <row r="5030">
      <c r="A5030" t="inlineStr">
        <is>
          <t>EM000417</t>
        </is>
      </c>
      <c r="B5030" t="inlineStr">
        <is>
          <t>VICTOR DOS SANTOS DE JESUS</t>
        </is>
      </c>
      <c r="C5030" t="n">
        <v>1117730000</v>
      </c>
      <c r="D5030" t="inlineStr">
        <is>
          <t>Nordex Employees</t>
        </is>
      </c>
      <c r="E5030" t="n">
        <v>2000013482</v>
      </c>
      <c r="G5030" t="inlineStr">
        <is>
          <t>ZP</t>
        </is>
      </c>
      <c r="H5030" s="12" t="n">
        <v>2520</v>
      </c>
      <c r="I5030" s="17" t="n">
        <v>46253</v>
      </c>
      <c r="J5030" s="17" t="n">
        <v>46253</v>
      </c>
      <c r="K5030" t="inlineStr">
        <is>
          <t>Vendor DP Request VICTOR DOS SANTOS DE JESUS 53725</t>
        </is>
      </c>
    </row>
    <row r="5031">
      <c r="A5031" t="inlineStr">
        <is>
          <t>EM000423</t>
        </is>
      </c>
      <c r="B5031" t="inlineStr">
        <is>
          <t>CARLOS GUILHERME RODRIGUES DA SILVA</t>
        </is>
      </c>
      <c r="C5031" t="n">
        <v>1117730000</v>
      </c>
      <c r="D5031" t="inlineStr">
        <is>
          <t>Nordex Employees</t>
        </is>
      </c>
      <c r="E5031" t="n">
        <v>2000013483</v>
      </c>
      <c r="G5031" t="inlineStr">
        <is>
          <t>ZP</t>
        </is>
      </c>
      <c r="H5031" s="12" t="n">
        <v>130</v>
      </c>
      <c r="I5031" s="17" t="n">
        <v>46253</v>
      </c>
      <c r="J5031" s="17" t="n">
        <v>46253</v>
      </c>
      <c r="K5031" t="inlineStr">
        <is>
          <t>Vendor DP Request CARLOS GUILHERME RODRIGUES DA SI</t>
        </is>
      </c>
    </row>
    <row r="5032">
      <c r="A5032" t="inlineStr">
        <is>
          <t>EM000437</t>
        </is>
      </c>
      <c r="B5032" t="inlineStr">
        <is>
          <t>CLEODON MARIO DA SILVA FILHO</t>
        </is>
      </c>
      <c r="C5032" t="n">
        <v>1117730000</v>
      </c>
      <c r="D5032" t="inlineStr">
        <is>
          <t>Nordex Employees</t>
        </is>
      </c>
      <c r="E5032" t="n">
        <v>2000013485</v>
      </c>
      <c r="G5032" t="inlineStr">
        <is>
          <t>ZP</t>
        </is>
      </c>
      <c r="H5032" s="12" t="n">
        <v>910</v>
      </c>
      <c r="I5032" s="17" t="n">
        <v>46253</v>
      </c>
      <c r="J5032" s="17" t="n">
        <v>46253</v>
      </c>
      <c r="K5032" t="inlineStr">
        <is>
          <t>Vendor DP Request CLEODON MARIO DA SILVA FILHO 535</t>
        </is>
      </c>
    </row>
    <row r="5033">
      <c r="A5033" t="inlineStr">
        <is>
          <t>EM000464</t>
        </is>
      </c>
      <c r="B5033" t="inlineStr">
        <is>
          <t>EVELANGE PEREIRA DE OLIVEIRA</t>
        </is>
      </c>
      <c r="C5033" t="n">
        <v>1117730000</v>
      </c>
      <c r="D5033" t="inlineStr">
        <is>
          <t>Nordex Employees</t>
        </is>
      </c>
      <c r="E5033" t="n">
        <v>2000013487</v>
      </c>
      <c r="G5033" t="inlineStr">
        <is>
          <t>ZP</t>
        </is>
      </c>
      <c r="H5033" s="12" t="n">
        <v>910</v>
      </c>
      <c r="I5033" s="17" t="n">
        <v>46253</v>
      </c>
      <c r="J5033" s="17" t="n">
        <v>46253</v>
      </c>
      <c r="K5033" t="inlineStr">
        <is>
          <t>Documento fornecedor EVELANGE PEREIRA DE OLIVEIRA</t>
        </is>
      </c>
    </row>
    <row r="5034">
      <c r="A5034" t="inlineStr">
        <is>
          <t>EM000464</t>
        </is>
      </c>
      <c r="B5034" t="inlineStr">
        <is>
          <t>EVELANGE PEREIRA DE OLIVEIRA</t>
        </is>
      </c>
      <c r="C5034" t="n">
        <v>1117730000</v>
      </c>
      <c r="D5034" t="inlineStr">
        <is>
          <t>Nordex Employees</t>
        </is>
      </c>
      <c r="E5034" t="n">
        <v>2000013488</v>
      </c>
      <c r="G5034" t="inlineStr">
        <is>
          <t>ZP</t>
        </is>
      </c>
      <c r="H5034" s="12" t="n">
        <v>2600</v>
      </c>
      <c r="I5034" s="17" t="n">
        <v>46253</v>
      </c>
      <c r="J5034" s="17" t="n">
        <v>46253</v>
      </c>
      <c r="K5034" t="inlineStr">
        <is>
          <t>Documento fornecedor EVELANGE PEREIRA DE OLIVEIRA</t>
        </is>
      </c>
    </row>
    <row r="5035">
      <c r="A5035" t="inlineStr">
        <is>
          <t>EM000532</t>
        </is>
      </c>
      <c r="B5035" t="inlineStr">
        <is>
          <t>VALDIRENE MESSONES PINTO DA SILVA</t>
        </is>
      </c>
      <c r="C5035" t="n">
        <v>1117730000</v>
      </c>
      <c r="D5035" t="inlineStr">
        <is>
          <t>Nordex Employees</t>
        </is>
      </c>
      <c r="E5035" t="n">
        <v>2000013491</v>
      </c>
      <c r="G5035" t="inlineStr">
        <is>
          <t>ZP</t>
        </is>
      </c>
      <c r="H5035" s="12" t="n">
        <v>1690</v>
      </c>
      <c r="I5035" s="17" t="n">
        <v>46253</v>
      </c>
      <c r="J5035" s="17" t="n">
        <v>46253</v>
      </c>
      <c r="K5035" t="inlineStr">
        <is>
          <t>Vendor DP Request VALDIRENE MESSONES PINTO DA SILV</t>
        </is>
      </c>
    </row>
    <row r="5036">
      <c r="A5036" t="inlineStr">
        <is>
          <t>EM000544</t>
        </is>
      </c>
      <c r="B5036" t="inlineStr">
        <is>
          <t>JOSE TEIXEIRA DA SILVA NETO</t>
        </is>
      </c>
      <c r="C5036" t="n">
        <v>1117730000</v>
      </c>
      <c r="D5036" t="inlineStr">
        <is>
          <t>Nordex Employees</t>
        </is>
      </c>
      <c r="E5036" t="n">
        <v>2000013492</v>
      </c>
      <c r="G5036" t="inlineStr">
        <is>
          <t>ZP</t>
        </is>
      </c>
      <c r="H5036" s="12" t="n">
        <v>1950</v>
      </c>
      <c r="I5036" s="17" t="n">
        <v>46253</v>
      </c>
      <c r="J5036" s="17" t="n">
        <v>46253</v>
      </c>
      <c r="K5036" t="inlineStr">
        <is>
          <t>Vendor DP Request JOSE TEIXEIRA DA SILVA NETO 5476</t>
        </is>
      </c>
    </row>
    <row r="5037">
      <c r="A5037" t="inlineStr">
        <is>
          <t>EM000755</t>
        </is>
      </c>
      <c r="B5037" t="inlineStr">
        <is>
          <t>Elvio Salvador Junior</t>
        </is>
      </c>
      <c r="C5037" t="n">
        <v>1117730000</v>
      </c>
      <c r="D5037" t="inlineStr">
        <is>
          <t>Nordex Employees</t>
        </is>
      </c>
      <c r="E5037" t="n">
        <v>2000013494</v>
      </c>
      <c r="G5037" t="inlineStr">
        <is>
          <t>ZP</t>
        </is>
      </c>
      <c r="H5037" s="12" t="n">
        <v>1950</v>
      </c>
      <c r="I5037" s="17" t="n">
        <v>46253</v>
      </c>
      <c r="J5037" s="17" t="n">
        <v>46253</v>
      </c>
      <c r="K5037" t="inlineStr">
        <is>
          <t>Vendor DP Request Elvio Salvador Junior 53713</t>
        </is>
      </c>
    </row>
    <row r="5038">
      <c r="A5038" t="inlineStr">
        <is>
          <t>EM000874</t>
        </is>
      </c>
      <c r="B5038" t="inlineStr">
        <is>
          <t>Maciel do Nascimento Santos</t>
        </is>
      </c>
      <c r="C5038" t="n">
        <v>1117730000</v>
      </c>
      <c r="D5038" t="inlineStr">
        <is>
          <t>Nordex Employees</t>
        </is>
      </c>
      <c r="E5038" t="n">
        <v>2000013500</v>
      </c>
      <c r="G5038" t="inlineStr">
        <is>
          <t>ZP</t>
        </is>
      </c>
      <c r="H5038" s="12" t="n">
        <v>390</v>
      </c>
      <c r="I5038" s="17" t="n">
        <v>46253</v>
      </c>
      <c r="J5038" s="17" t="n">
        <v>46253</v>
      </c>
      <c r="K5038" t="inlineStr">
        <is>
          <t>Vendor DP Request Maciel do Nascimento Santos 5474</t>
        </is>
      </c>
    </row>
    <row r="5039">
      <c r="A5039" t="inlineStr">
        <is>
          <t>EM000887</t>
        </is>
      </c>
      <c r="B5039" t="inlineStr">
        <is>
          <t>WANDERLEY RODRIGUES DO BOMFIM JUNIOR</t>
        </is>
      </c>
      <c r="C5039" t="n">
        <v>1117730000</v>
      </c>
      <c r="D5039" t="inlineStr">
        <is>
          <t>Nordex Employees</t>
        </is>
      </c>
      <c r="E5039" t="n">
        <v>2000013501</v>
      </c>
      <c r="G5039" t="inlineStr">
        <is>
          <t>ZP</t>
        </is>
      </c>
      <c r="H5039" s="12" t="n">
        <v>1300</v>
      </c>
      <c r="I5039" s="17" t="n">
        <v>46253</v>
      </c>
      <c r="J5039" s="17" t="n">
        <v>46253</v>
      </c>
      <c r="K5039" t="inlineStr">
        <is>
          <t>Vendor DP Request WANDERLEY RODRIGUES DO BOMFIM JU</t>
        </is>
      </c>
    </row>
    <row r="5040">
      <c r="A5040" t="inlineStr">
        <is>
          <t>EM000913</t>
        </is>
      </c>
      <c r="B5040" t="inlineStr">
        <is>
          <t>JOVERLAND FERNANDES DE SOUSA FILHO</t>
        </is>
      </c>
      <c r="C5040" t="n">
        <v>1117730000</v>
      </c>
      <c r="D5040" t="inlineStr">
        <is>
          <t>Nordex Employees</t>
        </is>
      </c>
      <c r="E5040" t="n">
        <v>2000013503</v>
      </c>
      <c r="G5040" t="inlineStr">
        <is>
          <t>ZP</t>
        </is>
      </c>
      <c r="H5040" s="12" t="n">
        <v>130</v>
      </c>
      <c r="I5040" s="17" t="n">
        <v>46253</v>
      </c>
      <c r="J5040" s="17" t="n">
        <v>46253</v>
      </c>
      <c r="K5040" t="inlineStr">
        <is>
          <t>Vendor DP Request JOVERLAND FERNANDES DE SOUSA FIL</t>
        </is>
      </c>
    </row>
    <row r="5041">
      <c r="A5041" t="inlineStr">
        <is>
          <t>EM000970</t>
        </is>
      </c>
      <c r="B5041" t="inlineStr">
        <is>
          <t>VIVIANE PEIXOTO GOMES</t>
        </is>
      </c>
      <c r="C5041" t="n">
        <v>1117730000</v>
      </c>
      <c r="D5041" t="inlineStr">
        <is>
          <t>Nordex Employees</t>
        </is>
      </c>
      <c r="E5041" t="n">
        <v>2000013505</v>
      </c>
      <c r="G5041" t="inlineStr">
        <is>
          <t>ZP</t>
        </is>
      </c>
      <c r="H5041" s="12" t="n">
        <v>1923</v>
      </c>
      <c r="I5041" s="17" t="n">
        <v>46253</v>
      </c>
      <c r="J5041" s="17" t="n">
        <v>46253</v>
      </c>
      <c r="K5041" t="inlineStr">
        <is>
          <t>Vendor DP Request VIVIANE PEIXOTO GOMES 53739</t>
        </is>
      </c>
    </row>
    <row r="5042">
      <c r="A5042" t="inlineStr">
        <is>
          <t>EM000981</t>
        </is>
      </c>
      <c r="B5042" t="inlineStr">
        <is>
          <t>MATEUS DOS SANTOS PESSOA</t>
        </is>
      </c>
      <c r="C5042" t="n">
        <v>1117730000</v>
      </c>
      <c r="D5042" t="inlineStr">
        <is>
          <t>Nordex Employees</t>
        </is>
      </c>
      <c r="E5042" t="n">
        <v>2000013506</v>
      </c>
      <c r="G5042" t="inlineStr">
        <is>
          <t>ZP</t>
        </is>
      </c>
      <c r="H5042" s="12" t="n">
        <v>1950</v>
      </c>
      <c r="I5042" s="17" t="n">
        <v>46253</v>
      </c>
      <c r="J5042" s="17" t="n">
        <v>46253</v>
      </c>
      <c r="K5042" t="inlineStr">
        <is>
          <t>Vendor DP Request MATEUS DOS SANTOS PESSOA 53578</t>
        </is>
      </c>
    </row>
    <row r="5043">
      <c r="A5043" t="inlineStr">
        <is>
          <t>EM000106</t>
        </is>
      </c>
      <c r="B5043" t="inlineStr">
        <is>
          <t>JONATHAN ITOI DE MORAIS</t>
        </is>
      </c>
      <c r="C5043" t="n">
        <v>1117730000</v>
      </c>
      <c r="D5043" t="inlineStr">
        <is>
          <t>Nordex Employees</t>
        </is>
      </c>
      <c r="E5043" t="n">
        <v>2000013641</v>
      </c>
      <c r="G5043" t="inlineStr">
        <is>
          <t>ZP</t>
        </is>
      </c>
      <c r="H5043" s="12" t="n">
        <v>4262.4</v>
      </c>
      <c r="I5043" s="17" t="n">
        <v>46260</v>
      </c>
      <c r="J5043" s="17" t="n">
        <v>46260</v>
      </c>
      <c r="K5043" t="inlineStr">
        <is>
          <t>Vendor DP Request JONATHAN ITOI DE MORAIS 53689</t>
        </is>
      </c>
    </row>
    <row r="5044">
      <c r="A5044" t="inlineStr">
        <is>
          <t>EM000025</t>
        </is>
      </c>
      <c r="B5044" t="inlineStr">
        <is>
          <t>DANIEL SPARREMBERGER SHWARTZHAUPT</t>
        </is>
      </c>
      <c r="C5044" t="n">
        <v>1117730000</v>
      </c>
      <c r="D5044" t="inlineStr">
        <is>
          <t>Nordex Employees</t>
        </is>
      </c>
      <c r="E5044" t="n">
        <v>2000013674</v>
      </c>
      <c r="G5044" t="inlineStr">
        <is>
          <t>ZP</t>
        </is>
      </c>
      <c r="H5044" s="12" t="n">
        <v>1430</v>
      </c>
      <c r="I5044" s="17" t="n">
        <v>46260</v>
      </c>
      <c r="J5044" s="17" t="n">
        <v>46260</v>
      </c>
      <c r="K5044" t="inlineStr">
        <is>
          <t>Vendor DP Request DANIEL SPARREMBERGER SHWARTZHAUP</t>
        </is>
      </c>
    </row>
    <row r="5045">
      <c r="A5045" t="inlineStr">
        <is>
          <t>EM000034</t>
        </is>
      </c>
      <c r="B5045" t="inlineStr">
        <is>
          <t>WALLYSON HENRIQUE VIEIRA GALDINO</t>
        </is>
      </c>
      <c r="C5045" t="n">
        <v>1117730000</v>
      </c>
      <c r="D5045" t="inlineStr">
        <is>
          <t>Nordex Employees</t>
        </is>
      </c>
      <c r="E5045" t="n">
        <v>2000013675</v>
      </c>
      <c r="G5045" t="inlineStr">
        <is>
          <t>ZP</t>
        </is>
      </c>
      <c r="H5045" s="12" t="n">
        <v>1430</v>
      </c>
      <c r="I5045" s="17" t="n">
        <v>46260</v>
      </c>
      <c r="J5045" s="17" t="n">
        <v>46260</v>
      </c>
      <c r="K5045" t="inlineStr">
        <is>
          <t>Vendor DP Request WALLYSON HENRIQUE VIEIRA GALDINO</t>
        </is>
      </c>
    </row>
    <row r="5046">
      <c r="A5046" t="inlineStr">
        <is>
          <t>EM000035</t>
        </is>
      </c>
      <c r="B5046" t="inlineStr">
        <is>
          <t>ALEXANDRE SILVEIRA TRINDADE</t>
        </is>
      </c>
      <c r="C5046" t="n">
        <v>1117730000</v>
      </c>
      <c r="D5046" t="inlineStr">
        <is>
          <t>Nordex Employees</t>
        </is>
      </c>
      <c r="E5046" t="n">
        <v>2000013676</v>
      </c>
      <c r="G5046" t="inlineStr">
        <is>
          <t>ZP</t>
        </is>
      </c>
      <c r="H5046" s="12" t="n">
        <v>1830</v>
      </c>
      <c r="I5046" s="17" t="n">
        <v>46260</v>
      </c>
      <c r="J5046" s="17" t="n">
        <v>46260</v>
      </c>
      <c r="K5046" t="inlineStr">
        <is>
          <t>Vendor DP Request ALEXANDRE SILVEIRA TRINDADE 5372</t>
        </is>
      </c>
    </row>
    <row r="5047">
      <c r="A5047" t="inlineStr">
        <is>
          <t>EM000123</t>
        </is>
      </c>
      <c r="B5047" t="inlineStr">
        <is>
          <t>MARCELO LUIZ REZENDE DE CARVALHO SILVA</t>
        </is>
      </c>
      <c r="C5047" t="n">
        <v>1117730000</v>
      </c>
      <c r="D5047" t="inlineStr">
        <is>
          <t>Nordex Employees</t>
        </is>
      </c>
      <c r="E5047" t="n">
        <v>2000013677</v>
      </c>
      <c r="G5047" t="inlineStr">
        <is>
          <t>ZP</t>
        </is>
      </c>
      <c r="H5047" s="12" t="n">
        <v>2470</v>
      </c>
      <c r="I5047" s="17" t="n">
        <v>46260</v>
      </c>
      <c r="J5047" s="17" t="n">
        <v>46260</v>
      </c>
      <c r="K5047" t="inlineStr">
        <is>
          <t>Vendor DP Request MARCELO LUIZ REZENDE DE CARVALHO</t>
        </is>
      </c>
    </row>
    <row r="5048">
      <c r="A5048" t="inlineStr">
        <is>
          <t>EM000127</t>
        </is>
      </c>
      <c r="B5048" t="inlineStr">
        <is>
          <t>GUSTAVO FERNANDES LIMA</t>
        </is>
      </c>
      <c r="C5048" t="n">
        <v>1117730000</v>
      </c>
      <c r="D5048" t="inlineStr">
        <is>
          <t>Nordex Employees</t>
        </is>
      </c>
      <c r="E5048" t="n">
        <v>2000013678</v>
      </c>
      <c r="G5048" t="inlineStr">
        <is>
          <t>ZP</t>
        </is>
      </c>
      <c r="H5048" s="12" t="n">
        <v>2860</v>
      </c>
      <c r="I5048" s="17" t="n">
        <v>46260</v>
      </c>
      <c r="J5048" s="17" t="n">
        <v>46260</v>
      </c>
      <c r="K5048" t="inlineStr">
        <is>
          <t>Vendor DP Request GUSTAVO FERNANDES LIMA 53662</t>
        </is>
      </c>
    </row>
    <row r="5049">
      <c r="A5049" t="inlineStr">
        <is>
          <t>EM000133</t>
        </is>
      </c>
      <c r="B5049" t="inlineStr">
        <is>
          <t>WILLIAM MEDEIROS PONTES</t>
        </is>
      </c>
      <c r="C5049" t="n">
        <v>1117730000</v>
      </c>
      <c r="D5049" t="inlineStr">
        <is>
          <t>Nordex Employees</t>
        </is>
      </c>
      <c r="E5049" t="n">
        <v>2000013679</v>
      </c>
      <c r="G5049" t="inlineStr">
        <is>
          <t>ZP</t>
        </is>
      </c>
      <c r="H5049" s="12" t="n">
        <v>390</v>
      </c>
      <c r="I5049" s="17" t="n">
        <v>46260</v>
      </c>
      <c r="J5049" s="17" t="n">
        <v>46260</v>
      </c>
      <c r="K5049" t="inlineStr">
        <is>
          <t>Vendor DP Request WILLIAM MEDEIROS PONTES 54835</t>
        </is>
      </c>
    </row>
    <row r="5050">
      <c r="A5050" t="inlineStr">
        <is>
          <t>EM000147</t>
        </is>
      </c>
      <c r="B5050" t="inlineStr">
        <is>
          <t>AIRTON SHARLES E SILVA PESSOA</t>
        </is>
      </c>
      <c r="C5050" t="n">
        <v>1117730000</v>
      </c>
      <c r="D5050" t="inlineStr">
        <is>
          <t>Nordex Employees</t>
        </is>
      </c>
      <c r="E5050" t="n">
        <v>2000013680</v>
      </c>
      <c r="G5050" t="inlineStr">
        <is>
          <t>ZP</t>
        </is>
      </c>
      <c r="H5050" s="12" t="n">
        <v>780</v>
      </c>
      <c r="I5050" s="17" t="n">
        <v>46260</v>
      </c>
      <c r="J5050" s="17" t="n">
        <v>46260</v>
      </c>
      <c r="K5050" t="inlineStr">
        <is>
          <t>Vendor DP Request AIRTON SHARLES E SILVA PESSOA 54</t>
        </is>
      </c>
    </row>
    <row r="5051">
      <c r="A5051" t="inlineStr">
        <is>
          <t>EM000296</t>
        </is>
      </c>
      <c r="B5051" t="inlineStr">
        <is>
          <t>ROBERTISON JOSE DE BRITO</t>
        </is>
      </c>
      <c r="C5051" t="n">
        <v>1117730000</v>
      </c>
      <c r="D5051" t="inlineStr">
        <is>
          <t>Nordex Employees</t>
        </is>
      </c>
      <c r="E5051" t="n">
        <v>2000013681</v>
      </c>
      <c r="G5051" t="inlineStr">
        <is>
          <t>ZP</t>
        </is>
      </c>
      <c r="H5051" s="12" t="n">
        <v>2709.42</v>
      </c>
      <c r="I5051" s="17" t="n">
        <v>46260</v>
      </c>
      <c r="J5051" s="17" t="n">
        <v>46260</v>
      </c>
      <c r="K5051" t="inlineStr">
        <is>
          <t>Vendor DP Request ROBERTISON JOSE DE BRITO 53471</t>
        </is>
      </c>
    </row>
    <row r="5052">
      <c r="A5052" t="inlineStr">
        <is>
          <t>EM000310</t>
        </is>
      </c>
      <c r="B5052" t="inlineStr">
        <is>
          <t>CARLOS EDUARDO LAUREANO</t>
        </is>
      </c>
      <c r="C5052" t="n">
        <v>1117730000</v>
      </c>
      <c r="D5052" t="inlineStr">
        <is>
          <t>Nordex Employees</t>
        </is>
      </c>
      <c r="E5052" t="n">
        <v>2000013682</v>
      </c>
      <c r="G5052" t="inlineStr">
        <is>
          <t>ZP</t>
        </is>
      </c>
      <c r="H5052" s="12" t="n">
        <v>2181.6</v>
      </c>
      <c r="I5052" s="17" t="n">
        <v>46260</v>
      </c>
      <c r="J5052" s="17" t="n">
        <v>46260</v>
      </c>
      <c r="K5052" t="inlineStr">
        <is>
          <t>Vendor DP Request CARLOS EDUARDO LAUREANO 51392</t>
        </is>
      </c>
    </row>
    <row r="5053">
      <c r="A5053" t="inlineStr">
        <is>
          <t>EM000319</t>
        </is>
      </c>
      <c r="B5053" t="inlineStr">
        <is>
          <t>LAYSON RAYRE ROCHA RIBEIRO</t>
        </is>
      </c>
      <c r="C5053" t="n">
        <v>1117730000</v>
      </c>
      <c r="D5053" t="inlineStr">
        <is>
          <t>Nordex Employees</t>
        </is>
      </c>
      <c r="E5053" t="n">
        <v>2000013683</v>
      </c>
      <c r="G5053" t="inlineStr">
        <is>
          <t>ZP</t>
        </is>
      </c>
      <c r="H5053" s="12" t="n">
        <v>8250</v>
      </c>
      <c r="I5053" s="17" t="n">
        <v>46260</v>
      </c>
      <c r="J5053" s="17" t="n">
        <v>46260</v>
      </c>
      <c r="K5053" t="inlineStr">
        <is>
          <t>Vendor DP Request LAYSON RAYRE ROCHA RIBEIRO 53722</t>
        </is>
      </c>
    </row>
    <row r="5054">
      <c r="A5054" t="inlineStr">
        <is>
          <t>EM000398</t>
        </is>
      </c>
      <c r="B5054" t="inlineStr">
        <is>
          <t>EDUARDO SCHAPLIN ROCHA</t>
        </is>
      </c>
      <c r="C5054" t="n">
        <v>1117730000</v>
      </c>
      <c r="D5054" t="inlineStr">
        <is>
          <t>Nordex Employees</t>
        </is>
      </c>
      <c r="E5054" t="n">
        <v>2000013685</v>
      </c>
      <c r="G5054" t="inlineStr">
        <is>
          <t>ZP</t>
        </is>
      </c>
      <c r="H5054" s="12" t="n">
        <v>9750</v>
      </c>
      <c r="I5054" s="17" t="n">
        <v>46260</v>
      </c>
      <c r="J5054" s="17" t="n">
        <v>46260</v>
      </c>
      <c r="K5054" t="inlineStr">
        <is>
          <t>Vendor DP Request EDUARDO SCHAPLIN ROCHA 54821</t>
        </is>
      </c>
    </row>
    <row r="5055">
      <c r="A5055" t="inlineStr">
        <is>
          <t>EM000425</t>
        </is>
      </c>
      <c r="B5055" t="inlineStr">
        <is>
          <t>NAIGUEL PEREIRA DO SANTOS</t>
        </is>
      </c>
      <c r="C5055" t="n">
        <v>1117730000</v>
      </c>
      <c r="D5055" t="inlineStr">
        <is>
          <t>Nordex Employees</t>
        </is>
      </c>
      <c r="E5055" t="n">
        <v>2000013687</v>
      </c>
      <c r="G5055" t="inlineStr">
        <is>
          <t>ZP</t>
        </is>
      </c>
      <c r="H5055" s="12" t="n">
        <v>2600</v>
      </c>
      <c r="I5055" s="17" t="n">
        <v>46260</v>
      </c>
      <c r="J5055" s="17" t="n">
        <v>46260</v>
      </c>
      <c r="K5055" t="inlineStr">
        <is>
          <t>Vendor DP Request NAIGUEL PEREIRA DO SANTOS 53542</t>
        </is>
      </c>
    </row>
    <row r="5056">
      <c r="A5056" t="inlineStr">
        <is>
          <t>EM000437</t>
        </is>
      </c>
      <c r="B5056" t="inlineStr">
        <is>
          <t>CLEODON MARIO DA SILVA FILHO</t>
        </is>
      </c>
      <c r="C5056" t="n">
        <v>1117730000</v>
      </c>
      <c r="D5056" t="inlineStr">
        <is>
          <t>Nordex Employees</t>
        </is>
      </c>
      <c r="E5056" t="n">
        <v>2000013688</v>
      </c>
      <c r="G5056" t="inlineStr">
        <is>
          <t>ZP</t>
        </is>
      </c>
      <c r="H5056" s="12" t="n">
        <v>1300</v>
      </c>
      <c r="I5056" s="17" t="n">
        <v>46260</v>
      </c>
      <c r="J5056" s="17" t="n">
        <v>46260</v>
      </c>
      <c r="K5056" t="inlineStr">
        <is>
          <t>Vendor DP Request CLEODON MARIO DA SILVA FILHO 535</t>
        </is>
      </c>
    </row>
    <row r="5057">
      <c r="A5057" t="inlineStr">
        <is>
          <t>EM000464</t>
        </is>
      </c>
      <c r="B5057" t="inlineStr">
        <is>
          <t>EVELANGE PEREIRA DE OLIVEIRA</t>
        </is>
      </c>
      <c r="C5057" t="n">
        <v>1117730000</v>
      </c>
      <c r="D5057" t="inlineStr">
        <is>
          <t>Nordex Employees</t>
        </is>
      </c>
      <c r="E5057" t="n">
        <v>2000013689</v>
      </c>
      <c r="G5057" t="inlineStr">
        <is>
          <t>ZP</t>
        </is>
      </c>
      <c r="H5057" s="12" t="n">
        <v>3380</v>
      </c>
      <c r="I5057" s="17" t="n">
        <v>46260</v>
      </c>
      <c r="J5057" s="17" t="n">
        <v>46260</v>
      </c>
      <c r="K5057" t="inlineStr">
        <is>
          <t>Vendor DP Request EVELANGE PEREIRA DE OLIVEIRA 547</t>
        </is>
      </c>
    </row>
    <row r="5058">
      <c r="A5058" t="inlineStr">
        <is>
          <t>EM000641</t>
        </is>
      </c>
      <c r="B5058" t="inlineStr">
        <is>
          <t>JAILDSON FERNANDES DE LIMA SOUSA</t>
        </is>
      </c>
      <c r="C5058" t="n">
        <v>1117730000</v>
      </c>
      <c r="D5058" t="inlineStr">
        <is>
          <t>Nordex Employees</t>
        </is>
      </c>
      <c r="E5058" t="n">
        <v>2000013691</v>
      </c>
      <c r="G5058" t="inlineStr">
        <is>
          <t>ZP</t>
        </is>
      </c>
      <c r="H5058" s="12" t="n">
        <v>360</v>
      </c>
      <c r="I5058" s="17" t="n">
        <v>46260</v>
      </c>
      <c r="J5058" s="17" t="n">
        <v>46260</v>
      </c>
      <c r="K5058" t="inlineStr">
        <is>
          <t>Vendor DP Request JAILDSON FERNANDES DE LIMA SOUSA</t>
        </is>
      </c>
    </row>
    <row r="5059">
      <c r="A5059" t="inlineStr">
        <is>
          <t>EM000652</t>
        </is>
      </c>
      <c r="B5059" t="inlineStr">
        <is>
          <t>LUCAS TURCI</t>
        </is>
      </c>
      <c r="C5059" t="n">
        <v>1117730000</v>
      </c>
      <c r="D5059" t="inlineStr">
        <is>
          <t>Nordex Employees</t>
        </is>
      </c>
      <c r="E5059" t="n">
        <v>2000013692</v>
      </c>
      <c r="G5059" t="inlineStr">
        <is>
          <t>ZP</t>
        </is>
      </c>
      <c r="H5059" s="12" t="n">
        <v>1809</v>
      </c>
      <c r="I5059" s="17" t="n">
        <v>46260</v>
      </c>
      <c r="J5059" s="17" t="n">
        <v>46260</v>
      </c>
      <c r="K5059" t="inlineStr">
        <is>
          <t>Vendor DP Request LUCAS TURCI 54797</t>
        </is>
      </c>
    </row>
    <row r="5060">
      <c r="A5060" t="inlineStr">
        <is>
          <t>EM000654</t>
        </is>
      </c>
      <c r="B5060" t="inlineStr">
        <is>
          <t>FRANCISCO THOMAZ AMIRATI UCHOA</t>
        </is>
      </c>
      <c r="C5060" t="n">
        <v>1117730000</v>
      </c>
      <c r="D5060" t="inlineStr">
        <is>
          <t>Nordex Employees</t>
        </is>
      </c>
      <c r="E5060" t="n">
        <v>2000013693</v>
      </c>
      <c r="G5060" t="inlineStr">
        <is>
          <t>ZP</t>
        </is>
      </c>
      <c r="H5060" s="12" t="n">
        <v>2553.6</v>
      </c>
      <c r="I5060" s="17" t="n">
        <v>46260</v>
      </c>
      <c r="J5060" s="17" t="n">
        <v>46260</v>
      </c>
      <c r="K5060" t="inlineStr">
        <is>
          <t>Vendor DP Request FRANCISCO THOMAZ AMIRATI UCHOA 5</t>
        </is>
      </c>
    </row>
    <row r="5061">
      <c r="A5061" t="inlineStr">
        <is>
          <t>EM000774</t>
        </is>
      </c>
      <c r="B5061" t="inlineStr">
        <is>
          <t>DAIANE SILVA TRIGO</t>
        </is>
      </c>
      <c r="C5061" t="n">
        <v>1117730000</v>
      </c>
      <c r="D5061" t="inlineStr">
        <is>
          <t>Nordex Employees</t>
        </is>
      </c>
      <c r="E5061" t="n">
        <v>2000013697</v>
      </c>
      <c r="G5061" t="inlineStr">
        <is>
          <t>ZP</t>
        </is>
      </c>
      <c r="H5061" s="12" t="n">
        <v>2636.97</v>
      </c>
      <c r="I5061" s="17" t="n">
        <v>46260</v>
      </c>
      <c r="J5061" s="17" t="n">
        <v>46260</v>
      </c>
      <c r="K5061" t="inlineStr">
        <is>
          <t>Vendor DP Request DAIANE SILVA TRIGO 54765</t>
        </is>
      </c>
    </row>
    <row r="5062">
      <c r="A5062" t="inlineStr">
        <is>
          <t>EM000777</t>
        </is>
      </c>
      <c r="B5062" t="inlineStr">
        <is>
          <t>LEONARDO CENTOAMORE</t>
        </is>
      </c>
      <c r="C5062" t="n">
        <v>1117730000</v>
      </c>
      <c r="D5062" t="inlineStr">
        <is>
          <t>Nordex Employees</t>
        </is>
      </c>
      <c r="E5062" t="n">
        <v>2000013698</v>
      </c>
      <c r="G5062" t="inlineStr">
        <is>
          <t>ZP</t>
        </is>
      </c>
      <c r="H5062" s="12" t="n">
        <v>2643.06</v>
      </c>
      <c r="I5062" s="17" t="n">
        <v>46260</v>
      </c>
      <c r="J5062" s="17" t="n">
        <v>46260</v>
      </c>
      <c r="K5062" t="inlineStr">
        <is>
          <t>Vendor DP Request LEONARDO CENTOAMORE 54752</t>
        </is>
      </c>
    </row>
    <row r="5063">
      <c r="A5063" t="inlineStr">
        <is>
          <t>EM000793</t>
        </is>
      </c>
      <c r="B5063" t="inlineStr">
        <is>
          <t>Marcio Hoffmann Fernandes</t>
        </is>
      </c>
      <c r="C5063" t="n">
        <v>1117730000</v>
      </c>
      <c r="D5063" t="inlineStr">
        <is>
          <t>Nordex Employees</t>
        </is>
      </c>
      <c r="E5063" t="n">
        <v>2000013699</v>
      </c>
      <c r="G5063" t="inlineStr">
        <is>
          <t>ZP</t>
        </is>
      </c>
      <c r="H5063" s="12" t="n">
        <v>2741.74</v>
      </c>
      <c r="I5063" s="17" t="n">
        <v>46260</v>
      </c>
      <c r="J5063" s="17" t="n">
        <v>46260</v>
      </c>
      <c r="K5063" t="inlineStr">
        <is>
          <t>Vendor DP Request Marcio Hoffmann Fernandes 54793</t>
        </is>
      </c>
    </row>
    <row r="5064">
      <c r="A5064" t="inlineStr">
        <is>
          <t>EM000816</t>
        </is>
      </c>
      <c r="B5064" t="inlineStr">
        <is>
          <t>FRANCISCO HELIO CORREIA LIMA</t>
        </is>
      </c>
      <c r="C5064" t="n">
        <v>1117730000</v>
      </c>
      <c r="D5064" t="inlineStr">
        <is>
          <t>Nordex Employees</t>
        </is>
      </c>
      <c r="E5064" t="n">
        <v>2000013700</v>
      </c>
      <c r="G5064" t="inlineStr">
        <is>
          <t>ZP</t>
        </is>
      </c>
      <c r="H5064" s="12" t="n">
        <v>910</v>
      </c>
      <c r="I5064" s="17" t="n">
        <v>46260</v>
      </c>
      <c r="J5064" s="17" t="n">
        <v>46260</v>
      </c>
      <c r="K5064" t="inlineStr">
        <is>
          <t>Vendor DP Request FRANCISCO HELIO CORREIA LIMA 547</t>
        </is>
      </c>
    </row>
    <row r="5065">
      <c r="A5065" t="inlineStr">
        <is>
          <t>EM000849</t>
        </is>
      </c>
      <c r="B5065" t="inlineStr">
        <is>
          <t>GEOVANE FERREIRA DOS SANTOS</t>
        </is>
      </c>
      <c r="C5065" t="n">
        <v>1117730000</v>
      </c>
      <c r="D5065" t="inlineStr">
        <is>
          <t>Nordex Employees</t>
        </is>
      </c>
      <c r="E5065" t="n">
        <v>2000013701</v>
      </c>
      <c r="G5065" t="inlineStr">
        <is>
          <t>ZP</t>
        </is>
      </c>
      <c r="H5065" s="12" t="n">
        <v>1040</v>
      </c>
      <c r="I5065" s="17" t="n">
        <v>46260</v>
      </c>
      <c r="J5065" s="17" t="n">
        <v>46260</v>
      </c>
      <c r="K5065" t="inlineStr">
        <is>
          <t>Vendor DP Request GEOVANE FERREIRA DOS SANTOS 5480</t>
        </is>
      </c>
    </row>
    <row r="5066">
      <c r="A5066" t="inlineStr">
        <is>
          <t>EM000851</t>
        </is>
      </c>
      <c r="B5066" t="inlineStr">
        <is>
          <t>SAULLO SILVA JANUARIO</t>
        </is>
      </c>
      <c r="C5066" t="n">
        <v>1117730000</v>
      </c>
      <c r="D5066" t="inlineStr">
        <is>
          <t>Nordex Employees</t>
        </is>
      </c>
      <c r="E5066" t="n">
        <v>2000013702</v>
      </c>
      <c r="G5066" t="inlineStr">
        <is>
          <t>ZP</t>
        </is>
      </c>
      <c r="H5066" s="12" t="n">
        <v>1690</v>
      </c>
      <c r="I5066" s="17" t="n">
        <v>46260</v>
      </c>
      <c r="J5066" s="17" t="n">
        <v>46260</v>
      </c>
      <c r="K5066" t="inlineStr">
        <is>
          <t>Vendor DP Request SAULLO SILVA JANUARIO 54813</t>
        </is>
      </c>
    </row>
    <row r="5067">
      <c r="A5067" t="inlineStr">
        <is>
          <t>EM000964</t>
        </is>
      </c>
      <c r="B5067" t="inlineStr">
        <is>
          <t>ANA MARIA BOTELHO FONSECA</t>
        </is>
      </c>
      <c r="C5067" t="n">
        <v>1117730000</v>
      </c>
      <c r="D5067" t="inlineStr">
        <is>
          <t>Nordex Employees</t>
        </is>
      </c>
      <c r="E5067" t="n">
        <v>2000013703</v>
      </c>
      <c r="G5067" t="inlineStr">
        <is>
          <t>ZP</t>
        </is>
      </c>
      <c r="H5067" s="12" t="n">
        <v>2257.2</v>
      </c>
      <c r="I5067" s="17" t="n">
        <v>46260</v>
      </c>
      <c r="J5067" s="17" t="n">
        <v>46260</v>
      </c>
      <c r="K5067" t="inlineStr">
        <is>
          <t>Vendor DP Request ANA MARIA BOTELHO FONSECA 53508</t>
        </is>
      </c>
    </row>
    <row r="5068">
      <c r="A5068" t="inlineStr">
        <is>
          <t>EM003810</t>
        </is>
      </c>
      <c r="B5068" t="inlineStr">
        <is>
          <t>RONERIO AMORIM DE ARARIPE</t>
        </is>
      </c>
      <c r="C5068" t="n">
        <v>1117730000</v>
      </c>
      <c r="D5068" t="inlineStr">
        <is>
          <t>Nordex Employees</t>
        </is>
      </c>
      <c r="E5068" t="n">
        <v>2000013704</v>
      </c>
      <c r="G5068" t="inlineStr">
        <is>
          <t>ZP</t>
        </is>
      </c>
      <c r="H5068" s="12" t="n">
        <v>4160</v>
      </c>
      <c r="I5068" s="17" t="n">
        <v>46260</v>
      </c>
      <c r="J5068" s="17" t="n">
        <v>46260</v>
      </c>
      <c r="K5068" t="inlineStr">
        <is>
          <t>Vendor DP Request RONERIO AMORIM DE ARARIPE 54820</t>
        </is>
      </c>
    </row>
    <row r="5069">
      <c r="A5069" t="inlineStr">
        <is>
          <t>EM200818</t>
        </is>
      </c>
      <c r="B5069" t="inlineStr">
        <is>
          <t>MARCOS GRANDE JACOBOVSKI NICARETTA</t>
        </is>
      </c>
      <c r="C5069" t="n">
        <v>1117730000</v>
      </c>
      <c r="D5069" t="inlineStr">
        <is>
          <t>Nordex Employees</t>
        </is>
      </c>
      <c r="E5069" t="n">
        <v>2000013705</v>
      </c>
      <c r="G5069" t="inlineStr">
        <is>
          <t>ZP</t>
        </is>
      </c>
      <c r="H5069" s="12" t="n">
        <v>1507.2</v>
      </c>
      <c r="I5069" s="17" t="n">
        <v>46260</v>
      </c>
      <c r="J5069" s="17" t="n">
        <v>46260</v>
      </c>
      <c r="K5069" t="inlineStr">
        <is>
          <t>Vendor DP Request MARCOS GRANDE JACOBOVSKI NICARET</t>
        </is>
      </c>
    </row>
    <row r="5070">
      <c r="A5070" t="inlineStr">
        <is>
          <t>EM000882</t>
        </is>
      </c>
      <c r="B5070" t="inlineStr">
        <is>
          <t>LEANDRO SILVINO DE MOURA</t>
        </is>
      </c>
      <c r="C5070" t="n">
        <v>1117730000</v>
      </c>
      <c r="D5070" t="inlineStr">
        <is>
          <t>Nordex Employees</t>
        </is>
      </c>
      <c r="E5070" t="n">
        <v>2000014297</v>
      </c>
      <c r="G5070" t="inlineStr">
        <is>
          <t>ZP</t>
        </is>
      </c>
      <c r="H5070" s="12" t="n">
        <v>4160</v>
      </c>
      <c r="I5070" s="17" t="n">
        <v>45534</v>
      </c>
      <c r="J5070" s="17" t="n">
        <v>45534</v>
      </c>
      <c r="K5070" t="inlineStr">
        <is>
          <t>Documento fornecedor Leandro Silvino de Moura PLAN</t>
        </is>
      </c>
    </row>
    <row r="5071">
      <c r="A5071" t="inlineStr">
        <is>
          <t>EM000472</t>
        </is>
      </c>
      <c r="B5071" t="inlineStr">
        <is>
          <t>LEANDRO DE OLIVEIRA</t>
        </is>
      </c>
      <c r="C5071" t="n">
        <v>1117730000</v>
      </c>
      <c r="D5071" t="inlineStr">
        <is>
          <t>Nordex Employees</t>
        </is>
      </c>
      <c r="E5071" t="n">
        <v>2000015322</v>
      </c>
      <c r="G5071" t="inlineStr">
        <is>
          <t>ZP</t>
        </is>
      </c>
      <c r="H5071" s="12" t="n">
        <v>3120</v>
      </c>
      <c r="I5071" s="17" t="n">
        <v>45840</v>
      </c>
      <c r="J5071" s="17" t="n">
        <v>45840</v>
      </c>
      <c r="K5071" t="inlineStr">
        <is>
          <t>Documento fornecedor LEANDRO DE OLIVEIRA PLANO 394</t>
        </is>
      </c>
    </row>
    <row r="5072">
      <c r="A5072" t="inlineStr">
        <is>
          <t>EM000943</t>
        </is>
      </c>
      <c r="B5072" t="inlineStr">
        <is>
          <t>CLAUDIONOR PEREIRA BORGES FILHO</t>
        </is>
      </c>
      <c r="C5072" t="n">
        <v>1117730000</v>
      </c>
      <c r="D5072" t="inlineStr">
        <is>
          <t>Nordex Employees</t>
        </is>
      </c>
      <c r="E5072" t="n">
        <v>2000015335</v>
      </c>
      <c r="G5072" t="inlineStr">
        <is>
          <t>ZP</t>
        </is>
      </c>
      <c r="H5072" s="12" t="n">
        <v>130</v>
      </c>
      <c r="I5072" s="17" t="n">
        <v>45840</v>
      </c>
      <c r="J5072" s="17" t="n">
        <v>45840</v>
      </c>
      <c r="K5072" t="inlineStr">
        <is>
          <t>Documento fornecedor CLAUDIONOR PEREIRA BORGES FIL</t>
        </is>
      </c>
    </row>
    <row r="5073">
      <c r="A5073" t="inlineStr">
        <is>
          <t>EM000472</t>
        </is>
      </c>
      <c r="B5073" t="inlineStr">
        <is>
          <t>LEANDRO DE OLIVEIRA</t>
        </is>
      </c>
      <c r="C5073" t="n">
        <v>1117730000</v>
      </c>
      <c r="D5073" t="inlineStr">
        <is>
          <t>Nordex Employees</t>
        </is>
      </c>
      <c r="E5073" t="n">
        <v>2000016326</v>
      </c>
      <c r="G5073" t="inlineStr">
        <is>
          <t>ZP</t>
        </is>
      </c>
      <c r="H5073" s="12" t="n">
        <v>910</v>
      </c>
      <c r="I5073" s="17" t="n">
        <v>45848</v>
      </c>
      <c r="J5073" s="17" t="n">
        <v>45848</v>
      </c>
      <c r="K5073" t="inlineStr">
        <is>
          <t>Documento fornecedor LEANDRO DE OLIVEIRA PLANO 394</t>
        </is>
      </c>
    </row>
    <row r="5074">
      <c r="A5074" t="inlineStr">
        <is>
          <t>EM000196</t>
        </is>
      </c>
      <c r="B5074" t="inlineStr">
        <is>
          <t>LEANDRO VINICIUS LINS SILVA</t>
        </is>
      </c>
      <c r="C5074" t="n">
        <v>1117730000</v>
      </c>
      <c r="D5074" t="inlineStr">
        <is>
          <t>Nordex Employees</t>
        </is>
      </c>
      <c r="E5074" t="n">
        <v>2000016812</v>
      </c>
      <c r="G5074" t="inlineStr">
        <is>
          <t>ZP</t>
        </is>
      </c>
      <c r="H5074" s="12" t="n">
        <v>11465.1</v>
      </c>
      <c r="I5074" s="17" t="n">
        <v>45854</v>
      </c>
      <c r="J5074" s="17" t="n">
        <v>45854</v>
      </c>
      <c r="K5074" t="inlineStr">
        <is>
          <t>Vendor DP Request LEANDRO VINICIUS LINS SILVA 3959</t>
        </is>
      </c>
    </row>
    <row r="5075">
      <c r="A5075" t="inlineStr">
        <is>
          <t>EM000787</t>
        </is>
      </c>
      <c r="B5075" t="inlineStr">
        <is>
          <t>GUILLERMO IGNACIO FALCONIS COSTA</t>
        </is>
      </c>
      <c r="C5075" t="n">
        <v>1117730000</v>
      </c>
      <c r="D5075" t="inlineStr">
        <is>
          <t>Nordex Employees</t>
        </is>
      </c>
      <c r="E5075" t="n">
        <v>2000016975</v>
      </c>
      <c r="G5075" t="inlineStr">
        <is>
          <t>ZP</t>
        </is>
      </c>
      <c r="H5075" s="12" t="n">
        <v>780</v>
      </c>
      <c r="I5075" s="17" t="n">
        <v>45567</v>
      </c>
      <c r="J5075" s="17" t="n">
        <v>45567</v>
      </c>
      <c r="K5075" t="inlineStr">
        <is>
          <t>Documento fornecedor GUILLERMO IGNACIO FALCONIS CO</t>
        </is>
      </c>
    </row>
    <row r="5076">
      <c r="A5076" t="inlineStr">
        <is>
          <t>EM000153</t>
        </is>
      </c>
      <c r="B5076" t="inlineStr">
        <is>
          <t>FRANCISCO WAGNER DE FREITAS ARAUJO</t>
        </is>
      </c>
      <c r="C5076" t="n">
        <v>1117730000</v>
      </c>
      <c r="D5076" t="inlineStr">
        <is>
          <t>Nordex Employees</t>
        </is>
      </c>
      <c r="E5076" t="n">
        <v>2000017386</v>
      </c>
      <c r="G5076" t="inlineStr">
        <is>
          <t>ZP</t>
        </is>
      </c>
      <c r="H5076" s="12" t="n">
        <v>390</v>
      </c>
      <c r="I5076" s="17" t="n">
        <v>45868</v>
      </c>
      <c r="J5076" s="17" t="n">
        <v>45868</v>
      </c>
      <c r="K5076" t="inlineStr">
        <is>
          <t>Documento fornecedor FRANCISCO WAGNER DE FREITAS A</t>
        </is>
      </c>
    </row>
    <row r="5077">
      <c r="A5077" t="inlineStr">
        <is>
          <t>EM000666</t>
        </is>
      </c>
      <c r="B5077" t="inlineStr">
        <is>
          <t>FAGNER OLIVEIRA DA SILVA</t>
        </is>
      </c>
      <c r="C5077" t="n">
        <v>1117730000</v>
      </c>
      <c r="D5077" t="inlineStr">
        <is>
          <t>Nordex Employees</t>
        </is>
      </c>
      <c r="E5077" t="n">
        <v>2000018593</v>
      </c>
      <c r="G5077" t="inlineStr">
        <is>
          <t>ZP</t>
        </is>
      </c>
      <c r="H5077" s="12" t="n">
        <v>260</v>
      </c>
      <c r="I5077" s="17" t="n">
        <v>45875</v>
      </c>
      <c r="J5077" s="17" t="n">
        <v>45875</v>
      </c>
      <c r="K5077" t="inlineStr">
        <is>
          <t>Documento fornecedor FAGNER OLIVEIRA DA SILVA 3973</t>
        </is>
      </c>
    </row>
    <row r="5078">
      <c r="A5078" t="inlineStr">
        <is>
          <t>EM000354</t>
        </is>
      </c>
      <c r="B5078" t="inlineStr">
        <is>
          <t>DECIO BISPO DE OLIVEIRA</t>
        </is>
      </c>
      <c r="C5078" t="n">
        <v>1117730000</v>
      </c>
      <c r="D5078" t="inlineStr">
        <is>
          <t>Nordex Employees</t>
        </is>
      </c>
      <c r="E5078" t="n">
        <v>2000018884</v>
      </c>
      <c r="G5078" t="inlineStr">
        <is>
          <t>ZP</t>
        </is>
      </c>
      <c r="H5078" s="12" t="n">
        <v>390</v>
      </c>
      <c r="I5078" s="17" t="n">
        <v>45882</v>
      </c>
      <c r="J5078" s="17" t="n">
        <v>45882</v>
      </c>
      <c r="K5078" t="inlineStr">
        <is>
          <t>Documento fornecedor DECIO BISPO DE OLIVEIRA 39810</t>
        </is>
      </c>
    </row>
    <row r="5079">
      <c r="A5079" t="inlineStr">
        <is>
          <t>EM000550</t>
        </is>
      </c>
      <c r="B5079" t="inlineStr">
        <is>
          <t>CAMILA ROCHA</t>
        </is>
      </c>
      <c r="C5079" t="n">
        <v>1117730000</v>
      </c>
      <c r="D5079" t="inlineStr">
        <is>
          <t>Nordex Employees</t>
        </is>
      </c>
      <c r="E5079" t="n">
        <v>2000018895</v>
      </c>
      <c r="G5079" t="inlineStr">
        <is>
          <t>ZP</t>
        </is>
      </c>
      <c r="H5079" s="12" t="n">
        <v>390</v>
      </c>
      <c r="I5079" s="17" t="n">
        <v>45882</v>
      </c>
      <c r="J5079" s="17" t="n">
        <v>45882</v>
      </c>
      <c r="K5079" t="inlineStr">
        <is>
          <t>Documento fornecedor CAMILA ROCHA 39807</t>
        </is>
      </c>
    </row>
    <row r="5080">
      <c r="A5080" t="inlineStr">
        <is>
          <t>EM000889</t>
        </is>
      </c>
      <c r="B5080" t="inlineStr">
        <is>
          <t>JOSEILTOM PEREIRA DOS SANTOS</t>
        </is>
      </c>
      <c r="C5080" t="n">
        <v>1117730000</v>
      </c>
      <c r="D5080" t="inlineStr">
        <is>
          <t>Nordex Employees</t>
        </is>
      </c>
      <c r="E5080" t="n">
        <v>2000018907</v>
      </c>
      <c r="G5080" t="inlineStr">
        <is>
          <t>ZP</t>
        </is>
      </c>
      <c r="H5080" s="12" t="n">
        <v>260</v>
      </c>
      <c r="I5080" s="17" t="n">
        <v>45882</v>
      </c>
      <c r="J5080" s="17" t="n">
        <v>45882</v>
      </c>
      <c r="K5080" t="inlineStr">
        <is>
          <t>Documento fornecedor JOSEILTOM PEREIRA DOS SANTOS</t>
        </is>
      </c>
    </row>
    <row r="5081">
      <c r="A5081" t="inlineStr">
        <is>
          <t>EM000556</t>
        </is>
      </c>
      <c r="B5081" t="inlineStr">
        <is>
          <t>LUIZ BRAULY RODRIGUES DE AZEVEDO</t>
        </is>
      </c>
      <c r="C5081" t="n">
        <v>1117730000</v>
      </c>
      <c r="D5081" t="inlineStr">
        <is>
          <t>Nordex Employees</t>
        </is>
      </c>
      <c r="E5081" t="n">
        <v>2000020963</v>
      </c>
      <c r="G5081" t="inlineStr">
        <is>
          <t>ZP</t>
        </is>
      </c>
      <c r="H5081" s="12" t="n">
        <v>520</v>
      </c>
      <c r="I5081" s="17" t="n">
        <v>45917</v>
      </c>
      <c r="J5081" s="17" t="n">
        <v>45917</v>
      </c>
      <c r="K5081" t="inlineStr">
        <is>
          <t>Vendor DP Request LUIZ BRAULY RODRIGUES DE AZEVEDO</t>
        </is>
      </c>
    </row>
    <row r="5082">
      <c r="A5082" t="inlineStr">
        <is>
          <t>EM000812</t>
        </is>
      </c>
      <c r="B5082" t="inlineStr">
        <is>
          <t>RICARDO RYOITI YAMAGUCHI</t>
        </is>
      </c>
      <c r="C5082" t="n">
        <v>1117730000</v>
      </c>
      <c r="D5082" t="inlineStr">
        <is>
          <t>Nordex Employees</t>
        </is>
      </c>
      <c r="E5082" t="n">
        <v>2000020976</v>
      </c>
      <c r="G5082" t="inlineStr">
        <is>
          <t>ZP</t>
        </is>
      </c>
      <c r="H5082" s="12" t="n">
        <v>2040</v>
      </c>
      <c r="I5082" s="17" t="n">
        <v>45917</v>
      </c>
      <c r="J5082" s="17" t="n">
        <v>45917</v>
      </c>
      <c r="K5082" t="inlineStr">
        <is>
          <t>Documento fornecedor RICARDO RYOITI YAMAGUCHI 4114</t>
        </is>
      </c>
    </row>
    <row r="5083">
      <c r="A5083" t="inlineStr">
        <is>
          <t>EM000512</t>
        </is>
      </c>
      <c r="B5083" t="inlineStr">
        <is>
          <t>MARCIO FRANCISCO DA SILVA</t>
        </is>
      </c>
      <c r="C5083" t="n">
        <v>1117730000</v>
      </c>
      <c r="D5083" t="inlineStr">
        <is>
          <t>Nordex Employees</t>
        </is>
      </c>
      <c r="E5083" t="n">
        <v>2000023435</v>
      </c>
      <c r="G5083" t="inlineStr">
        <is>
          <t>ZP</t>
        </is>
      </c>
      <c r="H5083" s="12" t="n">
        <v>1950</v>
      </c>
      <c r="I5083" s="17" t="n">
        <v>45938</v>
      </c>
      <c r="J5083" s="17" t="n">
        <v>45938</v>
      </c>
      <c r="K5083" t="inlineStr">
        <is>
          <t>Vendor DP Request MARCIO FRANCISCO DA SILVA 41127</t>
        </is>
      </c>
    </row>
    <row r="5084">
      <c r="A5084" t="inlineStr">
        <is>
          <t>EM000744</t>
        </is>
      </c>
      <c r="B5084" t="inlineStr">
        <is>
          <t>DARLAN FERREIRA FERNANDES</t>
        </is>
      </c>
      <c r="C5084" t="n">
        <v>1117730000</v>
      </c>
      <c r="D5084" t="inlineStr">
        <is>
          <t>Nordex Employees</t>
        </is>
      </c>
      <c r="E5084" t="n">
        <v>2000023455</v>
      </c>
      <c r="G5084" t="inlineStr">
        <is>
          <t>ZP</t>
        </is>
      </c>
      <c r="H5084" s="12" t="n">
        <v>780</v>
      </c>
      <c r="I5084" s="17" t="n">
        <v>45938</v>
      </c>
      <c r="J5084" s="17" t="n">
        <v>45938</v>
      </c>
      <c r="K5084" t="inlineStr">
        <is>
          <t>Documento fornecedor DARLAN FERREIRA FERNANDES 412</t>
        </is>
      </c>
    </row>
    <row r="5085">
      <c r="A5085" t="inlineStr">
        <is>
          <t>EM000849</t>
        </is>
      </c>
      <c r="B5085" t="inlineStr">
        <is>
          <t>GEOVANE FERREIRA DOS SANTOS</t>
        </is>
      </c>
      <c r="C5085" t="n">
        <v>1117730000</v>
      </c>
      <c r="D5085" t="inlineStr">
        <is>
          <t>Nordex Employees</t>
        </is>
      </c>
      <c r="E5085" t="n">
        <v>2000023469</v>
      </c>
      <c r="G5085" t="inlineStr">
        <is>
          <t>ZP</t>
        </is>
      </c>
      <c r="H5085" s="12" t="n">
        <v>780</v>
      </c>
      <c r="I5085" s="17" t="n">
        <v>45938</v>
      </c>
      <c r="J5085" s="17" t="n">
        <v>45938</v>
      </c>
      <c r="K5085" t="inlineStr">
        <is>
          <t>Vendor DP Request GEOVANE FERREIRA DOS SANTOS 4129</t>
        </is>
      </c>
    </row>
    <row r="5086">
      <c r="A5086" t="inlineStr">
        <is>
          <t>EM000281</t>
        </is>
      </c>
      <c r="B5086" t="inlineStr">
        <is>
          <t>VANESSA REGINA DE CAMARGO</t>
        </is>
      </c>
      <c r="C5086" t="n">
        <v>1117730000</v>
      </c>
      <c r="D5086" t="inlineStr">
        <is>
          <t>Nordex Employees</t>
        </is>
      </c>
      <c r="E5086" t="n">
        <v>2000024367</v>
      </c>
      <c r="G5086" t="inlineStr">
        <is>
          <t>ZP</t>
        </is>
      </c>
      <c r="H5086" s="12" t="n">
        <v>130</v>
      </c>
      <c r="I5086" s="17" t="n">
        <v>45623</v>
      </c>
      <c r="J5086" s="17" t="n">
        <v>45623</v>
      </c>
      <c r="K5086" t="inlineStr">
        <is>
          <t>Documento fornecedor VANESSA REGINA DE CAMARGO 306</t>
        </is>
      </c>
    </row>
    <row r="5087">
      <c r="A5087" t="inlineStr">
        <is>
          <t>EM000281</t>
        </is>
      </c>
      <c r="B5087" t="inlineStr">
        <is>
          <t>VANESSA REGINA DE CAMARGO</t>
        </is>
      </c>
      <c r="C5087" t="n">
        <v>1117730000</v>
      </c>
      <c r="D5087" t="inlineStr">
        <is>
          <t>Nordex Employees</t>
        </is>
      </c>
      <c r="E5087" t="n">
        <v>2000024368</v>
      </c>
      <c r="G5087" t="inlineStr">
        <is>
          <t>ZP</t>
        </is>
      </c>
      <c r="H5087" s="12" t="n">
        <v>130</v>
      </c>
      <c r="I5087" s="17" t="n">
        <v>45623</v>
      </c>
      <c r="J5087" s="17" t="n">
        <v>45623</v>
      </c>
      <c r="K5087" t="inlineStr">
        <is>
          <t>Documento fornecedor VANESSA REGINA DE CAMARGO 297</t>
        </is>
      </c>
    </row>
    <row r="5088">
      <c r="A5088" t="inlineStr">
        <is>
          <t>EM000281</t>
        </is>
      </c>
      <c r="B5088" t="inlineStr">
        <is>
          <t>VANESSA REGINA DE CAMARGO</t>
        </is>
      </c>
      <c r="C5088" t="n">
        <v>1117730000</v>
      </c>
      <c r="D5088" t="inlineStr">
        <is>
          <t>Nordex Employees</t>
        </is>
      </c>
      <c r="E5088" t="n">
        <v>2000024369</v>
      </c>
      <c r="G5088" t="inlineStr">
        <is>
          <t>ZP</t>
        </is>
      </c>
      <c r="H5088" s="12" t="n">
        <v>260</v>
      </c>
      <c r="I5088" s="17" t="n">
        <v>45623</v>
      </c>
      <c r="J5088" s="17" t="n">
        <v>45623</v>
      </c>
      <c r="K5088" t="inlineStr">
        <is>
          <t>Documento fornecedor VANESSA REGINA DE CAMARGO 311</t>
        </is>
      </c>
    </row>
    <row r="5089">
      <c r="A5089" t="inlineStr">
        <is>
          <t>EM000281</t>
        </is>
      </c>
      <c r="B5089" t="inlineStr">
        <is>
          <t>VANESSA REGINA DE CAMARGO</t>
        </is>
      </c>
      <c r="C5089" t="n">
        <v>1117730000</v>
      </c>
      <c r="D5089" t="inlineStr">
        <is>
          <t>Nordex Employees</t>
        </is>
      </c>
      <c r="E5089" t="n">
        <v>2000024370</v>
      </c>
      <c r="G5089" t="inlineStr">
        <is>
          <t>ZP</t>
        </is>
      </c>
      <c r="H5089" s="12" t="n">
        <v>390</v>
      </c>
      <c r="I5089" s="17" t="n">
        <v>45623</v>
      </c>
      <c r="J5089" s="17" t="n">
        <v>45623</v>
      </c>
      <c r="K5089" t="inlineStr">
        <is>
          <t>Documento fornecedor VANESSA REGINA DE CAMARGO 330</t>
        </is>
      </c>
    </row>
    <row r="5090">
      <c r="A5090" t="inlineStr">
        <is>
          <t>EM000281</t>
        </is>
      </c>
      <c r="B5090" t="inlineStr">
        <is>
          <t>VANESSA REGINA DE CAMARGO</t>
        </is>
      </c>
      <c r="C5090" t="n">
        <v>1117730000</v>
      </c>
      <c r="D5090" t="inlineStr">
        <is>
          <t>Nordex Employees</t>
        </is>
      </c>
      <c r="E5090" t="n">
        <v>2000024371</v>
      </c>
      <c r="G5090" t="inlineStr">
        <is>
          <t>ZP</t>
        </is>
      </c>
      <c r="H5090" s="12" t="n">
        <v>390</v>
      </c>
      <c r="I5090" s="17" t="n">
        <v>45623</v>
      </c>
      <c r="J5090" s="17" t="n">
        <v>45623</v>
      </c>
      <c r="K5090" t="inlineStr">
        <is>
          <t>Documento fornecedor VANESSA REGINA DE CAMARGO 307</t>
        </is>
      </c>
    </row>
    <row r="5091">
      <c r="A5091" t="inlineStr">
        <is>
          <t>EM000281</t>
        </is>
      </c>
      <c r="B5091" t="inlineStr">
        <is>
          <t>VANESSA REGINA DE CAMARGO</t>
        </is>
      </c>
      <c r="C5091" t="n">
        <v>1117730000</v>
      </c>
      <c r="D5091" t="inlineStr">
        <is>
          <t>Nordex Employees</t>
        </is>
      </c>
      <c r="E5091" t="n">
        <v>2000024372</v>
      </c>
      <c r="G5091" t="inlineStr">
        <is>
          <t>ZP</t>
        </is>
      </c>
      <c r="H5091" s="12" t="n">
        <v>390</v>
      </c>
      <c r="I5091" s="17" t="n">
        <v>45623</v>
      </c>
      <c r="J5091" s="17" t="n">
        <v>45623</v>
      </c>
      <c r="K5091" t="inlineStr">
        <is>
          <t>Documento fornecedor VANESSA REGINA DE CAMARGO 295</t>
        </is>
      </c>
    </row>
    <row r="5092">
      <c r="A5092" t="inlineStr">
        <is>
          <t>EM000746</t>
        </is>
      </c>
      <c r="B5092" t="inlineStr">
        <is>
          <t>FABIO SANTIAGO GOMES</t>
        </is>
      </c>
      <c r="C5092" t="n">
        <v>1117730000</v>
      </c>
      <c r="D5092" t="inlineStr">
        <is>
          <t>Nordex Employees</t>
        </is>
      </c>
      <c r="E5092" t="n">
        <v>2000025264</v>
      </c>
      <c r="G5092" t="inlineStr">
        <is>
          <t>ZP</t>
        </is>
      </c>
      <c r="H5092" s="12" t="n">
        <v>910</v>
      </c>
      <c r="I5092" s="17" t="n">
        <v>45966</v>
      </c>
      <c r="J5092" s="17" t="n">
        <v>45966</v>
      </c>
      <c r="K5092" t="inlineStr">
        <is>
          <t>Documento fornecedor FABIO SANTIAGO GOMES 43524</t>
        </is>
      </c>
    </row>
    <row r="5093">
      <c r="A5093" t="inlineStr">
        <is>
          <t>EM000751</t>
        </is>
      </c>
      <c r="B5093" t="inlineStr">
        <is>
          <t>RANIE DA SILVA FREIRE</t>
        </is>
      </c>
      <c r="C5093" t="n">
        <v>1117730000</v>
      </c>
      <c r="D5093" t="inlineStr">
        <is>
          <t>Nordex Employees</t>
        </is>
      </c>
      <c r="E5093" t="n">
        <v>2000025265</v>
      </c>
      <c r="G5093" t="inlineStr">
        <is>
          <t>ZP</t>
        </is>
      </c>
      <c r="H5093" s="12" t="n">
        <v>910</v>
      </c>
      <c r="I5093" s="17" t="n">
        <v>45966</v>
      </c>
      <c r="J5093" s="17" t="n">
        <v>45966</v>
      </c>
      <c r="K5093" t="inlineStr">
        <is>
          <t>Documento fornecedor RANIE DA SILVA FREIRE 43527</t>
        </is>
      </c>
    </row>
    <row r="5094">
      <c r="A5094" t="inlineStr">
        <is>
          <t>EM000583</t>
        </is>
      </c>
      <c r="B5094" t="inlineStr">
        <is>
          <t>CLEITON MARINHO COELHO</t>
        </is>
      </c>
      <c r="C5094" t="n">
        <v>1117730000</v>
      </c>
      <c r="D5094" t="inlineStr">
        <is>
          <t>Nordex Employees</t>
        </is>
      </c>
      <c r="E5094" t="n">
        <v>2000025523</v>
      </c>
      <c r="G5094" t="inlineStr">
        <is>
          <t>ZP</t>
        </is>
      </c>
      <c r="H5094" s="12" t="n">
        <v>910</v>
      </c>
      <c r="I5094" s="17" t="n">
        <v>45973</v>
      </c>
      <c r="J5094" s="17" t="n">
        <v>45973</v>
      </c>
      <c r="K5094" t="inlineStr">
        <is>
          <t>Documento fornecedor CLEITON MARINHO COELHO 43617</t>
        </is>
      </c>
    </row>
    <row r="5095">
      <c r="A5095" t="inlineStr">
        <is>
          <t>EM000841</t>
        </is>
      </c>
      <c r="B5095" t="inlineStr">
        <is>
          <t>José Leonardo de Sousa Batista</t>
        </is>
      </c>
      <c r="C5095" t="n">
        <v>1117730000</v>
      </c>
      <c r="D5095" t="inlineStr">
        <is>
          <t>Nordex Employees</t>
        </is>
      </c>
      <c r="E5095" t="n">
        <v>2000025537</v>
      </c>
      <c r="G5095" t="inlineStr">
        <is>
          <t>ZP</t>
        </is>
      </c>
      <c r="H5095" s="12" t="n">
        <v>3900</v>
      </c>
      <c r="I5095" s="17" t="n">
        <v>45973</v>
      </c>
      <c r="J5095" s="17" t="n">
        <v>45973</v>
      </c>
      <c r="K5095" t="inlineStr">
        <is>
          <t>Documento fornecedor José Leonardo de Sousa Batist</t>
        </is>
      </c>
    </row>
    <row r="5096">
      <c r="A5096" t="inlineStr">
        <is>
          <t>EM000482</t>
        </is>
      </c>
      <c r="B5096" t="inlineStr">
        <is>
          <t>FRANCISCO EGON ROQUE DE SOUSA</t>
        </is>
      </c>
      <c r="C5096" t="n">
        <v>1117730000</v>
      </c>
      <c r="D5096" t="inlineStr">
        <is>
          <t>Nordex Employees</t>
        </is>
      </c>
      <c r="E5096" t="n">
        <v>2000026499</v>
      </c>
      <c r="G5096" t="inlineStr">
        <is>
          <t>ZP</t>
        </is>
      </c>
      <c r="H5096" s="12" t="n">
        <v>390</v>
      </c>
      <c r="I5096" s="17" t="n">
        <v>45982</v>
      </c>
      <c r="J5096" s="17" t="n">
        <v>45982</v>
      </c>
      <c r="K5096" t="inlineStr">
        <is>
          <t>Documento fornecedor FRANCISCO EGON ROQUE DE SOUSA</t>
        </is>
      </c>
    </row>
    <row r="5097">
      <c r="A5097" t="inlineStr">
        <is>
          <t>EM000497</t>
        </is>
      </c>
      <c r="B5097" t="inlineStr">
        <is>
          <t>SILAS PEREIRA SANTOS MERQUIADES</t>
        </is>
      </c>
      <c r="C5097" t="n">
        <v>1117730000</v>
      </c>
      <c r="D5097" t="inlineStr">
        <is>
          <t>Nordex Employees</t>
        </is>
      </c>
      <c r="E5097" t="n">
        <v>2000026501</v>
      </c>
      <c r="G5097" t="inlineStr">
        <is>
          <t>ZP</t>
        </is>
      </c>
      <c r="H5097" s="12" t="n">
        <v>910</v>
      </c>
      <c r="I5097" s="17" t="n">
        <v>45982</v>
      </c>
      <c r="J5097" s="17" t="n">
        <v>45982</v>
      </c>
      <c r="K5097" t="inlineStr">
        <is>
          <t>Documento fornecedor SILAS PEREIRA SANTOS MERQUIAD</t>
        </is>
      </c>
    </row>
    <row r="5098">
      <c r="A5098" t="inlineStr">
        <is>
          <t>EM000542</t>
        </is>
      </c>
      <c r="B5098" t="inlineStr">
        <is>
          <t>AKIM FELTRIM CARDOSO</t>
        </is>
      </c>
      <c r="C5098" t="n">
        <v>1117730000</v>
      </c>
      <c r="D5098" t="inlineStr">
        <is>
          <t>Nordex Employees</t>
        </is>
      </c>
      <c r="E5098" t="n">
        <v>2000026505</v>
      </c>
      <c r="G5098" t="inlineStr">
        <is>
          <t>ZP</t>
        </is>
      </c>
      <c r="H5098" s="12" t="n">
        <v>260</v>
      </c>
      <c r="I5098" s="17" t="n">
        <v>45982</v>
      </c>
      <c r="J5098" s="17" t="n">
        <v>45982</v>
      </c>
      <c r="K5098" t="inlineStr">
        <is>
          <t>Documento fornecedor AKIM FELTRIM CARDOSO 43665</t>
        </is>
      </c>
    </row>
    <row r="5099">
      <c r="A5099" t="inlineStr">
        <is>
          <t>EM000975</t>
        </is>
      </c>
      <c r="B5099" t="inlineStr">
        <is>
          <t>MATEUS DA SILVA CARVALHO</t>
        </is>
      </c>
      <c r="C5099" t="n">
        <v>1117730000</v>
      </c>
      <c r="D5099" t="inlineStr">
        <is>
          <t>Nordex Employees</t>
        </is>
      </c>
      <c r="E5099" t="n">
        <v>2000026525</v>
      </c>
      <c r="G5099" t="inlineStr">
        <is>
          <t>ZP</t>
        </is>
      </c>
      <c r="H5099" s="12" t="n">
        <v>260</v>
      </c>
      <c r="I5099" s="17" t="n">
        <v>45982</v>
      </c>
      <c r="J5099" s="17" t="n">
        <v>45982</v>
      </c>
      <c r="K5099" t="inlineStr">
        <is>
          <t>Documento fornecedor MATEUS DA SILVA CARVALHO 4247</t>
        </is>
      </c>
    </row>
    <row r="5100">
      <c r="A5100" t="inlineStr">
        <is>
          <t>EM000975</t>
        </is>
      </c>
      <c r="B5100" t="inlineStr">
        <is>
          <t>MATEUS DA SILVA CARVALHO</t>
        </is>
      </c>
      <c r="C5100" t="n">
        <v>1117730000</v>
      </c>
      <c r="D5100" t="inlineStr">
        <is>
          <t>Nordex Employees</t>
        </is>
      </c>
      <c r="E5100" t="n">
        <v>2000026526</v>
      </c>
      <c r="G5100" t="inlineStr">
        <is>
          <t>ZP</t>
        </is>
      </c>
      <c r="H5100" s="12" t="n">
        <v>1820</v>
      </c>
      <c r="I5100" s="17" t="n">
        <v>45982</v>
      </c>
      <c r="J5100" s="17" t="n">
        <v>45982</v>
      </c>
      <c r="K5100" t="inlineStr">
        <is>
          <t>Documento fornecedor MATEUS DA SILVA CARVALHO 4369</t>
        </is>
      </c>
    </row>
    <row r="5101">
      <c r="A5101" t="inlineStr">
        <is>
          <t>EM000862</t>
        </is>
      </c>
      <c r="B5101" t="inlineStr">
        <is>
          <t>ANTONIO FREIRE MENDES FILHO</t>
        </is>
      </c>
      <c r="C5101" t="n">
        <v>1117730000</v>
      </c>
      <c r="D5101" t="inlineStr">
        <is>
          <t>Nordex Employees</t>
        </is>
      </c>
      <c r="E5101" t="n">
        <v>2000026675</v>
      </c>
      <c r="G5101" t="inlineStr">
        <is>
          <t>ZP</t>
        </is>
      </c>
      <c r="H5101" s="12" t="n">
        <v>650</v>
      </c>
      <c r="I5101" s="17" t="n">
        <v>45987</v>
      </c>
      <c r="J5101" s="17" t="n">
        <v>45987</v>
      </c>
      <c r="K5101" t="inlineStr">
        <is>
          <t>Vendor DP Request ANTONIO FREIRE MENDES FILHO 4365</t>
        </is>
      </c>
    </row>
    <row r="5102">
      <c r="A5102" t="inlineStr">
        <is>
          <t>EM000881</t>
        </is>
      </c>
      <c r="B5102" t="inlineStr">
        <is>
          <t>FRANCISCO MARCOS DE SOUSA</t>
        </is>
      </c>
      <c r="C5102" t="n">
        <v>1117730000</v>
      </c>
      <c r="D5102" t="inlineStr">
        <is>
          <t>Nordex Employees</t>
        </is>
      </c>
      <c r="E5102" t="n">
        <v>2000026680</v>
      </c>
      <c r="G5102" t="inlineStr">
        <is>
          <t>ZP</t>
        </is>
      </c>
      <c r="H5102" s="12" t="n">
        <v>910</v>
      </c>
      <c r="I5102" s="17" t="n">
        <v>45987</v>
      </c>
      <c r="J5102" s="17" t="n">
        <v>45987</v>
      </c>
      <c r="K5102" t="inlineStr">
        <is>
          <t>Vendor DP Request FRANCISCO MARCOS DE SOUSA 43740</t>
        </is>
      </c>
    </row>
    <row r="5103">
      <c r="A5103" t="inlineStr">
        <is>
          <t>EM000971</t>
        </is>
      </c>
      <c r="B5103" t="inlineStr">
        <is>
          <t>LUCAS RODRIGUES DOS SANTOS</t>
        </is>
      </c>
      <c r="C5103" t="n">
        <v>1117730000</v>
      </c>
      <c r="D5103" t="inlineStr">
        <is>
          <t>Nordex Employees</t>
        </is>
      </c>
      <c r="E5103" t="n">
        <v>2000026684</v>
      </c>
      <c r="G5103" t="inlineStr">
        <is>
          <t>ZP</t>
        </is>
      </c>
      <c r="H5103" s="12" t="n">
        <v>650</v>
      </c>
      <c r="I5103" s="17" t="n">
        <v>45987</v>
      </c>
      <c r="J5103" s="17" t="n">
        <v>45987</v>
      </c>
      <c r="K5103" t="inlineStr">
        <is>
          <t>Vendor DP Request LUCAS RODRIGUES DOS SANTOS 43755</t>
        </is>
      </c>
    </row>
    <row r="5104">
      <c r="A5104" t="inlineStr">
        <is>
          <t>EM000979</t>
        </is>
      </c>
      <c r="B5104" t="inlineStr">
        <is>
          <t>JOSE NATAN DIAS DOS SANTOS</t>
        </is>
      </c>
      <c r="C5104" t="n">
        <v>1117730000</v>
      </c>
      <c r="D5104" t="inlineStr">
        <is>
          <t>Nordex Employees</t>
        </is>
      </c>
      <c r="E5104" t="n">
        <v>2000026687</v>
      </c>
      <c r="G5104" t="inlineStr">
        <is>
          <t>ZP</t>
        </is>
      </c>
      <c r="H5104" s="12" t="n">
        <v>910</v>
      </c>
      <c r="I5104" s="17" t="n">
        <v>45987</v>
      </c>
      <c r="J5104" s="17" t="n">
        <v>45987</v>
      </c>
      <c r="K5104" t="inlineStr">
        <is>
          <t>Vendor DP Request JOSE NATAN DIAS DOS SANTOS 43739</t>
        </is>
      </c>
    </row>
    <row r="5105">
      <c r="A5105" t="inlineStr">
        <is>
          <t>EM003096</t>
        </is>
      </c>
      <c r="B5105" t="inlineStr">
        <is>
          <t>JOSICLEITON COELHO DE SOUZA</t>
        </is>
      </c>
      <c r="C5105" t="n">
        <v>1117730000</v>
      </c>
      <c r="D5105" t="inlineStr">
        <is>
          <t>Nordex Employees</t>
        </is>
      </c>
      <c r="E5105" t="n">
        <v>2000026994</v>
      </c>
      <c r="G5105" t="inlineStr">
        <is>
          <t>ZP</t>
        </is>
      </c>
      <c r="H5105" s="12" t="n">
        <v>520</v>
      </c>
      <c r="I5105" s="17" t="n">
        <v>45994</v>
      </c>
      <c r="J5105" s="17" t="n">
        <v>45994</v>
      </c>
      <c r="K5105" t="inlineStr">
        <is>
          <t>Documento fornecedor JOSICLEITON COELHO DE SOUZA 4</t>
        </is>
      </c>
    </row>
    <row r="5106">
      <c r="A5106" t="inlineStr">
        <is>
          <t>EM000876</t>
        </is>
      </c>
      <c r="B5106" t="inlineStr">
        <is>
          <t>Juliana Denleschi Fernandes Luis</t>
        </is>
      </c>
      <c r="C5106" t="n">
        <v>1117730000</v>
      </c>
      <c r="D5106" t="inlineStr">
        <is>
          <t>Nordex Employees</t>
        </is>
      </c>
      <c r="E5106" t="n">
        <v>2000027970</v>
      </c>
      <c r="G5106" t="inlineStr">
        <is>
          <t>ZP</t>
        </is>
      </c>
      <c r="H5106" s="12" t="n">
        <v>1495.2</v>
      </c>
      <c r="I5106" s="17" t="n">
        <v>46001</v>
      </c>
      <c r="J5106" s="17" t="n">
        <v>46001</v>
      </c>
      <c r="K5106" t="inlineStr">
        <is>
          <t>Vendor DP Request Juliana Denleschi Fernandes Luis</t>
        </is>
      </c>
    </row>
    <row r="5107">
      <c r="A5107" t="inlineStr">
        <is>
          <t>EM000076</t>
        </is>
      </c>
      <c r="B5107" t="inlineStr">
        <is>
          <t>MOISES MELO DOS SANTOS</t>
        </is>
      </c>
      <c r="C5107" t="n">
        <v>1117730000</v>
      </c>
      <c r="D5107" t="inlineStr">
        <is>
          <t>Nordex Employees</t>
        </is>
      </c>
      <c r="E5107" t="n">
        <v>2000029044</v>
      </c>
      <c r="G5107" t="inlineStr">
        <is>
          <t>ZP</t>
        </is>
      </c>
      <c r="H5107" s="12" t="n">
        <v>260</v>
      </c>
      <c r="I5107" s="17" t="n">
        <v>46010</v>
      </c>
      <c r="J5107" s="17" t="n">
        <v>46010</v>
      </c>
      <c r="K5107" t="inlineStr">
        <is>
          <t>Vendor DP Request MOISES MELO DOS SANTOS 43560</t>
        </is>
      </c>
    </row>
    <row r="5108">
      <c r="A5108" t="inlineStr">
        <is>
          <t>EM000607</t>
        </is>
      </c>
      <c r="B5108" t="inlineStr">
        <is>
          <t>MARLON LEMOS ARIM</t>
        </is>
      </c>
      <c r="C5108" t="n">
        <v>1117730000</v>
      </c>
      <c r="D5108" t="inlineStr">
        <is>
          <t>Nordex Employees</t>
        </is>
      </c>
      <c r="E5108" t="n">
        <v>2000029075</v>
      </c>
      <c r="G5108" t="inlineStr">
        <is>
          <t>ZP</t>
        </is>
      </c>
      <c r="H5108" s="12" t="n">
        <v>130</v>
      </c>
      <c r="I5108" s="17" t="n">
        <v>46010</v>
      </c>
      <c r="J5108" s="17" t="n">
        <v>46010</v>
      </c>
      <c r="K5108" t="inlineStr">
        <is>
          <t>Vendor DP Request MARLON LEMOS ARIM 43863</t>
        </is>
      </c>
    </row>
    <row r="5109">
      <c r="A5109" t="inlineStr">
        <is>
          <t>EM000015</t>
        </is>
      </c>
      <c r="B5109" t="inlineStr">
        <is>
          <t>IZACK DEYVID DIAS VIANA</t>
        </is>
      </c>
      <c r="C5109" t="n">
        <v>1000010000</v>
      </c>
      <c r="D5109" t="inlineStr">
        <is>
          <t>Nordex Employees</t>
        </is>
      </c>
      <c r="E5109" t="n">
        <v>200009621</v>
      </c>
      <c r="F5109" t="inlineStr">
        <is>
          <t>2150</t>
        </is>
      </c>
      <c r="G5109" t="inlineStr">
        <is>
          <t>UE</t>
        </is>
      </c>
      <c r="H5109" s="12" t="n">
        <v>2000</v>
      </c>
      <c r="I5109" s="17" t="n">
        <v>44839</v>
      </c>
      <c r="J5109" s="17" t="n">
        <v>44839</v>
      </c>
      <c r="K5109" t="inlineStr">
        <is>
          <t>ADIANTAMENTO FF</t>
        </is>
      </c>
    </row>
    <row r="5110">
      <c r="A5110" t="inlineStr">
        <is>
          <t>EM000020</t>
        </is>
      </c>
      <c r="B5110" t="inlineStr">
        <is>
          <t>JOAO JORGE DA SILVA TEMOTEO</t>
        </is>
      </c>
      <c r="C5110" t="n">
        <v>1000010000</v>
      </c>
      <c r="D5110" t="inlineStr">
        <is>
          <t>Nordex Employees</t>
        </is>
      </c>
      <c r="E5110" t="n">
        <v>200009623</v>
      </c>
      <c r="F5110" t="inlineStr">
        <is>
          <t>2152</t>
        </is>
      </c>
      <c r="G5110" t="inlineStr">
        <is>
          <t>UE</t>
        </is>
      </c>
      <c r="H5110" s="12" t="n">
        <v>2000</v>
      </c>
      <c r="I5110" s="17" t="n">
        <v>44909</v>
      </c>
      <c r="J5110" s="17" t="n">
        <v>44909</v>
      </c>
      <c r="K5110" t="inlineStr">
        <is>
          <t>ADIANTAMENTO FF</t>
        </is>
      </c>
    </row>
    <row r="5111">
      <c r="A5111" t="inlineStr">
        <is>
          <t>EM000045</t>
        </is>
      </c>
      <c r="B5111" t="inlineStr">
        <is>
          <t>EVANDRO DE LIMA MARQUES</t>
        </is>
      </c>
      <c r="C5111" t="n">
        <v>1000010000</v>
      </c>
      <c r="D5111" t="inlineStr">
        <is>
          <t>Nordex Employees</t>
        </is>
      </c>
      <c r="E5111" t="n">
        <v>200009633</v>
      </c>
      <c r="F5111" t="inlineStr">
        <is>
          <t>2161</t>
        </is>
      </c>
      <c r="G5111" t="inlineStr">
        <is>
          <t>UE</t>
        </is>
      </c>
      <c r="H5111" s="12" t="n">
        <v>2000</v>
      </c>
      <c r="I5111" s="17" t="n">
        <v>44916</v>
      </c>
      <c r="J5111" s="17" t="n">
        <v>44916</v>
      </c>
      <c r="K5111" t="inlineStr">
        <is>
          <t>ADIANTAMENTO FF</t>
        </is>
      </c>
    </row>
    <row r="5112">
      <c r="A5112" t="inlineStr">
        <is>
          <t>EM000056</t>
        </is>
      </c>
      <c r="B5112" t="inlineStr">
        <is>
          <t>MAYCON ALVES DE OLIVEIRA</t>
        </is>
      </c>
      <c r="C5112" t="n">
        <v>1000010000</v>
      </c>
      <c r="D5112" t="inlineStr">
        <is>
          <t>Nordex Employees</t>
        </is>
      </c>
      <c r="E5112" t="n">
        <v>200009636</v>
      </c>
      <c r="F5112" t="inlineStr">
        <is>
          <t>2164</t>
        </is>
      </c>
      <c r="G5112" t="inlineStr">
        <is>
          <t>UE</t>
        </is>
      </c>
      <c r="H5112" s="12" t="n">
        <v>1285.5</v>
      </c>
      <c r="I5112" s="17" t="n">
        <v>44680</v>
      </c>
      <c r="J5112" s="17" t="n">
        <v>44680</v>
      </c>
      <c r="K5112" t="inlineStr">
        <is>
          <t>FF 04.2022</t>
        </is>
      </c>
    </row>
    <row r="5113">
      <c r="A5113" t="inlineStr">
        <is>
          <t>EM000057</t>
        </is>
      </c>
      <c r="B5113" t="inlineStr">
        <is>
          <t>ANA PATRICIA MORAIS DA SILVA</t>
        </is>
      </c>
      <c r="C5113" t="n">
        <v>1000010000</v>
      </c>
      <c r="D5113" t="inlineStr">
        <is>
          <t>Nordex Employees</t>
        </is>
      </c>
      <c r="E5113" t="n">
        <v>200009638</v>
      </c>
      <c r="F5113" t="inlineStr">
        <is>
          <t>2166</t>
        </is>
      </c>
      <c r="G5113" t="inlineStr">
        <is>
          <t>UE</t>
        </is>
      </c>
      <c r="H5113" s="12" t="n">
        <v>3000</v>
      </c>
      <c r="I5113" s="17" t="n">
        <v>44383</v>
      </c>
      <c r="J5113" s="17" t="n">
        <v>44383</v>
      </c>
      <c r="K5113" t="inlineStr">
        <is>
          <t>FF COMPLEMENTAR</t>
        </is>
      </c>
    </row>
    <row r="5114">
      <c r="A5114" t="inlineStr">
        <is>
          <t>EM000081</t>
        </is>
      </c>
      <c r="B5114" t="inlineStr">
        <is>
          <t>BRUNO VINICIUS MOREIRA CARDOSO</t>
        </is>
      </c>
      <c r="C5114" t="n">
        <v>1000010000</v>
      </c>
      <c r="D5114" t="inlineStr">
        <is>
          <t>Nordex Employees</t>
        </is>
      </c>
      <c r="E5114" t="n">
        <v>200009639</v>
      </c>
      <c r="F5114" t="inlineStr">
        <is>
          <t>2167</t>
        </is>
      </c>
      <c r="G5114" t="inlineStr">
        <is>
          <t>UE</t>
        </is>
      </c>
      <c r="H5114" s="12" t="n">
        <v>2000</v>
      </c>
      <c r="I5114" s="17" t="n">
        <v>45124</v>
      </c>
      <c r="J5114" s="17" t="n">
        <v>45124</v>
      </c>
      <c r="K5114" t="inlineStr">
        <is>
          <t>ADIANTAMENTO FF</t>
        </is>
      </c>
    </row>
    <row r="5115">
      <c r="A5115" t="inlineStr">
        <is>
          <t>EM000121</t>
        </is>
      </c>
      <c r="B5115" t="inlineStr">
        <is>
          <t>WILLIAM VICENTE DA SILVA</t>
        </is>
      </c>
      <c r="C5115" t="n">
        <v>1000010000</v>
      </c>
      <c r="D5115" t="inlineStr">
        <is>
          <t>Nordex Employees</t>
        </is>
      </c>
      <c r="E5115" t="n">
        <v>200009647</v>
      </c>
      <c r="F5115" t="inlineStr">
        <is>
          <t>2174</t>
        </is>
      </c>
      <c r="G5115" t="inlineStr">
        <is>
          <t>UE</t>
        </is>
      </c>
      <c r="H5115" s="12" t="n">
        <v>3000</v>
      </c>
      <c r="I5115" s="17" t="n">
        <v>44900</v>
      </c>
      <c r="J5115" s="17" t="n">
        <v>44900</v>
      </c>
      <c r="K5115" t="inlineStr">
        <is>
          <t>ADIANTAMENTO FF</t>
        </is>
      </c>
    </row>
    <row r="5116">
      <c r="A5116" t="inlineStr">
        <is>
          <t>EM000121</t>
        </is>
      </c>
      <c r="B5116" t="inlineStr">
        <is>
          <t>WILLIAM VICENTE DA SILVA</t>
        </is>
      </c>
      <c r="C5116" t="n">
        <v>1000010000</v>
      </c>
      <c r="D5116" t="inlineStr">
        <is>
          <t>Nordex Employees</t>
        </is>
      </c>
      <c r="E5116" t="n">
        <v>200009648</v>
      </c>
      <c r="F5116" t="inlineStr">
        <is>
          <t>2175</t>
        </is>
      </c>
      <c r="G5116" t="inlineStr">
        <is>
          <t>UE</t>
        </is>
      </c>
      <c r="H5116" s="12" t="n">
        <v>2000</v>
      </c>
      <c r="I5116" s="17" t="n">
        <v>44957</v>
      </c>
      <c r="J5116" s="17" t="n">
        <v>44957</v>
      </c>
      <c r="K5116" t="inlineStr">
        <is>
          <t>AUMENTO FF LDV</t>
        </is>
      </c>
    </row>
    <row r="5117">
      <c r="A5117" t="inlineStr">
        <is>
          <t>EM000137</t>
        </is>
      </c>
      <c r="B5117" t="inlineStr">
        <is>
          <t>ISLAS MARTINS MACIEL ABREU</t>
        </is>
      </c>
      <c r="C5117" t="n">
        <v>1000010000</v>
      </c>
      <c r="D5117" t="inlineStr">
        <is>
          <t>Nordex Employees</t>
        </is>
      </c>
      <c r="E5117" t="n">
        <v>200009649</v>
      </c>
      <c r="F5117" t="inlineStr">
        <is>
          <t>2176</t>
        </is>
      </c>
      <c r="G5117" t="inlineStr">
        <is>
          <t>UE</t>
        </is>
      </c>
      <c r="H5117" s="12" t="n">
        <v>2000</v>
      </c>
      <c r="I5117" s="17" t="n">
        <v>45033</v>
      </c>
      <c r="J5117" s="17" t="n">
        <v>45033</v>
      </c>
      <c r="K5117" t="inlineStr">
        <is>
          <t>ADIANTAMENTO FF</t>
        </is>
      </c>
    </row>
    <row r="5118">
      <c r="A5118" t="inlineStr">
        <is>
          <t>EM000270</t>
        </is>
      </c>
      <c r="B5118" t="inlineStr">
        <is>
          <t>THAYS NUNES BARROS</t>
        </is>
      </c>
      <c r="C5118" t="n">
        <v>1000010000</v>
      </c>
      <c r="D5118" t="inlineStr">
        <is>
          <t>Nordex Employees</t>
        </is>
      </c>
      <c r="E5118" t="n">
        <v>200009661</v>
      </c>
      <c r="F5118" t="inlineStr">
        <is>
          <t>2187</t>
        </is>
      </c>
      <c r="G5118" t="inlineStr">
        <is>
          <t>UE</t>
        </is>
      </c>
      <c r="H5118" s="12" t="n">
        <v>2000</v>
      </c>
      <c r="I5118" s="17" t="n">
        <v>44713</v>
      </c>
      <c r="J5118" s="17" t="n">
        <v>44713</v>
      </c>
      <c r="K5118" t="inlineStr">
        <is>
          <t>ADIANTAMENTO FF</t>
        </is>
      </c>
    </row>
    <row r="5119">
      <c r="A5119" t="inlineStr">
        <is>
          <t>EM000274</t>
        </is>
      </c>
      <c r="B5119" t="inlineStr">
        <is>
          <t>RAFAEL DE OLIVEIRA PATRÍCIO</t>
        </is>
      </c>
      <c r="C5119" t="n">
        <v>1000010000</v>
      </c>
      <c r="D5119" t="inlineStr">
        <is>
          <t>Nordex Employees</t>
        </is>
      </c>
      <c r="E5119" t="n">
        <v>1100023426</v>
      </c>
      <c r="F5119" t="inlineStr">
        <is>
          <t>ADIANTAMENTO FF</t>
        </is>
      </c>
      <c r="G5119" t="inlineStr">
        <is>
          <t>AB</t>
        </is>
      </c>
      <c r="H5119" s="12" t="n">
        <v>1095.92</v>
      </c>
      <c r="I5119" s="17" t="n">
        <v>45761</v>
      </c>
      <c r="J5119" s="17" t="n">
        <v>45761</v>
      </c>
      <c r="K5119" t="inlineStr">
        <is>
          <t>Partida individual RAFAEL DE OLIVEIRA PATRÍCIO ADI</t>
        </is>
      </c>
    </row>
    <row r="5120">
      <c r="A5120" t="inlineStr">
        <is>
          <t>EM000488</t>
        </is>
      </c>
      <c r="B5120" t="inlineStr">
        <is>
          <t>ANDRE LIRA SILVA DA COSTA</t>
        </is>
      </c>
      <c r="C5120" t="n">
        <v>1000010000</v>
      </c>
      <c r="D5120" t="inlineStr">
        <is>
          <t>Nordex Employees</t>
        </is>
      </c>
      <c r="E5120" t="n">
        <v>2000001331</v>
      </c>
      <c r="G5120" t="inlineStr">
        <is>
          <t>ZP</t>
        </is>
      </c>
      <c r="H5120" s="12" t="n">
        <v>2000</v>
      </c>
      <c r="I5120" s="17" t="n">
        <v>46036</v>
      </c>
      <c r="J5120" s="17" t="n">
        <v>46036</v>
      </c>
      <c r="K5120" t="inlineStr">
        <is>
          <t>Documento fornecedor ANDRE LIRA SILVA DA COSTA FF</t>
        </is>
      </c>
    </row>
    <row r="5121">
      <c r="A5121" t="inlineStr">
        <is>
          <t>EM000108</t>
        </is>
      </c>
      <c r="B5121" t="inlineStr">
        <is>
          <t>GISLANIO GOMES DA SILVA</t>
        </is>
      </c>
      <c r="C5121" t="n">
        <v>1000010000</v>
      </c>
      <c r="D5121" t="inlineStr">
        <is>
          <t>Nordex Employees</t>
        </is>
      </c>
      <c r="E5121" t="n">
        <v>2000004324</v>
      </c>
      <c r="G5121" t="inlineStr">
        <is>
          <t>ZP</t>
        </is>
      </c>
      <c r="H5121" s="12" t="n">
        <v>2000</v>
      </c>
      <c r="I5121" s="17" t="n">
        <v>45401</v>
      </c>
      <c r="J5121" s="17" t="n">
        <v>45401</v>
      </c>
      <c r="K5121" t="inlineStr">
        <is>
          <t>Documento fornecedor GISLANIO GOMES DA SILVA FF</t>
        </is>
      </c>
    </row>
    <row r="5122">
      <c r="A5122" t="inlineStr">
        <is>
          <t>EM000129</t>
        </is>
      </c>
      <c r="B5122" t="inlineStr">
        <is>
          <t>JOCIVAN DE SOUZA SILVA</t>
        </is>
      </c>
      <c r="C5122" t="n">
        <v>1000010000</v>
      </c>
      <c r="D5122" t="inlineStr">
        <is>
          <t>Nordex Employees</t>
        </is>
      </c>
      <c r="E5122" t="n">
        <v>2000005073</v>
      </c>
      <c r="G5122" t="inlineStr">
        <is>
          <t>ZP</t>
        </is>
      </c>
      <c r="H5122" s="12" t="n">
        <v>2000</v>
      </c>
      <c r="I5122" s="17" t="n">
        <v>46106</v>
      </c>
      <c r="J5122" s="17" t="n">
        <v>46106</v>
      </c>
      <c r="K5122" t="inlineStr">
        <is>
          <t>Documento fornecedor JOCIVAN DE SOUZA SILVA FF PAS</t>
        </is>
      </c>
    </row>
    <row r="5123">
      <c r="A5123" t="inlineStr">
        <is>
          <t>EM000426</t>
        </is>
      </c>
      <c r="B5123" t="inlineStr">
        <is>
          <t>NAIBHY ADELY GARCIA RODRIGUES</t>
        </is>
      </c>
      <c r="C5123" t="n">
        <v>1000010000</v>
      </c>
      <c r="D5123" t="inlineStr">
        <is>
          <t>Nordex Employees</t>
        </is>
      </c>
      <c r="E5123" t="n">
        <v>2000005424</v>
      </c>
      <c r="G5123" t="inlineStr">
        <is>
          <t>ZP</t>
        </is>
      </c>
      <c r="H5123" s="12" t="n">
        <v>2000</v>
      </c>
      <c r="I5123" s="17" t="n">
        <v>45429</v>
      </c>
      <c r="J5123" s="17" t="n">
        <v>45429</v>
      </c>
      <c r="K5123" t="inlineStr">
        <is>
          <t>Documento fornecedor NAIBHY ADELY GARCIA RODRIGUES</t>
        </is>
      </c>
    </row>
    <row r="5124">
      <c r="A5124" t="inlineStr">
        <is>
          <t>EM000470</t>
        </is>
      </c>
      <c r="B5124" t="inlineStr">
        <is>
          <t>GUILHERME ROSSONI DOS SANTOS</t>
        </is>
      </c>
      <c r="C5124" t="n">
        <v>1000010000</v>
      </c>
      <c r="D5124" t="inlineStr">
        <is>
          <t>Nordex Employees</t>
        </is>
      </c>
      <c r="E5124" t="n">
        <v>2000005809</v>
      </c>
      <c r="G5124" t="inlineStr">
        <is>
          <t>ZP</t>
        </is>
      </c>
      <c r="H5124" s="12" t="n">
        <v>2000</v>
      </c>
      <c r="I5124" s="17" t="n">
        <v>46120</v>
      </c>
      <c r="J5124" s="17" t="n">
        <v>46120</v>
      </c>
      <c r="K5124" t="inlineStr">
        <is>
          <t>Documento fornecedor GUILHERME ROSSONI DOS SANTOS</t>
        </is>
      </c>
    </row>
    <row r="5125">
      <c r="A5125" t="inlineStr">
        <is>
          <t>EM000515</t>
        </is>
      </c>
      <c r="B5125" t="inlineStr">
        <is>
          <t>EVERTHON RENEBER PEREIRA DA SILVA</t>
        </is>
      </c>
      <c r="C5125" t="n">
        <v>1000010000</v>
      </c>
      <c r="D5125" t="inlineStr">
        <is>
          <t>Nordex Employees</t>
        </is>
      </c>
      <c r="E5125" t="n">
        <v>2000006771</v>
      </c>
      <c r="G5125" t="inlineStr">
        <is>
          <t>ZP</t>
        </is>
      </c>
      <c r="H5125" s="12" t="n">
        <v>2000</v>
      </c>
      <c r="I5125" s="17" t="n">
        <v>45476</v>
      </c>
      <c r="J5125" s="17" t="n">
        <v>45476</v>
      </c>
      <c r="K5125" t="inlineStr">
        <is>
          <t>Documento fornecedor EVERTHON RENEBER PEREIRA DA S</t>
        </is>
      </c>
    </row>
    <row r="5126">
      <c r="A5126" t="inlineStr">
        <is>
          <t>EM000443</t>
        </is>
      </c>
      <c r="B5126" t="inlineStr">
        <is>
          <t>WAGNER STHALONE SILVA DE MEDEIROS</t>
        </is>
      </c>
      <c r="C5126" t="n">
        <v>1000010000</v>
      </c>
      <c r="D5126" t="inlineStr">
        <is>
          <t>Nordex Employees</t>
        </is>
      </c>
      <c r="E5126" t="n">
        <v>2000009212</v>
      </c>
      <c r="G5126" t="inlineStr">
        <is>
          <t>ZP</t>
        </is>
      </c>
      <c r="H5126" s="12" t="n">
        <v>2000</v>
      </c>
      <c r="I5126" s="17" t="n">
        <v>46176</v>
      </c>
      <c r="J5126" s="17" t="n">
        <v>46176</v>
      </c>
      <c r="K5126" t="inlineStr">
        <is>
          <t>Documento fornecedor WAGNER STHALONE SILVA DE MEDE</t>
        </is>
      </c>
    </row>
    <row r="5127">
      <c r="A5127" t="inlineStr">
        <is>
          <t>EM000850</t>
        </is>
      </c>
      <c r="B5127" t="inlineStr">
        <is>
          <t>FRANCISCO NILO SALES</t>
        </is>
      </c>
      <c r="C5127" t="n">
        <v>1000010000</v>
      </c>
      <c r="D5127" t="inlineStr">
        <is>
          <t>Nordex Employees</t>
        </is>
      </c>
      <c r="E5127" t="n">
        <v>2000013283</v>
      </c>
      <c r="G5127" t="inlineStr">
        <is>
          <t>ZP</t>
        </is>
      </c>
      <c r="H5127" s="12" t="n">
        <v>2000</v>
      </c>
      <c r="I5127" s="17" t="n">
        <v>45513</v>
      </c>
      <c r="J5127" s="17" t="n">
        <v>45513</v>
      </c>
      <c r="K5127" t="inlineStr">
        <is>
          <t>Documento fornecedor FRANCISCO NILO SALES FF</t>
        </is>
      </c>
    </row>
    <row r="5128">
      <c r="A5128" t="inlineStr">
        <is>
          <t>EM000972</t>
        </is>
      </c>
      <c r="B5128" t="inlineStr">
        <is>
          <t>POLLYANNO BRUNO DA COSTA SILVA</t>
        </is>
      </c>
      <c r="C5128" t="n">
        <v>1000010000</v>
      </c>
      <c r="D5128" t="inlineStr">
        <is>
          <t>Nordex Employees</t>
        </is>
      </c>
      <c r="E5128" t="n">
        <v>2000015040</v>
      </c>
      <c r="G5128" t="inlineStr">
        <is>
          <t>ZP</t>
        </is>
      </c>
      <c r="H5128" s="12" t="n">
        <v>2000</v>
      </c>
      <c r="I5128" s="17" t="n">
        <v>45833</v>
      </c>
      <c r="J5128" s="17" t="n">
        <v>45833</v>
      </c>
      <c r="K5128" t="inlineStr">
        <is>
          <t>Documento fornecedor POLLYANNO BRUNO DA COSTA SILV</t>
        </is>
      </c>
    </row>
    <row r="5129">
      <c r="A5129" t="inlineStr">
        <is>
          <t>EM000586</t>
        </is>
      </c>
      <c r="B5129" t="inlineStr">
        <is>
          <t>GLAYSON RICARDO DE QUEIROZ</t>
        </is>
      </c>
      <c r="C5129" t="n">
        <v>1000010000</v>
      </c>
      <c r="D5129" t="inlineStr">
        <is>
          <t>Nordex Employees</t>
        </is>
      </c>
      <c r="E5129" t="n">
        <v>2000020495</v>
      </c>
      <c r="G5129" t="inlineStr">
        <is>
          <t>ZP</t>
        </is>
      </c>
      <c r="H5129" s="12" t="n">
        <v>2000</v>
      </c>
      <c r="I5129" s="17" t="n">
        <v>45597</v>
      </c>
      <c r="J5129" s="17" t="n">
        <v>45597</v>
      </c>
      <c r="K5129" t="inlineStr">
        <is>
          <t>Vendor DP Request GLAYSON RICARDO DE QUEIROZ ADIAN</t>
        </is>
      </c>
    </row>
    <row r="5130">
      <c r="A5130" t="inlineStr">
        <is>
          <t>EM000396</t>
        </is>
      </c>
      <c r="B5130" t="inlineStr">
        <is>
          <t>WALTIRLLEY FERREIRA DA COSTA</t>
        </is>
      </c>
      <c r="C5130" t="n">
        <v>1000010000</v>
      </c>
      <c r="D5130" t="inlineStr">
        <is>
          <t>Nordex Employees</t>
        </is>
      </c>
      <c r="E5130" t="n">
        <v>2000021169</v>
      </c>
      <c r="G5130" t="inlineStr">
        <is>
          <t>ZP</t>
        </is>
      </c>
      <c r="H5130" s="12" t="n">
        <v>2000</v>
      </c>
      <c r="I5130" s="17" t="n">
        <v>45924</v>
      </c>
      <c r="J5130" s="17" t="n">
        <v>45924</v>
      </c>
      <c r="K5130" t="inlineStr">
        <is>
          <t>Documento fornecedor WALTIRLLEY FERREIRA DA COSTA</t>
        </is>
      </c>
    </row>
    <row r="5131">
      <c r="A5131" t="inlineStr">
        <is>
          <t>EM000440</t>
        </is>
      </c>
      <c r="B5131" t="inlineStr">
        <is>
          <t>DIEGO LEON DA SILVA BARACHO</t>
        </is>
      </c>
      <c r="C5131" t="n">
        <v>1000010000</v>
      </c>
      <c r="D5131" t="inlineStr">
        <is>
          <t>Nordex Employees</t>
        </is>
      </c>
      <c r="E5131" t="n">
        <v>2000021174</v>
      </c>
      <c r="G5131" t="inlineStr">
        <is>
          <t>ZP</t>
        </is>
      </c>
      <c r="H5131" s="12" t="n">
        <v>2000</v>
      </c>
      <c r="I5131" s="17" t="n">
        <v>45924</v>
      </c>
      <c r="J5131" s="17" t="n">
        <v>45924</v>
      </c>
      <c r="K5131" t="inlineStr">
        <is>
          <t>Documento fornecedor DIEGO LEON DA SILVA BARACHO F</t>
        </is>
      </c>
    </row>
    <row r="5132">
      <c r="A5132" t="inlineStr">
        <is>
          <t>EM000006</t>
        </is>
      </c>
      <c r="B5132" t="inlineStr">
        <is>
          <t>FERNANDA CYNTHIA DA SILVA</t>
        </is>
      </c>
      <c r="C5132" t="n">
        <v>1000010000</v>
      </c>
      <c r="D5132" t="inlineStr">
        <is>
          <t>Nordex Employees</t>
        </is>
      </c>
      <c r="E5132" t="n">
        <v>2000024034</v>
      </c>
      <c r="G5132" t="inlineStr">
        <is>
          <t>ZP</t>
        </is>
      </c>
      <c r="H5132" s="12" t="n">
        <v>1000</v>
      </c>
      <c r="I5132" s="17" t="n">
        <v>45952</v>
      </c>
      <c r="J5132" s="17" t="n">
        <v>45952</v>
      </c>
      <c r="K5132" t="inlineStr">
        <is>
          <t>Documento fornecedor FERNANDA CYNTHIA DA SILVA FF</t>
        </is>
      </c>
    </row>
    <row r="5133">
      <c r="A5133" t="inlineStr">
        <is>
          <t>EM000482</t>
        </is>
      </c>
      <c r="B5133" t="inlineStr">
        <is>
          <t>FRANCISCO EGON ROQUE DE SOUSA</t>
        </is>
      </c>
      <c r="C5133" t="n">
        <v>1000010000</v>
      </c>
      <c r="D5133" t="inlineStr">
        <is>
          <t>Nordex Employees</t>
        </is>
      </c>
      <c r="E5133" t="n">
        <v>2000027260</v>
      </c>
      <c r="G5133" t="inlineStr">
        <is>
          <t>ZP</t>
        </is>
      </c>
      <c r="H5133" s="12" t="n">
        <v>2000</v>
      </c>
      <c r="I5133" s="17" t="n">
        <v>45646</v>
      </c>
      <c r="J5133" s="17" t="n">
        <v>45646</v>
      </c>
      <c r="K5133" t="inlineStr">
        <is>
          <t>Documento fornecedor FRANCISCO EGON ROQUE DE SOUSA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10" customWidth="1" min="4" max="4"/>
    <col width="16" customWidth="1" min="5" max="5"/>
  </cols>
  <sheetData>
    <row r="1">
      <c r="A1" s="2" t="inlineStr">
        <is>
          <t>CADASTRO DE FORNECEDORES</t>
        </is>
      </c>
    </row>
    <row r="2">
      <c r="A2" s="4" t="inlineStr">
        <is>
          <t>Lista de fornecedores com saldo em aberto na Base. Filtre a coluna Categoria para ver os sem classificacao.</t>
        </is>
      </c>
    </row>
    <row r="4">
      <c r="A4" s="8" t="inlineStr">
        <is>
          <t>Fornecedor</t>
        </is>
      </c>
      <c r="B4" s="8" t="inlineStr">
        <is>
          <t>Nome do fornecedor</t>
        </is>
      </c>
      <c r="C4" s="8" t="inlineStr">
        <is>
          <t>Categoria</t>
        </is>
      </c>
      <c r="D4" s="8" t="inlineStr">
        <is>
          <t>Itens</t>
        </is>
      </c>
      <c r="E4" s="8" t="inlineStr">
        <is>
          <t>Valor</t>
        </is>
      </c>
    </row>
    <row r="5">
      <c r="A5" t="inlineStr">
        <is>
          <t>IC1000</t>
        </is>
      </c>
      <c r="B5" t="inlineStr">
        <is>
          <t>NORDEX ENERGY SE &amp; CO KG</t>
        </is>
      </c>
      <c r="C5">
        <f>IFERROR(INDEX(DePara[Categoria],MATCH(TEXT(A5,"0"),DePara[Fornecedor_txt],0)),"(sem categoria)")</f>
        <v/>
      </c>
      <c r="D5">
        <f>COUNTIF(Base[Fornecedor],A5&amp;"")</f>
        <v/>
      </c>
      <c r="E5" s="12">
        <f>SUMIF(Base[Fornecedor],A5&amp;"",Base[Montante])</f>
        <v/>
      </c>
    </row>
    <row r="6">
      <c r="A6" t="inlineStr">
        <is>
          <t>IC4420</t>
        </is>
      </c>
      <c r="B6" t="inlineStr">
        <is>
          <t>NORDEX ENERGY SPAIN S A U</t>
        </is>
      </c>
      <c r="C6">
        <f>IFERROR(INDEX(DePara[Categoria],MATCH(TEXT(A6,"0"),DePara[Fornecedor_txt],0)),"(sem categoria)")</f>
        <v/>
      </c>
      <c r="D6">
        <f>COUNTIF(Base[Fornecedor],A6&amp;"")</f>
        <v/>
      </c>
      <c r="E6" s="12">
        <f>SUMIF(Base[Fornecedor],A6&amp;"",Base[Montante])</f>
        <v/>
      </c>
    </row>
    <row r="7">
      <c r="A7" t="inlineStr">
        <is>
          <t>IC5000</t>
        </is>
      </c>
      <c r="B7" t="inlineStr">
        <is>
          <t>NORDEX SE</t>
        </is>
      </c>
      <c r="C7">
        <f>IFERROR(INDEX(DePara[Categoria],MATCH(TEXT(A7,"0"),DePara[Fornecedor_txt],0)),"(sem categoria)")</f>
        <v/>
      </c>
      <c r="D7">
        <f>COUNTIF(Base[Fornecedor],A7&amp;"")</f>
        <v/>
      </c>
      <c r="E7" s="12">
        <f>SUMIF(Base[Fornecedor],A7&amp;"",Base[Montante])</f>
        <v/>
      </c>
    </row>
    <row r="8">
      <c r="A8" t="inlineStr">
        <is>
          <t>IC4600</t>
        </is>
      </c>
      <c r="B8" t="inlineStr">
        <is>
          <t>NORDEX USA INC 4650</t>
        </is>
      </c>
      <c r="C8">
        <f>IFERROR(INDEX(DePara[Categoria],MATCH(TEXT(A8,"0"),DePara[Fornecedor_txt],0)),"(sem categoria)")</f>
        <v/>
      </c>
      <c r="D8">
        <f>COUNTIF(Base[Fornecedor],A8&amp;"")</f>
        <v/>
      </c>
      <c r="E8" s="12">
        <f>SUMIF(Base[Fornecedor],A8&amp;"",Base[Montante])</f>
        <v/>
      </c>
    </row>
    <row r="9">
      <c r="A9" t="inlineStr">
        <is>
          <t>IC4665</t>
        </is>
      </c>
      <c r="B9" t="inlineStr">
        <is>
          <t>NORDEX WINDPOWER PERU SA</t>
        </is>
      </c>
      <c r="C9">
        <f>IFERROR(INDEX(DePara[Categoria],MATCH(TEXT(A9,"0"),DePara[Fornecedor_txt],0)),"(sem categoria)")</f>
        <v/>
      </c>
      <c r="D9">
        <f>COUNTIF(Base[Fornecedor],A9&amp;"")</f>
        <v/>
      </c>
      <c r="E9" s="12">
        <f>SUMIF(Base[Fornecedor],A9&amp;"",Base[Montante])</f>
        <v/>
      </c>
    </row>
    <row r="10">
      <c r="A10" t="inlineStr">
        <is>
          <t>IC4441</t>
        </is>
      </c>
      <c r="B10" t="inlineStr">
        <is>
          <t>Nordex Concrete Towers, S.L.</t>
        </is>
      </c>
      <c r="C10">
        <f>IFERROR(INDEX(DePara[Categoria],MATCH(TEXT(A10,"0"),DePara[Fornecedor_txt],0)),"(sem categoria)")</f>
        <v/>
      </c>
      <c r="D10">
        <f>COUNTIF(Base[Fornecedor],A10&amp;"")</f>
        <v/>
      </c>
      <c r="E10" s="12">
        <f>SUMIF(Base[Fornecedor],A10&amp;"",Base[Montante])</f>
        <v/>
      </c>
    </row>
    <row r="11">
      <c r="A11" t="inlineStr">
        <is>
          <t>IC4680</t>
        </is>
      </c>
      <c r="B11" t="inlineStr">
        <is>
          <t>NORDEX ENERGY MEXICO S DE RL DE CV</t>
        </is>
      </c>
      <c r="C11">
        <f>IFERROR(INDEX(DePara[Categoria],MATCH(TEXT(A11,"0"),DePara[Fornecedor_txt],0)),"(sem categoria)")</f>
        <v/>
      </c>
      <c r="D11">
        <f>COUNTIF(Base[Fornecedor],A11&amp;"")</f>
        <v/>
      </c>
      <c r="E11" s="12">
        <f>SUMIF(Base[Fornecedor],A11&amp;"",Base[Montante])</f>
        <v/>
      </c>
    </row>
    <row r="12">
      <c r="A12" t="inlineStr">
        <is>
          <t>IC4670</t>
        </is>
      </c>
      <c r="B12" t="inlineStr">
        <is>
          <t>NORDEX ENERGY CHILE SA</t>
        </is>
      </c>
      <c r="C12">
        <f>IFERROR(INDEX(DePara[Categoria],MATCH(TEXT(A12,"0"),DePara[Fornecedor_txt],0)),"(sem categoria)")</f>
        <v/>
      </c>
      <c r="D12">
        <f>COUNTIF(Base[Fornecedor],A12&amp;"")</f>
        <v/>
      </c>
      <c r="E12" s="12">
        <f>SUMIF(Base[Fornecedor],A12&amp;"",Base[Montante])</f>
        <v/>
      </c>
    </row>
    <row r="13">
      <c r="A13" t="inlineStr">
        <is>
          <t>ICBRWA</t>
        </is>
      </c>
      <c r="B13" t="inlineStr">
        <is>
          <t>NORDEX ENERGY BRASIL - COMERCIO E I</t>
        </is>
      </c>
      <c r="C13">
        <f>IFERROR(INDEX(DePara[Categoria],MATCH(TEXT(A13,"0"),DePara[Fornecedor_txt],0)),"(sem categoria)")</f>
        <v/>
      </c>
      <c r="D13">
        <f>COUNTIF(Base[Fornecedor],A13&amp;"")</f>
        <v/>
      </c>
      <c r="E13" s="12">
        <f>SUMIF(Base[Fornecedor],A13&amp;"",Base[Montante])</f>
        <v/>
      </c>
    </row>
    <row r="14">
      <c r="A14" t="inlineStr">
        <is>
          <t>EM000093</t>
        </is>
      </c>
      <c r="B14" t="inlineStr">
        <is>
          <t>CARLOS ALVES DE AZEVEDO</t>
        </is>
      </c>
      <c r="C14">
        <f>IFERROR(INDEX(DePara[Categoria],MATCH(TEXT(A14,"0"),DePara[Fornecedor_txt],0)),"(sem categoria)")</f>
        <v/>
      </c>
      <c r="D14">
        <f>COUNTIF(Base[Fornecedor],A14&amp;"")</f>
        <v/>
      </c>
      <c r="E14" s="12">
        <f>SUMIF(Base[Fornecedor],A14&amp;"",Base[Montante])</f>
        <v/>
      </c>
    </row>
    <row r="15">
      <c r="A15" t="inlineStr">
        <is>
          <t>EM000095</t>
        </is>
      </c>
      <c r="B15" t="inlineStr">
        <is>
          <t>DEYMSON ROBSON AMARAL BEZERRA</t>
        </is>
      </c>
      <c r="C15">
        <f>IFERROR(INDEX(DePara[Categoria],MATCH(TEXT(A15,"0"),DePara[Fornecedor_txt],0)),"(sem categoria)")</f>
        <v/>
      </c>
      <c r="D15">
        <f>COUNTIF(Base[Fornecedor],A15&amp;"")</f>
        <v/>
      </c>
      <c r="E15" s="12">
        <f>SUMIF(Base[Fornecedor],A15&amp;"",Base[Montante])</f>
        <v/>
      </c>
    </row>
    <row r="16">
      <c r="A16" t="inlineStr">
        <is>
          <t>EM000015</t>
        </is>
      </c>
      <c r="B16" t="inlineStr">
        <is>
          <t>IZACK DEYVID DIAS VIANA</t>
        </is>
      </c>
      <c r="C16">
        <f>IFERROR(INDEX(DePara[Categoria],MATCH(TEXT(A16,"0"),DePara[Fornecedor_txt],0)),"(sem categoria)")</f>
        <v/>
      </c>
      <c r="D16">
        <f>COUNTIF(Base[Fornecedor],A16&amp;"")</f>
        <v/>
      </c>
      <c r="E16" s="12">
        <f>SUMIF(Base[Fornecedor],A16&amp;"",Base[Montante])</f>
        <v/>
      </c>
    </row>
    <row r="17">
      <c r="A17" t="inlineStr">
        <is>
          <t>EM000440</t>
        </is>
      </c>
      <c r="B17" t="inlineStr">
        <is>
          <t>DIEGO LEON DA SILVA BARACHO</t>
        </is>
      </c>
      <c r="C17">
        <f>IFERROR(INDEX(DePara[Categoria],MATCH(TEXT(A17,"0"),DePara[Fornecedor_txt],0)),"(sem categoria)")</f>
        <v/>
      </c>
      <c r="D17">
        <f>COUNTIF(Base[Fornecedor],A17&amp;"")</f>
        <v/>
      </c>
      <c r="E17" s="12">
        <f>SUMIF(Base[Fornecedor],A17&amp;"",Base[Montante])</f>
        <v/>
      </c>
    </row>
    <row r="18">
      <c r="A18" t="inlineStr">
        <is>
          <t>EM000515</t>
        </is>
      </c>
      <c r="B18" t="inlineStr">
        <is>
          <t>EVERTHON RENEBER PEREIRA DA SILVA</t>
        </is>
      </c>
      <c r="C18">
        <f>IFERROR(INDEX(DePara[Categoria],MATCH(TEXT(A18,"0"),DePara[Fornecedor_txt],0)),"(sem categoria)")</f>
        <v/>
      </c>
      <c r="D18">
        <f>COUNTIF(Base[Fornecedor],A18&amp;"")</f>
        <v/>
      </c>
      <c r="E18" s="12">
        <f>SUMIF(Base[Fornecedor],A18&amp;"",Base[Montante])</f>
        <v/>
      </c>
    </row>
    <row r="19">
      <c r="A19" t="inlineStr">
        <is>
          <t>EM000006</t>
        </is>
      </c>
      <c r="B19" t="inlineStr">
        <is>
          <t>FERNANDA CYNTHIA DA SILVA</t>
        </is>
      </c>
      <c r="C19">
        <f>IFERROR(INDEX(DePara[Categoria],MATCH(TEXT(A19,"0"),DePara[Fornecedor_txt],0)),"(sem categoria)")</f>
        <v/>
      </c>
      <c r="D19">
        <f>COUNTIF(Base[Fornecedor],A19&amp;"")</f>
        <v/>
      </c>
      <c r="E19" s="12">
        <f>SUMIF(Base[Fornecedor],A19&amp;"",Base[Montante])</f>
        <v/>
      </c>
    </row>
    <row r="20">
      <c r="A20" t="inlineStr">
        <is>
          <t>EM000795</t>
        </is>
      </c>
      <c r="B20" t="inlineStr">
        <is>
          <t>Gian Walter dos Santos</t>
        </is>
      </c>
      <c r="C20">
        <f>IFERROR(INDEX(DePara[Categoria],MATCH(TEXT(A20,"0"),DePara[Fornecedor_txt],0)),"(sem categoria)")</f>
        <v/>
      </c>
      <c r="D20">
        <f>COUNTIF(Base[Fornecedor],A20&amp;"")</f>
        <v/>
      </c>
      <c r="E20" s="12">
        <f>SUMIF(Base[Fornecedor],A20&amp;"",Base[Montante])</f>
        <v/>
      </c>
    </row>
    <row r="21">
      <c r="A21" t="inlineStr">
        <is>
          <t>EM000868</t>
        </is>
      </c>
      <c r="B21" t="inlineStr">
        <is>
          <t>BERNARDO SÉRGIO MENDONÇA</t>
        </is>
      </c>
      <c r="C21">
        <f>IFERROR(INDEX(DePara[Categoria],MATCH(TEXT(A21,"0"),DePara[Fornecedor_txt],0)),"(sem categoria)")</f>
        <v/>
      </c>
      <c r="D21">
        <f>COUNTIF(Base[Fornecedor],A21&amp;"")</f>
        <v/>
      </c>
      <c r="E21" s="12">
        <f>SUMIF(Base[Fornecedor],A21&amp;"",Base[Montante])</f>
        <v/>
      </c>
    </row>
    <row r="22">
      <c r="A22" t="inlineStr">
        <is>
          <t>EM000609</t>
        </is>
      </c>
      <c r="B22" t="inlineStr">
        <is>
          <t>ROBSON RUBELTON RODIGUES RAMOS JUNIOR</t>
        </is>
      </c>
      <c r="C22">
        <f>IFERROR(INDEX(DePara[Categoria],MATCH(TEXT(A22,"0"),DePara[Fornecedor_txt],0)),"(sem categoria)")</f>
        <v/>
      </c>
      <c r="D22">
        <f>COUNTIF(Base[Fornecedor],A22&amp;"")</f>
        <v/>
      </c>
      <c r="E22" s="12">
        <f>SUMIF(Base[Fornecedor],A22&amp;"",Base[Montante])</f>
        <v/>
      </c>
    </row>
    <row r="23">
      <c r="A23" t="inlineStr">
        <is>
          <t>EM000973</t>
        </is>
      </c>
      <c r="B23" t="inlineStr">
        <is>
          <t>JACKSON LUCAS DA SILVA</t>
        </is>
      </c>
      <c r="C23">
        <f>IFERROR(INDEX(DePara[Categoria],MATCH(TEXT(A23,"0"),DePara[Fornecedor_txt],0)),"(sem categoria)")</f>
        <v/>
      </c>
      <c r="D23">
        <f>COUNTIF(Base[Fornecedor],A23&amp;"")</f>
        <v/>
      </c>
      <c r="E23" s="12">
        <f>SUMIF(Base[Fornecedor],A23&amp;"",Base[Montante])</f>
        <v/>
      </c>
    </row>
    <row r="24">
      <c r="A24" t="inlineStr">
        <is>
          <t>EM000753</t>
        </is>
      </c>
      <c r="B24" t="inlineStr">
        <is>
          <t>Thiago Maxwel da Costa Soares</t>
        </is>
      </c>
      <c r="C24">
        <f>IFERROR(INDEX(DePara[Categoria],MATCH(TEXT(A24,"0"),DePara[Fornecedor_txt],0)),"(sem categoria)")</f>
        <v/>
      </c>
      <c r="D24">
        <f>COUNTIF(Base[Fornecedor],A24&amp;"")</f>
        <v/>
      </c>
      <c r="E24" s="12">
        <f>SUMIF(Base[Fornecedor],A24&amp;"",Base[Montante])</f>
        <v/>
      </c>
    </row>
    <row r="25">
      <c r="A25" t="inlineStr">
        <is>
          <t>EM000776</t>
        </is>
      </c>
      <c r="B25" t="inlineStr">
        <is>
          <t>Natanael Gonçalves</t>
        </is>
      </c>
      <c r="C25">
        <f>IFERROR(INDEX(DePara[Categoria],MATCH(TEXT(A25,"0"),DePara[Fornecedor_txt],0)),"(sem categoria)")</f>
        <v/>
      </c>
      <c r="D25">
        <f>COUNTIF(Base[Fornecedor],A25&amp;"")</f>
        <v/>
      </c>
      <c r="E25" s="12">
        <f>SUMIF(Base[Fornecedor],A25&amp;"",Base[Montante])</f>
        <v/>
      </c>
    </row>
    <row r="26">
      <c r="A26" t="inlineStr">
        <is>
          <t>EM000582</t>
        </is>
      </c>
      <c r="B26" t="inlineStr">
        <is>
          <t>FRANCILIO FRANCISCO DE ARAUJO</t>
        </is>
      </c>
      <c r="C26">
        <f>IFERROR(INDEX(DePara[Categoria],MATCH(TEXT(A26,"0"),DePara[Fornecedor_txt],0)),"(sem categoria)")</f>
        <v/>
      </c>
      <c r="D26">
        <f>COUNTIF(Base[Fornecedor],A26&amp;"")</f>
        <v/>
      </c>
      <c r="E26" s="12">
        <f>SUMIF(Base[Fornecedor],A26&amp;"",Base[Montante])</f>
        <v/>
      </c>
    </row>
    <row r="27">
      <c r="A27" t="inlineStr">
        <is>
          <t>EM000025</t>
        </is>
      </c>
      <c r="B27" t="inlineStr">
        <is>
          <t>DANIEL SPARREMBERGER SHWARTZHAUPT</t>
        </is>
      </c>
      <c r="C27">
        <f>IFERROR(INDEX(DePara[Categoria],MATCH(TEXT(A27,"0"),DePara[Fornecedor_txt],0)),"(sem categoria)")</f>
        <v/>
      </c>
      <c r="D27">
        <f>COUNTIF(Base[Fornecedor],A27&amp;"")</f>
        <v/>
      </c>
      <c r="E27" s="12">
        <f>SUMIF(Base[Fornecedor],A27&amp;"",Base[Montante])</f>
        <v/>
      </c>
    </row>
    <row r="28">
      <c r="A28" t="inlineStr">
        <is>
          <t>EM000426</t>
        </is>
      </c>
      <c r="B28" t="inlineStr">
        <is>
          <t>NAIBHY ADELY GARCIA RODRIGUES</t>
        </is>
      </c>
      <c r="C28">
        <f>IFERROR(INDEX(DePara[Categoria],MATCH(TEXT(A28,"0"),DePara[Fornecedor_txt],0)),"(sem categoria)")</f>
        <v/>
      </c>
      <c r="D28">
        <f>COUNTIF(Base[Fornecedor],A28&amp;"")</f>
        <v/>
      </c>
      <c r="E28" s="12">
        <f>SUMIF(Base[Fornecedor],A28&amp;"",Base[Montante])</f>
        <v/>
      </c>
    </row>
    <row r="29">
      <c r="A29" t="inlineStr">
        <is>
          <t>EM000635</t>
        </is>
      </c>
      <c r="B29" t="inlineStr">
        <is>
          <t>MARLON MICHEL MACHADO RIBEIRO</t>
        </is>
      </c>
      <c r="C29">
        <f>IFERROR(INDEX(DePara[Categoria],MATCH(TEXT(A29,"0"),DePara[Fornecedor_txt],0)),"(sem categoria)")</f>
        <v/>
      </c>
      <c r="D29">
        <f>COUNTIF(Base[Fornecedor],A29&amp;"")</f>
        <v/>
      </c>
      <c r="E29" s="12">
        <f>SUMIF(Base[Fornecedor],A29&amp;"",Base[Montante])</f>
        <v/>
      </c>
    </row>
    <row r="30">
      <c r="A30" t="inlineStr">
        <is>
          <t>EM000262</t>
        </is>
      </c>
      <c r="B30" t="inlineStr">
        <is>
          <t>ALLYSSON LAURENTINO DE MELO RAMOS</t>
        </is>
      </c>
      <c r="C30">
        <f>IFERROR(INDEX(DePara[Categoria],MATCH(TEXT(A30,"0"),DePara[Fornecedor_txt],0)),"(sem categoria)")</f>
        <v/>
      </c>
      <c r="D30">
        <f>COUNTIF(Base[Fornecedor],A30&amp;"")</f>
        <v/>
      </c>
      <c r="E30" s="12">
        <f>SUMIF(Base[Fornecedor],A30&amp;"",Base[Montante])</f>
        <v/>
      </c>
    </row>
    <row r="31">
      <c r="A31" t="inlineStr">
        <is>
          <t>EM000887</t>
        </is>
      </c>
      <c r="B31" t="inlineStr">
        <is>
          <t>WANDERLEY RODRIGUES DO BOMFIM JUNIOR</t>
        </is>
      </c>
      <c r="C31">
        <f>IFERROR(INDEX(DePara[Categoria],MATCH(TEXT(A31,"0"),DePara[Fornecedor_txt],0)),"(sem categoria)")</f>
        <v/>
      </c>
      <c r="D31">
        <f>COUNTIF(Base[Fornecedor],A31&amp;"")</f>
        <v/>
      </c>
      <c r="E31" s="12">
        <f>SUMIF(Base[Fornecedor],A31&amp;"",Base[Montante])</f>
        <v/>
      </c>
    </row>
    <row r="32">
      <c r="A32" t="inlineStr">
        <is>
          <t>EM000777</t>
        </is>
      </c>
      <c r="B32" t="inlineStr">
        <is>
          <t>LEONARDO CENTOAMORE</t>
        </is>
      </c>
      <c r="C32">
        <f>IFERROR(INDEX(DePara[Categoria],MATCH(TEXT(A32,"0"),DePara[Fornecedor_txt],0)),"(sem categoria)")</f>
        <v/>
      </c>
      <c r="D32">
        <f>COUNTIF(Base[Fornecedor],A32&amp;"")</f>
        <v/>
      </c>
      <c r="E32" s="12">
        <f>SUMIF(Base[Fornecedor],A32&amp;"",Base[Montante])</f>
        <v/>
      </c>
    </row>
    <row r="33">
      <c r="A33" t="inlineStr">
        <is>
          <t>EM000851</t>
        </is>
      </c>
      <c r="B33" t="inlineStr">
        <is>
          <t>SAULLO SILVA JANUARIO</t>
        </is>
      </c>
      <c r="C33">
        <f>IFERROR(INDEX(DePara[Categoria],MATCH(TEXT(A33,"0"),DePara[Fornecedor_txt],0)),"(sem categoria)")</f>
        <v/>
      </c>
      <c r="D33">
        <f>COUNTIF(Base[Fornecedor],A33&amp;"")</f>
        <v/>
      </c>
      <c r="E33" s="12">
        <f>SUMIF(Base[Fornecedor],A33&amp;"",Base[Montante])</f>
        <v/>
      </c>
    </row>
    <row r="34">
      <c r="A34" t="inlineStr">
        <is>
          <t>EM000010</t>
        </is>
      </c>
      <c r="B34" t="inlineStr">
        <is>
          <t>FABIANO DAYBSON DA SILVA CAMARA</t>
        </is>
      </c>
      <c r="C34">
        <f>IFERROR(INDEX(DePara[Categoria],MATCH(TEXT(A34,"0"),DePara[Fornecedor_txt],0)),"(sem categoria)")</f>
        <v/>
      </c>
      <c r="D34">
        <f>COUNTIF(Base[Fornecedor],A34&amp;"")</f>
        <v/>
      </c>
      <c r="E34" s="12">
        <f>SUMIF(Base[Fornecedor],A34&amp;"",Base[Montante])</f>
        <v/>
      </c>
    </row>
    <row r="35">
      <c r="A35" t="inlineStr">
        <is>
          <t>EM000783</t>
        </is>
      </c>
      <c r="B35" t="inlineStr">
        <is>
          <t>JEYSON DE OLIVEIRA BARROS</t>
        </is>
      </c>
      <c r="C35">
        <f>IFERROR(INDEX(DePara[Categoria],MATCH(TEXT(A35,"0"),DePara[Fornecedor_txt],0)),"(sem categoria)")</f>
        <v/>
      </c>
      <c r="D35">
        <f>COUNTIF(Base[Fornecedor],A35&amp;"")</f>
        <v/>
      </c>
      <c r="E35" s="12">
        <f>SUMIF(Base[Fornecedor],A35&amp;"",Base[Montante])</f>
        <v/>
      </c>
    </row>
    <row r="36">
      <c r="A36" t="inlineStr">
        <is>
          <t>EM000417</t>
        </is>
      </c>
      <c r="B36" t="inlineStr">
        <is>
          <t>VICTOR DOS SANTOS DE JESUS</t>
        </is>
      </c>
      <c r="C36">
        <f>IFERROR(INDEX(DePara[Categoria],MATCH(TEXT(A36,"0"),DePara[Fornecedor_txt],0)),"(sem categoria)")</f>
        <v/>
      </c>
      <c r="D36">
        <f>COUNTIF(Base[Fornecedor],A36&amp;"")</f>
        <v/>
      </c>
      <c r="E36" s="12">
        <f>SUMIF(Base[Fornecedor],A36&amp;"",Base[Montante])</f>
        <v/>
      </c>
    </row>
    <row r="37">
      <c r="A37" t="inlineStr">
        <is>
          <t>EM000561</t>
        </is>
      </c>
      <c r="B37" t="inlineStr">
        <is>
          <t>GEOVANE PASSOS LOPES</t>
        </is>
      </c>
      <c r="C37">
        <f>IFERROR(INDEX(DePara[Categoria],MATCH(TEXT(A37,"0"),DePara[Fornecedor_txt],0)),"(sem categoria)")</f>
        <v/>
      </c>
      <c r="D37">
        <f>COUNTIF(Base[Fornecedor],A37&amp;"")</f>
        <v/>
      </c>
      <c r="E37" s="12">
        <f>SUMIF(Base[Fornecedor],A37&amp;"",Base[Montante])</f>
        <v/>
      </c>
    </row>
    <row r="38">
      <c r="A38" t="inlineStr">
        <is>
          <t>EM000034</t>
        </is>
      </c>
      <c r="B38" t="inlineStr">
        <is>
          <t>WALLYSON HENRIQUE VIEIRA GALDINO</t>
        </is>
      </c>
      <c r="C38">
        <f>IFERROR(INDEX(DePara[Categoria],MATCH(TEXT(A38,"0"),DePara[Fornecedor_txt],0)),"(sem categoria)")</f>
        <v/>
      </c>
      <c r="D38">
        <f>COUNTIF(Base[Fornecedor],A38&amp;"")</f>
        <v/>
      </c>
      <c r="E38" s="12">
        <f>SUMIF(Base[Fornecedor],A38&amp;"",Base[Montante])</f>
        <v/>
      </c>
    </row>
    <row r="39">
      <c r="A39" t="inlineStr">
        <is>
          <t>EM000761</t>
        </is>
      </c>
      <c r="B39" t="inlineStr">
        <is>
          <t>YNDIANE CARVALHO DOURADO</t>
        </is>
      </c>
      <c r="C39">
        <f>IFERROR(INDEX(DePara[Categoria],MATCH(TEXT(A39,"0"),DePara[Fornecedor_txt],0)),"(sem categoria)")</f>
        <v/>
      </c>
      <c r="D39">
        <f>COUNTIF(Base[Fornecedor],A39&amp;"")</f>
        <v/>
      </c>
      <c r="E39" s="12">
        <f>SUMIF(Base[Fornecedor],A39&amp;"",Base[Montante])</f>
        <v/>
      </c>
    </row>
    <row r="40">
      <c r="A40" t="inlineStr">
        <is>
          <t>EM000955</t>
        </is>
      </c>
      <c r="B40" t="inlineStr">
        <is>
          <t>JOE MAGNI FREITAS SANTOS</t>
        </is>
      </c>
      <c r="C40">
        <f>IFERROR(INDEX(DePara[Categoria],MATCH(TEXT(A40,"0"),DePara[Fornecedor_txt],0)),"(sem categoria)")</f>
        <v/>
      </c>
      <c r="D40">
        <f>COUNTIF(Base[Fornecedor],A40&amp;"")</f>
        <v/>
      </c>
      <c r="E40" s="12">
        <f>SUMIF(Base[Fornecedor],A40&amp;"",Base[Montante])</f>
        <v/>
      </c>
    </row>
    <row r="41">
      <c r="A41" t="inlineStr">
        <is>
          <t>EM000365</t>
        </is>
      </c>
      <c r="B41" t="inlineStr">
        <is>
          <t>LUCIANA OLIVEIRA COSTA LOREDO</t>
        </is>
      </c>
      <c r="C41">
        <f>IFERROR(INDEX(DePara[Categoria],MATCH(TEXT(A41,"0"),DePara[Fornecedor_txt],0)),"(sem categoria)")</f>
        <v/>
      </c>
      <c r="D41">
        <f>COUNTIF(Base[Fornecedor],A41&amp;"")</f>
        <v/>
      </c>
      <c r="E41" s="12">
        <f>SUMIF(Base[Fornecedor],A41&amp;"",Base[Montante])</f>
        <v/>
      </c>
    </row>
    <row r="42">
      <c r="A42" t="inlineStr">
        <is>
          <t>EM003090</t>
        </is>
      </c>
      <c r="B42" t="inlineStr">
        <is>
          <t>VALQUIRIA STRAHLR DA SILVA</t>
        </is>
      </c>
      <c r="C42">
        <f>IFERROR(INDEX(DePara[Categoria],MATCH(TEXT(A42,"0"),DePara[Fornecedor_txt],0)),"(sem categoria)")</f>
        <v/>
      </c>
      <c r="D42">
        <f>COUNTIF(Base[Fornecedor],A42&amp;"")</f>
        <v/>
      </c>
      <c r="E42" s="12">
        <f>SUMIF(Base[Fornecedor],A42&amp;"",Base[Montante])</f>
        <v/>
      </c>
    </row>
    <row r="43">
      <c r="A43" t="n">
        <v>106430</v>
      </c>
      <c r="B43" t="inlineStr">
        <is>
          <t>HIDRAULICA CONSTRUCCION Y CONSERVAC SA</t>
        </is>
      </c>
      <c r="C43">
        <f>IFERROR(INDEX(DePara[Categoria],MATCH(TEXT(A43,"0"),DePara[Fornecedor_txt],0)),"(sem categoria)")</f>
        <v/>
      </c>
      <c r="D43">
        <f>COUNTIF(Base[Fornecedor],A43&amp;"")</f>
        <v/>
      </c>
      <c r="E43" s="12">
        <f>SUMIF(Base[Fornecedor],A43&amp;"",Base[Montante])</f>
        <v/>
      </c>
    </row>
    <row r="44">
      <c r="A44" t="n">
        <v>107793</v>
      </c>
      <c r="B44" t="inlineStr">
        <is>
          <t>RUDLOFF STRONGFORCE STRUCTURAL SYST L.L.C</t>
        </is>
      </c>
      <c r="C44">
        <f>IFERROR(INDEX(DePara[Categoria],MATCH(TEXT(A44,"0"),DePara[Fornecedor_txt],0)),"(sem categoria)")</f>
        <v/>
      </c>
      <c r="D44">
        <f>COUNTIF(Base[Fornecedor],A44&amp;"")</f>
        <v/>
      </c>
      <c r="E44" s="12">
        <f>SUMIF(Base[Fornecedor],A44&amp;"",Base[Montante])</f>
        <v/>
      </c>
    </row>
    <row r="45">
      <c r="A45" t="n">
        <v>100393</v>
      </c>
      <c r="B45" t="inlineStr">
        <is>
          <t>DISTRIBUIDORA DE PRODUCTOS DE ELEVA</t>
        </is>
      </c>
      <c r="C45">
        <f>IFERROR(INDEX(DePara[Categoria],MATCH(TEXT(A45,"0"),DePara[Fornecedor_txt],0)),"(sem categoria)")</f>
        <v/>
      </c>
      <c r="D45">
        <f>COUNTIF(Base[Fornecedor],A45&amp;"")</f>
        <v/>
      </c>
      <c r="E45" s="12">
        <f>SUMIF(Base[Fornecedor],A45&amp;"",Base[Montante])</f>
        <v/>
      </c>
    </row>
    <row r="46">
      <c r="A46" t="n">
        <v>100400</v>
      </c>
      <c r="B46" t="inlineStr">
        <is>
          <t>TECHNICAL UNIVERSITY OF DENMARK DTU</t>
        </is>
      </c>
      <c r="C46">
        <f>IFERROR(INDEX(DePara[Categoria],MATCH(TEXT(A46,"0"),DePara[Fornecedor_txt],0)),"(sem categoria)")</f>
        <v/>
      </c>
      <c r="D46">
        <f>COUNTIF(Base[Fornecedor],A46&amp;"")</f>
        <v/>
      </c>
      <c r="E46" s="12">
        <f>SUMIF(Base[Fornecedor],A46&amp;"",Base[Montante])</f>
        <v/>
      </c>
    </row>
    <row r="47">
      <c r="A47" t="n">
        <v>100908</v>
      </c>
      <c r="B47" t="inlineStr">
        <is>
          <t>Unimacts Global LLC</t>
        </is>
      </c>
      <c r="C47">
        <f>IFERROR(INDEX(DePara[Categoria],MATCH(TEXT(A47,"0"),DePara[Fornecedor_txt],0)),"(sem categoria)")</f>
        <v/>
      </c>
      <c r="D47">
        <f>COUNTIF(Base[Fornecedor],A47&amp;"")</f>
        <v/>
      </c>
      <c r="E47" s="12">
        <f>SUMIF(Base[Fornecedor],A47&amp;"",Base[Montante])</f>
        <v/>
      </c>
    </row>
    <row r="48">
      <c r="A48" t="n">
        <v>100973</v>
      </c>
      <c r="B48" t="inlineStr">
        <is>
          <t>MUNGI ENGINEERS PVT LTD</t>
        </is>
      </c>
      <c r="C48">
        <f>IFERROR(INDEX(DePara[Categoria],MATCH(TEXT(A48,"0"),DePara[Fornecedor_txt],0)),"(sem categoria)")</f>
        <v/>
      </c>
      <c r="D48">
        <f>COUNTIF(Base[Fornecedor],A48&amp;"")</f>
        <v/>
      </c>
      <c r="E48" s="12">
        <f>SUMIF(Base[Fornecedor],A48&amp;"",Base[Montante])</f>
        <v/>
      </c>
    </row>
    <row r="49">
      <c r="A49" t="n">
        <v>101937</v>
      </c>
      <c r="B49" t="inlineStr">
        <is>
          <t>ALONSO DOLDAN INGENIERIA Y SERVICIO</t>
        </is>
      </c>
      <c r="C49">
        <f>IFERROR(INDEX(DePara[Categoria],MATCH(TEXT(A49,"0"),DePara[Fornecedor_txt],0)),"(sem categoria)")</f>
        <v/>
      </c>
      <c r="D49">
        <f>COUNTIF(Base[Fornecedor],A49&amp;"")</f>
        <v/>
      </c>
      <c r="E49" s="12">
        <f>SUMIF(Base[Fornecedor],A49&amp;"",Base[Montante])</f>
        <v/>
      </c>
    </row>
    <row r="50">
      <c r="A50" t="n">
        <v>101271</v>
      </c>
      <c r="B50" t="inlineStr">
        <is>
          <t>UNYVERSE PTE LTD</t>
        </is>
      </c>
      <c r="C50">
        <f>IFERROR(INDEX(DePara[Categoria],MATCH(TEXT(A50,"0"),DePara[Fornecedor_txt],0)),"(sem categoria)")</f>
        <v/>
      </c>
      <c r="D50">
        <f>COUNTIF(Base[Fornecedor],A50&amp;"")</f>
        <v/>
      </c>
      <c r="E50" s="12">
        <f>SUMIF(Base[Fornecedor],A50&amp;"",Base[Montante])</f>
        <v/>
      </c>
    </row>
    <row r="51">
      <c r="A51" t="n">
        <v>103702</v>
      </c>
      <c r="B51" t="inlineStr">
        <is>
          <t>INTERNATIONAL CHAMBER OF COMMERCE</t>
        </is>
      </c>
      <c r="C51">
        <f>IFERROR(INDEX(DePara[Categoria],MATCH(TEXT(A51,"0"),DePara[Fornecedor_txt],0)),"(sem categoria)")</f>
        <v/>
      </c>
      <c r="D51">
        <f>COUNTIF(Base[Fornecedor],A51&amp;"")</f>
        <v/>
      </c>
      <c r="E51" s="12">
        <f>SUMIF(Base[Fornecedor],A51&amp;"",Base[Montante])</f>
        <v/>
      </c>
    </row>
    <row r="52">
      <c r="A52" t="n">
        <v>105667</v>
      </c>
      <c r="B52" t="inlineStr">
        <is>
          <t>TERMOPLAST PLASTIK ENJEKSIYON VE</t>
        </is>
      </c>
      <c r="C52">
        <f>IFERROR(INDEX(DePara[Categoria],MATCH(TEXT(A52,"0"),DePara[Fornecedor_txt],0)),"(sem categoria)")</f>
        <v/>
      </c>
      <c r="D52">
        <f>COUNTIF(Base[Fornecedor],A52&amp;"")</f>
        <v/>
      </c>
      <c r="E52" s="12">
        <f>SUMIF(Base[Fornecedor],A52&amp;"",Base[Montante])</f>
        <v/>
      </c>
    </row>
    <row r="53">
      <c r="A53" t="inlineStr">
        <is>
          <t>EM000012</t>
        </is>
      </c>
      <c r="B53" t="inlineStr">
        <is>
          <t>EDERSON GOMES XABIER BARBALHO</t>
        </is>
      </c>
      <c r="C53">
        <f>IFERROR(INDEX(DePara[Categoria],MATCH(TEXT(A53,"0"),DePara[Fornecedor_txt],0)),"(sem categoria)")</f>
        <v/>
      </c>
      <c r="D53">
        <f>COUNTIF(Base[Fornecedor],A53&amp;"")</f>
        <v/>
      </c>
      <c r="E53" s="12">
        <f>SUMIF(Base[Fornecedor],A53&amp;"",Base[Montante])</f>
        <v/>
      </c>
    </row>
    <row r="54">
      <c r="A54" t="n">
        <v>102074</v>
      </c>
      <c r="B54" t="inlineStr">
        <is>
          <t>TAGUS TEC SERVIÇOS TECNOLOGIA LTDA</t>
        </is>
      </c>
      <c r="C54">
        <f>IFERROR(INDEX(DePara[Categoria],MATCH(TEXT(A54,"0"),DePara[Fornecedor_txt],0)),"(sem categoria)")</f>
        <v/>
      </c>
      <c r="D54">
        <f>COUNTIF(Base[Fornecedor],A54&amp;"")</f>
        <v/>
      </c>
      <c r="E54" s="12">
        <f>SUMIF(Base[Fornecedor],A54&amp;"",Base[Montante])</f>
        <v/>
      </c>
    </row>
    <row r="55">
      <c r="A55" t="n">
        <v>100406</v>
      </c>
      <c r="B55" t="inlineStr">
        <is>
          <t>APS COMPONENTES ELETRICOS SA</t>
        </is>
      </c>
      <c r="C55">
        <f>IFERROR(INDEX(DePara[Categoria],MATCH(TEXT(A55,"0"),DePara[Fornecedor_txt],0)),"(sem categoria)")</f>
        <v/>
      </c>
      <c r="D55">
        <f>COUNTIF(Base[Fornecedor],A55&amp;"")</f>
        <v/>
      </c>
      <c r="E55" s="12">
        <f>SUMIF(Base[Fornecedor],A55&amp;"",Base[Montante])</f>
        <v/>
      </c>
    </row>
    <row r="56">
      <c r="A56" t="n">
        <v>101790</v>
      </c>
      <c r="B56" t="inlineStr">
        <is>
          <t>FERRAMENTAS GERAIS COM IMP DE FER E</t>
        </is>
      </c>
      <c r="C56">
        <f>IFERROR(INDEX(DePara[Categoria],MATCH(TEXT(A56,"0"),DePara[Fornecedor_txt],0)),"(sem categoria)")</f>
        <v/>
      </c>
      <c r="D56">
        <f>COUNTIF(Base[Fornecedor],A56&amp;"")</f>
        <v/>
      </c>
      <c r="E56" s="12">
        <f>SUMIF(Base[Fornecedor],A56&amp;"",Base[Montante])</f>
        <v/>
      </c>
    </row>
    <row r="57">
      <c r="A57" t="n">
        <v>101763</v>
      </c>
      <c r="B57" t="inlineStr">
        <is>
          <t>MUNICIPIO DE LAGOA DO BARRO DO PIAU</t>
        </is>
      </c>
      <c r="C57">
        <f>IFERROR(INDEX(DePara[Categoria],MATCH(TEXT(A57,"0"),DePara[Fornecedor_txt],0)),"(sem categoria)")</f>
        <v/>
      </c>
      <c r="D57">
        <f>COUNTIF(Base[Fornecedor],A57&amp;"")</f>
        <v/>
      </c>
      <c r="E57" s="12">
        <f>SUMIF(Base[Fornecedor],A57&amp;"",Base[Montante])</f>
        <v/>
      </c>
    </row>
    <row r="58">
      <c r="A58" t="n">
        <v>101888</v>
      </c>
      <c r="B58" t="inlineStr">
        <is>
          <t>BANCO SANTANDER BRASIL SA</t>
        </is>
      </c>
      <c r="C58">
        <f>IFERROR(INDEX(DePara[Categoria],MATCH(TEXT(A58,"0"),DePara[Fornecedor_txt],0)),"(sem categoria)")</f>
        <v/>
      </c>
      <c r="D58">
        <f>COUNTIF(Base[Fornecedor],A58&amp;"")</f>
        <v/>
      </c>
      <c r="E58" s="12">
        <f>SUMIF(Base[Fornecedor],A58&amp;"",Base[Montante])</f>
        <v/>
      </c>
    </row>
    <row r="59">
      <c r="A59" t="n">
        <v>102087</v>
      </c>
      <c r="B59" t="inlineStr">
        <is>
          <t>CAIXA ECONOMICA FEDERAL</t>
        </is>
      </c>
      <c r="C59">
        <f>IFERROR(INDEX(DePara[Categoria],MATCH(TEXT(A59,"0"),DePara[Fornecedor_txt],0)),"(sem categoria)")</f>
        <v/>
      </c>
      <c r="D59">
        <f>COUNTIF(Base[Fornecedor],A59&amp;"")</f>
        <v/>
      </c>
      <c r="E59" s="12">
        <f>SUMIF(Base[Fornecedor],A59&amp;"",Base[Montante])</f>
        <v/>
      </c>
    </row>
    <row r="60">
      <c r="A60" t="n">
        <v>104122</v>
      </c>
      <c r="B60" t="inlineStr">
        <is>
          <t>POLIMATEC MECANICA INDUSTRIAL LTDA 30108394000167</t>
        </is>
      </c>
      <c r="C60">
        <f>IFERROR(INDEX(DePara[Categoria],MATCH(TEXT(A60,"0"),DePara[Fornecedor_txt],0)),"(sem categoria)")</f>
        <v/>
      </c>
      <c r="D60">
        <f>COUNTIF(Base[Fornecedor],A60&amp;"")</f>
        <v/>
      </c>
      <c r="E60" s="12">
        <f>SUMIF(Base[Fornecedor],A60&amp;"",Base[Montante])</f>
        <v/>
      </c>
    </row>
    <row r="61">
      <c r="A61" t="n">
        <v>101358</v>
      </c>
      <c r="B61" t="inlineStr">
        <is>
          <t>MUNICIPIO DE LAJES</t>
        </is>
      </c>
      <c r="C61">
        <f>IFERROR(INDEX(DePara[Categoria],MATCH(TEXT(A61,"0"),DePara[Fornecedor_txt],0)),"(sem categoria)")</f>
        <v/>
      </c>
      <c r="D61">
        <f>COUNTIF(Base[Fornecedor],A61&amp;"")</f>
        <v/>
      </c>
      <c r="E61" s="12">
        <f>SUMIF(Base[Fornecedor],A61&amp;"",Base[Montante])</f>
        <v/>
      </c>
    </row>
    <row r="62">
      <c r="A62" t="n">
        <v>108019</v>
      </c>
      <c r="B62" t="inlineStr">
        <is>
          <t>GERSON PEDRO DOS SANTOS OLIVEIRA -M</t>
        </is>
      </c>
      <c r="C62">
        <f>IFERROR(INDEX(DePara[Categoria],MATCH(TEXT(A62,"0"),DePara[Fornecedor_txt],0)),"(sem categoria)")</f>
        <v/>
      </c>
      <c r="D62">
        <f>COUNTIF(Base[Fornecedor],A62&amp;"")</f>
        <v/>
      </c>
      <c r="E62" s="12">
        <f>SUMIF(Base[Fornecedor],A62&amp;"",Base[Montante])</f>
        <v/>
      </c>
    </row>
    <row r="63">
      <c r="A63" t="n">
        <v>108017</v>
      </c>
      <c r="B63" t="inlineStr">
        <is>
          <t>CARLOS DIAS DOS SANTOS</t>
        </is>
      </c>
      <c r="C63">
        <f>IFERROR(INDEX(DePara[Categoria],MATCH(TEXT(A63,"0"),DePara[Fornecedor_txt],0)),"(sem categoria)")</f>
        <v/>
      </c>
      <c r="D63">
        <f>COUNTIF(Base[Fornecedor],A63&amp;"")</f>
        <v/>
      </c>
      <c r="E63" s="12">
        <f>SUMIF(Base[Fornecedor],A63&amp;"",Base[Montante])</f>
        <v/>
      </c>
    </row>
    <row r="64">
      <c r="A64" t="n">
        <v>107632</v>
      </c>
      <c r="B64" t="inlineStr">
        <is>
          <t>PMI SOUTH AMERICA CONSUMER GOODS LT</t>
        </is>
      </c>
      <c r="C64">
        <f>IFERROR(INDEX(DePara[Categoria],MATCH(TEXT(A64,"0"),DePara[Fornecedor_txt],0)),"(sem categoria)")</f>
        <v/>
      </c>
      <c r="D64">
        <f>COUNTIF(Base[Fornecedor],A64&amp;"")</f>
        <v/>
      </c>
      <c r="E64" s="12">
        <f>SUMIF(Base[Fornecedor],A64&amp;"",Base[Montante])</f>
        <v/>
      </c>
    </row>
    <row r="65">
      <c r="A65" t="n">
        <v>100759</v>
      </c>
      <c r="B65" t="inlineStr">
        <is>
          <t>MUNICIPIO DE UIBAI</t>
        </is>
      </c>
      <c r="C65">
        <f>IFERROR(INDEX(DePara[Categoria],MATCH(TEXT(A65,"0"),DePara[Fornecedor_txt],0)),"(sem categoria)")</f>
        <v/>
      </c>
      <c r="D65">
        <f>COUNTIF(Base[Fornecedor],A65&amp;"")</f>
        <v/>
      </c>
      <c r="E65" s="12">
        <f>SUMIF(Base[Fornecedor],A65&amp;"",Base[Montante])</f>
        <v/>
      </c>
    </row>
    <row r="66">
      <c r="A66" t="n">
        <v>102008</v>
      </c>
      <c r="B66" t="inlineStr">
        <is>
          <t>MUNICIPIO DE ITAREMA</t>
        </is>
      </c>
      <c r="C66">
        <f>IFERROR(INDEX(DePara[Categoria],MATCH(TEXT(A66,"0"),DePara[Fornecedor_txt],0)),"(sem categoria)")</f>
        <v/>
      </c>
      <c r="D66">
        <f>COUNTIF(Base[Fornecedor],A66&amp;"")</f>
        <v/>
      </c>
      <c r="E66" s="12">
        <f>SUMIF(Base[Fornecedor],A66&amp;"",Base[Montante])</f>
        <v/>
      </c>
    </row>
    <row r="67">
      <c r="A67" t="n">
        <v>100833</v>
      </c>
      <c r="B67" t="inlineStr">
        <is>
          <t>MUNICIPIO DE JANDAIRA</t>
        </is>
      </c>
      <c r="C67">
        <f>IFERROR(INDEX(DePara[Categoria],MATCH(TEXT(A67,"0"),DePara[Fornecedor_txt],0)),"(sem categoria)")</f>
        <v/>
      </c>
      <c r="D67">
        <f>COUNTIF(Base[Fornecedor],A67&amp;"")</f>
        <v/>
      </c>
      <c r="E67" s="12">
        <f>SUMIF(Base[Fornecedor],A67&amp;"",Base[Montante])</f>
        <v/>
      </c>
    </row>
    <row r="68">
      <c r="A68" t="n">
        <v>101700</v>
      </c>
      <c r="B68" t="inlineStr">
        <is>
          <t>MUNICIPIO DE MULUNGU DO MORRO</t>
        </is>
      </c>
      <c r="C68">
        <f>IFERROR(INDEX(DePara[Categoria],MATCH(TEXT(A68,"0"),DePara[Fornecedor_txt],0)),"(sem categoria)")</f>
        <v/>
      </c>
      <c r="D68">
        <f>COUNTIF(Base[Fornecedor],A68&amp;"")</f>
        <v/>
      </c>
      <c r="E68" s="12">
        <f>SUMIF(Base[Fornecedor],A68&amp;"",Base[Montante])</f>
        <v/>
      </c>
    </row>
    <row r="69">
      <c r="A69" t="n">
        <v>102081</v>
      </c>
      <c r="B69" t="inlineStr">
        <is>
          <t>MUNICIPIO DE PALMARES DO SUL</t>
        </is>
      </c>
      <c r="C69">
        <f>IFERROR(INDEX(DePara[Categoria],MATCH(TEXT(A69,"0"),DePara[Fornecedor_txt],0)),"(sem categoria)")</f>
        <v/>
      </c>
      <c r="D69">
        <f>COUNTIF(Base[Fornecedor],A69&amp;"")</f>
        <v/>
      </c>
      <c r="E69" s="12">
        <f>SUMIF(Base[Fornecedor],A69&amp;"",Base[Montante])</f>
        <v/>
      </c>
    </row>
    <row r="70">
      <c r="A70" t="n">
        <v>101006</v>
      </c>
      <c r="B70" t="inlineStr">
        <is>
          <t>MUNICIPIO DE SAO BENTO DO NORTE</t>
        </is>
      </c>
      <c r="C70">
        <f>IFERROR(INDEX(DePara[Categoria],MATCH(TEXT(A70,"0"),DePara[Fornecedor_txt],0)),"(sem categoria)")</f>
        <v/>
      </c>
      <c r="D70">
        <f>COUNTIF(Base[Fornecedor],A70&amp;"")</f>
        <v/>
      </c>
      <c r="E70" s="12">
        <f>SUMIF(Base[Fornecedor],A70&amp;"",Base[Montante])</f>
        <v/>
      </c>
    </row>
    <row r="71">
      <c r="A71" t="n">
        <v>101746</v>
      </c>
      <c r="B71" t="inlineStr">
        <is>
          <t>SECRETARIA DA FAZENDA DO ESTADO DO</t>
        </is>
      </c>
      <c r="C71">
        <f>IFERROR(INDEX(DePara[Categoria],MATCH(TEXT(A71,"0"),DePara[Fornecedor_txt],0)),"(sem categoria)")</f>
        <v/>
      </c>
      <c r="D71">
        <f>COUNTIF(Base[Fornecedor],A71&amp;"")</f>
        <v/>
      </c>
      <c r="E71" s="12">
        <f>SUMIF(Base[Fornecedor],A71&amp;"",Base[Montante])</f>
        <v/>
      </c>
    </row>
    <row r="72">
      <c r="A72" t="n">
        <v>101918</v>
      </c>
      <c r="B72" t="inlineStr">
        <is>
          <t>MUNICIPIO DE AREIA BRANCA</t>
        </is>
      </c>
      <c r="C72">
        <f>IFERROR(INDEX(DePara[Categoria],MATCH(TEXT(A72,"0"),DePara[Fornecedor_txt],0)),"(sem categoria)")</f>
        <v/>
      </c>
      <c r="D72">
        <f>COUNTIF(Base[Fornecedor],A72&amp;"")</f>
        <v/>
      </c>
      <c r="E72" s="12">
        <f>SUMIF(Base[Fornecedor],A72&amp;"",Base[Montante])</f>
        <v/>
      </c>
    </row>
    <row r="73">
      <c r="A73" t="n">
        <v>101998</v>
      </c>
      <c r="B73" t="inlineStr">
        <is>
          <t>MUNICIPIO DE SERRA DO MEL</t>
        </is>
      </c>
      <c r="C73">
        <f>IFERROR(INDEX(DePara[Categoria],MATCH(TEXT(A73,"0"),DePara[Fornecedor_txt],0)),"(sem categoria)")</f>
        <v/>
      </c>
      <c r="D73">
        <f>COUNTIF(Base[Fornecedor],A73&amp;"")</f>
        <v/>
      </c>
      <c r="E73" s="12">
        <f>SUMIF(Base[Fornecedor],A73&amp;"",Base[Montante])</f>
        <v/>
      </c>
    </row>
    <row r="74">
      <c r="A74" t="n">
        <v>107877</v>
      </c>
      <c r="B74" t="inlineStr">
        <is>
          <t>COTECH IRM SERVICES LTDA</t>
        </is>
      </c>
      <c r="C74">
        <f>IFERROR(INDEX(DePara[Categoria],MATCH(TEXT(A74,"0"),DePara[Fornecedor_txt],0)),"(sem categoria)")</f>
        <v/>
      </c>
      <c r="D74">
        <f>COUNTIF(Base[Fornecedor],A74&amp;"")</f>
        <v/>
      </c>
      <c r="E74" s="12">
        <f>SUMIF(Base[Fornecedor],A74&amp;"",Base[Montante])</f>
        <v/>
      </c>
    </row>
    <row r="75">
      <c r="A75" t="n">
        <v>101334</v>
      </c>
      <c r="B75" t="inlineStr">
        <is>
          <t>ABRILSAN ASSES EM CART DE PROT LTDA</t>
        </is>
      </c>
      <c r="C75">
        <f>IFERROR(INDEX(DePara[Categoria],MATCH(TEXT(A75,"0"),DePara[Fornecedor_txt],0)),"(sem categoria)")</f>
        <v/>
      </c>
      <c r="D75">
        <f>COUNTIF(Base[Fornecedor],A75&amp;"")</f>
        <v/>
      </c>
      <c r="E75" s="12">
        <f>SUMIF(Base[Fornecedor],A75&amp;"",Base[Montante])</f>
        <v/>
      </c>
    </row>
    <row r="76">
      <c r="A76" t="n">
        <v>101560</v>
      </c>
      <c r="B76" t="inlineStr">
        <is>
          <t>SINDICATO DOS DESPACHANTES ADUANEIR DE SAO PAULO SINDASP</t>
        </is>
      </c>
      <c r="C76">
        <f>IFERROR(INDEX(DePara[Categoria],MATCH(TEXT(A76,"0"),DePara[Fornecedor_txt],0)),"(sem categoria)")</f>
        <v/>
      </c>
      <c r="D76">
        <f>COUNTIF(Base[Fornecedor],A76&amp;"")</f>
        <v/>
      </c>
      <c r="E76" s="12">
        <f>SUMIF(Base[Fornecedor],A76&amp;"",Base[Montante])</f>
        <v/>
      </c>
    </row>
    <row r="77">
      <c r="A77" t="n">
        <v>104064</v>
      </c>
      <c r="B77" t="inlineStr">
        <is>
          <t>TRANSPORTES PESADOS MINAS S A 17215039000633</t>
        </is>
      </c>
      <c r="C77">
        <f>IFERROR(INDEX(DePara[Categoria],MATCH(TEXT(A77,"0"),DePara[Fornecedor_txt],0)),"(sem categoria)")</f>
        <v/>
      </c>
      <c r="D77">
        <f>COUNTIF(Base[Fornecedor],A77&amp;"")</f>
        <v/>
      </c>
      <c r="E77" s="12">
        <f>SUMIF(Base[Fornecedor],A77&amp;"",Base[Montante])</f>
        <v/>
      </c>
    </row>
    <row r="78">
      <c r="A78" t="n">
        <v>102071</v>
      </c>
      <c r="B78" t="inlineStr">
        <is>
          <t>HINE DO BRASIL IND E COM HIDR E PN</t>
        </is>
      </c>
      <c r="C78">
        <f>IFERROR(INDEX(DePara[Categoria],MATCH(TEXT(A78,"0"),DePara[Fornecedor_txt],0)),"(sem categoria)")</f>
        <v/>
      </c>
      <c r="D78">
        <f>COUNTIF(Base[Fornecedor],A78&amp;"")</f>
        <v/>
      </c>
      <c r="E78" s="12">
        <f>SUMIF(Base[Fornecedor],A78&amp;"",Base[Montante])</f>
        <v/>
      </c>
    </row>
    <row r="79">
      <c r="A79" t="n">
        <v>101463</v>
      </c>
      <c r="B79" t="inlineStr">
        <is>
          <t>ZURICH MINAS BRASIL SEGUROS S A</t>
        </is>
      </c>
      <c r="C79">
        <f>IFERROR(INDEX(DePara[Categoria],MATCH(TEXT(A79,"0"),DePara[Fornecedor_txt],0)),"(sem categoria)")</f>
        <v/>
      </c>
      <c r="D79">
        <f>COUNTIF(Base[Fornecedor],A79&amp;"")</f>
        <v/>
      </c>
      <c r="E79" s="12">
        <f>SUMIF(Base[Fornecedor],A79&amp;"",Base[Montante])</f>
        <v/>
      </c>
    </row>
    <row r="80">
      <c r="A80" t="n">
        <v>102113</v>
      </c>
      <c r="B80" t="inlineStr">
        <is>
          <t>3Z MOVIMENTACAO INTELIGENTE LTDA 94772233000237</t>
        </is>
      </c>
      <c r="C80">
        <f>IFERROR(INDEX(DePara[Categoria],MATCH(TEXT(A80,"0"),DePara[Fornecedor_txt],0)),"(sem categoria)")</f>
        <v/>
      </c>
      <c r="D80">
        <f>COUNTIF(Base[Fornecedor],A80&amp;"")</f>
        <v/>
      </c>
      <c r="E80" s="12">
        <f>SUMIF(Base[Fornecedor],A80&amp;"",Base[Montante])</f>
        <v/>
      </c>
    </row>
    <row r="81">
      <c r="A81" t="n">
        <v>101535</v>
      </c>
      <c r="B81" t="inlineStr">
        <is>
          <t>TRANSPORTES PESADOS MINAS SA 17215039001796</t>
        </is>
      </c>
      <c r="C81">
        <f>IFERROR(INDEX(DePara[Categoria],MATCH(TEXT(A81,"0"),DePara[Fornecedor_txt],0)),"(sem categoria)")</f>
        <v/>
      </c>
      <c r="D81">
        <f>COUNTIF(Base[Fornecedor],A81&amp;"")</f>
        <v/>
      </c>
      <c r="E81" s="12">
        <f>SUMIF(Base[Fornecedor],A81&amp;"",Base[Montante])</f>
        <v/>
      </c>
    </row>
    <row r="82">
      <c r="A82" t="n">
        <v>102105</v>
      </c>
      <c r="B82" t="inlineStr">
        <is>
          <t>THOMSON REUTERS BRASIL C T LTDA</t>
        </is>
      </c>
      <c r="C82">
        <f>IFERROR(INDEX(DePara[Categoria],MATCH(TEXT(A82,"0"),DePara[Fornecedor_txt],0)),"(sem categoria)")</f>
        <v/>
      </c>
      <c r="D82">
        <f>COUNTIF(Base[Fornecedor],A82&amp;"")</f>
        <v/>
      </c>
      <c r="E82" s="12">
        <f>SUMIF(Base[Fornecedor],A82&amp;"",Base[Montante])</f>
        <v/>
      </c>
    </row>
    <row r="83">
      <c r="A83" t="n">
        <v>100621</v>
      </c>
      <c r="B83" t="inlineStr">
        <is>
          <t>CALTER ENGENHARIA LTDA</t>
        </is>
      </c>
      <c r="C83">
        <f>IFERROR(INDEX(DePara[Categoria],MATCH(TEXT(A83,"0"),DePara[Fornecedor_txt],0)),"(sem categoria)")</f>
        <v/>
      </c>
      <c r="D83">
        <f>COUNTIF(Base[Fornecedor],A83&amp;"")</f>
        <v/>
      </c>
      <c r="E83" s="12">
        <f>SUMIF(Base[Fornecedor],A83&amp;"",Base[Montante])</f>
        <v/>
      </c>
    </row>
    <row r="84">
      <c r="A84" t="n">
        <v>101333</v>
      </c>
      <c r="B84" t="inlineStr">
        <is>
          <t>CONCESSIONARIA DO AEROPORTO DE SALV</t>
        </is>
      </c>
      <c r="C84">
        <f>IFERROR(INDEX(DePara[Categoria],MATCH(TEXT(A84,"0"),DePara[Fornecedor_txt],0)),"(sem categoria)")</f>
        <v/>
      </c>
      <c r="D84">
        <f>COUNTIF(Base[Fornecedor],A84&amp;"")</f>
        <v/>
      </c>
      <c r="E84" s="12">
        <f>SUMIF(Base[Fornecedor],A84&amp;"",Base[Montante])</f>
        <v/>
      </c>
    </row>
    <row r="85">
      <c r="A85" t="n">
        <v>101331</v>
      </c>
      <c r="B85" t="inlineStr">
        <is>
          <t>GEODIS GERENCI DE FRETES DO BRASIL</t>
        </is>
      </c>
      <c r="C85">
        <f>IFERROR(INDEX(DePara[Categoria],MATCH(TEXT(A85,"0"),DePara[Fornecedor_txt],0)),"(sem categoria)")</f>
        <v/>
      </c>
      <c r="D85">
        <f>COUNTIF(Base[Fornecedor],A85&amp;"")</f>
        <v/>
      </c>
      <c r="E85" s="12">
        <f>SUMIF(Base[Fornecedor],A85&amp;"",Base[Montante])</f>
        <v/>
      </c>
    </row>
    <row r="86">
      <c r="A86" t="n">
        <v>102011</v>
      </c>
      <c r="B86" t="inlineStr">
        <is>
          <t>COMPANHIA D COMPLEXO I P PECEM C SA</t>
        </is>
      </c>
      <c r="C86">
        <f>IFERROR(INDEX(DePara[Categoria],MATCH(TEXT(A86,"0"),DePara[Fornecedor_txt],0)),"(sem categoria)")</f>
        <v/>
      </c>
      <c r="D86">
        <f>COUNTIF(Base[Fornecedor],A86&amp;"")</f>
        <v/>
      </c>
      <c r="E86" s="12">
        <f>SUMIF(Base[Fornecedor],A86&amp;"",Base[Montante])</f>
        <v/>
      </c>
    </row>
    <row r="87">
      <c r="A87" t="n">
        <v>101569</v>
      </c>
      <c r="B87" t="inlineStr">
        <is>
          <t>SECRETARIA DA FAZENDA CEARA</t>
        </is>
      </c>
      <c r="C87">
        <f>IFERROR(INDEX(DePara[Categoria],MATCH(TEXT(A87,"0"),DePara[Fornecedor_txt],0)),"(sem categoria)")</f>
        <v/>
      </c>
      <c r="D87">
        <f>COUNTIF(Base[Fornecedor],A87&amp;"")</f>
        <v/>
      </c>
      <c r="E87" s="12">
        <f>SUMIF(Base[Fornecedor],A87&amp;"",Base[Montante])</f>
        <v/>
      </c>
    </row>
    <row r="88">
      <c r="A88" t="n">
        <v>100396</v>
      </c>
      <c r="B88" t="inlineStr">
        <is>
          <t>DISTRIBUI LOGISTICA LTDA 03592033000166</t>
        </is>
      </c>
      <c r="C88">
        <f>IFERROR(INDEX(DePara[Categoria],MATCH(TEXT(A88,"0"),DePara[Fornecedor_txt],0)),"(sem categoria)")</f>
        <v/>
      </c>
      <c r="D88">
        <f>COUNTIF(Base[Fornecedor],A88&amp;"")</f>
        <v/>
      </c>
      <c r="E88" s="12">
        <f>SUMIF(Base[Fornecedor],A88&amp;"",Base[Montante])</f>
        <v/>
      </c>
    </row>
    <row r="89">
      <c r="A89" t="n">
        <v>101018</v>
      </c>
      <c r="B89" t="inlineStr">
        <is>
          <t>CELMAR COMERCIAL E IMPORTADORA LIMI</t>
        </is>
      </c>
      <c r="C89">
        <f>IFERROR(INDEX(DePara[Categoria],MATCH(TEXT(A89,"0"),DePara[Fornecedor_txt],0)),"(sem categoria)")</f>
        <v/>
      </c>
      <c r="D89">
        <f>COUNTIF(Base[Fornecedor],A89&amp;"")</f>
        <v/>
      </c>
      <c r="E89" s="12">
        <f>SUMIF(Base[Fornecedor],A89&amp;"",Base[Montante])</f>
        <v/>
      </c>
    </row>
    <row r="90">
      <c r="A90" t="n">
        <v>102060</v>
      </c>
      <c r="B90" t="inlineStr">
        <is>
          <t>INGETEAM LTDA 03306629000152</t>
        </is>
      </c>
      <c r="C90">
        <f>IFERROR(INDEX(DePara[Categoria],MATCH(TEXT(A90,"0"),DePara[Fornecedor_txt],0)),"(sem categoria)")</f>
        <v/>
      </c>
      <c r="D90">
        <f>COUNTIF(Base[Fornecedor],A90&amp;"")</f>
        <v/>
      </c>
      <c r="E90" s="12">
        <f>SUMIF(Base[Fornecedor],A90&amp;"",Base[Montante])</f>
        <v/>
      </c>
    </row>
    <row r="91">
      <c r="A91" t="n">
        <v>101826</v>
      </c>
      <c r="B91" t="inlineStr">
        <is>
          <t>BUNZL EQUIP DE PROTECÃO INDIVIDUAL</t>
        </is>
      </c>
      <c r="C91">
        <f>IFERROR(INDEX(DePara[Categoria],MATCH(TEXT(A91,"0"),DePara[Fornecedor_txt],0)),"(sem categoria)")</f>
        <v/>
      </c>
      <c r="D91">
        <f>COUNTIF(Base[Fornecedor],A91&amp;"")</f>
        <v/>
      </c>
      <c r="E91" s="12">
        <f>SUMIF(Base[Fornecedor],A91&amp;"",Base[Montante])</f>
        <v/>
      </c>
    </row>
    <row r="92">
      <c r="A92" t="n">
        <v>103805</v>
      </c>
      <c r="B92" t="inlineStr">
        <is>
          <t>NUMEN IT SOLUCOES EM TECNOLOGIA LTD</t>
        </is>
      </c>
      <c r="C92">
        <f>IFERROR(INDEX(DePara[Categoria],MATCH(TEXT(A92,"0"),DePara[Fornecedor_txt],0)),"(sem categoria)")</f>
        <v/>
      </c>
      <c r="D92">
        <f>COUNTIF(Base[Fornecedor],A92&amp;"")</f>
        <v/>
      </c>
      <c r="E92" s="12">
        <f>SUMIF(Base[Fornecedor],A92&amp;"",Base[Montante])</f>
        <v/>
      </c>
    </row>
    <row r="93">
      <c r="A93" t="n">
        <v>107626</v>
      </c>
      <c r="B93" t="inlineStr">
        <is>
          <t>DELTHA SERVICOS LTDA</t>
        </is>
      </c>
      <c r="C93">
        <f>IFERROR(INDEX(DePara[Categoria],MATCH(TEXT(A93,"0"),DePara[Fornecedor_txt],0)),"(sem categoria)")</f>
        <v/>
      </c>
      <c r="D93">
        <f>COUNTIF(Base[Fornecedor],A93&amp;"")</f>
        <v/>
      </c>
      <c r="E93" s="12">
        <f>SUMIF(Base[Fornecedor],A93&amp;"",Base[Montante])</f>
        <v/>
      </c>
    </row>
    <row r="94">
      <c r="A94" t="n">
        <v>101400</v>
      </c>
      <c r="B94" t="inlineStr">
        <is>
          <t>I. V. TRANSPORTES E LOCAÇÕES LTDA</t>
        </is>
      </c>
      <c r="C94">
        <f>IFERROR(INDEX(DePara[Categoria],MATCH(TEXT(A94,"0"),DePara[Fornecedor_txt],0)),"(sem categoria)")</f>
        <v/>
      </c>
      <c r="D94">
        <f>COUNTIF(Base[Fornecedor],A94&amp;"")</f>
        <v/>
      </c>
      <c r="E94" s="12">
        <f>SUMIF(Base[Fornecedor],A94&amp;"",Base[Montante])</f>
        <v/>
      </c>
    </row>
    <row r="95">
      <c r="A95" t="n">
        <v>101420</v>
      </c>
      <c r="B95" t="inlineStr">
        <is>
          <t>MEDEIROS GALVAO SOLUÇÕES LTDA</t>
        </is>
      </c>
      <c r="C95">
        <f>IFERROR(INDEX(DePara[Categoria],MATCH(TEXT(A95,"0"),DePara[Fornecedor_txt],0)),"(sem categoria)")</f>
        <v/>
      </c>
      <c r="D95">
        <f>COUNTIF(Base[Fornecedor],A95&amp;"")</f>
        <v/>
      </c>
      <c r="E95" s="12">
        <f>SUMIF(Base[Fornecedor],A95&amp;"",Base[Montante])</f>
        <v/>
      </c>
    </row>
    <row r="96">
      <c r="A96" t="n">
        <v>103999</v>
      </c>
      <c r="B96" t="inlineStr">
        <is>
          <t>TECNOCON SOLUCOES PARA ENERGIAS REN</t>
        </is>
      </c>
      <c r="C96">
        <f>IFERROR(INDEX(DePara[Categoria],MATCH(TEXT(A96,"0"),DePara[Fornecedor_txt],0)),"(sem categoria)")</f>
        <v/>
      </c>
      <c r="D96">
        <f>COUNTIF(Base[Fornecedor],A96&amp;"")</f>
        <v/>
      </c>
      <c r="E96" s="12">
        <f>SUMIF(Base[Fornecedor],A96&amp;"",Base[Montante])</f>
        <v/>
      </c>
    </row>
    <row r="97">
      <c r="A97" t="n">
        <v>101645</v>
      </c>
      <c r="B97" t="inlineStr">
        <is>
          <t>LUITEX MAQUINAS E FERRAMENTAS LTDA</t>
        </is>
      </c>
      <c r="C97">
        <f>IFERROR(INDEX(DePara[Categoria],MATCH(TEXT(A97,"0"),DePara[Fornecedor_txt],0)),"(sem categoria)")</f>
        <v/>
      </c>
      <c r="D97">
        <f>COUNTIF(Base[Fornecedor],A97&amp;"")</f>
        <v/>
      </c>
      <c r="E97" s="12">
        <f>SUMIF(Base[Fornecedor],A97&amp;"",Base[Montante])</f>
        <v/>
      </c>
    </row>
    <row r="98">
      <c r="A98" t="n">
        <v>104050</v>
      </c>
      <c r="B98" t="inlineStr">
        <is>
          <t>DEFENSY SEGURANCA E SERVICOS LTDA 49758078000169</t>
        </is>
      </c>
      <c r="C98">
        <f>IFERROR(INDEX(DePara[Categoria],MATCH(TEXT(A98,"0"),DePara[Fornecedor_txt],0)),"(sem categoria)")</f>
        <v/>
      </c>
      <c r="D98">
        <f>COUNTIF(Base[Fornecedor],A98&amp;"")</f>
        <v/>
      </c>
      <c r="E98" s="12">
        <f>SUMIF(Base[Fornecedor],A98&amp;"",Base[Montante])</f>
        <v/>
      </c>
    </row>
    <row r="99">
      <c r="A99" t="n">
        <v>101929</v>
      </c>
      <c r="B99" t="inlineStr">
        <is>
          <t>TECNOFIX INDUSTRIA E COMERCIO DE PA</t>
        </is>
      </c>
      <c r="C99">
        <f>IFERROR(INDEX(DePara[Categoria],MATCH(TEXT(A99,"0"),DePara[Fornecedor_txt],0)),"(sem categoria)")</f>
        <v/>
      </c>
      <c r="D99">
        <f>COUNTIF(Base[Fornecedor],A99&amp;"")</f>
        <v/>
      </c>
      <c r="E99" s="12">
        <f>SUMIF(Base[Fornecedor],A99&amp;"",Base[Montante])</f>
        <v/>
      </c>
    </row>
    <row r="100">
      <c r="A100" t="n">
        <v>100379</v>
      </c>
      <c r="B100" t="inlineStr">
        <is>
          <t>RAK LOG TRANSPORTES E LOGISTICA EIR</t>
        </is>
      </c>
      <c r="C100">
        <f>IFERROR(INDEX(DePara[Categoria],MATCH(TEXT(A100,"0"),DePara[Fornecedor_txt],0)),"(sem categoria)")</f>
        <v/>
      </c>
      <c r="D100">
        <f>COUNTIF(Base[Fornecedor],A100&amp;"")</f>
        <v/>
      </c>
      <c r="E100" s="12">
        <f>SUMIF(Base[Fornecedor],A100&amp;"",Base[Montante])</f>
        <v/>
      </c>
    </row>
    <row r="101">
      <c r="A101" t="n">
        <v>100867</v>
      </c>
      <c r="B101" t="inlineStr">
        <is>
          <t>CSA - CASE SOLUCOES AMBIENTAIS LTDA</t>
        </is>
      </c>
      <c r="C101">
        <f>IFERROR(INDEX(DePara[Categoria],MATCH(TEXT(A101,"0"),DePara[Fornecedor_txt],0)),"(sem categoria)")</f>
        <v/>
      </c>
      <c r="D101">
        <f>COUNTIF(Base[Fornecedor],A101&amp;"")</f>
        <v/>
      </c>
      <c r="E101" s="12">
        <f>SUMIF(Base[Fornecedor],A101&amp;"",Base[Montante])</f>
        <v/>
      </c>
    </row>
    <row r="102">
      <c r="A102" t="n">
        <v>101887</v>
      </c>
      <c r="B102" t="inlineStr">
        <is>
          <t>MGO DE FREITAS</t>
        </is>
      </c>
      <c r="C102">
        <f>IFERROR(INDEX(DePara[Categoria],MATCH(TEXT(A102,"0"),DePara[Fornecedor_txt],0)),"(sem categoria)")</f>
        <v/>
      </c>
      <c r="D102">
        <f>COUNTIF(Base[Fornecedor],A102&amp;"")</f>
        <v/>
      </c>
      <c r="E102" s="12">
        <f>SUMIF(Base[Fornecedor],A102&amp;"",Base[Montante])</f>
        <v/>
      </c>
    </row>
    <row r="103">
      <c r="A103" t="n">
        <v>100883</v>
      </c>
      <c r="B103" t="inlineStr">
        <is>
          <t>QUELMAR TRANSPORTES LTDA</t>
        </is>
      </c>
      <c r="C103">
        <f>IFERROR(INDEX(DePara[Categoria],MATCH(TEXT(A103,"0"),DePara[Fornecedor_txt],0)),"(sem categoria)")</f>
        <v/>
      </c>
      <c r="D103">
        <f>COUNTIF(Base[Fornecedor],A103&amp;"")</f>
        <v/>
      </c>
      <c r="E103" s="12">
        <f>SUMIF(Base[Fornecedor],A103&amp;"",Base[Montante])</f>
        <v/>
      </c>
    </row>
    <row r="104">
      <c r="A104" t="n">
        <v>101576</v>
      </c>
      <c r="B104" t="inlineStr">
        <is>
          <t>CLARO S.A</t>
        </is>
      </c>
      <c r="C104">
        <f>IFERROR(INDEX(DePara[Categoria],MATCH(TEXT(A104,"0"),DePara[Fornecedor_txt],0)),"(sem categoria)")</f>
        <v/>
      </c>
      <c r="D104">
        <f>COUNTIF(Base[Fornecedor],A104&amp;"")</f>
        <v/>
      </c>
      <c r="E104" s="12">
        <f>SUMIF(Base[Fornecedor],A104&amp;"",Base[Montante])</f>
        <v/>
      </c>
    </row>
    <row r="105">
      <c r="A105" t="n">
        <v>100031</v>
      </c>
      <c r="B105" t="inlineStr">
        <is>
          <t>MEGAWIND INDUSTRIA E COMERCIO</t>
        </is>
      </c>
      <c r="C105">
        <f>IFERROR(INDEX(DePara[Categoria],MATCH(TEXT(A105,"0"),DePara[Fornecedor_txt],0)),"(sem categoria)")</f>
        <v/>
      </c>
      <c r="D105">
        <f>COUNTIF(Base[Fornecedor],A105&amp;"")</f>
        <v/>
      </c>
      <c r="E105" s="12">
        <f>SUMIF(Base[Fornecedor],A105&amp;"",Base[Montante])</f>
        <v/>
      </c>
    </row>
    <row r="106">
      <c r="A106" t="n">
        <v>100773</v>
      </c>
      <c r="B106" t="inlineStr">
        <is>
          <t>G WIND SOLUCOES EOLICAS LTDA</t>
        </is>
      </c>
      <c r="C106">
        <f>IFERROR(INDEX(DePara[Categoria],MATCH(TEXT(A106,"0"),DePara[Fornecedor_txt],0)),"(sem categoria)")</f>
        <v/>
      </c>
      <c r="D106">
        <f>COUNTIF(Base[Fornecedor],A106&amp;"")</f>
        <v/>
      </c>
      <c r="E106" s="12">
        <f>SUMIF(Base[Fornecedor],A106&amp;"",Base[Montante])</f>
        <v/>
      </c>
    </row>
    <row r="107">
      <c r="A107" t="n">
        <v>104143</v>
      </c>
      <c r="B107" t="inlineStr">
        <is>
          <t>H K ABDOUNI INSPECOES LTDA 10620234000195</t>
        </is>
      </c>
      <c r="C107">
        <f>IFERROR(INDEX(DePara[Categoria],MATCH(TEXT(A107,"0"),DePara[Fornecedor_txt],0)),"(sem categoria)")</f>
        <v/>
      </c>
      <c r="D107">
        <f>COUNTIF(Base[Fornecedor],A107&amp;"")</f>
        <v/>
      </c>
      <c r="E107" s="12">
        <f>SUMIF(Base[Fornecedor],A107&amp;"",Base[Montante])</f>
        <v/>
      </c>
    </row>
    <row r="108">
      <c r="A108" t="n">
        <v>103936</v>
      </c>
      <c r="B108" t="inlineStr">
        <is>
          <t>BELA VISTA RENOVAVEIS II LTDA</t>
        </is>
      </c>
      <c r="C108">
        <f>IFERROR(INDEX(DePara[Categoria],MATCH(TEXT(A108,"0"),DePara[Fornecedor_txt],0)),"(sem categoria)")</f>
        <v/>
      </c>
      <c r="D108">
        <f>COUNTIF(Base[Fornecedor],A108&amp;"")</f>
        <v/>
      </c>
      <c r="E108" s="12">
        <f>SUMIF(Base[Fornecedor],A108&amp;"",Base[Montante])</f>
        <v/>
      </c>
    </row>
    <row r="109">
      <c r="A109" t="n">
        <v>101913</v>
      </c>
      <c r="B109" t="inlineStr">
        <is>
          <t>ELETRO TECNICA INTERLAGOS IND E COM</t>
        </is>
      </c>
      <c r="C109">
        <f>IFERROR(INDEX(DePara[Categoria],MATCH(TEXT(A109,"0"),DePara[Fornecedor_txt],0)),"(sem categoria)")</f>
        <v/>
      </c>
      <c r="D109">
        <f>COUNTIF(Base[Fornecedor],A109&amp;"")</f>
        <v/>
      </c>
      <c r="E109" s="12">
        <f>SUMIF(Base[Fornecedor],A109&amp;"",Base[Montante])</f>
        <v/>
      </c>
    </row>
    <row r="110">
      <c r="A110" t="n">
        <v>101911</v>
      </c>
      <c r="B110" t="inlineStr">
        <is>
          <t>INTERLAGOS SERVICE MOTORES LTDA  ME</t>
        </is>
      </c>
      <c r="C110">
        <f>IFERROR(INDEX(DePara[Categoria],MATCH(TEXT(A110,"0"),DePara[Fornecedor_txt],0)),"(sem categoria)")</f>
        <v/>
      </c>
      <c r="D110">
        <f>COUNTIF(Base[Fornecedor],A110&amp;"")</f>
        <v/>
      </c>
      <c r="E110" s="12">
        <f>SUMIF(Base[Fornecedor],A110&amp;"",Base[Montante])</f>
        <v/>
      </c>
    </row>
    <row r="111">
      <c r="A111" t="n">
        <v>102052</v>
      </c>
      <c r="B111" t="inlineStr">
        <is>
          <t>TOME EQUIPAMENTOS E TRANSPORTES LTD 44384832000124</t>
        </is>
      </c>
      <c r="C111">
        <f>IFERROR(INDEX(DePara[Categoria],MATCH(TEXT(A111,"0"),DePara[Fornecedor_txt],0)),"(sem categoria)")</f>
        <v/>
      </c>
      <c r="D111">
        <f>COUNTIF(Base[Fornecedor],A111&amp;"")</f>
        <v/>
      </c>
      <c r="E111" s="12">
        <f>SUMIF(Base[Fornecedor],A111&amp;"",Base[Montante])</f>
        <v/>
      </c>
    </row>
    <row r="112">
      <c r="A112" t="n">
        <v>102017</v>
      </c>
      <c r="B112" t="inlineStr">
        <is>
          <t>GLOBO COMERCIO DE MAQUINAS E FERRAM</t>
        </is>
      </c>
      <c r="C112">
        <f>IFERROR(INDEX(DePara[Categoria],MATCH(TEXT(A112,"0"),DePara[Fornecedor_txt],0)),"(sem categoria)")</f>
        <v/>
      </c>
      <c r="D112">
        <f>COUNTIF(Base[Fornecedor],A112&amp;"")</f>
        <v/>
      </c>
      <c r="E112" s="12">
        <f>SUMIF(Base[Fornecedor],A112&amp;"",Base[Montante])</f>
        <v/>
      </c>
    </row>
    <row r="113">
      <c r="A113" t="n">
        <v>101907</v>
      </c>
      <c r="B113" t="inlineStr">
        <is>
          <t>F H F DE LIMA</t>
        </is>
      </c>
      <c r="C113">
        <f>IFERROR(INDEX(DePara[Categoria],MATCH(TEXT(A113,"0"),DePara[Fornecedor_txt],0)),"(sem categoria)")</f>
        <v/>
      </c>
      <c r="D113">
        <f>COUNTIF(Base[Fornecedor],A113&amp;"")</f>
        <v/>
      </c>
      <c r="E113" s="12">
        <f>SUMIF(Base[Fornecedor],A113&amp;"",Base[Montante])</f>
        <v/>
      </c>
    </row>
    <row r="114">
      <c r="A114" t="n">
        <v>101176</v>
      </c>
      <c r="B114" t="inlineStr">
        <is>
          <t>DEUBLIN BRASIL JUNTAS ROTATIVAS DE</t>
        </is>
      </c>
      <c r="C114">
        <f>IFERROR(INDEX(DePara[Categoria],MATCH(TEXT(A114,"0"),DePara[Fornecedor_txt],0)),"(sem categoria)")</f>
        <v/>
      </c>
      <c r="D114">
        <f>COUNTIF(Base[Fornecedor],A114&amp;"")</f>
        <v/>
      </c>
      <c r="E114" s="12">
        <f>SUMIF(Base[Fornecedor],A114&amp;"",Base[Montante])</f>
        <v/>
      </c>
    </row>
    <row r="115">
      <c r="A115" t="n">
        <v>100485</v>
      </c>
      <c r="B115" t="inlineStr">
        <is>
          <t>FUCHS LUBRIFICANTES DO BRASIL LTDA</t>
        </is>
      </c>
      <c r="C115">
        <f>IFERROR(INDEX(DePara[Categoria],MATCH(TEXT(A115,"0"),DePara[Fornecedor_txt],0)),"(sem categoria)")</f>
        <v/>
      </c>
      <c r="D115">
        <f>COUNTIF(Base[Fornecedor],A115&amp;"")</f>
        <v/>
      </c>
      <c r="E115" s="12">
        <f>SUMIF(Base[Fornecedor],A115&amp;"",Base[Montante])</f>
        <v/>
      </c>
    </row>
    <row r="116">
      <c r="A116" t="n">
        <v>101559</v>
      </c>
      <c r="B116" t="inlineStr">
        <is>
          <t>SIND DOS DESPACH ADUANEIROS DE SANT</t>
        </is>
      </c>
      <c r="C116">
        <f>IFERROR(INDEX(DePara[Categoria],MATCH(TEXT(A116,"0"),DePara[Fornecedor_txt],0)),"(sem categoria)")</f>
        <v/>
      </c>
      <c r="D116">
        <f>COUNTIF(Base[Fornecedor],A116&amp;"")</f>
        <v/>
      </c>
      <c r="E116" s="12">
        <f>SUMIF(Base[Fornecedor],A116&amp;"",Base[Montante])</f>
        <v/>
      </c>
    </row>
    <row r="117">
      <c r="A117" t="n">
        <v>101095</v>
      </c>
      <c r="B117" t="inlineStr">
        <is>
          <t>HAILO SISTEMAS METALICOS LTDA</t>
        </is>
      </c>
      <c r="C117">
        <f>IFERROR(INDEX(DePara[Categoria],MATCH(TEXT(A117,"0"),DePara[Fornecedor_txt],0)),"(sem categoria)")</f>
        <v/>
      </c>
      <c r="D117">
        <f>COUNTIF(Base[Fornecedor],A117&amp;"")</f>
        <v/>
      </c>
      <c r="E117" s="12">
        <f>SUMIF(Base[Fornecedor],A117&amp;"",Base[Montante])</f>
        <v/>
      </c>
    </row>
    <row r="118">
      <c r="A118" t="n">
        <v>101801</v>
      </c>
      <c r="B118" t="inlineStr">
        <is>
          <t>DARCY PACHECO SOLUCOES DE PESO LTDA 89396121000108</t>
        </is>
      </c>
      <c r="C118">
        <f>IFERROR(INDEX(DePara[Categoria],MATCH(TEXT(A118,"0"),DePara[Fornecedor_txt],0)),"(sem categoria)")</f>
        <v/>
      </c>
      <c r="D118">
        <f>COUNTIF(Base[Fornecedor],A118&amp;"")</f>
        <v/>
      </c>
      <c r="E118" s="12">
        <f>SUMIF(Base[Fornecedor],A118&amp;"",Base[Montante])</f>
        <v/>
      </c>
    </row>
    <row r="119">
      <c r="A119" t="n">
        <v>106471</v>
      </c>
      <c r="B119" t="inlineStr">
        <is>
          <t>P M C FERNANDES</t>
        </is>
      </c>
      <c r="C119">
        <f>IFERROR(INDEX(DePara[Categoria],MATCH(TEXT(A119,"0"),DePara[Fornecedor_txt],0)),"(sem categoria)")</f>
        <v/>
      </c>
      <c r="D119">
        <f>COUNTIF(Base[Fornecedor],A119&amp;"")</f>
        <v/>
      </c>
      <c r="E119" s="12">
        <f>SUMIF(Base[Fornecedor],A119&amp;"",Base[Montante])</f>
        <v/>
      </c>
    </row>
    <row r="120">
      <c r="A120" t="n">
        <v>103727</v>
      </c>
      <c r="B120" t="inlineStr">
        <is>
          <t>COMECIAL NGS LTDA</t>
        </is>
      </c>
      <c r="C120">
        <f>IFERROR(INDEX(DePara[Categoria],MATCH(TEXT(A120,"0"),DePara[Fornecedor_txt],0)),"(sem categoria)")</f>
        <v/>
      </c>
      <c r="D120">
        <f>COUNTIF(Base[Fornecedor],A120&amp;"")</f>
        <v/>
      </c>
      <c r="E120" s="12">
        <f>SUMIF(Base[Fornecedor],A120&amp;"",Base[Montante])</f>
        <v/>
      </c>
    </row>
    <row r="121">
      <c r="A121" t="n">
        <v>100994</v>
      </c>
      <c r="B121" t="inlineStr">
        <is>
          <t>P W TREINAMENTO E CAPACITACOES LTDA</t>
        </is>
      </c>
      <c r="C121">
        <f>IFERROR(INDEX(DePara[Categoria],MATCH(TEXT(A121,"0"),DePara[Fornecedor_txt],0)),"(sem categoria)")</f>
        <v/>
      </c>
      <c r="D121">
        <f>COUNTIF(Base[Fornecedor],A121&amp;"")</f>
        <v/>
      </c>
      <c r="E121" s="12">
        <f>SUMIF(Base[Fornecedor],A121&amp;"",Base[Montante])</f>
        <v/>
      </c>
    </row>
    <row r="122">
      <c r="A122" t="n">
        <v>101005</v>
      </c>
      <c r="B122" t="inlineStr">
        <is>
          <t>SOLO PROJETOS LTDA</t>
        </is>
      </c>
      <c r="C122">
        <f>IFERROR(INDEX(DePara[Categoria],MATCH(TEXT(A122,"0"),DePara[Fornecedor_txt],0)),"(sem categoria)")</f>
        <v/>
      </c>
      <c r="D122">
        <f>COUNTIF(Base[Fornecedor],A122&amp;"")</f>
        <v/>
      </c>
      <c r="E122" s="12">
        <f>SUMIF(Base[Fornecedor],A122&amp;"",Base[Montante])</f>
        <v/>
      </c>
    </row>
    <row r="123">
      <c r="A123" t="n">
        <v>104003</v>
      </c>
      <c r="B123" t="inlineStr">
        <is>
          <t>THIAGO DE MORAES 21707151000154</t>
        </is>
      </c>
      <c r="C123">
        <f>IFERROR(INDEX(DePara[Categoria],MATCH(TEXT(A123,"0"),DePara[Fornecedor_txt],0)),"(sem categoria)")</f>
        <v/>
      </c>
      <c r="D123">
        <f>COUNTIF(Base[Fornecedor],A123&amp;"")</f>
        <v/>
      </c>
      <c r="E123" s="12">
        <f>SUMIF(Base[Fornecedor],A123&amp;"",Base[Montante])</f>
        <v/>
      </c>
    </row>
    <row r="124">
      <c r="A124" t="n">
        <v>101982</v>
      </c>
      <c r="B124" t="inlineStr">
        <is>
          <t>NEW ENERGY TECH LTDA</t>
        </is>
      </c>
      <c r="C124">
        <f>IFERROR(INDEX(DePara[Categoria],MATCH(TEXT(A124,"0"),DePara[Fornecedor_txt],0)),"(sem categoria)")</f>
        <v/>
      </c>
      <c r="D124">
        <f>COUNTIF(Base[Fornecedor],A124&amp;"")</f>
        <v/>
      </c>
      <c r="E124" s="12">
        <f>SUMIF(Base[Fornecedor],A124&amp;"",Base[Montante])</f>
        <v/>
      </c>
    </row>
    <row r="125">
      <c r="A125" t="n">
        <v>103730</v>
      </c>
      <c r="B125" t="inlineStr">
        <is>
          <t>RAK LOG TRANSPORTES E LOGISTICA LTD</t>
        </is>
      </c>
      <c r="C125">
        <f>IFERROR(INDEX(DePara[Categoria],MATCH(TEXT(A125,"0"),DePara[Fornecedor_txt],0)),"(sem categoria)")</f>
        <v/>
      </c>
      <c r="D125">
        <f>COUNTIF(Base[Fornecedor],A125&amp;"")</f>
        <v/>
      </c>
      <c r="E125" s="12">
        <f>SUMIF(Base[Fornecedor],A125&amp;"",Base[Montante])</f>
        <v/>
      </c>
    </row>
    <row r="126">
      <c r="A126" t="n">
        <v>104002</v>
      </c>
      <c r="B126" t="inlineStr">
        <is>
          <t>TOP LOCACOES LTDA 43452661000160</t>
        </is>
      </c>
      <c r="C126">
        <f>IFERROR(INDEX(DePara[Categoria],MATCH(TEXT(A126,"0"),DePara[Fornecedor_txt],0)),"(sem categoria)")</f>
        <v/>
      </c>
      <c r="D126">
        <f>COUNTIF(Base[Fornecedor],A126&amp;"")</f>
        <v/>
      </c>
      <c r="E126" s="12">
        <f>SUMIF(Base[Fornecedor],A126&amp;"",Base[Montante])</f>
        <v/>
      </c>
    </row>
    <row r="127">
      <c r="A127" t="n">
        <v>100917</v>
      </c>
      <c r="B127" t="inlineStr">
        <is>
          <t>GREENLEGIS SERVIÇOS EM MANUTENÇÃO</t>
        </is>
      </c>
      <c r="C127">
        <f>IFERROR(INDEX(DePara[Categoria],MATCH(TEXT(A127,"0"),DePara[Fornecedor_txt],0)),"(sem categoria)")</f>
        <v/>
      </c>
      <c r="D127">
        <f>COUNTIF(Base[Fornecedor],A127&amp;"")</f>
        <v/>
      </c>
      <c r="E127" s="12">
        <f>SUMIF(Base[Fornecedor],A127&amp;"",Base[Montante])</f>
        <v/>
      </c>
    </row>
    <row r="128">
      <c r="A128" t="n">
        <v>101317</v>
      </c>
      <c r="B128" t="inlineStr">
        <is>
          <t>JOAO VANDERLEI ROYER</t>
        </is>
      </c>
      <c r="C128">
        <f>IFERROR(INDEX(DePara[Categoria],MATCH(TEXT(A128,"0"),DePara[Fornecedor_txt],0)),"(sem categoria)")</f>
        <v/>
      </c>
      <c r="D128">
        <f>COUNTIF(Base[Fornecedor],A128&amp;"")</f>
        <v/>
      </c>
      <c r="E128" s="12">
        <f>SUMIF(Base[Fornecedor],A128&amp;"",Base[Montante])</f>
        <v/>
      </c>
    </row>
    <row r="129">
      <c r="A129" t="n">
        <v>102116</v>
      </c>
      <c r="B129" t="inlineStr">
        <is>
          <t>COMPANHIA DE ELETR DO ESTADO DA BAH</t>
        </is>
      </c>
      <c r="C129">
        <f>IFERROR(INDEX(DePara[Categoria],MATCH(TEXT(A129,"0"),DePara[Fornecedor_txt],0)),"(sem categoria)")</f>
        <v/>
      </c>
      <c r="D129">
        <f>COUNTIF(Base[Fornecedor],A129&amp;"")</f>
        <v/>
      </c>
      <c r="E129" s="12">
        <f>SUMIF(Base[Fornecedor],A129&amp;"",Base[Montante])</f>
        <v/>
      </c>
    </row>
    <row r="130">
      <c r="A130" t="n">
        <v>102069</v>
      </c>
      <c r="B130" t="inlineStr">
        <is>
          <t>AMBAR PATRIMONIAL LTDA</t>
        </is>
      </c>
      <c r="C130">
        <f>IFERROR(INDEX(DePara[Categoria],MATCH(TEXT(A130,"0"),DePara[Fornecedor_txt],0)),"(sem categoria)")</f>
        <v/>
      </c>
      <c r="D130">
        <f>COUNTIF(Base[Fornecedor],A130&amp;"")</f>
        <v/>
      </c>
      <c r="E130" s="12">
        <f>SUMIF(Base[Fornecedor],A130&amp;"",Base[Montante])</f>
        <v/>
      </c>
    </row>
    <row r="131">
      <c r="A131" t="n">
        <v>103745</v>
      </c>
      <c r="B131" t="inlineStr">
        <is>
          <t>AIR LIDER COMERCIO E TRANSPORTE DE</t>
        </is>
      </c>
      <c r="C131">
        <f>IFERROR(INDEX(DePara[Categoria],MATCH(TEXT(A131,"0"),DePara[Fornecedor_txt],0)),"(sem categoria)")</f>
        <v/>
      </c>
      <c r="D131">
        <f>COUNTIF(Base[Fornecedor],A131&amp;"")</f>
        <v/>
      </c>
      <c r="E131" s="12">
        <f>SUMIF(Base[Fornecedor],A131&amp;"",Base[Montante])</f>
        <v/>
      </c>
    </row>
    <row r="132">
      <c r="A132" t="n">
        <v>101021</v>
      </c>
      <c r="B132" t="inlineStr">
        <is>
          <t>CSI SERVICOS DE BPO E TECN DA INFOR</t>
        </is>
      </c>
      <c r="C132">
        <f>IFERROR(INDEX(DePara[Categoria],MATCH(TEXT(A132,"0"),DePara[Fornecedor_txt],0)),"(sem categoria)")</f>
        <v/>
      </c>
      <c r="D132">
        <f>COUNTIF(Base[Fornecedor],A132&amp;"")</f>
        <v/>
      </c>
      <c r="E132" s="12">
        <f>SUMIF(Base[Fornecedor],A132&amp;"",Base[Montante])</f>
        <v/>
      </c>
    </row>
    <row r="133">
      <c r="A133" t="n">
        <v>110770</v>
      </c>
      <c r="B133" t="inlineStr">
        <is>
          <t>A DE SN CARVALHO REFRIGERAÇÃO ME</t>
        </is>
      </c>
      <c r="C133">
        <f>IFERROR(INDEX(DePara[Categoria],MATCH(TEXT(A133,"0"),DePara[Fornecedor_txt],0)),"(sem categoria)")</f>
        <v/>
      </c>
      <c r="D133">
        <f>COUNTIF(Base[Fornecedor],A133&amp;"")</f>
        <v/>
      </c>
      <c r="E133" s="12">
        <f>SUMIF(Base[Fornecedor],A133&amp;"",Base[Montante])</f>
        <v/>
      </c>
    </row>
    <row r="134">
      <c r="A134" t="n">
        <v>101764</v>
      </c>
      <c r="B134" t="inlineStr">
        <is>
          <t>INTERJATO TELECOM LTDA - ME</t>
        </is>
      </c>
      <c r="C134">
        <f>IFERROR(INDEX(DePara[Categoria],MATCH(TEXT(A134,"0"),DePara[Fornecedor_txt],0)),"(sem categoria)")</f>
        <v/>
      </c>
      <c r="D134">
        <f>COUNTIF(Base[Fornecedor],A134&amp;"")</f>
        <v/>
      </c>
      <c r="E134" s="12">
        <f>SUMIF(Base[Fornecedor],A134&amp;"",Base[Montante])</f>
        <v/>
      </c>
    </row>
    <row r="135">
      <c r="A135" t="n">
        <v>100421</v>
      </c>
      <c r="B135" t="inlineStr">
        <is>
          <t>CENTRO DE ESTAGIOS PPM HUMAN RESOUR</t>
        </is>
      </c>
      <c r="C135">
        <f>IFERROR(INDEX(DePara[Categoria],MATCH(TEXT(A135,"0"),DePara[Fornecedor_txt],0)),"(sem categoria)")</f>
        <v/>
      </c>
      <c r="D135">
        <f>COUNTIF(Base[Fornecedor],A135&amp;"")</f>
        <v/>
      </c>
      <c r="E135" s="12">
        <f>SUMIF(Base[Fornecedor],A135&amp;"",Base[Montante])</f>
        <v/>
      </c>
    </row>
    <row r="136">
      <c r="A136" t="n">
        <v>101897</v>
      </c>
      <c r="B136" t="inlineStr">
        <is>
          <t>KL LOCACOES E SOLUCOES AMBIENTAIS L KL CONSTRUCOES E SERVICOS IMOBILIAR</t>
        </is>
      </c>
      <c r="C136">
        <f>IFERROR(INDEX(DePara[Categoria],MATCH(TEXT(A136,"0"),DePara[Fornecedor_txt],0)),"(sem categoria)")</f>
        <v/>
      </c>
      <c r="D136">
        <f>COUNTIF(Base[Fornecedor],A136&amp;"")</f>
        <v/>
      </c>
      <c r="E136" s="12">
        <f>SUMIF(Base[Fornecedor],A136&amp;"",Base[Montante])</f>
        <v/>
      </c>
    </row>
    <row r="137">
      <c r="A137" t="n">
        <v>103789</v>
      </c>
      <c r="B137" t="inlineStr">
        <is>
          <t>GSW SUL SOLUCOES DE INFORMATICA LTD</t>
        </is>
      </c>
      <c r="C137">
        <f>IFERROR(INDEX(DePara[Categoria],MATCH(TEXT(A137,"0"),DePara[Fornecedor_txt],0)),"(sem categoria)")</f>
        <v/>
      </c>
      <c r="D137">
        <f>COUNTIF(Base[Fornecedor],A137&amp;"")</f>
        <v/>
      </c>
      <c r="E137" s="12">
        <f>SUMIF(Base[Fornecedor],A137&amp;"",Base[Montante])</f>
        <v/>
      </c>
    </row>
    <row r="138">
      <c r="A138" t="n">
        <v>101703</v>
      </c>
      <c r="B138" t="inlineStr">
        <is>
          <t>ARK TEC GUARDA DE DOCUMENTOS LTDA</t>
        </is>
      </c>
      <c r="C138">
        <f>IFERROR(INDEX(DePara[Categoria],MATCH(TEXT(A138,"0"),DePara[Fornecedor_txt],0)),"(sem categoria)")</f>
        <v/>
      </c>
      <c r="D138">
        <f>COUNTIF(Base[Fornecedor],A138&amp;"")</f>
        <v/>
      </c>
      <c r="E138" s="12">
        <f>SUMIF(Base[Fornecedor],A138&amp;"",Base[Montante])</f>
        <v/>
      </c>
    </row>
    <row r="139">
      <c r="A139" t="n">
        <v>100128</v>
      </c>
      <c r="B139" t="inlineStr">
        <is>
          <t>LENGUAE LANGUAGE SERVICES LTDA</t>
        </is>
      </c>
      <c r="C139">
        <f>IFERROR(INDEX(DePara[Categoria],MATCH(TEXT(A139,"0"),DePara[Fornecedor_txt],0)),"(sem categoria)")</f>
        <v/>
      </c>
      <c r="D139">
        <f>COUNTIF(Base[Fornecedor],A139&amp;"")</f>
        <v/>
      </c>
      <c r="E139" s="12">
        <f>SUMIF(Base[Fornecedor],A139&amp;"",Base[Montante])</f>
        <v/>
      </c>
    </row>
    <row r="140">
      <c r="A140" t="n">
        <v>104077</v>
      </c>
      <c r="B140" t="inlineStr">
        <is>
          <t>XRS SERVICOS AUXILIARES DE PORTARIA 31996152000110</t>
        </is>
      </c>
      <c r="C140">
        <f>IFERROR(INDEX(DePara[Categoria],MATCH(TEXT(A140,"0"),DePara[Fornecedor_txt],0)),"(sem categoria)")</f>
        <v/>
      </c>
      <c r="D140">
        <f>COUNTIF(Base[Fornecedor],A140&amp;"")</f>
        <v/>
      </c>
      <c r="E140" s="12">
        <f>SUMIF(Base[Fornecedor],A140&amp;"",Base[Montante])</f>
        <v/>
      </c>
    </row>
    <row r="141">
      <c r="A141" t="n">
        <v>107696</v>
      </c>
      <c r="B141" t="inlineStr">
        <is>
          <t>SIMM MONTAGENS EOLICAS LTDA</t>
        </is>
      </c>
      <c r="C141">
        <f>IFERROR(INDEX(DePara[Categoria],MATCH(TEXT(A141,"0"),DePara[Fornecedor_txt],0)),"(sem categoria)")</f>
        <v/>
      </c>
      <c r="D141">
        <f>COUNTIF(Base[Fornecedor],A141&amp;"")</f>
        <v/>
      </c>
      <c r="E141" s="12">
        <f>SUMIF(Base[Fornecedor],A141&amp;"",Base[Montante])</f>
        <v/>
      </c>
    </row>
    <row r="142">
      <c r="A142" t="n">
        <v>101499</v>
      </c>
      <c r="B142" t="inlineStr">
        <is>
          <t>NEW ENERGY LOGISTIC EIRELI</t>
        </is>
      </c>
      <c r="C142">
        <f>IFERROR(INDEX(DePara[Categoria],MATCH(TEXT(A142,"0"),DePara[Fornecedor_txt],0)),"(sem categoria)")</f>
        <v/>
      </c>
      <c r="D142">
        <f>COUNTIF(Base[Fornecedor],A142&amp;"")</f>
        <v/>
      </c>
      <c r="E142" s="12">
        <f>SUMIF(Base[Fornecedor],A142&amp;"",Base[Montante])</f>
        <v/>
      </c>
    </row>
    <row r="143">
      <c r="A143" t="n">
        <v>100906</v>
      </c>
      <c r="B143" t="inlineStr">
        <is>
          <t>R &amp; G TELECOM LTDA</t>
        </is>
      </c>
      <c r="C143">
        <f>IFERROR(INDEX(DePara[Categoria],MATCH(TEXT(A143,"0"),DePara[Fornecedor_txt],0)),"(sem categoria)")</f>
        <v/>
      </c>
      <c r="D143">
        <f>COUNTIF(Base[Fornecedor],A143&amp;"")</f>
        <v/>
      </c>
      <c r="E143" s="12">
        <f>SUMIF(Base[Fornecedor],A143&amp;"",Base[Montante])</f>
        <v/>
      </c>
    </row>
    <row r="144">
      <c r="A144" t="n">
        <v>103931</v>
      </c>
      <c r="B144" t="inlineStr">
        <is>
          <t>WPK SERVICOS E MONITORAMENTO LTDA 43980265000106</t>
        </is>
      </c>
      <c r="C144">
        <f>IFERROR(INDEX(DePara[Categoria],MATCH(TEXT(A144,"0"),DePara[Fornecedor_txt],0)),"(sem categoria)")</f>
        <v/>
      </c>
      <c r="D144">
        <f>COUNTIF(Base[Fornecedor],A144&amp;"")</f>
        <v/>
      </c>
      <c r="E144" s="12">
        <f>SUMIF(Base[Fornecedor],A144&amp;"",Base[Montante])</f>
        <v/>
      </c>
    </row>
    <row r="145">
      <c r="A145" t="n">
        <v>103996</v>
      </c>
      <c r="B145" t="inlineStr">
        <is>
          <t>SS SECURITY SERVICE E ADMINISTRATIV 52856037000110</t>
        </is>
      </c>
      <c r="C145">
        <f>IFERROR(INDEX(DePara[Categoria],MATCH(TEXT(A145,"0"),DePara[Fornecedor_txt],0)),"(sem categoria)")</f>
        <v/>
      </c>
      <c r="D145">
        <f>COUNTIF(Base[Fornecedor],A145&amp;"")</f>
        <v/>
      </c>
      <c r="E145" s="12">
        <f>SUMIF(Base[Fornecedor],A145&amp;"",Base[Montante])</f>
        <v/>
      </c>
    </row>
    <row r="146">
      <c r="A146" t="n">
        <v>102068</v>
      </c>
      <c r="B146" t="inlineStr">
        <is>
          <t>ASSESSORIA TECNICA ATENE LIMITADA</t>
        </is>
      </c>
      <c r="C146">
        <f>IFERROR(INDEX(DePara[Categoria],MATCH(TEXT(A146,"0"),DePara[Fornecedor_txt],0)),"(sem categoria)")</f>
        <v/>
      </c>
      <c r="D146">
        <f>COUNTIF(Base[Fornecedor],A146&amp;"")</f>
        <v/>
      </c>
      <c r="E146" s="12">
        <f>SUMIF(Base[Fornecedor],A146&amp;"",Base[Montante])</f>
        <v/>
      </c>
    </row>
    <row r="147">
      <c r="A147" t="n">
        <v>103966</v>
      </c>
      <c r="B147" t="inlineStr">
        <is>
          <t>HINE DO BRASIL IND E COM HIDR E PN 12482538000754</t>
        </is>
      </c>
      <c r="C147">
        <f>IFERROR(INDEX(DePara[Categoria],MATCH(TEXT(A147,"0"),DePara[Fornecedor_txt],0)),"(sem categoria)")</f>
        <v/>
      </c>
      <c r="D147">
        <f>COUNTIF(Base[Fornecedor],A147&amp;"")</f>
        <v/>
      </c>
      <c r="E147" s="12">
        <f>SUMIF(Base[Fornecedor],A147&amp;"",Base[Montante])</f>
        <v/>
      </c>
    </row>
    <row r="148">
      <c r="A148" t="n">
        <v>101253</v>
      </c>
      <c r="B148" t="inlineStr">
        <is>
          <t>ALTUS SISTEMAS DE AUTOMACAO SA</t>
        </is>
      </c>
      <c r="C148">
        <f>IFERROR(INDEX(DePara[Categoria],MATCH(TEXT(A148,"0"),DePara[Fornecedor_txt],0)),"(sem categoria)")</f>
        <v/>
      </c>
      <c r="D148">
        <f>COUNTIF(Base[Fornecedor],A148&amp;"")</f>
        <v/>
      </c>
      <c r="E148" s="12">
        <f>SUMIF(Base[Fornecedor],A148&amp;"",Base[Montante])</f>
        <v/>
      </c>
    </row>
    <row r="149">
      <c r="A149" t="n">
        <v>101775</v>
      </c>
      <c r="B149" t="inlineStr">
        <is>
          <t>SOUSATEC.NET LTDA  ME</t>
        </is>
      </c>
      <c r="C149">
        <f>IFERROR(INDEX(DePara[Categoria],MATCH(TEXT(A149,"0"),DePara[Fornecedor_txt],0)),"(sem categoria)")</f>
        <v/>
      </c>
      <c r="D149">
        <f>COUNTIF(Base[Fornecedor],A149&amp;"")</f>
        <v/>
      </c>
      <c r="E149" s="12">
        <f>SUMIF(Base[Fornecedor],A149&amp;"",Base[Montante])</f>
        <v/>
      </c>
    </row>
    <row r="150">
      <c r="A150" t="n">
        <v>101226</v>
      </c>
      <c r="B150" t="inlineStr">
        <is>
          <t>AL WIND SOLUCOES LTDA</t>
        </is>
      </c>
      <c r="C150">
        <f>IFERROR(INDEX(DePara[Categoria],MATCH(TEXT(A150,"0"),DePara[Fornecedor_txt],0)),"(sem categoria)")</f>
        <v/>
      </c>
      <c r="D150">
        <f>COUNTIF(Base[Fornecedor],A150&amp;"")</f>
        <v/>
      </c>
      <c r="E150" s="12">
        <f>SUMIF(Base[Fornecedor],A150&amp;"",Base[Montante])</f>
        <v/>
      </c>
    </row>
    <row r="151">
      <c r="A151" t="n">
        <v>100454</v>
      </c>
      <c r="B151" t="inlineStr">
        <is>
          <t>GEOMATICS GESTAO DE FROTAS LTDA</t>
        </is>
      </c>
      <c r="C151">
        <f>IFERROR(INDEX(DePara[Categoria],MATCH(TEXT(A151,"0"),DePara[Fornecedor_txt],0)),"(sem categoria)")</f>
        <v/>
      </c>
      <c r="D151">
        <f>COUNTIF(Base[Fornecedor],A151&amp;"")</f>
        <v/>
      </c>
      <c r="E151" s="12">
        <f>SUMIF(Base[Fornecedor],A151&amp;"",Base[Montante])</f>
        <v/>
      </c>
    </row>
    <row r="152">
      <c r="A152" t="n">
        <v>101211</v>
      </c>
      <c r="B152" t="inlineStr">
        <is>
          <t>SHEKINAH SERVICOS DE USINAGEM E CAL</t>
        </is>
      </c>
      <c r="C152">
        <f>IFERROR(INDEX(DePara[Categoria],MATCH(TEXT(A152,"0"),DePara[Fornecedor_txt],0)),"(sem categoria)")</f>
        <v/>
      </c>
      <c r="D152">
        <f>COUNTIF(Base[Fornecedor],A152&amp;"")</f>
        <v/>
      </c>
      <c r="E152" s="12">
        <f>SUMIF(Base[Fornecedor],A152&amp;"",Base[Montante])</f>
        <v/>
      </c>
    </row>
    <row r="153">
      <c r="A153" t="n">
        <v>100553</v>
      </c>
      <c r="B153" t="inlineStr">
        <is>
          <t>LYCEG SEGURANCA PATRIMONIAL EIRELI</t>
        </is>
      </c>
      <c r="C153">
        <f>IFERROR(INDEX(DePara[Categoria],MATCH(TEXT(A153,"0"),DePara[Fornecedor_txt],0)),"(sem categoria)")</f>
        <v/>
      </c>
      <c r="D153">
        <f>COUNTIF(Base[Fornecedor],A153&amp;"")</f>
        <v/>
      </c>
      <c r="E153" s="12">
        <f>SUMIF(Base[Fornecedor],A153&amp;"",Base[Montante])</f>
        <v/>
      </c>
    </row>
    <row r="154">
      <c r="A154" t="n">
        <v>101508</v>
      </c>
      <c r="B154" t="inlineStr">
        <is>
          <t>RANDSTAD BRASIL RECURSOS HUMANOS LT</t>
        </is>
      </c>
      <c r="C154">
        <f>IFERROR(INDEX(DePara[Categoria],MATCH(TEXT(A154,"0"),DePara[Fornecedor_txt],0)),"(sem categoria)")</f>
        <v/>
      </c>
      <c r="D154">
        <f>COUNTIF(Base[Fornecedor],A154&amp;"")</f>
        <v/>
      </c>
      <c r="E154" s="12">
        <f>SUMIF(Base[Fornecedor],A154&amp;"",Base[Montante])</f>
        <v/>
      </c>
    </row>
    <row r="155">
      <c r="A155" t="n">
        <v>100359</v>
      </c>
      <c r="B155" t="inlineStr">
        <is>
          <t>INOVAR LOCACOES MOSSORO LTDA</t>
        </is>
      </c>
      <c r="C155">
        <f>IFERROR(INDEX(DePara[Categoria],MATCH(TEXT(A155,"0"),DePara[Fornecedor_txt],0)),"(sem categoria)")</f>
        <v/>
      </c>
      <c r="D155">
        <f>COUNTIF(Base[Fornecedor],A155&amp;"")</f>
        <v/>
      </c>
      <c r="E155" s="12">
        <f>SUMIF(Base[Fornecedor],A155&amp;"",Base[Montante])</f>
        <v/>
      </c>
    </row>
    <row r="156">
      <c r="A156" t="n">
        <v>101714</v>
      </c>
      <c r="B156" t="inlineStr">
        <is>
          <t>VCI DO BRASIL IND E COMERC DE COMP</t>
        </is>
      </c>
      <c r="C156">
        <f>IFERROR(INDEX(DePara[Categoria],MATCH(TEXT(A156,"0"),DePara[Fornecedor_txt],0)),"(sem categoria)")</f>
        <v/>
      </c>
      <c r="D156">
        <f>COUNTIF(Base[Fornecedor],A156&amp;"")</f>
        <v/>
      </c>
      <c r="E156" s="12">
        <f>SUMIF(Base[Fornecedor],A156&amp;"",Base[Montante])</f>
        <v/>
      </c>
    </row>
    <row r="157">
      <c r="A157" t="n">
        <v>102452</v>
      </c>
      <c r="B157" t="inlineStr">
        <is>
          <t>ANTONIO FERNANDES VIEIRA</t>
        </is>
      </c>
      <c r="C157">
        <f>IFERROR(INDEX(DePara[Categoria],MATCH(TEXT(A157,"0"),DePara[Fornecedor_txt],0)),"(sem categoria)")</f>
        <v/>
      </c>
      <c r="D157">
        <f>COUNTIF(Base[Fornecedor],A157&amp;"")</f>
        <v/>
      </c>
      <c r="E157" s="12">
        <f>SUMIF(Base[Fornecedor],A157&amp;"",Base[Montante])</f>
        <v/>
      </c>
    </row>
    <row r="158">
      <c r="A158" t="n">
        <v>102290</v>
      </c>
      <c r="B158" t="inlineStr">
        <is>
          <t>GILDO MARQUES RIBEIRO</t>
        </is>
      </c>
      <c r="C158">
        <f>IFERROR(INDEX(DePara[Categoria],MATCH(TEXT(A158,"0"),DePara[Fornecedor_txt],0)),"(sem categoria)")</f>
        <v/>
      </c>
      <c r="D158">
        <f>COUNTIF(Base[Fornecedor],A158&amp;"")</f>
        <v/>
      </c>
      <c r="E158" s="12">
        <f>SUMIF(Base[Fornecedor],A158&amp;"",Base[Montante])</f>
        <v/>
      </c>
    </row>
    <row r="159">
      <c r="A159" t="n">
        <v>100490</v>
      </c>
      <c r="B159" t="inlineStr">
        <is>
          <t>LAGOA EMPREENDIMENTOS E PARTICIPACO</t>
        </is>
      </c>
      <c r="C159">
        <f>IFERROR(INDEX(DePara[Categoria],MATCH(TEXT(A159,"0"),DePara[Fornecedor_txt],0)),"(sem categoria)")</f>
        <v/>
      </c>
      <c r="D159">
        <f>COUNTIF(Base[Fornecedor],A159&amp;"")</f>
        <v/>
      </c>
      <c r="E159" s="12">
        <f>SUMIF(Base[Fornecedor],A159&amp;"",Base[Montante])</f>
        <v/>
      </c>
    </row>
    <row r="160">
      <c r="A160" t="n">
        <v>102287</v>
      </c>
      <c r="B160" t="inlineStr">
        <is>
          <t>MAURICIO FREDERICO SIMOES</t>
        </is>
      </c>
      <c r="C160">
        <f>IFERROR(INDEX(DePara[Categoria],MATCH(TEXT(A160,"0"),DePara[Fornecedor_txt],0)),"(sem categoria)")</f>
        <v/>
      </c>
      <c r="D160">
        <f>COUNTIF(Base[Fornecedor],A160&amp;"")</f>
        <v/>
      </c>
      <c r="E160" s="12">
        <f>SUMIF(Base[Fornecedor],A160&amp;"",Base[Montante])</f>
        <v/>
      </c>
    </row>
    <row r="161">
      <c r="A161" t="n">
        <v>101202</v>
      </c>
      <c r="B161" t="inlineStr">
        <is>
          <t>FUNDACAO EZUTE</t>
        </is>
      </c>
      <c r="C161">
        <f>IFERROR(INDEX(DePara[Categoria],MATCH(TEXT(A161,"0"),DePara[Fornecedor_txt],0)),"(sem categoria)")</f>
        <v/>
      </c>
      <c r="D161">
        <f>COUNTIF(Base[Fornecedor],A161&amp;"")</f>
        <v/>
      </c>
      <c r="E161" s="12">
        <f>SUMIF(Base[Fornecedor],A161&amp;"",Base[Montante])</f>
        <v/>
      </c>
    </row>
    <row r="162">
      <c r="A162" t="n">
        <v>101718</v>
      </c>
      <c r="B162" t="inlineStr">
        <is>
          <t>ITS TELECOMUNICACOES LTDA</t>
        </is>
      </c>
      <c r="C162">
        <f>IFERROR(INDEX(DePara[Categoria],MATCH(TEXT(A162,"0"),DePara[Fornecedor_txt],0)),"(sem categoria)")</f>
        <v/>
      </c>
      <c r="D162">
        <f>COUNTIF(Base[Fornecedor],A162&amp;"")</f>
        <v/>
      </c>
      <c r="E162" s="12">
        <f>SUMIF(Base[Fornecedor],A162&amp;"",Base[Montante])</f>
        <v/>
      </c>
    </row>
    <row r="163">
      <c r="A163" t="n">
        <v>100561</v>
      </c>
      <c r="B163" t="inlineStr">
        <is>
          <t>CONECTA TREINE LTDA</t>
        </is>
      </c>
      <c r="C163">
        <f>IFERROR(INDEX(DePara[Categoria],MATCH(TEXT(A163,"0"),DePara[Fornecedor_txt],0)),"(sem categoria)")</f>
        <v/>
      </c>
      <c r="D163">
        <f>COUNTIF(Base[Fornecedor],A163&amp;"")</f>
        <v/>
      </c>
      <c r="E163" s="12">
        <f>SUMIF(Base[Fornecedor],A163&amp;"",Base[Montante])</f>
        <v/>
      </c>
    </row>
    <row r="164">
      <c r="A164" t="n">
        <v>107720</v>
      </c>
      <c r="B164" t="inlineStr">
        <is>
          <t>DAYCOVAL LEASING SOCIEDADE DE ARRENDAMENTO MERCANTIL S.A</t>
        </is>
      </c>
      <c r="C164">
        <f>IFERROR(INDEX(DePara[Categoria],MATCH(TEXT(A164,"0"),DePara[Fornecedor_txt],0)),"(sem categoria)")</f>
        <v/>
      </c>
      <c r="D164">
        <f>COUNTIF(Base[Fornecedor],A164&amp;"")</f>
        <v/>
      </c>
      <c r="E164" s="12">
        <f>SUMIF(Base[Fornecedor],A164&amp;"",Base[Montante])</f>
        <v/>
      </c>
    </row>
    <row r="165">
      <c r="A165" t="n">
        <v>101435</v>
      </c>
      <c r="B165" t="inlineStr">
        <is>
          <t>DAYCOVAL LEASING BANCO MULTIPLO S A</t>
        </is>
      </c>
      <c r="C165">
        <f>IFERROR(INDEX(DePara[Categoria],MATCH(TEXT(A165,"0"),DePara[Fornecedor_txt],0)),"(sem categoria)")</f>
        <v/>
      </c>
      <c r="D165">
        <f>COUNTIF(Base[Fornecedor],A165&amp;"")</f>
        <v/>
      </c>
      <c r="E165" s="12">
        <f>SUMIF(Base[Fornecedor],A165&amp;"",Base[Montante])</f>
        <v/>
      </c>
    </row>
    <row r="166">
      <c r="A166" t="n">
        <v>100746</v>
      </c>
      <c r="B166" t="inlineStr">
        <is>
          <t>PAPERCLEAN DISTRIBUIDORA LTDA ME</t>
        </is>
      </c>
      <c r="C166">
        <f>IFERROR(INDEX(DePara[Categoria],MATCH(TEXT(A166,"0"),DePara[Fornecedor_txt],0)),"(sem categoria)")</f>
        <v/>
      </c>
      <c r="D166">
        <f>COUNTIF(Base[Fornecedor],A166&amp;"")</f>
        <v/>
      </c>
      <c r="E166" s="12">
        <f>SUMIF(Base[Fornecedor],A166&amp;"",Base[Montante])</f>
        <v/>
      </c>
    </row>
    <row r="167">
      <c r="A167" t="n">
        <v>101135</v>
      </c>
      <c r="B167" t="inlineStr">
        <is>
          <t>IDEAL WORK UNIFORMES E E.P.I.S LTDA</t>
        </is>
      </c>
      <c r="C167">
        <f>IFERROR(INDEX(DePara[Categoria],MATCH(TEXT(A167,"0"),DePara[Fornecedor_txt],0)),"(sem categoria)")</f>
        <v/>
      </c>
      <c r="D167">
        <f>COUNTIF(Base[Fornecedor],A167&amp;"")</f>
        <v/>
      </c>
      <c r="E167" s="12">
        <f>SUMIF(Base[Fornecedor],A167&amp;"",Base[Montante])</f>
        <v/>
      </c>
    </row>
    <row r="168">
      <c r="A168" t="n">
        <v>101030</v>
      </c>
      <c r="B168" t="inlineStr">
        <is>
          <t>ISAAC ALCANTARA SOC INDIV DE ADVOCA</t>
        </is>
      </c>
      <c r="C168">
        <f>IFERROR(INDEX(DePara[Categoria],MATCH(TEXT(A168,"0"),DePara[Fornecedor_txt],0)),"(sem categoria)")</f>
        <v/>
      </c>
      <c r="D168">
        <f>COUNTIF(Base[Fornecedor],A168&amp;"")</f>
        <v/>
      </c>
      <c r="E168" s="12">
        <f>SUMIF(Base[Fornecedor],A168&amp;"",Base[Montante])</f>
        <v/>
      </c>
    </row>
    <row r="169">
      <c r="A169" t="n">
        <v>101846</v>
      </c>
      <c r="B169" t="inlineStr">
        <is>
          <t>INNOVARE CONTABILIDADE LTDA EPP</t>
        </is>
      </c>
      <c r="C169">
        <f>IFERROR(INDEX(DePara[Categoria],MATCH(TEXT(A169,"0"),DePara[Fornecedor_txt],0)),"(sem categoria)")</f>
        <v/>
      </c>
      <c r="D169">
        <f>COUNTIF(Base[Fornecedor],A169&amp;"")</f>
        <v/>
      </c>
      <c r="E169" s="12">
        <f>SUMIF(Base[Fornecedor],A169&amp;"",Base[Montante])</f>
        <v/>
      </c>
    </row>
    <row r="170">
      <c r="A170" t="n">
        <v>101460</v>
      </c>
      <c r="B170" t="inlineStr">
        <is>
          <t>NS AUTOMACAO E INSTRUMENTAÇAO LTDA</t>
        </is>
      </c>
      <c r="C170">
        <f>IFERROR(INDEX(DePara[Categoria],MATCH(TEXT(A170,"0"),DePara[Fornecedor_txt],0)),"(sem categoria)")</f>
        <v/>
      </c>
      <c r="D170">
        <f>COUNTIF(Base[Fornecedor],A170&amp;"")</f>
        <v/>
      </c>
      <c r="E170" s="12">
        <f>SUMIF(Base[Fornecedor],A170&amp;"",Base[Montante])</f>
        <v/>
      </c>
    </row>
    <row r="171">
      <c r="A171" t="n">
        <v>102114</v>
      </c>
      <c r="B171" t="inlineStr">
        <is>
          <t>LUBRISINT LUBR SINTETICOS ESPECIAS 50484476000113</t>
        </is>
      </c>
      <c r="C171">
        <f>IFERROR(INDEX(DePara[Categoria],MATCH(TEXT(A171,"0"),DePara[Fornecedor_txt],0)),"(sem categoria)")</f>
        <v/>
      </c>
      <c r="D171">
        <f>COUNTIF(Base[Fornecedor],A171&amp;"")</f>
        <v/>
      </c>
      <c r="E171" s="12">
        <f>SUMIF(Base[Fornecedor],A171&amp;"",Base[Montante])</f>
        <v/>
      </c>
    </row>
    <row r="172">
      <c r="A172" t="n">
        <v>103839</v>
      </c>
      <c r="B172" t="inlineStr">
        <is>
          <t>NORTEL SUPRIMENTOS INDUSTRIAIS LTDA</t>
        </is>
      </c>
      <c r="C172">
        <f>IFERROR(INDEX(DePara[Categoria],MATCH(TEXT(A172,"0"),DePara[Fornecedor_txt],0)),"(sem categoria)")</f>
        <v/>
      </c>
      <c r="D172">
        <f>COUNTIF(Base[Fornecedor],A172&amp;"")</f>
        <v/>
      </c>
      <c r="E172" s="12">
        <f>SUMIF(Base[Fornecedor],A172&amp;"",Base[Montante])</f>
        <v/>
      </c>
    </row>
    <row r="173">
      <c r="A173" t="n">
        <v>101848</v>
      </c>
      <c r="B173" t="inlineStr">
        <is>
          <t>KLUBER LUBRICATION LUBRIF ESPECIAIS</t>
        </is>
      </c>
      <c r="C173">
        <f>IFERROR(INDEX(DePara[Categoria],MATCH(TEXT(A173,"0"),DePara[Fornecedor_txt],0)),"(sem categoria)")</f>
        <v/>
      </c>
      <c r="D173">
        <f>COUNTIF(Base[Fornecedor],A173&amp;"")</f>
        <v/>
      </c>
      <c r="E173" s="12">
        <f>SUMIF(Base[Fornecedor],A173&amp;"",Base[Montante])</f>
        <v/>
      </c>
    </row>
    <row r="174">
      <c r="A174" t="n">
        <v>101218</v>
      </c>
      <c r="B174" t="inlineStr">
        <is>
          <t>CARLSONS PRODUTOS INDUSTRIAIS LTDA</t>
        </is>
      </c>
      <c r="C174">
        <f>IFERROR(INDEX(DePara[Categoria],MATCH(TEXT(A174,"0"),DePara[Fornecedor_txt],0)),"(sem categoria)")</f>
        <v/>
      </c>
      <c r="D174">
        <f>COUNTIF(Base[Fornecedor],A174&amp;"")</f>
        <v/>
      </c>
      <c r="E174" s="12">
        <f>SUMIF(Base[Fornecedor],A174&amp;"",Base[Montante])</f>
        <v/>
      </c>
    </row>
    <row r="175">
      <c r="A175" t="n">
        <v>101099</v>
      </c>
      <c r="B175" t="inlineStr">
        <is>
          <t>HYDAC TECNOLOGIA LTDA</t>
        </is>
      </c>
      <c r="C175">
        <f>IFERROR(INDEX(DePara[Categoria],MATCH(TEXT(A175,"0"),DePara[Fornecedor_txt],0)),"(sem categoria)")</f>
        <v/>
      </c>
      <c r="D175">
        <f>COUNTIF(Base[Fornecedor],A175&amp;"")</f>
        <v/>
      </c>
      <c r="E175" s="12">
        <f>SUMIF(Base[Fornecedor],A175&amp;"",Base[Montante])</f>
        <v/>
      </c>
    </row>
    <row r="176">
      <c r="A176" t="n">
        <v>101967</v>
      </c>
      <c r="B176" t="inlineStr">
        <is>
          <t>JR EQUIPAMENTOS E SERVICOS LTDA  ME</t>
        </is>
      </c>
      <c r="C176">
        <f>IFERROR(INDEX(DePara[Categoria],MATCH(TEXT(A176,"0"),DePara[Fornecedor_txt],0)),"(sem categoria)")</f>
        <v/>
      </c>
      <c r="D176">
        <f>COUNTIF(Base[Fornecedor],A176&amp;"")</f>
        <v/>
      </c>
      <c r="E176" s="12">
        <f>SUMIF(Base[Fornecedor],A176&amp;"",Base[Montante])</f>
        <v/>
      </c>
    </row>
    <row r="177">
      <c r="A177" t="n">
        <v>101688</v>
      </c>
      <c r="B177" t="inlineStr">
        <is>
          <t>AGIS EQUIPAMENTOS E SERVIÇOS DE INFORMATICA LTDA</t>
        </is>
      </c>
      <c r="C177">
        <f>IFERROR(INDEX(DePara[Categoria],MATCH(TEXT(A177,"0"),DePara[Fornecedor_txt],0)),"(sem categoria)")</f>
        <v/>
      </c>
      <c r="D177">
        <f>COUNTIF(Base[Fornecedor],A177&amp;"")</f>
        <v/>
      </c>
      <c r="E177" s="12">
        <f>SUMIF(Base[Fornecedor],A177&amp;"",Base[Montante])</f>
        <v/>
      </c>
    </row>
    <row r="178">
      <c r="A178" t="n">
        <v>101944</v>
      </c>
      <c r="B178" t="inlineStr">
        <is>
          <t>TEXAS CONTROLS DO BRASIL LTDA</t>
        </is>
      </c>
      <c r="C178">
        <f>IFERROR(INDEX(DePara[Categoria],MATCH(TEXT(A178,"0"),DePara[Fornecedor_txt],0)),"(sem categoria)")</f>
        <v/>
      </c>
      <c r="D178">
        <f>COUNTIF(Base[Fornecedor],A178&amp;"")</f>
        <v/>
      </c>
      <c r="E178" s="12">
        <f>SUMIF(Base[Fornecedor],A178&amp;"",Base[Montante])</f>
        <v/>
      </c>
    </row>
    <row r="179">
      <c r="A179" t="n">
        <v>103767</v>
      </c>
      <c r="B179" t="inlineStr">
        <is>
          <t>ROBERT HALF TRABALHO TEMPORARIO</t>
        </is>
      </c>
      <c r="C179">
        <f>IFERROR(INDEX(DePara[Categoria],MATCH(TEXT(A179,"0"),DePara[Fornecedor_txt],0)),"(sem categoria)")</f>
        <v/>
      </c>
      <c r="D179">
        <f>COUNTIF(Base[Fornecedor],A179&amp;"")</f>
        <v/>
      </c>
      <c r="E179" s="12">
        <f>SUMIF(Base[Fornecedor],A179&amp;"",Base[Montante])</f>
        <v/>
      </c>
    </row>
    <row r="180">
      <c r="A180" t="n">
        <v>100036</v>
      </c>
      <c r="B180" t="inlineStr">
        <is>
          <t>EMBRAPORT EMPRESA BRASILEIRA DE TER</t>
        </is>
      </c>
      <c r="C180">
        <f>IFERROR(INDEX(DePara[Categoria],MATCH(TEXT(A180,"0"),DePara[Fornecedor_txt],0)),"(sem categoria)")</f>
        <v/>
      </c>
      <c r="D180">
        <f>COUNTIF(Base[Fornecedor],A180&amp;"")</f>
        <v/>
      </c>
      <c r="E180" s="12">
        <f>SUMIF(Base[Fornecedor],A180&amp;"",Base[Montante])</f>
        <v/>
      </c>
    </row>
    <row r="181">
      <c r="A181" t="n">
        <v>100479</v>
      </c>
      <c r="B181" t="inlineStr">
        <is>
          <t>POUSADA ITARETAMA LTDA</t>
        </is>
      </c>
      <c r="C181">
        <f>IFERROR(INDEX(DePara[Categoria],MATCH(TEXT(A181,"0"),DePara[Fornecedor_txt],0)),"(sem categoria)")</f>
        <v/>
      </c>
      <c r="D181">
        <f>COUNTIF(Base[Fornecedor],A181&amp;"")</f>
        <v/>
      </c>
      <c r="E181" s="12">
        <f>SUMIF(Base[Fornecedor],A181&amp;"",Base[Montante])</f>
        <v/>
      </c>
    </row>
    <row r="182">
      <c r="A182" t="n">
        <v>101553</v>
      </c>
      <c r="B182" t="inlineStr">
        <is>
          <t>LABOTECH METROLOGIA LTDA ME</t>
        </is>
      </c>
      <c r="C182">
        <f>IFERROR(INDEX(DePara[Categoria],MATCH(TEXT(A182,"0"),DePara[Fornecedor_txt],0)),"(sem categoria)")</f>
        <v/>
      </c>
      <c r="D182">
        <f>COUNTIF(Base[Fornecedor],A182&amp;"")</f>
        <v/>
      </c>
      <c r="E182" s="12">
        <f>SUMIF(Base[Fornecedor],A182&amp;"",Base[Montante])</f>
        <v/>
      </c>
    </row>
    <row r="183">
      <c r="A183" t="n">
        <v>102433</v>
      </c>
      <c r="B183" t="inlineStr">
        <is>
          <t>BECOMEX CONSULTORIA LTDA</t>
        </is>
      </c>
      <c r="C183">
        <f>IFERROR(INDEX(DePara[Categoria],MATCH(TEXT(A183,"0"),DePara[Fornecedor_txt],0)),"(sem categoria)")</f>
        <v/>
      </c>
      <c r="D183">
        <f>COUNTIF(Base[Fornecedor],A183&amp;"")</f>
        <v/>
      </c>
      <c r="E183" s="12">
        <f>SUMIF(Base[Fornecedor],A183&amp;"",Base[Montante])</f>
        <v/>
      </c>
    </row>
    <row r="184">
      <c r="A184" t="n">
        <v>101115</v>
      </c>
      <c r="B184" t="inlineStr">
        <is>
          <t>WAITMAN &amp; SKOLIMOVSKI ADVOGADOS</t>
        </is>
      </c>
      <c r="C184">
        <f>IFERROR(INDEX(DePara[Categoria],MATCH(TEXT(A184,"0"),DePara[Fornecedor_txt],0)),"(sem categoria)")</f>
        <v/>
      </c>
      <c r="D184">
        <f>COUNTIF(Base[Fornecedor],A184&amp;"")</f>
        <v/>
      </c>
      <c r="E184" s="12">
        <f>SUMIF(Base[Fornecedor],A184&amp;"",Base[Montante])</f>
        <v/>
      </c>
    </row>
    <row r="185">
      <c r="A185" t="n">
        <v>101946</v>
      </c>
      <c r="B185" t="inlineStr">
        <is>
          <t>EXTINSERVICE EQUIPAMENTOS E SERVIÇO</t>
        </is>
      </c>
      <c r="C185">
        <f>IFERROR(INDEX(DePara[Categoria],MATCH(TEXT(A185,"0"),DePara[Fornecedor_txt],0)),"(sem categoria)")</f>
        <v/>
      </c>
      <c r="D185">
        <f>COUNTIF(Base[Fornecedor],A185&amp;"")</f>
        <v/>
      </c>
      <c r="E185" s="12">
        <f>SUMIF(Base[Fornecedor],A185&amp;"",Base[Montante])</f>
        <v/>
      </c>
    </row>
    <row r="186">
      <c r="A186" t="n">
        <v>107274</v>
      </c>
      <c r="B186" t="inlineStr">
        <is>
          <t>OBJECTA LIFTING LASHING AND TECHNIC</t>
        </is>
      </c>
      <c r="C186">
        <f>IFERROR(INDEX(DePara[Categoria],MATCH(TEXT(A186,"0"),DePara[Fornecedor_txt],0)),"(sem categoria)")</f>
        <v/>
      </c>
      <c r="D186">
        <f>COUNTIF(Base[Fornecedor],A186&amp;"")</f>
        <v/>
      </c>
      <c r="E186" s="12">
        <f>SUMIF(Base[Fornecedor],A186&amp;"",Base[Montante])</f>
        <v/>
      </c>
    </row>
    <row r="187">
      <c r="A187" t="n">
        <v>105982</v>
      </c>
      <c r="B187" t="inlineStr">
        <is>
          <t>TELES &amp; VILANOVA ADVOGADOS 57783429000110</t>
        </is>
      </c>
      <c r="C187">
        <f>IFERROR(INDEX(DePara[Categoria],MATCH(TEXT(A187,"0"),DePara[Fornecedor_txt],0)),"(sem categoria)")</f>
        <v/>
      </c>
      <c r="D187">
        <f>COUNTIF(Base[Fornecedor],A187&amp;"")</f>
        <v/>
      </c>
      <c r="E187" s="12">
        <f>SUMIF(Base[Fornecedor],A187&amp;"",Base[Montante])</f>
        <v/>
      </c>
    </row>
    <row r="188">
      <c r="A188" t="n">
        <v>101958</v>
      </c>
      <c r="B188" t="inlineStr">
        <is>
          <t>PREFEITURA DE SAO PAULO</t>
        </is>
      </c>
      <c r="C188">
        <f>IFERROR(INDEX(DePara[Categoria],MATCH(TEXT(A188,"0"),DePara[Fornecedor_txt],0)),"(sem categoria)")</f>
        <v/>
      </c>
      <c r="D188">
        <f>COUNTIF(Base[Fornecedor],A188&amp;"")</f>
        <v/>
      </c>
      <c r="E188" s="12">
        <f>SUMIF(Base[Fornecedor],A188&amp;"",Base[Montante])</f>
        <v/>
      </c>
    </row>
    <row r="189">
      <c r="A189" t="n">
        <v>100617</v>
      </c>
      <c r="B189" t="inlineStr">
        <is>
          <t>PREST SERVICOS DE SISTEMAS DE SEGUR</t>
        </is>
      </c>
      <c r="C189">
        <f>IFERROR(INDEX(DePara[Categoria],MATCH(TEXT(A189,"0"),DePara[Fornecedor_txt],0)),"(sem categoria)")</f>
        <v/>
      </c>
      <c r="D189">
        <f>COUNTIF(Base[Fornecedor],A189&amp;"")</f>
        <v/>
      </c>
      <c r="E189" s="12">
        <f>SUMIF(Base[Fornecedor],A189&amp;"",Base[Montante])</f>
        <v/>
      </c>
    </row>
    <row r="190">
      <c r="A190" t="n">
        <v>100192</v>
      </c>
      <c r="B190" t="inlineStr">
        <is>
          <t>EPHARMA PBM DO BRASIL SA</t>
        </is>
      </c>
      <c r="C190">
        <f>IFERROR(INDEX(DePara[Categoria],MATCH(TEXT(A190,"0"),DePara[Fornecedor_txt],0)),"(sem categoria)")</f>
        <v/>
      </c>
      <c r="D190">
        <f>COUNTIF(Base[Fornecedor],A190&amp;"")</f>
        <v/>
      </c>
      <c r="E190" s="12">
        <f>SUMIF(Base[Fornecedor],A190&amp;"",Base[Montante])</f>
        <v/>
      </c>
    </row>
    <row r="191">
      <c r="A191" t="n">
        <v>101529</v>
      </c>
      <c r="B191" t="inlineStr">
        <is>
          <t>COOP DE RADIO TAXI E TRANSP EXEC DE SIMOES FILHO - COOTRANSPEX</t>
        </is>
      </c>
      <c r="C191">
        <f>IFERROR(INDEX(DePara[Categoria],MATCH(TEXT(A191,"0"),DePara[Fornecedor_txt],0)),"(sem categoria)")</f>
        <v/>
      </c>
      <c r="D191">
        <f>COUNTIF(Base[Fornecedor],A191&amp;"")</f>
        <v/>
      </c>
      <c r="E191" s="12">
        <f>SUMIF(Base[Fornecedor],A191&amp;"",Base[Montante])</f>
        <v/>
      </c>
    </row>
    <row r="192">
      <c r="A192" t="n">
        <v>104059</v>
      </c>
      <c r="B192" t="inlineStr">
        <is>
          <t>MG SERVICOS E SAUDE LTDA 48515732000140</t>
        </is>
      </c>
      <c r="C192">
        <f>IFERROR(INDEX(DePara[Categoria],MATCH(TEXT(A192,"0"),DePara[Fornecedor_txt],0)),"(sem categoria)")</f>
        <v/>
      </c>
      <c r="D192">
        <f>COUNTIF(Base[Fornecedor],A192&amp;"")</f>
        <v/>
      </c>
      <c r="E192" s="12">
        <f>SUMIF(Base[Fornecedor],A192&amp;"",Base[Montante])</f>
        <v/>
      </c>
    </row>
    <row r="193">
      <c r="A193" t="n">
        <v>101777</v>
      </c>
      <c r="B193" t="inlineStr">
        <is>
          <t>INGRAM MICRO BRASIL LTDA</t>
        </is>
      </c>
      <c r="C193">
        <f>IFERROR(INDEX(DePara[Categoria],MATCH(TEXT(A193,"0"),DePara[Fornecedor_txt],0)),"(sem categoria)")</f>
        <v/>
      </c>
      <c r="D193">
        <f>COUNTIF(Base[Fornecedor],A193&amp;"")</f>
        <v/>
      </c>
      <c r="E193" s="12">
        <f>SUMIF(Base[Fornecedor],A193&amp;"",Base[Montante])</f>
        <v/>
      </c>
    </row>
    <row r="194">
      <c r="A194" t="n">
        <v>100961</v>
      </c>
      <c r="B194" t="inlineStr">
        <is>
          <t>VPS BRASIL SUPRIMENTOS INDUSTRIAIS</t>
        </is>
      </c>
      <c r="C194">
        <f>IFERROR(INDEX(DePara[Categoria],MATCH(TEXT(A194,"0"),DePara[Fornecedor_txt],0)),"(sem categoria)")</f>
        <v/>
      </c>
      <c r="D194">
        <f>COUNTIF(Base[Fornecedor],A194&amp;"")</f>
        <v/>
      </c>
      <c r="E194" s="12">
        <f>SUMIF(Base[Fornecedor],A194&amp;"",Base[Montante])</f>
        <v/>
      </c>
    </row>
    <row r="195">
      <c r="A195" t="n">
        <v>100498</v>
      </c>
      <c r="B195" t="inlineStr">
        <is>
          <t>JESSYCA MARIA LIMA DE MOURA</t>
        </is>
      </c>
      <c r="C195">
        <f>IFERROR(INDEX(DePara[Categoria],MATCH(TEXT(A195,"0"),DePara[Fornecedor_txt],0)),"(sem categoria)")</f>
        <v/>
      </c>
      <c r="D195">
        <f>COUNTIF(Base[Fornecedor],A195&amp;"")</f>
        <v/>
      </c>
      <c r="E195" s="12">
        <f>SUMIF(Base[Fornecedor],A195&amp;"",Base[Montante])</f>
        <v/>
      </c>
    </row>
    <row r="196">
      <c r="A196" t="n">
        <v>105984</v>
      </c>
      <c r="B196" t="inlineStr">
        <is>
          <t>TRADEWORKS SERVICOS DE COMERCIO EXT 04955748000107</t>
        </is>
      </c>
      <c r="C196">
        <f>IFERROR(INDEX(DePara[Categoria],MATCH(TEXT(A196,"0"),DePara[Fornecedor_txt],0)),"(sem categoria)")</f>
        <v/>
      </c>
      <c r="D196">
        <f>COUNTIF(Base[Fornecedor],A196&amp;"")</f>
        <v/>
      </c>
      <c r="E196" s="12">
        <f>SUMIF(Base[Fornecedor],A196&amp;"",Base[Montante])</f>
        <v/>
      </c>
    </row>
    <row r="197">
      <c r="A197" t="n">
        <v>101387</v>
      </c>
      <c r="B197" t="inlineStr">
        <is>
          <t>AZEVEDO ENGENHARIA E PARTICIPAÇÕES</t>
        </is>
      </c>
      <c r="C197">
        <f>IFERROR(INDEX(DePara[Categoria],MATCH(TEXT(A197,"0"),DePara[Fornecedor_txt],0)),"(sem categoria)")</f>
        <v/>
      </c>
      <c r="D197">
        <f>COUNTIF(Base[Fornecedor],A197&amp;"")</f>
        <v/>
      </c>
      <c r="E197" s="12">
        <f>SUMIF(Base[Fornecedor],A197&amp;"",Base[Montante])</f>
        <v/>
      </c>
    </row>
    <row r="198">
      <c r="A198" t="n">
        <v>101290</v>
      </c>
      <c r="B198" t="inlineStr">
        <is>
          <t>ARTH WIND SERVICES&amp;CONSULTING EIREL</t>
        </is>
      </c>
      <c r="C198">
        <f>IFERROR(INDEX(DePara[Categoria],MATCH(TEXT(A198,"0"),DePara[Fornecedor_txt],0)),"(sem categoria)")</f>
        <v/>
      </c>
      <c r="D198">
        <f>COUNTIF(Base[Fornecedor],A198&amp;"")</f>
        <v/>
      </c>
      <c r="E198" s="12">
        <f>SUMIF(Base[Fornecedor],A198&amp;"",Base[Montante])</f>
        <v/>
      </c>
    </row>
    <row r="199">
      <c r="A199" t="n">
        <v>105751</v>
      </c>
      <c r="B199" t="inlineStr">
        <is>
          <t>SULZER SCHMID BRAZIL LTDA 57465227000120</t>
        </is>
      </c>
      <c r="C199">
        <f>IFERROR(INDEX(DePara[Categoria],MATCH(TEXT(A199,"0"),DePara[Fornecedor_txt],0)),"(sem categoria)")</f>
        <v/>
      </c>
      <c r="D199">
        <f>COUNTIF(Base[Fornecedor],A199&amp;"")</f>
        <v/>
      </c>
      <c r="E199" s="12">
        <f>SUMIF(Base[Fornecedor],A199&amp;"",Base[Montante])</f>
        <v/>
      </c>
    </row>
    <row r="200">
      <c r="A200" t="n">
        <v>101008</v>
      </c>
      <c r="B200" t="inlineStr">
        <is>
          <t>OXIGENIO IRECE LTDA</t>
        </is>
      </c>
      <c r="C200">
        <f>IFERROR(INDEX(DePara[Categoria],MATCH(TEXT(A200,"0"),DePara[Fornecedor_txt],0)),"(sem categoria)")</f>
        <v/>
      </c>
      <c r="D200">
        <f>COUNTIF(Base[Fornecedor],A200&amp;"")</f>
        <v/>
      </c>
      <c r="E200" s="12">
        <f>SUMIF(Base[Fornecedor],A200&amp;"",Base[Montante])</f>
        <v/>
      </c>
    </row>
    <row r="201">
      <c r="A201" t="n">
        <v>100519</v>
      </c>
      <c r="B201" t="inlineStr">
        <is>
          <t>CORDEIRO TRANSPORTES LTDA 13043748000113</t>
        </is>
      </c>
      <c r="C201">
        <f>IFERROR(INDEX(DePara[Categoria],MATCH(TEXT(A201,"0"),DePara[Fornecedor_txt],0)),"(sem categoria)")</f>
        <v/>
      </c>
      <c r="D201">
        <f>COUNTIF(Base[Fornecedor],A201&amp;"")</f>
        <v/>
      </c>
      <c r="E201" s="12">
        <f>SUMIF(Base[Fornecedor],A201&amp;"",Base[Montante])</f>
        <v/>
      </c>
    </row>
    <row r="202">
      <c r="A202" t="n">
        <v>111041</v>
      </c>
      <c r="B202" t="inlineStr">
        <is>
          <t>PROXIMA ENGENHARIA E CONSULTORIA LT</t>
        </is>
      </c>
      <c r="C202">
        <f>IFERROR(INDEX(DePara[Categoria],MATCH(TEXT(A202,"0"),DePara[Fornecedor_txt],0)),"(sem categoria)")</f>
        <v/>
      </c>
      <c r="D202">
        <f>COUNTIF(Base[Fornecedor],A202&amp;"")</f>
        <v/>
      </c>
      <c r="E202" s="12">
        <f>SUMIF(Base[Fornecedor],A202&amp;"",Base[Montante])</f>
        <v/>
      </c>
    </row>
    <row r="203">
      <c r="A203" t="n">
        <v>101057</v>
      </c>
      <c r="B203" t="inlineStr">
        <is>
          <t>NC ENERGIA S A</t>
        </is>
      </c>
      <c r="C203">
        <f>IFERROR(INDEX(DePara[Categoria],MATCH(TEXT(A203,"0"),DePara[Fornecedor_txt],0)),"(sem categoria)")</f>
        <v/>
      </c>
      <c r="D203">
        <f>COUNTIF(Base[Fornecedor],A203&amp;"")</f>
        <v/>
      </c>
      <c r="E203" s="12">
        <f>SUMIF(Base[Fornecedor],A203&amp;"",Base[Montante])</f>
        <v/>
      </c>
    </row>
    <row r="204">
      <c r="A204" t="n">
        <v>100542</v>
      </c>
      <c r="B204" t="inlineStr">
        <is>
          <t>EXTREME WIND SERVICOS DE MANUTENCAO</t>
        </is>
      </c>
      <c r="C204">
        <f>IFERROR(INDEX(DePara[Categoria],MATCH(TEXT(A204,"0"),DePara[Fornecedor_txt],0)),"(sem categoria)")</f>
        <v/>
      </c>
      <c r="D204">
        <f>COUNTIF(Base[Fornecedor],A204&amp;"")</f>
        <v/>
      </c>
      <c r="E204" s="12">
        <f>SUMIF(Base[Fornecedor],A204&amp;"",Base[Montante])</f>
        <v/>
      </c>
    </row>
    <row r="205">
      <c r="A205" t="n">
        <v>100969</v>
      </c>
      <c r="B205" t="inlineStr">
        <is>
          <t>RONALDO LUIS DE SOUSA</t>
        </is>
      </c>
      <c r="C205">
        <f>IFERROR(INDEX(DePara[Categoria],MATCH(TEXT(A205,"0"),DePara[Fornecedor_txt],0)),"(sem categoria)")</f>
        <v/>
      </c>
      <c r="D205">
        <f>COUNTIF(Base[Fornecedor],A205&amp;"")</f>
        <v/>
      </c>
      <c r="E205" s="12">
        <f>SUMIF(Base[Fornecedor],A205&amp;"",Base[Montante])</f>
        <v/>
      </c>
    </row>
    <row r="206">
      <c r="A206" t="n">
        <v>101692</v>
      </c>
      <c r="B206" t="inlineStr">
        <is>
          <t>SETE RADIOCOMUNICACAO LTDA ME</t>
        </is>
      </c>
      <c r="C206">
        <f>IFERROR(INDEX(DePara[Categoria],MATCH(TEXT(A206,"0"),DePara[Fornecedor_txt],0)),"(sem categoria)")</f>
        <v/>
      </c>
      <c r="D206">
        <f>COUNTIF(Base[Fornecedor],A206&amp;"")</f>
        <v/>
      </c>
      <c r="E206" s="12">
        <f>SUMIF(Base[Fornecedor],A206&amp;"",Base[Montante])</f>
        <v/>
      </c>
    </row>
    <row r="207">
      <c r="A207" t="n">
        <v>101172</v>
      </c>
      <c r="B207" t="inlineStr">
        <is>
          <t>N D S ENGENHARIA LTDA</t>
        </is>
      </c>
      <c r="C207">
        <f>IFERROR(INDEX(DePara[Categoria],MATCH(TEXT(A207,"0"),DePara[Fornecedor_txt],0)),"(sem categoria)")</f>
        <v/>
      </c>
      <c r="D207">
        <f>COUNTIF(Base[Fornecedor],A207&amp;"")</f>
        <v/>
      </c>
      <c r="E207" s="12">
        <f>SUMIF(Base[Fornecedor],A207&amp;"",Base[Montante])</f>
        <v/>
      </c>
    </row>
    <row r="208">
      <c r="A208" t="n">
        <v>100018</v>
      </c>
      <c r="B208" t="inlineStr">
        <is>
          <t>HOST TECNOLOGIA LTDA</t>
        </is>
      </c>
      <c r="C208">
        <f>IFERROR(INDEX(DePara[Categoria],MATCH(TEXT(A208,"0"),DePara[Fornecedor_txt],0)),"(sem categoria)")</f>
        <v/>
      </c>
      <c r="D208">
        <f>COUNTIF(Base[Fornecedor],A208&amp;"")</f>
        <v/>
      </c>
      <c r="E208" s="12">
        <f>SUMIF(Base[Fornecedor],A208&amp;"",Base[Montante])</f>
        <v/>
      </c>
    </row>
    <row r="209">
      <c r="A209" t="n">
        <v>100411</v>
      </c>
      <c r="B209" t="inlineStr">
        <is>
          <t>HOSTFIBER COMUNICACAO MULTIMIDIA LT</t>
        </is>
      </c>
      <c r="C209">
        <f>IFERROR(INDEX(DePara[Categoria],MATCH(TEXT(A209,"0"),DePara[Fornecedor_txt],0)),"(sem categoria)")</f>
        <v/>
      </c>
      <c r="D209">
        <f>COUNTIF(Base[Fornecedor],A209&amp;"")</f>
        <v/>
      </c>
      <c r="E209" s="12">
        <f>SUMIF(Base[Fornecedor],A209&amp;"",Base[Montante])</f>
        <v/>
      </c>
    </row>
    <row r="210">
      <c r="A210" t="n">
        <v>105693</v>
      </c>
      <c r="B210" t="inlineStr">
        <is>
          <t>WINSERVICE SOLUTION INFORMATICA LTD 02598005000193</t>
        </is>
      </c>
      <c r="C210">
        <f>IFERROR(INDEX(DePara[Categoria],MATCH(TEXT(A210,"0"),DePara[Fornecedor_txt],0)),"(sem categoria)")</f>
        <v/>
      </c>
      <c r="D210">
        <f>COUNTIF(Base[Fornecedor],A210&amp;"")</f>
        <v/>
      </c>
      <c r="E210" s="12">
        <f>SUMIF(Base[Fornecedor],A210&amp;"",Base[Montante])</f>
        <v/>
      </c>
    </row>
    <row r="211">
      <c r="A211" t="n">
        <v>101105</v>
      </c>
      <c r="B211" t="inlineStr">
        <is>
          <t>IMUNIZADORA POTYGUAR E SERVICOS LTD</t>
        </is>
      </c>
      <c r="C211">
        <f>IFERROR(INDEX(DePara[Categoria],MATCH(TEXT(A211,"0"),DePara[Fornecedor_txt],0)),"(sem categoria)")</f>
        <v/>
      </c>
      <c r="D211">
        <f>COUNTIF(Base[Fornecedor],A211&amp;"")</f>
        <v/>
      </c>
      <c r="E211" s="12">
        <f>SUMIF(Base[Fornecedor],A211&amp;"",Base[Montante])</f>
        <v/>
      </c>
    </row>
    <row r="212">
      <c r="A212" t="n">
        <v>101470</v>
      </c>
      <c r="B212" t="inlineStr">
        <is>
          <t>CRIL EMPREENDIMENTO AMBIENTAL LTDA</t>
        </is>
      </c>
      <c r="C212">
        <f>IFERROR(INDEX(DePara[Categoria],MATCH(TEXT(A212,"0"),DePara[Fornecedor_txt],0)),"(sem categoria)")</f>
        <v/>
      </c>
      <c r="D212">
        <f>COUNTIF(Base[Fornecedor],A212&amp;"")</f>
        <v/>
      </c>
      <c r="E212" s="12">
        <f>SUMIF(Base[Fornecedor],A212&amp;"",Base[Montante])</f>
        <v/>
      </c>
    </row>
    <row r="213">
      <c r="A213" t="n">
        <v>100450</v>
      </c>
      <c r="B213" t="inlineStr">
        <is>
          <t>SAMLIFE MSC LTDA</t>
        </is>
      </c>
      <c r="C213">
        <f>IFERROR(INDEX(DePara[Categoria],MATCH(TEXT(A213,"0"),DePara[Fornecedor_txt],0)),"(sem categoria)")</f>
        <v/>
      </c>
      <c r="D213">
        <f>COUNTIF(Base[Fornecedor],A213&amp;"")</f>
        <v/>
      </c>
      <c r="E213" s="12">
        <f>SUMIF(Base[Fornecedor],A213&amp;"",Base[Montante])</f>
        <v/>
      </c>
    </row>
    <row r="214">
      <c r="A214" t="n">
        <v>101726</v>
      </c>
      <c r="B214" t="inlineStr">
        <is>
          <t>TRANSFORTECH ENGENHARIA LTDA</t>
        </is>
      </c>
      <c r="C214">
        <f>IFERROR(INDEX(DePara[Categoria],MATCH(TEXT(A214,"0"),DePara[Fornecedor_txt],0)),"(sem categoria)")</f>
        <v/>
      </c>
      <c r="D214">
        <f>COUNTIF(Base[Fornecedor],A214&amp;"")</f>
        <v/>
      </c>
      <c r="E214" s="12">
        <f>SUMIF(Base[Fornecedor],A214&amp;"",Base[Montante])</f>
        <v/>
      </c>
    </row>
    <row r="215">
      <c r="A215" t="n">
        <v>101869</v>
      </c>
      <c r="B215" t="inlineStr">
        <is>
          <t>ASSOCIACAO BRASILEIRA DA IND DE MAQ</t>
        </is>
      </c>
      <c r="C215">
        <f>IFERROR(INDEX(DePara[Categoria],MATCH(TEXT(A215,"0"),DePara[Fornecedor_txt],0)),"(sem categoria)")</f>
        <v/>
      </c>
      <c r="D215">
        <f>COUNTIF(Base[Fornecedor],A215&amp;"")</f>
        <v/>
      </c>
      <c r="E215" s="12">
        <f>SUMIF(Base[Fornecedor],A215&amp;"",Base[Montante])</f>
        <v/>
      </c>
    </row>
    <row r="216">
      <c r="A216" t="n">
        <v>101552</v>
      </c>
      <c r="B216" t="inlineStr">
        <is>
          <t>KUEHNENAGEL SERVICOS LOGISTICOS LTD</t>
        </is>
      </c>
      <c r="C216">
        <f>IFERROR(INDEX(DePara[Categoria],MATCH(TEXT(A216,"0"),DePara[Fornecedor_txt],0)),"(sem categoria)")</f>
        <v/>
      </c>
      <c r="D216">
        <f>COUNTIF(Base[Fornecedor],A216&amp;"")</f>
        <v/>
      </c>
      <c r="E216" s="12">
        <f>SUMIF(Base[Fornecedor],A216&amp;"",Base[Montante])</f>
        <v/>
      </c>
    </row>
    <row r="217">
      <c r="A217" t="n">
        <v>101048</v>
      </c>
      <c r="B217" t="inlineStr">
        <is>
          <t>M R DE MEDEIROS</t>
        </is>
      </c>
      <c r="C217">
        <f>IFERROR(INDEX(DePara[Categoria],MATCH(TEXT(A217,"0"),DePara[Fornecedor_txt],0)),"(sem categoria)")</f>
        <v/>
      </c>
      <c r="D217">
        <f>COUNTIF(Base[Fornecedor],A217&amp;"")</f>
        <v/>
      </c>
      <c r="E217" s="12">
        <f>SUMIF(Base[Fornecedor],A217&amp;"",Base[Montante])</f>
        <v/>
      </c>
    </row>
    <row r="218">
      <c r="A218" t="n">
        <v>101340</v>
      </c>
      <c r="B218" t="inlineStr">
        <is>
          <t>ALS TRIBOLOGY BRASIL ANALISE DE FLU</t>
        </is>
      </c>
      <c r="C218">
        <f>IFERROR(INDEX(DePara[Categoria],MATCH(TEXT(A218,"0"),DePara[Fornecedor_txt],0)),"(sem categoria)")</f>
        <v/>
      </c>
      <c r="D218">
        <f>COUNTIF(Base[Fornecedor],A218&amp;"")</f>
        <v/>
      </c>
      <c r="E218" s="12">
        <f>SUMIF(Base[Fornecedor],A218&amp;"",Base[Montante])</f>
        <v/>
      </c>
    </row>
    <row r="219">
      <c r="A219" t="n">
        <v>101156</v>
      </c>
      <c r="B219" t="inlineStr">
        <is>
          <t>TEKHELIUS PRESTAÇÃO DE SERVIÇOS LTD 37245993000171</t>
        </is>
      </c>
      <c r="C219">
        <f>IFERROR(INDEX(DePara[Categoria],MATCH(TEXT(A219,"0"),DePara[Fornecedor_txt],0)),"(sem categoria)")</f>
        <v/>
      </c>
      <c r="D219">
        <f>COUNTIF(Base[Fornecedor],A219&amp;"")</f>
        <v/>
      </c>
      <c r="E219" s="12">
        <f>SUMIF(Base[Fornecedor],A219&amp;"",Base[Montante])</f>
        <v/>
      </c>
    </row>
    <row r="220">
      <c r="A220" t="n">
        <v>100026</v>
      </c>
      <c r="B220" t="inlineStr">
        <is>
          <t>PAIVA SERVICOS LTDA</t>
        </is>
      </c>
      <c r="C220">
        <f>IFERROR(INDEX(DePara[Categoria],MATCH(TEXT(A220,"0"),DePara[Fornecedor_txt],0)),"(sem categoria)")</f>
        <v/>
      </c>
      <c r="D220">
        <f>COUNTIF(Base[Fornecedor],A220&amp;"")</f>
        <v/>
      </c>
      <c r="E220" s="12">
        <f>SUMIF(Base[Fornecedor],A220&amp;"",Base[Montante])</f>
        <v/>
      </c>
    </row>
    <row r="221">
      <c r="A221" t="n">
        <v>101484</v>
      </c>
      <c r="B221" t="inlineStr">
        <is>
          <t>SANTIN EMPRESA DE TRANSP. ESPECIAIS 22902476000401</t>
        </is>
      </c>
      <c r="C221">
        <f>IFERROR(INDEX(DePara[Categoria],MATCH(TEXT(A221,"0"),DePara[Fornecedor_txt],0)),"(sem categoria)")</f>
        <v/>
      </c>
      <c r="D221">
        <f>COUNTIF(Base[Fornecedor],A221&amp;"")</f>
        <v/>
      </c>
      <c r="E221" s="12">
        <f>SUMIF(Base[Fornecedor],A221&amp;"",Base[Montante])</f>
        <v/>
      </c>
    </row>
    <row r="222">
      <c r="A222" t="n">
        <v>115200</v>
      </c>
      <c r="B222" t="inlineStr">
        <is>
          <t>AIR LIDER GROUP COMERCIO DE GASES</t>
        </is>
      </c>
      <c r="C222">
        <f>IFERROR(INDEX(DePara[Categoria],MATCH(TEXT(A222,"0"),DePara[Fornecedor_txt],0)),"(sem categoria)")</f>
        <v/>
      </c>
      <c r="D222">
        <f>COUNTIF(Base[Fornecedor],A222&amp;"")</f>
        <v/>
      </c>
      <c r="E222" s="12">
        <f>SUMIF(Base[Fornecedor],A222&amp;"",Base[Montante])</f>
        <v/>
      </c>
    </row>
    <row r="223">
      <c r="A223" t="n">
        <v>101228</v>
      </c>
      <c r="B223" t="inlineStr">
        <is>
          <t>EDIFICIO ATRIUM VI COM</t>
        </is>
      </c>
      <c r="C223">
        <f>IFERROR(INDEX(DePara[Categoria],MATCH(TEXT(A223,"0"),DePara[Fornecedor_txt],0)),"(sem categoria)")</f>
        <v/>
      </c>
      <c r="D223">
        <f>COUNTIF(Base[Fornecedor],A223&amp;"")</f>
        <v/>
      </c>
      <c r="E223" s="12">
        <f>SUMIF(Base[Fornecedor],A223&amp;"",Base[Montante])</f>
        <v/>
      </c>
    </row>
    <row r="224">
      <c r="A224" t="n">
        <v>104018</v>
      </c>
      <c r="B224" t="inlineStr">
        <is>
          <t>MC CONSULTORIA E SERVICOES LTDA</t>
        </is>
      </c>
      <c r="C224">
        <f>IFERROR(INDEX(DePara[Categoria],MATCH(TEXT(A224,"0"),DePara[Fornecedor_txt],0)),"(sem categoria)")</f>
        <v/>
      </c>
      <c r="D224">
        <f>COUNTIF(Base[Fornecedor],A224&amp;"")</f>
        <v/>
      </c>
      <c r="E224" s="12">
        <f>SUMIF(Base[Fornecedor],A224&amp;"",Base[Montante])</f>
        <v/>
      </c>
    </row>
    <row r="225">
      <c r="A225" t="n">
        <v>102086</v>
      </c>
      <c r="B225" t="inlineStr">
        <is>
          <t>ASSOCIACAO BRASILEIRA E E ABEEOLICA</t>
        </is>
      </c>
      <c r="C225">
        <f>IFERROR(INDEX(DePara[Categoria],MATCH(TEXT(A225,"0"),DePara[Fornecedor_txt],0)),"(sem categoria)")</f>
        <v/>
      </c>
      <c r="D225">
        <f>COUNTIF(Base[Fornecedor],A225&amp;"")</f>
        <v/>
      </c>
      <c r="E225" s="12">
        <f>SUMIF(Base[Fornecedor],A225&amp;"",Base[Montante])</f>
        <v/>
      </c>
    </row>
    <row r="226">
      <c r="A226" t="n">
        <v>100845</v>
      </c>
      <c r="B226" t="inlineStr">
        <is>
          <t>DRIVEMEC MANUTENCAO INDUSTRIAL EIRE</t>
        </is>
      </c>
      <c r="C226">
        <f>IFERROR(INDEX(DePara[Categoria],MATCH(TEXT(A226,"0"),DePara[Fornecedor_txt],0)),"(sem categoria)")</f>
        <v/>
      </c>
      <c r="D226">
        <f>COUNTIF(Base[Fornecedor],A226&amp;"")</f>
        <v/>
      </c>
      <c r="E226" s="12">
        <f>SUMIF(Base[Fornecedor],A226&amp;"",Base[Montante])</f>
        <v/>
      </c>
    </row>
    <row r="227">
      <c r="A227" t="n">
        <v>114597</v>
      </c>
      <c r="B227" t="inlineStr">
        <is>
          <t>BLUEWAY TRADING IMPORTAÇAO E EXPORT SA</t>
        </is>
      </c>
      <c r="C227">
        <f>IFERROR(INDEX(DePara[Categoria],MATCH(TEXT(A227,"0"),DePara[Fornecedor_txt],0)),"(sem categoria)")</f>
        <v/>
      </c>
      <c r="D227">
        <f>COUNTIF(Base[Fornecedor],A227&amp;"")</f>
        <v/>
      </c>
      <c r="E227" s="12">
        <f>SUMIF(Base[Fornecedor],A227&amp;"",Base[Montante])</f>
        <v/>
      </c>
    </row>
    <row r="228">
      <c r="A228" t="n">
        <v>101696</v>
      </c>
      <c r="B228" t="inlineStr">
        <is>
          <t>LANA CALIBRACAO DE INST E MANUTENCO</t>
        </is>
      </c>
      <c r="C228">
        <f>IFERROR(INDEX(DePara[Categoria],MATCH(TEXT(A228,"0"),DePara[Fornecedor_txt],0)),"(sem categoria)")</f>
        <v/>
      </c>
      <c r="D228">
        <f>COUNTIF(Base[Fornecedor],A228&amp;"")</f>
        <v/>
      </c>
      <c r="E228" s="12">
        <f>SUMIF(Base[Fornecedor],A228&amp;"",Base[Montante])</f>
        <v/>
      </c>
    </row>
    <row r="229">
      <c r="A229" t="n">
        <v>101011</v>
      </c>
      <c r="B229" t="inlineStr">
        <is>
          <t>THYSSENKRUPP BRASIL LTDA</t>
        </is>
      </c>
      <c r="C229">
        <f>IFERROR(INDEX(DePara[Categoria],MATCH(TEXT(A229,"0"),DePara[Fornecedor_txt],0)),"(sem categoria)")</f>
        <v/>
      </c>
      <c r="D229">
        <f>COUNTIF(Base[Fornecedor],A229&amp;"")</f>
        <v/>
      </c>
      <c r="E229" s="12">
        <f>SUMIF(Base[Fornecedor],A229&amp;"",Base[Montante])</f>
        <v/>
      </c>
    </row>
    <row r="230">
      <c r="A230" t="n">
        <v>103849</v>
      </c>
      <c r="B230" t="inlineStr">
        <is>
          <t>SINOMA WIND POWER BLADE (BRAZIL) LT</t>
        </is>
      </c>
      <c r="C230">
        <f>IFERROR(INDEX(DePara[Categoria],MATCH(TEXT(A230,"0"),DePara[Fornecedor_txt],0)),"(sem categoria)")</f>
        <v/>
      </c>
      <c r="D230">
        <f>COUNTIF(Base[Fornecedor],A230&amp;"")</f>
        <v/>
      </c>
      <c r="E230" s="12">
        <f>SUMIF(Base[Fornecedor],A230&amp;"",Base[Montante])</f>
        <v/>
      </c>
    </row>
    <row r="231">
      <c r="A231" t="n">
        <v>108031</v>
      </c>
      <c r="B231" t="inlineStr">
        <is>
          <t>ISELETRICA LTDA -EPP</t>
        </is>
      </c>
      <c r="C231">
        <f>IFERROR(INDEX(DePara[Categoria],MATCH(TEXT(A231,"0"),DePara[Fornecedor_txt],0)),"(sem categoria)")</f>
        <v/>
      </c>
      <c r="D231">
        <f>COUNTIF(Base[Fornecedor],A231&amp;"")</f>
        <v/>
      </c>
      <c r="E231" s="12">
        <f>SUMIF(Base[Fornecedor],A231&amp;"",Base[Montante])</f>
        <v/>
      </c>
    </row>
    <row r="232">
      <c r="A232" t="n">
        <v>102109</v>
      </c>
      <c r="B232" t="inlineStr">
        <is>
          <t>L AMORIM LOCACAO DE EQUIPAMENTOS LT</t>
        </is>
      </c>
      <c r="C232">
        <f>IFERROR(INDEX(DePara[Categoria],MATCH(TEXT(A232,"0"),DePara[Fornecedor_txt],0)),"(sem categoria)")</f>
        <v/>
      </c>
      <c r="D232">
        <f>COUNTIF(Base[Fornecedor],A232&amp;"")</f>
        <v/>
      </c>
      <c r="E232" s="12">
        <f>SUMIF(Base[Fornecedor],A232&amp;"",Base[Montante])</f>
        <v/>
      </c>
    </row>
    <row r="233">
      <c r="A233" t="n">
        <v>106332</v>
      </c>
      <c r="B233" t="inlineStr">
        <is>
          <t>CAROLINE LENICE DE SOUSA OLIVEIRA</t>
        </is>
      </c>
      <c r="C233">
        <f>IFERROR(INDEX(DePara[Categoria],MATCH(TEXT(A233,"0"),DePara[Fornecedor_txt],0)),"(sem categoria)")</f>
        <v/>
      </c>
      <c r="D233">
        <f>COUNTIF(Base[Fornecedor],A233&amp;"")</f>
        <v/>
      </c>
      <c r="E233" s="12">
        <f>SUMIF(Base[Fornecedor],A233&amp;"",Base[Montante])</f>
        <v/>
      </c>
    </row>
    <row r="234">
      <c r="A234" t="n">
        <v>103761</v>
      </c>
      <c r="B234" t="inlineStr">
        <is>
          <t>CLEDSON RIBEIRO DOS SANTOS</t>
        </is>
      </c>
      <c r="C234">
        <f>IFERROR(INDEX(DePara[Categoria],MATCH(TEXT(A234,"0"),DePara[Fornecedor_txt],0)),"(sem categoria)")</f>
        <v/>
      </c>
      <c r="D234">
        <f>COUNTIF(Base[Fornecedor],A234&amp;"")</f>
        <v/>
      </c>
      <c r="E234" s="12">
        <f>SUMIF(Base[Fornecedor],A234&amp;"",Base[Montante])</f>
        <v/>
      </c>
    </row>
    <row r="235">
      <c r="A235" t="n">
        <v>100757</v>
      </c>
      <c r="B235" t="inlineStr">
        <is>
          <t>OMI BRASIL ENGENHARIA</t>
        </is>
      </c>
      <c r="C235">
        <f>IFERROR(INDEX(DePara[Categoria],MATCH(TEXT(A235,"0"),DePara[Fornecedor_txt],0)),"(sem categoria)")</f>
        <v/>
      </c>
      <c r="D235">
        <f>COUNTIF(Base[Fornecedor],A235&amp;"")</f>
        <v/>
      </c>
      <c r="E235" s="12">
        <f>SUMIF(Base[Fornecedor],A235&amp;"",Base[Montante])</f>
        <v/>
      </c>
    </row>
    <row r="236">
      <c r="A236" t="n">
        <v>101247</v>
      </c>
      <c r="B236" t="inlineStr">
        <is>
          <t>CIA DE SANEAMENTO BASICO DO ESTADO</t>
        </is>
      </c>
      <c r="C236">
        <f>IFERROR(INDEX(DePara[Categoria],MATCH(TEXT(A236,"0"),DePara[Fornecedor_txt],0)),"(sem categoria)")</f>
        <v/>
      </c>
      <c r="D236">
        <f>COUNTIF(Base[Fornecedor],A236&amp;"")</f>
        <v/>
      </c>
      <c r="E236" s="12">
        <f>SUMIF(Base[Fornecedor],A236&amp;"",Base[Montante])</f>
        <v/>
      </c>
    </row>
    <row r="237">
      <c r="A237" t="n">
        <v>106044</v>
      </c>
      <c r="B237" t="inlineStr">
        <is>
          <t>ECOVIS NORDESTE LTDA 52979841000196</t>
        </is>
      </c>
      <c r="C237">
        <f>IFERROR(INDEX(DePara[Categoria],MATCH(TEXT(A237,"0"),DePara[Fornecedor_txt],0)),"(sem categoria)")</f>
        <v/>
      </c>
      <c r="D237">
        <f>COUNTIF(Base[Fornecedor],A237&amp;"")</f>
        <v/>
      </c>
      <c r="E237" s="12">
        <f>SUMIF(Base[Fornecedor],A237&amp;"",Base[Montante])</f>
        <v/>
      </c>
    </row>
    <row r="238">
      <c r="A238" t="n">
        <v>101353</v>
      </c>
      <c r="B238" t="inlineStr">
        <is>
          <t>SOMAR GASES COMERCIO E SERVICOS LTD</t>
        </is>
      </c>
      <c r="C238">
        <f>IFERROR(INDEX(DePara[Categoria],MATCH(TEXT(A238,"0"),DePara[Fornecedor_txt],0)),"(sem categoria)")</f>
        <v/>
      </c>
      <c r="D238">
        <f>COUNTIF(Base[Fornecedor],A238&amp;"")</f>
        <v/>
      </c>
      <c r="E238" s="12">
        <f>SUMIF(Base[Fornecedor],A238&amp;"",Base[Montante])</f>
        <v/>
      </c>
    </row>
    <row r="239">
      <c r="A239" t="n">
        <v>101670</v>
      </c>
      <c r="B239" t="inlineStr">
        <is>
          <t>NSA BR ASSESSORIA TR E CO DE SE TO</t>
        </is>
      </c>
      <c r="C239">
        <f>IFERROR(INDEX(DePara[Categoria],MATCH(TEXT(A239,"0"),DePara[Fornecedor_txt],0)),"(sem categoria)")</f>
        <v/>
      </c>
      <c r="D239">
        <f>COUNTIF(Base[Fornecedor],A239&amp;"")</f>
        <v/>
      </c>
      <c r="E239" s="12">
        <f>SUMIF(Base[Fornecedor],A239&amp;"",Base[Montante])</f>
        <v/>
      </c>
    </row>
    <row r="240">
      <c r="A240" t="n">
        <v>107759</v>
      </c>
      <c r="B240" t="inlineStr">
        <is>
          <t>AMBAR INOVAÇÕES SPE LTDA</t>
        </is>
      </c>
      <c r="C240">
        <f>IFERROR(INDEX(DePara[Categoria],MATCH(TEXT(A240,"0"),DePara[Fornecedor_txt],0)),"(sem categoria)")</f>
        <v/>
      </c>
      <c r="D240">
        <f>COUNTIF(Base[Fornecedor],A240&amp;"")</f>
        <v/>
      </c>
      <c r="E240" s="12">
        <f>SUMIF(Base[Fornecedor],A240&amp;"",Base[Montante])</f>
        <v/>
      </c>
    </row>
    <row r="241">
      <c r="A241" t="n">
        <v>101540</v>
      </c>
      <c r="B241" t="inlineStr">
        <is>
          <t>RICOH PY EQUIPAMENTOS DE INFORMATIC</t>
        </is>
      </c>
      <c r="C241">
        <f>IFERROR(INDEX(DePara[Categoria],MATCH(TEXT(A241,"0"),DePara[Fornecedor_txt],0)),"(sem categoria)")</f>
        <v/>
      </c>
      <c r="D241">
        <f>COUNTIF(Base[Fornecedor],A241&amp;"")</f>
        <v/>
      </c>
      <c r="E241" s="12">
        <f>SUMIF(Base[Fornecedor],A241&amp;"",Base[Montante])</f>
        <v/>
      </c>
    </row>
    <row r="242">
      <c r="A242" t="n">
        <v>106040</v>
      </c>
      <c r="B242" t="inlineStr">
        <is>
          <t>WANTEL TECNOLOGIA LTDA</t>
        </is>
      </c>
      <c r="C242">
        <f>IFERROR(INDEX(DePara[Categoria],MATCH(TEXT(A242,"0"),DePara[Fornecedor_txt],0)),"(sem categoria)")</f>
        <v/>
      </c>
      <c r="D242">
        <f>COUNTIF(Base[Fornecedor],A242&amp;"")</f>
        <v/>
      </c>
      <c r="E242" s="12">
        <f>SUMIF(Base[Fornecedor],A242&amp;"",Base[Montante])</f>
        <v/>
      </c>
    </row>
    <row r="243">
      <c r="A243" t="n">
        <v>103927</v>
      </c>
      <c r="B243" t="inlineStr">
        <is>
          <t>MOVIDA PARTICIPACOES</t>
        </is>
      </c>
      <c r="C243">
        <f>IFERROR(INDEX(DePara[Categoria],MATCH(TEXT(A243,"0"),DePara[Fornecedor_txt],0)),"(sem categoria)")</f>
        <v/>
      </c>
      <c r="D243">
        <f>COUNTIF(Base[Fornecedor],A243&amp;"")</f>
        <v/>
      </c>
      <c r="E243" s="12">
        <f>SUMIF(Base[Fornecedor],A243&amp;"",Base[Montante])</f>
        <v/>
      </c>
    </row>
    <row r="244">
      <c r="A244" t="n">
        <v>107644</v>
      </c>
      <c r="B244" t="inlineStr">
        <is>
          <t>FIRST ENGLISH SCHOOL IDIOMAS LTDA</t>
        </is>
      </c>
      <c r="C244">
        <f>IFERROR(INDEX(DePara[Categoria],MATCH(TEXT(A244,"0"),DePara[Fornecedor_txt],0)),"(sem categoria)")</f>
        <v/>
      </c>
      <c r="D244">
        <f>COUNTIF(Base[Fornecedor],A244&amp;"")</f>
        <v/>
      </c>
      <c r="E244" s="12">
        <f>SUMIF(Base[Fornecedor],A244&amp;"",Base[Montante])</f>
        <v/>
      </c>
    </row>
    <row r="245">
      <c r="A245" t="n">
        <v>101683</v>
      </c>
      <c r="B245" t="inlineStr">
        <is>
          <t>TF DANTAS</t>
        </is>
      </c>
      <c r="C245">
        <f>IFERROR(INDEX(DePara[Categoria],MATCH(TEXT(A245,"0"),DePara[Fornecedor_txt],0)),"(sem categoria)")</f>
        <v/>
      </c>
      <c r="D245">
        <f>COUNTIF(Base[Fornecedor],A245&amp;"")</f>
        <v/>
      </c>
      <c r="E245" s="12">
        <f>SUMIF(Base[Fornecedor],A245&amp;"",Base[Montante])</f>
        <v/>
      </c>
    </row>
    <row r="246">
      <c r="A246" t="n">
        <v>101214</v>
      </c>
      <c r="B246" t="inlineStr">
        <is>
          <t>PROTENDIDOS DYWIDAG LIMITADA</t>
        </is>
      </c>
      <c r="C246">
        <f>IFERROR(INDEX(DePara[Categoria],MATCH(TEXT(A246,"0"),DePara[Fornecedor_txt],0)),"(sem categoria)")</f>
        <v/>
      </c>
      <c r="D246">
        <f>COUNTIF(Base[Fornecedor],A246&amp;"")</f>
        <v/>
      </c>
      <c r="E246" s="12">
        <f>SUMIF(Base[Fornecedor],A246&amp;"",Base[Montante])</f>
        <v/>
      </c>
    </row>
    <row r="247">
      <c r="A247" t="n">
        <v>100008</v>
      </c>
      <c r="B247" t="inlineStr">
        <is>
          <t>DB3 SERVICOS DE TELECOMUNICACOES SA</t>
        </is>
      </c>
      <c r="C247">
        <f>IFERROR(INDEX(DePara[Categoria],MATCH(TEXT(A247,"0"),DePara[Fornecedor_txt],0)),"(sem categoria)")</f>
        <v/>
      </c>
      <c r="D247">
        <f>COUNTIF(Base[Fornecedor],A247&amp;"")</f>
        <v/>
      </c>
      <c r="E247" s="12">
        <f>SUMIF(Base[Fornecedor],A247&amp;"",Base[Montante])</f>
        <v/>
      </c>
    </row>
    <row r="248">
      <c r="A248" t="n">
        <v>102473</v>
      </c>
      <c r="B248" t="inlineStr">
        <is>
          <t>AMBIENTESEE COMERCIO E SERVICOS LTD 19246312000108</t>
        </is>
      </c>
      <c r="C248">
        <f>IFERROR(INDEX(DePara[Categoria],MATCH(TEXT(A248,"0"),DePara[Fornecedor_txt],0)),"(sem categoria)")</f>
        <v/>
      </c>
      <c r="D248">
        <f>COUNTIF(Base[Fornecedor],A248&amp;"")</f>
        <v/>
      </c>
      <c r="E248" s="12">
        <f>SUMIF(Base[Fornecedor],A248&amp;"",Base[Montante])</f>
        <v/>
      </c>
    </row>
    <row r="249">
      <c r="A249" t="n">
        <v>102005</v>
      </c>
      <c r="B249" t="inlineStr">
        <is>
          <t>COMPANHIA ENERGETICA RIO G N COSERN</t>
        </is>
      </c>
      <c r="C249">
        <f>IFERROR(INDEX(DePara[Categoria],MATCH(TEXT(A249,"0"),DePara[Fornecedor_txt],0)),"(sem categoria)")</f>
        <v/>
      </c>
      <c r="D249">
        <f>COUNTIF(Base[Fornecedor],A249&amp;"")</f>
        <v/>
      </c>
      <c r="E249" s="12">
        <f>SUMIF(Base[Fornecedor],A249&amp;"",Base[Montante])</f>
        <v/>
      </c>
    </row>
    <row r="250">
      <c r="A250" t="n">
        <v>102038</v>
      </c>
      <c r="B250" t="inlineStr">
        <is>
          <t>WHITE MARTINS GASES INDUSTRIAIS DO</t>
        </is>
      </c>
      <c r="C250">
        <f>IFERROR(INDEX(DePara[Categoria],MATCH(TEXT(A250,"0"),DePara[Fornecedor_txt],0)),"(sem categoria)")</f>
        <v/>
      </c>
      <c r="D250">
        <f>COUNTIF(Base[Fornecedor],A250&amp;"")</f>
        <v/>
      </c>
      <c r="E250" s="12">
        <f>SUMIF(Base[Fornecedor],A250&amp;"",Base[Montante])</f>
        <v/>
      </c>
    </row>
    <row r="251">
      <c r="A251" t="n">
        <v>101494</v>
      </c>
      <c r="B251" t="inlineStr">
        <is>
          <t>AG SOLVE MONITORAMENTO AMBIENTAL LT</t>
        </is>
      </c>
      <c r="C251">
        <f>IFERROR(INDEX(DePara[Categoria],MATCH(TEXT(A251,"0"),DePara[Fornecedor_txt],0)),"(sem categoria)")</f>
        <v/>
      </c>
      <c r="D251">
        <f>COUNTIF(Base[Fornecedor],A251&amp;"")</f>
        <v/>
      </c>
      <c r="E251" s="12">
        <f>SUMIF(Base[Fornecedor],A251&amp;"",Base[Montante])</f>
        <v/>
      </c>
    </row>
    <row r="252">
      <c r="A252" t="n">
        <v>102117</v>
      </c>
      <c r="B252" t="inlineStr">
        <is>
          <t>ELETROPAULO METRO ELETRICIDADE DE S</t>
        </is>
      </c>
      <c r="C252">
        <f>IFERROR(INDEX(DePara[Categoria],MATCH(TEXT(A252,"0"),DePara[Fornecedor_txt],0)),"(sem categoria)")</f>
        <v/>
      </c>
      <c r="D252">
        <f>COUNTIF(Base[Fornecedor],A252&amp;"")</f>
        <v/>
      </c>
      <c r="E252" s="12">
        <f>SUMIF(Base[Fornecedor],A252&amp;"",Base[Montante])</f>
        <v/>
      </c>
    </row>
    <row r="253">
      <c r="A253" t="n">
        <v>115365</v>
      </c>
      <c r="B253" t="inlineStr">
        <is>
          <t>IVANALDO DIAS DA SILVA 52.029.512</t>
        </is>
      </c>
      <c r="C253">
        <f>IFERROR(INDEX(DePara[Categoria],MATCH(TEXT(A253,"0"),DePara[Fornecedor_txt],0)),"(sem categoria)")</f>
        <v/>
      </c>
      <c r="D253">
        <f>COUNTIF(Base[Fornecedor],A253&amp;"")</f>
        <v/>
      </c>
      <c r="E253" s="12">
        <f>SUMIF(Base[Fornecedor],A253&amp;"",Base[Montante])</f>
        <v/>
      </c>
    </row>
    <row r="254">
      <c r="A254" t="n">
        <v>101945</v>
      </c>
      <c r="B254" t="inlineStr">
        <is>
          <t>JOAO MARIA BARBOSA DE MOURA</t>
        </is>
      </c>
      <c r="C254">
        <f>IFERROR(INDEX(DePara[Categoria],MATCH(TEXT(A254,"0"),DePara[Fornecedor_txt],0)),"(sem categoria)")</f>
        <v/>
      </c>
      <c r="D254">
        <f>COUNTIF(Base[Fornecedor],A254&amp;"")</f>
        <v/>
      </c>
      <c r="E254" s="12">
        <f>SUMIF(Base[Fornecedor],A254&amp;"",Base[Montante])</f>
        <v/>
      </c>
    </row>
    <row r="255">
      <c r="A255" t="n">
        <v>102032</v>
      </c>
      <c r="B255" t="inlineStr">
        <is>
          <t>COMPANHIA AGUAS ESGOTOS RIO GRANDE</t>
        </is>
      </c>
      <c r="C255">
        <f>IFERROR(INDEX(DePara[Categoria],MATCH(TEXT(A255,"0"),DePara[Fornecedor_txt],0)),"(sem categoria)")</f>
        <v/>
      </c>
      <c r="D255">
        <f>COUNTIF(Base[Fornecedor],A255&amp;"")</f>
        <v/>
      </c>
      <c r="E255" s="12">
        <f>SUMIF(Base[Fornecedor],A255&amp;"",Base[Montante])</f>
        <v/>
      </c>
    </row>
    <row r="256">
      <c r="A256" t="n">
        <v>101377</v>
      </c>
      <c r="B256" t="inlineStr">
        <is>
          <t>APAGUE EQUIP DE COMBATE A INCENDIO</t>
        </is>
      </c>
      <c r="C256">
        <f>IFERROR(INDEX(DePara[Categoria],MATCH(TEXT(A256,"0"),DePara[Fornecedor_txt],0)),"(sem categoria)")</f>
        <v/>
      </c>
      <c r="D256">
        <f>COUNTIF(Base[Fornecedor],A256&amp;"")</f>
        <v/>
      </c>
      <c r="E256" s="12">
        <f>SUMIF(Base[Fornecedor],A256&amp;"",Base[Montante])</f>
        <v/>
      </c>
    </row>
    <row r="257">
      <c r="A257" t="n">
        <v>115019</v>
      </c>
      <c r="B257" t="inlineStr">
        <is>
          <t>BLUEWAY TRADING IMPORTAÇAO E EXPORT SA</t>
        </is>
      </c>
      <c r="C257">
        <f>IFERROR(INDEX(DePara[Categoria],MATCH(TEXT(A257,"0"),DePara[Fornecedor_txt],0)),"(sem categoria)")</f>
        <v/>
      </c>
      <c r="D257">
        <f>COUNTIF(Base[Fornecedor],A257&amp;"")</f>
        <v/>
      </c>
      <c r="E257" s="12">
        <f>SUMIF(Base[Fornecedor],A257&amp;"",Base[Montante])</f>
        <v/>
      </c>
    </row>
    <row r="258">
      <c r="A258" t="n">
        <v>101222</v>
      </c>
      <c r="B258" t="inlineStr">
        <is>
          <t>AGROPECUARIA CANOA MIRIM SA</t>
        </is>
      </c>
      <c r="C258">
        <f>IFERROR(INDEX(DePara[Categoria],MATCH(TEXT(A258,"0"),DePara[Fornecedor_txt],0)),"(sem categoria)")</f>
        <v/>
      </c>
      <c r="D258">
        <f>COUNTIF(Base[Fornecedor],A258&amp;"")</f>
        <v/>
      </c>
      <c r="E258" s="12">
        <f>SUMIF(Base[Fornecedor],A258&amp;"",Base[Montante])</f>
        <v/>
      </c>
    </row>
    <row r="259">
      <c r="A259" t="n">
        <v>101166</v>
      </c>
      <c r="B259" t="inlineStr">
        <is>
          <t>HANSA-FLEX DO BRASIL LTDA</t>
        </is>
      </c>
      <c r="C259">
        <f>IFERROR(INDEX(DePara[Categoria],MATCH(TEXT(A259,"0"),DePara[Fornecedor_txt],0)),"(sem categoria)")</f>
        <v/>
      </c>
      <c r="D259">
        <f>COUNTIF(Base[Fornecedor],A259&amp;"")</f>
        <v/>
      </c>
      <c r="E259" s="12">
        <f>SUMIF(Base[Fornecedor],A259&amp;"",Base[Montante])</f>
        <v/>
      </c>
    </row>
    <row r="260">
      <c r="A260" t="n">
        <v>106024</v>
      </c>
      <c r="B260" t="inlineStr">
        <is>
          <t>NS AUTOMACAO E INSTRUMENTACAO LTDA 13786265000290</t>
        </is>
      </c>
      <c r="C260">
        <f>IFERROR(INDEX(DePara[Categoria],MATCH(TEXT(A260,"0"),DePara[Fornecedor_txt],0)),"(sem categoria)")</f>
        <v/>
      </c>
      <c r="D260">
        <f>COUNTIF(Base[Fornecedor],A260&amp;"")</f>
        <v/>
      </c>
      <c r="E260" s="12">
        <f>SUMIF(Base[Fornecedor],A260&amp;"",Base[Montante])</f>
        <v/>
      </c>
    </row>
    <row r="261">
      <c r="A261" t="n">
        <v>107723</v>
      </c>
      <c r="B261" t="inlineStr">
        <is>
          <t>BLUEWAY TRADING IMPORTACAO E EXPORT S.A</t>
        </is>
      </c>
      <c r="C261">
        <f>IFERROR(INDEX(DePara[Categoria],MATCH(TEXT(A261,"0"),DePara[Fornecedor_txt],0)),"(sem categoria)")</f>
        <v/>
      </c>
      <c r="D261">
        <f>COUNTIF(Base[Fornecedor],A261&amp;"")</f>
        <v/>
      </c>
      <c r="E261" s="12">
        <f>SUMIF(Base[Fornecedor],A261&amp;"",Base[Montante])</f>
        <v/>
      </c>
    </row>
    <row r="262">
      <c r="A262" t="n">
        <v>105635</v>
      </c>
      <c r="B262" t="inlineStr">
        <is>
          <t>DOIS A ENGENHARIA E TECNOLOGIA LTDA 03092799000181</t>
        </is>
      </c>
      <c r="C262">
        <f>IFERROR(INDEX(DePara[Categoria],MATCH(TEXT(A262,"0"),DePara[Fornecedor_txt],0)),"(sem categoria)")</f>
        <v/>
      </c>
      <c r="D262">
        <f>COUNTIF(Base[Fornecedor],A262&amp;"")</f>
        <v/>
      </c>
      <c r="E262" s="12">
        <f>SUMIF(Base[Fornecedor],A262&amp;"",Base[Montante])</f>
        <v/>
      </c>
    </row>
    <row r="263">
      <c r="A263" t="n">
        <v>100369</v>
      </c>
      <c r="B263" t="inlineStr">
        <is>
          <t>NUCLEO DE MONITORAMENTO DE DESCARGA</t>
        </is>
      </c>
      <c r="C263">
        <f>IFERROR(INDEX(DePara[Categoria],MATCH(TEXT(A263,"0"),DePara[Fornecedor_txt],0)),"(sem categoria)")</f>
        <v/>
      </c>
      <c r="D263">
        <f>COUNTIF(Base[Fornecedor],A263&amp;"")</f>
        <v/>
      </c>
      <c r="E263" s="12">
        <f>SUMIF(Base[Fornecedor],A263&amp;"",Base[Montante])</f>
        <v/>
      </c>
    </row>
    <row r="264">
      <c r="A264" t="n">
        <v>102067</v>
      </c>
      <c r="B264" t="inlineStr">
        <is>
          <t>SUPRICORP SUPRIMENTOS LTDA</t>
        </is>
      </c>
      <c r="C264">
        <f>IFERROR(INDEX(DePara[Categoria],MATCH(TEXT(A264,"0"),DePara[Fornecedor_txt],0)),"(sem categoria)")</f>
        <v/>
      </c>
      <c r="D264">
        <f>COUNTIF(Base[Fornecedor],A264&amp;"")</f>
        <v/>
      </c>
      <c r="E264" s="12">
        <f>SUMIF(Base[Fornecedor],A264&amp;"",Base[Montante])</f>
        <v/>
      </c>
    </row>
    <row r="265">
      <c r="A265" t="n">
        <v>106331</v>
      </c>
      <c r="B265" t="inlineStr">
        <is>
          <t>INTERCARGAS ENCOMENDAS E CARGAS LTD</t>
        </is>
      </c>
      <c r="C265">
        <f>IFERROR(INDEX(DePara[Categoria],MATCH(TEXT(A265,"0"),DePara[Fornecedor_txt],0)),"(sem categoria)")</f>
        <v/>
      </c>
      <c r="D265">
        <f>COUNTIF(Base[Fornecedor],A265&amp;"")</f>
        <v/>
      </c>
      <c r="E265" s="12">
        <f>SUMIF(Base[Fornecedor],A265&amp;"",Base[Montante])</f>
        <v/>
      </c>
    </row>
    <row r="266">
      <c r="A266" t="n">
        <v>101687</v>
      </c>
      <c r="B266" t="inlineStr">
        <is>
          <t>UNIAO EDUCACIONAL T IMPACTA U IMPAC</t>
        </is>
      </c>
      <c r="C266">
        <f>IFERROR(INDEX(DePara[Categoria],MATCH(TEXT(A266,"0"),DePara[Fornecedor_txt],0)),"(sem categoria)")</f>
        <v/>
      </c>
      <c r="D266">
        <f>COUNTIF(Base[Fornecedor],A266&amp;"")</f>
        <v/>
      </c>
      <c r="E266" s="12">
        <f>SUMIF(Base[Fornecedor],A266&amp;"",Base[Montante])</f>
        <v/>
      </c>
    </row>
    <row r="267">
      <c r="A267" t="n">
        <v>103681</v>
      </c>
      <c r="B267" t="inlineStr">
        <is>
          <t>SECRETARIA DA FAZENDA BAHIA</t>
        </is>
      </c>
      <c r="C267">
        <f>IFERROR(INDEX(DePara[Categoria],MATCH(TEXT(A267,"0"),DePara[Fornecedor_txt],0)),"(sem categoria)")</f>
        <v/>
      </c>
      <c r="D267">
        <f>COUNTIF(Base[Fornecedor],A267&amp;"")</f>
        <v/>
      </c>
      <c r="E267" s="12">
        <f>SUMIF(Base[Fornecedor],A267&amp;"",Base[Montante])</f>
        <v/>
      </c>
    </row>
    <row r="268">
      <c r="A268" t="n">
        <v>100855</v>
      </c>
      <c r="B268" t="inlineStr">
        <is>
          <t>LAVITA SERVICOS DE LAVANDERIA E TIN</t>
        </is>
      </c>
      <c r="C268">
        <f>IFERROR(INDEX(DePara[Categoria],MATCH(TEXT(A268,"0"),DePara[Fornecedor_txt],0)),"(sem categoria)")</f>
        <v/>
      </c>
      <c r="D268">
        <f>COUNTIF(Base[Fornecedor],A268&amp;"")</f>
        <v/>
      </c>
      <c r="E268" s="12">
        <f>SUMIF(Base[Fornecedor],A268&amp;"",Base[Montante])</f>
        <v/>
      </c>
    </row>
    <row r="269">
      <c r="A269" t="n">
        <v>105237</v>
      </c>
      <c r="B269" t="inlineStr">
        <is>
          <t>TGP BRASIL PROJETOS &amp; TRANSPORTES I 07752487000108</t>
        </is>
      </c>
      <c r="C269">
        <f>IFERROR(INDEX(DePara[Categoria],MATCH(TEXT(A269,"0"),DePara[Fornecedor_txt],0)),"(sem categoria)")</f>
        <v/>
      </c>
      <c r="D269">
        <f>COUNTIF(Base[Fornecedor],A269&amp;"")</f>
        <v/>
      </c>
      <c r="E269" s="12">
        <f>SUMIF(Base[Fornecedor],A269&amp;"",Base[Montante])</f>
        <v/>
      </c>
    </row>
    <row r="270">
      <c r="A270" t="n">
        <v>100028</v>
      </c>
      <c r="B270" t="inlineStr">
        <is>
          <t>SUPPLOG PORTO SECO DE IPOJUCA LTDA</t>
        </is>
      </c>
      <c r="C270">
        <f>IFERROR(INDEX(DePara[Categoria],MATCH(TEXT(A270,"0"),DePara[Fornecedor_txt],0)),"(sem categoria)")</f>
        <v/>
      </c>
      <c r="D270">
        <f>COUNTIF(Base[Fornecedor],A270&amp;"")</f>
        <v/>
      </c>
      <c r="E270" s="12">
        <f>SUMIF(Base[Fornecedor],A270&amp;"",Base[Montante])</f>
        <v/>
      </c>
    </row>
    <row r="271">
      <c r="A271" t="n">
        <v>100183</v>
      </c>
      <c r="B271" t="inlineStr">
        <is>
          <t>AGL TRANSPORTES INTERNACIONAIS LTDA</t>
        </is>
      </c>
      <c r="C271">
        <f>IFERROR(INDEX(DePara[Categoria],MATCH(TEXT(A271,"0"),DePara[Fornecedor_txt],0)),"(sem categoria)")</f>
        <v/>
      </c>
      <c r="D271">
        <f>COUNTIF(Base[Fornecedor],A271&amp;"")</f>
        <v/>
      </c>
      <c r="E271" s="12">
        <f>SUMIF(Base[Fornecedor],A271&amp;"",Base[Montante])</f>
        <v/>
      </c>
    </row>
    <row r="272">
      <c r="A272" t="n">
        <v>100124</v>
      </c>
      <c r="B272" t="inlineStr">
        <is>
          <t>PERMETAL S A METAIS PERFURADOS</t>
        </is>
      </c>
      <c r="C272">
        <f>IFERROR(INDEX(DePara[Categoria],MATCH(TEXT(A272,"0"),DePara[Fornecedor_txt],0)),"(sem categoria)")</f>
        <v/>
      </c>
      <c r="D272">
        <f>COUNTIF(Base[Fornecedor],A272&amp;"")</f>
        <v/>
      </c>
      <c r="E272" s="12">
        <f>SUMIF(Base[Fornecedor],A272&amp;"",Base[Montante])</f>
        <v/>
      </c>
    </row>
    <row r="273">
      <c r="A273" t="n">
        <v>102057</v>
      </c>
      <c r="B273" t="inlineStr">
        <is>
          <t>AERIS INDUSTRIA E COM EQUI GERACAO</t>
        </is>
      </c>
      <c r="C273">
        <f>IFERROR(INDEX(DePara[Categoria],MATCH(TEXT(A273,"0"),DePara[Fornecedor_txt],0)),"(sem categoria)")</f>
        <v/>
      </c>
      <c r="D273">
        <f>COUNTIF(Base[Fornecedor],A273&amp;"")</f>
        <v/>
      </c>
      <c r="E273" s="12">
        <f>SUMIF(Base[Fornecedor],A273&amp;"",Base[Montante])</f>
        <v/>
      </c>
    </row>
    <row r="274">
      <c r="A274" t="n">
        <v>101836</v>
      </c>
      <c r="B274" t="inlineStr">
        <is>
          <t>SIKA S/A</t>
        </is>
      </c>
      <c r="C274">
        <f>IFERROR(INDEX(DePara[Categoria],MATCH(TEXT(A274,"0"),DePara[Fornecedor_txt],0)),"(sem categoria)")</f>
        <v/>
      </c>
      <c r="D274">
        <f>COUNTIF(Base[Fornecedor],A274&amp;"")</f>
        <v/>
      </c>
      <c r="E274" s="12">
        <f>SUMIF(Base[Fornecedor],A274&amp;"",Base[Montante])</f>
        <v/>
      </c>
    </row>
    <row r="275">
      <c r="A275" t="n">
        <v>107311</v>
      </c>
      <c r="B275" t="inlineStr">
        <is>
          <t>BRS SUPRIMENTOS CORPORATIVOS S A</t>
        </is>
      </c>
      <c r="C275">
        <f>IFERROR(INDEX(DePara[Categoria],MATCH(TEXT(A275,"0"),DePara[Fornecedor_txt],0)),"(sem categoria)")</f>
        <v/>
      </c>
      <c r="D275">
        <f>COUNTIF(Base[Fornecedor],A275&amp;"")</f>
        <v/>
      </c>
      <c r="E275" s="12">
        <f>SUMIF(Base[Fornecedor],A275&amp;"",Base[Montante])</f>
        <v/>
      </c>
    </row>
    <row r="276">
      <c r="A276" t="n">
        <v>100390</v>
      </c>
      <c r="B276" t="inlineStr">
        <is>
          <t>GREEN ENERGIA SERVICOS TECNICOS DE</t>
        </is>
      </c>
      <c r="C276">
        <f>IFERROR(INDEX(DePara[Categoria],MATCH(TEXT(A276,"0"),DePara[Fornecedor_txt],0)),"(sem categoria)")</f>
        <v/>
      </c>
      <c r="D276">
        <f>COUNTIF(Base[Fornecedor],A276&amp;"")</f>
        <v/>
      </c>
      <c r="E276" s="12">
        <f>SUMIF(Base[Fornecedor],A276&amp;"",Base[Montante])</f>
        <v/>
      </c>
    </row>
    <row r="277">
      <c r="A277" t="n">
        <v>101255</v>
      </c>
      <c r="B277" t="inlineStr">
        <is>
          <t>WILSON SONS LOGISTICA LTDA</t>
        </is>
      </c>
      <c r="C277">
        <f>IFERROR(INDEX(DePara[Categoria],MATCH(TEXT(A277,"0"),DePara[Fornecedor_txt],0)),"(sem categoria)")</f>
        <v/>
      </c>
      <c r="D277">
        <f>COUNTIF(Base[Fornecedor],A277&amp;"")</f>
        <v/>
      </c>
      <c r="E277" s="12">
        <f>SUMIF(Base[Fornecedor],A277&amp;"",Base[Montante])</f>
        <v/>
      </c>
    </row>
    <row r="278">
      <c r="A278" t="n">
        <v>102118</v>
      </c>
      <c r="B278" t="inlineStr">
        <is>
          <t>EMP BRASILEIRA DE CORREIOS E TELEGR</t>
        </is>
      </c>
      <c r="C278">
        <f>IFERROR(INDEX(DePara[Categoria],MATCH(TEXT(A278,"0"),DePara[Fornecedor_txt],0)),"(sem categoria)")</f>
        <v/>
      </c>
      <c r="D278">
        <f>COUNTIF(Base[Fornecedor],A278&amp;"")</f>
        <v/>
      </c>
      <c r="E278" s="12">
        <f>SUMIF(Base[Fornecedor],A278&amp;"",Base[Montante])</f>
        <v/>
      </c>
    </row>
    <row r="279">
      <c r="A279" t="n">
        <v>100469</v>
      </c>
      <c r="B279" t="inlineStr">
        <is>
          <t>NELSON HEUSI LOGISTICA E ARMAZENS G</t>
        </is>
      </c>
      <c r="C279">
        <f>IFERROR(INDEX(DePara[Categoria],MATCH(TEXT(A279,"0"),DePara[Fornecedor_txt],0)),"(sem categoria)")</f>
        <v/>
      </c>
      <c r="D279">
        <f>COUNTIF(Base[Fornecedor],A279&amp;"")</f>
        <v/>
      </c>
      <c r="E279" s="12">
        <f>SUMIF(Base[Fornecedor],A279&amp;"",Base[Montante])</f>
        <v/>
      </c>
    </row>
    <row r="280">
      <c r="A280" t="n">
        <v>101948</v>
      </c>
      <c r="B280" t="inlineStr">
        <is>
          <t>INSTITUTO BRAS DO MEIO AMBIEN E DOS</t>
        </is>
      </c>
      <c r="C280">
        <f>IFERROR(INDEX(DePara[Categoria],MATCH(TEXT(A280,"0"),DePara[Fornecedor_txt],0)),"(sem categoria)")</f>
        <v/>
      </c>
      <c r="D280">
        <f>COUNTIF(Base[Fornecedor],A280&amp;"")</f>
        <v/>
      </c>
      <c r="E280" s="12">
        <f>SUMIF(Base[Fornecedor],A280&amp;"",Base[Montante])</f>
        <v/>
      </c>
    </row>
    <row r="281">
      <c r="A281" t="inlineStr">
        <is>
          <t>EM000394</t>
        </is>
      </c>
      <c r="B281" t="inlineStr">
        <is>
          <t>WAGNER DELLA FLORA GROSS</t>
        </is>
      </c>
      <c r="C281">
        <f>IFERROR(INDEX(DePara[Categoria],MATCH(TEXT(A281,"0"),DePara[Fornecedor_txt],0)),"(sem categoria)")</f>
        <v/>
      </c>
      <c r="D281">
        <f>COUNTIF(Base[Fornecedor],A281&amp;"")</f>
        <v/>
      </c>
      <c r="E281" s="12">
        <f>SUMIF(Base[Fornecedor],A281&amp;"",Base[Montante])</f>
        <v/>
      </c>
    </row>
    <row r="282">
      <c r="A282" t="n">
        <v>104134</v>
      </c>
      <c r="B282" t="inlineStr">
        <is>
          <t>B&amp;M LOGISTICA INTERNACIONAL LTDA 07720307000106</t>
        </is>
      </c>
      <c r="C282">
        <f>IFERROR(INDEX(DePara[Categoria],MATCH(TEXT(A282,"0"),DePara[Fornecedor_txt],0)),"(sem categoria)")</f>
        <v/>
      </c>
      <c r="D282">
        <f>COUNTIF(Base[Fornecedor],A282&amp;"")</f>
        <v/>
      </c>
      <c r="E282" s="12">
        <f>SUMIF(Base[Fornecedor],A282&amp;"",Base[Montante])</f>
        <v/>
      </c>
    </row>
    <row r="283">
      <c r="A283" t="n">
        <v>103904</v>
      </c>
      <c r="B283" t="inlineStr">
        <is>
          <t>EDSON MELO</t>
        </is>
      </c>
      <c r="C283">
        <f>IFERROR(INDEX(DePara[Categoria],MATCH(TEXT(A283,"0"),DePara[Fornecedor_txt],0)),"(sem categoria)")</f>
        <v/>
      </c>
      <c r="D283">
        <f>COUNTIF(Base[Fornecedor],A283&amp;"")</f>
        <v/>
      </c>
      <c r="E283" s="12">
        <f>SUMIF(Base[Fornecedor],A283&amp;"",Base[Montante])</f>
        <v/>
      </c>
    </row>
    <row r="284">
      <c r="A284" t="n">
        <v>102077</v>
      </c>
      <c r="B284" t="inlineStr">
        <is>
          <t>SINDICATO IND MET MEC E MAT EL NO E</t>
        </is>
      </c>
      <c r="C284">
        <f>IFERROR(INDEX(DePara[Categoria],MATCH(TEXT(A284,"0"),DePara[Fornecedor_txt],0)),"(sem categoria)")</f>
        <v/>
      </c>
      <c r="D284">
        <f>COUNTIF(Base[Fornecedor],A284&amp;"")</f>
        <v/>
      </c>
      <c r="E284" s="12">
        <f>SUMIF(Base[Fornecedor],A284&amp;"",Base[Montante])</f>
        <v/>
      </c>
    </row>
    <row r="285">
      <c r="A285" t="n">
        <v>101855</v>
      </c>
      <c r="B285" t="inlineStr">
        <is>
          <t>GERDAU ACOS LONGOS SA</t>
        </is>
      </c>
      <c r="C285">
        <f>IFERROR(INDEX(DePara[Categoria],MATCH(TEXT(A285,"0"),DePara[Fornecedor_txt],0)),"(sem categoria)")</f>
        <v/>
      </c>
      <c r="D285">
        <f>COUNTIF(Base[Fornecedor],A285&amp;"")</f>
        <v/>
      </c>
      <c r="E285" s="12">
        <f>SUMIF(Base[Fornecedor],A285&amp;"",Base[Montante])</f>
        <v/>
      </c>
    </row>
    <row r="286">
      <c r="A286" t="n">
        <v>100555</v>
      </c>
      <c r="B286" t="inlineStr">
        <is>
          <t>MAC CONSULTORIA E LOGISTICA LTDA</t>
        </is>
      </c>
      <c r="C286">
        <f>IFERROR(INDEX(DePara[Categoria],MATCH(TEXT(A286,"0"),DePara[Fornecedor_txt],0)),"(sem categoria)")</f>
        <v/>
      </c>
      <c r="D286">
        <f>COUNTIF(Base[Fornecedor],A286&amp;"")</f>
        <v/>
      </c>
      <c r="E286" s="12">
        <f>SUMIF(Base[Fornecedor],A286&amp;"",Base[Montante])</f>
        <v/>
      </c>
    </row>
    <row r="287">
      <c r="A287" t="n">
        <v>103744</v>
      </c>
      <c r="B287" t="inlineStr">
        <is>
          <t>J G SERVICOS DE HOSPEDAGEM LTDA</t>
        </is>
      </c>
      <c r="C287">
        <f>IFERROR(INDEX(DePara[Categoria],MATCH(TEXT(A287,"0"),DePara[Fornecedor_txt],0)),"(sem categoria)")</f>
        <v/>
      </c>
      <c r="D287">
        <f>COUNTIF(Base[Fornecedor],A287&amp;"")</f>
        <v/>
      </c>
      <c r="E287" s="12">
        <f>SUMIF(Base[Fornecedor],A287&amp;"",Base[Montante])</f>
        <v/>
      </c>
    </row>
    <row r="288">
      <c r="A288" t="n">
        <v>101813</v>
      </c>
      <c r="B288" t="inlineStr">
        <is>
          <t>TECON RIO GRANDE SA</t>
        </is>
      </c>
      <c r="C288">
        <f>IFERROR(INDEX(DePara[Categoria],MATCH(TEXT(A288,"0"),DePara[Fornecedor_txt],0)),"(sem categoria)")</f>
        <v/>
      </c>
      <c r="D288">
        <f>COUNTIF(Base[Fornecedor],A288&amp;"")</f>
        <v/>
      </c>
      <c r="E288" s="12">
        <f>SUMIF(Base[Fornecedor],A288&amp;"",Base[Montante])</f>
        <v/>
      </c>
    </row>
    <row r="289">
      <c r="A289" t="n">
        <v>102485</v>
      </c>
      <c r="B289" t="inlineStr">
        <is>
          <t>SUATA SERVICO UNIFICADO DE ARMAZENA</t>
        </is>
      </c>
      <c r="C289">
        <f>IFERROR(INDEX(DePara[Categoria],MATCH(TEXT(A289,"0"),DePara[Fornecedor_txt],0)),"(sem categoria)")</f>
        <v/>
      </c>
      <c r="D289">
        <f>COUNTIF(Base[Fornecedor],A289&amp;"")</f>
        <v/>
      </c>
      <c r="E289" s="12">
        <f>SUMIF(Base[Fornecedor],A289&amp;"",Base[Montante])</f>
        <v/>
      </c>
    </row>
    <row r="290">
      <c r="A290" t="n">
        <v>100920</v>
      </c>
      <c r="B290" t="inlineStr">
        <is>
          <t>DSV SOLUTIONS BRASIL SERVICOS DE LO</t>
        </is>
      </c>
      <c r="C290">
        <f>IFERROR(INDEX(DePara[Categoria],MATCH(TEXT(A290,"0"),DePara[Fornecedor_txt],0)),"(sem categoria)")</f>
        <v/>
      </c>
      <c r="D290">
        <f>COUNTIF(Base[Fornecedor],A290&amp;"")</f>
        <v/>
      </c>
      <c r="E290" s="12">
        <f>SUMIF(Base[Fornecedor],A290&amp;"",Base[Montante])</f>
        <v/>
      </c>
    </row>
    <row r="291">
      <c r="A291" t="n">
        <v>102030</v>
      </c>
      <c r="B291" t="inlineStr">
        <is>
          <t>TECON SALVADOR SA</t>
        </is>
      </c>
      <c r="C291">
        <f>IFERROR(INDEX(DePara[Categoria],MATCH(TEXT(A291,"0"),DePara[Fornecedor_txt],0)),"(sem categoria)")</f>
        <v/>
      </c>
      <c r="D291">
        <f>COUNTIF(Base[Fornecedor],A291&amp;"")</f>
        <v/>
      </c>
      <c r="E291" s="12">
        <f>SUMIF(Base[Fornecedor],A291&amp;"",Base[Montante])</f>
        <v/>
      </c>
    </row>
    <row r="292">
      <c r="A292" t="n">
        <v>101969</v>
      </c>
      <c r="B292" t="inlineStr">
        <is>
          <t>SECRETARIA DE ESTADO DA FAZENDA RN</t>
        </is>
      </c>
      <c r="C292">
        <f>IFERROR(INDEX(DePara[Categoria],MATCH(TEXT(A292,"0"),DePara[Fornecedor_txt],0)),"(sem categoria)")</f>
        <v/>
      </c>
      <c r="D292">
        <f>COUNTIF(Base[Fornecedor],A292&amp;"")</f>
        <v/>
      </c>
      <c r="E292" s="12">
        <f>SUMIF(Base[Fornecedor],A292&amp;"",Base[Montante])</f>
        <v/>
      </c>
    </row>
    <row r="293">
      <c r="A293" t="n">
        <v>101858</v>
      </c>
      <c r="B293" t="inlineStr">
        <is>
          <t>PAULO FRANCO SOCIEDADE DE ADVOGADOS</t>
        </is>
      </c>
      <c r="C293">
        <f>IFERROR(INDEX(DePara[Categoria],MATCH(TEXT(A293,"0"),DePara[Fornecedor_txt],0)),"(sem categoria)")</f>
        <v/>
      </c>
      <c r="D293">
        <f>COUNTIF(Base[Fornecedor],A293&amp;"")</f>
        <v/>
      </c>
      <c r="E293" s="12">
        <f>SUMIF(Base[Fornecedor],A293&amp;"",Base[Montante])</f>
        <v/>
      </c>
    </row>
    <row r="294">
      <c r="A294" t="n">
        <v>100800</v>
      </c>
      <c r="B294" t="inlineStr">
        <is>
          <t>TOXICLIN SERVICOS MEDICOS EIRELI</t>
        </is>
      </c>
      <c r="C294">
        <f>IFERROR(INDEX(DePara[Categoria],MATCH(TEXT(A294,"0"),DePara[Fornecedor_txt],0)),"(sem categoria)")</f>
        <v/>
      </c>
      <c r="D294">
        <f>COUNTIF(Base[Fornecedor],A294&amp;"")</f>
        <v/>
      </c>
      <c r="E294" s="12">
        <f>SUMIF(Base[Fornecedor],A294&amp;"",Base[Montante])</f>
        <v/>
      </c>
    </row>
    <row r="295">
      <c r="A295" t="n">
        <v>102123</v>
      </c>
      <c r="B295" t="inlineStr">
        <is>
          <t>COLUMBIA DO NORDESTE S A</t>
        </is>
      </c>
      <c r="C295">
        <f>IFERROR(INDEX(DePara[Categoria],MATCH(TEXT(A295,"0"),DePara[Fornecedor_txt],0)),"(sem categoria)")</f>
        <v/>
      </c>
      <c r="D295">
        <f>COUNTIF(Base[Fornecedor],A295&amp;"")</f>
        <v/>
      </c>
      <c r="E295" s="12">
        <f>SUMIF(Base[Fornecedor],A295&amp;"",Base[Montante])</f>
        <v/>
      </c>
    </row>
    <row r="296">
      <c r="A296" t="n">
        <v>102144</v>
      </c>
      <c r="B296" t="inlineStr">
        <is>
          <t>KALEIDO FREIGHT SERVICES B A L I LT</t>
        </is>
      </c>
      <c r="C296">
        <f>IFERROR(INDEX(DePara[Categoria],MATCH(TEXT(A296,"0"),DePara[Fornecedor_txt],0)),"(sem categoria)")</f>
        <v/>
      </c>
      <c r="D296">
        <f>COUNTIF(Base[Fornecedor],A296&amp;"")</f>
        <v/>
      </c>
      <c r="E296" s="12">
        <f>SUMIF(Base[Fornecedor],A296&amp;"",Base[Montante])</f>
        <v/>
      </c>
    </row>
    <row r="297">
      <c r="A297" t="n">
        <v>102014</v>
      </c>
      <c r="B297" t="inlineStr">
        <is>
          <t>DSV AIR &amp; SEA LOGISTICA LTDA</t>
        </is>
      </c>
      <c r="C297">
        <f>IFERROR(INDEX(DePara[Categoria],MATCH(TEXT(A297,"0"),DePara[Fornecedor_txt],0)),"(sem categoria)")</f>
        <v/>
      </c>
      <c r="D297">
        <f>COUNTIF(Base[Fornecedor],A297&amp;"")</f>
        <v/>
      </c>
      <c r="E297" s="12">
        <f>SUMIF(Base[Fornecedor],A297&amp;"",Base[Montante])</f>
        <v/>
      </c>
    </row>
    <row r="298">
      <c r="A298" t="n">
        <v>101041</v>
      </c>
      <c r="B298" t="inlineStr">
        <is>
          <t>DSV UTI AIR &amp; SEA AGENCIAMENTO DE T</t>
        </is>
      </c>
      <c r="C298">
        <f>IFERROR(INDEX(DePara[Categoria],MATCH(TEXT(A298,"0"),DePara[Fornecedor_txt],0)),"(sem categoria)")</f>
        <v/>
      </c>
      <c r="D298">
        <f>COUNTIF(Base[Fornecedor],A298&amp;"")</f>
        <v/>
      </c>
      <c r="E298" s="12">
        <f>SUMIF(Base[Fornecedor],A298&amp;"",Base[Montante])</f>
        <v/>
      </c>
    </row>
    <row r="299">
      <c r="A299" t="n">
        <v>101237</v>
      </c>
      <c r="B299" t="inlineStr">
        <is>
          <t>EURO AMERICA ASSESSORIA DESPACHOS</t>
        </is>
      </c>
      <c r="C299">
        <f>IFERROR(INDEX(DePara[Categoria],MATCH(TEXT(A299,"0"),DePara[Fornecedor_txt],0)),"(sem categoria)")</f>
        <v/>
      </c>
      <c r="D299">
        <f>COUNTIF(Base[Fornecedor],A299&amp;"")</f>
        <v/>
      </c>
      <c r="E299" s="12">
        <f>SUMIF(Base[Fornecedor],A299&amp;"",Base[Montante])</f>
        <v/>
      </c>
    </row>
    <row r="300">
      <c r="A300" t="n">
        <v>103687</v>
      </c>
      <c r="B300" t="inlineStr">
        <is>
          <t>MALAGRINO JOSE ANTONIO</t>
        </is>
      </c>
      <c r="C300">
        <f>IFERROR(INDEX(DePara[Categoria],MATCH(TEXT(A300,"0"),DePara[Fornecedor_txt],0)),"(sem categoria)")</f>
        <v/>
      </c>
      <c r="D300">
        <f>COUNTIF(Base[Fornecedor],A300&amp;"")</f>
        <v/>
      </c>
      <c r="E300" s="12">
        <f>SUMIF(Base[Fornecedor],A300&amp;"",Base[Montante])</f>
        <v/>
      </c>
    </row>
    <row r="301">
      <c r="A301" t="n">
        <v>101320</v>
      </c>
      <c r="B301" t="inlineStr">
        <is>
          <t>MUNICIPIO DE QUEIMADA NOVA</t>
        </is>
      </c>
      <c r="C301">
        <f>IFERROR(INDEX(DePara[Categoria],MATCH(TEXT(A301,"0"),DePara[Fornecedor_txt],0)),"(sem categoria)")</f>
        <v/>
      </c>
      <c r="D301">
        <f>COUNTIF(Base[Fornecedor],A301&amp;"")</f>
        <v/>
      </c>
      <c r="E301" s="12">
        <f>SUMIF(Base[Fornecedor],A301&amp;"",Base[Montante])</f>
        <v/>
      </c>
    </row>
    <row r="302">
      <c r="A302" t="n">
        <v>101043</v>
      </c>
      <c r="B302" t="inlineStr">
        <is>
          <t>AEROPORTO BRASIL VIRACOPOS SA</t>
        </is>
      </c>
      <c r="C302">
        <f>IFERROR(INDEX(DePara[Categoria],MATCH(TEXT(A302,"0"),DePara[Fornecedor_txt],0)),"(sem categoria)")</f>
        <v/>
      </c>
      <c r="D302">
        <f>COUNTIF(Base[Fornecedor],A302&amp;"")</f>
        <v/>
      </c>
      <c r="E302" s="12">
        <f>SUMIF(Base[Fornecedor],A302&amp;"",Base[Montante])</f>
        <v/>
      </c>
    </row>
    <row r="303">
      <c r="A303" t="n">
        <v>101215</v>
      </c>
      <c r="B303" t="inlineStr">
        <is>
          <t>ECOPORTO SANTOS SA</t>
        </is>
      </c>
      <c r="C303">
        <f>IFERROR(INDEX(DePara[Categoria],MATCH(TEXT(A303,"0"),DePara[Fornecedor_txt],0)),"(sem categoria)")</f>
        <v/>
      </c>
      <c r="D303">
        <f>COUNTIF(Base[Fornecedor],A303&amp;"")</f>
        <v/>
      </c>
      <c r="E303" s="12">
        <f>SUMIF(Base[Fornecedor],A303&amp;"",Base[Montante])</f>
        <v/>
      </c>
    </row>
    <row r="304">
      <c r="A304" t="n">
        <v>100877</v>
      </c>
      <c r="B304" t="inlineStr">
        <is>
          <t>TRANSPORTES AEREOS PORTUGUESES SA</t>
        </is>
      </c>
      <c r="C304">
        <f>IFERROR(INDEX(DePara[Categoria],MATCH(TEXT(A304,"0"),DePara[Fornecedor_txt],0)),"(sem categoria)")</f>
        <v/>
      </c>
      <c r="D304">
        <f>COUNTIF(Base[Fornecedor],A304&amp;"")</f>
        <v/>
      </c>
      <c r="E304" s="12">
        <f>SUMIF(Base[Fornecedor],A304&amp;"",Base[Montante])</f>
        <v/>
      </c>
    </row>
    <row r="305">
      <c r="A305" t="n">
        <v>100014</v>
      </c>
      <c r="B305" t="inlineStr">
        <is>
          <t xml:space="preserve"> TRANSITEX DO BRASIL SERVIÇOS DE LO</t>
        </is>
      </c>
      <c r="C305">
        <f>IFERROR(INDEX(DePara[Categoria],MATCH(TEXT(A305,"0"),DePara[Fornecedor_txt],0)),"(sem categoria)")</f>
        <v/>
      </c>
      <c r="D305">
        <f>COUNTIF(Base[Fornecedor],A305&amp;"")</f>
        <v/>
      </c>
      <c r="E305" s="12">
        <f>SUMIF(Base[Fornecedor],A305&amp;"",Base[Montante])</f>
        <v/>
      </c>
    </row>
    <row r="306">
      <c r="A306" t="n">
        <v>102297</v>
      </c>
      <c r="B306" t="inlineStr">
        <is>
          <t>ENEDINO DANIEL DA SILVA</t>
        </is>
      </c>
      <c r="C306">
        <f>IFERROR(INDEX(DePara[Categoria],MATCH(TEXT(A306,"0"),DePara[Fornecedor_txt],0)),"(sem categoria)")</f>
        <v/>
      </c>
      <c r="D306">
        <f>COUNTIF(Base[Fornecedor],A306&amp;"")</f>
        <v/>
      </c>
      <c r="E306" s="12">
        <f>SUMIF(Base[Fornecedor],A306&amp;"",Base[Montante])</f>
        <v/>
      </c>
    </row>
    <row r="307">
      <c r="A307" t="n">
        <v>100910</v>
      </c>
      <c r="B307" t="inlineStr">
        <is>
          <t>DSV AIR E SEA BRASIL LTDA</t>
        </is>
      </c>
      <c r="C307">
        <f>IFERROR(INDEX(DePara[Categoria],MATCH(TEXT(A307,"0"),DePara[Fornecedor_txt],0)),"(sem categoria)")</f>
        <v/>
      </c>
      <c r="D307">
        <f>COUNTIF(Base[Fornecedor],A307&amp;"")</f>
        <v/>
      </c>
      <c r="E307" s="12">
        <f>SUMIF(Base[Fornecedor],A307&amp;"",Base[Montante])</f>
        <v/>
      </c>
    </row>
    <row r="308">
      <c r="A308" t="n">
        <v>100956</v>
      </c>
      <c r="B308" t="inlineStr">
        <is>
          <t>BREMER LLOYD BRAZIL LOGISTICS LTDA</t>
        </is>
      </c>
      <c r="C308">
        <f>IFERROR(INDEX(DePara[Categoria],MATCH(TEXT(A308,"0"),DePara[Fornecedor_txt],0)),"(sem categoria)")</f>
        <v/>
      </c>
      <c r="D308">
        <f>COUNTIF(Base[Fornecedor],A308&amp;"")</f>
        <v/>
      </c>
      <c r="E308" s="12">
        <f>SUMIF(Base[Fornecedor],A308&amp;"",Base[Montante])</f>
        <v/>
      </c>
    </row>
    <row r="309">
      <c r="A309" t="n">
        <v>102332</v>
      </c>
      <c r="B309" t="inlineStr">
        <is>
          <t>RAFAEL ANTONIO SAADI</t>
        </is>
      </c>
      <c r="C309">
        <f>IFERROR(INDEX(DePara[Categoria],MATCH(TEXT(A309,"0"),DePara[Fornecedor_txt],0)),"(sem categoria)")</f>
        <v/>
      </c>
      <c r="D309">
        <f>COUNTIF(Base[Fornecedor],A309&amp;"")</f>
        <v/>
      </c>
      <c r="E309" s="12">
        <f>SUMIF(Base[Fornecedor],A309&amp;"",Base[Montante])</f>
        <v/>
      </c>
    </row>
    <row r="310">
      <c r="A310" t="n">
        <v>100446</v>
      </c>
      <c r="B310" t="inlineStr">
        <is>
          <t>DSV AIR &amp; SEA BRASIL LTDA</t>
        </is>
      </c>
      <c r="C310">
        <f>IFERROR(INDEX(DePara[Categoria],MATCH(TEXT(A310,"0"),DePara[Fornecedor_txt],0)),"(sem categoria)")</f>
        <v/>
      </c>
      <c r="D310">
        <f>COUNTIF(Base[Fornecedor],A310&amp;"")</f>
        <v/>
      </c>
      <c r="E310" s="12">
        <f>SUMIF(Base[Fornecedor],A310&amp;"",Base[Montante])</f>
        <v/>
      </c>
    </row>
    <row r="311">
      <c r="A311" t="n">
        <v>100447</v>
      </c>
      <c r="B311" t="inlineStr">
        <is>
          <t>DSV AIR &amp; SEA BRASIL LTDA</t>
        </is>
      </c>
      <c r="C311">
        <f>IFERROR(INDEX(DePara[Categoria],MATCH(TEXT(A311,"0"),DePara[Fornecedor_txt],0)),"(sem categoria)")</f>
        <v/>
      </c>
      <c r="D311">
        <f>COUNTIF(Base[Fornecedor],A311&amp;"")</f>
        <v/>
      </c>
      <c r="E311" s="12">
        <f>SUMIF(Base[Fornecedor],A311&amp;"",Base[Montante])</f>
        <v/>
      </c>
    </row>
    <row r="312">
      <c r="A312" t="n">
        <v>101562</v>
      </c>
      <c r="B312" t="inlineStr">
        <is>
          <t>MUNICIPIO DE DIAS D AVILA</t>
        </is>
      </c>
      <c r="C312">
        <f>IFERROR(INDEX(DePara[Categoria],MATCH(TEXT(A312,"0"),DePara[Fornecedor_txt],0)),"(sem categoria)")</f>
        <v/>
      </c>
      <c r="D312">
        <f>COUNTIF(Base[Fornecedor],A312&amp;"")</f>
        <v/>
      </c>
      <c r="E312" s="12">
        <f>SUMIF(Base[Fornecedor],A312&amp;"",Base[Montante])</f>
        <v/>
      </c>
    </row>
    <row r="313">
      <c r="A313" t="n">
        <v>103689</v>
      </c>
      <c r="B313" t="inlineStr">
        <is>
          <t>MUNICIPIO DE BROTAS DE MACAUBAS</t>
        </is>
      </c>
      <c r="C313">
        <f>IFERROR(INDEX(DePara[Categoria],MATCH(TEXT(A313,"0"),DePara[Fornecedor_txt],0)),"(sem categoria)")</f>
        <v/>
      </c>
      <c r="D313">
        <f>COUNTIF(Base[Fornecedor],A313&amp;"")</f>
        <v/>
      </c>
      <c r="E313" s="12">
        <f>SUMIF(Base[Fornecedor],A313&amp;"",Base[Montante])</f>
        <v/>
      </c>
    </row>
    <row r="314">
      <c r="A314" t="n">
        <v>102028</v>
      </c>
      <c r="B314" t="inlineStr">
        <is>
          <t>DSV AIR &amp; SEA LOGISTICA LTDA.</t>
        </is>
      </c>
      <c r="C314">
        <f>IFERROR(INDEX(DePara[Categoria],MATCH(TEXT(A314,"0"),DePara[Fornecedor_txt],0)),"(sem categoria)")</f>
        <v/>
      </c>
      <c r="D314">
        <f>COUNTIF(Base[Fornecedor],A314&amp;"")</f>
        <v/>
      </c>
      <c r="E314" s="12">
        <f>SUMIF(Base[Fornecedor],A314&amp;"",Base[Montante])</f>
        <v/>
      </c>
    </row>
    <row r="315">
      <c r="A315" t="n">
        <v>101542</v>
      </c>
      <c r="B315" t="inlineStr">
        <is>
          <t>PREFEITURA MUNICIPAL DE MOSSORO</t>
        </is>
      </c>
      <c r="C315">
        <f>IFERROR(INDEX(DePara[Categoria],MATCH(TEXT(A315,"0"),DePara[Fornecedor_txt],0)),"(sem categoria)")</f>
        <v/>
      </c>
      <c r="D315">
        <f>COUNTIF(Base[Fornecedor],A315&amp;"")</f>
        <v/>
      </c>
      <c r="E315" s="12">
        <f>SUMIF(Base[Fornecedor],A315&amp;"",Base[Montante])</f>
        <v/>
      </c>
    </row>
    <row r="316">
      <c r="A316" t="n">
        <v>101523</v>
      </c>
      <c r="B316" t="inlineStr">
        <is>
          <t>TRANSPORTES PESADOS MINAS SA 17215039000129</t>
        </is>
      </c>
      <c r="C316">
        <f>IFERROR(INDEX(DePara[Categoria],MATCH(TEXT(A316,"0"),DePara[Fornecedor_txt],0)),"(sem categoria)")</f>
        <v/>
      </c>
      <c r="D316">
        <f>COUNTIF(Base[Fornecedor],A316&amp;"")</f>
        <v/>
      </c>
      <c r="E316" s="12">
        <f>SUMIF(Base[Fornecedor],A316&amp;"",Base[Montante])</f>
        <v/>
      </c>
    </row>
    <row r="317">
      <c r="A317" t="n">
        <v>102282</v>
      </c>
      <c r="B317" t="inlineStr">
        <is>
          <t>ARISTOTELES MARCIO SOUZA ARAUJO</t>
        </is>
      </c>
      <c r="C317">
        <f>IFERROR(INDEX(DePara[Categoria],MATCH(TEXT(A317,"0"),DePara[Fornecedor_txt],0)),"(sem categoria)")</f>
        <v/>
      </c>
      <c r="D317">
        <f>COUNTIF(Base[Fornecedor],A317&amp;"")</f>
        <v/>
      </c>
      <c r="E317" s="12">
        <f>SUMIF(Base[Fornecedor],A317&amp;"",Base[Montante])</f>
        <v/>
      </c>
    </row>
    <row r="318">
      <c r="A318" t="n">
        <v>100830</v>
      </c>
      <c r="B318" t="inlineStr">
        <is>
          <t>EXPRESSO VALE REAL LTDA</t>
        </is>
      </c>
      <c r="C318">
        <f>IFERROR(INDEX(DePara[Categoria],MATCH(TEXT(A318,"0"),DePara[Fornecedor_txt],0)),"(sem categoria)")</f>
        <v/>
      </c>
      <c r="D318">
        <f>COUNTIF(Base[Fornecedor],A318&amp;"")</f>
        <v/>
      </c>
      <c r="E318" s="12">
        <f>SUMIF(Base[Fornecedor],A318&amp;"",Base[Montante])</f>
        <v/>
      </c>
    </row>
    <row r="319">
      <c r="A319" t="n">
        <v>100929</v>
      </c>
      <c r="B319" t="inlineStr">
        <is>
          <t>EXPRESSO VALE REAL LTDA</t>
        </is>
      </c>
      <c r="C319">
        <f>IFERROR(INDEX(DePara[Categoria],MATCH(TEXT(A319,"0"),DePara[Fornecedor_txt],0)),"(sem categoria)")</f>
        <v/>
      </c>
      <c r="D319">
        <f>COUNTIF(Base[Fornecedor],A319&amp;"")</f>
        <v/>
      </c>
      <c r="E319" s="12">
        <f>SUMIF(Base[Fornecedor],A319&amp;"",Base[Montante])</f>
        <v/>
      </c>
    </row>
    <row r="320">
      <c r="A320" t="n">
        <v>100566</v>
      </c>
      <c r="B320" t="inlineStr">
        <is>
          <t>BRASIL TERMINAL PORTUARIO S.A.</t>
        </is>
      </c>
      <c r="C320">
        <f>IFERROR(INDEX(DePara[Categoria],MATCH(TEXT(A320,"0"),DePara[Fornecedor_txt],0)),"(sem categoria)")</f>
        <v/>
      </c>
      <c r="D320">
        <f>COUNTIF(Base[Fornecedor],A320&amp;"")</f>
        <v/>
      </c>
      <c r="E320" s="12">
        <f>SUMIF(Base[Fornecedor],A320&amp;"",Base[Montante])</f>
        <v/>
      </c>
    </row>
    <row r="321">
      <c r="A321" t="n">
        <v>100631</v>
      </c>
      <c r="B321" t="inlineStr">
        <is>
          <t>BRANDAO FILHOS FORTSHIP AGENCIA MAR 11826476000100</t>
        </is>
      </c>
      <c r="C321">
        <f>IFERROR(INDEX(DePara[Categoria],MATCH(TEXT(A321,"0"),DePara[Fornecedor_txt],0)),"(sem categoria)")</f>
        <v/>
      </c>
      <c r="D321">
        <f>COUNTIF(Base[Fornecedor],A321&amp;"")</f>
        <v/>
      </c>
      <c r="E321" s="12">
        <f>SUMIF(Base[Fornecedor],A321&amp;"",Base[Montante])</f>
        <v/>
      </c>
    </row>
    <row r="322">
      <c r="A322" t="n">
        <v>100385</v>
      </c>
      <c r="B322" t="inlineStr">
        <is>
          <t>ZIRAN SALVADOR TRANSPORTES LTDA</t>
        </is>
      </c>
      <c r="C322">
        <f>IFERROR(INDEX(DePara[Categoria],MATCH(TEXT(A322,"0"),DePara[Fornecedor_txt],0)),"(sem categoria)")</f>
        <v/>
      </c>
      <c r="D322">
        <f>COUNTIF(Base[Fornecedor],A322&amp;"")</f>
        <v/>
      </c>
      <c r="E322" s="12">
        <f>SUMIF(Base[Fornecedor],A322&amp;"",Base[Montante])</f>
        <v/>
      </c>
    </row>
    <row r="323">
      <c r="A323" t="n">
        <v>100152</v>
      </c>
      <c r="B323" t="inlineStr">
        <is>
          <t>CONQUER HOLDING EDUCACIONAL SA</t>
        </is>
      </c>
      <c r="C323">
        <f>IFERROR(INDEX(DePara[Categoria],MATCH(TEXT(A323,"0"),DePara[Fornecedor_txt],0)),"(sem categoria)")</f>
        <v/>
      </c>
      <c r="D323">
        <f>COUNTIF(Base[Fornecedor],A323&amp;"")</f>
        <v/>
      </c>
      <c r="E323" s="12">
        <f>SUMIF(Base[Fornecedor],A323&amp;"",Base[Montante])</f>
        <v/>
      </c>
    </row>
    <row r="324">
      <c r="A324" t="n">
        <v>101689</v>
      </c>
      <c r="B324" t="inlineStr">
        <is>
          <t>UNILINK TRANSPORTES INTEGRADOS LTDA</t>
        </is>
      </c>
      <c r="C324">
        <f>IFERROR(INDEX(DePara[Categoria],MATCH(TEXT(A324,"0"),DePara[Fornecedor_txt],0)),"(sem categoria)")</f>
        <v/>
      </c>
      <c r="D324">
        <f>COUNTIF(Base[Fornecedor],A324&amp;"")</f>
        <v/>
      </c>
      <c r="E324" s="12">
        <f>SUMIF(Base[Fornecedor],A324&amp;"",Base[Montante])</f>
        <v/>
      </c>
    </row>
    <row r="325">
      <c r="A325" t="n">
        <v>101713</v>
      </c>
      <c r="B325" t="inlineStr">
        <is>
          <t>COPLAS INDUSTRIA DE PLASTICOS LTDA</t>
        </is>
      </c>
      <c r="C325">
        <f>IFERROR(INDEX(DePara[Categoria],MATCH(TEXT(A325,"0"),DePara[Fornecedor_txt],0)),"(sem categoria)")</f>
        <v/>
      </c>
      <c r="D325">
        <f>COUNTIF(Base[Fornecedor],A325&amp;"")</f>
        <v/>
      </c>
      <c r="E325" s="12">
        <f>SUMIF(Base[Fornecedor],A325&amp;"",Base[Montante])</f>
        <v/>
      </c>
    </row>
    <row r="326">
      <c r="A326" t="n">
        <v>101755</v>
      </c>
      <c r="B326" t="inlineStr">
        <is>
          <t>NEW SMART LOG TRANSP INTERNAC LTDA</t>
        </is>
      </c>
      <c r="C326">
        <f>IFERROR(INDEX(DePara[Categoria],MATCH(TEXT(A326,"0"),DePara[Fornecedor_txt],0)),"(sem categoria)")</f>
        <v/>
      </c>
      <c r="D326">
        <f>COUNTIF(Base[Fornecedor],A326&amp;"")</f>
        <v/>
      </c>
      <c r="E326" s="12">
        <f>SUMIF(Base[Fornecedor],A326&amp;"",Base[Montante])</f>
        <v/>
      </c>
    </row>
    <row r="327">
      <c r="A327" t="n">
        <v>101289</v>
      </c>
      <c r="B327" t="inlineStr">
        <is>
          <t>DHUAN COMISSARIA DE DESP ADUAN LTDA</t>
        </is>
      </c>
      <c r="C327">
        <f>IFERROR(INDEX(DePara[Categoria],MATCH(TEXT(A327,"0"),DePara[Fornecedor_txt],0)),"(sem categoria)")</f>
        <v/>
      </c>
      <c r="D327">
        <f>COUNTIF(Base[Fornecedor],A327&amp;"")</f>
        <v/>
      </c>
      <c r="E327" s="12">
        <f>SUMIF(Base[Fornecedor],A327&amp;"",Base[Montante])</f>
        <v/>
      </c>
    </row>
    <row r="328">
      <c r="A328" t="n">
        <v>101300</v>
      </c>
      <c r="B328" t="inlineStr">
        <is>
          <t>GOL LINHAS AEREAS SA</t>
        </is>
      </c>
      <c r="C328">
        <f>IFERROR(INDEX(DePara[Categoria],MATCH(TEXT(A328,"0"),DePara[Fornecedor_txt],0)),"(sem categoria)")</f>
        <v/>
      </c>
      <c r="D328">
        <f>COUNTIF(Base[Fornecedor],A328&amp;"")</f>
        <v/>
      </c>
      <c r="E328" s="12">
        <f>SUMIF(Base[Fornecedor],A328&amp;"",Base[Montante])</f>
        <v/>
      </c>
    </row>
    <row r="329">
      <c r="A329" t="n">
        <v>101360</v>
      </c>
      <c r="B329" t="inlineStr">
        <is>
          <t>MULTILOG SUL ARMAZENS GERAIS LTDA</t>
        </is>
      </c>
      <c r="C329">
        <f>IFERROR(INDEX(DePara[Categoria],MATCH(TEXT(A329,"0"),DePara[Fornecedor_txt],0)),"(sem categoria)")</f>
        <v/>
      </c>
      <c r="D329">
        <f>COUNTIF(Base[Fornecedor],A329&amp;"")</f>
        <v/>
      </c>
      <c r="E329" s="12">
        <f>SUMIF(Base[Fornecedor],A329&amp;"",Base[Montante])</f>
        <v/>
      </c>
    </row>
    <row r="330">
      <c r="A330" t="n">
        <v>101513</v>
      </c>
      <c r="B330" t="inlineStr">
        <is>
          <t>COLI SHIPPING &amp; TRANSPORT DO BRASIL</t>
        </is>
      </c>
      <c r="C330">
        <f>IFERROR(INDEX(DePara[Categoria],MATCH(TEXT(A330,"0"),DePara[Fornecedor_txt],0)),"(sem categoria)")</f>
        <v/>
      </c>
      <c r="D330">
        <f>COUNTIF(Base[Fornecedor],A330&amp;"")</f>
        <v/>
      </c>
      <c r="E330" s="12">
        <f>SUMIF(Base[Fornecedor],A330&amp;"",Base[Montante])</f>
        <v/>
      </c>
    </row>
    <row r="331">
      <c r="A331" t="n">
        <v>101045</v>
      </c>
      <c r="B331" t="inlineStr">
        <is>
          <t>WILSON SONS LOGISTICA LTDA</t>
        </is>
      </c>
      <c r="C331">
        <f>IFERROR(INDEX(DePara[Categoria],MATCH(TEXT(A331,"0"),DePara[Fornecedor_txt],0)),"(sem categoria)")</f>
        <v/>
      </c>
      <c r="D331">
        <f>COUNTIF(Base[Fornecedor],A331&amp;"")</f>
        <v/>
      </c>
      <c r="E331" s="12">
        <f>SUMIF(Base[Fornecedor],A331&amp;"",Base[Montante])</f>
        <v/>
      </c>
    </row>
    <row r="332">
      <c r="A332" t="n">
        <v>101096</v>
      </c>
      <c r="B332" t="inlineStr">
        <is>
          <t>RUDLOFF INDUSTRIAL LTDA</t>
        </is>
      </c>
      <c r="C332">
        <f>IFERROR(INDEX(DePara[Categoria],MATCH(TEXT(A332,"0"),DePara[Fornecedor_txt],0)),"(sem categoria)")</f>
        <v/>
      </c>
      <c r="D332">
        <f>COUNTIF(Base[Fornecedor],A332&amp;"")</f>
        <v/>
      </c>
      <c r="E332" s="12">
        <f>SUMIF(Base[Fornecedor],A332&amp;"",Base[Montante])</f>
        <v/>
      </c>
    </row>
    <row r="333">
      <c r="A333" t="n">
        <v>101182</v>
      </c>
      <c r="B333" t="inlineStr">
        <is>
          <t>GAHE GASES E TRANSPORTES EIRELI</t>
        </is>
      </c>
      <c r="C333">
        <f>IFERROR(INDEX(DePara[Categoria],MATCH(TEXT(A333,"0"),DePara[Fornecedor_txt],0)),"(sem categoria)")</f>
        <v/>
      </c>
      <c r="D333">
        <f>COUNTIF(Base[Fornecedor],A333&amp;"")</f>
        <v/>
      </c>
      <c r="E333" s="12">
        <f>SUMIF(Base[Fornecedor],A333&amp;"",Base[Montante])</f>
        <v/>
      </c>
    </row>
    <row r="334">
      <c r="A334" t="n">
        <v>100805</v>
      </c>
      <c r="B334" t="inlineStr">
        <is>
          <t>EXPRESSO VALE REAL LTDA</t>
        </is>
      </c>
      <c r="C334">
        <f>IFERROR(INDEX(DePara[Categoria],MATCH(TEXT(A334,"0"),DePara[Fornecedor_txt],0)),"(sem categoria)")</f>
        <v/>
      </c>
      <c r="D334">
        <f>COUNTIF(Base[Fornecedor],A334&amp;"")</f>
        <v/>
      </c>
      <c r="E334" s="12">
        <f>SUMIF(Base[Fornecedor],A334&amp;"",Base[Montante])</f>
        <v/>
      </c>
    </row>
    <row r="335">
      <c r="A335" t="n">
        <v>101806</v>
      </c>
      <c r="B335" t="inlineStr">
        <is>
          <t>COLUMBIA DO NORD S A</t>
        </is>
      </c>
      <c r="C335">
        <f>IFERROR(INDEX(DePara[Categoria],MATCH(TEXT(A335,"0"),DePara[Fornecedor_txt],0)),"(sem categoria)")</f>
        <v/>
      </c>
      <c r="D335">
        <f>COUNTIF(Base[Fornecedor],A335&amp;"")</f>
        <v/>
      </c>
      <c r="E335" s="12">
        <f>SUMIF(Base[Fornecedor],A335&amp;"",Base[Montante])</f>
        <v/>
      </c>
    </row>
    <row r="336">
      <c r="A336" t="n">
        <v>101809</v>
      </c>
      <c r="B336" t="inlineStr">
        <is>
          <t>TECON SUAPE SA</t>
        </is>
      </c>
      <c r="C336">
        <f>IFERROR(INDEX(DePara[Categoria],MATCH(TEXT(A336,"0"),DePara[Fornecedor_txt],0)),"(sem categoria)")</f>
        <v/>
      </c>
      <c r="D336">
        <f>COUNTIF(Base[Fornecedor],A336&amp;"")</f>
        <v/>
      </c>
      <c r="E336" s="12">
        <f>SUMIF(Base[Fornecedor],A336&amp;"",Base[Montante])</f>
        <v/>
      </c>
    </row>
    <row r="337">
      <c r="A337" t="n">
        <v>101817</v>
      </c>
      <c r="B337" t="inlineStr">
        <is>
          <t>FIGWAL TRANSPORTES INTERNACIONAIS L</t>
        </is>
      </c>
      <c r="C337">
        <f>IFERROR(INDEX(DePara[Categoria],MATCH(TEXT(A337,"0"),DePara[Fornecedor_txt],0)),"(sem categoria)")</f>
        <v/>
      </c>
      <c r="D337">
        <f>COUNTIF(Base[Fornecedor],A337&amp;"")</f>
        <v/>
      </c>
      <c r="E337" s="12">
        <f>SUMIF(Base[Fornecedor],A337&amp;"",Base[Montante])</f>
        <v/>
      </c>
    </row>
    <row r="338">
      <c r="A338" t="n">
        <v>101875</v>
      </c>
      <c r="B338" t="inlineStr">
        <is>
          <t>DANIEL TRANSPORTES LTDA</t>
        </is>
      </c>
      <c r="C338">
        <f>IFERROR(INDEX(DePara[Categoria],MATCH(TEXT(A338,"0"),DePara[Fornecedor_txt],0)),"(sem categoria)")</f>
        <v/>
      </c>
      <c r="D338">
        <f>COUNTIF(Base[Fornecedor],A338&amp;"")</f>
        <v/>
      </c>
      <c r="E338" s="12">
        <f>SUMIF(Base[Fornecedor],A338&amp;"",Base[Montante])</f>
        <v/>
      </c>
    </row>
    <row r="339">
      <c r="A339" t="n">
        <v>101950</v>
      </c>
      <c r="B339" t="inlineStr">
        <is>
          <t>SHELL BRASIL PETROLEO LTDA</t>
        </is>
      </c>
      <c r="C339">
        <f>IFERROR(INDEX(DePara[Categoria],MATCH(TEXT(A339,"0"),DePara[Fornecedor_txt],0)),"(sem categoria)")</f>
        <v/>
      </c>
      <c r="D339">
        <f>COUNTIF(Base[Fornecedor],A339&amp;"")</f>
        <v/>
      </c>
      <c r="E339" s="12">
        <f>SUMIF(Base[Fornecedor],A339&amp;"",Base[Montante])</f>
        <v/>
      </c>
    </row>
    <row r="340">
      <c r="A340" t="n">
        <v>102022</v>
      </c>
      <c r="B340" t="inlineStr">
        <is>
          <t>OBJECTA CONSULTORIA LTDA</t>
        </is>
      </c>
      <c r="C340">
        <f>IFERROR(INDEX(DePara[Categoria],MATCH(TEXT(A340,"0"),DePara[Fornecedor_txt],0)),"(sem categoria)")</f>
        <v/>
      </c>
      <c r="D340">
        <f>COUNTIF(Base[Fornecedor],A340&amp;"")</f>
        <v/>
      </c>
      <c r="E340" s="12">
        <f>SUMIF(Base[Fornecedor],A340&amp;"",Base[Montante])</f>
        <v/>
      </c>
    </row>
    <row r="341">
      <c r="A341" t="n">
        <v>102029</v>
      </c>
      <c r="B341" t="inlineStr">
        <is>
          <t>LEEWARD INTERNACIONAL DO BRASIL LTD</t>
        </is>
      </c>
      <c r="C341">
        <f>IFERROR(INDEX(DePara[Categoria],MATCH(TEXT(A341,"0"),DePara[Fornecedor_txt],0)),"(sem categoria)")</f>
        <v/>
      </c>
      <c r="D341">
        <f>COUNTIF(Base[Fornecedor],A341&amp;"")</f>
        <v/>
      </c>
      <c r="E341" s="12">
        <f>SUMIF(Base[Fornecedor],A341&amp;"",Base[Montante])</f>
        <v/>
      </c>
    </row>
    <row r="342">
      <c r="A342" t="n">
        <v>101318</v>
      </c>
      <c r="B342" t="inlineStr">
        <is>
          <t>SECRETARIA DA FAZENDA RS</t>
        </is>
      </c>
      <c r="C342">
        <f>IFERROR(INDEX(DePara[Categoria],MATCH(TEXT(A342,"0"),DePara[Fornecedor_txt],0)),"(sem categoria)")</f>
        <v/>
      </c>
      <c r="D342">
        <f>COUNTIF(Base[Fornecedor],A342&amp;"")</f>
        <v/>
      </c>
      <c r="E342" s="12">
        <f>SUMIF(Base[Fornecedor],A342&amp;"",Base[Montante])</f>
        <v/>
      </c>
    </row>
    <row r="343">
      <c r="A343" t="n">
        <v>101685</v>
      </c>
      <c r="B343" t="inlineStr">
        <is>
          <t>POLIMIX CONCRETO LTDA</t>
        </is>
      </c>
      <c r="C343">
        <f>IFERROR(INDEX(DePara[Categoria],MATCH(TEXT(A343,"0"),DePara[Fornecedor_txt],0)),"(sem categoria)")</f>
        <v/>
      </c>
      <c r="D343">
        <f>COUNTIF(Base[Fornecedor],A343&amp;"")</f>
        <v/>
      </c>
      <c r="E343" s="12">
        <f>SUMIF(Base[Fornecedor],A343&amp;"",Base[Montante])</f>
        <v/>
      </c>
    </row>
    <row r="344">
      <c r="A344" t="inlineStr">
        <is>
          <t>EM000324</t>
        </is>
      </c>
      <c r="B344" t="inlineStr">
        <is>
          <t>LUIZ EDUARDO PEREIRA DA SILVA</t>
        </is>
      </c>
      <c r="C344">
        <f>IFERROR(INDEX(DePara[Categoria],MATCH(TEXT(A344,"0"),DePara[Fornecedor_txt],0)),"(sem categoria)")</f>
        <v/>
      </c>
      <c r="D344">
        <f>COUNTIF(Base[Fornecedor],A344&amp;"")</f>
        <v/>
      </c>
      <c r="E344" s="12">
        <f>SUMIF(Base[Fornecedor],A344&amp;"",Base[Montante])</f>
        <v/>
      </c>
    </row>
    <row r="345">
      <c r="A345" t="inlineStr">
        <is>
          <t>EM000105</t>
        </is>
      </c>
      <c r="B345" t="inlineStr">
        <is>
          <t>THIAGO CARVALHO</t>
        </is>
      </c>
      <c r="C345">
        <f>IFERROR(INDEX(DePara[Categoria],MATCH(TEXT(A345,"0"),DePara[Fornecedor_txt],0)),"(sem categoria)")</f>
        <v/>
      </c>
      <c r="D345">
        <f>COUNTIF(Base[Fornecedor],A345&amp;"")</f>
        <v/>
      </c>
      <c r="E345" s="12">
        <f>SUMIF(Base[Fornecedor],A345&amp;"",Base[Montante])</f>
        <v/>
      </c>
    </row>
    <row r="346">
      <c r="A346" t="inlineStr">
        <is>
          <t>EM000041</t>
        </is>
      </c>
      <c r="B346" t="inlineStr">
        <is>
          <t>FLAVIO BELLOLI</t>
        </is>
      </c>
      <c r="C346">
        <f>IFERROR(INDEX(DePara[Categoria],MATCH(TEXT(A346,"0"),DePara[Fornecedor_txt],0)),"(sem categoria)")</f>
        <v/>
      </c>
      <c r="D346">
        <f>COUNTIF(Base[Fornecedor],A346&amp;"")</f>
        <v/>
      </c>
      <c r="E346" s="12">
        <f>SUMIF(Base[Fornecedor],A346&amp;"",Base[Montante])</f>
        <v/>
      </c>
    </row>
    <row r="347">
      <c r="A347" t="inlineStr">
        <is>
          <t>EM000271</t>
        </is>
      </c>
      <c r="B347" t="inlineStr">
        <is>
          <t>PABLO SUEIRAS BLANCO</t>
        </is>
      </c>
      <c r="C347">
        <f>IFERROR(INDEX(DePara[Categoria],MATCH(TEXT(A347,"0"),DePara[Fornecedor_txt],0)),"(sem categoria)")</f>
        <v/>
      </c>
      <c r="D347">
        <f>COUNTIF(Base[Fornecedor],A347&amp;"")</f>
        <v/>
      </c>
      <c r="E347" s="12">
        <f>SUMIF(Base[Fornecedor],A347&amp;"",Base[Montante])</f>
        <v/>
      </c>
    </row>
    <row r="348">
      <c r="A348" t="n">
        <v>101604</v>
      </c>
      <c r="B348" t="inlineStr">
        <is>
          <t>PREFEITURA SANTA VITORIA DO PALMAR</t>
        </is>
      </c>
      <c r="C348">
        <f>IFERROR(INDEX(DePara[Categoria],MATCH(TEXT(A348,"0"),DePara[Fornecedor_txt],0)),"(sem categoria)")</f>
        <v/>
      </c>
      <c r="D348">
        <f>COUNTIF(Base[Fornecedor],A348&amp;"")</f>
        <v/>
      </c>
      <c r="E348" s="12">
        <f>SUMIF(Base[Fornecedor],A348&amp;"",Base[Montante])</f>
        <v/>
      </c>
    </row>
    <row r="349">
      <c r="A349" t="n">
        <v>100992</v>
      </c>
      <c r="B349" t="inlineStr">
        <is>
          <t>P W GESTAO DE SAUDE E SEGURANÇA LTD</t>
        </is>
      </c>
      <c r="C349">
        <f>IFERROR(INDEX(DePara[Categoria],MATCH(TEXT(A349,"0"),DePara[Fornecedor_txt],0)),"(sem categoria)")</f>
        <v/>
      </c>
      <c r="D349">
        <f>COUNTIF(Base[Fornecedor],A349&amp;"")</f>
        <v/>
      </c>
      <c r="E349" s="12">
        <f>SUMIF(Base[Fornecedor],A349&amp;"",Base[Montante])</f>
        <v/>
      </c>
    </row>
    <row r="350">
      <c r="A350" t="n">
        <v>101632</v>
      </c>
      <c r="B350" t="inlineStr">
        <is>
          <t>BVQI DO BRASIL SOCIEDADE CERTIFICAD</t>
        </is>
      </c>
      <c r="C350">
        <f>IFERROR(INDEX(DePara[Categoria],MATCH(TEXT(A350,"0"),DePara[Fornecedor_txt],0)),"(sem categoria)")</f>
        <v/>
      </c>
      <c r="D350">
        <f>COUNTIF(Base[Fornecedor],A350&amp;"")</f>
        <v/>
      </c>
      <c r="E350" s="12">
        <f>SUMIF(Base[Fornecedor],A350&amp;"",Base[Montante])</f>
        <v/>
      </c>
    </row>
    <row r="351">
      <c r="A351" t="n">
        <v>101071</v>
      </c>
      <c r="B351" t="inlineStr">
        <is>
          <t>CUSTOM COMERCIO INTERNACIONAL LTDA</t>
        </is>
      </c>
      <c r="C351">
        <f>IFERROR(INDEX(DePara[Categoria],MATCH(TEXT(A351,"0"),DePara[Fornecedor_txt],0)),"(sem categoria)")</f>
        <v/>
      </c>
      <c r="D351">
        <f>COUNTIF(Base[Fornecedor],A351&amp;"")</f>
        <v/>
      </c>
      <c r="E351" s="12">
        <f>SUMIF(Base[Fornecedor],A351&amp;"",Base[Montante])</f>
        <v/>
      </c>
    </row>
    <row r="352">
      <c r="A352" t="n">
        <v>101052</v>
      </c>
      <c r="B352" t="inlineStr">
        <is>
          <t>MEGALIFT LOCACAO E TRANSP INTERM LT</t>
        </is>
      </c>
      <c r="C352">
        <f>IFERROR(INDEX(DePara[Categoria],MATCH(TEXT(A352,"0"),DePara[Fornecedor_txt],0)),"(sem categoria)")</f>
        <v/>
      </c>
      <c r="D352">
        <f>COUNTIF(Base[Fornecedor],A352&amp;"")</f>
        <v/>
      </c>
      <c r="E352" s="12">
        <f>SUMIF(Base[Fornecedor],A352&amp;"",Base[Montante])</f>
        <v/>
      </c>
    </row>
    <row r="353">
      <c r="A353" t="n">
        <v>101485</v>
      </c>
      <c r="B353" t="inlineStr">
        <is>
          <t>RUDLOFF SISTEMA DE PROTENSAO LTDA</t>
        </is>
      </c>
      <c r="C353">
        <f>IFERROR(INDEX(DePara[Categoria],MATCH(TEXT(A353,"0"),DePara[Fornecedor_txt],0)),"(sem categoria)")</f>
        <v/>
      </c>
      <c r="D353">
        <f>COUNTIF(Base[Fornecedor],A353&amp;"")</f>
        <v/>
      </c>
      <c r="E353" s="12">
        <f>SUMIF(Base[Fornecedor],A353&amp;"",Base[Montante])</f>
        <v/>
      </c>
    </row>
    <row r="354">
      <c r="A354" t="n">
        <v>101053</v>
      </c>
      <c r="B354" t="inlineStr">
        <is>
          <t>NLA LATINOAMERICANA LOGISTICA LTDA</t>
        </is>
      </c>
      <c r="C354">
        <f>IFERROR(INDEX(DePara[Categoria],MATCH(TEXT(A354,"0"),DePara[Fornecedor_txt],0)),"(sem categoria)")</f>
        <v/>
      </c>
      <c r="D354">
        <f>COUNTIF(Base[Fornecedor],A354&amp;"")</f>
        <v/>
      </c>
      <c r="E354" s="12">
        <f>SUMIF(Base[Fornecedor],A354&amp;"",Base[Montante])</f>
        <v/>
      </c>
    </row>
    <row r="355">
      <c r="A355" t="n">
        <v>101432</v>
      </c>
      <c r="B355" t="inlineStr">
        <is>
          <t>CONSTRUTORA MD EIRELI</t>
        </is>
      </c>
      <c r="C355">
        <f>IFERROR(INDEX(DePara[Categoria],MATCH(TEXT(A355,"0"),DePara[Fornecedor_txt],0)),"(sem categoria)")</f>
        <v/>
      </c>
      <c r="D355">
        <f>COUNTIF(Base[Fornecedor],A355&amp;"")</f>
        <v/>
      </c>
      <c r="E355" s="12">
        <f>SUMIF(Base[Fornecedor],A355&amp;"",Base[Montante])</f>
        <v/>
      </c>
    </row>
    <row r="356">
      <c r="A356" t="n">
        <v>102143</v>
      </c>
      <c r="B356" t="inlineStr">
        <is>
          <t>FARDIER LOGISTICA ESP EM CARGAS EPE</t>
        </is>
      </c>
      <c r="C356">
        <f>IFERROR(INDEX(DePara[Categoria],MATCH(TEXT(A356,"0"),DePara[Fornecedor_txt],0)),"(sem categoria)")</f>
        <v/>
      </c>
      <c r="D356">
        <f>COUNTIF(Base[Fornecedor],A356&amp;"")</f>
        <v/>
      </c>
      <c r="E356" s="12">
        <f>SUMIF(Base[Fornecedor],A356&amp;"",Base[Montante])</f>
        <v/>
      </c>
    </row>
    <row r="357">
      <c r="A357" t="n">
        <v>102209</v>
      </c>
      <c r="B357" t="inlineStr">
        <is>
          <t>ENEL GREEN POWER V DE SANTA ANGELA 29711059000250</t>
        </is>
      </c>
      <c r="C357">
        <f>IFERROR(INDEX(DePara[Categoria],MATCH(TEXT(A357,"0"),DePara[Fornecedor_txt],0)),"(sem categoria)")</f>
        <v/>
      </c>
      <c r="D357">
        <f>COUNTIF(Base[Fornecedor],A357&amp;"")</f>
        <v/>
      </c>
      <c r="E357" s="12">
        <f>SUMIF(Base[Fornecedor],A357&amp;"",Base[Montante])</f>
        <v/>
      </c>
    </row>
    <row r="358">
      <c r="A358" t="n">
        <v>105589</v>
      </c>
      <c r="B358" t="inlineStr">
        <is>
          <t>ENEL GREEN POWER VENTOS DE SAO ROQU 36051515000249</t>
        </is>
      </c>
      <c r="C358">
        <f>IFERROR(INDEX(DePara[Categoria],MATCH(TEXT(A358,"0"),DePara[Fornecedor_txt],0)),"(sem categoria)")</f>
        <v/>
      </c>
      <c r="D358">
        <f>COUNTIF(Base[Fornecedor],A358&amp;"")</f>
        <v/>
      </c>
      <c r="E358" s="12">
        <f>SUMIF(Base[Fornecedor],A358&amp;"",Base[Montante])</f>
        <v/>
      </c>
    </row>
    <row r="359">
      <c r="A359" t="n">
        <v>102080</v>
      </c>
      <c r="B359" t="inlineStr">
        <is>
          <t>RECEITA FEDERAL DO BRASIL</t>
        </is>
      </c>
      <c r="C359">
        <f>IFERROR(INDEX(DePara[Categoria],MATCH(TEXT(A359,"0"),DePara[Fornecedor_txt],0)),"(sem categoria)")</f>
        <v/>
      </c>
      <c r="D359">
        <f>COUNTIF(Base[Fornecedor],A359&amp;"")</f>
        <v/>
      </c>
      <c r="E359" s="12">
        <f>SUMIF(Base[Fornecedor],A359&amp;"",Base[Montante])</f>
        <v/>
      </c>
    </row>
    <row r="360">
      <c r="A360" t="n">
        <v>104069</v>
      </c>
      <c r="B360" t="inlineStr">
        <is>
          <t>MUNICIPIO DE POCINHOS 08741688000172</t>
        </is>
      </c>
      <c r="C360">
        <f>IFERROR(INDEX(DePara[Categoria],MATCH(TEXT(A360,"0"),DePara[Fornecedor_txt],0)),"(sem categoria)")</f>
        <v/>
      </c>
      <c r="D360">
        <f>COUNTIF(Base[Fornecedor],A360&amp;"")</f>
        <v/>
      </c>
      <c r="E360" s="12">
        <f>SUMIF(Base[Fornecedor],A360&amp;"",Base[Montante])</f>
        <v/>
      </c>
    </row>
    <row r="361">
      <c r="A361" t="inlineStr">
        <is>
          <t>EM000029</t>
        </is>
      </c>
      <c r="B361" t="inlineStr">
        <is>
          <t>RENATO BRUNO LIMA DE FARIAS</t>
        </is>
      </c>
      <c r="C361">
        <f>IFERROR(INDEX(DePara[Categoria],MATCH(TEXT(A361,"0"),DePara[Fornecedor_txt],0)),"(sem categoria)")</f>
        <v/>
      </c>
      <c r="D361">
        <f>COUNTIF(Base[Fornecedor],A361&amp;"")</f>
        <v/>
      </c>
      <c r="E361" s="12">
        <f>SUMIF(Base[Fornecedor],A361&amp;"",Base[Montante])</f>
        <v/>
      </c>
    </row>
    <row r="362">
      <c r="A362" t="inlineStr">
        <is>
          <t>EM000129</t>
        </is>
      </c>
      <c r="B362" t="inlineStr">
        <is>
          <t>JOCIVAN DE SOUZA SILVA</t>
        </is>
      </c>
      <c r="C362">
        <f>IFERROR(INDEX(DePara[Categoria],MATCH(TEXT(A362,"0"),DePara[Fornecedor_txt],0)),"(sem categoria)")</f>
        <v/>
      </c>
      <c r="D362">
        <f>COUNTIF(Base[Fornecedor],A362&amp;"")</f>
        <v/>
      </c>
      <c r="E362" s="12">
        <f>SUMIF(Base[Fornecedor],A362&amp;"",Base[Montante])</f>
        <v/>
      </c>
    </row>
    <row r="363">
      <c r="A363" t="inlineStr">
        <is>
          <t>EM000272</t>
        </is>
      </c>
      <c r="B363" t="inlineStr">
        <is>
          <t>JOBSON BARBOSA DE OLIVEIRA</t>
        </is>
      </c>
      <c r="C363">
        <f>IFERROR(INDEX(DePara[Categoria],MATCH(TEXT(A363,"0"),DePara[Fornecedor_txt],0)),"(sem categoria)")</f>
        <v/>
      </c>
      <c r="D363">
        <f>COUNTIF(Base[Fornecedor],A363&amp;"")</f>
        <v/>
      </c>
      <c r="E363" s="12">
        <f>SUMIF(Base[Fornecedor],A363&amp;"",Base[Montante])</f>
        <v/>
      </c>
    </row>
    <row r="364">
      <c r="A364" t="inlineStr">
        <is>
          <t>EM000724</t>
        </is>
      </c>
      <c r="B364" t="inlineStr">
        <is>
          <t>EMMANOEL LELIS EZIAS DOS SANTOS</t>
        </is>
      </c>
      <c r="C364">
        <f>IFERROR(INDEX(DePara[Categoria],MATCH(TEXT(A364,"0"),DePara[Fornecedor_txt],0)),"(sem categoria)")</f>
        <v/>
      </c>
      <c r="D364">
        <f>COUNTIF(Base[Fornecedor],A364&amp;"")</f>
        <v/>
      </c>
      <c r="E364" s="12">
        <f>SUMIF(Base[Fornecedor],A364&amp;"",Base[Montante])</f>
        <v/>
      </c>
    </row>
    <row r="365">
      <c r="A365" t="inlineStr">
        <is>
          <t>EM000018</t>
        </is>
      </c>
      <c r="B365" t="inlineStr">
        <is>
          <t>ALESSANDRO SANTANA CORTES</t>
        </is>
      </c>
      <c r="C365">
        <f>IFERROR(INDEX(DePara[Categoria],MATCH(TEXT(A365,"0"),DePara[Fornecedor_txt],0)),"(sem categoria)")</f>
        <v/>
      </c>
      <c r="D365">
        <f>COUNTIF(Base[Fornecedor],A365&amp;"")</f>
        <v/>
      </c>
      <c r="E365" s="12">
        <f>SUMIF(Base[Fornecedor],A365&amp;"",Base[Montante])</f>
        <v/>
      </c>
    </row>
    <row r="366">
      <c r="A366" t="inlineStr">
        <is>
          <t>EM000024</t>
        </is>
      </c>
      <c r="B366" t="inlineStr">
        <is>
          <t>GUILLERMO ROSSI</t>
        </is>
      </c>
      <c r="C366">
        <f>IFERROR(INDEX(DePara[Categoria],MATCH(TEXT(A366,"0"),DePara[Fornecedor_txt],0)),"(sem categoria)")</f>
        <v/>
      </c>
      <c r="D366">
        <f>COUNTIF(Base[Fornecedor],A366&amp;"")</f>
        <v/>
      </c>
      <c r="E366" s="12">
        <f>SUMIF(Base[Fornecedor],A366&amp;"",Base[Montante])</f>
        <v/>
      </c>
    </row>
    <row r="367">
      <c r="A367" t="inlineStr">
        <is>
          <t>EM000026</t>
        </is>
      </c>
      <c r="B367" t="inlineStr">
        <is>
          <t>DIEGO ALAN DE OLIVEIRA DA SILVA</t>
        </is>
      </c>
      <c r="C367">
        <f>IFERROR(INDEX(DePara[Categoria],MATCH(TEXT(A367,"0"),DePara[Fornecedor_txt],0)),"(sem categoria)")</f>
        <v/>
      </c>
      <c r="D367">
        <f>COUNTIF(Base[Fornecedor],A367&amp;"")</f>
        <v/>
      </c>
      <c r="E367" s="12">
        <f>SUMIF(Base[Fornecedor],A367&amp;"",Base[Montante])</f>
        <v/>
      </c>
    </row>
    <row r="368">
      <c r="A368" t="inlineStr">
        <is>
          <t>EM000059</t>
        </is>
      </c>
      <c r="B368" t="inlineStr">
        <is>
          <t>CRISOSTOMO CUNHA DE SOUSA</t>
        </is>
      </c>
      <c r="C368">
        <f>IFERROR(INDEX(DePara[Categoria],MATCH(TEXT(A368,"0"),DePara[Fornecedor_txt],0)),"(sem categoria)")</f>
        <v/>
      </c>
      <c r="D368">
        <f>COUNTIF(Base[Fornecedor],A368&amp;"")</f>
        <v/>
      </c>
      <c r="E368" s="12">
        <f>SUMIF(Base[Fornecedor],A368&amp;"",Base[Montante])</f>
        <v/>
      </c>
    </row>
    <row r="369">
      <c r="A369" t="inlineStr">
        <is>
          <t>EM000065</t>
        </is>
      </c>
      <c r="B369" t="inlineStr">
        <is>
          <t>JOABE MACEDO DA SILVA</t>
        </is>
      </c>
      <c r="C369">
        <f>IFERROR(INDEX(DePara[Categoria],MATCH(TEXT(A369,"0"),DePara[Fornecedor_txt],0)),"(sem categoria)")</f>
        <v/>
      </c>
      <c r="D369">
        <f>COUNTIF(Base[Fornecedor],A369&amp;"")</f>
        <v/>
      </c>
      <c r="E369" s="12">
        <f>SUMIF(Base[Fornecedor],A369&amp;"",Base[Montante])</f>
        <v/>
      </c>
    </row>
    <row r="370">
      <c r="A370" t="inlineStr">
        <is>
          <t>EM000076</t>
        </is>
      </c>
      <c r="B370" t="inlineStr">
        <is>
          <t>MOISES MELO DOS SANTOS</t>
        </is>
      </c>
      <c r="C370">
        <f>IFERROR(INDEX(DePara[Categoria],MATCH(TEXT(A370,"0"),DePara[Fornecedor_txt],0)),"(sem categoria)")</f>
        <v/>
      </c>
      <c r="D370">
        <f>COUNTIF(Base[Fornecedor],A370&amp;"")</f>
        <v/>
      </c>
      <c r="E370" s="12">
        <f>SUMIF(Base[Fornecedor],A370&amp;"",Base[Montante])</f>
        <v/>
      </c>
    </row>
    <row r="371">
      <c r="A371" t="inlineStr">
        <is>
          <t>EM000080</t>
        </is>
      </c>
      <c r="B371" t="inlineStr">
        <is>
          <t>SAIRON DOS SANTOS BASTOS</t>
        </is>
      </c>
      <c r="C371">
        <f>IFERROR(INDEX(DePara[Categoria],MATCH(TEXT(A371,"0"),DePara[Fornecedor_txt],0)),"(sem categoria)")</f>
        <v/>
      </c>
      <c r="D371">
        <f>COUNTIF(Base[Fornecedor],A371&amp;"")</f>
        <v/>
      </c>
      <c r="E371" s="12">
        <f>SUMIF(Base[Fornecedor],A371&amp;"",Base[Montante])</f>
        <v/>
      </c>
    </row>
    <row r="372">
      <c r="A372" t="inlineStr">
        <is>
          <t>EM000108</t>
        </is>
      </c>
      <c r="B372" t="inlineStr">
        <is>
          <t>GISLANIO GOMES DA SILVA</t>
        </is>
      </c>
      <c r="C372">
        <f>IFERROR(INDEX(DePara[Categoria],MATCH(TEXT(A372,"0"),DePara[Fornecedor_txt],0)),"(sem categoria)")</f>
        <v/>
      </c>
      <c r="D372">
        <f>COUNTIF(Base[Fornecedor],A372&amp;"")</f>
        <v/>
      </c>
      <c r="E372" s="12">
        <f>SUMIF(Base[Fornecedor],A372&amp;"",Base[Montante])</f>
        <v/>
      </c>
    </row>
    <row r="373">
      <c r="A373" t="inlineStr">
        <is>
          <t>EM000125</t>
        </is>
      </c>
      <c r="B373" t="inlineStr">
        <is>
          <t>RODRIGO RAFAEL LIMA DE FARIAS</t>
        </is>
      </c>
      <c r="C373">
        <f>IFERROR(INDEX(DePara[Categoria],MATCH(TEXT(A373,"0"),DePara[Fornecedor_txt],0)),"(sem categoria)")</f>
        <v/>
      </c>
      <c r="D373">
        <f>COUNTIF(Base[Fornecedor],A373&amp;"")</f>
        <v/>
      </c>
      <c r="E373" s="12">
        <f>SUMIF(Base[Fornecedor],A373&amp;"",Base[Montante])</f>
        <v/>
      </c>
    </row>
    <row r="374">
      <c r="A374" t="inlineStr">
        <is>
          <t>EM000130</t>
        </is>
      </c>
      <c r="B374" t="inlineStr">
        <is>
          <t>RANDSON BUENO SOARES SALES</t>
        </is>
      </c>
      <c r="C374">
        <f>IFERROR(INDEX(DePara[Categoria],MATCH(TEXT(A374,"0"),DePara[Fornecedor_txt],0)),"(sem categoria)")</f>
        <v/>
      </c>
      <c r="D374">
        <f>COUNTIF(Base[Fornecedor],A374&amp;"")</f>
        <v/>
      </c>
      <c r="E374" s="12">
        <f>SUMIF(Base[Fornecedor],A374&amp;"",Base[Montante])</f>
        <v/>
      </c>
    </row>
    <row r="375">
      <c r="A375" t="inlineStr">
        <is>
          <t>EM000134</t>
        </is>
      </c>
      <c r="B375" t="inlineStr">
        <is>
          <t>FRED LACERDA MACEDO</t>
        </is>
      </c>
      <c r="C375">
        <f>IFERROR(INDEX(DePara[Categoria],MATCH(TEXT(A375,"0"),DePara[Fornecedor_txt],0)),"(sem categoria)")</f>
        <v/>
      </c>
      <c r="D375">
        <f>COUNTIF(Base[Fornecedor],A375&amp;"")</f>
        <v/>
      </c>
      <c r="E375" s="12">
        <f>SUMIF(Base[Fornecedor],A375&amp;"",Base[Montante])</f>
        <v/>
      </c>
    </row>
    <row r="376">
      <c r="A376" t="inlineStr">
        <is>
          <t>EM000135</t>
        </is>
      </c>
      <c r="B376" t="inlineStr">
        <is>
          <t>MARCELO DE MOURA SILVA</t>
        </is>
      </c>
      <c r="C376">
        <f>IFERROR(INDEX(DePara[Categoria],MATCH(TEXT(A376,"0"),DePara[Fornecedor_txt],0)),"(sem categoria)")</f>
        <v/>
      </c>
      <c r="D376">
        <f>COUNTIF(Base[Fornecedor],A376&amp;"")</f>
        <v/>
      </c>
      <c r="E376" s="12">
        <f>SUMIF(Base[Fornecedor],A376&amp;"",Base[Montante])</f>
        <v/>
      </c>
    </row>
    <row r="377">
      <c r="A377" t="inlineStr">
        <is>
          <t>EM000155</t>
        </is>
      </c>
      <c r="B377" t="inlineStr">
        <is>
          <t>IAGO TEIXEIRA MORGADO</t>
        </is>
      </c>
      <c r="C377">
        <f>IFERROR(INDEX(DePara[Categoria],MATCH(TEXT(A377,"0"),DePara[Fornecedor_txt],0)),"(sem categoria)")</f>
        <v/>
      </c>
      <c r="D377">
        <f>COUNTIF(Base[Fornecedor],A377&amp;"")</f>
        <v/>
      </c>
      <c r="E377" s="12">
        <f>SUMIF(Base[Fornecedor],A377&amp;"",Base[Montante])</f>
        <v/>
      </c>
    </row>
    <row r="378">
      <c r="A378" t="n">
        <v>107672</v>
      </c>
      <c r="B378" t="inlineStr">
        <is>
          <t>WONGTSCHOWSKI KLEIMAN ADVOGADOS</t>
        </is>
      </c>
      <c r="C378">
        <f>IFERROR(INDEX(DePara[Categoria],MATCH(TEXT(A378,"0"),DePara[Fornecedor_txt],0)),"(sem categoria)")</f>
        <v/>
      </c>
      <c r="D378">
        <f>COUNTIF(Base[Fornecedor],A378&amp;"")</f>
        <v/>
      </c>
      <c r="E378" s="12">
        <f>SUMIF(Base[Fornecedor],A378&amp;"",Base[Montante])</f>
        <v/>
      </c>
    </row>
    <row r="379">
      <c r="A379" t="inlineStr">
        <is>
          <t>EM000127</t>
        </is>
      </c>
      <c r="B379" t="inlineStr">
        <is>
          <t>GUSTAVO FERNANDES LIMA</t>
        </is>
      </c>
      <c r="C379">
        <f>IFERROR(INDEX(DePara[Categoria],MATCH(TEXT(A379,"0"),DePara[Fornecedor_txt],0)),"(sem categoria)")</f>
        <v/>
      </c>
      <c r="D379">
        <f>COUNTIF(Base[Fornecedor],A379&amp;"")</f>
        <v/>
      </c>
      <c r="E379" s="12">
        <f>SUMIF(Base[Fornecedor],A379&amp;"",Base[Montante])</f>
        <v/>
      </c>
    </row>
    <row r="380">
      <c r="A380" t="inlineStr">
        <is>
          <t>EM000281</t>
        </is>
      </c>
      <c r="B380" t="inlineStr">
        <is>
          <t>VANESSA REGINA DE CAMARGO</t>
        </is>
      </c>
      <c r="C380">
        <f>IFERROR(INDEX(DePara[Categoria],MATCH(TEXT(A380,"0"),DePara[Fornecedor_txt],0)),"(sem categoria)")</f>
        <v/>
      </c>
      <c r="D380">
        <f>COUNTIF(Base[Fornecedor],A380&amp;"")</f>
        <v/>
      </c>
      <c r="E380" s="12">
        <f>SUMIF(Base[Fornecedor],A380&amp;"",Base[Montante])</f>
        <v/>
      </c>
    </row>
    <row r="381">
      <c r="A381" t="inlineStr">
        <is>
          <t>EM000663</t>
        </is>
      </c>
      <c r="B381" t="inlineStr">
        <is>
          <t>MARCELO DA COSTA BRAS</t>
        </is>
      </c>
      <c r="C381">
        <f>IFERROR(INDEX(DePara[Categoria],MATCH(TEXT(A381,"0"),DePara[Fornecedor_txt],0)),"(sem categoria)")</f>
        <v/>
      </c>
      <c r="D381">
        <f>COUNTIF(Base[Fornecedor],A381&amp;"")</f>
        <v/>
      </c>
      <c r="E381" s="12">
        <f>SUMIF(Base[Fornecedor],A381&amp;"",Base[Montante])</f>
        <v/>
      </c>
    </row>
    <row r="382">
      <c r="A382" t="inlineStr">
        <is>
          <t>EM000431</t>
        </is>
      </c>
      <c r="B382" t="inlineStr">
        <is>
          <t>HERVERTON CAVALCANTE LIMA</t>
        </is>
      </c>
      <c r="C382">
        <f>IFERROR(INDEX(DePara[Categoria],MATCH(TEXT(A382,"0"),DePara[Fornecedor_txt],0)),"(sem categoria)")</f>
        <v/>
      </c>
      <c r="D382">
        <f>COUNTIF(Base[Fornecedor],A382&amp;"")</f>
        <v/>
      </c>
      <c r="E382" s="12">
        <f>SUMIF(Base[Fornecedor],A382&amp;"",Base[Montante])</f>
        <v/>
      </c>
    </row>
    <row r="383">
      <c r="A383" t="n">
        <v>101269</v>
      </c>
      <c r="B383" t="inlineStr">
        <is>
          <t>CERTISIGN CERTIFICADORA DIGITAL SA</t>
        </is>
      </c>
      <c r="C383">
        <f>IFERROR(INDEX(DePara[Categoria],MATCH(TEXT(A383,"0"),DePara[Fornecedor_txt],0)),"(sem categoria)")</f>
        <v/>
      </c>
      <c r="D383">
        <f>COUNTIF(Base[Fornecedor],A383&amp;"")</f>
        <v/>
      </c>
      <c r="E383" s="12">
        <f>SUMIF(Base[Fornecedor],A383&amp;"",Base[Montante])</f>
        <v/>
      </c>
    </row>
    <row r="384">
      <c r="A384" t="n">
        <v>101265</v>
      </c>
      <c r="B384" t="inlineStr">
        <is>
          <t>NET2PHONE BRASIL TELECOMUNICAÇÕES L</t>
        </is>
      </c>
      <c r="C384">
        <f>IFERROR(INDEX(DePara[Categoria],MATCH(TEXT(A384,"0"),DePara[Fornecedor_txt],0)),"(sem categoria)")</f>
        <v/>
      </c>
      <c r="D384">
        <f>COUNTIF(Base[Fornecedor],A384&amp;"")</f>
        <v/>
      </c>
      <c r="E384" s="12">
        <f>SUMIF(Base[Fornecedor],A384&amp;"",Base[Montante])</f>
        <v/>
      </c>
    </row>
    <row r="385">
      <c r="A385" t="n">
        <v>102140</v>
      </c>
      <c r="B385" t="inlineStr">
        <is>
          <t>SERASA SA</t>
        </is>
      </c>
      <c r="C385">
        <f>IFERROR(INDEX(DePara[Categoria],MATCH(TEXT(A385,"0"),DePara[Fornecedor_txt],0)),"(sem categoria)")</f>
        <v/>
      </c>
      <c r="D385">
        <f>COUNTIF(Base[Fornecedor],A385&amp;"")</f>
        <v/>
      </c>
      <c r="E385" s="12">
        <f>SUMIF(Base[Fornecedor],A385&amp;"",Base[Montante])</f>
        <v/>
      </c>
    </row>
    <row r="386">
      <c r="A386" t="n">
        <v>102084</v>
      </c>
      <c r="B386" t="inlineStr">
        <is>
          <t>TELEFONICA BRASIL SA</t>
        </is>
      </c>
      <c r="C386">
        <f>IFERROR(INDEX(DePara[Categoria],MATCH(TEXT(A386,"0"),DePara[Fornecedor_txt],0)),"(sem categoria)")</f>
        <v/>
      </c>
      <c r="D386">
        <f>COUNTIF(Base[Fornecedor],A386&amp;"")</f>
        <v/>
      </c>
      <c r="E386" s="12">
        <f>SUMIF(Base[Fornecedor],A386&amp;"",Base[Montante])</f>
        <v/>
      </c>
    </row>
    <row r="387">
      <c r="A387" t="n">
        <v>102001</v>
      </c>
      <c r="B387" t="inlineStr">
        <is>
          <t>TRIBUNAL REGIONAL TRABALHO 21A REGI</t>
        </is>
      </c>
      <c r="C387">
        <f>IFERROR(INDEX(DePara[Categoria],MATCH(TEXT(A387,"0"),DePara[Fornecedor_txt],0)),"(sem categoria)")</f>
        <v/>
      </c>
      <c r="D387">
        <f>COUNTIF(Base[Fornecedor],A387&amp;"")</f>
        <v/>
      </c>
      <c r="E387" s="12">
        <f>SUMIF(Base[Fornecedor],A387&amp;"",Base[Montante])</f>
        <v/>
      </c>
    </row>
    <row r="388">
      <c r="A388" t="n">
        <v>102486</v>
      </c>
      <c r="B388" t="inlineStr">
        <is>
          <t>F&amp;F ATIVIDADES ESPORTIVAS LTDA</t>
        </is>
      </c>
      <c r="C388">
        <f>IFERROR(INDEX(DePara[Categoria],MATCH(TEXT(A388,"0"),DePara[Fornecedor_txt],0)),"(sem categoria)")</f>
        <v/>
      </c>
      <c r="D388">
        <f>COUNTIF(Base[Fornecedor],A388&amp;"")</f>
        <v/>
      </c>
      <c r="E388" s="12">
        <f>SUMIF(Base[Fornecedor],A388&amp;"",Base[Montante])</f>
        <v/>
      </c>
    </row>
    <row r="389">
      <c r="A389" t="inlineStr">
        <is>
          <t>EM000121</t>
        </is>
      </c>
      <c r="B389" t="inlineStr">
        <is>
          <t>WILLIAM VICENTE DA SILVA</t>
        </is>
      </c>
      <c r="C389">
        <f>IFERROR(INDEX(DePara[Categoria],MATCH(TEXT(A389,"0"),DePara[Fornecedor_txt],0)),"(sem categoria)")</f>
        <v/>
      </c>
      <c r="D389">
        <f>COUNTIF(Base[Fornecedor],A389&amp;"")</f>
        <v/>
      </c>
      <c r="E389" s="12">
        <f>SUMIF(Base[Fornecedor],A389&amp;"",Base[Montante])</f>
        <v/>
      </c>
    </row>
    <row r="390">
      <c r="A390" t="inlineStr">
        <is>
          <t>EM000020</t>
        </is>
      </c>
      <c r="B390" t="inlineStr">
        <is>
          <t>JOAO JORGE DA SILVA TEMOTEO</t>
        </is>
      </c>
      <c r="C390">
        <f>IFERROR(INDEX(DePara[Categoria],MATCH(TEXT(A390,"0"),DePara[Fornecedor_txt],0)),"(sem categoria)")</f>
        <v/>
      </c>
      <c r="D390">
        <f>COUNTIF(Base[Fornecedor],A390&amp;"")</f>
        <v/>
      </c>
      <c r="E390" s="12">
        <f>SUMIF(Base[Fornecedor],A390&amp;"",Base[Montante])</f>
        <v/>
      </c>
    </row>
    <row r="391">
      <c r="A391" t="n">
        <v>101287</v>
      </c>
      <c r="B391" t="inlineStr">
        <is>
          <t>TELEFONICA BRASIL SA</t>
        </is>
      </c>
      <c r="C391">
        <f>IFERROR(INDEX(DePara[Categoria],MATCH(TEXT(A391,"0"),DePara[Fornecedor_txt],0)),"(sem categoria)")</f>
        <v/>
      </c>
      <c r="D391">
        <f>COUNTIF(Base[Fornecedor],A391&amp;"")</f>
        <v/>
      </c>
      <c r="E391" s="12">
        <f>SUMIF(Base[Fornecedor],A391&amp;"",Base[Montante])</f>
        <v/>
      </c>
    </row>
    <row r="392">
      <c r="A392" t="n">
        <v>101159</v>
      </c>
      <c r="B392" t="inlineStr">
        <is>
          <t>DOCUSIGN BRASIL SOLUCOES EM TECNOLO 05516218000117</t>
        </is>
      </c>
      <c r="C392">
        <f>IFERROR(INDEX(DePara[Categoria],MATCH(TEXT(A392,"0"),DePara[Fornecedor_txt],0)),"(sem categoria)")</f>
        <v/>
      </c>
      <c r="D392">
        <f>COUNTIF(Base[Fornecedor],A392&amp;"")</f>
        <v/>
      </c>
      <c r="E392" s="12">
        <f>SUMIF(Base[Fornecedor],A392&amp;"",Base[Montante])</f>
        <v/>
      </c>
    </row>
    <row r="393">
      <c r="A393" t="n">
        <v>101976</v>
      </c>
      <c r="B393" t="inlineStr">
        <is>
          <t>SAO PAULO TRIBUNAL DE JUSTICA</t>
        </is>
      </c>
      <c r="C393">
        <f>IFERROR(INDEX(DePara[Categoria],MATCH(TEXT(A393,"0"),DePara[Fornecedor_txt],0)),"(sem categoria)")</f>
        <v/>
      </c>
      <c r="D393">
        <f>COUNTIF(Base[Fornecedor],A393&amp;"")</f>
        <v/>
      </c>
      <c r="E393" s="12">
        <f>SUMIF(Base[Fornecedor],A393&amp;"",Base[Montante])</f>
        <v/>
      </c>
    </row>
    <row r="394">
      <c r="A394" t="n">
        <v>102115</v>
      </c>
      <c r="B394" t="inlineStr">
        <is>
          <t>CLARO SA SAO PAULO</t>
        </is>
      </c>
      <c r="C394">
        <f>IFERROR(INDEX(DePara[Categoria],MATCH(TEXT(A394,"0"),DePara[Fornecedor_txt],0)),"(sem categoria)")</f>
        <v/>
      </c>
      <c r="D394">
        <f>COUNTIF(Base[Fornecedor],A394&amp;"")</f>
        <v/>
      </c>
      <c r="E394" s="12">
        <f>SUMIF(Base[Fornecedor],A394&amp;"",Base[Montante])</f>
        <v/>
      </c>
    </row>
    <row r="395">
      <c r="A395" t="n">
        <v>100099</v>
      </c>
      <c r="B395" t="inlineStr">
        <is>
          <t>PRESENCA COMERCIAL LTDA</t>
        </is>
      </c>
      <c r="C395">
        <f>IFERROR(INDEX(DePara[Categoria],MATCH(TEXT(A395,"0"),DePara[Fornecedor_txt],0)),"(sem categoria)")</f>
        <v/>
      </c>
      <c r="D395">
        <f>COUNTIF(Base[Fornecedor],A395&amp;"")</f>
        <v/>
      </c>
      <c r="E395" s="12">
        <f>SUMIF(Base[Fornecedor],A395&amp;"",Base[Montante])</f>
        <v/>
      </c>
    </row>
    <row r="396">
      <c r="A396" t="n">
        <v>100161</v>
      </c>
      <c r="B396" t="inlineStr">
        <is>
          <t>CAMARA DE COM E IND BRASIL ALEMANHA</t>
        </is>
      </c>
      <c r="C396">
        <f>IFERROR(INDEX(DePara[Categoria],MATCH(TEXT(A396,"0"),DePara[Fornecedor_txt],0)),"(sem categoria)")</f>
        <v/>
      </c>
      <c r="D396">
        <f>COUNTIF(Base[Fornecedor],A396&amp;"")</f>
        <v/>
      </c>
      <c r="E396" s="12">
        <f>SUMIF(Base[Fornecedor],A396&amp;"",Base[Montante])</f>
        <v/>
      </c>
    </row>
    <row r="397">
      <c r="A397" t="n">
        <v>101482</v>
      </c>
      <c r="B397" t="inlineStr">
        <is>
          <t>SANTIN EMPRESA DE TRANSP. ESPECIAIS 22902476000584</t>
        </is>
      </c>
      <c r="C397">
        <f>IFERROR(INDEX(DePara[Categoria],MATCH(TEXT(A397,"0"),DePara[Fornecedor_txt],0)),"(sem categoria)")</f>
        <v/>
      </c>
      <c r="D397">
        <f>COUNTIF(Base[Fornecedor],A397&amp;"")</f>
        <v/>
      </c>
      <c r="E397" s="12">
        <f>SUMIF(Base[Fornecedor],A397&amp;"",Base[Montante])</f>
        <v/>
      </c>
    </row>
    <row r="398">
      <c r="A398" t="n">
        <v>101056</v>
      </c>
      <c r="B398" t="inlineStr">
        <is>
          <t>CAMARA DE COMER ENERGIA ELETRICA CC</t>
        </is>
      </c>
      <c r="C398">
        <f>IFERROR(INDEX(DePara[Categoria],MATCH(TEXT(A398,"0"),DePara[Fornecedor_txt],0)),"(sem categoria)")</f>
        <v/>
      </c>
      <c r="D398">
        <f>COUNTIF(Base[Fornecedor],A398&amp;"")</f>
        <v/>
      </c>
      <c r="E398" s="12">
        <f>SUMIF(Base[Fornecedor],A398&amp;"",Base[Montante])</f>
        <v/>
      </c>
    </row>
    <row r="399">
      <c r="A399" t="n">
        <v>101416</v>
      </c>
      <c r="B399" t="inlineStr">
        <is>
          <t>CENTRO DAS INDUSTRIAS DO ESTADO DE</t>
        </is>
      </c>
      <c r="C399">
        <f>IFERROR(INDEX(DePara[Categoria],MATCH(TEXT(A399,"0"),DePara[Fornecedor_txt],0)),"(sem categoria)")</f>
        <v/>
      </c>
      <c r="D399">
        <f>COUNTIF(Base[Fornecedor],A399&amp;"")</f>
        <v/>
      </c>
      <c r="E399" s="12">
        <f>SUMIF(Base[Fornecedor],A399&amp;"",Base[Montante])</f>
        <v/>
      </c>
    </row>
    <row r="400">
      <c r="A400" t="n">
        <v>103759</v>
      </c>
      <c r="B400" t="inlineStr">
        <is>
          <t>MUNICIPIO DE SIMOES</t>
        </is>
      </c>
      <c r="C400">
        <f>IFERROR(INDEX(DePara[Categoria],MATCH(TEXT(A400,"0"),DePara[Fornecedor_txt],0)),"(sem categoria)")</f>
        <v/>
      </c>
      <c r="D400">
        <f>COUNTIF(Base[Fornecedor],A400&amp;"")</f>
        <v/>
      </c>
      <c r="E400" s="12">
        <f>SUMIF(Base[Fornecedor],A400&amp;"",Base[Montante])</f>
        <v/>
      </c>
    </row>
    <row r="401">
      <c r="A401" t="n">
        <v>101359</v>
      </c>
      <c r="B401" t="inlineStr">
        <is>
          <t>TRIBUNAL REGIONAL TRABALHO 5A REGIA</t>
        </is>
      </c>
      <c r="C401">
        <f>IFERROR(INDEX(DePara[Categoria],MATCH(TEXT(A401,"0"),DePara[Fornecedor_txt],0)),"(sem categoria)")</f>
        <v/>
      </c>
      <c r="D401">
        <f>COUNTIF(Base[Fornecedor],A401&amp;"")</f>
        <v/>
      </c>
      <c r="E401" s="12">
        <f>SUMIF(Base[Fornecedor],A401&amp;"",Base[Montante])</f>
        <v/>
      </c>
    </row>
    <row r="402">
      <c r="A402" t="n">
        <v>101462</v>
      </c>
      <c r="B402" t="inlineStr">
        <is>
          <t>EMERSON MEDEIROS DE MELO</t>
        </is>
      </c>
      <c r="C402">
        <f>IFERROR(INDEX(DePara[Categoria],MATCH(TEXT(A402,"0"),DePara[Fornecedor_txt],0)),"(sem categoria)")</f>
        <v/>
      </c>
      <c r="D402">
        <f>COUNTIF(Base[Fornecedor],A402&amp;"")</f>
        <v/>
      </c>
      <c r="E402" s="12">
        <f>SUMIF(Base[Fornecedor],A402&amp;"",Base[Montante])</f>
        <v/>
      </c>
    </row>
    <row r="403">
      <c r="A403" t="n">
        <v>103781</v>
      </c>
      <c r="B403" t="inlineStr">
        <is>
          <t>INSTITUTO NACIONAL DA PROPRIEDADE I</t>
        </is>
      </c>
      <c r="C403">
        <f>IFERROR(INDEX(DePara[Categoria],MATCH(TEXT(A403,"0"),DePara[Fornecedor_txt],0)),"(sem categoria)")</f>
        <v/>
      </c>
      <c r="D403">
        <f>COUNTIF(Base[Fornecedor],A403&amp;"")</f>
        <v/>
      </c>
      <c r="E403" s="12">
        <f>SUMIF(Base[Fornecedor],A403&amp;"",Base[Montante])</f>
        <v/>
      </c>
    </row>
    <row r="404">
      <c r="A404" t="n">
        <v>100512</v>
      </c>
      <c r="B404" t="inlineStr">
        <is>
          <t>PREMA TECNOLOGIA E COMERCIO LTDA</t>
        </is>
      </c>
      <c r="C404">
        <f>IFERROR(INDEX(DePara[Categoria],MATCH(TEXT(A404,"0"),DePara[Fornecedor_txt],0)),"(sem categoria)")</f>
        <v/>
      </c>
      <c r="D404">
        <f>COUNTIF(Base[Fornecedor],A404&amp;"")</f>
        <v/>
      </c>
      <c r="E404" s="12">
        <f>SUMIF(Base[Fornecedor],A404&amp;"",Base[Montante])</f>
        <v/>
      </c>
    </row>
    <row r="405">
      <c r="A405" t="n">
        <v>101204</v>
      </c>
      <c r="B405" t="inlineStr">
        <is>
          <t>MCADOFFICES COMERCIO DE MOVEIS E MA</t>
        </is>
      </c>
      <c r="C405">
        <f>IFERROR(INDEX(DePara[Categoria],MATCH(TEXT(A405,"0"),DePara[Fornecedor_txt],0)),"(sem categoria)")</f>
        <v/>
      </c>
      <c r="D405">
        <f>COUNTIF(Base[Fornecedor],A405&amp;"")</f>
        <v/>
      </c>
      <c r="E405" s="12">
        <f>SUMIF(Base[Fornecedor],A405&amp;"",Base[Montante])</f>
        <v/>
      </c>
    </row>
    <row r="406">
      <c r="A406" t="n">
        <v>100606</v>
      </c>
      <c r="B406" t="inlineStr">
        <is>
          <t>NOVA ERA COMERCIAL DE TINTAS LTDA</t>
        </is>
      </c>
      <c r="C406">
        <f>IFERROR(INDEX(DePara[Categoria],MATCH(TEXT(A406,"0"),DePara[Fornecedor_txt],0)),"(sem categoria)")</f>
        <v/>
      </c>
      <c r="D406">
        <f>COUNTIF(Base[Fornecedor],A406&amp;"")</f>
        <v/>
      </c>
      <c r="E406" s="12">
        <f>SUMIF(Base[Fornecedor],A406&amp;"",Base[Montante])</f>
        <v/>
      </c>
    </row>
    <row r="407">
      <c r="A407" t="n">
        <v>101844</v>
      </c>
      <c r="B407" t="inlineStr">
        <is>
          <t>COATE CONCRETO AGUA E TERRA LTDA</t>
        </is>
      </c>
      <c r="C407">
        <f>IFERROR(INDEX(DePara[Categoria],MATCH(TEXT(A407,"0"),DePara[Fornecedor_txt],0)),"(sem categoria)")</f>
        <v/>
      </c>
      <c r="D407">
        <f>COUNTIF(Base[Fornecedor],A407&amp;"")</f>
        <v/>
      </c>
      <c r="E407" s="12">
        <f>SUMIF(Base[Fornecedor],A407&amp;"",Base[Montante])</f>
        <v/>
      </c>
    </row>
    <row r="408">
      <c r="A408" t="n">
        <v>101690</v>
      </c>
      <c r="B408" t="inlineStr">
        <is>
          <t>TES TRANSFOR EQUIPAMENTOS ELETRICOS</t>
        </is>
      </c>
      <c r="C408">
        <f>IFERROR(INDEX(DePara[Categoria],MATCH(TEXT(A408,"0"),DePara[Fornecedor_txt],0)),"(sem categoria)")</f>
        <v/>
      </c>
      <c r="D408">
        <f>COUNTIF(Base[Fornecedor],A408&amp;"")</f>
        <v/>
      </c>
      <c r="E408" s="12">
        <f>SUMIF(Base[Fornecedor],A408&amp;"",Base[Montante])</f>
        <v/>
      </c>
    </row>
    <row r="409">
      <c r="A409" t="n">
        <v>100575</v>
      </c>
      <c r="B409" t="inlineStr">
        <is>
          <t>DNIT DEP NAC DE INFRAEST DE TRANSPO</t>
        </is>
      </c>
      <c r="C409">
        <f>IFERROR(INDEX(DePara[Categoria],MATCH(TEXT(A409,"0"),DePara[Fornecedor_txt],0)),"(sem categoria)")</f>
        <v/>
      </c>
      <c r="D409">
        <f>COUNTIF(Base[Fornecedor],A409&amp;"")</f>
        <v/>
      </c>
      <c r="E409" s="12">
        <f>SUMIF(Base[Fornecedor],A409&amp;"",Base[Montante])</f>
        <v/>
      </c>
    </row>
    <row r="410">
      <c r="A410" t="n">
        <v>101133</v>
      </c>
      <c r="B410" t="inlineStr">
        <is>
          <t>ALLIANZ SEGUROS SA USD</t>
        </is>
      </c>
      <c r="C410">
        <f>IFERROR(INDEX(DePara[Categoria],MATCH(TEXT(A410,"0"),DePara[Fornecedor_txt],0)),"(sem categoria)")</f>
        <v/>
      </c>
      <c r="D410">
        <f>COUNTIF(Base[Fornecedor],A410&amp;"")</f>
        <v/>
      </c>
      <c r="E410" s="12">
        <f>SUMIF(Base[Fornecedor],A410&amp;"",Base[Montante])</f>
        <v/>
      </c>
    </row>
    <row r="411">
      <c r="A411" t="n">
        <v>101178</v>
      </c>
      <c r="B411" t="inlineStr">
        <is>
          <t>ACTUANT GMBH</t>
        </is>
      </c>
      <c r="C411">
        <f>IFERROR(INDEX(DePara[Categoria],MATCH(TEXT(A411,"0"),DePara[Fornecedor_txt],0)),"(sem categoria)")</f>
        <v/>
      </c>
      <c r="D411">
        <f>COUNTIF(Base[Fornecedor],A411&amp;"")</f>
        <v/>
      </c>
      <c r="E411" s="12">
        <f>SUMIF(Base[Fornecedor],A411&amp;"",Base[Montante])</f>
        <v/>
      </c>
    </row>
    <row r="412">
      <c r="A412" t="n">
        <v>100916</v>
      </c>
      <c r="B412" t="inlineStr">
        <is>
          <t>SRJ Peety Steels Pvt Ltd</t>
        </is>
      </c>
      <c r="C412">
        <f>IFERROR(INDEX(DePara[Categoria],MATCH(TEXT(A412,"0"),DePara[Fornecedor_txt],0)),"(sem categoria)")</f>
        <v/>
      </c>
      <c r="D412">
        <f>COUNTIF(Base[Fornecedor],A412&amp;"")</f>
        <v/>
      </c>
      <c r="E412" s="12">
        <f>SUMIF(Base[Fornecedor],A412&amp;"",Base[Montante])</f>
        <v/>
      </c>
    </row>
    <row r="413">
      <c r="A413" t="n">
        <v>101878</v>
      </c>
      <c r="B413" t="inlineStr">
        <is>
          <t>UPLOG TRANSPORTES E LOGISTICA EIREL</t>
        </is>
      </c>
      <c r="C413">
        <f>IFERROR(INDEX(DePara[Categoria],MATCH(TEXT(A413,"0"),DePara[Fornecedor_txt],0)),"(sem categoria)")</f>
        <v/>
      </c>
      <c r="D413">
        <f>COUNTIF(Base[Fornecedor],A413&amp;"")</f>
        <v/>
      </c>
      <c r="E413" s="12">
        <f>SUMIF(Base[Fornecedor],A413&amp;"",Base[Montante])</f>
        <v/>
      </c>
    </row>
    <row r="414">
      <c r="A414" t="inlineStr">
        <is>
          <t>EM000102</t>
        </is>
      </c>
      <c r="B414" t="inlineStr">
        <is>
          <t>LUIZ MARCELO SILVA MENESCAL CAMPOS</t>
        </is>
      </c>
      <c r="C414">
        <f>IFERROR(INDEX(DePara[Categoria],MATCH(TEXT(A414,"0"),DePara[Fornecedor_txt],0)),"(sem categoria)")</f>
        <v/>
      </c>
      <c r="D414">
        <f>COUNTIF(Base[Fornecedor],A414&amp;"")</f>
        <v/>
      </c>
      <c r="E414" s="12">
        <f>SUMIF(Base[Fornecedor],A414&amp;"",Base[Montante])</f>
        <v/>
      </c>
    </row>
    <row r="415">
      <c r="A415" t="n">
        <v>101896</v>
      </c>
      <c r="B415" t="inlineStr">
        <is>
          <t>EMTERC SERVICOS E CONSTRUCOES LTDA</t>
        </is>
      </c>
      <c r="C415">
        <f>IFERROR(INDEX(DePara[Categoria],MATCH(TEXT(A415,"0"),DePara[Fornecedor_txt],0)),"(sem categoria)")</f>
        <v/>
      </c>
      <c r="D415">
        <f>COUNTIF(Base[Fornecedor],A415&amp;"")</f>
        <v/>
      </c>
      <c r="E415" s="12">
        <f>SUMIF(Base[Fornecedor],A415&amp;"",Base[Montante])</f>
        <v/>
      </c>
    </row>
    <row r="416">
      <c r="A416" t="n">
        <v>101917</v>
      </c>
      <c r="B416" t="inlineStr">
        <is>
          <t>ROSCAFIX FIXACAO E VEDACAO LTDA</t>
        </is>
      </c>
      <c r="C416">
        <f>IFERROR(INDEX(DePara[Categoria],MATCH(TEXT(A416,"0"),DePara[Fornecedor_txt],0)),"(sem categoria)")</f>
        <v/>
      </c>
      <c r="D416">
        <f>COUNTIF(Base[Fornecedor],A416&amp;"")</f>
        <v/>
      </c>
      <c r="E416" s="12">
        <f>SUMIF(Base[Fornecedor],A416&amp;"",Base[Montante])</f>
        <v/>
      </c>
    </row>
    <row r="417">
      <c r="A417" t="n">
        <v>101568</v>
      </c>
      <c r="B417" t="inlineStr">
        <is>
          <t>GLOBAL AIR CARGO LTDA</t>
        </is>
      </c>
      <c r="C417">
        <f>IFERROR(INDEX(DePara[Categoria],MATCH(TEXT(A417,"0"),DePara[Fornecedor_txt],0)),"(sem categoria)")</f>
        <v/>
      </c>
      <c r="D417">
        <f>COUNTIF(Base[Fornecedor],A417&amp;"")</f>
        <v/>
      </c>
      <c r="E417" s="12">
        <f>SUMIF(Base[Fornecedor],A417&amp;"",Base[Montante])</f>
        <v/>
      </c>
    </row>
    <row r="418">
      <c r="A418" t="n">
        <v>101597</v>
      </c>
      <c r="B418" t="inlineStr">
        <is>
          <t>TELEFONICA BRASIL SA</t>
        </is>
      </c>
      <c r="C418">
        <f>IFERROR(INDEX(DePara[Categoria],MATCH(TEXT(A418,"0"),DePara[Fornecedor_txt],0)),"(sem categoria)")</f>
        <v/>
      </c>
      <c r="D418">
        <f>COUNTIF(Base[Fornecedor],A418&amp;"")</f>
        <v/>
      </c>
      <c r="E418" s="12">
        <f>SUMIF(Base[Fornecedor],A418&amp;"",Base[Montante])</f>
        <v/>
      </c>
    </row>
    <row r="419">
      <c r="A419" t="n">
        <v>101611</v>
      </c>
      <c r="B419" t="inlineStr">
        <is>
          <t>SECRETARIA DA FAZENDA BAHIA</t>
        </is>
      </c>
      <c r="C419">
        <f>IFERROR(INDEX(DePara[Categoria],MATCH(TEXT(A419,"0"),DePara[Fornecedor_txt],0)),"(sem categoria)")</f>
        <v/>
      </c>
      <c r="D419">
        <f>COUNTIF(Base[Fornecedor],A419&amp;"")</f>
        <v/>
      </c>
      <c r="E419" s="12">
        <f>SUMIF(Base[Fornecedor],A419&amp;"",Base[Montante])</f>
        <v/>
      </c>
    </row>
    <row r="420">
      <c r="A420" t="n">
        <v>101622</v>
      </c>
      <c r="B420" t="inlineStr">
        <is>
          <t>BAGAREL COMERCIO DE INSTRUMENTOS LT</t>
        </is>
      </c>
      <c r="C420">
        <f>IFERROR(INDEX(DePara[Categoria],MATCH(TEXT(A420,"0"),DePara[Fornecedor_txt],0)),"(sem categoria)")</f>
        <v/>
      </c>
      <c r="D420">
        <f>COUNTIF(Base[Fornecedor],A420&amp;"")</f>
        <v/>
      </c>
      <c r="E420" s="12">
        <f>SUMIF(Base[Fornecedor],A420&amp;"",Base[Montante])</f>
        <v/>
      </c>
    </row>
    <row r="421">
      <c r="A421" t="n">
        <v>101673</v>
      </c>
      <c r="B421" t="inlineStr">
        <is>
          <t>SANTOS BRASIL PARTICIPACOES SA</t>
        </is>
      </c>
      <c r="C421">
        <f>IFERROR(INDEX(DePara[Categoria],MATCH(TEXT(A421,"0"),DePara[Fornecedor_txt],0)),"(sem categoria)")</f>
        <v/>
      </c>
      <c r="D421">
        <f>COUNTIF(Base[Fornecedor],A421&amp;"")</f>
        <v/>
      </c>
      <c r="E421" s="12">
        <f>SUMIF(Base[Fornecedor],A421&amp;"",Base[Montante])</f>
        <v/>
      </c>
    </row>
    <row r="422">
      <c r="A422" t="n">
        <v>101751</v>
      </c>
      <c r="B422" t="inlineStr">
        <is>
          <t>METLIFE PLANOS ODONTOLOGICOS LTDA</t>
        </is>
      </c>
      <c r="C422">
        <f>IFERROR(INDEX(DePara[Categoria],MATCH(TEXT(A422,"0"),DePara[Fornecedor_txt],0)),"(sem categoria)")</f>
        <v/>
      </c>
      <c r="D422">
        <f>COUNTIF(Base[Fornecedor],A422&amp;"")</f>
        <v/>
      </c>
      <c r="E422" s="12">
        <f>SUMIF(Base[Fornecedor],A422&amp;"",Base[Montante])</f>
        <v/>
      </c>
    </row>
    <row r="423">
      <c r="A423" t="n">
        <v>101771</v>
      </c>
      <c r="B423" t="inlineStr">
        <is>
          <t>RUZINALDO BARROS MOURA</t>
        </is>
      </c>
      <c r="C423">
        <f>IFERROR(INDEX(DePara[Categoria],MATCH(TEXT(A423,"0"),DePara[Fornecedor_txt],0)),"(sem categoria)")</f>
        <v/>
      </c>
      <c r="D423">
        <f>COUNTIF(Base[Fornecedor],A423&amp;"")</f>
        <v/>
      </c>
      <c r="E423" s="12">
        <f>SUMIF(Base[Fornecedor],A423&amp;"",Base[Montante])</f>
        <v/>
      </c>
    </row>
    <row r="424">
      <c r="A424" t="inlineStr">
        <is>
          <t>EM000332</t>
        </is>
      </c>
      <c r="B424" t="inlineStr">
        <is>
          <t>MARIO SERGIO NASCIMENTO DOS SANTOS</t>
        </is>
      </c>
      <c r="C424">
        <f>IFERROR(INDEX(DePara[Categoria],MATCH(TEXT(A424,"0"),DePara[Fornecedor_txt],0)),"(sem categoria)")</f>
        <v/>
      </c>
      <c r="D424">
        <f>COUNTIF(Base[Fornecedor],A424&amp;"")</f>
        <v/>
      </c>
      <c r="E424" s="12">
        <f>SUMIF(Base[Fornecedor],A424&amp;"",Base[Montante])</f>
        <v/>
      </c>
    </row>
    <row r="425">
      <c r="A425" t="n">
        <v>101232</v>
      </c>
      <c r="B425" t="inlineStr">
        <is>
          <t>TRANSDATA ENGENHARIA E MOVIMENTACAO</t>
        </is>
      </c>
      <c r="C425">
        <f>IFERROR(INDEX(DePara[Categoria],MATCH(TEXT(A425,"0"),DePara[Fornecedor_txt],0)),"(sem categoria)")</f>
        <v/>
      </c>
      <c r="D425">
        <f>COUNTIF(Base[Fornecedor],A425&amp;"")</f>
        <v/>
      </c>
      <c r="E425" s="12">
        <f>SUMIF(Base[Fornecedor],A425&amp;"",Base[Montante])</f>
        <v/>
      </c>
    </row>
    <row r="426">
      <c r="A426" t="n">
        <v>100747</v>
      </c>
      <c r="B426" t="inlineStr">
        <is>
          <t>MA TECH ENGENHARIA DA CONSTRUCAO LT</t>
        </is>
      </c>
      <c r="C426">
        <f>IFERROR(INDEX(DePara[Categoria],MATCH(TEXT(A426,"0"),DePara[Fornecedor_txt],0)),"(sem categoria)")</f>
        <v/>
      </c>
      <c r="D426">
        <f>COUNTIF(Base[Fornecedor],A426&amp;"")</f>
        <v/>
      </c>
      <c r="E426" s="12">
        <f>SUMIF(Base[Fornecedor],A426&amp;"",Base[Montante])</f>
        <v/>
      </c>
    </row>
    <row r="427">
      <c r="A427" t="n">
        <v>102453</v>
      </c>
      <c r="B427" t="inlineStr">
        <is>
          <t>GILVAN GONÇALVES DE ANDRADE</t>
        </is>
      </c>
      <c r="C427">
        <f>IFERROR(INDEX(DePara[Categoria],MATCH(TEXT(A427,"0"),DePara[Fornecedor_txt],0)),"(sem categoria)")</f>
        <v/>
      </c>
      <c r="D427">
        <f>COUNTIF(Base[Fornecedor],A427&amp;"")</f>
        <v/>
      </c>
      <c r="E427" s="12">
        <f>SUMIF(Base[Fornecedor],A427&amp;"",Base[Montante])</f>
        <v/>
      </c>
    </row>
    <row r="428">
      <c r="A428" t="n">
        <v>100812</v>
      </c>
      <c r="B428" t="inlineStr">
        <is>
          <t>MODULAR TRANSPORTES LTDA</t>
        </is>
      </c>
      <c r="C428">
        <f>IFERROR(INDEX(DePara[Categoria],MATCH(TEXT(A428,"0"),DePara[Fornecedor_txt],0)),"(sem categoria)")</f>
        <v/>
      </c>
      <c r="D428">
        <f>COUNTIF(Base[Fornecedor],A428&amp;"")</f>
        <v/>
      </c>
      <c r="E428" s="12">
        <f>SUMIF(Base[Fornecedor],A428&amp;"",Base[Montante])</f>
        <v/>
      </c>
    </row>
    <row r="429">
      <c r="A429" t="n">
        <v>100876</v>
      </c>
      <c r="B429" t="inlineStr">
        <is>
          <t>EQUIPO INFO SERVICOS DE TECNOLOGIA</t>
        </is>
      </c>
      <c r="C429">
        <f>IFERROR(INDEX(DePara[Categoria],MATCH(TEXT(A429,"0"),DePara[Fornecedor_txt],0)),"(sem categoria)")</f>
        <v/>
      </c>
      <c r="D429">
        <f>COUNTIF(Base[Fornecedor],A429&amp;"")</f>
        <v/>
      </c>
      <c r="E429" s="12">
        <f>SUMIF(Base[Fornecedor],A429&amp;"",Base[Montante])</f>
        <v/>
      </c>
    </row>
    <row r="430">
      <c r="A430" t="n">
        <v>100909</v>
      </c>
      <c r="B430" t="inlineStr">
        <is>
          <t>FCG COMERCIO DE ALIMENTOS LTDA</t>
        </is>
      </c>
      <c r="C430">
        <f>IFERROR(INDEX(DePara[Categoria],MATCH(TEXT(A430,"0"),DePara[Fornecedor_txt],0)),"(sem categoria)")</f>
        <v/>
      </c>
      <c r="D430">
        <f>COUNTIF(Base[Fornecedor],A430&amp;"")</f>
        <v/>
      </c>
      <c r="E430" s="12">
        <f>SUMIF(Base[Fornecedor],A430&amp;"",Base[Montante])</f>
        <v/>
      </c>
    </row>
    <row r="431">
      <c r="A431" t="n">
        <v>100951</v>
      </c>
      <c r="B431" t="inlineStr">
        <is>
          <t>CONCRELOC CONCRETO LTDA</t>
        </is>
      </c>
      <c r="C431">
        <f>IFERROR(INDEX(DePara[Categoria],MATCH(TEXT(A431,"0"),DePara[Fornecedor_txt],0)),"(sem categoria)")</f>
        <v/>
      </c>
      <c r="D431">
        <f>COUNTIF(Base[Fornecedor],A431&amp;"")</f>
        <v/>
      </c>
      <c r="E431" s="12">
        <f>SUMIF(Base[Fornecedor],A431&amp;"",Base[Montante])</f>
        <v/>
      </c>
    </row>
    <row r="432">
      <c r="A432" t="n">
        <v>100548</v>
      </c>
      <c r="B432" t="inlineStr">
        <is>
          <t>POLIMEXE CONCRETOS CONSTRUCOES E SE</t>
        </is>
      </c>
      <c r="C432">
        <f>IFERROR(INDEX(DePara[Categoria],MATCH(TEXT(A432,"0"),DePara[Fornecedor_txt],0)),"(sem categoria)")</f>
        <v/>
      </c>
      <c r="D432">
        <f>COUNTIF(Base[Fornecedor],A432&amp;"")</f>
        <v/>
      </c>
      <c r="E432" s="12">
        <f>SUMIF(Base[Fornecedor],A432&amp;"",Base[Montante])</f>
        <v/>
      </c>
    </row>
    <row r="433">
      <c r="A433" t="n">
        <v>100558</v>
      </c>
      <c r="B433" t="inlineStr">
        <is>
          <t>REAL SERVICE TRANSPORTE E TURISMO L</t>
        </is>
      </c>
      <c r="C433">
        <f>IFERROR(INDEX(DePara[Categoria],MATCH(TEXT(A433,"0"),DePara[Fornecedor_txt],0)),"(sem categoria)")</f>
        <v/>
      </c>
      <c r="D433">
        <f>COUNTIF(Base[Fornecedor],A433&amp;"")</f>
        <v/>
      </c>
      <c r="E433" s="12">
        <f>SUMIF(Base[Fornecedor],A433&amp;"",Base[Montante])</f>
        <v/>
      </c>
    </row>
    <row r="434">
      <c r="A434" t="n">
        <v>100573</v>
      </c>
      <c r="B434" t="inlineStr">
        <is>
          <t>FEDERAL EXPRESS CORPORATION</t>
        </is>
      </c>
      <c r="C434">
        <f>IFERROR(INDEX(DePara[Categoria],MATCH(TEXT(A434,"0"),DePara[Fornecedor_txt],0)),"(sem categoria)")</f>
        <v/>
      </c>
      <c r="D434">
        <f>COUNTIF(Base[Fornecedor],A434&amp;"")</f>
        <v/>
      </c>
      <c r="E434" s="12">
        <f>SUMIF(Base[Fornecedor],A434&amp;"",Base[Montante])</f>
        <v/>
      </c>
    </row>
    <row r="435">
      <c r="A435" t="n">
        <v>100585</v>
      </c>
      <c r="B435" t="inlineStr">
        <is>
          <t>MM ENERGIA CONSTRUCOES E MANUTENCOE</t>
        </is>
      </c>
      <c r="C435">
        <f>IFERROR(INDEX(DePara[Categoria],MATCH(TEXT(A435,"0"),DePara[Fornecedor_txt],0)),"(sem categoria)")</f>
        <v/>
      </c>
      <c r="D435">
        <f>COUNTIF(Base[Fornecedor],A435&amp;"")</f>
        <v/>
      </c>
      <c r="E435" s="12">
        <f>SUMIF(Base[Fornecedor],A435&amp;"",Base[Montante])</f>
        <v/>
      </c>
    </row>
    <row r="436">
      <c r="A436" t="n">
        <v>100590</v>
      </c>
      <c r="B436" t="inlineStr">
        <is>
          <t>WDS ENGENHARIA E LOGISTICA LTDA</t>
        </is>
      </c>
      <c r="C436">
        <f>IFERROR(INDEX(DePara[Categoria],MATCH(TEXT(A436,"0"),DePara[Fornecedor_txt],0)),"(sem categoria)")</f>
        <v/>
      </c>
      <c r="D436">
        <f>COUNTIF(Base[Fornecedor],A436&amp;"")</f>
        <v/>
      </c>
      <c r="E436" s="12">
        <f>SUMIF(Base[Fornecedor],A436&amp;"",Base[Montante])</f>
        <v/>
      </c>
    </row>
    <row r="437">
      <c r="A437" t="n">
        <v>100614</v>
      </c>
      <c r="B437" t="inlineStr">
        <is>
          <t>SKYFOR TREINAMENTOS LTDA 39426894000111</t>
        </is>
      </c>
      <c r="C437">
        <f>IFERROR(INDEX(DePara[Categoria],MATCH(TEXT(A437,"0"),DePara[Fornecedor_txt],0)),"(sem categoria)")</f>
        <v/>
      </c>
      <c r="D437">
        <f>COUNTIF(Base[Fornecedor],A437&amp;"")</f>
        <v/>
      </c>
      <c r="E437" s="12">
        <f>SUMIF(Base[Fornecedor],A437&amp;"",Base[Montante])</f>
        <v/>
      </c>
    </row>
    <row r="438">
      <c r="A438" t="n">
        <v>100419</v>
      </c>
      <c r="B438" t="inlineStr">
        <is>
          <t>THE WORLD HOTELS ASSESSORIA E ADM</t>
        </is>
      </c>
      <c r="C438">
        <f>IFERROR(INDEX(DePara[Categoria],MATCH(TEXT(A438,"0"),DePara[Fornecedor_txt],0)),"(sem categoria)")</f>
        <v/>
      </c>
      <c r="D438">
        <f>COUNTIF(Base[Fornecedor],A438&amp;"")</f>
        <v/>
      </c>
      <c r="E438" s="12">
        <f>SUMIF(Base[Fornecedor],A438&amp;"",Base[Montante])</f>
        <v/>
      </c>
    </row>
    <row r="439">
      <c r="A439" t="n">
        <v>102339</v>
      </c>
      <c r="B439" t="inlineStr">
        <is>
          <t>MELO E BARRETO CLINICA MEDICA LTDA</t>
        </is>
      </c>
      <c r="C439">
        <f>IFERROR(INDEX(DePara[Categoria],MATCH(TEXT(A439,"0"),DePara[Fornecedor_txt],0)),"(sem categoria)")</f>
        <v/>
      </c>
      <c r="D439">
        <f>COUNTIF(Base[Fornecedor],A439&amp;"")</f>
        <v/>
      </c>
      <c r="E439" s="12">
        <f>SUMIF(Base[Fornecedor],A439&amp;"",Base[Montante])</f>
        <v/>
      </c>
    </row>
    <row r="440">
      <c r="A440" t="n">
        <v>102472</v>
      </c>
      <c r="B440" t="inlineStr">
        <is>
          <t>BALASKA EQUIPE INDUSTRIA E COMERCIO</t>
        </is>
      </c>
      <c r="C440">
        <f>IFERROR(INDEX(DePara[Categoria],MATCH(TEXT(A440,"0"),DePara[Fornecedor_txt],0)),"(sem categoria)")</f>
        <v/>
      </c>
      <c r="D440">
        <f>COUNTIF(Base[Fornecedor],A440&amp;"")</f>
        <v/>
      </c>
      <c r="E440" s="12">
        <f>SUMIF(Base[Fornecedor],A440&amp;"",Base[Montante])</f>
        <v/>
      </c>
    </row>
    <row r="441">
      <c r="A441" t="n">
        <v>103693</v>
      </c>
      <c r="B441" t="inlineStr">
        <is>
          <t>IMERSA AUDITORIA E CONSULTORIA LTDA</t>
        </is>
      </c>
      <c r="C441">
        <f>IFERROR(INDEX(DePara[Categoria],MATCH(TEXT(A441,"0"),DePara[Fornecedor_txt],0)),"(sem categoria)")</f>
        <v/>
      </c>
      <c r="D441">
        <f>COUNTIF(Base[Fornecedor],A441&amp;"")</f>
        <v/>
      </c>
      <c r="E441" s="12">
        <f>SUMIF(Base[Fornecedor],A441&amp;"",Base[Montante])</f>
        <v/>
      </c>
    </row>
    <row r="442">
      <c r="A442" t="inlineStr">
        <is>
          <t>EM000055</t>
        </is>
      </c>
      <c r="B442" t="inlineStr">
        <is>
          <t>VINICIUS MECCHI SILVA</t>
        </is>
      </c>
      <c r="C442">
        <f>IFERROR(INDEX(DePara[Categoria],MATCH(TEXT(A442,"0"),DePara[Fornecedor_txt],0)),"(sem categoria)")</f>
        <v/>
      </c>
      <c r="D442">
        <f>COUNTIF(Base[Fornecedor],A442&amp;"")</f>
        <v/>
      </c>
      <c r="E442" s="12">
        <f>SUMIF(Base[Fornecedor],A442&amp;"",Base[Montante])</f>
        <v/>
      </c>
    </row>
    <row r="443">
      <c r="A443" t="n">
        <v>102053</v>
      </c>
      <c r="B443" t="inlineStr">
        <is>
          <t>GH DO BRASIL INDUSTRIA E COMERCIO L</t>
        </is>
      </c>
      <c r="C443">
        <f>IFERROR(INDEX(DePara[Categoria],MATCH(TEXT(A443,"0"),DePara[Fornecedor_txt],0)),"(sem categoria)")</f>
        <v/>
      </c>
      <c r="D443">
        <f>COUNTIF(Base[Fornecedor],A443&amp;"")</f>
        <v/>
      </c>
      <c r="E443" s="12">
        <f>SUMIF(Base[Fornecedor],A443&amp;"",Base[Montante])</f>
        <v/>
      </c>
    </row>
    <row r="444">
      <c r="A444" t="n">
        <v>102099</v>
      </c>
      <c r="B444" t="inlineStr">
        <is>
          <t>INGRAM MICRO BRASIL LTDA</t>
        </is>
      </c>
      <c r="C444">
        <f>IFERROR(INDEX(DePara[Categoria],MATCH(TEXT(A444,"0"),DePara[Fornecedor_txt],0)),"(sem categoria)")</f>
        <v/>
      </c>
      <c r="D444">
        <f>COUNTIF(Base[Fornecedor],A444&amp;"")</f>
        <v/>
      </c>
      <c r="E444" s="12">
        <f>SUMIF(Base[Fornecedor],A444&amp;"",Base[Montante])</f>
        <v/>
      </c>
    </row>
    <row r="445">
      <c r="A445" t="n">
        <v>101007</v>
      </c>
      <c r="B445" t="inlineStr">
        <is>
          <t>SANTA BARBARA TRANSPORTES E LOGISTI</t>
        </is>
      </c>
      <c r="C445">
        <f>IFERROR(INDEX(DePara[Categoria],MATCH(TEXT(A445,"0"),DePara[Fornecedor_txt],0)),"(sem categoria)")</f>
        <v/>
      </c>
      <c r="D445">
        <f>COUNTIF(Base[Fornecedor],A445&amp;"")</f>
        <v/>
      </c>
      <c r="E445" s="12">
        <f>SUMIF(Base[Fornecedor],A445&amp;"",Base[Montante])</f>
        <v/>
      </c>
    </row>
    <row r="446">
      <c r="A446" t="n">
        <v>101963</v>
      </c>
      <c r="B446" t="inlineStr">
        <is>
          <t>4U CONSTRUCOES LTDA EPP</t>
        </is>
      </c>
      <c r="C446">
        <f>IFERROR(INDEX(DePara[Categoria],MATCH(TEXT(A446,"0"),DePara[Fornecedor_txt],0)),"(sem categoria)")</f>
        <v/>
      </c>
      <c r="D446">
        <f>COUNTIF(Base[Fornecedor],A446&amp;"")</f>
        <v/>
      </c>
      <c r="E446" s="12">
        <f>SUMIF(Base[Fornecedor],A446&amp;"",Base[Montante])</f>
        <v/>
      </c>
    </row>
    <row r="447">
      <c r="A447" t="n">
        <v>103740</v>
      </c>
      <c r="B447" t="inlineStr">
        <is>
          <t>SEM PARAR INSTITUIÇÃO DE PAGAMENTO</t>
        </is>
      </c>
      <c r="C447">
        <f>IFERROR(INDEX(DePara[Categoria],MATCH(TEXT(A447,"0"),DePara[Fornecedor_txt],0)),"(sem categoria)")</f>
        <v/>
      </c>
      <c r="D447">
        <f>COUNTIF(Base[Fornecedor],A447&amp;"")</f>
        <v/>
      </c>
      <c r="E447" s="12">
        <f>SUMIF(Base[Fornecedor],A447&amp;"",Base[Montante])</f>
        <v/>
      </c>
    </row>
    <row r="448">
      <c r="A448" t="n">
        <v>101260</v>
      </c>
      <c r="B448" t="inlineStr">
        <is>
          <t>ECOLOGICA NORDESTE EIRELI ME</t>
        </is>
      </c>
      <c r="C448">
        <f>IFERROR(INDEX(DePara[Categoria],MATCH(TEXT(A448,"0"),DePara[Fornecedor_txt],0)),"(sem categoria)")</f>
        <v/>
      </c>
      <c r="D448">
        <f>COUNTIF(Base[Fornecedor],A448&amp;"")</f>
        <v/>
      </c>
      <c r="E448" s="12">
        <f>SUMIF(Base[Fornecedor],A448&amp;"",Base[Montante])</f>
        <v/>
      </c>
    </row>
    <row r="449">
      <c r="A449" t="n">
        <v>101483</v>
      </c>
      <c r="B449" t="inlineStr">
        <is>
          <t>SANTIN EMPRESA DE TRANSP. ESPECIAIS 22902476000150</t>
        </is>
      </c>
      <c r="C449">
        <f>IFERROR(INDEX(DePara[Categoria],MATCH(TEXT(A449,"0"),DePara[Fornecedor_txt],0)),"(sem categoria)")</f>
        <v/>
      </c>
      <c r="D449">
        <f>COUNTIF(Base[Fornecedor],A449&amp;"")</f>
        <v/>
      </c>
      <c r="E449" s="12">
        <f>SUMIF(Base[Fornecedor],A449&amp;"",Base[Montante])</f>
        <v/>
      </c>
    </row>
    <row r="450">
      <c r="A450" t="n">
        <v>101481</v>
      </c>
      <c r="B450" t="inlineStr">
        <is>
          <t>SANTIN EMPRESA DE TRANSP. ESPECIAIS 22902476000312</t>
        </is>
      </c>
      <c r="C450">
        <f>IFERROR(INDEX(DePara[Categoria],MATCH(TEXT(A450,"0"),DePara[Fornecedor_txt],0)),"(sem categoria)")</f>
        <v/>
      </c>
      <c r="D450">
        <f>COUNTIF(Base[Fornecedor],A450&amp;"")</f>
        <v/>
      </c>
      <c r="E450" s="12">
        <f>SUMIF(Base[Fornecedor],A450&amp;"",Base[Montante])</f>
        <v/>
      </c>
    </row>
    <row r="451">
      <c r="A451" t="n">
        <v>102440</v>
      </c>
      <c r="B451" t="inlineStr">
        <is>
          <t>PREVIDENCIA SOCIAL DO BRASIL</t>
        </is>
      </c>
      <c r="C451">
        <f>IFERROR(INDEX(DePara[Categoria],MATCH(TEXT(A451,"0"),DePara[Fornecedor_txt],0)),"(sem categoria)")</f>
        <v/>
      </c>
      <c r="D451">
        <f>COUNTIF(Base[Fornecedor],A451&amp;"")</f>
        <v/>
      </c>
      <c r="E451" s="12">
        <f>SUMIF(Base[Fornecedor],A451&amp;"",Base[Montante])</f>
        <v/>
      </c>
    </row>
    <row r="452">
      <c r="A452" t="n">
        <v>101427</v>
      </c>
      <c r="B452" t="inlineStr">
        <is>
          <t>TRIBUNAL REGIONAL FEDERAL 3 REGIAO</t>
        </is>
      </c>
      <c r="C452">
        <f>IFERROR(INDEX(DePara[Categoria],MATCH(TEXT(A452,"0"),DePara[Fornecedor_txt],0)),"(sem categoria)")</f>
        <v/>
      </c>
      <c r="D452">
        <f>COUNTIF(Base[Fornecedor],A452&amp;"")</f>
        <v/>
      </c>
      <c r="E452" s="12">
        <f>SUMIF(Base[Fornecedor],A452&amp;"",Base[Montante])</f>
        <v/>
      </c>
    </row>
    <row r="453">
      <c r="A453" t="n">
        <v>101825</v>
      </c>
      <c r="B453" t="inlineStr">
        <is>
          <t>WURTH DO BRASIL PECAS DE FIXACAO LT</t>
        </is>
      </c>
      <c r="C453">
        <f>IFERROR(INDEX(DePara[Categoria],MATCH(TEXT(A453,"0"),DePara[Fornecedor_txt],0)),"(sem categoria)")</f>
        <v/>
      </c>
      <c r="D453">
        <f>COUNTIF(Base[Fornecedor],A453&amp;"")</f>
        <v/>
      </c>
      <c r="E453" s="12">
        <f>SUMIF(Base[Fornecedor],A453&amp;"",Base[Montante])</f>
        <v/>
      </c>
    </row>
    <row r="454">
      <c r="A454" t="n">
        <v>101547</v>
      </c>
      <c r="B454" t="inlineStr">
        <is>
          <t>BARRACUDA PRODUTOS MATERIAIS C LTDA</t>
        </is>
      </c>
      <c r="C454">
        <f>IFERROR(INDEX(DePara[Categoria],MATCH(TEXT(A454,"0"),DePara[Fornecedor_txt],0)),"(sem categoria)")</f>
        <v/>
      </c>
      <c r="D454">
        <f>COUNTIF(Base[Fornecedor],A454&amp;"")</f>
        <v/>
      </c>
      <c r="E454" s="12">
        <f>SUMIF(Base[Fornecedor],A454&amp;"",Base[Montante])</f>
        <v/>
      </c>
    </row>
    <row r="455">
      <c r="A455" t="n">
        <v>103886</v>
      </c>
      <c r="B455" t="inlineStr">
        <is>
          <t>FEDERAL EXPRESS CORPORATION</t>
        </is>
      </c>
      <c r="C455">
        <f>IFERROR(INDEX(DePara[Categoria],MATCH(TEXT(A455,"0"),DePara[Fornecedor_txt],0)),"(sem categoria)")</f>
        <v/>
      </c>
      <c r="D455">
        <f>COUNTIF(Base[Fornecedor],A455&amp;"")</f>
        <v/>
      </c>
      <c r="E455" s="12">
        <f>SUMIF(Base[Fornecedor],A455&amp;"",Base[Montante])</f>
        <v/>
      </c>
    </row>
    <row r="456">
      <c r="A456" t="n">
        <v>101973</v>
      </c>
      <c r="B456" t="inlineStr">
        <is>
          <t>APM TERMINALS PECEM OPERACOES P LTD</t>
        </is>
      </c>
      <c r="C456">
        <f>IFERROR(INDEX(DePara[Categoria],MATCH(TEXT(A456,"0"),DePara[Fornecedor_txt],0)),"(sem categoria)")</f>
        <v/>
      </c>
      <c r="D456">
        <f>COUNTIF(Base[Fornecedor],A456&amp;"")</f>
        <v/>
      </c>
      <c r="E456" s="12">
        <f>SUMIF(Base[Fornecedor],A456&amp;"",Base[Montante])</f>
        <v/>
      </c>
    </row>
    <row r="457">
      <c r="A457" t="n">
        <v>105629</v>
      </c>
      <c r="B457" t="inlineStr">
        <is>
          <t>RESTAURANTE SANTA GERTRUDES LTDA 47904495000309</t>
        </is>
      </c>
      <c r="C457">
        <f>IFERROR(INDEX(DePara[Categoria],MATCH(TEXT(A457,"0"),DePara[Fornecedor_txt],0)),"(sem categoria)")</f>
        <v/>
      </c>
      <c r="D457">
        <f>COUNTIF(Base[Fornecedor],A457&amp;"")</f>
        <v/>
      </c>
      <c r="E457" s="12">
        <f>SUMIF(Base[Fornecedor],A457&amp;"",Base[Montante])</f>
        <v/>
      </c>
    </row>
    <row r="458">
      <c r="A458" t="n">
        <v>101254</v>
      </c>
      <c r="B458" t="inlineStr">
        <is>
          <t>AGENCIA BRASILEIRA DE METEOROLOGIA</t>
        </is>
      </c>
      <c r="C458">
        <f>IFERROR(INDEX(DePara[Categoria],MATCH(TEXT(A458,"0"),DePara[Fornecedor_txt],0)),"(sem categoria)")</f>
        <v/>
      </c>
      <c r="D458">
        <f>COUNTIF(Base[Fornecedor],A458&amp;"")</f>
        <v/>
      </c>
      <c r="E458" s="12">
        <f>SUMIF(Base[Fornecedor],A458&amp;"",Base[Montante])</f>
        <v/>
      </c>
    </row>
    <row r="459">
      <c r="A459" t="n">
        <v>100847</v>
      </c>
      <c r="B459" t="inlineStr">
        <is>
          <t>RECONLOG LTDA</t>
        </is>
      </c>
      <c r="C459">
        <f>IFERROR(INDEX(DePara[Categoria],MATCH(TEXT(A459,"0"),DePara[Fornecedor_txt],0)),"(sem categoria)")</f>
        <v/>
      </c>
      <c r="D459">
        <f>COUNTIF(Base[Fornecedor],A459&amp;"")</f>
        <v/>
      </c>
      <c r="E459" s="12">
        <f>SUMIF(Base[Fornecedor],A459&amp;"",Base[Montante])</f>
        <v/>
      </c>
    </row>
    <row r="460">
      <c r="A460" t="n">
        <v>100456</v>
      </c>
      <c r="B460" t="inlineStr">
        <is>
          <t>CARNEVALI EQUIPAMENTOS DE PROTECAO</t>
        </is>
      </c>
      <c r="C460">
        <f>IFERROR(INDEX(DePara[Categoria],MATCH(TEXT(A460,"0"),DePara[Fornecedor_txt],0)),"(sem categoria)")</f>
        <v/>
      </c>
      <c r="D460">
        <f>COUNTIF(Base[Fornecedor],A460&amp;"")</f>
        <v/>
      </c>
      <c r="E460" s="12">
        <f>SUMIF(Base[Fornecedor],A460&amp;"",Base[Montante])</f>
        <v/>
      </c>
    </row>
    <row r="461">
      <c r="A461" t="n">
        <v>102094</v>
      </c>
      <c r="B461" t="inlineStr">
        <is>
          <t>MILLS LOCACAO SERVICOS E LOGISTICA</t>
        </is>
      </c>
      <c r="C461">
        <f>IFERROR(INDEX(DePara[Categoria],MATCH(TEXT(A461,"0"),DePara[Fornecedor_txt],0)),"(sem categoria)")</f>
        <v/>
      </c>
      <c r="D461">
        <f>COUNTIF(Base[Fornecedor],A461&amp;"")</f>
        <v/>
      </c>
      <c r="E461" s="12">
        <f>SUMIF(Base[Fornecedor],A461&amp;"",Base[Montante])</f>
        <v/>
      </c>
    </row>
    <row r="462">
      <c r="A462" t="n">
        <v>100111</v>
      </c>
      <c r="B462" t="inlineStr">
        <is>
          <t>PREDMEC ENGENHARIA DE MANUTENCAO E</t>
        </is>
      </c>
      <c r="C462">
        <f>IFERROR(INDEX(DePara[Categoria],MATCH(TEXT(A462,"0"),DePara[Fornecedor_txt],0)),"(sem categoria)")</f>
        <v/>
      </c>
      <c r="D462">
        <f>COUNTIF(Base[Fornecedor],A462&amp;"")</f>
        <v/>
      </c>
      <c r="E462" s="12">
        <f>SUMIF(Base[Fornecedor],A462&amp;"",Base[Montante])</f>
        <v/>
      </c>
    </row>
    <row r="463">
      <c r="A463" t="n">
        <v>101765</v>
      </c>
      <c r="B463" t="inlineStr">
        <is>
          <t>C DA SILVA CARVALHO E FILHA LTDA</t>
        </is>
      </c>
      <c r="C463">
        <f>IFERROR(INDEX(DePara[Categoria],MATCH(TEXT(A463,"0"),DePara[Fornecedor_txt],0)),"(sem categoria)")</f>
        <v/>
      </c>
      <c r="D463">
        <f>COUNTIF(Base[Fornecedor],A463&amp;"")</f>
        <v/>
      </c>
      <c r="E463" s="12">
        <f>SUMIF(Base[Fornecedor],A463&amp;"",Base[Montante])</f>
        <v/>
      </c>
    </row>
    <row r="464">
      <c r="A464" t="n">
        <v>102426</v>
      </c>
      <c r="B464" t="inlineStr">
        <is>
          <t>CAFE COM COMPRADOR CONSULTORIA EMPR</t>
        </is>
      </c>
      <c r="C464">
        <f>IFERROR(INDEX(DePara[Categoria],MATCH(TEXT(A464,"0"),DePara[Fornecedor_txt],0)),"(sem categoria)")</f>
        <v/>
      </c>
      <c r="D464">
        <f>COUNTIF(Base[Fornecedor],A464&amp;"")</f>
        <v/>
      </c>
      <c r="E464" s="12">
        <f>SUMIF(Base[Fornecedor],A464&amp;"",Base[Montante])</f>
        <v/>
      </c>
    </row>
    <row r="465">
      <c r="A465" t="n">
        <v>100980</v>
      </c>
      <c r="B465" t="inlineStr">
        <is>
          <t>CMPRO CONSULTORIA EMPRESARIAL LTDA</t>
        </is>
      </c>
      <c r="C465">
        <f>IFERROR(INDEX(DePara[Categoria],MATCH(TEXT(A465,"0"),DePara[Fornecedor_txt],0)),"(sem categoria)")</f>
        <v/>
      </c>
      <c r="D465">
        <f>COUNTIF(Base[Fornecedor],A465&amp;"")</f>
        <v/>
      </c>
      <c r="E465" s="12">
        <f>SUMIF(Base[Fornecedor],A465&amp;"",Base[Montante])</f>
        <v/>
      </c>
    </row>
    <row r="466">
      <c r="A466" t="n">
        <v>100149</v>
      </c>
      <c r="B466" t="inlineStr">
        <is>
          <t>ULTRATECH MONTAGEM E MANUTENCAO LTD</t>
        </is>
      </c>
      <c r="C466">
        <f>IFERROR(INDEX(DePara[Categoria],MATCH(TEXT(A466,"0"),DePara[Fornecedor_txt],0)),"(sem categoria)")</f>
        <v/>
      </c>
      <c r="D466">
        <f>COUNTIF(Base[Fornecedor],A466&amp;"")</f>
        <v/>
      </c>
      <c r="E466" s="12">
        <f>SUMIF(Base[Fornecedor],A466&amp;"",Base[Montante])</f>
        <v/>
      </c>
    </row>
    <row r="467">
      <c r="A467" t="n">
        <v>100432</v>
      </c>
      <c r="B467" t="inlineStr">
        <is>
          <t>COVERWIND SOLUTIONS BRASIL LTDA 45580524000137</t>
        </is>
      </c>
      <c r="C467">
        <f>IFERROR(INDEX(DePara[Categoria],MATCH(TEXT(A467,"0"),DePara[Fornecedor_txt],0)),"(sem categoria)")</f>
        <v/>
      </c>
      <c r="D467">
        <f>COUNTIF(Base[Fornecedor],A467&amp;"")</f>
        <v/>
      </c>
      <c r="E467" s="12">
        <f>SUMIF(Base[Fornecedor],A467&amp;"",Base[Montante])</f>
        <v/>
      </c>
    </row>
    <row r="468">
      <c r="A468" t="n">
        <v>103756</v>
      </c>
      <c r="B468" t="inlineStr">
        <is>
          <t>TW TRANSPORTES E LOGISTICA LTDA</t>
        </is>
      </c>
      <c r="C468">
        <f>IFERROR(INDEX(DePara[Categoria],MATCH(TEXT(A468,"0"),DePara[Fornecedor_txt],0)),"(sem categoria)")</f>
        <v/>
      </c>
      <c r="D468">
        <f>COUNTIF(Base[Fornecedor],A468&amp;"")</f>
        <v/>
      </c>
      <c r="E468" s="12">
        <f>SUMIF(Base[Fornecedor],A468&amp;"",Base[Montante])</f>
        <v/>
      </c>
    </row>
    <row r="469">
      <c r="A469" t="n">
        <v>101760</v>
      </c>
      <c r="B469" t="inlineStr">
        <is>
          <t>R J C COELHO  ME</t>
        </is>
      </c>
      <c r="C469">
        <f>IFERROR(INDEX(DePara[Categoria],MATCH(TEXT(A469,"0"),DePara[Fornecedor_txt],0)),"(sem categoria)")</f>
        <v/>
      </c>
      <c r="D469">
        <f>COUNTIF(Base[Fornecedor],A469&amp;"")</f>
        <v/>
      </c>
      <c r="E469" s="12">
        <f>SUMIF(Base[Fornecedor],A469&amp;"",Base[Montante])</f>
        <v/>
      </c>
    </row>
    <row r="470">
      <c r="A470" t="n">
        <v>103772</v>
      </c>
      <c r="B470" t="inlineStr">
        <is>
          <t>BRASPRESS TRANSPORTES URGENTES LTDA</t>
        </is>
      </c>
      <c r="C470">
        <f>IFERROR(INDEX(DePara[Categoria],MATCH(TEXT(A470,"0"),DePara[Fornecedor_txt],0)),"(sem categoria)")</f>
        <v/>
      </c>
      <c r="D470">
        <f>COUNTIF(Base[Fornecedor],A470&amp;"")</f>
        <v/>
      </c>
      <c r="E470" s="12">
        <f>SUMIF(Base[Fornecedor],A470&amp;"",Base[Montante])</f>
        <v/>
      </c>
    </row>
    <row r="471">
      <c r="A471" t="n">
        <v>102126</v>
      </c>
      <c r="B471" t="inlineStr">
        <is>
          <t>GV NONDESTRUCTIVE TESTING LTDA ME</t>
        </is>
      </c>
      <c r="C471">
        <f>IFERROR(INDEX(DePara[Categoria],MATCH(TEXT(A471,"0"),DePara[Fornecedor_txt],0)),"(sem categoria)")</f>
        <v/>
      </c>
      <c r="D471">
        <f>COUNTIF(Base[Fornecedor],A471&amp;"")</f>
        <v/>
      </c>
      <c r="E471" s="12">
        <f>SUMIF(Base[Fornecedor],A471&amp;"",Base[Montante])</f>
        <v/>
      </c>
    </row>
    <row r="472">
      <c r="A472" t="n">
        <v>101558</v>
      </c>
      <c r="B472" t="inlineStr">
        <is>
          <t>ALTRA INDUSTRIAL MOTION B E I LTDA</t>
        </is>
      </c>
      <c r="C472">
        <f>IFERROR(INDEX(DePara[Categoria],MATCH(TEXT(A472,"0"),DePara[Fornecedor_txt],0)),"(sem categoria)")</f>
        <v/>
      </c>
      <c r="D472">
        <f>COUNTIF(Base[Fornecedor],A472&amp;"")</f>
        <v/>
      </c>
      <c r="E472" s="12">
        <f>SUMIF(Base[Fornecedor],A472&amp;"",Base[Montante])</f>
        <v/>
      </c>
    </row>
    <row r="473">
      <c r="A473" t="inlineStr">
        <is>
          <t>EM000820</t>
        </is>
      </c>
      <c r="B473" t="inlineStr">
        <is>
          <t>JOSE RENATO SILVA DE SOUZA</t>
        </is>
      </c>
      <c r="C473">
        <f>IFERROR(INDEX(DePara[Categoria],MATCH(TEXT(A473,"0"),DePara[Fornecedor_txt],0)),"(sem categoria)")</f>
        <v/>
      </c>
      <c r="D473">
        <f>COUNTIF(Base[Fornecedor],A473&amp;"")</f>
        <v/>
      </c>
      <c r="E473" s="12">
        <f>SUMIF(Base[Fornecedor],A473&amp;"",Base[Montante])</f>
        <v/>
      </c>
    </row>
    <row r="474">
      <c r="A474" t="n">
        <v>101791</v>
      </c>
      <c r="B474" t="inlineStr">
        <is>
          <t>INT DE PESQUISAS TECNOLOGICAS EST D</t>
        </is>
      </c>
      <c r="C474">
        <f>IFERROR(INDEX(DePara[Categoria],MATCH(TEXT(A474,"0"),DePara[Fornecedor_txt],0)),"(sem categoria)")</f>
        <v/>
      </c>
      <c r="D474">
        <f>COUNTIF(Base[Fornecedor],A474&amp;"")</f>
        <v/>
      </c>
      <c r="E474" s="12">
        <f>SUMIF(Base[Fornecedor],A474&amp;"",Base[Montante])</f>
        <v/>
      </c>
    </row>
    <row r="475">
      <c r="A475" t="n">
        <v>103437</v>
      </c>
      <c r="B475" t="inlineStr">
        <is>
          <t>Cleber Aparecido Araujo</t>
        </is>
      </c>
      <c r="C475">
        <f>IFERROR(INDEX(DePara[Categoria],MATCH(TEXT(A475,"0"),DePara[Fornecedor_txt],0)),"(sem categoria)")</f>
        <v/>
      </c>
      <c r="D475">
        <f>COUNTIF(Base[Fornecedor],A475&amp;"")</f>
        <v/>
      </c>
      <c r="E475" s="12">
        <f>SUMIF(Base[Fornecedor],A475&amp;"",Base[Montante])</f>
        <v/>
      </c>
    </row>
    <row r="476">
      <c r="A476" t="inlineStr">
        <is>
          <t>EM000159</t>
        </is>
      </c>
      <c r="B476" t="inlineStr">
        <is>
          <t>FABIO COFFANI DOS SANTOS DE SIQUEIRA</t>
        </is>
      </c>
      <c r="C476">
        <f>IFERROR(INDEX(DePara[Categoria],MATCH(TEXT(A476,"0"),DePara[Fornecedor_txt],0)),"(sem categoria)")</f>
        <v/>
      </c>
      <c r="D476">
        <f>COUNTIF(Base[Fornecedor],A476&amp;"")</f>
        <v/>
      </c>
      <c r="E476" s="12">
        <f>SUMIF(Base[Fornecedor],A476&amp;"",Base[Montante])</f>
        <v/>
      </c>
    </row>
    <row r="477">
      <c r="A477" t="inlineStr">
        <is>
          <t>EM000167</t>
        </is>
      </c>
      <c r="B477" t="inlineStr">
        <is>
          <t>ANDERSON DE LIMA AFFONSO</t>
        </is>
      </c>
      <c r="C477">
        <f>IFERROR(INDEX(DePara[Categoria],MATCH(TEXT(A477,"0"),DePara[Fornecedor_txt],0)),"(sem categoria)")</f>
        <v/>
      </c>
      <c r="D477">
        <f>COUNTIF(Base[Fornecedor],A477&amp;"")</f>
        <v/>
      </c>
      <c r="E477" s="12">
        <f>SUMIF(Base[Fornecedor],A477&amp;"",Base[Montante])</f>
        <v/>
      </c>
    </row>
    <row r="478">
      <c r="A478" t="inlineStr">
        <is>
          <t>EM000171</t>
        </is>
      </c>
      <c r="B478" t="inlineStr">
        <is>
          <t>ALESSANDRA RAFFO SCHNEIDER</t>
        </is>
      </c>
      <c r="C478">
        <f>IFERROR(INDEX(DePara[Categoria],MATCH(TEXT(A478,"0"),DePara[Fornecedor_txt],0)),"(sem categoria)")</f>
        <v/>
      </c>
      <c r="D478">
        <f>COUNTIF(Base[Fornecedor],A478&amp;"")</f>
        <v/>
      </c>
      <c r="E478" s="12">
        <f>SUMIF(Base[Fornecedor],A478&amp;"",Base[Montante])</f>
        <v/>
      </c>
    </row>
    <row r="479">
      <c r="A479" t="inlineStr">
        <is>
          <t>EM000048</t>
        </is>
      </c>
      <c r="B479" t="inlineStr">
        <is>
          <t>ARLINDO ASTYZEM REGO</t>
        </is>
      </c>
      <c r="C479">
        <f>IFERROR(INDEX(DePara[Categoria],MATCH(TEXT(A479,"0"),DePara[Fornecedor_txt],0)),"(sem categoria)")</f>
        <v/>
      </c>
      <c r="D479">
        <f>COUNTIF(Base[Fornecedor],A479&amp;"")</f>
        <v/>
      </c>
      <c r="E479" s="12">
        <f>SUMIF(Base[Fornecedor],A479&amp;"",Base[Montante])</f>
        <v/>
      </c>
    </row>
    <row r="480">
      <c r="A480" t="inlineStr">
        <is>
          <t>EM000157</t>
        </is>
      </c>
      <c r="B480" t="inlineStr">
        <is>
          <t>JULIANO NASCIMIENTO</t>
        </is>
      </c>
      <c r="C480">
        <f>IFERROR(INDEX(DePara[Categoria],MATCH(TEXT(A480,"0"),DePara[Fornecedor_txt],0)),"(sem categoria)")</f>
        <v/>
      </c>
      <c r="D480">
        <f>COUNTIF(Base[Fornecedor],A480&amp;"")</f>
        <v/>
      </c>
      <c r="E480" s="12">
        <f>SUMIF(Base[Fornecedor],A480&amp;"",Base[Montante])</f>
        <v/>
      </c>
    </row>
    <row r="481">
      <c r="A481" t="inlineStr">
        <is>
          <t>EM000019</t>
        </is>
      </c>
      <c r="B481" t="inlineStr">
        <is>
          <t>MARCIO RISSO LEITAO</t>
        </is>
      </c>
      <c r="C481">
        <f>IFERROR(INDEX(DePara[Categoria],MATCH(TEXT(A481,"0"),DePara[Fornecedor_txt],0)),"(sem categoria)")</f>
        <v/>
      </c>
      <c r="D481">
        <f>COUNTIF(Base[Fornecedor],A481&amp;"")</f>
        <v/>
      </c>
      <c r="E481" s="12">
        <f>SUMIF(Base[Fornecedor],A481&amp;"",Base[Montante])</f>
        <v/>
      </c>
    </row>
    <row r="482">
      <c r="A482" t="inlineStr">
        <is>
          <t>EM000633</t>
        </is>
      </c>
      <c r="B482" t="inlineStr">
        <is>
          <t>ROGERIO PEREIRA PASSOS</t>
        </is>
      </c>
      <c r="C482">
        <f>IFERROR(INDEX(DePara[Categoria],MATCH(TEXT(A482,"0"),DePara[Fornecedor_txt],0)),"(sem categoria)")</f>
        <v/>
      </c>
      <c r="D482">
        <f>COUNTIF(Base[Fornecedor],A482&amp;"")</f>
        <v/>
      </c>
      <c r="E482" s="12">
        <f>SUMIF(Base[Fornecedor],A482&amp;"",Base[Montante])</f>
        <v/>
      </c>
    </row>
    <row r="483">
      <c r="A483" t="inlineStr">
        <is>
          <t>EM000296</t>
        </is>
      </c>
      <c r="B483" t="inlineStr">
        <is>
          <t>ROBERTISON JOSE DE BRITO</t>
        </is>
      </c>
      <c r="C483">
        <f>IFERROR(INDEX(DePara[Categoria],MATCH(TEXT(A483,"0"),DePara[Fornecedor_txt],0)),"(sem categoria)")</f>
        <v/>
      </c>
      <c r="D483">
        <f>COUNTIF(Base[Fornecedor],A483&amp;"")</f>
        <v/>
      </c>
      <c r="E483" s="12">
        <f>SUMIF(Base[Fornecedor],A483&amp;"",Base[Montante])</f>
        <v/>
      </c>
    </row>
    <row r="484">
      <c r="A484" t="inlineStr">
        <is>
          <t>EM000027</t>
        </is>
      </c>
      <c r="B484" t="inlineStr">
        <is>
          <t>RAFAEL AUGUSTO DA SILVA GOULARTE</t>
        </is>
      </c>
      <c r="C484">
        <f>IFERROR(INDEX(DePara[Categoria],MATCH(TEXT(A484,"0"),DePara[Fornecedor_txt],0)),"(sem categoria)")</f>
        <v/>
      </c>
      <c r="D484">
        <f>COUNTIF(Base[Fornecedor],A484&amp;"")</f>
        <v/>
      </c>
      <c r="E484" s="12">
        <f>SUMIF(Base[Fornecedor],A484&amp;"",Base[Montante])</f>
        <v/>
      </c>
    </row>
    <row r="485">
      <c r="A485" t="inlineStr">
        <is>
          <t>EM000083</t>
        </is>
      </c>
      <c r="B485" t="inlineStr">
        <is>
          <t>ANDERSON DE SOUZA MOTA</t>
        </is>
      </c>
      <c r="C485">
        <f>IFERROR(INDEX(DePara[Categoria],MATCH(TEXT(A485,"0"),DePara[Fornecedor_txt],0)),"(sem categoria)")</f>
        <v/>
      </c>
      <c r="D485">
        <f>COUNTIF(Base[Fornecedor],A485&amp;"")</f>
        <v/>
      </c>
      <c r="E485" s="12">
        <f>SUMIF(Base[Fornecedor],A485&amp;"",Base[Montante])</f>
        <v/>
      </c>
    </row>
    <row r="486">
      <c r="A486" t="inlineStr">
        <is>
          <t>EM000161</t>
        </is>
      </c>
      <c r="B486" t="inlineStr">
        <is>
          <t>ARIOVALDO COSTA FILHO</t>
        </is>
      </c>
      <c r="C486">
        <f>IFERROR(INDEX(DePara[Categoria],MATCH(TEXT(A486,"0"),DePara[Fornecedor_txt],0)),"(sem categoria)")</f>
        <v/>
      </c>
      <c r="D486">
        <f>COUNTIF(Base[Fornecedor],A486&amp;"")</f>
        <v/>
      </c>
      <c r="E486" s="12">
        <f>SUMIF(Base[Fornecedor],A486&amp;"",Base[Montante])</f>
        <v/>
      </c>
    </row>
    <row r="487">
      <c r="A487" t="inlineStr">
        <is>
          <t>EM000238</t>
        </is>
      </c>
      <c r="B487" t="inlineStr">
        <is>
          <t>FEDERICO BIANCHI</t>
        </is>
      </c>
      <c r="C487">
        <f>IFERROR(INDEX(DePara[Categoria],MATCH(TEXT(A487,"0"),DePara[Fornecedor_txt],0)),"(sem categoria)")</f>
        <v/>
      </c>
      <c r="D487">
        <f>COUNTIF(Base[Fornecedor],A487&amp;"")</f>
        <v/>
      </c>
      <c r="E487" s="12">
        <f>SUMIF(Base[Fornecedor],A487&amp;"",Base[Montante])</f>
        <v/>
      </c>
    </row>
    <row r="488">
      <c r="A488" t="inlineStr">
        <is>
          <t>EM000060</t>
        </is>
      </c>
      <c r="B488" t="inlineStr">
        <is>
          <t>DANIELLA PANCA PADILHA</t>
        </is>
      </c>
      <c r="C488">
        <f>IFERROR(INDEX(DePara[Categoria],MATCH(TEXT(A488,"0"),DePara[Fornecedor_txt],0)),"(sem categoria)")</f>
        <v/>
      </c>
      <c r="D488">
        <f>COUNTIF(Base[Fornecedor],A488&amp;"")</f>
        <v/>
      </c>
      <c r="E488" s="12">
        <f>SUMIF(Base[Fornecedor],A488&amp;"",Base[Montante])</f>
        <v/>
      </c>
    </row>
    <row r="489">
      <c r="A489" t="inlineStr">
        <is>
          <t>EM000861</t>
        </is>
      </c>
      <c r="B489" t="inlineStr">
        <is>
          <t>JOSE ELIMAR PALHARES JUNIOR</t>
        </is>
      </c>
      <c r="C489">
        <f>IFERROR(INDEX(DePara[Categoria],MATCH(TEXT(A489,"0"),DePara[Fornecedor_txt],0)),"(sem categoria)")</f>
        <v/>
      </c>
      <c r="D489">
        <f>COUNTIF(Base[Fornecedor],A489&amp;"")</f>
        <v/>
      </c>
      <c r="E489" s="12">
        <f>SUMIF(Base[Fornecedor],A489&amp;"",Base[Montante])</f>
        <v/>
      </c>
    </row>
    <row r="490">
      <c r="A490" t="inlineStr">
        <is>
          <t>EM000131</t>
        </is>
      </c>
      <c r="B490" t="inlineStr">
        <is>
          <t>RICARDO COSTA DA SILVA</t>
        </is>
      </c>
      <c r="C490">
        <f>IFERROR(INDEX(DePara[Categoria],MATCH(TEXT(A490,"0"),DePara[Fornecedor_txt],0)),"(sem categoria)")</f>
        <v/>
      </c>
      <c r="D490">
        <f>COUNTIF(Base[Fornecedor],A490&amp;"")</f>
        <v/>
      </c>
      <c r="E490" s="12">
        <f>SUMIF(Base[Fornecedor],A490&amp;"",Base[Montante])</f>
        <v/>
      </c>
    </row>
    <row r="491">
      <c r="A491" t="n">
        <v>102960</v>
      </c>
      <c r="B491" t="inlineStr">
        <is>
          <t>Wanderley Junior</t>
        </is>
      </c>
      <c r="C491">
        <f>IFERROR(INDEX(DePara[Categoria],MATCH(TEXT(A491,"0"),DePara[Fornecedor_txt],0)),"(sem categoria)")</f>
        <v/>
      </c>
      <c r="D491">
        <f>COUNTIF(Base[Fornecedor],A491&amp;"")</f>
        <v/>
      </c>
      <c r="E491" s="12">
        <f>SUMIF(Base[Fornecedor],A491&amp;"",Base[Montante])</f>
        <v/>
      </c>
    </row>
    <row r="492">
      <c r="A492" t="inlineStr">
        <is>
          <t>EM000451</t>
        </is>
      </c>
      <c r="B492" t="inlineStr">
        <is>
          <t>ALEX DA SILVA CONCEIÇÃO</t>
        </is>
      </c>
      <c r="C492">
        <f>IFERROR(INDEX(DePara[Categoria],MATCH(TEXT(A492,"0"),DePara[Fornecedor_txt],0)),"(sem categoria)")</f>
        <v/>
      </c>
      <c r="D492">
        <f>COUNTIF(Base[Fornecedor],A492&amp;"")</f>
        <v/>
      </c>
      <c r="E492" s="12">
        <f>SUMIF(Base[Fornecedor],A492&amp;"",Base[Montante])</f>
        <v/>
      </c>
    </row>
    <row r="493">
      <c r="A493" t="inlineStr">
        <is>
          <t>EM000143</t>
        </is>
      </c>
      <c r="B493" t="inlineStr">
        <is>
          <t>CARLOS ADRIANO SILVA DE OLIVEIRA</t>
        </is>
      </c>
      <c r="C493">
        <f>IFERROR(INDEX(DePara[Categoria],MATCH(TEXT(A493,"0"),DePara[Fornecedor_txt],0)),"(sem categoria)")</f>
        <v/>
      </c>
      <c r="D493">
        <f>COUNTIF(Base[Fornecedor],A493&amp;"")</f>
        <v/>
      </c>
      <c r="E493" s="12">
        <f>SUMIF(Base[Fornecedor],A493&amp;"",Base[Montante])</f>
        <v/>
      </c>
    </row>
    <row r="494">
      <c r="A494" t="inlineStr">
        <is>
          <t>EM000109</t>
        </is>
      </c>
      <c r="B494" t="inlineStr">
        <is>
          <t>DANILO MOREIRA DOS SANTOS</t>
        </is>
      </c>
      <c r="C494">
        <f>IFERROR(INDEX(DePara[Categoria],MATCH(TEXT(A494,"0"),DePara[Fornecedor_txt],0)),"(sem categoria)")</f>
        <v/>
      </c>
      <c r="D494">
        <f>COUNTIF(Base[Fornecedor],A494&amp;"")</f>
        <v/>
      </c>
      <c r="E494" s="12">
        <f>SUMIF(Base[Fornecedor],A494&amp;"",Base[Montante])</f>
        <v/>
      </c>
    </row>
    <row r="495">
      <c r="A495" t="inlineStr">
        <is>
          <t>EM000202</t>
        </is>
      </c>
      <c r="B495" t="inlineStr">
        <is>
          <t>DIEGO DE SOUSA ALMEIDA</t>
        </is>
      </c>
      <c r="C495">
        <f>IFERROR(INDEX(DePara[Categoria],MATCH(TEXT(A495,"0"),DePara[Fornecedor_txt],0)),"(sem categoria)")</f>
        <v/>
      </c>
      <c r="D495">
        <f>COUNTIF(Base[Fornecedor],A495&amp;"")</f>
        <v/>
      </c>
      <c r="E495" s="12">
        <f>SUMIF(Base[Fornecedor],A495&amp;"",Base[Montante])</f>
        <v/>
      </c>
    </row>
    <row r="496">
      <c r="A496" t="inlineStr">
        <is>
          <t>EM000141</t>
        </is>
      </c>
      <c r="B496" t="inlineStr">
        <is>
          <t>EDGLEISON TAMBORIL FIRMIANO</t>
        </is>
      </c>
      <c r="C496">
        <f>IFERROR(INDEX(DePara[Categoria],MATCH(TEXT(A496,"0"),DePara[Fornecedor_txt],0)),"(sem categoria)")</f>
        <v/>
      </c>
      <c r="D496">
        <f>COUNTIF(Base[Fornecedor],A496&amp;"")</f>
        <v/>
      </c>
      <c r="E496" s="12">
        <f>SUMIF(Base[Fornecedor],A496&amp;"",Base[Montante])</f>
        <v/>
      </c>
    </row>
    <row r="497">
      <c r="A497" t="inlineStr">
        <is>
          <t>EM000986</t>
        </is>
      </c>
      <c r="B497" t="inlineStr">
        <is>
          <t>JESSE IVO PRATES FERNANDES</t>
        </is>
      </c>
      <c r="C497">
        <f>IFERROR(INDEX(DePara[Categoria],MATCH(TEXT(A497,"0"),DePara[Fornecedor_txt],0)),"(sem categoria)")</f>
        <v/>
      </c>
      <c r="D497">
        <f>COUNTIF(Base[Fornecedor],A497&amp;"")</f>
        <v/>
      </c>
      <c r="E497" s="12">
        <f>SUMIF(Base[Fornecedor],A497&amp;"",Base[Montante])</f>
        <v/>
      </c>
    </row>
    <row r="498">
      <c r="A498" t="inlineStr">
        <is>
          <t>EM000323</t>
        </is>
      </c>
      <c r="B498" t="inlineStr">
        <is>
          <t>JOSE LEONARDO RIBEIRO DUARTE</t>
        </is>
      </c>
      <c r="C498">
        <f>IFERROR(INDEX(DePara[Categoria],MATCH(TEXT(A498,"0"),DePara[Fornecedor_txt],0)),"(sem categoria)")</f>
        <v/>
      </c>
      <c r="D498">
        <f>COUNTIF(Base[Fornecedor],A498&amp;"")</f>
        <v/>
      </c>
      <c r="E498" s="12">
        <f>SUMIF(Base[Fornecedor],A498&amp;"",Base[Montante])</f>
        <v/>
      </c>
    </row>
    <row r="499">
      <c r="A499" t="inlineStr">
        <is>
          <t>EM000101</t>
        </is>
      </c>
      <c r="B499" t="inlineStr">
        <is>
          <t>LAZARO DE OLIVEIRA SOUSA</t>
        </is>
      </c>
      <c r="C499">
        <f>IFERROR(INDEX(DePara[Categoria],MATCH(TEXT(A499,"0"),DePara[Fornecedor_txt],0)),"(sem categoria)")</f>
        <v/>
      </c>
      <c r="D499">
        <f>COUNTIF(Base[Fornecedor],A499&amp;"")</f>
        <v/>
      </c>
      <c r="E499" s="12">
        <f>SUMIF(Base[Fornecedor],A499&amp;"",Base[Montante])</f>
        <v/>
      </c>
    </row>
    <row r="500">
      <c r="A500" t="inlineStr">
        <is>
          <t>EM000210</t>
        </is>
      </c>
      <c r="B500" t="inlineStr">
        <is>
          <t>LUCAS HENRIQUE SOARES</t>
        </is>
      </c>
      <c r="C500">
        <f>IFERROR(INDEX(DePara[Categoria],MATCH(TEXT(A500,"0"),DePara[Fornecedor_txt],0)),"(sem categoria)")</f>
        <v/>
      </c>
      <c r="D500">
        <f>COUNTIF(Base[Fornecedor],A500&amp;"")</f>
        <v/>
      </c>
      <c r="E500" s="12">
        <f>SUMIF(Base[Fornecedor],A500&amp;"",Base[Montante])</f>
        <v/>
      </c>
    </row>
    <row r="501">
      <c r="A501" t="inlineStr">
        <is>
          <t>EM000005</t>
        </is>
      </c>
      <c r="B501" t="inlineStr">
        <is>
          <t>LUIZ SAVIO DE CAMPOS SIQUEIRA</t>
        </is>
      </c>
      <c r="C501">
        <f>IFERROR(INDEX(DePara[Categoria],MATCH(TEXT(A501,"0"),DePara[Fornecedor_txt],0)),"(sem categoria)")</f>
        <v/>
      </c>
      <c r="D501">
        <f>COUNTIF(Base[Fornecedor],A501&amp;"")</f>
        <v/>
      </c>
      <c r="E501" s="12">
        <f>SUMIF(Base[Fornecedor],A501&amp;"",Base[Montante])</f>
        <v/>
      </c>
    </row>
    <row r="502">
      <c r="A502" t="inlineStr">
        <is>
          <t>EM000023</t>
        </is>
      </c>
      <c r="B502" t="inlineStr">
        <is>
          <t>RAFAEL MACHADO SALLES</t>
        </is>
      </c>
      <c r="C502">
        <f>IFERROR(INDEX(DePara[Categoria],MATCH(TEXT(A502,"0"),DePara[Fornecedor_txt],0)),"(sem categoria)")</f>
        <v/>
      </c>
      <c r="D502">
        <f>COUNTIF(Base[Fornecedor],A502&amp;"")</f>
        <v/>
      </c>
      <c r="E502" s="12">
        <f>SUMIF(Base[Fornecedor],A502&amp;"",Base[Montante])</f>
        <v/>
      </c>
    </row>
    <row r="503">
      <c r="A503" t="inlineStr">
        <is>
          <t>EM000054</t>
        </is>
      </c>
      <c r="B503" t="inlineStr">
        <is>
          <t>FERNANDO SCHNEIDER FERNANDES</t>
        </is>
      </c>
      <c r="C503">
        <f>IFERROR(INDEX(DePara[Categoria],MATCH(TEXT(A503,"0"),DePara[Fornecedor_txt],0)),"(sem categoria)")</f>
        <v/>
      </c>
      <c r="D503">
        <f>COUNTIF(Base[Fornecedor],A503&amp;"")</f>
        <v/>
      </c>
      <c r="E503" s="12">
        <f>SUMIF(Base[Fornecedor],A503&amp;"",Base[Montante])</f>
        <v/>
      </c>
    </row>
    <row r="504">
      <c r="A504" t="inlineStr">
        <is>
          <t>EM000297</t>
        </is>
      </c>
      <c r="B504" t="inlineStr">
        <is>
          <t>ARIEL VANZETTO DUARTE</t>
        </is>
      </c>
      <c r="C504">
        <f>IFERROR(INDEX(DePara[Categoria],MATCH(TEXT(A504,"0"),DePara[Fornecedor_txt],0)),"(sem categoria)")</f>
        <v/>
      </c>
      <c r="D504">
        <f>COUNTIF(Base[Fornecedor],A504&amp;"")</f>
        <v/>
      </c>
      <c r="E504" s="12">
        <f>SUMIF(Base[Fornecedor],A504&amp;"",Base[Montante])</f>
        <v/>
      </c>
    </row>
    <row r="505">
      <c r="A505" t="inlineStr">
        <is>
          <t>EM000058</t>
        </is>
      </c>
      <c r="B505" t="inlineStr">
        <is>
          <t>VITOR DE CASTRO SANTOS</t>
        </is>
      </c>
      <c r="C505">
        <f>IFERROR(INDEX(DePara[Categoria],MATCH(TEXT(A505,"0"),DePara[Fornecedor_txt],0)),"(sem categoria)")</f>
        <v/>
      </c>
      <c r="D505">
        <f>COUNTIF(Base[Fornecedor],A505&amp;"")</f>
        <v/>
      </c>
      <c r="E505" s="12">
        <f>SUMIF(Base[Fornecedor],A505&amp;"",Base[Montante])</f>
        <v/>
      </c>
    </row>
    <row r="506">
      <c r="A506" t="inlineStr">
        <is>
          <t>EM000521</t>
        </is>
      </c>
      <c r="B506" t="inlineStr">
        <is>
          <t>JOSE EDINELE MARTINS</t>
        </is>
      </c>
      <c r="C506">
        <f>IFERROR(INDEX(DePara[Categoria],MATCH(TEXT(A506,"0"),DePara[Fornecedor_txt],0)),"(sem categoria)")</f>
        <v/>
      </c>
      <c r="D506">
        <f>COUNTIF(Base[Fornecedor],A506&amp;"")</f>
        <v/>
      </c>
      <c r="E506" s="12">
        <f>SUMIF(Base[Fornecedor],A506&amp;"",Base[Montante])</f>
        <v/>
      </c>
    </row>
    <row r="507">
      <c r="A507" t="inlineStr">
        <is>
          <t>EM000327</t>
        </is>
      </c>
      <c r="B507" t="inlineStr">
        <is>
          <t>JOSE MARTINS TEIXEIRA NETO</t>
        </is>
      </c>
      <c r="C507">
        <f>IFERROR(INDEX(DePara[Categoria],MATCH(TEXT(A507,"0"),DePara[Fornecedor_txt],0)),"(sem categoria)")</f>
        <v/>
      </c>
      <c r="D507">
        <f>COUNTIF(Base[Fornecedor],A507&amp;"")</f>
        <v/>
      </c>
      <c r="E507" s="12">
        <f>SUMIF(Base[Fornecedor],A507&amp;"",Base[Montante])</f>
        <v/>
      </c>
    </row>
    <row r="508">
      <c r="A508" t="inlineStr">
        <is>
          <t>EM000326</t>
        </is>
      </c>
      <c r="B508" t="inlineStr">
        <is>
          <t>VITOR ARAUJO DOS SANTOS</t>
        </is>
      </c>
      <c r="C508">
        <f>IFERROR(INDEX(DePara[Categoria],MATCH(TEXT(A508,"0"),DePara[Fornecedor_txt],0)),"(sem categoria)")</f>
        <v/>
      </c>
      <c r="D508">
        <f>COUNTIF(Base[Fornecedor],A508&amp;"")</f>
        <v/>
      </c>
      <c r="E508" s="12">
        <f>SUMIF(Base[Fornecedor],A508&amp;"",Base[Montante])</f>
        <v/>
      </c>
    </row>
    <row r="509">
      <c r="A509" t="inlineStr">
        <is>
          <t>EM000100</t>
        </is>
      </c>
      <c r="B509" t="inlineStr">
        <is>
          <t>GUSTAVO ROCHA PACHECO</t>
        </is>
      </c>
      <c r="C509">
        <f>IFERROR(INDEX(DePara[Categoria],MATCH(TEXT(A509,"0"),DePara[Fornecedor_txt],0)),"(sem categoria)")</f>
        <v/>
      </c>
      <c r="D509">
        <f>COUNTIF(Base[Fornecedor],A509&amp;"")</f>
        <v/>
      </c>
      <c r="E509" s="12">
        <f>SUMIF(Base[Fornecedor],A509&amp;"",Base[Montante])</f>
        <v/>
      </c>
    </row>
    <row r="510">
      <c r="A510" t="inlineStr">
        <is>
          <t>EM000043</t>
        </is>
      </c>
      <c r="B510" t="inlineStr">
        <is>
          <t>JOAO BATISTA DA COSTA CARDOSO</t>
        </is>
      </c>
      <c r="C510">
        <f>IFERROR(INDEX(DePara[Categoria],MATCH(TEXT(A510,"0"),DePara[Fornecedor_txt],0)),"(sem categoria)")</f>
        <v/>
      </c>
      <c r="D510">
        <f>COUNTIF(Base[Fornecedor],A510&amp;"")</f>
        <v/>
      </c>
      <c r="E510" s="12">
        <f>SUMIF(Base[Fornecedor],A510&amp;"",Base[Montante])</f>
        <v/>
      </c>
    </row>
    <row r="511">
      <c r="A511" t="inlineStr">
        <is>
          <t>EM000279</t>
        </is>
      </c>
      <c r="B511" t="inlineStr">
        <is>
          <t>HOSAIAS VIEIRA CHAVES</t>
        </is>
      </c>
      <c r="C511">
        <f>IFERROR(INDEX(DePara[Categoria],MATCH(TEXT(A511,"0"),DePara[Fornecedor_txt],0)),"(sem categoria)")</f>
        <v/>
      </c>
      <c r="D511">
        <f>COUNTIF(Base[Fornecedor],A511&amp;"")</f>
        <v/>
      </c>
      <c r="E511" s="12">
        <f>SUMIF(Base[Fornecedor],A511&amp;"",Base[Montante])</f>
        <v/>
      </c>
    </row>
    <row r="512">
      <c r="A512" t="inlineStr">
        <is>
          <t>EM000594</t>
        </is>
      </c>
      <c r="B512" t="inlineStr">
        <is>
          <t>WELLINGTON LOPES DOS SANTOS</t>
        </is>
      </c>
      <c r="C512">
        <f>IFERROR(INDEX(DePara[Categoria],MATCH(TEXT(A512,"0"),DePara[Fornecedor_txt],0)),"(sem categoria)")</f>
        <v/>
      </c>
      <c r="D512">
        <f>COUNTIF(Base[Fornecedor],A512&amp;"")</f>
        <v/>
      </c>
      <c r="E512" s="12">
        <f>SUMIF(Base[Fornecedor],A512&amp;"",Base[Montante])</f>
        <v/>
      </c>
    </row>
    <row r="513">
      <c r="A513" t="inlineStr">
        <is>
          <t>EM000648</t>
        </is>
      </c>
      <c r="B513" t="inlineStr">
        <is>
          <t>JULIA SERAPHIM DE CASTRO</t>
        </is>
      </c>
      <c r="C513">
        <f>IFERROR(INDEX(DePara[Categoria],MATCH(TEXT(A513,"0"),DePara[Fornecedor_txt],0)),"(sem categoria)")</f>
        <v/>
      </c>
      <c r="D513">
        <f>COUNTIF(Base[Fornecedor],A513&amp;"")</f>
        <v/>
      </c>
      <c r="E513" s="12">
        <f>SUMIF(Base[Fornecedor],A513&amp;"",Base[Montante])</f>
        <v/>
      </c>
    </row>
    <row r="514">
      <c r="A514" t="inlineStr">
        <is>
          <t>EM003093</t>
        </is>
      </c>
      <c r="B514" t="inlineStr">
        <is>
          <t>JAIRO DIAS RIBEIRO</t>
        </is>
      </c>
      <c r="C514">
        <f>IFERROR(INDEX(DePara[Categoria],MATCH(TEXT(A514,"0"),DePara[Fornecedor_txt],0)),"(sem categoria)")</f>
        <v/>
      </c>
      <c r="D514">
        <f>COUNTIF(Base[Fornecedor],A514&amp;"")</f>
        <v/>
      </c>
      <c r="E514" s="12">
        <f>SUMIF(Base[Fornecedor],A514&amp;"",Base[Montante])</f>
        <v/>
      </c>
    </row>
    <row r="515">
      <c r="A515" t="inlineStr">
        <is>
          <t>EM000927</t>
        </is>
      </c>
      <c r="B515" t="inlineStr">
        <is>
          <t>JOSE AELIO NASCIMENTO DA SILVA</t>
        </is>
      </c>
      <c r="C515">
        <f>IFERROR(INDEX(DePara[Categoria],MATCH(TEXT(A515,"0"),DePara[Fornecedor_txt],0)),"(sem categoria)")</f>
        <v/>
      </c>
      <c r="D515">
        <f>COUNTIF(Base[Fornecedor],A515&amp;"")</f>
        <v/>
      </c>
      <c r="E515" s="12">
        <f>SUMIF(Base[Fornecedor],A515&amp;"",Base[Montante])</f>
        <v/>
      </c>
    </row>
    <row r="516">
      <c r="A516" t="inlineStr">
        <is>
          <t>EM000549</t>
        </is>
      </c>
      <c r="B516" t="inlineStr">
        <is>
          <t>ALISSON ALEXANDRE CARVALHO ARAUJO</t>
        </is>
      </c>
      <c r="C516">
        <f>IFERROR(INDEX(DePara[Categoria],MATCH(TEXT(A516,"0"),DePara[Fornecedor_txt],0)),"(sem categoria)")</f>
        <v/>
      </c>
      <c r="D516">
        <f>COUNTIF(Base[Fornecedor],A516&amp;"")</f>
        <v/>
      </c>
      <c r="E516" s="12">
        <f>SUMIF(Base[Fornecedor],A516&amp;"",Base[Montante])</f>
        <v/>
      </c>
    </row>
    <row r="517">
      <c r="A517" t="inlineStr">
        <is>
          <t>EM003135</t>
        </is>
      </c>
      <c r="B517" t="inlineStr">
        <is>
          <t>DAMIÃO FERREIRA</t>
        </is>
      </c>
      <c r="C517">
        <f>IFERROR(INDEX(DePara[Categoria],MATCH(TEXT(A517,"0"),DePara[Fornecedor_txt],0)),"(sem categoria)")</f>
        <v/>
      </c>
      <c r="D517">
        <f>COUNTIF(Base[Fornecedor],A517&amp;"")</f>
        <v/>
      </c>
      <c r="E517" s="12">
        <f>SUMIF(Base[Fornecedor],A517&amp;"",Base[Montante])</f>
        <v/>
      </c>
    </row>
    <row r="518">
      <c r="A518" t="inlineStr">
        <is>
          <t>EM003480</t>
        </is>
      </c>
      <c r="B518" t="inlineStr">
        <is>
          <t>ISLAILSON MARTINS MACIEL ABREU</t>
        </is>
      </c>
      <c r="C518">
        <f>IFERROR(INDEX(DePara[Categoria],MATCH(TEXT(A518,"0"),DePara[Fornecedor_txt],0)),"(sem categoria)")</f>
        <v/>
      </c>
      <c r="D518">
        <f>COUNTIF(Base[Fornecedor],A518&amp;"")</f>
        <v/>
      </c>
      <c r="E518" s="12">
        <f>SUMIF(Base[Fornecedor],A518&amp;"",Base[Montante])</f>
        <v/>
      </c>
    </row>
    <row r="519">
      <c r="A519" t="inlineStr">
        <is>
          <t>EM000423</t>
        </is>
      </c>
      <c r="B519" t="inlineStr">
        <is>
          <t>CARLOS GUILHERME RODRIGUES DA SILVA</t>
        </is>
      </c>
      <c r="C519">
        <f>IFERROR(INDEX(DePara[Categoria],MATCH(TEXT(A519,"0"),DePara[Fornecedor_txt],0)),"(sem categoria)")</f>
        <v/>
      </c>
      <c r="D519">
        <f>COUNTIF(Base[Fornecedor],A519&amp;"")</f>
        <v/>
      </c>
      <c r="E519" s="12">
        <f>SUMIF(Base[Fornecedor],A519&amp;"",Base[Montante])</f>
        <v/>
      </c>
    </row>
    <row r="520">
      <c r="A520" t="inlineStr">
        <is>
          <t>EM000128</t>
        </is>
      </c>
      <c r="B520" t="inlineStr">
        <is>
          <t>FRANCISCO MARDONIO TORRES DA SILVA</t>
        </is>
      </c>
      <c r="C520">
        <f>IFERROR(INDEX(DePara[Categoria],MATCH(TEXT(A520,"0"),DePara[Fornecedor_txt],0)),"(sem categoria)")</f>
        <v/>
      </c>
      <c r="D520">
        <f>COUNTIF(Base[Fornecedor],A520&amp;"")</f>
        <v/>
      </c>
      <c r="E520" s="12">
        <f>SUMIF(Base[Fornecedor],A520&amp;"",Base[Montante])</f>
        <v/>
      </c>
    </row>
    <row r="521">
      <c r="A521" t="inlineStr">
        <is>
          <t>EM000145</t>
        </is>
      </c>
      <c r="B521" t="inlineStr">
        <is>
          <t>THIAGO SPINOSA</t>
        </is>
      </c>
      <c r="C521">
        <f>IFERROR(INDEX(DePara[Categoria],MATCH(TEXT(A521,"0"),DePara[Fornecedor_txt],0)),"(sem categoria)")</f>
        <v/>
      </c>
      <c r="D521">
        <f>COUNTIF(Base[Fornecedor],A521&amp;"")</f>
        <v/>
      </c>
      <c r="E521" s="12">
        <f>SUMIF(Base[Fornecedor],A521&amp;"",Base[Montante])</f>
        <v/>
      </c>
    </row>
    <row r="522">
      <c r="A522" t="inlineStr">
        <is>
          <t>EM000964</t>
        </is>
      </c>
      <c r="B522" t="inlineStr">
        <is>
          <t>ANA MARIA BOTELHO FONSECA</t>
        </is>
      </c>
      <c r="C522">
        <f>IFERROR(INDEX(DePara[Categoria],MATCH(TEXT(A522,"0"),DePara[Fornecedor_txt],0)),"(sem categoria)")</f>
        <v/>
      </c>
      <c r="D522">
        <f>COUNTIF(Base[Fornecedor],A522&amp;"")</f>
        <v/>
      </c>
      <c r="E522" s="12">
        <f>SUMIF(Base[Fornecedor],A522&amp;"",Base[Montante])</f>
        <v/>
      </c>
    </row>
    <row r="523">
      <c r="A523" t="inlineStr">
        <is>
          <t>EM000928</t>
        </is>
      </c>
      <c r="B523" t="inlineStr">
        <is>
          <t>LUCAS VINICIUS ALENCAR RIBEIRO</t>
        </is>
      </c>
      <c r="C523">
        <f>IFERROR(INDEX(DePara[Categoria],MATCH(TEXT(A523,"0"),DePara[Fornecedor_txt],0)),"(sem categoria)")</f>
        <v/>
      </c>
      <c r="D523">
        <f>COUNTIF(Base[Fornecedor],A523&amp;"")</f>
        <v/>
      </c>
      <c r="E523" s="12">
        <f>SUMIF(Base[Fornecedor],A523&amp;"",Base[Montante])</f>
        <v/>
      </c>
    </row>
    <row r="524">
      <c r="A524" t="inlineStr">
        <is>
          <t>EM000038</t>
        </is>
      </c>
      <c r="B524" t="inlineStr">
        <is>
          <t>FRANCISCO BENEDITO FILHO</t>
        </is>
      </c>
      <c r="C524">
        <f>IFERROR(INDEX(DePara[Categoria],MATCH(TEXT(A524,"0"),DePara[Fornecedor_txt],0)),"(sem categoria)")</f>
        <v/>
      </c>
      <c r="D524">
        <f>COUNTIF(Base[Fornecedor],A524&amp;"")</f>
        <v/>
      </c>
      <c r="E524" s="12">
        <f>SUMIF(Base[Fornecedor],A524&amp;"",Base[Montante])</f>
        <v/>
      </c>
    </row>
    <row r="525">
      <c r="A525" t="inlineStr">
        <is>
          <t>EM000391</t>
        </is>
      </c>
      <c r="B525" t="inlineStr">
        <is>
          <t>GERLAN DA SILVA SAMPAIO</t>
        </is>
      </c>
      <c r="C525">
        <f>IFERROR(INDEX(DePara[Categoria],MATCH(TEXT(A525,"0"),DePara[Fornecedor_txt],0)),"(sem categoria)")</f>
        <v/>
      </c>
      <c r="D525">
        <f>COUNTIF(Base[Fornecedor],A525&amp;"")</f>
        <v/>
      </c>
      <c r="E525" s="12">
        <f>SUMIF(Base[Fornecedor],A525&amp;"",Base[Montante])</f>
        <v/>
      </c>
    </row>
    <row r="526">
      <c r="A526" t="inlineStr">
        <is>
          <t>EM000746</t>
        </is>
      </c>
      <c r="B526" t="inlineStr">
        <is>
          <t>FABIO SANTIAGO GOMES</t>
        </is>
      </c>
      <c r="C526">
        <f>IFERROR(INDEX(DePara[Categoria],MATCH(TEXT(A526,"0"),DePara[Fornecedor_txt],0)),"(sem categoria)")</f>
        <v/>
      </c>
      <c r="D526">
        <f>COUNTIF(Base[Fornecedor],A526&amp;"")</f>
        <v/>
      </c>
      <c r="E526" s="12">
        <f>SUMIF(Base[Fornecedor],A526&amp;"",Base[Montante])</f>
        <v/>
      </c>
    </row>
    <row r="527">
      <c r="A527" t="inlineStr">
        <is>
          <t>EM000895</t>
        </is>
      </c>
      <c r="B527" t="inlineStr">
        <is>
          <t>IVONALDO FERNANDES DOS SANTOS</t>
        </is>
      </c>
      <c r="C527">
        <f>IFERROR(INDEX(DePara[Categoria],MATCH(TEXT(A527,"0"),DePara[Fornecedor_txt],0)),"(sem categoria)")</f>
        <v/>
      </c>
      <c r="D527">
        <f>COUNTIF(Base[Fornecedor],A527&amp;"")</f>
        <v/>
      </c>
      <c r="E527" s="12">
        <f>SUMIF(Base[Fornecedor],A527&amp;"",Base[Montante])</f>
        <v/>
      </c>
    </row>
    <row r="528">
      <c r="A528" t="inlineStr">
        <is>
          <t>EM003521</t>
        </is>
      </c>
      <c r="B528" t="inlineStr">
        <is>
          <t>CLAUDIO COELHO</t>
        </is>
      </c>
      <c r="C528">
        <f>IFERROR(INDEX(DePara[Categoria],MATCH(TEXT(A528,"0"),DePara[Fornecedor_txt],0)),"(sem categoria)")</f>
        <v/>
      </c>
      <c r="D528">
        <f>COUNTIF(Base[Fornecedor],A528&amp;"")</f>
        <v/>
      </c>
      <c r="E528" s="12">
        <f>SUMIF(Base[Fornecedor],A528&amp;"",Base[Montante])</f>
        <v/>
      </c>
    </row>
    <row r="529">
      <c r="A529" t="inlineStr">
        <is>
          <t>EM000556</t>
        </is>
      </c>
      <c r="B529" t="inlineStr">
        <is>
          <t>LUIZ BRAULY RODRIGUES DE AZEVEDO</t>
        </is>
      </c>
      <c r="C529">
        <f>IFERROR(INDEX(DePara[Categoria],MATCH(TEXT(A529,"0"),DePara[Fornecedor_txt],0)),"(sem categoria)")</f>
        <v/>
      </c>
      <c r="D529">
        <f>COUNTIF(Base[Fornecedor],A529&amp;"")</f>
        <v/>
      </c>
      <c r="E529" s="12">
        <f>SUMIF(Base[Fornecedor],A529&amp;"",Base[Montante])</f>
        <v/>
      </c>
    </row>
    <row r="530">
      <c r="A530" t="inlineStr">
        <is>
          <t>EM000654</t>
        </is>
      </c>
      <c r="B530" t="inlineStr">
        <is>
          <t>FRANCISCO THOMAZ AMIRATI UCHOA</t>
        </is>
      </c>
      <c r="C530">
        <f>IFERROR(INDEX(DePara[Categoria],MATCH(TEXT(A530,"0"),DePara[Fornecedor_txt],0)),"(sem categoria)")</f>
        <v/>
      </c>
      <c r="D530">
        <f>COUNTIF(Base[Fornecedor],A530&amp;"")</f>
        <v/>
      </c>
      <c r="E530" s="12">
        <f>SUMIF(Base[Fornecedor],A530&amp;"",Base[Montante])</f>
        <v/>
      </c>
    </row>
    <row r="531">
      <c r="A531" t="inlineStr">
        <is>
          <t>EM000883</t>
        </is>
      </c>
      <c r="B531" t="inlineStr">
        <is>
          <t>GLINTON LEONARDO FERNANDES PEREIRA</t>
        </is>
      </c>
      <c r="C531">
        <f>IFERROR(INDEX(DePara[Categoria],MATCH(TEXT(A531,"0"),DePara[Fornecedor_txt],0)),"(sem categoria)")</f>
        <v/>
      </c>
      <c r="D531">
        <f>COUNTIF(Base[Fornecedor],A531&amp;"")</f>
        <v/>
      </c>
      <c r="E531" s="12">
        <f>SUMIF(Base[Fornecedor],A531&amp;"",Base[Montante])</f>
        <v/>
      </c>
    </row>
    <row r="532">
      <c r="A532" t="inlineStr">
        <is>
          <t>EM000396</t>
        </is>
      </c>
      <c r="B532" t="inlineStr">
        <is>
          <t>WALTIRLLEY FERREIRA DA COSTA</t>
        </is>
      </c>
      <c r="C532">
        <f>IFERROR(INDEX(DePara[Categoria],MATCH(TEXT(A532,"0"),DePara[Fornecedor_txt],0)),"(sem categoria)")</f>
        <v/>
      </c>
      <c r="D532">
        <f>COUNTIF(Base[Fornecedor],A532&amp;"")</f>
        <v/>
      </c>
      <c r="E532" s="12">
        <f>SUMIF(Base[Fornecedor],A532&amp;"",Base[Montante])</f>
        <v/>
      </c>
    </row>
    <row r="533">
      <c r="A533" t="inlineStr">
        <is>
          <t>EM000666</t>
        </is>
      </c>
      <c r="B533" t="inlineStr">
        <is>
          <t>FAGNER OLIVEIRA DA SILVA</t>
        </is>
      </c>
      <c r="C533">
        <f>IFERROR(INDEX(DePara[Categoria],MATCH(TEXT(A533,"0"),DePara[Fornecedor_txt],0)),"(sem categoria)")</f>
        <v/>
      </c>
      <c r="D533">
        <f>COUNTIF(Base[Fornecedor],A533&amp;"")</f>
        <v/>
      </c>
      <c r="E533" s="12">
        <f>SUMIF(Base[Fornecedor],A533&amp;"",Base[Montante])</f>
        <v/>
      </c>
    </row>
    <row r="534">
      <c r="A534" t="inlineStr">
        <is>
          <t>EM000747</t>
        </is>
      </c>
      <c r="B534" t="inlineStr">
        <is>
          <t>IGOR RAFAEL DA SILVA RAMOS</t>
        </is>
      </c>
      <c r="C534">
        <f>IFERROR(INDEX(DePara[Categoria],MATCH(TEXT(A534,"0"),DePara[Fornecedor_txt],0)),"(sem categoria)")</f>
        <v/>
      </c>
      <c r="D534">
        <f>COUNTIF(Base[Fornecedor],A534&amp;"")</f>
        <v/>
      </c>
      <c r="E534" s="12">
        <f>SUMIF(Base[Fornecedor],A534&amp;"",Base[Montante])</f>
        <v/>
      </c>
    </row>
    <row r="535">
      <c r="A535" t="inlineStr">
        <is>
          <t>EM000237</t>
        </is>
      </c>
      <c r="B535" t="inlineStr">
        <is>
          <t>PEDRO DA CRUZ SILVA JUNIOR</t>
        </is>
      </c>
      <c r="C535">
        <f>IFERROR(INDEX(DePara[Categoria],MATCH(TEXT(A535,"0"),DePara[Fornecedor_txt],0)),"(sem categoria)")</f>
        <v/>
      </c>
      <c r="D535">
        <f>COUNTIF(Base[Fornecedor],A535&amp;"")</f>
        <v/>
      </c>
      <c r="E535" s="12">
        <f>SUMIF(Base[Fornecedor],A535&amp;"",Base[Montante])</f>
        <v/>
      </c>
    </row>
    <row r="536">
      <c r="A536" t="inlineStr">
        <is>
          <t>EM000470</t>
        </is>
      </c>
      <c r="B536" t="inlineStr">
        <is>
          <t>GUILHERME ROSSONI DOS SANTOS</t>
        </is>
      </c>
      <c r="C536">
        <f>IFERROR(INDEX(DePara[Categoria],MATCH(TEXT(A536,"0"),DePara[Fornecedor_txt],0)),"(sem categoria)")</f>
        <v/>
      </c>
      <c r="D536">
        <f>COUNTIF(Base[Fornecedor],A536&amp;"")</f>
        <v/>
      </c>
      <c r="E536" s="12">
        <f>SUMIF(Base[Fornecedor],A536&amp;"",Base[Montante])</f>
        <v/>
      </c>
    </row>
    <row r="537">
      <c r="A537" t="inlineStr">
        <is>
          <t>EM000428</t>
        </is>
      </c>
      <c r="B537" t="inlineStr">
        <is>
          <t>EVALDO SOARES DA SILVEIRA</t>
        </is>
      </c>
      <c r="C537">
        <f>IFERROR(INDEX(DePara[Categoria],MATCH(TEXT(A537,"0"),DePara[Fornecedor_txt],0)),"(sem categoria)")</f>
        <v/>
      </c>
      <c r="D537">
        <f>COUNTIF(Base[Fornecedor],A537&amp;"")</f>
        <v/>
      </c>
      <c r="E537" s="12">
        <f>SUMIF(Base[Fornecedor],A537&amp;"",Base[Montante])</f>
        <v/>
      </c>
    </row>
    <row r="538">
      <c r="A538" t="inlineStr">
        <is>
          <t>EM000879</t>
        </is>
      </c>
      <c r="B538" t="inlineStr">
        <is>
          <t>JOSE LUIS COELHO DE SOUSA</t>
        </is>
      </c>
      <c r="C538">
        <f>IFERROR(INDEX(DePara[Categoria],MATCH(TEXT(A538,"0"),DePara[Fornecedor_txt],0)),"(sem categoria)")</f>
        <v/>
      </c>
      <c r="D538">
        <f>COUNTIF(Base[Fornecedor],A538&amp;"")</f>
        <v/>
      </c>
      <c r="E538" s="12">
        <f>SUMIF(Base[Fornecedor],A538&amp;"",Base[Montante])</f>
        <v/>
      </c>
    </row>
    <row r="539">
      <c r="A539" t="inlineStr">
        <is>
          <t>EM003567</t>
        </is>
      </c>
      <c r="B539" t="inlineStr">
        <is>
          <t>RANILSON DE SOUSA SANTANA</t>
        </is>
      </c>
      <c r="C539">
        <f>IFERROR(INDEX(DePara[Categoria],MATCH(TEXT(A539,"0"),DePara[Fornecedor_txt],0)),"(sem categoria)")</f>
        <v/>
      </c>
      <c r="D539">
        <f>COUNTIF(Base[Fornecedor],A539&amp;"")</f>
        <v/>
      </c>
      <c r="E539" s="12">
        <f>SUMIF(Base[Fornecedor],A539&amp;"",Base[Montante])</f>
        <v/>
      </c>
    </row>
    <row r="540">
      <c r="A540" t="inlineStr">
        <is>
          <t>EM003569</t>
        </is>
      </c>
      <c r="B540" t="inlineStr">
        <is>
          <t>JOSIVALDO COELHO DE SOUSA</t>
        </is>
      </c>
      <c r="C540">
        <f>IFERROR(INDEX(DePara[Categoria],MATCH(TEXT(A540,"0"),DePara[Fornecedor_txt],0)),"(sem categoria)")</f>
        <v/>
      </c>
      <c r="D540">
        <f>COUNTIF(Base[Fornecedor],A540&amp;"")</f>
        <v/>
      </c>
      <c r="E540" s="12">
        <f>SUMIF(Base[Fornecedor],A540&amp;"",Base[Montante])</f>
        <v/>
      </c>
    </row>
    <row r="541">
      <c r="A541" t="inlineStr">
        <is>
          <t>EM000518</t>
        </is>
      </c>
      <c r="B541" t="inlineStr">
        <is>
          <t>RIVALDO FRANCISCO DE SOUZA QUEIROZ</t>
        </is>
      </c>
      <c r="C541">
        <f>IFERROR(INDEX(DePara[Categoria],MATCH(TEXT(A541,"0"),DePara[Fornecedor_txt],0)),"(sem categoria)")</f>
        <v/>
      </c>
      <c r="D541">
        <f>COUNTIF(Base[Fornecedor],A541&amp;"")</f>
        <v/>
      </c>
      <c r="E541" s="12">
        <f>SUMIF(Base[Fornecedor],A541&amp;"",Base[Montante])</f>
        <v/>
      </c>
    </row>
    <row r="542">
      <c r="A542" t="inlineStr">
        <is>
          <t>EM000882</t>
        </is>
      </c>
      <c r="B542" t="inlineStr">
        <is>
          <t>LEANDRO SILVINO DE MOURA</t>
        </is>
      </c>
      <c r="C542">
        <f>IFERROR(INDEX(DePara[Categoria],MATCH(TEXT(A542,"0"),DePara[Fornecedor_txt],0)),"(sem categoria)")</f>
        <v/>
      </c>
      <c r="D542">
        <f>COUNTIF(Base[Fornecedor],A542&amp;"")</f>
        <v/>
      </c>
      <c r="E542" s="12">
        <f>SUMIF(Base[Fornecedor],A542&amp;"",Base[Montante])</f>
        <v/>
      </c>
    </row>
    <row r="543">
      <c r="A543" t="inlineStr">
        <is>
          <t>EM000786</t>
        </is>
      </c>
      <c r="B543" t="inlineStr">
        <is>
          <t>LIVIA TOSTES CALVO</t>
        </is>
      </c>
      <c r="C543">
        <f>IFERROR(INDEX(DePara[Categoria],MATCH(TEXT(A543,"0"),DePara[Fornecedor_txt],0)),"(sem categoria)")</f>
        <v/>
      </c>
      <c r="D543">
        <f>COUNTIF(Base[Fornecedor],A543&amp;"")</f>
        <v/>
      </c>
      <c r="E543" s="12">
        <f>SUMIF(Base[Fornecedor],A543&amp;"",Base[Montante])</f>
        <v/>
      </c>
    </row>
    <row r="544">
      <c r="A544" t="inlineStr">
        <is>
          <t>EM000866</t>
        </is>
      </c>
      <c r="B544" t="inlineStr">
        <is>
          <t>FRANCISCO MARCOS DE FREITAS</t>
        </is>
      </c>
      <c r="C544">
        <f>IFERROR(INDEX(DePara[Categoria],MATCH(TEXT(A544,"0"),DePara[Fornecedor_txt],0)),"(sem categoria)")</f>
        <v/>
      </c>
      <c r="D544">
        <f>COUNTIF(Base[Fornecedor],A544&amp;"")</f>
        <v/>
      </c>
      <c r="E544" s="12">
        <f>SUMIF(Base[Fornecedor],A544&amp;"",Base[Montante])</f>
        <v/>
      </c>
    </row>
    <row r="545">
      <c r="A545" t="inlineStr">
        <is>
          <t>EM000949</t>
        </is>
      </c>
      <c r="B545" t="inlineStr">
        <is>
          <t>LEANDRO CRUZ VIEIRA</t>
        </is>
      </c>
      <c r="C545">
        <f>IFERROR(INDEX(DePara[Categoria],MATCH(TEXT(A545,"0"),DePara[Fornecedor_txt],0)),"(sem categoria)")</f>
        <v/>
      </c>
      <c r="D545">
        <f>COUNTIF(Base[Fornecedor],A545&amp;"")</f>
        <v/>
      </c>
      <c r="E545" s="12">
        <f>SUMIF(Base[Fornecedor],A545&amp;"",Base[Montante])</f>
        <v/>
      </c>
    </row>
    <row r="546">
      <c r="A546" t="inlineStr">
        <is>
          <t>EM003535</t>
        </is>
      </c>
      <c r="B546" t="inlineStr">
        <is>
          <t>JOILTON MARQUES DA SILVA</t>
        </is>
      </c>
      <c r="C546">
        <f>IFERROR(INDEX(DePara[Categoria],MATCH(TEXT(A546,"0"),DePara[Fornecedor_txt],0)),"(sem categoria)")</f>
        <v/>
      </c>
      <c r="D546">
        <f>COUNTIF(Base[Fornecedor],A546&amp;"")</f>
        <v/>
      </c>
      <c r="E546" s="12">
        <f>SUMIF(Base[Fornecedor],A546&amp;"",Base[Montante])</f>
        <v/>
      </c>
    </row>
    <row r="547">
      <c r="A547" t="inlineStr">
        <is>
          <t>EM003580</t>
        </is>
      </c>
      <c r="B547" t="inlineStr">
        <is>
          <t>IVO DE SOUSA RODRIGUES</t>
        </is>
      </c>
      <c r="C547">
        <f>IFERROR(INDEX(DePara[Categoria],MATCH(TEXT(A547,"0"),DePara[Fornecedor_txt],0)),"(sem categoria)")</f>
        <v/>
      </c>
      <c r="D547">
        <f>COUNTIF(Base[Fornecedor],A547&amp;"")</f>
        <v/>
      </c>
      <c r="E547" s="12">
        <f>SUMIF(Base[Fornecedor],A547&amp;"",Base[Montante])</f>
        <v/>
      </c>
    </row>
    <row r="548">
      <c r="A548" t="inlineStr">
        <is>
          <t>EM000846</t>
        </is>
      </c>
      <c r="B548" t="inlineStr">
        <is>
          <t>HUGO MARQUES DA SILVA</t>
        </is>
      </c>
      <c r="C548">
        <f>IFERROR(INDEX(DePara[Categoria],MATCH(TEXT(A548,"0"),DePara[Fornecedor_txt],0)),"(sem categoria)")</f>
        <v/>
      </c>
      <c r="D548">
        <f>COUNTIF(Base[Fornecedor],A548&amp;"")</f>
        <v/>
      </c>
      <c r="E548" s="12">
        <f>SUMIF(Base[Fornecedor],A548&amp;"",Base[Montante])</f>
        <v/>
      </c>
    </row>
    <row r="549">
      <c r="A549" t="inlineStr">
        <is>
          <t>EM000016</t>
        </is>
      </c>
      <c r="B549" t="inlineStr">
        <is>
          <t>JAMERSON BEZERRA DA SILVA</t>
        </is>
      </c>
      <c r="C549">
        <f>IFERROR(INDEX(DePara[Categoria],MATCH(TEXT(A549,"0"),DePara[Fornecedor_txt],0)),"(sem categoria)")</f>
        <v/>
      </c>
      <c r="D549">
        <f>COUNTIF(Base[Fornecedor],A549&amp;"")</f>
        <v/>
      </c>
      <c r="E549" s="12">
        <f>SUMIF(Base[Fornecedor],A549&amp;"",Base[Montante])</f>
        <v/>
      </c>
    </row>
    <row r="550">
      <c r="A550" t="inlineStr">
        <is>
          <t>EM000652</t>
        </is>
      </c>
      <c r="B550" t="inlineStr">
        <is>
          <t>LUCAS TURCI</t>
        </is>
      </c>
      <c r="C550">
        <f>IFERROR(INDEX(DePara[Categoria],MATCH(TEXT(A550,"0"),DePara[Fornecedor_txt],0)),"(sem categoria)")</f>
        <v/>
      </c>
      <c r="D550">
        <f>COUNTIF(Base[Fornecedor],A550&amp;"")</f>
        <v/>
      </c>
      <c r="E550" s="12">
        <f>SUMIF(Base[Fornecedor],A550&amp;"",Base[Montante])</f>
        <v/>
      </c>
    </row>
    <row r="551">
      <c r="A551" t="inlineStr">
        <is>
          <t>EM000780</t>
        </is>
      </c>
      <c r="B551" t="inlineStr">
        <is>
          <t>Diego Ribeiro Brito</t>
        </is>
      </c>
      <c r="C551">
        <f>IFERROR(INDEX(DePara[Categoria],MATCH(TEXT(A551,"0"),DePara[Fornecedor_txt],0)),"(sem categoria)")</f>
        <v/>
      </c>
      <c r="D551">
        <f>COUNTIF(Base[Fornecedor],A551&amp;"")</f>
        <v/>
      </c>
      <c r="E551" s="12">
        <f>SUMIF(Base[Fornecedor],A551&amp;"",Base[Montante])</f>
        <v/>
      </c>
    </row>
    <row r="552">
      <c r="A552" t="inlineStr">
        <is>
          <t>EM003594</t>
        </is>
      </c>
      <c r="B552" t="inlineStr">
        <is>
          <t>CAIO GEANDERSON MACIEL MARTINS</t>
        </is>
      </c>
      <c r="C552">
        <f>IFERROR(INDEX(DePara[Categoria],MATCH(TEXT(A552,"0"),DePara[Fornecedor_txt],0)),"(sem categoria)")</f>
        <v/>
      </c>
      <c r="D552">
        <f>COUNTIF(Base[Fornecedor],A552&amp;"")</f>
        <v/>
      </c>
      <c r="E552" s="12">
        <f>SUMIF(Base[Fornecedor],A552&amp;"",Base[Montante])</f>
        <v/>
      </c>
    </row>
    <row r="553">
      <c r="A553" t="inlineStr">
        <is>
          <t>EM000826</t>
        </is>
      </c>
      <c r="B553" t="inlineStr">
        <is>
          <t>ADALBERTO COELHO DE SOUSA</t>
        </is>
      </c>
      <c r="C553">
        <f>IFERROR(INDEX(DePara[Categoria],MATCH(TEXT(A553,"0"),DePara[Fornecedor_txt],0)),"(sem categoria)")</f>
        <v/>
      </c>
      <c r="D553">
        <f>COUNTIF(Base[Fornecedor],A553&amp;"")</f>
        <v/>
      </c>
      <c r="E553" s="12">
        <f>SUMIF(Base[Fornecedor],A553&amp;"",Base[Montante])</f>
        <v/>
      </c>
    </row>
    <row r="554">
      <c r="A554" t="inlineStr">
        <is>
          <t>EM000862</t>
        </is>
      </c>
      <c r="B554" t="inlineStr">
        <is>
          <t>ANTONIO FREIRE MENDES FILHO</t>
        </is>
      </c>
      <c r="C554">
        <f>IFERROR(INDEX(DePara[Categoria],MATCH(TEXT(A554,"0"),DePara[Fornecedor_txt],0)),"(sem categoria)")</f>
        <v/>
      </c>
      <c r="D554">
        <f>COUNTIF(Base[Fornecedor],A554&amp;"")</f>
        <v/>
      </c>
      <c r="E554" s="12">
        <f>SUMIF(Base[Fornecedor],A554&amp;"",Base[Montante])</f>
        <v/>
      </c>
    </row>
    <row r="555">
      <c r="A555" t="inlineStr">
        <is>
          <t>EM000081</t>
        </is>
      </c>
      <c r="B555" t="inlineStr">
        <is>
          <t>BRUNO VINICIUS MOREIRA CARDOSO</t>
        </is>
      </c>
      <c r="C555">
        <f>IFERROR(INDEX(DePara[Categoria],MATCH(TEXT(A555,"0"),DePara[Fornecedor_txt],0)),"(sem categoria)")</f>
        <v/>
      </c>
      <c r="D555">
        <f>COUNTIF(Base[Fornecedor],A555&amp;"")</f>
        <v/>
      </c>
      <c r="E555" s="12">
        <f>SUMIF(Base[Fornecedor],A555&amp;"",Base[Montante])</f>
        <v/>
      </c>
    </row>
    <row r="556">
      <c r="A556" t="inlineStr">
        <is>
          <t>EM000398</t>
        </is>
      </c>
      <c r="B556" t="inlineStr">
        <is>
          <t>EDUARDO SCHAPLIN ROCHA</t>
        </is>
      </c>
      <c r="C556">
        <f>IFERROR(INDEX(DePara[Categoria],MATCH(TEXT(A556,"0"),DePara[Fornecedor_txt],0)),"(sem categoria)")</f>
        <v/>
      </c>
      <c r="D556">
        <f>COUNTIF(Base[Fornecedor],A556&amp;"")</f>
        <v/>
      </c>
      <c r="E556" s="12">
        <f>SUMIF(Base[Fornecedor],A556&amp;"",Base[Montante])</f>
        <v/>
      </c>
    </row>
    <row r="557">
      <c r="A557" t="inlineStr">
        <is>
          <t>EM000511</t>
        </is>
      </c>
      <c r="B557" t="inlineStr">
        <is>
          <t>ALLISON DE OLIVEIRA COSTA</t>
        </is>
      </c>
      <c r="C557">
        <f>IFERROR(INDEX(DePara[Categoria],MATCH(TEXT(A557,"0"),DePara[Fornecedor_txt],0)),"(sem categoria)")</f>
        <v/>
      </c>
      <c r="D557">
        <f>COUNTIF(Base[Fornecedor],A557&amp;"")</f>
        <v/>
      </c>
      <c r="E557" s="12">
        <f>SUMIF(Base[Fornecedor],A557&amp;"",Base[Montante])</f>
        <v/>
      </c>
    </row>
    <row r="558">
      <c r="A558" t="inlineStr">
        <is>
          <t>EM000982</t>
        </is>
      </c>
      <c r="B558" t="inlineStr">
        <is>
          <t>SADRAQUE DA COSTA PEREIRA</t>
        </is>
      </c>
      <c r="C558">
        <f>IFERROR(INDEX(DePara[Categoria],MATCH(TEXT(A558,"0"),DePara[Fornecedor_txt],0)),"(sem categoria)")</f>
        <v/>
      </c>
      <c r="D558">
        <f>COUNTIF(Base[Fornecedor],A558&amp;"")</f>
        <v/>
      </c>
      <c r="E558" s="12">
        <f>SUMIF(Base[Fornecedor],A558&amp;"",Base[Montante])</f>
        <v/>
      </c>
    </row>
    <row r="559">
      <c r="A559" t="inlineStr">
        <is>
          <t>EM000443</t>
        </is>
      </c>
      <c r="B559" t="inlineStr">
        <is>
          <t>WAGNER STHALONE SILVA DE MEDEIROS</t>
        </is>
      </c>
      <c r="C559">
        <f>IFERROR(INDEX(DePara[Categoria],MATCH(TEXT(A559,"0"),DePara[Fornecedor_txt],0)),"(sem categoria)")</f>
        <v/>
      </c>
      <c r="D559">
        <f>COUNTIF(Base[Fornecedor],A559&amp;"")</f>
        <v/>
      </c>
      <c r="E559" s="12">
        <f>SUMIF(Base[Fornecedor],A559&amp;"",Base[Montante])</f>
        <v/>
      </c>
    </row>
    <row r="560">
      <c r="A560" t="inlineStr">
        <is>
          <t>EM000901</t>
        </is>
      </c>
      <c r="B560" t="inlineStr">
        <is>
          <t>LEOJAIME DOS SANTOS LIMA</t>
        </is>
      </c>
      <c r="C560">
        <f>IFERROR(INDEX(DePara[Categoria],MATCH(TEXT(A560,"0"),DePara[Fornecedor_txt],0)),"(sem categoria)")</f>
        <v/>
      </c>
      <c r="D560">
        <f>COUNTIF(Base[Fornecedor],A560&amp;"")</f>
        <v/>
      </c>
      <c r="E560" s="12">
        <f>SUMIF(Base[Fornecedor],A560&amp;"",Base[Montante])</f>
        <v/>
      </c>
    </row>
    <row r="561">
      <c r="A561" t="inlineStr">
        <is>
          <t>EM000921</t>
        </is>
      </c>
      <c r="B561" t="inlineStr">
        <is>
          <t>PAULO HENRIQUE LAPERA ZORZETO</t>
        </is>
      </c>
      <c r="C561">
        <f>IFERROR(INDEX(DePara[Categoria],MATCH(TEXT(A561,"0"),DePara[Fornecedor_txt],0)),"(sem categoria)")</f>
        <v/>
      </c>
      <c r="D561">
        <f>COUNTIF(Base[Fornecedor],A561&amp;"")</f>
        <v/>
      </c>
      <c r="E561" s="12">
        <f>SUMIF(Base[Fornecedor],A561&amp;"",Base[Montante])</f>
        <v/>
      </c>
    </row>
    <row r="562">
      <c r="A562" t="inlineStr">
        <is>
          <t>EM000347</t>
        </is>
      </c>
      <c r="B562" t="inlineStr">
        <is>
          <t>FABIO SANTANA DA CONCEICAO</t>
        </is>
      </c>
      <c r="C562">
        <f>IFERROR(INDEX(DePara[Categoria],MATCH(TEXT(A562,"0"),DePara[Fornecedor_txt],0)),"(sem categoria)")</f>
        <v/>
      </c>
      <c r="D562">
        <f>COUNTIF(Base[Fornecedor],A562&amp;"")</f>
        <v/>
      </c>
      <c r="E562" s="12">
        <f>SUMIF(Base[Fornecedor],A562&amp;"",Base[Montante])</f>
        <v/>
      </c>
    </row>
    <row r="563">
      <c r="A563" t="inlineStr">
        <is>
          <t>EM000593</t>
        </is>
      </c>
      <c r="B563" t="inlineStr">
        <is>
          <t>PEDRO JUNIOR DA SILVA ARAUJO</t>
        </is>
      </c>
      <c r="C563">
        <f>IFERROR(INDEX(DePara[Categoria],MATCH(TEXT(A563,"0"),DePara[Fornecedor_txt],0)),"(sem categoria)")</f>
        <v/>
      </c>
      <c r="D563">
        <f>COUNTIF(Base[Fornecedor],A563&amp;"")</f>
        <v/>
      </c>
      <c r="E563" s="12">
        <f>SUMIF(Base[Fornecedor],A563&amp;"",Base[Montante])</f>
        <v/>
      </c>
    </row>
    <row r="564">
      <c r="A564" t="inlineStr">
        <is>
          <t>EM000959</t>
        </is>
      </c>
      <c r="B564" t="inlineStr">
        <is>
          <t>GEOVANE SANTOS GOMES</t>
        </is>
      </c>
      <c r="C564">
        <f>IFERROR(INDEX(DePara[Categoria],MATCH(TEXT(A564,"0"),DePara[Fornecedor_txt],0)),"(sem categoria)")</f>
        <v/>
      </c>
      <c r="D564">
        <f>COUNTIF(Base[Fornecedor],A564&amp;"")</f>
        <v/>
      </c>
      <c r="E564" s="12">
        <f>SUMIF(Base[Fornecedor],A564&amp;"",Base[Montante])</f>
        <v/>
      </c>
    </row>
    <row r="565">
      <c r="A565" t="inlineStr">
        <is>
          <t>EM000960</t>
        </is>
      </c>
      <c r="B565" t="inlineStr">
        <is>
          <t>ITALO OLIVEIRA FERREIRA</t>
        </is>
      </c>
      <c r="C565">
        <f>IFERROR(INDEX(DePara[Categoria],MATCH(TEXT(A565,"0"),DePara[Fornecedor_txt],0)),"(sem categoria)")</f>
        <v/>
      </c>
      <c r="D565">
        <f>COUNTIF(Base[Fornecedor],A565&amp;"")</f>
        <v/>
      </c>
      <c r="E565" s="12">
        <f>SUMIF(Base[Fornecedor],A565&amp;"",Base[Montante])</f>
        <v/>
      </c>
    </row>
    <row r="566">
      <c r="A566" t="inlineStr">
        <is>
          <t>EM000969</t>
        </is>
      </c>
      <c r="B566" t="inlineStr">
        <is>
          <t>KEVIN LUCAS DA SILVA</t>
        </is>
      </c>
      <c r="C566">
        <f>IFERROR(INDEX(DePara[Categoria],MATCH(TEXT(A566,"0"),DePara[Fornecedor_txt],0)),"(sem categoria)")</f>
        <v/>
      </c>
      <c r="D566">
        <f>COUNTIF(Base[Fornecedor],A566&amp;"")</f>
        <v/>
      </c>
      <c r="E566" s="12">
        <f>SUMIF(Base[Fornecedor],A566&amp;"",Base[Montante])</f>
        <v/>
      </c>
    </row>
    <row r="567">
      <c r="A567" t="inlineStr">
        <is>
          <t>EM000546</t>
        </is>
      </c>
      <c r="B567" t="inlineStr">
        <is>
          <t>FELLIPE MATHEUS OLIVEIRA DO NASCIMENTO</t>
        </is>
      </c>
      <c r="C567">
        <f>IFERROR(INDEX(DePara[Categoria],MATCH(TEXT(A567,"0"),DePara[Fornecedor_txt],0)),"(sem categoria)")</f>
        <v/>
      </c>
      <c r="D567">
        <f>COUNTIF(Base[Fornecedor],A567&amp;"")</f>
        <v/>
      </c>
      <c r="E567" s="12">
        <f>SUMIF(Base[Fornecedor],A567&amp;"",Base[Montante])</f>
        <v/>
      </c>
    </row>
    <row r="568">
      <c r="A568" t="inlineStr">
        <is>
          <t>EM003688</t>
        </is>
      </c>
      <c r="B568" t="inlineStr">
        <is>
          <t>Felipe Affonso de Carvalho Quita</t>
        </is>
      </c>
      <c r="C568">
        <f>IFERROR(INDEX(DePara[Categoria],MATCH(TEXT(A568,"0"),DePara[Fornecedor_txt],0)),"(sem categoria)")</f>
        <v/>
      </c>
      <c r="D568">
        <f>COUNTIF(Base[Fornecedor],A568&amp;"")</f>
        <v/>
      </c>
      <c r="E568" s="12">
        <f>SUMIF(Base[Fornecedor],A568&amp;"",Base[Montante])</f>
        <v/>
      </c>
    </row>
    <row r="569">
      <c r="A569" t="inlineStr">
        <is>
          <t>EM000278</t>
        </is>
      </c>
      <c r="B569" t="inlineStr">
        <is>
          <t>LEONARDO FERNANDES PEREIRA MOREIRA</t>
        </is>
      </c>
      <c r="C569">
        <f>IFERROR(INDEX(DePara[Categoria],MATCH(TEXT(A569,"0"),DePara[Fornecedor_txt],0)),"(sem categoria)")</f>
        <v/>
      </c>
      <c r="D569">
        <f>COUNTIF(Base[Fornecedor],A569&amp;"")</f>
        <v/>
      </c>
      <c r="E569" s="12">
        <f>SUMIF(Base[Fornecedor],A569&amp;"",Base[Montante])</f>
        <v/>
      </c>
    </row>
    <row r="570">
      <c r="A570" t="inlineStr">
        <is>
          <t>EM000301</t>
        </is>
      </c>
      <c r="B570" t="inlineStr">
        <is>
          <t>CLEBER JULIAN DA SILVA</t>
        </is>
      </c>
      <c r="C570">
        <f>IFERROR(INDEX(DePara[Categoria],MATCH(TEXT(A570,"0"),DePara[Fornecedor_txt],0)),"(sem categoria)")</f>
        <v/>
      </c>
      <c r="D570">
        <f>COUNTIF(Base[Fornecedor],A570&amp;"")</f>
        <v/>
      </c>
      <c r="E570" s="12">
        <f>SUMIF(Base[Fornecedor],A570&amp;"",Base[Montante])</f>
        <v/>
      </c>
    </row>
    <row r="571">
      <c r="A571" t="inlineStr">
        <is>
          <t>EM000490</t>
        </is>
      </c>
      <c r="B571" t="inlineStr">
        <is>
          <t>JOAQUIM INACIO PEREIRA DA SILVA</t>
        </is>
      </c>
      <c r="C571">
        <f>IFERROR(INDEX(DePara[Categoria],MATCH(TEXT(A571,"0"),DePara[Fornecedor_txt],0)),"(sem categoria)")</f>
        <v/>
      </c>
      <c r="D571">
        <f>COUNTIF(Base[Fornecedor],A571&amp;"")</f>
        <v/>
      </c>
      <c r="E571" s="12">
        <f>SUMIF(Base[Fornecedor],A571&amp;"",Base[Montante])</f>
        <v/>
      </c>
    </row>
    <row r="572">
      <c r="A572" t="inlineStr">
        <is>
          <t>EM000532</t>
        </is>
      </c>
      <c r="B572" t="inlineStr">
        <is>
          <t>VALDIRENE MESSONES PINTO DA SILVA</t>
        </is>
      </c>
      <c r="C572">
        <f>IFERROR(INDEX(DePara[Categoria],MATCH(TEXT(A572,"0"),DePara[Fornecedor_txt],0)),"(sem categoria)")</f>
        <v/>
      </c>
      <c r="D572">
        <f>COUNTIF(Base[Fornecedor],A572&amp;"")</f>
        <v/>
      </c>
      <c r="E572" s="12">
        <f>SUMIF(Base[Fornecedor],A572&amp;"",Base[Montante])</f>
        <v/>
      </c>
    </row>
    <row r="573">
      <c r="A573" t="inlineStr">
        <is>
          <t>EM000674</t>
        </is>
      </c>
      <c r="B573" t="inlineStr">
        <is>
          <t>PAULO HENRIQUE DA CRUZ BOTELHO</t>
        </is>
      </c>
      <c r="C573">
        <f>IFERROR(INDEX(DePara[Categoria],MATCH(TEXT(A573,"0"),DePara[Fornecedor_txt],0)),"(sem categoria)")</f>
        <v/>
      </c>
      <c r="D573">
        <f>COUNTIF(Base[Fornecedor],A573&amp;"")</f>
        <v/>
      </c>
      <c r="E573" s="12">
        <f>SUMIF(Base[Fornecedor],A573&amp;"",Base[Montante])</f>
        <v/>
      </c>
    </row>
    <row r="574">
      <c r="A574" t="inlineStr">
        <is>
          <t>EM000373</t>
        </is>
      </c>
      <c r="B574" t="inlineStr">
        <is>
          <t>JACKSON VICENTE SOUZA FERREIRA</t>
        </is>
      </c>
      <c r="C574">
        <f>IFERROR(INDEX(DePara[Categoria],MATCH(TEXT(A574,"0"),DePara[Fornecedor_txt],0)),"(sem categoria)")</f>
        <v/>
      </c>
      <c r="D574">
        <f>COUNTIF(Base[Fornecedor],A574&amp;"")</f>
        <v/>
      </c>
      <c r="E574" s="12">
        <f>SUMIF(Base[Fornecedor],A574&amp;"",Base[Montante])</f>
        <v/>
      </c>
    </row>
    <row r="575">
      <c r="A575" t="inlineStr">
        <is>
          <t>EM000390</t>
        </is>
      </c>
      <c r="B575" t="inlineStr">
        <is>
          <t>BRUNO RAFAEL REBOUCAS DE SOUZA</t>
        </is>
      </c>
      <c r="C575">
        <f>IFERROR(INDEX(DePara[Categoria],MATCH(TEXT(A575,"0"),DePara[Fornecedor_txt],0)),"(sem categoria)")</f>
        <v/>
      </c>
      <c r="D575">
        <f>COUNTIF(Base[Fornecedor],A575&amp;"")</f>
        <v/>
      </c>
      <c r="E575" s="12">
        <f>SUMIF(Base[Fornecedor],A575&amp;"",Base[Montante])</f>
        <v/>
      </c>
    </row>
    <row r="576">
      <c r="A576" t="inlineStr">
        <is>
          <t>EM000468</t>
        </is>
      </c>
      <c r="B576" t="inlineStr">
        <is>
          <t>LUCAS EMANUEL ALVES DE SOUSA</t>
        </is>
      </c>
      <c r="C576">
        <f>IFERROR(INDEX(DePara[Categoria],MATCH(TEXT(A576,"0"),DePara[Fornecedor_txt],0)),"(sem categoria)")</f>
        <v/>
      </c>
      <c r="D576">
        <f>COUNTIF(Base[Fornecedor],A576&amp;"")</f>
        <v/>
      </c>
      <c r="E576" s="12">
        <f>SUMIF(Base[Fornecedor],A576&amp;"",Base[Montante])</f>
        <v/>
      </c>
    </row>
    <row r="577">
      <c r="A577" t="inlineStr">
        <is>
          <t>EM000482</t>
        </is>
      </c>
      <c r="B577" t="inlineStr">
        <is>
          <t>FRANCISCO EGON ROQUE DE SOUSA</t>
        </is>
      </c>
      <c r="C577">
        <f>IFERROR(INDEX(DePara[Categoria],MATCH(TEXT(A577,"0"),DePara[Fornecedor_txt],0)),"(sem categoria)")</f>
        <v/>
      </c>
      <c r="D577">
        <f>COUNTIF(Base[Fornecedor],A577&amp;"")</f>
        <v/>
      </c>
      <c r="E577" s="12">
        <f>SUMIF(Base[Fornecedor],A577&amp;"",Base[Montante])</f>
        <v/>
      </c>
    </row>
    <row r="578">
      <c r="A578" t="inlineStr">
        <is>
          <t>EM000553</t>
        </is>
      </c>
      <c r="B578" t="inlineStr">
        <is>
          <t>JAILSON SILVA PEREIRA</t>
        </is>
      </c>
      <c r="C578">
        <f>IFERROR(INDEX(DePara[Categoria],MATCH(TEXT(A578,"0"),DePara[Fornecedor_txt],0)),"(sem categoria)")</f>
        <v/>
      </c>
      <c r="D578">
        <f>COUNTIF(Base[Fornecedor],A578&amp;"")</f>
        <v/>
      </c>
      <c r="E578" s="12">
        <f>SUMIF(Base[Fornecedor],A578&amp;"",Base[Montante])</f>
        <v/>
      </c>
    </row>
    <row r="579">
      <c r="A579" t="inlineStr">
        <is>
          <t>EM000619</t>
        </is>
      </c>
      <c r="B579" t="inlineStr">
        <is>
          <t>GLEUSON DE QUEIROZ FERNANDES</t>
        </is>
      </c>
      <c r="C579">
        <f>IFERROR(INDEX(DePara[Categoria],MATCH(TEXT(A579,"0"),DePara[Fornecedor_txt],0)),"(sem categoria)")</f>
        <v/>
      </c>
      <c r="D579">
        <f>COUNTIF(Base[Fornecedor],A579&amp;"")</f>
        <v/>
      </c>
      <c r="E579" s="12">
        <f>SUMIF(Base[Fornecedor],A579&amp;"",Base[Montante])</f>
        <v/>
      </c>
    </row>
    <row r="580">
      <c r="A580" t="inlineStr">
        <is>
          <t>EM000976</t>
        </is>
      </c>
      <c r="B580" t="inlineStr">
        <is>
          <t>MICHEL EDWIN ZAMBRANA GUEVARA</t>
        </is>
      </c>
      <c r="C580">
        <f>IFERROR(INDEX(DePara[Categoria],MATCH(TEXT(A580,"0"),DePara[Fornecedor_txt],0)),"(sem categoria)")</f>
        <v/>
      </c>
      <c r="D580">
        <f>COUNTIF(Base[Fornecedor],A580&amp;"")</f>
        <v/>
      </c>
      <c r="E580" s="12">
        <f>SUMIF(Base[Fornecedor],A580&amp;"",Base[Montante])</f>
        <v/>
      </c>
    </row>
    <row r="581">
      <c r="A581" t="inlineStr">
        <is>
          <t>EM003655</t>
        </is>
      </c>
      <c r="B581" t="inlineStr">
        <is>
          <t>JOSE ARLINDO DE SOUSA JUNIOR</t>
        </is>
      </c>
      <c r="C581">
        <f>IFERROR(INDEX(DePara[Categoria],MATCH(TEXT(A581,"0"),DePara[Fornecedor_txt],0)),"(sem categoria)")</f>
        <v/>
      </c>
      <c r="D581">
        <f>COUNTIF(Base[Fornecedor],A581&amp;"")</f>
        <v/>
      </c>
      <c r="E581" s="12">
        <f>SUMIF(Base[Fornecedor],A581&amp;"",Base[Montante])</f>
        <v/>
      </c>
    </row>
    <row r="582">
      <c r="A582" t="inlineStr">
        <is>
          <t>EM003693</t>
        </is>
      </c>
      <c r="B582" t="inlineStr">
        <is>
          <t>Fabio Fernando Pereira de Andrade</t>
        </is>
      </c>
      <c r="C582">
        <f>IFERROR(INDEX(DePara[Categoria],MATCH(TEXT(A582,"0"),DePara[Fornecedor_txt],0)),"(sem categoria)")</f>
        <v/>
      </c>
      <c r="D582">
        <f>COUNTIF(Base[Fornecedor],A582&amp;"")</f>
        <v/>
      </c>
      <c r="E582" s="12">
        <f>SUMIF(Base[Fornecedor],A582&amp;"",Base[Montante])</f>
        <v/>
      </c>
    </row>
    <row r="583">
      <c r="A583" t="inlineStr">
        <is>
          <t>EM003694</t>
        </is>
      </c>
      <c r="B583" t="inlineStr">
        <is>
          <t>José Ribamar Morais Frazão</t>
        </is>
      </c>
      <c r="C583">
        <f>IFERROR(INDEX(DePara[Categoria],MATCH(TEXT(A583,"0"),DePara[Fornecedor_txt],0)),"(sem categoria)")</f>
        <v/>
      </c>
      <c r="D583">
        <f>COUNTIF(Base[Fornecedor],A583&amp;"")</f>
        <v/>
      </c>
      <c r="E583" s="12">
        <f>SUMIF(Base[Fornecedor],A583&amp;"",Base[Montante])</f>
        <v/>
      </c>
    </row>
    <row r="584">
      <c r="A584" t="inlineStr">
        <is>
          <t>EM000153</t>
        </is>
      </c>
      <c r="B584" t="inlineStr">
        <is>
          <t>FRANCISCO WAGNER DE FREITAS ARAUJO</t>
        </is>
      </c>
      <c r="C584">
        <f>IFERROR(INDEX(DePara[Categoria],MATCH(TEXT(A584,"0"),DePara[Fornecedor_txt],0)),"(sem categoria)")</f>
        <v/>
      </c>
      <c r="D584">
        <f>COUNTIF(Base[Fornecedor],A584&amp;"")</f>
        <v/>
      </c>
      <c r="E584" s="12">
        <f>SUMIF(Base[Fornecedor],A584&amp;"",Base[Montante])</f>
        <v/>
      </c>
    </row>
    <row r="585">
      <c r="A585" t="inlineStr">
        <is>
          <t>EM000420</t>
        </is>
      </c>
      <c r="B585" t="inlineStr">
        <is>
          <t>RAFAEL SILVA DE FREITAS</t>
        </is>
      </c>
      <c r="C585">
        <f>IFERROR(INDEX(DePara[Categoria],MATCH(TEXT(A585,"0"),DePara[Fornecedor_txt],0)),"(sem categoria)")</f>
        <v/>
      </c>
      <c r="D585">
        <f>COUNTIF(Base[Fornecedor],A585&amp;"")</f>
        <v/>
      </c>
      <c r="E585" s="12">
        <f>SUMIF(Base[Fornecedor],A585&amp;"",Base[Montante])</f>
        <v/>
      </c>
    </row>
    <row r="586">
      <c r="A586" t="inlineStr">
        <is>
          <t>EM000682</t>
        </is>
      </c>
      <c r="B586" t="inlineStr">
        <is>
          <t>RAUL GONCALVES RODRIGUES</t>
        </is>
      </c>
      <c r="C586">
        <f>IFERROR(INDEX(DePara[Categoria],MATCH(TEXT(A586,"0"),DePara[Fornecedor_txt],0)),"(sem categoria)")</f>
        <v/>
      </c>
      <c r="D586">
        <f>COUNTIF(Base[Fornecedor],A586&amp;"")</f>
        <v/>
      </c>
      <c r="E586" s="12">
        <f>SUMIF(Base[Fornecedor],A586&amp;"",Base[Montante])</f>
        <v/>
      </c>
    </row>
    <row r="587">
      <c r="A587" t="inlineStr">
        <is>
          <t>EM003724</t>
        </is>
      </c>
      <c r="B587" t="inlineStr">
        <is>
          <t>OTÁVIO PAULINO DA SILVA NETO</t>
        </is>
      </c>
      <c r="C587">
        <f>IFERROR(INDEX(DePara[Categoria],MATCH(TEXT(A587,"0"),DePara[Fornecedor_txt],0)),"(sem categoria)")</f>
        <v/>
      </c>
      <c r="D587">
        <f>COUNTIF(Base[Fornecedor],A587&amp;"")</f>
        <v/>
      </c>
      <c r="E587" s="12">
        <f>SUMIF(Base[Fornecedor],A587&amp;"",Base[Montante])</f>
        <v/>
      </c>
    </row>
    <row r="588">
      <c r="A588" t="inlineStr">
        <is>
          <t>EM003725</t>
        </is>
      </c>
      <c r="B588" t="inlineStr">
        <is>
          <t>FRANKLIN CLEMENTE DE FRANÇA</t>
        </is>
      </c>
      <c r="C588">
        <f>IFERROR(INDEX(DePara[Categoria],MATCH(TEXT(A588,"0"),DePara[Fornecedor_txt],0)),"(sem categoria)")</f>
        <v/>
      </c>
      <c r="D588">
        <f>COUNTIF(Base[Fornecedor],A588&amp;"")</f>
        <v/>
      </c>
      <c r="E588" s="12">
        <f>SUMIF(Base[Fornecedor],A588&amp;"",Base[Montante])</f>
        <v/>
      </c>
    </row>
    <row r="589">
      <c r="A589" t="inlineStr">
        <is>
          <t>EM000039</t>
        </is>
      </c>
      <c r="B589" t="inlineStr">
        <is>
          <t>ANDRE LUIS MENDES VELOSO</t>
        </is>
      </c>
      <c r="C589">
        <f>IFERROR(INDEX(DePara[Categoria],MATCH(TEXT(A589,"0"),DePara[Fornecedor_txt],0)),"(sem categoria)")</f>
        <v/>
      </c>
      <c r="D589">
        <f>COUNTIF(Base[Fornecedor],A589&amp;"")</f>
        <v/>
      </c>
      <c r="E589" s="12">
        <f>SUMIF(Base[Fornecedor],A589&amp;"",Base[Montante])</f>
        <v/>
      </c>
    </row>
    <row r="590">
      <c r="A590" t="inlineStr">
        <is>
          <t>EM000075</t>
        </is>
      </c>
      <c r="B590" t="inlineStr">
        <is>
          <t>RENATO CAIO FERNANDES SILVA</t>
        </is>
      </c>
      <c r="C590">
        <f>IFERROR(INDEX(DePara[Categoria],MATCH(TEXT(A590,"0"),DePara[Fornecedor_txt],0)),"(sem categoria)")</f>
        <v/>
      </c>
      <c r="D590">
        <f>COUNTIF(Base[Fornecedor],A590&amp;"")</f>
        <v/>
      </c>
      <c r="E590" s="12">
        <f>SUMIF(Base[Fornecedor],A590&amp;"",Base[Montante])</f>
        <v/>
      </c>
    </row>
    <row r="591">
      <c r="A591" t="inlineStr">
        <is>
          <t>EM000162</t>
        </is>
      </c>
      <c r="B591" t="inlineStr">
        <is>
          <t>ASSUERO SAVIO TEIXEIRA SOUSA</t>
        </is>
      </c>
      <c r="C591">
        <f>IFERROR(INDEX(DePara[Categoria],MATCH(TEXT(A591,"0"),DePara[Fornecedor_txt],0)),"(sem categoria)")</f>
        <v/>
      </c>
      <c r="D591">
        <f>COUNTIF(Base[Fornecedor],A591&amp;"")</f>
        <v/>
      </c>
      <c r="E591" s="12">
        <f>SUMIF(Base[Fornecedor],A591&amp;"",Base[Montante])</f>
        <v/>
      </c>
    </row>
    <row r="592">
      <c r="A592" t="inlineStr">
        <is>
          <t>EM000190</t>
        </is>
      </c>
      <c r="B592" t="inlineStr">
        <is>
          <t>DOUGLAS NASCIMENTO</t>
        </is>
      </c>
      <c r="C592">
        <f>IFERROR(INDEX(DePara[Categoria],MATCH(TEXT(A592,"0"),DePara[Fornecedor_txt],0)),"(sem categoria)")</f>
        <v/>
      </c>
      <c r="D592">
        <f>COUNTIF(Base[Fornecedor],A592&amp;"")</f>
        <v/>
      </c>
      <c r="E592" s="12">
        <f>SUMIF(Base[Fornecedor],A592&amp;"",Base[Montante])</f>
        <v/>
      </c>
    </row>
    <row r="593">
      <c r="A593" t="inlineStr">
        <is>
          <t>EM000425</t>
        </is>
      </c>
      <c r="B593" t="inlineStr">
        <is>
          <t>NAIGUEL PEREIRA DO SANTOS</t>
        </is>
      </c>
      <c r="C593">
        <f>IFERROR(INDEX(DePara[Categoria],MATCH(TEXT(A593,"0"),DePara[Fornecedor_txt],0)),"(sem categoria)")</f>
        <v/>
      </c>
      <c r="D593">
        <f>COUNTIF(Base[Fornecedor],A593&amp;"")</f>
        <v/>
      </c>
      <c r="E593" s="12">
        <f>SUMIF(Base[Fornecedor],A593&amp;"",Base[Montante])</f>
        <v/>
      </c>
    </row>
    <row r="594">
      <c r="A594" t="inlineStr">
        <is>
          <t>EM000516</t>
        </is>
      </c>
      <c r="B594" t="inlineStr">
        <is>
          <t>KLEBER JERONIMO DA SILVA</t>
        </is>
      </c>
      <c r="C594">
        <f>IFERROR(INDEX(DePara[Categoria],MATCH(TEXT(A594,"0"),DePara[Fornecedor_txt],0)),"(sem categoria)")</f>
        <v/>
      </c>
      <c r="D594">
        <f>COUNTIF(Base[Fornecedor],A594&amp;"")</f>
        <v/>
      </c>
      <c r="E594" s="12">
        <f>SUMIF(Base[Fornecedor],A594&amp;"",Base[Montante])</f>
        <v/>
      </c>
    </row>
    <row r="595">
      <c r="A595" t="inlineStr">
        <is>
          <t>EM000792</t>
        </is>
      </c>
      <c r="B595" t="inlineStr">
        <is>
          <t>BRUNO INÁCIO LOURENÇO</t>
        </is>
      </c>
      <c r="C595">
        <f>IFERROR(INDEX(DePara[Categoria],MATCH(TEXT(A595,"0"),DePara[Fornecedor_txt],0)),"(sem categoria)")</f>
        <v/>
      </c>
      <c r="D595">
        <f>COUNTIF(Base[Fornecedor],A595&amp;"")</f>
        <v/>
      </c>
      <c r="E595" s="12">
        <f>SUMIF(Base[Fornecedor],A595&amp;"",Base[Montante])</f>
        <v/>
      </c>
    </row>
    <row r="596">
      <c r="A596" t="inlineStr">
        <is>
          <t>EM000967</t>
        </is>
      </c>
      <c r="B596" t="inlineStr">
        <is>
          <t>THIAGO RODRIGUES DOS SANTOS COSTA</t>
        </is>
      </c>
      <c r="C596">
        <f>IFERROR(INDEX(DePara[Categoria],MATCH(TEXT(A596,"0"),DePara[Fornecedor_txt],0)),"(sem categoria)")</f>
        <v/>
      </c>
      <c r="D596">
        <f>COUNTIF(Base[Fornecedor],A596&amp;"")</f>
        <v/>
      </c>
      <c r="E596" s="12">
        <f>SUMIF(Base[Fornecedor],A596&amp;"",Base[Montante])</f>
        <v/>
      </c>
    </row>
    <row r="597">
      <c r="A597" t="inlineStr">
        <is>
          <t>EM000968</t>
        </is>
      </c>
      <c r="B597" t="inlineStr">
        <is>
          <t>THIAGO NOGUEIRA FIGUEREDO</t>
        </is>
      </c>
      <c r="C597">
        <f>IFERROR(INDEX(DePara[Categoria],MATCH(TEXT(A597,"0"),DePara[Fornecedor_txt],0)),"(sem categoria)")</f>
        <v/>
      </c>
      <c r="D597">
        <f>COUNTIF(Base[Fornecedor],A597&amp;"")</f>
        <v/>
      </c>
      <c r="E597" s="12">
        <f>SUMIF(Base[Fornecedor],A597&amp;"",Base[Montante])</f>
        <v/>
      </c>
    </row>
    <row r="598">
      <c r="A598" t="inlineStr">
        <is>
          <t>EM000458</t>
        </is>
      </c>
      <c r="B598" t="inlineStr">
        <is>
          <t>CARLOS CESAR FONSECA MACHADO</t>
        </is>
      </c>
      <c r="C598">
        <f>IFERROR(INDEX(DePara[Categoria],MATCH(TEXT(A598,"0"),DePara[Fornecedor_txt],0)),"(sem categoria)")</f>
        <v/>
      </c>
      <c r="D598">
        <f>COUNTIF(Base[Fornecedor],A598&amp;"")</f>
        <v/>
      </c>
      <c r="E598" s="12">
        <f>SUMIF(Base[Fornecedor],A598&amp;"",Base[Montante])</f>
        <v/>
      </c>
    </row>
    <row r="599">
      <c r="A599" t="inlineStr">
        <is>
          <t>EM000608</t>
        </is>
      </c>
      <c r="B599" t="inlineStr">
        <is>
          <t>ERLAN MARQUES DO NASCIMENTO SOUZA</t>
        </is>
      </c>
      <c r="C599">
        <f>IFERROR(INDEX(DePara[Categoria],MATCH(TEXT(A599,"0"),DePara[Fornecedor_txt],0)),"(sem categoria)")</f>
        <v/>
      </c>
      <c r="D599">
        <f>COUNTIF(Base[Fornecedor],A599&amp;"")</f>
        <v/>
      </c>
      <c r="E599" s="12">
        <f>SUMIF(Base[Fornecedor],A599&amp;"",Base[Montante])</f>
        <v/>
      </c>
    </row>
    <row r="600">
      <c r="A600" t="inlineStr">
        <is>
          <t>EM000670</t>
        </is>
      </c>
      <c r="B600" t="inlineStr">
        <is>
          <t>JULIANO DE PAULA NEVES NASCIMENTO</t>
        </is>
      </c>
      <c r="C600">
        <f>IFERROR(INDEX(DePara[Categoria],MATCH(TEXT(A600,"0"),DePara[Fornecedor_txt],0)),"(sem categoria)")</f>
        <v/>
      </c>
      <c r="D600">
        <f>COUNTIF(Base[Fornecedor],A600&amp;"")</f>
        <v/>
      </c>
      <c r="E600" s="12">
        <f>SUMIF(Base[Fornecedor],A600&amp;"",Base[Montante])</f>
        <v/>
      </c>
    </row>
    <row r="601">
      <c r="A601" t="inlineStr">
        <is>
          <t>EM000793</t>
        </is>
      </c>
      <c r="B601" t="inlineStr">
        <is>
          <t>Marcio Hoffmann Fernandes</t>
        </is>
      </c>
      <c r="C601">
        <f>IFERROR(INDEX(DePara[Categoria],MATCH(TEXT(A601,"0"),DePara[Fornecedor_txt],0)),"(sem categoria)")</f>
        <v/>
      </c>
      <c r="D601">
        <f>COUNTIF(Base[Fornecedor],A601&amp;"")</f>
        <v/>
      </c>
      <c r="E601" s="12">
        <f>SUMIF(Base[Fornecedor],A601&amp;"",Base[Montante])</f>
        <v/>
      </c>
    </row>
    <row r="602">
      <c r="A602" t="inlineStr">
        <is>
          <t>EM000903</t>
        </is>
      </c>
      <c r="B602" t="inlineStr">
        <is>
          <t>ELANIO MAXIMINIANO OLIVEIRA DA SILVA</t>
        </is>
      </c>
      <c r="C602">
        <f>IFERROR(INDEX(DePara[Categoria],MATCH(TEXT(A602,"0"),DePara[Fornecedor_txt],0)),"(sem categoria)")</f>
        <v/>
      </c>
      <c r="D602">
        <f>COUNTIF(Base[Fornecedor],A602&amp;"")</f>
        <v/>
      </c>
      <c r="E602" s="12">
        <f>SUMIF(Base[Fornecedor],A602&amp;"",Base[Montante])</f>
        <v/>
      </c>
    </row>
    <row r="603">
      <c r="A603" t="inlineStr">
        <is>
          <t>EM003756</t>
        </is>
      </c>
      <c r="B603" t="inlineStr">
        <is>
          <t>DAVID DA CRUZ SILVA</t>
        </is>
      </c>
      <c r="C603">
        <f>IFERROR(INDEX(DePara[Categoria],MATCH(TEXT(A603,"0"),DePara[Fornecedor_txt],0)),"(sem categoria)")</f>
        <v/>
      </c>
      <c r="D603">
        <f>COUNTIF(Base[Fornecedor],A603&amp;"")</f>
        <v/>
      </c>
      <c r="E603" s="12">
        <f>SUMIF(Base[Fornecedor],A603&amp;"",Base[Montante])</f>
        <v/>
      </c>
    </row>
    <row r="604">
      <c r="A604" t="inlineStr">
        <is>
          <t>EM000021</t>
        </is>
      </c>
      <c r="B604" t="inlineStr">
        <is>
          <t>PAULO HENRIQUE BARBOSA ORTIZ DE SOUZA</t>
        </is>
      </c>
      <c r="C604">
        <f>IFERROR(INDEX(DePara[Categoria],MATCH(TEXT(A604,"0"),DePara[Fornecedor_txt],0)),"(sem categoria)")</f>
        <v/>
      </c>
      <c r="D604">
        <f>COUNTIF(Base[Fornecedor],A604&amp;"")</f>
        <v/>
      </c>
      <c r="E604" s="12">
        <f>SUMIF(Base[Fornecedor],A604&amp;"",Base[Montante])</f>
        <v/>
      </c>
    </row>
    <row r="605">
      <c r="A605" t="inlineStr">
        <is>
          <t>EM000035</t>
        </is>
      </c>
      <c r="B605" t="inlineStr">
        <is>
          <t>ALEXANDRE SILVEIRA TRINDADE</t>
        </is>
      </c>
      <c r="C605">
        <f>IFERROR(INDEX(DePara[Categoria],MATCH(TEXT(A605,"0"),DePara[Fornecedor_txt],0)),"(sem categoria)")</f>
        <v/>
      </c>
      <c r="D605">
        <f>COUNTIF(Base[Fornecedor],A605&amp;"")</f>
        <v/>
      </c>
      <c r="E605" s="12">
        <f>SUMIF(Base[Fornecedor],A605&amp;"",Base[Montante])</f>
        <v/>
      </c>
    </row>
    <row r="606">
      <c r="A606" t="inlineStr">
        <is>
          <t>EM000050</t>
        </is>
      </c>
      <c r="B606" t="inlineStr">
        <is>
          <t>RICARDO DANTAS ALVES JUNIOR</t>
        </is>
      </c>
      <c r="C606">
        <f>IFERROR(INDEX(DePara[Categoria],MATCH(TEXT(A606,"0"),DePara[Fornecedor_txt],0)),"(sem categoria)")</f>
        <v/>
      </c>
      <c r="D606">
        <f>COUNTIF(Base[Fornecedor],A606&amp;"")</f>
        <v/>
      </c>
      <c r="E606" s="12">
        <f>SUMIF(Base[Fornecedor],A606&amp;"",Base[Montante])</f>
        <v/>
      </c>
    </row>
    <row r="607">
      <c r="A607" t="inlineStr">
        <is>
          <t>EM000243</t>
        </is>
      </c>
      <c r="B607" t="inlineStr">
        <is>
          <t>JOSE LUIZ CONCEICAO DE SOUZA</t>
        </is>
      </c>
      <c r="C607">
        <f>IFERROR(INDEX(DePara[Categoria],MATCH(TEXT(A607,"0"),DePara[Fornecedor_txt],0)),"(sem categoria)")</f>
        <v/>
      </c>
      <c r="D607">
        <f>COUNTIF(Base[Fornecedor],A607&amp;"")</f>
        <v/>
      </c>
      <c r="E607" s="12">
        <f>SUMIF(Base[Fornecedor],A607&amp;"",Base[Montante])</f>
        <v/>
      </c>
    </row>
    <row r="608">
      <c r="A608" t="inlineStr">
        <is>
          <t>EM000310</t>
        </is>
      </c>
      <c r="B608" t="inlineStr">
        <is>
          <t>CARLOS EDUARDO LAUREANO</t>
        </is>
      </c>
      <c r="C608">
        <f>IFERROR(INDEX(DePara[Categoria],MATCH(TEXT(A608,"0"),DePara[Fornecedor_txt],0)),"(sem categoria)")</f>
        <v/>
      </c>
      <c r="D608">
        <f>COUNTIF(Base[Fornecedor],A608&amp;"")</f>
        <v/>
      </c>
      <c r="E608" s="12">
        <f>SUMIF(Base[Fornecedor],A608&amp;"",Base[Montante])</f>
        <v/>
      </c>
    </row>
    <row r="609">
      <c r="A609" t="inlineStr">
        <is>
          <t>EM000437</t>
        </is>
      </c>
      <c r="B609" t="inlineStr">
        <is>
          <t>CLEODON MARIO DA SILVA FILHO</t>
        </is>
      </c>
      <c r="C609">
        <f>IFERROR(INDEX(DePara[Categoria],MATCH(TEXT(A609,"0"),DePara[Fornecedor_txt],0)),"(sem categoria)")</f>
        <v/>
      </c>
      <c r="D609">
        <f>COUNTIF(Base[Fornecedor],A609&amp;"")</f>
        <v/>
      </c>
      <c r="E609" s="12">
        <f>SUMIF(Base[Fornecedor],A609&amp;"",Base[Montante])</f>
        <v/>
      </c>
    </row>
    <row r="610">
      <c r="A610" t="inlineStr">
        <is>
          <t>EM000890</t>
        </is>
      </c>
      <c r="B610" t="inlineStr">
        <is>
          <t>DENILSON FERNANDES SILVA</t>
        </is>
      </c>
      <c r="C610">
        <f>IFERROR(INDEX(DePara[Categoria],MATCH(TEXT(A610,"0"),DePara[Fornecedor_txt],0)),"(sem categoria)")</f>
        <v/>
      </c>
      <c r="D610">
        <f>COUNTIF(Base[Fornecedor],A610&amp;"")</f>
        <v/>
      </c>
      <c r="E610" s="12">
        <f>SUMIF(Base[Fornecedor],A610&amp;"",Base[Montante])</f>
        <v/>
      </c>
    </row>
    <row r="611">
      <c r="A611" t="inlineStr">
        <is>
          <t>EM000905</t>
        </is>
      </c>
      <c r="B611" t="inlineStr">
        <is>
          <t>TIAGO DA SILVA SANTANA</t>
        </is>
      </c>
      <c r="C611">
        <f>IFERROR(INDEX(DePara[Categoria],MATCH(TEXT(A611,"0"),DePara[Fornecedor_txt],0)),"(sem categoria)")</f>
        <v/>
      </c>
      <c r="D611">
        <f>COUNTIF(Base[Fornecedor],A611&amp;"")</f>
        <v/>
      </c>
      <c r="E611" s="12">
        <f>SUMIF(Base[Fornecedor],A611&amp;"",Base[Montante])</f>
        <v/>
      </c>
    </row>
    <row r="612">
      <c r="A612" t="inlineStr">
        <is>
          <t>EM000919</t>
        </is>
      </c>
      <c r="B612" t="inlineStr">
        <is>
          <t>LUCAS MEDEIROS DE OLIVEIRA</t>
        </is>
      </c>
      <c r="C612">
        <f>IFERROR(INDEX(DePara[Categoria],MATCH(TEXT(A612,"0"),DePara[Fornecedor_txt],0)),"(sem categoria)")</f>
        <v/>
      </c>
      <c r="D612">
        <f>COUNTIF(Base[Fornecedor],A612&amp;"")</f>
        <v/>
      </c>
      <c r="E612" s="12">
        <f>SUMIF(Base[Fornecedor],A612&amp;"",Base[Montante])</f>
        <v/>
      </c>
    </row>
    <row r="613">
      <c r="A613" t="inlineStr">
        <is>
          <t>EM000987</t>
        </is>
      </c>
      <c r="B613" t="inlineStr">
        <is>
          <t>SIDEMARIO SANTANA SILVA</t>
        </is>
      </c>
      <c r="C613">
        <f>IFERROR(INDEX(DePara[Categoria],MATCH(TEXT(A613,"0"),DePara[Fornecedor_txt],0)),"(sem categoria)")</f>
        <v/>
      </c>
      <c r="D613">
        <f>COUNTIF(Base[Fornecedor],A613&amp;"")</f>
        <v/>
      </c>
      <c r="E613" s="12">
        <f>SUMIF(Base[Fornecedor],A613&amp;"",Base[Montante])</f>
        <v/>
      </c>
    </row>
    <row r="614">
      <c r="A614" t="inlineStr">
        <is>
          <t>EM000591</t>
        </is>
      </c>
      <c r="B614" t="inlineStr">
        <is>
          <t>SANDERSON SILVA GONCALVES</t>
        </is>
      </c>
      <c r="C614">
        <f>IFERROR(INDEX(DePara[Categoria],MATCH(TEXT(A614,"0"),DePara[Fornecedor_txt],0)),"(sem categoria)")</f>
        <v/>
      </c>
      <c r="D614">
        <f>COUNTIF(Base[Fornecedor],A614&amp;"")</f>
        <v/>
      </c>
      <c r="E614" s="12">
        <f>SUMIF(Base[Fornecedor],A614&amp;"",Base[Montante])</f>
        <v/>
      </c>
    </row>
    <row r="615">
      <c r="A615" t="inlineStr">
        <is>
          <t>EM000702</t>
        </is>
      </c>
      <c r="B615" t="inlineStr">
        <is>
          <t>EDGARD ALEXANDRE DE ANDRADE VARELA</t>
        </is>
      </c>
      <c r="C615">
        <f>IFERROR(INDEX(DePara[Categoria],MATCH(TEXT(A615,"0"),DePara[Fornecedor_txt],0)),"(sem categoria)")</f>
        <v/>
      </c>
      <c r="D615">
        <f>COUNTIF(Base[Fornecedor],A615&amp;"")</f>
        <v/>
      </c>
      <c r="E615" s="12">
        <f>SUMIF(Base[Fornecedor],A615&amp;"",Base[Montante])</f>
        <v/>
      </c>
    </row>
    <row r="616">
      <c r="A616" t="inlineStr">
        <is>
          <t>EM000770</t>
        </is>
      </c>
      <c r="B616" t="inlineStr">
        <is>
          <t>THIAGO MENDES DE MESQUITA</t>
        </is>
      </c>
      <c r="C616">
        <f>IFERROR(INDEX(DePara[Categoria],MATCH(TEXT(A616,"0"),DePara[Fornecedor_txt],0)),"(sem categoria)")</f>
        <v/>
      </c>
      <c r="D616">
        <f>COUNTIF(Base[Fornecedor],A616&amp;"")</f>
        <v/>
      </c>
      <c r="E616" s="12">
        <f>SUMIF(Base[Fornecedor],A616&amp;"",Base[Montante])</f>
        <v/>
      </c>
    </row>
    <row r="617">
      <c r="A617" t="inlineStr">
        <is>
          <t>EM000863</t>
        </is>
      </c>
      <c r="B617" t="inlineStr">
        <is>
          <t>LEANDRO CLEYTON MAIA DE SOUSA</t>
        </is>
      </c>
      <c r="C617">
        <f>IFERROR(INDEX(DePara[Categoria],MATCH(TEXT(A617,"0"),DePara[Fornecedor_txt],0)),"(sem categoria)")</f>
        <v/>
      </c>
      <c r="D617">
        <f>COUNTIF(Base[Fornecedor],A617&amp;"")</f>
        <v/>
      </c>
      <c r="E617" s="12">
        <f>SUMIF(Base[Fornecedor],A617&amp;"",Base[Montante])</f>
        <v/>
      </c>
    </row>
    <row r="618">
      <c r="A618" t="inlineStr">
        <is>
          <t>EM000900</t>
        </is>
      </c>
      <c r="B618" t="inlineStr">
        <is>
          <t>PAULO JOSE DE BRITO</t>
        </is>
      </c>
      <c r="C618">
        <f>IFERROR(INDEX(DePara[Categoria],MATCH(TEXT(A618,"0"),DePara[Fornecedor_txt],0)),"(sem categoria)")</f>
        <v/>
      </c>
      <c r="D618">
        <f>COUNTIF(Base[Fornecedor],A618&amp;"")</f>
        <v/>
      </c>
      <c r="E618" s="12">
        <f>SUMIF(Base[Fornecedor],A618&amp;"",Base[Montante])</f>
        <v/>
      </c>
    </row>
    <row r="619">
      <c r="A619" t="inlineStr">
        <is>
          <t>EM003645</t>
        </is>
      </c>
      <c r="B619" t="inlineStr">
        <is>
          <t>RAMON PINHEIRO DE AFONSECA</t>
        </is>
      </c>
      <c r="C619">
        <f>IFERROR(INDEX(DePara[Categoria],MATCH(TEXT(A619,"0"),DePara[Fornecedor_txt],0)),"(sem categoria)")</f>
        <v/>
      </c>
      <c r="D619">
        <f>COUNTIF(Base[Fornecedor],A619&amp;"")</f>
        <v/>
      </c>
      <c r="E619" s="12">
        <f>SUMIF(Base[Fornecedor],A619&amp;"",Base[Montante])</f>
        <v/>
      </c>
    </row>
    <row r="620">
      <c r="A620" t="inlineStr">
        <is>
          <t>EM003695</t>
        </is>
      </c>
      <c r="B620" t="inlineStr">
        <is>
          <t>Veranilson Santana da silva</t>
        </is>
      </c>
      <c r="C620">
        <f>IFERROR(INDEX(DePara[Categoria],MATCH(TEXT(A620,"0"),DePara[Fornecedor_txt],0)),"(sem categoria)")</f>
        <v/>
      </c>
      <c r="D620">
        <f>COUNTIF(Base[Fornecedor],A620&amp;"")</f>
        <v/>
      </c>
      <c r="E620" s="12">
        <f>SUMIF(Base[Fornecedor],A620&amp;"",Base[Montante])</f>
        <v/>
      </c>
    </row>
    <row r="621">
      <c r="A621" t="inlineStr">
        <is>
          <t>EM003789</t>
        </is>
      </c>
      <c r="B621" t="inlineStr">
        <is>
          <t>Wagner Munhoz Pezzopani</t>
        </is>
      </c>
      <c r="C621">
        <f>IFERROR(INDEX(DePara[Categoria],MATCH(TEXT(A621,"0"),DePara[Fornecedor_txt],0)),"(sem categoria)")</f>
        <v/>
      </c>
      <c r="D621">
        <f>COUNTIF(Base[Fornecedor],A621&amp;"")</f>
        <v/>
      </c>
      <c r="E621" s="12">
        <f>SUMIF(Base[Fornecedor],A621&amp;"",Base[Montante])</f>
        <v/>
      </c>
    </row>
    <row r="622">
      <c r="A622" t="inlineStr">
        <is>
          <t>EM000036</t>
        </is>
      </c>
      <c r="B622" t="inlineStr">
        <is>
          <t>FELIPE EDUARDO GONCALVES</t>
        </is>
      </c>
      <c r="C622">
        <f>IFERROR(INDEX(DePara[Categoria],MATCH(TEXT(A622,"0"),DePara[Fornecedor_txt],0)),"(sem categoria)")</f>
        <v/>
      </c>
      <c r="D622">
        <f>COUNTIF(Base[Fornecedor],A622&amp;"")</f>
        <v/>
      </c>
      <c r="E622" s="12">
        <f>SUMIF(Base[Fornecedor],A622&amp;"",Base[Montante])</f>
        <v/>
      </c>
    </row>
    <row r="623">
      <c r="A623" t="inlineStr">
        <is>
          <t>EM000063</t>
        </is>
      </c>
      <c r="B623" t="inlineStr">
        <is>
          <t>GUSTAVO CRISTYAN DE MACEDO SILVA</t>
        </is>
      </c>
      <c r="C623">
        <f>IFERROR(INDEX(DePara[Categoria],MATCH(TEXT(A623,"0"),DePara[Fornecedor_txt],0)),"(sem categoria)")</f>
        <v/>
      </c>
      <c r="D623">
        <f>COUNTIF(Base[Fornecedor],A623&amp;"")</f>
        <v/>
      </c>
      <c r="E623" s="12">
        <f>SUMIF(Base[Fornecedor],A623&amp;"",Base[Montante])</f>
        <v/>
      </c>
    </row>
    <row r="624">
      <c r="A624" t="inlineStr">
        <is>
          <t>EM000116</t>
        </is>
      </c>
      <c r="B624" t="inlineStr">
        <is>
          <t>NAJARA MENDES OLIVEIRA</t>
        </is>
      </c>
      <c r="C624">
        <f>IFERROR(INDEX(DePara[Categoria],MATCH(TEXT(A624,"0"),DePara[Fornecedor_txt],0)),"(sem categoria)")</f>
        <v/>
      </c>
      <c r="D624">
        <f>COUNTIF(Base[Fornecedor],A624&amp;"")</f>
        <v/>
      </c>
      <c r="E624" s="12">
        <f>SUMIF(Base[Fornecedor],A624&amp;"",Base[Montante])</f>
        <v/>
      </c>
    </row>
    <row r="625">
      <c r="A625" t="inlineStr">
        <is>
          <t>EM000242</t>
        </is>
      </c>
      <c r="B625" t="inlineStr">
        <is>
          <t>JOSE EDUARDO DE SOUSA SOARES</t>
        </is>
      </c>
      <c r="C625">
        <f>IFERROR(INDEX(DePara[Categoria],MATCH(TEXT(A625,"0"),DePara[Fornecedor_txt],0)),"(sem categoria)")</f>
        <v/>
      </c>
      <c r="D625">
        <f>COUNTIF(Base[Fornecedor],A625&amp;"")</f>
        <v/>
      </c>
      <c r="E625" s="12">
        <f>SUMIF(Base[Fornecedor],A625&amp;"",Base[Montante])</f>
        <v/>
      </c>
    </row>
    <row r="626">
      <c r="A626" t="inlineStr">
        <is>
          <t>EM000367</t>
        </is>
      </c>
      <c r="B626" t="inlineStr">
        <is>
          <t>MARCELLA GOMES PEREZ</t>
        </is>
      </c>
      <c r="C626">
        <f>IFERROR(INDEX(DePara[Categoria],MATCH(TEXT(A626,"0"),DePara[Fornecedor_txt],0)),"(sem categoria)")</f>
        <v/>
      </c>
      <c r="D626">
        <f>COUNTIF(Base[Fornecedor],A626&amp;"")</f>
        <v/>
      </c>
      <c r="E626" s="12">
        <f>SUMIF(Base[Fornecedor],A626&amp;"",Base[Montante])</f>
        <v/>
      </c>
    </row>
    <row r="627">
      <c r="A627" t="inlineStr">
        <is>
          <t>EM000464</t>
        </is>
      </c>
      <c r="B627" t="inlineStr">
        <is>
          <t>EVELANGE PEREIRA DE OLIVEIRA</t>
        </is>
      </c>
      <c r="C627">
        <f>IFERROR(INDEX(DePara[Categoria],MATCH(TEXT(A627,"0"),DePara[Fornecedor_txt],0)),"(sem categoria)")</f>
        <v/>
      </c>
      <c r="D627">
        <f>COUNTIF(Base[Fornecedor],A627&amp;"")</f>
        <v/>
      </c>
      <c r="E627" s="12">
        <f>SUMIF(Base[Fornecedor],A627&amp;"",Base[Montante])</f>
        <v/>
      </c>
    </row>
    <row r="628">
      <c r="A628" t="inlineStr">
        <is>
          <t>EM000544</t>
        </is>
      </c>
      <c r="B628" t="inlineStr">
        <is>
          <t>JOSE TEIXEIRA DA SILVA NETO</t>
        </is>
      </c>
      <c r="C628">
        <f>IFERROR(INDEX(DePara[Categoria],MATCH(TEXT(A628,"0"),DePara[Fornecedor_txt],0)),"(sem categoria)")</f>
        <v/>
      </c>
      <c r="D628">
        <f>COUNTIF(Base[Fornecedor],A628&amp;"")</f>
        <v/>
      </c>
      <c r="E628" s="12">
        <f>SUMIF(Base[Fornecedor],A628&amp;"",Base[Montante])</f>
        <v/>
      </c>
    </row>
    <row r="629">
      <c r="A629" t="inlineStr">
        <is>
          <t>EM000755</t>
        </is>
      </c>
      <c r="B629" t="inlineStr">
        <is>
          <t>Elvio Salvador Junior</t>
        </is>
      </c>
      <c r="C629">
        <f>IFERROR(INDEX(DePara[Categoria],MATCH(TEXT(A629,"0"),DePara[Fornecedor_txt],0)),"(sem categoria)")</f>
        <v/>
      </c>
      <c r="D629">
        <f>COUNTIF(Base[Fornecedor],A629&amp;"")</f>
        <v/>
      </c>
      <c r="E629" s="12">
        <f>SUMIF(Base[Fornecedor],A629&amp;"",Base[Montante])</f>
        <v/>
      </c>
    </row>
    <row r="630">
      <c r="A630" t="inlineStr">
        <is>
          <t>EM000874</t>
        </is>
      </c>
      <c r="B630" t="inlineStr">
        <is>
          <t>Maciel do Nascimento Santos</t>
        </is>
      </c>
      <c r="C630">
        <f>IFERROR(INDEX(DePara[Categoria],MATCH(TEXT(A630,"0"),DePara[Fornecedor_txt],0)),"(sem categoria)")</f>
        <v/>
      </c>
      <c r="D630">
        <f>COUNTIF(Base[Fornecedor],A630&amp;"")</f>
        <v/>
      </c>
      <c r="E630" s="12">
        <f>SUMIF(Base[Fornecedor],A630&amp;"",Base[Montante])</f>
        <v/>
      </c>
    </row>
    <row r="631">
      <c r="A631" t="inlineStr">
        <is>
          <t>EM000913</t>
        </is>
      </c>
      <c r="B631" t="inlineStr">
        <is>
          <t>JOVERLAND FERNANDES DE SOUSA FILHO</t>
        </is>
      </c>
      <c r="C631">
        <f>IFERROR(INDEX(DePara[Categoria],MATCH(TEXT(A631,"0"),DePara[Fornecedor_txt],0)),"(sem categoria)")</f>
        <v/>
      </c>
      <c r="D631">
        <f>COUNTIF(Base[Fornecedor],A631&amp;"")</f>
        <v/>
      </c>
      <c r="E631" s="12">
        <f>SUMIF(Base[Fornecedor],A631&amp;"",Base[Montante])</f>
        <v/>
      </c>
    </row>
    <row r="632">
      <c r="A632" t="inlineStr">
        <is>
          <t>EM000970</t>
        </is>
      </c>
      <c r="B632" t="inlineStr">
        <is>
          <t>VIVIANE PEIXOTO GOMES</t>
        </is>
      </c>
      <c r="C632">
        <f>IFERROR(INDEX(DePara[Categoria],MATCH(TEXT(A632,"0"),DePara[Fornecedor_txt],0)),"(sem categoria)")</f>
        <v/>
      </c>
      <c r="D632">
        <f>COUNTIF(Base[Fornecedor],A632&amp;"")</f>
        <v/>
      </c>
      <c r="E632" s="12">
        <f>SUMIF(Base[Fornecedor],A632&amp;"",Base[Montante])</f>
        <v/>
      </c>
    </row>
    <row r="633">
      <c r="A633" t="inlineStr">
        <is>
          <t>EM000981</t>
        </is>
      </c>
      <c r="B633" t="inlineStr">
        <is>
          <t>MATEUS DOS SANTOS PESSOA</t>
        </is>
      </c>
      <c r="C633">
        <f>IFERROR(INDEX(DePara[Categoria],MATCH(TEXT(A633,"0"),DePara[Fornecedor_txt],0)),"(sem categoria)")</f>
        <v/>
      </c>
      <c r="D633">
        <f>COUNTIF(Base[Fornecedor],A633&amp;"")</f>
        <v/>
      </c>
      <c r="E633" s="12">
        <f>SUMIF(Base[Fornecedor],A633&amp;"",Base[Montante])</f>
        <v/>
      </c>
    </row>
    <row r="634">
      <c r="A634" t="inlineStr">
        <is>
          <t>EM000106</t>
        </is>
      </c>
      <c r="B634" t="inlineStr">
        <is>
          <t>JONATHAN ITOI DE MORAIS</t>
        </is>
      </c>
      <c r="C634">
        <f>IFERROR(INDEX(DePara[Categoria],MATCH(TEXT(A634,"0"),DePara[Fornecedor_txt],0)),"(sem categoria)")</f>
        <v/>
      </c>
      <c r="D634">
        <f>COUNTIF(Base[Fornecedor],A634&amp;"")</f>
        <v/>
      </c>
      <c r="E634" s="12">
        <f>SUMIF(Base[Fornecedor],A634&amp;"",Base[Montante])</f>
        <v/>
      </c>
    </row>
    <row r="635">
      <c r="A635" t="inlineStr">
        <is>
          <t>EM000123</t>
        </is>
      </c>
      <c r="B635" t="inlineStr">
        <is>
          <t>MARCELO LUIZ REZENDE DE CARVALHO SILVA</t>
        </is>
      </c>
      <c r="C635">
        <f>IFERROR(INDEX(DePara[Categoria],MATCH(TEXT(A635,"0"),DePara[Fornecedor_txt],0)),"(sem categoria)")</f>
        <v/>
      </c>
      <c r="D635">
        <f>COUNTIF(Base[Fornecedor],A635&amp;"")</f>
        <v/>
      </c>
      <c r="E635" s="12">
        <f>SUMIF(Base[Fornecedor],A635&amp;"",Base[Montante])</f>
        <v/>
      </c>
    </row>
    <row r="636">
      <c r="A636" t="inlineStr">
        <is>
          <t>EM000133</t>
        </is>
      </c>
      <c r="B636" t="inlineStr">
        <is>
          <t>WILLIAM MEDEIROS PONTES</t>
        </is>
      </c>
      <c r="C636">
        <f>IFERROR(INDEX(DePara[Categoria],MATCH(TEXT(A636,"0"),DePara[Fornecedor_txt],0)),"(sem categoria)")</f>
        <v/>
      </c>
      <c r="D636">
        <f>COUNTIF(Base[Fornecedor],A636&amp;"")</f>
        <v/>
      </c>
      <c r="E636" s="12">
        <f>SUMIF(Base[Fornecedor],A636&amp;"",Base[Montante])</f>
        <v/>
      </c>
    </row>
    <row r="637">
      <c r="A637" t="inlineStr">
        <is>
          <t>EM000147</t>
        </is>
      </c>
      <c r="B637" t="inlineStr">
        <is>
          <t>AIRTON SHARLES E SILVA PESSOA</t>
        </is>
      </c>
      <c r="C637">
        <f>IFERROR(INDEX(DePara[Categoria],MATCH(TEXT(A637,"0"),DePara[Fornecedor_txt],0)),"(sem categoria)")</f>
        <v/>
      </c>
      <c r="D637">
        <f>COUNTIF(Base[Fornecedor],A637&amp;"")</f>
        <v/>
      </c>
      <c r="E637" s="12">
        <f>SUMIF(Base[Fornecedor],A637&amp;"",Base[Montante])</f>
        <v/>
      </c>
    </row>
    <row r="638">
      <c r="A638" t="inlineStr">
        <is>
          <t>EM000319</t>
        </is>
      </c>
      <c r="B638" t="inlineStr">
        <is>
          <t>LAYSON RAYRE ROCHA RIBEIRO</t>
        </is>
      </c>
      <c r="C638">
        <f>IFERROR(INDEX(DePara[Categoria],MATCH(TEXT(A638,"0"),DePara[Fornecedor_txt],0)),"(sem categoria)")</f>
        <v/>
      </c>
      <c r="D638">
        <f>COUNTIF(Base[Fornecedor],A638&amp;"")</f>
        <v/>
      </c>
      <c r="E638" s="12">
        <f>SUMIF(Base[Fornecedor],A638&amp;"",Base[Montante])</f>
        <v/>
      </c>
    </row>
    <row r="639">
      <c r="A639" t="inlineStr">
        <is>
          <t>EM000641</t>
        </is>
      </c>
      <c r="B639" t="inlineStr">
        <is>
          <t>JAILDSON FERNANDES DE LIMA SOUSA</t>
        </is>
      </c>
      <c r="C639">
        <f>IFERROR(INDEX(DePara[Categoria],MATCH(TEXT(A639,"0"),DePara[Fornecedor_txt],0)),"(sem categoria)")</f>
        <v/>
      </c>
      <c r="D639">
        <f>COUNTIF(Base[Fornecedor],A639&amp;"")</f>
        <v/>
      </c>
      <c r="E639" s="12">
        <f>SUMIF(Base[Fornecedor],A639&amp;"",Base[Montante])</f>
        <v/>
      </c>
    </row>
    <row r="640">
      <c r="A640" t="inlineStr">
        <is>
          <t>EM000774</t>
        </is>
      </c>
      <c r="B640" t="inlineStr">
        <is>
          <t>DAIANE SILVA TRIGO</t>
        </is>
      </c>
      <c r="C640">
        <f>IFERROR(INDEX(DePara[Categoria],MATCH(TEXT(A640,"0"),DePara[Fornecedor_txt],0)),"(sem categoria)")</f>
        <v/>
      </c>
      <c r="D640">
        <f>COUNTIF(Base[Fornecedor],A640&amp;"")</f>
        <v/>
      </c>
      <c r="E640" s="12">
        <f>SUMIF(Base[Fornecedor],A640&amp;"",Base[Montante])</f>
        <v/>
      </c>
    </row>
    <row r="641">
      <c r="A641" t="inlineStr">
        <is>
          <t>EM000816</t>
        </is>
      </c>
      <c r="B641" t="inlineStr">
        <is>
          <t>FRANCISCO HELIO CORREIA LIMA</t>
        </is>
      </c>
      <c r="C641">
        <f>IFERROR(INDEX(DePara[Categoria],MATCH(TEXT(A641,"0"),DePara[Fornecedor_txt],0)),"(sem categoria)")</f>
        <v/>
      </c>
      <c r="D641">
        <f>COUNTIF(Base[Fornecedor],A641&amp;"")</f>
        <v/>
      </c>
      <c r="E641" s="12">
        <f>SUMIF(Base[Fornecedor],A641&amp;"",Base[Montante])</f>
        <v/>
      </c>
    </row>
    <row r="642">
      <c r="A642" t="inlineStr">
        <is>
          <t>EM000849</t>
        </is>
      </c>
      <c r="B642" t="inlineStr">
        <is>
          <t>GEOVANE FERREIRA DOS SANTOS</t>
        </is>
      </c>
      <c r="C642">
        <f>IFERROR(INDEX(DePara[Categoria],MATCH(TEXT(A642,"0"),DePara[Fornecedor_txt],0)),"(sem categoria)")</f>
        <v/>
      </c>
      <c r="D642">
        <f>COUNTIF(Base[Fornecedor],A642&amp;"")</f>
        <v/>
      </c>
      <c r="E642" s="12">
        <f>SUMIF(Base[Fornecedor],A642&amp;"",Base[Montante])</f>
        <v/>
      </c>
    </row>
    <row r="643">
      <c r="A643" t="inlineStr">
        <is>
          <t>EM003810</t>
        </is>
      </c>
      <c r="B643" t="inlineStr">
        <is>
          <t>RONERIO AMORIM DE ARARIPE</t>
        </is>
      </c>
      <c r="C643">
        <f>IFERROR(INDEX(DePara[Categoria],MATCH(TEXT(A643,"0"),DePara[Fornecedor_txt],0)),"(sem categoria)")</f>
        <v/>
      </c>
      <c r="D643">
        <f>COUNTIF(Base[Fornecedor],A643&amp;"")</f>
        <v/>
      </c>
      <c r="E643" s="12">
        <f>SUMIF(Base[Fornecedor],A643&amp;"",Base[Montante])</f>
        <v/>
      </c>
    </row>
    <row r="644">
      <c r="A644" t="inlineStr">
        <is>
          <t>EM200818</t>
        </is>
      </c>
      <c r="B644" t="inlineStr">
        <is>
          <t>MARCOS GRANDE JACOBOVSKI NICARETTA</t>
        </is>
      </c>
      <c r="C644">
        <f>IFERROR(INDEX(DePara[Categoria],MATCH(TEXT(A644,"0"),DePara[Fornecedor_txt],0)),"(sem categoria)")</f>
        <v/>
      </c>
      <c r="D644">
        <f>COUNTIF(Base[Fornecedor],A644&amp;"")</f>
        <v/>
      </c>
      <c r="E644" s="12">
        <f>SUMIF(Base[Fornecedor],A644&amp;"",Base[Montante])</f>
        <v/>
      </c>
    </row>
    <row r="645">
      <c r="A645" t="inlineStr">
        <is>
          <t>EM000472</t>
        </is>
      </c>
      <c r="B645" t="inlineStr">
        <is>
          <t>LEANDRO DE OLIVEIRA</t>
        </is>
      </c>
      <c r="C645">
        <f>IFERROR(INDEX(DePara[Categoria],MATCH(TEXT(A645,"0"),DePara[Fornecedor_txt],0)),"(sem categoria)")</f>
        <v/>
      </c>
      <c r="D645">
        <f>COUNTIF(Base[Fornecedor],A645&amp;"")</f>
        <v/>
      </c>
      <c r="E645" s="12">
        <f>SUMIF(Base[Fornecedor],A645&amp;"",Base[Montante])</f>
        <v/>
      </c>
    </row>
    <row r="646">
      <c r="A646" t="inlineStr">
        <is>
          <t>EM000943</t>
        </is>
      </c>
      <c r="B646" t="inlineStr">
        <is>
          <t>CLAUDIONOR PEREIRA BORGES FILHO</t>
        </is>
      </c>
      <c r="C646">
        <f>IFERROR(INDEX(DePara[Categoria],MATCH(TEXT(A646,"0"),DePara[Fornecedor_txt],0)),"(sem categoria)")</f>
        <v/>
      </c>
      <c r="D646">
        <f>COUNTIF(Base[Fornecedor],A646&amp;"")</f>
        <v/>
      </c>
      <c r="E646" s="12">
        <f>SUMIF(Base[Fornecedor],A646&amp;"",Base[Montante])</f>
        <v/>
      </c>
    </row>
    <row r="647">
      <c r="A647" t="inlineStr">
        <is>
          <t>EM000196</t>
        </is>
      </c>
      <c r="B647" t="inlineStr">
        <is>
          <t>LEANDRO VINICIUS LINS SILVA</t>
        </is>
      </c>
      <c r="C647">
        <f>IFERROR(INDEX(DePara[Categoria],MATCH(TEXT(A647,"0"),DePara[Fornecedor_txt],0)),"(sem categoria)")</f>
        <v/>
      </c>
      <c r="D647">
        <f>COUNTIF(Base[Fornecedor],A647&amp;"")</f>
        <v/>
      </c>
      <c r="E647" s="12">
        <f>SUMIF(Base[Fornecedor],A647&amp;"",Base[Montante])</f>
        <v/>
      </c>
    </row>
    <row r="648">
      <c r="A648" t="inlineStr">
        <is>
          <t>EM000787</t>
        </is>
      </c>
      <c r="B648" t="inlineStr">
        <is>
          <t>GUILLERMO IGNACIO FALCONIS COSTA</t>
        </is>
      </c>
      <c r="C648">
        <f>IFERROR(INDEX(DePara[Categoria],MATCH(TEXT(A648,"0"),DePara[Fornecedor_txt],0)),"(sem categoria)")</f>
        <v/>
      </c>
      <c r="D648">
        <f>COUNTIF(Base[Fornecedor],A648&amp;"")</f>
        <v/>
      </c>
      <c r="E648" s="12">
        <f>SUMIF(Base[Fornecedor],A648&amp;"",Base[Montante])</f>
        <v/>
      </c>
    </row>
    <row r="649">
      <c r="A649" t="inlineStr">
        <is>
          <t>EM000354</t>
        </is>
      </c>
      <c r="B649" t="inlineStr">
        <is>
          <t>DECIO BISPO DE OLIVEIRA</t>
        </is>
      </c>
      <c r="C649">
        <f>IFERROR(INDEX(DePara[Categoria],MATCH(TEXT(A649,"0"),DePara[Fornecedor_txt],0)),"(sem categoria)")</f>
        <v/>
      </c>
      <c r="D649">
        <f>COUNTIF(Base[Fornecedor],A649&amp;"")</f>
        <v/>
      </c>
      <c r="E649" s="12">
        <f>SUMIF(Base[Fornecedor],A649&amp;"",Base[Montante])</f>
        <v/>
      </c>
    </row>
    <row r="650">
      <c r="A650" t="inlineStr">
        <is>
          <t>EM000550</t>
        </is>
      </c>
      <c r="B650" t="inlineStr">
        <is>
          <t>CAMILA ROCHA</t>
        </is>
      </c>
      <c r="C650">
        <f>IFERROR(INDEX(DePara[Categoria],MATCH(TEXT(A650,"0"),DePara[Fornecedor_txt],0)),"(sem categoria)")</f>
        <v/>
      </c>
      <c r="D650">
        <f>COUNTIF(Base[Fornecedor],A650&amp;"")</f>
        <v/>
      </c>
      <c r="E650" s="12">
        <f>SUMIF(Base[Fornecedor],A650&amp;"",Base[Montante])</f>
        <v/>
      </c>
    </row>
    <row r="651">
      <c r="A651" t="inlineStr">
        <is>
          <t>EM000889</t>
        </is>
      </c>
      <c r="B651" t="inlineStr">
        <is>
          <t>JOSEILTOM PEREIRA DOS SANTOS</t>
        </is>
      </c>
      <c r="C651">
        <f>IFERROR(INDEX(DePara[Categoria],MATCH(TEXT(A651,"0"),DePara[Fornecedor_txt],0)),"(sem categoria)")</f>
        <v/>
      </c>
      <c r="D651">
        <f>COUNTIF(Base[Fornecedor],A651&amp;"")</f>
        <v/>
      </c>
      <c r="E651" s="12">
        <f>SUMIF(Base[Fornecedor],A651&amp;"",Base[Montante])</f>
        <v/>
      </c>
    </row>
    <row r="652">
      <c r="A652" t="inlineStr">
        <is>
          <t>EM000812</t>
        </is>
      </c>
      <c r="B652" t="inlineStr">
        <is>
          <t>RICARDO RYOITI YAMAGUCHI</t>
        </is>
      </c>
      <c r="C652">
        <f>IFERROR(INDEX(DePara[Categoria],MATCH(TEXT(A652,"0"),DePara[Fornecedor_txt],0)),"(sem categoria)")</f>
        <v/>
      </c>
      <c r="D652">
        <f>COUNTIF(Base[Fornecedor],A652&amp;"")</f>
        <v/>
      </c>
      <c r="E652" s="12">
        <f>SUMIF(Base[Fornecedor],A652&amp;"",Base[Montante])</f>
        <v/>
      </c>
    </row>
    <row r="653">
      <c r="A653" t="inlineStr">
        <is>
          <t>EM000512</t>
        </is>
      </c>
      <c r="B653" t="inlineStr">
        <is>
          <t>MARCIO FRANCISCO DA SILVA</t>
        </is>
      </c>
      <c r="C653">
        <f>IFERROR(INDEX(DePara[Categoria],MATCH(TEXT(A653,"0"),DePara[Fornecedor_txt],0)),"(sem categoria)")</f>
        <v/>
      </c>
      <c r="D653">
        <f>COUNTIF(Base[Fornecedor],A653&amp;"")</f>
        <v/>
      </c>
      <c r="E653" s="12">
        <f>SUMIF(Base[Fornecedor],A653&amp;"",Base[Montante])</f>
        <v/>
      </c>
    </row>
    <row r="654">
      <c r="A654" t="inlineStr">
        <is>
          <t>EM000744</t>
        </is>
      </c>
      <c r="B654" t="inlineStr">
        <is>
          <t>DARLAN FERREIRA FERNANDES</t>
        </is>
      </c>
      <c r="C654">
        <f>IFERROR(INDEX(DePara[Categoria],MATCH(TEXT(A654,"0"),DePara[Fornecedor_txt],0)),"(sem categoria)")</f>
        <v/>
      </c>
      <c r="D654">
        <f>COUNTIF(Base[Fornecedor],A654&amp;"")</f>
        <v/>
      </c>
      <c r="E654" s="12">
        <f>SUMIF(Base[Fornecedor],A654&amp;"",Base[Montante])</f>
        <v/>
      </c>
    </row>
    <row r="655">
      <c r="A655" t="inlineStr">
        <is>
          <t>EM000751</t>
        </is>
      </c>
      <c r="B655" t="inlineStr">
        <is>
          <t>RANIE DA SILVA FREIRE</t>
        </is>
      </c>
      <c r="C655">
        <f>IFERROR(INDEX(DePara[Categoria],MATCH(TEXT(A655,"0"),DePara[Fornecedor_txt],0)),"(sem categoria)")</f>
        <v/>
      </c>
      <c r="D655">
        <f>COUNTIF(Base[Fornecedor],A655&amp;"")</f>
        <v/>
      </c>
      <c r="E655" s="12">
        <f>SUMIF(Base[Fornecedor],A655&amp;"",Base[Montante])</f>
        <v/>
      </c>
    </row>
    <row r="656">
      <c r="A656" t="inlineStr">
        <is>
          <t>EM000583</t>
        </is>
      </c>
      <c r="B656" t="inlineStr">
        <is>
          <t>CLEITON MARINHO COELHO</t>
        </is>
      </c>
      <c r="C656">
        <f>IFERROR(INDEX(DePara[Categoria],MATCH(TEXT(A656,"0"),DePara[Fornecedor_txt],0)),"(sem categoria)")</f>
        <v/>
      </c>
      <c r="D656">
        <f>COUNTIF(Base[Fornecedor],A656&amp;"")</f>
        <v/>
      </c>
      <c r="E656" s="12">
        <f>SUMIF(Base[Fornecedor],A656&amp;"",Base[Montante])</f>
        <v/>
      </c>
    </row>
    <row r="657">
      <c r="A657" t="inlineStr">
        <is>
          <t>EM000841</t>
        </is>
      </c>
      <c r="B657" t="inlineStr">
        <is>
          <t>José Leonardo de Sousa Batista</t>
        </is>
      </c>
      <c r="C657">
        <f>IFERROR(INDEX(DePara[Categoria],MATCH(TEXT(A657,"0"),DePara[Fornecedor_txt],0)),"(sem categoria)")</f>
        <v/>
      </c>
      <c r="D657">
        <f>COUNTIF(Base[Fornecedor],A657&amp;"")</f>
        <v/>
      </c>
      <c r="E657" s="12">
        <f>SUMIF(Base[Fornecedor],A657&amp;"",Base[Montante])</f>
        <v/>
      </c>
    </row>
    <row r="658">
      <c r="A658" t="inlineStr">
        <is>
          <t>EM000497</t>
        </is>
      </c>
      <c r="B658" t="inlineStr">
        <is>
          <t>SILAS PEREIRA SANTOS MERQUIADES</t>
        </is>
      </c>
      <c r="C658">
        <f>IFERROR(INDEX(DePara[Categoria],MATCH(TEXT(A658,"0"),DePara[Fornecedor_txt],0)),"(sem categoria)")</f>
        <v/>
      </c>
      <c r="D658">
        <f>COUNTIF(Base[Fornecedor],A658&amp;"")</f>
        <v/>
      </c>
      <c r="E658" s="12">
        <f>SUMIF(Base[Fornecedor],A658&amp;"",Base[Montante])</f>
        <v/>
      </c>
    </row>
    <row r="659">
      <c r="A659" t="inlineStr">
        <is>
          <t>EM000542</t>
        </is>
      </c>
      <c r="B659" t="inlineStr">
        <is>
          <t>AKIM FELTRIM CARDOSO</t>
        </is>
      </c>
      <c r="C659">
        <f>IFERROR(INDEX(DePara[Categoria],MATCH(TEXT(A659,"0"),DePara[Fornecedor_txt],0)),"(sem categoria)")</f>
        <v/>
      </c>
      <c r="D659">
        <f>COUNTIF(Base[Fornecedor],A659&amp;"")</f>
        <v/>
      </c>
      <c r="E659" s="12">
        <f>SUMIF(Base[Fornecedor],A659&amp;"",Base[Montante])</f>
        <v/>
      </c>
    </row>
    <row r="660">
      <c r="A660" t="inlineStr">
        <is>
          <t>EM000975</t>
        </is>
      </c>
      <c r="B660" t="inlineStr">
        <is>
          <t>MATEUS DA SILVA CARVALHO</t>
        </is>
      </c>
      <c r="C660">
        <f>IFERROR(INDEX(DePara[Categoria],MATCH(TEXT(A660,"0"),DePara[Fornecedor_txt],0)),"(sem categoria)")</f>
        <v/>
      </c>
      <c r="D660">
        <f>COUNTIF(Base[Fornecedor],A660&amp;"")</f>
        <v/>
      </c>
      <c r="E660" s="12">
        <f>SUMIF(Base[Fornecedor],A660&amp;"",Base[Montante])</f>
        <v/>
      </c>
    </row>
    <row r="661">
      <c r="A661" t="inlineStr">
        <is>
          <t>EM000881</t>
        </is>
      </c>
      <c r="B661" t="inlineStr">
        <is>
          <t>FRANCISCO MARCOS DE SOUSA</t>
        </is>
      </c>
      <c r="C661">
        <f>IFERROR(INDEX(DePara[Categoria],MATCH(TEXT(A661,"0"),DePara[Fornecedor_txt],0)),"(sem categoria)")</f>
        <v/>
      </c>
      <c r="D661">
        <f>COUNTIF(Base[Fornecedor],A661&amp;"")</f>
        <v/>
      </c>
      <c r="E661" s="12">
        <f>SUMIF(Base[Fornecedor],A661&amp;"",Base[Montante])</f>
        <v/>
      </c>
    </row>
    <row r="662">
      <c r="A662" t="inlineStr">
        <is>
          <t>EM000971</t>
        </is>
      </c>
      <c r="B662" t="inlineStr">
        <is>
          <t>LUCAS RODRIGUES DOS SANTOS</t>
        </is>
      </c>
      <c r="C662">
        <f>IFERROR(INDEX(DePara[Categoria],MATCH(TEXT(A662,"0"),DePara[Fornecedor_txt],0)),"(sem categoria)")</f>
        <v/>
      </c>
      <c r="D662">
        <f>COUNTIF(Base[Fornecedor],A662&amp;"")</f>
        <v/>
      </c>
      <c r="E662" s="12">
        <f>SUMIF(Base[Fornecedor],A662&amp;"",Base[Montante])</f>
        <v/>
      </c>
    </row>
    <row r="663">
      <c r="A663" t="inlineStr">
        <is>
          <t>EM000979</t>
        </is>
      </c>
      <c r="B663" t="inlineStr">
        <is>
          <t>JOSE NATAN DIAS DOS SANTOS</t>
        </is>
      </c>
      <c r="C663">
        <f>IFERROR(INDEX(DePara[Categoria],MATCH(TEXT(A663,"0"),DePara[Fornecedor_txt],0)),"(sem categoria)")</f>
        <v/>
      </c>
      <c r="D663">
        <f>COUNTIF(Base[Fornecedor],A663&amp;"")</f>
        <v/>
      </c>
      <c r="E663" s="12">
        <f>SUMIF(Base[Fornecedor],A663&amp;"",Base[Montante])</f>
        <v/>
      </c>
    </row>
    <row r="664">
      <c r="A664" t="inlineStr">
        <is>
          <t>EM003096</t>
        </is>
      </c>
      <c r="B664" t="inlineStr">
        <is>
          <t>JOSICLEITON COELHO DE SOUZA</t>
        </is>
      </c>
      <c r="C664">
        <f>IFERROR(INDEX(DePara[Categoria],MATCH(TEXT(A664,"0"),DePara[Fornecedor_txt],0)),"(sem categoria)")</f>
        <v/>
      </c>
      <c r="D664">
        <f>COUNTIF(Base[Fornecedor],A664&amp;"")</f>
        <v/>
      </c>
      <c r="E664" s="12">
        <f>SUMIF(Base[Fornecedor],A664&amp;"",Base[Montante])</f>
        <v/>
      </c>
    </row>
    <row r="665">
      <c r="A665" t="inlineStr">
        <is>
          <t>EM000876</t>
        </is>
      </c>
      <c r="B665" t="inlineStr">
        <is>
          <t>Juliana Denleschi Fernandes Luis</t>
        </is>
      </c>
      <c r="C665">
        <f>IFERROR(INDEX(DePara[Categoria],MATCH(TEXT(A665,"0"),DePara[Fornecedor_txt],0)),"(sem categoria)")</f>
        <v/>
      </c>
      <c r="D665">
        <f>COUNTIF(Base[Fornecedor],A665&amp;"")</f>
        <v/>
      </c>
      <c r="E665" s="12">
        <f>SUMIF(Base[Fornecedor],A665&amp;"",Base[Montante])</f>
        <v/>
      </c>
    </row>
    <row r="666">
      <c r="A666" t="inlineStr">
        <is>
          <t>EM000607</t>
        </is>
      </c>
      <c r="B666" t="inlineStr">
        <is>
          <t>MARLON LEMOS ARIM</t>
        </is>
      </c>
      <c r="C666">
        <f>IFERROR(INDEX(DePara[Categoria],MATCH(TEXT(A666,"0"),DePara[Fornecedor_txt],0)),"(sem categoria)")</f>
        <v/>
      </c>
      <c r="D666">
        <f>COUNTIF(Base[Fornecedor],A666&amp;"")</f>
        <v/>
      </c>
      <c r="E666" s="12">
        <f>SUMIF(Base[Fornecedor],A666&amp;"",Base[Montante])</f>
        <v/>
      </c>
    </row>
    <row r="667">
      <c r="A667" t="inlineStr">
        <is>
          <t>EM000045</t>
        </is>
      </c>
      <c r="B667" t="inlineStr">
        <is>
          <t>EVANDRO DE LIMA MARQUES</t>
        </is>
      </c>
      <c r="C667">
        <f>IFERROR(INDEX(DePara[Categoria],MATCH(TEXT(A667,"0"),DePara[Fornecedor_txt],0)),"(sem categoria)")</f>
        <v/>
      </c>
      <c r="D667">
        <f>COUNTIF(Base[Fornecedor],A667&amp;"")</f>
        <v/>
      </c>
      <c r="E667" s="12">
        <f>SUMIF(Base[Fornecedor],A667&amp;"",Base[Montante])</f>
        <v/>
      </c>
    </row>
    <row r="668">
      <c r="A668" t="inlineStr">
        <is>
          <t>EM000056</t>
        </is>
      </c>
      <c r="B668" t="inlineStr">
        <is>
          <t>MAYCON ALVES DE OLIVEIRA</t>
        </is>
      </c>
      <c r="C668">
        <f>IFERROR(INDEX(DePara[Categoria],MATCH(TEXT(A668,"0"),DePara[Fornecedor_txt],0)),"(sem categoria)")</f>
        <v/>
      </c>
      <c r="D668">
        <f>COUNTIF(Base[Fornecedor],A668&amp;"")</f>
        <v/>
      </c>
      <c r="E668" s="12">
        <f>SUMIF(Base[Fornecedor],A668&amp;"",Base[Montante])</f>
        <v/>
      </c>
    </row>
    <row r="669">
      <c r="A669" t="inlineStr">
        <is>
          <t>EM000057</t>
        </is>
      </c>
      <c r="B669" t="inlineStr">
        <is>
          <t>ANA PATRICIA MORAIS DA SILVA</t>
        </is>
      </c>
      <c r="C669">
        <f>IFERROR(INDEX(DePara[Categoria],MATCH(TEXT(A669,"0"),DePara[Fornecedor_txt],0)),"(sem categoria)")</f>
        <v/>
      </c>
      <c r="D669">
        <f>COUNTIF(Base[Fornecedor],A669&amp;"")</f>
        <v/>
      </c>
      <c r="E669" s="12">
        <f>SUMIF(Base[Fornecedor],A669&amp;"",Base[Montante])</f>
        <v/>
      </c>
    </row>
    <row r="670">
      <c r="A670" t="inlineStr">
        <is>
          <t>EM000137</t>
        </is>
      </c>
      <c r="B670" t="inlineStr">
        <is>
          <t>ISLAS MARTINS MACIEL ABREU</t>
        </is>
      </c>
      <c r="C670">
        <f>IFERROR(INDEX(DePara[Categoria],MATCH(TEXT(A670,"0"),DePara[Fornecedor_txt],0)),"(sem categoria)")</f>
        <v/>
      </c>
      <c r="D670">
        <f>COUNTIF(Base[Fornecedor],A670&amp;"")</f>
        <v/>
      </c>
      <c r="E670" s="12">
        <f>SUMIF(Base[Fornecedor],A670&amp;"",Base[Montante])</f>
        <v/>
      </c>
    </row>
    <row r="671">
      <c r="A671" t="inlineStr">
        <is>
          <t>EM000270</t>
        </is>
      </c>
      <c r="B671" t="inlineStr">
        <is>
          <t>THAYS NUNES BARROS</t>
        </is>
      </c>
      <c r="C671">
        <f>IFERROR(INDEX(DePara[Categoria],MATCH(TEXT(A671,"0"),DePara[Fornecedor_txt],0)),"(sem categoria)")</f>
        <v/>
      </c>
      <c r="D671">
        <f>COUNTIF(Base[Fornecedor],A671&amp;"")</f>
        <v/>
      </c>
      <c r="E671" s="12">
        <f>SUMIF(Base[Fornecedor],A671&amp;"",Base[Montante])</f>
        <v/>
      </c>
    </row>
    <row r="672">
      <c r="A672" t="inlineStr">
        <is>
          <t>EM000274</t>
        </is>
      </c>
      <c r="B672" t="inlineStr">
        <is>
          <t>RAFAEL DE OLIVEIRA PATRÍCIO</t>
        </is>
      </c>
      <c r="C672">
        <f>IFERROR(INDEX(DePara[Categoria],MATCH(TEXT(A672,"0"),DePara[Fornecedor_txt],0)),"(sem categoria)")</f>
        <v/>
      </c>
      <c r="D672">
        <f>COUNTIF(Base[Fornecedor],A672&amp;"")</f>
        <v/>
      </c>
      <c r="E672" s="12">
        <f>SUMIF(Base[Fornecedor],A672&amp;"",Base[Montante])</f>
        <v/>
      </c>
    </row>
    <row r="673">
      <c r="A673" t="inlineStr">
        <is>
          <t>EM000488</t>
        </is>
      </c>
      <c r="B673" t="inlineStr">
        <is>
          <t>ANDRE LIRA SILVA DA COSTA</t>
        </is>
      </c>
      <c r="C673">
        <f>IFERROR(INDEX(DePara[Categoria],MATCH(TEXT(A673,"0"),DePara[Fornecedor_txt],0)),"(sem categoria)")</f>
        <v/>
      </c>
      <c r="D673">
        <f>COUNTIF(Base[Fornecedor],A673&amp;"")</f>
        <v/>
      </c>
      <c r="E673" s="12">
        <f>SUMIF(Base[Fornecedor],A673&amp;"",Base[Montante])</f>
        <v/>
      </c>
    </row>
    <row r="674">
      <c r="A674" t="inlineStr">
        <is>
          <t>EM000850</t>
        </is>
      </c>
      <c r="B674" t="inlineStr">
        <is>
          <t>FRANCISCO NILO SALES</t>
        </is>
      </c>
      <c r="C674">
        <f>IFERROR(INDEX(DePara[Categoria],MATCH(TEXT(A674,"0"),DePara[Fornecedor_txt],0)),"(sem categoria)")</f>
        <v/>
      </c>
      <c r="D674">
        <f>COUNTIF(Base[Fornecedor],A674&amp;"")</f>
        <v/>
      </c>
      <c r="E674" s="12">
        <f>SUMIF(Base[Fornecedor],A674&amp;"",Base[Montante])</f>
        <v/>
      </c>
    </row>
    <row r="675">
      <c r="A675" t="inlineStr">
        <is>
          <t>EM000972</t>
        </is>
      </c>
      <c r="B675" t="inlineStr">
        <is>
          <t>POLLYANNO BRUNO DA COSTA SILVA</t>
        </is>
      </c>
      <c r="C675">
        <f>IFERROR(INDEX(DePara[Categoria],MATCH(TEXT(A675,"0"),DePara[Fornecedor_txt],0)),"(sem categoria)")</f>
        <v/>
      </c>
      <c r="D675">
        <f>COUNTIF(Base[Fornecedor],A675&amp;"")</f>
        <v/>
      </c>
      <c r="E675" s="12">
        <f>SUMIF(Base[Fornecedor],A675&amp;"",Base[Montante])</f>
        <v/>
      </c>
    </row>
    <row r="676">
      <c r="A676" t="inlineStr">
        <is>
          <t>EM000586</t>
        </is>
      </c>
      <c r="B676" t="inlineStr">
        <is>
          <t>GLAYSON RICARDO DE QUEIROZ</t>
        </is>
      </c>
      <c r="C676">
        <f>IFERROR(INDEX(DePara[Categoria],MATCH(TEXT(A676,"0"),DePara[Fornecedor_txt],0)),"(sem categoria)")</f>
        <v/>
      </c>
      <c r="D676">
        <f>COUNTIF(Base[Fornecedor],A676&amp;"")</f>
        <v/>
      </c>
      <c r="E676" s="12">
        <f>SUMIF(Base[Fornecedor],A676&amp;"",Base[Montante])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2" t="inlineStr">
        <is>
          <t>PENDENCIAS</t>
        </is>
      </c>
    </row>
    <row r="2">
      <c r="A2" s="11" t="inlineStr">
        <is>
          <t>Fornecedores sem classificacao</t>
        </is>
      </c>
    </row>
    <row r="3">
      <c r="A3" s="4" t="inlineStr">
        <is>
          <t>Contagem automatica abaixo. Para ver a lista, abra "Cadastro Fornecedores" e filtre a coluna Categoria = "(sem categoria)".</t>
        </is>
      </c>
    </row>
    <row r="5">
      <c r="A5" s="11" t="inlineStr">
        <is>
          <t>Fornecedores pendentes:</t>
        </is>
      </c>
      <c r="B5" s="15">
        <f>COUNTIF('Cadastro Fornecedores'!C5:C676,"(sem categoria)")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2026-09-04T22:59:03Z</dcterms:created>
  <dcterms:modified xsi:type="dcterms:W3CDTF">2026-09-04T22:59:41Z</dcterms:modified>
</cp:coreProperties>
</file>